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2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دليل الجرد" sheetId="3" state="visible" r:id="rId5"/>
    <sheet name="التعليمات" sheetId="4" state="visible" r:id="rId6"/>
    <sheet name="المكونات" sheetId="5" state="visible" r:id="rId7"/>
    <sheet name="تغيّر الأسعار" sheetId="6" state="visible" r:id="rId8"/>
    <sheet name="تأثير الأسعار على الأصناف" sheetId="7" state="visible" r:id="rId9"/>
    <sheet name="المنيو" sheetId="8" state="visible" r:id="rId10"/>
    <sheet name="الريسبي" sheetId="9" state="visible" r:id="rId11"/>
    <sheet name="تحليل التكلفة والسعر" sheetId="10" state="visible" r:id="rId12"/>
    <sheet name="تكلفة العروض" sheetId="11" state="visible" r:id="rId13"/>
    <sheet name="تتبع الهدر" sheetId="12" state="visible" r:id="rId14"/>
    <sheet name="هندسة المنيو" sheetId="13" state="visible" r:id="rId15"/>
    <sheet name="المصروفات غير المباشرة" sheetId="14" state="visible" r:id="rId16"/>
    <sheet name="مقارنة الفروع" sheetId="15" state="visible" r:id="rId17"/>
    <sheet name="قائمة الدخل الشهرية" sheetId="16" state="visible" r:id="rId18"/>
    <sheet name="نقطة التعادل" sheetId="17" state="visible" r:id="rId19"/>
    <sheet name="إعدادات المخزون" sheetId="18" state="visible" r:id="rId20"/>
    <sheet name="مواد المخزون" sheetId="19" state="visible" r:id="rId21"/>
    <sheet name="جرد أول المدة" sheetId="20" state="visible" r:id="rId22"/>
    <sheet name="مبيعات يومية" sheetId="21" state="visible" r:id="rId23"/>
    <sheet name="مشتريات يومية" sheetId="22" state="visible" r:id="rId24"/>
    <sheet name="جرد فعلي" sheetId="23" state="visible" r:id="rId25"/>
    <sheet name="هالك وتحويلات" sheetId="24" state="visible" r:id="rId26"/>
    <sheet name="جرد - محرم بك" sheetId="25" state="visible" r:id="rId27"/>
    <sheet name="جرد - ابراهيمية" sheetId="26" state="visible" r:id="rId28"/>
    <sheet name="جرد - عصافرة" sheetId="27" state="visible" r:id="rId29"/>
    <sheet name="طلبية السنتر كيتشن" sheetId="28" state="visible" r:id="rId30"/>
    <sheet name="مصفوفة الاستهلاك" sheetId="29" state="visible" r:id="rId31"/>
    <sheet name="متجهات المبيعات" sheetId="30" state="visible" r:id="rId32"/>
  </sheets>
  <definedNames>
    <definedName function="false" hidden="true" localSheetId="6" name="_xlnm._FilterDatabase" vbProcedure="false">'تأثير الأسعار على الأصناف'!$A$4:$K$175</definedName>
    <definedName function="false" hidden="true" localSheetId="5" name="_xlnm._FilterDatabase" vbProcedure="false">'تغيّر الأسعار'!$A$4:$J$113</definedName>
    <definedName function="false" hidden="true" localSheetId="25" name="_xlnm._FilterDatabase" vbProcedure="false">'جرد - ابراهيمية'!$A$6:$W$91</definedName>
    <definedName function="false" hidden="true" localSheetId="26" name="_xlnm._FilterDatabase" vbProcedure="false">'جرد - عصافرة'!$A$6:$W$91</definedName>
    <definedName function="false" hidden="true" localSheetId="24" name="_xlnm._FilterDatabase" vbProcedure="false">'جرد - محرم بك'!$A$6:$W$91</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<sst xmlns="http://schemas.openxmlformats.org/spreadsheetml/2006/main" count="6847" uniqueCount="782">
  <si>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</si>
  <si>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</si>
  <si>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</si>
  <si>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</si>
  <si>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</si>
  <si>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</si>
  <si>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</si>
  <si>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</si>
  <si>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</si>
  <si>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</si>
  <si>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</si>
  <si>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</si>
  <si>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</si>
  <si>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</si>
  <si>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</si>
  <si>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</si>
  <si>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</si>
  <si>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</si>
  <si>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</si>
  <si>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</si>
  <si>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</si>
  <si>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</si>
  <si>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</si>
  <si>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</si>
  <si>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</si>
  <si>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</si>
  <si>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</si>
  <si>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</si>
  <si>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</si>
  <si>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</si>
  <si>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</si>
  <si>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</si>
  <si>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</si>
  <si>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</si>
  <si>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</si>
  <si>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</si>
  <si>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</si>
  <si>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</si>
  <si>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</si>
  <si>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</si>
  <si>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</si>
  <si>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</si>
  <si>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</si>
  <si>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</si>
  <si>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</si>
  <si>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</si>
  <si>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</si>
  <si>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</si>
  <si>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</si>
  <si>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</si>
  <si>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</si>
  <si>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</si>
  <si>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</si>
  <si>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</si>
  <si>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</si>
  <si>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</si>
  <si>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</si>
  <si>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</si>
  <si>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</si>
  <si>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</si>
  <si>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</si>
  <si>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</si>
  <si>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</si>
  <si>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</si>
  <si>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</si>
  <si>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</si>
  <si>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</si>
  <si>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</si>
  <si>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</si>
  <si>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</si>
  <si>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</si>
  <si>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</si>
  <si>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</si>
  <si>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</si>
  <si>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</si>
  <si>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</si>
  <si>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</si>
  <si>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</si>
  <si>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</si>
  <si>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</si>
  <si>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</si>
  <si>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</si>
  <si>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</si>
  <si>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</si>
  <si>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</si>
  <si>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</si>
  <si>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</si>
  <si>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</si>
  <si>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</si>
  <si>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</si>
  <si>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</si>
  <si>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</si>
  <si>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</si>
  <si>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~8000 سطر مبيعات، ~4000 مشتريات، ~12000 جرد فعلي، ~3000 هالك. الأعمدة المحسوبة (سعر، إيراد، تكلفة) متعبية جاهزة.</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</si>
  <si>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</si>
  <si>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</si>
  <si>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</si>
  <si>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</si>
  <si>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</si>
  <si>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</si>
  <si>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</si>
  <si>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</si>
  <si>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</si>
  <si>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</si>
  <si>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</si>
  <si>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</si>
  <si>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</si>
  <si>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</si>
  <si>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</si>
  <si>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</si>
  <si>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</si>
  <si>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</si>
  <si>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</si>
  <si>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</si>
  <si>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</si>
  <si>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</si>
  <si>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</si>
  <si>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</si>
  <si>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</si>
  <si>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</si>
  <si>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</si>
  <si>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</si>
  <si>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</si>
  <si>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</si>
  <si>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</si>
  <si>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</si>
  <si>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</si>
  <si>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</si>
  <si>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</si>
  <si>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</si>
  <si>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</si>
  <si>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</si>
  <si>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</si>
  <si>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</si>
  <si>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</si>
  <si>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</si>
  <si>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</si>
  <si>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</si>
  <si>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</si>
  <si>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</si>
  <si>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</si>
  <si>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</si>
  <si>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</si>
  <si>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</si>
  <si>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</si>
  <si>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</si>
  <si>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</si>
  <si>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</si>
  <si>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</si>
  <si>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</si>
  <si>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</si>
  <si>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</si>
  <si>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</si>
  <si>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</si>
  <si>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</si>
  <si>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</si>
  <si>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</si>
  <si>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</si>
  <si>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</si>
  <si>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</si>
  <si>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</si>
  <si>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</si>
  <si>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</si>
  <si>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</si>
  <si>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</si>
  <si>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</si>
  <si>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</si>
  <si>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</si>
  <si>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</si>
  <si>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</si>
  <si>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</si>
  <si>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</si>
  <si>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</si>
  <si>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</si>
  <si>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</si>
  <si>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</si>
  <si>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</si>
  <si>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</si>
  <si>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</si>
  <si>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</si>
  <si>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</si>
  <si>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</si>
  <si>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</si>
  <si>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</si>
  <si>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</si>
  <si>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</si>
  <si>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</si>
  <si>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</si>
  <si>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</si>
  <si>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</si>
  <si>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</si>
  <si>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</si>
  <si>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</si>
  <si>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</si>
  <si>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</si>
  <si>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</si>
  <si>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</si>
  <si>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</si>
  <si>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</si>
  <si>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</si>
  <si>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</si>
  <si>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</si>
  <si>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</si>
  <si>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</si>
  <si>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</si>
  <si>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</si>
  <si>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</si>
  <si>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</si>
  <si>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</si>
  <si>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</si>
  <si>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</si>
  <si>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</si>
  <si>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</si>
  <si>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</si>
  <si>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</si>
  <si>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</si>
  <si>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</si>
  <si>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</si>
  <si>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</si>
  <si>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</si>
  <si>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</si>
  <si>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</si>
  <si>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</si>
  <si>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</si>
  <si>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</si>
  <si>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</si>
  <si>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</si>
  <si>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</si>
  <si>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</si>
  <si>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</si>
  <si>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</si>
  <si>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</si>
  <si>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</si>
  <si>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</si>
  <si>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</si>
  <si>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</si>
  <si>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</si>
  <si>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</si>
  <si>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</si>
  <si>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</si>
  <si>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</si>
  <si>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</si>
  <si>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</si>
  <si>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</si>
  <si>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</si>
  <si>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</si>
  <si>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</si>
  <si>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</si>
  <si>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</si>
  <si>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</si>
  <si>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</si>
  <si>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</si>
  <si>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</si>
  <si>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</si>
  <si>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</si>
  <si>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</si>
  <si>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</si>
  <si>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</si>
  <si>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</si>
  <si>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</si>
  <si>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</si>
  <si>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</si>
  <si>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</si>
  <si>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</si>
  <si>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</si>
  <si>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</si>
  <si>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</si>
  <si>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</si>
  <si>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</si>
  <si>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</si>
  <si>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</si>
  <si>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</si>
  <si>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</si>
  <si>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</si>
  <si>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</si>
  <si>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</si>
  <si>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</si>
  <si>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</si>
  <si>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</si>
  <si>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</si>
  <si>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</si>
  <si>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</si>
  <si>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</si>
  <si>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</si>
  <si>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</si>
  <si>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</si>
  <si>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</si>
  <si>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</si>
  <si>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</si>
  <si>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</si>
  <si>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</si>
  <si>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</si>
  <si>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</si>
  <si>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</si>
  <si>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</si>
  <si>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</si>
  <si>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</si>
  <si>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</si>
  <si>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</si>
  <si>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</si>
  <si>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</si>
  <si>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</si>
  <si>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</si>
  <si>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</si>
  <si>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</si>
  <si>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</si>
  <si>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</si>
  <si>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</si>
  <si>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</si>
  <si>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</si>
  <si>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</si>
  <si>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</si>
  <si>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</si>
  <si>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</si>
  <si>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</si>
  <si>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</si>
  <si>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</si>
  <si>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</si>
  <si>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</si>
  <si>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</si>
  <si>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</si>
  <si>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</si>
  <si>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</si>
  <si>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</si>
  <si>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</si>
  <si>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</si>
  <si>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</si>
  <si>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</si>
  <si>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</si>
  <si>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</si>
  <si>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</si>
  <si>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</si>
  <si>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</si>
  <si>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</si>
  <si>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</si>
  <si>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</si>
  <si>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</si>
  <si>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</si>
  <si>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</si>
  <si>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</si>
  <si>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</si>
  <si>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</si>
  <si>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</si>
  <si>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</si>
  <si>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</si>
  <si>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</si>
  <si>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</si>
  <si>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</si>
  <si>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</si>
  <si>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</si>
  <si>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</si>
  <si>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</si>
  <si>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</si>
  <si>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</si>
  <si>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</si>
  <si>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</si>
  <si>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</si>
  <si>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</si>
  <si>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</si>
  <si>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</si>
  <si>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</si>
  <si>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</si>
  <si>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</si>
  <si>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</si>
  <si>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</si>
  <si>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</si>
  <si>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</si>
  <si>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</si>
  <si>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</si>
  <si>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</si>
  <si>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</si>
  <si>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</si>
  <si>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</si>
  <si>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</si>
  <si>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</si>
  <si>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</si>
  <si>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</si>
  <si>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</si>
  <si>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</si>
  <si>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</si>
  <si>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</si>
  <si>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</si>
  <si>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</si>
  <si>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</si>
  <si>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</si>
  <si>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</si>
  <si>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</si>
  <si>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</si>
  <si>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</si>
  <si>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</si>
  <si>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</si>
  <si>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</si>
  <si>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</si>
  <si>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</si>
  <si>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</si>
  <si>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</si>
  <si>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</si>
  <si>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</si>
  <si>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</si>
  <si>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</si>
  <si>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</si>
  <si>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</si>
  <si>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</si>
  <si>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</si>
  <si>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</si>
  <si>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</si>
  <si>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</si>
  <si>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</si>
  <si>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</si>
  <si>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</si>
  <si>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</si>
  <si>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</si>
  <si>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</si>
  <si>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</si>
  <si>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</si>
  <si>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</si>
  <si>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</si>
  <si>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</si>
  <si>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</si>
  <si>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</si>
  <si>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</si>
  <si>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</si>
  <si>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</si>
  <si>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</si>
  <si>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</si>
  <si>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</si>
  <si>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</si>
  <si>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</si>
  <si>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</si>
  <si>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</si>
  <si>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</si>
  <si>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</si>
  <si>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</si>
  <si>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</si>
  <si>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</si>
  <si>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</si>
  <si>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</si>
  <si>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</si>
  <si>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</si>
  <si>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</si>
  <si>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</si>
  <si>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</si>
  <si>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</si>
  <si>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</si>
  <si>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</si>
  <si>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</si>
  <si>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</si>
  <si>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</si>
  <si>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</si>
  <si>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</si>
  <si>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</si>
  <si>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</si>
  <si>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</si>
  <si>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</si>
  <si>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</si>
  <si>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</si>
  <si>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</si>
  <si>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</si>
  <si>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</si>
  <si>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</si>
  <si>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</si>
  <si>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</si>
  <si>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</si>
  <si>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</si>
  <si>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</si>
  <si>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</si>
  <si>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</si>
  <si>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</si>
  <si>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</si>
  <si>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</si>
  <si>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</si>
  <si>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</si>
  <si>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</si>
  <si>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</si>
  <si>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</si>
  <si>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</si>
  <si>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</si>
  <si>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</si>
  <si>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</si>
  <si>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</si>
  <si>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</si>
  <si>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</si>
  <si>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</si>
  <si>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</si>
  <si>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</si>
  <si>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</si>
  <si>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</si>
  <si>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</si>
  <si>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</si>
  <si>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</si>
  <si>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</si>
  <si>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</si>
  <si>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</si>
  <si>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</si>
  <si>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</si>
  <si>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</si>
  <si>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</si>
  <si>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</si>
  <si>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</si>
  <si>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</si>
  <si>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</si>
  <si>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</si>
  <si>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</si>
  <si>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</si>
  <si>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</si>
  <si>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</si>
  <si>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</si>
  <si>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</si>
  <si>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</si>
  <si>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</si>
  <si>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</si>
  <si>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</si>
  <si>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</si>
  <si>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</si>
  <si>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</si>
  <si>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</si>
  <si>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</si>
  <si>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</si>
  <si>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</si>
  <si>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</si>
  <si>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</si>
  <si>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</si>
  <si>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</si>
  <si>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</si>
  <si>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</si>
  <si>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</si>
  <si>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</si>
  <si>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</si>
  <si>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</si>
  <si>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</si>
  <si>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</si>
  <si>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</si>
  <si>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</si>
  <si>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</si>
  <si>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</si>
  <si>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</si>
  <si>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</si>
  <si>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</si>
  <si>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</si>
  <si>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</si>
  <si>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</si>
  <si>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</si>
  <si>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</si>
  <si>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</si>
  <si>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</si>
  <si>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</si>
  <si>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</si>
  <si>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</si>
  <si>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</si>
  <si>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</si>
  <si>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</si>
  <si>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</si>
  <si>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</si>
  <si>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</si>
  <si>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</si>
  <si>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</si>
  <si>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</si>
  <si>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</si>
  <si>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</si>
  <si>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</si>
  <si>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</si>
  <si>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</si>
  <si>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</si>
  <si>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</si>
  <si>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</si>
  <si>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</si>
  <si>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</si>
  <si>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</si>
  <si>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</si>
  <si>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</si>
  <si>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</si>
  <si>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</si>
  <si>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</si>
  <si>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</si>
  <si>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</si>
  <si>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</si>
  <si>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</si>
  <si>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</si>
  <si>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</si>
  <si>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</si>
  <si>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</si>
  <si>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</si>
  <si>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</si>
  <si>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</si>
  <si>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</si>
  <si>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</si>
  <si>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</si>
  <si>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</si>
  <si>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</si>
  <si>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</si>
  <si>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</si>
  <si>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</si>
  <si>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</si>
  <si>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</si>
  <si>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</si>
  <si>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</si>
  <si>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</si>
  <si>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</si>
  <si>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</si>
  <si>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</si>
  <si>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</si>
  <si>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</si>
  <si>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</si>
  <si>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</si>
  <si>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</si>
  <si>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</si>
  <si>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</si>
  <si>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</si>
  <si>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</si>
  <si>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</si>
  <si>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</si>
  <si>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</si>
  <si>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</si>
  <si>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</si>
  <si>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</si>
  <si>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</si>
  <si>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</si>
  <si>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</si>
  <si>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</si>
  <si>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</si>
  <si>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</si>
  <si>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</si>
  <si>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</si>
  <si>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</si>
  <si>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</si>
  <si>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</si>
  <si>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</si>
  <si>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</si>
  <si>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</si>
  <si>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</si>
  <si>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</si>
  <si>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</si>
  <si>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</si>
  <si>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</si>
  <si>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</si>
  <si>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</si>
  <si>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</si>
  <si>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</si>
  <si>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</si>
  <si>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</si>
  <si>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</si>
  <si>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</si>
  <si>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</si>
  <si>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</si>
  <si>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</si>
  <si>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</si>
  <si>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</si>
  <si>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</si>
  <si>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</si>
  <si>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</si>
  <si>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</si>
  <si>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</si>
  <si>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</si>
  <si>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</si>
  <si>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</si>
  <si>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</si>
  <si>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</si>
  <si>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</si>
  <si>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</si>
  <si>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</si>
  <si>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</si>
  <si>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</si>
  <si>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</si>
  <si>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</si>
  <si>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</si>
  <si>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</si>
  <si>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</si>
  <si>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</si>
  <si>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</si>
  <si>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</si>
  <si>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</si>
  <si>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</si>
  <si>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</si>
  <si>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</si>
  <si>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</si>
  <si>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</si>
  <si>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</si>
  <si>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</si>
  <si>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</si>
  <si>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</si>
  <si>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</si>
  <si>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</si>
  <si>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</si>
  <si>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</si>
  <si>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</si>
  <si>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</si>
  <si>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</si>
  <si>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</si>
  <si>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</si>
  <si>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</si>
  <si>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</si>
  <si>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</si>
  <si>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</si>
  <si>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</si>
  <si>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</si>
  <si>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</si>
  <si>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</si>
  <si>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</si>
  <si>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</si>
  <si>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</si>
  <si>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</si>
  <si>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</si>
  <si>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</si>
  <si>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</si>
  <si>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</si>
  <si>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</si>
  <si>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</si>
  <si>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</si>
  <si>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</si>
  <si>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</si>
  <si>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</si>
  <si>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</si>
  <si>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</si>
  <si>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</si>
  <si>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</si>
  <si>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</si>
  <si>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مياة معدنية صغير</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</si>
  <si>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</si>
  <si>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</si>
  <si>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</si>
  <si>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</si>
  <si>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</si>
  <si>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</si>
  <si>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</si>
  <si>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</si>
  <si>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</si>
  <si>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</si>
  <si>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</si>
  <si>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</si>
  <si>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</si>
  <si>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</si>
  <si>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</si>
  <si>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</si>
  <si>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الرصيد الدفتري</t>
  </si>
  <si>
    <t xml:space="preserve">اتجرد؟</t>
  </si>
  <si>
    <t xml:space="preserve">الجرد الفعلي</t>
  </si>
  <si>
    <t xml:space="preserve">الفرق %</t>
  </si>
  <si>
    <t xml:space="preserve">قيمة الفرق (جنيه)</t>
  </si>
  <si>
    <t xml:space="preserve">الحالة</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</si>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</sst>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0">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yyyy\-mm\-dd"/>
    <numFmt numFmtId="175" formatCode="#,##0.00;\(#,##0.00\);\-"/>
    <numFmt numFmtId="176" formatCode="0.0%;\-0.0%;\-"/>
    <numFmt numFmtId="177" formatCode="0.00%"/>
    <numFmt numFmtId="178" formatCode="#,##0.0000"/>
    <numFmt numFmtId="179" formatCode="#,##0.000"/>
    <numFmt numFmtId="180" formatCode="#,##0.###;\-#,##0.###;\-"/>
    <numFmt numFmtId="181" formatCode="#,##0.00;\-#,##0.00;\-"/>
    <numFmt numFmtId="182" formatCode="0.####;\-0.####;;"/>
    <numFmt numFmtId="183" formatCode="General"/>
  </numFmts>
  <fonts count="4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29" fillId="6" borderId="1" xfId="0" applyFont="true" applyBorder="true" applyAlignment="true" applyProtection="false">
      <alignment horizontal="right" vertical="center" textRotation="0" wrapText="true" indent="0" shrinkToFit="false"/>
      <protection locked="true" hidden="false"/>
    </xf>
    <xf numFmtId="174"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29" fillId="0" borderId="1" xfId="0" applyFont="true" applyBorder="true" applyAlignment="true" applyProtection="false">
      <alignment horizontal="right" vertical="center" textRotation="0" wrapText="true" indent="0" shrinkToFit="false"/>
      <protection locked="true" hidden="false"/>
    </xf>
    <xf numFmtId="167" fontId="29" fillId="0" borderId="1" xfId="0" applyFont="true" applyBorder="true" applyAlignment="true" applyProtection="false">
      <alignment horizontal="right" vertical="center" textRotation="0" wrapText="true" indent="0" shrinkToFit="false"/>
      <protection locked="true" hidden="false"/>
    </xf>
    <xf numFmtId="174" fontId="29"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5" fontId="29" fillId="0" borderId="0" xfId="0" applyFont="true" applyBorder="false" applyAlignment="true" applyProtection="false">
      <alignment horizontal="center" vertical="bottom" textRotation="0" wrapText="false" indent="0" shrinkToFit="false"/>
      <protection locked="true" hidden="false"/>
    </xf>
    <xf numFmtId="175" fontId="12" fillId="0" borderId="0" xfId="0" applyFont="true" applyBorder="false" applyAlignment="true" applyProtection="false">
      <alignment horizontal="center" vertical="bottom" textRotation="0" wrapText="false" indent="0" shrinkToFit="false"/>
      <protection locked="true" hidden="false"/>
    </xf>
    <xf numFmtId="176"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5" fontId="24" fillId="0" borderId="0" xfId="0" applyFont="true" applyBorder="false" applyAlignment="true" applyProtection="false">
      <alignment horizontal="center" vertical="bottom" textRotation="0" wrapText="false" indent="0" shrinkToFit="false"/>
      <protection locked="true" hidden="false"/>
    </xf>
    <xf numFmtId="176" fontId="24" fillId="0" borderId="0" xfId="0" applyFont="true" applyBorder="false" applyAlignment="true" applyProtection="false">
      <alignment horizontal="center" vertical="bottom" textRotation="0" wrapText="false" indent="0" shrinkToFit="false"/>
      <protection locked="true" hidden="false"/>
    </xf>
    <xf numFmtId="164" fontId="29" fillId="9" borderId="1" xfId="0" applyFont="true" applyBorder="true" applyAlignment="true" applyProtection="false">
      <alignment horizontal="right" vertical="center" textRotation="0" wrapText="true" indent="0" shrinkToFit="false"/>
      <protection locked="true" hidden="false"/>
    </xf>
    <xf numFmtId="164" fontId="33" fillId="9" borderId="1" xfId="0" applyFont="true" applyBorder="true" applyAlignment="true" applyProtection="false">
      <alignment horizontal="right" vertical="center" textRotation="0" wrapText="true" indent="0" shrinkToFit="false"/>
      <protection locked="true" hidden="false"/>
    </xf>
    <xf numFmtId="167" fontId="33"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7" fontId="33" fillId="0" borderId="1" xfId="0" applyFont="true" applyBorder="true" applyAlignment="true" applyProtection="false">
      <alignment horizontal="right" vertical="center"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29" fillId="6" borderId="1" xfId="0" applyFont="true" applyBorder="true" applyAlignment="true" applyProtection="false">
      <alignment horizontal="center"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78" fontId="29" fillId="6"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true" indent="0" shrinkToFit="false"/>
      <protection locked="true" hidden="false"/>
    </xf>
    <xf numFmtId="178" fontId="33" fillId="0" borderId="1" xfId="0" applyFont="true" applyBorder="true" applyAlignment="true" applyProtection="false">
      <alignment horizontal="center" vertical="center" textRotation="0" wrapText="true" indent="0" shrinkToFit="false"/>
      <protection locked="true" hidden="false"/>
    </xf>
    <xf numFmtId="167" fontId="29"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79" fontId="29" fillId="0" borderId="1" xfId="0" applyFont="true" applyBorder="true" applyAlignment="true" applyProtection="false">
      <alignment horizontal="right" vertical="center" textRotation="0" wrapText="true" indent="0" shrinkToFit="false"/>
      <protection locked="true" hidden="false"/>
    </xf>
    <xf numFmtId="179" fontId="12" fillId="0" borderId="1" xfId="0" applyFont="true" applyBorder="true" applyAlignment="true" applyProtection="false">
      <alignment horizontal="right" vertical="center" textRotation="0" wrapText="true" indent="0" shrinkToFit="false"/>
      <protection locked="true" hidden="false"/>
    </xf>
    <xf numFmtId="167" fontId="29"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3" fillId="0" borderId="1" xfId="0" applyFont="true" applyBorder="true" applyAlignment="true" applyProtection="false">
      <alignment horizontal="right" vertical="center" textRotation="0" wrapText="true" indent="0" shrinkToFit="false"/>
      <protection locked="true" hidden="false"/>
    </xf>
    <xf numFmtId="166" fontId="29" fillId="6" borderId="1" xfId="0" applyFont="true" applyBorder="true" applyAlignment="true" applyProtection="false">
      <alignment horizontal="right" vertical="center" textRotation="0" wrapText="true" indent="0" shrinkToFit="false"/>
      <protection locked="true" hidden="false"/>
    </xf>
    <xf numFmtId="167" fontId="33"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4" fontId="29"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29" fillId="7" borderId="0" xfId="0" applyFont="true" applyBorder="false" applyAlignment="false" applyProtection="false">
      <alignment horizontal="general" vertical="bottom" textRotation="0" wrapText="false" indent="0" shrinkToFit="false"/>
      <protection locked="true" hidden="false"/>
    </xf>
    <xf numFmtId="164" fontId="29"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9" fillId="7" borderId="0" xfId="0" applyFont="true" applyBorder="false" applyAlignment="true" applyProtection="false">
      <alignment horizontal="center" vertical="bottom" textRotation="0" wrapText="false" indent="0" shrinkToFit="false"/>
      <protection locked="true" hidden="false"/>
    </xf>
    <xf numFmtId="180" fontId="29"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7" fillId="7" borderId="0" xfId="0" applyFont="true" applyBorder="false" applyAlignment="false" applyProtection="false">
      <alignment horizontal="general" vertical="bottom" textRotation="0" wrapText="false" indent="0" shrinkToFit="false"/>
      <protection locked="true" hidden="false"/>
    </xf>
    <xf numFmtId="181" fontId="26" fillId="0" borderId="2" xfId="0" applyFont="true" applyBorder="true" applyAlignment="true" applyProtection="false">
      <alignment horizontal="center" vertical="bottom" textRotation="0" wrapText="false" indent="0" shrinkToFit="false"/>
      <protection locked="true" hidden="false"/>
    </xf>
    <xf numFmtId="180" fontId="26" fillId="0" borderId="2" xfId="0" applyFont="true" applyBorder="true" applyAlignment="true" applyProtection="false">
      <alignment horizontal="center" vertical="bottom" textRotation="0" wrapText="false" indent="0" shrinkToFit="false"/>
      <protection locked="true" hidden="false"/>
    </xf>
    <xf numFmtId="180" fontId="26" fillId="1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80" fontId="38" fillId="0" borderId="2"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993300"/>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0.510422852232906</c:v>
                </c:pt>
                <c:pt idx="3">
                  <c:v>0.538281880013369</c:v>
                </c:pt>
                <c:pt idx="4">
                  <c:v>0.544993548869302</c:v>
                </c:pt>
                <c:pt idx="5">
                  <c:v>0.620350757843013</c:v>
                </c:pt>
                <c:pt idx="6">
                  <c:v>0.42991955952381</c:v>
                </c:pt>
                <c:pt idx="7">
                  <c:v>0.450000521454293</c:v>
                </c:pt>
                <c:pt idx="8">
                  <c:v>0.43161676007867</c:v>
                </c:pt>
                <c:pt idx="9">
                  <c:v>0.395458837142857</c:v>
                </c:pt>
                <c:pt idx="10">
                  <c:v>0.415925413602941</c:v>
                </c:pt>
                <c:pt idx="11">
                  <c:v>0.442230549230769</c:v>
                </c:pt>
              </c:numCache>
            </c:numRef>
          </c:val>
        </c:ser>
        <c:gapWidth val="150"/>
        <c:overlap val="0"/>
        <c:axId val="59011779"/>
        <c:axId val="98118011"/>
      </c:barChart>
      <c:catAx>
        <c:axId val="590117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18011"/>
        <c:crosses val="autoZero"/>
        <c:auto val="1"/>
        <c:lblAlgn val="ctr"/>
        <c:lblOffset val="100"/>
        <c:noMultiLvlLbl val="0"/>
      </c:catAx>
      <c:valAx>
        <c:axId val="9811801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117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12035201"/>
        <c:axId val="54883269"/>
      </c:barChart>
      <c:catAx>
        <c:axId val="12035201"/>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4883269"/>
        <c:crosses val="autoZero"/>
        <c:auto val="1"/>
        <c:lblAlgn val="ctr"/>
        <c:lblOffset val="100"/>
        <c:noMultiLvlLbl val="0"/>
      </c:catAx>
      <c:valAx>
        <c:axId val="54883269"/>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20352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54568265"/>
        <c:axId val="11120491"/>
      </c:barChart>
      <c:catAx>
        <c:axId val="54568265"/>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1120491"/>
        <c:crosses val="autoZero"/>
        <c:auto val="1"/>
        <c:lblAlgn val="ctr"/>
        <c:lblOffset val="100"/>
        <c:noMultiLvlLbl val="0"/>
      </c:catAx>
      <c:valAx>
        <c:axId val="11120491"/>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45682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1420151"/>
        <c:axId val="59189809"/>
      </c:lineChart>
      <c:catAx>
        <c:axId val="1420151"/>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9189809"/>
        <c:crosses val="autoZero"/>
        <c:auto val="1"/>
        <c:lblAlgn val="ctr"/>
        <c:lblOffset val="100"/>
        <c:noMultiLvlLbl val="0"/>
      </c:catAx>
      <c:valAx>
        <c:axId val="59189809"/>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4201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78050333"/>
        <c:axId val="50209307"/>
      </c:lineChart>
      <c:catAx>
        <c:axId val="78050333"/>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0209307"/>
        <c:crosses val="autoZero"/>
        <c:auto val="1"/>
        <c:lblAlgn val="ctr"/>
        <c:lblOffset val="100"/>
        <c:noMultiLvlLbl val="0"/>
      </c:catAx>
      <c:valAx>
        <c:axId val="50209307"/>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0503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25.xml.rels><?xml version="1.0" encoding="UTF-8"?>
<Relationships xmlns="http://schemas.openxmlformats.org/package/2006/relationships"><Relationship Id="rId1" Type="http://schemas.openxmlformats.org/officeDocument/2006/relationships/drawing" Target="../drawings/drawing5.xml"/>
</Relationships>
</file>

<file path=xl/worksheets/_rels/sheet26.xml.rels><?xml version="1.0" encoding="UTF-8"?>
<Relationships xmlns="http://schemas.openxmlformats.org/package/2006/relationships"><Relationship Id="rId1" Type="http://schemas.openxmlformats.org/officeDocument/2006/relationships/drawing" Target="../drawings/drawing6.xml"/>
</Relationships>
</file>

<file path=xl/worksheets/_rels/sheet27.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0.464002117830697</v>
      </c>
      <c r="C4" s="6" t="n">
        <f aca="false">IFERROR(AVERAGEIFS('تحليل التكلفة والسعر'!$K$2:$K$700,'تحليل التكلفة والسعر'!$C$2:$C$700,"&gt;0"),"")</f>
        <v>0.714002117830697</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0.535997882169303</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0.510422852232906</v>
      </c>
      <c r="D10" s="12" t="n">
        <f aca="false">IFERROR(AVERAGEIFS('تحليل التكلفة والسعر'!$K$2:$K$700,'تحليل التكلفة والسعر'!$A$2:$A$700,$A10,'تحليل التكلفة والسعر'!$C$2:$C$700,"&gt;0"),"")</f>
        <v>0.760422852232906</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0.544993548869302</v>
      </c>
      <c r="D12" s="12" t="n">
        <f aca="false">IFERROR(AVERAGEIFS('تحليل التكلفة والسعر'!$K$2:$K$700,'تحليل التكلفة والسعر'!$A$2:$A$700,$A12,'تحليل التكلفة والسعر'!$C$2:$C$700,"&gt;0"),"")</f>
        <v>0.794993548869302</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0.620350757843013</v>
      </c>
      <c r="D13" s="12" t="n">
        <f aca="false">IFERROR(AVERAGEIFS('تحليل التكلفة والسعر'!$K$2:$K$700,'تحليل التكلفة والسعر'!$A$2:$A$700,$A13,'تحليل التكلفة والسعر'!$C$2:$C$700,"&gt;0"),"")</f>
        <v>0.870350757843013</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0.636603469230769</v>
      </c>
      <c r="D36" s="12" t="n">
        <f aca="false">IFERROR(INDEX('تحليل التكلفة والسعر'!$I$2:$I$700,MATCH(SMALL('تحليل التكلفة والسعر'!$L$2:$L$700,4),'تحليل التكلفة والسعر'!$L$2:$L$700,0)),"")</f>
        <v>0.363396530769231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0.61117</v>
      </c>
      <c r="D37" s="12" t="n">
        <f aca="false">IFERROR(INDEX('تحليل التكلفة والسعر'!$I$2:$I$700,MATCH(SMALL('تحليل التكلفة والسعر'!$L$2:$L$700,5),'تحليل التكلفة والسعر'!$L$2:$L$700,0)),"")</f>
        <v>0.38883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85</f>
        <v>85</v>
      </c>
      <c r="C7" s="22" t="n">
        <f aca="false">85</f>
        <v>85</v>
      </c>
      <c r="D7" s="22" t="n">
        <f aca="false">85</f>
        <v>85</v>
      </c>
      <c r="E7" s="23" t="n">
        <f aca="false">MAX(B7:D7)</f>
        <v>85</v>
      </c>
    </row>
    <row r="8" customFormat="false" ht="15" hidden="false" customHeight="false" outlineLevel="0" collapsed="false">
      <c r="A8" s="21" t="s">
        <v>38</v>
      </c>
      <c r="B8" s="22" t="n">
        <f aca="false">COUNTIF('جرد - محرم بك'!$K$7:$K$91,"نعم")</f>
        <v>0</v>
      </c>
      <c r="C8" s="22" t="n">
        <f aca="false">COUNTIF('جرد - ابراهيمية'!$K$7:$K$91,"نعم")</f>
        <v>0</v>
      </c>
      <c r="D8" s="22" t="n">
        <f aca="false">COUNTIF('جرد - عصافرة'!$K$7:$K$91,"نعم")</f>
        <v>0</v>
      </c>
      <c r="E8" s="23" t="n">
        <f aca="false">SUM(B8:D8)</f>
        <v>0</v>
      </c>
    </row>
    <row r="9" customFormat="false" ht="15" hidden="false" customHeight="false" outlineLevel="0" collapsed="false">
      <c r="A9" s="21" t="s">
        <v>39</v>
      </c>
      <c r="B9" s="24" t="n">
        <f aca="false">IFERROR(COUNTIF('جرد - محرم بك'!$K$7:$K$91,"نعم")/85,0)</f>
        <v>0</v>
      </c>
      <c r="C9" s="24" t="n">
        <f aca="false">IFERROR(COUNTIF('جرد - ابراهيمية'!$K$7:$K$91,"نعم")/85,0)</f>
        <v>0</v>
      </c>
      <c r="D9" s="24" t="n">
        <f aca="false">IFERROR(COUNTIF('جرد - عصافرة'!$K$7:$K$91,"نعم")/85,0)</f>
        <v>0</v>
      </c>
      <c r="E9" s="25" t="n">
        <f aca="false">AVERAGE(B9:D9)</f>
        <v>0</v>
      </c>
    </row>
    <row r="10" customFormat="false" ht="15" hidden="false" customHeight="false" outlineLevel="0" collapsed="false">
      <c r="A10" s="21" t="s">
        <v>40</v>
      </c>
      <c r="B10" s="26" t="n">
        <f aca="false">SUMPRODUCT('جرد - محرم بك'!$J$7:$J$91,'جرد - محرم بك'!$C$7:$C$91)</f>
        <v>231465.4647785</v>
      </c>
      <c r="C10" s="26" t="n">
        <f aca="false">SUMPRODUCT('جرد - ابراهيمية'!$J$7:$J$91,'جرد - ابراهيمية'!$C$7:$C$91)</f>
        <v>221779.4584966</v>
      </c>
      <c r="D10" s="26" t="n">
        <f aca="false">SUMPRODUCT('جرد - عصافرة'!$J$7:$J$91,'جرد - عصافرة'!$C$7:$C$91)</f>
        <v>256494.3807099</v>
      </c>
      <c r="E10" s="27" t="n">
        <f aca="false">SUM(B10:D10)</f>
        <v>709739.303985</v>
      </c>
    </row>
    <row r="11" customFormat="false" ht="15" hidden="false" customHeight="false" outlineLevel="0" collapsed="false">
      <c r="A11" s="21" t="s">
        <v>41</v>
      </c>
      <c r="B11" s="28" t="n">
        <f aca="false">SUMIF('جرد - محرم بك'!$AA$7:$AA$91,"&lt;0")</f>
        <v>0</v>
      </c>
      <c r="C11" s="28" t="n">
        <f aca="false">SUMIF('جرد - ابراهيمية'!$AA$7:$AA$91,"&lt;0")</f>
        <v>0</v>
      </c>
      <c r="D11" s="28" t="n">
        <f aca="false">SUMIF('جرد - عصافرة'!$AA$7:$AA$91,"&lt;0")</f>
        <v>0</v>
      </c>
      <c r="E11" s="29" t="n">
        <f aca="false">SUM(B11:D11)</f>
        <v>0</v>
      </c>
    </row>
    <row r="12" customFormat="false" ht="15" hidden="false" customHeight="false" outlineLevel="0" collapsed="false">
      <c r="A12" s="21" t="s">
        <v>42</v>
      </c>
      <c r="B12" s="28" t="n">
        <f aca="false">SUMIF('جرد - محرم بك'!$AA$7:$AA$91,"&gt;0")</f>
        <v>0</v>
      </c>
      <c r="C12" s="28" t="n">
        <f aca="false">SUMIF('جرد - ابراهيمية'!$AA$7:$AA$91,"&gt;0")</f>
        <v>0</v>
      </c>
      <c r="D12" s="28" t="n">
        <f aca="false">SUMIF('جرد - عصافرة'!$AA$7:$AA$91,"&gt;0")</f>
        <v>0</v>
      </c>
      <c r="E12" s="29" t="n">
        <f aca="false">SUM(B12:D12)</f>
        <v>0</v>
      </c>
    </row>
    <row r="13" customFormat="false" ht="15" hidden="false" customHeight="false" outlineLevel="0" collapsed="false">
      <c r="A13" s="21" t="s">
        <v>43</v>
      </c>
      <c r="B13" s="28" t="n">
        <f aca="false">SUM('جرد - محرم بك'!$AA$7:$AA$91)</f>
        <v>0</v>
      </c>
      <c r="C13" s="28" t="n">
        <f aca="false">SUM('جرد - ابراهيمية'!$AA$7:$AA$91)</f>
        <v>0</v>
      </c>
      <c r="D13" s="28" t="n">
        <f aca="false">SUM('جرد - عصافرة'!$AA$7:$AA$91)</f>
        <v>0</v>
      </c>
      <c r="E13" s="29" t="n">
        <f aca="false">SUM(B13:D13)</f>
        <v>0</v>
      </c>
    </row>
    <row r="14" customFormat="false" ht="15" hidden="false" customHeight="false" outlineLevel="0" collapsed="false">
      <c r="A14" s="21" t="s">
        <v>44</v>
      </c>
      <c r="B14" s="30" t="n">
        <f aca="false">IFERROR(SUMPRODUCT(ABS('جرد - محرم بك'!$AA$7:$AA$91))/SUM('جرد - محرم بك'!$AB$7:$AB$91),0)</f>
        <v>0</v>
      </c>
      <c r="C14" s="30" t="n">
        <f aca="false">IFERROR(SUMPRODUCT(ABS('جرد - ابراهيمية'!$AA$7:$AA$91))/SUM('جرد - ابراهيمية'!$AB$7:$AB$91),0)</f>
        <v>0</v>
      </c>
      <c r="D14" s="30" t="n">
        <f aca="false">IFERROR(SUMPRODUCT(ABS('جرد - عصافرة'!$AA$7:$AA$91))/SUM('جرد - عصافرة'!$AB$7:$AB$91),0)</f>
        <v>0</v>
      </c>
      <c r="E14" s="31" t="n">
        <f aca="false">IFERROR((SUMPRODUCT(ABS('جرد - محرم بك'!$AA$7:$AA$91))+SUMPRODUCT(ABS('جرد - ابراهيمية'!$AA$7:$AA$91))+SUMPRODUCT(ABS('جرد - عصافرة'!$AA$7:$AA$91)))/(SUM('جرد - محرم بك'!$AB$7:$AB$91)+SUM('جرد - ابراهيمية'!$AB$7:$AB$91)+SUM('جرد - عصافرة'!$AB$7:$AB$91)),0)</f>
        <v>0</v>
      </c>
    </row>
    <row r="15" customFormat="false" ht="15" hidden="false" customHeight="false" outlineLevel="0" collapsed="false">
      <c r="A15" s="21" t="s">
        <v>45</v>
      </c>
      <c r="B15" s="22" t="n">
        <f aca="false">COUNTIF('جرد - محرم بك'!$P$7:$P$91,"عجز")+COUNTIF('جرد - محرم بك'!$P$7:$P$91,"زيادة")</f>
        <v>0</v>
      </c>
      <c r="C15" s="22" t="n">
        <f aca="false">COUNTIF('جرد - ابراهيمية'!$P$7:$P$91,"عجز")+COUNTIF('جرد - ابراهيمية'!$P$7:$P$91,"زيادة")</f>
        <v>0</v>
      </c>
      <c r="D15" s="22" t="n">
        <f aca="false">COUNTIF('جرد - عصافرة'!$P$7:$P$91,"عجز")+COUNTIF('جرد - عصافرة'!$P$7:$P$91,"زيادة")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بك'!$AC$7:$AC$91,"&lt;0")</f>
        <v>0</v>
      </c>
      <c r="C17" s="28" t="n">
        <f aca="false">SUMIF('جرد - ابراهيمية'!$AC$7:$AC$91,"&lt;0")</f>
        <v>0</v>
      </c>
      <c r="D17" s="28" t="n">
        <f aca="false">SUMIF('جرد - عصافرة'!$AC$7:$AC$91,"&lt;0")</f>
        <v>0</v>
      </c>
      <c r="E17" s="29" t="n">
        <f aca="false">SUM(B17:D17)</f>
        <v>0</v>
      </c>
    </row>
    <row r="18" customFormat="false" ht="15" hidden="false" customHeight="false" outlineLevel="0" collapsed="false">
      <c r="A18" s="21" t="s">
        <v>48</v>
      </c>
      <c r="B18" s="28" t="n">
        <f aca="false">SUMIF('جرد - محرم بك'!$AC$7:$AC$91,"&gt;0")</f>
        <v>0</v>
      </c>
      <c r="C18" s="28" t="n">
        <f aca="false">SUMIF('جرد - ابراهيمية'!$AC$7:$AC$91,"&gt;0")</f>
        <v>0</v>
      </c>
      <c r="D18" s="28" t="n">
        <f aca="false">SUMIF('جرد - عصافرة'!$AC$7:$AC$91,"&gt;0")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يومية'!$F$2:$F$8001,'مبيعات يومية'!$B$2:$B$8001,'إعدادات المخزون'!$A$15,'مبيعات يومية'!$A$2:$A$8001,'إعدادات المخزون'!$B$4)</f>
        <v>0</v>
      </c>
      <c r="C20" s="26" t="n">
        <f aca="false">SUMIFS('مبيعات يومية'!$F$2:$F$8001,'مبيعات يومية'!$B$2:$B$8001,'إعدادات المخزون'!$A$16,'مبيعات يومية'!$A$2:$A$8001,'إعدادات المخزون'!$B$4)</f>
        <v>0</v>
      </c>
      <c r="D20" s="26" t="n">
        <f aca="false">SUMIFS('مبيعات يومية'!$F$2:$F$8001,'مبيعات يومية'!$B$2:$B$8001,'إعدادات المخزون'!$A$17,'مبيعات يومية'!$A$2:$A$8001,'إعدادات المخزون'!$B$4)</f>
        <v>0</v>
      </c>
      <c r="E20" s="27" t="n">
        <f aca="false">SUM(B20:D20)</f>
        <v>0</v>
      </c>
    </row>
    <row r="21" customFormat="false" ht="15" hidden="false" customHeight="false" outlineLevel="0" collapsed="false">
      <c r="A21" s="21" t="s">
        <v>51</v>
      </c>
      <c r="B21" s="26" t="n">
        <f aca="false">SUMIFS('مبيعات يومية'!$F$2:$F$8001,'مبيعات يومية'!$B$2:$B$8001,'إعدادات المخزون'!$A$15,'مبيعات يومية'!$A$2:$A$8001,"&gt;="&amp;'إعدادات المخزون'!$B$5,'مبيعات يومية'!$A$2:$A$8001,"&lt;="&amp;'إعدادات المخزون'!$B$4)</f>
        <v>0</v>
      </c>
      <c r="C21" s="26" t="n">
        <f aca="false">SUMIFS('مبيعات يومية'!$F$2:$F$8001,'مبيعات يومية'!$B$2:$B$8001,'إعدادات المخزون'!$A$16,'مبيعات يومية'!$A$2:$A$8001,"&gt;="&amp;'إعدادات المخزون'!$B$5,'مبيعات يومية'!$A$2:$A$8001,"&lt;="&amp;'إعدادات المخزون'!$B$4)</f>
        <v>0</v>
      </c>
      <c r="D21" s="26" t="n">
        <f aca="false">SUMIFS('مبيعات يومية'!$F$2:$F$8001,'مبيعات يومية'!$B$2:$B$8001,'إعدادات المخزون'!$A$17,'مبيعات يومية'!$A$2:$A$8001,"&gt;="&amp;'إعدادات المخزون'!$B$5,'مبيعات يومية'!$A$2:$A$8001,"&lt;="&amp;'إعدادات المخزون'!$B$4)</f>
        <v>0</v>
      </c>
      <c r="E21" s="27" t="n">
        <f aca="false">SUM(B21:D21)</f>
        <v>0</v>
      </c>
    </row>
    <row r="22" customFormat="false" ht="15" hidden="false" customHeight="false" outlineLevel="0" collapsed="false">
      <c r="A22" s="21" t="s">
        <v>52</v>
      </c>
      <c r="B22" s="26" t="n">
        <f aca="false">SUMIFS('مبيعات يومية'!$G$2:$G$8001,'مبيعات يومية'!$B$2:$B$8001,'إعدادات المخزون'!$A$15,'مبيعات يومية'!$A$2:$A$8001,"&gt;="&amp;'إعدادات المخزون'!$B$5,'مبيعات يومية'!$A$2:$A$8001,"&lt;="&amp;'إعدادات المخزون'!$B$4)</f>
        <v>0</v>
      </c>
      <c r="C22" s="26" t="n">
        <f aca="false">SUMIFS('مبيعات يومية'!$G$2:$G$8001,'مبيعات يومية'!$B$2:$B$8001,'إعدادات المخزون'!$A$16,'مبيعات يومية'!$A$2:$A$8001,"&gt;="&amp;'إعدادات المخزون'!$B$5,'مبيعات يومية'!$A$2:$A$8001,"&lt;="&amp;'إعدادات المخزون'!$B$4)</f>
        <v>0</v>
      </c>
      <c r="D22" s="26" t="n">
        <f aca="false">SUMIFS('مبيعات يومية'!$G$2:$G$8001,'مبيعات يومية'!$B$2:$B$8001,'إعدادات المخزون'!$A$17,'مبيعات يومية'!$A$2:$A$8001,"&gt;="&amp;'إعدادات المخزون'!$B$5,'مبيعات يومية'!$A$2:$A$8001,"&lt;="&amp;'إعدادات المخزون'!$B$4)</f>
        <v>0</v>
      </c>
      <c r="E22" s="27" t="n">
        <f aca="false">SUM(B22:D22)</f>
        <v>0</v>
      </c>
    </row>
    <row r="23" customFormat="false" ht="15" hidden="false" customHeight="false" outlineLevel="0" collapsed="false">
      <c r="A23" s="21" t="s">
        <v>53</v>
      </c>
      <c r="B23" s="30" t="n">
        <f aca="false">IFERROR(B22/B21,0)</f>
        <v>0</v>
      </c>
      <c r="C23" s="30" t="n">
        <f aca="false">IFERROR(C22/C21,0)</f>
        <v>0</v>
      </c>
      <c r="D23" s="30" t="n">
        <f aca="false">IFERROR(D22/D21,0)</f>
        <v>0</v>
      </c>
      <c r="E23" s="31" t="n">
        <f aca="false">IFERROR(E22/E21,0)</f>
        <v>0</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v>
      </c>
      <c r="C26" s="30" t="n">
        <f aca="false">IFERROR(C25/C21,0)</f>
        <v>0</v>
      </c>
      <c r="D26" s="30" t="n">
        <f aca="false">IFERROR(D25/D21,0)</f>
        <v>0</v>
      </c>
      <c r="E26" s="31" t="n">
        <f aca="false">IFERROR(E25/E21,0)</f>
        <v>0</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بك'!$X$7:$X$91,1)&lt;=0,"",INDEX('جرد - محرم بك'!$A$7:$A$91,MATCH(LARGE('جرد - محرم بك'!$X$7:$X$91,1),'جرد - محرم بك'!$X$7:$X$91,0)))</f>
        <v/>
      </c>
      <c r="B32" s="35" t="str">
        <f aca="false">IF($A32="","",INDEX('جرد - محرم بك'!$M$7:$M$91,MATCH(LARGE('جرد - محرم بك'!$X$7:$X$91,1),'جرد - محرم بك'!$X$7:$X$91,0)))</f>
        <v/>
      </c>
      <c r="C32" s="36" t="str">
        <f aca="false">IF($A32="","",INDEX('جرد - محرم بك'!$B$7:$B$91,MATCH(LARGE('جرد - محرم بك'!$X$7:$X$91,1),'جرد - محرم بك'!$X$7:$X$91,0)))</f>
        <v/>
      </c>
      <c r="D32" s="37" t="str">
        <f aca="false">IF($A32="","",INDEX('جرد - محرم بك'!$O$7:$O$91,MATCH(LARGE('جرد - محرم بك'!$X$7:$X$91,1),'جرد - محرم بك'!$X$7:$X$91,0)))</f>
        <v/>
      </c>
    </row>
    <row r="33" customFormat="false" ht="15" hidden="false" customHeight="false" outlineLevel="0" collapsed="false">
      <c r="A33" s="34" t="str">
        <f aca="false">IF(LARGE('جرد - محرم بك'!$X$7:$X$91,2)&lt;=0,"",INDEX('جرد - محرم بك'!$A$7:$A$91,MATCH(LARGE('جرد - محرم بك'!$X$7:$X$91,2),'جرد - محرم بك'!$X$7:$X$91,0)))</f>
        <v/>
      </c>
      <c r="B33" s="35" t="str">
        <f aca="false">IF($A33="","",INDEX('جرد - محرم بك'!$M$7:$M$91,MATCH(LARGE('جرد - محرم بك'!$X$7:$X$91,2),'جرد - محرم بك'!$X$7:$X$91,0)))</f>
        <v/>
      </c>
      <c r="C33" s="36" t="str">
        <f aca="false">IF($A33="","",INDEX('جرد - محرم بك'!$B$7:$B$91,MATCH(LARGE('جرد - محرم بك'!$X$7:$X$91,2),'جرد - محرم بك'!$X$7:$X$91,0)))</f>
        <v/>
      </c>
      <c r="D33" s="37" t="str">
        <f aca="false">IF($A33="","",INDEX('جرد - محرم بك'!$O$7:$O$91,MATCH(LARGE('جرد - محرم بك'!$X$7:$X$91,2),'جرد - محرم بك'!$X$7:$X$91,0)))</f>
        <v/>
      </c>
    </row>
    <row r="34" customFormat="false" ht="15" hidden="false" customHeight="false" outlineLevel="0" collapsed="false">
      <c r="A34" s="34" t="str">
        <f aca="false">IF(LARGE('جرد - محرم بك'!$X$7:$X$91,3)&lt;=0,"",INDEX('جرد - محرم بك'!$A$7:$A$91,MATCH(LARGE('جرد - محرم بك'!$X$7:$X$91,3),'جرد - محرم بك'!$X$7:$X$91,0)))</f>
        <v/>
      </c>
      <c r="B34" s="35" t="str">
        <f aca="false">IF($A34="","",INDEX('جرد - محرم بك'!$M$7:$M$91,MATCH(LARGE('جرد - محرم بك'!$X$7:$X$91,3),'جرد - محرم بك'!$X$7:$X$91,0)))</f>
        <v/>
      </c>
      <c r="C34" s="36" t="str">
        <f aca="false">IF($A34="","",INDEX('جرد - محرم بك'!$B$7:$B$91,MATCH(LARGE('جرد - محرم بك'!$X$7:$X$91,3),'جرد - محرم بك'!$X$7:$X$91,0)))</f>
        <v/>
      </c>
      <c r="D34" s="37" t="str">
        <f aca="false">IF($A34="","",INDEX('جرد - محرم بك'!$O$7:$O$91,MATCH(LARGE('جرد - محرم بك'!$X$7:$X$91,3),'جرد - محرم بك'!$X$7:$X$91,0)))</f>
        <v/>
      </c>
    </row>
    <row r="35" customFormat="false" ht="15" hidden="false" customHeight="false" outlineLevel="0" collapsed="false">
      <c r="A35" s="34" t="str">
        <f aca="false">IF(LARGE('جرد - محرم بك'!$X$7:$X$91,4)&lt;=0,"",INDEX('جرد - محرم بك'!$A$7:$A$91,MATCH(LARGE('جرد - محرم بك'!$X$7:$X$91,4),'جرد - محرم بك'!$X$7:$X$91,0)))</f>
        <v/>
      </c>
      <c r="B35" s="35" t="str">
        <f aca="false">IF($A35="","",INDEX('جرد - محرم بك'!$M$7:$M$91,MATCH(LARGE('جرد - محرم بك'!$X$7:$X$91,4),'جرد - محرم بك'!$X$7:$X$91,0)))</f>
        <v/>
      </c>
      <c r="C35" s="36" t="str">
        <f aca="false">IF($A35="","",INDEX('جرد - محرم بك'!$B$7:$B$91,MATCH(LARGE('جرد - محرم بك'!$X$7:$X$91,4),'جرد - محرم بك'!$X$7:$X$91,0)))</f>
        <v/>
      </c>
      <c r="D35" s="37" t="str">
        <f aca="false">IF($A35="","",INDEX('جرد - محرم بك'!$O$7:$O$91,MATCH(LARGE('جرد - محرم بك'!$X$7:$X$91,4),'جرد - محرم بك'!$X$7:$X$91,0)))</f>
        <v/>
      </c>
    </row>
    <row r="36" customFormat="false" ht="15" hidden="false" customHeight="false" outlineLevel="0" collapsed="false">
      <c r="A36" s="34" t="str">
        <f aca="false">IF(LARGE('جرد - محرم بك'!$X$7:$X$91,5)&lt;=0,"",INDEX('جرد - محرم بك'!$A$7:$A$91,MATCH(LARGE('جرد - محرم بك'!$X$7:$X$91,5),'جرد - محرم بك'!$X$7:$X$91,0)))</f>
        <v/>
      </c>
      <c r="B36" s="35" t="str">
        <f aca="false">IF($A36="","",INDEX('جرد - محرم بك'!$M$7:$M$91,MATCH(LARGE('جرد - محرم بك'!$X$7:$X$91,5),'جرد - محرم بك'!$X$7:$X$91,0)))</f>
        <v/>
      </c>
      <c r="C36" s="36" t="str">
        <f aca="false">IF($A36="","",INDEX('جرد - محرم بك'!$B$7:$B$91,MATCH(LARGE('جرد - محرم بك'!$X$7:$X$91,5),'جرد - محرم بك'!$X$7:$X$91,0)))</f>
        <v/>
      </c>
      <c r="D36" s="37" t="str">
        <f aca="false">IF($A36="","",INDEX('جرد - محرم بك'!$O$7:$O$91,MATCH(LARGE('جرد - محرم بك'!$X$7:$X$91,5),'جرد - محرم بك'!$X$7:$X$91,0)))</f>
        <v/>
      </c>
    </row>
    <row r="37" customFormat="false" ht="15" hidden="false" customHeight="false" outlineLevel="0" collapsed="false">
      <c r="A37" s="34" t="str">
        <f aca="false">IF(LARGE('جرد - محرم بك'!$X$7:$X$91,6)&lt;=0,"",INDEX('جرد - محرم بك'!$A$7:$A$91,MATCH(LARGE('جرد - محرم بك'!$X$7:$X$91,6),'جرد - محرم بك'!$X$7:$X$91,0)))</f>
        <v/>
      </c>
      <c r="B37" s="35" t="str">
        <f aca="false">IF($A37="","",INDEX('جرد - محرم بك'!$M$7:$M$91,MATCH(LARGE('جرد - محرم بك'!$X$7:$X$91,6),'جرد - محرم بك'!$X$7:$X$91,0)))</f>
        <v/>
      </c>
      <c r="C37" s="36" t="str">
        <f aca="false">IF($A37="","",INDEX('جرد - محرم بك'!$B$7:$B$91,MATCH(LARGE('جرد - محرم بك'!$X$7:$X$91,6),'جرد - محرم بك'!$X$7:$X$91,0)))</f>
        <v/>
      </c>
      <c r="D37" s="37" t="str">
        <f aca="false">IF($A37="","",INDEX('جرد - محرم بك'!$O$7:$O$91,MATCH(LARGE('جرد - محرم بك'!$X$7:$X$91,6),'جرد - محرم بك'!$X$7:$X$91,0)))</f>
        <v/>
      </c>
    </row>
    <row r="38" customFormat="false" ht="15" hidden="false" customHeight="false" outlineLevel="0" collapsed="false">
      <c r="A38" s="34" t="str">
        <f aca="false">IF(LARGE('جرد - محرم بك'!$X$7:$X$91,7)&lt;=0,"",INDEX('جرد - محرم بك'!$A$7:$A$91,MATCH(LARGE('جرد - محرم بك'!$X$7:$X$91,7),'جرد - محرم بك'!$X$7:$X$91,0)))</f>
        <v/>
      </c>
      <c r="B38" s="35" t="str">
        <f aca="false">IF($A38="","",INDEX('جرد - محرم بك'!$M$7:$M$91,MATCH(LARGE('جرد - محرم بك'!$X$7:$X$91,7),'جرد - محرم بك'!$X$7:$X$91,0)))</f>
        <v/>
      </c>
      <c r="C38" s="36" t="str">
        <f aca="false">IF($A38="","",INDEX('جرد - محرم بك'!$B$7:$B$91,MATCH(LARGE('جرد - محرم بك'!$X$7:$X$91,7),'جرد - محرم بك'!$X$7:$X$91,0)))</f>
        <v/>
      </c>
      <c r="D38" s="37" t="str">
        <f aca="false">IF($A38="","",INDEX('جرد - محرم بك'!$O$7:$O$91,MATCH(LARGE('جرد - محرم بك'!$X$7:$X$91,7),'جرد - محرم بك'!$X$7:$X$91,0)))</f>
        <v/>
      </c>
    </row>
    <row r="39" customFormat="false" ht="15" hidden="false" customHeight="false" outlineLevel="0" collapsed="false">
      <c r="A39" s="34" t="str">
        <f aca="false">IF(LARGE('جرد - محرم بك'!$X$7:$X$91,8)&lt;=0,"",INDEX('جرد - محرم بك'!$A$7:$A$91,MATCH(LARGE('جرد - محرم بك'!$X$7:$X$91,8),'جرد - محرم بك'!$X$7:$X$91,0)))</f>
        <v/>
      </c>
      <c r="B39" s="35" t="str">
        <f aca="false">IF($A39="","",INDEX('جرد - محرم بك'!$M$7:$M$91,MATCH(LARGE('جرد - محرم بك'!$X$7:$X$91,8),'جرد - محرم بك'!$X$7:$X$91,0)))</f>
        <v/>
      </c>
      <c r="C39" s="36" t="str">
        <f aca="false">IF($A39="","",INDEX('جرد - محرم بك'!$B$7:$B$91,MATCH(LARGE('جرد - محرم بك'!$X$7:$X$91,8),'جرد - محرم بك'!$X$7:$X$91,0)))</f>
        <v/>
      </c>
      <c r="D39" s="37" t="str">
        <f aca="false">IF($A39="","",INDEX('جرد - محرم بك'!$O$7:$O$91,MATCH(LARGE('جرد - محرم بك'!$X$7:$X$91,8),'جرد - محرم بك'!$X$7:$X$91,0)))</f>
        <v/>
      </c>
    </row>
    <row r="40" customFormat="false" ht="15" hidden="false" customHeight="false" outlineLevel="0" collapsed="false">
      <c r="A40" s="34" t="str">
        <f aca="false">IF(LARGE('جرد - محرم بك'!$X$7:$X$91,9)&lt;=0,"",INDEX('جرد - محرم بك'!$A$7:$A$91,MATCH(LARGE('جرد - محرم بك'!$X$7:$X$91,9),'جرد - محرم بك'!$X$7:$X$91,0)))</f>
        <v/>
      </c>
      <c r="B40" s="35" t="str">
        <f aca="false">IF($A40="","",INDEX('جرد - محرم بك'!$M$7:$M$91,MATCH(LARGE('جرد - محرم بك'!$X$7:$X$91,9),'جرد - محرم بك'!$X$7:$X$91,0)))</f>
        <v/>
      </c>
      <c r="C40" s="36" t="str">
        <f aca="false">IF($A40="","",INDEX('جرد - محرم بك'!$B$7:$B$91,MATCH(LARGE('جرد - محرم بك'!$X$7:$X$91,9),'جرد - محرم بك'!$X$7:$X$91,0)))</f>
        <v/>
      </c>
      <c r="D40" s="37" t="str">
        <f aca="false">IF($A40="","",INDEX('جرد - محرم بك'!$O$7:$O$91,MATCH(LARGE('جرد - محرم بك'!$X$7:$X$91,9),'جرد - محرم بك'!$X$7:$X$91,0)))</f>
        <v/>
      </c>
    </row>
    <row r="41" customFormat="false" ht="15" hidden="false" customHeight="false" outlineLevel="0" collapsed="false">
      <c r="A41" s="34" t="str">
        <f aca="false">IF(LARGE('جرد - محرم بك'!$X$7:$X$91,10)&lt;=0,"",INDEX('جرد - محرم بك'!$A$7:$A$91,MATCH(LARGE('جرد - محرم بك'!$X$7:$X$91,10),'جرد - محرم بك'!$X$7:$X$91,0)))</f>
        <v/>
      </c>
      <c r="B41" s="35" t="str">
        <f aca="false">IF($A41="","",INDEX('جرد - محرم بك'!$M$7:$M$91,MATCH(LARGE('جرد - محرم بك'!$X$7:$X$91,10),'جرد - محرم بك'!$X$7:$X$91,0)))</f>
        <v/>
      </c>
      <c r="C41" s="36" t="str">
        <f aca="false">IF($A41="","",INDEX('جرد - محرم بك'!$B$7:$B$91,MATCH(LARGE('جرد - محرم بك'!$X$7:$X$91,10),'جرد - محرم بك'!$X$7:$X$91,0)))</f>
        <v/>
      </c>
      <c r="D41" s="37" t="str">
        <f aca="false">IF($A41="","",INDEX('جرد - محرم بك'!$O$7:$O$91,MATCH(LARGE('جرد - محرم بك'!$X$7:$X$91,10),'جرد - محرم بك'!$X$7:$X$91,0)))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ابراهيمية'!$X$7:$X$91,1)&lt;=0,"",INDEX('جرد - ابراهيمية'!$A$7:$A$91,MATCH(LARGE('جرد - ابراهيمية'!$X$7:$X$91,1),'جرد - ابراهيمية'!$X$7:$X$91,0)))</f>
        <v/>
      </c>
      <c r="B45" s="35" t="str">
        <f aca="false">IF($A45="","",INDEX('جرد - ابراهيمية'!$M$7:$M$91,MATCH(LARGE('جرد - ابراهيمية'!$X$7:$X$91,1),'جرد - ابراهيمية'!$X$7:$X$91,0)))</f>
        <v/>
      </c>
      <c r="C45" s="36" t="str">
        <f aca="false">IF($A45="","",INDEX('جرد - ابراهيمية'!$B$7:$B$91,MATCH(LARGE('جرد - ابراهيمية'!$X$7:$X$91,1),'جرد - ابراهيمية'!$X$7:$X$91,0)))</f>
        <v/>
      </c>
      <c r="D45" s="37" t="str">
        <f aca="false">IF($A45="","",INDEX('جرد - ابراهيمية'!$O$7:$O$91,MATCH(LARGE('جرد - ابراهيمية'!$X$7:$X$91,1),'جرد - ابراهيمية'!$X$7:$X$91,0)))</f>
        <v/>
      </c>
    </row>
    <row r="46" customFormat="false" ht="15" hidden="false" customHeight="false" outlineLevel="0" collapsed="false">
      <c r="A46" s="34" t="str">
        <f aca="false">IF(LARGE('جرد - ابراهيمية'!$X$7:$X$91,2)&lt;=0,"",INDEX('جرد - ابراهيمية'!$A$7:$A$91,MATCH(LARGE('جرد - ابراهيمية'!$X$7:$X$91,2),'جرد - ابراهيمية'!$X$7:$X$91,0)))</f>
        <v/>
      </c>
      <c r="B46" s="35" t="str">
        <f aca="false">IF($A46="","",INDEX('جرد - ابراهيمية'!$M$7:$M$91,MATCH(LARGE('جرد - ابراهيمية'!$X$7:$X$91,2),'جرد - ابراهيمية'!$X$7:$X$91,0)))</f>
        <v/>
      </c>
      <c r="C46" s="36" t="str">
        <f aca="false">IF($A46="","",INDEX('جرد - ابراهيمية'!$B$7:$B$91,MATCH(LARGE('جرد - ابراهيمية'!$X$7:$X$91,2),'جرد - ابراهيمية'!$X$7:$X$91,0)))</f>
        <v/>
      </c>
      <c r="D46" s="37" t="str">
        <f aca="false">IF($A46="","",INDEX('جرد - ابراهيمية'!$O$7:$O$91,MATCH(LARGE('جرد - ابراهيمية'!$X$7:$X$91,2),'جرد - ابراهيمية'!$X$7:$X$91,0)))</f>
        <v/>
      </c>
    </row>
    <row r="47" customFormat="false" ht="15" hidden="false" customHeight="false" outlineLevel="0" collapsed="false">
      <c r="A47" s="34" t="str">
        <f aca="false">IF(LARGE('جرد - ابراهيمية'!$X$7:$X$91,3)&lt;=0,"",INDEX('جرد - ابراهيمية'!$A$7:$A$91,MATCH(LARGE('جرد - ابراهيمية'!$X$7:$X$91,3),'جرد - ابراهيمية'!$X$7:$X$91,0)))</f>
        <v/>
      </c>
      <c r="B47" s="35" t="str">
        <f aca="false">IF($A47="","",INDEX('جرد - ابراهيمية'!$M$7:$M$91,MATCH(LARGE('جرد - ابراهيمية'!$X$7:$X$91,3),'جرد - ابراهيمية'!$X$7:$X$91,0)))</f>
        <v/>
      </c>
      <c r="C47" s="36" t="str">
        <f aca="false">IF($A47="","",INDEX('جرد - ابراهيمية'!$B$7:$B$91,MATCH(LARGE('جرد - ابراهيمية'!$X$7:$X$91,3),'جرد - ابراهيمية'!$X$7:$X$91,0)))</f>
        <v/>
      </c>
      <c r="D47" s="37" t="str">
        <f aca="false">IF($A47="","",INDEX('جرد - ابراهيمية'!$O$7:$O$91,MATCH(LARGE('جرد - ابراهيمية'!$X$7:$X$91,3),'جرد - ابراهيمية'!$X$7:$X$91,0)))</f>
        <v/>
      </c>
    </row>
    <row r="48" customFormat="false" ht="15" hidden="false" customHeight="false" outlineLevel="0" collapsed="false">
      <c r="A48" s="34" t="str">
        <f aca="false">IF(LARGE('جرد - ابراهيمية'!$X$7:$X$91,4)&lt;=0,"",INDEX('جرد - ابراهيمية'!$A$7:$A$91,MATCH(LARGE('جرد - ابراهيمية'!$X$7:$X$91,4),'جرد - ابراهيمية'!$X$7:$X$91,0)))</f>
        <v/>
      </c>
      <c r="B48" s="35" t="str">
        <f aca="false">IF($A48="","",INDEX('جرد - ابراهيمية'!$M$7:$M$91,MATCH(LARGE('جرد - ابراهيمية'!$X$7:$X$91,4),'جرد - ابراهيمية'!$X$7:$X$91,0)))</f>
        <v/>
      </c>
      <c r="C48" s="36" t="str">
        <f aca="false">IF($A48="","",INDEX('جرد - ابراهيمية'!$B$7:$B$91,MATCH(LARGE('جرد - ابراهيمية'!$X$7:$X$91,4),'جرد - ابراهيمية'!$X$7:$X$91,0)))</f>
        <v/>
      </c>
      <c r="D48" s="37" t="str">
        <f aca="false">IF($A48="","",INDEX('جرد - ابراهيمية'!$O$7:$O$91,MATCH(LARGE('جرد - ابراهيمية'!$X$7:$X$91,4),'جرد - ابراهيمية'!$X$7:$X$91,0)))</f>
        <v/>
      </c>
    </row>
    <row r="49" customFormat="false" ht="15" hidden="false" customHeight="false" outlineLevel="0" collapsed="false">
      <c r="A49" s="34" t="str">
        <f aca="false">IF(LARGE('جرد - ابراهيمية'!$X$7:$X$91,5)&lt;=0,"",INDEX('جرد - ابراهيمية'!$A$7:$A$91,MATCH(LARGE('جرد - ابراهيمية'!$X$7:$X$91,5),'جرد - ابراهيمية'!$X$7:$X$91,0)))</f>
        <v/>
      </c>
      <c r="B49" s="35" t="str">
        <f aca="false">IF($A49="","",INDEX('جرد - ابراهيمية'!$M$7:$M$91,MATCH(LARGE('جرد - ابراهيمية'!$X$7:$X$91,5),'جرد - ابراهيمية'!$X$7:$X$91,0)))</f>
        <v/>
      </c>
      <c r="C49" s="36" t="str">
        <f aca="false">IF($A49="","",INDEX('جرد - ابراهيمية'!$B$7:$B$91,MATCH(LARGE('جرد - ابراهيمية'!$X$7:$X$91,5),'جرد - ابراهيمية'!$X$7:$X$91,0)))</f>
        <v/>
      </c>
      <c r="D49" s="37" t="str">
        <f aca="false">IF($A49="","",INDEX('جرد - ابراهيمية'!$O$7:$O$91,MATCH(LARGE('جرد - ابراهيمية'!$X$7:$X$91,5),'جرد - ابراهيمية'!$X$7:$X$91,0)))</f>
        <v/>
      </c>
    </row>
    <row r="50" customFormat="false" ht="15" hidden="false" customHeight="false" outlineLevel="0" collapsed="false">
      <c r="A50" s="34" t="str">
        <f aca="false">IF(LARGE('جرد - ابراهيمية'!$X$7:$X$91,6)&lt;=0,"",INDEX('جرد - ابراهيمية'!$A$7:$A$91,MATCH(LARGE('جرد - ابراهيمية'!$X$7:$X$91,6),'جرد - ابراهيمية'!$X$7:$X$91,0)))</f>
        <v/>
      </c>
      <c r="B50" s="35" t="str">
        <f aca="false">IF($A50="","",INDEX('جرد - ابراهيمية'!$M$7:$M$91,MATCH(LARGE('جرد - ابراهيمية'!$X$7:$X$91,6),'جرد - ابراهيمية'!$X$7:$X$91,0)))</f>
        <v/>
      </c>
      <c r="C50" s="36" t="str">
        <f aca="false">IF($A50="","",INDEX('جرد - ابراهيمية'!$B$7:$B$91,MATCH(LARGE('جرد - ابراهيمية'!$X$7:$X$91,6),'جرد - ابراهيمية'!$X$7:$X$91,0)))</f>
        <v/>
      </c>
      <c r="D50" s="37" t="str">
        <f aca="false">IF($A50="","",INDEX('جرد - ابراهيمية'!$O$7:$O$91,MATCH(LARGE('جرد - ابراهيمية'!$X$7:$X$91,6),'جرد - ابراهيمية'!$X$7:$X$91,0)))</f>
        <v/>
      </c>
    </row>
    <row r="51" customFormat="false" ht="15" hidden="false" customHeight="false" outlineLevel="0" collapsed="false">
      <c r="A51" s="34" t="str">
        <f aca="false">IF(LARGE('جرد - ابراهيمية'!$X$7:$X$91,7)&lt;=0,"",INDEX('جرد - ابراهيمية'!$A$7:$A$91,MATCH(LARGE('جرد - ابراهيمية'!$X$7:$X$91,7),'جرد - ابراهيمية'!$X$7:$X$91,0)))</f>
        <v/>
      </c>
      <c r="B51" s="35" t="str">
        <f aca="false">IF($A51="","",INDEX('جرد - ابراهيمية'!$M$7:$M$91,MATCH(LARGE('جرد - ابراهيمية'!$X$7:$X$91,7),'جرد - ابراهيمية'!$X$7:$X$91,0)))</f>
        <v/>
      </c>
      <c r="C51" s="36" t="str">
        <f aca="false">IF($A51="","",INDEX('جرد - ابراهيمية'!$B$7:$B$91,MATCH(LARGE('جرد - ابراهيمية'!$X$7:$X$91,7),'جرد - ابراهيمية'!$X$7:$X$91,0)))</f>
        <v/>
      </c>
      <c r="D51" s="37" t="str">
        <f aca="false">IF($A51="","",INDEX('جرد - ابراهيمية'!$O$7:$O$91,MATCH(LARGE('جرد - ابراهيمية'!$X$7:$X$91,7),'جرد - ابراهيمية'!$X$7:$X$91,0)))</f>
        <v/>
      </c>
    </row>
    <row r="52" customFormat="false" ht="15" hidden="false" customHeight="false" outlineLevel="0" collapsed="false">
      <c r="A52" s="34" t="str">
        <f aca="false">IF(LARGE('جرد - ابراهيمية'!$X$7:$X$91,8)&lt;=0,"",INDEX('جرد - ابراهيمية'!$A$7:$A$91,MATCH(LARGE('جرد - ابراهيمية'!$X$7:$X$91,8),'جرد - ابراهيمية'!$X$7:$X$91,0)))</f>
        <v/>
      </c>
      <c r="B52" s="35" t="str">
        <f aca="false">IF($A52="","",INDEX('جرد - ابراهيمية'!$M$7:$M$91,MATCH(LARGE('جرد - ابراهيمية'!$X$7:$X$91,8),'جرد - ابراهيمية'!$X$7:$X$91,0)))</f>
        <v/>
      </c>
      <c r="C52" s="36" t="str">
        <f aca="false">IF($A52="","",INDEX('جرد - ابراهيمية'!$B$7:$B$91,MATCH(LARGE('جرد - ابراهيمية'!$X$7:$X$91,8),'جرد - ابراهيمية'!$X$7:$X$91,0)))</f>
        <v/>
      </c>
      <c r="D52" s="37" t="str">
        <f aca="false">IF($A52="","",INDEX('جرد - ابراهيمية'!$O$7:$O$91,MATCH(LARGE('جرد - ابراهيمية'!$X$7:$X$91,8),'جرد - ابراهيمية'!$X$7:$X$91,0)))</f>
        <v/>
      </c>
    </row>
    <row r="53" customFormat="false" ht="15" hidden="false" customHeight="false" outlineLevel="0" collapsed="false">
      <c r="A53" s="34" t="str">
        <f aca="false">IF(LARGE('جرد - ابراهيمية'!$X$7:$X$91,9)&lt;=0,"",INDEX('جرد - ابراهيمية'!$A$7:$A$91,MATCH(LARGE('جرد - ابراهيمية'!$X$7:$X$91,9),'جرد - ابراهيمية'!$X$7:$X$91,0)))</f>
        <v/>
      </c>
      <c r="B53" s="35" t="str">
        <f aca="false">IF($A53="","",INDEX('جرد - ابراهيمية'!$M$7:$M$91,MATCH(LARGE('جرد - ابراهيمية'!$X$7:$X$91,9),'جرد - ابراهيمية'!$X$7:$X$91,0)))</f>
        <v/>
      </c>
      <c r="C53" s="36" t="str">
        <f aca="false">IF($A53="","",INDEX('جرد - ابراهيمية'!$B$7:$B$91,MATCH(LARGE('جرد - ابراهيمية'!$X$7:$X$91,9),'جرد - ابراهيمية'!$X$7:$X$91,0)))</f>
        <v/>
      </c>
      <c r="D53" s="37" t="str">
        <f aca="false">IF($A53="","",INDEX('جرد - ابراهيمية'!$O$7:$O$91,MATCH(LARGE('جرد - ابراهيمية'!$X$7:$X$91,9),'جرد - ابراهيمية'!$X$7:$X$91,0)))</f>
        <v/>
      </c>
    </row>
    <row r="54" customFormat="false" ht="15" hidden="false" customHeight="false" outlineLevel="0" collapsed="false">
      <c r="A54" s="34" t="str">
        <f aca="false">IF(LARGE('جرد - ابراهيمية'!$X$7:$X$91,10)&lt;=0,"",INDEX('جرد - ابراهيمية'!$A$7:$A$91,MATCH(LARGE('جرد - ابراهيمية'!$X$7:$X$91,10),'جرد - ابراهيمية'!$X$7:$X$91,0)))</f>
        <v/>
      </c>
      <c r="B54" s="35" t="str">
        <f aca="false">IF($A54="","",INDEX('جرد - ابراهيمية'!$M$7:$M$91,MATCH(LARGE('جرد - ابراهيمية'!$X$7:$X$91,10),'جرد - ابراهيمية'!$X$7:$X$91,0)))</f>
        <v/>
      </c>
      <c r="C54" s="36" t="str">
        <f aca="false">IF($A54="","",INDEX('جرد - ابراهيمية'!$B$7:$B$91,MATCH(LARGE('جرد - ابراهيمية'!$X$7:$X$91,10),'جرد - ابراهيمية'!$X$7:$X$91,0)))</f>
        <v/>
      </c>
      <c r="D54" s="37" t="str">
        <f aca="false">IF($A54="","",INDEX('جرد - ابراهيمية'!$O$7:$O$91,MATCH(LARGE('جرد - ابراهيمية'!$X$7:$X$91,10),'جرد - ابراهيمية'!$X$7:$X$91,0)))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عصافرة'!$X$7:$X$91,1)&lt;=0,"",INDEX('جرد - عصافرة'!$A$7:$A$91,MATCH(LARGE('جرد - عصافرة'!$X$7:$X$91,1),'جرد - عصافرة'!$X$7:$X$91,0)))</f>
        <v/>
      </c>
      <c r="B58" s="35" t="str">
        <f aca="false">IF($A58="","",INDEX('جرد - عصافرة'!$M$7:$M$91,MATCH(LARGE('جرد - عصافرة'!$X$7:$X$91,1),'جرد - عصافرة'!$X$7:$X$91,0)))</f>
        <v/>
      </c>
      <c r="C58" s="36" t="str">
        <f aca="false">IF($A58="","",INDEX('جرد - عصافرة'!$B$7:$B$91,MATCH(LARGE('جرد - عصافرة'!$X$7:$X$91,1),'جرد - عصافرة'!$X$7:$X$91,0)))</f>
        <v/>
      </c>
      <c r="D58" s="37" t="str">
        <f aca="false">IF($A58="","",INDEX('جرد - عصافرة'!$O$7:$O$91,MATCH(LARGE('جرد - عصافرة'!$X$7:$X$91,1),'جرد - عصافرة'!$X$7:$X$91,0)))</f>
        <v/>
      </c>
    </row>
    <row r="59" customFormat="false" ht="15" hidden="false" customHeight="false" outlineLevel="0" collapsed="false">
      <c r="A59" s="34" t="str">
        <f aca="false">IF(LARGE('جرد - عصافرة'!$X$7:$X$91,2)&lt;=0,"",INDEX('جرد - عصافرة'!$A$7:$A$91,MATCH(LARGE('جرد - عصافرة'!$X$7:$X$91,2),'جرد - عصافرة'!$X$7:$X$91,0)))</f>
        <v/>
      </c>
      <c r="B59" s="35" t="str">
        <f aca="false">IF($A59="","",INDEX('جرد - عصافرة'!$M$7:$M$91,MATCH(LARGE('جرد - عصافرة'!$X$7:$X$91,2),'جرد - عصافرة'!$X$7:$X$91,0)))</f>
        <v/>
      </c>
      <c r="C59" s="36" t="str">
        <f aca="false">IF($A59="","",INDEX('جرد - عصافرة'!$B$7:$B$91,MATCH(LARGE('جرد - عصافرة'!$X$7:$X$91,2),'جرد - عصافرة'!$X$7:$X$91,0)))</f>
        <v/>
      </c>
      <c r="D59" s="37" t="str">
        <f aca="false">IF($A59="","",INDEX('جرد - عصافرة'!$O$7:$O$91,MATCH(LARGE('جرد - عصافرة'!$X$7:$X$91,2),'جرد - عصافرة'!$X$7:$X$91,0)))</f>
        <v/>
      </c>
    </row>
    <row r="60" customFormat="false" ht="15" hidden="false" customHeight="false" outlineLevel="0" collapsed="false">
      <c r="A60" s="34" t="str">
        <f aca="false">IF(LARGE('جرد - عصافرة'!$X$7:$X$91,3)&lt;=0,"",INDEX('جرد - عصافرة'!$A$7:$A$91,MATCH(LARGE('جرد - عصافرة'!$X$7:$X$91,3),'جرد - عصافرة'!$X$7:$X$91,0)))</f>
        <v/>
      </c>
      <c r="B60" s="35" t="str">
        <f aca="false">IF($A60="","",INDEX('جرد - عصافرة'!$M$7:$M$91,MATCH(LARGE('جرد - عصافرة'!$X$7:$X$91,3),'جرد - عصافرة'!$X$7:$X$91,0)))</f>
        <v/>
      </c>
      <c r="C60" s="36" t="str">
        <f aca="false">IF($A60="","",INDEX('جرد - عصافرة'!$B$7:$B$91,MATCH(LARGE('جرد - عصافرة'!$X$7:$X$91,3),'جرد - عصافرة'!$X$7:$X$91,0)))</f>
        <v/>
      </c>
      <c r="D60" s="37" t="str">
        <f aca="false">IF($A60="","",INDEX('جرد - عصافرة'!$O$7:$O$91,MATCH(LARGE('جرد - عصافرة'!$X$7:$X$91,3),'جرد - عصافرة'!$X$7:$X$91,0)))</f>
        <v/>
      </c>
    </row>
    <row r="61" customFormat="false" ht="15" hidden="false" customHeight="false" outlineLevel="0" collapsed="false">
      <c r="A61" s="34" t="str">
        <f aca="false">IF(LARGE('جرد - عصافرة'!$X$7:$X$91,4)&lt;=0,"",INDEX('جرد - عصافرة'!$A$7:$A$91,MATCH(LARGE('جرد - عصافرة'!$X$7:$X$91,4),'جرد - عصافرة'!$X$7:$X$91,0)))</f>
        <v/>
      </c>
      <c r="B61" s="35" t="str">
        <f aca="false">IF($A61="","",INDEX('جرد - عصافرة'!$M$7:$M$91,MATCH(LARGE('جرد - عصافرة'!$X$7:$X$91,4),'جرد - عصافرة'!$X$7:$X$91,0)))</f>
        <v/>
      </c>
      <c r="C61" s="36" t="str">
        <f aca="false">IF($A61="","",INDEX('جرد - عصافرة'!$B$7:$B$91,MATCH(LARGE('جرد - عصافرة'!$X$7:$X$91,4),'جرد - عصافرة'!$X$7:$X$91,0)))</f>
        <v/>
      </c>
      <c r="D61" s="37" t="str">
        <f aca="false">IF($A61="","",INDEX('جرد - عصافرة'!$O$7:$O$91,MATCH(LARGE('جرد - عصافرة'!$X$7:$X$91,4),'جرد - عصافرة'!$X$7:$X$91,0)))</f>
        <v/>
      </c>
    </row>
    <row r="62" customFormat="false" ht="15" hidden="false" customHeight="false" outlineLevel="0" collapsed="false">
      <c r="A62" s="34" t="str">
        <f aca="false">IF(LARGE('جرد - عصافرة'!$X$7:$X$91,5)&lt;=0,"",INDEX('جرد - عصافرة'!$A$7:$A$91,MATCH(LARGE('جرد - عصافرة'!$X$7:$X$91,5),'جرد - عصافرة'!$X$7:$X$91,0)))</f>
        <v/>
      </c>
      <c r="B62" s="35" t="str">
        <f aca="false">IF($A62="","",INDEX('جرد - عصافرة'!$M$7:$M$91,MATCH(LARGE('جرد - عصافرة'!$X$7:$X$91,5),'جرد - عصافرة'!$X$7:$X$91,0)))</f>
        <v/>
      </c>
      <c r="C62" s="36" t="str">
        <f aca="false">IF($A62="","",INDEX('جرد - عصافرة'!$B$7:$B$91,MATCH(LARGE('جرد - عصافرة'!$X$7:$X$91,5),'جرد - عصافرة'!$X$7:$X$91,0)))</f>
        <v/>
      </c>
      <c r="D62" s="37" t="str">
        <f aca="false">IF($A62="","",INDEX('جرد - عصافرة'!$O$7:$O$91,MATCH(LARGE('جرد - عصافرة'!$X$7:$X$91,5),'جرد - عصافرة'!$X$7:$X$91,0)))</f>
        <v/>
      </c>
    </row>
    <row r="63" customFormat="false" ht="15" hidden="false" customHeight="false" outlineLevel="0" collapsed="false">
      <c r="A63" s="34" t="str">
        <f aca="false">IF(LARGE('جرد - عصافرة'!$X$7:$X$91,6)&lt;=0,"",INDEX('جرد - عصافرة'!$A$7:$A$91,MATCH(LARGE('جرد - عصافرة'!$X$7:$X$91,6),'جرد - عصافرة'!$X$7:$X$91,0)))</f>
        <v/>
      </c>
      <c r="B63" s="35" t="str">
        <f aca="false">IF($A63="","",INDEX('جرد - عصافرة'!$M$7:$M$91,MATCH(LARGE('جرد - عصافرة'!$X$7:$X$91,6),'جرد - عصافرة'!$X$7:$X$91,0)))</f>
        <v/>
      </c>
      <c r="C63" s="36" t="str">
        <f aca="false">IF($A63="","",INDEX('جرد - عصافرة'!$B$7:$B$91,MATCH(LARGE('جرد - عصافرة'!$X$7:$X$91,6),'جرد - عصافرة'!$X$7:$X$91,0)))</f>
        <v/>
      </c>
      <c r="D63" s="37" t="str">
        <f aca="false">IF($A63="","",INDEX('جرد - عصافرة'!$O$7:$O$91,MATCH(LARGE('جرد - عصافرة'!$X$7:$X$91,6),'جرد - عصافرة'!$X$7:$X$91,0)))</f>
        <v/>
      </c>
    </row>
    <row r="64" customFormat="false" ht="15" hidden="false" customHeight="false" outlineLevel="0" collapsed="false">
      <c r="A64" s="34" t="str">
        <f aca="false">IF(LARGE('جرد - عصافرة'!$X$7:$X$91,7)&lt;=0,"",INDEX('جرد - عصافرة'!$A$7:$A$91,MATCH(LARGE('جرد - عصافرة'!$X$7:$X$91,7),'جرد - عصافرة'!$X$7:$X$91,0)))</f>
        <v/>
      </c>
      <c r="B64" s="35" t="str">
        <f aca="false">IF($A64="","",INDEX('جرد - عصافرة'!$M$7:$M$91,MATCH(LARGE('جرد - عصافرة'!$X$7:$X$91,7),'جرد - عصافرة'!$X$7:$X$91,0)))</f>
        <v/>
      </c>
      <c r="C64" s="36" t="str">
        <f aca="false">IF($A64="","",INDEX('جرد - عصافرة'!$B$7:$B$91,MATCH(LARGE('جرد - عصافرة'!$X$7:$X$91,7),'جرد - عصافرة'!$X$7:$X$91,0)))</f>
        <v/>
      </c>
      <c r="D64" s="37" t="str">
        <f aca="false">IF($A64="","",INDEX('جرد - عصافرة'!$O$7:$O$91,MATCH(LARGE('جرد - عصافرة'!$X$7:$X$91,7),'جرد - عصافرة'!$X$7:$X$91,0)))</f>
        <v/>
      </c>
    </row>
    <row r="65" customFormat="false" ht="15" hidden="false" customHeight="false" outlineLevel="0" collapsed="false">
      <c r="A65" s="34" t="str">
        <f aca="false">IF(LARGE('جرد - عصافرة'!$X$7:$X$91,8)&lt;=0,"",INDEX('جرد - عصافرة'!$A$7:$A$91,MATCH(LARGE('جرد - عصافرة'!$X$7:$X$91,8),'جرد - عصافرة'!$X$7:$X$91,0)))</f>
        <v/>
      </c>
      <c r="B65" s="35" t="str">
        <f aca="false">IF($A65="","",INDEX('جرد - عصافرة'!$M$7:$M$91,MATCH(LARGE('جرد - عصافرة'!$X$7:$X$91,8),'جرد - عصافرة'!$X$7:$X$91,0)))</f>
        <v/>
      </c>
      <c r="C65" s="36" t="str">
        <f aca="false">IF($A65="","",INDEX('جرد - عصافرة'!$B$7:$B$91,MATCH(LARGE('جرد - عصافرة'!$X$7:$X$91,8),'جرد - عصافرة'!$X$7:$X$91,0)))</f>
        <v/>
      </c>
      <c r="D65" s="37" t="str">
        <f aca="false">IF($A65="","",INDEX('جرد - عصافرة'!$O$7:$O$91,MATCH(LARGE('جرد - عصافرة'!$X$7:$X$91,8),'جرد - عصافرة'!$X$7:$X$91,0)))</f>
        <v/>
      </c>
    </row>
    <row r="66" customFormat="false" ht="15" hidden="false" customHeight="false" outlineLevel="0" collapsed="false">
      <c r="A66" s="34" t="str">
        <f aca="false">IF(LARGE('جرد - عصافرة'!$X$7:$X$91,9)&lt;=0,"",INDEX('جرد - عصافرة'!$A$7:$A$91,MATCH(LARGE('جرد - عصافرة'!$X$7:$X$91,9),'جرد - عصافرة'!$X$7:$X$91,0)))</f>
        <v/>
      </c>
      <c r="B66" s="35" t="str">
        <f aca="false">IF($A66="","",INDEX('جرد - عصافرة'!$M$7:$M$91,MATCH(LARGE('جرد - عصافرة'!$X$7:$X$91,9),'جرد - عصافرة'!$X$7:$X$91,0)))</f>
        <v/>
      </c>
      <c r="C66" s="36" t="str">
        <f aca="false">IF($A66="","",INDEX('جرد - عصافرة'!$B$7:$B$91,MATCH(LARGE('جرد - عصافرة'!$X$7:$X$91,9),'جرد - عصافرة'!$X$7:$X$91,0)))</f>
        <v/>
      </c>
      <c r="D66" s="37" t="str">
        <f aca="false">IF($A66="","",INDEX('جرد - عصافرة'!$O$7:$O$91,MATCH(LARGE('جرد - عصافرة'!$X$7:$X$91,9),'جرد - عصافرة'!$X$7:$X$91,0)))</f>
        <v/>
      </c>
    </row>
    <row r="67" customFormat="false" ht="15" hidden="false" customHeight="false" outlineLevel="0" collapsed="false">
      <c r="A67" s="34" t="str">
        <f aca="false">IF(LARGE('جرد - عصافرة'!$X$7:$X$91,10)&lt;=0,"",INDEX('جرد - عصافرة'!$A$7:$A$91,MATCH(LARGE('جرد - عصافرة'!$X$7:$X$91,10),'جرد - عصافرة'!$X$7:$X$91,0)))</f>
        <v/>
      </c>
      <c r="B67" s="35" t="str">
        <f aca="false">IF($A67="","",INDEX('جرد - عصافرة'!$M$7:$M$91,MATCH(LARGE('جرد - عصافرة'!$X$7:$X$91,10),'جرد - عصافرة'!$X$7:$X$91,0)))</f>
        <v/>
      </c>
      <c r="C67" s="36" t="str">
        <f aca="false">IF($A67="","",INDEX('جرد - عصافرة'!$B$7:$B$91,MATCH(LARGE('جرد - عصافرة'!$X$7:$X$91,10),'جرد - عصافرة'!$X$7:$X$91,0)))</f>
        <v/>
      </c>
      <c r="D67" s="37" t="str">
        <f aca="false">IF($A67="","",INDEX('جرد - عصافرة'!$O$7:$O$91,MATCH(LARGE('جرد - عصافرة'!$X$7:$X$91,10),'جرد - عصافرة'!$X$7:$X$91,0)))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يومية'!$F$2:$F$8001,'مبيعات يومية'!$B$2:$B$8001,'إعدادات المخزون'!$A$15,'مبيعات يومية'!$A$2:$A$8001,$A72)</f>
        <v>0</v>
      </c>
      <c r="C72" s="39" t="n">
        <f aca="false">SUMIFS('مبيعات يومية'!$F$2:$F$8001,'مبيعات يومية'!$B$2:$B$8001,'إعدادات المخزون'!$A$16,'مبيعات يومية'!$A$2:$A$8001,$A72)</f>
        <v>0</v>
      </c>
      <c r="D72" s="39" t="n">
        <f aca="false">SUMIFS('مبيعات يومية'!$F$2:$F$8001,'مبيعات يومية'!$B$2:$B$8001,'إعدادات المخزون'!$A$17,'مبيعات يومية'!$A$2:$A$8001,$A72)</f>
        <v>0</v>
      </c>
      <c r="E72" s="39" t="n">
        <f aca="false">SUM(B72:D72)</f>
        <v>0</v>
      </c>
      <c r="F72" s="39" t="n">
        <f aca="false">SUMIFS('مشتريات يومية'!$E$2:$E$4001,'مشتريات يومية'!$A$2:$A$4001,$A72)</f>
        <v>488165.53</v>
      </c>
      <c r="G72" s="39" t="n">
        <f aca="false">SUMIFS('مبيعات يومية'!$G$2:$G$8001,'مبيعات يومية'!$A$2:$A$8001,$A72)</f>
        <v>0</v>
      </c>
    </row>
    <row r="73" customFormat="false" ht="15" hidden="false" customHeight="false" outlineLevel="0" collapsed="false">
      <c r="A73" s="38" t="n">
        <f aca="false">'إعدادات المخزون'!$B$5+1</f>
        <v>46297</v>
      </c>
      <c r="B73" s="39" t="n">
        <f aca="false">SUMIFS('مبيعات يومية'!$F$2:$F$8001,'مبيعات يومية'!$B$2:$B$8001,'إعدادات المخزون'!$A$15,'مبيعات يومية'!$A$2:$A$8001,$A73)</f>
        <v>0</v>
      </c>
      <c r="C73" s="39" t="n">
        <f aca="false">SUMIFS('مبيعات يومية'!$F$2:$F$8001,'مبيعات يومية'!$B$2:$B$8001,'إعدادات المخزون'!$A$16,'مبيعات يومية'!$A$2:$A$8001,$A73)</f>
        <v>0</v>
      </c>
      <c r="D73" s="39" t="n">
        <f aca="false">SUMIFS('مبيعات يومية'!$F$2:$F$8001,'مبيعات يومية'!$B$2:$B$8001,'إعدادات المخزون'!$A$17,'مبيعات يومية'!$A$2:$A$8001,$A73)</f>
        <v>0</v>
      </c>
      <c r="E73" s="39" t="n">
        <f aca="false">SUM(B73:D73)</f>
        <v>0</v>
      </c>
      <c r="F73" s="39" t="n">
        <f aca="false">SUMIFS('مشتريات يومية'!$E$2:$E$4001,'مشتريات يومية'!$A$2:$A$4001,$A73)</f>
        <v>0</v>
      </c>
      <c r="G73" s="39" t="n">
        <f aca="false">SUMIFS('مبيعات يومية'!$G$2:$G$8001,'مبيعات يومية'!$A$2:$A$8001,$A73)</f>
        <v>0</v>
      </c>
    </row>
    <row r="74" customFormat="false" ht="15" hidden="false" customHeight="false" outlineLevel="0" collapsed="false">
      <c r="A74" s="38" t="n">
        <f aca="false">'إعدادات المخزون'!$B$5+2</f>
        <v>46298</v>
      </c>
      <c r="B74" s="39" t="n">
        <f aca="false">SUMIFS('مبيعات يومية'!$F$2:$F$8001,'مبيعات يومية'!$B$2:$B$8001,'إعدادات المخزون'!$A$15,'مبيعات يومية'!$A$2:$A$8001,$A74)</f>
        <v>0</v>
      </c>
      <c r="C74" s="39" t="n">
        <f aca="false">SUMIFS('مبيعات يومية'!$F$2:$F$8001,'مبيعات يومية'!$B$2:$B$8001,'إعدادات المخزون'!$A$16,'مبيعات يومية'!$A$2:$A$8001,$A74)</f>
        <v>0</v>
      </c>
      <c r="D74" s="39" t="n">
        <f aca="false">SUMIFS('مبيعات يومية'!$F$2:$F$8001,'مبيعات يومية'!$B$2:$B$8001,'إعدادات المخزون'!$A$17,'مبيعات يومية'!$A$2:$A$8001,$A74)</f>
        <v>0</v>
      </c>
      <c r="E74" s="39" t="n">
        <f aca="false">SUM(B74:D74)</f>
        <v>0</v>
      </c>
      <c r="F74" s="39" t="n">
        <f aca="false">SUMIFS('مشتريات يومية'!$E$2:$E$4001,'مشتريات يومية'!$A$2:$A$4001,$A74)</f>
        <v>0</v>
      </c>
      <c r="G74" s="39" t="n">
        <f aca="false">SUMIFS('مبيعات يومية'!$G$2:$G$8001,'مبيعات يومية'!$A$2:$A$8001,$A74)</f>
        <v>0</v>
      </c>
    </row>
    <row r="75" customFormat="false" ht="15" hidden="false" customHeight="false" outlineLevel="0" collapsed="false">
      <c r="A75" s="38" t="n">
        <f aca="false">'إعدادات المخزون'!$B$5+3</f>
        <v>46299</v>
      </c>
      <c r="B75" s="39" t="n">
        <f aca="false">SUMIFS('مبيعات يومية'!$F$2:$F$8001,'مبيعات يومية'!$B$2:$B$8001,'إعدادات المخزون'!$A$15,'مبيعات يومية'!$A$2:$A$8001,$A75)</f>
        <v>0</v>
      </c>
      <c r="C75" s="39" t="n">
        <f aca="false">SUMIFS('مبيعات يومية'!$F$2:$F$8001,'مبيعات يومية'!$B$2:$B$8001,'إعدادات المخزون'!$A$16,'مبيعات يومية'!$A$2:$A$8001,$A75)</f>
        <v>0</v>
      </c>
      <c r="D75" s="39" t="n">
        <f aca="false">SUMIFS('مبيعات يومية'!$F$2:$F$8001,'مبيعات يومية'!$B$2:$B$8001,'إعدادات المخزون'!$A$17,'مبيعات يومية'!$A$2:$A$8001,$A75)</f>
        <v>0</v>
      </c>
      <c r="E75" s="39" t="n">
        <f aca="false">SUM(B75:D75)</f>
        <v>0</v>
      </c>
      <c r="F75" s="39" t="n">
        <f aca="false">SUMIFS('مشتريات يومية'!$E$2:$E$4001,'مشتريات يومية'!$A$2:$A$4001,$A75)</f>
        <v>0</v>
      </c>
      <c r="G75" s="39" t="n">
        <f aca="false">SUMIFS('مبيعات يومية'!$G$2:$G$8001,'مبيعات يومية'!$A$2:$A$8001,$A75)</f>
        <v>0</v>
      </c>
    </row>
    <row r="76" customFormat="false" ht="15" hidden="false" customHeight="false" outlineLevel="0" collapsed="false">
      <c r="A76" s="38" t="n">
        <f aca="false">'إعدادات المخزون'!$B$5+4</f>
        <v>46300</v>
      </c>
      <c r="B76" s="39" t="n">
        <f aca="false">SUMIFS('مبيعات يومية'!$F$2:$F$8001,'مبيعات يومية'!$B$2:$B$8001,'إعدادات المخزون'!$A$15,'مبيعات يومية'!$A$2:$A$8001,$A76)</f>
        <v>0</v>
      </c>
      <c r="C76" s="39" t="n">
        <f aca="false">SUMIFS('مبيعات يومية'!$F$2:$F$8001,'مبيعات يومية'!$B$2:$B$8001,'إعدادات المخزون'!$A$16,'مبيعات يومية'!$A$2:$A$8001,$A76)</f>
        <v>0</v>
      </c>
      <c r="D76" s="39" t="n">
        <f aca="false">SUMIFS('مبيعات يومية'!$F$2:$F$8001,'مبيعات يومية'!$B$2:$B$8001,'إعدادات المخزون'!$A$17,'مبيعات يومية'!$A$2:$A$8001,$A76)</f>
        <v>0</v>
      </c>
      <c r="E76" s="39" t="n">
        <f aca="false">SUM(B76:D76)</f>
        <v>0</v>
      </c>
      <c r="F76" s="39" t="n">
        <f aca="false">SUMIFS('مشتريات يومية'!$E$2:$E$4001,'مشتريات يومية'!$A$2:$A$4001,$A76)</f>
        <v>0</v>
      </c>
      <c r="G76" s="39" t="n">
        <f aca="false">SUMIFS('مبيعات يومية'!$G$2:$G$8001,'مبيعات يومية'!$A$2:$A$8001,$A76)</f>
        <v>0</v>
      </c>
    </row>
    <row r="77" customFormat="false" ht="15" hidden="false" customHeight="false" outlineLevel="0" collapsed="false">
      <c r="A77" s="38" t="n">
        <f aca="false">'إعدادات المخزون'!$B$5+5</f>
        <v>46301</v>
      </c>
      <c r="B77" s="39" t="n">
        <f aca="false">SUMIFS('مبيعات يومية'!$F$2:$F$8001,'مبيعات يومية'!$B$2:$B$8001,'إعدادات المخزون'!$A$15,'مبيعات يومية'!$A$2:$A$8001,$A77)</f>
        <v>0</v>
      </c>
      <c r="C77" s="39" t="n">
        <f aca="false">SUMIFS('مبيعات يومية'!$F$2:$F$8001,'مبيعات يومية'!$B$2:$B$8001,'إعدادات المخزون'!$A$16,'مبيعات يومية'!$A$2:$A$8001,$A77)</f>
        <v>0</v>
      </c>
      <c r="D77" s="39" t="n">
        <f aca="false">SUMIFS('مبيعات يومية'!$F$2:$F$8001,'مبيعات يومية'!$B$2:$B$8001,'إعدادات المخزون'!$A$17,'مبيعات يومية'!$A$2:$A$8001,$A77)</f>
        <v>0</v>
      </c>
      <c r="E77" s="39" t="n">
        <f aca="false">SUM(B77:D77)</f>
        <v>0</v>
      </c>
      <c r="F77" s="39" t="n">
        <f aca="false">SUMIFS('مشتريات يومية'!$E$2:$E$4001,'مشتريات يومية'!$A$2:$A$4001,$A77)</f>
        <v>0</v>
      </c>
      <c r="G77" s="39" t="n">
        <f aca="false">SUMIFS('مبيعات يومية'!$G$2:$G$8001,'مبيعات يومية'!$A$2:$A$8001,$A77)</f>
        <v>0</v>
      </c>
    </row>
    <row r="78" customFormat="false" ht="15" hidden="false" customHeight="false" outlineLevel="0" collapsed="false">
      <c r="A78" s="38" t="n">
        <f aca="false">'إعدادات المخزون'!$B$5+6</f>
        <v>46302</v>
      </c>
      <c r="B78" s="39" t="n">
        <f aca="false">SUMIFS('مبيعات يومية'!$F$2:$F$8001,'مبيعات يومية'!$B$2:$B$8001,'إعدادات المخزون'!$A$15,'مبيعات يومية'!$A$2:$A$8001,$A78)</f>
        <v>0</v>
      </c>
      <c r="C78" s="39" t="n">
        <f aca="false">SUMIFS('مبيعات يومية'!$F$2:$F$8001,'مبيعات يومية'!$B$2:$B$8001,'إعدادات المخزون'!$A$16,'مبيعات يومية'!$A$2:$A$8001,$A78)</f>
        <v>0</v>
      </c>
      <c r="D78" s="39" t="n">
        <f aca="false">SUMIFS('مبيعات يومية'!$F$2:$F$8001,'مبيعات يومية'!$B$2:$B$8001,'إعدادات المخزون'!$A$17,'مبيعات يومية'!$A$2:$A$8001,$A78)</f>
        <v>0</v>
      </c>
      <c r="E78" s="39" t="n">
        <f aca="false">SUM(B78:D78)</f>
        <v>0</v>
      </c>
      <c r="F78" s="39" t="n">
        <f aca="false">SUMIFS('مشتريات يومية'!$E$2:$E$4001,'مشتريات يومية'!$A$2:$A$4001,$A78)</f>
        <v>0</v>
      </c>
      <c r="G78" s="39" t="n">
        <f aca="false">SUMIFS('مبيعات يومية'!$G$2:$G$8001,'مبيعات يومية'!$A$2:$A$8001,$A78)</f>
        <v>0</v>
      </c>
    </row>
    <row r="79" customFormat="false" ht="15" hidden="false" customHeight="false" outlineLevel="0" collapsed="false">
      <c r="A79" s="38" t="n">
        <f aca="false">'إعدادات المخزون'!$B$5+7</f>
        <v>46303</v>
      </c>
      <c r="B79" s="39" t="n">
        <f aca="false">SUMIFS('مبيعات يومية'!$F$2:$F$8001,'مبيعات يومية'!$B$2:$B$8001,'إعدادات المخزون'!$A$15,'مبيعات يومية'!$A$2:$A$8001,$A79)</f>
        <v>0</v>
      </c>
      <c r="C79" s="39" t="n">
        <f aca="false">SUMIFS('مبيعات يومية'!$F$2:$F$8001,'مبيعات يومية'!$B$2:$B$8001,'إعدادات المخزون'!$A$16,'مبيعات يومية'!$A$2:$A$8001,$A79)</f>
        <v>0</v>
      </c>
      <c r="D79" s="39" t="n">
        <f aca="false">SUMIFS('مبيعات يومية'!$F$2:$F$8001,'مبيعات يومية'!$B$2:$B$8001,'إعدادات المخزون'!$A$17,'مبيعات يومية'!$A$2:$A$8001,$A79)</f>
        <v>0</v>
      </c>
      <c r="E79" s="39" t="n">
        <f aca="false">SUM(B79:D79)</f>
        <v>0</v>
      </c>
      <c r="F79" s="39" t="n">
        <f aca="false">SUMIFS('مشتريات يومية'!$E$2:$E$4001,'مشتريات يومية'!$A$2:$A$4001,$A79)</f>
        <v>0</v>
      </c>
      <c r="G79" s="39" t="n">
        <f aca="false">SUMIFS('مبيعات يومية'!$G$2:$G$8001,'مبيعات يومية'!$A$2:$A$8001,$A79)</f>
        <v>0</v>
      </c>
    </row>
    <row r="80" customFormat="false" ht="15" hidden="false" customHeight="false" outlineLevel="0" collapsed="false">
      <c r="A80" s="38" t="n">
        <f aca="false">'إعدادات المخزون'!$B$5+8</f>
        <v>46304</v>
      </c>
      <c r="B80" s="39" t="n">
        <f aca="false">SUMIFS('مبيعات يومية'!$F$2:$F$8001,'مبيعات يومية'!$B$2:$B$8001,'إعدادات المخزون'!$A$15,'مبيعات يومية'!$A$2:$A$8001,$A80)</f>
        <v>0</v>
      </c>
      <c r="C80" s="39" t="n">
        <f aca="false">SUMIFS('مبيعات يومية'!$F$2:$F$8001,'مبيعات يومية'!$B$2:$B$8001,'إعدادات المخزون'!$A$16,'مبيعات يومية'!$A$2:$A$8001,$A80)</f>
        <v>0</v>
      </c>
      <c r="D80" s="39" t="n">
        <f aca="false">SUMIFS('مبيعات يومية'!$F$2:$F$8001,'مبيعات يومية'!$B$2:$B$8001,'إعدادات المخزون'!$A$17,'مبيعات يومية'!$A$2:$A$8001,$A80)</f>
        <v>0</v>
      </c>
      <c r="E80" s="39" t="n">
        <f aca="false">SUM(B80:D80)</f>
        <v>0</v>
      </c>
      <c r="F80" s="39" t="n">
        <f aca="false">SUMIFS('مشتريات يومية'!$E$2:$E$4001,'مشتريات يومية'!$A$2:$A$4001,$A80)</f>
        <v>0</v>
      </c>
      <c r="G80" s="39" t="n">
        <f aca="false">SUMIFS('مبيعات يومية'!$G$2:$G$8001,'مبيعات يومية'!$A$2:$A$8001,$A80)</f>
        <v>0</v>
      </c>
    </row>
    <row r="81" customFormat="false" ht="15" hidden="false" customHeight="false" outlineLevel="0" collapsed="false">
      <c r="A81" s="38" t="n">
        <f aca="false">'إعدادات المخزون'!$B$5+9</f>
        <v>46305</v>
      </c>
      <c r="B81" s="39" t="n">
        <f aca="false">SUMIFS('مبيعات يومية'!$F$2:$F$8001,'مبيعات يومية'!$B$2:$B$8001,'إعدادات المخزون'!$A$15,'مبيعات يومية'!$A$2:$A$8001,$A81)</f>
        <v>0</v>
      </c>
      <c r="C81" s="39" t="n">
        <f aca="false">SUMIFS('مبيعات يومية'!$F$2:$F$8001,'مبيعات يومية'!$B$2:$B$8001,'إعدادات المخزون'!$A$16,'مبيعات يومية'!$A$2:$A$8001,$A81)</f>
        <v>0</v>
      </c>
      <c r="D81" s="39" t="n">
        <f aca="false">SUMIFS('مبيعات يومية'!$F$2:$F$8001,'مبيعات يومية'!$B$2:$B$8001,'إعدادات المخزون'!$A$17,'مبيعات يومية'!$A$2:$A$8001,$A81)</f>
        <v>0</v>
      </c>
      <c r="E81" s="39" t="n">
        <f aca="false">SUM(B81:D81)</f>
        <v>0</v>
      </c>
      <c r="F81" s="39" t="n">
        <f aca="false">SUMIFS('مشتريات يومية'!$E$2:$E$4001,'مشتريات يومية'!$A$2:$A$4001,$A81)</f>
        <v>0</v>
      </c>
      <c r="G81" s="39" t="n">
        <f aca="false">SUMIFS('مبيعات يومية'!$G$2:$G$8001,'مبيعات يومية'!$A$2:$A$8001,$A81)</f>
        <v>0</v>
      </c>
    </row>
    <row r="82" customFormat="false" ht="15" hidden="false" customHeight="false" outlineLevel="0" collapsed="false">
      <c r="A82" s="38" t="n">
        <f aca="false">'إعدادات المخزون'!$B$5+10</f>
        <v>46306</v>
      </c>
      <c r="B82" s="39" t="n">
        <f aca="false">SUMIFS('مبيعات يومية'!$F$2:$F$8001,'مبيعات يومية'!$B$2:$B$8001,'إعدادات المخزون'!$A$15,'مبيعات يومية'!$A$2:$A$8001,$A82)</f>
        <v>0</v>
      </c>
      <c r="C82" s="39" t="n">
        <f aca="false">SUMIFS('مبيعات يومية'!$F$2:$F$8001,'مبيعات يومية'!$B$2:$B$8001,'إعدادات المخزون'!$A$16,'مبيعات يومية'!$A$2:$A$8001,$A82)</f>
        <v>0</v>
      </c>
      <c r="D82" s="39" t="n">
        <f aca="false">SUMIFS('مبيعات يومية'!$F$2:$F$8001,'مبيعات يومية'!$B$2:$B$8001,'إعدادات المخزون'!$A$17,'مبيعات يومية'!$A$2:$A$8001,$A82)</f>
        <v>0</v>
      </c>
      <c r="E82" s="39" t="n">
        <f aca="false">SUM(B82:D82)</f>
        <v>0</v>
      </c>
      <c r="F82" s="39" t="n">
        <f aca="false">SUMIFS('مشتريات يومية'!$E$2:$E$4001,'مشتريات يومية'!$A$2:$A$4001,$A82)</f>
        <v>0</v>
      </c>
      <c r="G82" s="39" t="n">
        <f aca="false">SUMIFS('مبيعات يومية'!$G$2:$G$8001,'مبيعات يومية'!$A$2:$A$8001,$A82)</f>
        <v>0</v>
      </c>
    </row>
    <row r="83" customFormat="false" ht="15" hidden="false" customHeight="false" outlineLevel="0" collapsed="false">
      <c r="A83" s="38" t="n">
        <f aca="false">'إعدادات المخزون'!$B$5+11</f>
        <v>46307</v>
      </c>
      <c r="B83" s="39" t="n">
        <f aca="false">SUMIFS('مبيعات يومية'!$F$2:$F$8001,'مبيعات يومية'!$B$2:$B$8001,'إعدادات المخزون'!$A$15,'مبيعات يومية'!$A$2:$A$8001,$A83)</f>
        <v>0</v>
      </c>
      <c r="C83" s="39" t="n">
        <f aca="false">SUMIFS('مبيعات يومية'!$F$2:$F$8001,'مبيعات يومية'!$B$2:$B$8001,'إعدادات المخزون'!$A$16,'مبيعات يومية'!$A$2:$A$8001,$A83)</f>
        <v>0</v>
      </c>
      <c r="D83" s="39" t="n">
        <f aca="false">SUMIFS('مبيعات يومية'!$F$2:$F$8001,'مبيعات يومية'!$B$2:$B$8001,'إعدادات المخزون'!$A$17,'مبيعات يومية'!$A$2:$A$8001,$A83)</f>
        <v>0</v>
      </c>
      <c r="E83" s="39" t="n">
        <f aca="false">SUM(B83:D83)</f>
        <v>0</v>
      </c>
      <c r="F83" s="39" t="n">
        <f aca="false">SUMIFS('مشتريات يومية'!$E$2:$E$4001,'مشتريات يومية'!$A$2:$A$4001,$A83)</f>
        <v>0</v>
      </c>
      <c r="G83" s="39" t="n">
        <f aca="false">SUMIFS('مبيعات يومية'!$G$2:$G$8001,'مبيعات يومية'!$A$2:$A$8001,$A83)</f>
        <v>0</v>
      </c>
    </row>
    <row r="84" customFormat="false" ht="15" hidden="false" customHeight="false" outlineLevel="0" collapsed="false">
      <c r="A84" s="38" t="n">
        <f aca="false">'إعدادات المخزون'!$B$5+12</f>
        <v>46308</v>
      </c>
      <c r="B84" s="39" t="n">
        <f aca="false">SUMIFS('مبيعات يومية'!$F$2:$F$8001,'مبيعات يومية'!$B$2:$B$8001,'إعدادات المخزون'!$A$15,'مبيعات يومية'!$A$2:$A$8001,$A84)</f>
        <v>0</v>
      </c>
      <c r="C84" s="39" t="n">
        <f aca="false">SUMIFS('مبيعات يومية'!$F$2:$F$8001,'مبيعات يومية'!$B$2:$B$8001,'إعدادات المخزون'!$A$16,'مبيعات يومية'!$A$2:$A$8001,$A84)</f>
        <v>0</v>
      </c>
      <c r="D84" s="39" t="n">
        <f aca="false">SUMIFS('مبيعات يومية'!$F$2:$F$8001,'مبيعات يومية'!$B$2:$B$8001,'إعدادات المخزون'!$A$17,'مبيعات يومية'!$A$2:$A$8001,$A84)</f>
        <v>0</v>
      </c>
      <c r="E84" s="39" t="n">
        <f aca="false">SUM(B84:D84)</f>
        <v>0</v>
      </c>
      <c r="F84" s="39" t="n">
        <f aca="false">SUMIFS('مشتريات يومية'!$E$2:$E$4001,'مشتريات يومية'!$A$2:$A$4001,$A84)</f>
        <v>0</v>
      </c>
      <c r="G84" s="39" t="n">
        <f aca="false">SUMIFS('مبيعات يومية'!$G$2:$G$8001,'مبيعات يومية'!$A$2:$A$8001,$A84)</f>
        <v>0</v>
      </c>
    </row>
    <row r="85" customFormat="false" ht="15" hidden="false" customHeight="false" outlineLevel="0" collapsed="false">
      <c r="A85" s="38" t="n">
        <f aca="false">'إعدادات المخزون'!$B$5+13</f>
        <v>46309</v>
      </c>
      <c r="B85" s="39" t="n">
        <f aca="false">SUMIFS('مبيعات يومية'!$F$2:$F$8001,'مبيعات يومية'!$B$2:$B$8001,'إعدادات المخزون'!$A$15,'مبيعات يومية'!$A$2:$A$8001,$A85)</f>
        <v>0</v>
      </c>
      <c r="C85" s="39" t="n">
        <f aca="false">SUMIFS('مبيعات يومية'!$F$2:$F$8001,'مبيعات يومية'!$B$2:$B$8001,'إعدادات المخزون'!$A$16,'مبيعات يومية'!$A$2:$A$8001,$A85)</f>
        <v>0</v>
      </c>
      <c r="D85" s="39" t="n">
        <f aca="false">SUMIFS('مبيعات يومية'!$F$2:$F$8001,'مبيعات يومية'!$B$2:$B$8001,'إعدادات المخزون'!$A$17,'مبيعات يومية'!$A$2:$A$8001,$A85)</f>
        <v>0</v>
      </c>
      <c r="E85" s="39" t="n">
        <f aca="false">SUM(B85:D85)</f>
        <v>0</v>
      </c>
      <c r="F85" s="39" t="n">
        <f aca="false">SUMIFS('مشتريات يومية'!$E$2:$E$4001,'مشتريات يومية'!$A$2:$A$4001,$A85)</f>
        <v>0</v>
      </c>
      <c r="G85" s="39" t="n">
        <f aca="false">SUMIFS('مبيعات يومية'!$G$2:$G$8001,'مبيعات يومية'!$A$2:$A$8001,$A85)</f>
        <v>0</v>
      </c>
    </row>
    <row r="86" customFormat="false" ht="15" hidden="false" customHeight="false" outlineLevel="0" collapsed="false">
      <c r="A86" s="38" t="n">
        <f aca="false">'إعدادات المخزون'!$B$5+14</f>
        <v>46310</v>
      </c>
      <c r="B86" s="39" t="n">
        <f aca="false">SUMIFS('مبيعات يومية'!$F$2:$F$8001,'مبيعات يومية'!$B$2:$B$8001,'إعدادات المخزون'!$A$15,'مبيعات يومية'!$A$2:$A$8001,$A86)</f>
        <v>0</v>
      </c>
      <c r="C86" s="39" t="n">
        <f aca="false">SUMIFS('مبيعات يومية'!$F$2:$F$8001,'مبيعات يومية'!$B$2:$B$8001,'إعدادات المخزون'!$A$16,'مبيعات يومية'!$A$2:$A$8001,$A86)</f>
        <v>0</v>
      </c>
      <c r="D86" s="39" t="n">
        <f aca="false">SUMIFS('مبيعات يومية'!$F$2:$F$8001,'مبيعات يومية'!$B$2:$B$8001,'إعدادات المخزون'!$A$17,'مبيعات يومية'!$A$2:$A$8001,$A86)</f>
        <v>0</v>
      </c>
      <c r="E86" s="39" t="n">
        <f aca="false">SUM(B86:D86)</f>
        <v>0</v>
      </c>
      <c r="F86" s="39" t="n">
        <f aca="false">SUMIFS('مشتريات يومية'!$E$2:$E$4001,'مشتريات يومية'!$A$2:$A$4001,$A86)</f>
        <v>0</v>
      </c>
      <c r="G86" s="39" t="n">
        <f aca="false">SUMIFS('مبيعات يومية'!$G$2:$G$8001,'مبيعات يومية'!$A$2:$A$8001,$A86)</f>
        <v>0</v>
      </c>
    </row>
    <row r="87" customFormat="false" ht="15" hidden="false" customHeight="false" outlineLevel="0" collapsed="false">
      <c r="A87" s="38" t="n">
        <f aca="false">'إعدادات المخزون'!$B$5+15</f>
        <v>46311</v>
      </c>
      <c r="B87" s="39" t="n">
        <f aca="false">SUMIFS('مبيعات يومية'!$F$2:$F$8001,'مبيعات يومية'!$B$2:$B$8001,'إعدادات المخزون'!$A$15,'مبيعات يومية'!$A$2:$A$8001,$A87)</f>
        <v>0</v>
      </c>
      <c r="C87" s="39" t="n">
        <f aca="false">SUMIFS('مبيعات يومية'!$F$2:$F$8001,'مبيعات يومية'!$B$2:$B$8001,'إعدادات المخزون'!$A$16,'مبيعات يومية'!$A$2:$A$8001,$A87)</f>
        <v>0</v>
      </c>
      <c r="D87" s="39" t="n">
        <f aca="false">SUMIFS('مبيعات يومية'!$F$2:$F$8001,'مبيعات يومية'!$B$2:$B$8001,'إعدادات المخزون'!$A$17,'مبيعات يومية'!$A$2:$A$8001,$A87)</f>
        <v>0</v>
      </c>
      <c r="E87" s="39" t="n">
        <f aca="false">SUM(B87:D87)</f>
        <v>0</v>
      </c>
      <c r="F87" s="39" t="n">
        <f aca="false">SUMIFS('مشتريات يومية'!$E$2:$E$4001,'مشتريات يومية'!$A$2:$A$4001,$A87)</f>
        <v>0</v>
      </c>
      <c r="G87" s="39" t="n">
        <f aca="false">SUMIFS('مبيعات يومية'!$G$2:$G$8001,'مبيعات يومية'!$A$2:$A$8001,$A87)</f>
        <v>0</v>
      </c>
    </row>
    <row r="88" customFormat="false" ht="15" hidden="false" customHeight="false" outlineLevel="0" collapsed="false">
      <c r="A88" s="38" t="n">
        <f aca="false">'إعدادات المخزون'!$B$5+16</f>
        <v>46312</v>
      </c>
      <c r="B88" s="39" t="n">
        <f aca="false">SUMIFS('مبيعات يومية'!$F$2:$F$8001,'مبيعات يومية'!$B$2:$B$8001,'إعدادات المخزون'!$A$15,'مبيعات يومية'!$A$2:$A$8001,$A88)</f>
        <v>0</v>
      </c>
      <c r="C88" s="39" t="n">
        <f aca="false">SUMIFS('مبيعات يومية'!$F$2:$F$8001,'مبيعات يومية'!$B$2:$B$8001,'إعدادات المخزون'!$A$16,'مبيعات يومية'!$A$2:$A$8001,$A88)</f>
        <v>0</v>
      </c>
      <c r="D88" s="39" t="n">
        <f aca="false">SUMIFS('مبيعات يومية'!$F$2:$F$8001,'مبيعات يومية'!$B$2:$B$8001,'إعدادات المخزون'!$A$17,'مبيعات يومية'!$A$2:$A$8001,$A88)</f>
        <v>0</v>
      </c>
      <c r="E88" s="39" t="n">
        <f aca="false">SUM(B88:D88)</f>
        <v>0</v>
      </c>
      <c r="F88" s="39" t="n">
        <f aca="false">SUMIFS('مشتريات يومية'!$E$2:$E$4001,'مشتريات يومية'!$A$2:$A$4001,$A88)</f>
        <v>0</v>
      </c>
      <c r="G88" s="39" t="n">
        <f aca="false">SUMIFS('مبيعات يومية'!$G$2:$G$8001,'مبيعات يومية'!$A$2:$A$8001,$A88)</f>
        <v>0</v>
      </c>
    </row>
    <row r="89" customFormat="false" ht="15" hidden="false" customHeight="false" outlineLevel="0" collapsed="false">
      <c r="A89" s="38" t="n">
        <f aca="false">'إعدادات المخزون'!$B$5+17</f>
        <v>46313</v>
      </c>
      <c r="B89" s="39" t="n">
        <f aca="false">SUMIFS('مبيعات يومية'!$F$2:$F$8001,'مبيعات يومية'!$B$2:$B$8001,'إعدادات المخزون'!$A$15,'مبيعات يومية'!$A$2:$A$8001,$A89)</f>
        <v>0</v>
      </c>
      <c r="C89" s="39" t="n">
        <f aca="false">SUMIFS('مبيعات يومية'!$F$2:$F$8001,'مبيعات يومية'!$B$2:$B$8001,'إعدادات المخزون'!$A$16,'مبيعات يومية'!$A$2:$A$8001,$A89)</f>
        <v>0</v>
      </c>
      <c r="D89" s="39" t="n">
        <f aca="false">SUMIFS('مبيعات يومية'!$F$2:$F$8001,'مبيعات يومية'!$B$2:$B$8001,'إعدادات المخزون'!$A$17,'مبيعات يومية'!$A$2:$A$8001,$A89)</f>
        <v>0</v>
      </c>
      <c r="E89" s="39" t="n">
        <f aca="false">SUM(B89:D89)</f>
        <v>0</v>
      </c>
      <c r="F89" s="39" t="n">
        <f aca="false">SUMIFS('مشتريات يومية'!$E$2:$E$4001,'مشتريات يومية'!$A$2:$A$4001,$A89)</f>
        <v>0</v>
      </c>
      <c r="G89" s="39" t="n">
        <f aca="false">SUMIFS('مبيعات يومية'!$G$2:$G$8001,'مبيعات يومية'!$A$2:$A$8001,$A89)</f>
        <v>0</v>
      </c>
    </row>
    <row r="90" customFormat="false" ht="15" hidden="false" customHeight="false" outlineLevel="0" collapsed="false">
      <c r="A90" s="38" t="n">
        <f aca="false">'إعدادات المخزون'!$B$5+18</f>
        <v>46314</v>
      </c>
      <c r="B90" s="39" t="n">
        <f aca="false">SUMIFS('مبيعات يومية'!$F$2:$F$8001,'مبيعات يومية'!$B$2:$B$8001,'إعدادات المخزون'!$A$15,'مبيعات يومية'!$A$2:$A$8001,$A90)</f>
        <v>0</v>
      </c>
      <c r="C90" s="39" t="n">
        <f aca="false">SUMIFS('مبيعات يومية'!$F$2:$F$8001,'مبيعات يومية'!$B$2:$B$8001,'إعدادات المخزون'!$A$16,'مبيعات يومية'!$A$2:$A$8001,$A90)</f>
        <v>0</v>
      </c>
      <c r="D90" s="39" t="n">
        <f aca="false">SUMIFS('مبيعات يومية'!$F$2:$F$8001,'مبيعات يومية'!$B$2:$B$8001,'إعدادات المخزون'!$A$17,'مبيعات يومية'!$A$2:$A$8001,$A90)</f>
        <v>0</v>
      </c>
      <c r="E90" s="39" t="n">
        <f aca="false">SUM(B90:D90)</f>
        <v>0</v>
      </c>
      <c r="F90" s="39" t="n">
        <f aca="false">SUMIFS('مشتريات يومية'!$E$2:$E$4001,'مشتريات يومية'!$A$2:$A$4001,$A90)</f>
        <v>0</v>
      </c>
      <c r="G90" s="39" t="n">
        <f aca="false">SUMIFS('مبيعات يومية'!$G$2:$G$8001,'مبيعات يومية'!$A$2:$A$8001,$A90)</f>
        <v>0</v>
      </c>
    </row>
    <row r="91" customFormat="false" ht="15" hidden="false" customHeight="false" outlineLevel="0" collapsed="false">
      <c r="A91" s="38" t="n">
        <f aca="false">'إعدادات المخزون'!$B$5+19</f>
        <v>46315</v>
      </c>
      <c r="B91" s="39" t="n">
        <f aca="false">SUMIFS('مبيعات يومية'!$F$2:$F$8001,'مبيعات يومية'!$B$2:$B$8001,'إعدادات المخزون'!$A$15,'مبيعات يومية'!$A$2:$A$8001,$A91)</f>
        <v>0</v>
      </c>
      <c r="C91" s="39" t="n">
        <f aca="false">SUMIFS('مبيعات يومية'!$F$2:$F$8001,'مبيعات يومية'!$B$2:$B$8001,'إعدادات المخزون'!$A$16,'مبيعات يومية'!$A$2:$A$8001,$A91)</f>
        <v>0</v>
      </c>
      <c r="D91" s="39" t="n">
        <f aca="false">SUMIFS('مبيعات يومية'!$F$2:$F$8001,'مبيعات يومية'!$B$2:$B$8001,'إعدادات المخزون'!$A$17,'مبيعات يومية'!$A$2:$A$8001,$A91)</f>
        <v>0</v>
      </c>
      <c r="E91" s="39" t="n">
        <f aca="false">SUM(B91:D91)</f>
        <v>0</v>
      </c>
      <c r="F91" s="39" t="n">
        <f aca="false">SUMIFS('مشتريات يومية'!$E$2:$E$4001,'مشتريات يومية'!$A$2:$A$4001,$A91)</f>
        <v>0</v>
      </c>
      <c r="G91" s="39" t="n">
        <f aca="false">SUMIFS('مبيعات يومية'!$G$2:$G$8001,'مبيعات يومية'!$A$2:$A$8001,$A91)</f>
        <v>0</v>
      </c>
    </row>
    <row r="92" customFormat="false" ht="15" hidden="false" customHeight="false" outlineLevel="0" collapsed="false">
      <c r="A92" s="38" t="n">
        <f aca="false">'إعدادات المخزون'!$B$5+20</f>
        <v>46316</v>
      </c>
      <c r="B92" s="39" t="n">
        <f aca="false">SUMIFS('مبيعات يومية'!$F$2:$F$8001,'مبيعات يومية'!$B$2:$B$8001,'إعدادات المخزون'!$A$15,'مبيعات يومية'!$A$2:$A$8001,$A92)</f>
        <v>0</v>
      </c>
      <c r="C92" s="39" t="n">
        <f aca="false">SUMIFS('مبيعات يومية'!$F$2:$F$8001,'مبيعات يومية'!$B$2:$B$8001,'إعدادات المخزون'!$A$16,'مبيعات يومية'!$A$2:$A$8001,$A92)</f>
        <v>0</v>
      </c>
      <c r="D92" s="39" t="n">
        <f aca="false">SUMIFS('مبيعات يومية'!$F$2:$F$8001,'مبيعات يومية'!$B$2:$B$8001,'إعدادات المخزون'!$A$17,'مبيعات يومية'!$A$2:$A$8001,$A92)</f>
        <v>0</v>
      </c>
      <c r="E92" s="39" t="n">
        <f aca="false">SUM(B92:D92)</f>
        <v>0</v>
      </c>
      <c r="F92" s="39" t="n">
        <f aca="false">SUMIFS('مشتريات يومية'!$E$2:$E$4001,'مشتريات يومية'!$A$2:$A$4001,$A92)</f>
        <v>0</v>
      </c>
      <c r="G92" s="39" t="n">
        <f aca="false">SUMIFS('مبيعات يومية'!$G$2:$G$8001,'مبيعات يومية'!$A$2:$A$8001,$A92)</f>
        <v>0</v>
      </c>
    </row>
    <row r="93" customFormat="false" ht="15" hidden="false" customHeight="false" outlineLevel="0" collapsed="false">
      <c r="A93" s="38" t="n">
        <f aca="false">'إعدادات المخزون'!$B$5+21</f>
        <v>46317</v>
      </c>
      <c r="B93" s="39" t="n">
        <f aca="false">SUMIFS('مبيعات يومية'!$F$2:$F$8001,'مبيعات يومية'!$B$2:$B$8001,'إعدادات المخزون'!$A$15,'مبيعات يومية'!$A$2:$A$8001,$A93)</f>
        <v>0</v>
      </c>
      <c r="C93" s="39" t="n">
        <f aca="false">SUMIFS('مبيعات يومية'!$F$2:$F$8001,'مبيعات يومية'!$B$2:$B$8001,'إعدادات المخزون'!$A$16,'مبيعات يومية'!$A$2:$A$8001,$A93)</f>
        <v>0</v>
      </c>
      <c r="D93" s="39" t="n">
        <f aca="false">SUMIFS('مبيعات يومية'!$F$2:$F$8001,'مبيعات يومية'!$B$2:$B$8001,'إعدادات المخزون'!$A$17,'مبيعات يومية'!$A$2:$A$8001,$A93)</f>
        <v>0</v>
      </c>
      <c r="E93" s="39" t="n">
        <f aca="false">SUM(B93:D93)</f>
        <v>0</v>
      </c>
      <c r="F93" s="39" t="n">
        <f aca="false">SUMIFS('مشتريات يومية'!$E$2:$E$4001,'مشتريات يومية'!$A$2:$A$4001,$A93)</f>
        <v>0</v>
      </c>
      <c r="G93" s="39" t="n">
        <f aca="false">SUMIFS('مبيعات يومية'!$G$2:$G$8001,'مبيعات يومية'!$A$2:$A$8001,$A93)</f>
        <v>0</v>
      </c>
    </row>
    <row r="94" customFormat="false" ht="15" hidden="false" customHeight="false" outlineLevel="0" collapsed="false">
      <c r="A94" s="38" t="n">
        <f aca="false">'إعدادات المخزون'!$B$5+22</f>
        <v>46318</v>
      </c>
      <c r="B94" s="39" t="n">
        <f aca="false">SUMIFS('مبيعات يومية'!$F$2:$F$8001,'مبيعات يومية'!$B$2:$B$8001,'إعدادات المخزون'!$A$15,'مبيعات يومية'!$A$2:$A$8001,$A94)</f>
        <v>0</v>
      </c>
      <c r="C94" s="39" t="n">
        <f aca="false">SUMIFS('مبيعات يومية'!$F$2:$F$8001,'مبيعات يومية'!$B$2:$B$8001,'إعدادات المخزون'!$A$16,'مبيعات يومية'!$A$2:$A$8001,$A94)</f>
        <v>0</v>
      </c>
      <c r="D94" s="39" t="n">
        <f aca="false">SUMIFS('مبيعات يومية'!$F$2:$F$8001,'مبيعات يومية'!$B$2:$B$8001,'إعدادات المخزون'!$A$17,'مبيعات يومية'!$A$2:$A$8001,$A94)</f>
        <v>0</v>
      </c>
      <c r="E94" s="39" t="n">
        <f aca="false">SUM(B94:D94)</f>
        <v>0</v>
      </c>
      <c r="F94" s="39" t="n">
        <f aca="false">SUMIFS('مشتريات يومية'!$E$2:$E$4001,'مشتريات يومية'!$A$2:$A$4001,$A94)</f>
        <v>0</v>
      </c>
      <c r="G94" s="39" t="n">
        <f aca="false">SUMIFS('مبيعات يومية'!$G$2:$G$8001,'مبيعات يومية'!$A$2:$A$8001,$A94)</f>
        <v>0</v>
      </c>
    </row>
    <row r="95" customFormat="false" ht="15" hidden="false" customHeight="false" outlineLevel="0" collapsed="false">
      <c r="A95" s="38" t="n">
        <f aca="false">'إعدادات المخزون'!$B$5+23</f>
        <v>46319</v>
      </c>
      <c r="B95" s="39" t="n">
        <f aca="false">SUMIFS('مبيعات يومية'!$F$2:$F$8001,'مبيعات يومية'!$B$2:$B$8001,'إعدادات المخزون'!$A$15,'مبيعات يومية'!$A$2:$A$8001,$A95)</f>
        <v>0</v>
      </c>
      <c r="C95" s="39" t="n">
        <f aca="false">SUMIFS('مبيعات يومية'!$F$2:$F$8001,'مبيعات يومية'!$B$2:$B$8001,'إعدادات المخزون'!$A$16,'مبيعات يومية'!$A$2:$A$8001,$A95)</f>
        <v>0</v>
      </c>
      <c r="D95" s="39" t="n">
        <f aca="false">SUMIFS('مبيعات يومية'!$F$2:$F$8001,'مبيعات يومية'!$B$2:$B$8001,'إعدادات المخزون'!$A$17,'مبيعات يومية'!$A$2:$A$8001,$A95)</f>
        <v>0</v>
      </c>
      <c r="E95" s="39" t="n">
        <f aca="false">SUM(B95:D95)</f>
        <v>0</v>
      </c>
      <c r="F95" s="39" t="n">
        <f aca="false">SUMIFS('مشتريات يومية'!$E$2:$E$4001,'مشتريات يومية'!$A$2:$A$4001,$A95)</f>
        <v>0</v>
      </c>
      <c r="G95" s="39" t="n">
        <f aca="false">SUMIFS('مبيعات يومية'!$G$2:$G$8001,'مبيعات يومية'!$A$2:$A$8001,$A95)</f>
        <v>0</v>
      </c>
    </row>
    <row r="96" customFormat="false" ht="15" hidden="false" customHeight="false" outlineLevel="0" collapsed="false">
      <c r="A96" s="38" t="n">
        <f aca="false">'إعدادات المخزون'!$B$5+24</f>
        <v>46320</v>
      </c>
      <c r="B96" s="39" t="n">
        <f aca="false">SUMIFS('مبيعات يومية'!$F$2:$F$8001,'مبيعات يومية'!$B$2:$B$8001,'إعدادات المخزون'!$A$15,'مبيعات يومية'!$A$2:$A$8001,$A96)</f>
        <v>0</v>
      </c>
      <c r="C96" s="39" t="n">
        <f aca="false">SUMIFS('مبيعات يومية'!$F$2:$F$8001,'مبيعات يومية'!$B$2:$B$8001,'إعدادات المخزون'!$A$16,'مبيعات يومية'!$A$2:$A$8001,$A96)</f>
        <v>0</v>
      </c>
      <c r="D96" s="39" t="n">
        <f aca="false">SUMIFS('مبيعات يومية'!$F$2:$F$8001,'مبيعات يومية'!$B$2:$B$8001,'إعدادات المخزون'!$A$17,'مبيعات يومية'!$A$2:$A$8001,$A96)</f>
        <v>0</v>
      </c>
      <c r="E96" s="39" t="n">
        <f aca="false">SUM(B96:D96)</f>
        <v>0</v>
      </c>
      <c r="F96" s="39" t="n">
        <f aca="false">SUMIFS('مشتريات يومية'!$E$2:$E$4001,'مشتريات يومية'!$A$2:$A$4001,$A96)</f>
        <v>0</v>
      </c>
      <c r="G96" s="39" t="n">
        <f aca="false">SUMIFS('مبيعات يومية'!$G$2:$G$8001,'مبيعات يومية'!$A$2:$A$8001,$A96)</f>
        <v>0</v>
      </c>
    </row>
    <row r="97" customFormat="false" ht="15" hidden="false" customHeight="false" outlineLevel="0" collapsed="false">
      <c r="A97" s="38" t="n">
        <f aca="false">'إعدادات المخزون'!$B$5+25</f>
        <v>46321</v>
      </c>
      <c r="B97" s="39" t="n">
        <f aca="false">SUMIFS('مبيعات يومية'!$F$2:$F$8001,'مبيعات يومية'!$B$2:$B$8001,'إعدادات المخزون'!$A$15,'مبيعات يومية'!$A$2:$A$8001,$A97)</f>
        <v>0</v>
      </c>
      <c r="C97" s="39" t="n">
        <f aca="false">SUMIFS('مبيعات يومية'!$F$2:$F$8001,'مبيعات يومية'!$B$2:$B$8001,'إعدادات المخزون'!$A$16,'مبيعات يومية'!$A$2:$A$8001,$A97)</f>
        <v>0</v>
      </c>
      <c r="D97" s="39" t="n">
        <f aca="false">SUMIFS('مبيعات يومية'!$F$2:$F$8001,'مبيعات يومية'!$B$2:$B$8001,'إعدادات المخزون'!$A$17,'مبيعات يومية'!$A$2:$A$8001,$A97)</f>
        <v>0</v>
      </c>
      <c r="E97" s="39" t="n">
        <f aca="false">SUM(B97:D97)</f>
        <v>0</v>
      </c>
      <c r="F97" s="39" t="n">
        <f aca="false">SUMIFS('مشتريات يومية'!$E$2:$E$4001,'مشتريات يومية'!$A$2:$A$4001,$A97)</f>
        <v>0</v>
      </c>
      <c r="G97" s="39" t="n">
        <f aca="false">SUMIFS('مبيعات يومية'!$G$2:$G$8001,'مبيعات يومية'!$A$2:$A$8001,$A97)</f>
        <v>0</v>
      </c>
    </row>
    <row r="98" customFormat="false" ht="15" hidden="false" customHeight="false" outlineLevel="0" collapsed="false">
      <c r="A98" s="38" t="n">
        <f aca="false">'إعدادات المخزون'!$B$5+26</f>
        <v>46322</v>
      </c>
      <c r="B98" s="39" t="n">
        <f aca="false">SUMIFS('مبيعات يومية'!$F$2:$F$8001,'مبيعات يومية'!$B$2:$B$8001,'إعدادات المخزون'!$A$15,'مبيعات يومية'!$A$2:$A$8001,$A98)</f>
        <v>0</v>
      </c>
      <c r="C98" s="39" t="n">
        <f aca="false">SUMIFS('مبيعات يومية'!$F$2:$F$8001,'مبيعات يومية'!$B$2:$B$8001,'إعدادات المخزون'!$A$16,'مبيعات يومية'!$A$2:$A$8001,$A98)</f>
        <v>0</v>
      </c>
      <c r="D98" s="39" t="n">
        <f aca="false">SUMIFS('مبيعات يومية'!$F$2:$F$8001,'مبيعات يومية'!$B$2:$B$8001,'إعدادات المخزون'!$A$17,'مبيعات يومية'!$A$2:$A$8001,$A98)</f>
        <v>0</v>
      </c>
      <c r="E98" s="39" t="n">
        <f aca="false">SUM(B98:D98)</f>
        <v>0</v>
      </c>
      <c r="F98" s="39" t="n">
        <f aca="false">SUMIFS('مشتريات يومية'!$E$2:$E$4001,'مشتريات يومية'!$A$2:$A$4001,$A98)</f>
        <v>0</v>
      </c>
      <c r="G98" s="39" t="n">
        <f aca="false">SUMIFS('مبيعات يومية'!$G$2:$G$8001,'مبيعات يومية'!$A$2:$A$8001,$A98)</f>
        <v>0</v>
      </c>
    </row>
    <row r="99" customFormat="false" ht="15" hidden="false" customHeight="false" outlineLevel="0" collapsed="false">
      <c r="A99" s="38" t="n">
        <f aca="false">'إعدادات المخزون'!$B$5+27</f>
        <v>46323</v>
      </c>
      <c r="B99" s="39" t="n">
        <f aca="false">SUMIFS('مبيعات يومية'!$F$2:$F$8001,'مبيعات يومية'!$B$2:$B$8001,'إعدادات المخزون'!$A$15,'مبيعات يومية'!$A$2:$A$8001,$A99)</f>
        <v>0</v>
      </c>
      <c r="C99" s="39" t="n">
        <f aca="false">SUMIFS('مبيعات يومية'!$F$2:$F$8001,'مبيعات يومية'!$B$2:$B$8001,'إعدادات المخزون'!$A$16,'مبيعات يومية'!$A$2:$A$8001,$A99)</f>
        <v>0</v>
      </c>
      <c r="D99" s="39" t="n">
        <f aca="false">SUMIFS('مبيعات يومية'!$F$2:$F$8001,'مبيعات يومية'!$B$2:$B$8001,'إعدادات المخزون'!$A$17,'مبيعات يومية'!$A$2:$A$8001,$A99)</f>
        <v>0</v>
      </c>
      <c r="E99" s="39" t="n">
        <f aca="false">SUM(B99:D99)</f>
        <v>0</v>
      </c>
      <c r="F99" s="39" t="n">
        <f aca="false">SUMIFS('مشتريات يومية'!$E$2:$E$4001,'مشتريات يومية'!$A$2:$A$4001,$A99)</f>
        <v>0</v>
      </c>
      <c r="G99" s="39" t="n">
        <f aca="false">SUMIFS('مبيعات يومية'!$G$2:$G$8001,'مبيعات يومية'!$A$2:$A$8001,$A99)</f>
        <v>0</v>
      </c>
    </row>
    <row r="100" customFormat="false" ht="15" hidden="false" customHeight="false" outlineLevel="0" collapsed="false">
      <c r="A100" s="38" t="n">
        <f aca="false">'إعدادات المخزون'!$B$5+28</f>
        <v>46324</v>
      </c>
      <c r="B100" s="39" t="n">
        <f aca="false">SUMIFS('مبيعات يومية'!$F$2:$F$8001,'مبيعات يومية'!$B$2:$B$8001,'إعدادات المخزون'!$A$15,'مبيعات يومية'!$A$2:$A$8001,$A100)</f>
        <v>0</v>
      </c>
      <c r="C100" s="39" t="n">
        <f aca="false">SUMIFS('مبيعات يومية'!$F$2:$F$8001,'مبيعات يومية'!$B$2:$B$8001,'إعدادات المخزون'!$A$16,'مبيعات يومية'!$A$2:$A$8001,$A100)</f>
        <v>0</v>
      </c>
      <c r="D100" s="39" t="n">
        <f aca="false">SUMIFS('مبيعات يومية'!$F$2:$F$8001,'مبيعات يومية'!$B$2:$B$8001,'إعدادات المخزون'!$A$17,'مبيعات يومية'!$A$2:$A$8001,$A100)</f>
        <v>0</v>
      </c>
      <c r="E100" s="39" t="n">
        <f aca="false">SUM(B100:D100)</f>
        <v>0</v>
      </c>
      <c r="F100" s="39" t="n">
        <f aca="false">SUMIFS('مشتريات يومية'!$E$2:$E$4001,'مشتريات يومية'!$A$2:$A$4001,$A100)</f>
        <v>0</v>
      </c>
      <c r="G100" s="39" t="n">
        <f aca="false">SUMIFS('مبيعات يومية'!$G$2:$G$8001,'مبيعات يومية'!$A$2:$A$8001,$A100)</f>
        <v>0</v>
      </c>
    </row>
    <row r="101" customFormat="false" ht="15" hidden="false" customHeight="false" outlineLevel="0" collapsed="false">
      <c r="A101" s="38" t="n">
        <f aca="false">'إعدادات المخزون'!$B$5+29</f>
        <v>46325</v>
      </c>
      <c r="B101" s="39" t="n">
        <f aca="false">SUMIFS('مبيعات يومية'!$F$2:$F$8001,'مبيعات يومية'!$B$2:$B$8001,'إعدادات المخزون'!$A$15,'مبيعات يومية'!$A$2:$A$8001,$A101)</f>
        <v>0</v>
      </c>
      <c r="C101" s="39" t="n">
        <f aca="false">SUMIFS('مبيعات يومية'!$F$2:$F$8001,'مبيعات يومية'!$B$2:$B$8001,'إعدادات المخزون'!$A$16,'مبيعات يومية'!$A$2:$A$8001,$A101)</f>
        <v>0</v>
      </c>
      <c r="D101" s="39" t="n">
        <f aca="false">SUMIFS('مبيعات يومية'!$F$2:$F$8001,'مبيعات يومية'!$B$2:$B$8001,'إعدادات المخزون'!$A$17,'مبيعات يومية'!$A$2:$A$8001,$A101)</f>
        <v>0</v>
      </c>
      <c r="E101" s="39" t="n">
        <f aca="false">SUM(B101:D101)</f>
        <v>0</v>
      </c>
      <c r="F101" s="39" t="n">
        <f aca="false">SUMIFS('مشتريات يومية'!$E$2:$E$4001,'مشتريات يومية'!$A$2:$A$4001,$A101)</f>
        <v>0</v>
      </c>
      <c r="G101" s="39" t="n">
        <f aca="false">SUMIFS('مبيعات يومية'!$G$2:$G$8001,'مبيعات يومية'!$A$2:$A$8001,$A101)</f>
        <v>0</v>
      </c>
    </row>
    <row r="102" customFormat="false" ht="15" hidden="false" customHeight="false" outlineLevel="0" collapsed="false">
      <c r="A102" s="38" t="n">
        <f aca="false">'إعدادات المخزون'!$B$5+30</f>
        <v>46326</v>
      </c>
      <c r="B102" s="39" t="n">
        <f aca="false">SUMIFS('مبيعات يومية'!$F$2:$F$8001,'مبيعات يومية'!$B$2:$B$8001,'إعدادات المخزون'!$A$15,'مبيعات يومية'!$A$2:$A$8001,$A102)</f>
        <v>0</v>
      </c>
      <c r="C102" s="39" t="n">
        <f aca="false">SUMIFS('مبيعات يومية'!$F$2:$F$8001,'مبيعات يومية'!$B$2:$B$8001,'إعدادات المخزون'!$A$16,'مبيعات يومية'!$A$2:$A$8001,$A102)</f>
        <v>0</v>
      </c>
      <c r="D102" s="39" t="n">
        <f aca="false">SUMIFS('مبيعات يومية'!$F$2:$F$8001,'مبيعات يومية'!$B$2:$B$8001,'إعدادات المخزون'!$A$17,'مبيعات يومية'!$A$2:$A$8001,$A102)</f>
        <v>0</v>
      </c>
      <c r="E102" s="39" t="n">
        <f aca="false">SUM(B102:D102)</f>
        <v>0</v>
      </c>
      <c r="F102" s="39" t="n">
        <f aca="false">SUMIFS('مشتريات يومية'!$E$2:$E$4001,'مشتريات يومية'!$A$2:$A$4001,$A102)</f>
        <v>0</v>
      </c>
      <c r="G102" s="39" t="n">
        <f aca="false">SUMIFS('مبيعات يومية'!$G$2:$G$8001,'مبيعات يومية'!$A$2:$A$8001,$A102)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0" t="s">
        <v>73</v>
      </c>
    </row>
    <row r="3" customFormat="false" ht="25.5" hidden="false" customHeight="true" outlineLevel="0" collapsed="false">
      <c r="A3" s="18" t="s">
        <v>74</v>
      </c>
      <c r="B3" s="18" t="s">
        <v>75</v>
      </c>
    </row>
    <row r="4" customFormat="false" ht="48" hidden="false" customHeight="true" outlineLevel="0" collapsed="false">
      <c r="A4" s="33" t="s">
        <v>76</v>
      </c>
      <c r="B4" s="41" t="s">
        <v>77</v>
      </c>
    </row>
    <row r="5" customFormat="false" ht="48" hidden="false" customHeight="true" outlineLevel="0" collapsed="false">
      <c r="A5" s="33" t="s">
        <v>78</v>
      </c>
      <c r="B5" s="41" t="s">
        <v>79</v>
      </c>
    </row>
    <row r="6" customFormat="false" ht="48" hidden="false" customHeight="true" outlineLevel="0" collapsed="false">
      <c r="A6" s="33" t="s">
        <v>80</v>
      </c>
      <c r="B6" s="41" t="s">
        <v>81</v>
      </c>
    </row>
    <row r="7" customFormat="false" ht="48" hidden="false" customHeight="true" outlineLevel="0" collapsed="false">
      <c r="A7" s="33" t="s">
        <v>82</v>
      </c>
      <c r="B7" s="41" t="s">
        <v>83</v>
      </c>
    </row>
    <row r="8" customFormat="false" ht="48" hidden="false" customHeight="true" outlineLevel="0" collapsed="false">
      <c r="A8" s="33" t="s">
        <v>84</v>
      </c>
      <c r="B8" s="41" t="s">
        <v>85</v>
      </c>
    </row>
    <row r="9" customFormat="false" ht="48" hidden="false" customHeight="true" outlineLevel="0" collapsed="false">
      <c r="A9" s="33" t="s">
        <v>86</v>
      </c>
      <c r="B9" s="41" t="s">
        <v>87</v>
      </c>
    </row>
    <row r="10" customFormat="false" ht="48" hidden="false" customHeight="true" outlineLevel="0" collapsed="false">
      <c r="A10" s="33" t="s">
        <v>88</v>
      </c>
      <c r="B10" s="41" t="s">
        <v>89</v>
      </c>
    </row>
    <row r="11" customFormat="false" ht="48" hidden="false" customHeight="true" outlineLevel="0" collapsed="false">
      <c r="A11" s="33" t="s">
        <v>90</v>
      </c>
      <c r="B11" s="41" t="s">
        <v>91</v>
      </c>
    </row>
    <row r="12" customFormat="false" ht="48" hidden="false" customHeight="true" outlineLevel="0" collapsed="false">
      <c r="A12" s="33" t="s">
        <v>92</v>
      </c>
      <c r="B12" s="41" t="s">
        <v>93</v>
      </c>
    </row>
    <row r="13" customFormat="false" ht="48" hidden="false" customHeight="true" outlineLevel="0" collapsed="false">
      <c r="A13" s="33" t="s">
        <v>94</v>
      </c>
      <c r="B13" s="41"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2" t="s">
        <v>96</v>
      </c>
      <c r="B1" s="42"/>
    </row>
    <row r="3" customFormat="false" ht="45" hidden="false" customHeight="true" outlineLevel="0" collapsed="false">
      <c r="A3" s="43" t="s">
        <v>97</v>
      </c>
      <c r="B3" s="11" t="s">
        <v>98</v>
      </c>
    </row>
    <row r="4" customFormat="false" ht="45" hidden="false" customHeight="true" outlineLevel="0" collapsed="false">
      <c r="A4" s="43" t="s">
        <v>99</v>
      </c>
      <c r="B4" s="11" t="s">
        <v>100</v>
      </c>
    </row>
    <row r="5" customFormat="false" ht="45" hidden="false" customHeight="true" outlineLevel="0" collapsed="false">
      <c r="A5" s="43" t="s">
        <v>101</v>
      </c>
      <c r="B5" s="11" t="s">
        <v>102</v>
      </c>
    </row>
    <row r="6" customFormat="false" ht="45" hidden="false" customHeight="true" outlineLevel="0" collapsed="false">
      <c r="A6" s="43" t="s">
        <v>103</v>
      </c>
      <c r="B6" s="11" t="s">
        <v>104</v>
      </c>
    </row>
    <row r="7" customFormat="false" ht="45" hidden="false" customHeight="true" outlineLevel="0" collapsed="false">
      <c r="A7" s="43" t="s">
        <v>105</v>
      </c>
      <c r="B7" s="11" t="s">
        <v>106</v>
      </c>
    </row>
    <row r="8" customFormat="false" ht="45" hidden="false" customHeight="true" outlineLevel="0" collapsed="false">
      <c r="A8" s="43" t="s">
        <v>107</v>
      </c>
      <c r="B8" s="11" t="s">
        <v>108</v>
      </c>
    </row>
    <row r="9" customFormat="false" ht="45" hidden="false" customHeight="true" outlineLevel="0" collapsed="false">
      <c r="A9" s="43" t="s">
        <v>109</v>
      </c>
      <c r="B9" s="11" t="s">
        <v>110</v>
      </c>
    </row>
    <row r="10" customFormat="false" ht="45" hidden="false" customHeight="true" outlineLevel="0" collapsed="false">
      <c r="A10" s="43" t="s">
        <v>111</v>
      </c>
      <c r="B10" s="11" t="s">
        <v>112</v>
      </c>
    </row>
    <row r="11" customFormat="false" ht="45" hidden="false" customHeight="true" outlineLevel="0" collapsed="false">
      <c r="A11" s="43" t="s">
        <v>90</v>
      </c>
      <c r="B11" s="11" t="s">
        <v>113</v>
      </c>
    </row>
    <row r="13" customFormat="false" ht="39" hidden="false" customHeight="true" outlineLevel="0" collapsed="false">
      <c r="A13" s="44" t="s">
        <v>114</v>
      </c>
      <c r="B13" s="45" t="s">
        <v>115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116</v>
      </c>
      <c r="B1" s="10" t="s">
        <v>117</v>
      </c>
      <c r="C1" s="10" t="s">
        <v>118</v>
      </c>
      <c r="D1" s="10" t="s">
        <v>119</v>
      </c>
      <c r="E1" s="10" t="s">
        <v>120</v>
      </c>
      <c r="F1" s="10" t="s">
        <v>121</v>
      </c>
    </row>
    <row r="2" customFormat="false" ht="26.25" hidden="false" customHeight="true" outlineLevel="0" collapsed="false">
      <c r="A2" s="11" t="s">
        <v>122</v>
      </c>
      <c r="B2" s="46" t="s">
        <v>123</v>
      </c>
      <c r="C2" s="13" t="n">
        <v>3.3</v>
      </c>
      <c r="D2" s="11" t="s">
        <v>124</v>
      </c>
      <c r="E2" s="11" t="n">
        <v>1823</v>
      </c>
      <c r="F2" s="47" t="n">
        <v>46307</v>
      </c>
    </row>
    <row r="3" customFormat="false" ht="15" hidden="false" customHeight="true" outlineLevel="0" collapsed="false">
      <c r="A3" s="11" t="s">
        <v>125</v>
      </c>
      <c r="B3" s="46" t="s">
        <v>123</v>
      </c>
      <c r="C3" s="13" t="n">
        <v>0.8</v>
      </c>
      <c r="D3" s="11" t="s">
        <v>126</v>
      </c>
      <c r="E3" s="11" t="n">
        <v>1814</v>
      </c>
      <c r="F3" s="47" t="n">
        <v>46307</v>
      </c>
    </row>
    <row r="4" customFormat="false" ht="15" hidden="false" customHeight="true" outlineLevel="0" collapsed="false">
      <c r="A4" s="11" t="s">
        <v>127</v>
      </c>
      <c r="B4" s="46" t="s">
        <v>123</v>
      </c>
      <c r="C4" s="13" t="n">
        <v>0.5</v>
      </c>
      <c r="D4" s="11" t="s">
        <v>128</v>
      </c>
      <c r="E4" s="11" t="n">
        <v>1815</v>
      </c>
      <c r="F4" s="47" t="n">
        <v>46307</v>
      </c>
    </row>
    <row r="5" customFormat="false" ht="15" hidden="false" customHeight="true" outlineLevel="0" collapsed="false">
      <c r="A5" s="11" t="s">
        <v>129</v>
      </c>
      <c r="B5" s="46" t="s">
        <v>123</v>
      </c>
      <c r="C5" s="48" t="n">
        <v>150</v>
      </c>
      <c r="D5" s="11" t="s">
        <v>130</v>
      </c>
      <c r="E5" s="11" t="n">
        <v>2291</v>
      </c>
      <c r="F5" s="47" t="n">
        <v>46307</v>
      </c>
    </row>
    <row r="6" customFormat="false" ht="15" hidden="false" customHeight="true" outlineLevel="0" collapsed="false">
      <c r="A6" s="11" t="s">
        <v>131</v>
      </c>
      <c r="B6" s="46" t="s">
        <v>123</v>
      </c>
      <c r="C6" s="13" t="n">
        <v>80</v>
      </c>
      <c r="D6" s="11" t="s">
        <v>132</v>
      </c>
      <c r="E6" s="11" t="n">
        <v>2280</v>
      </c>
      <c r="F6" s="47" t="n">
        <v>46307</v>
      </c>
    </row>
    <row r="7" customFormat="false" ht="15" hidden="false" customHeight="true" outlineLevel="0" collapsed="false">
      <c r="A7" s="11" t="s">
        <v>133</v>
      </c>
      <c r="B7" s="49" t="s">
        <v>134</v>
      </c>
      <c r="C7" s="13" t="n">
        <v>1.4</v>
      </c>
      <c r="D7" s="11" t="s">
        <v>135</v>
      </c>
      <c r="E7" s="11" t="n">
        <v>1828</v>
      </c>
      <c r="F7" s="47" t="n">
        <v>46307</v>
      </c>
    </row>
    <row r="8" customFormat="false" ht="26.25" hidden="false" customHeight="true" outlineLevel="0" collapsed="false">
      <c r="A8" s="11" t="s">
        <v>136</v>
      </c>
      <c r="B8" s="49" t="s">
        <v>134</v>
      </c>
      <c r="C8" s="13" t="n">
        <v>1.4</v>
      </c>
      <c r="D8" s="11" t="s">
        <v>137</v>
      </c>
      <c r="E8" s="11" t="n">
        <v>1827</v>
      </c>
      <c r="F8" s="47" t="n">
        <v>46307</v>
      </c>
    </row>
    <row r="9" customFormat="false" ht="15" hidden="false" customHeight="true" outlineLevel="0" collapsed="false">
      <c r="A9" s="11" t="s">
        <v>138</v>
      </c>
      <c r="B9" s="46" t="s">
        <v>123</v>
      </c>
      <c r="C9" s="13" t="n">
        <v>60</v>
      </c>
      <c r="D9" s="11" t="s">
        <v>139</v>
      </c>
      <c r="E9" s="11" t="n">
        <v>2275</v>
      </c>
      <c r="F9" s="47" t="n">
        <v>46307</v>
      </c>
    </row>
    <row r="10" customFormat="false" ht="15" hidden="false" customHeight="true" outlineLevel="0" collapsed="false">
      <c r="A10" s="11" t="s">
        <v>140</v>
      </c>
      <c r="B10" s="46" t="s">
        <v>123</v>
      </c>
      <c r="C10" s="13" t="n">
        <v>18</v>
      </c>
      <c r="D10" s="11" t="s">
        <v>141</v>
      </c>
      <c r="E10" s="11" t="n">
        <v>2215</v>
      </c>
      <c r="F10" s="47" t="n">
        <v>46307</v>
      </c>
    </row>
    <row r="11" customFormat="false" ht="15" hidden="false" customHeight="true" outlineLevel="0" collapsed="false">
      <c r="A11" s="11" t="s">
        <v>142</v>
      </c>
      <c r="B11" s="49" t="s">
        <v>123</v>
      </c>
      <c r="C11" s="13" t="n">
        <v>35</v>
      </c>
      <c r="D11" s="11" t="s">
        <v>143</v>
      </c>
      <c r="E11" s="11" t="n">
        <v>1748</v>
      </c>
      <c r="F11" s="47" t="n">
        <v>46307</v>
      </c>
    </row>
    <row r="12" customFormat="false" ht="15" hidden="false" customHeight="true" outlineLevel="0" collapsed="false">
      <c r="A12" s="11" t="s">
        <v>144</v>
      </c>
      <c r="B12" s="49" t="s">
        <v>123</v>
      </c>
      <c r="C12" s="13" t="n">
        <v>46.6667</v>
      </c>
      <c r="D12" s="11" t="s">
        <v>145</v>
      </c>
      <c r="E12" s="11" t="n">
        <v>2581</v>
      </c>
      <c r="F12" s="47" t="n">
        <v>46307</v>
      </c>
    </row>
    <row r="13" customFormat="false" ht="15" hidden="false" customHeight="true" outlineLevel="0" collapsed="false">
      <c r="A13" s="11" t="s">
        <v>146</v>
      </c>
      <c r="B13" s="49" t="s">
        <v>123</v>
      </c>
      <c r="C13" s="13" t="n">
        <v>5.65</v>
      </c>
      <c r="D13" s="11" t="s">
        <v>147</v>
      </c>
      <c r="E13" s="11" t="n">
        <v>2344</v>
      </c>
      <c r="F13" s="47" t="n">
        <v>46307</v>
      </c>
    </row>
    <row r="14" customFormat="false" ht="15" hidden="false" customHeight="true" outlineLevel="0" collapsed="false">
      <c r="A14" s="11" t="s">
        <v>148</v>
      </c>
      <c r="B14" s="49" t="s">
        <v>123</v>
      </c>
      <c r="C14" s="13" t="n">
        <v>9</v>
      </c>
      <c r="D14" s="11" t="s">
        <v>149</v>
      </c>
      <c r="E14" s="11" t="n">
        <v>2343</v>
      </c>
      <c r="F14" s="47" t="n">
        <v>46307</v>
      </c>
    </row>
    <row r="15" customFormat="false" ht="15" hidden="false" customHeight="true" outlineLevel="0" collapsed="false">
      <c r="A15" s="11" t="s">
        <v>150</v>
      </c>
      <c r="B15" s="49" t="s">
        <v>123</v>
      </c>
      <c r="C15" s="13" t="n">
        <v>95</v>
      </c>
      <c r="D15" s="11" t="s">
        <v>151</v>
      </c>
      <c r="E15" s="11" t="n">
        <v>1831</v>
      </c>
      <c r="F15" s="47" t="n">
        <v>46307</v>
      </c>
    </row>
    <row r="16" customFormat="false" ht="15" hidden="false" customHeight="true" outlineLevel="0" collapsed="false">
      <c r="A16" s="11" t="s">
        <v>152</v>
      </c>
      <c r="B16" s="49" t="s">
        <v>123</v>
      </c>
      <c r="C16" s="13" t="n">
        <v>34</v>
      </c>
      <c r="D16" s="11" t="s">
        <v>153</v>
      </c>
      <c r="E16" s="11" t="n">
        <v>1752</v>
      </c>
      <c r="F16" s="47" t="n">
        <v>46307</v>
      </c>
    </row>
    <row r="17" customFormat="false" ht="15" hidden="false" customHeight="true" outlineLevel="0" collapsed="false">
      <c r="A17" s="11" t="s">
        <v>154</v>
      </c>
      <c r="B17" s="49" t="s">
        <v>123</v>
      </c>
      <c r="C17" s="13" t="n">
        <v>45</v>
      </c>
      <c r="D17" s="11" t="s">
        <v>155</v>
      </c>
      <c r="E17" s="11" t="n">
        <v>1753</v>
      </c>
      <c r="F17" s="47" t="n">
        <v>46307</v>
      </c>
    </row>
    <row r="18" customFormat="false" ht="15" hidden="false" customHeight="true" outlineLevel="0" collapsed="false">
      <c r="A18" s="11" t="s">
        <v>156</v>
      </c>
      <c r="B18" s="49" t="s">
        <v>123</v>
      </c>
      <c r="C18" s="13" t="n">
        <v>26.9708</v>
      </c>
      <c r="D18" s="11" t="s">
        <v>157</v>
      </c>
      <c r="E18" s="11" t="n">
        <v>1756</v>
      </c>
      <c r="F18" s="47" t="n">
        <v>46307</v>
      </c>
    </row>
    <row r="19" customFormat="false" ht="15" hidden="false" customHeight="true" outlineLevel="0" collapsed="false">
      <c r="A19" s="11" t="s">
        <v>158</v>
      </c>
      <c r="B19" s="49" t="s">
        <v>123</v>
      </c>
      <c r="C19" s="13" t="n">
        <v>33.982</v>
      </c>
      <c r="D19" s="11" t="s">
        <v>159</v>
      </c>
      <c r="E19" s="11" t="n">
        <v>1759</v>
      </c>
      <c r="F19" s="47" t="n">
        <v>46307</v>
      </c>
    </row>
    <row r="20" customFormat="false" ht="15" hidden="false" customHeight="true" outlineLevel="0" collapsed="false">
      <c r="A20" s="11" t="s">
        <v>160</v>
      </c>
      <c r="B20" s="49" t="s">
        <v>123</v>
      </c>
      <c r="C20" s="13" t="n">
        <v>48.7817</v>
      </c>
      <c r="D20" s="11" t="s">
        <v>161</v>
      </c>
      <c r="E20" s="11" t="n">
        <v>2583</v>
      </c>
      <c r="F20" s="47" t="n">
        <v>46307</v>
      </c>
    </row>
    <row r="21" customFormat="false" ht="15" hidden="false" customHeight="true" outlineLevel="0" collapsed="false">
      <c r="A21" s="11" t="s">
        <v>162</v>
      </c>
      <c r="B21" s="49" t="s">
        <v>123</v>
      </c>
      <c r="C21" s="13" t="n">
        <v>30</v>
      </c>
      <c r="D21" s="11" t="s">
        <v>163</v>
      </c>
      <c r="E21" s="11" t="n">
        <v>1760</v>
      </c>
      <c r="F21" s="47" t="n">
        <v>46307</v>
      </c>
    </row>
    <row r="22" customFormat="false" ht="15" hidden="false" customHeight="true" outlineLevel="0" collapsed="false">
      <c r="A22" s="11" t="s">
        <v>164</v>
      </c>
      <c r="B22" s="49" t="s">
        <v>123</v>
      </c>
      <c r="C22" s="48" t="n">
        <v>29</v>
      </c>
      <c r="D22" s="11" t="s">
        <v>165</v>
      </c>
      <c r="E22" s="11" t="n">
        <v>2585</v>
      </c>
      <c r="F22" s="47" t="n">
        <v>46307</v>
      </c>
    </row>
    <row r="23" customFormat="false" ht="15" hidden="false" customHeight="true" outlineLevel="0" collapsed="false">
      <c r="A23" s="11" t="s">
        <v>166</v>
      </c>
      <c r="B23" s="49" t="s">
        <v>123</v>
      </c>
      <c r="C23" s="13" t="n">
        <v>25</v>
      </c>
      <c r="D23" s="11" t="s">
        <v>167</v>
      </c>
      <c r="E23" s="11" t="n">
        <v>1790</v>
      </c>
      <c r="F23" s="47" t="n">
        <v>46307</v>
      </c>
    </row>
    <row r="24" customFormat="false" ht="15" hidden="false" customHeight="true" outlineLevel="0" collapsed="false">
      <c r="A24" s="11" t="s">
        <v>168</v>
      </c>
      <c r="B24" s="49" t="s">
        <v>123</v>
      </c>
      <c r="C24" s="13" t="n">
        <v>21</v>
      </c>
      <c r="D24" s="11" t="s">
        <v>169</v>
      </c>
      <c r="E24" s="11" t="n">
        <v>1754</v>
      </c>
      <c r="F24" s="47" t="n">
        <v>46307</v>
      </c>
    </row>
    <row r="25" customFormat="false" ht="15" hidden="false" customHeight="true" outlineLevel="0" collapsed="false">
      <c r="A25" s="11" t="s">
        <v>170</v>
      </c>
      <c r="B25" s="49" t="s">
        <v>123</v>
      </c>
      <c r="C25" s="13" t="n">
        <v>23</v>
      </c>
      <c r="D25" s="11" t="s">
        <v>171</v>
      </c>
      <c r="E25" s="11" t="n">
        <v>1799</v>
      </c>
      <c r="F25" s="47" t="n">
        <v>46307</v>
      </c>
    </row>
    <row r="26" customFormat="false" ht="15" hidden="false" customHeight="true" outlineLevel="0" collapsed="false">
      <c r="A26" s="11" t="s">
        <v>172</v>
      </c>
      <c r="B26" s="49" t="s">
        <v>123</v>
      </c>
      <c r="C26" s="13" t="n">
        <v>20</v>
      </c>
      <c r="D26" s="11" t="s">
        <v>173</v>
      </c>
      <c r="E26" s="11" t="n">
        <v>1750</v>
      </c>
      <c r="F26" s="47" t="n">
        <v>46307</v>
      </c>
    </row>
    <row r="27" customFormat="false" ht="15" hidden="false" customHeight="true" outlineLevel="0" collapsed="false">
      <c r="A27" s="11" t="s">
        <v>174</v>
      </c>
      <c r="B27" s="49" t="s">
        <v>123</v>
      </c>
      <c r="C27" s="13" t="n">
        <v>27.1395</v>
      </c>
      <c r="D27" s="11" t="s">
        <v>175</v>
      </c>
      <c r="E27" s="11" t="n">
        <v>2586</v>
      </c>
      <c r="F27" s="47" t="n">
        <v>46307</v>
      </c>
    </row>
    <row r="28" customFormat="false" ht="15" hidden="false" customHeight="true" outlineLevel="0" collapsed="false">
      <c r="A28" s="11" t="s">
        <v>176</v>
      </c>
      <c r="B28" s="49" t="s">
        <v>123</v>
      </c>
      <c r="C28" s="13" t="n">
        <v>17.5</v>
      </c>
      <c r="D28" s="11" t="s">
        <v>177</v>
      </c>
      <c r="E28" s="11" t="n">
        <v>1766</v>
      </c>
      <c r="F28" s="47" t="n">
        <v>46307</v>
      </c>
    </row>
    <row r="29" customFormat="false" ht="15" hidden="false" customHeight="true" outlineLevel="0" collapsed="false">
      <c r="A29" s="11" t="s">
        <v>178</v>
      </c>
      <c r="B29" s="49" t="s">
        <v>123</v>
      </c>
      <c r="C29" s="13" t="n">
        <v>25</v>
      </c>
      <c r="D29" s="11" t="s">
        <v>179</v>
      </c>
      <c r="E29" s="11" t="n">
        <v>2587</v>
      </c>
      <c r="F29" s="47" t="n">
        <v>46307</v>
      </c>
    </row>
    <row r="30" customFormat="false" ht="15" hidden="false" customHeight="true" outlineLevel="0" collapsed="false">
      <c r="A30" s="11" t="s">
        <v>180</v>
      </c>
      <c r="B30" s="46" t="s">
        <v>181</v>
      </c>
      <c r="C30" s="13" t="n">
        <v>100</v>
      </c>
      <c r="D30" s="11" t="s">
        <v>182</v>
      </c>
      <c r="E30" s="11" t="n">
        <v>1803</v>
      </c>
      <c r="F30" s="47" t="n">
        <v>46307</v>
      </c>
    </row>
    <row r="31" customFormat="false" ht="15" hidden="false" customHeight="true" outlineLevel="0" collapsed="false">
      <c r="A31" s="11" t="s">
        <v>183</v>
      </c>
      <c r="B31" s="46" t="s">
        <v>181</v>
      </c>
      <c r="C31" s="13" t="n">
        <v>104.58</v>
      </c>
      <c r="D31" s="11" t="s">
        <v>184</v>
      </c>
      <c r="E31" s="11" t="n">
        <v>1795</v>
      </c>
      <c r="F31" s="47" t="n">
        <v>46307</v>
      </c>
    </row>
    <row r="32" customFormat="false" ht="15" hidden="false" customHeight="true" outlineLevel="0" collapsed="false">
      <c r="A32" s="11" t="s">
        <v>185</v>
      </c>
      <c r="B32" s="46" t="s">
        <v>181</v>
      </c>
      <c r="C32" s="13" t="n">
        <v>100</v>
      </c>
      <c r="D32" s="11" t="s">
        <v>182</v>
      </c>
      <c r="E32" s="11" t="n">
        <v>1804</v>
      </c>
      <c r="F32" s="47" t="n">
        <v>46307</v>
      </c>
    </row>
    <row r="33" customFormat="false" ht="15" hidden="false" customHeight="true" outlineLevel="0" collapsed="false">
      <c r="A33" s="11" t="s">
        <v>186</v>
      </c>
      <c r="B33" s="46" t="s">
        <v>181</v>
      </c>
      <c r="C33" s="13" t="n">
        <v>41</v>
      </c>
      <c r="D33" s="11" t="s">
        <v>187</v>
      </c>
      <c r="E33" s="11" t="n">
        <v>1775</v>
      </c>
      <c r="F33" s="47" t="n">
        <v>46307</v>
      </c>
    </row>
    <row r="34" customFormat="false" ht="15" hidden="false" customHeight="true" outlineLevel="0" collapsed="false">
      <c r="A34" s="11" t="s">
        <v>188</v>
      </c>
      <c r="B34" s="46" t="s">
        <v>181</v>
      </c>
      <c r="C34" s="13" t="n">
        <v>25</v>
      </c>
      <c r="D34" s="11" t="s">
        <v>189</v>
      </c>
      <c r="E34" s="11" t="n">
        <v>2229</v>
      </c>
      <c r="F34" s="47" t="n">
        <v>46230</v>
      </c>
    </row>
    <row r="35" customFormat="false" ht="15" hidden="false" customHeight="true" outlineLevel="0" collapsed="false">
      <c r="A35" s="11" t="s">
        <v>190</v>
      </c>
      <c r="B35" s="46" t="s">
        <v>181</v>
      </c>
      <c r="C35" s="48" t="n">
        <v>18</v>
      </c>
      <c r="D35" s="11" t="s">
        <v>191</v>
      </c>
      <c r="E35" s="11" t="n">
        <v>2241</v>
      </c>
      <c r="F35" s="47" t="n">
        <v>46307</v>
      </c>
    </row>
    <row r="36" customFormat="false" ht="26.25" hidden="false" customHeight="true" outlineLevel="0" collapsed="false">
      <c r="A36" s="11" t="s">
        <v>192</v>
      </c>
      <c r="B36" s="49" t="s">
        <v>193</v>
      </c>
      <c r="C36" s="48" t="n">
        <v>3.65</v>
      </c>
      <c r="D36" s="11" t="s">
        <v>194</v>
      </c>
      <c r="E36" s="11" t="n">
        <v>1838</v>
      </c>
      <c r="F36" s="47" t="n">
        <v>46307</v>
      </c>
    </row>
    <row r="37" customFormat="false" ht="15" hidden="false" customHeight="true" outlineLevel="0" collapsed="false">
      <c r="A37" s="11" t="s">
        <v>195</v>
      </c>
      <c r="B37" s="46" t="s">
        <v>196</v>
      </c>
      <c r="C37" s="13" t="n">
        <v>30</v>
      </c>
      <c r="D37" s="11" t="s">
        <v>197</v>
      </c>
      <c r="E37" s="11" t="n">
        <v>1896</v>
      </c>
      <c r="F37" s="47" t="n">
        <v>46307</v>
      </c>
    </row>
    <row r="38" customFormat="false" ht="15" hidden="false" customHeight="true" outlineLevel="0" collapsed="false">
      <c r="A38" s="11" t="s">
        <v>198</v>
      </c>
      <c r="B38" s="46" t="s">
        <v>181</v>
      </c>
      <c r="C38" s="13" t="n">
        <v>175</v>
      </c>
      <c r="D38" s="11" t="s">
        <v>199</v>
      </c>
      <c r="E38" s="11" t="n">
        <v>2226</v>
      </c>
      <c r="F38" s="47" t="n">
        <v>46307</v>
      </c>
    </row>
    <row r="39" customFormat="false" ht="15" hidden="false" customHeight="true" outlineLevel="0" collapsed="false">
      <c r="A39" s="11" t="s">
        <v>200</v>
      </c>
      <c r="B39" s="46" t="s">
        <v>123</v>
      </c>
      <c r="C39" s="13" t="n">
        <v>6.09</v>
      </c>
      <c r="D39" s="11" t="s">
        <v>201</v>
      </c>
      <c r="E39" s="11" t="n">
        <v>2281</v>
      </c>
      <c r="F39" s="47" t="n">
        <v>46307</v>
      </c>
    </row>
    <row r="40" customFormat="false" ht="15" hidden="false" customHeight="true" outlineLevel="0" collapsed="false">
      <c r="A40" s="11" t="s">
        <v>202</v>
      </c>
      <c r="B40" s="46" t="s">
        <v>123</v>
      </c>
      <c r="C40" s="13" t="n">
        <v>17.1875</v>
      </c>
      <c r="D40" s="11" t="s">
        <v>203</v>
      </c>
      <c r="E40" s="11" t="n">
        <v>1725</v>
      </c>
      <c r="F40" s="47" t="n">
        <v>46307</v>
      </c>
    </row>
    <row r="41" customFormat="false" ht="15" hidden="false" customHeight="true" outlineLevel="0" collapsed="false">
      <c r="A41" s="11" t="s">
        <v>204</v>
      </c>
      <c r="B41" s="46" t="s">
        <v>205</v>
      </c>
      <c r="C41" s="13" t="n">
        <v>30</v>
      </c>
      <c r="D41" s="11" t="s">
        <v>206</v>
      </c>
      <c r="E41" s="11" t="n">
        <v>1721</v>
      </c>
      <c r="F41" s="47" t="n">
        <v>46307</v>
      </c>
    </row>
    <row r="42" customFormat="false" ht="15" hidden="false" customHeight="true" outlineLevel="0" collapsed="false">
      <c r="A42" s="11" t="s">
        <v>207</v>
      </c>
      <c r="B42" s="46" t="s">
        <v>181</v>
      </c>
      <c r="C42" s="13" t="n">
        <v>105</v>
      </c>
      <c r="D42" s="11" t="s">
        <v>189</v>
      </c>
      <c r="E42" s="11" t="n">
        <v>2235</v>
      </c>
      <c r="F42" s="47" t="n">
        <v>46230</v>
      </c>
    </row>
    <row r="43" customFormat="false" ht="15" hidden="false" customHeight="true" outlineLevel="0" collapsed="false">
      <c r="A43" s="11" t="s">
        <v>208</v>
      </c>
      <c r="B43" s="46" t="s">
        <v>209</v>
      </c>
      <c r="C43" s="13" t="n">
        <v>181.9048</v>
      </c>
      <c r="D43" s="11" t="s">
        <v>210</v>
      </c>
      <c r="E43" s="11" t="n">
        <v>2572</v>
      </c>
      <c r="F43" s="47" t="n">
        <v>46307</v>
      </c>
    </row>
    <row r="44" customFormat="false" ht="15" hidden="false" customHeight="true" outlineLevel="0" collapsed="false">
      <c r="A44" s="11" t="s">
        <v>211</v>
      </c>
      <c r="B44" s="49" t="s">
        <v>212</v>
      </c>
      <c r="C44" s="13" t="n">
        <v>0.18</v>
      </c>
      <c r="D44" s="11" t="s">
        <v>213</v>
      </c>
      <c r="E44" s="11" t="n">
        <v>2242</v>
      </c>
      <c r="F44" s="47" t="n">
        <v>46307</v>
      </c>
    </row>
    <row r="45" customFormat="false" ht="15" hidden="false" customHeight="true" outlineLevel="0" collapsed="false">
      <c r="A45" s="11" t="s">
        <v>214</v>
      </c>
      <c r="B45" s="46" t="s">
        <v>181</v>
      </c>
      <c r="C45" s="13" t="n">
        <v>200</v>
      </c>
      <c r="D45" s="11" t="s">
        <v>215</v>
      </c>
      <c r="E45" s="11" t="n">
        <v>1801</v>
      </c>
      <c r="F45" s="47" t="n">
        <v>46307</v>
      </c>
    </row>
    <row r="46" customFormat="false" ht="15" hidden="false" customHeight="true" outlineLevel="0" collapsed="false">
      <c r="A46" s="11" t="s">
        <v>216</v>
      </c>
      <c r="B46" s="46" t="s">
        <v>209</v>
      </c>
      <c r="C46" s="13" t="n">
        <v>15</v>
      </c>
      <c r="D46" s="11" t="s">
        <v>203</v>
      </c>
      <c r="E46" s="11" t="n">
        <v>2339</v>
      </c>
      <c r="F46" s="47" t="n">
        <v>46307</v>
      </c>
    </row>
    <row r="47" customFormat="false" ht="15" hidden="false" customHeight="true" outlineLevel="0" collapsed="false">
      <c r="A47" s="11" t="s">
        <v>217</v>
      </c>
      <c r="B47" s="46" t="s">
        <v>181</v>
      </c>
      <c r="C47" s="13" t="n">
        <v>30</v>
      </c>
      <c r="D47" s="11" t="s">
        <v>197</v>
      </c>
      <c r="E47" s="11" t="n">
        <v>2256</v>
      </c>
      <c r="F47" s="47" t="n">
        <v>46307</v>
      </c>
    </row>
    <row r="48" customFormat="false" ht="15" hidden="false" customHeight="true" outlineLevel="0" collapsed="false">
      <c r="A48" s="11" t="s">
        <v>218</v>
      </c>
      <c r="B48" s="46" t="s">
        <v>181</v>
      </c>
      <c r="C48" s="13" t="n">
        <v>20.3571</v>
      </c>
      <c r="D48" s="11" t="s">
        <v>219</v>
      </c>
      <c r="E48" s="11" t="n">
        <v>1809</v>
      </c>
      <c r="F48" s="47" t="n">
        <v>46307</v>
      </c>
    </row>
    <row r="49" customFormat="false" ht="15" hidden="false" customHeight="true" outlineLevel="0" collapsed="false">
      <c r="A49" s="11" t="s">
        <v>220</v>
      </c>
      <c r="B49" s="46" t="s">
        <v>181</v>
      </c>
      <c r="C49" s="13" t="n">
        <v>120</v>
      </c>
      <c r="D49" s="11" t="s">
        <v>130</v>
      </c>
      <c r="E49" s="11" t="n">
        <v>1788</v>
      </c>
      <c r="F49" s="47" t="n">
        <v>46307</v>
      </c>
    </row>
    <row r="50" customFormat="false" ht="15" hidden="false" customHeight="true" outlineLevel="0" collapsed="false">
      <c r="A50" s="11" t="s">
        <v>221</v>
      </c>
      <c r="B50" s="46" t="s">
        <v>181</v>
      </c>
      <c r="C50" s="13" t="n">
        <v>220</v>
      </c>
      <c r="D50" s="11" t="s">
        <v>222</v>
      </c>
      <c r="E50" s="11" t="n">
        <v>1800</v>
      </c>
      <c r="F50" s="47" t="n">
        <v>46307</v>
      </c>
    </row>
    <row r="51" customFormat="false" ht="15" hidden="false" customHeight="true" outlineLevel="0" collapsed="false">
      <c r="A51" s="11" t="s">
        <v>223</v>
      </c>
      <c r="B51" s="46" t="s">
        <v>205</v>
      </c>
      <c r="C51" s="13" t="n">
        <v>72.5</v>
      </c>
      <c r="D51" s="11" t="s">
        <v>224</v>
      </c>
      <c r="E51" s="11" t="n">
        <v>1786</v>
      </c>
      <c r="F51" s="47" t="n">
        <v>46307</v>
      </c>
    </row>
    <row r="52" customFormat="false" ht="15" hidden="false" customHeight="true" outlineLevel="0" collapsed="false">
      <c r="A52" s="11" t="s">
        <v>225</v>
      </c>
      <c r="B52" s="46" t="s">
        <v>205</v>
      </c>
      <c r="C52" s="13" t="n">
        <v>75</v>
      </c>
      <c r="D52" s="11" t="s">
        <v>226</v>
      </c>
      <c r="E52" s="11" t="n">
        <v>1785</v>
      </c>
      <c r="F52" s="47" t="n">
        <v>46307</v>
      </c>
    </row>
    <row r="53" customFormat="false" ht="15" hidden="false" customHeight="true" outlineLevel="0" collapsed="false">
      <c r="A53" s="11" t="s">
        <v>227</v>
      </c>
      <c r="B53" s="46" t="s">
        <v>181</v>
      </c>
      <c r="C53" s="48" t="n">
        <v>95</v>
      </c>
      <c r="D53" s="11" t="s">
        <v>228</v>
      </c>
      <c r="E53" s="11" t="n">
        <v>1771</v>
      </c>
      <c r="F53" s="47" t="n">
        <v>46307</v>
      </c>
    </row>
    <row r="54" customFormat="false" ht="15" hidden="false" customHeight="true" outlineLevel="0" collapsed="false">
      <c r="A54" s="11" t="s">
        <v>229</v>
      </c>
      <c r="B54" s="46" t="s">
        <v>181</v>
      </c>
      <c r="C54" s="13" t="n">
        <v>30.6593</v>
      </c>
      <c r="D54" s="11" t="s">
        <v>197</v>
      </c>
      <c r="E54" s="11" t="n">
        <v>1798</v>
      </c>
      <c r="F54" s="47" t="n">
        <v>46307</v>
      </c>
    </row>
    <row r="55" customFormat="false" ht="15" hidden="false" customHeight="true" outlineLevel="0" collapsed="false">
      <c r="A55" s="11" t="s">
        <v>230</v>
      </c>
      <c r="B55" s="46" t="s">
        <v>209</v>
      </c>
      <c r="C55" s="13" t="n">
        <v>7.1</v>
      </c>
      <c r="D55" s="11" t="s">
        <v>231</v>
      </c>
      <c r="E55" s="11" t="n">
        <v>2320</v>
      </c>
      <c r="F55" s="47" t="n">
        <v>46307</v>
      </c>
    </row>
    <row r="56" customFormat="false" ht="15" hidden="false" customHeight="true" outlineLevel="0" collapsed="false">
      <c r="A56" s="11" t="s">
        <v>232</v>
      </c>
      <c r="B56" s="46" t="s">
        <v>181</v>
      </c>
      <c r="C56" s="13" t="n">
        <v>380</v>
      </c>
      <c r="D56" s="11" t="s">
        <v>233</v>
      </c>
      <c r="E56" s="11" t="n">
        <v>1787</v>
      </c>
      <c r="F56" s="47" t="n">
        <v>46307</v>
      </c>
    </row>
    <row r="57" customFormat="false" ht="15" hidden="false" customHeight="true" outlineLevel="0" collapsed="false">
      <c r="A57" s="11" t="s">
        <v>234</v>
      </c>
      <c r="B57" s="49" t="s">
        <v>235</v>
      </c>
      <c r="C57" s="13" t="n">
        <v>2.5189</v>
      </c>
      <c r="D57" s="11" t="s">
        <v>236</v>
      </c>
      <c r="E57" s="11" t="n">
        <v>1840</v>
      </c>
      <c r="F57" s="47" t="n">
        <v>46307</v>
      </c>
    </row>
    <row r="58" customFormat="false" ht="26.25" hidden="false" customHeight="true" outlineLevel="0" collapsed="false">
      <c r="A58" s="11" t="s">
        <v>237</v>
      </c>
      <c r="B58" s="49" t="s">
        <v>123</v>
      </c>
      <c r="C58" s="13" t="n">
        <v>0.55</v>
      </c>
      <c r="D58" s="11" t="s">
        <v>238</v>
      </c>
      <c r="E58" s="11" t="n">
        <v>2590</v>
      </c>
      <c r="F58" s="47" t="n">
        <v>46307</v>
      </c>
    </row>
    <row r="59" customFormat="false" ht="15" hidden="false" customHeight="true" outlineLevel="0" collapsed="false">
      <c r="A59" s="11" t="s">
        <v>239</v>
      </c>
      <c r="B59" s="49" t="s">
        <v>123</v>
      </c>
      <c r="C59" s="13" t="n">
        <v>0.675</v>
      </c>
      <c r="D59" s="11" t="s">
        <v>240</v>
      </c>
      <c r="E59" s="11" t="n">
        <v>1837</v>
      </c>
      <c r="F59" s="47" t="n">
        <v>46307</v>
      </c>
    </row>
    <row r="60" customFormat="false" ht="15" hidden="false" customHeight="true" outlineLevel="0" collapsed="false">
      <c r="A60" s="11" t="s">
        <v>241</v>
      </c>
      <c r="B60" s="46" t="s">
        <v>181</v>
      </c>
      <c r="C60" s="13" t="n">
        <v>109.9656</v>
      </c>
      <c r="D60" s="11" t="s">
        <v>242</v>
      </c>
      <c r="E60" s="11" t="n">
        <v>2285</v>
      </c>
      <c r="F60" s="47" t="n">
        <v>46307</v>
      </c>
    </row>
    <row r="61" customFormat="false" ht="15" hidden="false" customHeight="true" outlineLevel="0" collapsed="false">
      <c r="A61" s="11" t="s">
        <v>243</v>
      </c>
      <c r="B61" s="46" t="s">
        <v>123</v>
      </c>
      <c r="C61" s="13" t="n">
        <v>0.3</v>
      </c>
      <c r="D61" s="11" t="s">
        <v>244</v>
      </c>
      <c r="E61" s="11" t="n">
        <v>1824</v>
      </c>
      <c r="F61" s="47" t="n">
        <v>46307</v>
      </c>
    </row>
    <row r="62" customFormat="false" ht="15" hidden="false" customHeight="true" outlineLevel="0" collapsed="false">
      <c r="A62" s="11" t="s">
        <v>245</v>
      </c>
      <c r="B62" s="46" t="s">
        <v>181</v>
      </c>
      <c r="C62" s="13" t="n">
        <v>127.6582</v>
      </c>
      <c r="D62" s="11" t="s">
        <v>246</v>
      </c>
      <c r="E62" s="11" t="n">
        <v>1791</v>
      </c>
      <c r="F62" s="47" t="n">
        <v>46307</v>
      </c>
    </row>
    <row r="63" customFormat="false" ht="15" hidden="false" customHeight="true" outlineLevel="0" collapsed="false">
      <c r="A63" s="11" t="s">
        <v>247</v>
      </c>
      <c r="B63" s="46" t="s">
        <v>181</v>
      </c>
      <c r="C63" s="13" t="n">
        <v>100</v>
      </c>
      <c r="D63" s="11" t="s">
        <v>182</v>
      </c>
      <c r="E63" s="11" t="n">
        <v>1792</v>
      </c>
      <c r="F63" s="47" t="n">
        <v>46307</v>
      </c>
    </row>
    <row r="64" customFormat="false" ht="15" hidden="false" customHeight="true" outlineLevel="0" collapsed="false">
      <c r="A64" s="11" t="s">
        <v>248</v>
      </c>
      <c r="B64" s="46" t="s">
        <v>205</v>
      </c>
      <c r="C64" s="13" t="n">
        <v>12</v>
      </c>
      <c r="D64" s="11" t="s">
        <v>249</v>
      </c>
      <c r="E64" s="11" t="n">
        <v>2271</v>
      </c>
      <c r="F64" s="47" t="n">
        <v>46307</v>
      </c>
    </row>
    <row r="65" customFormat="false" ht="15" hidden="false" customHeight="true" outlineLevel="0" collapsed="false">
      <c r="A65" s="11" t="s">
        <v>250</v>
      </c>
      <c r="B65" s="46" t="s">
        <v>181</v>
      </c>
      <c r="C65" s="13" t="n">
        <v>32</v>
      </c>
      <c r="D65" s="11" t="s">
        <v>251</v>
      </c>
      <c r="E65" s="11" t="n">
        <v>1774</v>
      </c>
      <c r="F65" s="47" t="n">
        <v>46307</v>
      </c>
    </row>
    <row r="66" customFormat="false" ht="15" hidden="false" customHeight="true" outlineLevel="0" collapsed="false">
      <c r="A66" s="11" t="s">
        <v>252</v>
      </c>
      <c r="B66" s="46" t="s">
        <v>181</v>
      </c>
      <c r="C66" s="13" t="n">
        <v>70</v>
      </c>
      <c r="D66" s="11" t="s">
        <v>253</v>
      </c>
      <c r="E66" s="11" t="n">
        <v>1780</v>
      </c>
      <c r="F66" s="47" t="n">
        <v>46307</v>
      </c>
    </row>
    <row r="67" customFormat="false" ht="15" hidden="false" customHeight="true" outlineLevel="0" collapsed="false">
      <c r="A67" s="11" t="s">
        <v>254</v>
      </c>
      <c r="B67" s="46" t="s">
        <v>181</v>
      </c>
      <c r="C67" s="13" t="n">
        <v>140</v>
      </c>
      <c r="D67" s="11" t="s">
        <v>255</v>
      </c>
      <c r="E67" s="11" t="n">
        <v>2219</v>
      </c>
      <c r="F67" s="47" t="n">
        <v>46307</v>
      </c>
    </row>
    <row r="68" customFormat="false" ht="15" hidden="false" customHeight="true" outlineLevel="0" collapsed="false">
      <c r="A68" s="11" t="s">
        <v>256</v>
      </c>
      <c r="B68" s="46" t="s">
        <v>181</v>
      </c>
      <c r="C68" s="13" t="n">
        <v>105</v>
      </c>
      <c r="D68" s="11" t="s">
        <v>257</v>
      </c>
      <c r="E68" s="11" t="n">
        <v>1779</v>
      </c>
      <c r="F68" s="47" t="n">
        <v>46307</v>
      </c>
    </row>
    <row r="69" customFormat="false" ht="15" hidden="false" customHeight="true" outlineLevel="0" collapsed="false">
      <c r="A69" s="11" t="s">
        <v>258</v>
      </c>
      <c r="B69" s="46" t="s">
        <v>181</v>
      </c>
      <c r="C69" s="13" t="n">
        <v>140</v>
      </c>
      <c r="D69" s="11" t="s">
        <v>259</v>
      </c>
      <c r="E69" s="11" t="n">
        <v>1778</v>
      </c>
      <c r="F69" s="47" t="n">
        <v>46307</v>
      </c>
    </row>
    <row r="70" customFormat="false" ht="15" hidden="false" customHeight="true" outlineLevel="0" collapsed="false">
      <c r="A70" s="11" t="s">
        <v>260</v>
      </c>
      <c r="B70" s="46" t="s">
        <v>181</v>
      </c>
      <c r="C70" s="13" t="n">
        <v>21</v>
      </c>
      <c r="D70" s="11" t="s">
        <v>261</v>
      </c>
      <c r="E70" s="11" t="n">
        <v>1772</v>
      </c>
      <c r="F70" s="47" t="n">
        <v>46307</v>
      </c>
    </row>
    <row r="71" customFormat="false" ht="15" hidden="false" customHeight="true" outlineLevel="0" collapsed="false">
      <c r="A71" s="11" t="s">
        <v>262</v>
      </c>
      <c r="B71" s="46" t="s">
        <v>181</v>
      </c>
      <c r="C71" s="13" t="n">
        <v>22</v>
      </c>
      <c r="D71" s="11" t="s">
        <v>263</v>
      </c>
      <c r="E71" s="11" t="n">
        <v>1749</v>
      </c>
      <c r="F71" s="47" t="n">
        <v>46307</v>
      </c>
    </row>
    <row r="72" customFormat="false" ht="15" hidden="false" customHeight="true" outlineLevel="0" collapsed="false">
      <c r="A72" s="11" t="s">
        <v>264</v>
      </c>
      <c r="B72" s="46" t="s">
        <v>123</v>
      </c>
      <c r="C72" s="13" t="n">
        <v>4</v>
      </c>
      <c r="D72" s="11" t="s">
        <v>265</v>
      </c>
      <c r="E72" s="11" t="n">
        <v>1806</v>
      </c>
      <c r="F72" s="47" t="n">
        <v>46307</v>
      </c>
    </row>
    <row r="73" customFormat="false" ht="15" hidden="false" customHeight="true" outlineLevel="0" collapsed="false">
      <c r="A73" s="11" t="s">
        <v>266</v>
      </c>
      <c r="B73" s="46" t="s">
        <v>181</v>
      </c>
      <c r="C73" s="13" t="n">
        <v>140</v>
      </c>
      <c r="D73" s="11" t="s">
        <v>267</v>
      </c>
      <c r="E73" s="11" t="n">
        <v>1805</v>
      </c>
      <c r="F73" s="47" t="n">
        <v>46307</v>
      </c>
    </row>
    <row r="74" customFormat="false" ht="15" hidden="false" customHeight="true" outlineLevel="0" collapsed="false">
      <c r="A74" s="11" t="s">
        <v>268</v>
      </c>
      <c r="B74" s="46" t="s">
        <v>123</v>
      </c>
      <c r="C74" s="13" t="n">
        <v>5.5</v>
      </c>
      <c r="D74" s="11" t="s">
        <v>269</v>
      </c>
      <c r="E74" s="11" t="n">
        <v>1818</v>
      </c>
      <c r="F74" s="47" t="n">
        <v>46307</v>
      </c>
    </row>
    <row r="75" customFormat="false" ht="15" hidden="false" customHeight="true" outlineLevel="0" collapsed="false">
      <c r="A75" s="11" t="s">
        <v>270</v>
      </c>
      <c r="B75" s="46" t="s">
        <v>123</v>
      </c>
      <c r="C75" s="13" t="n">
        <v>4.5</v>
      </c>
      <c r="D75" s="11" t="s">
        <v>271</v>
      </c>
      <c r="E75" s="11" t="n">
        <v>1751</v>
      </c>
      <c r="F75" s="47" t="n">
        <v>46307</v>
      </c>
    </row>
    <row r="76" customFormat="false" ht="15" hidden="false" customHeight="true" outlineLevel="0" collapsed="false">
      <c r="A76" s="11" t="s">
        <v>272</v>
      </c>
      <c r="B76" s="46" t="s">
        <v>123</v>
      </c>
      <c r="C76" s="13" t="n">
        <v>0.5</v>
      </c>
      <c r="D76" s="11" t="s">
        <v>273</v>
      </c>
      <c r="E76" s="11" t="n">
        <v>2306</v>
      </c>
      <c r="F76" s="47" t="n">
        <v>46307</v>
      </c>
    </row>
    <row r="77" customFormat="false" ht="15" hidden="false" customHeight="true" outlineLevel="0" collapsed="false">
      <c r="A77" s="11" t="s">
        <v>274</v>
      </c>
      <c r="B77" s="46" t="s">
        <v>123</v>
      </c>
      <c r="C77" s="13" t="n">
        <v>1.7</v>
      </c>
      <c r="D77" s="11" t="s">
        <v>275</v>
      </c>
      <c r="E77" s="11" t="n">
        <v>2437</v>
      </c>
      <c r="F77" s="47" t="n">
        <v>46307</v>
      </c>
    </row>
    <row r="78" customFormat="false" ht="15" hidden="false" customHeight="true" outlineLevel="0" collapsed="false">
      <c r="A78" s="11" t="s">
        <v>276</v>
      </c>
      <c r="B78" s="46" t="s">
        <v>123</v>
      </c>
      <c r="C78" s="13" t="n">
        <v>2</v>
      </c>
      <c r="D78" s="11" t="s">
        <v>277</v>
      </c>
      <c r="E78" s="11" t="n">
        <v>2438</v>
      </c>
      <c r="F78" s="47" t="n">
        <v>46307</v>
      </c>
    </row>
    <row r="79" customFormat="false" ht="15" hidden="false" customHeight="true" outlineLevel="0" collapsed="false">
      <c r="A79" s="11" t="s">
        <v>278</v>
      </c>
      <c r="B79" s="46" t="s">
        <v>123</v>
      </c>
      <c r="C79" s="13" t="n">
        <v>3.1</v>
      </c>
      <c r="D79" s="11" t="s">
        <v>279</v>
      </c>
      <c r="E79" s="11" t="n">
        <v>2413</v>
      </c>
      <c r="F79" s="47" t="n">
        <v>46307</v>
      </c>
    </row>
    <row r="80" customFormat="false" ht="15" hidden="false" customHeight="true" outlineLevel="0" collapsed="false">
      <c r="A80" s="11" t="s">
        <v>280</v>
      </c>
      <c r="B80" s="46" t="s">
        <v>123</v>
      </c>
      <c r="C80" s="13" t="n">
        <v>42.03</v>
      </c>
      <c r="D80" s="11" t="s">
        <v>281</v>
      </c>
      <c r="E80" s="11" t="n">
        <v>1764</v>
      </c>
      <c r="F80" s="47" t="n">
        <v>46307</v>
      </c>
    </row>
    <row r="81" customFormat="false" ht="15" hidden="false" customHeight="true" outlineLevel="0" collapsed="false">
      <c r="A81" s="11" t="s">
        <v>282</v>
      </c>
      <c r="B81" s="46" t="s">
        <v>181</v>
      </c>
      <c r="C81" s="13" t="n">
        <v>150</v>
      </c>
      <c r="D81" s="11" t="s">
        <v>283</v>
      </c>
      <c r="E81" s="11" t="n">
        <v>1890</v>
      </c>
      <c r="F81" s="47" t="n">
        <v>46307</v>
      </c>
    </row>
    <row r="82" customFormat="false" ht="15" hidden="false" customHeight="true" outlineLevel="0" collapsed="false">
      <c r="A82" s="11" t="s">
        <v>284</v>
      </c>
      <c r="B82" s="46" t="s">
        <v>181</v>
      </c>
      <c r="C82" s="13" t="n">
        <v>27</v>
      </c>
      <c r="D82" s="11" t="s">
        <v>285</v>
      </c>
      <c r="E82" s="11" t="n">
        <v>1773</v>
      </c>
      <c r="F82" s="47" t="n">
        <v>46307</v>
      </c>
    </row>
    <row r="83" customFormat="false" ht="15" hidden="false" customHeight="true" outlineLevel="0" collapsed="false">
      <c r="A83" s="11" t="s">
        <v>286</v>
      </c>
      <c r="B83" s="46" t="s">
        <v>123</v>
      </c>
      <c r="C83" s="48" t="n">
        <v>15</v>
      </c>
      <c r="D83" s="11" t="s">
        <v>287</v>
      </c>
      <c r="E83" s="11" t="n">
        <v>2319</v>
      </c>
      <c r="F83" s="47" t="n">
        <v>46307</v>
      </c>
    </row>
    <row r="84" customFormat="false" ht="15" hidden="false" customHeight="true" outlineLevel="0" collapsed="false">
      <c r="A84" s="11" t="s">
        <v>288</v>
      </c>
      <c r="B84" s="46" t="s">
        <v>123</v>
      </c>
      <c r="C84" s="13" t="n">
        <v>7</v>
      </c>
      <c r="D84" s="11" t="s">
        <v>289</v>
      </c>
      <c r="E84" s="11" t="n">
        <v>1767</v>
      </c>
      <c r="F84" s="47" t="n">
        <v>46307</v>
      </c>
    </row>
    <row r="85" customFormat="false" ht="15" hidden="false" customHeight="true" outlineLevel="0" collapsed="false">
      <c r="A85" s="11" t="s">
        <v>290</v>
      </c>
      <c r="B85" s="46" t="s">
        <v>123</v>
      </c>
      <c r="C85" s="13" t="n">
        <v>0.3</v>
      </c>
      <c r="D85" s="11" t="s">
        <v>244</v>
      </c>
      <c r="E85" s="11" t="n">
        <v>1782</v>
      </c>
      <c r="F85" s="47" t="n">
        <v>46307</v>
      </c>
    </row>
    <row r="86" customFormat="false" ht="15" hidden="false" customHeight="true" outlineLevel="0" collapsed="false">
      <c r="A86" s="11" t="s">
        <v>291</v>
      </c>
      <c r="B86" s="46" t="s">
        <v>181</v>
      </c>
      <c r="C86" s="13" t="n">
        <v>90</v>
      </c>
      <c r="D86" s="11" t="s">
        <v>292</v>
      </c>
      <c r="E86" s="11" t="n">
        <v>1776</v>
      </c>
      <c r="F86" s="47" t="n">
        <v>46307</v>
      </c>
    </row>
    <row r="87" customFormat="false" ht="15" hidden="false" customHeight="true" outlineLevel="0" collapsed="false">
      <c r="A87" s="11" t="s">
        <v>293</v>
      </c>
      <c r="B87" s="46" t="s">
        <v>123</v>
      </c>
      <c r="C87" s="13" t="n">
        <v>0.5</v>
      </c>
      <c r="D87" s="11" t="s">
        <v>294</v>
      </c>
      <c r="E87" s="11" t="n">
        <v>1826</v>
      </c>
      <c r="F87" s="47" t="n">
        <v>46307</v>
      </c>
    </row>
    <row r="88" customFormat="false" ht="15" hidden="false" customHeight="true" outlineLevel="0" collapsed="false">
      <c r="A88" s="11" t="s">
        <v>295</v>
      </c>
      <c r="B88" s="46" t="s">
        <v>181</v>
      </c>
      <c r="C88" s="13" t="n">
        <v>420</v>
      </c>
      <c r="D88" s="11" t="s">
        <v>296</v>
      </c>
      <c r="E88" s="11" t="n">
        <v>1839</v>
      </c>
      <c r="F88" s="47" t="n">
        <v>46307</v>
      </c>
    </row>
    <row r="89" customFormat="false" ht="15" hidden="false" customHeight="true" outlineLevel="0" collapsed="false">
      <c r="A89" s="11" t="s">
        <v>297</v>
      </c>
      <c r="B89" s="46" t="s">
        <v>123</v>
      </c>
      <c r="C89" s="13" t="n">
        <v>2</v>
      </c>
      <c r="D89" s="11" t="s">
        <v>277</v>
      </c>
      <c r="E89" s="11" t="n">
        <v>1822</v>
      </c>
      <c r="F89" s="47" t="n">
        <v>46307</v>
      </c>
    </row>
    <row r="90" customFormat="false" ht="15" hidden="false" customHeight="true" outlineLevel="0" collapsed="false">
      <c r="A90" s="11" t="s">
        <v>298</v>
      </c>
      <c r="B90" s="46" t="s">
        <v>205</v>
      </c>
      <c r="C90" s="13" t="n">
        <v>20.6667</v>
      </c>
      <c r="D90" s="11" t="s">
        <v>299</v>
      </c>
      <c r="E90" s="11" t="n">
        <v>1789</v>
      </c>
      <c r="F90" s="47" t="n">
        <v>46307</v>
      </c>
    </row>
    <row r="91" customFormat="false" ht="15" hidden="false" customHeight="true" outlineLevel="0" collapsed="false">
      <c r="A91" s="11" t="s">
        <v>300</v>
      </c>
      <c r="B91" s="46" t="s">
        <v>123</v>
      </c>
      <c r="C91" s="13" t="n">
        <v>6</v>
      </c>
      <c r="D91" s="11" t="s">
        <v>301</v>
      </c>
      <c r="E91" s="11" t="n">
        <v>2249</v>
      </c>
      <c r="F91" s="47" t="n">
        <v>46307</v>
      </c>
    </row>
    <row r="92" customFormat="false" ht="15" hidden="false" customHeight="true" outlineLevel="0" collapsed="false">
      <c r="A92" s="11" t="s">
        <v>302</v>
      </c>
      <c r="B92" s="46" t="s">
        <v>181</v>
      </c>
      <c r="C92" s="13" t="n">
        <v>135</v>
      </c>
      <c r="D92" s="11" t="s">
        <v>259</v>
      </c>
      <c r="E92" s="11" t="n">
        <v>1794</v>
      </c>
      <c r="F92" s="47" t="n">
        <v>46307</v>
      </c>
    </row>
    <row r="93" customFormat="false" ht="15" hidden="false" customHeight="true" outlineLevel="0" collapsed="false">
      <c r="A93" s="11" t="s">
        <v>303</v>
      </c>
      <c r="B93" s="46" t="s">
        <v>123</v>
      </c>
      <c r="C93" s="13" t="n">
        <v>5.5</v>
      </c>
      <c r="D93" s="11" t="s">
        <v>304</v>
      </c>
      <c r="E93" s="11" t="n">
        <v>2321</v>
      </c>
      <c r="F93" s="47" t="n">
        <v>46307</v>
      </c>
    </row>
    <row r="94" customFormat="false" ht="15" hidden="false" customHeight="true" outlineLevel="0" collapsed="false">
      <c r="A94" s="11" t="s">
        <v>305</v>
      </c>
      <c r="B94" s="46" t="s">
        <v>123</v>
      </c>
      <c r="C94" s="13" t="n">
        <v>25</v>
      </c>
      <c r="D94" s="11" t="s">
        <v>306</v>
      </c>
      <c r="E94" s="11" t="n">
        <v>2349</v>
      </c>
      <c r="F94" s="47" t="n">
        <v>46307</v>
      </c>
    </row>
    <row r="95" customFormat="false" ht="15" hidden="false" customHeight="true" outlineLevel="0" collapsed="false">
      <c r="A95" s="11" t="s">
        <v>307</v>
      </c>
      <c r="B95" s="46" t="s">
        <v>181</v>
      </c>
      <c r="C95" s="48" t="n">
        <v>151.2027</v>
      </c>
      <c r="D95" s="11" t="s">
        <v>308</v>
      </c>
      <c r="E95" s="11" t="n">
        <v>1758</v>
      </c>
      <c r="F95" s="47" t="n">
        <v>46307</v>
      </c>
    </row>
    <row r="96" customFormat="false" ht="15" hidden="false" customHeight="true" outlineLevel="0" collapsed="false">
      <c r="A96" s="11" t="s">
        <v>309</v>
      </c>
      <c r="B96" s="46" t="s">
        <v>181</v>
      </c>
      <c r="C96" s="13" t="n">
        <v>24</v>
      </c>
      <c r="D96" s="11" t="s">
        <v>310</v>
      </c>
      <c r="E96" s="11" t="n">
        <v>1811</v>
      </c>
      <c r="F96" s="47" t="n">
        <v>46307</v>
      </c>
    </row>
    <row r="97" customFormat="false" ht="15" hidden="false" customHeight="true" outlineLevel="0" collapsed="false">
      <c r="A97" s="11" t="s">
        <v>311</v>
      </c>
      <c r="B97" s="46" t="s">
        <v>123</v>
      </c>
      <c r="C97" s="13" t="n">
        <v>25</v>
      </c>
      <c r="D97" s="11" t="s">
        <v>312</v>
      </c>
      <c r="E97" s="11" t="n">
        <v>2348</v>
      </c>
      <c r="F97" s="47" t="n">
        <v>46307</v>
      </c>
    </row>
    <row r="98" customFormat="false" ht="15" hidden="false" customHeight="true" outlineLevel="0" collapsed="false">
      <c r="A98" s="11" t="s">
        <v>313</v>
      </c>
      <c r="B98" s="46" t="s">
        <v>181</v>
      </c>
      <c r="C98" s="13" t="n">
        <v>8.37</v>
      </c>
      <c r="D98" s="11" t="s">
        <v>314</v>
      </c>
      <c r="E98" s="11" t="n">
        <v>2254</v>
      </c>
      <c r="F98" s="47" t="n">
        <v>46307</v>
      </c>
    </row>
    <row r="99" customFormat="false" ht="15" hidden="false" customHeight="true" outlineLevel="0" collapsed="false">
      <c r="A99" s="11" t="s">
        <v>315</v>
      </c>
      <c r="B99" s="46" t="s">
        <v>123</v>
      </c>
      <c r="C99" s="13" t="n">
        <v>9</v>
      </c>
      <c r="D99" s="11" t="s">
        <v>316</v>
      </c>
      <c r="E99" s="11" t="n">
        <v>2341</v>
      </c>
      <c r="F99" s="47" t="n">
        <v>46307</v>
      </c>
    </row>
    <row r="100" customFormat="false" ht="15" hidden="false" customHeight="true" outlineLevel="0" collapsed="false">
      <c r="A100" s="11" t="s">
        <v>317</v>
      </c>
      <c r="B100" s="46" t="s">
        <v>181</v>
      </c>
      <c r="C100" s="13" t="n">
        <v>610</v>
      </c>
      <c r="D100" s="11" t="s">
        <v>318</v>
      </c>
      <c r="E100" s="11" t="n">
        <v>1793</v>
      </c>
      <c r="F100" s="47" t="n">
        <v>46307</v>
      </c>
    </row>
    <row r="101" customFormat="false" ht="26.25" hidden="false" customHeight="true" outlineLevel="0" collapsed="false">
      <c r="A101" s="11" t="s">
        <v>319</v>
      </c>
      <c r="B101" s="49" t="s">
        <v>320</v>
      </c>
      <c r="C101" s="48" t="n">
        <v>0.3665</v>
      </c>
      <c r="D101" s="11" t="s">
        <v>321</v>
      </c>
      <c r="E101" s="11" t="n">
        <v>1812</v>
      </c>
      <c r="F101" s="47" t="n">
        <v>46307</v>
      </c>
    </row>
    <row r="102" customFormat="false" ht="26.25" hidden="false" customHeight="true" outlineLevel="0" collapsed="false">
      <c r="A102" s="11" t="s">
        <v>322</v>
      </c>
      <c r="B102" s="49" t="s">
        <v>134</v>
      </c>
      <c r="C102" s="48" t="n">
        <v>1</v>
      </c>
      <c r="D102" s="11" t="s">
        <v>323</v>
      </c>
      <c r="E102" s="11" t="s">
        <v>324</v>
      </c>
      <c r="F102" s="47" t="n">
        <v>46307</v>
      </c>
    </row>
    <row r="103" customFormat="false" ht="39" hidden="false" customHeight="true" outlineLevel="0" collapsed="false">
      <c r="A103" s="11" t="s">
        <v>325</v>
      </c>
      <c r="B103" s="49" t="s">
        <v>181</v>
      </c>
      <c r="C103" s="13" t="n">
        <f aca="false">IFERROR((850/5000)*INDEX($C$2:$C$500,MATCH("كاستر بودر",$A$2:$A$500,0))+(2000/5000)*INDEX($C$2:$C$500,MATCH("لبن",$A$2:$A$500,0)),"")</f>
        <v>23.56668</v>
      </c>
      <c r="D103" s="11" t="s">
        <v>326</v>
      </c>
      <c r="E103" s="11" t="s">
        <v>327</v>
      </c>
      <c r="F103" s="47" t="n">
        <v>46230</v>
      </c>
    </row>
    <row r="104" customFormat="false" ht="39" hidden="false" customHeight="true" outlineLevel="0" collapsed="false">
      <c r="A104" s="11" t="s">
        <v>328</v>
      </c>
      <c r="B104" s="49" t="s">
        <v>123</v>
      </c>
      <c r="C104" s="13" t="n">
        <v>4.47</v>
      </c>
      <c r="D104" s="11" t="s">
        <v>329</v>
      </c>
      <c r="E104" s="11" t="n">
        <v>1819</v>
      </c>
      <c r="F104" s="47" t="n">
        <v>46307</v>
      </c>
    </row>
    <row r="105" customFormat="false" ht="51.75" hidden="false" customHeight="true" outlineLevel="0" collapsed="false">
      <c r="A105" s="11" t="s">
        <v>330</v>
      </c>
      <c r="B105" s="49" t="s">
        <v>123</v>
      </c>
      <c r="C105" s="13" t="n">
        <f aca="false">IFERROR((2*INDEX($C$2:$C$500,MATCH("لبن",$A$2:$A$500,0))+0.25*INDEX($C$2:$C$500,MATCH("زبدة",$A$2:$A$500,0))+5*INDEX($C$2:$C$500,MATCH("دقيق",$A$2:$A$500,0))+0.25*INDEX($C$2:$C$500,MATCH("سكر بودرة",$A$2:$A$500,0)))/60,"")</f>
        <v>3.01306208333333</v>
      </c>
      <c r="D105" s="11" t="s">
        <v>331</v>
      </c>
      <c r="E105" s="11" t="s">
        <v>327</v>
      </c>
      <c r="F105" s="47" t="n">
        <v>46230</v>
      </c>
    </row>
    <row r="106" customFormat="false" ht="26.25" hidden="false" customHeight="true" outlineLevel="0" collapsed="false">
      <c r="A106" s="11" t="s">
        <v>332</v>
      </c>
      <c r="B106" s="49" t="s">
        <v>181</v>
      </c>
      <c r="C106" s="13" t="n">
        <f aca="false">IFERROR((850/5000)*INDEX($C$2:$C$500,MATCH("كاستر بودر",$A$2:$A$500,0)),"")</f>
        <v>15.3</v>
      </c>
      <c r="D106" s="11" t="s">
        <v>333</v>
      </c>
      <c r="E106" s="11" t="s">
        <v>327</v>
      </c>
      <c r="F106" s="47" t="n">
        <v>46230</v>
      </c>
    </row>
    <row r="107" customFormat="false" ht="39" hidden="false" customHeight="true" outlineLevel="0" collapsed="false">
      <c r="A107" s="11" t="s">
        <v>334</v>
      </c>
      <c r="B107" s="49" t="s">
        <v>123</v>
      </c>
      <c r="C107" s="13" t="n">
        <f aca="false">IFERROR((0.25*INDEX($C$2:$C$500,MATCH("زبدة",$A$2:$A$500,0))+5*INDEX($C$2:$C$500,MATCH("دقيق",$A$2:$A$500,0))+0.25*INDEX($C$2:$C$500,MATCH("سكر بودرة",$A$2:$A$500,0)))/60,"")</f>
        <v>2.32417208333333</v>
      </c>
      <c r="D107" s="11" t="s">
        <v>335</v>
      </c>
      <c r="E107" s="11" t="s">
        <v>327</v>
      </c>
      <c r="F107" s="47" t="n">
        <v>46230</v>
      </c>
    </row>
    <row r="108" customFormat="false" ht="26.25" hidden="false" customHeight="true" outlineLevel="0" collapsed="false">
      <c r="A108" s="11" t="s">
        <v>336</v>
      </c>
      <c r="B108" s="49" t="s">
        <v>181</v>
      </c>
      <c r="C108" s="13" t="n">
        <v>220.02</v>
      </c>
      <c r="D108" s="11" t="s">
        <v>337</v>
      </c>
      <c r="E108" s="11" t="n">
        <v>2232</v>
      </c>
      <c r="F108" s="47" t="n">
        <v>46307</v>
      </c>
    </row>
    <row r="109" customFormat="false" ht="26.25" hidden="false" customHeight="true" outlineLevel="0" collapsed="false">
      <c r="A109" s="11" t="s">
        <v>338</v>
      </c>
      <c r="B109" s="49" t="s">
        <v>181</v>
      </c>
      <c r="C109" s="13" t="n">
        <v>219.23</v>
      </c>
      <c r="D109" s="11" t="s">
        <v>339</v>
      </c>
      <c r="E109" s="11" t="n">
        <v>2234</v>
      </c>
      <c r="F109" s="47" t="n">
        <v>46307</v>
      </c>
    </row>
    <row r="110" customFormat="false" ht="26.25" hidden="false" customHeight="true" outlineLevel="0" collapsed="false">
      <c r="A110" s="11" t="s">
        <v>340</v>
      </c>
      <c r="B110" s="49" t="s">
        <v>123</v>
      </c>
      <c r="C110" s="13" t="n">
        <v>6</v>
      </c>
      <c r="D110" s="11" t="s">
        <v>341</v>
      </c>
      <c r="E110" s="11" t="n">
        <v>2236</v>
      </c>
      <c r="F110" s="47" t="n">
        <v>46307</v>
      </c>
    </row>
    <row r="111" customFormat="false" ht="26.25" hidden="false" customHeight="true" outlineLevel="0" collapsed="false">
      <c r="A111" s="11" t="s">
        <v>342</v>
      </c>
      <c r="B111" s="49" t="s">
        <v>123</v>
      </c>
      <c r="C111" s="13" t="n">
        <v>0.3</v>
      </c>
      <c r="D111" s="11" t="s">
        <v>343</v>
      </c>
      <c r="E111" s="11" t="n">
        <v>1825</v>
      </c>
      <c r="F111" s="47" t="n">
        <v>46307</v>
      </c>
    </row>
    <row r="112" customFormat="false" ht="39" hidden="false" customHeight="true" outlineLevel="0" collapsed="false">
      <c r="A112" s="11" t="s">
        <v>344</v>
      </c>
      <c r="B112" s="49" t="s">
        <v>123</v>
      </c>
      <c r="C112" s="13" t="n">
        <v>4.44</v>
      </c>
      <c r="D112" s="11" t="s">
        <v>345</v>
      </c>
      <c r="E112" s="11" t="n">
        <v>1820</v>
      </c>
      <c r="F112" s="47" t="n">
        <v>46307</v>
      </c>
    </row>
    <row r="113" customFormat="false" ht="26.25" hidden="false" customHeight="true" outlineLevel="0" collapsed="false">
      <c r="A113" s="11" t="s">
        <v>346</v>
      </c>
      <c r="B113" s="49" t="s">
        <v>123</v>
      </c>
      <c r="C113" s="48" t="n">
        <v>8</v>
      </c>
      <c r="D113" s="11" t="s">
        <v>347</v>
      </c>
      <c r="E113" s="11" t="n">
        <v>1821</v>
      </c>
      <c r="F113" s="47" t="n">
        <v>46307</v>
      </c>
    </row>
    <row r="114" customFormat="false" ht="90" hidden="false" customHeight="true" outlineLevel="0" collapsed="false">
      <c r="A114" s="11" t="s">
        <v>348</v>
      </c>
      <c r="B114" s="49" t="s">
        <v>123</v>
      </c>
      <c r="C114" s="13" t="n">
        <v>5.5777</v>
      </c>
      <c r="D114" s="11" t="s">
        <v>349</v>
      </c>
      <c r="E114" s="11" t="s">
        <v>324</v>
      </c>
      <c r="F114" s="47" t="n">
        <v>46230</v>
      </c>
    </row>
    <row r="115" customFormat="false" ht="15" hidden="false" customHeight="true" outlineLevel="0" collapsed="false">
      <c r="A115" s="49"/>
      <c r="B115" s="49"/>
      <c r="C115" s="50"/>
      <c r="D115" s="49"/>
      <c r="E115" s="49"/>
      <c r="F115" s="51"/>
    </row>
    <row r="116" customFormat="false" ht="15" hidden="false" customHeight="true" outlineLevel="0" collapsed="false">
      <c r="A116" s="49"/>
      <c r="B116" s="49"/>
      <c r="C116" s="50"/>
      <c r="D116" s="49"/>
      <c r="E116" s="49"/>
      <c r="F116" s="51"/>
    </row>
    <row r="117" customFormat="false" ht="15" hidden="false" customHeight="true" outlineLevel="0" collapsed="false">
      <c r="A117" s="49"/>
      <c r="B117" s="49"/>
      <c r="C117" s="50"/>
      <c r="D117" s="49"/>
      <c r="E117" s="49"/>
      <c r="F117" s="51"/>
    </row>
    <row r="118" customFormat="false" ht="15" hidden="false" customHeight="true" outlineLevel="0" collapsed="false">
      <c r="A118" s="49"/>
      <c r="B118" s="49"/>
      <c r="C118" s="50"/>
      <c r="D118" s="49"/>
      <c r="E118" s="49"/>
      <c r="F118" s="51"/>
    </row>
    <row r="119" customFormat="false" ht="15" hidden="false" customHeight="true" outlineLevel="0" collapsed="false">
      <c r="A119" s="49"/>
      <c r="B119" s="49"/>
      <c r="C119" s="50"/>
      <c r="D119" s="49"/>
      <c r="E119" s="49"/>
      <c r="F119" s="51"/>
    </row>
    <row r="120" customFormat="false" ht="15" hidden="false" customHeight="true" outlineLevel="0" collapsed="false">
      <c r="A120" s="49"/>
      <c r="B120" s="49"/>
      <c r="C120" s="50"/>
      <c r="D120" s="49"/>
      <c r="E120" s="49"/>
      <c r="F120" s="51"/>
    </row>
    <row r="121" customFormat="false" ht="15" hidden="false" customHeight="true" outlineLevel="0" collapsed="false">
      <c r="A121" s="49"/>
      <c r="B121" s="49"/>
      <c r="C121" s="50"/>
      <c r="D121" s="49"/>
      <c r="E121" s="49"/>
      <c r="F121" s="51"/>
    </row>
    <row r="122" customFormat="false" ht="15" hidden="false" customHeight="true" outlineLevel="0" collapsed="false">
      <c r="A122" s="49"/>
      <c r="B122" s="49"/>
      <c r="C122" s="50"/>
      <c r="D122" s="49"/>
      <c r="E122" s="49"/>
      <c r="F122" s="51"/>
    </row>
    <row r="123" customFormat="false" ht="15" hidden="false" customHeight="true" outlineLevel="0" collapsed="false">
      <c r="A123" s="49"/>
      <c r="B123" s="49"/>
      <c r="C123" s="50"/>
      <c r="D123" s="49"/>
      <c r="E123" s="49"/>
      <c r="F123" s="51"/>
    </row>
    <row r="124" customFormat="false" ht="15" hidden="false" customHeight="true" outlineLevel="0" collapsed="false">
      <c r="A124" s="49"/>
      <c r="B124" s="49"/>
      <c r="C124" s="50"/>
      <c r="D124" s="49"/>
      <c r="E124" s="49"/>
      <c r="F124" s="51"/>
    </row>
    <row r="125" customFormat="false" ht="15" hidden="false" customHeight="true" outlineLevel="0" collapsed="false">
      <c r="A125" s="49"/>
      <c r="B125" s="49"/>
      <c r="C125" s="50"/>
      <c r="D125" s="49"/>
      <c r="E125" s="49"/>
      <c r="F125" s="51"/>
    </row>
    <row r="126" customFormat="false" ht="15" hidden="false" customHeight="true" outlineLevel="0" collapsed="false">
      <c r="A126" s="49"/>
      <c r="B126" s="49"/>
      <c r="C126" s="50"/>
      <c r="D126" s="49"/>
      <c r="E126" s="49"/>
      <c r="F126" s="51"/>
    </row>
    <row r="127" customFormat="false" ht="15" hidden="false" customHeight="true" outlineLevel="0" collapsed="false">
      <c r="A127" s="49"/>
      <c r="B127" s="49"/>
      <c r="C127" s="50"/>
      <c r="D127" s="49"/>
      <c r="E127" s="49"/>
      <c r="F127" s="51"/>
    </row>
    <row r="128" customFormat="false" ht="15" hidden="false" customHeight="true" outlineLevel="0" collapsed="false">
      <c r="A128" s="49"/>
      <c r="B128" s="49"/>
      <c r="C128" s="50"/>
      <c r="D128" s="49"/>
      <c r="E128" s="49"/>
      <c r="F128" s="51"/>
    </row>
    <row r="129" customFormat="false" ht="15" hidden="false" customHeight="true" outlineLevel="0" collapsed="false">
      <c r="A129" s="49"/>
      <c r="B129" s="49"/>
      <c r="C129" s="50"/>
      <c r="D129" s="49"/>
      <c r="E129" s="49"/>
      <c r="F129" s="51"/>
    </row>
    <row r="130" customFormat="false" ht="15" hidden="false" customHeight="true" outlineLevel="0" collapsed="false">
      <c r="A130" s="49"/>
      <c r="B130" s="49"/>
      <c r="C130" s="50"/>
      <c r="D130" s="49"/>
      <c r="E130" s="49"/>
      <c r="F130" s="51"/>
    </row>
    <row r="131" customFormat="false" ht="15" hidden="false" customHeight="true" outlineLevel="0" collapsed="false">
      <c r="A131" s="49"/>
      <c r="B131" s="49"/>
      <c r="C131" s="50"/>
      <c r="D131" s="49"/>
      <c r="E131" s="49"/>
      <c r="F131" s="51"/>
    </row>
    <row r="132" customFormat="false" ht="15" hidden="false" customHeight="true" outlineLevel="0" collapsed="false">
      <c r="A132" s="49"/>
      <c r="B132" s="49"/>
      <c r="C132" s="50"/>
      <c r="D132" s="49"/>
      <c r="E132" s="49"/>
      <c r="F132" s="51"/>
    </row>
    <row r="133" customFormat="false" ht="15" hidden="false" customHeight="true" outlineLevel="0" collapsed="false">
      <c r="A133" s="49"/>
      <c r="B133" s="49"/>
      <c r="C133" s="50"/>
      <c r="D133" s="49"/>
      <c r="E133" s="49"/>
      <c r="F133" s="51"/>
    </row>
    <row r="134" customFormat="false" ht="15" hidden="false" customHeight="true" outlineLevel="0" collapsed="false">
      <c r="A134" s="49"/>
      <c r="B134" s="49"/>
      <c r="C134" s="50"/>
      <c r="D134" s="49"/>
      <c r="E134" s="49"/>
      <c r="F134" s="51"/>
    </row>
    <row r="135" customFormat="false" ht="15" hidden="false" customHeight="true" outlineLevel="0" collapsed="false">
      <c r="A135" s="49"/>
      <c r="B135" s="49"/>
      <c r="C135" s="50"/>
      <c r="D135" s="49"/>
      <c r="E135" s="49"/>
      <c r="F135" s="51"/>
    </row>
    <row r="136" customFormat="false" ht="15" hidden="false" customHeight="true" outlineLevel="0" collapsed="false">
      <c r="A136" s="49"/>
      <c r="B136" s="49"/>
      <c r="C136" s="50"/>
      <c r="D136" s="49"/>
      <c r="E136" s="49"/>
      <c r="F136" s="51"/>
    </row>
    <row r="137" customFormat="false" ht="15" hidden="false" customHeight="true" outlineLevel="0" collapsed="false">
      <c r="A137" s="49"/>
      <c r="B137" s="49"/>
      <c r="C137" s="50"/>
      <c r="D137" s="49"/>
      <c r="E137" s="49"/>
      <c r="F137" s="51"/>
    </row>
    <row r="138" customFormat="false" ht="15" hidden="false" customHeight="true" outlineLevel="0" collapsed="false">
      <c r="A138" s="49"/>
      <c r="B138" s="49"/>
      <c r="C138" s="50"/>
      <c r="D138" s="49"/>
      <c r="E138" s="49"/>
      <c r="F138" s="51"/>
    </row>
    <row r="139" customFormat="false" ht="15" hidden="false" customHeight="true" outlineLevel="0" collapsed="false">
      <c r="A139" s="49"/>
      <c r="B139" s="49"/>
      <c r="C139" s="50"/>
      <c r="D139" s="49"/>
      <c r="E139" s="49"/>
      <c r="F139" s="51"/>
    </row>
    <row r="140" customFormat="false" ht="15" hidden="false" customHeight="true" outlineLevel="0" collapsed="false">
      <c r="A140" s="49"/>
      <c r="B140" s="49"/>
      <c r="C140" s="50"/>
      <c r="D140" s="49"/>
      <c r="E140" s="49"/>
      <c r="F140" s="51"/>
    </row>
    <row r="141" customFormat="false" ht="15" hidden="false" customHeight="true" outlineLevel="0" collapsed="false">
      <c r="A141" s="49"/>
      <c r="B141" s="49"/>
      <c r="C141" s="50"/>
      <c r="D141" s="49"/>
      <c r="E141" s="49"/>
      <c r="F141" s="51"/>
    </row>
    <row r="142" customFormat="false" ht="15" hidden="false" customHeight="true" outlineLevel="0" collapsed="false">
      <c r="A142" s="49"/>
      <c r="B142" s="49"/>
      <c r="C142" s="50"/>
      <c r="D142" s="49"/>
      <c r="E142" s="49"/>
      <c r="F142" s="51"/>
    </row>
    <row r="143" customFormat="false" ht="15" hidden="false" customHeight="true" outlineLevel="0" collapsed="false">
      <c r="A143" s="49"/>
      <c r="B143" s="49"/>
      <c r="C143" s="50"/>
      <c r="D143" s="49"/>
      <c r="E143" s="49"/>
      <c r="F143" s="51"/>
    </row>
    <row r="144" customFormat="false" ht="15" hidden="false" customHeight="true" outlineLevel="0" collapsed="false">
      <c r="A144" s="49"/>
      <c r="B144" s="49"/>
      <c r="C144" s="50"/>
      <c r="D144" s="49"/>
      <c r="E144" s="49"/>
      <c r="F144" s="51"/>
    </row>
    <row r="145" customFormat="false" ht="15" hidden="false" customHeight="true" outlineLevel="0" collapsed="false">
      <c r="A145" s="49"/>
      <c r="B145" s="49"/>
      <c r="C145" s="50"/>
      <c r="D145" s="49"/>
      <c r="E145" s="49"/>
      <c r="F145" s="51"/>
    </row>
    <row r="146" customFormat="false" ht="15" hidden="false" customHeight="true" outlineLevel="0" collapsed="false">
      <c r="A146" s="49"/>
      <c r="B146" s="49"/>
      <c r="C146" s="50"/>
      <c r="D146" s="49"/>
      <c r="E146" s="49"/>
      <c r="F146" s="51"/>
    </row>
    <row r="147" customFormat="false" ht="15" hidden="false" customHeight="true" outlineLevel="0" collapsed="false">
      <c r="A147" s="49"/>
      <c r="B147" s="49"/>
      <c r="C147" s="50"/>
      <c r="D147" s="49"/>
      <c r="E147" s="49"/>
      <c r="F147" s="51"/>
    </row>
    <row r="148" customFormat="false" ht="15" hidden="false" customHeight="true" outlineLevel="0" collapsed="false">
      <c r="A148" s="49"/>
      <c r="B148" s="49"/>
      <c r="C148" s="50"/>
      <c r="D148" s="49"/>
      <c r="E148" s="49"/>
      <c r="F148" s="51"/>
    </row>
    <row r="149" customFormat="false" ht="15" hidden="false" customHeight="true" outlineLevel="0" collapsed="false">
      <c r="A149" s="49"/>
      <c r="B149" s="49"/>
      <c r="C149" s="50"/>
      <c r="D149" s="49"/>
      <c r="E149" s="49"/>
      <c r="F149" s="51"/>
    </row>
    <row r="150" customFormat="false" ht="15" hidden="false" customHeight="true" outlineLevel="0" collapsed="false">
      <c r="A150" s="49"/>
      <c r="B150" s="49"/>
      <c r="C150" s="50"/>
      <c r="D150" s="49"/>
      <c r="E150" s="49"/>
      <c r="F150" s="51"/>
    </row>
    <row r="151" customFormat="false" ht="15" hidden="false" customHeight="true" outlineLevel="0" collapsed="false">
      <c r="A151" s="49"/>
      <c r="B151" s="49"/>
      <c r="C151" s="50"/>
      <c r="D151" s="49"/>
      <c r="E151" s="49"/>
      <c r="F151" s="51"/>
    </row>
    <row r="152" customFormat="false" ht="15" hidden="false" customHeight="true" outlineLevel="0" collapsed="false">
      <c r="A152" s="49"/>
      <c r="B152" s="49"/>
      <c r="C152" s="50"/>
      <c r="D152" s="49"/>
      <c r="E152" s="49"/>
      <c r="F152" s="51"/>
    </row>
    <row r="153" customFormat="false" ht="15" hidden="false" customHeight="true" outlineLevel="0" collapsed="false">
      <c r="A153" s="49"/>
      <c r="B153" s="49"/>
      <c r="C153" s="50"/>
      <c r="D153" s="49"/>
      <c r="E153" s="49"/>
      <c r="F153" s="51"/>
    </row>
    <row r="154" customFormat="false" ht="15" hidden="false" customHeight="true" outlineLevel="0" collapsed="false">
      <c r="A154" s="49"/>
      <c r="B154" s="49"/>
      <c r="C154" s="50"/>
      <c r="D154" s="49"/>
      <c r="E154" s="49"/>
      <c r="F154" s="51"/>
    </row>
    <row r="155" customFormat="false" ht="15" hidden="false" customHeight="true" outlineLevel="0" collapsed="false">
      <c r="A155" s="49"/>
      <c r="B155" s="49"/>
      <c r="C155" s="50"/>
      <c r="D155" s="49"/>
      <c r="E155" s="49"/>
      <c r="F155" s="51"/>
    </row>
    <row r="156" customFormat="false" ht="15" hidden="false" customHeight="true" outlineLevel="0" collapsed="false">
      <c r="A156" s="49"/>
      <c r="B156" s="49"/>
      <c r="C156" s="50"/>
      <c r="D156" s="49"/>
      <c r="E156" s="49"/>
      <c r="F156" s="51"/>
    </row>
    <row r="157" customFormat="false" ht="15" hidden="false" customHeight="true" outlineLevel="0" collapsed="false">
      <c r="A157" s="49"/>
      <c r="B157" s="49"/>
      <c r="C157" s="50"/>
      <c r="D157" s="49"/>
      <c r="E157" s="49"/>
      <c r="F157" s="51"/>
    </row>
    <row r="158" customFormat="false" ht="15" hidden="false" customHeight="true" outlineLevel="0" collapsed="false">
      <c r="A158" s="49"/>
      <c r="B158" s="49"/>
      <c r="C158" s="50"/>
      <c r="D158" s="49"/>
      <c r="E158" s="49"/>
      <c r="F158" s="51"/>
    </row>
    <row r="159" customFormat="false" ht="15" hidden="false" customHeight="true" outlineLevel="0" collapsed="false">
      <c r="A159" s="49"/>
      <c r="B159" s="49"/>
      <c r="C159" s="50"/>
      <c r="D159" s="49"/>
      <c r="E159" s="49"/>
      <c r="F159" s="51"/>
    </row>
    <row r="160" customFormat="false" ht="15" hidden="false" customHeight="true" outlineLevel="0" collapsed="false">
      <c r="A160" s="49"/>
      <c r="B160" s="49"/>
      <c r="C160" s="50"/>
      <c r="D160" s="49"/>
      <c r="E160" s="49"/>
      <c r="F160" s="51"/>
    </row>
    <row r="161" customFormat="false" ht="15" hidden="false" customHeight="true" outlineLevel="0" collapsed="false">
      <c r="A161" s="49"/>
      <c r="B161" s="49"/>
      <c r="C161" s="50"/>
      <c r="D161" s="49"/>
      <c r="E161" s="49"/>
      <c r="F161" s="51"/>
    </row>
    <row r="162" customFormat="false" ht="15" hidden="false" customHeight="true" outlineLevel="0" collapsed="false">
      <c r="A162" s="49"/>
      <c r="B162" s="49"/>
      <c r="C162" s="50"/>
      <c r="D162" s="49"/>
      <c r="E162" s="49"/>
      <c r="F162" s="51"/>
    </row>
    <row r="163" customFormat="false" ht="15" hidden="false" customHeight="true" outlineLevel="0" collapsed="false">
      <c r="A163" s="49"/>
      <c r="B163" s="49"/>
      <c r="C163" s="50"/>
      <c r="D163" s="49"/>
      <c r="E163" s="49"/>
      <c r="F163" s="51"/>
    </row>
    <row r="164" customFormat="false" ht="15" hidden="false" customHeight="true" outlineLevel="0" collapsed="false">
      <c r="A164" s="49"/>
      <c r="B164" s="49"/>
      <c r="C164" s="50"/>
      <c r="D164" s="49"/>
      <c r="E164" s="49"/>
      <c r="F164" s="51"/>
    </row>
    <row r="165" customFormat="false" ht="15" hidden="false" customHeight="true" outlineLevel="0" collapsed="false">
      <c r="A165" s="49"/>
      <c r="B165" s="49"/>
      <c r="C165" s="50"/>
      <c r="D165" s="49"/>
      <c r="E165" s="49"/>
      <c r="F165" s="51"/>
    </row>
    <row r="166" customFormat="false" ht="15" hidden="false" customHeight="true" outlineLevel="0" collapsed="false">
      <c r="A166" s="49"/>
      <c r="B166" s="49"/>
      <c r="C166" s="50"/>
      <c r="D166" s="49"/>
      <c r="E166" s="49"/>
      <c r="F166" s="51"/>
    </row>
    <row r="167" customFormat="false" ht="15" hidden="false" customHeight="true" outlineLevel="0" collapsed="false">
      <c r="A167" s="49"/>
      <c r="B167" s="49"/>
      <c r="C167" s="50"/>
      <c r="D167" s="49"/>
      <c r="E167" s="49"/>
      <c r="F167" s="51"/>
    </row>
    <row r="168" customFormat="false" ht="15" hidden="false" customHeight="true" outlineLevel="0" collapsed="false">
      <c r="A168" s="49"/>
      <c r="B168" s="49"/>
      <c r="C168" s="50"/>
      <c r="D168" s="49"/>
      <c r="E168" s="49"/>
      <c r="F168" s="51"/>
    </row>
    <row r="169" customFormat="false" ht="15" hidden="false" customHeight="true" outlineLevel="0" collapsed="false">
      <c r="A169" s="49"/>
      <c r="B169" s="49"/>
      <c r="C169" s="50"/>
      <c r="D169" s="49"/>
      <c r="E169" s="49"/>
      <c r="F169" s="51"/>
    </row>
    <row r="170" customFormat="false" ht="15" hidden="false" customHeight="true" outlineLevel="0" collapsed="false">
      <c r="A170" s="49"/>
      <c r="B170" s="49"/>
      <c r="C170" s="50"/>
      <c r="D170" s="49"/>
      <c r="E170" s="49"/>
      <c r="F170" s="51"/>
    </row>
    <row r="171" customFormat="false" ht="15" hidden="false" customHeight="true" outlineLevel="0" collapsed="false">
      <c r="A171" s="49"/>
      <c r="B171" s="49"/>
      <c r="C171" s="50"/>
      <c r="D171" s="49"/>
      <c r="E171" s="49"/>
      <c r="F171" s="51"/>
    </row>
    <row r="172" customFormat="false" ht="15" hidden="false" customHeight="true" outlineLevel="0" collapsed="false">
      <c r="A172" s="49"/>
      <c r="B172" s="49"/>
      <c r="C172" s="50"/>
      <c r="D172" s="49"/>
      <c r="E172" s="49"/>
      <c r="F172" s="51"/>
    </row>
    <row r="173" customFormat="false" ht="15" hidden="false" customHeight="true" outlineLevel="0" collapsed="false">
      <c r="A173" s="49"/>
      <c r="B173" s="49"/>
      <c r="C173" s="50"/>
      <c r="D173" s="49"/>
      <c r="E173" s="49"/>
      <c r="F173" s="51"/>
    </row>
    <row r="174" customFormat="false" ht="15" hidden="false" customHeight="true" outlineLevel="0" collapsed="false">
      <c r="A174" s="49"/>
      <c r="B174" s="49"/>
      <c r="C174" s="50"/>
      <c r="D174" s="49"/>
      <c r="E174" s="49"/>
      <c r="F174" s="51"/>
    </row>
    <row r="175" customFormat="false" ht="15" hidden="false" customHeight="true" outlineLevel="0" collapsed="false">
      <c r="A175" s="49"/>
      <c r="B175" s="49"/>
      <c r="C175" s="50"/>
      <c r="D175" s="49"/>
      <c r="E175" s="49"/>
      <c r="F175" s="51"/>
    </row>
    <row r="176" customFormat="false" ht="15" hidden="false" customHeight="true" outlineLevel="0" collapsed="false">
      <c r="A176" s="49"/>
      <c r="B176" s="49"/>
      <c r="C176" s="50"/>
      <c r="D176" s="49"/>
      <c r="E176" s="49"/>
      <c r="F176" s="51"/>
    </row>
    <row r="177" customFormat="false" ht="15" hidden="false" customHeight="true" outlineLevel="0" collapsed="false">
      <c r="A177" s="49"/>
      <c r="B177" s="49"/>
      <c r="C177" s="50"/>
      <c r="D177" s="49"/>
      <c r="E177" s="49"/>
      <c r="F177" s="51"/>
    </row>
    <row r="178" customFormat="false" ht="15" hidden="false" customHeight="true" outlineLevel="0" collapsed="false">
      <c r="A178" s="49"/>
      <c r="B178" s="49"/>
      <c r="C178" s="50"/>
      <c r="D178" s="49"/>
      <c r="E178" s="49"/>
      <c r="F178" s="51"/>
    </row>
    <row r="179" customFormat="false" ht="15" hidden="false" customHeight="true" outlineLevel="0" collapsed="false">
      <c r="A179" s="49"/>
      <c r="B179" s="49"/>
      <c r="C179" s="50"/>
      <c r="D179" s="49"/>
      <c r="E179" s="49"/>
      <c r="F179" s="51"/>
    </row>
    <row r="180" customFormat="false" ht="15" hidden="false" customHeight="true" outlineLevel="0" collapsed="false">
      <c r="A180" s="49"/>
      <c r="B180" s="49"/>
      <c r="C180" s="50"/>
      <c r="D180" s="49"/>
      <c r="E180" s="49"/>
      <c r="F180" s="51"/>
    </row>
    <row r="181" customFormat="false" ht="15" hidden="false" customHeight="true" outlineLevel="0" collapsed="false">
      <c r="A181" s="49"/>
      <c r="B181" s="49"/>
      <c r="C181" s="50"/>
      <c r="D181" s="49"/>
      <c r="E181" s="49"/>
      <c r="F181" s="51"/>
    </row>
    <row r="182" customFormat="false" ht="15" hidden="false" customHeight="true" outlineLevel="0" collapsed="false">
      <c r="A182" s="49"/>
      <c r="B182" s="49"/>
      <c r="C182" s="50"/>
      <c r="D182" s="49"/>
      <c r="E182" s="49"/>
      <c r="F182" s="51"/>
    </row>
    <row r="183" customFormat="false" ht="15" hidden="false" customHeight="true" outlineLevel="0" collapsed="false">
      <c r="A183" s="49"/>
      <c r="B183" s="49"/>
      <c r="C183" s="50"/>
      <c r="D183" s="49"/>
      <c r="E183" s="49"/>
      <c r="F183" s="51"/>
    </row>
    <row r="184" customFormat="false" ht="15" hidden="false" customHeight="true" outlineLevel="0" collapsed="false">
      <c r="A184" s="49"/>
      <c r="B184" s="49"/>
      <c r="C184" s="50"/>
      <c r="D184" s="49"/>
      <c r="E184" s="49"/>
      <c r="F184" s="51"/>
    </row>
    <row r="185" customFormat="false" ht="15" hidden="false" customHeight="true" outlineLevel="0" collapsed="false">
      <c r="A185" s="49"/>
      <c r="B185" s="49"/>
      <c r="C185" s="50"/>
      <c r="D185" s="49"/>
      <c r="E185" s="49"/>
      <c r="F185" s="51"/>
    </row>
    <row r="186" customFormat="false" ht="15" hidden="false" customHeight="true" outlineLevel="0" collapsed="false">
      <c r="A186" s="49"/>
      <c r="B186" s="49"/>
      <c r="C186" s="50"/>
      <c r="D186" s="49"/>
      <c r="E186" s="49"/>
      <c r="F186" s="51"/>
    </row>
    <row r="187" customFormat="false" ht="15" hidden="false" customHeight="true" outlineLevel="0" collapsed="false">
      <c r="A187" s="49"/>
      <c r="B187" s="49"/>
      <c r="C187" s="50"/>
      <c r="D187" s="49"/>
      <c r="E187" s="49"/>
      <c r="F187" s="51"/>
    </row>
    <row r="188" customFormat="false" ht="15" hidden="false" customHeight="true" outlineLevel="0" collapsed="false">
      <c r="A188" s="49"/>
      <c r="B188" s="49"/>
      <c r="C188" s="50"/>
      <c r="D188" s="49"/>
      <c r="E188" s="49"/>
      <c r="F188" s="51"/>
    </row>
    <row r="189" customFormat="false" ht="15" hidden="false" customHeight="true" outlineLevel="0" collapsed="false">
      <c r="A189" s="49"/>
      <c r="B189" s="49"/>
      <c r="C189" s="50"/>
      <c r="D189" s="49"/>
      <c r="E189" s="49"/>
      <c r="F189" s="51"/>
    </row>
    <row r="190" customFormat="false" ht="15" hidden="false" customHeight="true" outlineLevel="0" collapsed="false">
      <c r="A190" s="49"/>
      <c r="B190" s="49"/>
      <c r="C190" s="50"/>
      <c r="D190" s="49"/>
      <c r="E190" s="49"/>
      <c r="F190" s="51"/>
    </row>
    <row r="191" customFormat="false" ht="15" hidden="false" customHeight="true" outlineLevel="0" collapsed="false">
      <c r="A191" s="49"/>
      <c r="B191" s="49"/>
      <c r="C191" s="50"/>
      <c r="D191" s="49"/>
      <c r="E191" s="49"/>
      <c r="F191" s="51"/>
    </row>
    <row r="192" customFormat="false" ht="15" hidden="false" customHeight="true" outlineLevel="0" collapsed="false">
      <c r="A192" s="49"/>
      <c r="B192" s="49"/>
      <c r="C192" s="50"/>
      <c r="D192" s="49"/>
      <c r="E192" s="49"/>
      <c r="F192" s="51"/>
    </row>
    <row r="193" customFormat="false" ht="15" hidden="false" customHeight="true" outlineLevel="0" collapsed="false">
      <c r="A193" s="49"/>
      <c r="B193" s="49"/>
      <c r="C193" s="50"/>
      <c r="D193" s="49"/>
      <c r="E193" s="49"/>
      <c r="F193" s="51"/>
    </row>
    <row r="194" customFormat="false" ht="15" hidden="false" customHeight="true" outlineLevel="0" collapsed="false">
      <c r="A194" s="49"/>
      <c r="B194" s="49"/>
      <c r="C194" s="50"/>
      <c r="D194" s="49"/>
      <c r="E194" s="49"/>
      <c r="F194" s="51"/>
    </row>
    <row r="195" customFormat="false" ht="15" hidden="false" customHeight="true" outlineLevel="0" collapsed="false">
      <c r="A195" s="49"/>
      <c r="B195" s="49"/>
      <c r="C195" s="50"/>
      <c r="D195" s="49"/>
      <c r="E195" s="49"/>
      <c r="F195" s="51"/>
    </row>
    <row r="196" customFormat="false" ht="15" hidden="false" customHeight="true" outlineLevel="0" collapsed="false">
      <c r="A196" s="49"/>
      <c r="B196" s="49"/>
      <c r="C196" s="50"/>
      <c r="D196" s="49"/>
      <c r="E196" s="49"/>
      <c r="F196" s="51"/>
    </row>
    <row r="197" customFormat="false" ht="15" hidden="false" customHeight="true" outlineLevel="0" collapsed="false">
      <c r="A197" s="49"/>
      <c r="B197" s="49"/>
      <c r="C197" s="50"/>
      <c r="D197" s="49"/>
      <c r="E197" s="49"/>
      <c r="F197" s="51"/>
    </row>
    <row r="198" customFormat="false" ht="15" hidden="false" customHeight="true" outlineLevel="0" collapsed="false">
      <c r="A198" s="49"/>
      <c r="B198" s="49"/>
      <c r="C198" s="50"/>
      <c r="D198" s="49"/>
      <c r="E198" s="49"/>
      <c r="F198" s="51"/>
    </row>
    <row r="199" customFormat="false" ht="15" hidden="false" customHeight="true" outlineLevel="0" collapsed="false">
      <c r="A199" s="49"/>
      <c r="B199" s="49"/>
      <c r="C199" s="50"/>
      <c r="D199" s="49"/>
      <c r="E199" s="49"/>
      <c r="F199" s="51"/>
    </row>
    <row r="200" customFormat="false" ht="15" hidden="false" customHeight="true" outlineLevel="0" collapsed="false">
      <c r="A200" s="49"/>
      <c r="B200" s="49"/>
      <c r="C200" s="50"/>
      <c r="D200" s="49"/>
      <c r="E200" s="49"/>
      <c r="F200" s="51"/>
    </row>
    <row r="201" customFormat="false" ht="15" hidden="false" customHeight="true" outlineLevel="0" collapsed="false">
      <c r="A201" s="49"/>
      <c r="B201" s="49"/>
      <c r="C201" s="50"/>
      <c r="D201" s="49"/>
      <c r="E201" s="49"/>
      <c r="F201" s="51"/>
    </row>
    <row r="202" customFormat="false" ht="15" hidden="false" customHeight="true" outlineLevel="0" collapsed="false">
      <c r="A202" s="49"/>
      <c r="B202" s="49"/>
      <c r="C202" s="50"/>
      <c r="D202" s="49"/>
      <c r="E202" s="49"/>
      <c r="F202" s="51"/>
    </row>
    <row r="203" customFormat="false" ht="15" hidden="false" customHeight="true" outlineLevel="0" collapsed="false">
      <c r="A203" s="49"/>
      <c r="B203" s="49"/>
      <c r="C203" s="50"/>
      <c r="D203" s="49"/>
      <c r="E203" s="49"/>
      <c r="F203" s="51"/>
    </row>
    <row r="204" customFormat="false" ht="15" hidden="false" customHeight="true" outlineLevel="0" collapsed="false">
      <c r="A204" s="49"/>
      <c r="B204" s="49"/>
      <c r="C204" s="50"/>
      <c r="D204" s="49"/>
      <c r="E204" s="49"/>
      <c r="F204" s="51"/>
    </row>
    <row r="205" customFormat="false" ht="15" hidden="false" customHeight="true" outlineLevel="0" collapsed="false">
      <c r="A205" s="49"/>
      <c r="B205" s="49"/>
      <c r="C205" s="50"/>
      <c r="D205" s="49"/>
      <c r="E205" s="49"/>
      <c r="F205" s="51"/>
    </row>
    <row r="206" customFormat="false" ht="15" hidden="false" customHeight="true" outlineLevel="0" collapsed="false">
      <c r="A206" s="49"/>
      <c r="B206" s="49"/>
      <c r="C206" s="50"/>
      <c r="D206" s="49"/>
      <c r="E206" s="49"/>
      <c r="F206" s="51"/>
    </row>
    <row r="207" customFormat="false" ht="15" hidden="false" customHeight="true" outlineLevel="0" collapsed="false">
      <c r="A207" s="49"/>
      <c r="B207" s="49"/>
      <c r="C207" s="50"/>
      <c r="D207" s="49"/>
      <c r="E207" s="49"/>
      <c r="F207" s="51"/>
    </row>
    <row r="208" customFormat="false" ht="15" hidden="false" customHeight="true" outlineLevel="0" collapsed="false">
      <c r="A208" s="49"/>
      <c r="B208" s="49"/>
      <c r="C208" s="50"/>
      <c r="D208" s="49"/>
      <c r="E208" s="49"/>
      <c r="F208" s="51"/>
    </row>
    <row r="209" customFormat="false" ht="15" hidden="false" customHeight="true" outlineLevel="0" collapsed="false">
      <c r="A209" s="49"/>
      <c r="B209" s="49"/>
      <c r="C209" s="50"/>
      <c r="D209" s="49"/>
      <c r="E209" s="49"/>
      <c r="F209" s="51"/>
    </row>
    <row r="210" customFormat="false" ht="15" hidden="false" customHeight="true" outlineLevel="0" collapsed="false">
      <c r="A210" s="49"/>
      <c r="B210" s="49"/>
      <c r="C210" s="50"/>
      <c r="D210" s="49"/>
      <c r="E210" s="49"/>
      <c r="F210" s="51"/>
    </row>
    <row r="211" customFormat="false" ht="15" hidden="false" customHeight="true" outlineLevel="0" collapsed="false">
      <c r="A211" s="49"/>
      <c r="B211" s="49"/>
      <c r="C211" s="50"/>
      <c r="D211" s="49"/>
      <c r="E211" s="49"/>
      <c r="F211" s="51"/>
    </row>
    <row r="212" customFormat="false" ht="15" hidden="false" customHeight="true" outlineLevel="0" collapsed="false">
      <c r="A212" s="49"/>
      <c r="B212" s="49"/>
      <c r="C212" s="50"/>
      <c r="D212" s="49"/>
      <c r="E212" s="49"/>
      <c r="F212" s="51"/>
    </row>
    <row r="213" customFormat="false" ht="15" hidden="false" customHeight="true" outlineLevel="0" collapsed="false">
      <c r="A213" s="49"/>
      <c r="B213" s="49"/>
      <c r="C213" s="50"/>
      <c r="D213" s="49"/>
      <c r="E213" s="49"/>
      <c r="F213" s="51"/>
    </row>
    <row r="214" customFormat="false" ht="15" hidden="false" customHeight="true" outlineLevel="0" collapsed="false">
      <c r="A214" s="49"/>
      <c r="B214" s="49"/>
      <c r="C214" s="50"/>
      <c r="D214" s="49"/>
      <c r="E214" s="49"/>
      <c r="F214" s="51"/>
    </row>
    <row r="215" customFormat="false" ht="15" hidden="false" customHeight="true" outlineLevel="0" collapsed="false">
      <c r="A215" s="49"/>
      <c r="B215" s="49"/>
      <c r="C215" s="50"/>
      <c r="D215" s="49"/>
      <c r="E215" s="49"/>
      <c r="F215" s="51"/>
    </row>
    <row r="216" customFormat="false" ht="15" hidden="false" customHeight="true" outlineLevel="0" collapsed="false">
      <c r="A216" s="49"/>
      <c r="B216" s="49"/>
      <c r="C216" s="50"/>
      <c r="D216" s="49"/>
      <c r="E216" s="49"/>
      <c r="F216" s="51"/>
    </row>
    <row r="217" customFormat="false" ht="15" hidden="false" customHeight="true" outlineLevel="0" collapsed="false">
      <c r="A217" s="49"/>
      <c r="B217" s="49"/>
      <c r="C217" s="50"/>
      <c r="D217" s="49"/>
      <c r="E217" s="49"/>
      <c r="F217" s="51"/>
    </row>
    <row r="218" customFormat="false" ht="15" hidden="false" customHeight="true" outlineLevel="0" collapsed="false">
      <c r="A218" s="49"/>
      <c r="B218" s="49"/>
      <c r="C218" s="50"/>
      <c r="D218" s="49"/>
      <c r="E218" s="49"/>
      <c r="F218" s="51"/>
    </row>
    <row r="219" customFormat="false" ht="15" hidden="false" customHeight="true" outlineLevel="0" collapsed="false">
      <c r="A219" s="49"/>
      <c r="B219" s="49"/>
      <c r="C219" s="50"/>
      <c r="D219" s="49"/>
      <c r="E219" s="49"/>
      <c r="F219" s="51"/>
    </row>
    <row r="220" customFormat="false" ht="15" hidden="false" customHeight="true" outlineLevel="0" collapsed="false">
      <c r="A220" s="49"/>
      <c r="B220" s="49"/>
      <c r="C220" s="50"/>
      <c r="D220" s="49"/>
      <c r="E220" s="49"/>
      <c r="F220" s="51"/>
    </row>
    <row r="221" customFormat="false" ht="15" hidden="false" customHeight="true" outlineLevel="0" collapsed="false">
      <c r="A221" s="49"/>
      <c r="B221" s="49"/>
      <c r="C221" s="50"/>
      <c r="D221" s="49"/>
      <c r="E221" s="49"/>
      <c r="F221" s="51"/>
    </row>
    <row r="222" customFormat="false" ht="15" hidden="false" customHeight="true" outlineLevel="0" collapsed="false">
      <c r="A222" s="49"/>
      <c r="B222" s="49"/>
      <c r="C222" s="50"/>
      <c r="D222" s="49"/>
      <c r="E222" s="49"/>
      <c r="F222" s="51"/>
    </row>
    <row r="223" customFormat="false" ht="15" hidden="false" customHeight="true" outlineLevel="0" collapsed="false">
      <c r="A223" s="49"/>
      <c r="B223" s="49"/>
      <c r="C223" s="50"/>
      <c r="D223" s="49"/>
      <c r="E223" s="49"/>
      <c r="F223" s="51"/>
    </row>
    <row r="224" customFormat="false" ht="15" hidden="false" customHeight="true" outlineLevel="0" collapsed="false">
      <c r="A224" s="49"/>
      <c r="B224" s="49"/>
      <c r="C224" s="50"/>
      <c r="D224" s="49"/>
      <c r="E224" s="49"/>
      <c r="F224" s="51"/>
    </row>
    <row r="225" customFormat="false" ht="15" hidden="false" customHeight="true" outlineLevel="0" collapsed="false">
      <c r="A225" s="49"/>
      <c r="B225" s="49"/>
      <c r="C225" s="50"/>
      <c r="D225" s="49"/>
      <c r="E225" s="49"/>
      <c r="F225" s="51"/>
    </row>
    <row r="226" customFormat="false" ht="15" hidden="false" customHeight="true" outlineLevel="0" collapsed="false">
      <c r="A226" s="49"/>
      <c r="B226" s="49"/>
      <c r="C226" s="50"/>
      <c r="D226" s="49"/>
      <c r="E226" s="49"/>
      <c r="F226" s="51"/>
    </row>
    <row r="227" customFormat="false" ht="15" hidden="false" customHeight="true" outlineLevel="0" collapsed="false">
      <c r="A227" s="49"/>
      <c r="B227" s="49"/>
      <c r="C227" s="50"/>
      <c r="D227" s="49"/>
      <c r="E227" s="49"/>
      <c r="F227" s="51"/>
    </row>
    <row r="228" customFormat="false" ht="15" hidden="false" customHeight="true" outlineLevel="0" collapsed="false">
      <c r="A228" s="49"/>
      <c r="B228" s="49"/>
      <c r="C228" s="50"/>
      <c r="D228" s="49"/>
      <c r="E228" s="49"/>
      <c r="F228" s="51"/>
    </row>
    <row r="229" customFormat="false" ht="15" hidden="false" customHeight="true" outlineLevel="0" collapsed="false">
      <c r="A229" s="49"/>
      <c r="B229" s="49"/>
      <c r="C229" s="50"/>
      <c r="D229" s="49"/>
      <c r="E229" s="49"/>
      <c r="F229" s="51"/>
    </row>
    <row r="230" customFormat="false" ht="15" hidden="false" customHeight="true" outlineLevel="0" collapsed="false">
      <c r="A230" s="49"/>
      <c r="B230" s="49"/>
      <c r="C230" s="50"/>
      <c r="D230" s="49"/>
      <c r="E230" s="49"/>
      <c r="F230" s="51"/>
    </row>
    <row r="231" customFormat="false" ht="15" hidden="false" customHeight="true" outlineLevel="0" collapsed="false">
      <c r="A231" s="49"/>
      <c r="B231" s="49"/>
      <c r="C231" s="50"/>
      <c r="D231" s="49"/>
      <c r="E231" s="49"/>
      <c r="F231" s="51"/>
    </row>
    <row r="232" customFormat="false" ht="15" hidden="false" customHeight="true" outlineLevel="0" collapsed="false">
      <c r="A232" s="49"/>
      <c r="B232" s="49"/>
      <c r="C232" s="50"/>
      <c r="D232" s="49"/>
      <c r="E232" s="49"/>
      <c r="F232" s="51"/>
    </row>
    <row r="233" customFormat="false" ht="15" hidden="false" customHeight="true" outlineLevel="0" collapsed="false">
      <c r="A233" s="49"/>
      <c r="B233" s="49"/>
      <c r="C233" s="50"/>
      <c r="D233" s="49"/>
      <c r="E233" s="49"/>
      <c r="F233" s="51"/>
    </row>
    <row r="234" customFormat="false" ht="15" hidden="false" customHeight="true" outlineLevel="0" collapsed="false">
      <c r="A234" s="49"/>
      <c r="B234" s="49"/>
      <c r="C234" s="50"/>
      <c r="D234" s="49"/>
      <c r="E234" s="49"/>
      <c r="F234" s="51"/>
    </row>
    <row r="235" customFormat="false" ht="15" hidden="false" customHeight="true" outlineLevel="0" collapsed="false">
      <c r="A235" s="49"/>
      <c r="B235" s="49"/>
      <c r="C235" s="50"/>
      <c r="D235" s="49"/>
      <c r="E235" s="49"/>
      <c r="F235" s="51"/>
    </row>
    <row r="236" customFormat="false" ht="15" hidden="false" customHeight="true" outlineLevel="0" collapsed="false">
      <c r="A236" s="49"/>
      <c r="B236" s="49"/>
      <c r="C236" s="50"/>
      <c r="D236" s="49"/>
      <c r="E236" s="49"/>
      <c r="F236" s="51"/>
    </row>
    <row r="237" customFormat="false" ht="15" hidden="false" customHeight="true" outlineLevel="0" collapsed="false">
      <c r="A237" s="49"/>
      <c r="B237" s="49"/>
      <c r="C237" s="50"/>
      <c r="D237" s="49"/>
      <c r="E237" s="49"/>
      <c r="F237" s="51"/>
    </row>
    <row r="238" customFormat="false" ht="15" hidden="false" customHeight="true" outlineLevel="0" collapsed="false">
      <c r="A238" s="49"/>
      <c r="B238" s="49"/>
      <c r="C238" s="50"/>
      <c r="D238" s="49"/>
      <c r="E238" s="49"/>
      <c r="F238" s="51"/>
    </row>
    <row r="239" customFormat="false" ht="15" hidden="false" customHeight="true" outlineLevel="0" collapsed="false">
      <c r="A239" s="49"/>
      <c r="B239" s="49"/>
      <c r="C239" s="50"/>
      <c r="D239" s="49"/>
      <c r="E239" s="49"/>
      <c r="F239" s="51"/>
    </row>
    <row r="240" customFormat="false" ht="15" hidden="false" customHeight="true" outlineLevel="0" collapsed="false">
      <c r="A240" s="49"/>
      <c r="B240" s="49"/>
      <c r="C240" s="50"/>
      <c r="D240" s="49"/>
      <c r="E240" s="49"/>
      <c r="F240" s="51"/>
    </row>
    <row r="241" customFormat="false" ht="15" hidden="false" customHeight="true" outlineLevel="0" collapsed="false">
      <c r="A241" s="49"/>
      <c r="B241" s="49"/>
      <c r="C241" s="50"/>
      <c r="D241" s="49"/>
      <c r="E241" s="49"/>
      <c r="F241" s="51"/>
    </row>
    <row r="242" customFormat="false" ht="15" hidden="false" customHeight="true" outlineLevel="0" collapsed="false">
      <c r="A242" s="49"/>
      <c r="B242" s="49"/>
      <c r="C242" s="50"/>
      <c r="D242" s="49"/>
      <c r="E242" s="49"/>
      <c r="F242" s="51"/>
    </row>
    <row r="243" customFormat="false" ht="15" hidden="false" customHeight="true" outlineLevel="0" collapsed="false">
      <c r="A243" s="49"/>
      <c r="B243" s="49"/>
      <c r="C243" s="50"/>
      <c r="D243" s="49"/>
      <c r="E243" s="49"/>
      <c r="F243" s="51"/>
    </row>
    <row r="244" customFormat="false" ht="15" hidden="false" customHeight="true" outlineLevel="0" collapsed="false">
      <c r="A244" s="49"/>
      <c r="B244" s="49"/>
      <c r="C244" s="50"/>
      <c r="D244" s="49"/>
      <c r="E244" s="49"/>
      <c r="F244" s="51"/>
    </row>
    <row r="245" customFormat="false" ht="15" hidden="false" customHeight="true" outlineLevel="0" collapsed="false">
      <c r="A245" s="49"/>
      <c r="B245" s="49"/>
      <c r="C245" s="50"/>
      <c r="D245" s="49"/>
      <c r="E245" s="49"/>
      <c r="F245" s="51"/>
    </row>
    <row r="246" customFormat="false" ht="15" hidden="false" customHeight="true" outlineLevel="0" collapsed="false">
      <c r="A246" s="49"/>
      <c r="B246" s="49"/>
      <c r="C246" s="50"/>
      <c r="D246" s="49"/>
      <c r="E246" s="49"/>
      <c r="F246" s="51"/>
    </row>
    <row r="247" customFormat="false" ht="15" hidden="false" customHeight="true" outlineLevel="0" collapsed="false">
      <c r="A247" s="49"/>
      <c r="B247" s="49"/>
      <c r="C247" s="50"/>
      <c r="D247" s="49"/>
      <c r="E247" s="49"/>
      <c r="F247" s="51"/>
    </row>
    <row r="248" customFormat="false" ht="15" hidden="false" customHeight="true" outlineLevel="0" collapsed="false">
      <c r="A248" s="49"/>
      <c r="B248" s="49"/>
      <c r="C248" s="50"/>
      <c r="D248" s="49"/>
      <c r="E248" s="49"/>
      <c r="F248" s="51"/>
    </row>
    <row r="249" customFormat="false" ht="15" hidden="false" customHeight="true" outlineLevel="0" collapsed="false">
      <c r="A249" s="49"/>
      <c r="B249" s="49"/>
      <c r="C249" s="50"/>
      <c r="D249" s="49"/>
      <c r="E249" s="49"/>
      <c r="F249" s="51"/>
    </row>
    <row r="250" customFormat="false" ht="15" hidden="false" customHeight="true" outlineLevel="0" collapsed="false">
      <c r="A250" s="49"/>
      <c r="B250" s="49"/>
      <c r="C250" s="50"/>
      <c r="D250" s="49"/>
      <c r="E250" s="49"/>
      <c r="F250" s="51"/>
    </row>
    <row r="251" customFormat="false" ht="15" hidden="false" customHeight="true" outlineLevel="0" collapsed="false">
      <c r="A251" s="49"/>
      <c r="B251" s="49"/>
      <c r="C251" s="50"/>
      <c r="D251" s="49"/>
      <c r="E251" s="49"/>
      <c r="F251" s="51"/>
    </row>
    <row r="252" customFormat="false" ht="15" hidden="false" customHeight="true" outlineLevel="0" collapsed="false">
      <c r="A252" s="49"/>
      <c r="B252" s="49"/>
      <c r="C252" s="50"/>
      <c r="D252" s="49"/>
      <c r="E252" s="49"/>
      <c r="F252" s="51"/>
    </row>
    <row r="253" customFormat="false" ht="15" hidden="false" customHeight="true" outlineLevel="0" collapsed="false">
      <c r="A253" s="49"/>
      <c r="B253" s="49"/>
      <c r="C253" s="50"/>
      <c r="D253" s="49"/>
      <c r="E253" s="49"/>
      <c r="F253" s="51"/>
    </row>
    <row r="254" customFormat="false" ht="15" hidden="false" customHeight="true" outlineLevel="0" collapsed="false">
      <c r="A254" s="49"/>
      <c r="B254" s="49"/>
      <c r="C254" s="50"/>
      <c r="D254" s="49"/>
      <c r="E254" s="49"/>
      <c r="F254" s="51"/>
    </row>
    <row r="255" customFormat="false" ht="15" hidden="false" customHeight="true" outlineLevel="0" collapsed="false">
      <c r="A255" s="49"/>
      <c r="B255" s="49"/>
      <c r="C255" s="50"/>
      <c r="D255" s="49"/>
      <c r="E255" s="49"/>
      <c r="F255" s="51"/>
    </row>
    <row r="256" customFormat="false" ht="15" hidden="false" customHeight="true" outlineLevel="0" collapsed="false">
      <c r="A256" s="49"/>
      <c r="B256" s="49"/>
      <c r="C256" s="50"/>
      <c r="D256" s="49"/>
      <c r="E256" s="49"/>
      <c r="F256" s="51"/>
    </row>
    <row r="257" customFormat="false" ht="15" hidden="false" customHeight="true" outlineLevel="0" collapsed="false">
      <c r="A257" s="49"/>
      <c r="B257" s="49"/>
      <c r="C257" s="50"/>
      <c r="D257" s="49"/>
      <c r="E257" s="49"/>
      <c r="F257" s="51"/>
    </row>
    <row r="258" customFormat="false" ht="15" hidden="false" customHeight="true" outlineLevel="0" collapsed="false">
      <c r="A258" s="49"/>
      <c r="B258" s="49"/>
      <c r="C258" s="50"/>
      <c r="D258" s="49"/>
      <c r="E258" s="49"/>
      <c r="F258" s="51"/>
    </row>
    <row r="259" customFormat="false" ht="15" hidden="false" customHeight="true" outlineLevel="0" collapsed="false">
      <c r="A259" s="49"/>
      <c r="B259" s="49"/>
      <c r="C259" s="50"/>
      <c r="D259" s="49"/>
      <c r="E259" s="49"/>
      <c r="F259" s="51"/>
    </row>
    <row r="260" customFormat="false" ht="15" hidden="false" customHeight="true" outlineLevel="0" collapsed="false">
      <c r="A260" s="49"/>
      <c r="B260" s="49"/>
      <c r="C260" s="50"/>
      <c r="D260" s="49"/>
      <c r="E260" s="49"/>
      <c r="F260" s="51"/>
    </row>
    <row r="261" customFormat="false" ht="15" hidden="false" customHeight="true" outlineLevel="0" collapsed="false">
      <c r="A261" s="49"/>
      <c r="B261" s="49"/>
      <c r="C261" s="50"/>
      <c r="D261" s="49"/>
      <c r="E261" s="49"/>
      <c r="F261" s="51"/>
    </row>
    <row r="262" customFormat="false" ht="15" hidden="false" customHeight="true" outlineLevel="0" collapsed="false">
      <c r="A262" s="49"/>
      <c r="B262" s="49"/>
      <c r="C262" s="50"/>
      <c r="D262" s="49"/>
      <c r="E262" s="49"/>
      <c r="F262" s="51"/>
    </row>
    <row r="263" customFormat="false" ht="15" hidden="false" customHeight="true" outlineLevel="0" collapsed="false">
      <c r="A263" s="49"/>
      <c r="B263" s="49"/>
      <c r="C263" s="50"/>
      <c r="D263" s="49"/>
      <c r="E263" s="49"/>
      <c r="F263" s="51"/>
    </row>
    <row r="264" customFormat="false" ht="15" hidden="false" customHeight="true" outlineLevel="0" collapsed="false">
      <c r="A264" s="49"/>
      <c r="B264" s="49"/>
      <c r="C264" s="50"/>
      <c r="D264" s="49"/>
      <c r="E264" s="49"/>
      <c r="F264" s="51"/>
    </row>
    <row r="265" customFormat="false" ht="15" hidden="false" customHeight="true" outlineLevel="0" collapsed="false">
      <c r="A265" s="49"/>
      <c r="B265" s="49"/>
      <c r="C265" s="50"/>
      <c r="D265" s="49"/>
      <c r="E265" s="49"/>
      <c r="F265" s="51"/>
    </row>
    <row r="266" customFormat="false" ht="15" hidden="false" customHeight="true" outlineLevel="0" collapsed="false">
      <c r="A266" s="49"/>
      <c r="B266" s="49"/>
      <c r="C266" s="50"/>
      <c r="D266" s="49"/>
      <c r="E266" s="49"/>
      <c r="F266" s="51"/>
    </row>
    <row r="267" customFormat="false" ht="15" hidden="false" customHeight="true" outlineLevel="0" collapsed="false">
      <c r="A267" s="49"/>
      <c r="B267" s="49"/>
      <c r="C267" s="50"/>
      <c r="D267" s="49"/>
      <c r="E267" s="49"/>
      <c r="F267" s="51"/>
    </row>
    <row r="268" customFormat="false" ht="15" hidden="false" customHeight="true" outlineLevel="0" collapsed="false">
      <c r="A268" s="49"/>
      <c r="B268" s="49"/>
      <c r="C268" s="50"/>
      <c r="D268" s="49"/>
      <c r="E268" s="49"/>
      <c r="F268" s="51"/>
    </row>
    <row r="269" customFormat="false" ht="15" hidden="false" customHeight="true" outlineLevel="0" collapsed="false">
      <c r="A269" s="49"/>
      <c r="B269" s="49"/>
      <c r="C269" s="50"/>
      <c r="D269" s="49"/>
      <c r="E269" s="49"/>
      <c r="F269" s="51"/>
    </row>
    <row r="270" customFormat="false" ht="15" hidden="false" customHeight="true" outlineLevel="0" collapsed="false">
      <c r="A270" s="49"/>
      <c r="B270" s="49"/>
      <c r="C270" s="50"/>
      <c r="D270" s="49"/>
      <c r="E270" s="49"/>
      <c r="F270" s="51"/>
    </row>
    <row r="271" customFormat="false" ht="15" hidden="false" customHeight="true" outlineLevel="0" collapsed="false">
      <c r="A271" s="49"/>
      <c r="B271" s="49"/>
      <c r="C271" s="50"/>
      <c r="D271" s="49"/>
      <c r="E271" s="49"/>
      <c r="F271" s="51"/>
    </row>
    <row r="272" customFormat="false" ht="15" hidden="false" customHeight="true" outlineLevel="0" collapsed="false">
      <c r="A272" s="49"/>
      <c r="B272" s="49"/>
      <c r="C272" s="50"/>
      <c r="D272" s="49"/>
      <c r="E272" s="49"/>
      <c r="F272" s="51"/>
    </row>
    <row r="273" customFormat="false" ht="15" hidden="false" customHeight="true" outlineLevel="0" collapsed="false">
      <c r="A273" s="49"/>
      <c r="B273" s="49"/>
      <c r="C273" s="50"/>
      <c r="D273" s="49"/>
      <c r="E273" s="49"/>
      <c r="F273" s="51"/>
    </row>
    <row r="274" customFormat="false" ht="15" hidden="false" customHeight="true" outlineLevel="0" collapsed="false">
      <c r="A274" s="49"/>
      <c r="B274" s="49"/>
      <c r="C274" s="50"/>
      <c r="D274" s="49"/>
      <c r="E274" s="49"/>
      <c r="F274" s="51"/>
    </row>
    <row r="275" customFormat="false" ht="15" hidden="false" customHeight="true" outlineLevel="0" collapsed="false">
      <c r="A275" s="49"/>
      <c r="B275" s="49"/>
      <c r="C275" s="50"/>
      <c r="D275" s="49"/>
      <c r="E275" s="49"/>
      <c r="F275" s="51"/>
    </row>
    <row r="276" customFormat="false" ht="15" hidden="false" customHeight="true" outlineLevel="0" collapsed="false">
      <c r="A276" s="49"/>
      <c r="B276" s="49"/>
      <c r="C276" s="50"/>
      <c r="D276" s="49"/>
      <c r="E276" s="49"/>
      <c r="F276" s="51"/>
    </row>
    <row r="277" customFormat="false" ht="15" hidden="false" customHeight="true" outlineLevel="0" collapsed="false">
      <c r="A277" s="49"/>
      <c r="B277" s="49"/>
      <c r="C277" s="50"/>
      <c r="D277" s="49"/>
      <c r="E277" s="49"/>
      <c r="F277" s="51"/>
    </row>
    <row r="278" customFormat="false" ht="15" hidden="false" customHeight="true" outlineLevel="0" collapsed="false">
      <c r="A278" s="49"/>
      <c r="B278" s="49"/>
      <c r="C278" s="50"/>
      <c r="D278" s="49"/>
      <c r="E278" s="49"/>
      <c r="F278" s="51"/>
    </row>
    <row r="279" customFormat="false" ht="15" hidden="false" customHeight="true" outlineLevel="0" collapsed="false">
      <c r="A279" s="49"/>
      <c r="B279" s="49"/>
      <c r="C279" s="50"/>
      <c r="D279" s="49"/>
      <c r="E279" s="49"/>
      <c r="F279" s="51"/>
    </row>
    <row r="280" customFormat="false" ht="15" hidden="false" customHeight="true" outlineLevel="0" collapsed="false">
      <c r="A280" s="49"/>
      <c r="B280" s="49"/>
      <c r="C280" s="50"/>
      <c r="D280" s="49"/>
      <c r="E280" s="49"/>
      <c r="F280" s="51"/>
    </row>
    <row r="281" customFormat="false" ht="15" hidden="false" customHeight="true" outlineLevel="0" collapsed="false">
      <c r="A281" s="49"/>
      <c r="B281" s="49"/>
      <c r="C281" s="50"/>
      <c r="D281" s="49"/>
      <c r="E281" s="49"/>
      <c r="F281" s="51"/>
    </row>
    <row r="282" customFormat="false" ht="15" hidden="false" customHeight="true" outlineLevel="0" collapsed="false">
      <c r="A282" s="49"/>
      <c r="B282" s="49"/>
      <c r="C282" s="50"/>
      <c r="D282" s="49"/>
      <c r="E282" s="49"/>
      <c r="F282" s="51"/>
    </row>
    <row r="283" customFormat="false" ht="15" hidden="false" customHeight="true" outlineLevel="0" collapsed="false">
      <c r="A283" s="49"/>
      <c r="B283" s="49"/>
      <c r="C283" s="50"/>
      <c r="D283" s="49"/>
      <c r="E283" s="49"/>
      <c r="F283" s="51"/>
    </row>
    <row r="284" customFormat="false" ht="15" hidden="false" customHeight="true" outlineLevel="0" collapsed="false">
      <c r="A284" s="49"/>
      <c r="B284" s="49"/>
      <c r="C284" s="50"/>
      <c r="D284" s="49"/>
      <c r="E284" s="49"/>
      <c r="F284" s="51"/>
    </row>
    <row r="285" customFormat="false" ht="15" hidden="false" customHeight="true" outlineLevel="0" collapsed="false">
      <c r="A285" s="49"/>
      <c r="B285" s="49"/>
      <c r="C285" s="50"/>
      <c r="D285" s="49"/>
      <c r="E285" s="49"/>
      <c r="F285" s="51"/>
    </row>
    <row r="286" customFormat="false" ht="15" hidden="false" customHeight="true" outlineLevel="0" collapsed="false">
      <c r="A286" s="49"/>
      <c r="B286" s="49"/>
      <c r="C286" s="50"/>
      <c r="D286" s="49"/>
      <c r="E286" s="49"/>
      <c r="F286" s="51"/>
    </row>
    <row r="287" customFormat="false" ht="15" hidden="false" customHeight="true" outlineLevel="0" collapsed="false">
      <c r="A287" s="49"/>
      <c r="B287" s="49"/>
      <c r="C287" s="50"/>
      <c r="D287" s="49"/>
      <c r="E287" s="49"/>
      <c r="F287" s="51"/>
    </row>
    <row r="288" customFormat="false" ht="15" hidden="false" customHeight="true" outlineLevel="0" collapsed="false">
      <c r="A288" s="49"/>
      <c r="B288" s="49"/>
      <c r="C288" s="50"/>
      <c r="D288" s="49"/>
      <c r="E288" s="49"/>
      <c r="F288" s="51"/>
    </row>
    <row r="289" customFormat="false" ht="15" hidden="false" customHeight="true" outlineLevel="0" collapsed="false">
      <c r="A289" s="49"/>
      <c r="B289" s="49"/>
      <c r="C289" s="50"/>
      <c r="D289" s="49"/>
      <c r="E289" s="49"/>
      <c r="F289" s="51"/>
    </row>
    <row r="290" customFormat="false" ht="15" hidden="false" customHeight="true" outlineLevel="0" collapsed="false">
      <c r="A290" s="49"/>
      <c r="B290" s="49"/>
      <c r="C290" s="50"/>
      <c r="D290" s="49"/>
      <c r="E290" s="49"/>
      <c r="F290" s="51"/>
    </row>
    <row r="291" customFormat="false" ht="15" hidden="false" customHeight="true" outlineLevel="0" collapsed="false">
      <c r="A291" s="49"/>
      <c r="B291" s="49"/>
      <c r="C291" s="50"/>
      <c r="D291" s="49"/>
      <c r="E291" s="49"/>
      <c r="F291" s="51"/>
    </row>
    <row r="292" customFormat="false" ht="15" hidden="false" customHeight="true" outlineLevel="0" collapsed="false">
      <c r="A292" s="49"/>
      <c r="B292" s="49"/>
      <c r="C292" s="50"/>
      <c r="D292" s="49"/>
      <c r="E292" s="49"/>
      <c r="F292" s="51"/>
    </row>
    <row r="293" customFormat="false" ht="15" hidden="false" customHeight="true" outlineLevel="0" collapsed="false">
      <c r="A293" s="49"/>
      <c r="B293" s="49"/>
      <c r="C293" s="50"/>
      <c r="D293" s="49"/>
      <c r="E293" s="49"/>
      <c r="F293" s="51"/>
    </row>
    <row r="294" customFormat="false" ht="15" hidden="false" customHeight="true" outlineLevel="0" collapsed="false">
      <c r="A294" s="49"/>
      <c r="B294" s="49"/>
      <c r="C294" s="50"/>
      <c r="D294" s="49"/>
      <c r="E294" s="49"/>
      <c r="F294" s="51"/>
    </row>
    <row r="295" customFormat="false" ht="15" hidden="false" customHeight="true" outlineLevel="0" collapsed="false">
      <c r="A295" s="49"/>
      <c r="B295" s="49"/>
      <c r="C295" s="50"/>
      <c r="D295" s="49"/>
      <c r="E295" s="49"/>
      <c r="F295" s="51"/>
    </row>
    <row r="296" customFormat="false" ht="15" hidden="false" customHeight="true" outlineLevel="0" collapsed="false">
      <c r="A296" s="49"/>
      <c r="B296" s="49"/>
      <c r="C296" s="50"/>
      <c r="D296" s="49"/>
      <c r="E296" s="49"/>
      <c r="F296" s="51"/>
    </row>
    <row r="297" customFormat="false" ht="15" hidden="false" customHeight="true" outlineLevel="0" collapsed="false">
      <c r="A297" s="49"/>
      <c r="B297" s="49"/>
      <c r="C297" s="50"/>
      <c r="D297" s="49"/>
      <c r="E297" s="49"/>
      <c r="F297" s="51"/>
    </row>
    <row r="298" customFormat="false" ht="15" hidden="false" customHeight="true" outlineLevel="0" collapsed="false">
      <c r="A298" s="49"/>
      <c r="B298" s="49"/>
      <c r="C298" s="50"/>
      <c r="D298" s="49"/>
      <c r="E298" s="49"/>
      <c r="F298" s="51"/>
    </row>
    <row r="299" customFormat="false" ht="15" hidden="false" customHeight="true" outlineLevel="0" collapsed="false">
      <c r="A299" s="49"/>
      <c r="B299" s="49"/>
      <c r="C299" s="50"/>
      <c r="D299" s="49"/>
      <c r="E299" s="49"/>
      <c r="F299" s="5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2" t="s">
        <v>350</v>
      </c>
    </row>
    <row r="2" customFormat="false" ht="48" hidden="false" customHeight="true" outlineLevel="0" collapsed="false">
      <c r="A2" s="53" t="s">
        <v>351</v>
      </c>
      <c r="B2" s="53"/>
      <c r="C2" s="53"/>
      <c r="D2" s="53"/>
      <c r="E2" s="53"/>
      <c r="F2" s="53"/>
      <c r="G2" s="53"/>
      <c r="H2" s="53"/>
      <c r="I2" s="53"/>
      <c r="J2" s="53"/>
    </row>
    <row r="4" customFormat="false" ht="33.75" hidden="false" customHeight="true" outlineLevel="0" collapsed="false">
      <c r="A4" s="18" t="s">
        <v>59</v>
      </c>
      <c r="B4" s="18" t="s">
        <v>61</v>
      </c>
      <c r="C4" s="18" t="s">
        <v>352</v>
      </c>
      <c r="D4" s="18" t="s">
        <v>353</v>
      </c>
      <c r="E4" s="18" t="s">
        <v>354</v>
      </c>
      <c r="F4" s="18" t="s">
        <v>355</v>
      </c>
      <c r="G4" s="18" t="s">
        <v>356</v>
      </c>
      <c r="H4" s="18" t="s">
        <v>357</v>
      </c>
      <c r="I4" s="18" t="s">
        <v>358</v>
      </c>
      <c r="J4" s="18" t="s">
        <v>359</v>
      </c>
    </row>
    <row r="5" customFormat="false" ht="15" hidden="false" customHeight="true" outlineLevel="0" collapsed="false">
      <c r="A5" s="54" t="s">
        <v>346</v>
      </c>
      <c r="B5" s="55" t="s">
        <v>123</v>
      </c>
      <c r="C5" s="56" t="n">
        <v>35</v>
      </c>
      <c r="D5" s="57" t="n">
        <f aca="false">INDEX(المكونات!$C$2:$C$500,MATCH($A5,المكونات!$A$2:$A$500,0))</f>
        <v>8</v>
      </c>
      <c r="E5" s="57" t="n">
        <f aca="false">D5-C5</f>
        <v>-27</v>
      </c>
      <c r="F5" s="58" t="n">
        <f aca="false">IF(C5=0,"",D5/C5-1)</f>
        <v>-0.771428571428572</v>
      </c>
      <c r="G5" s="54" t="s">
        <v>360</v>
      </c>
      <c r="H5" s="55" t="n">
        <v>8</v>
      </c>
      <c r="I5" s="55" t="n">
        <v>1</v>
      </c>
      <c r="J5" s="59" t="s">
        <v>361</v>
      </c>
    </row>
    <row r="6" customFormat="false" ht="15" hidden="false" customHeight="true" outlineLevel="0" collapsed="false">
      <c r="A6" s="54" t="s">
        <v>322</v>
      </c>
      <c r="B6" s="55" t="s">
        <v>134</v>
      </c>
      <c r="C6" s="56" t="n">
        <v>0.65</v>
      </c>
      <c r="D6" s="57" t="n">
        <f aca="false">INDEX(المكونات!$C$2:$C$500,MATCH($A6,المكونات!$A$2:$A$500,0))</f>
        <v>1</v>
      </c>
      <c r="E6" s="57" t="n">
        <f aca="false">D6-C6</f>
        <v>0.35</v>
      </c>
      <c r="F6" s="58" t="n">
        <f aca="false">IF(C6=0,"",D6/C6-1)</f>
        <v>0.538461538461538</v>
      </c>
      <c r="G6" s="54" t="s">
        <v>360</v>
      </c>
      <c r="H6" s="55" t="n">
        <v>200</v>
      </c>
      <c r="I6" s="55" t="n">
        <v>200</v>
      </c>
      <c r="J6" s="59" t="s">
        <v>361</v>
      </c>
    </row>
    <row r="7" customFormat="false" ht="15" hidden="false" customHeight="true" outlineLevel="0" collapsed="false">
      <c r="A7" s="54" t="s">
        <v>286</v>
      </c>
      <c r="B7" s="55" t="s">
        <v>123</v>
      </c>
      <c r="C7" s="56" t="n">
        <v>10</v>
      </c>
      <c r="D7" s="57" t="n">
        <f aca="false">INDEX(المكونات!$C$2:$C$500,MATCH($A7,المكونات!$A$2:$A$500,0))</f>
        <v>15</v>
      </c>
      <c r="E7" s="57" t="n">
        <f aca="false">D7-C7</f>
        <v>5</v>
      </c>
      <c r="F7" s="58" t="n">
        <f aca="false">IF(C7=0,"",D7/C7-1)</f>
        <v>0.5</v>
      </c>
      <c r="G7" s="54" t="s">
        <v>362</v>
      </c>
      <c r="H7" s="55" t="n">
        <v>15</v>
      </c>
      <c r="I7" s="55" t="n">
        <v>1</v>
      </c>
      <c r="J7" s="59" t="s">
        <v>361</v>
      </c>
    </row>
    <row r="8" customFormat="false" ht="15" hidden="false" customHeight="true" outlineLevel="0" collapsed="false">
      <c r="A8" s="54" t="s">
        <v>307</v>
      </c>
      <c r="B8" s="55" t="s">
        <v>181</v>
      </c>
      <c r="C8" s="56" t="n">
        <v>233.33</v>
      </c>
      <c r="D8" s="57" t="n">
        <f aca="false">INDEX(المكونات!$C$2:$C$500,MATCH($A8,المكونات!$A$2:$A$500,0))</f>
        <v>151.2027</v>
      </c>
      <c r="E8" s="57" t="n">
        <f aca="false">D8-C8</f>
        <v>-82.1273</v>
      </c>
      <c r="F8" s="58" t="n">
        <f aca="false">IF(C8=0,"",D8/C8-1)</f>
        <v>-0.351979171131016</v>
      </c>
      <c r="G8" s="54" t="s">
        <v>360</v>
      </c>
      <c r="H8" s="55" t="n">
        <v>151.2027</v>
      </c>
      <c r="I8" s="55" t="n">
        <v>1</v>
      </c>
      <c r="J8" s="59" t="s">
        <v>361</v>
      </c>
    </row>
    <row r="9" customFormat="false" ht="15" hidden="false" customHeight="true" outlineLevel="0" collapsed="false">
      <c r="A9" s="54" t="s">
        <v>164</v>
      </c>
      <c r="B9" s="55" t="s">
        <v>123</v>
      </c>
      <c r="C9" s="56" t="n">
        <v>44</v>
      </c>
      <c r="D9" s="57" t="n">
        <f aca="false">INDEX(المكونات!$C$2:$C$500,MATCH($A9,المكونات!$A$2:$A$500,0))</f>
        <v>29</v>
      </c>
      <c r="E9" s="57" t="n">
        <f aca="false">D9-C9</f>
        <v>-15</v>
      </c>
      <c r="F9" s="58" t="n">
        <f aca="false">IF(C9=0,"",D9/C9-1)</f>
        <v>-0.340909090909091</v>
      </c>
      <c r="G9" s="54" t="s">
        <v>360</v>
      </c>
      <c r="H9" s="55" t="n">
        <v>29</v>
      </c>
      <c r="I9" s="55" t="n">
        <v>1</v>
      </c>
      <c r="J9" s="59" t="s">
        <v>361</v>
      </c>
    </row>
    <row r="10" customFormat="false" ht="15" hidden="false" customHeight="true" outlineLevel="0" collapsed="false">
      <c r="A10" s="54" t="s">
        <v>319</v>
      </c>
      <c r="B10" s="55" t="s">
        <v>320</v>
      </c>
      <c r="C10" s="56" t="n">
        <v>0.28</v>
      </c>
      <c r="D10" s="57" t="n">
        <f aca="false">INDEX(المكونات!$C$2:$C$500,MATCH($A10,المكونات!$A$2:$A$500,0))</f>
        <v>0.3665</v>
      </c>
      <c r="E10" s="57" t="n">
        <f aca="false">D10-C10</f>
        <v>0.0865</v>
      </c>
      <c r="F10" s="58" t="n">
        <f aca="false">IF(C10=0,"",D10/C10-1)</f>
        <v>0.308928571428571</v>
      </c>
      <c r="G10" s="54" t="s">
        <v>362</v>
      </c>
      <c r="H10" s="55" t="n">
        <v>120</v>
      </c>
      <c r="I10" s="55" t="n">
        <v>125</v>
      </c>
      <c r="J10" s="59" t="s">
        <v>361</v>
      </c>
    </row>
    <row r="11" customFormat="false" ht="15" hidden="false" customHeight="true" outlineLevel="0" collapsed="false">
      <c r="A11" s="54" t="s">
        <v>190</v>
      </c>
      <c r="B11" s="55" t="s">
        <v>181</v>
      </c>
      <c r="C11" s="56" t="n">
        <v>14</v>
      </c>
      <c r="D11" s="57" t="n">
        <f aca="false">INDEX(المكونات!$C$2:$C$500,MATCH($A11,المكونات!$A$2:$A$500,0))</f>
        <v>18</v>
      </c>
      <c r="E11" s="57" t="n">
        <f aca="false">D11-C11</f>
        <v>4</v>
      </c>
      <c r="F11" s="58" t="n">
        <f aca="false">IF(C11=0,"",D11/C11-1)</f>
        <v>0.285714285714286</v>
      </c>
      <c r="G11" s="54" t="s">
        <v>360</v>
      </c>
      <c r="H11" s="55" t="n">
        <v>18</v>
      </c>
      <c r="I11" s="55" t="n">
        <v>1</v>
      </c>
      <c r="J11" s="59" t="s">
        <v>361</v>
      </c>
    </row>
    <row r="12" customFormat="false" ht="15" hidden="false" customHeight="true" outlineLevel="0" collapsed="false">
      <c r="A12" s="54" t="s">
        <v>129</v>
      </c>
      <c r="B12" s="55" t="s">
        <v>123</v>
      </c>
      <c r="C12" s="56" t="n">
        <v>120</v>
      </c>
      <c r="D12" s="57" t="n">
        <f aca="false">INDEX(المكونات!$C$2:$C$500,MATCH($A12,المكونات!$A$2:$A$500,0))</f>
        <v>150</v>
      </c>
      <c r="E12" s="57" t="n">
        <f aca="false">D12-C12</f>
        <v>30</v>
      </c>
      <c r="F12" s="58" t="n">
        <f aca="false">IF(C12=0,"",D12/C12-1)</f>
        <v>0.25</v>
      </c>
      <c r="G12" s="54" t="s">
        <v>360</v>
      </c>
      <c r="H12" s="55" t="n">
        <v>150</v>
      </c>
      <c r="I12" s="55" t="n">
        <v>1</v>
      </c>
      <c r="J12" s="59" t="s">
        <v>361</v>
      </c>
    </row>
    <row r="13" customFormat="false" ht="15" hidden="false" customHeight="true" outlineLevel="0" collapsed="false">
      <c r="A13" s="54" t="s">
        <v>227</v>
      </c>
      <c r="B13" s="55" t="s">
        <v>181</v>
      </c>
      <c r="C13" s="56" t="n">
        <v>125</v>
      </c>
      <c r="D13" s="57" t="n">
        <f aca="false">INDEX(المكونات!$C$2:$C$500,MATCH($A13,المكونات!$A$2:$A$500,0))</f>
        <v>95</v>
      </c>
      <c r="E13" s="57" t="n">
        <f aca="false">D13-C13</f>
        <v>-30</v>
      </c>
      <c r="F13" s="58" t="n">
        <f aca="false">IF(C13=0,"",D13/C13-1)</f>
        <v>-0.24</v>
      </c>
      <c r="G13" s="54" t="s">
        <v>360</v>
      </c>
      <c r="H13" s="55" t="n">
        <v>95</v>
      </c>
      <c r="I13" s="55" t="n">
        <v>1</v>
      </c>
      <c r="J13" s="59" t="s">
        <v>361</v>
      </c>
    </row>
    <row r="14" customFormat="false" ht="15" hidden="false" customHeight="true" outlineLevel="0" collapsed="false">
      <c r="A14" s="54" t="s">
        <v>192</v>
      </c>
      <c r="B14" s="55" t="s">
        <v>193</v>
      </c>
      <c r="C14" s="56" t="n">
        <v>2.95</v>
      </c>
      <c r="D14" s="57" t="n">
        <f aca="false">INDEX(المكونات!$C$2:$C$500,MATCH($A14,المكونات!$A$2:$A$500,0))</f>
        <v>3.65</v>
      </c>
      <c r="E14" s="57" t="n">
        <f aca="false">D14-C14</f>
        <v>0.7</v>
      </c>
      <c r="F14" s="58" t="n">
        <f aca="false">IF(C14=0,"",D14/C14-1)</f>
        <v>0.23728813559322</v>
      </c>
      <c r="G14" s="54" t="s">
        <v>360</v>
      </c>
      <c r="H14" s="55" t="n">
        <v>730</v>
      </c>
      <c r="I14" s="55" t="n">
        <v>200</v>
      </c>
      <c r="J14" s="59" t="s">
        <v>361</v>
      </c>
    </row>
    <row r="15" customFormat="false" ht="15" hidden="false" customHeight="true" outlineLevel="0" collapsed="false">
      <c r="A15" s="54" t="s">
        <v>245</v>
      </c>
      <c r="B15" s="55" t="s">
        <v>181</v>
      </c>
      <c r="C15" s="56" t="n">
        <v>110</v>
      </c>
      <c r="D15" s="57" t="n">
        <f aca="false">INDEX(المكونات!$C$2:$C$500,MATCH($A15,المكونات!$A$2:$A$500,0))</f>
        <v>127.6582</v>
      </c>
      <c r="E15" s="57" t="n">
        <f aca="false">D15-C15</f>
        <v>17.6582</v>
      </c>
      <c r="F15" s="58" t="n">
        <f aca="false">IF(C15=0,"",D15/C15-1)</f>
        <v>0.160529090909091</v>
      </c>
      <c r="G15" s="54" t="s">
        <v>360</v>
      </c>
      <c r="H15" s="55" t="n">
        <v>127.6582</v>
      </c>
      <c r="I15" s="55" t="n">
        <v>1</v>
      </c>
      <c r="J15" s="54"/>
    </row>
    <row r="16" customFormat="false" ht="15" hidden="false" customHeight="true" outlineLevel="0" collapsed="false">
      <c r="A16" s="54" t="s">
        <v>262</v>
      </c>
      <c r="B16" s="55" t="s">
        <v>181</v>
      </c>
      <c r="C16" s="56" t="n">
        <v>19</v>
      </c>
      <c r="D16" s="57" t="n">
        <f aca="false">INDEX(المكونات!$C$2:$C$500,MATCH($A16,المكونات!$A$2:$A$500,0))</f>
        <v>22</v>
      </c>
      <c r="E16" s="57" t="n">
        <f aca="false">D16-C16</f>
        <v>3</v>
      </c>
      <c r="F16" s="58" t="n">
        <f aca="false">IF(C16=0,"",D16/C16-1)</f>
        <v>0.157894736842105</v>
      </c>
      <c r="G16" s="54" t="s">
        <v>360</v>
      </c>
      <c r="H16" s="55" t="n">
        <v>22</v>
      </c>
      <c r="I16" s="55" t="n">
        <v>1</v>
      </c>
      <c r="J16" s="54"/>
    </row>
    <row r="17" customFormat="false" ht="15" hidden="false" customHeight="true" outlineLevel="0" collapsed="false">
      <c r="A17" s="54" t="s">
        <v>241</v>
      </c>
      <c r="B17" s="55" t="s">
        <v>181</v>
      </c>
      <c r="C17" s="56" t="n">
        <v>95</v>
      </c>
      <c r="D17" s="57" t="n">
        <f aca="false">INDEX(المكونات!$C$2:$C$500,MATCH($A17,المكونات!$A$2:$A$500,0))</f>
        <v>109.9656</v>
      </c>
      <c r="E17" s="57" t="n">
        <f aca="false">D17-C17</f>
        <v>14.9656</v>
      </c>
      <c r="F17" s="58" t="n">
        <f aca="false">IF(C17=0,"",D17/C17-1)</f>
        <v>0.157532631578947</v>
      </c>
      <c r="G17" s="54" t="s">
        <v>360</v>
      </c>
      <c r="H17" s="55" t="n">
        <v>109.9656</v>
      </c>
      <c r="I17" s="55" t="n">
        <v>1</v>
      </c>
      <c r="J17" s="54"/>
    </row>
    <row r="18" customFormat="false" ht="15" hidden="false" customHeight="true" outlineLevel="0" collapsed="false">
      <c r="A18" s="54" t="s">
        <v>282</v>
      </c>
      <c r="B18" s="55" t="s">
        <v>181</v>
      </c>
      <c r="C18" s="56" t="n">
        <v>130</v>
      </c>
      <c r="D18" s="57" t="n">
        <f aca="false">INDEX(المكونات!$C$2:$C$500,MATCH($A18,المكونات!$A$2:$A$500,0))</f>
        <v>150</v>
      </c>
      <c r="E18" s="57" t="n">
        <f aca="false">D18-C18</f>
        <v>20</v>
      </c>
      <c r="F18" s="58" t="n">
        <f aca="false">IF(C18=0,"",D18/C18-1)</f>
        <v>0.153846153846154</v>
      </c>
      <c r="G18" s="54" t="s">
        <v>362</v>
      </c>
      <c r="H18" s="55" t="n">
        <v>150</v>
      </c>
      <c r="I18" s="55" t="n">
        <v>1</v>
      </c>
      <c r="J18" s="54"/>
    </row>
    <row r="19" customFormat="false" ht="15" hidden="false" customHeight="true" outlineLevel="0" collapsed="false">
      <c r="A19" s="54" t="s">
        <v>202</v>
      </c>
      <c r="B19" s="55" t="s">
        <v>123</v>
      </c>
      <c r="C19" s="56" t="n">
        <v>15</v>
      </c>
      <c r="D19" s="57" t="n">
        <f aca="false">INDEX(المكونات!$C$2:$C$500,MATCH($A19,المكونات!$A$2:$A$500,0))</f>
        <v>17.1875</v>
      </c>
      <c r="E19" s="57" t="n">
        <f aca="false">D19-C19</f>
        <v>2.1875</v>
      </c>
      <c r="F19" s="58" t="n">
        <f aca="false">IF(C19=0,"",D19/C19-1)</f>
        <v>0.145833333333333</v>
      </c>
      <c r="G19" s="54" t="s">
        <v>360</v>
      </c>
      <c r="H19" s="55" t="n">
        <v>17.1875</v>
      </c>
      <c r="I19" s="55" t="n">
        <v>1</v>
      </c>
      <c r="J19" s="54"/>
    </row>
    <row r="20" customFormat="false" ht="15" hidden="false" customHeight="true" outlineLevel="0" collapsed="false">
      <c r="A20" s="54" t="s">
        <v>125</v>
      </c>
      <c r="B20" s="55" t="s">
        <v>123</v>
      </c>
      <c r="C20" s="56" t="n">
        <v>0.7</v>
      </c>
      <c r="D20" s="57" t="n">
        <f aca="false">INDEX(المكونات!$C$2:$C$500,MATCH($A20,المكونات!$A$2:$A$500,0))</f>
        <v>0.8</v>
      </c>
      <c r="E20" s="57" t="n">
        <f aca="false">D20-C20</f>
        <v>0.1</v>
      </c>
      <c r="F20" s="58" t="n">
        <f aca="false">IF(C20=0,"",D20/C20-1)</f>
        <v>0.142857142857143</v>
      </c>
      <c r="G20" s="54" t="s">
        <v>360</v>
      </c>
      <c r="H20" s="55" t="n">
        <v>0.8</v>
      </c>
      <c r="I20" s="55" t="n">
        <v>1</v>
      </c>
      <c r="J20" s="54"/>
    </row>
    <row r="21" customFormat="false" ht="15" hidden="false" customHeight="true" outlineLevel="0" collapsed="false">
      <c r="A21" s="54" t="s">
        <v>204</v>
      </c>
      <c r="B21" s="55" t="s">
        <v>205</v>
      </c>
      <c r="C21" s="56" t="n">
        <v>35</v>
      </c>
      <c r="D21" s="57" t="n">
        <f aca="false">INDEX(المكونات!$C$2:$C$500,MATCH($A21,المكونات!$A$2:$A$500,0))</f>
        <v>30</v>
      </c>
      <c r="E21" s="57" t="n">
        <f aca="false">D21-C21</f>
        <v>-5</v>
      </c>
      <c r="F21" s="58" t="n">
        <f aca="false">IF(C21=0,"",D21/C21-1)</f>
        <v>-0.142857142857143</v>
      </c>
      <c r="G21" s="54" t="s">
        <v>360</v>
      </c>
      <c r="H21" s="55" t="n">
        <v>30</v>
      </c>
      <c r="I21" s="55" t="n">
        <v>1</v>
      </c>
      <c r="J21" s="54"/>
    </row>
    <row r="22" customFormat="false" ht="15" hidden="false" customHeight="true" outlineLevel="0" collapsed="false">
      <c r="A22" s="54" t="s">
        <v>166</v>
      </c>
      <c r="B22" s="55" t="s">
        <v>123</v>
      </c>
      <c r="C22" s="56" t="n">
        <v>22</v>
      </c>
      <c r="D22" s="57" t="n">
        <f aca="false">INDEX(المكونات!$C$2:$C$500,MATCH($A22,المكونات!$A$2:$A$500,0))</f>
        <v>25</v>
      </c>
      <c r="E22" s="57" t="n">
        <f aca="false">D22-C22</f>
        <v>3</v>
      </c>
      <c r="F22" s="58" t="n">
        <f aca="false">IF(C22=0,"",D22/C22-1)</f>
        <v>0.136363636363636</v>
      </c>
      <c r="G22" s="54" t="s">
        <v>360</v>
      </c>
      <c r="H22" s="55" t="n">
        <v>25</v>
      </c>
      <c r="I22" s="55" t="n">
        <v>1</v>
      </c>
      <c r="J22" s="54"/>
    </row>
    <row r="23" customFormat="false" ht="15" hidden="false" customHeight="true" outlineLevel="0" collapsed="false">
      <c r="A23" s="54" t="s">
        <v>218</v>
      </c>
      <c r="B23" s="55" t="s">
        <v>181</v>
      </c>
      <c r="C23" s="56" t="n">
        <v>18</v>
      </c>
      <c r="D23" s="57" t="n">
        <f aca="false">INDEX(المكونات!$C$2:$C$500,MATCH($A23,المكونات!$A$2:$A$500,0))</f>
        <v>20.3571</v>
      </c>
      <c r="E23" s="57" t="n">
        <f aca="false">D23-C23</f>
        <v>2.3571</v>
      </c>
      <c r="F23" s="58" t="n">
        <f aca="false">IF(C23=0,"",D23/C23-1)</f>
        <v>0.13095</v>
      </c>
      <c r="G23" s="54" t="s">
        <v>360</v>
      </c>
      <c r="H23" s="55" t="n">
        <v>20.3571</v>
      </c>
      <c r="I23" s="55" t="n">
        <v>1</v>
      </c>
      <c r="J23" s="54"/>
    </row>
    <row r="24" customFormat="false" ht="15" hidden="false" customHeight="true" outlineLevel="0" collapsed="false">
      <c r="A24" s="54" t="s">
        <v>136</v>
      </c>
      <c r="B24" s="55" t="s">
        <v>134</v>
      </c>
      <c r="C24" s="56" t="n">
        <v>1.6</v>
      </c>
      <c r="D24" s="57" t="n">
        <f aca="false">INDEX(المكونات!$C$2:$C$500,MATCH($A24,المكونات!$A$2:$A$500,0))</f>
        <v>1.4</v>
      </c>
      <c r="E24" s="57" t="n">
        <f aca="false">D24-C24</f>
        <v>-0.2</v>
      </c>
      <c r="F24" s="58" t="n">
        <f aca="false">IF(C24=0,"",D24/C24-1)</f>
        <v>-0.125</v>
      </c>
      <c r="G24" s="54" t="s">
        <v>360</v>
      </c>
      <c r="H24" s="55" t="n">
        <v>70</v>
      </c>
      <c r="I24" s="55" t="n">
        <v>50</v>
      </c>
      <c r="J24" s="54"/>
    </row>
    <row r="25" customFormat="false" ht="15" hidden="false" customHeight="true" outlineLevel="0" collapsed="false">
      <c r="A25" s="54" t="s">
        <v>211</v>
      </c>
      <c r="B25" s="55" t="s">
        <v>212</v>
      </c>
      <c r="C25" s="56" t="n">
        <v>0.16</v>
      </c>
      <c r="D25" s="57" t="n">
        <f aca="false">INDEX(المكونات!$C$2:$C$500,MATCH($A25,المكونات!$A$2:$A$500,0))</f>
        <v>0.18</v>
      </c>
      <c r="E25" s="57" t="n">
        <f aca="false">D25-C25</f>
        <v>0.02</v>
      </c>
      <c r="F25" s="58" t="n">
        <f aca="false">IF(C25=0,"",D25/C25-1)</f>
        <v>0.125</v>
      </c>
      <c r="G25" s="54" t="s">
        <v>360</v>
      </c>
      <c r="H25" s="55" t="n">
        <v>9</v>
      </c>
      <c r="I25" s="55" t="n">
        <v>50</v>
      </c>
      <c r="J25" s="54"/>
    </row>
    <row r="26" customFormat="false" ht="15" hidden="false" customHeight="true" outlineLevel="0" collapsed="false">
      <c r="A26" s="54" t="s">
        <v>208</v>
      </c>
      <c r="B26" s="55" t="s">
        <v>209</v>
      </c>
      <c r="C26" s="56" t="n">
        <v>165</v>
      </c>
      <c r="D26" s="57" t="n">
        <f aca="false">INDEX(المكونات!$C$2:$C$500,MATCH($A26,المكونات!$A$2:$A$500,0))</f>
        <v>181.9048</v>
      </c>
      <c r="E26" s="57" t="n">
        <f aca="false">D26-C26</f>
        <v>16.9048</v>
      </c>
      <c r="F26" s="58" t="n">
        <f aca="false">IF(C26=0,"",D26/C26-1)</f>
        <v>0.102453333333333</v>
      </c>
      <c r="G26" s="54" t="s">
        <v>360</v>
      </c>
      <c r="H26" s="55" t="n">
        <v>181.9048</v>
      </c>
      <c r="I26" s="55" t="n">
        <v>1</v>
      </c>
      <c r="J26" s="54"/>
    </row>
    <row r="27" customFormat="false" ht="15" hidden="false" customHeight="true" outlineLevel="0" collapsed="false">
      <c r="A27" s="54" t="s">
        <v>303</v>
      </c>
      <c r="B27" s="55" t="s">
        <v>123</v>
      </c>
      <c r="C27" s="56" t="n">
        <v>5</v>
      </c>
      <c r="D27" s="57" t="n">
        <f aca="false">INDEX(المكونات!$C$2:$C$500,MATCH($A27,المكونات!$A$2:$A$500,0))</f>
        <v>5.5</v>
      </c>
      <c r="E27" s="57" t="n">
        <f aca="false">D27-C27</f>
        <v>0.5</v>
      </c>
      <c r="F27" s="58" t="n">
        <f aca="false">IF(C27=0,"",D27/C27-1)</f>
        <v>0.1</v>
      </c>
      <c r="G27" s="54" t="s">
        <v>360</v>
      </c>
      <c r="H27" s="55" t="n">
        <v>5.5</v>
      </c>
      <c r="I27" s="55" t="n">
        <v>1</v>
      </c>
      <c r="J27" s="54"/>
    </row>
    <row r="28" customFormat="false" ht="15" hidden="false" customHeight="true" outlineLevel="0" collapsed="false">
      <c r="A28" s="54" t="s">
        <v>248</v>
      </c>
      <c r="B28" s="55" t="s">
        <v>205</v>
      </c>
      <c r="C28" s="56" t="n">
        <v>13.18</v>
      </c>
      <c r="D28" s="57" t="n">
        <f aca="false">INDEX(المكونات!$C$2:$C$500,MATCH($A28,المكونات!$A$2:$A$500,0))</f>
        <v>12</v>
      </c>
      <c r="E28" s="57" t="n">
        <f aca="false">D28-C28</f>
        <v>-1.18</v>
      </c>
      <c r="F28" s="58" t="n">
        <f aca="false">IF(C28=0,"",D28/C28-1)</f>
        <v>-0.0895295902883156</v>
      </c>
      <c r="G28" s="54" t="s">
        <v>360</v>
      </c>
      <c r="H28" s="55" t="n">
        <v>12</v>
      </c>
      <c r="I28" s="55" t="n">
        <v>1</v>
      </c>
      <c r="J28" s="54"/>
    </row>
    <row r="29" customFormat="false" ht="15" hidden="false" customHeight="true" outlineLevel="0" collapsed="false">
      <c r="A29" s="54" t="s">
        <v>144</v>
      </c>
      <c r="B29" s="55" t="s">
        <v>123</v>
      </c>
      <c r="C29" s="56" t="n">
        <v>43</v>
      </c>
      <c r="D29" s="57" t="n">
        <f aca="false">INDEX(المكونات!$C$2:$C$500,MATCH($A29,المكونات!$A$2:$A$500,0))</f>
        <v>46.6667</v>
      </c>
      <c r="E29" s="57" t="n">
        <f aca="false">D29-C29</f>
        <v>3.6667</v>
      </c>
      <c r="F29" s="58" t="n">
        <f aca="false">IF(C29=0,"",D29/C29-1)</f>
        <v>0.0852720930232558</v>
      </c>
      <c r="G29" s="54" t="s">
        <v>360</v>
      </c>
      <c r="H29" s="55" t="n">
        <v>46.6667</v>
      </c>
      <c r="I29" s="55" t="n">
        <v>1</v>
      </c>
      <c r="J29" s="54"/>
    </row>
    <row r="30" customFormat="false" ht="15" hidden="false" customHeight="true" outlineLevel="0" collapsed="false">
      <c r="A30" s="54" t="s">
        <v>133</v>
      </c>
      <c r="B30" s="55" t="s">
        <v>134</v>
      </c>
      <c r="C30" s="56" t="n">
        <v>1.523</v>
      </c>
      <c r="D30" s="57" t="n">
        <f aca="false">INDEX(المكونات!$C$2:$C$500,MATCH($A30,المكونات!$A$2:$A$500,0))</f>
        <v>1.4</v>
      </c>
      <c r="E30" s="57" t="n">
        <f aca="false">D30-C30</f>
        <v>-0.123</v>
      </c>
      <c r="F30" s="58" t="n">
        <f aca="false">IF(C30=0,"",D30/C30-1)</f>
        <v>-0.0807616546290216</v>
      </c>
      <c r="G30" s="54" t="s">
        <v>360</v>
      </c>
      <c r="H30" s="55" t="n">
        <v>70</v>
      </c>
      <c r="I30" s="55" t="n">
        <v>50</v>
      </c>
      <c r="J30" s="54"/>
    </row>
    <row r="31" customFormat="false" ht="15" hidden="false" customHeight="true" outlineLevel="0" collapsed="false">
      <c r="A31" s="54" t="s">
        <v>266</v>
      </c>
      <c r="B31" s="55" t="s">
        <v>181</v>
      </c>
      <c r="C31" s="56" t="n">
        <v>130</v>
      </c>
      <c r="D31" s="57" t="n">
        <f aca="false">INDEX(المكونات!$C$2:$C$500,MATCH($A31,المكونات!$A$2:$A$500,0))</f>
        <v>140</v>
      </c>
      <c r="E31" s="57" t="n">
        <f aca="false">D31-C31</f>
        <v>10</v>
      </c>
      <c r="F31" s="58" t="n">
        <f aca="false">IF(C31=0,"",D31/C31-1)</f>
        <v>0.0769230769230769</v>
      </c>
      <c r="G31" s="54" t="s">
        <v>360</v>
      </c>
      <c r="H31" s="55" t="n">
        <v>140</v>
      </c>
      <c r="I31" s="55" t="n">
        <v>1</v>
      </c>
      <c r="J31" s="54"/>
    </row>
    <row r="32" customFormat="false" ht="15" hidden="false" customHeight="true" outlineLevel="0" collapsed="false">
      <c r="A32" s="54" t="s">
        <v>131</v>
      </c>
      <c r="B32" s="55" t="s">
        <v>123</v>
      </c>
      <c r="C32" s="56" t="n">
        <v>74.29</v>
      </c>
      <c r="D32" s="57" t="n">
        <f aca="false">INDEX(المكونات!$C$2:$C$500,MATCH($A32,المكونات!$A$2:$A$500,0))</f>
        <v>80</v>
      </c>
      <c r="E32" s="57" t="n">
        <f aca="false">D32-C32</f>
        <v>5.70999999999999</v>
      </c>
      <c r="F32" s="58" t="n">
        <f aca="false">IF(C32=0,"",D32/C32-1)</f>
        <v>0.0768609503297886</v>
      </c>
      <c r="G32" s="54" t="s">
        <v>360</v>
      </c>
      <c r="H32" s="55" t="n">
        <v>80</v>
      </c>
      <c r="I32" s="55" t="n">
        <v>1</v>
      </c>
      <c r="J32" s="54"/>
    </row>
    <row r="33" customFormat="false" ht="15" hidden="false" customHeight="true" outlineLevel="0" collapsed="false">
      <c r="A33" s="54" t="s">
        <v>214</v>
      </c>
      <c r="B33" s="55" t="s">
        <v>181</v>
      </c>
      <c r="C33" s="56" t="n">
        <v>186.67</v>
      </c>
      <c r="D33" s="57" t="n">
        <f aca="false">INDEX(المكونات!$C$2:$C$500,MATCH($A33,المكونات!$A$2:$A$500,0))</f>
        <v>200</v>
      </c>
      <c r="E33" s="57" t="n">
        <f aca="false">D33-C33</f>
        <v>13.33</v>
      </c>
      <c r="F33" s="58" t="n">
        <f aca="false">IF(C33=0,"",D33/C33-1)</f>
        <v>0.0714094391171587</v>
      </c>
      <c r="G33" s="54" t="s">
        <v>360</v>
      </c>
      <c r="H33" s="55" t="n">
        <v>200</v>
      </c>
      <c r="I33" s="55" t="n">
        <v>1</v>
      </c>
      <c r="J33" s="54"/>
    </row>
    <row r="34" customFormat="false" ht="15" hidden="false" customHeight="true" outlineLevel="0" collapsed="false">
      <c r="A34" s="54" t="s">
        <v>174</v>
      </c>
      <c r="B34" s="55" t="s">
        <v>123</v>
      </c>
      <c r="C34" s="56" t="n">
        <v>29</v>
      </c>
      <c r="D34" s="57" t="n">
        <f aca="false">INDEX(المكونات!$C$2:$C$500,MATCH($A34,المكونات!$A$2:$A$500,0))</f>
        <v>27.1395</v>
      </c>
      <c r="E34" s="57" t="n">
        <f aca="false">D34-C34</f>
        <v>-1.8605</v>
      </c>
      <c r="F34" s="58" t="n">
        <f aca="false">IF(C34=0,"",D34/C34-1)</f>
        <v>-0.0641551724137931</v>
      </c>
      <c r="G34" s="54" t="s">
        <v>360</v>
      </c>
      <c r="H34" s="55" t="n">
        <v>27.1395</v>
      </c>
      <c r="I34" s="55" t="n">
        <v>1</v>
      </c>
      <c r="J34" s="54"/>
    </row>
    <row r="35" customFormat="false" ht="15" hidden="false" customHeight="true" outlineLevel="0" collapsed="false">
      <c r="A35" s="54" t="s">
        <v>162</v>
      </c>
      <c r="B35" s="55" t="s">
        <v>123</v>
      </c>
      <c r="C35" s="56" t="n">
        <v>31.9</v>
      </c>
      <c r="D35" s="57" t="n">
        <f aca="false">INDEX(المكونات!$C$2:$C$500,MATCH($A35,المكونات!$A$2:$A$500,0))</f>
        <v>30</v>
      </c>
      <c r="E35" s="57" t="n">
        <f aca="false">D35-C35</f>
        <v>-1.9</v>
      </c>
      <c r="F35" s="58" t="n">
        <f aca="false">IF(C35=0,"",D35/C35-1)</f>
        <v>-0.0595611285266457</v>
      </c>
      <c r="G35" s="54" t="s">
        <v>360</v>
      </c>
      <c r="H35" s="55" t="n">
        <v>30</v>
      </c>
      <c r="I35" s="55" t="n">
        <v>1</v>
      </c>
      <c r="J35" s="54"/>
    </row>
    <row r="36" customFormat="false" ht="15" hidden="false" customHeight="true" outlineLevel="0" collapsed="false">
      <c r="A36" s="54" t="s">
        <v>183</v>
      </c>
      <c r="B36" s="55" t="s">
        <v>181</v>
      </c>
      <c r="C36" s="56" t="n">
        <v>110</v>
      </c>
      <c r="D36" s="57" t="n">
        <f aca="false">INDEX(المكونات!$C$2:$C$500,MATCH($A36,المكونات!$A$2:$A$500,0))</f>
        <v>104.58</v>
      </c>
      <c r="E36" s="57" t="n">
        <f aca="false">D36-C36</f>
        <v>-5.42</v>
      </c>
      <c r="F36" s="58" t="n">
        <f aca="false">IF(C36=0,"",D36/C36-1)</f>
        <v>-0.0492727272727272</v>
      </c>
      <c r="G36" s="54" t="s">
        <v>362</v>
      </c>
      <c r="H36" s="55" t="n">
        <v>110</v>
      </c>
      <c r="I36" s="55" t="n">
        <v>1</v>
      </c>
      <c r="J36" s="54"/>
    </row>
    <row r="37" customFormat="false" ht="15" hidden="false" customHeight="true" outlineLevel="0" collapsed="false">
      <c r="A37" s="54" t="s">
        <v>313</v>
      </c>
      <c r="B37" s="55" t="s">
        <v>181</v>
      </c>
      <c r="C37" s="56" t="n">
        <v>8</v>
      </c>
      <c r="D37" s="57" t="n">
        <f aca="false">INDEX(المكونات!$C$2:$C$500,MATCH($A37,المكونات!$A$2:$A$500,0))</f>
        <v>8.37</v>
      </c>
      <c r="E37" s="57" t="n">
        <f aca="false">D37-C37</f>
        <v>0.369999999999999</v>
      </c>
      <c r="F37" s="58" t="n">
        <f aca="false">IF(C37=0,"",D37/C37-1)</f>
        <v>0.0462499999999999</v>
      </c>
      <c r="G37" s="54" t="s">
        <v>362</v>
      </c>
      <c r="H37" s="55" t="n">
        <v>8.37</v>
      </c>
      <c r="I37" s="55" t="n">
        <v>1</v>
      </c>
      <c r="J37" s="54"/>
    </row>
    <row r="38" customFormat="false" ht="15" hidden="false" customHeight="true" outlineLevel="0" collapsed="false">
      <c r="A38" s="54" t="s">
        <v>142</v>
      </c>
      <c r="B38" s="55" t="s">
        <v>123</v>
      </c>
      <c r="C38" s="56" t="n">
        <v>33.5</v>
      </c>
      <c r="D38" s="57" t="n">
        <f aca="false">INDEX(المكونات!$C$2:$C$500,MATCH($A38,المكونات!$A$2:$A$500,0))</f>
        <v>35</v>
      </c>
      <c r="E38" s="57" t="n">
        <f aca="false">D38-C38</f>
        <v>1.5</v>
      </c>
      <c r="F38" s="58" t="n">
        <f aca="false">IF(C38=0,"",D38/C38-1)</f>
        <v>0.044776119402985</v>
      </c>
      <c r="G38" s="54" t="s">
        <v>360</v>
      </c>
      <c r="H38" s="55" t="n">
        <v>35</v>
      </c>
      <c r="I38" s="55" t="n">
        <v>1</v>
      </c>
      <c r="J38" s="54"/>
    </row>
    <row r="39" customFormat="false" ht="15" hidden="false" customHeight="true" outlineLevel="0" collapsed="false">
      <c r="A39" s="54" t="s">
        <v>156</v>
      </c>
      <c r="B39" s="55" t="s">
        <v>123</v>
      </c>
      <c r="C39" s="56" t="n">
        <v>25.82</v>
      </c>
      <c r="D39" s="57" t="n">
        <f aca="false">INDEX(المكونات!$C$2:$C$500,MATCH($A39,المكونات!$A$2:$A$500,0))</f>
        <v>26.9708</v>
      </c>
      <c r="E39" s="57" t="n">
        <f aca="false">D39-C39</f>
        <v>1.1508</v>
      </c>
      <c r="F39" s="58" t="n">
        <f aca="false">IF(C39=0,"",D39/C39-1)</f>
        <v>0.044570100697134</v>
      </c>
      <c r="G39" s="54" t="s">
        <v>360</v>
      </c>
      <c r="H39" s="55" t="n">
        <v>26.9708</v>
      </c>
      <c r="I39" s="55" t="n">
        <v>1</v>
      </c>
      <c r="J39" s="54"/>
    </row>
    <row r="40" customFormat="false" ht="15" hidden="false" customHeight="true" outlineLevel="0" collapsed="false">
      <c r="A40" s="54" t="s">
        <v>140</v>
      </c>
      <c r="B40" s="55" t="s">
        <v>123</v>
      </c>
      <c r="C40" s="56" t="n">
        <v>18.76</v>
      </c>
      <c r="D40" s="57" t="n">
        <f aca="false">INDEX(المكونات!$C$2:$C$500,MATCH($A40,المكونات!$A$2:$A$500,0))</f>
        <v>18</v>
      </c>
      <c r="E40" s="57" t="n">
        <f aca="false">D40-C40</f>
        <v>-0.760000000000002</v>
      </c>
      <c r="F40" s="58" t="n">
        <f aca="false">IF(C40=0,"",D40/C40-1)</f>
        <v>-0.0405117270788914</v>
      </c>
      <c r="G40" s="54" t="s">
        <v>360</v>
      </c>
      <c r="H40" s="55" t="n">
        <v>18</v>
      </c>
      <c r="I40" s="55" t="n">
        <v>1</v>
      </c>
      <c r="J40" s="54"/>
    </row>
    <row r="41" customFormat="false" ht="15" hidden="false" customHeight="true" outlineLevel="0" collapsed="false">
      <c r="A41" s="54" t="s">
        <v>258</v>
      </c>
      <c r="B41" s="55" t="s">
        <v>181</v>
      </c>
      <c r="C41" s="56" t="n">
        <v>135</v>
      </c>
      <c r="D41" s="57" t="n">
        <f aca="false">INDEX(المكونات!$C$2:$C$500,MATCH($A41,المكونات!$A$2:$A$500,0))</f>
        <v>140</v>
      </c>
      <c r="E41" s="57" t="n">
        <f aca="false">D41-C41</f>
        <v>5</v>
      </c>
      <c r="F41" s="58" t="n">
        <f aca="false">IF(C41=0,"",D41/C41-1)</f>
        <v>0.037037037037037</v>
      </c>
      <c r="G41" s="54" t="s">
        <v>360</v>
      </c>
      <c r="H41" s="55" t="n">
        <v>140</v>
      </c>
      <c r="I41" s="55" t="n">
        <v>1</v>
      </c>
      <c r="J41" s="54"/>
    </row>
    <row r="42" customFormat="false" ht="15" hidden="false" customHeight="true" outlineLevel="0" collapsed="false">
      <c r="A42" s="54" t="s">
        <v>223</v>
      </c>
      <c r="B42" s="55" t="s">
        <v>205</v>
      </c>
      <c r="C42" s="56" t="n">
        <v>70</v>
      </c>
      <c r="D42" s="57" t="n">
        <f aca="false">INDEX(المكونات!$C$2:$C$500,MATCH($A42,المكونات!$A$2:$A$500,0))</f>
        <v>72.5</v>
      </c>
      <c r="E42" s="57" t="n">
        <f aca="false">D42-C42</f>
        <v>2.5</v>
      </c>
      <c r="F42" s="58" t="n">
        <f aca="false">IF(C42=0,"",D42/C42-1)</f>
        <v>0.0357142857142858</v>
      </c>
      <c r="G42" s="54" t="s">
        <v>360</v>
      </c>
      <c r="H42" s="55" t="n">
        <v>72.5</v>
      </c>
      <c r="I42" s="55" t="n">
        <v>1</v>
      </c>
      <c r="J42" s="54"/>
    </row>
    <row r="43" customFormat="false" ht="15" hidden="false" customHeight="true" outlineLevel="0" collapsed="false">
      <c r="A43" s="54" t="s">
        <v>160</v>
      </c>
      <c r="B43" s="55" t="s">
        <v>123</v>
      </c>
      <c r="C43" s="56" t="n">
        <v>50.54</v>
      </c>
      <c r="D43" s="57" t="n">
        <f aca="false">INDEX(المكونات!$C$2:$C$500,MATCH($A43,المكونات!$A$2:$A$500,0))</f>
        <v>48.7817</v>
      </c>
      <c r="E43" s="57" t="n">
        <f aca="false">D43-C43</f>
        <v>-1.7583</v>
      </c>
      <c r="F43" s="58" t="n">
        <f aca="false">IF(C43=0,"",D43/C43-1)</f>
        <v>-0.0347902651365255</v>
      </c>
      <c r="G43" s="54" t="s">
        <v>360</v>
      </c>
      <c r="H43" s="55" t="n">
        <v>48.7817</v>
      </c>
      <c r="I43" s="55" t="n">
        <v>1</v>
      </c>
      <c r="J43" s="54"/>
    </row>
    <row r="44" customFormat="false" ht="15" hidden="false" customHeight="true" outlineLevel="0" collapsed="false">
      <c r="A44" s="54" t="s">
        <v>298</v>
      </c>
      <c r="B44" s="55" t="s">
        <v>205</v>
      </c>
      <c r="C44" s="56" t="n">
        <v>20</v>
      </c>
      <c r="D44" s="57" t="n">
        <f aca="false">INDEX(المكونات!$C$2:$C$500,MATCH($A44,المكونات!$A$2:$A$500,0))</f>
        <v>20.6667</v>
      </c>
      <c r="E44" s="57" t="n">
        <f aca="false">D44-C44</f>
        <v>0.666699999999999</v>
      </c>
      <c r="F44" s="58" t="n">
        <f aca="false">IF(C44=0,"",D44/C44-1)</f>
        <v>0.0333349999999999</v>
      </c>
      <c r="G44" s="54" t="s">
        <v>360</v>
      </c>
      <c r="H44" s="55" t="n">
        <v>20.6667</v>
      </c>
      <c r="I44" s="55" t="n">
        <v>1</v>
      </c>
      <c r="J44" s="54"/>
    </row>
    <row r="45" customFormat="false" ht="15" hidden="false" customHeight="true" outlineLevel="0" collapsed="false">
      <c r="A45" s="54" t="s">
        <v>154</v>
      </c>
      <c r="B45" s="55" t="s">
        <v>123</v>
      </c>
      <c r="C45" s="56" t="n">
        <v>46.49</v>
      </c>
      <c r="D45" s="57" t="n">
        <f aca="false">INDEX(المكونات!$C$2:$C$500,MATCH($A45,المكونات!$A$2:$A$500,0))</f>
        <v>45</v>
      </c>
      <c r="E45" s="57" t="n">
        <f aca="false">D45-C45</f>
        <v>-1.49</v>
      </c>
      <c r="F45" s="58" t="n">
        <f aca="false">IF(C45=0,"",D45/C45-1)</f>
        <v>-0.0320499032049904</v>
      </c>
      <c r="G45" s="54" t="s">
        <v>360</v>
      </c>
      <c r="H45" s="55" t="n">
        <v>45</v>
      </c>
      <c r="I45" s="55" t="n">
        <v>1</v>
      </c>
      <c r="J45" s="54"/>
    </row>
    <row r="46" customFormat="false" ht="15" hidden="false" customHeight="true" outlineLevel="0" collapsed="false">
      <c r="A46" s="54" t="s">
        <v>250</v>
      </c>
      <c r="B46" s="55" t="s">
        <v>181</v>
      </c>
      <c r="C46" s="56" t="n">
        <v>32.97</v>
      </c>
      <c r="D46" s="57" t="n">
        <f aca="false">INDEX(المكونات!$C$2:$C$500,MATCH($A46,المكونات!$A$2:$A$500,0))</f>
        <v>32</v>
      </c>
      <c r="E46" s="57" t="n">
        <f aca="false">D46-C46</f>
        <v>-0.969999999999999</v>
      </c>
      <c r="F46" s="58" t="n">
        <f aca="false">IF(C46=0,"",D46/C46-1)</f>
        <v>-0.0294206854716409</v>
      </c>
      <c r="G46" s="54" t="s">
        <v>360</v>
      </c>
      <c r="H46" s="55" t="n">
        <v>32</v>
      </c>
      <c r="I46" s="55" t="n">
        <v>1</v>
      </c>
      <c r="J46" s="54"/>
    </row>
    <row r="47" customFormat="false" ht="15" hidden="false" customHeight="true" outlineLevel="0" collapsed="false">
      <c r="A47" s="54" t="s">
        <v>158</v>
      </c>
      <c r="B47" s="55" t="s">
        <v>123</v>
      </c>
      <c r="C47" s="56" t="n">
        <v>35</v>
      </c>
      <c r="D47" s="57" t="n">
        <f aca="false">INDEX(المكونات!$C$2:$C$500,MATCH($A47,المكونات!$A$2:$A$500,0))</f>
        <v>33.982</v>
      </c>
      <c r="E47" s="57" t="n">
        <f aca="false">D47-C47</f>
        <v>-1.018</v>
      </c>
      <c r="F47" s="58" t="n">
        <f aca="false">IF(C47=0,"",D47/C47-1)</f>
        <v>-0.0290857142857143</v>
      </c>
      <c r="G47" s="54" t="s">
        <v>360</v>
      </c>
      <c r="H47" s="55" t="n">
        <v>33.982</v>
      </c>
      <c r="I47" s="55" t="n">
        <v>1</v>
      </c>
      <c r="J47" s="54"/>
    </row>
    <row r="48" customFormat="false" ht="15" hidden="false" customHeight="true" outlineLevel="0" collapsed="false">
      <c r="A48" s="54" t="s">
        <v>146</v>
      </c>
      <c r="B48" s="55" t="s">
        <v>123</v>
      </c>
      <c r="C48" s="56" t="n">
        <v>5.5</v>
      </c>
      <c r="D48" s="57" t="n">
        <f aca="false">INDEX(المكونات!$C$2:$C$500,MATCH($A48,المكونات!$A$2:$A$500,0))</f>
        <v>5.65</v>
      </c>
      <c r="E48" s="57" t="n">
        <f aca="false">D48-C48</f>
        <v>0.15</v>
      </c>
      <c r="F48" s="58" t="n">
        <f aca="false">IF(C48=0,"",D48/C48-1)</f>
        <v>0.0272727272727273</v>
      </c>
      <c r="G48" s="54" t="s">
        <v>360</v>
      </c>
      <c r="H48" s="55" t="n">
        <v>5.65</v>
      </c>
      <c r="I48" s="55" t="n">
        <v>1</v>
      </c>
      <c r="J48" s="54"/>
    </row>
    <row r="49" customFormat="false" ht="15" hidden="false" customHeight="true" outlineLevel="0" collapsed="false">
      <c r="A49" s="54" t="s">
        <v>232</v>
      </c>
      <c r="B49" s="55" t="s">
        <v>181</v>
      </c>
      <c r="C49" s="56" t="n">
        <v>370</v>
      </c>
      <c r="D49" s="57" t="n">
        <f aca="false">INDEX(المكونات!$C$2:$C$500,MATCH($A49,المكونات!$A$2:$A$500,0))</f>
        <v>380</v>
      </c>
      <c r="E49" s="57" t="n">
        <f aca="false">D49-C49</f>
        <v>10</v>
      </c>
      <c r="F49" s="58" t="n">
        <f aca="false">IF(C49=0,"",D49/C49-1)</f>
        <v>0.027027027027027</v>
      </c>
      <c r="G49" s="54" t="s">
        <v>360</v>
      </c>
      <c r="H49" s="55" t="n">
        <v>380</v>
      </c>
      <c r="I49" s="55" t="n">
        <v>1</v>
      </c>
      <c r="J49" s="54"/>
    </row>
    <row r="50" customFormat="false" ht="15" hidden="false" customHeight="true" outlineLevel="0" collapsed="false">
      <c r="A50" s="54" t="s">
        <v>317</v>
      </c>
      <c r="B50" s="55" t="s">
        <v>181</v>
      </c>
      <c r="C50" s="56" t="n">
        <v>595</v>
      </c>
      <c r="D50" s="57" t="n">
        <f aca="false">INDEX(المكونات!$C$2:$C$500,MATCH($A50,المكونات!$A$2:$A$500,0))</f>
        <v>610</v>
      </c>
      <c r="E50" s="57" t="n">
        <f aca="false">D50-C50</f>
        <v>15</v>
      </c>
      <c r="F50" s="58" t="n">
        <f aca="false">IF(C50=0,"",D50/C50-1)</f>
        <v>0.0252100840336134</v>
      </c>
      <c r="G50" s="54" t="s">
        <v>360</v>
      </c>
      <c r="H50" s="55" t="n">
        <v>610</v>
      </c>
      <c r="I50" s="55" t="n">
        <v>1</v>
      </c>
      <c r="J50" s="54"/>
    </row>
    <row r="51" customFormat="false" ht="15" hidden="false" customHeight="true" outlineLevel="0" collapsed="false">
      <c r="A51" s="54" t="s">
        <v>270</v>
      </c>
      <c r="B51" s="55" t="s">
        <v>123</v>
      </c>
      <c r="C51" s="56" t="n">
        <v>4.4</v>
      </c>
      <c r="D51" s="57" t="n">
        <f aca="false">INDEX(المكونات!$C$2:$C$500,MATCH($A51,المكونات!$A$2:$A$500,0))</f>
        <v>4.5</v>
      </c>
      <c r="E51" s="57" t="n">
        <f aca="false">D51-C51</f>
        <v>0.0999999999999996</v>
      </c>
      <c r="F51" s="58" t="n">
        <f aca="false">IF(C51=0,"",D51/C51-1)</f>
        <v>0.0227272727272727</v>
      </c>
      <c r="G51" s="54" t="s">
        <v>360</v>
      </c>
      <c r="H51" s="55" t="n">
        <v>4.5</v>
      </c>
      <c r="I51" s="55" t="n">
        <v>1</v>
      </c>
      <c r="J51" s="54"/>
    </row>
    <row r="52" customFormat="false" ht="15" hidden="false" customHeight="true" outlineLevel="0" collapsed="false">
      <c r="A52" s="54" t="s">
        <v>229</v>
      </c>
      <c r="B52" s="55" t="s">
        <v>181</v>
      </c>
      <c r="C52" s="56" t="n">
        <v>30</v>
      </c>
      <c r="D52" s="57" t="n">
        <f aca="false">INDEX(المكونات!$C$2:$C$500,MATCH($A52,المكونات!$A$2:$A$500,0))</f>
        <v>30.6593</v>
      </c>
      <c r="E52" s="57" t="n">
        <f aca="false">D52-C52</f>
        <v>0.659300000000002</v>
      </c>
      <c r="F52" s="58" t="n">
        <f aca="false">IF(C52=0,"",D52/C52-1)</f>
        <v>0.0219766666666668</v>
      </c>
      <c r="G52" s="54" t="s">
        <v>360</v>
      </c>
      <c r="H52" s="55" t="n">
        <v>30.6593</v>
      </c>
      <c r="I52" s="55" t="n">
        <v>1</v>
      </c>
      <c r="J52" s="54"/>
    </row>
    <row r="53" customFormat="false" ht="15" hidden="false" customHeight="true" outlineLevel="0" collapsed="false">
      <c r="A53" s="54" t="s">
        <v>293</v>
      </c>
      <c r="B53" s="55" t="s">
        <v>123</v>
      </c>
      <c r="C53" s="56" t="n">
        <v>0.49</v>
      </c>
      <c r="D53" s="57" t="n">
        <f aca="false">INDEX(المكونات!$C$2:$C$500,MATCH($A53,المكونات!$A$2:$A$500,0))</f>
        <v>0.5</v>
      </c>
      <c r="E53" s="57" t="n">
        <f aca="false">D53-C53</f>
        <v>0.01</v>
      </c>
      <c r="F53" s="58" t="n">
        <f aca="false">IF(C53=0,"",D53/C53-1)</f>
        <v>0.0204081632653061</v>
      </c>
      <c r="G53" s="54" t="s">
        <v>360</v>
      </c>
      <c r="H53" s="55" t="n">
        <v>0.5</v>
      </c>
      <c r="I53" s="55" t="n">
        <v>1</v>
      </c>
      <c r="J53" s="54"/>
    </row>
    <row r="54" customFormat="false" ht="15" hidden="false" customHeight="true" outlineLevel="0" collapsed="false">
      <c r="A54" s="54" t="s">
        <v>252</v>
      </c>
      <c r="B54" s="55" t="s">
        <v>181</v>
      </c>
      <c r="C54" s="56" t="n">
        <v>68.75</v>
      </c>
      <c r="D54" s="57" t="n">
        <f aca="false">INDEX(المكونات!$C$2:$C$500,MATCH($A54,المكونات!$A$2:$A$500,0))</f>
        <v>70</v>
      </c>
      <c r="E54" s="57" t="n">
        <f aca="false">D54-C54</f>
        <v>1.25</v>
      </c>
      <c r="F54" s="58" t="n">
        <f aca="false">IF(C54=0,"",D54/C54-1)</f>
        <v>0.0181818181818181</v>
      </c>
      <c r="G54" s="54" t="s">
        <v>360</v>
      </c>
      <c r="H54" s="55" t="n">
        <v>70</v>
      </c>
      <c r="I54" s="55" t="n">
        <v>1</v>
      </c>
      <c r="J54" s="54"/>
    </row>
    <row r="55" customFormat="false" ht="15" hidden="false" customHeight="true" outlineLevel="0" collapsed="false">
      <c r="A55" s="54" t="s">
        <v>328</v>
      </c>
      <c r="B55" s="55" t="s">
        <v>123</v>
      </c>
      <c r="C55" s="56" t="n">
        <v>4.4</v>
      </c>
      <c r="D55" s="57" t="n">
        <f aca="false">INDEX(المكونات!$C$2:$C$500,MATCH($A55,المكونات!$A$2:$A$500,0))</f>
        <v>4.47</v>
      </c>
      <c r="E55" s="57" t="n">
        <f aca="false">D55-C55</f>
        <v>0.0699999999999994</v>
      </c>
      <c r="F55" s="58" t="n">
        <f aca="false">IF(C55=0,"",D55/C55-1)</f>
        <v>0.0159090909090909</v>
      </c>
      <c r="G55" s="54" t="s">
        <v>362</v>
      </c>
      <c r="H55" s="55" t="n">
        <v>4.47</v>
      </c>
      <c r="I55" s="55" t="n">
        <v>1</v>
      </c>
      <c r="J55" s="54"/>
    </row>
    <row r="56" customFormat="false" ht="15" hidden="false" customHeight="true" outlineLevel="0" collapsed="false">
      <c r="A56" s="54" t="s">
        <v>221</v>
      </c>
      <c r="B56" s="55" t="s">
        <v>181</v>
      </c>
      <c r="C56" s="56" t="n">
        <v>216.67</v>
      </c>
      <c r="D56" s="57" t="n">
        <f aca="false">INDEX(المكونات!$C$2:$C$500,MATCH($A56,المكونات!$A$2:$A$500,0))</f>
        <v>220</v>
      </c>
      <c r="E56" s="57" t="n">
        <f aca="false">D56-C56</f>
        <v>3.33000000000001</v>
      </c>
      <c r="F56" s="58" t="n">
        <f aca="false">IF(C56=0,"",D56/C56-1)</f>
        <v>0.0153689943231643</v>
      </c>
      <c r="G56" s="54" t="s">
        <v>360</v>
      </c>
      <c r="H56" s="55" t="n">
        <v>220</v>
      </c>
      <c r="I56" s="55" t="n">
        <v>1</v>
      </c>
      <c r="J56" s="54"/>
    </row>
    <row r="57" customFormat="false" ht="15" hidden="false" customHeight="true" outlineLevel="0" collapsed="false">
      <c r="A57" s="54" t="s">
        <v>344</v>
      </c>
      <c r="B57" s="55" t="s">
        <v>123</v>
      </c>
      <c r="C57" s="56" t="n">
        <v>4.4</v>
      </c>
      <c r="D57" s="57" t="n">
        <f aca="false">INDEX(المكونات!$C$2:$C$500,MATCH($A57,المكونات!$A$2:$A$500,0))</f>
        <v>4.44</v>
      </c>
      <c r="E57" s="57" t="n">
        <f aca="false">D57-C57</f>
        <v>0.04</v>
      </c>
      <c r="F57" s="58" t="n">
        <f aca="false">IF(C57=0,"",D57/C57-1)</f>
        <v>0.00909090909090904</v>
      </c>
      <c r="G57" s="54" t="s">
        <v>362</v>
      </c>
      <c r="H57" s="55" t="n">
        <v>4.44</v>
      </c>
      <c r="I57" s="55" t="n">
        <v>1</v>
      </c>
      <c r="J57" s="54"/>
    </row>
    <row r="58" customFormat="false" ht="15" hidden="false" customHeight="true" outlineLevel="0" collapsed="false">
      <c r="A58" s="54" t="s">
        <v>150</v>
      </c>
      <c r="B58" s="55" t="s">
        <v>123</v>
      </c>
      <c r="C58" s="56" t="n">
        <v>95.62</v>
      </c>
      <c r="D58" s="57" t="n">
        <f aca="false">INDEX(المكونات!$C$2:$C$500,MATCH($A58,المكونات!$A$2:$A$500,0))</f>
        <v>95</v>
      </c>
      <c r="E58" s="57" t="n">
        <f aca="false">D58-C58</f>
        <v>-0.620000000000005</v>
      </c>
      <c r="F58" s="58" t="n">
        <f aca="false">IF(C58=0,"",D58/C58-1)</f>
        <v>-0.00648399916335496</v>
      </c>
      <c r="G58" s="54" t="s">
        <v>360</v>
      </c>
      <c r="H58" s="55" t="n">
        <v>95</v>
      </c>
      <c r="I58" s="55" t="n">
        <v>1</v>
      </c>
      <c r="J58" s="54"/>
    </row>
    <row r="59" customFormat="false" ht="15" hidden="false" customHeight="true" outlineLevel="0" collapsed="false">
      <c r="A59" s="54" t="s">
        <v>225</v>
      </c>
      <c r="B59" s="55" t="s">
        <v>205</v>
      </c>
      <c r="C59" s="56" t="n">
        <v>75.48</v>
      </c>
      <c r="D59" s="57" t="n">
        <f aca="false">INDEX(المكونات!$C$2:$C$500,MATCH($A59,المكونات!$A$2:$A$500,0))</f>
        <v>75</v>
      </c>
      <c r="E59" s="57" t="n">
        <f aca="false">D59-C59</f>
        <v>-0.480000000000004</v>
      </c>
      <c r="F59" s="58" t="n">
        <f aca="false">IF(C59=0,"",D59/C59-1)</f>
        <v>-0.00635930047694755</v>
      </c>
      <c r="G59" s="54" t="s">
        <v>360</v>
      </c>
      <c r="H59" s="55" t="n">
        <v>75</v>
      </c>
      <c r="I59" s="55" t="n">
        <v>1</v>
      </c>
      <c r="J59" s="54"/>
    </row>
    <row r="60" customFormat="false" ht="15" hidden="false" customHeight="true" outlineLevel="0" collapsed="false">
      <c r="A60" s="54" t="s">
        <v>200</v>
      </c>
      <c r="B60" s="55" t="s">
        <v>123</v>
      </c>
      <c r="C60" s="56" t="n">
        <v>6.06</v>
      </c>
      <c r="D60" s="57" t="n">
        <f aca="false">INDEX(المكونات!$C$2:$C$500,MATCH($A60,المكونات!$A$2:$A$500,0))</f>
        <v>6.09</v>
      </c>
      <c r="E60" s="57" t="n">
        <f aca="false">D60-C60</f>
        <v>0.0300000000000003</v>
      </c>
      <c r="F60" s="58" t="n">
        <f aca="false">IF(C60=0,"",D60/C60-1)</f>
        <v>0.00495049504950496</v>
      </c>
      <c r="G60" s="54" t="s">
        <v>362</v>
      </c>
      <c r="H60" s="55" t="n">
        <v>6.09</v>
      </c>
      <c r="I60" s="55" t="n">
        <v>1</v>
      </c>
      <c r="J60" s="54"/>
    </row>
    <row r="61" customFormat="false" ht="15" hidden="false" customHeight="true" outlineLevel="0" collapsed="false">
      <c r="A61" s="54" t="s">
        <v>260</v>
      </c>
      <c r="B61" s="55" t="s">
        <v>181</v>
      </c>
      <c r="C61" s="56" t="n">
        <v>20.91</v>
      </c>
      <c r="D61" s="57" t="n">
        <f aca="false">INDEX(المكونات!$C$2:$C$500,MATCH($A61,المكونات!$A$2:$A$500,0))</f>
        <v>21</v>
      </c>
      <c r="E61" s="57" t="n">
        <f aca="false">D61-C61</f>
        <v>0.0899999999999999</v>
      </c>
      <c r="F61" s="58" t="n">
        <f aca="false">IF(C61=0,"",D61/C61-1)</f>
        <v>0.00430416068866579</v>
      </c>
      <c r="G61" s="54" t="s">
        <v>360</v>
      </c>
      <c r="H61" s="55" t="n">
        <v>21</v>
      </c>
      <c r="I61" s="55" t="n">
        <v>1</v>
      </c>
      <c r="J61" s="54"/>
    </row>
    <row r="62" customFormat="false" ht="15" hidden="false" customHeight="true" outlineLevel="0" collapsed="false">
      <c r="A62" s="54" t="s">
        <v>234</v>
      </c>
      <c r="B62" s="55" t="s">
        <v>235</v>
      </c>
      <c r="C62" s="56" t="n">
        <v>2.5284</v>
      </c>
      <c r="D62" s="57" t="n">
        <f aca="false">INDEX(المكونات!$C$2:$C$500,MATCH($A62,المكونات!$A$2:$A$500,0))</f>
        <v>2.5189</v>
      </c>
      <c r="E62" s="57" t="n">
        <f aca="false">D62-C62</f>
        <v>-0.00950000000000006</v>
      </c>
      <c r="F62" s="58" t="n">
        <f aca="false">IF(C62=0,"",D62/C62-1)</f>
        <v>-0.0037573168802405</v>
      </c>
      <c r="G62" s="54" t="s">
        <v>362</v>
      </c>
      <c r="H62" s="55" t="n">
        <v>530</v>
      </c>
      <c r="I62" s="55" t="n">
        <v>200</v>
      </c>
      <c r="J62" s="54"/>
    </row>
    <row r="63" customFormat="false" ht="15" hidden="false" customHeight="true" outlineLevel="0" collapsed="false">
      <c r="A63" s="54" t="s">
        <v>338</v>
      </c>
      <c r="B63" s="55" t="s">
        <v>181</v>
      </c>
      <c r="C63" s="56" t="n">
        <v>220</v>
      </c>
      <c r="D63" s="57" t="n">
        <f aca="false">INDEX(المكونات!$C$2:$C$500,MATCH($A63,المكونات!$A$2:$A$500,0))</f>
        <v>219.23</v>
      </c>
      <c r="E63" s="57" t="n">
        <f aca="false">D63-C63</f>
        <v>-0.77000000000001</v>
      </c>
      <c r="F63" s="58" t="n">
        <f aca="false">IF(C63=0,"",D63/C63-1)</f>
        <v>-0.00350000000000006</v>
      </c>
      <c r="G63" s="54" t="s">
        <v>362</v>
      </c>
      <c r="H63" s="55" t="n">
        <v>219.23</v>
      </c>
      <c r="I63" s="55" t="n">
        <v>1</v>
      </c>
      <c r="J63" s="54"/>
    </row>
    <row r="64" customFormat="false" ht="15" hidden="false" customHeight="true" outlineLevel="0" collapsed="false">
      <c r="A64" s="54" t="s">
        <v>170</v>
      </c>
      <c r="B64" s="55" t="s">
        <v>123</v>
      </c>
      <c r="C64" s="56" t="n">
        <v>22.94</v>
      </c>
      <c r="D64" s="57" t="n">
        <f aca="false">INDEX(المكونات!$C$2:$C$500,MATCH($A64,المكونات!$A$2:$A$500,0))</f>
        <v>23</v>
      </c>
      <c r="E64" s="57" t="n">
        <f aca="false">D64-C64</f>
        <v>0.0599999999999987</v>
      </c>
      <c r="F64" s="58" t="n">
        <f aca="false">IF(C64=0,"",D64/C64-1)</f>
        <v>0.0026155187445509</v>
      </c>
      <c r="G64" s="54" t="s">
        <v>360</v>
      </c>
      <c r="H64" s="55" t="n">
        <v>23</v>
      </c>
      <c r="I64" s="55" t="n">
        <v>1</v>
      </c>
      <c r="J64" s="54"/>
    </row>
    <row r="65" customFormat="false" ht="15" hidden="false" customHeight="true" outlineLevel="0" collapsed="false">
      <c r="A65" s="54" t="s">
        <v>280</v>
      </c>
      <c r="B65" s="55" t="s">
        <v>123</v>
      </c>
      <c r="C65" s="56" t="n">
        <v>42</v>
      </c>
      <c r="D65" s="57" t="n">
        <f aca="false">INDEX(المكونات!$C$2:$C$500,MATCH($A65,المكونات!$A$2:$A$500,0))</f>
        <v>42.03</v>
      </c>
      <c r="E65" s="57" t="n">
        <f aca="false">D65-C65</f>
        <v>0.0300000000000011</v>
      </c>
      <c r="F65" s="58" t="n">
        <f aca="false">IF(C65=0,"",D65/C65-1)</f>
        <v>0.000714285714285667</v>
      </c>
      <c r="G65" s="54" t="s">
        <v>362</v>
      </c>
      <c r="H65" s="55" t="n">
        <v>42.03</v>
      </c>
      <c r="I65" s="55" t="n">
        <v>1</v>
      </c>
      <c r="J65" s="54"/>
    </row>
    <row r="66" customFormat="false" ht="15" hidden="false" customHeight="true" outlineLevel="0" collapsed="false">
      <c r="A66" s="54" t="s">
        <v>336</v>
      </c>
      <c r="B66" s="55" t="s">
        <v>181</v>
      </c>
      <c r="C66" s="56" t="n">
        <v>220</v>
      </c>
      <c r="D66" s="57" t="n">
        <f aca="false">INDEX(المكونات!$C$2:$C$500,MATCH($A66,المكونات!$A$2:$A$500,0))</f>
        <v>220.02</v>
      </c>
      <c r="E66" s="57" t="n">
        <f aca="false">D66-C66</f>
        <v>0.0200000000000102</v>
      </c>
      <c r="F66" s="58" t="n">
        <f aca="false">IF(C66=0,"",D66/C66-1)</f>
        <v>9.09090909091415E-005</v>
      </c>
      <c r="G66" s="54" t="s">
        <v>362</v>
      </c>
      <c r="H66" s="55" t="n">
        <v>220.02</v>
      </c>
      <c r="I66" s="55" t="n">
        <v>1</v>
      </c>
      <c r="J66" s="54"/>
    </row>
    <row r="67" customFormat="false" ht="15" hidden="false" customHeight="true" outlineLevel="0" collapsed="false">
      <c r="A67" s="54" t="s">
        <v>122</v>
      </c>
      <c r="B67" s="55" t="s">
        <v>123</v>
      </c>
      <c r="C67" s="56" t="n">
        <v>3.3</v>
      </c>
      <c r="D67" s="57" t="n">
        <f aca="false">INDEX(المكونات!$C$2:$C$500,MATCH($A67,المكونات!$A$2:$A$500,0))</f>
        <v>3.3</v>
      </c>
      <c r="E67" s="57" t="n">
        <f aca="false">D67-C67</f>
        <v>0</v>
      </c>
      <c r="F67" s="58" t="n">
        <f aca="false">IF(C67=0,"",D67/C67-1)</f>
        <v>0</v>
      </c>
      <c r="G67" s="54" t="s">
        <v>360</v>
      </c>
      <c r="H67" s="55" t="n">
        <v>3.3</v>
      </c>
      <c r="I67" s="55" t="n">
        <v>1</v>
      </c>
      <c r="J67" s="54"/>
    </row>
    <row r="68" customFormat="false" ht="15" hidden="false" customHeight="true" outlineLevel="0" collapsed="false">
      <c r="A68" s="54" t="s">
        <v>127</v>
      </c>
      <c r="B68" s="55" t="s">
        <v>123</v>
      </c>
      <c r="C68" s="56" t="n">
        <v>0.5</v>
      </c>
      <c r="D68" s="57" t="n">
        <f aca="false">INDEX(المكونات!$C$2:$C$500,MATCH($A68,المكونات!$A$2:$A$500,0))</f>
        <v>0.5</v>
      </c>
      <c r="E68" s="57" t="n">
        <f aca="false">D68-C68</f>
        <v>0</v>
      </c>
      <c r="F68" s="58" t="n">
        <f aca="false">IF(C68=0,"",D68/C68-1)</f>
        <v>0</v>
      </c>
      <c r="G68" s="54" t="s">
        <v>360</v>
      </c>
      <c r="H68" s="55" t="n">
        <v>0.5</v>
      </c>
      <c r="I68" s="55" t="n">
        <v>1</v>
      </c>
      <c r="J68" s="54"/>
    </row>
    <row r="69" customFormat="false" ht="15" hidden="false" customHeight="true" outlineLevel="0" collapsed="false">
      <c r="A69" s="54" t="s">
        <v>138</v>
      </c>
      <c r="B69" s="55" t="s">
        <v>123</v>
      </c>
      <c r="C69" s="56" t="n">
        <v>60</v>
      </c>
      <c r="D69" s="57" t="n">
        <f aca="false">INDEX(المكونات!$C$2:$C$500,MATCH($A69,المكونات!$A$2:$A$500,0))</f>
        <v>60</v>
      </c>
      <c r="E69" s="57" t="n">
        <f aca="false">D69-C69</f>
        <v>0</v>
      </c>
      <c r="F69" s="58" t="n">
        <f aca="false">IF(C69=0,"",D69/C69-1)</f>
        <v>0</v>
      </c>
      <c r="G69" s="54" t="s">
        <v>360</v>
      </c>
      <c r="H69" s="55" t="n">
        <v>60</v>
      </c>
      <c r="I69" s="55" t="n">
        <v>1</v>
      </c>
      <c r="J69" s="54"/>
    </row>
    <row r="70" customFormat="false" ht="15" hidden="false" customHeight="true" outlineLevel="0" collapsed="false">
      <c r="A70" s="54" t="s">
        <v>148</v>
      </c>
      <c r="B70" s="55" t="s">
        <v>123</v>
      </c>
      <c r="C70" s="56" t="n">
        <v>9</v>
      </c>
      <c r="D70" s="57" t="n">
        <f aca="false">INDEX(المكونات!$C$2:$C$500,MATCH($A70,المكونات!$A$2:$A$500,0))</f>
        <v>9</v>
      </c>
      <c r="E70" s="57" t="n">
        <f aca="false">D70-C70</f>
        <v>0</v>
      </c>
      <c r="F70" s="58" t="n">
        <f aca="false">IF(C70=0,"",D70/C70-1)</f>
        <v>0</v>
      </c>
      <c r="G70" s="54" t="s">
        <v>360</v>
      </c>
      <c r="H70" s="55" t="n">
        <v>9</v>
      </c>
      <c r="I70" s="55" t="n">
        <v>1</v>
      </c>
      <c r="J70" s="54"/>
    </row>
    <row r="71" customFormat="false" ht="15" hidden="false" customHeight="true" outlineLevel="0" collapsed="false">
      <c r="A71" s="54" t="s">
        <v>152</v>
      </c>
      <c r="B71" s="55" t="s">
        <v>123</v>
      </c>
      <c r="C71" s="56" t="n">
        <v>34</v>
      </c>
      <c r="D71" s="57" t="n">
        <f aca="false">INDEX(المكونات!$C$2:$C$500,MATCH($A71,المكونات!$A$2:$A$500,0))</f>
        <v>34</v>
      </c>
      <c r="E71" s="57" t="n">
        <f aca="false">D71-C71</f>
        <v>0</v>
      </c>
      <c r="F71" s="58" t="n">
        <f aca="false">IF(C71=0,"",D71/C71-1)</f>
        <v>0</v>
      </c>
      <c r="G71" s="54" t="s">
        <v>360</v>
      </c>
      <c r="H71" s="55" t="n">
        <v>34</v>
      </c>
      <c r="I71" s="55" t="n">
        <v>1</v>
      </c>
      <c r="J71" s="54"/>
    </row>
    <row r="72" customFormat="false" ht="15" hidden="false" customHeight="true" outlineLevel="0" collapsed="false">
      <c r="A72" s="54" t="s">
        <v>168</v>
      </c>
      <c r="B72" s="55" t="s">
        <v>123</v>
      </c>
      <c r="C72" s="56" t="n">
        <v>21</v>
      </c>
      <c r="D72" s="57" t="n">
        <f aca="false">INDEX(المكونات!$C$2:$C$500,MATCH($A72,المكونات!$A$2:$A$500,0))</f>
        <v>21</v>
      </c>
      <c r="E72" s="57" t="n">
        <f aca="false">D72-C72</f>
        <v>0</v>
      </c>
      <c r="F72" s="58" t="n">
        <f aca="false">IF(C72=0,"",D72/C72-1)</f>
        <v>0</v>
      </c>
      <c r="G72" s="54" t="s">
        <v>360</v>
      </c>
      <c r="H72" s="55" t="n">
        <v>21</v>
      </c>
      <c r="I72" s="55" t="n">
        <v>1</v>
      </c>
      <c r="J72" s="54"/>
    </row>
    <row r="73" customFormat="false" ht="15" hidden="false" customHeight="true" outlineLevel="0" collapsed="false">
      <c r="A73" s="54" t="s">
        <v>172</v>
      </c>
      <c r="B73" s="55" t="s">
        <v>123</v>
      </c>
      <c r="C73" s="56" t="n">
        <v>20</v>
      </c>
      <c r="D73" s="57" t="n">
        <f aca="false">INDEX(المكونات!$C$2:$C$500,MATCH($A73,المكونات!$A$2:$A$500,0))</f>
        <v>20</v>
      </c>
      <c r="E73" s="57" t="n">
        <f aca="false">D73-C73</f>
        <v>0</v>
      </c>
      <c r="F73" s="58" t="n">
        <f aca="false">IF(C73=0,"",D73/C73-1)</f>
        <v>0</v>
      </c>
      <c r="G73" s="54" t="s">
        <v>360</v>
      </c>
      <c r="H73" s="55" t="n">
        <v>20</v>
      </c>
      <c r="I73" s="55" t="n">
        <v>1</v>
      </c>
      <c r="J73" s="54"/>
    </row>
    <row r="74" customFormat="false" ht="15" hidden="false" customHeight="true" outlineLevel="0" collapsed="false">
      <c r="A74" s="54" t="s">
        <v>176</v>
      </c>
      <c r="B74" s="55" t="s">
        <v>123</v>
      </c>
      <c r="C74" s="56" t="n">
        <v>17.5</v>
      </c>
      <c r="D74" s="57" t="n">
        <f aca="false">INDEX(المكونات!$C$2:$C$500,MATCH($A74,المكونات!$A$2:$A$500,0))</f>
        <v>17.5</v>
      </c>
      <c r="E74" s="57" t="n">
        <f aca="false">D74-C74</f>
        <v>0</v>
      </c>
      <c r="F74" s="58" t="n">
        <f aca="false">IF(C74=0,"",D74/C74-1)</f>
        <v>0</v>
      </c>
      <c r="G74" s="54" t="s">
        <v>360</v>
      </c>
      <c r="H74" s="55" t="n">
        <v>17.5</v>
      </c>
      <c r="I74" s="55" t="n">
        <v>1</v>
      </c>
      <c r="J74" s="54"/>
    </row>
    <row r="75" customFormat="false" ht="15" hidden="false" customHeight="true" outlineLevel="0" collapsed="false">
      <c r="A75" s="54" t="s">
        <v>178</v>
      </c>
      <c r="B75" s="55" t="s">
        <v>123</v>
      </c>
      <c r="C75" s="56" t="n">
        <v>25</v>
      </c>
      <c r="D75" s="57" t="n">
        <f aca="false">INDEX(المكونات!$C$2:$C$500,MATCH($A75,المكونات!$A$2:$A$500,0))</f>
        <v>25</v>
      </c>
      <c r="E75" s="57" t="n">
        <f aca="false">D75-C75</f>
        <v>0</v>
      </c>
      <c r="F75" s="58" t="n">
        <f aca="false">IF(C75=0,"",D75/C75-1)</f>
        <v>0</v>
      </c>
      <c r="G75" s="54" t="s">
        <v>360</v>
      </c>
      <c r="H75" s="55" t="n">
        <v>25</v>
      </c>
      <c r="I75" s="55" t="n">
        <v>1</v>
      </c>
      <c r="J75" s="54"/>
    </row>
    <row r="76" customFormat="false" ht="15" hidden="false" customHeight="true" outlineLevel="0" collapsed="false">
      <c r="A76" s="54" t="s">
        <v>180</v>
      </c>
      <c r="B76" s="55" t="s">
        <v>181</v>
      </c>
      <c r="C76" s="56" t="n">
        <v>100</v>
      </c>
      <c r="D76" s="57" t="n">
        <f aca="false">INDEX(المكونات!$C$2:$C$500,MATCH($A76,المكونات!$A$2:$A$500,0))</f>
        <v>100</v>
      </c>
      <c r="E76" s="57" t="n">
        <f aca="false">D76-C76</f>
        <v>0</v>
      </c>
      <c r="F76" s="58" t="n">
        <f aca="false">IF(C76=0,"",D76/C76-1)</f>
        <v>0</v>
      </c>
      <c r="G76" s="54" t="s">
        <v>360</v>
      </c>
      <c r="H76" s="55" t="n">
        <v>100</v>
      </c>
      <c r="I76" s="55" t="n">
        <v>1</v>
      </c>
      <c r="J76" s="54"/>
    </row>
    <row r="77" customFormat="false" ht="15" hidden="false" customHeight="true" outlineLevel="0" collapsed="false">
      <c r="A77" s="54" t="s">
        <v>185</v>
      </c>
      <c r="B77" s="55" t="s">
        <v>181</v>
      </c>
      <c r="C77" s="56" t="n">
        <v>100</v>
      </c>
      <c r="D77" s="57" t="n">
        <f aca="false">INDEX(المكونات!$C$2:$C$500,MATCH($A77,المكونات!$A$2:$A$500,0))</f>
        <v>100</v>
      </c>
      <c r="E77" s="57" t="n">
        <f aca="false">D77-C77</f>
        <v>0</v>
      </c>
      <c r="F77" s="58" t="n">
        <f aca="false">IF(C77=0,"",D77/C77-1)</f>
        <v>0</v>
      </c>
      <c r="G77" s="54" t="s">
        <v>360</v>
      </c>
      <c r="H77" s="55" t="n">
        <v>100</v>
      </c>
      <c r="I77" s="55" t="n">
        <v>1</v>
      </c>
      <c r="J77" s="54"/>
    </row>
    <row r="78" customFormat="false" ht="15" hidden="false" customHeight="true" outlineLevel="0" collapsed="false">
      <c r="A78" s="54" t="s">
        <v>186</v>
      </c>
      <c r="B78" s="55" t="s">
        <v>181</v>
      </c>
      <c r="C78" s="56" t="n">
        <v>41</v>
      </c>
      <c r="D78" s="57" t="n">
        <f aca="false">INDEX(المكونات!$C$2:$C$500,MATCH($A78,المكونات!$A$2:$A$500,0))</f>
        <v>41</v>
      </c>
      <c r="E78" s="57" t="n">
        <f aca="false">D78-C78</f>
        <v>0</v>
      </c>
      <c r="F78" s="58" t="n">
        <f aca="false">IF(C78=0,"",D78/C78-1)</f>
        <v>0</v>
      </c>
      <c r="G78" s="54" t="s">
        <v>360</v>
      </c>
      <c r="H78" s="55" t="n">
        <v>41</v>
      </c>
      <c r="I78" s="55" t="n">
        <v>1</v>
      </c>
      <c r="J78" s="54"/>
    </row>
    <row r="79" customFormat="false" ht="15" hidden="false" customHeight="true" outlineLevel="0" collapsed="false">
      <c r="A79" s="54" t="s">
        <v>195</v>
      </c>
      <c r="B79" s="55" t="s">
        <v>196</v>
      </c>
      <c r="C79" s="56" t="n">
        <v>30</v>
      </c>
      <c r="D79" s="57" t="n">
        <f aca="false">INDEX(المكونات!$C$2:$C$500,MATCH($A79,المكونات!$A$2:$A$500,0))</f>
        <v>30</v>
      </c>
      <c r="E79" s="57" t="n">
        <f aca="false">D79-C79</f>
        <v>0</v>
      </c>
      <c r="F79" s="58" t="n">
        <f aca="false">IF(C79=0,"",D79/C79-1)</f>
        <v>0</v>
      </c>
      <c r="G79" s="54" t="s">
        <v>360</v>
      </c>
      <c r="H79" s="55" t="n">
        <v>30</v>
      </c>
      <c r="I79" s="55" t="n">
        <v>1</v>
      </c>
      <c r="J79" s="54"/>
    </row>
    <row r="80" customFormat="false" ht="15" hidden="false" customHeight="true" outlineLevel="0" collapsed="false">
      <c r="A80" s="54" t="s">
        <v>198</v>
      </c>
      <c r="B80" s="55" t="s">
        <v>181</v>
      </c>
      <c r="C80" s="56" t="n">
        <v>175</v>
      </c>
      <c r="D80" s="57" t="n">
        <f aca="false">INDEX(المكونات!$C$2:$C$500,MATCH($A80,المكونات!$A$2:$A$500,0))</f>
        <v>175</v>
      </c>
      <c r="E80" s="57" t="n">
        <f aca="false">D80-C80</f>
        <v>0</v>
      </c>
      <c r="F80" s="58" t="n">
        <f aca="false">IF(C80=0,"",D80/C80-1)</f>
        <v>0</v>
      </c>
      <c r="G80" s="54" t="s">
        <v>362</v>
      </c>
      <c r="H80" s="55" t="n">
        <v>175</v>
      </c>
      <c r="I80" s="55" t="n">
        <v>1</v>
      </c>
      <c r="J80" s="54"/>
    </row>
    <row r="81" customFormat="false" ht="15" hidden="false" customHeight="true" outlineLevel="0" collapsed="false">
      <c r="A81" s="54" t="s">
        <v>216</v>
      </c>
      <c r="B81" s="55" t="s">
        <v>209</v>
      </c>
      <c r="C81" s="56" t="n">
        <v>15</v>
      </c>
      <c r="D81" s="57" t="n">
        <f aca="false">INDEX(المكونات!$C$2:$C$500,MATCH($A81,المكونات!$A$2:$A$500,0))</f>
        <v>15</v>
      </c>
      <c r="E81" s="57" t="n">
        <f aca="false">D81-C81</f>
        <v>0</v>
      </c>
      <c r="F81" s="58" t="n">
        <f aca="false">IF(C81=0,"",D81/C81-1)</f>
        <v>0</v>
      </c>
      <c r="G81" s="54" t="s">
        <v>360</v>
      </c>
      <c r="H81" s="55" t="n">
        <v>15</v>
      </c>
      <c r="I81" s="55" t="n">
        <v>1</v>
      </c>
      <c r="J81" s="54"/>
    </row>
    <row r="82" customFormat="false" ht="15" hidden="false" customHeight="true" outlineLevel="0" collapsed="false">
      <c r="A82" s="54" t="s">
        <v>217</v>
      </c>
      <c r="B82" s="55" t="s">
        <v>181</v>
      </c>
      <c r="C82" s="56" t="n">
        <v>30</v>
      </c>
      <c r="D82" s="57" t="n">
        <f aca="false">INDEX(المكونات!$C$2:$C$500,MATCH($A82,المكونات!$A$2:$A$500,0))</f>
        <v>30</v>
      </c>
      <c r="E82" s="57" t="n">
        <f aca="false">D82-C82</f>
        <v>0</v>
      </c>
      <c r="F82" s="58" t="n">
        <f aca="false">IF(C82=0,"",D82/C82-1)</f>
        <v>0</v>
      </c>
      <c r="G82" s="54" t="s">
        <v>360</v>
      </c>
      <c r="H82" s="55" t="n">
        <v>30</v>
      </c>
      <c r="I82" s="55" t="n">
        <v>1</v>
      </c>
      <c r="J82" s="54"/>
    </row>
    <row r="83" customFormat="false" ht="15" hidden="false" customHeight="true" outlineLevel="0" collapsed="false">
      <c r="A83" s="54" t="s">
        <v>220</v>
      </c>
      <c r="B83" s="55" t="s">
        <v>181</v>
      </c>
      <c r="C83" s="56" t="n">
        <v>120</v>
      </c>
      <c r="D83" s="57" t="n">
        <f aca="false">INDEX(المكونات!$C$2:$C$500,MATCH($A83,المكونات!$A$2:$A$500,0))</f>
        <v>120</v>
      </c>
      <c r="E83" s="57" t="n">
        <f aca="false">D83-C83</f>
        <v>0</v>
      </c>
      <c r="F83" s="58" t="n">
        <f aca="false">IF(C83=0,"",D83/C83-1)</f>
        <v>0</v>
      </c>
      <c r="G83" s="54" t="s">
        <v>360</v>
      </c>
      <c r="H83" s="55" t="n">
        <v>120</v>
      </c>
      <c r="I83" s="55" t="n">
        <v>1</v>
      </c>
      <c r="J83" s="54"/>
    </row>
    <row r="84" customFormat="false" ht="15" hidden="false" customHeight="true" outlineLevel="0" collapsed="false">
      <c r="A84" s="54" t="s">
        <v>230</v>
      </c>
      <c r="B84" s="55" t="s">
        <v>209</v>
      </c>
      <c r="C84" s="56" t="n">
        <v>7.1</v>
      </c>
      <c r="D84" s="57" t="n">
        <f aca="false">INDEX(المكونات!$C$2:$C$500,MATCH($A84,المكونات!$A$2:$A$500,0))</f>
        <v>7.1</v>
      </c>
      <c r="E84" s="57" t="n">
        <f aca="false">D84-C84</f>
        <v>0</v>
      </c>
      <c r="F84" s="58" t="n">
        <f aca="false">IF(C84=0,"",D84/C84-1)</f>
        <v>0</v>
      </c>
      <c r="G84" s="54" t="s">
        <v>360</v>
      </c>
      <c r="H84" s="55" t="n">
        <v>7.1</v>
      </c>
      <c r="I84" s="55" t="n">
        <v>1</v>
      </c>
      <c r="J84" s="54"/>
    </row>
    <row r="85" customFormat="false" ht="15" hidden="false" customHeight="true" outlineLevel="0" collapsed="false">
      <c r="A85" s="54" t="s">
        <v>237</v>
      </c>
      <c r="B85" s="55" t="s">
        <v>123</v>
      </c>
      <c r="C85" s="56" t="n">
        <v>0.55</v>
      </c>
      <c r="D85" s="57" t="n">
        <f aca="false">INDEX(المكونات!$C$2:$C$500,MATCH($A85,المكونات!$A$2:$A$500,0))</f>
        <v>0.55</v>
      </c>
      <c r="E85" s="57" t="n">
        <f aca="false">D85-C85</f>
        <v>0</v>
      </c>
      <c r="F85" s="58" t="n">
        <f aca="false">IF(C85=0,"",D85/C85-1)</f>
        <v>0</v>
      </c>
      <c r="G85" s="54" t="s">
        <v>362</v>
      </c>
      <c r="H85" s="55" t="n">
        <v>110</v>
      </c>
      <c r="I85" s="55" t="n">
        <v>200</v>
      </c>
      <c r="J85" s="54"/>
    </row>
    <row r="86" customFormat="false" ht="15" hidden="false" customHeight="true" outlineLevel="0" collapsed="false">
      <c r="A86" s="54" t="s">
        <v>239</v>
      </c>
      <c r="B86" s="55" t="s">
        <v>123</v>
      </c>
      <c r="C86" s="56" t="n">
        <v>0.675</v>
      </c>
      <c r="D86" s="57" t="n">
        <f aca="false">INDEX(المكونات!$C$2:$C$500,MATCH($A86,المكونات!$A$2:$A$500,0))</f>
        <v>0.675</v>
      </c>
      <c r="E86" s="57" t="n">
        <f aca="false">D86-C86</f>
        <v>0</v>
      </c>
      <c r="F86" s="58" t="n">
        <f aca="false">IF(C86=0,"",D86/C86-1)</f>
        <v>0</v>
      </c>
      <c r="G86" s="54" t="s">
        <v>360</v>
      </c>
      <c r="H86" s="55" t="n">
        <v>135</v>
      </c>
      <c r="I86" s="55" t="n">
        <v>200</v>
      </c>
      <c r="J86" s="54"/>
    </row>
    <row r="87" customFormat="false" ht="15" hidden="false" customHeight="true" outlineLevel="0" collapsed="false">
      <c r="A87" s="54" t="s">
        <v>243</v>
      </c>
      <c r="B87" s="55" t="s">
        <v>123</v>
      </c>
      <c r="C87" s="56" t="n">
        <v>0.3</v>
      </c>
      <c r="D87" s="57" t="n">
        <f aca="false">INDEX(المكونات!$C$2:$C$500,MATCH($A87,المكونات!$A$2:$A$500,0))</f>
        <v>0.3</v>
      </c>
      <c r="E87" s="57" t="n">
        <f aca="false">D87-C87</f>
        <v>0</v>
      </c>
      <c r="F87" s="58" t="n">
        <f aca="false">IF(C87=0,"",D87/C87-1)</f>
        <v>0</v>
      </c>
      <c r="G87" s="54" t="s">
        <v>360</v>
      </c>
      <c r="H87" s="55" t="n">
        <v>0.3</v>
      </c>
      <c r="I87" s="55" t="n">
        <v>1</v>
      </c>
      <c r="J87" s="54"/>
    </row>
    <row r="88" customFormat="false" ht="15" hidden="false" customHeight="true" outlineLevel="0" collapsed="false">
      <c r="A88" s="54" t="s">
        <v>247</v>
      </c>
      <c r="B88" s="55" t="s">
        <v>181</v>
      </c>
      <c r="C88" s="56" t="n">
        <v>100</v>
      </c>
      <c r="D88" s="57" t="n">
        <f aca="false">INDEX(المكونات!$C$2:$C$500,MATCH($A88,المكونات!$A$2:$A$500,0))</f>
        <v>100</v>
      </c>
      <c r="E88" s="57" t="n">
        <f aca="false">D88-C88</f>
        <v>0</v>
      </c>
      <c r="F88" s="58" t="n">
        <f aca="false">IF(C88=0,"",D88/C88-1)</f>
        <v>0</v>
      </c>
      <c r="G88" s="54" t="s">
        <v>360</v>
      </c>
      <c r="H88" s="55" t="n">
        <v>100</v>
      </c>
      <c r="I88" s="55" t="n">
        <v>1</v>
      </c>
      <c r="J88" s="54"/>
    </row>
    <row r="89" customFormat="false" ht="15" hidden="false" customHeight="true" outlineLevel="0" collapsed="false">
      <c r="A89" s="54" t="s">
        <v>254</v>
      </c>
      <c r="B89" s="55" t="s">
        <v>181</v>
      </c>
      <c r="C89" s="56" t="n">
        <v>140</v>
      </c>
      <c r="D89" s="57" t="n">
        <f aca="false">INDEX(المكونات!$C$2:$C$500,MATCH($A89,المكونات!$A$2:$A$500,0))</f>
        <v>140</v>
      </c>
      <c r="E89" s="57" t="n">
        <f aca="false">D89-C89</f>
        <v>0</v>
      </c>
      <c r="F89" s="58" t="n">
        <f aca="false">IF(C89=0,"",D89/C89-1)</f>
        <v>0</v>
      </c>
      <c r="G89" s="54" t="s">
        <v>360</v>
      </c>
      <c r="H89" s="55" t="n">
        <v>140</v>
      </c>
      <c r="I89" s="55" t="n">
        <v>1</v>
      </c>
      <c r="J89" s="54"/>
    </row>
    <row r="90" customFormat="false" ht="15" hidden="false" customHeight="true" outlineLevel="0" collapsed="false">
      <c r="A90" s="54" t="s">
        <v>256</v>
      </c>
      <c r="B90" s="55" t="s">
        <v>181</v>
      </c>
      <c r="C90" s="56" t="n">
        <v>105</v>
      </c>
      <c r="D90" s="57" t="n">
        <f aca="false">INDEX(المكونات!$C$2:$C$500,MATCH($A90,المكونات!$A$2:$A$500,0))</f>
        <v>105</v>
      </c>
      <c r="E90" s="57" t="n">
        <f aca="false">D90-C90</f>
        <v>0</v>
      </c>
      <c r="F90" s="58" t="n">
        <f aca="false">IF(C90=0,"",D90/C90-1)</f>
        <v>0</v>
      </c>
      <c r="G90" s="54" t="s">
        <v>360</v>
      </c>
      <c r="H90" s="55" t="n">
        <v>105</v>
      </c>
      <c r="I90" s="55" t="n">
        <v>1</v>
      </c>
      <c r="J90" s="54"/>
    </row>
    <row r="91" customFormat="false" ht="15" hidden="false" customHeight="true" outlineLevel="0" collapsed="false">
      <c r="A91" s="54" t="s">
        <v>264</v>
      </c>
      <c r="B91" s="55" t="s">
        <v>123</v>
      </c>
      <c r="C91" s="56" t="n">
        <v>4</v>
      </c>
      <c r="D91" s="57" t="n">
        <f aca="false">INDEX(المكونات!$C$2:$C$500,MATCH($A91,المكونات!$A$2:$A$500,0))</f>
        <v>4</v>
      </c>
      <c r="E91" s="57" t="n">
        <f aca="false">D91-C91</f>
        <v>0</v>
      </c>
      <c r="F91" s="58" t="n">
        <f aca="false">IF(C91=0,"",D91/C91-1)</f>
        <v>0</v>
      </c>
      <c r="G91" s="54" t="s">
        <v>360</v>
      </c>
      <c r="H91" s="55" t="n">
        <v>4</v>
      </c>
      <c r="I91" s="55" t="n">
        <v>1</v>
      </c>
      <c r="J91" s="54"/>
    </row>
    <row r="92" customFormat="false" ht="15" hidden="false" customHeight="true" outlineLevel="0" collapsed="false">
      <c r="A92" s="54" t="s">
        <v>268</v>
      </c>
      <c r="B92" s="55" t="s">
        <v>123</v>
      </c>
      <c r="C92" s="56" t="n">
        <v>5.5</v>
      </c>
      <c r="D92" s="57" t="n">
        <f aca="false">INDEX(المكونات!$C$2:$C$500,MATCH($A92,المكونات!$A$2:$A$500,0))</f>
        <v>5.5</v>
      </c>
      <c r="E92" s="57" t="n">
        <f aca="false">D92-C92</f>
        <v>0</v>
      </c>
      <c r="F92" s="58" t="n">
        <f aca="false">IF(C92=0,"",D92/C92-1)</f>
        <v>0</v>
      </c>
      <c r="G92" s="54" t="s">
        <v>362</v>
      </c>
      <c r="H92" s="55" t="n">
        <v>5.5</v>
      </c>
      <c r="I92" s="55" t="n">
        <v>1</v>
      </c>
      <c r="J92" s="54"/>
    </row>
    <row r="93" customFormat="false" ht="15" hidden="false" customHeight="true" outlineLevel="0" collapsed="false">
      <c r="A93" s="54" t="s">
        <v>272</v>
      </c>
      <c r="B93" s="55" t="s">
        <v>123</v>
      </c>
      <c r="C93" s="56" t="n">
        <v>0.5</v>
      </c>
      <c r="D93" s="57" t="n">
        <f aca="false">INDEX(المكونات!$C$2:$C$500,MATCH($A93,المكونات!$A$2:$A$500,0))</f>
        <v>0.5</v>
      </c>
      <c r="E93" s="57" t="n">
        <f aca="false">D93-C93</f>
        <v>0</v>
      </c>
      <c r="F93" s="58" t="n">
        <f aca="false">IF(C93=0,"",D93/C93-1)</f>
        <v>0</v>
      </c>
      <c r="G93" s="54" t="s">
        <v>362</v>
      </c>
      <c r="H93" s="55" t="n">
        <v>0.5</v>
      </c>
      <c r="I93" s="55" t="n">
        <v>1</v>
      </c>
      <c r="J93" s="54"/>
    </row>
    <row r="94" customFormat="false" ht="15" hidden="false" customHeight="true" outlineLevel="0" collapsed="false">
      <c r="A94" s="54" t="s">
        <v>274</v>
      </c>
      <c r="B94" s="55" t="s">
        <v>123</v>
      </c>
      <c r="C94" s="56" t="n">
        <v>1.7</v>
      </c>
      <c r="D94" s="57" t="n">
        <f aca="false">INDEX(المكونات!$C$2:$C$500,MATCH($A94,المكونات!$A$2:$A$500,0))</f>
        <v>1.7</v>
      </c>
      <c r="E94" s="57" t="n">
        <f aca="false">D94-C94</f>
        <v>0</v>
      </c>
      <c r="F94" s="58" t="n">
        <f aca="false">IF(C94=0,"",D94/C94-1)</f>
        <v>0</v>
      </c>
      <c r="G94" s="54" t="s">
        <v>360</v>
      </c>
      <c r="H94" s="55" t="n">
        <v>1.7</v>
      </c>
      <c r="I94" s="55" t="n">
        <v>1</v>
      </c>
      <c r="J94" s="54"/>
    </row>
    <row r="95" customFormat="false" ht="15" hidden="false" customHeight="true" outlineLevel="0" collapsed="false">
      <c r="A95" s="54" t="s">
        <v>276</v>
      </c>
      <c r="B95" s="55" t="s">
        <v>123</v>
      </c>
      <c r="C95" s="56" t="n">
        <v>2</v>
      </c>
      <c r="D95" s="57" t="n">
        <f aca="false">INDEX(المكونات!$C$2:$C$500,MATCH($A95,المكونات!$A$2:$A$500,0))</f>
        <v>2</v>
      </c>
      <c r="E95" s="57" t="n">
        <f aca="false">D95-C95</f>
        <v>0</v>
      </c>
      <c r="F95" s="58" t="n">
        <f aca="false">IF(C95=0,"",D95/C95-1)</f>
        <v>0</v>
      </c>
      <c r="G95" s="54" t="s">
        <v>360</v>
      </c>
      <c r="H95" s="55" t="n">
        <v>2</v>
      </c>
      <c r="I95" s="55" t="n">
        <v>1</v>
      </c>
      <c r="J95" s="54"/>
    </row>
    <row r="96" customFormat="false" ht="15" hidden="false" customHeight="true" outlineLevel="0" collapsed="false">
      <c r="A96" s="54" t="s">
        <v>278</v>
      </c>
      <c r="B96" s="55" t="s">
        <v>123</v>
      </c>
      <c r="C96" s="56" t="n">
        <v>3.1</v>
      </c>
      <c r="D96" s="57" t="n">
        <f aca="false">INDEX(المكونات!$C$2:$C$500,MATCH($A96,المكونات!$A$2:$A$500,0))</f>
        <v>3.1</v>
      </c>
      <c r="E96" s="57" t="n">
        <f aca="false">D96-C96</f>
        <v>0</v>
      </c>
      <c r="F96" s="58" t="n">
        <f aca="false">IF(C96=0,"",D96/C96-1)</f>
        <v>0</v>
      </c>
      <c r="G96" s="54" t="s">
        <v>360</v>
      </c>
      <c r="H96" s="55" t="n">
        <v>3.1</v>
      </c>
      <c r="I96" s="55" t="n">
        <v>1</v>
      </c>
      <c r="J96" s="54"/>
    </row>
    <row r="97" customFormat="false" ht="15" hidden="false" customHeight="true" outlineLevel="0" collapsed="false">
      <c r="A97" s="54" t="s">
        <v>284</v>
      </c>
      <c r="B97" s="55" t="s">
        <v>181</v>
      </c>
      <c r="C97" s="56" t="n">
        <v>27</v>
      </c>
      <c r="D97" s="57" t="n">
        <f aca="false">INDEX(المكونات!$C$2:$C$500,MATCH($A97,المكونات!$A$2:$A$500,0))</f>
        <v>27</v>
      </c>
      <c r="E97" s="57" t="n">
        <f aca="false">D97-C97</f>
        <v>0</v>
      </c>
      <c r="F97" s="58" t="n">
        <f aca="false">IF(C97=0,"",D97/C97-1)</f>
        <v>0</v>
      </c>
      <c r="G97" s="54" t="s">
        <v>360</v>
      </c>
      <c r="H97" s="55" t="n">
        <v>27</v>
      </c>
      <c r="I97" s="55" t="n">
        <v>1</v>
      </c>
      <c r="J97" s="54"/>
    </row>
    <row r="98" customFormat="false" ht="15" hidden="false" customHeight="true" outlineLevel="0" collapsed="false">
      <c r="A98" s="54" t="s">
        <v>288</v>
      </c>
      <c r="B98" s="55" t="s">
        <v>123</v>
      </c>
      <c r="C98" s="56" t="n">
        <v>7</v>
      </c>
      <c r="D98" s="57" t="n">
        <f aca="false">INDEX(المكونات!$C$2:$C$500,MATCH($A98,المكونات!$A$2:$A$500,0))</f>
        <v>7</v>
      </c>
      <c r="E98" s="57" t="n">
        <f aca="false">D98-C98</f>
        <v>0</v>
      </c>
      <c r="F98" s="58" t="n">
        <f aca="false">IF(C98=0,"",D98/C98-1)</f>
        <v>0</v>
      </c>
      <c r="G98" s="54" t="s">
        <v>360</v>
      </c>
      <c r="H98" s="55" t="n">
        <v>7</v>
      </c>
      <c r="I98" s="55" t="n">
        <v>1</v>
      </c>
      <c r="J98" s="54"/>
    </row>
    <row r="99" customFormat="false" ht="15" hidden="false" customHeight="true" outlineLevel="0" collapsed="false">
      <c r="A99" s="54" t="s">
        <v>290</v>
      </c>
      <c r="B99" s="55" t="s">
        <v>123</v>
      </c>
      <c r="C99" s="56" t="n">
        <v>0.3</v>
      </c>
      <c r="D99" s="57" t="n">
        <f aca="false">INDEX(المكونات!$C$2:$C$500,MATCH($A99,المكونات!$A$2:$A$500,0))</f>
        <v>0.3</v>
      </c>
      <c r="E99" s="57" t="n">
        <f aca="false">D99-C99</f>
        <v>0</v>
      </c>
      <c r="F99" s="58" t="n">
        <f aca="false">IF(C99=0,"",D99/C99-1)</f>
        <v>0</v>
      </c>
      <c r="G99" s="54" t="s">
        <v>360</v>
      </c>
      <c r="H99" s="55" t="n">
        <v>0.3</v>
      </c>
      <c r="I99" s="55" t="n">
        <v>1</v>
      </c>
      <c r="J99" s="54"/>
    </row>
    <row r="100" customFormat="false" ht="15" hidden="false" customHeight="true" outlineLevel="0" collapsed="false">
      <c r="A100" s="54" t="s">
        <v>291</v>
      </c>
      <c r="B100" s="55" t="s">
        <v>181</v>
      </c>
      <c r="C100" s="56" t="n">
        <v>90</v>
      </c>
      <c r="D100" s="57" t="n">
        <f aca="false">INDEX(المكونات!$C$2:$C$500,MATCH($A100,المكونات!$A$2:$A$500,0))</f>
        <v>90</v>
      </c>
      <c r="E100" s="57" t="n">
        <f aca="false">D100-C100</f>
        <v>0</v>
      </c>
      <c r="F100" s="58" t="n">
        <f aca="false">IF(C100=0,"",D100/C100-1)</f>
        <v>0</v>
      </c>
      <c r="G100" s="54" t="s">
        <v>360</v>
      </c>
      <c r="H100" s="55" t="n">
        <v>90</v>
      </c>
      <c r="I100" s="55" t="n">
        <v>1</v>
      </c>
      <c r="J100" s="54"/>
    </row>
    <row r="101" customFormat="false" ht="15" hidden="false" customHeight="true" outlineLevel="0" collapsed="false">
      <c r="A101" s="54" t="s">
        <v>295</v>
      </c>
      <c r="B101" s="55" t="s">
        <v>181</v>
      </c>
      <c r="C101" s="56" t="n">
        <v>420</v>
      </c>
      <c r="D101" s="57" t="n">
        <f aca="false">INDEX(المكونات!$C$2:$C$500,MATCH($A101,المكونات!$A$2:$A$500,0))</f>
        <v>420</v>
      </c>
      <c r="E101" s="57" t="n">
        <f aca="false">D101-C101</f>
        <v>0</v>
      </c>
      <c r="F101" s="58" t="n">
        <f aca="false">IF(C101=0,"",D101/C101-1)</f>
        <v>0</v>
      </c>
      <c r="G101" s="54" t="s">
        <v>360</v>
      </c>
      <c r="H101" s="55" t="n">
        <v>420</v>
      </c>
      <c r="I101" s="55" t="n">
        <v>1</v>
      </c>
      <c r="J101" s="54"/>
    </row>
    <row r="102" customFormat="false" ht="15" hidden="false" customHeight="true" outlineLevel="0" collapsed="false">
      <c r="A102" s="54" t="s">
        <v>297</v>
      </c>
      <c r="B102" s="55" t="s">
        <v>123</v>
      </c>
      <c r="C102" s="56" t="n">
        <v>2</v>
      </c>
      <c r="D102" s="57" t="n">
        <f aca="false">INDEX(المكونات!$C$2:$C$500,MATCH($A102,المكونات!$A$2:$A$500,0))</f>
        <v>2</v>
      </c>
      <c r="E102" s="57" t="n">
        <f aca="false">D102-C102</f>
        <v>0</v>
      </c>
      <c r="F102" s="58" t="n">
        <f aca="false">IF(C102=0,"",D102/C102-1)</f>
        <v>0</v>
      </c>
      <c r="G102" s="54" t="s">
        <v>360</v>
      </c>
      <c r="H102" s="55" t="n">
        <v>2</v>
      </c>
      <c r="I102" s="55" t="n">
        <v>1</v>
      </c>
      <c r="J102" s="54"/>
    </row>
    <row r="103" customFormat="false" ht="15" hidden="false" customHeight="true" outlineLevel="0" collapsed="false">
      <c r="A103" s="54" t="s">
        <v>300</v>
      </c>
      <c r="B103" s="55" t="s">
        <v>123</v>
      </c>
      <c r="C103" s="56" t="n">
        <v>6</v>
      </c>
      <c r="D103" s="57" t="n">
        <f aca="false">INDEX(المكونات!$C$2:$C$500,MATCH($A103,المكونات!$A$2:$A$500,0))</f>
        <v>6</v>
      </c>
      <c r="E103" s="57" t="n">
        <f aca="false">D103-C103</f>
        <v>0</v>
      </c>
      <c r="F103" s="58" t="n">
        <f aca="false">IF(C103=0,"",D103/C103-1)</f>
        <v>0</v>
      </c>
      <c r="G103" s="54" t="s">
        <v>360</v>
      </c>
      <c r="H103" s="55" t="n">
        <v>6</v>
      </c>
      <c r="I103" s="55" t="n">
        <v>1</v>
      </c>
      <c r="J103" s="54"/>
    </row>
    <row r="104" customFormat="false" ht="15" hidden="false" customHeight="true" outlineLevel="0" collapsed="false">
      <c r="A104" s="54" t="s">
        <v>302</v>
      </c>
      <c r="B104" s="55" t="s">
        <v>181</v>
      </c>
      <c r="C104" s="56" t="n">
        <v>135</v>
      </c>
      <c r="D104" s="57" t="n">
        <f aca="false">INDEX(المكونات!$C$2:$C$500,MATCH($A104,المكونات!$A$2:$A$500,0))</f>
        <v>135</v>
      </c>
      <c r="E104" s="57" t="n">
        <f aca="false">D104-C104</f>
        <v>0</v>
      </c>
      <c r="F104" s="58" t="n">
        <f aca="false">IF(C104=0,"",D104/C104-1)</f>
        <v>0</v>
      </c>
      <c r="G104" s="54" t="s">
        <v>360</v>
      </c>
      <c r="H104" s="55" t="n">
        <v>135</v>
      </c>
      <c r="I104" s="55" t="n">
        <v>1</v>
      </c>
      <c r="J104" s="54"/>
    </row>
    <row r="105" customFormat="false" ht="15" hidden="false" customHeight="true" outlineLevel="0" collapsed="false">
      <c r="A105" s="54" t="s">
        <v>305</v>
      </c>
      <c r="B105" s="55" t="s">
        <v>123</v>
      </c>
      <c r="C105" s="56" t="n">
        <v>25</v>
      </c>
      <c r="D105" s="57" t="n">
        <f aca="false">INDEX(المكونات!$C$2:$C$500,MATCH($A105,المكونات!$A$2:$A$500,0))</f>
        <v>25</v>
      </c>
      <c r="E105" s="57" t="n">
        <f aca="false">D105-C105</f>
        <v>0</v>
      </c>
      <c r="F105" s="58" t="n">
        <f aca="false">IF(C105=0,"",D105/C105-1)</f>
        <v>0</v>
      </c>
      <c r="G105" s="54" t="s">
        <v>360</v>
      </c>
      <c r="H105" s="55" t="n">
        <v>25</v>
      </c>
      <c r="I105" s="55" t="n">
        <v>1</v>
      </c>
      <c r="J105" s="54"/>
    </row>
    <row r="106" customFormat="false" ht="15" hidden="false" customHeight="true" outlineLevel="0" collapsed="false">
      <c r="A106" s="54" t="s">
        <v>309</v>
      </c>
      <c r="B106" s="55" t="s">
        <v>181</v>
      </c>
      <c r="C106" s="56" t="n">
        <v>24</v>
      </c>
      <c r="D106" s="57" t="n">
        <f aca="false">INDEX(المكونات!$C$2:$C$500,MATCH($A106,المكونات!$A$2:$A$500,0))</f>
        <v>24</v>
      </c>
      <c r="E106" s="57" t="n">
        <f aca="false">D106-C106</f>
        <v>0</v>
      </c>
      <c r="F106" s="58" t="n">
        <f aca="false">IF(C106=0,"",D106/C106-1)</f>
        <v>0</v>
      </c>
      <c r="G106" s="54" t="s">
        <v>360</v>
      </c>
      <c r="H106" s="55" t="n">
        <v>24</v>
      </c>
      <c r="I106" s="55" t="n">
        <v>1</v>
      </c>
      <c r="J106" s="54"/>
    </row>
    <row r="107" customFormat="false" ht="15" hidden="false" customHeight="true" outlineLevel="0" collapsed="false">
      <c r="A107" s="54" t="s">
        <v>311</v>
      </c>
      <c r="B107" s="55" t="s">
        <v>123</v>
      </c>
      <c r="C107" s="56" t="n">
        <v>25</v>
      </c>
      <c r="D107" s="57" t="n">
        <f aca="false">INDEX(المكونات!$C$2:$C$500,MATCH($A107,المكونات!$A$2:$A$500,0))</f>
        <v>25</v>
      </c>
      <c r="E107" s="57" t="n">
        <f aca="false">D107-C107</f>
        <v>0</v>
      </c>
      <c r="F107" s="58" t="n">
        <f aca="false">IF(C107=0,"",D107/C107-1)</f>
        <v>0</v>
      </c>
      <c r="G107" s="54" t="s">
        <v>362</v>
      </c>
      <c r="H107" s="55" t="n">
        <v>25</v>
      </c>
      <c r="I107" s="55" t="n">
        <v>1</v>
      </c>
      <c r="J107" s="54"/>
    </row>
    <row r="108" customFormat="false" ht="15" hidden="false" customHeight="true" outlineLevel="0" collapsed="false">
      <c r="A108" s="54" t="s">
        <v>315</v>
      </c>
      <c r="B108" s="55" t="s">
        <v>123</v>
      </c>
      <c r="C108" s="56" t="n">
        <v>9</v>
      </c>
      <c r="D108" s="57" t="n">
        <f aca="false">INDEX(المكونات!$C$2:$C$500,MATCH($A108,المكونات!$A$2:$A$500,0))</f>
        <v>9</v>
      </c>
      <c r="E108" s="57" t="n">
        <f aca="false">D108-C108</f>
        <v>0</v>
      </c>
      <c r="F108" s="58" t="n">
        <f aca="false">IF(C108=0,"",D108/C108-1)</f>
        <v>0</v>
      </c>
      <c r="G108" s="54" t="s">
        <v>362</v>
      </c>
      <c r="H108" s="55" t="n">
        <v>9</v>
      </c>
      <c r="I108" s="55" t="n">
        <v>1</v>
      </c>
      <c r="J108" s="54"/>
    </row>
    <row r="109" customFormat="false" ht="15" hidden="false" customHeight="true" outlineLevel="0" collapsed="false">
      <c r="A109" s="54" t="s">
        <v>340</v>
      </c>
      <c r="B109" s="55" t="s">
        <v>123</v>
      </c>
      <c r="C109" s="56" t="n">
        <v>6</v>
      </c>
      <c r="D109" s="57" t="n">
        <f aca="false">INDEX(المكونات!$C$2:$C$500,MATCH($A109,المكونات!$A$2:$A$500,0))</f>
        <v>6</v>
      </c>
      <c r="E109" s="57" t="n">
        <f aca="false">D109-C109</f>
        <v>0</v>
      </c>
      <c r="F109" s="58" t="n">
        <f aca="false">IF(C109=0,"",D109/C109-1)</f>
        <v>0</v>
      </c>
      <c r="G109" s="54" t="s">
        <v>362</v>
      </c>
      <c r="H109" s="55" t="n">
        <v>6</v>
      </c>
      <c r="I109" s="55" t="n">
        <v>1</v>
      </c>
      <c r="J109" s="54"/>
    </row>
    <row r="110" customFormat="false" ht="15" hidden="false" customHeight="true" outlineLevel="0" collapsed="false">
      <c r="A110" s="54" t="s">
        <v>342</v>
      </c>
      <c r="B110" s="55" t="s">
        <v>123</v>
      </c>
      <c r="C110" s="56" t="n">
        <v>0.3</v>
      </c>
      <c r="D110" s="57" t="n">
        <f aca="false">INDEX(المكونات!$C$2:$C$500,MATCH($A110,المكونات!$A$2:$A$500,0))</f>
        <v>0.3</v>
      </c>
      <c r="E110" s="57" t="n">
        <f aca="false">D110-C110</f>
        <v>0</v>
      </c>
      <c r="F110" s="58" t="n">
        <f aca="false">IF(C110=0,"",D110/C110-1)</f>
        <v>0</v>
      </c>
      <c r="G110" s="54" t="s">
        <v>360</v>
      </c>
      <c r="H110" s="55" t="n">
        <v>0.3</v>
      </c>
      <c r="I110" s="55" t="n">
        <v>1</v>
      </c>
      <c r="J110" s="54"/>
    </row>
    <row r="111" customFormat="false" ht="15" hidden="false" customHeight="true" outlineLevel="0" collapsed="false">
      <c r="A111" s="54" t="s">
        <v>188</v>
      </c>
      <c r="B111" s="55" t="s">
        <v>181</v>
      </c>
      <c r="C111" s="56" t="n">
        <v>25</v>
      </c>
      <c r="D111" s="57" t="n">
        <f aca="false">INDEX(المكونات!$C$2:$C$500,MATCH($A111,المكونات!$A$2:$A$500,0))</f>
        <v>25</v>
      </c>
      <c r="E111" s="57" t="n">
        <f aca="false">D111-C111</f>
        <v>0</v>
      </c>
      <c r="F111" s="58" t="n">
        <f aca="false">IF(C111=0,"",D111/C111-1)</f>
        <v>0</v>
      </c>
      <c r="G111" s="54" t="s">
        <v>363</v>
      </c>
      <c r="H111" s="55"/>
      <c r="I111" s="55" t="n">
        <v>1</v>
      </c>
      <c r="J111" s="60" t="s">
        <v>364</v>
      </c>
    </row>
    <row r="112" customFormat="false" ht="15" hidden="false" customHeight="true" outlineLevel="0" collapsed="false">
      <c r="A112" s="54" t="s">
        <v>207</v>
      </c>
      <c r="B112" s="55" t="s">
        <v>181</v>
      </c>
      <c r="C112" s="56" t="n">
        <v>105</v>
      </c>
      <c r="D112" s="57" t="n">
        <f aca="false">INDEX(المكونات!$C$2:$C$500,MATCH($A112,المكونات!$A$2:$A$500,0))</f>
        <v>105</v>
      </c>
      <c r="E112" s="57" t="n">
        <f aca="false">D112-C112</f>
        <v>0</v>
      </c>
      <c r="F112" s="58" t="n">
        <f aca="false">IF(C112=0,"",D112/C112-1)</f>
        <v>0</v>
      </c>
      <c r="G112" s="54" t="s">
        <v>363</v>
      </c>
      <c r="H112" s="55"/>
      <c r="I112" s="55" t="n">
        <v>1</v>
      </c>
      <c r="J112" s="60" t="s">
        <v>364</v>
      </c>
    </row>
    <row r="113" customFormat="false" ht="15" hidden="false" customHeight="true" outlineLevel="0" collapsed="false">
      <c r="A113" s="54" t="s">
        <v>348</v>
      </c>
      <c r="B113" s="55" t="s">
        <v>123</v>
      </c>
      <c r="C113" s="56" t="n">
        <v>5.5777</v>
      </c>
      <c r="D113" s="57" t="n">
        <f aca="false">INDEX(المكونات!$C$2:$C$500,MATCH($A113,المكونات!$A$2:$A$500,0))</f>
        <v>5.5777</v>
      </c>
      <c r="E113" s="57" t="n">
        <f aca="false">D113-C113</f>
        <v>0</v>
      </c>
      <c r="F113" s="58" t="n">
        <f aca="false">IF(C113=0,"",D113/C113-1)</f>
        <v>0</v>
      </c>
      <c r="G113" s="54" t="s">
        <v>363</v>
      </c>
      <c r="H113" s="55"/>
      <c r="I113" s="55" t="n">
        <v>1</v>
      </c>
      <c r="J113" s="60" t="s">
        <v>364</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2" t="s">
        <v>365</v>
      </c>
    </row>
    <row r="2" customFormat="false" ht="15" hidden="false" customHeight="true" outlineLevel="0" collapsed="false">
      <c r="A2" s="61" t="s">
        <v>366</v>
      </c>
    </row>
    <row r="4" customFormat="false" ht="33.75" hidden="false" customHeight="true" outlineLevel="0" collapsed="false">
      <c r="A4" s="18" t="s">
        <v>7</v>
      </c>
      <c r="B4" s="18" t="s">
        <v>23</v>
      </c>
      <c r="C4" s="18" t="s">
        <v>367</v>
      </c>
      <c r="D4" s="18" t="s">
        <v>368</v>
      </c>
      <c r="E4" s="18" t="s">
        <v>354</v>
      </c>
      <c r="F4" s="18" t="s">
        <v>355</v>
      </c>
      <c r="G4" s="18" t="s">
        <v>369</v>
      </c>
      <c r="H4" s="18" t="s">
        <v>370</v>
      </c>
      <c r="I4" s="18" t="s">
        <v>371</v>
      </c>
      <c r="J4" s="18" t="s">
        <v>372</v>
      </c>
      <c r="K4" s="18" t="s">
        <v>373</v>
      </c>
    </row>
    <row r="5" customFormat="false" ht="15" hidden="false" customHeight="true" outlineLevel="0" collapsed="false">
      <c r="A5" s="62" t="s">
        <v>374</v>
      </c>
      <c r="B5" s="62" t="s">
        <v>375</v>
      </c>
      <c r="C5" s="56" t="n">
        <v>13.9998</v>
      </c>
      <c r="D5" s="63" t="n">
        <f aca="false">INDEX('تحليل التكلفة والسعر'!$C$2:$C$700,MATCH($B5,'تحليل التكلفة والسعر'!$B$2:$B$700,0))</f>
        <v>9.072162</v>
      </c>
      <c r="E5" s="63" t="n">
        <f aca="false">D5-C5</f>
        <v>-4.927638</v>
      </c>
      <c r="F5" s="64" t="n">
        <f aca="false">IF(C5=0,"",D5/C5-1)</f>
        <v>-0.351979171131016</v>
      </c>
      <c r="G5" s="56" t="n">
        <v>30</v>
      </c>
      <c r="H5" s="63" t="n">
        <f aca="false">INDEX('تحليل التكلفة والسعر'!$D$2:$D$700,MATCH($B5,'تحليل التكلفة والسعر'!$B$2:$B$700,0))</f>
        <v>40</v>
      </c>
      <c r="I5" s="64" t="n">
        <f aca="false">IF(OR(G5="",G5=0),"",C5/G5)</f>
        <v>0.46666</v>
      </c>
      <c r="J5" s="64" t="n">
        <f aca="false">IF(OR(H5="",H5=0),"",D5/H5)</f>
        <v>0.22680405</v>
      </c>
      <c r="K5" s="64" t="n">
        <f aca="false">IF(OR(I5="",J5=""),"",J5-I5)</f>
        <v>-0.23985595</v>
      </c>
    </row>
    <row r="6" customFormat="false" ht="15" hidden="false" customHeight="true" outlineLevel="0" collapsed="false">
      <c r="A6" s="62" t="s">
        <v>374</v>
      </c>
      <c r="B6" s="62" t="s">
        <v>376</v>
      </c>
      <c r="C6" s="56" t="n">
        <v>20.9997</v>
      </c>
      <c r="D6" s="63" t="n">
        <f aca="false">INDEX('تحليل التكلفة والسعر'!$C$2:$C$700,MATCH($B6,'تحليل التكلفة والسعر'!$B$2:$B$700,0))</f>
        <v>13.608243</v>
      </c>
      <c r="E6" s="63" t="n">
        <f aca="false">D6-C6</f>
        <v>-7.391457</v>
      </c>
      <c r="F6" s="64" t="n">
        <f aca="false">IF(C6=0,"",D6/C6-1)</f>
        <v>-0.351979171131016</v>
      </c>
      <c r="G6" s="56" t="n">
        <v>45</v>
      </c>
      <c r="H6" s="63" t="n">
        <f aca="false">INDEX('تحليل التكلفة والسعر'!$D$2:$D$700,MATCH($B6,'تحليل التكلفة والسعر'!$B$2:$B$700,0))</f>
        <v>55</v>
      </c>
      <c r="I6" s="64" t="n">
        <f aca="false">IF(OR(G6="",G6=0),"",C6/G6)</f>
        <v>0.46666</v>
      </c>
      <c r="J6" s="64" t="n">
        <f aca="false">IF(OR(H6="",H6=0),"",D6/H6)</f>
        <v>0.2474226</v>
      </c>
      <c r="K6" s="64" t="n">
        <f aca="false">IF(OR(I6="",J6=""),"",J6-I6)</f>
        <v>-0.2192374</v>
      </c>
    </row>
    <row r="7" customFormat="false" ht="15" hidden="false" customHeight="true" outlineLevel="0" collapsed="false">
      <c r="A7" s="62" t="s">
        <v>374</v>
      </c>
      <c r="B7" s="62" t="s">
        <v>377</v>
      </c>
      <c r="C7" s="56" t="n">
        <v>13.9998</v>
      </c>
      <c r="D7" s="63" t="n">
        <f aca="false">INDEX('تحليل التكلفة والسعر'!$C$2:$C$700,MATCH($B7,'تحليل التكلفة والسعر'!$B$2:$B$700,0))</f>
        <v>9.072162</v>
      </c>
      <c r="E7" s="63" t="n">
        <f aca="false">D7-C7</f>
        <v>-4.927638</v>
      </c>
      <c r="F7" s="64" t="n">
        <f aca="false">IF(C7=0,"",D7/C7-1)</f>
        <v>-0.351979171131016</v>
      </c>
      <c r="G7" s="56" t="n">
        <v>30</v>
      </c>
      <c r="H7" s="63" t="n">
        <f aca="false">INDEX('تحليل التكلفة والسعر'!$D$2:$D$700,MATCH($B7,'تحليل التكلفة والسعر'!$B$2:$B$700,0))</f>
        <v>40</v>
      </c>
      <c r="I7" s="64" t="n">
        <f aca="false">IF(OR(G7="",G7=0),"",C7/G7)</f>
        <v>0.46666</v>
      </c>
      <c r="J7" s="64" t="n">
        <f aca="false">IF(OR(H7="",H7=0),"",D7/H7)</f>
        <v>0.22680405</v>
      </c>
      <c r="K7" s="64" t="n">
        <f aca="false">IF(OR(I7="",J7=""),"",J7-I7)</f>
        <v>-0.23985595</v>
      </c>
    </row>
    <row r="8" customFormat="false" ht="15" hidden="false" customHeight="true" outlineLevel="0" collapsed="false">
      <c r="A8" s="62" t="s">
        <v>374</v>
      </c>
      <c r="B8" s="62" t="s">
        <v>378</v>
      </c>
      <c r="C8" s="56" t="n">
        <v>20.9997</v>
      </c>
      <c r="D8" s="63" t="n">
        <f aca="false">INDEX('تحليل التكلفة والسعر'!$C$2:$C$700,MATCH($B8,'تحليل التكلفة والسعر'!$B$2:$B$700,0))</f>
        <v>13.608243</v>
      </c>
      <c r="E8" s="63" t="n">
        <f aca="false">D8-C8</f>
        <v>-7.391457</v>
      </c>
      <c r="F8" s="64" t="n">
        <f aca="false">IF(C8=0,"",D8/C8-1)</f>
        <v>-0.351979171131016</v>
      </c>
      <c r="G8" s="56" t="n">
        <v>45</v>
      </c>
      <c r="H8" s="63" t="n">
        <f aca="false">INDEX('تحليل التكلفة والسعر'!$D$2:$D$700,MATCH($B8,'تحليل التكلفة والسعر'!$B$2:$B$700,0))</f>
        <v>55</v>
      </c>
      <c r="I8" s="64" t="n">
        <f aca="false">IF(OR(G8="",G8=0),"",C8/G8)</f>
        <v>0.46666</v>
      </c>
      <c r="J8" s="64" t="n">
        <f aca="false">IF(OR(H8="",H8=0),"",D8/H8)</f>
        <v>0.2474226</v>
      </c>
      <c r="K8" s="64" t="n">
        <f aca="false">IF(OR(I8="",J8=""),"",J8-I8)</f>
        <v>-0.2192374</v>
      </c>
    </row>
    <row r="9" customFormat="false" ht="15" hidden="false" customHeight="true" outlineLevel="0" collapsed="false">
      <c r="A9" s="62" t="s">
        <v>374</v>
      </c>
      <c r="B9" s="62" t="s">
        <v>379</v>
      </c>
      <c r="C9" s="56" t="n">
        <v>44</v>
      </c>
      <c r="D9" s="63" t="n">
        <f aca="false">INDEX('تحليل التكلفة والسعر'!$C$2:$C$700,MATCH($B9,'تحليل التكلفة والسعر'!$B$2:$B$700,0))</f>
        <v>29</v>
      </c>
      <c r="E9" s="63" t="n">
        <f aca="false">D9-C9</f>
        <v>-15</v>
      </c>
      <c r="F9" s="64" t="n">
        <f aca="false">IF(C9=0,"",D9/C9-1)</f>
        <v>-0.340909090909091</v>
      </c>
      <c r="G9" s="56" t="n">
        <v>120</v>
      </c>
      <c r="H9" s="63" t="n">
        <f aca="false">INDEX('تحليل التكلفة والسعر'!$D$2:$D$700,MATCH($B9,'تحليل التكلفة والسعر'!$B$2:$B$700,0))</f>
        <v>130</v>
      </c>
      <c r="I9" s="64" t="n">
        <f aca="false">IF(OR(G9="",G9=0),"",C9/G9)</f>
        <v>0.366666666666667</v>
      </c>
      <c r="J9" s="64" t="n">
        <f aca="false">IF(OR(H9="",H9=0),"",D9/H9)</f>
        <v>0.223076923076923</v>
      </c>
      <c r="K9" s="64" t="n">
        <f aca="false">IF(OR(I9="",J9=""),"",J9-I9)</f>
        <v>-0.143589743589744</v>
      </c>
    </row>
    <row r="10" customFormat="false" ht="15" hidden="false" customHeight="true" outlineLevel="0" collapsed="false">
      <c r="A10" s="62" t="s">
        <v>374</v>
      </c>
      <c r="B10" s="62" t="s">
        <v>380</v>
      </c>
      <c r="C10" s="56" t="n">
        <v>11</v>
      </c>
      <c r="D10" s="63" t="n">
        <f aca="false">INDEX('تحليل التكلفة والسعر'!$C$2:$C$700,MATCH($B10,'تحليل التكلفة والسعر'!$B$2:$B$700,0))</f>
        <v>12.76582</v>
      </c>
      <c r="E10" s="63" t="n">
        <f aca="false">D10-C10</f>
        <v>1.76582</v>
      </c>
      <c r="F10" s="64" t="n">
        <f aca="false">IF(C10=0,"",D10/C10-1)</f>
        <v>0.160529090909091</v>
      </c>
      <c r="G10" s="56" t="n">
        <v>40</v>
      </c>
      <c r="H10" s="63" t="n">
        <f aca="false">INDEX('تحليل التكلفة والسعر'!$D$2:$D$700,MATCH($B10,'تحليل التكلفة والسعر'!$B$2:$B$700,0))</f>
        <v>50</v>
      </c>
      <c r="I10" s="64" t="n">
        <f aca="false">IF(OR(G10="",G10=0),"",C10/G10)</f>
        <v>0.275</v>
      </c>
      <c r="J10" s="64" t="n">
        <f aca="false">IF(OR(H10="",H10=0),"",D10/H10)</f>
        <v>0.2553164</v>
      </c>
      <c r="K10" s="64" t="n">
        <f aca="false">IF(OR(I10="",J10=""),"",J10-I10)</f>
        <v>-0.0196836</v>
      </c>
    </row>
    <row r="11" customFormat="false" ht="15" hidden="false" customHeight="true" outlineLevel="0" collapsed="false">
      <c r="A11" s="62" t="s">
        <v>17</v>
      </c>
      <c r="B11" s="62" t="s">
        <v>381</v>
      </c>
      <c r="C11" s="56" t="n">
        <v>81.16345</v>
      </c>
      <c r="D11" s="63" t="n">
        <f aca="false">INDEX('تحليل التكلفة والسعر'!$C$2:$C$700,MATCH($B11,'تحليل التكلفة والسعر'!$B$2:$B$700,0))</f>
        <v>68.311905</v>
      </c>
      <c r="E11" s="63" t="n">
        <f aca="false">D11-C11</f>
        <v>-12.851545</v>
      </c>
      <c r="F11" s="64" t="n">
        <f aca="false">IF(C11=0,"",D11/C11-1)</f>
        <v>-0.158341531810193</v>
      </c>
      <c r="G11" s="56" t="n">
        <v>160</v>
      </c>
      <c r="H11" s="63" t="n">
        <f aca="false">INDEX('تحليل التكلفة والسعر'!$D$2:$D$700,MATCH($B11,'تحليل التكلفة والسعر'!$B$2:$B$700,0))</f>
        <v>170</v>
      </c>
      <c r="I11" s="64" t="n">
        <f aca="false">IF(OR(G11="",G11=0),"",C11/G11)</f>
        <v>0.5072715625</v>
      </c>
      <c r="J11" s="64" t="n">
        <f aca="false">IF(OR(H11="",H11=0),"",D11/H11)</f>
        <v>0.401834735294118</v>
      </c>
      <c r="K11" s="64" t="n">
        <f aca="false">IF(OR(I11="",J11=""),"",J11-I11)</f>
        <v>-0.105436827205882</v>
      </c>
    </row>
    <row r="12" customFormat="false" ht="15" hidden="false" customHeight="true" outlineLevel="0" collapsed="false">
      <c r="A12" s="62" t="s">
        <v>9</v>
      </c>
      <c r="B12" s="62" t="s">
        <v>382</v>
      </c>
      <c r="C12" s="56" t="n">
        <v>117.16985</v>
      </c>
      <c r="D12" s="63" t="n">
        <f aca="false">INDEX('تحليل التكلفة والسعر'!$C$2:$C$700,MATCH($B12,'تحليل التكلفة والسعر'!$B$2:$B$700,0))</f>
        <v>100.6187</v>
      </c>
      <c r="E12" s="63" t="n">
        <f aca="false">D12-C12</f>
        <v>-16.55115</v>
      </c>
      <c r="F12" s="64" t="n">
        <f aca="false">IF(C12=0,"",D12/C12-1)</f>
        <v>-0.141257755301385</v>
      </c>
      <c r="G12" s="56" t="n">
        <v>220</v>
      </c>
      <c r="H12" s="63" t="n">
        <f aca="false">INDEX('تحليل التكلفة والسعر'!$D$2:$D$700,MATCH($B12,'تحليل التكلفة والسعر'!$B$2:$B$700,0))</f>
        <v>230</v>
      </c>
      <c r="I12" s="64" t="n">
        <f aca="false">IF(OR(G12="",G12=0),"",C12/G12)</f>
        <v>0.532590227272727</v>
      </c>
      <c r="J12" s="64" t="n">
        <f aca="false">IF(OR(H12="",H12=0),"",D12/H12)</f>
        <v>0.437472608695652</v>
      </c>
      <c r="K12" s="64" t="n">
        <f aca="false">IF(OR(I12="",J12=""),"",J12-I12)</f>
        <v>-0.0951176185770751</v>
      </c>
    </row>
    <row r="13" customFormat="false" ht="15" hidden="false" customHeight="true" outlineLevel="0" collapsed="false">
      <c r="A13" s="62" t="s">
        <v>17</v>
      </c>
      <c r="B13" s="62" t="s">
        <v>383</v>
      </c>
      <c r="C13" s="56" t="n">
        <v>56.7633</v>
      </c>
      <c r="D13" s="63" t="n">
        <f aca="false">INDEX('تحليل التكلفة والسعر'!$C$2:$C$700,MATCH($B13,'تحليل التكلفة والسعر'!$B$2:$B$700,0))</f>
        <v>48.41677</v>
      </c>
      <c r="E13" s="63" t="n">
        <f aca="false">D13-C13</f>
        <v>-8.34653</v>
      </c>
      <c r="F13" s="64" t="n">
        <f aca="false">IF(C13=0,"",D13/C13-1)</f>
        <v>-0.14704095780196</v>
      </c>
      <c r="G13" s="56" t="n">
        <v>105</v>
      </c>
      <c r="H13" s="63" t="n">
        <f aca="false">INDEX('تحليل التكلفة والسعر'!$D$2:$D$700,MATCH($B13,'تحليل التكلفة والسعر'!$B$2:$B$700,0))</f>
        <v>115</v>
      </c>
      <c r="I13" s="64" t="n">
        <f aca="false">IF(OR(G13="",G13=0),"",C13/G13)</f>
        <v>0.540602857142857</v>
      </c>
      <c r="J13" s="64" t="n">
        <f aca="false">IF(OR(H13="",H13=0),"",D13/H13)</f>
        <v>0.421015391304348</v>
      </c>
      <c r="K13" s="64" t="n">
        <f aca="false">IF(OR(I13="",J13=""),"",J13-I13)</f>
        <v>-0.119587465838509</v>
      </c>
    </row>
    <row r="14" customFormat="false" ht="15" hidden="false" customHeight="true" outlineLevel="0" collapsed="false">
      <c r="A14" s="62" t="s">
        <v>16</v>
      </c>
      <c r="B14" s="62" t="s">
        <v>384</v>
      </c>
      <c r="C14" s="56" t="n">
        <v>82.84165</v>
      </c>
      <c r="D14" s="63" t="n">
        <f aca="false">INDEX('تحليل التكلفة والسعر'!$C$2:$C$700,MATCH($B14,'تحليل التكلفة والسعر'!$B$2:$B$700,0))</f>
        <v>70.831905</v>
      </c>
      <c r="E14" s="63" t="n">
        <f aca="false">D14-C14</f>
        <v>-12.009745</v>
      </c>
      <c r="F14" s="64" t="n">
        <f aca="false">IF(C14=0,"",D14/C14-1)</f>
        <v>-0.144972305597486</v>
      </c>
      <c r="G14" s="56" t="n">
        <v>160</v>
      </c>
      <c r="H14" s="63" t="n">
        <f aca="false">INDEX('تحليل التكلفة والسعر'!$D$2:$D$700,MATCH($B14,'تحليل التكلفة والسعر'!$B$2:$B$700,0))</f>
        <v>170</v>
      </c>
      <c r="I14" s="64" t="n">
        <f aca="false">IF(OR(G14="",G14=0),"",C14/G14)</f>
        <v>0.5177603125</v>
      </c>
      <c r="J14" s="64" t="n">
        <f aca="false">IF(OR(H14="",H14=0),"",D14/H14)</f>
        <v>0.416658264705882</v>
      </c>
      <c r="K14" s="64" t="n">
        <f aca="false">IF(OR(I14="",J14=""),"",J14-I14)</f>
        <v>-0.101102047794118</v>
      </c>
    </row>
    <row r="15" customFormat="false" ht="15" hidden="false" customHeight="true" outlineLevel="0" collapsed="false">
      <c r="A15" s="62" t="s">
        <v>385</v>
      </c>
      <c r="B15" s="62" t="s">
        <v>204</v>
      </c>
      <c r="C15" s="56" t="n">
        <v>35</v>
      </c>
      <c r="D15" s="63" t="n">
        <f aca="false">INDEX('تحليل التكلفة والسعر'!$C$2:$C$700,MATCH($B15,'تحليل التكلفة والسعر'!$B$2:$B$700,0))</f>
        <v>30</v>
      </c>
      <c r="E15" s="63" t="n">
        <f aca="false">D15-C15</f>
        <v>-5</v>
      </c>
      <c r="F15" s="64" t="n">
        <f aca="false">IF(C15=0,"",D15/C15-1)</f>
        <v>-0.142857142857143</v>
      </c>
      <c r="G15" s="56" t="n">
        <v>35</v>
      </c>
      <c r="H15" s="63" t="n">
        <f aca="false">INDEX('تحليل التكلفة والسعر'!$D$2:$D$700,MATCH($B15,'تحليل التكلفة والسعر'!$B$2:$B$700,0))</f>
        <v>35</v>
      </c>
      <c r="I15" s="64" t="n">
        <f aca="false">IF(OR(G15="",G15=0),"",C15/G15)</f>
        <v>1</v>
      </c>
      <c r="J15" s="64" t="n">
        <f aca="false">IF(OR(H15="",H15=0),"",D15/H15)</f>
        <v>0.857142857142857</v>
      </c>
      <c r="K15" s="64" t="n">
        <f aca="false">IF(OR(I15="",J15=""),"",J15-I15)</f>
        <v>-0.142857142857143</v>
      </c>
    </row>
    <row r="16" customFormat="false" ht="15" hidden="false" customHeight="true" outlineLevel="0" collapsed="false">
      <c r="A16" s="62" t="s">
        <v>10</v>
      </c>
      <c r="B16" s="62" t="s">
        <v>386</v>
      </c>
      <c r="C16" s="56" t="n">
        <v>111.49165</v>
      </c>
      <c r="D16" s="63" t="n">
        <f aca="false">INDEX('تحليل التكلفة والسعر'!$C$2:$C$700,MATCH($B16,'تحليل التكلفة والسعر'!$B$2:$B$700,0))</f>
        <v>95.9592</v>
      </c>
      <c r="E16" s="63" t="n">
        <f aca="false">D16-C16</f>
        <v>-15.53245</v>
      </c>
      <c r="F16" s="64" t="n">
        <f aca="false">IF(C16=0,"",D16/C16-1)</f>
        <v>-0.139314917305466</v>
      </c>
      <c r="G16" s="56" t="n">
        <v>220</v>
      </c>
      <c r="H16" s="63" t="n">
        <f aca="false">INDEX('تحليل التكلفة والسعر'!$D$2:$D$700,MATCH($B16,'تحليل التكلفة والسعر'!$B$2:$B$700,0))</f>
        <v>230</v>
      </c>
      <c r="I16" s="64" t="n">
        <f aca="false">IF(OR(G16="",G16=0),"",C16/G16)</f>
        <v>0.506780227272727</v>
      </c>
      <c r="J16" s="64" t="n">
        <f aca="false">IF(OR(H16="",H16=0),"",D16/H16)</f>
        <v>0.417213913043478</v>
      </c>
      <c r="K16" s="64" t="n">
        <f aca="false">IF(OR(I16="",J16=""),"",J16-I16)</f>
        <v>-0.089566314229249</v>
      </c>
    </row>
    <row r="17" customFormat="false" ht="15" hidden="false" customHeight="true" outlineLevel="0" collapsed="false">
      <c r="A17" s="62" t="s">
        <v>374</v>
      </c>
      <c r="B17" s="62" t="s">
        <v>387</v>
      </c>
      <c r="C17" s="56" t="n">
        <v>22</v>
      </c>
      <c r="D17" s="63" t="n">
        <f aca="false">INDEX('تحليل التكلفة والسعر'!$C$2:$C$700,MATCH($B17,'تحليل التكلفة والسعر'!$B$2:$B$700,0))</f>
        <v>25</v>
      </c>
      <c r="E17" s="63" t="n">
        <f aca="false">D17-C17</f>
        <v>3</v>
      </c>
      <c r="F17" s="64" t="n">
        <f aca="false">IF(C17=0,"",D17/C17-1)</f>
        <v>0.136363636363636</v>
      </c>
      <c r="G17" s="56" t="n">
        <v>50</v>
      </c>
      <c r="H17" s="63" t="n">
        <f aca="false">INDEX('تحليل التكلفة والسعر'!$D$2:$D$700,MATCH($B17,'تحليل التكلفة والسعر'!$B$2:$B$700,0))</f>
        <v>60</v>
      </c>
      <c r="I17" s="64" t="n">
        <f aca="false">IF(OR(G17="",G17=0),"",C17/G17)</f>
        <v>0.44</v>
      </c>
      <c r="J17" s="64" t="n">
        <f aca="false">IF(OR(H17="",H17=0),"",D17/H17)</f>
        <v>0.416666666666667</v>
      </c>
      <c r="K17" s="64" t="n">
        <f aca="false">IF(OR(I17="",J17=""),"",J17-I17)</f>
        <v>-0.0233333333333333</v>
      </c>
    </row>
    <row r="18" customFormat="false" ht="15" hidden="false" customHeight="true" outlineLevel="0" collapsed="false">
      <c r="A18" s="62" t="s">
        <v>9</v>
      </c>
      <c r="B18" s="62" t="s">
        <v>388</v>
      </c>
      <c r="C18" s="56" t="n">
        <v>121.66985</v>
      </c>
      <c r="D18" s="63" t="n">
        <f aca="false">INDEX('تحليل التكلفة والسعر'!$C$2:$C$700,MATCH($B18,'تحليل التكلفة والسعر'!$B$2:$B$700,0))</f>
        <v>105.8687</v>
      </c>
      <c r="E18" s="63" t="n">
        <f aca="false">D18-C18</f>
        <v>-15.80115</v>
      </c>
      <c r="F18" s="64" t="n">
        <f aca="false">IF(C18=0,"",D18/C18-1)</f>
        <v>-0.129869067809322</v>
      </c>
      <c r="G18" s="56" t="n">
        <v>220</v>
      </c>
      <c r="H18" s="63" t="n">
        <f aca="false">INDEX('تحليل التكلفة والسعر'!$D$2:$D$700,MATCH($B18,'تحليل التكلفة والسعر'!$B$2:$B$700,0))</f>
        <v>230</v>
      </c>
      <c r="I18" s="64" t="n">
        <f aca="false">IF(OR(G18="",G18=0),"",C18/G18)</f>
        <v>0.553044772727273</v>
      </c>
      <c r="J18" s="64" t="n">
        <f aca="false">IF(OR(H18="",H18=0),"",D18/H18)</f>
        <v>0.460298695652174</v>
      </c>
      <c r="K18" s="64" t="n">
        <f aca="false">IF(OR(I18="",J18=""),"",J18-I18)</f>
        <v>-0.0927460770750988</v>
      </c>
    </row>
    <row r="19" customFormat="false" ht="15" hidden="false" customHeight="true" outlineLevel="0" collapsed="false">
      <c r="A19" s="62" t="s">
        <v>16</v>
      </c>
      <c r="B19" s="62" t="s">
        <v>389</v>
      </c>
      <c r="C19" s="56" t="n">
        <v>58.2621</v>
      </c>
      <c r="D19" s="63" t="n">
        <f aca="false">INDEX('تحليل التكلفة والسعر'!$C$2:$C$700,MATCH($B19,'تحليل التكلفة والسعر'!$B$2:$B$700,0))</f>
        <v>50.53677</v>
      </c>
      <c r="E19" s="63" t="n">
        <f aca="false">D19-C19</f>
        <v>-7.72533</v>
      </c>
      <c r="F19" s="64" t="n">
        <f aca="false">IF(C19=0,"",D19/C19-1)</f>
        <v>-0.132596147409723</v>
      </c>
      <c r="G19" s="56" t="n">
        <v>105</v>
      </c>
      <c r="H19" s="63" t="n">
        <f aca="false">INDEX('تحليل التكلفة والسعر'!$D$2:$D$700,MATCH($B19,'تحليل التكلفة والسعر'!$B$2:$B$700,0))</f>
        <v>115</v>
      </c>
      <c r="I19" s="64" t="n">
        <f aca="false">IF(OR(G19="",G19=0),"",C19/G19)</f>
        <v>0.554877142857143</v>
      </c>
      <c r="J19" s="64" t="n">
        <f aca="false">IF(OR(H19="",H19=0),"",D19/H19)</f>
        <v>0.439450173913044</v>
      </c>
      <c r="K19" s="64" t="n">
        <f aca="false">IF(OR(I19="",J19=""),"",J19-I19)</f>
        <v>-0.115426968944099</v>
      </c>
    </row>
    <row r="20" customFormat="false" ht="15" hidden="false" customHeight="true" outlineLevel="0" collapsed="false">
      <c r="A20" s="62" t="s">
        <v>12</v>
      </c>
      <c r="B20" s="62" t="s">
        <v>390</v>
      </c>
      <c r="C20" s="56" t="n">
        <v>207.540825</v>
      </c>
      <c r="D20" s="63" t="n">
        <f aca="false">INDEX('تحليل التكلفة والسعر'!$C$2:$C$700,MATCH($B20,'تحليل التكلفة والسعر'!$B$2:$B$700,0))</f>
        <v>180.20475</v>
      </c>
      <c r="E20" s="63" t="n">
        <f aca="false">D20-C20</f>
        <v>-27.336075</v>
      </c>
      <c r="F20" s="64" t="n">
        <f aca="false">IF(C20=0,"",D20/C20-1)</f>
        <v>-0.131714206108606</v>
      </c>
      <c r="G20" s="56" t="n">
        <v>320</v>
      </c>
      <c r="H20" s="63" t="n">
        <f aca="false">INDEX('تحليل التكلفة والسعر'!$D$2:$D$700,MATCH($B20,'تحليل التكلفة والسعر'!$B$2:$B$700,0))</f>
        <v>330</v>
      </c>
      <c r="I20" s="64" t="n">
        <f aca="false">IF(OR(G20="",G20=0),"",C20/G20)</f>
        <v>0.648565078125</v>
      </c>
      <c r="J20" s="64" t="n">
        <f aca="false">IF(OR(H20="",H20=0),"",D20/H20)</f>
        <v>0.546075</v>
      </c>
      <c r="K20" s="64" t="n">
        <f aca="false">IF(OR(I20="",J20=""),"",J20-I20)</f>
        <v>-0.102490078125</v>
      </c>
    </row>
    <row r="21" customFormat="false" ht="15" hidden="false" customHeight="true" outlineLevel="0" collapsed="false">
      <c r="A21" s="62" t="s">
        <v>10</v>
      </c>
      <c r="B21" s="62" t="s">
        <v>391</v>
      </c>
      <c r="C21" s="56" t="n">
        <v>115.99165</v>
      </c>
      <c r="D21" s="63" t="n">
        <f aca="false">INDEX('تحليل التكلفة والسعر'!$C$2:$C$700,MATCH($B21,'تحليل التكلفة والسعر'!$B$2:$B$700,0))</f>
        <v>101.2092</v>
      </c>
      <c r="E21" s="63" t="n">
        <f aca="false">D21-C21</f>
        <v>-14.78245</v>
      </c>
      <c r="F21" s="64" t="n">
        <f aca="false">IF(C21=0,"",D21/C21-1)</f>
        <v>-0.127444087570097</v>
      </c>
      <c r="G21" s="56" t="n">
        <v>220</v>
      </c>
      <c r="H21" s="63" t="n">
        <f aca="false">INDEX('تحليل التكلفة والسعر'!$D$2:$D$700,MATCH($B21,'تحليل التكلفة والسعر'!$B$2:$B$700,0))</f>
        <v>230</v>
      </c>
      <c r="I21" s="64" t="n">
        <f aca="false">IF(OR(G21="",G21=0),"",C21/G21)</f>
        <v>0.527234772727273</v>
      </c>
      <c r="J21" s="64" t="n">
        <f aca="false">IF(OR(H21="",H21=0),"",D21/H21)</f>
        <v>0.44004</v>
      </c>
      <c r="K21" s="64" t="n">
        <f aca="false">IF(OR(I21="",J21=""),"",J21-I21)</f>
        <v>-0.0871947727272727</v>
      </c>
    </row>
    <row r="22" customFormat="false" ht="15" hidden="false" customHeight="true" outlineLevel="0" collapsed="false">
      <c r="A22" s="62" t="s">
        <v>20</v>
      </c>
      <c r="B22" s="62" t="s">
        <v>392</v>
      </c>
      <c r="C22" s="56" t="n">
        <v>50.6198</v>
      </c>
      <c r="D22" s="63" t="n">
        <f aca="false">INDEX('تحليل التكلفة والسعر'!$C$2:$C$700,MATCH($B22,'تحليل التكلفة والسعر'!$B$2:$B$700,0))</f>
        <v>45.602162</v>
      </c>
      <c r="E22" s="63" t="n">
        <f aca="false">D22-C22</f>
        <v>-5.017638</v>
      </c>
      <c r="F22" s="64" t="n">
        <f aca="false">IF(C22=0,"",D22/C22-1)</f>
        <v>-0.0991240186646332</v>
      </c>
      <c r="G22" s="56" t="n">
        <v>120</v>
      </c>
      <c r="H22" s="63" t="n">
        <f aca="false">INDEX('تحليل التكلفة والسعر'!$D$2:$D$700,MATCH($B22,'تحليل التكلفة والسعر'!$B$2:$B$700,0))</f>
        <v>130</v>
      </c>
      <c r="I22" s="64" t="n">
        <f aca="false">IF(OR(G22="",G22=0),"",C22/G22)</f>
        <v>0.421831666666667</v>
      </c>
      <c r="J22" s="64" t="n">
        <f aca="false">IF(OR(H22="",H22=0),"",D22/H22)</f>
        <v>0.350785861538462</v>
      </c>
      <c r="K22" s="64" t="n">
        <f aca="false">IF(OR(I22="",J22=""),"",J22-I22)</f>
        <v>-0.0710458051282051</v>
      </c>
    </row>
    <row r="23" customFormat="false" ht="15" hidden="false" customHeight="true" outlineLevel="0" collapsed="false">
      <c r="A23" s="62" t="s">
        <v>18</v>
      </c>
      <c r="B23" s="62" t="s">
        <v>393</v>
      </c>
      <c r="C23" s="56" t="n">
        <v>39.045</v>
      </c>
      <c r="D23" s="63" t="n">
        <f aca="false">INDEX('تحليل التكلفة والسعر'!$C$2:$C$700,MATCH($B23,'تحليل التكلفة والسعر'!$B$2:$B$700,0))</f>
        <v>42.370312</v>
      </c>
      <c r="E23" s="63" t="n">
        <f aca="false">D23-C23</f>
        <v>3.325312</v>
      </c>
      <c r="F23" s="64" t="n">
        <f aca="false">IF(C23=0,"",D23/C23-1)</f>
        <v>0.0851661416314509</v>
      </c>
      <c r="G23" s="56" t="n">
        <v>90</v>
      </c>
      <c r="H23" s="63" t="n">
        <f aca="false">INDEX('تحليل التكلفة والسعر'!$D$2:$D$700,MATCH($B23,'تحليل التكلفة والسعر'!$B$2:$B$700,0))</f>
        <v>100</v>
      </c>
      <c r="I23" s="64" t="n">
        <f aca="false">IF(OR(G23="",G23=0),"",C23/G23)</f>
        <v>0.433833333333333</v>
      </c>
      <c r="J23" s="64" t="n">
        <f aca="false">IF(OR(H23="",H23=0),"",D23/H23)</f>
        <v>0.42370312</v>
      </c>
      <c r="K23" s="64" t="n">
        <f aca="false">IF(OR(I23="",J23=""),"",J23-I23)</f>
        <v>-0.0101302133333334</v>
      </c>
    </row>
    <row r="24" customFormat="false" ht="15" hidden="false" customHeight="true" outlineLevel="0" collapsed="false">
      <c r="A24" s="62" t="s">
        <v>374</v>
      </c>
      <c r="B24" s="62" t="s">
        <v>394</v>
      </c>
      <c r="C24" s="56" t="n">
        <v>43</v>
      </c>
      <c r="D24" s="63" t="n">
        <f aca="false">INDEX('تحليل التكلفة والسعر'!$C$2:$C$700,MATCH($B24,'تحليل التكلفة والسعر'!$B$2:$B$700,0))</f>
        <v>46.6667</v>
      </c>
      <c r="E24" s="63" t="n">
        <f aca="false">D24-C24</f>
        <v>3.6667</v>
      </c>
      <c r="F24" s="64" t="n">
        <f aca="false">IF(C24=0,"",D24/C24-1)</f>
        <v>0.0852720930232558</v>
      </c>
      <c r="G24" s="56" t="n">
        <v>90</v>
      </c>
      <c r="H24" s="63" t="n">
        <f aca="false">INDEX('تحليل التكلفة والسعر'!$D$2:$D$700,MATCH($B24,'تحليل التكلفة والسعر'!$B$2:$B$700,0))</f>
        <v>100</v>
      </c>
      <c r="I24" s="64" t="n">
        <f aca="false">IF(OR(G24="",G24=0),"",C24/G24)</f>
        <v>0.477777777777778</v>
      </c>
      <c r="J24" s="64" t="n">
        <f aca="false">IF(OR(H24="",H24=0),"",D24/H24)</f>
        <v>0.466667</v>
      </c>
      <c r="K24" s="64" t="n">
        <f aca="false">IF(OR(I24="",J24=""),"",J24-I24)</f>
        <v>-0.0111107777777778</v>
      </c>
    </row>
    <row r="25" customFormat="false" ht="15" hidden="false" customHeight="true" outlineLevel="0" collapsed="false">
      <c r="A25" s="62" t="s">
        <v>11</v>
      </c>
      <c r="B25" s="62" t="s">
        <v>395</v>
      </c>
      <c r="C25" s="56" t="n">
        <v>40.245</v>
      </c>
      <c r="D25" s="63" t="n">
        <f aca="false">INDEX('تحليل التكلفة والسعر'!$C$2:$C$700,MATCH($B25,'تحليل التكلفة والسعر'!$B$2:$B$700,0))</f>
        <v>43.610314</v>
      </c>
      <c r="E25" s="63" t="n">
        <f aca="false">D25-C25</f>
        <v>3.365314</v>
      </c>
      <c r="F25" s="64" t="n">
        <f aca="false">IF(C25=0,"",D25/C25-1)</f>
        <v>0.0836206733755747</v>
      </c>
      <c r="G25" s="56" t="n">
        <v>90</v>
      </c>
      <c r="H25" s="63" t="n">
        <f aca="false">INDEX('تحليل التكلفة والسعر'!$D$2:$D$700,MATCH($B25,'تحليل التكلفة والسعر'!$B$2:$B$700,0))</f>
        <v>100</v>
      </c>
      <c r="I25" s="64" t="n">
        <f aca="false">IF(OR(G25="",G25=0),"",C25/G25)</f>
        <v>0.447166666666667</v>
      </c>
      <c r="J25" s="64" t="n">
        <f aca="false">IF(OR(H25="",H25=0),"",D25/H25)</f>
        <v>0.43610314</v>
      </c>
      <c r="K25" s="64" t="n">
        <f aca="false">IF(OR(I25="",J25=""),"",J25-I25)</f>
        <v>-0.0110635266666667</v>
      </c>
    </row>
    <row r="26" customFormat="false" ht="15" hidden="false" customHeight="true" outlineLevel="0" collapsed="false">
      <c r="A26" s="62" t="s">
        <v>374</v>
      </c>
      <c r="B26" s="62" t="s">
        <v>396</v>
      </c>
      <c r="C26" s="56" t="n">
        <v>29</v>
      </c>
      <c r="D26" s="63" t="n">
        <f aca="false">INDEX('تحليل التكلفة والسعر'!$C$2:$C$700,MATCH($B26,'تحليل التكلفة والسعر'!$B$2:$B$700,0))</f>
        <v>27.1395</v>
      </c>
      <c r="E26" s="63" t="n">
        <f aca="false">D26-C26</f>
        <v>-1.8605</v>
      </c>
      <c r="F26" s="64" t="n">
        <f aca="false">IF(C26=0,"",D26/C26-1)</f>
        <v>-0.0641551724137931</v>
      </c>
      <c r="G26" s="56" t="n">
        <v>60</v>
      </c>
      <c r="H26" s="63" t="n">
        <f aca="false">INDEX('تحليل التكلفة والسعر'!$D$2:$D$700,MATCH($B26,'تحليل التكلفة والسعر'!$B$2:$B$700,0))</f>
        <v>70</v>
      </c>
      <c r="I26" s="64" t="n">
        <f aca="false">IF(OR(G26="",G26=0),"",C26/G26)</f>
        <v>0.483333333333333</v>
      </c>
      <c r="J26" s="64" t="n">
        <f aca="false">IF(OR(H26="",H26=0),"",D26/H26)</f>
        <v>0.387707142857143</v>
      </c>
      <c r="K26" s="64" t="n">
        <f aca="false">IF(OR(I26="",J26=""),"",J26-I26)</f>
        <v>-0.0956261904761905</v>
      </c>
    </row>
    <row r="27" customFormat="false" ht="15" hidden="false" customHeight="true" outlineLevel="0" collapsed="false">
      <c r="A27" s="62" t="s">
        <v>374</v>
      </c>
      <c r="B27" s="62" t="s">
        <v>397</v>
      </c>
      <c r="C27" s="56" t="n">
        <v>29</v>
      </c>
      <c r="D27" s="63" t="n">
        <f aca="false">INDEX('تحليل التكلفة والسعر'!$C$2:$C$700,MATCH($B27,'تحليل التكلفة والسعر'!$B$2:$B$700,0))</f>
        <v>27.1395</v>
      </c>
      <c r="E27" s="63" t="n">
        <f aca="false">D27-C27</f>
        <v>-1.8605</v>
      </c>
      <c r="F27" s="64" t="n">
        <f aca="false">IF(C27=0,"",D27/C27-1)</f>
        <v>-0.0641551724137931</v>
      </c>
      <c r="G27" s="56" t="n">
        <v>45</v>
      </c>
      <c r="H27" s="63" t="n">
        <f aca="false">INDEX('تحليل التكلفة والسعر'!$D$2:$D$700,MATCH($B27,'تحليل التكلفة والسعر'!$B$2:$B$700,0))</f>
        <v>55</v>
      </c>
      <c r="I27" s="64" t="n">
        <f aca="false">IF(OR(G27="",G27=0),"",C27/G27)</f>
        <v>0.644444444444445</v>
      </c>
      <c r="J27" s="64" t="n">
        <f aca="false">IF(OR(H27="",H27=0),"",D27/H27)</f>
        <v>0.493445454545455</v>
      </c>
      <c r="K27" s="64" t="n">
        <f aca="false">IF(OR(I27="",J27=""),"",J27-I27)</f>
        <v>-0.15099898989899</v>
      </c>
    </row>
    <row r="28" customFormat="false" ht="15" hidden="false" customHeight="true" outlineLevel="0" collapsed="false">
      <c r="A28" s="62" t="s">
        <v>374</v>
      </c>
      <c r="B28" s="62" t="s">
        <v>398</v>
      </c>
      <c r="C28" s="56" t="n">
        <v>21.75</v>
      </c>
      <c r="D28" s="63" t="n">
        <f aca="false">INDEX('تحليل التكلفة والسعر'!$C$2:$C$700,MATCH($B28,'تحليل التكلفة والسعر'!$B$2:$B$700,0))</f>
        <v>20.354625</v>
      </c>
      <c r="E28" s="63" t="n">
        <f aca="false">D28-C28</f>
        <v>-1.395375</v>
      </c>
      <c r="F28" s="64" t="n">
        <f aca="false">IF(C28=0,"",D28/C28-1)</f>
        <v>-0.064155172413793</v>
      </c>
      <c r="G28" s="56" t="n">
        <v>56.25</v>
      </c>
      <c r="H28" s="63" t="n">
        <f aca="false">INDEX('تحليل التكلفة والسعر'!$D$2:$D$700,MATCH($B28,'تحليل التكلفة والسعر'!$B$2:$B$700,0))</f>
        <v>66.25</v>
      </c>
      <c r="I28" s="64" t="n">
        <f aca="false">IF(OR(G28="",G28=0),"",C28/G28)</f>
        <v>0.386666666666667</v>
      </c>
      <c r="J28" s="64" t="n">
        <f aca="false">IF(OR(H28="",H28=0),"",D28/H28)</f>
        <v>0.307239622641509</v>
      </c>
      <c r="K28" s="64" t="n">
        <f aca="false">IF(OR(I28="",J28=""),"",J28-I28)</f>
        <v>-0.0794270440251572</v>
      </c>
    </row>
    <row r="29" customFormat="false" ht="15" hidden="false" customHeight="true" outlineLevel="0" collapsed="false">
      <c r="A29" s="62" t="s">
        <v>19</v>
      </c>
      <c r="B29" s="62" t="s">
        <v>399</v>
      </c>
      <c r="C29" s="56" t="n">
        <v>62.5464</v>
      </c>
      <c r="D29" s="63" t="n">
        <f aca="false">INDEX('تحليل التكلفة والسعر'!$C$2:$C$700,MATCH($B29,'تحليل التكلفة والسعر'!$B$2:$B$700,0))</f>
        <v>66.8042</v>
      </c>
      <c r="E29" s="63" t="n">
        <f aca="false">D29-C29</f>
        <v>4.25780000000001</v>
      </c>
      <c r="F29" s="64" t="n">
        <f aca="false">IF(C29=0,"",D29/C29-1)</f>
        <v>0.0680742616681378</v>
      </c>
      <c r="G29" s="56" t="n">
        <v>150</v>
      </c>
      <c r="H29" s="63" t="n">
        <f aca="false">INDEX('تحليل التكلفة والسعر'!$D$2:$D$700,MATCH($B29,'تحليل التكلفة والسعر'!$B$2:$B$700,0))</f>
        <v>160</v>
      </c>
      <c r="I29" s="64" t="n">
        <f aca="false">IF(OR(G29="",G29=0),"",C29/G29)</f>
        <v>0.416976</v>
      </c>
      <c r="J29" s="64" t="n">
        <f aca="false">IF(OR(H29="",H29=0),"",D29/H29)</f>
        <v>0.41752625</v>
      </c>
      <c r="K29" s="64" t="n">
        <f aca="false">IF(OR(I29="",J29=""),"",J29-I29)</f>
        <v>0.00055025000000003</v>
      </c>
    </row>
    <row r="30" customFormat="false" ht="15" hidden="false" customHeight="true" outlineLevel="0" collapsed="false">
      <c r="A30" s="62" t="s">
        <v>13</v>
      </c>
      <c r="B30" s="62" t="s">
        <v>400</v>
      </c>
      <c r="C30" s="56" t="n">
        <v>93.5198</v>
      </c>
      <c r="D30" s="63" t="n">
        <f aca="false">INDEX('تحليل التكلفة والسعر'!$C$2:$C$700,MATCH($B30,'تحليل التكلفة والسعر'!$B$2:$B$700,0))</f>
        <v>87.517497</v>
      </c>
      <c r="E30" s="63" t="n">
        <f aca="false">D30-C30</f>
        <v>-6.00230300000001</v>
      </c>
      <c r="F30" s="64" t="n">
        <f aca="false">IF(C30=0,"",D30/C30-1)</f>
        <v>-0.0641821624939319</v>
      </c>
      <c r="G30" s="56" t="n">
        <v>150</v>
      </c>
      <c r="H30" s="63" t="n">
        <f aca="false">INDEX('تحليل التكلفة والسعر'!$D$2:$D$700,MATCH($B30,'تحليل التكلفة والسعر'!$B$2:$B$700,0))</f>
        <v>160</v>
      </c>
      <c r="I30" s="64" t="n">
        <f aca="false">IF(OR(G30="",G30=0),"",C30/G30)</f>
        <v>0.623465333333333</v>
      </c>
      <c r="J30" s="64" t="n">
        <f aca="false">IF(OR(H30="",H30=0),"",D30/H30)</f>
        <v>0.54698435625</v>
      </c>
      <c r="K30" s="64" t="n">
        <f aca="false">IF(OR(I30="",J30=""),"",J30-I30)</f>
        <v>-0.0764809770833334</v>
      </c>
    </row>
    <row r="31" customFormat="false" ht="15" hidden="false" customHeight="true" outlineLevel="0" collapsed="false">
      <c r="A31" s="62" t="s">
        <v>19</v>
      </c>
      <c r="B31" s="62" t="s">
        <v>401</v>
      </c>
      <c r="C31" s="56" t="n">
        <v>71.2964</v>
      </c>
      <c r="D31" s="63" t="n">
        <f aca="false">INDEX('تحليل التكلفة والسعر'!$C$2:$C$700,MATCH($B31,'تحليل التكلفة والسعر'!$B$2:$B$700,0))</f>
        <v>75.5542</v>
      </c>
      <c r="E31" s="63" t="n">
        <f aca="false">D31-C31</f>
        <v>4.2578</v>
      </c>
      <c r="F31" s="64" t="n">
        <f aca="false">IF(C31=0,"",D31/C31-1)</f>
        <v>0.0597197053427663</v>
      </c>
      <c r="G31" s="56" t="n">
        <v>160</v>
      </c>
      <c r="H31" s="63" t="n">
        <f aca="false">INDEX('تحليل التكلفة والسعر'!$D$2:$D$700,MATCH($B31,'تحليل التكلفة والسعر'!$B$2:$B$700,0))</f>
        <v>170</v>
      </c>
      <c r="I31" s="64" t="n">
        <f aca="false">IF(OR(G31="",G31=0),"",C31/G31)</f>
        <v>0.4456025</v>
      </c>
      <c r="J31" s="64" t="n">
        <f aca="false">IF(OR(H31="",H31=0),"",D31/H31)</f>
        <v>0.444436470588235</v>
      </c>
      <c r="K31" s="64" t="n">
        <f aca="false">IF(OR(I31="",J31=""),"",J31-I31)</f>
        <v>-0.00116602941176469</v>
      </c>
    </row>
    <row r="32" customFormat="false" ht="15" hidden="false" customHeight="true" outlineLevel="0" collapsed="false">
      <c r="A32" s="62" t="s">
        <v>374</v>
      </c>
      <c r="B32" s="62" t="s">
        <v>402</v>
      </c>
      <c r="C32" s="56" t="n">
        <v>31.9</v>
      </c>
      <c r="D32" s="63" t="n">
        <f aca="false">INDEX('تحليل التكلفة والسعر'!$C$2:$C$700,MATCH($B32,'تحليل التكلفة والسعر'!$B$2:$B$700,0))</f>
        <v>30</v>
      </c>
      <c r="E32" s="63" t="n">
        <f aca="false">D32-C32</f>
        <v>-1.9</v>
      </c>
      <c r="F32" s="64" t="n">
        <f aca="false">IF(C32=0,"",D32/C32-1)</f>
        <v>-0.0595611285266457</v>
      </c>
      <c r="G32" s="56" t="n">
        <v>90</v>
      </c>
      <c r="H32" s="63" t="n">
        <f aca="false">INDEX('تحليل التكلفة والسعر'!$D$2:$D$700,MATCH($B32,'تحليل التكلفة والسعر'!$B$2:$B$700,0))</f>
        <v>100</v>
      </c>
      <c r="I32" s="64" t="n">
        <f aca="false">IF(OR(G32="",G32=0),"",C32/G32)</f>
        <v>0.354444444444444</v>
      </c>
      <c r="J32" s="64" t="n">
        <f aca="false">IF(OR(H32="",H32=0),"",D32/H32)</f>
        <v>0.3</v>
      </c>
      <c r="K32" s="64" t="n">
        <f aca="false">IF(OR(I32="",J32=""),"",J32-I32)</f>
        <v>-0.0544444444444445</v>
      </c>
    </row>
    <row r="33" customFormat="false" ht="15" hidden="false" customHeight="true" outlineLevel="0" collapsed="false">
      <c r="A33" s="62" t="s">
        <v>374</v>
      </c>
      <c r="B33" s="62" t="s">
        <v>403</v>
      </c>
      <c r="C33" s="56" t="n">
        <v>31.9</v>
      </c>
      <c r="D33" s="63" t="n">
        <f aca="false">INDEX('تحليل التكلفة والسعر'!$C$2:$C$700,MATCH($B33,'تحليل التكلفة والسعر'!$B$2:$B$700,0))</f>
        <v>30</v>
      </c>
      <c r="E33" s="63" t="n">
        <f aca="false">D33-C33</f>
        <v>-1.9</v>
      </c>
      <c r="F33" s="64" t="n">
        <f aca="false">IF(C33=0,"",D33/C33-1)</f>
        <v>-0.0595611285266457</v>
      </c>
      <c r="G33" s="56" t="n">
        <v>70</v>
      </c>
      <c r="H33" s="63" t="n">
        <f aca="false">INDEX('تحليل التكلفة والسعر'!$D$2:$D$700,MATCH($B33,'تحليل التكلفة والسعر'!$B$2:$B$700,0))</f>
        <v>80</v>
      </c>
      <c r="I33" s="64" t="n">
        <f aca="false">IF(OR(G33="",G33=0),"",C33/G33)</f>
        <v>0.455714285714286</v>
      </c>
      <c r="J33" s="64" t="n">
        <f aca="false">IF(OR(H33="",H33=0),"",D33/H33)</f>
        <v>0.375</v>
      </c>
      <c r="K33" s="64" t="n">
        <f aca="false">IF(OR(I33="",J33=""),"",J33-I33)</f>
        <v>-0.0807142857142857</v>
      </c>
    </row>
    <row r="34" customFormat="false" ht="15" hidden="false" customHeight="true" outlineLevel="0" collapsed="false">
      <c r="A34" s="62" t="s">
        <v>11</v>
      </c>
      <c r="B34" s="62" t="s">
        <v>404</v>
      </c>
      <c r="C34" s="56" t="n">
        <v>73.985</v>
      </c>
      <c r="D34" s="63" t="n">
        <f aca="false">INDEX('تحليل التكلفة والسعر'!$C$2:$C$700,MATCH($B34,'تحليل التكلفة والسعر'!$B$2:$B$700,0))</f>
        <v>78.417972</v>
      </c>
      <c r="E34" s="63" t="n">
        <f aca="false">D34-C34</f>
        <v>4.43297200000001</v>
      </c>
      <c r="F34" s="64" t="n">
        <f aca="false">IF(C34=0,"",D34/C34-1)</f>
        <v>0.0599171723998109</v>
      </c>
      <c r="G34" s="56" t="n">
        <v>130</v>
      </c>
      <c r="H34" s="63" t="n">
        <f aca="false">INDEX('تحليل التكلفة والسعر'!$D$2:$D$700,MATCH($B34,'تحليل التكلفة والسعر'!$B$2:$B$700,0))</f>
        <v>140</v>
      </c>
      <c r="I34" s="64" t="n">
        <f aca="false">IF(OR(G34="",G34=0),"",C34/G34)</f>
        <v>0.569115384615385</v>
      </c>
      <c r="J34" s="64" t="n">
        <f aca="false">IF(OR(H34="",H34=0),"",D34/H34)</f>
        <v>0.560128371428572</v>
      </c>
      <c r="K34" s="64" t="n">
        <f aca="false">IF(OR(I34="",J34=""),"",J34-I34)</f>
        <v>-0.00898701318681305</v>
      </c>
    </row>
    <row r="35" customFormat="false" ht="15" hidden="false" customHeight="true" outlineLevel="0" collapsed="false">
      <c r="A35" s="62" t="s">
        <v>16</v>
      </c>
      <c r="B35" s="62" t="s">
        <v>405</v>
      </c>
      <c r="C35" s="56" t="n">
        <v>65.5818</v>
      </c>
      <c r="D35" s="63" t="n">
        <f aca="false">INDEX('تحليل التكلفة والسعر'!$C$2:$C$700,MATCH($B35,'تحليل التكلفة والسعر'!$B$2:$B$700,0))</f>
        <v>68.9942</v>
      </c>
      <c r="E35" s="63" t="n">
        <f aca="false">D35-C35</f>
        <v>3.41240000000001</v>
      </c>
      <c r="F35" s="64" t="n">
        <f aca="false">IF(C35=0,"",D35/C35-1)</f>
        <v>0.0520327285923838</v>
      </c>
      <c r="G35" s="56" t="n">
        <v>145</v>
      </c>
      <c r="H35" s="63" t="n">
        <f aca="false">INDEX('تحليل التكلفة والسعر'!$D$2:$D$700,MATCH($B35,'تحليل التكلفة والسعر'!$B$2:$B$700,0))</f>
        <v>155</v>
      </c>
      <c r="I35" s="64" t="n">
        <f aca="false">IF(OR(G35="",G35=0),"",C35/G35)</f>
        <v>0.452288275862069</v>
      </c>
      <c r="J35" s="64" t="n">
        <f aca="false">IF(OR(H35="",H35=0),"",D35/H35)</f>
        <v>0.445123870967742</v>
      </c>
      <c r="K35" s="64" t="n">
        <f aca="false">IF(OR(I35="",J35=""),"",J35-I35)</f>
        <v>-0.00716440489432701</v>
      </c>
    </row>
    <row r="36" customFormat="false" ht="15" hidden="false" customHeight="true" outlineLevel="0" collapsed="false">
      <c r="A36" s="62" t="s">
        <v>16</v>
      </c>
      <c r="B36" s="62" t="s">
        <v>406</v>
      </c>
      <c r="C36" s="56" t="n">
        <v>91.03235</v>
      </c>
      <c r="D36" s="63" t="n">
        <f aca="false">INDEX('تحليل التكلفة والسعر'!$C$2:$C$700,MATCH($B36,'تحليل التكلفة والسعر'!$B$2:$B$700,0))</f>
        <v>95.7292</v>
      </c>
      <c r="E36" s="63" t="n">
        <f aca="false">D36-C36</f>
        <v>4.69685000000001</v>
      </c>
      <c r="F36" s="64" t="n">
        <f aca="false">IF(C36=0,"",D36/C36-1)</f>
        <v>0.051595394384524</v>
      </c>
      <c r="G36" s="56" t="n">
        <v>220</v>
      </c>
      <c r="H36" s="63" t="n">
        <f aca="false">INDEX('تحليل التكلفة والسعر'!$D$2:$D$700,MATCH($B36,'تحليل التكلفة والسعر'!$B$2:$B$700,0))</f>
        <v>230</v>
      </c>
      <c r="I36" s="64" t="n">
        <f aca="false">IF(OR(G36="",G36=0),"",C36/G36)</f>
        <v>0.413783409090909</v>
      </c>
      <c r="J36" s="64" t="n">
        <f aca="false">IF(OR(H36="",H36=0),"",D36/H36)</f>
        <v>0.416213913043478</v>
      </c>
      <c r="K36" s="64" t="n">
        <f aca="false">IF(OR(I36="",J36=""),"",J36-I36)</f>
        <v>0.00243050395256922</v>
      </c>
    </row>
    <row r="37" customFormat="false" ht="15" hidden="false" customHeight="true" outlineLevel="0" collapsed="false">
      <c r="A37" s="62" t="s">
        <v>374</v>
      </c>
      <c r="B37" s="62" t="s">
        <v>407</v>
      </c>
      <c r="C37" s="56" t="n">
        <v>25.82</v>
      </c>
      <c r="D37" s="63" t="n">
        <f aca="false">INDEX('تحليل التكلفة والسعر'!$C$2:$C$700,MATCH($B37,'تحليل التكلفة والسعر'!$B$2:$B$700,0))</f>
        <v>26.9708</v>
      </c>
      <c r="E37" s="63" t="n">
        <f aca="false">D37-C37</f>
        <v>1.1508</v>
      </c>
      <c r="F37" s="64" t="n">
        <f aca="false">IF(C37=0,"",D37/C37-1)</f>
        <v>0.044570100697134</v>
      </c>
      <c r="G37" s="56" t="n">
        <v>50</v>
      </c>
      <c r="H37" s="63" t="n">
        <f aca="false">INDEX('تحليل التكلفة والسعر'!$D$2:$D$700,MATCH($B37,'تحليل التكلفة والسعر'!$B$2:$B$700,0))</f>
        <v>60</v>
      </c>
      <c r="I37" s="64" t="n">
        <f aca="false">IF(OR(G37="",G37=0),"",C37/G37)</f>
        <v>0.5164</v>
      </c>
      <c r="J37" s="64" t="n">
        <f aca="false">IF(OR(H37="",H37=0),"",D37/H37)</f>
        <v>0.449513333333333</v>
      </c>
      <c r="K37" s="64" t="n">
        <f aca="false">IF(OR(I37="",J37=""),"",J37-I37)</f>
        <v>-0.0668866666666667</v>
      </c>
    </row>
    <row r="38" customFormat="false" ht="15" hidden="false" customHeight="true" outlineLevel="0" collapsed="false">
      <c r="A38" s="62" t="s">
        <v>374</v>
      </c>
      <c r="B38" s="62" t="s">
        <v>408</v>
      </c>
      <c r="C38" s="56" t="n">
        <v>33.5</v>
      </c>
      <c r="D38" s="63" t="n">
        <f aca="false">INDEX('تحليل التكلفة والسعر'!$C$2:$C$700,MATCH($B38,'تحليل التكلفة والسعر'!$B$2:$B$700,0))</f>
        <v>35</v>
      </c>
      <c r="E38" s="63" t="n">
        <f aca="false">D38-C38</f>
        <v>1.5</v>
      </c>
      <c r="F38" s="64" t="n">
        <f aca="false">IF(C38=0,"",D38/C38-1)</f>
        <v>0.044776119402985</v>
      </c>
      <c r="G38" s="56" t="n">
        <v>70</v>
      </c>
      <c r="H38" s="63" t="n">
        <f aca="false">INDEX('تحليل التكلفة والسعر'!$D$2:$D$700,MATCH($B38,'تحليل التكلفة والسعر'!$B$2:$B$700,0))</f>
        <v>80</v>
      </c>
      <c r="I38" s="64" t="n">
        <f aca="false">IF(OR(G38="",G38=0),"",C38/G38)</f>
        <v>0.478571428571429</v>
      </c>
      <c r="J38" s="64" t="n">
        <f aca="false">IF(OR(H38="",H38=0),"",D38/H38)</f>
        <v>0.4375</v>
      </c>
      <c r="K38" s="64" t="n">
        <f aca="false">IF(OR(I38="",J38=""),"",J38-I38)</f>
        <v>-0.0410714285714286</v>
      </c>
    </row>
    <row r="39" customFormat="false" ht="15" hidden="false" customHeight="true" outlineLevel="0" collapsed="false">
      <c r="A39" s="62" t="s">
        <v>374</v>
      </c>
      <c r="B39" s="62" t="s">
        <v>409</v>
      </c>
      <c r="C39" s="56" t="n">
        <v>33.5</v>
      </c>
      <c r="D39" s="63" t="n">
        <f aca="false">INDEX('تحليل التكلفة والسعر'!$C$2:$C$700,MATCH($B39,'تحليل التكلفة والسعر'!$B$2:$B$700,0))</f>
        <v>35</v>
      </c>
      <c r="E39" s="63" t="n">
        <f aca="false">D39-C39</f>
        <v>1.5</v>
      </c>
      <c r="F39" s="64" t="n">
        <f aca="false">IF(C39=0,"",D39/C39-1)</f>
        <v>0.044776119402985</v>
      </c>
      <c r="G39" s="56" t="n">
        <v>70</v>
      </c>
      <c r="H39" s="63" t="n">
        <f aca="false">INDEX('تحليل التكلفة والسعر'!$D$2:$D$700,MATCH($B39,'تحليل التكلفة والسعر'!$B$2:$B$700,0))</f>
        <v>80</v>
      </c>
      <c r="I39" s="64" t="n">
        <f aca="false">IF(OR(G39="",G39=0),"",C39/G39)</f>
        <v>0.478571428571429</v>
      </c>
      <c r="J39" s="64" t="n">
        <f aca="false">IF(OR(H39="",H39=0),"",D39/H39)</f>
        <v>0.4375</v>
      </c>
      <c r="K39" s="64" t="n">
        <f aca="false">IF(OR(I39="",J39=""),"",J39-I39)</f>
        <v>-0.0410714285714286</v>
      </c>
    </row>
    <row r="40" customFormat="false" ht="15" hidden="false" customHeight="true" outlineLevel="0" collapsed="false">
      <c r="A40" s="62" t="s">
        <v>374</v>
      </c>
      <c r="B40" s="62" t="s">
        <v>410</v>
      </c>
      <c r="C40" s="56" t="n">
        <v>50.54</v>
      </c>
      <c r="D40" s="63" t="n">
        <f aca="false">INDEX('تحليل التكلفة والسعر'!$C$2:$C$700,MATCH($B40,'تحليل التكلفة والسعر'!$B$2:$B$700,0))</f>
        <v>48.7817</v>
      </c>
      <c r="E40" s="63" t="n">
        <f aca="false">D40-C40</f>
        <v>-1.7583</v>
      </c>
      <c r="F40" s="64" t="n">
        <f aca="false">IF(C40=0,"",D40/C40-1)</f>
        <v>-0.0347902651365255</v>
      </c>
      <c r="G40" s="56" t="n">
        <v>120</v>
      </c>
      <c r="H40" s="63" t="n">
        <f aca="false">INDEX('تحليل التكلفة والسعر'!$D$2:$D$700,MATCH($B40,'تحليل التكلفة والسعر'!$B$2:$B$700,0))</f>
        <v>130</v>
      </c>
      <c r="I40" s="64" t="n">
        <f aca="false">IF(OR(G40="",G40=0),"",C40/G40)</f>
        <v>0.421166666666667</v>
      </c>
      <c r="J40" s="64" t="n">
        <f aca="false">IF(OR(H40="",H40=0),"",D40/H40)</f>
        <v>0.375243846153846</v>
      </c>
      <c r="K40" s="64" t="n">
        <f aca="false">IF(OR(I40="",J40=""),"",J40-I40)</f>
        <v>-0.0459228205128205</v>
      </c>
    </row>
    <row r="41" customFormat="false" ht="15" hidden="false" customHeight="true" outlineLevel="0" collapsed="false">
      <c r="A41" s="62" t="s">
        <v>374</v>
      </c>
      <c r="B41" s="62" t="s">
        <v>411</v>
      </c>
      <c r="C41" s="56" t="n">
        <v>50.54</v>
      </c>
      <c r="D41" s="63" t="n">
        <f aca="false">INDEX('تحليل التكلفة والسعر'!$C$2:$C$700,MATCH($B41,'تحليل التكلفة والسعر'!$B$2:$B$700,0))</f>
        <v>48.7817</v>
      </c>
      <c r="E41" s="63" t="n">
        <f aca="false">D41-C41</f>
        <v>-1.7583</v>
      </c>
      <c r="F41" s="64" t="n">
        <f aca="false">IF(C41=0,"",D41/C41-1)</f>
        <v>-0.0347902651365255</v>
      </c>
      <c r="G41" s="56" t="n">
        <v>120</v>
      </c>
      <c r="H41" s="63" t="n">
        <f aca="false">INDEX('تحليل التكلفة والسعر'!$D$2:$D$700,MATCH($B41,'تحليل التكلفة والسعر'!$B$2:$B$700,0))</f>
        <v>130</v>
      </c>
      <c r="I41" s="64" t="n">
        <f aca="false">IF(OR(G41="",G41=0),"",C41/G41)</f>
        <v>0.421166666666667</v>
      </c>
      <c r="J41" s="64" t="n">
        <f aca="false">IF(OR(H41="",H41=0),"",D41/H41)</f>
        <v>0.375243846153846</v>
      </c>
      <c r="K41" s="64" t="n">
        <f aca="false">IF(OR(I41="",J41=""),"",J41-I41)</f>
        <v>-0.0459228205128205</v>
      </c>
    </row>
    <row r="42" customFormat="false" ht="15" hidden="false" customHeight="true" outlineLevel="0" collapsed="false">
      <c r="A42" s="62" t="s">
        <v>9</v>
      </c>
      <c r="B42" s="62" t="s">
        <v>412</v>
      </c>
      <c r="C42" s="56" t="n">
        <v>51.84215</v>
      </c>
      <c r="D42" s="63" t="n">
        <f aca="false">INDEX('تحليل التكلفة والسعر'!$C$2:$C$700,MATCH($B42,'تحليل التكلفة والسعر'!$B$2:$B$700,0))</f>
        <v>50.291</v>
      </c>
      <c r="E42" s="63" t="n">
        <f aca="false">D42-C42</f>
        <v>-1.55114999999999</v>
      </c>
      <c r="F42" s="64" t="n">
        <f aca="false">IF(C42=0,"",D42/C42-1)</f>
        <v>-0.0299206340786405</v>
      </c>
      <c r="G42" s="56" t="n">
        <v>110</v>
      </c>
      <c r="H42" s="63" t="n">
        <f aca="false">INDEX('تحليل التكلفة والسعر'!$D$2:$D$700,MATCH($B42,'تحليل التكلفة والسعر'!$B$2:$B$700,0))</f>
        <v>120</v>
      </c>
      <c r="I42" s="64" t="n">
        <f aca="false">IF(OR(G42="",G42=0),"",C42/G42)</f>
        <v>0.471292272727273</v>
      </c>
      <c r="J42" s="64" t="n">
        <f aca="false">IF(OR(H42="",H42=0),"",D42/H42)</f>
        <v>0.419091666666667</v>
      </c>
      <c r="K42" s="64" t="n">
        <f aca="false">IF(OR(I42="",J42=""),"",J42-I42)</f>
        <v>-0.052200606060606</v>
      </c>
    </row>
    <row r="43" customFormat="false" ht="15" hidden="false" customHeight="true" outlineLevel="0" collapsed="false">
      <c r="A43" s="62" t="s">
        <v>17</v>
      </c>
      <c r="B43" s="62" t="s">
        <v>413</v>
      </c>
      <c r="C43" s="56" t="n">
        <v>64.083</v>
      </c>
      <c r="D43" s="63" t="n">
        <f aca="false">INDEX('تحليل التكلفة والسعر'!$C$2:$C$700,MATCH($B43,'تحليل التكلفة والسعر'!$B$2:$B$700,0))</f>
        <v>66.8742</v>
      </c>
      <c r="E43" s="63" t="n">
        <f aca="false">D43-C43</f>
        <v>2.7912</v>
      </c>
      <c r="F43" s="64" t="n">
        <f aca="false">IF(C43=0,"",D43/C43-1)</f>
        <v>0.0435560132952577</v>
      </c>
      <c r="G43" s="56" t="n">
        <v>145</v>
      </c>
      <c r="H43" s="63" t="n">
        <f aca="false">INDEX('تحليل التكلفة والسعر'!$D$2:$D$700,MATCH($B43,'تحليل التكلفة والسعر'!$B$2:$B$700,0))</f>
        <v>155</v>
      </c>
      <c r="I43" s="64" t="n">
        <f aca="false">IF(OR(G43="",G43=0),"",C43/G43)</f>
        <v>0.441951724137931</v>
      </c>
      <c r="J43" s="64" t="n">
        <f aca="false">IF(OR(H43="",H43=0),"",D43/H43)</f>
        <v>0.431446451612903</v>
      </c>
      <c r="K43" s="64" t="n">
        <f aca="false">IF(OR(I43="",J43=""),"",J43-I43)</f>
        <v>-0.0105052725250278</v>
      </c>
    </row>
    <row r="44" customFormat="false" ht="15" hidden="false" customHeight="true" outlineLevel="0" collapsed="false">
      <c r="A44" s="62" t="s">
        <v>17</v>
      </c>
      <c r="B44" s="62" t="s">
        <v>414</v>
      </c>
      <c r="C44" s="56" t="n">
        <v>89.35415</v>
      </c>
      <c r="D44" s="63" t="n">
        <f aca="false">INDEX('تحليل التكلفة والسعر'!$C$2:$C$700,MATCH($B44,'تحليل التكلفة والسعر'!$B$2:$B$700,0))</f>
        <v>93.2092</v>
      </c>
      <c r="E44" s="63" t="n">
        <f aca="false">D44-C44</f>
        <v>3.85504999999999</v>
      </c>
      <c r="F44" s="64" t="n">
        <f aca="false">IF(C44=0,"",D44/C44-1)</f>
        <v>0.0431434913767295</v>
      </c>
      <c r="G44" s="56" t="n">
        <v>220</v>
      </c>
      <c r="H44" s="63" t="n">
        <f aca="false">INDEX('تحليل التكلفة والسعر'!$D$2:$D$700,MATCH($B44,'تحليل التكلفة والسعر'!$B$2:$B$700,0))</f>
        <v>230</v>
      </c>
      <c r="I44" s="64" t="n">
        <f aca="false">IF(OR(G44="",G44=0),"",C44/G44)</f>
        <v>0.406155227272727</v>
      </c>
      <c r="J44" s="64" t="n">
        <f aca="false">IF(OR(H44="",H44=0),"",D44/H44)</f>
        <v>0.405257391304348</v>
      </c>
      <c r="K44" s="64" t="n">
        <f aca="false">IF(OR(I44="",J44=""),"",J44-I44)</f>
        <v>-0.000897835968379501</v>
      </c>
    </row>
    <row r="45" customFormat="false" ht="15" hidden="false" customHeight="true" outlineLevel="0" collapsed="false">
      <c r="A45" s="62" t="s">
        <v>21</v>
      </c>
      <c r="B45" s="62" t="s">
        <v>415</v>
      </c>
      <c r="C45" s="56" t="n">
        <v>58.4734</v>
      </c>
      <c r="D45" s="63" t="n">
        <f aca="false">INDEX('تحليل التكلفة والسعر'!$C$2:$C$700,MATCH($B45,'تحليل التكلفة والسعر'!$B$2:$B$700,0))</f>
        <v>60.9907720833333</v>
      </c>
      <c r="E45" s="63" t="n">
        <f aca="false">D45-C45</f>
        <v>2.51737208333334</v>
      </c>
      <c r="F45" s="64" t="n">
        <f aca="false">IF(C45=0,"",D45/C45-1)</f>
        <v>0.0430515770133657</v>
      </c>
      <c r="G45" s="56" t="n">
        <v>115</v>
      </c>
      <c r="H45" s="63" t="n">
        <f aca="false">INDEX('تحليل التكلفة والسعر'!$D$2:$D$700,MATCH($B45,'تحليل التكلفة والسعر'!$B$2:$B$700,0))</f>
        <v>125</v>
      </c>
      <c r="I45" s="64" t="n">
        <f aca="false">IF(OR(G45="",G45=0),"",C45/G45)</f>
        <v>0.508464347826087</v>
      </c>
      <c r="J45" s="64" t="n">
        <f aca="false">IF(OR(H45="",H45=0),"",D45/H45)</f>
        <v>0.487926176666667</v>
      </c>
      <c r="K45" s="64" t="n">
        <f aca="false">IF(OR(I45="",J45=""),"",J45-I45)</f>
        <v>-0.0205381711594203</v>
      </c>
    </row>
    <row r="46" customFormat="false" ht="15" hidden="false" customHeight="true" outlineLevel="0" collapsed="false">
      <c r="A46" s="62" t="s">
        <v>20</v>
      </c>
      <c r="B46" s="62" t="s">
        <v>416</v>
      </c>
      <c r="C46" s="56" t="n">
        <v>67.2727</v>
      </c>
      <c r="D46" s="63" t="n">
        <f aca="false">INDEX('تحليل التكلفة والسعر'!$C$2:$C$700,MATCH($B46,'تحليل التكلفة والسعر'!$B$2:$B$700,0))</f>
        <v>70.1077</v>
      </c>
      <c r="E46" s="63" t="n">
        <f aca="false">D46-C46</f>
        <v>2.83500000000001</v>
      </c>
      <c r="F46" s="64" t="n">
        <f aca="false">IF(C46=0,"",D46/C46-1)</f>
        <v>0.0421419089764497</v>
      </c>
      <c r="G46" s="56" t="n">
        <v>150</v>
      </c>
      <c r="H46" s="63" t="n">
        <f aca="false">INDEX('تحليل التكلفة والسعر'!$D$2:$D$700,MATCH($B46,'تحليل التكلفة والسعر'!$B$2:$B$700,0))</f>
        <v>160</v>
      </c>
      <c r="I46" s="64" t="n">
        <f aca="false">IF(OR(G46="",G46=0),"",C46/G46)</f>
        <v>0.448484666666667</v>
      </c>
      <c r="J46" s="64" t="n">
        <f aca="false">IF(OR(H46="",H46=0),"",D46/H46)</f>
        <v>0.438173125</v>
      </c>
      <c r="K46" s="64" t="n">
        <f aca="false">IF(OR(I46="",J46=""),"",J46-I46)</f>
        <v>-0.0103115416666666</v>
      </c>
    </row>
    <row r="47" customFormat="false" ht="15" hidden="false" customHeight="true" outlineLevel="0" collapsed="false">
      <c r="A47" s="62" t="s">
        <v>18</v>
      </c>
      <c r="B47" s="62" t="s">
        <v>417</v>
      </c>
      <c r="C47" s="56" t="n">
        <v>14.34</v>
      </c>
      <c r="D47" s="63" t="n">
        <f aca="false">INDEX('تحليل التكلفة والسعر'!$C$2:$C$700,MATCH($B47,'تحليل التكلفة والسعر'!$B$2:$B$700,0))</f>
        <v>15.012965</v>
      </c>
      <c r="E47" s="63" t="n">
        <f aca="false">D47-C47</f>
        <v>0.672965</v>
      </c>
      <c r="F47" s="64" t="n">
        <f aca="false">IF(C47=0,"",D47/C47-1)</f>
        <v>0.0469292189679218</v>
      </c>
      <c r="G47" s="56" t="n">
        <v>40</v>
      </c>
      <c r="H47" s="63" t="n">
        <f aca="false">INDEX('تحليل التكلفة والسعر'!$D$2:$D$700,MATCH($B47,'تحليل التكلفة والسعر'!$B$2:$B$700,0))</f>
        <v>50</v>
      </c>
      <c r="I47" s="64" t="n">
        <f aca="false">IF(OR(G47="",G47=0),"",C47/G47)</f>
        <v>0.3585</v>
      </c>
      <c r="J47" s="64" t="n">
        <f aca="false">IF(OR(H47="",H47=0),"",D47/H47)</f>
        <v>0.3002593</v>
      </c>
      <c r="K47" s="64" t="n">
        <f aca="false">IF(OR(I47="",J47=""),"",J47-I47)</f>
        <v>-0.0582407</v>
      </c>
    </row>
    <row r="48" customFormat="false" ht="15" hidden="false" customHeight="true" outlineLevel="0" collapsed="false">
      <c r="A48" s="62" t="s">
        <v>9</v>
      </c>
      <c r="B48" s="62" t="s">
        <v>418</v>
      </c>
      <c r="C48" s="56" t="n">
        <v>112.69465</v>
      </c>
      <c r="D48" s="63" t="n">
        <f aca="false">INDEX('تحليل التكلفة والسعر'!$C$2:$C$700,MATCH($B48,'تحليل التكلفة والسعر'!$B$2:$B$700,0))</f>
        <v>109.5727</v>
      </c>
      <c r="E48" s="63" t="n">
        <f aca="false">D48-C48</f>
        <v>-3.12195</v>
      </c>
      <c r="F48" s="64" t="n">
        <f aca="false">IF(C48=0,"",D48/C48-1)</f>
        <v>-0.0277027347793352</v>
      </c>
      <c r="G48" s="56" t="n">
        <v>220</v>
      </c>
      <c r="H48" s="63" t="n">
        <f aca="false">INDEX('تحليل التكلفة والسعر'!$D$2:$D$700,MATCH($B48,'تحليل التكلفة والسعر'!$B$2:$B$700,0))</f>
        <v>230</v>
      </c>
      <c r="I48" s="64" t="n">
        <f aca="false">IF(OR(G48="",G48=0),"",C48/G48)</f>
        <v>0.512248409090909</v>
      </c>
      <c r="J48" s="64" t="n">
        <f aca="false">IF(OR(H48="",H48=0),"",D48/H48)</f>
        <v>0.476403043478261</v>
      </c>
      <c r="K48" s="64" t="n">
        <f aca="false">IF(OR(I48="",J48=""),"",J48-I48)</f>
        <v>-0.0358453656126482</v>
      </c>
    </row>
    <row r="49" customFormat="false" ht="15" hidden="false" customHeight="true" outlineLevel="0" collapsed="false">
      <c r="A49" s="62" t="s">
        <v>9</v>
      </c>
      <c r="B49" s="62" t="s">
        <v>419</v>
      </c>
      <c r="C49" s="56" t="n">
        <v>118.13215</v>
      </c>
      <c r="D49" s="63" t="n">
        <f aca="false">INDEX('تحليل التكلفة والسعر'!$C$2:$C$700,MATCH($B49,'تحليل التكلفة والسعر'!$B$2:$B$700,0))</f>
        <v>114.8227</v>
      </c>
      <c r="E49" s="63" t="n">
        <f aca="false">D49-C49</f>
        <v>-3.30945</v>
      </c>
      <c r="F49" s="64" t="n">
        <f aca="false">IF(C49=0,"",D49/C49-1)</f>
        <v>-0.0280148122251225</v>
      </c>
      <c r="G49" s="56" t="n">
        <v>220</v>
      </c>
      <c r="H49" s="63" t="n">
        <f aca="false">INDEX('تحليل التكلفة والسعر'!$D$2:$D$700,MATCH($B49,'تحليل التكلفة والسعر'!$B$2:$B$700,0))</f>
        <v>230</v>
      </c>
      <c r="I49" s="64" t="n">
        <f aca="false">IF(OR(G49="",G49=0),"",C49/G49)</f>
        <v>0.536964318181818</v>
      </c>
      <c r="J49" s="64" t="n">
        <f aca="false">IF(OR(H49="",H49=0),"",D49/H49)</f>
        <v>0.499229130434783</v>
      </c>
      <c r="K49" s="64" t="n">
        <f aca="false">IF(OR(I49="",J49=""),"",J49-I49)</f>
        <v>-0.0377351877470355</v>
      </c>
    </row>
    <row r="50" customFormat="false" ht="15" hidden="false" customHeight="true" outlineLevel="0" collapsed="false">
      <c r="A50" s="62" t="s">
        <v>9</v>
      </c>
      <c r="B50" s="62" t="s">
        <v>420</v>
      </c>
      <c r="C50" s="56" t="n">
        <v>98.33215</v>
      </c>
      <c r="D50" s="63" t="n">
        <f aca="false">INDEX('تحليل التكلفة والسعر'!$C$2:$C$700,MATCH($B50,'تحليل التكلفة والسعر'!$B$2:$B$700,0))</f>
        <v>95.291</v>
      </c>
      <c r="E50" s="63" t="n">
        <f aca="false">D50-C50</f>
        <v>-3.04115</v>
      </c>
      <c r="F50" s="64" t="n">
        <f aca="false">IF(C50=0,"",D50/C50-1)</f>
        <v>-0.0309273213287821</v>
      </c>
      <c r="G50" s="56" t="n">
        <v>180</v>
      </c>
      <c r="H50" s="63" t="n">
        <f aca="false">INDEX('تحليل التكلفة والسعر'!$D$2:$D$700,MATCH($B50,'تحليل التكلفة والسعر'!$B$2:$B$700,0))</f>
        <v>190</v>
      </c>
      <c r="I50" s="64" t="n">
        <f aca="false">IF(OR(G50="",G50=0),"",C50/G50)</f>
        <v>0.546289722222222</v>
      </c>
      <c r="J50" s="64" t="n">
        <f aca="false">IF(OR(H50="",H50=0),"",D50/H50)</f>
        <v>0.501531578947368</v>
      </c>
      <c r="K50" s="64" t="n">
        <f aca="false">IF(OR(I50="",J50=""),"",J50-I50)</f>
        <v>-0.0447581432748537</v>
      </c>
    </row>
    <row r="51" customFormat="false" ht="15" hidden="false" customHeight="true" outlineLevel="0" collapsed="false">
      <c r="A51" s="62" t="s">
        <v>10</v>
      </c>
      <c r="B51" s="62" t="s">
        <v>421</v>
      </c>
      <c r="C51" s="56" t="n">
        <v>89.16395</v>
      </c>
      <c r="D51" s="63" t="n">
        <f aca="false">INDEX('تحليل التكلفة والسعر'!$C$2:$C$700,MATCH($B51,'تحليل التكلفة والسعر'!$B$2:$B$700,0))</f>
        <v>92.2982</v>
      </c>
      <c r="E51" s="63" t="n">
        <f aca="false">D51-C51</f>
        <v>3.13424999999999</v>
      </c>
      <c r="F51" s="64" t="n">
        <f aca="false">IF(C51=0,"",D51/C51-1)</f>
        <v>0.0351515382618199</v>
      </c>
      <c r="G51" s="56" t="n">
        <v>190</v>
      </c>
      <c r="H51" s="63" t="n">
        <f aca="false">INDEX('تحليل التكلفة والسعر'!$D$2:$D$700,MATCH($B51,'تحليل التكلفة والسعر'!$B$2:$B$700,0))</f>
        <v>200</v>
      </c>
      <c r="I51" s="64" t="n">
        <f aca="false">IF(OR(G51="",G51=0),"",C51/G51)</f>
        <v>0.469283947368421</v>
      </c>
      <c r="J51" s="64" t="n">
        <f aca="false">IF(OR(H51="",H51=0),"",D51/H51)</f>
        <v>0.461491</v>
      </c>
      <c r="K51" s="64" t="n">
        <f aca="false">IF(OR(I51="",J51=""),"",J51-I51)</f>
        <v>-0.00779294736842107</v>
      </c>
    </row>
    <row r="52" customFormat="false" ht="15" hidden="false" customHeight="true" outlineLevel="0" collapsed="false">
      <c r="A52" s="62" t="s">
        <v>11</v>
      </c>
      <c r="B52" s="62" t="s">
        <v>422</v>
      </c>
      <c r="C52" s="56" t="n">
        <v>158.585</v>
      </c>
      <c r="D52" s="63" t="n">
        <f aca="false">INDEX('تحليل التكلفة والسعر'!$C$2:$C$700,MATCH($B52,'تحليل التكلفة والسعر'!$B$2:$B$700,0))</f>
        <v>164.585002</v>
      </c>
      <c r="E52" s="63" t="n">
        <f aca="false">D52-C52</f>
        <v>6.000002</v>
      </c>
      <c r="F52" s="64" t="n">
        <f aca="false">IF(C52=0,"",D52/C52-1)</f>
        <v>0.0378346123529967</v>
      </c>
      <c r="G52" s="56" t="n">
        <v>250</v>
      </c>
      <c r="H52" s="63" t="n">
        <f aca="false">INDEX('تحليل التكلفة والسعر'!$D$2:$D$700,MATCH($B52,'تحليل التكلفة والسعر'!$B$2:$B$700,0))</f>
        <v>260</v>
      </c>
      <c r="I52" s="64" t="n">
        <f aca="false">IF(OR(G52="",G52=0),"",C52/G52)</f>
        <v>0.63434</v>
      </c>
      <c r="J52" s="64" t="n">
        <f aca="false">IF(OR(H52="",H52=0),"",D52/H52)</f>
        <v>0.633019238461539</v>
      </c>
      <c r="K52" s="64" t="n">
        <f aca="false">IF(OR(I52="",J52=""),"",J52-I52)</f>
        <v>-0.0013207615384615</v>
      </c>
    </row>
    <row r="53" customFormat="false" ht="15" hidden="false" customHeight="true" outlineLevel="0" collapsed="false">
      <c r="A53" s="62" t="s">
        <v>385</v>
      </c>
      <c r="B53" s="62" t="s">
        <v>202</v>
      </c>
      <c r="C53" s="56" t="n">
        <v>15</v>
      </c>
      <c r="D53" s="63" t="n">
        <f aca="false">INDEX('تحليل التكلفة والسعر'!$C$2:$C$700,MATCH($B53,'تحليل التكلفة والسعر'!$B$2:$B$700,0))</f>
        <v>17.1875</v>
      </c>
      <c r="E53" s="63" t="n">
        <f aca="false">D53-C53</f>
        <v>2.1875</v>
      </c>
      <c r="F53" s="64" t="n">
        <f aca="false">IF(C53=0,"",D53/C53-1)</f>
        <v>0.145833333333333</v>
      </c>
      <c r="G53" s="56" t="n">
        <v>20</v>
      </c>
      <c r="H53" s="63" t="n">
        <f aca="false">INDEX('تحليل التكلفة والسعر'!$D$2:$D$700,MATCH($B53,'تحليل التكلفة والسعر'!$B$2:$B$700,0))</f>
        <v>30</v>
      </c>
      <c r="I53" s="64" t="n">
        <f aca="false">IF(OR(G53="",G53=0),"",C53/G53)</f>
        <v>0.75</v>
      </c>
      <c r="J53" s="64" t="n">
        <f aca="false">IF(OR(H53="",H53=0),"",D53/H53)</f>
        <v>0.572916666666667</v>
      </c>
      <c r="K53" s="64" t="n">
        <f aca="false">IF(OR(I53="",J53=""),"",J53-I53)</f>
        <v>-0.177083333333333</v>
      </c>
    </row>
    <row r="54" customFormat="false" ht="15" hidden="false" customHeight="true" outlineLevel="0" collapsed="false">
      <c r="A54" s="62" t="s">
        <v>374</v>
      </c>
      <c r="B54" s="62" t="s">
        <v>423</v>
      </c>
      <c r="C54" s="56" t="n">
        <v>13.5</v>
      </c>
      <c r="D54" s="63" t="n">
        <f aca="false">INDEX('تحليل التكلفة والسعر'!$C$2:$C$700,MATCH($B54,'تحليل التكلفة والسعر'!$B$2:$B$700,0))</f>
        <v>14</v>
      </c>
      <c r="E54" s="63" t="n">
        <f aca="false">D54-C54</f>
        <v>0.5</v>
      </c>
      <c r="F54" s="64" t="n">
        <f aca="false">IF(C54=0,"",D54/C54-1)</f>
        <v>0.037037037037037</v>
      </c>
      <c r="G54" s="56" t="n">
        <v>23.93</v>
      </c>
      <c r="H54" s="63" t="n">
        <f aca="false">INDEX('تحليل التكلفة والسعر'!$D$2:$D$700,MATCH($B54,'تحليل التكلفة والسعر'!$B$2:$B$700,0))</f>
        <v>33.93</v>
      </c>
      <c r="I54" s="64" t="n">
        <f aca="false">IF(OR(G54="",G54=0),"",C54/G54)</f>
        <v>0.564145424153782</v>
      </c>
      <c r="J54" s="64" t="n">
        <f aca="false">IF(OR(H54="",H54=0),"",D54/H54)</f>
        <v>0.412614205717654</v>
      </c>
      <c r="K54" s="64" t="n">
        <f aca="false">IF(OR(I54="",J54=""),"",J54-I54)</f>
        <v>-0.151531218436128</v>
      </c>
    </row>
    <row r="55" customFormat="false" ht="15" hidden="false" customHeight="true" outlineLevel="0" collapsed="false">
      <c r="A55" s="62" t="s">
        <v>374</v>
      </c>
      <c r="B55" s="62" t="s">
        <v>424</v>
      </c>
      <c r="C55" s="56" t="n">
        <v>20.25</v>
      </c>
      <c r="D55" s="63" t="n">
        <f aca="false">INDEX('تحليل التكلفة والسعر'!$C$2:$C$700,MATCH($B55,'تحليل التكلفة والسعر'!$B$2:$B$700,0))</f>
        <v>21</v>
      </c>
      <c r="E55" s="63" t="n">
        <f aca="false">D55-C55</f>
        <v>0.75</v>
      </c>
      <c r="F55" s="64" t="n">
        <f aca="false">IF(C55=0,"",D55/C55-1)</f>
        <v>0.037037037037037</v>
      </c>
      <c r="G55" s="56" t="n">
        <v>38.57</v>
      </c>
      <c r="H55" s="63" t="n">
        <f aca="false">INDEX('تحليل التكلفة والسعر'!$D$2:$D$700,MATCH($B55,'تحليل التكلفة والسعر'!$B$2:$B$700,0))</f>
        <v>48.57</v>
      </c>
      <c r="I55" s="64" t="n">
        <f aca="false">IF(OR(G55="",G55=0),"",C55/G55)</f>
        <v>0.525019445164636</v>
      </c>
      <c r="J55" s="64" t="n">
        <f aca="false">IF(OR(H55="",H55=0),"",D55/H55)</f>
        <v>0.432365657813465</v>
      </c>
      <c r="K55" s="64" t="n">
        <f aca="false">IF(OR(I55="",J55=""),"",J55-I55)</f>
        <v>-0.0926537873511706</v>
      </c>
    </row>
    <row r="56" customFormat="false" ht="15" hidden="false" customHeight="true" outlineLevel="0" collapsed="false">
      <c r="A56" s="62" t="s">
        <v>14</v>
      </c>
      <c r="B56" s="62" t="s">
        <v>425</v>
      </c>
      <c r="C56" s="56" t="n">
        <v>4.79166666666667</v>
      </c>
      <c r="D56" s="63" t="n">
        <f aca="false">INDEX('تحليل التكلفة والسعر'!$C$2:$C$700,MATCH($B56,'تحليل التكلفة والسعر'!$B$2:$B$700,0))</f>
        <v>5.01306208333333</v>
      </c>
      <c r="E56" s="63" t="n">
        <f aca="false">D56-C56</f>
        <v>0.221395416666663</v>
      </c>
      <c r="F56" s="64" t="n">
        <f aca="false">IF(C56=0,"",D56/C56-1)</f>
        <v>0.0462042608695645</v>
      </c>
      <c r="G56" s="56" t="n">
        <v>5</v>
      </c>
      <c r="H56" s="63" t="n">
        <f aca="false">INDEX('تحليل التكلفة والسعر'!$D$2:$D$700,MATCH($B56,'تحليل التكلفة والسعر'!$B$2:$B$700,0))</f>
        <v>5</v>
      </c>
      <c r="I56" s="64" t="n">
        <f aca="false">IF(OR(G56="",G56=0),"",C56/G56)</f>
        <v>0.958333333333334</v>
      </c>
      <c r="J56" s="64" t="n">
        <f aca="false">IF(OR(H56="",H56=0),"",D56/H56)</f>
        <v>1.00261241666667</v>
      </c>
      <c r="K56" s="64" t="n">
        <f aca="false">IF(OR(I56="",J56=""),"",J56-I56)</f>
        <v>0.0442790833333326</v>
      </c>
    </row>
    <row r="57" customFormat="false" ht="15" hidden="false" customHeight="true" outlineLevel="0" collapsed="false">
      <c r="A57" s="62" t="s">
        <v>11</v>
      </c>
      <c r="B57" s="62" t="s">
        <v>426</v>
      </c>
      <c r="C57" s="56" t="n">
        <v>70.9634</v>
      </c>
      <c r="D57" s="63" t="n">
        <f aca="false">INDEX('تحليل التكلفة والسعر'!$C$2:$C$700,MATCH($B57,'تحليل التكلفة والسعر'!$B$2:$B$700,0))</f>
        <v>73.419722</v>
      </c>
      <c r="E57" s="63" t="n">
        <f aca="false">D57-C57</f>
        <v>2.456322</v>
      </c>
      <c r="F57" s="64" t="n">
        <f aca="false">IF(C57=0,"",D57/C57-1)</f>
        <v>0.0346139277430337</v>
      </c>
      <c r="G57" s="56" t="n">
        <v>150</v>
      </c>
      <c r="H57" s="63" t="n">
        <f aca="false">INDEX('تحليل التكلفة والسعر'!$D$2:$D$700,MATCH($B57,'تحليل التكلفة والسعر'!$B$2:$B$700,0))</f>
        <v>160</v>
      </c>
      <c r="I57" s="64" t="n">
        <f aca="false">IF(OR(G57="",G57=0),"",C57/G57)</f>
        <v>0.473089333333333</v>
      </c>
      <c r="J57" s="64" t="n">
        <f aca="false">IF(OR(H57="",H57=0),"",D57/H57)</f>
        <v>0.4588732625</v>
      </c>
      <c r="K57" s="64" t="n">
        <f aca="false">IF(OR(I57="",J57=""),"",J57-I57)</f>
        <v>-0.0142160708333334</v>
      </c>
    </row>
    <row r="58" customFormat="false" ht="15" hidden="false" customHeight="true" outlineLevel="0" collapsed="false">
      <c r="A58" s="62" t="s">
        <v>374</v>
      </c>
      <c r="B58" s="62" t="s">
        <v>427</v>
      </c>
      <c r="C58" s="56" t="n">
        <v>35</v>
      </c>
      <c r="D58" s="63" t="n">
        <f aca="false">INDEX('تحليل التكلفة والسعر'!$C$2:$C$700,MATCH($B58,'تحليل التكلفة والسعر'!$B$2:$B$700,0))</f>
        <v>33.982</v>
      </c>
      <c r="E58" s="63" t="n">
        <f aca="false">D58-C58</f>
        <v>-1.018</v>
      </c>
      <c r="F58" s="64" t="n">
        <f aca="false">IF(C58=0,"",D58/C58-1)</f>
        <v>-0.0290857142857143</v>
      </c>
      <c r="G58" s="56" t="n">
        <v>70</v>
      </c>
      <c r="H58" s="63" t="n">
        <f aca="false">INDEX('تحليل التكلفة والسعر'!$D$2:$D$700,MATCH($B58,'تحليل التكلفة والسعر'!$B$2:$B$700,0))</f>
        <v>80</v>
      </c>
      <c r="I58" s="64" t="n">
        <f aca="false">IF(OR(G58="",G58=0),"",C58/G58)</f>
        <v>0.5</v>
      </c>
      <c r="J58" s="64" t="n">
        <f aca="false">IF(OR(H58="",H58=0),"",D58/H58)</f>
        <v>0.424775</v>
      </c>
      <c r="K58" s="64" t="n">
        <f aca="false">IF(OR(I58="",J58=""),"",J58-I58)</f>
        <v>-0.075225</v>
      </c>
    </row>
    <row r="59" customFormat="false" ht="15" hidden="false" customHeight="true" outlineLevel="0" collapsed="false">
      <c r="A59" s="62" t="s">
        <v>14</v>
      </c>
      <c r="B59" s="62" t="s">
        <v>428</v>
      </c>
      <c r="C59" s="56" t="n">
        <v>65.9650666666667</v>
      </c>
      <c r="D59" s="63" t="n">
        <f aca="false">INDEX('تحليل التكلفة والسعر'!$C$2:$C$700,MATCH($B59,'تحليل التكلفة والسعر'!$B$2:$B$700,0))</f>
        <v>63.6796620833333</v>
      </c>
      <c r="E59" s="63" t="n">
        <f aca="false">D59-C59</f>
        <v>-2.28540458333337</v>
      </c>
      <c r="F59" s="64" t="n">
        <f aca="false">IF(C59=0,"",D59/C59-1)</f>
        <v>-0.0346456798851114</v>
      </c>
      <c r="G59" s="56" t="n">
        <v>115</v>
      </c>
      <c r="H59" s="63" t="n">
        <f aca="false">INDEX('تحليل التكلفة والسعر'!$D$2:$D$700,MATCH($B59,'تحليل التكلفة والسعر'!$B$2:$B$700,0))</f>
        <v>125</v>
      </c>
      <c r="I59" s="64" t="n">
        <f aca="false">IF(OR(G59="",G59=0),"",C59/G59)</f>
        <v>0.573609275362319</v>
      </c>
      <c r="J59" s="64" t="n">
        <f aca="false">IF(OR(H59="",H59=0),"",D59/H59)</f>
        <v>0.509437296666667</v>
      </c>
      <c r="K59" s="64" t="n">
        <f aca="false">IF(OR(I59="",J59=""),"",J59-I59)</f>
        <v>-0.0641719786956524</v>
      </c>
    </row>
    <row r="60" customFormat="false" ht="15" hidden="false" customHeight="true" outlineLevel="0" collapsed="false">
      <c r="A60" s="62" t="s">
        <v>11</v>
      </c>
      <c r="B60" s="62" t="s">
        <v>429</v>
      </c>
      <c r="C60" s="56" t="n">
        <v>18.54</v>
      </c>
      <c r="D60" s="63" t="n">
        <f aca="false">INDEX('تحليل التكلفة والسعر'!$C$2:$C$700,MATCH($B60,'تحليل التكلفة والسعر'!$B$2:$B$700,0))</f>
        <v>19.352972</v>
      </c>
      <c r="E60" s="63" t="n">
        <f aca="false">D60-C60</f>
        <v>0.812972000000002</v>
      </c>
      <c r="F60" s="64" t="n">
        <f aca="false">IF(C60=0,"",D60/C60-1)</f>
        <v>0.0438496224379721</v>
      </c>
      <c r="G60" s="56" t="n">
        <v>40</v>
      </c>
      <c r="H60" s="63" t="n">
        <f aca="false">INDEX('تحليل التكلفة والسعر'!$D$2:$D$700,MATCH($B60,'تحليل التكلفة والسعر'!$B$2:$B$700,0))</f>
        <v>50</v>
      </c>
      <c r="I60" s="64" t="n">
        <f aca="false">IF(OR(G60="",G60=0),"",C60/G60)</f>
        <v>0.4635</v>
      </c>
      <c r="J60" s="64" t="n">
        <f aca="false">IF(OR(H60="",H60=0),"",D60/H60)</f>
        <v>0.38705944</v>
      </c>
      <c r="K60" s="64" t="n">
        <f aca="false">IF(OR(I60="",J60=""),"",J60-I60)</f>
        <v>-0.0764405599999999</v>
      </c>
    </row>
    <row r="61" customFormat="false" ht="15" hidden="false" customHeight="true" outlineLevel="0" collapsed="false">
      <c r="A61" s="62" t="s">
        <v>14</v>
      </c>
      <c r="B61" s="62" t="s">
        <v>430</v>
      </c>
      <c r="C61" s="56" t="n">
        <v>61.9373666666667</v>
      </c>
      <c r="D61" s="63" t="n">
        <f aca="false">INDEX('تحليل التكلفة والسعر'!$C$2:$C$700,MATCH($B61,'تحليل التكلفة والسعر'!$B$2:$B$700,0))</f>
        <v>60.0929620833333</v>
      </c>
      <c r="E61" s="63" t="n">
        <f aca="false">D61-C61</f>
        <v>-1.84440458333336</v>
      </c>
      <c r="F61" s="64" t="n">
        <f aca="false">IF(C61=0,"",D61/C61-1)</f>
        <v>-0.029778543754686</v>
      </c>
      <c r="G61" s="56" t="n">
        <v>115</v>
      </c>
      <c r="H61" s="63" t="n">
        <f aca="false">INDEX('تحليل التكلفة والسعر'!$D$2:$D$700,MATCH($B61,'تحليل التكلفة والسعر'!$B$2:$B$700,0))</f>
        <v>125</v>
      </c>
      <c r="I61" s="64" t="n">
        <f aca="false">IF(OR(G61="",G61=0),"",C61/G61)</f>
        <v>0.53858579710145</v>
      </c>
      <c r="J61" s="64" t="n">
        <f aca="false">IF(OR(H61="",H61=0),"",D61/H61)</f>
        <v>0.480743696666667</v>
      </c>
      <c r="K61" s="64" t="n">
        <f aca="false">IF(OR(I61="",J61=""),"",J61-I61)</f>
        <v>-0.0578421004347828</v>
      </c>
    </row>
    <row r="62" customFormat="false" ht="15" hidden="false" customHeight="true" outlineLevel="0" collapsed="false">
      <c r="A62" s="62" t="s">
        <v>374</v>
      </c>
      <c r="B62" s="62" t="s">
        <v>431</v>
      </c>
      <c r="C62" s="56" t="n">
        <v>46.49</v>
      </c>
      <c r="D62" s="63" t="n">
        <f aca="false">INDEX('تحليل التكلفة والسعر'!$C$2:$C$700,MATCH($B62,'تحليل التكلفة والسعر'!$B$2:$B$700,0))</f>
        <v>45</v>
      </c>
      <c r="E62" s="63" t="n">
        <f aca="false">D62-C62</f>
        <v>-1.49</v>
      </c>
      <c r="F62" s="64" t="n">
        <f aca="false">IF(C62=0,"",D62/C62-1)</f>
        <v>-0.0320499032049904</v>
      </c>
      <c r="G62" s="56" t="n">
        <v>90</v>
      </c>
      <c r="H62" s="63" t="n">
        <f aca="false">INDEX('تحليل التكلفة والسعر'!$D$2:$D$700,MATCH($B62,'تحليل التكلفة والسعر'!$B$2:$B$700,0))</f>
        <v>100</v>
      </c>
      <c r="I62" s="64" t="n">
        <f aca="false">IF(OR(G62="",G62=0),"",C62/G62)</f>
        <v>0.516555555555556</v>
      </c>
      <c r="J62" s="64" t="n">
        <f aca="false">IF(OR(H62="",H62=0),"",D62/H62)</f>
        <v>0.45</v>
      </c>
      <c r="K62" s="64" t="n">
        <f aca="false">IF(OR(I62="",J62=""),"",J62-I62)</f>
        <v>-0.0665555555555555</v>
      </c>
    </row>
    <row r="63" customFormat="false" ht="15" hidden="false" customHeight="true" outlineLevel="0" collapsed="false">
      <c r="A63" s="62" t="s">
        <v>14</v>
      </c>
      <c r="B63" s="62" t="s">
        <v>432</v>
      </c>
      <c r="C63" s="56" t="n">
        <v>49.9873666666667</v>
      </c>
      <c r="D63" s="63" t="n">
        <f aca="false">INDEX('تحليل التكلفة والسعر'!$C$2:$C$700,MATCH($B63,'تحليل التكلفة والسعر'!$B$2:$B$700,0))</f>
        <v>51.4353120833333</v>
      </c>
      <c r="E63" s="63" t="n">
        <f aca="false">D63-C63</f>
        <v>1.44794541666663</v>
      </c>
      <c r="F63" s="64" t="n">
        <f aca="false">IF(C63=0,"",D63/C63-1)</f>
        <v>0.0289662271333881</v>
      </c>
      <c r="G63" s="56" t="n">
        <v>100</v>
      </c>
      <c r="H63" s="63" t="n">
        <f aca="false">INDEX('تحليل التكلفة والسعر'!$D$2:$D$700,MATCH($B63,'تحليل التكلفة والسعر'!$B$2:$B$700,0))</f>
        <v>110</v>
      </c>
      <c r="I63" s="64" t="n">
        <f aca="false">IF(OR(G63="",G63=0),"",C63/G63)</f>
        <v>0.499873666666667</v>
      </c>
      <c r="J63" s="64" t="n">
        <f aca="false">IF(OR(H63="",H63=0),"",D63/H63)</f>
        <v>0.467593746212121</v>
      </c>
      <c r="K63" s="64" t="n">
        <f aca="false">IF(OR(I63="",J63=""),"",J63-I63)</f>
        <v>-0.0322799204545458</v>
      </c>
    </row>
    <row r="64" customFormat="false" ht="15" hidden="false" customHeight="true" outlineLevel="0" collapsed="false">
      <c r="A64" s="62" t="s">
        <v>18</v>
      </c>
      <c r="B64" s="62" t="s">
        <v>433</v>
      </c>
      <c r="C64" s="56" t="n">
        <v>34.3453</v>
      </c>
      <c r="D64" s="63" t="n">
        <f aca="false">INDEX('تحليل التكلفة والسعر'!$C$2:$C$700,MATCH($B64,'تحليل التكلفة والسعر'!$B$2:$B$700,0))</f>
        <v>35.477965</v>
      </c>
      <c r="E64" s="63" t="n">
        <f aca="false">D64-C64</f>
        <v>1.132665</v>
      </c>
      <c r="F64" s="64" t="n">
        <f aca="false">IF(C64=0,"",D64/C64-1)</f>
        <v>0.0329787481838852</v>
      </c>
      <c r="G64" s="56" t="n">
        <v>60</v>
      </c>
      <c r="H64" s="63" t="n">
        <f aca="false">INDEX('تحليل التكلفة والسعر'!$D$2:$D$700,MATCH($B64,'تحليل التكلفة والسعر'!$B$2:$B$700,0))</f>
        <v>70</v>
      </c>
      <c r="I64" s="64" t="n">
        <f aca="false">IF(OR(G64="",G64=0),"",C64/G64)</f>
        <v>0.572421666666667</v>
      </c>
      <c r="J64" s="64" t="n">
        <f aca="false">IF(OR(H64="",H64=0),"",D64/H64)</f>
        <v>0.506828071428571</v>
      </c>
      <c r="K64" s="64" t="n">
        <f aca="false">IF(OR(I64="",J64=""),"",J64-I64)</f>
        <v>-0.0655935952380953</v>
      </c>
    </row>
    <row r="65" customFormat="false" ht="15" hidden="false" customHeight="true" outlineLevel="0" collapsed="false">
      <c r="A65" s="62" t="s">
        <v>15</v>
      </c>
      <c r="B65" s="62" t="s">
        <v>434</v>
      </c>
      <c r="C65" s="56" t="n">
        <v>32.6</v>
      </c>
      <c r="D65" s="63" t="n">
        <f aca="false">INDEX('تحليل التكلفة والسعر'!$C$2:$C$700,MATCH($B65,'تحليل التكلفة والسعر'!$B$2:$B$700,0))</f>
        <v>33.55</v>
      </c>
      <c r="E65" s="63" t="n">
        <f aca="false">D65-C65</f>
        <v>0.950000000000003</v>
      </c>
      <c r="F65" s="64" t="n">
        <f aca="false">IF(C65=0,"",D65/C65-1)</f>
        <v>0.0291411042944787</v>
      </c>
      <c r="G65" s="56" t="n">
        <v>60</v>
      </c>
      <c r="H65" s="63" t="n">
        <f aca="false">INDEX('تحليل التكلفة والسعر'!$D$2:$D$700,MATCH($B65,'تحليل التكلفة والسعر'!$B$2:$B$700,0))</f>
        <v>70</v>
      </c>
      <c r="I65" s="64" t="n">
        <f aca="false">IF(OR(G65="",G65=0),"",C65/G65)</f>
        <v>0.543333333333333</v>
      </c>
      <c r="J65" s="64" t="n">
        <f aca="false">IF(OR(H65="",H65=0),"",D65/H65)</f>
        <v>0.479285714285714</v>
      </c>
      <c r="K65" s="64" t="n">
        <f aca="false">IF(OR(I65="",J65=""),"",J65-I65)</f>
        <v>-0.064047619047619</v>
      </c>
    </row>
    <row r="66" customFormat="false" ht="15" hidden="false" customHeight="true" outlineLevel="0" collapsed="false">
      <c r="A66" s="62" t="s">
        <v>9</v>
      </c>
      <c r="B66" s="62" t="s">
        <v>435</v>
      </c>
      <c r="C66" s="56" t="n">
        <v>63.2491</v>
      </c>
      <c r="D66" s="63" t="n">
        <f aca="false">INDEX('تحليل التكلفة والسعر'!$C$2:$C$700,MATCH($B66,'تحليل التكلفة والسعر'!$B$2:$B$700,0))</f>
        <v>64.8873</v>
      </c>
      <c r="E66" s="63" t="n">
        <f aca="false">D66-C66</f>
        <v>1.6382</v>
      </c>
      <c r="F66" s="64" t="n">
        <f aca="false">IF(C66=0,"",D66/C66-1)</f>
        <v>0.0259007638053348</v>
      </c>
      <c r="G66" s="56" t="n">
        <v>120</v>
      </c>
      <c r="H66" s="63" t="n">
        <f aca="false">INDEX('تحليل التكلفة والسعر'!$D$2:$D$700,MATCH($B66,'تحليل التكلفة والسعر'!$B$2:$B$700,0))</f>
        <v>130</v>
      </c>
      <c r="I66" s="64" t="n">
        <f aca="false">IF(OR(G66="",G66=0),"",C66/G66)</f>
        <v>0.527075833333333</v>
      </c>
      <c r="J66" s="64" t="n">
        <f aca="false">IF(OR(H66="",H66=0),"",D66/H66)</f>
        <v>0.499133076923077</v>
      </c>
      <c r="K66" s="64" t="n">
        <f aca="false">IF(OR(I66="",J66=""),"",J66-I66)</f>
        <v>-0.0279427564102564</v>
      </c>
    </row>
    <row r="67" customFormat="false" ht="15" hidden="false" customHeight="true" outlineLevel="0" collapsed="false">
      <c r="A67" s="62" t="s">
        <v>11</v>
      </c>
      <c r="B67" s="62" t="s">
        <v>436</v>
      </c>
      <c r="C67" s="56" t="n">
        <v>38.5453</v>
      </c>
      <c r="D67" s="63" t="n">
        <f aca="false">INDEX('تحليل التكلفة والسعر'!$C$2:$C$700,MATCH($B67,'تحليل التكلفة والسعر'!$B$2:$B$700,0))</f>
        <v>39.817972</v>
      </c>
      <c r="E67" s="63" t="n">
        <f aca="false">D67-C67</f>
        <v>1.272672</v>
      </c>
      <c r="F67" s="64" t="n">
        <f aca="false">IF(C67=0,"",D67/C67-1)</f>
        <v>0.033017566344016</v>
      </c>
      <c r="G67" s="56" t="n">
        <v>65</v>
      </c>
      <c r="H67" s="63" t="n">
        <f aca="false">INDEX('تحليل التكلفة والسعر'!$D$2:$D$700,MATCH($B67,'تحليل التكلفة والسعر'!$B$2:$B$700,0))</f>
        <v>75</v>
      </c>
      <c r="I67" s="64" t="n">
        <f aca="false">IF(OR(G67="",G67=0),"",C67/G67)</f>
        <v>0.593004615384615</v>
      </c>
      <c r="J67" s="64" t="n">
        <f aca="false">IF(OR(H67="",H67=0),"",D67/H67)</f>
        <v>0.530906293333333</v>
      </c>
      <c r="K67" s="64" t="n">
        <f aca="false">IF(OR(I67="",J67=""),"",J67-I67)</f>
        <v>-0.0620983220512821</v>
      </c>
    </row>
    <row r="68" customFormat="false" ht="15" hidden="false" customHeight="true" outlineLevel="0" collapsed="false">
      <c r="A68" s="62" t="s">
        <v>9</v>
      </c>
      <c r="B68" s="62" t="s">
        <v>437</v>
      </c>
      <c r="C68" s="56" t="n">
        <v>70.9291</v>
      </c>
      <c r="D68" s="63" t="n">
        <f aca="false">INDEX('تحليل التكلفة والسعر'!$C$2:$C$700,MATCH($B68,'تحليل التكلفة والسعر'!$B$2:$B$700,0))</f>
        <v>72.9165</v>
      </c>
      <c r="E68" s="63" t="n">
        <f aca="false">D68-C68</f>
        <v>1.98739999999999</v>
      </c>
      <c r="F68" s="64" t="n">
        <f aca="false">IF(C68=0,"",D68/C68-1)</f>
        <v>0.0280195293610097</v>
      </c>
      <c r="G68" s="56" t="n">
        <v>130</v>
      </c>
      <c r="H68" s="63" t="n">
        <f aca="false">INDEX('تحليل التكلفة والسعر'!$D$2:$D$700,MATCH($B68,'تحليل التكلفة والسعر'!$B$2:$B$700,0))</f>
        <v>140</v>
      </c>
      <c r="I68" s="64" t="n">
        <f aca="false">IF(OR(G68="",G68=0),"",C68/G68)</f>
        <v>0.545608461538462</v>
      </c>
      <c r="J68" s="64" t="n">
        <f aca="false">IF(OR(H68="",H68=0),"",D68/H68)</f>
        <v>0.520832142857143</v>
      </c>
      <c r="K68" s="64" t="n">
        <f aca="false">IF(OR(I68="",J68=""),"",J68-I68)</f>
        <v>-0.0247763186813187</v>
      </c>
    </row>
    <row r="69" customFormat="false" ht="15" hidden="false" customHeight="true" outlineLevel="0" collapsed="false">
      <c r="A69" s="62" t="s">
        <v>15</v>
      </c>
      <c r="B69" s="62" t="s">
        <v>438</v>
      </c>
      <c r="C69" s="56" t="n">
        <v>17</v>
      </c>
      <c r="D69" s="63" t="n">
        <f aca="false">INDEX('تحليل التكلفة والسعر'!$C$2:$C$700,MATCH($B69,'تحليل التكلفة والسعر'!$B$2:$B$700,0))</f>
        <v>17.475</v>
      </c>
      <c r="E69" s="63" t="n">
        <f aca="false">D69-C69</f>
        <v>0.475000000000001</v>
      </c>
      <c r="F69" s="64" t="n">
        <f aca="false">IF(C69=0,"",D69/C69-1)</f>
        <v>0.0279411764705884</v>
      </c>
      <c r="G69" s="56" t="n">
        <v>40</v>
      </c>
      <c r="H69" s="63" t="n">
        <f aca="false">INDEX('تحليل التكلفة والسعر'!$D$2:$D$700,MATCH($B69,'تحليل التكلفة والسعر'!$B$2:$B$700,0))</f>
        <v>50</v>
      </c>
      <c r="I69" s="64" t="n">
        <f aca="false">IF(OR(G69="",G69=0),"",C69/G69)</f>
        <v>0.425</v>
      </c>
      <c r="J69" s="64" t="n">
        <f aca="false">IF(OR(H69="",H69=0),"",D69/H69)</f>
        <v>0.3495</v>
      </c>
      <c r="K69" s="64" t="n">
        <f aca="false">IF(OR(I69="",J69=""),"",J69-I69)</f>
        <v>-0.0755</v>
      </c>
    </row>
    <row r="70" customFormat="false" ht="15" hidden="false" customHeight="true" outlineLevel="0" collapsed="false">
      <c r="A70" s="62" t="s">
        <v>10</v>
      </c>
      <c r="B70" s="62" t="s">
        <v>439</v>
      </c>
      <c r="C70" s="56" t="n">
        <v>81.408</v>
      </c>
      <c r="D70" s="63" t="n">
        <f aca="false">INDEX('تحليل التكلفة والسعر'!$C$2:$C$700,MATCH($B70,'تحليل التكلفة والسعر'!$B$2:$B$700,0))</f>
        <v>79.3742</v>
      </c>
      <c r="E70" s="63" t="n">
        <f aca="false">D70-C70</f>
        <v>-2.0338</v>
      </c>
      <c r="F70" s="64" t="n">
        <f aca="false">IF(C70=0,"",D70/C70-1)</f>
        <v>-0.0249828026729559</v>
      </c>
      <c r="G70" s="56" t="n">
        <v>140</v>
      </c>
      <c r="H70" s="63" t="n">
        <f aca="false">INDEX('تحليل التكلفة والسعر'!$D$2:$D$700,MATCH($B70,'تحليل التكلفة والسعر'!$B$2:$B$700,0))</f>
        <v>150</v>
      </c>
      <c r="I70" s="64" t="n">
        <f aca="false">IF(OR(G70="",G70=0),"",C70/G70)</f>
        <v>0.581485714285714</v>
      </c>
      <c r="J70" s="64" t="n">
        <f aca="false">IF(OR(H70="",H70=0),"",D70/H70)</f>
        <v>0.529161333333333</v>
      </c>
      <c r="K70" s="64" t="n">
        <f aca="false">IF(OR(I70="",J70=""),"",J70-I70)</f>
        <v>-0.0523243809523809</v>
      </c>
    </row>
    <row r="71" customFormat="false" ht="15" hidden="false" customHeight="true" outlineLevel="0" collapsed="false">
      <c r="A71" s="62" t="s">
        <v>19</v>
      </c>
      <c r="B71" s="62" t="s">
        <v>440</v>
      </c>
      <c r="C71" s="56" t="n">
        <v>58.5187</v>
      </c>
      <c r="D71" s="63" t="n">
        <f aca="false">INDEX('تحليل التكلفة والسعر'!$C$2:$C$700,MATCH($B71,'تحليل التكلفة والسعر'!$B$2:$B$700,0))</f>
        <v>59.9765</v>
      </c>
      <c r="E71" s="63" t="n">
        <f aca="false">D71-C71</f>
        <v>1.4578</v>
      </c>
      <c r="F71" s="64" t="n">
        <f aca="false">IF(C71=0,"",D71/C71-1)</f>
        <v>0.0249116948941108</v>
      </c>
      <c r="G71" s="56" t="n">
        <v>150</v>
      </c>
      <c r="H71" s="63" t="n">
        <f aca="false">INDEX('تحليل التكلفة والسعر'!$D$2:$D$700,MATCH($B71,'تحليل التكلفة والسعر'!$B$2:$B$700,0))</f>
        <v>160</v>
      </c>
      <c r="I71" s="64" t="n">
        <f aca="false">IF(OR(G71="",G71=0),"",C71/G71)</f>
        <v>0.390124666666667</v>
      </c>
      <c r="J71" s="64" t="n">
        <f aca="false">IF(OR(H71="",H71=0),"",D71/H71)</f>
        <v>0.374853125</v>
      </c>
      <c r="K71" s="64" t="n">
        <f aca="false">IF(OR(I71="",J71=""),"",J71-I71)</f>
        <v>-0.0152715416666667</v>
      </c>
    </row>
    <row r="72" customFormat="false" ht="15" hidden="false" customHeight="true" outlineLevel="0" collapsed="false">
      <c r="A72" s="62" t="s">
        <v>10</v>
      </c>
      <c r="B72" s="62" t="s">
        <v>441</v>
      </c>
      <c r="C72" s="56" t="n">
        <v>112.45395</v>
      </c>
      <c r="D72" s="63" t="n">
        <f aca="false">INDEX('تحليل التكلفة والسعر'!$C$2:$C$700,MATCH($B72,'تحليل التكلفة والسعر'!$B$2:$B$700,0))</f>
        <v>110.1632</v>
      </c>
      <c r="E72" s="63" t="n">
        <f aca="false">D72-C72</f>
        <v>-2.29075</v>
      </c>
      <c r="F72" s="64" t="n">
        <f aca="false">IF(C72=0,"",D72/C72-1)</f>
        <v>-0.020370560571683</v>
      </c>
      <c r="G72" s="56" t="n">
        <v>240</v>
      </c>
      <c r="H72" s="63" t="n">
        <f aca="false">INDEX('تحليل التكلفة والسعر'!$D$2:$D$700,MATCH($B72,'تحليل التكلفة والسعر'!$B$2:$B$700,0))</f>
        <v>250</v>
      </c>
      <c r="I72" s="64" t="n">
        <f aca="false">IF(OR(G72="",G72=0),"",C72/G72)</f>
        <v>0.468558125</v>
      </c>
      <c r="J72" s="64" t="n">
        <f aca="false">IF(OR(H72="",H72=0),"",D72/H72)</f>
        <v>0.4406528</v>
      </c>
      <c r="K72" s="64" t="n">
        <f aca="false">IF(OR(I72="",J72=""),"",J72-I72)</f>
        <v>-0.027905325</v>
      </c>
    </row>
    <row r="73" customFormat="false" ht="15" hidden="false" customHeight="true" outlineLevel="0" collapsed="false">
      <c r="A73" s="62" t="s">
        <v>10</v>
      </c>
      <c r="B73" s="62" t="s">
        <v>442</v>
      </c>
      <c r="C73" s="56" t="n">
        <v>107.01645</v>
      </c>
      <c r="D73" s="63" t="n">
        <f aca="false">INDEX('تحليل التكلفة والسعر'!$C$2:$C$700,MATCH($B73,'تحليل التكلفة والسعر'!$B$2:$B$700,0))</f>
        <v>104.9132</v>
      </c>
      <c r="E73" s="63" t="n">
        <f aca="false">D73-C73</f>
        <v>-2.10325</v>
      </c>
      <c r="F73" s="64" t="n">
        <f aca="false">IF(C73=0,"",D73/C73-1)</f>
        <v>-0.0196535205568864</v>
      </c>
      <c r="G73" s="56" t="n">
        <v>240</v>
      </c>
      <c r="H73" s="63" t="n">
        <f aca="false">INDEX('تحليل التكلفة والسعر'!$D$2:$D$700,MATCH($B73,'تحليل التكلفة والسعر'!$B$2:$B$700,0))</f>
        <v>250</v>
      </c>
      <c r="I73" s="64" t="n">
        <f aca="false">IF(OR(G73="",G73=0),"",C73/G73)</f>
        <v>0.445901875</v>
      </c>
      <c r="J73" s="64" t="n">
        <f aca="false">IF(OR(H73="",H73=0),"",D73/H73)</f>
        <v>0.4196528</v>
      </c>
      <c r="K73" s="64" t="n">
        <f aca="false">IF(OR(I73="",J73=""),"",J73-I73)</f>
        <v>-0.026249075</v>
      </c>
    </row>
    <row r="74" customFormat="false" ht="15" hidden="false" customHeight="true" outlineLevel="0" collapsed="false">
      <c r="A74" s="62" t="s">
        <v>14</v>
      </c>
      <c r="B74" s="62" t="s">
        <v>443</v>
      </c>
      <c r="C74" s="56" t="n">
        <v>51.7323666666667</v>
      </c>
      <c r="D74" s="63" t="n">
        <f aca="false">INDEX('تحليل التكلفة والسعر'!$C$2:$C$700,MATCH($B74,'تحليل التكلفة والسعر'!$B$2:$B$700,0))</f>
        <v>50.6019620833333</v>
      </c>
      <c r="E74" s="63" t="n">
        <f aca="false">D74-C74</f>
        <v>-1.13040458333337</v>
      </c>
      <c r="F74" s="64" t="n">
        <f aca="false">IF(C74=0,"",D74/C74-1)</f>
        <v>-0.0218510123578346</v>
      </c>
      <c r="G74" s="56" t="n">
        <v>100</v>
      </c>
      <c r="H74" s="63" t="n">
        <f aca="false">INDEX('تحليل التكلفة والسعر'!$D$2:$D$700,MATCH($B74,'تحليل التكلفة والسعر'!$B$2:$B$700,0))</f>
        <v>110</v>
      </c>
      <c r="I74" s="64" t="n">
        <f aca="false">IF(OR(G74="",G74=0),"",C74/G74)</f>
        <v>0.517323666666667</v>
      </c>
      <c r="J74" s="64" t="n">
        <f aca="false">IF(OR(H74="",H74=0),"",D74/H74)</f>
        <v>0.460017837121212</v>
      </c>
      <c r="K74" s="64" t="n">
        <f aca="false">IF(OR(I74="",J74=""),"",J74-I74)</f>
        <v>-0.0573058295454548</v>
      </c>
    </row>
    <row r="75" customFormat="false" ht="15" hidden="false" customHeight="true" outlineLevel="0" collapsed="false">
      <c r="A75" s="62" t="s">
        <v>14</v>
      </c>
      <c r="B75" s="62" t="s">
        <v>444</v>
      </c>
      <c r="C75" s="56" t="n">
        <v>70.3623666666667</v>
      </c>
      <c r="D75" s="63" t="n">
        <f aca="false">INDEX('تحليل التكلفة والسعر'!$C$2:$C$700,MATCH($B75,'تحليل التكلفة والسعر'!$B$2:$B$700,0))</f>
        <v>69.0839620833333</v>
      </c>
      <c r="E75" s="63" t="n">
        <f aca="false">D75-C75</f>
        <v>-1.27840458333337</v>
      </c>
      <c r="F75" s="64" t="n">
        <f aca="false">IF(C75=0,"",D75/C75-1)</f>
        <v>-0.018168868443406</v>
      </c>
      <c r="G75" s="56" t="n">
        <v>110</v>
      </c>
      <c r="H75" s="63" t="n">
        <f aca="false">INDEX('تحليل التكلفة والسعر'!$D$2:$D$700,MATCH($B75,'تحليل التكلفة والسعر'!$B$2:$B$700,0))</f>
        <v>120</v>
      </c>
      <c r="I75" s="64" t="n">
        <f aca="false">IF(OR(G75="",G75=0),"",C75/G75)</f>
        <v>0.639657878787879</v>
      </c>
      <c r="J75" s="64" t="n">
        <f aca="false">IF(OR(H75="",H75=0),"",D75/H75)</f>
        <v>0.575699684027778</v>
      </c>
      <c r="K75" s="64" t="n">
        <f aca="false">IF(OR(I75="",J75=""),"",J75-I75)</f>
        <v>-0.0639581947601013</v>
      </c>
    </row>
    <row r="76" customFormat="false" ht="15" hidden="false" customHeight="true" outlineLevel="0" collapsed="false">
      <c r="A76" s="62" t="s">
        <v>19</v>
      </c>
      <c r="B76" s="62" t="s">
        <v>445</v>
      </c>
      <c r="C76" s="56" t="n">
        <v>67.2687</v>
      </c>
      <c r="D76" s="63" t="n">
        <f aca="false">INDEX('تحليل التكلفة والسعر'!$C$2:$C$700,MATCH($B76,'تحليل التكلفة والسعر'!$B$2:$B$700,0))</f>
        <v>68.7265</v>
      </c>
      <c r="E76" s="63" t="n">
        <f aca="false">D76-C76</f>
        <v>1.45780000000001</v>
      </c>
      <c r="F76" s="64" t="n">
        <f aca="false">IF(C76=0,"",D76/C76-1)</f>
        <v>0.0216712973492874</v>
      </c>
      <c r="G76" s="56" t="n">
        <v>160</v>
      </c>
      <c r="H76" s="63" t="n">
        <f aca="false">INDEX('تحليل التكلفة والسعر'!$D$2:$D$700,MATCH($B76,'تحليل التكلفة والسعر'!$B$2:$B$700,0))</f>
        <v>170</v>
      </c>
      <c r="I76" s="64" t="n">
        <f aca="false">IF(OR(G76="",G76=0),"",C76/G76)</f>
        <v>0.420429375</v>
      </c>
      <c r="J76" s="64" t="n">
        <f aca="false">IF(OR(H76="",H76=0),"",D76/H76)</f>
        <v>0.404273529411765</v>
      </c>
      <c r="K76" s="64" t="n">
        <f aca="false">IF(OR(I76="",J76=""),"",J76-I76)</f>
        <v>-0.0161558455882353</v>
      </c>
    </row>
    <row r="77" customFormat="false" ht="15" hidden="false" customHeight="true" outlineLevel="0" collapsed="false">
      <c r="A77" s="62" t="s">
        <v>13</v>
      </c>
      <c r="B77" s="62" t="s">
        <v>446</v>
      </c>
      <c r="C77" s="56" t="n">
        <v>92.4977</v>
      </c>
      <c r="D77" s="63" t="n">
        <f aca="false">INDEX('تحليل التكلفة والسعر'!$C$2:$C$700,MATCH($B77,'تحليل التكلفة والسعر'!$B$2:$B$700,0))</f>
        <v>90.541035</v>
      </c>
      <c r="E77" s="63" t="n">
        <f aca="false">D77-C77</f>
        <v>-1.956665</v>
      </c>
      <c r="F77" s="64" t="n">
        <f aca="false">IF(C77=0,"",D77/C77-1)</f>
        <v>-0.0211536611180603</v>
      </c>
      <c r="G77" s="56" t="n">
        <v>170</v>
      </c>
      <c r="H77" s="63" t="n">
        <f aca="false">INDEX('تحليل التكلفة والسعر'!$D$2:$D$700,MATCH($B77,'تحليل التكلفة والسعر'!$B$2:$B$700,0))</f>
        <v>180</v>
      </c>
      <c r="I77" s="64" t="n">
        <f aca="false">IF(OR(G77="",G77=0),"",C77/G77)</f>
        <v>0.544104117647059</v>
      </c>
      <c r="J77" s="64" t="n">
        <f aca="false">IF(OR(H77="",H77=0),"",D77/H77)</f>
        <v>0.50300575</v>
      </c>
      <c r="K77" s="64" t="n">
        <f aca="false">IF(OR(I77="",J77=""),"",J77-I77)</f>
        <v>-0.0410983676470589</v>
      </c>
    </row>
    <row r="78" customFormat="false" ht="15" hidden="false" customHeight="true" outlineLevel="0" collapsed="false">
      <c r="A78" s="62" t="s">
        <v>10</v>
      </c>
      <c r="B78" s="62" t="s">
        <v>447</v>
      </c>
      <c r="C78" s="56" t="n">
        <v>66.9303</v>
      </c>
      <c r="D78" s="63" t="n">
        <f aca="false">INDEX('تحليل التكلفة والسعر'!$C$2:$C$700,MATCH($B78,'تحليل التكلفة والسعر'!$B$2:$B$700,0))</f>
        <v>68.2965</v>
      </c>
      <c r="E78" s="63" t="n">
        <f aca="false">D78-C78</f>
        <v>1.36619999999999</v>
      </c>
      <c r="F78" s="64" t="n">
        <f aca="false">IF(C78=0,"",D78/C78-1)</f>
        <v>0.0204122796401629</v>
      </c>
      <c r="G78" s="56" t="n">
        <v>130</v>
      </c>
      <c r="H78" s="63" t="n">
        <f aca="false">INDEX('تحليل التكلفة والسعر'!$D$2:$D$700,MATCH($B78,'تحليل التكلفة والسعر'!$B$2:$B$700,0))</f>
        <v>140</v>
      </c>
      <c r="I78" s="64" t="n">
        <f aca="false">IF(OR(G78="",G78=0),"",C78/G78)</f>
        <v>0.514848461538462</v>
      </c>
      <c r="J78" s="64" t="n">
        <f aca="false">IF(OR(H78="",H78=0),"",D78/H78)</f>
        <v>0.487832142857143</v>
      </c>
      <c r="K78" s="64" t="n">
        <f aca="false">IF(OR(I78="",J78=""),"",J78-I78)</f>
        <v>-0.0270163186813187</v>
      </c>
    </row>
    <row r="79" customFormat="false" ht="15" hidden="false" customHeight="true" outlineLevel="0" collapsed="false">
      <c r="A79" s="62" t="s">
        <v>10</v>
      </c>
      <c r="B79" s="62" t="s">
        <v>448</v>
      </c>
      <c r="C79" s="56" t="n">
        <v>106.15395</v>
      </c>
      <c r="D79" s="63" t="n">
        <f aca="false">INDEX('تحليل التكلفة والسعر'!$C$2:$C$700,MATCH($B79,'تحليل التكلفة والسعر'!$B$2:$B$700,0))</f>
        <v>104.1315</v>
      </c>
      <c r="E79" s="63" t="n">
        <f aca="false">D79-C79</f>
        <v>-2.02244999999999</v>
      </c>
      <c r="F79" s="64" t="n">
        <f aca="false">IF(C79=0,"",D79/C79-1)</f>
        <v>-0.0190520465795195</v>
      </c>
      <c r="G79" s="56" t="n">
        <v>180</v>
      </c>
      <c r="H79" s="63" t="n">
        <f aca="false">INDEX('تحليل التكلفة والسعر'!$D$2:$D$700,MATCH($B79,'تحليل التكلفة والسعر'!$B$2:$B$700,0))</f>
        <v>190</v>
      </c>
      <c r="I79" s="64" t="n">
        <f aca="false">IF(OR(G79="",G79=0),"",C79/G79)</f>
        <v>0.589744166666667</v>
      </c>
      <c r="J79" s="64" t="n">
        <f aca="false">IF(OR(H79="",H79=0),"",D79/H79)</f>
        <v>0.54806052631579</v>
      </c>
      <c r="K79" s="64" t="n">
        <f aca="false">IF(OR(I79="",J79=""),"",J79-I79)</f>
        <v>-0.0416836403508771</v>
      </c>
    </row>
    <row r="80" customFormat="false" ht="15" hidden="false" customHeight="true" outlineLevel="0" collapsed="false">
      <c r="A80" s="62" t="s">
        <v>13</v>
      </c>
      <c r="B80" s="62" t="s">
        <v>449</v>
      </c>
      <c r="C80" s="56" t="n">
        <v>78.02</v>
      </c>
      <c r="D80" s="63" t="n">
        <f aca="false">INDEX('تحليل التكلفة والسعر'!$C$2:$C$700,MATCH($B80,'تحليل التكلفة والسعر'!$B$2:$B$700,0))</f>
        <v>79.463335</v>
      </c>
      <c r="E80" s="63" t="n">
        <f aca="false">D80-C80</f>
        <v>1.443335</v>
      </c>
      <c r="F80" s="64" t="n">
        <f aca="false">IF(C80=0,"",D80/C80-1)</f>
        <v>0.0184995513970778</v>
      </c>
      <c r="G80" s="56" t="n">
        <v>130</v>
      </c>
      <c r="H80" s="63" t="n">
        <f aca="false">INDEX('تحليل التكلفة والسعر'!$D$2:$D$700,MATCH($B80,'تحليل التكلفة والسعر'!$B$2:$B$700,0))</f>
        <v>140</v>
      </c>
      <c r="I80" s="64" t="n">
        <f aca="false">IF(OR(G80="",G80=0),"",C80/G80)</f>
        <v>0.600153846153846</v>
      </c>
      <c r="J80" s="64" t="n">
        <f aca="false">IF(OR(H80="",H80=0),"",D80/H80)</f>
        <v>0.56759525</v>
      </c>
      <c r="K80" s="64" t="n">
        <f aca="false">IF(OR(I80="",J80=""),"",J80-I80)</f>
        <v>-0.0325585961538462</v>
      </c>
    </row>
    <row r="81" customFormat="false" ht="15" hidden="false" customHeight="true" outlineLevel="0" collapsed="false">
      <c r="A81" s="62" t="s">
        <v>15</v>
      </c>
      <c r="B81" s="62" t="s">
        <v>450</v>
      </c>
      <c r="C81" s="56" t="n">
        <v>24.6777</v>
      </c>
      <c r="D81" s="63" t="n">
        <f aca="false">INDEX('تحليل التكلفة والسعر'!$C$2:$C$700,MATCH($B81,'تحليل التكلفة والسعر'!$B$2:$B$700,0))</f>
        <v>25.1277</v>
      </c>
      <c r="E81" s="63" t="n">
        <f aca="false">D81-C81</f>
        <v>0.450000000000003</v>
      </c>
      <c r="F81" s="64" t="n">
        <f aca="false">IF(C81=0,"",D81/C81-1)</f>
        <v>0.0182350867382293</v>
      </c>
      <c r="G81" s="56" t="n">
        <v>50</v>
      </c>
      <c r="H81" s="63" t="n">
        <f aca="false">INDEX('تحليل التكلفة والسعر'!$D$2:$D$700,MATCH($B81,'تحليل التكلفة والسعر'!$B$2:$B$700,0))</f>
        <v>60</v>
      </c>
      <c r="I81" s="64" t="n">
        <f aca="false">IF(OR(G81="",G81=0),"",C81/G81)</f>
        <v>0.493554</v>
      </c>
      <c r="J81" s="64" t="n">
        <f aca="false">IF(OR(H81="",H81=0),"",D81/H81)</f>
        <v>0.418795</v>
      </c>
      <c r="K81" s="64" t="n">
        <f aca="false">IF(OR(I81="",J81=""),"",J81-I81)</f>
        <v>-0.074759</v>
      </c>
    </row>
    <row r="82" customFormat="false" ht="15" hidden="false" customHeight="true" outlineLevel="0" collapsed="false">
      <c r="A82" s="62" t="s">
        <v>374</v>
      </c>
      <c r="B82" s="62" t="s">
        <v>451</v>
      </c>
      <c r="C82" s="56" t="n">
        <v>6.875</v>
      </c>
      <c r="D82" s="63" t="n">
        <f aca="false">INDEX('تحليل التكلفة والسعر'!$C$2:$C$700,MATCH($B82,'تحليل التكلفة والسعر'!$B$2:$B$700,0))</f>
        <v>7</v>
      </c>
      <c r="E82" s="63" t="n">
        <f aca="false">D82-C82</f>
        <v>0.125</v>
      </c>
      <c r="F82" s="64" t="n">
        <f aca="false">IF(C82=0,"",D82/C82-1)</f>
        <v>0.0181818181818181</v>
      </c>
      <c r="G82" s="56" t="n">
        <v>24.5</v>
      </c>
      <c r="H82" s="63" t="n">
        <f aca="false">INDEX('تحليل التكلفة والسعر'!$D$2:$D$700,MATCH($B82,'تحليل التكلفة والسعر'!$B$2:$B$700,0))</f>
        <v>34.5</v>
      </c>
      <c r="I82" s="64" t="n">
        <f aca="false">IF(OR(G82="",G82=0),"",C82/G82)</f>
        <v>0.280612244897959</v>
      </c>
      <c r="J82" s="64" t="n">
        <f aca="false">IF(OR(H82="",H82=0),"",D82/H82)</f>
        <v>0.202898550724638</v>
      </c>
      <c r="K82" s="64" t="n">
        <f aca="false">IF(OR(I82="",J82=""),"",J82-I82)</f>
        <v>-0.0777136941733215</v>
      </c>
    </row>
    <row r="83" customFormat="false" ht="15" hidden="false" customHeight="true" outlineLevel="0" collapsed="false">
      <c r="A83" s="62" t="s">
        <v>374</v>
      </c>
      <c r="B83" s="62" t="s">
        <v>452</v>
      </c>
      <c r="C83" s="56" t="n">
        <v>10.3125</v>
      </c>
      <c r="D83" s="63" t="n">
        <f aca="false">INDEX('تحليل التكلفة والسعر'!$C$2:$C$700,MATCH($B83,'تحليل التكلفة والسعر'!$B$2:$B$700,0))</f>
        <v>10.5</v>
      </c>
      <c r="E83" s="63" t="n">
        <f aca="false">D83-C83</f>
        <v>0.1875</v>
      </c>
      <c r="F83" s="64" t="n">
        <f aca="false">IF(C83=0,"",D83/C83-1)</f>
        <v>0.0181818181818181</v>
      </c>
      <c r="G83" s="56" t="n">
        <v>30</v>
      </c>
      <c r="H83" s="63" t="n">
        <f aca="false">INDEX('تحليل التكلفة والسعر'!$D$2:$D$700,MATCH($B83,'تحليل التكلفة والسعر'!$B$2:$B$700,0))</f>
        <v>40</v>
      </c>
      <c r="I83" s="64" t="n">
        <f aca="false">IF(OR(G83="",G83=0),"",C83/G83)</f>
        <v>0.34375</v>
      </c>
      <c r="J83" s="64" t="n">
        <f aca="false">IF(OR(H83="",H83=0),"",D83/H83)</f>
        <v>0.2625</v>
      </c>
      <c r="K83" s="64" t="n">
        <f aca="false">IF(OR(I83="",J83=""),"",J83-I83)</f>
        <v>-0.08125</v>
      </c>
    </row>
    <row r="84" customFormat="false" ht="15" hidden="false" customHeight="true" outlineLevel="0" collapsed="false">
      <c r="A84" s="62" t="s">
        <v>10</v>
      </c>
      <c r="B84" s="62" t="s">
        <v>453</v>
      </c>
      <c r="C84" s="56" t="n">
        <v>84.408</v>
      </c>
      <c r="D84" s="63" t="n">
        <f aca="false">INDEX('تحليل التكلفة والسعر'!$C$2:$C$700,MATCH($B84,'تحليل التكلفة والسعر'!$B$2:$B$700,0))</f>
        <v>82.8742</v>
      </c>
      <c r="E84" s="63" t="n">
        <f aca="false">D84-C84</f>
        <v>-1.5338</v>
      </c>
      <c r="F84" s="64" t="n">
        <f aca="false">IF(C84=0,"",D84/C84-1)</f>
        <v>-0.0181712633873566</v>
      </c>
      <c r="G84" s="56" t="n">
        <v>140</v>
      </c>
      <c r="H84" s="63" t="n">
        <f aca="false">INDEX('تحليل التكلفة والسعر'!$D$2:$D$700,MATCH($B84,'تحليل التكلفة والسعر'!$B$2:$B$700,0))</f>
        <v>150</v>
      </c>
      <c r="I84" s="64" t="n">
        <f aca="false">IF(OR(G84="",G84=0),"",C84/G84)</f>
        <v>0.602914285714286</v>
      </c>
      <c r="J84" s="64" t="n">
        <f aca="false">IF(OR(H84="",H84=0),"",D84/H84)</f>
        <v>0.552494666666667</v>
      </c>
      <c r="K84" s="64" t="n">
        <f aca="false">IF(OR(I84="",J84=""),"",J84-I84)</f>
        <v>-0.050419619047619</v>
      </c>
    </row>
    <row r="85" customFormat="false" ht="15" hidden="false" customHeight="true" outlineLevel="0" collapsed="false">
      <c r="A85" s="62" t="s">
        <v>10</v>
      </c>
      <c r="B85" s="62" t="s">
        <v>454</v>
      </c>
      <c r="C85" s="56" t="n">
        <v>41.05</v>
      </c>
      <c r="D85" s="63" t="n">
        <f aca="false">INDEX('تحليل التكلفة والسعر'!$C$2:$C$700,MATCH($B85,'تحليل التكلفة والسعر'!$B$2:$B$700,0))</f>
        <v>41.85</v>
      </c>
      <c r="E85" s="63" t="n">
        <f aca="false">D85-C85</f>
        <v>0.800000000000004</v>
      </c>
      <c r="F85" s="64" t="n">
        <f aca="false">IF(C85=0,"",D85/C85-1)</f>
        <v>0.0194884287454324</v>
      </c>
      <c r="G85" s="56" t="n">
        <v>60</v>
      </c>
      <c r="H85" s="63" t="n">
        <f aca="false">INDEX('تحليل التكلفة والسعر'!$D$2:$D$700,MATCH($B85,'تحليل التكلفة والسعر'!$B$2:$B$700,0))</f>
        <v>70</v>
      </c>
      <c r="I85" s="64" t="n">
        <f aca="false">IF(OR(G85="",G85=0),"",C85/G85)</f>
        <v>0.684166666666667</v>
      </c>
      <c r="J85" s="64" t="n">
        <f aca="false">IF(OR(H85="",H85=0),"",D85/H85)</f>
        <v>0.597857142857143</v>
      </c>
      <c r="K85" s="64" t="n">
        <f aca="false">IF(OR(I85="",J85=""),"",J85-I85)</f>
        <v>-0.0863095238095237</v>
      </c>
    </row>
    <row r="86" customFormat="false" ht="15" hidden="false" customHeight="true" outlineLevel="0" collapsed="false">
      <c r="A86" s="62" t="s">
        <v>10</v>
      </c>
      <c r="B86" s="62" t="s">
        <v>455</v>
      </c>
      <c r="C86" s="56" t="n">
        <v>78.9303</v>
      </c>
      <c r="D86" s="63" t="n">
        <f aca="false">INDEX('تحليل التكلفة والسعر'!$C$2:$C$700,MATCH($B86,'تحليل التكلفة والسعر'!$B$2:$B$700,0))</f>
        <v>77.7785</v>
      </c>
      <c r="E86" s="63" t="n">
        <f aca="false">D86-C86</f>
        <v>-1.15180000000001</v>
      </c>
      <c r="F86" s="64" t="n">
        <f aca="false">IF(C86=0,"",D86/C86-1)</f>
        <v>-0.0145926215914548</v>
      </c>
      <c r="G86" s="56" t="n">
        <v>150</v>
      </c>
      <c r="H86" s="63" t="n">
        <f aca="false">INDEX('تحليل التكلفة والسعر'!$D$2:$D$700,MATCH($B86,'تحليل التكلفة والسعر'!$B$2:$B$700,0))</f>
        <v>160</v>
      </c>
      <c r="I86" s="64" t="n">
        <f aca="false">IF(OR(G86="",G86=0),"",C86/G86)</f>
        <v>0.526202</v>
      </c>
      <c r="J86" s="64" t="n">
        <f aca="false">IF(OR(H86="",H86=0),"",D86/H86)</f>
        <v>0.486115625</v>
      </c>
      <c r="K86" s="64" t="n">
        <f aca="false">IF(OR(I86="",J86=""),"",J86-I86)</f>
        <v>-0.0400863750000001</v>
      </c>
    </row>
    <row r="87" customFormat="false" ht="15" hidden="false" customHeight="true" outlineLevel="0" collapsed="false">
      <c r="A87" s="62" t="s">
        <v>9</v>
      </c>
      <c r="B87" s="62" t="s">
        <v>456</v>
      </c>
      <c r="C87" s="56" t="n">
        <v>94.84215</v>
      </c>
      <c r="D87" s="63" t="n">
        <f aca="false">INDEX('تحليل التكلفة والسعر'!$C$2:$C$700,MATCH($B87,'تحليل التكلفة والسعر'!$B$2:$B$700,0))</f>
        <v>96.9577</v>
      </c>
      <c r="E87" s="63" t="n">
        <f aca="false">D87-C87</f>
        <v>2.11555</v>
      </c>
      <c r="F87" s="64" t="n">
        <f aca="false">IF(C87=0,"",D87/C87-1)</f>
        <v>0.0223060105659771</v>
      </c>
      <c r="G87" s="56" t="n">
        <v>190</v>
      </c>
      <c r="H87" s="63" t="n">
        <f aca="false">INDEX('تحليل التكلفة والسعر'!$D$2:$D$700,MATCH($B87,'تحليل التكلفة والسعر'!$B$2:$B$700,0))</f>
        <v>200</v>
      </c>
      <c r="I87" s="64" t="n">
        <f aca="false">IF(OR(G87="",G87=0),"",C87/G87)</f>
        <v>0.499169210526316</v>
      </c>
      <c r="J87" s="64" t="n">
        <f aca="false">IF(OR(H87="",H87=0),"",D87/H87)</f>
        <v>0.4847885</v>
      </c>
      <c r="K87" s="64" t="n">
        <f aca="false">IF(OR(I87="",J87=""),"",J87-I87)</f>
        <v>-0.0143807105263158</v>
      </c>
    </row>
    <row r="88" customFormat="false" ht="15" hidden="false" customHeight="true" outlineLevel="0" collapsed="false">
      <c r="A88" s="62" t="s">
        <v>10</v>
      </c>
      <c r="B88" s="62" t="s">
        <v>457</v>
      </c>
      <c r="C88" s="56" t="n">
        <v>75.3053</v>
      </c>
      <c r="D88" s="63" t="n">
        <f aca="false">INDEX('تحليل التكلفة والسعر'!$C$2:$C$700,MATCH($B88,'تحليل التكلفة والسعر'!$B$2:$B$700,0))</f>
        <v>74.2785</v>
      </c>
      <c r="E88" s="63" t="n">
        <f aca="false">D88-C88</f>
        <v>-1.02680000000001</v>
      </c>
      <c r="F88" s="64" t="n">
        <f aca="false">IF(C88=0,"",D88/C88-1)</f>
        <v>-0.0136351624653246</v>
      </c>
      <c r="G88" s="56" t="n">
        <v>150</v>
      </c>
      <c r="H88" s="63" t="n">
        <f aca="false">INDEX('تحليل التكلفة والسعر'!$D$2:$D$700,MATCH($B88,'تحليل التكلفة والسعر'!$B$2:$B$700,0))</f>
        <v>160</v>
      </c>
      <c r="I88" s="64" t="n">
        <f aca="false">IF(OR(G88="",G88=0),"",C88/G88)</f>
        <v>0.502035333333333</v>
      </c>
      <c r="J88" s="64" t="n">
        <f aca="false">IF(OR(H88="",H88=0),"",D88/H88)</f>
        <v>0.464240625</v>
      </c>
      <c r="K88" s="64" t="n">
        <f aca="false">IF(OR(I88="",J88=""),"",J88-I88)</f>
        <v>-0.0377947083333334</v>
      </c>
    </row>
    <row r="89" customFormat="false" ht="15" hidden="false" customHeight="true" outlineLevel="0" collapsed="false">
      <c r="A89" s="62" t="s">
        <v>9</v>
      </c>
      <c r="B89" s="62" t="s">
        <v>458</v>
      </c>
      <c r="C89" s="56" t="n">
        <v>85.4068</v>
      </c>
      <c r="D89" s="63" t="n">
        <f aca="false">INDEX('تحليل التكلفة والسعر'!$C$2:$C$700,MATCH($B89,'تحليل التكلفة والسعر'!$B$2:$B$700,0))</f>
        <v>83.9942</v>
      </c>
      <c r="E89" s="63" t="n">
        <f aca="false">D89-C89</f>
        <v>-1.4126</v>
      </c>
      <c r="F89" s="64" t="n">
        <f aca="false">IF(C89=0,"",D89/C89-1)</f>
        <v>-0.01653966663076</v>
      </c>
      <c r="G89" s="56" t="n">
        <v>140</v>
      </c>
      <c r="H89" s="63" t="n">
        <f aca="false">INDEX('تحليل التكلفة والسعر'!$D$2:$D$700,MATCH($B89,'تحليل التكلفة والسعر'!$B$2:$B$700,0))</f>
        <v>150</v>
      </c>
      <c r="I89" s="64" t="n">
        <f aca="false">IF(OR(G89="",G89=0),"",C89/G89)</f>
        <v>0.610048571428572</v>
      </c>
      <c r="J89" s="64" t="n">
        <f aca="false">IF(OR(H89="",H89=0),"",D89/H89)</f>
        <v>0.559961333333333</v>
      </c>
      <c r="K89" s="64" t="n">
        <f aca="false">IF(OR(I89="",J89=""),"",J89-I89)</f>
        <v>-0.0500872380952381</v>
      </c>
    </row>
    <row r="90" customFormat="false" ht="15" hidden="false" customHeight="true" outlineLevel="0" collapsed="false">
      <c r="A90" s="62" t="s">
        <v>9</v>
      </c>
      <c r="B90" s="62" t="s">
        <v>459</v>
      </c>
      <c r="C90" s="56" t="n">
        <v>195.27215</v>
      </c>
      <c r="D90" s="63" t="n">
        <f aca="false">INDEX('تحليل التكلفة والسعر'!$C$2:$C$700,MATCH($B90,'تحليل التكلفة والسعر'!$B$2:$B$700,0))</f>
        <v>192.791</v>
      </c>
      <c r="E90" s="63" t="n">
        <f aca="false">D90-C90</f>
        <v>-2.48115000000001</v>
      </c>
      <c r="F90" s="64" t="n">
        <f aca="false">IF(C90=0,"",D90/C90-1)</f>
        <v>-0.0127061129812931</v>
      </c>
      <c r="G90" s="56" t="n">
        <v>350</v>
      </c>
      <c r="H90" s="63" t="n">
        <f aca="false">INDEX('تحليل التكلفة والسعر'!$D$2:$D$700,MATCH($B90,'تحليل التكلفة والسعر'!$B$2:$B$700,0))</f>
        <v>360</v>
      </c>
      <c r="I90" s="64" t="n">
        <f aca="false">IF(OR(G90="",G90=0),"",C90/G90)</f>
        <v>0.557920428571429</v>
      </c>
      <c r="J90" s="64" t="n">
        <f aca="false">IF(OR(H90="",H90=0),"",D90/H90)</f>
        <v>0.535530555555556</v>
      </c>
      <c r="K90" s="64" t="n">
        <f aca="false">IF(OR(I90="",J90=""),"",J90-I90)</f>
        <v>-0.0223898730158731</v>
      </c>
    </row>
    <row r="91" customFormat="false" ht="15" hidden="false" customHeight="true" outlineLevel="0" collapsed="false">
      <c r="A91" s="62" t="s">
        <v>9</v>
      </c>
      <c r="B91" s="62" t="s">
        <v>460</v>
      </c>
      <c r="C91" s="56" t="n">
        <v>125.9291</v>
      </c>
      <c r="D91" s="63" t="n">
        <f aca="false">INDEX('تحليل التكلفة والسعر'!$C$2:$C$700,MATCH($B91,'تحليل التكلفة والسعر'!$B$2:$B$700,0))</f>
        <v>127.9165</v>
      </c>
      <c r="E91" s="63" t="n">
        <f aca="false">D91-C91</f>
        <v>1.98739999999999</v>
      </c>
      <c r="F91" s="64" t="n">
        <f aca="false">IF(C91=0,"",D91/C91-1)</f>
        <v>0.015781896321025</v>
      </c>
      <c r="G91" s="56" t="n">
        <v>220</v>
      </c>
      <c r="H91" s="63" t="n">
        <f aca="false">INDEX('تحليل التكلفة والسعر'!$D$2:$D$700,MATCH($B91,'تحليل التكلفة والسعر'!$B$2:$B$700,0))</f>
        <v>230</v>
      </c>
      <c r="I91" s="64" t="n">
        <f aca="false">IF(OR(G91="",G91=0),"",C91/G91)</f>
        <v>0.572405</v>
      </c>
      <c r="J91" s="64" t="n">
        <f aca="false">IF(OR(H91="",H91=0),"",D91/H91)</f>
        <v>0.556158695652174</v>
      </c>
      <c r="K91" s="64" t="n">
        <f aca="false">IF(OR(I91="",J91=""),"",J91-I91)</f>
        <v>-0.0162463043478261</v>
      </c>
    </row>
    <row r="92" customFormat="false" ht="15" hidden="false" customHeight="true" outlineLevel="0" collapsed="false">
      <c r="A92" s="62" t="s">
        <v>13</v>
      </c>
      <c r="B92" s="62" t="s">
        <v>461</v>
      </c>
      <c r="C92" s="56" t="n">
        <v>95.4977</v>
      </c>
      <c r="D92" s="63" t="n">
        <f aca="false">INDEX('تحليل التكلفة والسعر'!$C$2:$C$700,MATCH($B92,'تحليل التكلفة والسعر'!$B$2:$B$700,0))</f>
        <v>94.041035</v>
      </c>
      <c r="E92" s="63" t="n">
        <f aca="false">D92-C92</f>
        <v>-1.456665</v>
      </c>
      <c r="F92" s="64" t="n">
        <f aca="false">IF(C92=0,"",D92/C92-1)</f>
        <v>-0.0152534040086829</v>
      </c>
      <c r="G92" s="56" t="n">
        <v>170</v>
      </c>
      <c r="H92" s="63" t="n">
        <f aca="false">INDEX('تحليل التكلفة والسعر'!$D$2:$D$700,MATCH($B92,'تحليل التكلفة والسعر'!$B$2:$B$700,0))</f>
        <v>180</v>
      </c>
      <c r="I92" s="64" t="n">
        <f aca="false">IF(OR(G92="",G92=0),"",C92/G92)</f>
        <v>0.561751176470588</v>
      </c>
      <c r="J92" s="64" t="n">
        <f aca="false">IF(OR(H92="",H92=0),"",D92/H92)</f>
        <v>0.522450194444444</v>
      </c>
      <c r="K92" s="64" t="n">
        <f aca="false">IF(OR(I92="",J92=""),"",J92-I92)</f>
        <v>-0.0393009820261439</v>
      </c>
    </row>
    <row r="93" customFormat="false" ht="15" hidden="false" customHeight="true" outlineLevel="0" collapsed="false">
      <c r="A93" s="62" t="s">
        <v>10</v>
      </c>
      <c r="B93" s="62" t="s">
        <v>462</v>
      </c>
      <c r="C93" s="56" t="n">
        <v>62.45</v>
      </c>
      <c r="D93" s="63" t="n">
        <f aca="false">INDEX('تحليل التكلفة والسعر'!$C$2:$C$700,MATCH($B93,'تحليل التكلفة والسعر'!$B$2:$B$700,0))</f>
        <v>63.45</v>
      </c>
      <c r="E93" s="63" t="n">
        <f aca="false">D93-C93</f>
        <v>1</v>
      </c>
      <c r="F93" s="64" t="n">
        <f aca="false">IF(C93=0,"",D93/C93-1)</f>
        <v>0.0160128102481985</v>
      </c>
      <c r="G93" s="56" t="n">
        <v>100</v>
      </c>
      <c r="H93" s="63" t="n">
        <f aca="false">INDEX('تحليل التكلفة والسعر'!$D$2:$D$700,MATCH($B93,'تحليل التكلفة والسعر'!$B$2:$B$700,0))</f>
        <v>110</v>
      </c>
      <c r="I93" s="64" t="n">
        <f aca="false">IF(OR(G93="",G93=0),"",C93/G93)</f>
        <v>0.6245</v>
      </c>
      <c r="J93" s="64" t="n">
        <f aca="false">IF(OR(H93="",H93=0),"",D93/H93)</f>
        <v>0.576818181818182</v>
      </c>
      <c r="K93" s="64" t="n">
        <f aca="false">IF(OR(I93="",J93=""),"",J93-I93)</f>
        <v>-0.0476818181818182</v>
      </c>
    </row>
    <row r="94" customFormat="false" ht="15" hidden="false" customHeight="true" outlineLevel="0" collapsed="false">
      <c r="A94" s="62" t="s">
        <v>9</v>
      </c>
      <c r="B94" s="62" t="s">
        <v>463</v>
      </c>
      <c r="C94" s="56" t="n">
        <v>106.59215</v>
      </c>
      <c r="D94" s="63" t="n">
        <f aca="false">INDEX('تحليل التكلفة والسعر'!$C$2:$C$700,MATCH($B94,'تحليل التكلفة والسعر'!$B$2:$B$700,0))</f>
        <v>105.791</v>
      </c>
      <c r="E94" s="63" t="n">
        <f aca="false">D94-C94</f>
        <v>-0.801150000000007</v>
      </c>
      <c r="F94" s="64" t="n">
        <f aca="false">IF(C94=0,"",D94/C94-1)</f>
        <v>-0.00751603190291228</v>
      </c>
      <c r="G94" s="56" t="n">
        <v>180</v>
      </c>
      <c r="H94" s="63" t="n">
        <f aca="false">INDEX('تحليل التكلفة والسعر'!$D$2:$D$700,MATCH($B94,'تحليل التكلفة والسعر'!$B$2:$B$700,0))</f>
        <v>190</v>
      </c>
      <c r="I94" s="64" t="n">
        <f aca="false">IF(OR(G94="",G94=0),"",C94/G94)</f>
        <v>0.592178611111111</v>
      </c>
      <c r="J94" s="64" t="n">
        <f aca="false">IF(OR(H94="",H94=0),"",D94/H94)</f>
        <v>0.556794736842105</v>
      </c>
      <c r="K94" s="64" t="n">
        <f aca="false">IF(OR(I94="",J94=""),"",J94-I94)</f>
        <v>-0.0353838742690059</v>
      </c>
    </row>
    <row r="95" customFormat="false" ht="15" hidden="false" customHeight="true" outlineLevel="0" collapsed="false">
      <c r="A95" s="62" t="s">
        <v>15</v>
      </c>
      <c r="B95" s="62" t="s">
        <v>464</v>
      </c>
      <c r="C95" s="56" t="n">
        <v>15.8277</v>
      </c>
      <c r="D95" s="63" t="n">
        <f aca="false">INDEX('تحليل التكلفة والسعر'!$C$2:$C$700,MATCH($B95,'تحليل التكلفة والسعر'!$B$2:$B$700,0))</f>
        <v>16.0527</v>
      </c>
      <c r="E95" s="63" t="n">
        <f aca="false">D95-C95</f>
        <v>0.225000000000001</v>
      </c>
      <c r="F95" s="64" t="n">
        <f aca="false">IF(C95=0,"",D95/C95-1)</f>
        <v>0.0142155840709643</v>
      </c>
      <c r="G95" s="56" t="n">
        <v>30</v>
      </c>
      <c r="H95" s="63" t="n">
        <f aca="false">INDEX('تحليل التكلفة والسعر'!$D$2:$D$700,MATCH($B95,'تحليل التكلفة والسعر'!$B$2:$B$700,0))</f>
        <v>40</v>
      </c>
      <c r="I95" s="64" t="n">
        <f aca="false">IF(OR(G95="",G95=0),"",C95/G95)</f>
        <v>0.52759</v>
      </c>
      <c r="J95" s="64" t="n">
        <f aca="false">IF(OR(H95="",H95=0),"",D95/H95)</f>
        <v>0.4013175</v>
      </c>
      <c r="K95" s="64" t="n">
        <f aca="false">IF(OR(I95="",J95=""),"",J95-I95)</f>
        <v>-0.1262725</v>
      </c>
    </row>
    <row r="96" customFormat="false" ht="15" hidden="false" customHeight="true" outlineLevel="0" collapsed="false">
      <c r="A96" s="62" t="s">
        <v>16</v>
      </c>
      <c r="B96" s="62" t="s">
        <v>465</v>
      </c>
      <c r="C96" s="56" t="n">
        <v>34.9291</v>
      </c>
      <c r="D96" s="63" t="n">
        <f aca="false">INDEX('تحليل التكلفة والسعر'!$C$2:$C$700,MATCH($B96,'تحليل التكلفة والسعر'!$B$2:$B$700,0))</f>
        <v>35.4165</v>
      </c>
      <c r="E96" s="63" t="n">
        <f aca="false">D96-C96</f>
        <v>0.487400000000001</v>
      </c>
      <c r="F96" s="64" t="n">
        <f aca="false">IF(C96=0,"",D96/C96-1)</f>
        <v>0.0139539810644993</v>
      </c>
      <c r="G96" s="56" t="n">
        <v>80</v>
      </c>
      <c r="H96" s="63" t="n">
        <f aca="false">INDEX('تحليل التكلفة والسعر'!$D$2:$D$700,MATCH($B96,'تحليل التكلفة والسعر'!$B$2:$B$700,0))</f>
        <v>90</v>
      </c>
      <c r="I96" s="64" t="n">
        <f aca="false">IF(OR(G96="",G96=0),"",C96/G96)</f>
        <v>0.43661375</v>
      </c>
      <c r="J96" s="64" t="n">
        <f aca="false">IF(OR(H96="",H96=0),"",D96/H96)</f>
        <v>0.393516666666667</v>
      </c>
      <c r="K96" s="64" t="n">
        <f aca="false">IF(OR(I96="",J96=""),"",J96-I96)</f>
        <v>-0.0430970833333333</v>
      </c>
    </row>
    <row r="97" customFormat="false" ht="15" hidden="false" customHeight="true" outlineLevel="0" collapsed="false">
      <c r="A97" s="62" t="s">
        <v>9</v>
      </c>
      <c r="B97" s="62" t="s">
        <v>466</v>
      </c>
      <c r="C97" s="56" t="n">
        <v>73.9291</v>
      </c>
      <c r="D97" s="63" t="n">
        <f aca="false">INDEX('تحليل التكلفة والسعر'!$C$2:$C$700,MATCH($B97,'تحليل التكلفة والسعر'!$B$2:$B$700,0))</f>
        <v>74.9165</v>
      </c>
      <c r="E97" s="63" t="n">
        <f aca="false">D97-C97</f>
        <v>0.987399999999994</v>
      </c>
      <c r="F97" s="64" t="n">
        <f aca="false">IF(C97=0,"",D97/C97-1)</f>
        <v>0.0133560397732422</v>
      </c>
      <c r="G97" s="56" t="n">
        <v>120</v>
      </c>
      <c r="H97" s="63" t="n">
        <f aca="false">INDEX('تحليل التكلفة والسعر'!$D$2:$D$700,MATCH($B97,'تحليل التكلفة والسعر'!$B$2:$B$700,0))</f>
        <v>130</v>
      </c>
      <c r="I97" s="64" t="n">
        <f aca="false">IF(OR(G97="",G97=0),"",C97/G97)</f>
        <v>0.616075833333333</v>
      </c>
      <c r="J97" s="64" t="n">
        <f aca="false">IF(OR(H97="",H97=0),"",D97/H97)</f>
        <v>0.576280769230769</v>
      </c>
      <c r="K97" s="64" t="n">
        <f aca="false">IF(OR(I97="",J97=""),"",J97-I97)</f>
        <v>-0.0397950641025642</v>
      </c>
    </row>
    <row r="98" customFormat="false" ht="15" hidden="false" customHeight="true" outlineLevel="0" collapsed="false">
      <c r="A98" s="62" t="s">
        <v>9</v>
      </c>
      <c r="B98" s="62" t="s">
        <v>467</v>
      </c>
      <c r="C98" s="56" t="n">
        <v>37.4291</v>
      </c>
      <c r="D98" s="63" t="n">
        <f aca="false">INDEX('تحليل التكلفة والسعر'!$C$2:$C$700,MATCH($B98,'تحليل التكلفة والسعر'!$B$2:$B$700,0))</f>
        <v>37.9165</v>
      </c>
      <c r="E98" s="63" t="n">
        <f aca="false">D98-C98</f>
        <v>0.487400000000001</v>
      </c>
      <c r="F98" s="64" t="n">
        <f aca="false">IF(C98=0,"",D98/C98-1)</f>
        <v>0.0130219535067635</v>
      </c>
      <c r="G98" s="56" t="n">
        <v>80</v>
      </c>
      <c r="H98" s="63" t="n">
        <f aca="false">INDEX('تحليل التكلفة والسعر'!$D$2:$D$700,MATCH($B98,'تحليل التكلفة والسعر'!$B$2:$B$700,0))</f>
        <v>90</v>
      </c>
      <c r="I98" s="64" t="n">
        <f aca="false">IF(OR(G98="",G98=0),"",C98/G98)</f>
        <v>0.46786375</v>
      </c>
      <c r="J98" s="64" t="n">
        <f aca="false">IF(OR(H98="",H98=0),"",D98/H98)</f>
        <v>0.421294444444444</v>
      </c>
      <c r="K98" s="64" t="n">
        <f aca="false">IF(OR(I98="",J98=""),"",J98-I98)</f>
        <v>-0.0465693055555556</v>
      </c>
    </row>
    <row r="99" customFormat="false" ht="15" hidden="false" customHeight="true" outlineLevel="0" collapsed="false">
      <c r="A99" s="62" t="s">
        <v>10</v>
      </c>
      <c r="B99" s="62" t="s">
        <v>468</v>
      </c>
      <c r="C99" s="56" t="n">
        <v>87.85</v>
      </c>
      <c r="D99" s="63" t="n">
        <f aca="false">INDEX('تحليل التكلفة والسعر'!$C$2:$C$700,MATCH($B99,'تحليل التكلفة والسعر'!$B$2:$B$700,0))</f>
        <v>89.05</v>
      </c>
      <c r="E99" s="63" t="n">
        <f aca="false">D99-C99</f>
        <v>1.2</v>
      </c>
      <c r="F99" s="64" t="n">
        <f aca="false">IF(C99=0,"",D99/C99-1)</f>
        <v>0.0136596471257826</v>
      </c>
      <c r="G99" s="56" t="n">
        <v>160</v>
      </c>
      <c r="H99" s="63" t="n">
        <f aca="false">INDEX('تحليل التكلفة والسعر'!$D$2:$D$700,MATCH($B99,'تحليل التكلفة والسعر'!$B$2:$B$700,0))</f>
        <v>170</v>
      </c>
      <c r="I99" s="64" t="n">
        <f aca="false">IF(OR(G99="",G99=0),"",C99/G99)</f>
        <v>0.5490625</v>
      </c>
      <c r="J99" s="64" t="n">
        <f aca="false">IF(OR(H99="",H99=0),"",D99/H99)</f>
        <v>0.523823529411765</v>
      </c>
      <c r="K99" s="64" t="n">
        <f aca="false">IF(OR(I99="",J99=""),"",J99-I99)</f>
        <v>-0.0252389705882353</v>
      </c>
    </row>
    <row r="100" customFormat="false" ht="15" hidden="false" customHeight="true" outlineLevel="0" collapsed="false">
      <c r="A100" s="62" t="s">
        <v>10</v>
      </c>
      <c r="B100" s="62" t="s">
        <v>469</v>
      </c>
      <c r="C100" s="56" t="n">
        <v>156.65395</v>
      </c>
      <c r="D100" s="63" t="n">
        <f aca="false">INDEX('تحليل التكلفة والسعر'!$C$2:$C$700,MATCH($B100,'تحليل التكلفة والسعر'!$B$2:$B$700,0))</f>
        <v>158.2982</v>
      </c>
      <c r="E100" s="63" t="n">
        <f aca="false">D100-C100</f>
        <v>1.64425</v>
      </c>
      <c r="F100" s="64" t="n">
        <f aca="false">IF(C100=0,"",D100/C100-1)</f>
        <v>0.0104960647337651</v>
      </c>
      <c r="G100" s="56" t="n">
        <v>320</v>
      </c>
      <c r="H100" s="63" t="n">
        <f aca="false">INDEX('تحليل التكلفة والسعر'!$D$2:$D$700,MATCH($B100,'تحليل التكلفة والسعر'!$B$2:$B$700,0))</f>
        <v>330</v>
      </c>
      <c r="I100" s="64" t="n">
        <f aca="false">IF(OR(G100="",G100=0),"",C100/G100)</f>
        <v>0.48954359375</v>
      </c>
      <c r="J100" s="64" t="n">
        <f aca="false">IF(OR(H100="",H100=0),"",D100/H100)</f>
        <v>0.479691515151515</v>
      </c>
      <c r="K100" s="64" t="n">
        <f aca="false">IF(OR(I100="",J100=""),"",J100-I100)</f>
        <v>-0.0098520785984848</v>
      </c>
    </row>
    <row r="101" customFormat="false" ht="15" hidden="false" customHeight="true" outlineLevel="0" collapsed="false">
      <c r="A101" s="62" t="s">
        <v>10</v>
      </c>
      <c r="B101" s="62" t="s">
        <v>470</v>
      </c>
      <c r="C101" s="56" t="n">
        <v>156.65395</v>
      </c>
      <c r="D101" s="63" t="n">
        <f aca="false">INDEX('تحليل التكلفة والسعر'!$C$2:$C$700,MATCH($B101,'تحليل التكلفة والسعر'!$B$2:$B$700,0))</f>
        <v>158.2982</v>
      </c>
      <c r="E101" s="63" t="n">
        <f aca="false">D101-C101</f>
        <v>1.64425</v>
      </c>
      <c r="F101" s="64" t="n">
        <f aca="false">IF(C101=0,"",D101/C101-1)</f>
        <v>0.0104960647337651</v>
      </c>
      <c r="G101" s="56" t="n">
        <v>330</v>
      </c>
      <c r="H101" s="63" t="n">
        <f aca="false">INDEX('تحليل التكلفة والسعر'!$D$2:$D$700,MATCH($B101,'تحليل التكلفة والسعر'!$B$2:$B$700,0))</f>
        <v>340</v>
      </c>
      <c r="I101" s="64" t="n">
        <f aca="false">IF(OR(G101="",G101=0),"",C101/G101)</f>
        <v>0.474708939393939</v>
      </c>
      <c r="J101" s="64" t="n">
        <f aca="false">IF(OR(H101="",H101=0),"",D101/H101)</f>
        <v>0.465582941176471</v>
      </c>
      <c r="K101" s="64" t="n">
        <f aca="false">IF(OR(I101="",J101=""),"",J101-I101)</f>
        <v>-0.00912599821746885</v>
      </c>
    </row>
    <row r="102" customFormat="false" ht="15" hidden="false" customHeight="true" outlineLevel="0" collapsed="false">
      <c r="A102" s="62" t="s">
        <v>10</v>
      </c>
      <c r="B102" s="62" t="s">
        <v>471</v>
      </c>
      <c r="C102" s="56" t="n">
        <v>114.9303</v>
      </c>
      <c r="D102" s="63" t="n">
        <f aca="false">INDEX('تحليل التكلفة والسعر'!$C$2:$C$700,MATCH($B102,'تحليل التكلفة والسعر'!$B$2:$B$700,0))</f>
        <v>116.2965</v>
      </c>
      <c r="E102" s="63" t="n">
        <f aca="false">D102-C102</f>
        <v>1.36619999999999</v>
      </c>
      <c r="F102" s="64" t="n">
        <f aca="false">IF(C102=0,"",D102/C102-1)</f>
        <v>0.0118872046797058</v>
      </c>
      <c r="G102" s="56" t="n">
        <v>200</v>
      </c>
      <c r="H102" s="63" t="n">
        <f aca="false">INDEX('تحليل التكلفة والسعر'!$D$2:$D$700,MATCH($B102,'تحليل التكلفة والسعر'!$B$2:$B$700,0))</f>
        <v>210</v>
      </c>
      <c r="I102" s="64" t="n">
        <f aca="false">IF(OR(G102="",G102=0),"",C102/G102)</f>
        <v>0.5746515</v>
      </c>
      <c r="J102" s="64" t="n">
        <f aca="false">IF(OR(H102="",H102=0),"",D102/H102)</f>
        <v>0.553792857142857</v>
      </c>
      <c r="K102" s="64" t="n">
        <f aca="false">IF(OR(I102="",J102=""),"",J102-I102)</f>
        <v>-0.0208586428571429</v>
      </c>
    </row>
    <row r="103" customFormat="false" ht="15" hidden="false" customHeight="true" outlineLevel="0" collapsed="false">
      <c r="A103" s="62" t="s">
        <v>17</v>
      </c>
      <c r="B103" s="62" t="s">
        <v>472</v>
      </c>
      <c r="C103" s="56" t="n">
        <v>46.16395</v>
      </c>
      <c r="D103" s="63" t="n">
        <f aca="false">INDEX('تحليل التكلفة والسعر'!$C$2:$C$700,MATCH($B103,'تحليل التكلفة والسعر'!$B$2:$B$700,0))</f>
        <v>45.6315</v>
      </c>
      <c r="E103" s="63" t="n">
        <f aca="false">D103-C103</f>
        <v>-0.532449999999997</v>
      </c>
      <c r="F103" s="64" t="n">
        <f aca="false">IF(C103=0,"",D103/C103-1)</f>
        <v>-0.0115338917055408</v>
      </c>
      <c r="G103" s="56" t="n">
        <v>110</v>
      </c>
      <c r="H103" s="63" t="n">
        <f aca="false">INDEX('تحليل التكلفة والسعر'!$D$2:$D$700,MATCH($B103,'تحليل التكلفة والسعر'!$B$2:$B$700,0))</f>
        <v>120</v>
      </c>
      <c r="I103" s="64" t="n">
        <f aca="false">IF(OR(G103="",G103=0),"",C103/G103)</f>
        <v>0.419672272727273</v>
      </c>
      <c r="J103" s="64" t="n">
        <f aca="false">IF(OR(H103="",H103=0),"",D103/H103)</f>
        <v>0.3802625</v>
      </c>
      <c r="K103" s="64" t="n">
        <f aca="false">IF(OR(I103="",J103=""),"",J103-I103)</f>
        <v>-0.0394097727272727</v>
      </c>
    </row>
    <row r="104" customFormat="false" ht="15" hidden="false" customHeight="true" outlineLevel="0" collapsed="false">
      <c r="A104" s="62" t="s">
        <v>10</v>
      </c>
      <c r="B104" s="62" t="s">
        <v>473</v>
      </c>
      <c r="C104" s="56" t="n">
        <v>121.9303</v>
      </c>
      <c r="D104" s="63" t="n">
        <f aca="false">INDEX('تحليل التكلفة والسعر'!$C$2:$C$700,MATCH($B104,'تحليل التكلفة والسعر'!$B$2:$B$700,0))</f>
        <v>123.2965</v>
      </c>
      <c r="E104" s="63" t="n">
        <f aca="false">D104-C104</f>
        <v>1.36619999999999</v>
      </c>
      <c r="F104" s="64" t="n">
        <f aca="false">IF(C104=0,"",D104/C104-1)</f>
        <v>0.0112047620648845</v>
      </c>
      <c r="G104" s="56" t="n">
        <v>220</v>
      </c>
      <c r="H104" s="63" t="n">
        <f aca="false">INDEX('تحليل التكلفة والسعر'!$D$2:$D$700,MATCH($B104,'تحليل التكلفة والسعر'!$B$2:$B$700,0))</f>
        <v>230</v>
      </c>
      <c r="I104" s="64" t="n">
        <f aca="false">IF(OR(G104="",G104=0),"",C104/G104)</f>
        <v>0.554228636363636</v>
      </c>
      <c r="J104" s="64" t="n">
        <f aca="false">IF(OR(H104="",H104=0),"",D104/H104)</f>
        <v>0.536071739130435</v>
      </c>
      <c r="K104" s="64" t="n">
        <f aca="false">IF(OR(I104="",J104=""),"",J104-I104)</f>
        <v>-0.0181568972332017</v>
      </c>
    </row>
    <row r="105" customFormat="false" ht="15" hidden="false" customHeight="true" outlineLevel="0" collapsed="false">
      <c r="A105" s="62" t="s">
        <v>16</v>
      </c>
      <c r="B105" s="62" t="s">
        <v>474</v>
      </c>
      <c r="C105" s="56" t="n">
        <v>45.4291</v>
      </c>
      <c r="D105" s="63" t="n">
        <f aca="false">INDEX('تحليل التكلفة والسعر'!$C$2:$C$700,MATCH($B105,'تحليل التكلفة والسعر'!$B$2:$B$700,0))</f>
        <v>45.9165</v>
      </c>
      <c r="E105" s="63" t="n">
        <f aca="false">D105-C105</f>
        <v>0.487400000000001</v>
      </c>
      <c r="F105" s="64" t="n">
        <f aca="false">IF(C105=0,"",D105/C105-1)</f>
        <v>0.0107288059855908</v>
      </c>
      <c r="G105" s="56" t="n">
        <v>120</v>
      </c>
      <c r="H105" s="63" t="n">
        <f aca="false">INDEX('تحليل التكلفة والسعر'!$D$2:$D$700,MATCH($B105,'تحليل التكلفة والسعر'!$B$2:$B$700,0))</f>
        <v>130</v>
      </c>
      <c r="I105" s="64" t="n">
        <f aca="false">IF(OR(G105="",G105=0),"",C105/G105)</f>
        <v>0.378575833333333</v>
      </c>
      <c r="J105" s="64" t="n">
        <f aca="false">IF(OR(H105="",H105=0),"",D105/H105)</f>
        <v>0.353203846153846</v>
      </c>
      <c r="K105" s="64" t="n">
        <f aca="false">IF(OR(I105="",J105=""),"",J105-I105)</f>
        <v>-0.0253719871794872</v>
      </c>
    </row>
    <row r="106" customFormat="false" ht="15" hidden="false" customHeight="true" outlineLevel="0" collapsed="false">
      <c r="A106" s="62" t="s">
        <v>9</v>
      </c>
      <c r="B106" s="62" t="s">
        <v>475</v>
      </c>
      <c r="C106" s="56" t="n">
        <v>88.4068</v>
      </c>
      <c r="D106" s="63" t="n">
        <f aca="false">INDEX('تحليل التكلفة والسعر'!$C$2:$C$700,MATCH($B106,'تحليل التكلفة والسعر'!$B$2:$B$700,0))</f>
        <v>87.4942</v>
      </c>
      <c r="E106" s="63" t="n">
        <f aca="false">D106-C106</f>
        <v>-0.912599999999998</v>
      </c>
      <c r="F106" s="64" t="n">
        <f aca="false">IF(C106=0,"",D106/C106-1)</f>
        <v>-0.0103227353551989</v>
      </c>
      <c r="G106" s="56" t="n">
        <v>140</v>
      </c>
      <c r="H106" s="63" t="n">
        <f aca="false">INDEX('تحليل التكلفة والسعر'!$D$2:$D$700,MATCH($B106,'تحليل التكلفة والسعر'!$B$2:$B$700,0))</f>
        <v>150</v>
      </c>
      <c r="I106" s="64" t="n">
        <f aca="false">IF(OR(G106="",G106=0),"",C106/G106)</f>
        <v>0.631477142857143</v>
      </c>
      <c r="J106" s="64" t="n">
        <f aca="false">IF(OR(H106="",H106=0),"",D106/H106)</f>
        <v>0.583294666666667</v>
      </c>
      <c r="K106" s="64" t="n">
        <f aca="false">IF(OR(I106="",J106=""),"",J106-I106)</f>
        <v>-0.0481824761904761</v>
      </c>
    </row>
    <row r="107" customFormat="false" ht="15" hidden="false" customHeight="true" outlineLevel="0" collapsed="false">
      <c r="A107" s="62" t="s">
        <v>12</v>
      </c>
      <c r="B107" s="62" t="s">
        <v>476</v>
      </c>
      <c r="C107" s="56" t="n">
        <v>72.8087</v>
      </c>
      <c r="D107" s="63" t="n">
        <f aca="false">INDEX('تحليل التكلفة والسعر'!$C$2:$C$700,MATCH($B107,'تحليل التكلفة والسعر'!$B$2:$B$700,0))</f>
        <v>72.0865</v>
      </c>
      <c r="E107" s="63" t="n">
        <f aca="false">D107-C107</f>
        <v>-0.722200000000001</v>
      </c>
      <c r="F107" s="64" t="n">
        <f aca="false">IF(C107=0,"",D107/C107-1)</f>
        <v>-0.00991914427808771</v>
      </c>
      <c r="G107" s="56" t="n">
        <v>140</v>
      </c>
      <c r="H107" s="63" t="n">
        <f aca="false">INDEX('تحليل التكلفة والسعر'!$D$2:$D$700,MATCH($B107,'تحليل التكلفة والسعر'!$B$2:$B$700,0))</f>
        <v>150</v>
      </c>
      <c r="I107" s="64" t="n">
        <f aca="false">IF(OR(G107="",G107=0),"",C107/G107)</f>
        <v>0.520062142857143</v>
      </c>
      <c r="J107" s="64" t="n">
        <f aca="false">IF(OR(H107="",H107=0),"",D107/H107)</f>
        <v>0.480576666666667</v>
      </c>
      <c r="K107" s="64" t="n">
        <f aca="false">IF(OR(I107="",J107=""),"",J107-I107)</f>
        <v>-0.0394854761904763</v>
      </c>
    </row>
    <row r="108" customFormat="false" ht="15" hidden="false" customHeight="true" outlineLevel="0" collapsed="false">
      <c r="A108" s="62" t="s">
        <v>21</v>
      </c>
      <c r="B108" s="62" t="s">
        <v>477</v>
      </c>
      <c r="C108" s="56" t="n">
        <v>75.6307</v>
      </c>
      <c r="D108" s="63" t="n">
        <f aca="false">INDEX('تحليل التكلفة والسعر'!$C$2:$C$700,MATCH($B108,'تحليل التكلفة والسعر'!$B$2:$B$700,0))</f>
        <v>74.9130720833333</v>
      </c>
      <c r="E108" s="63" t="n">
        <f aca="false">D108-C108</f>
        <v>-0.717627916666672</v>
      </c>
      <c r="F108" s="64" t="n">
        <f aca="false">IF(C108=0,"",D108/C108-1)</f>
        <v>-0.0094885795935602</v>
      </c>
      <c r="G108" s="56" t="n">
        <v>180</v>
      </c>
      <c r="H108" s="63" t="n">
        <f aca="false">INDEX('تحليل التكلفة والسعر'!$D$2:$D$700,MATCH($B108,'تحليل التكلفة والسعر'!$B$2:$B$700,0))</f>
        <v>190</v>
      </c>
      <c r="I108" s="64" t="n">
        <f aca="false">IF(OR(G108="",G108=0),"",C108/G108)</f>
        <v>0.420170555555556</v>
      </c>
      <c r="J108" s="64" t="n">
        <f aca="false">IF(OR(H108="",H108=0),"",D108/H108)</f>
        <v>0.394279326754386</v>
      </c>
      <c r="K108" s="64" t="n">
        <f aca="false">IF(OR(I108="",J108=""),"",J108-I108)</f>
        <v>-0.0258912288011696</v>
      </c>
    </row>
    <row r="109" customFormat="false" ht="15" hidden="false" customHeight="true" outlineLevel="0" collapsed="false">
      <c r="A109" s="62" t="s">
        <v>9</v>
      </c>
      <c r="B109" s="62" t="s">
        <v>478</v>
      </c>
      <c r="C109" s="56" t="n">
        <v>82.9291</v>
      </c>
      <c r="D109" s="63" t="n">
        <f aca="false">INDEX('تحليل التكلفة والسعر'!$C$2:$C$700,MATCH($B109,'تحليل التكلفة والسعر'!$B$2:$B$700,0))</f>
        <v>82.3985</v>
      </c>
      <c r="E109" s="63" t="n">
        <f aca="false">D109-C109</f>
        <v>-0.530600000000007</v>
      </c>
      <c r="F109" s="64" t="n">
        <f aca="false">IF(C109=0,"",D109/C109-1)</f>
        <v>-0.00639823656593408</v>
      </c>
      <c r="G109" s="56" t="n">
        <v>140</v>
      </c>
      <c r="H109" s="63" t="n">
        <f aca="false">INDEX('تحليل التكلفة والسعر'!$D$2:$D$700,MATCH($B109,'تحليل التكلفة والسعر'!$B$2:$B$700,0))</f>
        <v>150</v>
      </c>
      <c r="I109" s="64" t="n">
        <f aca="false">IF(OR(G109="",G109=0),"",C109/G109)</f>
        <v>0.592350714285714</v>
      </c>
      <c r="J109" s="64" t="n">
        <f aca="false">IF(OR(H109="",H109=0),"",D109/H109)</f>
        <v>0.549323333333333</v>
      </c>
      <c r="K109" s="64" t="n">
        <f aca="false">IF(OR(I109="",J109=""),"",J109-I109)</f>
        <v>-0.043027380952381</v>
      </c>
    </row>
    <row r="110" customFormat="false" ht="15" hidden="false" customHeight="true" outlineLevel="0" collapsed="false">
      <c r="A110" s="62" t="s">
        <v>17</v>
      </c>
      <c r="B110" s="62" t="s">
        <v>479</v>
      </c>
      <c r="C110" s="56" t="n">
        <v>61.91395</v>
      </c>
      <c r="D110" s="63" t="n">
        <f aca="false">INDEX('تحليل التكلفة والسعر'!$C$2:$C$700,MATCH($B110,'تحليل التكلفة والسعر'!$B$2:$B$700,0))</f>
        <v>61.3815</v>
      </c>
      <c r="E110" s="63" t="n">
        <f aca="false">D110-C110</f>
        <v>-0.532449999999997</v>
      </c>
      <c r="F110" s="64" t="n">
        <f aca="false">IF(C110=0,"",D110/C110-1)</f>
        <v>-0.00859983897005434</v>
      </c>
      <c r="G110" s="56" t="n">
        <v>180</v>
      </c>
      <c r="H110" s="63" t="n">
        <f aca="false">INDEX('تحليل التكلفة والسعر'!$D$2:$D$700,MATCH($B110,'تحليل التكلفة والسعر'!$B$2:$B$700,0))</f>
        <v>190</v>
      </c>
      <c r="I110" s="64" t="n">
        <f aca="false">IF(OR(G110="",G110=0),"",C110/G110)</f>
        <v>0.343966388888889</v>
      </c>
      <c r="J110" s="64" t="n">
        <f aca="false">IF(OR(H110="",H110=0),"",D110/H110)</f>
        <v>0.323060526315789</v>
      </c>
      <c r="K110" s="64" t="n">
        <f aca="false">IF(OR(I110="",J110=""),"",J110-I110)</f>
        <v>-0.0209058625730994</v>
      </c>
    </row>
    <row r="111" customFormat="false" ht="15" hidden="false" customHeight="true" outlineLevel="0" collapsed="false">
      <c r="A111" s="62" t="s">
        <v>21</v>
      </c>
      <c r="B111" s="62" t="s">
        <v>480</v>
      </c>
      <c r="C111" s="56" t="n">
        <v>58.6207</v>
      </c>
      <c r="D111" s="63" t="n">
        <f aca="false">INDEX('تحليل التكلفة والسعر'!$C$2:$C$700,MATCH($B111,'تحليل التكلفة والسعر'!$B$2:$B$700,0))</f>
        <v>58.1605720833333</v>
      </c>
      <c r="E111" s="63" t="n">
        <f aca="false">D111-C111</f>
        <v>-0.460127916666664</v>
      </c>
      <c r="F111" s="64" t="n">
        <f aca="false">IF(C111=0,"",D111/C111-1)</f>
        <v>-0.00784923954621264</v>
      </c>
      <c r="G111" s="56" t="n">
        <v>100</v>
      </c>
      <c r="H111" s="63" t="n">
        <f aca="false">INDEX('تحليل التكلفة والسعر'!$D$2:$D$700,MATCH($B111,'تحليل التكلفة والسعر'!$B$2:$B$700,0))</f>
        <v>110</v>
      </c>
      <c r="I111" s="64" t="n">
        <f aca="false">IF(OR(G111="",G111=0),"",C111/G111)</f>
        <v>0.586207</v>
      </c>
      <c r="J111" s="64" t="n">
        <f aca="false">IF(OR(H111="",H111=0),"",D111/H111)</f>
        <v>0.528732473484849</v>
      </c>
      <c r="K111" s="64" t="n">
        <f aca="false">IF(OR(I111="",J111=""),"",J111-I111)</f>
        <v>-0.0574745265151515</v>
      </c>
    </row>
    <row r="112" customFormat="false" ht="15" hidden="false" customHeight="true" outlineLevel="0" collapsed="false">
      <c r="A112" s="62" t="s">
        <v>16</v>
      </c>
      <c r="B112" s="62" t="s">
        <v>481</v>
      </c>
      <c r="C112" s="56" t="n">
        <v>61.3291</v>
      </c>
      <c r="D112" s="63" t="n">
        <f aca="false">INDEX('تحليل التكلفة والسعر'!$C$2:$C$700,MATCH($B112,'تحليل التكلفة والسعر'!$B$2:$B$700,0))</f>
        <v>61.8189</v>
      </c>
      <c r="E112" s="63" t="n">
        <f aca="false">D112-C112</f>
        <v>0.489800000000002</v>
      </c>
      <c r="F112" s="64" t="n">
        <f aca="false">IF(C112=0,"",D112/C112-1)</f>
        <v>0.00798642080187051</v>
      </c>
      <c r="G112" s="56" t="n">
        <v>110</v>
      </c>
      <c r="H112" s="63" t="n">
        <f aca="false">INDEX('تحليل التكلفة والسعر'!$D$2:$D$700,MATCH($B112,'تحليل التكلفة والسعر'!$B$2:$B$700,0))</f>
        <v>120</v>
      </c>
      <c r="I112" s="64" t="n">
        <f aca="false">IF(OR(G112="",G112=0),"",C112/G112)</f>
        <v>0.557537272727273</v>
      </c>
      <c r="J112" s="64" t="n">
        <f aca="false">IF(OR(H112="",H112=0),"",D112/H112)</f>
        <v>0.5151575</v>
      </c>
      <c r="K112" s="64" t="n">
        <f aca="false">IF(OR(I112="",J112=""),"",J112-I112)</f>
        <v>-0.0423797727272727</v>
      </c>
    </row>
    <row r="113" customFormat="false" ht="15" hidden="false" customHeight="true" outlineLevel="0" collapsed="false">
      <c r="A113" s="62" t="s">
        <v>9</v>
      </c>
      <c r="B113" s="62" t="s">
        <v>482</v>
      </c>
      <c r="C113" s="56" t="n">
        <v>79.3041</v>
      </c>
      <c r="D113" s="63" t="n">
        <f aca="false">INDEX('تحليل التكلفة والسعر'!$C$2:$C$700,MATCH($B113,'تحليل التكلفة والسعر'!$B$2:$B$700,0))</f>
        <v>78.8985</v>
      </c>
      <c r="E113" s="63" t="n">
        <f aca="false">D113-C113</f>
        <v>-0.405600000000007</v>
      </c>
      <c r="F113" s="64" t="n">
        <f aca="false">IF(C113=0,"",D113/C113-1)</f>
        <v>-0.0051144896669908</v>
      </c>
      <c r="G113" s="56" t="n">
        <v>140</v>
      </c>
      <c r="H113" s="63" t="n">
        <f aca="false">INDEX('تحليل التكلفة والسعر'!$D$2:$D$700,MATCH($B113,'تحليل التكلفة والسعر'!$B$2:$B$700,0))</f>
        <v>150</v>
      </c>
      <c r="I113" s="64" t="n">
        <f aca="false">IF(OR(G113="",G113=0),"",C113/G113)</f>
        <v>0.566457857142857</v>
      </c>
      <c r="J113" s="64" t="n">
        <f aca="false">IF(OR(H113="",H113=0),"",D113/H113)</f>
        <v>0.52599</v>
      </c>
      <c r="K113" s="64" t="n">
        <f aca="false">IF(OR(I113="",J113=""),"",J113-I113)</f>
        <v>-0.0404678571428573</v>
      </c>
    </row>
    <row r="114" customFormat="false" ht="15" hidden="false" customHeight="true" outlineLevel="0" collapsed="false">
      <c r="A114" s="62" t="s">
        <v>10</v>
      </c>
      <c r="B114" s="62" t="s">
        <v>483</v>
      </c>
      <c r="C114" s="56" t="n">
        <v>189.59395</v>
      </c>
      <c r="D114" s="63" t="n">
        <f aca="false">INDEX('تحليل التكلفة والسعر'!$C$2:$C$700,MATCH($B114,'تحليل التكلفة والسعر'!$B$2:$B$700,0))</f>
        <v>188.1315</v>
      </c>
      <c r="E114" s="63" t="n">
        <f aca="false">D114-C114</f>
        <v>-1.46245000000002</v>
      </c>
      <c r="F114" s="64" t="n">
        <f aca="false">IF(C114=0,"",D114/C114-1)</f>
        <v>-0.00771359001698113</v>
      </c>
      <c r="G114" s="56" t="n">
        <v>350</v>
      </c>
      <c r="H114" s="63" t="n">
        <f aca="false">INDEX('تحليل التكلفة والسعر'!$D$2:$D$700,MATCH($B114,'تحليل التكلفة والسعر'!$B$2:$B$700,0))</f>
        <v>360</v>
      </c>
      <c r="I114" s="64" t="n">
        <f aca="false">IF(OR(G114="",G114=0),"",C114/G114)</f>
        <v>0.541697</v>
      </c>
      <c r="J114" s="64" t="n">
        <f aca="false">IF(OR(H114="",H114=0),"",D114/H114)</f>
        <v>0.5225875</v>
      </c>
      <c r="K114" s="64" t="n">
        <f aca="false">IF(OR(I114="",J114=""),"",J114-I114)</f>
        <v>-0.0191095</v>
      </c>
    </row>
    <row r="115" customFormat="false" ht="15" hidden="false" customHeight="true" outlineLevel="0" collapsed="false">
      <c r="A115" s="62" t="s">
        <v>17</v>
      </c>
      <c r="B115" s="62" t="s">
        <v>484</v>
      </c>
      <c r="C115" s="56" t="n">
        <v>189.59395</v>
      </c>
      <c r="D115" s="63" t="n">
        <f aca="false">INDEX('تحليل التكلفة والسعر'!$C$2:$C$700,MATCH($B115,'تحليل التكلفة والسعر'!$B$2:$B$700,0))</f>
        <v>188.1315</v>
      </c>
      <c r="E115" s="63" t="n">
        <f aca="false">D115-C115</f>
        <v>-1.46245000000002</v>
      </c>
      <c r="F115" s="64" t="n">
        <f aca="false">IF(C115=0,"",D115/C115-1)</f>
        <v>-0.00771359001698113</v>
      </c>
      <c r="G115" s="56" t="n">
        <v>350</v>
      </c>
      <c r="H115" s="63" t="n">
        <f aca="false">INDEX('تحليل التكلفة والسعر'!$D$2:$D$700,MATCH($B115,'تحليل التكلفة والسعر'!$B$2:$B$700,0))</f>
        <v>360</v>
      </c>
      <c r="I115" s="64" t="n">
        <f aca="false">IF(OR(G115="",G115=0),"",C115/G115)</f>
        <v>0.541697</v>
      </c>
      <c r="J115" s="64" t="n">
        <f aca="false">IF(OR(H115="",H115=0),"",D115/H115)</f>
        <v>0.5225875</v>
      </c>
      <c r="K115" s="64" t="n">
        <f aca="false">IF(OR(I115="",J115=""),"",J115-I115)</f>
        <v>-0.0191095</v>
      </c>
    </row>
    <row r="116" customFormat="false" ht="15" hidden="false" customHeight="true" outlineLevel="0" collapsed="false">
      <c r="A116" s="62" t="s">
        <v>17</v>
      </c>
      <c r="B116" s="62" t="s">
        <v>485</v>
      </c>
      <c r="C116" s="56" t="n">
        <v>92.36395</v>
      </c>
      <c r="D116" s="63" t="n">
        <f aca="false">INDEX('تحليل التكلفة والسعر'!$C$2:$C$700,MATCH($B116,'تحليل التكلفة والسعر'!$B$2:$B$700,0))</f>
        <v>91.6698</v>
      </c>
      <c r="E116" s="63" t="n">
        <f aca="false">D116-C116</f>
        <v>-0.694150000000008</v>
      </c>
      <c r="F116" s="64" t="n">
        <f aca="false">IF(C116=0,"",D116/C116-1)</f>
        <v>-0.00751537802356883</v>
      </c>
      <c r="G116" s="56" t="n">
        <v>190</v>
      </c>
      <c r="H116" s="63" t="n">
        <f aca="false">INDEX('تحليل التكلفة والسعر'!$D$2:$D$700,MATCH($B116,'تحليل التكلفة والسعر'!$B$2:$B$700,0))</f>
        <v>200</v>
      </c>
      <c r="I116" s="64" t="n">
        <f aca="false">IF(OR(G116="",G116=0),"",C116/G116)</f>
        <v>0.486126052631579</v>
      </c>
      <c r="J116" s="64" t="n">
        <f aca="false">IF(OR(H116="",H116=0),"",D116/H116)</f>
        <v>0.458349</v>
      </c>
      <c r="K116" s="64" t="n">
        <f aca="false">IF(OR(I116="",J116=""),"",J116-I116)</f>
        <v>-0.027777052631579</v>
      </c>
    </row>
    <row r="117" customFormat="false" ht="15" hidden="false" customHeight="true" outlineLevel="0" collapsed="false">
      <c r="A117" s="62" t="s">
        <v>18</v>
      </c>
      <c r="B117" s="62" t="s">
        <v>486</v>
      </c>
      <c r="C117" s="56" t="n">
        <v>42.045</v>
      </c>
      <c r="D117" s="63" t="n">
        <f aca="false">INDEX('تحليل التكلفة والسعر'!$C$2:$C$700,MATCH($B117,'تحليل التكلفة والسعر'!$B$2:$B$700,0))</f>
        <v>42.4366</v>
      </c>
      <c r="E117" s="63" t="n">
        <f aca="false">D117-C117</f>
        <v>0.391599999999997</v>
      </c>
      <c r="F117" s="64" t="n">
        <f aca="false">IF(C117=0,"",D117/C117-1)</f>
        <v>0.00931383041978817</v>
      </c>
      <c r="G117" s="56" t="n">
        <v>130</v>
      </c>
      <c r="H117" s="63" t="n">
        <f aca="false">INDEX('تحليل التكلفة والسعر'!$D$2:$D$700,MATCH($B117,'تحليل التكلفة والسعر'!$B$2:$B$700,0))</f>
        <v>140</v>
      </c>
      <c r="I117" s="64" t="n">
        <f aca="false">IF(OR(G117="",G117=0),"",C117/G117)</f>
        <v>0.323423076923077</v>
      </c>
      <c r="J117" s="64" t="n">
        <f aca="false">IF(OR(H117="",H117=0),"",D117/H117)</f>
        <v>0.303118571428571</v>
      </c>
      <c r="K117" s="64" t="n">
        <f aca="false">IF(OR(I117="",J117=""),"",J117-I117)</f>
        <v>-0.0203045054945055</v>
      </c>
    </row>
    <row r="118" customFormat="false" ht="15" hidden="false" customHeight="true" outlineLevel="0" collapsed="false">
      <c r="A118" s="62" t="s">
        <v>17</v>
      </c>
      <c r="B118" s="62" t="s">
        <v>487</v>
      </c>
      <c r="C118" s="56" t="n">
        <v>89.06395</v>
      </c>
      <c r="D118" s="63" t="n">
        <f aca="false">INDEX('تحليل التكلفة والسعر'!$C$2:$C$700,MATCH($B118,'تحليل التكلفة والسعر'!$B$2:$B$700,0))</f>
        <v>88.45245</v>
      </c>
      <c r="E118" s="63" t="n">
        <f aca="false">D118-C118</f>
        <v>-0.611500000000007</v>
      </c>
      <c r="F118" s="64" t="n">
        <f aca="false">IF(C118=0,"",D118/C118-1)</f>
        <v>-0.00686585313137367</v>
      </c>
      <c r="G118" s="56" t="n">
        <v>210</v>
      </c>
      <c r="H118" s="63" t="n">
        <f aca="false">INDEX('تحليل التكلفة والسعر'!$D$2:$D$700,MATCH($B118,'تحليل التكلفة والسعر'!$B$2:$B$700,0))</f>
        <v>220</v>
      </c>
      <c r="I118" s="64" t="n">
        <f aca="false">IF(OR(G118="",G118=0),"",C118/G118)</f>
        <v>0.424114047619048</v>
      </c>
      <c r="J118" s="64" t="n">
        <f aca="false">IF(OR(H118="",H118=0),"",D118/H118)</f>
        <v>0.402056590909091</v>
      </c>
      <c r="K118" s="64" t="n">
        <f aca="false">IF(OR(I118="",J118=""),"",J118-I118)</f>
        <v>-0.0220574567099567</v>
      </c>
    </row>
    <row r="119" customFormat="false" ht="15" hidden="false" customHeight="true" outlineLevel="0" collapsed="false">
      <c r="A119" s="62" t="s">
        <v>9</v>
      </c>
      <c r="B119" s="62" t="s">
        <v>488</v>
      </c>
      <c r="C119" s="56" t="n">
        <v>71.4291</v>
      </c>
      <c r="D119" s="63" t="n">
        <f aca="false">INDEX('تحليل التكلفة والسعر'!$C$2:$C$700,MATCH($B119,'تحليل التكلفة والسعر'!$B$2:$B$700,0))</f>
        <v>71.9165</v>
      </c>
      <c r="E119" s="63" t="n">
        <f aca="false">D119-C119</f>
        <v>0.487399999999994</v>
      </c>
      <c r="F119" s="64" t="n">
        <f aca="false">IF(C119=0,"",D119/C119-1)</f>
        <v>0.00682354950573361</v>
      </c>
      <c r="G119" s="56" t="n">
        <v>120</v>
      </c>
      <c r="H119" s="63" t="n">
        <f aca="false">INDEX('تحليل التكلفة والسعر'!$D$2:$D$700,MATCH($B119,'تحليل التكلفة والسعر'!$B$2:$B$700,0))</f>
        <v>130</v>
      </c>
      <c r="I119" s="64" t="n">
        <f aca="false">IF(OR(G119="",G119=0),"",C119/G119)</f>
        <v>0.5952425</v>
      </c>
      <c r="J119" s="64" t="n">
        <f aca="false">IF(OR(H119="",H119=0),"",D119/H119)</f>
        <v>0.553203846153846</v>
      </c>
      <c r="K119" s="64" t="n">
        <f aca="false">IF(OR(I119="",J119=""),"",J119-I119)</f>
        <v>-0.0420386538461539</v>
      </c>
    </row>
    <row r="120" customFormat="false" ht="15" hidden="false" customHeight="true" outlineLevel="0" collapsed="false">
      <c r="A120" s="62" t="s">
        <v>16</v>
      </c>
      <c r="B120" s="62" t="s">
        <v>489</v>
      </c>
      <c r="C120" s="56" t="n">
        <v>76.9291</v>
      </c>
      <c r="D120" s="63" t="n">
        <f aca="false">INDEX('تحليل التكلفة والسعر'!$C$2:$C$700,MATCH($B120,'تحليل التكلفة والسعر'!$B$2:$B$700,0))</f>
        <v>77.4465</v>
      </c>
      <c r="E120" s="63" t="n">
        <f aca="false">D120-C120</f>
        <v>0.517399999999995</v>
      </c>
      <c r="F120" s="64" t="n">
        <f aca="false">IF(C120=0,"",D120/C120-1)</f>
        <v>0.00672567337977426</v>
      </c>
      <c r="G120" s="56" t="n">
        <v>170</v>
      </c>
      <c r="H120" s="63" t="n">
        <f aca="false">INDEX('تحليل التكلفة والسعر'!$D$2:$D$700,MATCH($B120,'تحليل التكلفة والسعر'!$B$2:$B$700,0))</f>
        <v>180</v>
      </c>
      <c r="I120" s="64" t="n">
        <f aca="false">IF(OR(G120="",G120=0),"",C120/G120)</f>
        <v>0.452524117647059</v>
      </c>
      <c r="J120" s="64" t="n">
        <f aca="false">IF(OR(H120="",H120=0),"",D120/H120)</f>
        <v>0.430258333333333</v>
      </c>
      <c r="K120" s="64" t="n">
        <f aca="false">IF(OR(I120="",J120=""),"",J120-I120)</f>
        <v>-0.0222657843137255</v>
      </c>
    </row>
    <row r="121" customFormat="false" ht="15" hidden="false" customHeight="true" outlineLevel="0" collapsed="false">
      <c r="A121" s="62" t="s">
        <v>374</v>
      </c>
      <c r="B121" s="62" t="s">
        <v>490</v>
      </c>
      <c r="C121" s="56" t="n">
        <v>95.62</v>
      </c>
      <c r="D121" s="63" t="n">
        <f aca="false">INDEX('تحليل التكلفة والسعر'!$C$2:$C$700,MATCH($B121,'تحليل التكلفة والسعر'!$B$2:$B$700,0))</f>
        <v>95</v>
      </c>
      <c r="E121" s="63" t="n">
        <f aca="false">D121-C121</f>
        <v>-0.620000000000005</v>
      </c>
      <c r="F121" s="64" t="n">
        <f aca="false">IF(C121=0,"",D121/C121-1)</f>
        <v>-0.00648399916335496</v>
      </c>
      <c r="G121" s="56" t="n">
        <v>130</v>
      </c>
      <c r="H121" s="63" t="n">
        <f aca="false">INDEX('تحليل التكلفة والسعر'!$D$2:$D$700,MATCH($B121,'تحليل التكلفة والسعر'!$B$2:$B$700,0))</f>
        <v>140</v>
      </c>
      <c r="I121" s="64" t="n">
        <f aca="false">IF(OR(G121="",G121=0),"",C121/G121)</f>
        <v>0.735538461538462</v>
      </c>
      <c r="J121" s="64" t="n">
        <f aca="false">IF(OR(H121="",H121=0),"",D121/H121)</f>
        <v>0.678571428571429</v>
      </c>
      <c r="K121" s="64" t="n">
        <f aca="false">IF(OR(I121="",J121=""),"",J121-I121)</f>
        <v>-0.056967032967033</v>
      </c>
    </row>
    <row r="122" customFormat="false" ht="15" hidden="false" customHeight="true" outlineLevel="0" collapsed="false">
      <c r="A122" s="62" t="s">
        <v>16</v>
      </c>
      <c r="B122" s="62" t="s">
        <v>491</v>
      </c>
      <c r="C122" s="56" t="n">
        <v>47.84215</v>
      </c>
      <c r="D122" s="63" t="n">
        <f aca="false">INDEX('تحليل التكلفة والسعر'!$C$2:$C$700,MATCH($B122,'تحليل التكلفة والسعر'!$B$2:$B$700,0))</f>
        <v>48.1515</v>
      </c>
      <c r="E122" s="63" t="n">
        <f aca="false">D122-C122</f>
        <v>0.309350000000002</v>
      </c>
      <c r="F122" s="64" t="n">
        <f aca="false">IF(C122=0,"",D122/C122-1)</f>
        <v>0.00646605555979418</v>
      </c>
      <c r="G122" s="56" t="n">
        <v>110</v>
      </c>
      <c r="H122" s="63" t="n">
        <f aca="false">INDEX('تحليل التكلفة والسعر'!$D$2:$D$700,MATCH($B122,'تحليل التكلفة والسعر'!$B$2:$B$700,0))</f>
        <v>120</v>
      </c>
      <c r="I122" s="64" t="n">
        <f aca="false">IF(OR(G122="",G122=0),"",C122/G122)</f>
        <v>0.434928636363636</v>
      </c>
      <c r="J122" s="64" t="n">
        <f aca="false">IF(OR(H122="",H122=0),"",D122/H122)</f>
        <v>0.4012625</v>
      </c>
      <c r="K122" s="64" t="n">
        <f aca="false">IF(OR(I122="",J122=""),"",J122-I122)</f>
        <v>-0.0336661363636364</v>
      </c>
    </row>
    <row r="123" customFormat="false" ht="15" hidden="false" customHeight="true" outlineLevel="0" collapsed="false">
      <c r="A123" s="62" t="s">
        <v>17</v>
      </c>
      <c r="B123" s="62" t="s">
        <v>492</v>
      </c>
      <c r="C123" s="56" t="n">
        <v>85.76395</v>
      </c>
      <c r="D123" s="63" t="n">
        <f aca="false">INDEX('تحليل التكلفة والسعر'!$C$2:$C$700,MATCH($B123,'تحليل التكلفة والسعر'!$B$2:$B$700,0))</f>
        <v>85.2351</v>
      </c>
      <c r="E123" s="63" t="n">
        <f aca="false">D123-C123</f>
        <v>-0.528849999999991</v>
      </c>
      <c r="F123" s="64" t="n">
        <f aca="false">IF(C123=0,"",D123/C123-1)</f>
        <v>-0.00616634378430558</v>
      </c>
      <c r="G123" s="56" t="n">
        <v>180</v>
      </c>
      <c r="H123" s="63" t="n">
        <f aca="false">INDEX('تحليل التكلفة والسعر'!$D$2:$D$700,MATCH($B123,'تحليل التكلفة والسعر'!$B$2:$B$700,0))</f>
        <v>190</v>
      </c>
      <c r="I123" s="64" t="n">
        <f aca="false">IF(OR(G123="",G123=0),"",C123/G123)</f>
        <v>0.476466388888889</v>
      </c>
      <c r="J123" s="64" t="n">
        <f aca="false">IF(OR(H123="",H123=0),"",D123/H123)</f>
        <v>0.448605789473684</v>
      </c>
      <c r="K123" s="64" t="n">
        <f aca="false">IF(OR(I123="",J123=""),"",J123-I123)</f>
        <v>-0.0278605994152046</v>
      </c>
    </row>
    <row r="124" customFormat="false" ht="15" hidden="false" customHeight="true" outlineLevel="0" collapsed="false">
      <c r="A124" s="62" t="s">
        <v>21</v>
      </c>
      <c r="B124" s="62" t="s">
        <v>493</v>
      </c>
      <c r="C124" s="56" t="n">
        <v>36.0707</v>
      </c>
      <c r="D124" s="63" t="n">
        <f aca="false">INDEX('تحليل التكلفة والسعر'!$C$2:$C$700,MATCH($B124,'تحليل التكلفة والسعر'!$B$2:$B$700,0))</f>
        <v>35.8880720833333</v>
      </c>
      <c r="E124" s="63" t="n">
        <f aca="false">D124-C124</f>
        <v>-0.182627916666668</v>
      </c>
      <c r="F124" s="64" t="n">
        <f aca="false">IF(C124=0,"",D124/C124-1)</f>
        <v>-0.00506305440888777</v>
      </c>
      <c r="G124" s="56" t="n">
        <v>80</v>
      </c>
      <c r="H124" s="63" t="n">
        <f aca="false">INDEX('تحليل التكلفة والسعر'!$D$2:$D$700,MATCH($B124,'تحليل التكلفة والسعر'!$B$2:$B$700,0))</f>
        <v>90</v>
      </c>
      <c r="I124" s="64" t="n">
        <f aca="false">IF(OR(G124="",G124=0),"",C124/G124)</f>
        <v>0.45088375</v>
      </c>
      <c r="J124" s="64" t="n">
        <f aca="false">IF(OR(H124="",H124=0),"",D124/H124)</f>
        <v>0.398756356481482</v>
      </c>
      <c r="K124" s="64" t="n">
        <f aca="false">IF(OR(I124="",J124=""),"",J124-I124)</f>
        <v>-0.0521273935185185</v>
      </c>
    </row>
    <row r="125" customFormat="false" ht="15" hidden="false" customHeight="true" outlineLevel="0" collapsed="false">
      <c r="A125" s="62" t="s">
        <v>10</v>
      </c>
      <c r="B125" s="62" t="s">
        <v>494</v>
      </c>
      <c r="C125" s="56" t="n">
        <v>129.0503</v>
      </c>
      <c r="D125" s="63" t="n">
        <f aca="false">INDEX('تحليل التكلفة والسعر'!$C$2:$C$700,MATCH($B125,'تحليل التكلفة والسعر'!$B$2:$B$700,0))</f>
        <v>128.2965</v>
      </c>
      <c r="E125" s="63" t="n">
        <f aca="false">D125-C125</f>
        <v>-0.753799999999984</v>
      </c>
      <c r="F125" s="64" t="n">
        <f aca="false">IF(C125=0,"",D125/C125-1)</f>
        <v>-0.0058411332635413</v>
      </c>
      <c r="G125" s="56" t="n">
        <v>240</v>
      </c>
      <c r="H125" s="63" t="n">
        <f aca="false">INDEX('تحليل التكلفة والسعر'!$D$2:$D$700,MATCH($B125,'تحليل التكلفة والسعر'!$B$2:$B$700,0))</f>
        <v>250</v>
      </c>
      <c r="I125" s="64" t="n">
        <f aca="false">IF(OR(G125="",G125=0),"",C125/G125)</f>
        <v>0.537709583333333</v>
      </c>
      <c r="J125" s="64" t="n">
        <f aca="false">IF(OR(H125="",H125=0),"",D125/H125)</f>
        <v>0.513186</v>
      </c>
      <c r="K125" s="64" t="n">
        <f aca="false">IF(OR(I125="",J125=""),"",J125-I125)</f>
        <v>-0.0245235833333333</v>
      </c>
    </row>
    <row r="126" customFormat="false" ht="15" hidden="false" customHeight="true" outlineLevel="0" collapsed="false">
      <c r="A126" s="62" t="s">
        <v>17</v>
      </c>
      <c r="B126" s="62" t="s">
        <v>495</v>
      </c>
      <c r="C126" s="56" t="n">
        <v>129.0503</v>
      </c>
      <c r="D126" s="63" t="n">
        <f aca="false">INDEX('تحليل التكلفة والسعر'!$C$2:$C$700,MATCH($B126,'تحليل التكلفة والسعر'!$B$2:$B$700,0))</f>
        <v>128.2965</v>
      </c>
      <c r="E126" s="63" t="n">
        <f aca="false">D126-C126</f>
        <v>-0.753799999999984</v>
      </c>
      <c r="F126" s="64" t="n">
        <f aca="false">IF(C126=0,"",D126/C126-1)</f>
        <v>-0.0058411332635413</v>
      </c>
      <c r="G126" s="56" t="n">
        <v>230</v>
      </c>
      <c r="H126" s="63" t="n">
        <f aca="false">INDEX('تحليل التكلفة والسعر'!$D$2:$D$700,MATCH($B126,'تحليل التكلفة والسعر'!$B$2:$B$700,0))</f>
        <v>240</v>
      </c>
      <c r="I126" s="64" t="n">
        <f aca="false">IF(OR(G126="",G126=0),"",C126/G126)</f>
        <v>0.561088260869565</v>
      </c>
      <c r="J126" s="64" t="n">
        <f aca="false">IF(OR(H126="",H126=0),"",D126/H126)</f>
        <v>0.53456875</v>
      </c>
      <c r="K126" s="64" t="n">
        <f aca="false">IF(OR(I126="",J126=""),"",J126-I126)</f>
        <v>-0.0265195108695652</v>
      </c>
    </row>
    <row r="127" customFormat="false" ht="15" hidden="false" customHeight="true" outlineLevel="0" collapsed="false">
      <c r="A127" s="62" t="s">
        <v>16</v>
      </c>
      <c r="B127" s="62" t="s">
        <v>496</v>
      </c>
      <c r="C127" s="56" t="n">
        <v>65.7291</v>
      </c>
      <c r="D127" s="63" t="n">
        <f aca="false">INDEX('تحليل التكلفة والسعر'!$C$2:$C$700,MATCH($B127,'تحليل التكلفة والسعر'!$B$2:$B$700,0))</f>
        <v>66.1087</v>
      </c>
      <c r="E127" s="63" t="n">
        <f aca="false">D127-C127</f>
        <v>0.379599999999996</v>
      </c>
      <c r="F127" s="64" t="n">
        <f aca="false">IF(C127=0,"",D127/C127-1)</f>
        <v>0.00577521980370932</v>
      </c>
      <c r="G127" s="56" t="n">
        <v>120</v>
      </c>
      <c r="H127" s="63" t="n">
        <f aca="false">INDEX('تحليل التكلفة والسعر'!$D$2:$D$700,MATCH($B127,'تحليل التكلفة والسعر'!$B$2:$B$700,0))</f>
        <v>130</v>
      </c>
      <c r="I127" s="64" t="n">
        <f aca="false">IF(OR(G127="",G127=0),"",C127/G127)</f>
        <v>0.5477425</v>
      </c>
      <c r="J127" s="64" t="n">
        <f aca="false">IF(OR(H127="",H127=0),"",D127/H127)</f>
        <v>0.508528461538462</v>
      </c>
      <c r="K127" s="64" t="n">
        <f aca="false">IF(OR(I127="",J127=""),"",J127-I127)</f>
        <v>-0.0392140384615385</v>
      </c>
    </row>
    <row r="128" customFormat="false" ht="15" hidden="false" customHeight="true" outlineLevel="0" collapsed="false">
      <c r="A128" s="62" t="s">
        <v>20</v>
      </c>
      <c r="B128" s="62" t="s">
        <v>497</v>
      </c>
      <c r="C128" s="56" t="n">
        <v>132.24</v>
      </c>
      <c r="D128" s="63" t="n">
        <f aca="false">INDEX('تحليل التكلفة والسعر'!$C$2:$C$700,MATCH($B128,'تحليل التكلفة والسعر'!$B$2:$B$700,0))</f>
        <v>131.53</v>
      </c>
      <c r="E128" s="63" t="n">
        <f aca="false">D128-C128</f>
        <v>-0.710000000000008</v>
      </c>
      <c r="F128" s="64" t="n">
        <f aca="false">IF(C128=0,"",D128/C128-1)</f>
        <v>-0.00536902601330924</v>
      </c>
      <c r="G128" s="56" t="n">
        <v>250</v>
      </c>
      <c r="H128" s="63" t="n">
        <f aca="false">INDEX('تحليل التكلفة والسعر'!$D$2:$D$700,MATCH($B128,'تحليل التكلفة والسعر'!$B$2:$B$700,0))</f>
        <v>260</v>
      </c>
      <c r="I128" s="64" t="n">
        <f aca="false">IF(OR(G128="",G128=0),"",C128/G128)</f>
        <v>0.52896</v>
      </c>
      <c r="J128" s="64" t="n">
        <f aca="false">IF(OR(H128="",H128=0),"",D128/H128)</f>
        <v>0.505884615384615</v>
      </c>
      <c r="K128" s="64" t="n">
        <f aca="false">IF(OR(I128="",J128=""),"",J128-I128)</f>
        <v>-0.0230753846153846</v>
      </c>
    </row>
    <row r="129" customFormat="false" ht="15" hidden="false" customHeight="true" outlineLevel="0" collapsed="false">
      <c r="A129" s="62" t="s">
        <v>12</v>
      </c>
      <c r="B129" s="62" t="s">
        <v>498</v>
      </c>
      <c r="C129" s="56" t="n">
        <v>87.4964</v>
      </c>
      <c r="D129" s="63" t="n">
        <f aca="false">INDEX('تحليل التكلفة والسعر'!$C$2:$C$700,MATCH($B129,'تحليل التكلفة والسعر'!$B$2:$B$700,0))</f>
        <v>87.0542</v>
      </c>
      <c r="E129" s="63" t="n">
        <f aca="false">D129-C129</f>
        <v>-0.4422</v>
      </c>
      <c r="F129" s="64" t="n">
        <f aca="false">IF(C129=0,"",D129/C129-1)</f>
        <v>-0.00505392221851408</v>
      </c>
      <c r="G129" s="56" t="n">
        <v>150</v>
      </c>
      <c r="H129" s="63" t="n">
        <f aca="false">INDEX('تحليل التكلفة والسعر'!$D$2:$D$700,MATCH($B129,'تحليل التكلفة والسعر'!$B$2:$B$700,0))</f>
        <v>160</v>
      </c>
      <c r="I129" s="64" t="n">
        <f aca="false">IF(OR(G129="",G129=0),"",C129/G129)</f>
        <v>0.583309333333333</v>
      </c>
      <c r="J129" s="64" t="n">
        <f aca="false">IF(OR(H129="",H129=0),"",D129/H129)</f>
        <v>0.54408875</v>
      </c>
      <c r="K129" s="64" t="n">
        <f aca="false">IF(OR(I129="",J129=""),"",J129-I129)</f>
        <v>-0.0392205833333333</v>
      </c>
    </row>
    <row r="130" customFormat="false" ht="15" hidden="false" customHeight="true" outlineLevel="0" collapsed="false">
      <c r="A130" s="62" t="s">
        <v>13</v>
      </c>
      <c r="B130" s="62" t="s">
        <v>499</v>
      </c>
      <c r="C130" s="56" t="n">
        <v>140.14</v>
      </c>
      <c r="D130" s="63" t="n">
        <f aca="false">INDEX('تحليل التكلفة والسعر'!$C$2:$C$700,MATCH($B130,'تحليل التكلفة والسعر'!$B$2:$B$700,0))</f>
        <v>139.463335</v>
      </c>
      <c r="E130" s="63" t="n">
        <f aca="false">D130-C130</f>
        <v>-0.676664999999986</v>
      </c>
      <c r="F130" s="64" t="n">
        <f aca="false">IF(C130=0,"",D130/C130-1)</f>
        <v>-0.0048284929356357</v>
      </c>
      <c r="G130" s="56" t="n">
        <v>250</v>
      </c>
      <c r="H130" s="63" t="n">
        <f aca="false">INDEX('تحليل التكلفة والسعر'!$D$2:$D$700,MATCH($B130,'تحليل التكلفة والسعر'!$B$2:$B$700,0))</f>
        <v>260</v>
      </c>
      <c r="I130" s="64" t="n">
        <f aca="false">IF(OR(G130="",G130=0),"",C130/G130)</f>
        <v>0.56056</v>
      </c>
      <c r="J130" s="64" t="n">
        <f aca="false">IF(OR(H130="",H130=0),"",D130/H130)</f>
        <v>0.536397442307692</v>
      </c>
      <c r="K130" s="64" t="n">
        <f aca="false">IF(OR(I130="",J130=""),"",J130-I130)</f>
        <v>-0.0241625576923077</v>
      </c>
    </row>
    <row r="131" customFormat="false" ht="15" hidden="false" customHeight="true" outlineLevel="0" collapsed="false">
      <c r="A131" s="62" t="s">
        <v>16</v>
      </c>
      <c r="B131" s="62" t="s">
        <v>500</v>
      </c>
      <c r="C131" s="56" t="n">
        <v>63.59215</v>
      </c>
      <c r="D131" s="63" t="n">
        <f aca="false">INDEX('تحليل التكلفة والسعر'!$C$2:$C$700,MATCH($B131,'تحليل التكلفة والسعر'!$B$2:$B$700,0))</f>
        <v>63.9015</v>
      </c>
      <c r="E131" s="63" t="n">
        <f aca="false">D131-C131</f>
        <v>0.309350000000002</v>
      </c>
      <c r="F131" s="64" t="n">
        <f aca="false">IF(C131=0,"",D131/C131-1)</f>
        <v>0.00486459413622598</v>
      </c>
      <c r="G131" s="56" t="n">
        <v>180</v>
      </c>
      <c r="H131" s="63" t="n">
        <f aca="false">INDEX('تحليل التكلفة والسعر'!$D$2:$D$700,MATCH($B131,'تحليل التكلفة والسعر'!$B$2:$B$700,0))</f>
        <v>190</v>
      </c>
      <c r="I131" s="64" t="n">
        <f aca="false">IF(OR(G131="",G131=0),"",C131/G131)</f>
        <v>0.353289722222222</v>
      </c>
      <c r="J131" s="64" t="n">
        <f aca="false">IF(OR(H131="",H131=0),"",D131/H131)</f>
        <v>0.336323684210526</v>
      </c>
      <c r="K131" s="64" t="n">
        <f aca="false">IF(OR(I131="",J131=""),"",J131-I131)</f>
        <v>-0.0169660380116959</v>
      </c>
    </row>
    <row r="132" customFormat="false" ht="15" hidden="false" customHeight="true" outlineLevel="0" collapsed="false">
      <c r="A132" s="62" t="s">
        <v>10</v>
      </c>
      <c r="B132" s="62" t="s">
        <v>501</v>
      </c>
      <c r="C132" s="56" t="n">
        <v>78.6803</v>
      </c>
      <c r="D132" s="63" t="n">
        <f aca="false">INDEX('تحليل التكلفة والسعر'!$C$2:$C$700,MATCH($B132,'تحليل التكلفة والسعر'!$B$2:$B$700,0))</f>
        <v>79.0465</v>
      </c>
      <c r="E132" s="63" t="n">
        <f aca="false">D132-C132</f>
        <v>0.366199999999992</v>
      </c>
      <c r="F132" s="64" t="n">
        <f aca="false">IF(C132=0,"",D132/C132-1)</f>
        <v>0.00465427813569597</v>
      </c>
      <c r="G132" s="56" t="n">
        <v>135</v>
      </c>
      <c r="H132" s="63" t="n">
        <f aca="false">INDEX('تحليل التكلفة والسعر'!$D$2:$D$700,MATCH($B132,'تحليل التكلفة والسعر'!$B$2:$B$700,0))</f>
        <v>145</v>
      </c>
      <c r="I132" s="64" t="n">
        <f aca="false">IF(OR(G132="",G132=0),"",C132/G132)</f>
        <v>0.582817037037037</v>
      </c>
      <c r="J132" s="64" t="n">
        <f aca="false">IF(OR(H132="",H132=0),"",D132/H132)</f>
        <v>0.545148275862069</v>
      </c>
      <c r="K132" s="64" t="n">
        <f aca="false">IF(OR(I132="",J132=""),"",J132-I132)</f>
        <v>-0.0376687611749681</v>
      </c>
    </row>
    <row r="133" customFormat="false" ht="15" hidden="false" customHeight="true" outlineLevel="0" collapsed="false">
      <c r="A133" s="62" t="s">
        <v>17</v>
      </c>
      <c r="B133" s="62" t="s">
        <v>502</v>
      </c>
      <c r="C133" s="56" t="n">
        <v>109.16395</v>
      </c>
      <c r="D133" s="63" t="n">
        <f aca="false">INDEX('تحليل التكلفة والسعر'!$C$2:$C$700,MATCH($B133,'تحليل التكلفة والسعر'!$B$2:$B$700,0))</f>
        <v>108.6765</v>
      </c>
      <c r="E133" s="63" t="n">
        <f aca="false">D133-C133</f>
        <v>-0.487449999999996</v>
      </c>
      <c r="F133" s="64" t="n">
        <f aca="false">IF(C133=0,"",D133/C133-1)</f>
        <v>-0.00446530196094952</v>
      </c>
      <c r="G133" s="56" t="n">
        <v>240</v>
      </c>
      <c r="H133" s="63" t="n">
        <f aca="false">INDEX('تحليل التكلفة والسعر'!$D$2:$D$700,MATCH($B133,'تحليل التكلفة والسعر'!$B$2:$B$700,0))</f>
        <v>250</v>
      </c>
      <c r="I133" s="64" t="n">
        <f aca="false">IF(OR(G133="",G133=0),"",C133/G133)</f>
        <v>0.454849791666667</v>
      </c>
      <c r="J133" s="64" t="n">
        <f aca="false">IF(OR(H133="",H133=0),"",D133/H133)</f>
        <v>0.434706</v>
      </c>
      <c r="K133" s="64" t="n">
        <f aca="false">IF(OR(I133="",J133=""),"",J133-I133)</f>
        <v>-0.0201437916666666</v>
      </c>
    </row>
    <row r="134" customFormat="false" ht="15" hidden="false" customHeight="true" outlineLevel="0" collapsed="false">
      <c r="A134" s="62" t="s">
        <v>17</v>
      </c>
      <c r="B134" s="62" t="s">
        <v>503</v>
      </c>
      <c r="C134" s="56" t="n">
        <v>33.4303</v>
      </c>
      <c r="D134" s="63" t="n">
        <f aca="false">INDEX('تحليل التكلفة والسعر'!$C$2:$C$700,MATCH($B134,'تحليل التكلفة والسعر'!$B$2:$B$700,0))</f>
        <v>33.2965</v>
      </c>
      <c r="E134" s="63" t="n">
        <f aca="false">D134-C134</f>
        <v>-0.133800000000001</v>
      </c>
      <c r="F134" s="64" t="n">
        <f aca="false">IF(C134=0,"",D134/C134-1)</f>
        <v>-0.00400235714307085</v>
      </c>
      <c r="G134" s="56" t="n">
        <v>80</v>
      </c>
      <c r="H134" s="63" t="n">
        <f aca="false">INDEX('تحليل التكلفة والسعر'!$D$2:$D$700,MATCH($B134,'تحليل التكلفة والسعر'!$B$2:$B$700,0))</f>
        <v>90</v>
      </c>
      <c r="I134" s="64" t="n">
        <f aca="false">IF(OR(G134="",G134=0),"",C134/G134)</f>
        <v>0.41787875</v>
      </c>
      <c r="J134" s="64" t="n">
        <f aca="false">IF(OR(H134="",H134=0),"",D134/H134)</f>
        <v>0.369961111111111</v>
      </c>
      <c r="K134" s="64" t="n">
        <f aca="false">IF(OR(I134="",J134=""),"",J134-I134)</f>
        <v>-0.0479176388888889</v>
      </c>
    </row>
    <row r="135" customFormat="false" ht="15" hidden="false" customHeight="true" outlineLevel="0" collapsed="false">
      <c r="A135" s="62" t="s">
        <v>17</v>
      </c>
      <c r="B135" s="62" t="s">
        <v>504</v>
      </c>
      <c r="C135" s="56" t="n">
        <v>64.2303</v>
      </c>
      <c r="D135" s="63" t="n">
        <f aca="false">INDEX('تحليل التكلفة والسعر'!$C$2:$C$700,MATCH($B135,'تحليل التكلفة والسعر'!$B$2:$B$700,0))</f>
        <v>63.9887</v>
      </c>
      <c r="E135" s="63" t="n">
        <f aca="false">D135-C135</f>
        <v>-0.241599999999998</v>
      </c>
      <c r="F135" s="64" t="n">
        <f aca="false">IF(C135=0,"",D135/C135-1)</f>
        <v>-0.0037614646047115</v>
      </c>
      <c r="G135" s="56" t="n">
        <v>120</v>
      </c>
      <c r="H135" s="63" t="n">
        <f aca="false">INDEX('تحليل التكلفة والسعر'!$D$2:$D$700,MATCH($B135,'تحليل التكلفة والسعر'!$B$2:$B$700,0))</f>
        <v>130</v>
      </c>
      <c r="I135" s="64" t="n">
        <f aca="false">IF(OR(G135="",G135=0),"",C135/G135)</f>
        <v>0.5352525</v>
      </c>
      <c r="J135" s="64" t="n">
        <f aca="false">IF(OR(H135="",H135=0),"",D135/H135)</f>
        <v>0.492220769230769</v>
      </c>
      <c r="K135" s="64" t="n">
        <f aca="false">IF(OR(I135="",J135=""),"",J135-I135)</f>
        <v>-0.0430317307692308</v>
      </c>
    </row>
    <row r="136" customFormat="false" ht="15" hidden="false" customHeight="true" outlineLevel="0" collapsed="false">
      <c r="A136" s="62" t="s">
        <v>16</v>
      </c>
      <c r="B136" s="62" t="s">
        <v>505</v>
      </c>
      <c r="C136" s="56" t="n">
        <v>87.44215</v>
      </c>
      <c r="D136" s="63" t="n">
        <f aca="false">INDEX('تحليل التكلفة والسعر'!$C$2:$C$700,MATCH($B136,'تحليل التكلفة والسعر'!$B$2:$B$700,0))</f>
        <v>87.7551</v>
      </c>
      <c r="E136" s="63" t="n">
        <f aca="false">D136-C136</f>
        <v>0.312950000000001</v>
      </c>
      <c r="F136" s="64" t="n">
        <f aca="false">IF(C136=0,"",D136/C136-1)</f>
        <v>0.00357893761761341</v>
      </c>
      <c r="G136" s="56" t="n">
        <v>180</v>
      </c>
      <c r="H136" s="63" t="n">
        <f aca="false">INDEX('تحليل التكلفة والسعر'!$D$2:$D$700,MATCH($B136,'تحليل التكلفة والسعر'!$B$2:$B$700,0))</f>
        <v>190</v>
      </c>
      <c r="I136" s="64" t="n">
        <f aca="false">IF(OR(G136="",G136=0),"",C136/G136)</f>
        <v>0.485789722222222</v>
      </c>
      <c r="J136" s="64" t="n">
        <f aca="false">IF(OR(H136="",H136=0),"",D136/H136)</f>
        <v>0.461868947368421</v>
      </c>
      <c r="K136" s="64" t="n">
        <f aca="false">IF(OR(I136="",J136=""),"",J136-I136)</f>
        <v>-0.0239207748538012</v>
      </c>
    </row>
    <row r="137" customFormat="false" ht="15" hidden="false" customHeight="true" outlineLevel="0" collapsed="false">
      <c r="A137" s="62" t="s">
        <v>12</v>
      </c>
      <c r="B137" s="62" t="s">
        <v>506</v>
      </c>
      <c r="C137" s="56" t="n">
        <v>97.0347</v>
      </c>
      <c r="D137" s="63" t="n">
        <f aca="false">INDEX('تحليل التكلفة والسعر'!$C$2:$C$700,MATCH($B137,'تحليل التكلفة والسعر'!$B$2:$B$700,0))</f>
        <v>97.31774</v>
      </c>
      <c r="E137" s="63" t="n">
        <f aca="false">D137-C137</f>
        <v>0.28304</v>
      </c>
      <c r="F137" s="64" t="n">
        <f aca="false">IF(C137=0,"",D137/C137-1)</f>
        <v>0.00291689467788325</v>
      </c>
      <c r="G137" s="56" t="n">
        <v>160</v>
      </c>
      <c r="H137" s="63" t="n">
        <f aca="false">INDEX('تحليل التكلفة والسعر'!$D$2:$D$700,MATCH($B137,'تحليل التكلفة والسعر'!$B$2:$B$700,0))</f>
        <v>170</v>
      </c>
      <c r="I137" s="64" t="n">
        <f aca="false">IF(OR(G137="",G137=0),"",C137/G137)</f>
        <v>0.606466875</v>
      </c>
      <c r="J137" s="64" t="n">
        <f aca="false">IF(OR(H137="",H137=0),"",D137/H137)</f>
        <v>0.572457294117647</v>
      </c>
      <c r="K137" s="64" t="n">
        <f aca="false">IF(OR(I137="",J137=""),"",J137-I137)</f>
        <v>-0.034009580882353</v>
      </c>
    </row>
    <row r="138" customFormat="false" ht="15" hidden="false" customHeight="true" outlineLevel="0" collapsed="false">
      <c r="A138" s="62" t="s">
        <v>16</v>
      </c>
      <c r="B138" s="62" t="s">
        <v>507</v>
      </c>
      <c r="C138" s="56" t="n">
        <v>191.27215</v>
      </c>
      <c r="D138" s="63" t="n">
        <f aca="false">INDEX('تحليل التكلفة والسعر'!$C$2:$C$700,MATCH($B138,'تحليل التكلفة والسعر'!$B$2:$B$700,0))</f>
        <v>190.6515</v>
      </c>
      <c r="E138" s="63" t="n">
        <f aca="false">D138-C138</f>
        <v>-0.620650000000012</v>
      </c>
      <c r="F138" s="64" t="n">
        <f aca="false">IF(C138=0,"",D138/C138-1)</f>
        <v>-0.00324485294905719</v>
      </c>
      <c r="G138" s="56" t="n">
        <v>350</v>
      </c>
      <c r="H138" s="63" t="n">
        <f aca="false">INDEX('تحليل التكلفة والسعر'!$D$2:$D$700,MATCH($B138,'تحليل التكلفة والسعر'!$B$2:$B$700,0))</f>
        <v>360</v>
      </c>
      <c r="I138" s="64" t="n">
        <f aca="false">IF(OR(G138="",G138=0),"",C138/G138)</f>
        <v>0.546491857142857</v>
      </c>
      <c r="J138" s="64" t="n">
        <f aca="false">IF(OR(H138="",H138=0),"",D138/H138)</f>
        <v>0.5295875</v>
      </c>
      <c r="K138" s="64" t="n">
        <f aca="false">IF(OR(I138="",J138=""),"",J138-I138)</f>
        <v>-0.0169043571428572</v>
      </c>
    </row>
    <row r="139" customFormat="false" ht="15" hidden="false" customHeight="true" outlineLevel="0" collapsed="false">
      <c r="A139" s="62" t="s">
        <v>16</v>
      </c>
      <c r="B139" s="62" t="s">
        <v>508</v>
      </c>
      <c r="C139" s="56" t="n">
        <v>110.84215</v>
      </c>
      <c r="D139" s="63" t="n">
        <f aca="false">INDEX('تحليل التكلفة والسعر'!$C$2:$C$700,MATCH($B139,'تحليل التكلفة والسعر'!$B$2:$B$700,0))</f>
        <v>111.1965</v>
      </c>
      <c r="E139" s="63" t="n">
        <f aca="false">D139-C139</f>
        <v>0.354349999999997</v>
      </c>
      <c r="F139" s="64" t="n">
        <f aca="false">IF(C139=0,"",D139/C139-1)</f>
        <v>0.00319688854826428</v>
      </c>
      <c r="G139" s="56" t="n">
        <v>240</v>
      </c>
      <c r="H139" s="63" t="n">
        <f aca="false">INDEX('تحليل التكلفة والسعر'!$D$2:$D$700,MATCH($B139,'تحليل التكلفة والسعر'!$B$2:$B$700,0))</f>
        <v>250</v>
      </c>
      <c r="I139" s="64" t="n">
        <f aca="false">IF(OR(G139="",G139=0),"",C139/G139)</f>
        <v>0.461842291666667</v>
      </c>
      <c r="J139" s="64" t="n">
        <f aca="false">IF(OR(H139="",H139=0),"",D139/H139)</f>
        <v>0.444786</v>
      </c>
      <c r="K139" s="64" t="n">
        <f aca="false">IF(OR(I139="",J139=""),"",J139-I139)</f>
        <v>-0.0170562916666667</v>
      </c>
    </row>
    <row r="140" customFormat="false" ht="15" hidden="false" customHeight="true" outlineLevel="0" collapsed="false">
      <c r="A140" s="62" t="s">
        <v>9</v>
      </c>
      <c r="B140" s="62" t="s">
        <v>509</v>
      </c>
      <c r="C140" s="56" t="n">
        <v>90.57215</v>
      </c>
      <c r="D140" s="63" t="n">
        <f aca="false">INDEX('تحليل التكلفة والسعر'!$C$2:$C$700,MATCH($B140,'تحليل التكلفة والسعر'!$B$2:$B$700,0))</f>
        <v>90.7472</v>
      </c>
      <c r="E140" s="63" t="n">
        <f aca="false">D140-C140</f>
        <v>0.175050000000013</v>
      </c>
      <c r="F140" s="64" t="n">
        <f aca="false">IF(C140=0,"",D140/C140-1)</f>
        <v>0.00193271331198397</v>
      </c>
      <c r="G140" s="56" t="n">
        <v>180</v>
      </c>
      <c r="H140" s="63" t="n">
        <f aca="false">INDEX('تحليل التكلفة والسعر'!$D$2:$D$700,MATCH($B140,'تحليل التكلفة والسعر'!$B$2:$B$700,0))</f>
        <v>190</v>
      </c>
      <c r="I140" s="64" t="n">
        <f aca="false">IF(OR(G140="",G140=0),"",C140/G140)</f>
        <v>0.503178611111111</v>
      </c>
      <c r="J140" s="64" t="n">
        <f aca="false">IF(OR(H140="",H140=0),"",D140/H140)</f>
        <v>0.477616842105263</v>
      </c>
      <c r="K140" s="64" t="n">
        <f aca="false">IF(OR(I140="",J140=""),"",J140-I140)</f>
        <v>-0.0255617690058479</v>
      </c>
    </row>
    <row r="141" customFormat="false" ht="15" hidden="false" customHeight="true" outlineLevel="0" collapsed="false">
      <c r="A141" s="62" t="s">
        <v>17</v>
      </c>
      <c r="B141" s="62" t="s">
        <v>510</v>
      </c>
      <c r="C141" s="56" t="n">
        <v>43.9303</v>
      </c>
      <c r="D141" s="63" t="n">
        <f aca="false">INDEX('تحليل التكلفة والسعر'!$C$2:$C$700,MATCH($B141,'تحليل التكلفة والسعر'!$B$2:$B$700,0))</f>
        <v>43.7965</v>
      </c>
      <c r="E141" s="63" t="n">
        <f aca="false">D141-C141</f>
        <v>-0.133800000000001</v>
      </c>
      <c r="F141" s="64" t="n">
        <f aca="false">IF(C141=0,"",D141/C141-1)</f>
        <v>-0.00304573381014928</v>
      </c>
      <c r="G141" s="56" t="n">
        <v>120</v>
      </c>
      <c r="H141" s="63" t="n">
        <f aca="false">INDEX('تحليل التكلفة والسعر'!$D$2:$D$700,MATCH($B141,'تحليل التكلفة والسعر'!$B$2:$B$700,0))</f>
        <v>130</v>
      </c>
      <c r="I141" s="64" t="n">
        <f aca="false">IF(OR(G141="",G141=0),"",C141/G141)</f>
        <v>0.366085833333333</v>
      </c>
      <c r="J141" s="64" t="n">
        <f aca="false">IF(OR(H141="",H141=0),"",D141/H141)</f>
        <v>0.336896153846154</v>
      </c>
      <c r="K141" s="64" t="n">
        <f aca="false">IF(OR(I141="",J141=""),"",J141-I141)</f>
        <v>-0.0291896794871795</v>
      </c>
    </row>
    <row r="142" customFormat="false" ht="15" hidden="false" customHeight="true" outlineLevel="0" collapsed="false">
      <c r="A142" s="62" t="s">
        <v>17</v>
      </c>
      <c r="B142" s="62" t="s">
        <v>511</v>
      </c>
      <c r="C142" s="56" t="n">
        <v>62.0303</v>
      </c>
      <c r="D142" s="63" t="n">
        <f aca="false">INDEX('تحليل التكلفة والسعر'!$C$2:$C$700,MATCH($B142,'تحليل التكلفة والسعر'!$B$2:$B$700,0))</f>
        <v>61.8438</v>
      </c>
      <c r="E142" s="63" t="n">
        <f aca="false">D142-C142</f>
        <v>-0.186499999999995</v>
      </c>
      <c r="F142" s="64" t="n">
        <f aca="false">IF(C142=0,"",D142/C142-1)</f>
        <v>-0.00300659516397628</v>
      </c>
      <c r="G142" s="56" t="n">
        <v>150</v>
      </c>
      <c r="H142" s="63" t="n">
        <f aca="false">INDEX('تحليل التكلفة والسعر'!$D$2:$D$700,MATCH($B142,'تحليل التكلفة والسعر'!$B$2:$B$700,0))</f>
        <v>160</v>
      </c>
      <c r="I142" s="64" t="n">
        <f aca="false">IF(OR(G142="",G142=0),"",C142/G142)</f>
        <v>0.413535333333333</v>
      </c>
      <c r="J142" s="64" t="n">
        <f aca="false">IF(OR(H142="",H142=0),"",D142/H142)</f>
        <v>0.38652375</v>
      </c>
      <c r="K142" s="64" t="n">
        <f aca="false">IF(OR(I142="",J142=""),"",J142-I142)</f>
        <v>-0.0270115833333333</v>
      </c>
    </row>
    <row r="143" customFormat="false" ht="15" hidden="false" customHeight="true" outlineLevel="0" collapsed="false">
      <c r="A143" s="62" t="s">
        <v>374</v>
      </c>
      <c r="B143" s="62" t="s">
        <v>512</v>
      </c>
      <c r="C143" s="56" t="n">
        <v>22.94</v>
      </c>
      <c r="D143" s="63" t="n">
        <f aca="false">INDEX('تحليل التكلفة والسعر'!$C$2:$C$700,MATCH($B143,'تحليل التكلفة والسعر'!$B$2:$B$700,0))</f>
        <v>23</v>
      </c>
      <c r="E143" s="63" t="n">
        <f aca="false">D143-C143</f>
        <v>0.0599999999999987</v>
      </c>
      <c r="F143" s="64" t="n">
        <f aca="false">IF(C143=0,"",D143/C143-1)</f>
        <v>0.0026155187445509</v>
      </c>
      <c r="G143" s="56" t="n">
        <v>40</v>
      </c>
      <c r="H143" s="63" t="n">
        <f aca="false">INDEX('تحليل التكلفة والسعر'!$D$2:$D$700,MATCH($B143,'تحليل التكلفة والسعر'!$B$2:$B$700,0))</f>
        <v>50</v>
      </c>
      <c r="I143" s="64" t="n">
        <f aca="false">IF(OR(G143="",G143=0),"",C143/G143)</f>
        <v>0.5735</v>
      </c>
      <c r="J143" s="64" t="n">
        <f aca="false">IF(OR(H143="",H143=0),"",D143/H143)</f>
        <v>0.46</v>
      </c>
      <c r="K143" s="64" t="n">
        <f aca="false">IF(OR(I143="",J143=""),"",J143-I143)</f>
        <v>-0.1135</v>
      </c>
    </row>
    <row r="144" customFormat="false" ht="15" hidden="false" customHeight="true" outlineLevel="0" collapsed="false">
      <c r="A144" s="62" t="s">
        <v>374</v>
      </c>
      <c r="B144" s="62" t="s">
        <v>513</v>
      </c>
      <c r="C144" s="56" t="n">
        <v>45.88</v>
      </c>
      <c r="D144" s="63" t="n">
        <f aca="false">INDEX('تحليل التكلفة والسعر'!$C$2:$C$700,MATCH($B144,'تحليل التكلفة والسعر'!$B$2:$B$700,0))</f>
        <v>46</v>
      </c>
      <c r="E144" s="63" t="n">
        <f aca="false">D144-C144</f>
        <v>0.119999999999997</v>
      </c>
      <c r="F144" s="64" t="n">
        <f aca="false">IF(C144=0,"",D144/C144-1)</f>
        <v>0.0026155187445509</v>
      </c>
      <c r="G144" s="56" t="n">
        <v>80</v>
      </c>
      <c r="H144" s="63" t="n">
        <f aca="false">INDEX('تحليل التكلفة والسعر'!$D$2:$D$700,MATCH($B144,'تحليل التكلفة والسعر'!$B$2:$B$700,0))</f>
        <v>90</v>
      </c>
      <c r="I144" s="64" t="n">
        <f aca="false">IF(OR(G144="",G144=0),"",C144/G144)</f>
        <v>0.5735</v>
      </c>
      <c r="J144" s="64" t="n">
        <f aca="false">IF(OR(H144="",H144=0),"",D144/H144)</f>
        <v>0.511111111111111</v>
      </c>
      <c r="K144" s="64" t="n">
        <f aca="false">IF(OR(I144="",J144=""),"",J144-I144)</f>
        <v>-0.0623888888888889</v>
      </c>
    </row>
    <row r="145" customFormat="false" ht="15" hidden="false" customHeight="true" outlineLevel="0" collapsed="false">
      <c r="A145" s="62" t="s">
        <v>20</v>
      </c>
      <c r="B145" s="62" t="s">
        <v>514</v>
      </c>
      <c r="C145" s="56" t="n">
        <v>36.62</v>
      </c>
      <c r="D145" s="63" t="n">
        <f aca="false">INDEX('تحليل التكلفة والسعر'!$C$2:$C$700,MATCH($B145,'تحليل التكلفة والسعر'!$B$2:$B$700,0))</f>
        <v>36.53</v>
      </c>
      <c r="E145" s="63" t="n">
        <f aca="false">D145-C145</f>
        <v>-0.0899999999999963</v>
      </c>
      <c r="F145" s="64" t="n">
        <f aca="false">IF(C145=0,"",D145/C145-1)</f>
        <v>-0.00245767340251224</v>
      </c>
      <c r="G145" s="56" t="n">
        <v>90</v>
      </c>
      <c r="H145" s="63" t="n">
        <f aca="false">INDEX('تحليل التكلفة والسعر'!$D$2:$D$700,MATCH($B145,'تحليل التكلفة والسعر'!$B$2:$B$700,0))</f>
        <v>100</v>
      </c>
      <c r="I145" s="64" t="n">
        <f aca="false">IF(OR(G145="",G145=0),"",C145/G145)</f>
        <v>0.406888888888889</v>
      </c>
      <c r="J145" s="64" t="n">
        <f aca="false">IF(OR(H145="",H145=0),"",D145/H145)</f>
        <v>0.3653</v>
      </c>
      <c r="K145" s="64" t="n">
        <f aca="false">IF(OR(I145="",J145=""),"",J145-I145)</f>
        <v>-0.0415888888888888</v>
      </c>
    </row>
    <row r="146" customFormat="false" ht="15" hidden="false" customHeight="true" outlineLevel="0" collapsed="false">
      <c r="A146" s="62" t="s">
        <v>17</v>
      </c>
      <c r="B146" s="62" t="s">
        <v>515</v>
      </c>
      <c r="C146" s="56" t="n">
        <v>59.8303</v>
      </c>
      <c r="D146" s="63" t="n">
        <f aca="false">INDEX('تحليل التكلفة والسعر'!$C$2:$C$700,MATCH($B146,'تحليل التكلفة والسعر'!$B$2:$B$700,0))</f>
        <v>59.6989</v>
      </c>
      <c r="E146" s="63" t="n">
        <f aca="false">D146-C146</f>
        <v>-0.131399999999999</v>
      </c>
      <c r="F146" s="64" t="n">
        <f aca="false">IF(C146=0,"",D146/C146-1)</f>
        <v>-0.00219621161852768</v>
      </c>
      <c r="G146" s="56" t="n">
        <v>110</v>
      </c>
      <c r="H146" s="63" t="n">
        <f aca="false">INDEX('تحليل التكلفة والسعر'!$D$2:$D$700,MATCH($B146,'تحليل التكلفة والسعر'!$B$2:$B$700,0))</f>
        <v>120</v>
      </c>
      <c r="I146" s="64" t="n">
        <f aca="false">IF(OR(G146="",G146=0),"",C146/G146)</f>
        <v>0.543911818181818</v>
      </c>
      <c r="J146" s="64" t="n">
        <f aca="false">IF(OR(H146="",H146=0),"",D146/H146)</f>
        <v>0.497490833333333</v>
      </c>
      <c r="K146" s="64" t="n">
        <f aca="false">IF(OR(I146="",J146=""),"",J146-I146)</f>
        <v>-0.0464209848484849</v>
      </c>
    </row>
    <row r="147" customFormat="false" ht="15" hidden="false" customHeight="true" outlineLevel="0" collapsed="false">
      <c r="A147" s="62" t="s">
        <v>10</v>
      </c>
      <c r="B147" s="62" t="s">
        <v>516</v>
      </c>
      <c r="C147" s="56" t="n">
        <v>113.41395</v>
      </c>
      <c r="D147" s="63" t="n">
        <f aca="false">INDEX('تحليل التكلفة والسعر'!$C$2:$C$700,MATCH($B147,'تحليل التكلفة والسعر'!$B$2:$B$700,0))</f>
        <v>113.6315</v>
      </c>
      <c r="E147" s="63" t="n">
        <f aca="false">D147-C147</f>
        <v>0.217550000000003</v>
      </c>
      <c r="F147" s="64" t="n">
        <f aca="false">IF(C147=0,"",D147/C147-1)</f>
        <v>0.00191819436674234</v>
      </c>
      <c r="G147" s="56" t="n">
        <v>200</v>
      </c>
      <c r="H147" s="63" t="n">
        <f aca="false">INDEX('تحليل التكلفة والسعر'!$D$2:$D$700,MATCH($B147,'تحليل التكلفة والسعر'!$B$2:$B$700,0))</f>
        <v>210</v>
      </c>
      <c r="I147" s="64" t="n">
        <f aca="false">IF(OR(G147="",G147=0),"",C147/G147)</f>
        <v>0.56706975</v>
      </c>
      <c r="J147" s="64" t="n">
        <f aca="false">IF(OR(H147="",H147=0),"",D147/H147)</f>
        <v>0.541102380952381</v>
      </c>
      <c r="K147" s="64" t="n">
        <f aca="false">IF(OR(I147="",J147=""),"",J147-I147)</f>
        <v>-0.0259673690476191</v>
      </c>
    </row>
    <row r="148" customFormat="false" ht="15" hidden="false" customHeight="true" outlineLevel="0" collapsed="false">
      <c r="A148" s="62" t="s">
        <v>10</v>
      </c>
      <c r="B148" s="62" t="s">
        <v>517</v>
      </c>
      <c r="C148" s="56" t="n">
        <v>76.4303</v>
      </c>
      <c r="D148" s="63" t="n">
        <f aca="false">INDEX('تحليل التكلفة والسعر'!$C$2:$C$700,MATCH($B148,'تحليل التكلفة والسعر'!$B$2:$B$700,0))</f>
        <v>76.2965</v>
      </c>
      <c r="E148" s="63" t="n">
        <f aca="false">D148-C148</f>
        <v>-0.133800000000008</v>
      </c>
      <c r="F148" s="64" t="n">
        <f aca="false">IF(C148=0,"",D148/C148-1)</f>
        <v>-0.00175061461226778</v>
      </c>
      <c r="G148" s="56" t="n">
        <v>120</v>
      </c>
      <c r="H148" s="63" t="n">
        <f aca="false">INDEX('تحليل التكلفة والسعر'!$D$2:$D$700,MATCH($B148,'تحليل التكلفة والسعر'!$B$2:$B$700,0))</f>
        <v>130</v>
      </c>
      <c r="I148" s="64" t="n">
        <f aca="false">IF(OR(G148="",G148=0),"",C148/G148)</f>
        <v>0.636919166666667</v>
      </c>
      <c r="J148" s="64" t="n">
        <f aca="false">IF(OR(H148="",H148=0),"",D148/H148)</f>
        <v>0.586896153846154</v>
      </c>
      <c r="K148" s="64" t="n">
        <f aca="false">IF(OR(I148="",J148=""),"",J148-I148)</f>
        <v>-0.0500230128205129</v>
      </c>
    </row>
    <row r="149" customFormat="false" ht="15" hidden="false" customHeight="true" outlineLevel="0" collapsed="false">
      <c r="A149" s="62" t="s">
        <v>16</v>
      </c>
      <c r="B149" s="62" t="s">
        <v>518</v>
      </c>
      <c r="C149" s="56" t="n">
        <v>94.04215</v>
      </c>
      <c r="D149" s="63" t="n">
        <f aca="false">INDEX('تحليل التكلفة والسعر'!$C$2:$C$700,MATCH($B149,'تحليل التكلفة والسعر'!$B$2:$B$700,0))</f>
        <v>94.1898</v>
      </c>
      <c r="E149" s="63" t="n">
        <f aca="false">D149-C149</f>
        <v>0.147649999999999</v>
      </c>
      <c r="F149" s="64" t="n">
        <f aca="false">IF(C149=0,"",D149/C149-1)</f>
        <v>0.00157004066793442</v>
      </c>
      <c r="G149" s="56" t="n">
        <v>190</v>
      </c>
      <c r="H149" s="63" t="n">
        <f aca="false">INDEX('تحليل التكلفة والسعر'!$D$2:$D$700,MATCH($B149,'تحليل التكلفة والسعر'!$B$2:$B$700,0))</f>
        <v>200</v>
      </c>
      <c r="I149" s="64" t="n">
        <f aca="false">IF(OR(G149="",G149=0),"",C149/G149)</f>
        <v>0.494958684210526</v>
      </c>
      <c r="J149" s="64" t="n">
        <f aca="false">IF(OR(H149="",H149=0),"",D149/H149)</f>
        <v>0.470949</v>
      </c>
      <c r="K149" s="64" t="n">
        <f aca="false">IF(OR(I149="",J149=""),"",J149-I149)</f>
        <v>-0.0240096842105264</v>
      </c>
    </row>
    <row r="150" customFormat="false" ht="15" hidden="false" customHeight="true" outlineLevel="0" collapsed="false">
      <c r="A150" s="62" t="s">
        <v>17</v>
      </c>
      <c r="B150" s="62" t="s">
        <v>519</v>
      </c>
      <c r="C150" s="56" t="n">
        <v>75.4303</v>
      </c>
      <c r="D150" s="63" t="n">
        <f aca="false">INDEX('تحليل التكلفة والسعر'!$C$2:$C$700,MATCH($B150,'تحليل التكلفة والسعر'!$B$2:$B$700,0))</f>
        <v>75.3265</v>
      </c>
      <c r="E150" s="63" t="n">
        <f aca="false">D150-C150</f>
        <v>-0.103800000000007</v>
      </c>
      <c r="F150" s="64" t="n">
        <f aca="false">IF(C150=0,"",D150/C150-1)</f>
        <v>-0.00137610482790085</v>
      </c>
      <c r="G150" s="56" t="n">
        <v>170</v>
      </c>
      <c r="H150" s="63" t="n">
        <f aca="false">INDEX('تحليل التكلفة والسعر'!$D$2:$D$700,MATCH($B150,'تحليل التكلفة والسعر'!$B$2:$B$700,0))</f>
        <v>180</v>
      </c>
      <c r="I150" s="64" t="n">
        <f aca="false">IF(OR(G150="",G150=0),"",C150/G150)</f>
        <v>0.443707647058824</v>
      </c>
      <c r="J150" s="64" t="n">
        <f aca="false">IF(OR(H150="",H150=0),"",D150/H150)</f>
        <v>0.418480555555556</v>
      </c>
      <c r="K150" s="64" t="n">
        <f aca="false">IF(OR(I150="",J150=""),"",J150-I150)</f>
        <v>-0.025227091503268</v>
      </c>
    </row>
    <row r="151" customFormat="false" ht="15" hidden="false" customHeight="true" outlineLevel="0" collapsed="false">
      <c r="A151" s="62" t="s">
        <v>20</v>
      </c>
      <c r="B151" s="62" t="s">
        <v>520</v>
      </c>
      <c r="C151" s="56" t="n">
        <v>67.42</v>
      </c>
      <c r="D151" s="63" t="n">
        <f aca="false">INDEX('تحليل التكلفة والسعر'!$C$2:$C$700,MATCH($B151,'تحليل التكلفة والسعر'!$B$2:$B$700,0))</f>
        <v>67.3328</v>
      </c>
      <c r="E151" s="63" t="n">
        <f aca="false">D151-C151</f>
        <v>-0.0871999999999957</v>
      </c>
      <c r="F151" s="64" t="n">
        <f aca="false">IF(C151=0,"",D151/C151-1)</f>
        <v>-0.00129338475229901</v>
      </c>
      <c r="G151" s="56" t="n">
        <v>120</v>
      </c>
      <c r="H151" s="63" t="n">
        <f aca="false">INDEX('تحليل التكلفة والسعر'!$D$2:$D$700,MATCH($B151,'تحليل التكلفة والسعر'!$B$2:$B$700,0))</f>
        <v>130</v>
      </c>
      <c r="I151" s="64" t="n">
        <f aca="false">IF(OR(G151="",G151=0),"",C151/G151)</f>
        <v>0.561833333333333</v>
      </c>
      <c r="J151" s="64" t="n">
        <f aca="false">IF(OR(H151="",H151=0),"",D151/H151)</f>
        <v>0.517944615384615</v>
      </c>
      <c r="K151" s="64" t="n">
        <f aca="false">IF(OR(I151="",J151=""),"",J151-I151)</f>
        <v>-0.0438887179487179</v>
      </c>
    </row>
    <row r="152" customFormat="false" ht="15" hidden="false" customHeight="true" outlineLevel="0" collapsed="false">
      <c r="A152" s="62" t="s">
        <v>16</v>
      </c>
      <c r="B152" s="62" t="s">
        <v>521</v>
      </c>
      <c r="C152" s="56" t="n">
        <v>130.5491</v>
      </c>
      <c r="D152" s="63" t="n">
        <f aca="false">INDEX('تحليل التكلفة والسعر'!$C$2:$C$700,MATCH($B152,'تحليل التكلفة والسعر'!$B$2:$B$700,0))</f>
        <v>130.4165</v>
      </c>
      <c r="E152" s="63" t="n">
        <f aca="false">D152-C152</f>
        <v>-0.132599999999997</v>
      </c>
      <c r="F152" s="64" t="n">
        <f aca="false">IF(C152=0,"",D152/C152-1)</f>
        <v>-0.00101570979807597</v>
      </c>
      <c r="G152" s="56" t="n">
        <v>230</v>
      </c>
      <c r="H152" s="63" t="n">
        <f aca="false">INDEX('تحليل التكلفة والسعر'!$D$2:$D$700,MATCH($B152,'تحليل التكلفة والسعر'!$B$2:$B$700,0))</f>
        <v>240</v>
      </c>
      <c r="I152" s="64" t="n">
        <f aca="false">IF(OR(G152="",G152=0),"",C152/G152)</f>
        <v>0.567604782608696</v>
      </c>
      <c r="J152" s="64" t="n">
        <f aca="false">IF(OR(H152="",H152=0),"",D152/H152)</f>
        <v>0.543402083333333</v>
      </c>
      <c r="K152" s="64" t="n">
        <f aca="false">IF(OR(I152="",J152=""),"",J152-I152)</f>
        <v>-0.0242026992753623</v>
      </c>
    </row>
    <row r="153" customFormat="false" ht="15" hidden="false" customHeight="true" outlineLevel="0" collapsed="false">
      <c r="A153" s="62" t="s">
        <v>9</v>
      </c>
      <c r="B153" s="62" t="s">
        <v>522</v>
      </c>
      <c r="C153" s="56" t="n">
        <v>133.0491</v>
      </c>
      <c r="D153" s="63" t="n">
        <f aca="false">INDEX('تحليل التكلفة والسعر'!$C$2:$C$700,MATCH($B153,'تحليل التكلفة والسعر'!$B$2:$B$700,0))</f>
        <v>132.9165</v>
      </c>
      <c r="E153" s="63" t="n">
        <f aca="false">D153-C153</f>
        <v>-0.132599999999997</v>
      </c>
      <c r="F153" s="64" t="n">
        <f aca="false">IF(C153=0,"",D153/C153-1)</f>
        <v>-0.000996624554393755</v>
      </c>
      <c r="G153" s="56" t="n">
        <v>230</v>
      </c>
      <c r="H153" s="63" t="n">
        <f aca="false">INDEX('تحليل التكلفة والسعر'!$D$2:$D$700,MATCH($B153,'تحليل التكلفة والسعر'!$B$2:$B$700,0))</f>
        <v>240</v>
      </c>
      <c r="I153" s="64" t="n">
        <f aca="false">IF(OR(G153="",G153=0),"",C153/G153)</f>
        <v>0.578474347826087</v>
      </c>
      <c r="J153" s="64" t="n">
        <f aca="false">IF(OR(H153="",H153=0),"",D153/H153)</f>
        <v>0.55381875</v>
      </c>
      <c r="K153" s="64" t="n">
        <f aca="false">IF(OR(I153="",J153=""),"",J153-I153)</f>
        <v>-0.024655597826087</v>
      </c>
    </row>
    <row r="154" customFormat="false" ht="15" hidden="false" customHeight="true" outlineLevel="0" collapsed="false">
      <c r="A154" s="62" t="s">
        <v>13</v>
      </c>
      <c r="B154" s="62" t="s">
        <v>523</v>
      </c>
      <c r="C154" s="56" t="n">
        <v>78.52</v>
      </c>
      <c r="D154" s="63" t="n">
        <f aca="false">INDEX('تحليل التكلفة والسعر'!$C$2:$C$700,MATCH($B154,'تحليل التكلفة والسعر'!$B$2:$B$700,0))</f>
        <v>78.463335</v>
      </c>
      <c r="E154" s="63" t="n">
        <f aca="false">D154-C154</f>
        <v>-0.0566649999999953</v>
      </c>
      <c r="F154" s="64" t="n">
        <f aca="false">IF(C154=0,"",D154/C154-1)</f>
        <v>-0.000721663270504269</v>
      </c>
      <c r="G154" s="56" t="n">
        <v>130</v>
      </c>
      <c r="H154" s="63" t="n">
        <f aca="false">INDEX('تحليل التكلفة والسعر'!$D$2:$D$700,MATCH($B154,'تحليل التكلفة والسعر'!$B$2:$B$700,0))</f>
        <v>140</v>
      </c>
      <c r="I154" s="64" t="n">
        <f aca="false">IF(OR(G154="",G154=0),"",C154/G154)</f>
        <v>0.604</v>
      </c>
      <c r="J154" s="64" t="n">
        <f aca="false">IF(OR(H154="",H154=0),"",D154/H154)</f>
        <v>0.560452392857143</v>
      </c>
      <c r="K154" s="64" t="n">
        <f aca="false">IF(OR(I154="",J154=""),"",J154-I154)</f>
        <v>-0.0435476071428571</v>
      </c>
    </row>
    <row r="155" customFormat="false" ht="15" hidden="false" customHeight="true" outlineLevel="0" collapsed="false">
      <c r="A155" s="62" t="s">
        <v>12</v>
      </c>
      <c r="B155" s="62" t="s">
        <v>524</v>
      </c>
      <c r="C155" s="56" t="n">
        <v>79.2887</v>
      </c>
      <c r="D155" s="63" t="n">
        <f aca="false">INDEX('تحليل التكلفة والسعر'!$C$2:$C$700,MATCH($B155,'تحليل التكلفة والسعر'!$B$2:$B$700,0))</f>
        <v>79.2265</v>
      </c>
      <c r="E155" s="63" t="n">
        <f aca="false">D155-C155</f>
        <v>-0.0622000000000043</v>
      </c>
      <c r="F155" s="64" t="n">
        <f aca="false">IF(C155=0,"",D155/C155-1)</f>
        <v>-0.000784474963014925</v>
      </c>
      <c r="G155" s="56" t="n">
        <v>150</v>
      </c>
      <c r="H155" s="63" t="n">
        <f aca="false">INDEX('تحليل التكلفة والسعر'!$D$2:$D$700,MATCH($B155,'تحليل التكلفة والسعر'!$B$2:$B$700,0))</f>
        <v>160</v>
      </c>
      <c r="I155" s="64" t="n">
        <f aca="false">IF(OR(G155="",G155=0),"",C155/G155)</f>
        <v>0.528591333333333</v>
      </c>
      <c r="J155" s="64" t="n">
        <f aca="false">IF(OR(H155="",H155=0),"",D155/H155)</f>
        <v>0.495165625</v>
      </c>
      <c r="K155" s="64" t="n">
        <f aca="false">IF(OR(I155="",J155=""),"",J155-I155)</f>
        <v>-0.0334257083333334</v>
      </c>
    </row>
    <row r="156" customFormat="false" ht="15" hidden="false" customHeight="true" outlineLevel="0" collapsed="false">
      <c r="A156" s="62" t="s">
        <v>9</v>
      </c>
      <c r="B156" s="62" t="s">
        <v>525</v>
      </c>
      <c r="C156" s="56" t="n">
        <v>162.33215</v>
      </c>
      <c r="D156" s="63" t="n">
        <f aca="false">INDEX('تحليل التكلفة والسعر'!$C$2:$C$700,MATCH($B156,'تحليل التكلفة والسعر'!$B$2:$B$700,0))</f>
        <v>162.9577</v>
      </c>
      <c r="E156" s="63" t="n">
        <f aca="false">D156-C156</f>
        <v>0.625549999999976</v>
      </c>
      <c r="F156" s="64" t="n">
        <f aca="false">IF(C156=0,"",D156/C156-1)</f>
        <v>0.00385351885008589</v>
      </c>
      <c r="G156" s="56" t="n">
        <v>330</v>
      </c>
      <c r="H156" s="63" t="n">
        <f aca="false">INDEX('تحليل التكلفة والسعر'!$D$2:$D$700,MATCH($B156,'تحليل التكلفة والسعر'!$B$2:$B$700,0))</f>
        <v>340</v>
      </c>
      <c r="I156" s="64" t="n">
        <f aca="false">IF(OR(G156="",G156=0),"",C156/G156)</f>
        <v>0.491915606060606</v>
      </c>
      <c r="J156" s="64" t="n">
        <f aca="false">IF(OR(H156="",H156=0),"",D156/H156)</f>
        <v>0.479287352941176</v>
      </c>
      <c r="K156" s="64" t="n">
        <f aca="false">IF(OR(I156="",J156=""),"",J156-I156)</f>
        <v>-0.0126282531194297</v>
      </c>
    </row>
    <row r="157" customFormat="false" ht="15" hidden="false" customHeight="true" outlineLevel="0" collapsed="false">
      <c r="A157" s="62" t="s">
        <v>374</v>
      </c>
      <c r="B157" s="62" t="s">
        <v>526</v>
      </c>
      <c r="C157" s="56" t="n">
        <v>42</v>
      </c>
      <c r="D157" s="63" t="n">
        <f aca="false">INDEX('تحليل التكلفة والسعر'!$C$2:$C$700,MATCH($B157,'تحليل التكلفة والسعر'!$B$2:$B$700,0))</f>
        <v>42.03</v>
      </c>
      <c r="E157" s="63" t="n">
        <f aca="false">D157-C157</f>
        <v>0.0300000000000011</v>
      </c>
      <c r="F157" s="64" t="n">
        <f aca="false">IF(C157=0,"",D157/C157-1)</f>
        <v>0.000714285714285667</v>
      </c>
      <c r="G157" s="56" t="n">
        <v>70</v>
      </c>
      <c r="H157" s="63" t="n">
        <f aca="false">INDEX('تحليل التكلفة والسعر'!$D$2:$D$700,MATCH($B157,'تحليل التكلفة والسعر'!$B$2:$B$700,0))</f>
        <v>80</v>
      </c>
      <c r="I157" s="64" t="n">
        <f aca="false">IF(OR(G157="",G157=0),"",C157/G157)</f>
        <v>0.6</v>
      </c>
      <c r="J157" s="64" t="n">
        <f aca="false">IF(OR(H157="",H157=0),"",D157/H157)</f>
        <v>0.525375</v>
      </c>
      <c r="K157" s="64" t="n">
        <f aca="false">IF(OR(I157="",J157=""),"",J157-I157)</f>
        <v>-0.0746249999999999</v>
      </c>
    </row>
    <row r="158" customFormat="false" ht="15" hidden="false" customHeight="true" outlineLevel="0" collapsed="false">
      <c r="A158" s="62" t="s">
        <v>12</v>
      </c>
      <c r="B158" s="62" t="s">
        <v>527</v>
      </c>
      <c r="C158" s="56" t="n">
        <v>95.2424</v>
      </c>
      <c r="D158" s="63" t="n">
        <f aca="false">INDEX('تحليل التكلفة والسعر'!$C$2:$C$700,MATCH($B158,'تحليل التكلفة والسعر'!$B$2:$B$700,0))</f>
        <v>95.14544</v>
      </c>
      <c r="E158" s="63" t="n">
        <f aca="false">D158-C158</f>
        <v>-0.0969600000000099</v>
      </c>
      <c r="F158" s="64" t="n">
        <f aca="false">IF(C158=0,"",D158/C158-1)</f>
        <v>-0.001018033984864</v>
      </c>
      <c r="G158" s="56" t="n">
        <v>160</v>
      </c>
      <c r="H158" s="63" t="n">
        <f aca="false">INDEX('تحليل التكلفة والسعر'!$D$2:$D$700,MATCH($B158,'تحليل التكلفة والسعر'!$B$2:$B$700,0))</f>
        <v>170</v>
      </c>
      <c r="I158" s="64" t="n">
        <f aca="false">IF(OR(G158="",G158=0),"",C158/G158)</f>
        <v>0.595265</v>
      </c>
      <c r="J158" s="64" t="n">
        <f aca="false">IF(OR(H158="",H158=0),"",D158/H158)</f>
        <v>0.559679058823529</v>
      </c>
      <c r="K158" s="64" t="n">
        <f aca="false">IF(OR(I158="",J158=""),"",J158-I158)</f>
        <v>-0.0355859411764706</v>
      </c>
    </row>
    <row r="159" customFormat="false" ht="15" hidden="false" customHeight="true" outlineLevel="0" collapsed="false">
      <c r="A159" s="62" t="s">
        <v>374</v>
      </c>
      <c r="B159" s="62" t="s">
        <v>528</v>
      </c>
      <c r="C159" s="56" t="n">
        <v>14</v>
      </c>
      <c r="D159" s="63" t="n">
        <f aca="false">INDEX('تحليل التكلفة والسعر'!$C$2:$C$700,MATCH($B159,'تحليل التكلفة والسعر'!$B$2:$B$700,0))</f>
        <v>14</v>
      </c>
      <c r="E159" s="63" t="n">
        <f aca="false">D159-C159</f>
        <v>0</v>
      </c>
      <c r="F159" s="64" t="n">
        <f aca="false">IF(C159=0,"",D159/C159-1)</f>
        <v>0</v>
      </c>
      <c r="G159" s="56" t="n">
        <v>30.92</v>
      </c>
      <c r="H159" s="63" t="n">
        <f aca="false">INDEX('تحليل التكلفة والسعر'!$D$2:$D$700,MATCH($B159,'تحليل التكلفة والسعر'!$B$2:$B$700,0))</f>
        <v>40.92</v>
      </c>
      <c r="I159" s="64" t="n">
        <f aca="false">IF(OR(G159="",G159=0),"",C159/G159)</f>
        <v>0.452781371280724</v>
      </c>
      <c r="J159" s="64" t="n">
        <f aca="false">IF(OR(H159="",H159=0),"",D159/H159)</f>
        <v>0.342130987292278</v>
      </c>
      <c r="K159" s="64" t="n">
        <f aca="false">IF(OR(I159="",J159=""),"",J159-I159)</f>
        <v>-0.110650383988447</v>
      </c>
    </row>
    <row r="160" customFormat="false" ht="15" hidden="false" customHeight="true" outlineLevel="0" collapsed="false">
      <c r="A160" s="62" t="s">
        <v>374</v>
      </c>
      <c r="B160" s="62" t="s">
        <v>529</v>
      </c>
      <c r="C160" s="56" t="n">
        <v>21</v>
      </c>
      <c r="D160" s="63" t="n">
        <f aca="false">INDEX('تحليل التكلفة والسعر'!$C$2:$C$700,MATCH($B160,'تحليل التكلفة والسعر'!$B$2:$B$700,0))</f>
        <v>21</v>
      </c>
      <c r="E160" s="63" t="n">
        <f aca="false">D160-C160</f>
        <v>0</v>
      </c>
      <c r="F160" s="64" t="n">
        <f aca="false">IF(C160=0,"",D160/C160-1)</f>
        <v>0</v>
      </c>
      <c r="G160" s="56" t="n">
        <v>45.56</v>
      </c>
      <c r="H160" s="63" t="n">
        <f aca="false">INDEX('تحليل التكلفة والسعر'!$D$2:$D$700,MATCH($B160,'تحليل التكلفة والسعر'!$B$2:$B$700,0))</f>
        <v>55.56</v>
      </c>
      <c r="I160" s="64" t="n">
        <f aca="false">IF(OR(G160="",G160=0),"",C160/G160)</f>
        <v>0.460930640913082</v>
      </c>
      <c r="J160" s="64" t="n">
        <f aca="false">IF(OR(H160="",H160=0),"",D160/H160)</f>
        <v>0.377969762419007</v>
      </c>
      <c r="K160" s="64" t="n">
        <f aca="false">IF(OR(I160="",J160=""),"",J160-I160)</f>
        <v>-0.0829608784940751</v>
      </c>
    </row>
    <row r="161" customFormat="false" ht="15" hidden="false" customHeight="true" outlineLevel="0" collapsed="false">
      <c r="A161" s="62" t="s">
        <v>374</v>
      </c>
      <c r="B161" s="62" t="s">
        <v>530</v>
      </c>
      <c r="C161" s="56" t="n">
        <v>14</v>
      </c>
      <c r="D161" s="63" t="n">
        <f aca="false">INDEX('تحليل التكلفة والسعر'!$C$2:$C$700,MATCH($B161,'تحليل التكلفة والسعر'!$B$2:$B$700,0))</f>
        <v>14</v>
      </c>
      <c r="E161" s="63" t="n">
        <f aca="false">D161-C161</f>
        <v>0</v>
      </c>
      <c r="F161" s="64" t="n">
        <f aca="false">IF(C161=0,"",D161/C161-1)</f>
        <v>0</v>
      </c>
      <c r="G161" s="56" t="n">
        <v>30.71</v>
      </c>
      <c r="H161" s="63" t="n">
        <f aca="false">INDEX('تحليل التكلفة والسعر'!$D$2:$D$700,MATCH($B161,'تحليل التكلفة والسعر'!$B$2:$B$700,0))</f>
        <v>40.71</v>
      </c>
      <c r="I161" s="64" t="n">
        <f aca="false">IF(OR(G161="",G161=0),"",C161/G161)</f>
        <v>0.455877564311299</v>
      </c>
      <c r="J161" s="64" t="n">
        <f aca="false">IF(OR(H161="",H161=0),"",D161/H161)</f>
        <v>0.343895848685827</v>
      </c>
      <c r="K161" s="64" t="n">
        <f aca="false">IF(OR(I161="",J161=""),"",J161-I161)</f>
        <v>-0.111981715625473</v>
      </c>
    </row>
    <row r="162" customFormat="false" ht="15" hidden="false" customHeight="true" outlineLevel="0" collapsed="false">
      <c r="A162" s="62" t="s">
        <v>374</v>
      </c>
      <c r="B162" s="62" t="s">
        <v>531</v>
      </c>
      <c r="C162" s="56" t="n">
        <v>17.5</v>
      </c>
      <c r="D162" s="63" t="n">
        <f aca="false">INDEX('تحليل التكلفة والسعر'!$C$2:$C$700,MATCH($B162,'تحليل التكلفة والسعر'!$B$2:$B$700,0))</f>
        <v>17.5</v>
      </c>
      <c r="E162" s="63" t="n">
        <f aca="false">D162-C162</f>
        <v>0</v>
      </c>
      <c r="F162" s="64" t="n">
        <f aca="false">IF(C162=0,"",D162/C162-1)</f>
        <v>0</v>
      </c>
      <c r="G162" s="56" t="n">
        <v>30.62</v>
      </c>
      <c r="H162" s="63" t="n">
        <f aca="false">INDEX('تحليل التكلفة والسعر'!$D$2:$D$700,MATCH($B162,'تحليل التكلفة والسعر'!$B$2:$B$700,0))</f>
        <v>40.62</v>
      </c>
      <c r="I162" s="64" t="n">
        <f aca="false">IF(OR(G162="",G162=0),"",C162/G162)</f>
        <v>0.571521881123449</v>
      </c>
      <c r="J162" s="64" t="n">
        <f aca="false">IF(OR(H162="",H162=0),"",D162/H162)</f>
        <v>0.430822255046775</v>
      </c>
      <c r="K162" s="64" t="n">
        <f aca="false">IF(OR(I162="",J162=""),"",J162-I162)</f>
        <v>-0.140699626076674</v>
      </c>
    </row>
    <row r="163" customFormat="false" ht="15" hidden="false" customHeight="true" outlineLevel="0" collapsed="false">
      <c r="A163" s="62" t="s">
        <v>374</v>
      </c>
      <c r="B163" s="62" t="s">
        <v>532</v>
      </c>
      <c r="C163" s="56" t="n">
        <v>25</v>
      </c>
      <c r="D163" s="63" t="n">
        <f aca="false">INDEX('تحليل التكلفة والسعر'!$C$2:$C$700,MATCH($B163,'تحليل التكلفة والسعر'!$B$2:$B$700,0))</f>
        <v>25</v>
      </c>
      <c r="E163" s="63" t="n">
        <f aca="false">D163-C163</f>
        <v>0</v>
      </c>
      <c r="F163" s="64" t="n">
        <f aca="false">IF(C163=0,"",D163/C163-1)</f>
        <v>0</v>
      </c>
      <c r="G163" s="56" t="n">
        <v>45</v>
      </c>
      <c r="H163" s="63" t="n">
        <f aca="false">INDEX('تحليل التكلفة والسعر'!$D$2:$D$700,MATCH($B163,'تحليل التكلفة والسعر'!$B$2:$B$700,0))</f>
        <v>55</v>
      </c>
      <c r="I163" s="64" t="n">
        <f aca="false">IF(OR(G163="",G163=0),"",C163/G163)</f>
        <v>0.555555555555556</v>
      </c>
      <c r="J163" s="64" t="n">
        <f aca="false">IF(OR(H163="",H163=0),"",D163/H163)</f>
        <v>0.454545454545455</v>
      </c>
      <c r="K163" s="64" t="n">
        <f aca="false">IF(OR(I163="",J163=""),"",J163-I163)</f>
        <v>-0.101010101010101</v>
      </c>
    </row>
    <row r="164" customFormat="false" ht="15" hidden="false" customHeight="true" outlineLevel="0" collapsed="false">
      <c r="A164" s="62" t="s">
        <v>374</v>
      </c>
      <c r="B164" s="62" t="s">
        <v>533</v>
      </c>
      <c r="C164" s="56" t="n">
        <v>20</v>
      </c>
      <c r="D164" s="63" t="n">
        <f aca="false">INDEX('تحليل التكلفة والسعر'!$C$2:$C$700,MATCH($B164,'تحليل التكلفة والسعر'!$B$2:$B$700,0))</f>
        <v>20</v>
      </c>
      <c r="E164" s="63" t="n">
        <f aca="false">D164-C164</f>
        <v>0</v>
      </c>
      <c r="F164" s="64" t="n">
        <f aca="false">IF(C164=0,"",D164/C164-1)</f>
        <v>0</v>
      </c>
      <c r="G164" s="56" t="n">
        <v>31.25</v>
      </c>
      <c r="H164" s="63" t="n">
        <f aca="false">INDEX('تحليل التكلفة والسعر'!$D$2:$D$700,MATCH($B164,'تحليل التكلفة والسعر'!$B$2:$B$700,0))</f>
        <v>41.25</v>
      </c>
      <c r="I164" s="64" t="n">
        <f aca="false">IF(OR(G164="",G164=0),"",C164/G164)</f>
        <v>0.64</v>
      </c>
      <c r="J164" s="64" t="n">
        <f aca="false">IF(OR(H164="",H164=0),"",D164/H164)</f>
        <v>0.484848484848485</v>
      </c>
      <c r="K164" s="64" t="n">
        <f aca="false">IF(OR(I164="",J164=""),"",J164-I164)</f>
        <v>-0.155151515151515</v>
      </c>
    </row>
    <row r="165" customFormat="false" ht="15" hidden="false" customHeight="true" outlineLevel="0" collapsed="false">
      <c r="A165" s="62" t="s">
        <v>374</v>
      </c>
      <c r="B165" s="62" t="s">
        <v>534</v>
      </c>
      <c r="C165" s="56" t="n">
        <v>9</v>
      </c>
      <c r="D165" s="63" t="n">
        <f aca="false">INDEX('تحليل التكلفة والسعر'!$C$2:$C$700,MATCH($B165,'تحليل التكلفة والسعر'!$B$2:$B$700,0))</f>
        <v>9</v>
      </c>
      <c r="E165" s="63" t="n">
        <f aca="false">D165-C165</f>
        <v>0</v>
      </c>
      <c r="F165" s="64" t="n">
        <f aca="false">IF(C165=0,"",D165/C165-1)</f>
        <v>0</v>
      </c>
      <c r="G165" s="56" t="n">
        <v>30</v>
      </c>
      <c r="H165" s="63" t="n">
        <f aca="false">INDEX('تحليل التكلفة والسعر'!$D$2:$D$700,MATCH($B165,'تحليل التكلفة والسعر'!$B$2:$B$700,0))</f>
        <v>40</v>
      </c>
      <c r="I165" s="64" t="n">
        <f aca="false">IF(OR(G165="",G165=0),"",C165/G165)</f>
        <v>0.3</v>
      </c>
      <c r="J165" s="64" t="n">
        <f aca="false">IF(OR(H165="",H165=0),"",D165/H165)</f>
        <v>0.225</v>
      </c>
      <c r="K165" s="64" t="n">
        <f aca="false">IF(OR(I165="",J165=""),"",J165-I165)</f>
        <v>-0.075</v>
      </c>
    </row>
    <row r="166" customFormat="false" ht="15" hidden="false" customHeight="true" outlineLevel="0" collapsed="false">
      <c r="A166" s="62" t="s">
        <v>374</v>
      </c>
      <c r="B166" s="62" t="s">
        <v>535</v>
      </c>
      <c r="C166" s="56" t="n">
        <v>9</v>
      </c>
      <c r="D166" s="63" t="n">
        <f aca="false">INDEX('تحليل التكلفة والسعر'!$C$2:$C$700,MATCH($B166,'تحليل التكلفة والسعر'!$B$2:$B$700,0))</f>
        <v>9</v>
      </c>
      <c r="E166" s="63" t="n">
        <f aca="false">D166-C166</f>
        <v>0</v>
      </c>
      <c r="F166" s="64" t="n">
        <f aca="false">IF(C166=0,"",D166/C166-1)</f>
        <v>0</v>
      </c>
      <c r="G166" s="56" t="n">
        <v>30</v>
      </c>
      <c r="H166" s="63" t="n">
        <f aca="false">INDEX('تحليل التكلفة والسعر'!$D$2:$D$700,MATCH($B166,'تحليل التكلفة والسعر'!$B$2:$B$700,0))</f>
        <v>40</v>
      </c>
      <c r="I166" s="64" t="n">
        <f aca="false">IF(OR(G166="",G166=0),"",C166/G166)</f>
        <v>0.3</v>
      </c>
      <c r="J166" s="64" t="n">
        <f aca="false">IF(OR(H166="",H166=0),"",D166/H166)</f>
        <v>0.225</v>
      </c>
      <c r="K166" s="64" t="n">
        <f aca="false">IF(OR(I166="",J166=""),"",J166-I166)</f>
        <v>-0.075</v>
      </c>
    </row>
    <row r="167" customFormat="false" ht="15" hidden="false" customHeight="true" outlineLevel="0" collapsed="false">
      <c r="A167" s="62" t="s">
        <v>374</v>
      </c>
      <c r="B167" s="62" t="s">
        <v>536</v>
      </c>
      <c r="C167" s="56" t="n">
        <v>13.5</v>
      </c>
      <c r="D167" s="63" t="n">
        <f aca="false">INDEX('تحليل التكلفة والسعر'!$C$2:$C$700,MATCH($B167,'تحليل التكلفة والسعر'!$B$2:$B$700,0))</f>
        <v>13.5</v>
      </c>
      <c r="E167" s="63" t="n">
        <f aca="false">D167-C167</f>
        <v>0</v>
      </c>
      <c r="F167" s="64" t="n">
        <f aca="false">IF(C167=0,"",D167/C167-1)</f>
        <v>0</v>
      </c>
      <c r="G167" s="56" t="n">
        <v>45</v>
      </c>
      <c r="H167" s="63" t="n">
        <f aca="false">INDEX('تحليل التكلفة والسعر'!$D$2:$D$700,MATCH($B167,'تحليل التكلفة والسعر'!$B$2:$B$700,0))</f>
        <v>55</v>
      </c>
      <c r="I167" s="64" t="n">
        <f aca="false">IF(OR(G167="",G167=0),"",C167/G167)</f>
        <v>0.3</v>
      </c>
      <c r="J167" s="64" t="n">
        <f aca="false">IF(OR(H167="",H167=0),"",D167/H167)</f>
        <v>0.245454545454545</v>
      </c>
      <c r="K167" s="64" t="n">
        <f aca="false">IF(OR(I167="",J167=""),"",J167-I167)</f>
        <v>-0.0545454545454545</v>
      </c>
    </row>
    <row r="168" customFormat="false" ht="15" hidden="false" customHeight="true" outlineLevel="0" collapsed="false">
      <c r="A168" s="62" t="s">
        <v>374</v>
      </c>
      <c r="B168" s="62" t="s">
        <v>537</v>
      </c>
      <c r="C168" s="56" t="n">
        <v>21</v>
      </c>
      <c r="D168" s="63" t="n">
        <f aca="false">INDEX('تحليل التكلفة والسعر'!$C$2:$C$700,MATCH($B168,'تحليل التكلفة والسعر'!$B$2:$B$700,0))</f>
        <v>21</v>
      </c>
      <c r="E168" s="63" t="n">
        <f aca="false">D168-C168</f>
        <v>0</v>
      </c>
      <c r="F168" s="64" t="n">
        <f aca="false">IF(C168=0,"",D168/C168-1)</f>
        <v>0</v>
      </c>
      <c r="G168" s="56" t="n">
        <v>50</v>
      </c>
      <c r="H168" s="63" t="n">
        <f aca="false">INDEX('تحليل التكلفة والسعر'!$D$2:$D$700,MATCH($B168,'تحليل التكلفة والسعر'!$B$2:$B$700,0))</f>
        <v>60</v>
      </c>
      <c r="I168" s="64" t="n">
        <f aca="false">IF(OR(G168="",G168=0),"",C168/G168)</f>
        <v>0.42</v>
      </c>
      <c r="J168" s="64" t="n">
        <f aca="false">IF(OR(H168="",H168=0),"",D168/H168)</f>
        <v>0.35</v>
      </c>
      <c r="K168" s="64" t="n">
        <f aca="false">IF(OR(I168="",J168=""),"",J168-I168)</f>
        <v>-0.07</v>
      </c>
    </row>
    <row r="169" customFormat="false" ht="15" hidden="false" customHeight="true" outlineLevel="0" collapsed="false">
      <c r="A169" s="62" t="s">
        <v>374</v>
      </c>
      <c r="B169" s="62" t="s">
        <v>538</v>
      </c>
      <c r="C169" s="56" t="n">
        <v>21</v>
      </c>
      <c r="D169" s="63" t="n">
        <f aca="false">INDEX('تحليل التكلفة والسعر'!$C$2:$C$700,MATCH($B169,'تحليل التكلفة والسعر'!$B$2:$B$700,0))</f>
        <v>21</v>
      </c>
      <c r="E169" s="63" t="n">
        <f aca="false">D169-C169</f>
        <v>0</v>
      </c>
      <c r="F169" s="64" t="n">
        <f aca="false">IF(C169=0,"",D169/C169-1)</f>
        <v>0</v>
      </c>
      <c r="G169" s="56" t="n">
        <v>50</v>
      </c>
      <c r="H169" s="63" t="n">
        <f aca="false">INDEX('تحليل التكلفة والسعر'!$D$2:$D$700,MATCH($B169,'تحليل التكلفة والسعر'!$B$2:$B$700,0))</f>
        <v>60</v>
      </c>
      <c r="I169" s="64" t="n">
        <f aca="false">IF(OR(G169="",G169=0),"",C169/G169)</f>
        <v>0.42</v>
      </c>
      <c r="J169" s="64" t="n">
        <f aca="false">IF(OR(H169="",H169=0),"",D169/H169)</f>
        <v>0.35</v>
      </c>
      <c r="K169" s="64" t="n">
        <f aca="false">IF(OR(I169="",J169=""),"",J169-I169)</f>
        <v>-0.07</v>
      </c>
    </row>
    <row r="170" customFormat="false" ht="15" hidden="false" customHeight="true" outlineLevel="0" collapsed="false">
      <c r="A170" s="62" t="s">
        <v>374</v>
      </c>
      <c r="B170" s="62" t="s">
        <v>539</v>
      </c>
      <c r="C170" s="56" t="n">
        <v>34</v>
      </c>
      <c r="D170" s="63" t="n">
        <f aca="false">INDEX('تحليل التكلفة والسعر'!$C$2:$C$700,MATCH($B170,'تحليل التكلفة والسعر'!$B$2:$B$700,0))</f>
        <v>34</v>
      </c>
      <c r="E170" s="63" t="n">
        <f aca="false">D170-C170</f>
        <v>0</v>
      </c>
      <c r="F170" s="64" t="n">
        <f aca="false">IF(C170=0,"",D170/C170-1)</f>
        <v>0</v>
      </c>
      <c r="G170" s="56" t="n">
        <v>70</v>
      </c>
      <c r="H170" s="63" t="n">
        <f aca="false">INDEX('تحليل التكلفة والسعر'!$D$2:$D$700,MATCH($B170,'تحليل التكلفة والسعر'!$B$2:$B$700,0))</f>
        <v>80</v>
      </c>
      <c r="I170" s="64" t="n">
        <f aca="false">IF(OR(G170="",G170=0),"",C170/G170)</f>
        <v>0.485714285714286</v>
      </c>
      <c r="J170" s="64" t="n">
        <f aca="false">IF(OR(H170="",H170=0),"",D170/H170)</f>
        <v>0.425</v>
      </c>
      <c r="K170" s="64" t="n">
        <f aca="false">IF(OR(I170="",J170=""),"",J170-I170)</f>
        <v>-0.0607142857142857</v>
      </c>
    </row>
    <row r="171" customFormat="false" ht="15" hidden="false" customHeight="true" outlineLevel="0" collapsed="false">
      <c r="A171" s="62" t="s">
        <v>374</v>
      </c>
      <c r="B171" s="62" t="s">
        <v>540</v>
      </c>
      <c r="C171" s="56" t="n">
        <v>34</v>
      </c>
      <c r="D171" s="63" t="n">
        <f aca="false">INDEX('تحليل التكلفة والسعر'!$C$2:$C$700,MATCH($B171,'تحليل التكلفة والسعر'!$B$2:$B$700,0))</f>
        <v>34</v>
      </c>
      <c r="E171" s="63" t="n">
        <f aca="false">D171-C171</f>
        <v>0</v>
      </c>
      <c r="F171" s="64" t="n">
        <f aca="false">IF(C171=0,"",D171/C171-1)</f>
        <v>0</v>
      </c>
      <c r="G171" s="56" t="n">
        <v>73.33</v>
      </c>
      <c r="H171" s="63" t="n">
        <f aca="false">INDEX('تحليل التكلفة والسعر'!$D$2:$D$700,MATCH($B171,'تحليل التكلفة والسعر'!$B$2:$B$700,0))</f>
        <v>83.33</v>
      </c>
      <c r="I171" s="64" t="n">
        <f aca="false">IF(OR(G171="",G171=0),"",C171/G171)</f>
        <v>0.463657438974499</v>
      </c>
      <c r="J171" s="64" t="n">
        <f aca="false">IF(OR(H171="",H171=0),"",D171/H171)</f>
        <v>0.408016320652826</v>
      </c>
      <c r="K171" s="64" t="n">
        <f aca="false">IF(OR(I171="",J171=""),"",J171-I171)</f>
        <v>-0.0556411183216727</v>
      </c>
    </row>
    <row r="172" customFormat="false" ht="15" hidden="false" customHeight="true" outlineLevel="0" collapsed="false">
      <c r="A172" s="62" t="s">
        <v>374</v>
      </c>
      <c r="B172" s="62" t="s">
        <v>541</v>
      </c>
      <c r="C172" s="56" t="n">
        <v>20</v>
      </c>
      <c r="D172" s="63" t="n">
        <f aca="false">INDEX('تحليل التكلفة والسعر'!$C$2:$C$700,MATCH($B172,'تحليل التكلفة والسعر'!$B$2:$B$700,0))</f>
        <v>20</v>
      </c>
      <c r="E172" s="63" t="n">
        <f aca="false">D172-C172</f>
        <v>0</v>
      </c>
      <c r="F172" s="64" t="n">
        <f aca="false">IF(C172=0,"",D172/C172-1)</f>
        <v>0</v>
      </c>
      <c r="G172" s="56" t="n">
        <v>30.83</v>
      </c>
      <c r="H172" s="63" t="n">
        <f aca="false">INDEX('تحليل التكلفة والسعر'!$D$2:$D$700,MATCH($B172,'تحليل التكلفة والسعر'!$B$2:$B$700,0))</f>
        <v>40.83</v>
      </c>
      <c r="I172" s="64" t="n">
        <f aca="false">IF(OR(G172="",G172=0),"",C172/G172)</f>
        <v>0.648718780408693</v>
      </c>
      <c r="J172" s="64" t="n">
        <f aca="false">IF(OR(H172="",H172=0),"",D172/H172)</f>
        <v>0.489835904971834</v>
      </c>
      <c r="K172" s="64" t="n">
        <f aca="false">IF(OR(I172="",J172=""),"",J172-I172)</f>
        <v>-0.158882875436858</v>
      </c>
    </row>
    <row r="173" customFormat="false" ht="15" hidden="false" customHeight="true" outlineLevel="0" collapsed="false">
      <c r="A173" s="62" t="s">
        <v>374</v>
      </c>
      <c r="B173" s="62" t="s">
        <v>542</v>
      </c>
      <c r="C173" s="56" t="n">
        <v>10</v>
      </c>
      <c r="D173" s="63" t="n">
        <f aca="false">INDEX('تحليل التكلفة والسعر'!$C$2:$C$700,MATCH($B173,'تحليل التكلفة والسعر'!$B$2:$B$700,0))</f>
        <v>10</v>
      </c>
      <c r="E173" s="63" t="n">
        <f aca="false">D173-C173</f>
        <v>0</v>
      </c>
      <c r="F173" s="64" t="n">
        <f aca="false">IF(C173=0,"",D173/C173-1)</f>
        <v>0</v>
      </c>
      <c r="G173" s="56" t="n">
        <v>40</v>
      </c>
      <c r="H173" s="63" t="n">
        <f aca="false">INDEX('تحليل التكلفة والسعر'!$D$2:$D$700,MATCH($B173,'تحليل التكلفة والسعر'!$B$2:$B$700,0))</f>
        <v>50</v>
      </c>
      <c r="I173" s="64" t="n">
        <f aca="false">IF(OR(G173="",G173=0),"",C173/G173)</f>
        <v>0.25</v>
      </c>
      <c r="J173" s="64" t="n">
        <f aca="false">IF(OR(H173="",H173=0),"",D173/H173)</f>
        <v>0.2</v>
      </c>
      <c r="K173" s="64" t="n">
        <f aca="false">IF(OR(I173="",J173=""),"",J173-I173)</f>
        <v>-0.05</v>
      </c>
    </row>
    <row r="174" customFormat="false" ht="15" hidden="false" customHeight="true" outlineLevel="0" collapsed="false">
      <c r="A174" s="62" t="s">
        <v>374</v>
      </c>
      <c r="B174" s="62" t="s">
        <v>543</v>
      </c>
      <c r="C174" s="56" t="n">
        <v>10.5</v>
      </c>
      <c r="D174" s="63" t="n">
        <f aca="false">INDEX('تحليل التكلفة والسعر'!$C$2:$C$700,MATCH($B174,'تحليل التكلفة والسعر'!$B$2:$B$700,0))</f>
        <v>10.5</v>
      </c>
      <c r="E174" s="63" t="n">
        <f aca="false">D174-C174</f>
        <v>0</v>
      </c>
      <c r="F174" s="64" t="n">
        <f aca="false">IF(C174=0,"",D174/C174-1)</f>
        <v>0</v>
      </c>
      <c r="G174" s="56" t="n">
        <v>21.47</v>
      </c>
      <c r="H174" s="63" t="n">
        <f aca="false">INDEX('تحليل التكلفة والسعر'!$D$2:$D$700,MATCH($B174,'تحليل التكلفة والسعر'!$B$2:$B$700,0))</f>
        <v>31.47</v>
      </c>
      <c r="I174" s="64" t="n">
        <f aca="false">IF(OR(G174="",G174=0),"",C174/G174)</f>
        <v>0.489054494643689</v>
      </c>
      <c r="J174" s="64" t="n">
        <f aca="false">IF(OR(H174="",H174=0),"",D174/H174)</f>
        <v>0.333651096282174</v>
      </c>
      <c r="K174" s="64" t="n">
        <f aca="false">IF(OR(I174="",J174=""),"",J174-I174)</f>
        <v>-0.155403398361515</v>
      </c>
    </row>
    <row r="175" customFormat="false" ht="15" hidden="false" customHeight="true" outlineLevel="0" collapsed="false">
      <c r="A175" s="62" t="s">
        <v>374</v>
      </c>
      <c r="B175" s="62" t="s">
        <v>544</v>
      </c>
      <c r="C175" s="56" t="n">
        <v>15.75</v>
      </c>
      <c r="D175" s="63" t="n">
        <f aca="false">INDEX('تحليل التكلفة والسعر'!$C$2:$C$700,MATCH($B175,'تحليل التكلفة والسعر'!$B$2:$B$700,0))</f>
        <v>15.75</v>
      </c>
      <c r="E175" s="63" t="n">
        <f aca="false">D175-C175</f>
        <v>0</v>
      </c>
      <c r="F175" s="64" t="n">
        <f aca="false">IF(C175=0,"",D175/C175-1)</f>
        <v>0</v>
      </c>
      <c r="G175" s="56" t="n">
        <v>31.25</v>
      </c>
      <c r="H175" s="63" t="n">
        <f aca="false">INDEX('تحليل التكلفة والسعر'!$D$2:$D$700,MATCH($B175,'تحليل التكلفة والسعر'!$B$2:$B$700,0))</f>
        <v>41.25</v>
      </c>
      <c r="I175" s="64" t="n">
        <f aca="false">IF(OR(G175="",G175=0),"",C175/G175)</f>
        <v>0.504</v>
      </c>
      <c r="J175" s="64" t="n">
        <f aca="false">IF(OR(H175="",H175=0),"",D175/H175)</f>
        <v>0.381818181818182</v>
      </c>
      <c r="K175" s="64"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545</v>
      </c>
      <c r="B1" s="10" t="s">
        <v>23</v>
      </c>
      <c r="C1" s="10" t="s">
        <v>546</v>
      </c>
    </row>
    <row r="2" customFormat="false" ht="15" hidden="false" customHeight="true" outlineLevel="0" collapsed="false">
      <c r="A2" s="49" t="s">
        <v>9</v>
      </c>
      <c r="B2" s="49" t="s">
        <v>467</v>
      </c>
      <c r="C2" s="50" t="n">
        <v>90</v>
      </c>
    </row>
    <row r="3" customFormat="false" ht="15" hidden="false" customHeight="true" outlineLevel="0" collapsed="false">
      <c r="A3" s="49" t="s">
        <v>9</v>
      </c>
      <c r="B3" s="49" t="s">
        <v>412</v>
      </c>
      <c r="C3" s="50" t="n">
        <v>120</v>
      </c>
    </row>
    <row r="4" customFormat="false" ht="15" hidden="false" customHeight="true" outlineLevel="0" collapsed="false">
      <c r="A4" s="49" t="s">
        <v>9</v>
      </c>
      <c r="B4" s="49" t="s">
        <v>437</v>
      </c>
      <c r="C4" s="50" t="n">
        <v>140</v>
      </c>
    </row>
    <row r="5" customFormat="false" ht="15" hidden="false" customHeight="true" outlineLevel="0" collapsed="false">
      <c r="A5" s="49" t="s">
        <v>9</v>
      </c>
      <c r="B5" s="49" t="s">
        <v>456</v>
      </c>
      <c r="C5" s="50" t="n">
        <v>200</v>
      </c>
    </row>
    <row r="6" customFormat="false" ht="15" hidden="false" customHeight="true" outlineLevel="0" collapsed="false">
      <c r="A6" s="49" t="s">
        <v>9</v>
      </c>
      <c r="B6" s="49" t="s">
        <v>488</v>
      </c>
      <c r="C6" s="50" t="n">
        <v>130</v>
      </c>
    </row>
    <row r="7" customFormat="false" ht="15" hidden="false" customHeight="true" outlineLevel="0" collapsed="false">
      <c r="A7" s="49" t="s">
        <v>9</v>
      </c>
      <c r="B7" s="49" t="s">
        <v>420</v>
      </c>
      <c r="C7" s="50" t="n">
        <v>190</v>
      </c>
    </row>
    <row r="8" customFormat="false" ht="15" hidden="false" customHeight="true" outlineLevel="0" collapsed="false">
      <c r="A8" s="49" t="s">
        <v>9</v>
      </c>
      <c r="B8" s="49" t="s">
        <v>435</v>
      </c>
      <c r="C8" s="50" t="n">
        <v>130</v>
      </c>
    </row>
    <row r="9" customFormat="false" ht="15" hidden="false" customHeight="true" outlineLevel="0" collapsed="false">
      <c r="A9" s="49" t="s">
        <v>9</v>
      </c>
      <c r="B9" s="49" t="s">
        <v>509</v>
      </c>
      <c r="C9" s="50" t="n">
        <v>190</v>
      </c>
    </row>
    <row r="10" customFormat="false" ht="15" hidden="false" customHeight="true" outlineLevel="0" collapsed="false">
      <c r="A10" s="49" t="s">
        <v>9</v>
      </c>
      <c r="B10" s="49" t="s">
        <v>466</v>
      </c>
      <c r="C10" s="50" t="n">
        <v>130</v>
      </c>
    </row>
    <row r="11" customFormat="false" ht="15" hidden="false" customHeight="true" outlineLevel="0" collapsed="false">
      <c r="A11" s="49" t="s">
        <v>9</v>
      </c>
      <c r="B11" s="49" t="s">
        <v>463</v>
      </c>
      <c r="C11" s="50" t="n">
        <v>190</v>
      </c>
    </row>
    <row r="12" customFormat="false" ht="15" hidden="false" customHeight="true" outlineLevel="0" collapsed="false">
      <c r="A12" s="49" t="s">
        <v>9</v>
      </c>
      <c r="B12" s="49" t="s">
        <v>478</v>
      </c>
      <c r="C12" s="50" t="n">
        <v>150</v>
      </c>
    </row>
    <row r="13" customFormat="false" ht="15" hidden="false" customHeight="true" outlineLevel="0" collapsed="false">
      <c r="A13" s="49" t="s">
        <v>9</v>
      </c>
      <c r="B13" s="49" t="s">
        <v>419</v>
      </c>
      <c r="C13" s="50" t="n">
        <v>230</v>
      </c>
    </row>
    <row r="14" customFormat="false" ht="15" hidden="false" customHeight="true" outlineLevel="0" collapsed="false">
      <c r="A14" s="49" t="s">
        <v>9</v>
      </c>
      <c r="B14" s="49" t="s">
        <v>482</v>
      </c>
      <c r="C14" s="50" t="n">
        <v>150</v>
      </c>
    </row>
    <row r="15" customFormat="false" ht="15" hidden="false" customHeight="true" outlineLevel="0" collapsed="false">
      <c r="A15" s="49" t="s">
        <v>9</v>
      </c>
      <c r="B15" s="49" t="s">
        <v>418</v>
      </c>
      <c r="C15" s="50" t="n">
        <v>230</v>
      </c>
    </row>
    <row r="16" customFormat="false" ht="15" hidden="false" customHeight="true" outlineLevel="0" collapsed="false">
      <c r="A16" s="49" t="s">
        <v>9</v>
      </c>
      <c r="B16" s="49" t="s">
        <v>458</v>
      </c>
      <c r="C16" s="50" t="n">
        <v>150</v>
      </c>
    </row>
    <row r="17" customFormat="false" ht="15" hidden="false" customHeight="true" outlineLevel="0" collapsed="false">
      <c r="A17" s="49" t="s">
        <v>9</v>
      </c>
      <c r="B17" s="49" t="s">
        <v>382</v>
      </c>
      <c r="C17" s="50" t="n">
        <v>230</v>
      </c>
    </row>
    <row r="18" customFormat="false" ht="15" hidden="false" customHeight="true" outlineLevel="0" collapsed="false">
      <c r="A18" s="49" t="s">
        <v>9</v>
      </c>
      <c r="B18" s="49" t="s">
        <v>475</v>
      </c>
      <c r="C18" s="50" t="n">
        <v>150</v>
      </c>
    </row>
    <row r="19" customFormat="false" ht="15" hidden="false" customHeight="true" outlineLevel="0" collapsed="false">
      <c r="A19" s="49" t="s">
        <v>9</v>
      </c>
      <c r="B19" s="49" t="s">
        <v>388</v>
      </c>
      <c r="C19" s="50" t="n">
        <v>230</v>
      </c>
    </row>
    <row r="20" customFormat="false" ht="15" hidden="false" customHeight="true" outlineLevel="0" collapsed="false">
      <c r="A20" s="49" t="s">
        <v>9</v>
      </c>
      <c r="B20" s="49" t="s">
        <v>460</v>
      </c>
      <c r="C20" s="50" t="n">
        <v>230</v>
      </c>
    </row>
    <row r="21" customFormat="false" ht="15" hidden="false" customHeight="true" outlineLevel="0" collapsed="false">
      <c r="A21" s="49" t="s">
        <v>9</v>
      </c>
      <c r="B21" s="49" t="s">
        <v>525</v>
      </c>
      <c r="C21" s="50" t="n">
        <v>340</v>
      </c>
    </row>
    <row r="22" customFormat="false" ht="15" hidden="false" customHeight="true" outlineLevel="0" collapsed="false">
      <c r="A22" s="49" t="s">
        <v>9</v>
      </c>
      <c r="B22" s="49" t="s">
        <v>522</v>
      </c>
      <c r="C22" s="50" t="n">
        <v>240</v>
      </c>
    </row>
    <row r="23" customFormat="false" ht="15" hidden="false" customHeight="true" outlineLevel="0" collapsed="false">
      <c r="A23" s="49" t="s">
        <v>9</v>
      </c>
      <c r="B23" s="49" t="s">
        <v>459</v>
      </c>
      <c r="C23" s="50" t="n">
        <v>360</v>
      </c>
    </row>
    <row r="24" customFormat="false" ht="15" hidden="false" customHeight="true" outlineLevel="0" collapsed="false">
      <c r="A24" s="49" t="s">
        <v>10</v>
      </c>
      <c r="B24" s="49" t="s">
        <v>517</v>
      </c>
      <c r="C24" s="50" t="n">
        <v>130</v>
      </c>
    </row>
    <row r="25" customFormat="false" ht="15" hidden="false" customHeight="true" outlineLevel="0" collapsed="false">
      <c r="A25" s="49" t="s">
        <v>10</v>
      </c>
      <c r="B25" s="49" t="s">
        <v>448</v>
      </c>
      <c r="C25" s="50" t="n">
        <v>190</v>
      </c>
    </row>
    <row r="26" customFormat="false" ht="15" hidden="false" customHeight="true" outlineLevel="0" collapsed="false">
      <c r="A26" s="49" t="s">
        <v>10</v>
      </c>
      <c r="B26" s="49" t="s">
        <v>447</v>
      </c>
      <c r="C26" s="50" t="n">
        <v>140</v>
      </c>
    </row>
    <row r="27" customFormat="false" ht="15" hidden="false" customHeight="true" outlineLevel="0" collapsed="false">
      <c r="A27" s="49" t="s">
        <v>10</v>
      </c>
      <c r="B27" s="49" t="s">
        <v>421</v>
      </c>
      <c r="C27" s="50" t="n">
        <v>200</v>
      </c>
    </row>
    <row r="28" customFormat="false" ht="15" hidden="false" customHeight="true" outlineLevel="0" collapsed="false">
      <c r="A28" s="49" t="s">
        <v>10</v>
      </c>
      <c r="B28" s="49" t="s">
        <v>471</v>
      </c>
      <c r="C28" s="50" t="n">
        <v>210</v>
      </c>
    </row>
    <row r="29" customFormat="false" ht="26.25" hidden="false" customHeight="true" outlineLevel="0" collapsed="false">
      <c r="A29" s="49" t="s">
        <v>10</v>
      </c>
      <c r="B29" s="49" t="s">
        <v>469</v>
      </c>
      <c r="C29" s="50" t="n">
        <v>330</v>
      </c>
    </row>
    <row r="30" customFormat="false" ht="15" hidden="false" customHeight="true" outlineLevel="0" collapsed="false">
      <c r="A30" s="49" t="s">
        <v>10</v>
      </c>
      <c r="B30" s="49" t="s">
        <v>501</v>
      </c>
      <c r="C30" s="50" t="n">
        <v>145</v>
      </c>
    </row>
    <row r="31" customFormat="false" ht="15" hidden="false" customHeight="true" outlineLevel="0" collapsed="false">
      <c r="A31" s="49" t="s">
        <v>10</v>
      </c>
      <c r="B31" s="49" t="s">
        <v>516</v>
      </c>
      <c r="C31" s="50" t="n">
        <v>210</v>
      </c>
    </row>
    <row r="32" customFormat="false" ht="15" hidden="false" customHeight="true" outlineLevel="0" collapsed="false">
      <c r="A32" s="49" t="s">
        <v>10</v>
      </c>
      <c r="B32" s="49" t="s">
        <v>455</v>
      </c>
      <c r="C32" s="50" t="n">
        <v>160</v>
      </c>
    </row>
    <row r="33" customFormat="false" ht="15" hidden="false" customHeight="true" outlineLevel="0" collapsed="false">
      <c r="A33" s="49" t="s">
        <v>10</v>
      </c>
      <c r="B33" s="49" t="s">
        <v>441</v>
      </c>
      <c r="C33" s="50" t="n">
        <v>250</v>
      </c>
    </row>
    <row r="34" customFormat="false" ht="15" hidden="false" customHeight="true" outlineLevel="0" collapsed="false">
      <c r="A34" s="49" t="s">
        <v>10</v>
      </c>
      <c r="B34" s="49" t="s">
        <v>457</v>
      </c>
      <c r="C34" s="50" t="n">
        <v>160</v>
      </c>
    </row>
    <row r="35" customFormat="false" ht="15" hidden="false" customHeight="true" outlineLevel="0" collapsed="false">
      <c r="A35" s="49" t="s">
        <v>10</v>
      </c>
      <c r="B35" s="49" t="s">
        <v>442</v>
      </c>
      <c r="C35" s="50" t="n">
        <v>250</v>
      </c>
    </row>
    <row r="36" customFormat="false" ht="15" hidden="false" customHeight="true" outlineLevel="0" collapsed="false">
      <c r="A36" s="49" t="s">
        <v>10</v>
      </c>
      <c r="B36" s="49" t="s">
        <v>439</v>
      </c>
      <c r="C36" s="50" t="n">
        <v>150</v>
      </c>
    </row>
    <row r="37" customFormat="false" ht="15" hidden="false" customHeight="true" outlineLevel="0" collapsed="false">
      <c r="A37" s="49" t="s">
        <v>10</v>
      </c>
      <c r="B37" s="49" t="s">
        <v>386</v>
      </c>
      <c r="C37" s="50" t="n">
        <v>230</v>
      </c>
    </row>
    <row r="38" customFormat="false" ht="15" hidden="false" customHeight="true" outlineLevel="0" collapsed="false">
      <c r="A38" s="49" t="s">
        <v>10</v>
      </c>
      <c r="B38" s="49" t="s">
        <v>453</v>
      </c>
      <c r="C38" s="50" t="n">
        <v>150</v>
      </c>
    </row>
    <row r="39" customFormat="false" ht="15" hidden="false" customHeight="true" outlineLevel="0" collapsed="false">
      <c r="A39" s="49" t="s">
        <v>10</v>
      </c>
      <c r="B39" s="49" t="s">
        <v>391</v>
      </c>
      <c r="C39" s="50" t="n">
        <v>230</v>
      </c>
    </row>
    <row r="40" customFormat="false" ht="15" hidden="false" customHeight="true" outlineLevel="0" collapsed="false">
      <c r="A40" s="49" t="s">
        <v>10</v>
      </c>
      <c r="B40" s="49" t="s">
        <v>473</v>
      </c>
      <c r="C40" s="50" t="n">
        <v>230</v>
      </c>
    </row>
    <row r="41" customFormat="false" ht="15" hidden="false" customHeight="true" outlineLevel="0" collapsed="false">
      <c r="A41" s="49" t="s">
        <v>10</v>
      </c>
      <c r="B41" s="49" t="s">
        <v>470</v>
      </c>
      <c r="C41" s="50" t="n">
        <v>340</v>
      </c>
    </row>
    <row r="42" customFormat="false" ht="15" hidden="false" customHeight="true" outlineLevel="0" collapsed="false">
      <c r="A42" s="49" t="s">
        <v>10</v>
      </c>
      <c r="B42" s="49" t="s">
        <v>454</v>
      </c>
      <c r="C42" s="50" t="n">
        <v>70</v>
      </c>
    </row>
    <row r="43" customFormat="false" ht="15" hidden="false" customHeight="true" outlineLevel="0" collapsed="false">
      <c r="A43" s="49" t="s">
        <v>10</v>
      </c>
      <c r="B43" s="49" t="s">
        <v>462</v>
      </c>
      <c r="C43" s="50" t="n">
        <v>110</v>
      </c>
    </row>
    <row r="44" customFormat="false" ht="15" hidden="false" customHeight="true" outlineLevel="0" collapsed="false">
      <c r="A44" s="49" t="s">
        <v>10</v>
      </c>
      <c r="B44" s="49" t="s">
        <v>468</v>
      </c>
      <c r="C44" s="50" t="n">
        <v>170</v>
      </c>
    </row>
    <row r="45" customFormat="false" ht="15" hidden="false" customHeight="true" outlineLevel="0" collapsed="false">
      <c r="A45" s="49" t="s">
        <v>10</v>
      </c>
      <c r="B45" s="49" t="s">
        <v>494</v>
      </c>
      <c r="C45" s="50" t="n">
        <v>250</v>
      </c>
    </row>
    <row r="46" customFormat="false" ht="15" hidden="false" customHeight="true" outlineLevel="0" collapsed="false">
      <c r="A46" s="49" t="s">
        <v>10</v>
      </c>
      <c r="B46" s="49" t="s">
        <v>483</v>
      </c>
      <c r="C46" s="50" t="n">
        <v>360</v>
      </c>
    </row>
    <row r="47" customFormat="false" ht="15" hidden="false" customHeight="true" outlineLevel="0" collapsed="false">
      <c r="A47" s="49" t="s">
        <v>11</v>
      </c>
      <c r="B47" s="49" t="s">
        <v>429</v>
      </c>
      <c r="C47" s="50" t="n">
        <v>50</v>
      </c>
    </row>
    <row r="48" customFormat="false" ht="15" hidden="false" customHeight="true" outlineLevel="0" collapsed="false">
      <c r="A48" s="49" t="s">
        <v>11</v>
      </c>
      <c r="B48" s="49" t="s">
        <v>436</v>
      </c>
      <c r="C48" s="50" t="n">
        <v>75</v>
      </c>
    </row>
    <row r="49" customFormat="false" ht="15" hidden="false" customHeight="true" outlineLevel="0" collapsed="false">
      <c r="A49" s="49" t="s">
        <v>11</v>
      </c>
      <c r="B49" s="49" t="s">
        <v>404</v>
      </c>
      <c r="C49" s="50" t="n">
        <v>140</v>
      </c>
    </row>
    <row r="50" customFormat="false" ht="15" hidden="false" customHeight="true" outlineLevel="0" collapsed="false">
      <c r="A50" s="49" t="s">
        <v>11</v>
      </c>
      <c r="B50" s="49" t="s">
        <v>395</v>
      </c>
      <c r="C50" s="50" t="n">
        <v>100</v>
      </c>
    </row>
    <row r="51" customFormat="false" ht="15" hidden="false" customHeight="true" outlineLevel="0" collapsed="false">
      <c r="A51" s="49" t="s">
        <v>11</v>
      </c>
      <c r="B51" s="49" t="s">
        <v>422</v>
      </c>
      <c r="C51" s="50" t="n">
        <v>260</v>
      </c>
    </row>
    <row r="52" customFormat="false" ht="15" hidden="false" customHeight="true" outlineLevel="0" collapsed="false">
      <c r="A52" s="49" t="s">
        <v>11</v>
      </c>
      <c r="B52" s="49" t="s">
        <v>426</v>
      </c>
      <c r="C52" s="50" t="n">
        <v>160</v>
      </c>
    </row>
    <row r="53" customFormat="false" ht="15" hidden="false" customHeight="true" outlineLevel="0" collapsed="false">
      <c r="A53" s="49" t="s">
        <v>12</v>
      </c>
      <c r="B53" s="49" t="s">
        <v>524</v>
      </c>
      <c r="C53" s="50" t="n">
        <v>160</v>
      </c>
    </row>
    <row r="54" customFormat="false" ht="15" hidden="false" customHeight="true" outlineLevel="0" collapsed="false">
      <c r="A54" s="49" t="s">
        <v>12</v>
      </c>
      <c r="B54" s="49" t="s">
        <v>498</v>
      </c>
      <c r="C54" s="50" t="n">
        <v>160</v>
      </c>
    </row>
    <row r="55" customFormat="false" ht="15" hidden="false" customHeight="true" outlineLevel="0" collapsed="false">
      <c r="A55" s="49" t="s">
        <v>12</v>
      </c>
      <c r="B55" s="49" t="s">
        <v>506</v>
      </c>
      <c r="C55" s="50" t="n">
        <v>170</v>
      </c>
    </row>
    <row r="56" customFormat="false" ht="15" hidden="false" customHeight="true" outlineLevel="0" collapsed="false">
      <c r="A56" s="49" t="s">
        <v>12</v>
      </c>
      <c r="B56" s="49" t="s">
        <v>527</v>
      </c>
      <c r="C56" s="50" t="n">
        <v>170</v>
      </c>
    </row>
    <row r="57" customFormat="false" ht="15" hidden="false" customHeight="true" outlineLevel="0" collapsed="false">
      <c r="A57" s="49" t="s">
        <v>12</v>
      </c>
      <c r="B57" s="49" t="s">
        <v>390</v>
      </c>
      <c r="C57" s="50" t="n">
        <v>330</v>
      </c>
    </row>
    <row r="58" customFormat="false" ht="15" hidden="false" customHeight="true" outlineLevel="0" collapsed="false">
      <c r="A58" s="49" t="s">
        <v>12</v>
      </c>
      <c r="B58" s="49" t="s">
        <v>476</v>
      </c>
      <c r="C58" s="50" t="n">
        <v>150</v>
      </c>
    </row>
    <row r="59" customFormat="false" ht="15" hidden="false" customHeight="true" outlineLevel="0" collapsed="false">
      <c r="A59" s="49" t="s">
        <v>13</v>
      </c>
      <c r="B59" s="49" t="s">
        <v>400</v>
      </c>
      <c r="C59" s="50" t="n">
        <v>160</v>
      </c>
    </row>
    <row r="60" customFormat="false" ht="15" hidden="false" customHeight="true" outlineLevel="0" collapsed="false">
      <c r="A60" s="49" t="s">
        <v>13</v>
      </c>
      <c r="B60" s="49" t="s">
        <v>461</v>
      </c>
      <c r="C60" s="50" t="n">
        <v>180</v>
      </c>
    </row>
    <row r="61" customFormat="false" ht="15" hidden="false" customHeight="true" outlineLevel="0" collapsed="false">
      <c r="A61" s="49" t="s">
        <v>13</v>
      </c>
      <c r="B61" s="49" t="s">
        <v>446</v>
      </c>
      <c r="C61" s="50" t="n">
        <v>180</v>
      </c>
    </row>
    <row r="62" customFormat="false" ht="15" hidden="false" customHeight="true" outlineLevel="0" collapsed="false">
      <c r="A62" s="49" t="s">
        <v>13</v>
      </c>
      <c r="B62" s="49" t="s">
        <v>499</v>
      </c>
      <c r="C62" s="50" t="n">
        <v>260</v>
      </c>
    </row>
    <row r="63" customFormat="false" ht="15" hidden="false" customHeight="true" outlineLevel="0" collapsed="false">
      <c r="A63" s="49" t="s">
        <v>13</v>
      </c>
      <c r="B63" s="49" t="s">
        <v>523</v>
      </c>
      <c r="C63" s="50" t="n">
        <v>140</v>
      </c>
    </row>
    <row r="64" customFormat="false" ht="15" hidden="false" customHeight="true" outlineLevel="0" collapsed="false">
      <c r="A64" s="49" t="s">
        <v>13</v>
      </c>
      <c r="B64" s="49" t="s">
        <v>449</v>
      </c>
      <c r="C64" s="50" t="n">
        <v>140</v>
      </c>
    </row>
    <row r="65" customFormat="false" ht="15" hidden="false" customHeight="true" outlineLevel="0" collapsed="false">
      <c r="A65" s="49" t="s">
        <v>14</v>
      </c>
      <c r="B65" s="49" t="s">
        <v>428</v>
      </c>
      <c r="C65" s="50" t="n">
        <v>125</v>
      </c>
    </row>
    <row r="66" customFormat="false" ht="15" hidden="false" customHeight="true" outlineLevel="0" collapsed="false">
      <c r="A66" s="49" t="s">
        <v>14</v>
      </c>
      <c r="B66" s="49" t="s">
        <v>430</v>
      </c>
      <c r="C66" s="50" t="n">
        <v>125</v>
      </c>
    </row>
    <row r="67" customFormat="false" ht="15" hidden="false" customHeight="true" outlineLevel="0" collapsed="false">
      <c r="A67" s="49" t="s">
        <v>14</v>
      </c>
      <c r="B67" s="49" t="s">
        <v>432</v>
      </c>
      <c r="C67" s="50" t="n">
        <v>110</v>
      </c>
    </row>
    <row r="68" customFormat="false" ht="15" hidden="false" customHeight="true" outlineLevel="0" collapsed="false">
      <c r="A68" s="49" t="s">
        <v>14</v>
      </c>
      <c r="B68" s="49" t="s">
        <v>443</v>
      </c>
      <c r="C68" s="50" t="n">
        <v>110</v>
      </c>
    </row>
    <row r="69" customFormat="false" ht="15" hidden="false" customHeight="true" outlineLevel="0" collapsed="false">
      <c r="A69" s="49" t="s">
        <v>14</v>
      </c>
      <c r="B69" s="49" t="s">
        <v>444</v>
      </c>
      <c r="C69" s="50" t="n">
        <v>120</v>
      </c>
    </row>
    <row r="70" customFormat="false" ht="15" hidden="false" customHeight="true" outlineLevel="0" collapsed="false">
      <c r="A70" s="49" t="s">
        <v>14</v>
      </c>
      <c r="B70" s="49" t="s">
        <v>425</v>
      </c>
      <c r="C70" s="50" t="n">
        <v>5</v>
      </c>
    </row>
    <row r="71" customFormat="false" ht="15" hidden="false" customHeight="true" outlineLevel="0" collapsed="false">
      <c r="A71" s="49" t="s">
        <v>15</v>
      </c>
      <c r="B71" s="49" t="s">
        <v>464</v>
      </c>
      <c r="C71" s="50" t="n">
        <v>40</v>
      </c>
    </row>
    <row r="72" customFormat="false" ht="15" hidden="false" customHeight="true" outlineLevel="0" collapsed="false">
      <c r="A72" s="49" t="s">
        <v>15</v>
      </c>
      <c r="B72" s="49" t="s">
        <v>450</v>
      </c>
      <c r="C72" s="50" t="n">
        <v>60</v>
      </c>
    </row>
    <row r="73" customFormat="false" ht="15" hidden="false" customHeight="true" outlineLevel="0" collapsed="false">
      <c r="A73" s="49" t="s">
        <v>15</v>
      </c>
      <c r="B73" s="49" t="s">
        <v>438</v>
      </c>
      <c r="C73" s="50" t="n">
        <v>50</v>
      </c>
    </row>
    <row r="74" customFormat="false" ht="15" hidden="false" customHeight="true" outlineLevel="0" collapsed="false">
      <c r="A74" s="49" t="s">
        <v>15</v>
      </c>
      <c r="B74" s="49" t="s">
        <v>434</v>
      </c>
      <c r="C74" s="50" t="n">
        <v>70</v>
      </c>
    </row>
    <row r="75" customFormat="false" ht="15" hidden="false" customHeight="true" outlineLevel="0" collapsed="false">
      <c r="A75" s="49" t="s">
        <v>385</v>
      </c>
      <c r="B75" s="49" t="s">
        <v>202</v>
      </c>
      <c r="C75" s="50" t="n">
        <v>30</v>
      </c>
    </row>
    <row r="76" customFormat="false" ht="15" hidden="false" customHeight="true" outlineLevel="0" collapsed="false">
      <c r="A76" s="49" t="s">
        <v>385</v>
      </c>
      <c r="B76" s="49" t="s">
        <v>204</v>
      </c>
      <c r="C76" s="50" t="n">
        <v>35</v>
      </c>
    </row>
    <row r="77" customFormat="false" ht="15" hidden="false" customHeight="true" outlineLevel="0" collapsed="false">
      <c r="A77" s="49" t="s">
        <v>16</v>
      </c>
      <c r="B77" s="49" t="s">
        <v>465</v>
      </c>
      <c r="C77" s="50" t="n">
        <v>90</v>
      </c>
    </row>
    <row r="78" customFormat="false" ht="15" hidden="false" customHeight="true" outlineLevel="0" collapsed="false">
      <c r="A78" s="49" t="s">
        <v>16</v>
      </c>
      <c r="B78" s="49" t="s">
        <v>491</v>
      </c>
      <c r="C78" s="50" t="n">
        <v>120</v>
      </c>
    </row>
    <row r="79" customFormat="false" ht="15" hidden="false" customHeight="true" outlineLevel="0" collapsed="false">
      <c r="A79" s="49" t="s">
        <v>16</v>
      </c>
      <c r="B79" s="49" t="s">
        <v>389</v>
      </c>
      <c r="C79" s="50" t="n">
        <v>115</v>
      </c>
    </row>
    <row r="80" customFormat="false" ht="15" hidden="false" customHeight="true" outlineLevel="0" collapsed="false">
      <c r="A80" s="49" t="s">
        <v>16</v>
      </c>
      <c r="B80" s="49" t="s">
        <v>384</v>
      </c>
      <c r="C80" s="50" t="n">
        <v>170</v>
      </c>
    </row>
    <row r="81" customFormat="false" ht="15" hidden="false" customHeight="true" outlineLevel="0" collapsed="false">
      <c r="A81" s="49" t="s">
        <v>16</v>
      </c>
      <c r="B81" s="49" t="s">
        <v>481</v>
      </c>
      <c r="C81" s="50" t="n">
        <v>120</v>
      </c>
    </row>
    <row r="82" customFormat="false" ht="15" hidden="false" customHeight="true" outlineLevel="0" collapsed="false">
      <c r="A82" s="49" t="s">
        <v>16</v>
      </c>
      <c r="B82" s="49" t="s">
        <v>505</v>
      </c>
      <c r="C82" s="50" t="n">
        <v>190</v>
      </c>
    </row>
    <row r="83" customFormat="false" ht="15" hidden="false" customHeight="true" outlineLevel="0" collapsed="false">
      <c r="A83" s="49" t="s">
        <v>16</v>
      </c>
      <c r="B83" s="49" t="s">
        <v>496</v>
      </c>
      <c r="C83" s="50" t="n">
        <v>130</v>
      </c>
    </row>
    <row r="84" customFormat="false" ht="15" hidden="false" customHeight="true" outlineLevel="0" collapsed="false">
      <c r="A84" s="49" t="s">
        <v>16</v>
      </c>
      <c r="B84" s="49" t="s">
        <v>518</v>
      </c>
      <c r="C84" s="50" t="n">
        <v>200</v>
      </c>
    </row>
    <row r="85" customFormat="false" ht="15" hidden="false" customHeight="true" outlineLevel="0" collapsed="false">
      <c r="A85" s="49" t="s">
        <v>16</v>
      </c>
      <c r="B85" s="49" t="s">
        <v>474</v>
      </c>
      <c r="C85" s="50" t="n">
        <v>130</v>
      </c>
    </row>
    <row r="86" customFormat="false" ht="15" hidden="false" customHeight="true" outlineLevel="0" collapsed="false">
      <c r="A86" s="49" t="s">
        <v>16</v>
      </c>
      <c r="B86" s="49" t="s">
        <v>500</v>
      </c>
      <c r="C86" s="50" t="n">
        <v>190</v>
      </c>
    </row>
    <row r="87" customFormat="false" ht="15" hidden="false" customHeight="true" outlineLevel="0" collapsed="false">
      <c r="A87" s="49" t="s">
        <v>16</v>
      </c>
      <c r="B87" s="49" t="s">
        <v>405</v>
      </c>
      <c r="C87" s="50" t="n">
        <v>155</v>
      </c>
    </row>
    <row r="88" customFormat="false" ht="15" hidden="false" customHeight="true" outlineLevel="0" collapsed="false">
      <c r="A88" s="49" t="s">
        <v>16</v>
      </c>
      <c r="B88" s="49" t="s">
        <v>406</v>
      </c>
      <c r="C88" s="50" t="n">
        <v>230</v>
      </c>
    </row>
    <row r="89" customFormat="false" ht="15" hidden="false" customHeight="true" outlineLevel="0" collapsed="false">
      <c r="A89" s="49" t="s">
        <v>16</v>
      </c>
      <c r="B89" s="49" t="s">
        <v>521</v>
      </c>
      <c r="C89" s="50" t="n">
        <v>240</v>
      </c>
    </row>
    <row r="90" customFormat="false" ht="15" hidden="false" customHeight="true" outlineLevel="0" collapsed="false">
      <c r="A90" s="49" t="s">
        <v>16</v>
      </c>
      <c r="B90" s="49" t="s">
        <v>507</v>
      </c>
      <c r="C90" s="50" t="n">
        <v>360</v>
      </c>
    </row>
    <row r="91" customFormat="false" ht="15" hidden="false" customHeight="true" outlineLevel="0" collapsed="false">
      <c r="A91" s="49" t="s">
        <v>16</v>
      </c>
      <c r="B91" s="49" t="s">
        <v>489</v>
      </c>
      <c r="C91" s="50" t="n">
        <v>180</v>
      </c>
    </row>
    <row r="92" customFormat="false" ht="15" hidden="false" customHeight="true" outlineLevel="0" collapsed="false">
      <c r="A92" s="49" t="s">
        <v>16</v>
      </c>
      <c r="B92" s="49" t="s">
        <v>508</v>
      </c>
      <c r="C92" s="50" t="n">
        <v>250</v>
      </c>
    </row>
    <row r="93" customFormat="false" ht="26.25" hidden="false" customHeight="true" outlineLevel="0" collapsed="false">
      <c r="A93" s="49" t="s">
        <v>17</v>
      </c>
      <c r="B93" s="49" t="s">
        <v>503</v>
      </c>
      <c r="C93" s="50" t="n">
        <v>90</v>
      </c>
    </row>
    <row r="94" customFormat="false" ht="26.25" hidden="false" customHeight="true" outlineLevel="0" collapsed="false">
      <c r="A94" s="49" t="s">
        <v>17</v>
      </c>
      <c r="B94" s="49" t="s">
        <v>472</v>
      </c>
      <c r="C94" s="50" t="n">
        <v>120</v>
      </c>
    </row>
    <row r="95" customFormat="false" ht="26.25" hidden="false" customHeight="true" outlineLevel="0" collapsed="false">
      <c r="A95" s="49" t="s">
        <v>17</v>
      </c>
      <c r="B95" s="49" t="s">
        <v>383</v>
      </c>
      <c r="C95" s="50" t="n">
        <v>115</v>
      </c>
    </row>
    <row r="96" customFormat="false" ht="26.25" hidden="false" customHeight="true" outlineLevel="0" collapsed="false">
      <c r="A96" s="49" t="s">
        <v>17</v>
      </c>
      <c r="B96" s="49" t="s">
        <v>381</v>
      </c>
      <c r="C96" s="50" t="n">
        <v>170</v>
      </c>
    </row>
    <row r="97" customFormat="false" ht="26.25" hidden="false" customHeight="true" outlineLevel="0" collapsed="false">
      <c r="A97" s="49" t="s">
        <v>17</v>
      </c>
      <c r="B97" s="49" t="s">
        <v>515</v>
      </c>
      <c r="C97" s="50" t="n">
        <v>120</v>
      </c>
    </row>
    <row r="98" customFormat="false" ht="26.25" hidden="false" customHeight="true" outlineLevel="0" collapsed="false">
      <c r="A98" s="49" t="s">
        <v>17</v>
      </c>
      <c r="B98" s="49" t="s">
        <v>492</v>
      </c>
      <c r="C98" s="50" t="n">
        <v>190</v>
      </c>
    </row>
    <row r="99" customFormat="false" ht="26.25" hidden="false" customHeight="true" outlineLevel="0" collapsed="false">
      <c r="A99" s="49" t="s">
        <v>17</v>
      </c>
      <c r="B99" s="49" t="s">
        <v>504</v>
      </c>
      <c r="C99" s="50" t="n">
        <v>130</v>
      </c>
    </row>
    <row r="100" customFormat="false" ht="26.25" hidden="false" customHeight="true" outlineLevel="0" collapsed="false">
      <c r="A100" s="49" t="s">
        <v>17</v>
      </c>
      <c r="B100" s="49" t="s">
        <v>485</v>
      </c>
      <c r="C100" s="50" t="n">
        <v>200</v>
      </c>
    </row>
    <row r="101" customFormat="false" ht="26.25" hidden="false" customHeight="true" outlineLevel="0" collapsed="false">
      <c r="A101" s="49" t="s">
        <v>17</v>
      </c>
      <c r="B101" s="49" t="s">
        <v>511</v>
      </c>
      <c r="C101" s="50" t="n">
        <v>160</v>
      </c>
    </row>
    <row r="102" customFormat="false" ht="26.25" hidden="false" customHeight="true" outlineLevel="0" collapsed="false">
      <c r="A102" s="49" t="s">
        <v>17</v>
      </c>
      <c r="B102" s="49" t="s">
        <v>487</v>
      </c>
      <c r="C102" s="50" t="n">
        <v>220</v>
      </c>
    </row>
    <row r="103" customFormat="false" ht="26.25" hidden="false" customHeight="true" outlineLevel="0" collapsed="false">
      <c r="A103" s="49" t="s">
        <v>17</v>
      </c>
      <c r="B103" s="49" t="s">
        <v>510</v>
      </c>
      <c r="C103" s="50" t="n">
        <v>130</v>
      </c>
    </row>
    <row r="104" customFormat="false" ht="26.25" hidden="false" customHeight="true" outlineLevel="0" collapsed="false">
      <c r="A104" s="49" t="s">
        <v>17</v>
      </c>
      <c r="B104" s="49" t="s">
        <v>479</v>
      </c>
      <c r="C104" s="50" t="n">
        <v>190</v>
      </c>
    </row>
    <row r="105" customFormat="false" ht="26.25" hidden="false" customHeight="true" outlineLevel="0" collapsed="false">
      <c r="A105" s="49" t="s">
        <v>17</v>
      </c>
      <c r="B105" s="49" t="s">
        <v>413</v>
      </c>
      <c r="C105" s="50" t="n">
        <v>155</v>
      </c>
    </row>
    <row r="106" customFormat="false" ht="26.25" hidden="false" customHeight="true" outlineLevel="0" collapsed="false">
      <c r="A106" s="49" t="s">
        <v>17</v>
      </c>
      <c r="B106" s="49" t="s">
        <v>414</v>
      </c>
      <c r="C106" s="50" t="n">
        <v>230</v>
      </c>
    </row>
    <row r="107" customFormat="false" ht="26.25" hidden="false" customHeight="true" outlineLevel="0" collapsed="false">
      <c r="A107" s="49" t="s">
        <v>17</v>
      </c>
      <c r="B107" s="49" t="s">
        <v>495</v>
      </c>
      <c r="C107" s="50" t="n">
        <v>240</v>
      </c>
    </row>
    <row r="108" customFormat="false" ht="26.25" hidden="false" customHeight="true" outlineLevel="0" collapsed="false">
      <c r="A108" s="49" t="s">
        <v>17</v>
      </c>
      <c r="B108" s="49" t="s">
        <v>484</v>
      </c>
      <c r="C108" s="50" t="n">
        <v>360</v>
      </c>
    </row>
    <row r="109" customFormat="false" ht="26.25" hidden="false" customHeight="true" outlineLevel="0" collapsed="false">
      <c r="A109" s="49" t="s">
        <v>17</v>
      </c>
      <c r="B109" s="49" t="s">
        <v>519</v>
      </c>
      <c r="C109" s="50" t="n">
        <v>180</v>
      </c>
    </row>
    <row r="110" customFormat="false" ht="26.25" hidden="false" customHeight="true" outlineLevel="0" collapsed="false">
      <c r="A110" s="49" t="s">
        <v>17</v>
      </c>
      <c r="B110" s="49" t="s">
        <v>502</v>
      </c>
      <c r="C110" s="50" t="n">
        <v>250</v>
      </c>
    </row>
    <row r="111" customFormat="false" ht="15" hidden="false" customHeight="true" outlineLevel="0" collapsed="false">
      <c r="A111" s="49" t="s">
        <v>18</v>
      </c>
      <c r="B111" s="49" t="s">
        <v>417</v>
      </c>
      <c r="C111" s="50" t="n">
        <v>50</v>
      </c>
    </row>
    <row r="112" customFormat="false" ht="15" hidden="false" customHeight="true" outlineLevel="0" collapsed="false">
      <c r="A112" s="49" t="s">
        <v>18</v>
      </c>
      <c r="B112" s="49" t="s">
        <v>433</v>
      </c>
      <c r="C112" s="50" t="n">
        <v>70</v>
      </c>
    </row>
    <row r="113" customFormat="false" ht="15" hidden="false" customHeight="true" outlineLevel="0" collapsed="false">
      <c r="A113" s="49" t="s">
        <v>18</v>
      </c>
      <c r="B113" s="49" t="s">
        <v>393</v>
      </c>
      <c r="C113" s="50" t="n">
        <v>100</v>
      </c>
    </row>
    <row r="114" customFormat="false" ht="15" hidden="false" customHeight="true" outlineLevel="0" collapsed="false">
      <c r="A114" s="49" t="s">
        <v>18</v>
      </c>
      <c r="B114" s="49" t="s">
        <v>486</v>
      </c>
      <c r="C114" s="50" t="n">
        <v>140</v>
      </c>
    </row>
    <row r="115" customFormat="false" ht="15" hidden="false" customHeight="true" outlineLevel="0" collapsed="false">
      <c r="A115" s="49" t="s">
        <v>19</v>
      </c>
      <c r="B115" s="49" t="s">
        <v>440</v>
      </c>
      <c r="C115" s="50" t="n">
        <v>160</v>
      </c>
    </row>
    <row r="116" customFormat="false" ht="15" hidden="false" customHeight="true" outlineLevel="0" collapsed="false">
      <c r="A116" s="49" t="s">
        <v>19</v>
      </c>
      <c r="B116" s="49" t="s">
        <v>399</v>
      </c>
      <c r="C116" s="50" t="n">
        <v>160</v>
      </c>
    </row>
    <row r="117" customFormat="false" ht="15" hidden="false" customHeight="true" outlineLevel="0" collapsed="false">
      <c r="A117" s="49" t="s">
        <v>19</v>
      </c>
      <c r="B117" s="49" t="s">
        <v>445</v>
      </c>
      <c r="C117" s="50" t="n">
        <v>170</v>
      </c>
    </row>
    <row r="118" customFormat="false" ht="15" hidden="false" customHeight="true" outlineLevel="0" collapsed="false">
      <c r="A118" s="49" t="s">
        <v>19</v>
      </c>
      <c r="B118" s="49" t="s">
        <v>401</v>
      </c>
      <c r="C118" s="50" t="n">
        <v>170</v>
      </c>
    </row>
    <row r="119" customFormat="false" ht="15" hidden="false" customHeight="true" outlineLevel="0" collapsed="false">
      <c r="A119" s="49" t="s">
        <v>20</v>
      </c>
      <c r="B119" s="49" t="s">
        <v>514</v>
      </c>
      <c r="C119" s="50" t="n">
        <v>100</v>
      </c>
    </row>
    <row r="120" customFormat="false" ht="15" hidden="false" customHeight="true" outlineLevel="0" collapsed="false">
      <c r="A120" s="49" t="s">
        <v>20</v>
      </c>
      <c r="B120" s="49" t="s">
        <v>392</v>
      </c>
      <c r="C120" s="50" t="n">
        <v>130</v>
      </c>
    </row>
    <row r="121" customFormat="false" ht="15" hidden="false" customHeight="true" outlineLevel="0" collapsed="false">
      <c r="A121" s="49" t="s">
        <v>20</v>
      </c>
      <c r="B121" s="49" t="s">
        <v>520</v>
      </c>
      <c r="C121" s="50" t="n">
        <v>130</v>
      </c>
    </row>
    <row r="122" customFormat="false" ht="15" hidden="false" customHeight="true" outlineLevel="0" collapsed="false">
      <c r="A122" s="49" t="s">
        <v>20</v>
      </c>
      <c r="B122" s="49" t="s">
        <v>416</v>
      </c>
      <c r="C122" s="50" t="n">
        <v>160</v>
      </c>
    </row>
    <row r="123" customFormat="false" ht="15" hidden="false" customHeight="true" outlineLevel="0" collapsed="false">
      <c r="A123" s="49" t="s">
        <v>20</v>
      </c>
      <c r="B123" s="49" t="s">
        <v>497</v>
      </c>
      <c r="C123" s="50" t="n">
        <v>260</v>
      </c>
    </row>
    <row r="124" customFormat="false" ht="15" hidden="false" customHeight="true" outlineLevel="0" collapsed="false">
      <c r="A124" s="49" t="s">
        <v>21</v>
      </c>
      <c r="B124" s="49" t="s">
        <v>493</v>
      </c>
      <c r="C124" s="50" t="n">
        <v>90</v>
      </c>
    </row>
    <row r="125" customFormat="false" ht="15" hidden="false" customHeight="true" outlineLevel="0" collapsed="false">
      <c r="A125" s="49" t="s">
        <v>21</v>
      </c>
      <c r="B125" s="49" t="s">
        <v>415</v>
      </c>
      <c r="C125" s="50" t="n">
        <v>125</v>
      </c>
    </row>
    <row r="126" customFormat="false" ht="15" hidden="false" customHeight="true" outlineLevel="0" collapsed="false">
      <c r="A126" s="49" t="s">
        <v>21</v>
      </c>
      <c r="B126" s="49" t="s">
        <v>480</v>
      </c>
      <c r="C126" s="50" t="n">
        <v>110</v>
      </c>
    </row>
    <row r="127" customFormat="false" ht="15" hidden="false" customHeight="true" outlineLevel="0" collapsed="false">
      <c r="A127" s="49" t="s">
        <v>21</v>
      </c>
      <c r="B127" s="49" t="s">
        <v>477</v>
      </c>
      <c r="C127" s="50" t="n">
        <v>190</v>
      </c>
    </row>
    <row r="128" customFormat="false" ht="15" hidden="false" customHeight="true" outlineLevel="0" collapsed="false">
      <c r="A128" s="49" t="s">
        <v>374</v>
      </c>
      <c r="B128" s="49" t="s">
        <v>528</v>
      </c>
      <c r="C128" s="50" t="n">
        <v>40.92</v>
      </c>
    </row>
    <row r="129" customFormat="false" ht="15" hidden="false" customHeight="true" outlineLevel="0" collapsed="false">
      <c r="A129" s="49" t="s">
        <v>374</v>
      </c>
      <c r="B129" s="49" t="s">
        <v>529</v>
      </c>
      <c r="C129" s="50" t="n">
        <v>55.56</v>
      </c>
    </row>
    <row r="130" customFormat="false" ht="15" hidden="false" customHeight="true" outlineLevel="0" collapsed="false">
      <c r="A130" s="49" t="s">
        <v>374</v>
      </c>
      <c r="B130" s="49" t="s">
        <v>530</v>
      </c>
      <c r="C130" s="50" t="n">
        <v>40.71</v>
      </c>
    </row>
    <row r="131" customFormat="false" ht="15" hidden="false" customHeight="true" outlineLevel="0" collapsed="false">
      <c r="A131" s="49" t="s">
        <v>374</v>
      </c>
      <c r="B131" s="49" t="s">
        <v>531</v>
      </c>
      <c r="C131" s="50" t="n">
        <v>40.62</v>
      </c>
    </row>
    <row r="132" customFormat="false" ht="15" hidden="false" customHeight="true" outlineLevel="0" collapsed="false">
      <c r="A132" s="49" t="s">
        <v>374</v>
      </c>
      <c r="B132" s="49" t="s">
        <v>532</v>
      </c>
      <c r="C132" s="50" t="n">
        <v>55</v>
      </c>
    </row>
    <row r="133" customFormat="false" ht="15" hidden="false" customHeight="true" outlineLevel="0" collapsed="false">
      <c r="A133" s="49" t="s">
        <v>374</v>
      </c>
      <c r="B133" s="49" t="s">
        <v>533</v>
      </c>
      <c r="C133" s="50" t="n">
        <v>41.25</v>
      </c>
    </row>
    <row r="134" customFormat="false" ht="15" hidden="false" customHeight="true" outlineLevel="0" collapsed="false">
      <c r="A134" s="49" t="s">
        <v>374</v>
      </c>
      <c r="B134" s="49" t="s">
        <v>396</v>
      </c>
      <c r="C134" s="50" t="n">
        <v>70</v>
      </c>
    </row>
    <row r="135" customFormat="false" ht="15" hidden="false" customHeight="true" outlineLevel="0" collapsed="false">
      <c r="A135" s="49" t="s">
        <v>374</v>
      </c>
      <c r="B135" s="49" t="s">
        <v>534</v>
      </c>
      <c r="C135" s="50" t="n">
        <v>40</v>
      </c>
    </row>
    <row r="136" customFormat="false" ht="15" hidden="false" customHeight="true" outlineLevel="0" collapsed="false">
      <c r="A136" s="49" t="s">
        <v>374</v>
      </c>
      <c r="B136" s="49" t="s">
        <v>535</v>
      </c>
      <c r="C136" s="50" t="n">
        <v>40</v>
      </c>
    </row>
    <row r="137" customFormat="false" ht="15" hidden="false" customHeight="true" outlineLevel="0" collapsed="false">
      <c r="A137" s="49" t="s">
        <v>374</v>
      </c>
      <c r="B137" s="49" t="s">
        <v>536</v>
      </c>
      <c r="C137" s="50" t="n">
        <v>55</v>
      </c>
    </row>
    <row r="138" customFormat="false" ht="15" hidden="false" customHeight="true" outlineLevel="0" collapsed="false">
      <c r="A138" s="49" t="s">
        <v>374</v>
      </c>
      <c r="B138" s="49" t="s">
        <v>512</v>
      </c>
      <c r="C138" s="50" t="n">
        <v>50</v>
      </c>
    </row>
    <row r="139" customFormat="false" ht="15" hidden="false" customHeight="true" outlineLevel="0" collapsed="false">
      <c r="A139" s="49" t="s">
        <v>374</v>
      </c>
      <c r="B139" s="49" t="s">
        <v>513</v>
      </c>
      <c r="C139" s="50" t="n">
        <v>90</v>
      </c>
    </row>
    <row r="140" customFormat="false" ht="15" hidden="false" customHeight="true" outlineLevel="0" collapsed="false">
      <c r="A140" s="49" t="s">
        <v>374</v>
      </c>
      <c r="B140" s="49" t="s">
        <v>380</v>
      </c>
      <c r="C140" s="50" t="n">
        <v>50</v>
      </c>
    </row>
    <row r="141" customFormat="false" ht="15" hidden="false" customHeight="true" outlineLevel="0" collapsed="false">
      <c r="A141" s="49" t="s">
        <v>374</v>
      </c>
      <c r="B141" s="49" t="s">
        <v>387</v>
      </c>
      <c r="C141" s="50" t="n">
        <v>60</v>
      </c>
    </row>
    <row r="142" customFormat="false" ht="15" hidden="false" customHeight="true" outlineLevel="0" collapsed="false">
      <c r="A142" s="49" t="s">
        <v>374</v>
      </c>
      <c r="B142" s="49" t="s">
        <v>537</v>
      </c>
      <c r="C142" s="50" t="n">
        <v>60</v>
      </c>
    </row>
    <row r="143" customFormat="false" ht="15" hidden="false" customHeight="true" outlineLevel="0" collapsed="false">
      <c r="A143" s="49" t="s">
        <v>374</v>
      </c>
      <c r="B143" s="49" t="s">
        <v>538</v>
      </c>
      <c r="C143" s="50" t="n">
        <v>60</v>
      </c>
    </row>
    <row r="144" customFormat="false" ht="15" hidden="false" customHeight="true" outlineLevel="0" collapsed="false">
      <c r="A144" s="49" t="s">
        <v>374</v>
      </c>
      <c r="B144" s="49" t="s">
        <v>539</v>
      </c>
      <c r="C144" s="50" t="n">
        <v>80</v>
      </c>
    </row>
    <row r="145" customFormat="false" ht="15" hidden="false" customHeight="true" outlineLevel="0" collapsed="false">
      <c r="A145" s="49" t="s">
        <v>374</v>
      </c>
      <c r="B145" s="49" t="s">
        <v>540</v>
      </c>
      <c r="C145" s="50" t="n">
        <v>83.33</v>
      </c>
    </row>
    <row r="146" customFormat="false" ht="15" hidden="false" customHeight="true" outlineLevel="0" collapsed="false">
      <c r="A146" s="49" t="s">
        <v>374</v>
      </c>
      <c r="B146" s="49" t="s">
        <v>431</v>
      </c>
      <c r="C146" s="50" t="n">
        <v>100</v>
      </c>
    </row>
    <row r="147" customFormat="false" ht="15" hidden="false" customHeight="true" outlineLevel="0" collapsed="false">
      <c r="A147" s="49" t="s">
        <v>374</v>
      </c>
      <c r="B147" s="49" t="s">
        <v>408</v>
      </c>
      <c r="C147" s="50" t="n">
        <v>80</v>
      </c>
    </row>
    <row r="148" customFormat="false" ht="15" hidden="false" customHeight="true" outlineLevel="0" collapsed="false">
      <c r="A148" s="49" t="s">
        <v>374</v>
      </c>
      <c r="B148" s="49" t="s">
        <v>409</v>
      </c>
      <c r="C148" s="50" t="n">
        <v>80</v>
      </c>
    </row>
    <row r="149" customFormat="false" ht="15" hidden="false" customHeight="true" outlineLevel="0" collapsed="false">
      <c r="A149" s="49" t="s">
        <v>374</v>
      </c>
      <c r="B149" s="49" t="s">
        <v>394</v>
      </c>
      <c r="C149" s="50" t="n">
        <v>100</v>
      </c>
    </row>
    <row r="150" customFormat="false" ht="15" hidden="false" customHeight="true" outlineLevel="0" collapsed="false">
      <c r="A150" s="49" t="s">
        <v>374</v>
      </c>
      <c r="B150" s="49" t="s">
        <v>407</v>
      </c>
      <c r="C150" s="50" t="n">
        <v>60</v>
      </c>
    </row>
    <row r="151" customFormat="false" ht="15" hidden="false" customHeight="true" outlineLevel="0" collapsed="false">
      <c r="A151" s="49" t="s">
        <v>374</v>
      </c>
      <c r="B151" s="49" t="s">
        <v>526</v>
      </c>
      <c r="C151" s="50" t="n">
        <v>80</v>
      </c>
    </row>
    <row r="152" customFormat="false" ht="15" hidden="false" customHeight="true" outlineLevel="0" collapsed="false">
      <c r="A152" s="49" t="s">
        <v>374</v>
      </c>
      <c r="B152" s="49" t="s">
        <v>490</v>
      </c>
      <c r="C152" s="50" t="n">
        <v>140</v>
      </c>
    </row>
    <row r="153" customFormat="false" ht="15" hidden="false" customHeight="true" outlineLevel="0" collapsed="false">
      <c r="A153" s="49" t="s">
        <v>374</v>
      </c>
      <c r="B153" s="49" t="s">
        <v>427</v>
      </c>
      <c r="C153" s="50" t="n">
        <v>80</v>
      </c>
    </row>
    <row r="154" customFormat="false" ht="15" hidden="false" customHeight="true" outlineLevel="0" collapsed="false">
      <c r="A154" s="49" t="s">
        <v>374</v>
      </c>
      <c r="B154" s="49" t="s">
        <v>410</v>
      </c>
      <c r="C154" s="50" t="n">
        <v>130</v>
      </c>
    </row>
    <row r="155" customFormat="false" ht="15" hidden="false" customHeight="true" outlineLevel="0" collapsed="false">
      <c r="A155" s="49" t="s">
        <v>374</v>
      </c>
      <c r="B155" s="49" t="s">
        <v>411</v>
      </c>
      <c r="C155" s="50" t="n">
        <v>130</v>
      </c>
    </row>
    <row r="156" customFormat="false" ht="15" hidden="false" customHeight="true" outlineLevel="0" collapsed="false">
      <c r="A156" s="49" t="s">
        <v>374</v>
      </c>
      <c r="B156" s="49" t="s">
        <v>402</v>
      </c>
      <c r="C156" s="50" t="n">
        <v>100</v>
      </c>
    </row>
    <row r="157" customFormat="false" ht="15" hidden="false" customHeight="true" outlineLevel="0" collapsed="false">
      <c r="A157" s="49" t="s">
        <v>374</v>
      </c>
      <c r="B157" s="49" t="s">
        <v>403</v>
      </c>
      <c r="C157" s="50" t="n">
        <v>80</v>
      </c>
    </row>
    <row r="158" customFormat="false" ht="15" hidden="false" customHeight="true" outlineLevel="0" collapsed="false">
      <c r="A158" s="49" t="s">
        <v>374</v>
      </c>
      <c r="B158" s="49" t="s">
        <v>379</v>
      </c>
      <c r="C158" s="50" t="n">
        <v>130</v>
      </c>
    </row>
    <row r="159" customFormat="false" ht="15" hidden="false" customHeight="true" outlineLevel="0" collapsed="false">
      <c r="A159" s="49" t="s">
        <v>374</v>
      </c>
      <c r="B159" s="49" t="s">
        <v>375</v>
      </c>
      <c r="C159" s="50" t="n">
        <v>40</v>
      </c>
    </row>
    <row r="160" customFormat="false" ht="15" hidden="false" customHeight="true" outlineLevel="0" collapsed="false">
      <c r="A160" s="49" t="s">
        <v>374</v>
      </c>
      <c r="B160" s="49" t="s">
        <v>376</v>
      </c>
      <c r="C160" s="50" t="n">
        <v>55</v>
      </c>
    </row>
    <row r="161" customFormat="false" ht="15" hidden="false" customHeight="true" outlineLevel="0" collapsed="false">
      <c r="A161" s="49" t="s">
        <v>374</v>
      </c>
      <c r="B161" s="49" t="s">
        <v>377</v>
      </c>
      <c r="C161" s="50" t="n">
        <v>40</v>
      </c>
    </row>
    <row r="162" customFormat="false" ht="15" hidden="false" customHeight="true" outlineLevel="0" collapsed="false">
      <c r="A162" s="49" t="s">
        <v>374</v>
      </c>
      <c r="B162" s="49" t="s">
        <v>378</v>
      </c>
      <c r="C162" s="50" t="n">
        <v>55</v>
      </c>
    </row>
    <row r="163" customFormat="false" ht="15" hidden="false" customHeight="true" outlineLevel="0" collapsed="false">
      <c r="A163" s="49" t="s">
        <v>374</v>
      </c>
      <c r="B163" s="49" t="s">
        <v>541</v>
      </c>
      <c r="C163" s="50" t="n">
        <v>40.83</v>
      </c>
    </row>
    <row r="164" customFormat="false" ht="15" hidden="false" customHeight="true" outlineLevel="0" collapsed="false">
      <c r="A164" s="49" t="s">
        <v>374</v>
      </c>
      <c r="B164" s="49" t="s">
        <v>397</v>
      </c>
      <c r="C164" s="50" t="n">
        <v>55</v>
      </c>
    </row>
    <row r="165" customFormat="false" ht="15" hidden="false" customHeight="true" outlineLevel="0" collapsed="false">
      <c r="A165" s="49" t="s">
        <v>374</v>
      </c>
      <c r="B165" s="49" t="s">
        <v>542</v>
      </c>
      <c r="C165" s="50" t="n">
        <v>50</v>
      </c>
    </row>
    <row r="166" customFormat="false" ht="15" hidden="false" customHeight="true" outlineLevel="0" collapsed="false">
      <c r="A166" s="49" t="s">
        <v>374</v>
      </c>
      <c r="B166" s="49" t="s">
        <v>398</v>
      </c>
      <c r="C166" s="50" t="n">
        <v>66.25</v>
      </c>
    </row>
    <row r="167" customFormat="false" ht="15" hidden="false" customHeight="true" outlineLevel="0" collapsed="false">
      <c r="A167" s="49" t="s">
        <v>374</v>
      </c>
      <c r="B167" s="49" t="s">
        <v>543</v>
      </c>
      <c r="C167" s="50" t="n">
        <v>31.47</v>
      </c>
    </row>
    <row r="168" customFormat="false" ht="15" hidden="false" customHeight="true" outlineLevel="0" collapsed="false">
      <c r="A168" s="49" t="s">
        <v>374</v>
      </c>
      <c r="B168" s="49" t="s">
        <v>544</v>
      </c>
      <c r="C168" s="50" t="n">
        <v>41.25</v>
      </c>
    </row>
    <row r="169" customFormat="false" ht="15" hidden="false" customHeight="true" outlineLevel="0" collapsed="false">
      <c r="A169" s="49" t="s">
        <v>374</v>
      </c>
      <c r="B169" s="49" t="s">
        <v>423</v>
      </c>
      <c r="C169" s="50" t="n">
        <v>33.93</v>
      </c>
    </row>
    <row r="170" customFormat="false" ht="15" hidden="false" customHeight="true" outlineLevel="0" collapsed="false">
      <c r="A170" s="49" t="s">
        <v>374</v>
      </c>
      <c r="B170" s="49" t="s">
        <v>424</v>
      </c>
      <c r="C170" s="50" t="n">
        <v>48.57</v>
      </c>
    </row>
    <row r="171" customFormat="false" ht="15" hidden="false" customHeight="true" outlineLevel="0" collapsed="false">
      <c r="A171" s="49" t="s">
        <v>374</v>
      </c>
      <c r="B171" s="49" t="s">
        <v>451</v>
      </c>
      <c r="C171" s="50" t="n">
        <v>34.5</v>
      </c>
    </row>
    <row r="172" customFormat="false" ht="15" hidden="false" customHeight="true" outlineLevel="0" collapsed="false">
      <c r="A172" s="49" t="s">
        <v>374</v>
      </c>
      <c r="B172" s="49" t="s">
        <v>452</v>
      </c>
      <c r="C172" s="50" t="n">
        <v>40</v>
      </c>
    </row>
    <row r="173" customFormat="false" ht="15" hidden="false" customHeight="true" outlineLevel="0" collapsed="false">
      <c r="A173" s="49"/>
      <c r="B173" s="49"/>
      <c r="C173" s="50"/>
    </row>
    <row r="174" customFormat="false" ht="15" hidden="false" customHeight="true" outlineLevel="0" collapsed="false">
      <c r="A174" s="49"/>
      <c r="B174" s="49"/>
      <c r="C174" s="50"/>
    </row>
    <row r="175" customFormat="false" ht="15" hidden="false" customHeight="true" outlineLevel="0" collapsed="false">
      <c r="A175" s="49"/>
      <c r="B175" s="49"/>
      <c r="C175" s="50"/>
    </row>
    <row r="176" customFormat="false" ht="15" hidden="false" customHeight="true" outlineLevel="0" collapsed="false">
      <c r="A176" s="49"/>
      <c r="B176" s="49"/>
      <c r="C176" s="50"/>
    </row>
    <row r="177" customFormat="false" ht="15" hidden="false" customHeight="true" outlineLevel="0" collapsed="false">
      <c r="A177" s="49"/>
      <c r="B177" s="49"/>
      <c r="C177" s="50"/>
    </row>
    <row r="178" customFormat="false" ht="15" hidden="false" customHeight="true" outlineLevel="0" collapsed="false">
      <c r="A178" s="49"/>
      <c r="B178" s="49"/>
      <c r="C178" s="50"/>
    </row>
    <row r="179" customFormat="false" ht="15" hidden="false" customHeight="true" outlineLevel="0" collapsed="false">
      <c r="A179" s="49"/>
      <c r="B179" s="49"/>
      <c r="C179" s="50"/>
    </row>
    <row r="180" customFormat="false" ht="15" hidden="false" customHeight="true" outlineLevel="0" collapsed="false">
      <c r="A180" s="49"/>
      <c r="B180" s="49"/>
      <c r="C180" s="50"/>
    </row>
    <row r="181" customFormat="false" ht="15" hidden="false" customHeight="true" outlineLevel="0" collapsed="false">
      <c r="A181" s="49"/>
      <c r="B181" s="49"/>
      <c r="C181" s="50"/>
    </row>
    <row r="182" customFormat="false" ht="15" hidden="false" customHeight="true" outlineLevel="0" collapsed="false">
      <c r="A182" s="49"/>
      <c r="B182" s="49"/>
      <c r="C182" s="50"/>
    </row>
    <row r="183" customFormat="false" ht="15" hidden="false" customHeight="true" outlineLevel="0" collapsed="false">
      <c r="A183" s="49"/>
      <c r="B183" s="49"/>
      <c r="C183" s="50"/>
    </row>
    <row r="184" customFormat="false" ht="15" hidden="false" customHeight="true" outlineLevel="0" collapsed="false">
      <c r="A184" s="49"/>
      <c r="B184" s="49"/>
      <c r="C184" s="50"/>
    </row>
    <row r="185" customFormat="false" ht="15" hidden="false" customHeight="true" outlineLevel="0" collapsed="false">
      <c r="A185" s="49"/>
      <c r="B185" s="49"/>
      <c r="C185" s="50"/>
    </row>
    <row r="186" customFormat="false" ht="15" hidden="false" customHeight="true" outlineLevel="0" collapsed="false">
      <c r="A186" s="49"/>
      <c r="B186" s="49"/>
      <c r="C186" s="50"/>
    </row>
    <row r="187" customFormat="false" ht="15" hidden="false" customHeight="true" outlineLevel="0" collapsed="false">
      <c r="A187" s="49"/>
      <c r="B187" s="49"/>
      <c r="C187" s="50"/>
    </row>
    <row r="188" customFormat="false" ht="15" hidden="false" customHeight="true" outlineLevel="0" collapsed="false">
      <c r="A188" s="49"/>
      <c r="B188" s="49"/>
      <c r="C188" s="50"/>
    </row>
    <row r="189" customFormat="false" ht="15" hidden="false" customHeight="true" outlineLevel="0" collapsed="false">
      <c r="A189" s="49"/>
      <c r="B189" s="49"/>
      <c r="C189" s="50"/>
    </row>
    <row r="190" customFormat="false" ht="15" hidden="false" customHeight="true" outlineLevel="0" collapsed="false">
      <c r="A190" s="49"/>
      <c r="B190" s="49"/>
      <c r="C190" s="50"/>
    </row>
    <row r="191" customFormat="false" ht="15" hidden="false" customHeight="true" outlineLevel="0" collapsed="false">
      <c r="A191" s="49"/>
      <c r="B191" s="49"/>
      <c r="C191" s="50"/>
    </row>
    <row r="192" customFormat="false" ht="15" hidden="false" customHeight="true" outlineLevel="0" collapsed="false">
      <c r="A192" s="49"/>
      <c r="B192" s="49"/>
      <c r="C192" s="50"/>
    </row>
    <row r="193" customFormat="false" ht="15" hidden="false" customHeight="true" outlineLevel="0" collapsed="false">
      <c r="A193" s="49"/>
      <c r="B193" s="49"/>
      <c r="C193" s="50"/>
    </row>
    <row r="194" customFormat="false" ht="15" hidden="false" customHeight="true" outlineLevel="0" collapsed="false">
      <c r="A194" s="49"/>
      <c r="B194" s="49"/>
      <c r="C194" s="50"/>
    </row>
    <row r="195" customFormat="false" ht="15" hidden="false" customHeight="true" outlineLevel="0" collapsed="false">
      <c r="A195" s="49"/>
      <c r="B195" s="49"/>
      <c r="C195" s="50"/>
    </row>
    <row r="196" customFormat="false" ht="15" hidden="false" customHeight="true" outlineLevel="0" collapsed="false">
      <c r="A196" s="49"/>
      <c r="B196" s="49"/>
      <c r="C196" s="50"/>
    </row>
    <row r="197" customFormat="false" ht="15" hidden="false" customHeight="true" outlineLevel="0" collapsed="false">
      <c r="A197" s="49"/>
      <c r="B197" s="49"/>
      <c r="C197" s="50"/>
    </row>
    <row r="198" customFormat="false" ht="15" hidden="false" customHeight="true" outlineLevel="0" collapsed="false">
      <c r="A198" s="49"/>
      <c r="B198" s="49"/>
      <c r="C198" s="50"/>
    </row>
    <row r="199" customFormat="false" ht="15" hidden="false" customHeight="true" outlineLevel="0" collapsed="false">
      <c r="A199" s="49"/>
      <c r="B199" s="49"/>
      <c r="C199" s="50"/>
    </row>
    <row r="200" customFormat="false" ht="15" hidden="false" customHeight="true" outlineLevel="0" collapsed="false">
      <c r="A200" s="49"/>
      <c r="B200" s="49"/>
      <c r="C200" s="50"/>
    </row>
    <row r="201" customFormat="false" ht="15" hidden="false" customHeight="true" outlineLevel="0" collapsed="false">
      <c r="A201" s="49"/>
      <c r="B201" s="49"/>
      <c r="C201" s="50"/>
    </row>
    <row r="202" customFormat="false" ht="15" hidden="false" customHeight="true" outlineLevel="0" collapsed="false">
      <c r="A202" s="49"/>
      <c r="B202" s="49"/>
      <c r="C202" s="50"/>
    </row>
    <row r="203" customFormat="false" ht="15" hidden="false" customHeight="true" outlineLevel="0" collapsed="false">
      <c r="A203" s="49"/>
      <c r="B203" s="49"/>
      <c r="C203" s="50"/>
    </row>
    <row r="204" customFormat="false" ht="15" hidden="false" customHeight="true" outlineLevel="0" collapsed="false">
      <c r="A204" s="49"/>
      <c r="B204" s="49"/>
      <c r="C204" s="50"/>
    </row>
    <row r="205" customFormat="false" ht="15" hidden="false" customHeight="true" outlineLevel="0" collapsed="false">
      <c r="A205" s="49"/>
      <c r="B205" s="49"/>
      <c r="C205" s="50"/>
    </row>
    <row r="206" customFormat="false" ht="15" hidden="false" customHeight="true" outlineLevel="0" collapsed="false">
      <c r="A206" s="49"/>
      <c r="B206" s="49"/>
      <c r="C206" s="50"/>
    </row>
    <row r="207" customFormat="false" ht="15" hidden="false" customHeight="true" outlineLevel="0" collapsed="false">
      <c r="A207" s="49"/>
      <c r="B207" s="49"/>
      <c r="C207" s="50"/>
    </row>
    <row r="208" customFormat="false" ht="15" hidden="false" customHeight="true" outlineLevel="0" collapsed="false">
      <c r="A208" s="49"/>
      <c r="B208" s="49"/>
      <c r="C208" s="50"/>
    </row>
    <row r="209" customFormat="false" ht="15" hidden="false" customHeight="true" outlineLevel="0" collapsed="false">
      <c r="A209" s="49"/>
      <c r="B209" s="49"/>
      <c r="C209" s="50"/>
    </row>
    <row r="210" customFormat="false" ht="15" hidden="false" customHeight="true" outlineLevel="0" collapsed="false">
      <c r="A210" s="49"/>
      <c r="B210" s="49"/>
      <c r="C210" s="50"/>
    </row>
    <row r="211" customFormat="false" ht="15" hidden="false" customHeight="true" outlineLevel="0" collapsed="false">
      <c r="A211" s="49"/>
      <c r="B211" s="49"/>
      <c r="C211" s="50"/>
    </row>
    <row r="212" customFormat="false" ht="15" hidden="false" customHeight="true" outlineLevel="0" collapsed="false">
      <c r="A212" s="49"/>
      <c r="B212" s="49"/>
      <c r="C212" s="50"/>
    </row>
    <row r="213" customFormat="false" ht="15" hidden="false" customHeight="true" outlineLevel="0" collapsed="false">
      <c r="A213" s="49"/>
      <c r="B213" s="49"/>
      <c r="C213" s="50"/>
    </row>
    <row r="214" customFormat="false" ht="15" hidden="false" customHeight="true" outlineLevel="0" collapsed="false">
      <c r="A214" s="49"/>
      <c r="B214" s="49"/>
      <c r="C214" s="50"/>
    </row>
    <row r="215" customFormat="false" ht="15" hidden="false" customHeight="true" outlineLevel="0" collapsed="false">
      <c r="A215" s="49"/>
      <c r="B215" s="49"/>
      <c r="C215" s="50"/>
    </row>
    <row r="216" customFormat="false" ht="15" hidden="false" customHeight="true" outlineLevel="0" collapsed="false">
      <c r="A216" s="49"/>
      <c r="B216" s="49"/>
      <c r="C216" s="50"/>
    </row>
    <row r="217" customFormat="false" ht="15" hidden="false" customHeight="true" outlineLevel="0" collapsed="false">
      <c r="A217" s="49"/>
      <c r="B217" s="49"/>
      <c r="C217" s="50"/>
    </row>
    <row r="218" customFormat="false" ht="15" hidden="false" customHeight="true" outlineLevel="0" collapsed="false">
      <c r="A218" s="49"/>
      <c r="B218" s="49"/>
      <c r="C218" s="50"/>
    </row>
    <row r="219" customFormat="false" ht="15" hidden="false" customHeight="true" outlineLevel="0" collapsed="false">
      <c r="A219" s="49"/>
      <c r="B219" s="49"/>
      <c r="C219" s="50"/>
    </row>
    <row r="220" customFormat="false" ht="15" hidden="false" customHeight="true" outlineLevel="0" collapsed="false">
      <c r="A220" s="49"/>
      <c r="B220" s="49"/>
      <c r="C220" s="50"/>
    </row>
    <row r="221" customFormat="false" ht="15" hidden="false" customHeight="true" outlineLevel="0" collapsed="false">
      <c r="A221" s="49"/>
      <c r="B221" s="49"/>
      <c r="C221" s="50"/>
    </row>
    <row r="222" customFormat="false" ht="15" hidden="false" customHeight="true" outlineLevel="0" collapsed="false">
      <c r="A222" s="49"/>
      <c r="B222" s="49"/>
      <c r="C222" s="50"/>
    </row>
    <row r="223" customFormat="false" ht="15" hidden="false" customHeight="true" outlineLevel="0" collapsed="false">
      <c r="A223" s="49"/>
      <c r="B223" s="49"/>
      <c r="C223" s="50"/>
    </row>
    <row r="224" customFormat="false" ht="15" hidden="false" customHeight="true" outlineLevel="0" collapsed="false">
      <c r="A224" s="49"/>
      <c r="B224" s="49"/>
      <c r="C224" s="50"/>
    </row>
    <row r="225" customFormat="false" ht="15" hidden="false" customHeight="true" outlineLevel="0" collapsed="false">
      <c r="A225" s="49"/>
      <c r="B225" s="49"/>
      <c r="C225" s="50"/>
    </row>
    <row r="226" customFormat="false" ht="15" hidden="false" customHeight="true" outlineLevel="0" collapsed="false">
      <c r="A226" s="49"/>
      <c r="B226" s="49"/>
      <c r="C226" s="50"/>
    </row>
    <row r="227" customFormat="false" ht="15" hidden="false" customHeight="true" outlineLevel="0" collapsed="false">
      <c r="A227" s="49"/>
      <c r="B227" s="49"/>
      <c r="C227" s="50"/>
    </row>
    <row r="228" customFormat="false" ht="15" hidden="false" customHeight="true" outlineLevel="0" collapsed="false">
      <c r="A228" s="49"/>
      <c r="B228" s="49"/>
      <c r="C228" s="50"/>
    </row>
    <row r="229" customFormat="false" ht="15" hidden="false" customHeight="true" outlineLevel="0" collapsed="false">
      <c r="A229" s="49"/>
      <c r="B229" s="49"/>
      <c r="C229" s="50"/>
    </row>
    <row r="230" customFormat="false" ht="15" hidden="false" customHeight="true" outlineLevel="0" collapsed="false">
      <c r="A230" s="49"/>
      <c r="B230" s="49"/>
      <c r="C230" s="50"/>
    </row>
    <row r="231" customFormat="false" ht="15" hidden="false" customHeight="true" outlineLevel="0" collapsed="false">
      <c r="A231" s="49"/>
      <c r="B231" s="49"/>
      <c r="C231" s="50"/>
    </row>
    <row r="232" customFormat="false" ht="15" hidden="false" customHeight="true" outlineLevel="0" collapsed="false">
      <c r="A232" s="49"/>
      <c r="B232" s="49"/>
      <c r="C232" s="50"/>
    </row>
    <row r="233" customFormat="false" ht="15" hidden="false" customHeight="true" outlineLevel="0" collapsed="false">
      <c r="A233" s="49"/>
      <c r="B233" s="49"/>
      <c r="C233" s="50"/>
    </row>
    <row r="234" customFormat="false" ht="15" hidden="false" customHeight="true" outlineLevel="0" collapsed="false">
      <c r="A234" s="49"/>
      <c r="B234" s="49"/>
      <c r="C234" s="50"/>
    </row>
    <row r="235" customFormat="false" ht="15" hidden="false" customHeight="true" outlineLevel="0" collapsed="false">
      <c r="A235" s="49"/>
      <c r="B235" s="49"/>
      <c r="C235" s="50"/>
    </row>
    <row r="236" customFormat="false" ht="15" hidden="false" customHeight="true" outlineLevel="0" collapsed="false">
      <c r="A236" s="49"/>
      <c r="B236" s="49"/>
      <c r="C236" s="50"/>
    </row>
    <row r="237" customFormat="false" ht="15" hidden="false" customHeight="true" outlineLevel="0" collapsed="false">
      <c r="A237" s="49"/>
      <c r="B237" s="49"/>
      <c r="C237" s="50"/>
    </row>
    <row r="238" customFormat="false" ht="15" hidden="false" customHeight="true" outlineLevel="0" collapsed="false">
      <c r="A238" s="49"/>
      <c r="B238" s="49"/>
      <c r="C238" s="50"/>
    </row>
    <row r="239" customFormat="false" ht="15" hidden="false" customHeight="true" outlineLevel="0" collapsed="false">
      <c r="A239" s="49"/>
      <c r="B239" s="49"/>
      <c r="C239" s="50"/>
    </row>
    <row r="240" customFormat="false" ht="15" hidden="false" customHeight="true" outlineLevel="0" collapsed="false">
      <c r="A240" s="49"/>
      <c r="B240" s="49"/>
      <c r="C240" s="50"/>
    </row>
    <row r="241" customFormat="false" ht="15" hidden="false" customHeight="true" outlineLevel="0" collapsed="false">
      <c r="A241" s="49"/>
      <c r="B241" s="49"/>
      <c r="C241" s="50"/>
    </row>
    <row r="242" customFormat="false" ht="15" hidden="false" customHeight="true" outlineLevel="0" collapsed="false">
      <c r="A242" s="49"/>
      <c r="B242" s="49"/>
      <c r="C242" s="50"/>
    </row>
    <row r="243" customFormat="false" ht="15" hidden="false" customHeight="true" outlineLevel="0" collapsed="false">
      <c r="A243" s="49"/>
      <c r="B243" s="49"/>
      <c r="C243" s="50"/>
    </row>
    <row r="244" customFormat="false" ht="15" hidden="false" customHeight="true" outlineLevel="0" collapsed="false">
      <c r="A244" s="49"/>
      <c r="B244" s="49"/>
      <c r="C244" s="50"/>
    </row>
    <row r="245" customFormat="false" ht="15" hidden="false" customHeight="true" outlineLevel="0" collapsed="false">
      <c r="A245" s="49"/>
      <c r="B245" s="49"/>
      <c r="C245" s="50"/>
    </row>
    <row r="246" customFormat="false" ht="15" hidden="false" customHeight="true" outlineLevel="0" collapsed="false">
      <c r="A246" s="49"/>
      <c r="B246" s="49"/>
      <c r="C246" s="50"/>
    </row>
    <row r="247" customFormat="false" ht="15" hidden="false" customHeight="true" outlineLevel="0" collapsed="false">
      <c r="A247" s="49"/>
      <c r="B247" s="49"/>
      <c r="C247" s="50"/>
    </row>
    <row r="248" customFormat="false" ht="15" hidden="false" customHeight="true" outlineLevel="0" collapsed="false">
      <c r="A248" s="49"/>
      <c r="B248" s="49"/>
      <c r="C248" s="50"/>
    </row>
    <row r="249" customFormat="false" ht="15" hidden="false" customHeight="true" outlineLevel="0" collapsed="false">
      <c r="A249" s="49"/>
      <c r="B249" s="49"/>
      <c r="C249" s="50"/>
    </row>
    <row r="250" customFormat="false" ht="15" hidden="false" customHeight="true" outlineLevel="0" collapsed="false">
      <c r="A250" s="49"/>
      <c r="B250" s="49"/>
      <c r="C250" s="50"/>
    </row>
    <row r="251" customFormat="false" ht="15" hidden="false" customHeight="true" outlineLevel="0" collapsed="false">
      <c r="A251" s="49"/>
      <c r="B251" s="49"/>
      <c r="C251" s="50"/>
    </row>
    <row r="252" customFormat="false" ht="15" hidden="false" customHeight="true" outlineLevel="0" collapsed="false">
      <c r="A252" s="49"/>
      <c r="B252" s="49"/>
      <c r="C252" s="50"/>
    </row>
    <row r="253" customFormat="false" ht="15" hidden="false" customHeight="true" outlineLevel="0" collapsed="false">
      <c r="A253" s="49"/>
      <c r="B253" s="49"/>
      <c r="C253" s="50"/>
    </row>
    <row r="254" customFormat="false" ht="15" hidden="false" customHeight="true" outlineLevel="0" collapsed="false">
      <c r="A254" s="49"/>
      <c r="B254" s="49"/>
      <c r="C254" s="50"/>
    </row>
    <row r="255" customFormat="false" ht="15" hidden="false" customHeight="true" outlineLevel="0" collapsed="false">
      <c r="A255" s="49"/>
      <c r="B255" s="49"/>
      <c r="C255" s="50"/>
    </row>
    <row r="256" customFormat="false" ht="15" hidden="false" customHeight="true" outlineLevel="0" collapsed="false">
      <c r="A256" s="49"/>
      <c r="B256" s="49"/>
      <c r="C256" s="50"/>
    </row>
    <row r="257" customFormat="false" ht="15" hidden="false" customHeight="true" outlineLevel="0" collapsed="false">
      <c r="A257" s="49"/>
      <c r="B257" s="49"/>
      <c r="C257" s="50"/>
    </row>
    <row r="258" customFormat="false" ht="15" hidden="false" customHeight="true" outlineLevel="0" collapsed="false">
      <c r="A258" s="49"/>
      <c r="B258" s="49"/>
      <c r="C258" s="50"/>
    </row>
    <row r="259" customFormat="false" ht="15" hidden="false" customHeight="true" outlineLevel="0" collapsed="false">
      <c r="A259" s="49"/>
      <c r="B259" s="49"/>
      <c r="C259" s="50"/>
    </row>
    <row r="260" customFormat="false" ht="15" hidden="false" customHeight="true" outlineLevel="0" collapsed="false">
      <c r="A260" s="49"/>
      <c r="B260" s="49"/>
      <c r="C260" s="50"/>
    </row>
    <row r="261" customFormat="false" ht="15" hidden="false" customHeight="true" outlineLevel="0" collapsed="false">
      <c r="A261" s="49"/>
      <c r="B261" s="49"/>
      <c r="C261" s="50"/>
    </row>
    <row r="262" customFormat="false" ht="15" hidden="false" customHeight="true" outlineLevel="0" collapsed="false">
      <c r="A262" s="49"/>
      <c r="B262" s="49"/>
      <c r="C262" s="50"/>
    </row>
    <row r="263" customFormat="false" ht="15" hidden="false" customHeight="true" outlineLevel="0" collapsed="false">
      <c r="A263" s="49"/>
      <c r="B263" s="49"/>
      <c r="C263" s="50"/>
    </row>
    <row r="264" customFormat="false" ht="15" hidden="false" customHeight="true" outlineLevel="0" collapsed="false">
      <c r="A264" s="49"/>
      <c r="B264" s="49"/>
      <c r="C264" s="50"/>
    </row>
    <row r="265" customFormat="false" ht="15" hidden="false" customHeight="true" outlineLevel="0" collapsed="false">
      <c r="A265" s="49"/>
      <c r="B265" s="49"/>
      <c r="C265" s="50"/>
    </row>
    <row r="266" customFormat="false" ht="15" hidden="false" customHeight="true" outlineLevel="0" collapsed="false">
      <c r="A266" s="49"/>
      <c r="B266" s="49"/>
      <c r="C266" s="50"/>
    </row>
    <row r="267" customFormat="false" ht="15" hidden="false" customHeight="true" outlineLevel="0" collapsed="false">
      <c r="A267" s="49"/>
      <c r="B267" s="49"/>
      <c r="C267" s="50"/>
    </row>
    <row r="268" customFormat="false" ht="15" hidden="false" customHeight="true" outlineLevel="0" collapsed="false">
      <c r="A268" s="49"/>
      <c r="B268" s="49"/>
      <c r="C268" s="50"/>
    </row>
    <row r="269" customFormat="false" ht="15" hidden="false" customHeight="true" outlineLevel="0" collapsed="false">
      <c r="A269" s="49"/>
      <c r="B269" s="49"/>
      <c r="C269" s="50"/>
    </row>
    <row r="270" customFormat="false" ht="15" hidden="false" customHeight="true" outlineLevel="0" collapsed="false">
      <c r="A270" s="49"/>
      <c r="B270" s="49"/>
      <c r="C270" s="50"/>
    </row>
    <row r="271" customFormat="false" ht="15" hidden="false" customHeight="true" outlineLevel="0" collapsed="false">
      <c r="A271" s="49"/>
      <c r="B271" s="49"/>
      <c r="C271" s="50"/>
    </row>
    <row r="272" customFormat="false" ht="15" hidden="false" customHeight="true" outlineLevel="0" collapsed="false">
      <c r="A272" s="49"/>
      <c r="B272" s="49"/>
      <c r="C272" s="50"/>
    </row>
    <row r="273" customFormat="false" ht="15" hidden="false" customHeight="true" outlineLevel="0" collapsed="false">
      <c r="A273" s="49"/>
      <c r="B273" s="49"/>
      <c r="C273" s="50"/>
    </row>
    <row r="274" customFormat="false" ht="15" hidden="false" customHeight="true" outlineLevel="0" collapsed="false">
      <c r="A274" s="49"/>
      <c r="B274" s="49"/>
      <c r="C274" s="50"/>
    </row>
    <row r="275" customFormat="false" ht="15" hidden="false" customHeight="true" outlineLevel="0" collapsed="false">
      <c r="A275" s="49"/>
      <c r="B275" s="49"/>
      <c r="C275" s="50"/>
    </row>
    <row r="276" customFormat="false" ht="15" hidden="false" customHeight="true" outlineLevel="0" collapsed="false">
      <c r="A276" s="49"/>
      <c r="B276" s="49"/>
      <c r="C276" s="50"/>
    </row>
    <row r="277" customFormat="false" ht="15" hidden="false" customHeight="true" outlineLevel="0" collapsed="false">
      <c r="A277" s="49"/>
      <c r="B277" s="49"/>
      <c r="C277" s="50"/>
    </row>
    <row r="278" customFormat="false" ht="15" hidden="false" customHeight="true" outlineLevel="0" collapsed="false">
      <c r="A278" s="49"/>
      <c r="B278" s="49"/>
      <c r="C278" s="50"/>
    </row>
    <row r="279" customFormat="false" ht="15" hidden="false" customHeight="true" outlineLevel="0" collapsed="false">
      <c r="A279" s="49"/>
      <c r="B279" s="49"/>
      <c r="C279" s="50"/>
    </row>
    <row r="280" customFormat="false" ht="15" hidden="false" customHeight="true" outlineLevel="0" collapsed="false">
      <c r="A280" s="49"/>
      <c r="B280" s="49"/>
      <c r="C280" s="50"/>
    </row>
    <row r="281" customFormat="false" ht="15" hidden="false" customHeight="true" outlineLevel="0" collapsed="false">
      <c r="A281" s="49"/>
      <c r="B281" s="49"/>
      <c r="C281" s="50"/>
    </row>
    <row r="282" customFormat="false" ht="15" hidden="false" customHeight="true" outlineLevel="0" collapsed="false">
      <c r="A282" s="49"/>
      <c r="B282" s="49"/>
      <c r="C282" s="50"/>
    </row>
    <row r="283" customFormat="false" ht="15" hidden="false" customHeight="true" outlineLevel="0" collapsed="false">
      <c r="A283" s="49"/>
      <c r="B283" s="49"/>
      <c r="C283" s="50"/>
    </row>
    <row r="284" customFormat="false" ht="15" hidden="false" customHeight="true" outlineLevel="0" collapsed="false">
      <c r="A284" s="49"/>
      <c r="B284" s="49"/>
      <c r="C284" s="50"/>
    </row>
    <row r="285" customFormat="false" ht="15" hidden="false" customHeight="true" outlineLevel="0" collapsed="false">
      <c r="A285" s="49"/>
      <c r="B285" s="49"/>
      <c r="C285" s="50"/>
    </row>
    <row r="286" customFormat="false" ht="15" hidden="false" customHeight="true" outlineLevel="0" collapsed="false">
      <c r="A286" s="49"/>
      <c r="B286" s="49"/>
      <c r="C286" s="50"/>
    </row>
    <row r="287" customFormat="false" ht="15" hidden="false" customHeight="true" outlineLevel="0" collapsed="false">
      <c r="A287" s="49"/>
      <c r="B287" s="49"/>
      <c r="C287" s="50"/>
    </row>
    <row r="288" customFormat="false" ht="15" hidden="false" customHeight="true" outlineLevel="0" collapsed="false">
      <c r="A288" s="49"/>
      <c r="B288" s="49"/>
      <c r="C288" s="50"/>
    </row>
    <row r="289" customFormat="false" ht="15" hidden="false" customHeight="true" outlineLevel="0" collapsed="false">
      <c r="A289" s="49"/>
      <c r="B289" s="49"/>
      <c r="C289" s="50"/>
    </row>
    <row r="290" customFormat="false" ht="15" hidden="false" customHeight="true" outlineLevel="0" collapsed="false">
      <c r="A290" s="49"/>
      <c r="B290" s="49"/>
      <c r="C290" s="50"/>
    </row>
    <row r="291" customFormat="false" ht="15" hidden="false" customHeight="true" outlineLevel="0" collapsed="false">
      <c r="A291" s="49"/>
      <c r="B291" s="49"/>
      <c r="C291" s="50"/>
    </row>
    <row r="292" customFormat="false" ht="15" hidden="false" customHeight="true" outlineLevel="0" collapsed="false">
      <c r="A292" s="49"/>
      <c r="B292" s="49"/>
      <c r="C292" s="50"/>
    </row>
    <row r="293" customFormat="false" ht="15" hidden="false" customHeight="true" outlineLevel="0" collapsed="false">
      <c r="A293" s="49"/>
      <c r="B293" s="49"/>
      <c r="C293" s="50"/>
    </row>
    <row r="294" customFormat="false" ht="15" hidden="false" customHeight="true" outlineLevel="0" collapsed="false">
      <c r="A294" s="49"/>
      <c r="B294" s="49"/>
      <c r="C294" s="50"/>
    </row>
    <row r="295" customFormat="false" ht="15" hidden="false" customHeight="true" outlineLevel="0" collapsed="false">
      <c r="A295" s="49"/>
      <c r="B295" s="49"/>
      <c r="C295" s="50"/>
    </row>
    <row r="296" customFormat="false" ht="15" hidden="false" customHeight="true" outlineLevel="0" collapsed="false">
      <c r="A296" s="49"/>
      <c r="B296" s="49"/>
      <c r="C296" s="50"/>
    </row>
    <row r="297" customFormat="false" ht="15" hidden="false" customHeight="true" outlineLevel="0" collapsed="false">
      <c r="A297" s="49"/>
      <c r="B297" s="49"/>
      <c r="C297" s="50"/>
    </row>
    <row r="298" customFormat="false" ht="15" hidden="false" customHeight="true" outlineLevel="0" collapsed="false">
      <c r="A298" s="49"/>
      <c r="B298" s="49"/>
      <c r="C298" s="50"/>
    </row>
    <row r="299" customFormat="false" ht="15" hidden="false" customHeight="true" outlineLevel="0" collapsed="false">
      <c r="A299" s="49"/>
      <c r="B299" s="49"/>
      <c r="C299" s="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547</v>
      </c>
      <c r="B1" s="10" t="s">
        <v>548</v>
      </c>
      <c r="C1" s="10" t="s">
        <v>549</v>
      </c>
      <c r="D1" s="10" t="s">
        <v>61</v>
      </c>
      <c r="E1" s="10" t="s">
        <v>118</v>
      </c>
      <c r="F1" s="10" t="s">
        <v>550</v>
      </c>
    </row>
    <row r="2" customFormat="false" ht="15" hidden="false" customHeight="true" outlineLevel="0" collapsed="false">
      <c r="A2" s="65" t="s">
        <v>467</v>
      </c>
      <c r="B2" s="65" t="s">
        <v>262</v>
      </c>
      <c r="C2" s="65" t="n">
        <v>0.22</v>
      </c>
      <c r="D2" s="66" t="str">
        <f aca="false">IFERROR(INDEX(المكونات!$B$2:$B$500,MATCH($B2,المكونات!$A$2:$A$500,0)),"")</f>
        <v>كجم</v>
      </c>
      <c r="E2" s="67" t="n">
        <f aca="false">IFERROR(INDEX(المكونات!$C$2:$C$500,MATCH($B2,المكونات!$A$2:$A$500,0)),"")</f>
        <v>22</v>
      </c>
      <c r="F2" s="68" t="n">
        <f aca="false">IFERROR($C2*$E2,"")</f>
        <v>4.84</v>
      </c>
    </row>
    <row r="3" customFormat="false" ht="15" hidden="false" customHeight="true" outlineLevel="0" collapsed="false">
      <c r="A3" s="65" t="s">
        <v>467</v>
      </c>
      <c r="B3" s="65" t="s">
        <v>250</v>
      </c>
      <c r="C3" s="65" t="n">
        <v>0.04</v>
      </c>
      <c r="D3" s="66" t="str">
        <f aca="false">IFERROR(INDEX(المكونات!$B$2:$B$500,MATCH($B3,المكونات!$A$2:$A$500,0)),"")</f>
        <v>كجم</v>
      </c>
      <c r="E3" s="67" t="n">
        <f aca="false">IFERROR(INDEX(المكونات!$C$2:$C$500,MATCH($B3,المكونات!$A$2:$A$500,0)),"")</f>
        <v>32</v>
      </c>
      <c r="F3" s="68" t="n">
        <f aca="false">IFERROR($C3*$E3,"")</f>
        <v>1.28</v>
      </c>
    </row>
    <row r="4" customFormat="false" ht="15" hidden="false" customHeight="true" outlineLevel="0" collapsed="false">
      <c r="A4" s="65" t="s">
        <v>467</v>
      </c>
      <c r="B4" s="65" t="s">
        <v>260</v>
      </c>
      <c r="C4" s="65" t="n">
        <v>0.03</v>
      </c>
      <c r="D4" s="66" t="str">
        <f aca="false">IFERROR(INDEX(المكونات!$B$2:$B$500,MATCH($B4,المكونات!$A$2:$A$500,0)),"")</f>
        <v>كجم</v>
      </c>
      <c r="E4" s="67" t="n">
        <f aca="false">IFERROR(INDEX(المكونات!$C$2:$C$500,MATCH($B4,المكونات!$A$2:$A$500,0)),"")</f>
        <v>21</v>
      </c>
      <c r="F4" s="68" t="n">
        <f aca="false">IFERROR($C4*$E4,"")</f>
        <v>0.63</v>
      </c>
    </row>
    <row r="5" customFormat="false" ht="15" hidden="false" customHeight="true" outlineLevel="0" collapsed="false">
      <c r="A5" s="65" t="s">
        <v>467</v>
      </c>
      <c r="B5" s="65" t="s">
        <v>284</v>
      </c>
      <c r="C5" s="65" t="n">
        <v>0.02</v>
      </c>
      <c r="D5" s="66" t="str">
        <f aca="false">IFERROR(INDEX(المكونات!$B$2:$B$500,MATCH($B5,المكونات!$A$2:$A$500,0)),"")</f>
        <v>كجم</v>
      </c>
      <c r="E5" s="67" t="n">
        <f aca="false">IFERROR(INDEX(المكونات!$C$2:$C$500,MATCH($B5,المكونات!$A$2:$A$500,0)),"")</f>
        <v>27</v>
      </c>
      <c r="F5" s="68" t="n">
        <f aca="false">IFERROR($C5*$E5,"")</f>
        <v>0.54</v>
      </c>
    </row>
    <row r="6" customFormat="false" ht="15" hidden="false" customHeight="true" outlineLevel="0" collapsed="false">
      <c r="A6" s="65" t="s">
        <v>467</v>
      </c>
      <c r="B6" s="65" t="s">
        <v>227</v>
      </c>
      <c r="C6" s="65" t="n">
        <v>0.02</v>
      </c>
      <c r="D6" s="66" t="str">
        <f aca="false">IFERROR(INDEX(المكونات!$B$2:$B$500,MATCH($B6,المكونات!$A$2:$A$500,0)),"")</f>
        <v>كجم</v>
      </c>
      <c r="E6" s="67" t="n">
        <f aca="false">IFERROR(INDEX(المكونات!$C$2:$C$500,MATCH($B6,المكونات!$A$2:$A$500,0)),"")</f>
        <v>95</v>
      </c>
      <c r="F6" s="68" t="n">
        <f aca="false">IFERROR($C6*$E6,"")</f>
        <v>1.9</v>
      </c>
    </row>
    <row r="7" customFormat="false" ht="15" hidden="false" customHeight="true" outlineLevel="0" collapsed="false">
      <c r="A7" s="65" t="s">
        <v>467</v>
      </c>
      <c r="B7" s="65" t="s">
        <v>172</v>
      </c>
      <c r="C7" s="65" t="n">
        <v>1</v>
      </c>
      <c r="D7" s="66" t="str">
        <f aca="false">IFERROR(INDEX(المكونات!$B$2:$B$500,MATCH($B7,المكونات!$A$2:$A$500,0)),"")</f>
        <v>قطعة</v>
      </c>
      <c r="E7" s="67" t="n">
        <f aca="false">IFERROR(INDEX(المكونات!$C$2:$C$500,MATCH($B7,المكونات!$A$2:$A$500,0)),"")</f>
        <v>20</v>
      </c>
      <c r="F7" s="68" t="n">
        <f aca="false">IFERROR($C7*$E7,"")</f>
        <v>20</v>
      </c>
    </row>
    <row r="8" customFormat="false" ht="15" hidden="false" customHeight="true" outlineLevel="0" collapsed="false">
      <c r="A8" s="65" t="s">
        <v>467</v>
      </c>
      <c r="B8" s="65" t="s">
        <v>270</v>
      </c>
      <c r="C8" s="65" t="n">
        <v>1</v>
      </c>
      <c r="D8" s="66" t="str">
        <f aca="false">IFERROR(INDEX(المكونات!$B$2:$B$500,MATCH($B8,المكونات!$A$2:$A$500,0)),"")</f>
        <v>قطعة</v>
      </c>
      <c r="E8" s="67" t="n">
        <f aca="false">IFERROR(INDEX(المكونات!$C$2:$C$500,MATCH($B8,المكونات!$A$2:$A$500,0)),"")</f>
        <v>4.5</v>
      </c>
      <c r="F8" s="68" t="n">
        <f aca="false">IFERROR($C8*$E8,"")</f>
        <v>4.5</v>
      </c>
    </row>
    <row r="9" customFormat="false" ht="15" hidden="false" customHeight="true" outlineLevel="0" collapsed="false">
      <c r="A9" s="65" t="s">
        <v>467</v>
      </c>
      <c r="B9" s="65" t="s">
        <v>290</v>
      </c>
      <c r="C9" s="65" t="n">
        <v>2</v>
      </c>
      <c r="D9" s="66" t="str">
        <f aca="false">IFERROR(INDEX(المكونات!$B$2:$B$500,MATCH($B9,المكونات!$A$2:$A$500,0)),"")</f>
        <v>قطعة</v>
      </c>
      <c r="E9" s="67" t="n">
        <f aca="false">IFERROR(INDEX(المكونات!$C$2:$C$500,MATCH($B9,المكونات!$A$2:$A$500,0)),"")</f>
        <v>0.3</v>
      </c>
      <c r="F9" s="68" t="n">
        <f aca="false">IFERROR($C9*$E9,"")</f>
        <v>0.6</v>
      </c>
    </row>
    <row r="10" customFormat="false" ht="15" hidden="false" customHeight="true" outlineLevel="0" collapsed="false">
      <c r="A10" s="65" t="s">
        <v>467</v>
      </c>
      <c r="B10" s="65" t="s">
        <v>319</v>
      </c>
      <c r="C10" s="65" t="n">
        <v>1</v>
      </c>
      <c r="D10" s="66" t="str">
        <f aca="false">IFERROR(INDEX(المكونات!$B$2:$B$500,MATCH($B10,المكونات!$A$2:$A$500,0)),"")</f>
        <v>قطعة (ورقة)</v>
      </c>
      <c r="E10" s="67" t="n">
        <f aca="false">IFERROR(INDEX(المكونات!$C$2:$C$500,MATCH($B10,المكونات!$A$2:$A$500,0)),"")</f>
        <v>0.3665</v>
      </c>
      <c r="F10" s="68" t="n">
        <f aca="false">IFERROR($C10*$E10,"")</f>
        <v>0.3665</v>
      </c>
    </row>
    <row r="11" customFormat="false" ht="15" hidden="false" customHeight="true" outlineLevel="0" collapsed="false">
      <c r="A11" s="65" t="s">
        <v>467</v>
      </c>
      <c r="B11" s="65" t="s">
        <v>133</v>
      </c>
      <c r="C11" s="65" t="n">
        <v>1</v>
      </c>
      <c r="D11" s="66" t="str">
        <f aca="false">IFERROR(INDEX(المكونات!$B$2:$B$500,MATCH($B11,المكونات!$A$2:$A$500,0)),"")</f>
        <v>قطعة (كيس)</v>
      </c>
      <c r="E11" s="67" t="n">
        <f aca="false">IFERROR(INDEX(المكونات!$C$2:$C$500,MATCH($B11,المكونات!$A$2:$A$500,0)),"")</f>
        <v>1.4</v>
      </c>
      <c r="F11" s="68" t="n">
        <f aca="false">IFERROR($C11*$E11,"")</f>
        <v>1.4</v>
      </c>
    </row>
    <row r="12" customFormat="false" ht="15" hidden="false" customHeight="true" outlineLevel="0" collapsed="false">
      <c r="A12" s="65" t="s">
        <v>467</v>
      </c>
      <c r="B12" s="65" t="s">
        <v>293</v>
      </c>
      <c r="C12" s="65" t="n">
        <v>1</v>
      </c>
      <c r="D12" s="66" t="str">
        <f aca="false">IFERROR(INDEX(المكونات!$B$2:$B$500,MATCH($B12,المكونات!$A$2:$A$500,0)),"")</f>
        <v>قطعة</v>
      </c>
      <c r="E12" s="67" t="n">
        <f aca="false">IFERROR(INDEX(المكونات!$C$2:$C$500,MATCH($B12,المكونات!$A$2:$A$500,0)),"")</f>
        <v>0.5</v>
      </c>
      <c r="F12" s="68" t="n">
        <f aca="false">IFERROR($C12*$E12,"")</f>
        <v>0.5</v>
      </c>
    </row>
    <row r="13" customFormat="false" ht="15" hidden="false" customHeight="true" outlineLevel="0" collapsed="false">
      <c r="A13" s="65" t="s">
        <v>467</v>
      </c>
      <c r="B13" s="65" t="s">
        <v>211</v>
      </c>
      <c r="C13" s="65" t="n">
        <v>2</v>
      </c>
      <c r="D13" s="66" t="str">
        <f aca="false">IFERROR(INDEX(المكونات!$B$2:$B$500,MATCH($B13,المكونات!$A$2:$A$500,0)),"")</f>
        <v>قطعة (جلفز)</v>
      </c>
      <c r="E13" s="67" t="n">
        <f aca="false">IFERROR(INDEX(المكونات!$C$2:$C$500,MATCH($B13,المكونات!$A$2:$A$500,0)),"")</f>
        <v>0.18</v>
      </c>
      <c r="F13" s="68" t="n">
        <f aca="false">IFERROR($C13*$E13,"")</f>
        <v>0.36</v>
      </c>
    </row>
    <row r="14" customFormat="false" ht="15" hidden="false" customHeight="true" outlineLevel="0" collapsed="false">
      <c r="A14" s="65" t="s">
        <v>467</v>
      </c>
      <c r="B14" s="65" t="s">
        <v>322</v>
      </c>
      <c r="C14" s="65" t="n">
        <v>1</v>
      </c>
      <c r="D14" s="66" t="str">
        <f aca="false">IFERROR(INDEX(المكونات!$B$2:$B$500,MATCH($B14,المكونات!$A$2:$A$500,0)),"")</f>
        <v>قطعة (كيس)</v>
      </c>
      <c r="E14" s="67" t="n">
        <f aca="false">IFERROR(INDEX(المكونات!$C$2:$C$500,MATCH($B14,المكونات!$A$2:$A$500,0)),"")</f>
        <v>1</v>
      </c>
      <c r="F14" s="68" t="n">
        <f aca="false">IFERROR($C14*$E14,"")</f>
        <v>1</v>
      </c>
    </row>
    <row r="15" customFormat="false" ht="15" hidden="false" customHeight="true" outlineLevel="0" collapsed="false">
      <c r="A15" s="65" t="s">
        <v>412</v>
      </c>
      <c r="B15" s="65" t="s">
        <v>262</v>
      </c>
      <c r="C15" s="65" t="n">
        <v>0.3</v>
      </c>
      <c r="D15" s="66" t="str">
        <f aca="false">IFERROR(INDEX(المكونات!$B$2:$B$500,MATCH($B15,المكونات!$A$2:$A$500,0)),"")</f>
        <v>كجم</v>
      </c>
      <c r="E15" s="67" t="n">
        <f aca="false">IFERROR(INDEX(المكونات!$C$2:$C$500,MATCH($B15,المكونات!$A$2:$A$500,0)),"")</f>
        <v>22</v>
      </c>
      <c r="F15" s="68" t="n">
        <f aca="false">IFERROR($C15*$E15,"")</f>
        <v>6.6</v>
      </c>
    </row>
    <row r="16" customFormat="false" ht="15" hidden="false" customHeight="true" outlineLevel="0" collapsed="false">
      <c r="A16" s="65" t="s">
        <v>412</v>
      </c>
      <c r="B16" s="65" t="s">
        <v>250</v>
      </c>
      <c r="C16" s="65" t="n">
        <v>0.06</v>
      </c>
      <c r="D16" s="66" t="str">
        <f aca="false">IFERROR(INDEX(المكونات!$B$2:$B$500,MATCH($B16,المكونات!$A$2:$A$500,0)),"")</f>
        <v>كجم</v>
      </c>
      <c r="E16" s="67" t="n">
        <f aca="false">IFERROR(INDEX(المكونات!$C$2:$C$500,MATCH($B16,المكونات!$A$2:$A$500,0)),"")</f>
        <v>32</v>
      </c>
      <c r="F16" s="68" t="n">
        <f aca="false">IFERROR($C16*$E16,"")</f>
        <v>1.92</v>
      </c>
    </row>
    <row r="17" customFormat="false" ht="15" hidden="false" customHeight="true" outlineLevel="0" collapsed="false">
      <c r="A17" s="65" t="s">
        <v>412</v>
      </c>
      <c r="B17" s="65" t="s">
        <v>260</v>
      </c>
      <c r="C17" s="65" t="n">
        <v>0.045</v>
      </c>
      <c r="D17" s="66" t="str">
        <f aca="false">IFERROR(INDEX(المكونات!$B$2:$B$500,MATCH($B17,المكونات!$A$2:$A$500,0)),"")</f>
        <v>كجم</v>
      </c>
      <c r="E17" s="67" t="n">
        <f aca="false">IFERROR(INDEX(المكونات!$C$2:$C$500,MATCH($B17,المكونات!$A$2:$A$500,0)),"")</f>
        <v>21</v>
      </c>
      <c r="F17" s="68" t="n">
        <f aca="false">IFERROR($C17*$E17,"")</f>
        <v>0.945</v>
      </c>
    </row>
    <row r="18" customFormat="false" ht="15" hidden="false" customHeight="true" outlineLevel="0" collapsed="false">
      <c r="A18" s="65" t="s">
        <v>412</v>
      </c>
      <c r="B18" s="65" t="s">
        <v>284</v>
      </c>
      <c r="C18" s="65" t="n">
        <v>0.03</v>
      </c>
      <c r="D18" s="66" t="str">
        <f aca="false">IFERROR(INDEX(المكونات!$B$2:$B$500,MATCH($B18,المكونات!$A$2:$A$500,0)),"")</f>
        <v>كجم</v>
      </c>
      <c r="E18" s="67" t="n">
        <f aca="false">IFERROR(INDEX(المكونات!$C$2:$C$500,MATCH($B18,المكونات!$A$2:$A$500,0)),"")</f>
        <v>27</v>
      </c>
      <c r="F18" s="68" t="n">
        <f aca="false">IFERROR($C18*$E18,"")</f>
        <v>0.81</v>
      </c>
    </row>
    <row r="19" customFormat="false" ht="15" hidden="false" customHeight="true" outlineLevel="0" collapsed="false">
      <c r="A19" s="65" t="s">
        <v>412</v>
      </c>
      <c r="B19" s="65" t="s">
        <v>227</v>
      </c>
      <c r="C19" s="65" t="n">
        <v>0.03</v>
      </c>
      <c r="D19" s="66" t="str">
        <f aca="false">IFERROR(INDEX(المكونات!$B$2:$B$500,MATCH($B19,المكونات!$A$2:$A$500,0)),"")</f>
        <v>كجم</v>
      </c>
      <c r="E19" s="67" t="n">
        <f aca="false">IFERROR(INDEX(المكونات!$C$2:$C$500,MATCH($B19,المكونات!$A$2:$A$500,0)),"")</f>
        <v>95</v>
      </c>
      <c r="F19" s="68" t="n">
        <f aca="false">IFERROR($C19*$E19,"")</f>
        <v>2.85</v>
      </c>
    </row>
    <row r="20" customFormat="false" ht="15" hidden="false" customHeight="true" outlineLevel="0" collapsed="false">
      <c r="A20" s="65" t="s">
        <v>412</v>
      </c>
      <c r="B20" s="65" t="s">
        <v>174</v>
      </c>
      <c r="C20" s="65" t="n">
        <v>1</v>
      </c>
      <c r="D20" s="66" t="str">
        <f aca="false">IFERROR(INDEX(المكونات!$B$2:$B$500,MATCH($B20,المكونات!$A$2:$A$500,0)),"")</f>
        <v>قطعة</v>
      </c>
      <c r="E20" s="67" t="n">
        <f aca="false">IFERROR(INDEX(المكونات!$C$2:$C$500,MATCH($B20,المكونات!$A$2:$A$500,0)),"")</f>
        <v>27.1395</v>
      </c>
      <c r="F20" s="68" t="n">
        <f aca="false">IFERROR($C20*$E20,"")</f>
        <v>27.1395</v>
      </c>
    </row>
    <row r="21" customFormat="false" ht="15" hidden="false" customHeight="true" outlineLevel="0" collapsed="false">
      <c r="A21" s="65" t="s">
        <v>412</v>
      </c>
      <c r="B21" s="65" t="s">
        <v>268</v>
      </c>
      <c r="C21" s="65" t="n">
        <v>1</v>
      </c>
      <c r="D21" s="66" t="str">
        <f aca="false">IFERROR(INDEX(المكونات!$B$2:$B$500,MATCH($B21,المكونات!$A$2:$A$500,0)),"")</f>
        <v>قطعة</v>
      </c>
      <c r="E21" s="67" t="n">
        <f aca="false">IFERROR(INDEX(المكونات!$C$2:$C$500,MATCH($B21,المكونات!$A$2:$A$500,0)),"")</f>
        <v>5.5</v>
      </c>
      <c r="F21" s="68" t="n">
        <f aca="false">IFERROR($C21*$E21,"")</f>
        <v>5.5</v>
      </c>
    </row>
    <row r="22" customFormat="false" ht="15" hidden="false" customHeight="true" outlineLevel="0" collapsed="false">
      <c r="A22" s="65" t="s">
        <v>412</v>
      </c>
      <c r="B22" s="65" t="s">
        <v>290</v>
      </c>
      <c r="C22" s="65" t="n">
        <v>3</v>
      </c>
      <c r="D22" s="66" t="str">
        <f aca="false">IFERROR(INDEX(المكونات!$B$2:$B$500,MATCH($B22,المكونات!$A$2:$A$500,0)),"")</f>
        <v>قطعة</v>
      </c>
      <c r="E22" s="67" t="n">
        <f aca="false">IFERROR(INDEX(المكونات!$C$2:$C$500,MATCH($B22,المكونات!$A$2:$A$500,0)),"")</f>
        <v>0.3</v>
      </c>
      <c r="F22" s="68" t="n">
        <f aca="false">IFERROR($C22*$E22,"")</f>
        <v>0.9</v>
      </c>
    </row>
    <row r="23" customFormat="false" ht="15" hidden="false" customHeight="true" outlineLevel="0" collapsed="false">
      <c r="A23" s="65" t="s">
        <v>412</v>
      </c>
      <c r="B23" s="65" t="s">
        <v>319</v>
      </c>
      <c r="C23" s="65" t="n">
        <v>1</v>
      </c>
      <c r="D23" s="66" t="str">
        <f aca="false">IFERROR(INDEX(المكونات!$B$2:$B$500,MATCH($B23,المكونات!$A$2:$A$500,0)),"")</f>
        <v>قطعة (ورقة)</v>
      </c>
      <c r="E23" s="67" t="n">
        <f aca="false">IFERROR(INDEX(المكونات!$C$2:$C$500,MATCH($B23,المكونات!$A$2:$A$500,0)),"")</f>
        <v>0.3665</v>
      </c>
      <c r="F23" s="68" t="n">
        <f aca="false">IFERROR($C23*$E23,"")</f>
        <v>0.3665</v>
      </c>
    </row>
    <row r="24" customFormat="false" ht="15" hidden="false" customHeight="true" outlineLevel="0" collapsed="false">
      <c r="A24" s="65" t="s">
        <v>412</v>
      </c>
      <c r="B24" s="65" t="s">
        <v>133</v>
      </c>
      <c r="C24" s="65" t="n">
        <v>1</v>
      </c>
      <c r="D24" s="66" t="str">
        <f aca="false">IFERROR(INDEX(المكونات!$B$2:$B$500,MATCH($B24,المكونات!$A$2:$A$500,0)),"")</f>
        <v>قطعة (كيس)</v>
      </c>
      <c r="E24" s="67" t="n">
        <f aca="false">IFERROR(INDEX(المكونات!$C$2:$C$500,MATCH($B24,المكونات!$A$2:$A$500,0)),"")</f>
        <v>1.4</v>
      </c>
      <c r="F24" s="68" t="n">
        <f aca="false">IFERROR($C24*$E24,"")</f>
        <v>1.4</v>
      </c>
    </row>
    <row r="25" customFormat="false" ht="15" hidden="false" customHeight="true" outlineLevel="0" collapsed="false">
      <c r="A25" s="65" t="s">
        <v>412</v>
      </c>
      <c r="B25" s="65" t="s">
        <v>293</v>
      </c>
      <c r="C25" s="65" t="n">
        <v>1</v>
      </c>
      <c r="D25" s="66" t="str">
        <f aca="false">IFERROR(INDEX(المكونات!$B$2:$B$500,MATCH($B25,المكونات!$A$2:$A$500,0)),"")</f>
        <v>قطعة</v>
      </c>
      <c r="E25" s="67" t="n">
        <f aca="false">IFERROR(INDEX(المكونات!$C$2:$C$500,MATCH($B25,المكونات!$A$2:$A$500,0)),"")</f>
        <v>0.5</v>
      </c>
      <c r="F25" s="68" t="n">
        <f aca="false">IFERROR($C25*$E25,"")</f>
        <v>0.5</v>
      </c>
    </row>
    <row r="26" customFormat="false" ht="15" hidden="false" customHeight="true" outlineLevel="0" collapsed="false">
      <c r="A26" s="65" t="s">
        <v>412</v>
      </c>
      <c r="B26" s="65" t="s">
        <v>211</v>
      </c>
      <c r="C26" s="65" t="n">
        <v>2</v>
      </c>
      <c r="D26" s="66" t="str">
        <f aca="false">IFERROR(INDEX(المكونات!$B$2:$B$500,MATCH($B26,المكونات!$A$2:$A$500,0)),"")</f>
        <v>قطعة (جلفز)</v>
      </c>
      <c r="E26" s="67" t="n">
        <f aca="false">IFERROR(INDEX(المكونات!$C$2:$C$500,MATCH($B26,المكونات!$A$2:$A$500,0)),"")</f>
        <v>0.18</v>
      </c>
      <c r="F26" s="68" t="n">
        <f aca="false">IFERROR($C26*$E26,"")</f>
        <v>0.36</v>
      </c>
    </row>
    <row r="27" customFormat="false" ht="15" hidden="false" customHeight="true" outlineLevel="0" collapsed="false">
      <c r="A27" s="65" t="s">
        <v>412</v>
      </c>
      <c r="B27" s="65" t="s">
        <v>322</v>
      </c>
      <c r="C27" s="65" t="n">
        <v>1</v>
      </c>
      <c r="D27" s="66" t="str">
        <f aca="false">IFERROR(INDEX(المكونات!$B$2:$B$500,MATCH($B27,المكونات!$A$2:$A$500,0)),"")</f>
        <v>قطعة (كيس)</v>
      </c>
      <c r="E27" s="67" t="n">
        <f aca="false">IFERROR(INDEX(المكونات!$C$2:$C$500,MATCH($B27,المكونات!$A$2:$A$500,0)),"")</f>
        <v>1</v>
      </c>
      <c r="F27" s="68" t="n">
        <f aca="false">IFERROR($C27*$E27,"")</f>
        <v>1</v>
      </c>
    </row>
    <row r="28" customFormat="false" ht="15" hidden="false" customHeight="true" outlineLevel="0" collapsed="false">
      <c r="A28" s="65" t="s">
        <v>437</v>
      </c>
      <c r="B28" s="65" t="s">
        <v>262</v>
      </c>
      <c r="C28" s="65" t="n">
        <v>0.22</v>
      </c>
      <c r="D28" s="66" t="str">
        <f aca="false">IFERROR(INDEX(المكونات!$B$2:$B$500,MATCH($B28,المكونات!$A$2:$A$500,0)),"")</f>
        <v>كجم</v>
      </c>
      <c r="E28" s="67" t="n">
        <f aca="false">IFERROR(INDEX(المكونات!$C$2:$C$500,MATCH($B28,المكونات!$A$2:$A$500,0)),"")</f>
        <v>22</v>
      </c>
      <c r="F28" s="68" t="n">
        <f aca="false">IFERROR($C28*$E28,"")</f>
        <v>4.84</v>
      </c>
    </row>
    <row r="29" customFormat="false" ht="15" hidden="false" customHeight="true" outlineLevel="0" collapsed="false">
      <c r="A29" s="65" t="s">
        <v>437</v>
      </c>
      <c r="B29" s="65" t="s">
        <v>250</v>
      </c>
      <c r="C29" s="65" t="n">
        <v>0.04</v>
      </c>
      <c r="D29" s="66" t="str">
        <f aca="false">IFERROR(INDEX(المكونات!$B$2:$B$500,MATCH($B29,المكونات!$A$2:$A$500,0)),"")</f>
        <v>كجم</v>
      </c>
      <c r="E29" s="67" t="n">
        <f aca="false">IFERROR(INDEX(المكونات!$C$2:$C$500,MATCH($B29,المكونات!$A$2:$A$500,0)),"")</f>
        <v>32</v>
      </c>
      <c r="F29" s="68" t="n">
        <f aca="false">IFERROR($C29*$E29,"")</f>
        <v>1.28</v>
      </c>
    </row>
    <row r="30" customFormat="false" ht="15" hidden="false" customHeight="true" outlineLevel="0" collapsed="false">
      <c r="A30" s="65" t="s">
        <v>437</v>
      </c>
      <c r="B30" s="65" t="s">
        <v>260</v>
      </c>
      <c r="C30" s="65" t="n">
        <v>0.03</v>
      </c>
      <c r="D30" s="66" t="str">
        <f aca="false">IFERROR(INDEX(المكونات!$B$2:$B$500,MATCH($B30,المكونات!$A$2:$A$500,0)),"")</f>
        <v>كجم</v>
      </c>
      <c r="E30" s="67" t="n">
        <f aca="false">IFERROR(INDEX(المكونات!$C$2:$C$500,MATCH($B30,المكونات!$A$2:$A$500,0)),"")</f>
        <v>21</v>
      </c>
      <c r="F30" s="68" t="n">
        <f aca="false">IFERROR($C30*$E30,"")</f>
        <v>0.63</v>
      </c>
    </row>
    <row r="31" customFormat="false" ht="15" hidden="false" customHeight="true" outlineLevel="0" collapsed="false">
      <c r="A31" s="65" t="s">
        <v>437</v>
      </c>
      <c r="B31" s="65" t="s">
        <v>284</v>
      </c>
      <c r="C31" s="65" t="n">
        <v>0.02</v>
      </c>
      <c r="D31" s="66" t="str">
        <f aca="false">IFERROR(INDEX(المكونات!$B$2:$B$500,MATCH($B31,المكونات!$A$2:$A$500,0)),"")</f>
        <v>كجم</v>
      </c>
      <c r="E31" s="67" t="n">
        <f aca="false">IFERROR(INDEX(المكونات!$C$2:$C$500,MATCH($B31,المكونات!$A$2:$A$500,0)),"")</f>
        <v>27</v>
      </c>
      <c r="F31" s="68" t="n">
        <f aca="false">IFERROR($C31*$E31,"")</f>
        <v>0.54</v>
      </c>
    </row>
    <row r="32" customFormat="false" ht="15" hidden="false" customHeight="true" outlineLevel="0" collapsed="false">
      <c r="A32" s="65" t="s">
        <v>437</v>
      </c>
      <c r="B32" s="65" t="s">
        <v>227</v>
      </c>
      <c r="C32" s="65" t="n">
        <v>0.02</v>
      </c>
      <c r="D32" s="66" t="str">
        <f aca="false">IFERROR(INDEX(المكونات!$B$2:$B$500,MATCH($B32,المكونات!$A$2:$A$500,0)),"")</f>
        <v>كجم</v>
      </c>
      <c r="E32" s="67" t="n">
        <f aca="false">IFERROR(INDEX(المكونات!$C$2:$C$500,MATCH($B32,المكونات!$A$2:$A$500,0)),"")</f>
        <v>95</v>
      </c>
      <c r="F32" s="68" t="n">
        <f aca="false">IFERROR($C32*$E32,"")</f>
        <v>1.9</v>
      </c>
    </row>
    <row r="33" customFormat="false" ht="15" hidden="false" customHeight="true" outlineLevel="0" collapsed="false">
      <c r="A33" s="65" t="s">
        <v>437</v>
      </c>
      <c r="B33" s="65" t="s">
        <v>172</v>
      </c>
      <c r="C33" s="65" t="n">
        <v>1</v>
      </c>
      <c r="D33" s="66" t="str">
        <f aca="false">IFERROR(INDEX(المكونات!$B$2:$B$500,MATCH($B33,المكونات!$A$2:$A$500,0)),"")</f>
        <v>قطعة</v>
      </c>
      <c r="E33" s="67" t="n">
        <f aca="false">IFERROR(INDEX(المكونات!$C$2:$C$500,MATCH($B33,المكونات!$A$2:$A$500,0)),"")</f>
        <v>20</v>
      </c>
      <c r="F33" s="68" t="n">
        <f aca="false">IFERROR($C33*$E33,"")</f>
        <v>20</v>
      </c>
    </row>
    <row r="34" customFormat="false" ht="15" hidden="false" customHeight="true" outlineLevel="0" collapsed="false">
      <c r="A34" s="65" t="s">
        <v>437</v>
      </c>
      <c r="B34" s="65" t="s">
        <v>270</v>
      </c>
      <c r="C34" s="65" t="n">
        <v>1</v>
      </c>
      <c r="D34" s="66" t="str">
        <f aca="false">IFERROR(INDEX(المكونات!$B$2:$B$500,MATCH($B34,المكونات!$A$2:$A$500,0)),"")</f>
        <v>قطعة</v>
      </c>
      <c r="E34" s="67" t="n">
        <f aca="false">IFERROR(INDEX(المكونات!$C$2:$C$500,MATCH($B34,المكونات!$A$2:$A$500,0)),"")</f>
        <v>4.5</v>
      </c>
      <c r="F34" s="68" t="n">
        <f aca="false">IFERROR($C34*$E34,"")</f>
        <v>4.5</v>
      </c>
    </row>
    <row r="35" customFormat="false" ht="15" hidden="false" customHeight="true" outlineLevel="0" collapsed="false">
      <c r="A35" s="65" t="s">
        <v>437</v>
      </c>
      <c r="B35" s="65" t="s">
        <v>290</v>
      </c>
      <c r="C35" s="65" t="n">
        <v>2</v>
      </c>
      <c r="D35" s="66" t="str">
        <f aca="false">IFERROR(INDEX(المكونات!$B$2:$B$500,MATCH($B35,المكونات!$A$2:$A$500,0)),"")</f>
        <v>قطعة</v>
      </c>
      <c r="E35" s="67" t="n">
        <f aca="false">IFERROR(INDEX(المكونات!$C$2:$C$500,MATCH($B35,المكونات!$A$2:$A$500,0)),"")</f>
        <v>0.3</v>
      </c>
      <c r="F35" s="68" t="n">
        <f aca="false">IFERROR($C35*$E35,"")</f>
        <v>0.6</v>
      </c>
    </row>
    <row r="36" customFormat="false" ht="15" hidden="false" customHeight="true" outlineLevel="0" collapsed="false">
      <c r="A36" s="65" t="s">
        <v>437</v>
      </c>
      <c r="B36" s="65" t="s">
        <v>319</v>
      </c>
      <c r="C36" s="65" t="n">
        <v>1</v>
      </c>
      <c r="D36" s="66" t="str">
        <f aca="false">IFERROR(INDEX(المكونات!$B$2:$B$500,MATCH($B36,المكونات!$A$2:$A$500,0)),"")</f>
        <v>قطعة (ورقة)</v>
      </c>
      <c r="E36" s="67" t="n">
        <f aca="false">IFERROR(INDEX(المكونات!$C$2:$C$500,MATCH($B36,المكونات!$A$2:$A$500,0)),"")</f>
        <v>0.3665</v>
      </c>
      <c r="F36" s="68" t="n">
        <f aca="false">IFERROR($C36*$E36,"")</f>
        <v>0.3665</v>
      </c>
    </row>
    <row r="37" customFormat="false" ht="15" hidden="false" customHeight="true" outlineLevel="0" collapsed="false">
      <c r="A37" s="65" t="s">
        <v>437</v>
      </c>
      <c r="B37" s="65" t="s">
        <v>133</v>
      </c>
      <c r="C37" s="65" t="n">
        <v>1</v>
      </c>
      <c r="D37" s="66" t="str">
        <f aca="false">IFERROR(INDEX(المكونات!$B$2:$B$500,MATCH($B37,المكونات!$A$2:$A$500,0)),"")</f>
        <v>قطعة (كيس)</v>
      </c>
      <c r="E37" s="67" t="n">
        <f aca="false">IFERROR(INDEX(المكونات!$C$2:$C$500,MATCH($B37,المكونات!$A$2:$A$500,0)),"")</f>
        <v>1.4</v>
      </c>
      <c r="F37" s="68" t="n">
        <f aca="false">IFERROR($C37*$E37,"")</f>
        <v>1.4</v>
      </c>
    </row>
    <row r="38" customFormat="false" ht="15" hidden="false" customHeight="true" outlineLevel="0" collapsed="false">
      <c r="A38" s="65" t="s">
        <v>437</v>
      </c>
      <c r="B38" s="65" t="s">
        <v>293</v>
      </c>
      <c r="C38" s="65" t="n">
        <v>1</v>
      </c>
      <c r="D38" s="66" t="str">
        <f aca="false">IFERROR(INDEX(المكونات!$B$2:$B$500,MATCH($B38,المكونات!$A$2:$A$500,0)),"")</f>
        <v>قطعة</v>
      </c>
      <c r="E38" s="67" t="n">
        <f aca="false">IFERROR(INDEX(المكونات!$C$2:$C$500,MATCH($B38,المكونات!$A$2:$A$500,0)),"")</f>
        <v>0.5</v>
      </c>
      <c r="F38" s="68" t="n">
        <f aca="false">IFERROR($C38*$E38,"")</f>
        <v>0.5</v>
      </c>
    </row>
    <row r="39" customFormat="false" ht="15" hidden="false" customHeight="true" outlineLevel="0" collapsed="false">
      <c r="A39" s="65" t="s">
        <v>437</v>
      </c>
      <c r="B39" s="65" t="s">
        <v>211</v>
      </c>
      <c r="C39" s="65" t="n">
        <v>2</v>
      </c>
      <c r="D39" s="66" t="str">
        <f aca="false">IFERROR(INDEX(المكونات!$B$2:$B$500,MATCH($B39,المكونات!$A$2:$A$500,0)),"")</f>
        <v>قطعة (جلفز)</v>
      </c>
      <c r="E39" s="67" t="n">
        <f aca="false">IFERROR(INDEX(المكونات!$C$2:$C$500,MATCH($B39,المكونات!$A$2:$A$500,0)),"")</f>
        <v>0.18</v>
      </c>
      <c r="F39" s="68" t="n">
        <f aca="false">IFERROR($C39*$E39,"")</f>
        <v>0.36</v>
      </c>
    </row>
    <row r="40" customFormat="false" ht="15" hidden="false" customHeight="true" outlineLevel="0" collapsed="false">
      <c r="A40" s="65" t="s">
        <v>437</v>
      </c>
      <c r="B40" s="65" t="s">
        <v>322</v>
      </c>
      <c r="C40" s="65" t="n">
        <v>1</v>
      </c>
      <c r="D40" s="66" t="str">
        <f aca="false">IFERROR(INDEX(المكونات!$B$2:$B$500,MATCH($B40,المكونات!$A$2:$A$500,0)),"")</f>
        <v>قطعة (كيس)</v>
      </c>
      <c r="E40" s="67" t="n">
        <f aca="false">IFERROR(INDEX(المكونات!$C$2:$C$500,MATCH($B40,المكونات!$A$2:$A$500,0)),"")</f>
        <v>1</v>
      </c>
      <c r="F40" s="68" t="n">
        <f aca="false">IFERROR($C40*$E40,"")</f>
        <v>1</v>
      </c>
    </row>
    <row r="41" customFormat="false" ht="15" hidden="false" customHeight="true" outlineLevel="0" collapsed="false">
      <c r="A41" s="65" t="s">
        <v>437</v>
      </c>
      <c r="B41" s="65" t="s">
        <v>142</v>
      </c>
      <c r="C41" s="65" t="n">
        <v>1</v>
      </c>
      <c r="D41" s="66" t="str">
        <f aca="false">IFERROR(INDEX(المكونات!$B$2:$B$500,MATCH($B41,المكونات!$A$2:$A$500,0)),"")</f>
        <v>قطعة</v>
      </c>
      <c r="E41" s="67" t="n">
        <f aca="false">IFERROR(INDEX(المكونات!$C$2:$C$500,MATCH($B41,المكونات!$A$2:$A$500,0)),"")</f>
        <v>35</v>
      </c>
      <c r="F41" s="68" t="n">
        <f aca="false">IFERROR($C41*$E41,"")</f>
        <v>35</v>
      </c>
    </row>
    <row r="42" customFormat="false" ht="15" hidden="false" customHeight="true" outlineLevel="0" collapsed="false">
      <c r="A42" s="65" t="s">
        <v>456</v>
      </c>
      <c r="B42" s="65" t="s">
        <v>262</v>
      </c>
      <c r="C42" s="65" t="n">
        <v>0.3</v>
      </c>
      <c r="D42" s="66" t="str">
        <f aca="false">IFERROR(INDEX(المكونات!$B$2:$B$500,MATCH($B42,المكونات!$A$2:$A$500,0)),"")</f>
        <v>كجم</v>
      </c>
      <c r="E42" s="67" t="n">
        <f aca="false">IFERROR(INDEX(المكونات!$C$2:$C$500,MATCH($B42,المكونات!$A$2:$A$500,0)),"")</f>
        <v>22</v>
      </c>
      <c r="F42" s="68" t="n">
        <f aca="false">IFERROR($C42*$E42,"")</f>
        <v>6.6</v>
      </c>
    </row>
    <row r="43" customFormat="false" ht="15" hidden="false" customHeight="true" outlineLevel="0" collapsed="false">
      <c r="A43" s="65" t="s">
        <v>456</v>
      </c>
      <c r="B43" s="65" t="s">
        <v>250</v>
      </c>
      <c r="C43" s="65" t="n">
        <v>0.06</v>
      </c>
      <c r="D43" s="66" t="str">
        <f aca="false">IFERROR(INDEX(المكونات!$B$2:$B$500,MATCH($B43,المكونات!$A$2:$A$500,0)),"")</f>
        <v>كجم</v>
      </c>
      <c r="E43" s="67" t="n">
        <f aca="false">IFERROR(INDEX(المكونات!$C$2:$C$500,MATCH($B43,المكونات!$A$2:$A$500,0)),"")</f>
        <v>32</v>
      </c>
      <c r="F43" s="68" t="n">
        <f aca="false">IFERROR($C43*$E43,"")</f>
        <v>1.92</v>
      </c>
    </row>
    <row r="44" customFormat="false" ht="15" hidden="false" customHeight="true" outlineLevel="0" collapsed="false">
      <c r="A44" s="65" t="s">
        <v>456</v>
      </c>
      <c r="B44" s="65" t="s">
        <v>260</v>
      </c>
      <c r="C44" s="65" t="n">
        <v>0.045</v>
      </c>
      <c r="D44" s="66" t="str">
        <f aca="false">IFERROR(INDEX(المكونات!$B$2:$B$500,MATCH($B44,المكونات!$A$2:$A$500,0)),"")</f>
        <v>كجم</v>
      </c>
      <c r="E44" s="67" t="n">
        <f aca="false">IFERROR(INDEX(المكونات!$C$2:$C$500,MATCH($B44,المكونات!$A$2:$A$500,0)),"")</f>
        <v>21</v>
      </c>
      <c r="F44" s="68" t="n">
        <f aca="false">IFERROR($C44*$E44,"")</f>
        <v>0.945</v>
      </c>
    </row>
    <row r="45" customFormat="false" ht="15" hidden="false" customHeight="true" outlineLevel="0" collapsed="false">
      <c r="A45" s="65" t="s">
        <v>456</v>
      </c>
      <c r="B45" s="65" t="s">
        <v>284</v>
      </c>
      <c r="C45" s="65" t="n">
        <v>0.03</v>
      </c>
      <c r="D45" s="66" t="str">
        <f aca="false">IFERROR(INDEX(المكونات!$B$2:$B$500,MATCH($B45,المكونات!$A$2:$A$500,0)),"")</f>
        <v>كجم</v>
      </c>
      <c r="E45" s="67" t="n">
        <f aca="false">IFERROR(INDEX(المكونات!$C$2:$C$500,MATCH($B45,المكونات!$A$2:$A$500,0)),"")</f>
        <v>27</v>
      </c>
      <c r="F45" s="68" t="n">
        <f aca="false">IFERROR($C45*$E45,"")</f>
        <v>0.81</v>
      </c>
    </row>
    <row r="46" customFormat="false" ht="15" hidden="false" customHeight="true" outlineLevel="0" collapsed="false">
      <c r="A46" s="65" t="s">
        <v>456</v>
      </c>
      <c r="B46" s="65" t="s">
        <v>227</v>
      </c>
      <c r="C46" s="65" t="n">
        <v>0.03</v>
      </c>
      <c r="D46" s="66" t="str">
        <f aca="false">IFERROR(INDEX(المكونات!$B$2:$B$500,MATCH($B46,المكونات!$A$2:$A$500,0)),"")</f>
        <v>كجم</v>
      </c>
      <c r="E46" s="67" t="n">
        <f aca="false">IFERROR(INDEX(المكونات!$C$2:$C$500,MATCH($B46,المكونات!$A$2:$A$500,0)),"")</f>
        <v>95</v>
      </c>
      <c r="F46" s="68" t="n">
        <f aca="false">IFERROR($C46*$E46,"")</f>
        <v>2.85</v>
      </c>
    </row>
    <row r="47" customFormat="false" ht="15" hidden="false" customHeight="true" outlineLevel="0" collapsed="false">
      <c r="A47" s="65" t="s">
        <v>456</v>
      </c>
      <c r="B47" s="65" t="s">
        <v>174</v>
      </c>
      <c r="C47" s="65" t="n">
        <v>1</v>
      </c>
      <c r="D47" s="66" t="str">
        <f aca="false">IFERROR(INDEX(المكونات!$B$2:$B$500,MATCH($B47,المكونات!$A$2:$A$500,0)),"")</f>
        <v>قطعة</v>
      </c>
      <c r="E47" s="67" t="n">
        <f aca="false">IFERROR(INDEX(المكونات!$C$2:$C$500,MATCH($B47,المكونات!$A$2:$A$500,0)),"")</f>
        <v>27.1395</v>
      </c>
      <c r="F47" s="68" t="n">
        <f aca="false">IFERROR($C47*$E47,"")</f>
        <v>27.1395</v>
      </c>
    </row>
    <row r="48" customFormat="false" ht="15" hidden="false" customHeight="true" outlineLevel="0" collapsed="false">
      <c r="A48" s="65" t="s">
        <v>456</v>
      </c>
      <c r="B48" s="65" t="s">
        <v>268</v>
      </c>
      <c r="C48" s="65" t="n">
        <v>1</v>
      </c>
      <c r="D48" s="66" t="str">
        <f aca="false">IFERROR(INDEX(المكونات!$B$2:$B$500,MATCH($B48,المكونات!$A$2:$A$500,0)),"")</f>
        <v>قطعة</v>
      </c>
      <c r="E48" s="67" t="n">
        <f aca="false">IFERROR(INDEX(المكونات!$C$2:$C$500,MATCH($B48,المكونات!$A$2:$A$500,0)),"")</f>
        <v>5.5</v>
      </c>
      <c r="F48" s="68" t="n">
        <f aca="false">IFERROR($C48*$E48,"")</f>
        <v>5.5</v>
      </c>
    </row>
    <row r="49" customFormat="false" ht="15" hidden="false" customHeight="true" outlineLevel="0" collapsed="false">
      <c r="A49" s="65" t="s">
        <v>456</v>
      </c>
      <c r="B49" s="65" t="s">
        <v>290</v>
      </c>
      <c r="C49" s="65" t="n">
        <v>3</v>
      </c>
      <c r="D49" s="66" t="str">
        <f aca="false">IFERROR(INDEX(المكونات!$B$2:$B$500,MATCH($B49,المكونات!$A$2:$A$500,0)),"")</f>
        <v>قطعة</v>
      </c>
      <c r="E49" s="67" t="n">
        <f aca="false">IFERROR(INDEX(المكونات!$C$2:$C$500,MATCH($B49,المكونات!$A$2:$A$500,0)),"")</f>
        <v>0.3</v>
      </c>
      <c r="F49" s="68" t="n">
        <f aca="false">IFERROR($C49*$E49,"")</f>
        <v>0.9</v>
      </c>
    </row>
    <row r="50" customFormat="false" ht="15" hidden="false" customHeight="true" outlineLevel="0" collapsed="false">
      <c r="A50" s="65" t="s">
        <v>456</v>
      </c>
      <c r="B50" s="65" t="s">
        <v>319</v>
      </c>
      <c r="C50" s="65" t="n">
        <v>1</v>
      </c>
      <c r="D50" s="66" t="str">
        <f aca="false">IFERROR(INDEX(المكونات!$B$2:$B$500,MATCH($B50,المكونات!$A$2:$A$500,0)),"")</f>
        <v>قطعة (ورقة)</v>
      </c>
      <c r="E50" s="67" t="n">
        <f aca="false">IFERROR(INDEX(المكونات!$C$2:$C$500,MATCH($B50,المكونات!$A$2:$A$500,0)),"")</f>
        <v>0.3665</v>
      </c>
      <c r="F50" s="68" t="n">
        <f aca="false">IFERROR($C50*$E50,"")</f>
        <v>0.3665</v>
      </c>
    </row>
    <row r="51" customFormat="false" ht="15" hidden="false" customHeight="true" outlineLevel="0" collapsed="false">
      <c r="A51" s="65" t="s">
        <v>456</v>
      </c>
      <c r="B51" s="65" t="s">
        <v>133</v>
      </c>
      <c r="C51" s="65" t="n">
        <v>1</v>
      </c>
      <c r="D51" s="66" t="str">
        <f aca="false">IFERROR(INDEX(المكونات!$B$2:$B$500,MATCH($B51,المكونات!$A$2:$A$500,0)),"")</f>
        <v>قطعة (كيس)</v>
      </c>
      <c r="E51" s="67" t="n">
        <f aca="false">IFERROR(INDEX(المكونات!$C$2:$C$500,MATCH($B51,المكونات!$A$2:$A$500,0)),"")</f>
        <v>1.4</v>
      </c>
      <c r="F51" s="68" t="n">
        <f aca="false">IFERROR($C51*$E51,"")</f>
        <v>1.4</v>
      </c>
    </row>
    <row r="52" customFormat="false" ht="15" hidden="false" customHeight="true" outlineLevel="0" collapsed="false">
      <c r="A52" s="65" t="s">
        <v>456</v>
      </c>
      <c r="B52" s="65" t="s">
        <v>293</v>
      </c>
      <c r="C52" s="65" t="n">
        <v>1</v>
      </c>
      <c r="D52" s="66" t="str">
        <f aca="false">IFERROR(INDEX(المكونات!$B$2:$B$500,MATCH($B52,المكونات!$A$2:$A$500,0)),"")</f>
        <v>قطعة</v>
      </c>
      <c r="E52" s="67" t="n">
        <f aca="false">IFERROR(INDEX(المكونات!$C$2:$C$500,MATCH($B52,المكونات!$A$2:$A$500,0)),"")</f>
        <v>0.5</v>
      </c>
      <c r="F52" s="68" t="n">
        <f aca="false">IFERROR($C52*$E52,"")</f>
        <v>0.5</v>
      </c>
    </row>
    <row r="53" customFormat="false" ht="15" hidden="false" customHeight="true" outlineLevel="0" collapsed="false">
      <c r="A53" s="65" t="s">
        <v>456</v>
      </c>
      <c r="B53" s="65" t="s">
        <v>211</v>
      </c>
      <c r="C53" s="65" t="n">
        <v>2</v>
      </c>
      <c r="D53" s="66" t="str">
        <f aca="false">IFERROR(INDEX(المكونات!$B$2:$B$500,MATCH($B53,المكونات!$A$2:$A$500,0)),"")</f>
        <v>قطعة (جلفز)</v>
      </c>
      <c r="E53" s="67" t="n">
        <f aca="false">IFERROR(INDEX(المكونات!$C$2:$C$500,MATCH($B53,المكونات!$A$2:$A$500,0)),"")</f>
        <v>0.18</v>
      </c>
      <c r="F53" s="68" t="n">
        <f aca="false">IFERROR($C53*$E53,"")</f>
        <v>0.36</v>
      </c>
    </row>
    <row r="54" customFormat="false" ht="15" hidden="false" customHeight="true" outlineLevel="0" collapsed="false">
      <c r="A54" s="65" t="s">
        <v>456</v>
      </c>
      <c r="B54" s="65" t="s">
        <v>322</v>
      </c>
      <c r="C54" s="65" t="n">
        <v>1</v>
      </c>
      <c r="D54" s="66" t="str">
        <f aca="false">IFERROR(INDEX(المكونات!$B$2:$B$500,MATCH($B54,المكونات!$A$2:$A$500,0)),"")</f>
        <v>قطعة (كيس)</v>
      </c>
      <c r="E54" s="67" t="n">
        <f aca="false">IFERROR(INDEX(المكونات!$C$2:$C$500,MATCH($B54,المكونات!$A$2:$A$500,0)),"")</f>
        <v>1</v>
      </c>
      <c r="F54" s="68" t="n">
        <f aca="false">IFERROR($C54*$E54,"")</f>
        <v>1</v>
      </c>
    </row>
    <row r="55" customFormat="false" ht="15" hidden="false" customHeight="true" outlineLevel="0" collapsed="false">
      <c r="A55" s="65" t="s">
        <v>456</v>
      </c>
      <c r="B55" s="65" t="s">
        <v>144</v>
      </c>
      <c r="C55" s="65" t="n">
        <v>1</v>
      </c>
      <c r="D55" s="66" t="str">
        <f aca="false">IFERROR(INDEX(المكونات!$B$2:$B$500,MATCH($B55,المكونات!$A$2:$A$500,0)),"")</f>
        <v>قطعة</v>
      </c>
      <c r="E55" s="67" t="n">
        <f aca="false">IFERROR(INDEX(المكونات!$C$2:$C$500,MATCH($B55,المكونات!$A$2:$A$500,0)),"")</f>
        <v>46.6667</v>
      </c>
      <c r="F55" s="68" t="n">
        <f aca="false">IFERROR($C55*$E55,"")</f>
        <v>46.6667</v>
      </c>
    </row>
    <row r="56" customFormat="false" ht="15" hidden="false" customHeight="true" outlineLevel="0" collapsed="false">
      <c r="A56" s="65" t="s">
        <v>488</v>
      </c>
      <c r="B56" s="65" t="s">
        <v>262</v>
      </c>
      <c r="C56" s="65" t="n">
        <v>0.22</v>
      </c>
      <c r="D56" s="66" t="str">
        <f aca="false">IFERROR(INDEX(المكونات!$B$2:$B$500,MATCH($B56,المكونات!$A$2:$A$500,0)),"")</f>
        <v>كجم</v>
      </c>
      <c r="E56" s="67" t="n">
        <f aca="false">IFERROR(INDEX(المكونات!$C$2:$C$500,MATCH($B56,المكونات!$A$2:$A$500,0)),"")</f>
        <v>22</v>
      </c>
      <c r="F56" s="68" t="n">
        <f aca="false">IFERROR($C56*$E56,"")</f>
        <v>4.84</v>
      </c>
    </row>
    <row r="57" customFormat="false" ht="15" hidden="false" customHeight="true" outlineLevel="0" collapsed="false">
      <c r="A57" s="65" t="s">
        <v>488</v>
      </c>
      <c r="B57" s="65" t="s">
        <v>250</v>
      </c>
      <c r="C57" s="65" t="n">
        <v>0.04</v>
      </c>
      <c r="D57" s="66" t="str">
        <f aca="false">IFERROR(INDEX(المكونات!$B$2:$B$500,MATCH($B57,المكونات!$A$2:$A$500,0)),"")</f>
        <v>كجم</v>
      </c>
      <c r="E57" s="67" t="n">
        <f aca="false">IFERROR(INDEX(المكونات!$C$2:$C$500,MATCH($B57,المكونات!$A$2:$A$500,0)),"")</f>
        <v>32</v>
      </c>
      <c r="F57" s="68" t="n">
        <f aca="false">IFERROR($C57*$E57,"")</f>
        <v>1.28</v>
      </c>
    </row>
    <row r="58" customFormat="false" ht="15" hidden="false" customHeight="true" outlineLevel="0" collapsed="false">
      <c r="A58" s="65" t="s">
        <v>488</v>
      </c>
      <c r="B58" s="65" t="s">
        <v>260</v>
      </c>
      <c r="C58" s="65" t="n">
        <v>0.03</v>
      </c>
      <c r="D58" s="66" t="str">
        <f aca="false">IFERROR(INDEX(المكونات!$B$2:$B$500,MATCH($B58,المكونات!$A$2:$A$500,0)),"")</f>
        <v>كجم</v>
      </c>
      <c r="E58" s="67" t="n">
        <f aca="false">IFERROR(INDEX(المكونات!$C$2:$C$500,MATCH($B58,المكونات!$A$2:$A$500,0)),"")</f>
        <v>21</v>
      </c>
      <c r="F58" s="68" t="n">
        <f aca="false">IFERROR($C58*$E58,"")</f>
        <v>0.63</v>
      </c>
    </row>
    <row r="59" customFormat="false" ht="15" hidden="false" customHeight="true" outlineLevel="0" collapsed="false">
      <c r="A59" s="65" t="s">
        <v>488</v>
      </c>
      <c r="B59" s="65" t="s">
        <v>284</v>
      </c>
      <c r="C59" s="65" t="n">
        <v>0.02</v>
      </c>
      <c r="D59" s="66" t="str">
        <f aca="false">IFERROR(INDEX(المكونات!$B$2:$B$500,MATCH($B59,المكونات!$A$2:$A$500,0)),"")</f>
        <v>كجم</v>
      </c>
      <c r="E59" s="67" t="n">
        <f aca="false">IFERROR(INDEX(المكونات!$C$2:$C$500,MATCH($B59,المكونات!$A$2:$A$500,0)),"")</f>
        <v>27</v>
      </c>
      <c r="F59" s="68" t="n">
        <f aca="false">IFERROR($C59*$E59,"")</f>
        <v>0.54</v>
      </c>
    </row>
    <row r="60" customFormat="false" ht="15" hidden="false" customHeight="true" outlineLevel="0" collapsed="false">
      <c r="A60" s="65" t="s">
        <v>488</v>
      </c>
      <c r="B60" s="65" t="s">
        <v>227</v>
      </c>
      <c r="C60" s="65" t="n">
        <v>0.02</v>
      </c>
      <c r="D60" s="66" t="str">
        <f aca="false">IFERROR(INDEX(المكونات!$B$2:$B$500,MATCH($B60,المكونات!$A$2:$A$500,0)),"")</f>
        <v>كجم</v>
      </c>
      <c r="E60" s="67" t="n">
        <f aca="false">IFERROR(INDEX(المكونات!$C$2:$C$500,MATCH($B60,المكونات!$A$2:$A$500,0)),"")</f>
        <v>95</v>
      </c>
      <c r="F60" s="68" t="n">
        <f aca="false">IFERROR($C60*$E60,"")</f>
        <v>1.9</v>
      </c>
    </row>
    <row r="61" customFormat="false" ht="15" hidden="false" customHeight="true" outlineLevel="0" collapsed="false">
      <c r="A61" s="65" t="s">
        <v>488</v>
      </c>
      <c r="B61" s="65" t="s">
        <v>172</v>
      </c>
      <c r="C61" s="65" t="n">
        <v>1</v>
      </c>
      <c r="D61" s="66" t="str">
        <f aca="false">IFERROR(INDEX(المكونات!$B$2:$B$500,MATCH($B61,المكونات!$A$2:$A$500,0)),"")</f>
        <v>قطعة</v>
      </c>
      <c r="E61" s="67" t="n">
        <f aca="false">IFERROR(INDEX(المكونات!$C$2:$C$500,MATCH($B61,المكونات!$A$2:$A$500,0)),"")</f>
        <v>20</v>
      </c>
      <c r="F61" s="68" t="n">
        <f aca="false">IFERROR($C61*$E61,"")</f>
        <v>20</v>
      </c>
    </row>
    <row r="62" customFormat="false" ht="15" hidden="false" customHeight="true" outlineLevel="0" collapsed="false">
      <c r="A62" s="65" t="s">
        <v>488</v>
      </c>
      <c r="B62" s="65" t="s">
        <v>270</v>
      </c>
      <c r="C62" s="65" t="n">
        <v>1</v>
      </c>
      <c r="D62" s="66" t="str">
        <f aca="false">IFERROR(INDEX(المكونات!$B$2:$B$500,MATCH($B62,المكونات!$A$2:$A$500,0)),"")</f>
        <v>قطعة</v>
      </c>
      <c r="E62" s="67" t="n">
        <f aca="false">IFERROR(INDEX(المكونات!$C$2:$C$500,MATCH($B62,المكونات!$A$2:$A$500,0)),"")</f>
        <v>4.5</v>
      </c>
      <c r="F62" s="68" t="n">
        <f aca="false">IFERROR($C62*$E62,"")</f>
        <v>4.5</v>
      </c>
    </row>
    <row r="63" customFormat="false" ht="15" hidden="false" customHeight="true" outlineLevel="0" collapsed="false">
      <c r="A63" s="65" t="s">
        <v>488</v>
      </c>
      <c r="B63" s="65" t="s">
        <v>290</v>
      </c>
      <c r="C63" s="65" t="n">
        <v>2</v>
      </c>
      <c r="D63" s="66" t="str">
        <f aca="false">IFERROR(INDEX(المكونات!$B$2:$B$500,MATCH($B63,المكونات!$A$2:$A$500,0)),"")</f>
        <v>قطعة</v>
      </c>
      <c r="E63" s="67" t="n">
        <f aca="false">IFERROR(INDEX(المكونات!$C$2:$C$500,MATCH($B63,المكونات!$A$2:$A$500,0)),"")</f>
        <v>0.3</v>
      </c>
      <c r="F63" s="68" t="n">
        <f aca="false">IFERROR($C63*$E63,"")</f>
        <v>0.6</v>
      </c>
    </row>
    <row r="64" customFormat="false" ht="15" hidden="false" customHeight="true" outlineLevel="0" collapsed="false">
      <c r="A64" s="65" t="s">
        <v>488</v>
      </c>
      <c r="B64" s="65" t="s">
        <v>319</v>
      </c>
      <c r="C64" s="65" t="n">
        <v>1</v>
      </c>
      <c r="D64" s="66" t="str">
        <f aca="false">IFERROR(INDEX(المكونات!$B$2:$B$500,MATCH($B64,المكونات!$A$2:$A$500,0)),"")</f>
        <v>قطعة (ورقة)</v>
      </c>
      <c r="E64" s="67" t="n">
        <f aca="false">IFERROR(INDEX(المكونات!$C$2:$C$500,MATCH($B64,المكونات!$A$2:$A$500,0)),"")</f>
        <v>0.3665</v>
      </c>
      <c r="F64" s="68" t="n">
        <f aca="false">IFERROR($C64*$E64,"")</f>
        <v>0.3665</v>
      </c>
    </row>
    <row r="65" customFormat="false" ht="15" hidden="false" customHeight="true" outlineLevel="0" collapsed="false">
      <c r="A65" s="65" t="s">
        <v>488</v>
      </c>
      <c r="B65" s="65" t="s">
        <v>133</v>
      </c>
      <c r="C65" s="65" t="n">
        <v>1</v>
      </c>
      <c r="D65" s="66" t="str">
        <f aca="false">IFERROR(INDEX(المكونات!$B$2:$B$500,MATCH($B65,المكونات!$A$2:$A$500,0)),"")</f>
        <v>قطعة (كيس)</v>
      </c>
      <c r="E65" s="67" t="n">
        <f aca="false">IFERROR(INDEX(المكونات!$C$2:$C$500,MATCH($B65,المكونات!$A$2:$A$500,0)),"")</f>
        <v>1.4</v>
      </c>
      <c r="F65" s="68" t="n">
        <f aca="false">IFERROR($C65*$E65,"")</f>
        <v>1.4</v>
      </c>
    </row>
    <row r="66" customFormat="false" ht="15" hidden="false" customHeight="true" outlineLevel="0" collapsed="false">
      <c r="A66" s="65" t="s">
        <v>488</v>
      </c>
      <c r="B66" s="65" t="s">
        <v>293</v>
      </c>
      <c r="C66" s="65" t="n">
        <v>1</v>
      </c>
      <c r="D66" s="66" t="str">
        <f aca="false">IFERROR(INDEX(المكونات!$B$2:$B$500,MATCH($B66,المكونات!$A$2:$A$500,0)),"")</f>
        <v>قطعة</v>
      </c>
      <c r="E66" s="67" t="n">
        <f aca="false">IFERROR(INDEX(المكونات!$C$2:$C$500,MATCH($B66,المكونات!$A$2:$A$500,0)),"")</f>
        <v>0.5</v>
      </c>
      <c r="F66" s="68" t="n">
        <f aca="false">IFERROR($C66*$E66,"")</f>
        <v>0.5</v>
      </c>
    </row>
    <row r="67" customFormat="false" ht="15" hidden="false" customHeight="true" outlineLevel="0" collapsed="false">
      <c r="A67" s="65" t="s">
        <v>488</v>
      </c>
      <c r="B67" s="65" t="s">
        <v>211</v>
      </c>
      <c r="C67" s="65" t="n">
        <v>2</v>
      </c>
      <c r="D67" s="66" t="str">
        <f aca="false">IFERROR(INDEX(المكونات!$B$2:$B$500,MATCH($B67,المكونات!$A$2:$A$500,0)),"")</f>
        <v>قطعة (جلفز)</v>
      </c>
      <c r="E67" s="67" t="n">
        <f aca="false">IFERROR(INDEX(المكونات!$C$2:$C$500,MATCH($B67,المكونات!$A$2:$A$500,0)),"")</f>
        <v>0.18</v>
      </c>
      <c r="F67" s="68" t="n">
        <f aca="false">IFERROR($C67*$E67,"")</f>
        <v>0.36</v>
      </c>
    </row>
    <row r="68" customFormat="false" ht="15" hidden="false" customHeight="true" outlineLevel="0" collapsed="false">
      <c r="A68" s="65" t="s">
        <v>488</v>
      </c>
      <c r="B68" s="65" t="s">
        <v>322</v>
      </c>
      <c r="C68" s="65" t="n">
        <v>1</v>
      </c>
      <c r="D68" s="66" t="str">
        <f aca="false">IFERROR(INDEX(المكونات!$B$2:$B$500,MATCH($B68,المكونات!$A$2:$A$500,0)),"")</f>
        <v>قطعة (كيس)</v>
      </c>
      <c r="E68" s="67" t="n">
        <f aca="false">IFERROR(INDEX(المكونات!$C$2:$C$500,MATCH($B68,المكونات!$A$2:$A$500,0)),"")</f>
        <v>1</v>
      </c>
      <c r="F68" s="68" t="n">
        <f aca="false">IFERROR($C68*$E68,"")</f>
        <v>1</v>
      </c>
    </row>
    <row r="69" customFormat="false" ht="15" hidden="false" customHeight="true" outlineLevel="0" collapsed="false">
      <c r="A69" s="65" t="s">
        <v>488</v>
      </c>
      <c r="B69" s="65" t="s">
        <v>152</v>
      </c>
      <c r="C69" s="65" t="n">
        <v>1</v>
      </c>
      <c r="D69" s="66" t="str">
        <f aca="false">IFERROR(INDEX(المكونات!$B$2:$B$500,MATCH($B69,المكونات!$A$2:$A$500,0)),"")</f>
        <v>قطعة</v>
      </c>
      <c r="E69" s="67" t="n">
        <f aca="false">IFERROR(INDEX(المكونات!$C$2:$C$500,MATCH($B69,المكونات!$A$2:$A$500,0)),"")</f>
        <v>34</v>
      </c>
      <c r="F69" s="68" t="n">
        <f aca="false">IFERROR($C69*$E69,"")</f>
        <v>34</v>
      </c>
    </row>
    <row r="70" customFormat="false" ht="15" hidden="false" customHeight="true" outlineLevel="0" collapsed="false">
      <c r="A70" s="65" t="s">
        <v>420</v>
      </c>
      <c r="B70" s="65" t="s">
        <v>262</v>
      </c>
      <c r="C70" s="65" t="n">
        <v>0.3</v>
      </c>
      <c r="D70" s="66" t="str">
        <f aca="false">IFERROR(INDEX(المكونات!$B$2:$B$500,MATCH($B70,المكونات!$A$2:$A$500,0)),"")</f>
        <v>كجم</v>
      </c>
      <c r="E70" s="67" t="n">
        <f aca="false">IFERROR(INDEX(المكونات!$C$2:$C$500,MATCH($B70,المكونات!$A$2:$A$500,0)),"")</f>
        <v>22</v>
      </c>
      <c r="F70" s="68" t="n">
        <f aca="false">IFERROR($C70*$E70,"")</f>
        <v>6.6</v>
      </c>
    </row>
    <row r="71" customFormat="false" ht="15" hidden="false" customHeight="true" outlineLevel="0" collapsed="false">
      <c r="A71" s="65" t="s">
        <v>420</v>
      </c>
      <c r="B71" s="65" t="s">
        <v>250</v>
      </c>
      <c r="C71" s="65" t="n">
        <v>0.06</v>
      </c>
      <c r="D71" s="66" t="str">
        <f aca="false">IFERROR(INDEX(المكونات!$B$2:$B$500,MATCH($B71,المكونات!$A$2:$A$500,0)),"")</f>
        <v>كجم</v>
      </c>
      <c r="E71" s="67" t="n">
        <f aca="false">IFERROR(INDEX(المكونات!$C$2:$C$500,MATCH($B71,المكونات!$A$2:$A$500,0)),"")</f>
        <v>32</v>
      </c>
      <c r="F71" s="68" t="n">
        <f aca="false">IFERROR($C71*$E71,"")</f>
        <v>1.92</v>
      </c>
    </row>
    <row r="72" customFormat="false" ht="15" hidden="false" customHeight="true" outlineLevel="0" collapsed="false">
      <c r="A72" s="65" t="s">
        <v>420</v>
      </c>
      <c r="B72" s="65" t="s">
        <v>260</v>
      </c>
      <c r="C72" s="65" t="n">
        <v>0.045</v>
      </c>
      <c r="D72" s="66" t="str">
        <f aca="false">IFERROR(INDEX(المكونات!$B$2:$B$500,MATCH($B72,المكونات!$A$2:$A$500,0)),"")</f>
        <v>كجم</v>
      </c>
      <c r="E72" s="67" t="n">
        <f aca="false">IFERROR(INDEX(المكونات!$C$2:$C$500,MATCH($B72,المكونات!$A$2:$A$500,0)),"")</f>
        <v>21</v>
      </c>
      <c r="F72" s="68" t="n">
        <f aca="false">IFERROR($C72*$E72,"")</f>
        <v>0.945</v>
      </c>
    </row>
    <row r="73" customFormat="false" ht="15" hidden="false" customHeight="true" outlineLevel="0" collapsed="false">
      <c r="A73" s="65" t="s">
        <v>420</v>
      </c>
      <c r="B73" s="65" t="s">
        <v>284</v>
      </c>
      <c r="C73" s="65" t="n">
        <v>0.03</v>
      </c>
      <c r="D73" s="66" t="str">
        <f aca="false">IFERROR(INDEX(المكونات!$B$2:$B$500,MATCH($B73,المكونات!$A$2:$A$500,0)),"")</f>
        <v>كجم</v>
      </c>
      <c r="E73" s="67" t="n">
        <f aca="false">IFERROR(INDEX(المكونات!$C$2:$C$500,MATCH($B73,المكونات!$A$2:$A$500,0)),"")</f>
        <v>27</v>
      </c>
      <c r="F73" s="68" t="n">
        <f aca="false">IFERROR($C73*$E73,"")</f>
        <v>0.81</v>
      </c>
    </row>
    <row r="74" customFormat="false" ht="15" hidden="false" customHeight="true" outlineLevel="0" collapsed="false">
      <c r="A74" s="65" t="s">
        <v>420</v>
      </c>
      <c r="B74" s="65" t="s">
        <v>227</v>
      </c>
      <c r="C74" s="65" t="n">
        <v>0.03</v>
      </c>
      <c r="D74" s="66" t="str">
        <f aca="false">IFERROR(INDEX(المكونات!$B$2:$B$500,MATCH($B74,المكونات!$A$2:$A$500,0)),"")</f>
        <v>كجم</v>
      </c>
      <c r="E74" s="67" t="n">
        <f aca="false">IFERROR(INDEX(المكونات!$C$2:$C$500,MATCH($B74,المكونات!$A$2:$A$500,0)),"")</f>
        <v>95</v>
      </c>
      <c r="F74" s="68" t="n">
        <f aca="false">IFERROR($C74*$E74,"")</f>
        <v>2.85</v>
      </c>
    </row>
    <row r="75" customFormat="false" ht="15" hidden="false" customHeight="true" outlineLevel="0" collapsed="false">
      <c r="A75" s="65" t="s">
        <v>420</v>
      </c>
      <c r="B75" s="65" t="s">
        <v>174</v>
      </c>
      <c r="C75" s="65" t="n">
        <v>1</v>
      </c>
      <c r="D75" s="66" t="str">
        <f aca="false">IFERROR(INDEX(المكونات!$B$2:$B$500,MATCH($B75,المكونات!$A$2:$A$500,0)),"")</f>
        <v>قطعة</v>
      </c>
      <c r="E75" s="67" t="n">
        <f aca="false">IFERROR(INDEX(المكونات!$C$2:$C$500,MATCH($B75,المكونات!$A$2:$A$500,0)),"")</f>
        <v>27.1395</v>
      </c>
      <c r="F75" s="68" t="n">
        <f aca="false">IFERROR($C75*$E75,"")</f>
        <v>27.1395</v>
      </c>
    </row>
    <row r="76" customFormat="false" ht="15" hidden="false" customHeight="true" outlineLevel="0" collapsed="false">
      <c r="A76" s="65" t="s">
        <v>420</v>
      </c>
      <c r="B76" s="65" t="s">
        <v>268</v>
      </c>
      <c r="C76" s="65" t="n">
        <v>1</v>
      </c>
      <c r="D76" s="66" t="str">
        <f aca="false">IFERROR(INDEX(المكونات!$B$2:$B$500,MATCH($B76,المكونات!$A$2:$A$500,0)),"")</f>
        <v>قطعة</v>
      </c>
      <c r="E76" s="67" t="n">
        <f aca="false">IFERROR(INDEX(المكونات!$C$2:$C$500,MATCH($B76,المكونات!$A$2:$A$500,0)),"")</f>
        <v>5.5</v>
      </c>
      <c r="F76" s="68" t="n">
        <f aca="false">IFERROR($C76*$E76,"")</f>
        <v>5.5</v>
      </c>
    </row>
    <row r="77" customFormat="false" ht="15" hidden="false" customHeight="true" outlineLevel="0" collapsed="false">
      <c r="A77" s="65" t="s">
        <v>420</v>
      </c>
      <c r="B77" s="65" t="s">
        <v>290</v>
      </c>
      <c r="C77" s="65" t="n">
        <v>3</v>
      </c>
      <c r="D77" s="66" t="str">
        <f aca="false">IFERROR(INDEX(المكونات!$B$2:$B$500,MATCH($B77,المكونات!$A$2:$A$500,0)),"")</f>
        <v>قطعة</v>
      </c>
      <c r="E77" s="67" t="n">
        <f aca="false">IFERROR(INDEX(المكونات!$C$2:$C$500,MATCH($B77,المكونات!$A$2:$A$500,0)),"")</f>
        <v>0.3</v>
      </c>
      <c r="F77" s="68" t="n">
        <f aca="false">IFERROR($C77*$E77,"")</f>
        <v>0.9</v>
      </c>
    </row>
    <row r="78" customFormat="false" ht="15" hidden="false" customHeight="true" outlineLevel="0" collapsed="false">
      <c r="A78" s="65" t="s">
        <v>420</v>
      </c>
      <c r="B78" s="65" t="s">
        <v>319</v>
      </c>
      <c r="C78" s="65" t="n">
        <v>1</v>
      </c>
      <c r="D78" s="66" t="str">
        <f aca="false">IFERROR(INDEX(المكونات!$B$2:$B$500,MATCH($B78,المكونات!$A$2:$A$500,0)),"")</f>
        <v>قطعة (ورقة)</v>
      </c>
      <c r="E78" s="67" t="n">
        <f aca="false">IFERROR(INDEX(المكونات!$C$2:$C$500,MATCH($B78,المكونات!$A$2:$A$500,0)),"")</f>
        <v>0.3665</v>
      </c>
      <c r="F78" s="68" t="n">
        <f aca="false">IFERROR($C78*$E78,"")</f>
        <v>0.3665</v>
      </c>
    </row>
    <row r="79" customFormat="false" ht="15" hidden="false" customHeight="true" outlineLevel="0" collapsed="false">
      <c r="A79" s="65" t="s">
        <v>420</v>
      </c>
      <c r="B79" s="65" t="s">
        <v>133</v>
      </c>
      <c r="C79" s="65" t="n">
        <v>1</v>
      </c>
      <c r="D79" s="66" t="str">
        <f aca="false">IFERROR(INDEX(المكونات!$B$2:$B$500,MATCH($B79,المكونات!$A$2:$A$500,0)),"")</f>
        <v>قطعة (كيس)</v>
      </c>
      <c r="E79" s="67" t="n">
        <f aca="false">IFERROR(INDEX(المكونات!$C$2:$C$500,MATCH($B79,المكونات!$A$2:$A$500,0)),"")</f>
        <v>1.4</v>
      </c>
      <c r="F79" s="68" t="n">
        <f aca="false">IFERROR($C79*$E79,"")</f>
        <v>1.4</v>
      </c>
    </row>
    <row r="80" customFormat="false" ht="15" hidden="false" customHeight="true" outlineLevel="0" collapsed="false">
      <c r="A80" s="65" t="s">
        <v>420</v>
      </c>
      <c r="B80" s="65" t="s">
        <v>293</v>
      </c>
      <c r="C80" s="65" t="n">
        <v>1</v>
      </c>
      <c r="D80" s="66" t="str">
        <f aca="false">IFERROR(INDEX(المكونات!$B$2:$B$500,MATCH($B80,المكونات!$A$2:$A$500,0)),"")</f>
        <v>قطعة</v>
      </c>
      <c r="E80" s="67" t="n">
        <f aca="false">IFERROR(INDEX(المكونات!$C$2:$C$500,MATCH($B80,المكونات!$A$2:$A$500,0)),"")</f>
        <v>0.5</v>
      </c>
      <c r="F80" s="68" t="n">
        <f aca="false">IFERROR($C80*$E80,"")</f>
        <v>0.5</v>
      </c>
    </row>
    <row r="81" customFormat="false" ht="15" hidden="false" customHeight="true" outlineLevel="0" collapsed="false">
      <c r="A81" s="65" t="s">
        <v>420</v>
      </c>
      <c r="B81" s="65" t="s">
        <v>211</v>
      </c>
      <c r="C81" s="65" t="n">
        <v>2</v>
      </c>
      <c r="D81" s="66" t="str">
        <f aca="false">IFERROR(INDEX(المكونات!$B$2:$B$500,MATCH($B81,المكونات!$A$2:$A$500,0)),"")</f>
        <v>قطعة (جلفز)</v>
      </c>
      <c r="E81" s="67" t="n">
        <f aca="false">IFERROR(INDEX(المكونات!$C$2:$C$500,MATCH($B81,المكونات!$A$2:$A$500,0)),"")</f>
        <v>0.18</v>
      </c>
      <c r="F81" s="68" t="n">
        <f aca="false">IFERROR($C81*$E81,"")</f>
        <v>0.36</v>
      </c>
    </row>
    <row r="82" customFormat="false" ht="15" hidden="false" customHeight="true" outlineLevel="0" collapsed="false">
      <c r="A82" s="65" t="s">
        <v>420</v>
      </c>
      <c r="B82" s="65" t="s">
        <v>322</v>
      </c>
      <c r="C82" s="65" t="n">
        <v>1</v>
      </c>
      <c r="D82" s="66" t="str">
        <f aca="false">IFERROR(INDEX(المكونات!$B$2:$B$500,MATCH($B82,المكونات!$A$2:$A$500,0)),"")</f>
        <v>قطعة (كيس)</v>
      </c>
      <c r="E82" s="67" t="n">
        <f aca="false">IFERROR(INDEX(المكونات!$C$2:$C$500,MATCH($B82,المكونات!$A$2:$A$500,0)),"")</f>
        <v>1</v>
      </c>
      <c r="F82" s="68" t="n">
        <f aca="false">IFERROR($C82*$E82,"")</f>
        <v>1</v>
      </c>
    </row>
    <row r="83" customFormat="false" ht="15" hidden="false" customHeight="true" outlineLevel="0" collapsed="false">
      <c r="A83" s="65" t="s">
        <v>420</v>
      </c>
      <c r="B83" s="65" t="s">
        <v>154</v>
      </c>
      <c r="C83" s="65" t="n">
        <v>1</v>
      </c>
      <c r="D83" s="66" t="str">
        <f aca="false">IFERROR(INDEX(المكونات!$B$2:$B$500,MATCH($B83,المكونات!$A$2:$A$500,0)),"")</f>
        <v>قطعة</v>
      </c>
      <c r="E83" s="67" t="n">
        <f aca="false">IFERROR(INDEX(المكونات!$C$2:$C$500,MATCH($B83,المكونات!$A$2:$A$500,0)),"")</f>
        <v>45</v>
      </c>
      <c r="F83" s="68" t="n">
        <f aca="false">IFERROR($C83*$E83,"")</f>
        <v>45</v>
      </c>
    </row>
    <row r="84" customFormat="false" ht="15" hidden="false" customHeight="true" outlineLevel="0" collapsed="false">
      <c r="A84" s="65" t="s">
        <v>435</v>
      </c>
      <c r="B84" s="65" t="s">
        <v>262</v>
      </c>
      <c r="C84" s="65" t="n">
        <v>0.22</v>
      </c>
      <c r="D84" s="66" t="str">
        <f aca="false">IFERROR(INDEX(المكونات!$B$2:$B$500,MATCH($B84,المكونات!$A$2:$A$500,0)),"")</f>
        <v>كجم</v>
      </c>
      <c r="E84" s="67" t="n">
        <f aca="false">IFERROR(INDEX(المكونات!$C$2:$C$500,MATCH($B84,المكونات!$A$2:$A$500,0)),"")</f>
        <v>22</v>
      </c>
      <c r="F84" s="68" t="n">
        <f aca="false">IFERROR($C84*$E84,"")</f>
        <v>4.84</v>
      </c>
    </row>
    <row r="85" customFormat="false" ht="15" hidden="false" customHeight="true" outlineLevel="0" collapsed="false">
      <c r="A85" s="65" t="s">
        <v>435</v>
      </c>
      <c r="B85" s="65" t="s">
        <v>250</v>
      </c>
      <c r="C85" s="65" t="n">
        <v>0.04</v>
      </c>
      <c r="D85" s="66" t="str">
        <f aca="false">IFERROR(INDEX(المكونات!$B$2:$B$500,MATCH($B85,المكونات!$A$2:$A$500,0)),"")</f>
        <v>كجم</v>
      </c>
      <c r="E85" s="67" t="n">
        <f aca="false">IFERROR(INDEX(المكونات!$C$2:$C$500,MATCH($B85,المكونات!$A$2:$A$500,0)),"")</f>
        <v>32</v>
      </c>
      <c r="F85" s="68" t="n">
        <f aca="false">IFERROR($C85*$E85,"")</f>
        <v>1.28</v>
      </c>
    </row>
    <row r="86" customFormat="false" ht="15" hidden="false" customHeight="true" outlineLevel="0" collapsed="false">
      <c r="A86" s="65" t="s">
        <v>435</v>
      </c>
      <c r="B86" s="65" t="s">
        <v>260</v>
      </c>
      <c r="C86" s="65" t="n">
        <v>0.03</v>
      </c>
      <c r="D86" s="66" t="str">
        <f aca="false">IFERROR(INDEX(المكونات!$B$2:$B$500,MATCH($B86,المكونات!$A$2:$A$500,0)),"")</f>
        <v>كجم</v>
      </c>
      <c r="E86" s="67" t="n">
        <f aca="false">IFERROR(INDEX(المكونات!$C$2:$C$500,MATCH($B86,المكونات!$A$2:$A$500,0)),"")</f>
        <v>21</v>
      </c>
      <c r="F86" s="68" t="n">
        <f aca="false">IFERROR($C86*$E86,"")</f>
        <v>0.63</v>
      </c>
    </row>
    <row r="87" customFormat="false" ht="15" hidden="false" customHeight="true" outlineLevel="0" collapsed="false">
      <c r="A87" s="65" t="s">
        <v>435</v>
      </c>
      <c r="B87" s="65" t="s">
        <v>284</v>
      </c>
      <c r="C87" s="65" t="n">
        <v>0.02</v>
      </c>
      <c r="D87" s="66" t="str">
        <f aca="false">IFERROR(INDEX(المكونات!$B$2:$B$500,MATCH($B87,المكونات!$A$2:$A$500,0)),"")</f>
        <v>كجم</v>
      </c>
      <c r="E87" s="67" t="n">
        <f aca="false">IFERROR(INDEX(المكونات!$C$2:$C$500,MATCH($B87,المكونات!$A$2:$A$500,0)),"")</f>
        <v>27</v>
      </c>
      <c r="F87" s="68" t="n">
        <f aca="false">IFERROR($C87*$E87,"")</f>
        <v>0.54</v>
      </c>
    </row>
    <row r="88" customFormat="false" ht="15" hidden="false" customHeight="true" outlineLevel="0" collapsed="false">
      <c r="A88" s="65" t="s">
        <v>435</v>
      </c>
      <c r="B88" s="65" t="s">
        <v>227</v>
      </c>
      <c r="C88" s="65" t="n">
        <v>0.02</v>
      </c>
      <c r="D88" s="66" t="str">
        <f aca="false">IFERROR(INDEX(المكونات!$B$2:$B$500,MATCH($B88,المكونات!$A$2:$A$500,0)),"")</f>
        <v>كجم</v>
      </c>
      <c r="E88" s="67" t="n">
        <f aca="false">IFERROR(INDEX(المكونات!$C$2:$C$500,MATCH($B88,المكونات!$A$2:$A$500,0)),"")</f>
        <v>95</v>
      </c>
      <c r="F88" s="68" t="n">
        <f aca="false">IFERROR($C88*$E88,"")</f>
        <v>1.9</v>
      </c>
    </row>
    <row r="89" customFormat="false" ht="15" hidden="false" customHeight="true" outlineLevel="0" collapsed="false">
      <c r="A89" s="65" t="s">
        <v>435</v>
      </c>
      <c r="B89" s="65" t="s">
        <v>172</v>
      </c>
      <c r="C89" s="65" t="n">
        <v>1</v>
      </c>
      <c r="D89" s="66" t="str">
        <f aca="false">IFERROR(INDEX(المكونات!$B$2:$B$500,MATCH($B89,المكونات!$A$2:$A$500,0)),"")</f>
        <v>قطعة</v>
      </c>
      <c r="E89" s="67" t="n">
        <f aca="false">IFERROR(INDEX(المكونات!$C$2:$C$500,MATCH($B89,المكونات!$A$2:$A$500,0)),"")</f>
        <v>20</v>
      </c>
      <c r="F89" s="68" t="n">
        <f aca="false">IFERROR($C89*$E89,"")</f>
        <v>20</v>
      </c>
    </row>
    <row r="90" customFormat="false" ht="15" hidden="false" customHeight="true" outlineLevel="0" collapsed="false">
      <c r="A90" s="65" t="s">
        <v>435</v>
      </c>
      <c r="B90" s="65" t="s">
        <v>270</v>
      </c>
      <c r="C90" s="65" t="n">
        <v>1</v>
      </c>
      <c r="D90" s="66" t="str">
        <f aca="false">IFERROR(INDEX(المكونات!$B$2:$B$500,MATCH($B90,المكونات!$A$2:$A$500,0)),"")</f>
        <v>قطعة</v>
      </c>
      <c r="E90" s="67" t="n">
        <f aca="false">IFERROR(INDEX(المكونات!$C$2:$C$500,MATCH($B90,المكونات!$A$2:$A$500,0)),"")</f>
        <v>4.5</v>
      </c>
      <c r="F90" s="68" t="n">
        <f aca="false">IFERROR($C90*$E90,"")</f>
        <v>4.5</v>
      </c>
    </row>
    <row r="91" customFormat="false" ht="15" hidden="false" customHeight="true" outlineLevel="0" collapsed="false">
      <c r="A91" s="65" t="s">
        <v>435</v>
      </c>
      <c r="B91" s="65" t="s">
        <v>290</v>
      </c>
      <c r="C91" s="65" t="n">
        <v>2</v>
      </c>
      <c r="D91" s="66" t="str">
        <f aca="false">IFERROR(INDEX(المكونات!$B$2:$B$500,MATCH($B91,المكونات!$A$2:$A$500,0)),"")</f>
        <v>قطعة</v>
      </c>
      <c r="E91" s="67" t="n">
        <f aca="false">IFERROR(INDEX(المكونات!$C$2:$C$500,MATCH($B91,المكونات!$A$2:$A$500,0)),"")</f>
        <v>0.3</v>
      </c>
      <c r="F91" s="68" t="n">
        <f aca="false">IFERROR($C91*$E91,"")</f>
        <v>0.6</v>
      </c>
    </row>
    <row r="92" customFormat="false" ht="15" hidden="false" customHeight="true" outlineLevel="0" collapsed="false">
      <c r="A92" s="65" t="s">
        <v>435</v>
      </c>
      <c r="B92" s="65" t="s">
        <v>319</v>
      </c>
      <c r="C92" s="65" t="n">
        <v>1</v>
      </c>
      <c r="D92" s="66" t="str">
        <f aca="false">IFERROR(INDEX(المكونات!$B$2:$B$500,MATCH($B92,المكونات!$A$2:$A$500,0)),"")</f>
        <v>قطعة (ورقة)</v>
      </c>
      <c r="E92" s="67" t="n">
        <f aca="false">IFERROR(INDEX(المكونات!$C$2:$C$500,MATCH($B92,المكونات!$A$2:$A$500,0)),"")</f>
        <v>0.3665</v>
      </c>
      <c r="F92" s="68" t="n">
        <f aca="false">IFERROR($C92*$E92,"")</f>
        <v>0.3665</v>
      </c>
    </row>
    <row r="93" customFormat="false" ht="15" hidden="false" customHeight="true" outlineLevel="0" collapsed="false">
      <c r="A93" s="65" t="s">
        <v>435</v>
      </c>
      <c r="B93" s="65" t="s">
        <v>133</v>
      </c>
      <c r="C93" s="65" t="n">
        <v>1</v>
      </c>
      <c r="D93" s="66" t="str">
        <f aca="false">IFERROR(INDEX(المكونات!$B$2:$B$500,MATCH($B93,المكونات!$A$2:$A$500,0)),"")</f>
        <v>قطعة (كيس)</v>
      </c>
      <c r="E93" s="67" t="n">
        <f aca="false">IFERROR(INDEX(المكونات!$C$2:$C$500,MATCH($B93,المكونات!$A$2:$A$500,0)),"")</f>
        <v>1.4</v>
      </c>
      <c r="F93" s="68" t="n">
        <f aca="false">IFERROR($C93*$E93,"")</f>
        <v>1.4</v>
      </c>
    </row>
    <row r="94" customFormat="false" ht="15" hidden="false" customHeight="true" outlineLevel="0" collapsed="false">
      <c r="A94" s="65" t="s">
        <v>435</v>
      </c>
      <c r="B94" s="65" t="s">
        <v>293</v>
      </c>
      <c r="C94" s="65" t="n">
        <v>1</v>
      </c>
      <c r="D94" s="66" t="str">
        <f aca="false">IFERROR(INDEX(المكونات!$B$2:$B$500,MATCH($B94,المكونات!$A$2:$A$500,0)),"")</f>
        <v>قطعة</v>
      </c>
      <c r="E94" s="67" t="n">
        <f aca="false">IFERROR(INDEX(المكونات!$C$2:$C$500,MATCH($B94,المكونات!$A$2:$A$500,0)),"")</f>
        <v>0.5</v>
      </c>
      <c r="F94" s="68" t="n">
        <f aca="false">IFERROR($C94*$E94,"")</f>
        <v>0.5</v>
      </c>
    </row>
    <row r="95" customFormat="false" ht="15" hidden="false" customHeight="true" outlineLevel="0" collapsed="false">
      <c r="A95" s="65" t="s">
        <v>435</v>
      </c>
      <c r="B95" s="65" t="s">
        <v>211</v>
      </c>
      <c r="C95" s="65" t="n">
        <v>2</v>
      </c>
      <c r="D95" s="66" t="str">
        <f aca="false">IFERROR(INDEX(المكونات!$B$2:$B$500,MATCH($B95,المكونات!$A$2:$A$500,0)),"")</f>
        <v>قطعة (جلفز)</v>
      </c>
      <c r="E95" s="67" t="n">
        <f aca="false">IFERROR(INDEX(المكونات!$C$2:$C$500,MATCH($B95,المكونات!$A$2:$A$500,0)),"")</f>
        <v>0.18</v>
      </c>
      <c r="F95" s="68" t="n">
        <f aca="false">IFERROR($C95*$E95,"")</f>
        <v>0.36</v>
      </c>
    </row>
    <row r="96" customFormat="false" ht="15" hidden="false" customHeight="true" outlineLevel="0" collapsed="false">
      <c r="A96" s="65" t="s">
        <v>435</v>
      </c>
      <c r="B96" s="65" t="s">
        <v>322</v>
      </c>
      <c r="C96" s="65" t="n">
        <v>1</v>
      </c>
      <c r="D96" s="66" t="str">
        <f aca="false">IFERROR(INDEX(المكونات!$B$2:$B$500,MATCH($B96,المكونات!$A$2:$A$500,0)),"")</f>
        <v>قطعة (كيس)</v>
      </c>
      <c r="E96" s="67" t="n">
        <f aca="false">IFERROR(INDEX(المكونات!$C$2:$C$500,MATCH($B96,المكونات!$A$2:$A$500,0)),"")</f>
        <v>1</v>
      </c>
      <c r="F96" s="68" t="n">
        <f aca="false">IFERROR($C96*$E96,"")</f>
        <v>1</v>
      </c>
    </row>
    <row r="97" customFormat="false" ht="15" hidden="false" customHeight="true" outlineLevel="0" collapsed="false">
      <c r="A97" s="65" t="s">
        <v>435</v>
      </c>
      <c r="B97" s="65" t="s">
        <v>156</v>
      </c>
      <c r="C97" s="65" t="n">
        <v>1</v>
      </c>
      <c r="D97" s="66" t="str">
        <f aca="false">IFERROR(INDEX(المكونات!$B$2:$B$500,MATCH($B97,المكونات!$A$2:$A$500,0)),"")</f>
        <v>قطعة</v>
      </c>
      <c r="E97" s="67" t="n">
        <f aca="false">IFERROR(INDEX(المكونات!$C$2:$C$500,MATCH($B97,المكونات!$A$2:$A$500,0)),"")</f>
        <v>26.9708</v>
      </c>
      <c r="F97" s="68" t="n">
        <f aca="false">IFERROR($C97*$E97,"")</f>
        <v>26.9708</v>
      </c>
    </row>
    <row r="98" customFormat="false" ht="15" hidden="false" customHeight="true" outlineLevel="0" collapsed="false">
      <c r="A98" s="65" t="s">
        <v>509</v>
      </c>
      <c r="B98" s="65" t="s">
        <v>262</v>
      </c>
      <c r="C98" s="65" t="n">
        <v>0.3</v>
      </c>
      <c r="D98" s="66" t="str">
        <f aca="false">IFERROR(INDEX(المكونات!$B$2:$B$500,MATCH($B98,المكونات!$A$2:$A$500,0)),"")</f>
        <v>كجم</v>
      </c>
      <c r="E98" s="67" t="n">
        <f aca="false">IFERROR(INDEX(المكونات!$C$2:$C$500,MATCH($B98,المكونات!$A$2:$A$500,0)),"")</f>
        <v>22</v>
      </c>
      <c r="F98" s="68" t="n">
        <f aca="false">IFERROR($C98*$E98,"")</f>
        <v>6.6</v>
      </c>
    </row>
    <row r="99" customFormat="false" ht="15" hidden="false" customHeight="true" outlineLevel="0" collapsed="false">
      <c r="A99" s="65" t="s">
        <v>509</v>
      </c>
      <c r="B99" s="65" t="s">
        <v>250</v>
      </c>
      <c r="C99" s="65" t="n">
        <v>0.06</v>
      </c>
      <c r="D99" s="66" t="str">
        <f aca="false">IFERROR(INDEX(المكونات!$B$2:$B$500,MATCH($B99,المكونات!$A$2:$A$500,0)),"")</f>
        <v>كجم</v>
      </c>
      <c r="E99" s="67" t="n">
        <f aca="false">IFERROR(INDEX(المكونات!$C$2:$C$500,MATCH($B99,المكونات!$A$2:$A$500,0)),"")</f>
        <v>32</v>
      </c>
      <c r="F99" s="68" t="n">
        <f aca="false">IFERROR($C99*$E99,"")</f>
        <v>1.92</v>
      </c>
    </row>
    <row r="100" customFormat="false" ht="15" hidden="false" customHeight="true" outlineLevel="0" collapsed="false">
      <c r="A100" s="65" t="s">
        <v>509</v>
      </c>
      <c r="B100" s="65" t="s">
        <v>260</v>
      </c>
      <c r="C100" s="65" t="n">
        <v>0.045</v>
      </c>
      <c r="D100" s="66" t="str">
        <f aca="false">IFERROR(INDEX(المكونات!$B$2:$B$500,MATCH($B100,المكونات!$A$2:$A$500,0)),"")</f>
        <v>كجم</v>
      </c>
      <c r="E100" s="67" t="n">
        <f aca="false">IFERROR(INDEX(المكونات!$C$2:$C$500,MATCH($B100,المكونات!$A$2:$A$500,0)),"")</f>
        <v>21</v>
      </c>
      <c r="F100" s="68" t="n">
        <f aca="false">IFERROR($C100*$E100,"")</f>
        <v>0.945</v>
      </c>
    </row>
    <row r="101" customFormat="false" ht="15" hidden="false" customHeight="true" outlineLevel="0" collapsed="false">
      <c r="A101" s="65" t="s">
        <v>509</v>
      </c>
      <c r="B101" s="65" t="s">
        <v>284</v>
      </c>
      <c r="C101" s="65" t="n">
        <v>0.03</v>
      </c>
      <c r="D101" s="66" t="str">
        <f aca="false">IFERROR(INDEX(المكونات!$B$2:$B$500,MATCH($B101,المكونات!$A$2:$A$500,0)),"")</f>
        <v>كجم</v>
      </c>
      <c r="E101" s="67" t="n">
        <f aca="false">IFERROR(INDEX(المكونات!$C$2:$C$500,MATCH($B101,المكونات!$A$2:$A$500,0)),"")</f>
        <v>27</v>
      </c>
      <c r="F101" s="68" t="n">
        <f aca="false">IFERROR($C101*$E101,"")</f>
        <v>0.81</v>
      </c>
    </row>
    <row r="102" customFormat="false" ht="15" hidden="false" customHeight="true" outlineLevel="0" collapsed="false">
      <c r="A102" s="65" t="s">
        <v>509</v>
      </c>
      <c r="B102" s="65" t="s">
        <v>227</v>
      </c>
      <c r="C102" s="65" t="n">
        <v>0.03</v>
      </c>
      <c r="D102" s="66" t="str">
        <f aca="false">IFERROR(INDEX(المكونات!$B$2:$B$500,MATCH($B102,المكونات!$A$2:$A$500,0)),"")</f>
        <v>كجم</v>
      </c>
      <c r="E102" s="67" t="n">
        <f aca="false">IFERROR(INDEX(المكونات!$C$2:$C$500,MATCH($B102,المكونات!$A$2:$A$500,0)),"")</f>
        <v>95</v>
      </c>
      <c r="F102" s="68" t="n">
        <f aca="false">IFERROR($C102*$E102,"")</f>
        <v>2.85</v>
      </c>
    </row>
    <row r="103" customFormat="false" ht="15" hidden="false" customHeight="true" outlineLevel="0" collapsed="false">
      <c r="A103" s="65" t="s">
        <v>509</v>
      </c>
      <c r="B103" s="65" t="s">
        <v>174</v>
      </c>
      <c r="C103" s="65" t="n">
        <v>1</v>
      </c>
      <c r="D103" s="66" t="str">
        <f aca="false">IFERROR(INDEX(المكونات!$B$2:$B$500,MATCH($B103,المكونات!$A$2:$A$500,0)),"")</f>
        <v>قطعة</v>
      </c>
      <c r="E103" s="67" t="n">
        <f aca="false">IFERROR(INDEX(المكونات!$C$2:$C$500,MATCH($B103,المكونات!$A$2:$A$500,0)),"")</f>
        <v>27.1395</v>
      </c>
      <c r="F103" s="68" t="n">
        <f aca="false">IFERROR($C103*$E103,"")</f>
        <v>27.1395</v>
      </c>
    </row>
    <row r="104" customFormat="false" ht="15" hidden="false" customHeight="true" outlineLevel="0" collapsed="false">
      <c r="A104" s="65" t="s">
        <v>509</v>
      </c>
      <c r="B104" s="65" t="s">
        <v>268</v>
      </c>
      <c r="C104" s="65" t="n">
        <v>1</v>
      </c>
      <c r="D104" s="66" t="str">
        <f aca="false">IFERROR(INDEX(المكونات!$B$2:$B$500,MATCH($B104,المكونات!$A$2:$A$500,0)),"")</f>
        <v>قطعة</v>
      </c>
      <c r="E104" s="67" t="n">
        <f aca="false">IFERROR(INDEX(المكونات!$C$2:$C$500,MATCH($B104,المكونات!$A$2:$A$500,0)),"")</f>
        <v>5.5</v>
      </c>
      <c r="F104" s="68" t="n">
        <f aca="false">IFERROR($C104*$E104,"")</f>
        <v>5.5</v>
      </c>
    </row>
    <row r="105" customFormat="false" ht="15" hidden="false" customHeight="true" outlineLevel="0" collapsed="false">
      <c r="A105" s="65" t="s">
        <v>509</v>
      </c>
      <c r="B105" s="65" t="s">
        <v>290</v>
      </c>
      <c r="C105" s="65" t="n">
        <v>3</v>
      </c>
      <c r="D105" s="66" t="str">
        <f aca="false">IFERROR(INDEX(المكونات!$B$2:$B$500,MATCH($B105,المكونات!$A$2:$A$500,0)),"")</f>
        <v>قطعة</v>
      </c>
      <c r="E105" s="67" t="n">
        <f aca="false">IFERROR(INDEX(المكونات!$C$2:$C$500,MATCH($B105,المكونات!$A$2:$A$500,0)),"")</f>
        <v>0.3</v>
      </c>
      <c r="F105" s="68" t="n">
        <f aca="false">IFERROR($C105*$E105,"")</f>
        <v>0.9</v>
      </c>
    </row>
    <row r="106" customFormat="false" ht="15" hidden="false" customHeight="true" outlineLevel="0" collapsed="false">
      <c r="A106" s="65" t="s">
        <v>509</v>
      </c>
      <c r="B106" s="65" t="s">
        <v>319</v>
      </c>
      <c r="C106" s="65" t="n">
        <v>1</v>
      </c>
      <c r="D106" s="66" t="str">
        <f aca="false">IFERROR(INDEX(المكونات!$B$2:$B$500,MATCH($B106,المكونات!$A$2:$A$500,0)),"")</f>
        <v>قطعة (ورقة)</v>
      </c>
      <c r="E106" s="67" t="n">
        <f aca="false">IFERROR(INDEX(المكونات!$C$2:$C$500,MATCH($B106,المكونات!$A$2:$A$500,0)),"")</f>
        <v>0.3665</v>
      </c>
      <c r="F106" s="68" t="n">
        <f aca="false">IFERROR($C106*$E106,"")</f>
        <v>0.3665</v>
      </c>
    </row>
    <row r="107" customFormat="false" ht="15" hidden="false" customHeight="true" outlineLevel="0" collapsed="false">
      <c r="A107" s="65" t="s">
        <v>509</v>
      </c>
      <c r="B107" s="65" t="s">
        <v>133</v>
      </c>
      <c r="C107" s="65" t="n">
        <v>1</v>
      </c>
      <c r="D107" s="66" t="str">
        <f aca="false">IFERROR(INDEX(المكونات!$B$2:$B$500,MATCH($B107,المكونات!$A$2:$A$500,0)),"")</f>
        <v>قطعة (كيس)</v>
      </c>
      <c r="E107" s="67" t="n">
        <f aca="false">IFERROR(INDEX(المكونات!$C$2:$C$500,MATCH($B107,المكونات!$A$2:$A$500,0)),"")</f>
        <v>1.4</v>
      </c>
      <c r="F107" s="68" t="n">
        <f aca="false">IFERROR($C107*$E107,"")</f>
        <v>1.4</v>
      </c>
    </row>
    <row r="108" customFormat="false" ht="15" hidden="false" customHeight="true" outlineLevel="0" collapsed="false">
      <c r="A108" s="65" t="s">
        <v>509</v>
      </c>
      <c r="B108" s="65" t="s">
        <v>293</v>
      </c>
      <c r="C108" s="65" t="n">
        <v>1</v>
      </c>
      <c r="D108" s="66" t="str">
        <f aca="false">IFERROR(INDEX(المكونات!$B$2:$B$500,MATCH($B108,المكونات!$A$2:$A$500,0)),"")</f>
        <v>قطعة</v>
      </c>
      <c r="E108" s="67" t="n">
        <f aca="false">IFERROR(INDEX(المكونات!$C$2:$C$500,MATCH($B108,المكونات!$A$2:$A$500,0)),"")</f>
        <v>0.5</v>
      </c>
      <c r="F108" s="68" t="n">
        <f aca="false">IFERROR($C108*$E108,"")</f>
        <v>0.5</v>
      </c>
    </row>
    <row r="109" customFormat="false" ht="15" hidden="false" customHeight="true" outlineLevel="0" collapsed="false">
      <c r="A109" s="65" t="s">
        <v>509</v>
      </c>
      <c r="B109" s="65" t="s">
        <v>211</v>
      </c>
      <c r="C109" s="65" t="n">
        <v>2</v>
      </c>
      <c r="D109" s="66" t="str">
        <f aca="false">IFERROR(INDEX(المكونات!$B$2:$B$500,MATCH($B109,المكونات!$A$2:$A$500,0)),"")</f>
        <v>قطعة (جلفز)</v>
      </c>
      <c r="E109" s="67" t="n">
        <f aca="false">IFERROR(INDEX(المكونات!$C$2:$C$500,MATCH($B109,المكونات!$A$2:$A$500,0)),"")</f>
        <v>0.18</v>
      </c>
      <c r="F109" s="68" t="n">
        <f aca="false">IFERROR($C109*$E109,"")</f>
        <v>0.36</v>
      </c>
    </row>
    <row r="110" customFormat="false" ht="15" hidden="false" customHeight="true" outlineLevel="0" collapsed="false">
      <c r="A110" s="65" t="s">
        <v>509</v>
      </c>
      <c r="B110" s="65" t="s">
        <v>322</v>
      </c>
      <c r="C110" s="65" t="n">
        <v>1</v>
      </c>
      <c r="D110" s="66" t="str">
        <f aca="false">IFERROR(INDEX(المكونات!$B$2:$B$500,MATCH($B110,المكونات!$A$2:$A$500,0)),"")</f>
        <v>قطعة (كيس)</v>
      </c>
      <c r="E110" s="67" t="n">
        <f aca="false">IFERROR(INDEX(المكونات!$C$2:$C$500,MATCH($B110,المكونات!$A$2:$A$500,0)),"")</f>
        <v>1</v>
      </c>
      <c r="F110" s="68" t="n">
        <f aca="false">IFERROR($C110*$E110,"")</f>
        <v>1</v>
      </c>
    </row>
    <row r="111" customFormat="false" ht="15" hidden="false" customHeight="true" outlineLevel="0" collapsed="false">
      <c r="A111" s="65" t="s">
        <v>509</v>
      </c>
      <c r="B111" s="65" t="s">
        <v>156</v>
      </c>
      <c r="C111" s="65" t="n">
        <v>1.5</v>
      </c>
      <c r="D111" s="66" t="str">
        <f aca="false">IFERROR(INDEX(المكونات!$B$2:$B$500,MATCH($B111,المكونات!$A$2:$A$500,0)),"")</f>
        <v>قطعة</v>
      </c>
      <c r="E111" s="67" t="n">
        <f aca="false">IFERROR(INDEX(المكونات!$C$2:$C$500,MATCH($B111,المكونات!$A$2:$A$500,0)),"")</f>
        <v>26.9708</v>
      </c>
      <c r="F111" s="68" t="n">
        <f aca="false">IFERROR($C111*$E111,"")</f>
        <v>40.4562</v>
      </c>
    </row>
    <row r="112" customFormat="false" ht="15" hidden="false" customHeight="true" outlineLevel="0" collapsed="false">
      <c r="A112" s="65" t="s">
        <v>466</v>
      </c>
      <c r="B112" s="65" t="s">
        <v>262</v>
      </c>
      <c r="C112" s="65" t="n">
        <v>0.22</v>
      </c>
      <c r="D112" s="66" t="str">
        <f aca="false">IFERROR(INDEX(المكونات!$B$2:$B$500,MATCH($B112,المكونات!$A$2:$A$500,0)),"")</f>
        <v>كجم</v>
      </c>
      <c r="E112" s="67" t="n">
        <f aca="false">IFERROR(INDEX(المكونات!$C$2:$C$500,MATCH($B112,المكونات!$A$2:$A$500,0)),"")</f>
        <v>22</v>
      </c>
      <c r="F112" s="68" t="n">
        <f aca="false">IFERROR($C112*$E112,"")</f>
        <v>4.84</v>
      </c>
    </row>
    <row r="113" customFormat="false" ht="15" hidden="false" customHeight="true" outlineLevel="0" collapsed="false">
      <c r="A113" s="65" t="s">
        <v>466</v>
      </c>
      <c r="B113" s="65" t="s">
        <v>250</v>
      </c>
      <c r="C113" s="65" t="n">
        <v>0.04</v>
      </c>
      <c r="D113" s="66" t="str">
        <f aca="false">IFERROR(INDEX(المكونات!$B$2:$B$500,MATCH($B113,المكونات!$A$2:$A$500,0)),"")</f>
        <v>كجم</v>
      </c>
      <c r="E113" s="67" t="n">
        <f aca="false">IFERROR(INDEX(المكونات!$C$2:$C$500,MATCH($B113,المكونات!$A$2:$A$500,0)),"")</f>
        <v>32</v>
      </c>
      <c r="F113" s="68" t="n">
        <f aca="false">IFERROR($C113*$E113,"")</f>
        <v>1.28</v>
      </c>
    </row>
    <row r="114" customFormat="false" ht="15" hidden="false" customHeight="true" outlineLevel="0" collapsed="false">
      <c r="A114" s="65" t="s">
        <v>466</v>
      </c>
      <c r="B114" s="65" t="s">
        <v>260</v>
      </c>
      <c r="C114" s="65" t="n">
        <v>0.03</v>
      </c>
      <c r="D114" s="66" t="str">
        <f aca="false">IFERROR(INDEX(المكونات!$B$2:$B$500,MATCH($B114,المكونات!$A$2:$A$500,0)),"")</f>
        <v>كجم</v>
      </c>
      <c r="E114" s="67" t="n">
        <f aca="false">IFERROR(INDEX(المكونات!$C$2:$C$500,MATCH($B114,المكونات!$A$2:$A$500,0)),"")</f>
        <v>21</v>
      </c>
      <c r="F114" s="68" t="n">
        <f aca="false">IFERROR($C114*$E114,"")</f>
        <v>0.63</v>
      </c>
    </row>
    <row r="115" customFormat="false" ht="15" hidden="false" customHeight="true" outlineLevel="0" collapsed="false">
      <c r="A115" s="65" t="s">
        <v>466</v>
      </c>
      <c r="B115" s="65" t="s">
        <v>284</v>
      </c>
      <c r="C115" s="65" t="n">
        <v>0.02</v>
      </c>
      <c r="D115" s="66" t="str">
        <f aca="false">IFERROR(INDEX(المكونات!$B$2:$B$500,MATCH($B115,المكونات!$A$2:$A$500,0)),"")</f>
        <v>كجم</v>
      </c>
      <c r="E115" s="67" t="n">
        <f aca="false">IFERROR(INDEX(المكونات!$C$2:$C$500,MATCH($B115,المكونات!$A$2:$A$500,0)),"")</f>
        <v>27</v>
      </c>
      <c r="F115" s="68" t="n">
        <f aca="false">IFERROR($C115*$E115,"")</f>
        <v>0.54</v>
      </c>
    </row>
    <row r="116" customFormat="false" ht="15" hidden="false" customHeight="true" outlineLevel="0" collapsed="false">
      <c r="A116" s="65" t="s">
        <v>466</v>
      </c>
      <c r="B116" s="65" t="s">
        <v>227</v>
      </c>
      <c r="C116" s="65" t="n">
        <v>0.02</v>
      </c>
      <c r="D116" s="66" t="str">
        <f aca="false">IFERROR(INDEX(المكونات!$B$2:$B$500,MATCH($B116,المكونات!$A$2:$A$500,0)),"")</f>
        <v>كجم</v>
      </c>
      <c r="E116" s="67" t="n">
        <f aca="false">IFERROR(INDEX(المكونات!$C$2:$C$500,MATCH($B116,المكونات!$A$2:$A$500,0)),"")</f>
        <v>95</v>
      </c>
      <c r="F116" s="68" t="n">
        <f aca="false">IFERROR($C116*$E116,"")</f>
        <v>1.9</v>
      </c>
    </row>
    <row r="117" customFormat="false" ht="15" hidden="false" customHeight="true" outlineLevel="0" collapsed="false">
      <c r="A117" s="65" t="s">
        <v>466</v>
      </c>
      <c r="B117" s="65" t="s">
        <v>172</v>
      </c>
      <c r="C117" s="65" t="n">
        <v>1</v>
      </c>
      <c r="D117" s="66" t="str">
        <f aca="false">IFERROR(INDEX(المكونات!$B$2:$B$500,MATCH($B117,المكونات!$A$2:$A$500,0)),"")</f>
        <v>قطعة</v>
      </c>
      <c r="E117" s="67" t="n">
        <f aca="false">IFERROR(INDEX(المكونات!$C$2:$C$500,MATCH($B117,المكونات!$A$2:$A$500,0)),"")</f>
        <v>20</v>
      </c>
      <c r="F117" s="68" t="n">
        <f aca="false">IFERROR($C117*$E117,"")</f>
        <v>20</v>
      </c>
    </row>
    <row r="118" customFormat="false" ht="15" hidden="false" customHeight="true" outlineLevel="0" collapsed="false">
      <c r="A118" s="65" t="s">
        <v>466</v>
      </c>
      <c r="B118" s="65" t="s">
        <v>270</v>
      </c>
      <c r="C118" s="65" t="n">
        <v>1</v>
      </c>
      <c r="D118" s="66" t="str">
        <f aca="false">IFERROR(INDEX(المكونات!$B$2:$B$500,MATCH($B118,المكونات!$A$2:$A$500,0)),"")</f>
        <v>قطعة</v>
      </c>
      <c r="E118" s="67" t="n">
        <f aca="false">IFERROR(INDEX(المكونات!$C$2:$C$500,MATCH($B118,المكونات!$A$2:$A$500,0)),"")</f>
        <v>4.5</v>
      </c>
      <c r="F118" s="68" t="n">
        <f aca="false">IFERROR($C118*$E118,"")</f>
        <v>4.5</v>
      </c>
    </row>
    <row r="119" customFormat="false" ht="15" hidden="false" customHeight="true" outlineLevel="0" collapsed="false">
      <c r="A119" s="65" t="s">
        <v>466</v>
      </c>
      <c r="B119" s="65" t="s">
        <v>290</v>
      </c>
      <c r="C119" s="65" t="n">
        <v>2</v>
      </c>
      <c r="D119" s="66" t="str">
        <f aca="false">IFERROR(INDEX(المكونات!$B$2:$B$500,MATCH($B119,المكونات!$A$2:$A$500,0)),"")</f>
        <v>قطعة</v>
      </c>
      <c r="E119" s="67" t="n">
        <f aca="false">IFERROR(INDEX(المكونات!$C$2:$C$500,MATCH($B119,المكونات!$A$2:$A$500,0)),"")</f>
        <v>0.3</v>
      </c>
      <c r="F119" s="68" t="n">
        <f aca="false">IFERROR($C119*$E119,"")</f>
        <v>0.6</v>
      </c>
    </row>
    <row r="120" customFormat="false" ht="15" hidden="false" customHeight="true" outlineLevel="0" collapsed="false">
      <c r="A120" s="65" t="s">
        <v>466</v>
      </c>
      <c r="B120" s="65" t="s">
        <v>319</v>
      </c>
      <c r="C120" s="65" t="n">
        <v>1</v>
      </c>
      <c r="D120" s="66" t="str">
        <f aca="false">IFERROR(INDEX(المكونات!$B$2:$B$500,MATCH($B120,المكونات!$A$2:$A$500,0)),"")</f>
        <v>قطعة (ورقة)</v>
      </c>
      <c r="E120" s="67" t="n">
        <f aca="false">IFERROR(INDEX(المكونات!$C$2:$C$500,MATCH($B120,المكونات!$A$2:$A$500,0)),"")</f>
        <v>0.3665</v>
      </c>
      <c r="F120" s="68" t="n">
        <f aca="false">IFERROR($C120*$E120,"")</f>
        <v>0.3665</v>
      </c>
    </row>
    <row r="121" customFormat="false" ht="15" hidden="false" customHeight="true" outlineLevel="0" collapsed="false">
      <c r="A121" s="65" t="s">
        <v>466</v>
      </c>
      <c r="B121" s="65" t="s">
        <v>133</v>
      </c>
      <c r="C121" s="65" t="n">
        <v>1</v>
      </c>
      <c r="D121" s="66" t="str">
        <f aca="false">IFERROR(INDEX(المكونات!$B$2:$B$500,MATCH($B121,المكونات!$A$2:$A$500,0)),"")</f>
        <v>قطعة (كيس)</v>
      </c>
      <c r="E121" s="67" t="n">
        <f aca="false">IFERROR(INDEX(المكونات!$C$2:$C$500,MATCH($B121,المكونات!$A$2:$A$500,0)),"")</f>
        <v>1.4</v>
      </c>
      <c r="F121" s="68" t="n">
        <f aca="false">IFERROR($C121*$E121,"")</f>
        <v>1.4</v>
      </c>
    </row>
    <row r="122" customFormat="false" ht="15" hidden="false" customHeight="true" outlineLevel="0" collapsed="false">
      <c r="A122" s="65" t="s">
        <v>466</v>
      </c>
      <c r="B122" s="65" t="s">
        <v>293</v>
      </c>
      <c r="C122" s="65" t="n">
        <v>1</v>
      </c>
      <c r="D122" s="66" t="str">
        <f aca="false">IFERROR(INDEX(المكونات!$B$2:$B$500,MATCH($B122,المكونات!$A$2:$A$500,0)),"")</f>
        <v>قطعة</v>
      </c>
      <c r="E122" s="67" t="n">
        <f aca="false">IFERROR(INDEX(المكونات!$C$2:$C$500,MATCH($B122,المكونات!$A$2:$A$500,0)),"")</f>
        <v>0.5</v>
      </c>
      <c r="F122" s="68" t="n">
        <f aca="false">IFERROR($C122*$E122,"")</f>
        <v>0.5</v>
      </c>
    </row>
    <row r="123" customFormat="false" ht="15" hidden="false" customHeight="true" outlineLevel="0" collapsed="false">
      <c r="A123" s="65" t="s">
        <v>466</v>
      </c>
      <c r="B123" s="65" t="s">
        <v>211</v>
      </c>
      <c r="C123" s="65" t="n">
        <v>2</v>
      </c>
      <c r="D123" s="66" t="str">
        <f aca="false">IFERROR(INDEX(المكونات!$B$2:$B$500,MATCH($B123,المكونات!$A$2:$A$500,0)),"")</f>
        <v>قطعة (جلفز)</v>
      </c>
      <c r="E123" s="67" t="n">
        <f aca="false">IFERROR(INDEX(المكونات!$C$2:$C$500,MATCH($B123,المكونات!$A$2:$A$500,0)),"")</f>
        <v>0.18</v>
      </c>
      <c r="F123" s="68" t="n">
        <f aca="false">IFERROR($C123*$E123,"")</f>
        <v>0.36</v>
      </c>
    </row>
    <row r="124" customFormat="false" ht="15" hidden="false" customHeight="true" outlineLevel="0" collapsed="false">
      <c r="A124" s="65" t="s">
        <v>466</v>
      </c>
      <c r="B124" s="65" t="s">
        <v>322</v>
      </c>
      <c r="C124" s="65" t="n">
        <v>1</v>
      </c>
      <c r="D124" s="66" t="str">
        <f aca="false">IFERROR(INDEX(المكونات!$B$2:$B$500,MATCH($B124,المكونات!$A$2:$A$500,0)),"")</f>
        <v>قطعة (كيس)</v>
      </c>
      <c r="E124" s="67" t="n">
        <f aca="false">IFERROR(INDEX(المكونات!$C$2:$C$500,MATCH($B124,المكونات!$A$2:$A$500,0)),"")</f>
        <v>1</v>
      </c>
      <c r="F124" s="68" t="n">
        <f aca="false">IFERROR($C124*$E124,"")</f>
        <v>1</v>
      </c>
    </row>
    <row r="125" customFormat="false" ht="15" hidden="false" customHeight="true" outlineLevel="0" collapsed="false">
      <c r="A125" s="65" t="s">
        <v>466</v>
      </c>
      <c r="B125" s="65" t="s">
        <v>148</v>
      </c>
      <c r="C125" s="65" t="n">
        <v>1</v>
      </c>
      <c r="D125" s="66" t="str">
        <f aca="false">IFERROR(INDEX(المكونات!$B$2:$B$500,MATCH($B125,المكونات!$A$2:$A$500,0)),"")</f>
        <v>قطعة</v>
      </c>
      <c r="E125" s="67" t="n">
        <f aca="false">IFERROR(INDEX(المكونات!$C$2:$C$500,MATCH($B125,المكونات!$A$2:$A$500,0)),"")</f>
        <v>9</v>
      </c>
      <c r="F125" s="68" t="n">
        <f aca="false">IFERROR($C125*$E125,"")</f>
        <v>9</v>
      </c>
    </row>
    <row r="126" customFormat="false" ht="15" hidden="false" customHeight="true" outlineLevel="0" collapsed="false">
      <c r="A126" s="65" t="s">
        <v>466</v>
      </c>
      <c r="B126" s="65" t="s">
        <v>288</v>
      </c>
      <c r="C126" s="65" t="n">
        <v>2</v>
      </c>
      <c r="D126" s="66" t="str">
        <f aca="false">IFERROR(INDEX(المكونات!$B$2:$B$500,MATCH($B126,المكونات!$A$2:$A$500,0)),"")</f>
        <v>قطعة</v>
      </c>
      <c r="E126" s="67" t="n">
        <f aca="false">IFERROR(INDEX(المكونات!$C$2:$C$500,MATCH($B126,المكونات!$A$2:$A$500,0)),"")</f>
        <v>7</v>
      </c>
      <c r="F126" s="68" t="n">
        <f aca="false">IFERROR($C126*$E126,"")</f>
        <v>14</v>
      </c>
    </row>
    <row r="127" customFormat="false" ht="15" hidden="false" customHeight="true" outlineLevel="0" collapsed="false">
      <c r="A127" s="65" t="s">
        <v>466</v>
      </c>
      <c r="B127" s="65" t="s">
        <v>258</v>
      </c>
      <c r="C127" s="65" t="n">
        <v>0.1</v>
      </c>
      <c r="D127" s="66" t="str">
        <f aca="false">IFERROR(INDEX(المكونات!$B$2:$B$500,MATCH($B127,المكونات!$A$2:$A$500,0)),"")</f>
        <v>كجم</v>
      </c>
      <c r="E127" s="67" t="n">
        <f aca="false">IFERROR(INDEX(المكونات!$C$2:$C$500,MATCH($B127,المكونات!$A$2:$A$500,0)),"")</f>
        <v>140</v>
      </c>
      <c r="F127" s="68" t="n">
        <f aca="false">IFERROR($C127*$E127,"")</f>
        <v>14</v>
      </c>
    </row>
    <row r="128" customFormat="false" ht="15" hidden="false" customHeight="true" outlineLevel="0" collapsed="false">
      <c r="A128" s="65" t="s">
        <v>463</v>
      </c>
      <c r="B128" s="65" t="s">
        <v>262</v>
      </c>
      <c r="C128" s="65" t="n">
        <v>0.3</v>
      </c>
      <c r="D128" s="66" t="str">
        <f aca="false">IFERROR(INDEX(المكونات!$B$2:$B$500,MATCH($B128,المكونات!$A$2:$A$500,0)),"")</f>
        <v>كجم</v>
      </c>
      <c r="E128" s="67" t="n">
        <f aca="false">IFERROR(INDEX(المكونات!$C$2:$C$500,MATCH($B128,المكونات!$A$2:$A$500,0)),"")</f>
        <v>22</v>
      </c>
      <c r="F128" s="68" t="n">
        <f aca="false">IFERROR($C128*$E128,"")</f>
        <v>6.6</v>
      </c>
    </row>
    <row r="129" customFormat="false" ht="15" hidden="false" customHeight="true" outlineLevel="0" collapsed="false">
      <c r="A129" s="65" t="s">
        <v>463</v>
      </c>
      <c r="B129" s="65" t="s">
        <v>250</v>
      </c>
      <c r="C129" s="65" t="n">
        <v>0.06</v>
      </c>
      <c r="D129" s="66" t="str">
        <f aca="false">IFERROR(INDEX(المكونات!$B$2:$B$500,MATCH($B129,المكونات!$A$2:$A$500,0)),"")</f>
        <v>كجم</v>
      </c>
      <c r="E129" s="67" t="n">
        <f aca="false">IFERROR(INDEX(المكونات!$C$2:$C$500,MATCH($B129,المكونات!$A$2:$A$500,0)),"")</f>
        <v>32</v>
      </c>
      <c r="F129" s="68" t="n">
        <f aca="false">IFERROR($C129*$E129,"")</f>
        <v>1.92</v>
      </c>
    </row>
    <row r="130" customFormat="false" ht="15" hidden="false" customHeight="true" outlineLevel="0" collapsed="false">
      <c r="A130" s="65" t="s">
        <v>463</v>
      </c>
      <c r="B130" s="65" t="s">
        <v>260</v>
      </c>
      <c r="C130" s="65" t="n">
        <v>0.045</v>
      </c>
      <c r="D130" s="66" t="str">
        <f aca="false">IFERROR(INDEX(المكونات!$B$2:$B$500,MATCH($B130,المكونات!$A$2:$A$500,0)),"")</f>
        <v>كجم</v>
      </c>
      <c r="E130" s="67" t="n">
        <f aca="false">IFERROR(INDEX(المكونات!$C$2:$C$500,MATCH($B130,المكونات!$A$2:$A$500,0)),"")</f>
        <v>21</v>
      </c>
      <c r="F130" s="68" t="n">
        <f aca="false">IFERROR($C130*$E130,"")</f>
        <v>0.945</v>
      </c>
    </row>
    <row r="131" customFormat="false" ht="15" hidden="false" customHeight="true" outlineLevel="0" collapsed="false">
      <c r="A131" s="65" t="s">
        <v>463</v>
      </c>
      <c r="B131" s="65" t="s">
        <v>284</v>
      </c>
      <c r="C131" s="65" t="n">
        <v>0.03</v>
      </c>
      <c r="D131" s="66" t="str">
        <f aca="false">IFERROR(INDEX(المكونات!$B$2:$B$500,MATCH($B131,المكونات!$A$2:$A$500,0)),"")</f>
        <v>كجم</v>
      </c>
      <c r="E131" s="67" t="n">
        <f aca="false">IFERROR(INDEX(المكونات!$C$2:$C$500,MATCH($B131,المكونات!$A$2:$A$500,0)),"")</f>
        <v>27</v>
      </c>
      <c r="F131" s="68" t="n">
        <f aca="false">IFERROR($C131*$E131,"")</f>
        <v>0.81</v>
      </c>
    </row>
    <row r="132" customFormat="false" ht="15" hidden="false" customHeight="true" outlineLevel="0" collapsed="false">
      <c r="A132" s="65" t="s">
        <v>463</v>
      </c>
      <c r="B132" s="65" t="s">
        <v>227</v>
      </c>
      <c r="C132" s="65" t="n">
        <v>0.03</v>
      </c>
      <c r="D132" s="66" t="str">
        <f aca="false">IFERROR(INDEX(المكونات!$B$2:$B$500,MATCH($B132,المكونات!$A$2:$A$500,0)),"")</f>
        <v>كجم</v>
      </c>
      <c r="E132" s="67" t="n">
        <f aca="false">IFERROR(INDEX(المكونات!$C$2:$C$500,MATCH($B132,المكونات!$A$2:$A$500,0)),"")</f>
        <v>95</v>
      </c>
      <c r="F132" s="68" t="n">
        <f aca="false">IFERROR($C132*$E132,"")</f>
        <v>2.85</v>
      </c>
    </row>
    <row r="133" customFormat="false" ht="15" hidden="false" customHeight="true" outlineLevel="0" collapsed="false">
      <c r="A133" s="65" t="s">
        <v>463</v>
      </c>
      <c r="B133" s="65" t="s">
        <v>174</v>
      </c>
      <c r="C133" s="65" t="n">
        <v>1</v>
      </c>
      <c r="D133" s="66" t="str">
        <f aca="false">IFERROR(INDEX(المكونات!$B$2:$B$500,MATCH($B133,المكونات!$A$2:$A$500,0)),"")</f>
        <v>قطعة</v>
      </c>
      <c r="E133" s="67" t="n">
        <f aca="false">IFERROR(INDEX(المكونات!$C$2:$C$500,MATCH($B133,المكونات!$A$2:$A$500,0)),"")</f>
        <v>27.1395</v>
      </c>
      <c r="F133" s="68" t="n">
        <f aca="false">IFERROR($C133*$E133,"")</f>
        <v>27.1395</v>
      </c>
    </row>
    <row r="134" customFormat="false" ht="15" hidden="false" customHeight="true" outlineLevel="0" collapsed="false">
      <c r="A134" s="65" t="s">
        <v>463</v>
      </c>
      <c r="B134" s="65" t="s">
        <v>268</v>
      </c>
      <c r="C134" s="65" t="n">
        <v>1</v>
      </c>
      <c r="D134" s="66" t="str">
        <f aca="false">IFERROR(INDEX(المكونات!$B$2:$B$500,MATCH($B134,المكونات!$A$2:$A$500,0)),"")</f>
        <v>قطعة</v>
      </c>
      <c r="E134" s="67" t="n">
        <f aca="false">IFERROR(INDEX(المكونات!$C$2:$C$500,MATCH($B134,المكونات!$A$2:$A$500,0)),"")</f>
        <v>5.5</v>
      </c>
      <c r="F134" s="68" t="n">
        <f aca="false">IFERROR($C134*$E134,"")</f>
        <v>5.5</v>
      </c>
    </row>
    <row r="135" customFormat="false" ht="15" hidden="false" customHeight="true" outlineLevel="0" collapsed="false">
      <c r="A135" s="65" t="s">
        <v>463</v>
      </c>
      <c r="B135" s="65" t="s">
        <v>290</v>
      </c>
      <c r="C135" s="65" t="n">
        <v>3</v>
      </c>
      <c r="D135" s="66" t="str">
        <f aca="false">IFERROR(INDEX(المكونات!$B$2:$B$500,MATCH($B135,المكونات!$A$2:$A$500,0)),"")</f>
        <v>قطعة</v>
      </c>
      <c r="E135" s="67" t="n">
        <f aca="false">IFERROR(INDEX(المكونات!$C$2:$C$500,MATCH($B135,المكونات!$A$2:$A$500,0)),"")</f>
        <v>0.3</v>
      </c>
      <c r="F135" s="68" t="n">
        <f aca="false">IFERROR($C135*$E135,"")</f>
        <v>0.9</v>
      </c>
    </row>
    <row r="136" customFormat="false" ht="15" hidden="false" customHeight="true" outlineLevel="0" collapsed="false">
      <c r="A136" s="65" t="s">
        <v>463</v>
      </c>
      <c r="B136" s="65" t="s">
        <v>319</v>
      </c>
      <c r="C136" s="65" t="n">
        <v>1</v>
      </c>
      <c r="D136" s="66" t="str">
        <f aca="false">IFERROR(INDEX(المكونات!$B$2:$B$500,MATCH($B136,المكونات!$A$2:$A$500,0)),"")</f>
        <v>قطعة (ورقة)</v>
      </c>
      <c r="E136" s="67" t="n">
        <f aca="false">IFERROR(INDEX(المكونات!$C$2:$C$500,MATCH($B136,المكونات!$A$2:$A$500,0)),"")</f>
        <v>0.3665</v>
      </c>
      <c r="F136" s="68" t="n">
        <f aca="false">IFERROR($C136*$E136,"")</f>
        <v>0.3665</v>
      </c>
    </row>
    <row r="137" customFormat="false" ht="15" hidden="false" customHeight="true" outlineLevel="0" collapsed="false">
      <c r="A137" s="65" t="s">
        <v>463</v>
      </c>
      <c r="B137" s="65" t="s">
        <v>133</v>
      </c>
      <c r="C137" s="65" t="n">
        <v>1</v>
      </c>
      <c r="D137" s="66" t="str">
        <f aca="false">IFERROR(INDEX(المكونات!$B$2:$B$500,MATCH($B137,المكونات!$A$2:$A$500,0)),"")</f>
        <v>قطعة (كيس)</v>
      </c>
      <c r="E137" s="67" t="n">
        <f aca="false">IFERROR(INDEX(المكونات!$C$2:$C$500,MATCH($B137,المكونات!$A$2:$A$500,0)),"")</f>
        <v>1.4</v>
      </c>
      <c r="F137" s="68" t="n">
        <f aca="false">IFERROR($C137*$E137,"")</f>
        <v>1.4</v>
      </c>
    </row>
    <row r="138" customFormat="false" ht="15" hidden="false" customHeight="true" outlineLevel="0" collapsed="false">
      <c r="A138" s="65" t="s">
        <v>463</v>
      </c>
      <c r="B138" s="65" t="s">
        <v>293</v>
      </c>
      <c r="C138" s="65" t="n">
        <v>1</v>
      </c>
      <c r="D138" s="66" t="str">
        <f aca="false">IFERROR(INDEX(المكونات!$B$2:$B$500,MATCH($B138,المكونات!$A$2:$A$500,0)),"")</f>
        <v>قطعة</v>
      </c>
      <c r="E138" s="67" t="n">
        <f aca="false">IFERROR(INDEX(المكونات!$C$2:$C$500,MATCH($B138,المكونات!$A$2:$A$500,0)),"")</f>
        <v>0.5</v>
      </c>
      <c r="F138" s="68" t="n">
        <f aca="false">IFERROR($C138*$E138,"")</f>
        <v>0.5</v>
      </c>
    </row>
    <row r="139" customFormat="false" ht="15" hidden="false" customHeight="true" outlineLevel="0" collapsed="false">
      <c r="A139" s="65" t="s">
        <v>463</v>
      </c>
      <c r="B139" s="65" t="s">
        <v>211</v>
      </c>
      <c r="C139" s="65" t="n">
        <v>2</v>
      </c>
      <c r="D139" s="66" t="str">
        <f aca="false">IFERROR(INDEX(المكونات!$B$2:$B$500,MATCH($B139,المكونات!$A$2:$A$500,0)),"")</f>
        <v>قطعة (جلفز)</v>
      </c>
      <c r="E139" s="67" t="n">
        <f aca="false">IFERROR(INDEX(المكونات!$C$2:$C$500,MATCH($B139,المكونات!$A$2:$A$500,0)),"")</f>
        <v>0.18</v>
      </c>
      <c r="F139" s="68" t="n">
        <f aca="false">IFERROR($C139*$E139,"")</f>
        <v>0.36</v>
      </c>
    </row>
    <row r="140" customFormat="false" ht="15" hidden="false" customHeight="true" outlineLevel="0" collapsed="false">
      <c r="A140" s="65" t="s">
        <v>463</v>
      </c>
      <c r="B140" s="65" t="s">
        <v>322</v>
      </c>
      <c r="C140" s="65" t="n">
        <v>1</v>
      </c>
      <c r="D140" s="66" t="str">
        <f aca="false">IFERROR(INDEX(المكونات!$B$2:$B$500,MATCH($B140,المكونات!$A$2:$A$500,0)),"")</f>
        <v>قطعة (كيس)</v>
      </c>
      <c r="E140" s="67" t="n">
        <f aca="false">IFERROR(INDEX(المكونات!$C$2:$C$500,MATCH($B140,المكونات!$A$2:$A$500,0)),"")</f>
        <v>1</v>
      </c>
      <c r="F140" s="68" t="n">
        <f aca="false">IFERROR($C140*$E140,"")</f>
        <v>1</v>
      </c>
    </row>
    <row r="141" customFormat="false" ht="15" hidden="false" customHeight="true" outlineLevel="0" collapsed="false">
      <c r="A141" s="65" t="s">
        <v>463</v>
      </c>
      <c r="B141" s="65" t="s">
        <v>148</v>
      </c>
      <c r="C141" s="65" t="n">
        <v>1.5</v>
      </c>
      <c r="D141" s="66" t="str">
        <f aca="false">IFERROR(INDEX(المكونات!$B$2:$B$500,MATCH($B141,المكونات!$A$2:$A$500,0)),"")</f>
        <v>قطعة</v>
      </c>
      <c r="E141" s="67" t="n">
        <f aca="false">IFERROR(INDEX(المكونات!$C$2:$C$500,MATCH($B141,المكونات!$A$2:$A$500,0)),"")</f>
        <v>9</v>
      </c>
      <c r="F141" s="68" t="n">
        <f aca="false">IFERROR($C141*$E141,"")</f>
        <v>13.5</v>
      </c>
    </row>
    <row r="142" customFormat="false" ht="15" hidden="false" customHeight="true" outlineLevel="0" collapsed="false">
      <c r="A142" s="65" t="s">
        <v>463</v>
      </c>
      <c r="B142" s="65" t="s">
        <v>288</v>
      </c>
      <c r="C142" s="65" t="n">
        <v>3</v>
      </c>
      <c r="D142" s="66" t="str">
        <f aca="false">IFERROR(INDEX(المكونات!$B$2:$B$500,MATCH($B142,المكونات!$A$2:$A$500,0)),"")</f>
        <v>قطعة</v>
      </c>
      <c r="E142" s="67" t="n">
        <f aca="false">IFERROR(INDEX(المكونات!$C$2:$C$500,MATCH($B142,المكونات!$A$2:$A$500,0)),"")</f>
        <v>7</v>
      </c>
      <c r="F142" s="68" t="n">
        <f aca="false">IFERROR($C142*$E142,"")</f>
        <v>21</v>
      </c>
    </row>
    <row r="143" customFormat="false" ht="15" hidden="false" customHeight="true" outlineLevel="0" collapsed="false">
      <c r="A143" s="65" t="s">
        <v>463</v>
      </c>
      <c r="B143" s="65" t="s">
        <v>258</v>
      </c>
      <c r="C143" s="65" t="n">
        <v>0.15</v>
      </c>
      <c r="D143" s="66" t="str">
        <f aca="false">IFERROR(INDEX(المكونات!$B$2:$B$500,MATCH($B143,المكونات!$A$2:$A$500,0)),"")</f>
        <v>كجم</v>
      </c>
      <c r="E143" s="67" t="n">
        <f aca="false">IFERROR(INDEX(المكونات!$C$2:$C$500,MATCH($B143,المكونات!$A$2:$A$500,0)),"")</f>
        <v>140</v>
      </c>
      <c r="F143" s="68" t="n">
        <f aca="false">IFERROR($C143*$E143,"")</f>
        <v>21</v>
      </c>
    </row>
    <row r="144" customFormat="false" ht="15" hidden="false" customHeight="true" outlineLevel="0" collapsed="false">
      <c r="A144" s="65" t="s">
        <v>478</v>
      </c>
      <c r="B144" s="65" t="s">
        <v>262</v>
      </c>
      <c r="C144" s="65" t="n">
        <v>0.22</v>
      </c>
      <c r="D144" s="66" t="str">
        <f aca="false">IFERROR(INDEX(المكونات!$B$2:$B$500,MATCH($B144,المكونات!$A$2:$A$500,0)),"")</f>
        <v>كجم</v>
      </c>
      <c r="E144" s="67" t="n">
        <f aca="false">IFERROR(INDEX(المكونات!$C$2:$C$500,MATCH($B144,المكونات!$A$2:$A$500,0)),"")</f>
        <v>22</v>
      </c>
      <c r="F144" s="68" t="n">
        <f aca="false">IFERROR($C144*$E144,"")</f>
        <v>4.84</v>
      </c>
    </row>
    <row r="145" customFormat="false" ht="15" hidden="false" customHeight="true" outlineLevel="0" collapsed="false">
      <c r="A145" s="65" t="s">
        <v>478</v>
      </c>
      <c r="B145" s="65" t="s">
        <v>250</v>
      </c>
      <c r="C145" s="65" t="n">
        <v>0.04</v>
      </c>
      <c r="D145" s="66" t="str">
        <f aca="false">IFERROR(INDEX(المكونات!$B$2:$B$500,MATCH($B145,المكونات!$A$2:$A$500,0)),"")</f>
        <v>كجم</v>
      </c>
      <c r="E145" s="67" t="n">
        <f aca="false">IFERROR(INDEX(المكونات!$C$2:$C$500,MATCH($B145,المكونات!$A$2:$A$500,0)),"")</f>
        <v>32</v>
      </c>
      <c r="F145" s="68" t="n">
        <f aca="false">IFERROR($C145*$E145,"")</f>
        <v>1.28</v>
      </c>
    </row>
    <row r="146" customFormat="false" ht="15" hidden="false" customHeight="true" outlineLevel="0" collapsed="false">
      <c r="A146" s="65" t="s">
        <v>478</v>
      </c>
      <c r="B146" s="65" t="s">
        <v>260</v>
      </c>
      <c r="C146" s="65" t="n">
        <v>0.03</v>
      </c>
      <c r="D146" s="66" t="str">
        <f aca="false">IFERROR(INDEX(المكونات!$B$2:$B$500,MATCH($B146,المكونات!$A$2:$A$500,0)),"")</f>
        <v>كجم</v>
      </c>
      <c r="E146" s="67" t="n">
        <f aca="false">IFERROR(INDEX(المكونات!$C$2:$C$500,MATCH($B146,المكونات!$A$2:$A$500,0)),"")</f>
        <v>21</v>
      </c>
      <c r="F146" s="68" t="n">
        <f aca="false">IFERROR($C146*$E146,"")</f>
        <v>0.63</v>
      </c>
    </row>
    <row r="147" customFormat="false" ht="15" hidden="false" customHeight="true" outlineLevel="0" collapsed="false">
      <c r="A147" s="65" t="s">
        <v>478</v>
      </c>
      <c r="B147" s="65" t="s">
        <v>284</v>
      </c>
      <c r="C147" s="65" t="n">
        <v>0.02</v>
      </c>
      <c r="D147" s="66" t="str">
        <f aca="false">IFERROR(INDEX(المكونات!$B$2:$B$500,MATCH($B147,المكونات!$A$2:$A$500,0)),"")</f>
        <v>كجم</v>
      </c>
      <c r="E147" s="67" t="n">
        <f aca="false">IFERROR(INDEX(المكونات!$C$2:$C$500,MATCH($B147,المكونات!$A$2:$A$500,0)),"")</f>
        <v>27</v>
      </c>
      <c r="F147" s="68" t="n">
        <f aca="false">IFERROR($C147*$E147,"")</f>
        <v>0.54</v>
      </c>
    </row>
    <row r="148" customFormat="false" ht="15" hidden="false" customHeight="true" outlineLevel="0" collapsed="false">
      <c r="A148" s="65" t="s">
        <v>478</v>
      </c>
      <c r="B148" s="65" t="s">
        <v>227</v>
      </c>
      <c r="C148" s="65" t="n">
        <v>0.02</v>
      </c>
      <c r="D148" s="66" t="str">
        <f aca="false">IFERROR(INDEX(المكونات!$B$2:$B$500,MATCH($B148,المكونات!$A$2:$A$500,0)),"")</f>
        <v>كجم</v>
      </c>
      <c r="E148" s="67" t="n">
        <f aca="false">IFERROR(INDEX(المكونات!$C$2:$C$500,MATCH($B148,المكونات!$A$2:$A$500,0)),"")</f>
        <v>95</v>
      </c>
      <c r="F148" s="68" t="n">
        <f aca="false">IFERROR($C148*$E148,"")</f>
        <v>1.9</v>
      </c>
    </row>
    <row r="149" customFormat="false" ht="15" hidden="false" customHeight="true" outlineLevel="0" collapsed="false">
      <c r="A149" s="65" t="s">
        <v>478</v>
      </c>
      <c r="B149" s="65" t="s">
        <v>172</v>
      </c>
      <c r="C149" s="65" t="n">
        <v>1</v>
      </c>
      <c r="D149" s="66" t="str">
        <f aca="false">IFERROR(INDEX(المكونات!$B$2:$B$500,MATCH($B149,المكونات!$A$2:$A$500,0)),"")</f>
        <v>قطعة</v>
      </c>
      <c r="E149" s="67" t="n">
        <f aca="false">IFERROR(INDEX(المكونات!$C$2:$C$500,MATCH($B149,المكونات!$A$2:$A$500,0)),"")</f>
        <v>20</v>
      </c>
      <c r="F149" s="68" t="n">
        <f aca="false">IFERROR($C149*$E149,"")</f>
        <v>20</v>
      </c>
    </row>
    <row r="150" customFormat="false" ht="15" hidden="false" customHeight="true" outlineLevel="0" collapsed="false">
      <c r="A150" s="65" t="s">
        <v>478</v>
      </c>
      <c r="B150" s="65" t="s">
        <v>270</v>
      </c>
      <c r="C150" s="65" t="n">
        <v>1</v>
      </c>
      <c r="D150" s="66" t="str">
        <f aca="false">IFERROR(INDEX(المكونات!$B$2:$B$500,MATCH($B150,المكونات!$A$2:$A$500,0)),"")</f>
        <v>قطعة</v>
      </c>
      <c r="E150" s="67" t="n">
        <f aca="false">IFERROR(INDEX(المكونات!$C$2:$C$500,MATCH($B150,المكونات!$A$2:$A$500,0)),"")</f>
        <v>4.5</v>
      </c>
      <c r="F150" s="68" t="n">
        <f aca="false">IFERROR($C150*$E150,"")</f>
        <v>4.5</v>
      </c>
    </row>
    <row r="151" customFormat="false" ht="15" hidden="false" customHeight="true" outlineLevel="0" collapsed="false">
      <c r="A151" s="65" t="s">
        <v>478</v>
      </c>
      <c r="B151" s="65" t="s">
        <v>290</v>
      </c>
      <c r="C151" s="65" t="n">
        <v>2</v>
      </c>
      <c r="D151" s="66" t="str">
        <f aca="false">IFERROR(INDEX(المكونات!$B$2:$B$500,MATCH($B151,المكونات!$A$2:$A$500,0)),"")</f>
        <v>قطعة</v>
      </c>
      <c r="E151" s="67" t="n">
        <f aca="false">IFERROR(INDEX(المكونات!$C$2:$C$500,MATCH($B151,المكونات!$A$2:$A$500,0)),"")</f>
        <v>0.3</v>
      </c>
      <c r="F151" s="68" t="n">
        <f aca="false">IFERROR($C151*$E151,"")</f>
        <v>0.6</v>
      </c>
    </row>
    <row r="152" customFormat="false" ht="15" hidden="false" customHeight="true" outlineLevel="0" collapsed="false">
      <c r="A152" s="65" t="s">
        <v>478</v>
      </c>
      <c r="B152" s="65" t="s">
        <v>319</v>
      </c>
      <c r="C152" s="65" t="n">
        <v>1</v>
      </c>
      <c r="D152" s="66" t="str">
        <f aca="false">IFERROR(INDEX(المكونات!$B$2:$B$500,MATCH($B152,المكونات!$A$2:$A$500,0)),"")</f>
        <v>قطعة (ورقة)</v>
      </c>
      <c r="E152" s="67" t="n">
        <f aca="false">IFERROR(INDEX(المكونات!$C$2:$C$500,MATCH($B152,المكونات!$A$2:$A$500,0)),"")</f>
        <v>0.3665</v>
      </c>
      <c r="F152" s="68" t="n">
        <f aca="false">IFERROR($C152*$E152,"")</f>
        <v>0.3665</v>
      </c>
    </row>
    <row r="153" customFormat="false" ht="15" hidden="false" customHeight="true" outlineLevel="0" collapsed="false">
      <c r="A153" s="65" t="s">
        <v>478</v>
      </c>
      <c r="B153" s="65" t="s">
        <v>133</v>
      </c>
      <c r="C153" s="65" t="n">
        <v>1</v>
      </c>
      <c r="D153" s="66" t="str">
        <f aca="false">IFERROR(INDEX(المكونات!$B$2:$B$500,MATCH($B153,المكونات!$A$2:$A$500,0)),"")</f>
        <v>قطعة (كيس)</v>
      </c>
      <c r="E153" s="67" t="n">
        <f aca="false">IFERROR(INDEX(المكونات!$C$2:$C$500,MATCH($B153,المكونات!$A$2:$A$500,0)),"")</f>
        <v>1.4</v>
      </c>
      <c r="F153" s="68" t="n">
        <f aca="false">IFERROR($C153*$E153,"")</f>
        <v>1.4</v>
      </c>
    </row>
    <row r="154" customFormat="false" ht="15" hidden="false" customHeight="true" outlineLevel="0" collapsed="false">
      <c r="A154" s="65" t="s">
        <v>478</v>
      </c>
      <c r="B154" s="65" t="s">
        <v>293</v>
      </c>
      <c r="C154" s="65" t="n">
        <v>1</v>
      </c>
      <c r="D154" s="66" t="str">
        <f aca="false">IFERROR(INDEX(المكونات!$B$2:$B$500,MATCH($B154,المكونات!$A$2:$A$500,0)),"")</f>
        <v>قطعة</v>
      </c>
      <c r="E154" s="67" t="n">
        <f aca="false">IFERROR(INDEX(المكونات!$C$2:$C$500,MATCH($B154,المكونات!$A$2:$A$500,0)),"")</f>
        <v>0.5</v>
      </c>
      <c r="F154" s="68" t="n">
        <f aca="false">IFERROR($C154*$E154,"")</f>
        <v>0.5</v>
      </c>
    </row>
    <row r="155" customFormat="false" ht="15" hidden="false" customHeight="true" outlineLevel="0" collapsed="false">
      <c r="A155" s="65" t="s">
        <v>478</v>
      </c>
      <c r="B155" s="65" t="s">
        <v>211</v>
      </c>
      <c r="C155" s="65" t="n">
        <v>2</v>
      </c>
      <c r="D155" s="66" t="str">
        <f aca="false">IFERROR(INDEX(المكونات!$B$2:$B$500,MATCH($B155,المكونات!$A$2:$A$500,0)),"")</f>
        <v>قطعة (جلفز)</v>
      </c>
      <c r="E155" s="67" t="n">
        <f aca="false">IFERROR(INDEX(المكونات!$C$2:$C$500,MATCH($B155,المكونات!$A$2:$A$500,0)),"")</f>
        <v>0.18</v>
      </c>
      <c r="F155" s="68" t="n">
        <f aca="false">IFERROR($C155*$E155,"")</f>
        <v>0.36</v>
      </c>
    </row>
    <row r="156" customFormat="false" ht="15" hidden="false" customHeight="true" outlineLevel="0" collapsed="false">
      <c r="A156" s="65" t="s">
        <v>478</v>
      </c>
      <c r="B156" s="65" t="s">
        <v>322</v>
      </c>
      <c r="C156" s="65" t="n">
        <v>1</v>
      </c>
      <c r="D156" s="66" t="str">
        <f aca="false">IFERROR(INDEX(المكونات!$B$2:$B$500,MATCH($B156,المكونات!$A$2:$A$500,0)),"")</f>
        <v>قطعة (كيس)</v>
      </c>
      <c r="E156" s="67" t="n">
        <f aca="false">IFERROR(INDEX(المكونات!$C$2:$C$500,MATCH($B156,المكونات!$A$2:$A$500,0)),"")</f>
        <v>1</v>
      </c>
      <c r="F156" s="68" t="n">
        <f aca="false">IFERROR($C156*$E156,"")</f>
        <v>1</v>
      </c>
    </row>
    <row r="157" customFormat="false" ht="15" hidden="false" customHeight="true" outlineLevel="0" collapsed="false">
      <c r="A157" s="65" t="s">
        <v>478</v>
      </c>
      <c r="B157" s="65" t="s">
        <v>158</v>
      </c>
      <c r="C157" s="65" t="n">
        <v>1</v>
      </c>
      <c r="D157" s="66" t="str">
        <f aca="false">IFERROR(INDEX(المكونات!$B$2:$B$500,MATCH($B157,المكونات!$A$2:$A$500,0)),"")</f>
        <v>قطعة</v>
      </c>
      <c r="E157" s="67" t="n">
        <f aca="false">IFERROR(INDEX(المكونات!$C$2:$C$500,MATCH($B157,المكونات!$A$2:$A$500,0)),"")</f>
        <v>33.982</v>
      </c>
      <c r="F157" s="68" t="n">
        <f aca="false">IFERROR($C157*$E157,"")</f>
        <v>33.982</v>
      </c>
    </row>
    <row r="158" customFormat="false" ht="15" hidden="false" customHeight="true" outlineLevel="0" collapsed="false">
      <c r="A158" s="65" t="s">
        <v>478</v>
      </c>
      <c r="B158" s="65" t="s">
        <v>256</v>
      </c>
      <c r="C158" s="65" t="n">
        <v>0.1</v>
      </c>
      <c r="D158" s="66" t="str">
        <f aca="false">IFERROR(INDEX(المكونات!$B$2:$B$500,MATCH($B158,المكونات!$A$2:$A$500,0)),"")</f>
        <v>كجم</v>
      </c>
      <c r="E158" s="67" t="n">
        <f aca="false">IFERROR(INDEX(المكونات!$C$2:$C$500,MATCH($B158,المكونات!$A$2:$A$500,0)),"")</f>
        <v>105</v>
      </c>
      <c r="F158" s="68" t="n">
        <f aca="false">IFERROR($C158*$E158,"")</f>
        <v>10.5</v>
      </c>
    </row>
    <row r="159" customFormat="false" ht="15" hidden="false" customHeight="true" outlineLevel="0" collapsed="false">
      <c r="A159" s="65" t="s">
        <v>419</v>
      </c>
      <c r="B159" s="65" t="s">
        <v>262</v>
      </c>
      <c r="C159" s="65" t="n">
        <v>0.3</v>
      </c>
      <c r="D159" s="66" t="str">
        <f aca="false">IFERROR(INDEX(المكونات!$B$2:$B$500,MATCH($B159,المكونات!$A$2:$A$500,0)),"")</f>
        <v>كجم</v>
      </c>
      <c r="E159" s="67" t="n">
        <f aca="false">IFERROR(INDEX(المكونات!$C$2:$C$500,MATCH($B159,المكونات!$A$2:$A$500,0)),"")</f>
        <v>22</v>
      </c>
      <c r="F159" s="68" t="n">
        <f aca="false">IFERROR($C159*$E159,"")</f>
        <v>6.6</v>
      </c>
    </row>
    <row r="160" customFormat="false" ht="15" hidden="false" customHeight="true" outlineLevel="0" collapsed="false">
      <c r="A160" s="65" t="s">
        <v>419</v>
      </c>
      <c r="B160" s="65" t="s">
        <v>250</v>
      </c>
      <c r="C160" s="65" t="n">
        <v>0.06</v>
      </c>
      <c r="D160" s="66" t="str">
        <f aca="false">IFERROR(INDEX(المكونات!$B$2:$B$500,MATCH($B160,المكونات!$A$2:$A$500,0)),"")</f>
        <v>كجم</v>
      </c>
      <c r="E160" s="67" t="n">
        <f aca="false">IFERROR(INDEX(المكونات!$C$2:$C$500,MATCH($B160,المكونات!$A$2:$A$500,0)),"")</f>
        <v>32</v>
      </c>
      <c r="F160" s="68" t="n">
        <f aca="false">IFERROR($C160*$E160,"")</f>
        <v>1.92</v>
      </c>
    </row>
    <row r="161" customFormat="false" ht="15" hidden="false" customHeight="true" outlineLevel="0" collapsed="false">
      <c r="A161" s="65" t="s">
        <v>419</v>
      </c>
      <c r="B161" s="65" t="s">
        <v>260</v>
      </c>
      <c r="C161" s="65" t="n">
        <v>0.045</v>
      </c>
      <c r="D161" s="66" t="str">
        <f aca="false">IFERROR(INDEX(المكونات!$B$2:$B$500,MATCH($B161,المكونات!$A$2:$A$500,0)),"")</f>
        <v>كجم</v>
      </c>
      <c r="E161" s="67" t="n">
        <f aca="false">IFERROR(INDEX(المكونات!$C$2:$C$500,MATCH($B161,المكونات!$A$2:$A$500,0)),"")</f>
        <v>21</v>
      </c>
      <c r="F161" s="68" t="n">
        <f aca="false">IFERROR($C161*$E161,"")</f>
        <v>0.945</v>
      </c>
    </row>
    <row r="162" customFormat="false" ht="15" hidden="false" customHeight="true" outlineLevel="0" collapsed="false">
      <c r="A162" s="65" t="s">
        <v>419</v>
      </c>
      <c r="B162" s="65" t="s">
        <v>284</v>
      </c>
      <c r="C162" s="65" t="n">
        <v>0.03</v>
      </c>
      <c r="D162" s="66" t="str">
        <f aca="false">IFERROR(INDEX(المكونات!$B$2:$B$500,MATCH($B162,المكونات!$A$2:$A$500,0)),"")</f>
        <v>كجم</v>
      </c>
      <c r="E162" s="67" t="n">
        <f aca="false">IFERROR(INDEX(المكونات!$C$2:$C$500,MATCH($B162,المكونات!$A$2:$A$500,0)),"")</f>
        <v>27</v>
      </c>
      <c r="F162" s="68" t="n">
        <f aca="false">IFERROR($C162*$E162,"")</f>
        <v>0.81</v>
      </c>
    </row>
    <row r="163" customFormat="false" ht="15" hidden="false" customHeight="true" outlineLevel="0" collapsed="false">
      <c r="A163" s="65" t="s">
        <v>419</v>
      </c>
      <c r="B163" s="65" t="s">
        <v>227</v>
      </c>
      <c r="C163" s="65" t="n">
        <v>0.03</v>
      </c>
      <c r="D163" s="66" t="str">
        <f aca="false">IFERROR(INDEX(المكونات!$B$2:$B$500,MATCH($B163,المكونات!$A$2:$A$500,0)),"")</f>
        <v>كجم</v>
      </c>
      <c r="E163" s="67" t="n">
        <f aca="false">IFERROR(INDEX(المكونات!$C$2:$C$500,MATCH($B163,المكونات!$A$2:$A$500,0)),"")</f>
        <v>95</v>
      </c>
      <c r="F163" s="68" t="n">
        <f aca="false">IFERROR($C163*$E163,"")</f>
        <v>2.85</v>
      </c>
    </row>
    <row r="164" customFormat="false" ht="15" hidden="false" customHeight="true" outlineLevel="0" collapsed="false">
      <c r="A164" s="65" t="s">
        <v>419</v>
      </c>
      <c r="B164" s="65" t="s">
        <v>174</v>
      </c>
      <c r="C164" s="65" t="n">
        <v>1</v>
      </c>
      <c r="D164" s="66" t="str">
        <f aca="false">IFERROR(INDEX(المكونات!$B$2:$B$500,MATCH($B164,المكونات!$A$2:$A$500,0)),"")</f>
        <v>قطعة</v>
      </c>
      <c r="E164" s="67" t="n">
        <f aca="false">IFERROR(INDEX(المكونات!$C$2:$C$500,MATCH($B164,المكونات!$A$2:$A$500,0)),"")</f>
        <v>27.1395</v>
      </c>
      <c r="F164" s="68" t="n">
        <f aca="false">IFERROR($C164*$E164,"")</f>
        <v>27.1395</v>
      </c>
    </row>
    <row r="165" customFormat="false" ht="15" hidden="false" customHeight="true" outlineLevel="0" collapsed="false">
      <c r="A165" s="65" t="s">
        <v>419</v>
      </c>
      <c r="B165" s="65" t="s">
        <v>268</v>
      </c>
      <c r="C165" s="65" t="n">
        <v>1</v>
      </c>
      <c r="D165" s="66" t="str">
        <f aca="false">IFERROR(INDEX(المكونات!$B$2:$B$500,MATCH($B165,المكونات!$A$2:$A$500,0)),"")</f>
        <v>قطعة</v>
      </c>
      <c r="E165" s="67" t="n">
        <f aca="false">IFERROR(INDEX(المكونات!$C$2:$C$500,MATCH($B165,المكونات!$A$2:$A$500,0)),"")</f>
        <v>5.5</v>
      </c>
      <c r="F165" s="68" t="n">
        <f aca="false">IFERROR($C165*$E165,"")</f>
        <v>5.5</v>
      </c>
    </row>
    <row r="166" customFormat="false" ht="15" hidden="false" customHeight="true" outlineLevel="0" collapsed="false">
      <c r="A166" s="65" t="s">
        <v>419</v>
      </c>
      <c r="B166" s="65" t="s">
        <v>290</v>
      </c>
      <c r="C166" s="65" t="n">
        <v>3</v>
      </c>
      <c r="D166" s="66" t="str">
        <f aca="false">IFERROR(INDEX(المكونات!$B$2:$B$500,MATCH($B166,المكونات!$A$2:$A$500,0)),"")</f>
        <v>قطعة</v>
      </c>
      <c r="E166" s="67" t="n">
        <f aca="false">IFERROR(INDEX(المكونات!$C$2:$C$500,MATCH($B166,المكونات!$A$2:$A$500,0)),"")</f>
        <v>0.3</v>
      </c>
      <c r="F166" s="68" t="n">
        <f aca="false">IFERROR($C166*$E166,"")</f>
        <v>0.9</v>
      </c>
    </row>
    <row r="167" customFormat="false" ht="15" hidden="false" customHeight="true" outlineLevel="0" collapsed="false">
      <c r="A167" s="65" t="s">
        <v>419</v>
      </c>
      <c r="B167" s="65" t="s">
        <v>319</v>
      </c>
      <c r="C167" s="65" t="n">
        <v>1</v>
      </c>
      <c r="D167" s="66" t="str">
        <f aca="false">IFERROR(INDEX(المكونات!$B$2:$B$500,MATCH($B167,المكونات!$A$2:$A$500,0)),"")</f>
        <v>قطعة (ورقة)</v>
      </c>
      <c r="E167" s="67" t="n">
        <f aca="false">IFERROR(INDEX(المكونات!$C$2:$C$500,MATCH($B167,المكونات!$A$2:$A$500,0)),"")</f>
        <v>0.3665</v>
      </c>
      <c r="F167" s="68" t="n">
        <f aca="false">IFERROR($C167*$E167,"")</f>
        <v>0.3665</v>
      </c>
    </row>
    <row r="168" customFormat="false" ht="15" hidden="false" customHeight="true" outlineLevel="0" collapsed="false">
      <c r="A168" s="65" t="s">
        <v>419</v>
      </c>
      <c r="B168" s="65" t="s">
        <v>133</v>
      </c>
      <c r="C168" s="65" t="n">
        <v>1</v>
      </c>
      <c r="D168" s="66" t="str">
        <f aca="false">IFERROR(INDEX(المكونات!$B$2:$B$500,MATCH($B168,المكونات!$A$2:$A$500,0)),"")</f>
        <v>قطعة (كيس)</v>
      </c>
      <c r="E168" s="67" t="n">
        <f aca="false">IFERROR(INDEX(المكونات!$C$2:$C$500,MATCH($B168,المكونات!$A$2:$A$500,0)),"")</f>
        <v>1.4</v>
      </c>
      <c r="F168" s="68" t="n">
        <f aca="false">IFERROR($C168*$E168,"")</f>
        <v>1.4</v>
      </c>
    </row>
    <row r="169" customFormat="false" ht="15" hidden="false" customHeight="true" outlineLevel="0" collapsed="false">
      <c r="A169" s="65" t="s">
        <v>419</v>
      </c>
      <c r="B169" s="65" t="s">
        <v>293</v>
      </c>
      <c r="C169" s="65" t="n">
        <v>1</v>
      </c>
      <c r="D169" s="66" t="str">
        <f aca="false">IFERROR(INDEX(المكونات!$B$2:$B$500,MATCH($B169,المكونات!$A$2:$A$500,0)),"")</f>
        <v>قطعة</v>
      </c>
      <c r="E169" s="67" t="n">
        <f aca="false">IFERROR(INDEX(المكونات!$C$2:$C$500,MATCH($B169,المكونات!$A$2:$A$500,0)),"")</f>
        <v>0.5</v>
      </c>
      <c r="F169" s="68" t="n">
        <f aca="false">IFERROR($C169*$E169,"")</f>
        <v>0.5</v>
      </c>
    </row>
    <row r="170" customFormat="false" ht="15" hidden="false" customHeight="true" outlineLevel="0" collapsed="false">
      <c r="A170" s="65" t="s">
        <v>419</v>
      </c>
      <c r="B170" s="65" t="s">
        <v>211</v>
      </c>
      <c r="C170" s="65" t="n">
        <v>2</v>
      </c>
      <c r="D170" s="66" t="str">
        <f aca="false">IFERROR(INDEX(المكونات!$B$2:$B$500,MATCH($B170,المكونات!$A$2:$A$500,0)),"")</f>
        <v>قطعة (جلفز)</v>
      </c>
      <c r="E170" s="67" t="n">
        <f aca="false">IFERROR(INDEX(المكونات!$C$2:$C$500,MATCH($B170,المكونات!$A$2:$A$500,0)),"")</f>
        <v>0.18</v>
      </c>
      <c r="F170" s="68" t="n">
        <f aca="false">IFERROR($C170*$E170,"")</f>
        <v>0.36</v>
      </c>
    </row>
    <row r="171" customFormat="false" ht="15" hidden="false" customHeight="true" outlineLevel="0" collapsed="false">
      <c r="A171" s="65" t="s">
        <v>419</v>
      </c>
      <c r="B171" s="65" t="s">
        <v>322</v>
      </c>
      <c r="C171" s="65" t="n">
        <v>1</v>
      </c>
      <c r="D171" s="66" t="str">
        <f aca="false">IFERROR(INDEX(المكونات!$B$2:$B$500,MATCH($B171,المكونات!$A$2:$A$500,0)),"")</f>
        <v>قطعة (كيس)</v>
      </c>
      <c r="E171" s="67" t="n">
        <f aca="false">IFERROR(INDEX(المكونات!$C$2:$C$500,MATCH($B171,المكونات!$A$2:$A$500,0)),"")</f>
        <v>1</v>
      </c>
      <c r="F171" s="68" t="n">
        <f aca="false">IFERROR($C171*$E171,"")</f>
        <v>1</v>
      </c>
    </row>
    <row r="172" customFormat="false" ht="15" hidden="false" customHeight="true" outlineLevel="0" collapsed="false">
      <c r="A172" s="65" t="s">
        <v>419</v>
      </c>
      <c r="B172" s="65" t="s">
        <v>160</v>
      </c>
      <c r="C172" s="65" t="n">
        <v>1</v>
      </c>
      <c r="D172" s="66" t="str">
        <f aca="false">IFERROR(INDEX(المكونات!$B$2:$B$500,MATCH($B172,المكونات!$A$2:$A$500,0)),"")</f>
        <v>قطعة</v>
      </c>
      <c r="E172" s="67" t="n">
        <f aca="false">IFERROR(INDEX(المكونات!$C$2:$C$500,MATCH($B172,المكونات!$A$2:$A$500,0)),"")</f>
        <v>48.7817</v>
      </c>
      <c r="F172" s="68" t="n">
        <f aca="false">IFERROR($C172*$E172,"")</f>
        <v>48.7817</v>
      </c>
    </row>
    <row r="173" customFormat="false" ht="15" hidden="false" customHeight="true" outlineLevel="0" collapsed="false">
      <c r="A173" s="65" t="s">
        <v>419</v>
      </c>
      <c r="B173" s="65" t="s">
        <v>256</v>
      </c>
      <c r="C173" s="65" t="n">
        <v>0.15</v>
      </c>
      <c r="D173" s="66" t="str">
        <f aca="false">IFERROR(INDEX(المكونات!$B$2:$B$500,MATCH($B173,المكونات!$A$2:$A$500,0)),"")</f>
        <v>كجم</v>
      </c>
      <c r="E173" s="67" t="n">
        <f aca="false">IFERROR(INDEX(المكونات!$C$2:$C$500,MATCH($B173,المكونات!$A$2:$A$500,0)),"")</f>
        <v>105</v>
      </c>
      <c r="F173" s="68" t="n">
        <f aca="false">IFERROR($C173*$E173,"")</f>
        <v>15.75</v>
      </c>
    </row>
    <row r="174" customFormat="false" ht="15" hidden="false" customHeight="true" outlineLevel="0" collapsed="false">
      <c r="A174" s="65" t="s">
        <v>482</v>
      </c>
      <c r="B174" s="65" t="s">
        <v>262</v>
      </c>
      <c r="C174" s="65" t="n">
        <v>0.22</v>
      </c>
      <c r="D174" s="66" t="str">
        <f aca="false">IFERROR(INDEX(المكونات!$B$2:$B$500,MATCH($B174,المكونات!$A$2:$A$500,0)),"")</f>
        <v>كجم</v>
      </c>
      <c r="E174" s="67" t="n">
        <f aca="false">IFERROR(INDEX(المكونات!$C$2:$C$500,MATCH($B174,المكونات!$A$2:$A$500,0)),"")</f>
        <v>22</v>
      </c>
      <c r="F174" s="68" t="n">
        <f aca="false">IFERROR($C174*$E174,"")</f>
        <v>4.84</v>
      </c>
    </row>
    <row r="175" customFormat="false" ht="15" hidden="false" customHeight="true" outlineLevel="0" collapsed="false">
      <c r="A175" s="65" t="s">
        <v>482</v>
      </c>
      <c r="B175" s="65" t="s">
        <v>250</v>
      </c>
      <c r="C175" s="65" t="n">
        <v>0.04</v>
      </c>
      <c r="D175" s="66" t="str">
        <f aca="false">IFERROR(INDEX(المكونات!$B$2:$B$500,MATCH($B175,المكونات!$A$2:$A$500,0)),"")</f>
        <v>كجم</v>
      </c>
      <c r="E175" s="67" t="n">
        <f aca="false">IFERROR(INDEX(المكونات!$C$2:$C$500,MATCH($B175,المكونات!$A$2:$A$500,0)),"")</f>
        <v>32</v>
      </c>
      <c r="F175" s="68" t="n">
        <f aca="false">IFERROR($C175*$E175,"")</f>
        <v>1.28</v>
      </c>
    </row>
    <row r="176" customFormat="false" ht="15" hidden="false" customHeight="true" outlineLevel="0" collapsed="false">
      <c r="A176" s="65" t="s">
        <v>482</v>
      </c>
      <c r="B176" s="65" t="s">
        <v>260</v>
      </c>
      <c r="C176" s="65" t="n">
        <v>0.03</v>
      </c>
      <c r="D176" s="66" t="str">
        <f aca="false">IFERROR(INDEX(المكونات!$B$2:$B$500,MATCH($B176,المكونات!$A$2:$A$500,0)),"")</f>
        <v>كجم</v>
      </c>
      <c r="E176" s="67" t="n">
        <f aca="false">IFERROR(INDEX(المكونات!$C$2:$C$500,MATCH($B176,المكونات!$A$2:$A$500,0)),"")</f>
        <v>21</v>
      </c>
      <c r="F176" s="68" t="n">
        <f aca="false">IFERROR($C176*$E176,"")</f>
        <v>0.63</v>
      </c>
    </row>
    <row r="177" customFormat="false" ht="15" hidden="false" customHeight="true" outlineLevel="0" collapsed="false">
      <c r="A177" s="65" t="s">
        <v>482</v>
      </c>
      <c r="B177" s="65" t="s">
        <v>284</v>
      </c>
      <c r="C177" s="65" t="n">
        <v>0.02</v>
      </c>
      <c r="D177" s="66" t="str">
        <f aca="false">IFERROR(INDEX(المكونات!$B$2:$B$500,MATCH($B177,المكونات!$A$2:$A$500,0)),"")</f>
        <v>كجم</v>
      </c>
      <c r="E177" s="67" t="n">
        <f aca="false">IFERROR(INDEX(المكونات!$C$2:$C$500,MATCH($B177,المكونات!$A$2:$A$500,0)),"")</f>
        <v>27</v>
      </c>
      <c r="F177" s="68" t="n">
        <f aca="false">IFERROR($C177*$E177,"")</f>
        <v>0.54</v>
      </c>
    </row>
    <row r="178" customFormat="false" ht="15" hidden="false" customHeight="true" outlineLevel="0" collapsed="false">
      <c r="A178" s="65" t="s">
        <v>482</v>
      </c>
      <c r="B178" s="65" t="s">
        <v>227</v>
      </c>
      <c r="C178" s="65" t="n">
        <v>0.02</v>
      </c>
      <c r="D178" s="66" t="str">
        <f aca="false">IFERROR(INDEX(المكونات!$B$2:$B$500,MATCH($B178,المكونات!$A$2:$A$500,0)),"")</f>
        <v>كجم</v>
      </c>
      <c r="E178" s="67" t="n">
        <f aca="false">IFERROR(INDEX(المكونات!$C$2:$C$500,MATCH($B178,المكونات!$A$2:$A$500,0)),"")</f>
        <v>95</v>
      </c>
      <c r="F178" s="68" t="n">
        <f aca="false">IFERROR($C178*$E178,"")</f>
        <v>1.9</v>
      </c>
    </row>
    <row r="179" customFormat="false" ht="15" hidden="false" customHeight="true" outlineLevel="0" collapsed="false">
      <c r="A179" s="65" t="s">
        <v>482</v>
      </c>
      <c r="B179" s="65" t="s">
        <v>172</v>
      </c>
      <c r="C179" s="65" t="n">
        <v>1</v>
      </c>
      <c r="D179" s="66" t="str">
        <f aca="false">IFERROR(INDEX(المكونات!$B$2:$B$500,MATCH($B179,المكونات!$A$2:$A$500,0)),"")</f>
        <v>قطعة</v>
      </c>
      <c r="E179" s="67" t="n">
        <f aca="false">IFERROR(INDEX(المكونات!$C$2:$C$500,MATCH($B179,المكونات!$A$2:$A$500,0)),"")</f>
        <v>20</v>
      </c>
      <c r="F179" s="68" t="n">
        <f aca="false">IFERROR($C179*$E179,"")</f>
        <v>20</v>
      </c>
    </row>
    <row r="180" customFormat="false" ht="15" hidden="false" customHeight="true" outlineLevel="0" collapsed="false">
      <c r="A180" s="65" t="s">
        <v>482</v>
      </c>
      <c r="B180" s="65" t="s">
        <v>270</v>
      </c>
      <c r="C180" s="65" t="n">
        <v>1</v>
      </c>
      <c r="D180" s="66" t="str">
        <f aca="false">IFERROR(INDEX(المكونات!$B$2:$B$500,MATCH($B180,المكونات!$A$2:$A$500,0)),"")</f>
        <v>قطعة</v>
      </c>
      <c r="E180" s="67" t="n">
        <f aca="false">IFERROR(INDEX(المكونات!$C$2:$C$500,MATCH($B180,المكونات!$A$2:$A$500,0)),"")</f>
        <v>4.5</v>
      </c>
      <c r="F180" s="68" t="n">
        <f aca="false">IFERROR($C180*$E180,"")</f>
        <v>4.5</v>
      </c>
    </row>
    <row r="181" customFormat="false" ht="15" hidden="false" customHeight="true" outlineLevel="0" collapsed="false">
      <c r="A181" s="65" t="s">
        <v>482</v>
      </c>
      <c r="B181" s="65" t="s">
        <v>290</v>
      </c>
      <c r="C181" s="65" t="n">
        <v>2</v>
      </c>
      <c r="D181" s="66" t="str">
        <f aca="false">IFERROR(INDEX(المكونات!$B$2:$B$500,MATCH($B181,المكونات!$A$2:$A$500,0)),"")</f>
        <v>قطعة</v>
      </c>
      <c r="E181" s="67" t="n">
        <f aca="false">IFERROR(INDEX(المكونات!$C$2:$C$500,MATCH($B181,المكونات!$A$2:$A$500,0)),"")</f>
        <v>0.3</v>
      </c>
      <c r="F181" s="68" t="n">
        <f aca="false">IFERROR($C181*$E181,"")</f>
        <v>0.6</v>
      </c>
    </row>
    <row r="182" customFormat="false" ht="15" hidden="false" customHeight="true" outlineLevel="0" collapsed="false">
      <c r="A182" s="65" t="s">
        <v>482</v>
      </c>
      <c r="B182" s="65" t="s">
        <v>319</v>
      </c>
      <c r="C182" s="65" t="n">
        <v>1</v>
      </c>
      <c r="D182" s="66" t="str">
        <f aca="false">IFERROR(INDEX(المكونات!$B$2:$B$500,MATCH($B182,المكونات!$A$2:$A$500,0)),"")</f>
        <v>قطعة (ورقة)</v>
      </c>
      <c r="E182" s="67" t="n">
        <f aca="false">IFERROR(INDEX(المكونات!$C$2:$C$500,MATCH($B182,المكونات!$A$2:$A$500,0)),"")</f>
        <v>0.3665</v>
      </c>
      <c r="F182" s="68" t="n">
        <f aca="false">IFERROR($C182*$E182,"")</f>
        <v>0.3665</v>
      </c>
    </row>
    <row r="183" customFormat="false" ht="15" hidden="false" customHeight="true" outlineLevel="0" collapsed="false">
      <c r="A183" s="65" t="s">
        <v>482</v>
      </c>
      <c r="B183" s="65" t="s">
        <v>133</v>
      </c>
      <c r="C183" s="65" t="n">
        <v>1</v>
      </c>
      <c r="D183" s="66" t="str">
        <f aca="false">IFERROR(INDEX(المكونات!$B$2:$B$500,MATCH($B183,المكونات!$A$2:$A$500,0)),"")</f>
        <v>قطعة (كيس)</v>
      </c>
      <c r="E183" s="67" t="n">
        <f aca="false">IFERROR(INDEX(المكونات!$C$2:$C$500,MATCH($B183,المكونات!$A$2:$A$500,0)),"")</f>
        <v>1.4</v>
      </c>
      <c r="F183" s="68" t="n">
        <f aca="false">IFERROR($C183*$E183,"")</f>
        <v>1.4</v>
      </c>
    </row>
    <row r="184" customFormat="false" ht="15" hidden="false" customHeight="true" outlineLevel="0" collapsed="false">
      <c r="A184" s="65" t="s">
        <v>482</v>
      </c>
      <c r="B184" s="65" t="s">
        <v>293</v>
      </c>
      <c r="C184" s="65" t="n">
        <v>1</v>
      </c>
      <c r="D184" s="66" t="str">
        <f aca="false">IFERROR(INDEX(المكونات!$B$2:$B$500,MATCH($B184,المكونات!$A$2:$A$500,0)),"")</f>
        <v>قطعة</v>
      </c>
      <c r="E184" s="67" t="n">
        <f aca="false">IFERROR(INDEX(المكونات!$C$2:$C$500,MATCH($B184,المكونات!$A$2:$A$500,0)),"")</f>
        <v>0.5</v>
      </c>
      <c r="F184" s="68" t="n">
        <f aca="false">IFERROR($C184*$E184,"")</f>
        <v>0.5</v>
      </c>
    </row>
    <row r="185" customFormat="false" ht="15" hidden="false" customHeight="true" outlineLevel="0" collapsed="false">
      <c r="A185" s="65" t="s">
        <v>482</v>
      </c>
      <c r="B185" s="65" t="s">
        <v>211</v>
      </c>
      <c r="C185" s="65" t="n">
        <v>2</v>
      </c>
      <c r="D185" s="66" t="str">
        <f aca="false">IFERROR(INDEX(المكونات!$B$2:$B$500,MATCH($B185,المكونات!$A$2:$A$500,0)),"")</f>
        <v>قطعة (جلفز)</v>
      </c>
      <c r="E185" s="67" t="n">
        <f aca="false">IFERROR(INDEX(المكونات!$C$2:$C$500,MATCH($B185,المكونات!$A$2:$A$500,0)),"")</f>
        <v>0.18</v>
      </c>
      <c r="F185" s="68" t="n">
        <f aca="false">IFERROR($C185*$E185,"")</f>
        <v>0.36</v>
      </c>
    </row>
    <row r="186" customFormat="false" ht="15" hidden="false" customHeight="true" outlineLevel="0" collapsed="false">
      <c r="A186" s="65" t="s">
        <v>482</v>
      </c>
      <c r="B186" s="65" t="s">
        <v>322</v>
      </c>
      <c r="C186" s="65" t="n">
        <v>1</v>
      </c>
      <c r="D186" s="66" t="str">
        <f aca="false">IFERROR(INDEX(المكونات!$B$2:$B$500,MATCH($B186,المكونات!$A$2:$A$500,0)),"")</f>
        <v>قطعة (كيس)</v>
      </c>
      <c r="E186" s="67" t="n">
        <f aca="false">IFERROR(INDEX(المكونات!$C$2:$C$500,MATCH($B186,المكونات!$A$2:$A$500,0)),"")</f>
        <v>1</v>
      </c>
      <c r="F186" s="68" t="n">
        <f aca="false">IFERROR($C186*$E186,"")</f>
        <v>1</v>
      </c>
    </row>
    <row r="187" customFormat="false" ht="15" hidden="false" customHeight="true" outlineLevel="0" collapsed="false">
      <c r="A187" s="65" t="s">
        <v>482</v>
      </c>
      <c r="B187" s="65" t="s">
        <v>158</v>
      </c>
      <c r="C187" s="65" t="n">
        <v>1</v>
      </c>
      <c r="D187" s="66" t="str">
        <f aca="false">IFERROR(INDEX(المكونات!$B$2:$B$500,MATCH($B187,المكونات!$A$2:$A$500,0)),"")</f>
        <v>قطعة</v>
      </c>
      <c r="E187" s="67" t="n">
        <f aca="false">IFERROR(INDEX(المكونات!$C$2:$C$500,MATCH($B187,المكونات!$A$2:$A$500,0)),"")</f>
        <v>33.982</v>
      </c>
      <c r="F187" s="68" t="n">
        <f aca="false">IFERROR($C187*$E187,"")</f>
        <v>33.982</v>
      </c>
    </row>
    <row r="188" customFormat="false" ht="15" hidden="false" customHeight="true" outlineLevel="0" collapsed="false">
      <c r="A188" s="65" t="s">
        <v>482</v>
      </c>
      <c r="B188" s="65" t="s">
        <v>252</v>
      </c>
      <c r="C188" s="65" t="n">
        <v>0.1</v>
      </c>
      <c r="D188" s="66" t="str">
        <f aca="false">IFERROR(INDEX(المكونات!$B$2:$B$500,MATCH($B188,المكونات!$A$2:$A$500,0)),"")</f>
        <v>كجم</v>
      </c>
      <c r="E188" s="67" t="n">
        <f aca="false">IFERROR(INDEX(المكونات!$C$2:$C$500,MATCH($B188,المكونات!$A$2:$A$500,0)),"")</f>
        <v>70</v>
      </c>
      <c r="F188" s="68" t="n">
        <f aca="false">IFERROR($C188*$E188,"")</f>
        <v>7</v>
      </c>
    </row>
    <row r="189" customFormat="false" ht="15" hidden="false" customHeight="true" outlineLevel="0" collapsed="false">
      <c r="A189" s="65" t="s">
        <v>418</v>
      </c>
      <c r="B189" s="65" t="s">
        <v>262</v>
      </c>
      <c r="C189" s="65" t="n">
        <v>0.3</v>
      </c>
      <c r="D189" s="66" t="str">
        <f aca="false">IFERROR(INDEX(المكونات!$B$2:$B$500,MATCH($B189,المكونات!$A$2:$A$500,0)),"")</f>
        <v>كجم</v>
      </c>
      <c r="E189" s="67" t="n">
        <f aca="false">IFERROR(INDEX(المكونات!$C$2:$C$500,MATCH($B189,المكونات!$A$2:$A$500,0)),"")</f>
        <v>22</v>
      </c>
      <c r="F189" s="68" t="n">
        <f aca="false">IFERROR($C189*$E189,"")</f>
        <v>6.6</v>
      </c>
    </row>
    <row r="190" customFormat="false" ht="15" hidden="false" customHeight="true" outlineLevel="0" collapsed="false">
      <c r="A190" s="65" t="s">
        <v>418</v>
      </c>
      <c r="B190" s="65" t="s">
        <v>250</v>
      </c>
      <c r="C190" s="65" t="n">
        <v>0.06</v>
      </c>
      <c r="D190" s="66" t="str">
        <f aca="false">IFERROR(INDEX(المكونات!$B$2:$B$500,MATCH($B190,المكونات!$A$2:$A$500,0)),"")</f>
        <v>كجم</v>
      </c>
      <c r="E190" s="67" t="n">
        <f aca="false">IFERROR(INDEX(المكونات!$C$2:$C$500,MATCH($B190,المكونات!$A$2:$A$500,0)),"")</f>
        <v>32</v>
      </c>
      <c r="F190" s="68" t="n">
        <f aca="false">IFERROR($C190*$E190,"")</f>
        <v>1.92</v>
      </c>
    </row>
    <row r="191" customFormat="false" ht="15" hidden="false" customHeight="true" outlineLevel="0" collapsed="false">
      <c r="A191" s="65" t="s">
        <v>418</v>
      </c>
      <c r="B191" s="65" t="s">
        <v>260</v>
      </c>
      <c r="C191" s="65" t="n">
        <v>0.045</v>
      </c>
      <c r="D191" s="66" t="str">
        <f aca="false">IFERROR(INDEX(المكونات!$B$2:$B$500,MATCH($B191,المكونات!$A$2:$A$500,0)),"")</f>
        <v>كجم</v>
      </c>
      <c r="E191" s="67" t="n">
        <f aca="false">IFERROR(INDEX(المكونات!$C$2:$C$500,MATCH($B191,المكونات!$A$2:$A$500,0)),"")</f>
        <v>21</v>
      </c>
      <c r="F191" s="68" t="n">
        <f aca="false">IFERROR($C191*$E191,"")</f>
        <v>0.945</v>
      </c>
    </row>
    <row r="192" customFormat="false" ht="15" hidden="false" customHeight="true" outlineLevel="0" collapsed="false">
      <c r="A192" s="65" t="s">
        <v>418</v>
      </c>
      <c r="B192" s="65" t="s">
        <v>284</v>
      </c>
      <c r="C192" s="65" t="n">
        <v>0.03</v>
      </c>
      <c r="D192" s="66" t="str">
        <f aca="false">IFERROR(INDEX(المكونات!$B$2:$B$500,MATCH($B192,المكونات!$A$2:$A$500,0)),"")</f>
        <v>كجم</v>
      </c>
      <c r="E192" s="67" t="n">
        <f aca="false">IFERROR(INDEX(المكونات!$C$2:$C$500,MATCH($B192,المكونات!$A$2:$A$500,0)),"")</f>
        <v>27</v>
      </c>
      <c r="F192" s="68" t="n">
        <f aca="false">IFERROR($C192*$E192,"")</f>
        <v>0.81</v>
      </c>
    </row>
    <row r="193" customFormat="false" ht="15" hidden="false" customHeight="true" outlineLevel="0" collapsed="false">
      <c r="A193" s="65" t="s">
        <v>418</v>
      </c>
      <c r="B193" s="65" t="s">
        <v>227</v>
      </c>
      <c r="C193" s="65" t="n">
        <v>0.03</v>
      </c>
      <c r="D193" s="66" t="str">
        <f aca="false">IFERROR(INDEX(المكونات!$B$2:$B$500,MATCH($B193,المكونات!$A$2:$A$500,0)),"")</f>
        <v>كجم</v>
      </c>
      <c r="E193" s="67" t="n">
        <f aca="false">IFERROR(INDEX(المكونات!$C$2:$C$500,MATCH($B193,المكونات!$A$2:$A$500,0)),"")</f>
        <v>95</v>
      </c>
      <c r="F193" s="68" t="n">
        <f aca="false">IFERROR($C193*$E193,"")</f>
        <v>2.85</v>
      </c>
    </row>
    <row r="194" customFormat="false" ht="15" hidden="false" customHeight="true" outlineLevel="0" collapsed="false">
      <c r="A194" s="65" t="s">
        <v>418</v>
      </c>
      <c r="B194" s="65" t="s">
        <v>174</v>
      </c>
      <c r="C194" s="65" t="n">
        <v>1</v>
      </c>
      <c r="D194" s="66" t="str">
        <f aca="false">IFERROR(INDEX(المكونات!$B$2:$B$500,MATCH($B194,المكونات!$A$2:$A$500,0)),"")</f>
        <v>قطعة</v>
      </c>
      <c r="E194" s="67" t="n">
        <f aca="false">IFERROR(INDEX(المكونات!$C$2:$C$500,MATCH($B194,المكونات!$A$2:$A$500,0)),"")</f>
        <v>27.1395</v>
      </c>
      <c r="F194" s="68" t="n">
        <f aca="false">IFERROR($C194*$E194,"")</f>
        <v>27.1395</v>
      </c>
    </row>
    <row r="195" customFormat="false" ht="15" hidden="false" customHeight="true" outlineLevel="0" collapsed="false">
      <c r="A195" s="65" t="s">
        <v>418</v>
      </c>
      <c r="B195" s="65" t="s">
        <v>268</v>
      </c>
      <c r="C195" s="65" t="n">
        <v>1</v>
      </c>
      <c r="D195" s="66" t="str">
        <f aca="false">IFERROR(INDEX(المكونات!$B$2:$B$500,MATCH($B195,المكونات!$A$2:$A$500,0)),"")</f>
        <v>قطعة</v>
      </c>
      <c r="E195" s="67" t="n">
        <f aca="false">IFERROR(INDEX(المكونات!$C$2:$C$500,MATCH($B195,المكونات!$A$2:$A$500,0)),"")</f>
        <v>5.5</v>
      </c>
      <c r="F195" s="68" t="n">
        <f aca="false">IFERROR($C195*$E195,"")</f>
        <v>5.5</v>
      </c>
    </row>
    <row r="196" customFormat="false" ht="15" hidden="false" customHeight="true" outlineLevel="0" collapsed="false">
      <c r="A196" s="65" t="s">
        <v>418</v>
      </c>
      <c r="B196" s="65" t="s">
        <v>290</v>
      </c>
      <c r="C196" s="65" t="n">
        <v>3</v>
      </c>
      <c r="D196" s="66" t="str">
        <f aca="false">IFERROR(INDEX(المكونات!$B$2:$B$500,MATCH($B196,المكونات!$A$2:$A$500,0)),"")</f>
        <v>قطعة</v>
      </c>
      <c r="E196" s="67" t="n">
        <f aca="false">IFERROR(INDEX(المكونات!$C$2:$C$500,MATCH($B196,المكونات!$A$2:$A$500,0)),"")</f>
        <v>0.3</v>
      </c>
      <c r="F196" s="68" t="n">
        <f aca="false">IFERROR($C196*$E196,"")</f>
        <v>0.9</v>
      </c>
    </row>
    <row r="197" customFormat="false" ht="15" hidden="false" customHeight="true" outlineLevel="0" collapsed="false">
      <c r="A197" s="65" t="s">
        <v>418</v>
      </c>
      <c r="B197" s="65" t="s">
        <v>319</v>
      </c>
      <c r="C197" s="65" t="n">
        <v>1</v>
      </c>
      <c r="D197" s="66" t="str">
        <f aca="false">IFERROR(INDEX(المكونات!$B$2:$B$500,MATCH($B197,المكونات!$A$2:$A$500,0)),"")</f>
        <v>قطعة (ورقة)</v>
      </c>
      <c r="E197" s="67" t="n">
        <f aca="false">IFERROR(INDEX(المكونات!$C$2:$C$500,MATCH($B197,المكونات!$A$2:$A$500,0)),"")</f>
        <v>0.3665</v>
      </c>
      <c r="F197" s="68" t="n">
        <f aca="false">IFERROR($C197*$E197,"")</f>
        <v>0.3665</v>
      </c>
    </row>
    <row r="198" customFormat="false" ht="15" hidden="false" customHeight="true" outlineLevel="0" collapsed="false">
      <c r="A198" s="65" t="s">
        <v>418</v>
      </c>
      <c r="B198" s="65" t="s">
        <v>133</v>
      </c>
      <c r="C198" s="65" t="n">
        <v>1</v>
      </c>
      <c r="D198" s="66" t="str">
        <f aca="false">IFERROR(INDEX(المكونات!$B$2:$B$500,MATCH($B198,المكونات!$A$2:$A$500,0)),"")</f>
        <v>قطعة (كيس)</v>
      </c>
      <c r="E198" s="67" t="n">
        <f aca="false">IFERROR(INDEX(المكونات!$C$2:$C$500,MATCH($B198,المكونات!$A$2:$A$500,0)),"")</f>
        <v>1.4</v>
      </c>
      <c r="F198" s="68" t="n">
        <f aca="false">IFERROR($C198*$E198,"")</f>
        <v>1.4</v>
      </c>
    </row>
    <row r="199" customFormat="false" ht="15" hidden="false" customHeight="true" outlineLevel="0" collapsed="false">
      <c r="A199" s="65" t="s">
        <v>418</v>
      </c>
      <c r="B199" s="65" t="s">
        <v>293</v>
      </c>
      <c r="C199" s="65" t="n">
        <v>1</v>
      </c>
      <c r="D199" s="66" t="str">
        <f aca="false">IFERROR(INDEX(المكونات!$B$2:$B$500,MATCH($B199,المكونات!$A$2:$A$500,0)),"")</f>
        <v>قطعة</v>
      </c>
      <c r="E199" s="67" t="n">
        <f aca="false">IFERROR(INDEX(المكونات!$C$2:$C$500,MATCH($B199,المكونات!$A$2:$A$500,0)),"")</f>
        <v>0.5</v>
      </c>
      <c r="F199" s="68" t="n">
        <f aca="false">IFERROR($C199*$E199,"")</f>
        <v>0.5</v>
      </c>
    </row>
    <row r="200" customFormat="false" ht="15" hidden="false" customHeight="true" outlineLevel="0" collapsed="false">
      <c r="A200" s="65" t="s">
        <v>418</v>
      </c>
      <c r="B200" s="65" t="s">
        <v>211</v>
      </c>
      <c r="C200" s="65" t="n">
        <v>2</v>
      </c>
      <c r="D200" s="66" t="str">
        <f aca="false">IFERROR(INDEX(المكونات!$B$2:$B$500,MATCH($B200,المكونات!$A$2:$A$500,0)),"")</f>
        <v>قطعة (جلفز)</v>
      </c>
      <c r="E200" s="67" t="n">
        <f aca="false">IFERROR(INDEX(المكونات!$C$2:$C$500,MATCH($B200,المكونات!$A$2:$A$500,0)),"")</f>
        <v>0.18</v>
      </c>
      <c r="F200" s="68" t="n">
        <f aca="false">IFERROR($C200*$E200,"")</f>
        <v>0.36</v>
      </c>
    </row>
    <row r="201" customFormat="false" ht="15" hidden="false" customHeight="true" outlineLevel="0" collapsed="false">
      <c r="A201" s="65" t="s">
        <v>418</v>
      </c>
      <c r="B201" s="65" t="s">
        <v>322</v>
      </c>
      <c r="C201" s="65" t="n">
        <v>1</v>
      </c>
      <c r="D201" s="66" t="str">
        <f aca="false">IFERROR(INDEX(المكونات!$B$2:$B$500,MATCH($B201,المكونات!$A$2:$A$500,0)),"")</f>
        <v>قطعة (كيس)</v>
      </c>
      <c r="E201" s="67" t="n">
        <f aca="false">IFERROR(INDEX(المكونات!$C$2:$C$500,MATCH($B201,المكونات!$A$2:$A$500,0)),"")</f>
        <v>1</v>
      </c>
      <c r="F201" s="68" t="n">
        <f aca="false">IFERROR($C201*$E201,"")</f>
        <v>1</v>
      </c>
    </row>
    <row r="202" customFormat="false" ht="15" hidden="false" customHeight="true" outlineLevel="0" collapsed="false">
      <c r="A202" s="65" t="s">
        <v>418</v>
      </c>
      <c r="B202" s="65" t="s">
        <v>160</v>
      </c>
      <c r="C202" s="65" t="n">
        <v>1</v>
      </c>
      <c r="D202" s="66" t="str">
        <f aca="false">IFERROR(INDEX(المكونات!$B$2:$B$500,MATCH($B202,المكونات!$A$2:$A$500,0)),"")</f>
        <v>قطعة</v>
      </c>
      <c r="E202" s="67" t="n">
        <f aca="false">IFERROR(INDEX(المكونات!$C$2:$C$500,MATCH($B202,المكونات!$A$2:$A$500,0)),"")</f>
        <v>48.7817</v>
      </c>
      <c r="F202" s="68" t="n">
        <f aca="false">IFERROR($C202*$E202,"")</f>
        <v>48.7817</v>
      </c>
    </row>
    <row r="203" customFormat="false" ht="15" hidden="false" customHeight="true" outlineLevel="0" collapsed="false">
      <c r="A203" s="65" t="s">
        <v>418</v>
      </c>
      <c r="B203" s="65" t="s">
        <v>252</v>
      </c>
      <c r="C203" s="65" t="n">
        <v>0.15</v>
      </c>
      <c r="D203" s="66" t="str">
        <f aca="false">IFERROR(INDEX(المكونات!$B$2:$B$500,MATCH($B203,المكونات!$A$2:$A$500,0)),"")</f>
        <v>كجم</v>
      </c>
      <c r="E203" s="67" t="n">
        <f aca="false">IFERROR(INDEX(المكونات!$C$2:$C$500,MATCH($B203,المكونات!$A$2:$A$500,0)),"")</f>
        <v>70</v>
      </c>
      <c r="F203" s="68" t="n">
        <f aca="false">IFERROR($C203*$E203,"")</f>
        <v>10.5</v>
      </c>
    </row>
    <row r="204" customFormat="false" ht="15" hidden="false" customHeight="true" outlineLevel="0" collapsed="false">
      <c r="A204" s="65" t="s">
        <v>522</v>
      </c>
      <c r="B204" s="65" t="s">
        <v>262</v>
      </c>
      <c r="C204" s="65" t="n">
        <v>0.22</v>
      </c>
      <c r="D204" s="66" t="str">
        <f aca="false">IFERROR(INDEX(المكونات!$B$2:$B$500,MATCH($B204,المكونات!$A$2:$A$500,0)),"")</f>
        <v>كجم</v>
      </c>
      <c r="E204" s="67" t="n">
        <f aca="false">IFERROR(INDEX(المكونات!$C$2:$C$500,MATCH($B204,المكونات!$A$2:$A$500,0)),"")</f>
        <v>22</v>
      </c>
      <c r="F204" s="68" t="n">
        <f aca="false">IFERROR($C204*$E204,"")</f>
        <v>4.84</v>
      </c>
    </row>
    <row r="205" customFormat="false" ht="15" hidden="false" customHeight="true" outlineLevel="0" collapsed="false">
      <c r="A205" s="65" t="s">
        <v>522</v>
      </c>
      <c r="B205" s="65" t="s">
        <v>250</v>
      </c>
      <c r="C205" s="65" t="n">
        <v>0.04</v>
      </c>
      <c r="D205" s="66" t="str">
        <f aca="false">IFERROR(INDEX(المكونات!$B$2:$B$500,MATCH($B205,المكونات!$A$2:$A$500,0)),"")</f>
        <v>كجم</v>
      </c>
      <c r="E205" s="67" t="n">
        <f aca="false">IFERROR(INDEX(المكونات!$C$2:$C$500,MATCH($B205,المكونات!$A$2:$A$500,0)),"")</f>
        <v>32</v>
      </c>
      <c r="F205" s="68" t="n">
        <f aca="false">IFERROR($C205*$E205,"")</f>
        <v>1.28</v>
      </c>
    </row>
    <row r="206" customFormat="false" ht="15" hidden="false" customHeight="true" outlineLevel="0" collapsed="false">
      <c r="A206" s="65" t="s">
        <v>522</v>
      </c>
      <c r="B206" s="65" t="s">
        <v>260</v>
      </c>
      <c r="C206" s="65" t="n">
        <v>0.03</v>
      </c>
      <c r="D206" s="66" t="str">
        <f aca="false">IFERROR(INDEX(المكونات!$B$2:$B$500,MATCH($B206,المكونات!$A$2:$A$500,0)),"")</f>
        <v>كجم</v>
      </c>
      <c r="E206" s="67" t="n">
        <f aca="false">IFERROR(INDEX(المكونات!$C$2:$C$500,MATCH($B206,المكونات!$A$2:$A$500,0)),"")</f>
        <v>21</v>
      </c>
      <c r="F206" s="68" t="n">
        <f aca="false">IFERROR($C206*$E206,"")</f>
        <v>0.63</v>
      </c>
    </row>
    <row r="207" customFormat="false" ht="15" hidden="false" customHeight="true" outlineLevel="0" collapsed="false">
      <c r="A207" s="65" t="s">
        <v>522</v>
      </c>
      <c r="B207" s="65" t="s">
        <v>284</v>
      </c>
      <c r="C207" s="65" t="n">
        <v>0.02</v>
      </c>
      <c r="D207" s="66" t="str">
        <f aca="false">IFERROR(INDEX(المكونات!$B$2:$B$500,MATCH($B207,المكونات!$A$2:$A$500,0)),"")</f>
        <v>كجم</v>
      </c>
      <c r="E207" s="67" t="n">
        <f aca="false">IFERROR(INDEX(المكونات!$C$2:$C$500,MATCH($B207,المكونات!$A$2:$A$500,0)),"")</f>
        <v>27</v>
      </c>
      <c r="F207" s="68" t="n">
        <f aca="false">IFERROR($C207*$E207,"")</f>
        <v>0.54</v>
      </c>
    </row>
    <row r="208" customFormat="false" ht="15" hidden="false" customHeight="true" outlineLevel="0" collapsed="false">
      <c r="A208" s="65" t="s">
        <v>522</v>
      </c>
      <c r="B208" s="65" t="s">
        <v>227</v>
      </c>
      <c r="C208" s="65" t="n">
        <v>0.02</v>
      </c>
      <c r="D208" s="66" t="str">
        <f aca="false">IFERROR(INDEX(المكونات!$B$2:$B$500,MATCH($B208,المكونات!$A$2:$A$500,0)),"")</f>
        <v>كجم</v>
      </c>
      <c r="E208" s="67" t="n">
        <f aca="false">IFERROR(INDEX(المكونات!$C$2:$C$500,MATCH($B208,المكونات!$A$2:$A$500,0)),"")</f>
        <v>95</v>
      </c>
      <c r="F208" s="68" t="n">
        <f aca="false">IFERROR($C208*$E208,"")</f>
        <v>1.9</v>
      </c>
    </row>
    <row r="209" customFormat="false" ht="15" hidden="false" customHeight="true" outlineLevel="0" collapsed="false">
      <c r="A209" s="65" t="s">
        <v>522</v>
      </c>
      <c r="B209" s="65" t="s">
        <v>172</v>
      </c>
      <c r="C209" s="65" t="n">
        <v>1</v>
      </c>
      <c r="D209" s="66" t="str">
        <f aca="false">IFERROR(INDEX(المكونات!$B$2:$B$500,MATCH($B209,المكونات!$A$2:$A$500,0)),"")</f>
        <v>قطعة</v>
      </c>
      <c r="E209" s="67" t="n">
        <f aca="false">IFERROR(INDEX(المكونات!$C$2:$C$500,MATCH($B209,المكونات!$A$2:$A$500,0)),"")</f>
        <v>20</v>
      </c>
      <c r="F209" s="68" t="n">
        <f aca="false">IFERROR($C209*$E209,"")</f>
        <v>20</v>
      </c>
    </row>
    <row r="210" customFormat="false" ht="15" hidden="false" customHeight="true" outlineLevel="0" collapsed="false">
      <c r="A210" s="65" t="s">
        <v>522</v>
      </c>
      <c r="B210" s="65" t="s">
        <v>270</v>
      </c>
      <c r="C210" s="65" t="n">
        <v>1</v>
      </c>
      <c r="D210" s="66" t="str">
        <f aca="false">IFERROR(INDEX(المكونات!$B$2:$B$500,MATCH($B210,المكونات!$A$2:$A$500,0)),"")</f>
        <v>قطعة</v>
      </c>
      <c r="E210" s="67" t="n">
        <f aca="false">IFERROR(INDEX(المكونات!$C$2:$C$500,MATCH($B210,المكونات!$A$2:$A$500,0)),"")</f>
        <v>4.5</v>
      </c>
      <c r="F210" s="68" t="n">
        <f aca="false">IFERROR($C210*$E210,"")</f>
        <v>4.5</v>
      </c>
    </row>
    <row r="211" customFormat="false" ht="15" hidden="false" customHeight="true" outlineLevel="0" collapsed="false">
      <c r="A211" s="65" t="s">
        <v>522</v>
      </c>
      <c r="B211" s="65" t="s">
        <v>290</v>
      </c>
      <c r="C211" s="65" t="n">
        <v>2</v>
      </c>
      <c r="D211" s="66" t="str">
        <f aca="false">IFERROR(INDEX(المكونات!$B$2:$B$500,MATCH($B211,المكونات!$A$2:$A$500,0)),"")</f>
        <v>قطعة</v>
      </c>
      <c r="E211" s="67" t="n">
        <f aca="false">IFERROR(INDEX(المكونات!$C$2:$C$500,MATCH($B211,المكونات!$A$2:$A$500,0)),"")</f>
        <v>0.3</v>
      </c>
      <c r="F211" s="68" t="n">
        <f aca="false">IFERROR($C211*$E211,"")</f>
        <v>0.6</v>
      </c>
    </row>
    <row r="212" customFormat="false" ht="15" hidden="false" customHeight="true" outlineLevel="0" collapsed="false">
      <c r="A212" s="65" t="s">
        <v>522</v>
      </c>
      <c r="B212" s="65" t="s">
        <v>319</v>
      </c>
      <c r="C212" s="65" t="n">
        <v>1</v>
      </c>
      <c r="D212" s="66" t="str">
        <f aca="false">IFERROR(INDEX(المكونات!$B$2:$B$500,MATCH($B212,المكونات!$A$2:$A$500,0)),"")</f>
        <v>قطعة (ورقة)</v>
      </c>
      <c r="E212" s="67" t="n">
        <f aca="false">IFERROR(INDEX(المكونات!$C$2:$C$500,MATCH($B212,المكونات!$A$2:$A$500,0)),"")</f>
        <v>0.3665</v>
      </c>
      <c r="F212" s="68" t="n">
        <f aca="false">IFERROR($C212*$E212,"")</f>
        <v>0.3665</v>
      </c>
    </row>
    <row r="213" customFormat="false" ht="15" hidden="false" customHeight="true" outlineLevel="0" collapsed="false">
      <c r="A213" s="65" t="s">
        <v>522</v>
      </c>
      <c r="B213" s="65" t="s">
        <v>133</v>
      </c>
      <c r="C213" s="65" t="n">
        <v>1</v>
      </c>
      <c r="D213" s="66" t="str">
        <f aca="false">IFERROR(INDEX(المكونات!$B$2:$B$500,MATCH($B213,المكونات!$A$2:$A$500,0)),"")</f>
        <v>قطعة (كيس)</v>
      </c>
      <c r="E213" s="67" t="n">
        <f aca="false">IFERROR(INDEX(المكونات!$C$2:$C$500,MATCH($B213,المكونات!$A$2:$A$500,0)),"")</f>
        <v>1.4</v>
      </c>
      <c r="F213" s="68" t="n">
        <f aca="false">IFERROR($C213*$E213,"")</f>
        <v>1.4</v>
      </c>
    </row>
    <row r="214" customFormat="false" ht="15" hidden="false" customHeight="true" outlineLevel="0" collapsed="false">
      <c r="A214" s="65" t="s">
        <v>522</v>
      </c>
      <c r="B214" s="65" t="s">
        <v>293</v>
      </c>
      <c r="C214" s="65" t="n">
        <v>1</v>
      </c>
      <c r="D214" s="66" t="str">
        <f aca="false">IFERROR(INDEX(المكونات!$B$2:$B$500,MATCH($B214,المكونات!$A$2:$A$500,0)),"")</f>
        <v>قطعة</v>
      </c>
      <c r="E214" s="67" t="n">
        <f aca="false">IFERROR(INDEX(المكونات!$C$2:$C$500,MATCH($B214,المكونات!$A$2:$A$500,0)),"")</f>
        <v>0.5</v>
      </c>
      <c r="F214" s="68" t="n">
        <f aca="false">IFERROR($C214*$E214,"")</f>
        <v>0.5</v>
      </c>
    </row>
    <row r="215" customFormat="false" ht="15" hidden="false" customHeight="true" outlineLevel="0" collapsed="false">
      <c r="A215" s="65" t="s">
        <v>522</v>
      </c>
      <c r="B215" s="65" t="s">
        <v>211</v>
      </c>
      <c r="C215" s="65" t="n">
        <v>2</v>
      </c>
      <c r="D215" s="66" t="str">
        <f aca="false">IFERROR(INDEX(المكونات!$B$2:$B$500,MATCH($B215,المكونات!$A$2:$A$500,0)),"")</f>
        <v>قطعة (جلفز)</v>
      </c>
      <c r="E215" s="67" t="n">
        <f aca="false">IFERROR(INDEX(المكونات!$C$2:$C$500,MATCH($B215,المكونات!$A$2:$A$500,0)),"")</f>
        <v>0.18</v>
      </c>
      <c r="F215" s="68" t="n">
        <f aca="false">IFERROR($C215*$E215,"")</f>
        <v>0.36</v>
      </c>
    </row>
    <row r="216" customFormat="false" ht="15" hidden="false" customHeight="true" outlineLevel="0" collapsed="false">
      <c r="A216" s="65" t="s">
        <v>522</v>
      </c>
      <c r="B216" s="65" t="s">
        <v>322</v>
      </c>
      <c r="C216" s="65" t="n">
        <v>1</v>
      </c>
      <c r="D216" s="66" t="str">
        <f aca="false">IFERROR(INDEX(المكونات!$B$2:$B$500,MATCH($B216,المكونات!$A$2:$A$500,0)),"")</f>
        <v>قطعة (كيس)</v>
      </c>
      <c r="E216" s="67" t="n">
        <f aca="false">IFERROR(INDEX(المكونات!$C$2:$C$500,MATCH($B216,المكونات!$A$2:$A$500,0)),"")</f>
        <v>1</v>
      </c>
      <c r="F216" s="68" t="n">
        <f aca="false">IFERROR($C216*$E216,"")</f>
        <v>1</v>
      </c>
    </row>
    <row r="217" customFormat="false" ht="15" hidden="false" customHeight="true" outlineLevel="0" collapsed="false">
      <c r="A217" s="65" t="s">
        <v>522</v>
      </c>
      <c r="B217" s="65" t="s">
        <v>150</v>
      </c>
      <c r="C217" s="65" t="n">
        <v>1</v>
      </c>
      <c r="D217" s="66" t="str">
        <f aca="false">IFERROR(INDEX(المكونات!$B$2:$B$500,MATCH($B217,المكونات!$A$2:$A$500,0)),"")</f>
        <v>قطعة</v>
      </c>
      <c r="E217" s="67" t="n">
        <f aca="false">IFERROR(INDEX(المكونات!$C$2:$C$500,MATCH($B217,المكونات!$A$2:$A$500,0)),"")</f>
        <v>95</v>
      </c>
      <c r="F217" s="68" t="n">
        <f aca="false">IFERROR($C217*$E217,"")</f>
        <v>95</v>
      </c>
    </row>
    <row r="218" customFormat="false" ht="15" hidden="false" customHeight="true" outlineLevel="0" collapsed="false">
      <c r="A218" s="65" t="s">
        <v>459</v>
      </c>
      <c r="B218" s="65" t="s">
        <v>262</v>
      </c>
      <c r="C218" s="65" t="n">
        <v>0.3</v>
      </c>
      <c r="D218" s="66" t="str">
        <f aca="false">IFERROR(INDEX(المكونات!$B$2:$B$500,MATCH($B218,المكونات!$A$2:$A$500,0)),"")</f>
        <v>كجم</v>
      </c>
      <c r="E218" s="67" t="n">
        <f aca="false">IFERROR(INDEX(المكونات!$C$2:$C$500,MATCH($B218,المكونات!$A$2:$A$500,0)),"")</f>
        <v>22</v>
      </c>
      <c r="F218" s="68" t="n">
        <f aca="false">IFERROR($C218*$E218,"")</f>
        <v>6.6</v>
      </c>
    </row>
    <row r="219" customFormat="false" ht="15" hidden="false" customHeight="true" outlineLevel="0" collapsed="false">
      <c r="A219" s="65" t="s">
        <v>459</v>
      </c>
      <c r="B219" s="65" t="s">
        <v>250</v>
      </c>
      <c r="C219" s="65" t="n">
        <v>0.06</v>
      </c>
      <c r="D219" s="66" t="str">
        <f aca="false">IFERROR(INDEX(المكونات!$B$2:$B$500,MATCH($B219,المكونات!$A$2:$A$500,0)),"")</f>
        <v>كجم</v>
      </c>
      <c r="E219" s="67" t="n">
        <f aca="false">IFERROR(INDEX(المكونات!$C$2:$C$500,MATCH($B219,المكونات!$A$2:$A$500,0)),"")</f>
        <v>32</v>
      </c>
      <c r="F219" s="68" t="n">
        <f aca="false">IFERROR($C219*$E219,"")</f>
        <v>1.92</v>
      </c>
    </row>
    <row r="220" customFormat="false" ht="15" hidden="false" customHeight="true" outlineLevel="0" collapsed="false">
      <c r="A220" s="65" t="s">
        <v>459</v>
      </c>
      <c r="B220" s="65" t="s">
        <v>260</v>
      </c>
      <c r="C220" s="65" t="n">
        <v>0.045</v>
      </c>
      <c r="D220" s="66" t="str">
        <f aca="false">IFERROR(INDEX(المكونات!$B$2:$B$500,MATCH($B220,المكونات!$A$2:$A$500,0)),"")</f>
        <v>كجم</v>
      </c>
      <c r="E220" s="67" t="n">
        <f aca="false">IFERROR(INDEX(المكونات!$C$2:$C$500,MATCH($B220,المكونات!$A$2:$A$500,0)),"")</f>
        <v>21</v>
      </c>
      <c r="F220" s="68" t="n">
        <f aca="false">IFERROR($C220*$E220,"")</f>
        <v>0.945</v>
      </c>
    </row>
    <row r="221" customFormat="false" ht="15" hidden="false" customHeight="true" outlineLevel="0" collapsed="false">
      <c r="A221" s="65" t="s">
        <v>459</v>
      </c>
      <c r="B221" s="65" t="s">
        <v>284</v>
      </c>
      <c r="C221" s="65" t="n">
        <v>0.03</v>
      </c>
      <c r="D221" s="66" t="str">
        <f aca="false">IFERROR(INDEX(المكونات!$B$2:$B$500,MATCH($B221,المكونات!$A$2:$A$500,0)),"")</f>
        <v>كجم</v>
      </c>
      <c r="E221" s="67" t="n">
        <f aca="false">IFERROR(INDEX(المكونات!$C$2:$C$500,MATCH($B221,المكونات!$A$2:$A$500,0)),"")</f>
        <v>27</v>
      </c>
      <c r="F221" s="68" t="n">
        <f aca="false">IFERROR($C221*$E221,"")</f>
        <v>0.81</v>
      </c>
    </row>
    <row r="222" customFormat="false" ht="15" hidden="false" customHeight="true" outlineLevel="0" collapsed="false">
      <c r="A222" s="65" t="s">
        <v>459</v>
      </c>
      <c r="B222" s="65" t="s">
        <v>227</v>
      </c>
      <c r="C222" s="65" t="n">
        <v>0.03</v>
      </c>
      <c r="D222" s="66" t="str">
        <f aca="false">IFERROR(INDEX(المكونات!$B$2:$B$500,MATCH($B222,المكونات!$A$2:$A$500,0)),"")</f>
        <v>كجم</v>
      </c>
      <c r="E222" s="67" t="n">
        <f aca="false">IFERROR(INDEX(المكونات!$C$2:$C$500,MATCH($B222,المكونات!$A$2:$A$500,0)),"")</f>
        <v>95</v>
      </c>
      <c r="F222" s="68" t="n">
        <f aca="false">IFERROR($C222*$E222,"")</f>
        <v>2.85</v>
      </c>
    </row>
    <row r="223" customFormat="false" ht="15" hidden="false" customHeight="true" outlineLevel="0" collapsed="false">
      <c r="A223" s="65" t="s">
        <v>459</v>
      </c>
      <c r="B223" s="65" t="s">
        <v>174</v>
      </c>
      <c r="C223" s="65" t="n">
        <v>1</v>
      </c>
      <c r="D223" s="66" t="str">
        <f aca="false">IFERROR(INDEX(المكونات!$B$2:$B$500,MATCH($B223,المكونات!$A$2:$A$500,0)),"")</f>
        <v>قطعة</v>
      </c>
      <c r="E223" s="67" t="n">
        <f aca="false">IFERROR(INDEX(المكونات!$C$2:$C$500,MATCH($B223,المكونات!$A$2:$A$500,0)),"")</f>
        <v>27.1395</v>
      </c>
      <c r="F223" s="68" t="n">
        <f aca="false">IFERROR($C223*$E223,"")</f>
        <v>27.1395</v>
      </c>
    </row>
    <row r="224" customFormat="false" ht="15" hidden="false" customHeight="true" outlineLevel="0" collapsed="false">
      <c r="A224" s="65" t="s">
        <v>459</v>
      </c>
      <c r="B224" s="65" t="s">
        <v>268</v>
      </c>
      <c r="C224" s="65" t="n">
        <v>1</v>
      </c>
      <c r="D224" s="66" t="str">
        <f aca="false">IFERROR(INDEX(المكونات!$B$2:$B$500,MATCH($B224,المكونات!$A$2:$A$500,0)),"")</f>
        <v>قطعة</v>
      </c>
      <c r="E224" s="67" t="n">
        <f aca="false">IFERROR(INDEX(المكونات!$C$2:$C$500,MATCH($B224,المكونات!$A$2:$A$500,0)),"")</f>
        <v>5.5</v>
      </c>
      <c r="F224" s="68" t="n">
        <f aca="false">IFERROR($C224*$E224,"")</f>
        <v>5.5</v>
      </c>
    </row>
    <row r="225" customFormat="false" ht="15" hidden="false" customHeight="true" outlineLevel="0" collapsed="false">
      <c r="A225" s="65" t="s">
        <v>459</v>
      </c>
      <c r="B225" s="65" t="s">
        <v>290</v>
      </c>
      <c r="C225" s="65" t="n">
        <v>3</v>
      </c>
      <c r="D225" s="66" t="str">
        <f aca="false">IFERROR(INDEX(المكونات!$B$2:$B$500,MATCH($B225,المكونات!$A$2:$A$500,0)),"")</f>
        <v>قطعة</v>
      </c>
      <c r="E225" s="67" t="n">
        <f aca="false">IFERROR(INDEX(المكونات!$C$2:$C$500,MATCH($B225,المكونات!$A$2:$A$500,0)),"")</f>
        <v>0.3</v>
      </c>
      <c r="F225" s="68" t="n">
        <f aca="false">IFERROR($C225*$E225,"")</f>
        <v>0.9</v>
      </c>
    </row>
    <row r="226" customFormat="false" ht="15" hidden="false" customHeight="true" outlineLevel="0" collapsed="false">
      <c r="A226" s="65" t="s">
        <v>459</v>
      </c>
      <c r="B226" s="65" t="s">
        <v>319</v>
      </c>
      <c r="C226" s="65" t="n">
        <v>1</v>
      </c>
      <c r="D226" s="66" t="str">
        <f aca="false">IFERROR(INDEX(المكونات!$B$2:$B$500,MATCH($B226,المكونات!$A$2:$A$500,0)),"")</f>
        <v>قطعة (ورقة)</v>
      </c>
      <c r="E226" s="67" t="n">
        <f aca="false">IFERROR(INDEX(المكونات!$C$2:$C$500,MATCH($B226,المكونات!$A$2:$A$500,0)),"")</f>
        <v>0.3665</v>
      </c>
      <c r="F226" s="68" t="n">
        <f aca="false">IFERROR($C226*$E226,"")</f>
        <v>0.3665</v>
      </c>
    </row>
    <row r="227" customFormat="false" ht="15" hidden="false" customHeight="true" outlineLevel="0" collapsed="false">
      <c r="A227" s="65" t="s">
        <v>459</v>
      </c>
      <c r="B227" s="65" t="s">
        <v>133</v>
      </c>
      <c r="C227" s="65" t="n">
        <v>1</v>
      </c>
      <c r="D227" s="66" t="str">
        <f aca="false">IFERROR(INDEX(المكونات!$B$2:$B$500,MATCH($B227,المكونات!$A$2:$A$500,0)),"")</f>
        <v>قطعة (كيس)</v>
      </c>
      <c r="E227" s="67" t="n">
        <f aca="false">IFERROR(INDEX(المكونات!$C$2:$C$500,MATCH($B227,المكونات!$A$2:$A$500,0)),"")</f>
        <v>1.4</v>
      </c>
      <c r="F227" s="68" t="n">
        <f aca="false">IFERROR($C227*$E227,"")</f>
        <v>1.4</v>
      </c>
    </row>
    <row r="228" customFormat="false" ht="15" hidden="false" customHeight="true" outlineLevel="0" collapsed="false">
      <c r="A228" s="65" t="s">
        <v>459</v>
      </c>
      <c r="B228" s="65" t="s">
        <v>293</v>
      </c>
      <c r="C228" s="65" t="n">
        <v>1</v>
      </c>
      <c r="D228" s="66" t="str">
        <f aca="false">IFERROR(INDEX(المكونات!$B$2:$B$500,MATCH($B228,المكونات!$A$2:$A$500,0)),"")</f>
        <v>قطعة</v>
      </c>
      <c r="E228" s="67" t="n">
        <f aca="false">IFERROR(INDEX(المكونات!$C$2:$C$500,MATCH($B228,المكونات!$A$2:$A$500,0)),"")</f>
        <v>0.5</v>
      </c>
      <c r="F228" s="68" t="n">
        <f aca="false">IFERROR($C228*$E228,"")</f>
        <v>0.5</v>
      </c>
    </row>
    <row r="229" customFormat="false" ht="15" hidden="false" customHeight="true" outlineLevel="0" collapsed="false">
      <c r="A229" s="65" t="s">
        <v>459</v>
      </c>
      <c r="B229" s="65" t="s">
        <v>211</v>
      </c>
      <c r="C229" s="65" t="n">
        <v>2</v>
      </c>
      <c r="D229" s="66" t="str">
        <f aca="false">IFERROR(INDEX(المكونات!$B$2:$B$500,MATCH($B229,المكونات!$A$2:$A$500,0)),"")</f>
        <v>قطعة (جلفز)</v>
      </c>
      <c r="E229" s="67" t="n">
        <f aca="false">IFERROR(INDEX(المكونات!$C$2:$C$500,MATCH($B229,المكونات!$A$2:$A$500,0)),"")</f>
        <v>0.18</v>
      </c>
      <c r="F229" s="68" t="n">
        <f aca="false">IFERROR($C229*$E229,"")</f>
        <v>0.36</v>
      </c>
    </row>
    <row r="230" customFormat="false" ht="15" hidden="false" customHeight="true" outlineLevel="0" collapsed="false">
      <c r="A230" s="65" t="s">
        <v>459</v>
      </c>
      <c r="B230" s="65" t="s">
        <v>322</v>
      </c>
      <c r="C230" s="65" t="n">
        <v>1</v>
      </c>
      <c r="D230" s="66" t="str">
        <f aca="false">IFERROR(INDEX(المكونات!$B$2:$B$500,MATCH($B230,المكونات!$A$2:$A$500,0)),"")</f>
        <v>قطعة (كيس)</v>
      </c>
      <c r="E230" s="67" t="n">
        <f aca="false">IFERROR(INDEX(المكونات!$C$2:$C$500,MATCH($B230,المكونات!$A$2:$A$500,0)),"")</f>
        <v>1</v>
      </c>
      <c r="F230" s="68" t="n">
        <f aca="false">IFERROR($C230*$E230,"")</f>
        <v>1</v>
      </c>
    </row>
    <row r="231" customFormat="false" ht="15" hidden="false" customHeight="true" outlineLevel="0" collapsed="false">
      <c r="A231" s="65" t="s">
        <v>459</v>
      </c>
      <c r="B231" s="65" t="s">
        <v>150</v>
      </c>
      <c r="C231" s="65" t="n">
        <v>1.5</v>
      </c>
      <c r="D231" s="66" t="str">
        <f aca="false">IFERROR(INDEX(المكونات!$B$2:$B$500,MATCH($B231,المكونات!$A$2:$A$500,0)),"")</f>
        <v>قطعة</v>
      </c>
      <c r="E231" s="67" t="n">
        <f aca="false">IFERROR(INDEX(المكونات!$C$2:$C$500,MATCH($B231,المكونات!$A$2:$A$500,0)),"")</f>
        <v>95</v>
      </c>
      <c r="F231" s="68" t="n">
        <f aca="false">IFERROR($C231*$E231,"")</f>
        <v>142.5</v>
      </c>
    </row>
    <row r="232" customFormat="false" ht="15" hidden="false" customHeight="true" outlineLevel="0" collapsed="false">
      <c r="A232" s="65" t="s">
        <v>458</v>
      </c>
      <c r="B232" s="65" t="s">
        <v>262</v>
      </c>
      <c r="C232" s="65" t="n">
        <v>0.22</v>
      </c>
      <c r="D232" s="66" t="str">
        <f aca="false">IFERROR(INDEX(المكونات!$B$2:$B$500,MATCH($B232,المكونات!$A$2:$A$500,0)),"")</f>
        <v>كجم</v>
      </c>
      <c r="E232" s="67" t="n">
        <f aca="false">IFERROR(INDEX(المكونات!$C$2:$C$500,MATCH($B232,المكونات!$A$2:$A$500,0)),"")</f>
        <v>22</v>
      </c>
      <c r="F232" s="68" t="n">
        <f aca="false">IFERROR($C232*$E232,"")</f>
        <v>4.84</v>
      </c>
    </row>
    <row r="233" customFormat="false" ht="15" hidden="false" customHeight="true" outlineLevel="0" collapsed="false">
      <c r="A233" s="65" t="s">
        <v>458</v>
      </c>
      <c r="B233" s="65" t="s">
        <v>250</v>
      </c>
      <c r="C233" s="65" t="n">
        <v>0.04</v>
      </c>
      <c r="D233" s="66" t="str">
        <f aca="false">IFERROR(INDEX(المكونات!$B$2:$B$500,MATCH($B233,المكونات!$A$2:$A$500,0)),"")</f>
        <v>كجم</v>
      </c>
      <c r="E233" s="67" t="n">
        <f aca="false">IFERROR(INDEX(المكونات!$C$2:$C$500,MATCH($B233,المكونات!$A$2:$A$500,0)),"")</f>
        <v>32</v>
      </c>
      <c r="F233" s="68" t="n">
        <f aca="false">IFERROR($C233*$E233,"")</f>
        <v>1.28</v>
      </c>
    </row>
    <row r="234" customFormat="false" ht="15" hidden="false" customHeight="true" outlineLevel="0" collapsed="false">
      <c r="A234" s="65" t="s">
        <v>458</v>
      </c>
      <c r="B234" s="65" t="s">
        <v>260</v>
      </c>
      <c r="C234" s="65" t="n">
        <v>0.03</v>
      </c>
      <c r="D234" s="66" t="str">
        <f aca="false">IFERROR(INDEX(المكونات!$B$2:$B$500,MATCH($B234,المكونات!$A$2:$A$500,0)),"")</f>
        <v>كجم</v>
      </c>
      <c r="E234" s="67" t="n">
        <f aca="false">IFERROR(INDEX(المكونات!$C$2:$C$500,MATCH($B234,المكونات!$A$2:$A$500,0)),"")</f>
        <v>21</v>
      </c>
      <c r="F234" s="68" t="n">
        <f aca="false">IFERROR($C234*$E234,"")</f>
        <v>0.63</v>
      </c>
    </row>
    <row r="235" customFormat="false" ht="15" hidden="false" customHeight="true" outlineLevel="0" collapsed="false">
      <c r="A235" s="65" t="s">
        <v>458</v>
      </c>
      <c r="B235" s="65" t="s">
        <v>284</v>
      </c>
      <c r="C235" s="65" t="n">
        <v>0.02</v>
      </c>
      <c r="D235" s="66" t="str">
        <f aca="false">IFERROR(INDEX(المكونات!$B$2:$B$500,MATCH($B235,المكونات!$A$2:$A$500,0)),"")</f>
        <v>كجم</v>
      </c>
      <c r="E235" s="67" t="n">
        <f aca="false">IFERROR(INDEX(المكونات!$C$2:$C$500,MATCH($B235,المكونات!$A$2:$A$500,0)),"")</f>
        <v>27</v>
      </c>
      <c r="F235" s="68" t="n">
        <f aca="false">IFERROR($C235*$E235,"")</f>
        <v>0.54</v>
      </c>
    </row>
    <row r="236" customFormat="false" ht="15" hidden="false" customHeight="true" outlineLevel="0" collapsed="false">
      <c r="A236" s="65" t="s">
        <v>458</v>
      </c>
      <c r="B236" s="65" t="s">
        <v>227</v>
      </c>
      <c r="C236" s="65" t="n">
        <v>0.02</v>
      </c>
      <c r="D236" s="66" t="str">
        <f aca="false">IFERROR(INDEX(المكونات!$B$2:$B$500,MATCH($B236,المكونات!$A$2:$A$500,0)),"")</f>
        <v>كجم</v>
      </c>
      <c r="E236" s="67" t="n">
        <f aca="false">IFERROR(INDEX(المكونات!$C$2:$C$500,MATCH($B236,المكونات!$A$2:$A$500,0)),"")</f>
        <v>95</v>
      </c>
      <c r="F236" s="68" t="n">
        <f aca="false">IFERROR($C236*$E236,"")</f>
        <v>1.9</v>
      </c>
    </row>
    <row r="237" customFormat="false" ht="15" hidden="false" customHeight="true" outlineLevel="0" collapsed="false">
      <c r="A237" s="65" t="s">
        <v>458</v>
      </c>
      <c r="B237" s="65" t="s">
        <v>172</v>
      </c>
      <c r="C237" s="65" t="n">
        <v>1</v>
      </c>
      <c r="D237" s="66" t="str">
        <f aca="false">IFERROR(INDEX(المكونات!$B$2:$B$500,MATCH($B237,المكونات!$A$2:$A$500,0)),"")</f>
        <v>قطعة</v>
      </c>
      <c r="E237" s="67" t="n">
        <f aca="false">IFERROR(INDEX(المكونات!$C$2:$C$500,MATCH($B237,المكونات!$A$2:$A$500,0)),"")</f>
        <v>20</v>
      </c>
      <c r="F237" s="68" t="n">
        <f aca="false">IFERROR($C237*$E237,"")</f>
        <v>20</v>
      </c>
    </row>
    <row r="238" customFormat="false" ht="15" hidden="false" customHeight="true" outlineLevel="0" collapsed="false">
      <c r="A238" s="65" t="s">
        <v>458</v>
      </c>
      <c r="B238" s="65" t="s">
        <v>270</v>
      </c>
      <c r="C238" s="65" t="n">
        <v>1</v>
      </c>
      <c r="D238" s="66" t="str">
        <f aca="false">IFERROR(INDEX(المكونات!$B$2:$B$500,MATCH($B238,المكونات!$A$2:$A$500,0)),"")</f>
        <v>قطعة</v>
      </c>
      <c r="E238" s="67" t="n">
        <f aca="false">IFERROR(INDEX(المكونات!$C$2:$C$500,MATCH($B238,المكونات!$A$2:$A$500,0)),"")</f>
        <v>4.5</v>
      </c>
      <c r="F238" s="68" t="n">
        <f aca="false">IFERROR($C238*$E238,"")</f>
        <v>4.5</v>
      </c>
    </row>
    <row r="239" customFormat="false" ht="15" hidden="false" customHeight="true" outlineLevel="0" collapsed="false">
      <c r="A239" s="65" t="s">
        <v>458</v>
      </c>
      <c r="B239" s="65" t="s">
        <v>290</v>
      </c>
      <c r="C239" s="65" t="n">
        <v>2</v>
      </c>
      <c r="D239" s="66" t="str">
        <f aca="false">IFERROR(INDEX(المكونات!$B$2:$B$500,MATCH($B239,المكونات!$A$2:$A$500,0)),"")</f>
        <v>قطعة</v>
      </c>
      <c r="E239" s="67" t="n">
        <f aca="false">IFERROR(INDEX(المكونات!$C$2:$C$500,MATCH($B239,المكونات!$A$2:$A$500,0)),"")</f>
        <v>0.3</v>
      </c>
      <c r="F239" s="68" t="n">
        <f aca="false">IFERROR($C239*$E239,"")</f>
        <v>0.6</v>
      </c>
    </row>
    <row r="240" customFormat="false" ht="15" hidden="false" customHeight="true" outlineLevel="0" collapsed="false">
      <c r="A240" s="65" t="s">
        <v>458</v>
      </c>
      <c r="B240" s="65" t="s">
        <v>319</v>
      </c>
      <c r="C240" s="65" t="n">
        <v>1</v>
      </c>
      <c r="D240" s="66" t="str">
        <f aca="false">IFERROR(INDEX(المكونات!$B$2:$B$500,MATCH($B240,المكونات!$A$2:$A$500,0)),"")</f>
        <v>قطعة (ورقة)</v>
      </c>
      <c r="E240" s="67" t="n">
        <f aca="false">IFERROR(INDEX(المكونات!$C$2:$C$500,MATCH($B240,المكونات!$A$2:$A$500,0)),"")</f>
        <v>0.3665</v>
      </c>
      <c r="F240" s="68" t="n">
        <f aca="false">IFERROR($C240*$E240,"")</f>
        <v>0.3665</v>
      </c>
    </row>
    <row r="241" customFormat="false" ht="15" hidden="false" customHeight="true" outlineLevel="0" collapsed="false">
      <c r="A241" s="65" t="s">
        <v>458</v>
      </c>
      <c r="B241" s="65" t="s">
        <v>133</v>
      </c>
      <c r="C241" s="65" t="n">
        <v>1</v>
      </c>
      <c r="D241" s="66" t="str">
        <f aca="false">IFERROR(INDEX(المكونات!$B$2:$B$500,MATCH($B241,المكونات!$A$2:$A$500,0)),"")</f>
        <v>قطعة (كيس)</v>
      </c>
      <c r="E241" s="67" t="n">
        <f aca="false">IFERROR(INDEX(المكونات!$C$2:$C$500,MATCH($B241,المكونات!$A$2:$A$500,0)),"")</f>
        <v>1.4</v>
      </c>
      <c r="F241" s="68" t="n">
        <f aca="false">IFERROR($C241*$E241,"")</f>
        <v>1.4</v>
      </c>
    </row>
    <row r="242" customFormat="false" ht="15" hidden="false" customHeight="true" outlineLevel="0" collapsed="false">
      <c r="A242" s="65" t="s">
        <v>458</v>
      </c>
      <c r="B242" s="65" t="s">
        <v>293</v>
      </c>
      <c r="C242" s="65" t="n">
        <v>1</v>
      </c>
      <c r="D242" s="66" t="str">
        <f aca="false">IFERROR(INDEX(المكونات!$B$2:$B$500,MATCH($B242,المكونات!$A$2:$A$500,0)),"")</f>
        <v>قطعة</v>
      </c>
      <c r="E242" s="67" t="n">
        <f aca="false">IFERROR(INDEX(المكونات!$C$2:$C$500,MATCH($B242,المكونات!$A$2:$A$500,0)),"")</f>
        <v>0.5</v>
      </c>
      <c r="F242" s="68" t="n">
        <f aca="false">IFERROR($C242*$E242,"")</f>
        <v>0.5</v>
      </c>
    </row>
    <row r="243" customFormat="false" ht="15" hidden="false" customHeight="true" outlineLevel="0" collapsed="false">
      <c r="A243" s="65" t="s">
        <v>458</v>
      </c>
      <c r="B243" s="65" t="s">
        <v>211</v>
      </c>
      <c r="C243" s="65" t="n">
        <v>2</v>
      </c>
      <c r="D243" s="66" t="str">
        <f aca="false">IFERROR(INDEX(المكونات!$B$2:$B$500,MATCH($B243,المكونات!$A$2:$A$500,0)),"")</f>
        <v>قطعة (جلفز)</v>
      </c>
      <c r="E243" s="67" t="n">
        <f aca="false">IFERROR(INDEX(المكونات!$C$2:$C$500,MATCH($B243,المكونات!$A$2:$A$500,0)),"")</f>
        <v>0.18</v>
      </c>
      <c r="F243" s="68" t="n">
        <f aca="false">IFERROR($C243*$E243,"")</f>
        <v>0.36</v>
      </c>
    </row>
    <row r="244" customFormat="false" ht="15" hidden="false" customHeight="true" outlineLevel="0" collapsed="false">
      <c r="A244" s="65" t="s">
        <v>458</v>
      </c>
      <c r="B244" s="65" t="s">
        <v>322</v>
      </c>
      <c r="C244" s="65" t="n">
        <v>1</v>
      </c>
      <c r="D244" s="66" t="str">
        <f aca="false">IFERROR(INDEX(المكونات!$B$2:$B$500,MATCH($B244,المكونات!$A$2:$A$500,0)),"")</f>
        <v>قطعة (كيس)</v>
      </c>
      <c r="E244" s="67" t="n">
        <f aca="false">IFERROR(INDEX(المكونات!$C$2:$C$500,MATCH($B244,المكونات!$A$2:$A$500,0)),"")</f>
        <v>1</v>
      </c>
      <c r="F244" s="68" t="n">
        <f aca="false">IFERROR($C244*$E244,"")</f>
        <v>1</v>
      </c>
    </row>
    <row r="245" customFormat="false" ht="15" hidden="false" customHeight="true" outlineLevel="0" collapsed="false">
      <c r="A245" s="65" t="s">
        <v>458</v>
      </c>
      <c r="B245" s="65" t="s">
        <v>162</v>
      </c>
      <c r="C245" s="65" t="n">
        <v>1</v>
      </c>
      <c r="D245" s="66" t="str">
        <f aca="false">IFERROR(INDEX(المكونات!$B$2:$B$500,MATCH($B245,المكونات!$A$2:$A$500,0)),"")</f>
        <v>قطعة</v>
      </c>
      <c r="E245" s="67" t="n">
        <f aca="false">IFERROR(INDEX(المكونات!$C$2:$C$500,MATCH($B245,المكونات!$A$2:$A$500,0)),"")</f>
        <v>30</v>
      </c>
      <c r="F245" s="68" t="n">
        <f aca="false">IFERROR($C245*$E245,"")</f>
        <v>30</v>
      </c>
    </row>
    <row r="246" customFormat="false" ht="15" hidden="false" customHeight="true" outlineLevel="0" collapsed="false">
      <c r="A246" s="65" t="s">
        <v>458</v>
      </c>
      <c r="B246" s="65" t="s">
        <v>256</v>
      </c>
      <c r="C246" s="65" t="n">
        <v>0.1</v>
      </c>
      <c r="D246" s="66" t="str">
        <f aca="false">IFERROR(INDEX(المكونات!$B$2:$B$500,MATCH($B246,المكونات!$A$2:$A$500,0)),"")</f>
        <v>كجم</v>
      </c>
      <c r="E246" s="67" t="n">
        <f aca="false">IFERROR(INDEX(المكونات!$C$2:$C$500,MATCH($B246,المكونات!$A$2:$A$500,0)),"")</f>
        <v>105</v>
      </c>
      <c r="F246" s="68" t="n">
        <f aca="false">IFERROR($C246*$E246,"")</f>
        <v>10.5</v>
      </c>
    </row>
    <row r="247" customFormat="false" ht="15" hidden="false" customHeight="true" outlineLevel="0" collapsed="false">
      <c r="A247" s="65" t="s">
        <v>382</v>
      </c>
      <c r="B247" s="65" t="s">
        <v>262</v>
      </c>
      <c r="C247" s="65" t="n">
        <v>0.3</v>
      </c>
      <c r="D247" s="66" t="str">
        <f aca="false">IFERROR(INDEX(المكونات!$B$2:$B$500,MATCH($B247,المكونات!$A$2:$A$500,0)),"")</f>
        <v>كجم</v>
      </c>
      <c r="E247" s="67" t="n">
        <f aca="false">IFERROR(INDEX(المكونات!$C$2:$C$500,MATCH($B247,المكونات!$A$2:$A$500,0)),"")</f>
        <v>22</v>
      </c>
      <c r="F247" s="68" t="n">
        <f aca="false">IFERROR($C247*$E247,"")</f>
        <v>6.6</v>
      </c>
    </row>
    <row r="248" customFormat="false" ht="15" hidden="false" customHeight="true" outlineLevel="0" collapsed="false">
      <c r="A248" s="65" t="s">
        <v>382</v>
      </c>
      <c r="B248" s="65" t="s">
        <v>250</v>
      </c>
      <c r="C248" s="65" t="n">
        <v>0.06</v>
      </c>
      <c r="D248" s="66" t="str">
        <f aca="false">IFERROR(INDEX(المكونات!$B$2:$B$500,MATCH($B248,المكونات!$A$2:$A$500,0)),"")</f>
        <v>كجم</v>
      </c>
      <c r="E248" s="67" t="n">
        <f aca="false">IFERROR(INDEX(المكونات!$C$2:$C$500,MATCH($B248,المكونات!$A$2:$A$500,0)),"")</f>
        <v>32</v>
      </c>
      <c r="F248" s="68" t="n">
        <f aca="false">IFERROR($C248*$E248,"")</f>
        <v>1.92</v>
      </c>
    </row>
    <row r="249" customFormat="false" ht="15" hidden="false" customHeight="true" outlineLevel="0" collapsed="false">
      <c r="A249" s="65" t="s">
        <v>382</v>
      </c>
      <c r="B249" s="65" t="s">
        <v>260</v>
      </c>
      <c r="C249" s="65" t="n">
        <v>0.045</v>
      </c>
      <c r="D249" s="66" t="str">
        <f aca="false">IFERROR(INDEX(المكونات!$B$2:$B$500,MATCH($B249,المكونات!$A$2:$A$500,0)),"")</f>
        <v>كجم</v>
      </c>
      <c r="E249" s="67" t="n">
        <f aca="false">IFERROR(INDEX(المكونات!$C$2:$C$500,MATCH($B249,المكونات!$A$2:$A$500,0)),"")</f>
        <v>21</v>
      </c>
      <c r="F249" s="68" t="n">
        <f aca="false">IFERROR($C249*$E249,"")</f>
        <v>0.945</v>
      </c>
    </row>
    <row r="250" customFormat="false" ht="15" hidden="false" customHeight="true" outlineLevel="0" collapsed="false">
      <c r="A250" s="65" t="s">
        <v>382</v>
      </c>
      <c r="B250" s="65" t="s">
        <v>284</v>
      </c>
      <c r="C250" s="65" t="n">
        <v>0.03</v>
      </c>
      <c r="D250" s="66" t="str">
        <f aca="false">IFERROR(INDEX(المكونات!$B$2:$B$500,MATCH($B250,المكونات!$A$2:$A$500,0)),"")</f>
        <v>كجم</v>
      </c>
      <c r="E250" s="67" t="n">
        <f aca="false">IFERROR(INDEX(المكونات!$C$2:$C$500,MATCH($B250,المكونات!$A$2:$A$500,0)),"")</f>
        <v>27</v>
      </c>
      <c r="F250" s="68" t="n">
        <f aca="false">IFERROR($C250*$E250,"")</f>
        <v>0.81</v>
      </c>
    </row>
    <row r="251" customFormat="false" ht="15" hidden="false" customHeight="true" outlineLevel="0" collapsed="false">
      <c r="A251" s="65" t="s">
        <v>382</v>
      </c>
      <c r="B251" s="65" t="s">
        <v>227</v>
      </c>
      <c r="C251" s="65" t="n">
        <v>0.03</v>
      </c>
      <c r="D251" s="66" t="str">
        <f aca="false">IFERROR(INDEX(المكونات!$B$2:$B$500,MATCH($B251,المكونات!$A$2:$A$500,0)),"")</f>
        <v>كجم</v>
      </c>
      <c r="E251" s="67" t="n">
        <f aca="false">IFERROR(INDEX(المكونات!$C$2:$C$500,MATCH($B251,المكونات!$A$2:$A$500,0)),"")</f>
        <v>95</v>
      </c>
      <c r="F251" s="68" t="n">
        <f aca="false">IFERROR($C251*$E251,"")</f>
        <v>2.85</v>
      </c>
    </row>
    <row r="252" customFormat="false" ht="15" hidden="false" customHeight="true" outlineLevel="0" collapsed="false">
      <c r="A252" s="65" t="s">
        <v>382</v>
      </c>
      <c r="B252" s="65" t="s">
        <v>174</v>
      </c>
      <c r="C252" s="65" t="n">
        <v>1</v>
      </c>
      <c r="D252" s="66" t="str">
        <f aca="false">IFERROR(INDEX(المكونات!$B$2:$B$500,MATCH($B252,المكونات!$A$2:$A$500,0)),"")</f>
        <v>قطعة</v>
      </c>
      <c r="E252" s="67" t="n">
        <f aca="false">IFERROR(INDEX(المكونات!$C$2:$C$500,MATCH($B252,المكونات!$A$2:$A$500,0)),"")</f>
        <v>27.1395</v>
      </c>
      <c r="F252" s="68" t="n">
        <f aca="false">IFERROR($C252*$E252,"")</f>
        <v>27.1395</v>
      </c>
    </row>
    <row r="253" customFormat="false" ht="15" hidden="false" customHeight="true" outlineLevel="0" collapsed="false">
      <c r="A253" s="65" t="s">
        <v>382</v>
      </c>
      <c r="B253" s="65" t="s">
        <v>268</v>
      </c>
      <c r="C253" s="65" t="n">
        <v>1</v>
      </c>
      <c r="D253" s="66" t="str">
        <f aca="false">IFERROR(INDEX(المكونات!$B$2:$B$500,MATCH($B253,المكونات!$A$2:$A$500,0)),"")</f>
        <v>قطعة</v>
      </c>
      <c r="E253" s="67" t="n">
        <f aca="false">IFERROR(INDEX(المكونات!$C$2:$C$500,MATCH($B253,المكونات!$A$2:$A$500,0)),"")</f>
        <v>5.5</v>
      </c>
      <c r="F253" s="68" t="n">
        <f aca="false">IFERROR($C253*$E253,"")</f>
        <v>5.5</v>
      </c>
    </row>
    <row r="254" customFormat="false" ht="15" hidden="false" customHeight="true" outlineLevel="0" collapsed="false">
      <c r="A254" s="65" t="s">
        <v>382</v>
      </c>
      <c r="B254" s="65" t="s">
        <v>290</v>
      </c>
      <c r="C254" s="65" t="n">
        <v>3</v>
      </c>
      <c r="D254" s="66" t="str">
        <f aca="false">IFERROR(INDEX(المكونات!$B$2:$B$500,MATCH($B254,المكونات!$A$2:$A$500,0)),"")</f>
        <v>قطعة</v>
      </c>
      <c r="E254" s="67" t="n">
        <f aca="false">IFERROR(INDEX(المكونات!$C$2:$C$500,MATCH($B254,المكونات!$A$2:$A$500,0)),"")</f>
        <v>0.3</v>
      </c>
      <c r="F254" s="68" t="n">
        <f aca="false">IFERROR($C254*$E254,"")</f>
        <v>0.9</v>
      </c>
    </row>
    <row r="255" customFormat="false" ht="15" hidden="false" customHeight="true" outlineLevel="0" collapsed="false">
      <c r="A255" s="65" t="s">
        <v>382</v>
      </c>
      <c r="B255" s="65" t="s">
        <v>319</v>
      </c>
      <c r="C255" s="65" t="n">
        <v>1</v>
      </c>
      <c r="D255" s="66" t="str">
        <f aca="false">IFERROR(INDEX(المكونات!$B$2:$B$500,MATCH($B255,المكونات!$A$2:$A$500,0)),"")</f>
        <v>قطعة (ورقة)</v>
      </c>
      <c r="E255" s="67" t="n">
        <f aca="false">IFERROR(INDEX(المكونات!$C$2:$C$500,MATCH($B255,المكونات!$A$2:$A$500,0)),"")</f>
        <v>0.3665</v>
      </c>
      <c r="F255" s="68" t="n">
        <f aca="false">IFERROR($C255*$E255,"")</f>
        <v>0.3665</v>
      </c>
    </row>
    <row r="256" customFormat="false" ht="15" hidden="false" customHeight="true" outlineLevel="0" collapsed="false">
      <c r="A256" s="65" t="s">
        <v>382</v>
      </c>
      <c r="B256" s="65" t="s">
        <v>133</v>
      </c>
      <c r="C256" s="65" t="n">
        <v>1</v>
      </c>
      <c r="D256" s="66" t="str">
        <f aca="false">IFERROR(INDEX(المكونات!$B$2:$B$500,MATCH($B256,المكونات!$A$2:$A$500,0)),"")</f>
        <v>قطعة (كيس)</v>
      </c>
      <c r="E256" s="67" t="n">
        <f aca="false">IFERROR(INDEX(المكونات!$C$2:$C$500,MATCH($B256,المكونات!$A$2:$A$500,0)),"")</f>
        <v>1.4</v>
      </c>
      <c r="F256" s="68" t="n">
        <f aca="false">IFERROR($C256*$E256,"")</f>
        <v>1.4</v>
      </c>
    </row>
    <row r="257" customFormat="false" ht="15" hidden="false" customHeight="true" outlineLevel="0" collapsed="false">
      <c r="A257" s="65" t="s">
        <v>382</v>
      </c>
      <c r="B257" s="65" t="s">
        <v>293</v>
      </c>
      <c r="C257" s="65" t="n">
        <v>1</v>
      </c>
      <c r="D257" s="66" t="str">
        <f aca="false">IFERROR(INDEX(المكونات!$B$2:$B$500,MATCH($B257,المكونات!$A$2:$A$500,0)),"")</f>
        <v>قطعة</v>
      </c>
      <c r="E257" s="67" t="n">
        <f aca="false">IFERROR(INDEX(المكونات!$C$2:$C$500,MATCH($B257,المكونات!$A$2:$A$500,0)),"")</f>
        <v>0.5</v>
      </c>
      <c r="F257" s="68" t="n">
        <f aca="false">IFERROR($C257*$E257,"")</f>
        <v>0.5</v>
      </c>
    </row>
    <row r="258" customFormat="false" ht="15" hidden="false" customHeight="true" outlineLevel="0" collapsed="false">
      <c r="A258" s="65" t="s">
        <v>382</v>
      </c>
      <c r="B258" s="65" t="s">
        <v>211</v>
      </c>
      <c r="C258" s="65" t="n">
        <v>2</v>
      </c>
      <c r="D258" s="66" t="str">
        <f aca="false">IFERROR(INDEX(المكونات!$B$2:$B$500,MATCH($B258,المكونات!$A$2:$A$500,0)),"")</f>
        <v>قطعة (جلفز)</v>
      </c>
      <c r="E258" s="67" t="n">
        <f aca="false">IFERROR(INDEX(المكونات!$C$2:$C$500,MATCH($B258,المكونات!$A$2:$A$500,0)),"")</f>
        <v>0.18</v>
      </c>
      <c r="F258" s="68" t="n">
        <f aca="false">IFERROR($C258*$E258,"")</f>
        <v>0.36</v>
      </c>
    </row>
    <row r="259" customFormat="false" ht="15" hidden="false" customHeight="true" outlineLevel="0" collapsed="false">
      <c r="A259" s="65" t="s">
        <v>382</v>
      </c>
      <c r="B259" s="65" t="s">
        <v>322</v>
      </c>
      <c r="C259" s="65" t="n">
        <v>1</v>
      </c>
      <c r="D259" s="66" t="str">
        <f aca="false">IFERROR(INDEX(المكونات!$B$2:$B$500,MATCH($B259,المكونات!$A$2:$A$500,0)),"")</f>
        <v>قطعة (كيس)</v>
      </c>
      <c r="E259" s="67" t="n">
        <f aca="false">IFERROR(INDEX(المكونات!$C$2:$C$500,MATCH($B259,المكونات!$A$2:$A$500,0)),"")</f>
        <v>1</v>
      </c>
      <c r="F259" s="68" t="n">
        <f aca="false">IFERROR($C259*$E259,"")</f>
        <v>1</v>
      </c>
    </row>
    <row r="260" customFormat="false" ht="15" hidden="false" customHeight="true" outlineLevel="0" collapsed="false">
      <c r="A260" s="65" t="s">
        <v>382</v>
      </c>
      <c r="B260" s="65" t="s">
        <v>164</v>
      </c>
      <c r="C260" s="65" t="n">
        <v>1</v>
      </c>
      <c r="D260" s="66" t="str">
        <f aca="false">IFERROR(INDEX(المكونات!$B$2:$B$500,MATCH($B260,المكونات!$A$2:$A$500,0)),"")</f>
        <v>قطعة</v>
      </c>
      <c r="E260" s="67" t="n">
        <f aca="false">IFERROR(INDEX(المكونات!$C$2:$C$500,MATCH($B260,المكونات!$A$2:$A$500,0)),"")</f>
        <v>29</v>
      </c>
      <c r="F260" s="68" t="n">
        <f aca="false">IFERROR($C260*$E260,"")</f>
        <v>29</v>
      </c>
    </row>
    <row r="261" customFormat="false" ht="15" hidden="false" customHeight="true" outlineLevel="0" collapsed="false">
      <c r="A261" s="65" t="s">
        <v>382</v>
      </c>
      <c r="B261" s="65" t="s">
        <v>256</v>
      </c>
      <c r="C261" s="65" t="n">
        <v>0.15</v>
      </c>
      <c r="D261" s="66" t="str">
        <f aca="false">IFERROR(INDEX(المكونات!$B$2:$B$500,MATCH($B261,المكونات!$A$2:$A$500,0)),"")</f>
        <v>كجم</v>
      </c>
      <c r="E261" s="67" t="n">
        <f aca="false">IFERROR(INDEX(المكونات!$C$2:$C$500,MATCH($B261,المكونات!$A$2:$A$500,0)),"")</f>
        <v>105</v>
      </c>
      <c r="F261" s="68" t="n">
        <f aca="false">IFERROR($C261*$E261,"")</f>
        <v>15.75</v>
      </c>
    </row>
    <row r="262" customFormat="false" ht="15" hidden="false" customHeight="true" outlineLevel="0" collapsed="false">
      <c r="A262" s="65" t="s">
        <v>475</v>
      </c>
      <c r="B262" s="65" t="s">
        <v>262</v>
      </c>
      <c r="C262" s="65" t="n">
        <v>0.22</v>
      </c>
      <c r="D262" s="66" t="str">
        <f aca="false">IFERROR(INDEX(المكونات!$B$2:$B$500,MATCH($B262,المكونات!$A$2:$A$500,0)),"")</f>
        <v>كجم</v>
      </c>
      <c r="E262" s="67" t="n">
        <f aca="false">IFERROR(INDEX(المكونات!$C$2:$C$500,MATCH($B262,المكونات!$A$2:$A$500,0)),"")</f>
        <v>22</v>
      </c>
      <c r="F262" s="68" t="n">
        <f aca="false">IFERROR($C262*$E262,"")</f>
        <v>4.84</v>
      </c>
    </row>
    <row r="263" customFormat="false" ht="15" hidden="false" customHeight="true" outlineLevel="0" collapsed="false">
      <c r="A263" s="65" t="s">
        <v>475</v>
      </c>
      <c r="B263" s="65" t="s">
        <v>250</v>
      </c>
      <c r="C263" s="65" t="n">
        <v>0.04</v>
      </c>
      <c r="D263" s="66" t="str">
        <f aca="false">IFERROR(INDEX(المكونات!$B$2:$B$500,MATCH($B263,المكونات!$A$2:$A$500,0)),"")</f>
        <v>كجم</v>
      </c>
      <c r="E263" s="67" t="n">
        <f aca="false">IFERROR(INDEX(المكونات!$C$2:$C$500,MATCH($B263,المكونات!$A$2:$A$500,0)),"")</f>
        <v>32</v>
      </c>
      <c r="F263" s="68" t="n">
        <f aca="false">IFERROR($C263*$E263,"")</f>
        <v>1.28</v>
      </c>
    </row>
    <row r="264" customFormat="false" ht="15" hidden="false" customHeight="true" outlineLevel="0" collapsed="false">
      <c r="A264" s="65" t="s">
        <v>475</v>
      </c>
      <c r="B264" s="65" t="s">
        <v>260</v>
      </c>
      <c r="C264" s="65" t="n">
        <v>0.03</v>
      </c>
      <c r="D264" s="66" t="str">
        <f aca="false">IFERROR(INDEX(المكونات!$B$2:$B$500,MATCH($B264,المكونات!$A$2:$A$500,0)),"")</f>
        <v>كجم</v>
      </c>
      <c r="E264" s="67" t="n">
        <f aca="false">IFERROR(INDEX(المكونات!$C$2:$C$500,MATCH($B264,المكونات!$A$2:$A$500,0)),"")</f>
        <v>21</v>
      </c>
      <c r="F264" s="68" t="n">
        <f aca="false">IFERROR($C264*$E264,"")</f>
        <v>0.63</v>
      </c>
    </row>
    <row r="265" customFormat="false" ht="15" hidden="false" customHeight="true" outlineLevel="0" collapsed="false">
      <c r="A265" s="65" t="s">
        <v>475</v>
      </c>
      <c r="B265" s="65" t="s">
        <v>284</v>
      </c>
      <c r="C265" s="65" t="n">
        <v>0.02</v>
      </c>
      <c r="D265" s="66" t="str">
        <f aca="false">IFERROR(INDEX(المكونات!$B$2:$B$500,MATCH($B265,المكونات!$A$2:$A$500,0)),"")</f>
        <v>كجم</v>
      </c>
      <c r="E265" s="67" t="n">
        <f aca="false">IFERROR(INDEX(المكونات!$C$2:$C$500,MATCH($B265,المكونات!$A$2:$A$500,0)),"")</f>
        <v>27</v>
      </c>
      <c r="F265" s="68" t="n">
        <f aca="false">IFERROR($C265*$E265,"")</f>
        <v>0.54</v>
      </c>
    </row>
    <row r="266" customFormat="false" ht="15" hidden="false" customHeight="true" outlineLevel="0" collapsed="false">
      <c r="A266" s="65" t="s">
        <v>475</v>
      </c>
      <c r="B266" s="65" t="s">
        <v>227</v>
      </c>
      <c r="C266" s="65" t="n">
        <v>0.02</v>
      </c>
      <c r="D266" s="66" t="str">
        <f aca="false">IFERROR(INDEX(المكونات!$B$2:$B$500,MATCH($B266,المكونات!$A$2:$A$500,0)),"")</f>
        <v>كجم</v>
      </c>
      <c r="E266" s="67" t="n">
        <f aca="false">IFERROR(INDEX(المكونات!$C$2:$C$500,MATCH($B266,المكونات!$A$2:$A$500,0)),"")</f>
        <v>95</v>
      </c>
      <c r="F266" s="68" t="n">
        <f aca="false">IFERROR($C266*$E266,"")</f>
        <v>1.9</v>
      </c>
    </row>
    <row r="267" customFormat="false" ht="15" hidden="false" customHeight="true" outlineLevel="0" collapsed="false">
      <c r="A267" s="65" t="s">
        <v>475</v>
      </c>
      <c r="B267" s="65" t="s">
        <v>172</v>
      </c>
      <c r="C267" s="65" t="n">
        <v>1</v>
      </c>
      <c r="D267" s="66" t="str">
        <f aca="false">IFERROR(INDEX(المكونات!$B$2:$B$500,MATCH($B267,المكونات!$A$2:$A$500,0)),"")</f>
        <v>قطعة</v>
      </c>
      <c r="E267" s="67" t="n">
        <f aca="false">IFERROR(INDEX(المكونات!$C$2:$C$500,MATCH($B267,المكونات!$A$2:$A$500,0)),"")</f>
        <v>20</v>
      </c>
      <c r="F267" s="68" t="n">
        <f aca="false">IFERROR($C267*$E267,"")</f>
        <v>20</v>
      </c>
    </row>
    <row r="268" customFormat="false" ht="15" hidden="false" customHeight="true" outlineLevel="0" collapsed="false">
      <c r="A268" s="65" t="s">
        <v>475</v>
      </c>
      <c r="B268" s="65" t="s">
        <v>270</v>
      </c>
      <c r="C268" s="65" t="n">
        <v>1</v>
      </c>
      <c r="D268" s="66" t="str">
        <f aca="false">IFERROR(INDEX(المكونات!$B$2:$B$500,MATCH($B268,المكونات!$A$2:$A$500,0)),"")</f>
        <v>قطعة</v>
      </c>
      <c r="E268" s="67" t="n">
        <f aca="false">IFERROR(INDEX(المكونات!$C$2:$C$500,MATCH($B268,المكونات!$A$2:$A$500,0)),"")</f>
        <v>4.5</v>
      </c>
      <c r="F268" s="68" t="n">
        <f aca="false">IFERROR($C268*$E268,"")</f>
        <v>4.5</v>
      </c>
    </row>
    <row r="269" customFormat="false" ht="15" hidden="false" customHeight="true" outlineLevel="0" collapsed="false">
      <c r="A269" s="65" t="s">
        <v>475</v>
      </c>
      <c r="B269" s="65" t="s">
        <v>290</v>
      </c>
      <c r="C269" s="65" t="n">
        <v>2</v>
      </c>
      <c r="D269" s="66" t="str">
        <f aca="false">IFERROR(INDEX(المكونات!$B$2:$B$500,MATCH($B269,المكونات!$A$2:$A$500,0)),"")</f>
        <v>قطعة</v>
      </c>
      <c r="E269" s="67" t="n">
        <f aca="false">IFERROR(INDEX(المكونات!$C$2:$C$500,MATCH($B269,المكونات!$A$2:$A$500,0)),"")</f>
        <v>0.3</v>
      </c>
      <c r="F269" s="68" t="n">
        <f aca="false">IFERROR($C269*$E269,"")</f>
        <v>0.6</v>
      </c>
    </row>
    <row r="270" customFormat="false" ht="15" hidden="false" customHeight="true" outlineLevel="0" collapsed="false">
      <c r="A270" s="65" t="s">
        <v>475</v>
      </c>
      <c r="B270" s="65" t="s">
        <v>319</v>
      </c>
      <c r="C270" s="65" t="n">
        <v>1</v>
      </c>
      <c r="D270" s="66" t="str">
        <f aca="false">IFERROR(INDEX(المكونات!$B$2:$B$500,MATCH($B270,المكونات!$A$2:$A$500,0)),"")</f>
        <v>قطعة (ورقة)</v>
      </c>
      <c r="E270" s="67" t="n">
        <f aca="false">IFERROR(INDEX(المكونات!$C$2:$C$500,MATCH($B270,المكونات!$A$2:$A$500,0)),"")</f>
        <v>0.3665</v>
      </c>
      <c r="F270" s="68" t="n">
        <f aca="false">IFERROR($C270*$E270,"")</f>
        <v>0.3665</v>
      </c>
    </row>
    <row r="271" customFormat="false" ht="15" hidden="false" customHeight="true" outlineLevel="0" collapsed="false">
      <c r="A271" s="65" t="s">
        <v>475</v>
      </c>
      <c r="B271" s="65" t="s">
        <v>133</v>
      </c>
      <c r="C271" s="65" t="n">
        <v>1</v>
      </c>
      <c r="D271" s="66" t="str">
        <f aca="false">IFERROR(INDEX(المكونات!$B$2:$B$500,MATCH($B271,المكونات!$A$2:$A$500,0)),"")</f>
        <v>قطعة (كيس)</v>
      </c>
      <c r="E271" s="67" t="n">
        <f aca="false">IFERROR(INDEX(المكونات!$C$2:$C$500,MATCH($B271,المكونات!$A$2:$A$500,0)),"")</f>
        <v>1.4</v>
      </c>
      <c r="F271" s="68" t="n">
        <f aca="false">IFERROR($C271*$E271,"")</f>
        <v>1.4</v>
      </c>
    </row>
    <row r="272" customFormat="false" ht="15" hidden="false" customHeight="true" outlineLevel="0" collapsed="false">
      <c r="A272" s="65" t="s">
        <v>475</v>
      </c>
      <c r="B272" s="65" t="s">
        <v>293</v>
      </c>
      <c r="C272" s="65" t="n">
        <v>1</v>
      </c>
      <c r="D272" s="66" t="str">
        <f aca="false">IFERROR(INDEX(المكونات!$B$2:$B$500,MATCH($B272,المكونات!$A$2:$A$500,0)),"")</f>
        <v>قطعة</v>
      </c>
      <c r="E272" s="67" t="n">
        <f aca="false">IFERROR(INDEX(المكونات!$C$2:$C$500,MATCH($B272,المكونات!$A$2:$A$500,0)),"")</f>
        <v>0.5</v>
      </c>
      <c r="F272" s="68" t="n">
        <f aca="false">IFERROR($C272*$E272,"")</f>
        <v>0.5</v>
      </c>
    </row>
    <row r="273" customFormat="false" ht="15" hidden="false" customHeight="true" outlineLevel="0" collapsed="false">
      <c r="A273" s="65" t="s">
        <v>475</v>
      </c>
      <c r="B273" s="65" t="s">
        <v>211</v>
      </c>
      <c r="C273" s="65" t="n">
        <v>2</v>
      </c>
      <c r="D273" s="66" t="str">
        <f aca="false">IFERROR(INDEX(المكونات!$B$2:$B$500,MATCH($B273,المكونات!$A$2:$A$500,0)),"")</f>
        <v>قطعة (جلفز)</v>
      </c>
      <c r="E273" s="67" t="n">
        <f aca="false">IFERROR(INDEX(المكونات!$C$2:$C$500,MATCH($B273,المكونات!$A$2:$A$500,0)),"")</f>
        <v>0.18</v>
      </c>
      <c r="F273" s="68" t="n">
        <f aca="false">IFERROR($C273*$E273,"")</f>
        <v>0.36</v>
      </c>
    </row>
    <row r="274" customFormat="false" ht="15" hidden="false" customHeight="true" outlineLevel="0" collapsed="false">
      <c r="A274" s="65" t="s">
        <v>475</v>
      </c>
      <c r="B274" s="65" t="s">
        <v>322</v>
      </c>
      <c r="C274" s="65" t="n">
        <v>1</v>
      </c>
      <c r="D274" s="66" t="str">
        <f aca="false">IFERROR(INDEX(المكونات!$B$2:$B$500,MATCH($B274,المكونات!$A$2:$A$500,0)),"")</f>
        <v>قطعة (كيس)</v>
      </c>
      <c r="E274" s="67" t="n">
        <f aca="false">IFERROR(INDEX(المكونات!$C$2:$C$500,MATCH($B274,المكونات!$A$2:$A$500,0)),"")</f>
        <v>1</v>
      </c>
      <c r="F274" s="68" t="n">
        <f aca="false">IFERROR($C274*$E274,"")</f>
        <v>1</v>
      </c>
    </row>
    <row r="275" customFormat="false" ht="15" hidden="false" customHeight="true" outlineLevel="0" collapsed="false">
      <c r="A275" s="65" t="s">
        <v>475</v>
      </c>
      <c r="B275" s="65" t="s">
        <v>162</v>
      </c>
      <c r="C275" s="65" t="n">
        <v>1</v>
      </c>
      <c r="D275" s="66" t="str">
        <f aca="false">IFERROR(INDEX(المكونات!$B$2:$B$500,MATCH($B275,المكونات!$A$2:$A$500,0)),"")</f>
        <v>قطعة</v>
      </c>
      <c r="E275" s="67" t="n">
        <f aca="false">IFERROR(INDEX(المكونات!$C$2:$C$500,MATCH($B275,المكونات!$A$2:$A$500,0)),"")</f>
        <v>30</v>
      </c>
      <c r="F275" s="68" t="n">
        <f aca="false">IFERROR($C275*$E275,"")</f>
        <v>30</v>
      </c>
    </row>
    <row r="276" customFormat="false" ht="15" hidden="false" customHeight="true" outlineLevel="0" collapsed="false">
      <c r="A276" s="65" t="s">
        <v>475</v>
      </c>
      <c r="B276" s="65" t="s">
        <v>258</v>
      </c>
      <c r="C276" s="65" t="n">
        <v>0.1</v>
      </c>
      <c r="D276" s="66" t="str">
        <f aca="false">IFERROR(INDEX(المكونات!$B$2:$B$500,MATCH($B276,المكونات!$A$2:$A$500,0)),"")</f>
        <v>كجم</v>
      </c>
      <c r="E276" s="67" t="n">
        <f aca="false">IFERROR(INDEX(المكونات!$C$2:$C$500,MATCH($B276,المكونات!$A$2:$A$500,0)),"")</f>
        <v>140</v>
      </c>
      <c r="F276" s="68" t="n">
        <f aca="false">IFERROR($C276*$E276,"")</f>
        <v>14</v>
      </c>
    </row>
    <row r="277" customFormat="false" ht="15" hidden="false" customHeight="true" outlineLevel="0" collapsed="false">
      <c r="A277" s="65" t="s">
        <v>388</v>
      </c>
      <c r="B277" s="65" t="s">
        <v>262</v>
      </c>
      <c r="C277" s="65" t="n">
        <v>0.3</v>
      </c>
      <c r="D277" s="66" t="str">
        <f aca="false">IFERROR(INDEX(المكونات!$B$2:$B$500,MATCH($B277,المكونات!$A$2:$A$500,0)),"")</f>
        <v>كجم</v>
      </c>
      <c r="E277" s="67" t="n">
        <f aca="false">IFERROR(INDEX(المكونات!$C$2:$C$500,MATCH($B277,المكونات!$A$2:$A$500,0)),"")</f>
        <v>22</v>
      </c>
      <c r="F277" s="68" t="n">
        <f aca="false">IFERROR($C277*$E277,"")</f>
        <v>6.6</v>
      </c>
    </row>
    <row r="278" customFormat="false" ht="15" hidden="false" customHeight="true" outlineLevel="0" collapsed="false">
      <c r="A278" s="65" t="s">
        <v>388</v>
      </c>
      <c r="B278" s="65" t="s">
        <v>250</v>
      </c>
      <c r="C278" s="65" t="n">
        <v>0.06</v>
      </c>
      <c r="D278" s="66" t="str">
        <f aca="false">IFERROR(INDEX(المكونات!$B$2:$B$500,MATCH($B278,المكونات!$A$2:$A$500,0)),"")</f>
        <v>كجم</v>
      </c>
      <c r="E278" s="67" t="n">
        <f aca="false">IFERROR(INDEX(المكونات!$C$2:$C$500,MATCH($B278,المكونات!$A$2:$A$500,0)),"")</f>
        <v>32</v>
      </c>
      <c r="F278" s="68" t="n">
        <f aca="false">IFERROR($C278*$E278,"")</f>
        <v>1.92</v>
      </c>
    </row>
    <row r="279" customFormat="false" ht="15" hidden="false" customHeight="true" outlineLevel="0" collapsed="false">
      <c r="A279" s="65" t="s">
        <v>388</v>
      </c>
      <c r="B279" s="65" t="s">
        <v>260</v>
      </c>
      <c r="C279" s="65" t="n">
        <v>0.045</v>
      </c>
      <c r="D279" s="66" t="str">
        <f aca="false">IFERROR(INDEX(المكونات!$B$2:$B$500,MATCH($B279,المكونات!$A$2:$A$500,0)),"")</f>
        <v>كجم</v>
      </c>
      <c r="E279" s="67" t="n">
        <f aca="false">IFERROR(INDEX(المكونات!$C$2:$C$500,MATCH($B279,المكونات!$A$2:$A$500,0)),"")</f>
        <v>21</v>
      </c>
      <c r="F279" s="68" t="n">
        <f aca="false">IFERROR($C279*$E279,"")</f>
        <v>0.945</v>
      </c>
    </row>
    <row r="280" customFormat="false" ht="15" hidden="false" customHeight="true" outlineLevel="0" collapsed="false">
      <c r="A280" s="65" t="s">
        <v>388</v>
      </c>
      <c r="B280" s="65" t="s">
        <v>284</v>
      </c>
      <c r="C280" s="65" t="n">
        <v>0.03</v>
      </c>
      <c r="D280" s="66" t="str">
        <f aca="false">IFERROR(INDEX(المكونات!$B$2:$B$500,MATCH($B280,المكونات!$A$2:$A$500,0)),"")</f>
        <v>كجم</v>
      </c>
      <c r="E280" s="67" t="n">
        <f aca="false">IFERROR(INDEX(المكونات!$C$2:$C$500,MATCH($B280,المكونات!$A$2:$A$500,0)),"")</f>
        <v>27</v>
      </c>
      <c r="F280" s="68" t="n">
        <f aca="false">IFERROR($C280*$E280,"")</f>
        <v>0.81</v>
      </c>
    </row>
    <row r="281" customFormat="false" ht="15" hidden="false" customHeight="true" outlineLevel="0" collapsed="false">
      <c r="A281" s="65" t="s">
        <v>388</v>
      </c>
      <c r="B281" s="65" t="s">
        <v>227</v>
      </c>
      <c r="C281" s="65" t="n">
        <v>0.03</v>
      </c>
      <c r="D281" s="66" t="str">
        <f aca="false">IFERROR(INDEX(المكونات!$B$2:$B$500,MATCH($B281,المكونات!$A$2:$A$500,0)),"")</f>
        <v>كجم</v>
      </c>
      <c r="E281" s="67" t="n">
        <f aca="false">IFERROR(INDEX(المكونات!$C$2:$C$500,MATCH($B281,المكونات!$A$2:$A$500,0)),"")</f>
        <v>95</v>
      </c>
      <c r="F281" s="68" t="n">
        <f aca="false">IFERROR($C281*$E281,"")</f>
        <v>2.85</v>
      </c>
    </row>
    <row r="282" customFormat="false" ht="15" hidden="false" customHeight="true" outlineLevel="0" collapsed="false">
      <c r="A282" s="65" t="s">
        <v>388</v>
      </c>
      <c r="B282" s="65" t="s">
        <v>174</v>
      </c>
      <c r="C282" s="65" t="n">
        <v>1</v>
      </c>
      <c r="D282" s="66" t="str">
        <f aca="false">IFERROR(INDEX(المكونات!$B$2:$B$500,MATCH($B282,المكونات!$A$2:$A$500,0)),"")</f>
        <v>قطعة</v>
      </c>
      <c r="E282" s="67" t="n">
        <f aca="false">IFERROR(INDEX(المكونات!$C$2:$C$500,MATCH($B282,المكونات!$A$2:$A$500,0)),"")</f>
        <v>27.1395</v>
      </c>
      <c r="F282" s="68" t="n">
        <f aca="false">IFERROR($C282*$E282,"")</f>
        <v>27.1395</v>
      </c>
    </row>
    <row r="283" customFormat="false" ht="15" hidden="false" customHeight="true" outlineLevel="0" collapsed="false">
      <c r="A283" s="65" t="s">
        <v>388</v>
      </c>
      <c r="B283" s="65" t="s">
        <v>268</v>
      </c>
      <c r="C283" s="65" t="n">
        <v>1</v>
      </c>
      <c r="D283" s="66" t="str">
        <f aca="false">IFERROR(INDEX(المكونات!$B$2:$B$500,MATCH($B283,المكونات!$A$2:$A$500,0)),"")</f>
        <v>قطعة</v>
      </c>
      <c r="E283" s="67" t="n">
        <f aca="false">IFERROR(INDEX(المكونات!$C$2:$C$500,MATCH($B283,المكونات!$A$2:$A$500,0)),"")</f>
        <v>5.5</v>
      </c>
      <c r="F283" s="68" t="n">
        <f aca="false">IFERROR($C283*$E283,"")</f>
        <v>5.5</v>
      </c>
    </row>
    <row r="284" customFormat="false" ht="15" hidden="false" customHeight="true" outlineLevel="0" collapsed="false">
      <c r="A284" s="65" t="s">
        <v>388</v>
      </c>
      <c r="B284" s="65" t="s">
        <v>290</v>
      </c>
      <c r="C284" s="65" t="n">
        <v>3</v>
      </c>
      <c r="D284" s="66" t="str">
        <f aca="false">IFERROR(INDEX(المكونات!$B$2:$B$500,MATCH($B284,المكونات!$A$2:$A$500,0)),"")</f>
        <v>قطعة</v>
      </c>
      <c r="E284" s="67" t="n">
        <f aca="false">IFERROR(INDEX(المكونات!$C$2:$C$500,MATCH($B284,المكونات!$A$2:$A$500,0)),"")</f>
        <v>0.3</v>
      </c>
      <c r="F284" s="68" t="n">
        <f aca="false">IFERROR($C284*$E284,"")</f>
        <v>0.9</v>
      </c>
    </row>
    <row r="285" customFormat="false" ht="15" hidden="false" customHeight="true" outlineLevel="0" collapsed="false">
      <c r="A285" s="65" t="s">
        <v>388</v>
      </c>
      <c r="B285" s="65" t="s">
        <v>319</v>
      </c>
      <c r="C285" s="65" t="n">
        <v>1</v>
      </c>
      <c r="D285" s="66" t="str">
        <f aca="false">IFERROR(INDEX(المكونات!$B$2:$B$500,MATCH($B285,المكونات!$A$2:$A$500,0)),"")</f>
        <v>قطعة (ورقة)</v>
      </c>
      <c r="E285" s="67" t="n">
        <f aca="false">IFERROR(INDEX(المكونات!$C$2:$C$500,MATCH($B285,المكونات!$A$2:$A$500,0)),"")</f>
        <v>0.3665</v>
      </c>
      <c r="F285" s="68" t="n">
        <f aca="false">IFERROR($C285*$E285,"")</f>
        <v>0.3665</v>
      </c>
    </row>
    <row r="286" customFormat="false" ht="15" hidden="false" customHeight="true" outlineLevel="0" collapsed="false">
      <c r="A286" s="65" t="s">
        <v>388</v>
      </c>
      <c r="B286" s="65" t="s">
        <v>133</v>
      </c>
      <c r="C286" s="65" t="n">
        <v>1</v>
      </c>
      <c r="D286" s="66" t="str">
        <f aca="false">IFERROR(INDEX(المكونات!$B$2:$B$500,MATCH($B286,المكونات!$A$2:$A$500,0)),"")</f>
        <v>قطعة (كيس)</v>
      </c>
      <c r="E286" s="67" t="n">
        <f aca="false">IFERROR(INDEX(المكونات!$C$2:$C$500,MATCH($B286,المكونات!$A$2:$A$500,0)),"")</f>
        <v>1.4</v>
      </c>
      <c r="F286" s="68" t="n">
        <f aca="false">IFERROR($C286*$E286,"")</f>
        <v>1.4</v>
      </c>
    </row>
    <row r="287" customFormat="false" ht="15" hidden="false" customHeight="true" outlineLevel="0" collapsed="false">
      <c r="A287" s="65" t="s">
        <v>388</v>
      </c>
      <c r="B287" s="65" t="s">
        <v>293</v>
      </c>
      <c r="C287" s="65" t="n">
        <v>1</v>
      </c>
      <c r="D287" s="66" t="str">
        <f aca="false">IFERROR(INDEX(المكونات!$B$2:$B$500,MATCH($B287,المكونات!$A$2:$A$500,0)),"")</f>
        <v>قطعة</v>
      </c>
      <c r="E287" s="67" t="n">
        <f aca="false">IFERROR(INDEX(المكونات!$C$2:$C$500,MATCH($B287,المكونات!$A$2:$A$500,0)),"")</f>
        <v>0.5</v>
      </c>
      <c r="F287" s="68" t="n">
        <f aca="false">IFERROR($C287*$E287,"")</f>
        <v>0.5</v>
      </c>
    </row>
    <row r="288" customFormat="false" ht="15" hidden="false" customHeight="true" outlineLevel="0" collapsed="false">
      <c r="A288" s="65" t="s">
        <v>388</v>
      </c>
      <c r="B288" s="65" t="s">
        <v>211</v>
      </c>
      <c r="C288" s="65" t="n">
        <v>2</v>
      </c>
      <c r="D288" s="66" t="str">
        <f aca="false">IFERROR(INDEX(المكونات!$B$2:$B$500,MATCH($B288,المكونات!$A$2:$A$500,0)),"")</f>
        <v>قطعة (جلفز)</v>
      </c>
      <c r="E288" s="67" t="n">
        <f aca="false">IFERROR(INDEX(المكونات!$C$2:$C$500,MATCH($B288,المكونات!$A$2:$A$500,0)),"")</f>
        <v>0.18</v>
      </c>
      <c r="F288" s="68" t="n">
        <f aca="false">IFERROR($C288*$E288,"")</f>
        <v>0.36</v>
      </c>
    </row>
    <row r="289" customFormat="false" ht="15" hidden="false" customHeight="true" outlineLevel="0" collapsed="false">
      <c r="A289" s="65" t="s">
        <v>388</v>
      </c>
      <c r="B289" s="65" t="s">
        <v>322</v>
      </c>
      <c r="C289" s="65" t="n">
        <v>1</v>
      </c>
      <c r="D289" s="66" t="str">
        <f aca="false">IFERROR(INDEX(المكونات!$B$2:$B$500,MATCH($B289,المكونات!$A$2:$A$500,0)),"")</f>
        <v>قطعة (كيس)</v>
      </c>
      <c r="E289" s="67" t="n">
        <f aca="false">IFERROR(INDEX(المكونات!$C$2:$C$500,MATCH($B289,المكونات!$A$2:$A$500,0)),"")</f>
        <v>1</v>
      </c>
      <c r="F289" s="68" t="n">
        <f aca="false">IFERROR($C289*$E289,"")</f>
        <v>1</v>
      </c>
    </row>
    <row r="290" customFormat="false" ht="15" hidden="false" customHeight="true" outlineLevel="0" collapsed="false">
      <c r="A290" s="65" t="s">
        <v>388</v>
      </c>
      <c r="B290" s="65" t="s">
        <v>164</v>
      </c>
      <c r="C290" s="65" t="n">
        <v>1</v>
      </c>
      <c r="D290" s="66" t="str">
        <f aca="false">IFERROR(INDEX(المكونات!$B$2:$B$500,MATCH($B290,المكونات!$A$2:$A$500,0)),"")</f>
        <v>قطعة</v>
      </c>
      <c r="E290" s="67" t="n">
        <f aca="false">IFERROR(INDEX(المكونات!$C$2:$C$500,MATCH($B290,المكونات!$A$2:$A$500,0)),"")</f>
        <v>29</v>
      </c>
      <c r="F290" s="68" t="n">
        <f aca="false">IFERROR($C290*$E290,"")</f>
        <v>29</v>
      </c>
    </row>
    <row r="291" customFormat="false" ht="15" hidden="false" customHeight="true" outlineLevel="0" collapsed="false">
      <c r="A291" s="65" t="s">
        <v>388</v>
      </c>
      <c r="B291" s="65" t="s">
        <v>258</v>
      </c>
      <c r="C291" s="65" t="n">
        <v>0.15</v>
      </c>
      <c r="D291" s="66" t="str">
        <f aca="false">IFERROR(INDEX(المكونات!$B$2:$B$500,MATCH($B291,المكونات!$A$2:$A$500,0)),"")</f>
        <v>كجم</v>
      </c>
      <c r="E291" s="67" t="n">
        <f aca="false">IFERROR(INDEX(المكونات!$C$2:$C$500,MATCH($B291,المكونات!$A$2:$A$500,0)),"")</f>
        <v>140</v>
      </c>
      <c r="F291" s="68" t="n">
        <f aca="false">IFERROR($C291*$E291,"")</f>
        <v>21</v>
      </c>
    </row>
    <row r="292" customFormat="false" ht="15" hidden="false" customHeight="true" outlineLevel="0" collapsed="false">
      <c r="A292" s="65" t="s">
        <v>460</v>
      </c>
      <c r="B292" s="65" t="s">
        <v>262</v>
      </c>
      <c r="C292" s="65" t="n">
        <v>0.22</v>
      </c>
      <c r="D292" s="66" t="str">
        <f aca="false">IFERROR(INDEX(المكونات!$B$2:$B$500,MATCH($B292,المكونات!$A$2:$A$500,0)),"")</f>
        <v>كجم</v>
      </c>
      <c r="E292" s="67" t="n">
        <f aca="false">IFERROR(INDEX(المكونات!$C$2:$C$500,MATCH($B292,المكونات!$A$2:$A$500,0)),"")</f>
        <v>22</v>
      </c>
      <c r="F292" s="68" t="n">
        <f aca="false">IFERROR($C292*$E292,"")</f>
        <v>4.84</v>
      </c>
    </row>
    <row r="293" customFormat="false" ht="15" hidden="false" customHeight="true" outlineLevel="0" collapsed="false">
      <c r="A293" s="65" t="s">
        <v>460</v>
      </c>
      <c r="B293" s="65" t="s">
        <v>250</v>
      </c>
      <c r="C293" s="65" t="n">
        <v>0.04</v>
      </c>
      <c r="D293" s="66" t="str">
        <f aca="false">IFERROR(INDEX(المكونات!$B$2:$B$500,MATCH($B293,المكونات!$A$2:$A$500,0)),"")</f>
        <v>كجم</v>
      </c>
      <c r="E293" s="67" t="n">
        <f aca="false">IFERROR(INDEX(المكونات!$C$2:$C$500,MATCH($B293,المكونات!$A$2:$A$500,0)),"")</f>
        <v>32</v>
      </c>
      <c r="F293" s="68" t="n">
        <f aca="false">IFERROR($C293*$E293,"")</f>
        <v>1.28</v>
      </c>
    </row>
    <row r="294" customFormat="false" ht="15" hidden="false" customHeight="true" outlineLevel="0" collapsed="false">
      <c r="A294" s="65" t="s">
        <v>460</v>
      </c>
      <c r="B294" s="65" t="s">
        <v>260</v>
      </c>
      <c r="C294" s="65" t="n">
        <v>0.03</v>
      </c>
      <c r="D294" s="66" t="str">
        <f aca="false">IFERROR(INDEX(المكونات!$B$2:$B$500,MATCH($B294,المكونات!$A$2:$A$500,0)),"")</f>
        <v>كجم</v>
      </c>
      <c r="E294" s="67" t="n">
        <f aca="false">IFERROR(INDEX(المكونات!$C$2:$C$500,MATCH($B294,المكونات!$A$2:$A$500,0)),"")</f>
        <v>21</v>
      </c>
      <c r="F294" s="68" t="n">
        <f aca="false">IFERROR($C294*$E294,"")</f>
        <v>0.63</v>
      </c>
    </row>
    <row r="295" customFormat="false" ht="15" hidden="false" customHeight="true" outlineLevel="0" collapsed="false">
      <c r="A295" s="65" t="s">
        <v>460</v>
      </c>
      <c r="B295" s="65" t="s">
        <v>284</v>
      </c>
      <c r="C295" s="65" t="n">
        <v>0.02</v>
      </c>
      <c r="D295" s="66" t="str">
        <f aca="false">IFERROR(INDEX(المكونات!$B$2:$B$500,MATCH($B295,المكونات!$A$2:$A$500,0)),"")</f>
        <v>كجم</v>
      </c>
      <c r="E295" s="67" t="n">
        <f aca="false">IFERROR(INDEX(المكونات!$C$2:$C$500,MATCH($B295,المكونات!$A$2:$A$500,0)),"")</f>
        <v>27</v>
      </c>
      <c r="F295" s="68" t="n">
        <f aca="false">IFERROR($C295*$E295,"")</f>
        <v>0.54</v>
      </c>
    </row>
    <row r="296" customFormat="false" ht="15" hidden="false" customHeight="true" outlineLevel="0" collapsed="false">
      <c r="A296" s="65" t="s">
        <v>460</v>
      </c>
      <c r="B296" s="65" t="s">
        <v>227</v>
      </c>
      <c r="C296" s="65" t="n">
        <v>0.02</v>
      </c>
      <c r="D296" s="66" t="str">
        <f aca="false">IFERROR(INDEX(المكونات!$B$2:$B$500,MATCH($B296,المكونات!$A$2:$A$500,0)),"")</f>
        <v>كجم</v>
      </c>
      <c r="E296" s="67" t="n">
        <f aca="false">IFERROR(INDEX(المكونات!$C$2:$C$500,MATCH($B296,المكونات!$A$2:$A$500,0)),"")</f>
        <v>95</v>
      </c>
      <c r="F296" s="68" t="n">
        <f aca="false">IFERROR($C296*$E296,"")</f>
        <v>1.9</v>
      </c>
    </row>
    <row r="297" customFormat="false" ht="15" hidden="false" customHeight="true" outlineLevel="0" collapsed="false">
      <c r="A297" s="65" t="s">
        <v>460</v>
      </c>
      <c r="B297" s="65" t="s">
        <v>172</v>
      </c>
      <c r="C297" s="65" t="n">
        <v>1</v>
      </c>
      <c r="D297" s="66" t="str">
        <f aca="false">IFERROR(INDEX(المكونات!$B$2:$B$500,MATCH($B297,المكونات!$A$2:$A$500,0)),"")</f>
        <v>قطعة</v>
      </c>
      <c r="E297" s="67" t="n">
        <f aca="false">IFERROR(INDEX(المكونات!$C$2:$C$500,MATCH($B297,المكونات!$A$2:$A$500,0)),"")</f>
        <v>20</v>
      </c>
      <c r="F297" s="68" t="n">
        <f aca="false">IFERROR($C297*$E297,"")</f>
        <v>20</v>
      </c>
    </row>
    <row r="298" customFormat="false" ht="15" hidden="false" customHeight="true" outlineLevel="0" collapsed="false">
      <c r="A298" s="65" t="s">
        <v>460</v>
      </c>
      <c r="B298" s="65" t="s">
        <v>270</v>
      </c>
      <c r="C298" s="65" t="n">
        <v>1</v>
      </c>
      <c r="D298" s="66" t="str">
        <f aca="false">IFERROR(INDEX(المكونات!$B$2:$B$500,MATCH($B298,المكونات!$A$2:$A$500,0)),"")</f>
        <v>قطعة</v>
      </c>
      <c r="E298" s="67" t="n">
        <f aca="false">IFERROR(INDEX(المكونات!$C$2:$C$500,MATCH($B298,المكونات!$A$2:$A$500,0)),"")</f>
        <v>4.5</v>
      </c>
      <c r="F298" s="68" t="n">
        <f aca="false">IFERROR($C298*$E298,"")</f>
        <v>4.5</v>
      </c>
    </row>
    <row r="299" customFormat="false" ht="15" hidden="false" customHeight="true" outlineLevel="0" collapsed="false">
      <c r="A299" s="65" t="s">
        <v>460</v>
      </c>
      <c r="B299" s="65" t="s">
        <v>290</v>
      </c>
      <c r="C299" s="65" t="n">
        <v>2</v>
      </c>
      <c r="D299" s="66" t="str">
        <f aca="false">IFERROR(INDEX(المكونات!$B$2:$B$500,MATCH($B299,المكونات!$A$2:$A$500,0)),"")</f>
        <v>قطعة</v>
      </c>
      <c r="E299" s="67" t="n">
        <f aca="false">IFERROR(INDEX(المكونات!$C$2:$C$500,MATCH($B299,المكونات!$A$2:$A$500,0)),"")</f>
        <v>0.3</v>
      </c>
      <c r="F299" s="68" t="n">
        <f aca="false">IFERROR($C299*$E299,"")</f>
        <v>0.6</v>
      </c>
    </row>
    <row r="300" customFormat="false" ht="15" hidden="false" customHeight="true" outlineLevel="0" collapsed="false">
      <c r="A300" s="65" t="s">
        <v>460</v>
      </c>
      <c r="B300" s="65" t="s">
        <v>319</v>
      </c>
      <c r="C300" s="65" t="n">
        <v>1</v>
      </c>
      <c r="D300" s="66" t="str">
        <f aca="false">IFERROR(INDEX(المكونات!$B$2:$B$500,MATCH($B300,المكونات!$A$2:$A$500,0)),"")</f>
        <v>قطعة (ورقة)</v>
      </c>
      <c r="E300" s="67" t="n">
        <f aca="false">IFERROR(INDEX(المكونات!$C$2:$C$500,MATCH($B300,المكونات!$A$2:$A$500,0)),"")</f>
        <v>0.3665</v>
      </c>
      <c r="F300" s="68" t="n">
        <f aca="false">IFERROR($C300*$E300,"")</f>
        <v>0.3665</v>
      </c>
    </row>
    <row r="301" customFormat="false" ht="15" hidden="false" customHeight="true" outlineLevel="0" collapsed="false">
      <c r="A301" s="65" t="s">
        <v>460</v>
      </c>
      <c r="B301" s="65" t="s">
        <v>133</v>
      </c>
      <c r="C301" s="65" t="n">
        <v>1</v>
      </c>
      <c r="D301" s="66" t="str">
        <f aca="false">IFERROR(INDEX(المكونات!$B$2:$B$500,MATCH($B301,المكونات!$A$2:$A$500,0)),"")</f>
        <v>قطعة (كيس)</v>
      </c>
      <c r="E301" s="67" t="n">
        <f aca="false">IFERROR(INDEX(المكونات!$C$2:$C$500,MATCH($B301,المكونات!$A$2:$A$500,0)),"")</f>
        <v>1.4</v>
      </c>
      <c r="F301" s="68" t="n">
        <f aca="false">IFERROR($C301*$E301,"")</f>
        <v>1.4</v>
      </c>
    </row>
    <row r="302" customFormat="false" ht="15" hidden="false" customHeight="true" outlineLevel="0" collapsed="false">
      <c r="A302" s="65" t="s">
        <v>460</v>
      </c>
      <c r="B302" s="65" t="s">
        <v>293</v>
      </c>
      <c r="C302" s="65" t="n">
        <v>1</v>
      </c>
      <c r="D302" s="66" t="str">
        <f aca="false">IFERROR(INDEX(المكونات!$B$2:$B$500,MATCH($B302,المكونات!$A$2:$A$500,0)),"")</f>
        <v>قطعة</v>
      </c>
      <c r="E302" s="67" t="n">
        <f aca="false">IFERROR(INDEX(المكونات!$C$2:$C$500,MATCH($B302,المكونات!$A$2:$A$500,0)),"")</f>
        <v>0.5</v>
      </c>
      <c r="F302" s="68" t="n">
        <f aca="false">IFERROR($C302*$E302,"")</f>
        <v>0.5</v>
      </c>
    </row>
    <row r="303" customFormat="false" ht="15" hidden="false" customHeight="true" outlineLevel="0" collapsed="false">
      <c r="A303" s="65" t="s">
        <v>460</v>
      </c>
      <c r="B303" s="65" t="s">
        <v>211</v>
      </c>
      <c r="C303" s="65" t="n">
        <v>2</v>
      </c>
      <c r="D303" s="66" t="str">
        <f aca="false">IFERROR(INDEX(المكونات!$B$2:$B$500,MATCH($B303,المكونات!$A$2:$A$500,0)),"")</f>
        <v>قطعة (جلفز)</v>
      </c>
      <c r="E303" s="67" t="n">
        <f aca="false">IFERROR(INDEX(المكونات!$C$2:$C$500,MATCH($B303,المكونات!$A$2:$A$500,0)),"")</f>
        <v>0.18</v>
      </c>
      <c r="F303" s="68" t="n">
        <f aca="false">IFERROR($C303*$E303,"")</f>
        <v>0.36</v>
      </c>
    </row>
    <row r="304" customFormat="false" ht="15" hidden="false" customHeight="true" outlineLevel="0" collapsed="false">
      <c r="A304" s="65" t="s">
        <v>460</v>
      </c>
      <c r="B304" s="65" t="s">
        <v>322</v>
      </c>
      <c r="C304" s="65" t="n">
        <v>1</v>
      </c>
      <c r="D304" s="66" t="str">
        <f aca="false">IFERROR(INDEX(المكونات!$B$2:$B$500,MATCH($B304,المكونات!$A$2:$A$500,0)),"")</f>
        <v>قطعة (كيس)</v>
      </c>
      <c r="E304" s="67" t="n">
        <f aca="false">IFERROR(INDEX(المكونات!$C$2:$C$500,MATCH($B304,المكونات!$A$2:$A$500,0)),"")</f>
        <v>1</v>
      </c>
      <c r="F304" s="68" t="n">
        <f aca="false">IFERROR($C304*$E304,"")</f>
        <v>1</v>
      </c>
    </row>
    <row r="305" customFormat="false" ht="15" hidden="false" customHeight="true" outlineLevel="0" collapsed="false">
      <c r="A305" s="65" t="s">
        <v>460</v>
      </c>
      <c r="B305" s="65" t="s">
        <v>142</v>
      </c>
      <c r="C305" s="65" t="n">
        <v>1</v>
      </c>
      <c r="D305" s="66" t="str">
        <f aca="false">IFERROR(INDEX(المكونات!$B$2:$B$500,MATCH($B305,المكونات!$A$2:$A$500,0)),"")</f>
        <v>قطعة</v>
      </c>
      <c r="E305" s="67" t="n">
        <f aca="false">IFERROR(INDEX(المكونات!$C$2:$C$500,MATCH($B305,المكونات!$A$2:$A$500,0)),"")</f>
        <v>35</v>
      </c>
      <c r="F305" s="68" t="n">
        <f aca="false">IFERROR($C305*$E305,"")</f>
        <v>35</v>
      </c>
    </row>
    <row r="306" customFormat="false" ht="15" hidden="false" customHeight="true" outlineLevel="0" collapsed="false">
      <c r="A306" s="65" t="s">
        <v>460</v>
      </c>
      <c r="B306" s="65" t="s">
        <v>152</v>
      </c>
      <c r="C306" s="65" t="n">
        <v>1</v>
      </c>
      <c r="D306" s="66" t="str">
        <f aca="false">IFERROR(INDEX(المكونات!$B$2:$B$500,MATCH($B306,المكونات!$A$2:$A$500,0)),"")</f>
        <v>قطعة</v>
      </c>
      <c r="E306" s="67" t="n">
        <f aca="false">IFERROR(INDEX(المكونات!$C$2:$C$500,MATCH($B306,المكونات!$A$2:$A$500,0)),"")</f>
        <v>34</v>
      </c>
      <c r="F306" s="68" t="n">
        <f aca="false">IFERROR($C306*$E306,"")</f>
        <v>34</v>
      </c>
    </row>
    <row r="307" customFormat="false" ht="15" hidden="false" customHeight="true" outlineLevel="0" collapsed="false">
      <c r="A307" s="65" t="s">
        <v>460</v>
      </c>
      <c r="B307" s="65" t="s">
        <v>168</v>
      </c>
      <c r="C307" s="65" t="n">
        <v>1</v>
      </c>
      <c r="D307" s="66" t="str">
        <f aca="false">IFERROR(INDEX(المكونات!$B$2:$B$500,MATCH($B307,المكونات!$A$2:$A$500,0)),"")</f>
        <v>قطعة</v>
      </c>
      <c r="E307" s="67" t="n">
        <f aca="false">IFERROR(INDEX(المكونات!$C$2:$C$500,MATCH($B307,المكونات!$A$2:$A$500,0)),"")</f>
        <v>21</v>
      </c>
      <c r="F307" s="68" t="n">
        <f aca="false">IFERROR($C307*$E307,"")</f>
        <v>21</v>
      </c>
    </row>
    <row r="308" customFormat="false" ht="15" hidden="false" customHeight="true" outlineLevel="0" collapsed="false">
      <c r="A308" s="65" t="s">
        <v>525</v>
      </c>
      <c r="B308" s="65" t="s">
        <v>262</v>
      </c>
      <c r="C308" s="65" t="n">
        <v>0.3</v>
      </c>
      <c r="D308" s="66" t="str">
        <f aca="false">IFERROR(INDEX(المكونات!$B$2:$B$500,MATCH($B308,المكونات!$A$2:$A$500,0)),"")</f>
        <v>كجم</v>
      </c>
      <c r="E308" s="67" t="n">
        <f aca="false">IFERROR(INDEX(المكونات!$C$2:$C$500,MATCH($B308,المكونات!$A$2:$A$500,0)),"")</f>
        <v>22</v>
      </c>
      <c r="F308" s="68" t="n">
        <f aca="false">IFERROR($C308*$E308,"")</f>
        <v>6.6</v>
      </c>
    </row>
    <row r="309" customFormat="false" ht="15" hidden="false" customHeight="true" outlineLevel="0" collapsed="false">
      <c r="A309" s="65" t="s">
        <v>525</v>
      </c>
      <c r="B309" s="65" t="s">
        <v>250</v>
      </c>
      <c r="C309" s="65" t="n">
        <v>0.06</v>
      </c>
      <c r="D309" s="66" t="str">
        <f aca="false">IFERROR(INDEX(المكونات!$B$2:$B$500,MATCH($B309,المكونات!$A$2:$A$500,0)),"")</f>
        <v>كجم</v>
      </c>
      <c r="E309" s="67" t="n">
        <f aca="false">IFERROR(INDEX(المكونات!$C$2:$C$500,MATCH($B309,المكونات!$A$2:$A$500,0)),"")</f>
        <v>32</v>
      </c>
      <c r="F309" s="68" t="n">
        <f aca="false">IFERROR($C309*$E309,"")</f>
        <v>1.92</v>
      </c>
    </row>
    <row r="310" customFormat="false" ht="15" hidden="false" customHeight="true" outlineLevel="0" collapsed="false">
      <c r="A310" s="65" t="s">
        <v>525</v>
      </c>
      <c r="B310" s="65" t="s">
        <v>260</v>
      </c>
      <c r="C310" s="65" t="n">
        <v>0.045</v>
      </c>
      <c r="D310" s="66" t="str">
        <f aca="false">IFERROR(INDEX(المكونات!$B$2:$B$500,MATCH($B310,المكونات!$A$2:$A$500,0)),"")</f>
        <v>كجم</v>
      </c>
      <c r="E310" s="67" t="n">
        <f aca="false">IFERROR(INDEX(المكونات!$C$2:$C$500,MATCH($B310,المكونات!$A$2:$A$500,0)),"")</f>
        <v>21</v>
      </c>
      <c r="F310" s="68" t="n">
        <f aca="false">IFERROR($C310*$E310,"")</f>
        <v>0.945</v>
      </c>
    </row>
    <row r="311" customFormat="false" ht="15" hidden="false" customHeight="true" outlineLevel="0" collapsed="false">
      <c r="A311" s="65" t="s">
        <v>525</v>
      </c>
      <c r="B311" s="65" t="s">
        <v>284</v>
      </c>
      <c r="C311" s="65" t="n">
        <v>0.03</v>
      </c>
      <c r="D311" s="66" t="str">
        <f aca="false">IFERROR(INDEX(المكونات!$B$2:$B$500,MATCH($B311,المكونات!$A$2:$A$500,0)),"")</f>
        <v>كجم</v>
      </c>
      <c r="E311" s="67" t="n">
        <f aca="false">IFERROR(INDEX(المكونات!$C$2:$C$500,MATCH($B311,المكونات!$A$2:$A$500,0)),"")</f>
        <v>27</v>
      </c>
      <c r="F311" s="68" t="n">
        <f aca="false">IFERROR($C311*$E311,"")</f>
        <v>0.81</v>
      </c>
    </row>
    <row r="312" customFormat="false" ht="15" hidden="false" customHeight="true" outlineLevel="0" collapsed="false">
      <c r="A312" s="65" t="s">
        <v>525</v>
      </c>
      <c r="B312" s="65" t="s">
        <v>227</v>
      </c>
      <c r="C312" s="65" t="n">
        <v>0.03</v>
      </c>
      <c r="D312" s="66" t="str">
        <f aca="false">IFERROR(INDEX(المكونات!$B$2:$B$500,MATCH($B312,المكونات!$A$2:$A$500,0)),"")</f>
        <v>كجم</v>
      </c>
      <c r="E312" s="67" t="n">
        <f aca="false">IFERROR(INDEX(المكونات!$C$2:$C$500,MATCH($B312,المكونات!$A$2:$A$500,0)),"")</f>
        <v>95</v>
      </c>
      <c r="F312" s="68" t="n">
        <f aca="false">IFERROR($C312*$E312,"")</f>
        <v>2.85</v>
      </c>
    </row>
    <row r="313" customFormat="false" ht="15" hidden="false" customHeight="true" outlineLevel="0" collapsed="false">
      <c r="A313" s="65" t="s">
        <v>525</v>
      </c>
      <c r="B313" s="65" t="s">
        <v>174</v>
      </c>
      <c r="C313" s="65" t="n">
        <v>1</v>
      </c>
      <c r="D313" s="66" t="str">
        <f aca="false">IFERROR(INDEX(المكونات!$B$2:$B$500,MATCH($B313,المكونات!$A$2:$A$500,0)),"")</f>
        <v>قطعة</v>
      </c>
      <c r="E313" s="67" t="n">
        <f aca="false">IFERROR(INDEX(المكونات!$C$2:$C$500,MATCH($B313,المكونات!$A$2:$A$500,0)),"")</f>
        <v>27.1395</v>
      </c>
      <c r="F313" s="68" t="n">
        <f aca="false">IFERROR($C313*$E313,"")</f>
        <v>27.1395</v>
      </c>
    </row>
    <row r="314" customFormat="false" ht="15" hidden="false" customHeight="true" outlineLevel="0" collapsed="false">
      <c r="A314" s="65" t="s">
        <v>525</v>
      </c>
      <c r="B314" s="65" t="s">
        <v>268</v>
      </c>
      <c r="C314" s="65" t="n">
        <v>1</v>
      </c>
      <c r="D314" s="66" t="str">
        <f aca="false">IFERROR(INDEX(المكونات!$B$2:$B$500,MATCH($B314,المكونات!$A$2:$A$500,0)),"")</f>
        <v>قطعة</v>
      </c>
      <c r="E314" s="67" t="n">
        <f aca="false">IFERROR(INDEX(المكونات!$C$2:$C$500,MATCH($B314,المكونات!$A$2:$A$500,0)),"")</f>
        <v>5.5</v>
      </c>
      <c r="F314" s="68" t="n">
        <f aca="false">IFERROR($C314*$E314,"")</f>
        <v>5.5</v>
      </c>
    </row>
    <row r="315" customFormat="false" ht="15" hidden="false" customHeight="true" outlineLevel="0" collapsed="false">
      <c r="A315" s="65" t="s">
        <v>525</v>
      </c>
      <c r="B315" s="65" t="s">
        <v>290</v>
      </c>
      <c r="C315" s="65" t="n">
        <v>3</v>
      </c>
      <c r="D315" s="66" t="str">
        <f aca="false">IFERROR(INDEX(المكونات!$B$2:$B$500,MATCH($B315,المكونات!$A$2:$A$500,0)),"")</f>
        <v>قطعة</v>
      </c>
      <c r="E315" s="67" t="n">
        <f aca="false">IFERROR(INDEX(المكونات!$C$2:$C$500,MATCH($B315,المكونات!$A$2:$A$500,0)),"")</f>
        <v>0.3</v>
      </c>
      <c r="F315" s="68" t="n">
        <f aca="false">IFERROR($C315*$E315,"")</f>
        <v>0.9</v>
      </c>
    </row>
    <row r="316" customFormat="false" ht="15" hidden="false" customHeight="true" outlineLevel="0" collapsed="false">
      <c r="A316" s="65" t="s">
        <v>525</v>
      </c>
      <c r="B316" s="65" t="s">
        <v>319</v>
      </c>
      <c r="C316" s="65" t="n">
        <v>1</v>
      </c>
      <c r="D316" s="66" t="str">
        <f aca="false">IFERROR(INDEX(المكونات!$B$2:$B$500,MATCH($B316,المكونات!$A$2:$A$500,0)),"")</f>
        <v>قطعة (ورقة)</v>
      </c>
      <c r="E316" s="67" t="n">
        <f aca="false">IFERROR(INDEX(المكونات!$C$2:$C$500,MATCH($B316,المكونات!$A$2:$A$500,0)),"")</f>
        <v>0.3665</v>
      </c>
      <c r="F316" s="68" t="n">
        <f aca="false">IFERROR($C316*$E316,"")</f>
        <v>0.3665</v>
      </c>
    </row>
    <row r="317" customFormat="false" ht="15" hidden="false" customHeight="true" outlineLevel="0" collapsed="false">
      <c r="A317" s="65" t="s">
        <v>525</v>
      </c>
      <c r="B317" s="65" t="s">
        <v>133</v>
      </c>
      <c r="C317" s="65" t="n">
        <v>1</v>
      </c>
      <c r="D317" s="66" t="str">
        <f aca="false">IFERROR(INDEX(المكونات!$B$2:$B$500,MATCH($B317,المكونات!$A$2:$A$500,0)),"")</f>
        <v>قطعة (كيس)</v>
      </c>
      <c r="E317" s="67" t="n">
        <f aca="false">IFERROR(INDEX(المكونات!$C$2:$C$500,MATCH($B317,المكونات!$A$2:$A$500,0)),"")</f>
        <v>1.4</v>
      </c>
      <c r="F317" s="68" t="n">
        <f aca="false">IFERROR($C317*$E317,"")</f>
        <v>1.4</v>
      </c>
    </row>
    <row r="318" customFormat="false" ht="15" hidden="false" customHeight="true" outlineLevel="0" collapsed="false">
      <c r="A318" s="65" t="s">
        <v>525</v>
      </c>
      <c r="B318" s="65" t="s">
        <v>293</v>
      </c>
      <c r="C318" s="65" t="n">
        <v>1</v>
      </c>
      <c r="D318" s="66" t="str">
        <f aca="false">IFERROR(INDEX(المكونات!$B$2:$B$500,MATCH($B318,المكونات!$A$2:$A$500,0)),"")</f>
        <v>قطعة</v>
      </c>
      <c r="E318" s="67" t="n">
        <f aca="false">IFERROR(INDEX(المكونات!$C$2:$C$500,MATCH($B318,المكونات!$A$2:$A$500,0)),"")</f>
        <v>0.5</v>
      </c>
      <c r="F318" s="68" t="n">
        <f aca="false">IFERROR($C318*$E318,"")</f>
        <v>0.5</v>
      </c>
    </row>
    <row r="319" customFormat="false" ht="15" hidden="false" customHeight="true" outlineLevel="0" collapsed="false">
      <c r="A319" s="65" t="s">
        <v>525</v>
      </c>
      <c r="B319" s="65" t="s">
        <v>211</v>
      </c>
      <c r="C319" s="65" t="n">
        <v>2</v>
      </c>
      <c r="D319" s="66" t="str">
        <f aca="false">IFERROR(INDEX(المكونات!$B$2:$B$500,MATCH($B319,المكونات!$A$2:$A$500,0)),"")</f>
        <v>قطعة (جلفز)</v>
      </c>
      <c r="E319" s="67" t="n">
        <f aca="false">IFERROR(INDEX(المكونات!$C$2:$C$500,MATCH($B319,المكونات!$A$2:$A$500,0)),"")</f>
        <v>0.18</v>
      </c>
      <c r="F319" s="68" t="n">
        <f aca="false">IFERROR($C319*$E319,"")</f>
        <v>0.36</v>
      </c>
    </row>
    <row r="320" customFormat="false" ht="15" hidden="false" customHeight="true" outlineLevel="0" collapsed="false">
      <c r="A320" s="65" t="s">
        <v>525</v>
      </c>
      <c r="B320" s="65" t="s">
        <v>322</v>
      </c>
      <c r="C320" s="65" t="n">
        <v>1</v>
      </c>
      <c r="D320" s="66" t="str">
        <f aca="false">IFERROR(INDEX(المكونات!$B$2:$B$500,MATCH($B320,المكونات!$A$2:$A$500,0)),"")</f>
        <v>قطعة (كيس)</v>
      </c>
      <c r="E320" s="67" t="n">
        <f aca="false">IFERROR(INDEX(المكونات!$C$2:$C$500,MATCH($B320,المكونات!$A$2:$A$500,0)),"")</f>
        <v>1</v>
      </c>
      <c r="F320" s="68" t="n">
        <f aca="false">IFERROR($C320*$E320,"")</f>
        <v>1</v>
      </c>
    </row>
    <row r="321" customFormat="false" ht="15" hidden="false" customHeight="true" outlineLevel="0" collapsed="false">
      <c r="A321" s="65" t="s">
        <v>525</v>
      </c>
      <c r="B321" s="65" t="s">
        <v>144</v>
      </c>
      <c r="C321" s="65" t="n">
        <v>1</v>
      </c>
      <c r="D321" s="66" t="str">
        <f aca="false">IFERROR(INDEX(المكونات!$B$2:$B$500,MATCH($B321,المكونات!$A$2:$A$500,0)),"")</f>
        <v>قطعة</v>
      </c>
      <c r="E321" s="67" t="n">
        <f aca="false">IFERROR(INDEX(المكونات!$C$2:$C$500,MATCH($B321,المكونات!$A$2:$A$500,0)),"")</f>
        <v>46.6667</v>
      </c>
      <c r="F321" s="68" t="n">
        <f aca="false">IFERROR($C321*$E321,"")</f>
        <v>46.6667</v>
      </c>
    </row>
    <row r="322" customFormat="false" ht="15" hidden="false" customHeight="true" outlineLevel="0" collapsed="false">
      <c r="A322" s="65" t="s">
        <v>525</v>
      </c>
      <c r="B322" s="65" t="s">
        <v>154</v>
      </c>
      <c r="C322" s="65" t="n">
        <v>1</v>
      </c>
      <c r="D322" s="66" t="str">
        <f aca="false">IFERROR(INDEX(المكونات!$B$2:$B$500,MATCH($B322,المكونات!$A$2:$A$500,0)),"")</f>
        <v>قطعة</v>
      </c>
      <c r="E322" s="67" t="n">
        <f aca="false">IFERROR(INDEX(المكونات!$C$2:$C$500,MATCH($B322,المكونات!$A$2:$A$500,0)),"")</f>
        <v>45</v>
      </c>
      <c r="F322" s="68" t="n">
        <f aca="false">IFERROR($C322*$E322,"")</f>
        <v>45</v>
      </c>
    </row>
    <row r="323" customFormat="false" ht="15" hidden="false" customHeight="true" outlineLevel="0" collapsed="false">
      <c r="A323" s="65" t="s">
        <v>525</v>
      </c>
      <c r="B323" s="65" t="s">
        <v>168</v>
      </c>
      <c r="C323" s="65" t="n">
        <v>1</v>
      </c>
      <c r="D323" s="66" t="str">
        <f aca="false">IFERROR(INDEX(المكونات!$B$2:$B$500,MATCH($B323,المكونات!$A$2:$A$500,0)),"")</f>
        <v>قطعة</v>
      </c>
      <c r="E323" s="67" t="n">
        <f aca="false">IFERROR(INDEX(المكونات!$C$2:$C$500,MATCH($B323,المكونات!$A$2:$A$500,0)),"")</f>
        <v>21</v>
      </c>
      <c r="F323" s="68" t="n">
        <f aca="false">IFERROR($C323*$E323,"")</f>
        <v>21</v>
      </c>
    </row>
    <row r="324" customFormat="false" ht="15" hidden="false" customHeight="true" outlineLevel="0" collapsed="false">
      <c r="A324" s="65" t="s">
        <v>517</v>
      </c>
      <c r="B324" s="65" t="s">
        <v>264</v>
      </c>
      <c r="C324" s="65" t="n">
        <v>1</v>
      </c>
      <c r="D324" s="66" t="str">
        <f aca="false">IFERROR(INDEX(المكونات!$B$2:$B$500,MATCH($B324,المكونات!$A$2:$A$500,0)),"")</f>
        <v>قطعة</v>
      </c>
      <c r="E324" s="67" t="n">
        <f aca="false">IFERROR(INDEX(المكونات!$C$2:$C$500,MATCH($B324,المكونات!$A$2:$A$500,0)),"")</f>
        <v>4</v>
      </c>
      <c r="F324" s="68" t="n">
        <f aca="false">IFERROR($C324*$E324,"")</f>
        <v>4</v>
      </c>
    </row>
    <row r="325" customFormat="false" ht="15" hidden="false" customHeight="true" outlineLevel="0" collapsed="false">
      <c r="A325" s="65" t="s">
        <v>517</v>
      </c>
      <c r="B325" s="65" t="s">
        <v>260</v>
      </c>
      <c r="C325" s="65" t="n">
        <v>0.03</v>
      </c>
      <c r="D325" s="66" t="str">
        <f aca="false">IFERROR(INDEX(المكونات!$B$2:$B$500,MATCH($B325,المكونات!$A$2:$A$500,0)),"")</f>
        <v>كجم</v>
      </c>
      <c r="E325" s="67" t="n">
        <f aca="false">IFERROR(INDEX(المكونات!$C$2:$C$500,MATCH($B325,المكونات!$A$2:$A$500,0)),"")</f>
        <v>21</v>
      </c>
      <c r="F325" s="68" t="n">
        <f aca="false">IFERROR($C325*$E325,"")</f>
        <v>0.63</v>
      </c>
    </row>
    <row r="326" customFormat="false" ht="15" hidden="false" customHeight="true" outlineLevel="0" collapsed="false">
      <c r="A326" s="65" t="s">
        <v>517</v>
      </c>
      <c r="B326" s="65" t="s">
        <v>284</v>
      </c>
      <c r="C326" s="65" t="n">
        <v>0.02</v>
      </c>
      <c r="D326" s="66" t="str">
        <f aca="false">IFERROR(INDEX(المكونات!$B$2:$B$500,MATCH($B326,المكونات!$A$2:$A$500,0)),"")</f>
        <v>كجم</v>
      </c>
      <c r="E326" s="67" t="n">
        <f aca="false">IFERROR(INDEX(المكونات!$C$2:$C$500,MATCH($B326,المكونات!$A$2:$A$500,0)),"")</f>
        <v>27</v>
      </c>
      <c r="F326" s="68" t="n">
        <f aca="false">IFERROR($C326*$E326,"")</f>
        <v>0.54</v>
      </c>
    </row>
    <row r="327" customFormat="false" ht="15" hidden="false" customHeight="true" outlineLevel="0" collapsed="false">
      <c r="A327" s="65" t="s">
        <v>517</v>
      </c>
      <c r="B327" s="65" t="s">
        <v>227</v>
      </c>
      <c r="C327" s="65" t="n">
        <v>0.02</v>
      </c>
      <c r="D327" s="66" t="str">
        <f aca="false">IFERROR(INDEX(المكونات!$B$2:$B$500,MATCH($B327,المكونات!$A$2:$A$500,0)),"")</f>
        <v>كجم</v>
      </c>
      <c r="E327" s="67" t="n">
        <f aca="false">IFERROR(INDEX(المكونات!$C$2:$C$500,MATCH($B327,المكونات!$A$2:$A$500,0)),"")</f>
        <v>95</v>
      </c>
      <c r="F327" s="68" t="n">
        <f aca="false">IFERROR($C327*$E327,"")</f>
        <v>1.9</v>
      </c>
    </row>
    <row r="328" customFormat="false" ht="15" hidden="false" customHeight="true" outlineLevel="0" collapsed="false">
      <c r="A328" s="65" t="s">
        <v>517</v>
      </c>
      <c r="B328" s="65" t="s">
        <v>176</v>
      </c>
      <c r="C328" s="65" t="n">
        <v>1</v>
      </c>
      <c r="D328" s="66" t="str">
        <f aca="false">IFERROR(INDEX(المكونات!$B$2:$B$500,MATCH($B328,المكونات!$A$2:$A$500,0)),"")</f>
        <v>قطعة</v>
      </c>
      <c r="E328" s="67" t="n">
        <f aca="false">IFERROR(INDEX(المكونات!$C$2:$C$500,MATCH($B328,المكونات!$A$2:$A$500,0)),"")</f>
        <v>17.5</v>
      </c>
      <c r="F328" s="68" t="n">
        <f aca="false">IFERROR($C328*$E328,"")</f>
        <v>17.5</v>
      </c>
    </row>
    <row r="329" customFormat="false" ht="15" hidden="false" customHeight="true" outlineLevel="0" collapsed="false">
      <c r="A329" s="65" t="s">
        <v>517</v>
      </c>
      <c r="B329" s="65" t="s">
        <v>270</v>
      </c>
      <c r="C329" s="65" t="n">
        <v>1</v>
      </c>
      <c r="D329" s="66" t="str">
        <f aca="false">IFERROR(INDEX(المكونات!$B$2:$B$500,MATCH($B329,المكونات!$A$2:$A$500,0)),"")</f>
        <v>قطعة</v>
      </c>
      <c r="E329" s="67" t="n">
        <f aca="false">IFERROR(INDEX(المكونات!$C$2:$C$500,MATCH($B329,المكونات!$A$2:$A$500,0)),"")</f>
        <v>4.5</v>
      </c>
      <c r="F329" s="68" t="n">
        <f aca="false">IFERROR($C329*$E329,"")</f>
        <v>4.5</v>
      </c>
    </row>
    <row r="330" customFormat="false" ht="15" hidden="false" customHeight="true" outlineLevel="0" collapsed="false">
      <c r="A330" s="65" t="s">
        <v>517</v>
      </c>
      <c r="B330" s="65" t="s">
        <v>290</v>
      </c>
      <c r="C330" s="65" t="n">
        <v>2</v>
      </c>
      <c r="D330" s="66" t="str">
        <f aca="false">IFERROR(INDEX(المكونات!$B$2:$B$500,MATCH($B330,المكونات!$A$2:$A$500,0)),"")</f>
        <v>قطعة</v>
      </c>
      <c r="E330" s="67" t="n">
        <f aca="false">IFERROR(INDEX(المكونات!$C$2:$C$500,MATCH($B330,المكونات!$A$2:$A$500,0)),"")</f>
        <v>0.3</v>
      </c>
      <c r="F330" s="68" t="n">
        <f aca="false">IFERROR($C330*$E330,"")</f>
        <v>0.6</v>
      </c>
    </row>
    <row r="331" customFormat="false" ht="15" hidden="false" customHeight="true" outlineLevel="0" collapsed="false">
      <c r="A331" s="65" t="s">
        <v>517</v>
      </c>
      <c r="B331" s="65" t="s">
        <v>319</v>
      </c>
      <c r="C331" s="65" t="n">
        <v>1</v>
      </c>
      <c r="D331" s="66" t="str">
        <f aca="false">IFERROR(INDEX(المكونات!$B$2:$B$500,MATCH($B331,المكونات!$A$2:$A$500,0)),"")</f>
        <v>قطعة (ورقة)</v>
      </c>
      <c r="E331" s="67" t="n">
        <f aca="false">IFERROR(INDEX(المكونات!$C$2:$C$500,MATCH($B331,المكونات!$A$2:$A$500,0)),"")</f>
        <v>0.3665</v>
      </c>
      <c r="F331" s="68" t="n">
        <f aca="false">IFERROR($C331*$E331,"")</f>
        <v>0.3665</v>
      </c>
    </row>
    <row r="332" customFormat="false" ht="15" hidden="false" customHeight="true" outlineLevel="0" collapsed="false">
      <c r="A332" s="65" t="s">
        <v>517</v>
      </c>
      <c r="B332" s="65" t="s">
        <v>133</v>
      </c>
      <c r="C332" s="65" t="n">
        <v>1</v>
      </c>
      <c r="D332" s="66" t="str">
        <f aca="false">IFERROR(INDEX(المكونات!$B$2:$B$500,MATCH($B332,المكونات!$A$2:$A$500,0)),"")</f>
        <v>قطعة (كيس)</v>
      </c>
      <c r="E332" s="67" t="n">
        <f aca="false">IFERROR(INDEX(المكونات!$C$2:$C$500,MATCH($B332,المكونات!$A$2:$A$500,0)),"")</f>
        <v>1.4</v>
      </c>
      <c r="F332" s="68" t="n">
        <f aca="false">IFERROR($C332*$E332,"")</f>
        <v>1.4</v>
      </c>
    </row>
    <row r="333" customFormat="false" ht="15" hidden="false" customHeight="true" outlineLevel="0" collapsed="false">
      <c r="A333" s="65" t="s">
        <v>517</v>
      </c>
      <c r="B333" s="65" t="s">
        <v>293</v>
      </c>
      <c r="C333" s="65" t="n">
        <v>1</v>
      </c>
      <c r="D333" s="66" t="str">
        <f aca="false">IFERROR(INDEX(المكونات!$B$2:$B$500,MATCH($B333,المكونات!$A$2:$A$500,0)),"")</f>
        <v>قطعة</v>
      </c>
      <c r="E333" s="67" t="n">
        <f aca="false">IFERROR(INDEX(المكونات!$C$2:$C$500,MATCH($B333,المكونات!$A$2:$A$500,0)),"")</f>
        <v>0.5</v>
      </c>
      <c r="F333" s="68" t="n">
        <f aca="false">IFERROR($C333*$E333,"")</f>
        <v>0.5</v>
      </c>
    </row>
    <row r="334" customFormat="false" ht="15" hidden="false" customHeight="true" outlineLevel="0" collapsed="false">
      <c r="A334" s="65" t="s">
        <v>517</v>
      </c>
      <c r="B334" s="65" t="s">
        <v>211</v>
      </c>
      <c r="C334" s="65" t="n">
        <v>2</v>
      </c>
      <c r="D334" s="66" t="str">
        <f aca="false">IFERROR(INDEX(المكونات!$B$2:$B$500,MATCH($B334,المكونات!$A$2:$A$500,0)),"")</f>
        <v>قطعة (جلفز)</v>
      </c>
      <c r="E334" s="67" t="n">
        <f aca="false">IFERROR(INDEX(المكونات!$C$2:$C$500,MATCH($B334,المكونات!$A$2:$A$500,0)),"")</f>
        <v>0.18</v>
      </c>
      <c r="F334" s="68" t="n">
        <f aca="false">IFERROR($C334*$E334,"")</f>
        <v>0.36</v>
      </c>
    </row>
    <row r="335" customFormat="false" ht="15" hidden="false" customHeight="true" outlineLevel="0" collapsed="false">
      <c r="A335" s="65" t="s">
        <v>517</v>
      </c>
      <c r="B335" s="65" t="s">
        <v>322</v>
      </c>
      <c r="C335" s="65" t="n">
        <v>1</v>
      </c>
      <c r="D335" s="66" t="str">
        <f aca="false">IFERROR(INDEX(المكونات!$B$2:$B$500,MATCH($B335,المكونات!$A$2:$A$500,0)),"")</f>
        <v>قطعة (كيس)</v>
      </c>
      <c r="E335" s="67" t="n">
        <f aca="false">IFERROR(INDEX(المكونات!$C$2:$C$500,MATCH($B335,المكونات!$A$2:$A$500,0)),"")</f>
        <v>1</v>
      </c>
      <c r="F335" s="68" t="n">
        <f aca="false">IFERROR($C335*$E335,"")</f>
        <v>1</v>
      </c>
    </row>
    <row r="336" customFormat="false" ht="15" hidden="false" customHeight="true" outlineLevel="0" collapsed="false">
      <c r="A336" s="65" t="s">
        <v>517</v>
      </c>
      <c r="B336" s="65" t="s">
        <v>152</v>
      </c>
      <c r="C336" s="65" t="n">
        <v>1</v>
      </c>
      <c r="D336" s="66" t="str">
        <f aca="false">IFERROR(INDEX(المكونات!$B$2:$B$500,MATCH($B336,المكونات!$A$2:$A$500,0)),"")</f>
        <v>قطعة</v>
      </c>
      <c r="E336" s="67" t="n">
        <f aca="false">IFERROR(INDEX(المكونات!$C$2:$C$500,MATCH($B336,المكونات!$A$2:$A$500,0)),"")</f>
        <v>34</v>
      </c>
      <c r="F336" s="68" t="n">
        <f aca="false">IFERROR($C336*$E336,"")</f>
        <v>34</v>
      </c>
    </row>
    <row r="337" customFormat="false" ht="15" hidden="false" customHeight="true" outlineLevel="0" collapsed="false">
      <c r="A337" s="65" t="s">
        <v>517</v>
      </c>
      <c r="B337" s="65" t="s">
        <v>148</v>
      </c>
      <c r="C337" s="65" t="n">
        <v>1</v>
      </c>
      <c r="D337" s="66" t="str">
        <f aca="false">IFERROR(INDEX(المكونات!$B$2:$B$500,MATCH($B337,المكونات!$A$2:$A$500,0)),"")</f>
        <v>قطعة</v>
      </c>
      <c r="E337" s="67" t="n">
        <f aca="false">IFERROR(INDEX(المكونات!$C$2:$C$500,MATCH($B337,المكونات!$A$2:$A$500,0)),"")</f>
        <v>9</v>
      </c>
      <c r="F337" s="68" t="n">
        <f aca="false">IFERROR($C337*$E337,"")</f>
        <v>9</v>
      </c>
    </row>
    <row r="338" customFormat="false" ht="15" hidden="false" customHeight="true" outlineLevel="0" collapsed="false">
      <c r="A338" s="65" t="s">
        <v>448</v>
      </c>
      <c r="B338" s="65" t="s">
        <v>264</v>
      </c>
      <c r="C338" s="65" t="n">
        <v>1.5</v>
      </c>
      <c r="D338" s="66" t="str">
        <f aca="false">IFERROR(INDEX(المكونات!$B$2:$B$500,MATCH($B338,المكونات!$A$2:$A$500,0)),"")</f>
        <v>قطعة</v>
      </c>
      <c r="E338" s="67" t="n">
        <f aca="false">IFERROR(INDEX(المكونات!$C$2:$C$500,MATCH($B338,المكونات!$A$2:$A$500,0)),"")</f>
        <v>4</v>
      </c>
      <c r="F338" s="68" t="n">
        <f aca="false">IFERROR($C338*$E338,"")</f>
        <v>6</v>
      </c>
    </row>
    <row r="339" customFormat="false" ht="15" hidden="false" customHeight="true" outlineLevel="0" collapsed="false">
      <c r="A339" s="65" t="s">
        <v>448</v>
      </c>
      <c r="B339" s="65" t="s">
        <v>260</v>
      </c>
      <c r="C339" s="65" t="n">
        <v>0.045</v>
      </c>
      <c r="D339" s="66" t="str">
        <f aca="false">IFERROR(INDEX(المكونات!$B$2:$B$500,MATCH($B339,المكونات!$A$2:$A$500,0)),"")</f>
        <v>كجم</v>
      </c>
      <c r="E339" s="67" t="n">
        <f aca="false">IFERROR(INDEX(المكونات!$C$2:$C$500,MATCH($B339,المكونات!$A$2:$A$500,0)),"")</f>
        <v>21</v>
      </c>
      <c r="F339" s="68" t="n">
        <f aca="false">IFERROR($C339*$E339,"")</f>
        <v>0.945</v>
      </c>
    </row>
    <row r="340" customFormat="false" ht="15" hidden="false" customHeight="true" outlineLevel="0" collapsed="false">
      <c r="A340" s="65" t="s">
        <v>448</v>
      </c>
      <c r="B340" s="65" t="s">
        <v>284</v>
      </c>
      <c r="C340" s="65" t="n">
        <v>0.03</v>
      </c>
      <c r="D340" s="66" t="str">
        <f aca="false">IFERROR(INDEX(المكونات!$B$2:$B$500,MATCH($B340,المكونات!$A$2:$A$500,0)),"")</f>
        <v>كجم</v>
      </c>
      <c r="E340" s="67" t="n">
        <f aca="false">IFERROR(INDEX(المكونات!$C$2:$C$500,MATCH($B340,المكونات!$A$2:$A$500,0)),"")</f>
        <v>27</v>
      </c>
      <c r="F340" s="68" t="n">
        <f aca="false">IFERROR($C340*$E340,"")</f>
        <v>0.81</v>
      </c>
    </row>
    <row r="341" customFormat="false" ht="15" hidden="false" customHeight="true" outlineLevel="0" collapsed="false">
      <c r="A341" s="65" t="s">
        <v>448</v>
      </c>
      <c r="B341" s="65" t="s">
        <v>227</v>
      </c>
      <c r="C341" s="65" t="n">
        <v>0.03</v>
      </c>
      <c r="D341" s="66" t="str">
        <f aca="false">IFERROR(INDEX(المكونات!$B$2:$B$500,MATCH($B341,المكونات!$A$2:$A$500,0)),"")</f>
        <v>كجم</v>
      </c>
      <c r="E341" s="67" t="n">
        <f aca="false">IFERROR(INDEX(المكونات!$C$2:$C$500,MATCH($B341,المكونات!$A$2:$A$500,0)),"")</f>
        <v>95</v>
      </c>
      <c r="F341" s="68" t="n">
        <f aca="false">IFERROR($C341*$E341,"")</f>
        <v>2.85</v>
      </c>
    </row>
    <row r="342" customFormat="false" ht="15" hidden="false" customHeight="true" outlineLevel="0" collapsed="false">
      <c r="A342" s="65" t="s">
        <v>448</v>
      </c>
      <c r="B342" s="65" t="s">
        <v>178</v>
      </c>
      <c r="C342" s="65" t="n">
        <v>1</v>
      </c>
      <c r="D342" s="66" t="str">
        <f aca="false">IFERROR(INDEX(المكونات!$B$2:$B$500,MATCH($B342,المكونات!$A$2:$A$500,0)),"")</f>
        <v>قطعة</v>
      </c>
      <c r="E342" s="67" t="n">
        <f aca="false">IFERROR(INDEX(المكونات!$C$2:$C$500,MATCH($B342,المكونات!$A$2:$A$500,0)),"")</f>
        <v>25</v>
      </c>
      <c r="F342" s="68" t="n">
        <f aca="false">IFERROR($C342*$E342,"")</f>
        <v>25</v>
      </c>
    </row>
    <row r="343" customFormat="false" ht="15" hidden="false" customHeight="true" outlineLevel="0" collapsed="false">
      <c r="A343" s="65" t="s">
        <v>448</v>
      </c>
      <c r="B343" s="65" t="s">
        <v>268</v>
      </c>
      <c r="C343" s="65" t="n">
        <v>1</v>
      </c>
      <c r="D343" s="66" t="str">
        <f aca="false">IFERROR(INDEX(المكونات!$B$2:$B$500,MATCH($B343,المكونات!$A$2:$A$500,0)),"")</f>
        <v>قطعة</v>
      </c>
      <c r="E343" s="67" t="n">
        <f aca="false">IFERROR(INDEX(المكونات!$C$2:$C$500,MATCH($B343,المكونات!$A$2:$A$500,0)),"")</f>
        <v>5.5</v>
      </c>
      <c r="F343" s="68" t="n">
        <f aca="false">IFERROR($C343*$E343,"")</f>
        <v>5.5</v>
      </c>
    </row>
    <row r="344" customFormat="false" ht="15" hidden="false" customHeight="true" outlineLevel="0" collapsed="false">
      <c r="A344" s="65" t="s">
        <v>448</v>
      </c>
      <c r="B344" s="65" t="s">
        <v>290</v>
      </c>
      <c r="C344" s="65" t="n">
        <v>3</v>
      </c>
      <c r="D344" s="66" t="str">
        <f aca="false">IFERROR(INDEX(المكونات!$B$2:$B$500,MATCH($B344,المكونات!$A$2:$A$500,0)),"")</f>
        <v>قطعة</v>
      </c>
      <c r="E344" s="67" t="n">
        <f aca="false">IFERROR(INDEX(المكونات!$C$2:$C$500,MATCH($B344,المكونات!$A$2:$A$500,0)),"")</f>
        <v>0.3</v>
      </c>
      <c r="F344" s="68" t="n">
        <f aca="false">IFERROR($C344*$E344,"")</f>
        <v>0.9</v>
      </c>
    </row>
    <row r="345" customFormat="false" ht="15" hidden="false" customHeight="true" outlineLevel="0" collapsed="false">
      <c r="A345" s="65" t="s">
        <v>448</v>
      </c>
      <c r="B345" s="65" t="s">
        <v>319</v>
      </c>
      <c r="C345" s="65" t="n">
        <v>1</v>
      </c>
      <c r="D345" s="66" t="str">
        <f aca="false">IFERROR(INDEX(المكونات!$B$2:$B$500,MATCH($B345,المكونات!$A$2:$A$500,0)),"")</f>
        <v>قطعة (ورقة)</v>
      </c>
      <c r="E345" s="67" t="n">
        <f aca="false">IFERROR(INDEX(المكونات!$C$2:$C$500,MATCH($B345,المكونات!$A$2:$A$500,0)),"")</f>
        <v>0.3665</v>
      </c>
      <c r="F345" s="68" t="n">
        <f aca="false">IFERROR($C345*$E345,"")</f>
        <v>0.3665</v>
      </c>
    </row>
    <row r="346" customFormat="false" ht="15" hidden="false" customHeight="true" outlineLevel="0" collapsed="false">
      <c r="A346" s="65" t="s">
        <v>448</v>
      </c>
      <c r="B346" s="65" t="s">
        <v>133</v>
      </c>
      <c r="C346" s="65" t="n">
        <v>1</v>
      </c>
      <c r="D346" s="66" t="str">
        <f aca="false">IFERROR(INDEX(المكونات!$B$2:$B$500,MATCH($B346,المكونات!$A$2:$A$500,0)),"")</f>
        <v>قطعة (كيس)</v>
      </c>
      <c r="E346" s="67" t="n">
        <f aca="false">IFERROR(INDEX(المكونات!$C$2:$C$500,MATCH($B346,المكونات!$A$2:$A$500,0)),"")</f>
        <v>1.4</v>
      </c>
      <c r="F346" s="68" t="n">
        <f aca="false">IFERROR($C346*$E346,"")</f>
        <v>1.4</v>
      </c>
    </row>
    <row r="347" customFormat="false" ht="15" hidden="false" customHeight="true" outlineLevel="0" collapsed="false">
      <c r="A347" s="65" t="s">
        <v>448</v>
      </c>
      <c r="B347" s="65" t="s">
        <v>293</v>
      </c>
      <c r="C347" s="65" t="n">
        <v>1</v>
      </c>
      <c r="D347" s="66" t="str">
        <f aca="false">IFERROR(INDEX(المكونات!$B$2:$B$500,MATCH($B347,المكونات!$A$2:$A$500,0)),"")</f>
        <v>قطعة</v>
      </c>
      <c r="E347" s="67" t="n">
        <f aca="false">IFERROR(INDEX(المكونات!$C$2:$C$500,MATCH($B347,المكونات!$A$2:$A$500,0)),"")</f>
        <v>0.5</v>
      </c>
      <c r="F347" s="68" t="n">
        <f aca="false">IFERROR($C347*$E347,"")</f>
        <v>0.5</v>
      </c>
    </row>
    <row r="348" customFormat="false" ht="15" hidden="false" customHeight="true" outlineLevel="0" collapsed="false">
      <c r="A348" s="65" t="s">
        <v>448</v>
      </c>
      <c r="B348" s="65" t="s">
        <v>211</v>
      </c>
      <c r="C348" s="65" t="n">
        <v>2</v>
      </c>
      <c r="D348" s="66" t="str">
        <f aca="false">IFERROR(INDEX(المكونات!$B$2:$B$500,MATCH($B348,المكونات!$A$2:$A$500,0)),"")</f>
        <v>قطعة (جلفز)</v>
      </c>
      <c r="E348" s="67" t="n">
        <f aca="false">IFERROR(INDEX(المكونات!$C$2:$C$500,MATCH($B348,المكونات!$A$2:$A$500,0)),"")</f>
        <v>0.18</v>
      </c>
      <c r="F348" s="68" t="n">
        <f aca="false">IFERROR($C348*$E348,"")</f>
        <v>0.36</v>
      </c>
    </row>
    <row r="349" customFormat="false" ht="15" hidden="false" customHeight="true" outlineLevel="0" collapsed="false">
      <c r="A349" s="65" t="s">
        <v>448</v>
      </c>
      <c r="B349" s="65" t="s">
        <v>322</v>
      </c>
      <c r="C349" s="65" t="n">
        <v>1</v>
      </c>
      <c r="D349" s="66" t="str">
        <f aca="false">IFERROR(INDEX(المكونات!$B$2:$B$500,MATCH($B349,المكونات!$A$2:$A$500,0)),"")</f>
        <v>قطعة (كيس)</v>
      </c>
      <c r="E349" s="67" t="n">
        <f aca="false">IFERROR(INDEX(المكونات!$C$2:$C$500,MATCH($B349,المكونات!$A$2:$A$500,0)),"")</f>
        <v>1</v>
      </c>
      <c r="F349" s="68" t="n">
        <f aca="false">IFERROR($C349*$E349,"")</f>
        <v>1</v>
      </c>
    </row>
    <row r="350" customFormat="false" ht="15" hidden="false" customHeight="true" outlineLevel="0" collapsed="false">
      <c r="A350" s="65" t="s">
        <v>448</v>
      </c>
      <c r="B350" s="65" t="s">
        <v>154</v>
      </c>
      <c r="C350" s="65" t="n">
        <v>1</v>
      </c>
      <c r="D350" s="66" t="str">
        <f aca="false">IFERROR(INDEX(المكونات!$B$2:$B$500,MATCH($B350,المكونات!$A$2:$A$500,0)),"")</f>
        <v>قطعة</v>
      </c>
      <c r="E350" s="67" t="n">
        <f aca="false">IFERROR(INDEX(المكونات!$C$2:$C$500,MATCH($B350,المكونات!$A$2:$A$500,0)),"")</f>
        <v>45</v>
      </c>
      <c r="F350" s="68" t="n">
        <f aca="false">IFERROR($C350*$E350,"")</f>
        <v>45</v>
      </c>
    </row>
    <row r="351" customFormat="false" ht="15" hidden="false" customHeight="true" outlineLevel="0" collapsed="false">
      <c r="A351" s="65" t="s">
        <v>448</v>
      </c>
      <c r="B351" s="65" t="s">
        <v>148</v>
      </c>
      <c r="C351" s="65" t="n">
        <v>1.5</v>
      </c>
      <c r="D351" s="66" t="str">
        <f aca="false">IFERROR(INDEX(المكونات!$B$2:$B$500,MATCH($B351,المكونات!$A$2:$A$500,0)),"")</f>
        <v>قطعة</v>
      </c>
      <c r="E351" s="67" t="n">
        <f aca="false">IFERROR(INDEX(المكونات!$C$2:$C$500,MATCH($B351,المكونات!$A$2:$A$500,0)),"")</f>
        <v>9</v>
      </c>
      <c r="F351" s="68" t="n">
        <f aca="false">IFERROR($C351*$E351,"")</f>
        <v>13.5</v>
      </c>
    </row>
    <row r="352" customFormat="false" ht="15" hidden="false" customHeight="true" outlineLevel="0" collapsed="false">
      <c r="A352" s="65" t="s">
        <v>447</v>
      </c>
      <c r="B352" s="65" t="s">
        <v>264</v>
      </c>
      <c r="C352" s="65" t="n">
        <v>1</v>
      </c>
      <c r="D352" s="66" t="str">
        <f aca="false">IFERROR(INDEX(المكونات!$B$2:$B$500,MATCH($B352,المكونات!$A$2:$A$500,0)),"")</f>
        <v>قطعة</v>
      </c>
      <c r="E352" s="67" t="n">
        <f aca="false">IFERROR(INDEX(المكونات!$C$2:$C$500,MATCH($B352,المكونات!$A$2:$A$500,0)),"")</f>
        <v>4</v>
      </c>
      <c r="F352" s="68" t="n">
        <f aca="false">IFERROR($C352*$E352,"")</f>
        <v>4</v>
      </c>
    </row>
    <row r="353" customFormat="false" ht="15" hidden="false" customHeight="true" outlineLevel="0" collapsed="false">
      <c r="A353" s="65" t="s">
        <v>447</v>
      </c>
      <c r="B353" s="65" t="s">
        <v>260</v>
      </c>
      <c r="C353" s="65" t="n">
        <v>0.03</v>
      </c>
      <c r="D353" s="66" t="str">
        <f aca="false">IFERROR(INDEX(المكونات!$B$2:$B$500,MATCH($B353,المكونات!$A$2:$A$500,0)),"")</f>
        <v>كجم</v>
      </c>
      <c r="E353" s="67" t="n">
        <f aca="false">IFERROR(INDEX(المكونات!$C$2:$C$500,MATCH($B353,المكونات!$A$2:$A$500,0)),"")</f>
        <v>21</v>
      </c>
      <c r="F353" s="68" t="n">
        <f aca="false">IFERROR($C353*$E353,"")</f>
        <v>0.63</v>
      </c>
    </row>
    <row r="354" customFormat="false" ht="15" hidden="false" customHeight="true" outlineLevel="0" collapsed="false">
      <c r="A354" s="65" t="s">
        <v>447</v>
      </c>
      <c r="B354" s="65" t="s">
        <v>284</v>
      </c>
      <c r="C354" s="65" t="n">
        <v>0.02</v>
      </c>
      <c r="D354" s="66" t="str">
        <f aca="false">IFERROR(INDEX(المكونات!$B$2:$B$500,MATCH($B354,المكونات!$A$2:$A$500,0)),"")</f>
        <v>كجم</v>
      </c>
      <c r="E354" s="67" t="n">
        <f aca="false">IFERROR(INDEX(المكونات!$C$2:$C$500,MATCH($B354,المكونات!$A$2:$A$500,0)),"")</f>
        <v>27</v>
      </c>
      <c r="F354" s="68" t="n">
        <f aca="false">IFERROR($C354*$E354,"")</f>
        <v>0.54</v>
      </c>
    </row>
    <row r="355" customFormat="false" ht="15" hidden="false" customHeight="true" outlineLevel="0" collapsed="false">
      <c r="A355" s="65" t="s">
        <v>447</v>
      </c>
      <c r="B355" s="65" t="s">
        <v>227</v>
      </c>
      <c r="C355" s="65" t="n">
        <v>0.02</v>
      </c>
      <c r="D355" s="66" t="str">
        <f aca="false">IFERROR(INDEX(المكونات!$B$2:$B$500,MATCH($B355,المكونات!$A$2:$A$500,0)),"")</f>
        <v>كجم</v>
      </c>
      <c r="E355" s="67" t="n">
        <f aca="false">IFERROR(INDEX(المكونات!$C$2:$C$500,MATCH($B355,المكونات!$A$2:$A$500,0)),"")</f>
        <v>95</v>
      </c>
      <c r="F355" s="68" t="n">
        <f aca="false">IFERROR($C355*$E355,"")</f>
        <v>1.9</v>
      </c>
    </row>
    <row r="356" customFormat="false" ht="15" hidden="false" customHeight="true" outlineLevel="0" collapsed="false">
      <c r="A356" s="65" t="s">
        <v>447</v>
      </c>
      <c r="B356" s="65" t="s">
        <v>176</v>
      </c>
      <c r="C356" s="65" t="n">
        <v>1</v>
      </c>
      <c r="D356" s="66" t="str">
        <f aca="false">IFERROR(INDEX(المكونات!$B$2:$B$500,MATCH($B356,المكونات!$A$2:$A$500,0)),"")</f>
        <v>قطعة</v>
      </c>
      <c r="E356" s="67" t="n">
        <f aca="false">IFERROR(INDEX(المكونات!$C$2:$C$500,MATCH($B356,المكونات!$A$2:$A$500,0)),"")</f>
        <v>17.5</v>
      </c>
      <c r="F356" s="68" t="n">
        <f aca="false">IFERROR($C356*$E356,"")</f>
        <v>17.5</v>
      </c>
    </row>
    <row r="357" customFormat="false" ht="15" hidden="false" customHeight="true" outlineLevel="0" collapsed="false">
      <c r="A357" s="65" t="s">
        <v>447</v>
      </c>
      <c r="B357" s="65" t="s">
        <v>270</v>
      </c>
      <c r="C357" s="65" t="n">
        <v>1</v>
      </c>
      <c r="D357" s="66" t="str">
        <f aca="false">IFERROR(INDEX(المكونات!$B$2:$B$500,MATCH($B357,المكونات!$A$2:$A$500,0)),"")</f>
        <v>قطعة</v>
      </c>
      <c r="E357" s="67" t="n">
        <f aca="false">IFERROR(INDEX(المكونات!$C$2:$C$500,MATCH($B357,المكونات!$A$2:$A$500,0)),"")</f>
        <v>4.5</v>
      </c>
      <c r="F357" s="68" t="n">
        <f aca="false">IFERROR($C357*$E357,"")</f>
        <v>4.5</v>
      </c>
    </row>
    <row r="358" customFormat="false" ht="15" hidden="false" customHeight="true" outlineLevel="0" collapsed="false">
      <c r="A358" s="65" t="s">
        <v>447</v>
      </c>
      <c r="B358" s="65" t="s">
        <v>290</v>
      </c>
      <c r="C358" s="65" t="n">
        <v>2</v>
      </c>
      <c r="D358" s="66" t="str">
        <f aca="false">IFERROR(INDEX(المكونات!$B$2:$B$500,MATCH($B358,المكونات!$A$2:$A$500,0)),"")</f>
        <v>قطعة</v>
      </c>
      <c r="E358" s="67" t="n">
        <f aca="false">IFERROR(INDEX(المكونات!$C$2:$C$500,MATCH($B358,المكونات!$A$2:$A$500,0)),"")</f>
        <v>0.3</v>
      </c>
      <c r="F358" s="68" t="n">
        <f aca="false">IFERROR($C358*$E358,"")</f>
        <v>0.6</v>
      </c>
    </row>
    <row r="359" customFormat="false" ht="15" hidden="false" customHeight="true" outlineLevel="0" collapsed="false">
      <c r="A359" s="65" t="s">
        <v>447</v>
      </c>
      <c r="B359" s="65" t="s">
        <v>319</v>
      </c>
      <c r="C359" s="65" t="n">
        <v>1</v>
      </c>
      <c r="D359" s="66" t="str">
        <f aca="false">IFERROR(INDEX(المكونات!$B$2:$B$500,MATCH($B359,المكونات!$A$2:$A$500,0)),"")</f>
        <v>قطعة (ورقة)</v>
      </c>
      <c r="E359" s="67" t="n">
        <f aca="false">IFERROR(INDEX(المكونات!$C$2:$C$500,MATCH($B359,المكونات!$A$2:$A$500,0)),"")</f>
        <v>0.3665</v>
      </c>
      <c r="F359" s="68" t="n">
        <f aca="false">IFERROR($C359*$E359,"")</f>
        <v>0.3665</v>
      </c>
    </row>
    <row r="360" customFormat="false" ht="15" hidden="false" customHeight="true" outlineLevel="0" collapsed="false">
      <c r="A360" s="65" t="s">
        <v>447</v>
      </c>
      <c r="B360" s="65" t="s">
        <v>133</v>
      </c>
      <c r="C360" s="65" t="n">
        <v>1</v>
      </c>
      <c r="D360" s="66" t="str">
        <f aca="false">IFERROR(INDEX(المكونات!$B$2:$B$500,MATCH($B360,المكونات!$A$2:$A$500,0)),"")</f>
        <v>قطعة (كيس)</v>
      </c>
      <c r="E360" s="67" t="n">
        <f aca="false">IFERROR(INDEX(المكونات!$C$2:$C$500,MATCH($B360,المكونات!$A$2:$A$500,0)),"")</f>
        <v>1.4</v>
      </c>
      <c r="F360" s="68" t="n">
        <f aca="false">IFERROR($C360*$E360,"")</f>
        <v>1.4</v>
      </c>
    </row>
    <row r="361" customFormat="false" ht="15" hidden="false" customHeight="true" outlineLevel="0" collapsed="false">
      <c r="A361" s="65" t="s">
        <v>447</v>
      </c>
      <c r="B361" s="65" t="s">
        <v>293</v>
      </c>
      <c r="C361" s="65" t="n">
        <v>1</v>
      </c>
      <c r="D361" s="66" t="str">
        <f aca="false">IFERROR(INDEX(المكونات!$B$2:$B$500,MATCH($B361,المكونات!$A$2:$A$500,0)),"")</f>
        <v>قطعة</v>
      </c>
      <c r="E361" s="67" t="n">
        <f aca="false">IFERROR(INDEX(المكونات!$C$2:$C$500,MATCH($B361,المكونات!$A$2:$A$500,0)),"")</f>
        <v>0.5</v>
      </c>
      <c r="F361" s="68" t="n">
        <f aca="false">IFERROR($C361*$E361,"")</f>
        <v>0.5</v>
      </c>
    </row>
    <row r="362" customFormat="false" ht="15" hidden="false" customHeight="true" outlineLevel="0" collapsed="false">
      <c r="A362" s="65" t="s">
        <v>447</v>
      </c>
      <c r="B362" s="65" t="s">
        <v>211</v>
      </c>
      <c r="C362" s="65" t="n">
        <v>2</v>
      </c>
      <c r="D362" s="66" t="str">
        <f aca="false">IFERROR(INDEX(المكونات!$B$2:$B$500,MATCH($B362,المكونات!$A$2:$A$500,0)),"")</f>
        <v>قطعة (جلفز)</v>
      </c>
      <c r="E362" s="67" t="n">
        <f aca="false">IFERROR(INDEX(المكونات!$C$2:$C$500,MATCH($B362,المكونات!$A$2:$A$500,0)),"")</f>
        <v>0.18</v>
      </c>
      <c r="F362" s="68" t="n">
        <f aca="false">IFERROR($C362*$E362,"")</f>
        <v>0.36</v>
      </c>
    </row>
    <row r="363" customFormat="false" ht="15" hidden="false" customHeight="true" outlineLevel="0" collapsed="false">
      <c r="A363" s="65" t="s">
        <v>447</v>
      </c>
      <c r="B363" s="65" t="s">
        <v>322</v>
      </c>
      <c r="C363" s="65" t="n">
        <v>1</v>
      </c>
      <c r="D363" s="66" t="str">
        <f aca="false">IFERROR(INDEX(المكونات!$B$2:$B$500,MATCH($B363,المكونات!$A$2:$A$500,0)),"")</f>
        <v>قطعة (كيس)</v>
      </c>
      <c r="E363" s="67" t="n">
        <f aca="false">IFERROR(INDEX(المكونات!$C$2:$C$500,MATCH($B363,المكونات!$A$2:$A$500,0)),"")</f>
        <v>1</v>
      </c>
      <c r="F363" s="68" t="n">
        <f aca="false">IFERROR($C363*$E363,"")</f>
        <v>1</v>
      </c>
    </row>
    <row r="364" customFormat="false" ht="15" hidden="false" customHeight="true" outlineLevel="0" collapsed="false">
      <c r="A364" s="65" t="s">
        <v>447</v>
      </c>
      <c r="B364" s="65" t="s">
        <v>142</v>
      </c>
      <c r="C364" s="65" t="n">
        <v>1</v>
      </c>
      <c r="D364" s="66" t="str">
        <f aca="false">IFERROR(INDEX(المكونات!$B$2:$B$500,MATCH($B364,المكونات!$A$2:$A$500,0)),"")</f>
        <v>قطعة</v>
      </c>
      <c r="E364" s="67" t="n">
        <f aca="false">IFERROR(INDEX(المكونات!$C$2:$C$500,MATCH($B364,المكونات!$A$2:$A$500,0)),"")</f>
        <v>35</v>
      </c>
      <c r="F364" s="68" t="n">
        <f aca="false">IFERROR($C364*$E364,"")</f>
        <v>35</v>
      </c>
    </row>
    <row r="365" customFormat="false" ht="15" hidden="false" customHeight="true" outlineLevel="0" collapsed="false">
      <c r="A365" s="65" t="s">
        <v>421</v>
      </c>
      <c r="B365" s="65" t="s">
        <v>264</v>
      </c>
      <c r="C365" s="65" t="n">
        <v>1.5</v>
      </c>
      <c r="D365" s="66" t="str">
        <f aca="false">IFERROR(INDEX(المكونات!$B$2:$B$500,MATCH($B365,المكونات!$A$2:$A$500,0)),"")</f>
        <v>قطعة</v>
      </c>
      <c r="E365" s="67" t="n">
        <f aca="false">IFERROR(INDEX(المكونات!$C$2:$C$500,MATCH($B365,المكونات!$A$2:$A$500,0)),"")</f>
        <v>4</v>
      </c>
      <c r="F365" s="68" t="n">
        <f aca="false">IFERROR($C365*$E365,"")</f>
        <v>6</v>
      </c>
    </row>
    <row r="366" customFormat="false" ht="15" hidden="false" customHeight="true" outlineLevel="0" collapsed="false">
      <c r="A366" s="65" t="s">
        <v>421</v>
      </c>
      <c r="B366" s="65" t="s">
        <v>260</v>
      </c>
      <c r="C366" s="65" t="n">
        <v>0.045</v>
      </c>
      <c r="D366" s="66" t="str">
        <f aca="false">IFERROR(INDEX(المكونات!$B$2:$B$500,MATCH($B366,المكونات!$A$2:$A$500,0)),"")</f>
        <v>كجم</v>
      </c>
      <c r="E366" s="67" t="n">
        <f aca="false">IFERROR(INDEX(المكونات!$C$2:$C$500,MATCH($B366,المكونات!$A$2:$A$500,0)),"")</f>
        <v>21</v>
      </c>
      <c r="F366" s="68" t="n">
        <f aca="false">IFERROR($C366*$E366,"")</f>
        <v>0.945</v>
      </c>
    </row>
    <row r="367" customFormat="false" ht="15" hidden="false" customHeight="true" outlineLevel="0" collapsed="false">
      <c r="A367" s="65" t="s">
        <v>421</v>
      </c>
      <c r="B367" s="65" t="s">
        <v>284</v>
      </c>
      <c r="C367" s="65" t="n">
        <v>0.03</v>
      </c>
      <c r="D367" s="66" t="str">
        <f aca="false">IFERROR(INDEX(المكونات!$B$2:$B$500,MATCH($B367,المكونات!$A$2:$A$500,0)),"")</f>
        <v>كجم</v>
      </c>
      <c r="E367" s="67" t="n">
        <f aca="false">IFERROR(INDEX(المكونات!$C$2:$C$500,MATCH($B367,المكونات!$A$2:$A$500,0)),"")</f>
        <v>27</v>
      </c>
      <c r="F367" s="68" t="n">
        <f aca="false">IFERROR($C367*$E367,"")</f>
        <v>0.81</v>
      </c>
    </row>
    <row r="368" customFormat="false" ht="15" hidden="false" customHeight="true" outlineLevel="0" collapsed="false">
      <c r="A368" s="65" t="s">
        <v>421</v>
      </c>
      <c r="B368" s="65" t="s">
        <v>227</v>
      </c>
      <c r="C368" s="65" t="n">
        <v>0.03</v>
      </c>
      <c r="D368" s="66" t="str">
        <f aca="false">IFERROR(INDEX(المكونات!$B$2:$B$500,MATCH($B368,المكونات!$A$2:$A$500,0)),"")</f>
        <v>كجم</v>
      </c>
      <c r="E368" s="67" t="n">
        <f aca="false">IFERROR(INDEX(المكونات!$C$2:$C$500,MATCH($B368,المكونات!$A$2:$A$500,0)),"")</f>
        <v>95</v>
      </c>
      <c r="F368" s="68" t="n">
        <f aca="false">IFERROR($C368*$E368,"")</f>
        <v>2.85</v>
      </c>
    </row>
    <row r="369" customFormat="false" ht="15" hidden="false" customHeight="true" outlineLevel="0" collapsed="false">
      <c r="A369" s="65" t="s">
        <v>421</v>
      </c>
      <c r="B369" s="65" t="s">
        <v>178</v>
      </c>
      <c r="C369" s="65" t="n">
        <v>1</v>
      </c>
      <c r="D369" s="66" t="str">
        <f aca="false">IFERROR(INDEX(المكونات!$B$2:$B$500,MATCH($B369,المكونات!$A$2:$A$500,0)),"")</f>
        <v>قطعة</v>
      </c>
      <c r="E369" s="67" t="n">
        <f aca="false">IFERROR(INDEX(المكونات!$C$2:$C$500,MATCH($B369,المكونات!$A$2:$A$500,0)),"")</f>
        <v>25</v>
      </c>
      <c r="F369" s="68" t="n">
        <f aca="false">IFERROR($C369*$E369,"")</f>
        <v>25</v>
      </c>
    </row>
    <row r="370" customFormat="false" ht="15" hidden="false" customHeight="true" outlineLevel="0" collapsed="false">
      <c r="A370" s="65" t="s">
        <v>421</v>
      </c>
      <c r="B370" s="65" t="s">
        <v>268</v>
      </c>
      <c r="C370" s="65" t="n">
        <v>1</v>
      </c>
      <c r="D370" s="66" t="str">
        <f aca="false">IFERROR(INDEX(المكونات!$B$2:$B$500,MATCH($B370,المكونات!$A$2:$A$500,0)),"")</f>
        <v>قطعة</v>
      </c>
      <c r="E370" s="67" t="n">
        <f aca="false">IFERROR(INDEX(المكونات!$C$2:$C$500,MATCH($B370,المكونات!$A$2:$A$500,0)),"")</f>
        <v>5.5</v>
      </c>
      <c r="F370" s="68" t="n">
        <f aca="false">IFERROR($C370*$E370,"")</f>
        <v>5.5</v>
      </c>
    </row>
    <row r="371" customFormat="false" ht="15" hidden="false" customHeight="true" outlineLevel="0" collapsed="false">
      <c r="A371" s="65" t="s">
        <v>421</v>
      </c>
      <c r="B371" s="65" t="s">
        <v>290</v>
      </c>
      <c r="C371" s="65" t="n">
        <v>3</v>
      </c>
      <c r="D371" s="66" t="str">
        <f aca="false">IFERROR(INDEX(المكونات!$B$2:$B$500,MATCH($B371,المكونات!$A$2:$A$500,0)),"")</f>
        <v>قطعة</v>
      </c>
      <c r="E371" s="67" t="n">
        <f aca="false">IFERROR(INDEX(المكونات!$C$2:$C$500,MATCH($B371,المكونات!$A$2:$A$500,0)),"")</f>
        <v>0.3</v>
      </c>
      <c r="F371" s="68" t="n">
        <f aca="false">IFERROR($C371*$E371,"")</f>
        <v>0.9</v>
      </c>
    </row>
    <row r="372" customFormat="false" ht="15" hidden="false" customHeight="true" outlineLevel="0" collapsed="false">
      <c r="A372" s="65" t="s">
        <v>421</v>
      </c>
      <c r="B372" s="65" t="s">
        <v>319</v>
      </c>
      <c r="C372" s="65" t="n">
        <v>1</v>
      </c>
      <c r="D372" s="66" t="str">
        <f aca="false">IFERROR(INDEX(المكونات!$B$2:$B$500,MATCH($B372,المكونات!$A$2:$A$500,0)),"")</f>
        <v>قطعة (ورقة)</v>
      </c>
      <c r="E372" s="67" t="n">
        <f aca="false">IFERROR(INDEX(المكونات!$C$2:$C$500,MATCH($B372,المكونات!$A$2:$A$500,0)),"")</f>
        <v>0.3665</v>
      </c>
      <c r="F372" s="68" t="n">
        <f aca="false">IFERROR($C372*$E372,"")</f>
        <v>0.3665</v>
      </c>
    </row>
    <row r="373" customFormat="false" ht="15" hidden="false" customHeight="true" outlineLevel="0" collapsed="false">
      <c r="A373" s="65" t="s">
        <v>421</v>
      </c>
      <c r="B373" s="65" t="s">
        <v>133</v>
      </c>
      <c r="C373" s="65" t="n">
        <v>1</v>
      </c>
      <c r="D373" s="66" t="str">
        <f aca="false">IFERROR(INDEX(المكونات!$B$2:$B$500,MATCH($B373,المكونات!$A$2:$A$500,0)),"")</f>
        <v>قطعة (كيس)</v>
      </c>
      <c r="E373" s="67" t="n">
        <f aca="false">IFERROR(INDEX(المكونات!$C$2:$C$500,MATCH($B373,المكونات!$A$2:$A$500,0)),"")</f>
        <v>1.4</v>
      </c>
      <c r="F373" s="68" t="n">
        <f aca="false">IFERROR($C373*$E373,"")</f>
        <v>1.4</v>
      </c>
    </row>
    <row r="374" customFormat="false" ht="15" hidden="false" customHeight="true" outlineLevel="0" collapsed="false">
      <c r="A374" s="65" t="s">
        <v>421</v>
      </c>
      <c r="B374" s="65" t="s">
        <v>293</v>
      </c>
      <c r="C374" s="65" t="n">
        <v>1</v>
      </c>
      <c r="D374" s="66" t="str">
        <f aca="false">IFERROR(INDEX(المكونات!$B$2:$B$500,MATCH($B374,المكونات!$A$2:$A$500,0)),"")</f>
        <v>قطعة</v>
      </c>
      <c r="E374" s="67" t="n">
        <f aca="false">IFERROR(INDEX(المكونات!$C$2:$C$500,MATCH($B374,المكونات!$A$2:$A$500,0)),"")</f>
        <v>0.5</v>
      </c>
      <c r="F374" s="68" t="n">
        <f aca="false">IFERROR($C374*$E374,"")</f>
        <v>0.5</v>
      </c>
    </row>
    <row r="375" customFormat="false" ht="15" hidden="false" customHeight="true" outlineLevel="0" collapsed="false">
      <c r="A375" s="65" t="s">
        <v>421</v>
      </c>
      <c r="B375" s="65" t="s">
        <v>211</v>
      </c>
      <c r="C375" s="65" t="n">
        <v>2</v>
      </c>
      <c r="D375" s="66" t="str">
        <f aca="false">IFERROR(INDEX(المكونات!$B$2:$B$500,MATCH($B375,المكونات!$A$2:$A$500,0)),"")</f>
        <v>قطعة (جلفز)</v>
      </c>
      <c r="E375" s="67" t="n">
        <f aca="false">IFERROR(INDEX(المكونات!$C$2:$C$500,MATCH($B375,المكونات!$A$2:$A$500,0)),"")</f>
        <v>0.18</v>
      </c>
      <c r="F375" s="68" t="n">
        <f aca="false">IFERROR($C375*$E375,"")</f>
        <v>0.36</v>
      </c>
    </row>
    <row r="376" customFormat="false" ht="15" hidden="false" customHeight="true" outlineLevel="0" collapsed="false">
      <c r="A376" s="65" t="s">
        <v>421</v>
      </c>
      <c r="B376" s="65" t="s">
        <v>322</v>
      </c>
      <c r="C376" s="65" t="n">
        <v>1</v>
      </c>
      <c r="D376" s="66" t="str">
        <f aca="false">IFERROR(INDEX(المكونات!$B$2:$B$500,MATCH($B376,المكونات!$A$2:$A$500,0)),"")</f>
        <v>قطعة (كيس)</v>
      </c>
      <c r="E376" s="67" t="n">
        <f aca="false">IFERROR(INDEX(المكونات!$C$2:$C$500,MATCH($B376,المكونات!$A$2:$A$500,0)),"")</f>
        <v>1</v>
      </c>
      <c r="F376" s="68" t="n">
        <f aca="false">IFERROR($C376*$E376,"")</f>
        <v>1</v>
      </c>
    </row>
    <row r="377" customFormat="false" ht="15" hidden="false" customHeight="true" outlineLevel="0" collapsed="false">
      <c r="A377" s="65" t="s">
        <v>421</v>
      </c>
      <c r="B377" s="65" t="s">
        <v>144</v>
      </c>
      <c r="C377" s="65" t="n">
        <v>1</v>
      </c>
      <c r="D377" s="66" t="str">
        <f aca="false">IFERROR(INDEX(المكونات!$B$2:$B$500,MATCH($B377,المكونات!$A$2:$A$500,0)),"")</f>
        <v>قطعة</v>
      </c>
      <c r="E377" s="67" t="n">
        <f aca="false">IFERROR(INDEX(المكونات!$C$2:$C$500,MATCH($B377,المكونات!$A$2:$A$500,0)),"")</f>
        <v>46.6667</v>
      </c>
      <c r="F377" s="68" t="n">
        <f aca="false">IFERROR($C377*$E377,"")</f>
        <v>46.6667</v>
      </c>
    </row>
    <row r="378" customFormat="false" ht="15" hidden="false" customHeight="true" outlineLevel="0" collapsed="false">
      <c r="A378" s="65" t="s">
        <v>471</v>
      </c>
      <c r="B378" s="65" t="s">
        <v>264</v>
      </c>
      <c r="C378" s="65" t="n">
        <v>1</v>
      </c>
      <c r="D378" s="66" t="str">
        <f aca="false">IFERROR(INDEX(المكونات!$B$2:$B$500,MATCH($B378,المكونات!$A$2:$A$500,0)),"")</f>
        <v>قطعة</v>
      </c>
      <c r="E378" s="67" t="n">
        <f aca="false">IFERROR(INDEX(المكونات!$C$2:$C$500,MATCH($B378,المكونات!$A$2:$A$500,0)),"")</f>
        <v>4</v>
      </c>
      <c r="F378" s="68" t="n">
        <f aca="false">IFERROR($C378*$E378,"")</f>
        <v>4</v>
      </c>
    </row>
    <row r="379" customFormat="false" ht="15" hidden="false" customHeight="true" outlineLevel="0" collapsed="false">
      <c r="A379" s="65" t="s">
        <v>471</v>
      </c>
      <c r="B379" s="65" t="s">
        <v>260</v>
      </c>
      <c r="C379" s="65" t="n">
        <v>0.03</v>
      </c>
      <c r="D379" s="66" t="str">
        <f aca="false">IFERROR(INDEX(المكونات!$B$2:$B$500,MATCH($B379,المكونات!$A$2:$A$500,0)),"")</f>
        <v>كجم</v>
      </c>
      <c r="E379" s="67" t="n">
        <f aca="false">IFERROR(INDEX(المكونات!$C$2:$C$500,MATCH($B379,المكونات!$A$2:$A$500,0)),"")</f>
        <v>21</v>
      </c>
      <c r="F379" s="68" t="n">
        <f aca="false">IFERROR($C379*$E379,"")</f>
        <v>0.63</v>
      </c>
    </row>
    <row r="380" customFormat="false" ht="15" hidden="false" customHeight="true" outlineLevel="0" collapsed="false">
      <c r="A380" s="65" t="s">
        <v>471</v>
      </c>
      <c r="B380" s="65" t="s">
        <v>284</v>
      </c>
      <c r="C380" s="65" t="n">
        <v>0.02</v>
      </c>
      <c r="D380" s="66" t="str">
        <f aca="false">IFERROR(INDEX(المكونات!$B$2:$B$500,MATCH($B380,المكونات!$A$2:$A$500,0)),"")</f>
        <v>كجم</v>
      </c>
      <c r="E380" s="67" t="n">
        <f aca="false">IFERROR(INDEX(المكونات!$C$2:$C$500,MATCH($B380,المكونات!$A$2:$A$500,0)),"")</f>
        <v>27</v>
      </c>
      <c r="F380" s="68" t="n">
        <f aca="false">IFERROR($C380*$E380,"")</f>
        <v>0.54</v>
      </c>
    </row>
    <row r="381" customFormat="false" ht="15" hidden="false" customHeight="true" outlineLevel="0" collapsed="false">
      <c r="A381" s="65" t="s">
        <v>471</v>
      </c>
      <c r="B381" s="65" t="s">
        <v>227</v>
      </c>
      <c r="C381" s="65" t="n">
        <v>0.02</v>
      </c>
      <c r="D381" s="66" t="str">
        <f aca="false">IFERROR(INDEX(المكونات!$B$2:$B$500,MATCH($B381,المكونات!$A$2:$A$500,0)),"")</f>
        <v>كجم</v>
      </c>
      <c r="E381" s="67" t="n">
        <f aca="false">IFERROR(INDEX(المكونات!$C$2:$C$500,MATCH($B381,المكونات!$A$2:$A$500,0)),"")</f>
        <v>95</v>
      </c>
      <c r="F381" s="68" t="n">
        <f aca="false">IFERROR($C381*$E381,"")</f>
        <v>1.9</v>
      </c>
    </row>
    <row r="382" customFormat="false" ht="15" hidden="false" customHeight="true" outlineLevel="0" collapsed="false">
      <c r="A382" s="65" t="s">
        <v>471</v>
      </c>
      <c r="B382" s="65" t="s">
        <v>176</v>
      </c>
      <c r="C382" s="65" t="n">
        <v>1</v>
      </c>
      <c r="D382" s="66" t="str">
        <f aca="false">IFERROR(INDEX(المكونات!$B$2:$B$500,MATCH($B382,المكونات!$A$2:$A$500,0)),"")</f>
        <v>قطعة</v>
      </c>
      <c r="E382" s="67" t="n">
        <f aca="false">IFERROR(INDEX(المكونات!$C$2:$C$500,MATCH($B382,المكونات!$A$2:$A$500,0)),"")</f>
        <v>17.5</v>
      </c>
      <c r="F382" s="68" t="n">
        <f aca="false">IFERROR($C382*$E382,"")</f>
        <v>17.5</v>
      </c>
    </row>
    <row r="383" customFormat="false" ht="15" hidden="false" customHeight="true" outlineLevel="0" collapsed="false">
      <c r="A383" s="65" t="s">
        <v>471</v>
      </c>
      <c r="B383" s="65" t="s">
        <v>270</v>
      </c>
      <c r="C383" s="65" t="n">
        <v>1</v>
      </c>
      <c r="D383" s="66" t="str">
        <f aca="false">IFERROR(INDEX(المكونات!$B$2:$B$500,MATCH($B383,المكونات!$A$2:$A$500,0)),"")</f>
        <v>قطعة</v>
      </c>
      <c r="E383" s="67" t="n">
        <f aca="false">IFERROR(INDEX(المكونات!$C$2:$C$500,MATCH($B383,المكونات!$A$2:$A$500,0)),"")</f>
        <v>4.5</v>
      </c>
      <c r="F383" s="68" t="n">
        <f aca="false">IFERROR($C383*$E383,"")</f>
        <v>4.5</v>
      </c>
    </row>
    <row r="384" customFormat="false" ht="15" hidden="false" customHeight="true" outlineLevel="0" collapsed="false">
      <c r="A384" s="65" t="s">
        <v>471</v>
      </c>
      <c r="B384" s="65" t="s">
        <v>290</v>
      </c>
      <c r="C384" s="65" t="n">
        <v>2</v>
      </c>
      <c r="D384" s="66" t="str">
        <f aca="false">IFERROR(INDEX(المكونات!$B$2:$B$500,MATCH($B384,المكونات!$A$2:$A$500,0)),"")</f>
        <v>قطعة</v>
      </c>
      <c r="E384" s="67" t="n">
        <f aca="false">IFERROR(INDEX(المكونات!$C$2:$C$500,MATCH($B384,المكونات!$A$2:$A$500,0)),"")</f>
        <v>0.3</v>
      </c>
      <c r="F384" s="68" t="n">
        <f aca="false">IFERROR($C384*$E384,"")</f>
        <v>0.6</v>
      </c>
    </row>
    <row r="385" customFormat="false" ht="15" hidden="false" customHeight="true" outlineLevel="0" collapsed="false">
      <c r="A385" s="65" t="s">
        <v>471</v>
      </c>
      <c r="B385" s="65" t="s">
        <v>319</v>
      </c>
      <c r="C385" s="65" t="n">
        <v>1</v>
      </c>
      <c r="D385" s="66" t="str">
        <f aca="false">IFERROR(INDEX(المكونات!$B$2:$B$500,MATCH($B385,المكونات!$A$2:$A$500,0)),"")</f>
        <v>قطعة (ورقة)</v>
      </c>
      <c r="E385" s="67" t="n">
        <f aca="false">IFERROR(INDEX(المكونات!$C$2:$C$500,MATCH($B385,المكونات!$A$2:$A$500,0)),"")</f>
        <v>0.3665</v>
      </c>
      <c r="F385" s="68" t="n">
        <f aca="false">IFERROR($C385*$E385,"")</f>
        <v>0.3665</v>
      </c>
    </row>
    <row r="386" customFormat="false" ht="15" hidden="false" customHeight="true" outlineLevel="0" collapsed="false">
      <c r="A386" s="65" t="s">
        <v>471</v>
      </c>
      <c r="B386" s="65" t="s">
        <v>133</v>
      </c>
      <c r="C386" s="65" t="n">
        <v>1</v>
      </c>
      <c r="D386" s="66" t="str">
        <f aca="false">IFERROR(INDEX(المكونات!$B$2:$B$500,MATCH($B386,المكونات!$A$2:$A$500,0)),"")</f>
        <v>قطعة (كيس)</v>
      </c>
      <c r="E386" s="67" t="n">
        <f aca="false">IFERROR(INDEX(المكونات!$C$2:$C$500,MATCH($B386,المكونات!$A$2:$A$500,0)),"")</f>
        <v>1.4</v>
      </c>
      <c r="F386" s="68" t="n">
        <f aca="false">IFERROR($C386*$E386,"")</f>
        <v>1.4</v>
      </c>
    </row>
    <row r="387" customFormat="false" ht="15" hidden="false" customHeight="true" outlineLevel="0" collapsed="false">
      <c r="A387" s="65" t="s">
        <v>471</v>
      </c>
      <c r="B387" s="65" t="s">
        <v>293</v>
      </c>
      <c r="C387" s="65" t="n">
        <v>1</v>
      </c>
      <c r="D387" s="66" t="str">
        <f aca="false">IFERROR(INDEX(المكونات!$B$2:$B$500,MATCH($B387,المكونات!$A$2:$A$500,0)),"")</f>
        <v>قطعة</v>
      </c>
      <c r="E387" s="67" t="n">
        <f aca="false">IFERROR(INDEX(المكونات!$C$2:$C$500,MATCH($B387,المكونات!$A$2:$A$500,0)),"")</f>
        <v>0.5</v>
      </c>
      <c r="F387" s="68" t="n">
        <f aca="false">IFERROR($C387*$E387,"")</f>
        <v>0.5</v>
      </c>
    </row>
    <row r="388" customFormat="false" ht="15" hidden="false" customHeight="true" outlineLevel="0" collapsed="false">
      <c r="A388" s="65" t="s">
        <v>471</v>
      </c>
      <c r="B388" s="65" t="s">
        <v>211</v>
      </c>
      <c r="C388" s="65" t="n">
        <v>2</v>
      </c>
      <c r="D388" s="66" t="str">
        <f aca="false">IFERROR(INDEX(المكونات!$B$2:$B$500,MATCH($B388,المكونات!$A$2:$A$500,0)),"")</f>
        <v>قطعة (جلفز)</v>
      </c>
      <c r="E388" s="67" t="n">
        <f aca="false">IFERROR(INDEX(المكونات!$C$2:$C$500,MATCH($B388,المكونات!$A$2:$A$500,0)),"")</f>
        <v>0.18</v>
      </c>
      <c r="F388" s="68" t="n">
        <f aca="false">IFERROR($C388*$E388,"")</f>
        <v>0.36</v>
      </c>
    </row>
    <row r="389" customFormat="false" ht="15" hidden="false" customHeight="true" outlineLevel="0" collapsed="false">
      <c r="A389" s="65" t="s">
        <v>471</v>
      </c>
      <c r="B389" s="65" t="s">
        <v>322</v>
      </c>
      <c r="C389" s="65" t="n">
        <v>1</v>
      </c>
      <c r="D389" s="66" t="str">
        <f aca="false">IFERROR(INDEX(المكونات!$B$2:$B$500,MATCH($B389,المكونات!$A$2:$A$500,0)),"")</f>
        <v>قطعة (كيس)</v>
      </c>
      <c r="E389" s="67" t="n">
        <f aca="false">IFERROR(INDEX(المكونات!$C$2:$C$500,MATCH($B389,المكونات!$A$2:$A$500,0)),"")</f>
        <v>1</v>
      </c>
      <c r="F389" s="68" t="n">
        <f aca="false">IFERROR($C389*$E389,"")</f>
        <v>1</v>
      </c>
    </row>
    <row r="390" customFormat="false" ht="15" hidden="false" customHeight="true" outlineLevel="0" collapsed="false">
      <c r="A390" s="65" t="s">
        <v>471</v>
      </c>
      <c r="B390" s="65" t="s">
        <v>142</v>
      </c>
      <c r="C390" s="65" t="n">
        <v>1</v>
      </c>
      <c r="D390" s="66" t="str">
        <f aca="false">IFERROR(INDEX(المكونات!$B$2:$B$500,MATCH($B390,المكونات!$A$2:$A$500,0)),"")</f>
        <v>قطعة</v>
      </c>
      <c r="E390" s="67" t="n">
        <f aca="false">IFERROR(INDEX(المكونات!$C$2:$C$500,MATCH($B390,المكونات!$A$2:$A$500,0)),"")</f>
        <v>35</v>
      </c>
      <c r="F390" s="68" t="n">
        <f aca="false">IFERROR($C390*$E390,"")</f>
        <v>35</v>
      </c>
    </row>
    <row r="391" customFormat="false" ht="15" hidden="false" customHeight="true" outlineLevel="0" collapsed="false">
      <c r="A391" s="65" t="s">
        <v>471</v>
      </c>
      <c r="B391" s="65" t="s">
        <v>152</v>
      </c>
      <c r="C391" s="65" t="n">
        <v>1</v>
      </c>
      <c r="D391" s="66" t="str">
        <f aca="false">IFERROR(INDEX(المكونات!$B$2:$B$500,MATCH($B391,المكونات!$A$2:$A$500,0)),"")</f>
        <v>قطعة</v>
      </c>
      <c r="E391" s="67" t="n">
        <f aca="false">IFERROR(INDEX(المكونات!$C$2:$C$500,MATCH($B391,المكونات!$A$2:$A$500,0)),"")</f>
        <v>34</v>
      </c>
      <c r="F391" s="68" t="n">
        <f aca="false">IFERROR($C391*$E391,"")</f>
        <v>34</v>
      </c>
    </row>
    <row r="392" customFormat="false" ht="15" hidden="false" customHeight="true" outlineLevel="0" collapsed="false">
      <c r="A392" s="65" t="s">
        <v>471</v>
      </c>
      <c r="B392" s="65" t="s">
        <v>288</v>
      </c>
      <c r="C392" s="65" t="n">
        <v>2</v>
      </c>
      <c r="D392" s="66" t="str">
        <f aca="false">IFERROR(INDEX(المكونات!$B$2:$B$500,MATCH($B392,المكونات!$A$2:$A$500,0)),"")</f>
        <v>قطعة</v>
      </c>
      <c r="E392" s="67" t="n">
        <f aca="false">IFERROR(INDEX(المكونات!$C$2:$C$500,MATCH($B392,المكونات!$A$2:$A$500,0)),"")</f>
        <v>7</v>
      </c>
      <c r="F392" s="68" t="n">
        <f aca="false">IFERROR($C392*$E392,"")</f>
        <v>14</v>
      </c>
    </row>
    <row r="393" customFormat="false" ht="26.25" hidden="false" customHeight="true" outlineLevel="0" collapsed="false">
      <c r="A393" s="65" t="s">
        <v>469</v>
      </c>
      <c r="B393" s="65" t="s">
        <v>264</v>
      </c>
      <c r="C393" s="65" t="n">
        <v>1.5</v>
      </c>
      <c r="D393" s="66" t="str">
        <f aca="false">IFERROR(INDEX(المكونات!$B$2:$B$500,MATCH($B393,المكونات!$A$2:$A$500,0)),"")</f>
        <v>قطعة</v>
      </c>
      <c r="E393" s="67" t="n">
        <f aca="false">IFERROR(INDEX(المكونات!$C$2:$C$500,MATCH($B393,المكونات!$A$2:$A$500,0)),"")</f>
        <v>4</v>
      </c>
      <c r="F393" s="68" t="n">
        <f aca="false">IFERROR($C393*$E393,"")</f>
        <v>6</v>
      </c>
    </row>
    <row r="394" customFormat="false" ht="26.25" hidden="false" customHeight="true" outlineLevel="0" collapsed="false">
      <c r="A394" s="65" t="s">
        <v>469</v>
      </c>
      <c r="B394" s="65" t="s">
        <v>260</v>
      </c>
      <c r="C394" s="65" t="n">
        <v>0.045</v>
      </c>
      <c r="D394" s="66" t="str">
        <f aca="false">IFERROR(INDEX(المكونات!$B$2:$B$500,MATCH($B394,المكونات!$A$2:$A$500,0)),"")</f>
        <v>كجم</v>
      </c>
      <c r="E394" s="67" t="n">
        <f aca="false">IFERROR(INDEX(المكونات!$C$2:$C$500,MATCH($B394,المكونات!$A$2:$A$500,0)),"")</f>
        <v>21</v>
      </c>
      <c r="F394" s="68" t="n">
        <f aca="false">IFERROR($C394*$E394,"")</f>
        <v>0.945</v>
      </c>
    </row>
    <row r="395" customFormat="false" ht="26.25" hidden="false" customHeight="true" outlineLevel="0" collapsed="false">
      <c r="A395" s="65" t="s">
        <v>469</v>
      </c>
      <c r="B395" s="65" t="s">
        <v>284</v>
      </c>
      <c r="C395" s="65" t="n">
        <v>0.03</v>
      </c>
      <c r="D395" s="66" t="str">
        <f aca="false">IFERROR(INDEX(المكونات!$B$2:$B$500,MATCH($B395,المكونات!$A$2:$A$500,0)),"")</f>
        <v>كجم</v>
      </c>
      <c r="E395" s="67" t="n">
        <f aca="false">IFERROR(INDEX(المكونات!$C$2:$C$500,MATCH($B395,المكونات!$A$2:$A$500,0)),"")</f>
        <v>27</v>
      </c>
      <c r="F395" s="68" t="n">
        <f aca="false">IFERROR($C395*$E395,"")</f>
        <v>0.81</v>
      </c>
    </row>
    <row r="396" customFormat="false" ht="26.25" hidden="false" customHeight="true" outlineLevel="0" collapsed="false">
      <c r="A396" s="65" t="s">
        <v>469</v>
      </c>
      <c r="B396" s="65" t="s">
        <v>227</v>
      </c>
      <c r="C396" s="65" t="n">
        <v>0.03</v>
      </c>
      <c r="D396" s="66" t="str">
        <f aca="false">IFERROR(INDEX(المكونات!$B$2:$B$500,MATCH($B396,المكونات!$A$2:$A$500,0)),"")</f>
        <v>كجم</v>
      </c>
      <c r="E396" s="67" t="n">
        <f aca="false">IFERROR(INDEX(المكونات!$C$2:$C$500,MATCH($B396,المكونات!$A$2:$A$500,0)),"")</f>
        <v>95</v>
      </c>
      <c r="F396" s="68" t="n">
        <f aca="false">IFERROR($C396*$E396,"")</f>
        <v>2.85</v>
      </c>
    </row>
    <row r="397" customFormat="false" ht="26.25" hidden="false" customHeight="true" outlineLevel="0" collapsed="false">
      <c r="A397" s="65" t="s">
        <v>469</v>
      </c>
      <c r="B397" s="65" t="s">
        <v>178</v>
      </c>
      <c r="C397" s="65" t="n">
        <v>1</v>
      </c>
      <c r="D397" s="66" t="str">
        <f aca="false">IFERROR(INDEX(المكونات!$B$2:$B$500,MATCH($B397,المكونات!$A$2:$A$500,0)),"")</f>
        <v>قطعة</v>
      </c>
      <c r="E397" s="67" t="n">
        <f aca="false">IFERROR(INDEX(المكونات!$C$2:$C$500,MATCH($B397,المكونات!$A$2:$A$500,0)),"")</f>
        <v>25</v>
      </c>
      <c r="F397" s="68" t="n">
        <f aca="false">IFERROR($C397*$E397,"")</f>
        <v>25</v>
      </c>
    </row>
    <row r="398" customFormat="false" ht="26.25" hidden="false" customHeight="true" outlineLevel="0" collapsed="false">
      <c r="A398" s="65" t="s">
        <v>469</v>
      </c>
      <c r="B398" s="65" t="s">
        <v>268</v>
      </c>
      <c r="C398" s="65" t="n">
        <v>1</v>
      </c>
      <c r="D398" s="66" t="str">
        <f aca="false">IFERROR(INDEX(المكونات!$B$2:$B$500,MATCH($B398,المكونات!$A$2:$A$500,0)),"")</f>
        <v>قطعة</v>
      </c>
      <c r="E398" s="67" t="n">
        <f aca="false">IFERROR(INDEX(المكونات!$C$2:$C$500,MATCH($B398,المكونات!$A$2:$A$500,0)),"")</f>
        <v>5.5</v>
      </c>
      <c r="F398" s="68" t="n">
        <f aca="false">IFERROR($C398*$E398,"")</f>
        <v>5.5</v>
      </c>
    </row>
    <row r="399" customFormat="false" ht="26.25" hidden="false" customHeight="true" outlineLevel="0" collapsed="false">
      <c r="A399" s="65" t="s">
        <v>469</v>
      </c>
      <c r="B399" s="65" t="s">
        <v>290</v>
      </c>
      <c r="C399" s="65" t="n">
        <v>3</v>
      </c>
      <c r="D399" s="66" t="str">
        <f aca="false">IFERROR(INDEX(المكونات!$B$2:$B$500,MATCH($B399,المكونات!$A$2:$A$500,0)),"")</f>
        <v>قطعة</v>
      </c>
      <c r="E399" s="67" t="n">
        <f aca="false">IFERROR(INDEX(المكونات!$C$2:$C$500,MATCH($B399,المكونات!$A$2:$A$500,0)),"")</f>
        <v>0.3</v>
      </c>
      <c r="F399" s="68" t="n">
        <f aca="false">IFERROR($C399*$E399,"")</f>
        <v>0.9</v>
      </c>
    </row>
    <row r="400" customFormat="false" ht="26.25" hidden="false" customHeight="true" outlineLevel="0" collapsed="false">
      <c r="A400" s="65" t="s">
        <v>469</v>
      </c>
      <c r="B400" s="65" t="s">
        <v>319</v>
      </c>
      <c r="C400" s="65" t="n">
        <v>1</v>
      </c>
      <c r="D400" s="66" t="str">
        <f aca="false">IFERROR(INDEX(المكونات!$B$2:$B$500,MATCH($B400,المكونات!$A$2:$A$500,0)),"")</f>
        <v>قطعة (ورقة)</v>
      </c>
      <c r="E400" s="67" t="n">
        <f aca="false">IFERROR(INDEX(المكونات!$C$2:$C$500,MATCH($B400,المكونات!$A$2:$A$500,0)),"")</f>
        <v>0.3665</v>
      </c>
      <c r="F400" s="68" t="n">
        <f aca="false">IFERROR($C400*$E400,"")</f>
        <v>0.3665</v>
      </c>
    </row>
    <row r="401" customFormat="false" ht="26.25" hidden="false" customHeight="true" outlineLevel="0" collapsed="false">
      <c r="A401" s="65" t="s">
        <v>469</v>
      </c>
      <c r="B401" s="65" t="s">
        <v>133</v>
      </c>
      <c r="C401" s="65" t="n">
        <v>1</v>
      </c>
      <c r="D401" s="66" t="str">
        <f aca="false">IFERROR(INDEX(المكونات!$B$2:$B$500,MATCH($B401,المكونات!$A$2:$A$500,0)),"")</f>
        <v>قطعة (كيس)</v>
      </c>
      <c r="E401" s="67" t="n">
        <f aca="false">IFERROR(INDEX(المكونات!$C$2:$C$500,MATCH($B401,المكونات!$A$2:$A$500,0)),"")</f>
        <v>1.4</v>
      </c>
      <c r="F401" s="68" t="n">
        <f aca="false">IFERROR($C401*$E401,"")</f>
        <v>1.4</v>
      </c>
    </row>
    <row r="402" customFormat="false" ht="26.25" hidden="false" customHeight="true" outlineLevel="0" collapsed="false">
      <c r="A402" s="65" t="s">
        <v>469</v>
      </c>
      <c r="B402" s="65" t="s">
        <v>293</v>
      </c>
      <c r="C402" s="65" t="n">
        <v>1</v>
      </c>
      <c r="D402" s="66" t="str">
        <f aca="false">IFERROR(INDEX(المكونات!$B$2:$B$500,MATCH($B402,المكونات!$A$2:$A$500,0)),"")</f>
        <v>قطعة</v>
      </c>
      <c r="E402" s="67" t="n">
        <f aca="false">IFERROR(INDEX(المكونات!$C$2:$C$500,MATCH($B402,المكونات!$A$2:$A$500,0)),"")</f>
        <v>0.5</v>
      </c>
      <c r="F402" s="68" t="n">
        <f aca="false">IFERROR($C402*$E402,"")</f>
        <v>0.5</v>
      </c>
    </row>
    <row r="403" customFormat="false" ht="26.25" hidden="false" customHeight="true" outlineLevel="0" collapsed="false">
      <c r="A403" s="65" t="s">
        <v>469</v>
      </c>
      <c r="B403" s="65" t="s">
        <v>211</v>
      </c>
      <c r="C403" s="65" t="n">
        <v>2</v>
      </c>
      <c r="D403" s="66" t="str">
        <f aca="false">IFERROR(INDEX(المكونات!$B$2:$B$500,MATCH($B403,المكونات!$A$2:$A$500,0)),"")</f>
        <v>قطعة (جلفز)</v>
      </c>
      <c r="E403" s="67" t="n">
        <f aca="false">IFERROR(INDEX(المكونات!$C$2:$C$500,MATCH($B403,المكونات!$A$2:$A$500,0)),"")</f>
        <v>0.18</v>
      </c>
      <c r="F403" s="68" t="n">
        <f aca="false">IFERROR($C403*$E403,"")</f>
        <v>0.36</v>
      </c>
    </row>
    <row r="404" customFormat="false" ht="26.25" hidden="false" customHeight="true" outlineLevel="0" collapsed="false">
      <c r="A404" s="65" t="s">
        <v>469</v>
      </c>
      <c r="B404" s="65" t="s">
        <v>322</v>
      </c>
      <c r="C404" s="65" t="n">
        <v>1</v>
      </c>
      <c r="D404" s="66" t="str">
        <f aca="false">IFERROR(INDEX(المكونات!$B$2:$B$500,MATCH($B404,المكونات!$A$2:$A$500,0)),"")</f>
        <v>قطعة (كيس)</v>
      </c>
      <c r="E404" s="67" t="n">
        <f aca="false">IFERROR(INDEX(المكونات!$C$2:$C$500,MATCH($B404,المكونات!$A$2:$A$500,0)),"")</f>
        <v>1</v>
      </c>
      <c r="F404" s="68" t="n">
        <f aca="false">IFERROR($C404*$E404,"")</f>
        <v>1</v>
      </c>
    </row>
    <row r="405" customFormat="false" ht="26.25" hidden="false" customHeight="true" outlineLevel="0" collapsed="false">
      <c r="A405" s="65" t="s">
        <v>469</v>
      </c>
      <c r="B405" s="65" t="s">
        <v>144</v>
      </c>
      <c r="C405" s="65" t="n">
        <v>1</v>
      </c>
      <c r="D405" s="66" t="str">
        <f aca="false">IFERROR(INDEX(المكونات!$B$2:$B$500,MATCH($B405,المكونات!$A$2:$A$500,0)),"")</f>
        <v>قطعة</v>
      </c>
      <c r="E405" s="67" t="n">
        <f aca="false">IFERROR(INDEX(المكونات!$C$2:$C$500,MATCH($B405,المكونات!$A$2:$A$500,0)),"")</f>
        <v>46.6667</v>
      </c>
      <c r="F405" s="68" t="n">
        <f aca="false">IFERROR($C405*$E405,"")</f>
        <v>46.6667</v>
      </c>
    </row>
    <row r="406" customFormat="false" ht="26.25" hidden="false" customHeight="true" outlineLevel="0" collapsed="false">
      <c r="A406" s="65" t="s">
        <v>469</v>
      </c>
      <c r="B406" s="65" t="s">
        <v>154</v>
      </c>
      <c r="C406" s="65" t="n">
        <v>1</v>
      </c>
      <c r="D406" s="66" t="str">
        <f aca="false">IFERROR(INDEX(المكونات!$B$2:$B$500,MATCH($B406,المكونات!$A$2:$A$500,0)),"")</f>
        <v>قطعة</v>
      </c>
      <c r="E406" s="67" t="n">
        <f aca="false">IFERROR(INDEX(المكونات!$C$2:$C$500,MATCH($B406,المكونات!$A$2:$A$500,0)),"")</f>
        <v>45</v>
      </c>
      <c r="F406" s="68" t="n">
        <f aca="false">IFERROR($C406*$E406,"")</f>
        <v>45</v>
      </c>
    </row>
    <row r="407" customFormat="false" ht="26.25" hidden="false" customHeight="true" outlineLevel="0" collapsed="false">
      <c r="A407" s="65" t="s">
        <v>469</v>
      </c>
      <c r="B407" s="65" t="s">
        <v>288</v>
      </c>
      <c r="C407" s="65" t="n">
        <v>3</v>
      </c>
      <c r="D407" s="66" t="str">
        <f aca="false">IFERROR(INDEX(المكونات!$B$2:$B$500,MATCH($B407,المكونات!$A$2:$A$500,0)),"")</f>
        <v>قطعة</v>
      </c>
      <c r="E407" s="67" t="n">
        <f aca="false">IFERROR(INDEX(المكونات!$C$2:$C$500,MATCH($B407,المكونات!$A$2:$A$500,0)),"")</f>
        <v>7</v>
      </c>
      <c r="F407" s="68" t="n">
        <f aca="false">IFERROR($C407*$E407,"")</f>
        <v>21</v>
      </c>
    </row>
    <row r="408" customFormat="false" ht="15" hidden="false" customHeight="true" outlineLevel="0" collapsed="false">
      <c r="A408" s="65" t="s">
        <v>501</v>
      </c>
      <c r="B408" s="65" t="s">
        <v>264</v>
      </c>
      <c r="C408" s="65" t="n">
        <v>1</v>
      </c>
      <c r="D408" s="66" t="str">
        <f aca="false">IFERROR(INDEX(المكونات!$B$2:$B$500,MATCH($B408,المكونات!$A$2:$A$500,0)),"")</f>
        <v>قطعة</v>
      </c>
      <c r="E408" s="67" t="n">
        <f aca="false">IFERROR(INDEX(المكونات!$C$2:$C$500,MATCH($B408,المكونات!$A$2:$A$500,0)),"")</f>
        <v>4</v>
      </c>
      <c r="F408" s="68" t="n">
        <f aca="false">IFERROR($C408*$E408,"")</f>
        <v>4</v>
      </c>
    </row>
    <row r="409" customFormat="false" ht="15" hidden="false" customHeight="true" outlineLevel="0" collapsed="false">
      <c r="A409" s="65" t="s">
        <v>501</v>
      </c>
      <c r="B409" s="65" t="s">
        <v>260</v>
      </c>
      <c r="C409" s="65" t="n">
        <v>0.03</v>
      </c>
      <c r="D409" s="66" t="str">
        <f aca="false">IFERROR(INDEX(المكونات!$B$2:$B$500,MATCH($B409,المكونات!$A$2:$A$500,0)),"")</f>
        <v>كجم</v>
      </c>
      <c r="E409" s="67" t="n">
        <f aca="false">IFERROR(INDEX(المكونات!$C$2:$C$500,MATCH($B409,المكونات!$A$2:$A$500,0)),"")</f>
        <v>21</v>
      </c>
      <c r="F409" s="68" t="n">
        <f aca="false">IFERROR($C409*$E409,"")</f>
        <v>0.63</v>
      </c>
    </row>
    <row r="410" customFormat="false" ht="15" hidden="false" customHeight="true" outlineLevel="0" collapsed="false">
      <c r="A410" s="65" t="s">
        <v>501</v>
      </c>
      <c r="B410" s="65" t="s">
        <v>284</v>
      </c>
      <c r="C410" s="65" t="n">
        <v>0.02</v>
      </c>
      <c r="D410" s="66" t="str">
        <f aca="false">IFERROR(INDEX(المكونات!$B$2:$B$500,MATCH($B410,المكونات!$A$2:$A$500,0)),"")</f>
        <v>كجم</v>
      </c>
      <c r="E410" s="67" t="n">
        <f aca="false">IFERROR(INDEX(المكونات!$C$2:$C$500,MATCH($B410,المكونات!$A$2:$A$500,0)),"")</f>
        <v>27</v>
      </c>
      <c r="F410" s="68" t="n">
        <f aca="false">IFERROR($C410*$E410,"")</f>
        <v>0.54</v>
      </c>
    </row>
    <row r="411" customFormat="false" ht="15" hidden="false" customHeight="true" outlineLevel="0" collapsed="false">
      <c r="A411" s="65" t="s">
        <v>501</v>
      </c>
      <c r="B411" s="65" t="s">
        <v>227</v>
      </c>
      <c r="C411" s="65" t="n">
        <v>0.02</v>
      </c>
      <c r="D411" s="66" t="str">
        <f aca="false">IFERROR(INDEX(المكونات!$B$2:$B$500,MATCH($B411,المكونات!$A$2:$A$500,0)),"")</f>
        <v>كجم</v>
      </c>
      <c r="E411" s="67" t="n">
        <f aca="false">IFERROR(INDEX(المكونات!$C$2:$C$500,MATCH($B411,المكونات!$A$2:$A$500,0)),"")</f>
        <v>95</v>
      </c>
      <c r="F411" s="68" t="n">
        <f aca="false">IFERROR($C411*$E411,"")</f>
        <v>1.9</v>
      </c>
    </row>
    <row r="412" customFormat="false" ht="15" hidden="false" customHeight="true" outlineLevel="0" collapsed="false">
      <c r="A412" s="65" t="s">
        <v>501</v>
      </c>
      <c r="B412" s="65" t="s">
        <v>176</v>
      </c>
      <c r="C412" s="65" t="n">
        <v>1</v>
      </c>
      <c r="D412" s="66" t="str">
        <f aca="false">IFERROR(INDEX(المكونات!$B$2:$B$500,MATCH($B412,المكونات!$A$2:$A$500,0)),"")</f>
        <v>قطعة</v>
      </c>
      <c r="E412" s="67" t="n">
        <f aca="false">IFERROR(INDEX(المكونات!$C$2:$C$500,MATCH($B412,المكونات!$A$2:$A$500,0)),"")</f>
        <v>17.5</v>
      </c>
      <c r="F412" s="68" t="n">
        <f aca="false">IFERROR($C412*$E412,"")</f>
        <v>17.5</v>
      </c>
    </row>
    <row r="413" customFormat="false" ht="15" hidden="false" customHeight="true" outlineLevel="0" collapsed="false">
      <c r="A413" s="65" t="s">
        <v>501</v>
      </c>
      <c r="B413" s="65" t="s">
        <v>270</v>
      </c>
      <c r="C413" s="65" t="n">
        <v>1</v>
      </c>
      <c r="D413" s="66" t="str">
        <f aca="false">IFERROR(INDEX(المكونات!$B$2:$B$500,MATCH($B413,المكونات!$A$2:$A$500,0)),"")</f>
        <v>قطعة</v>
      </c>
      <c r="E413" s="67" t="n">
        <f aca="false">IFERROR(INDEX(المكونات!$C$2:$C$500,MATCH($B413,المكونات!$A$2:$A$500,0)),"")</f>
        <v>4.5</v>
      </c>
      <c r="F413" s="68" t="n">
        <f aca="false">IFERROR($C413*$E413,"")</f>
        <v>4.5</v>
      </c>
    </row>
    <row r="414" customFormat="false" ht="15" hidden="false" customHeight="true" outlineLevel="0" collapsed="false">
      <c r="A414" s="65" t="s">
        <v>501</v>
      </c>
      <c r="B414" s="65" t="s">
        <v>290</v>
      </c>
      <c r="C414" s="65" t="n">
        <v>2</v>
      </c>
      <c r="D414" s="66" t="str">
        <f aca="false">IFERROR(INDEX(المكونات!$B$2:$B$500,MATCH($B414,المكونات!$A$2:$A$500,0)),"")</f>
        <v>قطعة</v>
      </c>
      <c r="E414" s="67" t="n">
        <f aca="false">IFERROR(INDEX(المكونات!$C$2:$C$500,MATCH($B414,المكونات!$A$2:$A$500,0)),"")</f>
        <v>0.3</v>
      </c>
      <c r="F414" s="68" t="n">
        <f aca="false">IFERROR($C414*$E414,"")</f>
        <v>0.6</v>
      </c>
    </row>
    <row r="415" customFormat="false" ht="15" hidden="false" customHeight="true" outlineLevel="0" collapsed="false">
      <c r="A415" s="65" t="s">
        <v>501</v>
      </c>
      <c r="B415" s="65" t="s">
        <v>319</v>
      </c>
      <c r="C415" s="65" t="n">
        <v>1</v>
      </c>
      <c r="D415" s="66" t="str">
        <f aca="false">IFERROR(INDEX(المكونات!$B$2:$B$500,MATCH($B415,المكونات!$A$2:$A$500,0)),"")</f>
        <v>قطعة (ورقة)</v>
      </c>
      <c r="E415" s="67" t="n">
        <f aca="false">IFERROR(INDEX(المكونات!$C$2:$C$500,MATCH($B415,المكونات!$A$2:$A$500,0)),"")</f>
        <v>0.3665</v>
      </c>
      <c r="F415" s="68" t="n">
        <f aca="false">IFERROR($C415*$E415,"")</f>
        <v>0.3665</v>
      </c>
    </row>
    <row r="416" customFormat="false" ht="15" hidden="false" customHeight="true" outlineLevel="0" collapsed="false">
      <c r="A416" s="65" t="s">
        <v>501</v>
      </c>
      <c r="B416" s="65" t="s">
        <v>133</v>
      </c>
      <c r="C416" s="65" t="n">
        <v>1</v>
      </c>
      <c r="D416" s="66" t="str">
        <f aca="false">IFERROR(INDEX(المكونات!$B$2:$B$500,MATCH($B416,المكونات!$A$2:$A$500,0)),"")</f>
        <v>قطعة (كيس)</v>
      </c>
      <c r="E416" s="67" t="n">
        <f aca="false">IFERROR(INDEX(المكونات!$C$2:$C$500,MATCH($B416,المكونات!$A$2:$A$500,0)),"")</f>
        <v>1.4</v>
      </c>
      <c r="F416" s="68" t="n">
        <f aca="false">IFERROR($C416*$E416,"")</f>
        <v>1.4</v>
      </c>
    </row>
    <row r="417" customFormat="false" ht="15" hidden="false" customHeight="true" outlineLevel="0" collapsed="false">
      <c r="A417" s="65" t="s">
        <v>501</v>
      </c>
      <c r="B417" s="65" t="s">
        <v>293</v>
      </c>
      <c r="C417" s="65" t="n">
        <v>1</v>
      </c>
      <c r="D417" s="66" t="str">
        <f aca="false">IFERROR(INDEX(المكونات!$B$2:$B$500,MATCH($B417,المكونات!$A$2:$A$500,0)),"")</f>
        <v>قطعة</v>
      </c>
      <c r="E417" s="67" t="n">
        <f aca="false">IFERROR(INDEX(المكونات!$C$2:$C$500,MATCH($B417,المكونات!$A$2:$A$500,0)),"")</f>
        <v>0.5</v>
      </c>
      <c r="F417" s="68" t="n">
        <f aca="false">IFERROR($C417*$E417,"")</f>
        <v>0.5</v>
      </c>
    </row>
    <row r="418" customFormat="false" ht="15" hidden="false" customHeight="true" outlineLevel="0" collapsed="false">
      <c r="A418" s="65" t="s">
        <v>501</v>
      </c>
      <c r="B418" s="65" t="s">
        <v>211</v>
      </c>
      <c r="C418" s="65" t="n">
        <v>2</v>
      </c>
      <c r="D418" s="66" t="str">
        <f aca="false">IFERROR(INDEX(المكونات!$B$2:$B$500,MATCH($B418,المكونات!$A$2:$A$500,0)),"")</f>
        <v>قطعة (جلفز)</v>
      </c>
      <c r="E418" s="67" t="n">
        <f aca="false">IFERROR(INDEX(المكونات!$C$2:$C$500,MATCH($B418,المكونات!$A$2:$A$500,0)),"")</f>
        <v>0.18</v>
      </c>
      <c r="F418" s="68" t="n">
        <f aca="false">IFERROR($C418*$E418,"")</f>
        <v>0.36</v>
      </c>
    </row>
    <row r="419" customFormat="false" ht="15" hidden="false" customHeight="true" outlineLevel="0" collapsed="false">
      <c r="A419" s="65" t="s">
        <v>501</v>
      </c>
      <c r="B419" s="65" t="s">
        <v>322</v>
      </c>
      <c r="C419" s="65" t="n">
        <v>1</v>
      </c>
      <c r="D419" s="66" t="str">
        <f aca="false">IFERROR(INDEX(المكونات!$B$2:$B$500,MATCH($B419,المكونات!$A$2:$A$500,0)),"")</f>
        <v>قطعة (كيس)</v>
      </c>
      <c r="E419" s="67" t="n">
        <f aca="false">IFERROR(INDEX(المكونات!$C$2:$C$500,MATCH($B419,المكونات!$A$2:$A$500,0)),"")</f>
        <v>1</v>
      </c>
      <c r="F419" s="68" t="n">
        <f aca="false">IFERROR($C419*$E419,"")</f>
        <v>1</v>
      </c>
    </row>
    <row r="420" customFormat="false" ht="15" hidden="false" customHeight="true" outlineLevel="0" collapsed="false">
      <c r="A420" s="65" t="s">
        <v>501</v>
      </c>
      <c r="B420" s="65" t="s">
        <v>148</v>
      </c>
      <c r="C420" s="65" t="n">
        <v>1</v>
      </c>
      <c r="D420" s="66" t="str">
        <f aca="false">IFERROR(INDEX(المكونات!$B$2:$B$500,MATCH($B420,المكونات!$A$2:$A$500,0)),"")</f>
        <v>قطعة</v>
      </c>
      <c r="E420" s="67" t="n">
        <f aca="false">IFERROR(INDEX(المكونات!$C$2:$C$500,MATCH($B420,المكونات!$A$2:$A$500,0)),"")</f>
        <v>9</v>
      </c>
      <c r="F420" s="68" t="n">
        <f aca="false">IFERROR($C420*$E420,"")</f>
        <v>9</v>
      </c>
    </row>
    <row r="421" customFormat="false" ht="15" hidden="false" customHeight="true" outlineLevel="0" collapsed="false">
      <c r="A421" s="65" t="s">
        <v>501</v>
      </c>
      <c r="B421" s="65" t="s">
        <v>288</v>
      </c>
      <c r="C421" s="65" t="n">
        <v>2</v>
      </c>
      <c r="D421" s="66" t="str">
        <f aca="false">IFERROR(INDEX(المكونات!$B$2:$B$500,MATCH($B421,المكونات!$A$2:$A$500,0)),"")</f>
        <v>قطعة</v>
      </c>
      <c r="E421" s="67" t="n">
        <f aca="false">IFERROR(INDEX(المكونات!$C$2:$C$500,MATCH($B421,المكونات!$A$2:$A$500,0)),"")</f>
        <v>7</v>
      </c>
      <c r="F421" s="68" t="n">
        <f aca="false">IFERROR($C421*$E421,"")</f>
        <v>14</v>
      </c>
    </row>
    <row r="422" customFormat="false" ht="15" hidden="false" customHeight="true" outlineLevel="0" collapsed="false">
      <c r="A422" s="65" t="s">
        <v>501</v>
      </c>
      <c r="B422" s="65" t="s">
        <v>258</v>
      </c>
      <c r="C422" s="65" t="n">
        <v>0.1</v>
      </c>
      <c r="D422" s="66" t="str">
        <f aca="false">IFERROR(INDEX(المكونات!$B$2:$B$500,MATCH($B422,المكونات!$A$2:$A$500,0)),"")</f>
        <v>كجم</v>
      </c>
      <c r="E422" s="67" t="n">
        <f aca="false">IFERROR(INDEX(المكونات!$C$2:$C$500,MATCH($B422,المكونات!$A$2:$A$500,0)),"")</f>
        <v>140</v>
      </c>
      <c r="F422" s="68" t="n">
        <f aca="false">IFERROR($C422*$E422,"")</f>
        <v>14</v>
      </c>
    </row>
    <row r="423" customFormat="false" ht="15" hidden="false" customHeight="true" outlineLevel="0" collapsed="false">
      <c r="A423" s="65" t="s">
        <v>501</v>
      </c>
      <c r="B423" s="65" t="s">
        <v>176</v>
      </c>
      <c r="C423" s="65" t="n">
        <v>0.5</v>
      </c>
      <c r="D423" s="66" t="str">
        <f aca="false">IFERROR(INDEX(المكونات!$B$2:$B$500,MATCH($B423,المكونات!$A$2:$A$500,0)),"")</f>
        <v>قطعة</v>
      </c>
      <c r="E423" s="67" t="n">
        <f aca="false">IFERROR(INDEX(المكونات!$C$2:$C$500,MATCH($B423,المكونات!$A$2:$A$500,0)),"")</f>
        <v>17.5</v>
      </c>
      <c r="F423" s="68" t="n">
        <f aca="false">IFERROR($C423*$E423,"")</f>
        <v>8.75</v>
      </c>
    </row>
    <row r="424" customFormat="false" ht="15" hidden="false" customHeight="true" outlineLevel="0" collapsed="false">
      <c r="A424" s="65" t="s">
        <v>516</v>
      </c>
      <c r="B424" s="65" t="s">
        <v>264</v>
      </c>
      <c r="C424" s="65" t="n">
        <v>1.5</v>
      </c>
      <c r="D424" s="66" t="str">
        <f aca="false">IFERROR(INDEX(المكونات!$B$2:$B$500,MATCH($B424,المكونات!$A$2:$A$500,0)),"")</f>
        <v>قطعة</v>
      </c>
      <c r="E424" s="67" t="n">
        <f aca="false">IFERROR(INDEX(المكونات!$C$2:$C$500,MATCH($B424,المكونات!$A$2:$A$500,0)),"")</f>
        <v>4</v>
      </c>
      <c r="F424" s="68" t="n">
        <f aca="false">IFERROR($C424*$E424,"")</f>
        <v>6</v>
      </c>
    </row>
    <row r="425" customFormat="false" ht="15" hidden="false" customHeight="true" outlineLevel="0" collapsed="false">
      <c r="A425" s="65" t="s">
        <v>516</v>
      </c>
      <c r="B425" s="65" t="s">
        <v>260</v>
      </c>
      <c r="C425" s="65" t="n">
        <v>0.045</v>
      </c>
      <c r="D425" s="66" t="str">
        <f aca="false">IFERROR(INDEX(المكونات!$B$2:$B$500,MATCH($B425,المكونات!$A$2:$A$500,0)),"")</f>
        <v>كجم</v>
      </c>
      <c r="E425" s="67" t="n">
        <f aca="false">IFERROR(INDEX(المكونات!$C$2:$C$500,MATCH($B425,المكونات!$A$2:$A$500,0)),"")</f>
        <v>21</v>
      </c>
      <c r="F425" s="68" t="n">
        <f aca="false">IFERROR($C425*$E425,"")</f>
        <v>0.945</v>
      </c>
    </row>
    <row r="426" customFormat="false" ht="15" hidden="false" customHeight="true" outlineLevel="0" collapsed="false">
      <c r="A426" s="65" t="s">
        <v>516</v>
      </c>
      <c r="B426" s="65" t="s">
        <v>284</v>
      </c>
      <c r="C426" s="65" t="n">
        <v>0.03</v>
      </c>
      <c r="D426" s="66" t="str">
        <f aca="false">IFERROR(INDEX(المكونات!$B$2:$B$500,MATCH($B426,المكونات!$A$2:$A$500,0)),"")</f>
        <v>كجم</v>
      </c>
      <c r="E426" s="67" t="n">
        <f aca="false">IFERROR(INDEX(المكونات!$C$2:$C$500,MATCH($B426,المكونات!$A$2:$A$500,0)),"")</f>
        <v>27</v>
      </c>
      <c r="F426" s="68" t="n">
        <f aca="false">IFERROR($C426*$E426,"")</f>
        <v>0.81</v>
      </c>
    </row>
    <row r="427" customFormat="false" ht="15" hidden="false" customHeight="true" outlineLevel="0" collapsed="false">
      <c r="A427" s="65" t="s">
        <v>516</v>
      </c>
      <c r="B427" s="65" t="s">
        <v>227</v>
      </c>
      <c r="C427" s="65" t="n">
        <v>0.03</v>
      </c>
      <c r="D427" s="66" t="str">
        <f aca="false">IFERROR(INDEX(المكونات!$B$2:$B$500,MATCH($B427,المكونات!$A$2:$A$500,0)),"")</f>
        <v>كجم</v>
      </c>
      <c r="E427" s="67" t="n">
        <f aca="false">IFERROR(INDEX(المكونات!$C$2:$C$500,MATCH($B427,المكونات!$A$2:$A$500,0)),"")</f>
        <v>95</v>
      </c>
      <c r="F427" s="68" t="n">
        <f aca="false">IFERROR($C427*$E427,"")</f>
        <v>2.85</v>
      </c>
    </row>
    <row r="428" customFormat="false" ht="15" hidden="false" customHeight="true" outlineLevel="0" collapsed="false">
      <c r="A428" s="65" t="s">
        <v>516</v>
      </c>
      <c r="B428" s="65" t="s">
        <v>178</v>
      </c>
      <c r="C428" s="65" t="n">
        <v>1</v>
      </c>
      <c r="D428" s="66" t="str">
        <f aca="false">IFERROR(INDEX(المكونات!$B$2:$B$500,MATCH($B428,المكونات!$A$2:$A$500,0)),"")</f>
        <v>قطعة</v>
      </c>
      <c r="E428" s="67" t="n">
        <f aca="false">IFERROR(INDEX(المكونات!$C$2:$C$500,MATCH($B428,المكونات!$A$2:$A$500,0)),"")</f>
        <v>25</v>
      </c>
      <c r="F428" s="68" t="n">
        <f aca="false">IFERROR($C428*$E428,"")</f>
        <v>25</v>
      </c>
    </row>
    <row r="429" customFormat="false" ht="15" hidden="false" customHeight="true" outlineLevel="0" collapsed="false">
      <c r="A429" s="65" t="s">
        <v>516</v>
      </c>
      <c r="B429" s="65" t="s">
        <v>268</v>
      </c>
      <c r="C429" s="65" t="n">
        <v>1</v>
      </c>
      <c r="D429" s="66" t="str">
        <f aca="false">IFERROR(INDEX(المكونات!$B$2:$B$500,MATCH($B429,المكونات!$A$2:$A$500,0)),"")</f>
        <v>قطعة</v>
      </c>
      <c r="E429" s="67" t="n">
        <f aca="false">IFERROR(INDEX(المكونات!$C$2:$C$500,MATCH($B429,المكونات!$A$2:$A$500,0)),"")</f>
        <v>5.5</v>
      </c>
      <c r="F429" s="68" t="n">
        <f aca="false">IFERROR($C429*$E429,"")</f>
        <v>5.5</v>
      </c>
    </row>
    <row r="430" customFormat="false" ht="15" hidden="false" customHeight="true" outlineLevel="0" collapsed="false">
      <c r="A430" s="65" t="s">
        <v>516</v>
      </c>
      <c r="B430" s="65" t="s">
        <v>290</v>
      </c>
      <c r="C430" s="65" t="n">
        <v>3</v>
      </c>
      <c r="D430" s="66" t="str">
        <f aca="false">IFERROR(INDEX(المكونات!$B$2:$B$500,MATCH($B430,المكونات!$A$2:$A$500,0)),"")</f>
        <v>قطعة</v>
      </c>
      <c r="E430" s="67" t="n">
        <f aca="false">IFERROR(INDEX(المكونات!$C$2:$C$500,MATCH($B430,المكونات!$A$2:$A$500,0)),"")</f>
        <v>0.3</v>
      </c>
      <c r="F430" s="68" t="n">
        <f aca="false">IFERROR($C430*$E430,"")</f>
        <v>0.9</v>
      </c>
    </row>
    <row r="431" customFormat="false" ht="15" hidden="false" customHeight="true" outlineLevel="0" collapsed="false">
      <c r="A431" s="65" t="s">
        <v>516</v>
      </c>
      <c r="B431" s="65" t="s">
        <v>319</v>
      </c>
      <c r="C431" s="65" t="n">
        <v>1</v>
      </c>
      <c r="D431" s="66" t="str">
        <f aca="false">IFERROR(INDEX(المكونات!$B$2:$B$500,MATCH($B431,المكونات!$A$2:$A$500,0)),"")</f>
        <v>قطعة (ورقة)</v>
      </c>
      <c r="E431" s="67" t="n">
        <f aca="false">IFERROR(INDEX(المكونات!$C$2:$C$500,MATCH($B431,المكونات!$A$2:$A$500,0)),"")</f>
        <v>0.3665</v>
      </c>
      <c r="F431" s="68" t="n">
        <f aca="false">IFERROR($C431*$E431,"")</f>
        <v>0.3665</v>
      </c>
    </row>
    <row r="432" customFormat="false" ht="15" hidden="false" customHeight="true" outlineLevel="0" collapsed="false">
      <c r="A432" s="65" t="s">
        <v>516</v>
      </c>
      <c r="B432" s="65" t="s">
        <v>133</v>
      </c>
      <c r="C432" s="65" t="n">
        <v>1</v>
      </c>
      <c r="D432" s="66" t="str">
        <f aca="false">IFERROR(INDEX(المكونات!$B$2:$B$500,MATCH($B432,المكونات!$A$2:$A$500,0)),"")</f>
        <v>قطعة (كيس)</v>
      </c>
      <c r="E432" s="67" t="n">
        <f aca="false">IFERROR(INDEX(المكونات!$C$2:$C$500,MATCH($B432,المكونات!$A$2:$A$500,0)),"")</f>
        <v>1.4</v>
      </c>
      <c r="F432" s="68" t="n">
        <f aca="false">IFERROR($C432*$E432,"")</f>
        <v>1.4</v>
      </c>
    </row>
    <row r="433" customFormat="false" ht="15" hidden="false" customHeight="true" outlineLevel="0" collapsed="false">
      <c r="A433" s="65" t="s">
        <v>516</v>
      </c>
      <c r="B433" s="65" t="s">
        <v>293</v>
      </c>
      <c r="C433" s="65" t="n">
        <v>1</v>
      </c>
      <c r="D433" s="66" t="str">
        <f aca="false">IFERROR(INDEX(المكونات!$B$2:$B$500,MATCH($B433,المكونات!$A$2:$A$500,0)),"")</f>
        <v>قطعة</v>
      </c>
      <c r="E433" s="67" t="n">
        <f aca="false">IFERROR(INDEX(المكونات!$C$2:$C$500,MATCH($B433,المكونات!$A$2:$A$500,0)),"")</f>
        <v>0.5</v>
      </c>
      <c r="F433" s="68" t="n">
        <f aca="false">IFERROR($C433*$E433,"")</f>
        <v>0.5</v>
      </c>
    </row>
    <row r="434" customFormat="false" ht="15" hidden="false" customHeight="true" outlineLevel="0" collapsed="false">
      <c r="A434" s="65" t="s">
        <v>516</v>
      </c>
      <c r="B434" s="65" t="s">
        <v>211</v>
      </c>
      <c r="C434" s="65" t="n">
        <v>2</v>
      </c>
      <c r="D434" s="66" t="str">
        <f aca="false">IFERROR(INDEX(المكونات!$B$2:$B$500,MATCH($B434,المكونات!$A$2:$A$500,0)),"")</f>
        <v>قطعة (جلفز)</v>
      </c>
      <c r="E434" s="67" t="n">
        <f aca="false">IFERROR(INDEX(المكونات!$C$2:$C$500,MATCH($B434,المكونات!$A$2:$A$500,0)),"")</f>
        <v>0.18</v>
      </c>
      <c r="F434" s="68" t="n">
        <f aca="false">IFERROR($C434*$E434,"")</f>
        <v>0.36</v>
      </c>
    </row>
    <row r="435" customFormat="false" ht="15" hidden="false" customHeight="true" outlineLevel="0" collapsed="false">
      <c r="A435" s="65" t="s">
        <v>516</v>
      </c>
      <c r="B435" s="65" t="s">
        <v>322</v>
      </c>
      <c r="C435" s="65" t="n">
        <v>1</v>
      </c>
      <c r="D435" s="66" t="str">
        <f aca="false">IFERROR(INDEX(المكونات!$B$2:$B$500,MATCH($B435,المكونات!$A$2:$A$500,0)),"")</f>
        <v>قطعة (كيس)</v>
      </c>
      <c r="E435" s="67" t="n">
        <f aca="false">IFERROR(INDEX(المكونات!$C$2:$C$500,MATCH($B435,المكونات!$A$2:$A$500,0)),"")</f>
        <v>1</v>
      </c>
      <c r="F435" s="68" t="n">
        <f aca="false">IFERROR($C435*$E435,"")</f>
        <v>1</v>
      </c>
    </row>
    <row r="436" customFormat="false" ht="15" hidden="false" customHeight="true" outlineLevel="0" collapsed="false">
      <c r="A436" s="65" t="s">
        <v>516</v>
      </c>
      <c r="B436" s="65" t="s">
        <v>148</v>
      </c>
      <c r="C436" s="65" t="n">
        <v>1.5</v>
      </c>
      <c r="D436" s="66" t="str">
        <f aca="false">IFERROR(INDEX(المكونات!$B$2:$B$500,MATCH($B436,المكونات!$A$2:$A$500,0)),"")</f>
        <v>قطعة</v>
      </c>
      <c r="E436" s="67" t="n">
        <f aca="false">IFERROR(INDEX(المكونات!$C$2:$C$500,MATCH($B436,المكونات!$A$2:$A$500,0)),"")</f>
        <v>9</v>
      </c>
      <c r="F436" s="68" t="n">
        <f aca="false">IFERROR($C436*$E436,"")</f>
        <v>13.5</v>
      </c>
    </row>
    <row r="437" customFormat="false" ht="15" hidden="false" customHeight="true" outlineLevel="0" collapsed="false">
      <c r="A437" s="65" t="s">
        <v>516</v>
      </c>
      <c r="B437" s="65" t="s">
        <v>288</v>
      </c>
      <c r="C437" s="65" t="n">
        <v>3</v>
      </c>
      <c r="D437" s="66" t="str">
        <f aca="false">IFERROR(INDEX(المكونات!$B$2:$B$500,MATCH($B437,المكونات!$A$2:$A$500,0)),"")</f>
        <v>قطعة</v>
      </c>
      <c r="E437" s="67" t="n">
        <f aca="false">IFERROR(INDEX(المكونات!$C$2:$C$500,MATCH($B437,المكونات!$A$2:$A$500,0)),"")</f>
        <v>7</v>
      </c>
      <c r="F437" s="68" t="n">
        <f aca="false">IFERROR($C437*$E437,"")</f>
        <v>21</v>
      </c>
    </row>
    <row r="438" customFormat="false" ht="15" hidden="false" customHeight="true" outlineLevel="0" collapsed="false">
      <c r="A438" s="65" t="s">
        <v>516</v>
      </c>
      <c r="B438" s="65" t="s">
        <v>258</v>
      </c>
      <c r="C438" s="65" t="n">
        <v>0.15</v>
      </c>
      <c r="D438" s="66" t="str">
        <f aca="false">IFERROR(INDEX(المكونات!$B$2:$B$500,MATCH($B438,المكونات!$A$2:$A$500,0)),"")</f>
        <v>كجم</v>
      </c>
      <c r="E438" s="67" t="n">
        <f aca="false">IFERROR(INDEX(المكونات!$C$2:$C$500,MATCH($B438,المكونات!$A$2:$A$500,0)),"")</f>
        <v>140</v>
      </c>
      <c r="F438" s="68" t="n">
        <f aca="false">IFERROR($C438*$E438,"")</f>
        <v>21</v>
      </c>
    </row>
    <row r="439" customFormat="false" ht="15" hidden="false" customHeight="true" outlineLevel="0" collapsed="false">
      <c r="A439" s="65" t="s">
        <v>516</v>
      </c>
      <c r="B439" s="65" t="s">
        <v>178</v>
      </c>
      <c r="C439" s="65" t="n">
        <v>0.5</v>
      </c>
      <c r="D439" s="66" t="str">
        <f aca="false">IFERROR(INDEX(المكونات!$B$2:$B$500,MATCH($B439,المكونات!$A$2:$A$500,0)),"")</f>
        <v>قطعة</v>
      </c>
      <c r="E439" s="67" t="n">
        <f aca="false">IFERROR(INDEX(المكونات!$C$2:$C$500,MATCH($B439,المكونات!$A$2:$A$500,0)),"")</f>
        <v>25</v>
      </c>
      <c r="F439" s="68" t="n">
        <f aca="false">IFERROR($C439*$E439,"")</f>
        <v>12.5</v>
      </c>
    </row>
    <row r="440" customFormat="false" ht="15" hidden="false" customHeight="true" outlineLevel="0" collapsed="false">
      <c r="A440" s="65" t="s">
        <v>455</v>
      </c>
      <c r="B440" s="65" t="s">
        <v>264</v>
      </c>
      <c r="C440" s="65" t="n">
        <v>1</v>
      </c>
      <c r="D440" s="66" t="str">
        <f aca="false">IFERROR(INDEX(المكونات!$B$2:$B$500,MATCH($B440,المكونات!$A$2:$A$500,0)),"")</f>
        <v>قطعة</v>
      </c>
      <c r="E440" s="67" t="n">
        <f aca="false">IFERROR(INDEX(المكونات!$C$2:$C$500,MATCH($B440,المكونات!$A$2:$A$500,0)),"")</f>
        <v>4</v>
      </c>
      <c r="F440" s="68" t="n">
        <f aca="false">IFERROR($C440*$E440,"")</f>
        <v>4</v>
      </c>
    </row>
    <row r="441" customFormat="false" ht="15" hidden="false" customHeight="true" outlineLevel="0" collapsed="false">
      <c r="A441" s="65" t="s">
        <v>455</v>
      </c>
      <c r="B441" s="65" t="s">
        <v>260</v>
      </c>
      <c r="C441" s="65" t="n">
        <v>0.03</v>
      </c>
      <c r="D441" s="66" t="str">
        <f aca="false">IFERROR(INDEX(المكونات!$B$2:$B$500,MATCH($B441,المكونات!$A$2:$A$500,0)),"")</f>
        <v>كجم</v>
      </c>
      <c r="E441" s="67" t="n">
        <f aca="false">IFERROR(INDEX(المكونات!$C$2:$C$500,MATCH($B441,المكونات!$A$2:$A$500,0)),"")</f>
        <v>21</v>
      </c>
      <c r="F441" s="68" t="n">
        <f aca="false">IFERROR($C441*$E441,"")</f>
        <v>0.63</v>
      </c>
    </row>
    <row r="442" customFormat="false" ht="15" hidden="false" customHeight="true" outlineLevel="0" collapsed="false">
      <c r="A442" s="65" t="s">
        <v>455</v>
      </c>
      <c r="B442" s="65" t="s">
        <v>284</v>
      </c>
      <c r="C442" s="65" t="n">
        <v>0.02</v>
      </c>
      <c r="D442" s="66" t="str">
        <f aca="false">IFERROR(INDEX(المكونات!$B$2:$B$500,MATCH($B442,المكونات!$A$2:$A$500,0)),"")</f>
        <v>كجم</v>
      </c>
      <c r="E442" s="67" t="n">
        <f aca="false">IFERROR(INDEX(المكونات!$C$2:$C$500,MATCH($B442,المكونات!$A$2:$A$500,0)),"")</f>
        <v>27</v>
      </c>
      <c r="F442" s="68" t="n">
        <f aca="false">IFERROR($C442*$E442,"")</f>
        <v>0.54</v>
      </c>
    </row>
    <row r="443" customFormat="false" ht="15" hidden="false" customHeight="true" outlineLevel="0" collapsed="false">
      <c r="A443" s="65" t="s">
        <v>455</v>
      </c>
      <c r="B443" s="65" t="s">
        <v>227</v>
      </c>
      <c r="C443" s="65" t="n">
        <v>0.02</v>
      </c>
      <c r="D443" s="66" t="str">
        <f aca="false">IFERROR(INDEX(المكونات!$B$2:$B$500,MATCH($B443,المكونات!$A$2:$A$500,0)),"")</f>
        <v>كجم</v>
      </c>
      <c r="E443" s="67" t="n">
        <f aca="false">IFERROR(INDEX(المكونات!$C$2:$C$500,MATCH($B443,المكونات!$A$2:$A$500,0)),"")</f>
        <v>95</v>
      </c>
      <c r="F443" s="68" t="n">
        <f aca="false">IFERROR($C443*$E443,"")</f>
        <v>1.9</v>
      </c>
    </row>
    <row r="444" customFormat="false" ht="15" hidden="false" customHeight="true" outlineLevel="0" collapsed="false">
      <c r="A444" s="65" t="s">
        <v>455</v>
      </c>
      <c r="B444" s="65" t="s">
        <v>176</v>
      </c>
      <c r="C444" s="65" t="n">
        <v>1</v>
      </c>
      <c r="D444" s="66" t="str">
        <f aca="false">IFERROR(INDEX(المكونات!$B$2:$B$500,MATCH($B444,المكونات!$A$2:$A$500,0)),"")</f>
        <v>قطعة</v>
      </c>
      <c r="E444" s="67" t="n">
        <f aca="false">IFERROR(INDEX(المكونات!$C$2:$C$500,MATCH($B444,المكونات!$A$2:$A$500,0)),"")</f>
        <v>17.5</v>
      </c>
      <c r="F444" s="68" t="n">
        <f aca="false">IFERROR($C444*$E444,"")</f>
        <v>17.5</v>
      </c>
    </row>
    <row r="445" customFormat="false" ht="15" hidden="false" customHeight="true" outlineLevel="0" collapsed="false">
      <c r="A445" s="65" t="s">
        <v>455</v>
      </c>
      <c r="B445" s="65" t="s">
        <v>270</v>
      </c>
      <c r="C445" s="65" t="n">
        <v>1</v>
      </c>
      <c r="D445" s="66" t="str">
        <f aca="false">IFERROR(INDEX(المكونات!$B$2:$B$500,MATCH($B445,المكونات!$A$2:$A$500,0)),"")</f>
        <v>قطعة</v>
      </c>
      <c r="E445" s="67" t="n">
        <f aca="false">IFERROR(INDEX(المكونات!$C$2:$C$500,MATCH($B445,المكونات!$A$2:$A$500,0)),"")</f>
        <v>4.5</v>
      </c>
      <c r="F445" s="68" t="n">
        <f aca="false">IFERROR($C445*$E445,"")</f>
        <v>4.5</v>
      </c>
    </row>
    <row r="446" customFormat="false" ht="15" hidden="false" customHeight="true" outlineLevel="0" collapsed="false">
      <c r="A446" s="65" t="s">
        <v>455</v>
      </c>
      <c r="B446" s="65" t="s">
        <v>290</v>
      </c>
      <c r="C446" s="65" t="n">
        <v>2</v>
      </c>
      <c r="D446" s="66" t="str">
        <f aca="false">IFERROR(INDEX(المكونات!$B$2:$B$500,MATCH($B446,المكونات!$A$2:$A$500,0)),"")</f>
        <v>قطعة</v>
      </c>
      <c r="E446" s="67" t="n">
        <f aca="false">IFERROR(INDEX(المكونات!$C$2:$C$500,MATCH($B446,المكونات!$A$2:$A$500,0)),"")</f>
        <v>0.3</v>
      </c>
      <c r="F446" s="68" t="n">
        <f aca="false">IFERROR($C446*$E446,"")</f>
        <v>0.6</v>
      </c>
    </row>
    <row r="447" customFormat="false" ht="15" hidden="false" customHeight="true" outlineLevel="0" collapsed="false">
      <c r="A447" s="65" t="s">
        <v>455</v>
      </c>
      <c r="B447" s="65" t="s">
        <v>319</v>
      </c>
      <c r="C447" s="65" t="n">
        <v>1</v>
      </c>
      <c r="D447" s="66" t="str">
        <f aca="false">IFERROR(INDEX(المكونات!$B$2:$B$500,MATCH($B447,المكونات!$A$2:$A$500,0)),"")</f>
        <v>قطعة (ورقة)</v>
      </c>
      <c r="E447" s="67" t="n">
        <f aca="false">IFERROR(INDEX(المكونات!$C$2:$C$500,MATCH($B447,المكونات!$A$2:$A$500,0)),"")</f>
        <v>0.3665</v>
      </c>
      <c r="F447" s="68" t="n">
        <f aca="false">IFERROR($C447*$E447,"")</f>
        <v>0.3665</v>
      </c>
    </row>
    <row r="448" customFormat="false" ht="15" hidden="false" customHeight="true" outlineLevel="0" collapsed="false">
      <c r="A448" s="65" t="s">
        <v>455</v>
      </c>
      <c r="B448" s="65" t="s">
        <v>133</v>
      </c>
      <c r="C448" s="65" t="n">
        <v>1</v>
      </c>
      <c r="D448" s="66" t="str">
        <f aca="false">IFERROR(INDEX(المكونات!$B$2:$B$500,MATCH($B448,المكونات!$A$2:$A$500,0)),"")</f>
        <v>قطعة (كيس)</v>
      </c>
      <c r="E448" s="67" t="n">
        <f aca="false">IFERROR(INDEX(المكونات!$C$2:$C$500,MATCH($B448,المكونات!$A$2:$A$500,0)),"")</f>
        <v>1.4</v>
      </c>
      <c r="F448" s="68" t="n">
        <f aca="false">IFERROR($C448*$E448,"")</f>
        <v>1.4</v>
      </c>
    </row>
    <row r="449" customFormat="false" ht="15" hidden="false" customHeight="true" outlineLevel="0" collapsed="false">
      <c r="A449" s="65" t="s">
        <v>455</v>
      </c>
      <c r="B449" s="65" t="s">
        <v>293</v>
      </c>
      <c r="C449" s="65" t="n">
        <v>1</v>
      </c>
      <c r="D449" s="66" t="str">
        <f aca="false">IFERROR(INDEX(المكونات!$B$2:$B$500,MATCH($B449,المكونات!$A$2:$A$500,0)),"")</f>
        <v>قطعة</v>
      </c>
      <c r="E449" s="67" t="n">
        <f aca="false">IFERROR(INDEX(المكونات!$C$2:$C$500,MATCH($B449,المكونات!$A$2:$A$500,0)),"")</f>
        <v>0.5</v>
      </c>
      <c r="F449" s="68" t="n">
        <f aca="false">IFERROR($C449*$E449,"")</f>
        <v>0.5</v>
      </c>
    </row>
    <row r="450" customFormat="false" ht="15" hidden="false" customHeight="true" outlineLevel="0" collapsed="false">
      <c r="A450" s="65" t="s">
        <v>455</v>
      </c>
      <c r="B450" s="65" t="s">
        <v>211</v>
      </c>
      <c r="C450" s="65" t="n">
        <v>2</v>
      </c>
      <c r="D450" s="66" t="str">
        <f aca="false">IFERROR(INDEX(المكونات!$B$2:$B$500,MATCH($B450,المكونات!$A$2:$A$500,0)),"")</f>
        <v>قطعة (جلفز)</v>
      </c>
      <c r="E450" s="67" t="n">
        <f aca="false">IFERROR(INDEX(المكونات!$C$2:$C$500,MATCH($B450,المكونات!$A$2:$A$500,0)),"")</f>
        <v>0.18</v>
      </c>
      <c r="F450" s="68" t="n">
        <f aca="false">IFERROR($C450*$E450,"")</f>
        <v>0.36</v>
      </c>
    </row>
    <row r="451" customFormat="false" ht="15" hidden="false" customHeight="true" outlineLevel="0" collapsed="false">
      <c r="A451" s="65" t="s">
        <v>455</v>
      </c>
      <c r="B451" s="65" t="s">
        <v>322</v>
      </c>
      <c r="C451" s="65" t="n">
        <v>1</v>
      </c>
      <c r="D451" s="66" t="str">
        <f aca="false">IFERROR(INDEX(المكونات!$B$2:$B$500,MATCH($B451,المكونات!$A$2:$A$500,0)),"")</f>
        <v>قطعة (كيس)</v>
      </c>
      <c r="E451" s="67" t="n">
        <f aca="false">IFERROR(INDEX(المكونات!$C$2:$C$500,MATCH($B451,المكونات!$A$2:$A$500,0)),"")</f>
        <v>1</v>
      </c>
      <c r="F451" s="68" t="n">
        <f aca="false">IFERROR($C451*$E451,"")</f>
        <v>1</v>
      </c>
    </row>
    <row r="452" customFormat="false" ht="15" hidden="false" customHeight="true" outlineLevel="0" collapsed="false">
      <c r="A452" s="65" t="s">
        <v>455</v>
      </c>
      <c r="B452" s="65" t="s">
        <v>158</v>
      </c>
      <c r="C452" s="65" t="n">
        <v>1</v>
      </c>
      <c r="D452" s="66" t="str">
        <f aca="false">IFERROR(INDEX(المكونات!$B$2:$B$500,MATCH($B452,المكونات!$A$2:$A$500,0)),"")</f>
        <v>قطعة</v>
      </c>
      <c r="E452" s="67" t="n">
        <f aca="false">IFERROR(INDEX(المكونات!$C$2:$C$500,MATCH($B452,المكونات!$A$2:$A$500,0)),"")</f>
        <v>33.982</v>
      </c>
      <c r="F452" s="68" t="n">
        <f aca="false">IFERROR($C452*$E452,"")</f>
        <v>33.982</v>
      </c>
    </row>
    <row r="453" customFormat="false" ht="15" hidden="false" customHeight="true" outlineLevel="0" collapsed="false">
      <c r="A453" s="65" t="s">
        <v>455</v>
      </c>
      <c r="B453" s="65" t="s">
        <v>256</v>
      </c>
      <c r="C453" s="65" t="n">
        <v>0.1</v>
      </c>
      <c r="D453" s="66" t="str">
        <f aca="false">IFERROR(INDEX(المكونات!$B$2:$B$500,MATCH($B453,المكونات!$A$2:$A$500,0)),"")</f>
        <v>كجم</v>
      </c>
      <c r="E453" s="67" t="n">
        <f aca="false">IFERROR(INDEX(المكونات!$C$2:$C$500,MATCH($B453,المكونات!$A$2:$A$500,0)),"")</f>
        <v>105</v>
      </c>
      <c r="F453" s="68" t="n">
        <f aca="false">IFERROR($C453*$E453,"")</f>
        <v>10.5</v>
      </c>
    </row>
    <row r="454" customFormat="false" ht="15" hidden="false" customHeight="true" outlineLevel="0" collapsed="false">
      <c r="A454" s="65" t="s">
        <v>441</v>
      </c>
      <c r="B454" s="65" t="s">
        <v>264</v>
      </c>
      <c r="C454" s="65" t="n">
        <v>1.5</v>
      </c>
      <c r="D454" s="66" t="str">
        <f aca="false">IFERROR(INDEX(المكونات!$B$2:$B$500,MATCH($B454,المكونات!$A$2:$A$500,0)),"")</f>
        <v>قطعة</v>
      </c>
      <c r="E454" s="67" t="n">
        <f aca="false">IFERROR(INDEX(المكونات!$C$2:$C$500,MATCH($B454,المكونات!$A$2:$A$500,0)),"")</f>
        <v>4</v>
      </c>
      <c r="F454" s="68" t="n">
        <f aca="false">IFERROR($C454*$E454,"")</f>
        <v>6</v>
      </c>
    </row>
    <row r="455" customFormat="false" ht="15" hidden="false" customHeight="true" outlineLevel="0" collapsed="false">
      <c r="A455" s="65" t="s">
        <v>441</v>
      </c>
      <c r="B455" s="65" t="s">
        <v>260</v>
      </c>
      <c r="C455" s="65" t="n">
        <v>0.045</v>
      </c>
      <c r="D455" s="66" t="str">
        <f aca="false">IFERROR(INDEX(المكونات!$B$2:$B$500,MATCH($B455,المكونات!$A$2:$A$500,0)),"")</f>
        <v>كجم</v>
      </c>
      <c r="E455" s="67" t="n">
        <f aca="false">IFERROR(INDEX(المكونات!$C$2:$C$500,MATCH($B455,المكونات!$A$2:$A$500,0)),"")</f>
        <v>21</v>
      </c>
      <c r="F455" s="68" t="n">
        <f aca="false">IFERROR($C455*$E455,"")</f>
        <v>0.945</v>
      </c>
    </row>
    <row r="456" customFormat="false" ht="15" hidden="false" customHeight="true" outlineLevel="0" collapsed="false">
      <c r="A456" s="65" t="s">
        <v>441</v>
      </c>
      <c r="B456" s="65" t="s">
        <v>284</v>
      </c>
      <c r="C456" s="65" t="n">
        <v>0.03</v>
      </c>
      <c r="D456" s="66" t="str">
        <f aca="false">IFERROR(INDEX(المكونات!$B$2:$B$500,MATCH($B456,المكونات!$A$2:$A$500,0)),"")</f>
        <v>كجم</v>
      </c>
      <c r="E456" s="67" t="n">
        <f aca="false">IFERROR(INDEX(المكونات!$C$2:$C$500,MATCH($B456,المكونات!$A$2:$A$500,0)),"")</f>
        <v>27</v>
      </c>
      <c r="F456" s="68" t="n">
        <f aca="false">IFERROR($C456*$E456,"")</f>
        <v>0.81</v>
      </c>
    </row>
    <row r="457" customFormat="false" ht="15" hidden="false" customHeight="true" outlineLevel="0" collapsed="false">
      <c r="A457" s="65" t="s">
        <v>441</v>
      </c>
      <c r="B457" s="65" t="s">
        <v>227</v>
      </c>
      <c r="C457" s="65" t="n">
        <v>0.03</v>
      </c>
      <c r="D457" s="66" t="str">
        <f aca="false">IFERROR(INDEX(المكونات!$B$2:$B$500,MATCH($B457,المكونات!$A$2:$A$500,0)),"")</f>
        <v>كجم</v>
      </c>
      <c r="E457" s="67" t="n">
        <f aca="false">IFERROR(INDEX(المكونات!$C$2:$C$500,MATCH($B457,المكونات!$A$2:$A$500,0)),"")</f>
        <v>95</v>
      </c>
      <c r="F457" s="68" t="n">
        <f aca="false">IFERROR($C457*$E457,"")</f>
        <v>2.85</v>
      </c>
    </row>
    <row r="458" customFormat="false" ht="15" hidden="false" customHeight="true" outlineLevel="0" collapsed="false">
      <c r="A458" s="65" t="s">
        <v>441</v>
      </c>
      <c r="B458" s="65" t="s">
        <v>178</v>
      </c>
      <c r="C458" s="65" t="n">
        <v>1</v>
      </c>
      <c r="D458" s="66" t="str">
        <f aca="false">IFERROR(INDEX(المكونات!$B$2:$B$500,MATCH($B458,المكونات!$A$2:$A$500,0)),"")</f>
        <v>قطعة</v>
      </c>
      <c r="E458" s="67" t="n">
        <f aca="false">IFERROR(INDEX(المكونات!$C$2:$C$500,MATCH($B458,المكونات!$A$2:$A$500,0)),"")</f>
        <v>25</v>
      </c>
      <c r="F458" s="68" t="n">
        <f aca="false">IFERROR($C458*$E458,"")</f>
        <v>25</v>
      </c>
    </row>
    <row r="459" customFormat="false" ht="15" hidden="false" customHeight="true" outlineLevel="0" collapsed="false">
      <c r="A459" s="65" t="s">
        <v>441</v>
      </c>
      <c r="B459" s="65" t="s">
        <v>268</v>
      </c>
      <c r="C459" s="65" t="n">
        <v>1</v>
      </c>
      <c r="D459" s="66" t="str">
        <f aca="false">IFERROR(INDEX(المكونات!$B$2:$B$500,MATCH($B459,المكونات!$A$2:$A$500,0)),"")</f>
        <v>قطعة</v>
      </c>
      <c r="E459" s="67" t="n">
        <f aca="false">IFERROR(INDEX(المكونات!$C$2:$C$500,MATCH($B459,المكونات!$A$2:$A$500,0)),"")</f>
        <v>5.5</v>
      </c>
      <c r="F459" s="68" t="n">
        <f aca="false">IFERROR($C459*$E459,"")</f>
        <v>5.5</v>
      </c>
    </row>
    <row r="460" customFormat="false" ht="15" hidden="false" customHeight="true" outlineLevel="0" collapsed="false">
      <c r="A460" s="65" t="s">
        <v>441</v>
      </c>
      <c r="B460" s="65" t="s">
        <v>290</v>
      </c>
      <c r="C460" s="65" t="n">
        <v>3</v>
      </c>
      <c r="D460" s="66" t="str">
        <f aca="false">IFERROR(INDEX(المكونات!$B$2:$B$500,MATCH($B460,المكونات!$A$2:$A$500,0)),"")</f>
        <v>قطعة</v>
      </c>
      <c r="E460" s="67" t="n">
        <f aca="false">IFERROR(INDEX(المكونات!$C$2:$C$500,MATCH($B460,المكونات!$A$2:$A$500,0)),"")</f>
        <v>0.3</v>
      </c>
      <c r="F460" s="68" t="n">
        <f aca="false">IFERROR($C460*$E460,"")</f>
        <v>0.9</v>
      </c>
    </row>
    <row r="461" customFormat="false" ht="15" hidden="false" customHeight="true" outlineLevel="0" collapsed="false">
      <c r="A461" s="65" t="s">
        <v>441</v>
      </c>
      <c r="B461" s="65" t="s">
        <v>319</v>
      </c>
      <c r="C461" s="65" t="n">
        <v>1</v>
      </c>
      <c r="D461" s="66" t="str">
        <f aca="false">IFERROR(INDEX(المكونات!$B$2:$B$500,MATCH($B461,المكونات!$A$2:$A$500,0)),"")</f>
        <v>قطعة (ورقة)</v>
      </c>
      <c r="E461" s="67" t="n">
        <f aca="false">IFERROR(INDEX(المكونات!$C$2:$C$500,MATCH($B461,المكونات!$A$2:$A$500,0)),"")</f>
        <v>0.3665</v>
      </c>
      <c r="F461" s="68" t="n">
        <f aca="false">IFERROR($C461*$E461,"")</f>
        <v>0.3665</v>
      </c>
    </row>
    <row r="462" customFormat="false" ht="15" hidden="false" customHeight="true" outlineLevel="0" collapsed="false">
      <c r="A462" s="65" t="s">
        <v>441</v>
      </c>
      <c r="B462" s="65" t="s">
        <v>133</v>
      </c>
      <c r="C462" s="65" t="n">
        <v>1</v>
      </c>
      <c r="D462" s="66" t="str">
        <f aca="false">IFERROR(INDEX(المكونات!$B$2:$B$500,MATCH($B462,المكونات!$A$2:$A$500,0)),"")</f>
        <v>قطعة (كيس)</v>
      </c>
      <c r="E462" s="67" t="n">
        <f aca="false">IFERROR(INDEX(المكونات!$C$2:$C$500,MATCH($B462,المكونات!$A$2:$A$500,0)),"")</f>
        <v>1.4</v>
      </c>
      <c r="F462" s="68" t="n">
        <f aca="false">IFERROR($C462*$E462,"")</f>
        <v>1.4</v>
      </c>
    </row>
    <row r="463" customFormat="false" ht="15" hidden="false" customHeight="true" outlineLevel="0" collapsed="false">
      <c r="A463" s="65" t="s">
        <v>441</v>
      </c>
      <c r="B463" s="65" t="s">
        <v>293</v>
      </c>
      <c r="C463" s="65" t="n">
        <v>1</v>
      </c>
      <c r="D463" s="66" t="str">
        <f aca="false">IFERROR(INDEX(المكونات!$B$2:$B$500,MATCH($B463,المكونات!$A$2:$A$500,0)),"")</f>
        <v>قطعة</v>
      </c>
      <c r="E463" s="67" t="n">
        <f aca="false">IFERROR(INDEX(المكونات!$C$2:$C$500,MATCH($B463,المكونات!$A$2:$A$500,0)),"")</f>
        <v>0.5</v>
      </c>
      <c r="F463" s="68" t="n">
        <f aca="false">IFERROR($C463*$E463,"")</f>
        <v>0.5</v>
      </c>
    </row>
    <row r="464" customFormat="false" ht="15" hidden="false" customHeight="true" outlineLevel="0" collapsed="false">
      <c r="A464" s="65" t="s">
        <v>441</v>
      </c>
      <c r="B464" s="65" t="s">
        <v>211</v>
      </c>
      <c r="C464" s="65" t="n">
        <v>2</v>
      </c>
      <c r="D464" s="66" t="str">
        <f aca="false">IFERROR(INDEX(المكونات!$B$2:$B$500,MATCH($B464,المكونات!$A$2:$A$500,0)),"")</f>
        <v>قطعة (جلفز)</v>
      </c>
      <c r="E464" s="67" t="n">
        <f aca="false">IFERROR(INDEX(المكونات!$C$2:$C$500,MATCH($B464,المكونات!$A$2:$A$500,0)),"")</f>
        <v>0.18</v>
      </c>
      <c r="F464" s="68" t="n">
        <f aca="false">IFERROR($C464*$E464,"")</f>
        <v>0.36</v>
      </c>
    </row>
    <row r="465" customFormat="false" ht="15" hidden="false" customHeight="true" outlineLevel="0" collapsed="false">
      <c r="A465" s="65" t="s">
        <v>441</v>
      </c>
      <c r="B465" s="65" t="s">
        <v>322</v>
      </c>
      <c r="C465" s="65" t="n">
        <v>1</v>
      </c>
      <c r="D465" s="66" t="str">
        <f aca="false">IFERROR(INDEX(المكونات!$B$2:$B$500,MATCH($B465,المكونات!$A$2:$A$500,0)),"")</f>
        <v>قطعة (كيس)</v>
      </c>
      <c r="E465" s="67" t="n">
        <f aca="false">IFERROR(INDEX(المكونات!$C$2:$C$500,MATCH($B465,المكونات!$A$2:$A$500,0)),"")</f>
        <v>1</v>
      </c>
      <c r="F465" s="68" t="n">
        <f aca="false">IFERROR($C465*$E465,"")</f>
        <v>1</v>
      </c>
    </row>
    <row r="466" customFormat="false" ht="15" hidden="false" customHeight="true" outlineLevel="0" collapsed="false">
      <c r="A466" s="65" t="s">
        <v>441</v>
      </c>
      <c r="B466" s="65" t="s">
        <v>160</v>
      </c>
      <c r="C466" s="65" t="n">
        <v>1</v>
      </c>
      <c r="D466" s="66" t="str">
        <f aca="false">IFERROR(INDEX(المكونات!$B$2:$B$500,MATCH($B466,المكونات!$A$2:$A$500,0)),"")</f>
        <v>قطعة</v>
      </c>
      <c r="E466" s="67" t="n">
        <f aca="false">IFERROR(INDEX(المكونات!$C$2:$C$500,MATCH($B466,المكونات!$A$2:$A$500,0)),"")</f>
        <v>48.7817</v>
      </c>
      <c r="F466" s="68" t="n">
        <f aca="false">IFERROR($C466*$E466,"")</f>
        <v>48.7817</v>
      </c>
    </row>
    <row r="467" customFormat="false" ht="15" hidden="false" customHeight="true" outlineLevel="0" collapsed="false">
      <c r="A467" s="65" t="s">
        <v>441</v>
      </c>
      <c r="B467" s="65" t="s">
        <v>256</v>
      </c>
      <c r="C467" s="65" t="n">
        <v>0.15</v>
      </c>
      <c r="D467" s="66" t="str">
        <f aca="false">IFERROR(INDEX(المكونات!$B$2:$B$500,MATCH($B467,المكونات!$A$2:$A$500,0)),"")</f>
        <v>كجم</v>
      </c>
      <c r="E467" s="67" t="n">
        <f aca="false">IFERROR(INDEX(المكونات!$C$2:$C$500,MATCH($B467,المكونات!$A$2:$A$500,0)),"")</f>
        <v>105</v>
      </c>
      <c r="F467" s="68" t="n">
        <f aca="false">IFERROR($C467*$E467,"")</f>
        <v>15.75</v>
      </c>
    </row>
    <row r="468" customFormat="false" ht="15" hidden="false" customHeight="true" outlineLevel="0" collapsed="false">
      <c r="A468" s="65" t="s">
        <v>457</v>
      </c>
      <c r="B468" s="65" t="s">
        <v>264</v>
      </c>
      <c r="C468" s="65" t="n">
        <v>1</v>
      </c>
      <c r="D468" s="66" t="str">
        <f aca="false">IFERROR(INDEX(المكونات!$B$2:$B$500,MATCH($B468,المكونات!$A$2:$A$500,0)),"")</f>
        <v>قطعة</v>
      </c>
      <c r="E468" s="67" t="n">
        <f aca="false">IFERROR(INDEX(المكونات!$C$2:$C$500,MATCH($B468,المكونات!$A$2:$A$500,0)),"")</f>
        <v>4</v>
      </c>
      <c r="F468" s="68" t="n">
        <f aca="false">IFERROR($C468*$E468,"")</f>
        <v>4</v>
      </c>
    </row>
    <row r="469" customFormat="false" ht="15" hidden="false" customHeight="true" outlineLevel="0" collapsed="false">
      <c r="A469" s="65" t="s">
        <v>457</v>
      </c>
      <c r="B469" s="65" t="s">
        <v>260</v>
      </c>
      <c r="C469" s="65" t="n">
        <v>0.03</v>
      </c>
      <c r="D469" s="66" t="str">
        <f aca="false">IFERROR(INDEX(المكونات!$B$2:$B$500,MATCH($B469,المكونات!$A$2:$A$500,0)),"")</f>
        <v>كجم</v>
      </c>
      <c r="E469" s="67" t="n">
        <f aca="false">IFERROR(INDEX(المكونات!$C$2:$C$500,MATCH($B469,المكونات!$A$2:$A$500,0)),"")</f>
        <v>21</v>
      </c>
      <c r="F469" s="68" t="n">
        <f aca="false">IFERROR($C469*$E469,"")</f>
        <v>0.63</v>
      </c>
    </row>
    <row r="470" customFormat="false" ht="15" hidden="false" customHeight="true" outlineLevel="0" collapsed="false">
      <c r="A470" s="65" t="s">
        <v>457</v>
      </c>
      <c r="B470" s="65" t="s">
        <v>284</v>
      </c>
      <c r="C470" s="65" t="n">
        <v>0.02</v>
      </c>
      <c r="D470" s="66" t="str">
        <f aca="false">IFERROR(INDEX(المكونات!$B$2:$B$500,MATCH($B470,المكونات!$A$2:$A$500,0)),"")</f>
        <v>كجم</v>
      </c>
      <c r="E470" s="67" t="n">
        <f aca="false">IFERROR(INDEX(المكونات!$C$2:$C$500,MATCH($B470,المكونات!$A$2:$A$500,0)),"")</f>
        <v>27</v>
      </c>
      <c r="F470" s="68" t="n">
        <f aca="false">IFERROR($C470*$E470,"")</f>
        <v>0.54</v>
      </c>
    </row>
    <row r="471" customFormat="false" ht="15" hidden="false" customHeight="true" outlineLevel="0" collapsed="false">
      <c r="A471" s="65" t="s">
        <v>457</v>
      </c>
      <c r="B471" s="65" t="s">
        <v>227</v>
      </c>
      <c r="C471" s="65" t="n">
        <v>0.02</v>
      </c>
      <c r="D471" s="66" t="str">
        <f aca="false">IFERROR(INDEX(المكونات!$B$2:$B$500,MATCH($B471,المكونات!$A$2:$A$500,0)),"")</f>
        <v>كجم</v>
      </c>
      <c r="E471" s="67" t="n">
        <f aca="false">IFERROR(INDEX(المكونات!$C$2:$C$500,MATCH($B471,المكونات!$A$2:$A$500,0)),"")</f>
        <v>95</v>
      </c>
      <c r="F471" s="68" t="n">
        <f aca="false">IFERROR($C471*$E471,"")</f>
        <v>1.9</v>
      </c>
    </row>
    <row r="472" customFormat="false" ht="15" hidden="false" customHeight="true" outlineLevel="0" collapsed="false">
      <c r="A472" s="65" t="s">
        <v>457</v>
      </c>
      <c r="B472" s="65" t="s">
        <v>176</v>
      </c>
      <c r="C472" s="65" t="n">
        <v>1</v>
      </c>
      <c r="D472" s="66" t="str">
        <f aca="false">IFERROR(INDEX(المكونات!$B$2:$B$500,MATCH($B472,المكونات!$A$2:$A$500,0)),"")</f>
        <v>قطعة</v>
      </c>
      <c r="E472" s="67" t="n">
        <f aca="false">IFERROR(INDEX(المكونات!$C$2:$C$500,MATCH($B472,المكونات!$A$2:$A$500,0)),"")</f>
        <v>17.5</v>
      </c>
      <c r="F472" s="68" t="n">
        <f aca="false">IFERROR($C472*$E472,"")</f>
        <v>17.5</v>
      </c>
    </row>
    <row r="473" customFormat="false" ht="15" hidden="false" customHeight="true" outlineLevel="0" collapsed="false">
      <c r="A473" s="65" t="s">
        <v>457</v>
      </c>
      <c r="B473" s="65" t="s">
        <v>270</v>
      </c>
      <c r="C473" s="65" t="n">
        <v>1</v>
      </c>
      <c r="D473" s="66" t="str">
        <f aca="false">IFERROR(INDEX(المكونات!$B$2:$B$500,MATCH($B473,المكونات!$A$2:$A$500,0)),"")</f>
        <v>قطعة</v>
      </c>
      <c r="E473" s="67" t="n">
        <f aca="false">IFERROR(INDEX(المكونات!$C$2:$C$500,MATCH($B473,المكونات!$A$2:$A$500,0)),"")</f>
        <v>4.5</v>
      </c>
      <c r="F473" s="68" t="n">
        <f aca="false">IFERROR($C473*$E473,"")</f>
        <v>4.5</v>
      </c>
    </row>
    <row r="474" customFormat="false" ht="15" hidden="false" customHeight="true" outlineLevel="0" collapsed="false">
      <c r="A474" s="65" t="s">
        <v>457</v>
      </c>
      <c r="B474" s="65" t="s">
        <v>290</v>
      </c>
      <c r="C474" s="65" t="n">
        <v>2</v>
      </c>
      <c r="D474" s="66" t="str">
        <f aca="false">IFERROR(INDEX(المكونات!$B$2:$B$500,MATCH($B474,المكونات!$A$2:$A$500,0)),"")</f>
        <v>قطعة</v>
      </c>
      <c r="E474" s="67" t="n">
        <f aca="false">IFERROR(INDEX(المكونات!$C$2:$C$500,MATCH($B474,المكونات!$A$2:$A$500,0)),"")</f>
        <v>0.3</v>
      </c>
      <c r="F474" s="68" t="n">
        <f aca="false">IFERROR($C474*$E474,"")</f>
        <v>0.6</v>
      </c>
    </row>
    <row r="475" customFormat="false" ht="15" hidden="false" customHeight="true" outlineLevel="0" collapsed="false">
      <c r="A475" s="65" t="s">
        <v>457</v>
      </c>
      <c r="B475" s="65" t="s">
        <v>319</v>
      </c>
      <c r="C475" s="65" t="n">
        <v>1</v>
      </c>
      <c r="D475" s="66" t="str">
        <f aca="false">IFERROR(INDEX(المكونات!$B$2:$B$500,MATCH($B475,المكونات!$A$2:$A$500,0)),"")</f>
        <v>قطعة (ورقة)</v>
      </c>
      <c r="E475" s="67" t="n">
        <f aca="false">IFERROR(INDEX(المكونات!$C$2:$C$500,MATCH($B475,المكونات!$A$2:$A$500,0)),"")</f>
        <v>0.3665</v>
      </c>
      <c r="F475" s="68" t="n">
        <f aca="false">IFERROR($C475*$E475,"")</f>
        <v>0.3665</v>
      </c>
    </row>
    <row r="476" customFormat="false" ht="15" hidden="false" customHeight="true" outlineLevel="0" collapsed="false">
      <c r="A476" s="65" t="s">
        <v>457</v>
      </c>
      <c r="B476" s="65" t="s">
        <v>133</v>
      </c>
      <c r="C476" s="65" t="n">
        <v>1</v>
      </c>
      <c r="D476" s="66" t="str">
        <f aca="false">IFERROR(INDEX(المكونات!$B$2:$B$500,MATCH($B476,المكونات!$A$2:$A$500,0)),"")</f>
        <v>قطعة (كيس)</v>
      </c>
      <c r="E476" s="67" t="n">
        <f aca="false">IFERROR(INDEX(المكونات!$C$2:$C$500,MATCH($B476,المكونات!$A$2:$A$500,0)),"")</f>
        <v>1.4</v>
      </c>
      <c r="F476" s="68" t="n">
        <f aca="false">IFERROR($C476*$E476,"")</f>
        <v>1.4</v>
      </c>
    </row>
    <row r="477" customFormat="false" ht="15" hidden="false" customHeight="true" outlineLevel="0" collapsed="false">
      <c r="A477" s="65" t="s">
        <v>457</v>
      </c>
      <c r="B477" s="65" t="s">
        <v>293</v>
      </c>
      <c r="C477" s="65" t="n">
        <v>1</v>
      </c>
      <c r="D477" s="66" t="str">
        <f aca="false">IFERROR(INDEX(المكونات!$B$2:$B$500,MATCH($B477,المكونات!$A$2:$A$500,0)),"")</f>
        <v>قطعة</v>
      </c>
      <c r="E477" s="67" t="n">
        <f aca="false">IFERROR(INDEX(المكونات!$C$2:$C$500,MATCH($B477,المكونات!$A$2:$A$500,0)),"")</f>
        <v>0.5</v>
      </c>
      <c r="F477" s="68" t="n">
        <f aca="false">IFERROR($C477*$E477,"")</f>
        <v>0.5</v>
      </c>
    </row>
    <row r="478" customFormat="false" ht="15" hidden="false" customHeight="true" outlineLevel="0" collapsed="false">
      <c r="A478" s="65" t="s">
        <v>457</v>
      </c>
      <c r="B478" s="65" t="s">
        <v>211</v>
      </c>
      <c r="C478" s="65" t="n">
        <v>2</v>
      </c>
      <c r="D478" s="66" t="str">
        <f aca="false">IFERROR(INDEX(المكونات!$B$2:$B$500,MATCH($B478,المكونات!$A$2:$A$500,0)),"")</f>
        <v>قطعة (جلفز)</v>
      </c>
      <c r="E478" s="67" t="n">
        <f aca="false">IFERROR(INDEX(المكونات!$C$2:$C$500,MATCH($B478,المكونات!$A$2:$A$500,0)),"")</f>
        <v>0.18</v>
      </c>
      <c r="F478" s="68" t="n">
        <f aca="false">IFERROR($C478*$E478,"")</f>
        <v>0.36</v>
      </c>
    </row>
    <row r="479" customFormat="false" ht="15" hidden="false" customHeight="true" outlineLevel="0" collapsed="false">
      <c r="A479" s="65" t="s">
        <v>457</v>
      </c>
      <c r="B479" s="65" t="s">
        <v>322</v>
      </c>
      <c r="C479" s="65" t="n">
        <v>1</v>
      </c>
      <c r="D479" s="66" t="str">
        <f aca="false">IFERROR(INDEX(المكونات!$B$2:$B$500,MATCH($B479,المكونات!$A$2:$A$500,0)),"")</f>
        <v>قطعة (كيس)</v>
      </c>
      <c r="E479" s="67" t="n">
        <f aca="false">IFERROR(INDEX(المكونات!$C$2:$C$500,MATCH($B479,المكونات!$A$2:$A$500,0)),"")</f>
        <v>1</v>
      </c>
      <c r="F479" s="68" t="n">
        <f aca="false">IFERROR($C479*$E479,"")</f>
        <v>1</v>
      </c>
    </row>
    <row r="480" customFormat="false" ht="15" hidden="false" customHeight="true" outlineLevel="0" collapsed="false">
      <c r="A480" s="65" t="s">
        <v>457</v>
      </c>
      <c r="B480" s="65" t="s">
        <v>158</v>
      </c>
      <c r="C480" s="65" t="n">
        <v>1</v>
      </c>
      <c r="D480" s="66" t="str">
        <f aca="false">IFERROR(INDEX(المكونات!$B$2:$B$500,MATCH($B480,المكونات!$A$2:$A$500,0)),"")</f>
        <v>قطعة</v>
      </c>
      <c r="E480" s="67" t="n">
        <f aca="false">IFERROR(INDEX(المكونات!$C$2:$C$500,MATCH($B480,المكونات!$A$2:$A$500,0)),"")</f>
        <v>33.982</v>
      </c>
      <c r="F480" s="68" t="n">
        <f aca="false">IFERROR($C480*$E480,"")</f>
        <v>33.982</v>
      </c>
    </row>
    <row r="481" customFormat="false" ht="15" hidden="false" customHeight="true" outlineLevel="0" collapsed="false">
      <c r="A481" s="65" t="s">
        <v>457</v>
      </c>
      <c r="B481" s="65" t="s">
        <v>252</v>
      </c>
      <c r="C481" s="65" t="n">
        <v>0.1</v>
      </c>
      <c r="D481" s="66" t="str">
        <f aca="false">IFERROR(INDEX(المكونات!$B$2:$B$500,MATCH($B481,المكونات!$A$2:$A$500,0)),"")</f>
        <v>كجم</v>
      </c>
      <c r="E481" s="67" t="n">
        <f aca="false">IFERROR(INDEX(المكونات!$C$2:$C$500,MATCH($B481,المكونات!$A$2:$A$500,0)),"")</f>
        <v>70</v>
      </c>
      <c r="F481" s="68" t="n">
        <f aca="false">IFERROR($C481*$E481,"")</f>
        <v>7</v>
      </c>
    </row>
    <row r="482" customFormat="false" ht="15" hidden="false" customHeight="true" outlineLevel="0" collapsed="false">
      <c r="A482" s="65" t="s">
        <v>442</v>
      </c>
      <c r="B482" s="65" t="s">
        <v>264</v>
      </c>
      <c r="C482" s="65" t="n">
        <v>1.5</v>
      </c>
      <c r="D482" s="66" t="str">
        <f aca="false">IFERROR(INDEX(المكونات!$B$2:$B$500,MATCH($B482,المكونات!$A$2:$A$500,0)),"")</f>
        <v>قطعة</v>
      </c>
      <c r="E482" s="67" t="n">
        <f aca="false">IFERROR(INDEX(المكونات!$C$2:$C$500,MATCH($B482,المكونات!$A$2:$A$500,0)),"")</f>
        <v>4</v>
      </c>
      <c r="F482" s="68" t="n">
        <f aca="false">IFERROR($C482*$E482,"")</f>
        <v>6</v>
      </c>
    </row>
    <row r="483" customFormat="false" ht="15" hidden="false" customHeight="true" outlineLevel="0" collapsed="false">
      <c r="A483" s="65" t="s">
        <v>442</v>
      </c>
      <c r="B483" s="65" t="s">
        <v>260</v>
      </c>
      <c r="C483" s="65" t="n">
        <v>0.045</v>
      </c>
      <c r="D483" s="66" t="str">
        <f aca="false">IFERROR(INDEX(المكونات!$B$2:$B$500,MATCH($B483,المكونات!$A$2:$A$500,0)),"")</f>
        <v>كجم</v>
      </c>
      <c r="E483" s="67" t="n">
        <f aca="false">IFERROR(INDEX(المكونات!$C$2:$C$500,MATCH($B483,المكونات!$A$2:$A$500,0)),"")</f>
        <v>21</v>
      </c>
      <c r="F483" s="68" t="n">
        <f aca="false">IFERROR($C483*$E483,"")</f>
        <v>0.945</v>
      </c>
    </row>
    <row r="484" customFormat="false" ht="15" hidden="false" customHeight="true" outlineLevel="0" collapsed="false">
      <c r="A484" s="65" t="s">
        <v>442</v>
      </c>
      <c r="B484" s="65" t="s">
        <v>284</v>
      </c>
      <c r="C484" s="65" t="n">
        <v>0.03</v>
      </c>
      <c r="D484" s="66" t="str">
        <f aca="false">IFERROR(INDEX(المكونات!$B$2:$B$500,MATCH($B484,المكونات!$A$2:$A$500,0)),"")</f>
        <v>كجم</v>
      </c>
      <c r="E484" s="67" t="n">
        <f aca="false">IFERROR(INDEX(المكونات!$C$2:$C$500,MATCH($B484,المكونات!$A$2:$A$500,0)),"")</f>
        <v>27</v>
      </c>
      <c r="F484" s="68" t="n">
        <f aca="false">IFERROR($C484*$E484,"")</f>
        <v>0.81</v>
      </c>
    </row>
    <row r="485" customFormat="false" ht="15" hidden="false" customHeight="true" outlineLevel="0" collapsed="false">
      <c r="A485" s="65" t="s">
        <v>442</v>
      </c>
      <c r="B485" s="65" t="s">
        <v>227</v>
      </c>
      <c r="C485" s="65" t="n">
        <v>0.03</v>
      </c>
      <c r="D485" s="66" t="str">
        <f aca="false">IFERROR(INDEX(المكونات!$B$2:$B$500,MATCH($B485,المكونات!$A$2:$A$500,0)),"")</f>
        <v>كجم</v>
      </c>
      <c r="E485" s="67" t="n">
        <f aca="false">IFERROR(INDEX(المكونات!$C$2:$C$500,MATCH($B485,المكونات!$A$2:$A$500,0)),"")</f>
        <v>95</v>
      </c>
      <c r="F485" s="68" t="n">
        <f aca="false">IFERROR($C485*$E485,"")</f>
        <v>2.85</v>
      </c>
    </row>
    <row r="486" customFormat="false" ht="15" hidden="false" customHeight="true" outlineLevel="0" collapsed="false">
      <c r="A486" s="65" t="s">
        <v>442</v>
      </c>
      <c r="B486" s="65" t="s">
        <v>178</v>
      </c>
      <c r="C486" s="65" t="n">
        <v>1</v>
      </c>
      <c r="D486" s="66" t="str">
        <f aca="false">IFERROR(INDEX(المكونات!$B$2:$B$500,MATCH($B486,المكونات!$A$2:$A$500,0)),"")</f>
        <v>قطعة</v>
      </c>
      <c r="E486" s="67" t="n">
        <f aca="false">IFERROR(INDEX(المكونات!$C$2:$C$500,MATCH($B486,المكونات!$A$2:$A$500,0)),"")</f>
        <v>25</v>
      </c>
      <c r="F486" s="68" t="n">
        <f aca="false">IFERROR($C486*$E486,"")</f>
        <v>25</v>
      </c>
    </row>
    <row r="487" customFormat="false" ht="15" hidden="false" customHeight="true" outlineLevel="0" collapsed="false">
      <c r="A487" s="65" t="s">
        <v>442</v>
      </c>
      <c r="B487" s="65" t="s">
        <v>268</v>
      </c>
      <c r="C487" s="65" t="n">
        <v>1</v>
      </c>
      <c r="D487" s="66" t="str">
        <f aca="false">IFERROR(INDEX(المكونات!$B$2:$B$500,MATCH($B487,المكونات!$A$2:$A$500,0)),"")</f>
        <v>قطعة</v>
      </c>
      <c r="E487" s="67" t="n">
        <f aca="false">IFERROR(INDEX(المكونات!$C$2:$C$500,MATCH($B487,المكونات!$A$2:$A$500,0)),"")</f>
        <v>5.5</v>
      </c>
      <c r="F487" s="68" t="n">
        <f aca="false">IFERROR($C487*$E487,"")</f>
        <v>5.5</v>
      </c>
    </row>
    <row r="488" customFormat="false" ht="15" hidden="false" customHeight="true" outlineLevel="0" collapsed="false">
      <c r="A488" s="65" t="s">
        <v>442</v>
      </c>
      <c r="B488" s="65" t="s">
        <v>290</v>
      </c>
      <c r="C488" s="65" t="n">
        <v>3</v>
      </c>
      <c r="D488" s="66" t="str">
        <f aca="false">IFERROR(INDEX(المكونات!$B$2:$B$500,MATCH($B488,المكونات!$A$2:$A$500,0)),"")</f>
        <v>قطعة</v>
      </c>
      <c r="E488" s="67" t="n">
        <f aca="false">IFERROR(INDEX(المكونات!$C$2:$C$500,MATCH($B488,المكونات!$A$2:$A$500,0)),"")</f>
        <v>0.3</v>
      </c>
      <c r="F488" s="68" t="n">
        <f aca="false">IFERROR($C488*$E488,"")</f>
        <v>0.9</v>
      </c>
    </row>
    <row r="489" customFormat="false" ht="15" hidden="false" customHeight="true" outlineLevel="0" collapsed="false">
      <c r="A489" s="65" t="s">
        <v>442</v>
      </c>
      <c r="B489" s="65" t="s">
        <v>319</v>
      </c>
      <c r="C489" s="65" t="n">
        <v>1</v>
      </c>
      <c r="D489" s="66" t="str">
        <f aca="false">IFERROR(INDEX(المكونات!$B$2:$B$500,MATCH($B489,المكونات!$A$2:$A$500,0)),"")</f>
        <v>قطعة (ورقة)</v>
      </c>
      <c r="E489" s="67" t="n">
        <f aca="false">IFERROR(INDEX(المكونات!$C$2:$C$500,MATCH($B489,المكونات!$A$2:$A$500,0)),"")</f>
        <v>0.3665</v>
      </c>
      <c r="F489" s="68" t="n">
        <f aca="false">IFERROR($C489*$E489,"")</f>
        <v>0.3665</v>
      </c>
    </row>
    <row r="490" customFormat="false" ht="15" hidden="false" customHeight="true" outlineLevel="0" collapsed="false">
      <c r="A490" s="65" t="s">
        <v>442</v>
      </c>
      <c r="B490" s="65" t="s">
        <v>133</v>
      </c>
      <c r="C490" s="65" t="n">
        <v>1</v>
      </c>
      <c r="D490" s="66" t="str">
        <f aca="false">IFERROR(INDEX(المكونات!$B$2:$B$500,MATCH($B490,المكونات!$A$2:$A$500,0)),"")</f>
        <v>قطعة (كيس)</v>
      </c>
      <c r="E490" s="67" t="n">
        <f aca="false">IFERROR(INDEX(المكونات!$C$2:$C$500,MATCH($B490,المكونات!$A$2:$A$500,0)),"")</f>
        <v>1.4</v>
      </c>
      <c r="F490" s="68" t="n">
        <f aca="false">IFERROR($C490*$E490,"")</f>
        <v>1.4</v>
      </c>
    </row>
    <row r="491" customFormat="false" ht="15" hidden="false" customHeight="true" outlineLevel="0" collapsed="false">
      <c r="A491" s="65" t="s">
        <v>442</v>
      </c>
      <c r="B491" s="65" t="s">
        <v>293</v>
      </c>
      <c r="C491" s="65" t="n">
        <v>1</v>
      </c>
      <c r="D491" s="66" t="str">
        <f aca="false">IFERROR(INDEX(المكونات!$B$2:$B$500,MATCH($B491,المكونات!$A$2:$A$500,0)),"")</f>
        <v>قطعة</v>
      </c>
      <c r="E491" s="67" t="n">
        <f aca="false">IFERROR(INDEX(المكونات!$C$2:$C$500,MATCH($B491,المكونات!$A$2:$A$500,0)),"")</f>
        <v>0.5</v>
      </c>
      <c r="F491" s="68" t="n">
        <f aca="false">IFERROR($C491*$E491,"")</f>
        <v>0.5</v>
      </c>
    </row>
    <row r="492" customFormat="false" ht="15" hidden="false" customHeight="true" outlineLevel="0" collapsed="false">
      <c r="A492" s="65" t="s">
        <v>442</v>
      </c>
      <c r="B492" s="65" t="s">
        <v>211</v>
      </c>
      <c r="C492" s="65" t="n">
        <v>2</v>
      </c>
      <c r="D492" s="66" t="str">
        <f aca="false">IFERROR(INDEX(المكونات!$B$2:$B$500,MATCH($B492,المكونات!$A$2:$A$500,0)),"")</f>
        <v>قطعة (جلفز)</v>
      </c>
      <c r="E492" s="67" t="n">
        <f aca="false">IFERROR(INDEX(المكونات!$C$2:$C$500,MATCH($B492,المكونات!$A$2:$A$500,0)),"")</f>
        <v>0.18</v>
      </c>
      <c r="F492" s="68" t="n">
        <f aca="false">IFERROR($C492*$E492,"")</f>
        <v>0.36</v>
      </c>
    </row>
    <row r="493" customFormat="false" ht="15" hidden="false" customHeight="true" outlineLevel="0" collapsed="false">
      <c r="A493" s="65" t="s">
        <v>442</v>
      </c>
      <c r="B493" s="65" t="s">
        <v>322</v>
      </c>
      <c r="C493" s="65" t="n">
        <v>1</v>
      </c>
      <c r="D493" s="66" t="str">
        <f aca="false">IFERROR(INDEX(المكونات!$B$2:$B$500,MATCH($B493,المكونات!$A$2:$A$500,0)),"")</f>
        <v>قطعة (كيس)</v>
      </c>
      <c r="E493" s="67" t="n">
        <f aca="false">IFERROR(INDEX(المكونات!$C$2:$C$500,MATCH($B493,المكونات!$A$2:$A$500,0)),"")</f>
        <v>1</v>
      </c>
      <c r="F493" s="68" t="n">
        <f aca="false">IFERROR($C493*$E493,"")</f>
        <v>1</v>
      </c>
    </row>
    <row r="494" customFormat="false" ht="15" hidden="false" customHeight="true" outlineLevel="0" collapsed="false">
      <c r="A494" s="65" t="s">
        <v>442</v>
      </c>
      <c r="B494" s="65" t="s">
        <v>160</v>
      </c>
      <c r="C494" s="65" t="n">
        <v>1</v>
      </c>
      <c r="D494" s="66" t="str">
        <f aca="false">IFERROR(INDEX(المكونات!$B$2:$B$500,MATCH($B494,المكونات!$A$2:$A$500,0)),"")</f>
        <v>قطعة</v>
      </c>
      <c r="E494" s="67" t="n">
        <f aca="false">IFERROR(INDEX(المكونات!$C$2:$C$500,MATCH($B494,المكونات!$A$2:$A$500,0)),"")</f>
        <v>48.7817</v>
      </c>
      <c r="F494" s="68" t="n">
        <f aca="false">IFERROR($C494*$E494,"")</f>
        <v>48.7817</v>
      </c>
    </row>
    <row r="495" customFormat="false" ht="15" hidden="false" customHeight="true" outlineLevel="0" collapsed="false">
      <c r="A495" s="65" t="s">
        <v>442</v>
      </c>
      <c r="B495" s="65" t="s">
        <v>252</v>
      </c>
      <c r="C495" s="65" t="n">
        <v>0.15</v>
      </c>
      <c r="D495" s="66" t="str">
        <f aca="false">IFERROR(INDEX(المكونات!$B$2:$B$500,MATCH($B495,المكونات!$A$2:$A$500,0)),"")</f>
        <v>كجم</v>
      </c>
      <c r="E495" s="67" t="n">
        <f aca="false">IFERROR(INDEX(المكونات!$C$2:$C$500,MATCH($B495,المكونات!$A$2:$A$500,0)),"")</f>
        <v>70</v>
      </c>
      <c r="F495" s="68" t="n">
        <f aca="false">IFERROR($C495*$E495,"")</f>
        <v>10.5</v>
      </c>
    </row>
    <row r="496" customFormat="false" ht="15" hidden="false" customHeight="true" outlineLevel="0" collapsed="false">
      <c r="A496" s="65" t="s">
        <v>494</v>
      </c>
      <c r="B496" s="65" t="s">
        <v>264</v>
      </c>
      <c r="C496" s="65" t="n">
        <v>1</v>
      </c>
      <c r="D496" s="66" t="str">
        <f aca="false">IFERROR(INDEX(المكونات!$B$2:$B$500,MATCH($B496,المكونات!$A$2:$A$500,0)),"")</f>
        <v>قطعة</v>
      </c>
      <c r="E496" s="67" t="n">
        <f aca="false">IFERROR(INDEX(المكونات!$C$2:$C$500,MATCH($B496,المكونات!$A$2:$A$500,0)),"")</f>
        <v>4</v>
      </c>
      <c r="F496" s="68" t="n">
        <f aca="false">IFERROR($C496*$E496,"")</f>
        <v>4</v>
      </c>
    </row>
    <row r="497" customFormat="false" ht="15" hidden="false" customHeight="true" outlineLevel="0" collapsed="false">
      <c r="A497" s="65" t="s">
        <v>494</v>
      </c>
      <c r="B497" s="65" t="s">
        <v>260</v>
      </c>
      <c r="C497" s="65" t="n">
        <v>0.03</v>
      </c>
      <c r="D497" s="66" t="str">
        <f aca="false">IFERROR(INDEX(المكونات!$B$2:$B$500,MATCH($B497,المكونات!$A$2:$A$500,0)),"")</f>
        <v>كجم</v>
      </c>
      <c r="E497" s="67" t="n">
        <f aca="false">IFERROR(INDEX(المكونات!$C$2:$C$500,MATCH($B497,المكونات!$A$2:$A$500,0)),"")</f>
        <v>21</v>
      </c>
      <c r="F497" s="68" t="n">
        <f aca="false">IFERROR($C497*$E497,"")</f>
        <v>0.63</v>
      </c>
    </row>
    <row r="498" customFormat="false" ht="15" hidden="false" customHeight="true" outlineLevel="0" collapsed="false">
      <c r="A498" s="65" t="s">
        <v>494</v>
      </c>
      <c r="B498" s="65" t="s">
        <v>284</v>
      </c>
      <c r="C498" s="65" t="n">
        <v>0.02</v>
      </c>
      <c r="D498" s="66" t="str">
        <f aca="false">IFERROR(INDEX(المكونات!$B$2:$B$500,MATCH($B498,المكونات!$A$2:$A$500,0)),"")</f>
        <v>كجم</v>
      </c>
      <c r="E498" s="67" t="n">
        <f aca="false">IFERROR(INDEX(المكونات!$C$2:$C$500,MATCH($B498,المكونات!$A$2:$A$500,0)),"")</f>
        <v>27</v>
      </c>
      <c r="F498" s="68" t="n">
        <f aca="false">IFERROR($C498*$E498,"")</f>
        <v>0.54</v>
      </c>
    </row>
    <row r="499" customFormat="false" ht="15" hidden="false" customHeight="true" outlineLevel="0" collapsed="false">
      <c r="A499" s="65" t="s">
        <v>494</v>
      </c>
      <c r="B499" s="65" t="s">
        <v>227</v>
      </c>
      <c r="C499" s="65" t="n">
        <v>0.02</v>
      </c>
      <c r="D499" s="66" t="str">
        <f aca="false">IFERROR(INDEX(المكونات!$B$2:$B$500,MATCH($B499,المكونات!$A$2:$A$500,0)),"")</f>
        <v>كجم</v>
      </c>
      <c r="E499" s="67" t="n">
        <f aca="false">IFERROR(INDEX(المكونات!$C$2:$C$500,MATCH($B499,المكونات!$A$2:$A$500,0)),"")</f>
        <v>95</v>
      </c>
      <c r="F499" s="68" t="n">
        <f aca="false">IFERROR($C499*$E499,"")</f>
        <v>1.9</v>
      </c>
    </row>
    <row r="500" customFormat="false" ht="15" hidden="false" customHeight="true" outlineLevel="0" collapsed="false">
      <c r="A500" s="65" t="s">
        <v>494</v>
      </c>
      <c r="B500" s="65" t="s">
        <v>176</v>
      </c>
      <c r="C500" s="65" t="n">
        <v>1</v>
      </c>
      <c r="D500" s="66" t="str">
        <f aca="false">IFERROR(INDEX(المكونات!$B$2:$B$500,MATCH($B500,المكونات!$A$2:$A$500,0)),"")</f>
        <v>قطعة</v>
      </c>
      <c r="E500" s="67" t="n">
        <f aca="false">IFERROR(INDEX(المكونات!$C$2:$C$500,MATCH($B500,المكونات!$A$2:$A$500,0)),"")</f>
        <v>17.5</v>
      </c>
      <c r="F500" s="68" t="n">
        <f aca="false">IFERROR($C500*$E500,"")</f>
        <v>17.5</v>
      </c>
    </row>
    <row r="501" customFormat="false" ht="15" hidden="false" customHeight="true" outlineLevel="0" collapsed="false">
      <c r="A501" s="65" t="s">
        <v>494</v>
      </c>
      <c r="B501" s="65" t="s">
        <v>270</v>
      </c>
      <c r="C501" s="65" t="n">
        <v>1</v>
      </c>
      <c r="D501" s="66" t="str">
        <f aca="false">IFERROR(INDEX(المكونات!$B$2:$B$500,MATCH($B501,المكونات!$A$2:$A$500,0)),"")</f>
        <v>قطعة</v>
      </c>
      <c r="E501" s="67" t="n">
        <f aca="false">IFERROR(INDEX(المكونات!$C$2:$C$500,MATCH($B501,المكونات!$A$2:$A$500,0)),"")</f>
        <v>4.5</v>
      </c>
      <c r="F501" s="68" t="n">
        <f aca="false">IFERROR($C501*$E501,"")</f>
        <v>4.5</v>
      </c>
    </row>
    <row r="502" customFormat="false" ht="15" hidden="false" customHeight="true" outlineLevel="0" collapsed="false">
      <c r="A502" s="65" t="s">
        <v>494</v>
      </c>
      <c r="B502" s="65" t="s">
        <v>290</v>
      </c>
      <c r="C502" s="65" t="n">
        <v>2</v>
      </c>
      <c r="D502" s="66" t="str">
        <f aca="false">IFERROR(INDEX(المكونات!$B$2:$B$500,MATCH($B502,المكونات!$A$2:$A$500,0)),"")</f>
        <v>قطعة</v>
      </c>
      <c r="E502" s="67" t="n">
        <f aca="false">IFERROR(INDEX(المكونات!$C$2:$C$500,MATCH($B502,المكونات!$A$2:$A$500,0)),"")</f>
        <v>0.3</v>
      </c>
      <c r="F502" s="68" t="n">
        <f aca="false">IFERROR($C502*$E502,"")</f>
        <v>0.6</v>
      </c>
    </row>
    <row r="503" customFormat="false" ht="15" hidden="false" customHeight="true" outlineLevel="0" collapsed="false">
      <c r="A503" s="65" t="s">
        <v>494</v>
      </c>
      <c r="B503" s="65" t="s">
        <v>319</v>
      </c>
      <c r="C503" s="65" t="n">
        <v>1</v>
      </c>
      <c r="D503" s="66" t="str">
        <f aca="false">IFERROR(INDEX(المكونات!$B$2:$B$500,MATCH($B503,المكونات!$A$2:$A$500,0)),"")</f>
        <v>قطعة (ورقة)</v>
      </c>
      <c r="E503" s="67" t="n">
        <f aca="false">IFERROR(INDEX(المكونات!$C$2:$C$500,MATCH($B503,المكونات!$A$2:$A$500,0)),"")</f>
        <v>0.3665</v>
      </c>
      <c r="F503" s="68" t="n">
        <f aca="false">IFERROR($C503*$E503,"")</f>
        <v>0.3665</v>
      </c>
    </row>
    <row r="504" customFormat="false" ht="15" hidden="false" customHeight="true" outlineLevel="0" collapsed="false">
      <c r="A504" s="65" t="s">
        <v>494</v>
      </c>
      <c r="B504" s="65" t="s">
        <v>133</v>
      </c>
      <c r="C504" s="65" t="n">
        <v>1</v>
      </c>
      <c r="D504" s="66" t="str">
        <f aca="false">IFERROR(INDEX(المكونات!$B$2:$B$500,MATCH($B504,المكونات!$A$2:$A$500,0)),"")</f>
        <v>قطعة (كيس)</v>
      </c>
      <c r="E504" s="67" t="n">
        <f aca="false">IFERROR(INDEX(المكونات!$C$2:$C$500,MATCH($B504,المكونات!$A$2:$A$500,0)),"")</f>
        <v>1.4</v>
      </c>
      <c r="F504" s="68" t="n">
        <f aca="false">IFERROR($C504*$E504,"")</f>
        <v>1.4</v>
      </c>
    </row>
    <row r="505" customFormat="false" ht="15" hidden="false" customHeight="true" outlineLevel="0" collapsed="false">
      <c r="A505" s="65" t="s">
        <v>494</v>
      </c>
      <c r="B505" s="65" t="s">
        <v>293</v>
      </c>
      <c r="C505" s="65" t="n">
        <v>1</v>
      </c>
      <c r="D505" s="66" t="str">
        <f aca="false">IFERROR(INDEX(المكونات!$B$2:$B$500,MATCH($B505,المكونات!$A$2:$A$500,0)),"")</f>
        <v>قطعة</v>
      </c>
      <c r="E505" s="67" t="n">
        <f aca="false">IFERROR(INDEX(المكونات!$C$2:$C$500,MATCH($B505,المكونات!$A$2:$A$500,0)),"")</f>
        <v>0.5</v>
      </c>
      <c r="F505" s="68" t="n">
        <f aca="false">IFERROR($C505*$E505,"")</f>
        <v>0.5</v>
      </c>
    </row>
    <row r="506" customFormat="false" ht="15" hidden="false" customHeight="true" outlineLevel="0" collapsed="false">
      <c r="A506" s="65" t="s">
        <v>494</v>
      </c>
      <c r="B506" s="65" t="s">
        <v>211</v>
      </c>
      <c r="C506" s="65" t="n">
        <v>2</v>
      </c>
      <c r="D506" s="66" t="str">
        <f aca="false">IFERROR(INDEX(المكونات!$B$2:$B$500,MATCH($B506,المكونات!$A$2:$A$500,0)),"")</f>
        <v>قطعة (جلفز)</v>
      </c>
      <c r="E506" s="67" t="n">
        <f aca="false">IFERROR(INDEX(المكونات!$C$2:$C$500,MATCH($B506,المكونات!$A$2:$A$500,0)),"")</f>
        <v>0.18</v>
      </c>
      <c r="F506" s="68" t="n">
        <f aca="false">IFERROR($C506*$E506,"")</f>
        <v>0.36</v>
      </c>
    </row>
    <row r="507" customFormat="false" ht="15" hidden="false" customHeight="true" outlineLevel="0" collapsed="false">
      <c r="A507" s="65" t="s">
        <v>494</v>
      </c>
      <c r="B507" s="65" t="s">
        <v>322</v>
      </c>
      <c r="C507" s="65" t="n">
        <v>1</v>
      </c>
      <c r="D507" s="66" t="str">
        <f aca="false">IFERROR(INDEX(المكونات!$B$2:$B$500,MATCH($B507,المكونات!$A$2:$A$500,0)),"")</f>
        <v>قطعة (كيس)</v>
      </c>
      <c r="E507" s="67" t="n">
        <f aca="false">IFERROR(INDEX(المكونات!$C$2:$C$500,MATCH($B507,المكونات!$A$2:$A$500,0)),"")</f>
        <v>1</v>
      </c>
      <c r="F507" s="68" t="n">
        <f aca="false">IFERROR($C507*$E507,"")</f>
        <v>1</v>
      </c>
    </row>
    <row r="508" customFormat="false" ht="15" hidden="false" customHeight="true" outlineLevel="0" collapsed="false">
      <c r="A508" s="65" t="s">
        <v>494</v>
      </c>
      <c r="B508" s="65" t="s">
        <v>150</v>
      </c>
      <c r="C508" s="65" t="n">
        <v>1</v>
      </c>
      <c r="D508" s="66" t="str">
        <f aca="false">IFERROR(INDEX(المكونات!$B$2:$B$500,MATCH($B508,المكونات!$A$2:$A$500,0)),"")</f>
        <v>قطعة</v>
      </c>
      <c r="E508" s="67" t="n">
        <f aca="false">IFERROR(INDEX(المكونات!$C$2:$C$500,MATCH($B508,المكونات!$A$2:$A$500,0)),"")</f>
        <v>95</v>
      </c>
      <c r="F508" s="68" t="n">
        <f aca="false">IFERROR($C508*$E508,"")</f>
        <v>95</v>
      </c>
    </row>
    <row r="509" customFormat="false" ht="15" hidden="false" customHeight="true" outlineLevel="0" collapsed="false">
      <c r="A509" s="65" t="s">
        <v>483</v>
      </c>
      <c r="B509" s="65" t="s">
        <v>264</v>
      </c>
      <c r="C509" s="65" t="n">
        <v>1.5</v>
      </c>
      <c r="D509" s="66" t="str">
        <f aca="false">IFERROR(INDEX(المكونات!$B$2:$B$500,MATCH($B509,المكونات!$A$2:$A$500,0)),"")</f>
        <v>قطعة</v>
      </c>
      <c r="E509" s="67" t="n">
        <f aca="false">IFERROR(INDEX(المكونات!$C$2:$C$500,MATCH($B509,المكونات!$A$2:$A$500,0)),"")</f>
        <v>4</v>
      </c>
      <c r="F509" s="68" t="n">
        <f aca="false">IFERROR($C509*$E509,"")</f>
        <v>6</v>
      </c>
    </row>
    <row r="510" customFormat="false" ht="15" hidden="false" customHeight="true" outlineLevel="0" collapsed="false">
      <c r="A510" s="65" t="s">
        <v>483</v>
      </c>
      <c r="B510" s="65" t="s">
        <v>260</v>
      </c>
      <c r="C510" s="65" t="n">
        <v>0.045</v>
      </c>
      <c r="D510" s="66" t="str">
        <f aca="false">IFERROR(INDEX(المكونات!$B$2:$B$500,MATCH($B510,المكونات!$A$2:$A$500,0)),"")</f>
        <v>كجم</v>
      </c>
      <c r="E510" s="67" t="n">
        <f aca="false">IFERROR(INDEX(المكونات!$C$2:$C$500,MATCH($B510,المكونات!$A$2:$A$500,0)),"")</f>
        <v>21</v>
      </c>
      <c r="F510" s="68" t="n">
        <f aca="false">IFERROR($C510*$E510,"")</f>
        <v>0.945</v>
      </c>
    </row>
    <row r="511" customFormat="false" ht="15" hidden="false" customHeight="true" outlineLevel="0" collapsed="false">
      <c r="A511" s="65" t="s">
        <v>483</v>
      </c>
      <c r="B511" s="65" t="s">
        <v>284</v>
      </c>
      <c r="C511" s="65" t="n">
        <v>0.03</v>
      </c>
      <c r="D511" s="66" t="str">
        <f aca="false">IFERROR(INDEX(المكونات!$B$2:$B$500,MATCH($B511,المكونات!$A$2:$A$500,0)),"")</f>
        <v>كجم</v>
      </c>
      <c r="E511" s="67" t="n">
        <f aca="false">IFERROR(INDEX(المكونات!$C$2:$C$500,MATCH($B511,المكونات!$A$2:$A$500,0)),"")</f>
        <v>27</v>
      </c>
      <c r="F511" s="68" t="n">
        <f aca="false">IFERROR($C511*$E511,"")</f>
        <v>0.81</v>
      </c>
    </row>
    <row r="512" customFormat="false" ht="15" hidden="false" customHeight="true" outlineLevel="0" collapsed="false">
      <c r="A512" s="65" t="s">
        <v>483</v>
      </c>
      <c r="B512" s="65" t="s">
        <v>227</v>
      </c>
      <c r="C512" s="65" t="n">
        <v>0.03</v>
      </c>
      <c r="D512" s="66" t="str">
        <f aca="false">IFERROR(INDEX(المكونات!$B$2:$B$500,MATCH($B512,المكونات!$A$2:$A$500,0)),"")</f>
        <v>كجم</v>
      </c>
      <c r="E512" s="67" t="n">
        <f aca="false">IFERROR(INDEX(المكونات!$C$2:$C$500,MATCH($B512,المكونات!$A$2:$A$500,0)),"")</f>
        <v>95</v>
      </c>
      <c r="F512" s="68" t="n">
        <f aca="false">IFERROR($C512*$E512,"")</f>
        <v>2.85</v>
      </c>
    </row>
    <row r="513" customFormat="false" ht="15" hidden="false" customHeight="true" outlineLevel="0" collapsed="false">
      <c r="A513" s="65" t="s">
        <v>483</v>
      </c>
      <c r="B513" s="65" t="s">
        <v>178</v>
      </c>
      <c r="C513" s="65" t="n">
        <v>1</v>
      </c>
      <c r="D513" s="66" t="str">
        <f aca="false">IFERROR(INDEX(المكونات!$B$2:$B$500,MATCH($B513,المكونات!$A$2:$A$500,0)),"")</f>
        <v>قطعة</v>
      </c>
      <c r="E513" s="67" t="n">
        <f aca="false">IFERROR(INDEX(المكونات!$C$2:$C$500,MATCH($B513,المكونات!$A$2:$A$500,0)),"")</f>
        <v>25</v>
      </c>
      <c r="F513" s="68" t="n">
        <f aca="false">IFERROR($C513*$E513,"")</f>
        <v>25</v>
      </c>
    </row>
    <row r="514" customFormat="false" ht="15" hidden="false" customHeight="true" outlineLevel="0" collapsed="false">
      <c r="A514" s="65" t="s">
        <v>483</v>
      </c>
      <c r="B514" s="65" t="s">
        <v>268</v>
      </c>
      <c r="C514" s="65" t="n">
        <v>1</v>
      </c>
      <c r="D514" s="66" t="str">
        <f aca="false">IFERROR(INDEX(المكونات!$B$2:$B$500,MATCH($B514,المكونات!$A$2:$A$500,0)),"")</f>
        <v>قطعة</v>
      </c>
      <c r="E514" s="67" t="n">
        <f aca="false">IFERROR(INDEX(المكونات!$C$2:$C$500,MATCH($B514,المكونات!$A$2:$A$500,0)),"")</f>
        <v>5.5</v>
      </c>
      <c r="F514" s="68" t="n">
        <f aca="false">IFERROR($C514*$E514,"")</f>
        <v>5.5</v>
      </c>
    </row>
    <row r="515" customFormat="false" ht="15" hidden="false" customHeight="true" outlineLevel="0" collapsed="false">
      <c r="A515" s="65" t="s">
        <v>483</v>
      </c>
      <c r="B515" s="65" t="s">
        <v>290</v>
      </c>
      <c r="C515" s="65" t="n">
        <v>3</v>
      </c>
      <c r="D515" s="66" t="str">
        <f aca="false">IFERROR(INDEX(المكونات!$B$2:$B$500,MATCH($B515,المكونات!$A$2:$A$500,0)),"")</f>
        <v>قطعة</v>
      </c>
      <c r="E515" s="67" t="n">
        <f aca="false">IFERROR(INDEX(المكونات!$C$2:$C$500,MATCH($B515,المكونات!$A$2:$A$500,0)),"")</f>
        <v>0.3</v>
      </c>
      <c r="F515" s="68" t="n">
        <f aca="false">IFERROR($C515*$E515,"")</f>
        <v>0.9</v>
      </c>
    </row>
    <row r="516" customFormat="false" ht="15" hidden="false" customHeight="true" outlineLevel="0" collapsed="false">
      <c r="A516" s="65" t="s">
        <v>483</v>
      </c>
      <c r="B516" s="65" t="s">
        <v>319</v>
      </c>
      <c r="C516" s="65" t="n">
        <v>1</v>
      </c>
      <c r="D516" s="66" t="str">
        <f aca="false">IFERROR(INDEX(المكونات!$B$2:$B$500,MATCH($B516,المكونات!$A$2:$A$500,0)),"")</f>
        <v>قطعة (ورقة)</v>
      </c>
      <c r="E516" s="67" t="n">
        <f aca="false">IFERROR(INDEX(المكونات!$C$2:$C$500,MATCH($B516,المكونات!$A$2:$A$500,0)),"")</f>
        <v>0.3665</v>
      </c>
      <c r="F516" s="68" t="n">
        <f aca="false">IFERROR($C516*$E516,"")</f>
        <v>0.3665</v>
      </c>
    </row>
    <row r="517" customFormat="false" ht="15" hidden="false" customHeight="true" outlineLevel="0" collapsed="false">
      <c r="A517" s="65" t="s">
        <v>483</v>
      </c>
      <c r="B517" s="65" t="s">
        <v>133</v>
      </c>
      <c r="C517" s="65" t="n">
        <v>1</v>
      </c>
      <c r="D517" s="66" t="str">
        <f aca="false">IFERROR(INDEX(المكونات!$B$2:$B$500,MATCH($B517,المكونات!$A$2:$A$500,0)),"")</f>
        <v>قطعة (كيس)</v>
      </c>
      <c r="E517" s="67" t="n">
        <f aca="false">IFERROR(INDEX(المكونات!$C$2:$C$500,MATCH($B517,المكونات!$A$2:$A$500,0)),"")</f>
        <v>1.4</v>
      </c>
      <c r="F517" s="68" t="n">
        <f aca="false">IFERROR($C517*$E517,"")</f>
        <v>1.4</v>
      </c>
    </row>
    <row r="518" customFormat="false" ht="15" hidden="false" customHeight="true" outlineLevel="0" collapsed="false">
      <c r="A518" s="65" t="s">
        <v>483</v>
      </c>
      <c r="B518" s="65" t="s">
        <v>293</v>
      </c>
      <c r="C518" s="65" t="n">
        <v>1</v>
      </c>
      <c r="D518" s="66" t="str">
        <f aca="false">IFERROR(INDEX(المكونات!$B$2:$B$500,MATCH($B518,المكونات!$A$2:$A$500,0)),"")</f>
        <v>قطعة</v>
      </c>
      <c r="E518" s="67" t="n">
        <f aca="false">IFERROR(INDEX(المكونات!$C$2:$C$500,MATCH($B518,المكونات!$A$2:$A$500,0)),"")</f>
        <v>0.5</v>
      </c>
      <c r="F518" s="68" t="n">
        <f aca="false">IFERROR($C518*$E518,"")</f>
        <v>0.5</v>
      </c>
    </row>
    <row r="519" customFormat="false" ht="15" hidden="false" customHeight="true" outlineLevel="0" collapsed="false">
      <c r="A519" s="65" t="s">
        <v>483</v>
      </c>
      <c r="B519" s="65" t="s">
        <v>211</v>
      </c>
      <c r="C519" s="65" t="n">
        <v>2</v>
      </c>
      <c r="D519" s="66" t="str">
        <f aca="false">IFERROR(INDEX(المكونات!$B$2:$B$500,MATCH($B519,المكونات!$A$2:$A$500,0)),"")</f>
        <v>قطعة (جلفز)</v>
      </c>
      <c r="E519" s="67" t="n">
        <f aca="false">IFERROR(INDEX(المكونات!$C$2:$C$500,MATCH($B519,المكونات!$A$2:$A$500,0)),"")</f>
        <v>0.18</v>
      </c>
      <c r="F519" s="68" t="n">
        <f aca="false">IFERROR($C519*$E519,"")</f>
        <v>0.36</v>
      </c>
    </row>
    <row r="520" customFormat="false" ht="15" hidden="false" customHeight="true" outlineLevel="0" collapsed="false">
      <c r="A520" s="65" t="s">
        <v>483</v>
      </c>
      <c r="B520" s="65" t="s">
        <v>322</v>
      </c>
      <c r="C520" s="65" t="n">
        <v>1</v>
      </c>
      <c r="D520" s="66" t="str">
        <f aca="false">IFERROR(INDEX(المكونات!$B$2:$B$500,MATCH($B520,المكونات!$A$2:$A$500,0)),"")</f>
        <v>قطعة (كيس)</v>
      </c>
      <c r="E520" s="67" t="n">
        <f aca="false">IFERROR(INDEX(المكونات!$C$2:$C$500,MATCH($B520,المكونات!$A$2:$A$500,0)),"")</f>
        <v>1</v>
      </c>
      <c r="F520" s="68" t="n">
        <f aca="false">IFERROR($C520*$E520,"")</f>
        <v>1</v>
      </c>
    </row>
    <row r="521" customFormat="false" ht="15" hidden="false" customHeight="true" outlineLevel="0" collapsed="false">
      <c r="A521" s="65" t="s">
        <v>483</v>
      </c>
      <c r="B521" s="65" t="s">
        <v>150</v>
      </c>
      <c r="C521" s="65" t="n">
        <v>1.5</v>
      </c>
      <c r="D521" s="66" t="str">
        <f aca="false">IFERROR(INDEX(المكونات!$B$2:$B$500,MATCH($B521,المكونات!$A$2:$A$500,0)),"")</f>
        <v>قطعة</v>
      </c>
      <c r="E521" s="67" t="n">
        <f aca="false">IFERROR(INDEX(المكونات!$C$2:$C$500,MATCH($B521,المكونات!$A$2:$A$500,0)),"")</f>
        <v>95</v>
      </c>
      <c r="F521" s="68" t="n">
        <f aca="false">IFERROR($C521*$E521,"")</f>
        <v>142.5</v>
      </c>
    </row>
    <row r="522" customFormat="false" ht="15" hidden="false" customHeight="true" outlineLevel="0" collapsed="false">
      <c r="A522" s="65" t="s">
        <v>439</v>
      </c>
      <c r="B522" s="65" t="s">
        <v>264</v>
      </c>
      <c r="C522" s="65" t="n">
        <v>1</v>
      </c>
      <c r="D522" s="66" t="str">
        <f aca="false">IFERROR(INDEX(المكونات!$B$2:$B$500,MATCH($B522,المكونات!$A$2:$A$500,0)),"")</f>
        <v>قطعة</v>
      </c>
      <c r="E522" s="67" t="n">
        <f aca="false">IFERROR(INDEX(المكونات!$C$2:$C$500,MATCH($B522,المكونات!$A$2:$A$500,0)),"")</f>
        <v>4</v>
      </c>
      <c r="F522" s="68" t="n">
        <f aca="false">IFERROR($C522*$E522,"")</f>
        <v>4</v>
      </c>
    </row>
    <row r="523" customFormat="false" ht="15" hidden="false" customHeight="true" outlineLevel="0" collapsed="false">
      <c r="A523" s="65" t="s">
        <v>439</v>
      </c>
      <c r="B523" s="65" t="s">
        <v>260</v>
      </c>
      <c r="C523" s="65" t="n">
        <v>0.03</v>
      </c>
      <c r="D523" s="66" t="str">
        <f aca="false">IFERROR(INDEX(المكونات!$B$2:$B$500,MATCH($B523,المكونات!$A$2:$A$500,0)),"")</f>
        <v>كجم</v>
      </c>
      <c r="E523" s="67" t="n">
        <f aca="false">IFERROR(INDEX(المكونات!$C$2:$C$500,MATCH($B523,المكونات!$A$2:$A$500,0)),"")</f>
        <v>21</v>
      </c>
      <c r="F523" s="68" t="n">
        <f aca="false">IFERROR($C523*$E523,"")</f>
        <v>0.63</v>
      </c>
    </row>
    <row r="524" customFormat="false" ht="15" hidden="false" customHeight="true" outlineLevel="0" collapsed="false">
      <c r="A524" s="65" t="s">
        <v>439</v>
      </c>
      <c r="B524" s="65" t="s">
        <v>284</v>
      </c>
      <c r="C524" s="65" t="n">
        <v>0.02</v>
      </c>
      <c r="D524" s="66" t="str">
        <f aca="false">IFERROR(INDEX(المكونات!$B$2:$B$500,MATCH($B524,المكونات!$A$2:$A$500,0)),"")</f>
        <v>كجم</v>
      </c>
      <c r="E524" s="67" t="n">
        <f aca="false">IFERROR(INDEX(المكونات!$C$2:$C$500,MATCH($B524,المكونات!$A$2:$A$500,0)),"")</f>
        <v>27</v>
      </c>
      <c r="F524" s="68" t="n">
        <f aca="false">IFERROR($C524*$E524,"")</f>
        <v>0.54</v>
      </c>
    </row>
    <row r="525" customFormat="false" ht="15" hidden="false" customHeight="true" outlineLevel="0" collapsed="false">
      <c r="A525" s="65" t="s">
        <v>439</v>
      </c>
      <c r="B525" s="65" t="s">
        <v>227</v>
      </c>
      <c r="C525" s="65" t="n">
        <v>0.02</v>
      </c>
      <c r="D525" s="66" t="str">
        <f aca="false">IFERROR(INDEX(المكونات!$B$2:$B$500,MATCH($B525,المكونات!$A$2:$A$500,0)),"")</f>
        <v>كجم</v>
      </c>
      <c r="E525" s="67" t="n">
        <f aca="false">IFERROR(INDEX(المكونات!$C$2:$C$500,MATCH($B525,المكونات!$A$2:$A$500,0)),"")</f>
        <v>95</v>
      </c>
      <c r="F525" s="68" t="n">
        <f aca="false">IFERROR($C525*$E525,"")</f>
        <v>1.9</v>
      </c>
    </row>
    <row r="526" customFormat="false" ht="15" hidden="false" customHeight="true" outlineLevel="0" collapsed="false">
      <c r="A526" s="65" t="s">
        <v>439</v>
      </c>
      <c r="B526" s="65" t="s">
        <v>176</v>
      </c>
      <c r="C526" s="65" t="n">
        <v>1</v>
      </c>
      <c r="D526" s="66" t="str">
        <f aca="false">IFERROR(INDEX(المكونات!$B$2:$B$500,MATCH($B526,المكونات!$A$2:$A$500,0)),"")</f>
        <v>قطعة</v>
      </c>
      <c r="E526" s="67" t="n">
        <f aca="false">IFERROR(INDEX(المكونات!$C$2:$C$500,MATCH($B526,المكونات!$A$2:$A$500,0)),"")</f>
        <v>17.5</v>
      </c>
      <c r="F526" s="68" t="n">
        <f aca="false">IFERROR($C526*$E526,"")</f>
        <v>17.5</v>
      </c>
    </row>
    <row r="527" customFormat="false" ht="15" hidden="false" customHeight="true" outlineLevel="0" collapsed="false">
      <c r="A527" s="65" t="s">
        <v>439</v>
      </c>
      <c r="B527" s="65" t="s">
        <v>270</v>
      </c>
      <c r="C527" s="65" t="n">
        <v>1</v>
      </c>
      <c r="D527" s="66" t="str">
        <f aca="false">IFERROR(INDEX(المكونات!$B$2:$B$500,MATCH($B527,المكونات!$A$2:$A$500,0)),"")</f>
        <v>قطعة</v>
      </c>
      <c r="E527" s="67" t="n">
        <f aca="false">IFERROR(INDEX(المكونات!$C$2:$C$500,MATCH($B527,المكونات!$A$2:$A$500,0)),"")</f>
        <v>4.5</v>
      </c>
      <c r="F527" s="68" t="n">
        <f aca="false">IFERROR($C527*$E527,"")</f>
        <v>4.5</v>
      </c>
    </row>
    <row r="528" customFormat="false" ht="15" hidden="false" customHeight="true" outlineLevel="0" collapsed="false">
      <c r="A528" s="65" t="s">
        <v>439</v>
      </c>
      <c r="B528" s="65" t="s">
        <v>290</v>
      </c>
      <c r="C528" s="65" t="n">
        <v>2</v>
      </c>
      <c r="D528" s="66" t="str">
        <f aca="false">IFERROR(INDEX(المكونات!$B$2:$B$500,MATCH($B528,المكونات!$A$2:$A$500,0)),"")</f>
        <v>قطعة</v>
      </c>
      <c r="E528" s="67" t="n">
        <f aca="false">IFERROR(INDEX(المكونات!$C$2:$C$500,MATCH($B528,المكونات!$A$2:$A$500,0)),"")</f>
        <v>0.3</v>
      </c>
      <c r="F528" s="68" t="n">
        <f aca="false">IFERROR($C528*$E528,"")</f>
        <v>0.6</v>
      </c>
    </row>
    <row r="529" customFormat="false" ht="15" hidden="false" customHeight="true" outlineLevel="0" collapsed="false">
      <c r="A529" s="65" t="s">
        <v>439</v>
      </c>
      <c r="B529" s="65" t="s">
        <v>319</v>
      </c>
      <c r="C529" s="65" t="n">
        <v>1</v>
      </c>
      <c r="D529" s="66" t="str">
        <f aca="false">IFERROR(INDEX(المكونات!$B$2:$B$500,MATCH($B529,المكونات!$A$2:$A$500,0)),"")</f>
        <v>قطعة (ورقة)</v>
      </c>
      <c r="E529" s="67" t="n">
        <f aca="false">IFERROR(INDEX(المكونات!$C$2:$C$500,MATCH($B529,المكونات!$A$2:$A$500,0)),"")</f>
        <v>0.3665</v>
      </c>
      <c r="F529" s="68" t="n">
        <f aca="false">IFERROR($C529*$E529,"")</f>
        <v>0.3665</v>
      </c>
    </row>
    <row r="530" customFormat="false" ht="15" hidden="false" customHeight="true" outlineLevel="0" collapsed="false">
      <c r="A530" s="65" t="s">
        <v>439</v>
      </c>
      <c r="B530" s="65" t="s">
        <v>133</v>
      </c>
      <c r="C530" s="65" t="n">
        <v>1</v>
      </c>
      <c r="D530" s="66" t="str">
        <f aca="false">IFERROR(INDEX(المكونات!$B$2:$B$500,MATCH($B530,المكونات!$A$2:$A$500,0)),"")</f>
        <v>قطعة (كيس)</v>
      </c>
      <c r="E530" s="67" t="n">
        <f aca="false">IFERROR(INDEX(المكونات!$C$2:$C$500,MATCH($B530,المكونات!$A$2:$A$500,0)),"")</f>
        <v>1.4</v>
      </c>
      <c r="F530" s="68" t="n">
        <f aca="false">IFERROR($C530*$E530,"")</f>
        <v>1.4</v>
      </c>
    </row>
    <row r="531" customFormat="false" ht="15" hidden="false" customHeight="true" outlineLevel="0" collapsed="false">
      <c r="A531" s="65" t="s">
        <v>439</v>
      </c>
      <c r="B531" s="65" t="s">
        <v>293</v>
      </c>
      <c r="C531" s="65" t="n">
        <v>1</v>
      </c>
      <c r="D531" s="66" t="str">
        <f aca="false">IFERROR(INDEX(المكونات!$B$2:$B$500,MATCH($B531,المكونات!$A$2:$A$500,0)),"")</f>
        <v>قطعة</v>
      </c>
      <c r="E531" s="67" t="n">
        <f aca="false">IFERROR(INDEX(المكونات!$C$2:$C$500,MATCH($B531,المكونات!$A$2:$A$500,0)),"")</f>
        <v>0.5</v>
      </c>
      <c r="F531" s="68" t="n">
        <f aca="false">IFERROR($C531*$E531,"")</f>
        <v>0.5</v>
      </c>
    </row>
    <row r="532" customFormat="false" ht="15" hidden="false" customHeight="true" outlineLevel="0" collapsed="false">
      <c r="A532" s="65" t="s">
        <v>439</v>
      </c>
      <c r="B532" s="65" t="s">
        <v>211</v>
      </c>
      <c r="C532" s="65" t="n">
        <v>2</v>
      </c>
      <c r="D532" s="66" t="str">
        <f aca="false">IFERROR(INDEX(المكونات!$B$2:$B$500,MATCH($B532,المكونات!$A$2:$A$500,0)),"")</f>
        <v>قطعة (جلفز)</v>
      </c>
      <c r="E532" s="67" t="n">
        <f aca="false">IFERROR(INDEX(المكونات!$C$2:$C$500,MATCH($B532,المكونات!$A$2:$A$500,0)),"")</f>
        <v>0.18</v>
      </c>
      <c r="F532" s="68" t="n">
        <f aca="false">IFERROR($C532*$E532,"")</f>
        <v>0.36</v>
      </c>
    </row>
    <row r="533" customFormat="false" ht="15" hidden="false" customHeight="true" outlineLevel="0" collapsed="false">
      <c r="A533" s="65" t="s">
        <v>439</v>
      </c>
      <c r="B533" s="65" t="s">
        <v>322</v>
      </c>
      <c r="C533" s="65" t="n">
        <v>1</v>
      </c>
      <c r="D533" s="66" t="str">
        <f aca="false">IFERROR(INDEX(المكونات!$B$2:$B$500,MATCH($B533,المكونات!$A$2:$A$500,0)),"")</f>
        <v>قطعة (كيس)</v>
      </c>
      <c r="E533" s="67" t="n">
        <f aca="false">IFERROR(INDEX(المكونات!$C$2:$C$500,MATCH($B533,المكونات!$A$2:$A$500,0)),"")</f>
        <v>1</v>
      </c>
      <c r="F533" s="68" t="n">
        <f aca="false">IFERROR($C533*$E533,"")</f>
        <v>1</v>
      </c>
    </row>
    <row r="534" customFormat="false" ht="15" hidden="false" customHeight="true" outlineLevel="0" collapsed="false">
      <c r="A534" s="65" t="s">
        <v>439</v>
      </c>
      <c r="B534" s="65" t="s">
        <v>162</v>
      </c>
      <c r="C534" s="65" t="n">
        <v>1</v>
      </c>
      <c r="D534" s="66" t="str">
        <f aca="false">IFERROR(INDEX(المكونات!$B$2:$B$500,MATCH($B534,المكونات!$A$2:$A$500,0)),"")</f>
        <v>قطعة</v>
      </c>
      <c r="E534" s="67" t="n">
        <f aca="false">IFERROR(INDEX(المكونات!$C$2:$C$500,MATCH($B534,المكونات!$A$2:$A$500,0)),"")</f>
        <v>30</v>
      </c>
      <c r="F534" s="68" t="n">
        <f aca="false">IFERROR($C534*$E534,"")</f>
        <v>30</v>
      </c>
    </row>
    <row r="535" customFormat="false" ht="15" hidden="false" customHeight="true" outlineLevel="0" collapsed="false">
      <c r="A535" s="65" t="s">
        <v>439</v>
      </c>
      <c r="B535" s="65" t="s">
        <v>256</v>
      </c>
      <c r="C535" s="65" t="n">
        <v>0.1</v>
      </c>
      <c r="D535" s="66" t="str">
        <f aca="false">IFERROR(INDEX(المكونات!$B$2:$B$500,MATCH($B535,المكونات!$A$2:$A$500,0)),"")</f>
        <v>كجم</v>
      </c>
      <c r="E535" s="67" t="n">
        <f aca="false">IFERROR(INDEX(المكونات!$C$2:$C$500,MATCH($B535,المكونات!$A$2:$A$500,0)),"")</f>
        <v>105</v>
      </c>
      <c r="F535" s="68" t="n">
        <f aca="false">IFERROR($C535*$E535,"")</f>
        <v>10.5</v>
      </c>
    </row>
    <row r="536" customFormat="false" ht="15" hidden="false" customHeight="true" outlineLevel="0" collapsed="false">
      <c r="A536" s="65" t="s">
        <v>386</v>
      </c>
      <c r="B536" s="65" t="s">
        <v>264</v>
      </c>
      <c r="C536" s="65" t="n">
        <v>1.5</v>
      </c>
      <c r="D536" s="66" t="str">
        <f aca="false">IFERROR(INDEX(المكونات!$B$2:$B$500,MATCH($B536,المكونات!$A$2:$A$500,0)),"")</f>
        <v>قطعة</v>
      </c>
      <c r="E536" s="67" t="n">
        <f aca="false">IFERROR(INDEX(المكونات!$C$2:$C$500,MATCH($B536,المكونات!$A$2:$A$500,0)),"")</f>
        <v>4</v>
      </c>
      <c r="F536" s="68" t="n">
        <f aca="false">IFERROR($C536*$E536,"")</f>
        <v>6</v>
      </c>
    </row>
    <row r="537" customFormat="false" ht="15" hidden="false" customHeight="true" outlineLevel="0" collapsed="false">
      <c r="A537" s="65" t="s">
        <v>386</v>
      </c>
      <c r="B537" s="65" t="s">
        <v>260</v>
      </c>
      <c r="C537" s="65" t="n">
        <v>0.045</v>
      </c>
      <c r="D537" s="66" t="str">
        <f aca="false">IFERROR(INDEX(المكونات!$B$2:$B$500,MATCH($B537,المكونات!$A$2:$A$500,0)),"")</f>
        <v>كجم</v>
      </c>
      <c r="E537" s="67" t="n">
        <f aca="false">IFERROR(INDEX(المكونات!$C$2:$C$500,MATCH($B537,المكونات!$A$2:$A$500,0)),"")</f>
        <v>21</v>
      </c>
      <c r="F537" s="68" t="n">
        <f aca="false">IFERROR($C537*$E537,"")</f>
        <v>0.945</v>
      </c>
    </row>
    <row r="538" customFormat="false" ht="15" hidden="false" customHeight="true" outlineLevel="0" collapsed="false">
      <c r="A538" s="65" t="s">
        <v>386</v>
      </c>
      <c r="B538" s="65" t="s">
        <v>284</v>
      </c>
      <c r="C538" s="65" t="n">
        <v>0.03</v>
      </c>
      <c r="D538" s="66" t="str">
        <f aca="false">IFERROR(INDEX(المكونات!$B$2:$B$500,MATCH($B538,المكونات!$A$2:$A$500,0)),"")</f>
        <v>كجم</v>
      </c>
      <c r="E538" s="67" t="n">
        <f aca="false">IFERROR(INDEX(المكونات!$C$2:$C$500,MATCH($B538,المكونات!$A$2:$A$500,0)),"")</f>
        <v>27</v>
      </c>
      <c r="F538" s="68" t="n">
        <f aca="false">IFERROR($C538*$E538,"")</f>
        <v>0.81</v>
      </c>
    </row>
    <row r="539" customFormat="false" ht="15" hidden="false" customHeight="true" outlineLevel="0" collapsed="false">
      <c r="A539" s="65" t="s">
        <v>386</v>
      </c>
      <c r="B539" s="65" t="s">
        <v>227</v>
      </c>
      <c r="C539" s="65" t="n">
        <v>0.03</v>
      </c>
      <c r="D539" s="66" t="str">
        <f aca="false">IFERROR(INDEX(المكونات!$B$2:$B$500,MATCH($B539,المكونات!$A$2:$A$500,0)),"")</f>
        <v>كجم</v>
      </c>
      <c r="E539" s="67" t="n">
        <f aca="false">IFERROR(INDEX(المكونات!$C$2:$C$500,MATCH($B539,المكونات!$A$2:$A$500,0)),"")</f>
        <v>95</v>
      </c>
      <c r="F539" s="68" t="n">
        <f aca="false">IFERROR($C539*$E539,"")</f>
        <v>2.85</v>
      </c>
    </row>
    <row r="540" customFormat="false" ht="15" hidden="false" customHeight="true" outlineLevel="0" collapsed="false">
      <c r="A540" s="65" t="s">
        <v>386</v>
      </c>
      <c r="B540" s="65" t="s">
        <v>178</v>
      </c>
      <c r="C540" s="65" t="n">
        <v>1</v>
      </c>
      <c r="D540" s="66" t="str">
        <f aca="false">IFERROR(INDEX(المكونات!$B$2:$B$500,MATCH($B540,المكونات!$A$2:$A$500,0)),"")</f>
        <v>قطعة</v>
      </c>
      <c r="E540" s="67" t="n">
        <f aca="false">IFERROR(INDEX(المكونات!$C$2:$C$500,MATCH($B540,المكونات!$A$2:$A$500,0)),"")</f>
        <v>25</v>
      </c>
      <c r="F540" s="68" t="n">
        <f aca="false">IFERROR($C540*$E540,"")</f>
        <v>25</v>
      </c>
    </row>
    <row r="541" customFormat="false" ht="15" hidden="false" customHeight="true" outlineLevel="0" collapsed="false">
      <c r="A541" s="65" t="s">
        <v>386</v>
      </c>
      <c r="B541" s="65" t="s">
        <v>268</v>
      </c>
      <c r="C541" s="65" t="n">
        <v>1</v>
      </c>
      <c r="D541" s="66" t="str">
        <f aca="false">IFERROR(INDEX(المكونات!$B$2:$B$500,MATCH($B541,المكونات!$A$2:$A$500,0)),"")</f>
        <v>قطعة</v>
      </c>
      <c r="E541" s="67" t="n">
        <f aca="false">IFERROR(INDEX(المكونات!$C$2:$C$500,MATCH($B541,المكونات!$A$2:$A$500,0)),"")</f>
        <v>5.5</v>
      </c>
      <c r="F541" s="68" t="n">
        <f aca="false">IFERROR($C541*$E541,"")</f>
        <v>5.5</v>
      </c>
    </row>
    <row r="542" customFormat="false" ht="15" hidden="false" customHeight="true" outlineLevel="0" collapsed="false">
      <c r="A542" s="65" t="s">
        <v>386</v>
      </c>
      <c r="B542" s="65" t="s">
        <v>290</v>
      </c>
      <c r="C542" s="65" t="n">
        <v>3</v>
      </c>
      <c r="D542" s="66" t="str">
        <f aca="false">IFERROR(INDEX(المكونات!$B$2:$B$500,MATCH($B542,المكونات!$A$2:$A$500,0)),"")</f>
        <v>قطعة</v>
      </c>
      <c r="E542" s="67" t="n">
        <f aca="false">IFERROR(INDEX(المكونات!$C$2:$C$500,MATCH($B542,المكونات!$A$2:$A$500,0)),"")</f>
        <v>0.3</v>
      </c>
      <c r="F542" s="68" t="n">
        <f aca="false">IFERROR($C542*$E542,"")</f>
        <v>0.9</v>
      </c>
    </row>
    <row r="543" customFormat="false" ht="15" hidden="false" customHeight="true" outlineLevel="0" collapsed="false">
      <c r="A543" s="65" t="s">
        <v>386</v>
      </c>
      <c r="B543" s="65" t="s">
        <v>319</v>
      </c>
      <c r="C543" s="65" t="n">
        <v>1</v>
      </c>
      <c r="D543" s="66" t="str">
        <f aca="false">IFERROR(INDEX(المكونات!$B$2:$B$500,MATCH($B543,المكونات!$A$2:$A$500,0)),"")</f>
        <v>قطعة (ورقة)</v>
      </c>
      <c r="E543" s="67" t="n">
        <f aca="false">IFERROR(INDEX(المكونات!$C$2:$C$500,MATCH($B543,المكونات!$A$2:$A$500,0)),"")</f>
        <v>0.3665</v>
      </c>
      <c r="F543" s="68" t="n">
        <f aca="false">IFERROR($C543*$E543,"")</f>
        <v>0.3665</v>
      </c>
    </row>
    <row r="544" customFormat="false" ht="15" hidden="false" customHeight="true" outlineLevel="0" collapsed="false">
      <c r="A544" s="65" t="s">
        <v>386</v>
      </c>
      <c r="B544" s="65" t="s">
        <v>133</v>
      </c>
      <c r="C544" s="65" t="n">
        <v>1</v>
      </c>
      <c r="D544" s="66" t="str">
        <f aca="false">IFERROR(INDEX(المكونات!$B$2:$B$500,MATCH($B544,المكونات!$A$2:$A$500,0)),"")</f>
        <v>قطعة (كيس)</v>
      </c>
      <c r="E544" s="67" t="n">
        <f aca="false">IFERROR(INDEX(المكونات!$C$2:$C$500,MATCH($B544,المكونات!$A$2:$A$500,0)),"")</f>
        <v>1.4</v>
      </c>
      <c r="F544" s="68" t="n">
        <f aca="false">IFERROR($C544*$E544,"")</f>
        <v>1.4</v>
      </c>
    </row>
    <row r="545" customFormat="false" ht="15" hidden="false" customHeight="true" outlineLevel="0" collapsed="false">
      <c r="A545" s="65" t="s">
        <v>386</v>
      </c>
      <c r="B545" s="65" t="s">
        <v>293</v>
      </c>
      <c r="C545" s="65" t="n">
        <v>1</v>
      </c>
      <c r="D545" s="66" t="str">
        <f aca="false">IFERROR(INDEX(المكونات!$B$2:$B$500,MATCH($B545,المكونات!$A$2:$A$500,0)),"")</f>
        <v>قطعة</v>
      </c>
      <c r="E545" s="67" t="n">
        <f aca="false">IFERROR(INDEX(المكونات!$C$2:$C$500,MATCH($B545,المكونات!$A$2:$A$500,0)),"")</f>
        <v>0.5</v>
      </c>
      <c r="F545" s="68" t="n">
        <f aca="false">IFERROR($C545*$E545,"")</f>
        <v>0.5</v>
      </c>
    </row>
    <row r="546" customFormat="false" ht="15" hidden="false" customHeight="true" outlineLevel="0" collapsed="false">
      <c r="A546" s="65" t="s">
        <v>386</v>
      </c>
      <c r="B546" s="65" t="s">
        <v>211</v>
      </c>
      <c r="C546" s="65" t="n">
        <v>2</v>
      </c>
      <c r="D546" s="66" t="str">
        <f aca="false">IFERROR(INDEX(المكونات!$B$2:$B$500,MATCH($B546,المكونات!$A$2:$A$500,0)),"")</f>
        <v>قطعة (جلفز)</v>
      </c>
      <c r="E546" s="67" t="n">
        <f aca="false">IFERROR(INDEX(المكونات!$C$2:$C$500,MATCH($B546,المكونات!$A$2:$A$500,0)),"")</f>
        <v>0.18</v>
      </c>
      <c r="F546" s="68" t="n">
        <f aca="false">IFERROR($C546*$E546,"")</f>
        <v>0.36</v>
      </c>
    </row>
    <row r="547" customFormat="false" ht="15" hidden="false" customHeight="true" outlineLevel="0" collapsed="false">
      <c r="A547" s="65" t="s">
        <v>386</v>
      </c>
      <c r="B547" s="65" t="s">
        <v>322</v>
      </c>
      <c r="C547" s="65" t="n">
        <v>1</v>
      </c>
      <c r="D547" s="66" t="str">
        <f aca="false">IFERROR(INDEX(المكونات!$B$2:$B$500,MATCH($B547,المكونات!$A$2:$A$500,0)),"")</f>
        <v>قطعة (كيس)</v>
      </c>
      <c r="E547" s="67" t="n">
        <f aca="false">IFERROR(INDEX(المكونات!$C$2:$C$500,MATCH($B547,المكونات!$A$2:$A$500,0)),"")</f>
        <v>1</v>
      </c>
      <c r="F547" s="68" t="n">
        <f aca="false">IFERROR($C547*$E547,"")</f>
        <v>1</v>
      </c>
    </row>
    <row r="548" customFormat="false" ht="15" hidden="false" customHeight="true" outlineLevel="0" collapsed="false">
      <c r="A548" s="65" t="s">
        <v>386</v>
      </c>
      <c r="B548" s="65" t="s">
        <v>164</v>
      </c>
      <c r="C548" s="65" t="n">
        <v>1</v>
      </c>
      <c r="D548" s="66" t="str">
        <f aca="false">IFERROR(INDEX(المكونات!$B$2:$B$500,MATCH($B548,المكونات!$A$2:$A$500,0)),"")</f>
        <v>قطعة</v>
      </c>
      <c r="E548" s="67" t="n">
        <f aca="false">IFERROR(INDEX(المكونات!$C$2:$C$500,MATCH($B548,المكونات!$A$2:$A$500,0)),"")</f>
        <v>29</v>
      </c>
      <c r="F548" s="68" t="n">
        <f aca="false">IFERROR($C548*$E548,"")</f>
        <v>29</v>
      </c>
    </row>
    <row r="549" customFormat="false" ht="15" hidden="false" customHeight="true" outlineLevel="0" collapsed="false">
      <c r="A549" s="65" t="s">
        <v>386</v>
      </c>
      <c r="B549" s="65" t="s">
        <v>256</v>
      </c>
      <c r="C549" s="65" t="n">
        <v>0.15</v>
      </c>
      <c r="D549" s="66" t="str">
        <f aca="false">IFERROR(INDEX(المكونات!$B$2:$B$500,MATCH($B549,المكونات!$A$2:$A$500,0)),"")</f>
        <v>كجم</v>
      </c>
      <c r="E549" s="67" t="n">
        <f aca="false">IFERROR(INDEX(المكونات!$C$2:$C$500,MATCH($B549,المكونات!$A$2:$A$500,0)),"")</f>
        <v>105</v>
      </c>
      <c r="F549" s="68" t="n">
        <f aca="false">IFERROR($C549*$E549,"")</f>
        <v>15.75</v>
      </c>
    </row>
    <row r="550" customFormat="false" ht="15" hidden="false" customHeight="true" outlineLevel="0" collapsed="false">
      <c r="A550" s="65" t="s">
        <v>453</v>
      </c>
      <c r="B550" s="65" t="s">
        <v>264</v>
      </c>
      <c r="C550" s="65" t="n">
        <v>1</v>
      </c>
      <c r="D550" s="66" t="str">
        <f aca="false">IFERROR(INDEX(المكونات!$B$2:$B$500,MATCH($B550,المكونات!$A$2:$A$500,0)),"")</f>
        <v>قطعة</v>
      </c>
      <c r="E550" s="67" t="n">
        <f aca="false">IFERROR(INDEX(المكونات!$C$2:$C$500,MATCH($B550,المكونات!$A$2:$A$500,0)),"")</f>
        <v>4</v>
      </c>
      <c r="F550" s="68" t="n">
        <f aca="false">IFERROR($C550*$E550,"")</f>
        <v>4</v>
      </c>
    </row>
    <row r="551" customFormat="false" ht="15" hidden="false" customHeight="true" outlineLevel="0" collapsed="false">
      <c r="A551" s="65" t="s">
        <v>453</v>
      </c>
      <c r="B551" s="65" t="s">
        <v>260</v>
      </c>
      <c r="C551" s="65" t="n">
        <v>0.03</v>
      </c>
      <c r="D551" s="66" t="str">
        <f aca="false">IFERROR(INDEX(المكونات!$B$2:$B$500,MATCH($B551,المكونات!$A$2:$A$500,0)),"")</f>
        <v>كجم</v>
      </c>
      <c r="E551" s="67" t="n">
        <f aca="false">IFERROR(INDEX(المكونات!$C$2:$C$500,MATCH($B551,المكونات!$A$2:$A$500,0)),"")</f>
        <v>21</v>
      </c>
      <c r="F551" s="68" t="n">
        <f aca="false">IFERROR($C551*$E551,"")</f>
        <v>0.63</v>
      </c>
    </row>
    <row r="552" customFormat="false" ht="15" hidden="false" customHeight="true" outlineLevel="0" collapsed="false">
      <c r="A552" s="65" t="s">
        <v>453</v>
      </c>
      <c r="B552" s="65" t="s">
        <v>284</v>
      </c>
      <c r="C552" s="65" t="n">
        <v>0.02</v>
      </c>
      <c r="D552" s="66" t="str">
        <f aca="false">IFERROR(INDEX(المكونات!$B$2:$B$500,MATCH($B552,المكونات!$A$2:$A$500,0)),"")</f>
        <v>كجم</v>
      </c>
      <c r="E552" s="67" t="n">
        <f aca="false">IFERROR(INDEX(المكونات!$C$2:$C$500,MATCH($B552,المكونات!$A$2:$A$500,0)),"")</f>
        <v>27</v>
      </c>
      <c r="F552" s="68" t="n">
        <f aca="false">IFERROR($C552*$E552,"")</f>
        <v>0.54</v>
      </c>
    </row>
    <row r="553" customFormat="false" ht="15" hidden="false" customHeight="true" outlineLevel="0" collapsed="false">
      <c r="A553" s="65" t="s">
        <v>453</v>
      </c>
      <c r="B553" s="65" t="s">
        <v>227</v>
      </c>
      <c r="C553" s="65" t="n">
        <v>0.02</v>
      </c>
      <c r="D553" s="66" t="str">
        <f aca="false">IFERROR(INDEX(المكونات!$B$2:$B$500,MATCH($B553,المكونات!$A$2:$A$500,0)),"")</f>
        <v>كجم</v>
      </c>
      <c r="E553" s="67" t="n">
        <f aca="false">IFERROR(INDEX(المكونات!$C$2:$C$500,MATCH($B553,المكونات!$A$2:$A$500,0)),"")</f>
        <v>95</v>
      </c>
      <c r="F553" s="68" t="n">
        <f aca="false">IFERROR($C553*$E553,"")</f>
        <v>1.9</v>
      </c>
    </row>
    <row r="554" customFormat="false" ht="15" hidden="false" customHeight="true" outlineLevel="0" collapsed="false">
      <c r="A554" s="65" t="s">
        <v>453</v>
      </c>
      <c r="B554" s="65" t="s">
        <v>176</v>
      </c>
      <c r="C554" s="65" t="n">
        <v>1</v>
      </c>
      <c r="D554" s="66" t="str">
        <f aca="false">IFERROR(INDEX(المكونات!$B$2:$B$500,MATCH($B554,المكونات!$A$2:$A$500,0)),"")</f>
        <v>قطعة</v>
      </c>
      <c r="E554" s="67" t="n">
        <f aca="false">IFERROR(INDEX(المكونات!$C$2:$C$500,MATCH($B554,المكونات!$A$2:$A$500,0)),"")</f>
        <v>17.5</v>
      </c>
      <c r="F554" s="68" t="n">
        <f aca="false">IFERROR($C554*$E554,"")</f>
        <v>17.5</v>
      </c>
    </row>
    <row r="555" customFormat="false" ht="15" hidden="false" customHeight="true" outlineLevel="0" collapsed="false">
      <c r="A555" s="65" t="s">
        <v>453</v>
      </c>
      <c r="B555" s="65" t="s">
        <v>270</v>
      </c>
      <c r="C555" s="65" t="n">
        <v>1</v>
      </c>
      <c r="D555" s="66" t="str">
        <f aca="false">IFERROR(INDEX(المكونات!$B$2:$B$500,MATCH($B555,المكونات!$A$2:$A$500,0)),"")</f>
        <v>قطعة</v>
      </c>
      <c r="E555" s="67" t="n">
        <f aca="false">IFERROR(INDEX(المكونات!$C$2:$C$500,MATCH($B555,المكونات!$A$2:$A$500,0)),"")</f>
        <v>4.5</v>
      </c>
      <c r="F555" s="68" t="n">
        <f aca="false">IFERROR($C555*$E555,"")</f>
        <v>4.5</v>
      </c>
    </row>
    <row r="556" customFormat="false" ht="15" hidden="false" customHeight="true" outlineLevel="0" collapsed="false">
      <c r="A556" s="65" t="s">
        <v>453</v>
      </c>
      <c r="B556" s="65" t="s">
        <v>290</v>
      </c>
      <c r="C556" s="65" t="n">
        <v>2</v>
      </c>
      <c r="D556" s="66" t="str">
        <f aca="false">IFERROR(INDEX(المكونات!$B$2:$B$500,MATCH($B556,المكونات!$A$2:$A$500,0)),"")</f>
        <v>قطعة</v>
      </c>
      <c r="E556" s="67" t="n">
        <f aca="false">IFERROR(INDEX(المكونات!$C$2:$C$500,MATCH($B556,المكونات!$A$2:$A$500,0)),"")</f>
        <v>0.3</v>
      </c>
      <c r="F556" s="68" t="n">
        <f aca="false">IFERROR($C556*$E556,"")</f>
        <v>0.6</v>
      </c>
    </row>
    <row r="557" customFormat="false" ht="15" hidden="false" customHeight="true" outlineLevel="0" collapsed="false">
      <c r="A557" s="65" t="s">
        <v>453</v>
      </c>
      <c r="B557" s="65" t="s">
        <v>319</v>
      </c>
      <c r="C557" s="65" t="n">
        <v>1</v>
      </c>
      <c r="D557" s="66" t="str">
        <f aca="false">IFERROR(INDEX(المكونات!$B$2:$B$500,MATCH($B557,المكونات!$A$2:$A$500,0)),"")</f>
        <v>قطعة (ورقة)</v>
      </c>
      <c r="E557" s="67" t="n">
        <f aca="false">IFERROR(INDEX(المكونات!$C$2:$C$500,MATCH($B557,المكونات!$A$2:$A$500,0)),"")</f>
        <v>0.3665</v>
      </c>
      <c r="F557" s="68" t="n">
        <f aca="false">IFERROR($C557*$E557,"")</f>
        <v>0.3665</v>
      </c>
    </row>
    <row r="558" customFormat="false" ht="15" hidden="false" customHeight="true" outlineLevel="0" collapsed="false">
      <c r="A558" s="65" t="s">
        <v>453</v>
      </c>
      <c r="B558" s="65" t="s">
        <v>133</v>
      </c>
      <c r="C558" s="65" t="n">
        <v>1</v>
      </c>
      <c r="D558" s="66" t="str">
        <f aca="false">IFERROR(INDEX(المكونات!$B$2:$B$500,MATCH($B558,المكونات!$A$2:$A$500,0)),"")</f>
        <v>قطعة (كيس)</v>
      </c>
      <c r="E558" s="67" t="n">
        <f aca="false">IFERROR(INDEX(المكونات!$C$2:$C$500,MATCH($B558,المكونات!$A$2:$A$500,0)),"")</f>
        <v>1.4</v>
      </c>
      <c r="F558" s="68" t="n">
        <f aca="false">IFERROR($C558*$E558,"")</f>
        <v>1.4</v>
      </c>
    </row>
    <row r="559" customFormat="false" ht="15" hidden="false" customHeight="true" outlineLevel="0" collapsed="false">
      <c r="A559" s="65" t="s">
        <v>453</v>
      </c>
      <c r="B559" s="65" t="s">
        <v>293</v>
      </c>
      <c r="C559" s="65" t="n">
        <v>1</v>
      </c>
      <c r="D559" s="66" t="str">
        <f aca="false">IFERROR(INDEX(المكونات!$B$2:$B$500,MATCH($B559,المكونات!$A$2:$A$500,0)),"")</f>
        <v>قطعة</v>
      </c>
      <c r="E559" s="67" t="n">
        <f aca="false">IFERROR(INDEX(المكونات!$C$2:$C$500,MATCH($B559,المكونات!$A$2:$A$500,0)),"")</f>
        <v>0.5</v>
      </c>
      <c r="F559" s="68" t="n">
        <f aca="false">IFERROR($C559*$E559,"")</f>
        <v>0.5</v>
      </c>
    </row>
    <row r="560" customFormat="false" ht="15" hidden="false" customHeight="true" outlineLevel="0" collapsed="false">
      <c r="A560" s="65" t="s">
        <v>453</v>
      </c>
      <c r="B560" s="65" t="s">
        <v>211</v>
      </c>
      <c r="C560" s="65" t="n">
        <v>2</v>
      </c>
      <c r="D560" s="66" t="str">
        <f aca="false">IFERROR(INDEX(المكونات!$B$2:$B$500,MATCH($B560,المكونات!$A$2:$A$500,0)),"")</f>
        <v>قطعة (جلفز)</v>
      </c>
      <c r="E560" s="67" t="n">
        <f aca="false">IFERROR(INDEX(المكونات!$C$2:$C$500,MATCH($B560,المكونات!$A$2:$A$500,0)),"")</f>
        <v>0.18</v>
      </c>
      <c r="F560" s="68" t="n">
        <f aca="false">IFERROR($C560*$E560,"")</f>
        <v>0.36</v>
      </c>
    </row>
    <row r="561" customFormat="false" ht="15" hidden="false" customHeight="true" outlineLevel="0" collapsed="false">
      <c r="A561" s="65" t="s">
        <v>453</v>
      </c>
      <c r="B561" s="65" t="s">
        <v>322</v>
      </c>
      <c r="C561" s="65" t="n">
        <v>1</v>
      </c>
      <c r="D561" s="66" t="str">
        <f aca="false">IFERROR(INDEX(المكونات!$B$2:$B$500,MATCH($B561,المكونات!$A$2:$A$500,0)),"")</f>
        <v>قطعة (كيس)</v>
      </c>
      <c r="E561" s="67" t="n">
        <f aca="false">IFERROR(INDEX(المكونات!$C$2:$C$500,MATCH($B561,المكونات!$A$2:$A$500,0)),"")</f>
        <v>1</v>
      </c>
      <c r="F561" s="68" t="n">
        <f aca="false">IFERROR($C561*$E561,"")</f>
        <v>1</v>
      </c>
    </row>
    <row r="562" customFormat="false" ht="15" hidden="false" customHeight="true" outlineLevel="0" collapsed="false">
      <c r="A562" s="65" t="s">
        <v>453</v>
      </c>
      <c r="B562" s="65" t="s">
        <v>162</v>
      </c>
      <c r="C562" s="65" t="n">
        <v>1</v>
      </c>
      <c r="D562" s="66" t="str">
        <f aca="false">IFERROR(INDEX(المكونات!$B$2:$B$500,MATCH($B562,المكونات!$A$2:$A$500,0)),"")</f>
        <v>قطعة</v>
      </c>
      <c r="E562" s="67" t="n">
        <f aca="false">IFERROR(INDEX(المكونات!$C$2:$C$500,MATCH($B562,المكونات!$A$2:$A$500,0)),"")</f>
        <v>30</v>
      </c>
      <c r="F562" s="68" t="n">
        <f aca="false">IFERROR($C562*$E562,"")</f>
        <v>30</v>
      </c>
    </row>
    <row r="563" customFormat="false" ht="15" hidden="false" customHeight="true" outlineLevel="0" collapsed="false">
      <c r="A563" s="65" t="s">
        <v>453</v>
      </c>
      <c r="B563" s="65" t="s">
        <v>258</v>
      </c>
      <c r="C563" s="65" t="n">
        <v>0.1</v>
      </c>
      <c r="D563" s="66" t="str">
        <f aca="false">IFERROR(INDEX(المكونات!$B$2:$B$500,MATCH($B563,المكونات!$A$2:$A$500,0)),"")</f>
        <v>كجم</v>
      </c>
      <c r="E563" s="67" t="n">
        <f aca="false">IFERROR(INDEX(المكونات!$C$2:$C$500,MATCH($B563,المكونات!$A$2:$A$500,0)),"")</f>
        <v>140</v>
      </c>
      <c r="F563" s="68" t="n">
        <f aca="false">IFERROR($C563*$E563,"")</f>
        <v>14</v>
      </c>
    </row>
    <row r="564" customFormat="false" ht="15" hidden="false" customHeight="true" outlineLevel="0" collapsed="false">
      <c r="A564" s="65" t="s">
        <v>391</v>
      </c>
      <c r="B564" s="65" t="s">
        <v>264</v>
      </c>
      <c r="C564" s="65" t="n">
        <v>1.5</v>
      </c>
      <c r="D564" s="66" t="str">
        <f aca="false">IFERROR(INDEX(المكونات!$B$2:$B$500,MATCH($B564,المكونات!$A$2:$A$500,0)),"")</f>
        <v>قطعة</v>
      </c>
      <c r="E564" s="67" t="n">
        <f aca="false">IFERROR(INDEX(المكونات!$C$2:$C$500,MATCH($B564,المكونات!$A$2:$A$500,0)),"")</f>
        <v>4</v>
      </c>
      <c r="F564" s="68" t="n">
        <f aca="false">IFERROR($C564*$E564,"")</f>
        <v>6</v>
      </c>
    </row>
    <row r="565" customFormat="false" ht="15" hidden="false" customHeight="true" outlineLevel="0" collapsed="false">
      <c r="A565" s="65" t="s">
        <v>391</v>
      </c>
      <c r="B565" s="65" t="s">
        <v>260</v>
      </c>
      <c r="C565" s="65" t="n">
        <v>0.045</v>
      </c>
      <c r="D565" s="66" t="str">
        <f aca="false">IFERROR(INDEX(المكونات!$B$2:$B$500,MATCH($B565,المكونات!$A$2:$A$500,0)),"")</f>
        <v>كجم</v>
      </c>
      <c r="E565" s="67" t="n">
        <f aca="false">IFERROR(INDEX(المكونات!$C$2:$C$500,MATCH($B565,المكونات!$A$2:$A$500,0)),"")</f>
        <v>21</v>
      </c>
      <c r="F565" s="68" t="n">
        <f aca="false">IFERROR($C565*$E565,"")</f>
        <v>0.945</v>
      </c>
    </row>
    <row r="566" customFormat="false" ht="15" hidden="false" customHeight="true" outlineLevel="0" collapsed="false">
      <c r="A566" s="65" t="s">
        <v>391</v>
      </c>
      <c r="B566" s="65" t="s">
        <v>284</v>
      </c>
      <c r="C566" s="65" t="n">
        <v>0.03</v>
      </c>
      <c r="D566" s="66" t="str">
        <f aca="false">IFERROR(INDEX(المكونات!$B$2:$B$500,MATCH($B566,المكونات!$A$2:$A$500,0)),"")</f>
        <v>كجم</v>
      </c>
      <c r="E566" s="67" t="n">
        <f aca="false">IFERROR(INDEX(المكونات!$C$2:$C$500,MATCH($B566,المكونات!$A$2:$A$500,0)),"")</f>
        <v>27</v>
      </c>
      <c r="F566" s="68" t="n">
        <f aca="false">IFERROR($C566*$E566,"")</f>
        <v>0.81</v>
      </c>
    </row>
    <row r="567" customFormat="false" ht="15" hidden="false" customHeight="true" outlineLevel="0" collapsed="false">
      <c r="A567" s="65" t="s">
        <v>391</v>
      </c>
      <c r="B567" s="65" t="s">
        <v>227</v>
      </c>
      <c r="C567" s="65" t="n">
        <v>0.03</v>
      </c>
      <c r="D567" s="66" t="str">
        <f aca="false">IFERROR(INDEX(المكونات!$B$2:$B$500,MATCH($B567,المكونات!$A$2:$A$500,0)),"")</f>
        <v>كجم</v>
      </c>
      <c r="E567" s="67" t="n">
        <f aca="false">IFERROR(INDEX(المكونات!$C$2:$C$500,MATCH($B567,المكونات!$A$2:$A$500,0)),"")</f>
        <v>95</v>
      </c>
      <c r="F567" s="68" t="n">
        <f aca="false">IFERROR($C567*$E567,"")</f>
        <v>2.85</v>
      </c>
    </row>
    <row r="568" customFormat="false" ht="15" hidden="false" customHeight="true" outlineLevel="0" collapsed="false">
      <c r="A568" s="65" t="s">
        <v>391</v>
      </c>
      <c r="B568" s="65" t="s">
        <v>178</v>
      </c>
      <c r="C568" s="65" t="n">
        <v>1</v>
      </c>
      <c r="D568" s="66" t="str">
        <f aca="false">IFERROR(INDEX(المكونات!$B$2:$B$500,MATCH($B568,المكونات!$A$2:$A$500,0)),"")</f>
        <v>قطعة</v>
      </c>
      <c r="E568" s="67" t="n">
        <f aca="false">IFERROR(INDEX(المكونات!$C$2:$C$500,MATCH($B568,المكونات!$A$2:$A$500,0)),"")</f>
        <v>25</v>
      </c>
      <c r="F568" s="68" t="n">
        <f aca="false">IFERROR($C568*$E568,"")</f>
        <v>25</v>
      </c>
    </row>
    <row r="569" customFormat="false" ht="15" hidden="false" customHeight="true" outlineLevel="0" collapsed="false">
      <c r="A569" s="65" t="s">
        <v>391</v>
      </c>
      <c r="B569" s="65" t="s">
        <v>268</v>
      </c>
      <c r="C569" s="65" t="n">
        <v>1</v>
      </c>
      <c r="D569" s="66" t="str">
        <f aca="false">IFERROR(INDEX(المكونات!$B$2:$B$500,MATCH($B569,المكونات!$A$2:$A$500,0)),"")</f>
        <v>قطعة</v>
      </c>
      <c r="E569" s="67" t="n">
        <f aca="false">IFERROR(INDEX(المكونات!$C$2:$C$500,MATCH($B569,المكونات!$A$2:$A$500,0)),"")</f>
        <v>5.5</v>
      </c>
      <c r="F569" s="68" t="n">
        <f aca="false">IFERROR($C569*$E569,"")</f>
        <v>5.5</v>
      </c>
    </row>
    <row r="570" customFormat="false" ht="15" hidden="false" customHeight="true" outlineLevel="0" collapsed="false">
      <c r="A570" s="65" t="s">
        <v>391</v>
      </c>
      <c r="B570" s="65" t="s">
        <v>290</v>
      </c>
      <c r="C570" s="65" t="n">
        <v>3</v>
      </c>
      <c r="D570" s="66" t="str">
        <f aca="false">IFERROR(INDEX(المكونات!$B$2:$B$500,MATCH($B570,المكونات!$A$2:$A$500,0)),"")</f>
        <v>قطعة</v>
      </c>
      <c r="E570" s="67" t="n">
        <f aca="false">IFERROR(INDEX(المكونات!$C$2:$C$500,MATCH($B570,المكونات!$A$2:$A$500,0)),"")</f>
        <v>0.3</v>
      </c>
      <c r="F570" s="68" t="n">
        <f aca="false">IFERROR($C570*$E570,"")</f>
        <v>0.9</v>
      </c>
    </row>
    <row r="571" customFormat="false" ht="15" hidden="false" customHeight="true" outlineLevel="0" collapsed="false">
      <c r="A571" s="65" t="s">
        <v>391</v>
      </c>
      <c r="B571" s="65" t="s">
        <v>319</v>
      </c>
      <c r="C571" s="65" t="n">
        <v>1</v>
      </c>
      <c r="D571" s="66" t="str">
        <f aca="false">IFERROR(INDEX(المكونات!$B$2:$B$500,MATCH($B571,المكونات!$A$2:$A$500,0)),"")</f>
        <v>قطعة (ورقة)</v>
      </c>
      <c r="E571" s="67" t="n">
        <f aca="false">IFERROR(INDEX(المكونات!$C$2:$C$500,MATCH($B571,المكونات!$A$2:$A$500,0)),"")</f>
        <v>0.3665</v>
      </c>
      <c r="F571" s="68" t="n">
        <f aca="false">IFERROR($C571*$E571,"")</f>
        <v>0.3665</v>
      </c>
    </row>
    <row r="572" customFormat="false" ht="15" hidden="false" customHeight="true" outlineLevel="0" collapsed="false">
      <c r="A572" s="65" t="s">
        <v>391</v>
      </c>
      <c r="B572" s="65" t="s">
        <v>133</v>
      </c>
      <c r="C572" s="65" t="n">
        <v>1</v>
      </c>
      <c r="D572" s="66" t="str">
        <f aca="false">IFERROR(INDEX(المكونات!$B$2:$B$500,MATCH($B572,المكونات!$A$2:$A$500,0)),"")</f>
        <v>قطعة (كيس)</v>
      </c>
      <c r="E572" s="67" t="n">
        <f aca="false">IFERROR(INDEX(المكونات!$C$2:$C$500,MATCH($B572,المكونات!$A$2:$A$500,0)),"")</f>
        <v>1.4</v>
      </c>
      <c r="F572" s="68" t="n">
        <f aca="false">IFERROR($C572*$E572,"")</f>
        <v>1.4</v>
      </c>
    </row>
    <row r="573" customFormat="false" ht="15" hidden="false" customHeight="true" outlineLevel="0" collapsed="false">
      <c r="A573" s="65" t="s">
        <v>391</v>
      </c>
      <c r="B573" s="65" t="s">
        <v>293</v>
      </c>
      <c r="C573" s="65" t="n">
        <v>1</v>
      </c>
      <c r="D573" s="66" t="str">
        <f aca="false">IFERROR(INDEX(المكونات!$B$2:$B$500,MATCH($B573,المكونات!$A$2:$A$500,0)),"")</f>
        <v>قطعة</v>
      </c>
      <c r="E573" s="67" t="n">
        <f aca="false">IFERROR(INDEX(المكونات!$C$2:$C$500,MATCH($B573,المكونات!$A$2:$A$500,0)),"")</f>
        <v>0.5</v>
      </c>
      <c r="F573" s="68" t="n">
        <f aca="false">IFERROR($C573*$E573,"")</f>
        <v>0.5</v>
      </c>
    </row>
    <row r="574" customFormat="false" ht="15" hidden="false" customHeight="true" outlineLevel="0" collapsed="false">
      <c r="A574" s="65" t="s">
        <v>391</v>
      </c>
      <c r="B574" s="65" t="s">
        <v>211</v>
      </c>
      <c r="C574" s="65" t="n">
        <v>2</v>
      </c>
      <c r="D574" s="66" t="str">
        <f aca="false">IFERROR(INDEX(المكونات!$B$2:$B$500,MATCH($B574,المكونات!$A$2:$A$500,0)),"")</f>
        <v>قطعة (جلفز)</v>
      </c>
      <c r="E574" s="67" t="n">
        <f aca="false">IFERROR(INDEX(المكونات!$C$2:$C$500,MATCH($B574,المكونات!$A$2:$A$500,0)),"")</f>
        <v>0.18</v>
      </c>
      <c r="F574" s="68" t="n">
        <f aca="false">IFERROR($C574*$E574,"")</f>
        <v>0.36</v>
      </c>
    </row>
    <row r="575" customFormat="false" ht="15" hidden="false" customHeight="true" outlineLevel="0" collapsed="false">
      <c r="A575" s="65" t="s">
        <v>391</v>
      </c>
      <c r="B575" s="65" t="s">
        <v>322</v>
      </c>
      <c r="C575" s="65" t="n">
        <v>1</v>
      </c>
      <c r="D575" s="66" t="str">
        <f aca="false">IFERROR(INDEX(المكونات!$B$2:$B$500,MATCH($B575,المكونات!$A$2:$A$500,0)),"")</f>
        <v>قطعة (كيس)</v>
      </c>
      <c r="E575" s="67" t="n">
        <f aca="false">IFERROR(INDEX(المكونات!$C$2:$C$500,MATCH($B575,المكونات!$A$2:$A$500,0)),"")</f>
        <v>1</v>
      </c>
      <c r="F575" s="68" t="n">
        <f aca="false">IFERROR($C575*$E575,"")</f>
        <v>1</v>
      </c>
    </row>
    <row r="576" customFormat="false" ht="15" hidden="false" customHeight="true" outlineLevel="0" collapsed="false">
      <c r="A576" s="65" t="s">
        <v>391</v>
      </c>
      <c r="B576" s="65" t="s">
        <v>164</v>
      </c>
      <c r="C576" s="65" t="n">
        <v>1</v>
      </c>
      <c r="D576" s="66" t="str">
        <f aca="false">IFERROR(INDEX(المكونات!$B$2:$B$500,MATCH($B576,المكونات!$A$2:$A$500,0)),"")</f>
        <v>قطعة</v>
      </c>
      <c r="E576" s="67" t="n">
        <f aca="false">IFERROR(INDEX(المكونات!$C$2:$C$500,MATCH($B576,المكونات!$A$2:$A$500,0)),"")</f>
        <v>29</v>
      </c>
      <c r="F576" s="68" t="n">
        <f aca="false">IFERROR($C576*$E576,"")</f>
        <v>29</v>
      </c>
    </row>
    <row r="577" customFormat="false" ht="15" hidden="false" customHeight="true" outlineLevel="0" collapsed="false">
      <c r="A577" s="65" t="s">
        <v>391</v>
      </c>
      <c r="B577" s="65" t="s">
        <v>258</v>
      </c>
      <c r="C577" s="65" t="n">
        <v>0.15</v>
      </c>
      <c r="D577" s="66" t="str">
        <f aca="false">IFERROR(INDEX(المكونات!$B$2:$B$500,MATCH($B577,المكونات!$A$2:$A$500,0)),"")</f>
        <v>كجم</v>
      </c>
      <c r="E577" s="67" t="n">
        <f aca="false">IFERROR(INDEX(المكونات!$C$2:$C$500,MATCH($B577,المكونات!$A$2:$A$500,0)),"")</f>
        <v>140</v>
      </c>
      <c r="F577" s="68" t="n">
        <f aca="false">IFERROR($C577*$E577,"")</f>
        <v>21</v>
      </c>
    </row>
    <row r="578" customFormat="false" ht="15" hidden="false" customHeight="true" outlineLevel="0" collapsed="false">
      <c r="A578" s="65" t="s">
        <v>473</v>
      </c>
      <c r="B578" s="65" t="s">
        <v>264</v>
      </c>
      <c r="C578" s="65" t="n">
        <v>1</v>
      </c>
      <c r="D578" s="66" t="str">
        <f aca="false">IFERROR(INDEX(المكونات!$B$2:$B$500,MATCH($B578,المكونات!$A$2:$A$500,0)),"")</f>
        <v>قطعة</v>
      </c>
      <c r="E578" s="67" t="n">
        <f aca="false">IFERROR(INDEX(المكونات!$C$2:$C$500,MATCH($B578,المكونات!$A$2:$A$500,0)),"")</f>
        <v>4</v>
      </c>
      <c r="F578" s="68" t="n">
        <f aca="false">IFERROR($C578*$E578,"")</f>
        <v>4</v>
      </c>
    </row>
    <row r="579" customFormat="false" ht="15" hidden="false" customHeight="true" outlineLevel="0" collapsed="false">
      <c r="A579" s="65" t="s">
        <v>473</v>
      </c>
      <c r="B579" s="65" t="s">
        <v>260</v>
      </c>
      <c r="C579" s="65" t="n">
        <v>0.03</v>
      </c>
      <c r="D579" s="66" t="str">
        <f aca="false">IFERROR(INDEX(المكونات!$B$2:$B$500,MATCH($B579,المكونات!$A$2:$A$500,0)),"")</f>
        <v>كجم</v>
      </c>
      <c r="E579" s="67" t="n">
        <f aca="false">IFERROR(INDEX(المكونات!$C$2:$C$500,MATCH($B579,المكونات!$A$2:$A$500,0)),"")</f>
        <v>21</v>
      </c>
      <c r="F579" s="68" t="n">
        <f aca="false">IFERROR($C579*$E579,"")</f>
        <v>0.63</v>
      </c>
    </row>
    <row r="580" customFormat="false" ht="15" hidden="false" customHeight="true" outlineLevel="0" collapsed="false">
      <c r="A580" s="65" t="s">
        <v>473</v>
      </c>
      <c r="B580" s="65" t="s">
        <v>284</v>
      </c>
      <c r="C580" s="65" t="n">
        <v>0.02</v>
      </c>
      <c r="D580" s="66" t="str">
        <f aca="false">IFERROR(INDEX(المكونات!$B$2:$B$500,MATCH($B580,المكونات!$A$2:$A$500,0)),"")</f>
        <v>كجم</v>
      </c>
      <c r="E580" s="67" t="n">
        <f aca="false">IFERROR(INDEX(المكونات!$C$2:$C$500,MATCH($B580,المكونات!$A$2:$A$500,0)),"")</f>
        <v>27</v>
      </c>
      <c r="F580" s="68" t="n">
        <f aca="false">IFERROR($C580*$E580,"")</f>
        <v>0.54</v>
      </c>
    </row>
    <row r="581" customFormat="false" ht="15" hidden="false" customHeight="true" outlineLevel="0" collapsed="false">
      <c r="A581" s="65" t="s">
        <v>473</v>
      </c>
      <c r="B581" s="65" t="s">
        <v>227</v>
      </c>
      <c r="C581" s="65" t="n">
        <v>0.02</v>
      </c>
      <c r="D581" s="66" t="str">
        <f aca="false">IFERROR(INDEX(المكونات!$B$2:$B$500,MATCH($B581,المكونات!$A$2:$A$500,0)),"")</f>
        <v>كجم</v>
      </c>
      <c r="E581" s="67" t="n">
        <f aca="false">IFERROR(INDEX(المكونات!$C$2:$C$500,MATCH($B581,المكونات!$A$2:$A$500,0)),"")</f>
        <v>95</v>
      </c>
      <c r="F581" s="68" t="n">
        <f aca="false">IFERROR($C581*$E581,"")</f>
        <v>1.9</v>
      </c>
    </row>
    <row r="582" customFormat="false" ht="15" hidden="false" customHeight="true" outlineLevel="0" collapsed="false">
      <c r="A582" s="65" t="s">
        <v>473</v>
      </c>
      <c r="B582" s="65" t="s">
        <v>176</v>
      </c>
      <c r="C582" s="65" t="n">
        <v>1</v>
      </c>
      <c r="D582" s="66" t="str">
        <f aca="false">IFERROR(INDEX(المكونات!$B$2:$B$500,MATCH($B582,المكونات!$A$2:$A$500,0)),"")</f>
        <v>قطعة</v>
      </c>
      <c r="E582" s="67" t="n">
        <f aca="false">IFERROR(INDEX(المكونات!$C$2:$C$500,MATCH($B582,المكونات!$A$2:$A$500,0)),"")</f>
        <v>17.5</v>
      </c>
      <c r="F582" s="68" t="n">
        <f aca="false">IFERROR($C582*$E582,"")</f>
        <v>17.5</v>
      </c>
    </row>
    <row r="583" customFormat="false" ht="15" hidden="false" customHeight="true" outlineLevel="0" collapsed="false">
      <c r="A583" s="65" t="s">
        <v>473</v>
      </c>
      <c r="B583" s="65" t="s">
        <v>270</v>
      </c>
      <c r="C583" s="65" t="n">
        <v>1</v>
      </c>
      <c r="D583" s="66" t="str">
        <f aca="false">IFERROR(INDEX(المكونات!$B$2:$B$500,MATCH($B583,المكونات!$A$2:$A$500,0)),"")</f>
        <v>قطعة</v>
      </c>
      <c r="E583" s="67" t="n">
        <f aca="false">IFERROR(INDEX(المكونات!$C$2:$C$500,MATCH($B583,المكونات!$A$2:$A$500,0)),"")</f>
        <v>4.5</v>
      </c>
      <c r="F583" s="68" t="n">
        <f aca="false">IFERROR($C583*$E583,"")</f>
        <v>4.5</v>
      </c>
    </row>
    <row r="584" customFormat="false" ht="15" hidden="false" customHeight="true" outlineLevel="0" collapsed="false">
      <c r="A584" s="65" t="s">
        <v>473</v>
      </c>
      <c r="B584" s="65" t="s">
        <v>290</v>
      </c>
      <c r="C584" s="65" t="n">
        <v>2</v>
      </c>
      <c r="D584" s="66" t="str">
        <f aca="false">IFERROR(INDEX(المكونات!$B$2:$B$500,MATCH($B584,المكونات!$A$2:$A$500,0)),"")</f>
        <v>قطعة</v>
      </c>
      <c r="E584" s="67" t="n">
        <f aca="false">IFERROR(INDEX(المكونات!$C$2:$C$500,MATCH($B584,المكونات!$A$2:$A$500,0)),"")</f>
        <v>0.3</v>
      </c>
      <c r="F584" s="68" t="n">
        <f aca="false">IFERROR($C584*$E584,"")</f>
        <v>0.6</v>
      </c>
    </row>
    <row r="585" customFormat="false" ht="15" hidden="false" customHeight="true" outlineLevel="0" collapsed="false">
      <c r="A585" s="65" t="s">
        <v>473</v>
      </c>
      <c r="B585" s="65" t="s">
        <v>319</v>
      </c>
      <c r="C585" s="65" t="n">
        <v>1</v>
      </c>
      <c r="D585" s="66" t="str">
        <f aca="false">IFERROR(INDEX(المكونات!$B$2:$B$500,MATCH($B585,المكونات!$A$2:$A$500,0)),"")</f>
        <v>قطعة (ورقة)</v>
      </c>
      <c r="E585" s="67" t="n">
        <f aca="false">IFERROR(INDEX(المكونات!$C$2:$C$500,MATCH($B585,المكونات!$A$2:$A$500,0)),"")</f>
        <v>0.3665</v>
      </c>
      <c r="F585" s="68" t="n">
        <f aca="false">IFERROR($C585*$E585,"")</f>
        <v>0.3665</v>
      </c>
    </row>
    <row r="586" customFormat="false" ht="15" hidden="false" customHeight="true" outlineLevel="0" collapsed="false">
      <c r="A586" s="65" t="s">
        <v>473</v>
      </c>
      <c r="B586" s="65" t="s">
        <v>133</v>
      </c>
      <c r="C586" s="65" t="n">
        <v>1</v>
      </c>
      <c r="D586" s="66" t="str">
        <f aca="false">IFERROR(INDEX(المكونات!$B$2:$B$500,MATCH($B586,المكونات!$A$2:$A$500,0)),"")</f>
        <v>قطعة (كيس)</v>
      </c>
      <c r="E586" s="67" t="n">
        <f aca="false">IFERROR(INDEX(المكونات!$C$2:$C$500,MATCH($B586,المكونات!$A$2:$A$500,0)),"")</f>
        <v>1.4</v>
      </c>
      <c r="F586" s="68" t="n">
        <f aca="false">IFERROR($C586*$E586,"")</f>
        <v>1.4</v>
      </c>
    </row>
    <row r="587" customFormat="false" ht="15" hidden="false" customHeight="true" outlineLevel="0" collapsed="false">
      <c r="A587" s="65" t="s">
        <v>473</v>
      </c>
      <c r="B587" s="65" t="s">
        <v>293</v>
      </c>
      <c r="C587" s="65" t="n">
        <v>1</v>
      </c>
      <c r="D587" s="66" t="str">
        <f aca="false">IFERROR(INDEX(المكونات!$B$2:$B$500,MATCH($B587,المكونات!$A$2:$A$500,0)),"")</f>
        <v>قطعة</v>
      </c>
      <c r="E587" s="67" t="n">
        <f aca="false">IFERROR(INDEX(المكونات!$C$2:$C$500,MATCH($B587,المكونات!$A$2:$A$500,0)),"")</f>
        <v>0.5</v>
      </c>
      <c r="F587" s="68" t="n">
        <f aca="false">IFERROR($C587*$E587,"")</f>
        <v>0.5</v>
      </c>
    </row>
    <row r="588" customFormat="false" ht="15" hidden="false" customHeight="true" outlineLevel="0" collapsed="false">
      <c r="A588" s="65" t="s">
        <v>473</v>
      </c>
      <c r="B588" s="65" t="s">
        <v>211</v>
      </c>
      <c r="C588" s="65" t="n">
        <v>2</v>
      </c>
      <c r="D588" s="66" t="str">
        <f aca="false">IFERROR(INDEX(المكونات!$B$2:$B$500,MATCH($B588,المكونات!$A$2:$A$500,0)),"")</f>
        <v>قطعة (جلفز)</v>
      </c>
      <c r="E588" s="67" t="n">
        <f aca="false">IFERROR(INDEX(المكونات!$C$2:$C$500,MATCH($B588,المكونات!$A$2:$A$500,0)),"")</f>
        <v>0.18</v>
      </c>
      <c r="F588" s="68" t="n">
        <f aca="false">IFERROR($C588*$E588,"")</f>
        <v>0.36</v>
      </c>
    </row>
    <row r="589" customFormat="false" ht="15" hidden="false" customHeight="true" outlineLevel="0" collapsed="false">
      <c r="A589" s="65" t="s">
        <v>473</v>
      </c>
      <c r="B589" s="65" t="s">
        <v>322</v>
      </c>
      <c r="C589" s="65" t="n">
        <v>1</v>
      </c>
      <c r="D589" s="66" t="str">
        <f aca="false">IFERROR(INDEX(المكونات!$B$2:$B$500,MATCH($B589,المكونات!$A$2:$A$500,0)),"")</f>
        <v>قطعة (كيس)</v>
      </c>
      <c r="E589" s="67" t="n">
        <f aca="false">IFERROR(INDEX(المكونات!$C$2:$C$500,MATCH($B589,المكونات!$A$2:$A$500,0)),"")</f>
        <v>1</v>
      </c>
      <c r="F589" s="68" t="n">
        <f aca="false">IFERROR($C589*$E589,"")</f>
        <v>1</v>
      </c>
    </row>
    <row r="590" customFormat="false" ht="15" hidden="false" customHeight="true" outlineLevel="0" collapsed="false">
      <c r="A590" s="65" t="s">
        <v>473</v>
      </c>
      <c r="B590" s="65" t="s">
        <v>142</v>
      </c>
      <c r="C590" s="65" t="n">
        <v>1</v>
      </c>
      <c r="D590" s="66" t="str">
        <f aca="false">IFERROR(INDEX(المكونات!$B$2:$B$500,MATCH($B590,المكونات!$A$2:$A$500,0)),"")</f>
        <v>قطعة</v>
      </c>
      <c r="E590" s="67" t="n">
        <f aca="false">IFERROR(INDEX(المكونات!$C$2:$C$500,MATCH($B590,المكونات!$A$2:$A$500,0)),"")</f>
        <v>35</v>
      </c>
      <c r="F590" s="68" t="n">
        <f aca="false">IFERROR($C590*$E590,"")</f>
        <v>35</v>
      </c>
    </row>
    <row r="591" customFormat="false" ht="15" hidden="false" customHeight="true" outlineLevel="0" collapsed="false">
      <c r="A591" s="65" t="s">
        <v>473</v>
      </c>
      <c r="B591" s="65" t="s">
        <v>152</v>
      </c>
      <c r="C591" s="65" t="n">
        <v>1</v>
      </c>
      <c r="D591" s="66" t="str">
        <f aca="false">IFERROR(INDEX(المكونات!$B$2:$B$500,MATCH($B591,المكونات!$A$2:$A$500,0)),"")</f>
        <v>قطعة</v>
      </c>
      <c r="E591" s="67" t="n">
        <f aca="false">IFERROR(INDEX(المكونات!$C$2:$C$500,MATCH($B591,المكونات!$A$2:$A$500,0)),"")</f>
        <v>34</v>
      </c>
      <c r="F591" s="68" t="n">
        <f aca="false">IFERROR($C591*$E591,"")</f>
        <v>34</v>
      </c>
    </row>
    <row r="592" customFormat="false" ht="15" hidden="false" customHeight="true" outlineLevel="0" collapsed="false">
      <c r="A592" s="65" t="s">
        <v>473</v>
      </c>
      <c r="B592" s="65" t="s">
        <v>168</v>
      </c>
      <c r="C592" s="65" t="n">
        <v>1</v>
      </c>
      <c r="D592" s="66" t="str">
        <f aca="false">IFERROR(INDEX(المكونات!$B$2:$B$500,MATCH($B592,المكونات!$A$2:$A$500,0)),"")</f>
        <v>قطعة</v>
      </c>
      <c r="E592" s="67" t="n">
        <f aca="false">IFERROR(INDEX(المكونات!$C$2:$C$500,MATCH($B592,المكونات!$A$2:$A$500,0)),"")</f>
        <v>21</v>
      </c>
      <c r="F592" s="68" t="n">
        <f aca="false">IFERROR($C592*$E592,"")</f>
        <v>21</v>
      </c>
    </row>
    <row r="593" customFormat="false" ht="15" hidden="false" customHeight="true" outlineLevel="0" collapsed="false">
      <c r="A593" s="65" t="s">
        <v>470</v>
      </c>
      <c r="B593" s="65" t="s">
        <v>264</v>
      </c>
      <c r="C593" s="65" t="n">
        <v>1.5</v>
      </c>
      <c r="D593" s="66" t="str">
        <f aca="false">IFERROR(INDEX(المكونات!$B$2:$B$500,MATCH($B593,المكونات!$A$2:$A$500,0)),"")</f>
        <v>قطعة</v>
      </c>
      <c r="E593" s="67" t="n">
        <f aca="false">IFERROR(INDEX(المكونات!$C$2:$C$500,MATCH($B593,المكونات!$A$2:$A$500,0)),"")</f>
        <v>4</v>
      </c>
      <c r="F593" s="68" t="n">
        <f aca="false">IFERROR($C593*$E593,"")</f>
        <v>6</v>
      </c>
    </row>
    <row r="594" customFormat="false" ht="15" hidden="false" customHeight="true" outlineLevel="0" collapsed="false">
      <c r="A594" s="65" t="s">
        <v>470</v>
      </c>
      <c r="B594" s="65" t="s">
        <v>260</v>
      </c>
      <c r="C594" s="65" t="n">
        <v>0.045</v>
      </c>
      <c r="D594" s="66" t="str">
        <f aca="false">IFERROR(INDEX(المكونات!$B$2:$B$500,MATCH($B594,المكونات!$A$2:$A$500,0)),"")</f>
        <v>كجم</v>
      </c>
      <c r="E594" s="67" t="n">
        <f aca="false">IFERROR(INDEX(المكونات!$C$2:$C$500,MATCH($B594,المكونات!$A$2:$A$500,0)),"")</f>
        <v>21</v>
      </c>
      <c r="F594" s="68" t="n">
        <f aca="false">IFERROR($C594*$E594,"")</f>
        <v>0.945</v>
      </c>
    </row>
    <row r="595" customFormat="false" ht="15" hidden="false" customHeight="true" outlineLevel="0" collapsed="false">
      <c r="A595" s="65" t="s">
        <v>470</v>
      </c>
      <c r="B595" s="65" t="s">
        <v>284</v>
      </c>
      <c r="C595" s="65" t="n">
        <v>0.03</v>
      </c>
      <c r="D595" s="66" t="str">
        <f aca="false">IFERROR(INDEX(المكونات!$B$2:$B$500,MATCH($B595,المكونات!$A$2:$A$500,0)),"")</f>
        <v>كجم</v>
      </c>
      <c r="E595" s="67" t="n">
        <f aca="false">IFERROR(INDEX(المكونات!$C$2:$C$500,MATCH($B595,المكونات!$A$2:$A$500,0)),"")</f>
        <v>27</v>
      </c>
      <c r="F595" s="68" t="n">
        <f aca="false">IFERROR($C595*$E595,"")</f>
        <v>0.81</v>
      </c>
    </row>
    <row r="596" customFormat="false" ht="15" hidden="false" customHeight="true" outlineLevel="0" collapsed="false">
      <c r="A596" s="65" t="s">
        <v>470</v>
      </c>
      <c r="B596" s="65" t="s">
        <v>227</v>
      </c>
      <c r="C596" s="65" t="n">
        <v>0.03</v>
      </c>
      <c r="D596" s="66" t="str">
        <f aca="false">IFERROR(INDEX(المكونات!$B$2:$B$500,MATCH($B596,المكونات!$A$2:$A$500,0)),"")</f>
        <v>كجم</v>
      </c>
      <c r="E596" s="67" t="n">
        <f aca="false">IFERROR(INDEX(المكونات!$C$2:$C$500,MATCH($B596,المكونات!$A$2:$A$500,0)),"")</f>
        <v>95</v>
      </c>
      <c r="F596" s="68" t="n">
        <f aca="false">IFERROR($C596*$E596,"")</f>
        <v>2.85</v>
      </c>
    </row>
    <row r="597" customFormat="false" ht="15" hidden="false" customHeight="true" outlineLevel="0" collapsed="false">
      <c r="A597" s="65" t="s">
        <v>470</v>
      </c>
      <c r="B597" s="65" t="s">
        <v>178</v>
      </c>
      <c r="C597" s="65" t="n">
        <v>1</v>
      </c>
      <c r="D597" s="66" t="str">
        <f aca="false">IFERROR(INDEX(المكونات!$B$2:$B$500,MATCH($B597,المكونات!$A$2:$A$500,0)),"")</f>
        <v>قطعة</v>
      </c>
      <c r="E597" s="67" t="n">
        <f aca="false">IFERROR(INDEX(المكونات!$C$2:$C$500,MATCH($B597,المكونات!$A$2:$A$500,0)),"")</f>
        <v>25</v>
      </c>
      <c r="F597" s="68" t="n">
        <f aca="false">IFERROR($C597*$E597,"")</f>
        <v>25</v>
      </c>
    </row>
    <row r="598" customFormat="false" ht="15" hidden="false" customHeight="true" outlineLevel="0" collapsed="false">
      <c r="A598" s="65" t="s">
        <v>470</v>
      </c>
      <c r="B598" s="65" t="s">
        <v>268</v>
      </c>
      <c r="C598" s="65" t="n">
        <v>1</v>
      </c>
      <c r="D598" s="66" t="str">
        <f aca="false">IFERROR(INDEX(المكونات!$B$2:$B$500,MATCH($B598,المكونات!$A$2:$A$500,0)),"")</f>
        <v>قطعة</v>
      </c>
      <c r="E598" s="67" t="n">
        <f aca="false">IFERROR(INDEX(المكونات!$C$2:$C$500,MATCH($B598,المكونات!$A$2:$A$500,0)),"")</f>
        <v>5.5</v>
      </c>
      <c r="F598" s="68" t="n">
        <f aca="false">IFERROR($C598*$E598,"")</f>
        <v>5.5</v>
      </c>
    </row>
    <row r="599" customFormat="false" ht="15" hidden="false" customHeight="true" outlineLevel="0" collapsed="false">
      <c r="A599" s="65" t="s">
        <v>470</v>
      </c>
      <c r="B599" s="65" t="s">
        <v>290</v>
      </c>
      <c r="C599" s="65" t="n">
        <v>3</v>
      </c>
      <c r="D599" s="66" t="str">
        <f aca="false">IFERROR(INDEX(المكونات!$B$2:$B$500,MATCH($B599,المكونات!$A$2:$A$500,0)),"")</f>
        <v>قطعة</v>
      </c>
      <c r="E599" s="67" t="n">
        <f aca="false">IFERROR(INDEX(المكونات!$C$2:$C$500,MATCH($B599,المكونات!$A$2:$A$500,0)),"")</f>
        <v>0.3</v>
      </c>
      <c r="F599" s="68" t="n">
        <f aca="false">IFERROR($C599*$E599,"")</f>
        <v>0.9</v>
      </c>
    </row>
    <row r="600" customFormat="false" ht="15" hidden="false" customHeight="true" outlineLevel="0" collapsed="false">
      <c r="A600" s="65" t="s">
        <v>470</v>
      </c>
      <c r="B600" s="65" t="s">
        <v>319</v>
      </c>
      <c r="C600" s="65" t="n">
        <v>1</v>
      </c>
      <c r="D600" s="66" t="str">
        <f aca="false">IFERROR(INDEX(المكونات!$B$2:$B$500,MATCH($B600,المكونات!$A$2:$A$500,0)),"")</f>
        <v>قطعة (ورقة)</v>
      </c>
      <c r="E600" s="67" t="n">
        <f aca="false">IFERROR(INDEX(المكونات!$C$2:$C$500,MATCH($B600,المكونات!$A$2:$A$500,0)),"")</f>
        <v>0.3665</v>
      </c>
      <c r="F600" s="68" t="n">
        <f aca="false">IFERROR($C600*$E600,"")</f>
        <v>0.3665</v>
      </c>
    </row>
    <row r="601" customFormat="false" ht="15" hidden="false" customHeight="true" outlineLevel="0" collapsed="false">
      <c r="A601" s="65" t="s">
        <v>470</v>
      </c>
      <c r="B601" s="65" t="s">
        <v>133</v>
      </c>
      <c r="C601" s="65" t="n">
        <v>1</v>
      </c>
      <c r="D601" s="66" t="str">
        <f aca="false">IFERROR(INDEX(المكونات!$B$2:$B$500,MATCH($B601,المكونات!$A$2:$A$500,0)),"")</f>
        <v>قطعة (كيس)</v>
      </c>
      <c r="E601" s="67" t="n">
        <f aca="false">IFERROR(INDEX(المكونات!$C$2:$C$500,MATCH($B601,المكونات!$A$2:$A$500,0)),"")</f>
        <v>1.4</v>
      </c>
      <c r="F601" s="68" t="n">
        <f aca="false">IFERROR($C601*$E601,"")</f>
        <v>1.4</v>
      </c>
    </row>
    <row r="602" customFormat="false" ht="15" hidden="false" customHeight="true" outlineLevel="0" collapsed="false">
      <c r="A602" s="65" t="s">
        <v>470</v>
      </c>
      <c r="B602" s="65" t="s">
        <v>293</v>
      </c>
      <c r="C602" s="65" t="n">
        <v>1</v>
      </c>
      <c r="D602" s="66" t="str">
        <f aca="false">IFERROR(INDEX(المكونات!$B$2:$B$500,MATCH($B602,المكونات!$A$2:$A$500,0)),"")</f>
        <v>قطعة</v>
      </c>
      <c r="E602" s="67" t="n">
        <f aca="false">IFERROR(INDEX(المكونات!$C$2:$C$500,MATCH($B602,المكونات!$A$2:$A$500,0)),"")</f>
        <v>0.5</v>
      </c>
      <c r="F602" s="68" t="n">
        <f aca="false">IFERROR($C602*$E602,"")</f>
        <v>0.5</v>
      </c>
    </row>
    <row r="603" customFormat="false" ht="15" hidden="false" customHeight="true" outlineLevel="0" collapsed="false">
      <c r="A603" s="65" t="s">
        <v>470</v>
      </c>
      <c r="B603" s="65" t="s">
        <v>211</v>
      </c>
      <c r="C603" s="65" t="n">
        <v>2</v>
      </c>
      <c r="D603" s="66" t="str">
        <f aca="false">IFERROR(INDEX(المكونات!$B$2:$B$500,MATCH($B603,المكونات!$A$2:$A$500,0)),"")</f>
        <v>قطعة (جلفز)</v>
      </c>
      <c r="E603" s="67" t="n">
        <f aca="false">IFERROR(INDEX(المكونات!$C$2:$C$500,MATCH($B603,المكونات!$A$2:$A$500,0)),"")</f>
        <v>0.18</v>
      </c>
      <c r="F603" s="68" t="n">
        <f aca="false">IFERROR($C603*$E603,"")</f>
        <v>0.36</v>
      </c>
    </row>
    <row r="604" customFormat="false" ht="15" hidden="false" customHeight="true" outlineLevel="0" collapsed="false">
      <c r="A604" s="65" t="s">
        <v>470</v>
      </c>
      <c r="B604" s="65" t="s">
        <v>322</v>
      </c>
      <c r="C604" s="65" t="n">
        <v>1</v>
      </c>
      <c r="D604" s="66" t="str">
        <f aca="false">IFERROR(INDEX(المكونات!$B$2:$B$500,MATCH($B604,المكونات!$A$2:$A$500,0)),"")</f>
        <v>قطعة (كيس)</v>
      </c>
      <c r="E604" s="67" t="n">
        <f aca="false">IFERROR(INDEX(المكونات!$C$2:$C$500,MATCH($B604,المكونات!$A$2:$A$500,0)),"")</f>
        <v>1</v>
      </c>
      <c r="F604" s="68" t="n">
        <f aca="false">IFERROR($C604*$E604,"")</f>
        <v>1</v>
      </c>
    </row>
    <row r="605" customFormat="false" ht="15" hidden="false" customHeight="true" outlineLevel="0" collapsed="false">
      <c r="A605" s="65" t="s">
        <v>470</v>
      </c>
      <c r="B605" s="65" t="s">
        <v>144</v>
      </c>
      <c r="C605" s="65" t="n">
        <v>1</v>
      </c>
      <c r="D605" s="66" t="str">
        <f aca="false">IFERROR(INDEX(المكونات!$B$2:$B$500,MATCH($B605,المكونات!$A$2:$A$500,0)),"")</f>
        <v>قطعة</v>
      </c>
      <c r="E605" s="67" t="n">
        <f aca="false">IFERROR(INDEX(المكونات!$C$2:$C$500,MATCH($B605,المكونات!$A$2:$A$500,0)),"")</f>
        <v>46.6667</v>
      </c>
      <c r="F605" s="68" t="n">
        <f aca="false">IFERROR($C605*$E605,"")</f>
        <v>46.6667</v>
      </c>
    </row>
    <row r="606" customFormat="false" ht="15" hidden="false" customHeight="true" outlineLevel="0" collapsed="false">
      <c r="A606" s="65" t="s">
        <v>470</v>
      </c>
      <c r="B606" s="65" t="s">
        <v>154</v>
      </c>
      <c r="C606" s="65" t="n">
        <v>1</v>
      </c>
      <c r="D606" s="66" t="str">
        <f aca="false">IFERROR(INDEX(المكونات!$B$2:$B$500,MATCH($B606,المكونات!$A$2:$A$500,0)),"")</f>
        <v>قطعة</v>
      </c>
      <c r="E606" s="67" t="n">
        <f aca="false">IFERROR(INDEX(المكونات!$C$2:$C$500,MATCH($B606,المكونات!$A$2:$A$500,0)),"")</f>
        <v>45</v>
      </c>
      <c r="F606" s="68" t="n">
        <f aca="false">IFERROR($C606*$E606,"")</f>
        <v>45</v>
      </c>
    </row>
    <row r="607" customFormat="false" ht="15" hidden="false" customHeight="true" outlineLevel="0" collapsed="false">
      <c r="A607" s="65" t="s">
        <v>470</v>
      </c>
      <c r="B607" s="65" t="s">
        <v>168</v>
      </c>
      <c r="C607" s="65" t="n">
        <v>1</v>
      </c>
      <c r="D607" s="66" t="str">
        <f aca="false">IFERROR(INDEX(المكونات!$B$2:$B$500,MATCH($B607,المكونات!$A$2:$A$500,0)),"")</f>
        <v>قطعة</v>
      </c>
      <c r="E607" s="67" t="n">
        <f aca="false">IFERROR(INDEX(المكونات!$C$2:$C$500,MATCH($B607,المكونات!$A$2:$A$500,0)),"")</f>
        <v>21</v>
      </c>
      <c r="F607" s="68" t="n">
        <f aca="false">IFERROR($C607*$E607,"")</f>
        <v>21</v>
      </c>
    </row>
    <row r="608" customFormat="false" ht="15" hidden="false" customHeight="true" outlineLevel="0" collapsed="false">
      <c r="A608" s="65" t="s">
        <v>429</v>
      </c>
      <c r="B608" s="65" t="s">
        <v>264</v>
      </c>
      <c r="C608" s="65" t="n">
        <v>1</v>
      </c>
      <c r="D608" s="66" t="str">
        <f aca="false">IFERROR(INDEX(المكونات!$B$2:$B$500,MATCH($B608,المكونات!$A$2:$A$500,0)),"")</f>
        <v>قطعة</v>
      </c>
      <c r="E608" s="67" t="n">
        <f aca="false">IFERROR(INDEX(المكونات!$C$2:$C$500,MATCH($B608,المكونات!$A$2:$A$500,0)),"")</f>
        <v>4</v>
      </c>
      <c r="F608" s="68" t="n">
        <f aca="false">IFERROR($C608*$E608,"")</f>
        <v>4</v>
      </c>
    </row>
    <row r="609" customFormat="false" ht="15" hidden="false" customHeight="true" outlineLevel="0" collapsed="false">
      <c r="A609" s="65" t="s">
        <v>429</v>
      </c>
      <c r="B609" s="65" t="s">
        <v>325</v>
      </c>
      <c r="C609" s="65" t="n">
        <v>0.15</v>
      </c>
      <c r="D609" s="66" t="str">
        <f aca="false">IFERROR(INDEX(المكونات!$B$2:$B$500,MATCH($B609,المكونات!$A$2:$A$500,0)),"")</f>
        <v>كجم</v>
      </c>
      <c r="E609" s="67" t="n">
        <f aca="false">IFERROR(INDEX(المكونات!$C$2:$C$500,MATCH($B609,المكونات!$A$2:$A$500,0)),"")</f>
        <v>23.56668</v>
      </c>
      <c r="F609" s="68" t="n">
        <f aca="false">IFERROR($C609*$E609,"")</f>
        <v>3.535002</v>
      </c>
    </row>
    <row r="610" customFormat="false" ht="15" hidden="false" customHeight="true" outlineLevel="0" collapsed="false">
      <c r="A610" s="65" t="s">
        <v>429</v>
      </c>
      <c r="B610" s="65" t="s">
        <v>229</v>
      </c>
      <c r="C610" s="65" t="n">
        <v>0.05</v>
      </c>
      <c r="D610" s="66" t="str">
        <f aca="false">IFERROR(INDEX(المكونات!$B$2:$B$500,MATCH($B610,المكونات!$A$2:$A$500,0)),"")</f>
        <v>كجم</v>
      </c>
      <c r="E610" s="67" t="n">
        <f aca="false">IFERROR(INDEX(المكونات!$C$2:$C$500,MATCH($B610,المكونات!$A$2:$A$500,0)),"")</f>
        <v>30.6593</v>
      </c>
      <c r="F610" s="68" t="n">
        <f aca="false">IFERROR($C610*$E610,"")</f>
        <v>1.532965</v>
      </c>
    </row>
    <row r="611" customFormat="false" ht="15" hidden="false" customHeight="true" outlineLevel="0" collapsed="false">
      <c r="A611" s="65" t="s">
        <v>429</v>
      </c>
      <c r="B611" s="65" t="s">
        <v>298</v>
      </c>
      <c r="C611" s="65" t="n">
        <v>0.15</v>
      </c>
      <c r="D611" s="66" t="str">
        <f aca="false">IFERROR(INDEX(المكونات!$B$2:$B$500,MATCH($B611,المكونات!$A$2:$A$500,0)),"")</f>
        <v>لتر</v>
      </c>
      <c r="E611" s="67" t="n">
        <f aca="false">IFERROR(INDEX(المكونات!$C$2:$C$500,MATCH($B611,المكونات!$A$2:$A$500,0)),"")</f>
        <v>20.6667</v>
      </c>
      <c r="F611" s="68" t="n">
        <f aca="false">IFERROR($C611*$E611,"")</f>
        <v>3.100005</v>
      </c>
    </row>
    <row r="612" customFormat="false" ht="15" hidden="false" customHeight="true" outlineLevel="0" collapsed="false">
      <c r="A612" s="65" t="s">
        <v>429</v>
      </c>
      <c r="B612" s="65" t="s">
        <v>125</v>
      </c>
      <c r="C612" s="65" t="n">
        <v>1</v>
      </c>
      <c r="D612" s="66" t="str">
        <f aca="false">IFERROR(INDEX(المكونات!$B$2:$B$500,MATCH($B612,المكونات!$A$2:$A$500,0)),"")</f>
        <v>قطعة</v>
      </c>
      <c r="E612" s="67" t="n">
        <f aca="false">IFERROR(INDEX(المكونات!$C$2:$C$500,MATCH($B612,المكونات!$A$2:$A$500,0)),"")</f>
        <v>0.8</v>
      </c>
      <c r="F612" s="68" t="n">
        <f aca="false">IFERROR($C612*$E612,"")</f>
        <v>0.8</v>
      </c>
    </row>
    <row r="613" customFormat="false" ht="26.25" hidden="false" customHeight="true" outlineLevel="0" collapsed="false">
      <c r="A613" s="65" t="s">
        <v>429</v>
      </c>
      <c r="B613" s="65" t="s">
        <v>192</v>
      </c>
      <c r="C613" s="65" t="n">
        <v>1</v>
      </c>
      <c r="D613" s="66" t="str">
        <f aca="false">IFERROR(INDEX(المكونات!$B$2:$B$500,MATCH($B613,المكونات!$A$2:$A$500,0)),"")</f>
        <v>قطعة (لفة استخدام)</v>
      </c>
      <c r="E613" s="67" t="n">
        <f aca="false">IFERROR(INDEX(المكونات!$C$2:$C$500,MATCH($B613,المكونات!$A$2:$A$500,0)),"")</f>
        <v>3.65</v>
      </c>
      <c r="F613" s="68" t="n">
        <f aca="false">IFERROR($C613*$E613,"")</f>
        <v>3.65</v>
      </c>
    </row>
    <row r="614" customFormat="false" ht="15" hidden="false" customHeight="true" outlineLevel="0" collapsed="false">
      <c r="A614" s="65" t="s">
        <v>429</v>
      </c>
      <c r="B614" s="65" t="s">
        <v>239</v>
      </c>
      <c r="C614" s="65" t="n">
        <v>1</v>
      </c>
      <c r="D614" s="66" t="str">
        <f aca="false">IFERROR(INDEX(المكونات!$B$2:$B$500,MATCH($B614,المكونات!$A$2:$A$500,0)),"")</f>
        <v>قطعة</v>
      </c>
      <c r="E614" s="67" t="n">
        <f aca="false">IFERROR(INDEX(المكونات!$C$2:$C$500,MATCH($B614,المكونات!$A$2:$A$500,0)),"")</f>
        <v>0.675</v>
      </c>
      <c r="F614" s="68" t="n">
        <f aca="false">IFERROR($C614*$E614,"")</f>
        <v>0.675</v>
      </c>
    </row>
    <row r="615" customFormat="false" ht="15" hidden="false" customHeight="true" outlineLevel="0" collapsed="false">
      <c r="A615" s="65" t="s">
        <v>429</v>
      </c>
      <c r="B615" s="65" t="s">
        <v>243</v>
      </c>
      <c r="C615" s="65" t="n">
        <v>1</v>
      </c>
      <c r="D615" s="66" t="str">
        <f aca="false">IFERROR(INDEX(المكونات!$B$2:$B$500,MATCH($B615,المكونات!$A$2:$A$500,0)),"")</f>
        <v>قطعة</v>
      </c>
      <c r="E615" s="67" t="n">
        <f aca="false">IFERROR(INDEX(المكونات!$C$2:$C$500,MATCH($B615,المكونات!$A$2:$A$500,0)),"")</f>
        <v>0.3</v>
      </c>
      <c r="F615" s="68" t="n">
        <f aca="false">IFERROR($C615*$E615,"")</f>
        <v>0.3</v>
      </c>
    </row>
    <row r="616" customFormat="false" ht="15" hidden="false" customHeight="true" outlineLevel="0" collapsed="false">
      <c r="A616" s="65" t="s">
        <v>429</v>
      </c>
      <c r="B616" s="65" t="s">
        <v>211</v>
      </c>
      <c r="C616" s="65" t="n">
        <v>2</v>
      </c>
      <c r="D616" s="66" t="str">
        <f aca="false">IFERROR(INDEX(المكونات!$B$2:$B$500,MATCH($B616,المكونات!$A$2:$A$500,0)),"")</f>
        <v>قطعة (جلفز)</v>
      </c>
      <c r="E616" s="67" t="n">
        <f aca="false">IFERROR(INDEX(المكونات!$C$2:$C$500,MATCH($B616,المكونات!$A$2:$A$500,0)),"")</f>
        <v>0.18</v>
      </c>
      <c r="F616" s="68" t="n">
        <f aca="false">IFERROR($C616*$E616,"")</f>
        <v>0.36</v>
      </c>
    </row>
    <row r="617" customFormat="false" ht="15" hidden="false" customHeight="true" outlineLevel="0" collapsed="false">
      <c r="A617" s="65" t="s">
        <v>429</v>
      </c>
      <c r="B617" s="65" t="s">
        <v>136</v>
      </c>
      <c r="C617" s="65" t="n">
        <v>1</v>
      </c>
      <c r="D617" s="66" t="str">
        <f aca="false">IFERROR(INDEX(المكونات!$B$2:$B$500,MATCH($B617,المكونات!$A$2:$A$500,0)),"")</f>
        <v>قطعة (كيس)</v>
      </c>
      <c r="E617" s="67" t="n">
        <f aca="false">IFERROR(INDEX(المكونات!$C$2:$C$500,MATCH($B617,المكونات!$A$2:$A$500,0)),"")</f>
        <v>1.4</v>
      </c>
      <c r="F617" s="68" t="n">
        <f aca="false">IFERROR($C617*$E617,"")</f>
        <v>1.4</v>
      </c>
    </row>
    <row r="618" customFormat="false" ht="15" hidden="false" customHeight="true" outlineLevel="0" collapsed="false">
      <c r="A618" s="65" t="s">
        <v>436</v>
      </c>
      <c r="B618" s="65" t="s">
        <v>264</v>
      </c>
      <c r="C618" s="65" t="n">
        <v>1</v>
      </c>
      <c r="D618" s="66" t="str">
        <f aca="false">IFERROR(INDEX(المكونات!$B$2:$B$500,MATCH($B618,المكونات!$A$2:$A$500,0)),"")</f>
        <v>قطعة</v>
      </c>
      <c r="E618" s="67" t="n">
        <f aca="false">IFERROR(INDEX(المكونات!$C$2:$C$500,MATCH($B618,المكونات!$A$2:$A$500,0)),"")</f>
        <v>4</v>
      </c>
      <c r="F618" s="68" t="n">
        <f aca="false">IFERROR($C618*$E618,"")</f>
        <v>4</v>
      </c>
    </row>
    <row r="619" customFormat="false" ht="15" hidden="false" customHeight="true" outlineLevel="0" collapsed="false">
      <c r="A619" s="65" t="s">
        <v>436</v>
      </c>
      <c r="B619" s="65" t="s">
        <v>325</v>
      </c>
      <c r="C619" s="65" t="n">
        <v>0.15</v>
      </c>
      <c r="D619" s="66" t="str">
        <f aca="false">IFERROR(INDEX(المكونات!$B$2:$B$500,MATCH($B619,المكونات!$A$2:$A$500,0)),"")</f>
        <v>كجم</v>
      </c>
      <c r="E619" s="67" t="n">
        <f aca="false">IFERROR(INDEX(المكونات!$C$2:$C$500,MATCH($B619,المكونات!$A$2:$A$500,0)),"")</f>
        <v>23.56668</v>
      </c>
      <c r="F619" s="68" t="n">
        <f aca="false">IFERROR($C619*$E619,"")</f>
        <v>3.535002</v>
      </c>
    </row>
    <row r="620" customFormat="false" ht="15" hidden="false" customHeight="true" outlineLevel="0" collapsed="false">
      <c r="A620" s="65" t="s">
        <v>436</v>
      </c>
      <c r="B620" s="65" t="s">
        <v>221</v>
      </c>
      <c r="C620" s="65" t="n">
        <v>0.06</v>
      </c>
      <c r="D620" s="66" t="str">
        <f aca="false">IFERROR(INDEX(المكونات!$B$2:$B$500,MATCH($B620,المكونات!$A$2:$A$500,0)),"")</f>
        <v>كجم</v>
      </c>
      <c r="E620" s="67" t="n">
        <f aca="false">IFERROR(INDEX(المكونات!$C$2:$C$500,MATCH($B620,المكونات!$A$2:$A$500,0)),"")</f>
        <v>220</v>
      </c>
      <c r="F620" s="68" t="n">
        <f aca="false">IFERROR($C620*$E620,"")</f>
        <v>13.2</v>
      </c>
    </row>
    <row r="621" customFormat="false" ht="15" hidden="false" customHeight="true" outlineLevel="0" collapsed="false">
      <c r="A621" s="65" t="s">
        <v>436</v>
      </c>
      <c r="B621" s="65" t="s">
        <v>214</v>
      </c>
      <c r="C621" s="65" t="n">
        <v>0.03</v>
      </c>
      <c r="D621" s="66" t="str">
        <f aca="false">IFERROR(INDEX(المكونات!$B$2:$B$500,MATCH($B621,المكونات!$A$2:$A$500,0)),"")</f>
        <v>كجم</v>
      </c>
      <c r="E621" s="67" t="n">
        <f aca="false">IFERROR(INDEX(المكونات!$C$2:$C$500,MATCH($B621,المكونات!$A$2:$A$500,0)),"")</f>
        <v>200</v>
      </c>
      <c r="F621" s="68" t="n">
        <f aca="false">IFERROR($C621*$E621,"")</f>
        <v>6</v>
      </c>
    </row>
    <row r="622" customFormat="false" ht="15" hidden="false" customHeight="true" outlineLevel="0" collapsed="false">
      <c r="A622" s="65" t="s">
        <v>436</v>
      </c>
      <c r="B622" s="65" t="s">
        <v>229</v>
      </c>
      <c r="C622" s="65" t="n">
        <v>0.05</v>
      </c>
      <c r="D622" s="66" t="str">
        <f aca="false">IFERROR(INDEX(المكونات!$B$2:$B$500,MATCH($B622,المكونات!$A$2:$A$500,0)),"")</f>
        <v>كجم</v>
      </c>
      <c r="E622" s="67" t="n">
        <f aca="false">IFERROR(INDEX(المكونات!$C$2:$C$500,MATCH($B622,المكونات!$A$2:$A$500,0)),"")</f>
        <v>30.6593</v>
      </c>
      <c r="F622" s="68" t="n">
        <f aca="false">IFERROR($C622*$E622,"")</f>
        <v>1.532965</v>
      </c>
    </row>
    <row r="623" customFormat="false" ht="15" hidden="false" customHeight="true" outlineLevel="0" collapsed="false">
      <c r="A623" s="65" t="s">
        <v>436</v>
      </c>
      <c r="B623" s="65" t="s">
        <v>298</v>
      </c>
      <c r="C623" s="65" t="n">
        <v>0.15</v>
      </c>
      <c r="D623" s="66" t="str">
        <f aca="false">IFERROR(INDEX(المكونات!$B$2:$B$500,MATCH($B623,المكونات!$A$2:$A$500,0)),"")</f>
        <v>لتر</v>
      </c>
      <c r="E623" s="67" t="n">
        <f aca="false">IFERROR(INDEX(المكونات!$C$2:$C$500,MATCH($B623,المكونات!$A$2:$A$500,0)),"")</f>
        <v>20.6667</v>
      </c>
      <c r="F623" s="68" t="n">
        <f aca="false">IFERROR($C623*$E623,"")</f>
        <v>3.100005</v>
      </c>
    </row>
    <row r="624" customFormat="false" ht="26.25" hidden="false" customHeight="true" outlineLevel="0" collapsed="false">
      <c r="A624" s="65" t="s">
        <v>436</v>
      </c>
      <c r="B624" s="65" t="s">
        <v>192</v>
      </c>
      <c r="C624" s="65" t="n">
        <v>1</v>
      </c>
      <c r="D624" s="66" t="str">
        <f aca="false">IFERROR(INDEX(المكونات!$B$2:$B$500,MATCH($B624,المكونات!$A$2:$A$500,0)),"")</f>
        <v>قطعة (لفة استخدام)</v>
      </c>
      <c r="E624" s="67" t="n">
        <f aca="false">IFERROR(INDEX(المكونات!$C$2:$C$500,MATCH($B624,المكونات!$A$2:$A$500,0)),"")</f>
        <v>3.65</v>
      </c>
      <c r="F624" s="68" t="n">
        <f aca="false">IFERROR($C624*$E624,"")</f>
        <v>3.65</v>
      </c>
    </row>
    <row r="625" customFormat="false" ht="15" hidden="false" customHeight="true" outlineLevel="0" collapsed="false">
      <c r="A625" s="65" t="s">
        <v>436</v>
      </c>
      <c r="B625" s="65" t="s">
        <v>278</v>
      </c>
      <c r="C625" s="65" t="n">
        <v>1</v>
      </c>
      <c r="D625" s="66" t="str">
        <f aca="false">IFERROR(INDEX(المكونات!$B$2:$B$500,MATCH($B625,المكونات!$A$2:$A$500,0)),"")</f>
        <v>قطعة</v>
      </c>
      <c r="E625" s="67" t="n">
        <f aca="false">IFERROR(INDEX(المكونات!$C$2:$C$500,MATCH($B625,المكونات!$A$2:$A$500,0)),"")</f>
        <v>3.1</v>
      </c>
      <c r="F625" s="68" t="n">
        <f aca="false">IFERROR($C625*$E625,"")</f>
        <v>3.1</v>
      </c>
    </row>
    <row r="626" customFormat="false" ht="15" hidden="false" customHeight="true" outlineLevel="0" collapsed="false">
      <c r="A626" s="65" t="s">
        <v>436</v>
      </c>
      <c r="B626" s="65" t="s">
        <v>243</v>
      </c>
      <c r="C626" s="65" t="n">
        <v>1</v>
      </c>
      <c r="D626" s="66" t="str">
        <f aca="false">IFERROR(INDEX(المكونات!$B$2:$B$500,MATCH($B626,المكونات!$A$2:$A$500,0)),"")</f>
        <v>قطعة</v>
      </c>
      <c r="E626" s="67" t="n">
        <f aca="false">IFERROR(INDEX(المكونات!$C$2:$C$500,MATCH($B626,المكونات!$A$2:$A$500,0)),"")</f>
        <v>0.3</v>
      </c>
      <c r="F626" s="68" t="n">
        <f aca="false">IFERROR($C626*$E626,"")</f>
        <v>0.3</v>
      </c>
    </row>
    <row r="627" customFormat="false" ht="15" hidden="false" customHeight="true" outlineLevel="0" collapsed="false">
      <c r="A627" s="65" t="s">
        <v>436</v>
      </c>
      <c r="B627" s="65" t="s">
        <v>136</v>
      </c>
      <c r="C627" s="65" t="n">
        <v>1</v>
      </c>
      <c r="D627" s="66" t="str">
        <f aca="false">IFERROR(INDEX(المكونات!$B$2:$B$500,MATCH($B627,المكونات!$A$2:$A$500,0)),"")</f>
        <v>قطعة (كيس)</v>
      </c>
      <c r="E627" s="67" t="n">
        <f aca="false">IFERROR(INDEX(المكونات!$C$2:$C$500,MATCH($B627,المكونات!$A$2:$A$500,0)),"")</f>
        <v>1.4</v>
      </c>
      <c r="F627" s="68" t="n">
        <f aca="false">IFERROR($C627*$E627,"")</f>
        <v>1.4</v>
      </c>
    </row>
    <row r="628" customFormat="false" ht="15" hidden="false" customHeight="true" outlineLevel="0" collapsed="false">
      <c r="A628" s="65" t="s">
        <v>404</v>
      </c>
      <c r="B628" s="65" t="s">
        <v>264</v>
      </c>
      <c r="C628" s="65" t="n">
        <v>1</v>
      </c>
      <c r="D628" s="66" t="str">
        <f aca="false">IFERROR(INDEX(المكونات!$B$2:$B$500,MATCH($B628,المكونات!$A$2:$A$500,0)),"")</f>
        <v>قطعة</v>
      </c>
      <c r="E628" s="67" t="n">
        <f aca="false">IFERROR(INDEX(المكونات!$C$2:$C$500,MATCH($B628,المكونات!$A$2:$A$500,0)),"")</f>
        <v>4</v>
      </c>
      <c r="F628" s="68" t="n">
        <f aca="false">IFERROR($C628*$E628,"")</f>
        <v>4</v>
      </c>
    </row>
    <row r="629" customFormat="false" ht="15" hidden="false" customHeight="true" outlineLevel="0" collapsed="false">
      <c r="A629" s="65" t="s">
        <v>404</v>
      </c>
      <c r="B629" s="65" t="s">
        <v>325</v>
      </c>
      <c r="C629" s="65" t="n">
        <v>0.15</v>
      </c>
      <c r="D629" s="66" t="str">
        <f aca="false">IFERROR(INDEX(المكونات!$B$2:$B$500,MATCH($B629,المكونات!$A$2:$A$500,0)),"")</f>
        <v>كجم</v>
      </c>
      <c r="E629" s="67" t="n">
        <f aca="false">IFERROR(INDEX(المكونات!$C$2:$C$500,MATCH($B629,المكونات!$A$2:$A$500,0)),"")</f>
        <v>23.56668</v>
      </c>
      <c r="F629" s="68" t="n">
        <f aca="false">IFERROR($C629*$E629,"")</f>
        <v>3.535002</v>
      </c>
    </row>
    <row r="630" customFormat="false" ht="15" hidden="false" customHeight="true" outlineLevel="0" collapsed="false">
      <c r="A630" s="65" t="s">
        <v>404</v>
      </c>
      <c r="B630" s="65" t="s">
        <v>166</v>
      </c>
      <c r="C630" s="65" t="n">
        <v>1</v>
      </c>
      <c r="D630" s="66" t="str">
        <f aca="false">IFERROR(INDEX(المكونات!$B$2:$B$500,MATCH($B630,المكونات!$A$2:$A$500,0)),"")</f>
        <v>قطعة</v>
      </c>
      <c r="E630" s="67" t="n">
        <f aca="false">IFERROR(INDEX(المكونات!$C$2:$C$500,MATCH($B630,المكونات!$A$2:$A$500,0)),"")</f>
        <v>25</v>
      </c>
      <c r="F630" s="68" t="n">
        <f aca="false">IFERROR($C630*$E630,"")</f>
        <v>25</v>
      </c>
    </row>
    <row r="631" customFormat="false" ht="15" hidden="false" customHeight="true" outlineLevel="0" collapsed="false">
      <c r="A631" s="65" t="s">
        <v>404</v>
      </c>
      <c r="B631" s="65" t="s">
        <v>170</v>
      </c>
      <c r="C631" s="65" t="n">
        <v>1</v>
      </c>
      <c r="D631" s="66" t="str">
        <f aca="false">IFERROR(INDEX(المكونات!$B$2:$B$500,MATCH($B631,المكونات!$A$2:$A$500,0)),"")</f>
        <v>قطعة</v>
      </c>
      <c r="E631" s="67" t="n">
        <f aca="false">IFERROR(INDEX(المكونات!$C$2:$C$500,MATCH($B631,المكونات!$A$2:$A$500,0)),"")</f>
        <v>23</v>
      </c>
      <c r="F631" s="68" t="n">
        <f aca="false">IFERROR($C631*$E631,"")</f>
        <v>23</v>
      </c>
    </row>
    <row r="632" customFormat="false" ht="15" hidden="false" customHeight="true" outlineLevel="0" collapsed="false">
      <c r="A632" s="65" t="s">
        <v>404</v>
      </c>
      <c r="B632" s="65" t="s">
        <v>229</v>
      </c>
      <c r="C632" s="65" t="n">
        <v>0.05</v>
      </c>
      <c r="D632" s="66" t="str">
        <f aca="false">IFERROR(INDEX(المكونات!$B$2:$B$500,MATCH($B632,المكونات!$A$2:$A$500,0)),"")</f>
        <v>كجم</v>
      </c>
      <c r="E632" s="67" t="n">
        <f aca="false">IFERROR(INDEX(المكونات!$C$2:$C$500,MATCH($B632,المكونات!$A$2:$A$500,0)),"")</f>
        <v>30.6593</v>
      </c>
      <c r="F632" s="68" t="n">
        <f aca="false">IFERROR($C632*$E632,"")</f>
        <v>1.532965</v>
      </c>
    </row>
    <row r="633" customFormat="false" ht="15" hidden="false" customHeight="true" outlineLevel="0" collapsed="false">
      <c r="A633" s="65" t="s">
        <v>404</v>
      </c>
      <c r="B633" s="65" t="s">
        <v>298</v>
      </c>
      <c r="C633" s="65" t="n">
        <v>0.15</v>
      </c>
      <c r="D633" s="66" t="str">
        <f aca="false">IFERROR(INDEX(المكونات!$B$2:$B$500,MATCH($B633,المكونات!$A$2:$A$500,0)),"")</f>
        <v>لتر</v>
      </c>
      <c r="E633" s="67" t="n">
        <f aca="false">IFERROR(INDEX(المكونات!$C$2:$C$500,MATCH($B633,المكونات!$A$2:$A$500,0)),"")</f>
        <v>20.6667</v>
      </c>
      <c r="F633" s="68" t="n">
        <f aca="false">IFERROR($C633*$E633,"")</f>
        <v>3.100005</v>
      </c>
    </row>
    <row r="634" customFormat="false" ht="15" hidden="false" customHeight="true" outlineLevel="0" collapsed="false">
      <c r="A634" s="65" t="s">
        <v>404</v>
      </c>
      <c r="B634" s="65" t="s">
        <v>266</v>
      </c>
      <c r="C634" s="65" t="n">
        <v>0.07</v>
      </c>
      <c r="D634" s="66" t="str">
        <f aca="false">IFERROR(INDEX(المكونات!$B$2:$B$500,MATCH($B634,المكونات!$A$2:$A$500,0)),"")</f>
        <v>كجم</v>
      </c>
      <c r="E634" s="67" t="n">
        <f aca="false">IFERROR(INDEX(المكونات!$C$2:$C$500,MATCH($B634,المكونات!$A$2:$A$500,0)),"")</f>
        <v>140</v>
      </c>
      <c r="F634" s="68" t="n">
        <f aca="false">IFERROR($C634*$E634,"")</f>
        <v>9.8</v>
      </c>
    </row>
    <row r="635" customFormat="false" ht="26.25" hidden="false" customHeight="true" outlineLevel="0" collapsed="false">
      <c r="A635" s="65" t="s">
        <v>404</v>
      </c>
      <c r="B635" s="65" t="s">
        <v>192</v>
      </c>
      <c r="C635" s="65" t="n">
        <v>1</v>
      </c>
      <c r="D635" s="66" t="str">
        <f aca="false">IFERROR(INDEX(المكونات!$B$2:$B$500,MATCH($B635,المكونات!$A$2:$A$500,0)),"")</f>
        <v>قطعة (لفة استخدام)</v>
      </c>
      <c r="E635" s="67" t="n">
        <f aca="false">IFERROR(INDEX(المكونات!$C$2:$C$500,MATCH($B635,المكونات!$A$2:$A$500,0)),"")</f>
        <v>3.65</v>
      </c>
      <c r="F635" s="68" t="n">
        <f aca="false">IFERROR($C635*$E635,"")</f>
        <v>3.65</v>
      </c>
    </row>
    <row r="636" customFormat="false" ht="15" hidden="false" customHeight="true" outlineLevel="0" collapsed="false">
      <c r="A636" s="65" t="s">
        <v>404</v>
      </c>
      <c r="B636" s="65" t="s">
        <v>278</v>
      </c>
      <c r="C636" s="65" t="n">
        <v>1</v>
      </c>
      <c r="D636" s="66" t="str">
        <f aca="false">IFERROR(INDEX(المكونات!$B$2:$B$500,MATCH($B636,المكونات!$A$2:$A$500,0)),"")</f>
        <v>قطعة</v>
      </c>
      <c r="E636" s="67" t="n">
        <f aca="false">IFERROR(INDEX(المكونات!$C$2:$C$500,MATCH($B636,المكونات!$A$2:$A$500,0)),"")</f>
        <v>3.1</v>
      </c>
      <c r="F636" s="68" t="n">
        <f aca="false">IFERROR($C636*$E636,"")</f>
        <v>3.1</v>
      </c>
    </row>
    <row r="637" customFormat="false" ht="15" hidden="false" customHeight="true" outlineLevel="0" collapsed="false">
      <c r="A637" s="65" t="s">
        <v>404</v>
      </c>
      <c r="B637" s="65" t="s">
        <v>243</v>
      </c>
      <c r="C637" s="65" t="n">
        <v>1</v>
      </c>
      <c r="D637" s="66" t="str">
        <f aca="false">IFERROR(INDEX(المكونات!$B$2:$B$500,MATCH($B637,المكونات!$A$2:$A$500,0)),"")</f>
        <v>قطعة</v>
      </c>
      <c r="E637" s="67" t="n">
        <f aca="false">IFERROR(INDEX(المكونات!$C$2:$C$500,MATCH($B637,المكونات!$A$2:$A$500,0)),"")</f>
        <v>0.3</v>
      </c>
      <c r="F637" s="68" t="n">
        <f aca="false">IFERROR($C637*$E637,"")</f>
        <v>0.3</v>
      </c>
    </row>
    <row r="638" customFormat="false" ht="15" hidden="false" customHeight="true" outlineLevel="0" collapsed="false">
      <c r="A638" s="65" t="s">
        <v>404</v>
      </c>
      <c r="B638" s="65" t="s">
        <v>136</v>
      </c>
      <c r="C638" s="65" t="n">
        <v>1</v>
      </c>
      <c r="D638" s="66" t="str">
        <f aca="false">IFERROR(INDEX(المكونات!$B$2:$B$500,MATCH($B638,المكونات!$A$2:$A$500,0)),"")</f>
        <v>قطعة (كيس)</v>
      </c>
      <c r="E638" s="67" t="n">
        <f aca="false">IFERROR(INDEX(المكونات!$C$2:$C$500,MATCH($B638,المكونات!$A$2:$A$500,0)),"")</f>
        <v>1.4</v>
      </c>
      <c r="F638" s="68" t="n">
        <f aca="false">IFERROR($C638*$E638,"")</f>
        <v>1.4</v>
      </c>
    </row>
    <row r="639" customFormat="false" ht="15" hidden="false" customHeight="true" outlineLevel="0" collapsed="false">
      <c r="A639" s="65" t="s">
        <v>395</v>
      </c>
      <c r="B639" s="65" t="s">
        <v>264</v>
      </c>
      <c r="C639" s="65" t="n">
        <v>1</v>
      </c>
      <c r="D639" s="66" t="str">
        <f aca="false">IFERROR(INDEX(المكونات!$B$2:$B$500,MATCH($B639,المكونات!$A$2:$A$500,0)),"")</f>
        <v>قطعة</v>
      </c>
      <c r="E639" s="67" t="n">
        <f aca="false">IFERROR(INDEX(المكونات!$C$2:$C$500,MATCH($B639,المكونات!$A$2:$A$500,0)),"")</f>
        <v>4</v>
      </c>
      <c r="F639" s="68" t="n">
        <f aca="false">IFERROR($C639*$E639,"")</f>
        <v>4</v>
      </c>
    </row>
    <row r="640" customFormat="false" ht="15" hidden="false" customHeight="true" outlineLevel="0" collapsed="false">
      <c r="A640" s="65" t="s">
        <v>395</v>
      </c>
      <c r="B640" s="65" t="s">
        <v>325</v>
      </c>
      <c r="C640" s="65" t="n">
        <v>0.15</v>
      </c>
      <c r="D640" s="66" t="str">
        <f aca="false">IFERROR(INDEX(المكونات!$B$2:$B$500,MATCH($B640,المكونات!$A$2:$A$500,0)),"")</f>
        <v>كجم</v>
      </c>
      <c r="E640" s="67" t="n">
        <f aca="false">IFERROR(INDEX(المكونات!$C$2:$C$500,MATCH($B640,المكونات!$A$2:$A$500,0)),"")</f>
        <v>23.56668</v>
      </c>
      <c r="F640" s="68" t="n">
        <f aca="false">IFERROR($C640*$E640,"")</f>
        <v>3.535002</v>
      </c>
    </row>
    <row r="641" customFormat="false" ht="15" hidden="false" customHeight="true" outlineLevel="0" collapsed="false">
      <c r="A641" s="65" t="s">
        <v>395</v>
      </c>
      <c r="B641" s="65" t="s">
        <v>245</v>
      </c>
      <c r="C641" s="65" t="n">
        <v>0.16</v>
      </c>
      <c r="D641" s="66" t="str">
        <f aca="false">IFERROR(INDEX(المكونات!$B$2:$B$500,MATCH($B641,المكونات!$A$2:$A$500,0)),"")</f>
        <v>كجم</v>
      </c>
      <c r="E641" s="67" t="n">
        <f aca="false">IFERROR(INDEX(المكونات!$C$2:$C$500,MATCH($B641,المكونات!$A$2:$A$500,0)),"")</f>
        <v>127.6582</v>
      </c>
      <c r="F641" s="68" t="n">
        <f aca="false">IFERROR($C641*$E641,"")</f>
        <v>20.425312</v>
      </c>
    </row>
    <row r="642" customFormat="false" ht="15" hidden="false" customHeight="true" outlineLevel="0" collapsed="false">
      <c r="A642" s="65" t="s">
        <v>395</v>
      </c>
      <c r="B642" s="65" t="s">
        <v>247</v>
      </c>
      <c r="C642" s="65" t="n">
        <v>0.03</v>
      </c>
      <c r="D642" s="66" t="str">
        <f aca="false">IFERROR(INDEX(المكونات!$B$2:$B$500,MATCH($B642,المكونات!$A$2:$A$500,0)),"")</f>
        <v>كجم</v>
      </c>
      <c r="E642" s="67" t="n">
        <f aca="false">IFERROR(INDEX(المكونات!$C$2:$C$500,MATCH($B642,المكونات!$A$2:$A$500,0)),"")</f>
        <v>100</v>
      </c>
      <c r="F642" s="68" t="n">
        <f aca="false">IFERROR($C642*$E642,"")</f>
        <v>3</v>
      </c>
    </row>
    <row r="643" customFormat="false" ht="15" hidden="false" customHeight="true" outlineLevel="0" collapsed="false">
      <c r="A643" s="65" t="s">
        <v>395</v>
      </c>
      <c r="B643" s="65" t="s">
        <v>295</v>
      </c>
      <c r="C643" s="65" t="n">
        <v>0.01</v>
      </c>
      <c r="D643" s="66" t="str">
        <f aca="false">IFERROR(INDEX(المكونات!$B$2:$B$500,MATCH($B643,المكونات!$A$2:$A$500,0)),"")</f>
        <v>كجم</v>
      </c>
      <c r="E643" s="67" t="n">
        <f aca="false">IFERROR(INDEX(المكونات!$C$2:$C$500,MATCH($B643,المكونات!$A$2:$A$500,0)),"")</f>
        <v>420</v>
      </c>
      <c r="F643" s="68" t="n">
        <f aca="false">IFERROR($C643*$E643,"")</f>
        <v>4.2</v>
      </c>
    </row>
    <row r="644" customFormat="false" ht="26.25" hidden="false" customHeight="true" outlineLevel="0" collapsed="false">
      <c r="A644" s="65" t="s">
        <v>395</v>
      </c>
      <c r="B644" s="65" t="s">
        <v>192</v>
      </c>
      <c r="C644" s="65" t="n">
        <v>1</v>
      </c>
      <c r="D644" s="66" t="str">
        <f aca="false">IFERROR(INDEX(المكونات!$B$2:$B$500,MATCH($B644,المكونات!$A$2:$A$500,0)),"")</f>
        <v>قطعة (لفة استخدام)</v>
      </c>
      <c r="E644" s="67" t="n">
        <f aca="false">IFERROR(INDEX(المكونات!$C$2:$C$500,MATCH($B644,المكونات!$A$2:$A$500,0)),"")</f>
        <v>3.65</v>
      </c>
      <c r="F644" s="68" t="n">
        <f aca="false">IFERROR($C644*$E644,"")</f>
        <v>3.65</v>
      </c>
    </row>
    <row r="645" customFormat="false" ht="15" hidden="false" customHeight="true" outlineLevel="0" collapsed="false">
      <c r="A645" s="65" t="s">
        <v>395</v>
      </c>
      <c r="B645" s="65" t="s">
        <v>278</v>
      </c>
      <c r="C645" s="65" t="n">
        <v>1</v>
      </c>
      <c r="D645" s="66" t="str">
        <f aca="false">IFERROR(INDEX(المكونات!$B$2:$B$500,MATCH($B645,المكونات!$A$2:$A$500,0)),"")</f>
        <v>قطعة</v>
      </c>
      <c r="E645" s="67" t="n">
        <f aca="false">IFERROR(INDEX(المكونات!$C$2:$C$500,MATCH($B645,المكونات!$A$2:$A$500,0)),"")</f>
        <v>3.1</v>
      </c>
      <c r="F645" s="68" t="n">
        <f aca="false">IFERROR($C645*$E645,"")</f>
        <v>3.1</v>
      </c>
    </row>
    <row r="646" customFormat="false" ht="15" hidden="false" customHeight="true" outlineLevel="0" collapsed="false">
      <c r="A646" s="65" t="s">
        <v>395</v>
      </c>
      <c r="B646" s="65" t="s">
        <v>243</v>
      </c>
      <c r="C646" s="65" t="n">
        <v>1</v>
      </c>
      <c r="D646" s="66" t="str">
        <f aca="false">IFERROR(INDEX(المكونات!$B$2:$B$500,MATCH($B646,المكونات!$A$2:$A$500,0)),"")</f>
        <v>قطعة</v>
      </c>
      <c r="E646" s="67" t="n">
        <f aca="false">IFERROR(INDEX(المكونات!$C$2:$C$500,MATCH($B646,المكونات!$A$2:$A$500,0)),"")</f>
        <v>0.3</v>
      </c>
      <c r="F646" s="68" t="n">
        <f aca="false">IFERROR($C646*$E646,"")</f>
        <v>0.3</v>
      </c>
    </row>
    <row r="647" customFormat="false" ht="15" hidden="false" customHeight="true" outlineLevel="0" collapsed="false">
      <c r="A647" s="65" t="s">
        <v>395</v>
      </c>
      <c r="B647" s="65" t="s">
        <v>136</v>
      </c>
      <c r="C647" s="65" t="n">
        <v>1</v>
      </c>
      <c r="D647" s="66" t="str">
        <f aca="false">IFERROR(INDEX(المكونات!$B$2:$B$500,MATCH($B647,المكونات!$A$2:$A$500,0)),"")</f>
        <v>قطعة (كيس)</v>
      </c>
      <c r="E647" s="67" t="n">
        <f aca="false">IFERROR(INDEX(المكونات!$C$2:$C$500,MATCH($B647,المكونات!$A$2:$A$500,0)),"")</f>
        <v>1.4</v>
      </c>
      <c r="F647" s="68" t="n">
        <f aca="false">IFERROR($C647*$E647,"")</f>
        <v>1.4</v>
      </c>
    </row>
    <row r="648" customFormat="false" ht="15" hidden="false" customHeight="true" outlineLevel="0" collapsed="false">
      <c r="A648" s="65" t="s">
        <v>422</v>
      </c>
      <c r="B648" s="65" t="s">
        <v>264</v>
      </c>
      <c r="C648" s="65" t="n">
        <v>1</v>
      </c>
      <c r="D648" s="66" t="str">
        <f aca="false">IFERROR(INDEX(المكونات!$B$2:$B$500,MATCH($B648,المكونات!$A$2:$A$500,0)),"")</f>
        <v>قطعة</v>
      </c>
      <c r="E648" s="67" t="n">
        <f aca="false">IFERROR(INDEX(المكونات!$C$2:$C$500,MATCH($B648,المكونات!$A$2:$A$500,0)),"")</f>
        <v>4</v>
      </c>
      <c r="F648" s="68" t="n">
        <f aca="false">IFERROR($C648*$E648,"")</f>
        <v>4</v>
      </c>
    </row>
    <row r="649" customFormat="false" ht="15" hidden="false" customHeight="true" outlineLevel="0" collapsed="false">
      <c r="A649" s="65" t="s">
        <v>422</v>
      </c>
      <c r="B649" s="65" t="s">
        <v>325</v>
      </c>
      <c r="C649" s="65" t="n">
        <v>0.15</v>
      </c>
      <c r="D649" s="66" t="str">
        <f aca="false">IFERROR(INDEX(المكونات!$B$2:$B$500,MATCH($B649,المكونات!$A$2:$A$500,0)),"")</f>
        <v>كجم</v>
      </c>
      <c r="E649" s="67" t="n">
        <f aca="false">IFERROR(INDEX(المكونات!$C$2:$C$500,MATCH($B649,المكونات!$A$2:$A$500,0)),"")</f>
        <v>23.56668</v>
      </c>
      <c r="F649" s="68" t="n">
        <f aca="false">IFERROR($C649*$E649,"")</f>
        <v>3.535002</v>
      </c>
    </row>
    <row r="650" customFormat="false" ht="15" hidden="false" customHeight="true" outlineLevel="0" collapsed="false">
      <c r="A650" s="65" t="s">
        <v>422</v>
      </c>
      <c r="B650" s="65" t="s">
        <v>317</v>
      </c>
      <c r="C650" s="65" t="n">
        <v>0.16</v>
      </c>
      <c r="D650" s="66" t="str">
        <f aca="false">IFERROR(INDEX(المكونات!$B$2:$B$500,MATCH($B650,المكونات!$A$2:$A$500,0)),"")</f>
        <v>كجم</v>
      </c>
      <c r="E650" s="67" t="n">
        <f aca="false">IFERROR(INDEX(المكونات!$C$2:$C$500,MATCH($B650,المكونات!$A$2:$A$500,0)),"")</f>
        <v>610</v>
      </c>
      <c r="F650" s="68" t="n">
        <f aca="false">IFERROR($C650*$E650,"")</f>
        <v>97.6</v>
      </c>
    </row>
    <row r="651" customFormat="false" ht="15" hidden="false" customHeight="true" outlineLevel="0" collapsed="false">
      <c r="A651" s="65" t="s">
        <v>422</v>
      </c>
      <c r="B651" s="65" t="s">
        <v>247</v>
      </c>
      <c r="C651" s="65" t="n">
        <v>0.03</v>
      </c>
      <c r="D651" s="66" t="str">
        <f aca="false">IFERROR(INDEX(المكونات!$B$2:$B$500,MATCH($B651,المكونات!$A$2:$A$500,0)),"")</f>
        <v>كجم</v>
      </c>
      <c r="E651" s="67" t="n">
        <f aca="false">IFERROR(INDEX(المكونات!$C$2:$C$500,MATCH($B651,المكونات!$A$2:$A$500,0)),"")</f>
        <v>100</v>
      </c>
      <c r="F651" s="68" t="n">
        <f aca="false">IFERROR($C651*$E651,"")</f>
        <v>3</v>
      </c>
    </row>
    <row r="652" customFormat="false" ht="15" hidden="false" customHeight="true" outlineLevel="0" collapsed="false">
      <c r="A652" s="65" t="s">
        <v>422</v>
      </c>
      <c r="B652" s="65" t="s">
        <v>166</v>
      </c>
      <c r="C652" s="65" t="n">
        <v>1</v>
      </c>
      <c r="D652" s="66" t="str">
        <f aca="false">IFERROR(INDEX(المكونات!$B$2:$B$500,MATCH($B652,المكونات!$A$2:$A$500,0)),"")</f>
        <v>قطعة</v>
      </c>
      <c r="E652" s="67" t="n">
        <f aca="false">IFERROR(INDEX(المكونات!$C$2:$C$500,MATCH($B652,المكونات!$A$2:$A$500,0)),"")</f>
        <v>25</v>
      </c>
      <c r="F652" s="68" t="n">
        <f aca="false">IFERROR($C652*$E652,"")</f>
        <v>25</v>
      </c>
    </row>
    <row r="653" customFormat="false" ht="15" hidden="false" customHeight="true" outlineLevel="0" collapsed="false">
      <c r="A653" s="65" t="s">
        <v>422</v>
      </c>
      <c r="B653" s="65" t="s">
        <v>170</v>
      </c>
      <c r="C653" s="65" t="n">
        <v>1</v>
      </c>
      <c r="D653" s="66" t="str">
        <f aca="false">IFERROR(INDEX(المكونات!$B$2:$B$500,MATCH($B653,المكونات!$A$2:$A$500,0)),"")</f>
        <v>قطعة</v>
      </c>
      <c r="E653" s="67" t="n">
        <f aca="false">IFERROR(INDEX(المكونات!$C$2:$C$500,MATCH($B653,المكونات!$A$2:$A$500,0)),"")</f>
        <v>23</v>
      </c>
      <c r="F653" s="68" t="n">
        <f aca="false">IFERROR($C653*$E653,"")</f>
        <v>23</v>
      </c>
    </row>
    <row r="654" customFormat="false" ht="26.25" hidden="false" customHeight="true" outlineLevel="0" collapsed="false">
      <c r="A654" s="65" t="s">
        <v>422</v>
      </c>
      <c r="B654" s="65" t="s">
        <v>192</v>
      </c>
      <c r="C654" s="65" t="n">
        <v>1</v>
      </c>
      <c r="D654" s="66" t="str">
        <f aca="false">IFERROR(INDEX(المكونات!$B$2:$B$500,MATCH($B654,المكونات!$A$2:$A$500,0)),"")</f>
        <v>قطعة (لفة استخدام)</v>
      </c>
      <c r="E654" s="67" t="n">
        <f aca="false">IFERROR(INDEX(المكونات!$C$2:$C$500,MATCH($B654,المكونات!$A$2:$A$500,0)),"")</f>
        <v>3.65</v>
      </c>
      <c r="F654" s="68" t="n">
        <f aca="false">IFERROR($C654*$E654,"")</f>
        <v>3.65</v>
      </c>
    </row>
    <row r="655" customFormat="false" ht="15" hidden="false" customHeight="true" outlineLevel="0" collapsed="false">
      <c r="A655" s="65" t="s">
        <v>422</v>
      </c>
      <c r="B655" s="65" t="s">
        <v>278</v>
      </c>
      <c r="C655" s="65" t="n">
        <v>1</v>
      </c>
      <c r="D655" s="66" t="str">
        <f aca="false">IFERROR(INDEX(المكونات!$B$2:$B$500,MATCH($B655,المكونات!$A$2:$A$500,0)),"")</f>
        <v>قطعة</v>
      </c>
      <c r="E655" s="67" t="n">
        <f aca="false">IFERROR(INDEX(المكونات!$C$2:$C$500,MATCH($B655,المكونات!$A$2:$A$500,0)),"")</f>
        <v>3.1</v>
      </c>
      <c r="F655" s="68" t="n">
        <f aca="false">IFERROR($C655*$E655,"")</f>
        <v>3.1</v>
      </c>
    </row>
    <row r="656" customFormat="false" ht="15" hidden="false" customHeight="true" outlineLevel="0" collapsed="false">
      <c r="A656" s="65" t="s">
        <v>422</v>
      </c>
      <c r="B656" s="65" t="s">
        <v>243</v>
      </c>
      <c r="C656" s="65" t="n">
        <v>1</v>
      </c>
      <c r="D656" s="66" t="str">
        <f aca="false">IFERROR(INDEX(المكونات!$B$2:$B$500,MATCH($B656,المكونات!$A$2:$A$500,0)),"")</f>
        <v>قطعة</v>
      </c>
      <c r="E656" s="67" t="n">
        <f aca="false">IFERROR(INDEX(المكونات!$C$2:$C$500,MATCH($B656,المكونات!$A$2:$A$500,0)),"")</f>
        <v>0.3</v>
      </c>
      <c r="F656" s="68" t="n">
        <f aca="false">IFERROR($C656*$E656,"")</f>
        <v>0.3</v>
      </c>
    </row>
    <row r="657" customFormat="false" ht="15" hidden="false" customHeight="true" outlineLevel="0" collapsed="false">
      <c r="A657" s="65" t="s">
        <v>422</v>
      </c>
      <c r="B657" s="65" t="s">
        <v>136</v>
      </c>
      <c r="C657" s="65" t="n">
        <v>1</v>
      </c>
      <c r="D657" s="66" t="str">
        <f aca="false">IFERROR(INDEX(المكونات!$B$2:$B$500,MATCH($B657,المكونات!$A$2:$A$500,0)),"")</f>
        <v>قطعة (كيس)</v>
      </c>
      <c r="E657" s="67" t="n">
        <f aca="false">IFERROR(INDEX(المكونات!$C$2:$C$500,MATCH($B657,المكونات!$A$2:$A$500,0)),"")</f>
        <v>1.4</v>
      </c>
      <c r="F657" s="68" t="n">
        <f aca="false">IFERROR($C657*$E657,"")</f>
        <v>1.4</v>
      </c>
    </row>
    <row r="658" customFormat="false" ht="15" hidden="false" customHeight="true" outlineLevel="0" collapsed="false">
      <c r="A658" s="65" t="s">
        <v>426</v>
      </c>
      <c r="B658" s="65" t="s">
        <v>264</v>
      </c>
      <c r="C658" s="65" t="n">
        <v>1</v>
      </c>
      <c r="D658" s="66" t="str">
        <f aca="false">IFERROR(INDEX(المكونات!$B$2:$B$500,MATCH($B658,المكونات!$A$2:$A$500,0)),"")</f>
        <v>قطعة</v>
      </c>
      <c r="E658" s="67" t="n">
        <f aca="false">IFERROR(INDEX(المكونات!$C$2:$C$500,MATCH($B658,المكونات!$A$2:$A$500,0)),"")</f>
        <v>4</v>
      </c>
      <c r="F658" s="68" t="n">
        <f aca="false">IFERROR($C658*$E658,"")</f>
        <v>4</v>
      </c>
    </row>
    <row r="659" customFormat="false" ht="15" hidden="false" customHeight="true" outlineLevel="0" collapsed="false">
      <c r="A659" s="65" t="s">
        <v>426</v>
      </c>
      <c r="B659" s="65" t="s">
        <v>325</v>
      </c>
      <c r="C659" s="65" t="n">
        <v>0.15</v>
      </c>
      <c r="D659" s="66" t="str">
        <f aca="false">IFERROR(INDEX(المكونات!$B$2:$B$500,MATCH($B659,المكونات!$A$2:$A$500,0)),"")</f>
        <v>كجم</v>
      </c>
      <c r="E659" s="67" t="n">
        <f aca="false">IFERROR(INDEX(المكونات!$C$2:$C$500,MATCH($B659,المكونات!$A$2:$A$500,0)),"")</f>
        <v>23.56668</v>
      </c>
      <c r="F659" s="68" t="n">
        <f aca="false">IFERROR($C659*$E659,"")</f>
        <v>3.535002</v>
      </c>
    </row>
    <row r="660" customFormat="false" ht="15" hidden="false" customHeight="true" outlineLevel="0" collapsed="false">
      <c r="A660" s="65" t="s">
        <v>426</v>
      </c>
      <c r="B660" s="65" t="s">
        <v>245</v>
      </c>
      <c r="C660" s="65" t="n">
        <v>0.1</v>
      </c>
      <c r="D660" s="66" t="str">
        <f aca="false">IFERROR(INDEX(المكونات!$B$2:$B$500,MATCH($B660,المكونات!$A$2:$A$500,0)),"")</f>
        <v>كجم</v>
      </c>
      <c r="E660" s="67" t="n">
        <f aca="false">IFERROR(INDEX(المكونات!$C$2:$C$500,MATCH($B660,المكونات!$A$2:$A$500,0)),"")</f>
        <v>127.6582</v>
      </c>
      <c r="F660" s="68" t="n">
        <f aca="false">IFERROR($C660*$E660,"")</f>
        <v>12.76582</v>
      </c>
    </row>
    <row r="661" customFormat="false" ht="15" hidden="false" customHeight="true" outlineLevel="0" collapsed="false">
      <c r="A661" s="65" t="s">
        <v>426</v>
      </c>
      <c r="B661" s="65" t="s">
        <v>302</v>
      </c>
      <c r="C661" s="65" t="n">
        <v>0.05</v>
      </c>
      <c r="D661" s="66" t="str">
        <f aca="false">IFERROR(INDEX(المكونات!$B$2:$B$500,MATCH($B661,المكونات!$A$2:$A$500,0)),"")</f>
        <v>كجم</v>
      </c>
      <c r="E661" s="67" t="n">
        <f aca="false">IFERROR(INDEX(المكونات!$C$2:$C$500,MATCH($B661,المكونات!$A$2:$A$500,0)),"")</f>
        <v>135</v>
      </c>
      <c r="F661" s="68" t="n">
        <f aca="false">IFERROR($C661*$E661,"")</f>
        <v>6.75</v>
      </c>
    </row>
    <row r="662" customFormat="false" ht="15" hidden="false" customHeight="true" outlineLevel="0" collapsed="false">
      <c r="A662" s="65" t="s">
        <v>426</v>
      </c>
      <c r="B662" s="65" t="s">
        <v>247</v>
      </c>
      <c r="C662" s="65" t="n">
        <v>0.05</v>
      </c>
      <c r="D662" s="66" t="str">
        <f aca="false">IFERROR(INDEX(المكونات!$B$2:$B$500,MATCH($B662,المكونات!$A$2:$A$500,0)),"")</f>
        <v>كجم</v>
      </c>
      <c r="E662" s="67" t="n">
        <f aca="false">IFERROR(INDEX(المكونات!$C$2:$C$500,MATCH($B662,المكونات!$A$2:$A$500,0)),"")</f>
        <v>100</v>
      </c>
      <c r="F662" s="68" t="n">
        <f aca="false">IFERROR($C662*$E662,"")</f>
        <v>5</v>
      </c>
    </row>
    <row r="663" customFormat="false" ht="15" hidden="false" customHeight="true" outlineLevel="0" collapsed="false">
      <c r="A663" s="65" t="s">
        <v>426</v>
      </c>
      <c r="B663" s="65" t="s">
        <v>185</v>
      </c>
      <c r="C663" s="65" t="n">
        <v>0.03</v>
      </c>
      <c r="D663" s="66" t="str">
        <f aca="false">IFERROR(INDEX(المكونات!$B$2:$B$500,MATCH($B663,المكونات!$A$2:$A$500,0)),"")</f>
        <v>كجم</v>
      </c>
      <c r="E663" s="67" t="n">
        <f aca="false">IFERROR(INDEX(المكونات!$C$2:$C$500,MATCH($B663,المكونات!$A$2:$A$500,0)),"")</f>
        <v>100</v>
      </c>
      <c r="F663" s="68" t="n">
        <f aca="false">IFERROR($C663*$E663,"")</f>
        <v>3</v>
      </c>
    </row>
    <row r="664" customFormat="false" ht="15" hidden="false" customHeight="true" outlineLevel="0" collapsed="false">
      <c r="A664" s="65" t="s">
        <v>426</v>
      </c>
      <c r="B664" s="65" t="s">
        <v>180</v>
      </c>
      <c r="C664" s="65" t="n">
        <v>0.03</v>
      </c>
      <c r="D664" s="66" t="str">
        <f aca="false">IFERROR(INDEX(المكونات!$B$2:$B$500,MATCH($B664,المكونات!$A$2:$A$500,0)),"")</f>
        <v>كجم</v>
      </c>
      <c r="E664" s="67" t="n">
        <f aca="false">IFERROR(INDEX(المكونات!$C$2:$C$500,MATCH($B664,المكونات!$A$2:$A$500,0)),"")</f>
        <v>100</v>
      </c>
      <c r="F664" s="68" t="n">
        <f aca="false">IFERROR($C664*$E664,"")</f>
        <v>3</v>
      </c>
    </row>
    <row r="665" customFormat="false" ht="15" hidden="false" customHeight="true" outlineLevel="0" collapsed="false">
      <c r="A665" s="65" t="s">
        <v>426</v>
      </c>
      <c r="B665" s="65" t="s">
        <v>170</v>
      </c>
      <c r="C665" s="65" t="n">
        <v>1</v>
      </c>
      <c r="D665" s="66" t="str">
        <f aca="false">IFERROR(INDEX(المكونات!$B$2:$B$500,MATCH($B665,المكونات!$A$2:$A$500,0)),"")</f>
        <v>قطعة</v>
      </c>
      <c r="E665" s="67" t="n">
        <f aca="false">IFERROR(INDEX(المكونات!$C$2:$C$500,MATCH($B665,المكونات!$A$2:$A$500,0)),"")</f>
        <v>23</v>
      </c>
      <c r="F665" s="68" t="n">
        <f aca="false">IFERROR($C665*$E665,"")</f>
        <v>23</v>
      </c>
    </row>
    <row r="666" customFormat="false" ht="15" hidden="false" customHeight="true" outlineLevel="0" collapsed="false">
      <c r="A666" s="65" t="s">
        <v>426</v>
      </c>
      <c r="B666" s="65" t="s">
        <v>234</v>
      </c>
      <c r="C666" s="65" t="n">
        <v>1</v>
      </c>
      <c r="D666" s="66" t="str">
        <f aca="false">IFERROR(INDEX(المكونات!$B$2:$B$500,MATCH($B666,المكونات!$A$2:$A$500,0)),"")</f>
        <v>قطعة (استخدام)</v>
      </c>
      <c r="E666" s="67" t="n">
        <f aca="false">IFERROR(INDEX(المكونات!$C$2:$C$500,MATCH($B666,المكونات!$A$2:$A$500,0)),"")</f>
        <v>2.5189</v>
      </c>
      <c r="F666" s="68" t="n">
        <f aca="false">IFERROR($C666*$E666,"")</f>
        <v>2.5189</v>
      </c>
    </row>
    <row r="667" customFormat="false" ht="15" hidden="false" customHeight="true" outlineLevel="0" collapsed="false">
      <c r="A667" s="65" t="s">
        <v>426</v>
      </c>
      <c r="B667" s="65" t="s">
        <v>270</v>
      </c>
      <c r="C667" s="65" t="n">
        <v>1</v>
      </c>
      <c r="D667" s="66" t="str">
        <f aca="false">IFERROR(INDEX(المكونات!$B$2:$B$500,MATCH($B667,المكونات!$A$2:$A$500,0)),"")</f>
        <v>قطعة</v>
      </c>
      <c r="E667" s="67" t="n">
        <f aca="false">IFERROR(INDEX(المكونات!$C$2:$C$500,MATCH($B667,المكونات!$A$2:$A$500,0)),"")</f>
        <v>4.5</v>
      </c>
      <c r="F667" s="68" t="n">
        <f aca="false">IFERROR($C667*$E667,"")</f>
        <v>4.5</v>
      </c>
    </row>
    <row r="668" customFormat="false" ht="26.25" hidden="false" customHeight="true" outlineLevel="0" collapsed="false">
      <c r="A668" s="65" t="s">
        <v>426</v>
      </c>
      <c r="B668" s="65" t="s">
        <v>192</v>
      </c>
      <c r="C668" s="65" t="n">
        <v>1</v>
      </c>
      <c r="D668" s="66" t="str">
        <f aca="false">IFERROR(INDEX(المكونات!$B$2:$B$500,MATCH($B668,المكونات!$A$2:$A$500,0)),"")</f>
        <v>قطعة (لفة استخدام)</v>
      </c>
      <c r="E668" s="67" t="n">
        <f aca="false">IFERROR(INDEX(المكونات!$C$2:$C$500,MATCH($B668,المكونات!$A$2:$A$500,0)),"")</f>
        <v>3.65</v>
      </c>
      <c r="F668" s="68" t="n">
        <f aca="false">IFERROR($C668*$E668,"")</f>
        <v>3.65</v>
      </c>
    </row>
    <row r="669" customFormat="false" ht="15" hidden="false" customHeight="true" outlineLevel="0" collapsed="false">
      <c r="A669" s="65" t="s">
        <v>426</v>
      </c>
      <c r="B669" s="65" t="s">
        <v>243</v>
      </c>
      <c r="C669" s="65" t="n">
        <v>1</v>
      </c>
      <c r="D669" s="66" t="str">
        <f aca="false">IFERROR(INDEX(المكونات!$B$2:$B$500,MATCH($B669,المكونات!$A$2:$A$500,0)),"")</f>
        <v>قطعة</v>
      </c>
      <c r="E669" s="67" t="n">
        <f aca="false">IFERROR(INDEX(المكونات!$C$2:$C$500,MATCH($B669,المكونات!$A$2:$A$500,0)),"")</f>
        <v>0.3</v>
      </c>
      <c r="F669" s="68" t="n">
        <f aca="false">IFERROR($C669*$E669,"")</f>
        <v>0.3</v>
      </c>
    </row>
    <row r="670" customFormat="false" ht="15" hidden="false" customHeight="true" outlineLevel="0" collapsed="false">
      <c r="A670" s="65" t="s">
        <v>426</v>
      </c>
      <c r="B670" s="65" t="s">
        <v>136</v>
      </c>
      <c r="C670" s="65" t="n">
        <v>1</v>
      </c>
      <c r="D670" s="66" t="str">
        <f aca="false">IFERROR(INDEX(المكونات!$B$2:$B$500,MATCH($B670,المكونات!$A$2:$A$500,0)),"")</f>
        <v>قطعة (كيس)</v>
      </c>
      <c r="E670" s="67" t="n">
        <f aca="false">IFERROR(INDEX(المكونات!$C$2:$C$500,MATCH($B670,المكونات!$A$2:$A$500,0)),"")</f>
        <v>1.4</v>
      </c>
      <c r="F670" s="68" t="n">
        <f aca="false">IFERROR($C670*$E670,"")</f>
        <v>1.4</v>
      </c>
    </row>
    <row r="671" customFormat="false" ht="15" hidden="false" customHeight="true" outlineLevel="0" collapsed="false">
      <c r="A671" s="65" t="s">
        <v>524</v>
      </c>
      <c r="B671" s="65" t="s">
        <v>262</v>
      </c>
      <c r="C671" s="65" t="n">
        <v>0.22</v>
      </c>
      <c r="D671" s="66" t="str">
        <f aca="false">IFERROR(INDEX(المكونات!$B$2:$B$500,MATCH($B671,المكونات!$A$2:$A$500,0)),"")</f>
        <v>كجم</v>
      </c>
      <c r="E671" s="67" t="n">
        <f aca="false">IFERROR(INDEX(المكونات!$C$2:$C$500,MATCH($B671,المكونات!$A$2:$A$500,0)),"")</f>
        <v>22</v>
      </c>
      <c r="F671" s="68" t="n">
        <f aca="false">IFERROR($C671*$E671,"")</f>
        <v>4.84</v>
      </c>
    </row>
    <row r="672" customFormat="false" ht="15" hidden="false" customHeight="true" outlineLevel="0" collapsed="false">
      <c r="A672" s="65" t="s">
        <v>524</v>
      </c>
      <c r="B672" s="65" t="s">
        <v>140</v>
      </c>
      <c r="C672" s="65" t="n">
        <v>2</v>
      </c>
      <c r="D672" s="66" t="str">
        <f aca="false">IFERROR(INDEX(المكونات!$B$2:$B$500,MATCH($B672,المكونات!$A$2:$A$500,0)),"")</f>
        <v>قطعة</v>
      </c>
      <c r="E672" s="67" t="n">
        <f aca="false">IFERROR(INDEX(المكونات!$C$2:$C$500,MATCH($B672,المكونات!$A$2:$A$500,0)),"")</f>
        <v>18</v>
      </c>
      <c r="F672" s="68" t="n">
        <f aca="false">IFERROR($C672*$E672,"")</f>
        <v>36</v>
      </c>
    </row>
    <row r="673" customFormat="false" ht="15" hidden="false" customHeight="true" outlineLevel="0" collapsed="false">
      <c r="A673" s="65" t="s">
        <v>524</v>
      </c>
      <c r="B673" s="65" t="s">
        <v>172</v>
      </c>
      <c r="C673" s="65" t="n">
        <v>0.5</v>
      </c>
      <c r="D673" s="66" t="str">
        <f aca="false">IFERROR(INDEX(المكونات!$B$2:$B$500,MATCH($B673,المكونات!$A$2:$A$500,0)),"")</f>
        <v>قطعة</v>
      </c>
      <c r="E673" s="67" t="n">
        <f aca="false">IFERROR(INDEX(المكونات!$C$2:$C$500,MATCH($B673,المكونات!$A$2:$A$500,0)),"")</f>
        <v>20</v>
      </c>
      <c r="F673" s="68" t="n">
        <f aca="false">IFERROR($C673*$E673,"")</f>
        <v>10</v>
      </c>
    </row>
    <row r="674" customFormat="false" ht="15" hidden="false" customHeight="true" outlineLevel="0" collapsed="false">
      <c r="A674" s="65" t="s">
        <v>524</v>
      </c>
      <c r="B674" s="65" t="s">
        <v>342</v>
      </c>
      <c r="C674" s="65" t="n">
        <v>1</v>
      </c>
      <c r="D674" s="66" t="str">
        <f aca="false">IFERROR(INDEX(المكونات!$B$2:$B$500,MATCH($B674,المكونات!$A$2:$A$500,0)),"")</f>
        <v>قطعة</v>
      </c>
      <c r="E674" s="67" t="n">
        <f aca="false">IFERROR(INDEX(المكونات!$C$2:$C$500,MATCH($B674,المكونات!$A$2:$A$500,0)),"")</f>
        <v>0.3</v>
      </c>
      <c r="F674" s="68" t="n">
        <f aca="false">IFERROR($C674*$E674,"")</f>
        <v>0.3</v>
      </c>
    </row>
    <row r="675" customFormat="false" ht="15" hidden="false" customHeight="true" outlineLevel="0" collapsed="false">
      <c r="A675" s="65" t="s">
        <v>524</v>
      </c>
      <c r="B675" s="65" t="s">
        <v>260</v>
      </c>
      <c r="C675" s="65" t="n">
        <v>0.02</v>
      </c>
      <c r="D675" s="66" t="str">
        <f aca="false">IFERROR(INDEX(المكونات!$B$2:$B$500,MATCH($B675,المكونات!$A$2:$A$500,0)),"")</f>
        <v>كجم</v>
      </c>
      <c r="E675" s="67" t="n">
        <f aca="false">IFERROR(INDEX(المكونات!$C$2:$C$500,MATCH($B675,المكونات!$A$2:$A$500,0)),"")</f>
        <v>21</v>
      </c>
      <c r="F675" s="68" t="n">
        <f aca="false">IFERROR($C675*$E675,"")</f>
        <v>0.42</v>
      </c>
    </row>
    <row r="676" customFormat="false" ht="15" hidden="false" customHeight="true" outlineLevel="0" collapsed="false">
      <c r="A676" s="65" t="s">
        <v>524</v>
      </c>
      <c r="B676" s="65" t="s">
        <v>284</v>
      </c>
      <c r="C676" s="65" t="n">
        <v>0.02</v>
      </c>
      <c r="D676" s="66" t="str">
        <f aca="false">IFERROR(INDEX(المكونات!$B$2:$B$500,MATCH($B676,المكونات!$A$2:$A$500,0)),"")</f>
        <v>كجم</v>
      </c>
      <c r="E676" s="67" t="n">
        <f aca="false">IFERROR(INDEX(المكونات!$C$2:$C$500,MATCH($B676,المكونات!$A$2:$A$500,0)),"")</f>
        <v>27</v>
      </c>
      <c r="F676" s="68" t="n">
        <f aca="false">IFERROR($C676*$E676,"")</f>
        <v>0.54</v>
      </c>
    </row>
    <row r="677" customFormat="false" ht="15" hidden="false" customHeight="true" outlineLevel="0" collapsed="false">
      <c r="A677" s="65" t="s">
        <v>524</v>
      </c>
      <c r="B677" s="65" t="s">
        <v>190</v>
      </c>
      <c r="C677" s="65" t="n">
        <v>0.02</v>
      </c>
      <c r="D677" s="66" t="str">
        <f aca="false">IFERROR(INDEX(المكونات!$B$2:$B$500,MATCH($B677,المكونات!$A$2:$A$500,0)),"")</f>
        <v>كجم</v>
      </c>
      <c r="E677" s="67" t="n">
        <f aca="false">IFERROR(INDEX(المكونات!$C$2:$C$500,MATCH($B677,المكونات!$A$2:$A$500,0)),"")</f>
        <v>18</v>
      </c>
      <c r="F677" s="68" t="n">
        <f aca="false">IFERROR($C677*$E677,"")</f>
        <v>0.36</v>
      </c>
    </row>
    <row r="678" customFormat="false" ht="15" hidden="false" customHeight="true" outlineLevel="0" collapsed="false">
      <c r="A678" s="65" t="s">
        <v>524</v>
      </c>
      <c r="B678" s="65" t="s">
        <v>217</v>
      </c>
      <c r="C678" s="65" t="n">
        <v>0.02</v>
      </c>
      <c r="D678" s="66" t="str">
        <f aca="false">IFERROR(INDEX(المكونات!$B$2:$B$500,MATCH($B678,المكونات!$A$2:$A$500,0)),"")</f>
        <v>كجم</v>
      </c>
      <c r="E678" s="67" t="n">
        <f aca="false">IFERROR(INDEX(المكونات!$C$2:$C$500,MATCH($B678,المكونات!$A$2:$A$500,0)),"")</f>
        <v>30</v>
      </c>
      <c r="F678" s="68" t="n">
        <f aca="false">IFERROR($C678*$E678,"")</f>
        <v>0.6</v>
      </c>
    </row>
    <row r="679" customFormat="false" ht="15" hidden="false" customHeight="true" outlineLevel="0" collapsed="false">
      <c r="A679" s="65" t="s">
        <v>524</v>
      </c>
      <c r="B679" s="65" t="s">
        <v>254</v>
      </c>
      <c r="C679" s="65" t="n">
        <v>0.05</v>
      </c>
      <c r="D679" s="66" t="str">
        <f aca="false">IFERROR(INDEX(المكونات!$B$2:$B$500,MATCH($B679,المكونات!$A$2:$A$500,0)),"")</f>
        <v>كجم</v>
      </c>
      <c r="E679" s="67" t="n">
        <f aca="false">IFERROR(INDEX(المكونات!$C$2:$C$500,MATCH($B679,المكونات!$A$2:$A$500,0)),"")</f>
        <v>140</v>
      </c>
      <c r="F679" s="68" t="n">
        <f aca="false">IFERROR($C679*$E679,"")</f>
        <v>7</v>
      </c>
    </row>
    <row r="680" customFormat="false" ht="15" hidden="false" customHeight="true" outlineLevel="0" collapsed="false">
      <c r="A680" s="65" t="s">
        <v>524</v>
      </c>
      <c r="B680" s="65" t="s">
        <v>252</v>
      </c>
      <c r="C680" s="65" t="n">
        <v>0.05</v>
      </c>
      <c r="D680" s="66" t="str">
        <f aca="false">IFERROR(INDEX(المكونات!$B$2:$B$500,MATCH($B680,المكونات!$A$2:$A$500,0)),"")</f>
        <v>كجم</v>
      </c>
      <c r="E680" s="67" t="n">
        <f aca="false">IFERROR(INDEX(المكونات!$C$2:$C$500,MATCH($B680,المكونات!$A$2:$A$500,0)),"")</f>
        <v>70</v>
      </c>
      <c r="F680" s="68" t="n">
        <f aca="false">IFERROR($C680*$E680,"")</f>
        <v>3.5</v>
      </c>
    </row>
    <row r="681" customFormat="false" ht="15" hidden="false" customHeight="true" outlineLevel="0" collapsed="false">
      <c r="A681" s="65" t="s">
        <v>524</v>
      </c>
      <c r="B681" s="65" t="s">
        <v>258</v>
      </c>
      <c r="C681" s="65" t="n">
        <v>0.05</v>
      </c>
      <c r="D681" s="66" t="str">
        <f aca="false">IFERROR(INDEX(المكونات!$B$2:$B$500,MATCH($B681,المكونات!$A$2:$A$500,0)),"")</f>
        <v>كجم</v>
      </c>
      <c r="E681" s="67" t="n">
        <f aca="false">IFERROR(INDEX(المكونات!$C$2:$C$500,MATCH($B681,المكونات!$A$2:$A$500,0)),"")</f>
        <v>140</v>
      </c>
      <c r="F681" s="68" t="n">
        <f aca="false">IFERROR($C681*$E681,"")</f>
        <v>7</v>
      </c>
    </row>
    <row r="682" customFormat="false" ht="15" hidden="false" customHeight="true" outlineLevel="0" collapsed="false">
      <c r="A682" s="65" t="s">
        <v>524</v>
      </c>
      <c r="B682" s="65" t="s">
        <v>290</v>
      </c>
      <c r="C682" s="65" t="n">
        <v>2</v>
      </c>
      <c r="D682" s="66" t="str">
        <f aca="false">IFERROR(INDEX(المكونات!$B$2:$B$500,MATCH($B682,المكونات!$A$2:$A$500,0)),"")</f>
        <v>قطعة</v>
      </c>
      <c r="E682" s="67" t="n">
        <f aca="false">IFERROR(INDEX(المكونات!$C$2:$C$500,MATCH($B682,المكونات!$A$2:$A$500,0)),"")</f>
        <v>0.3</v>
      </c>
      <c r="F682" s="68" t="n">
        <f aca="false">IFERROR($C682*$E682,"")</f>
        <v>0.6</v>
      </c>
    </row>
    <row r="683" customFormat="false" ht="15" hidden="false" customHeight="true" outlineLevel="0" collapsed="false">
      <c r="A683" s="65" t="s">
        <v>524</v>
      </c>
      <c r="B683" s="65" t="s">
        <v>319</v>
      </c>
      <c r="C683" s="65" t="n">
        <v>1</v>
      </c>
      <c r="D683" s="66" t="str">
        <f aca="false">IFERROR(INDEX(المكونات!$B$2:$B$500,MATCH($B683,المكونات!$A$2:$A$500,0)),"")</f>
        <v>قطعة (ورقة)</v>
      </c>
      <c r="E683" s="67" t="n">
        <f aca="false">IFERROR(INDEX(المكونات!$C$2:$C$500,MATCH($B683,المكونات!$A$2:$A$500,0)),"")</f>
        <v>0.3665</v>
      </c>
      <c r="F683" s="68" t="n">
        <f aca="false">IFERROR($C683*$E683,"")</f>
        <v>0.3665</v>
      </c>
    </row>
    <row r="684" customFormat="false" ht="15" hidden="false" customHeight="true" outlineLevel="0" collapsed="false">
      <c r="A684" s="65" t="s">
        <v>524</v>
      </c>
      <c r="B684" s="65" t="s">
        <v>133</v>
      </c>
      <c r="C684" s="65" t="n">
        <v>1</v>
      </c>
      <c r="D684" s="66" t="str">
        <f aca="false">IFERROR(INDEX(المكونات!$B$2:$B$500,MATCH($B684,المكونات!$A$2:$A$500,0)),"")</f>
        <v>قطعة (كيس)</v>
      </c>
      <c r="E684" s="67" t="n">
        <f aca="false">IFERROR(INDEX(المكونات!$C$2:$C$500,MATCH($B684,المكونات!$A$2:$A$500,0)),"")</f>
        <v>1.4</v>
      </c>
      <c r="F684" s="68" t="n">
        <f aca="false">IFERROR($C684*$E684,"")</f>
        <v>1.4</v>
      </c>
    </row>
    <row r="685" customFormat="false" ht="15" hidden="false" customHeight="true" outlineLevel="0" collapsed="false">
      <c r="A685" s="65" t="s">
        <v>524</v>
      </c>
      <c r="B685" s="65" t="s">
        <v>293</v>
      </c>
      <c r="C685" s="65" t="n">
        <v>1</v>
      </c>
      <c r="D685" s="66" t="str">
        <f aca="false">IFERROR(INDEX(المكونات!$B$2:$B$500,MATCH($B685,المكونات!$A$2:$A$500,0)),"")</f>
        <v>قطعة</v>
      </c>
      <c r="E685" s="67" t="n">
        <f aca="false">IFERROR(INDEX(المكونات!$C$2:$C$500,MATCH($B685,المكونات!$A$2:$A$500,0)),"")</f>
        <v>0.5</v>
      </c>
      <c r="F685" s="68" t="n">
        <f aca="false">IFERROR($C685*$E685,"")</f>
        <v>0.5</v>
      </c>
    </row>
    <row r="686" customFormat="false" ht="15" hidden="false" customHeight="true" outlineLevel="0" collapsed="false">
      <c r="A686" s="65" t="s">
        <v>524</v>
      </c>
      <c r="B686" s="65" t="s">
        <v>211</v>
      </c>
      <c r="C686" s="65" t="n">
        <v>2</v>
      </c>
      <c r="D686" s="66" t="str">
        <f aca="false">IFERROR(INDEX(المكونات!$B$2:$B$500,MATCH($B686,المكونات!$A$2:$A$500,0)),"")</f>
        <v>قطعة (جلفز)</v>
      </c>
      <c r="E686" s="67" t="n">
        <f aca="false">IFERROR(INDEX(المكونات!$C$2:$C$500,MATCH($B686,المكونات!$A$2:$A$500,0)),"")</f>
        <v>0.18</v>
      </c>
      <c r="F686" s="68" t="n">
        <f aca="false">IFERROR($C686*$E686,"")</f>
        <v>0.36</v>
      </c>
    </row>
    <row r="687" customFormat="false" ht="15" hidden="false" customHeight="true" outlineLevel="0" collapsed="false">
      <c r="A687" s="65" t="s">
        <v>524</v>
      </c>
      <c r="B687" s="65" t="s">
        <v>322</v>
      </c>
      <c r="C687" s="65" t="n">
        <v>1</v>
      </c>
      <c r="D687" s="66" t="str">
        <f aca="false">IFERROR(INDEX(المكونات!$B$2:$B$500,MATCH($B687,المكونات!$A$2:$A$500,0)),"")</f>
        <v>قطعة (كيس)</v>
      </c>
      <c r="E687" s="67" t="n">
        <f aca="false">IFERROR(INDEX(المكونات!$C$2:$C$500,MATCH($B687,المكونات!$A$2:$A$500,0)),"")</f>
        <v>1</v>
      </c>
      <c r="F687" s="68" t="n">
        <f aca="false">IFERROR($C687*$E687,"")</f>
        <v>1</v>
      </c>
    </row>
    <row r="688" customFormat="false" ht="15" hidden="false" customHeight="true" outlineLevel="0" collapsed="false">
      <c r="A688" s="65" t="s">
        <v>524</v>
      </c>
      <c r="B688" s="65" t="s">
        <v>344</v>
      </c>
      <c r="C688" s="65" t="n">
        <v>1</v>
      </c>
      <c r="D688" s="66" t="str">
        <f aca="false">IFERROR(INDEX(المكونات!$B$2:$B$500,MATCH($B688,المكونات!$A$2:$A$500,0)),"")</f>
        <v>قطعة</v>
      </c>
      <c r="E688" s="67" t="n">
        <f aca="false">IFERROR(INDEX(المكونات!$C$2:$C$500,MATCH($B688,المكونات!$A$2:$A$500,0)),"")</f>
        <v>4.44</v>
      </c>
      <c r="F688" s="68" t="n">
        <f aca="false">IFERROR($C688*$E688,"")</f>
        <v>4.44</v>
      </c>
    </row>
    <row r="689" customFormat="false" ht="15" hidden="false" customHeight="true" outlineLevel="0" collapsed="false">
      <c r="A689" s="65" t="s">
        <v>498</v>
      </c>
      <c r="B689" s="65" t="s">
        <v>262</v>
      </c>
      <c r="C689" s="65" t="n">
        <v>0.22</v>
      </c>
      <c r="D689" s="66" t="str">
        <f aca="false">IFERROR(INDEX(المكونات!$B$2:$B$500,MATCH($B689,المكونات!$A$2:$A$500,0)),"")</f>
        <v>كجم</v>
      </c>
      <c r="E689" s="67" t="n">
        <f aca="false">IFERROR(INDEX(المكونات!$C$2:$C$500,MATCH($B689,المكونات!$A$2:$A$500,0)),"")</f>
        <v>22</v>
      </c>
      <c r="F689" s="68" t="n">
        <f aca="false">IFERROR($C689*$E689,"")</f>
        <v>4.84</v>
      </c>
    </row>
    <row r="690" customFormat="false" ht="15" hidden="false" customHeight="true" outlineLevel="0" collapsed="false">
      <c r="A690" s="65" t="s">
        <v>498</v>
      </c>
      <c r="B690" s="65" t="s">
        <v>172</v>
      </c>
      <c r="C690" s="65" t="n">
        <v>1</v>
      </c>
      <c r="D690" s="66" t="str">
        <f aca="false">IFERROR(INDEX(المكونات!$B$2:$B$500,MATCH($B690,المكونات!$A$2:$A$500,0)),"")</f>
        <v>قطعة</v>
      </c>
      <c r="E690" s="67" t="n">
        <f aca="false">IFERROR(INDEX(المكونات!$C$2:$C$500,MATCH($B690,المكونات!$A$2:$A$500,0)),"")</f>
        <v>20</v>
      </c>
      <c r="F690" s="68" t="n">
        <f aca="false">IFERROR($C690*$E690,"")</f>
        <v>20</v>
      </c>
    </row>
    <row r="691" customFormat="false" ht="15" hidden="false" customHeight="true" outlineLevel="0" collapsed="false">
      <c r="A691" s="65" t="s">
        <v>498</v>
      </c>
      <c r="B691" s="65" t="s">
        <v>162</v>
      </c>
      <c r="C691" s="65" t="n">
        <v>1</v>
      </c>
      <c r="D691" s="66" t="str">
        <f aca="false">IFERROR(INDEX(المكونات!$B$2:$B$500,MATCH($B691,المكونات!$A$2:$A$500,0)),"")</f>
        <v>قطعة</v>
      </c>
      <c r="E691" s="67" t="n">
        <f aca="false">IFERROR(INDEX(المكونات!$C$2:$C$500,MATCH($B691,المكونات!$A$2:$A$500,0)),"")</f>
        <v>30</v>
      </c>
      <c r="F691" s="68" t="n">
        <f aca="false">IFERROR($C691*$E691,"")</f>
        <v>30</v>
      </c>
    </row>
    <row r="692" customFormat="false" ht="15" hidden="false" customHeight="true" outlineLevel="0" collapsed="false">
      <c r="A692" s="65" t="s">
        <v>498</v>
      </c>
      <c r="B692" s="65" t="s">
        <v>342</v>
      </c>
      <c r="C692" s="65" t="n">
        <v>1</v>
      </c>
      <c r="D692" s="66" t="str">
        <f aca="false">IFERROR(INDEX(المكونات!$B$2:$B$500,MATCH($B692,المكونات!$A$2:$A$500,0)),"")</f>
        <v>قطعة</v>
      </c>
      <c r="E692" s="67" t="n">
        <f aca="false">IFERROR(INDEX(المكونات!$C$2:$C$500,MATCH($B692,المكونات!$A$2:$A$500,0)),"")</f>
        <v>0.3</v>
      </c>
      <c r="F692" s="68" t="n">
        <f aca="false">IFERROR($C692*$E692,"")</f>
        <v>0.3</v>
      </c>
    </row>
    <row r="693" customFormat="false" ht="15" hidden="false" customHeight="true" outlineLevel="0" collapsed="false">
      <c r="A693" s="65" t="s">
        <v>498</v>
      </c>
      <c r="B693" s="65" t="s">
        <v>260</v>
      </c>
      <c r="C693" s="65" t="n">
        <v>0.02</v>
      </c>
      <c r="D693" s="66" t="str">
        <f aca="false">IFERROR(INDEX(المكونات!$B$2:$B$500,MATCH($B693,المكونات!$A$2:$A$500,0)),"")</f>
        <v>كجم</v>
      </c>
      <c r="E693" s="67" t="n">
        <f aca="false">IFERROR(INDEX(المكونات!$C$2:$C$500,MATCH($B693,المكونات!$A$2:$A$500,0)),"")</f>
        <v>21</v>
      </c>
      <c r="F693" s="68" t="n">
        <f aca="false">IFERROR($C693*$E693,"")</f>
        <v>0.42</v>
      </c>
    </row>
    <row r="694" customFormat="false" ht="15" hidden="false" customHeight="true" outlineLevel="0" collapsed="false">
      <c r="A694" s="65" t="s">
        <v>498</v>
      </c>
      <c r="B694" s="65" t="s">
        <v>284</v>
      </c>
      <c r="C694" s="65" t="n">
        <v>0.02</v>
      </c>
      <c r="D694" s="66" t="str">
        <f aca="false">IFERROR(INDEX(المكونات!$B$2:$B$500,MATCH($B694,المكونات!$A$2:$A$500,0)),"")</f>
        <v>كجم</v>
      </c>
      <c r="E694" s="67" t="n">
        <f aca="false">IFERROR(INDEX(المكونات!$C$2:$C$500,MATCH($B694,المكونات!$A$2:$A$500,0)),"")</f>
        <v>27</v>
      </c>
      <c r="F694" s="68" t="n">
        <f aca="false">IFERROR($C694*$E694,"")</f>
        <v>0.54</v>
      </c>
    </row>
    <row r="695" customFormat="false" ht="15" hidden="false" customHeight="true" outlineLevel="0" collapsed="false">
      <c r="A695" s="65" t="s">
        <v>498</v>
      </c>
      <c r="B695" s="65" t="s">
        <v>190</v>
      </c>
      <c r="C695" s="65" t="n">
        <v>0.02</v>
      </c>
      <c r="D695" s="66" t="str">
        <f aca="false">IFERROR(INDEX(المكونات!$B$2:$B$500,MATCH($B695,المكونات!$A$2:$A$500,0)),"")</f>
        <v>كجم</v>
      </c>
      <c r="E695" s="67" t="n">
        <f aca="false">IFERROR(INDEX(المكونات!$C$2:$C$500,MATCH($B695,المكونات!$A$2:$A$500,0)),"")</f>
        <v>18</v>
      </c>
      <c r="F695" s="68" t="n">
        <f aca="false">IFERROR($C695*$E695,"")</f>
        <v>0.36</v>
      </c>
    </row>
    <row r="696" customFormat="false" ht="15" hidden="false" customHeight="true" outlineLevel="0" collapsed="false">
      <c r="A696" s="65" t="s">
        <v>498</v>
      </c>
      <c r="B696" s="65" t="s">
        <v>217</v>
      </c>
      <c r="C696" s="65" t="n">
        <v>0.02</v>
      </c>
      <c r="D696" s="66" t="str">
        <f aca="false">IFERROR(INDEX(المكونات!$B$2:$B$500,MATCH($B696,المكونات!$A$2:$A$500,0)),"")</f>
        <v>كجم</v>
      </c>
      <c r="E696" s="67" t="n">
        <f aca="false">IFERROR(INDEX(المكونات!$C$2:$C$500,MATCH($B696,المكونات!$A$2:$A$500,0)),"")</f>
        <v>30</v>
      </c>
      <c r="F696" s="68" t="n">
        <f aca="false">IFERROR($C696*$E696,"")</f>
        <v>0.6</v>
      </c>
    </row>
    <row r="697" customFormat="false" ht="15" hidden="false" customHeight="true" outlineLevel="0" collapsed="false">
      <c r="A697" s="65" t="s">
        <v>498</v>
      </c>
      <c r="B697" s="65" t="s">
        <v>256</v>
      </c>
      <c r="C697" s="65" t="n">
        <v>0.05</v>
      </c>
      <c r="D697" s="66" t="str">
        <f aca="false">IFERROR(INDEX(المكونات!$B$2:$B$500,MATCH($B697,المكونات!$A$2:$A$500,0)),"")</f>
        <v>كجم</v>
      </c>
      <c r="E697" s="67" t="n">
        <f aca="false">IFERROR(INDEX(المكونات!$C$2:$C$500,MATCH($B697,المكونات!$A$2:$A$500,0)),"")</f>
        <v>105</v>
      </c>
      <c r="F697" s="68" t="n">
        <f aca="false">IFERROR($C697*$E697,"")</f>
        <v>5.25</v>
      </c>
    </row>
    <row r="698" customFormat="false" ht="15" hidden="false" customHeight="true" outlineLevel="0" collapsed="false">
      <c r="A698" s="65" t="s">
        <v>498</v>
      </c>
      <c r="B698" s="65" t="s">
        <v>252</v>
      </c>
      <c r="C698" s="65" t="n">
        <v>0.05</v>
      </c>
      <c r="D698" s="66" t="str">
        <f aca="false">IFERROR(INDEX(المكونات!$B$2:$B$500,MATCH($B698,المكونات!$A$2:$A$500,0)),"")</f>
        <v>كجم</v>
      </c>
      <c r="E698" s="67" t="n">
        <f aca="false">IFERROR(INDEX(المكونات!$C$2:$C$500,MATCH($B698,المكونات!$A$2:$A$500,0)),"")</f>
        <v>70</v>
      </c>
      <c r="F698" s="68" t="n">
        <f aca="false">IFERROR($C698*$E698,"")</f>
        <v>3.5</v>
      </c>
    </row>
    <row r="699" customFormat="false" ht="15" hidden="false" customHeight="true" outlineLevel="0" collapsed="false">
      <c r="A699" s="65" t="s">
        <v>498</v>
      </c>
      <c r="B699" s="65" t="s">
        <v>258</v>
      </c>
      <c r="C699" s="65" t="n">
        <v>0.05</v>
      </c>
      <c r="D699" s="66" t="str">
        <f aca="false">IFERROR(INDEX(المكونات!$B$2:$B$500,MATCH($B699,المكونات!$A$2:$A$500,0)),"")</f>
        <v>كجم</v>
      </c>
      <c r="E699" s="67" t="n">
        <f aca="false">IFERROR(INDEX(المكونات!$C$2:$C$500,MATCH($B699,المكونات!$A$2:$A$500,0)),"")</f>
        <v>140</v>
      </c>
      <c r="F699" s="68" t="n">
        <f aca="false">IFERROR($C699*$E699,"")</f>
        <v>7</v>
      </c>
    </row>
    <row r="700" customFormat="false" ht="15" hidden="false" customHeight="true" outlineLevel="0" collapsed="false">
      <c r="A700" s="65" t="s">
        <v>498</v>
      </c>
      <c r="B700" s="65" t="s">
        <v>290</v>
      </c>
      <c r="C700" s="65" t="n">
        <v>2</v>
      </c>
      <c r="D700" s="66" t="str">
        <f aca="false">IFERROR(INDEX(المكونات!$B$2:$B$500,MATCH($B700,المكونات!$A$2:$A$500,0)),"")</f>
        <v>قطعة</v>
      </c>
      <c r="E700" s="67" t="n">
        <f aca="false">IFERROR(INDEX(المكونات!$C$2:$C$500,MATCH($B700,المكونات!$A$2:$A$500,0)),"")</f>
        <v>0.3</v>
      </c>
      <c r="F700" s="68" t="n">
        <f aca="false">IFERROR($C700*$E700,"")</f>
        <v>0.6</v>
      </c>
    </row>
    <row r="701" customFormat="false" ht="15" hidden="false" customHeight="true" outlineLevel="0" collapsed="false">
      <c r="A701" s="65" t="s">
        <v>498</v>
      </c>
      <c r="B701" s="65" t="s">
        <v>319</v>
      </c>
      <c r="C701" s="65" t="n">
        <v>1</v>
      </c>
      <c r="D701" s="66" t="str">
        <f aca="false">IFERROR(INDEX(المكونات!$B$2:$B$500,MATCH($B701,المكونات!$A$2:$A$500,0)),"")</f>
        <v>قطعة (ورقة)</v>
      </c>
      <c r="E701" s="67" t="n">
        <f aca="false">IFERROR(INDEX(المكونات!$C$2:$C$500,MATCH($B701,المكونات!$A$2:$A$500,0)),"")</f>
        <v>0.3665</v>
      </c>
      <c r="F701" s="68" t="n">
        <f aca="false">IFERROR($C701*$E701,"")</f>
        <v>0.3665</v>
      </c>
    </row>
    <row r="702" customFormat="false" ht="15" hidden="false" customHeight="true" outlineLevel="0" collapsed="false">
      <c r="A702" s="65" t="s">
        <v>498</v>
      </c>
      <c r="B702" s="65" t="s">
        <v>133</v>
      </c>
      <c r="C702" s="65" t="n">
        <v>1</v>
      </c>
      <c r="D702" s="66" t="str">
        <f aca="false">IFERROR(INDEX(المكونات!$B$2:$B$500,MATCH($B702,المكونات!$A$2:$A$500,0)),"")</f>
        <v>قطعة (كيس)</v>
      </c>
      <c r="E702" s="67" t="n">
        <f aca="false">IFERROR(INDEX(المكونات!$C$2:$C$500,MATCH($B702,المكونات!$A$2:$A$500,0)),"")</f>
        <v>1.4</v>
      </c>
      <c r="F702" s="68" t="n">
        <f aca="false">IFERROR($C702*$E702,"")</f>
        <v>1.4</v>
      </c>
    </row>
    <row r="703" customFormat="false" ht="15" hidden="false" customHeight="true" outlineLevel="0" collapsed="false">
      <c r="A703" s="65" t="s">
        <v>498</v>
      </c>
      <c r="B703" s="65" t="s">
        <v>293</v>
      </c>
      <c r="C703" s="65" t="n">
        <v>1</v>
      </c>
      <c r="D703" s="66" t="str">
        <f aca="false">IFERROR(INDEX(المكونات!$B$2:$B$500,MATCH($B703,المكونات!$A$2:$A$500,0)),"")</f>
        <v>قطعة</v>
      </c>
      <c r="E703" s="67" t="n">
        <f aca="false">IFERROR(INDEX(المكونات!$C$2:$C$500,MATCH($B703,المكونات!$A$2:$A$500,0)),"")</f>
        <v>0.5</v>
      </c>
      <c r="F703" s="68" t="n">
        <f aca="false">IFERROR($C703*$E703,"")</f>
        <v>0.5</v>
      </c>
    </row>
    <row r="704" customFormat="false" ht="15" hidden="false" customHeight="true" outlineLevel="0" collapsed="false">
      <c r="A704" s="65" t="s">
        <v>498</v>
      </c>
      <c r="B704" s="65" t="s">
        <v>211</v>
      </c>
      <c r="C704" s="65" t="n">
        <v>2</v>
      </c>
      <c r="D704" s="66" t="str">
        <f aca="false">IFERROR(INDEX(المكونات!$B$2:$B$500,MATCH($B704,المكونات!$A$2:$A$500,0)),"")</f>
        <v>قطعة (جلفز)</v>
      </c>
      <c r="E704" s="67" t="n">
        <f aca="false">IFERROR(INDEX(المكونات!$C$2:$C$500,MATCH($B704,المكونات!$A$2:$A$500,0)),"")</f>
        <v>0.18</v>
      </c>
      <c r="F704" s="68" t="n">
        <f aca="false">IFERROR($C704*$E704,"")</f>
        <v>0.36</v>
      </c>
    </row>
    <row r="705" customFormat="false" ht="15" hidden="false" customHeight="true" outlineLevel="0" collapsed="false">
      <c r="A705" s="65" t="s">
        <v>498</v>
      </c>
      <c r="B705" s="65" t="s">
        <v>322</v>
      </c>
      <c r="C705" s="65" t="n">
        <v>1</v>
      </c>
      <c r="D705" s="66" t="str">
        <f aca="false">IFERROR(INDEX(المكونات!$B$2:$B$500,MATCH($B705,المكونات!$A$2:$A$500,0)),"")</f>
        <v>قطعة (كيس)</v>
      </c>
      <c r="E705" s="67" t="n">
        <f aca="false">IFERROR(INDEX(المكونات!$C$2:$C$500,MATCH($B705,المكونات!$A$2:$A$500,0)),"")</f>
        <v>1</v>
      </c>
      <c r="F705" s="68" t="n">
        <f aca="false">IFERROR($C705*$E705,"")</f>
        <v>1</v>
      </c>
    </row>
    <row r="706" customFormat="false" ht="15" hidden="false" customHeight="true" outlineLevel="0" collapsed="false">
      <c r="A706" s="65" t="s">
        <v>498</v>
      </c>
      <c r="B706" s="65" t="s">
        <v>344</v>
      </c>
      <c r="C706" s="65" t="n">
        <v>1</v>
      </c>
      <c r="D706" s="66" t="str">
        <f aca="false">IFERROR(INDEX(المكونات!$B$2:$B$500,MATCH($B706,المكونات!$A$2:$A$500,0)),"")</f>
        <v>قطعة</v>
      </c>
      <c r="E706" s="67" t="n">
        <f aca="false">IFERROR(INDEX(المكونات!$C$2:$C$500,MATCH($B706,المكونات!$A$2:$A$500,0)),"")</f>
        <v>4.44</v>
      </c>
      <c r="F706" s="68" t="n">
        <f aca="false">IFERROR($C706*$E706,"")</f>
        <v>4.44</v>
      </c>
    </row>
    <row r="707" customFormat="false" ht="15" hidden="false" customHeight="true" outlineLevel="0" collapsed="false">
      <c r="A707" s="65" t="s">
        <v>506</v>
      </c>
      <c r="B707" s="65" t="s">
        <v>262</v>
      </c>
      <c r="C707" s="65" t="n">
        <v>0.22</v>
      </c>
      <c r="D707" s="66" t="str">
        <f aca="false">IFERROR(INDEX(المكونات!$B$2:$B$500,MATCH($B707,المكونات!$A$2:$A$500,0)),"")</f>
        <v>كجم</v>
      </c>
      <c r="E707" s="67" t="n">
        <f aca="false">IFERROR(INDEX(المكونات!$C$2:$C$500,MATCH($B707,المكونات!$A$2:$A$500,0)),"")</f>
        <v>22</v>
      </c>
      <c r="F707" s="68" t="n">
        <f aca="false">IFERROR($C707*$E707,"")</f>
        <v>4.84</v>
      </c>
    </row>
    <row r="708" customFormat="false" ht="15" hidden="false" customHeight="true" outlineLevel="0" collapsed="false">
      <c r="A708" s="65" t="s">
        <v>506</v>
      </c>
      <c r="B708" s="65" t="s">
        <v>140</v>
      </c>
      <c r="C708" s="65" t="n">
        <v>2</v>
      </c>
      <c r="D708" s="66" t="str">
        <f aca="false">IFERROR(INDEX(المكونات!$B$2:$B$500,MATCH($B708,المكونات!$A$2:$A$500,0)),"")</f>
        <v>قطعة</v>
      </c>
      <c r="E708" s="67" t="n">
        <f aca="false">IFERROR(INDEX(المكونات!$C$2:$C$500,MATCH($B708,المكونات!$A$2:$A$500,0)),"")</f>
        <v>18</v>
      </c>
      <c r="F708" s="68" t="n">
        <f aca="false">IFERROR($C708*$E708,"")</f>
        <v>36</v>
      </c>
    </row>
    <row r="709" customFormat="false" ht="15" hidden="false" customHeight="true" outlineLevel="0" collapsed="false">
      <c r="A709" s="65" t="s">
        <v>506</v>
      </c>
      <c r="B709" s="65" t="s">
        <v>172</v>
      </c>
      <c r="C709" s="65" t="n">
        <v>1</v>
      </c>
      <c r="D709" s="66" t="str">
        <f aca="false">IFERROR(INDEX(المكونات!$B$2:$B$500,MATCH($B709,المكونات!$A$2:$A$500,0)),"")</f>
        <v>قطعة</v>
      </c>
      <c r="E709" s="67" t="n">
        <f aca="false">IFERROR(INDEX(المكونات!$C$2:$C$500,MATCH($B709,المكونات!$A$2:$A$500,0)),"")</f>
        <v>20</v>
      </c>
      <c r="F709" s="68" t="n">
        <f aca="false">IFERROR($C709*$E709,"")</f>
        <v>20</v>
      </c>
    </row>
    <row r="710" customFormat="false" ht="15" hidden="false" customHeight="true" outlineLevel="0" collapsed="false">
      <c r="A710" s="65" t="s">
        <v>506</v>
      </c>
      <c r="B710" s="65" t="s">
        <v>156</v>
      </c>
      <c r="C710" s="65" t="n">
        <v>0.3</v>
      </c>
      <c r="D710" s="66" t="str">
        <f aca="false">IFERROR(INDEX(المكونات!$B$2:$B$500,MATCH($B710,المكونات!$A$2:$A$500,0)),"")</f>
        <v>قطعة</v>
      </c>
      <c r="E710" s="67" t="n">
        <f aca="false">IFERROR(INDEX(المكونات!$C$2:$C$500,MATCH($B710,المكونات!$A$2:$A$500,0)),"")</f>
        <v>26.9708</v>
      </c>
      <c r="F710" s="68" t="n">
        <f aca="false">IFERROR($C710*$E710,"")</f>
        <v>8.09124</v>
      </c>
    </row>
    <row r="711" customFormat="false" ht="15" hidden="false" customHeight="true" outlineLevel="0" collapsed="false">
      <c r="A711" s="65" t="s">
        <v>506</v>
      </c>
      <c r="B711" s="65" t="s">
        <v>342</v>
      </c>
      <c r="C711" s="65" t="n">
        <v>1</v>
      </c>
      <c r="D711" s="66" t="str">
        <f aca="false">IFERROR(INDEX(المكونات!$B$2:$B$500,MATCH($B711,المكونات!$A$2:$A$500,0)),"")</f>
        <v>قطعة</v>
      </c>
      <c r="E711" s="67" t="n">
        <f aca="false">IFERROR(INDEX(المكونات!$C$2:$C$500,MATCH($B711,المكونات!$A$2:$A$500,0)),"")</f>
        <v>0.3</v>
      </c>
      <c r="F711" s="68" t="n">
        <f aca="false">IFERROR($C711*$E711,"")</f>
        <v>0.3</v>
      </c>
    </row>
    <row r="712" customFormat="false" ht="15" hidden="false" customHeight="true" outlineLevel="0" collapsed="false">
      <c r="A712" s="65" t="s">
        <v>506</v>
      </c>
      <c r="B712" s="65" t="s">
        <v>260</v>
      </c>
      <c r="C712" s="65" t="n">
        <v>0.02</v>
      </c>
      <c r="D712" s="66" t="str">
        <f aca="false">IFERROR(INDEX(المكونات!$B$2:$B$500,MATCH($B712,المكونات!$A$2:$A$500,0)),"")</f>
        <v>كجم</v>
      </c>
      <c r="E712" s="67" t="n">
        <f aca="false">IFERROR(INDEX(المكونات!$C$2:$C$500,MATCH($B712,المكونات!$A$2:$A$500,0)),"")</f>
        <v>21</v>
      </c>
      <c r="F712" s="68" t="n">
        <f aca="false">IFERROR($C712*$E712,"")</f>
        <v>0.42</v>
      </c>
    </row>
    <row r="713" customFormat="false" ht="15" hidden="false" customHeight="true" outlineLevel="0" collapsed="false">
      <c r="A713" s="65" t="s">
        <v>506</v>
      </c>
      <c r="B713" s="65" t="s">
        <v>284</v>
      </c>
      <c r="C713" s="65" t="n">
        <v>0.02</v>
      </c>
      <c r="D713" s="66" t="str">
        <f aca="false">IFERROR(INDEX(المكونات!$B$2:$B$500,MATCH($B713,المكونات!$A$2:$A$500,0)),"")</f>
        <v>كجم</v>
      </c>
      <c r="E713" s="67" t="n">
        <f aca="false">IFERROR(INDEX(المكونات!$C$2:$C$500,MATCH($B713,المكونات!$A$2:$A$500,0)),"")</f>
        <v>27</v>
      </c>
      <c r="F713" s="68" t="n">
        <f aca="false">IFERROR($C713*$E713,"")</f>
        <v>0.54</v>
      </c>
    </row>
    <row r="714" customFormat="false" ht="15" hidden="false" customHeight="true" outlineLevel="0" collapsed="false">
      <c r="A714" s="65" t="s">
        <v>506</v>
      </c>
      <c r="B714" s="65" t="s">
        <v>190</v>
      </c>
      <c r="C714" s="65" t="n">
        <v>0.02</v>
      </c>
      <c r="D714" s="66" t="str">
        <f aca="false">IFERROR(INDEX(المكونات!$B$2:$B$500,MATCH($B714,المكونات!$A$2:$A$500,0)),"")</f>
        <v>كجم</v>
      </c>
      <c r="E714" s="67" t="n">
        <f aca="false">IFERROR(INDEX(المكونات!$C$2:$C$500,MATCH($B714,المكونات!$A$2:$A$500,0)),"")</f>
        <v>18</v>
      </c>
      <c r="F714" s="68" t="n">
        <f aca="false">IFERROR($C714*$E714,"")</f>
        <v>0.36</v>
      </c>
    </row>
    <row r="715" customFormat="false" ht="15" hidden="false" customHeight="true" outlineLevel="0" collapsed="false">
      <c r="A715" s="65" t="s">
        <v>506</v>
      </c>
      <c r="B715" s="65" t="s">
        <v>217</v>
      </c>
      <c r="C715" s="65" t="n">
        <v>0.02</v>
      </c>
      <c r="D715" s="66" t="str">
        <f aca="false">IFERROR(INDEX(المكونات!$B$2:$B$500,MATCH($B715,المكونات!$A$2:$A$500,0)),"")</f>
        <v>كجم</v>
      </c>
      <c r="E715" s="67" t="n">
        <f aca="false">IFERROR(INDEX(المكونات!$C$2:$C$500,MATCH($B715,المكونات!$A$2:$A$500,0)),"")</f>
        <v>30</v>
      </c>
      <c r="F715" s="68" t="n">
        <f aca="false">IFERROR($C715*$E715,"")</f>
        <v>0.6</v>
      </c>
    </row>
    <row r="716" customFormat="false" ht="15" hidden="false" customHeight="true" outlineLevel="0" collapsed="false">
      <c r="A716" s="65" t="s">
        <v>506</v>
      </c>
      <c r="B716" s="65" t="s">
        <v>254</v>
      </c>
      <c r="C716" s="65" t="n">
        <v>0.05</v>
      </c>
      <c r="D716" s="66" t="str">
        <f aca="false">IFERROR(INDEX(المكونات!$B$2:$B$500,MATCH($B716,المكونات!$A$2:$A$500,0)),"")</f>
        <v>كجم</v>
      </c>
      <c r="E716" s="67" t="n">
        <f aca="false">IFERROR(INDEX(المكونات!$C$2:$C$500,MATCH($B716,المكونات!$A$2:$A$500,0)),"")</f>
        <v>140</v>
      </c>
      <c r="F716" s="68" t="n">
        <f aca="false">IFERROR($C716*$E716,"")</f>
        <v>7</v>
      </c>
    </row>
    <row r="717" customFormat="false" ht="15" hidden="false" customHeight="true" outlineLevel="0" collapsed="false">
      <c r="A717" s="65" t="s">
        <v>506</v>
      </c>
      <c r="B717" s="65" t="s">
        <v>252</v>
      </c>
      <c r="C717" s="65" t="n">
        <v>0.05</v>
      </c>
      <c r="D717" s="66" t="str">
        <f aca="false">IFERROR(INDEX(المكونات!$B$2:$B$500,MATCH($B717,المكونات!$A$2:$A$500,0)),"")</f>
        <v>كجم</v>
      </c>
      <c r="E717" s="67" t="n">
        <f aca="false">IFERROR(INDEX(المكونات!$C$2:$C$500,MATCH($B717,المكونات!$A$2:$A$500,0)),"")</f>
        <v>70</v>
      </c>
      <c r="F717" s="68" t="n">
        <f aca="false">IFERROR($C717*$E717,"")</f>
        <v>3.5</v>
      </c>
    </row>
    <row r="718" customFormat="false" ht="15" hidden="false" customHeight="true" outlineLevel="0" collapsed="false">
      <c r="A718" s="65" t="s">
        <v>506</v>
      </c>
      <c r="B718" s="65" t="s">
        <v>258</v>
      </c>
      <c r="C718" s="65" t="n">
        <v>0.05</v>
      </c>
      <c r="D718" s="66" t="str">
        <f aca="false">IFERROR(INDEX(المكونات!$B$2:$B$500,MATCH($B718,المكونات!$A$2:$A$500,0)),"")</f>
        <v>كجم</v>
      </c>
      <c r="E718" s="67" t="n">
        <f aca="false">IFERROR(INDEX(المكونات!$C$2:$C$500,MATCH($B718,المكونات!$A$2:$A$500,0)),"")</f>
        <v>140</v>
      </c>
      <c r="F718" s="68" t="n">
        <f aca="false">IFERROR($C718*$E718,"")</f>
        <v>7</v>
      </c>
    </row>
    <row r="719" customFormat="false" ht="15" hidden="false" customHeight="true" outlineLevel="0" collapsed="false">
      <c r="A719" s="65" t="s">
        <v>506</v>
      </c>
      <c r="B719" s="65" t="s">
        <v>290</v>
      </c>
      <c r="C719" s="65" t="n">
        <v>2</v>
      </c>
      <c r="D719" s="66" t="str">
        <f aca="false">IFERROR(INDEX(المكونات!$B$2:$B$500,MATCH($B719,المكونات!$A$2:$A$500,0)),"")</f>
        <v>قطعة</v>
      </c>
      <c r="E719" s="67" t="n">
        <f aca="false">IFERROR(INDEX(المكونات!$C$2:$C$500,MATCH($B719,المكونات!$A$2:$A$500,0)),"")</f>
        <v>0.3</v>
      </c>
      <c r="F719" s="68" t="n">
        <f aca="false">IFERROR($C719*$E719,"")</f>
        <v>0.6</v>
      </c>
    </row>
    <row r="720" customFormat="false" ht="15" hidden="false" customHeight="true" outlineLevel="0" collapsed="false">
      <c r="A720" s="65" t="s">
        <v>506</v>
      </c>
      <c r="B720" s="65" t="s">
        <v>319</v>
      </c>
      <c r="C720" s="65" t="n">
        <v>1</v>
      </c>
      <c r="D720" s="66" t="str">
        <f aca="false">IFERROR(INDEX(المكونات!$B$2:$B$500,MATCH($B720,المكونات!$A$2:$A$500,0)),"")</f>
        <v>قطعة (ورقة)</v>
      </c>
      <c r="E720" s="67" t="n">
        <f aca="false">IFERROR(INDEX(المكونات!$C$2:$C$500,MATCH($B720,المكونات!$A$2:$A$500,0)),"")</f>
        <v>0.3665</v>
      </c>
      <c r="F720" s="68" t="n">
        <f aca="false">IFERROR($C720*$E720,"")</f>
        <v>0.3665</v>
      </c>
    </row>
    <row r="721" customFormat="false" ht="15" hidden="false" customHeight="true" outlineLevel="0" collapsed="false">
      <c r="A721" s="65" t="s">
        <v>506</v>
      </c>
      <c r="B721" s="65" t="s">
        <v>133</v>
      </c>
      <c r="C721" s="65" t="n">
        <v>1</v>
      </c>
      <c r="D721" s="66" t="str">
        <f aca="false">IFERROR(INDEX(المكونات!$B$2:$B$500,MATCH($B721,المكونات!$A$2:$A$500,0)),"")</f>
        <v>قطعة (كيس)</v>
      </c>
      <c r="E721" s="67" t="n">
        <f aca="false">IFERROR(INDEX(المكونات!$C$2:$C$500,MATCH($B721,المكونات!$A$2:$A$500,0)),"")</f>
        <v>1.4</v>
      </c>
      <c r="F721" s="68" t="n">
        <f aca="false">IFERROR($C721*$E721,"")</f>
        <v>1.4</v>
      </c>
    </row>
    <row r="722" customFormat="false" ht="15" hidden="false" customHeight="true" outlineLevel="0" collapsed="false">
      <c r="A722" s="65" t="s">
        <v>506</v>
      </c>
      <c r="B722" s="65" t="s">
        <v>293</v>
      </c>
      <c r="C722" s="65" t="n">
        <v>1</v>
      </c>
      <c r="D722" s="66" t="str">
        <f aca="false">IFERROR(INDEX(المكونات!$B$2:$B$500,MATCH($B722,المكونات!$A$2:$A$500,0)),"")</f>
        <v>قطعة</v>
      </c>
      <c r="E722" s="67" t="n">
        <f aca="false">IFERROR(INDEX(المكونات!$C$2:$C$500,MATCH($B722,المكونات!$A$2:$A$500,0)),"")</f>
        <v>0.5</v>
      </c>
      <c r="F722" s="68" t="n">
        <f aca="false">IFERROR($C722*$E722,"")</f>
        <v>0.5</v>
      </c>
    </row>
    <row r="723" customFormat="false" ht="15" hidden="false" customHeight="true" outlineLevel="0" collapsed="false">
      <c r="A723" s="65" t="s">
        <v>506</v>
      </c>
      <c r="B723" s="65" t="s">
        <v>211</v>
      </c>
      <c r="C723" s="65" t="n">
        <v>2</v>
      </c>
      <c r="D723" s="66" t="str">
        <f aca="false">IFERROR(INDEX(المكونات!$B$2:$B$500,MATCH($B723,المكونات!$A$2:$A$500,0)),"")</f>
        <v>قطعة (جلفز)</v>
      </c>
      <c r="E723" s="67" t="n">
        <f aca="false">IFERROR(INDEX(المكونات!$C$2:$C$500,MATCH($B723,المكونات!$A$2:$A$500,0)),"")</f>
        <v>0.18</v>
      </c>
      <c r="F723" s="68" t="n">
        <f aca="false">IFERROR($C723*$E723,"")</f>
        <v>0.36</v>
      </c>
    </row>
    <row r="724" customFormat="false" ht="15" hidden="false" customHeight="true" outlineLevel="0" collapsed="false">
      <c r="A724" s="65" t="s">
        <v>506</v>
      </c>
      <c r="B724" s="65" t="s">
        <v>322</v>
      </c>
      <c r="C724" s="65" t="n">
        <v>1</v>
      </c>
      <c r="D724" s="66" t="str">
        <f aca="false">IFERROR(INDEX(المكونات!$B$2:$B$500,MATCH($B724,المكونات!$A$2:$A$500,0)),"")</f>
        <v>قطعة (كيس)</v>
      </c>
      <c r="E724" s="67" t="n">
        <f aca="false">IFERROR(INDEX(المكونات!$C$2:$C$500,MATCH($B724,المكونات!$A$2:$A$500,0)),"")</f>
        <v>1</v>
      </c>
      <c r="F724" s="68" t="n">
        <f aca="false">IFERROR($C724*$E724,"")</f>
        <v>1</v>
      </c>
    </row>
    <row r="725" customFormat="false" ht="15" hidden="false" customHeight="true" outlineLevel="0" collapsed="false">
      <c r="A725" s="65" t="s">
        <v>506</v>
      </c>
      <c r="B725" s="65" t="s">
        <v>344</v>
      </c>
      <c r="C725" s="65" t="n">
        <v>1</v>
      </c>
      <c r="D725" s="66" t="str">
        <f aca="false">IFERROR(INDEX(المكونات!$B$2:$B$500,MATCH($B725,المكونات!$A$2:$A$500,0)),"")</f>
        <v>قطعة</v>
      </c>
      <c r="E725" s="67" t="n">
        <f aca="false">IFERROR(INDEX(المكونات!$C$2:$C$500,MATCH($B725,المكونات!$A$2:$A$500,0)),"")</f>
        <v>4.44</v>
      </c>
      <c r="F725" s="68" t="n">
        <f aca="false">IFERROR($C725*$E725,"")</f>
        <v>4.44</v>
      </c>
    </row>
    <row r="726" customFormat="false" ht="15" hidden="false" customHeight="true" outlineLevel="0" collapsed="false">
      <c r="A726" s="65" t="s">
        <v>527</v>
      </c>
      <c r="B726" s="65" t="s">
        <v>262</v>
      </c>
      <c r="C726" s="65" t="n">
        <v>0.22</v>
      </c>
      <c r="D726" s="66" t="str">
        <f aca="false">IFERROR(INDEX(المكونات!$B$2:$B$500,MATCH($B726,المكونات!$A$2:$A$500,0)),"")</f>
        <v>كجم</v>
      </c>
      <c r="E726" s="67" t="n">
        <f aca="false">IFERROR(INDEX(المكونات!$C$2:$C$500,MATCH($B726,المكونات!$A$2:$A$500,0)),"")</f>
        <v>22</v>
      </c>
      <c r="F726" s="68" t="n">
        <f aca="false">IFERROR($C726*$E726,"")</f>
        <v>4.84</v>
      </c>
    </row>
    <row r="727" customFormat="false" ht="15" hidden="false" customHeight="true" outlineLevel="0" collapsed="false">
      <c r="A727" s="65" t="s">
        <v>527</v>
      </c>
      <c r="B727" s="65" t="s">
        <v>172</v>
      </c>
      <c r="C727" s="65" t="n">
        <v>1</v>
      </c>
      <c r="D727" s="66" t="str">
        <f aca="false">IFERROR(INDEX(المكونات!$B$2:$B$500,MATCH($B727,المكونات!$A$2:$A$500,0)),"")</f>
        <v>قطعة</v>
      </c>
      <c r="E727" s="67" t="n">
        <f aca="false">IFERROR(INDEX(المكونات!$C$2:$C$500,MATCH($B727,المكونات!$A$2:$A$500,0)),"")</f>
        <v>20</v>
      </c>
      <c r="F727" s="68" t="n">
        <f aca="false">IFERROR($C727*$E727,"")</f>
        <v>20</v>
      </c>
    </row>
    <row r="728" customFormat="false" ht="15" hidden="false" customHeight="true" outlineLevel="0" collapsed="false">
      <c r="A728" s="65" t="s">
        <v>527</v>
      </c>
      <c r="B728" s="65" t="s">
        <v>162</v>
      </c>
      <c r="C728" s="65" t="n">
        <v>1</v>
      </c>
      <c r="D728" s="66" t="str">
        <f aca="false">IFERROR(INDEX(المكونات!$B$2:$B$500,MATCH($B728,المكونات!$A$2:$A$500,0)),"")</f>
        <v>قطعة</v>
      </c>
      <c r="E728" s="67" t="n">
        <f aca="false">IFERROR(INDEX(المكونات!$C$2:$C$500,MATCH($B728,المكونات!$A$2:$A$500,0)),"")</f>
        <v>30</v>
      </c>
      <c r="F728" s="68" t="n">
        <f aca="false">IFERROR($C728*$E728,"")</f>
        <v>30</v>
      </c>
    </row>
    <row r="729" customFormat="false" ht="15" hidden="false" customHeight="true" outlineLevel="0" collapsed="false">
      <c r="A729" s="65" t="s">
        <v>527</v>
      </c>
      <c r="B729" s="65" t="s">
        <v>156</v>
      </c>
      <c r="C729" s="65" t="n">
        <v>0.3</v>
      </c>
      <c r="D729" s="66" t="str">
        <f aca="false">IFERROR(INDEX(المكونات!$B$2:$B$500,MATCH($B729,المكونات!$A$2:$A$500,0)),"")</f>
        <v>قطعة</v>
      </c>
      <c r="E729" s="67" t="n">
        <f aca="false">IFERROR(INDEX(المكونات!$C$2:$C$500,MATCH($B729,المكونات!$A$2:$A$500,0)),"")</f>
        <v>26.9708</v>
      </c>
      <c r="F729" s="68" t="n">
        <f aca="false">IFERROR($C729*$E729,"")</f>
        <v>8.09124</v>
      </c>
    </row>
    <row r="730" customFormat="false" ht="15" hidden="false" customHeight="true" outlineLevel="0" collapsed="false">
      <c r="A730" s="65" t="s">
        <v>527</v>
      </c>
      <c r="B730" s="65" t="s">
        <v>342</v>
      </c>
      <c r="C730" s="65" t="n">
        <v>1</v>
      </c>
      <c r="D730" s="66" t="str">
        <f aca="false">IFERROR(INDEX(المكونات!$B$2:$B$500,MATCH($B730,المكونات!$A$2:$A$500,0)),"")</f>
        <v>قطعة</v>
      </c>
      <c r="E730" s="67" t="n">
        <f aca="false">IFERROR(INDEX(المكونات!$C$2:$C$500,MATCH($B730,المكونات!$A$2:$A$500,0)),"")</f>
        <v>0.3</v>
      </c>
      <c r="F730" s="68" t="n">
        <f aca="false">IFERROR($C730*$E730,"")</f>
        <v>0.3</v>
      </c>
    </row>
    <row r="731" customFormat="false" ht="15" hidden="false" customHeight="true" outlineLevel="0" collapsed="false">
      <c r="A731" s="65" t="s">
        <v>527</v>
      </c>
      <c r="B731" s="65" t="s">
        <v>260</v>
      </c>
      <c r="C731" s="65" t="n">
        <v>0.02</v>
      </c>
      <c r="D731" s="66" t="str">
        <f aca="false">IFERROR(INDEX(المكونات!$B$2:$B$500,MATCH($B731,المكونات!$A$2:$A$500,0)),"")</f>
        <v>كجم</v>
      </c>
      <c r="E731" s="67" t="n">
        <f aca="false">IFERROR(INDEX(المكونات!$C$2:$C$500,MATCH($B731,المكونات!$A$2:$A$500,0)),"")</f>
        <v>21</v>
      </c>
      <c r="F731" s="68" t="n">
        <f aca="false">IFERROR($C731*$E731,"")</f>
        <v>0.42</v>
      </c>
    </row>
    <row r="732" customFormat="false" ht="15" hidden="false" customHeight="true" outlineLevel="0" collapsed="false">
      <c r="A732" s="65" t="s">
        <v>527</v>
      </c>
      <c r="B732" s="65" t="s">
        <v>284</v>
      </c>
      <c r="C732" s="65" t="n">
        <v>0.02</v>
      </c>
      <c r="D732" s="66" t="str">
        <f aca="false">IFERROR(INDEX(المكونات!$B$2:$B$500,MATCH($B732,المكونات!$A$2:$A$500,0)),"")</f>
        <v>كجم</v>
      </c>
      <c r="E732" s="67" t="n">
        <f aca="false">IFERROR(INDEX(المكونات!$C$2:$C$500,MATCH($B732,المكونات!$A$2:$A$500,0)),"")</f>
        <v>27</v>
      </c>
      <c r="F732" s="68" t="n">
        <f aca="false">IFERROR($C732*$E732,"")</f>
        <v>0.54</v>
      </c>
    </row>
    <row r="733" customFormat="false" ht="15" hidden="false" customHeight="true" outlineLevel="0" collapsed="false">
      <c r="A733" s="65" t="s">
        <v>527</v>
      </c>
      <c r="B733" s="65" t="s">
        <v>190</v>
      </c>
      <c r="C733" s="65" t="n">
        <v>0.02</v>
      </c>
      <c r="D733" s="66" t="str">
        <f aca="false">IFERROR(INDEX(المكونات!$B$2:$B$500,MATCH($B733,المكونات!$A$2:$A$500,0)),"")</f>
        <v>كجم</v>
      </c>
      <c r="E733" s="67" t="n">
        <f aca="false">IFERROR(INDEX(المكونات!$C$2:$C$500,MATCH($B733,المكونات!$A$2:$A$500,0)),"")</f>
        <v>18</v>
      </c>
      <c r="F733" s="68" t="n">
        <f aca="false">IFERROR($C733*$E733,"")</f>
        <v>0.36</v>
      </c>
    </row>
    <row r="734" customFormat="false" ht="15" hidden="false" customHeight="true" outlineLevel="0" collapsed="false">
      <c r="A734" s="65" t="s">
        <v>527</v>
      </c>
      <c r="B734" s="65" t="s">
        <v>217</v>
      </c>
      <c r="C734" s="65" t="n">
        <v>0.02</v>
      </c>
      <c r="D734" s="66" t="str">
        <f aca="false">IFERROR(INDEX(المكونات!$B$2:$B$500,MATCH($B734,المكونات!$A$2:$A$500,0)),"")</f>
        <v>كجم</v>
      </c>
      <c r="E734" s="67" t="n">
        <f aca="false">IFERROR(INDEX(المكونات!$C$2:$C$500,MATCH($B734,المكونات!$A$2:$A$500,0)),"")</f>
        <v>30</v>
      </c>
      <c r="F734" s="68" t="n">
        <f aca="false">IFERROR($C734*$E734,"")</f>
        <v>0.6</v>
      </c>
    </row>
    <row r="735" customFormat="false" ht="15" hidden="false" customHeight="true" outlineLevel="0" collapsed="false">
      <c r="A735" s="65" t="s">
        <v>527</v>
      </c>
      <c r="B735" s="65" t="s">
        <v>256</v>
      </c>
      <c r="C735" s="65" t="n">
        <v>0.05</v>
      </c>
      <c r="D735" s="66" t="str">
        <f aca="false">IFERROR(INDEX(المكونات!$B$2:$B$500,MATCH($B735,المكونات!$A$2:$A$500,0)),"")</f>
        <v>كجم</v>
      </c>
      <c r="E735" s="67" t="n">
        <f aca="false">IFERROR(INDEX(المكونات!$C$2:$C$500,MATCH($B735,المكونات!$A$2:$A$500,0)),"")</f>
        <v>105</v>
      </c>
      <c r="F735" s="68" t="n">
        <f aca="false">IFERROR($C735*$E735,"")</f>
        <v>5.25</v>
      </c>
    </row>
    <row r="736" customFormat="false" ht="15" hidden="false" customHeight="true" outlineLevel="0" collapsed="false">
      <c r="A736" s="65" t="s">
        <v>527</v>
      </c>
      <c r="B736" s="65" t="s">
        <v>252</v>
      </c>
      <c r="C736" s="65" t="n">
        <v>0.05</v>
      </c>
      <c r="D736" s="66" t="str">
        <f aca="false">IFERROR(INDEX(المكونات!$B$2:$B$500,MATCH($B736,المكونات!$A$2:$A$500,0)),"")</f>
        <v>كجم</v>
      </c>
      <c r="E736" s="67" t="n">
        <f aca="false">IFERROR(INDEX(المكونات!$C$2:$C$500,MATCH($B736,المكونات!$A$2:$A$500,0)),"")</f>
        <v>70</v>
      </c>
      <c r="F736" s="68" t="n">
        <f aca="false">IFERROR($C736*$E736,"")</f>
        <v>3.5</v>
      </c>
    </row>
    <row r="737" customFormat="false" ht="15" hidden="false" customHeight="true" outlineLevel="0" collapsed="false">
      <c r="A737" s="65" t="s">
        <v>527</v>
      </c>
      <c r="B737" s="65" t="s">
        <v>258</v>
      </c>
      <c r="C737" s="65" t="n">
        <v>0.05</v>
      </c>
      <c r="D737" s="66" t="str">
        <f aca="false">IFERROR(INDEX(المكونات!$B$2:$B$500,MATCH($B737,المكونات!$A$2:$A$500,0)),"")</f>
        <v>كجم</v>
      </c>
      <c r="E737" s="67" t="n">
        <f aca="false">IFERROR(INDEX(المكونات!$C$2:$C$500,MATCH($B737,المكونات!$A$2:$A$500,0)),"")</f>
        <v>140</v>
      </c>
      <c r="F737" s="68" t="n">
        <f aca="false">IFERROR($C737*$E737,"")</f>
        <v>7</v>
      </c>
    </row>
    <row r="738" customFormat="false" ht="15" hidden="false" customHeight="true" outlineLevel="0" collapsed="false">
      <c r="A738" s="65" t="s">
        <v>527</v>
      </c>
      <c r="B738" s="65" t="s">
        <v>290</v>
      </c>
      <c r="C738" s="65" t="n">
        <v>2</v>
      </c>
      <c r="D738" s="66" t="str">
        <f aca="false">IFERROR(INDEX(المكونات!$B$2:$B$500,MATCH($B738,المكونات!$A$2:$A$500,0)),"")</f>
        <v>قطعة</v>
      </c>
      <c r="E738" s="67" t="n">
        <f aca="false">IFERROR(INDEX(المكونات!$C$2:$C$500,MATCH($B738,المكونات!$A$2:$A$500,0)),"")</f>
        <v>0.3</v>
      </c>
      <c r="F738" s="68" t="n">
        <f aca="false">IFERROR($C738*$E738,"")</f>
        <v>0.6</v>
      </c>
    </row>
    <row r="739" customFormat="false" ht="15" hidden="false" customHeight="true" outlineLevel="0" collapsed="false">
      <c r="A739" s="65" t="s">
        <v>527</v>
      </c>
      <c r="B739" s="65" t="s">
        <v>319</v>
      </c>
      <c r="C739" s="65" t="n">
        <v>1</v>
      </c>
      <c r="D739" s="66" t="str">
        <f aca="false">IFERROR(INDEX(المكونات!$B$2:$B$500,MATCH($B739,المكونات!$A$2:$A$500,0)),"")</f>
        <v>قطعة (ورقة)</v>
      </c>
      <c r="E739" s="67" t="n">
        <f aca="false">IFERROR(INDEX(المكونات!$C$2:$C$500,MATCH($B739,المكونات!$A$2:$A$500,0)),"")</f>
        <v>0.3665</v>
      </c>
      <c r="F739" s="68" t="n">
        <f aca="false">IFERROR($C739*$E739,"")</f>
        <v>0.3665</v>
      </c>
    </row>
    <row r="740" customFormat="false" ht="15" hidden="false" customHeight="true" outlineLevel="0" collapsed="false">
      <c r="A740" s="65" t="s">
        <v>527</v>
      </c>
      <c r="B740" s="65" t="s">
        <v>133</v>
      </c>
      <c r="C740" s="65" t="n">
        <v>1</v>
      </c>
      <c r="D740" s="66" t="str">
        <f aca="false">IFERROR(INDEX(المكونات!$B$2:$B$500,MATCH($B740,المكونات!$A$2:$A$500,0)),"")</f>
        <v>قطعة (كيس)</v>
      </c>
      <c r="E740" s="67" t="n">
        <f aca="false">IFERROR(INDEX(المكونات!$C$2:$C$500,MATCH($B740,المكونات!$A$2:$A$500,0)),"")</f>
        <v>1.4</v>
      </c>
      <c r="F740" s="68" t="n">
        <f aca="false">IFERROR($C740*$E740,"")</f>
        <v>1.4</v>
      </c>
    </row>
    <row r="741" customFormat="false" ht="15" hidden="false" customHeight="true" outlineLevel="0" collapsed="false">
      <c r="A741" s="65" t="s">
        <v>527</v>
      </c>
      <c r="B741" s="65" t="s">
        <v>293</v>
      </c>
      <c r="C741" s="65" t="n">
        <v>1</v>
      </c>
      <c r="D741" s="66" t="str">
        <f aca="false">IFERROR(INDEX(المكونات!$B$2:$B$500,MATCH($B741,المكونات!$A$2:$A$500,0)),"")</f>
        <v>قطعة</v>
      </c>
      <c r="E741" s="67" t="n">
        <f aca="false">IFERROR(INDEX(المكونات!$C$2:$C$500,MATCH($B741,المكونات!$A$2:$A$500,0)),"")</f>
        <v>0.5</v>
      </c>
      <c r="F741" s="68" t="n">
        <f aca="false">IFERROR($C741*$E741,"")</f>
        <v>0.5</v>
      </c>
    </row>
    <row r="742" customFormat="false" ht="15" hidden="false" customHeight="true" outlineLevel="0" collapsed="false">
      <c r="A742" s="65" t="s">
        <v>527</v>
      </c>
      <c r="B742" s="65" t="s">
        <v>211</v>
      </c>
      <c r="C742" s="65" t="n">
        <v>2</v>
      </c>
      <c r="D742" s="66" t="str">
        <f aca="false">IFERROR(INDEX(المكونات!$B$2:$B$500,MATCH($B742,المكونات!$A$2:$A$500,0)),"")</f>
        <v>قطعة (جلفز)</v>
      </c>
      <c r="E742" s="67" t="n">
        <f aca="false">IFERROR(INDEX(المكونات!$C$2:$C$500,MATCH($B742,المكونات!$A$2:$A$500,0)),"")</f>
        <v>0.18</v>
      </c>
      <c r="F742" s="68" t="n">
        <f aca="false">IFERROR($C742*$E742,"")</f>
        <v>0.36</v>
      </c>
    </row>
    <row r="743" customFormat="false" ht="15" hidden="false" customHeight="true" outlineLevel="0" collapsed="false">
      <c r="A743" s="65" t="s">
        <v>527</v>
      </c>
      <c r="B743" s="65" t="s">
        <v>322</v>
      </c>
      <c r="C743" s="65" t="n">
        <v>1</v>
      </c>
      <c r="D743" s="66" t="str">
        <f aca="false">IFERROR(INDEX(المكونات!$B$2:$B$500,MATCH($B743,المكونات!$A$2:$A$500,0)),"")</f>
        <v>قطعة (كيس)</v>
      </c>
      <c r="E743" s="67" t="n">
        <f aca="false">IFERROR(INDEX(المكونات!$C$2:$C$500,MATCH($B743,المكونات!$A$2:$A$500,0)),"")</f>
        <v>1</v>
      </c>
      <c r="F743" s="68" t="n">
        <f aca="false">IFERROR($C743*$E743,"")</f>
        <v>1</v>
      </c>
    </row>
    <row r="744" customFormat="false" ht="15" hidden="false" customHeight="true" outlineLevel="0" collapsed="false">
      <c r="A744" s="65" t="s">
        <v>527</v>
      </c>
      <c r="B744" s="65" t="s">
        <v>344</v>
      </c>
      <c r="C744" s="65" t="n">
        <v>1</v>
      </c>
      <c r="D744" s="66" t="str">
        <f aca="false">IFERROR(INDEX(المكونات!$B$2:$B$500,MATCH($B744,المكونات!$A$2:$A$500,0)),"")</f>
        <v>قطعة</v>
      </c>
      <c r="E744" s="67" t="n">
        <f aca="false">IFERROR(INDEX(المكونات!$C$2:$C$500,MATCH($B744,المكونات!$A$2:$A$500,0)),"")</f>
        <v>4.44</v>
      </c>
      <c r="F744" s="68" t="n">
        <f aca="false">IFERROR($C744*$E744,"")</f>
        <v>4.44</v>
      </c>
    </row>
    <row r="745" customFormat="false" ht="15" hidden="false" customHeight="true" outlineLevel="0" collapsed="false">
      <c r="A745" s="65" t="s">
        <v>390</v>
      </c>
      <c r="B745" s="65" t="s">
        <v>262</v>
      </c>
      <c r="C745" s="65" t="n">
        <v>0.3</v>
      </c>
      <c r="D745" s="66" t="str">
        <f aca="false">IFERROR(INDEX(المكونات!$B$2:$B$500,MATCH($B745,المكونات!$A$2:$A$500,0)),"")</f>
        <v>كجم</v>
      </c>
      <c r="E745" s="67" t="n">
        <f aca="false">IFERROR(INDEX(المكونات!$C$2:$C$500,MATCH($B745,المكونات!$A$2:$A$500,0)),"")</f>
        <v>22</v>
      </c>
      <c r="F745" s="68" t="n">
        <f aca="false">IFERROR($C745*$E745,"")</f>
        <v>6.6</v>
      </c>
    </row>
    <row r="746" customFormat="false" ht="15" hidden="false" customHeight="true" outlineLevel="0" collapsed="false">
      <c r="A746" s="65" t="s">
        <v>390</v>
      </c>
      <c r="B746" s="65" t="s">
        <v>140</v>
      </c>
      <c r="C746" s="65" t="n">
        <v>3</v>
      </c>
      <c r="D746" s="66" t="str">
        <f aca="false">IFERROR(INDEX(المكونات!$B$2:$B$500,MATCH($B746,المكونات!$A$2:$A$500,0)),"")</f>
        <v>قطعة</v>
      </c>
      <c r="E746" s="67" t="n">
        <f aca="false">IFERROR(INDEX(المكونات!$C$2:$C$500,MATCH($B746,المكونات!$A$2:$A$500,0)),"")</f>
        <v>18</v>
      </c>
      <c r="F746" s="68" t="n">
        <f aca="false">IFERROR($C746*$E746,"")</f>
        <v>54</v>
      </c>
    </row>
    <row r="747" customFormat="false" ht="15" hidden="false" customHeight="true" outlineLevel="0" collapsed="false">
      <c r="A747" s="65" t="s">
        <v>390</v>
      </c>
      <c r="B747" s="65" t="s">
        <v>172</v>
      </c>
      <c r="C747" s="65" t="n">
        <v>4</v>
      </c>
      <c r="D747" s="66" t="str">
        <f aca="false">IFERROR(INDEX(المكونات!$B$2:$B$500,MATCH($B747,المكونات!$A$2:$A$500,0)),"")</f>
        <v>قطعة</v>
      </c>
      <c r="E747" s="67" t="n">
        <f aca="false">IFERROR(INDEX(المكونات!$C$2:$C$500,MATCH($B747,المكونات!$A$2:$A$500,0)),"")</f>
        <v>20</v>
      </c>
      <c r="F747" s="68" t="n">
        <f aca="false">IFERROR($C747*$E747,"")</f>
        <v>80</v>
      </c>
    </row>
    <row r="748" customFormat="false" ht="15" hidden="false" customHeight="true" outlineLevel="0" collapsed="false">
      <c r="A748" s="65" t="s">
        <v>390</v>
      </c>
      <c r="B748" s="65" t="s">
        <v>260</v>
      </c>
      <c r="C748" s="65" t="n">
        <v>0.02</v>
      </c>
      <c r="D748" s="66" t="str">
        <f aca="false">IFERROR(INDEX(المكونات!$B$2:$B$500,MATCH($B748,المكونات!$A$2:$A$500,0)),"")</f>
        <v>كجم</v>
      </c>
      <c r="E748" s="67" t="n">
        <f aca="false">IFERROR(INDEX(المكونات!$C$2:$C$500,MATCH($B748,المكونات!$A$2:$A$500,0)),"")</f>
        <v>21</v>
      </c>
      <c r="F748" s="68" t="n">
        <f aca="false">IFERROR($C748*$E748,"")</f>
        <v>0.42</v>
      </c>
    </row>
    <row r="749" customFormat="false" ht="15" hidden="false" customHeight="true" outlineLevel="0" collapsed="false">
      <c r="A749" s="65" t="s">
        <v>390</v>
      </c>
      <c r="B749" s="65" t="s">
        <v>284</v>
      </c>
      <c r="C749" s="65" t="n">
        <v>0.02</v>
      </c>
      <c r="D749" s="66" t="str">
        <f aca="false">IFERROR(INDEX(المكونات!$B$2:$B$500,MATCH($B749,المكونات!$A$2:$A$500,0)),"")</f>
        <v>كجم</v>
      </c>
      <c r="E749" s="67" t="n">
        <f aca="false">IFERROR(INDEX(المكونات!$C$2:$C$500,MATCH($B749,المكونات!$A$2:$A$500,0)),"")</f>
        <v>27</v>
      </c>
      <c r="F749" s="68" t="n">
        <f aca="false">IFERROR($C749*$E749,"")</f>
        <v>0.54</v>
      </c>
    </row>
    <row r="750" customFormat="false" ht="15" hidden="false" customHeight="true" outlineLevel="0" collapsed="false">
      <c r="A750" s="65" t="s">
        <v>390</v>
      </c>
      <c r="B750" s="65" t="s">
        <v>190</v>
      </c>
      <c r="C750" s="65" t="n">
        <v>0.02</v>
      </c>
      <c r="D750" s="66" t="str">
        <f aca="false">IFERROR(INDEX(المكونات!$B$2:$B$500,MATCH($B750,المكونات!$A$2:$A$500,0)),"")</f>
        <v>كجم</v>
      </c>
      <c r="E750" s="67" t="n">
        <f aca="false">IFERROR(INDEX(المكونات!$C$2:$C$500,MATCH($B750,المكونات!$A$2:$A$500,0)),"")</f>
        <v>18</v>
      </c>
      <c r="F750" s="68" t="n">
        <f aca="false">IFERROR($C750*$E750,"")</f>
        <v>0.36</v>
      </c>
    </row>
    <row r="751" customFormat="false" ht="15" hidden="false" customHeight="true" outlineLevel="0" collapsed="false">
      <c r="A751" s="65" t="s">
        <v>390</v>
      </c>
      <c r="B751" s="65" t="s">
        <v>217</v>
      </c>
      <c r="C751" s="65" t="n">
        <v>0.02</v>
      </c>
      <c r="D751" s="66" t="str">
        <f aca="false">IFERROR(INDEX(المكونات!$B$2:$B$500,MATCH($B751,المكونات!$A$2:$A$500,0)),"")</f>
        <v>كجم</v>
      </c>
      <c r="E751" s="67" t="n">
        <f aca="false">IFERROR(INDEX(المكونات!$C$2:$C$500,MATCH($B751,المكونات!$A$2:$A$500,0)),"")</f>
        <v>30</v>
      </c>
      <c r="F751" s="68" t="n">
        <f aca="false">IFERROR($C751*$E751,"")</f>
        <v>0.6</v>
      </c>
    </row>
    <row r="752" customFormat="false" ht="15" hidden="false" customHeight="true" outlineLevel="0" collapsed="false">
      <c r="A752" s="65" t="s">
        <v>390</v>
      </c>
      <c r="B752" s="65" t="s">
        <v>254</v>
      </c>
      <c r="C752" s="65" t="n">
        <v>0.0667</v>
      </c>
      <c r="D752" s="66" t="str">
        <f aca="false">IFERROR(INDEX(المكونات!$B$2:$B$500,MATCH($B752,المكونات!$A$2:$A$500,0)),"")</f>
        <v>كجم</v>
      </c>
      <c r="E752" s="67" t="n">
        <f aca="false">IFERROR(INDEX(المكونات!$C$2:$C$500,MATCH($B752,المكونات!$A$2:$A$500,0)),"")</f>
        <v>140</v>
      </c>
      <c r="F752" s="68" t="n">
        <f aca="false">IFERROR($C752*$E752,"")</f>
        <v>9.338</v>
      </c>
    </row>
    <row r="753" customFormat="false" ht="15" hidden="false" customHeight="true" outlineLevel="0" collapsed="false">
      <c r="A753" s="65" t="s">
        <v>390</v>
      </c>
      <c r="B753" s="65" t="s">
        <v>252</v>
      </c>
      <c r="C753" s="65" t="n">
        <v>0.0667</v>
      </c>
      <c r="D753" s="66" t="str">
        <f aca="false">IFERROR(INDEX(المكونات!$B$2:$B$500,MATCH($B753,المكونات!$A$2:$A$500,0)),"")</f>
        <v>كجم</v>
      </c>
      <c r="E753" s="67" t="n">
        <f aca="false">IFERROR(INDEX(المكونات!$C$2:$C$500,MATCH($B753,المكونات!$A$2:$A$500,0)),"")</f>
        <v>70</v>
      </c>
      <c r="F753" s="68" t="n">
        <f aca="false">IFERROR($C753*$E753,"")</f>
        <v>4.669</v>
      </c>
    </row>
    <row r="754" customFormat="false" ht="15" hidden="false" customHeight="true" outlineLevel="0" collapsed="false">
      <c r="A754" s="65" t="s">
        <v>390</v>
      </c>
      <c r="B754" s="65" t="s">
        <v>258</v>
      </c>
      <c r="C754" s="65" t="n">
        <v>0.0667</v>
      </c>
      <c r="D754" s="66" t="str">
        <f aca="false">IFERROR(INDEX(المكونات!$B$2:$B$500,MATCH($B754,المكونات!$A$2:$A$500,0)),"")</f>
        <v>كجم</v>
      </c>
      <c r="E754" s="67" t="n">
        <f aca="false">IFERROR(INDEX(المكونات!$C$2:$C$500,MATCH($B754,المكونات!$A$2:$A$500,0)),"")</f>
        <v>140</v>
      </c>
      <c r="F754" s="68" t="n">
        <f aca="false">IFERROR($C754*$E754,"")</f>
        <v>9.338</v>
      </c>
    </row>
    <row r="755" customFormat="false" ht="15" hidden="false" customHeight="true" outlineLevel="0" collapsed="false">
      <c r="A755" s="65" t="s">
        <v>390</v>
      </c>
      <c r="B755" s="65" t="s">
        <v>290</v>
      </c>
      <c r="C755" s="65" t="n">
        <v>3</v>
      </c>
      <c r="D755" s="66" t="str">
        <f aca="false">IFERROR(INDEX(المكونات!$B$2:$B$500,MATCH($B755,المكونات!$A$2:$A$500,0)),"")</f>
        <v>قطعة</v>
      </c>
      <c r="E755" s="67" t="n">
        <f aca="false">IFERROR(INDEX(المكونات!$C$2:$C$500,MATCH($B755,المكونات!$A$2:$A$500,0)),"")</f>
        <v>0.3</v>
      </c>
      <c r="F755" s="68" t="n">
        <f aca="false">IFERROR($C755*$E755,"")</f>
        <v>0.9</v>
      </c>
    </row>
    <row r="756" customFormat="false" ht="15" hidden="false" customHeight="true" outlineLevel="0" collapsed="false">
      <c r="A756" s="65" t="s">
        <v>390</v>
      </c>
      <c r="B756" s="65" t="s">
        <v>319</v>
      </c>
      <c r="C756" s="65" t="n">
        <v>1.5</v>
      </c>
      <c r="D756" s="66" t="str">
        <f aca="false">IFERROR(INDEX(المكونات!$B$2:$B$500,MATCH($B756,المكونات!$A$2:$A$500,0)),"")</f>
        <v>قطعة (ورقة)</v>
      </c>
      <c r="E756" s="67" t="n">
        <f aca="false">IFERROR(INDEX(المكونات!$C$2:$C$500,MATCH($B756,المكونات!$A$2:$A$500,0)),"")</f>
        <v>0.3665</v>
      </c>
      <c r="F756" s="68" t="n">
        <f aca="false">IFERROR($C756*$E756,"")</f>
        <v>0.54975</v>
      </c>
    </row>
    <row r="757" customFormat="false" ht="15" hidden="false" customHeight="true" outlineLevel="0" collapsed="false">
      <c r="A757" s="65" t="s">
        <v>390</v>
      </c>
      <c r="B757" s="65" t="s">
        <v>133</v>
      </c>
      <c r="C757" s="65" t="n">
        <v>1.5</v>
      </c>
      <c r="D757" s="66" t="str">
        <f aca="false">IFERROR(INDEX(المكونات!$B$2:$B$500,MATCH($B757,المكونات!$A$2:$A$500,0)),"")</f>
        <v>قطعة (كيس)</v>
      </c>
      <c r="E757" s="67" t="n">
        <f aca="false">IFERROR(INDEX(المكونات!$C$2:$C$500,MATCH($B757,المكونات!$A$2:$A$500,0)),"")</f>
        <v>1.4</v>
      </c>
      <c r="F757" s="68" t="n">
        <f aca="false">IFERROR($C757*$E757,"")</f>
        <v>2.1</v>
      </c>
    </row>
    <row r="758" customFormat="false" ht="15" hidden="false" customHeight="true" outlineLevel="0" collapsed="false">
      <c r="A758" s="65" t="s">
        <v>390</v>
      </c>
      <c r="B758" s="65" t="s">
        <v>293</v>
      </c>
      <c r="C758" s="65" t="n">
        <v>1.5</v>
      </c>
      <c r="D758" s="66" t="str">
        <f aca="false">IFERROR(INDEX(المكونات!$B$2:$B$500,MATCH($B758,المكونات!$A$2:$A$500,0)),"")</f>
        <v>قطعة</v>
      </c>
      <c r="E758" s="67" t="n">
        <f aca="false">IFERROR(INDEX(المكونات!$C$2:$C$500,MATCH($B758,المكونات!$A$2:$A$500,0)),"")</f>
        <v>0.5</v>
      </c>
      <c r="F758" s="68" t="n">
        <f aca="false">IFERROR($C758*$E758,"")</f>
        <v>0.75</v>
      </c>
    </row>
    <row r="759" customFormat="false" ht="15" hidden="false" customHeight="true" outlineLevel="0" collapsed="false">
      <c r="A759" s="65" t="s">
        <v>390</v>
      </c>
      <c r="B759" s="65" t="s">
        <v>211</v>
      </c>
      <c r="C759" s="65" t="n">
        <v>3</v>
      </c>
      <c r="D759" s="66" t="str">
        <f aca="false">IFERROR(INDEX(المكونات!$B$2:$B$500,MATCH($B759,المكونات!$A$2:$A$500,0)),"")</f>
        <v>قطعة (جلفز)</v>
      </c>
      <c r="E759" s="67" t="n">
        <f aca="false">IFERROR(INDEX(المكونات!$C$2:$C$500,MATCH($B759,المكونات!$A$2:$A$500,0)),"")</f>
        <v>0.18</v>
      </c>
      <c r="F759" s="68" t="n">
        <f aca="false">IFERROR($C759*$E759,"")</f>
        <v>0.54</v>
      </c>
    </row>
    <row r="760" customFormat="false" ht="15" hidden="false" customHeight="true" outlineLevel="0" collapsed="false">
      <c r="A760" s="65" t="s">
        <v>390</v>
      </c>
      <c r="B760" s="65" t="s">
        <v>322</v>
      </c>
      <c r="C760" s="65" t="n">
        <v>1.5</v>
      </c>
      <c r="D760" s="66" t="str">
        <f aca="false">IFERROR(INDEX(المكونات!$B$2:$B$500,MATCH($B760,المكونات!$A$2:$A$500,0)),"")</f>
        <v>قطعة (كيس)</v>
      </c>
      <c r="E760" s="67" t="n">
        <f aca="false">IFERROR(INDEX(المكونات!$C$2:$C$500,MATCH($B760,المكونات!$A$2:$A$500,0)),"")</f>
        <v>1</v>
      </c>
      <c r="F760" s="68" t="n">
        <f aca="false">IFERROR($C760*$E760,"")</f>
        <v>1.5</v>
      </c>
    </row>
    <row r="761" customFormat="false" ht="15" hidden="false" customHeight="true" outlineLevel="0" collapsed="false">
      <c r="A761" s="65" t="s">
        <v>390</v>
      </c>
      <c r="B761" s="65" t="s">
        <v>346</v>
      </c>
      <c r="C761" s="65" t="n">
        <v>1</v>
      </c>
      <c r="D761" s="66" t="str">
        <f aca="false">IFERROR(INDEX(المكونات!$B$2:$B$500,MATCH($B761,المكونات!$A$2:$A$500,0)),"")</f>
        <v>قطعة</v>
      </c>
      <c r="E761" s="67" t="n">
        <f aca="false">IFERROR(INDEX(المكونات!$C$2:$C$500,MATCH($B761,المكونات!$A$2:$A$500,0)),"")</f>
        <v>8</v>
      </c>
      <c r="F761" s="68" t="n">
        <f aca="false">IFERROR($C761*$E761,"")</f>
        <v>8</v>
      </c>
    </row>
    <row r="762" customFormat="false" ht="15" hidden="false" customHeight="true" outlineLevel="0" collapsed="false">
      <c r="A762" s="65" t="s">
        <v>476</v>
      </c>
      <c r="B762" s="65" t="s">
        <v>264</v>
      </c>
      <c r="C762" s="65" t="n">
        <v>2</v>
      </c>
      <c r="D762" s="66" t="str">
        <f aca="false">IFERROR(INDEX(المكونات!$B$2:$B$500,MATCH($B762,المكونات!$A$2:$A$500,0)),"")</f>
        <v>قطعة</v>
      </c>
      <c r="E762" s="67" t="n">
        <f aca="false">IFERROR(INDEX(المكونات!$C$2:$C$500,MATCH($B762,المكونات!$A$2:$A$500,0)),"")</f>
        <v>4</v>
      </c>
      <c r="F762" s="68" t="n">
        <f aca="false">IFERROR($C762*$E762,"")</f>
        <v>8</v>
      </c>
    </row>
    <row r="763" customFormat="false" ht="15" hidden="false" customHeight="true" outlineLevel="0" collapsed="false">
      <c r="A763" s="65" t="s">
        <v>476</v>
      </c>
      <c r="B763" s="65" t="s">
        <v>140</v>
      </c>
      <c r="C763" s="65" t="n">
        <v>2</v>
      </c>
      <c r="D763" s="66" t="str">
        <f aca="false">IFERROR(INDEX(المكونات!$B$2:$B$500,MATCH($B763,المكونات!$A$2:$A$500,0)),"")</f>
        <v>قطعة</v>
      </c>
      <c r="E763" s="67" t="n">
        <f aca="false">IFERROR(INDEX(المكونات!$C$2:$C$500,MATCH($B763,المكونات!$A$2:$A$500,0)),"")</f>
        <v>18</v>
      </c>
      <c r="F763" s="68" t="n">
        <f aca="false">IFERROR($C763*$E763,"")</f>
        <v>36</v>
      </c>
    </row>
    <row r="764" customFormat="false" ht="15" hidden="false" customHeight="true" outlineLevel="0" collapsed="false">
      <c r="A764" s="65" t="s">
        <v>476</v>
      </c>
      <c r="B764" s="65" t="s">
        <v>260</v>
      </c>
      <c r="C764" s="65" t="n">
        <v>0.02</v>
      </c>
      <c r="D764" s="66" t="str">
        <f aca="false">IFERROR(INDEX(المكونات!$B$2:$B$500,MATCH($B764,المكونات!$A$2:$A$500,0)),"")</f>
        <v>كجم</v>
      </c>
      <c r="E764" s="67" t="n">
        <f aca="false">IFERROR(INDEX(المكونات!$C$2:$C$500,MATCH($B764,المكونات!$A$2:$A$500,0)),"")</f>
        <v>21</v>
      </c>
      <c r="F764" s="68" t="n">
        <f aca="false">IFERROR($C764*$E764,"")</f>
        <v>0.42</v>
      </c>
    </row>
    <row r="765" customFormat="false" ht="15" hidden="false" customHeight="true" outlineLevel="0" collapsed="false">
      <c r="A765" s="65" t="s">
        <v>476</v>
      </c>
      <c r="B765" s="65" t="s">
        <v>284</v>
      </c>
      <c r="C765" s="65" t="n">
        <v>0.02</v>
      </c>
      <c r="D765" s="66" t="str">
        <f aca="false">IFERROR(INDEX(المكونات!$B$2:$B$500,MATCH($B765,المكونات!$A$2:$A$500,0)),"")</f>
        <v>كجم</v>
      </c>
      <c r="E765" s="67" t="n">
        <f aca="false">IFERROR(INDEX(المكونات!$C$2:$C$500,MATCH($B765,المكونات!$A$2:$A$500,0)),"")</f>
        <v>27</v>
      </c>
      <c r="F765" s="68" t="n">
        <f aca="false">IFERROR($C765*$E765,"")</f>
        <v>0.54</v>
      </c>
    </row>
    <row r="766" customFormat="false" ht="15" hidden="false" customHeight="true" outlineLevel="0" collapsed="false">
      <c r="A766" s="65" t="s">
        <v>476</v>
      </c>
      <c r="B766" s="65" t="s">
        <v>190</v>
      </c>
      <c r="C766" s="65" t="n">
        <v>0.02</v>
      </c>
      <c r="D766" s="66" t="str">
        <f aca="false">IFERROR(INDEX(المكونات!$B$2:$B$500,MATCH($B766,المكونات!$A$2:$A$500,0)),"")</f>
        <v>كجم</v>
      </c>
      <c r="E766" s="67" t="n">
        <f aca="false">IFERROR(INDEX(المكونات!$C$2:$C$500,MATCH($B766,المكونات!$A$2:$A$500,0)),"")</f>
        <v>18</v>
      </c>
      <c r="F766" s="68" t="n">
        <f aca="false">IFERROR($C766*$E766,"")</f>
        <v>0.36</v>
      </c>
    </row>
    <row r="767" customFormat="false" ht="15" hidden="false" customHeight="true" outlineLevel="0" collapsed="false">
      <c r="A767" s="65" t="s">
        <v>476</v>
      </c>
      <c r="B767" s="65" t="s">
        <v>217</v>
      </c>
      <c r="C767" s="65" t="n">
        <v>0.02</v>
      </c>
      <c r="D767" s="66" t="str">
        <f aca="false">IFERROR(INDEX(المكونات!$B$2:$B$500,MATCH($B767,المكونات!$A$2:$A$500,0)),"")</f>
        <v>كجم</v>
      </c>
      <c r="E767" s="67" t="n">
        <f aca="false">IFERROR(INDEX(المكونات!$C$2:$C$500,MATCH($B767,المكونات!$A$2:$A$500,0)),"")</f>
        <v>30</v>
      </c>
      <c r="F767" s="68" t="n">
        <f aca="false">IFERROR($C767*$E767,"")</f>
        <v>0.6</v>
      </c>
    </row>
    <row r="768" customFormat="false" ht="15" hidden="false" customHeight="true" outlineLevel="0" collapsed="false">
      <c r="A768" s="65" t="s">
        <v>476</v>
      </c>
      <c r="B768" s="65" t="s">
        <v>254</v>
      </c>
      <c r="C768" s="65" t="n">
        <v>0.05</v>
      </c>
      <c r="D768" s="66" t="str">
        <f aca="false">IFERROR(INDEX(المكونات!$B$2:$B$500,MATCH($B768,المكونات!$A$2:$A$500,0)),"")</f>
        <v>كجم</v>
      </c>
      <c r="E768" s="67" t="n">
        <f aca="false">IFERROR(INDEX(المكونات!$C$2:$C$500,MATCH($B768,المكونات!$A$2:$A$500,0)),"")</f>
        <v>140</v>
      </c>
      <c r="F768" s="68" t="n">
        <f aca="false">IFERROR($C768*$E768,"")</f>
        <v>7</v>
      </c>
    </row>
    <row r="769" customFormat="false" ht="15" hidden="false" customHeight="true" outlineLevel="0" collapsed="false">
      <c r="A769" s="65" t="s">
        <v>476</v>
      </c>
      <c r="B769" s="65" t="s">
        <v>252</v>
      </c>
      <c r="C769" s="65" t="n">
        <v>0.05</v>
      </c>
      <c r="D769" s="66" t="str">
        <f aca="false">IFERROR(INDEX(المكونات!$B$2:$B$500,MATCH($B769,المكونات!$A$2:$A$500,0)),"")</f>
        <v>كجم</v>
      </c>
      <c r="E769" s="67" t="n">
        <f aca="false">IFERROR(INDEX(المكونات!$C$2:$C$500,MATCH($B769,المكونات!$A$2:$A$500,0)),"")</f>
        <v>70</v>
      </c>
      <c r="F769" s="68" t="n">
        <f aca="false">IFERROR($C769*$E769,"")</f>
        <v>3.5</v>
      </c>
    </row>
    <row r="770" customFormat="false" ht="15" hidden="false" customHeight="true" outlineLevel="0" collapsed="false">
      <c r="A770" s="65" t="s">
        <v>476</v>
      </c>
      <c r="B770" s="65" t="s">
        <v>258</v>
      </c>
      <c r="C770" s="65" t="n">
        <v>0.05</v>
      </c>
      <c r="D770" s="66" t="str">
        <f aca="false">IFERROR(INDEX(المكونات!$B$2:$B$500,MATCH($B770,المكونات!$A$2:$A$500,0)),"")</f>
        <v>كجم</v>
      </c>
      <c r="E770" s="67" t="n">
        <f aca="false">IFERROR(INDEX(المكونات!$C$2:$C$500,MATCH($B770,المكونات!$A$2:$A$500,0)),"")</f>
        <v>140</v>
      </c>
      <c r="F770" s="68" t="n">
        <f aca="false">IFERROR($C770*$E770,"")</f>
        <v>7</v>
      </c>
    </row>
    <row r="771" customFormat="false" ht="15" hidden="false" customHeight="true" outlineLevel="0" collapsed="false">
      <c r="A771" s="65" t="s">
        <v>476</v>
      </c>
      <c r="B771" s="65" t="s">
        <v>290</v>
      </c>
      <c r="C771" s="65" t="n">
        <v>2</v>
      </c>
      <c r="D771" s="66" t="str">
        <f aca="false">IFERROR(INDEX(المكونات!$B$2:$B$500,MATCH($B771,المكونات!$A$2:$A$500,0)),"")</f>
        <v>قطعة</v>
      </c>
      <c r="E771" s="67" t="n">
        <f aca="false">IFERROR(INDEX(المكونات!$C$2:$C$500,MATCH($B771,المكونات!$A$2:$A$500,0)),"")</f>
        <v>0.3</v>
      </c>
      <c r="F771" s="68" t="n">
        <f aca="false">IFERROR($C771*$E771,"")</f>
        <v>0.6</v>
      </c>
    </row>
    <row r="772" customFormat="false" ht="15" hidden="false" customHeight="true" outlineLevel="0" collapsed="false">
      <c r="A772" s="65" t="s">
        <v>476</v>
      </c>
      <c r="B772" s="65" t="s">
        <v>319</v>
      </c>
      <c r="C772" s="65" t="n">
        <v>1</v>
      </c>
      <c r="D772" s="66" t="str">
        <f aca="false">IFERROR(INDEX(المكونات!$B$2:$B$500,MATCH($B772,المكونات!$A$2:$A$500,0)),"")</f>
        <v>قطعة (ورقة)</v>
      </c>
      <c r="E772" s="67" t="n">
        <f aca="false">IFERROR(INDEX(المكونات!$C$2:$C$500,MATCH($B772,المكونات!$A$2:$A$500,0)),"")</f>
        <v>0.3665</v>
      </c>
      <c r="F772" s="68" t="n">
        <f aca="false">IFERROR($C772*$E772,"")</f>
        <v>0.3665</v>
      </c>
    </row>
    <row r="773" customFormat="false" ht="15" hidden="false" customHeight="true" outlineLevel="0" collapsed="false">
      <c r="A773" s="65" t="s">
        <v>476</v>
      </c>
      <c r="B773" s="65" t="s">
        <v>133</v>
      </c>
      <c r="C773" s="65" t="n">
        <v>1</v>
      </c>
      <c r="D773" s="66" t="str">
        <f aca="false">IFERROR(INDEX(المكونات!$B$2:$B$500,MATCH($B773,المكونات!$A$2:$A$500,0)),"")</f>
        <v>قطعة (كيس)</v>
      </c>
      <c r="E773" s="67" t="n">
        <f aca="false">IFERROR(INDEX(المكونات!$C$2:$C$500,MATCH($B773,المكونات!$A$2:$A$500,0)),"")</f>
        <v>1.4</v>
      </c>
      <c r="F773" s="68" t="n">
        <f aca="false">IFERROR($C773*$E773,"")</f>
        <v>1.4</v>
      </c>
    </row>
    <row r="774" customFormat="false" ht="15" hidden="false" customHeight="true" outlineLevel="0" collapsed="false">
      <c r="A774" s="65" t="s">
        <v>476</v>
      </c>
      <c r="B774" s="65" t="s">
        <v>293</v>
      </c>
      <c r="C774" s="65" t="n">
        <v>1</v>
      </c>
      <c r="D774" s="66" t="str">
        <f aca="false">IFERROR(INDEX(المكونات!$B$2:$B$500,MATCH($B774,المكونات!$A$2:$A$500,0)),"")</f>
        <v>قطعة</v>
      </c>
      <c r="E774" s="67" t="n">
        <f aca="false">IFERROR(INDEX(المكونات!$C$2:$C$500,MATCH($B774,المكونات!$A$2:$A$500,0)),"")</f>
        <v>0.5</v>
      </c>
      <c r="F774" s="68" t="n">
        <f aca="false">IFERROR($C774*$E774,"")</f>
        <v>0.5</v>
      </c>
    </row>
    <row r="775" customFormat="false" ht="15" hidden="false" customHeight="true" outlineLevel="0" collapsed="false">
      <c r="A775" s="65" t="s">
        <v>476</v>
      </c>
      <c r="B775" s="65" t="s">
        <v>211</v>
      </c>
      <c r="C775" s="65" t="n">
        <v>2</v>
      </c>
      <c r="D775" s="66" t="str">
        <f aca="false">IFERROR(INDEX(المكونات!$B$2:$B$500,MATCH($B775,المكونات!$A$2:$A$500,0)),"")</f>
        <v>قطعة (جلفز)</v>
      </c>
      <c r="E775" s="67" t="n">
        <f aca="false">IFERROR(INDEX(المكونات!$C$2:$C$500,MATCH($B775,المكونات!$A$2:$A$500,0)),"")</f>
        <v>0.18</v>
      </c>
      <c r="F775" s="68" t="n">
        <f aca="false">IFERROR($C775*$E775,"")</f>
        <v>0.36</v>
      </c>
    </row>
    <row r="776" customFormat="false" ht="15" hidden="false" customHeight="true" outlineLevel="0" collapsed="false">
      <c r="A776" s="65" t="s">
        <v>476</v>
      </c>
      <c r="B776" s="65" t="s">
        <v>322</v>
      </c>
      <c r="C776" s="65" t="n">
        <v>1</v>
      </c>
      <c r="D776" s="66" t="str">
        <f aca="false">IFERROR(INDEX(المكونات!$B$2:$B$500,MATCH($B776,المكونات!$A$2:$A$500,0)),"")</f>
        <v>قطعة (كيس)</v>
      </c>
      <c r="E776" s="67" t="n">
        <f aca="false">IFERROR(INDEX(المكونات!$C$2:$C$500,MATCH($B776,المكونات!$A$2:$A$500,0)),"")</f>
        <v>1</v>
      </c>
      <c r="F776" s="68" t="n">
        <f aca="false">IFERROR($C776*$E776,"")</f>
        <v>1</v>
      </c>
    </row>
    <row r="777" customFormat="false" ht="15" hidden="false" customHeight="true" outlineLevel="0" collapsed="false">
      <c r="A777" s="65" t="s">
        <v>476</v>
      </c>
      <c r="B777" s="65" t="s">
        <v>344</v>
      </c>
      <c r="C777" s="65" t="n">
        <v>1</v>
      </c>
      <c r="D777" s="66" t="str">
        <f aca="false">IFERROR(INDEX(المكونات!$B$2:$B$500,MATCH($B777,المكونات!$A$2:$A$500,0)),"")</f>
        <v>قطعة</v>
      </c>
      <c r="E777" s="67" t="n">
        <f aca="false">IFERROR(INDEX(المكونات!$C$2:$C$500,MATCH($B777,المكونات!$A$2:$A$500,0)),"")</f>
        <v>4.44</v>
      </c>
      <c r="F777" s="68" t="n">
        <f aca="false">IFERROR($C777*$E777,"")</f>
        <v>4.44</v>
      </c>
    </row>
    <row r="778" customFormat="false" ht="15" hidden="false" customHeight="true" outlineLevel="0" collapsed="false">
      <c r="A778" s="65" t="s">
        <v>400</v>
      </c>
      <c r="B778" s="65" t="s">
        <v>309</v>
      </c>
      <c r="C778" s="65" t="n">
        <v>0.15</v>
      </c>
      <c r="D778" s="66" t="str">
        <f aca="false">IFERROR(INDEX(المكونات!$B$2:$B$500,MATCH($B778,المكونات!$A$2:$A$500,0)),"")</f>
        <v>كجم</v>
      </c>
      <c r="E778" s="67" t="n">
        <f aca="false">IFERROR(INDEX(المكونات!$C$2:$C$500,MATCH($B778,المكونات!$A$2:$A$500,0)),"")</f>
        <v>24</v>
      </c>
      <c r="F778" s="68" t="n">
        <f aca="false">IFERROR($C778*$E778,"")</f>
        <v>3.6</v>
      </c>
    </row>
    <row r="779" customFormat="false" ht="15" hidden="false" customHeight="true" outlineLevel="0" collapsed="false">
      <c r="A779" s="65" t="s">
        <v>400</v>
      </c>
      <c r="B779" s="65" t="s">
        <v>186</v>
      </c>
      <c r="C779" s="65" t="n">
        <v>0.2</v>
      </c>
      <c r="D779" s="66" t="str">
        <f aca="false">IFERROR(INDEX(المكونات!$B$2:$B$500,MATCH($B779,المكونات!$A$2:$A$500,0)),"")</f>
        <v>كجم</v>
      </c>
      <c r="E779" s="67" t="n">
        <f aca="false">IFERROR(INDEX(المكونات!$C$2:$C$500,MATCH($B779,المكونات!$A$2:$A$500,0)),"")</f>
        <v>41</v>
      </c>
      <c r="F779" s="68" t="n">
        <f aca="false">IFERROR($C779*$E779,"")</f>
        <v>8.2</v>
      </c>
    </row>
    <row r="780" customFormat="false" ht="15" hidden="false" customHeight="true" outlineLevel="0" collapsed="false">
      <c r="A780" s="65" t="s">
        <v>400</v>
      </c>
      <c r="B780" s="65" t="s">
        <v>298</v>
      </c>
      <c r="C780" s="65" t="n">
        <v>0.05</v>
      </c>
      <c r="D780" s="66" t="str">
        <f aca="false">IFERROR(INDEX(المكونات!$B$2:$B$500,MATCH($B780,المكونات!$A$2:$A$500,0)),"")</f>
        <v>لتر</v>
      </c>
      <c r="E780" s="67" t="n">
        <f aca="false">IFERROR(INDEX(المكونات!$C$2:$C$500,MATCH($B780,المكونات!$A$2:$A$500,0)),"")</f>
        <v>20.6667</v>
      </c>
      <c r="F780" s="68" t="n">
        <f aca="false">IFERROR($C780*$E780,"")</f>
        <v>1.033335</v>
      </c>
    </row>
    <row r="781" customFormat="false" ht="15" hidden="false" customHeight="true" outlineLevel="0" collapsed="false">
      <c r="A781" s="65" t="s">
        <v>400</v>
      </c>
      <c r="B781" s="65" t="s">
        <v>220</v>
      </c>
      <c r="C781" s="65" t="n">
        <v>0.01</v>
      </c>
      <c r="D781" s="66" t="str">
        <f aca="false">IFERROR(INDEX(المكونات!$B$2:$B$500,MATCH($B781,المكونات!$A$2:$A$500,0)),"")</f>
        <v>كجم</v>
      </c>
      <c r="E781" s="67" t="n">
        <f aca="false">IFERROR(INDEX(المكونات!$C$2:$C$500,MATCH($B781,المكونات!$A$2:$A$500,0)),"")</f>
        <v>120</v>
      </c>
      <c r="F781" s="68" t="n">
        <f aca="false">IFERROR($C781*$E781,"")</f>
        <v>1.2</v>
      </c>
    </row>
    <row r="782" customFormat="false" ht="15" hidden="false" customHeight="true" outlineLevel="0" collapsed="false">
      <c r="A782" s="65" t="s">
        <v>400</v>
      </c>
      <c r="B782" s="65" t="s">
        <v>172</v>
      </c>
      <c r="C782" s="65" t="n">
        <v>1</v>
      </c>
      <c r="D782" s="66" t="str">
        <f aca="false">IFERROR(INDEX(المكونات!$B$2:$B$500,MATCH($B782,المكونات!$A$2:$A$500,0)),"")</f>
        <v>قطعة</v>
      </c>
      <c r="E782" s="67" t="n">
        <f aca="false">IFERROR(INDEX(المكونات!$C$2:$C$500,MATCH($B782,المكونات!$A$2:$A$500,0)),"")</f>
        <v>20</v>
      </c>
      <c r="F782" s="68" t="n">
        <f aca="false">IFERROR($C782*$E782,"")</f>
        <v>20</v>
      </c>
    </row>
    <row r="783" customFormat="false" ht="15" hidden="false" customHeight="true" outlineLevel="0" collapsed="false">
      <c r="A783" s="65" t="s">
        <v>400</v>
      </c>
      <c r="B783" s="65" t="s">
        <v>158</v>
      </c>
      <c r="C783" s="65" t="n">
        <v>1</v>
      </c>
      <c r="D783" s="66" t="str">
        <f aca="false">IFERROR(INDEX(المكونات!$B$2:$B$500,MATCH($B783,المكونات!$A$2:$A$500,0)),"")</f>
        <v>قطعة</v>
      </c>
      <c r="E783" s="67" t="n">
        <f aca="false">IFERROR(INDEX(المكونات!$C$2:$C$500,MATCH($B783,المكونات!$A$2:$A$500,0)),"")</f>
        <v>33.982</v>
      </c>
      <c r="F783" s="68" t="n">
        <f aca="false">IFERROR($C783*$E783,"")</f>
        <v>33.982</v>
      </c>
    </row>
    <row r="784" customFormat="false" ht="15" hidden="false" customHeight="true" outlineLevel="0" collapsed="false">
      <c r="A784" s="65" t="s">
        <v>400</v>
      </c>
      <c r="B784" s="65" t="s">
        <v>307</v>
      </c>
      <c r="C784" s="65" t="n">
        <v>0.06</v>
      </c>
      <c r="D784" s="66" t="str">
        <f aca="false">IFERROR(INDEX(المكونات!$B$2:$B$500,MATCH($B784,المكونات!$A$2:$A$500,0)),"")</f>
        <v>كجم</v>
      </c>
      <c r="E784" s="67" t="n">
        <f aca="false">IFERROR(INDEX(المكونات!$C$2:$C$500,MATCH($B784,المكونات!$A$2:$A$500,0)),"")</f>
        <v>151.2027</v>
      </c>
      <c r="F784" s="68" t="n">
        <f aca="false">IFERROR($C784*$E784,"")</f>
        <v>9.072162</v>
      </c>
    </row>
    <row r="785" customFormat="false" ht="15" hidden="false" customHeight="true" outlineLevel="0" collapsed="false">
      <c r="A785" s="65" t="s">
        <v>400</v>
      </c>
      <c r="B785" s="65" t="s">
        <v>328</v>
      </c>
      <c r="C785" s="65" t="n">
        <v>1</v>
      </c>
      <c r="D785" s="66" t="str">
        <f aca="false">IFERROR(INDEX(المكونات!$B$2:$B$500,MATCH($B785,المكونات!$A$2:$A$500,0)),"")</f>
        <v>قطعة</v>
      </c>
      <c r="E785" s="67" t="n">
        <f aca="false">IFERROR(INDEX(المكونات!$C$2:$C$500,MATCH($B785,المكونات!$A$2:$A$500,0)),"")</f>
        <v>4.47</v>
      </c>
      <c r="F785" s="68" t="n">
        <f aca="false">IFERROR($C785*$E785,"")</f>
        <v>4.47</v>
      </c>
    </row>
    <row r="786" customFormat="false" ht="15" hidden="false" customHeight="true" outlineLevel="0" collapsed="false">
      <c r="A786" s="65" t="s">
        <v>400</v>
      </c>
      <c r="B786" s="65" t="s">
        <v>122</v>
      </c>
      <c r="C786" s="65" t="n">
        <v>1</v>
      </c>
      <c r="D786" s="66" t="str">
        <f aca="false">IFERROR(INDEX(المكونات!$B$2:$B$500,MATCH($B786,المكونات!$A$2:$A$500,0)),"")</f>
        <v>قطعة</v>
      </c>
      <c r="E786" s="67" t="n">
        <f aca="false">IFERROR(INDEX(المكونات!$C$2:$C$500,MATCH($B786,المكونات!$A$2:$A$500,0)),"")</f>
        <v>3.3</v>
      </c>
      <c r="F786" s="68" t="n">
        <f aca="false">IFERROR($C786*$E786,"")</f>
        <v>3.3</v>
      </c>
    </row>
    <row r="787" customFormat="false" ht="15" hidden="false" customHeight="true" outlineLevel="0" collapsed="false">
      <c r="A787" s="65" t="s">
        <v>400</v>
      </c>
      <c r="B787" s="65" t="s">
        <v>243</v>
      </c>
      <c r="C787" s="65" t="n">
        <v>1</v>
      </c>
      <c r="D787" s="66" t="str">
        <f aca="false">IFERROR(INDEX(المكونات!$B$2:$B$500,MATCH($B787,المكونات!$A$2:$A$500,0)),"")</f>
        <v>قطعة</v>
      </c>
      <c r="E787" s="67" t="n">
        <f aca="false">IFERROR(INDEX(المكونات!$C$2:$C$500,MATCH($B787,المكونات!$A$2:$A$500,0)),"")</f>
        <v>0.3</v>
      </c>
      <c r="F787" s="68" t="n">
        <f aca="false">IFERROR($C787*$E787,"")</f>
        <v>0.3</v>
      </c>
    </row>
    <row r="788" customFormat="false" ht="15" hidden="false" customHeight="true" outlineLevel="0" collapsed="false">
      <c r="A788" s="65" t="s">
        <v>400</v>
      </c>
      <c r="B788" s="65" t="s">
        <v>290</v>
      </c>
      <c r="C788" s="65" t="n">
        <v>2</v>
      </c>
      <c r="D788" s="66" t="str">
        <f aca="false">IFERROR(INDEX(المكونات!$B$2:$B$500,MATCH($B788,المكونات!$A$2:$A$500,0)),"")</f>
        <v>قطعة</v>
      </c>
      <c r="E788" s="67" t="n">
        <f aca="false">IFERROR(INDEX(المكونات!$C$2:$C$500,MATCH($B788,المكونات!$A$2:$A$500,0)),"")</f>
        <v>0.3</v>
      </c>
      <c r="F788" s="68" t="n">
        <f aca="false">IFERROR($C788*$E788,"")</f>
        <v>0.6</v>
      </c>
    </row>
    <row r="789" customFormat="false" ht="15" hidden="false" customHeight="true" outlineLevel="0" collapsed="false">
      <c r="A789" s="65" t="s">
        <v>400</v>
      </c>
      <c r="B789" s="65" t="s">
        <v>211</v>
      </c>
      <c r="C789" s="65" t="n">
        <v>2</v>
      </c>
      <c r="D789" s="66" t="str">
        <f aca="false">IFERROR(INDEX(المكونات!$B$2:$B$500,MATCH($B789,المكونات!$A$2:$A$500,0)),"")</f>
        <v>قطعة (جلفز)</v>
      </c>
      <c r="E789" s="67" t="n">
        <f aca="false">IFERROR(INDEX(المكونات!$C$2:$C$500,MATCH($B789,المكونات!$A$2:$A$500,0)),"")</f>
        <v>0.18</v>
      </c>
      <c r="F789" s="68" t="n">
        <f aca="false">IFERROR($C789*$E789,"")</f>
        <v>0.36</v>
      </c>
    </row>
    <row r="790" customFormat="false" ht="15" hidden="false" customHeight="true" outlineLevel="0" collapsed="false">
      <c r="A790" s="65" t="s">
        <v>400</v>
      </c>
      <c r="B790" s="65" t="s">
        <v>136</v>
      </c>
      <c r="C790" s="65" t="n">
        <v>1</v>
      </c>
      <c r="D790" s="66" t="str">
        <f aca="false">IFERROR(INDEX(المكونات!$B$2:$B$500,MATCH($B790,المكونات!$A$2:$A$500,0)),"")</f>
        <v>قطعة (كيس)</v>
      </c>
      <c r="E790" s="67" t="n">
        <f aca="false">IFERROR(INDEX(المكونات!$C$2:$C$500,MATCH($B790,المكونات!$A$2:$A$500,0)),"")</f>
        <v>1.4</v>
      </c>
      <c r="F790" s="68" t="n">
        <f aca="false">IFERROR($C790*$E790,"")</f>
        <v>1.4</v>
      </c>
    </row>
    <row r="791" customFormat="false" ht="15" hidden="false" customHeight="true" outlineLevel="0" collapsed="false">
      <c r="A791" s="65" t="s">
        <v>461</v>
      </c>
      <c r="B791" s="65" t="s">
        <v>309</v>
      </c>
      <c r="C791" s="65" t="n">
        <v>0.15</v>
      </c>
      <c r="D791" s="66" t="str">
        <f aca="false">IFERROR(INDEX(المكونات!$B$2:$B$500,MATCH($B791,المكونات!$A$2:$A$500,0)),"")</f>
        <v>كجم</v>
      </c>
      <c r="E791" s="67" t="n">
        <f aca="false">IFERROR(INDEX(المكونات!$C$2:$C$500,MATCH($B791,المكونات!$A$2:$A$500,0)),"")</f>
        <v>24</v>
      </c>
      <c r="F791" s="68" t="n">
        <f aca="false">IFERROR($C791*$E791,"")</f>
        <v>3.6</v>
      </c>
    </row>
    <row r="792" customFormat="false" ht="15" hidden="false" customHeight="true" outlineLevel="0" collapsed="false">
      <c r="A792" s="65" t="s">
        <v>461</v>
      </c>
      <c r="B792" s="65" t="s">
        <v>186</v>
      </c>
      <c r="C792" s="65" t="n">
        <v>0.2</v>
      </c>
      <c r="D792" s="66" t="str">
        <f aca="false">IFERROR(INDEX(المكونات!$B$2:$B$500,MATCH($B792,المكونات!$A$2:$A$500,0)),"")</f>
        <v>كجم</v>
      </c>
      <c r="E792" s="67" t="n">
        <f aca="false">IFERROR(INDEX(المكونات!$C$2:$C$500,MATCH($B792,المكونات!$A$2:$A$500,0)),"")</f>
        <v>41</v>
      </c>
      <c r="F792" s="68" t="n">
        <f aca="false">IFERROR($C792*$E792,"")</f>
        <v>8.2</v>
      </c>
    </row>
    <row r="793" customFormat="false" ht="15" hidden="false" customHeight="true" outlineLevel="0" collapsed="false">
      <c r="A793" s="65" t="s">
        <v>461</v>
      </c>
      <c r="B793" s="65" t="s">
        <v>298</v>
      </c>
      <c r="C793" s="65" t="n">
        <v>0.05</v>
      </c>
      <c r="D793" s="66" t="str">
        <f aca="false">IFERROR(INDEX(المكونات!$B$2:$B$500,MATCH($B793,المكونات!$A$2:$A$500,0)),"")</f>
        <v>لتر</v>
      </c>
      <c r="E793" s="67" t="n">
        <f aca="false">IFERROR(INDEX(المكونات!$C$2:$C$500,MATCH($B793,المكونات!$A$2:$A$500,0)),"")</f>
        <v>20.6667</v>
      </c>
      <c r="F793" s="68" t="n">
        <f aca="false">IFERROR($C793*$E793,"")</f>
        <v>1.033335</v>
      </c>
    </row>
    <row r="794" customFormat="false" ht="15" hidden="false" customHeight="true" outlineLevel="0" collapsed="false">
      <c r="A794" s="65" t="s">
        <v>461</v>
      </c>
      <c r="B794" s="65" t="s">
        <v>220</v>
      </c>
      <c r="C794" s="65" t="n">
        <v>0.01</v>
      </c>
      <c r="D794" s="66" t="str">
        <f aca="false">IFERROR(INDEX(المكونات!$B$2:$B$500,MATCH($B794,المكونات!$A$2:$A$500,0)),"")</f>
        <v>كجم</v>
      </c>
      <c r="E794" s="67" t="n">
        <f aca="false">IFERROR(INDEX(المكونات!$C$2:$C$500,MATCH($B794,المكونات!$A$2:$A$500,0)),"")</f>
        <v>120</v>
      </c>
      <c r="F794" s="68" t="n">
        <f aca="false">IFERROR($C794*$E794,"")</f>
        <v>1.2</v>
      </c>
    </row>
    <row r="795" customFormat="false" ht="15" hidden="false" customHeight="true" outlineLevel="0" collapsed="false">
      <c r="A795" s="65" t="s">
        <v>461</v>
      </c>
      <c r="B795" s="65" t="s">
        <v>172</v>
      </c>
      <c r="C795" s="65" t="n">
        <v>1</v>
      </c>
      <c r="D795" s="66" t="str">
        <f aca="false">IFERROR(INDEX(المكونات!$B$2:$B$500,MATCH($B795,المكونات!$A$2:$A$500,0)),"")</f>
        <v>قطعة</v>
      </c>
      <c r="E795" s="67" t="n">
        <f aca="false">IFERROR(INDEX(المكونات!$C$2:$C$500,MATCH($B795,المكونات!$A$2:$A$500,0)),"")</f>
        <v>20</v>
      </c>
      <c r="F795" s="68" t="n">
        <f aca="false">IFERROR($C795*$E795,"")</f>
        <v>20</v>
      </c>
    </row>
    <row r="796" customFormat="false" ht="15" hidden="false" customHeight="true" outlineLevel="0" collapsed="false">
      <c r="A796" s="65" t="s">
        <v>461</v>
      </c>
      <c r="B796" s="65" t="s">
        <v>162</v>
      </c>
      <c r="C796" s="65" t="n">
        <v>1</v>
      </c>
      <c r="D796" s="66" t="str">
        <f aca="false">IFERROR(INDEX(المكونات!$B$2:$B$500,MATCH($B796,المكونات!$A$2:$A$500,0)),"")</f>
        <v>قطعة</v>
      </c>
      <c r="E796" s="67" t="n">
        <f aca="false">IFERROR(INDEX(المكونات!$C$2:$C$500,MATCH($B796,المكونات!$A$2:$A$500,0)),"")</f>
        <v>30</v>
      </c>
      <c r="F796" s="68" t="n">
        <f aca="false">IFERROR($C796*$E796,"")</f>
        <v>30</v>
      </c>
    </row>
    <row r="797" customFormat="false" ht="15" hidden="false" customHeight="true" outlineLevel="0" collapsed="false">
      <c r="A797" s="65" t="s">
        <v>461</v>
      </c>
      <c r="B797" s="65" t="s">
        <v>258</v>
      </c>
      <c r="C797" s="65" t="n">
        <v>0.1</v>
      </c>
      <c r="D797" s="66" t="str">
        <f aca="false">IFERROR(INDEX(المكونات!$B$2:$B$500,MATCH($B797,المكونات!$A$2:$A$500,0)),"")</f>
        <v>كجم</v>
      </c>
      <c r="E797" s="67" t="n">
        <f aca="false">IFERROR(INDEX(المكونات!$C$2:$C$500,MATCH($B797,المكونات!$A$2:$A$500,0)),"")</f>
        <v>140</v>
      </c>
      <c r="F797" s="68" t="n">
        <f aca="false">IFERROR($C797*$E797,"")</f>
        <v>14</v>
      </c>
    </row>
    <row r="798" customFormat="false" ht="15" hidden="false" customHeight="true" outlineLevel="0" collapsed="false">
      <c r="A798" s="65" t="s">
        <v>461</v>
      </c>
      <c r="B798" s="65" t="s">
        <v>328</v>
      </c>
      <c r="C798" s="65" t="n">
        <v>1</v>
      </c>
      <c r="D798" s="66" t="str">
        <f aca="false">IFERROR(INDEX(المكونات!$B$2:$B$500,MATCH($B798,المكونات!$A$2:$A$500,0)),"")</f>
        <v>قطعة</v>
      </c>
      <c r="E798" s="67" t="n">
        <f aca="false">IFERROR(INDEX(المكونات!$C$2:$C$500,MATCH($B798,المكونات!$A$2:$A$500,0)),"")</f>
        <v>4.47</v>
      </c>
      <c r="F798" s="68" t="n">
        <f aca="false">IFERROR($C798*$E798,"")</f>
        <v>4.47</v>
      </c>
    </row>
    <row r="799" customFormat="false" ht="15" hidden="false" customHeight="true" outlineLevel="0" collapsed="false">
      <c r="A799" s="65" t="s">
        <v>461</v>
      </c>
      <c r="B799" s="65" t="s">
        <v>122</v>
      </c>
      <c r="C799" s="65" t="n">
        <v>1</v>
      </c>
      <c r="D799" s="66" t="str">
        <f aca="false">IFERROR(INDEX(المكونات!$B$2:$B$500,MATCH($B799,المكونات!$A$2:$A$500,0)),"")</f>
        <v>قطعة</v>
      </c>
      <c r="E799" s="67" t="n">
        <f aca="false">IFERROR(INDEX(المكونات!$C$2:$C$500,MATCH($B799,المكونات!$A$2:$A$500,0)),"")</f>
        <v>3.3</v>
      </c>
      <c r="F799" s="68" t="n">
        <f aca="false">IFERROR($C799*$E799,"")</f>
        <v>3.3</v>
      </c>
    </row>
    <row r="800" customFormat="false" ht="15" hidden="false" customHeight="true" outlineLevel="0" collapsed="false">
      <c r="A800" s="65" t="s">
        <v>461</v>
      </c>
      <c r="B800" s="65" t="s">
        <v>243</v>
      </c>
      <c r="C800" s="65" t="n">
        <v>1</v>
      </c>
      <c r="D800" s="66" t="str">
        <f aca="false">IFERROR(INDEX(المكونات!$B$2:$B$500,MATCH($B800,المكونات!$A$2:$A$500,0)),"")</f>
        <v>قطعة</v>
      </c>
      <c r="E800" s="67" t="n">
        <f aca="false">IFERROR(INDEX(المكونات!$C$2:$C$500,MATCH($B800,المكونات!$A$2:$A$500,0)),"")</f>
        <v>0.3</v>
      </c>
      <c r="F800" s="68" t="n">
        <f aca="false">IFERROR($C800*$E800,"")</f>
        <v>0.3</v>
      </c>
    </row>
    <row r="801" customFormat="false" ht="15" hidden="false" customHeight="true" outlineLevel="0" collapsed="false">
      <c r="A801" s="65" t="s">
        <v>461</v>
      </c>
      <c r="B801" s="65" t="s">
        <v>290</v>
      </c>
      <c r="C801" s="65" t="n">
        <v>2</v>
      </c>
      <c r="D801" s="66" t="str">
        <f aca="false">IFERROR(INDEX(المكونات!$B$2:$B$500,MATCH($B801,المكونات!$A$2:$A$500,0)),"")</f>
        <v>قطعة</v>
      </c>
      <c r="E801" s="67" t="n">
        <f aca="false">IFERROR(INDEX(المكونات!$C$2:$C$500,MATCH($B801,المكونات!$A$2:$A$500,0)),"")</f>
        <v>0.3</v>
      </c>
      <c r="F801" s="68" t="n">
        <f aca="false">IFERROR($C801*$E801,"")</f>
        <v>0.6</v>
      </c>
    </row>
    <row r="802" customFormat="false" ht="15" hidden="false" customHeight="true" outlineLevel="0" collapsed="false">
      <c r="A802" s="65" t="s">
        <v>461</v>
      </c>
      <c r="B802" s="65" t="s">
        <v>211</v>
      </c>
      <c r="C802" s="65" t="n">
        <v>2</v>
      </c>
      <c r="D802" s="66" t="str">
        <f aca="false">IFERROR(INDEX(المكونات!$B$2:$B$500,MATCH($B802,المكونات!$A$2:$A$500,0)),"")</f>
        <v>قطعة (جلفز)</v>
      </c>
      <c r="E802" s="67" t="n">
        <f aca="false">IFERROR(INDEX(المكونات!$C$2:$C$500,MATCH($B802,المكونات!$A$2:$A$500,0)),"")</f>
        <v>0.18</v>
      </c>
      <c r="F802" s="68" t="n">
        <f aca="false">IFERROR($C802*$E802,"")</f>
        <v>0.36</v>
      </c>
    </row>
    <row r="803" customFormat="false" ht="15" hidden="false" customHeight="true" outlineLevel="0" collapsed="false">
      <c r="A803" s="65" t="s">
        <v>461</v>
      </c>
      <c r="B803" s="65" t="s">
        <v>136</v>
      </c>
      <c r="C803" s="65" t="n">
        <v>1</v>
      </c>
      <c r="D803" s="66" t="str">
        <f aca="false">IFERROR(INDEX(المكونات!$B$2:$B$500,MATCH($B803,المكونات!$A$2:$A$500,0)),"")</f>
        <v>قطعة (كيس)</v>
      </c>
      <c r="E803" s="67" t="n">
        <f aca="false">IFERROR(INDEX(المكونات!$C$2:$C$500,MATCH($B803,المكونات!$A$2:$A$500,0)),"")</f>
        <v>1.4</v>
      </c>
      <c r="F803" s="68" t="n">
        <f aca="false">IFERROR($C803*$E803,"")</f>
        <v>1.4</v>
      </c>
    </row>
    <row r="804" customFormat="false" ht="15" hidden="false" customHeight="true" outlineLevel="0" collapsed="false">
      <c r="A804" s="65" t="s">
        <v>446</v>
      </c>
      <c r="B804" s="65" t="s">
        <v>309</v>
      </c>
      <c r="C804" s="65" t="n">
        <v>0.15</v>
      </c>
      <c r="D804" s="66" t="str">
        <f aca="false">IFERROR(INDEX(المكونات!$B$2:$B$500,MATCH($B804,المكونات!$A$2:$A$500,0)),"")</f>
        <v>كجم</v>
      </c>
      <c r="E804" s="67" t="n">
        <f aca="false">IFERROR(INDEX(المكونات!$C$2:$C$500,MATCH($B804,المكونات!$A$2:$A$500,0)),"")</f>
        <v>24</v>
      </c>
      <c r="F804" s="68" t="n">
        <f aca="false">IFERROR($C804*$E804,"")</f>
        <v>3.6</v>
      </c>
    </row>
    <row r="805" customFormat="false" ht="15" hidden="false" customHeight="true" outlineLevel="0" collapsed="false">
      <c r="A805" s="65" t="s">
        <v>446</v>
      </c>
      <c r="B805" s="65" t="s">
        <v>186</v>
      </c>
      <c r="C805" s="65" t="n">
        <v>0.2</v>
      </c>
      <c r="D805" s="66" t="str">
        <f aca="false">IFERROR(INDEX(المكونات!$B$2:$B$500,MATCH($B805,المكونات!$A$2:$A$500,0)),"")</f>
        <v>كجم</v>
      </c>
      <c r="E805" s="67" t="n">
        <f aca="false">IFERROR(INDEX(المكونات!$C$2:$C$500,MATCH($B805,المكونات!$A$2:$A$500,0)),"")</f>
        <v>41</v>
      </c>
      <c r="F805" s="68" t="n">
        <f aca="false">IFERROR($C805*$E805,"")</f>
        <v>8.2</v>
      </c>
    </row>
    <row r="806" customFormat="false" ht="15" hidden="false" customHeight="true" outlineLevel="0" collapsed="false">
      <c r="A806" s="65" t="s">
        <v>446</v>
      </c>
      <c r="B806" s="65" t="s">
        <v>298</v>
      </c>
      <c r="C806" s="65" t="n">
        <v>0.05</v>
      </c>
      <c r="D806" s="66" t="str">
        <f aca="false">IFERROR(INDEX(المكونات!$B$2:$B$500,MATCH($B806,المكونات!$A$2:$A$500,0)),"")</f>
        <v>لتر</v>
      </c>
      <c r="E806" s="67" t="n">
        <f aca="false">IFERROR(INDEX(المكونات!$C$2:$C$500,MATCH($B806,المكونات!$A$2:$A$500,0)),"")</f>
        <v>20.6667</v>
      </c>
      <c r="F806" s="68" t="n">
        <f aca="false">IFERROR($C806*$E806,"")</f>
        <v>1.033335</v>
      </c>
    </row>
    <row r="807" customFormat="false" ht="15" hidden="false" customHeight="true" outlineLevel="0" collapsed="false">
      <c r="A807" s="65" t="s">
        <v>446</v>
      </c>
      <c r="B807" s="65" t="s">
        <v>220</v>
      </c>
      <c r="C807" s="65" t="n">
        <v>0.01</v>
      </c>
      <c r="D807" s="66" t="str">
        <f aca="false">IFERROR(INDEX(المكونات!$B$2:$B$500,MATCH($B807,المكونات!$A$2:$A$500,0)),"")</f>
        <v>كجم</v>
      </c>
      <c r="E807" s="67" t="n">
        <f aca="false">IFERROR(INDEX(المكونات!$C$2:$C$500,MATCH($B807,المكونات!$A$2:$A$500,0)),"")</f>
        <v>120</v>
      </c>
      <c r="F807" s="68" t="n">
        <f aca="false">IFERROR($C807*$E807,"")</f>
        <v>1.2</v>
      </c>
    </row>
    <row r="808" customFormat="false" ht="15" hidden="false" customHeight="true" outlineLevel="0" collapsed="false">
      <c r="A808" s="65" t="s">
        <v>446</v>
      </c>
      <c r="B808" s="65" t="s">
        <v>172</v>
      </c>
      <c r="C808" s="65" t="n">
        <v>1</v>
      </c>
      <c r="D808" s="66" t="str">
        <f aca="false">IFERROR(INDEX(المكونات!$B$2:$B$500,MATCH($B808,المكونات!$A$2:$A$500,0)),"")</f>
        <v>قطعة</v>
      </c>
      <c r="E808" s="67" t="n">
        <f aca="false">IFERROR(INDEX(المكونات!$C$2:$C$500,MATCH($B808,المكونات!$A$2:$A$500,0)),"")</f>
        <v>20</v>
      </c>
      <c r="F808" s="68" t="n">
        <f aca="false">IFERROR($C808*$E808,"")</f>
        <v>20</v>
      </c>
    </row>
    <row r="809" customFormat="false" ht="15" hidden="false" customHeight="true" outlineLevel="0" collapsed="false">
      <c r="A809" s="65" t="s">
        <v>446</v>
      </c>
      <c r="B809" s="65" t="s">
        <v>162</v>
      </c>
      <c r="C809" s="65" t="n">
        <v>1</v>
      </c>
      <c r="D809" s="66" t="str">
        <f aca="false">IFERROR(INDEX(المكونات!$B$2:$B$500,MATCH($B809,المكونات!$A$2:$A$500,0)),"")</f>
        <v>قطعة</v>
      </c>
      <c r="E809" s="67" t="n">
        <f aca="false">IFERROR(INDEX(المكونات!$C$2:$C$500,MATCH($B809,المكونات!$A$2:$A$500,0)),"")</f>
        <v>30</v>
      </c>
      <c r="F809" s="68" t="n">
        <f aca="false">IFERROR($C809*$E809,"")</f>
        <v>30</v>
      </c>
    </row>
    <row r="810" customFormat="false" ht="15" hidden="false" customHeight="true" outlineLevel="0" collapsed="false">
      <c r="A810" s="65" t="s">
        <v>446</v>
      </c>
      <c r="B810" s="65" t="s">
        <v>256</v>
      </c>
      <c r="C810" s="65" t="n">
        <v>0.1</v>
      </c>
      <c r="D810" s="66" t="str">
        <f aca="false">IFERROR(INDEX(المكونات!$B$2:$B$500,MATCH($B810,المكونات!$A$2:$A$500,0)),"")</f>
        <v>كجم</v>
      </c>
      <c r="E810" s="67" t="n">
        <f aca="false">IFERROR(INDEX(المكونات!$C$2:$C$500,MATCH($B810,المكونات!$A$2:$A$500,0)),"")</f>
        <v>105</v>
      </c>
      <c r="F810" s="68" t="n">
        <f aca="false">IFERROR($C810*$E810,"")</f>
        <v>10.5</v>
      </c>
    </row>
    <row r="811" customFormat="false" ht="15" hidden="false" customHeight="true" outlineLevel="0" collapsed="false">
      <c r="A811" s="65" t="s">
        <v>446</v>
      </c>
      <c r="B811" s="65" t="s">
        <v>328</v>
      </c>
      <c r="C811" s="65" t="n">
        <v>1</v>
      </c>
      <c r="D811" s="66" t="str">
        <f aca="false">IFERROR(INDEX(المكونات!$B$2:$B$500,MATCH($B811,المكونات!$A$2:$A$500,0)),"")</f>
        <v>قطعة</v>
      </c>
      <c r="E811" s="67" t="n">
        <f aca="false">IFERROR(INDEX(المكونات!$C$2:$C$500,MATCH($B811,المكونات!$A$2:$A$500,0)),"")</f>
        <v>4.47</v>
      </c>
      <c r="F811" s="68" t="n">
        <f aca="false">IFERROR($C811*$E811,"")</f>
        <v>4.47</v>
      </c>
    </row>
    <row r="812" customFormat="false" ht="15" hidden="false" customHeight="true" outlineLevel="0" collapsed="false">
      <c r="A812" s="65" t="s">
        <v>446</v>
      </c>
      <c r="B812" s="65" t="s">
        <v>122</v>
      </c>
      <c r="C812" s="65" t="n">
        <v>1</v>
      </c>
      <c r="D812" s="66" t="str">
        <f aca="false">IFERROR(INDEX(المكونات!$B$2:$B$500,MATCH($B812,المكونات!$A$2:$A$500,0)),"")</f>
        <v>قطعة</v>
      </c>
      <c r="E812" s="67" t="n">
        <f aca="false">IFERROR(INDEX(المكونات!$C$2:$C$500,MATCH($B812,المكونات!$A$2:$A$500,0)),"")</f>
        <v>3.3</v>
      </c>
      <c r="F812" s="68" t="n">
        <f aca="false">IFERROR($C812*$E812,"")</f>
        <v>3.3</v>
      </c>
    </row>
    <row r="813" customFormat="false" ht="15" hidden="false" customHeight="true" outlineLevel="0" collapsed="false">
      <c r="A813" s="65" t="s">
        <v>446</v>
      </c>
      <c r="B813" s="65" t="s">
        <v>243</v>
      </c>
      <c r="C813" s="65" t="n">
        <v>1</v>
      </c>
      <c r="D813" s="66" t="str">
        <f aca="false">IFERROR(INDEX(المكونات!$B$2:$B$500,MATCH($B813,المكونات!$A$2:$A$500,0)),"")</f>
        <v>قطعة</v>
      </c>
      <c r="E813" s="67" t="n">
        <f aca="false">IFERROR(INDEX(المكونات!$C$2:$C$500,MATCH($B813,المكونات!$A$2:$A$500,0)),"")</f>
        <v>0.3</v>
      </c>
      <c r="F813" s="68" t="n">
        <f aca="false">IFERROR($C813*$E813,"")</f>
        <v>0.3</v>
      </c>
    </row>
    <row r="814" customFormat="false" ht="15" hidden="false" customHeight="true" outlineLevel="0" collapsed="false">
      <c r="A814" s="65" t="s">
        <v>446</v>
      </c>
      <c r="B814" s="65" t="s">
        <v>290</v>
      </c>
      <c r="C814" s="65" t="n">
        <v>2</v>
      </c>
      <c r="D814" s="66" t="str">
        <f aca="false">IFERROR(INDEX(المكونات!$B$2:$B$500,MATCH($B814,المكونات!$A$2:$A$500,0)),"")</f>
        <v>قطعة</v>
      </c>
      <c r="E814" s="67" t="n">
        <f aca="false">IFERROR(INDEX(المكونات!$C$2:$C$500,MATCH($B814,المكونات!$A$2:$A$500,0)),"")</f>
        <v>0.3</v>
      </c>
      <c r="F814" s="68" t="n">
        <f aca="false">IFERROR($C814*$E814,"")</f>
        <v>0.6</v>
      </c>
    </row>
    <row r="815" customFormat="false" ht="15" hidden="false" customHeight="true" outlineLevel="0" collapsed="false">
      <c r="A815" s="65" t="s">
        <v>446</v>
      </c>
      <c r="B815" s="65" t="s">
        <v>211</v>
      </c>
      <c r="C815" s="65" t="n">
        <v>2</v>
      </c>
      <c r="D815" s="66" t="str">
        <f aca="false">IFERROR(INDEX(المكونات!$B$2:$B$500,MATCH($B815,المكونات!$A$2:$A$500,0)),"")</f>
        <v>قطعة (جلفز)</v>
      </c>
      <c r="E815" s="67" t="n">
        <f aca="false">IFERROR(INDEX(المكونات!$C$2:$C$500,MATCH($B815,المكونات!$A$2:$A$500,0)),"")</f>
        <v>0.18</v>
      </c>
      <c r="F815" s="68" t="n">
        <f aca="false">IFERROR($C815*$E815,"")</f>
        <v>0.36</v>
      </c>
    </row>
    <row r="816" customFormat="false" ht="15" hidden="false" customHeight="true" outlineLevel="0" collapsed="false">
      <c r="A816" s="65" t="s">
        <v>446</v>
      </c>
      <c r="B816" s="65" t="s">
        <v>136</v>
      </c>
      <c r="C816" s="65" t="n">
        <v>1</v>
      </c>
      <c r="D816" s="66" t="str">
        <f aca="false">IFERROR(INDEX(المكونات!$B$2:$B$500,MATCH($B816,المكونات!$A$2:$A$500,0)),"")</f>
        <v>قطعة (كيس)</v>
      </c>
      <c r="E816" s="67" t="n">
        <f aca="false">IFERROR(INDEX(المكونات!$C$2:$C$500,MATCH($B816,المكونات!$A$2:$A$500,0)),"")</f>
        <v>1.4</v>
      </c>
      <c r="F816" s="68" t="n">
        <f aca="false">IFERROR($C816*$E816,"")</f>
        <v>1.4</v>
      </c>
    </row>
    <row r="817" customFormat="false" ht="15" hidden="false" customHeight="true" outlineLevel="0" collapsed="false">
      <c r="A817" s="65" t="s">
        <v>499</v>
      </c>
      <c r="B817" s="65" t="s">
        <v>309</v>
      </c>
      <c r="C817" s="65" t="n">
        <v>0.15</v>
      </c>
      <c r="D817" s="66" t="str">
        <f aca="false">IFERROR(INDEX(المكونات!$B$2:$B$500,MATCH($B817,المكونات!$A$2:$A$500,0)),"")</f>
        <v>كجم</v>
      </c>
      <c r="E817" s="67" t="n">
        <f aca="false">IFERROR(INDEX(المكونات!$C$2:$C$500,MATCH($B817,المكونات!$A$2:$A$500,0)),"")</f>
        <v>24</v>
      </c>
      <c r="F817" s="68" t="n">
        <f aca="false">IFERROR($C817*$E817,"")</f>
        <v>3.6</v>
      </c>
    </row>
    <row r="818" customFormat="false" ht="15" hidden="false" customHeight="true" outlineLevel="0" collapsed="false">
      <c r="A818" s="65" t="s">
        <v>499</v>
      </c>
      <c r="B818" s="65" t="s">
        <v>186</v>
      </c>
      <c r="C818" s="65" t="n">
        <v>0.2</v>
      </c>
      <c r="D818" s="66" t="str">
        <f aca="false">IFERROR(INDEX(المكونات!$B$2:$B$500,MATCH($B818,المكونات!$A$2:$A$500,0)),"")</f>
        <v>كجم</v>
      </c>
      <c r="E818" s="67" t="n">
        <f aca="false">IFERROR(INDEX(المكونات!$C$2:$C$500,MATCH($B818,المكونات!$A$2:$A$500,0)),"")</f>
        <v>41</v>
      </c>
      <c r="F818" s="68" t="n">
        <f aca="false">IFERROR($C818*$E818,"")</f>
        <v>8.2</v>
      </c>
    </row>
    <row r="819" customFormat="false" ht="15" hidden="false" customHeight="true" outlineLevel="0" collapsed="false">
      <c r="A819" s="65" t="s">
        <v>499</v>
      </c>
      <c r="B819" s="65" t="s">
        <v>298</v>
      </c>
      <c r="C819" s="65" t="n">
        <v>0.05</v>
      </c>
      <c r="D819" s="66" t="str">
        <f aca="false">IFERROR(INDEX(المكونات!$B$2:$B$500,MATCH($B819,المكونات!$A$2:$A$500,0)),"")</f>
        <v>لتر</v>
      </c>
      <c r="E819" s="67" t="n">
        <f aca="false">IFERROR(INDEX(المكونات!$C$2:$C$500,MATCH($B819,المكونات!$A$2:$A$500,0)),"")</f>
        <v>20.6667</v>
      </c>
      <c r="F819" s="68" t="n">
        <f aca="false">IFERROR($C819*$E819,"")</f>
        <v>1.033335</v>
      </c>
    </row>
    <row r="820" customFormat="false" ht="15" hidden="false" customHeight="true" outlineLevel="0" collapsed="false">
      <c r="A820" s="65" t="s">
        <v>499</v>
      </c>
      <c r="B820" s="65" t="s">
        <v>220</v>
      </c>
      <c r="C820" s="65" t="n">
        <v>0.01</v>
      </c>
      <c r="D820" s="66" t="str">
        <f aca="false">IFERROR(INDEX(المكونات!$B$2:$B$500,MATCH($B820,المكونات!$A$2:$A$500,0)),"")</f>
        <v>كجم</v>
      </c>
      <c r="E820" s="67" t="n">
        <f aca="false">IFERROR(INDEX(المكونات!$C$2:$C$500,MATCH($B820,المكونات!$A$2:$A$500,0)),"")</f>
        <v>120</v>
      </c>
      <c r="F820" s="68" t="n">
        <f aca="false">IFERROR($C820*$E820,"")</f>
        <v>1.2</v>
      </c>
    </row>
    <row r="821" customFormat="false" ht="15" hidden="false" customHeight="true" outlineLevel="0" collapsed="false">
      <c r="A821" s="65" t="s">
        <v>499</v>
      </c>
      <c r="B821" s="65" t="s">
        <v>172</v>
      </c>
      <c r="C821" s="65" t="n">
        <v>1</v>
      </c>
      <c r="D821" s="66" t="str">
        <f aca="false">IFERROR(INDEX(المكونات!$B$2:$B$500,MATCH($B821,المكونات!$A$2:$A$500,0)),"")</f>
        <v>قطعة</v>
      </c>
      <c r="E821" s="67" t="n">
        <f aca="false">IFERROR(INDEX(المكونات!$C$2:$C$500,MATCH($B821,المكونات!$A$2:$A$500,0)),"")</f>
        <v>20</v>
      </c>
      <c r="F821" s="68" t="n">
        <f aca="false">IFERROR($C821*$E821,"")</f>
        <v>20</v>
      </c>
    </row>
    <row r="822" customFormat="false" ht="15" hidden="false" customHeight="true" outlineLevel="0" collapsed="false">
      <c r="A822" s="65" t="s">
        <v>499</v>
      </c>
      <c r="B822" s="65" t="s">
        <v>150</v>
      </c>
      <c r="C822" s="65" t="n">
        <v>1</v>
      </c>
      <c r="D822" s="66" t="str">
        <f aca="false">IFERROR(INDEX(المكونات!$B$2:$B$500,MATCH($B822,المكونات!$A$2:$A$500,0)),"")</f>
        <v>قطعة</v>
      </c>
      <c r="E822" s="67" t="n">
        <f aca="false">IFERROR(INDEX(المكونات!$C$2:$C$500,MATCH($B822,المكونات!$A$2:$A$500,0)),"")</f>
        <v>95</v>
      </c>
      <c r="F822" s="68" t="n">
        <f aca="false">IFERROR($C822*$E822,"")</f>
        <v>95</v>
      </c>
    </row>
    <row r="823" customFormat="false" ht="15" hidden="false" customHeight="true" outlineLevel="0" collapsed="false">
      <c r="A823" s="65" t="s">
        <v>499</v>
      </c>
      <c r="B823" s="65" t="s">
        <v>328</v>
      </c>
      <c r="C823" s="65" t="n">
        <v>1</v>
      </c>
      <c r="D823" s="66" t="str">
        <f aca="false">IFERROR(INDEX(المكونات!$B$2:$B$500,MATCH($B823,المكونات!$A$2:$A$500,0)),"")</f>
        <v>قطعة</v>
      </c>
      <c r="E823" s="67" t="n">
        <f aca="false">IFERROR(INDEX(المكونات!$C$2:$C$500,MATCH($B823,المكونات!$A$2:$A$500,0)),"")</f>
        <v>4.47</v>
      </c>
      <c r="F823" s="68" t="n">
        <f aca="false">IFERROR($C823*$E823,"")</f>
        <v>4.47</v>
      </c>
    </row>
    <row r="824" customFormat="false" ht="15" hidden="false" customHeight="true" outlineLevel="0" collapsed="false">
      <c r="A824" s="65" t="s">
        <v>499</v>
      </c>
      <c r="B824" s="65" t="s">
        <v>122</v>
      </c>
      <c r="C824" s="65" t="n">
        <v>1</v>
      </c>
      <c r="D824" s="66" t="str">
        <f aca="false">IFERROR(INDEX(المكونات!$B$2:$B$500,MATCH($B824,المكونات!$A$2:$A$500,0)),"")</f>
        <v>قطعة</v>
      </c>
      <c r="E824" s="67" t="n">
        <f aca="false">IFERROR(INDEX(المكونات!$C$2:$C$500,MATCH($B824,المكونات!$A$2:$A$500,0)),"")</f>
        <v>3.3</v>
      </c>
      <c r="F824" s="68" t="n">
        <f aca="false">IFERROR($C824*$E824,"")</f>
        <v>3.3</v>
      </c>
    </row>
    <row r="825" customFormat="false" ht="15" hidden="false" customHeight="true" outlineLevel="0" collapsed="false">
      <c r="A825" s="65" t="s">
        <v>499</v>
      </c>
      <c r="B825" s="65" t="s">
        <v>243</v>
      </c>
      <c r="C825" s="65" t="n">
        <v>1</v>
      </c>
      <c r="D825" s="66" t="str">
        <f aca="false">IFERROR(INDEX(المكونات!$B$2:$B$500,MATCH($B825,المكونات!$A$2:$A$500,0)),"")</f>
        <v>قطعة</v>
      </c>
      <c r="E825" s="67" t="n">
        <f aca="false">IFERROR(INDEX(المكونات!$C$2:$C$500,MATCH($B825,المكونات!$A$2:$A$500,0)),"")</f>
        <v>0.3</v>
      </c>
      <c r="F825" s="68" t="n">
        <f aca="false">IFERROR($C825*$E825,"")</f>
        <v>0.3</v>
      </c>
    </row>
    <row r="826" customFormat="false" ht="15" hidden="false" customHeight="true" outlineLevel="0" collapsed="false">
      <c r="A826" s="65" t="s">
        <v>499</v>
      </c>
      <c r="B826" s="65" t="s">
        <v>290</v>
      </c>
      <c r="C826" s="65" t="n">
        <v>2</v>
      </c>
      <c r="D826" s="66" t="str">
        <f aca="false">IFERROR(INDEX(المكونات!$B$2:$B$500,MATCH($B826,المكونات!$A$2:$A$500,0)),"")</f>
        <v>قطعة</v>
      </c>
      <c r="E826" s="67" t="n">
        <f aca="false">IFERROR(INDEX(المكونات!$C$2:$C$500,MATCH($B826,المكونات!$A$2:$A$500,0)),"")</f>
        <v>0.3</v>
      </c>
      <c r="F826" s="68" t="n">
        <f aca="false">IFERROR($C826*$E826,"")</f>
        <v>0.6</v>
      </c>
    </row>
    <row r="827" customFormat="false" ht="15" hidden="false" customHeight="true" outlineLevel="0" collapsed="false">
      <c r="A827" s="65" t="s">
        <v>499</v>
      </c>
      <c r="B827" s="65" t="s">
        <v>211</v>
      </c>
      <c r="C827" s="65" t="n">
        <v>2</v>
      </c>
      <c r="D827" s="66" t="str">
        <f aca="false">IFERROR(INDEX(المكونات!$B$2:$B$500,MATCH($B827,المكونات!$A$2:$A$500,0)),"")</f>
        <v>قطعة (جلفز)</v>
      </c>
      <c r="E827" s="67" t="n">
        <f aca="false">IFERROR(INDEX(المكونات!$C$2:$C$500,MATCH($B827,المكونات!$A$2:$A$500,0)),"")</f>
        <v>0.18</v>
      </c>
      <c r="F827" s="68" t="n">
        <f aca="false">IFERROR($C827*$E827,"")</f>
        <v>0.36</v>
      </c>
    </row>
    <row r="828" customFormat="false" ht="15" hidden="false" customHeight="true" outlineLevel="0" collapsed="false">
      <c r="A828" s="65" t="s">
        <v>499</v>
      </c>
      <c r="B828" s="65" t="s">
        <v>136</v>
      </c>
      <c r="C828" s="65" t="n">
        <v>1</v>
      </c>
      <c r="D828" s="66" t="str">
        <f aca="false">IFERROR(INDEX(المكونات!$B$2:$B$500,MATCH($B828,المكونات!$A$2:$A$500,0)),"")</f>
        <v>قطعة (كيس)</v>
      </c>
      <c r="E828" s="67" t="n">
        <f aca="false">IFERROR(INDEX(المكونات!$C$2:$C$500,MATCH($B828,المكونات!$A$2:$A$500,0)),"")</f>
        <v>1.4</v>
      </c>
      <c r="F828" s="68" t="n">
        <f aca="false">IFERROR($C828*$E828,"")</f>
        <v>1.4</v>
      </c>
    </row>
    <row r="829" customFormat="false" ht="15" hidden="false" customHeight="true" outlineLevel="0" collapsed="false">
      <c r="A829" s="65" t="s">
        <v>523</v>
      </c>
      <c r="B829" s="65" t="s">
        <v>309</v>
      </c>
      <c r="C829" s="65" t="n">
        <v>0.15</v>
      </c>
      <c r="D829" s="66" t="str">
        <f aca="false">IFERROR(INDEX(المكونات!$B$2:$B$500,MATCH($B829,المكونات!$A$2:$A$500,0)),"")</f>
        <v>كجم</v>
      </c>
      <c r="E829" s="67" t="n">
        <f aca="false">IFERROR(INDEX(المكونات!$C$2:$C$500,MATCH($B829,المكونات!$A$2:$A$500,0)),"")</f>
        <v>24</v>
      </c>
      <c r="F829" s="68" t="n">
        <f aca="false">IFERROR($C829*$E829,"")</f>
        <v>3.6</v>
      </c>
    </row>
    <row r="830" customFormat="false" ht="15" hidden="false" customHeight="true" outlineLevel="0" collapsed="false">
      <c r="A830" s="65" t="s">
        <v>523</v>
      </c>
      <c r="B830" s="65" t="s">
        <v>186</v>
      </c>
      <c r="C830" s="65" t="n">
        <v>0.2</v>
      </c>
      <c r="D830" s="66" t="str">
        <f aca="false">IFERROR(INDEX(المكونات!$B$2:$B$500,MATCH($B830,المكونات!$A$2:$A$500,0)),"")</f>
        <v>كجم</v>
      </c>
      <c r="E830" s="67" t="n">
        <f aca="false">IFERROR(INDEX(المكونات!$C$2:$C$500,MATCH($B830,المكونات!$A$2:$A$500,0)),"")</f>
        <v>41</v>
      </c>
      <c r="F830" s="68" t="n">
        <f aca="false">IFERROR($C830*$E830,"")</f>
        <v>8.2</v>
      </c>
    </row>
    <row r="831" customFormat="false" ht="15" hidden="false" customHeight="true" outlineLevel="0" collapsed="false">
      <c r="A831" s="65" t="s">
        <v>523</v>
      </c>
      <c r="B831" s="65" t="s">
        <v>298</v>
      </c>
      <c r="C831" s="65" t="n">
        <v>0.05</v>
      </c>
      <c r="D831" s="66" t="str">
        <f aca="false">IFERROR(INDEX(المكونات!$B$2:$B$500,MATCH($B831,المكونات!$A$2:$A$500,0)),"")</f>
        <v>لتر</v>
      </c>
      <c r="E831" s="67" t="n">
        <f aca="false">IFERROR(INDEX(المكونات!$C$2:$C$500,MATCH($B831,المكونات!$A$2:$A$500,0)),"")</f>
        <v>20.6667</v>
      </c>
      <c r="F831" s="68" t="n">
        <f aca="false">IFERROR($C831*$E831,"")</f>
        <v>1.033335</v>
      </c>
    </row>
    <row r="832" customFormat="false" ht="15" hidden="false" customHeight="true" outlineLevel="0" collapsed="false">
      <c r="A832" s="65" t="s">
        <v>523</v>
      </c>
      <c r="B832" s="65" t="s">
        <v>220</v>
      </c>
      <c r="C832" s="65" t="n">
        <v>0.01</v>
      </c>
      <c r="D832" s="66" t="str">
        <f aca="false">IFERROR(INDEX(المكونات!$B$2:$B$500,MATCH($B832,المكونات!$A$2:$A$500,0)),"")</f>
        <v>كجم</v>
      </c>
      <c r="E832" s="67" t="n">
        <f aca="false">IFERROR(INDEX(المكونات!$C$2:$C$500,MATCH($B832,المكونات!$A$2:$A$500,0)),"")</f>
        <v>120</v>
      </c>
      <c r="F832" s="68" t="n">
        <f aca="false">IFERROR($C832*$E832,"")</f>
        <v>1.2</v>
      </c>
    </row>
    <row r="833" customFormat="false" ht="15" hidden="false" customHeight="true" outlineLevel="0" collapsed="false">
      <c r="A833" s="65" t="s">
        <v>523</v>
      </c>
      <c r="B833" s="65" t="s">
        <v>172</v>
      </c>
      <c r="C833" s="65" t="n">
        <v>1</v>
      </c>
      <c r="D833" s="66" t="str">
        <f aca="false">IFERROR(INDEX(المكونات!$B$2:$B$500,MATCH($B833,المكونات!$A$2:$A$500,0)),"")</f>
        <v>قطعة</v>
      </c>
      <c r="E833" s="67" t="n">
        <f aca="false">IFERROR(INDEX(المكونات!$C$2:$C$500,MATCH($B833,المكونات!$A$2:$A$500,0)),"")</f>
        <v>20</v>
      </c>
      <c r="F833" s="68" t="n">
        <f aca="false">IFERROR($C833*$E833,"")</f>
        <v>20</v>
      </c>
    </row>
    <row r="834" customFormat="false" ht="15" hidden="false" customHeight="true" outlineLevel="0" collapsed="false">
      <c r="A834" s="65" t="s">
        <v>523</v>
      </c>
      <c r="B834" s="65" t="s">
        <v>152</v>
      </c>
      <c r="C834" s="65" t="n">
        <v>1</v>
      </c>
      <c r="D834" s="66" t="str">
        <f aca="false">IFERROR(INDEX(المكونات!$B$2:$B$500,MATCH($B834,المكونات!$A$2:$A$500,0)),"")</f>
        <v>قطعة</v>
      </c>
      <c r="E834" s="67" t="n">
        <f aca="false">IFERROR(INDEX(المكونات!$C$2:$C$500,MATCH($B834,المكونات!$A$2:$A$500,0)),"")</f>
        <v>34</v>
      </c>
      <c r="F834" s="68" t="n">
        <f aca="false">IFERROR($C834*$E834,"")</f>
        <v>34</v>
      </c>
    </row>
    <row r="835" customFormat="false" ht="15" hidden="false" customHeight="true" outlineLevel="0" collapsed="false">
      <c r="A835" s="65" t="s">
        <v>523</v>
      </c>
      <c r="B835" s="65" t="s">
        <v>328</v>
      </c>
      <c r="C835" s="65" t="n">
        <v>1</v>
      </c>
      <c r="D835" s="66" t="str">
        <f aca="false">IFERROR(INDEX(المكونات!$B$2:$B$500,MATCH($B835,المكونات!$A$2:$A$500,0)),"")</f>
        <v>قطعة</v>
      </c>
      <c r="E835" s="67" t="n">
        <f aca="false">IFERROR(INDEX(المكونات!$C$2:$C$500,MATCH($B835,المكونات!$A$2:$A$500,0)),"")</f>
        <v>4.47</v>
      </c>
      <c r="F835" s="68" t="n">
        <f aca="false">IFERROR($C835*$E835,"")</f>
        <v>4.47</v>
      </c>
    </row>
    <row r="836" customFormat="false" ht="15" hidden="false" customHeight="true" outlineLevel="0" collapsed="false">
      <c r="A836" s="65" t="s">
        <v>523</v>
      </c>
      <c r="B836" s="65" t="s">
        <v>122</v>
      </c>
      <c r="C836" s="65" t="n">
        <v>1</v>
      </c>
      <c r="D836" s="66" t="str">
        <f aca="false">IFERROR(INDEX(المكونات!$B$2:$B$500,MATCH($B836,المكونات!$A$2:$A$500,0)),"")</f>
        <v>قطعة</v>
      </c>
      <c r="E836" s="67" t="n">
        <f aca="false">IFERROR(INDEX(المكونات!$C$2:$C$500,MATCH($B836,المكونات!$A$2:$A$500,0)),"")</f>
        <v>3.3</v>
      </c>
      <c r="F836" s="68" t="n">
        <f aca="false">IFERROR($C836*$E836,"")</f>
        <v>3.3</v>
      </c>
    </row>
    <row r="837" customFormat="false" ht="15" hidden="false" customHeight="true" outlineLevel="0" collapsed="false">
      <c r="A837" s="65" t="s">
        <v>523</v>
      </c>
      <c r="B837" s="65" t="s">
        <v>243</v>
      </c>
      <c r="C837" s="65" t="n">
        <v>1</v>
      </c>
      <c r="D837" s="66" t="str">
        <f aca="false">IFERROR(INDEX(المكونات!$B$2:$B$500,MATCH($B837,المكونات!$A$2:$A$500,0)),"")</f>
        <v>قطعة</v>
      </c>
      <c r="E837" s="67" t="n">
        <f aca="false">IFERROR(INDEX(المكونات!$C$2:$C$500,MATCH($B837,المكونات!$A$2:$A$500,0)),"")</f>
        <v>0.3</v>
      </c>
      <c r="F837" s="68" t="n">
        <f aca="false">IFERROR($C837*$E837,"")</f>
        <v>0.3</v>
      </c>
    </row>
    <row r="838" customFormat="false" ht="15" hidden="false" customHeight="true" outlineLevel="0" collapsed="false">
      <c r="A838" s="65" t="s">
        <v>523</v>
      </c>
      <c r="B838" s="65" t="s">
        <v>290</v>
      </c>
      <c r="C838" s="65" t="n">
        <v>2</v>
      </c>
      <c r="D838" s="66" t="str">
        <f aca="false">IFERROR(INDEX(المكونات!$B$2:$B$500,MATCH($B838,المكونات!$A$2:$A$500,0)),"")</f>
        <v>قطعة</v>
      </c>
      <c r="E838" s="67" t="n">
        <f aca="false">IFERROR(INDEX(المكونات!$C$2:$C$500,MATCH($B838,المكونات!$A$2:$A$500,0)),"")</f>
        <v>0.3</v>
      </c>
      <c r="F838" s="68" t="n">
        <f aca="false">IFERROR($C838*$E838,"")</f>
        <v>0.6</v>
      </c>
    </row>
    <row r="839" customFormat="false" ht="15" hidden="false" customHeight="true" outlineLevel="0" collapsed="false">
      <c r="A839" s="65" t="s">
        <v>523</v>
      </c>
      <c r="B839" s="65" t="s">
        <v>211</v>
      </c>
      <c r="C839" s="65" t="n">
        <v>2</v>
      </c>
      <c r="D839" s="66" t="str">
        <f aca="false">IFERROR(INDEX(المكونات!$B$2:$B$500,MATCH($B839,المكونات!$A$2:$A$500,0)),"")</f>
        <v>قطعة (جلفز)</v>
      </c>
      <c r="E839" s="67" t="n">
        <f aca="false">IFERROR(INDEX(المكونات!$C$2:$C$500,MATCH($B839,المكونات!$A$2:$A$500,0)),"")</f>
        <v>0.18</v>
      </c>
      <c r="F839" s="68" t="n">
        <f aca="false">IFERROR($C839*$E839,"")</f>
        <v>0.36</v>
      </c>
    </row>
    <row r="840" customFormat="false" ht="15" hidden="false" customHeight="true" outlineLevel="0" collapsed="false">
      <c r="A840" s="65" t="s">
        <v>523</v>
      </c>
      <c r="B840" s="65" t="s">
        <v>136</v>
      </c>
      <c r="C840" s="65" t="n">
        <v>1</v>
      </c>
      <c r="D840" s="66" t="str">
        <f aca="false">IFERROR(INDEX(المكونات!$B$2:$B$500,MATCH($B840,المكونات!$A$2:$A$500,0)),"")</f>
        <v>قطعة (كيس)</v>
      </c>
      <c r="E840" s="67" t="n">
        <f aca="false">IFERROR(INDEX(المكونات!$C$2:$C$500,MATCH($B840,المكونات!$A$2:$A$500,0)),"")</f>
        <v>1.4</v>
      </c>
      <c r="F840" s="68" t="n">
        <f aca="false">IFERROR($C840*$E840,"")</f>
        <v>1.4</v>
      </c>
    </row>
    <row r="841" customFormat="false" ht="15" hidden="false" customHeight="true" outlineLevel="0" collapsed="false">
      <c r="A841" s="65" t="s">
        <v>449</v>
      </c>
      <c r="B841" s="65" t="s">
        <v>309</v>
      </c>
      <c r="C841" s="65" t="n">
        <v>0.15</v>
      </c>
      <c r="D841" s="66" t="str">
        <f aca="false">IFERROR(INDEX(المكونات!$B$2:$B$500,MATCH($B841,المكونات!$A$2:$A$500,0)),"")</f>
        <v>كجم</v>
      </c>
      <c r="E841" s="67" t="n">
        <f aca="false">IFERROR(INDEX(المكونات!$C$2:$C$500,MATCH($B841,المكونات!$A$2:$A$500,0)),"")</f>
        <v>24</v>
      </c>
      <c r="F841" s="68" t="n">
        <f aca="false">IFERROR($C841*$E841,"")</f>
        <v>3.6</v>
      </c>
    </row>
    <row r="842" customFormat="false" ht="15" hidden="false" customHeight="true" outlineLevel="0" collapsed="false">
      <c r="A842" s="65" t="s">
        <v>449</v>
      </c>
      <c r="B842" s="65" t="s">
        <v>186</v>
      </c>
      <c r="C842" s="65" t="n">
        <v>0.2</v>
      </c>
      <c r="D842" s="66" t="str">
        <f aca="false">IFERROR(INDEX(المكونات!$B$2:$B$500,MATCH($B842,المكونات!$A$2:$A$500,0)),"")</f>
        <v>كجم</v>
      </c>
      <c r="E842" s="67" t="n">
        <f aca="false">IFERROR(INDEX(المكونات!$C$2:$C$500,MATCH($B842,المكونات!$A$2:$A$500,0)),"")</f>
        <v>41</v>
      </c>
      <c r="F842" s="68" t="n">
        <f aca="false">IFERROR($C842*$E842,"")</f>
        <v>8.2</v>
      </c>
    </row>
    <row r="843" customFormat="false" ht="15" hidden="false" customHeight="true" outlineLevel="0" collapsed="false">
      <c r="A843" s="65" t="s">
        <v>449</v>
      </c>
      <c r="B843" s="65" t="s">
        <v>298</v>
      </c>
      <c r="C843" s="65" t="n">
        <v>0.05</v>
      </c>
      <c r="D843" s="66" t="str">
        <f aca="false">IFERROR(INDEX(المكونات!$B$2:$B$500,MATCH($B843,المكونات!$A$2:$A$500,0)),"")</f>
        <v>لتر</v>
      </c>
      <c r="E843" s="67" t="n">
        <f aca="false">IFERROR(INDEX(المكونات!$C$2:$C$500,MATCH($B843,المكونات!$A$2:$A$500,0)),"")</f>
        <v>20.6667</v>
      </c>
      <c r="F843" s="68" t="n">
        <f aca="false">IFERROR($C843*$E843,"")</f>
        <v>1.033335</v>
      </c>
    </row>
    <row r="844" customFormat="false" ht="15" hidden="false" customHeight="true" outlineLevel="0" collapsed="false">
      <c r="A844" s="65" t="s">
        <v>449</v>
      </c>
      <c r="B844" s="65" t="s">
        <v>220</v>
      </c>
      <c r="C844" s="65" t="n">
        <v>0.01</v>
      </c>
      <c r="D844" s="66" t="str">
        <f aca="false">IFERROR(INDEX(المكونات!$B$2:$B$500,MATCH($B844,المكونات!$A$2:$A$500,0)),"")</f>
        <v>كجم</v>
      </c>
      <c r="E844" s="67" t="n">
        <f aca="false">IFERROR(INDEX(المكونات!$C$2:$C$500,MATCH($B844,المكونات!$A$2:$A$500,0)),"")</f>
        <v>120</v>
      </c>
      <c r="F844" s="68" t="n">
        <f aca="false">IFERROR($C844*$E844,"")</f>
        <v>1.2</v>
      </c>
    </row>
    <row r="845" customFormat="false" ht="15" hidden="false" customHeight="true" outlineLevel="0" collapsed="false">
      <c r="A845" s="65" t="s">
        <v>449</v>
      </c>
      <c r="B845" s="65" t="s">
        <v>172</v>
      </c>
      <c r="C845" s="65" t="n">
        <v>1</v>
      </c>
      <c r="D845" s="66" t="str">
        <f aca="false">IFERROR(INDEX(المكونات!$B$2:$B$500,MATCH($B845,المكونات!$A$2:$A$500,0)),"")</f>
        <v>قطعة</v>
      </c>
      <c r="E845" s="67" t="n">
        <f aca="false">IFERROR(INDEX(المكونات!$C$2:$C$500,MATCH($B845,المكونات!$A$2:$A$500,0)),"")</f>
        <v>20</v>
      </c>
      <c r="F845" s="68" t="n">
        <f aca="false">IFERROR($C845*$E845,"")</f>
        <v>20</v>
      </c>
    </row>
    <row r="846" customFormat="false" ht="15" hidden="false" customHeight="true" outlineLevel="0" collapsed="false">
      <c r="A846" s="65" t="s">
        <v>449</v>
      </c>
      <c r="B846" s="65" t="s">
        <v>142</v>
      </c>
      <c r="C846" s="65" t="n">
        <v>1</v>
      </c>
      <c r="D846" s="66" t="str">
        <f aca="false">IFERROR(INDEX(المكونات!$B$2:$B$500,MATCH($B846,المكونات!$A$2:$A$500,0)),"")</f>
        <v>قطعة</v>
      </c>
      <c r="E846" s="67" t="n">
        <f aca="false">IFERROR(INDEX(المكونات!$C$2:$C$500,MATCH($B846,المكونات!$A$2:$A$500,0)),"")</f>
        <v>35</v>
      </c>
      <c r="F846" s="68" t="n">
        <f aca="false">IFERROR($C846*$E846,"")</f>
        <v>35</v>
      </c>
    </row>
    <row r="847" customFormat="false" ht="15" hidden="false" customHeight="true" outlineLevel="0" collapsed="false">
      <c r="A847" s="65" t="s">
        <v>449</v>
      </c>
      <c r="B847" s="65" t="s">
        <v>328</v>
      </c>
      <c r="C847" s="65" t="n">
        <v>1</v>
      </c>
      <c r="D847" s="66" t="str">
        <f aca="false">IFERROR(INDEX(المكونات!$B$2:$B$500,MATCH($B847,المكونات!$A$2:$A$500,0)),"")</f>
        <v>قطعة</v>
      </c>
      <c r="E847" s="67" t="n">
        <f aca="false">IFERROR(INDEX(المكونات!$C$2:$C$500,MATCH($B847,المكونات!$A$2:$A$500,0)),"")</f>
        <v>4.47</v>
      </c>
      <c r="F847" s="68" t="n">
        <f aca="false">IFERROR($C847*$E847,"")</f>
        <v>4.47</v>
      </c>
    </row>
    <row r="848" customFormat="false" ht="15" hidden="false" customHeight="true" outlineLevel="0" collapsed="false">
      <c r="A848" s="65" t="s">
        <v>449</v>
      </c>
      <c r="B848" s="65" t="s">
        <v>122</v>
      </c>
      <c r="C848" s="65" t="n">
        <v>1</v>
      </c>
      <c r="D848" s="66" t="str">
        <f aca="false">IFERROR(INDEX(المكونات!$B$2:$B$500,MATCH($B848,المكونات!$A$2:$A$500,0)),"")</f>
        <v>قطعة</v>
      </c>
      <c r="E848" s="67" t="n">
        <f aca="false">IFERROR(INDEX(المكونات!$C$2:$C$500,MATCH($B848,المكونات!$A$2:$A$500,0)),"")</f>
        <v>3.3</v>
      </c>
      <c r="F848" s="68" t="n">
        <f aca="false">IFERROR($C848*$E848,"")</f>
        <v>3.3</v>
      </c>
    </row>
    <row r="849" customFormat="false" ht="15" hidden="false" customHeight="true" outlineLevel="0" collapsed="false">
      <c r="A849" s="65" t="s">
        <v>449</v>
      </c>
      <c r="B849" s="65" t="s">
        <v>243</v>
      </c>
      <c r="C849" s="65" t="n">
        <v>1</v>
      </c>
      <c r="D849" s="66" t="str">
        <f aca="false">IFERROR(INDEX(المكونات!$B$2:$B$500,MATCH($B849,المكونات!$A$2:$A$500,0)),"")</f>
        <v>قطعة</v>
      </c>
      <c r="E849" s="67" t="n">
        <f aca="false">IFERROR(INDEX(المكونات!$C$2:$C$500,MATCH($B849,المكونات!$A$2:$A$500,0)),"")</f>
        <v>0.3</v>
      </c>
      <c r="F849" s="68" t="n">
        <f aca="false">IFERROR($C849*$E849,"")</f>
        <v>0.3</v>
      </c>
    </row>
    <row r="850" customFormat="false" ht="15" hidden="false" customHeight="true" outlineLevel="0" collapsed="false">
      <c r="A850" s="65" t="s">
        <v>449</v>
      </c>
      <c r="B850" s="65" t="s">
        <v>290</v>
      </c>
      <c r="C850" s="65" t="n">
        <v>2</v>
      </c>
      <c r="D850" s="66" t="str">
        <f aca="false">IFERROR(INDEX(المكونات!$B$2:$B$500,MATCH($B850,المكونات!$A$2:$A$500,0)),"")</f>
        <v>قطعة</v>
      </c>
      <c r="E850" s="67" t="n">
        <f aca="false">IFERROR(INDEX(المكونات!$C$2:$C$500,MATCH($B850,المكونات!$A$2:$A$500,0)),"")</f>
        <v>0.3</v>
      </c>
      <c r="F850" s="68" t="n">
        <f aca="false">IFERROR($C850*$E850,"")</f>
        <v>0.6</v>
      </c>
    </row>
    <row r="851" customFormat="false" ht="15" hidden="false" customHeight="true" outlineLevel="0" collapsed="false">
      <c r="A851" s="65" t="s">
        <v>449</v>
      </c>
      <c r="B851" s="65" t="s">
        <v>211</v>
      </c>
      <c r="C851" s="65" t="n">
        <v>2</v>
      </c>
      <c r="D851" s="66" t="str">
        <f aca="false">IFERROR(INDEX(المكونات!$B$2:$B$500,MATCH($B851,المكونات!$A$2:$A$500,0)),"")</f>
        <v>قطعة (جلفز)</v>
      </c>
      <c r="E851" s="67" t="n">
        <f aca="false">IFERROR(INDEX(المكونات!$C$2:$C$500,MATCH($B851,المكونات!$A$2:$A$500,0)),"")</f>
        <v>0.18</v>
      </c>
      <c r="F851" s="68" t="n">
        <f aca="false">IFERROR($C851*$E851,"")</f>
        <v>0.36</v>
      </c>
    </row>
    <row r="852" customFormat="false" ht="15" hidden="false" customHeight="true" outlineLevel="0" collapsed="false">
      <c r="A852" s="65" t="s">
        <v>449</v>
      </c>
      <c r="B852" s="65" t="s">
        <v>136</v>
      </c>
      <c r="C852" s="65" t="n">
        <v>1</v>
      </c>
      <c r="D852" s="66" t="str">
        <f aca="false">IFERROR(INDEX(المكونات!$B$2:$B$500,MATCH($B852,المكونات!$A$2:$A$500,0)),"")</f>
        <v>قطعة (كيس)</v>
      </c>
      <c r="E852" s="67" t="n">
        <f aca="false">IFERROR(INDEX(المكونات!$C$2:$C$500,MATCH($B852,المكونات!$A$2:$A$500,0)),"")</f>
        <v>1.4</v>
      </c>
      <c r="F852" s="68" t="n">
        <f aca="false">IFERROR($C852*$E852,"")</f>
        <v>1.4</v>
      </c>
    </row>
    <row r="853" customFormat="false" ht="15" hidden="false" customHeight="true" outlineLevel="0" collapsed="false">
      <c r="A853" s="65" t="s">
        <v>428</v>
      </c>
      <c r="B853" s="65" t="s">
        <v>330</v>
      </c>
      <c r="C853" s="65" t="n">
        <v>1</v>
      </c>
      <c r="D853" s="66" t="str">
        <f aca="false">IFERROR(INDEX(المكونات!$B$2:$B$500,MATCH($B853,المكونات!$A$2:$A$500,0)),"")</f>
        <v>قطعة</v>
      </c>
      <c r="E853" s="67" t="n">
        <f aca="false">IFERROR(INDEX(المكونات!$C$2:$C$500,MATCH($B853,المكونات!$A$2:$A$500,0)),"")</f>
        <v>3.01306208333333</v>
      </c>
      <c r="F853" s="68" t="n">
        <f aca="false">IFERROR($C853*$E853,"")</f>
        <v>3.01306208333333</v>
      </c>
    </row>
    <row r="854" customFormat="false" ht="15" hidden="false" customHeight="true" outlineLevel="0" collapsed="false">
      <c r="A854" s="65" t="s">
        <v>428</v>
      </c>
      <c r="B854" s="65" t="s">
        <v>176</v>
      </c>
      <c r="C854" s="65" t="n">
        <v>1</v>
      </c>
      <c r="D854" s="66" t="str">
        <f aca="false">IFERROR(INDEX(المكونات!$B$2:$B$500,MATCH($B854,المكونات!$A$2:$A$500,0)),"")</f>
        <v>قطعة</v>
      </c>
      <c r="E854" s="67" t="n">
        <f aca="false">IFERROR(INDEX(المكونات!$C$2:$C$500,MATCH($B854,المكونات!$A$2:$A$500,0)),"")</f>
        <v>17.5</v>
      </c>
      <c r="F854" s="68" t="n">
        <f aca="false">IFERROR($C854*$E854,"")</f>
        <v>17.5</v>
      </c>
    </row>
    <row r="855" customFormat="false" ht="15" hidden="false" customHeight="true" outlineLevel="0" collapsed="false">
      <c r="A855" s="65" t="s">
        <v>428</v>
      </c>
      <c r="B855" s="65" t="s">
        <v>260</v>
      </c>
      <c r="C855" s="65" t="n">
        <v>0.03</v>
      </c>
      <c r="D855" s="66" t="str">
        <f aca="false">IFERROR(INDEX(المكونات!$B$2:$B$500,MATCH($B855,المكونات!$A$2:$A$500,0)),"")</f>
        <v>كجم</v>
      </c>
      <c r="E855" s="67" t="n">
        <f aca="false">IFERROR(INDEX(المكونات!$C$2:$C$500,MATCH($B855,المكونات!$A$2:$A$500,0)),"")</f>
        <v>21</v>
      </c>
      <c r="F855" s="68" t="n">
        <f aca="false">IFERROR($C855*$E855,"")</f>
        <v>0.63</v>
      </c>
    </row>
    <row r="856" customFormat="false" ht="15" hidden="false" customHeight="true" outlineLevel="0" collapsed="false">
      <c r="A856" s="65" t="s">
        <v>428</v>
      </c>
      <c r="B856" s="65" t="s">
        <v>284</v>
      </c>
      <c r="C856" s="65" t="n">
        <v>0.02</v>
      </c>
      <c r="D856" s="66" t="str">
        <f aca="false">IFERROR(INDEX(المكونات!$B$2:$B$500,MATCH($B856,المكونات!$A$2:$A$500,0)),"")</f>
        <v>كجم</v>
      </c>
      <c r="E856" s="67" t="n">
        <f aca="false">IFERROR(INDEX(المكونات!$C$2:$C$500,MATCH($B856,المكونات!$A$2:$A$500,0)),"")</f>
        <v>27</v>
      </c>
      <c r="F856" s="68" t="n">
        <f aca="false">IFERROR($C856*$E856,"")</f>
        <v>0.54</v>
      </c>
    </row>
    <row r="857" customFormat="false" ht="15" hidden="false" customHeight="true" outlineLevel="0" collapsed="false">
      <c r="A857" s="65" t="s">
        <v>428</v>
      </c>
      <c r="B857" s="65" t="s">
        <v>227</v>
      </c>
      <c r="C857" s="65" t="n">
        <v>0.02</v>
      </c>
      <c r="D857" s="66" t="str">
        <f aca="false">IFERROR(INDEX(المكونات!$B$2:$B$500,MATCH($B857,المكونات!$A$2:$A$500,0)),"")</f>
        <v>كجم</v>
      </c>
      <c r="E857" s="67" t="n">
        <f aca="false">IFERROR(INDEX(المكونات!$C$2:$C$500,MATCH($B857,المكونات!$A$2:$A$500,0)),"")</f>
        <v>95</v>
      </c>
      <c r="F857" s="68" t="n">
        <f aca="false">IFERROR($C857*$E857,"")</f>
        <v>1.9</v>
      </c>
    </row>
    <row r="858" customFormat="false" ht="15" hidden="false" customHeight="true" outlineLevel="0" collapsed="false">
      <c r="A858" s="65" t="s">
        <v>428</v>
      </c>
      <c r="B858" s="65" t="s">
        <v>297</v>
      </c>
      <c r="C858" s="65" t="n">
        <v>1</v>
      </c>
      <c r="D858" s="66" t="str">
        <f aca="false">IFERROR(INDEX(المكونات!$B$2:$B$500,MATCH($B858,المكونات!$A$2:$A$500,0)),"")</f>
        <v>قطعة</v>
      </c>
      <c r="E858" s="67" t="n">
        <f aca="false">IFERROR(INDEX(المكونات!$C$2:$C$500,MATCH($B858,المكونات!$A$2:$A$500,0)),"")</f>
        <v>2</v>
      </c>
      <c r="F858" s="68" t="n">
        <f aca="false">IFERROR($C858*$E858,"")</f>
        <v>2</v>
      </c>
    </row>
    <row r="859" customFormat="false" ht="15" hidden="false" customHeight="true" outlineLevel="0" collapsed="false">
      <c r="A859" s="65" t="s">
        <v>428</v>
      </c>
      <c r="B859" s="65" t="s">
        <v>234</v>
      </c>
      <c r="C859" s="65" t="n">
        <v>1</v>
      </c>
      <c r="D859" s="66" t="str">
        <f aca="false">IFERROR(INDEX(المكونات!$B$2:$B$500,MATCH($B859,المكونات!$A$2:$A$500,0)),"")</f>
        <v>قطعة (استخدام)</v>
      </c>
      <c r="E859" s="67" t="n">
        <f aca="false">IFERROR(INDEX(المكونات!$C$2:$C$500,MATCH($B859,المكونات!$A$2:$A$500,0)),"")</f>
        <v>2.5189</v>
      </c>
      <c r="F859" s="68" t="n">
        <f aca="false">IFERROR($C859*$E859,"")</f>
        <v>2.5189</v>
      </c>
    </row>
    <row r="860" customFormat="false" ht="15" hidden="false" customHeight="true" outlineLevel="0" collapsed="false">
      <c r="A860" s="65" t="s">
        <v>428</v>
      </c>
      <c r="B860" s="65" t="s">
        <v>162</v>
      </c>
      <c r="C860" s="65" t="n">
        <v>1</v>
      </c>
      <c r="D860" s="66" t="str">
        <f aca="false">IFERROR(INDEX(المكونات!$B$2:$B$500,MATCH($B860,المكونات!$A$2:$A$500,0)),"")</f>
        <v>قطعة</v>
      </c>
      <c r="E860" s="67" t="n">
        <f aca="false">IFERROR(INDEX(المكونات!$C$2:$C$500,MATCH($B860,المكونات!$A$2:$A$500,0)),"")</f>
        <v>30</v>
      </c>
      <c r="F860" s="68" t="n">
        <f aca="false">IFERROR($C860*$E860,"")</f>
        <v>30</v>
      </c>
    </row>
    <row r="861" customFormat="false" ht="15" hidden="false" customHeight="true" outlineLevel="0" collapsed="false">
      <c r="A861" s="65" t="s">
        <v>430</v>
      </c>
      <c r="B861" s="65" t="s">
        <v>330</v>
      </c>
      <c r="C861" s="65" t="n">
        <v>1</v>
      </c>
      <c r="D861" s="66" t="str">
        <f aca="false">IFERROR(INDEX(المكونات!$B$2:$B$500,MATCH($B861,المكونات!$A$2:$A$500,0)),"")</f>
        <v>قطعة</v>
      </c>
      <c r="E861" s="67" t="n">
        <f aca="false">IFERROR(INDEX(المكونات!$C$2:$C$500,MATCH($B861,المكونات!$A$2:$A$500,0)),"")</f>
        <v>3.01306208333333</v>
      </c>
      <c r="F861" s="68" t="n">
        <f aca="false">IFERROR($C861*$E861,"")</f>
        <v>3.01306208333333</v>
      </c>
    </row>
    <row r="862" customFormat="false" ht="15" hidden="false" customHeight="true" outlineLevel="0" collapsed="false">
      <c r="A862" s="65" t="s">
        <v>430</v>
      </c>
      <c r="B862" s="65" t="s">
        <v>176</v>
      </c>
      <c r="C862" s="65" t="n">
        <v>1</v>
      </c>
      <c r="D862" s="66" t="str">
        <f aca="false">IFERROR(INDEX(المكونات!$B$2:$B$500,MATCH($B862,المكونات!$A$2:$A$500,0)),"")</f>
        <v>قطعة</v>
      </c>
      <c r="E862" s="67" t="n">
        <f aca="false">IFERROR(INDEX(المكونات!$C$2:$C$500,MATCH($B862,المكونات!$A$2:$A$500,0)),"")</f>
        <v>17.5</v>
      </c>
      <c r="F862" s="68" t="n">
        <f aca="false">IFERROR($C862*$E862,"")</f>
        <v>17.5</v>
      </c>
    </row>
    <row r="863" customFormat="false" ht="15" hidden="false" customHeight="true" outlineLevel="0" collapsed="false">
      <c r="A863" s="65" t="s">
        <v>430</v>
      </c>
      <c r="B863" s="65" t="s">
        <v>260</v>
      </c>
      <c r="C863" s="65" t="n">
        <v>0.03</v>
      </c>
      <c r="D863" s="66" t="str">
        <f aca="false">IFERROR(INDEX(المكونات!$B$2:$B$500,MATCH($B863,المكونات!$A$2:$A$500,0)),"")</f>
        <v>كجم</v>
      </c>
      <c r="E863" s="67" t="n">
        <f aca="false">IFERROR(INDEX(المكونات!$C$2:$C$500,MATCH($B863,المكونات!$A$2:$A$500,0)),"")</f>
        <v>21</v>
      </c>
      <c r="F863" s="68" t="n">
        <f aca="false">IFERROR($C863*$E863,"")</f>
        <v>0.63</v>
      </c>
    </row>
    <row r="864" customFormat="false" ht="15" hidden="false" customHeight="true" outlineLevel="0" collapsed="false">
      <c r="A864" s="65" t="s">
        <v>430</v>
      </c>
      <c r="B864" s="65" t="s">
        <v>284</v>
      </c>
      <c r="C864" s="65" t="n">
        <v>0.02</v>
      </c>
      <c r="D864" s="66" t="str">
        <f aca="false">IFERROR(INDEX(المكونات!$B$2:$B$500,MATCH($B864,المكونات!$A$2:$A$500,0)),"")</f>
        <v>كجم</v>
      </c>
      <c r="E864" s="67" t="n">
        <f aca="false">IFERROR(INDEX(المكونات!$C$2:$C$500,MATCH($B864,المكونات!$A$2:$A$500,0)),"")</f>
        <v>27</v>
      </c>
      <c r="F864" s="68" t="n">
        <f aca="false">IFERROR($C864*$E864,"")</f>
        <v>0.54</v>
      </c>
    </row>
    <row r="865" customFormat="false" ht="15" hidden="false" customHeight="true" outlineLevel="0" collapsed="false">
      <c r="A865" s="65" t="s">
        <v>430</v>
      </c>
      <c r="B865" s="65" t="s">
        <v>227</v>
      </c>
      <c r="C865" s="65" t="n">
        <v>0.02</v>
      </c>
      <c r="D865" s="66" t="str">
        <f aca="false">IFERROR(INDEX(المكونات!$B$2:$B$500,MATCH($B865,المكونات!$A$2:$A$500,0)),"")</f>
        <v>كجم</v>
      </c>
      <c r="E865" s="67" t="n">
        <f aca="false">IFERROR(INDEX(المكونات!$C$2:$C$500,MATCH($B865,المكونات!$A$2:$A$500,0)),"")</f>
        <v>95</v>
      </c>
      <c r="F865" s="68" t="n">
        <f aca="false">IFERROR($C865*$E865,"")</f>
        <v>1.9</v>
      </c>
    </row>
    <row r="866" customFormat="false" ht="15" hidden="false" customHeight="true" outlineLevel="0" collapsed="false">
      <c r="A866" s="65" t="s">
        <v>430</v>
      </c>
      <c r="B866" s="65" t="s">
        <v>297</v>
      </c>
      <c r="C866" s="65" t="n">
        <v>1</v>
      </c>
      <c r="D866" s="66" t="str">
        <f aca="false">IFERROR(INDEX(المكونات!$B$2:$B$500,MATCH($B866,المكونات!$A$2:$A$500,0)),"")</f>
        <v>قطعة</v>
      </c>
      <c r="E866" s="67" t="n">
        <f aca="false">IFERROR(INDEX(المكونات!$C$2:$C$500,MATCH($B866,المكونات!$A$2:$A$500,0)),"")</f>
        <v>2</v>
      </c>
      <c r="F866" s="68" t="n">
        <f aca="false">IFERROR($C866*$E866,"")</f>
        <v>2</v>
      </c>
    </row>
    <row r="867" customFormat="false" ht="15" hidden="false" customHeight="true" outlineLevel="0" collapsed="false">
      <c r="A867" s="65" t="s">
        <v>430</v>
      </c>
      <c r="B867" s="65" t="s">
        <v>234</v>
      </c>
      <c r="C867" s="65" t="n">
        <v>1</v>
      </c>
      <c r="D867" s="66" t="str">
        <f aca="false">IFERROR(INDEX(المكونات!$B$2:$B$500,MATCH($B867,المكونات!$A$2:$A$500,0)),"")</f>
        <v>قطعة (استخدام)</v>
      </c>
      <c r="E867" s="67" t="n">
        <f aca="false">IFERROR(INDEX(المكونات!$C$2:$C$500,MATCH($B867,المكونات!$A$2:$A$500,0)),"")</f>
        <v>2.5189</v>
      </c>
      <c r="F867" s="68" t="n">
        <f aca="false">IFERROR($C867*$E867,"")</f>
        <v>2.5189</v>
      </c>
    </row>
    <row r="868" customFormat="false" ht="15" hidden="false" customHeight="true" outlineLevel="0" collapsed="false">
      <c r="A868" s="65" t="s">
        <v>430</v>
      </c>
      <c r="B868" s="65" t="s">
        <v>158</v>
      </c>
      <c r="C868" s="65" t="n">
        <v>0.5</v>
      </c>
      <c r="D868" s="66" t="str">
        <f aca="false">IFERROR(INDEX(المكونات!$B$2:$B$500,MATCH($B868,المكونات!$A$2:$A$500,0)),"")</f>
        <v>قطعة</v>
      </c>
      <c r="E868" s="67" t="n">
        <f aca="false">IFERROR(INDEX(المكونات!$C$2:$C$500,MATCH($B868,المكونات!$A$2:$A$500,0)),"")</f>
        <v>33.982</v>
      </c>
      <c r="F868" s="68" t="n">
        <f aca="false">IFERROR($C868*$E868,"")</f>
        <v>16.991</v>
      </c>
    </row>
    <row r="869" customFormat="false" ht="15" hidden="false" customHeight="true" outlineLevel="0" collapsed="false">
      <c r="A869" s="65" t="s">
        <v>430</v>
      </c>
      <c r="B869" s="65" t="s">
        <v>162</v>
      </c>
      <c r="C869" s="65" t="n">
        <v>0.5</v>
      </c>
      <c r="D869" s="66" t="str">
        <f aca="false">IFERROR(INDEX(المكونات!$B$2:$B$500,MATCH($B869,المكونات!$A$2:$A$500,0)),"")</f>
        <v>قطعة</v>
      </c>
      <c r="E869" s="67" t="n">
        <f aca="false">IFERROR(INDEX(المكونات!$C$2:$C$500,MATCH($B869,المكونات!$A$2:$A$500,0)),"")</f>
        <v>30</v>
      </c>
      <c r="F869" s="68" t="n">
        <f aca="false">IFERROR($C869*$E869,"")</f>
        <v>15</v>
      </c>
    </row>
    <row r="870" customFormat="false" ht="15" hidden="false" customHeight="true" outlineLevel="0" collapsed="false">
      <c r="A870" s="65" t="s">
        <v>432</v>
      </c>
      <c r="B870" s="65" t="s">
        <v>330</v>
      </c>
      <c r="C870" s="65" t="n">
        <v>1</v>
      </c>
      <c r="D870" s="66" t="str">
        <f aca="false">IFERROR(INDEX(المكونات!$B$2:$B$500,MATCH($B870,المكونات!$A$2:$A$500,0)),"")</f>
        <v>قطعة</v>
      </c>
      <c r="E870" s="67" t="n">
        <f aca="false">IFERROR(INDEX(المكونات!$C$2:$C$500,MATCH($B870,المكونات!$A$2:$A$500,0)),"")</f>
        <v>3.01306208333333</v>
      </c>
      <c r="F870" s="68" t="n">
        <f aca="false">IFERROR($C870*$E870,"")</f>
        <v>3.01306208333333</v>
      </c>
    </row>
    <row r="871" customFormat="false" ht="15" hidden="false" customHeight="true" outlineLevel="0" collapsed="false">
      <c r="A871" s="65" t="s">
        <v>432</v>
      </c>
      <c r="B871" s="65" t="s">
        <v>176</v>
      </c>
      <c r="C871" s="65" t="n">
        <v>1</v>
      </c>
      <c r="D871" s="66" t="str">
        <f aca="false">IFERROR(INDEX(المكونات!$B$2:$B$500,MATCH($B871,المكونات!$A$2:$A$500,0)),"")</f>
        <v>قطعة</v>
      </c>
      <c r="E871" s="67" t="n">
        <f aca="false">IFERROR(INDEX(المكونات!$C$2:$C$500,MATCH($B871,المكونات!$A$2:$A$500,0)),"")</f>
        <v>17.5</v>
      </c>
      <c r="F871" s="68" t="n">
        <f aca="false">IFERROR($C871*$E871,"")</f>
        <v>17.5</v>
      </c>
    </row>
    <row r="872" customFormat="false" ht="15" hidden="false" customHeight="true" outlineLevel="0" collapsed="false">
      <c r="A872" s="65" t="s">
        <v>432</v>
      </c>
      <c r="B872" s="65" t="s">
        <v>260</v>
      </c>
      <c r="C872" s="65" t="n">
        <v>0.03</v>
      </c>
      <c r="D872" s="66" t="str">
        <f aca="false">IFERROR(INDEX(المكونات!$B$2:$B$500,MATCH($B872,المكونات!$A$2:$A$500,0)),"")</f>
        <v>كجم</v>
      </c>
      <c r="E872" s="67" t="n">
        <f aca="false">IFERROR(INDEX(المكونات!$C$2:$C$500,MATCH($B872,المكونات!$A$2:$A$500,0)),"")</f>
        <v>21</v>
      </c>
      <c r="F872" s="68" t="n">
        <f aca="false">IFERROR($C872*$E872,"")</f>
        <v>0.63</v>
      </c>
    </row>
    <row r="873" customFormat="false" ht="15" hidden="false" customHeight="true" outlineLevel="0" collapsed="false">
      <c r="A873" s="65" t="s">
        <v>432</v>
      </c>
      <c r="B873" s="65" t="s">
        <v>284</v>
      </c>
      <c r="C873" s="65" t="n">
        <v>0.02</v>
      </c>
      <c r="D873" s="66" t="str">
        <f aca="false">IFERROR(INDEX(المكونات!$B$2:$B$500,MATCH($B873,المكونات!$A$2:$A$500,0)),"")</f>
        <v>كجم</v>
      </c>
      <c r="E873" s="67" t="n">
        <f aca="false">IFERROR(INDEX(المكونات!$C$2:$C$500,MATCH($B873,المكونات!$A$2:$A$500,0)),"")</f>
        <v>27</v>
      </c>
      <c r="F873" s="68" t="n">
        <f aca="false">IFERROR($C873*$E873,"")</f>
        <v>0.54</v>
      </c>
    </row>
    <row r="874" customFormat="false" ht="15" hidden="false" customHeight="true" outlineLevel="0" collapsed="false">
      <c r="A874" s="65" t="s">
        <v>432</v>
      </c>
      <c r="B874" s="65" t="s">
        <v>227</v>
      </c>
      <c r="C874" s="65" t="n">
        <v>0.02</v>
      </c>
      <c r="D874" s="66" t="str">
        <f aca="false">IFERROR(INDEX(المكونات!$B$2:$B$500,MATCH($B874,المكونات!$A$2:$A$500,0)),"")</f>
        <v>كجم</v>
      </c>
      <c r="E874" s="67" t="n">
        <f aca="false">IFERROR(INDEX(المكونات!$C$2:$C$500,MATCH($B874,المكونات!$A$2:$A$500,0)),"")</f>
        <v>95</v>
      </c>
      <c r="F874" s="68" t="n">
        <f aca="false">IFERROR($C874*$E874,"")</f>
        <v>1.9</v>
      </c>
    </row>
    <row r="875" customFormat="false" ht="15" hidden="false" customHeight="true" outlineLevel="0" collapsed="false">
      <c r="A875" s="65" t="s">
        <v>432</v>
      </c>
      <c r="B875" s="65" t="s">
        <v>297</v>
      </c>
      <c r="C875" s="65" t="n">
        <v>1</v>
      </c>
      <c r="D875" s="66" t="str">
        <f aca="false">IFERROR(INDEX(المكونات!$B$2:$B$500,MATCH($B875,المكونات!$A$2:$A$500,0)),"")</f>
        <v>قطعة</v>
      </c>
      <c r="E875" s="67" t="n">
        <f aca="false">IFERROR(INDEX(المكونات!$C$2:$C$500,MATCH($B875,المكونات!$A$2:$A$500,0)),"")</f>
        <v>2</v>
      </c>
      <c r="F875" s="68" t="n">
        <f aca="false">IFERROR($C875*$E875,"")</f>
        <v>2</v>
      </c>
    </row>
    <row r="876" customFormat="false" ht="15" hidden="false" customHeight="true" outlineLevel="0" collapsed="false">
      <c r="A876" s="65" t="s">
        <v>432</v>
      </c>
      <c r="B876" s="65" t="s">
        <v>234</v>
      </c>
      <c r="C876" s="65" t="n">
        <v>1</v>
      </c>
      <c r="D876" s="66" t="str">
        <f aca="false">IFERROR(INDEX(المكونات!$B$2:$B$500,MATCH($B876,المكونات!$A$2:$A$500,0)),"")</f>
        <v>قطعة (استخدام)</v>
      </c>
      <c r="E876" s="67" t="n">
        <f aca="false">IFERROR(INDEX(المكونات!$C$2:$C$500,MATCH($B876,المكونات!$A$2:$A$500,0)),"")</f>
        <v>2.5189</v>
      </c>
      <c r="F876" s="68" t="n">
        <f aca="false">IFERROR($C876*$E876,"")</f>
        <v>2.5189</v>
      </c>
    </row>
    <row r="877" customFormat="false" ht="15" hidden="false" customHeight="true" outlineLevel="0" collapsed="false">
      <c r="A877" s="65" t="s">
        <v>432</v>
      </c>
      <c r="B877" s="65" t="s">
        <v>144</v>
      </c>
      <c r="C877" s="65" t="n">
        <v>0.5</v>
      </c>
      <c r="D877" s="66" t="str">
        <f aca="false">IFERROR(INDEX(المكونات!$B$2:$B$500,MATCH($B877,المكونات!$A$2:$A$500,0)),"")</f>
        <v>قطعة</v>
      </c>
      <c r="E877" s="67" t="n">
        <f aca="false">IFERROR(INDEX(المكونات!$C$2:$C$500,MATCH($B877,المكونات!$A$2:$A$500,0)),"")</f>
        <v>46.6667</v>
      </c>
      <c r="F877" s="68" t="n">
        <f aca="false">IFERROR($C877*$E877,"")</f>
        <v>23.33335</v>
      </c>
    </row>
    <row r="878" customFormat="false" ht="15" hidden="false" customHeight="true" outlineLevel="0" collapsed="false">
      <c r="A878" s="65" t="s">
        <v>443</v>
      </c>
      <c r="B878" s="65" t="s">
        <v>330</v>
      </c>
      <c r="C878" s="65" t="n">
        <v>1</v>
      </c>
      <c r="D878" s="66" t="str">
        <f aca="false">IFERROR(INDEX(المكونات!$B$2:$B$500,MATCH($B878,المكونات!$A$2:$A$500,0)),"")</f>
        <v>قطعة</v>
      </c>
      <c r="E878" s="67" t="n">
        <f aca="false">IFERROR(INDEX(المكونات!$C$2:$C$500,MATCH($B878,المكونات!$A$2:$A$500,0)),"")</f>
        <v>3.01306208333333</v>
      </c>
      <c r="F878" s="68" t="n">
        <f aca="false">IFERROR($C878*$E878,"")</f>
        <v>3.01306208333333</v>
      </c>
    </row>
    <row r="879" customFormat="false" ht="15" hidden="false" customHeight="true" outlineLevel="0" collapsed="false">
      <c r="A879" s="65" t="s">
        <v>443</v>
      </c>
      <c r="B879" s="65" t="s">
        <v>176</v>
      </c>
      <c r="C879" s="65" t="n">
        <v>1</v>
      </c>
      <c r="D879" s="66" t="str">
        <f aca="false">IFERROR(INDEX(المكونات!$B$2:$B$500,MATCH($B879,المكونات!$A$2:$A$500,0)),"")</f>
        <v>قطعة</v>
      </c>
      <c r="E879" s="67" t="n">
        <f aca="false">IFERROR(INDEX(المكونات!$C$2:$C$500,MATCH($B879,المكونات!$A$2:$A$500,0)),"")</f>
        <v>17.5</v>
      </c>
      <c r="F879" s="68" t="n">
        <f aca="false">IFERROR($C879*$E879,"")</f>
        <v>17.5</v>
      </c>
    </row>
    <row r="880" customFormat="false" ht="15" hidden="false" customHeight="true" outlineLevel="0" collapsed="false">
      <c r="A880" s="65" t="s">
        <v>443</v>
      </c>
      <c r="B880" s="65" t="s">
        <v>260</v>
      </c>
      <c r="C880" s="65" t="n">
        <v>0.03</v>
      </c>
      <c r="D880" s="66" t="str">
        <f aca="false">IFERROR(INDEX(المكونات!$B$2:$B$500,MATCH($B880,المكونات!$A$2:$A$500,0)),"")</f>
        <v>كجم</v>
      </c>
      <c r="E880" s="67" t="n">
        <f aca="false">IFERROR(INDEX(المكونات!$C$2:$C$500,MATCH($B880,المكونات!$A$2:$A$500,0)),"")</f>
        <v>21</v>
      </c>
      <c r="F880" s="68" t="n">
        <f aca="false">IFERROR($C880*$E880,"")</f>
        <v>0.63</v>
      </c>
    </row>
    <row r="881" customFormat="false" ht="15" hidden="false" customHeight="true" outlineLevel="0" collapsed="false">
      <c r="A881" s="65" t="s">
        <v>443</v>
      </c>
      <c r="B881" s="65" t="s">
        <v>284</v>
      </c>
      <c r="C881" s="65" t="n">
        <v>0.02</v>
      </c>
      <c r="D881" s="66" t="str">
        <f aca="false">IFERROR(INDEX(المكونات!$B$2:$B$500,MATCH($B881,المكونات!$A$2:$A$500,0)),"")</f>
        <v>كجم</v>
      </c>
      <c r="E881" s="67" t="n">
        <f aca="false">IFERROR(INDEX(المكونات!$C$2:$C$500,MATCH($B881,المكونات!$A$2:$A$500,0)),"")</f>
        <v>27</v>
      </c>
      <c r="F881" s="68" t="n">
        <f aca="false">IFERROR($C881*$E881,"")</f>
        <v>0.54</v>
      </c>
    </row>
    <row r="882" customFormat="false" ht="15" hidden="false" customHeight="true" outlineLevel="0" collapsed="false">
      <c r="A882" s="65" t="s">
        <v>443</v>
      </c>
      <c r="B882" s="65" t="s">
        <v>227</v>
      </c>
      <c r="C882" s="65" t="n">
        <v>0.02</v>
      </c>
      <c r="D882" s="66" t="str">
        <f aca="false">IFERROR(INDEX(المكونات!$B$2:$B$500,MATCH($B882,المكونات!$A$2:$A$500,0)),"")</f>
        <v>كجم</v>
      </c>
      <c r="E882" s="67" t="n">
        <f aca="false">IFERROR(INDEX(المكونات!$C$2:$C$500,MATCH($B882,المكونات!$A$2:$A$500,0)),"")</f>
        <v>95</v>
      </c>
      <c r="F882" s="68" t="n">
        <f aca="false">IFERROR($C882*$E882,"")</f>
        <v>1.9</v>
      </c>
    </row>
    <row r="883" customFormat="false" ht="15" hidden="false" customHeight="true" outlineLevel="0" collapsed="false">
      <c r="A883" s="65" t="s">
        <v>443</v>
      </c>
      <c r="B883" s="65" t="s">
        <v>297</v>
      </c>
      <c r="C883" s="65" t="n">
        <v>1</v>
      </c>
      <c r="D883" s="66" t="str">
        <f aca="false">IFERROR(INDEX(المكونات!$B$2:$B$500,MATCH($B883,المكونات!$A$2:$A$500,0)),"")</f>
        <v>قطعة</v>
      </c>
      <c r="E883" s="67" t="n">
        <f aca="false">IFERROR(INDEX(المكونات!$C$2:$C$500,MATCH($B883,المكونات!$A$2:$A$500,0)),"")</f>
        <v>2</v>
      </c>
      <c r="F883" s="68" t="n">
        <f aca="false">IFERROR($C883*$E883,"")</f>
        <v>2</v>
      </c>
    </row>
    <row r="884" customFormat="false" ht="15" hidden="false" customHeight="true" outlineLevel="0" collapsed="false">
      <c r="A884" s="65" t="s">
        <v>443</v>
      </c>
      <c r="B884" s="65" t="s">
        <v>234</v>
      </c>
      <c r="C884" s="65" t="n">
        <v>1</v>
      </c>
      <c r="D884" s="66" t="str">
        <f aca="false">IFERROR(INDEX(المكونات!$B$2:$B$500,MATCH($B884,المكونات!$A$2:$A$500,0)),"")</f>
        <v>قطعة (استخدام)</v>
      </c>
      <c r="E884" s="67" t="n">
        <f aca="false">IFERROR(INDEX(المكونات!$C$2:$C$500,MATCH($B884,المكونات!$A$2:$A$500,0)),"")</f>
        <v>2.5189</v>
      </c>
      <c r="F884" s="68" t="n">
        <f aca="false">IFERROR($C884*$E884,"")</f>
        <v>2.5189</v>
      </c>
    </row>
    <row r="885" customFormat="false" ht="15" hidden="false" customHeight="true" outlineLevel="0" collapsed="false">
      <c r="A885" s="65" t="s">
        <v>443</v>
      </c>
      <c r="B885" s="65" t="s">
        <v>154</v>
      </c>
      <c r="C885" s="65" t="n">
        <v>0.5</v>
      </c>
      <c r="D885" s="66" t="str">
        <f aca="false">IFERROR(INDEX(المكونات!$B$2:$B$500,MATCH($B885,المكونات!$A$2:$A$500,0)),"")</f>
        <v>قطعة</v>
      </c>
      <c r="E885" s="67" t="n">
        <f aca="false">IFERROR(INDEX(المكونات!$C$2:$C$500,MATCH($B885,المكونات!$A$2:$A$500,0)),"")</f>
        <v>45</v>
      </c>
      <c r="F885" s="68" t="n">
        <f aca="false">IFERROR($C885*$E885,"")</f>
        <v>22.5</v>
      </c>
    </row>
    <row r="886" customFormat="false" ht="15" hidden="false" customHeight="true" outlineLevel="0" collapsed="false">
      <c r="A886" s="65" t="s">
        <v>444</v>
      </c>
      <c r="B886" s="65" t="s">
        <v>330</v>
      </c>
      <c r="C886" s="65" t="n">
        <v>1</v>
      </c>
      <c r="D886" s="66" t="str">
        <f aca="false">IFERROR(INDEX(المكونات!$B$2:$B$500,MATCH($B886,المكونات!$A$2:$A$500,0)),"")</f>
        <v>قطعة</v>
      </c>
      <c r="E886" s="67" t="n">
        <f aca="false">IFERROR(INDEX(المكونات!$C$2:$C$500,MATCH($B886,المكونات!$A$2:$A$500,0)),"")</f>
        <v>3.01306208333333</v>
      </c>
      <c r="F886" s="68" t="n">
        <f aca="false">IFERROR($C886*$E886,"")</f>
        <v>3.01306208333333</v>
      </c>
    </row>
    <row r="887" customFormat="false" ht="15" hidden="false" customHeight="true" outlineLevel="0" collapsed="false">
      <c r="A887" s="65" t="s">
        <v>444</v>
      </c>
      <c r="B887" s="65" t="s">
        <v>176</v>
      </c>
      <c r="C887" s="65" t="n">
        <v>1</v>
      </c>
      <c r="D887" s="66" t="str">
        <f aca="false">IFERROR(INDEX(المكونات!$B$2:$B$500,MATCH($B887,المكونات!$A$2:$A$500,0)),"")</f>
        <v>قطعة</v>
      </c>
      <c r="E887" s="67" t="n">
        <f aca="false">IFERROR(INDEX(المكونات!$C$2:$C$500,MATCH($B887,المكونات!$A$2:$A$500,0)),"")</f>
        <v>17.5</v>
      </c>
      <c r="F887" s="68" t="n">
        <f aca="false">IFERROR($C887*$E887,"")</f>
        <v>17.5</v>
      </c>
    </row>
    <row r="888" customFormat="false" ht="15" hidden="false" customHeight="true" outlineLevel="0" collapsed="false">
      <c r="A888" s="65" t="s">
        <v>444</v>
      </c>
      <c r="B888" s="65" t="s">
        <v>260</v>
      </c>
      <c r="C888" s="65" t="n">
        <v>0.03</v>
      </c>
      <c r="D888" s="66" t="str">
        <f aca="false">IFERROR(INDEX(المكونات!$B$2:$B$500,MATCH($B888,المكونات!$A$2:$A$500,0)),"")</f>
        <v>كجم</v>
      </c>
      <c r="E888" s="67" t="n">
        <f aca="false">IFERROR(INDEX(المكونات!$C$2:$C$500,MATCH($B888,المكونات!$A$2:$A$500,0)),"")</f>
        <v>21</v>
      </c>
      <c r="F888" s="68" t="n">
        <f aca="false">IFERROR($C888*$E888,"")</f>
        <v>0.63</v>
      </c>
    </row>
    <row r="889" customFormat="false" ht="15" hidden="false" customHeight="true" outlineLevel="0" collapsed="false">
      <c r="A889" s="65" t="s">
        <v>444</v>
      </c>
      <c r="B889" s="65" t="s">
        <v>284</v>
      </c>
      <c r="C889" s="65" t="n">
        <v>0.02</v>
      </c>
      <c r="D889" s="66" t="str">
        <f aca="false">IFERROR(INDEX(المكونات!$B$2:$B$500,MATCH($B889,المكونات!$A$2:$A$500,0)),"")</f>
        <v>كجم</v>
      </c>
      <c r="E889" s="67" t="n">
        <f aca="false">IFERROR(INDEX(المكونات!$C$2:$C$500,MATCH($B889,المكونات!$A$2:$A$500,0)),"")</f>
        <v>27</v>
      </c>
      <c r="F889" s="68" t="n">
        <f aca="false">IFERROR($C889*$E889,"")</f>
        <v>0.54</v>
      </c>
    </row>
    <row r="890" customFormat="false" ht="15" hidden="false" customHeight="true" outlineLevel="0" collapsed="false">
      <c r="A890" s="65" t="s">
        <v>444</v>
      </c>
      <c r="B890" s="65" t="s">
        <v>227</v>
      </c>
      <c r="C890" s="65" t="n">
        <v>0.02</v>
      </c>
      <c r="D890" s="66" t="str">
        <f aca="false">IFERROR(INDEX(المكونات!$B$2:$B$500,MATCH($B890,المكونات!$A$2:$A$500,0)),"")</f>
        <v>كجم</v>
      </c>
      <c r="E890" s="67" t="n">
        <f aca="false">IFERROR(INDEX(المكونات!$C$2:$C$500,MATCH($B890,المكونات!$A$2:$A$500,0)),"")</f>
        <v>95</v>
      </c>
      <c r="F890" s="68" t="n">
        <f aca="false">IFERROR($C890*$E890,"")</f>
        <v>1.9</v>
      </c>
    </row>
    <row r="891" customFormat="false" ht="15" hidden="false" customHeight="true" outlineLevel="0" collapsed="false">
      <c r="A891" s="65" t="s">
        <v>444</v>
      </c>
      <c r="B891" s="65" t="s">
        <v>297</v>
      </c>
      <c r="C891" s="65" t="n">
        <v>1</v>
      </c>
      <c r="D891" s="66" t="str">
        <f aca="false">IFERROR(INDEX(المكونات!$B$2:$B$500,MATCH($B891,المكونات!$A$2:$A$500,0)),"")</f>
        <v>قطعة</v>
      </c>
      <c r="E891" s="67" t="n">
        <f aca="false">IFERROR(INDEX(المكونات!$C$2:$C$500,MATCH($B891,المكونات!$A$2:$A$500,0)),"")</f>
        <v>2</v>
      </c>
      <c r="F891" s="68" t="n">
        <f aca="false">IFERROR($C891*$E891,"")</f>
        <v>2</v>
      </c>
    </row>
    <row r="892" customFormat="false" ht="15" hidden="false" customHeight="true" outlineLevel="0" collapsed="false">
      <c r="A892" s="65" t="s">
        <v>444</v>
      </c>
      <c r="B892" s="65" t="s">
        <v>234</v>
      </c>
      <c r="C892" s="65" t="n">
        <v>1</v>
      </c>
      <c r="D892" s="66" t="str">
        <f aca="false">IFERROR(INDEX(المكونات!$B$2:$B$500,MATCH($B892,المكونات!$A$2:$A$500,0)),"")</f>
        <v>قطعة (استخدام)</v>
      </c>
      <c r="E892" s="67" t="n">
        <f aca="false">IFERROR(INDEX(المكونات!$C$2:$C$500,MATCH($B892,المكونات!$A$2:$A$500,0)),"")</f>
        <v>2.5189</v>
      </c>
      <c r="F892" s="68" t="n">
        <f aca="false">IFERROR($C892*$E892,"")</f>
        <v>2.5189</v>
      </c>
    </row>
    <row r="893" customFormat="false" ht="15" hidden="false" customHeight="true" outlineLevel="0" collapsed="false">
      <c r="A893" s="65" t="s">
        <v>444</v>
      </c>
      <c r="B893" s="65" t="s">
        <v>158</v>
      </c>
      <c r="C893" s="65" t="n">
        <v>1</v>
      </c>
      <c r="D893" s="66" t="str">
        <f aca="false">IFERROR(INDEX(المكونات!$B$2:$B$500,MATCH($B893,المكونات!$A$2:$A$500,0)),"")</f>
        <v>قطعة</v>
      </c>
      <c r="E893" s="67" t="n">
        <f aca="false">IFERROR(INDEX(المكونات!$C$2:$C$500,MATCH($B893,المكونات!$A$2:$A$500,0)),"")</f>
        <v>33.982</v>
      </c>
      <c r="F893" s="68" t="n">
        <f aca="false">IFERROR($C893*$E893,"")</f>
        <v>33.982</v>
      </c>
    </row>
    <row r="894" customFormat="false" ht="15" hidden="false" customHeight="true" outlineLevel="0" collapsed="false">
      <c r="A894" s="65" t="s">
        <v>444</v>
      </c>
      <c r="B894" s="65" t="s">
        <v>252</v>
      </c>
      <c r="C894" s="65" t="n">
        <v>0.1</v>
      </c>
      <c r="D894" s="66" t="str">
        <f aca="false">IFERROR(INDEX(المكونات!$B$2:$B$500,MATCH($B894,المكونات!$A$2:$A$500,0)),"")</f>
        <v>كجم</v>
      </c>
      <c r="E894" s="67" t="n">
        <f aca="false">IFERROR(INDEX(المكونات!$C$2:$C$500,MATCH($B894,المكونات!$A$2:$A$500,0)),"")</f>
        <v>70</v>
      </c>
      <c r="F894" s="68" t="n">
        <f aca="false">IFERROR($C894*$E894,"")</f>
        <v>7</v>
      </c>
    </row>
    <row r="895" customFormat="false" ht="15" hidden="false" customHeight="true" outlineLevel="0" collapsed="false">
      <c r="A895" s="65" t="s">
        <v>425</v>
      </c>
      <c r="B895" s="65" t="s">
        <v>330</v>
      </c>
      <c r="C895" s="65" t="n">
        <v>1</v>
      </c>
      <c r="D895" s="66" t="str">
        <f aca="false">IFERROR(INDEX(المكونات!$B$2:$B$500,MATCH($B895,المكونات!$A$2:$A$500,0)),"")</f>
        <v>قطعة</v>
      </c>
      <c r="E895" s="67" t="n">
        <f aca="false">IFERROR(INDEX(المكونات!$C$2:$C$500,MATCH($B895,المكونات!$A$2:$A$500,0)),"")</f>
        <v>3.01306208333333</v>
      </c>
      <c r="F895" s="68" t="n">
        <f aca="false">IFERROR($C895*$E895,"")</f>
        <v>3.01306208333333</v>
      </c>
    </row>
    <row r="896" customFormat="false" ht="15" hidden="false" customHeight="true" outlineLevel="0" collapsed="false">
      <c r="A896" s="65" t="s">
        <v>425</v>
      </c>
      <c r="B896" s="65" t="s">
        <v>297</v>
      </c>
      <c r="C896" s="65" t="n">
        <v>1</v>
      </c>
      <c r="D896" s="66" t="str">
        <f aca="false">IFERROR(INDEX(المكونات!$B$2:$B$500,MATCH($B896,المكونات!$A$2:$A$500,0)),"")</f>
        <v>قطعة</v>
      </c>
      <c r="E896" s="67" t="n">
        <f aca="false">IFERROR(INDEX(المكونات!$C$2:$C$500,MATCH($B896,المكونات!$A$2:$A$500,0)),"")</f>
        <v>2</v>
      </c>
      <c r="F896" s="68" t="n">
        <f aca="false">IFERROR($C896*$E896,"")</f>
        <v>2</v>
      </c>
    </row>
    <row r="897" customFormat="false" ht="15" hidden="false" customHeight="true" outlineLevel="0" collapsed="false">
      <c r="A897" s="65" t="s">
        <v>202</v>
      </c>
      <c r="B897" s="65" t="s">
        <v>202</v>
      </c>
      <c r="C897" s="65" t="n">
        <v>1</v>
      </c>
      <c r="D897" s="66" t="str">
        <f aca="false">IFERROR(INDEX(المكونات!$B$2:$B$500,MATCH($B897,المكونات!$A$2:$A$500,0)),"")</f>
        <v>قطعة</v>
      </c>
      <c r="E897" s="67" t="n">
        <f aca="false">IFERROR(INDEX(المكونات!$C$2:$C$500,MATCH($B897,المكونات!$A$2:$A$500,0)),"")</f>
        <v>17.1875</v>
      </c>
      <c r="F897" s="68" t="n">
        <f aca="false">IFERROR($C897*$E897,"")</f>
        <v>17.1875</v>
      </c>
    </row>
    <row r="898" customFormat="false" ht="15" hidden="false" customHeight="true" outlineLevel="0" collapsed="false">
      <c r="A898" s="65" t="s">
        <v>204</v>
      </c>
      <c r="B898" s="65" t="s">
        <v>204</v>
      </c>
      <c r="C898" s="65" t="n">
        <v>1</v>
      </c>
      <c r="D898" s="66" t="str">
        <f aca="false">IFERROR(INDEX(المكونات!$B$2:$B$500,MATCH($B898,المكونات!$A$2:$A$500,0)),"")</f>
        <v>لتر</v>
      </c>
      <c r="E898" s="67" t="n">
        <f aca="false">IFERROR(INDEX(المكونات!$C$2:$C$500,MATCH($B898,المكونات!$A$2:$A$500,0)),"")</f>
        <v>30</v>
      </c>
      <c r="F898" s="68" t="n">
        <f aca="false">IFERROR($C898*$E898,"")</f>
        <v>30</v>
      </c>
    </row>
    <row r="899" customFormat="false" ht="15" hidden="false" customHeight="true" outlineLevel="0" collapsed="false">
      <c r="A899" s="65" t="s">
        <v>464</v>
      </c>
      <c r="B899" s="65" t="s">
        <v>146</v>
      </c>
      <c r="C899" s="65" t="n">
        <v>1.5</v>
      </c>
      <c r="D899" s="66" t="str">
        <f aca="false">IFERROR(INDEX(المكونات!$B$2:$B$500,MATCH($B899,المكونات!$A$2:$A$500,0)),"")</f>
        <v>قطعة</v>
      </c>
      <c r="E899" s="67" t="n">
        <f aca="false">IFERROR(INDEX(المكونات!$C$2:$C$500,MATCH($B899,المكونات!$A$2:$A$500,0)),"")</f>
        <v>5.65</v>
      </c>
      <c r="F899" s="68" t="n">
        <f aca="false">IFERROR($C899*$E899,"")</f>
        <v>8.475</v>
      </c>
    </row>
    <row r="900" customFormat="false" ht="15" hidden="false" customHeight="true" outlineLevel="0" collapsed="false">
      <c r="A900" s="65" t="s">
        <v>464</v>
      </c>
      <c r="B900" s="65" t="s">
        <v>274</v>
      </c>
      <c r="C900" s="65" t="n">
        <v>1</v>
      </c>
      <c r="D900" s="66" t="str">
        <f aca="false">IFERROR(INDEX(المكونات!$B$2:$B$500,MATCH($B900,المكونات!$A$2:$A$500,0)),"")</f>
        <v>قطعة</v>
      </c>
      <c r="E900" s="67" t="n">
        <f aca="false">IFERROR(INDEX(المكونات!$C$2:$C$500,MATCH($B900,المكونات!$A$2:$A$500,0)),"")</f>
        <v>1.7</v>
      </c>
      <c r="F900" s="68" t="n">
        <f aca="false">IFERROR($C900*$E900,"")</f>
        <v>1.7</v>
      </c>
    </row>
    <row r="901" customFormat="false" ht="15" hidden="false" customHeight="true" outlineLevel="0" collapsed="false">
      <c r="A901" s="65" t="s">
        <v>464</v>
      </c>
      <c r="B901" s="65" t="s">
        <v>290</v>
      </c>
      <c r="C901" s="65" t="n">
        <v>1</v>
      </c>
      <c r="D901" s="66" t="str">
        <f aca="false">IFERROR(INDEX(المكونات!$B$2:$B$500,MATCH($B901,المكونات!$A$2:$A$500,0)),"")</f>
        <v>قطعة</v>
      </c>
      <c r="E901" s="67" t="n">
        <f aca="false">IFERROR(INDEX(المكونات!$C$2:$C$500,MATCH($B901,المكونات!$A$2:$A$500,0)),"")</f>
        <v>0.3</v>
      </c>
      <c r="F901" s="68" t="n">
        <f aca="false">IFERROR($C901*$E901,"")</f>
        <v>0.3</v>
      </c>
    </row>
    <row r="902" customFormat="false" ht="15" hidden="false" customHeight="true" outlineLevel="0" collapsed="false">
      <c r="A902" s="65" t="s">
        <v>450</v>
      </c>
      <c r="B902" s="65" t="s">
        <v>146</v>
      </c>
      <c r="C902" s="65" t="n">
        <v>3</v>
      </c>
      <c r="D902" s="66" t="str">
        <f aca="false">IFERROR(INDEX(المكونات!$B$2:$B$500,MATCH($B902,المكونات!$A$2:$A$500,0)),"")</f>
        <v>قطعة</v>
      </c>
      <c r="E902" s="67" t="n">
        <f aca="false">IFERROR(INDEX(المكونات!$C$2:$C$500,MATCH($B902,المكونات!$A$2:$A$500,0)),"")</f>
        <v>5.65</v>
      </c>
      <c r="F902" s="68" t="n">
        <f aca="false">IFERROR($C902*$E902,"")</f>
        <v>16.95</v>
      </c>
    </row>
    <row r="903" customFormat="false" ht="15" hidden="false" customHeight="true" outlineLevel="0" collapsed="false">
      <c r="A903" s="65" t="s">
        <v>450</v>
      </c>
      <c r="B903" s="65" t="s">
        <v>276</v>
      </c>
      <c r="C903" s="65" t="n">
        <v>1</v>
      </c>
      <c r="D903" s="66" t="str">
        <f aca="false">IFERROR(INDEX(المكونات!$B$2:$B$500,MATCH($B903,المكونات!$A$2:$A$500,0)),"")</f>
        <v>قطعة</v>
      </c>
      <c r="E903" s="67" t="n">
        <f aca="false">IFERROR(INDEX(المكونات!$C$2:$C$500,MATCH($B903,المكونات!$A$2:$A$500,0)),"")</f>
        <v>2</v>
      </c>
      <c r="F903" s="68" t="n">
        <f aca="false">IFERROR($C903*$E903,"")</f>
        <v>2</v>
      </c>
    </row>
    <row r="904" customFormat="false" ht="15" hidden="false" customHeight="true" outlineLevel="0" collapsed="false">
      <c r="A904" s="65" t="s">
        <v>450</v>
      </c>
      <c r="B904" s="65" t="s">
        <v>290</v>
      </c>
      <c r="C904" s="65" t="n">
        <v>2</v>
      </c>
      <c r="D904" s="66" t="str">
        <f aca="false">IFERROR(INDEX(المكونات!$B$2:$B$500,MATCH($B904,المكونات!$A$2:$A$500,0)),"")</f>
        <v>قطعة</v>
      </c>
      <c r="E904" s="67" t="n">
        <f aca="false">IFERROR(INDEX(المكونات!$C$2:$C$500,MATCH($B904,المكونات!$A$2:$A$500,0)),"")</f>
        <v>0.3</v>
      </c>
      <c r="F904" s="68" t="n">
        <f aca="false">IFERROR($C904*$E904,"")</f>
        <v>0.6</v>
      </c>
    </row>
    <row r="905" customFormat="false" ht="15" hidden="false" customHeight="true" outlineLevel="0" collapsed="false">
      <c r="A905" s="65" t="s">
        <v>438</v>
      </c>
      <c r="B905" s="65" t="s">
        <v>146</v>
      </c>
      <c r="C905" s="65" t="n">
        <v>1.5</v>
      </c>
      <c r="D905" s="66" t="str">
        <f aca="false">IFERROR(INDEX(المكونات!$B$2:$B$500,MATCH($B905,المكونات!$A$2:$A$500,0)),"")</f>
        <v>قطعة</v>
      </c>
      <c r="E905" s="67" t="n">
        <f aca="false">IFERROR(INDEX(المكونات!$C$2:$C$500,MATCH($B905,المكونات!$A$2:$A$500,0)),"")</f>
        <v>5.65</v>
      </c>
      <c r="F905" s="68" t="n">
        <f aca="false">IFERROR($C905*$E905,"")</f>
        <v>8.475</v>
      </c>
    </row>
    <row r="906" customFormat="false" ht="15" hidden="false" customHeight="true" outlineLevel="0" collapsed="false">
      <c r="A906" s="65" t="s">
        <v>438</v>
      </c>
      <c r="B906" s="65" t="s">
        <v>274</v>
      </c>
      <c r="C906" s="65" t="n">
        <v>1</v>
      </c>
      <c r="D906" s="66" t="str">
        <f aca="false">IFERROR(INDEX(المكونات!$B$2:$B$500,MATCH($B906,المكونات!$A$2:$A$500,0)),"")</f>
        <v>قطعة</v>
      </c>
      <c r="E906" s="67" t="n">
        <f aca="false">IFERROR(INDEX(المكونات!$C$2:$C$500,MATCH($B906,المكونات!$A$2:$A$500,0)),"")</f>
        <v>1.7</v>
      </c>
      <c r="F906" s="68" t="n">
        <f aca="false">IFERROR($C906*$E906,"")</f>
        <v>1.7</v>
      </c>
    </row>
    <row r="907" customFormat="false" ht="15" hidden="false" customHeight="true" outlineLevel="0" collapsed="false">
      <c r="A907" s="65" t="s">
        <v>438</v>
      </c>
      <c r="B907" s="65" t="s">
        <v>290</v>
      </c>
      <c r="C907" s="65" t="n">
        <v>1</v>
      </c>
      <c r="D907" s="66" t="str">
        <f aca="false">IFERROR(INDEX(المكونات!$B$2:$B$500,MATCH($B907,المكونات!$A$2:$A$500,0)),"")</f>
        <v>قطعة</v>
      </c>
      <c r="E907" s="67" t="n">
        <f aca="false">IFERROR(INDEX(المكونات!$C$2:$C$500,MATCH($B907,المكونات!$A$2:$A$500,0)),"")</f>
        <v>0.3</v>
      </c>
      <c r="F907" s="68" t="n">
        <f aca="false">IFERROR($C907*$E907,"")</f>
        <v>0.3</v>
      </c>
    </row>
    <row r="908" customFormat="false" ht="15" hidden="false" customHeight="true" outlineLevel="0" collapsed="false">
      <c r="A908" s="65" t="s">
        <v>438</v>
      </c>
      <c r="B908" s="65" t="s">
        <v>258</v>
      </c>
      <c r="C908" s="65" t="n">
        <v>0.05</v>
      </c>
      <c r="D908" s="66" t="str">
        <f aca="false">IFERROR(INDEX(المكونات!$B$2:$B$500,MATCH($B908,المكونات!$A$2:$A$500,0)),"")</f>
        <v>كجم</v>
      </c>
      <c r="E908" s="67" t="n">
        <f aca="false">IFERROR(INDEX(المكونات!$C$2:$C$500,MATCH($B908,المكونات!$A$2:$A$500,0)),"")</f>
        <v>140</v>
      </c>
      <c r="F908" s="68" t="n">
        <f aca="false">IFERROR($C908*$E908,"")</f>
        <v>7</v>
      </c>
    </row>
    <row r="909" customFormat="false" ht="15" hidden="false" customHeight="true" outlineLevel="0" collapsed="false">
      <c r="A909" s="65" t="s">
        <v>434</v>
      </c>
      <c r="B909" s="65" t="s">
        <v>146</v>
      </c>
      <c r="C909" s="65" t="n">
        <v>3</v>
      </c>
      <c r="D909" s="66" t="str">
        <f aca="false">IFERROR(INDEX(المكونات!$B$2:$B$500,MATCH($B909,المكونات!$A$2:$A$500,0)),"")</f>
        <v>قطعة</v>
      </c>
      <c r="E909" s="67" t="n">
        <f aca="false">IFERROR(INDEX(المكونات!$C$2:$C$500,MATCH($B909,المكونات!$A$2:$A$500,0)),"")</f>
        <v>5.65</v>
      </c>
      <c r="F909" s="68" t="n">
        <f aca="false">IFERROR($C909*$E909,"")</f>
        <v>16.95</v>
      </c>
    </row>
    <row r="910" customFormat="false" ht="15" hidden="false" customHeight="true" outlineLevel="0" collapsed="false">
      <c r="A910" s="65" t="s">
        <v>434</v>
      </c>
      <c r="B910" s="65" t="s">
        <v>276</v>
      </c>
      <c r="C910" s="65" t="n">
        <v>1</v>
      </c>
      <c r="D910" s="66" t="str">
        <f aca="false">IFERROR(INDEX(المكونات!$B$2:$B$500,MATCH($B910,المكونات!$A$2:$A$500,0)),"")</f>
        <v>قطعة</v>
      </c>
      <c r="E910" s="67" t="n">
        <f aca="false">IFERROR(INDEX(المكونات!$C$2:$C$500,MATCH($B910,المكونات!$A$2:$A$500,0)),"")</f>
        <v>2</v>
      </c>
      <c r="F910" s="68" t="n">
        <f aca="false">IFERROR($C910*$E910,"")</f>
        <v>2</v>
      </c>
    </row>
    <row r="911" customFormat="false" ht="15" hidden="false" customHeight="true" outlineLevel="0" collapsed="false">
      <c r="A911" s="65" t="s">
        <v>434</v>
      </c>
      <c r="B911" s="65" t="s">
        <v>290</v>
      </c>
      <c r="C911" s="65" t="n">
        <v>2</v>
      </c>
      <c r="D911" s="66" t="str">
        <f aca="false">IFERROR(INDEX(المكونات!$B$2:$B$500,MATCH($B911,المكونات!$A$2:$A$500,0)),"")</f>
        <v>قطعة</v>
      </c>
      <c r="E911" s="67" t="n">
        <f aca="false">IFERROR(INDEX(المكونات!$C$2:$C$500,MATCH($B911,المكونات!$A$2:$A$500,0)),"")</f>
        <v>0.3</v>
      </c>
      <c r="F911" s="68" t="n">
        <f aca="false">IFERROR($C911*$E911,"")</f>
        <v>0.6</v>
      </c>
    </row>
    <row r="912" customFormat="false" ht="15" hidden="false" customHeight="true" outlineLevel="0" collapsed="false">
      <c r="A912" s="65" t="s">
        <v>434</v>
      </c>
      <c r="B912" s="65" t="s">
        <v>258</v>
      </c>
      <c r="C912" s="65" t="n">
        <v>0.1</v>
      </c>
      <c r="D912" s="66" t="str">
        <f aca="false">IFERROR(INDEX(المكونات!$B$2:$B$500,MATCH($B912,المكونات!$A$2:$A$500,0)),"")</f>
        <v>كجم</v>
      </c>
      <c r="E912" s="67" t="n">
        <f aca="false">IFERROR(INDEX(المكونات!$C$2:$C$500,MATCH($B912,المكونات!$A$2:$A$500,0)),"")</f>
        <v>140</v>
      </c>
      <c r="F912" s="68" t="n">
        <f aca="false">IFERROR($C912*$E912,"")</f>
        <v>14</v>
      </c>
    </row>
    <row r="913" customFormat="false" ht="15" hidden="false" customHeight="true" outlineLevel="0" collapsed="false">
      <c r="A913" s="65" t="s">
        <v>454</v>
      </c>
      <c r="B913" s="65" t="s">
        <v>264</v>
      </c>
      <c r="C913" s="65" t="n">
        <v>4</v>
      </c>
      <c r="D913" s="66" t="str">
        <f aca="false">IFERROR(INDEX(المكونات!$B$2:$B$500,MATCH($B913,المكونات!$A$2:$A$500,0)),"")</f>
        <v>قطعة</v>
      </c>
      <c r="E913" s="67" t="n">
        <f aca="false">IFERROR(INDEX(المكونات!$C$2:$C$500,MATCH($B913,المكونات!$A$2:$A$500,0)),"")</f>
        <v>4</v>
      </c>
      <c r="F913" s="68" t="n">
        <f aca="false">IFERROR($C913*$E913,"")</f>
        <v>16</v>
      </c>
    </row>
    <row r="914" customFormat="false" ht="15" hidden="false" customHeight="true" outlineLevel="0" collapsed="false">
      <c r="A914" s="65" t="s">
        <v>454</v>
      </c>
      <c r="B914" s="65" t="s">
        <v>232</v>
      </c>
      <c r="C914" s="65" t="n">
        <v>0.03</v>
      </c>
      <c r="D914" s="66" t="str">
        <f aca="false">IFERROR(INDEX(المكونات!$B$2:$B$500,MATCH($B914,المكونات!$A$2:$A$500,0)),"")</f>
        <v>كجم</v>
      </c>
      <c r="E914" s="67" t="n">
        <f aca="false">IFERROR(INDEX(المكونات!$C$2:$C$500,MATCH($B914,المكونات!$A$2:$A$500,0)),"")</f>
        <v>380</v>
      </c>
      <c r="F914" s="68" t="n">
        <f aca="false">IFERROR($C914*$E914,"")</f>
        <v>11.4</v>
      </c>
    </row>
    <row r="915" customFormat="false" ht="15" hidden="false" customHeight="true" outlineLevel="0" collapsed="false">
      <c r="A915" s="65" t="s">
        <v>454</v>
      </c>
      <c r="B915" s="65" t="s">
        <v>220</v>
      </c>
      <c r="C915" s="65" t="n">
        <v>0.05</v>
      </c>
      <c r="D915" s="66" t="str">
        <f aca="false">IFERROR(INDEX(المكونات!$B$2:$B$500,MATCH($B915,المكونات!$A$2:$A$500,0)),"")</f>
        <v>كجم</v>
      </c>
      <c r="E915" s="67" t="n">
        <f aca="false">IFERROR(INDEX(المكونات!$C$2:$C$500,MATCH($B915,المكونات!$A$2:$A$500,0)),"")</f>
        <v>120</v>
      </c>
      <c r="F915" s="68" t="n">
        <f aca="false">IFERROR($C915*$E915,"")</f>
        <v>6</v>
      </c>
    </row>
    <row r="916" customFormat="false" ht="26.25" hidden="false" customHeight="true" outlineLevel="0" collapsed="false">
      <c r="A916" s="65" t="s">
        <v>454</v>
      </c>
      <c r="B916" s="65" t="s">
        <v>192</v>
      </c>
      <c r="C916" s="65" t="n">
        <v>1</v>
      </c>
      <c r="D916" s="66" t="str">
        <f aca="false">IFERROR(INDEX(المكونات!$B$2:$B$500,MATCH($B916,المكونات!$A$2:$A$500,0)),"")</f>
        <v>قطعة (لفة استخدام)</v>
      </c>
      <c r="E916" s="67" t="n">
        <f aca="false">IFERROR(INDEX(المكونات!$C$2:$C$500,MATCH($B916,المكونات!$A$2:$A$500,0)),"")</f>
        <v>3.65</v>
      </c>
      <c r="F916" s="68" t="n">
        <f aca="false">IFERROR($C916*$E916,"")</f>
        <v>3.65</v>
      </c>
    </row>
    <row r="917" customFormat="false" ht="15" hidden="false" customHeight="true" outlineLevel="0" collapsed="false">
      <c r="A917" s="65" t="s">
        <v>454</v>
      </c>
      <c r="B917" s="65" t="s">
        <v>278</v>
      </c>
      <c r="C917" s="65" t="n">
        <v>1</v>
      </c>
      <c r="D917" s="66" t="str">
        <f aca="false">IFERROR(INDEX(المكونات!$B$2:$B$500,MATCH($B917,المكونات!$A$2:$A$500,0)),"")</f>
        <v>قطعة</v>
      </c>
      <c r="E917" s="67" t="n">
        <f aca="false">IFERROR(INDEX(المكونات!$C$2:$C$500,MATCH($B917,المكونات!$A$2:$A$500,0)),"")</f>
        <v>3.1</v>
      </c>
      <c r="F917" s="68" t="n">
        <f aca="false">IFERROR($C917*$E917,"")</f>
        <v>3.1</v>
      </c>
    </row>
    <row r="918" customFormat="false" ht="15" hidden="false" customHeight="true" outlineLevel="0" collapsed="false">
      <c r="A918" s="65" t="s">
        <v>454</v>
      </c>
      <c r="B918" s="65" t="s">
        <v>243</v>
      </c>
      <c r="C918" s="65" t="n">
        <v>1</v>
      </c>
      <c r="D918" s="66" t="str">
        <f aca="false">IFERROR(INDEX(المكونات!$B$2:$B$500,MATCH($B918,المكونات!$A$2:$A$500,0)),"")</f>
        <v>قطعة</v>
      </c>
      <c r="E918" s="67" t="n">
        <f aca="false">IFERROR(INDEX(المكونات!$C$2:$C$500,MATCH($B918,المكونات!$A$2:$A$500,0)),"")</f>
        <v>0.3</v>
      </c>
      <c r="F918" s="68" t="n">
        <f aca="false">IFERROR($C918*$E918,"")</f>
        <v>0.3</v>
      </c>
    </row>
    <row r="919" customFormat="false" ht="15" hidden="false" customHeight="true" outlineLevel="0" collapsed="false">
      <c r="A919" s="65" t="s">
        <v>454</v>
      </c>
      <c r="B919" s="65" t="s">
        <v>136</v>
      </c>
      <c r="C919" s="65" t="n">
        <v>1</v>
      </c>
      <c r="D919" s="66" t="str">
        <f aca="false">IFERROR(INDEX(المكونات!$B$2:$B$500,MATCH($B919,المكونات!$A$2:$A$500,0)),"")</f>
        <v>قطعة (كيس)</v>
      </c>
      <c r="E919" s="67" t="n">
        <f aca="false">IFERROR(INDEX(المكونات!$C$2:$C$500,MATCH($B919,المكونات!$A$2:$A$500,0)),"")</f>
        <v>1.4</v>
      </c>
      <c r="F919" s="68" t="n">
        <f aca="false">IFERROR($C919*$E919,"")</f>
        <v>1.4</v>
      </c>
    </row>
    <row r="920" customFormat="false" ht="15" hidden="false" customHeight="true" outlineLevel="0" collapsed="false">
      <c r="A920" s="65" t="s">
        <v>462</v>
      </c>
      <c r="B920" s="65" t="s">
        <v>264</v>
      </c>
      <c r="C920" s="65" t="n">
        <v>6</v>
      </c>
      <c r="D920" s="66" t="str">
        <f aca="false">IFERROR(INDEX(المكونات!$B$2:$B$500,MATCH($B920,المكونات!$A$2:$A$500,0)),"")</f>
        <v>قطعة</v>
      </c>
      <c r="E920" s="67" t="n">
        <f aca="false">IFERROR(INDEX(المكونات!$C$2:$C$500,MATCH($B920,المكونات!$A$2:$A$500,0)),"")</f>
        <v>4</v>
      </c>
      <c r="F920" s="68" t="n">
        <f aca="false">IFERROR($C920*$E920,"")</f>
        <v>24</v>
      </c>
    </row>
    <row r="921" customFormat="false" ht="15" hidden="false" customHeight="true" outlineLevel="0" collapsed="false">
      <c r="A921" s="65" t="s">
        <v>462</v>
      </c>
      <c r="B921" s="65" t="s">
        <v>232</v>
      </c>
      <c r="C921" s="65" t="n">
        <v>0.05</v>
      </c>
      <c r="D921" s="66" t="str">
        <f aca="false">IFERROR(INDEX(المكونات!$B$2:$B$500,MATCH($B921,المكونات!$A$2:$A$500,0)),"")</f>
        <v>كجم</v>
      </c>
      <c r="E921" s="67" t="n">
        <f aca="false">IFERROR(INDEX(المكونات!$C$2:$C$500,MATCH($B921,المكونات!$A$2:$A$500,0)),"")</f>
        <v>380</v>
      </c>
      <c r="F921" s="68" t="n">
        <f aca="false">IFERROR($C921*$E921,"")</f>
        <v>19</v>
      </c>
    </row>
    <row r="922" customFormat="false" ht="15" hidden="false" customHeight="true" outlineLevel="0" collapsed="false">
      <c r="A922" s="65" t="s">
        <v>462</v>
      </c>
      <c r="B922" s="65" t="s">
        <v>220</v>
      </c>
      <c r="C922" s="65" t="n">
        <v>0.1</v>
      </c>
      <c r="D922" s="66" t="str">
        <f aca="false">IFERROR(INDEX(المكونات!$B$2:$B$500,MATCH($B922,المكونات!$A$2:$A$500,0)),"")</f>
        <v>كجم</v>
      </c>
      <c r="E922" s="67" t="n">
        <f aca="false">IFERROR(INDEX(المكونات!$C$2:$C$500,MATCH($B922,المكونات!$A$2:$A$500,0)),"")</f>
        <v>120</v>
      </c>
      <c r="F922" s="68" t="n">
        <f aca="false">IFERROR($C922*$E922,"")</f>
        <v>12</v>
      </c>
    </row>
    <row r="923" customFormat="false" ht="26.25" hidden="false" customHeight="true" outlineLevel="0" collapsed="false">
      <c r="A923" s="65" t="s">
        <v>462</v>
      </c>
      <c r="B923" s="65" t="s">
        <v>192</v>
      </c>
      <c r="C923" s="65" t="n">
        <v>1</v>
      </c>
      <c r="D923" s="66" t="str">
        <f aca="false">IFERROR(INDEX(المكونات!$B$2:$B$500,MATCH($B923,المكونات!$A$2:$A$500,0)),"")</f>
        <v>قطعة (لفة استخدام)</v>
      </c>
      <c r="E923" s="67" t="n">
        <f aca="false">IFERROR(INDEX(المكونات!$C$2:$C$500,MATCH($B923,المكونات!$A$2:$A$500,0)),"")</f>
        <v>3.65</v>
      </c>
      <c r="F923" s="68" t="n">
        <f aca="false">IFERROR($C923*$E923,"")</f>
        <v>3.65</v>
      </c>
    </row>
    <row r="924" customFormat="false" ht="15" hidden="false" customHeight="true" outlineLevel="0" collapsed="false">
      <c r="A924" s="65" t="s">
        <v>462</v>
      </c>
      <c r="B924" s="65" t="s">
        <v>278</v>
      </c>
      <c r="C924" s="65" t="n">
        <v>1</v>
      </c>
      <c r="D924" s="66" t="str">
        <f aca="false">IFERROR(INDEX(المكونات!$B$2:$B$500,MATCH($B924,المكونات!$A$2:$A$500,0)),"")</f>
        <v>قطعة</v>
      </c>
      <c r="E924" s="67" t="n">
        <f aca="false">IFERROR(INDEX(المكونات!$C$2:$C$500,MATCH($B924,المكونات!$A$2:$A$500,0)),"")</f>
        <v>3.1</v>
      </c>
      <c r="F924" s="68" t="n">
        <f aca="false">IFERROR($C924*$E924,"")</f>
        <v>3.1</v>
      </c>
    </row>
    <row r="925" customFormat="false" ht="15" hidden="false" customHeight="true" outlineLevel="0" collapsed="false">
      <c r="A925" s="65" t="s">
        <v>462</v>
      </c>
      <c r="B925" s="65" t="s">
        <v>243</v>
      </c>
      <c r="C925" s="65" t="n">
        <v>1</v>
      </c>
      <c r="D925" s="66" t="str">
        <f aca="false">IFERROR(INDEX(المكونات!$B$2:$B$500,MATCH($B925,المكونات!$A$2:$A$500,0)),"")</f>
        <v>قطعة</v>
      </c>
      <c r="E925" s="67" t="n">
        <f aca="false">IFERROR(INDEX(المكونات!$C$2:$C$500,MATCH($B925,المكونات!$A$2:$A$500,0)),"")</f>
        <v>0.3</v>
      </c>
      <c r="F925" s="68" t="n">
        <f aca="false">IFERROR($C925*$E925,"")</f>
        <v>0.3</v>
      </c>
    </row>
    <row r="926" customFormat="false" ht="15" hidden="false" customHeight="true" outlineLevel="0" collapsed="false">
      <c r="A926" s="65" t="s">
        <v>462</v>
      </c>
      <c r="B926" s="65" t="s">
        <v>136</v>
      </c>
      <c r="C926" s="65" t="n">
        <v>1</v>
      </c>
      <c r="D926" s="66" t="str">
        <f aca="false">IFERROR(INDEX(المكونات!$B$2:$B$500,MATCH($B926,المكونات!$A$2:$A$500,0)),"")</f>
        <v>قطعة (كيس)</v>
      </c>
      <c r="E926" s="67" t="n">
        <f aca="false">IFERROR(INDEX(المكونات!$C$2:$C$500,MATCH($B926,المكونات!$A$2:$A$500,0)),"")</f>
        <v>1.4</v>
      </c>
      <c r="F926" s="68" t="n">
        <f aca="false">IFERROR($C926*$E926,"")</f>
        <v>1.4</v>
      </c>
    </row>
    <row r="927" customFormat="false" ht="15" hidden="false" customHeight="true" outlineLevel="0" collapsed="false">
      <c r="A927" s="65" t="s">
        <v>468</v>
      </c>
      <c r="B927" s="65" t="s">
        <v>264</v>
      </c>
      <c r="C927" s="65" t="n">
        <v>9</v>
      </c>
      <c r="D927" s="66" t="str">
        <f aca="false">IFERROR(INDEX(المكونات!$B$2:$B$500,MATCH($B927,المكونات!$A$2:$A$500,0)),"")</f>
        <v>قطعة</v>
      </c>
      <c r="E927" s="67" t="n">
        <f aca="false">IFERROR(INDEX(المكونات!$C$2:$C$500,MATCH($B927,المكونات!$A$2:$A$500,0)),"")</f>
        <v>4</v>
      </c>
      <c r="F927" s="68" t="n">
        <f aca="false">IFERROR($C927*$E927,"")</f>
        <v>36</v>
      </c>
    </row>
    <row r="928" customFormat="false" ht="15" hidden="false" customHeight="true" outlineLevel="0" collapsed="false">
      <c r="A928" s="65" t="s">
        <v>468</v>
      </c>
      <c r="B928" s="65" t="s">
        <v>232</v>
      </c>
      <c r="C928" s="65" t="n">
        <v>0.07</v>
      </c>
      <c r="D928" s="66" t="str">
        <f aca="false">IFERROR(INDEX(المكونات!$B$2:$B$500,MATCH($B928,المكونات!$A$2:$A$500,0)),"")</f>
        <v>كجم</v>
      </c>
      <c r="E928" s="67" t="n">
        <f aca="false">IFERROR(INDEX(المكونات!$C$2:$C$500,MATCH($B928,المكونات!$A$2:$A$500,0)),"")</f>
        <v>380</v>
      </c>
      <c r="F928" s="68" t="n">
        <f aca="false">IFERROR($C928*$E928,"")</f>
        <v>26.6</v>
      </c>
    </row>
    <row r="929" customFormat="false" ht="15" hidden="false" customHeight="true" outlineLevel="0" collapsed="false">
      <c r="A929" s="65" t="s">
        <v>468</v>
      </c>
      <c r="B929" s="65" t="s">
        <v>220</v>
      </c>
      <c r="C929" s="65" t="n">
        <v>0.15</v>
      </c>
      <c r="D929" s="66" t="str">
        <f aca="false">IFERROR(INDEX(المكونات!$B$2:$B$500,MATCH($B929,المكونات!$A$2:$A$500,0)),"")</f>
        <v>كجم</v>
      </c>
      <c r="E929" s="67" t="n">
        <f aca="false">IFERROR(INDEX(المكونات!$C$2:$C$500,MATCH($B929,المكونات!$A$2:$A$500,0)),"")</f>
        <v>120</v>
      </c>
      <c r="F929" s="68" t="n">
        <f aca="false">IFERROR($C929*$E929,"")</f>
        <v>18</v>
      </c>
    </row>
    <row r="930" customFormat="false" ht="26.25" hidden="false" customHeight="true" outlineLevel="0" collapsed="false">
      <c r="A930" s="65" t="s">
        <v>468</v>
      </c>
      <c r="B930" s="65" t="s">
        <v>192</v>
      </c>
      <c r="C930" s="65" t="n">
        <v>1</v>
      </c>
      <c r="D930" s="66" t="str">
        <f aca="false">IFERROR(INDEX(المكونات!$B$2:$B$500,MATCH($B930,المكونات!$A$2:$A$500,0)),"")</f>
        <v>قطعة (لفة استخدام)</v>
      </c>
      <c r="E930" s="67" t="n">
        <f aca="false">IFERROR(INDEX(المكونات!$C$2:$C$500,MATCH($B930,المكونات!$A$2:$A$500,0)),"")</f>
        <v>3.65</v>
      </c>
      <c r="F930" s="68" t="n">
        <f aca="false">IFERROR($C930*$E930,"")</f>
        <v>3.65</v>
      </c>
    </row>
    <row r="931" customFormat="false" ht="15" hidden="false" customHeight="true" outlineLevel="0" collapsed="false">
      <c r="A931" s="65" t="s">
        <v>468</v>
      </c>
      <c r="B931" s="65" t="s">
        <v>278</v>
      </c>
      <c r="C931" s="65" t="n">
        <v>1</v>
      </c>
      <c r="D931" s="66" t="str">
        <f aca="false">IFERROR(INDEX(المكونات!$B$2:$B$500,MATCH($B931,المكونات!$A$2:$A$500,0)),"")</f>
        <v>قطعة</v>
      </c>
      <c r="E931" s="67" t="n">
        <f aca="false">IFERROR(INDEX(المكونات!$C$2:$C$500,MATCH($B931,المكونات!$A$2:$A$500,0)),"")</f>
        <v>3.1</v>
      </c>
      <c r="F931" s="68" t="n">
        <f aca="false">IFERROR($C931*$E931,"")</f>
        <v>3.1</v>
      </c>
    </row>
    <row r="932" customFormat="false" ht="15" hidden="false" customHeight="true" outlineLevel="0" collapsed="false">
      <c r="A932" s="65" t="s">
        <v>468</v>
      </c>
      <c r="B932" s="65" t="s">
        <v>243</v>
      </c>
      <c r="C932" s="65" t="n">
        <v>1</v>
      </c>
      <c r="D932" s="66" t="str">
        <f aca="false">IFERROR(INDEX(المكونات!$B$2:$B$500,MATCH($B932,المكونات!$A$2:$A$500,0)),"")</f>
        <v>قطعة</v>
      </c>
      <c r="E932" s="67" t="n">
        <f aca="false">IFERROR(INDEX(المكونات!$C$2:$C$500,MATCH($B932,المكونات!$A$2:$A$500,0)),"")</f>
        <v>0.3</v>
      </c>
      <c r="F932" s="68" t="n">
        <f aca="false">IFERROR($C932*$E932,"")</f>
        <v>0.3</v>
      </c>
    </row>
    <row r="933" customFormat="false" ht="15" hidden="false" customHeight="true" outlineLevel="0" collapsed="false">
      <c r="A933" s="65" t="s">
        <v>468</v>
      </c>
      <c r="B933" s="65" t="s">
        <v>136</v>
      </c>
      <c r="C933" s="65" t="n">
        <v>1</v>
      </c>
      <c r="D933" s="66" t="str">
        <f aca="false">IFERROR(INDEX(المكونات!$B$2:$B$500,MATCH($B933,المكونات!$A$2:$A$500,0)),"")</f>
        <v>قطعة (كيس)</v>
      </c>
      <c r="E933" s="67" t="n">
        <f aca="false">IFERROR(INDEX(المكونات!$C$2:$C$500,MATCH($B933,المكونات!$A$2:$A$500,0)),"")</f>
        <v>1.4</v>
      </c>
      <c r="F933" s="68" t="n">
        <f aca="false">IFERROR($C933*$E933,"")</f>
        <v>1.4</v>
      </c>
    </row>
    <row r="934" customFormat="false" ht="15" hidden="false" customHeight="true" outlineLevel="0" collapsed="false">
      <c r="A934" s="65" t="s">
        <v>465</v>
      </c>
      <c r="B934" s="65" t="s">
        <v>262</v>
      </c>
      <c r="C934" s="65" t="n">
        <v>0.22</v>
      </c>
      <c r="D934" s="66" t="str">
        <f aca="false">IFERROR(INDEX(المكونات!$B$2:$B$500,MATCH($B934,المكونات!$A$2:$A$500,0)),"")</f>
        <v>كجم</v>
      </c>
      <c r="E934" s="67" t="n">
        <f aca="false">IFERROR(INDEX(المكونات!$C$2:$C$500,MATCH($B934,المكونات!$A$2:$A$500,0)),"")</f>
        <v>22</v>
      </c>
      <c r="F934" s="68" t="n">
        <f aca="false">IFERROR($C934*$E934,"")</f>
        <v>4.84</v>
      </c>
    </row>
    <row r="935" customFormat="false" ht="15" hidden="false" customHeight="true" outlineLevel="0" collapsed="false">
      <c r="A935" s="65" t="s">
        <v>465</v>
      </c>
      <c r="B935" s="65" t="s">
        <v>250</v>
      </c>
      <c r="C935" s="65" t="n">
        <v>0.04</v>
      </c>
      <c r="D935" s="66" t="str">
        <f aca="false">IFERROR(INDEX(المكونات!$B$2:$B$500,MATCH($B935,المكونات!$A$2:$A$500,0)),"")</f>
        <v>كجم</v>
      </c>
      <c r="E935" s="67" t="n">
        <f aca="false">IFERROR(INDEX(المكونات!$C$2:$C$500,MATCH($B935,المكونات!$A$2:$A$500,0)),"")</f>
        <v>32</v>
      </c>
      <c r="F935" s="68" t="n">
        <f aca="false">IFERROR($C935*$E935,"")</f>
        <v>1.28</v>
      </c>
    </row>
    <row r="936" customFormat="false" ht="15" hidden="false" customHeight="true" outlineLevel="0" collapsed="false">
      <c r="A936" s="65" t="s">
        <v>465</v>
      </c>
      <c r="B936" s="65" t="s">
        <v>260</v>
      </c>
      <c r="C936" s="65" t="n">
        <v>0.03</v>
      </c>
      <c r="D936" s="66" t="str">
        <f aca="false">IFERROR(INDEX(المكونات!$B$2:$B$500,MATCH($B936,المكونات!$A$2:$A$500,0)),"")</f>
        <v>كجم</v>
      </c>
      <c r="E936" s="67" t="n">
        <f aca="false">IFERROR(INDEX(المكونات!$C$2:$C$500,MATCH($B936,المكونات!$A$2:$A$500,0)),"")</f>
        <v>21</v>
      </c>
      <c r="F936" s="68" t="n">
        <f aca="false">IFERROR($C936*$E936,"")</f>
        <v>0.63</v>
      </c>
    </row>
    <row r="937" customFormat="false" ht="15" hidden="false" customHeight="true" outlineLevel="0" collapsed="false">
      <c r="A937" s="65" t="s">
        <v>465</v>
      </c>
      <c r="B937" s="65" t="s">
        <v>284</v>
      </c>
      <c r="C937" s="65" t="n">
        <v>0.02</v>
      </c>
      <c r="D937" s="66" t="str">
        <f aca="false">IFERROR(INDEX(المكونات!$B$2:$B$500,MATCH($B937,المكونات!$A$2:$A$500,0)),"")</f>
        <v>كجم</v>
      </c>
      <c r="E937" s="67" t="n">
        <f aca="false">IFERROR(INDEX(المكونات!$C$2:$C$500,MATCH($B937,المكونات!$A$2:$A$500,0)),"")</f>
        <v>27</v>
      </c>
      <c r="F937" s="68" t="n">
        <f aca="false">IFERROR($C937*$E937,"")</f>
        <v>0.54</v>
      </c>
    </row>
    <row r="938" customFormat="false" ht="15" hidden="false" customHeight="true" outlineLevel="0" collapsed="false">
      <c r="A938" s="65" t="s">
        <v>465</v>
      </c>
      <c r="B938" s="65" t="s">
        <v>227</v>
      </c>
      <c r="C938" s="65" t="n">
        <v>0.02</v>
      </c>
      <c r="D938" s="66" t="str">
        <f aca="false">IFERROR(INDEX(المكونات!$B$2:$B$500,MATCH($B938,المكونات!$A$2:$A$500,0)),"")</f>
        <v>كجم</v>
      </c>
      <c r="E938" s="67" t="n">
        <f aca="false">IFERROR(INDEX(المكونات!$C$2:$C$500,MATCH($B938,المكونات!$A$2:$A$500,0)),"")</f>
        <v>95</v>
      </c>
      <c r="F938" s="68" t="n">
        <f aca="false">IFERROR($C938*$E938,"")</f>
        <v>1.9</v>
      </c>
    </row>
    <row r="939" customFormat="false" ht="15" hidden="false" customHeight="true" outlineLevel="0" collapsed="false">
      <c r="A939" s="65" t="s">
        <v>465</v>
      </c>
      <c r="B939" s="65" t="s">
        <v>176</v>
      </c>
      <c r="C939" s="65" t="n">
        <v>1</v>
      </c>
      <c r="D939" s="66" t="str">
        <f aca="false">IFERROR(INDEX(المكونات!$B$2:$B$500,MATCH($B939,المكونات!$A$2:$A$500,0)),"")</f>
        <v>قطعة</v>
      </c>
      <c r="E939" s="67" t="n">
        <f aca="false">IFERROR(INDEX(المكونات!$C$2:$C$500,MATCH($B939,المكونات!$A$2:$A$500,0)),"")</f>
        <v>17.5</v>
      </c>
      <c r="F939" s="68" t="n">
        <f aca="false">IFERROR($C939*$E939,"")</f>
        <v>17.5</v>
      </c>
    </row>
    <row r="940" customFormat="false" ht="15" hidden="false" customHeight="true" outlineLevel="0" collapsed="false">
      <c r="A940" s="65" t="s">
        <v>465</v>
      </c>
      <c r="B940" s="65" t="s">
        <v>270</v>
      </c>
      <c r="C940" s="65" t="n">
        <v>1</v>
      </c>
      <c r="D940" s="66" t="str">
        <f aca="false">IFERROR(INDEX(المكونات!$B$2:$B$500,MATCH($B940,المكونات!$A$2:$A$500,0)),"")</f>
        <v>قطعة</v>
      </c>
      <c r="E940" s="67" t="n">
        <f aca="false">IFERROR(INDEX(المكونات!$C$2:$C$500,MATCH($B940,المكونات!$A$2:$A$500,0)),"")</f>
        <v>4.5</v>
      </c>
      <c r="F940" s="68" t="n">
        <f aca="false">IFERROR($C940*$E940,"")</f>
        <v>4.5</v>
      </c>
    </row>
    <row r="941" customFormat="false" ht="15" hidden="false" customHeight="true" outlineLevel="0" collapsed="false">
      <c r="A941" s="65" t="s">
        <v>465</v>
      </c>
      <c r="B941" s="65" t="s">
        <v>290</v>
      </c>
      <c r="C941" s="65" t="n">
        <v>2</v>
      </c>
      <c r="D941" s="66" t="str">
        <f aca="false">IFERROR(INDEX(المكونات!$B$2:$B$500,MATCH($B941,المكونات!$A$2:$A$500,0)),"")</f>
        <v>قطعة</v>
      </c>
      <c r="E941" s="67" t="n">
        <f aca="false">IFERROR(INDEX(المكونات!$C$2:$C$500,MATCH($B941,المكونات!$A$2:$A$500,0)),"")</f>
        <v>0.3</v>
      </c>
      <c r="F941" s="68" t="n">
        <f aca="false">IFERROR($C941*$E941,"")</f>
        <v>0.6</v>
      </c>
    </row>
    <row r="942" customFormat="false" ht="15" hidden="false" customHeight="true" outlineLevel="0" collapsed="false">
      <c r="A942" s="65" t="s">
        <v>465</v>
      </c>
      <c r="B942" s="65" t="s">
        <v>319</v>
      </c>
      <c r="C942" s="65" t="n">
        <v>1</v>
      </c>
      <c r="D942" s="66" t="str">
        <f aca="false">IFERROR(INDEX(المكونات!$B$2:$B$500,MATCH($B942,المكونات!$A$2:$A$500,0)),"")</f>
        <v>قطعة (ورقة)</v>
      </c>
      <c r="E942" s="67" t="n">
        <f aca="false">IFERROR(INDEX(المكونات!$C$2:$C$500,MATCH($B942,المكونات!$A$2:$A$500,0)),"")</f>
        <v>0.3665</v>
      </c>
      <c r="F942" s="68" t="n">
        <f aca="false">IFERROR($C942*$E942,"")</f>
        <v>0.3665</v>
      </c>
    </row>
    <row r="943" customFormat="false" ht="15" hidden="false" customHeight="true" outlineLevel="0" collapsed="false">
      <c r="A943" s="65" t="s">
        <v>465</v>
      </c>
      <c r="B943" s="65" t="s">
        <v>133</v>
      </c>
      <c r="C943" s="65" t="n">
        <v>1</v>
      </c>
      <c r="D943" s="66" t="str">
        <f aca="false">IFERROR(INDEX(المكونات!$B$2:$B$500,MATCH($B943,المكونات!$A$2:$A$500,0)),"")</f>
        <v>قطعة (كيس)</v>
      </c>
      <c r="E943" s="67" t="n">
        <f aca="false">IFERROR(INDEX(المكونات!$C$2:$C$500,MATCH($B943,المكونات!$A$2:$A$500,0)),"")</f>
        <v>1.4</v>
      </c>
      <c r="F943" s="68" t="n">
        <f aca="false">IFERROR($C943*$E943,"")</f>
        <v>1.4</v>
      </c>
    </row>
    <row r="944" customFormat="false" ht="15" hidden="false" customHeight="true" outlineLevel="0" collapsed="false">
      <c r="A944" s="65" t="s">
        <v>465</v>
      </c>
      <c r="B944" s="65" t="s">
        <v>293</v>
      </c>
      <c r="C944" s="65" t="n">
        <v>1</v>
      </c>
      <c r="D944" s="66" t="str">
        <f aca="false">IFERROR(INDEX(المكونات!$B$2:$B$500,MATCH($B944,المكونات!$A$2:$A$500,0)),"")</f>
        <v>قطعة</v>
      </c>
      <c r="E944" s="67" t="n">
        <f aca="false">IFERROR(INDEX(المكونات!$C$2:$C$500,MATCH($B944,المكونات!$A$2:$A$500,0)),"")</f>
        <v>0.5</v>
      </c>
      <c r="F944" s="68" t="n">
        <f aca="false">IFERROR($C944*$E944,"")</f>
        <v>0.5</v>
      </c>
    </row>
    <row r="945" customFormat="false" ht="15" hidden="false" customHeight="true" outlineLevel="0" collapsed="false">
      <c r="A945" s="65" t="s">
        <v>465</v>
      </c>
      <c r="B945" s="65" t="s">
        <v>211</v>
      </c>
      <c r="C945" s="65" t="n">
        <v>2</v>
      </c>
      <c r="D945" s="66" t="str">
        <f aca="false">IFERROR(INDEX(المكونات!$B$2:$B$500,MATCH($B945,المكونات!$A$2:$A$500,0)),"")</f>
        <v>قطعة (جلفز)</v>
      </c>
      <c r="E945" s="67" t="n">
        <f aca="false">IFERROR(INDEX(المكونات!$C$2:$C$500,MATCH($B945,المكونات!$A$2:$A$500,0)),"")</f>
        <v>0.18</v>
      </c>
      <c r="F945" s="68" t="n">
        <f aca="false">IFERROR($C945*$E945,"")</f>
        <v>0.36</v>
      </c>
    </row>
    <row r="946" customFormat="false" ht="15" hidden="false" customHeight="true" outlineLevel="0" collapsed="false">
      <c r="A946" s="65" t="s">
        <v>465</v>
      </c>
      <c r="B946" s="65" t="s">
        <v>322</v>
      </c>
      <c r="C946" s="65" t="n">
        <v>1</v>
      </c>
      <c r="D946" s="66" t="str">
        <f aca="false">IFERROR(INDEX(المكونات!$B$2:$B$500,MATCH($B946,المكونات!$A$2:$A$500,0)),"")</f>
        <v>قطعة (كيس)</v>
      </c>
      <c r="E946" s="67" t="n">
        <f aca="false">IFERROR(INDEX(المكونات!$C$2:$C$500,MATCH($B946,المكونات!$A$2:$A$500,0)),"")</f>
        <v>1</v>
      </c>
      <c r="F946" s="68" t="n">
        <f aca="false">IFERROR($C946*$E946,"")</f>
        <v>1</v>
      </c>
    </row>
    <row r="947" customFormat="false" ht="15" hidden="false" customHeight="true" outlineLevel="0" collapsed="false">
      <c r="A947" s="65" t="s">
        <v>491</v>
      </c>
      <c r="B947" s="65" t="s">
        <v>262</v>
      </c>
      <c r="C947" s="65" t="n">
        <v>0.3</v>
      </c>
      <c r="D947" s="66" t="str">
        <f aca="false">IFERROR(INDEX(المكونات!$B$2:$B$500,MATCH($B947,المكونات!$A$2:$A$500,0)),"")</f>
        <v>كجم</v>
      </c>
      <c r="E947" s="67" t="n">
        <f aca="false">IFERROR(INDEX(المكونات!$C$2:$C$500,MATCH($B947,المكونات!$A$2:$A$500,0)),"")</f>
        <v>22</v>
      </c>
      <c r="F947" s="68" t="n">
        <f aca="false">IFERROR($C947*$E947,"")</f>
        <v>6.6</v>
      </c>
    </row>
    <row r="948" customFormat="false" ht="15" hidden="false" customHeight="true" outlineLevel="0" collapsed="false">
      <c r="A948" s="65" t="s">
        <v>491</v>
      </c>
      <c r="B948" s="65" t="s">
        <v>250</v>
      </c>
      <c r="C948" s="65" t="n">
        <v>0.06</v>
      </c>
      <c r="D948" s="66" t="str">
        <f aca="false">IFERROR(INDEX(المكونات!$B$2:$B$500,MATCH($B948,المكونات!$A$2:$A$500,0)),"")</f>
        <v>كجم</v>
      </c>
      <c r="E948" s="67" t="n">
        <f aca="false">IFERROR(INDEX(المكونات!$C$2:$C$500,MATCH($B948,المكونات!$A$2:$A$500,0)),"")</f>
        <v>32</v>
      </c>
      <c r="F948" s="68" t="n">
        <f aca="false">IFERROR($C948*$E948,"")</f>
        <v>1.92</v>
      </c>
    </row>
    <row r="949" customFormat="false" ht="15" hidden="false" customHeight="true" outlineLevel="0" collapsed="false">
      <c r="A949" s="65" t="s">
        <v>491</v>
      </c>
      <c r="B949" s="65" t="s">
        <v>260</v>
      </c>
      <c r="C949" s="65" t="n">
        <v>0.045</v>
      </c>
      <c r="D949" s="66" t="str">
        <f aca="false">IFERROR(INDEX(المكونات!$B$2:$B$500,MATCH($B949,المكونات!$A$2:$A$500,0)),"")</f>
        <v>كجم</v>
      </c>
      <c r="E949" s="67" t="n">
        <f aca="false">IFERROR(INDEX(المكونات!$C$2:$C$500,MATCH($B949,المكونات!$A$2:$A$500,0)),"")</f>
        <v>21</v>
      </c>
      <c r="F949" s="68" t="n">
        <f aca="false">IFERROR($C949*$E949,"")</f>
        <v>0.945</v>
      </c>
    </row>
    <row r="950" customFormat="false" ht="15" hidden="false" customHeight="true" outlineLevel="0" collapsed="false">
      <c r="A950" s="65" t="s">
        <v>491</v>
      </c>
      <c r="B950" s="65" t="s">
        <v>284</v>
      </c>
      <c r="C950" s="65" t="n">
        <v>0.03</v>
      </c>
      <c r="D950" s="66" t="str">
        <f aca="false">IFERROR(INDEX(المكونات!$B$2:$B$500,MATCH($B950,المكونات!$A$2:$A$500,0)),"")</f>
        <v>كجم</v>
      </c>
      <c r="E950" s="67" t="n">
        <f aca="false">IFERROR(INDEX(المكونات!$C$2:$C$500,MATCH($B950,المكونات!$A$2:$A$500,0)),"")</f>
        <v>27</v>
      </c>
      <c r="F950" s="68" t="n">
        <f aca="false">IFERROR($C950*$E950,"")</f>
        <v>0.81</v>
      </c>
    </row>
    <row r="951" customFormat="false" ht="15" hidden="false" customHeight="true" outlineLevel="0" collapsed="false">
      <c r="A951" s="65" t="s">
        <v>491</v>
      </c>
      <c r="B951" s="65" t="s">
        <v>227</v>
      </c>
      <c r="C951" s="65" t="n">
        <v>0.03</v>
      </c>
      <c r="D951" s="66" t="str">
        <f aca="false">IFERROR(INDEX(المكونات!$B$2:$B$500,MATCH($B951,المكونات!$A$2:$A$500,0)),"")</f>
        <v>كجم</v>
      </c>
      <c r="E951" s="67" t="n">
        <f aca="false">IFERROR(INDEX(المكونات!$C$2:$C$500,MATCH($B951,المكونات!$A$2:$A$500,0)),"")</f>
        <v>95</v>
      </c>
      <c r="F951" s="68" t="n">
        <f aca="false">IFERROR($C951*$E951,"")</f>
        <v>2.85</v>
      </c>
    </row>
    <row r="952" customFormat="false" ht="15" hidden="false" customHeight="true" outlineLevel="0" collapsed="false">
      <c r="A952" s="65" t="s">
        <v>491</v>
      </c>
      <c r="B952" s="65" t="s">
        <v>178</v>
      </c>
      <c r="C952" s="65" t="n">
        <v>1</v>
      </c>
      <c r="D952" s="66" t="str">
        <f aca="false">IFERROR(INDEX(المكونات!$B$2:$B$500,MATCH($B952,المكونات!$A$2:$A$500,0)),"")</f>
        <v>قطعة</v>
      </c>
      <c r="E952" s="67" t="n">
        <f aca="false">IFERROR(INDEX(المكونات!$C$2:$C$500,MATCH($B952,المكونات!$A$2:$A$500,0)),"")</f>
        <v>25</v>
      </c>
      <c r="F952" s="68" t="n">
        <f aca="false">IFERROR($C952*$E952,"")</f>
        <v>25</v>
      </c>
    </row>
    <row r="953" customFormat="false" ht="15" hidden="false" customHeight="true" outlineLevel="0" collapsed="false">
      <c r="A953" s="65" t="s">
        <v>491</v>
      </c>
      <c r="B953" s="65" t="s">
        <v>268</v>
      </c>
      <c r="C953" s="65" t="n">
        <v>1</v>
      </c>
      <c r="D953" s="66" t="str">
        <f aca="false">IFERROR(INDEX(المكونات!$B$2:$B$500,MATCH($B953,المكونات!$A$2:$A$500,0)),"")</f>
        <v>قطعة</v>
      </c>
      <c r="E953" s="67" t="n">
        <f aca="false">IFERROR(INDEX(المكونات!$C$2:$C$500,MATCH($B953,المكونات!$A$2:$A$500,0)),"")</f>
        <v>5.5</v>
      </c>
      <c r="F953" s="68" t="n">
        <f aca="false">IFERROR($C953*$E953,"")</f>
        <v>5.5</v>
      </c>
    </row>
    <row r="954" customFormat="false" ht="15" hidden="false" customHeight="true" outlineLevel="0" collapsed="false">
      <c r="A954" s="65" t="s">
        <v>491</v>
      </c>
      <c r="B954" s="65" t="s">
        <v>290</v>
      </c>
      <c r="C954" s="65" t="n">
        <v>3</v>
      </c>
      <c r="D954" s="66" t="str">
        <f aca="false">IFERROR(INDEX(المكونات!$B$2:$B$500,MATCH($B954,المكونات!$A$2:$A$500,0)),"")</f>
        <v>قطعة</v>
      </c>
      <c r="E954" s="67" t="n">
        <f aca="false">IFERROR(INDEX(المكونات!$C$2:$C$500,MATCH($B954,المكونات!$A$2:$A$500,0)),"")</f>
        <v>0.3</v>
      </c>
      <c r="F954" s="68" t="n">
        <f aca="false">IFERROR($C954*$E954,"")</f>
        <v>0.9</v>
      </c>
    </row>
    <row r="955" customFormat="false" ht="15" hidden="false" customHeight="true" outlineLevel="0" collapsed="false">
      <c r="A955" s="65" t="s">
        <v>491</v>
      </c>
      <c r="B955" s="65" t="s">
        <v>319</v>
      </c>
      <c r="C955" s="65" t="n">
        <v>1</v>
      </c>
      <c r="D955" s="66" t="str">
        <f aca="false">IFERROR(INDEX(المكونات!$B$2:$B$500,MATCH($B955,المكونات!$A$2:$A$500,0)),"")</f>
        <v>قطعة (ورقة)</v>
      </c>
      <c r="E955" s="67" t="n">
        <f aca="false">IFERROR(INDEX(المكونات!$C$2:$C$500,MATCH($B955,المكونات!$A$2:$A$500,0)),"")</f>
        <v>0.3665</v>
      </c>
      <c r="F955" s="68" t="n">
        <f aca="false">IFERROR($C955*$E955,"")</f>
        <v>0.3665</v>
      </c>
    </row>
    <row r="956" customFormat="false" ht="15" hidden="false" customHeight="true" outlineLevel="0" collapsed="false">
      <c r="A956" s="65" t="s">
        <v>491</v>
      </c>
      <c r="B956" s="65" t="s">
        <v>133</v>
      </c>
      <c r="C956" s="65" t="n">
        <v>1</v>
      </c>
      <c r="D956" s="66" t="str">
        <f aca="false">IFERROR(INDEX(المكونات!$B$2:$B$500,MATCH($B956,المكونات!$A$2:$A$500,0)),"")</f>
        <v>قطعة (كيس)</v>
      </c>
      <c r="E956" s="67" t="n">
        <f aca="false">IFERROR(INDEX(المكونات!$C$2:$C$500,MATCH($B956,المكونات!$A$2:$A$500,0)),"")</f>
        <v>1.4</v>
      </c>
      <c r="F956" s="68" t="n">
        <f aca="false">IFERROR($C956*$E956,"")</f>
        <v>1.4</v>
      </c>
    </row>
    <row r="957" customFormat="false" ht="15" hidden="false" customHeight="true" outlineLevel="0" collapsed="false">
      <c r="A957" s="65" t="s">
        <v>491</v>
      </c>
      <c r="B957" s="65" t="s">
        <v>293</v>
      </c>
      <c r="C957" s="65" t="n">
        <v>1</v>
      </c>
      <c r="D957" s="66" t="str">
        <f aca="false">IFERROR(INDEX(المكونات!$B$2:$B$500,MATCH($B957,المكونات!$A$2:$A$500,0)),"")</f>
        <v>قطعة</v>
      </c>
      <c r="E957" s="67" t="n">
        <f aca="false">IFERROR(INDEX(المكونات!$C$2:$C$500,MATCH($B957,المكونات!$A$2:$A$500,0)),"")</f>
        <v>0.5</v>
      </c>
      <c r="F957" s="68" t="n">
        <f aca="false">IFERROR($C957*$E957,"")</f>
        <v>0.5</v>
      </c>
    </row>
    <row r="958" customFormat="false" ht="15" hidden="false" customHeight="true" outlineLevel="0" collapsed="false">
      <c r="A958" s="65" t="s">
        <v>491</v>
      </c>
      <c r="B958" s="65" t="s">
        <v>211</v>
      </c>
      <c r="C958" s="65" t="n">
        <v>2</v>
      </c>
      <c r="D958" s="66" t="str">
        <f aca="false">IFERROR(INDEX(المكونات!$B$2:$B$500,MATCH($B958,المكونات!$A$2:$A$500,0)),"")</f>
        <v>قطعة (جلفز)</v>
      </c>
      <c r="E958" s="67" t="n">
        <f aca="false">IFERROR(INDEX(المكونات!$C$2:$C$500,MATCH($B958,المكونات!$A$2:$A$500,0)),"")</f>
        <v>0.18</v>
      </c>
      <c r="F958" s="68" t="n">
        <f aca="false">IFERROR($C958*$E958,"")</f>
        <v>0.36</v>
      </c>
    </row>
    <row r="959" customFormat="false" ht="15" hidden="false" customHeight="true" outlineLevel="0" collapsed="false">
      <c r="A959" s="65" t="s">
        <v>491</v>
      </c>
      <c r="B959" s="65" t="s">
        <v>322</v>
      </c>
      <c r="C959" s="65" t="n">
        <v>1</v>
      </c>
      <c r="D959" s="66" t="str">
        <f aca="false">IFERROR(INDEX(المكونات!$B$2:$B$500,MATCH($B959,المكونات!$A$2:$A$500,0)),"")</f>
        <v>قطعة (كيس)</v>
      </c>
      <c r="E959" s="67" t="n">
        <f aca="false">IFERROR(INDEX(المكونات!$C$2:$C$500,MATCH($B959,المكونات!$A$2:$A$500,0)),"")</f>
        <v>1</v>
      </c>
      <c r="F959" s="68" t="n">
        <f aca="false">IFERROR($C959*$E959,"")</f>
        <v>1</v>
      </c>
    </row>
    <row r="960" customFormat="false" ht="15" hidden="false" customHeight="true" outlineLevel="0" collapsed="false">
      <c r="A960" s="65" t="s">
        <v>389</v>
      </c>
      <c r="B960" s="65" t="s">
        <v>262</v>
      </c>
      <c r="C960" s="65" t="n">
        <v>0.22</v>
      </c>
      <c r="D960" s="66" t="str">
        <f aca="false">IFERROR(INDEX(المكونات!$B$2:$B$500,MATCH($B960,المكونات!$A$2:$A$500,0)),"")</f>
        <v>كجم</v>
      </c>
      <c r="E960" s="67" t="n">
        <f aca="false">IFERROR(INDEX(المكونات!$C$2:$C$500,MATCH($B960,المكونات!$A$2:$A$500,0)),"")</f>
        <v>22</v>
      </c>
      <c r="F960" s="68" t="n">
        <f aca="false">IFERROR($C960*$E960,"")</f>
        <v>4.84</v>
      </c>
    </row>
    <row r="961" customFormat="false" ht="15" hidden="false" customHeight="true" outlineLevel="0" collapsed="false">
      <c r="A961" s="65" t="s">
        <v>389</v>
      </c>
      <c r="B961" s="65" t="s">
        <v>250</v>
      </c>
      <c r="C961" s="65" t="n">
        <v>0.04</v>
      </c>
      <c r="D961" s="66" t="str">
        <f aca="false">IFERROR(INDEX(المكونات!$B$2:$B$500,MATCH($B961,المكونات!$A$2:$A$500,0)),"")</f>
        <v>كجم</v>
      </c>
      <c r="E961" s="67" t="n">
        <f aca="false">IFERROR(INDEX(المكونات!$C$2:$C$500,MATCH($B961,المكونات!$A$2:$A$500,0)),"")</f>
        <v>32</v>
      </c>
      <c r="F961" s="68" t="n">
        <f aca="false">IFERROR($C961*$E961,"")</f>
        <v>1.28</v>
      </c>
    </row>
    <row r="962" customFormat="false" ht="15" hidden="false" customHeight="true" outlineLevel="0" collapsed="false">
      <c r="A962" s="65" t="s">
        <v>389</v>
      </c>
      <c r="B962" s="65" t="s">
        <v>260</v>
      </c>
      <c r="C962" s="65" t="n">
        <v>0.03</v>
      </c>
      <c r="D962" s="66" t="str">
        <f aca="false">IFERROR(INDEX(المكونات!$B$2:$B$500,MATCH($B962,المكونات!$A$2:$A$500,0)),"")</f>
        <v>كجم</v>
      </c>
      <c r="E962" s="67" t="n">
        <f aca="false">IFERROR(INDEX(المكونات!$C$2:$C$500,MATCH($B962,المكونات!$A$2:$A$500,0)),"")</f>
        <v>21</v>
      </c>
      <c r="F962" s="68" t="n">
        <f aca="false">IFERROR($C962*$E962,"")</f>
        <v>0.63</v>
      </c>
    </row>
    <row r="963" customFormat="false" ht="15" hidden="false" customHeight="true" outlineLevel="0" collapsed="false">
      <c r="A963" s="65" t="s">
        <v>389</v>
      </c>
      <c r="B963" s="65" t="s">
        <v>284</v>
      </c>
      <c r="C963" s="65" t="n">
        <v>0.02</v>
      </c>
      <c r="D963" s="66" t="str">
        <f aca="false">IFERROR(INDEX(المكونات!$B$2:$B$500,MATCH($B963,المكونات!$A$2:$A$500,0)),"")</f>
        <v>كجم</v>
      </c>
      <c r="E963" s="67" t="n">
        <f aca="false">IFERROR(INDEX(المكونات!$C$2:$C$500,MATCH($B963,المكونات!$A$2:$A$500,0)),"")</f>
        <v>27</v>
      </c>
      <c r="F963" s="68" t="n">
        <f aca="false">IFERROR($C963*$E963,"")</f>
        <v>0.54</v>
      </c>
    </row>
    <row r="964" customFormat="false" ht="15" hidden="false" customHeight="true" outlineLevel="0" collapsed="false">
      <c r="A964" s="65" t="s">
        <v>389</v>
      </c>
      <c r="B964" s="65" t="s">
        <v>227</v>
      </c>
      <c r="C964" s="65" t="n">
        <v>0.02</v>
      </c>
      <c r="D964" s="66" t="str">
        <f aca="false">IFERROR(INDEX(المكونات!$B$2:$B$500,MATCH($B964,المكونات!$A$2:$A$500,0)),"")</f>
        <v>كجم</v>
      </c>
      <c r="E964" s="67" t="n">
        <f aca="false">IFERROR(INDEX(المكونات!$C$2:$C$500,MATCH($B964,المكونات!$A$2:$A$500,0)),"")</f>
        <v>95</v>
      </c>
      <c r="F964" s="68" t="n">
        <f aca="false">IFERROR($C964*$E964,"")</f>
        <v>1.9</v>
      </c>
    </row>
    <row r="965" customFormat="false" ht="15" hidden="false" customHeight="true" outlineLevel="0" collapsed="false">
      <c r="A965" s="65" t="s">
        <v>389</v>
      </c>
      <c r="B965" s="65" t="s">
        <v>176</v>
      </c>
      <c r="C965" s="65" t="n">
        <v>1</v>
      </c>
      <c r="D965" s="66" t="str">
        <f aca="false">IFERROR(INDEX(المكونات!$B$2:$B$500,MATCH($B965,المكونات!$A$2:$A$500,0)),"")</f>
        <v>قطعة</v>
      </c>
      <c r="E965" s="67" t="n">
        <f aca="false">IFERROR(INDEX(المكونات!$C$2:$C$500,MATCH($B965,المكونات!$A$2:$A$500,0)),"")</f>
        <v>17.5</v>
      </c>
      <c r="F965" s="68" t="n">
        <f aca="false">IFERROR($C965*$E965,"")</f>
        <v>17.5</v>
      </c>
    </row>
    <row r="966" customFormat="false" ht="15" hidden="false" customHeight="true" outlineLevel="0" collapsed="false">
      <c r="A966" s="65" t="s">
        <v>389</v>
      </c>
      <c r="B966" s="65" t="s">
        <v>270</v>
      </c>
      <c r="C966" s="65" t="n">
        <v>1</v>
      </c>
      <c r="D966" s="66" t="str">
        <f aca="false">IFERROR(INDEX(المكونات!$B$2:$B$500,MATCH($B966,المكونات!$A$2:$A$500,0)),"")</f>
        <v>قطعة</v>
      </c>
      <c r="E966" s="67" t="n">
        <f aca="false">IFERROR(INDEX(المكونات!$C$2:$C$500,MATCH($B966,المكونات!$A$2:$A$500,0)),"")</f>
        <v>4.5</v>
      </c>
      <c r="F966" s="68" t="n">
        <f aca="false">IFERROR($C966*$E966,"")</f>
        <v>4.5</v>
      </c>
    </row>
    <row r="967" customFormat="false" ht="15" hidden="false" customHeight="true" outlineLevel="0" collapsed="false">
      <c r="A967" s="65" t="s">
        <v>389</v>
      </c>
      <c r="B967" s="65" t="s">
        <v>290</v>
      </c>
      <c r="C967" s="65" t="n">
        <v>2</v>
      </c>
      <c r="D967" s="66" t="str">
        <f aca="false">IFERROR(INDEX(المكونات!$B$2:$B$500,MATCH($B967,المكونات!$A$2:$A$500,0)),"")</f>
        <v>قطعة</v>
      </c>
      <c r="E967" s="67" t="n">
        <f aca="false">IFERROR(INDEX(المكونات!$C$2:$C$500,MATCH($B967,المكونات!$A$2:$A$500,0)),"")</f>
        <v>0.3</v>
      </c>
      <c r="F967" s="68" t="n">
        <f aca="false">IFERROR($C967*$E967,"")</f>
        <v>0.6</v>
      </c>
    </row>
    <row r="968" customFormat="false" ht="15" hidden="false" customHeight="true" outlineLevel="0" collapsed="false">
      <c r="A968" s="65" t="s">
        <v>389</v>
      </c>
      <c r="B968" s="65" t="s">
        <v>319</v>
      </c>
      <c r="C968" s="65" t="n">
        <v>1</v>
      </c>
      <c r="D968" s="66" t="str">
        <f aca="false">IFERROR(INDEX(المكونات!$B$2:$B$500,MATCH($B968,المكونات!$A$2:$A$500,0)),"")</f>
        <v>قطعة (ورقة)</v>
      </c>
      <c r="E968" s="67" t="n">
        <f aca="false">IFERROR(INDEX(المكونات!$C$2:$C$500,MATCH($B968,المكونات!$A$2:$A$500,0)),"")</f>
        <v>0.3665</v>
      </c>
      <c r="F968" s="68" t="n">
        <f aca="false">IFERROR($C968*$E968,"")</f>
        <v>0.3665</v>
      </c>
    </row>
    <row r="969" customFormat="false" ht="15" hidden="false" customHeight="true" outlineLevel="0" collapsed="false">
      <c r="A969" s="65" t="s">
        <v>389</v>
      </c>
      <c r="B969" s="65" t="s">
        <v>133</v>
      </c>
      <c r="C969" s="65" t="n">
        <v>1</v>
      </c>
      <c r="D969" s="66" t="str">
        <f aca="false">IFERROR(INDEX(المكونات!$B$2:$B$500,MATCH($B969,المكونات!$A$2:$A$500,0)),"")</f>
        <v>قطعة (كيس)</v>
      </c>
      <c r="E969" s="67" t="n">
        <f aca="false">IFERROR(INDEX(المكونات!$C$2:$C$500,MATCH($B969,المكونات!$A$2:$A$500,0)),"")</f>
        <v>1.4</v>
      </c>
      <c r="F969" s="68" t="n">
        <f aca="false">IFERROR($C969*$E969,"")</f>
        <v>1.4</v>
      </c>
    </row>
    <row r="970" customFormat="false" ht="15" hidden="false" customHeight="true" outlineLevel="0" collapsed="false">
      <c r="A970" s="65" t="s">
        <v>389</v>
      </c>
      <c r="B970" s="65" t="s">
        <v>293</v>
      </c>
      <c r="C970" s="65" t="n">
        <v>1</v>
      </c>
      <c r="D970" s="66" t="str">
        <f aca="false">IFERROR(INDEX(المكونات!$B$2:$B$500,MATCH($B970,المكونات!$A$2:$A$500,0)),"")</f>
        <v>قطعة</v>
      </c>
      <c r="E970" s="67" t="n">
        <f aca="false">IFERROR(INDEX(المكونات!$C$2:$C$500,MATCH($B970,المكونات!$A$2:$A$500,0)),"")</f>
        <v>0.5</v>
      </c>
      <c r="F970" s="68" t="n">
        <f aca="false">IFERROR($C970*$E970,"")</f>
        <v>0.5</v>
      </c>
    </row>
    <row r="971" customFormat="false" ht="15" hidden="false" customHeight="true" outlineLevel="0" collapsed="false">
      <c r="A971" s="65" t="s">
        <v>389</v>
      </c>
      <c r="B971" s="65" t="s">
        <v>211</v>
      </c>
      <c r="C971" s="65" t="n">
        <v>2</v>
      </c>
      <c r="D971" s="66" t="str">
        <f aca="false">IFERROR(INDEX(المكونات!$B$2:$B$500,MATCH($B971,المكونات!$A$2:$A$500,0)),"")</f>
        <v>قطعة (جلفز)</v>
      </c>
      <c r="E971" s="67" t="n">
        <f aca="false">IFERROR(INDEX(المكونات!$C$2:$C$500,MATCH($B971,المكونات!$A$2:$A$500,0)),"")</f>
        <v>0.18</v>
      </c>
      <c r="F971" s="68" t="n">
        <f aca="false">IFERROR($C971*$E971,"")</f>
        <v>0.36</v>
      </c>
    </row>
    <row r="972" customFormat="false" ht="15" hidden="false" customHeight="true" outlineLevel="0" collapsed="false">
      <c r="A972" s="65" t="s">
        <v>389</v>
      </c>
      <c r="B972" s="65" t="s">
        <v>322</v>
      </c>
      <c r="C972" s="65" t="n">
        <v>1</v>
      </c>
      <c r="D972" s="66" t="str">
        <f aca="false">IFERROR(INDEX(المكونات!$B$2:$B$500,MATCH($B972,المكونات!$A$2:$A$500,0)),"")</f>
        <v>قطعة (كيس)</v>
      </c>
      <c r="E972" s="67" t="n">
        <f aca="false">IFERROR(INDEX(المكونات!$C$2:$C$500,MATCH($B972,المكونات!$A$2:$A$500,0)),"")</f>
        <v>1</v>
      </c>
      <c r="F972" s="68" t="n">
        <f aca="false">IFERROR($C972*$E972,"")</f>
        <v>1</v>
      </c>
    </row>
    <row r="973" customFormat="false" ht="15" hidden="false" customHeight="true" outlineLevel="0" collapsed="false">
      <c r="A973" s="65" t="s">
        <v>389</v>
      </c>
      <c r="B973" s="65" t="s">
        <v>307</v>
      </c>
      <c r="C973" s="65" t="n">
        <v>0.1</v>
      </c>
      <c r="D973" s="66" t="str">
        <f aca="false">IFERROR(INDEX(المكونات!$B$2:$B$500,MATCH($B973,المكونات!$A$2:$A$500,0)),"")</f>
        <v>كجم</v>
      </c>
      <c r="E973" s="67" t="n">
        <f aca="false">IFERROR(INDEX(المكونات!$C$2:$C$500,MATCH($B973,المكونات!$A$2:$A$500,0)),"")</f>
        <v>151.2027</v>
      </c>
      <c r="F973" s="68" t="n">
        <f aca="false">IFERROR($C973*$E973,"")</f>
        <v>15.12027</v>
      </c>
    </row>
    <row r="974" customFormat="false" ht="15" hidden="false" customHeight="true" outlineLevel="0" collapsed="false">
      <c r="A974" s="65" t="s">
        <v>384</v>
      </c>
      <c r="B974" s="65" t="s">
        <v>262</v>
      </c>
      <c r="C974" s="65" t="n">
        <v>0.3</v>
      </c>
      <c r="D974" s="66" t="str">
        <f aca="false">IFERROR(INDEX(المكونات!$B$2:$B$500,MATCH($B974,المكونات!$A$2:$A$500,0)),"")</f>
        <v>كجم</v>
      </c>
      <c r="E974" s="67" t="n">
        <f aca="false">IFERROR(INDEX(المكونات!$C$2:$C$500,MATCH($B974,المكونات!$A$2:$A$500,0)),"")</f>
        <v>22</v>
      </c>
      <c r="F974" s="68" t="n">
        <f aca="false">IFERROR($C974*$E974,"")</f>
        <v>6.6</v>
      </c>
    </row>
    <row r="975" customFormat="false" ht="15" hidden="false" customHeight="true" outlineLevel="0" collapsed="false">
      <c r="A975" s="65" t="s">
        <v>384</v>
      </c>
      <c r="B975" s="65" t="s">
        <v>250</v>
      </c>
      <c r="C975" s="65" t="n">
        <v>0.06</v>
      </c>
      <c r="D975" s="66" t="str">
        <f aca="false">IFERROR(INDEX(المكونات!$B$2:$B$500,MATCH($B975,المكونات!$A$2:$A$500,0)),"")</f>
        <v>كجم</v>
      </c>
      <c r="E975" s="67" t="n">
        <f aca="false">IFERROR(INDEX(المكونات!$C$2:$C$500,MATCH($B975,المكونات!$A$2:$A$500,0)),"")</f>
        <v>32</v>
      </c>
      <c r="F975" s="68" t="n">
        <f aca="false">IFERROR($C975*$E975,"")</f>
        <v>1.92</v>
      </c>
    </row>
    <row r="976" customFormat="false" ht="15" hidden="false" customHeight="true" outlineLevel="0" collapsed="false">
      <c r="A976" s="65" t="s">
        <v>384</v>
      </c>
      <c r="B976" s="65" t="s">
        <v>260</v>
      </c>
      <c r="C976" s="65" t="n">
        <v>0.045</v>
      </c>
      <c r="D976" s="66" t="str">
        <f aca="false">IFERROR(INDEX(المكونات!$B$2:$B$500,MATCH($B976,المكونات!$A$2:$A$500,0)),"")</f>
        <v>كجم</v>
      </c>
      <c r="E976" s="67" t="n">
        <f aca="false">IFERROR(INDEX(المكونات!$C$2:$C$500,MATCH($B976,المكونات!$A$2:$A$500,0)),"")</f>
        <v>21</v>
      </c>
      <c r="F976" s="68" t="n">
        <f aca="false">IFERROR($C976*$E976,"")</f>
        <v>0.945</v>
      </c>
    </row>
    <row r="977" customFormat="false" ht="15" hidden="false" customHeight="true" outlineLevel="0" collapsed="false">
      <c r="A977" s="65" t="s">
        <v>384</v>
      </c>
      <c r="B977" s="65" t="s">
        <v>284</v>
      </c>
      <c r="C977" s="65" t="n">
        <v>0.03</v>
      </c>
      <c r="D977" s="66" t="str">
        <f aca="false">IFERROR(INDEX(المكونات!$B$2:$B$500,MATCH($B977,المكونات!$A$2:$A$500,0)),"")</f>
        <v>كجم</v>
      </c>
      <c r="E977" s="67" t="n">
        <f aca="false">IFERROR(INDEX(المكونات!$C$2:$C$500,MATCH($B977,المكونات!$A$2:$A$500,0)),"")</f>
        <v>27</v>
      </c>
      <c r="F977" s="68" t="n">
        <f aca="false">IFERROR($C977*$E977,"")</f>
        <v>0.81</v>
      </c>
    </row>
    <row r="978" customFormat="false" ht="15" hidden="false" customHeight="true" outlineLevel="0" collapsed="false">
      <c r="A978" s="65" t="s">
        <v>384</v>
      </c>
      <c r="B978" s="65" t="s">
        <v>227</v>
      </c>
      <c r="C978" s="65" t="n">
        <v>0.03</v>
      </c>
      <c r="D978" s="66" t="str">
        <f aca="false">IFERROR(INDEX(المكونات!$B$2:$B$500,MATCH($B978,المكونات!$A$2:$A$500,0)),"")</f>
        <v>كجم</v>
      </c>
      <c r="E978" s="67" t="n">
        <f aca="false">IFERROR(INDEX(المكونات!$C$2:$C$500,MATCH($B978,المكونات!$A$2:$A$500,0)),"")</f>
        <v>95</v>
      </c>
      <c r="F978" s="68" t="n">
        <f aca="false">IFERROR($C978*$E978,"")</f>
        <v>2.85</v>
      </c>
    </row>
    <row r="979" customFormat="false" ht="15" hidden="false" customHeight="true" outlineLevel="0" collapsed="false">
      <c r="A979" s="65" t="s">
        <v>384</v>
      </c>
      <c r="B979" s="65" t="s">
        <v>178</v>
      </c>
      <c r="C979" s="65" t="n">
        <v>1</v>
      </c>
      <c r="D979" s="66" t="str">
        <f aca="false">IFERROR(INDEX(المكونات!$B$2:$B$500,MATCH($B979,المكونات!$A$2:$A$500,0)),"")</f>
        <v>قطعة</v>
      </c>
      <c r="E979" s="67" t="n">
        <f aca="false">IFERROR(INDEX(المكونات!$C$2:$C$500,MATCH($B979,المكونات!$A$2:$A$500,0)),"")</f>
        <v>25</v>
      </c>
      <c r="F979" s="68" t="n">
        <f aca="false">IFERROR($C979*$E979,"")</f>
        <v>25</v>
      </c>
    </row>
    <row r="980" customFormat="false" ht="15" hidden="false" customHeight="true" outlineLevel="0" collapsed="false">
      <c r="A980" s="65" t="s">
        <v>384</v>
      </c>
      <c r="B980" s="65" t="s">
        <v>268</v>
      </c>
      <c r="C980" s="65" t="n">
        <v>1</v>
      </c>
      <c r="D980" s="66" t="str">
        <f aca="false">IFERROR(INDEX(المكونات!$B$2:$B$500,MATCH($B980,المكونات!$A$2:$A$500,0)),"")</f>
        <v>قطعة</v>
      </c>
      <c r="E980" s="67" t="n">
        <f aca="false">IFERROR(INDEX(المكونات!$C$2:$C$500,MATCH($B980,المكونات!$A$2:$A$500,0)),"")</f>
        <v>5.5</v>
      </c>
      <c r="F980" s="68" t="n">
        <f aca="false">IFERROR($C980*$E980,"")</f>
        <v>5.5</v>
      </c>
    </row>
    <row r="981" customFormat="false" ht="15" hidden="false" customHeight="true" outlineLevel="0" collapsed="false">
      <c r="A981" s="65" t="s">
        <v>384</v>
      </c>
      <c r="B981" s="65" t="s">
        <v>290</v>
      </c>
      <c r="C981" s="65" t="n">
        <v>3</v>
      </c>
      <c r="D981" s="66" t="str">
        <f aca="false">IFERROR(INDEX(المكونات!$B$2:$B$500,MATCH($B981,المكونات!$A$2:$A$500,0)),"")</f>
        <v>قطعة</v>
      </c>
      <c r="E981" s="67" t="n">
        <f aca="false">IFERROR(INDEX(المكونات!$C$2:$C$500,MATCH($B981,المكونات!$A$2:$A$500,0)),"")</f>
        <v>0.3</v>
      </c>
      <c r="F981" s="68" t="n">
        <f aca="false">IFERROR($C981*$E981,"")</f>
        <v>0.9</v>
      </c>
    </row>
    <row r="982" customFormat="false" ht="15" hidden="false" customHeight="true" outlineLevel="0" collapsed="false">
      <c r="A982" s="65" t="s">
        <v>384</v>
      </c>
      <c r="B982" s="65" t="s">
        <v>319</v>
      </c>
      <c r="C982" s="65" t="n">
        <v>1</v>
      </c>
      <c r="D982" s="66" t="str">
        <f aca="false">IFERROR(INDEX(المكونات!$B$2:$B$500,MATCH($B982,المكونات!$A$2:$A$500,0)),"")</f>
        <v>قطعة (ورقة)</v>
      </c>
      <c r="E982" s="67" t="n">
        <f aca="false">IFERROR(INDEX(المكونات!$C$2:$C$500,MATCH($B982,المكونات!$A$2:$A$500,0)),"")</f>
        <v>0.3665</v>
      </c>
      <c r="F982" s="68" t="n">
        <f aca="false">IFERROR($C982*$E982,"")</f>
        <v>0.3665</v>
      </c>
    </row>
    <row r="983" customFormat="false" ht="15" hidden="false" customHeight="true" outlineLevel="0" collapsed="false">
      <c r="A983" s="65" t="s">
        <v>384</v>
      </c>
      <c r="B983" s="65" t="s">
        <v>133</v>
      </c>
      <c r="C983" s="65" t="n">
        <v>1</v>
      </c>
      <c r="D983" s="66" t="str">
        <f aca="false">IFERROR(INDEX(المكونات!$B$2:$B$500,MATCH($B983,المكونات!$A$2:$A$500,0)),"")</f>
        <v>قطعة (كيس)</v>
      </c>
      <c r="E983" s="67" t="n">
        <f aca="false">IFERROR(INDEX(المكونات!$C$2:$C$500,MATCH($B983,المكونات!$A$2:$A$500,0)),"")</f>
        <v>1.4</v>
      </c>
      <c r="F983" s="68" t="n">
        <f aca="false">IFERROR($C983*$E983,"")</f>
        <v>1.4</v>
      </c>
    </row>
    <row r="984" customFormat="false" ht="15" hidden="false" customHeight="true" outlineLevel="0" collapsed="false">
      <c r="A984" s="65" t="s">
        <v>384</v>
      </c>
      <c r="B984" s="65" t="s">
        <v>293</v>
      </c>
      <c r="C984" s="65" t="n">
        <v>1</v>
      </c>
      <c r="D984" s="66" t="str">
        <f aca="false">IFERROR(INDEX(المكونات!$B$2:$B$500,MATCH($B984,المكونات!$A$2:$A$500,0)),"")</f>
        <v>قطعة</v>
      </c>
      <c r="E984" s="67" t="n">
        <f aca="false">IFERROR(INDEX(المكونات!$C$2:$C$500,MATCH($B984,المكونات!$A$2:$A$500,0)),"")</f>
        <v>0.5</v>
      </c>
      <c r="F984" s="68" t="n">
        <f aca="false">IFERROR($C984*$E984,"")</f>
        <v>0.5</v>
      </c>
    </row>
    <row r="985" customFormat="false" ht="15" hidden="false" customHeight="true" outlineLevel="0" collapsed="false">
      <c r="A985" s="65" t="s">
        <v>384</v>
      </c>
      <c r="B985" s="65" t="s">
        <v>211</v>
      </c>
      <c r="C985" s="65" t="n">
        <v>2</v>
      </c>
      <c r="D985" s="66" t="str">
        <f aca="false">IFERROR(INDEX(المكونات!$B$2:$B$500,MATCH($B985,المكونات!$A$2:$A$500,0)),"")</f>
        <v>قطعة (جلفز)</v>
      </c>
      <c r="E985" s="67" t="n">
        <f aca="false">IFERROR(INDEX(المكونات!$C$2:$C$500,MATCH($B985,المكونات!$A$2:$A$500,0)),"")</f>
        <v>0.18</v>
      </c>
      <c r="F985" s="68" t="n">
        <f aca="false">IFERROR($C985*$E985,"")</f>
        <v>0.36</v>
      </c>
    </row>
    <row r="986" customFormat="false" ht="15" hidden="false" customHeight="true" outlineLevel="0" collapsed="false">
      <c r="A986" s="65" t="s">
        <v>384</v>
      </c>
      <c r="B986" s="65" t="s">
        <v>322</v>
      </c>
      <c r="C986" s="65" t="n">
        <v>1</v>
      </c>
      <c r="D986" s="66" t="str">
        <f aca="false">IFERROR(INDEX(المكونات!$B$2:$B$500,MATCH($B986,المكونات!$A$2:$A$500,0)),"")</f>
        <v>قطعة (كيس)</v>
      </c>
      <c r="E986" s="67" t="n">
        <f aca="false">IFERROR(INDEX(المكونات!$C$2:$C$500,MATCH($B986,المكونات!$A$2:$A$500,0)),"")</f>
        <v>1</v>
      </c>
      <c r="F986" s="68" t="n">
        <f aca="false">IFERROR($C986*$E986,"")</f>
        <v>1</v>
      </c>
    </row>
    <row r="987" customFormat="false" ht="15" hidden="false" customHeight="true" outlineLevel="0" collapsed="false">
      <c r="A987" s="65" t="s">
        <v>384</v>
      </c>
      <c r="B987" s="65" t="s">
        <v>307</v>
      </c>
      <c r="C987" s="65" t="n">
        <v>0.15</v>
      </c>
      <c r="D987" s="66" t="str">
        <f aca="false">IFERROR(INDEX(المكونات!$B$2:$B$500,MATCH($B987,المكونات!$A$2:$A$500,0)),"")</f>
        <v>كجم</v>
      </c>
      <c r="E987" s="67" t="n">
        <f aca="false">IFERROR(INDEX(المكونات!$C$2:$C$500,MATCH($B987,المكونات!$A$2:$A$500,0)),"")</f>
        <v>151.2027</v>
      </c>
      <c r="F987" s="68" t="n">
        <f aca="false">IFERROR($C987*$E987,"")</f>
        <v>22.680405</v>
      </c>
    </row>
    <row r="988" customFormat="false" ht="15" hidden="false" customHeight="true" outlineLevel="0" collapsed="false">
      <c r="A988" s="65" t="s">
        <v>481</v>
      </c>
      <c r="B988" s="65" t="s">
        <v>262</v>
      </c>
      <c r="C988" s="65" t="n">
        <v>0.22</v>
      </c>
      <c r="D988" s="66" t="str">
        <f aca="false">IFERROR(INDEX(المكونات!$B$2:$B$500,MATCH($B988,المكونات!$A$2:$A$500,0)),"")</f>
        <v>كجم</v>
      </c>
      <c r="E988" s="67" t="n">
        <f aca="false">IFERROR(INDEX(المكونات!$C$2:$C$500,MATCH($B988,المكونات!$A$2:$A$500,0)),"")</f>
        <v>22</v>
      </c>
      <c r="F988" s="68" t="n">
        <f aca="false">IFERROR($C988*$E988,"")</f>
        <v>4.84</v>
      </c>
    </row>
    <row r="989" customFormat="false" ht="15" hidden="false" customHeight="true" outlineLevel="0" collapsed="false">
      <c r="A989" s="65" t="s">
        <v>481</v>
      </c>
      <c r="B989" s="65" t="s">
        <v>250</v>
      </c>
      <c r="C989" s="65" t="n">
        <v>0.04</v>
      </c>
      <c r="D989" s="66" t="str">
        <f aca="false">IFERROR(INDEX(المكونات!$B$2:$B$500,MATCH($B989,المكونات!$A$2:$A$500,0)),"")</f>
        <v>كجم</v>
      </c>
      <c r="E989" s="67" t="n">
        <f aca="false">IFERROR(INDEX(المكونات!$C$2:$C$500,MATCH($B989,المكونات!$A$2:$A$500,0)),"")</f>
        <v>32</v>
      </c>
      <c r="F989" s="68" t="n">
        <f aca="false">IFERROR($C989*$E989,"")</f>
        <v>1.28</v>
      </c>
    </row>
    <row r="990" customFormat="false" ht="15" hidden="false" customHeight="true" outlineLevel="0" collapsed="false">
      <c r="A990" s="65" t="s">
        <v>481</v>
      </c>
      <c r="B990" s="65" t="s">
        <v>260</v>
      </c>
      <c r="C990" s="65" t="n">
        <v>0.03</v>
      </c>
      <c r="D990" s="66" t="str">
        <f aca="false">IFERROR(INDEX(المكونات!$B$2:$B$500,MATCH($B990,المكونات!$A$2:$A$500,0)),"")</f>
        <v>كجم</v>
      </c>
      <c r="E990" s="67" t="n">
        <f aca="false">IFERROR(INDEX(المكونات!$C$2:$C$500,MATCH($B990,المكونات!$A$2:$A$500,0)),"")</f>
        <v>21</v>
      </c>
      <c r="F990" s="68" t="n">
        <f aca="false">IFERROR($C990*$E990,"")</f>
        <v>0.63</v>
      </c>
    </row>
    <row r="991" customFormat="false" ht="15" hidden="false" customHeight="true" outlineLevel="0" collapsed="false">
      <c r="A991" s="65" t="s">
        <v>481</v>
      </c>
      <c r="B991" s="65" t="s">
        <v>284</v>
      </c>
      <c r="C991" s="65" t="n">
        <v>0.02</v>
      </c>
      <c r="D991" s="66" t="str">
        <f aca="false">IFERROR(INDEX(المكونات!$B$2:$B$500,MATCH($B991,المكونات!$A$2:$A$500,0)),"")</f>
        <v>كجم</v>
      </c>
      <c r="E991" s="67" t="n">
        <f aca="false">IFERROR(INDEX(المكونات!$C$2:$C$500,MATCH($B991,المكونات!$A$2:$A$500,0)),"")</f>
        <v>27</v>
      </c>
      <c r="F991" s="68" t="n">
        <f aca="false">IFERROR($C991*$E991,"")</f>
        <v>0.54</v>
      </c>
    </row>
    <row r="992" customFormat="false" ht="15" hidden="false" customHeight="true" outlineLevel="0" collapsed="false">
      <c r="A992" s="65" t="s">
        <v>481</v>
      </c>
      <c r="B992" s="65" t="s">
        <v>227</v>
      </c>
      <c r="C992" s="65" t="n">
        <v>0.02</v>
      </c>
      <c r="D992" s="66" t="str">
        <f aca="false">IFERROR(INDEX(المكونات!$B$2:$B$500,MATCH($B992,المكونات!$A$2:$A$500,0)),"")</f>
        <v>كجم</v>
      </c>
      <c r="E992" s="67" t="n">
        <f aca="false">IFERROR(INDEX(المكونات!$C$2:$C$500,MATCH($B992,المكونات!$A$2:$A$500,0)),"")</f>
        <v>95</v>
      </c>
      <c r="F992" s="68" t="n">
        <f aca="false">IFERROR($C992*$E992,"")</f>
        <v>1.9</v>
      </c>
    </row>
    <row r="993" customFormat="false" ht="15" hidden="false" customHeight="true" outlineLevel="0" collapsed="false">
      <c r="A993" s="65" t="s">
        <v>481</v>
      </c>
      <c r="B993" s="65" t="s">
        <v>176</v>
      </c>
      <c r="C993" s="65" t="n">
        <v>1</v>
      </c>
      <c r="D993" s="66" t="str">
        <f aca="false">IFERROR(INDEX(المكونات!$B$2:$B$500,MATCH($B993,المكونات!$A$2:$A$500,0)),"")</f>
        <v>قطعة</v>
      </c>
      <c r="E993" s="67" t="n">
        <f aca="false">IFERROR(INDEX(المكونات!$C$2:$C$500,MATCH($B993,المكونات!$A$2:$A$500,0)),"")</f>
        <v>17.5</v>
      </c>
      <c r="F993" s="68" t="n">
        <f aca="false">IFERROR($C993*$E993,"")</f>
        <v>17.5</v>
      </c>
    </row>
    <row r="994" customFormat="false" ht="15" hidden="false" customHeight="true" outlineLevel="0" collapsed="false">
      <c r="A994" s="65" t="s">
        <v>481</v>
      </c>
      <c r="B994" s="65" t="s">
        <v>270</v>
      </c>
      <c r="C994" s="65" t="n">
        <v>1</v>
      </c>
      <c r="D994" s="66" t="str">
        <f aca="false">IFERROR(INDEX(المكونات!$B$2:$B$500,MATCH($B994,المكونات!$A$2:$A$500,0)),"")</f>
        <v>قطعة</v>
      </c>
      <c r="E994" s="67" t="n">
        <f aca="false">IFERROR(INDEX(المكونات!$C$2:$C$500,MATCH($B994,المكونات!$A$2:$A$500,0)),"")</f>
        <v>4.5</v>
      </c>
      <c r="F994" s="68" t="n">
        <f aca="false">IFERROR($C994*$E994,"")</f>
        <v>4.5</v>
      </c>
    </row>
    <row r="995" customFormat="false" ht="15" hidden="false" customHeight="true" outlineLevel="0" collapsed="false">
      <c r="A995" s="65" t="s">
        <v>481</v>
      </c>
      <c r="B995" s="65" t="s">
        <v>290</v>
      </c>
      <c r="C995" s="65" t="n">
        <v>2</v>
      </c>
      <c r="D995" s="66" t="str">
        <f aca="false">IFERROR(INDEX(المكونات!$B$2:$B$500,MATCH($B995,المكونات!$A$2:$A$500,0)),"")</f>
        <v>قطعة</v>
      </c>
      <c r="E995" s="67" t="n">
        <f aca="false">IFERROR(INDEX(المكونات!$C$2:$C$500,MATCH($B995,المكونات!$A$2:$A$500,0)),"")</f>
        <v>0.3</v>
      </c>
      <c r="F995" s="68" t="n">
        <f aca="false">IFERROR($C995*$E995,"")</f>
        <v>0.6</v>
      </c>
    </row>
    <row r="996" customFormat="false" ht="15" hidden="false" customHeight="true" outlineLevel="0" collapsed="false">
      <c r="A996" s="65" t="s">
        <v>481</v>
      </c>
      <c r="B996" s="65" t="s">
        <v>319</v>
      </c>
      <c r="C996" s="65" t="n">
        <v>1</v>
      </c>
      <c r="D996" s="66" t="str">
        <f aca="false">IFERROR(INDEX(المكونات!$B$2:$B$500,MATCH($B996,المكونات!$A$2:$A$500,0)),"")</f>
        <v>قطعة (ورقة)</v>
      </c>
      <c r="E996" s="67" t="n">
        <f aca="false">IFERROR(INDEX(المكونات!$C$2:$C$500,MATCH($B996,المكونات!$A$2:$A$500,0)),"")</f>
        <v>0.3665</v>
      </c>
      <c r="F996" s="68" t="n">
        <f aca="false">IFERROR($C996*$E996,"")</f>
        <v>0.3665</v>
      </c>
    </row>
    <row r="997" customFormat="false" ht="15" hidden="false" customHeight="true" outlineLevel="0" collapsed="false">
      <c r="A997" s="65" t="s">
        <v>481</v>
      </c>
      <c r="B997" s="65" t="s">
        <v>133</v>
      </c>
      <c r="C997" s="65" t="n">
        <v>1</v>
      </c>
      <c r="D997" s="66" t="str">
        <f aca="false">IFERROR(INDEX(المكونات!$B$2:$B$500,MATCH($B997,المكونات!$A$2:$A$500,0)),"")</f>
        <v>قطعة (كيس)</v>
      </c>
      <c r="E997" s="67" t="n">
        <f aca="false">IFERROR(INDEX(المكونات!$C$2:$C$500,MATCH($B997,المكونات!$A$2:$A$500,0)),"")</f>
        <v>1.4</v>
      </c>
      <c r="F997" s="68" t="n">
        <f aca="false">IFERROR($C997*$E997,"")</f>
        <v>1.4</v>
      </c>
    </row>
    <row r="998" customFormat="false" ht="15" hidden="false" customHeight="true" outlineLevel="0" collapsed="false">
      <c r="A998" s="65" t="s">
        <v>481</v>
      </c>
      <c r="B998" s="65" t="s">
        <v>293</v>
      </c>
      <c r="C998" s="65" t="n">
        <v>1</v>
      </c>
      <c r="D998" s="66" t="str">
        <f aca="false">IFERROR(INDEX(المكونات!$B$2:$B$500,MATCH($B998,المكونات!$A$2:$A$500,0)),"")</f>
        <v>قطعة</v>
      </c>
      <c r="E998" s="67" t="n">
        <f aca="false">IFERROR(INDEX(المكونات!$C$2:$C$500,MATCH($B998,المكونات!$A$2:$A$500,0)),"")</f>
        <v>0.5</v>
      </c>
      <c r="F998" s="68" t="n">
        <f aca="false">IFERROR($C998*$E998,"")</f>
        <v>0.5</v>
      </c>
    </row>
    <row r="999" customFormat="false" ht="15" hidden="false" customHeight="true" outlineLevel="0" collapsed="false">
      <c r="A999" s="65" t="s">
        <v>481</v>
      </c>
      <c r="B999" s="65" t="s">
        <v>211</v>
      </c>
      <c r="C999" s="65" t="n">
        <v>2</v>
      </c>
      <c r="D999" s="66" t="str">
        <f aca="false">IFERROR(INDEX(المكونات!$B$2:$B$500,MATCH($B999,المكونات!$A$2:$A$500,0)),"")</f>
        <v>قطعة (جلفز)</v>
      </c>
      <c r="E999" s="67" t="n">
        <f aca="false">IFERROR(INDEX(المكونات!$C$2:$C$500,MATCH($B999,المكونات!$A$2:$A$500,0)),"")</f>
        <v>0.18</v>
      </c>
      <c r="F999" s="68" t="n">
        <f aca="false">IFERROR($C999*$E999,"")</f>
        <v>0.36</v>
      </c>
    </row>
    <row r="1000" customFormat="false" ht="15" hidden="false" customHeight="true" outlineLevel="0" collapsed="false">
      <c r="A1000" s="65" t="s">
        <v>481</v>
      </c>
      <c r="B1000" s="65" t="s">
        <v>322</v>
      </c>
      <c r="C1000" s="65" t="n">
        <v>1</v>
      </c>
      <c r="D1000" s="66" t="str">
        <f aca="false">IFERROR(INDEX(المكونات!$B$2:$B$500,MATCH($B1000,المكونات!$A$2:$A$500,0)),"")</f>
        <v>قطعة (كيس)</v>
      </c>
      <c r="E1000" s="67" t="n">
        <f aca="false">IFERROR(INDEX(المكونات!$C$2:$C$500,MATCH($B1000,المكونات!$A$2:$A$500,0)),"")</f>
        <v>1</v>
      </c>
      <c r="F1000" s="68" t="n">
        <f aca="false">IFERROR($C1000*$E1000,"")</f>
        <v>1</v>
      </c>
    </row>
    <row r="1001" customFormat="false" ht="15" hidden="false" customHeight="true" outlineLevel="0" collapsed="false">
      <c r="A1001" s="65" t="s">
        <v>481</v>
      </c>
      <c r="B1001" s="65" t="s">
        <v>336</v>
      </c>
      <c r="C1001" s="65" t="n">
        <v>0.12</v>
      </c>
      <c r="D1001" s="66" t="str">
        <f aca="false">IFERROR(INDEX(المكونات!$B$2:$B$500,MATCH($B1001,المكونات!$A$2:$A$500,0)),"")</f>
        <v>كجم</v>
      </c>
      <c r="E1001" s="67" t="n">
        <f aca="false">IFERROR(INDEX(المكونات!$C$2:$C$500,MATCH($B1001,المكونات!$A$2:$A$500,0)),"")</f>
        <v>220.02</v>
      </c>
      <c r="F1001" s="68" t="n">
        <f aca="false">IFERROR($C1001*$E1001,"")</f>
        <v>26.4024</v>
      </c>
    </row>
    <row r="1002" customFormat="false" ht="15" hidden="false" customHeight="true" outlineLevel="0" collapsed="false">
      <c r="A1002" s="65" t="s">
        <v>505</v>
      </c>
      <c r="B1002" s="65" t="s">
        <v>262</v>
      </c>
      <c r="C1002" s="65" t="n">
        <v>0.3</v>
      </c>
      <c r="D1002" s="66" t="str">
        <f aca="false">IFERROR(INDEX(المكونات!$B$2:$B$500,MATCH($B1002,المكونات!$A$2:$A$500,0)),"")</f>
        <v>كجم</v>
      </c>
      <c r="E1002" s="67" t="n">
        <f aca="false">IFERROR(INDEX(المكونات!$C$2:$C$500,MATCH($B1002,المكونات!$A$2:$A$500,0)),"")</f>
        <v>22</v>
      </c>
      <c r="F1002" s="68" t="n">
        <f aca="false">IFERROR($C1002*$E1002,"")</f>
        <v>6.6</v>
      </c>
    </row>
    <row r="1003" customFormat="false" ht="15" hidden="false" customHeight="true" outlineLevel="0" collapsed="false">
      <c r="A1003" s="65" t="s">
        <v>505</v>
      </c>
      <c r="B1003" s="65" t="s">
        <v>250</v>
      </c>
      <c r="C1003" s="65" t="n">
        <v>0.06</v>
      </c>
      <c r="D1003" s="66" t="str">
        <f aca="false">IFERROR(INDEX(المكونات!$B$2:$B$500,MATCH($B1003,المكونات!$A$2:$A$500,0)),"")</f>
        <v>كجم</v>
      </c>
      <c r="E1003" s="67" t="n">
        <f aca="false">IFERROR(INDEX(المكونات!$C$2:$C$500,MATCH($B1003,المكونات!$A$2:$A$500,0)),"")</f>
        <v>32</v>
      </c>
      <c r="F1003" s="68" t="n">
        <f aca="false">IFERROR($C1003*$E1003,"")</f>
        <v>1.92</v>
      </c>
    </row>
    <row r="1004" customFormat="false" ht="15" hidden="false" customHeight="true" outlineLevel="0" collapsed="false">
      <c r="A1004" s="65" t="s">
        <v>505</v>
      </c>
      <c r="B1004" s="65" t="s">
        <v>260</v>
      </c>
      <c r="C1004" s="65" t="n">
        <v>0.045</v>
      </c>
      <c r="D1004" s="66" t="str">
        <f aca="false">IFERROR(INDEX(المكونات!$B$2:$B$500,MATCH($B1004,المكونات!$A$2:$A$500,0)),"")</f>
        <v>كجم</v>
      </c>
      <c r="E1004" s="67" t="n">
        <f aca="false">IFERROR(INDEX(المكونات!$C$2:$C$500,MATCH($B1004,المكونات!$A$2:$A$500,0)),"")</f>
        <v>21</v>
      </c>
      <c r="F1004" s="68" t="n">
        <f aca="false">IFERROR($C1004*$E1004,"")</f>
        <v>0.945</v>
      </c>
    </row>
    <row r="1005" customFormat="false" ht="15" hidden="false" customHeight="true" outlineLevel="0" collapsed="false">
      <c r="A1005" s="65" t="s">
        <v>505</v>
      </c>
      <c r="B1005" s="65" t="s">
        <v>284</v>
      </c>
      <c r="C1005" s="65" t="n">
        <v>0.03</v>
      </c>
      <c r="D1005" s="66" t="str">
        <f aca="false">IFERROR(INDEX(المكونات!$B$2:$B$500,MATCH($B1005,المكونات!$A$2:$A$500,0)),"")</f>
        <v>كجم</v>
      </c>
      <c r="E1005" s="67" t="n">
        <f aca="false">IFERROR(INDEX(المكونات!$C$2:$C$500,MATCH($B1005,المكونات!$A$2:$A$500,0)),"")</f>
        <v>27</v>
      </c>
      <c r="F1005" s="68" t="n">
        <f aca="false">IFERROR($C1005*$E1005,"")</f>
        <v>0.81</v>
      </c>
    </row>
    <row r="1006" customFormat="false" ht="15" hidden="false" customHeight="true" outlineLevel="0" collapsed="false">
      <c r="A1006" s="65" t="s">
        <v>505</v>
      </c>
      <c r="B1006" s="65" t="s">
        <v>227</v>
      </c>
      <c r="C1006" s="65" t="n">
        <v>0.03</v>
      </c>
      <c r="D1006" s="66" t="str">
        <f aca="false">IFERROR(INDEX(المكونات!$B$2:$B$500,MATCH($B1006,المكونات!$A$2:$A$500,0)),"")</f>
        <v>كجم</v>
      </c>
      <c r="E1006" s="67" t="n">
        <f aca="false">IFERROR(INDEX(المكونات!$C$2:$C$500,MATCH($B1006,المكونات!$A$2:$A$500,0)),"")</f>
        <v>95</v>
      </c>
      <c r="F1006" s="68" t="n">
        <f aca="false">IFERROR($C1006*$E1006,"")</f>
        <v>2.85</v>
      </c>
    </row>
    <row r="1007" customFormat="false" ht="15" hidden="false" customHeight="true" outlineLevel="0" collapsed="false">
      <c r="A1007" s="65" t="s">
        <v>505</v>
      </c>
      <c r="B1007" s="65" t="s">
        <v>178</v>
      </c>
      <c r="C1007" s="65" t="n">
        <v>1</v>
      </c>
      <c r="D1007" s="66" t="str">
        <f aca="false">IFERROR(INDEX(المكونات!$B$2:$B$500,MATCH($B1007,المكونات!$A$2:$A$500,0)),"")</f>
        <v>قطعة</v>
      </c>
      <c r="E1007" s="67" t="n">
        <f aca="false">IFERROR(INDEX(المكونات!$C$2:$C$500,MATCH($B1007,المكونات!$A$2:$A$500,0)),"")</f>
        <v>25</v>
      </c>
      <c r="F1007" s="68" t="n">
        <f aca="false">IFERROR($C1007*$E1007,"")</f>
        <v>25</v>
      </c>
    </row>
    <row r="1008" customFormat="false" ht="15" hidden="false" customHeight="true" outlineLevel="0" collapsed="false">
      <c r="A1008" s="65" t="s">
        <v>505</v>
      </c>
      <c r="B1008" s="65" t="s">
        <v>268</v>
      </c>
      <c r="C1008" s="65" t="n">
        <v>1</v>
      </c>
      <c r="D1008" s="66" t="str">
        <f aca="false">IFERROR(INDEX(المكونات!$B$2:$B$500,MATCH($B1008,المكونات!$A$2:$A$500,0)),"")</f>
        <v>قطعة</v>
      </c>
      <c r="E1008" s="67" t="n">
        <f aca="false">IFERROR(INDEX(المكونات!$C$2:$C$500,MATCH($B1008,المكونات!$A$2:$A$500,0)),"")</f>
        <v>5.5</v>
      </c>
      <c r="F1008" s="68" t="n">
        <f aca="false">IFERROR($C1008*$E1008,"")</f>
        <v>5.5</v>
      </c>
    </row>
    <row r="1009" customFormat="false" ht="15" hidden="false" customHeight="true" outlineLevel="0" collapsed="false">
      <c r="A1009" s="65" t="s">
        <v>505</v>
      </c>
      <c r="B1009" s="65" t="s">
        <v>290</v>
      </c>
      <c r="C1009" s="65" t="n">
        <v>3</v>
      </c>
      <c r="D1009" s="66" t="str">
        <f aca="false">IFERROR(INDEX(المكونات!$B$2:$B$500,MATCH($B1009,المكونات!$A$2:$A$500,0)),"")</f>
        <v>قطعة</v>
      </c>
      <c r="E1009" s="67" t="n">
        <f aca="false">IFERROR(INDEX(المكونات!$C$2:$C$500,MATCH($B1009,المكونات!$A$2:$A$500,0)),"")</f>
        <v>0.3</v>
      </c>
      <c r="F1009" s="68" t="n">
        <f aca="false">IFERROR($C1009*$E1009,"")</f>
        <v>0.9</v>
      </c>
    </row>
    <row r="1010" customFormat="false" ht="15" hidden="false" customHeight="true" outlineLevel="0" collapsed="false">
      <c r="A1010" s="65" t="s">
        <v>505</v>
      </c>
      <c r="B1010" s="65" t="s">
        <v>319</v>
      </c>
      <c r="C1010" s="65" t="n">
        <v>1</v>
      </c>
      <c r="D1010" s="66" t="str">
        <f aca="false">IFERROR(INDEX(المكونات!$B$2:$B$500,MATCH($B1010,المكونات!$A$2:$A$500,0)),"")</f>
        <v>قطعة (ورقة)</v>
      </c>
      <c r="E1010" s="67" t="n">
        <f aca="false">IFERROR(INDEX(المكونات!$C$2:$C$500,MATCH($B1010,المكونات!$A$2:$A$500,0)),"")</f>
        <v>0.3665</v>
      </c>
      <c r="F1010" s="68" t="n">
        <f aca="false">IFERROR($C1010*$E1010,"")</f>
        <v>0.3665</v>
      </c>
    </row>
    <row r="1011" customFormat="false" ht="15" hidden="false" customHeight="true" outlineLevel="0" collapsed="false">
      <c r="A1011" s="65" t="s">
        <v>505</v>
      </c>
      <c r="B1011" s="65" t="s">
        <v>133</v>
      </c>
      <c r="C1011" s="65" t="n">
        <v>1</v>
      </c>
      <c r="D1011" s="66" t="str">
        <f aca="false">IFERROR(INDEX(المكونات!$B$2:$B$500,MATCH($B1011,المكونات!$A$2:$A$500,0)),"")</f>
        <v>قطعة (كيس)</v>
      </c>
      <c r="E1011" s="67" t="n">
        <f aca="false">IFERROR(INDEX(المكونات!$C$2:$C$500,MATCH($B1011,المكونات!$A$2:$A$500,0)),"")</f>
        <v>1.4</v>
      </c>
      <c r="F1011" s="68" t="n">
        <f aca="false">IFERROR($C1011*$E1011,"")</f>
        <v>1.4</v>
      </c>
    </row>
    <row r="1012" customFormat="false" ht="15" hidden="false" customHeight="true" outlineLevel="0" collapsed="false">
      <c r="A1012" s="65" t="s">
        <v>505</v>
      </c>
      <c r="B1012" s="65" t="s">
        <v>293</v>
      </c>
      <c r="C1012" s="65" t="n">
        <v>1</v>
      </c>
      <c r="D1012" s="66" t="str">
        <f aca="false">IFERROR(INDEX(المكونات!$B$2:$B$500,MATCH($B1012,المكونات!$A$2:$A$500,0)),"")</f>
        <v>قطعة</v>
      </c>
      <c r="E1012" s="67" t="n">
        <f aca="false">IFERROR(INDEX(المكونات!$C$2:$C$500,MATCH($B1012,المكونات!$A$2:$A$500,0)),"")</f>
        <v>0.5</v>
      </c>
      <c r="F1012" s="68" t="n">
        <f aca="false">IFERROR($C1012*$E1012,"")</f>
        <v>0.5</v>
      </c>
    </row>
    <row r="1013" customFormat="false" ht="15" hidden="false" customHeight="true" outlineLevel="0" collapsed="false">
      <c r="A1013" s="65" t="s">
        <v>505</v>
      </c>
      <c r="B1013" s="65" t="s">
        <v>211</v>
      </c>
      <c r="C1013" s="65" t="n">
        <v>2</v>
      </c>
      <c r="D1013" s="66" t="str">
        <f aca="false">IFERROR(INDEX(المكونات!$B$2:$B$500,MATCH($B1013,المكونات!$A$2:$A$500,0)),"")</f>
        <v>قطعة (جلفز)</v>
      </c>
      <c r="E1013" s="67" t="n">
        <f aca="false">IFERROR(INDEX(المكونات!$C$2:$C$500,MATCH($B1013,المكونات!$A$2:$A$500,0)),"")</f>
        <v>0.18</v>
      </c>
      <c r="F1013" s="68" t="n">
        <f aca="false">IFERROR($C1013*$E1013,"")</f>
        <v>0.36</v>
      </c>
    </row>
    <row r="1014" customFormat="false" ht="15" hidden="false" customHeight="true" outlineLevel="0" collapsed="false">
      <c r="A1014" s="65" t="s">
        <v>505</v>
      </c>
      <c r="B1014" s="65" t="s">
        <v>322</v>
      </c>
      <c r="C1014" s="65" t="n">
        <v>1</v>
      </c>
      <c r="D1014" s="66" t="str">
        <f aca="false">IFERROR(INDEX(المكونات!$B$2:$B$500,MATCH($B1014,المكونات!$A$2:$A$500,0)),"")</f>
        <v>قطعة (كيس)</v>
      </c>
      <c r="E1014" s="67" t="n">
        <f aca="false">IFERROR(INDEX(المكونات!$C$2:$C$500,MATCH($B1014,المكونات!$A$2:$A$500,0)),"")</f>
        <v>1</v>
      </c>
      <c r="F1014" s="68" t="n">
        <f aca="false">IFERROR($C1014*$E1014,"")</f>
        <v>1</v>
      </c>
    </row>
    <row r="1015" customFormat="false" ht="15" hidden="false" customHeight="true" outlineLevel="0" collapsed="false">
      <c r="A1015" s="65" t="s">
        <v>505</v>
      </c>
      <c r="B1015" s="65" t="s">
        <v>336</v>
      </c>
      <c r="C1015" s="65" t="n">
        <v>0.18</v>
      </c>
      <c r="D1015" s="66" t="str">
        <f aca="false">IFERROR(INDEX(المكونات!$B$2:$B$500,MATCH($B1015,المكونات!$A$2:$A$500,0)),"")</f>
        <v>كجم</v>
      </c>
      <c r="E1015" s="67" t="n">
        <f aca="false">IFERROR(INDEX(المكونات!$C$2:$C$500,MATCH($B1015,المكونات!$A$2:$A$500,0)),"")</f>
        <v>220.02</v>
      </c>
      <c r="F1015" s="68" t="n">
        <f aca="false">IFERROR($C1015*$E1015,"")</f>
        <v>39.6036</v>
      </c>
    </row>
    <row r="1016" customFormat="false" ht="15" hidden="false" customHeight="true" outlineLevel="0" collapsed="false">
      <c r="A1016" s="65" t="s">
        <v>496</v>
      </c>
      <c r="B1016" s="65" t="s">
        <v>262</v>
      </c>
      <c r="C1016" s="65" t="n">
        <v>0.22</v>
      </c>
      <c r="D1016" s="66" t="str">
        <f aca="false">IFERROR(INDEX(المكونات!$B$2:$B$500,MATCH($B1016,المكونات!$A$2:$A$500,0)),"")</f>
        <v>كجم</v>
      </c>
      <c r="E1016" s="67" t="n">
        <f aca="false">IFERROR(INDEX(المكونات!$C$2:$C$500,MATCH($B1016,المكونات!$A$2:$A$500,0)),"")</f>
        <v>22</v>
      </c>
      <c r="F1016" s="68" t="n">
        <f aca="false">IFERROR($C1016*$E1016,"")</f>
        <v>4.84</v>
      </c>
    </row>
    <row r="1017" customFormat="false" ht="15" hidden="false" customHeight="true" outlineLevel="0" collapsed="false">
      <c r="A1017" s="65" t="s">
        <v>496</v>
      </c>
      <c r="B1017" s="65" t="s">
        <v>250</v>
      </c>
      <c r="C1017" s="65" t="n">
        <v>0.04</v>
      </c>
      <c r="D1017" s="66" t="str">
        <f aca="false">IFERROR(INDEX(المكونات!$B$2:$B$500,MATCH($B1017,المكونات!$A$2:$A$500,0)),"")</f>
        <v>كجم</v>
      </c>
      <c r="E1017" s="67" t="n">
        <f aca="false">IFERROR(INDEX(المكونات!$C$2:$C$500,MATCH($B1017,المكونات!$A$2:$A$500,0)),"")</f>
        <v>32</v>
      </c>
      <c r="F1017" s="68" t="n">
        <f aca="false">IFERROR($C1017*$E1017,"")</f>
        <v>1.28</v>
      </c>
    </row>
    <row r="1018" customFormat="false" ht="15" hidden="false" customHeight="true" outlineLevel="0" collapsed="false">
      <c r="A1018" s="65" t="s">
        <v>496</v>
      </c>
      <c r="B1018" s="65" t="s">
        <v>260</v>
      </c>
      <c r="C1018" s="65" t="n">
        <v>0.03</v>
      </c>
      <c r="D1018" s="66" t="str">
        <f aca="false">IFERROR(INDEX(المكونات!$B$2:$B$500,MATCH($B1018,المكونات!$A$2:$A$500,0)),"")</f>
        <v>كجم</v>
      </c>
      <c r="E1018" s="67" t="n">
        <f aca="false">IFERROR(INDEX(المكونات!$C$2:$C$500,MATCH($B1018,المكونات!$A$2:$A$500,0)),"")</f>
        <v>21</v>
      </c>
      <c r="F1018" s="68" t="n">
        <f aca="false">IFERROR($C1018*$E1018,"")</f>
        <v>0.63</v>
      </c>
    </row>
    <row r="1019" customFormat="false" ht="15" hidden="false" customHeight="true" outlineLevel="0" collapsed="false">
      <c r="A1019" s="65" t="s">
        <v>496</v>
      </c>
      <c r="B1019" s="65" t="s">
        <v>284</v>
      </c>
      <c r="C1019" s="65" t="n">
        <v>0.02</v>
      </c>
      <c r="D1019" s="66" t="str">
        <f aca="false">IFERROR(INDEX(المكونات!$B$2:$B$500,MATCH($B1019,المكونات!$A$2:$A$500,0)),"")</f>
        <v>كجم</v>
      </c>
      <c r="E1019" s="67" t="n">
        <f aca="false">IFERROR(INDEX(المكونات!$C$2:$C$500,MATCH($B1019,المكونات!$A$2:$A$500,0)),"")</f>
        <v>27</v>
      </c>
      <c r="F1019" s="68" t="n">
        <f aca="false">IFERROR($C1019*$E1019,"")</f>
        <v>0.54</v>
      </c>
    </row>
    <row r="1020" customFormat="false" ht="15" hidden="false" customHeight="true" outlineLevel="0" collapsed="false">
      <c r="A1020" s="65" t="s">
        <v>496</v>
      </c>
      <c r="B1020" s="65" t="s">
        <v>227</v>
      </c>
      <c r="C1020" s="65" t="n">
        <v>0.02</v>
      </c>
      <c r="D1020" s="66" t="str">
        <f aca="false">IFERROR(INDEX(المكونات!$B$2:$B$500,MATCH($B1020,المكونات!$A$2:$A$500,0)),"")</f>
        <v>كجم</v>
      </c>
      <c r="E1020" s="67" t="n">
        <f aca="false">IFERROR(INDEX(المكونات!$C$2:$C$500,MATCH($B1020,المكونات!$A$2:$A$500,0)),"")</f>
        <v>95</v>
      </c>
      <c r="F1020" s="68" t="n">
        <f aca="false">IFERROR($C1020*$E1020,"")</f>
        <v>1.9</v>
      </c>
    </row>
    <row r="1021" customFormat="false" ht="15" hidden="false" customHeight="true" outlineLevel="0" collapsed="false">
      <c r="A1021" s="65" t="s">
        <v>496</v>
      </c>
      <c r="B1021" s="65" t="s">
        <v>176</v>
      </c>
      <c r="C1021" s="65" t="n">
        <v>1</v>
      </c>
      <c r="D1021" s="66" t="str">
        <f aca="false">IFERROR(INDEX(المكونات!$B$2:$B$500,MATCH($B1021,المكونات!$A$2:$A$500,0)),"")</f>
        <v>قطعة</v>
      </c>
      <c r="E1021" s="67" t="n">
        <f aca="false">IFERROR(INDEX(المكونات!$C$2:$C$500,MATCH($B1021,المكونات!$A$2:$A$500,0)),"")</f>
        <v>17.5</v>
      </c>
      <c r="F1021" s="68" t="n">
        <f aca="false">IFERROR($C1021*$E1021,"")</f>
        <v>17.5</v>
      </c>
    </row>
    <row r="1022" customFormat="false" ht="15" hidden="false" customHeight="true" outlineLevel="0" collapsed="false">
      <c r="A1022" s="65" t="s">
        <v>496</v>
      </c>
      <c r="B1022" s="65" t="s">
        <v>270</v>
      </c>
      <c r="C1022" s="65" t="n">
        <v>1</v>
      </c>
      <c r="D1022" s="66" t="str">
        <f aca="false">IFERROR(INDEX(المكونات!$B$2:$B$500,MATCH($B1022,المكونات!$A$2:$A$500,0)),"")</f>
        <v>قطعة</v>
      </c>
      <c r="E1022" s="67" t="n">
        <f aca="false">IFERROR(INDEX(المكونات!$C$2:$C$500,MATCH($B1022,المكونات!$A$2:$A$500,0)),"")</f>
        <v>4.5</v>
      </c>
      <c r="F1022" s="68" t="n">
        <f aca="false">IFERROR($C1022*$E1022,"")</f>
        <v>4.5</v>
      </c>
    </row>
    <row r="1023" customFormat="false" ht="15" hidden="false" customHeight="true" outlineLevel="0" collapsed="false">
      <c r="A1023" s="65" t="s">
        <v>496</v>
      </c>
      <c r="B1023" s="65" t="s">
        <v>290</v>
      </c>
      <c r="C1023" s="65" t="n">
        <v>2</v>
      </c>
      <c r="D1023" s="66" t="str">
        <f aca="false">IFERROR(INDEX(المكونات!$B$2:$B$500,MATCH($B1023,المكونات!$A$2:$A$500,0)),"")</f>
        <v>قطعة</v>
      </c>
      <c r="E1023" s="67" t="n">
        <f aca="false">IFERROR(INDEX(المكونات!$C$2:$C$500,MATCH($B1023,المكونات!$A$2:$A$500,0)),"")</f>
        <v>0.3</v>
      </c>
      <c r="F1023" s="68" t="n">
        <f aca="false">IFERROR($C1023*$E1023,"")</f>
        <v>0.6</v>
      </c>
    </row>
    <row r="1024" customFormat="false" ht="15" hidden="false" customHeight="true" outlineLevel="0" collapsed="false">
      <c r="A1024" s="65" t="s">
        <v>496</v>
      </c>
      <c r="B1024" s="65" t="s">
        <v>319</v>
      </c>
      <c r="C1024" s="65" t="n">
        <v>1</v>
      </c>
      <c r="D1024" s="66" t="str">
        <f aca="false">IFERROR(INDEX(المكونات!$B$2:$B$500,MATCH($B1024,المكونات!$A$2:$A$500,0)),"")</f>
        <v>قطعة (ورقة)</v>
      </c>
      <c r="E1024" s="67" t="n">
        <f aca="false">IFERROR(INDEX(المكونات!$C$2:$C$500,MATCH($B1024,المكونات!$A$2:$A$500,0)),"")</f>
        <v>0.3665</v>
      </c>
      <c r="F1024" s="68" t="n">
        <f aca="false">IFERROR($C1024*$E1024,"")</f>
        <v>0.3665</v>
      </c>
    </row>
    <row r="1025" customFormat="false" ht="15" hidden="false" customHeight="true" outlineLevel="0" collapsed="false">
      <c r="A1025" s="65" t="s">
        <v>496</v>
      </c>
      <c r="B1025" s="65" t="s">
        <v>133</v>
      </c>
      <c r="C1025" s="65" t="n">
        <v>1</v>
      </c>
      <c r="D1025" s="66" t="str">
        <f aca="false">IFERROR(INDEX(المكونات!$B$2:$B$500,MATCH($B1025,المكونات!$A$2:$A$500,0)),"")</f>
        <v>قطعة (كيس)</v>
      </c>
      <c r="E1025" s="67" t="n">
        <f aca="false">IFERROR(INDEX(المكونات!$C$2:$C$500,MATCH($B1025,المكونات!$A$2:$A$500,0)),"")</f>
        <v>1.4</v>
      </c>
      <c r="F1025" s="68" t="n">
        <f aca="false">IFERROR($C1025*$E1025,"")</f>
        <v>1.4</v>
      </c>
    </row>
    <row r="1026" customFormat="false" ht="15" hidden="false" customHeight="true" outlineLevel="0" collapsed="false">
      <c r="A1026" s="65" t="s">
        <v>496</v>
      </c>
      <c r="B1026" s="65" t="s">
        <v>293</v>
      </c>
      <c r="C1026" s="65" t="n">
        <v>1</v>
      </c>
      <c r="D1026" s="66" t="str">
        <f aca="false">IFERROR(INDEX(المكونات!$B$2:$B$500,MATCH($B1026,المكونات!$A$2:$A$500,0)),"")</f>
        <v>قطعة</v>
      </c>
      <c r="E1026" s="67" t="n">
        <f aca="false">IFERROR(INDEX(المكونات!$C$2:$C$500,MATCH($B1026,المكونات!$A$2:$A$500,0)),"")</f>
        <v>0.5</v>
      </c>
      <c r="F1026" s="68" t="n">
        <f aca="false">IFERROR($C1026*$E1026,"")</f>
        <v>0.5</v>
      </c>
    </row>
    <row r="1027" customFormat="false" ht="15" hidden="false" customHeight="true" outlineLevel="0" collapsed="false">
      <c r="A1027" s="65" t="s">
        <v>496</v>
      </c>
      <c r="B1027" s="65" t="s">
        <v>211</v>
      </c>
      <c r="C1027" s="65" t="n">
        <v>2</v>
      </c>
      <c r="D1027" s="66" t="str">
        <f aca="false">IFERROR(INDEX(المكونات!$B$2:$B$500,MATCH($B1027,المكونات!$A$2:$A$500,0)),"")</f>
        <v>قطعة (جلفز)</v>
      </c>
      <c r="E1027" s="67" t="n">
        <f aca="false">IFERROR(INDEX(المكونات!$C$2:$C$500,MATCH($B1027,المكونات!$A$2:$A$500,0)),"")</f>
        <v>0.18</v>
      </c>
      <c r="F1027" s="68" t="n">
        <f aca="false">IFERROR($C1027*$E1027,"")</f>
        <v>0.36</v>
      </c>
    </row>
    <row r="1028" customFormat="false" ht="15" hidden="false" customHeight="true" outlineLevel="0" collapsed="false">
      <c r="A1028" s="65" t="s">
        <v>496</v>
      </c>
      <c r="B1028" s="65" t="s">
        <v>322</v>
      </c>
      <c r="C1028" s="65" t="n">
        <v>1</v>
      </c>
      <c r="D1028" s="66" t="str">
        <f aca="false">IFERROR(INDEX(المكونات!$B$2:$B$500,MATCH($B1028,المكونات!$A$2:$A$500,0)),"")</f>
        <v>قطعة (كيس)</v>
      </c>
      <c r="E1028" s="67" t="n">
        <f aca="false">IFERROR(INDEX(المكونات!$C$2:$C$500,MATCH($B1028,المكونات!$A$2:$A$500,0)),"")</f>
        <v>1</v>
      </c>
      <c r="F1028" s="68" t="n">
        <f aca="false">IFERROR($C1028*$E1028,"")</f>
        <v>1</v>
      </c>
    </row>
    <row r="1029" customFormat="false" ht="15" hidden="false" customHeight="true" outlineLevel="0" collapsed="false">
      <c r="A1029" s="65" t="s">
        <v>496</v>
      </c>
      <c r="B1029" s="65" t="s">
        <v>338</v>
      </c>
      <c r="C1029" s="65" t="n">
        <v>0.14</v>
      </c>
      <c r="D1029" s="66" t="str">
        <f aca="false">IFERROR(INDEX(المكونات!$B$2:$B$500,MATCH($B1029,المكونات!$A$2:$A$500,0)),"")</f>
        <v>كجم</v>
      </c>
      <c r="E1029" s="67" t="n">
        <f aca="false">IFERROR(INDEX(المكونات!$C$2:$C$500,MATCH($B1029,المكونات!$A$2:$A$500,0)),"")</f>
        <v>219.23</v>
      </c>
      <c r="F1029" s="68" t="n">
        <f aca="false">IFERROR($C1029*$E1029,"")</f>
        <v>30.6922</v>
      </c>
    </row>
    <row r="1030" customFormat="false" ht="15" hidden="false" customHeight="true" outlineLevel="0" collapsed="false">
      <c r="A1030" s="65" t="s">
        <v>518</v>
      </c>
      <c r="B1030" s="65" t="s">
        <v>262</v>
      </c>
      <c r="C1030" s="65" t="n">
        <v>0.3</v>
      </c>
      <c r="D1030" s="66" t="str">
        <f aca="false">IFERROR(INDEX(المكونات!$B$2:$B$500,MATCH($B1030,المكونات!$A$2:$A$500,0)),"")</f>
        <v>كجم</v>
      </c>
      <c r="E1030" s="67" t="n">
        <f aca="false">IFERROR(INDEX(المكونات!$C$2:$C$500,MATCH($B1030,المكونات!$A$2:$A$500,0)),"")</f>
        <v>22</v>
      </c>
      <c r="F1030" s="68" t="n">
        <f aca="false">IFERROR($C1030*$E1030,"")</f>
        <v>6.6</v>
      </c>
    </row>
    <row r="1031" customFormat="false" ht="15" hidden="false" customHeight="true" outlineLevel="0" collapsed="false">
      <c r="A1031" s="65" t="s">
        <v>518</v>
      </c>
      <c r="B1031" s="65" t="s">
        <v>250</v>
      </c>
      <c r="C1031" s="65" t="n">
        <v>0.06</v>
      </c>
      <c r="D1031" s="66" t="str">
        <f aca="false">IFERROR(INDEX(المكونات!$B$2:$B$500,MATCH($B1031,المكونات!$A$2:$A$500,0)),"")</f>
        <v>كجم</v>
      </c>
      <c r="E1031" s="67" t="n">
        <f aca="false">IFERROR(INDEX(المكونات!$C$2:$C$500,MATCH($B1031,المكونات!$A$2:$A$500,0)),"")</f>
        <v>32</v>
      </c>
      <c r="F1031" s="68" t="n">
        <f aca="false">IFERROR($C1031*$E1031,"")</f>
        <v>1.92</v>
      </c>
    </row>
    <row r="1032" customFormat="false" ht="15" hidden="false" customHeight="true" outlineLevel="0" collapsed="false">
      <c r="A1032" s="65" t="s">
        <v>518</v>
      </c>
      <c r="B1032" s="65" t="s">
        <v>260</v>
      </c>
      <c r="C1032" s="65" t="n">
        <v>0.045</v>
      </c>
      <c r="D1032" s="66" t="str">
        <f aca="false">IFERROR(INDEX(المكونات!$B$2:$B$500,MATCH($B1032,المكونات!$A$2:$A$500,0)),"")</f>
        <v>كجم</v>
      </c>
      <c r="E1032" s="67" t="n">
        <f aca="false">IFERROR(INDEX(المكونات!$C$2:$C$500,MATCH($B1032,المكونات!$A$2:$A$500,0)),"")</f>
        <v>21</v>
      </c>
      <c r="F1032" s="68" t="n">
        <f aca="false">IFERROR($C1032*$E1032,"")</f>
        <v>0.945</v>
      </c>
    </row>
    <row r="1033" customFormat="false" ht="15" hidden="false" customHeight="true" outlineLevel="0" collapsed="false">
      <c r="A1033" s="65" t="s">
        <v>518</v>
      </c>
      <c r="B1033" s="65" t="s">
        <v>284</v>
      </c>
      <c r="C1033" s="65" t="n">
        <v>0.03</v>
      </c>
      <c r="D1033" s="66" t="str">
        <f aca="false">IFERROR(INDEX(المكونات!$B$2:$B$500,MATCH($B1033,المكونات!$A$2:$A$500,0)),"")</f>
        <v>كجم</v>
      </c>
      <c r="E1033" s="67" t="n">
        <f aca="false">IFERROR(INDEX(المكونات!$C$2:$C$500,MATCH($B1033,المكونات!$A$2:$A$500,0)),"")</f>
        <v>27</v>
      </c>
      <c r="F1033" s="68" t="n">
        <f aca="false">IFERROR($C1033*$E1033,"")</f>
        <v>0.81</v>
      </c>
    </row>
    <row r="1034" customFormat="false" ht="15" hidden="false" customHeight="true" outlineLevel="0" collapsed="false">
      <c r="A1034" s="65" t="s">
        <v>518</v>
      </c>
      <c r="B1034" s="65" t="s">
        <v>227</v>
      </c>
      <c r="C1034" s="65" t="n">
        <v>0.03</v>
      </c>
      <c r="D1034" s="66" t="str">
        <f aca="false">IFERROR(INDEX(المكونات!$B$2:$B$500,MATCH($B1034,المكونات!$A$2:$A$500,0)),"")</f>
        <v>كجم</v>
      </c>
      <c r="E1034" s="67" t="n">
        <f aca="false">IFERROR(INDEX(المكونات!$C$2:$C$500,MATCH($B1034,المكونات!$A$2:$A$500,0)),"")</f>
        <v>95</v>
      </c>
      <c r="F1034" s="68" t="n">
        <f aca="false">IFERROR($C1034*$E1034,"")</f>
        <v>2.85</v>
      </c>
    </row>
    <row r="1035" customFormat="false" ht="15" hidden="false" customHeight="true" outlineLevel="0" collapsed="false">
      <c r="A1035" s="65" t="s">
        <v>518</v>
      </c>
      <c r="B1035" s="65" t="s">
        <v>178</v>
      </c>
      <c r="C1035" s="65" t="n">
        <v>1</v>
      </c>
      <c r="D1035" s="66" t="str">
        <f aca="false">IFERROR(INDEX(المكونات!$B$2:$B$500,MATCH($B1035,المكونات!$A$2:$A$500,0)),"")</f>
        <v>قطعة</v>
      </c>
      <c r="E1035" s="67" t="n">
        <f aca="false">IFERROR(INDEX(المكونات!$C$2:$C$500,MATCH($B1035,المكونات!$A$2:$A$500,0)),"")</f>
        <v>25</v>
      </c>
      <c r="F1035" s="68" t="n">
        <f aca="false">IFERROR($C1035*$E1035,"")</f>
        <v>25</v>
      </c>
    </row>
    <row r="1036" customFormat="false" ht="15" hidden="false" customHeight="true" outlineLevel="0" collapsed="false">
      <c r="A1036" s="65" t="s">
        <v>518</v>
      </c>
      <c r="B1036" s="65" t="s">
        <v>268</v>
      </c>
      <c r="C1036" s="65" t="n">
        <v>1</v>
      </c>
      <c r="D1036" s="66" t="str">
        <f aca="false">IFERROR(INDEX(المكونات!$B$2:$B$500,MATCH($B1036,المكونات!$A$2:$A$500,0)),"")</f>
        <v>قطعة</v>
      </c>
      <c r="E1036" s="67" t="n">
        <f aca="false">IFERROR(INDEX(المكونات!$C$2:$C$500,MATCH($B1036,المكونات!$A$2:$A$500,0)),"")</f>
        <v>5.5</v>
      </c>
      <c r="F1036" s="68" t="n">
        <f aca="false">IFERROR($C1036*$E1036,"")</f>
        <v>5.5</v>
      </c>
    </row>
    <row r="1037" customFormat="false" ht="15" hidden="false" customHeight="true" outlineLevel="0" collapsed="false">
      <c r="A1037" s="65" t="s">
        <v>518</v>
      </c>
      <c r="B1037" s="65" t="s">
        <v>290</v>
      </c>
      <c r="C1037" s="65" t="n">
        <v>3</v>
      </c>
      <c r="D1037" s="66" t="str">
        <f aca="false">IFERROR(INDEX(المكونات!$B$2:$B$500,MATCH($B1037,المكونات!$A$2:$A$500,0)),"")</f>
        <v>قطعة</v>
      </c>
      <c r="E1037" s="67" t="n">
        <f aca="false">IFERROR(INDEX(المكونات!$C$2:$C$500,MATCH($B1037,المكونات!$A$2:$A$500,0)),"")</f>
        <v>0.3</v>
      </c>
      <c r="F1037" s="68" t="n">
        <f aca="false">IFERROR($C1037*$E1037,"")</f>
        <v>0.9</v>
      </c>
    </row>
    <row r="1038" customFormat="false" ht="15" hidden="false" customHeight="true" outlineLevel="0" collapsed="false">
      <c r="A1038" s="65" t="s">
        <v>518</v>
      </c>
      <c r="B1038" s="65" t="s">
        <v>319</v>
      </c>
      <c r="C1038" s="65" t="n">
        <v>1</v>
      </c>
      <c r="D1038" s="66" t="str">
        <f aca="false">IFERROR(INDEX(المكونات!$B$2:$B$500,MATCH($B1038,المكونات!$A$2:$A$500,0)),"")</f>
        <v>قطعة (ورقة)</v>
      </c>
      <c r="E1038" s="67" t="n">
        <f aca="false">IFERROR(INDEX(المكونات!$C$2:$C$500,MATCH($B1038,المكونات!$A$2:$A$500,0)),"")</f>
        <v>0.3665</v>
      </c>
      <c r="F1038" s="68" t="n">
        <f aca="false">IFERROR($C1038*$E1038,"")</f>
        <v>0.3665</v>
      </c>
    </row>
    <row r="1039" customFormat="false" ht="15" hidden="false" customHeight="true" outlineLevel="0" collapsed="false">
      <c r="A1039" s="65" t="s">
        <v>518</v>
      </c>
      <c r="B1039" s="65" t="s">
        <v>133</v>
      </c>
      <c r="C1039" s="65" t="n">
        <v>1</v>
      </c>
      <c r="D1039" s="66" t="str">
        <f aca="false">IFERROR(INDEX(المكونات!$B$2:$B$500,MATCH($B1039,المكونات!$A$2:$A$500,0)),"")</f>
        <v>قطعة (كيس)</v>
      </c>
      <c r="E1039" s="67" t="n">
        <f aca="false">IFERROR(INDEX(المكونات!$C$2:$C$500,MATCH($B1039,المكونات!$A$2:$A$500,0)),"")</f>
        <v>1.4</v>
      </c>
      <c r="F1039" s="68" t="n">
        <f aca="false">IFERROR($C1039*$E1039,"")</f>
        <v>1.4</v>
      </c>
    </row>
    <row r="1040" customFormat="false" ht="15" hidden="false" customHeight="true" outlineLevel="0" collapsed="false">
      <c r="A1040" s="65" t="s">
        <v>518</v>
      </c>
      <c r="B1040" s="65" t="s">
        <v>293</v>
      </c>
      <c r="C1040" s="65" t="n">
        <v>1</v>
      </c>
      <c r="D1040" s="66" t="str">
        <f aca="false">IFERROR(INDEX(المكونات!$B$2:$B$500,MATCH($B1040,المكونات!$A$2:$A$500,0)),"")</f>
        <v>قطعة</v>
      </c>
      <c r="E1040" s="67" t="n">
        <f aca="false">IFERROR(INDEX(المكونات!$C$2:$C$500,MATCH($B1040,المكونات!$A$2:$A$500,0)),"")</f>
        <v>0.5</v>
      </c>
      <c r="F1040" s="68" t="n">
        <f aca="false">IFERROR($C1040*$E1040,"")</f>
        <v>0.5</v>
      </c>
    </row>
    <row r="1041" customFormat="false" ht="15" hidden="false" customHeight="true" outlineLevel="0" collapsed="false">
      <c r="A1041" s="65" t="s">
        <v>518</v>
      </c>
      <c r="B1041" s="65" t="s">
        <v>211</v>
      </c>
      <c r="C1041" s="65" t="n">
        <v>2</v>
      </c>
      <c r="D1041" s="66" t="str">
        <f aca="false">IFERROR(INDEX(المكونات!$B$2:$B$500,MATCH($B1041,المكونات!$A$2:$A$500,0)),"")</f>
        <v>قطعة (جلفز)</v>
      </c>
      <c r="E1041" s="67" t="n">
        <f aca="false">IFERROR(INDEX(المكونات!$C$2:$C$500,MATCH($B1041,المكونات!$A$2:$A$500,0)),"")</f>
        <v>0.18</v>
      </c>
      <c r="F1041" s="68" t="n">
        <f aca="false">IFERROR($C1041*$E1041,"")</f>
        <v>0.36</v>
      </c>
    </row>
    <row r="1042" customFormat="false" ht="15" hidden="false" customHeight="true" outlineLevel="0" collapsed="false">
      <c r="A1042" s="65" t="s">
        <v>518</v>
      </c>
      <c r="B1042" s="65" t="s">
        <v>322</v>
      </c>
      <c r="C1042" s="65" t="n">
        <v>1</v>
      </c>
      <c r="D1042" s="66" t="str">
        <f aca="false">IFERROR(INDEX(المكونات!$B$2:$B$500,MATCH($B1042,المكونات!$A$2:$A$500,0)),"")</f>
        <v>قطعة (كيس)</v>
      </c>
      <c r="E1042" s="67" t="n">
        <f aca="false">IFERROR(INDEX(المكونات!$C$2:$C$500,MATCH($B1042,المكونات!$A$2:$A$500,0)),"")</f>
        <v>1</v>
      </c>
      <c r="F1042" s="68" t="n">
        <f aca="false">IFERROR($C1042*$E1042,"")</f>
        <v>1</v>
      </c>
    </row>
    <row r="1043" customFormat="false" ht="15" hidden="false" customHeight="true" outlineLevel="0" collapsed="false">
      <c r="A1043" s="65" t="s">
        <v>518</v>
      </c>
      <c r="B1043" s="65" t="s">
        <v>338</v>
      </c>
      <c r="C1043" s="65" t="n">
        <v>0.21</v>
      </c>
      <c r="D1043" s="66" t="str">
        <f aca="false">IFERROR(INDEX(المكونات!$B$2:$B$500,MATCH($B1043,المكونات!$A$2:$A$500,0)),"")</f>
        <v>كجم</v>
      </c>
      <c r="E1043" s="67" t="n">
        <f aca="false">IFERROR(INDEX(المكونات!$C$2:$C$500,MATCH($B1043,المكونات!$A$2:$A$500,0)),"")</f>
        <v>219.23</v>
      </c>
      <c r="F1043" s="68" t="n">
        <f aca="false">IFERROR($C1043*$E1043,"")</f>
        <v>46.0383</v>
      </c>
    </row>
    <row r="1044" customFormat="false" ht="15" hidden="false" customHeight="true" outlineLevel="0" collapsed="false">
      <c r="A1044" s="65" t="s">
        <v>474</v>
      </c>
      <c r="B1044" s="65" t="s">
        <v>262</v>
      </c>
      <c r="C1044" s="65" t="n">
        <v>0.22</v>
      </c>
      <c r="D1044" s="66" t="str">
        <f aca="false">IFERROR(INDEX(المكونات!$B$2:$B$500,MATCH($B1044,المكونات!$A$2:$A$500,0)),"")</f>
        <v>كجم</v>
      </c>
      <c r="E1044" s="67" t="n">
        <f aca="false">IFERROR(INDEX(المكونات!$C$2:$C$500,MATCH($B1044,المكونات!$A$2:$A$500,0)),"")</f>
        <v>22</v>
      </c>
      <c r="F1044" s="68" t="n">
        <f aca="false">IFERROR($C1044*$E1044,"")</f>
        <v>4.84</v>
      </c>
    </row>
    <row r="1045" customFormat="false" ht="15" hidden="false" customHeight="true" outlineLevel="0" collapsed="false">
      <c r="A1045" s="65" t="s">
        <v>474</v>
      </c>
      <c r="B1045" s="65" t="s">
        <v>250</v>
      </c>
      <c r="C1045" s="65" t="n">
        <v>0.04</v>
      </c>
      <c r="D1045" s="66" t="str">
        <f aca="false">IFERROR(INDEX(المكونات!$B$2:$B$500,MATCH($B1045,المكونات!$A$2:$A$500,0)),"")</f>
        <v>كجم</v>
      </c>
      <c r="E1045" s="67" t="n">
        <f aca="false">IFERROR(INDEX(المكونات!$C$2:$C$500,MATCH($B1045,المكونات!$A$2:$A$500,0)),"")</f>
        <v>32</v>
      </c>
      <c r="F1045" s="68" t="n">
        <f aca="false">IFERROR($C1045*$E1045,"")</f>
        <v>1.28</v>
      </c>
    </row>
    <row r="1046" customFormat="false" ht="15" hidden="false" customHeight="true" outlineLevel="0" collapsed="false">
      <c r="A1046" s="65" t="s">
        <v>474</v>
      </c>
      <c r="B1046" s="65" t="s">
        <v>260</v>
      </c>
      <c r="C1046" s="65" t="n">
        <v>0.03</v>
      </c>
      <c r="D1046" s="66" t="str">
        <f aca="false">IFERROR(INDEX(المكونات!$B$2:$B$500,MATCH($B1046,المكونات!$A$2:$A$500,0)),"")</f>
        <v>كجم</v>
      </c>
      <c r="E1046" s="67" t="n">
        <f aca="false">IFERROR(INDEX(المكونات!$C$2:$C$500,MATCH($B1046,المكونات!$A$2:$A$500,0)),"")</f>
        <v>21</v>
      </c>
      <c r="F1046" s="68" t="n">
        <f aca="false">IFERROR($C1046*$E1046,"")</f>
        <v>0.63</v>
      </c>
    </row>
    <row r="1047" customFormat="false" ht="15" hidden="false" customHeight="true" outlineLevel="0" collapsed="false">
      <c r="A1047" s="65" t="s">
        <v>474</v>
      </c>
      <c r="B1047" s="65" t="s">
        <v>284</v>
      </c>
      <c r="C1047" s="65" t="n">
        <v>0.02</v>
      </c>
      <c r="D1047" s="66" t="str">
        <f aca="false">IFERROR(INDEX(المكونات!$B$2:$B$500,MATCH($B1047,المكونات!$A$2:$A$500,0)),"")</f>
        <v>كجم</v>
      </c>
      <c r="E1047" s="67" t="n">
        <f aca="false">IFERROR(INDEX(المكونات!$C$2:$C$500,MATCH($B1047,المكونات!$A$2:$A$500,0)),"")</f>
        <v>27</v>
      </c>
      <c r="F1047" s="68" t="n">
        <f aca="false">IFERROR($C1047*$E1047,"")</f>
        <v>0.54</v>
      </c>
    </row>
    <row r="1048" customFormat="false" ht="15" hidden="false" customHeight="true" outlineLevel="0" collapsed="false">
      <c r="A1048" s="65" t="s">
        <v>474</v>
      </c>
      <c r="B1048" s="65" t="s">
        <v>227</v>
      </c>
      <c r="C1048" s="65" t="n">
        <v>0.02</v>
      </c>
      <c r="D1048" s="66" t="str">
        <f aca="false">IFERROR(INDEX(المكونات!$B$2:$B$500,MATCH($B1048,المكونات!$A$2:$A$500,0)),"")</f>
        <v>كجم</v>
      </c>
      <c r="E1048" s="67" t="n">
        <f aca="false">IFERROR(INDEX(المكونات!$C$2:$C$500,MATCH($B1048,المكونات!$A$2:$A$500,0)),"")</f>
        <v>95</v>
      </c>
      <c r="F1048" s="68" t="n">
        <f aca="false">IFERROR($C1048*$E1048,"")</f>
        <v>1.9</v>
      </c>
    </row>
    <row r="1049" customFormat="false" ht="15" hidden="false" customHeight="true" outlineLevel="0" collapsed="false">
      <c r="A1049" s="65" t="s">
        <v>474</v>
      </c>
      <c r="B1049" s="65" t="s">
        <v>176</v>
      </c>
      <c r="C1049" s="65" t="n">
        <v>1</v>
      </c>
      <c r="D1049" s="66" t="str">
        <f aca="false">IFERROR(INDEX(المكونات!$B$2:$B$500,MATCH($B1049,المكونات!$A$2:$A$500,0)),"")</f>
        <v>قطعة</v>
      </c>
      <c r="E1049" s="67" t="n">
        <f aca="false">IFERROR(INDEX(المكونات!$C$2:$C$500,MATCH($B1049,المكونات!$A$2:$A$500,0)),"")</f>
        <v>17.5</v>
      </c>
      <c r="F1049" s="68" t="n">
        <f aca="false">IFERROR($C1049*$E1049,"")</f>
        <v>17.5</v>
      </c>
    </row>
    <row r="1050" customFormat="false" ht="15" hidden="false" customHeight="true" outlineLevel="0" collapsed="false">
      <c r="A1050" s="65" t="s">
        <v>474</v>
      </c>
      <c r="B1050" s="65" t="s">
        <v>270</v>
      </c>
      <c r="C1050" s="65" t="n">
        <v>1</v>
      </c>
      <c r="D1050" s="66" t="str">
        <f aca="false">IFERROR(INDEX(المكونات!$B$2:$B$500,MATCH($B1050,المكونات!$A$2:$A$500,0)),"")</f>
        <v>قطعة</v>
      </c>
      <c r="E1050" s="67" t="n">
        <f aca="false">IFERROR(INDEX(المكونات!$C$2:$C$500,MATCH($B1050,المكونات!$A$2:$A$500,0)),"")</f>
        <v>4.5</v>
      </c>
      <c r="F1050" s="68" t="n">
        <f aca="false">IFERROR($C1050*$E1050,"")</f>
        <v>4.5</v>
      </c>
    </row>
    <row r="1051" customFormat="false" ht="15" hidden="false" customHeight="true" outlineLevel="0" collapsed="false">
      <c r="A1051" s="65" t="s">
        <v>474</v>
      </c>
      <c r="B1051" s="65" t="s">
        <v>290</v>
      </c>
      <c r="C1051" s="65" t="n">
        <v>2</v>
      </c>
      <c r="D1051" s="66" t="str">
        <f aca="false">IFERROR(INDEX(المكونات!$B$2:$B$500,MATCH($B1051,المكونات!$A$2:$A$500,0)),"")</f>
        <v>قطعة</v>
      </c>
      <c r="E1051" s="67" t="n">
        <f aca="false">IFERROR(INDEX(المكونات!$C$2:$C$500,MATCH($B1051,المكونات!$A$2:$A$500,0)),"")</f>
        <v>0.3</v>
      </c>
      <c r="F1051" s="68" t="n">
        <f aca="false">IFERROR($C1051*$E1051,"")</f>
        <v>0.6</v>
      </c>
    </row>
    <row r="1052" customFormat="false" ht="15" hidden="false" customHeight="true" outlineLevel="0" collapsed="false">
      <c r="A1052" s="65" t="s">
        <v>474</v>
      </c>
      <c r="B1052" s="65" t="s">
        <v>319</v>
      </c>
      <c r="C1052" s="65" t="n">
        <v>1</v>
      </c>
      <c r="D1052" s="66" t="str">
        <f aca="false">IFERROR(INDEX(المكونات!$B$2:$B$500,MATCH($B1052,المكونات!$A$2:$A$500,0)),"")</f>
        <v>قطعة (ورقة)</v>
      </c>
      <c r="E1052" s="67" t="n">
        <f aca="false">IFERROR(INDEX(المكونات!$C$2:$C$500,MATCH($B1052,المكونات!$A$2:$A$500,0)),"")</f>
        <v>0.3665</v>
      </c>
      <c r="F1052" s="68" t="n">
        <f aca="false">IFERROR($C1052*$E1052,"")</f>
        <v>0.3665</v>
      </c>
    </row>
    <row r="1053" customFormat="false" ht="15" hidden="false" customHeight="true" outlineLevel="0" collapsed="false">
      <c r="A1053" s="65" t="s">
        <v>474</v>
      </c>
      <c r="B1053" s="65" t="s">
        <v>133</v>
      </c>
      <c r="C1053" s="65" t="n">
        <v>1</v>
      </c>
      <c r="D1053" s="66" t="str">
        <f aca="false">IFERROR(INDEX(المكونات!$B$2:$B$500,MATCH($B1053,المكونات!$A$2:$A$500,0)),"")</f>
        <v>قطعة (كيس)</v>
      </c>
      <c r="E1053" s="67" t="n">
        <f aca="false">IFERROR(INDEX(المكونات!$C$2:$C$500,MATCH($B1053,المكونات!$A$2:$A$500,0)),"")</f>
        <v>1.4</v>
      </c>
      <c r="F1053" s="68" t="n">
        <f aca="false">IFERROR($C1053*$E1053,"")</f>
        <v>1.4</v>
      </c>
    </row>
    <row r="1054" customFormat="false" ht="15" hidden="false" customHeight="true" outlineLevel="0" collapsed="false">
      <c r="A1054" s="65" t="s">
        <v>474</v>
      </c>
      <c r="B1054" s="65" t="s">
        <v>293</v>
      </c>
      <c r="C1054" s="65" t="n">
        <v>1</v>
      </c>
      <c r="D1054" s="66" t="str">
        <f aca="false">IFERROR(INDEX(المكونات!$B$2:$B$500,MATCH($B1054,المكونات!$A$2:$A$500,0)),"")</f>
        <v>قطعة</v>
      </c>
      <c r="E1054" s="67" t="n">
        <f aca="false">IFERROR(INDEX(المكونات!$C$2:$C$500,MATCH($B1054,المكونات!$A$2:$A$500,0)),"")</f>
        <v>0.5</v>
      </c>
      <c r="F1054" s="68" t="n">
        <f aca="false">IFERROR($C1054*$E1054,"")</f>
        <v>0.5</v>
      </c>
    </row>
    <row r="1055" customFormat="false" ht="15" hidden="false" customHeight="true" outlineLevel="0" collapsed="false">
      <c r="A1055" s="65" t="s">
        <v>474</v>
      </c>
      <c r="B1055" s="65" t="s">
        <v>211</v>
      </c>
      <c r="C1055" s="65" t="n">
        <v>2</v>
      </c>
      <c r="D1055" s="66" t="str">
        <f aca="false">IFERROR(INDEX(المكونات!$B$2:$B$500,MATCH($B1055,المكونات!$A$2:$A$500,0)),"")</f>
        <v>قطعة (جلفز)</v>
      </c>
      <c r="E1055" s="67" t="n">
        <f aca="false">IFERROR(INDEX(المكونات!$C$2:$C$500,MATCH($B1055,المكونات!$A$2:$A$500,0)),"")</f>
        <v>0.18</v>
      </c>
      <c r="F1055" s="68" t="n">
        <f aca="false">IFERROR($C1055*$E1055,"")</f>
        <v>0.36</v>
      </c>
    </row>
    <row r="1056" customFormat="false" ht="15" hidden="false" customHeight="true" outlineLevel="0" collapsed="false">
      <c r="A1056" s="65" t="s">
        <v>474</v>
      </c>
      <c r="B1056" s="65" t="s">
        <v>322</v>
      </c>
      <c r="C1056" s="65" t="n">
        <v>1</v>
      </c>
      <c r="D1056" s="66" t="str">
        <f aca="false">IFERROR(INDEX(المكونات!$B$2:$B$500,MATCH($B1056,المكونات!$A$2:$A$500,0)),"")</f>
        <v>قطعة (كيس)</v>
      </c>
      <c r="E1056" s="67" t="n">
        <f aca="false">IFERROR(INDEX(المكونات!$C$2:$C$500,MATCH($B1056,المكونات!$A$2:$A$500,0)),"")</f>
        <v>1</v>
      </c>
      <c r="F1056" s="68" t="n">
        <f aca="false">IFERROR($C1056*$E1056,"")</f>
        <v>1</v>
      </c>
    </row>
    <row r="1057" customFormat="false" ht="15" hidden="false" customHeight="true" outlineLevel="0" collapsed="false">
      <c r="A1057" s="65" t="s">
        <v>474</v>
      </c>
      <c r="B1057" s="65" t="s">
        <v>207</v>
      </c>
      <c r="C1057" s="65" t="n">
        <v>0.1</v>
      </c>
      <c r="D1057" s="66" t="str">
        <f aca="false">IFERROR(INDEX(المكونات!$B$2:$B$500,MATCH($B1057,المكونات!$A$2:$A$500,0)),"")</f>
        <v>كجم</v>
      </c>
      <c r="E1057" s="67" t="n">
        <f aca="false">IFERROR(INDEX(المكونات!$C$2:$C$500,MATCH($B1057,المكونات!$A$2:$A$500,0)),"")</f>
        <v>105</v>
      </c>
      <c r="F1057" s="68" t="n">
        <f aca="false">IFERROR($C1057*$E1057,"")</f>
        <v>10.5</v>
      </c>
    </row>
    <row r="1058" customFormat="false" ht="15" hidden="false" customHeight="true" outlineLevel="0" collapsed="false">
      <c r="A1058" s="65" t="s">
        <v>500</v>
      </c>
      <c r="B1058" s="65" t="s">
        <v>262</v>
      </c>
      <c r="C1058" s="65" t="n">
        <v>0.3</v>
      </c>
      <c r="D1058" s="66" t="str">
        <f aca="false">IFERROR(INDEX(المكونات!$B$2:$B$500,MATCH($B1058,المكونات!$A$2:$A$500,0)),"")</f>
        <v>كجم</v>
      </c>
      <c r="E1058" s="67" t="n">
        <f aca="false">IFERROR(INDEX(المكونات!$C$2:$C$500,MATCH($B1058,المكونات!$A$2:$A$500,0)),"")</f>
        <v>22</v>
      </c>
      <c r="F1058" s="68" t="n">
        <f aca="false">IFERROR($C1058*$E1058,"")</f>
        <v>6.6</v>
      </c>
    </row>
    <row r="1059" customFormat="false" ht="15" hidden="false" customHeight="true" outlineLevel="0" collapsed="false">
      <c r="A1059" s="65" t="s">
        <v>500</v>
      </c>
      <c r="B1059" s="65" t="s">
        <v>250</v>
      </c>
      <c r="C1059" s="65" t="n">
        <v>0.06</v>
      </c>
      <c r="D1059" s="66" t="str">
        <f aca="false">IFERROR(INDEX(المكونات!$B$2:$B$500,MATCH($B1059,المكونات!$A$2:$A$500,0)),"")</f>
        <v>كجم</v>
      </c>
      <c r="E1059" s="67" t="n">
        <f aca="false">IFERROR(INDEX(المكونات!$C$2:$C$500,MATCH($B1059,المكونات!$A$2:$A$500,0)),"")</f>
        <v>32</v>
      </c>
      <c r="F1059" s="68" t="n">
        <f aca="false">IFERROR($C1059*$E1059,"")</f>
        <v>1.92</v>
      </c>
    </row>
    <row r="1060" customFormat="false" ht="15" hidden="false" customHeight="true" outlineLevel="0" collapsed="false">
      <c r="A1060" s="65" t="s">
        <v>500</v>
      </c>
      <c r="B1060" s="65" t="s">
        <v>260</v>
      </c>
      <c r="C1060" s="65" t="n">
        <v>0.045</v>
      </c>
      <c r="D1060" s="66" t="str">
        <f aca="false">IFERROR(INDEX(المكونات!$B$2:$B$500,MATCH($B1060,المكونات!$A$2:$A$500,0)),"")</f>
        <v>كجم</v>
      </c>
      <c r="E1060" s="67" t="n">
        <f aca="false">IFERROR(INDEX(المكونات!$C$2:$C$500,MATCH($B1060,المكونات!$A$2:$A$500,0)),"")</f>
        <v>21</v>
      </c>
      <c r="F1060" s="68" t="n">
        <f aca="false">IFERROR($C1060*$E1060,"")</f>
        <v>0.945</v>
      </c>
    </row>
    <row r="1061" customFormat="false" ht="15" hidden="false" customHeight="true" outlineLevel="0" collapsed="false">
      <c r="A1061" s="65" t="s">
        <v>500</v>
      </c>
      <c r="B1061" s="65" t="s">
        <v>284</v>
      </c>
      <c r="C1061" s="65" t="n">
        <v>0.03</v>
      </c>
      <c r="D1061" s="66" t="str">
        <f aca="false">IFERROR(INDEX(المكونات!$B$2:$B$500,MATCH($B1061,المكونات!$A$2:$A$500,0)),"")</f>
        <v>كجم</v>
      </c>
      <c r="E1061" s="67" t="n">
        <f aca="false">IFERROR(INDEX(المكونات!$C$2:$C$500,MATCH($B1061,المكونات!$A$2:$A$500,0)),"")</f>
        <v>27</v>
      </c>
      <c r="F1061" s="68" t="n">
        <f aca="false">IFERROR($C1061*$E1061,"")</f>
        <v>0.81</v>
      </c>
    </row>
    <row r="1062" customFormat="false" ht="15" hidden="false" customHeight="true" outlineLevel="0" collapsed="false">
      <c r="A1062" s="65" t="s">
        <v>500</v>
      </c>
      <c r="B1062" s="65" t="s">
        <v>227</v>
      </c>
      <c r="C1062" s="65" t="n">
        <v>0.03</v>
      </c>
      <c r="D1062" s="66" t="str">
        <f aca="false">IFERROR(INDEX(المكونات!$B$2:$B$500,MATCH($B1062,المكونات!$A$2:$A$500,0)),"")</f>
        <v>كجم</v>
      </c>
      <c r="E1062" s="67" t="n">
        <f aca="false">IFERROR(INDEX(المكونات!$C$2:$C$500,MATCH($B1062,المكونات!$A$2:$A$500,0)),"")</f>
        <v>95</v>
      </c>
      <c r="F1062" s="68" t="n">
        <f aca="false">IFERROR($C1062*$E1062,"")</f>
        <v>2.85</v>
      </c>
    </row>
    <row r="1063" customFormat="false" ht="15" hidden="false" customHeight="true" outlineLevel="0" collapsed="false">
      <c r="A1063" s="65" t="s">
        <v>500</v>
      </c>
      <c r="B1063" s="65" t="s">
        <v>178</v>
      </c>
      <c r="C1063" s="65" t="n">
        <v>1</v>
      </c>
      <c r="D1063" s="66" t="str">
        <f aca="false">IFERROR(INDEX(المكونات!$B$2:$B$500,MATCH($B1063,المكونات!$A$2:$A$500,0)),"")</f>
        <v>قطعة</v>
      </c>
      <c r="E1063" s="67" t="n">
        <f aca="false">IFERROR(INDEX(المكونات!$C$2:$C$500,MATCH($B1063,المكونات!$A$2:$A$500,0)),"")</f>
        <v>25</v>
      </c>
      <c r="F1063" s="68" t="n">
        <f aca="false">IFERROR($C1063*$E1063,"")</f>
        <v>25</v>
      </c>
    </row>
    <row r="1064" customFormat="false" ht="15" hidden="false" customHeight="true" outlineLevel="0" collapsed="false">
      <c r="A1064" s="65" t="s">
        <v>500</v>
      </c>
      <c r="B1064" s="65" t="s">
        <v>268</v>
      </c>
      <c r="C1064" s="65" t="n">
        <v>1</v>
      </c>
      <c r="D1064" s="66" t="str">
        <f aca="false">IFERROR(INDEX(المكونات!$B$2:$B$500,MATCH($B1064,المكونات!$A$2:$A$500,0)),"")</f>
        <v>قطعة</v>
      </c>
      <c r="E1064" s="67" t="n">
        <f aca="false">IFERROR(INDEX(المكونات!$C$2:$C$500,MATCH($B1064,المكونات!$A$2:$A$500,0)),"")</f>
        <v>5.5</v>
      </c>
      <c r="F1064" s="68" t="n">
        <f aca="false">IFERROR($C1064*$E1064,"")</f>
        <v>5.5</v>
      </c>
    </row>
    <row r="1065" customFormat="false" ht="15" hidden="false" customHeight="true" outlineLevel="0" collapsed="false">
      <c r="A1065" s="65" t="s">
        <v>500</v>
      </c>
      <c r="B1065" s="65" t="s">
        <v>290</v>
      </c>
      <c r="C1065" s="65" t="n">
        <v>3</v>
      </c>
      <c r="D1065" s="66" t="str">
        <f aca="false">IFERROR(INDEX(المكونات!$B$2:$B$500,MATCH($B1065,المكونات!$A$2:$A$500,0)),"")</f>
        <v>قطعة</v>
      </c>
      <c r="E1065" s="67" t="n">
        <f aca="false">IFERROR(INDEX(المكونات!$C$2:$C$500,MATCH($B1065,المكونات!$A$2:$A$500,0)),"")</f>
        <v>0.3</v>
      </c>
      <c r="F1065" s="68" t="n">
        <f aca="false">IFERROR($C1065*$E1065,"")</f>
        <v>0.9</v>
      </c>
    </row>
    <row r="1066" customFormat="false" ht="15" hidden="false" customHeight="true" outlineLevel="0" collapsed="false">
      <c r="A1066" s="65" t="s">
        <v>500</v>
      </c>
      <c r="B1066" s="65" t="s">
        <v>319</v>
      </c>
      <c r="C1066" s="65" t="n">
        <v>1</v>
      </c>
      <c r="D1066" s="66" t="str">
        <f aca="false">IFERROR(INDEX(المكونات!$B$2:$B$500,MATCH($B1066,المكونات!$A$2:$A$500,0)),"")</f>
        <v>قطعة (ورقة)</v>
      </c>
      <c r="E1066" s="67" t="n">
        <f aca="false">IFERROR(INDEX(المكونات!$C$2:$C$500,MATCH($B1066,المكونات!$A$2:$A$500,0)),"")</f>
        <v>0.3665</v>
      </c>
      <c r="F1066" s="68" t="n">
        <f aca="false">IFERROR($C1066*$E1066,"")</f>
        <v>0.3665</v>
      </c>
    </row>
    <row r="1067" customFormat="false" ht="15" hidden="false" customHeight="true" outlineLevel="0" collapsed="false">
      <c r="A1067" s="65" t="s">
        <v>500</v>
      </c>
      <c r="B1067" s="65" t="s">
        <v>133</v>
      </c>
      <c r="C1067" s="65" t="n">
        <v>1</v>
      </c>
      <c r="D1067" s="66" t="str">
        <f aca="false">IFERROR(INDEX(المكونات!$B$2:$B$500,MATCH($B1067,المكونات!$A$2:$A$500,0)),"")</f>
        <v>قطعة (كيس)</v>
      </c>
      <c r="E1067" s="67" t="n">
        <f aca="false">IFERROR(INDEX(المكونات!$C$2:$C$500,MATCH($B1067,المكونات!$A$2:$A$500,0)),"")</f>
        <v>1.4</v>
      </c>
      <c r="F1067" s="68" t="n">
        <f aca="false">IFERROR($C1067*$E1067,"")</f>
        <v>1.4</v>
      </c>
    </row>
    <row r="1068" customFormat="false" ht="15" hidden="false" customHeight="true" outlineLevel="0" collapsed="false">
      <c r="A1068" s="65" t="s">
        <v>500</v>
      </c>
      <c r="B1068" s="65" t="s">
        <v>293</v>
      </c>
      <c r="C1068" s="65" t="n">
        <v>1</v>
      </c>
      <c r="D1068" s="66" t="str">
        <f aca="false">IFERROR(INDEX(المكونات!$B$2:$B$500,MATCH($B1068,المكونات!$A$2:$A$500,0)),"")</f>
        <v>قطعة</v>
      </c>
      <c r="E1068" s="67" t="n">
        <f aca="false">IFERROR(INDEX(المكونات!$C$2:$C$500,MATCH($B1068,المكونات!$A$2:$A$500,0)),"")</f>
        <v>0.5</v>
      </c>
      <c r="F1068" s="68" t="n">
        <f aca="false">IFERROR($C1068*$E1068,"")</f>
        <v>0.5</v>
      </c>
    </row>
    <row r="1069" customFormat="false" ht="15" hidden="false" customHeight="true" outlineLevel="0" collapsed="false">
      <c r="A1069" s="65" t="s">
        <v>500</v>
      </c>
      <c r="B1069" s="65" t="s">
        <v>211</v>
      </c>
      <c r="C1069" s="65" t="n">
        <v>2</v>
      </c>
      <c r="D1069" s="66" t="str">
        <f aca="false">IFERROR(INDEX(المكونات!$B$2:$B$500,MATCH($B1069,المكونات!$A$2:$A$500,0)),"")</f>
        <v>قطعة (جلفز)</v>
      </c>
      <c r="E1069" s="67" t="n">
        <f aca="false">IFERROR(INDEX(المكونات!$C$2:$C$500,MATCH($B1069,المكونات!$A$2:$A$500,0)),"")</f>
        <v>0.18</v>
      </c>
      <c r="F1069" s="68" t="n">
        <f aca="false">IFERROR($C1069*$E1069,"")</f>
        <v>0.36</v>
      </c>
    </row>
    <row r="1070" customFormat="false" ht="15" hidden="false" customHeight="true" outlineLevel="0" collapsed="false">
      <c r="A1070" s="65" t="s">
        <v>500</v>
      </c>
      <c r="B1070" s="65" t="s">
        <v>322</v>
      </c>
      <c r="C1070" s="65" t="n">
        <v>1</v>
      </c>
      <c r="D1070" s="66" t="str">
        <f aca="false">IFERROR(INDEX(المكونات!$B$2:$B$500,MATCH($B1070,المكونات!$A$2:$A$500,0)),"")</f>
        <v>قطعة (كيس)</v>
      </c>
      <c r="E1070" s="67" t="n">
        <f aca="false">IFERROR(INDEX(المكونات!$C$2:$C$500,MATCH($B1070,المكونات!$A$2:$A$500,0)),"")</f>
        <v>1</v>
      </c>
      <c r="F1070" s="68" t="n">
        <f aca="false">IFERROR($C1070*$E1070,"")</f>
        <v>1</v>
      </c>
    </row>
    <row r="1071" customFormat="false" ht="15" hidden="false" customHeight="true" outlineLevel="0" collapsed="false">
      <c r="A1071" s="65" t="s">
        <v>500</v>
      </c>
      <c r="B1071" s="65" t="s">
        <v>207</v>
      </c>
      <c r="C1071" s="65" t="n">
        <v>0.15</v>
      </c>
      <c r="D1071" s="66" t="str">
        <f aca="false">IFERROR(INDEX(المكونات!$B$2:$B$500,MATCH($B1071,المكونات!$A$2:$A$500,0)),"")</f>
        <v>كجم</v>
      </c>
      <c r="E1071" s="67" t="n">
        <f aca="false">IFERROR(INDEX(المكونات!$C$2:$C$500,MATCH($B1071,المكونات!$A$2:$A$500,0)),"")</f>
        <v>105</v>
      </c>
      <c r="F1071" s="68" t="n">
        <f aca="false">IFERROR($C1071*$E1071,"")</f>
        <v>15.75</v>
      </c>
    </row>
    <row r="1072" customFormat="false" ht="15" hidden="false" customHeight="true" outlineLevel="0" collapsed="false">
      <c r="A1072" s="65" t="s">
        <v>405</v>
      </c>
      <c r="B1072" s="65" t="s">
        <v>262</v>
      </c>
      <c r="C1072" s="65" t="n">
        <v>0.22</v>
      </c>
      <c r="D1072" s="66" t="str">
        <f aca="false">IFERROR(INDEX(المكونات!$B$2:$B$500,MATCH($B1072,المكونات!$A$2:$A$500,0)),"")</f>
        <v>كجم</v>
      </c>
      <c r="E1072" s="67" t="n">
        <f aca="false">IFERROR(INDEX(المكونات!$C$2:$C$500,MATCH($B1072,المكونات!$A$2:$A$500,0)),"")</f>
        <v>22</v>
      </c>
      <c r="F1072" s="68" t="n">
        <f aca="false">IFERROR($C1072*$E1072,"")</f>
        <v>4.84</v>
      </c>
    </row>
    <row r="1073" customFormat="false" ht="15" hidden="false" customHeight="true" outlineLevel="0" collapsed="false">
      <c r="A1073" s="65" t="s">
        <v>405</v>
      </c>
      <c r="B1073" s="65" t="s">
        <v>250</v>
      </c>
      <c r="C1073" s="65" t="n">
        <v>0.04</v>
      </c>
      <c r="D1073" s="66" t="str">
        <f aca="false">IFERROR(INDEX(المكونات!$B$2:$B$500,MATCH($B1073,المكونات!$A$2:$A$500,0)),"")</f>
        <v>كجم</v>
      </c>
      <c r="E1073" s="67" t="n">
        <f aca="false">IFERROR(INDEX(المكونات!$C$2:$C$500,MATCH($B1073,المكونات!$A$2:$A$500,0)),"")</f>
        <v>32</v>
      </c>
      <c r="F1073" s="68" t="n">
        <f aca="false">IFERROR($C1073*$E1073,"")</f>
        <v>1.28</v>
      </c>
    </row>
    <row r="1074" customFormat="false" ht="15" hidden="false" customHeight="true" outlineLevel="0" collapsed="false">
      <c r="A1074" s="65" t="s">
        <v>405</v>
      </c>
      <c r="B1074" s="65" t="s">
        <v>260</v>
      </c>
      <c r="C1074" s="65" t="n">
        <v>0.03</v>
      </c>
      <c r="D1074" s="66" t="str">
        <f aca="false">IFERROR(INDEX(المكونات!$B$2:$B$500,MATCH($B1074,المكونات!$A$2:$A$500,0)),"")</f>
        <v>كجم</v>
      </c>
      <c r="E1074" s="67" t="n">
        <f aca="false">IFERROR(INDEX(المكونات!$C$2:$C$500,MATCH($B1074,المكونات!$A$2:$A$500,0)),"")</f>
        <v>21</v>
      </c>
      <c r="F1074" s="68" t="n">
        <f aca="false">IFERROR($C1074*$E1074,"")</f>
        <v>0.63</v>
      </c>
    </row>
    <row r="1075" customFormat="false" ht="15" hidden="false" customHeight="true" outlineLevel="0" collapsed="false">
      <c r="A1075" s="65" t="s">
        <v>405</v>
      </c>
      <c r="B1075" s="65" t="s">
        <v>284</v>
      </c>
      <c r="C1075" s="65" t="n">
        <v>0.02</v>
      </c>
      <c r="D1075" s="66" t="str">
        <f aca="false">IFERROR(INDEX(المكونات!$B$2:$B$500,MATCH($B1075,المكونات!$A$2:$A$500,0)),"")</f>
        <v>كجم</v>
      </c>
      <c r="E1075" s="67" t="n">
        <f aca="false">IFERROR(INDEX(المكونات!$C$2:$C$500,MATCH($B1075,المكونات!$A$2:$A$500,0)),"")</f>
        <v>27</v>
      </c>
      <c r="F1075" s="68" t="n">
        <f aca="false">IFERROR($C1075*$E1075,"")</f>
        <v>0.54</v>
      </c>
    </row>
    <row r="1076" customFormat="false" ht="15" hidden="false" customHeight="true" outlineLevel="0" collapsed="false">
      <c r="A1076" s="65" t="s">
        <v>405</v>
      </c>
      <c r="B1076" s="65" t="s">
        <v>227</v>
      </c>
      <c r="C1076" s="65" t="n">
        <v>0.02</v>
      </c>
      <c r="D1076" s="66" t="str">
        <f aca="false">IFERROR(INDEX(المكونات!$B$2:$B$500,MATCH($B1076,المكونات!$A$2:$A$500,0)),"")</f>
        <v>كجم</v>
      </c>
      <c r="E1076" s="67" t="n">
        <f aca="false">IFERROR(INDEX(المكونات!$C$2:$C$500,MATCH($B1076,المكونات!$A$2:$A$500,0)),"")</f>
        <v>95</v>
      </c>
      <c r="F1076" s="68" t="n">
        <f aca="false">IFERROR($C1076*$E1076,"")</f>
        <v>1.9</v>
      </c>
    </row>
    <row r="1077" customFormat="false" ht="15" hidden="false" customHeight="true" outlineLevel="0" collapsed="false">
      <c r="A1077" s="65" t="s">
        <v>405</v>
      </c>
      <c r="B1077" s="65" t="s">
        <v>176</v>
      </c>
      <c r="C1077" s="65" t="n">
        <v>1</v>
      </c>
      <c r="D1077" s="66" t="str">
        <f aca="false">IFERROR(INDEX(المكونات!$B$2:$B$500,MATCH($B1077,المكونات!$A$2:$A$500,0)),"")</f>
        <v>قطعة</v>
      </c>
      <c r="E1077" s="67" t="n">
        <f aca="false">IFERROR(INDEX(المكونات!$C$2:$C$500,MATCH($B1077,المكونات!$A$2:$A$500,0)),"")</f>
        <v>17.5</v>
      </c>
      <c r="F1077" s="68" t="n">
        <f aca="false">IFERROR($C1077*$E1077,"")</f>
        <v>17.5</v>
      </c>
    </row>
    <row r="1078" customFormat="false" ht="15" hidden="false" customHeight="true" outlineLevel="0" collapsed="false">
      <c r="A1078" s="65" t="s">
        <v>405</v>
      </c>
      <c r="B1078" s="65" t="s">
        <v>270</v>
      </c>
      <c r="C1078" s="65" t="n">
        <v>1</v>
      </c>
      <c r="D1078" s="66" t="str">
        <f aca="false">IFERROR(INDEX(المكونات!$B$2:$B$500,MATCH($B1078,المكونات!$A$2:$A$500,0)),"")</f>
        <v>قطعة</v>
      </c>
      <c r="E1078" s="67" t="n">
        <f aca="false">IFERROR(INDEX(المكونات!$C$2:$C$500,MATCH($B1078,المكونات!$A$2:$A$500,0)),"")</f>
        <v>4.5</v>
      </c>
      <c r="F1078" s="68" t="n">
        <f aca="false">IFERROR($C1078*$E1078,"")</f>
        <v>4.5</v>
      </c>
    </row>
    <row r="1079" customFormat="false" ht="15" hidden="false" customHeight="true" outlineLevel="0" collapsed="false">
      <c r="A1079" s="65" t="s">
        <v>405</v>
      </c>
      <c r="B1079" s="65" t="s">
        <v>290</v>
      </c>
      <c r="C1079" s="65" t="n">
        <v>2</v>
      </c>
      <c r="D1079" s="66" t="str">
        <f aca="false">IFERROR(INDEX(المكونات!$B$2:$B$500,MATCH($B1079,المكونات!$A$2:$A$500,0)),"")</f>
        <v>قطعة</v>
      </c>
      <c r="E1079" s="67" t="n">
        <f aca="false">IFERROR(INDEX(المكونات!$C$2:$C$500,MATCH($B1079,المكونات!$A$2:$A$500,0)),"")</f>
        <v>0.3</v>
      </c>
      <c r="F1079" s="68" t="n">
        <f aca="false">IFERROR($C1079*$E1079,"")</f>
        <v>0.6</v>
      </c>
    </row>
    <row r="1080" customFormat="false" ht="15" hidden="false" customHeight="true" outlineLevel="0" collapsed="false">
      <c r="A1080" s="65" t="s">
        <v>405</v>
      </c>
      <c r="B1080" s="65" t="s">
        <v>319</v>
      </c>
      <c r="C1080" s="65" t="n">
        <v>1</v>
      </c>
      <c r="D1080" s="66" t="str">
        <f aca="false">IFERROR(INDEX(المكونات!$B$2:$B$500,MATCH($B1080,المكونات!$A$2:$A$500,0)),"")</f>
        <v>قطعة (ورقة)</v>
      </c>
      <c r="E1080" s="67" t="n">
        <f aca="false">IFERROR(INDEX(المكونات!$C$2:$C$500,MATCH($B1080,المكونات!$A$2:$A$500,0)),"")</f>
        <v>0.3665</v>
      </c>
      <c r="F1080" s="68" t="n">
        <f aca="false">IFERROR($C1080*$E1080,"")</f>
        <v>0.3665</v>
      </c>
    </row>
    <row r="1081" customFormat="false" ht="15" hidden="false" customHeight="true" outlineLevel="0" collapsed="false">
      <c r="A1081" s="65" t="s">
        <v>405</v>
      </c>
      <c r="B1081" s="65" t="s">
        <v>133</v>
      </c>
      <c r="C1081" s="65" t="n">
        <v>1</v>
      </c>
      <c r="D1081" s="66" t="str">
        <f aca="false">IFERROR(INDEX(المكونات!$B$2:$B$500,MATCH($B1081,المكونات!$A$2:$A$500,0)),"")</f>
        <v>قطعة (كيس)</v>
      </c>
      <c r="E1081" s="67" t="n">
        <f aca="false">IFERROR(INDEX(المكونات!$C$2:$C$500,MATCH($B1081,المكونات!$A$2:$A$500,0)),"")</f>
        <v>1.4</v>
      </c>
      <c r="F1081" s="68" t="n">
        <f aca="false">IFERROR($C1081*$E1081,"")</f>
        <v>1.4</v>
      </c>
    </row>
    <row r="1082" customFormat="false" ht="15" hidden="false" customHeight="true" outlineLevel="0" collapsed="false">
      <c r="A1082" s="65" t="s">
        <v>405</v>
      </c>
      <c r="B1082" s="65" t="s">
        <v>293</v>
      </c>
      <c r="C1082" s="65" t="n">
        <v>1</v>
      </c>
      <c r="D1082" s="66" t="str">
        <f aca="false">IFERROR(INDEX(المكونات!$B$2:$B$500,MATCH($B1082,المكونات!$A$2:$A$500,0)),"")</f>
        <v>قطعة</v>
      </c>
      <c r="E1082" s="67" t="n">
        <f aca="false">IFERROR(INDEX(المكونات!$C$2:$C$500,MATCH($B1082,المكونات!$A$2:$A$500,0)),"")</f>
        <v>0.5</v>
      </c>
      <c r="F1082" s="68" t="n">
        <f aca="false">IFERROR($C1082*$E1082,"")</f>
        <v>0.5</v>
      </c>
    </row>
    <row r="1083" customFormat="false" ht="15" hidden="false" customHeight="true" outlineLevel="0" collapsed="false">
      <c r="A1083" s="65" t="s">
        <v>405</v>
      </c>
      <c r="B1083" s="65" t="s">
        <v>211</v>
      </c>
      <c r="C1083" s="65" t="n">
        <v>2</v>
      </c>
      <c r="D1083" s="66" t="str">
        <f aca="false">IFERROR(INDEX(المكونات!$B$2:$B$500,MATCH($B1083,المكونات!$A$2:$A$500,0)),"")</f>
        <v>قطعة (جلفز)</v>
      </c>
      <c r="E1083" s="67" t="n">
        <f aca="false">IFERROR(INDEX(المكونات!$C$2:$C$500,MATCH($B1083,المكونات!$A$2:$A$500,0)),"")</f>
        <v>0.18</v>
      </c>
      <c r="F1083" s="68" t="n">
        <f aca="false">IFERROR($C1083*$E1083,"")</f>
        <v>0.36</v>
      </c>
    </row>
    <row r="1084" customFormat="false" ht="15" hidden="false" customHeight="true" outlineLevel="0" collapsed="false">
      <c r="A1084" s="65" t="s">
        <v>405</v>
      </c>
      <c r="B1084" s="65" t="s">
        <v>322</v>
      </c>
      <c r="C1084" s="65" t="n">
        <v>1</v>
      </c>
      <c r="D1084" s="66" t="str">
        <f aca="false">IFERROR(INDEX(المكونات!$B$2:$B$500,MATCH($B1084,المكونات!$A$2:$A$500,0)),"")</f>
        <v>قطعة (كيس)</v>
      </c>
      <c r="E1084" s="67" t="n">
        <f aca="false">IFERROR(INDEX(المكونات!$C$2:$C$500,MATCH($B1084,المكونات!$A$2:$A$500,0)),"")</f>
        <v>1</v>
      </c>
      <c r="F1084" s="68" t="n">
        <f aca="false">IFERROR($C1084*$E1084,"")</f>
        <v>1</v>
      </c>
    </row>
    <row r="1085" customFormat="false" ht="15" hidden="false" customHeight="true" outlineLevel="0" collapsed="false">
      <c r="A1085" s="65" t="s">
        <v>405</v>
      </c>
      <c r="B1085" s="65" t="s">
        <v>282</v>
      </c>
      <c r="C1085" s="65" t="n">
        <v>0.14</v>
      </c>
      <c r="D1085" s="66" t="str">
        <f aca="false">IFERROR(INDEX(المكونات!$B$2:$B$500,MATCH($B1085,المكونات!$A$2:$A$500,0)),"")</f>
        <v>كجم</v>
      </c>
      <c r="E1085" s="67" t="n">
        <f aca="false">IFERROR(INDEX(المكونات!$C$2:$C$500,MATCH($B1085,المكونات!$A$2:$A$500,0)),"")</f>
        <v>150</v>
      </c>
      <c r="F1085" s="68" t="n">
        <f aca="false">IFERROR($C1085*$E1085,"")</f>
        <v>21</v>
      </c>
    </row>
    <row r="1086" customFormat="false" ht="15" hidden="false" customHeight="true" outlineLevel="0" collapsed="false">
      <c r="A1086" s="65" t="s">
        <v>405</v>
      </c>
      <c r="B1086" s="65" t="s">
        <v>252</v>
      </c>
      <c r="C1086" s="65" t="n">
        <v>0.1</v>
      </c>
      <c r="D1086" s="66" t="str">
        <f aca="false">IFERROR(INDEX(المكونات!$B$2:$B$500,MATCH($B1086,المكونات!$A$2:$A$500,0)),"")</f>
        <v>كجم</v>
      </c>
      <c r="E1086" s="67" t="n">
        <f aca="false">IFERROR(INDEX(المكونات!$C$2:$C$500,MATCH($B1086,المكونات!$A$2:$A$500,0)),"")</f>
        <v>70</v>
      </c>
      <c r="F1086" s="68" t="n">
        <f aca="false">IFERROR($C1086*$E1086,"")</f>
        <v>7</v>
      </c>
    </row>
    <row r="1087" customFormat="false" ht="15" hidden="false" customHeight="true" outlineLevel="0" collapsed="false">
      <c r="A1087" s="65" t="s">
        <v>406</v>
      </c>
      <c r="B1087" s="65" t="s">
        <v>262</v>
      </c>
      <c r="C1087" s="65" t="n">
        <v>0.3</v>
      </c>
      <c r="D1087" s="66" t="str">
        <f aca="false">IFERROR(INDEX(المكونات!$B$2:$B$500,MATCH($B1087,المكونات!$A$2:$A$500,0)),"")</f>
        <v>كجم</v>
      </c>
      <c r="E1087" s="67" t="n">
        <f aca="false">IFERROR(INDEX(المكونات!$C$2:$C$500,MATCH($B1087,المكونات!$A$2:$A$500,0)),"")</f>
        <v>22</v>
      </c>
      <c r="F1087" s="68" t="n">
        <f aca="false">IFERROR($C1087*$E1087,"")</f>
        <v>6.6</v>
      </c>
    </row>
    <row r="1088" customFormat="false" ht="15" hidden="false" customHeight="true" outlineLevel="0" collapsed="false">
      <c r="A1088" s="65" t="s">
        <v>406</v>
      </c>
      <c r="B1088" s="65" t="s">
        <v>250</v>
      </c>
      <c r="C1088" s="65" t="n">
        <v>0.06</v>
      </c>
      <c r="D1088" s="66" t="str">
        <f aca="false">IFERROR(INDEX(المكونات!$B$2:$B$500,MATCH($B1088,المكونات!$A$2:$A$500,0)),"")</f>
        <v>كجم</v>
      </c>
      <c r="E1088" s="67" t="n">
        <f aca="false">IFERROR(INDEX(المكونات!$C$2:$C$500,MATCH($B1088,المكونات!$A$2:$A$500,0)),"")</f>
        <v>32</v>
      </c>
      <c r="F1088" s="68" t="n">
        <f aca="false">IFERROR($C1088*$E1088,"")</f>
        <v>1.92</v>
      </c>
    </row>
    <row r="1089" customFormat="false" ht="15" hidden="false" customHeight="true" outlineLevel="0" collapsed="false">
      <c r="A1089" s="65" t="s">
        <v>406</v>
      </c>
      <c r="B1089" s="65" t="s">
        <v>260</v>
      </c>
      <c r="C1089" s="65" t="n">
        <v>0.045</v>
      </c>
      <c r="D1089" s="66" t="str">
        <f aca="false">IFERROR(INDEX(المكونات!$B$2:$B$500,MATCH($B1089,المكونات!$A$2:$A$500,0)),"")</f>
        <v>كجم</v>
      </c>
      <c r="E1089" s="67" t="n">
        <f aca="false">IFERROR(INDEX(المكونات!$C$2:$C$500,MATCH($B1089,المكونات!$A$2:$A$500,0)),"")</f>
        <v>21</v>
      </c>
      <c r="F1089" s="68" t="n">
        <f aca="false">IFERROR($C1089*$E1089,"")</f>
        <v>0.945</v>
      </c>
    </row>
    <row r="1090" customFormat="false" ht="15" hidden="false" customHeight="true" outlineLevel="0" collapsed="false">
      <c r="A1090" s="65" t="s">
        <v>406</v>
      </c>
      <c r="B1090" s="65" t="s">
        <v>284</v>
      </c>
      <c r="C1090" s="65" t="n">
        <v>0.03</v>
      </c>
      <c r="D1090" s="66" t="str">
        <f aca="false">IFERROR(INDEX(المكونات!$B$2:$B$500,MATCH($B1090,المكونات!$A$2:$A$500,0)),"")</f>
        <v>كجم</v>
      </c>
      <c r="E1090" s="67" t="n">
        <f aca="false">IFERROR(INDEX(المكونات!$C$2:$C$500,MATCH($B1090,المكونات!$A$2:$A$500,0)),"")</f>
        <v>27</v>
      </c>
      <c r="F1090" s="68" t="n">
        <f aca="false">IFERROR($C1090*$E1090,"")</f>
        <v>0.81</v>
      </c>
    </row>
    <row r="1091" customFormat="false" ht="15" hidden="false" customHeight="true" outlineLevel="0" collapsed="false">
      <c r="A1091" s="65" t="s">
        <v>406</v>
      </c>
      <c r="B1091" s="65" t="s">
        <v>227</v>
      </c>
      <c r="C1091" s="65" t="n">
        <v>0.03</v>
      </c>
      <c r="D1091" s="66" t="str">
        <f aca="false">IFERROR(INDEX(المكونات!$B$2:$B$500,MATCH($B1091,المكونات!$A$2:$A$500,0)),"")</f>
        <v>كجم</v>
      </c>
      <c r="E1091" s="67" t="n">
        <f aca="false">IFERROR(INDEX(المكونات!$C$2:$C$500,MATCH($B1091,المكونات!$A$2:$A$500,0)),"")</f>
        <v>95</v>
      </c>
      <c r="F1091" s="68" t="n">
        <f aca="false">IFERROR($C1091*$E1091,"")</f>
        <v>2.85</v>
      </c>
    </row>
    <row r="1092" customFormat="false" ht="15" hidden="false" customHeight="true" outlineLevel="0" collapsed="false">
      <c r="A1092" s="65" t="s">
        <v>406</v>
      </c>
      <c r="B1092" s="65" t="s">
        <v>178</v>
      </c>
      <c r="C1092" s="65" t="n">
        <v>1</v>
      </c>
      <c r="D1092" s="66" t="str">
        <f aca="false">IFERROR(INDEX(المكونات!$B$2:$B$500,MATCH($B1092,المكونات!$A$2:$A$500,0)),"")</f>
        <v>قطعة</v>
      </c>
      <c r="E1092" s="67" t="n">
        <f aca="false">IFERROR(INDEX(المكونات!$C$2:$C$500,MATCH($B1092,المكونات!$A$2:$A$500,0)),"")</f>
        <v>25</v>
      </c>
      <c r="F1092" s="68" t="n">
        <f aca="false">IFERROR($C1092*$E1092,"")</f>
        <v>25</v>
      </c>
    </row>
    <row r="1093" customFormat="false" ht="15" hidden="false" customHeight="true" outlineLevel="0" collapsed="false">
      <c r="A1093" s="65" t="s">
        <v>406</v>
      </c>
      <c r="B1093" s="65" t="s">
        <v>268</v>
      </c>
      <c r="C1093" s="65" t="n">
        <v>1</v>
      </c>
      <c r="D1093" s="66" t="str">
        <f aca="false">IFERROR(INDEX(المكونات!$B$2:$B$500,MATCH($B1093,المكونات!$A$2:$A$500,0)),"")</f>
        <v>قطعة</v>
      </c>
      <c r="E1093" s="67" t="n">
        <f aca="false">IFERROR(INDEX(المكونات!$C$2:$C$500,MATCH($B1093,المكونات!$A$2:$A$500,0)),"")</f>
        <v>5.5</v>
      </c>
      <c r="F1093" s="68" t="n">
        <f aca="false">IFERROR($C1093*$E1093,"")</f>
        <v>5.5</v>
      </c>
    </row>
    <row r="1094" customFormat="false" ht="15" hidden="false" customHeight="true" outlineLevel="0" collapsed="false">
      <c r="A1094" s="65" t="s">
        <v>406</v>
      </c>
      <c r="B1094" s="65" t="s">
        <v>290</v>
      </c>
      <c r="C1094" s="65" t="n">
        <v>3</v>
      </c>
      <c r="D1094" s="66" t="str">
        <f aca="false">IFERROR(INDEX(المكونات!$B$2:$B$500,MATCH($B1094,المكونات!$A$2:$A$500,0)),"")</f>
        <v>قطعة</v>
      </c>
      <c r="E1094" s="67" t="n">
        <f aca="false">IFERROR(INDEX(المكونات!$C$2:$C$500,MATCH($B1094,المكونات!$A$2:$A$500,0)),"")</f>
        <v>0.3</v>
      </c>
      <c r="F1094" s="68" t="n">
        <f aca="false">IFERROR($C1094*$E1094,"")</f>
        <v>0.9</v>
      </c>
    </row>
    <row r="1095" customFormat="false" ht="15" hidden="false" customHeight="true" outlineLevel="0" collapsed="false">
      <c r="A1095" s="65" t="s">
        <v>406</v>
      </c>
      <c r="B1095" s="65" t="s">
        <v>319</v>
      </c>
      <c r="C1095" s="65" t="n">
        <v>1</v>
      </c>
      <c r="D1095" s="66" t="str">
        <f aca="false">IFERROR(INDEX(المكونات!$B$2:$B$500,MATCH($B1095,المكونات!$A$2:$A$500,0)),"")</f>
        <v>قطعة (ورقة)</v>
      </c>
      <c r="E1095" s="67" t="n">
        <f aca="false">IFERROR(INDEX(المكونات!$C$2:$C$500,MATCH($B1095,المكونات!$A$2:$A$500,0)),"")</f>
        <v>0.3665</v>
      </c>
      <c r="F1095" s="68" t="n">
        <f aca="false">IFERROR($C1095*$E1095,"")</f>
        <v>0.3665</v>
      </c>
    </row>
    <row r="1096" customFormat="false" ht="15" hidden="false" customHeight="true" outlineLevel="0" collapsed="false">
      <c r="A1096" s="65" t="s">
        <v>406</v>
      </c>
      <c r="B1096" s="65" t="s">
        <v>133</v>
      </c>
      <c r="C1096" s="65" t="n">
        <v>1</v>
      </c>
      <c r="D1096" s="66" t="str">
        <f aca="false">IFERROR(INDEX(المكونات!$B$2:$B$500,MATCH($B1096,المكونات!$A$2:$A$500,0)),"")</f>
        <v>قطعة (كيس)</v>
      </c>
      <c r="E1096" s="67" t="n">
        <f aca="false">IFERROR(INDEX(المكونات!$C$2:$C$500,MATCH($B1096,المكونات!$A$2:$A$500,0)),"")</f>
        <v>1.4</v>
      </c>
      <c r="F1096" s="68" t="n">
        <f aca="false">IFERROR($C1096*$E1096,"")</f>
        <v>1.4</v>
      </c>
    </row>
    <row r="1097" customFormat="false" ht="15" hidden="false" customHeight="true" outlineLevel="0" collapsed="false">
      <c r="A1097" s="65" t="s">
        <v>406</v>
      </c>
      <c r="B1097" s="65" t="s">
        <v>293</v>
      </c>
      <c r="C1097" s="65" t="n">
        <v>1</v>
      </c>
      <c r="D1097" s="66" t="str">
        <f aca="false">IFERROR(INDEX(المكونات!$B$2:$B$500,MATCH($B1097,المكونات!$A$2:$A$500,0)),"")</f>
        <v>قطعة</v>
      </c>
      <c r="E1097" s="67" t="n">
        <f aca="false">IFERROR(INDEX(المكونات!$C$2:$C$500,MATCH($B1097,المكونات!$A$2:$A$500,0)),"")</f>
        <v>0.5</v>
      </c>
      <c r="F1097" s="68" t="n">
        <f aca="false">IFERROR($C1097*$E1097,"")</f>
        <v>0.5</v>
      </c>
    </row>
    <row r="1098" customFormat="false" ht="15" hidden="false" customHeight="true" outlineLevel="0" collapsed="false">
      <c r="A1098" s="65" t="s">
        <v>406</v>
      </c>
      <c r="B1098" s="65" t="s">
        <v>211</v>
      </c>
      <c r="C1098" s="65" t="n">
        <v>2</v>
      </c>
      <c r="D1098" s="66" t="str">
        <f aca="false">IFERROR(INDEX(المكونات!$B$2:$B$500,MATCH($B1098,المكونات!$A$2:$A$500,0)),"")</f>
        <v>قطعة (جلفز)</v>
      </c>
      <c r="E1098" s="67" t="n">
        <f aca="false">IFERROR(INDEX(المكونات!$C$2:$C$500,MATCH($B1098,المكونات!$A$2:$A$500,0)),"")</f>
        <v>0.18</v>
      </c>
      <c r="F1098" s="68" t="n">
        <f aca="false">IFERROR($C1098*$E1098,"")</f>
        <v>0.36</v>
      </c>
    </row>
    <row r="1099" customFormat="false" ht="15" hidden="false" customHeight="true" outlineLevel="0" collapsed="false">
      <c r="A1099" s="65" t="s">
        <v>406</v>
      </c>
      <c r="B1099" s="65" t="s">
        <v>322</v>
      </c>
      <c r="C1099" s="65" t="n">
        <v>1</v>
      </c>
      <c r="D1099" s="66" t="str">
        <f aca="false">IFERROR(INDEX(المكونات!$B$2:$B$500,MATCH($B1099,المكونات!$A$2:$A$500,0)),"")</f>
        <v>قطعة (كيس)</v>
      </c>
      <c r="E1099" s="67" t="n">
        <f aca="false">IFERROR(INDEX(المكونات!$C$2:$C$500,MATCH($B1099,المكونات!$A$2:$A$500,0)),"")</f>
        <v>1</v>
      </c>
      <c r="F1099" s="68" t="n">
        <f aca="false">IFERROR($C1099*$E1099,"")</f>
        <v>1</v>
      </c>
    </row>
    <row r="1100" customFormat="false" ht="15" hidden="false" customHeight="true" outlineLevel="0" collapsed="false">
      <c r="A1100" s="65" t="s">
        <v>406</v>
      </c>
      <c r="B1100" s="65" t="s">
        <v>282</v>
      </c>
      <c r="C1100" s="65" t="n">
        <v>0.21</v>
      </c>
      <c r="D1100" s="66" t="str">
        <f aca="false">IFERROR(INDEX(المكونات!$B$2:$B$500,MATCH($B1100,المكونات!$A$2:$A$500,0)),"")</f>
        <v>كجم</v>
      </c>
      <c r="E1100" s="67" t="n">
        <f aca="false">IFERROR(INDEX(المكونات!$C$2:$C$500,MATCH($B1100,المكونات!$A$2:$A$500,0)),"")</f>
        <v>150</v>
      </c>
      <c r="F1100" s="68" t="n">
        <f aca="false">IFERROR($C1100*$E1100,"")</f>
        <v>31.5</v>
      </c>
    </row>
    <row r="1101" customFormat="false" ht="15" hidden="false" customHeight="true" outlineLevel="0" collapsed="false">
      <c r="A1101" s="65" t="s">
        <v>406</v>
      </c>
      <c r="B1101" s="65" t="s">
        <v>252</v>
      </c>
      <c r="C1101" s="65" t="n">
        <v>0.15</v>
      </c>
      <c r="D1101" s="66" t="str">
        <f aca="false">IFERROR(INDEX(المكونات!$B$2:$B$500,MATCH($B1101,المكونات!$A$2:$A$500,0)),"")</f>
        <v>كجم</v>
      </c>
      <c r="E1101" s="67" t="n">
        <f aca="false">IFERROR(INDEX(المكونات!$C$2:$C$500,MATCH($B1101,المكونات!$A$2:$A$500,0)),"")</f>
        <v>70</v>
      </c>
      <c r="F1101" s="68" t="n">
        <f aca="false">IFERROR($C1101*$E1101,"")</f>
        <v>10.5</v>
      </c>
    </row>
    <row r="1102" customFormat="false" ht="15" hidden="false" customHeight="true" outlineLevel="0" collapsed="false">
      <c r="A1102" s="65" t="s">
        <v>521</v>
      </c>
      <c r="B1102" s="65" t="s">
        <v>262</v>
      </c>
      <c r="C1102" s="65" t="n">
        <v>0.22</v>
      </c>
      <c r="D1102" s="66" t="str">
        <f aca="false">IFERROR(INDEX(المكونات!$B$2:$B$500,MATCH($B1102,المكونات!$A$2:$A$500,0)),"")</f>
        <v>كجم</v>
      </c>
      <c r="E1102" s="67" t="n">
        <f aca="false">IFERROR(INDEX(المكونات!$C$2:$C$500,MATCH($B1102,المكونات!$A$2:$A$500,0)),"")</f>
        <v>22</v>
      </c>
      <c r="F1102" s="68" t="n">
        <f aca="false">IFERROR($C1102*$E1102,"")</f>
        <v>4.84</v>
      </c>
    </row>
    <row r="1103" customFormat="false" ht="15" hidden="false" customHeight="true" outlineLevel="0" collapsed="false">
      <c r="A1103" s="65" t="s">
        <v>521</v>
      </c>
      <c r="B1103" s="65" t="s">
        <v>250</v>
      </c>
      <c r="C1103" s="65" t="n">
        <v>0.04</v>
      </c>
      <c r="D1103" s="66" t="str">
        <f aca="false">IFERROR(INDEX(المكونات!$B$2:$B$500,MATCH($B1103,المكونات!$A$2:$A$500,0)),"")</f>
        <v>كجم</v>
      </c>
      <c r="E1103" s="67" t="n">
        <f aca="false">IFERROR(INDEX(المكونات!$C$2:$C$500,MATCH($B1103,المكونات!$A$2:$A$500,0)),"")</f>
        <v>32</v>
      </c>
      <c r="F1103" s="68" t="n">
        <f aca="false">IFERROR($C1103*$E1103,"")</f>
        <v>1.28</v>
      </c>
    </row>
    <row r="1104" customFormat="false" ht="15" hidden="false" customHeight="true" outlineLevel="0" collapsed="false">
      <c r="A1104" s="65" t="s">
        <v>521</v>
      </c>
      <c r="B1104" s="65" t="s">
        <v>260</v>
      </c>
      <c r="C1104" s="65" t="n">
        <v>0.03</v>
      </c>
      <c r="D1104" s="66" t="str">
        <f aca="false">IFERROR(INDEX(المكونات!$B$2:$B$500,MATCH($B1104,المكونات!$A$2:$A$500,0)),"")</f>
        <v>كجم</v>
      </c>
      <c r="E1104" s="67" t="n">
        <f aca="false">IFERROR(INDEX(المكونات!$C$2:$C$500,MATCH($B1104,المكونات!$A$2:$A$500,0)),"")</f>
        <v>21</v>
      </c>
      <c r="F1104" s="68" t="n">
        <f aca="false">IFERROR($C1104*$E1104,"")</f>
        <v>0.63</v>
      </c>
    </row>
    <row r="1105" customFormat="false" ht="15" hidden="false" customHeight="true" outlineLevel="0" collapsed="false">
      <c r="A1105" s="65" t="s">
        <v>521</v>
      </c>
      <c r="B1105" s="65" t="s">
        <v>284</v>
      </c>
      <c r="C1105" s="65" t="n">
        <v>0.02</v>
      </c>
      <c r="D1105" s="66" t="str">
        <f aca="false">IFERROR(INDEX(المكونات!$B$2:$B$500,MATCH($B1105,المكونات!$A$2:$A$500,0)),"")</f>
        <v>كجم</v>
      </c>
      <c r="E1105" s="67" t="n">
        <f aca="false">IFERROR(INDEX(المكونات!$C$2:$C$500,MATCH($B1105,المكونات!$A$2:$A$500,0)),"")</f>
        <v>27</v>
      </c>
      <c r="F1105" s="68" t="n">
        <f aca="false">IFERROR($C1105*$E1105,"")</f>
        <v>0.54</v>
      </c>
    </row>
    <row r="1106" customFormat="false" ht="15" hidden="false" customHeight="true" outlineLevel="0" collapsed="false">
      <c r="A1106" s="65" t="s">
        <v>521</v>
      </c>
      <c r="B1106" s="65" t="s">
        <v>227</v>
      </c>
      <c r="C1106" s="65" t="n">
        <v>0.02</v>
      </c>
      <c r="D1106" s="66" t="str">
        <f aca="false">IFERROR(INDEX(المكونات!$B$2:$B$500,MATCH($B1106,المكونات!$A$2:$A$500,0)),"")</f>
        <v>كجم</v>
      </c>
      <c r="E1106" s="67" t="n">
        <f aca="false">IFERROR(INDEX(المكونات!$C$2:$C$500,MATCH($B1106,المكونات!$A$2:$A$500,0)),"")</f>
        <v>95</v>
      </c>
      <c r="F1106" s="68" t="n">
        <f aca="false">IFERROR($C1106*$E1106,"")</f>
        <v>1.9</v>
      </c>
    </row>
    <row r="1107" customFormat="false" ht="15" hidden="false" customHeight="true" outlineLevel="0" collapsed="false">
      <c r="A1107" s="65" t="s">
        <v>521</v>
      </c>
      <c r="B1107" s="65" t="s">
        <v>176</v>
      </c>
      <c r="C1107" s="65" t="n">
        <v>1</v>
      </c>
      <c r="D1107" s="66" t="str">
        <f aca="false">IFERROR(INDEX(المكونات!$B$2:$B$500,MATCH($B1107,المكونات!$A$2:$A$500,0)),"")</f>
        <v>قطعة</v>
      </c>
      <c r="E1107" s="67" t="n">
        <f aca="false">IFERROR(INDEX(المكونات!$C$2:$C$500,MATCH($B1107,المكونات!$A$2:$A$500,0)),"")</f>
        <v>17.5</v>
      </c>
      <c r="F1107" s="68" t="n">
        <f aca="false">IFERROR($C1107*$E1107,"")</f>
        <v>17.5</v>
      </c>
    </row>
    <row r="1108" customFormat="false" ht="15" hidden="false" customHeight="true" outlineLevel="0" collapsed="false">
      <c r="A1108" s="65" t="s">
        <v>521</v>
      </c>
      <c r="B1108" s="65" t="s">
        <v>270</v>
      </c>
      <c r="C1108" s="65" t="n">
        <v>1</v>
      </c>
      <c r="D1108" s="66" t="str">
        <f aca="false">IFERROR(INDEX(المكونات!$B$2:$B$500,MATCH($B1108,المكونات!$A$2:$A$500,0)),"")</f>
        <v>قطعة</v>
      </c>
      <c r="E1108" s="67" t="n">
        <f aca="false">IFERROR(INDEX(المكونات!$C$2:$C$500,MATCH($B1108,المكونات!$A$2:$A$500,0)),"")</f>
        <v>4.5</v>
      </c>
      <c r="F1108" s="68" t="n">
        <f aca="false">IFERROR($C1108*$E1108,"")</f>
        <v>4.5</v>
      </c>
    </row>
    <row r="1109" customFormat="false" ht="15" hidden="false" customHeight="true" outlineLevel="0" collapsed="false">
      <c r="A1109" s="65" t="s">
        <v>521</v>
      </c>
      <c r="B1109" s="65" t="s">
        <v>290</v>
      </c>
      <c r="C1109" s="65" t="n">
        <v>2</v>
      </c>
      <c r="D1109" s="66" t="str">
        <f aca="false">IFERROR(INDEX(المكونات!$B$2:$B$500,MATCH($B1109,المكونات!$A$2:$A$500,0)),"")</f>
        <v>قطعة</v>
      </c>
      <c r="E1109" s="67" t="n">
        <f aca="false">IFERROR(INDEX(المكونات!$C$2:$C$500,MATCH($B1109,المكونات!$A$2:$A$500,0)),"")</f>
        <v>0.3</v>
      </c>
      <c r="F1109" s="68" t="n">
        <f aca="false">IFERROR($C1109*$E1109,"")</f>
        <v>0.6</v>
      </c>
    </row>
    <row r="1110" customFormat="false" ht="15" hidden="false" customHeight="true" outlineLevel="0" collapsed="false">
      <c r="A1110" s="65" t="s">
        <v>521</v>
      </c>
      <c r="B1110" s="65" t="s">
        <v>319</v>
      </c>
      <c r="C1110" s="65" t="n">
        <v>1</v>
      </c>
      <c r="D1110" s="66" t="str">
        <f aca="false">IFERROR(INDEX(المكونات!$B$2:$B$500,MATCH($B1110,المكونات!$A$2:$A$500,0)),"")</f>
        <v>قطعة (ورقة)</v>
      </c>
      <c r="E1110" s="67" t="n">
        <f aca="false">IFERROR(INDEX(المكونات!$C$2:$C$500,MATCH($B1110,المكونات!$A$2:$A$500,0)),"")</f>
        <v>0.3665</v>
      </c>
      <c r="F1110" s="68" t="n">
        <f aca="false">IFERROR($C1110*$E1110,"")</f>
        <v>0.3665</v>
      </c>
    </row>
    <row r="1111" customFormat="false" ht="15" hidden="false" customHeight="true" outlineLevel="0" collapsed="false">
      <c r="A1111" s="65" t="s">
        <v>521</v>
      </c>
      <c r="B1111" s="65" t="s">
        <v>133</v>
      </c>
      <c r="C1111" s="65" t="n">
        <v>1</v>
      </c>
      <c r="D1111" s="66" t="str">
        <f aca="false">IFERROR(INDEX(المكونات!$B$2:$B$500,MATCH($B1111,المكونات!$A$2:$A$500,0)),"")</f>
        <v>قطعة (كيس)</v>
      </c>
      <c r="E1111" s="67" t="n">
        <f aca="false">IFERROR(INDEX(المكونات!$C$2:$C$500,MATCH($B1111,المكونات!$A$2:$A$500,0)),"")</f>
        <v>1.4</v>
      </c>
      <c r="F1111" s="68" t="n">
        <f aca="false">IFERROR($C1111*$E1111,"")</f>
        <v>1.4</v>
      </c>
    </row>
    <row r="1112" customFormat="false" ht="15" hidden="false" customHeight="true" outlineLevel="0" collapsed="false">
      <c r="A1112" s="65" t="s">
        <v>521</v>
      </c>
      <c r="B1112" s="65" t="s">
        <v>293</v>
      </c>
      <c r="C1112" s="65" t="n">
        <v>1</v>
      </c>
      <c r="D1112" s="66" t="str">
        <f aca="false">IFERROR(INDEX(المكونات!$B$2:$B$500,MATCH($B1112,المكونات!$A$2:$A$500,0)),"")</f>
        <v>قطعة</v>
      </c>
      <c r="E1112" s="67" t="n">
        <f aca="false">IFERROR(INDEX(المكونات!$C$2:$C$500,MATCH($B1112,المكونات!$A$2:$A$500,0)),"")</f>
        <v>0.5</v>
      </c>
      <c r="F1112" s="68" t="n">
        <f aca="false">IFERROR($C1112*$E1112,"")</f>
        <v>0.5</v>
      </c>
    </row>
    <row r="1113" customFormat="false" ht="15" hidden="false" customHeight="true" outlineLevel="0" collapsed="false">
      <c r="A1113" s="65" t="s">
        <v>521</v>
      </c>
      <c r="B1113" s="65" t="s">
        <v>211</v>
      </c>
      <c r="C1113" s="65" t="n">
        <v>2</v>
      </c>
      <c r="D1113" s="66" t="str">
        <f aca="false">IFERROR(INDEX(المكونات!$B$2:$B$500,MATCH($B1113,المكونات!$A$2:$A$500,0)),"")</f>
        <v>قطعة (جلفز)</v>
      </c>
      <c r="E1113" s="67" t="n">
        <f aca="false">IFERROR(INDEX(المكونات!$C$2:$C$500,MATCH($B1113,المكونات!$A$2:$A$500,0)),"")</f>
        <v>0.18</v>
      </c>
      <c r="F1113" s="68" t="n">
        <f aca="false">IFERROR($C1113*$E1113,"")</f>
        <v>0.36</v>
      </c>
    </row>
    <row r="1114" customFormat="false" ht="15" hidden="false" customHeight="true" outlineLevel="0" collapsed="false">
      <c r="A1114" s="65" t="s">
        <v>521</v>
      </c>
      <c r="B1114" s="65" t="s">
        <v>322</v>
      </c>
      <c r="C1114" s="65" t="n">
        <v>1</v>
      </c>
      <c r="D1114" s="66" t="str">
        <f aca="false">IFERROR(INDEX(المكونات!$B$2:$B$500,MATCH($B1114,المكونات!$A$2:$A$500,0)),"")</f>
        <v>قطعة (كيس)</v>
      </c>
      <c r="E1114" s="67" t="n">
        <f aca="false">IFERROR(INDEX(المكونات!$C$2:$C$500,MATCH($B1114,المكونات!$A$2:$A$500,0)),"")</f>
        <v>1</v>
      </c>
      <c r="F1114" s="68" t="n">
        <f aca="false">IFERROR($C1114*$E1114,"")</f>
        <v>1</v>
      </c>
    </row>
    <row r="1115" customFormat="false" ht="15" hidden="false" customHeight="true" outlineLevel="0" collapsed="false">
      <c r="A1115" s="65" t="s">
        <v>521</v>
      </c>
      <c r="B1115" s="65" t="s">
        <v>150</v>
      </c>
      <c r="C1115" s="65" t="n">
        <v>1</v>
      </c>
      <c r="D1115" s="66" t="str">
        <f aca="false">IFERROR(INDEX(المكونات!$B$2:$B$500,MATCH($B1115,المكونات!$A$2:$A$500,0)),"")</f>
        <v>قطعة</v>
      </c>
      <c r="E1115" s="67" t="n">
        <f aca="false">IFERROR(INDEX(المكونات!$C$2:$C$500,MATCH($B1115,المكونات!$A$2:$A$500,0)),"")</f>
        <v>95</v>
      </c>
      <c r="F1115" s="68" t="n">
        <f aca="false">IFERROR($C1115*$E1115,"")</f>
        <v>95</v>
      </c>
    </row>
    <row r="1116" customFormat="false" ht="15" hidden="false" customHeight="true" outlineLevel="0" collapsed="false">
      <c r="A1116" s="65" t="s">
        <v>507</v>
      </c>
      <c r="B1116" s="65" t="s">
        <v>262</v>
      </c>
      <c r="C1116" s="65" t="n">
        <v>0.3</v>
      </c>
      <c r="D1116" s="66" t="str">
        <f aca="false">IFERROR(INDEX(المكونات!$B$2:$B$500,MATCH($B1116,المكونات!$A$2:$A$500,0)),"")</f>
        <v>كجم</v>
      </c>
      <c r="E1116" s="67" t="n">
        <f aca="false">IFERROR(INDEX(المكونات!$C$2:$C$500,MATCH($B1116,المكونات!$A$2:$A$500,0)),"")</f>
        <v>22</v>
      </c>
      <c r="F1116" s="68" t="n">
        <f aca="false">IFERROR($C1116*$E1116,"")</f>
        <v>6.6</v>
      </c>
    </row>
    <row r="1117" customFormat="false" ht="15" hidden="false" customHeight="true" outlineLevel="0" collapsed="false">
      <c r="A1117" s="65" t="s">
        <v>507</v>
      </c>
      <c r="B1117" s="65" t="s">
        <v>250</v>
      </c>
      <c r="C1117" s="65" t="n">
        <v>0.06</v>
      </c>
      <c r="D1117" s="66" t="str">
        <f aca="false">IFERROR(INDEX(المكونات!$B$2:$B$500,MATCH($B1117,المكونات!$A$2:$A$500,0)),"")</f>
        <v>كجم</v>
      </c>
      <c r="E1117" s="67" t="n">
        <f aca="false">IFERROR(INDEX(المكونات!$C$2:$C$500,MATCH($B1117,المكونات!$A$2:$A$500,0)),"")</f>
        <v>32</v>
      </c>
      <c r="F1117" s="68" t="n">
        <f aca="false">IFERROR($C1117*$E1117,"")</f>
        <v>1.92</v>
      </c>
    </row>
    <row r="1118" customFormat="false" ht="15" hidden="false" customHeight="true" outlineLevel="0" collapsed="false">
      <c r="A1118" s="65" t="s">
        <v>507</v>
      </c>
      <c r="B1118" s="65" t="s">
        <v>260</v>
      </c>
      <c r="C1118" s="65" t="n">
        <v>0.045</v>
      </c>
      <c r="D1118" s="66" t="str">
        <f aca="false">IFERROR(INDEX(المكونات!$B$2:$B$500,MATCH($B1118,المكونات!$A$2:$A$500,0)),"")</f>
        <v>كجم</v>
      </c>
      <c r="E1118" s="67" t="n">
        <f aca="false">IFERROR(INDEX(المكونات!$C$2:$C$500,MATCH($B1118,المكونات!$A$2:$A$500,0)),"")</f>
        <v>21</v>
      </c>
      <c r="F1118" s="68" t="n">
        <f aca="false">IFERROR($C1118*$E1118,"")</f>
        <v>0.945</v>
      </c>
    </row>
    <row r="1119" customFormat="false" ht="15" hidden="false" customHeight="true" outlineLevel="0" collapsed="false">
      <c r="A1119" s="65" t="s">
        <v>507</v>
      </c>
      <c r="B1119" s="65" t="s">
        <v>284</v>
      </c>
      <c r="C1119" s="65" t="n">
        <v>0.03</v>
      </c>
      <c r="D1119" s="66" t="str">
        <f aca="false">IFERROR(INDEX(المكونات!$B$2:$B$500,MATCH($B1119,المكونات!$A$2:$A$500,0)),"")</f>
        <v>كجم</v>
      </c>
      <c r="E1119" s="67" t="n">
        <f aca="false">IFERROR(INDEX(المكونات!$C$2:$C$500,MATCH($B1119,المكونات!$A$2:$A$500,0)),"")</f>
        <v>27</v>
      </c>
      <c r="F1119" s="68" t="n">
        <f aca="false">IFERROR($C1119*$E1119,"")</f>
        <v>0.81</v>
      </c>
    </row>
    <row r="1120" customFormat="false" ht="15" hidden="false" customHeight="true" outlineLevel="0" collapsed="false">
      <c r="A1120" s="65" t="s">
        <v>507</v>
      </c>
      <c r="B1120" s="65" t="s">
        <v>227</v>
      </c>
      <c r="C1120" s="65" t="n">
        <v>0.03</v>
      </c>
      <c r="D1120" s="66" t="str">
        <f aca="false">IFERROR(INDEX(المكونات!$B$2:$B$500,MATCH($B1120,المكونات!$A$2:$A$500,0)),"")</f>
        <v>كجم</v>
      </c>
      <c r="E1120" s="67" t="n">
        <f aca="false">IFERROR(INDEX(المكونات!$C$2:$C$500,MATCH($B1120,المكونات!$A$2:$A$500,0)),"")</f>
        <v>95</v>
      </c>
      <c r="F1120" s="68" t="n">
        <f aca="false">IFERROR($C1120*$E1120,"")</f>
        <v>2.85</v>
      </c>
    </row>
    <row r="1121" customFormat="false" ht="15" hidden="false" customHeight="true" outlineLevel="0" collapsed="false">
      <c r="A1121" s="65" t="s">
        <v>507</v>
      </c>
      <c r="B1121" s="65" t="s">
        <v>178</v>
      </c>
      <c r="C1121" s="65" t="n">
        <v>1</v>
      </c>
      <c r="D1121" s="66" t="str">
        <f aca="false">IFERROR(INDEX(المكونات!$B$2:$B$500,MATCH($B1121,المكونات!$A$2:$A$500,0)),"")</f>
        <v>قطعة</v>
      </c>
      <c r="E1121" s="67" t="n">
        <f aca="false">IFERROR(INDEX(المكونات!$C$2:$C$500,MATCH($B1121,المكونات!$A$2:$A$500,0)),"")</f>
        <v>25</v>
      </c>
      <c r="F1121" s="68" t="n">
        <f aca="false">IFERROR($C1121*$E1121,"")</f>
        <v>25</v>
      </c>
    </row>
    <row r="1122" customFormat="false" ht="15" hidden="false" customHeight="true" outlineLevel="0" collapsed="false">
      <c r="A1122" s="65" t="s">
        <v>507</v>
      </c>
      <c r="B1122" s="65" t="s">
        <v>268</v>
      </c>
      <c r="C1122" s="65" t="n">
        <v>1</v>
      </c>
      <c r="D1122" s="66" t="str">
        <f aca="false">IFERROR(INDEX(المكونات!$B$2:$B$500,MATCH($B1122,المكونات!$A$2:$A$500,0)),"")</f>
        <v>قطعة</v>
      </c>
      <c r="E1122" s="67" t="n">
        <f aca="false">IFERROR(INDEX(المكونات!$C$2:$C$500,MATCH($B1122,المكونات!$A$2:$A$500,0)),"")</f>
        <v>5.5</v>
      </c>
      <c r="F1122" s="68" t="n">
        <f aca="false">IFERROR($C1122*$E1122,"")</f>
        <v>5.5</v>
      </c>
    </row>
    <row r="1123" customFormat="false" ht="15" hidden="false" customHeight="true" outlineLevel="0" collapsed="false">
      <c r="A1123" s="65" t="s">
        <v>507</v>
      </c>
      <c r="B1123" s="65" t="s">
        <v>290</v>
      </c>
      <c r="C1123" s="65" t="n">
        <v>3</v>
      </c>
      <c r="D1123" s="66" t="str">
        <f aca="false">IFERROR(INDEX(المكونات!$B$2:$B$500,MATCH($B1123,المكونات!$A$2:$A$500,0)),"")</f>
        <v>قطعة</v>
      </c>
      <c r="E1123" s="67" t="n">
        <f aca="false">IFERROR(INDEX(المكونات!$C$2:$C$500,MATCH($B1123,المكونات!$A$2:$A$500,0)),"")</f>
        <v>0.3</v>
      </c>
      <c r="F1123" s="68" t="n">
        <f aca="false">IFERROR($C1123*$E1123,"")</f>
        <v>0.9</v>
      </c>
    </row>
    <row r="1124" customFormat="false" ht="15" hidden="false" customHeight="true" outlineLevel="0" collapsed="false">
      <c r="A1124" s="65" t="s">
        <v>507</v>
      </c>
      <c r="B1124" s="65" t="s">
        <v>319</v>
      </c>
      <c r="C1124" s="65" t="n">
        <v>1</v>
      </c>
      <c r="D1124" s="66" t="str">
        <f aca="false">IFERROR(INDEX(المكونات!$B$2:$B$500,MATCH($B1124,المكونات!$A$2:$A$500,0)),"")</f>
        <v>قطعة (ورقة)</v>
      </c>
      <c r="E1124" s="67" t="n">
        <f aca="false">IFERROR(INDEX(المكونات!$C$2:$C$500,MATCH($B1124,المكونات!$A$2:$A$500,0)),"")</f>
        <v>0.3665</v>
      </c>
      <c r="F1124" s="68" t="n">
        <f aca="false">IFERROR($C1124*$E1124,"")</f>
        <v>0.3665</v>
      </c>
    </row>
    <row r="1125" customFormat="false" ht="15" hidden="false" customHeight="true" outlineLevel="0" collapsed="false">
      <c r="A1125" s="65" t="s">
        <v>507</v>
      </c>
      <c r="B1125" s="65" t="s">
        <v>133</v>
      </c>
      <c r="C1125" s="65" t="n">
        <v>1</v>
      </c>
      <c r="D1125" s="66" t="str">
        <f aca="false">IFERROR(INDEX(المكونات!$B$2:$B$500,MATCH($B1125,المكونات!$A$2:$A$500,0)),"")</f>
        <v>قطعة (كيس)</v>
      </c>
      <c r="E1125" s="67" t="n">
        <f aca="false">IFERROR(INDEX(المكونات!$C$2:$C$500,MATCH($B1125,المكونات!$A$2:$A$500,0)),"")</f>
        <v>1.4</v>
      </c>
      <c r="F1125" s="68" t="n">
        <f aca="false">IFERROR($C1125*$E1125,"")</f>
        <v>1.4</v>
      </c>
    </row>
    <row r="1126" customFormat="false" ht="15" hidden="false" customHeight="true" outlineLevel="0" collapsed="false">
      <c r="A1126" s="65" t="s">
        <v>507</v>
      </c>
      <c r="B1126" s="65" t="s">
        <v>293</v>
      </c>
      <c r="C1126" s="65" t="n">
        <v>1</v>
      </c>
      <c r="D1126" s="66" t="str">
        <f aca="false">IFERROR(INDEX(المكونات!$B$2:$B$500,MATCH($B1126,المكونات!$A$2:$A$500,0)),"")</f>
        <v>قطعة</v>
      </c>
      <c r="E1126" s="67" t="n">
        <f aca="false">IFERROR(INDEX(المكونات!$C$2:$C$500,MATCH($B1126,المكونات!$A$2:$A$500,0)),"")</f>
        <v>0.5</v>
      </c>
      <c r="F1126" s="68" t="n">
        <f aca="false">IFERROR($C1126*$E1126,"")</f>
        <v>0.5</v>
      </c>
    </row>
    <row r="1127" customFormat="false" ht="15" hidden="false" customHeight="true" outlineLevel="0" collapsed="false">
      <c r="A1127" s="65" t="s">
        <v>507</v>
      </c>
      <c r="B1127" s="65" t="s">
        <v>211</v>
      </c>
      <c r="C1127" s="65" t="n">
        <v>2</v>
      </c>
      <c r="D1127" s="66" t="str">
        <f aca="false">IFERROR(INDEX(المكونات!$B$2:$B$500,MATCH($B1127,المكونات!$A$2:$A$500,0)),"")</f>
        <v>قطعة (جلفز)</v>
      </c>
      <c r="E1127" s="67" t="n">
        <f aca="false">IFERROR(INDEX(المكونات!$C$2:$C$500,MATCH($B1127,المكونات!$A$2:$A$500,0)),"")</f>
        <v>0.18</v>
      </c>
      <c r="F1127" s="68" t="n">
        <f aca="false">IFERROR($C1127*$E1127,"")</f>
        <v>0.36</v>
      </c>
    </row>
    <row r="1128" customFormat="false" ht="15" hidden="false" customHeight="true" outlineLevel="0" collapsed="false">
      <c r="A1128" s="65" t="s">
        <v>507</v>
      </c>
      <c r="B1128" s="65" t="s">
        <v>322</v>
      </c>
      <c r="C1128" s="65" t="n">
        <v>1</v>
      </c>
      <c r="D1128" s="66" t="str">
        <f aca="false">IFERROR(INDEX(المكونات!$B$2:$B$500,MATCH($B1128,المكونات!$A$2:$A$500,0)),"")</f>
        <v>قطعة (كيس)</v>
      </c>
      <c r="E1128" s="67" t="n">
        <f aca="false">IFERROR(INDEX(المكونات!$C$2:$C$500,MATCH($B1128,المكونات!$A$2:$A$500,0)),"")</f>
        <v>1</v>
      </c>
      <c r="F1128" s="68" t="n">
        <f aca="false">IFERROR($C1128*$E1128,"")</f>
        <v>1</v>
      </c>
    </row>
    <row r="1129" customFormat="false" ht="15" hidden="false" customHeight="true" outlineLevel="0" collapsed="false">
      <c r="A1129" s="65" t="s">
        <v>507</v>
      </c>
      <c r="B1129" s="65" t="s">
        <v>150</v>
      </c>
      <c r="C1129" s="65" t="n">
        <v>1.5</v>
      </c>
      <c r="D1129" s="66" t="str">
        <f aca="false">IFERROR(INDEX(المكونات!$B$2:$B$500,MATCH($B1129,المكونات!$A$2:$A$500,0)),"")</f>
        <v>قطعة</v>
      </c>
      <c r="E1129" s="67" t="n">
        <f aca="false">IFERROR(INDEX(المكونات!$C$2:$C$500,MATCH($B1129,المكونات!$A$2:$A$500,0)),"")</f>
        <v>95</v>
      </c>
      <c r="F1129" s="68" t="n">
        <f aca="false">IFERROR($C1129*$E1129,"")</f>
        <v>142.5</v>
      </c>
    </row>
    <row r="1130" customFormat="false" ht="15" hidden="false" customHeight="true" outlineLevel="0" collapsed="false">
      <c r="A1130" s="65" t="s">
        <v>489</v>
      </c>
      <c r="B1130" s="65" t="s">
        <v>262</v>
      </c>
      <c r="C1130" s="65" t="n">
        <v>0.22</v>
      </c>
      <c r="D1130" s="66" t="str">
        <f aca="false">IFERROR(INDEX(المكونات!$B$2:$B$500,MATCH($B1130,المكونات!$A$2:$A$500,0)),"")</f>
        <v>كجم</v>
      </c>
      <c r="E1130" s="67" t="n">
        <f aca="false">IFERROR(INDEX(المكونات!$C$2:$C$500,MATCH($B1130,المكونات!$A$2:$A$500,0)),"")</f>
        <v>22</v>
      </c>
      <c r="F1130" s="68" t="n">
        <f aca="false">IFERROR($C1130*$E1130,"")</f>
        <v>4.84</v>
      </c>
    </row>
    <row r="1131" customFormat="false" ht="15" hidden="false" customHeight="true" outlineLevel="0" collapsed="false">
      <c r="A1131" s="65" t="s">
        <v>489</v>
      </c>
      <c r="B1131" s="65" t="s">
        <v>250</v>
      </c>
      <c r="C1131" s="65" t="n">
        <v>0.04</v>
      </c>
      <c r="D1131" s="66" t="str">
        <f aca="false">IFERROR(INDEX(المكونات!$B$2:$B$500,MATCH($B1131,المكونات!$A$2:$A$500,0)),"")</f>
        <v>كجم</v>
      </c>
      <c r="E1131" s="67" t="n">
        <f aca="false">IFERROR(INDEX(المكونات!$C$2:$C$500,MATCH($B1131,المكونات!$A$2:$A$500,0)),"")</f>
        <v>32</v>
      </c>
      <c r="F1131" s="68" t="n">
        <f aca="false">IFERROR($C1131*$E1131,"")</f>
        <v>1.28</v>
      </c>
    </row>
    <row r="1132" customFormat="false" ht="15" hidden="false" customHeight="true" outlineLevel="0" collapsed="false">
      <c r="A1132" s="65" t="s">
        <v>489</v>
      </c>
      <c r="B1132" s="65" t="s">
        <v>260</v>
      </c>
      <c r="C1132" s="65" t="n">
        <v>0.03</v>
      </c>
      <c r="D1132" s="66" t="str">
        <f aca="false">IFERROR(INDEX(المكونات!$B$2:$B$500,MATCH($B1132,المكونات!$A$2:$A$500,0)),"")</f>
        <v>كجم</v>
      </c>
      <c r="E1132" s="67" t="n">
        <f aca="false">IFERROR(INDEX(المكونات!$C$2:$C$500,MATCH($B1132,المكونات!$A$2:$A$500,0)),"")</f>
        <v>21</v>
      </c>
      <c r="F1132" s="68" t="n">
        <f aca="false">IFERROR($C1132*$E1132,"")</f>
        <v>0.63</v>
      </c>
    </row>
    <row r="1133" customFormat="false" ht="15" hidden="false" customHeight="true" outlineLevel="0" collapsed="false">
      <c r="A1133" s="65" t="s">
        <v>489</v>
      </c>
      <c r="B1133" s="65" t="s">
        <v>284</v>
      </c>
      <c r="C1133" s="65" t="n">
        <v>0.02</v>
      </c>
      <c r="D1133" s="66" t="str">
        <f aca="false">IFERROR(INDEX(المكونات!$B$2:$B$500,MATCH($B1133,المكونات!$A$2:$A$500,0)),"")</f>
        <v>كجم</v>
      </c>
      <c r="E1133" s="67" t="n">
        <f aca="false">IFERROR(INDEX(المكونات!$C$2:$C$500,MATCH($B1133,المكونات!$A$2:$A$500,0)),"")</f>
        <v>27</v>
      </c>
      <c r="F1133" s="68" t="n">
        <f aca="false">IFERROR($C1133*$E1133,"")</f>
        <v>0.54</v>
      </c>
    </row>
    <row r="1134" customFormat="false" ht="15" hidden="false" customHeight="true" outlineLevel="0" collapsed="false">
      <c r="A1134" s="65" t="s">
        <v>489</v>
      </c>
      <c r="B1134" s="65" t="s">
        <v>227</v>
      </c>
      <c r="C1134" s="65" t="n">
        <v>0.02</v>
      </c>
      <c r="D1134" s="66" t="str">
        <f aca="false">IFERROR(INDEX(المكونات!$B$2:$B$500,MATCH($B1134,المكونات!$A$2:$A$500,0)),"")</f>
        <v>كجم</v>
      </c>
      <c r="E1134" s="67" t="n">
        <f aca="false">IFERROR(INDEX(المكونات!$C$2:$C$500,MATCH($B1134,المكونات!$A$2:$A$500,0)),"")</f>
        <v>95</v>
      </c>
      <c r="F1134" s="68" t="n">
        <f aca="false">IFERROR($C1134*$E1134,"")</f>
        <v>1.9</v>
      </c>
    </row>
    <row r="1135" customFormat="false" ht="15" hidden="false" customHeight="true" outlineLevel="0" collapsed="false">
      <c r="A1135" s="65" t="s">
        <v>489</v>
      </c>
      <c r="B1135" s="65" t="s">
        <v>176</v>
      </c>
      <c r="C1135" s="65" t="n">
        <v>1</v>
      </c>
      <c r="D1135" s="66" t="str">
        <f aca="false">IFERROR(INDEX(المكونات!$B$2:$B$500,MATCH($B1135,المكونات!$A$2:$A$500,0)),"")</f>
        <v>قطعة</v>
      </c>
      <c r="E1135" s="67" t="n">
        <f aca="false">IFERROR(INDEX(المكونات!$C$2:$C$500,MATCH($B1135,المكونات!$A$2:$A$500,0)),"")</f>
        <v>17.5</v>
      </c>
      <c r="F1135" s="68" t="n">
        <f aca="false">IFERROR($C1135*$E1135,"")</f>
        <v>17.5</v>
      </c>
    </row>
    <row r="1136" customFormat="false" ht="15" hidden="false" customHeight="true" outlineLevel="0" collapsed="false">
      <c r="A1136" s="65" t="s">
        <v>489</v>
      </c>
      <c r="B1136" s="65" t="s">
        <v>270</v>
      </c>
      <c r="C1136" s="65" t="n">
        <v>1</v>
      </c>
      <c r="D1136" s="66" t="str">
        <f aca="false">IFERROR(INDEX(المكونات!$B$2:$B$500,MATCH($B1136,المكونات!$A$2:$A$500,0)),"")</f>
        <v>قطعة</v>
      </c>
      <c r="E1136" s="67" t="n">
        <f aca="false">IFERROR(INDEX(المكونات!$C$2:$C$500,MATCH($B1136,المكونات!$A$2:$A$500,0)),"")</f>
        <v>4.5</v>
      </c>
      <c r="F1136" s="68" t="n">
        <f aca="false">IFERROR($C1136*$E1136,"")</f>
        <v>4.5</v>
      </c>
    </row>
    <row r="1137" customFormat="false" ht="15" hidden="false" customHeight="true" outlineLevel="0" collapsed="false">
      <c r="A1137" s="65" t="s">
        <v>489</v>
      </c>
      <c r="B1137" s="65" t="s">
        <v>290</v>
      </c>
      <c r="C1137" s="65" t="n">
        <v>2</v>
      </c>
      <c r="D1137" s="66" t="str">
        <f aca="false">IFERROR(INDEX(المكونات!$B$2:$B$500,MATCH($B1137,المكونات!$A$2:$A$500,0)),"")</f>
        <v>قطعة</v>
      </c>
      <c r="E1137" s="67" t="n">
        <f aca="false">IFERROR(INDEX(المكونات!$C$2:$C$500,MATCH($B1137,المكونات!$A$2:$A$500,0)),"")</f>
        <v>0.3</v>
      </c>
      <c r="F1137" s="68" t="n">
        <f aca="false">IFERROR($C1137*$E1137,"")</f>
        <v>0.6</v>
      </c>
    </row>
    <row r="1138" customFormat="false" ht="15" hidden="false" customHeight="true" outlineLevel="0" collapsed="false">
      <c r="A1138" s="65" t="s">
        <v>489</v>
      </c>
      <c r="B1138" s="65" t="s">
        <v>319</v>
      </c>
      <c r="C1138" s="65" t="n">
        <v>1</v>
      </c>
      <c r="D1138" s="66" t="str">
        <f aca="false">IFERROR(INDEX(المكونات!$B$2:$B$500,MATCH($B1138,المكونات!$A$2:$A$500,0)),"")</f>
        <v>قطعة (ورقة)</v>
      </c>
      <c r="E1138" s="67" t="n">
        <f aca="false">IFERROR(INDEX(المكونات!$C$2:$C$500,MATCH($B1138,المكونات!$A$2:$A$500,0)),"")</f>
        <v>0.3665</v>
      </c>
      <c r="F1138" s="68" t="n">
        <f aca="false">IFERROR($C1138*$E1138,"")</f>
        <v>0.3665</v>
      </c>
    </row>
    <row r="1139" customFormat="false" ht="15" hidden="false" customHeight="true" outlineLevel="0" collapsed="false">
      <c r="A1139" s="65" t="s">
        <v>489</v>
      </c>
      <c r="B1139" s="65" t="s">
        <v>133</v>
      </c>
      <c r="C1139" s="65" t="n">
        <v>1</v>
      </c>
      <c r="D1139" s="66" t="str">
        <f aca="false">IFERROR(INDEX(المكونات!$B$2:$B$500,MATCH($B1139,المكونات!$A$2:$A$500,0)),"")</f>
        <v>قطعة (كيس)</v>
      </c>
      <c r="E1139" s="67" t="n">
        <f aca="false">IFERROR(INDEX(المكونات!$C$2:$C$500,MATCH($B1139,المكونات!$A$2:$A$500,0)),"")</f>
        <v>1.4</v>
      </c>
      <c r="F1139" s="68" t="n">
        <f aca="false">IFERROR($C1139*$E1139,"")</f>
        <v>1.4</v>
      </c>
    </row>
    <row r="1140" customFormat="false" ht="15" hidden="false" customHeight="true" outlineLevel="0" collapsed="false">
      <c r="A1140" s="65" t="s">
        <v>489</v>
      </c>
      <c r="B1140" s="65" t="s">
        <v>293</v>
      </c>
      <c r="C1140" s="65" t="n">
        <v>1</v>
      </c>
      <c r="D1140" s="66" t="str">
        <f aca="false">IFERROR(INDEX(المكونات!$B$2:$B$500,MATCH($B1140,المكونات!$A$2:$A$500,0)),"")</f>
        <v>قطعة</v>
      </c>
      <c r="E1140" s="67" t="n">
        <f aca="false">IFERROR(INDEX(المكونات!$C$2:$C$500,MATCH($B1140,المكونات!$A$2:$A$500,0)),"")</f>
        <v>0.5</v>
      </c>
      <c r="F1140" s="68" t="n">
        <f aca="false">IFERROR($C1140*$E1140,"")</f>
        <v>0.5</v>
      </c>
    </row>
    <row r="1141" customFormat="false" ht="15" hidden="false" customHeight="true" outlineLevel="0" collapsed="false">
      <c r="A1141" s="65" t="s">
        <v>489</v>
      </c>
      <c r="B1141" s="65" t="s">
        <v>211</v>
      </c>
      <c r="C1141" s="65" t="n">
        <v>2</v>
      </c>
      <c r="D1141" s="66" t="str">
        <f aca="false">IFERROR(INDEX(المكونات!$B$2:$B$500,MATCH($B1141,المكونات!$A$2:$A$500,0)),"")</f>
        <v>قطعة (جلفز)</v>
      </c>
      <c r="E1141" s="67" t="n">
        <f aca="false">IFERROR(INDEX(المكونات!$C$2:$C$500,MATCH($B1141,المكونات!$A$2:$A$500,0)),"")</f>
        <v>0.18</v>
      </c>
      <c r="F1141" s="68" t="n">
        <f aca="false">IFERROR($C1141*$E1141,"")</f>
        <v>0.36</v>
      </c>
    </row>
    <row r="1142" customFormat="false" ht="15" hidden="false" customHeight="true" outlineLevel="0" collapsed="false">
      <c r="A1142" s="65" t="s">
        <v>489</v>
      </c>
      <c r="B1142" s="65" t="s">
        <v>322</v>
      </c>
      <c r="C1142" s="65" t="n">
        <v>1</v>
      </c>
      <c r="D1142" s="66" t="str">
        <f aca="false">IFERROR(INDEX(المكونات!$B$2:$B$500,MATCH($B1142,المكونات!$A$2:$A$500,0)),"")</f>
        <v>قطعة (كيس)</v>
      </c>
      <c r="E1142" s="67" t="n">
        <f aca="false">IFERROR(INDEX(المكونات!$C$2:$C$500,MATCH($B1142,المكونات!$A$2:$A$500,0)),"")</f>
        <v>1</v>
      </c>
      <c r="F1142" s="68" t="n">
        <f aca="false">IFERROR($C1142*$E1142,"")</f>
        <v>1</v>
      </c>
    </row>
    <row r="1143" customFormat="false" ht="15" hidden="false" customHeight="true" outlineLevel="0" collapsed="false">
      <c r="A1143" s="65" t="s">
        <v>489</v>
      </c>
      <c r="B1143" s="65" t="s">
        <v>280</v>
      </c>
      <c r="C1143" s="65" t="n">
        <v>1</v>
      </c>
      <c r="D1143" s="66" t="str">
        <f aca="false">IFERROR(INDEX(المكونات!$B$2:$B$500,MATCH($B1143,المكونات!$A$2:$A$500,0)),"")</f>
        <v>قطعة</v>
      </c>
      <c r="E1143" s="67" t="n">
        <f aca="false">IFERROR(INDEX(المكونات!$C$2:$C$500,MATCH($B1143,المكونات!$A$2:$A$500,0)),"")</f>
        <v>42.03</v>
      </c>
      <c r="F1143" s="68" t="n">
        <f aca="false">IFERROR($C1143*$E1143,"")</f>
        <v>42.03</v>
      </c>
    </row>
    <row r="1144" customFormat="false" ht="15" hidden="false" customHeight="true" outlineLevel="0" collapsed="false">
      <c r="A1144" s="65" t="s">
        <v>508</v>
      </c>
      <c r="B1144" s="65" t="s">
        <v>262</v>
      </c>
      <c r="C1144" s="65" t="n">
        <v>0.3</v>
      </c>
      <c r="D1144" s="66" t="str">
        <f aca="false">IFERROR(INDEX(المكونات!$B$2:$B$500,MATCH($B1144,المكونات!$A$2:$A$500,0)),"")</f>
        <v>كجم</v>
      </c>
      <c r="E1144" s="67" t="n">
        <f aca="false">IFERROR(INDEX(المكونات!$C$2:$C$500,MATCH($B1144,المكونات!$A$2:$A$500,0)),"")</f>
        <v>22</v>
      </c>
      <c r="F1144" s="68" t="n">
        <f aca="false">IFERROR($C1144*$E1144,"")</f>
        <v>6.6</v>
      </c>
    </row>
    <row r="1145" customFormat="false" ht="15" hidden="false" customHeight="true" outlineLevel="0" collapsed="false">
      <c r="A1145" s="65" t="s">
        <v>508</v>
      </c>
      <c r="B1145" s="65" t="s">
        <v>250</v>
      </c>
      <c r="C1145" s="65" t="n">
        <v>0.06</v>
      </c>
      <c r="D1145" s="66" t="str">
        <f aca="false">IFERROR(INDEX(المكونات!$B$2:$B$500,MATCH($B1145,المكونات!$A$2:$A$500,0)),"")</f>
        <v>كجم</v>
      </c>
      <c r="E1145" s="67" t="n">
        <f aca="false">IFERROR(INDEX(المكونات!$C$2:$C$500,MATCH($B1145,المكونات!$A$2:$A$500,0)),"")</f>
        <v>32</v>
      </c>
      <c r="F1145" s="68" t="n">
        <f aca="false">IFERROR($C1145*$E1145,"")</f>
        <v>1.92</v>
      </c>
    </row>
    <row r="1146" customFormat="false" ht="15" hidden="false" customHeight="true" outlineLevel="0" collapsed="false">
      <c r="A1146" s="65" t="s">
        <v>508</v>
      </c>
      <c r="B1146" s="65" t="s">
        <v>260</v>
      </c>
      <c r="C1146" s="65" t="n">
        <v>0.045</v>
      </c>
      <c r="D1146" s="66" t="str">
        <f aca="false">IFERROR(INDEX(المكونات!$B$2:$B$500,MATCH($B1146,المكونات!$A$2:$A$500,0)),"")</f>
        <v>كجم</v>
      </c>
      <c r="E1146" s="67" t="n">
        <f aca="false">IFERROR(INDEX(المكونات!$C$2:$C$500,MATCH($B1146,المكونات!$A$2:$A$500,0)),"")</f>
        <v>21</v>
      </c>
      <c r="F1146" s="68" t="n">
        <f aca="false">IFERROR($C1146*$E1146,"")</f>
        <v>0.945</v>
      </c>
    </row>
    <row r="1147" customFormat="false" ht="15" hidden="false" customHeight="true" outlineLevel="0" collapsed="false">
      <c r="A1147" s="65" t="s">
        <v>508</v>
      </c>
      <c r="B1147" s="65" t="s">
        <v>284</v>
      </c>
      <c r="C1147" s="65" t="n">
        <v>0.03</v>
      </c>
      <c r="D1147" s="66" t="str">
        <f aca="false">IFERROR(INDEX(المكونات!$B$2:$B$500,MATCH($B1147,المكونات!$A$2:$A$500,0)),"")</f>
        <v>كجم</v>
      </c>
      <c r="E1147" s="67" t="n">
        <f aca="false">IFERROR(INDEX(المكونات!$C$2:$C$500,MATCH($B1147,المكونات!$A$2:$A$500,0)),"")</f>
        <v>27</v>
      </c>
      <c r="F1147" s="68" t="n">
        <f aca="false">IFERROR($C1147*$E1147,"")</f>
        <v>0.81</v>
      </c>
    </row>
    <row r="1148" customFormat="false" ht="15" hidden="false" customHeight="true" outlineLevel="0" collapsed="false">
      <c r="A1148" s="65" t="s">
        <v>508</v>
      </c>
      <c r="B1148" s="65" t="s">
        <v>227</v>
      </c>
      <c r="C1148" s="65" t="n">
        <v>0.03</v>
      </c>
      <c r="D1148" s="66" t="str">
        <f aca="false">IFERROR(INDEX(المكونات!$B$2:$B$500,MATCH($B1148,المكونات!$A$2:$A$500,0)),"")</f>
        <v>كجم</v>
      </c>
      <c r="E1148" s="67" t="n">
        <f aca="false">IFERROR(INDEX(المكونات!$C$2:$C$500,MATCH($B1148,المكونات!$A$2:$A$500,0)),"")</f>
        <v>95</v>
      </c>
      <c r="F1148" s="68" t="n">
        <f aca="false">IFERROR($C1148*$E1148,"")</f>
        <v>2.85</v>
      </c>
    </row>
    <row r="1149" customFormat="false" ht="15" hidden="false" customHeight="true" outlineLevel="0" collapsed="false">
      <c r="A1149" s="65" t="s">
        <v>508</v>
      </c>
      <c r="B1149" s="65" t="s">
        <v>178</v>
      </c>
      <c r="C1149" s="65" t="n">
        <v>1</v>
      </c>
      <c r="D1149" s="66" t="str">
        <f aca="false">IFERROR(INDEX(المكونات!$B$2:$B$500,MATCH($B1149,المكونات!$A$2:$A$500,0)),"")</f>
        <v>قطعة</v>
      </c>
      <c r="E1149" s="67" t="n">
        <f aca="false">IFERROR(INDEX(المكونات!$C$2:$C$500,MATCH($B1149,المكونات!$A$2:$A$500,0)),"")</f>
        <v>25</v>
      </c>
      <c r="F1149" s="68" t="n">
        <f aca="false">IFERROR($C1149*$E1149,"")</f>
        <v>25</v>
      </c>
    </row>
    <row r="1150" customFormat="false" ht="15" hidden="false" customHeight="true" outlineLevel="0" collapsed="false">
      <c r="A1150" s="65" t="s">
        <v>508</v>
      </c>
      <c r="B1150" s="65" t="s">
        <v>268</v>
      </c>
      <c r="C1150" s="65" t="n">
        <v>1</v>
      </c>
      <c r="D1150" s="66" t="str">
        <f aca="false">IFERROR(INDEX(المكونات!$B$2:$B$500,MATCH($B1150,المكونات!$A$2:$A$500,0)),"")</f>
        <v>قطعة</v>
      </c>
      <c r="E1150" s="67" t="n">
        <f aca="false">IFERROR(INDEX(المكونات!$C$2:$C$500,MATCH($B1150,المكونات!$A$2:$A$500,0)),"")</f>
        <v>5.5</v>
      </c>
      <c r="F1150" s="68" t="n">
        <f aca="false">IFERROR($C1150*$E1150,"")</f>
        <v>5.5</v>
      </c>
    </row>
    <row r="1151" customFormat="false" ht="15" hidden="false" customHeight="true" outlineLevel="0" collapsed="false">
      <c r="A1151" s="65" t="s">
        <v>508</v>
      </c>
      <c r="B1151" s="65" t="s">
        <v>290</v>
      </c>
      <c r="C1151" s="65" t="n">
        <v>3</v>
      </c>
      <c r="D1151" s="66" t="str">
        <f aca="false">IFERROR(INDEX(المكونات!$B$2:$B$500,MATCH($B1151,المكونات!$A$2:$A$500,0)),"")</f>
        <v>قطعة</v>
      </c>
      <c r="E1151" s="67" t="n">
        <f aca="false">IFERROR(INDEX(المكونات!$C$2:$C$500,MATCH($B1151,المكونات!$A$2:$A$500,0)),"")</f>
        <v>0.3</v>
      </c>
      <c r="F1151" s="68" t="n">
        <f aca="false">IFERROR($C1151*$E1151,"")</f>
        <v>0.9</v>
      </c>
    </row>
    <row r="1152" customFormat="false" ht="15" hidden="false" customHeight="true" outlineLevel="0" collapsed="false">
      <c r="A1152" s="65" t="s">
        <v>508</v>
      </c>
      <c r="B1152" s="65" t="s">
        <v>319</v>
      </c>
      <c r="C1152" s="65" t="n">
        <v>1</v>
      </c>
      <c r="D1152" s="66" t="str">
        <f aca="false">IFERROR(INDEX(المكونات!$B$2:$B$500,MATCH($B1152,المكونات!$A$2:$A$500,0)),"")</f>
        <v>قطعة (ورقة)</v>
      </c>
      <c r="E1152" s="67" t="n">
        <f aca="false">IFERROR(INDEX(المكونات!$C$2:$C$500,MATCH($B1152,المكونات!$A$2:$A$500,0)),"")</f>
        <v>0.3665</v>
      </c>
      <c r="F1152" s="68" t="n">
        <f aca="false">IFERROR($C1152*$E1152,"")</f>
        <v>0.3665</v>
      </c>
    </row>
    <row r="1153" customFormat="false" ht="15" hidden="false" customHeight="true" outlineLevel="0" collapsed="false">
      <c r="A1153" s="65" t="s">
        <v>508</v>
      </c>
      <c r="B1153" s="65" t="s">
        <v>133</v>
      </c>
      <c r="C1153" s="65" t="n">
        <v>1</v>
      </c>
      <c r="D1153" s="66" t="str">
        <f aca="false">IFERROR(INDEX(المكونات!$B$2:$B$500,MATCH($B1153,المكونات!$A$2:$A$500,0)),"")</f>
        <v>قطعة (كيس)</v>
      </c>
      <c r="E1153" s="67" t="n">
        <f aca="false">IFERROR(INDEX(المكونات!$C$2:$C$500,MATCH($B1153,المكونات!$A$2:$A$500,0)),"")</f>
        <v>1.4</v>
      </c>
      <c r="F1153" s="68" t="n">
        <f aca="false">IFERROR($C1153*$E1153,"")</f>
        <v>1.4</v>
      </c>
    </row>
    <row r="1154" customFormat="false" ht="15" hidden="false" customHeight="true" outlineLevel="0" collapsed="false">
      <c r="A1154" s="65" t="s">
        <v>508</v>
      </c>
      <c r="B1154" s="65" t="s">
        <v>293</v>
      </c>
      <c r="C1154" s="65" t="n">
        <v>1</v>
      </c>
      <c r="D1154" s="66" t="str">
        <f aca="false">IFERROR(INDEX(المكونات!$B$2:$B$500,MATCH($B1154,المكونات!$A$2:$A$500,0)),"")</f>
        <v>قطعة</v>
      </c>
      <c r="E1154" s="67" t="n">
        <f aca="false">IFERROR(INDEX(المكونات!$C$2:$C$500,MATCH($B1154,المكونات!$A$2:$A$500,0)),"")</f>
        <v>0.5</v>
      </c>
      <c r="F1154" s="68" t="n">
        <f aca="false">IFERROR($C1154*$E1154,"")</f>
        <v>0.5</v>
      </c>
    </row>
    <row r="1155" customFormat="false" ht="15" hidden="false" customHeight="true" outlineLevel="0" collapsed="false">
      <c r="A1155" s="65" t="s">
        <v>508</v>
      </c>
      <c r="B1155" s="65" t="s">
        <v>211</v>
      </c>
      <c r="C1155" s="65" t="n">
        <v>2</v>
      </c>
      <c r="D1155" s="66" t="str">
        <f aca="false">IFERROR(INDEX(المكونات!$B$2:$B$500,MATCH($B1155,المكونات!$A$2:$A$500,0)),"")</f>
        <v>قطعة (جلفز)</v>
      </c>
      <c r="E1155" s="67" t="n">
        <f aca="false">IFERROR(INDEX(المكونات!$C$2:$C$500,MATCH($B1155,المكونات!$A$2:$A$500,0)),"")</f>
        <v>0.18</v>
      </c>
      <c r="F1155" s="68" t="n">
        <f aca="false">IFERROR($C1155*$E1155,"")</f>
        <v>0.36</v>
      </c>
    </row>
    <row r="1156" customFormat="false" ht="15" hidden="false" customHeight="true" outlineLevel="0" collapsed="false">
      <c r="A1156" s="65" t="s">
        <v>508</v>
      </c>
      <c r="B1156" s="65" t="s">
        <v>322</v>
      </c>
      <c r="C1156" s="65" t="n">
        <v>1</v>
      </c>
      <c r="D1156" s="66" t="str">
        <f aca="false">IFERROR(INDEX(المكونات!$B$2:$B$500,MATCH($B1156,المكونات!$A$2:$A$500,0)),"")</f>
        <v>قطعة (كيس)</v>
      </c>
      <c r="E1156" s="67" t="n">
        <f aca="false">IFERROR(INDEX(المكونات!$C$2:$C$500,MATCH($B1156,المكونات!$A$2:$A$500,0)),"")</f>
        <v>1</v>
      </c>
      <c r="F1156" s="68" t="n">
        <f aca="false">IFERROR($C1156*$E1156,"")</f>
        <v>1</v>
      </c>
    </row>
    <row r="1157" customFormat="false" ht="15" hidden="false" customHeight="true" outlineLevel="0" collapsed="false">
      <c r="A1157" s="65" t="s">
        <v>508</v>
      </c>
      <c r="B1157" s="65" t="s">
        <v>280</v>
      </c>
      <c r="C1157" s="65" t="n">
        <v>1.5</v>
      </c>
      <c r="D1157" s="66" t="str">
        <f aca="false">IFERROR(INDEX(المكونات!$B$2:$B$500,MATCH($B1157,المكونات!$A$2:$A$500,0)),"")</f>
        <v>قطعة</v>
      </c>
      <c r="E1157" s="67" t="n">
        <f aca="false">IFERROR(INDEX(المكونات!$C$2:$C$500,MATCH($B1157,المكونات!$A$2:$A$500,0)),"")</f>
        <v>42.03</v>
      </c>
      <c r="F1157" s="68" t="n">
        <f aca="false">IFERROR($C1157*$E1157,"")</f>
        <v>63.045</v>
      </c>
    </row>
    <row r="1158" customFormat="false" ht="15" hidden="false" customHeight="true" outlineLevel="0" collapsed="false">
      <c r="A1158" s="65" t="s">
        <v>503</v>
      </c>
      <c r="B1158" s="65" t="s">
        <v>264</v>
      </c>
      <c r="C1158" s="65" t="n">
        <v>1</v>
      </c>
      <c r="D1158" s="66" t="str">
        <f aca="false">IFERROR(INDEX(المكونات!$B$2:$B$500,MATCH($B1158,المكونات!$A$2:$A$500,0)),"")</f>
        <v>قطعة</v>
      </c>
      <c r="E1158" s="67" t="n">
        <f aca="false">IFERROR(INDEX(المكونات!$C$2:$C$500,MATCH($B1158,المكونات!$A$2:$A$500,0)),"")</f>
        <v>4</v>
      </c>
      <c r="F1158" s="68" t="n">
        <f aca="false">IFERROR($C1158*$E1158,"")</f>
        <v>4</v>
      </c>
    </row>
    <row r="1159" customFormat="false" ht="15" hidden="false" customHeight="true" outlineLevel="0" collapsed="false">
      <c r="A1159" s="65" t="s">
        <v>503</v>
      </c>
      <c r="B1159" s="65" t="s">
        <v>260</v>
      </c>
      <c r="C1159" s="65" t="n">
        <v>0.03</v>
      </c>
      <c r="D1159" s="66" t="str">
        <f aca="false">IFERROR(INDEX(المكونات!$B$2:$B$500,MATCH($B1159,المكونات!$A$2:$A$500,0)),"")</f>
        <v>كجم</v>
      </c>
      <c r="E1159" s="67" t="n">
        <f aca="false">IFERROR(INDEX(المكونات!$C$2:$C$500,MATCH($B1159,المكونات!$A$2:$A$500,0)),"")</f>
        <v>21</v>
      </c>
      <c r="F1159" s="68" t="n">
        <f aca="false">IFERROR($C1159*$E1159,"")</f>
        <v>0.63</v>
      </c>
    </row>
    <row r="1160" customFormat="false" ht="15" hidden="false" customHeight="true" outlineLevel="0" collapsed="false">
      <c r="A1160" s="65" t="s">
        <v>503</v>
      </c>
      <c r="B1160" s="65" t="s">
        <v>284</v>
      </c>
      <c r="C1160" s="65" t="n">
        <v>0.02</v>
      </c>
      <c r="D1160" s="66" t="str">
        <f aca="false">IFERROR(INDEX(المكونات!$B$2:$B$500,MATCH($B1160,المكونات!$A$2:$A$500,0)),"")</f>
        <v>كجم</v>
      </c>
      <c r="E1160" s="67" t="n">
        <f aca="false">IFERROR(INDEX(المكونات!$C$2:$C$500,MATCH($B1160,المكونات!$A$2:$A$500,0)),"")</f>
        <v>27</v>
      </c>
      <c r="F1160" s="68" t="n">
        <f aca="false">IFERROR($C1160*$E1160,"")</f>
        <v>0.54</v>
      </c>
    </row>
    <row r="1161" customFormat="false" ht="15" hidden="false" customHeight="true" outlineLevel="0" collapsed="false">
      <c r="A1161" s="65" t="s">
        <v>503</v>
      </c>
      <c r="B1161" s="65" t="s">
        <v>227</v>
      </c>
      <c r="C1161" s="65" t="n">
        <v>0.02</v>
      </c>
      <c r="D1161" s="66" t="str">
        <f aca="false">IFERROR(INDEX(المكونات!$B$2:$B$500,MATCH($B1161,المكونات!$A$2:$A$500,0)),"")</f>
        <v>كجم</v>
      </c>
      <c r="E1161" s="67" t="n">
        <f aca="false">IFERROR(INDEX(المكونات!$C$2:$C$500,MATCH($B1161,المكونات!$A$2:$A$500,0)),"")</f>
        <v>95</v>
      </c>
      <c r="F1161" s="68" t="n">
        <f aca="false">IFERROR($C1161*$E1161,"")</f>
        <v>1.9</v>
      </c>
    </row>
    <row r="1162" customFormat="false" ht="15" hidden="false" customHeight="true" outlineLevel="0" collapsed="false">
      <c r="A1162" s="65" t="s">
        <v>503</v>
      </c>
      <c r="B1162" s="65" t="s">
        <v>176</v>
      </c>
      <c r="C1162" s="65" t="n">
        <v>1</v>
      </c>
      <c r="D1162" s="66" t="str">
        <f aca="false">IFERROR(INDEX(المكونات!$B$2:$B$500,MATCH($B1162,المكونات!$A$2:$A$500,0)),"")</f>
        <v>قطعة</v>
      </c>
      <c r="E1162" s="67" t="n">
        <f aca="false">IFERROR(INDEX(المكونات!$C$2:$C$500,MATCH($B1162,المكونات!$A$2:$A$500,0)),"")</f>
        <v>17.5</v>
      </c>
      <c r="F1162" s="68" t="n">
        <f aca="false">IFERROR($C1162*$E1162,"")</f>
        <v>17.5</v>
      </c>
    </row>
    <row r="1163" customFormat="false" ht="15" hidden="false" customHeight="true" outlineLevel="0" collapsed="false">
      <c r="A1163" s="65" t="s">
        <v>503</v>
      </c>
      <c r="B1163" s="65" t="s">
        <v>270</v>
      </c>
      <c r="C1163" s="65" t="n">
        <v>1</v>
      </c>
      <c r="D1163" s="66" t="str">
        <f aca="false">IFERROR(INDEX(المكونات!$B$2:$B$500,MATCH($B1163,المكونات!$A$2:$A$500,0)),"")</f>
        <v>قطعة</v>
      </c>
      <c r="E1163" s="67" t="n">
        <f aca="false">IFERROR(INDEX(المكونات!$C$2:$C$500,MATCH($B1163,المكونات!$A$2:$A$500,0)),"")</f>
        <v>4.5</v>
      </c>
      <c r="F1163" s="68" t="n">
        <f aca="false">IFERROR($C1163*$E1163,"")</f>
        <v>4.5</v>
      </c>
    </row>
    <row r="1164" customFormat="false" ht="15" hidden="false" customHeight="true" outlineLevel="0" collapsed="false">
      <c r="A1164" s="65" t="s">
        <v>503</v>
      </c>
      <c r="B1164" s="65" t="s">
        <v>290</v>
      </c>
      <c r="C1164" s="65" t="n">
        <v>2</v>
      </c>
      <c r="D1164" s="66" t="str">
        <f aca="false">IFERROR(INDEX(المكونات!$B$2:$B$500,MATCH($B1164,المكونات!$A$2:$A$500,0)),"")</f>
        <v>قطعة</v>
      </c>
      <c r="E1164" s="67" t="n">
        <f aca="false">IFERROR(INDEX(المكونات!$C$2:$C$500,MATCH($B1164,المكونات!$A$2:$A$500,0)),"")</f>
        <v>0.3</v>
      </c>
      <c r="F1164" s="68" t="n">
        <f aca="false">IFERROR($C1164*$E1164,"")</f>
        <v>0.6</v>
      </c>
    </row>
    <row r="1165" customFormat="false" ht="15" hidden="false" customHeight="true" outlineLevel="0" collapsed="false">
      <c r="A1165" s="65" t="s">
        <v>503</v>
      </c>
      <c r="B1165" s="65" t="s">
        <v>319</v>
      </c>
      <c r="C1165" s="65" t="n">
        <v>1</v>
      </c>
      <c r="D1165" s="66" t="str">
        <f aca="false">IFERROR(INDEX(المكونات!$B$2:$B$500,MATCH($B1165,المكونات!$A$2:$A$500,0)),"")</f>
        <v>قطعة (ورقة)</v>
      </c>
      <c r="E1165" s="67" t="n">
        <f aca="false">IFERROR(INDEX(المكونات!$C$2:$C$500,MATCH($B1165,المكونات!$A$2:$A$500,0)),"")</f>
        <v>0.3665</v>
      </c>
      <c r="F1165" s="68" t="n">
        <f aca="false">IFERROR($C1165*$E1165,"")</f>
        <v>0.3665</v>
      </c>
    </row>
    <row r="1166" customFormat="false" ht="15" hidden="false" customHeight="true" outlineLevel="0" collapsed="false">
      <c r="A1166" s="65" t="s">
        <v>503</v>
      </c>
      <c r="B1166" s="65" t="s">
        <v>133</v>
      </c>
      <c r="C1166" s="65" t="n">
        <v>1</v>
      </c>
      <c r="D1166" s="66" t="str">
        <f aca="false">IFERROR(INDEX(المكونات!$B$2:$B$500,MATCH($B1166,المكونات!$A$2:$A$500,0)),"")</f>
        <v>قطعة (كيس)</v>
      </c>
      <c r="E1166" s="67" t="n">
        <f aca="false">IFERROR(INDEX(المكونات!$C$2:$C$500,MATCH($B1166,المكونات!$A$2:$A$500,0)),"")</f>
        <v>1.4</v>
      </c>
      <c r="F1166" s="68" t="n">
        <f aca="false">IFERROR($C1166*$E1166,"")</f>
        <v>1.4</v>
      </c>
    </row>
    <row r="1167" customFormat="false" ht="15" hidden="false" customHeight="true" outlineLevel="0" collapsed="false">
      <c r="A1167" s="65" t="s">
        <v>503</v>
      </c>
      <c r="B1167" s="65" t="s">
        <v>293</v>
      </c>
      <c r="C1167" s="65" t="n">
        <v>1</v>
      </c>
      <c r="D1167" s="66" t="str">
        <f aca="false">IFERROR(INDEX(المكونات!$B$2:$B$500,MATCH($B1167,المكونات!$A$2:$A$500,0)),"")</f>
        <v>قطعة</v>
      </c>
      <c r="E1167" s="67" t="n">
        <f aca="false">IFERROR(INDEX(المكونات!$C$2:$C$500,MATCH($B1167,المكونات!$A$2:$A$500,0)),"")</f>
        <v>0.5</v>
      </c>
      <c r="F1167" s="68" t="n">
        <f aca="false">IFERROR($C1167*$E1167,"")</f>
        <v>0.5</v>
      </c>
    </row>
    <row r="1168" customFormat="false" ht="15" hidden="false" customHeight="true" outlineLevel="0" collapsed="false">
      <c r="A1168" s="65" t="s">
        <v>503</v>
      </c>
      <c r="B1168" s="65" t="s">
        <v>211</v>
      </c>
      <c r="C1168" s="65" t="n">
        <v>2</v>
      </c>
      <c r="D1168" s="66" t="str">
        <f aca="false">IFERROR(INDEX(المكونات!$B$2:$B$500,MATCH($B1168,المكونات!$A$2:$A$500,0)),"")</f>
        <v>قطعة (جلفز)</v>
      </c>
      <c r="E1168" s="67" t="n">
        <f aca="false">IFERROR(INDEX(المكونات!$C$2:$C$500,MATCH($B1168,المكونات!$A$2:$A$500,0)),"")</f>
        <v>0.18</v>
      </c>
      <c r="F1168" s="68" t="n">
        <f aca="false">IFERROR($C1168*$E1168,"")</f>
        <v>0.36</v>
      </c>
    </row>
    <row r="1169" customFormat="false" ht="15" hidden="false" customHeight="true" outlineLevel="0" collapsed="false">
      <c r="A1169" s="65" t="s">
        <v>503</v>
      </c>
      <c r="B1169" s="65" t="s">
        <v>322</v>
      </c>
      <c r="C1169" s="65" t="n">
        <v>1</v>
      </c>
      <c r="D1169" s="66" t="str">
        <f aca="false">IFERROR(INDEX(المكونات!$B$2:$B$500,MATCH($B1169,المكونات!$A$2:$A$500,0)),"")</f>
        <v>قطعة (كيس)</v>
      </c>
      <c r="E1169" s="67" t="n">
        <f aca="false">IFERROR(INDEX(المكونات!$C$2:$C$500,MATCH($B1169,المكونات!$A$2:$A$500,0)),"")</f>
        <v>1</v>
      </c>
      <c r="F1169" s="68" t="n">
        <f aca="false">IFERROR($C1169*$E1169,"")</f>
        <v>1</v>
      </c>
    </row>
    <row r="1170" customFormat="false" ht="15" hidden="false" customHeight="true" outlineLevel="0" collapsed="false">
      <c r="A1170" s="65" t="s">
        <v>472</v>
      </c>
      <c r="B1170" s="65" t="s">
        <v>264</v>
      </c>
      <c r="C1170" s="65" t="n">
        <v>1.5</v>
      </c>
      <c r="D1170" s="66" t="str">
        <f aca="false">IFERROR(INDEX(المكونات!$B$2:$B$500,MATCH($B1170,المكونات!$A$2:$A$500,0)),"")</f>
        <v>قطعة</v>
      </c>
      <c r="E1170" s="67" t="n">
        <f aca="false">IFERROR(INDEX(المكونات!$C$2:$C$500,MATCH($B1170,المكونات!$A$2:$A$500,0)),"")</f>
        <v>4</v>
      </c>
      <c r="F1170" s="68" t="n">
        <f aca="false">IFERROR($C1170*$E1170,"")</f>
        <v>6</v>
      </c>
    </row>
    <row r="1171" customFormat="false" ht="15" hidden="false" customHeight="true" outlineLevel="0" collapsed="false">
      <c r="A1171" s="65" t="s">
        <v>472</v>
      </c>
      <c r="B1171" s="65" t="s">
        <v>260</v>
      </c>
      <c r="C1171" s="65" t="n">
        <v>0.045</v>
      </c>
      <c r="D1171" s="66" t="str">
        <f aca="false">IFERROR(INDEX(المكونات!$B$2:$B$500,MATCH($B1171,المكونات!$A$2:$A$500,0)),"")</f>
        <v>كجم</v>
      </c>
      <c r="E1171" s="67" t="n">
        <f aca="false">IFERROR(INDEX(المكونات!$C$2:$C$500,MATCH($B1171,المكونات!$A$2:$A$500,0)),"")</f>
        <v>21</v>
      </c>
      <c r="F1171" s="68" t="n">
        <f aca="false">IFERROR($C1171*$E1171,"")</f>
        <v>0.945</v>
      </c>
    </row>
    <row r="1172" customFormat="false" ht="15" hidden="false" customHeight="true" outlineLevel="0" collapsed="false">
      <c r="A1172" s="65" t="s">
        <v>472</v>
      </c>
      <c r="B1172" s="65" t="s">
        <v>284</v>
      </c>
      <c r="C1172" s="65" t="n">
        <v>0.03</v>
      </c>
      <c r="D1172" s="66" t="str">
        <f aca="false">IFERROR(INDEX(المكونات!$B$2:$B$500,MATCH($B1172,المكونات!$A$2:$A$500,0)),"")</f>
        <v>كجم</v>
      </c>
      <c r="E1172" s="67" t="n">
        <f aca="false">IFERROR(INDEX(المكونات!$C$2:$C$500,MATCH($B1172,المكونات!$A$2:$A$500,0)),"")</f>
        <v>27</v>
      </c>
      <c r="F1172" s="68" t="n">
        <f aca="false">IFERROR($C1172*$E1172,"")</f>
        <v>0.81</v>
      </c>
    </row>
    <row r="1173" customFormat="false" ht="15" hidden="false" customHeight="true" outlineLevel="0" collapsed="false">
      <c r="A1173" s="65" t="s">
        <v>472</v>
      </c>
      <c r="B1173" s="65" t="s">
        <v>227</v>
      </c>
      <c r="C1173" s="65" t="n">
        <v>0.03</v>
      </c>
      <c r="D1173" s="66" t="str">
        <f aca="false">IFERROR(INDEX(المكونات!$B$2:$B$500,MATCH($B1173,المكونات!$A$2:$A$500,0)),"")</f>
        <v>كجم</v>
      </c>
      <c r="E1173" s="67" t="n">
        <f aca="false">IFERROR(INDEX(المكونات!$C$2:$C$500,MATCH($B1173,المكونات!$A$2:$A$500,0)),"")</f>
        <v>95</v>
      </c>
      <c r="F1173" s="68" t="n">
        <f aca="false">IFERROR($C1173*$E1173,"")</f>
        <v>2.85</v>
      </c>
    </row>
    <row r="1174" customFormat="false" ht="15" hidden="false" customHeight="true" outlineLevel="0" collapsed="false">
      <c r="A1174" s="65" t="s">
        <v>472</v>
      </c>
      <c r="B1174" s="65" t="s">
        <v>178</v>
      </c>
      <c r="C1174" s="65" t="n">
        <v>1</v>
      </c>
      <c r="D1174" s="66" t="str">
        <f aca="false">IFERROR(INDEX(المكونات!$B$2:$B$500,MATCH($B1174,المكونات!$A$2:$A$500,0)),"")</f>
        <v>قطعة</v>
      </c>
      <c r="E1174" s="67" t="n">
        <f aca="false">IFERROR(INDEX(المكونات!$C$2:$C$500,MATCH($B1174,المكونات!$A$2:$A$500,0)),"")</f>
        <v>25</v>
      </c>
      <c r="F1174" s="68" t="n">
        <f aca="false">IFERROR($C1174*$E1174,"")</f>
        <v>25</v>
      </c>
    </row>
    <row r="1175" customFormat="false" ht="15" hidden="false" customHeight="true" outlineLevel="0" collapsed="false">
      <c r="A1175" s="65" t="s">
        <v>472</v>
      </c>
      <c r="B1175" s="65" t="s">
        <v>268</v>
      </c>
      <c r="C1175" s="65" t="n">
        <v>1</v>
      </c>
      <c r="D1175" s="66" t="str">
        <f aca="false">IFERROR(INDEX(المكونات!$B$2:$B$500,MATCH($B1175,المكونات!$A$2:$A$500,0)),"")</f>
        <v>قطعة</v>
      </c>
      <c r="E1175" s="67" t="n">
        <f aca="false">IFERROR(INDEX(المكونات!$C$2:$C$500,MATCH($B1175,المكونات!$A$2:$A$500,0)),"")</f>
        <v>5.5</v>
      </c>
      <c r="F1175" s="68" t="n">
        <f aca="false">IFERROR($C1175*$E1175,"")</f>
        <v>5.5</v>
      </c>
    </row>
    <row r="1176" customFormat="false" ht="15" hidden="false" customHeight="true" outlineLevel="0" collapsed="false">
      <c r="A1176" s="65" t="s">
        <v>472</v>
      </c>
      <c r="B1176" s="65" t="s">
        <v>290</v>
      </c>
      <c r="C1176" s="65" t="n">
        <v>3</v>
      </c>
      <c r="D1176" s="66" t="str">
        <f aca="false">IFERROR(INDEX(المكونات!$B$2:$B$500,MATCH($B1176,المكونات!$A$2:$A$500,0)),"")</f>
        <v>قطعة</v>
      </c>
      <c r="E1176" s="67" t="n">
        <f aca="false">IFERROR(INDEX(المكونات!$C$2:$C$500,MATCH($B1176,المكونات!$A$2:$A$500,0)),"")</f>
        <v>0.3</v>
      </c>
      <c r="F1176" s="68" t="n">
        <f aca="false">IFERROR($C1176*$E1176,"")</f>
        <v>0.9</v>
      </c>
    </row>
    <row r="1177" customFormat="false" ht="15" hidden="false" customHeight="true" outlineLevel="0" collapsed="false">
      <c r="A1177" s="65" t="s">
        <v>472</v>
      </c>
      <c r="B1177" s="65" t="s">
        <v>319</v>
      </c>
      <c r="C1177" s="65" t="n">
        <v>1</v>
      </c>
      <c r="D1177" s="66" t="str">
        <f aca="false">IFERROR(INDEX(المكونات!$B$2:$B$500,MATCH($B1177,المكونات!$A$2:$A$500,0)),"")</f>
        <v>قطعة (ورقة)</v>
      </c>
      <c r="E1177" s="67" t="n">
        <f aca="false">IFERROR(INDEX(المكونات!$C$2:$C$500,MATCH($B1177,المكونات!$A$2:$A$500,0)),"")</f>
        <v>0.3665</v>
      </c>
      <c r="F1177" s="68" t="n">
        <f aca="false">IFERROR($C1177*$E1177,"")</f>
        <v>0.3665</v>
      </c>
    </row>
    <row r="1178" customFormat="false" ht="15" hidden="false" customHeight="true" outlineLevel="0" collapsed="false">
      <c r="A1178" s="65" t="s">
        <v>472</v>
      </c>
      <c r="B1178" s="65" t="s">
        <v>133</v>
      </c>
      <c r="C1178" s="65" t="n">
        <v>1</v>
      </c>
      <c r="D1178" s="66" t="str">
        <f aca="false">IFERROR(INDEX(المكونات!$B$2:$B$500,MATCH($B1178,المكونات!$A$2:$A$500,0)),"")</f>
        <v>قطعة (كيس)</v>
      </c>
      <c r="E1178" s="67" t="n">
        <f aca="false">IFERROR(INDEX(المكونات!$C$2:$C$500,MATCH($B1178,المكونات!$A$2:$A$500,0)),"")</f>
        <v>1.4</v>
      </c>
      <c r="F1178" s="68" t="n">
        <f aca="false">IFERROR($C1178*$E1178,"")</f>
        <v>1.4</v>
      </c>
    </row>
    <row r="1179" customFormat="false" ht="15" hidden="false" customHeight="true" outlineLevel="0" collapsed="false">
      <c r="A1179" s="65" t="s">
        <v>472</v>
      </c>
      <c r="B1179" s="65" t="s">
        <v>293</v>
      </c>
      <c r="C1179" s="65" t="n">
        <v>1</v>
      </c>
      <c r="D1179" s="66" t="str">
        <f aca="false">IFERROR(INDEX(المكونات!$B$2:$B$500,MATCH($B1179,المكونات!$A$2:$A$500,0)),"")</f>
        <v>قطعة</v>
      </c>
      <c r="E1179" s="67" t="n">
        <f aca="false">IFERROR(INDEX(المكونات!$C$2:$C$500,MATCH($B1179,المكونات!$A$2:$A$500,0)),"")</f>
        <v>0.5</v>
      </c>
      <c r="F1179" s="68" t="n">
        <f aca="false">IFERROR($C1179*$E1179,"")</f>
        <v>0.5</v>
      </c>
    </row>
    <row r="1180" customFormat="false" ht="15" hidden="false" customHeight="true" outlineLevel="0" collapsed="false">
      <c r="A1180" s="65" t="s">
        <v>472</v>
      </c>
      <c r="B1180" s="65" t="s">
        <v>211</v>
      </c>
      <c r="C1180" s="65" t="n">
        <v>2</v>
      </c>
      <c r="D1180" s="66" t="str">
        <f aca="false">IFERROR(INDEX(المكونات!$B$2:$B$500,MATCH($B1180,المكونات!$A$2:$A$500,0)),"")</f>
        <v>قطعة (جلفز)</v>
      </c>
      <c r="E1180" s="67" t="n">
        <f aca="false">IFERROR(INDEX(المكونات!$C$2:$C$500,MATCH($B1180,المكونات!$A$2:$A$500,0)),"")</f>
        <v>0.18</v>
      </c>
      <c r="F1180" s="68" t="n">
        <f aca="false">IFERROR($C1180*$E1180,"")</f>
        <v>0.36</v>
      </c>
    </row>
    <row r="1181" customFormat="false" ht="15" hidden="false" customHeight="true" outlineLevel="0" collapsed="false">
      <c r="A1181" s="65" t="s">
        <v>472</v>
      </c>
      <c r="B1181" s="65" t="s">
        <v>322</v>
      </c>
      <c r="C1181" s="65" t="n">
        <v>1</v>
      </c>
      <c r="D1181" s="66" t="str">
        <f aca="false">IFERROR(INDEX(المكونات!$B$2:$B$500,MATCH($B1181,المكونات!$A$2:$A$500,0)),"")</f>
        <v>قطعة (كيس)</v>
      </c>
      <c r="E1181" s="67" t="n">
        <f aca="false">IFERROR(INDEX(المكونات!$C$2:$C$500,MATCH($B1181,المكونات!$A$2:$A$500,0)),"")</f>
        <v>1</v>
      </c>
      <c r="F1181" s="68" t="n">
        <f aca="false">IFERROR($C1181*$E1181,"")</f>
        <v>1</v>
      </c>
    </row>
    <row r="1182" customFormat="false" ht="15" hidden="false" customHeight="true" outlineLevel="0" collapsed="false">
      <c r="A1182" s="65" t="s">
        <v>383</v>
      </c>
      <c r="B1182" s="65" t="s">
        <v>264</v>
      </c>
      <c r="C1182" s="65" t="n">
        <v>1</v>
      </c>
      <c r="D1182" s="66" t="str">
        <f aca="false">IFERROR(INDEX(المكونات!$B$2:$B$500,MATCH($B1182,المكونات!$A$2:$A$500,0)),"")</f>
        <v>قطعة</v>
      </c>
      <c r="E1182" s="67" t="n">
        <f aca="false">IFERROR(INDEX(المكونات!$C$2:$C$500,MATCH($B1182,المكونات!$A$2:$A$500,0)),"")</f>
        <v>4</v>
      </c>
      <c r="F1182" s="68" t="n">
        <f aca="false">IFERROR($C1182*$E1182,"")</f>
        <v>4</v>
      </c>
    </row>
    <row r="1183" customFormat="false" ht="15" hidden="false" customHeight="true" outlineLevel="0" collapsed="false">
      <c r="A1183" s="65" t="s">
        <v>383</v>
      </c>
      <c r="B1183" s="65" t="s">
        <v>260</v>
      </c>
      <c r="C1183" s="65" t="n">
        <v>0.03</v>
      </c>
      <c r="D1183" s="66" t="str">
        <f aca="false">IFERROR(INDEX(المكونات!$B$2:$B$500,MATCH($B1183,المكونات!$A$2:$A$500,0)),"")</f>
        <v>كجم</v>
      </c>
      <c r="E1183" s="67" t="n">
        <f aca="false">IFERROR(INDEX(المكونات!$C$2:$C$500,MATCH($B1183,المكونات!$A$2:$A$500,0)),"")</f>
        <v>21</v>
      </c>
      <c r="F1183" s="68" t="n">
        <f aca="false">IFERROR($C1183*$E1183,"")</f>
        <v>0.63</v>
      </c>
    </row>
    <row r="1184" customFormat="false" ht="15" hidden="false" customHeight="true" outlineLevel="0" collapsed="false">
      <c r="A1184" s="65" t="s">
        <v>383</v>
      </c>
      <c r="B1184" s="65" t="s">
        <v>284</v>
      </c>
      <c r="C1184" s="65" t="n">
        <v>0.02</v>
      </c>
      <c r="D1184" s="66" t="str">
        <f aca="false">IFERROR(INDEX(المكونات!$B$2:$B$500,MATCH($B1184,المكونات!$A$2:$A$500,0)),"")</f>
        <v>كجم</v>
      </c>
      <c r="E1184" s="67" t="n">
        <f aca="false">IFERROR(INDEX(المكونات!$C$2:$C$500,MATCH($B1184,المكونات!$A$2:$A$500,0)),"")</f>
        <v>27</v>
      </c>
      <c r="F1184" s="68" t="n">
        <f aca="false">IFERROR($C1184*$E1184,"")</f>
        <v>0.54</v>
      </c>
    </row>
    <row r="1185" customFormat="false" ht="15" hidden="false" customHeight="true" outlineLevel="0" collapsed="false">
      <c r="A1185" s="65" t="s">
        <v>383</v>
      </c>
      <c r="B1185" s="65" t="s">
        <v>227</v>
      </c>
      <c r="C1185" s="65" t="n">
        <v>0.02</v>
      </c>
      <c r="D1185" s="66" t="str">
        <f aca="false">IFERROR(INDEX(المكونات!$B$2:$B$500,MATCH($B1185,المكونات!$A$2:$A$500,0)),"")</f>
        <v>كجم</v>
      </c>
      <c r="E1185" s="67" t="n">
        <f aca="false">IFERROR(INDEX(المكونات!$C$2:$C$500,MATCH($B1185,المكونات!$A$2:$A$500,0)),"")</f>
        <v>95</v>
      </c>
      <c r="F1185" s="68" t="n">
        <f aca="false">IFERROR($C1185*$E1185,"")</f>
        <v>1.9</v>
      </c>
    </row>
    <row r="1186" customFormat="false" ht="15" hidden="false" customHeight="true" outlineLevel="0" collapsed="false">
      <c r="A1186" s="65" t="s">
        <v>383</v>
      </c>
      <c r="B1186" s="65" t="s">
        <v>176</v>
      </c>
      <c r="C1186" s="65" t="n">
        <v>1</v>
      </c>
      <c r="D1186" s="66" t="str">
        <f aca="false">IFERROR(INDEX(المكونات!$B$2:$B$500,MATCH($B1186,المكونات!$A$2:$A$500,0)),"")</f>
        <v>قطعة</v>
      </c>
      <c r="E1186" s="67" t="n">
        <f aca="false">IFERROR(INDEX(المكونات!$C$2:$C$500,MATCH($B1186,المكونات!$A$2:$A$500,0)),"")</f>
        <v>17.5</v>
      </c>
      <c r="F1186" s="68" t="n">
        <f aca="false">IFERROR($C1186*$E1186,"")</f>
        <v>17.5</v>
      </c>
    </row>
    <row r="1187" customFormat="false" ht="15" hidden="false" customHeight="true" outlineLevel="0" collapsed="false">
      <c r="A1187" s="65" t="s">
        <v>383</v>
      </c>
      <c r="B1187" s="65" t="s">
        <v>270</v>
      </c>
      <c r="C1187" s="65" t="n">
        <v>1</v>
      </c>
      <c r="D1187" s="66" t="str">
        <f aca="false">IFERROR(INDEX(المكونات!$B$2:$B$500,MATCH($B1187,المكونات!$A$2:$A$500,0)),"")</f>
        <v>قطعة</v>
      </c>
      <c r="E1187" s="67" t="n">
        <f aca="false">IFERROR(INDEX(المكونات!$C$2:$C$500,MATCH($B1187,المكونات!$A$2:$A$500,0)),"")</f>
        <v>4.5</v>
      </c>
      <c r="F1187" s="68" t="n">
        <f aca="false">IFERROR($C1187*$E1187,"")</f>
        <v>4.5</v>
      </c>
    </row>
    <row r="1188" customFormat="false" ht="15" hidden="false" customHeight="true" outlineLevel="0" collapsed="false">
      <c r="A1188" s="65" t="s">
        <v>383</v>
      </c>
      <c r="B1188" s="65" t="s">
        <v>290</v>
      </c>
      <c r="C1188" s="65" t="n">
        <v>2</v>
      </c>
      <c r="D1188" s="66" t="str">
        <f aca="false">IFERROR(INDEX(المكونات!$B$2:$B$500,MATCH($B1188,المكونات!$A$2:$A$500,0)),"")</f>
        <v>قطعة</v>
      </c>
      <c r="E1188" s="67" t="n">
        <f aca="false">IFERROR(INDEX(المكونات!$C$2:$C$500,MATCH($B1188,المكونات!$A$2:$A$500,0)),"")</f>
        <v>0.3</v>
      </c>
      <c r="F1188" s="68" t="n">
        <f aca="false">IFERROR($C1188*$E1188,"")</f>
        <v>0.6</v>
      </c>
    </row>
    <row r="1189" customFormat="false" ht="15" hidden="false" customHeight="true" outlineLevel="0" collapsed="false">
      <c r="A1189" s="65" t="s">
        <v>383</v>
      </c>
      <c r="B1189" s="65" t="s">
        <v>319</v>
      </c>
      <c r="C1189" s="65" t="n">
        <v>1</v>
      </c>
      <c r="D1189" s="66" t="str">
        <f aca="false">IFERROR(INDEX(المكونات!$B$2:$B$500,MATCH($B1189,المكونات!$A$2:$A$500,0)),"")</f>
        <v>قطعة (ورقة)</v>
      </c>
      <c r="E1189" s="67" t="n">
        <f aca="false">IFERROR(INDEX(المكونات!$C$2:$C$500,MATCH($B1189,المكونات!$A$2:$A$500,0)),"")</f>
        <v>0.3665</v>
      </c>
      <c r="F1189" s="68" t="n">
        <f aca="false">IFERROR($C1189*$E1189,"")</f>
        <v>0.3665</v>
      </c>
    </row>
    <row r="1190" customFormat="false" ht="15" hidden="false" customHeight="true" outlineLevel="0" collapsed="false">
      <c r="A1190" s="65" t="s">
        <v>383</v>
      </c>
      <c r="B1190" s="65" t="s">
        <v>133</v>
      </c>
      <c r="C1190" s="65" t="n">
        <v>1</v>
      </c>
      <c r="D1190" s="66" t="str">
        <f aca="false">IFERROR(INDEX(المكونات!$B$2:$B$500,MATCH($B1190,المكونات!$A$2:$A$500,0)),"")</f>
        <v>قطعة (كيس)</v>
      </c>
      <c r="E1190" s="67" t="n">
        <f aca="false">IFERROR(INDEX(المكونات!$C$2:$C$500,MATCH($B1190,المكونات!$A$2:$A$500,0)),"")</f>
        <v>1.4</v>
      </c>
      <c r="F1190" s="68" t="n">
        <f aca="false">IFERROR($C1190*$E1190,"")</f>
        <v>1.4</v>
      </c>
    </row>
    <row r="1191" customFormat="false" ht="15" hidden="false" customHeight="true" outlineLevel="0" collapsed="false">
      <c r="A1191" s="65" t="s">
        <v>383</v>
      </c>
      <c r="B1191" s="65" t="s">
        <v>293</v>
      </c>
      <c r="C1191" s="65" t="n">
        <v>1</v>
      </c>
      <c r="D1191" s="66" t="str">
        <f aca="false">IFERROR(INDEX(المكونات!$B$2:$B$500,MATCH($B1191,المكونات!$A$2:$A$500,0)),"")</f>
        <v>قطعة</v>
      </c>
      <c r="E1191" s="67" t="n">
        <f aca="false">IFERROR(INDEX(المكونات!$C$2:$C$500,MATCH($B1191,المكونات!$A$2:$A$500,0)),"")</f>
        <v>0.5</v>
      </c>
      <c r="F1191" s="68" t="n">
        <f aca="false">IFERROR($C1191*$E1191,"")</f>
        <v>0.5</v>
      </c>
    </row>
    <row r="1192" customFormat="false" ht="15" hidden="false" customHeight="true" outlineLevel="0" collapsed="false">
      <c r="A1192" s="65" t="s">
        <v>383</v>
      </c>
      <c r="B1192" s="65" t="s">
        <v>211</v>
      </c>
      <c r="C1192" s="65" t="n">
        <v>2</v>
      </c>
      <c r="D1192" s="66" t="str">
        <f aca="false">IFERROR(INDEX(المكونات!$B$2:$B$500,MATCH($B1192,المكونات!$A$2:$A$500,0)),"")</f>
        <v>قطعة (جلفز)</v>
      </c>
      <c r="E1192" s="67" t="n">
        <f aca="false">IFERROR(INDEX(المكونات!$C$2:$C$500,MATCH($B1192,المكونات!$A$2:$A$500,0)),"")</f>
        <v>0.18</v>
      </c>
      <c r="F1192" s="68" t="n">
        <f aca="false">IFERROR($C1192*$E1192,"")</f>
        <v>0.36</v>
      </c>
    </row>
    <row r="1193" customFormat="false" ht="15" hidden="false" customHeight="true" outlineLevel="0" collapsed="false">
      <c r="A1193" s="65" t="s">
        <v>383</v>
      </c>
      <c r="B1193" s="65" t="s">
        <v>322</v>
      </c>
      <c r="C1193" s="65" t="n">
        <v>1</v>
      </c>
      <c r="D1193" s="66" t="str">
        <f aca="false">IFERROR(INDEX(المكونات!$B$2:$B$500,MATCH($B1193,المكونات!$A$2:$A$500,0)),"")</f>
        <v>قطعة (كيس)</v>
      </c>
      <c r="E1193" s="67" t="n">
        <f aca="false">IFERROR(INDEX(المكونات!$C$2:$C$500,MATCH($B1193,المكونات!$A$2:$A$500,0)),"")</f>
        <v>1</v>
      </c>
      <c r="F1193" s="68" t="n">
        <f aca="false">IFERROR($C1193*$E1193,"")</f>
        <v>1</v>
      </c>
    </row>
    <row r="1194" customFormat="false" ht="15" hidden="false" customHeight="true" outlineLevel="0" collapsed="false">
      <c r="A1194" s="65" t="s">
        <v>383</v>
      </c>
      <c r="B1194" s="65" t="s">
        <v>307</v>
      </c>
      <c r="C1194" s="65" t="n">
        <v>0.1</v>
      </c>
      <c r="D1194" s="66" t="str">
        <f aca="false">IFERROR(INDEX(المكونات!$B$2:$B$500,MATCH($B1194,المكونات!$A$2:$A$500,0)),"")</f>
        <v>كجم</v>
      </c>
      <c r="E1194" s="67" t="n">
        <f aca="false">IFERROR(INDEX(المكونات!$C$2:$C$500,MATCH($B1194,المكونات!$A$2:$A$500,0)),"")</f>
        <v>151.2027</v>
      </c>
      <c r="F1194" s="68" t="n">
        <f aca="false">IFERROR($C1194*$E1194,"")</f>
        <v>15.12027</v>
      </c>
    </row>
    <row r="1195" customFormat="false" ht="15" hidden="false" customHeight="true" outlineLevel="0" collapsed="false">
      <c r="A1195" s="65" t="s">
        <v>381</v>
      </c>
      <c r="B1195" s="65" t="s">
        <v>264</v>
      </c>
      <c r="C1195" s="65" t="n">
        <v>1.5</v>
      </c>
      <c r="D1195" s="66" t="str">
        <f aca="false">IFERROR(INDEX(المكونات!$B$2:$B$500,MATCH($B1195,المكونات!$A$2:$A$500,0)),"")</f>
        <v>قطعة</v>
      </c>
      <c r="E1195" s="67" t="n">
        <f aca="false">IFERROR(INDEX(المكونات!$C$2:$C$500,MATCH($B1195,المكونات!$A$2:$A$500,0)),"")</f>
        <v>4</v>
      </c>
      <c r="F1195" s="68" t="n">
        <f aca="false">IFERROR($C1195*$E1195,"")</f>
        <v>6</v>
      </c>
    </row>
    <row r="1196" customFormat="false" ht="15" hidden="false" customHeight="true" outlineLevel="0" collapsed="false">
      <c r="A1196" s="65" t="s">
        <v>381</v>
      </c>
      <c r="B1196" s="65" t="s">
        <v>260</v>
      </c>
      <c r="C1196" s="65" t="n">
        <v>0.045</v>
      </c>
      <c r="D1196" s="66" t="str">
        <f aca="false">IFERROR(INDEX(المكونات!$B$2:$B$500,MATCH($B1196,المكونات!$A$2:$A$500,0)),"")</f>
        <v>كجم</v>
      </c>
      <c r="E1196" s="67" t="n">
        <f aca="false">IFERROR(INDEX(المكونات!$C$2:$C$500,MATCH($B1196,المكونات!$A$2:$A$500,0)),"")</f>
        <v>21</v>
      </c>
      <c r="F1196" s="68" t="n">
        <f aca="false">IFERROR($C1196*$E1196,"")</f>
        <v>0.945</v>
      </c>
    </row>
    <row r="1197" customFormat="false" ht="15" hidden="false" customHeight="true" outlineLevel="0" collapsed="false">
      <c r="A1197" s="65" t="s">
        <v>381</v>
      </c>
      <c r="B1197" s="65" t="s">
        <v>284</v>
      </c>
      <c r="C1197" s="65" t="n">
        <v>0.03</v>
      </c>
      <c r="D1197" s="66" t="str">
        <f aca="false">IFERROR(INDEX(المكونات!$B$2:$B$500,MATCH($B1197,المكونات!$A$2:$A$500,0)),"")</f>
        <v>كجم</v>
      </c>
      <c r="E1197" s="67" t="n">
        <f aca="false">IFERROR(INDEX(المكونات!$C$2:$C$500,MATCH($B1197,المكونات!$A$2:$A$500,0)),"")</f>
        <v>27</v>
      </c>
      <c r="F1197" s="68" t="n">
        <f aca="false">IFERROR($C1197*$E1197,"")</f>
        <v>0.81</v>
      </c>
    </row>
    <row r="1198" customFormat="false" ht="15" hidden="false" customHeight="true" outlineLevel="0" collapsed="false">
      <c r="A1198" s="65" t="s">
        <v>381</v>
      </c>
      <c r="B1198" s="65" t="s">
        <v>227</v>
      </c>
      <c r="C1198" s="65" t="n">
        <v>0.03</v>
      </c>
      <c r="D1198" s="66" t="str">
        <f aca="false">IFERROR(INDEX(المكونات!$B$2:$B$500,MATCH($B1198,المكونات!$A$2:$A$500,0)),"")</f>
        <v>كجم</v>
      </c>
      <c r="E1198" s="67" t="n">
        <f aca="false">IFERROR(INDEX(المكونات!$C$2:$C$500,MATCH($B1198,المكونات!$A$2:$A$500,0)),"")</f>
        <v>95</v>
      </c>
      <c r="F1198" s="68" t="n">
        <f aca="false">IFERROR($C1198*$E1198,"")</f>
        <v>2.85</v>
      </c>
    </row>
    <row r="1199" customFormat="false" ht="15" hidden="false" customHeight="true" outlineLevel="0" collapsed="false">
      <c r="A1199" s="65" t="s">
        <v>381</v>
      </c>
      <c r="B1199" s="65" t="s">
        <v>178</v>
      </c>
      <c r="C1199" s="65" t="n">
        <v>1</v>
      </c>
      <c r="D1199" s="66" t="str">
        <f aca="false">IFERROR(INDEX(المكونات!$B$2:$B$500,MATCH($B1199,المكونات!$A$2:$A$500,0)),"")</f>
        <v>قطعة</v>
      </c>
      <c r="E1199" s="67" t="n">
        <f aca="false">IFERROR(INDEX(المكونات!$C$2:$C$500,MATCH($B1199,المكونات!$A$2:$A$500,0)),"")</f>
        <v>25</v>
      </c>
      <c r="F1199" s="68" t="n">
        <f aca="false">IFERROR($C1199*$E1199,"")</f>
        <v>25</v>
      </c>
    </row>
    <row r="1200" customFormat="false" ht="15" hidden="false" customHeight="true" outlineLevel="0" collapsed="false">
      <c r="A1200" s="65" t="s">
        <v>381</v>
      </c>
      <c r="B1200" s="65" t="s">
        <v>268</v>
      </c>
      <c r="C1200" s="65" t="n">
        <v>1</v>
      </c>
      <c r="D1200" s="66" t="str">
        <f aca="false">IFERROR(INDEX(المكونات!$B$2:$B$500,MATCH($B1200,المكونات!$A$2:$A$500,0)),"")</f>
        <v>قطعة</v>
      </c>
      <c r="E1200" s="67" t="n">
        <f aca="false">IFERROR(INDEX(المكونات!$C$2:$C$500,MATCH($B1200,المكونات!$A$2:$A$500,0)),"")</f>
        <v>5.5</v>
      </c>
      <c r="F1200" s="68" t="n">
        <f aca="false">IFERROR($C1200*$E1200,"")</f>
        <v>5.5</v>
      </c>
    </row>
    <row r="1201" customFormat="false" ht="15" hidden="false" customHeight="true" outlineLevel="0" collapsed="false">
      <c r="A1201" s="65" t="s">
        <v>381</v>
      </c>
      <c r="B1201" s="65" t="s">
        <v>290</v>
      </c>
      <c r="C1201" s="65" t="n">
        <v>3</v>
      </c>
      <c r="D1201" s="66" t="str">
        <f aca="false">IFERROR(INDEX(المكونات!$B$2:$B$500,MATCH($B1201,المكونات!$A$2:$A$500,0)),"")</f>
        <v>قطعة</v>
      </c>
      <c r="E1201" s="67" t="n">
        <f aca="false">IFERROR(INDEX(المكونات!$C$2:$C$500,MATCH($B1201,المكونات!$A$2:$A$500,0)),"")</f>
        <v>0.3</v>
      </c>
      <c r="F1201" s="68" t="n">
        <f aca="false">IFERROR($C1201*$E1201,"")</f>
        <v>0.9</v>
      </c>
    </row>
    <row r="1202" customFormat="false" ht="15" hidden="false" customHeight="true" outlineLevel="0" collapsed="false">
      <c r="A1202" s="65" t="s">
        <v>381</v>
      </c>
      <c r="B1202" s="65" t="s">
        <v>319</v>
      </c>
      <c r="C1202" s="65" t="n">
        <v>1</v>
      </c>
      <c r="D1202" s="66" t="str">
        <f aca="false">IFERROR(INDEX(المكونات!$B$2:$B$500,MATCH($B1202,المكونات!$A$2:$A$500,0)),"")</f>
        <v>قطعة (ورقة)</v>
      </c>
      <c r="E1202" s="67" t="n">
        <f aca="false">IFERROR(INDEX(المكونات!$C$2:$C$500,MATCH($B1202,المكونات!$A$2:$A$500,0)),"")</f>
        <v>0.3665</v>
      </c>
      <c r="F1202" s="68" t="n">
        <f aca="false">IFERROR($C1202*$E1202,"")</f>
        <v>0.3665</v>
      </c>
    </row>
    <row r="1203" customFormat="false" ht="15" hidden="false" customHeight="true" outlineLevel="0" collapsed="false">
      <c r="A1203" s="65" t="s">
        <v>381</v>
      </c>
      <c r="B1203" s="65" t="s">
        <v>133</v>
      </c>
      <c r="C1203" s="65" t="n">
        <v>1</v>
      </c>
      <c r="D1203" s="66" t="str">
        <f aca="false">IFERROR(INDEX(المكونات!$B$2:$B$500,MATCH($B1203,المكونات!$A$2:$A$500,0)),"")</f>
        <v>قطعة (كيس)</v>
      </c>
      <c r="E1203" s="67" t="n">
        <f aca="false">IFERROR(INDEX(المكونات!$C$2:$C$500,MATCH($B1203,المكونات!$A$2:$A$500,0)),"")</f>
        <v>1.4</v>
      </c>
      <c r="F1203" s="68" t="n">
        <f aca="false">IFERROR($C1203*$E1203,"")</f>
        <v>1.4</v>
      </c>
    </row>
    <row r="1204" customFormat="false" ht="15" hidden="false" customHeight="true" outlineLevel="0" collapsed="false">
      <c r="A1204" s="65" t="s">
        <v>381</v>
      </c>
      <c r="B1204" s="65" t="s">
        <v>293</v>
      </c>
      <c r="C1204" s="65" t="n">
        <v>1</v>
      </c>
      <c r="D1204" s="66" t="str">
        <f aca="false">IFERROR(INDEX(المكونات!$B$2:$B$500,MATCH($B1204,المكونات!$A$2:$A$500,0)),"")</f>
        <v>قطعة</v>
      </c>
      <c r="E1204" s="67" t="n">
        <f aca="false">IFERROR(INDEX(المكونات!$C$2:$C$500,MATCH($B1204,المكونات!$A$2:$A$500,0)),"")</f>
        <v>0.5</v>
      </c>
      <c r="F1204" s="68" t="n">
        <f aca="false">IFERROR($C1204*$E1204,"")</f>
        <v>0.5</v>
      </c>
    </row>
    <row r="1205" customFormat="false" ht="15" hidden="false" customHeight="true" outlineLevel="0" collapsed="false">
      <c r="A1205" s="65" t="s">
        <v>381</v>
      </c>
      <c r="B1205" s="65" t="s">
        <v>211</v>
      </c>
      <c r="C1205" s="65" t="n">
        <v>2</v>
      </c>
      <c r="D1205" s="66" t="str">
        <f aca="false">IFERROR(INDEX(المكونات!$B$2:$B$500,MATCH($B1205,المكونات!$A$2:$A$500,0)),"")</f>
        <v>قطعة (جلفز)</v>
      </c>
      <c r="E1205" s="67" t="n">
        <f aca="false">IFERROR(INDEX(المكونات!$C$2:$C$500,MATCH($B1205,المكونات!$A$2:$A$500,0)),"")</f>
        <v>0.18</v>
      </c>
      <c r="F1205" s="68" t="n">
        <f aca="false">IFERROR($C1205*$E1205,"")</f>
        <v>0.36</v>
      </c>
    </row>
    <row r="1206" customFormat="false" ht="15" hidden="false" customHeight="true" outlineLevel="0" collapsed="false">
      <c r="A1206" s="65" t="s">
        <v>381</v>
      </c>
      <c r="B1206" s="65" t="s">
        <v>322</v>
      </c>
      <c r="C1206" s="65" t="n">
        <v>1</v>
      </c>
      <c r="D1206" s="66" t="str">
        <f aca="false">IFERROR(INDEX(المكونات!$B$2:$B$500,MATCH($B1206,المكونات!$A$2:$A$500,0)),"")</f>
        <v>قطعة (كيس)</v>
      </c>
      <c r="E1206" s="67" t="n">
        <f aca="false">IFERROR(INDEX(المكونات!$C$2:$C$500,MATCH($B1206,المكونات!$A$2:$A$500,0)),"")</f>
        <v>1</v>
      </c>
      <c r="F1206" s="68" t="n">
        <f aca="false">IFERROR($C1206*$E1206,"")</f>
        <v>1</v>
      </c>
    </row>
    <row r="1207" customFormat="false" ht="15" hidden="false" customHeight="true" outlineLevel="0" collapsed="false">
      <c r="A1207" s="65" t="s">
        <v>381</v>
      </c>
      <c r="B1207" s="65" t="s">
        <v>307</v>
      </c>
      <c r="C1207" s="65" t="n">
        <v>0.15</v>
      </c>
      <c r="D1207" s="66" t="str">
        <f aca="false">IFERROR(INDEX(المكونات!$B$2:$B$500,MATCH($B1207,المكونات!$A$2:$A$500,0)),"")</f>
        <v>كجم</v>
      </c>
      <c r="E1207" s="67" t="n">
        <f aca="false">IFERROR(INDEX(المكونات!$C$2:$C$500,MATCH($B1207,المكونات!$A$2:$A$500,0)),"")</f>
        <v>151.2027</v>
      </c>
      <c r="F1207" s="68" t="n">
        <f aca="false">IFERROR($C1207*$E1207,"")</f>
        <v>22.680405</v>
      </c>
    </row>
    <row r="1208" customFormat="false" ht="15" hidden="false" customHeight="true" outlineLevel="0" collapsed="false">
      <c r="A1208" s="65" t="s">
        <v>515</v>
      </c>
      <c r="B1208" s="65" t="s">
        <v>264</v>
      </c>
      <c r="C1208" s="65" t="n">
        <v>1</v>
      </c>
      <c r="D1208" s="66" t="str">
        <f aca="false">IFERROR(INDEX(المكونات!$B$2:$B$500,MATCH($B1208,المكونات!$A$2:$A$500,0)),"")</f>
        <v>قطعة</v>
      </c>
      <c r="E1208" s="67" t="n">
        <f aca="false">IFERROR(INDEX(المكونات!$C$2:$C$500,MATCH($B1208,المكونات!$A$2:$A$500,0)),"")</f>
        <v>4</v>
      </c>
      <c r="F1208" s="68" t="n">
        <f aca="false">IFERROR($C1208*$E1208,"")</f>
        <v>4</v>
      </c>
    </row>
    <row r="1209" customFormat="false" ht="15" hidden="false" customHeight="true" outlineLevel="0" collapsed="false">
      <c r="A1209" s="65" t="s">
        <v>515</v>
      </c>
      <c r="B1209" s="65" t="s">
        <v>260</v>
      </c>
      <c r="C1209" s="65" t="n">
        <v>0.03</v>
      </c>
      <c r="D1209" s="66" t="str">
        <f aca="false">IFERROR(INDEX(المكونات!$B$2:$B$500,MATCH($B1209,المكونات!$A$2:$A$500,0)),"")</f>
        <v>كجم</v>
      </c>
      <c r="E1209" s="67" t="n">
        <f aca="false">IFERROR(INDEX(المكونات!$C$2:$C$500,MATCH($B1209,المكونات!$A$2:$A$500,0)),"")</f>
        <v>21</v>
      </c>
      <c r="F1209" s="68" t="n">
        <f aca="false">IFERROR($C1209*$E1209,"")</f>
        <v>0.63</v>
      </c>
    </row>
    <row r="1210" customFormat="false" ht="15" hidden="false" customHeight="true" outlineLevel="0" collapsed="false">
      <c r="A1210" s="65" t="s">
        <v>515</v>
      </c>
      <c r="B1210" s="65" t="s">
        <v>284</v>
      </c>
      <c r="C1210" s="65" t="n">
        <v>0.02</v>
      </c>
      <c r="D1210" s="66" t="str">
        <f aca="false">IFERROR(INDEX(المكونات!$B$2:$B$500,MATCH($B1210,المكونات!$A$2:$A$500,0)),"")</f>
        <v>كجم</v>
      </c>
      <c r="E1210" s="67" t="n">
        <f aca="false">IFERROR(INDEX(المكونات!$C$2:$C$500,MATCH($B1210,المكونات!$A$2:$A$500,0)),"")</f>
        <v>27</v>
      </c>
      <c r="F1210" s="68" t="n">
        <f aca="false">IFERROR($C1210*$E1210,"")</f>
        <v>0.54</v>
      </c>
    </row>
    <row r="1211" customFormat="false" ht="15" hidden="false" customHeight="true" outlineLevel="0" collapsed="false">
      <c r="A1211" s="65" t="s">
        <v>515</v>
      </c>
      <c r="B1211" s="65" t="s">
        <v>227</v>
      </c>
      <c r="C1211" s="65" t="n">
        <v>0.02</v>
      </c>
      <c r="D1211" s="66" t="str">
        <f aca="false">IFERROR(INDEX(المكونات!$B$2:$B$500,MATCH($B1211,المكونات!$A$2:$A$500,0)),"")</f>
        <v>كجم</v>
      </c>
      <c r="E1211" s="67" t="n">
        <f aca="false">IFERROR(INDEX(المكونات!$C$2:$C$500,MATCH($B1211,المكونات!$A$2:$A$500,0)),"")</f>
        <v>95</v>
      </c>
      <c r="F1211" s="68" t="n">
        <f aca="false">IFERROR($C1211*$E1211,"")</f>
        <v>1.9</v>
      </c>
    </row>
    <row r="1212" customFormat="false" ht="15" hidden="false" customHeight="true" outlineLevel="0" collapsed="false">
      <c r="A1212" s="65" t="s">
        <v>515</v>
      </c>
      <c r="B1212" s="65" t="s">
        <v>176</v>
      </c>
      <c r="C1212" s="65" t="n">
        <v>1</v>
      </c>
      <c r="D1212" s="66" t="str">
        <f aca="false">IFERROR(INDEX(المكونات!$B$2:$B$500,MATCH($B1212,المكونات!$A$2:$A$500,0)),"")</f>
        <v>قطعة</v>
      </c>
      <c r="E1212" s="67" t="n">
        <f aca="false">IFERROR(INDEX(المكونات!$C$2:$C$500,MATCH($B1212,المكونات!$A$2:$A$500,0)),"")</f>
        <v>17.5</v>
      </c>
      <c r="F1212" s="68" t="n">
        <f aca="false">IFERROR($C1212*$E1212,"")</f>
        <v>17.5</v>
      </c>
    </row>
    <row r="1213" customFormat="false" ht="15" hidden="false" customHeight="true" outlineLevel="0" collapsed="false">
      <c r="A1213" s="65" t="s">
        <v>515</v>
      </c>
      <c r="B1213" s="65" t="s">
        <v>270</v>
      </c>
      <c r="C1213" s="65" t="n">
        <v>1</v>
      </c>
      <c r="D1213" s="66" t="str">
        <f aca="false">IFERROR(INDEX(المكونات!$B$2:$B$500,MATCH($B1213,المكونات!$A$2:$A$500,0)),"")</f>
        <v>قطعة</v>
      </c>
      <c r="E1213" s="67" t="n">
        <f aca="false">IFERROR(INDEX(المكونات!$C$2:$C$500,MATCH($B1213,المكونات!$A$2:$A$500,0)),"")</f>
        <v>4.5</v>
      </c>
      <c r="F1213" s="68" t="n">
        <f aca="false">IFERROR($C1213*$E1213,"")</f>
        <v>4.5</v>
      </c>
    </row>
    <row r="1214" customFormat="false" ht="15" hidden="false" customHeight="true" outlineLevel="0" collapsed="false">
      <c r="A1214" s="65" t="s">
        <v>515</v>
      </c>
      <c r="B1214" s="65" t="s">
        <v>290</v>
      </c>
      <c r="C1214" s="65" t="n">
        <v>2</v>
      </c>
      <c r="D1214" s="66" t="str">
        <f aca="false">IFERROR(INDEX(المكونات!$B$2:$B$500,MATCH($B1214,المكونات!$A$2:$A$500,0)),"")</f>
        <v>قطعة</v>
      </c>
      <c r="E1214" s="67" t="n">
        <f aca="false">IFERROR(INDEX(المكونات!$C$2:$C$500,MATCH($B1214,المكونات!$A$2:$A$500,0)),"")</f>
        <v>0.3</v>
      </c>
      <c r="F1214" s="68" t="n">
        <f aca="false">IFERROR($C1214*$E1214,"")</f>
        <v>0.6</v>
      </c>
    </row>
    <row r="1215" customFormat="false" ht="15" hidden="false" customHeight="true" outlineLevel="0" collapsed="false">
      <c r="A1215" s="65" t="s">
        <v>515</v>
      </c>
      <c r="B1215" s="65" t="s">
        <v>319</v>
      </c>
      <c r="C1215" s="65" t="n">
        <v>1</v>
      </c>
      <c r="D1215" s="66" t="str">
        <f aca="false">IFERROR(INDEX(المكونات!$B$2:$B$500,MATCH($B1215,المكونات!$A$2:$A$500,0)),"")</f>
        <v>قطعة (ورقة)</v>
      </c>
      <c r="E1215" s="67" t="n">
        <f aca="false">IFERROR(INDEX(المكونات!$C$2:$C$500,MATCH($B1215,المكونات!$A$2:$A$500,0)),"")</f>
        <v>0.3665</v>
      </c>
      <c r="F1215" s="68" t="n">
        <f aca="false">IFERROR($C1215*$E1215,"")</f>
        <v>0.3665</v>
      </c>
    </row>
    <row r="1216" customFormat="false" ht="15" hidden="false" customHeight="true" outlineLevel="0" collapsed="false">
      <c r="A1216" s="65" t="s">
        <v>515</v>
      </c>
      <c r="B1216" s="65" t="s">
        <v>133</v>
      </c>
      <c r="C1216" s="65" t="n">
        <v>1</v>
      </c>
      <c r="D1216" s="66" t="str">
        <f aca="false">IFERROR(INDEX(المكونات!$B$2:$B$500,MATCH($B1216,المكونات!$A$2:$A$500,0)),"")</f>
        <v>قطعة (كيس)</v>
      </c>
      <c r="E1216" s="67" t="n">
        <f aca="false">IFERROR(INDEX(المكونات!$C$2:$C$500,MATCH($B1216,المكونات!$A$2:$A$500,0)),"")</f>
        <v>1.4</v>
      </c>
      <c r="F1216" s="68" t="n">
        <f aca="false">IFERROR($C1216*$E1216,"")</f>
        <v>1.4</v>
      </c>
    </row>
    <row r="1217" customFormat="false" ht="15" hidden="false" customHeight="true" outlineLevel="0" collapsed="false">
      <c r="A1217" s="65" t="s">
        <v>515</v>
      </c>
      <c r="B1217" s="65" t="s">
        <v>293</v>
      </c>
      <c r="C1217" s="65" t="n">
        <v>1</v>
      </c>
      <c r="D1217" s="66" t="str">
        <f aca="false">IFERROR(INDEX(المكونات!$B$2:$B$500,MATCH($B1217,المكونات!$A$2:$A$500,0)),"")</f>
        <v>قطعة</v>
      </c>
      <c r="E1217" s="67" t="n">
        <f aca="false">IFERROR(INDEX(المكونات!$C$2:$C$500,MATCH($B1217,المكونات!$A$2:$A$500,0)),"")</f>
        <v>0.5</v>
      </c>
      <c r="F1217" s="68" t="n">
        <f aca="false">IFERROR($C1217*$E1217,"")</f>
        <v>0.5</v>
      </c>
    </row>
    <row r="1218" customFormat="false" ht="15" hidden="false" customHeight="true" outlineLevel="0" collapsed="false">
      <c r="A1218" s="65" t="s">
        <v>515</v>
      </c>
      <c r="B1218" s="65" t="s">
        <v>211</v>
      </c>
      <c r="C1218" s="65" t="n">
        <v>2</v>
      </c>
      <c r="D1218" s="66" t="str">
        <f aca="false">IFERROR(INDEX(المكونات!$B$2:$B$500,MATCH($B1218,المكونات!$A$2:$A$500,0)),"")</f>
        <v>قطعة (جلفز)</v>
      </c>
      <c r="E1218" s="67" t="n">
        <f aca="false">IFERROR(INDEX(المكونات!$C$2:$C$500,MATCH($B1218,المكونات!$A$2:$A$500,0)),"")</f>
        <v>0.18</v>
      </c>
      <c r="F1218" s="68" t="n">
        <f aca="false">IFERROR($C1218*$E1218,"")</f>
        <v>0.36</v>
      </c>
    </row>
    <row r="1219" customFormat="false" ht="15" hidden="false" customHeight="true" outlineLevel="0" collapsed="false">
      <c r="A1219" s="65" t="s">
        <v>515</v>
      </c>
      <c r="B1219" s="65" t="s">
        <v>322</v>
      </c>
      <c r="C1219" s="65" t="n">
        <v>1</v>
      </c>
      <c r="D1219" s="66" t="str">
        <f aca="false">IFERROR(INDEX(المكونات!$B$2:$B$500,MATCH($B1219,المكونات!$A$2:$A$500,0)),"")</f>
        <v>قطعة (كيس)</v>
      </c>
      <c r="E1219" s="67" t="n">
        <f aca="false">IFERROR(INDEX(المكونات!$C$2:$C$500,MATCH($B1219,المكونات!$A$2:$A$500,0)),"")</f>
        <v>1</v>
      </c>
      <c r="F1219" s="68" t="n">
        <f aca="false">IFERROR($C1219*$E1219,"")</f>
        <v>1</v>
      </c>
    </row>
    <row r="1220" customFormat="false" ht="15" hidden="false" customHeight="true" outlineLevel="0" collapsed="false">
      <c r="A1220" s="65" t="s">
        <v>515</v>
      </c>
      <c r="B1220" s="65" t="s">
        <v>336</v>
      </c>
      <c r="C1220" s="65" t="n">
        <v>0.12</v>
      </c>
      <c r="D1220" s="66" t="str">
        <f aca="false">IFERROR(INDEX(المكونات!$B$2:$B$500,MATCH($B1220,المكونات!$A$2:$A$500,0)),"")</f>
        <v>كجم</v>
      </c>
      <c r="E1220" s="67" t="n">
        <f aca="false">IFERROR(INDEX(المكونات!$C$2:$C$500,MATCH($B1220,المكونات!$A$2:$A$500,0)),"")</f>
        <v>220.02</v>
      </c>
      <c r="F1220" s="68" t="n">
        <f aca="false">IFERROR($C1220*$E1220,"")</f>
        <v>26.4024</v>
      </c>
    </row>
    <row r="1221" customFormat="false" ht="15" hidden="false" customHeight="true" outlineLevel="0" collapsed="false">
      <c r="A1221" s="65" t="s">
        <v>492</v>
      </c>
      <c r="B1221" s="65" t="s">
        <v>264</v>
      </c>
      <c r="C1221" s="65" t="n">
        <v>1.5</v>
      </c>
      <c r="D1221" s="66" t="str">
        <f aca="false">IFERROR(INDEX(المكونات!$B$2:$B$500,MATCH($B1221,المكونات!$A$2:$A$500,0)),"")</f>
        <v>قطعة</v>
      </c>
      <c r="E1221" s="67" t="n">
        <f aca="false">IFERROR(INDEX(المكونات!$C$2:$C$500,MATCH($B1221,المكونات!$A$2:$A$500,0)),"")</f>
        <v>4</v>
      </c>
      <c r="F1221" s="68" t="n">
        <f aca="false">IFERROR($C1221*$E1221,"")</f>
        <v>6</v>
      </c>
    </row>
    <row r="1222" customFormat="false" ht="15" hidden="false" customHeight="true" outlineLevel="0" collapsed="false">
      <c r="A1222" s="65" t="s">
        <v>492</v>
      </c>
      <c r="B1222" s="65" t="s">
        <v>260</v>
      </c>
      <c r="C1222" s="65" t="n">
        <v>0.045</v>
      </c>
      <c r="D1222" s="66" t="str">
        <f aca="false">IFERROR(INDEX(المكونات!$B$2:$B$500,MATCH($B1222,المكونات!$A$2:$A$500,0)),"")</f>
        <v>كجم</v>
      </c>
      <c r="E1222" s="67" t="n">
        <f aca="false">IFERROR(INDEX(المكونات!$C$2:$C$500,MATCH($B1222,المكونات!$A$2:$A$500,0)),"")</f>
        <v>21</v>
      </c>
      <c r="F1222" s="68" t="n">
        <f aca="false">IFERROR($C1222*$E1222,"")</f>
        <v>0.945</v>
      </c>
    </row>
    <row r="1223" customFormat="false" ht="15" hidden="false" customHeight="true" outlineLevel="0" collapsed="false">
      <c r="A1223" s="65" t="s">
        <v>492</v>
      </c>
      <c r="B1223" s="65" t="s">
        <v>284</v>
      </c>
      <c r="C1223" s="65" t="n">
        <v>0.03</v>
      </c>
      <c r="D1223" s="66" t="str">
        <f aca="false">IFERROR(INDEX(المكونات!$B$2:$B$500,MATCH($B1223,المكونات!$A$2:$A$500,0)),"")</f>
        <v>كجم</v>
      </c>
      <c r="E1223" s="67" t="n">
        <f aca="false">IFERROR(INDEX(المكونات!$C$2:$C$500,MATCH($B1223,المكونات!$A$2:$A$500,0)),"")</f>
        <v>27</v>
      </c>
      <c r="F1223" s="68" t="n">
        <f aca="false">IFERROR($C1223*$E1223,"")</f>
        <v>0.81</v>
      </c>
    </row>
    <row r="1224" customFormat="false" ht="15" hidden="false" customHeight="true" outlineLevel="0" collapsed="false">
      <c r="A1224" s="65" t="s">
        <v>492</v>
      </c>
      <c r="B1224" s="65" t="s">
        <v>227</v>
      </c>
      <c r="C1224" s="65" t="n">
        <v>0.03</v>
      </c>
      <c r="D1224" s="66" t="str">
        <f aca="false">IFERROR(INDEX(المكونات!$B$2:$B$500,MATCH($B1224,المكونات!$A$2:$A$500,0)),"")</f>
        <v>كجم</v>
      </c>
      <c r="E1224" s="67" t="n">
        <f aca="false">IFERROR(INDEX(المكونات!$C$2:$C$500,MATCH($B1224,المكونات!$A$2:$A$500,0)),"")</f>
        <v>95</v>
      </c>
      <c r="F1224" s="68" t="n">
        <f aca="false">IFERROR($C1224*$E1224,"")</f>
        <v>2.85</v>
      </c>
    </row>
    <row r="1225" customFormat="false" ht="15" hidden="false" customHeight="true" outlineLevel="0" collapsed="false">
      <c r="A1225" s="65" t="s">
        <v>492</v>
      </c>
      <c r="B1225" s="65" t="s">
        <v>178</v>
      </c>
      <c r="C1225" s="65" t="n">
        <v>1</v>
      </c>
      <c r="D1225" s="66" t="str">
        <f aca="false">IFERROR(INDEX(المكونات!$B$2:$B$500,MATCH($B1225,المكونات!$A$2:$A$500,0)),"")</f>
        <v>قطعة</v>
      </c>
      <c r="E1225" s="67" t="n">
        <f aca="false">IFERROR(INDEX(المكونات!$C$2:$C$500,MATCH($B1225,المكونات!$A$2:$A$500,0)),"")</f>
        <v>25</v>
      </c>
      <c r="F1225" s="68" t="n">
        <f aca="false">IFERROR($C1225*$E1225,"")</f>
        <v>25</v>
      </c>
    </row>
    <row r="1226" customFormat="false" ht="15" hidden="false" customHeight="true" outlineLevel="0" collapsed="false">
      <c r="A1226" s="65" t="s">
        <v>492</v>
      </c>
      <c r="B1226" s="65" t="s">
        <v>268</v>
      </c>
      <c r="C1226" s="65" t="n">
        <v>1</v>
      </c>
      <c r="D1226" s="66" t="str">
        <f aca="false">IFERROR(INDEX(المكونات!$B$2:$B$500,MATCH($B1226,المكونات!$A$2:$A$500,0)),"")</f>
        <v>قطعة</v>
      </c>
      <c r="E1226" s="67" t="n">
        <f aca="false">IFERROR(INDEX(المكونات!$C$2:$C$500,MATCH($B1226,المكونات!$A$2:$A$500,0)),"")</f>
        <v>5.5</v>
      </c>
      <c r="F1226" s="68" t="n">
        <f aca="false">IFERROR($C1226*$E1226,"")</f>
        <v>5.5</v>
      </c>
    </row>
    <row r="1227" customFormat="false" ht="15" hidden="false" customHeight="true" outlineLevel="0" collapsed="false">
      <c r="A1227" s="65" t="s">
        <v>492</v>
      </c>
      <c r="B1227" s="65" t="s">
        <v>290</v>
      </c>
      <c r="C1227" s="65" t="n">
        <v>3</v>
      </c>
      <c r="D1227" s="66" t="str">
        <f aca="false">IFERROR(INDEX(المكونات!$B$2:$B$500,MATCH($B1227,المكونات!$A$2:$A$500,0)),"")</f>
        <v>قطعة</v>
      </c>
      <c r="E1227" s="67" t="n">
        <f aca="false">IFERROR(INDEX(المكونات!$C$2:$C$500,MATCH($B1227,المكونات!$A$2:$A$500,0)),"")</f>
        <v>0.3</v>
      </c>
      <c r="F1227" s="68" t="n">
        <f aca="false">IFERROR($C1227*$E1227,"")</f>
        <v>0.9</v>
      </c>
    </row>
    <row r="1228" customFormat="false" ht="15" hidden="false" customHeight="true" outlineLevel="0" collapsed="false">
      <c r="A1228" s="65" t="s">
        <v>492</v>
      </c>
      <c r="B1228" s="65" t="s">
        <v>319</v>
      </c>
      <c r="C1228" s="65" t="n">
        <v>1</v>
      </c>
      <c r="D1228" s="66" t="str">
        <f aca="false">IFERROR(INDEX(المكونات!$B$2:$B$500,MATCH($B1228,المكونات!$A$2:$A$500,0)),"")</f>
        <v>قطعة (ورقة)</v>
      </c>
      <c r="E1228" s="67" t="n">
        <f aca="false">IFERROR(INDEX(المكونات!$C$2:$C$500,MATCH($B1228,المكونات!$A$2:$A$500,0)),"")</f>
        <v>0.3665</v>
      </c>
      <c r="F1228" s="68" t="n">
        <f aca="false">IFERROR($C1228*$E1228,"")</f>
        <v>0.3665</v>
      </c>
    </row>
    <row r="1229" customFormat="false" ht="15" hidden="false" customHeight="true" outlineLevel="0" collapsed="false">
      <c r="A1229" s="65" t="s">
        <v>492</v>
      </c>
      <c r="B1229" s="65" t="s">
        <v>133</v>
      </c>
      <c r="C1229" s="65" t="n">
        <v>1</v>
      </c>
      <c r="D1229" s="66" t="str">
        <f aca="false">IFERROR(INDEX(المكونات!$B$2:$B$500,MATCH($B1229,المكونات!$A$2:$A$500,0)),"")</f>
        <v>قطعة (كيس)</v>
      </c>
      <c r="E1229" s="67" t="n">
        <f aca="false">IFERROR(INDEX(المكونات!$C$2:$C$500,MATCH($B1229,المكونات!$A$2:$A$500,0)),"")</f>
        <v>1.4</v>
      </c>
      <c r="F1229" s="68" t="n">
        <f aca="false">IFERROR($C1229*$E1229,"")</f>
        <v>1.4</v>
      </c>
    </row>
    <row r="1230" customFormat="false" ht="15" hidden="false" customHeight="true" outlineLevel="0" collapsed="false">
      <c r="A1230" s="65" t="s">
        <v>492</v>
      </c>
      <c r="B1230" s="65" t="s">
        <v>293</v>
      </c>
      <c r="C1230" s="65" t="n">
        <v>1</v>
      </c>
      <c r="D1230" s="66" t="str">
        <f aca="false">IFERROR(INDEX(المكونات!$B$2:$B$500,MATCH($B1230,المكونات!$A$2:$A$500,0)),"")</f>
        <v>قطعة</v>
      </c>
      <c r="E1230" s="67" t="n">
        <f aca="false">IFERROR(INDEX(المكونات!$C$2:$C$500,MATCH($B1230,المكونات!$A$2:$A$500,0)),"")</f>
        <v>0.5</v>
      </c>
      <c r="F1230" s="68" t="n">
        <f aca="false">IFERROR($C1230*$E1230,"")</f>
        <v>0.5</v>
      </c>
    </row>
    <row r="1231" customFormat="false" ht="15" hidden="false" customHeight="true" outlineLevel="0" collapsed="false">
      <c r="A1231" s="65" t="s">
        <v>492</v>
      </c>
      <c r="B1231" s="65" t="s">
        <v>211</v>
      </c>
      <c r="C1231" s="65" t="n">
        <v>2</v>
      </c>
      <c r="D1231" s="66" t="str">
        <f aca="false">IFERROR(INDEX(المكونات!$B$2:$B$500,MATCH($B1231,المكونات!$A$2:$A$500,0)),"")</f>
        <v>قطعة (جلفز)</v>
      </c>
      <c r="E1231" s="67" t="n">
        <f aca="false">IFERROR(INDEX(المكونات!$C$2:$C$500,MATCH($B1231,المكونات!$A$2:$A$500,0)),"")</f>
        <v>0.18</v>
      </c>
      <c r="F1231" s="68" t="n">
        <f aca="false">IFERROR($C1231*$E1231,"")</f>
        <v>0.36</v>
      </c>
    </row>
    <row r="1232" customFormat="false" ht="15" hidden="false" customHeight="true" outlineLevel="0" collapsed="false">
      <c r="A1232" s="65" t="s">
        <v>492</v>
      </c>
      <c r="B1232" s="65" t="s">
        <v>322</v>
      </c>
      <c r="C1232" s="65" t="n">
        <v>1</v>
      </c>
      <c r="D1232" s="66" t="str">
        <f aca="false">IFERROR(INDEX(المكونات!$B$2:$B$500,MATCH($B1232,المكونات!$A$2:$A$500,0)),"")</f>
        <v>قطعة (كيس)</v>
      </c>
      <c r="E1232" s="67" t="n">
        <f aca="false">IFERROR(INDEX(المكونات!$C$2:$C$500,MATCH($B1232,المكونات!$A$2:$A$500,0)),"")</f>
        <v>1</v>
      </c>
      <c r="F1232" s="68" t="n">
        <f aca="false">IFERROR($C1232*$E1232,"")</f>
        <v>1</v>
      </c>
    </row>
    <row r="1233" customFormat="false" ht="15" hidden="false" customHeight="true" outlineLevel="0" collapsed="false">
      <c r="A1233" s="65" t="s">
        <v>492</v>
      </c>
      <c r="B1233" s="65" t="s">
        <v>336</v>
      </c>
      <c r="C1233" s="65" t="n">
        <v>0.18</v>
      </c>
      <c r="D1233" s="66" t="str">
        <f aca="false">IFERROR(INDEX(المكونات!$B$2:$B$500,MATCH($B1233,المكونات!$A$2:$A$500,0)),"")</f>
        <v>كجم</v>
      </c>
      <c r="E1233" s="67" t="n">
        <f aca="false">IFERROR(INDEX(المكونات!$C$2:$C$500,MATCH($B1233,المكونات!$A$2:$A$500,0)),"")</f>
        <v>220.02</v>
      </c>
      <c r="F1233" s="68" t="n">
        <f aca="false">IFERROR($C1233*$E1233,"")</f>
        <v>39.6036</v>
      </c>
    </row>
    <row r="1234" customFormat="false" ht="15" hidden="false" customHeight="true" outlineLevel="0" collapsed="false">
      <c r="A1234" s="65" t="s">
        <v>504</v>
      </c>
      <c r="B1234" s="65" t="s">
        <v>264</v>
      </c>
      <c r="C1234" s="65" t="n">
        <v>1</v>
      </c>
      <c r="D1234" s="66" t="str">
        <f aca="false">IFERROR(INDEX(المكونات!$B$2:$B$500,MATCH($B1234,المكونات!$A$2:$A$500,0)),"")</f>
        <v>قطعة</v>
      </c>
      <c r="E1234" s="67" t="n">
        <f aca="false">IFERROR(INDEX(المكونات!$C$2:$C$500,MATCH($B1234,المكونات!$A$2:$A$500,0)),"")</f>
        <v>4</v>
      </c>
      <c r="F1234" s="68" t="n">
        <f aca="false">IFERROR($C1234*$E1234,"")</f>
        <v>4</v>
      </c>
    </row>
    <row r="1235" customFormat="false" ht="15" hidden="false" customHeight="true" outlineLevel="0" collapsed="false">
      <c r="A1235" s="65" t="s">
        <v>504</v>
      </c>
      <c r="B1235" s="65" t="s">
        <v>260</v>
      </c>
      <c r="C1235" s="65" t="n">
        <v>0.03</v>
      </c>
      <c r="D1235" s="66" t="str">
        <f aca="false">IFERROR(INDEX(المكونات!$B$2:$B$500,MATCH($B1235,المكونات!$A$2:$A$500,0)),"")</f>
        <v>كجم</v>
      </c>
      <c r="E1235" s="67" t="n">
        <f aca="false">IFERROR(INDEX(المكونات!$C$2:$C$500,MATCH($B1235,المكونات!$A$2:$A$500,0)),"")</f>
        <v>21</v>
      </c>
      <c r="F1235" s="68" t="n">
        <f aca="false">IFERROR($C1235*$E1235,"")</f>
        <v>0.63</v>
      </c>
    </row>
    <row r="1236" customFormat="false" ht="15" hidden="false" customHeight="true" outlineLevel="0" collapsed="false">
      <c r="A1236" s="65" t="s">
        <v>504</v>
      </c>
      <c r="B1236" s="65" t="s">
        <v>284</v>
      </c>
      <c r="C1236" s="65" t="n">
        <v>0.02</v>
      </c>
      <c r="D1236" s="66" t="str">
        <f aca="false">IFERROR(INDEX(المكونات!$B$2:$B$500,MATCH($B1236,المكونات!$A$2:$A$500,0)),"")</f>
        <v>كجم</v>
      </c>
      <c r="E1236" s="67" t="n">
        <f aca="false">IFERROR(INDEX(المكونات!$C$2:$C$500,MATCH($B1236,المكونات!$A$2:$A$500,0)),"")</f>
        <v>27</v>
      </c>
      <c r="F1236" s="68" t="n">
        <f aca="false">IFERROR($C1236*$E1236,"")</f>
        <v>0.54</v>
      </c>
    </row>
    <row r="1237" customFormat="false" ht="15" hidden="false" customHeight="true" outlineLevel="0" collapsed="false">
      <c r="A1237" s="65" t="s">
        <v>504</v>
      </c>
      <c r="B1237" s="65" t="s">
        <v>227</v>
      </c>
      <c r="C1237" s="65" t="n">
        <v>0.02</v>
      </c>
      <c r="D1237" s="66" t="str">
        <f aca="false">IFERROR(INDEX(المكونات!$B$2:$B$500,MATCH($B1237,المكونات!$A$2:$A$500,0)),"")</f>
        <v>كجم</v>
      </c>
      <c r="E1237" s="67" t="n">
        <f aca="false">IFERROR(INDEX(المكونات!$C$2:$C$500,MATCH($B1237,المكونات!$A$2:$A$500,0)),"")</f>
        <v>95</v>
      </c>
      <c r="F1237" s="68" t="n">
        <f aca="false">IFERROR($C1237*$E1237,"")</f>
        <v>1.9</v>
      </c>
    </row>
    <row r="1238" customFormat="false" ht="15" hidden="false" customHeight="true" outlineLevel="0" collapsed="false">
      <c r="A1238" s="65" t="s">
        <v>504</v>
      </c>
      <c r="B1238" s="65" t="s">
        <v>176</v>
      </c>
      <c r="C1238" s="65" t="n">
        <v>1</v>
      </c>
      <c r="D1238" s="66" t="str">
        <f aca="false">IFERROR(INDEX(المكونات!$B$2:$B$500,MATCH($B1238,المكونات!$A$2:$A$500,0)),"")</f>
        <v>قطعة</v>
      </c>
      <c r="E1238" s="67" t="n">
        <f aca="false">IFERROR(INDEX(المكونات!$C$2:$C$500,MATCH($B1238,المكونات!$A$2:$A$500,0)),"")</f>
        <v>17.5</v>
      </c>
      <c r="F1238" s="68" t="n">
        <f aca="false">IFERROR($C1238*$E1238,"")</f>
        <v>17.5</v>
      </c>
    </row>
    <row r="1239" customFormat="false" ht="15" hidden="false" customHeight="true" outlineLevel="0" collapsed="false">
      <c r="A1239" s="65" t="s">
        <v>504</v>
      </c>
      <c r="B1239" s="65" t="s">
        <v>270</v>
      </c>
      <c r="C1239" s="65" t="n">
        <v>1</v>
      </c>
      <c r="D1239" s="66" t="str">
        <f aca="false">IFERROR(INDEX(المكونات!$B$2:$B$500,MATCH($B1239,المكونات!$A$2:$A$500,0)),"")</f>
        <v>قطعة</v>
      </c>
      <c r="E1239" s="67" t="n">
        <f aca="false">IFERROR(INDEX(المكونات!$C$2:$C$500,MATCH($B1239,المكونات!$A$2:$A$500,0)),"")</f>
        <v>4.5</v>
      </c>
      <c r="F1239" s="68" t="n">
        <f aca="false">IFERROR($C1239*$E1239,"")</f>
        <v>4.5</v>
      </c>
    </row>
    <row r="1240" customFormat="false" ht="15" hidden="false" customHeight="true" outlineLevel="0" collapsed="false">
      <c r="A1240" s="65" t="s">
        <v>504</v>
      </c>
      <c r="B1240" s="65" t="s">
        <v>290</v>
      </c>
      <c r="C1240" s="65" t="n">
        <v>2</v>
      </c>
      <c r="D1240" s="66" t="str">
        <f aca="false">IFERROR(INDEX(المكونات!$B$2:$B$500,MATCH($B1240,المكونات!$A$2:$A$500,0)),"")</f>
        <v>قطعة</v>
      </c>
      <c r="E1240" s="67" t="n">
        <f aca="false">IFERROR(INDEX(المكونات!$C$2:$C$500,MATCH($B1240,المكونات!$A$2:$A$500,0)),"")</f>
        <v>0.3</v>
      </c>
      <c r="F1240" s="68" t="n">
        <f aca="false">IFERROR($C1240*$E1240,"")</f>
        <v>0.6</v>
      </c>
    </row>
    <row r="1241" customFormat="false" ht="15" hidden="false" customHeight="true" outlineLevel="0" collapsed="false">
      <c r="A1241" s="65" t="s">
        <v>504</v>
      </c>
      <c r="B1241" s="65" t="s">
        <v>319</v>
      </c>
      <c r="C1241" s="65" t="n">
        <v>1</v>
      </c>
      <c r="D1241" s="66" t="str">
        <f aca="false">IFERROR(INDEX(المكونات!$B$2:$B$500,MATCH($B1241,المكونات!$A$2:$A$500,0)),"")</f>
        <v>قطعة (ورقة)</v>
      </c>
      <c r="E1241" s="67" t="n">
        <f aca="false">IFERROR(INDEX(المكونات!$C$2:$C$500,MATCH($B1241,المكونات!$A$2:$A$500,0)),"")</f>
        <v>0.3665</v>
      </c>
      <c r="F1241" s="68" t="n">
        <f aca="false">IFERROR($C1241*$E1241,"")</f>
        <v>0.3665</v>
      </c>
    </row>
    <row r="1242" customFormat="false" ht="15" hidden="false" customHeight="true" outlineLevel="0" collapsed="false">
      <c r="A1242" s="65" t="s">
        <v>504</v>
      </c>
      <c r="B1242" s="65" t="s">
        <v>133</v>
      </c>
      <c r="C1242" s="65" t="n">
        <v>1</v>
      </c>
      <c r="D1242" s="66" t="str">
        <f aca="false">IFERROR(INDEX(المكونات!$B$2:$B$500,MATCH($B1242,المكونات!$A$2:$A$500,0)),"")</f>
        <v>قطعة (كيس)</v>
      </c>
      <c r="E1242" s="67" t="n">
        <f aca="false">IFERROR(INDEX(المكونات!$C$2:$C$500,MATCH($B1242,المكونات!$A$2:$A$500,0)),"")</f>
        <v>1.4</v>
      </c>
      <c r="F1242" s="68" t="n">
        <f aca="false">IFERROR($C1242*$E1242,"")</f>
        <v>1.4</v>
      </c>
    </row>
    <row r="1243" customFormat="false" ht="15" hidden="false" customHeight="true" outlineLevel="0" collapsed="false">
      <c r="A1243" s="65" t="s">
        <v>504</v>
      </c>
      <c r="B1243" s="65" t="s">
        <v>293</v>
      </c>
      <c r="C1243" s="65" t="n">
        <v>1</v>
      </c>
      <c r="D1243" s="66" t="str">
        <f aca="false">IFERROR(INDEX(المكونات!$B$2:$B$500,MATCH($B1243,المكونات!$A$2:$A$500,0)),"")</f>
        <v>قطعة</v>
      </c>
      <c r="E1243" s="67" t="n">
        <f aca="false">IFERROR(INDEX(المكونات!$C$2:$C$500,MATCH($B1243,المكونات!$A$2:$A$500,0)),"")</f>
        <v>0.5</v>
      </c>
      <c r="F1243" s="68" t="n">
        <f aca="false">IFERROR($C1243*$E1243,"")</f>
        <v>0.5</v>
      </c>
    </row>
    <row r="1244" customFormat="false" ht="15" hidden="false" customHeight="true" outlineLevel="0" collapsed="false">
      <c r="A1244" s="65" t="s">
        <v>504</v>
      </c>
      <c r="B1244" s="65" t="s">
        <v>211</v>
      </c>
      <c r="C1244" s="65" t="n">
        <v>2</v>
      </c>
      <c r="D1244" s="66" t="str">
        <f aca="false">IFERROR(INDEX(المكونات!$B$2:$B$500,MATCH($B1244,المكونات!$A$2:$A$500,0)),"")</f>
        <v>قطعة (جلفز)</v>
      </c>
      <c r="E1244" s="67" t="n">
        <f aca="false">IFERROR(INDEX(المكونات!$C$2:$C$500,MATCH($B1244,المكونات!$A$2:$A$500,0)),"")</f>
        <v>0.18</v>
      </c>
      <c r="F1244" s="68" t="n">
        <f aca="false">IFERROR($C1244*$E1244,"")</f>
        <v>0.36</v>
      </c>
    </row>
    <row r="1245" customFormat="false" ht="15" hidden="false" customHeight="true" outlineLevel="0" collapsed="false">
      <c r="A1245" s="65" t="s">
        <v>504</v>
      </c>
      <c r="B1245" s="65" t="s">
        <v>322</v>
      </c>
      <c r="C1245" s="65" t="n">
        <v>1</v>
      </c>
      <c r="D1245" s="66" t="str">
        <f aca="false">IFERROR(INDEX(المكونات!$B$2:$B$500,MATCH($B1245,المكونات!$A$2:$A$500,0)),"")</f>
        <v>قطعة (كيس)</v>
      </c>
      <c r="E1245" s="67" t="n">
        <f aca="false">IFERROR(INDEX(المكونات!$C$2:$C$500,MATCH($B1245,المكونات!$A$2:$A$500,0)),"")</f>
        <v>1</v>
      </c>
      <c r="F1245" s="68" t="n">
        <f aca="false">IFERROR($C1245*$E1245,"")</f>
        <v>1</v>
      </c>
    </row>
    <row r="1246" customFormat="false" ht="15" hidden="false" customHeight="true" outlineLevel="0" collapsed="false">
      <c r="A1246" s="65" t="s">
        <v>504</v>
      </c>
      <c r="B1246" s="65" t="s">
        <v>338</v>
      </c>
      <c r="C1246" s="65" t="n">
        <v>0.14</v>
      </c>
      <c r="D1246" s="66" t="str">
        <f aca="false">IFERROR(INDEX(المكونات!$B$2:$B$500,MATCH($B1246,المكونات!$A$2:$A$500,0)),"")</f>
        <v>كجم</v>
      </c>
      <c r="E1246" s="67" t="n">
        <f aca="false">IFERROR(INDEX(المكونات!$C$2:$C$500,MATCH($B1246,المكونات!$A$2:$A$500,0)),"")</f>
        <v>219.23</v>
      </c>
      <c r="F1246" s="68" t="n">
        <f aca="false">IFERROR($C1246*$E1246,"")</f>
        <v>30.6922</v>
      </c>
    </row>
    <row r="1247" customFormat="false" ht="15" hidden="false" customHeight="true" outlineLevel="0" collapsed="false">
      <c r="A1247" s="65" t="s">
        <v>485</v>
      </c>
      <c r="B1247" s="65" t="s">
        <v>264</v>
      </c>
      <c r="C1247" s="65" t="n">
        <v>1.5</v>
      </c>
      <c r="D1247" s="66" t="str">
        <f aca="false">IFERROR(INDEX(المكونات!$B$2:$B$500,MATCH($B1247,المكونات!$A$2:$A$500,0)),"")</f>
        <v>قطعة</v>
      </c>
      <c r="E1247" s="67" t="n">
        <f aca="false">IFERROR(INDEX(المكونات!$C$2:$C$500,MATCH($B1247,المكونات!$A$2:$A$500,0)),"")</f>
        <v>4</v>
      </c>
      <c r="F1247" s="68" t="n">
        <f aca="false">IFERROR($C1247*$E1247,"")</f>
        <v>6</v>
      </c>
    </row>
    <row r="1248" customFormat="false" ht="15" hidden="false" customHeight="true" outlineLevel="0" collapsed="false">
      <c r="A1248" s="65" t="s">
        <v>485</v>
      </c>
      <c r="B1248" s="65" t="s">
        <v>260</v>
      </c>
      <c r="C1248" s="65" t="n">
        <v>0.045</v>
      </c>
      <c r="D1248" s="66" t="str">
        <f aca="false">IFERROR(INDEX(المكونات!$B$2:$B$500,MATCH($B1248,المكونات!$A$2:$A$500,0)),"")</f>
        <v>كجم</v>
      </c>
      <c r="E1248" s="67" t="n">
        <f aca="false">IFERROR(INDEX(المكونات!$C$2:$C$500,MATCH($B1248,المكونات!$A$2:$A$500,0)),"")</f>
        <v>21</v>
      </c>
      <c r="F1248" s="68" t="n">
        <f aca="false">IFERROR($C1248*$E1248,"")</f>
        <v>0.945</v>
      </c>
    </row>
    <row r="1249" customFormat="false" ht="15" hidden="false" customHeight="true" outlineLevel="0" collapsed="false">
      <c r="A1249" s="65" t="s">
        <v>485</v>
      </c>
      <c r="B1249" s="65" t="s">
        <v>284</v>
      </c>
      <c r="C1249" s="65" t="n">
        <v>0.03</v>
      </c>
      <c r="D1249" s="66" t="str">
        <f aca="false">IFERROR(INDEX(المكونات!$B$2:$B$500,MATCH($B1249,المكونات!$A$2:$A$500,0)),"")</f>
        <v>كجم</v>
      </c>
      <c r="E1249" s="67" t="n">
        <f aca="false">IFERROR(INDEX(المكونات!$C$2:$C$500,MATCH($B1249,المكونات!$A$2:$A$500,0)),"")</f>
        <v>27</v>
      </c>
      <c r="F1249" s="68" t="n">
        <f aca="false">IFERROR($C1249*$E1249,"")</f>
        <v>0.81</v>
      </c>
    </row>
    <row r="1250" customFormat="false" ht="15" hidden="false" customHeight="true" outlineLevel="0" collapsed="false">
      <c r="A1250" s="65" t="s">
        <v>485</v>
      </c>
      <c r="B1250" s="65" t="s">
        <v>227</v>
      </c>
      <c r="C1250" s="65" t="n">
        <v>0.03</v>
      </c>
      <c r="D1250" s="66" t="str">
        <f aca="false">IFERROR(INDEX(المكونات!$B$2:$B$500,MATCH($B1250,المكونات!$A$2:$A$500,0)),"")</f>
        <v>كجم</v>
      </c>
      <c r="E1250" s="67" t="n">
        <f aca="false">IFERROR(INDEX(المكونات!$C$2:$C$500,MATCH($B1250,المكونات!$A$2:$A$500,0)),"")</f>
        <v>95</v>
      </c>
      <c r="F1250" s="68" t="n">
        <f aca="false">IFERROR($C1250*$E1250,"")</f>
        <v>2.85</v>
      </c>
    </row>
    <row r="1251" customFormat="false" ht="15" hidden="false" customHeight="true" outlineLevel="0" collapsed="false">
      <c r="A1251" s="65" t="s">
        <v>485</v>
      </c>
      <c r="B1251" s="65" t="s">
        <v>178</v>
      </c>
      <c r="C1251" s="65" t="n">
        <v>1</v>
      </c>
      <c r="D1251" s="66" t="str">
        <f aca="false">IFERROR(INDEX(المكونات!$B$2:$B$500,MATCH($B1251,المكونات!$A$2:$A$500,0)),"")</f>
        <v>قطعة</v>
      </c>
      <c r="E1251" s="67" t="n">
        <f aca="false">IFERROR(INDEX(المكونات!$C$2:$C$500,MATCH($B1251,المكونات!$A$2:$A$500,0)),"")</f>
        <v>25</v>
      </c>
      <c r="F1251" s="68" t="n">
        <f aca="false">IFERROR($C1251*$E1251,"")</f>
        <v>25</v>
      </c>
    </row>
    <row r="1252" customFormat="false" ht="15" hidden="false" customHeight="true" outlineLevel="0" collapsed="false">
      <c r="A1252" s="65" t="s">
        <v>485</v>
      </c>
      <c r="B1252" s="65" t="s">
        <v>268</v>
      </c>
      <c r="C1252" s="65" t="n">
        <v>1</v>
      </c>
      <c r="D1252" s="66" t="str">
        <f aca="false">IFERROR(INDEX(المكونات!$B$2:$B$500,MATCH($B1252,المكونات!$A$2:$A$500,0)),"")</f>
        <v>قطعة</v>
      </c>
      <c r="E1252" s="67" t="n">
        <f aca="false">IFERROR(INDEX(المكونات!$C$2:$C$500,MATCH($B1252,المكونات!$A$2:$A$500,0)),"")</f>
        <v>5.5</v>
      </c>
      <c r="F1252" s="68" t="n">
        <f aca="false">IFERROR($C1252*$E1252,"")</f>
        <v>5.5</v>
      </c>
    </row>
    <row r="1253" customFormat="false" ht="15" hidden="false" customHeight="true" outlineLevel="0" collapsed="false">
      <c r="A1253" s="65" t="s">
        <v>485</v>
      </c>
      <c r="B1253" s="65" t="s">
        <v>290</v>
      </c>
      <c r="C1253" s="65" t="n">
        <v>3</v>
      </c>
      <c r="D1253" s="66" t="str">
        <f aca="false">IFERROR(INDEX(المكونات!$B$2:$B$500,MATCH($B1253,المكونات!$A$2:$A$500,0)),"")</f>
        <v>قطعة</v>
      </c>
      <c r="E1253" s="67" t="n">
        <f aca="false">IFERROR(INDEX(المكونات!$C$2:$C$500,MATCH($B1253,المكونات!$A$2:$A$500,0)),"")</f>
        <v>0.3</v>
      </c>
      <c r="F1253" s="68" t="n">
        <f aca="false">IFERROR($C1253*$E1253,"")</f>
        <v>0.9</v>
      </c>
    </row>
    <row r="1254" customFormat="false" ht="15" hidden="false" customHeight="true" outlineLevel="0" collapsed="false">
      <c r="A1254" s="65" t="s">
        <v>485</v>
      </c>
      <c r="B1254" s="65" t="s">
        <v>319</v>
      </c>
      <c r="C1254" s="65" t="n">
        <v>1</v>
      </c>
      <c r="D1254" s="66" t="str">
        <f aca="false">IFERROR(INDEX(المكونات!$B$2:$B$500,MATCH($B1254,المكونات!$A$2:$A$500,0)),"")</f>
        <v>قطعة (ورقة)</v>
      </c>
      <c r="E1254" s="67" t="n">
        <f aca="false">IFERROR(INDEX(المكونات!$C$2:$C$500,MATCH($B1254,المكونات!$A$2:$A$500,0)),"")</f>
        <v>0.3665</v>
      </c>
      <c r="F1254" s="68" t="n">
        <f aca="false">IFERROR($C1254*$E1254,"")</f>
        <v>0.3665</v>
      </c>
    </row>
    <row r="1255" customFormat="false" ht="15" hidden="false" customHeight="true" outlineLevel="0" collapsed="false">
      <c r="A1255" s="65" t="s">
        <v>485</v>
      </c>
      <c r="B1255" s="65" t="s">
        <v>133</v>
      </c>
      <c r="C1255" s="65" t="n">
        <v>1</v>
      </c>
      <c r="D1255" s="66" t="str">
        <f aca="false">IFERROR(INDEX(المكونات!$B$2:$B$500,MATCH($B1255,المكونات!$A$2:$A$500,0)),"")</f>
        <v>قطعة (كيس)</v>
      </c>
      <c r="E1255" s="67" t="n">
        <f aca="false">IFERROR(INDEX(المكونات!$C$2:$C$500,MATCH($B1255,المكونات!$A$2:$A$500,0)),"")</f>
        <v>1.4</v>
      </c>
      <c r="F1255" s="68" t="n">
        <f aca="false">IFERROR($C1255*$E1255,"")</f>
        <v>1.4</v>
      </c>
    </row>
    <row r="1256" customFormat="false" ht="15" hidden="false" customHeight="true" outlineLevel="0" collapsed="false">
      <c r="A1256" s="65" t="s">
        <v>485</v>
      </c>
      <c r="B1256" s="65" t="s">
        <v>293</v>
      </c>
      <c r="C1256" s="65" t="n">
        <v>1</v>
      </c>
      <c r="D1256" s="66" t="str">
        <f aca="false">IFERROR(INDEX(المكونات!$B$2:$B$500,MATCH($B1256,المكونات!$A$2:$A$500,0)),"")</f>
        <v>قطعة</v>
      </c>
      <c r="E1256" s="67" t="n">
        <f aca="false">IFERROR(INDEX(المكونات!$C$2:$C$500,MATCH($B1256,المكونات!$A$2:$A$500,0)),"")</f>
        <v>0.5</v>
      </c>
      <c r="F1256" s="68" t="n">
        <f aca="false">IFERROR($C1256*$E1256,"")</f>
        <v>0.5</v>
      </c>
    </row>
    <row r="1257" customFormat="false" ht="15" hidden="false" customHeight="true" outlineLevel="0" collapsed="false">
      <c r="A1257" s="65" t="s">
        <v>485</v>
      </c>
      <c r="B1257" s="65" t="s">
        <v>211</v>
      </c>
      <c r="C1257" s="65" t="n">
        <v>2</v>
      </c>
      <c r="D1257" s="66" t="str">
        <f aca="false">IFERROR(INDEX(المكونات!$B$2:$B$500,MATCH($B1257,المكونات!$A$2:$A$500,0)),"")</f>
        <v>قطعة (جلفز)</v>
      </c>
      <c r="E1257" s="67" t="n">
        <f aca="false">IFERROR(INDEX(المكونات!$C$2:$C$500,MATCH($B1257,المكونات!$A$2:$A$500,0)),"")</f>
        <v>0.18</v>
      </c>
      <c r="F1257" s="68" t="n">
        <f aca="false">IFERROR($C1257*$E1257,"")</f>
        <v>0.36</v>
      </c>
    </row>
    <row r="1258" customFormat="false" ht="15" hidden="false" customHeight="true" outlineLevel="0" collapsed="false">
      <c r="A1258" s="65" t="s">
        <v>485</v>
      </c>
      <c r="B1258" s="65" t="s">
        <v>322</v>
      </c>
      <c r="C1258" s="65" t="n">
        <v>1</v>
      </c>
      <c r="D1258" s="66" t="str">
        <f aca="false">IFERROR(INDEX(المكونات!$B$2:$B$500,MATCH($B1258,المكونات!$A$2:$A$500,0)),"")</f>
        <v>قطعة (كيس)</v>
      </c>
      <c r="E1258" s="67" t="n">
        <f aca="false">IFERROR(INDEX(المكونات!$C$2:$C$500,MATCH($B1258,المكونات!$A$2:$A$500,0)),"")</f>
        <v>1</v>
      </c>
      <c r="F1258" s="68" t="n">
        <f aca="false">IFERROR($C1258*$E1258,"")</f>
        <v>1</v>
      </c>
    </row>
    <row r="1259" customFormat="false" ht="15" hidden="false" customHeight="true" outlineLevel="0" collapsed="false">
      <c r="A1259" s="65" t="s">
        <v>485</v>
      </c>
      <c r="B1259" s="65" t="s">
        <v>338</v>
      </c>
      <c r="C1259" s="65" t="n">
        <v>0.21</v>
      </c>
      <c r="D1259" s="66" t="str">
        <f aca="false">IFERROR(INDEX(المكونات!$B$2:$B$500,MATCH($B1259,المكونات!$A$2:$A$500,0)),"")</f>
        <v>كجم</v>
      </c>
      <c r="E1259" s="67" t="n">
        <f aca="false">IFERROR(INDEX(المكونات!$C$2:$C$500,MATCH($B1259,المكونات!$A$2:$A$500,0)),"")</f>
        <v>219.23</v>
      </c>
      <c r="F1259" s="68" t="n">
        <f aca="false">IFERROR($C1259*$E1259,"")</f>
        <v>46.0383</v>
      </c>
    </row>
    <row r="1260" customFormat="false" ht="15" hidden="false" customHeight="true" outlineLevel="0" collapsed="false">
      <c r="A1260" s="65" t="s">
        <v>511</v>
      </c>
      <c r="B1260" s="65" t="s">
        <v>264</v>
      </c>
      <c r="C1260" s="65" t="n">
        <v>1</v>
      </c>
      <c r="D1260" s="66" t="str">
        <f aca="false">IFERROR(INDEX(المكونات!$B$2:$B$500,MATCH($B1260,المكونات!$A$2:$A$500,0)),"")</f>
        <v>قطعة</v>
      </c>
      <c r="E1260" s="67" t="n">
        <f aca="false">IFERROR(INDEX(المكونات!$C$2:$C$500,MATCH($B1260,المكونات!$A$2:$A$500,0)),"")</f>
        <v>4</v>
      </c>
      <c r="F1260" s="68" t="n">
        <f aca="false">IFERROR($C1260*$E1260,"")</f>
        <v>4</v>
      </c>
    </row>
    <row r="1261" customFormat="false" ht="15" hidden="false" customHeight="true" outlineLevel="0" collapsed="false">
      <c r="A1261" s="65" t="s">
        <v>511</v>
      </c>
      <c r="B1261" s="65" t="s">
        <v>260</v>
      </c>
      <c r="C1261" s="65" t="n">
        <v>0.03</v>
      </c>
      <c r="D1261" s="66" t="str">
        <f aca="false">IFERROR(INDEX(المكونات!$B$2:$B$500,MATCH($B1261,المكونات!$A$2:$A$500,0)),"")</f>
        <v>كجم</v>
      </c>
      <c r="E1261" s="67" t="n">
        <f aca="false">IFERROR(INDEX(المكونات!$C$2:$C$500,MATCH($B1261,المكونات!$A$2:$A$500,0)),"")</f>
        <v>21</v>
      </c>
      <c r="F1261" s="68" t="n">
        <f aca="false">IFERROR($C1261*$E1261,"")</f>
        <v>0.63</v>
      </c>
    </row>
    <row r="1262" customFormat="false" ht="15" hidden="false" customHeight="true" outlineLevel="0" collapsed="false">
      <c r="A1262" s="65" t="s">
        <v>511</v>
      </c>
      <c r="B1262" s="65" t="s">
        <v>284</v>
      </c>
      <c r="C1262" s="65" t="n">
        <v>0.02</v>
      </c>
      <c r="D1262" s="66" t="str">
        <f aca="false">IFERROR(INDEX(المكونات!$B$2:$B$500,MATCH($B1262,المكونات!$A$2:$A$500,0)),"")</f>
        <v>كجم</v>
      </c>
      <c r="E1262" s="67" t="n">
        <f aca="false">IFERROR(INDEX(المكونات!$C$2:$C$500,MATCH($B1262,المكونات!$A$2:$A$500,0)),"")</f>
        <v>27</v>
      </c>
      <c r="F1262" s="68" t="n">
        <f aca="false">IFERROR($C1262*$E1262,"")</f>
        <v>0.54</v>
      </c>
    </row>
    <row r="1263" customFormat="false" ht="15" hidden="false" customHeight="true" outlineLevel="0" collapsed="false">
      <c r="A1263" s="65" t="s">
        <v>511</v>
      </c>
      <c r="B1263" s="65" t="s">
        <v>227</v>
      </c>
      <c r="C1263" s="65" t="n">
        <v>0.02</v>
      </c>
      <c r="D1263" s="66" t="str">
        <f aca="false">IFERROR(INDEX(المكونات!$B$2:$B$500,MATCH($B1263,المكونات!$A$2:$A$500,0)),"")</f>
        <v>كجم</v>
      </c>
      <c r="E1263" s="67" t="n">
        <f aca="false">IFERROR(INDEX(المكونات!$C$2:$C$500,MATCH($B1263,المكونات!$A$2:$A$500,0)),"")</f>
        <v>95</v>
      </c>
      <c r="F1263" s="68" t="n">
        <f aca="false">IFERROR($C1263*$E1263,"")</f>
        <v>1.9</v>
      </c>
    </row>
    <row r="1264" customFormat="false" ht="15" hidden="false" customHeight="true" outlineLevel="0" collapsed="false">
      <c r="A1264" s="65" t="s">
        <v>511</v>
      </c>
      <c r="B1264" s="65" t="s">
        <v>176</v>
      </c>
      <c r="C1264" s="65" t="n">
        <v>1</v>
      </c>
      <c r="D1264" s="66" t="str">
        <f aca="false">IFERROR(INDEX(المكونات!$B$2:$B$500,MATCH($B1264,المكونات!$A$2:$A$500,0)),"")</f>
        <v>قطعة</v>
      </c>
      <c r="E1264" s="67" t="n">
        <f aca="false">IFERROR(INDEX(المكونات!$C$2:$C$500,MATCH($B1264,المكونات!$A$2:$A$500,0)),"")</f>
        <v>17.5</v>
      </c>
      <c r="F1264" s="68" t="n">
        <f aca="false">IFERROR($C1264*$E1264,"")</f>
        <v>17.5</v>
      </c>
    </row>
    <row r="1265" customFormat="false" ht="15" hidden="false" customHeight="true" outlineLevel="0" collapsed="false">
      <c r="A1265" s="65" t="s">
        <v>511</v>
      </c>
      <c r="B1265" s="65" t="s">
        <v>270</v>
      </c>
      <c r="C1265" s="65" t="n">
        <v>1</v>
      </c>
      <c r="D1265" s="66" t="str">
        <f aca="false">IFERROR(INDEX(المكونات!$B$2:$B$500,MATCH($B1265,المكونات!$A$2:$A$500,0)),"")</f>
        <v>قطعة</v>
      </c>
      <c r="E1265" s="67" t="n">
        <f aca="false">IFERROR(INDEX(المكونات!$C$2:$C$500,MATCH($B1265,المكونات!$A$2:$A$500,0)),"")</f>
        <v>4.5</v>
      </c>
      <c r="F1265" s="68" t="n">
        <f aca="false">IFERROR($C1265*$E1265,"")</f>
        <v>4.5</v>
      </c>
    </row>
    <row r="1266" customFormat="false" ht="15" hidden="false" customHeight="true" outlineLevel="0" collapsed="false">
      <c r="A1266" s="65" t="s">
        <v>511</v>
      </c>
      <c r="B1266" s="65" t="s">
        <v>290</v>
      </c>
      <c r="C1266" s="65" t="n">
        <v>2</v>
      </c>
      <c r="D1266" s="66" t="str">
        <f aca="false">IFERROR(INDEX(المكونات!$B$2:$B$500,MATCH($B1266,المكونات!$A$2:$A$500,0)),"")</f>
        <v>قطعة</v>
      </c>
      <c r="E1266" s="67" t="n">
        <f aca="false">IFERROR(INDEX(المكونات!$C$2:$C$500,MATCH($B1266,المكونات!$A$2:$A$500,0)),"")</f>
        <v>0.3</v>
      </c>
      <c r="F1266" s="68" t="n">
        <f aca="false">IFERROR($C1266*$E1266,"")</f>
        <v>0.6</v>
      </c>
    </row>
    <row r="1267" customFormat="false" ht="15" hidden="false" customHeight="true" outlineLevel="0" collapsed="false">
      <c r="A1267" s="65" t="s">
        <v>511</v>
      </c>
      <c r="B1267" s="65" t="s">
        <v>319</v>
      </c>
      <c r="C1267" s="65" t="n">
        <v>1</v>
      </c>
      <c r="D1267" s="66" t="str">
        <f aca="false">IFERROR(INDEX(المكونات!$B$2:$B$500,MATCH($B1267,المكونات!$A$2:$A$500,0)),"")</f>
        <v>قطعة (ورقة)</v>
      </c>
      <c r="E1267" s="67" t="n">
        <f aca="false">IFERROR(INDEX(المكونات!$C$2:$C$500,MATCH($B1267,المكونات!$A$2:$A$500,0)),"")</f>
        <v>0.3665</v>
      </c>
      <c r="F1267" s="68" t="n">
        <f aca="false">IFERROR($C1267*$E1267,"")</f>
        <v>0.3665</v>
      </c>
    </row>
    <row r="1268" customFormat="false" ht="15" hidden="false" customHeight="true" outlineLevel="0" collapsed="false">
      <c r="A1268" s="65" t="s">
        <v>511</v>
      </c>
      <c r="B1268" s="65" t="s">
        <v>133</v>
      </c>
      <c r="C1268" s="65" t="n">
        <v>1</v>
      </c>
      <c r="D1268" s="66" t="str">
        <f aca="false">IFERROR(INDEX(المكونات!$B$2:$B$500,MATCH($B1268,المكونات!$A$2:$A$500,0)),"")</f>
        <v>قطعة (كيس)</v>
      </c>
      <c r="E1268" s="67" t="n">
        <f aca="false">IFERROR(INDEX(المكونات!$C$2:$C$500,MATCH($B1268,المكونات!$A$2:$A$500,0)),"")</f>
        <v>1.4</v>
      </c>
      <c r="F1268" s="68" t="n">
        <f aca="false">IFERROR($C1268*$E1268,"")</f>
        <v>1.4</v>
      </c>
    </row>
    <row r="1269" customFormat="false" ht="15" hidden="false" customHeight="true" outlineLevel="0" collapsed="false">
      <c r="A1269" s="65" t="s">
        <v>511</v>
      </c>
      <c r="B1269" s="65" t="s">
        <v>293</v>
      </c>
      <c r="C1269" s="65" t="n">
        <v>1</v>
      </c>
      <c r="D1269" s="66" t="str">
        <f aca="false">IFERROR(INDEX(المكونات!$B$2:$B$500,MATCH($B1269,المكونات!$A$2:$A$500,0)),"")</f>
        <v>قطعة</v>
      </c>
      <c r="E1269" s="67" t="n">
        <f aca="false">IFERROR(INDEX(المكونات!$C$2:$C$500,MATCH($B1269,المكونات!$A$2:$A$500,0)),"")</f>
        <v>0.5</v>
      </c>
      <c r="F1269" s="68" t="n">
        <f aca="false">IFERROR($C1269*$E1269,"")</f>
        <v>0.5</v>
      </c>
    </row>
    <row r="1270" customFormat="false" ht="15" hidden="false" customHeight="true" outlineLevel="0" collapsed="false">
      <c r="A1270" s="65" t="s">
        <v>511</v>
      </c>
      <c r="B1270" s="65" t="s">
        <v>211</v>
      </c>
      <c r="C1270" s="65" t="n">
        <v>2</v>
      </c>
      <c r="D1270" s="66" t="str">
        <f aca="false">IFERROR(INDEX(المكونات!$B$2:$B$500,MATCH($B1270,المكونات!$A$2:$A$500,0)),"")</f>
        <v>قطعة (جلفز)</v>
      </c>
      <c r="E1270" s="67" t="n">
        <f aca="false">IFERROR(INDEX(المكونات!$C$2:$C$500,MATCH($B1270,المكونات!$A$2:$A$500,0)),"")</f>
        <v>0.18</v>
      </c>
      <c r="F1270" s="68" t="n">
        <f aca="false">IFERROR($C1270*$E1270,"")</f>
        <v>0.36</v>
      </c>
    </row>
    <row r="1271" customFormat="false" ht="15" hidden="false" customHeight="true" outlineLevel="0" collapsed="false">
      <c r="A1271" s="65" t="s">
        <v>511</v>
      </c>
      <c r="B1271" s="65" t="s">
        <v>322</v>
      </c>
      <c r="C1271" s="65" t="n">
        <v>1</v>
      </c>
      <c r="D1271" s="66" t="str">
        <f aca="false">IFERROR(INDEX(المكونات!$B$2:$B$500,MATCH($B1271,المكونات!$A$2:$A$500,0)),"")</f>
        <v>قطعة (كيس)</v>
      </c>
      <c r="E1271" s="67" t="n">
        <f aca="false">IFERROR(INDEX(المكونات!$C$2:$C$500,MATCH($B1271,المكونات!$A$2:$A$500,0)),"")</f>
        <v>1</v>
      </c>
      <c r="F1271" s="68" t="n">
        <f aca="false">IFERROR($C1271*$E1271,"")</f>
        <v>1</v>
      </c>
    </row>
    <row r="1272" customFormat="false" ht="15" hidden="false" customHeight="true" outlineLevel="0" collapsed="false">
      <c r="A1272" s="65" t="s">
        <v>511</v>
      </c>
      <c r="B1272" s="65" t="s">
        <v>336</v>
      </c>
      <c r="C1272" s="65" t="n">
        <v>0.06</v>
      </c>
      <c r="D1272" s="66" t="str">
        <f aca="false">IFERROR(INDEX(المكونات!$B$2:$B$500,MATCH($B1272,المكونات!$A$2:$A$500,0)),"")</f>
        <v>كجم</v>
      </c>
      <c r="E1272" s="67" t="n">
        <f aca="false">IFERROR(INDEX(المكونات!$C$2:$C$500,MATCH($B1272,المكونات!$A$2:$A$500,0)),"")</f>
        <v>220.02</v>
      </c>
      <c r="F1272" s="68" t="n">
        <f aca="false">IFERROR($C1272*$E1272,"")</f>
        <v>13.2012</v>
      </c>
    </row>
    <row r="1273" customFormat="false" ht="15" hidden="false" customHeight="true" outlineLevel="0" collapsed="false">
      <c r="A1273" s="65" t="s">
        <v>511</v>
      </c>
      <c r="B1273" s="65" t="s">
        <v>338</v>
      </c>
      <c r="C1273" s="65" t="n">
        <v>0.07</v>
      </c>
      <c r="D1273" s="66" t="str">
        <f aca="false">IFERROR(INDEX(المكونات!$B$2:$B$500,MATCH($B1273,المكونات!$A$2:$A$500,0)),"")</f>
        <v>كجم</v>
      </c>
      <c r="E1273" s="67" t="n">
        <f aca="false">IFERROR(INDEX(المكونات!$C$2:$C$500,MATCH($B1273,المكونات!$A$2:$A$500,0)),"")</f>
        <v>219.23</v>
      </c>
      <c r="F1273" s="68" t="n">
        <f aca="false">IFERROR($C1273*$E1273,"")</f>
        <v>15.3461</v>
      </c>
    </row>
    <row r="1274" customFormat="false" ht="15" hidden="false" customHeight="true" outlineLevel="0" collapsed="false">
      <c r="A1274" s="65" t="s">
        <v>487</v>
      </c>
      <c r="B1274" s="65" t="s">
        <v>264</v>
      </c>
      <c r="C1274" s="65" t="n">
        <v>1.5</v>
      </c>
      <c r="D1274" s="66" t="str">
        <f aca="false">IFERROR(INDEX(المكونات!$B$2:$B$500,MATCH($B1274,المكونات!$A$2:$A$500,0)),"")</f>
        <v>قطعة</v>
      </c>
      <c r="E1274" s="67" t="n">
        <f aca="false">IFERROR(INDEX(المكونات!$C$2:$C$500,MATCH($B1274,المكونات!$A$2:$A$500,0)),"")</f>
        <v>4</v>
      </c>
      <c r="F1274" s="68" t="n">
        <f aca="false">IFERROR($C1274*$E1274,"")</f>
        <v>6</v>
      </c>
    </row>
    <row r="1275" customFormat="false" ht="15" hidden="false" customHeight="true" outlineLevel="0" collapsed="false">
      <c r="A1275" s="65" t="s">
        <v>487</v>
      </c>
      <c r="B1275" s="65" t="s">
        <v>260</v>
      </c>
      <c r="C1275" s="65" t="n">
        <v>0.045</v>
      </c>
      <c r="D1275" s="66" t="str">
        <f aca="false">IFERROR(INDEX(المكونات!$B$2:$B$500,MATCH($B1275,المكونات!$A$2:$A$500,0)),"")</f>
        <v>كجم</v>
      </c>
      <c r="E1275" s="67" t="n">
        <f aca="false">IFERROR(INDEX(المكونات!$C$2:$C$500,MATCH($B1275,المكونات!$A$2:$A$500,0)),"")</f>
        <v>21</v>
      </c>
      <c r="F1275" s="68" t="n">
        <f aca="false">IFERROR($C1275*$E1275,"")</f>
        <v>0.945</v>
      </c>
    </row>
    <row r="1276" customFormat="false" ht="15" hidden="false" customHeight="true" outlineLevel="0" collapsed="false">
      <c r="A1276" s="65" t="s">
        <v>487</v>
      </c>
      <c r="B1276" s="65" t="s">
        <v>284</v>
      </c>
      <c r="C1276" s="65" t="n">
        <v>0.03</v>
      </c>
      <c r="D1276" s="66" t="str">
        <f aca="false">IFERROR(INDEX(المكونات!$B$2:$B$500,MATCH($B1276,المكونات!$A$2:$A$500,0)),"")</f>
        <v>كجم</v>
      </c>
      <c r="E1276" s="67" t="n">
        <f aca="false">IFERROR(INDEX(المكونات!$C$2:$C$500,MATCH($B1276,المكونات!$A$2:$A$500,0)),"")</f>
        <v>27</v>
      </c>
      <c r="F1276" s="68" t="n">
        <f aca="false">IFERROR($C1276*$E1276,"")</f>
        <v>0.81</v>
      </c>
    </row>
    <row r="1277" customFormat="false" ht="15" hidden="false" customHeight="true" outlineLevel="0" collapsed="false">
      <c r="A1277" s="65" t="s">
        <v>487</v>
      </c>
      <c r="B1277" s="65" t="s">
        <v>227</v>
      </c>
      <c r="C1277" s="65" t="n">
        <v>0.03</v>
      </c>
      <c r="D1277" s="66" t="str">
        <f aca="false">IFERROR(INDEX(المكونات!$B$2:$B$500,MATCH($B1277,المكونات!$A$2:$A$500,0)),"")</f>
        <v>كجم</v>
      </c>
      <c r="E1277" s="67" t="n">
        <f aca="false">IFERROR(INDEX(المكونات!$C$2:$C$500,MATCH($B1277,المكونات!$A$2:$A$500,0)),"")</f>
        <v>95</v>
      </c>
      <c r="F1277" s="68" t="n">
        <f aca="false">IFERROR($C1277*$E1277,"")</f>
        <v>2.85</v>
      </c>
    </row>
    <row r="1278" customFormat="false" ht="15" hidden="false" customHeight="true" outlineLevel="0" collapsed="false">
      <c r="A1278" s="65" t="s">
        <v>487</v>
      </c>
      <c r="B1278" s="65" t="s">
        <v>178</v>
      </c>
      <c r="C1278" s="65" t="n">
        <v>1</v>
      </c>
      <c r="D1278" s="66" t="str">
        <f aca="false">IFERROR(INDEX(المكونات!$B$2:$B$500,MATCH($B1278,المكونات!$A$2:$A$500,0)),"")</f>
        <v>قطعة</v>
      </c>
      <c r="E1278" s="67" t="n">
        <f aca="false">IFERROR(INDEX(المكونات!$C$2:$C$500,MATCH($B1278,المكونات!$A$2:$A$500,0)),"")</f>
        <v>25</v>
      </c>
      <c r="F1278" s="68" t="n">
        <f aca="false">IFERROR($C1278*$E1278,"")</f>
        <v>25</v>
      </c>
    </row>
    <row r="1279" customFormat="false" ht="15" hidden="false" customHeight="true" outlineLevel="0" collapsed="false">
      <c r="A1279" s="65" t="s">
        <v>487</v>
      </c>
      <c r="B1279" s="65" t="s">
        <v>268</v>
      </c>
      <c r="C1279" s="65" t="n">
        <v>1</v>
      </c>
      <c r="D1279" s="66" t="str">
        <f aca="false">IFERROR(INDEX(المكونات!$B$2:$B$500,MATCH($B1279,المكونات!$A$2:$A$500,0)),"")</f>
        <v>قطعة</v>
      </c>
      <c r="E1279" s="67" t="n">
        <f aca="false">IFERROR(INDEX(المكونات!$C$2:$C$500,MATCH($B1279,المكونات!$A$2:$A$500,0)),"")</f>
        <v>5.5</v>
      </c>
      <c r="F1279" s="68" t="n">
        <f aca="false">IFERROR($C1279*$E1279,"")</f>
        <v>5.5</v>
      </c>
    </row>
    <row r="1280" customFormat="false" ht="15" hidden="false" customHeight="true" outlineLevel="0" collapsed="false">
      <c r="A1280" s="65" t="s">
        <v>487</v>
      </c>
      <c r="B1280" s="65" t="s">
        <v>290</v>
      </c>
      <c r="C1280" s="65" t="n">
        <v>3</v>
      </c>
      <c r="D1280" s="66" t="str">
        <f aca="false">IFERROR(INDEX(المكونات!$B$2:$B$500,MATCH($B1280,المكونات!$A$2:$A$500,0)),"")</f>
        <v>قطعة</v>
      </c>
      <c r="E1280" s="67" t="n">
        <f aca="false">IFERROR(INDEX(المكونات!$C$2:$C$500,MATCH($B1280,المكونات!$A$2:$A$500,0)),"")</f>
        <v>0.3</v>
      </c>
      <c r="F1280" s="68" t="n">
        <f aca="false">IFERROR($C1280*$E1280,"")</f>
        <v>0.9</v>
      </c>
    </row>
    <row r="1281" customFormat="false" ht="15" hidden="false" customHeight="true" outlineLevel="0" collapsed="false">
      <c r="A1281" s="65" t="s">
        <v>487</v>
      </c>
      <c r="B1281" s="65" t="s">
        <v>319</v>
      </c>
      <c r="C1281" s="65" t="n">
        <v>1</v>
      </c>
      <c r="D1281" s="66" t="str">
        <f aca="false">IFERROR(INDEX(المكونات!$B$2:$B$500,MATCH($B1281,المكونات!$A$2:$A$500,0)),"")</f>
        <v>قطعة (ورقة)</v>
      </c>
      <c r="E1281" s="67" t="n">
        <f aca="false">IFERROR(INDEX(المكونات!$C$2:$C$500,MATCH($B1281,المكونات!$A$2:$A$500,0)),"")</f>
        <v>0.3665</v>
      </c>
      <c r="F1281" s="68" t="n">
        <f aca="false">IFERROR($C1281*$E1281,"")</f>
        <v>0.3665</v>
      </c>
    </row>
    <row r="1282" customFormat="false" ht="15" hidden="false" customHeight="true" outlineLevel="0" collapsed="false">
      <c r="A1282" s="65" t="s">
        <v>487</v>
      </c>
      <c r="B1282" s="65" t="s">
        <v>133</v>
      </c>
      <c r="C1282" s="65" t="n">
        <v>1</v>
      </c>
      <c r="D1282" s="66" t="str">
        <f aca="false">IFERROR(INDEX(المكونات!$B$2:$B$500,MATCH($B1282,المكونات!$A$2:$A$500,0)),"")</f>
        <v>قطعة (كيس)</v>
      </c>
      <c r="E1282" s="67" t="n">
        <f aca="false">IFERROR(INDEX(المكونات!$C$2:$C$500,MATCH($B1282,المكونات!$A$2:$A$500,0)),"")</f>
        <v>1.4</v>
      </c>
      <c r="F1282" s="68" t="n">
        <f aca="false">IFERROR($C1282*$E1282,"")</f>
        <v>1.4</v>
      </c>
    </row>
    <row r="1283" customFormat="false" ht="15" hidden="false" customHeight="true" outlineLevel="0" collapsed="false">
      <c r="A1283" s="65" t="s">
        <v>487</v>
      </c>
      <c r="B1283" s="65" t="s">
        <v>293</v>
      </c>
      <c r="C1283" s="65" t="n">
        <v>1</v>
      </c>
      <c r="D1283" s="66" t="str">
        <f aca="false">IFERROR(INDEX(المكونات!$B$2:$B$500,MATCH($B1283,المكونات!$A$2:$A$500,0)),"")</f>
        <v>قطعة</v>
      </c>
      <c r="E1283" s="67" t="n">
        <f aca="false">IFERROR(INDEX(المكونات!$C$2:$C$500,MATCH($B1283,المكونات!$A$2:$A$500,0)),"")</f>
        <v>0.5</v>
      </c>
      <c r="F1283" s="68" t="n">
        <f aca="false">IFERROR($C1283*$E1283,"")</f>
        <v>0.5</v>
      </c>
    </row>
    <row r="1284" customFormat="false" ht="15" hidden="false" customHeight="true" outlineLevel="0" collapsed="false">
      <c r="A1284" s="65" t="s">
        <v>487</v>
      </c>
      <c r="B1284" s="65" t="s">
        <v>211</v>
      </c>
      <c r="C1284" s="65" t="n">
        <v>2</v>
      </c>
      <c r="D1284" s="66" t="str">
        <f aca="false">IFERROR(INDEX(المكونات!$B$2:$B$500,MATCH($B1284,المكونات!$A$2:$A$500,0)),"")</f>
        <v>قطعة (جلفز)</v>
      </c>
      <c r="E1284" s="67" t="n">
        <f aca="false">IFERROR(INDEX(المكونات!$C$2:$C$500,MATCH($B1284,المكونات!$A$2:$A$500,0)),"")</f>
        <v>0.18</v>
      </c>
      <c r="F1284" s="68" t="n">
        <f aca="false">IFERROR($C1284*$E1284,"")</f>
        <v>0.36</v>
      </c>
    </row>
    <row r="1285" customFormat="false" ht="15" hidden="false" customHeight="true" outlineLevel="0" collapsed="false">
      <c r="A1285" s="65" t="s">
        <v>487</v>
      </c>
      <c r="B1285" s="65" t="s">
        <v>322</v>
      </c>
      <c r="C1285" s="65" t="n">
        <v>1</v>
      </c>
      <c r="D1285" s="66" t="str">
        <f aca="false">IFERROR(INDEX(المكونات!$B$2:$B$500,MATCH($B1285,المكونات!$A$2:$A$500,0)),"")</f>
        <v>قطعة (كيس)</v>
      </c>
      <c r="E1285" s="67" t="n">
        <f aca="false">IFERROR(INDEX(المكونات!$C$2:$C$500,MATCH($B1285,المكونات!$A$2:$A$500,0)),"")</f>
        <v>1</v>
      </c>
      <c r="F1285" s="68" t="n">
        <f aca="false">IFERROR($C1285*$E1285,"")</f>
        <v>1</v>
      </c>
    </row>
    <row r="1286" customFormat="false" ht="15" hidden="false" customHeight="true" outlineLevel="0" collapsed="false">
      <c r="A1286" s="65" t="s">
        <v>487</v>
      </c>
      <c r="B1286" s="65" t="s">
        <v>336</v>
      </c>
      <c r="C1286" s="65" t="n">
        <v>0.09</v>
      </c>
      <c r="D1286" s="66" t="str">
        <f aca="false">IFERROR(INDEX(المكونات!$B$2:$B$500,MATCH($B1286,المكونات!$A$2:$A$500,0)),"")</f>
        <v>كجم</v>
      </c>
      <c r="E1286" s="67" t="n">
        <f aca="false">IFERROR(INDEX(المكونات!$C$2:$C$500,MATCH($B1286,المكونات!$A$2:$A$500,0)),"")</f>
        <v>220.02</v>
      </c>
      <c r="F1286" s="68" t="n">
        <f aca="false">IFERROR($C1286*$E1286,"")</f>
        <v>19.8018</v>
      </c>
    </row>
    <row r="1287" customFormat="false" ht="15" hidden="false" customHeight="true" outlineLevel="0" collapsed="false">
      <c r="A1287" s="65" t="s">
        <v>487</v>
      </c>
      <c r="B1287" s="65" t="s">
        <v>338</v>
      </c>
      <c r="C1287" s="65" t="n">
        <v>0.105</v>
      </c>
      <c r="D1287" s="66" t="str">
        <f aca="false">IFERROR(INDEX(المكونات!$B$2:$B$500,MATCH($B1287,المكونات!$A$2:$A$500,0)),"")</f>
        <v>كجم</v>
      </c>
      <c r="E1287" s="67" t="n">
        <f aca="false">IFERROR(INDEX(المكونات!$C$2:$C$500,MATCH($B1287,المكونات!$A$2:$A$500,0)),"")</f>
        <v>219.23</v>
      </c>
      <c r="F1287" s="68" t="n">
        <f aca="false">IFERROR($C1287*$E1287,"")</f>
        <v>23.01915</v>
      </c>
    </row>
    <row r="1288" customFormat="false" ht="15" hidden="false" customHeight="true" outlineLevel="0" collapsed="false">
      <c r="A1288" s="65" t="s">
        <v>510</v>
      </c>
      <c r="B1288" s="65" t="s">
        <v>264</v>
      </c>
      <c r="C1288" s="65" t="n">
        <v>1</v>
      </c>
      <c r="D1288" s="66" t="str">
        <f aca="false">IFERROR(INDEX(المكونات!$B$2:$B$500,MATCH($B1288,المكونات!$A$2:$A$500,0)),"")</f>
        <v>قطعة</v>
      </c>
      <c r="E1288" s="67" t="n">
        <f aca="false">IFERROR(INDEX(المكونات!$C$2:$C$500,MATCH($B1288,المكونات!$A$2:$A$500,0)),"")</f>
        <v>4</v>
      </c>
      <c r="F1288" s="68" t="n">
        <f aca="false">IFERROR($C1288*$E1288,"")</f>
        <v>4</v>
      </c>
    </row>
    <row r="1289" customFormat="false" ht="15" hidden="false" customHeight="true" outlineLevel="0" collapsed="false">
      <c r="A1289" s="65" t="s">
        <v>510</v>
      </c>
      <c r="B1289" s="65" t="s">
        <v>260</v>
      </c>
      <c r="C1289" s="65" t="n">
        <v>0.03</v>
      </c>
      <c r="D1289" s="66" t="str">
        <f aca="false">IFERROR(INDEX(المكونات!$B$2:$B$500,MATCH($B1289,المكونات!$A$2:$A$500,0)),"")</f>
        <v>كجم</v>
      </c>
      <c r="E1289" s="67" t="n">
        <f aca="false">IFERROR(INDEX(المكونات!$C$2:$C$500,MATCH($B1289,المكونات!$A$2:$A$500,0)),"")</f>
        <v>21</v>
      </c>
      <c r="F1289" s="68" t="n">
        <f aca="false">IFERROR($C1289*$E1289,"")</f>
        <v>0.63</v>
      </c>
    </row>
    <row r="1290" customFormat="false" ht="15" hidden="false" customHeight="true" outlineLevel="0" collapsed="false">
      <c r="A1290" s="65" t="s">
        <v>510</v>
      </c>
      <c r="B1290" s="65" t="s">
        <v>284</v>
      </c>
      <c r="C1290" s="65" t="n">
        <v>0.02</v>
      </c>
      <c r="D1290" s="66" t="str">
        <f aca="false">IFERROR(INDEX(المكونات!$B$2:$B$500,MATCH($B1290,المكونات!$A$2:$A$500,0)),"")</f>
        <v>كجم</v>
      </c>
      <c r="E1290" s="67" t="n">
        <f aca="false">IFERROR(INDEX(المكونات!$C$2:$C$500,MATCH($B1290,المكونات!$A$2:$A$500,0)),"")</f>
        <v>27</v>
      </c>
      <c r="F1290" s="68" t="n">
        <f aca="false">IFERROR($C1290*$E1290,"")</f>
        <v>0.54</v>
      </c>
    </row>
    <row r="1291" customFormat="false" ht="15" hidden="false" customHeight="true" outlineLevel="0" collapsed="false">
      <c r="A1291" s="65" t="s">
        <v>510</v>
      </c>
      <c r="B1291" s="65" t="s">
        <v>227</v>
      </c>
      <c r="C1291" s="65" t="n">
        <v>0.02</v>
      </c>
      <c r="D1291" s="66" t="str">
        <f aca="false">IFERROR(INDEX(المكونات!$B$2:$B$500,MATCH($B1291,المكونات!$A$2:$A$500,0)),"")</f>
        <v>كجم</v>
      </c>
      <c r="E1291" s="67" t="n">
        <f aca="false">IFERROR(INDEX(المكونات!$C$2:$C$500,MATCH($B1291,المكونات!$A$2:$A$500,0)),"")</f>
        <v>95</v>
      </c>
      <c r="F1291" s="68" t="n">
        <f aca="false">IFERROR($C1291*$E1291,"")</f>
        <v>1.9</v>
      </c>
    </row>
    <row r="1292" customFormat="false" ht="15" hidden="false" customHeight="true" outlineLevel="0" collapsed="false">
      <c r="A1292" s="65" t="s">
        <v>510</v>
      </c>
      <c r="B1292" s="65" t="s">
        <v>176</v>
      </c>
      <c r="C1292" s="65" t="n">
        <v>1</v>
      </c>
      <c r="D1292" s="66" t="str">
        <f aca="false">IFERROR(INDEX(المكونات!$B$2:$B$500,MATCH($B1292,المكونات!$A$2:$A$500,0)),"")</f>
        <v>قطعة</v>
      </c>
      <c r="E1292" s="67" t="n">
        <f aca="false">IFERROR(INDEX(المكونات!$C$2:$C$500,MATCH($B1292,المكونات!$A$2:$A$500,0)),"")</f>
        <v>17.5</v>
      </c>
      <c r="F1292" s="68" t="n">
        <f aca="false">IFERROR($C1292*$E1292,"")</f>
        <v>17.5</v>
      </c>
    </row>
    <row r="1293" customFormat="false" ht="15" hidden="false" customHeight="true" outlineLevel="0" collapsed="false">
      <c r="A1293" s="65" t="s">
        <v>510</v>
      </c>
      <c r="B1293" s="65" t="s">
        <v>270</v>
      </c>
      <c r="C1293" s="65" t="n">
        <v>1</v>
      </c>
      <c r="D1293" s="66" t="str">
        <f aca="false">IFERROR(INDEX(المكونات!$B$2:$B$500,MATCH($B1293,المكونات!$A$2:$A$500,0)),"")</f>
        <v>قطعة</v>
      </c>
      <c r="E1293" s="67" t="n">
        <f aca="false">IFERROR(INDEX(المكونات!$C$2:$C$500,MATCH($B1293,المكونات!$A$2:$A$500,0)),"")</f>
        <v>4.5</v>
      </c>
      <c r="F1293" s="68" t="n">
        <f aca="false">IFERROR($C1293*$E1293,"")</f>
        <v>4.5</v>
      </c>
    </row>
    <row r="1294" customFormat="false" ht="15" hidden="false" customHeight="true" outlineLevel="0" collapsed="false">
      <c r="A1294" s="65" t="s">
        <v>510</v>
      </c>
      <c r="B1294" s="65" t="s">
        <v>290</v>
      </c>
      <c r="C1294" s="65" t="n">
        <v>2</v>
      </c>
      <c r="D1294" s="66" t="str">
        <f aca="false">IFERROR(INDEX(المكونات!$B$2:$B$500,MATCH($B1294,المكونات!$A$2:$A$500,0)),"")</f>
        <v>قطعة</v>
      </c>
      <c r="E1294" s="67" t="n">
        <f aca="false">IFERROR(INDEX(المكونات!$C$2:$C$500,MATCH($B1294,المكونات!$A$2:$A$500,0)),"")</f>
        <v>0.3</v>
      </c>
      <c r="F1294" s="68" t="n">
        <f aca="false">IFERROR($C1294*$E1294,"")</f>
        <v>0.6</v>
      </c>
    </row>
    <row r="1295" customFormat="false" ht="15" hidden="false" customHeight="true" outlineLevel="0" collapsed="false">
      <c r="A1295" s="65" t="s">
        <v>510</v>
      </c>
      <c r="B1295" s="65" t="s">
        <v>319</v>
      </c>
      <c r="C1295" s="65" t="n">
        <v>1</v>
      </c>
      <c r="D1295" s="66" t="str">
        <f aca="false">IFERROR(INDEX(المكونات!$B$2:$B$500,MATCH($B1295,المكونات!$A$2:$A$500,0)),"")</f>
        <v>قطعة (ورقة)</v>
      </c>
      <c r="E1295" s="67" t="n">
        <f aca="false">IFERROR(INDEX(المكونات!$C$2:$C$500,MATCH($B1295,المكونات!$A$2:$A$500,0)),"")</f>
        <v>0.3665</v>
      </c>
      <c r="F1295" s="68" t="n">
        <f aca="false">IFERROR($C1295*$E1295,"")</f>
        <v>0.3665</v>
      </c>
    </row>
    <row r="1296" customFormat="false" ht="15" hidden="false" customHeight="true" outlineLevel="0" collapsed="false">
      <c r="A1296" s="65" t="s">
        <v>510</v>
      </c>
      <c r="B1296" s="65" t="s">
        <v>133</v>
      </c>
      <c r="C1296" s="65" t="n">
        <v>1</v>
      </c>
      <c r="D1296" s="66" t="str">
        <f aca="false">IFERROR(INDEX(المكونات!$B$2:$B$500,MATCH($B1296,المكونات!$A$2:$A$500,0)),"")</f>
        <v>قطعة (كيس)</v>
      </c>
      <c r="E1296" s="67" t="n">
        <f aca="false">IFERROR(INDEX(المكونات!$C$2:$C$500,MATCH($B1296,المكونات!$A$2:$A$500,0)),"")</f>
        <v>1.4</v>
      </c>
      <c r="F1296" s="68" t="n">
        <f aca="false">IFERROR($C1296*$E1296,"")</f>
        <v>1.4</v>
      </c>
    </row>
    <row r="1297" customFormat="false" ht="15" hidden="false" customHeight="true" outlineLevel="0" collapsed="false">
      <c r="A1297" s="65" t="s">
        <v>510</v>
      </c>
      <c r="B1297" s="65" t="s">
        <v>293</v>
      </c>
      <c r="C1297" s="65" t="n">
        <v>1</v>
      </c>
      <c r="D1297" s="66" t="str">
        <f aca="false">IFERROR(INDEX(المكونات!$B$2:$B$500,MATCH($B1297,المكونات!$A$2:$A$500,0)),"")</f>
        <v>قطعة</v>
      </c>
      <c r="E1297" s="67" t="n">
        <f aca="false">IFERROR(INDEX(المكونات!$C$2:$C$500,MATCH($B1297,المكونات!$A$2:$A$500,0)),"")</f>
        <v>0.5</v>
      </c>
      <c r="F1297" s="68" t="n">
        <f aca="false">IFERROR($C1297*$E1297,"")</f>
        <v>0.5</v>
      </c>
    </row>
    <row r="1298" customFormat="false" ht="15" hidden="false" customHeight="true" outlineLevel="0" collapsed="false">
      <c r="A1298" s="65" t="s">
        <v>510</v>
      </c>
      <c r="B1298" s="65" t="s">
        <v>211</v>
      </c>
      <c r="C1298" s="65" t="n">
        <v>2</v>
      </c>
      <c r="D1298" s="66" t="str">
        <f aca="false">IFERROR(INDEX(المكونات!$B$2:$B$500,MATCH($B1298,المكونات!$A$2:$A$500,0)),"")</f>
        <v>قطعة (جلفز)</v>
      </c>
      <c r="E1298" s="67" t="n">
        <f aca="false">IFERROR(INDEX(المكونات!$C$2:$C$500,MATCH($B1298,المكونات!$A$2:$A$500,0)),"")</f>
        <v>0.18</v>
      </c>
      <c r="F1298" s="68" t="n">
        <f aca="false">IFERROR($C1298*$E1298,"")</f>
        <v>0.36</v>
      </c>
    </row>
    <row r="1299" customFormat="false" ht="15" hidden="false" customHeight="true" outlineLevel="0" collapsed="false">
      <c r="A1299" s="65" t="s">
        <v>510</v>
      </c>
      <c r="B1299" s="65" t="s">
        <v>322</v>
      </c>
      <c r="C1299" s="65" t="n">
        <v>1</v>
      </c>
      <c r="D1299" s="66" t="str">
        <f aca="false">IFERROR(INDEX(المكونات!$B$2:$B$500,MATCH($B1299,المكونات!$A$2:$A$500,0)),"")</f>
        <v>قطعة (كيس)</v>
      </c>
      <c r="E1299" s="67" t="n">
        <f aca="false">IFERROR(INDEX(المكونات!$C$2:$C$500,MATCH($B1299,المكونات!$A$2:$A$500,0)),"")</f>
        <v>1</v>
      </c>
      <c r="F1299" s="68" t="n">
        <f aca="false">IFERROR($C1299*$E1299,"")</f>
        <v>1</v>
      </c>
    </row>
    <row r="1300" customFormat="false" ht="15" hidden="false" customHeight="true" outlineLevel="0" collapsed="false">
      <c r="A1300" s="65" t="s">
        <v>510</v>
      </c>
      <c r="B1300" s="65" t="s">
        <v>207</v>
      </c>
      <c r="C1300" s="65" t="n">
        <v>0.1</v>
      </c>
      <c r="D1300" s="66" t="str">
        <f aca="false">IFERROR(INDEX(المكونات!$B$2:$B$500,MATCH($B1300,المكونات!$A$2:$A$500,0)),"")</f>
        <v>كجم</v>
      </c>
      <c r="E1300" s="67" t="n">
        <f aca="false">IFERROR(INDEX(المكونات!$C$2:$C$500,MATCH($B1300,المكونات!$A$2:$A$500,0)),"")</f>
        <v>105</v>
      </c>
      <c r="F1300" s="68" t="n">
        <f aca="false">IFERROR($C1300*$E1300,"")</f>
        <v>10.5</v>
      </c>
    </row>
    <row r="1301" customFormat="false" ht="15" hidden="false" customHeight="true" outlineLevel="0" collapsed="false">
      <c r="A1301" s="65" t="s">
        <v>479</v>
      </c>
      <c r="B1301" s="65" t="s">
        <v>264</v>
      </c>
      <c r="C1301" s="65" t="n">
        <v>1.5</v>
      </c>
      <c r="D1301" s="66" t="str">
        <f aca="false">IFERROR(INDEX(المكونات!$B$2:$B$500,MATCH($B1301,المكونات!$A$2:$A$500,0)),"")</f>
        <v>قطعة</v>
      </c>
      <c r="E1301" s="67" t="n">
        <f aca="false">IFERROR(INDEX(المكونات!$C$2:$C$500,MATCH($B1301,المكونات!$A$2:$A$500,0)),"")</f>
        <v>4</v>
      </c>
      <c r="F1301" s="68" t="n">
        <f aca="false">IFERROR($C1301*$E1301,"")</f>
        <v>6</v>
      </c>
    </row>
    <row r="1302" customFormat="false" ht="15" hidden="false" customHeight="true" outlineLevel="0" collapsed="false">
      <c r="A1302" s="65" t="s">
        <v>479</v>
      </c>
      <c r="B1302" s="65" t="s">
        <v>260</v>
      </c>
      <c r="C1302" s="65" t="n">
        <v>0.045</v>
      </c>
      <c r="D1302" s="66" t="str">
        <f aca="false">IFERROR(INDEX(المكونات!$B$2:$B$500,MATCH($B1302,المكونات!$A$2:$A$500,0)),"")</f>
        <v>كجم</v>
      </c>
      <c r="E1302" s="67" t="n">
        <f aca="false">IFERROR(INDEX(المكونات!$C$2:$C$500,MATCH($B1302,المكونات!$A$2:$A$500,0)),"")</f>
        <v>21</v>
      </c>
      <c r="F1302" s="68" t="n">
        <f aca="false">IFERROR($C1302*$E1302,"")</f>
        <v>0.945</v>
      </c>
    </row>
    <row r="1303" customFormat="false" ht="15" hidden="false" customHeight="true" outlineLevel="0" collapsed="false">
      <c r="A1303" s="65" t="s">
        <v>479</v>
      </c>
      <c r="B1303" s="65" t="s">
        <v>284</v>
      </c>
      <c r="C1303" s="65" t="n">
        <v>0.03</v>
      </c>
      <c r="D1303" s="66" t="str">
        <f aca="false">IFERROR(INDEX(المكونات!$B$2:$B$500,MATCH($B1303,المكونات!$A$2:$A$500,0)),"")</f>
        <v>كجم</v>
      </c>
      <c r="E1303" s="67" t="n">
        <f aca="false">IFERROR(INDEX(المكونات!$C$2:$C$500,MATCH($B1303,المكونات!$A$2:$A$500,0)),"")</f>
        <v>27</v>
      </c>
      <c r="F1303" s="68" t="n">
        <f aca="false">IFERROR($C1303*$E1303,"")</f>
        <v>0.81</v>
      </c>
    </row>
    <row r="1304" customFormat="false" ht="15" hidden="false" customHeight="true" outlineLevel="0" collapsed="false">
      <c r="A1304" s="65" t="s">
        <v>479</v>
      </c>
      <c r="B1304" s="65" t="s">
        <v>227</v>
      </c>
      <c r="C1304" s="65" t="n">
        <v>0.03</v>
      </c>
      <c r="D1304" s="66" t="str">
        <f aca="false">IFERROR(INDEX(المكونات!$B$2:$B$500,MATCH($B1304,المكونات!$A$2:$A$500,0)),"")</f>
        <v>كجم</v>
      </c>
      <c r="E1304" s="67" t="n">
        <f aca="false">IFERROR(INDEX(المكونات!$C$2:$C$500,MATCH($B1304,المكونات!$A$2:$A$500,0)),"")</f>
        <v>95</v>
      </c>
      <c r="F1304" s="68" t="n">
        <f aca="false">IFERROR($C1304*$E1304,"")</f>
        <v>2.85</v>
      </c>
    </row>
    <row r="1305" customFormat="false" ht="15" hidden="false" customHeight="true" outlineLevel="0" collapsed="false">
      <c r="A1305" s="65" t="s">
        <v>479</v>
      </c>
      <c r="B1305" s="65" t="s">
        <v>178</v>
      </c>
      <c r="C1305" s="65" t="n">
        <v>1</v>
      </c>
      <c r="D1305" s="66" t="str">
        <f aca="false">IFERROR(INDEX(المكونات!$B$2:$B$500,MATCH($B1305,المكونات!$A$2:$A$500,0)),"")</f>
        <v>قطعة</v>
      </c>
      <c r="E1305" s="67" t="n">
        <f aca="false">IFERROR(INDEX(المكونات!$C$2:$C$500,MATCH($B1305,المكونات!$A$2:$A$500,0)),"")</f>
        <v>25</v>
      </c>
      <c r="F1305" s="68" t="n">
        <f aca="false">IFERROR($C1305*$E1305,"")</f>
        <v>25</v>
      </c>
    </row>
    <row r="1306" customFormat="false" ht="15" hidden="false" customHeight="true" outlineLevel="0" collapsed="false">
      <c r="A1306" s="65" t="s">
        <v>479</v>
      </c>
      <c r="B1306" s="65" t="s">
        <v>268</v>
      </c>
      <c r="C1306" s="65" t="n">
        <v>1</v>
      </c>
      <c r="D1306" s="66" t="str">
        <f aca="false">IFERROR(INDEX(المكونات!$B$2:$B$500,MATCH($B1306,المكونات!$A$2:$A$500,0)),"")</f>
        <v>قطعة</v>
      </c>
      <c r="E1306" s="67" t="n">
        <f aca="false">IFERROR(INDEX(المكونات!$C$2:$C$500,MATCH($B1306,المكونات!$A$2:$A$500,0)),"")</f>
        <v>5.5</v>
      </c>
      <c r="F1306" s="68" t="n">
        <f aca="false">IFERROR($C1306*$E1306,"")</f>
        <v>5.5</v>
      </c>
    </row>
    <row r="1307" customFormat="false" ht="15" hidden="false" customHeight="true" outlineLevel="0" collapsed="false">
      <c r="A1307" s="65" t="s">
        <v>479</v>
      </c>
      <c r="B1307" s="65" t="s">
        <v>290</v>
      </c>
      <c r="C1307" s="65" t="n">
        <v>3</v>
      </c>
      <c r="D1307" s="66" t="str">
        <f aca="false">IFERROR(INDEX(المكونات!$B$2:$B$500,MATCH($B1307,المكونات!$A$2:$A$500,0)),"")</f>
        <v>قطعة</v>
      </c>
      <c r="E1307" s="67" t="n">
        <f aca="false">IFERROR(INDEX(المكونات!$C$2:$C$500,MATCH($B1307,المكونات!$A$2:$A$500,0)),"")</f>
        <v>0.3</v>
      </c>
      <c r="F1307" s="68" t="n">
        <f aca="false">IFERROR($C1307*$E1307,"")</f>
        <v>0.9</v>
      </c>
    </row>
    <row r="1308" customFormat="false" ht="15" hidden="false" customHeight="true" outlineLevel="0" collapsed="false">
      <c r="A1308" s="65" t="s">
        <v>479</v>
      </c>
      <c r="B1308" s="65" t="s">
        <v>319</v>
      </c>
      <c r="C1308" s="65" t="n">
        <v>1</v>
      </c>
      <c r="D1308" s="66" t="str">
        <f aca="false">IFERROR(INDEX(المكونات!$B$2:$B$500,MATCH($B1308,المكونات!$A$2:$A$500,0)),"")</f>
        <v>قطعة (ورقة)</v>
      </c>
      <c r="E1308" s="67" t="n">
        <f aca="false">IFERROR(INDEX(المكونات!$C$2:$C$500,MATCH($B1308,المكونات!$A$2:$A$500,0)),"")</f>
        <v>0.3665</v>
      </c>
      <c r="F1308" s="68" t="n">
        <f aca="false">IFERROR($C1308*$E1308,"")</f>
        <v>0.3665</v>
      </c>
    </row>
    <row r="1309" customFormat="false" ht="15" hidden="false" customHeight="true" outlineLevel="0" collapsed="false">
      <c r="A1309" s="65" t="s">
        <v>479</v>
      </c>
      <c r="B1309" s="65" t="s">
        <v>133</v>
      </c>
      <c r="C1309" s="65" t="n">
        <v>1</v>
      </c>
      <c r="D1309" s="66" t="str">
        <f aca="false">IFERROR(INDEX(المكونات!$B$2:$B$500,MATCH($B1309,المكونات!$A$2:$A$500,0)),"")</f>
        <v>قطعة (كيس)</v>
      </c>
      <c r="E1309" s="67" t="n">
        <f aca="false">IFERROR(INDEX(المكونات!$C$2:$C$500,MATCH($B1309,المكونات!$A$2:$A$500,0)),"")</f>
        <v>1.4</v>
      </c>
      <c r="F1309" s="68" t="n">
        <f aca="false">IFERROR($C1309*$E1309,"")</f>
        <v>1.4</v>
      </c>
    </row>
    <row r="1310" customFormat="false" ht="15" hidden="false" customHeight="true" outlineLevel="0" collapsed="false">
      <c r="A1310" s="65" t="s">
        <v>479</v>
      </c>
      <c r="B1310" s="65" t="s">
        <v>293</v>
      </c>
      <c r="C1310" s="65" t="n">
        <v>1</v>
      </c>
      <c r="D1310" s="66" t="str">
        <f aca="false">IFERROR(INDEX(المكونات!$B$2:$B$500,MATCH($B1310,المكونات!$A$2:$A$500,0)),"")</f>
        <v>قطعة</v>
      </c>
      <c r="E1310" s="67" t="n">
        <f aca="false">IFERROR(INDEX(المكونات!$C$2:$C$500,MATCH($B1310,المكونات!$A$2:$A$500,0)),"")</f>
        <v>0.5</v>
      </c>
      <c r="F1310" s="68" t="n">
        <f aca="false">IFERROR($C1310*$E1310,"")</f>
        <v>0.5</v>
      </c>
    </row>
    <row r="1311" customFormat="false" ht="15" hidden="false" customHeight="true" outlineLevel="0" collapsed="false">
      <c r="A1311" s="65" t="s">
        <v>479</v>
      </c>
      <c r="B1311" s="65" t="s">
        <v>211</v>
      </c>
      <c r="C1311" s="65" t="n">
        <v>2</v>
      </c>
      <c r="D1311" s="66" t="str">
        <f aca="false">IFERROR(INDEX(المكونات!$B$2:$B$500,MATCH($B1311,المكونات!$A$2:$A$500,0)),"")</f>
        <v>قطعة (جلفز)</v>
      </c>
      <c r="E1311" s="67" t="n">
        <f aca="false">IFERROR(INDEX(المكونات!$C$2:$C$500,MATCH($B1311,المكونات!$A$2:$A$500,0)),"")</f>
        <v>0.18</v>
      </c>
      <c r="F1311" s="68" t="n">
        <f aca="false">IFERROR($C1311*$E1311,"")</f>
        <v>0.36</v>
      </c>
    </row>
    <row r="1312" customFormat="false" ht="15" hidden="false" customHeight="true" outlineLevel="0" collapsed="false">
      <c r="A1312" s="65" t="s">
        <v>479</v>
      </c>
      <c r="B1312" s="65" t="s">
        <v>322</v>
      </c>
      <c r="C1312" s="65" t="n">
        <v>1</v>
      </c>
      <c r="D1312" s="66" t="str">
        <f aca="false">IFERROR(INDEX(المكونات!$B$2:$B$500,MATCH($B1312,المكونات!$A$2:$A$500,0)),"")</f>
        <v>قطعة (كيس)</v>
      </c>
      <c r="E1312" s="67" t="n">
        <f aca="false">IFERROR(INDEX(المكونات!$C$2:$C$500,MATCH($B1312,المكونات!$A$2:$A$500,0)),"")</f>
        <v>1</v>
      </c>
      <c r="F1312" s="68" t="n">
        <f aca="false">IFERROR($C1312*$E1312,"")</f>
        <v>1</v>
      </c>
    </row>
    <row r="1313" customFormat="false" ht="15" hidden="false" customHeight="true" outlineLevel="0" collapsed="false">
      <c r="A1313" s="65" t="s">
        <v>479</v>
      </c>
      <c r="B1313" s="65" t="s">
        <v>207</v>
      </c>
      <c r="C1313" s="65" t="n">
        <v>0.15</v>
      </c>
      <c r="D1313" s="66" t="str">
        <f aca="false">IFERROR(INDEX(المكونات!$B$2:$B$500,MATCH($B1313,المكونات!$A$2:$A$500,0)),"")</f>
        <v>كجم</v>
      </c>
      <c r="E1313" s="67" t="n">
        <f aca="false">IFERROR(INDEX(المكونات!$C$2:$C$500,MATCH($B1313,المكونات!$A$2:$A$500,0)),"")</f>
        <v>105</v>
      </c>
      <c r="F1313" s="68" t="n">
        <f aca="false">IFERROR($C1313*$E1313,"")</f>
        <v>15.75</v>
      </c>
    </row>
    <row r="1314" customFormat="false" ht="15" hidden="false" customHeight="true" outlineLevel="0" collapsed="false">
      <c r="A1314" s="65" t="s">
        <v>413</v>
      </c>
      <c r="B1314" s="65" t="s">
        <v>264</v>
      </c>
      <c r="C1314" s="65" t="n">
        <v>1</v>
      </c>
      <c r="D1314" s="66" t="str">
        <f aca="false">IFERROR(INDEX(المكونات!$B$2:$B$500,MATCH($B1314,المكونات!$A$2:$A$500,0)),"")</f>
        <v>قطعة</v>
      </c>
      <c r="E1314" s="67" t="n">
        <f aca="false">IFERROR(INDEX(المكونات!$C$2:$C$500,MATCH($B1314,المكونات!$A$2:$A$500,0)),"")</f>
        <v>4</v>
      </c>
      <c r="F1314" s="68" t="n">
        <f aca="false">IFERROR($C1314*$E1314,"")</f>
        <v>4</v>
      </c>
    </row>
    <row r="1315" customFormat="false" ht="15" hidden="false" customHeight="true" outlineLevel="0" collapsed="false">
      <c r="A1315" s="65" t="s">
        <v>413</v>
      </c>
      <c r="B1315" s="65" t="s">
        <v>260</v>
      </c>
      <c r="C1315" s="65" t="n">
        <v>0.03</v>
      </c>
      <c r="D1315" s="66" t="str">
        <f aca="false">IFERROR(INDEX(المكونات!$B$2:$B$500,MATCH($B1315,المكونات!$A$2:$A$500,0)),"")</f>
        <v>كجم</v>
      </c>
      <c r="E1315" s="67" t="n">
        <f aca="false">IFERROR(INDEX(المكونات!$C$2:$C$500,MATCH($B1315,المكونات!$A$2:$A$500,0)),"")</f>
        <v>21</v>
      </c>
      <c r="F1315" s="68" t="n">
        <f aca="false">IFERROR($C1315*$E1315,"")</f>
        <v>0.63</v>
      </c>
    </row>
    <row r="1316" customFormat="false" ht="15" hidden="false" customHeight="true" outlineLevel="0" collapsed="false">
      <c r="A1316" s="65" t="s">
        <v>413</v>
      </c>
      <c r="B1316" s="65" t="s">
        <v>284</v>
      </c>
      <c r="C1316" s="65" t="n">
        <v>0.02</v>
      </c>
      <c r="D1316" s="66" t="str">
        <f aca="false">IFERROR(INDEX(المكونات!$B$2:$B$500,MATCH($B1316,المكونات!$A$2:$A$500,0)),"")</f>
        <v>كجم</v>
      </c>
      <c r="E1316" s="67" t="n">
        <f aca="false">IFERROR(INDEX(المكونات!$C$2:$C$500,MATCH($B1316,المكونات!$A$2:$A$500,0)),"")</f>
        <v>27</v>
      </c>
      <c r="F1316" s="68" t="n">
        <f aca="false">IFERROR($C1316*$E1316,"")</f>
        <v>0.54</v>
      </c>
    </row>
    <row r="1317" customFormat="false" ht="15" hidden="false" customHeight="true" outlineLevel="0" collapsed="false">
      <c r="A1317" s="65" t="s">
        <v>413</v>
      </c>
      <c r="B1317" s="65" t="s">
        <v>227</v>
      </c>
      <c r="C1317" s="65" t="n">
        <v>0.02</v>
      </c>
      <c r="D1317" s="66" t="str">
        <f aca="false">IFERROR(INDEX(المكونات!$B$2:$B$500,MATCH($B1317,المكونات!$A$2:$A$500,0)),"")</f>
        <v>كجم</v>
      </c>
      <c r="E1317" s="67" t="n">
        <f aca="false">IFERROR(INDEX(المكونات!$C$2:$C$500,MATCH($B1317,المكونات!$A$2:$A$500,0)),"")</f>
        <v>95</v>
      </c>
      <c r="F1317" s="68" t="n">
        <f aca="false">IFERROR($C1317*$E1317,"")</f>
        <v>1.9</v>
      </c>
    </row>
    <row r="1318" customFormat="false" ht="15" hidden="false" customHeight="true" outlineLevel="0" collapsed="false">
      <c r="A1318" s="65" t="s">
        <v>413</v>
      </c>
      <c r="B1318" s="65" t="s">
        <v>176</v>
      </c>
      <c r="C1318" s="65" t="n">
        <v>1</v>
      </c>
      <c r="D1318" s="66" t="str">
        <f aca="false">IFERROR(INDEX(المكونات!$B$2:$B$500,MATCH($B1318,المكونات!$A$2:$A$500,0)),"")</f>
        <v>قطعة</v>
      </c>
      <c r="E1318" s="67" t="n">
        <f aca="false">IFERROR(INDEX(المكونات!$C$2:$C$500,MATCH($B1318,المكونات!$A$2:$A$500,0)),"")</f>
        <v>17.5</v>
      </c>
      <c r="F1318" s="68" t="n">
        <f aca="false">IFERROR($C1318*$E1318,"")</f>
        <v>17.5</v>
      </c>
    </row>
    <row r="1319" customFormat="false" ht="15" hidden="false" customHeight="true" outlineLevel="0" collapsed="false">
      <c r="A1319" s="65" t="s">
        <v>413</v>
      </c>
      <c r="B1319" s="65" t="s">
        <v>270</v>
      </c>
      <c r="C1319" s="65" t="n">
        <v>1</v>
      </c>
      <c r="D1319" s="66" t="str">
        <f aca="false">IFERROR(INDEX(المكونات!$B$2:$B$500,MATCH($B1319,المكونات!$A$2:$A$500,0)),"")</f>
        <v>قطعة</v>
      </c>
      <c r="E1319" s="67" t="n">
        <f aca="false">IFERROR(INDEX(المكونات!$C$2:$C$500,MATCH($B1319,المكونات!$A$2:$A$500,0)),"")</f>
        <v>4.5</v>
      </c>
      <c r="F1319" s="68" t="n">
        <f aca="false">IFERROR($C1319*$E1319,"")</f>
        <v>4.5</v>
      </c>
    </row>
    <row r="1320" customFormat="false" ht="15" hidden="false" customHeight="true" outlineLevel="0" collapsed="false">
      <c r="A1320" s="65" t="s">
        <v>413</v>
      </c>
      <c r="B1320" s="65" t="s">
        <v>290</v>
      </c>
      <c r="C1320" s="65" t="n">
        <v>2</v>
      </c>
      <c r="D1320" s="66" t="str">
        <f aca="false">IFERROR(INDEX(المكونات!$B$2:$B$500,MATCH($B1320,المكونات!$A$2:$A$500,0)),"")</f>
        <v>قطعة</v>
      </c>
      <c r="E1320" s="67" t="n">
        <f aca="false">IFERROR(INDEX(المكونات!$C$2:$C$500,MATCH($B1320,المكونات!$A$2:$A$500,0)),"")</f>
        <v>0.3</v>
      </c>
      <c r="F1320" s="68" t="n">
        <f aca="false">IFERROR($C1320*$E1320,"")</f>
        <v>0.6</v>
      </c>
    </row>
    <row r="1321" customFormat="false" ht="15" hidden="false" customHeight="true" outlineLevel="0" collapsed="false">
      <c r="A1321" s="65" t="s">
        <v>413</v>
      </c>
      <c r="B1321" s="65" t="s">
        <v>319</v>
      </c>
      <c r="C1321" s="65" t="n">
        <v>1</v>
      </c>
      <c r="D1321" s="66" t="str">
        <f aca="false">IFERROR(INDEX(المكونات!$B$2:$B$500,MATCH($B1321,المكونات!$A$2:$A$500,0)),"")</f>
        <v>قطعة (ورقة)</v>
      </c>
      <c r="E1321" s="67" t="n">
        <f aca="false">IFERROR(INDEX(المكونات!$C$2:$C$500,MATCH($B1321,المكونات!$A$2:$A$500,0)),"")</f>
        <v>0.3665</v>
      </c>
      <c r="F1321" s="68" t="n">
        <f aca="false">IFERROR($C1321*$E1321,"")</f>
        <v>0.3665</v>
      </c>
    </row>
    <row r="1322" customFormat="false" ht="15" hidden="false" customHeight="true" outlineLevel="0" collapsed="false">
      <c r="A1322" s="65" t="s">
        <v>413</v>
      </c>
      <c r="B1322" s="65" t="s">
        <v>133</v>
      </c>
      <c r="C1322" s="65" t="n">
        <v>1</v>
      </c>
      <c r="D1322" s="66" t="str">
        <f aca="false">IFERROR(INDEX(المكونات!$B$2:$B$500,MATCH($B1322,المكونات!$A$2:$A$500,0)),"")</f>
        <v>قطعة (كيس)</v>
      </c>
      <c r="E1322" s="67" t="n">
        <f aca="false">IFERROR(INDEX(المكونات!$C$2:$C$500,MATCH($B1322,المكونات!$A$2:$A$500,0)),"")</f>
        <v>1.4</v>
      </c>
      <c r="F1322" s="68" t="n">
        <f aca="false">IFERROR($C1322*$E1322,"")</f>
        <v>1.4</v>
      </c>
    </row>
    <row r="1323" customFormat="false" ht="15" hidden="false" customHeight="true" outlineLevel="0" collapsed="false">
      <c r="A1323" s="65" t="s">
        <v>413</v>
      </c>
      <c r="B1323" s="65" t="s">
        <v>293</v>
      </c>
      <c r="C1323" s="65" t="n">
        <v>1</v>
      </c>
      <c r="D1323" s="66" t="str">
        <f aca="false">IFERROR(INDEX(المكونات!$B$2:$B$500,MATCH($B1323,المكونات!$A$2:$A$500,0)),"")</f>
        <v>قطعة</v>
      </c>
      <c r="E1323" s="67" t="n">
        <f aca="false">IFERROR(INDEX(المكونات!$C$2:$C$500,MATCH($B1323,المكونات!$A$2:$A$500,0)),"")</f>
        <v>0.5</v>
      </c>
      <c r="F1323" s="68" t="n">
        <f aca="false">IFERROR($C1323*$E1323,"")</f>
        <v>0.5</v>
      </c>
    </row>
    <row r="1324" customFormat="false" ht="15" hidden="false" customHeight="true" outlineLevel="0" collapsed="false">
      <c r="A1324" s="65" t="s">
        <v>413</v>
      </c>
      <c r="B1324" s="65" t="s">
        <v>211</v>
      </c>
      <c r="C1324" s="65" t="n">
        <v>2</v>
      </c>
      <c r="D1324" s="66" t="str">
        <f aca="false">IFERROR(INDEX(المكونات!$B$2:$B$500,MATCH($B1324,المكونات!$A$2:$A$500,0)),"")</f>
        <v>قطعة (جلفز)</v>
      </c>
      <c r="E1324" s="67" t="n">
        <f aca="false">IFERROR(INDEX(المكونات!$C$2:$C$500,MATCH($B1324,المكونات!$A$2:$A$500,0)),"")</f>
        <v>0.18</v>
      </c>
      <c r="F1324" s="68" t="n">
        <f aca="false">IFERROR($C1324*$E1324,"")</f>
        <v>0.36</v>
      </c>
    </row>
    <row r="1325" customFormat="false" ht="15" hidden="false" customHeight="true" outlineLevel="0" collapsed="false">
      <c r="A1325" s="65" t="s">
        <v>413</v>
      </c>
      <c r="B1325" s="65" t="s">
        <v>322</v>
      </c>
      <c r="C1325" s="65" t="n">
        <v>1</v>
      </c>
      <c r="D1325" s="66" t="str">
        <f aca="false">IFERROR(INDEX(المكونات!$B$2:$B$500,MATCH($B1325,المكونات!$A$2:$A$500,0)),"")</f>
        <v>قطعة (كيس)</v>
      </c>
      <c r="E1325" s="67" t="n">
        <f aca="false">IFERROR(INDEX(المكونات!$C$2:$C$500,MATCH($B1325,المكونات!$A$2:$A$500,0)),"")</f>
        <v>1</v>
      </c>
      <c r="F1325" s="68" t="n">
        <f aca="false">IFERROR($C1325*$E1325,"")</f>
        <v>1</v>
      </c>
    </row>
    <row r="1326" customFormat="false" ht="15" hidden="false" customHeight="true" outlineLevel="0" collapsed="false">
      <c r="A1326" s="65" t="s">
        <v>413</v>
      </c>
      <c r="B1326" s="65" t="s">
        <v>282</v>
      </c>
      <c r="C1326" s="65" t="n">
        <v>0.14</v>
      </c>
      <c r="D1326" s="66" t="str">
        <f aca="false">IFERROR(INDEX(المكونات!$B$2:$B$500,MATCH($B1326,المكونات!$A$2:$A$500,0)),"")</f>
        <v>كجم</v>
      </c>
      <c r="E1326" s="67" t="n">
        <f aca="false">IFERROR(INDEX(المكونات!$C$2:$C$500,MATCH($B1326,المكونات!$A$2:$A$500,0)),"")</f>
        <v>150</v>
      </c>
      <c r="F1326" s="68" t="n">
        <f aca="false">IFERROR($C1326*$E1326,"")</f>
        <v>21</v>
      </c>
    </row>
    <row r="1327" customFormat="false" ht="15" hidden="false" customHeight="true" outlineLevel="0" collapsed="false">
      <c r="A1327" s="65" t="s">
        <v>413</v>
      </c>
      <c r="B1327" s="65" t="s">
        <v>252</v>
      </c>
      <c r="C1327" s="65" t="n">
        <v>0.1</v>
      </c>
      <c r="D1327" s="66" t="str">
        <f aca="false">IFERROR(INDEX(المكونات!$B$2:$B$500,MATCH($B1327,المكونات!$A$2:$A$500,0)),"")</f>
        <v>كجم</v>
      </c>
      <c r="E1327" s="67" t="n">
        <f aca="false">IFERROR(INDEX(المكونات!$C$2:$C$500,MATCH($B1327,المكونات!$A$2:$A$500,0)),"")</f>
        <v>70</v>
      </c>
      <c r="F1327" s="68" t="n">
        <f aca="false">IFERROR($C1327*$E1327,"")</f>
        <v>7</v>
      </c>
    </row>
    <row r="1328" customFormat="false" ht="15" hidden="false" customHeight="true" outlineLevel="0" collapsed="false">
      <c r="A1328" s="65" t="s">
        <v>414</v>
      </c>
      <c r="B1328" s="65" t="s">
        <v>264</v>
      </c>
      <c r="C1328" s="65" t="n">
        <v>1.5</v>
      </c>
      <c r="D1328" s="66" t="str">
        <f aca="false">IFERROR(INDEX(المكونات!$B$2:$B$500,MATCH($B1328,المكونات!$A$2:$A$500,0)),"")</f>
        <v>قطعة</v>
      </c>
      <c r="E1328" s="67" t="n">
        <f aca="false">IFERROR(INDEX(المكونات!$C$2:$C$500,MATCH($B1328,المكونات!$A$2:$A$500,0)),"")</f>
        <v>4</v>
      </c>
      <c r="F1328" s="68" t="n">
        <f aca="false">IFERROR($C1328*$E1328,"")</f>
        <v>6</v>
      </c>
    </row>
    <row r="1329" customFormat="false" ht="15" hidden="false" customHeight="true" outlineLevel="0" collapsed="false">
      <c r="A1329" s="65" t="s">
        <v>414</v>
      </c>
      <c r="B1329" s="65" t="s">
        <v>260</v>
      </c>
      <c r="C1329" s="65" t="n">
        <v>0.045</v>
      </c>
      <c r="D1329" s="66" t="str">
        <f aca="false">IFERROR(INDEX(المكونات!$B$2:$B$500,MATCH($B1329,المكونات!$A$2:$A$500,0)),"")</f>
        <v>كجم</v>
      </c>
      <c r="E1329" s="67" t="n">
        <f aca="false">IFERROR(INDEX(المكونات!$C$2:$C$500,MATCH($B1329,المكونات!$A$2:$A$500,0)),"")</f>
        <v>21</v>
      </c>
      <c r="F1329" s="68" t="n">
        <f aca="false">IFERROR($C1329*$E1329,"")</f>
        <v>0.945</v>
      </c>
    </row>
    <row r="1330" customFormat="false" ht="15" hidden="false" customHeight="true" outlineLevel="0" collapsed="false">
      <c r="A1330" s="65" t="s">
        <v>414</v>
      </c>
      <c r="B1330" s="65" t="s">
        <v>284</v>
      </c>
      <c r="C1330" s="65" t="n">
        <v>0.03</v>
      </c>
      <c r="D1330" s="66" t="str">
        <f aca="false">IFERROR(INDEX(المكونات!$B$2:$B$500,MATCH($B1330,المكونات!$A$2:$A$500,0)),"")</f>
        <v>كجم</v>
      </c>
      <c r="E1330" s="67" t="n">
        <f aca="false">IFERROR(INDEX(المكونات!$C$2:$C$500,MATCH($B1330,المكونات!$A$2:$A$500,0)),"")</f>
        <v>27</v>
      </c>
      <c r="F1330" s="68" t="n">
        <f aca="false">IFERROR($C1330*$E1330,"")</f>
        <v>0.81</v>
      </c>
    </row>
    <row r="1331" customFormat="false" ht="15" hidden="false" customHeight="true" outlineLevel="0" collapsed="false">
      <c r="A1331" s="65" t="s">
        <v>414</v>
      </c>
      <c r="B1331" s="65" t="s">
        <v>227</v>
      </c>
      <c r="C1331" s="65" t="n">
        <v>0.03</v>
      </c>
      <c r="D1331" s="66" t="str">
        <f aca="false">IFERROR(INDEX(المكونات!$B$2:$B$500,MATCH($B1331,المكونات!$A$2:$A$500,0)),"")</f>
        <v>كجم</v>
      </c>
      <c r="E1331" s="67" t="n">
        <f aca="false">IFERROR(INDEX(المكونات!$C$2:$C$500,MATCH($B1331,المكونات!$A$2:$A$500,0)),"")</f>
        <v>95</v>
      </c>
      <c r="F1331" s="68" t="n">
        <f aca="false">IFERROR($C1331*$E1331,"")</f>
        <v>2.85</v>
      </c>
    </row>
    <row r="1332" customFormat="false" ht="15" hidden="false" customHeight="true" outlineLevel="0" collapsed="false">
      <c r="A1332" s="65" t="s">
        <v>414</v>
      </c>
      <c r="B1332" s="65" t="s">
        <v>178</v>
      </c>
      <c r="C1332" s="65" t="n">
        <v>1</v>
      </c>
      <c r="D1332" s="66" t="str">
        <f aca="false">IFERROR(INDEX(المكونات!$B$2:$B$500,MATCH($B1332,المكونات!$A$2:$A$500,0)),"")</f>
        <v>قطعة</v>
      </c>
      <c r="E1332" s="67" t="n">
        <f aca="false">IFERROR(INDEX(المكونات!$C$2:$C$500,MATCH($B1332,المكونات!$A$2:$A$500,0)),"")</f>
        <v>25</v>
      </c>
      <c r="F1332" s="68" t="n">
        <f aca="false">IFERROR($C1332*$E1332,"")</f>
        <v>25</v>
      </c>
    </row>
    <row r="1333" customFormat="false" ht="15" hidden="false" customHeight="true" outlineLevel="0" collapsed="false">
      <c r="A1333" s="65" t="s">
        <v>414</v>
      </c>
      <c r="B1333" s="65" t="s">
        <v>268</v>
      </c>
      <c r="C1333" s="65" t="n">
        <v>1</v>
      </c>
      <c r="D1333" s="66" t="str">
        <f aca="false">IFERROR(INDEX(المكونات!$B$2:$B$500,MATCH($B1333,المكونات!$A$2:$A$500,0)),"")</f>
        <v>قطعة</v>
      </c>
      <c r="E1333" s="67" t="n">
        <f aca="false">IFERROR(INDEX(المكونات!$C$2:$C$500,MATCH($B1333,المكونات!$A$2:$A$500,0)),"")</f>
        <v>5.5</v>
      </c>
      <c r="F1333" s="68" t="n">
        <f aca="false">IFERROR($C1333*$E1333,"")</f>
        <v>5.5</v>
      </c>
    </row>
    <row r="1334" customFormat="false" ht="15" hidden="false" customHeight="true" outlineLevel="0" collapsed="false">
      <c r="A1334" s="65" t="s">
        <v>414</v>
      </c>
      <c r="B1334" s="65" t="s">
        <v>290</v>
      </c>
      <c r="C1334" s="65" t="n">
        <v>3</v>
      </c>
      <c r="D1334" s="66" t="str">
        <f aca="false">IFERROR(INDEX(المكونات!$B$2:$B$500,MATCH($B1334,المكونات!$A$2:$A$500,0)),"")</f>
        <v>قطعة</v>
      </c>
      <c r="E1334" s="67" t="n">
        <f aca="false">IFERROR(INDEX(المكونات!$C$2:$C$500,MATCH($B1334,المكونات!$A$2:$A$500,0)),"")</f>
        <v>0.3</v>
      </c>
      <c r="F1334" s="68" t="n">
        <f aca="false">IFERROR($C1334*$E1334,"")</f>
        <v>0.9</v>
      </c>
    </row>
    <row r="1335" customFormat="false" ht="15" hidden="false" customHeight="true" outlineLevel="0" collapsed="false">
      <c r="A1335" s="65" t="s">
        <v>414</v>
      </c>
      <c r="B1335" s="65" t="s">
        <v>319</v>
      </c>
      <c r="C1335" s="65" t="n">
        <v>1</v>
      </c>
      <c r="D1335" s="66" t="str">
        <f aca="false">IFERROR(INDEX(المكونات!$B$2:$B$500,MATCH($B1335,المكونات!$A$2:$A$500,0)),"")</f>
        <v>قطعة (ورقة)</v>
      </c>
      <c r="E1335" s="67" t="n">
        <f aca="false">IFERROR(INDEX(المكونات!$C$2:$C$500,MATCH($B1335,المكونات!$A$2:$A$500,0)),"")</f>
        <v>0.3665</v>
      </c>
      <c r="F1335" s="68" t="n">
        <f aca="false">IFERROR($C1335*$E1335,"")</f>
        <v>0.3665</v>
      </c>
    </row>
    <row r="1336" customFormat="false" ht="15" hidden="false" customHeight="true" outlineLevel="0" collapsed="false">
      <c r="A1336" s="65" t="s">
        <v>414</v>
      </c>
      <c r="B1336" s="65" t="s">
        <v>133</v>
      </c>
      <c r="C1336" s="65" t="n">
        <v>1</v>
      </c>
      <c r="D1336" s="66" t="str">
        <f aca="false">IFERROR(INDEX(المكونات!$B$2:$B$500,MATCH($B1336,المكونات!$A$2:$A$500,0)),"")</f>
        <v>قطعة (كيس)</v>
      </c>
      <c r="E1336" s="67" t="n">
        <f aca="false">IFERROR(INDEX(المكونات!$C$2:$C$500,MATCH($B1336,المكونات!$A$2:$A$500,0)),"")</f>
        <v>1.4</v>
      </c>
      <c r="F1336" s="68" t="n">
        <f aca="false">IFERROR($C1336*$E1336,"")</f>
        <v>1.4</v>
      </c>
    </row>
    <row r="1337" customFormat="false" ht="15" hidden="false" customHeight="true" outlineLevel="0" collapsed="false">
      <c r="A1337" s="65" t="s">
        <v>414</v>
      </c>
      <c r="B1337" s="65" t="s">
        <v>293</v>
      </c>
      <c r="C1337" s="65" t="n">
        <v>1</v>
      </c>
      <c r="D1337" s="66" t="str">
        <f aca="false">IFERROR(INDEX(المكونات!$B$2:$B$500,MATCH($B1337,المكونات!$A$2:$A$500,0)),"")</f>
        <v>قطعة</v>
      </c>
      <c r="E1337" s="67" t="n">
        <f aca="false">IFERROR(INDEX(المكونات!$C$2:$C$500,MATCH($B1337,المكونات!$A$2:$A$500,0)),"")</f>
        <v>0.5</v>
      </c>
      <c r="F1337" s="68" t="n">
        <f aca="false">IFERROR($C1337*$E1337,"")</f>
        <v>0.5</v>
      </c>
    </row>
    <row r="1338" customFormat="false" ht="15" hidden="false" customHeight="true" outlineLevel="0" collapsed="false">
      <c r="A1338" s="65" t="s">
        <v>414</v>
      </c>
      <c r="B1338" s="65" t="s">
        <v>211</v>
      </c>
      <c r="C1338" s="65" t="n">
        <v>2</v>
      </c>
      <c r="D1338" s="66" t="str">
        <f aca="false">IFERROR(INDEX(المكونات!$B$2:$B$500,MATCH($B1338,المكونات!$A$2:$A$500,0)),"")</f>
        <v>قطعة (جلفز)</v>
      </c>
      <c r="E1338" s="67" t="n">
        <f aca="false">IFERROR(INDEX(المكونات!$C$2:$C$500,MATCH($B1338,المكونات!$A$2:$A$500,0)),"")</f>
        <v>0.18</v>
      </c>
      <c r="F1338" s="68" t="n">
        <f aca="false">IFERROR($C1338*$E1338,"")</f>
        <v>0.36</v>
      </c>
    </row>
    <row r="1339" customFormat="false" ht="15" hidden="false" customHeight="true" outlineLevel="0" collapsed="false">
      <c r="A1339" s="65" t="s">
        <v>414</v>
      </c>
      <c r="B1339" s="65" t="s">
        <v>322</v>
      </c>
      <c r="C1339" s="65" t="n">
        <v>1</v>
      </c>
      <c r="D1339" s="66" t="str">
        <f aca="false">IFERROR(INDEX(المكونات!$B$2:$B$500,MATCH($B1339,المكونات!$A$2:$A$500,0)),"")</f>
        <v>قطعة (كيس)</v>
      </c>
      <c r="E1339" s="67" t="n">
        <f aca="false">IFERROR(INDEX(المكونات!$C$2:$C$500,MATCH($B1339,المكونات!$A$2:$A$500,0)),"")</f>
        <v>1</v>
      </c>
      <c r="F1339" s="68" t="n">
        <f aca="false">IFERROR($C1339*$E1339,"")</f>
        <v>1</v>
      </c>
    </row>
    <row r="1340" customFormat="false" ht="15" hidden="false" customHeight="true" outlineLevel="0" collapsed="false">
      <c r="A1340" s="65" t="s">
        <v>414</v>
      </c>
      <c r="B1340" s="65" t="s">
        <v>282</v>
      </c>
      <c r="C1340" s="65" t="n">
        <v>0.21</v>
      </c>
      <c r="D1340" s="66" t="str">
        <f aca="false">IFERROR(INDEX(المكونات!$B$2:$B$500,MATCH($B1340,المكونات!$A$2:$A$500,0)),"")</f>
        <v>كجم</v>
      </c>
      <c r="E1340" s="67" t="n">
        <f aca="false">IFERROR(INDEX(المكونات!$C$2:$C$500,MATCH($B1340,المكونات!$A$2:$A$500,0)),"")</f>
        <v>150</v>
      </c>
      <c r="F1340" s="68" t="n">
        <f aca="false">IFERROR($C1340*$E1340,"")</f>
        <v>31.5</v>
      </c>
    </row>
    <row r="1341" customFormat="false" ht="15" hidden="false" customHeight="true" outlineLevel="0" collapsed="false">
      <c r="A1341" s="65" t="s">
        <v>414</v>
      </c>
      <c r="B1341" s="65" t="s">
        <v>252</v>
      </c>
      <c r="C1341" s="65" t="n">
        <v>0.15</v>
      </c>
      <c r="D1341" s="66" t="str">
        <f aca="false">IFERROR(INDEX(المكونات!$B$2:$B$500,MATCH($B1341,المكونات!$A$2:$A$500,0)),"")</f>
        <v>كجم</v>
      </c>
      <c r="E1341" s="67" t="n">
        <f aca="false">IFERROR(INDEX(المكونات!$C$2:$C$500,MATCH($B1341,المكونات!$A$2:$A$500,0)),"")</f>
        <v>70</v>
      </c>
      <c r="F1341" s="68" t="n">
        <f aca="false">IFERROR($C1341*$E1341,"")</f>
        <v>10.5</v>
      </c>
    </row>
    <row r="1342" customFormat="false" ht="15" hidden="false" customHeight="true" outlineLevel="0" collapsed="false">
      <c r="A1342" s="65" t="s">
        <v>495</v>
      </c>
      <c r="B1342" s="65" t="s">
        <v>264</v>
      </c>
      <c r="C1342" s="65" t="n">
        <v>1</v>
      </c>
      <c r="D1342" s="66" t="str">
        <f aca="false">IFERROR(INDEX(المكونات!$B$2:$B$500,MATCH($B1342,المكونات!$A$2:$A$500,0)),"")</f>
        <v>قطعة</v>
      </c>
      <c r="E1342" s="67" t="n">
        <f aca="false">IFERROR(INDEX(المكونات!$C$2:$C$500,MATCH($B1342,المكونات!$A$2:$A$500,0)),"")</f>
        <v>4</v>
      </c>
      <c r="F1342" s="68" t="n">
        <f aca="false">IFERROR($C1342*$E1342,"")</f>
        <v>4</v>
      </c>
    </row>
    <row r="1343" customFormat="false" ht="15" hidden="false" customHeight="true" outlineLevel="0" collapsed="false">
      <c r="A1343" s="65" t="s">
        <v>495</v>
      </c>
      <c r="B1343" s="65" t="s">
        <v>260</v>
      </c>
      <c r="C1343" s="65" t="n">
        <v>0.03</v>
      </c>
      <c r="D1343" s="66" t="str">
        <f aca="false">IFERROR(INDEX(المكونات!$B$2:$B$500,MATCH($B1343,المكونات!$A$2:$A$500,0)),"")</f>
        <v>كجم</v>
      </c>
      <c r="E1343" s="67" t="n">
        <f aca="false">IFERROR(INDEX(المكونات!$C$2:$C$500,MATCH($B1343,المكونات!$A$2:$A$500,0)),"")</f>
        <v>21</v>
      </c>
      <c r="F1343" s="68" t="n">
        <f aca="false">IFERROR($C1343*$E1343,"")</f>
        <v>0.63</v>
      </c>
    </row>
    <row r="1344" customFormat="false" ht="15" hidden="false" customHeight="true" outlineLevel="0" collapsed="false">
      <c r="A1344" s="65" t="s">
        <v>495</v>
      </c>
      <c r="B1344" s="65" t="s">
        <v>284</v>
      </c>
      <c r="C1344" s="65" t="n">
        <v>0.02</v>
      </c>
      <c r="D1344" s="66" t="str">
        <f aca="false">IFERROR(INDEX(المكونات!$B$2:$B$500,MATCH($B1344,المكونات!$A$2:$A$500,0)),"")</f>
        <v>كجم</v>
      </c>
      <c r="E1344" s="67" t="n">
        <f aca="false">IFERROR(INDEX(المكونات!$C$2:$C$500,MATCH($B1344,المكونات!$A$2:$A$500,0)),"")</f>
        <v>27</v>
      </c>
      <c r="F1344" s="68" t="n">
        <f aca="false">IFERROR($C1344*$E1344,"")</f>
        <v>0.54</v>
      </c>
    </row>
    <row r="1345" customFormat="false" ht="15" hidden="false" customHeight="true" outlineLevel="0" collapsed="false">
      <c r="A1345" s="65" t="s">
        <v>495</v>
      </c>
      <c r="B1345" s="65" t="s">
        <v>227</v>
      </c>
      <c r="C1345" s="65" t="n">
        <v>0.02</v>
      </c>
      <c r="D1345" s="66" t="str">
        <f aca="false">IFERROR(INDEX(المكونات!$B$2:$B$500,MATCH($B1345,المكونات!$A$2:$A$500,0)),"")</f>
        <v>كجم</v>
      </c>
      <c r="E1345" s="67" t="n">
        <f aca="false">IFERROR(INDEX(المكونات!$C$2:$C$500,MATCH($B1345,المكونات!$A$2:$A$500,0)),"")</f>
        <v>95</v>
      </c>
      <c r="F1345" s="68" t="n">
        <f aca="false">IFERROR($C1345*$E1345,"")</f>
        <v>1.9</v>
      </c>
    </row>
    <row r="1346" customFormat="false" ht="15" hidden="false" customHeight="true" outlineLevel="0" collapsed="false">
      <c r="A1346" s="65" t="s">
        <v>495</v>
      </c>
      <c r="B1346" s="65" t="s">
        <v>176</v>
      </c>
      <c r="C1346" s="65" t="n">
        <v>1</v>
      </c>
      <c r="D1346" s="66" t="str">
        <f aca="false">IFERROR(INDEX(المكونات!$B$2:$B$500,MATCH($B1346,المكونات!$A$2:$A$500,0)),"")</f>
        <v>قطعة</v>
      </c>
      <c r="E1346" s="67" t="n">
        <f aca="false">IFERROR(INDEX(المكونات!$C$2:$C$500,MATCH($B1346,المكونات!$A$2:$A$500,0)),"")</f>
        <v>17.5</v>
      </c>
      <c r="F1346" s="68" t="n">
        <f aca="false">IFERROR($C1346*$E1346,"")</f>
        <v>17.5</v>
      </c>
    </row>
    <row r="1347" customFormat="false" ht="15" hidden="false" customHeight="true" outlineLevel="0" collapsed="false">
      <c r="A1347" s="65" t="s">
        <v>495</v>
      </c>
      <c r="B1347" s="65" t="s">
        <v>270</v>
      </c>
      <c r="C1347" s="65" t="n">
        <v>1</v>
      </c>
      <c r="D1347" s="66" t="str">
        <f aca="false">IFERROR(INDEX(المكونات!$B$2:$B$500,MATCH($B1347,المكونات!$A$2:$A$500,0)),"")</f>
        <v>قطعة</v>
      </c>
      <c r="E1347" s="67" t="n">
        <f aca="false">IFERROR(INDEX(المكونات!$C$2:$C$500,MATCH($B1347,المكونات!$A$2:$A$500,0)),"")</f>
        <v>4.5</v>
      </c>
      <c r="F1347" s="68" t="n">
        <f aca="false">IFERROR($C1347*$E1347,"")</f>
        <v>4.5</v>
      </c>
    </row>
    <row r="1348" customFormat="false" ht="15" hidden="false" customHeight="true" outlineLevel="0" collapsed="false">
      <c r="A1348" s="65" t="s">
        <v>495</v>
      </c>
      <c r="B1348" s="65" t="s">
        <v>290</v>
      </c>
      <c r="C1348" s="65" t="n">
        <v>2</v>
      </c>
      <c r="D1348" s="66" t="str">
        <f aca="false">IFERROR(INDEX(المكونات!$B$2:$B$500,MATCH($B1348,المكونات!$A$2:$A$500,0)),"")</f>
        <v>قطعة</v>
      </c>
      <c r="E1348" s="67" t="n">
        <f aca="false">IFERROR(INDEX(المكونات!$C$2:$C$500,MATCH($B1348,المكونات!$A$2:$A$500,0)),"")</f>
        <v>0.3</v>
      </c>
      <c r="F1348" s="68" t="n">
        <f aca="false">IFERROR($C1348*$E1348,"")</f>
        <v>0.6</v>
      </c>
    </row>
    <row r="1349" customFormat="false" ht="15" hidden="false" customHeight="true" outlineLevel="0" collapsed="false">
      <c r="A1349" s="65" t="s">
        <v>495</v>
      </c>
      <c r="B1349" s="65" t="s">
        <v>319</v>
      </c>
      <c r="C1349" s="65" t="n">
        <v>1</v>
      </c>
      <c r="D1349" s="66" t="str">
        <f aca="false">IFERROR(INDEX(المكونات!$B$2:$B$500,MATCH($B1349,المكونات!$A$2:$A$500,0)),"")</f>
        <v>قطعة (ورقة)</v>
      </c>
      <c r="E1349" s="67" t="n">
        <f aca="false">IFERROR(INDEX(المكونات!$C$2:$C$500,MATCH($B1349,المكونات!$A$2:$A$500,0)),"")</f>
        <v>0.3665</v>
      </c>
      <c r="F1349" s="68" t="n">
        <f aca="false">IFERROR($C1349*$E1349,"")</f>
        <v>0.3665</v>
      </c>
    </row>
    <row r="1350" customFormat="false" ht="15" hidden="false" customHeight="true" outlineLevel="0" collapsed="false">
      <c r="A1350" s="65" t="s">
        <v>495</v>
      </c>
      <c r="B1350" s="65" t="s">
        <v>133</v>
      </c>
      <c r="C1350" s="65" t="n">
        <v>1</v>
      </c>
      <c r="D1350" s="66" t="str">
        <f aca="false">IFERROR(INDEX(المكونات!$B$2:$B$500,MATCH($B1350,المكونات!$A$2:$A$500,0)),"")</f>
        <v>قطعة (كيس)</v>
      </c>
      <c r="E1350" s="67" t="n">
        <f aca="false">IFERROR(INDEX(المكونات!$C$2:$C$500,MATCH($B1350,المكونات!$A$2:$A$500,0)),"")</f>
        <v>1.4</v>
      </c>
      <c r="F1350" s="68" t="n">
        <f aca="false">IFERROR($C1350*$E1350,"")</f>
        <v>1.4</v>
      </c>
    </row>
    <row r="1351" customFormat="false" ht="15" hidden="false" customHeight="true" outlineLevel="0" collapsed="false">
      <c r="A1351" s="65" t="s">
        <v>495</v>
      </c>
      <c r="B1351" s="65" t="s">
        <v>293</v>
      </c>
      <c r="C1351" s="65" t="n">
        <v>1</v>
      </c>
      <c r="D1351" s="66" t="str">
        <f aca="false">IFERROR(INDEX(المكونات!$B$2:$B$500,MATCH($B1351,المكونات!$A$2:$A$500,0)),"")</f>
        <v>قطعة</v>
      </c>
      <c r="E1351" s="67" t="n">
        <f aca="false">IFERROR(INDEX(المكونات!$C$2:$C$500,MATCH($B1351,المكونات!$A$2:$A$500,0)),"")</f>
        <v>0.5</v>
      </c>
      <c r="F1351" s="68" t="n">
        <f aca="false">IFERROR($C1351*$E1351,"")</f>
        <v>0.5</v>
      </c>
    </row>
    <row r="1352" customFormat="false" ht="15" hidden="false" customHeight="true" outlineLevel="0" collapsed="false">
      <c r="A1352" s="65" t="s">
        <v>495</v>
      </c>
      <c r="B1352" s="65" t="s">
        <v>211</v>
      </c>
      <c r="C1352" s="65" t="n">
        <v>2</v>
      </c>
      <c r="D1352" s="66" t="str">
        <f aca="false">IFERROR(INDEX(المكونات!$B$2:$B$500,MATCH($B1352,المكونات!$A$2:$A$500,0)),"")</f>
        <v>قطعة (جلفز)</v>
      </c>
      <c r="E1352" s="67" t="n">
        <f aca="false">IFERROR(INDEX(المكونات!$C$2:$C$500,MATCH($B1352,المكونات!$A$2:$A$500,0)),"")</f>
        <v>0.18</v>
      </c>
      <c r="F1352" s="68" t="n">
        <f aca="false">IFERROR($C1352*$E1352,"")</f>
        <v>0.36</v>
      </c>
    </row>
    <row r="1353" customFormat="false" ht="15" hidden="false" customHeight="true" outlineLevel="0" collapsed="false">
      <c r="A1353" s="65" t="s">
        <v>495</v>
      </c>
      <c r="B1353" s="65" t="s">
        <v>322</v>
      </c>
      <c r="C1353" s="65" t="n">
        <v>1</v>
      </c>
      <c r="D1353" s="66" t="str">
        <f aca="false">IFERROR(INDEX(المكونات!$B$2:$B$500,MATCH($B1353,المكونات!$A$2:$A$500,0)),"")</f>
        <v>قطعة (كيس)</v>
      </c>
      <c r="E1353" s="67" t="n">
        <f aca="false">IFERROR(INDEX(المكونات!$C$2:$C$500,MATCH($B1353,المكونات!$A$2:$A$500,0)),"")</f>
        <v>1</v>
      </c>
      <c r="F1353" s="68" t="n">
        <f aca="false">IFERROR($C1353*$E1353,"")</f>
        <v>1</v>
      </c>
    </row>
    <row r="1354" customFormat="false" ht="15" hidden="false" customHeight="true" outlineLevel="0" collapsed="false">
      <c r="A1354" s="65" t="s">
        <v>495</v>
      </c>
      <c r="B1354" s="65" t="s">
        <v>150</v>
      </c>
      <c r="C1354" s="65" t="n">
        <v>1</v>
      </c>
      <c r="D1354" s="66" t="str">
        <f aca="false">IFERROR(INDEX(المكونات!$B$2:$B$500,MATCH($B1354,المكونات!$A$2:$A$500,0)),"")</f>
        <v>قطعة</v>
      </c>
      <c r="E1354" s="67" t="n">
        <f aca="false">IFERROR(INDEX(المكونات!$C$2:$C$500,MATCH($B1354,المكونات!$A$2:$A$500,0)),"")</f>
        <v>95</v>
      </c>
      <c r="F1354" s="68" t="n">
        <f aca="false">IFERROR($C1354*$E1354,"")</f>
        <v>95</v>
      </c>
    </row>
    <row r="1355" customFormat="false" ht="15" hidden="false" customHeight="true" outlineLevel="0" collapsed="false">
      <c r="A1355" s="65" t="s">
        <v>484</v>
      </c>
      <c r="B1355" s="65" t="s">
        <v>264</v>
      </c>
      <c r="C1355" s="65" t="n">
        <v>1.5</v>
      </c>
      <c r="D1355" s="66" t="str">
        <f aca="false">IFERROR(INDEX(المكونات!$B$2:$B$500,MATCH($B1355,المكونات!$A$2:$A$500,0)),"")</f>
        <v>قطعة</v>
      </c>
      <c r="E1355" s="67" t="n">
        <f aca="false">IFERROR(INDEX(المكونات!$C$2:$C$500,MATCH($B1355,المكونات!$A$2:$A$500,0)),"")</f>
        <v>4</v>
      </c>
      <c r="F1355" s="68" t="n">
        <f aca="false">IFERROR($C1355*$E1355,"")</f>
        <v>6</v>
      </c>
    </row>
    <row r="1356" customFormat="false" ht="15" hidden="false" customHeight="true" outlineLevel="0" collapsed="false">
      <c r="A1356" s="65" t="s">
        <v>484</v>
      </c>
      <c r="B1356" s="65" t="s">
        <v>260</v>
      </c>
      <c r="C1356" s="65" t="n">
        <v>0.045</v>
      </c>
      <c r="D1356" s="66" t="str">
        <f aca="false">IFERROR(INDEX(المكونات!$B$2:$B$500,MATCH($B1356,المكونات!$A$2:$A$500,0)),"")</f>
        <v>كجم</v>
      </c>
      <c r="E1356" s="67" t="n">
        <f aca="false">IFERROR(INDEX(المكونات!$C$2:$C$500,MATCH($B1356,المكونات!$A$2:$A$500,0)),"")</f>
        <v>21</v>
      </c>
      <c r="F1356" s="68" t="n">
        <f aca="false">IFERROR($C1356*$E1356,"")</f>
        <v>0.945</v>
      </c>
    </row>
    <row r="1357" customFormat="false" ht="15" hidden="false" customHeight="true" outlineLevel="0" collapsed="false">
      <c r="A1357" s="65" t="s">
        <v>484</v>
      </c>
      <c r="B1357" s="65" t="s">
        <v>284</v>
      </c>
      <c r="C1357" s="65" t="n">
        <v>0.03</v>
      </c>
      <c r="D1357" s="66" t="str">
        <f aca="false">IFERROR(INDEX(المكونات!$B$2:$B$500,MATCH($B1357,المكونات!$A$2:$A$500,0)),"")</f>
        <v>كجم</v>
      </c>
      <c r="E1357" s="67" t="n">
        <f aca="false">IFERROR(INDEX(المكونات!$C$2:$C$500,MATCH($B1357,المكونات!$A$2:$A$500,0)),"")</f>
        <v>27</v>
      </c>
      <c r="F1357" s="68" t="n">
        <f aca="false">IFERROR($C1357*$E1357,"")</f>
        <v>0.81</v>
      </c>
    </row>
    <row r="1358" customFormat="false" ht="15" hidden="false" customHeight="true" outlineLevel="0" collapsed="false">
      <c r="A1358" s="65" t="s">
        <v>484</v>
      </c>
      <c r="B1358" s="65" t="s">
        <v>227</v>
      </c>
      <c r="C1358" s="65" t="n">
        <v>0.03</v>
      </c>
      <c r="D1358" s="66" t="str">
        <f aca="false">IFERROR(INDEX(المكونات!$B$2:$B$500,MATCH($B1358,المكونات!$A$2:$A$500,0)),"")</f>
        <v>كجم</v>
      </c>
      <c r="E1358" s="67" t="n">
        <f aca="false">IFERROR(INDEX(المكونات!$C$2:$C$500,MATCH($B1358,المكونات!$A$2:$A$500,0)),"")</f>
        <v>95</v>
      </c>
      <c r="F1358" s="68" t="n">
        <f aca="false">IFERROR($C1358*$E1358,"")</f>
        <v>2.85</v>
      </c>
    </row>
    <row r="1359" customFormat="false" ht="15" hidden="false" customHeight="true" outlineLevel="0" collapsed="false">
      <c r="A1359" s="65" t="s">
        <v>484</v>
      </c>
      <c r="B1359" s="65" t="s">
        <v>178</v>
      </c>
      <c r="C1359" s="65" t="n">
        <v>1</v>
      </c>
      <c r="D1359" s="66" t="str">
        <f aca="false">IFERROR(INDEX(المكونات!$B$2:$B$500,MATCH($B1359,المكونات!$A$2:$A$500,0)),"")</f>
        <v>قطعة</v>
      </c>
      <c r="E1359" s="67" t="n">
        <f aca="false">IFERROR(INDEX(المكونات!$C$2:$C$500,MATCH($B1359,المكونات!$A$2:$A$500,0)),"")</f>
        <v>25</v>
      </c>
      <c r="F1359" s="68" t="n">
        <f aca="false">IFERROR($C1359*$E1359,"")</f>
        <v>25</v>
      </c>
    </row>
    <row r="1360" customFormat="false" ht="15" hidden="false" customHeight="true" outlineLevel="0" collapsed="false">
      <c r="A1360" s="65" t="s">
        <v>484</v>
      </c>
      <c r="B1360" s="65" t="s">
        <v>268</v>
      </c>
      <c r="C1360" s="65" t="n">
        <v>1</v>
      </c>
      <c r="D1360" s="66" t="str">
        <f aca="false">IFERROR(INDEX(المكونات!$B$2:$B$500,MATCH($B1360,المكونات!$A$2:$A$500,0)),"")</f>
        <v>قطعة</v>
      </c>
      <c r="E1360" s="67" t="n">
        <f aca="false">IFERROR(INDEX(المكونات!$C$2:$C$500,MATCH($B1360,المكونات!$A$2:$A$500,0)),"")</f>
        <v>5.5</v>
      </c>
      <c r="F1360" s="68" t="n">
        <f aca="false">IFERROR($C1360*$E1360,"")</f>
        <v>5.5</v>
      </c>
    </row>
    <row r="1361" customFormat="false" ht="15" hidden="false" customHeight="true" outlineLevel="0" collapsed="false">
      <c r="A1361" s="65" t="s">
        <v>484</v>
      </c>
      <c r="B1361" s="65" t="s">
        <v>290</v>
      </c>
      <c r="C1361" s="65" t="n">
        <v>3</v>
      </c>
      <c r="D1361" s="66" t="str">
        <f aca="false">IFERROR(INDEX(المكونات!$B$2:$B$500,MATCH($B1361,المكونات!$A$2:$A$500,0)),"")</f>
        <v>قطعة</v>
      </c>
      <c r="E1361" s="67" t="n">
        <f aca="false">IFERROR(INDEX(المكونات!$C$2:$C$500,MATCH($B1361,المكونات!$A$2:$A$500,0)),"")</f>
        <v>0.3</v>
      </c>
      <c r="F1361" s="68" t="n">
        <f aca="false">IFERROR($C1361*$E1361,"")</f>
        <v>0.9</v>
      </c>
    </row>
    <row r="1362" customFormat="false" ht="15" hidden="false" customHeight="true" outlineLevel="0" collapsed="false">
      <c r="A1362" s="65" t="s">
        <v>484</v>
      </c>
      <c r="B1362" s="65" t="s">
        <v>319</v>
      </c>
      <c r="C1362" s="65" t="n">
        <v>1</v>
      </c>
      <c r="D1362" s="66" t="str">
        <f aca="false">IFERROR(INDEX(المكونات!$B$2:$B$500,MATCH($B1362,المكونات!$A$2:$A$500,0)),"")</f>
        <v>قطعة (ورقة)</v>
      </c>
      <c r="E1362" s="67" t="n">
        <f aca="false">IFERROR(INDEX(المكونات!$C$2:$C$500,MATCH($B1362,المكونات!$A$2:$A$500,0)),"")</f>
        <v>0.3665</v>
      </c>
      <c r="F1362" s="68" t="n">
        <f aca="false">IFERROR($C1362*$E1362,"")</f>
        <v>0.3665</v>
      </c>
    </row>
    <row r="1363" customFormat="false" ht="15" hidden="false" customHeight="true" outlineLevel="0" collapsed="false">
      <c r="A1363" s="65" t="s">
        <v>484</v>
      </c>
      <c r="B1363" s="65" t="s">
        <v>133</v>
      </c>
      <c r="C1363" s="65" t="n">
        <v>1</v>
      </c>
      <c r="D1363" s="66" t="str">
        <f aca="false">IFERROR(INDEX(المكونات!$B$2:$B$500,MATCH($B1363,المكونات!$A$2:$A$500,0)),"")</f>
        <v>قطعة (كيس)</v>
      </c>
      <c r="E1363" s="67" t="n">
        <f aca="false">IFERROR(INDEX(المكونات!$C$2:$C$500,MATCH($B1363,المكونات!$A$2:$A$500,0)),"")</f>
        <v>1.4</v>
      </c>
      <c r="F1363" s="68" t="n">
        <f aca="false">IFERROR($C1363*$E1363,"")</f>
        <v>1.4</v>
      </c>
    </row>
    <row r="1364" customFormat="false" ht="15" hidden="false" customHeight="true" outlineLevel="0" collapsed="false">
      <c r="A1364" s="65" t="s">
        <v>484</v>
      </c>
      <c r="B1364" s="65" t="s">
        <v>293</v>
      </c>
      <c r="C1364" s="65" t="n">
        <v>1</v>
      </c>
      <c r="D1364" s="66" t="str">
        <f aca="false">IFERROR(INDEX(المكونات!$B$2:$B$500,MATCH($B1364,المكونات!$A$2:$A$500,0)),"")</f>
        <v>قطعة</v>
      </c>
      <c r="E1364" s="67" t="n">
        <f aca="false">IFERROR(INDEX(المكونات!$C$2:$C$500,MATCH($B1364,المكونات!$A$2:$A$500,0)),"")</f>
        <v>0.5</v>
      </c>
      <c r="F1364" s="68" t="n">
        <f aca="false">IFERROR($C1364*$E1364,"")</f>
        <v>0.5</v>
      </c>
    </row>
    <row r="1365" customFormat="false" ht="15" hidden="false" customHeight="true" outlineLevel="0" collapsed="false">
      <c r="A1365" s="65" t="s">
        <v>484</v>
      </c>
      <c r="B1365" s="65" t="s">
        <v>211</v>
      </c>
      <c r="C1365" s="65" t="n">
        <v>2</v>
      </c>
      <c r="D1365" s="66" t="str">
        <f aca="false">IFERROR(INDEX(المكونات!$B$2:$B$500,MATCH($B1365,المكونات!$A$2:$A$500,0)),"")</f>
        <v>قطعة (جلفز)</v>
      </c>
      <c r="E1365" s="67" t="n">
        <f aca="false">IFERROR(INDEX(المكونات!$C$2:$C$500,MATCH($B1365,المكونات!$A$2:$A$500,0)),"")</f>
        <v>0.18</v>
      </c>
      <c r="F1365" s="68" t="n">
        <f aca="false">IFERROR($C1365*$E1365,"")</f>
        <v>0.36</v>
      </c>
    </row>
    <row r="1366" customFormat="false" ht="15" hidden="false" customHeight="true" outlineLevel="0" collapsed="false">
      <c r="A1366" s="65" t="s">
        <v>484</v>
      </c>
      <c r="B1366" s="65" t="s">
        <v>322</v>
      </c>
      <c r="C1366" s="65" t="n">
        <v>1</v>
      </c>
      <c r="D1366" s="66" t="str">
        <f aca="false">IFERROR(INDEX(المكونات!$B$2:$B$500,MATCH($B1366,المكونات!$A$2:$A$500,0)),"")</f>
        <v>قطعة (كيس)</v>
      </c>
      <c r="E1366" s="67" t="n">
        <f aca="false">IFERROR(INDEX(المكونات!$C$2:$C$500,MATCH($B1366,المكونات!$A$2:$A$500,0)),"")</f>
        <v>1</v>
      </c>
      <c r="F1366" s="68" t="n">
        <f aca="false">IFERROR($C1366*$E1366,"")</f>
        <v>1</v>
      </c>
    </row>
    <row r="1367" customFormat="false" ht="15" hidden="false" customHeight="true" outlineLevel="0" collapsed="false">
      <c r="A1367" s="65" t="s">
        <v>484</v>
      </c>
      <c r="B1367" s="65" t="s">
        <v>150</v>
      </c>
      <c r="C1367" s="65" t="n">
        <v>1.5</v>
      </c>
      <c r="D1367" s="66" t="str">
        <f aca="false">IFERROR(INDEX(المكونات!$B$2:$B$500,MATCH($B1367,المكونات!$A$2:$A$500,0)),"")</f>
        <v>قطعة</v>
      </c>
      <c r="E1367" s="67" t="n">
        <f aca="false">IFERROR(INDEX(المكونات!$C$2:$C$500,MATCH($B1367,المكونات!$A$2:$A$500,0)),"")</f>
        <v>95</v>
      </c>
      <c r="F1367" s="68" t="n">
        <f aca="false">IFERROR($C1367*$E1367,"")</f>
        <v>142.5</v>
      </c>
    </row>
    <row r="1368" customFormat="false" ht="15" hidden="false" customHeight="true" outlineLevel="0" collapsed="false">
      <c r="A1368" s="65" t="s">
        <v>519</v>
      </c>
      <c r="B1368" s="65" t="s">
        <v>264</v>
      </c>
      <c r="C1368" s="65" t="n">
        <v>1</v>
      </c>
      <c r="D1368" s="66" t="str">
        <f aca="false">IFERROR(INDEX(المكونات!$B$2:$B$500,MATCH($B1368,المكونات!$A$2:$A$500,0)),"")</f>
        <v>قطعة</v>
      </c>
      <c r="E1368" s="67" t="n">
        <f aca="false">IFERROR(INDEX(المكونات!$C$2:$C$500,MATCH($B1368,المكونات!$A$2:$A$500,0)),"")</f>
        <v>4</v>
      </c>
      <c r="F1368" s="68" t="n">
        <f aca="false">IFERROR($C1368*$E1368,"")</f>
        <v>4</v>
      </c>
    </row>
    <row r="1369" customFormat="false" ht="15" hidden="false" customHeight="true" outlineLevel="0" collapsed="false">
      <c r="A1369" s="65" t="s">
        <v>519</v>
      </c>
      <c r="B1369" s="65" t="s">
        <v>260</v>
      </c>
      <c r="C1369" s="65" t="n">
        <v>0.03</v>
      </c>
      <c r="D1369" s="66" t="str">
        <f aca="false">IFERROR(INDEX(المكونات!$B$2:$B$500,MATCH($B1369,المكونات!$A$2:$A$500,0)),"")</f>
        <v>كجم</v>
      </c>
      <c r="E1369" s="67" t="n">
        <f aca="false">IFERROR(INDEX(المكونات!$C$2:$C$500,MATCH($B1369,المكونات!$A$2:$A$500,0)),"")</f>
        <v>21</v>
      </c>
      <c r="F1369" s="68" t="n">
        <f aca="false">IFERROR($C1369*$E1369,"")</f>
        <v>0.63</v>
      </c>
    </row>
    <row r="1370" customFormat="false" ht="15" hidden="false" customHeight="true" outlineLevel="0" collapsed="false">
      <c r="A1370" s="65" t="s">
        <v>519</v>
      </c>
      <c r="B1370" s="65" t="s">
        <v>284</v>
      </c>
      <c r="C1370" s="65" t="n">
        <v>0.02</v>
      </c>
      <c r="D1370" s="66" t="str">
        <f aca="false">IFERROR(INDEX(المكونات!$B$2:$B$500,MATCH($B1370,المكونات!$A$2:$A$500,0)),"")</f>
        <v>كجم</v>
      </c>
      <c r="E1370" s="67" t="n">
        <f aca="false">IFERROR(INDEX(المكونات!$C$2:$C$500,MATCH($B1370,المكونات!$A$2:$A$500,0)),"")</f>
        <v>27</v>
      </c>
      <c r="F1370" s="68" t="n">
        <f aca="false">IFERROR($C1370*$E1370,"")</f>
        <v>0.54</v>
      </c>
    </row>
    <row r="1371" customFormat="false" ht="15" hidden="false" customHeight="true" outlineLevel="0" collapsed="false">
      <c r="A1371" s="65" t="s">
        <v>519</v>
      </c>
      <c r="B1371" s="65" t="s">
        <v>227</v>
      </c>
      <c r="C1371" s="65" t="n">
        <v>0.02</v>
      </c>
      <c r="D1371" s="66" t="str">
        <f aca="false">IFERROR(INDEX(المكونات!$B$2:$B$500,MATCH($B1371,المكونات!$A$2:$A$500,0)),"")</f>
        <v>كجم</v>
      </c>
      <c r="E1371" s="67" t="n">
        <f aca="false">IFERROR(INDEX(المكونات!$C$2:$C$500,MATCH($B1371,المكونات!$A$2:$A$500,0)),"")</f>
        <v>95</v>
      </c>
      <c r="F1371" s="68" t="n">
        <f aca="false">IFERROR($C1371*$E1371,"")</f>
        <v>1.9</v>
      </c>
    </row>
    <row r="1372" customFormat="false" ht="15" hidden="false" customHeight="true" outlineLevel="0" collapsed="false">
      <c r="A1372" s="65" t="s">
        <v>519</v>
      </c>
      <c r="B1372" s="65" t="s">
        <v>176</v>
      </c>
      <c r="C1372" s="65" t="n">
        <v>1</v>
      </c>
      <c r="D1372" s="66" t="str">
        <f aca="false">IFERROR(INDEX(المكونات!$B$2:$B$500,MATCH($B1372,المكونات!$A$2:$A$500,0)),"")</f>
        <v>قطعة</v>
      </c>
      <c r="E1372" s="67" t="n">
        <f aca="false">IFERROR(INDEX(المكونات!$C$2:$C$500,MATCH($B1372,المكونات!$A$2:$A$500,0)),"")</f>
        <v>17.5</v>
      </c>
      <c r="F1372" s="68" t="n">
        <f aca="false">IFERROR($C1372*$E1372,"")</f>
        <v>17.5</v>
      </c>
    </row>
    <row r="1373" customFormat="false" ht="15" hidden="false" customHeight="true" outlineLevel="0" collapsed="false">
      <c r="A1373" s="65" t="s">
        <v>519</v>
      </c>
      <c r="B1373" s="65" t="s">
        <v>270</v>
      </c>
      <c r="C1373" s="65" t="n">
        <v>1</v>
      </c>
      <c r="D1373" s="66" t="str">
        <f aca="false">IFERROR(INDEX(المكونات!$B$2:$B$500,MATCH($B1373,المكونات!$A$2:$A$500,0)),"")</f>
        <v>قطعة</v>
      </c>
      <c r="E1373" s="67" t="n">
        <f aca="false">IFERROR(INDEX(المكونات!$C$2:$C$500,MATCH($B1373,المكونات!$A$2:$A$500,0)),"")</f>
        <v>4.5</v>
      </c>
      <c r="F1373" s="68" t="n">
        <f aca="false">IFERROR($C1373*$E1373,"")</f>
        <v>4.5</v>
      </c>
    </row>
    <row r="1374" customFormat="false" ht="15" hidden="false" customHeight="true" outlineLevel="0" collapsed="false">
      <c r="A1374" s="65" t="s">
        <v>519</v>
      </c>
      <c r="B1374" s="65" t="s">
        <v>290</v>
      </c>
      <c r="C1374" s="65" t="n">
        <v>2</v>
      </c>
      <c r="D1374" s="66" t="str">
        <f aca="false">IFERROR(INDEX(المكونات!$B$2:$B$500,MATCH($B1374,المكونات!$A$2:$A$500,0)),"")</f>
        <v>قطعة</v>
      </c>
      <c r="E1374" s="67" t="n">
        <f aca="false">IFERROR(INDEX(المكونات!$C$2:$C$500,MATCH($B1374,المكونات!$A$2:$A$500,0)),"")</f>
        <v>0.3</v>
      </c>
      <c r="F1374" s="68" t="n">
        <f aca="false">IFERROR($C1374*$E1374,"")</f>
        <v>0.6</v>
      </c>
    </row>
    <row r="1375" customFormat="false" ht="15" hidden="false" customHeight="true" outlineLevel="0" collapsed="false">
      <c r="A1375" s="65" t="s">
        <v>519</v>
      </c>
      <c r="B1375" s="65" t="s">
        <v>319</v>
      </c>
      <c r="C1375" s="65" t="n">
        <v>1</v>
      </c>
      <c r="D1375" s="66" t="str">
        <f aca="false">IFERROR(INDEX(المكونات!$B$2:$B$500,MATCH($B1375,المكونات!$A$2:$A$500,0)),"")</f>
        <v>قطعة (ورقة)</v>
      </c>
      <c r="E1375" s="67" t="n">
        <f aca="false">IFERROR(INDEX(المكونات!$C$2:$C$500,MATCH($B1375,المكونات!$A$2:$A$500,0)),"")</f>
        <v>0.3665</v>
      </c>
      <c r="F1375" s="68" t="n">
        <f aca="false">IFERROR($C1375*$E1375,"")</f>
        <v>0.3665</v>
      </c>
    </row>
    <row r="1376" customFormat="false" ht="15" hidden="false" customHeight="true" outlineLevel="0" collapsed="false">
      <c r="A1376" s="65" t="s">
        <v>519</v>
      </c>
      <c r="B1376" s="65" t="s">
        <v>133</v>
      </c>
      <c r="C1376" s="65" t="n">
        <v>1</v>
      </c>
      <c r="D1376" s="66" t="str">
        <f aca="false">IFERROR(INDEX(المكونات!$B$2:$B$500,MATCH($B1376,المكونات!$A$2:$A$500,0)),"")</f>
        <v>قطعة (كيس)</v>
      </c>
      <c r="E1376" s="67" t="n">
        <f aca="false">IFERROR(INDEX(المكونات!$C$2:$C$500,MATCH($B1376,المكونات!$A$2:$A$500,0)),"")</f>
        <v>1.4</v>
      </c>
      <c r="F1376" s="68" t="n">
        <f aca="false">IFERROR($C1376*$E1376,"")</f>
        <v>1.4</v>
      </c>
    </row>
    <row r="1377" customFormat="false" ht="15" hidden="false" customHeight="true" outlineLevel="0" collapsed="false">
      <c r="A1377" s="65" t="s">
        <v>519</v>
      </c>
      <c r="B1377" s="65" t="s">
        <v>293</v>
      </c>
      <c r="C1377" s="65" t="n">
        <v>1</v>
      </c>
      <c r="D1377" s="66" t="str">
        <f aca="false">IFERROR(INDEX(المكونات!$B$2:$B$500,MATCH($B1377,المكونات!$A$2:$A$500,0)),"")</f>
        <v>قطعة</v>
      </c>
      <c r="E1377" s="67" t="n">
        <f aca="false">IFERROR(INDEX(المكونات!$C$2:$C$500,MATCH($B1377,المكونات!$A$2:$A$500,0)),"")</f>
        <v>0.5</v>
      </c>
      <c r="F1377" s="68" t="n">
        <f aca="false">IFERROR($C1377*$E1377,"")</f>
        <v>0.5</v>
      </c>
    </row>
    <row r="1378" customFormat="false" ht="15" hidden="false" customHeight="true" outlineLevel="0" collapsed="false">
      <c r="A1378" s="65" t="s">
        <v>519</v>
      </c>
      <c r="B1378" s="65" t="s">
        <v>211</v>
      </c>
      <c r="C1378" s="65" t="n">
        <v>2</v>
      </c>
      <c r="D1378" s="66" t="str">
        <f aca="false">IFERROR(INDEX(المكونات!$B$2:$B$500,MATCH($B1378,المكونات!$A$2:$A$500,0)),"")</f>
        <v>قطعة (جلفز)</v>
      </c>
      <c r="E1378" s="67" t="n">
        <f aca="false">IFERROR(INDEX(المكونات!$C$2:$C$500,MATCH($B1378,المكونات!$A$2:$A$500,0)),"")</f>
        <v>0.18</v>
      </c>
      <c r="F1378" s="68" t="n">
        <f aca="false">IFERROR($C1378*$E1378,"")</f>
        <v>0.36</v>
      </c>
    </row>
    <row r="1379" customFormat="false" ht="15" hidden="false" customHeight="true" outlineLevel="0" collapsed="false">
      <c r="A1379" s="65" t="s">
        <v>519</v>
      </c>
      <c r="B1379" s="65" t="s">
        <v>322</v>
      </c>
      <c r="C1379" s="65" t="n">
        <v>1</v>
      </c>
      <c r="D1379" s="66" t="str">
        <f aca="false">IFERROR(INDEX(المكونات!$B$2:$B$500,MATCH($B1379,المكونات!$A$2:$A$500,0)),"")</f>
        <v>قطعة (كيس)</v>
      </c>
      <c r="E1379" s="67" t="n">
        <f aca="false">IFERROR(INDEX(المكونات!$C$2:$C$500,MATCH($B1379,المكونات!$A$2:$A$500,0)),"")</f>
        <v>1</v>
      </c>
      <c r="F1379" s="68" t="n">
        <f aca="false">IFERROR($C1379*$E1379,"")</f>
        <v>1</v>
      </c>
    </row>
    <row r="1380" customFormat="false" ht="15" hidden="false" customHeight="true" outlineLevel="0" collapsed="false">
      <c r="A1380" s="65" t="s">
        <v>519</v>
      </c>
      <c r="B1380" s="65" t="s">
        <v>280</v>
      </c>
      <c r="C1380" s="65" t="n">
        <v>1</v>
      </c>
      <c r="D1380" s="66" t="str">
        <f aca="false">IFERROR(INDEX(المكونات!$B$2:$B$500,MATCH($B1380,المكونات!$A$2:$A$500,0)),"")</f>
        <v>قطعة</v>
      </c>
      <c r="E1380" s="67" t="n">
        <f aca="false">IFERROR(INDEX(المكونات!$C$2:$C$500,MATCH($B1380,المكونات!$A$2:$A$500,0)),"")</f>
        <v>42.03</v>
      </c>
      <c r="F1380" s="68" t="n">
        <f aca="false">IFERROR($C1380*$E1380,"")</f>
        <v>42.03</v>
      </c>
    </row>
    <row r="1381" customFormat="false" ht="15" hidden="false" customHeight="true" outlineLevel="0" collapsed="false">
      <c r="A1381" s="65" t="s">
        <v>502</v>
      </c>
      <c r="B1381" s="65" t="s">
        <v>264</v>
      </c>
      <c r="C1381" s="65" t="n">
        <v>1.5</v>
      </c>
      <c r="D1381" s="66" t="str">
        <f aca="false">IFERROR(INDEX(المكونات!$B$2:$B$500,MATCH($B1381,المكونات!$A$2:$A$500,0)),"")</f>
        <v>قطعة</v>
      </c>
      <c r="E1381" s="67" t="n">
        <f aca="false">IFERROR(INDEX(المكونات!$C$2:$C$500,MATCH($B1381,المكونات!$A$2:$A$500,0)),"")</f>
        <v>4</v>
      </c>
      <c r="F1381" s="68" t="n">
        <f aca="false">IFERROR($C1381*$E1381,"")</f>
        <v>6</v>
      </c>
    </row>
    <row r="1382" customFormat="false" ht="15" hidden="false" customHeight="true" outlineLevel="0" collapsed="false">
      <c r="A1382" s="65" t="s">
        <v>502</v>
      </c>
      <c r="B1382" s="65" t="s">
        <v>260</v>
      </c>
      <c r="C1382" s="65" t="n">
        <v>0.045</v>
      </c>
      <c r="D1382" s="66" t="str">
        <f aca="false">IFERROR(INDEX(المكونات!$B$2:$B$500,MATCH($B1382,المكونات!$A$2:$A$500,0)),"")</f>
        <v>كجم</v>
      </c>
      <c r="E1382" s="67" t="n">
        <f aca="false">IFERROR(INDEX(المكونات!$C$2:$C$500,MATCH($B1382,المكونات!$A$2:$A$500,0)),"")</f>
        <v>21</v>
      </c>
      <c r="F1382" s="68" t="n">
        <f aca="false">IFERROR($C1382*$E1382,"")</f>
        <v>0.945</v>
      </c>
    </row>
    <row r="1383" customFormat="false" ht="15" hidden="false" customHeight="true" outlineLevel="0" collapsed="false">
      <c r="A1383" s="65" t="s">
        <v>502</v>
      </c>
      <c r="B1383" s="65" t="s">
        <v>284</v>
      </c>
      <c r="C1383" s="65" t="n">
        <v>0.03</v>
      </c>
      <c r="D1383" s="66" t="str">
        <f aca="false">IFERROR(INDEX(المكونات!$B$2:$B$500,MATCH($B1383,المكونات!$A$2:$A$500,0)),"")</f>
        <v>كجم</v>
      </c>
      <c r="E1383" s="67" t="n">
        <f aca="false">IFERROR(INDEX(المكونات!$C$2:$C$500,MATCH($B1383,المكونات!$A$2:$A$500,0)),"")</f>
        <v>27</v>
      </c>
      <c r="F1383" s="68" t="n">
        <f aca="false">IFERROR($C1383*$E1383,"")</f>
        <v>0.81</v>
      </c>
    </row>
    <row r="1384" customFormat="false" ht="15" hidden="false" customHeight="true" outlineLevel="0" collapsed="false">
      <c r="A1384" s="65" t="s">
        <v>502</v>
      </c>
      <c r="B1384" s="65" t="s">
        <v>227</v>
      </c>
      <c r="C1384" s="65" t="n">
        <v>0.03</v>
      </c>
      <c r="D1384" s="66" t="str">
        <f aca="false">IFERROR(INDEX(المكونات!$B$2:$B$500,MATCH($B1384,المكونات!$A$2:$A$500,0)),"")</f>
        <v>كجم</v>
      </c>
      <c r="E1384" s="67" t="n">
        <f aca="false">IFERROR(INDEX(المكونات!$C$2:$C$500,MATCH($B1384,المكونات!$A$2:$A$500,0)),"")</f>
        <v>95</v>
      </c>
      <c r="F1384" s="68" t="n">
        <f aca="false">IFERROR($C1384*$E1384,"")</f>
        <v>2.85</v>
      </c>
    </row>
    <row r="1385" customFormat="false" ht="15" hidden="false" customHeight="true" outlineLevel="0" collapsed="false">
      <c r="A1385" s="65" t="s">
        <v>502</v>
      </c>
      <c r="B1385" s="65" t="s">
        <v>178</v>
      </c>
      <c r="C1385" s="65" t="n">
        <v>1</v>
      </c>
      <c r="D1385" s="66" t="str">
        <f aca="false">IFERROR(INDEX(المكونات!$B$2:$B$500,MATCH($B1385,المكونات!$A$2:$A$500,0)),"")</f>
        <v>قطعة</v>
      </c>
      <c r="E1385" s="67" t="n">
        <f aca="false">IFERROR(INDEX(المكونات!$C$2:$C$500,MATCH($B1385,المكونات!$A$2:$A$500,0)),"")</f>
        <v>25</v>
      </c>
      <c r="F1385" s="68" t="n">
        <f aca="false">IFERROR($C1385*$E1385,"")</f>
        <v>25</v>
      </c>
    </row>
    <row r="1386" customFormat="false" ht="15" hidden="false" customHeight="true" outlineLevel="0" collapsed="false">
      <c r="A1386" s="65" t="s">
        <v>502</v>
      </c>
      <c r="B1386" s="65" t="s">
        <v>268</v>
      </c>
      <c r="C1386" s="65" t="n">
        <v>1</v>
      </c>
      <c r="D1386" s="66" t="str">
        <f aca="false">IFERROR(INDEX(المكونات!$B$2:$B$500,MATCH($B1386,المكونات!$A$2:$A$500,0)),"")</f>
        <v>قطعة</v>
      </c>
      <c r="E1386" s="67" t="n">
        <f aca="false">IFERROR(INDEX(المكونات!$C$2:$C$500,MATCH($B1386,المكونات!$A$2:$A$500,0)),"")</f>
        <v>5.5</v>
      </c>
      <c r="F1386" s="68" t="n">
        <f aca="false">IFERROR($C1386*$E1386,"")</f>
        <v>5.5</v>
      </c>
    </row>
    <row r="1387" customFormat="false" ht="15" hidden="false" customHeight="true" outlineLevel="0" collapsed="false">
      <c r="A1387" s="65" t="s">
        <v>502</v>
      </c>
      <c r="B1387" s="65" t="s">
        <v>290</v>
      </c>
      <c r="C1387" s="65" t="n">
        <v>3</v>
      </c>
      <c r="D1387" s="66" t="str">
        <f aca="false">IFERROR(INDEX(المكونات!$B$2:$B$500,MATCH($B1387,المكونات!$A$2:$A$500,0)),"")</f>
        <v>قطعة</v>
      </c>
      <c r="E1387" s="67" t="n">
        <f aca="false">IFERROR(INDEX(المكونات!$C$2:$C$500,MATCH($B1387,المكونات!$A$2:$A$500,0)),"")</f>
        <v>0.3</v>
      </c>
      <c r="F1387" s="68" t="n">
        <f aca="false">IFERROR($C1387*$E1387,"")</f>
        <v>0.9</v>
      </c>
    </row>
    <row r="1388" customFormat="false" ht="15" hidden="false" customHeight="true" outlineLevel="0" collapsed="false">
      <c r="A1388" s="65" t="s">
        <v>502</v>
      </c>
      <c r="B1388" s="65" t="s">
        <v>319</v>
      </c>
      <c r="C1388" s="65" t="n">
        <v>1</v>
      </c>
      <c r="D1388" s="66" t="str">
        <f aca="false">IFERROR(INDEX(المكونات!$B$2:$B$500,MATCH($B1388,المكونات!$A$2:$A$500,0)),"")</f>
        <v>قطعة (ورقة)</v>
      </c>
      <c r="E1388" s="67" t="n">
        <f aca="false">IFERROR(INDEX(المكونات!$C$2:$C$500,MATCH($B1388,المكونات!$A$2:$A$500,0)),"")</f>
        <v>0.3665</v>
      </c>
      <c r="F1388" s="68" t="n">
        <f aca="false">IFERROR($C1388*$E1388,"")</f>
        <v>0.3665</v>
      </c>
    </row>
    <row r="1389" customFormat="false" ht="15" hidden="false" customHeight="true" outlineLevel="0" collapsed="false">
      <c r="A1389" s="65" t="s">
        <v>502</v>
      </c>
      <c r="B1389" s="65" t="s">
        <v>133</v>
      </c>
      <c r="C1389" s="65" t="n">
        <v>1</v>
      </c>
      <c r="D1389" s="66" t="str">
        <f aca="false">IFERROR(INDEX(المكونات!$B$2:$B$500,MATCH($B1389,المكونات!$A$2:$A$500,0)),"")</f>
        <v>قطعة (كيس)</v>
      </c>
      <c r="E1389" s="67" t="n">
        <f aca="false">IFERROR(INDEX(المكونات!$C$2:$C$500,MATCH($B1389,المكونات!$A$2:$A$500,0)),"")</f>
        <v>1.4</v>
      </c>
      <c r="F1389" s="68" t="n">
        <f aca="false">IFERROR($C1389*$E1389,"")</f>
        <v>1.4</v>
      </c>
    </row>
    <row r="1390" customFormat="false" ht="15" hidden="false" customHeight="true" outlineLevel="0" collapsed="false">
      <c r="A1390" s="65" t="s">
        <v>502</v>
      </c>
      <c r="B1390" s="65" t="s">
        <v>293</v>
      </c>
      <c r="C1390" s="65" t="n">
        <v>1</v>
      </c>
      <c r="D1390" s="66" t="str">
        <f aca="false">IFERROR(INDEX(المكونات!$B$2:$B$500,MATCH($B1390,المكونات!$A$2:$A$500,0)),"")</f>
        <v>قطعة</v>
      </c>
      <c r="E1390" s="67" t="n">
        <f aca="false">IFERROR(INDEX(المكونات!$C$2:$C$500,MATCH($B1390,المكونات!$A$2:$A$500,0)),"")</f>
        <v>0.5</v>
      </c>
      <c r="F1390" s="68" t="n">
        <f aca="false">IFERROR($C1390*$E1390,"")</f>
        <v>0.5</v>
      </c>
    </row>
    <row r="1391" customFormat="false" ht="15" hidden="false" customHeight="true" outlineLevel="0" collapsed="false">
      <c r="A1391" s="65" t="s">
        <v>502</v>
      </c>
      <c r="B1391" s="65" t="s">
        <v>211</v>
      </c>
      <c r="C1391" s="65" t="n">
        <v>2</v>
      </c>
      <c r="D1391" s="66" t="str">
        <f aca="false">IFERROR(INDEX(المكونات!$B$2:$B$500,MATCH($B1391,المكونات!$A$2:$A$500,0)),"")</f>
        <v>قطعة (جلفز)</v>
      </c>
      <c r="E1391" s="67" t="n">
        <f aca="false">IFERROR(INDEX(المكونات!$C$2:$C$500,MATCH($B1391,المكونات!$A$2:$A$500,0)),"")</f>
        <v>0.18</v>
      </c>
      <c r="F1391" s="68" t="n">
        <f aca="false">IFERROR($C1391*$E1391,"")</f>
        <v>0.36</v>
      </c>
    </row>
    <row r="1392" customFormat="false" ht="15" hidden="false" customHeight="true" outlineLevel="0" collapsed="false">
      <c r="A1392" s="65" t="s">
        <v>502</v>
      </c>
      <c r="B1392" s="65" t="s">
        <v>322</v>
      </c>
      <c r="C1392" s="65" t="n">
        <v>1</v>
      </c>
      <c r="D1392" s="66" t="str">
        <f aca="false">IFERROR(INDEX(المكونات!$B$2:$B$500,MATCH($B1392,المكونات!$A$2:$A$500,0)),"")</f>
        <v>قطعة (كيس)</v>
      </c>
      <c r="E1392" s="67" t="n">
        <f aca="false">IFERROR(INDEX(المكونات!$C$2:$C$500,MATCH($B1392,المكونات!$A$2:$A$500,0)),"")</f>
        <v>1</v>
      </c>
      <c r="F1392" s="68" t="n">
        <f aca="false">IFERROR($C1392*$E1392,"")</f>
        <v>1</v>
      </c>
    </row>
    <row r="1393" customFormat="false" ht="15" hidden="false" customHeight="true" outlineLevel="0" collapsed="false">
      <c r="A1393" s="65" t="s">
        <v>502</v>
      </c>
      <c r="B1393" s="65" t="s">
        <v>280</v>
      </c>
      <c r="C1393" s="65" t="n">
        <v>1.5</v>
      </c>
      <c r="D1393" s="66" t="str">
        <f aca="false">IFERROR(INDEX(المكونات!$B$2:$B$500,MATCH($B1393,المكونات!$A$2:$A$500,0)),"")</f>
        <v>قطعة</v>
      </c>
      <c r="E1393" s="67" t="n">
        <f aca="false">IFERROR(INDEX(المكونات!$C$2:$C$500,MATCH($B1393,المكونات!$A$2:$A$500,0)),"")</f>
        <v>42.03</v>
      </c>
      <c r="F1393" s="68" t="n">
        <f aca="false">IFERROR($C1393*$E1393,"")</f>
        <v>63.045</v>
      </c>
    </row>
    <row r="1394" customFormat="false" ht="15" hidden="false" customHeight="true" outlineLevel="0" collapsed="false">
      <c r="A1394" s="65" t="s">
        <v>417</v>
      </c>
      <c r="B1394" s="65" t="s">
        <v>264</v>
      </c>
      <c r="C1394" s="65" t="n">
        <v>1</v>
      </c>
      <c r="D1394" s="66" t="str">
        <f aca="false">IFERROR(INDEX(المكونات!$B$2:$B$500,MATCH($B1394,المكونات!$A$2:$A$500,0)),"")</f>
        <v>قطعة</v>
      </c>
      <c r="E1394" s="67" t="n">
        <f aca="false">IFERROR(INDEX(المكونات!$C$2:$C$500,MATCH($B1394,المكونات!$A$2:$A$500,0)),"")</f>
        <v>4</v>
      </c>
      <c r="F1394" s="68" t="n">
        <f aca="false">IFERROR($C1394*$E1394,"")</f>
        <v>4</v>
      </c>
    </row>
    <row r="1395" customFormat="false" ht="15" hidden="false" customHeight="true" outlineLevel="0" collapsed="false">
      <c r="A1395" s="65" t="s">
        <v>417</v>
      </c>
      <c r="B1395" s="65" t="s">
        <v>332</v>
      </c>
      <c r="C1395" s="65" t="n">
        <v>0.15</v>
      </c>
      <c r="D1395" s="66" t="str">
        <f aca="false">IFERROR(INDEX(المكونات!$B$2:$B$500,MATCH($B1395,المكونات!$A$2:$A$500,0)),"")</f>
        <v>كجم</v>
      </c>
      <c r="E1395" s="67" t="n">
        <f aca="false">IFERROR(INDEX(المكونات!$C$2:$C$500,MATCH($B1395,المكونات!$A$2:$A$500,0)),"")</f>
        <v>15.3</v>
      </c>
      <c r="F1395" s="68" t="n">
        <f aca="false">IFERROR($C1395*$E1395,"")</f>
        <v>2.295</v>
      </c>
    </row>
    <row r="1396" customFormat="false" ht="15" hidden="false" customHeight="true" outlineLevel="0" collapsed="false">
      <c r="A1396" s="65" t="s">
        <v>417</v>
      </c>
      <c r="B1396" s="65" t="s">
        <v>229</v>
      </c>
      <c r="C1396" s="65" t="n">
        <v>0.05</v>
      </c>
      <c r="D1396" s="66" t="str">
        <f aca="false">IFERROR(INDEX(المكونات!$B$2:$B$500,MATCH($B1396,المكونات!$A$2:$A$500,0)),"")</f>
        <v>كجم</v>
      </c>
      <c r="E1396" s="67" t="n">
        <f aca="false">IFERROR(INDEX(المكونات!$C$2:$C$500,MATCH($B1396,المكونات!$A$2:$A$500,0)),"")</f>
        <v>30.6593</v>
      </c>
      <c r="F1396" s="68" t="n">
        <f aca="false">IFERROR($C1396*$E1396,"")</f>
        <v>1.532965</v>
      </c>
    </row>
    <row r="1397" customFormat="false" ht="15" hidden="false" customHeight="true" outlineLevel="0" collapsed="false">
      <c r="A1397" s="65" t="s">
        <v>417</v>
      </c>
      <c r="B1397" s="65" t="s">
        <v>125</v>
      </c>
      <c r="C1397" s="65" t="n">
        <v>1</v>
      </c>
      <c r="D1397" s="66" t="str">
        <f aca="false">IFERROR(INDEX(المكونات!$B$2:$B$500,MATCH($B1397,المكونات!$A$2:$A$500,0)),"")</f>
        <v>قطعة</v>
      </c>
      <c r="E1397" s="67" t="n">
        <f aca="false">IFERROR(INDEX(المكونات!$C$2:$C$500,MATCH($B1397,المكونات!$A$2:$A$500,0)),"")</f>
        <v>0.8</v>
      </c>
      <c r="F1397" s="68" t="n">
        <f aca="false">IFERROR($C1397*$E1397,"")</f>
        <v>0.8</v>
      </c>
    </row>
    <row r="1398" customFormat="false" ht="26.25" hidden="false" customHeight="true" outlineLevel="0" collapsed="false">
      <c r="A1398" s="65" t="s">
        <v>417</v>
      </c>
      <c r="B1398" s="65" t="s">
        <v>192</v>
      </c>
      <c r="C1398" s="65" t="n">
        <v>1</v>
      </c>
      <c r="D1398" s="66" t="str">
        <f aca="false">IFERROR(INDEX(المكونات!$B$2:$B$500,MATCH($B1398,المكونات!$A$2:$A$500,0)),"")</f>
        <v>قطعة (لفة استخدام)</v>
      </c>
      <c r="E1398" s="67" t="n">
        <f aca="false">IFERROR(INDEX(المكونات!$C$2:$C$500,MATCH($B1398,المكونات!$A$2:$A$500,0)),"")</f>
        <v>3.65</v>
      </c>
      <c r="F1398" s="68" t="n">
        <f aca="false">IFERROR($C1398*$E1398,"")</f>
        <v>3.65</v>
      </c>
    </row>
    <row r="1399" customFormat="false" ht="15" hidden="false" customHeight="true" outlineLevel="0" collapsed="false">
      <c r="A1399" s="65" t="s">
        <v>417</v>
      </c>
      <c r="B1399" s="65" t="s">
        <v>239</v>
      </c>
      <c r="C1399" s="65" t="n">
        <v>1</v>
      </c>
      <c r="D1399" s="66" t="str">
        <f aca="false">IFERROR(INDEX(المكونات!$B$2:$B$500,MATCH($B1399,المكونات!$A$2:$A$500,0)),"")</f>
        <v>قطعة</v>
      </c>
      <c r="E1399" s="67" t="n">
        <f aca="false">IFERROR(INDEX(المكونات!$C$2:$C$500,MATCH($B1399,المكونات!$A$2:$A$500,0)),"")</f>
        <v>0.675</v>
      </c>
      <c r="F1399" s="68" t="n">
        <f aca="false">IFERROR($C1399*$E1399,"")</f>
        <v>0.675</v>
      </c>
    </row>
    <row r="1400" customFormat="false" ht="15" hidden="false" customHeight="true" outlineLevel="0" collapsed="false">
      <c r="A1400" s="65" t="s">
        <v>417</v>
      </c>
      <c r="B1400" s="65" t="s">
        <v>243</v>
      </c>
      <c r="C1400" s="65" t="n">
        <v>1</v>
      </c>
      <c r="D1400" s="66" t="str">
        <f aca="false">IFERROR(INDEX(المكونات!$B$2:$B$500,MATCH($B1400,المكونات!$A$2:$A$500,0)),"")</f>
        <v>قطعة</v>
      </c>
      <c r="E1400" s="67" t="n">
        <f aca="false">IFERROR(INDEX(المكونات!$C$2:$C$500,MATCH($B1400,المكونات!$A$2:$A$500,0)),"")</f>
        <v>0.3</v>
      </c>
      <c r="F1400" s="68" t="n">
        <f aca="false">IFERROR($C1400*$E1400,"")</f>
        <v>0.3</v>
      </c>
    </row>
    <row r="1401" customFormat="false" ht="15" hidden="false" customHeight="true" outlineLevel="0" collapsed="false">
      <c r="A1401" s="65" t="s">
        <v>417</v>
      </c>
      <c r="B1401" s="65" t="s">
        <v>211</v>
      </c>
      <c r="C1401" s="65" t="n">
        <v>2</v>
      </c>
      <c r="D1401" s="66" t="str">
        <f aca="false">IFERROR(INDEX(المكونات!$B$2:$B$500,MATCH($B1401,المكونات!$A$2:$A$500,0)),"")</f>
        <v>قطعة (جلفز)</v>
      </c>
      <c r="E1401" s="67" t="n">
        <f aca="false">IFERROR(INDEX(المكونات!$C$2:$C$500,MATCH($B1401,المكونات!$A$2:$A$500,0)),"")</f>
        <v>0.18</v>
      </c>
      <c r="F1401" s="68" t="n">
        <f aca="false">IFERROR($C1401*$E1401,"")</f>
        <v>0.36</v>
      </c>
    </row>
    <row r="1402" customFormat="false" ht="15" hidden="false" customHeight="true" outlineLevel="0" collapsed="false">
      <c r="A1402" s="65" t="s">
        <v>417</v>
      </c>
      <c r="B1402" s="65" t="s">
        <v>136</v>
      </c>
      <c r="C1402" s="65" t="n">
        <v>1</v>
      </c>
      <c r="D1402" s="66" t="str">
        <f aca="false">IFERROR(INDEX(المكونات!$B$2:$B$500,MATCH($B1402,المكونات!$A$2:$A$500,0)),"")</f>
        <v>قطعة (كيس)</v>
      </c>
      <c r="E1402" s="67" t="n">
        <f aca="false">IFERROR(INDEX(المكونات!$C$2:$C$500,MATCH($B1402,المكونات!$A$2:$A$500,0)),"")</f>
        <v>1.4</v>
      </c>
      <c r="F1402" s="68" t="n">
        <f aca="false">IFERROR($C1402*$E1402,"")</f>
        <v>1.4</v>
      </c>
    </row>
    <row r="1403" customFormat="false" ht="15" hidden="false" customHeight="true" outlineLevel="0" collapsed="false">
      <c r="A1403" s="65" t="s">
        <v>433</v>
      </c>
      <c r="B1403" s="65" t="s">
        <v>264</v>
      </c>
      <c r="C1403" s="65" t="n">
        <v>1</v>
      </c>
      <c r="D1403" s="66" t="str">
        <f aca="false">IFERROR(INDEX(المكونات!$B$2:$B$500,MATCH($B1403,المكونات!$A$2:$A$500,0)),"")</f>
        <v>قطعة</v>
      </c>
      <c r="E1403" s="67" t="n">
        <f aca="false">IFERROR(INDEX(المكونات!$C$2:$C$500,MATCH($B1403,المكونات!$A$2:$A$500,0)),"")</f>
        <v>4</v>
      </c>
      <c r="F1403" s="68" t="n">
        <f aca="false">IFERROR($C1403*$E1403,"")</f>
        <v>4</v>
      </c>
    </row>
    <row r="1404" customFormat="false" ht="15" hidden="false" customHeight="true" outlineLevel="0" collapsed="false">
      <c r="A1404" s="65" t="s">
        <v>433</v>
      </c>
      <c r="B1404" s="65" t="s">
        <v>332</v>
      </c>
      <c r="C1404" s="65" t="n">
        <v>0.15</v>
      </c>
      <c r="D1404" s="66" t="str">
        <f aca="false">IFERROR(INDEX(المكونات!$B$2:$B$500,MATCH($B1404,المكونات!$A$2:$A$500,0)),"")</f>
        <v>كجم</v>
      </c>
      <c r="E1404" s="67" t="n">
        <f aca="false">IFERROR(INDEX(المكونات!$C$2:$C$500,MATCH($B1404,المكونات!$A$2:$A$500,0)),"")</f>
        <v>15.3</v>
      </c>
      <c r="F1404" s="68" t="n">
        <f aca="false">IFERROR($C1404*$E1404,"")</f>
        <v>2.295</v>
      </c>
    </row>
    <row r="1405" customFormat="false" ht="15" hidden="false" customHeight="true" outlineLevel="0" collapsed="false">
      <c r="A1405" s="65" t="s">
        <v>433</v>
      </c>
      <c r="B1405" s="65" t="s">
        <v>221</v>
      </c>
      <c r="C1405" s="65" t="n">
        <v>0.06</v>
      </c>
      <c r="D1405" s="66" t="str">
        <f aca="false">IFERROR(INDEX(المكونات!$B$2:$B$500,MATCH($B1405,المكونات!$A$2:$A$500,0)),"")</f>
        <v>كجم</v>
      </c>
      <c r="E1405" s="67" t="n">
        <f aca="false">IFERROR(INDEX(المكونات!$C$2:$C$500,MATCH($B1405,المكونات!$A$2:$A$500,0)),"")</f>
        <v>220</v>
      </c>
      <c r="F1405" s="68" t="n">
        <f aca="false">IFERROR($C1405*$E1405,"")</f>
        <v>13.2</v>
      </c>
    </row>
    <row r="1406" customFormat="false" ht="15" hidden="false" customHeight="true" outlineLevel="0" collapsed="false">
      <c r="A1406" s="65" t="s">
        <v>433</v>
      </c>
      <c r="B1406" s="65" t="s">
        <v>214</v>
      </c>
      <c r="C1406" s="65" t="n">
        <v>0.03</v>
      </c>
      <c r="D1406" s="66" t="str">
        <f aca="false">IFERROR(INDEX(المكونات!$B$2:$B$500,MATCH($B1406,المكونات!$A$2:$A$500,0)),"")</f>
        <v>كجم</v>
      </c>
      <c r="E1406" s="67" t="n">
        <f aca="false">IFERROR(INDEX(المكونات!$C$2:$C$500,MATCH($B1406,المكونات!$A$2:$A$500,0)),"")</f>
        <v>200</v>
      </c>
      <c r="F1406" s="68" t="n">
        <f aca="false">IFERROR($C1406*$E1406,"")</f>
        <v>6</v>
      </c>
    </row>
    <row r="1407" customFormat="false" ht="15" hidden="false" customHeight="true" outlineLevel="0" collapsed="false">
      <c r="A1407" s="65" t="s">
        <v>433</v>
      </c>
      <c r="B1407" s="65" t="s">
        <v>229</v>
      </c>
      <c r="C1407" s="65" t="n">
        <v>0.05</v>
      </c>
      <c r="D1407" s="66" t="str">
        <f aca="false">IFERROR(INDEX(المكونات!$B$2:$B$500,MATCH($B1407,المكونات!$A$2:$A$500,0)),"")</f>
        <v>كجم</v>
      </c>
      <c r="E1407" s="67" t="n">
        <f aca="false">IFERROR(INDEX(المكونات!$C$2:$C$500,MATCH($B1407,المكونات!$A$2:$A$500,0)),"")</f>
        <v>30.6593</v>
      </c>
      <c r="F1407" s="68" t="n">
        <f aca="false">IFERROR($C1407*$E1407,"")</f>
        <v>1.532965</v>
      </c>
    </row>
    <row r="1408" customFormat="false" ht="26.25" hidden="false" customHeight="true" outlineLevel="0" collapsed="false">
      <c r="A1408" s="65" t="s">
        <v>433</v>
      </c>
      <c r="B1408" s="65" t="s">
        <v>192</v>
      </c>
      <c r="C1408" s="65" t="n">
        <v>1</v>
      </c>
      <c r="D1408" s="66" t="str">
        <f aca="false">IFERROR(INDEX(المكونات!$B$2:$B$500,MATCH($B1408,المكونات!$A$2:$A$500,0)),"")</f>
        <v>قطعة (لفة استخدام)</v>
      </c>
      <c r="E1408" s="67" t="n">
        <f aca="false">IFERROR(INDEX(المكونات!$C$2:$C$500,MATCH($B1408,المكونات!$A$2:$A$500,0)),"")</f>
        <v>3.65</v>
      </c>
      <c r="F1408" s="68" t="n">
        <f aca="false">IFERROR($C1408*$E1408,"")</f>
        <v>3.65</v>
      </c>
    </row>
    <row r="1409" customFormat="false" ht="15" hidden="false" customHeight="true" outlineLevel="0" collapsed="false">
      <c r="A1409" s="65" t="s">
        <v>433</v>
      </c>
      <c r="B1409" s="65" t="s">
        <v>278</v>
      </c>
      <c r="C1409" s="65" t="n">
        <v>1</v>
      </c>
      <c r="D1409" s="66" t="str">
        <f aca="false">IFERROR(INDEX(المكونات!$B$2:$B$500,MATCH($B1409,المكونات!$A$2:$A$500,0)),"")</f>
        <v>قطعة</v>
      </c>
      <c r="E1409" s="67" t="n">
        <f aca="false">IFERROR(INDEX(المكونات!$C$2:$C$500,MATCH($B1409,المكونات!$A$2:$A$500,0)),"")</f>
        <v>3.1</v>
      </c>
      <c r="F1409" s="68" t="n">
        <f aca="false">IFERROR($C1409*$E1409,"")</f>
        <v>3.1</v>
      </c>
    </row>
    <row r="1410" customFormat="false" ht="15" hidden="false" customHeight="true" outlineLevel="0" collapsed="false">
      <c r="A1410" s="65" t="s">
        <v>433</v>
      </c>
      <c r="B1410" s="65" t="s">
        <v>243</v>
      </c>
      <c r="C1410" s="65" t="n">
        <v>1</v>
      </c>
      <c r="D1410" s="66" t="str">
        <f aca="false">IFERROR(INDEX(المكونات!$B$2:$B$500,MATCH($B1410,المكونات!$A$2:$A$500,0)),"")</f>
        <v>قطعة</v>
      </c>
      <c r="E1410" s="67" t="n">
        <f aca="false">IFERROR(INDEX(المكونات!$C$2:$C$500,MATCH($B1410,المكونات!$A$2:$A$500,0)),"")</f>
        <v>0.3</v>
      </c>
      <c r="F1410" s="68" t="n">
        <f aca="false">IFERROR($C1410*$E1410,"")</f>
        <v>0.3</v>
      </c>
    </row>
    <row r="1411" customFormat="false" ht="15" hidden="false" customHeight="true" outlineLevel="0" collapsed="false">
      <c r="A1411" s="65" t="s">
        <v>433</v>
      </c>
      <c r="B1411" s="65" t="s">
        <v>136</v>
      </c>
      <c r="C1411" s="65" t="n">
        <v>1</v>
      </c>
      <c r="D1411" s="66" t="str">
        <f aca="false">IFERROR(INDEX(المكونات!$B$2:$B$500,MATCH($B1411,المكونات!$A$2:$A$500,0)),"")</f>
        <v>قطعة (كيس)</v>
      </c>
      <c r="E1411" s="67" t="n">
        <f aca="false">IFERROR(INDEX(المكونات!$C$2:$C$500,MATCH($B1411,المكونات!$A$2:$A$500,0)),"")</f>
        <v>1.4</v>
      </c>
      <c r="F1411" s="68" t="n">
        <f aca="false">IFERROR($C1411*$E1411,"")</f>
        <v>1.4</v>
      </c>
    </row>
    <row r="1412" customFormat="false" ht="15" hidden="false" customHeight="true" outlineLevel="0" collapsed="false">
      <c r="A1412" s="65" t="s">
        <v>393</v>
      </c>
      <c r="B1412" s="65" t="s">
        <v>264</v>
      </c>
      <c r="C1412" s="65" t="n">
        <v>1</v>
      </c>
      <c r="D1412" s="66" t="str">
        <f aca="false">IFERROR(INDEX(المكونات!$B$2:$B$500,MATCH($B1412,المكونات!$A$2:$A$500,0)),"")</f>
        <v>قطعة</v>
      </c>
      <c r="E1412" s="67" t="n">
        <f aca="false">IFERROR(INDEX(المكونات!$C$2:$C$500,MATCH($B1412,المكونات!$A$2:$A$500,0)),"")</f>
        <v>4</v>
      </c>
      <c r="F1412" s="68" t="n">
        <f aca="false">IFERROR($C1412*$E1412,"")</f>
        <v>4</v>
      </c>
    </row>
    <row r="1413" customFormat="false" ht="15" hidden="false" customHeight="true" outlineLevel="0" collapsed="false">
      <c r="A1413" s="65" t="s">
        <v>393</v>
      </c>
      <c r="B1413" s="65" t="s">
        <v>332</v>
      </c>
      <c r="C1413" s="65" t="n">
        <v>0.15</v>
      </c>
      <c r="D1413" s="66" t="str">
        <f aca="false">IFERROR(INDEX(المكونات!$B$2:$B$500,MATCH($B1413,المكونات!$A$2:$A$500,0)),"")</f>
        <v>كجم</v>
      </c>
      <c r="E1413" s="67" t="n">
        <f aca="false">IFERROR(INDEX(المكونات!$C$2:$C$500,MATCH($B1413,المكونات!$A$2:$A$500,0)),"")</f>
        <v>15.3</v>
      </c>
      <c r="F1413" s="68" t="n">
        <f aca="false">IFERROR($C1413*$E1413,"")</f>
        <v>2.295</v>
      </c>
    </row>
    <row r="1414" customFormat="false" ht="15" hidden="false" customHeight="true" outlineLevel="0" collapsed="false">
      <c r="A1414" s="65" t="s">
        <v>393</v>
      </c>
      <c r="B1414" s="65" t="s">
        <v>245</v>
      </c>
      <c r="C1414" s="65" t="n">
        <v>0.16</v>
      </c>
      <c r="D1414" s="66" t="str">
        <f aca="false">IFERROR(INDEX(المكونات!$B$2:$B$500,MATCH($B1414,المكونات!$A$2:$A$500,0)),"")</f>
        <v>كجم</v>
      </c>
      <c r="E1414" s="67" t="n">
        <f aca="false">IFERROR(INDEX(المكونات!$C$2:$C$500,MATCH($B1414,المكونات!$A$2:$A$500,0)),"")</f>
        <v>127.6582</v>
      </c>
      <c r="F1414" s="68" t="n">
        <f aca="false">IFERROR($C1414*$E1414,"")</f>
        <v>20.425312</v>
      </c>
    </row>
    <row r="1415" customFormat="false" ht="15" hidden="false" customHeight="true" outlineLevel="0" collapsed="false">
      <c r="A1415" s="65" t="s">
        <v>393</v>
      </c>
      <c r="B1415" s="65" t="s">
        <v>247</v>
      </c>
      <c r="C1415" s="65" t="n">
        <v>0.03</v>
      </c>
      <c r="D1415" s="66" t="str">
        <f aca="false">IFERROR(INDEX(المكونات!$B$2:$B$500,MATCH($B1415,المكونات!$A$2:$A$500,0)),"")</f>
        <v>كجم</v>
      </c>
      <c r="E1415" s="67" t="n">
        <f aca="false">IFERROR(INDEX(المكونات!$C$2:$C$500,MATCH($B1415,المكونات!$A$2:$A$500,0)),"")</f>
        <v>100</v>
      </c>
      <c r="F1415" s="68" t="n">
        <f aca="false">IFERROR($C1415*$E1415,"")</f>
        <v>3</v>
      </c>
    </row>
    <row r="1416" customFormat="false" ht="15" hidden="false" customHeight="true" outlineLevel="0" collapsed="false">
      <c r="A1416" s="65" t="s">
        <v>393</v>
      </c>
      <c r="B1416" s="65" t="s">
        <v>295</v>
      </c>
      <c r="C1416" s="65" t="n">
        <v>0.01</v>
      </c>
      <c r="D1416" s="66" t="str">
        <f aca="false">IFERROR(INDEX(المكونات!$B$2:$B$500,MATCH($B1416,المكونات!$A$2:$A$500,0)),"")</f>
        <v>كجم</v>
      </c>
      <c r="E1416" s="67" t="n">
        <f aca="false">IFERROR(INDEX(المكونات!$C$2:$C$500,MATCH($B1416,المكونات!$A$2:$A$500,0)),"")</f>
        <v>420</v>
      </c>
      <c r="F1416" s="68" t="n">
        <f aca="false">IFERROR($C1416*$E1416,"")</f>
        <v>4.2</v>
      </c>
    </row>
    <row r="1417" customFormat="false" ht="26.25" hidden="false" customHeight="true" outlineLevel="0" collapsed="false">
      <c r="A1417" s="65" t="s">
        <v>393</v>
      </c>
      <c r="B1417" s="65" t="s">
        <v>192</v>
      </c>
      <c r="C1417" s="65" t="n">
        <v>1</v>
      </c>
      <c r="D1417" s="66" t="str">
        <f aca="false">IFERROR(INDEX(المكونات!$B$2:$B$500,MATCH($B1417,المكونات!$A$2:$A$500,0)),"")</f>
        <v>قطعة (لفة استخدام)</v>
      </c>
      <c r="E1417" s="67" t="n">
        <f aca="false">IFERROR(INDEX(المكونات!$C$2:$C$500,MATCH($B1417,المكونات!$A$2:$A$500,0)),"")</f>
        <v>3.65</v>
      </c>
      <c r="F1417" s="68" t="n">
        <f aca="false">IFERROR($C1417*$E1417,"")</f>
        <v>3.65</v>
      </c>
    </row>
    <row r="1418" customFormat="false" ht="15" hidden="false" customHeight="true" outlineLevel="0" collapsed="false">
      <c r="A1418" s="65" t="s">
        <v>393</v>
      </c>
      <c r="B1418" s="65" t="s">
        <v>278</v>
      </c>
      <c r="C1418" s="65" t="n">
        <v>1</v>
      </c>
      <c r="D1418" s="66" t="str">
        <f aca="false">IFERROR(INDEX(المكونات!$B$2:$B$500,MATCH($B1418,المكونات!$A$2:$A$500,0)),"")</f>
        <v>قطعة</v>
      </c>
      <c r="E1418" s="67" t="n">
        <f aca="false">IFERROR(INDEX(المكونات!$C$2:$C$500,MATCH($B1418,المكونات!$A$2:$A$500,0)),"")</f>
        <v>3.1</v>
      </c>
      <c r="F1418" s="68" t="n">
        <f aca="false">IFERROR($C1418*$E1418,"")</f>
        <v>3.1</v>
      </c>
    </row>
    <row r="1419" customFormat="false" ht="15" hidden="false" customHeight="true" outlineLevel="0" collapsed="false">
      <c r="A1419" s="65" t="s">
        <v>393</v>
      </c>
      <c r="B1419" s="65" t="s">
        <v>243</v>
      </c>
      <c r="C1419" s="65" t="n">
        <v>1</v>
      </c>
      <c r="D1419" s="66" t="str">
        <f aca="false">IFERROR(INDEX(المكونات!$B$2:$B$500,MATCH($B1419,المكونات!$A$2:$A$500,0)),"")</f>
        <v>قطعة</v>
      </c>
      <c r="E1419" s="67" t="n">
        <f aca="false">IFERROR(INDEX(المكونات!$C$2:$C$500,MATCH($B1419,المكونات!$A$2:$A$500,0)),"")</f>
        <v>0.3</v>
      </c>
      <c r="F1419" s="68" t="n">
        <f aca="false">IFERROR($C1419*$E1419,"")</f>
        <v>0.3</v>
      </c>
    </row>
    <row r="1420" customFormat="false" ht="15" hidden="false" customHeight="true" outlineLevel="0" collapsed="false">
      <c r="A1420" s="65" t="s">
        <v>393</v>
      </c>
      <c r="B1420" s="65" t="s">
        <v>136</v>
      </c>
      <c r="C1420" s="65" t="n">
        <v>1</v>
      </c>
      <c r="D1420" s="66" t="str">
        <f aca="false">IFERROR(INDEX(المكونات!$B$2:$B$500,MATCH($B1420,المكونات!$A$2:$A$500,0)),"")</f>
        <v>قطعة (كيس)</v>
      </c>
      <c r="E1420" s="67" t="n">
        <f aca="false">IFERROR(INDEX(المكونات!$C$2:$C$500,MATCH($B1420,المكونات!$A$2:$A$500,0)),"")</f>
        <v>1.4</v>
      </c>
      <c r="F1420" s="68" t="n">
        <f aca="false">IFERROR($C1420*$E1420,"")</f>
        <v>1.4</v>
      </c>
    </row>
    <row r="1421" customFormat="false" ht="15" hidden="false" customHeight="true" outlineLevel="0" collapsed="false">
      <c r="A1421" s="65" t="s">
        <v>486</v>
      </c>
      <c r="B1421" s="65" t="s">
        <v>264</v>
      </c>
      <c r="C1421" s="65" t="n">
        <v>1</v>
      </c>
      <c r="D1421" s="66" t="str">
        <f aca="false">IFERROR(INDEX(المكونات!$B$2:$B$500,MATCH($B1421,المكونات!$A$2:$A$500,0)),"")</f>
        <v>قطعة</v>
      </c>
      <c r="E1421" s="67" t="n">
        <f aca="false">IFERROR(INDEX(المكونات!$C$2:$C$500,MATCH($B1421,المكونات!$A$2:$A$500,0)),"")</f>
        <v>4</v>
      </c>
      <c r="F1421" s="68" t="n">
        <f aca="false">IFERROR($C1421*$E1421,"")</f>
        <v>4</v>
      </c>
    </row>
    <row r="1422" customFormat="false" ht="15" hidden="false" customHeight="true" outlineLevel="0" collapsed="false">
      <c r="A1422" s="65" t="s">
        <v>486</v>
      </c>
      <c r="B1422" s="65" t="s">
        <v>332</v>
      </c>
      <c r="C1422" s="65" t="n">
        <v>0.15</v>
      </c>
      <c r="D1422" s="66" t="str">
        <f aca="false">IFERROR(INDEX(المكونات!$B$2:$B$500,MATCH($B1422,المكونات!$A$2:$A$500,0)),"")</f>
        <v>كجم</v>
      </c>
      <c r="E1422" s="67" t="n">
        <f aca="false">IFERROR(INDEX(المكونات!$C$2:$C$500,MATCH($B1422,المكونات!$A$2:$A$500,0)),"")</f>
        <v>15.3</v>
      </c>
      <c r="F1422" s="68" t="n">
        <f aca="false">IFERROR($C1422*$E1422,"")</f>
        <v>2.295</v>
      </c>
    </row>
    <row r="1423" customFormat="false" ht="15" hidden="false" customHeight="true" outlineLevel="0" collapsed="false">
      <c r="A1423" s="65" t="s">
        <v>486</v>
      </c>
      <c r="B1423" s="65" t="s">
        <v>302</v>
      </c>
      <c r="C1423" s="65" t="n">
        <v>0.16</v>
      </c>
      <c r="D1423" s="66" t="str">
        <f aca="false">IFERROR(INDEX(المكونات!$B$2:$B$500,MATCH($B1423,المكونات!$A$2:$A$500,0)),"")</f>
        <v>كجم</v>
      </c>
      <c r="E1423" s="67" t="n">
        <f aca="false">IFERROR(INDEX(المكونات!$C$2:$C$500,MATCH($B1423,المكونات!$A$2:$A$500,0)),"")</f>
        <v>135</v>
      </c>
      <c r="F1423" s="68" t="n">
        <f aca="false">IFERROR($C1423*$E1423,"")</f>
        <v>21.6</v>
      </c>
    </row>
    <row r="1424" customFormat="false" ht="15" hidden="false" customHeight="true" outlineLevel="0" collapsed="false">
      <c r="A1424" s="65" t="s">
        <v>486</v>
      </c>
      <c r="B1424" s="65" t="s">
        <v>185</v>
      </c>
      <c r="C1424" s="65" t="n">
        <v>0.04</v>
      </c>
      <c r="D1424" s="66" t="str">
        <f aca="false">IFERROR(INDEX(المكونات!$B$2:$B$500,MATCH($B1424,المكونات!$A$2:$A$500,0)),"")</f>
        <v>كجم</v>
      </c>
      <c r="E1424" s="67" t="n">
        <f aca="false">IFERROR(INDEX(المكونات!$C$2:$C$500,MATCH($B1424,المكونات!$A$2:$A$500,0)),"")</f>
        <v>100</v>
      </c>
      <c r="F1424" s="68" t="n">
        <f aca="false">IFERROR($C1424*$E1424,"")</f>
        <v>4</v>
      </c>
    </row>
    <row r="1425" customFormat="false" ht="15" hidden="false" customHeight="true" outlineLevel="0" collapsed="false">
      <c r="A1425" s="65" t="s">
        <v>486</v>
      </c>
      <c r="B1425" s="65" t="s">
        <v>183</v>
      </c>
      <c r="C1425" s="65" t="n">
        <v>0.02</v>
      </c>
      <c r="D1425" s="66" t="str">
        <f aca="false">IFERROR(INDEX(المكونات!$B$2:$B$500,MATCH($B1425,المكونات!$A$2:$A$500,0)),"")</f>
        <v>كجم</v>
      </c>
      <c r="E1425" s="67" t="n">
        <f aca="false">IFERROR(INDEX(المكونات!$C$2:$C$500,MATCH($B1425,المكونات!$A$2:$A$500,0)),"")</f>
        <v>104.58</v>
      </c>
      <c r="F1425" s="68" t="n">
        <f aca="false">IFERROR($C1425*$E1425,"")</f>
        <v>2.0916</v>
      </c>
    </row>
    <row r="1426" customFormat="false" ht="26.25" hidden="false" customHeight="true" outlineLevel="0" collapsed="false">
      <c r="A1426" s="65" t="s">
        <v>486</v>
      </c>
      <c r="B1426" s="65" t="s">
        <v>192</v>
      </c>
      <c r="C1426" s="65" t="n">
        <v>1</v>
      </c>
      <c r="D1426" s="66" t="str">
        <f aca="false">IFERROR(INDEX(المكونات!$B$2:$B$500,MATCH($B1426,المكونات!$A$2:$A$500,0)),"")</f>
        <v>قطعة (لفة استخدام)</v>
      </c>
      <c r="E1426" s="67" t="n">
        <f aca="false">IFERROR(INDEX(المكونات!$C$2:$C$500,MATCH($B1426,المكونات!$A$2:$A$500,0)),"")</f>
        <v>3.65</v>
      </c>
      <c r="F1426" s="68" t="n">
        <f aca="false">IFERROR($C1426*$E1426,"")</f>
        <v>3.65</v>
      </c>
    </row>
    <row r="1427" customFormat="false" ht="15" hidden="false" customHeight="true" outlineLevel="0" collapsed="false">
      <c r="A1427" s="65" t="s">
        <v>486</v>
      </c>
      <c r="B1427" s="65" t="s">
        <v>278</v>
      </c>
      <c r="C1427" s="65" t="n">
        <v>1</v>
      </c>
      <c r="D1427" s="66" t="str">
        <f aca="false">IFERROR(INDEX(المكونات!$B$2:$B$500,MATCH($B1427,المكونات!$A$2:$A$500,0)),"")</f>
        <v>قطعة</v>
      </c>
      <c r="E1427" s="67" t="n">
        <f aca="false">IFERROR(INDEX(المكونات!$C$2:$C$500,MATCH($B1427,المكونات!$A$2:$A$500,0)),"")</f>
        <v>3.1</v>
      </c>
      <c r="F1427" s="68" t="n">
        <f aca="false">IFERROR($C1427*$E1427,"")</f>
        <v>3.1</v>
      </c>
    </row>
    <row r="1428" customFormat="false" ht="15" hidden="false" customHeight="true" outlineLevel="0" collapsed="false">
      <c r="A1428" s="65" t="s">
        <v>486</v>
      </c>
      <c r="B1428" s="65" t="s">
        <v>243</v>
      </c>
      <c r="C1428" s="65" t="n">
        <v>1</v>
      </c>
      <c r="D1428" s="66" t="str">
        <f aca="false">IFERROR(INDEX(المكونات!$B$2:$B$500,MATCH($B1428,المكونات!$A$2:$A$500,0)),"")</f>
        <v>قطعة</v>
      </c>
      <c r="E1428" s="67" t="n">
        <f aca="false">IFERROR(INDEX(المكونات!$C$2:$C$500,MATCH($B1428,المكونات!$A$2:$A$500,0)),"")</f>
        <v>0.3</v>
      </c>
      <c r="F1428" s="68" t="n">
        <f aca="false">IFERROR($C1428*$E1428,"")</f>
        <v>0.3</v>
      </c>
    </row>
    <row r="1429" customFormat="false" ht="15" hidden="false" customHeight="true" outlineLevel="0" collapsed="false">
      <c r="A1429" s="65" t="s">
        <v>486</v>
      </c>
      <c r="B1429" s="65" t="s">
        <v>136</v>
      </c>
      <c r="C1429" s="65" t="n">
        <v>1</v>
      </c>
      <c r="D1429" s="66" t="str">
        <f aca="false">IFERROR(INDEX(المكونات!$B$2:$B$500,MATCH($B1429,المكونات!$A$2:$A$500,0)),"")</f>
        <v>قطعة (كيس)</v>
      </c>
      <c r="E1429" s="67" t="n">
        <f aca="false">IFERROR(INDEX(المكونات!$C$2:$C$500,MATCH($B1429,المكونات!$A$2:$A$500,0)),"")</f>
        <v>1.4</v>
      </c>
      <c r="F1429" s="68" t="n">
        <f aca="false">IFERROR($C1429*$E1429,"")</f>
        <v>1.4</v>
      </c>
    </row>
    <row r="1430" customFormat="false" ht="15" hidden="false" customHeight="true" outlineLevel="0" collapsed="false">
      <c r="A1430" s="65" t="s">
        <v>440</v>
      </c>
      <c r="B1430" s="65" t="s">
        <v>262</v>
      </c>
      <c r="C1430" s="65" t="n">
        <v>0.22</v>
      </c>
      <c r="D1430" s="66" t="str">
        <f aca="false">IFERROR(INDEX(المكونات!$B$2:$B$500,MATCH($B1430,المكونات!$A$2:$A$500,0)),"")</f>
        <v>كجم</v>
      </c>
      <c r="E1430" s="67" t="n">
        <f aca="false">IFERROR(INDEX(المكونات!$C$2:$C$500,MATCH($B1430,المكونات!$A$2:$A$500,0)),"")</f>
        <v>22</v>
      </c>
      <c r="F1430" s="68" t="n">
        <f aca="false">IFERROR($C1430*$E1430,"")</f>
        <v>4.84</v>
      </c>
    </row>
    <row r="1431" customFormat="false" ht="15" hidden="false" customHeight="true" outlineLevel="0" collapsed="false">
      <c r="A1431" s="65" t="s">
        <v>440</v>
      </c>
      <c r="B1431" s="65" t="s">
        <v>340</v>
      </c>
      <c r="C1431" s="65" t="n">
        <v>3</v>
      </c>
      <c r="D1431" s="66" t="str">
        <f aca="false">IFERROR(INDEX(المكونات!$B$2:$B$500,MATCH($B1431,المكونات!$A$2:$A$500,0)),"")</f>
        <v>قطعة</v>
      </c>
      <c r="E1431" s="67" t="n">
        <f aca="false">IFERROR(INDEX(المكونات!$C$2:$C$500,MATCH($B1431,المكونات!$A$2:$A$500,0)),"")</f>
        <v>6</v>
      </c>
      <c r="F1431" s="68" t="n">
        <f aca="false">IFERROR($C1431*$E1431,"")</f>
        <v>18</v>
      </c>
    </row>
    <row r="1432" customFormat="false" ht="15" hidden="false" customHeight="true" outlineLevel="0" collapsed="false">
      <c r="A1432" s="65" t="s">
        <v>440</v>
      </c>
      <c r="B1432" s="65" t="s">
        <v>176</v>
      </c>
      <c r="C1432" s="65" t="n">
        <v>0.5</v>
      </c>
      <c r="D1432" s="66" t="str">
        <f aca="false">IFERROR(INDEX(المكونات!$B$2:$B$500,MATCH($B1432,المكونات!$A$2:$A$500,0)),"")</f>
        <v>قطعة</v>
      </c>
      <c r="E1432" s="67" t="n">
        <f aca="false">IFERROR(INDEX(المكونات!$C$2:$C$500,MATCH($B1432,المكونات!$A$2:$A$500,0)),"")</f>
        <v>17.5</v>
      </c>
      <c r="F1432" s="68" t="n">
        <f aca="false">IFERROR($C1432*$E1432,"")</f>
        <v>8.75</v>
      </c>
    </row>
    <row r="1433" customFormat="false" ht="15" hidden="false" customHeight="true" outlineLevel="0" collapsed="false">
      <c r="A1433" s="65" t="s">
        <v>440</v>
      </c>
      <c r="B1433" s="65" t="s">
        <v>342</v>
      </c>
      <c r="C1433" s="65" t="n">
        <v>1</v>
      </c>
      <c r="D1433" s="66" t="str">
        <f aca="false">IFERROR(INDEX(المكونات!$B$2:$B$500,MATCH($B1433,المكونات!$A$2:$A$500,0)),"")</f>
        <v>قطعة</v>
      </c>
      <c r="E1433" s="67" t="n">
        <f aca="false">IFERROR(INDEX(المكونات!$C$2:$C$500,MATCH($B1433,المكونات!$A$2:$A$500,0)),"")</f>
        <v>0.3</v>
      </c>
      <c r="F1433" s="68" t="n">
        <f aca="false">IFERROR($C1433*$E1433,"")</f>
        <v>0.3</v>
      </c>
    </row>
    <row r="1434" customFormat="false" ht="15" hidden="false" customHeight="true" outlineLevel="0" collapsed="false">
      <c r="A1434" s="65" t="s">
        <v>440</v>
      </c>
      <c r="B1434" s="65" t="s">
        <v>260</v>
      </c>
      <c r="C1434" s="65" t="n">
        <v>0.02</v>
      </c>
      <c r="D1434" s="66" t="str">
        <f aca="false">IFERROR(INDEX(المكونات!$B$2:$B$500,MATCH($B1434,المكونات!$A$2:$A$500,0)),"")</f>
        <v>كجم</v>
      </c>
      <c r="E1434" s="67" t="n">
        <f aca="false">IFERROR(INDEX(المكونات!$C$2:$C$500,MATCH($B1434,المكونات!$A$2:$A$500,0)),"")</f>
        <v>21</v>
      </c>
      <c r="F1434" s="68" t="n">
        <f aca="false">IFERROR($C1434*$E1434,"")</f>
        <v>0.42</v>
      </c>
    </row>
    <row r="1435" customFormat="false" ht="15" hidden="false" customHeight="true" outlineLevel="0" collapsed="false">
      <c r="A1435" s="65" t="s">
        <v>440</v>
      </c>
      <c r="B1435" s="65" t="s">
        <v>284</v>
      </c>
      <c r="C1435" s="65" t="n">
        <v>0.02</v>
      </c>
      <c r="D1435" s="66" t="str">
        <f aca="false">IFERROR(INDEX(المكونات!$B$2:$B$500,MATCH($B1435,المكونات!$A$2:$A$500,0)),"")</f>
        <v>كجم</v>
      </c>
      <c r="E1435" s="67" t="n">
        <f aca="false">IFERROR(INDEX(المكونات!$C$2:$C$500,MATCH($B1435,المكونات!$A$2:$A$500,0)),"")</f>
        <v>27</v>
      </c>
      <c r="F1435" s="68" t="n">
        <f aca="false">IFERROR($C1435*$E1435,"")</f>
        <v>0.54</v>
      </c>
    </row>
    <row r="1436" customFormat="false" ht="15" hidden="false" customHeight="true" outlineLevel="0" collapsed="false">
      <c r="A1436" s="65" t="s">
        <v>440</v>
      </c>
      <c r="B1436" s="65" t="s">
        <v>190</v>
      </c>
      <c r="C1436" s="65" t="n">
        <v>0.02</v>
      </c>
      <c r="D1436" s="66" t="str">
        <f aca="false">IFERROR(INDEX(المكونات!$B$2:$B$500,MATCH($B1436,المكونات!$A$2:$A$500,0)),"")</f>
        <v>كجم</v>
      </c>
      <c r="E1436" s="67" t="n">
        <f aca="false">IFERROR(INDEX(المكونات!$C$2:$C$500,MATCH($B1436,المكونات!$A$2:$A$500,0)),"")</f>
        <v>18</v>
      </c>
      <c r="F1436" s="68" t="n">
        <f aca="false">IFERROR($C1436*$E1436,"")</f>
        <v>0.36</v>
      </c>
    </row>
    <row r="1437" customFormat="false" ht="15" hidden="false" customHeight="true" outlineLevel="0" collapsed="false">
      <c r="A1437" s="65" t="s">
        <v>440</v>
      </c>
      <c r="B1437" s="65" t="s">
        <v>217</v>
      </c>
      <c r="C1437" s="65" t="n">
        <v>0.02</v>
      </c>
      <c r="D1437" s="66" t="str">
        <f aca="false">IFERROR(INDEX(المكونات!$B$2:$B$500,MATCH($B1437,المكونات!$A$2:$A$500,0)),"")</f>
        <v>كجم</v>
      </c>
      <c r="E1437" s="67" t="n">
        <f aca="false">IFERROR(INDEX(المكونات!$C$2:$C$500,MATCH($B1437,المكونات!$A$2:$A$500,0)),"")</f>
        <v>30</v>
      </c>
      <c r="F1437" s="68" t="n">
        <f aca="false">IFERROR($C1437*$E1437,"")</f>
        <v>0.6</v>
      </c>
    </row>
    <row r="1438" customFormat="false" ht="15" hidden="false" customHeight="true" outlineLevel="0" collapsed="false">
      <c r="A1438" s="65" t="s">
        <v>440</v>
      </c>
      <c r="B1438" s="65" t="s">
        <v>254</v>
      </c>
      <c r="C1438" s="65" t="n">
        <v>0.05</v>
      </c>
      <c r="D1438" s="66" t="str">
        <f aca="false">IFERROR(INDEX(المكونات!$B$2:$B$500,MATCH($B1438,المكونات!$A$2:$A$500,0)),"")</f>
        <v>كجم</v>
      </c>
      <c r="E1438" s="67" t="n">
        <f aca="false">IFERROR(INDEX(المكونات!$C$2:$C$500,MATCH($B1438,المكونات!$A$2:$A$500,0)),"")</f>
        <v>140</v>
      </c>
      <c r="F1438" s="68" t="n">
        <f aca="false">IFERROR($C1438*$E1438,"")</f>
        <v>7</v>
      </c>
    </row>
    <row r="1439" customFormat="false" ht="15" hidden="false" customHeight="true" outlineLevel="0" collapsed="false">
      <c r="A1439" s="65" t="s">
        <v>440</v>
      </c>
      <c r="B1439" s="65" t="s">
        <v>252</v>
      </c>
      <c r="C1439" s="65" t="n">
        <v>0.05</v>
      </c>
      <c r="D1439" s="66" t="str">
        <f aca="false">IFERROR(INDEX(المكونات!$B$2:$B$500,MATCH($B1439,المكونات!$A$2:$A$500,0)),"")</f>
        <v>كجم</v>
      </c>
      <c r="E1439" s="67" t="n">
        <f aca="false">IFERROR(INDEX(المكونات!$C$2:$C$500,MATCH($B1439,المكونات!$A$2:$A$500,0)),"")</f>
        <v>70</v>
      </c>
      <c r="F1439" s="68" t="n">
        <f aca="false">IFERROR($C1439*$E1439,"")</f>
        <v>3.5</v>
      </c>
    </row>
    <row r="1440" customFormat="false" ht="15" hidden="false" customHeight="true" outlineLevel="0" collapsed="false">
      <c r="A1440" s="65" t="s">
        <v>440</v>
      </c>
      <c r="B1440" s="65" t="s">
        <v>258</v>
      </c>
      <c r="C1440" s="65" t="n">
        <v>0.05</v>
      </c>
      <c r="D1440" s="66" t="str">
        <f aca="false">IFERROR(INDEX(المكونات!$B$2:$B$500,MATCH($B1440,المكونات!$A$2:$A$500,0)),"")</f>
        <v>كجم</v>
      </c>
      <c r="E1440" s="67" t="n">
        <f aca="false">IFERROR(INDEX(المكونات!$C$2:$C$500,MATCH($B1440,المكونات!$A$2:$A$500,0)),"")</f>
        <v>140</v>
      </c>
      <c r="F1440" s="68" t="n">
        <f aca="false">IFERROR($C1440*$E1440,"")</f>
        <v>7</v>
      </c>
    </row>
    <row r="1441" customFormat="false" ht="15" hidden="false" customHeight="true" outlineLevel="0" collapsed="false">
      <c r="A1441" s="65" t="s">
        <v>440</v>
      </c>
      <c r="B1441" s="65" t="s">
        <v>290</v>
      </c>
      <c r="C1441" s="65" t="n">
        <v>2</v>
      </c>
      <c r="D1441" s="66" t="str">
        <f aca="false">IFERROR(INDEX(المكونات!$B$2:$B$500,MATCH($B1441,المكونات!$A$2:$A$500,0)),"")</f>
        <v>قطعة</v>
      </c>
      <c r="E1441" s="67" t="n">
        <f aca="false">IFERROR(INDEX(المكونات!$C$2:$C$500,MATCH($B1441,المكونات!$A$2:$A$500,0)),"")</f>
        <v>0.3</v>
      </c>
      <c r="F1441" s="68" t="n">
        <f aca="false">IFERROR($C1441*$E1441,"")</f>
        <v>0.6</v>
      </c>
    </row>
    <row r="1442" customFormat="false" ht="15" hidden="false" customHeight="true" outlineLevel="0" collapsed="false">
      <c r="A1442" s="65" t="s">
        <v>440</v>
      </c>
      <c r="B1442" s="65" t="s">
        <v>319</v>
      </c>
      <c r="C1442" s="65" t="n">
        <v>1</v>
      </c>
      <c r="D1442" s="66" t="str">
        <f aca="false">IFERROR(INDEX(المكونات!$B$2:$B$500,MATCH($B1442,المكونات!$A$2:$A$500,0)),"")</f>
        <v>قطعة (ورقة)</v>
      </c>
      <c r="E1442" s="67" t="n">
        <f aca="false">IFERROR(INDEX(المكونات!$C$2:$C$500,MATCH($B1442,المكونات!$A$2:$A$500,0)),"")</f>
        <v>0.3665</v>
      </c>
      <c r="F1442" s="68" t="n">
        <f aca="false">IFERROR($C1442*$E1442,"")</f>
        <v>0.3665</v>
      </c>
    </row>
    <row r="1443" customFormat="false" ht="15" hidden="false" customHeight="true" outlineLevel="0" collapsed="false">
      <c r="A1443" s="65" t="s">
        <v>440</v>
      </c>
      <c r="B1443" s="65" t="s">
        <v>133</v>
      </c>
      <c r="C1443" s="65" t="n">
        <v>1</v>
      </c>
      <c r="D1443" s="66" t="str">
        <f aca="false">IFERROR(INDEX(المكونات!$B$2:$B$500,MATCH($B1443,المكونات!$A$2:$A$500,0)),"")</f>
        <v>قطعة (كيس)</v>
      </c>
      <c r="E1443" s="67" t="n">
        <f aca="false">IFERROR(INDEX(المكونات!$C$2:$C$500,MATCH($B1443,المكونات!$A$2:$A$500,0)),"")</f>
        <v>1.4</v>
      </c>
      <c r="F1443" s="68" t="n">
        <f aca="false">IFERROR($C1443*$E1443,"")</f>
        <v>1.4</v>
      </c>
    </row>
    <row r="1444" customFormat="false" ht="15" hidden="false" customHeight="true" outlineLevel="0" collapsed="false">
      <c r="A1444" s="65" t="s">
        <v>440</v>
      </c>
      <c r="B1444" s="65" t="s">
        <v>293</v>
      </c>
      <c r="C1444" s="65" t="n">
        <v>1</v>
      </c>
      <c r="D1444" s="66" t="str">
        <f aca="false">IFERROR(INDEX(المكونات!$B$2:$B$500,MATCH($B1444,المكونات!$A$2:$A$500,0)),"")</f>
        <v>قطعة</v>
      </c>
      <c r="E1444" s="67" t="n">
        <f aca="false">IFERROR(INDEX(المكونات!$C$2:$C$500,MATCH($B1444,المكونات!$A$2:$A$500,0)),"")</f>
        <v>0.5</v>
      </c>
      <c r="F1444" s="68" t="n">
        <f aca="false">IFERROR($C1444*$E1444,"")</f>
        <v>0.5</v>
      </c>
    </row>
    <row r="1445" customFormat="false" ht="15" hidden="false" customHeight="true" outlineLevel="0" collapsed="false">
      <c r="A1445" s="65" t="s">
        <v>440</v>
      </c>
      <c r="B1445" s="65" t="s">
        <v>211</v>
      </c>
      <c r="C1445" s="65" t="n">
        <v>2</v>
      </c>
      <c r="D1445" s="66" t="str">
        <f aca="false">IFERROR(INDEX(المكونات!$B$2:$B$500,MATCH($B1445,المكونات!$A$2:$A$500,0)),"")</f>
        <v>قطعة (جلفز)</v>
      </c>
      <c r="E1445" s="67" t="n">
        <f aca="false">IFERROR(INDEX(المكونات!$C$2:$C$500,MATCH($B1445,المكونات!$A$2:$A$500,0)),"")</f>
        <v>0.18</v>
      </c>
      <c r="F1445" s="68" t="n">
        <f aca="false">IFERROR($C1445*$E1445,"")</f>
        <v>0.36</v>
      </c>
    </row>
    <row r="1446" customFormat="false" ht="15" hidden="false" customHeight="true" outlineLevel="0" collapsed="false">
      <c r="A1446" s="65" t="s">
        <v>440</v>
      </c>
      <c r="B1446" s="65" t="s">
        <v>322</v>
      </c>
      <c r="C1446" s="65" t="n">
        <v>1</v>
      </c>
      <c r="D1446" s="66" t="str">
        <f aca="false">IFERROR(INDEX(المكونات!$B$2:$B$500,MATCH($B1446,المكونات!$A$2:$A$500,0)),"")</f>
        <v>قطعة (كيس)</v>
      </c>
      <c r="E1446" s="67" t="n">
        <f aca="false">IFERROR(INDEX(المكونات!$C$2:$C$500,MATCH($B1446,المكونات!$A$2:$A$500,0)),"")</f>
        <v>1</v>
      </c>
      <c r="F1446" s="68" t="n">
        <f aca="false">IFERROR($C1446*$E1446,"")</f>
        <v>1</v>
      </c>
    </row>
    <row r="1447" customFormat="false" ht="15" hidden="false" customHeight="true" outlineLevel="0" collapsed="false">
      <c r="A1447" s="65" t="s">
        <v>440</v>
      </c>
      <c r="B1447" s="65" t="s">
        <v>344</v>
      </c>
      <c r="C1447" s="65" t="n">
        <v>1</v>
      </c>
      <c r="D1447" s="66" t="str">
        <f aca="false">IFERROR(INDEX(المكونات!$B$2:$B$500,MATCH($B1447,المكونات!$A$2:$A$500,0)),"")</f>
        <v>قطعة</v>
      </c>
      <c r="E1447" s="67" t="n">
        <f aca="false">IFERROR(INDEX(المكونات!$C$2:$C$500,MATCH($B1447,المكونات!$A$2:$A$500,0)),"")</f>
        <v>4.44</v>
      </c>
      <c r="F1447" s="68" t="n">
        <f aca="false">IFERROR($C1447*$E1447,"")</f>
        <v>4.44</v>
      </c>
    </row>
    <row r="1448" customFormat="false" ht="15" hidden="false" customHeight="true" outlineLevel="0" collapsed="false">
      <c r="A1448" s="65" t="s">
        <v>399</v>
      </c>
      <c r="B1448" s="65" t="s">
        <v>262</v>
      </c>
      <c r="C1448" s="65" t="n">
        <v>0.22</v>
      </c>
      <c r="D1448" s="66" t="str">
        <f aca="false">IFERROR(INDEX(المكونات!$B$2:$B$500,MATCH($B1448,المكونات!$A$2:$A$500,0)),"")</f>
        <v>كجم</v>
      </c>
      <c r="E1448" s="67" t="n">
        <f aca="false">IFERROR(INDEX(المكونات!$C$2:$C$500,MATCH($B1448,المكونات!$A$2:$A$500,0)),"")</f>
        <v>22</v>
      </c>
      <c r="F1448" s="68" t="n">
        <f aca="false">IFERROR($C1448*$E1448,"")</f>
        <v>4.84</v>
      </c>
    </row>
    <row r="1449" customFormat="false" ht="15" hidden="false" customHeight="true" outlineLevel="0" collapsed="false">
      <c r="A1449" s="65" t="s">
        <v>399</v>
      </c>
      <c r="B1449" s="65" t="s">
        <v>282</v>
      </c>
      <c r="C1449" s="65" t="n">
        <v>0.14</v>
      </c>
      <c r="D1449" s="66" t="str">
        <f aca="false">IFERROR(INDEX(المكونات!$B$2:$B$500,MATCH($B1449,المكونات!$A$2:$A$500,0)),"")</f>
        <v>كجم</v>
      </c>
      <c r="E1449" s="67" t="n">
        <f aca="false">IFERROR(INDEX(المكونات!$C$2:$C$500,MATCH($B1449,المكونات!$A$2:$A$500,0)),"")</f>
        <v>150</v>
      </c>
      <c r="F1449" s="68" t="n">
        <f aca="false">IFERROR($C1449*$E1449,"")</f>
        <v>21</v>
      </c>
    </row>
    <row r="1450" customFormat="false" ht="15" hidden="false" customHeight="true" outlineLevel="0" collapsed="false">
      <c r="A1450" s="65" t="s">
        <v>399</v>
      </c>
      <c r="B1450" s="65" t="s">
        <v>176</v>
      </c>
      <c r="C1450" s="65" t="n">
        <v>0.5</v>
      </c>
      <c r="D1450" s="66" t="str">
        <f aca="false">IFERROR(INDEX(المكونات!$B$2:$B$500,MATCH($B1450,المكونات!$A$2:$A$500,0)),"")</f>
        <v>قطعة</v>
      </c>
      <c r="E1450" s="67" t="n">
        <f aca="false">IFERROR(INDEX(المكونات!$C$2:$C$500,MATCH($B1450,المكونات!$A$2:$A$500,0)),"")</f>
        <v>17.5</v>
      </c>
      <c r="F1450" s="68" t="n">
        <f aca="false">IFERROR($C1450*$E1450,"")</f>
        <v>8.75</v>
      </c>
    </row>
    <row r="1451" customFormat="false" ht="15" hidden="false" customHeight="true" outlineLevel="0" collapsed="false">
      <c r="A1451" s="65" t="s">
        <v>399</v>
      </c>
      <c r="B1451" s="65" t="s">
        <v>342</v>
      </c>
      <c r="C1451" s="65" t="n">
        <v>1</v>
      </c>
      <c r="D1451" s="66" t="str">
        <f aca="false">IFERROR(INDEX(المكونات!$B$2:$B$500,MATCH($B1451,المكونات!$A$2:$A$500,0)),"")</f>
        <v>قطعة</v>
      </c>
      <c r="E1451" s="67" t="n">
        <f aca="false">IFERROR(INDEX(المكونات!$C$2:$C$500,MATCH($B1451,المكونات!$A$2:$A$500,0)),"")</f>
        <v>0.3</v>
      </c>
      <c r="F1451" s="68" t="n">
        <f aca="false">IFERROR($C1451*$E1451,"")</f>
        <v>0.3</v>
      </c>
    </row>
    <row r="1452" customFormat="false" ht="15" hidden="false" customHeight="true" outlineLevel="0" collapsed="false">
      <c r="A1452" s="65" t="s">
        <v>399</v>
      </c>
      <c r="B1452" s="65" t="s">
        <v>260</v>
      </c>
      <c r="C1452" s="65" t="n">
        <v>0.02</v>
      </c>
      <c r="D1452" s="66" t="str">
        <f aca="false">IFERROR(INDEX(المكونات!$B$2:$B$500,MATCH($B1452,المكونات!$A$2:$A$500,0)),"")</f>
        <v>كجم</v>
      </c>
      <c r="E1452" s="67" t="n">
        <f aca="false">IFERROR(INDEX(المكونات!$C$2:$C$500,MATCH($B1452,المكونات!$A$2:$A$500,0)),"")</f>
        <v>21</v>
      </c>
      <c r="F1452" s="68" t="n">
        <f aca="false">IFERROR($C1452*$E1452,"")</f>
        <v>0.42</v>
      </c>
    </row>
    <row r="1453" customFormat="false" ht="15" hidden="false" customHeight="true" outlineLevel="0" collapsed="false">
      <c r="A1453" s="65" t="s">
        <v>399</v>
      </c>
      <c r="B1453" s="65" t="s">
        <v>284</v>
      </c>
      <c r="C1453" s="65" t="n">
        <v>0.02</v>
      </c>
      <c r="D1453" s="66" t="str">
        <f aca="false">IFERROR(INDEX(المكونات!$B$2:$B$500,MATCH($B1453,المكونات!$A$2:$A$500,0)),"")</f>
        <v>كجم</v>
      </c>
      <c r="E1453" s="67" t="n">
        <f aca="false">IFERROR(INDEX(المكونات!$C$2:$C$500,MATCH($B1453,المكونات!$A$2:$A$500,0)),"")</f>
        <v>27</v>
      </c>
      <c r="F1453" s="68" t="n">
        <f aca="false">IFERROR($C1453*$E1453,"")</f>
        <v>0.54</v>
      </c>
    </row>
    <row r="1454" customFormat="false" ht="15" hidden="false" customHeight="true" outlineLevel="0" collapsed="false">
      <c r="A1454" s="65" t="s">
        <v>399</v>
      </c>
      <c r="B1454" s="65" t="s">
        <v>190</v>
      </c>
      <c r="C1454" s="65" t="n">
        <v>0.02</v>
      </c>
      <c r="D1454" s="66" t="str">
        <f aca="false">IFERROR(INDEX(المكونات!$B$2:$B$500,MATCH($B1454,المكونات!$A$2:$A$500,0)),"")</f>
        <v>كجم</v>
      </c>
      <c r="E1454" s="67" t="n">
        <f aca="false">IFERROR(INDEX(المكونات!$C$2:$C$500,MATCH($B1454,المكونات!$A$2:$A$500,0)),"")</f>
        <v>18</v>
      </c>
      <c r="F1454" s="68" t="n">
        <f aca="false">IFERROR($C1454*$E1454,"")</f>
        <v>0.36</v>
      </c>
    </row>
    <row r="1455" customFormat="false" ht="15" hidden="false" customHeight="true" outlineLevel="0" collapsed="false">
      <c r="A1455" s="65" t="s">
        <v>399</v>
      </c>
      <c r="B1455" s="65" t="s">
        <v>217</v>
      </c>
      <c r="C1455" s="65" t="n">
        <v>0.02</v>
      </c>
      <c r="D1455" s="66" t="str">
        <f aca="false">IFERROR(INDEX(المكونات!$B$2:$B$500,MATCH($B1455,المكونات!$A$2:$A$500,0)),"")</f>
        <v>كجم</v>
      </c>
      <c r="E1455" s="67" t="n">
        <f aca="false">IFERROR(INDEX(المكونات!$C$2:$C$500,MATCH($B1455,المكونات!$A$2:$A$500,0)),"")</f>
        <v>30</v>
      </c>
      <c r="F1455" s="68" t="n">
        <f aca="false">IFERROR($C1455*$E1455,"")</f>
        <v>0.6</v>
      </c>
    </row>
    <row r="1456" customFormat="false" ht="15" hidden="false" customHeight="true" outlineLevel="0" collapsed="false">
      <c r="A1456" s="65" t="s">
        <v>399</v>
      </c>
      <c r="B1456" s="65" t="s">
        <v>256</v>
      </c>
      <c r="C1456" s="65" t="n">
        <v>0.05</v>
      </c>
      <c r="D1456" s="66" t="str">
        <f aca="false">IFERROR(INDEX(المكونات!$B$2:$B$500,MATCH($B1456,المكونات!$A$2:$A$500,0)),"")</f>
        <v>كجم</v>
      </c>
      <c r="E1456" s="67" t="n">
        <f aca="false">IFERROR(INDEX(المكونات!$C$2:$C$500,MATCH($B1456,المكونات!$A$2:$A$500,0)),"")</f>
        <v>105</v>
      </c>
      <c r="F1456" s="68" t="n">
        <f aca="false">IFERROR($C1456*$E1456,"")</f>
        <v>5.25</v>
      </c>
    </row>
    <row r="1457" customFormat="false" ht="15" hidden="false" customHeight="true" outlineLevel="0" collapsed="false">
      <c r="A1457" s="65" t="s">
        <v>399</v>
      </c>
      <c r="B1457" s="65" t="s">
        <v>252</v>
      </c>
      <c r="C1457" s="65" t="n">
        <v>0.05</v>
      </c>
      <c r="D1457" s="66" t="str">
        <f aca="false">IFERROR(INDEX(المكونات!$B$2:$B$500,MATCH($B1457,المكونات!$A$2:$A$500,0)),"")</f>
        <v>كجم</v>
      </c>
      <c r="E1457" s="67" t="n">
        <f aca="false">IFERROR(INDEX(المكونات!$C$2:$C$500,MATCH($B1457,المكونات!$A$2:$A$500,0)),"")</f>
        <v>70</v>
      </c>
      <c r="F1457" s="68" t="n">
        <f aca="false">IFERROR($C1457*$E1457,"")</f>
        <v>3.5</v>
      </c>
    </row>
    <row r="1458" customFormat="false" ht="15" hidden="false" customHeight="true" outlineLevel="0" collapsed="false">
      <c r="A1458" s="65" t="s">
        <v>399</v>
      </c>
      <c r="B1458" s="65" t="s">
        <v>258</v>
      </c>
      <c r="C1458" s="65" t="n">
        <v>0.05</v>
      </c>
      <c r="D1458" s="66" t="str">
        <f aca="false">IFERROR(INDEX(المكونات!$B$2:$B$500,MATCH($B1458,المكونات!$A$2:$A$500,0)),"")</f>
        <v>كجم</v>
      </c>
      <c r="E1458" s="67" t="n">
        <f aca="false">IFERROR(INDEX(المكونات!$C$2:$C$500,MATCH($B1458,المكونات!$A$2:$A$500,0)),"")</f>
        <v>140</v>
      </c>
      <c r="F1458" s="68" t="n">
        <f aca="false">IFERROR($C1458*$E1458,"")</f>
        <v>7</v>
      </c>
    </row>
    <row r="1459" customFormat="false" ht="15" hidden="false" customHeight="true" outlineLevel="0" collapsed="false">
      <c r="A1459" s="65" t="s">
        <v>399</v>
      </c>
      <c r="B1459" s="65" t="s">
        <v>290</v>
      </c>
      <c r="C1459" s="65" t="n">
        <v>2</v>
      </c>
      <c r="D1459" s="66" t="str">
        <f aca="false">IFERROR(INDEX(المكونات!$B$2:$B$500,MATCH($B1459,المكونات!$A$2:$A$500,0)),"")</f>
        <v>قطعة</v>
      </c>
      <c r="E1459" s="67" t="n">
        <f aca="false">IFERROR(INDEX(المكونات!$C$2:$C$500,MATCH($B1459,المكونات!$A$2:$A$500,0)),"")</f>
        <v>0.3</v>
      </c>
      <c r="F1459" s="68" t="n">
        <f aca="false">IFERROR($C1459*$E1459,"")</f>
        <v>0.6</v>
      </c>
    </row>
    <row r="1460" customFormat="false" ht="15" hidden="false" customHeight="true" outlineLevel="0" collapsed="false">
      <c r="A1460" s="65" t="s">
        <v>399</v>
      </c>
      <c r="B1460" s="65" t="s">
        <v>319</v>
      </c>
      <c r="C1460" s="65" t="n">
        <v>1</v>
      </c>
      <c r="D1460" s="66" t="str">
        <f aca="false">IFERROR(INDEX(المكونات!$B$2:$B$500,MATCH($B1460,المكونات!$A$2:$A$500,0)),"")</f>
        <v>قطعة (ورقة)</v>
      </c>
      <c r="E1460" s="67" t="n">
        <f aca="false">IFERROR(INDEX(المكونات!$C$2:$C$500,MATCH($B1460,المكونات!$A$2:$A$500,0)),"")</f>
        <v>0.3665</v>
      </c>
      <c r="F1460" s="68" t="n">
        <f aca="false">IFERROR($C1460*$E1460,"")</f>
        <v>0.3665</v>
      </c>
    </row>
    <row r="1461" customFormat="false" ht="15" hidden="false" customHeight="true" outlineLevel="0" collapsed="false">
      <c r="A1461" s="65" t="s">
        <v>399</v>
      </c>
      <c r="B1461" s="65" t="s">
        <v>133</v>
      </c>
      <c r="C1461" s="65" t="n">
        <v>1</v>
      </c>
      <c r="D1461" s="66" t="str">
        <f aca="false">IFERROR(INDEX(المكونات!$B$2:$B$500,MATCH($B1461,المكونات!$A$2:$A$500,0)),"")</f>
        <v>قطعة (كيس)</v>
      </c>
      <c r="E1461" s="67" t="n">
        <f aca="false">IFERROR(INDEX(المكونات!$C$2:$C$500,MATCH($B1461,المكونات!$A$2:$A$500,0)),"")</f>
        <v>1.4</v>
      </c>
      <c r="F1461" s="68" t="n">
        <f aca="false">IFERROR($C1461*$E1461,"")</f>
        <v>1.4</v>
      </c>
    </row>
    <row r="1462" customFormat="false" ht="15" hidden="false" customHeight="true" outlineLevel="0" collapsed="false">
      <c r="A1462" s="65" t="s">
        <v>399</v>
      </c>
      <c r="B1462" s="65" t="s">
        <v>293</v>
      </c>
      <c r="C1462" s="65" t="n">
        <v>1</v>
      </c>
      <c r="D1462" s="66" t="str">
        <f aca="false">IFERROR(INDEX(المكونات!$B$2:$B$500,MATCH($B1462,المكونات!$A$2:$A$500,0)),"")</f>
        <v>قطعة</v>
      </c>
      <c r="E1462" s="67" t="n">
        <f aca="false">IFERROR(INDEX(المكونات!$C$2:$C$500,MATCH($B1462,المكونات!$A$2:$A$500,0)),"")</f>
        <v>0.5</v>
      </c>
      <c r="F1462" s="68" t="n">
        <f aca="false">IFERROR($C1462*$E1462,"")</f>
        <v>0.5</v>
      </c>
    </row>
    <row r="1463" customFormat="false" ht="15" hidden="false" customHeight="true" outlineLevel="0" collapsed="false">
      <c r="A1463" s="65" t="s">
        <v>399</v>
      </c>
      <c r="B1463" s="65" t="s">
        <v>211</v>
      </c>
      <c r="C1463" s="65" t="n">
        <v>2</v>
      </c>
      <c r="D1463" s="66" t="str">
        <f aca="false">IFERROR(INDEX(المكونات!$B$2:$B$500,MATCH($B1463,المكونات!$A$2:$A$500,0)),"")</f>
        <v>قطعة (جلفز)</v>
      </c>
      <c r="E1463" s="67" t="n">
        <f aca="false">IFERROR(INDEX(المكونات!$C$2:$C$500,MATCH($B1463,المكونات!$A$2:$A$500,0)),"")</f>
        <v>0.18</v>
      </c>
      <c r="F1463" s="68" t="n">
        <f aca="false">IFERROR($C1463*$E1463,"")</f>
        <v>0.36</v>
      </c>
    </row>
    <row r="1464" customFormat="false" ht="15" hidden="false" customHeight="true" outlineLevel="0" collapsed="false">
      <c r="A1464" s="65" t="s">
        <v>399</v>
      </c>
      <c r="B1464" s="65" t="s">
        <v>322</v>
      </c>
      <c r="C1464" s="65" t="n">
        <v>1</v>
      </c>
      <c r="D1464" s="66" t="str">
        <f aca="false">IFERROR(INDEX(المكونات!$B$2:$B$500,MATCH($B1464,المكونات!$A$2:$A$500,0)),"")</f>
        <v>قطعة (كيس)</v>
      </c>
      <c r="E1464" s="67" t="n">
        <f aca="false">IFERROR(INDEX(المكونات!$C$2:$C$500,MATCH($B1464,المكونات!$A$2:$A$500,0)),"")</f>
        <v>1</v>
      </c>
      <c r="F1464" s="68" t="n">
        <f aca="false">IFERROR($C1464*$E1464,"")</f>
        <v>1</v>
      </c>
    </row>
    <row r="1465" customFormat="false" ht="15" hidden="false" customHeight="true" outlineLevel="0" collapsed="false">
      <c r="A1465" s="65" t="s">
        <v>399</v>
      </c>
      <c r="B1465" s="65" t="s">
        <v>344</v>
      </c>
      <c r="C1465" s="65" t="n">
        <v>1</v>
      </c>
      <c r="D1465" s="66" t="str">
        <f aca="false">IFERROR(INDEX(المكونات!$B$2:$B$500,MATCH($B1465,المكونات!$A$2:$A$500,0)),"")</f>
        <v>قطعة</v>
      </c>
      <c r="E1465" s="67" t="n">
        <f aca="false">IFERROR(INDEX(المكونات!$C$2:$C$500,MATCH($B1465,المكونات!$A$2:$A$500,0)),"")</f>
        <v>4.44</v>
      </c>
      <c r="F1465" s="68" t="n">
        <f aca="false">IFERROR($C1465*$E1465,"")</f>
        <v>4.44</v>
      </c>
    </row>
    <row r="1466" customFormat="false" ht="15" hidden="false" customHeight="true" outlineLevel="0" collapsed="false">
      <c r="A1466" s="65" t="s">
        <v>445</v>
      </c>
      <c r="B1466" s="65" t="s">
        <v>262</v>
      </c>
      <c r="C1466" s="65" t="n">
        <v>0.22</v>
      </c>
      <c r="D1466" s="66" t="str">
        <f aca="false">IFERROR(INDEX(المكونات!$B$2:$B$500,MATCH($B1466,المكونات!$A$2:$A$500,0)),"")</f>
        <v>كجم</v>
      </c>
      <c r="E1466" s="67" t="n">
        <f aca="false">IFERROR(INDEX(المكونات!$C$2:$C$500,MATCH($B1466,المكونات!$A$2:$A$500,0)),"")</f>
        <v>22</v>
      </c>
      <c r="F1466" s="68" t="n">
        <f aca="false">IFERROR($C1466*$E1466,"")</f>
        <v>4.84</v>
      </c>
    </row>
    <row r="1467" customFormat="false" ht="15" hidden="false" customHeight="true" outlineLevel="0" collapsed="false">
      <c r="A1467" s="65" t="s">
        <v>445</v>
      </c>
      <c r="B1467" s="65" t="s">
        <v>340</v>
      </c>
      <c r="C1467" s="65" t="n">
        <v>3</v>
      </c>
      <c r="D1467" s="66" t="str">
        <f aca="false">IFERROR(INDEX(المكونات!$B$2:$B$500,MATCH($B1467,المكونات!$A$2:$A$500,0)),"")</f>
        <v>قطعة</v>
      </c>
      <c r="E1467" s="67" t="n">
        <f aca="false">IFERROR(INDEX(المكونات!$C$2:$C$500,MATCH($B1467,المكونات!$A$2:$A$500,0)),"")</f>
        <v>6</v>
      </c>
      <c r="F1467" s="68" t="n">
        <f aca="false">IFERROR($C1467*$E1467,"")</f>
        <v>18</v>
      </c>
    </row>
    <row r="1468" customFormat="false" ht="15" hidden="false" customHeight="true" outlineLevel="0" collapsed="false">
      <c r="A1468" s="65" t="s">
        <v>445</v>
      </c>
      <c r="B1468" s="65" t="s">
        <v>176</v>
      </c>
      <c r="C1468" s="65" t="n">
        <v>1</v>
      </c>
      <c r="D1468" s="66" t="str">
        <f aca="false">IFERROR(INDEX(المكونات!$B$2:$B$500,MATCH($B1468,المكونات!$A$2:$A$500,0)),"")</f>
        <v>قطعة</v>
      </c>
      <c r="E1468" s="67" t="n">
        <f aca="false">IFERROR(INDEX(المكونات!$C$2:$C$500,MATCH($B1468,المكونات!$A$2:$A$500,0)),"")</f>
        <v>17.5</v>
      </c>
      <c r="F1468" s="68" t="n">
        <f aca="false">IFERROR($C1468*$E1468,"")</f>
        <v>17.5</v>
      </c>
    </row>
    <row r="1469" customFormat="false" ht="15" hidden="false" customHeight="true" outlineLevel="0" collapsed="false">
      <c r="A1469" s="65" t="s">
        <v>445</v>
      </c>
      <c r="B1469" s="65" t="s">
        <v>342</v>
      </c>
      <c r="C1469" s="65" t="n">
        <v>1</v>
      </c>
      <c r="D1469" s="66" t="str">
        <f aca="false">IFERROR(INDEX(المكونات!$B$2:$B$500,MATCH($B1469,المكونات!$A$2:$A$500,0)),"")</f>
        <v>قطعة</v>
      </c>
      <c r="E1469" s="67" t="n">
        <f aca="false">IFERROR(INDEX(المكونات!$C$2:$C$500,MATCH($B1469,المكونات!$A$2:$A$500,0)),"")</f>
        <v>0.3</v>
      </c>
      <c r="F1469" s="68" t="n">
        <f aca="false">IFERROR($C1469*$E1469,"")</f>
        <v>0.3</v>
      </c>
    </row>
    <row r="1470" customFormat="false" ht="15" hidden="false" customHeight="true" outlineLevel="0" collapsed="false">
      <c r="A1470" s="65" t="s">
        <v>445</v>
      </c>
      <c r="B1470" s="65" t="s">
        <v>260</v>
      </c>
      <c r="C1470" s="65" t="n">
        <v>0.02</v>
      </c>
      <c r="D1470" s="66" t="str">
        <f aca="false">IFERROR(INDEX(المكونات!$B$2:$B$500,MATCH($B1470,المكونات!$A$2:$A$500,0)),"")</f>
        <v>كجم</v>
      </c>
      <c r="E1470" s="67" t="n">
        <f aca="false">IFERROR(INDEX(المكونات!$C$2:$C$500,MATCH($B1470,المكونات!$A$2:$A$500,0)),"")</f>
        <v>21</v>
      </c>
      <c r="F1470" s="68" t="n">
        <f aca="false">IFERROR($C1470*$E1470,"")</f>
        <v>0.42</v>
      </c>
    </row>
    <row r="1471" customFormat="false" ht="15" hidden="false" customHeight="true" outlineLevel="0" collapsed="false">
      <c r="A1471" s="65" t="s">
        <v>445</v>
      </c>
      <c r="B1471" s="65" t="s">
        <v>284</v>
      </c>
      <c r="C1471" s="65" t="n">
        <v>0.02</v>
      </c>
      <c r="D1471" s="66" t="str">
        <f aca="false">IFERROR(INDEX(المكونات!$B$2:$B$500,MATCH($B1471,المكونات!$A$2:$A$500,0)),"")</f>
        <v>كجم</v>
      </c>
      <c r="E1471" s="67" t="n">
        <f aca="false">IFERROR(INDEX(المكونات!$C$2:$C$500,MATCH($B1471,المكونات!$A$2:$A$500,0)),"")</f>
        <v>27</v>
      </c>
      <c r="F1471" s="68" t="n">
        <f aca="false">IFERROR($C1471*$E1471,"")</f>
        <v>0.54</v>
      </c>
    </row>
    <row r="1472" customFormat="false" ht="15" hidden="false" customHeight="true" outlineLevel="0" collapsed="false">
      <c r="A1472" s="65" t="s">
        <v>445</v>
      </c>
      <c r="B1472" s="65" t="s">
        <v>190</v>
      </c>
      <c r="C1472" s="65" t="n">
        <v>0.02</v>
      </c>
      <c r="D1472" s="66" t="str">
        <f aca="false">IFERROR(INDEX(المكونات!$B$2:$B$500,MATCH($B1472,المكونات!$A$2:$A$500,0)),"")</f>
        <v>كجم</v>
      </c>
      <c r="E1472" s="67" t="n">
        <f aca="false">IFERROR(INDEX(المكونات!$C$2:$C$500,MATCH($B1472,المكونات!$A$2:$A$500,0)),"")</f>
        <v>18</v>
      </c>
      <c r="F1472" s="68" t="n">
        <f aca="false">IFERROR($C1472*$E1472,"")</f>
        <v>0.36</v>
      </c>
    </row>
    <row r="1473" customFormat="false" ht="15" hidden="false" customHeight="true" outlineLevel="0" collapsed="false">
      <c r="A1473" s="65" t="s">
        <v>445</v>
      </c>
      <c r="B1473" s="65" t="s">
        <v>217</v>
      </c>
      <c r="C1473" s="65" t="n">
        <v>0.02</v>
      </c>
      <c r="D1473" s="66" t="str">
        <f aca="false">IFERROR(INDEX(المكونات!$B$2:$B$500,MATCH($B1473,المكونات!$A$2:$A$500,0)),"")</f>
        <v>كجم</v>
      </c>
      <c r="E1473" s="67" t="n">
        <f aca="false">IFERROR(INDEX(المكونات!$C$2:$C$500,MATCH($B1473,المكونات!$A$2:$A$500,0)),"")</f>
        <v>30</v>
      </c>
      <c r="F1473" s="68" t="n">
        <f aca="false">IFERROR($C1473*$E1473,"")</f>
        <v>0.6</v>
      </c>
    </row>
    <row r="1474" customFormat="false" ht="15" hidden="false" customHeight="true" outlineLevel="0" collapsed="false">
      <c r="A1474" s="65" t="s">
        <v>445</v>
      </c>
      <c r="B1474" s="65" t="s">
        <v>254</v>
      </c>
      <c r="C1474" s="65" t="n">
        <v>0.05</v>
      </c>
      <c r="D1474" s="66" t="str">
        <f aca="false">IFERROR(INDEX(المكونات!$B$2:$B$500,MATCH($B1474,المكونات!$A$2:$A$500,0)),"")</f>
        <v>كجم</v>
      </c>
      <c r="E1474" s="67" t="n">
        <f aca="false">IFERROR(INDEX(المكونات!$C$2:$C$500,MATCH($B1474,المكونات!$A$2:$A$500,0)),"")</f>
        <v>140</v>
      </c>
      <c r="F1474" s="68" t="n">
        <f aca="false">IFERROR($C1474*$E1474,"")</f>
        <v>7</v>
      </c>
    </row>
    <row r="1475" customFormat="false" ht="15" hidden="false" customHeight="true" outlineLevel="0" collapsed="false">
      <c r="A1475" s="65" t="s">
        <v>445</v>
      </c>
      <c r="B1475" s="65" t="s">
        <v>252</v>
      </c>
      <c r="C1475" s="65" t="n">
        <v>0.05</v>
      </c>
      <c r="D1475" s="66" t="str">
        <f aca="false">IFERROR(INDEX(المكونات!$B$2:$B$500,MATCH($B1475,المكونات!$A$2:$A$500,0)),"")</f>
        <v>كجم</v>
      </c>
      <c r="E1475" s="67" t="n">
        <f aca="false">IFERROR(INDEX(المكونات!$C$2:$C$500,MATCH($B1475,المكونات!$A$2:$A$500,0)),"")</f>
        <v>70</v>
      </c>
      <c r="F1475" s="68" t="n">
        <f aca="false">IFERROR($C1475*$E1475,"")</f>
        <v>3.5</v>
      </c>
    </row>
    <row r="1476" customFormat="false" ht="15" hidden="false" customHeight="true" outlineLevel="0" collapsed="false">
      <c r="A1476" s="65" t="s">
        <v>445</v>
      </c>
      <c r="B1476" s="65" t="s">
        <v>258</v>
      </c>
      <c r="C1476" s="65" t="n">
        <v>0.05</v>
      </c>
      <c r="D1476" s="66" t="str">
        <f aca="false">IFERROR(INDEX(المكونات!$B$2:$B$500,MATCH($B1476,المكونات!$A$2:$A$500,0)),"")</f>
        <v>كجم</v>
      </c>
      <c r="E1476" s="67" t="n">
        <f aca="false">IFERROR(INDEX(المكونات!$C$2:$C$500,MATCH($B1476,المكونات!$A$2:$A$500,0)),"")</f>
        <v>140</v>
      </c>
      <c r="F1476" s="68" t="n">
        <f aca="false">IFERROR($C1476*$E1476,"")</f>
        <v>7</v>
      </c>
    </row>
    <row r="1477" customFormat="false" ht="15" hidden="false" customHeight="true" outlineLevel="0" collapsed="false">
      <c r="A1477" s="65" t="s">
        <v>445</v>
      </c>
      <c r="B1477" s="65" t="s">
        <v>290</v>
      </c>
      <c r="C1477" s="65" t="n">
        <v>2</v>
      </c>
      <c r="D1477" s="66" t="str">
        <f aca="false">IFERROR(INDEX(المكونات!$B$2:$B$500,MATCH($B1477,المكونات!$A$2:$A$500,0)),"")</f>
        <v>قطعة</v>
      </c>
      <c r="E1477" s="67" t="n">
        <f aca="false">IFERROR(INDEX(المكونات!$C$2:$C$500,MATCH($B1477,المكونات!$A$2:$A$500,0)),"")</f>
        <v>0.3</v>
      </c>
      <c r="F1477" s="68" t="n">
        <f aca="false">IFERROR($C1477*$E1477,"")</f>
        <v>0.6</v>
      </c>
    </row>
    <row r="1478" customFormat="false" ht="15" hidden="false" customHeight="true" outlineLevel="0" collapsed="false">
      <c r="A1478" s="65" t="s">
        <v>445</v>
      </c>
      <c r="B1478" s="65" t="s">
        <v>319</v>
      </c>
      <c r="C1478" s="65" t="n">
        <v>1</v>
      </c>
      <c r="D1478" s="66" t="str">
        <f aca="false">IFERROR(INDEX(المكونات!$B$2:$B$500,MATCH($B1478,المكونات!$A$2:$A$500,0)),"")</f>
        <v>قطعة (ورقة)</v>
      </c>
      <c r="E1478" s="67" t="n">
        <f aca="false">IFERROR(INDEX(المكونات!$C$2:$C$500,MATCH($B1478,المكونات!$A$2:$A$500,0)),"")</f>
        <v>0.3665</v>
      </c>
      <c r="F1478" s="68" t="n">
        <f aca="false">IFERROR($C1478*$E1478,"")</f>
        <v>0.3665</v>
      </c>
    </row>
    <row r="1479" customFormat="false" ht="15" hidden="false" customHeight="true" outlineLevel="0" collapsed="false">
      <c r="A1479" s="65" t="s">
        <v>445</v>
      </c>
      <c r="B1479" s="65" t="s">
        <v>133</v>
      </c>
      <c r="C1479" s="65" t="n">
        <v>1</v>
      </c>
      <c r="D1479" s="66" t="str">
        <f aca="false">IFERROR(INDEX(المكونات!$B$2:$B$500,MATCH($B1479,المكونات!$A$2:$A$500,0)),"")</f>
        <v>قطعة (كيس)</v>
      </c>
      <c r="E1479" s="67" t="n">
        <f aca="false">IFERROR(INDEX(المكونات!$C$2:$C$500,MATCH($B1479,المكونات!$A$2:$A$500,0)),"")</f>
        <v>1.4</v>
      </c>
      <c r="F1479" s="68" t="n">
        <f aca="false">IFERROR($C1479*$E1479,"")</f>
        <v>1.4</v>
      </c>
    </row>
    <row r="1480" customFormat="false" ht="15" hidden="false" customHeight="true" outlineLevel="0" collapsed="false">
      <c r="A1480" s="65" t="s">
        <v>445</v>
      </c>
      <c r="B1480" s="65" t="s">
        <v>293</v>
      </c>
      <c r="C1480" s="65" t="n">
        <v>1</v>
      </c>
      <c r="D1480" s="66" t="str">
        <f aca="false">IFERROR(INDEX(المكونات!$B$2:$B$500,MATCH($B1480,المكونات!$A$2:$A$500,0)),"")</f>
        <v>قطعة</v>
      </c>
      <c r="E1480" s="67" t="n">
        <f aca="false">IFERROR(INDEX(المكونات!$C$2:$C$500,MATCH($B1480,المكونات!$A$2:$A$500,0)),"")</f>
        <v>0.5</v>
      </c>
      <c r="F1480" s="68" t="n">
        <f aca="false">IFERROR($C1480*$E1480,"")</f>
        <v>0.5</v>
      </c>
    </row>
    <row r="1481" customFormat="false" ht="15" hidden="false" customHeight="true" outlineLevel="0" collapsed="false">
      <c r="A1481" s="65" t="s">
        <v>445</v>
      </c>
      <c r="B1481" s="65" t="s">
        <v>211</v>
      </c>
      <c r="C1481" s="65" t="n">
        <v>2</v>
      </c>
      <c r="D1481" s="66" t="str">
        <f aca="false">IFERROR(INDEX(المكونات!$B$2:$B$500,MATCH($B1481,المكونات!$A$2:$A$500,0)),"")</f>
        <v>قطعة (جلفز)</v>
      </c>
      <c r="E1481" s="67" t="n">
        <f aca="false">IFERROR(INDEX(المكونات!$C$2:$C$500,MATCH($B1481,المكونات!$A$2:$A$500,0)),"")</f>
        <v>0.18</v>
      </c>
      <c r="F1481" s="68" t="n">
        <f aca="false">IFERROR($C1481*$E1481,"")</f>
        <v>0.36</v>
      </c>
    </row>
    <row r="1482" customFormat="false" ht="15" hidden="false" customHeight="true" outlineLevel="0" collapsed="false">
      <c r="A1482" s="65" t="s">
        <v>445</v>
      </c>
      <c r="B1482" s="65" t="s">
        <v>322</v>
      </c>
      <c r="C1482" s="65" t="n">
        <v>1</v>
      </c>
      <c r="D1482" s="66" t="str">
        <f aca="false">IFERROR(INDEX(المكونات!$B$2:$B$500,MATCH($B1482,المكونات!$A$2:$A$500,0)),"")</f>
        <v>قطعة (كيس)</v>
      </c>
      <c r="E1482" s="67" t="n">
        <f aca="false">IFERROR(INDEX(المكونات!$C$2:$C$500,MATCH($B1482,المكونات!$A$2:$A$500,0)),"")</f>
        <v>1</v>
      </c>
      <c r="F1482" s="68" t="n">
        <f aca="false">IFERROR($C1482*$E1482,"")</f>
        <v>1</v>
      </c>
    </row>
    <row r="1483" customFormat="false" ht="15" hidden="false" customHeight="true" outlineLevel="0" collapsed="false">
      <c r="A1483" s="65" t="s">
        <v>445</v>
      </c>
      <c r="B1483" s="65" t="s">
        <v>344</v>
      </c>
      <c r="C1483" s="65" t="n">
        <v>1</v>
      </c>
      <c r="D1483" s="66" t="str">
        <f aca="false">IFERROR(INDEX(المكونات!$B$2:$B$500,MATCH($B1483,المكونات!$A$2:$A$500,0)),"")</f>
        <v>قطعة</v>
      </c>
      <c r="E1483" s="67" t="n">
        <f aca="false">IFERROR(INDEX(المكونات!$C$2:$C$500,MATCH($B1483,المكونات!$A$2:$A$500,0)),"")</f>
        <v>4.44</v>
      </c>
      <c r="F1483" s="68" t="n">
        <f aca="false">IFERROR($C1483*$E1483,"")</f>
        <v>4.44</v>
      </c>
    </row>
    <row r="1484" customFormat="false" ht="15" hidden="false" customHeight="true" outlineLevel="0" collapsed="false">
      <c r="A1484" s="65" t="s">
        <v>401</v>
      </c>
      <c r="B1484" s="65" t="s">
        <v>262</v>
      </c>
      <c r="C1484" s="65" t="n">
        <v>0.22</v>
      </c>
      <c r="D1484" s="66" t="str">
        <f aca="false">IFERROR(INDEX(المكونات!$B$2:$B$500,MATCH($B1484,المكونات!$A$2:$A$500,0)),"")</f>
        <v>كجم</v>
      </c>
      <c r="E1484" s="67" t="n">
        <f aca="false">IFERROR(INDEX(المكونات!$C$2:$C$500,MATCH($B1484,المكونات!$A$2:$A$500,0)),"")</f>
        <v>22</v>
      </c>
      <c r="F1484" s="68" t="n">
        <f aca="false">IFERROR($C1484*$E1484,"")</f>
        <v>4.84</v>
      </c>
    </row>
    <row r="1485" customFormat="false" ht="15" hidden="false" customHeight="true" outlineLevel="0" collapsed="false">
      <c r="A1485" s="65" t="s">
        <v>401</v>
      </c>
      <c r="B1485" s="65" t="s">
        <v>282</v>
      </c>
      <c r="C1485" s="65" t="n">
        <v>0.14</v>
      </c>
      <c r="D1485" s="66" t="str">
        <f aca="false">IFERROR(INDEX(المكونات!$B$2:$B$500,MATCH($B1485,المكونات!$A$2:$A$500,0)),"")</f>
        <v>كجم</v>
      </c>
      <c r="E1485" s="67" t="n">
        <f aca="false">IFERROR(INDEX(المكونات!$C$2:$C$500,MATCH($B1485,المكونات!$A$2:$A$500,0)),"")</f>
        <v>150</v>
      </c>
      <c r="F1485" s="68" t="n">
        <f aca="false">IFERROR($C1485*$E1485,"")</f>
        <v>21</v>
      </c>
    </row>
    <row r="1486" customFormat="false" ht="15" hidden="false" customHeight="true" outlineLevel="0" collapsed="false">
      <c r="A1486" s="65" t="s">
        <v>401</v>
      </c>
      <c r="B1486" s="65" t="s">
        <v>176</v>
      </c>
      <c r="C1486" s="65" t="n">
        <v>1</v>
      </c>
      <c r="D1486" s="66" t="str">
        <f aca="false">IFERROR(INDEX(المكونات!$B$2:$B$500,MATCH($B1486,المكونات!$A$2:$A$500,0)),"")</f>
        <v>قطعة</v>
      </c>
      <c r="E1486" s="67" t="n">
        <f aca="false">IFERROR(INDEX(المكونات!$C$2:$C$500,MATCH($B1486,المكونات!$A$2:$A$500,0)),"")</f>
        <v>17.5</v>
      </c>
      <c r="F1486" s="68" t="n">
        <f aca="false">IFERROR($C1486*$E1486,"")</f>
        <v>17.5</v>
      </c>
    </row>
    <row r="1487" customFormat="false" ht="15" hidden="false" customHeight="true" outlineLevel="0" collapsed="false">
      <c r="A1487" s="65" t="s">
        <v>401</v>
      </c>
      <c r="B1487" s="65" t="s">
        <v>342</v>
      </c>
      <c r="C1487" s="65" t="n">
        <v>1</v>
      </c>
      <c r="D1487" s="66" t="str">
        <f aca="false">IFERROR(INDEX(المكونات!$B$2:$B$500,MATCH($B1487,المكونات!$A$2:$A$500,0)),"")</f>
        <v>قطعة</v>
      </c>
      <c r="E1487" s="67" t="n">
        <f aca="false">IFERROR(INDEX(المكونات!$C$2:$C$500,MATCH($B1487,المكونات!$A$2:$A$500,0)),"")</f>
        <v>0.3</v>
      </c>
      <c r="F1487" s="68" t="n">
        <f aca="false">IFERROR($C1487*$E1487,"")</f>
        <v>0.3</v>
      </c>
    </row>
    <row r="1488" customFormat="false" ht="15" hidden="false" customHeight="true" outlineLevel="0" collapsed="false">
      <c r="A1488" s="65" t="s">
        <v>401</v>
      </c>
      <c r="B1488" s="65" t="s">
        <v>260</v>
      </c>
      <c r="C1488" s="65" t="n">
        <v>0.02</v>
      </c>
      <c r="D1488" s="66" t="str">
        <f aca="false">IFERROR(INDEX(المكونات!$B$2:$B$500,MATCH($B1488,المكونات!$A$2:$A$500,0)),"")</f>
        <v>كجم</v>
      </c>
      <c r="E1488" s="67" t="n">
        <f aca="false">IFERROR(INDEX(المكونات!$C$2:$C$500,MATCH($B1488,المكونات!$A$2:$A$500,0)),"")</f>
        <v>21</v>
      </c>
      <c r="F1488" s="68" t="n">
        <f aca="false">IFERROR($C1488*$E1488,"")</f>
        <v>0.42</v>
      </c>
    </row>
    <row r="1489" customFormat="false" ht="15" hidden="false" customHeight="true" outlineLevel="0" collapsed="false">
      <c r="A1489" s="65" t="s">
        <v>401</v>
      </c>
      <c r="B1489" s="65" t="s">
        <v>284</v>
      </c>
      <c r="C1489" s="65" t="n">
        <v>0.02</v>
      </c>
      <c r="D1489" s="66" t="str">
        <f aca="false">IFERROR(INDEX(المكونات!$B$2:$B$500,MATCH($B1489,المكونات!$A$2:$A$500,0)),"")</f>
        <v>كجم</v>
      </c>
      <c r="E1489" s="67" t="n">
        <f aca="false">IFERROR(INDEX(المكونات!$C$2:$C$500,MATCH($B1489,المكونات!$A$2:$A$500,0)),"")</f>
        <v>27</v>
      </c>
      <c r="F1489" s="68" t="n">
        <f aca="false">IFERROR($C1489*$E1489,"")</f>
        <v>0.54</v>
      </c>
    </row>
    <row r="1490" customFormat="false" ht="15" hidden="false" customHeight="true" outlineLevel="0" collapsed="false">
      <c r="A1490" s="65" t="s">
        <v>401</v>
      </c>
      <c r="B1490" s="65" t="s">
        <v>190</v>
      </c>
      <c r="C1490" s="65" t="n">
        <v>0.02</v>
      </c>
      <c r="D1490" s="66" t="str">
        <f aca="false">IFERROR(INDEX(المكونات!$B$2:$B$500,MATCH($B1490,المكونات!$A$2:$A$500,0)),"")</f>
        <v>كجم</v>
      </c>
      <c r="E1490" s="67" t="n">
        <f aca="false">IFERROR(INDEX(المكونات!$C$2:$C$500,MATCH($B1490,المكونات!$A$2:$A$500,0)),"")</f>
        <v>18</v>
      </c>
      <c r="F1490" s="68" t="n">
        <f aca="false">IFERROR($C1490*$E1490,"")</f>
        <v>0.36</v>
      </c>
    </row>
    <row r="1491" customFormat="false" ht="15" hidden="false" customHeight="true" outlineLevel="0" collapsed="false">
      <c r="A1491" s="65" t="s">
        <v>401</v>
      </c>
      <c r="B1491" s="65" t="s">
        <v>217</v>
      </c>
      <c r="C1491" s="65" t="n">
        <v>0.02</v>
      </c>
      <c r="D1491" s="66" t="str">
        <f aca="false">IFERROR(INDEX(المكونات!$B$2:$B$500,MATCH($B1491,المكونات!$A$2:$A$500,0)),"")</f>
        <v>كجم</v>
      </c>
      <c r="E1491" s="67" t="n">
        <f aca="false">IFERROR(INDEX(المكونات!$C$2:$C$500,MATCH($B1491,المكونات!$A$2:$A$500,0)),"")</f>
        <v>30</v>
      </c>
      <c r="F1491" s="68" t="n">
        <f aca="false">IFERROR($C1491*$E1491,"")</f>
        <v>0.6</v>
      </c>
    </row>
    <row r="1492" customFormat="false" ht="15" hidden="false" customHeight="true" outlineLevel="0" collapsed="false">
      <c r="A1492" s="65" t="s">
        <v>401</v>
      </c>
      <c r="B1492" s="65" t="s">
        <v>256</v>
      </c>
      <c r="C1492" s="65" t="n">
        <v>0.05</v>
      </c>
      <c r="D1492" s="66" t="str">
        <f aca="false">IFERROR(INDEX(المكونات!$B$2:$B$500,MATCH($B1492,المكونات!$A$2:$A$500,0)),"")</f>
        <v>كجم</v>
      </c>
      <c r="E1492" s="67" t="n">
        <f aca="false">IFERROR(INDEX(المكونات!$C$2:$C$500,MATCH($B1492,المكونات!$A$2:$A$500,0)),"")</f>
        <v>105</v>
      </c>
      <c r="F1492" s="68" t="n">
        <f aca="false">IFERROR($C1492*$E1492,"")</f>
        <v>5.25</v>
      </c>
    </row>
    <row r="1493" customFormat="false" ht="15" hidden="false" customHeight="true" outlineLevel="0" collapsed="false">
      <c r="A1493" s="65" t="s">
        <v>401</v>
      </c>
      <c r="B1493" s="65" t="s">
        <v>252</v>
      </c>
      <c r="C1493" s="65" t="n">
        <v>0.05</v>
      </c>
      <c r="D1493" s="66" t="str">
        <f aca="false">IFERROR(INDEX(المكونات!$B$2:$B$500,MATCH($B1493,المكونات!$A$2:$A$500,0)),"")</f>
        <v>كجم</v>
      </c>
      <c r="E1493" s="67" t="n">
        <f aca="false">IFERROR(INDEX(المكونات!$C$2:$C$500,MATCH($B1493,المكونات!$A$2:$A$500,0)),"")</f>
        <v>70</v>
      </c>
      <c r="F1493" s="68" t="n">
        <f aca="false">IFERROR($C1493*$E1493,"")</f>
        <v>3.5</v>
      </c>
    </row>
    <row r="1494" customFormat="false" ht="15" hidden="false" customHeight="true" outlineLevel="0" collapsed="false">
      <c r="A1494" s="65" t="s">
        <v>401</v>
      </c>
      <c r="B1494" s="65" t="s">
        <v>258</v>
      </c>
      <c r="C1494" s="65" t="n">
        <v>0.05</v>
      </c>
      <c r="D1494" s="66" t="str">
        <f aca="false">IFERROR(INDEX(المكونات!$B$2:$B$500,MATCH($B1494,المكونات!$A$2:$A$500,0)),"")</f>
        <v>كجم</v>
      </c>
      <c r="E1494" s="67" t="n">
        <f aca="false">IFERROR(INDEX(المكونات!$C$2:$C$500,MATCH($B1494,المكونات!$A$2:$A$500,0)),"")</f>
        <v>140</v>
      </c>
      <c r="F1494" s="68" t="n">
        <f aca="false">IFERROR($C1494*$E1494,"")</f>
        <v>7</v>
      </c>
    </row>
    <row r="1495" customFormat="false" ht="15" hidden="false" customHeight="true" outlineLevel="0" collapsed="false">
      <c r="A1495" s="65" t="s">
        <v>401</v>
      </c>
      <c r="B1495" s="65" t="s">
        <v>290</v>
      </c>
      <c r="C1495" s="65" t="n">
        <v>2</v>
      </c>
      <c r="D1495" s="66" t="str">
        <f aca="false">IFERROR(INDEX(المكونات!$B$2:$B$500,MATCH($B1495,المكونات!$A$2:$A$500,0)),"")</f>
        <v>قطعة</v>
      </c>
      <c r="E1495" s="67" t="n">
        <f aca="false">IFERROR(INDEX(المكونات!$C$2:$C$500,MATCH($B1495,المكونات!$A$2:$A$500,0)),"")</f>
        <v>0.3</v>
      </c>
      <c r="F1495" s="68" t="n">
        <f aca="false">IFERROR($C1495*$E1495,"")</f>
        <v>0.6</v>
      </c>
    </row>
    <row r="1496" customFormat="false" ht="15" hidden="false" customHeight="true" outlineLevel="0" collapsed="false">
      <c r="A1496" s="65" t="s">
        <v>401</v>
      </c>
      <c r="B1496" s="65" t="s">
        <v>319</v>
      </c>
      <c r="C1496" s="65" t="n">
        <v>1</v>
      </c>
      <c r="D1496" s="66" t="str">
        <f aca="false">IFERROR(INDEX(المكونات!$B$2:$B$500,MATCH($B1496,المكونات!$A$2:$A$500,0)),"")</f>
        <v>قطعة (ورقة)</v>
      </c>
      <c r="E1496" s="67" t="n">
        <f aca="false">IFERROR(INDEX(المكونات!$C$2:$C$500,MATCH($B1496,المكونات!$A$2:$A$500,0)),"")</f>
        <v>0.3665</v>
      </c>
      <c r="F1496" s="68" t="n">
        <f aca="false">IFERROR($C1496*$E1496,"")</f>
        <v>0.3665</v>
      </c>
    </row>
    <row r="1497" customFormat="false" ht="15" hidden="false" customHeight="true" outlineLevel="0" collapsed="false">
      <c r="A1497" s="65" t="s">
        <v>401</v>
      </c>
      <c r="B1497" s="65" t="s">
        <v>133</v>
      </c>
      <c r="C1497" s="65" t="n">
        <v>1</v>
      </c>
      <c r="D1497" s="66" t="str">
        <f aca="false">IFERROR(INDEX(المكونات!$B$2:$B$500,MATCH($B1497,المكونات!$A$2:$A$500,0)),"")</f>
        <v>قطعة (كيس)</v>
      </c>
      <c r="E1497" s="67" t="n">
        <f aca="false">IFERROR(INDEX(المكونات!$C$2:$C$500,MATCH($B1497,المكونات!$A$2:$A$500,0)),"")</f>
        <v>1.4</v>
      </c>
      <c r="F1497" s="68" t="n">
        <f aca="false">IFERROR($C1497*$E1497,"")</f>
        <v>1.4</v>
      </c>
    </row>
    <row r="1498" customFormat="false" ht="15" hidden="false" customHeight="true" outlineLevel="0" collapsed="false">
      <c r="A1498" s="65" t="s">
        <v>401</v>
      </c>
      <c r="B1498" s="65" t="s">
        <v>293</v>
      </c>
      <c r="C1498" s="65" t="n">
        <v>1</v>
      </c>
      <c r="D1498" s="66" t="str">
        <f aca="false">IFERROR(INDEX(المكونات!$B$2:$B$500,MATCH($B1498,المكونات!$A$2:$A$500,0)),"")</f>
        <v>قطعة</v>
      </c>
      <c r="E1498" s="67" t="n">
        <f aca="false">IFERROR(INDEX(المكونات!$C$2:$C$500,MATCH($B1498,المكونات!$A$2:$A$500,0)),"")</f>
        <v>0.5</v>
      </c>
      <c r="F1498" s="68" t="n">
        <f aca="false">IFERROR($C1498*$E1498,"")</f>
        <v>0.5</v>
      </c>
    </row>
    <row r="1499" customFormat="false" ht="15" hidden="false" customHeight="true" outlineLevel="0" collapsed="false">
      <c r="A1499" s="65" t="s">
        <v>401</v>
      </c>
      <c r="B1499" s="65" t="s">
        <v>211</v>
      </c>
      <c r="C1499" s="65" t="n">
        <v>2</v>
      </c>
      <c r="D1499" s="66" t="str">
        <f aca="false">IFERROR(INDEX(المكونات!$B$2:$B$500,MATCH($B1499,المكونات!$A$2:$A$500,0)),"")</f>
        <v>قطعة (جلفز)</v>
      </c>
      <c r="E1499" s="67" t="n">
        <f aca="false">IFERROR(INDEX(المكونات!$C$2:$C$500,MATCH($B1499,المكونات!$A$2:$A$500,0)),"")</f>
        <v>0.18</v>
      </c>
      <c r="F1499" s="68" t="n">
        <f aca="false">IFERROR($C1499*$E1499,"")</f>
        <v>0.36</v>
      </c>
    </row>
    <row r="1500" customFormat="false" ht="15" hidden="false" customHeight="true" outlineLevel="0" collapsed="false">
      <c r="A1500" s="65" t="s">
        <v>401</v>
      </c>
      <c r="B1500" s="65" t="s">
        <v>322</v>
      </c>
      <c r="C1500" s="65" t="n">
        <v>1</v>
      </c>
      <c r="D1500" s="66" t="str">
        <f aca="false">IFERROR(INDEX(المكونات!$B$2:$B$500,MATCH($B1500,المكونات!$A$2:$A$500,0)),"")</f>
        <v>قطعة (كيس)</v>
      </c>
      <c r="E1500" s="67" t="n">
        <f aca="false">IFERROR(INDEX(المكونات!$C$2:$C$500,MATCH($B1500,المكونات!$A$2:$A$500,0)),"")</f>
        <v>1</v>
      </c>
      <c r="F1500" s="68" t="n">
        <f aca="false">IFERROR($C1500*$E1500,"")</f>
        <v>1</v>
      </c>
    </row>
    <row r="1501" customFormat="false" ht="15" hidden="false" customHeight="true" outlineLevel="0" collapsed="false">
      <c r="A1501" s="65" t="s">
        <v>401</v>
      </c>
      <c r="B1501" s="65" t="s">
        <v>344</v>
      </c>
      <c r="C1501" s="65" t="n">
        <v>1</v>
      </c>
      <c r="D1501" s="66" t="str">
        <f aca="false">IFERROR(INDEX(المكونات!$B$2:$B$500,MATCH($B1501,المكونات!$A$2:$A$500,0)),"")</f>
        <v>قطعة</v>
      </c>
      <c r="E1501" s="67" t="n">
        <f aca="false">IFERROR(INDEX(المكونات!$C$2:$C$500,MATCH($B1501,المكونات!$A$2:$A$500,0)),"")</f>
        <v>4.44</v>
      </c>
      <c r="F1501" s="68" t="n">
        <f aca="false">IFERROR($C1501*$E1501,"")</f>
        <v>4.44</v>
      </c>
    </row>
    <row r="1502" customFormat="false" ht="15" hidden="false" customHeight="true" outlineLevel="0" collapsed="false">
      <c r="A1502" s="65" t="s">
        <v>514</v>
      </c>
      <c r="B1502" s="65" t="s">
        <v>309</v>
      </c>
      <c r="C1502" s="65" t="n">
        <v>0.15</v>
      </c>
      <c r="D1502" s="66" t="str">
        <f aca="false">IFERROR(INDEX(المكونات!$B$2:$B$500,MATCH($B1502,المكونات!$A$2:$A$500,0)),"")</f>
        <v>كجم</v>
      </c>
      <c r="E1502" s="67" t="n">
        <f aca="false">IFERROR(INDEX(المكونات!$C$2:$C$500,MATCH($B1502,المكونات!$A$2:$A$500,0)),"")</f>
        <v>24</v>
      </c>
      <c r="F1502" s="68" t="n">
        <f aca="false">IFERROR($C1502*$E1502,"")</f>
        <v>3.6</v>
      </c>
    </row>
    <row r="1503" customFormat="false" ht="15" hidden="false" customHeight="true" outlineLevel="0" collapsed="false">
      <c r="A1503" s="65" t="s">
        <v>514</v>
      </c>
      <c r="B1503" s="65" t="s">
        <v>188</v>
      </c>
      <c r="C1503" s="65" t="n">
        <v>0.2</v>
      </c>
      <c r="D1503" s="66" t="str">
        <f aca="false">IFERROR(INDEX(المكونات!$B$2:$B$500,MATCH($B1503,المكونات!$A$2:$A$500,0)),"")</f>
        <v>كجم</v>
      </c>
      <c r="E1503" s="67" t="n">
        <f aca="false">IFERROR(INDEX(المكونات!$C$2:$C$500,MATCH($B1503,المكونات!$A$2:$A$500,0)),"")</f>
        <v>25</v>
      </c>
      <c r="F1503" s="68" t="n">
        <f aca="false">IFERROR($C1503*$E1503,"")</f>
        <v>5</v>
      </c>
    </row>
    <row r="1504" customFormat="false" ht="15" hidden="false" customHeight="true" outlineLevel="0" collapsed="false">
      <c r="A1504" s="65" t="s">
        <v>514</v>
      </c>
      <c r="B1504" s="65" t="s">
        <v>176</v>
      </c>
      <c r="C1504" s="65" t="n">
        <v>1</v>
      </c>
      <c r="D1504" s="66" t="str">
        <f aca="false">IFERROR(INDEX(المكونات!$B$2:$B$500,MATCH($B1504,المكونات!$A$2:$A$500,0)),"")</f>
        <v>قطعة</v>
      </c>
      <c r="E1504" s="67" t="n">
        <f aca="false">IFERROR(INDEX(المكونات!$C$2:$C$500,MATCH($B1504,المكونات!$A$2:$A$500,0)),"")</f>
        <v>17.5</v>
      </c>
      <c r="F1504" s="68" t="n">
        <f aca="false">IFERROR($C1504*$E1504,"")</f>
        <v>17.5</v>
      </c>
    </row>
    <row r="1505" customFormat="false" ht="15" hidden="false" customHeight="true" outlineLevel="0" collapsed="false">
      <c r="A1505" s="65" t="s">
        <v>514</v>
      </c>
      <c r="B1505" s="65" t="s">
        <v>328</v>
      </c>
      <c r="C1505" s="65" t="n">
        <v>1</v>
      </c>
      <c r="D1505" s="66" t="str">
        <f aca="false">IFERROR(INDEX(المكونات!$B$2:$B$500,MATCH($B1505,المكونات!$A$2:$A$500,0)),"")</f>
        <v>قطعة</v>
      </c>
      <c r="E1505" s="67" t="n">
        <f aca="false">IFERROR(INDEX(المكونات!$C$2:$C$500,MATCH($B1505,المكونات!$A$2:$A$500,0)),"")</f>
        <v>4.47</v>
      </c>
      <c r="F1505" s="68" t="n">
        <f aca="false">IFERROR($C1505*$E1505,"")</f>
        <v>4.47</v>
      </c>
    </row>
    <row r="1506" customFormat="false" ht="15" hidden="false" customHeight="true" outlineLevel="0" collapsed="false">
      <c r="A1506" s="65" t="s">
        <v>514</v>
      </c>
      <c r="B1506" s="65" t="s">
        <v>122</v>
      </c>
      <c r="C1506" s="65" t="n">
        <v>1</v>
      </c>
      <c r="D1506" s="66" t="str">
        <f aca="false">IFERROR(INDEX(المكونات!$B$2:$B$500,MATCH($B1506,المكونات!$A$2:$A$500,0)),"")</f>
        <v>قطعة</v>
      </c>
      <c r="E1506" s="67" t="n">
        <f aca="false">IFERROR(INDEX(المكونات!$C$2:$C$500,MATCH($B1506,المكونات!$A$2:$A$500,0)),"")</f>
        <v>3.3</v>
      </c>
      <c r="F1506" s="68" t="n">
        <f aca="false">IFERROR($C1506*$E1506,"")</f>
        <v>3.3</v>
      </c>
    </row>
    <row r="1507" customFormat="false" ht="15" hidden="false" customHeight="true" outlineLevel="0" collapsed="false">
      <c r="A1507" s="65" t="s">
        <v>514</v>
      </c>
      <c r="B1507" s="65" t="s">
        <v>243</v>
      </c>
      <c r="C1507" s="65" t="n">
        <v>1</v>
      </c>
      <c r="D1507" s="66" t="str">
        <f aca="false">IFERROR(INDEX(المكونات!$B$2:$B$500,MATCH($B1507,المكونات!$A$2:$A$500,0)),"")</f>
        <v>قطعة</v>
      </c>
      <c r="E1507" s="67" t="n">
        <f aca="false">IFERROR(INDEX(المكونات!$C$2:$C$500,MATCH($B1507,المكونات!$A$2:$A$500,0)),"")</f>
        <v>0.3</v>
      </c>
      <c r="F1507" s="68" t="n">
        <f aca="false">IFERROR($C1507*$E1507,"")</f>
        <v>0.3</v>
      </c>
    </row>
    <row r="1508" customFormat="false" ht="15" hidden="false" customHeight="true" outlineLevel="0" collapsed="false">
      <c r="A1508" s="65" t="s">
        <v>514</v>
      </c>
      <c r="B1508" s="65" t="s">
        <v>290</v>
      </c>
      <c r="C1508" s="65" t="n">
        <v>2</v>
      </c>
      <c r="D1508" s="66" t="str">
        <f aca="false">IFERROR(INDEX(المكونات!$B$2:$B$500,MATCH($B1508,المكونات!$A$2:$A$500,0)),"")</f>
        <v>قطعة</v>
      </c>
      <c r="E1508" s="67" t="n">
        <f aca="false">IFERROR(INDEX(المكونات!$C$2:$C$500,MATCH($B1508,المكونات!$A$2:$A$500,0)),"")</f>
        <v>0.3</v>
      </c>
      <c r="F1508" s="68" t="n">
        <f aca="false">IFERROR($C1508*$E1508,"")</f>
        <v>0.6</v>
      </c>
    </row>
    <row r="1509" customFormat="false" ht="15" hidden="false" customHeight="true" outlineLevel="0" collapsed="false">
      <c r="A1509" s="65" t="s">
        <v>514</v>
      </c>
      <c r="B1509" s="65" t="s">
        <v>211</v>
      </c>
      <c r="C1509" s="65" t="n">
        <v>2</v>
      </c>
      <c r="D1509" s="66" t="str">
        <f aca="false">IFERROR(INDEX(المكونات!$B$2:$B$500,MATCH($B1509,المكونات!$A$2:$A$500,0)),"")</f>
        <v>قطعة (جلفز)</v>
      </c>
      <c r="E1509" s="67" t="n">
        <f aca="false">IFERROR(INDEX(المكونات!$C$2:$C$500,MATCH($B1509,المكونات!$A$2:$A$500,0)),"")</f>
        <v>0.18</v>
      </c>
      <c r="F1509" s="68" t="n">
        <f aca="false">IFERROR($C1509*$E1509,"")</f>
        <v>0.36</v>
      </c>
    </row>
    <row r="1510" customFormat="false" ht="15" hidden="false" customHeight="true" outlineLevel="0" collapsed="false">
      <c r="A1510" s="65" t="s">
        <v>514</v>
      </c>
      <c r="B1510" s="65" t="s">
        <v>136</v>
      </c>
      <c r="C1510" s="65" t="n">
        <v>1</v>
      </c>
      <c r="D1510" s="66" t="str">
        <f aca="false">IFERROR(INDEX(المكونات!$B$2:$B$500,MATCH($B1510,المكونات!$A$2:$A$500,0)),"")</f>
        <v>قطعة (كيس)</v>
      </c>
      <c r="E1510" s="67" t="n">
        <f aca="false">IFERROR(INDEX(المكونات!$C$2:$C$500,MATCH($B1510,المكونات!$A$2:$A$500,0)),"")</f>
        <v>1.4</v>
      </c>
      <c r="F1510" s="68" t="n">
        <f aca="false">IFERROR($C1510*$E1510,"")</f>
        <v>1.4</v>
      </c>
    </row>
    <row r="1511" customFormat="false" ht="15" hidden="false" customHeight="true" outlineLevel="0" collapsed="false">
      <c r="A1511" s="65" t="s">
        <v>392</v>
      </c>
      <c r="B1511" s="65" t="s">
        <v>309</v>
      </c>
      <c r="C1511" s="65" t="n">
        <v>0.15</v>
      </c>
      <c r="D1511" s="66" t="str">
        <f aca="false">IFERROR(INDEX(المكونات!$B$2:$B$500,MATCH($B1511,المكونات!$A$2:$A$500,0)),"")</f>
        <v>كجم</v>
      </c>
      <c r="E1511" s="67" t="n">
        <f aca="false">IFERROR(INDEX(المكونات!$C$2:$C$500,MATCH($B1511,المكونات!$A$2:$A$500,0)),"")</f>
        <v>24</v>
      </c>
      <c r="F1511" s="68" t="n">
        <f aca="false">IFERROR($C1511*$E1511,"")</f>
        <v>3.6</v>
      </c>
    </row>
    <row r="1512" customFormat="false" ht="15" hidden="false" customHeight="true" outlineLevel="0" collapsed="false">
      <c r="A1512" s="65" t="s">
        <v>392</v>
      </c>
      <c r="B1512" s="65" t="s">
        <v>188</v>
      </c>
      <c r="C1512" s="65" t="n">
        <v>0.2</v>
      </c>
      <c r="D1512" s="66" t="str">
        <f aca="false">IFERROR(INDEX(المكونات!$B$2:$B$500,MATCH($B1512,المكونات!$A$2:$A$500,0)),"")</f>
        <v>كجم</v>
      </c>
      <c r="E1512" s="67" t="n">
        <f aca="false">IFERROR(INDEX(المكونات!$C$2:$C$500,MATCH($B1512,المكونات!$A$2:$A$500,0)),"")</f>
        <v>25</v>
      </c>
      <c r="F1512" s="68" t="n">
        <f aca="false">IFERROR($C1512*$E1512,"")</f>
        <v>5</v>
      </c>
    </row>
    <row r="1513" customFormat="false" ht="15" hidden="false" customHeight="true" outlineLevel="0" collapsed="false">
      <c r="A1513" s="65" t="s">
        <v>392</v>
      </c>
      <c r="B1513" s="65" t="s">
        <v>176</v>
      </c>
      <c r="C1513" s="65" t="n">
        <v>1</v>
      </c>
      <c r="D1513" s="66" t="str">
        <f aca="false">IFERROR(INDEX(المكونات!$B$2:$B$500,MATCH($B1513,المكونات!$A$2:$A$500,0)),"")</f>
        <v>قطعة</v>
      </c>
      <c r="E1513" s="67" t="n">
        <f aca="false">IFERROR(INDEX(المكونات!$C$2:$C$500,MATCH($B1513,المكونات!$A$2:$A$500,0)),"")</f>
        <v>17.5</v>
      </c>
      <c r="F1513" s="68" t="n">
        <f aca="false">IFERROR($C1513*$E1513,"")</f>
        <v>17.5</v>
      </c>
    </row>
    <row r="1514" customFormat="false" ht="15" hidden="false" customHeight="true" outlineLevel="0" collapsed="false">
      <c r="A1514" s="65" t="s">
        <v>392</v>
      </c>
      <c r="B1514" s="65" t="s">
        <v>307</v>
      </c>
      <c r="C1514" s="65" t="n">
        <v>0.06</v>
      </c>
      <c r="D1514" s="66" t="str">
        <f aca="false">IFERROR(INDEX(المكونات!$B$2:$B$500,MATCH($B1514,المكونات!$A$2:$A$500,0)),"")</f>
        <v>كجم</v>
      </c>
      <c r="E1514" s="67" t="n">
        <f aca="false">IFERROR(INDEX(المكونات!$C$2:$C$500,MATCH($B1514,المكونات!$A$2:$A$500,0)),"")</f>
        <v>151.2027</v>
      </c>
      <c r="F1514" s="68" t="n">
        <f aca="false">IFERROR($C1514*$E1514,"")</f>
        <v>9.072162</v>
      </c>
    </row>
    <row r="1515" customFormat="false" ht="15" hidden="false" customHeight="true" outlineLevel="0" collapsed="false">
      <c r="A1515" s="65" t="s">
        <v>392</v>
      </c>
      <c r="B1515" s="65" t="s">
        <v>328</v>
      </c>
      <c r="C1515" s="65" t="n">
        <v>1</v>
      </c>
      <c r="D1515" s="66" t="str">
        <f aca="false">IFERROR(INDEX(المكونات!$B$2:$B$500,MATCH($B1515,المكونات!$A$2:$A$500,0)),"")</f>
        <v>قطعة</v>
      </c>
      <c r="E1515" s="67" t="n">
        <f aca="false">IFERROR(INDEX(المكونات!$C$2:$C$500,MATCH($B1515,المكونات!$A$2:$A$500,0)),"")</f>
        <v>4.47</v>
      </c>
      <c r="F1515" s="68" t="n">
        <f aca="false">IFERROR($C1515*$E1515,"")</f>
        <v>4.47</v>
      </c>
    </row>
    <row r="1516" customFormat="false" ht="15" hidden="false" customHeight="true" outlineLevel="0" collapsed="false">
      <c r="A1516" s="65" t="s">
        <v>392</v>
      </c>
      <c r="B1516" s="65" t="s">
        <v>122</v>
      </c>
      <c r="C1516" s="65" t="n">
        <v>1</v>
      </c>
      <c r="D1516" s="66" t="str">
        <f aca="false">IFERROR(INDEX(المكونات!$B$2:$B$500,MATCH($B1516,المكونات!$A$2:$A$500,0)),"")</f>
        <v>قطعة</v>
      </c>
      <c r="E1516" s="67" t="n">
        <f aca="false">IFERROR(INDEX(المكونات!$C$2:$C$500,MATCH($B1516,المكونات!$A$2:$A$500,0)),"")</f>
        <v>3.3</v>
      </c>
      <c r="F1516" s="68" t="n">
        <f aca="false">IFERROR($C1516*$E1516,"")</f>
        <v>3.3</v>
      </c>
    </row>
    <row r="1517" customFormat="false" ht="15" hidden="false" customHeight="true" outlineLevel="0" collapsed="false">
      <c r="A1517" s="65" t="s">
        <v>392</v>
      </c>
      <c r="B1517" s="65" t="s">
        <v>243</v>
      </c>
      <c r="C1517" s="65" t="n">
        <v>1</v>
      </c>
      <c r="D1517" s="66" t="str">
        <f aca="false">IFERROR(INDEX(المكونات!$B$2:$B$500,MATCH($B1517,المكونات!$A$2:$A$500,0)),"")</f>
        <v>قطعة</v>
      </c>
      <c r="E1517" s="67" t="n">
        <f aca="false">IFERROR(INDEX(المكونات!$C$2:$C$500,MATCH($B1517,المكونات!$A$2:$A$500,0)),"")</f>
        <v>0.3</v>
      </c>
      <c r="F1517" s="68" t="n">
        <f aca="false">IFERROR($C1517*$E1517,"")</f>
        <v>0.3</v>
      </c>
    </row>
    <row r="1518" customFormat="false" ht="15" hidden="false" customHeight="true" outlineLevel="0" collapsed="false">
      <c r="A1518" s="65" t="s">
        <v>392</v>
      </c>
      <c r="B1518" s="65" t="s">
        <v>290</v>
      </c>
      <c r="C1518" s="65" t="n">
        <v>2</v>
      </c>
      <c r="D1518" s="66" t="str">
        <f aca="false">IFERROR(INDEX(المكونات!$B$2:$B$500,MATCH($B1518,المكونات!$A$2:$A$500,0)),"")</f>
        <v>قطعة</v>
      </c>
      <c r="E1518" s="67" t="n">
        <f aca="false">IFERROR(INDEX(المكونات!$C$2:$C$500,MATCH($B1518,المكونات!$A$2:$A$500,0)),"")</f>
        <v>0.3</v>
      </c>
      <c r="F1518" s="68" t="n">
        <f aca="false">IFERROR($C1518*$E1518,"")</f>
        <v>0.6</v>
      </c>
    </row>
    <row r="1519" customFormat="false" ht="15" hidden="false" customHeight="true" outlineLevel="0" collapsed="false">
      <c r="A1519" s="65" t="s">
        <v>392</v>
      </c>
      <c r="B1519" s="65" t="s">
        <v>211</v>
      </c>
      <c r="C1519" s="65" t="n">
        <v>2</v>
      </c>
      <c r="D1519" s="66" t="str">
        <f aca="false">IFERROR(INDEX(المكونات!$B$2:$B$500,MATCH($B1519,المكونات!$A$2:$A$500,0)),"")</f>
        <v>قطعة (جلفز)</v>
      </c>
      <c r="E1519" s="67" t="n">
        <f aca="false">IFERROR(INDEX(المكونات!$C$2:$C$500,MATCH($B1519,المكونات!$A$2:$A$500,0)),"")</f>
        <v>0.18</v>
      </c>
      <c r="F1519" s="68" t="n">
        <f aca="false">IFERROR($C1519*$E1519,"")</f>
        <v>0.36</v>
      </c>
    </row>
    <row r="1520" customFormat="false" ht="15" hidden="false" customHeight="true" outlineLevel="0" collapsed="false">
      <c r="A1520" s="65" t="s">
        <v>392</v>
      </c>
      <c r="B1520" s="65" t="s">
        <v>136</v>
      </c>
      <c r="C1520" s="65" t="n">
        <v>1</v>
      </c>
      <c r="D1520" s="66" t="str">
        <f aca="false">IFERROR(INDEX(المكونات!$B$2:$B$500,MATCH($B1520,المكونات!$A$2:$A$500,0)),"")</f>
        <v>قطعة (كيس)</v>
      </c>
      <c r="E1520" s="67" t="n">
        <f aca="false">IFERROR(INDEX(المكونات!$C$2:$C$500,MATCH($B1520,المكونات!$A$2:$A$500,0)),"")</f>
        <v>1.4</v>
      </c>
      <c r="F1520" s="68" t="n">
        <f aca="false">IFERROR($C1520*$E1520,"")</f>
        <v>1.4</v>
      </c>
    </row>
    <row r="1521" customFormat="false" ht="15" hidden="false" customHeight="true" outlineLevel="0" collapsed="false">
      <c r="A1521" s="65" t="s">
        <v>520</v>
      </c>
      <c r="B1521" s="65" t="s">
        <v>309</v>
      </c>
      <c r="C1521" s="65" t="n">
        <v>0.15</v>
      </c>
      <c r="D1521" s="66" t="str">
        <f aca="false">IFERROR(INDEX(المكونات!$B$2:$B$500,MATCH($B1521,المكونات!$A$2:$A$500,0)),"")</f>
        <v>كجم</v>
      </c>
      <c r="E1521" s="67" t="n">
        <f aca="false">IFERROR(INDEX(المكونات!$C$2:$C$500,MATCH($B1521,المكونات!$A$2:$A$500,0)),"")</f>
        <v>24</v>
      </c>
      <c r="F1521" s="68" t="n">
        <f aca="false">IFERROR($C1521*$E1521,"")</f>
        <v>3.6</v>
      </c>
    </row>
    <row r="1522" customFormat="false" ht="15" hidden="false" customHeight="true" outlineLevel="0" collapsed="false">
      <c r="A1522" s="65" t="s">
        <v>520</v>
      </c>
      <c r="B1522" s="65" t="s">
        <v>188</v>
      </c>
      <c r="C1522" s="65" t="n">
        <v>0.2</v>
      </c>
      <c r="D1522" s="66" t="str">
        <f aca="false">IFERROR(INDEX(المكونات!$B$2:$B$500,MATCH($B1522,المكونات!$A$2:$A$500,0)),"")</f>
        <v>كجم</v>
      </c>
      <c r="E1522" s="67" t="n">
        <f aca="false">IFERROR(INDEX(المكونات!$C$2:$C$500,MATCH($B1522,المكونات!$A$2:$A$500,0)),"")</f>
        <v>25</v>
      </c>
      <c r="F1522" s="68" t="n">
        <f aca="false">IFERROR($C1522*$E1522,"")</f>
        <v>5</v>
      </c>
    </row>
    <row r="1523" customFormat="false" ht="15" hidden="false" customHeight="true" outlineLevel="0" collapsed="false">
      <c r="A1523" s="65" t="s">
        <v>520</v>
      </c>
      <c r="B1523" s="65" t="s">
        <v>176</v>
      </c>
      <c r="C1523" s="65" t="n">
        <v>1</v>
      </c>
      <c r="D1523" s="66" t="str">
        <f aca="false">IFERROR(INDEX(المكونات!$B$2:$B$500,MATCH($B1523,المكونات!$A$2:$A$500,0)),"")</f>
        <v>قطعة</v>
      </c>
      <c r="E1523" s="67" t="n">
        <f aca="false">IFERROR(INDEX(المكونات!$C$2:$C$500,MATCH($B1523,المكونات!$A$2:$A$500,0)),"")</f>
        <v>17.5</v>
      </c>
      <c r="F1523" s="68" t="n">
        <f aca="false">IFERROR($C1523*$E1523,"")</f>
        <v>17.5</v>
      </c>
    </row>
    <row r="1524" customFormat="false" ht="15" hidden="false" customHeight="true" outlineLevel="0" collapsed="false">
      <c r="A1524" s="65" t="s">
        <v>520</v>
      </c>
      <c r="B1524" s="65" t="s">
        <v>336</v>
      </c>
      <c r="C1524" s="65" t="n">
        <v>0.14</v>
      </c>
      <c r="D1524" s="66" t="str">
        <f aca="false">IFERROR(INDEX(المكونات!$B$2:$B$500,MATCH($B1524,المكونات!$A$2:$A$500,0)),"")</f>
        <v>كجم</v>
      </c>
      <c r="E1524" s="67" t="n">
        <f aca="false">IFERROR(INDEX(المكونات!$C$2:$C$500,MATCH($B1524,المكونات!$A$2:$A$500,0)),"")</f>
        <v>220.02</v>
      </c>
      <c r="F1524" s="68" t="n">
        <f aca="false">IFERROR($C1524*$E1524,"")</f>
        <v>30.8028</v>
      </c>
    </row>
    <row r="1525" customFormat="false" ht="15" hidden="false" customHeight="true" outlineLevel="0" collapsed="false">
      <c r="A1525" s="65" t="s">
        <v>520</v>
      </c>
      <c r="B1525" s="65" t="s">
        <v>328</v>
      </c>
      <c r="C1525" s="65" t="n">
        <v>1</v>
      </c>
      <c r="D1525" s="66" t="str">
        <f aca="false">IFERROR(INDEX(المكونات!$B$2:$B$500,MATCH($B1525,المكونات!$A$2:$A$500,0)),"")</f>
        <v>قطعة</v>
      </c>
      <c r="E1525" s="67" t="n">
        <f aca="false">IFERROR(INDEX(المكونات!$C$2:$C$500,MATCH($B1525,المكونات!$A$2:$A$500,0)),"")</f>
        <v>4.47</v>
      </c>
      <c r="F1525" s="68" t="n">
        <f aca="false">IFERROR($C1525*$E1525,"")</f>
        <v>4.47</v>
      </c>
    </row>
    <row r="1526" customFormat="false" ht="15" hidden="false" customHeight="true" outlineLevel="0" collapsed="false">
      <c r="A1526" s="65" t="s">
        <v>520</v>
      </c>
      <c r="B1526" s="65" t="s">
        <v>122</v>
      </c>
      <c r="C1526" s="65" t="n">
        <v>1</v>
      </c>
      <c r="D1526" s="66" t="str">
        <f aca="false">IFERROR(INDEX(المكونات!$B$2:$B$500,MATCH($B1526,المكونات!$A$2:$A$500,0)),"")</f>
        <v>قطعة</v>
      </c>
      <c r="E1526" s="67" t="n">
        <f aca="false">IFERROR(INDEX(المكونات!$C$2:$C$500,MATCH($B1526,المكونات!$A$2:$A$500,0)),"")</f>
        <v>3.3</v>
      </c>
      <c r="F1526" s="68" t="n">
        <f aca="false">IFERROR($C1526*$E1526,"")</f>
        <v>3.3</v>
      </c>
    </row>
    <row r="1527" customFormat="false" ht="15" hidden="false" customHeight="true" outlineLevel="0" collapsed="false">
      <c r="A1527" s="65" t="s">
        <v>520</v>
      </c>
      <c r="B1527" s="65" t="s">
        <v>243</v>
      </c>
      <c r="C1527" s="65" t="n">
        <v>1</v>
      </c>
      <c r="D1527" s="66" t="str">
        <f aca="false">IFERROR(INDEX(المكونات!$B$2:$B$500,MATCH($B1527,المكونات!$A$2:$A$500,0)),"")</f>
        <v>قطعة</v>
      </c>
      <c r="E1527" s="67" t="n">
        <f aca="false">IFERROR(INDEX(المكونات!$C$2:$C$500,MATCH($B1527,المكونات!$A$2:$A$500,0)),"")</f>
        <v>0.3</v>
      </c>
      <c r="F1527" s="68" t="n">
        <f aca="false">IFERROR($C1527*$E1527,"")</f>
        <v>0.3</v>
      </c>
    </row>
    <row r="1528" customFormat="false" ht="15" hidden="false" customHeight="true" outlineLevel="0" collapsed="false">
      <c r="A1528" s="65" t="s">
        <v>520</v>
      </c>
      <c r="B1528" s="65" t="s">
        <v>290</v>
      </c>
      <c r="C1528" s="65" t="n">
        <v>2</v>
      </c>
      <c r="D1528" s="66" t="str">
        <f aca="false">IFERROR(INDEX(المكونات!$B$2:$B$500,MATCH($B1528,المكونات!$A$2:$A$500,0)),"")</f>
        <v>قطعة</v>
      </c>
      <c r="E1528" s="67" t="n">
        <f aca="false">IFERROR(INDEX(المكونات!$C$2:$C$500,MATCH($B1528,المكونات!$A$2:$A$500,0)),"")</f>
        <v>0.3</v>
      </c>
      <c r="F1528" s="68" t="n">
        <f aca="false">IFERROR($C1528*$E1528,"")</f>
        <v>0.6</v>
      </c>
    </row>
    <row r="1529" customFormat="false" ht="15" hidden="false" customHeight="true" outlineLevel="0" collapsed="false">
      <c r="A1529" s="65" t="s">
        <v>520</v>
      </c>
      <c r="B1529" s="65" t="s">
        <v>211</v>
      </c>
      <c r="C1529" s="65" t="n">
        <v>2</v>
      </c>
      <c r="D1529" s="66" t="str">
        <f aca="false">IFERROR(INDEX(المكونات!$B$2:$B$500,MATCH($B1529,المكونات!$A$2:$A$500,0)),"")</f>
        <v>قطعة (جلفز)</v>
      </c>
      <c r="E1529" s="67" t="n">
        <f aca="false">IFERROR(INDEX(المكونات!$C$2:$C$500,MATCH($B1529,المكونات!$A$2:$A$500,0)),"")</f>
        <v>0.18</v>
      </c>
      <c r="F1529" s="68" t="n">
        <f aca="false">IFERROR($C1529*$E1529,"")</f>
        <v>0.36</v>
      </c>
    </row>
    <row r="1530" customFormat="false" ht="15" hidden="false" customHeight="true" outlineLevel="0" collapsed="false">
      <c r="A1530" s="65" t="s">
        <v>520</v>
      </c>
      <c r="B1530" s="65" t="s">
        <v>136</v>
      </c>
      <c r="C1530" s="65" t="n">
        <v>1</v>
      </c>
      <c r="D1530" s="66" t="str">
        <f aca="false">IFERROR(INDEX(المكونات!$B$2:$B$500,MATCH($B1530,المكونات!$A$2:$A$500,0)),"")</f>
        <v>قطعة (كيس)</v>
      </c>
      <c r="E1530" s="67" t="n">
        <f aca="false">IFERROR(INDEX(المكونات!$C$2:$C$500,MATCH($B1530,المكونات!$A$2:$A$500,0)),"")</f>
        <v>1.4</v>
      </c>
      <c r="F1530" s="68" t="n">
        <f aca="false">IFERROR($C1530*$E1530,"")</f>
        <v>1.4</v>
      </c>
    </row>
    <row r="1531" customFormat="false" ht="15" hidden="false" customHeight="true" outlineLevel="0" collapsed="false">
      <c r="A1531" s="65" t="s">
        <v>416</v>
      </c>
      <c r="B1531" s="65" t="s">
        <v>309</v>
      </c>
      <c r="C1531" s="65" t="n">
        <v>0.15</v>
      </c>
      <c r="D1531" s="66" t="str">
        <f aca="false">IFERROR(INDEX(المكونات!$B$2:$B$500,MATCH($B1531,المكونات!$A$2:$A$500,0)),"")</f>
        <v>كجم</v>
      </c>
      <c r="E1531" s="67" t="n">
        <f aca="false">IFERROR(INDEX(المكونات!$C$2:$C$500,MATCH($B1531,المكونات!$A$2:$A$500,0)),"")</f>
        <v>24</v>
      </c>
      <c r="F1531" s="68" t="n">
        <f aca="false">IFERROR($C1531*$E1531,"")</f>
        <v>3.6</v>
      </c>
    </row>
    <row r="1532" customFormat="false" ht="15" hidden="false" customHeight="true" outlineLevel="0" collapsed="false">
      <c r="A1532" s="65" t="s">
        <v>416</v>
      </c>
      <c r="B1532" s="65" t="s">
        <v>188</v>
      </c>
      <c r="C1532" s="65" t="n">
        <v>0.2</v>
      </c>
      <c r="D1532" s="66" t="str">
        <f aca="false">IFERROR(INDEX(المكونات!$B$2:$B$500,MATCH($B1532,المكونات!$A$2:$A$500,0)),"")</f>
        <v>كجم</v>
      </c>
      <c r="E1532" s="67" t="n">
        <f aca="false">IFERROR(INDEX(المكونات!$C$2:$C$500,MATCH($B1532,المكونات!$A$2:$A$500,0)),"")</f>
        <v>25</v>
      </c>
      <c r="F1532" s="68" t="n">
        <f aca="false">IFERROR($C1532*$E1532,"")</f>
        <v>5</v>
      </c>
    </row>
    <row r="1533" customFormat="false" ht="15" hidden="false" customHeight="true" outlineLevel="0" collapsed="false">
      <c r="A1533" s="65" t="s">
        <v>416</v>
      </c>
      <c r="B1533" s="65" t="s">
        <v>176</v>
      </c>
      <c r="C1533" s="65" t="n">
        <v>1</v>
      </c>
      <c r="D1533" s="66" t="str">
        <f aca="false">IFERROR(INDEX(المكونات!$B$2:$B$500,MATCH($B1533,المكونات!$A$2:$A$500,0)),"")</f>
        <v>قطعة</v>
      </c>
      <c r="E1533" s="67" t="n">
        <f aca="false">IFERROR(INDEX(المكونات!$C$2:$C$500,MATCH($B1533,المكونات!$A$2:$A$500,0)),"")</f>
        <v>17.5</v>
      </c>
      <c r="F1533" s="68" t="n">
        <f aca="false">IFERROR($C1533*$E1533,"")</f>
        <v>17.5</v>
      </c>
    </row>
    <row r="1534" customFormat="false" ht="15" hidden="false" customHeight="true" outlineLevel="0" collapsed="false">
      <c r="A1534" s="65" t="s">
        <v>416</v>
      </c>
      <c r="B1534" s="65" t="s">
        <v>282</v>
      </c>
      <c r="C1534" s="65" t="n">
        <v>0.14</v>
      </c>
      <c r="D1534" s="66" t="str">
        <f aca="false">IFERROR(INDEX(المكونات!$B$2:$B$500,MATCH($B1534,المكونات!$A$2:$A$500,0)),"")</f>
        <v>كجم</v>
      </c>
      <c r="E1534" s="67" t="n">
        <f aca="false">IFERROR(INDEX(المكونات!$C$2:$C$500,MATCH($B1534,المكونات!$A$2:$A$500,0)),"")</f>
        <v>150</v>
      </c>
      <c r="F1534" s="68" t="n">
        <f aca="false">IFERROR($C1534*$E1534,"")</f>
        <v>21</v>
      </c>
    </row>
    <row r="1535" customFormat="false" ht="15" hidden="false" customHeight="true" outlineLevel="0" collapsed="false">
      <c r="A1535" s="65" t="s">
        <v>416</v>
      </c>
      <c r="B1535" s="65" t="s">
        <v>252</v>
      </c>
      <c r="C1535" s="65" t="n">
        <v>0.1</v>
      </c>
      <c r="D1535" s="66" t="str">
        <f aca="false">IFERROR(INDEX(المكونات!$B$2:$B$500,MATCH($B1535,المكونات!$A$2:$A$500,0)),"")</f>
        <v>كجم</v>
      </c>
      <c r="E1535" s="67" t="n">
        <f aca="false">IFERROR(INDEX(المكونات!$C$2:$C$500,MATCH($B1535,المكونات!$A$2:$A$500,0)),"")</f>
        <v>70</v>
      </c>
      <c r="F1535" s="68" t="n">
        <f aca="false">IFERROR($C1535*$E1535,"")</f>
        <v>7</v>
      </c>
    </row>
    <row r="1536" customFormat="false" ht="15" hidden="false" customHeight="true" outlineLevel="0" collapsed="false">
      <c r="A1536" s="65" t="s">
        <v>416</v>
      </c>
      <c r="B1536" s="65" t="s">
        <v>328</v>
      </c>
      <c r="C1536" s="65" t="n">
        <v>1</v>
      </c>
      <c r="D1536" s="66" t="str">
        <f aca="false">IFERROR(INDEX(المكونات!$B$2:$B$500,MATCH($B1536,المكونات!$A$2:$A$500,0)),"")</f>
        <v>قطعة</v>
      </c>
      <c r="E1536" s="67" t="n">
        <f aca="false">IFERROR(INDEX(المكونات!$C$2:$C$500,MATCH($B1536,المكونات!$A$2:$A$500,0)),"")</f>
        <v>4.47</v>
      </c>
      <c r="F1536" s="68" t="n">
        <f aca="false">IFERROR($C1536*$E1536,"")</f>
        <v>4.47</v>
      </c>
    </row>
    <row r="1537" customFormat="false" ht="15" hidden="false" customHeight="true" outlineLevel="0" collapsed="false">
      <c r="A1537" s="65" t="s">
        <v>416</v>
      </c>
      <c r="B1537" s="65" t="s">
        <v>122</v>
      </c>
      <c r="C1537" s="65" t="n">
        <v>1</v>
      </c>
      <c r="D1537" s="66" t="str">
        <f aca="false">IFERROR(INDEX(المكونات!$B$2:$B$500,MATCH($B1537,المكونات!$A$2:$A$500,0)),"")</f>
        <v>قطعة</v>
      </c>
      <c r="E1537" s="67" t="n">
        <f aca="false">IFERROR(INDEX(المكونات!$C$2:$C$500,MATCH($B1537,المكونات!$A$2:$A$500,0)),"")</f>
        <v>3.3</v>
      </c>
      <c r="F1537" s="68" t="n">
        <f aca="false">IFERROR($C1537*$E1537,"")</f>
        <v>3.3</v>
      </c>
    </row>
    <row r="1538" customFormat="false" ht="15" hidden="false" customHeight="true" outlineLevel="0" collapsed="false">
      <c r="A1538" s="65" t="s">
        <v>416</v>
      </c>
      <c r="B1538" s="65" t="s">
        <v>243</v>
      </c>
      <c r="C1538" s="65" t="n">
        <v>1</v>
      </c>
      <c r="D1538" s="66" t="str">
        <f aca="false">IFERROR(INDEX(المكونات!$B$2:$B$500,MATCH($B1538,المكونات!$A$2:$A$500,0)),"")</f>
        <v>قطعة</v>
      </c>
      <c r="E1538" s="67" t="n">
        <f aca="false">IFERROR(INDEX(المكونات!$C$2:$C$500,MATCH($B1538,المكونات!$A$2:$A$500,0)),"")</f>
        <v>0.3</v>
      </c>
      <c r="F1538" s="68" t="n">
        <f aca="false">IFERROR($C1538*$E1538,"")</f>
        <v>0.3</v>
      </c>
    </row>
    <row r="1539" customFormat="false" ht="15" hidden="false" customHeight="true" outlineLevel="0" collapsed="false">
      <c r="A1539" s="65" t="s">
        <v>416</v>
      </c>
      <c r="B1539" s="65" t="s">
        <v>290</v>
      </c>
      <c r="C1539" s="65" t="n">
        <v>2</v>
      </c>
      <c r="D1539" s="66" t="str">
        <f aca="false">IFERROR(INDEX(المكونات!$B$2:$B$500,MATCH($B1539,المكونات!$A$2:$A$500,0)),"")</f>
        <v>قطعة</v>
      </c>
      <c r="E1539" s="67" t="n">
        <f aca="false">IFERROR(INDEX(المكونات!$C$2:$C$500,MATCH($B1539,المكونات!$A$2:$A$500,0)),"")</f>
        <v>0.3</v>
      </c>
      <c r="F1539" s="68" t="n">
        <f aca="false">IFERROR($C1539*$E1539,"")</f>
        <v>0.6</v>
      </c>
    </row>
    <row r="1540" customFormat="false" ht="15" hidden="false" customHeight="true" outlineLevel="0" collapsed="false">
      <c r="A1540" s="65" t="s">
        <v>416</v>
      </c>
      <c r="B1540" s="65" t="s">
        <v>211</v>
      </c>
      <c r="C1540" s="65" t="n">
        <v>2</v>
      </c>
      <c r="D1540" s="66" t="str">
        <f aca="false">IFERROR(INDEX(المكونات!$B$2:$B$500,MATCH($B1540,المكونات!$A$2:$A$500,0)),"")</f>
        <v>قطعة (جلفز)</v>
      </c>
      <c r="E1540" s="67" t="n">
        <f aca="false">IFERROR(INDEX(المكونات!$C$2:$C$500,MATCH($B1540,المكونات!$A$2:$A$500,0)),"")</f>
        <v>0.18</v>
      </c>
      <c r="F1540" s="68" t="n">
        <f aca="false">IFERROR($C1540*$E1540,"")</f>
        <v>0.36</v>
      </c>
    </row>
    <row r="1541" customFormat="false" ht="15" hidden="false" customHeight="true" outlineLevel="0" collapsed="false">
      <c r="A1541" s="65" t="s">
        <v>416</v>
      </c>
      <c r="B1541" s="65" t="s">
        <v>136</v>
      </c>
      <c r="C1541" s="65" t="n">
        <v>1</v>
      </c>
      <c r="D1541" s="66" t="str">
        <f aca="false">IFERROR(INDEX(المكونات!$B$2:$B$500,MATCH($B1541,المكونات!$A$2:$A$500,0)),"")</f>
        <v>قطعة (كيس)</v>
      </c>
      <c r="E1541" s="67" t="n">
        <f aca="false">IFERROR(INDEX(المكونات!$C$2:$C$500,MATCH($B1541,المكونات!$A$2:$A$500,0)),"")</f>
        <v>1.4</v>
      </c>
      <c r="F1541" s="68" t="n">
        <f aca="false">IFERROR($C1541*$E1541,"")</f>
        <v>1.4</v>
      </c>
    </row>
    <row r="1542" customFormat="false" ht="15" hidden="false" customHeight="true" outlineLevel="0" collapsed="false">
      <c r="A1542" s="65" t="s">
        <v>497</v>
      </c>
      <c r="B1542" s="65" t="s">
        <v>309</v>
      </c>
      <c r="C1542" s="65" t="n">
        <v>0.15</v>
      </c>
      <c r="D1542" s="66" t="str">
        <f aca="false">IFERROR(INDEX(المكونات!$B$2:$B$500,MATCH($B1542,المكونات!$A$2:$A$500,0)),"")</f>
        <v>كجم</v>
      </c>
      <c r="E1542" s="67" t="n">
        <f aca="false">IFERROR(INDEX(المكونات!$C$2:$C$500,MATCH($B1542,المكونات!$A$2:$A$500,0)),"")</f>
        <v>24</v>
      </c>
      <c r="F1542" s="68" t="n">
        <f aca="false">IFERROR($C1542*$E1542,"")</f>
        <v>3.6</v>
      </c>
    </row>
    <row r="1543" customFormat="false" ht="15" hidden="false" customHeight="true" outlineLevel="0" collapsed="false">
      <c r="A1543" s="65" t="s">
        <v>497</v>
      </c>
      <c r="B1543" s="65" t="s">
        <v>188</v>
      </c>
      <c r="C1543" s="65" t="n">
        <v>0.2</v>
      </c>
      <c r="D1543" s="66" t="str">
        <f aca="false">IFERROR(INDEX(المكونات!$B$2:$B$500,MATCH($B1543,المكونات!$A$2:$A$500,0)),"")</f>
        <v>كجم</v>
      </c>
      <c r="E1543" s="67" t="n">
        <f aca="false">IFERROR(INDEX(المكونات!$C$2:$C$500,MATCH($B1543,المكونات!$A$2:$A$500,0)),"")</f>
        <v>25</v>
      </c>
      <c r="F1543" s="68" t="n">
        <f aca="false">IFERROR($C1543*$E1543,"")</f>
        <v>5</v>
      </c>
    </row>
    <row r="1544" customFormat="false" ht="15" hidden="false" customHeight="true" outlineLevel="0" collapsed="false">
      <c r="A1544" s="65" t="s">
        <v>497</v>
      </c>
      <c r="B1544" s="65" t="s">
        <v>176</v>
      </c>
      <c r="C1544" s="65" t="n">
        <v>1</v>
      </c>
      <c r="D1544" s="66" t="str">
        <f aca="false">IFERROR(INDEX(المكونات!$B$2:$B$500,MATCH($B1544,المكونات!$A$2:$A$500,0)),"")</f>
        <v>قطعة</v>
      </c>
      <c r="E1544" s="67" t="n">
        <f aca="false">IFERROR(INDEX(المكونات!$C$2:$C$500,MATCH($B1544,المكونات!$A$2:$A$500,0)),"")</f>
        <v>17.5</v>
      </c>
      <c r="F1544" s="68" t="n">
        <f aca="false">IFERROR($C1544*$E1544,"")</f>
        <v>17.5</v>
      </c>
    </row>
    <row r="1545" customFormat="false" ht="15" hidden="false" customHeight="true" outlineLevel="0" collapsed="false">
      <c r="A1545" s="65" t="s">
        <v>497</v>
      </c>
      <c r="B1545" s="65" t="s">
        <v>150</v>
      </c>
      <c r="C1545" s="65" t="n">
        <v>1</v>
      </c>
      <c r="D1545" s="66" t="str">
        <f aca="false">IFERROR(INDEX(المكونات!$B$2:$B$500,MATCH($B1545,المكونات!$A$2:$A$500,0)),"")</f>
        <v>قطعة</v>
      </c>
      <c r="E1545" s="67" t="n">
        <f aca="false">IFERROR(INDEX(المكونات!$C$2:$C$500,MATCH($B1545,المكونات!$A$2:$A$500,0)),"")</f>
        <v>95</v>
      </c>
      <c r="F1545" s="68" t="n">
        <f aca="false">IFERROR($C1545*$E1545,"")</f>
        <v>95</v>
      </c>
    </row>
    <row r="1546" customFormat="false" ht="15" hidden="false" customHeight="true" outlineLevel="0" collapsed="false">
      <c r="A1546" s="65" t="s">
        <v>497</v>
      </c>
      <c r="B1546" s="65" t="s">
        <v>328</v>
      </c>
      <c r="C1546" s="65" t="n">
        <v>1</v>
      </c>
      <c r="D1546" s="66" t="str">
        <f aca="false">IFERROR(INDEX(المكونات!$B$2:$B$500,MATCH($B1546,المكونات!$A$2:$A$500,0)),"")</f>
        <v>قطعة</v>
      </c>
      <c r="E1546" s="67" t="n">
        <f aca="false">IFERROR(INDEX(المكونات!$C$2:$C$500,MATCH($B1546,المكونات!$A$2:$A$500,0)),"")</f>
        <v>4.47</v>
      </c>
      <c r="F1546" s="68" t="n">
        <f aca="false">IFERROR($C1546*$E1546,"")</f>
        <v>4.47</v>
      </c>
    </row>
    <row r="1547" customFormat="false" ht="15" hidden="false" customHeight="true" outlineLevel="0" collapsed="false">
      <c r="A1547" s="65" t="s">
        <v>497</v>
      </c>
      <c r="B1547" s="65" t="s">
        <v>122</v>
      </c>
      <c r="C1547" s="65" t="n">
        <v>1</v>
      </c>
      <c r="D1547" s="66" t="str">
        <f aca="false">IFERROR(INDEX(المكونات!$B$2:$B$500,MATCH($B1547,المكونات!$A$2:$A$500,0)),"")</f>
        <v>قطعة</v>
      </c>
      <c r="E1547" s="67" t="n">
        <f aca="false">IFERROR(INDEX(المكونات!$C$2:$C$500,MATCH($B1547,المكونات!$A$2:$A$500,0)),"")</f>
        <v>3.3</v>
      </c>
      <c r="F1547" s="68" t="n">
        <f aca="false">IFERROR($C1547*$E1547,"")</f>
        <v>3.3</v>
      </c>
    </row>
    <row r="1548" customFormat="false" ht="15" hidden="false" customHeight="true" outlineLevel="0" collapsed="false">
      <c r="A1548" s="65" t="s">
        <v>497</v>
      </c>
      <c r="B1548" s="65" t="s">
        <v>243</v>
      </c>
      <c r="C1548" s="65" t="n">
        <v>1</v>
      </c>
      <c r="D1548" s="66" t="str">
        <f aca="false">IFERROR(INDEX(المكونات!$B$2:$B$500,MATCH($B1548,المكونات!$A$2:$A$500,0)),"")</f>
        <v>قطعة</v>
      </c>
      <c r="E1548" s="67" t="n">
        <f aca="false">IFERROR(INDEX(المكونات!$C$2:$C$500,MATCH($B1548,المكونات!$A$2:$A$500,0)),"")</f>
        <v>0.3</v>
      </c>
      <c r="F1548" s="68" t="n">
        <f aca="false">IFERROR($C1548*$E1548,"")</f>
        <v>0.3</v>
      </c>
    </row>
    <row r="1549" customFormat="false" ht="15" hidden="false" customHeight="true" outlineLevel="0" collapsed="false">
      <c r="A1549" s="65" t="s">
        <v>497</v>
      </c>
      <c r="B1549" s="65" t="s">
        <v>290</v>
      </c>
      <c r="C1549" s="65" t="n">
        <v>2</v>
      </c>
      <c r="D1549" s="66" t="str">
        <f aca="false">IFERROR(INDEX(المكونات!$B$2:$B$500,MATCH($B1549,المكونات!$A$2:$A$500,0)),"")</f>
        <v>قطعة</v>
      </c>
      <c r="E1549" s="67" t="n">
        <f aca="false">IFERROR(INDEX(المكونات!$C$2:$C$500,MATCH($B1549,المكونات!$A$2:$A$500,0)),"")</f>
        <v>0.3</v>
      </c>
      <c r="F1549" s="68" t="n">
        <f aca="false">IFERROR($C1549*$E1549,"")</f>
        <v>0.6</v>
      </c>
    </row>
    <row r="1550" customFormat="false" ht="15" hidden="false" customHeight="true" outlineLevel="0" collapsed="false">
      <c r="A1550" s="65" t="s">
        <v>497</v>
      </c>
      <c r="B1550" s="65" t="s">
        <v>211</v>
      </c>
      <c r="C1550" s="65" t="n">
        <v>2</v>
      </c>
      <c r="D1550" s="66" t="str">
        <f aca="false">IFERROR(INDEX(المكونات!$B$2:$B$500,MATCH($B1550,المكونات!$A$2:$A$500,0)),"")</f>
        <v>قطعة (جلفز)</v>
      </c>
      <c r="E1550" s="67" t="n">
        <f aca="false">IFERROR(INDEX(المكونات!$C$2:$C$500,MATCH($B1550,المكونات!$A$2:$A$500,0)),"")</f>
        <v>0.18</v>
      </c>
      <c r="F1550" s="68" t="n">
        <f aca="false">IFERROR($C1550*$E1550,"")</f>
        <v>0.36</v>
      </c>
    </row>
    <row r="1551" customFormat="false" ht="15" hidden="false" customHeight="true" outlineLevel="0" collapsed="false">
      <c r="A1551" s="65" t="s">
        <v>497</v>
      </c>
      <c r="B1551" s="65" t="s">
        <v>136</v>
      </c>
      <c r="C1551" s="65" t="n">
        <v>1</v>
      </c>
      <c r="D1551" s="66" t="str">
        <f aca="false">IFERROR(INDEX(المكونات!$B$2:$B$500,MATCH($B1551,المكونات!$A$2:$A$500,0)),"")</f>
        <v>قطعة (كيس)</v>
      </c>
      <c r="E1551" s="67" t="n">
        <f aca="false">IFERROR(INDEX(المكونات!$C$2:$C$500,MATCH($B1551,المكونات!$A$2:$A$500,0)),"")</f>
        <v>1.4</v>
      </c>
      <c r="F1551" s="68" t="n">
        <f aca="false">IFERROR($C1551*$E1551,"")</f>
        <v>1.4</v>
      </c>
    </row>
    <row r="1552" customFormat="false" ht="15" hidden="false" customHeight="true" outlineLevel="0" collapsed="false">
      <c r="A1552" s="65" t="s">
        <v>493</v>
      </c>
      <c r="B1552" s="65" t="s">
        <v>334</v>
      </c>
      <c r="C1552" s="65" t="n">
        <v>1</v>
      </c>
      <c r="D1552" s="66" t="str">
        <f aca="false">IFERROR(INDEX(المكونات!$B$2:$B$500,MATCH($B1552,المكونات!$A$2:$A$500,0)),"")</f>
        <v>قطعة</v>
      </c>
      <c r="E1552" s="67" t="n">
        <f aca="false">IFERROR(INDEX(المكونات!$C$2:$C$500,MATCH($B1552,المكونات!$A$2:$A$500,0)),"")</f>
        <v>2.32417208333333</v>
      </c>
      <c r="F1552" s="68" t="n">
        <f aca="false">IFERROR($C1552*$E1552,"")</f>
        <v>2.32417208333333</v>
      </c>
    </row>
    <row r="1553" customFormat="false" ht="15" hidden="false" customHeight="true" outlineLevel="0" collapsed="false">
      <c r="A1553" s="65" t="s">
        <v>493</v>
      </c>
      <c r="B1553" s="65" t="s">
        <v>176</v>
      </c>
      <c r="C1553" s="65" t="n">
        <v>1</v>
      </c>
      <c r="D1553" s="66" t="str">
        <f aca="false">IFERROR(INDEX(المكونات!$B$2:$B$500,MATCH($B1553,المكونات!$A$2:$A$500,0)),"")</f>
        <v>قطعة</v>
      </c>
      <c r="E1553" s="67" t="n">
        <f aca="false">IFERROR(INDEX(المكونات!$C$2:$C$500,MATCH($B1553,المكونات!$A$2:$A$500,0)),"")</f>
        <v>17.5</v>
      </c>
      <c r="F1553" s="68" t="n">
        <f aca="false">IFERROR($C1553*$E1553,"")</f>
        <v>17.5</v>
      </c>
    </row>
    <row r="1554" customFormat="false" ht="15" hidden="false" customHeight="true" outlineLevel="0" collapsed="false">
      <c r="A1554" s="65" t="s">
        <v>493</v>
      </c>
      <c r="B1554" s="65" t="s">
        <v>260</v>
      </c>
      <c r="C1554" s="65" t="n">
        <v>0.03</v>
      </c>
      <c r="D1554" s="66" t="str">
        <f aca="false">IFERROR(INDEX(المكونات!$B$2:$B$500,MATCH($B1554,المكونات!$A$2:$A$500,0)),"")</f>
        <v>كجم</v>
      </c>
      <c r="E1554" s="67" t="n">
        <f aca="false">IFERROR(INDEX(المكونات!$C$2:$C$500,MATCH($B1554,المكونات!$A$2:$A$500,0)),"")</f>
        <v>21</v>
      </c>
      <c r="F1554" s="68" t="n">
        <f aca="false">IFERROR($C1554*$E1554,"")</f>
        <v>0.63</v>
      </c>
    </row>
    <row r="1555" customFormat="false" ht="15" hidden="false" customHeight="true" outlineLevel="0" collapsed="false">
      <c r="A1555" s="65" t="s">
        <v>493</v>
      </c>
      <c r="B1555" s="65" t="s">
        <v>284</v>
      </c>
      <c r="C1555" s="65" t="n">
        <v>0.02</v>
      </c>
      <c r="D1555" s="66" t="str">
        <f aca="false">IFERROR(INDEX(المكونات!$B$2:$B$500,MATCH($B1555,المكونات!$A$2:$A$500,0)),"")</f>
        <v>كجم</v>
      </c>
      <c r="E1555" s="67" t="n">
        <f aca="false">IFERROR(INDEX(المكونات!$C$2:$C$500,MATCH($B1555,المكونات!$A$2:$A$500,0)),"")</f>
        <v>27</v>
      </c>
      <c r="F1555" s="68" t="n">
        <f aca="false">IFERROR($C1555*$E1555,"")</f>
        <v>0.54</v>
      </c>
    </row>
    <row r="1556" customFormat="false" ht="15" hidden="false" customHeight="true" outlineLevel="0" collapsed="false">
      <c r="A1556" s="65" t="s">
        <v>493</v>
      </c>
      <c r="B1556" s="65" t="s">
        <v>227</v>
      </c>
      <c r="C1556" s="65" t="n">
        <v>0.02</v>
      </c>
      <c r="D1556" s="66" t="str">
        <f aca="false">IFERROR(INDEX(المكونات!$B$2:$B$500,MATCH($B1556,المكونات!$A$2:$A$500,0)),"")</f>
        <v>كجم</v>
      </c>
      <c r="E1556" s="67" t="n">
        <f aca="false">IFERROR(INDEX(المكونات!$C$2:$C$500,MATCH($B1556,المكونات!$A$2:$A$500,0)),"")</f>
        <v>95</v>
      </c>
      <c r="F1556" s="68" t="n">
        <f aca="false">IFERROR($C1556*$E1556,"")</f>
        <v>1.9</v>
      </c>
    </row>
    <row r="1557" customFormat="false" ht="15" hidden="false" customHeight="true" outlineLevel="0" collapsed="false">
      <c r="A1557" s="65" t="s">
        <v>493</v>
      </c>
      <c r="B1557" s="65" t="s">
        <v>297</v>
      </c>
      <c r="C1557" s="65" t="n">
        <v>1</v>
      </c>
      <c r="D1557" s="66" t="str">
        <f aca="false">IFERROR(INDEX(المكونات!$B$2:$B$500,MATCH($B1557,المكونات!$A$2:$A$500,0)),"")</f>
        <v>قطعة</v>
      </c>
      <c r="E1557" s="67" t="n">
        <f aca="false">IFERROR(INDEX(المكونات!$C$2:$C$500,MATCH($B1557,المكونات!$A$2:$A$500,0)),"")</f>
        <v>2</v>
      </c>
      <c r="F1557" s="68" t="n">
        <f aca="false">IFERROR($C1557*$E1557,"")</f>
        <v>2</v>
      </c>
    </row>
    <row r="1558" customFormat="false" ht="15" hidden="false" customHeight="true" outlineLevel="0" collapsed="false">
      <c r="A1558" s="65" t="s">
        <v>493</v>
      </c>
      <c r="B1558" s="65" t="s">
        <v>234</v>
      </c>
      <c r="C1558" s="65" t="n">
        <v>1</v>
      </c>
      <c r="D1558" s="66" t="str">
        <f aca="false">IFERROR(INDEX(المكونات!$B$2:$B$500,MATCH($B1558,المكونات!$A$2:$A$500,0)),"")</f>
        <v>قطعة (استخدام)</v>
      </c>
      <c r="E1558" s="67" t="n">
        <f aca="false">IFERROR(INDEX(المكونات!$C$2:$C$500,MATCH($B1558,المكونات!$A$2:$A$500,0)),"")</f>
        <v>2.5189</v>
      </c>
      <c r="F1558" s="68" t="n">
        <f aca="false">IFERROR($C1558*$E1558,"")</f>
        <v>2.5189</v>
      </c>
    </row>
    <row r="1559" customFormat="false" ht="15" hidden="false" customHeight="true" outlineLevel="0" collapsed="false">
      <c r="A1559" s="65" t="s">
        <v>493</v>
      </c>
      <c r="B1559" s="65" t="s">
        <v>146</v>
      </c>
      <c r="C1559" s="65" t="n">
        <v>1.5</v>
      </c>
      <c r="D1559" s="66" t="str">
        <f aca="false">IFERROR(INDEX(المكونات!$B$2:$B$500,MATCH($B1559,المكونات!$A$2:$A$500,0)),"")</f>
        <v>قطعة</v>
      </c>
      <c r="E1559" s="67" t="n">
        <f aca="false">IFERROR(INDEX(المكونات!$C$2:$C$500,MATCH($B1559,المكونات!$A$2:$A$500,0)),"")</f>
        <v>5.65</v>
      </c>
      <c r="F1559" s="68" t="n">
        <f aca="false">IFERROR($C1559*$E1559,"")</f>
        <v>8.475</v>
      </c>
    </row>
    <row r="1560" customFormat="false" ht="15" hidden="false" customHeight="true" outlineLevel="0" collapsed="false">
      <c r="A1560" s="65" t="s">
        <v>415</v>
      </c>
      <c r="B1560" s="65" t="s">
        <v>334</v>
      </c>
      <c r="C1560" s="65" t="n">
        <v>1</v>
      </c>
      <c r="D1560" s="66" t="str">
        <f aca="false">IFERROR(INDEX(المكونات!$B$2:$B$500,MATCH($B1560,المكونات!$A$2:$A$500,0)),"")</f>
        <v>قطعة</v>
      </c>
      <c r="E1560" s="67" t="n">
        <f aca="false">IFERROR(INDEX(المكونات!$C$2:$C$500,MATCH($B1560,المكونات!$A$2:$A$500,0)),"")</f>
        <v>2.32417208333333</v>
      </c>
      <c r="F1560" s="68" t="n">
        <f aca="false">IFERROR($C1560*$E1560,"")</f>
        <v>2.32417208333333</v>
      </c>
    </row>
    <row r="1561" customFormat="false" ht="15" hidden="false" customHeight="true" outlineLevel="0" collapsed="false">
      <c r="A1561" s="65" t="s">
        <v>415</v>
      </c>
      <c r="B1561" s="65" t="s">
        <v>176</v>
      </c>
      <c r="C1561" s="65" t="n">
        <v>1</v>
      </c>
      <c r="D1561" s="66" t="str">
        <f aca="false">IFERROR(INDEX(المكونات!$B$2:$B$500,MATCH($B1561,المكونات!$A$2:$A$500,0)),"")</f>
        <v>قطعة</v>
      </c>
      <c r="E1561" s="67" t="n">
        <f aca="false">IFERROR(INDEX(المكونات!$C$2:$C$500,MATCH($B1561,المكونات!$A$2:$A$500,0)),"")</f>
        <v>17.5</v>
      </c>
      <c r="F1561" s="68" t="n">
        <f aca="false">IFERROR($C1561*$E1561,"")</f>
        <v>17.5</v>
      </c>
    </row>
    <row r="1562" customFormat="false" ht="15" hidden="false" customHeight="true" outlineLevel="0" collapsed="false">
      <c r="A1562" s="65" t="s">
        <v>415</v>
      </c>
      <c r="B1562" s="65" t="s">
        <v>260</v>
      </c>
      <c r="C1562" s="65" t="n">
        <v>0.03</v>
      </c>
      <c r="D1562" s="66" t="str">
        <f aca="false">IFERROR(INDEX(المكونات!$B$2:$B$500,MATCH($B1562,المكونات!$A$2:$A$500,0)),"")</f>
        <v>كجم</v>
      </c>
      <c r="E1562" s="67" t="n">
        <f aca="false">IFERROR(INDEX(المكونات!$C$2:$C$500,MATCH($B1562,المكونات!$A$2:$A$500,0)),"")</f>
        <v>21</v>
      </c>
      <c r="F1562" s="68" t="n">
        <f aca="false">IFERROR($C1562*$E1562,"")</f>
        <v>0.63</v>
      </c>
    </row>
    <row r="1563" customFormat="false" ht="15" hidden="false" customHeight="true" outlineLevel="0" collapsed="false">
      <c r="A1563" s="65" t="s">
        <v>415</v>
      </c>
      <c r="B1563" s="65" t="s">
        <v>284</v>
      </c>
      <c r="C1563" s="65" t="n">
        <v>0.02</v>
      </c>
      <c r="D1563" s="66" t="str">
        <f aca="false">IFERROR(INDEX(المكونات!$B$2:$B$500,MATCH($B1563,المكونات!$A$2:$A$500,0)),"")</f>
        <v>كجم</v>
      </c>
      <c r="E1563" s="67" t="n">
        <f aca="false">IFERROR(INDEX(المكونات!$C$2:$C$500,MATCH($B1563,المكونات!$A$2:$A$500,0)),"")</f>
        <v>27</v>
      </c>
      <c r="F1563" s="68" t="n">
        <f aca="false">IFERROR($C1563*$E1563,"")</f>
        <v>0.54</v>
      </c>
    </row>
    <row r="1564" customFormat="false" ht="15" hidden="false" customHeight="true" outlineLevel="0" collapsed="false">
      <c r="A1564" s="65" t="s">
        <v>415</v>
      </c>
      <c r="B1564" s="65" t="s">
        <v>227</v>
      </c>
      <c r="C1564" s="65" t="n">
        <v>0.02</v>
      </c>
      <c r="D1564" s="66" t="str">
        <f aca="false">IFERROR(INDEX(المكونات!$B$2:$B$500,MATCH($B1564,المكونات!$A$2:$A$500,0)),"")</f>
        <v>كجم</v>
      </c>
      <c r="E1564" s="67" t="n">
        <f aca="false">IFERROR(INDEX(المكونات!$C$2:$C$500,MATCH($B1564,المكونات!$A$2:$A$500,0)),"")</f>
        <v>95</v>
      </c>
      <c r="F1564" s="68" t="n">
        <f aca="false">IFERROR($C1564*$E1564,"")</f>
        <v>1.9</v>
      </c>
    </row>
    <row r="1565" customFormat="false" ht="15" hidden="false" customHeight="true" outlineLevel="0" collapsed="false">
      <c r="A1565" s="65" t="s">
        <v>415</v>
      </c>
      <c r="B1565" s="65" t="s">
        <v>297</v>
      </c>
      <c r="C1565" s="65" t="n">
        <v>1</v>
      </c>
      <c r="D1565" s="66" t="str">
        <f aca="false">IFERROR(INDEX(المكونات!$B$2:$B$500,MATCH($B1565,المكونات!$A$2:$A$500,0)),"")</f>
        <v>قطعة</v>
      </c>
      <c r="E1565" s="67" t="n">
        <f aca="false">IFERROR(INDEX(المكونات!$C$2:$C$500,MATCH($B1565,المكونات!$A$2:$A$500,0)),"")</f>
        <v>2</v>
      </c>
      <c r="F1565" s="68" t="n">
        <f aca="false">IFERROR($C1565*$E1565,"")</f>
        <v>2</v>
      </c>
    </row>
    <row r="1566" customFormat="false" ht="15" hidden="false" customHeight="true" outlineLevel="0" collapsed="false">
      <c r="A1566" s="65" t="s">
        <v>415</v>
      </c>
      <c r="B1566" s="65" t="s">
        <v>234</v>
      </c>
      <c r="C1566" s="65" t="n">
        <v>1</v>
      </c>
      <c r="D1566" s="66" t="str">
        <f aca="false">IFERROR(INDEX(المكونات!$B$2:$B$500,MATCH($B1566,المكونات!$A$2:$A$500,0)),"")</f>
        <v>قطعة (استخدام)</v>
      </c>
      <c r="E1566" s="67" t="n">
        <f aca="false">IFERROR(INDEX(المكونات!$C$2:$C$500,MATCH($B1566,المكونات!$A$2:$A$500,0)),"")</f>
        <v>2.5189</v>
      </c>
      <c r="F1566" s="68" t="n">
        <f aca="false">IFERROR($C1566*$E1566,"")</f>
        <v>2.5189</v>
      </c>
    </row>
    <row r="1567" customFormat="false" ht="15" hidden="false" customHeight="true" outlineLevel="0" collapsed="false">
      <c r="A1567" s="65" t="s">
        <v>415</v>
      </c>
      <c r="B1567" s="65" t="s">
        <v>282</v>
      </c>
      <c r="C1567" s="65" t="n">
        <v>0.14</v>
      </c>
      <c r="D1567" s="66" t="str">
        <f aca="false">IFERROR(INDEX(المكونات!$B$2:$B$500,MATCH($B1567,المكونات!$A$2:$A$500,0)),"")</f>
        <v>كجم</v>
      </c>
      <c r="E1567" s="67" t="n">
        <f aca="false">IFERROR(INDEX(المكونات!$C$2:$C$500,MATCH($B1567,المكونات!$A$2:$A$500,0)),"")</f>
        <v>150</v>
      </c>
      <c r="F1567" s="68" t="n">
        <f aca="false">IFERROR($C1567*$E1567,"")</f>
        <v>21</v>
      </c>
    </row>
    <row r="1568" customFormat="false" ht="15" hidden="false" customHeight="true" outlineLevel="0" collapsed="false">
      <c r="A1568" s="65" t="s">
        <v>415</v>
      </c>
      <c r="B1568" s="65" t="s">
        <v>252</v>
      </c>
      <c r="C1568" s="65" t="n">
        <v>0.1</v>
      </c>
      <c r="D1568" s="66" t="str">
        <f aca="false">IFERROR(INDEX(المكونات!$B$2:$B$500,MATCH($B1568,المكونات!$A$2:$A$500,0)),"")</f>
        <v>كجم</v>
      </c>
      <c r="E1568" s="67" t="n">
        <f aca="false">IFERROR(INDEX(المكونات!$C$2:$C$500,MATCH($B1568,المكونات!$A$2:$A$500,0)),"")</f>
        <v>70</v>
      </c>
      <c r="F1568" s="68" t="n">
        <f aca="false">IFERROR($C1568*$E1568,"")</f>
        <v>7</v>
      </c>
    </row>
    <row r="1569" customFormat="false" ht="15" hidden="false" customHeight="true" outlineLevel="0" collapsed="false">
      <c r="A1569" s="65" t="s">
        <v>480</v>
      </c>
      <c r="B1569" s="65" t="s">
        <v>334</v>
      </c>
      <c r="C1569" s="65" t="n">
        <v>1</v>
      </c>
      <c r="D1569" s="66" t="str">
        <f aca="false">IFERROR(INDEX(المكونات!$B$2:$B$500,MATCH($B1569,المكونات!$A$2:$A$500,0)),"")</f>
        <v>قطعة</v>
      </c>
      <c r="E1569" s="67" t="n">
        <f aca="false">IFERROR(INDEX(المكونات!$C$2:$C$500,MATCH($B1569,المكونات!$A$2:$A$500,0)),"")</f>
        <v>2.32417208333333</v>
      </c>
      <c r="F1569" s="68" t="n">
        <f aca="false">IFERROR($C1569*$E1569,"")</f>
        <v>2.32417208333333</v>
      </c>
    </row>
    <row r="1570" customFormat="false" ht="15" hidden="false" customHeight="true" outlineLevel="0" collapsed="false">
      <c r="A1570" s="65" t="s">
        <v>480</v>
      </c>
      <c r="B1570" s="65" t="s">
        <v>176</v>
      </c>
      <c r="C1570" s="65" t="n">
        <v>1</v>
      </c>
      <c r="D1570" s="66" t="str">
        <f aca="false">IFERROR(INDEX(المكونات!$B$2:$B$500,MATCH($B1570,المكونات!$A$2:$A$500,0)),"")</f>
        <v>قطعة</v>
      </c>
      <c r="E1570" s="67" t="n">
        <f aca="false">IFERROR(INDEX(المكونات!$C$2:$C$500,MATCH($B1570,المكونات!$A$2:$A$500,0)),"")</f>
        <v>17.5</v>
      </c>
      <c r="F1570" s="68" t="n">
        <f aca="false">IFERROR($C1570*$E1570,"")</f>
        <v>17.5</v>
      </c>
    </row>
    <row r="1571" customFormat="false" ht="15" hidden="false" customHeight="true" outlineLevel="0" collapsed="false">
      <c r="A1571" s="65" t="s">
        <v>480</v>
      </c>
      <c r="B1571" s="65" t="s">
        <v>260</v>
      </c>
      <c r="C1571" s="65" t="n">
        <v>0.03</v>
      </c>
      <c r="D1571" s="66" t="str">
        <f aca="false">IFERROR(INDEX(المكونات!$B$2:$B$500,MATCH($B1571,المكونات!$A$2:$A$500,0)),"")</f>
        <v>كجم</v>
      </c>
      <c r="E1571" s="67" t="n">
        <f aca="false">IFERROR(INDEX(المكونات!$C$2:$C$500,MATCH($B1571,المكونات!$A$2:$A$500,0)),"")</f>
        <v>21</v>
      </c>
      <c r="F1571" s="68" t="n">
        <f aca="false">IFERROR($C1571*$E1571,"")</f>
        <v>0.63</v>
      </c>
    </row>
    <row r="1572" customFormat="false" ht="15" hidden="false" customHeight="true" outlineLevel="0" collapsed="false">
      <c r="A1572" s="65" t="s">
        <v>480</v>
      </c>
      <c r="B1572" s="65" t="s">
        <v>284</v>
      </c>
      <c r="C1572" s="65" t="n">
        <v>0.02</v>
      </c>
      <c r="D1572" s="66" t="str">
        <f aca="false">IFERROR(INDEX(المكونات!$B$2:$B$500,MATCH($B1572,المكونات!$A$2:$A$500,0)),"")</f>
        <v>كجم</v>
      </c>
      <c r="E1572" s="67" t="n">
        <f aca="false">IFERROR(INDEX(المكونات!$C$2:$C$500,MATCH($B1572,المكونات!$A$2:$A$500,0)),"")</f>
        <v>27</v>
      </c>
      <c r="F1572" s="68" t="n">
        <f aca="false">IFERROR($C1572*$E1572,"")</f>
        <v>0.54</v>
      </c>
    </row>
    <row r="1573" customFormat="false" ht="15" hidden="false" customHeight="true" outlineLevel="0" collapsed="false">
      <c r="A1573" s="65" t="s">
        <v>480</v>
      </c>
      <c r="B1573" s="65" t="s">
        <v>227</v>
      </c>
      <c r="C1573" s="65" t="n">
        <v>0.02</v>
      </c>
      <c r="D1573" s="66" t="str">
        <f aca="false">IFERROR(INDEX(المكونات!$B$2:$B$500,MATCH($B1573,المكونات!$A$2:$A$500,0)),"")</f>
        <v>كجم</v>
      </c>
      <c r="E1573" s="67" t="n">
        <f aca="false">IFERROR(INDEX(المكونات!$C$2:$C$500,MATCH($B1573,المكونات!$A$2:$A$500,0)),"")</f>
        <v>95</v>
      </c>
      <c r="F1573" s="68" t="n">
        <f aca="false">IFERROR($C1573*$E1573,"")</f>
        <v>1.9</v>
      </c>
    </row>
    <row r="1574" customFormat="false" ht="15" hidden="false" customHeight="true" outlineLevel="0" collapsed="false">
      <c r="A1574" s="65" t="s">
        <v>480</v>
      </c>
      <c r="B1574" s="65" t="s">
        <v>297</v>
      </c>
      <c r="C1574" s="65" t="n">
        <v>1</v>
      </c>
      <c r="D1574" s="66" t="str">
        <f aca="false">IFERROR(INDEX(المكونات!$B$2:$B$500,MATCH($B1574,المكونات!$A$2:$A$500,0)),"")</f>
        <v>قطعة</v>
      </c>
      <c r="E1574" s="67" t="n">
        <f aca="false">IFERROR(INDEX(المكونات!$C$2:$C$500,MATCH($B1574,المكونات!$A$2:$A$500,0)),"")</f>
        <v>2</v>
      </c>
      <c r="F1574" s="68" t="n">
        <f aca="false">IFERROR($C1574*$E1574,"")</f>
        <v>2</v>
      </c>
    </row>
    <row r="1575" customFormat="false" ht="15" hidden="false" customHeight="true" outlineLevel="0" collapsed="false">
      <c r="A1575" s="65" t="s">
        <v>480</v>
      </c>
      <c r="B1575" s="65" t="s">
        <v>234</v>
      </c>
      <c r="C1575" s="65" t="n">
        <v>1</v>
      </c>
      <c r="D1575" s="66" t="str">
        <f aca="false">IFERROR(INDEX(المكونات!$B$2:$B$500,MATCH($B1575,المكونات!$A$2:$A$500,0)),"")</f>
        <v>قطعة (استخدام)</v>
      </c>
      <c r="E1575" s="67" t="n">
        <f aca="false">IFERROR(INDEX(المكونات!$C$2:$C$500,MATCH($B1575,المكونات!$A$2:$A$500,0)),"")</f>
        <v>2.5189</v>
      </c>
      <c r="F1575" s="68" t="n">
        <f aca="false">IFERROR($C1575*$E1575,"")</f>
        <v>2.5189</v>
      </c>
    </row>
    <row r="1576" customFormat="false" ht="15" hidden="false" customHeight="true" outlineLevel="0" collapsed="false">
      <c r="A1576" s="65" t="s">
        <v>480</v>
      </c>
      <c r="B1576" s="65" t="s">
        <v>336</v>
      </c>
      <c r="C1576" s="65" t="n">
        <v>0.07</v>
      </c>
      <c r="D1576" s="66" t="str">
        <f aca="false">IFERROR(INDEX(المكونات!$B$2:$B$500,MATCH($B1576,المكونات!$A$2:$A$500,0)),"")</f>
        <v>كجم</v>
      </c>
      <c r="E1576" s="67" t="n">
        <f aca="false">IFERROR(INDEX(المكونات!$C$2:$C$500,MATCH($B1576,المكونات!$A$2:$A$500,0)),"")</f>
        <v>220.02</v>
      </c>
      <c r="F1576" s="68" t="n">
        <f aca="false">IFERROR($C1576*$E1576,"")</f>
        <v>15.4014</v>
      </c>
    </row>
    <row r="1577" customFormat="false" ht="15" hidden="false" customHeight="true" outlineLevel="0" collapsed="false">
      <c r="A1577" s="65" t="s">
        <v>480</v>
      </c>
      <c r="B1577" s="65" t="s">
        <v>338</v>
      </c>
      <c r="C1577" s="65" t="n">
        <v>0.07</v>
      </c>
      <c r="D1577" s="66" t="str">
        <f aca="false">IFERROR(INDEX(المكونات!$B$2:$B$500,MATCH($B1577,المكونات!$A$2:$A$500,0)),"")</f>
        <v>كجم</v>
      </c>
      <c r="E1577" s="67" t="n">
        <f aca="false">IFERROR(INDEX(المكونات!$C$2:$C$500,MATCH($B1577,المكونات!$A$2:$A$500,0)),"")</f>
        <v>219.23</v>
      </c>
      <c r="F1577" s="68" t="n">
        <f aca="false">IFERROR($C1577*$E1577,"")</f>
        <v>15.3461</v>
      </c>
    </row>
    <row r="1578" customFormat="false" ht="15" hidden="false" customHeight="true" outlineLevel="0" collapsed="false">
      <c r="A1578" s="65" t="s">
        <v>477</v>
      </c>
      <c r="B1578" s="65" t="s">
        <v>334</v>
      </c>
      <c r="C1578" s="65" t="n">
        <v>1</v>
      </c>
      <c r="D1578" s="66" t="str">
        <f aca="false">IFERROR(INDEX(المكونات!$B$2:$B$500,MATCH($B1578,المكونات!$A$2:$A$500,0)),"")</f>
        <v>قطعة</v>
      </c>
      <c r="E1578" s="67" t="n">
        <f aca="false">IFERROR(INDEX(المكونات!$C$2:$C$500,MATCH($B1578,المكونات!$A$2:$A$500,0)),"")</f>
        <v>2.32417208333333</v>
      </c>
      <c r="F1578" s="68" t="n">
        <f aca="false">IFERROR($C1578*$E1578,"")</f>
        <v>2.32417208333333</v>
      </c>
    </row>
    <row r="1579" customFormat="false" ht="15" hidden="false" customHeight="true" outlineLevel="0" collapsed="false">
      <c r="A1579" s="65" t="s">
        <v>477</v>
      </c>
      <c r="B1579" s="65" t="s">
        <v>176</v>
      </c>
      <c r="C1579" s="65" t="n">
        <v>1</v>
      </c>
      <c r="D1579" s="66" t="str">
        <f aca="false">IFERROR(INDEX(المكونات!$B$2:$B$500,MATCH($B1579,المكونات!$A$2:$A$500,0)),"")</f>
        <v>قطعة</v>
      </c>
      <c r="E1579" s="67" t="n">
        <f aca="false">IFERROR(INDEX(المكونات!$C$2:$C$500,MATCH($B1579,المكونات!$A$2:$A$500,0)),"")</f>
        <v>17.5</v>
      </c>
      <c r="F1579" s="68" t="n">
        <f aca="false">IFERROR($C1579*$E1579,"")</f>
        <v>17.5</v>
      </c>
    </row>
    <row r="1580" customFormat="false" ht="15" hidden="false" customHeight="true" outlineLevel="0" collapsed="false">
      <c r="A1580" s="65" t="s">
        <v>477</v>
      </c>
      <c r="B1580" s="65" t="s">
        <v>260</v>
      </c>
      <c r="C1580" s="65" t="n">
        <v>0.03</v>
      </c>
      <c r="D1580" s="66" t="str">
        <f aca="false">IFERROR(INDEX(المكونات!$B$2:$B$500,MATCH($B1580,المكونات!$A$2:$A$500,0)),"")</f>
        <v>كجم</v>
      </c>
      <c r="E1580" s="67" t="n">
        <f aca="false">IFERROR(INDEX(المكونات!$C$2:$C$500,MATCH($B1580,المكونات!$A$2:$A$500,0)),"")</f>
        <v>21</v>
      </c>
      <c r="F1580" s="68" t="n">
        <f aca="false">IFERROR($C1580*$E1580,"")</f>
        <v>0.63</v>
      </c>
    </row>
    <row r="1581" customFormat="false" ht="15" hidden="false" customHeight="true" outlineLevel="0" collapsed="false">
      <c r="A1581" s="65" t="s">
        <v>477</v>
      </c>
      <c r="B1581" s="65" t="s">
        <v>284</v>
      </c>
      <c r="C1581" s="65" t="n">
        <v>0.02</v>
      </c>
      <c r="D1581" s="66" t="str">
        <f aca="false">IFERROR(INDEX(المكونات!$B$2:$B$500,MATCH($B1581,المكونات!$A$2:$A$500,0)),"")</f>
        <v>كجم</v>
      </c>
      <c r="E1581" s="67" t="n">
        <f aca="false">IFERROR(INDEX(المكونات!$C$2:$C$500,MATCH($B1581,المكونات!$A$2:$A$500,0)),"")</f>
        <v>27</v>
      </c>
      <c r="F1581" s="68" t="n">
        <f aca="false">IFERROR($C1581*$E1581,"")</f>
        <v>0.54</v>
      </c>
    </row>
    <row r="1582" customFormat="false" ht="15" hidden="false" customHeight="true" outlineLevel="0" collapsed="false">
      <c r="A1582" s="65" t="s">
        <v>477</v>
      </c>
      <c r="B1582" s="65" t="s">
        <v>227</v>
      </c>
      <c r="C1582" s="65" t="n">
        <v>0.02</v>
      </c>
      <c r="D1582" s="66" t="str">
        <f aca="false">IFERROR(INDEX(المكونات!$B$2:$B$500,MATCH($B1582,المكونات!$A$2:$A$500,0)),"")</f>
        <v>كجم</v>
      </c>
      <c r="E1582" s="67" t="n">
        <f aca="false">IFERROR(INDEX(المكونات!$C$2:$C$500,MATCH($B1582,المكونات!$A$2:$A$500,0)),"")</f>
        <v>95</v>
      </c>
      <c r="F1582" s="68" t="n">
        <f aca="false">IFERROR($C1582*$E1582,"")</f>
        <v>1.9</v>
      </c>
    </row>
    <row r="1583" customFormat="false" ht="15" hidden="false" customHeight="true" outlineLevel="0" collapsed="false">
      <c r="A1583" s="65" t="s">
        <v>477</v>
      </c>
      <c r="B1583" s="65" t="s">
        <v>297</v>
      </c>
      <c r="C1583" s="65" t="n">
        <v>1</v>
      </c>
      <c r="D1583" s="66" t="str">
        <f aca="false">IFERROR(INDEX(المكونات!$B$2:$B$500,MATCH($B1583,المكونات!$A$2:$A$500,0)),"")</f>
        <v>قطعة</v>
      </c>
      <c r="E1583" s="67" t="n">
        <f aca="false">IFERROR(INDEX(المكونات!$C$2:$C$500,MATCH($B1583,المكونات!$A$2:$A$500,0)),"")</f>
        <v>2</v>
      </c>
      <c r="F1583" s="68" t="n">
        <f aca="false">IFERROR($C1583*$E1583,"")</f>
        <v>2</v>
      </c>
    </row>
    <row r="1584" customFormat="false" ht="15" hidden="false" customHeight="true" outlineLevel="0" collapsed="false">
      <c r="A1584" s="65" t="s">
        <v>477</v>
      </c>
      <c r="B1584" s="65" t="s">
        <v>234</v>
      </c>
      <c r="C1584" s="65" t="n">
        <v>1</v>
      </c>
      <c r="D1584" s="66" t="str">
        <f aca="false">IFERROR(INDEX(المكونات!$B$2:$B$500,MATCH($B1584,المكونات!$A$2:$A$500,0)),"")</f>
        <v>قطعة (استخدام)</v>
      </c>
      <c r="E1584" s="67" t="n">
        <f aca="false">IFERROR(INDEX(المكونات!$C$2:$C$500,MATCH($B1584,المكونات!$A$2:$A$500,0)),"")</f>
        <v>2.5189</v>
      </c>
      <c r="F1584" s="68" t="n">
        <f aca="false">IFERROR($C1584*$E1584,"")</f>
        <v>2.5189</v>
      </c>
    </row>
    <row r="1585" customFormat="false" ht="15" hidden="false" customHeight="true" outlineLevel="0" collapsed="false">
      <c r="A1585" s="65" t="s">
        <v>477</v>
      </c>
      <c r="B1585" s="65" t="s">
        <v>150</v>
      </c>
      <c r="C1585" s="65" t="n">
        <v>0.5</v>
      </c>
      <c r="D1585" s="66" t="str">
        <f aca="false">IFERROR(INDEX(المكونات!$B$2:$B$500,MATCH($B1585,المكونات!$A$2:$A$500,0)),"")</f>
        <v>قطعة</v>
      </c>
      <c r="E1585" s="67" t="n">
        <f aca="false">IFERROR(INDEX(المكونات!$C$2:$C$500,MATCH($B1585,المكونات!$A$2:$A$500,0)),"")</f>
        <v>95</v>
      </c>
      <c r="F1585" s="68" t="n">
        <f aca="false">IFERROR($C1585*$E1585,"")</f>
        <v>47.5</v>
      </c>
    </row>
    <row r="1586" customFormat="false" ht="15" hidden="false" customHeight="true" outlineLevel="0" collapsed="false">
      <c r="A1586" s="65" t="s">
        <v>461</v>
      </c>
      <c r="B1586" s="65" t="s">
        <v>348</v>
      </c>
      <c r="C1586" s="65" t="n">
        <v>1</v>
      </c>
      <c r="D1586" s="66" t="str">
        <f aca="false">IFERROR(INDEX(المكونات!$B$2:$B$500,MATCH($B1586,المكونات!$A$2:$A$500,0)),"")</f>
        <v>قطعة</v>
      </c>
      <c r="E1586" s="67" t="n">
        <f aca="false">IFERROR(INDEX(المكونات!$C$2:$C$500,MATCH($B1586,المكونات!$A$2:$A$500,0)),"")</f>
        <v>5.5777</v>
      </c>
      <c r="F1586" s="68" t="n">
        <f aca="false">IFERROR($C1586*$E1586,"")</f>
        <v>5.5777</v>
      </c>
    </row>
    <row r="1587" customFormat="false" ht="15" hidden="false" customHeight="true" outlineLevel="0" collapsed="false">
      <c r="A1587" s="65" t="s">
        <v>446</v>
      </c>
      <c r="B1587" s="65" t="s">
        <v>348</v>
      </c>
      <c r="C1587" s="65" t="n">
        <v>1</v>
      </c>
      <c r="D1587" s="66" t="str">
        <f aca="false">IFERROR(INDEX(المكونات!$B$2:$B$500,MATCH($B1587,المكونات!$A$2:$A$500,0)),"")</f>
        <v>قطعة</v>
      </c>
      <c r="E1587" s="67" t="n">
        <f aca="false">IFERROR(INDEX(المكونات!$C$2:$C$500,MATCH($B1587,المكونات!$A$2:$A$500,0)),"")</f>
        <v>5.5777</v>
      </c>
      <c r="F1587" s="68" t="n">
        <f aca="false">IFERROR($C1587*$E1587,"")</f>
        <v>5.5777</v>
      </c>
    </row>
    <row r="1588" customFormat="false" ht="15" hidden="false" customHeight="true" outlineLevel="0" collapsed="false">
      <c r="A1588" s="65" t="s">
        <v>428</v>
      </c>
      <c r="B1588" s="65" t="s">
        <v>348</v>
      </c>
      <c r="C1588" s="65" t="n">
        <v>1</v>
      </c>
      <c r="D1588" s="66" t="str">
        <f aca="false">IFERROR(INDEX(المكونات!$B$2:$B$500,MATCH($B1588,المكونات!$A$2:$A$500,0)),"")</f>
        <v>قطعة</v>
      </c>
      <c r="E1588" s="67" t="n">
        <f aca="false">IFERROR(INDEX(المكونات!$C$2:$C$500,MATCH($B1588,المكونات!$A$2:$A$500,0)),"")</f>
        <v>5.5777</v>
      </c>
      <c r="F1588" s="68" t="n">
        <f aca="false">IFERROR($C1588*$E1588,"")</f>
        <v>5.5777</v>
      </c>
    </row>
    <row r="1589" customFormat="false" ht="15" hidden="false" customHeight="true" outlineLevel="0" collapsed="false">
      <c r="A1589" s="65" t="s">
        <v>498</v>
      </c>
      <c r="B1589" s="65" t="s">
        <v>348</v>
      </c>
      <c r="C1589" s="65" t="n">
        <v>1</v>
      </c>
      <c r="D1589" s="66" t="str">
        <f aca="false">IFERROR(INDEX(المكونات!$B$2:$B$500,MATCH($B1589,المكونات!$A$2:$A$500,0)),"")</f>
        <v>قطعة</v>
      </c>
      <c r="E1589" s="67" t="n">
        <f aca="false">IFERROR(INDEX(المكونات!$C$2:$C$500,MATCH($B1589,المكونات!$A$2:$A$500,0)),"")</f>
        <v>5.5777</v>
      </c>
      <c r="F1589" s="68" t="n">
        <f aca="false">IFERROR($C1589*$E1589,"")</f>
        <v>5.5777</v>
      </c>
    </row>
    <row r="1590" customFormat="false" ht="15" hidden="false" customHeight="true" outlineLevel="0" collapsed="false">
      <c r="A1590" s="65" t="s">
        <v>527</v>
      </c>
      <c r="B1590" s="65" t="s">
        <v>348</v>
      </c>
      <c r="C1590" s="65" t="n">
        <v>1</v>
      </c>
      <c r="D1590" s="66" t="str">
        <f aca="false">IFERROR(INDEX(المكونات!$B$2:$B$500,MATCH($B1590,المكونات!$A$2:$A$500,0)),"")</f>
        <v>قطعة</v>
      </c>
      <c r="E1590" s="67" t="n">
        <f aca="false">IFERROR(INDEX(المكونات!$C$2:$C$500,MATCH($B1590,المكونات!$A$2:$A$500,0)),"")</f>
        <v>5.5777</v>
      </c>
      <c r="F1590" s="68" t="n">
        <f aca="false">IFERROR($C1590*$E1590,"")</f>
        <v>5.5777</v>
      </c>
    </row>
    <row r="1591" customFormat="false" ht="15" hidden="false" customHeight="true" outlineLevel="0" collapsed="false">
      <c r="A1591" s="65" t="s">
        <v>464</v>
      </c>
      <c r="B1591" s="65" t="s">
        <v>348</v>
      </c>
      <c r="C1591" s="65" t="n">
        <v>1</v>
      </c>
      <c r="D1591" s="66" t="str">
        <f aca="false">IFERROR(INDEX(المكونات!$B$2:$B$500,MATCH($B1591,المكونات!$A$2:$A$500,0)),"")</f>
        <v>قطعة</v>
      </c>
      <c r="E1591" s="67" t="n">
        <f aca="false">IFERROR(INDEX(المكونات!$C$2:$C$500,MATCH($B1591,المكونات!$A$2:$A$500,0)),"")</f>
        <v>5.5777</v>
      </c>
      <c r="F1591" s="68" t="n">
        <f aca="false">IFERROR($C1591*$E1591,"")</f>
        <v>5.5777</v>
      </c>
    </row>
    <row r="1592" customFormat="false" ht="15" hidden="false" customHeight="true" outlineLevel="0" collapsed="false">
      <c r="A1592" s="65" t="s">
        <v>450</v>
      </c>
      <c r="B1592" s="65" t="s">
        <v>348</v>
      </c>
      <c r="C1592" s="65" t="n">
        <v>1</v>
      </c>
      <c r="D1592" s="66" t="str">
        <f aca="false">IFERROR(INDEX(المكونات!$B$2:$B$500,MATCH($B1592,المكونات!$A$2:$A$500,0)),"")</f>
        <v>قطعة</v>
      </c>
      <c r="E1592" s="67" t="n">
        <f aca="false">IFERROR(INDEX(المكونات!$C$2:$C$500,MATCH($B1592,المكونات!$A$2:$A$500,0)),"")</f>
        <v>5.5777</v>
      </c>
      <c r="F1592" s="68" t="n">
        <f aca="false">IFERROR($C1592*$E1592,"")</f>
        <v>5.5777</v>
      </c>
    </row>
    <row r="1593" customFormat="false" ht="15" hidden="false" customHeight="true" outlineLevel="0" collapsed="false">
      <c r="A1593" s="65" t="s">
        <v>405</v>
      </c>
      <c r="B1593" s="65" t="s">
        <v>348</v>
      </c>
      <c r="C1593" s="65" t="n">
        <v>1</v>
      </c>
      <c r="D1593" s="66" t="str">
        <f aca="false">IFERROR(INDEX(المكونات!$B$2:$B$500,MATCH($B1593,المكونات!$A$2:$A$500,0)),"")</f>
        <v>قطعة</v>
      </c>
      <c r="E1593" s="67" t="n">
        <f aca="false">IFERROR(INDEX(المكونات!$C$2:$C$500,MATCH($B1593,المكونات!$A$2:$A$500,0)),"")</f>
        <v>5.5777</v>
      </c>
      <c r="F1593" s="68" t="n">
        <f aca="false">IFERROR($C1593*$E1593,"")</f>
        <v>5.5777</v>
      </c>
    </row>
    <row r="1594" customFormat="false" ht="15" hidden="false" customHeight="true" outlineLevel="0" collapsed="false">
      <c r="A1594" s="65" t="s">
        <v>406</v>
      </c>
      <c r="B1594" s="65" t="s">
        <v>348</v>
      </c>
      <c r="C1594" s="65" t="n">
        <v>1</v>
      </c>
      <c r="D1594" s="66" t="str">
        <f aca="false">IFERROR(INDEX(المكونات!$B$2:$B$500,MATCH($B1594,المكونات!$A$2:$A$500,0)),"")</f>
        <v>قطعة</v>
      </c>
      <c r="E1594" s="67" t="n">
        <f aca="false">IFERROR(INDEX(المكونات!$C$2:$C$500,MATCH($B1594,المكونات!$A$2:$A$500,0)),"")</f>
        <v>5.5777</v>
      </c>
      <c r="F1594" s="68" t="n">
        <f aca="false">IFERROR($C1594*$E1594,"")</f>
        <v>5.5777</v>
      </c>
    </row>
    <row r="1595" customFormat="false" ht="15" hidden="false" customHeight="true" outlineLevel="0" collapsed="false">
      <c r="A1595" s="65" t="s">
        <v>413</v>
      </c>
      <c r="B1595" s="65" t="s">
        <v>348</v>
      </c>
      <c r="C1595" s="65" t="n">
        <v>1</v>
      </c>
      <c r="D1595" s="66" t="str">
        <f aca="false">IFERROR(INDEX(المكونات!$B$2:$B$500,MATCH($B1595,المكونات!$A$2:$A$500,0)),"")</f>
        <v>قطعة</v>
      </c>
      <c r="E1595" s="67" t="n">
        <f aca="false">IFERROR(INDEX(المكونات!$C$2:$C$500,MATCH($B1595,المكونات!$A$2:$A$500,0)),"")</f>
        <v>5.5777</v>
      </c>
      <c r="F1595" s="68" t="n">
        <f aca="false">IFERROR($C1595*$E1595,"")</f>
        <v>5.5777</v>
      </c>
    </row>
    <row r="1596" customFormat="false" ht="15" hidden="false" customHeight="true" outlineLevel="0" collapsed="false">
      <c r="A1596" s="65" t="s">
        <v>414</v>
      </c>
      <c r="B1596" s="65" t="s">
        <v>348</v>
      </c>
      <c r="C1596" s="65" t="n">
        <v>1</v>
      </c>
      <c r="D1596" s="66" t="str">
        <f aca="false">IFERROR(INDEX(المكونات!$B$2:$B$500,MATCH($B1596,المكونات!$A$2:$A$500,0)),"")</f>
        <v>قطعة</v>
      </c>
      <c r="E1596" s="67" t="n">
        <f aca="false">IFERROR(INDEX(المكونات!$C$2:$C$500,MATCH($B1596,المكونات!$A$2:$A$500,0)),"")</f>
        <v>5.5777</v>
      </c>
      <c r="F1596" s="68" t="n">
        <f aca="false">IFERROR($C1596*$E1596,"")</f>
        <v>5.5777</v>
      </c>
    </row>
    <row r="1597" customFormat="false" ht="15" hidden="false" customHeight="true" outlineLevel="0" collapsed="false">
      <c r="A1597" s="65" t="s">
        <v>416</v>
      </c>
      <c r="B1597" s="65" t="s">
        <v>348</v>
      </c>
      <c r="C1597" s="65" t="n">
        <v>1</v>
      </c>
      <c r="D1597" s="66" t="str">
        <f aca="false">IFERROR(INDEX(المكونات!$B$2:$B$500,MATCH($B1597,المكونات!$A$2:$A$500,0)),"")</f>
        <v>قطعة</v>
      </c>
      <c r="E1597" s="67" t="n">
        <f aca="false">IFERROR(INDEX(المكونات!$C$2:$C$500,MATCH($B1597,المكونات!$A$2:$A$500,0)),"")</f>
        <v>5.5777</v>
      </c>
      <c r="F1597" s="68" t="n">
        <f aca="false">IFERROR($C1597*$E1597,"")</f>
        <v>5.5777</v>
      </c>
    </row>
    <row r="1598" customFormat="false" ht="15" hidden="false" customHeight="true" outlineLevel="0" collapsed="false">
      <c r="A1598" s="65" t="s">
        <v>415</v>
      </c>
      <c r="B1598" s="65" t="s">
        <v>348</v>
      </c>
      <c r="C1598" s="65" t="n">
        <v>1</v>
      </c>
      <c r="D1598" s="66" t="str">
        <f aca="false">IFERROR(INDEX(المكونات!$B$2:$B$500,MATCH($B1598,المكونات!$A$2:$A$500,0)),"")</f>
        <v>قطعة</v>
      </c>
      <c r="E1598" s="67" t="n">
        <f aca="false">IFERROR(INDEX(المكونات!$C$2:$C$500,MATCH($B1598,المكونات!$A$2:$A$500,0)),"")</f>
        <v>5.5777</v>
      </c>
      <c r="F1598" s="68" t="n">
        <f aca="false">IFERROR($C1598*$E1598,"")</f>
        <v>5.5777</v>
      </c>
    </row>
    <row r="1599" customFormat="false" ht="15" hidden="false" customHeight="true" outlineLevel="0" collapsed="false">
      <c r="A1599" s="65" t="s">
        <v>399</v>
      </c>
      <c r="B1599" s="65" t="s">
        <v>348</v>
      </c>
      <c r="C1599" s="65" t="n">
        <v>1</v>
      </c>
      <c r="D1599" s="66" t="str">
        <f aca="false">IFERROR(INDEX(المكونات!$B$2:$B$500,MATCH($B1599,المكونات!$A$2:$A$500,0)),"")</f>
        <v>قطعة</v>
      </c>
      <c r="E1599" s="67" t="n">
        <f aca="false">IFERROR(INDEX(المكونات!$C$2:$C$500,MATCH($B1599,المكونات!$A$2:$A$500,0)),"")</f>
        <v>5.5777</v>
      </c>
      <c r="F1599" s="68" t="n">
        <f aca="false">IFERROR($C1599*$E1599,"")</f>
        <v>5.5777</v>
      </c>
    </row>
    <row r="1600" customFormat="false" ht="15" hidden="false" customHeight="true" outlineLevel="0" collapsed="false">
      <c r="A1600" s="65" t="s">
        <v>401</v>
      </c>
      <c r="B1600" s="65" t="s">
        <v>348</v>
      </c>
      <c r="C1600" s="65" t="n">
        <v>1</v>
      </c>
      <c r="D1600" s="66" t="str">
        <f aca="false">IFERROR(INDEX(المكونات!$B$2:$B$500,MATCH($B1600,المكونات!$A$2:$A$500,0)),"")</f>
        <v>قطعة</v>
      </c>
      <c r="E1600" s="67" t="n">
        <f aca="false">IFERROR(INDEX(المكونات!$C$2:$C$500,MATCH($B1600,المكونات!$A$2:$A$500,0)),"")</f>
        <v>5.5777</v>
      </c>
      <c r="F1600" s="68" t="n">
        <f aca="false">IFERROR($C1600*$E1600,"")</f>
        <v>5.5777</v>
      </c>
    </row>
    <row r="1601" customFormat="false" ht="15" hidden="false" customHeight="true" outlineLevel="0" collapsed="false">
      <c r="A1601" s="65" t="s">
        <v>458</v>
      </c>
      <c r="B1601" s="65" t="s">
        <v>348</v>
      </c>
      <c r="C1601" s="65" t="n">
        <v>1</v>
      </c>
      <c r="D1601" s="66" t="str">
        <f aca="false">IFERROR(INDEX(المكونات!$B$2:$B$500,MATCH($B1601,المكونات!$A$2:$A$500,0)),"")</f>
        <v>قطعة</v>
      </c>
      <c r="E1601" s="67" t="n">
        <f aca="false">IFERROR(INDEX(المكونات!$C$2:$C$500,MATCH($B1601,المكونات!$A$2:$A$500,0)),"")</f>
        <v>5.5777</v>
      </c>
      <c r="F1601" s="68" t="n">
        <f aca="false">IFERROR($C1601*$E1601,"")</f>
        <v>5.5777</v>
      </c>
    </row>
    <row r="1602" customFormat="false" ht="15" hidden="false" customHeight="true" outlineLevel="0" collapsed="false">
      <c r="A1602" s="65" t="s">
        <v>382</v>
      </c>
      <c r="B1602" s="65" t="s">
        <v>348</v>
      </c>
      <c r="C1602" s="65" t="n">
        <v>1</v>
      </c>
      <c r="D1602" s="66" t="str">
        <f aca="false">IFERROR(INDEX(المكونات!$B$2:$B$500,MATCH($B1602,المكونات!$A$2:$A$500,0)),"")</f>
        <v>قطعة</v>
      </c>
      <c r="E1602" s="67" t="n">
        <f aca="false">IFERROR(INDEX(المكونات!$C$2:$C$500,MATCH($B1602,المكونات!$A$2:$A$500,0)),"")</f>
        <v>5.5777</v>
      </c>
      <c r="F1602" s="68" t="n">
        <f aca="false">IFERROR($C1602*$E1602,"")</f>
        <v>5.5777</v>
      </c>
    </row>
    <row r="1603" customFormat="false" ht="15" hidden="false" customHeight="true" outlineLevel="0" collapsed="false">
      <c r="A1603" s="65" t="s">
        <v>475</v>
      </c>
      <c r="B1603" s="65" t="s">
        <v>348</v>
      </c>
      <c r="C1603" s="65" t="n">
        <v>1</v>
      </c>
      <c r="D1603" s="66" t="str">
        <f aca="false">IFERROR(INDEX(المكونات!$B$2:$B$500,MATCH($B1603,المكونات!$A$2:$A$500,0)),"")</f>
        <v>قطعة</v>
      </c>
      <c r="E1603" s="67" t="n">
        <f aca="false">IFERROR(INDEX(المكونات!$C$2:$C$500,MATCH($B1603,المكونات!$A$2:$A$500,0)),"")</f>
        <v>5.5777</v>
      </c>
      <c r="F1603" s="68" t="n">
        <f aca="false">IFERROR($C1603*$E1603,"")</f>
        <v>5.5777</v>
      </c>
    </row>
    <row r="1604" customFormat="false" ht="15" hidden="false" customHeight="true" outlineLevel="0" collapsed="false">
      <c r="A1604" s="65" t="s">
        <v>388</v>
      </c>
      <c r="B1604" s="65" t="s">
        <v>348</v>
      </c>
      <c r="C1604" s="65" t="n">
        <v>1</v>
      </c>
      <c r="D1604" s="66" t="str">
        <f aca="false">IFERROR(INDEX(المكونات!$B$2:$B$500,MATCH($B1604,المكونات!$A$2:$A$500,0)),"")</f>
        <v>قطعة</v>
      </c>
      <c r="E1604" s="67" t="n">
        <f aca="false">IFERROR(INDEX(المكونات!$C$2:$C$500,MATCH($B1604,المكونات!$A$2:$A$500,0)),"")</f>
        <v>5.5777</v>
      </c>
      <c r="F1604" s="68" t="n">
        <f aca="false">IFERROR($C1604*$E1604,"")</f>
        <v>5.5777</v>
      </c>
    </row>
    <row r="1605" customFormat="false" ht="15" hidden="false" customHeight="true" outlineLevel="0" collapsed="false">
      <c r="A1605" s="65" t="s">
        <v>439</v>
      </c>
      <c r="B1605" s="65" t="s">
        <v>348</v>
      </c>
      <c r="C1605" s="65" t="n">
        <v>1</v>
      </c>
      <c r="D1605" s="66" t="str">
        <f aca="false">IFERROR(INDEX(المكونات!$B$2:$B$500,MATCH($B1605,المكونات!$A$2:$A$500,0)),"")</f>
        <v>قطعة</v>
      </c>
      <c r="E1605" s="67" t="n">
        <f aca="false">IFERROR(INDEX(المكونات!$C$2:$C$500,MATCH($B1605,المكونات!$A$2:$A$500,0)),"")</f>
        <v>5.5777</v>
      </c>
      <c r="F1605" s="68" t="n">
        <f aca="false">IFERROR($C1605*$E1605,"")</f>
        <v>5.5777</v>
      </c>
    </row>
    <row r="1606" customFormat="false" ht="15" hidden="false" customHeight="true" outlineLevel="0" collapsed="false">
      <c r="A1606" s="65" t="s">
        <v>386</v>
      </c>
      <c r="B1606" s="65" t="s">
        <v>348</v>
      </c>
      <c r="C1606" s="65" t="n">
        <v>1</v>
      </c>
      <c r="D1606" s="66" t="str">
        <f aca="false">IFERROR(INDEX(المكونات!$B$2:$B$500,MATCH($B1606,المكونات!$A$2:$A$500,0)),"")</f>
        <v>قطعة</v>
      </c>
      <c r="E1606" s="67" t="n">
        <f aca="false">IFERROR(INDEX(المكونات!$C$2:$C$500,MATCH($B1606,المكونات!$A$2:$A$500,0)),"")</f>
        <v>5.5777</v>
      </c>
      <c r="F1606" s="68" t="n">
        <f aca="false">IFERROR($C1606*$E1606,"")</f>
        <v>5.5777</v>
      </c>
    </row>
    <row r="1607" customFormat="false" ht="15" hidden="false" customHeight="true" outlineLevel="0" collapsed="false">
      <c r="A1607" s="65" t="s">
        <v>453</v>
      </c>
      <c r="B1607" s="65" t="s">
        <v>348</v>
      </c>
      <c r="C1607" s="65" t="n">
        <v>1</v>
      </c>
      <c r="D1607" s="66" t="str">
        <f aca="false">IFERROR(INDEX(المكونات!$B$2:$B$500,MATCH($B1607,المكونات!$A$2:$A$500,0)),"")</f>
        <v>قطعة</v>
      </c>
      <c r="E1607" s="67" t="n">
        <f aca="false">IFERROR(INDEX(المكونات!$C$2:$C$500,MATCH($B1607,المكونات!$A$2:$A$500,0)),"")</f>
        <v>5.5777</v>
      </c>
      <c r="F1607" s="68" t="n">
        <f aca="false">IFERROR($C1607*$E1607,"")</f>
        <v>5.5777</v>
      </c>
    </row>
    <row r="1608" customFormat="false" ht="15" hidden="false" customHeight="true" outlineLevel="0" collapsed="false">
      <c r="A1608" s="65" t="s">
        <v>391</v>
      </c>
      <c r="B1608" s="65" t="s">
        <v>348</v>
      </c>
      <c r="C1608" s="65" t="n">
        <v>1</v>
      </c>
      <c r="D1608" s="66" t="str">
        <f aca="false">IFERROR(INDEX(المكونات!$B$2:$B$500,MATCH($B1608,المكونات!$A$2:$A$500,0)),"")</f>
        <v>قطعة</v>
      </c>
      <c r="E1608" s="67" t="n">
        <f aca="false">IFERROR(INDEX(المكونات!$C$2:$C$500,MATCH($B1608,المكونات!$A$2:$A$500,0)),"")</f>
        <v>5.5777</v>
      </c>
      <c r="F1608" s="68" t="n">
        <f aca="false">IFERROR($C1608*$E1608,"")</f>
        <v>5.5777</v>
      </c>
    </row>
    <row r="1609" customFormat="false" ht="15" hidden="false" customHeight="true" outlineLevel="0" collapsed="false">
      <c r="A1609" s="65" t="s">
        <v>528</v>
      </c>
      <c r="B1609" s="65" t="s">
        <v>288</v>
      </c>
      <c r="C1609" s="65" t="n">
        <v>2</v>
      </c>
      <c r="D1609" s="66" t="str">
        <f aca="false">IFERROR(INDEX(المكونات!$B$2:$B$500,MATCH($B1609,المكونات!$A$2:$A$500,0)),"")</f>
        <v>قطعة</v>
      </c>
      <c r="E1609" s="67" t="n">
        <f aca="false">IFERROR(INDEX(المكونات!$C$2:$C$500,MATCH($B1609,المكونات!$A$2:$A$500,0)),"")</f>
        <v>7</v>
      </c>
      <c r="F1609" s="68" t="n">
        <f aca="false">IFERROR($C1609*$E1609,"")</f>
        <v>14</v>
      </c>
    </row>
    <row r="1610" customFormat="false" ht="15" hidden="false" customHeight="true" outlineLevel="0" collapsed="false">
      <c r="A1610" s="65" t="s">
        <v>529</v>
      </c>
      <c r="B1610" s="65" t="s">
        <v>288</v>
      </c>
      <c r="C1610" s="65" t="n">
        <v>3</v>
      </c>
      <c r="D1610" s="66" t="str">
        <f aca="false">IFERROR(INDEX(المكونات!$B$2:$B$500,MATCH($B1610,المكونات!$A$2:$A$500,0)),"")</f>
        <v>قطعة</v>
      </c>
      <c r="E1610" s="67" t="n">
        <f aca="false">IFERROR(INDEX(المكونات!$C$2:$C$500,MATCH($B1610,المكونات!$A$2:$A$500,0)),"")</f>
        <v>7</v>
      </c>
      <c r="F1610" s="68" t="n">
        <f aca="false">IFERROR($C1610*$E1610,"")</f>
        <v>21</v>
      </c>
    </row>
    <row r="1611" customFormat="false" ht="15" hidden="false" customHeight="true" outlineLevel="0" collapsed="false">
      <c r="A1611" s="65" t="s">
        <v>530</v>
      </c>
      <c r="B1611" s="65" t="s">
        <v>288</v>
      </c>
      <c r="C1611" s="65" t="n">
        <v>2</v>
      </c>
      <c r="D1611" s="66" t="str">
        <f aca="false">IFERROR(INDEX(المكونات!$B$2:$B$500,MATCH($B1611,المكونات!$A$2:$A$500,0)),"")</f>
        <v>قطعة</v>
      </c>
      <c r="E1611" s="67" t="n">
        <f aca="false">IFERROR(INDEX(المكونات!$C$2:$C$500,MATCH($B1611,المكونات!$A$2:$A$500,0)),"")</f>
        <v>7</v>
      </c>
      <c r="F1611" s="68" t="n">
        <f aca="false">IFERROR($C1611*$E1611,"")</f>
        <v>14</v>
      </c>
    </row>
    <row r="1612" customFormat="false" ht="15" hidden="false" customHeight="true" outlineLevel="0" collapsed="false">
      <c r="A1612" s="65" t="s">
        <v>531</v>
      </c>
      <c r="B1612" s="65" t="s">
        <v>176</v>
      </c>
      <c r="C1612" s="65" t="n">
        <v>1</v>
      </c>
      <c r="D1612" s="66" t="str">
        <f aca="false">IFERROR(INDEX(المكونات!$B$2:$B$500,MATCH($B1612,المكونات!$A$2:$A$500,0)),"")</f>
        <v>قطعة</v>
      </c>
      <c r="E1612" s="67" t="n">
        <f aca="false">IFERROR(INDEX(المكونات!$C$2:$C$500,MATCH($B1612,المكونات!$A$2:$A$500,0)),"")</f>
        <v>17.5</v>
      </c>
      <c r="F1612" s="68" t="n">
        <f aca="false">IFERROR($C1612*$E1612,"")</f>
        <v>17.5</v>
      </c>
    </row>
    <row r="1613" customFormat="false" ht="15" hidden="false" customHeight="true" outlineLevel="0" collapsed="false">
      <c r="A1613" s="65" t="s">
        <v>532</v>
      </c>
      <c r="B1613" s="65" t="s">
        <v>178</v>
      </c>
      <c r="C1613" s="65" t="n">
        <v>1</v>
      </c>
      <c r="D1613" s="66" t="str">
        <f aca="false">IFERROR(INDEX(المكونات!$B$2:$B$500,MATCH($B1613,المكونات!$A$2:$A$500,0)),"")</f>
        <v>قطعة</v>
      </c>
      <c r="E1613" s="67" t="n">
        <f aca="false">IFERROR(INDEX(المكونات!$C$2:$C$500,MATCH($B1613,المكونات!$A$2:$A$500,0)),"")</f>
        <v>25</v>
      </c>
      <c r="F1613" s="68" t="n">
        <f aca="false">IFERROR($C1613*$E1613,"")</f>
        <v>25</v>
      </c>
    </row>
    <row r="1614" customFormat="false" ht="15" hidden="false" customHeight="true" outlineLevel="0" collapsed="false">
      <c r="A1614" s="65" t="s">
        <v>533</v>
      </c>
      <c r="B1614" s="65" t="s">
        <v>172</v>
      </c>
      <c r="C1614" s="65" t="n">
        <v>1</v>
      </c>
      <c r="D1614" s="66" t="str">
        <f aca="false">IFERROR(INDEX(المكونات!$B$2:$B$500,MATCH($B1614,المكونات!$A$2:$A$500,0)),"")</f>
        <v>قطعة</v>
      </c>
      <c r="E1614" s="67" t="n">
        <f aca="false">IFERROR(INDEX(المكونات!$C$2:$C$500,MATCH($B1614,المكونات!$A$2:$A$500,0)),"")</f>
        <v>20</v>
      </c>
      <c r="F1614" s="68" t="n">
        <f aca="false">IFERROR($C1614*$E1614,"")</f>
        <v>20</v>
      </c>
    </row>
    <row r="1615" customFormat="false" ht="15" hidden="false" customHeight="true" outlineLevel="0" collapsed="false">
      <c r="A1615" s="65" t="s">
        <v>396</v>
      </c>
      <c r="B1615" s="65" t="s">
        <v>174</v>
      </c>
      <c r="C1615" s="65" t="n">
        <v>1</v>
      </c>
      <c r="D1615" s="66" t="str">
        <f aca="false">IFERROR(INDEX(المكونات!$B$2:$B$500,MATCH($B1615,المكونات!$A$2:$A$500,0)),"")</f>
        <v>قطعة</v>
      </c>
      <c r="E1615" s="67" t="n">
        <f aca="false">IFERROR(INDEX(المكونات!$C$2:$C$500,MATCH($B1615,المكونات!$A$2:$A$500,0)),"")</f>
        <v>27.1395</v>
      </c>
      <c r="F1615" s="68" t="n">
        <f aca="false">IFERROR($C1615*$E1615,"")</f>
        <v>27.1395</v>
      </c>
    </row>
    <row r="1616" customFormat="false" ht="15" hidden="false" customHeight="true" outlineLevel="0" collapsed="false">
      <c r="A1616" s="65" t="s">
        <v>534</v>
      </c>
      <c r="B1616" s="65" t="s">
        <v>148</v>
      </c>
      <c r="C1616" s="65" t="n">
        <v>1</v>
      </c>
      <c r="D1616" s="66" t="str">
        <f aca="false">IFERROR(INDEX(المكونات!$B$2:$B$500,MATCH($B1616,المكونات!$A$2:$A$500,0)),"")</f>
        <v>قطعة</v>
      </c>
      <c r="E1616" s="67" t="n">
        <f aca="false">IFERROR(INDEX(المكونات!$C$2:$C$500,MATCH($B1616,المكونات!$A$2:$A$500,0)),"")</f>
        <v>9</v>
      </c>
      <c r="F1616" s="68" t="n">
        <f aca="false">IFERROR($C1616*$E1616,"")</f>
        <v>9</v>
      </c>
    </row>
    <row r="1617" customFormat="false" ht="15" hidden="false" customHeight="true" outlineLevel="0" collapsed="false">
      <c r="A1617" s="65" t="s">
        <v>535</v>
      </c>
      <c r="B1617" s="65" t="s">
        <v>148</v>
      </c>
      <c r="C1617" s="65" t="n">
        <v>1</v>
      </c>
      <c r="D1617" s="66" t="str">
        <f aca="false">IFERROR(INDEX(المكونات!$B$2:$B$500,MATCH($B1617,المكونات!$A$2:$A$500,0)),"")</f>
        <v>قطعة</v>
      </c>
      <c r="E1617" s="67" t="n">
        <f aca="false">IFERROR(INDEX(المكونات!$C$2:$C$500,MATCH($B1617,المكونات!$A$2:$A$500,0)),"")</f>
        <v>9</v>
      </c>
      <c r="F1617" s="68" t="n">
        <f aca="false">IFERROR($C1617*$E1617,"")</f>
        <v>9</v>
      </c>
    </row>
    <row r="1618" customFormat="false" ht="15" hidden="false" customHeight="true" outlineLevel="0" collapsed="false">
      <c r="A1618" s="65" t="s">
        <v>536</v>
      </c>
      <c r="B1618" s="65" t="s">
        <v>148</v>
      </c>
      <c r="C1618" s="65" t="n">
        <v>1.5</v>
      </c>
      <c r="D1618" s="66" t="str">
        <f aca="false">IFERROR(INDEX(المكونات!$B$2:$B$500,MATCH($B1618,المكونات!$A$2:$A$500,0)),"")</f>
        <v>قطعة</v>
      </c>
      <c r="E1618" s="67" t="n">
        <f aca="false">IFERROR(INDEX(المكونات!$C$2:$C$500,MATCH($B1618,المكونات!$A$2:$A$500,0)),"")</f>
        <v>9</v>
      </c>
      <c r="F1618" s="68" t="n">
        <f aca="false">IFERROR($C1618*$E1618,"")</f>
        <v>13.5</v>
      </c>
    </row>
    <row r="1619" customFormat="false" ht="15" hidden="false" customHeight="true" outlineLevel="0" collapsed="false">
      <c r="A1619" s="65" t="s">
        <v>512</v>
      </c>
      <c r="B1619" s="65" t="s">
        <v>170</v>
      </c>
      <c r="C1619" s="65" t="n">
        <v>1</v>
      </c>
      <c r="D1619" s="66" t="str">
        <f aca="false">IFERROR(INDEX(المكونات!$B$2:$B$500,MATCH($B1619,المكونات!$A$2:$A$500,0)),"")</f>
        <v>قطعة</v>
      </c>
      <c r="E1619" s="67" t="n">
        <f aca="false">IFERROR(INDEX(المكونات!$C$2:$C$500,MATCH($B1619,المكونات!$A$2:$A$500,0)),"")</f>
        <v>23</v>
      </c>
      <c r="F1619" s="68" t="n">
        <f aca="false">IFERROR($C1619*$E1619,"")</f>
        <v>23</v>
      </c>
    </row>
    <row r="1620" customFormat="false" ht="15" hidden="false" customHeight="true" outlineLevel="0" collapsed="false">
      <c r="A1620" s="65" t="s">
        <v>513</v>
      </c>
      <c r="B1620" s="65" t="s">
        <v>170</v>
      </c>
      <c r="C1620" s="65" t="n">
        <v>2</v>
      </c>
      <c r="D1620" s="66" t="str">
        <f aca="false">IFERROR(INDEX(المكونات!$B$2:$B$500,MATCH($B1620,المكونات!$A$2:$A$500,0)),"")</f>
        <v>قطعة</v>
      </c>
      <c r="E1620" s="67" t="n">
        <f aca="false">IFERROR(INDEX(المكونات!$C$2:$C$500,MATCH($B1620,المكونات!$A$2:$A$500,0)),"")</f>
        <v>23</v>
      </c>
      <c r="F1620" s="68" t="n">
        <f aca="false">IFERROR($C1620*$E1620,"")</f>
        <v>46</v>
      </c>
    </row>
    <row r="1621" customFormat="false" ht="15" hidden="false" customHeight="true" outlineLevel="0" collapsed="false">
      <c r="A1621" s="65" t="s">
        <v>380</v>
      </c>
      <c r="B1621" s="65" t="s">
        <v>245</v>
      </c>
      <c r="C1621" s="65" t="n">
        <v>0.1</v>
      </c>
      <c r="D1621" s="66" t="str">
        <f aca="false">IFERROR(INDEX(المكونات!$B$2:$B$500,MATCH($B1621,المكونات!$A$2:$A$500,0)),"")</f>
        <v>كجم</v>
      </c>
      <c r="E1621" s="67" t="n">
        <f aca="false">IFERROR(INDEX(المكونات!$C$2:$C$500,MATCH($B1621,المكونات!$A$2:$A$500,0)),"")</f>
        <v>127.6582</v>
      </c>
      <c r="F1621" s="68" t="n">
        <f aca="false">IFERROR($C1621*$E1621,"")</f>
        <v>12.76582</v>
      </c>
    </row>
    <row r="1622" customFormat="false" ht="15" hidden="false" customHeight="true" outlineLevel="0" collapsed="false">
      <c r="A1622" s="65" t="s">
        <v>387</v>
      </c>
      <c r="B1622" s="65" t="s">
        <v>166</v>
      </c>
      <c r="C1622" s="65" t="n">
        <v>1</v>
      </c>
      <c r="D1622" s="66" t="str">
        <f aca="false">IFERROR(INDEX(المكونات!$B$2:$B$500,MATCH($B1622,المكونات!$A$2:$A$500,0)),"")</f>
        <v>قطعة</v>
      </c>
      <c r="E1622" s="67" t="n">
        <f aca="false">IFERROR(INDEX(المكونات!$C$2:$C$500,MATCH($B1622,المكونات!$A$2:$A$500,0)),"")</f>
        <v>25</v>
      </c>
      <c r="F1622" s="68" t="n">
        <f aca="false">IFERROR($C1622*$E1622,"")</f>
        <v>25</v>
      </c>
    </row>
    <row r="1623" customFormat="false" ht="15" hidden="false" customHeight="true" outlineLevel="0" collapsed="false">
      <c r="A1623" s="65" t="s">
        <v>537</v>
      </c>
      <c r="B1623" s="65" t="s">
        <v>168</v>
      </c>
      <c r="C1623" s="65" t="n">
        <v>1</v>
      </c>
      <c r="D1623" s="66" t="str">
        <f aca="false">IFERROR(INDEX(المكونات!$B$2:$B$500,MATCH($B1623,المكونات!$A$2:$A$500,0)),"")</f>
        <v>قطعة</v>
      </c>
      <c r="E1623" s="67" t="n">
        <f aca="false">IFERROR(INDEX(المكونات!$C$2:$C$500,MATCH($B1623,المكونات!$A$2:$A$500,0)),"")</f>
        <v>21</v>
      </c>
      <c r="F1623" s="68" t="n">
        <f aca="false">IFERROR($C1623*$E1623,"")</f>
        <v>21</v>
      </c>
    </row>
    <row r="1624" customFormat="false" ht="15" hidden="false" customHeight="true" outlineLevel="0" collapsed="false">
      <c r="A1624" s="65" t="s">
        <v>538</v>
      </c>
      <c r="B1624" s="65" t="s">
        <v>168</v>
      </c>
      <c r="C1624" s="65" t="n">
        <v>1</v>
      </c>
      <c r="D1624" s="66" t="str">
        <f aca="false">IFERROR(INDEX(المكونات!$B$2:$B$500,MATCH($B1624,المكونات!$A$2:$A$500,0)),"")</f>
        <v>قطعة</v>
      </c>
      <c r="E1624" s="67" t="n">
        <f aca="false">IFERROR(INDEX(المكونات!$C$2:$C$500,MATCH($B1624,المكونات!$A$2:$A$500,0)),"")</f>
        <v>21</v>
      </c>
      <c r="F1624" s="68" t="n">
        <f aca="false">IFERROR($C1624*$E1624,"")</f>
        <v>21</v>
      </c>
    </row>
    <row r="1625" customFormat="false" ht="15" hidden="false" customHeight="true" outlineLevel="0" collapsed="false">
      <c r="A1625" s="65" t="s">
        <v>539</v>
      </c>
      <c r="B1625" s="65" t="s">
        <v>152</v>
      </c>
      <c r="C1625" s="65" t="n">
        <v>1</v>
      </c>
      <c r="D1625" s="66" t="str">
        <f aca="false">IFERROR(INDEX(المكونات!$B$2:$B$500,MATCH($B1625,المكونات!$A$2:$A$500,0)),"")</f>
        <v>قطعة</v>
      </c>
      <c r="E1625" s="67" t="n">
        <f aca="false">IFERROR(INDEX(المكونات!$C$2:$C$500,MATCH($B1625,المكونات!$A$2:$A$500,0)),"")</f>
        <v>34</v>
      </c>
      <c r="F1625" s="68" t="n">
        <f aca="false">IFERROR($C1625*$E1625,"")</f>
        <v>34</v>
      </c>
    </row>
    <row r="1626" customFormat="false" ht="15" hidden="false" customHeight="true" outlineLevel="0" collapsed="false">
      <c r="A1626" s="65" t="s">
        <v>540</v>
      </c>
      <c r="B1626" s="65" t="s">
        <v>152</v>
      </c>
      <c r="C1626" s="65" t="n">
        <v>1</v>
      </c>
      <c r="D1626" s="66" t="str">
        <f aca="false">IFERROR(INDEX(المكونات!$B$2:$B$500,MATCH($B1626,المكونات!$A$2:$A$500,0)),"")</f>
        <v>قطعة</v>
      </c>
      <c r="E1626" s="67" t="n">
        <f aca="false">IFERROR(INDEX(المكونات!$C$2:$C$500,MATCH($B1626,المكونات!$A$2:$A$500,0)),"")</f>
        <v>34</v>
      </c>
      <c r="F1626" s="68" t="n">
        <f aca="false">IFERROR($C1626*$E1626,"")</f>
        <v>34</v>
      </c>
    </row>
    <row r="1627" customFormat="false" ht="15" hidden="false" customHeight="true" outlineLevel="0" collapsed="false">
      <c r="A1627" s="65" t="s">
        <v>431</v>
      </c>
      <c r="B1627" s="65" t="s">
        <v>154</v>
      </c>
      <c r="C1627" s="65" t="n">
        <v>1</v>
      </c>
      <c r="D1627" s="66" t="str">
        <f aca="false">IFERROR(INDEX(المكونات!$B$2:$B$500,MATCH($B1627,المكونات!$A$2:$A$500,0)),"")</f>
        <v>قطعة</v>
      </c>
      <c r="E1627" s="67" t="n">
        <f aca="false">IFERROR(INDEX(المكونات!$C$2:$C$500,MATCH($B1627,المكونات!$A$2:$A$500,0)),"")</f>
        <v>45</v>
      </c>
      <c r="F1627" s="68" t="n">
        <f aca="false">IFERROR($C1627*$E1627,"")</f>
        <v>45</v>
      </c>
    </row>
    <row r="1628" customFormat="false" ht="15" hidden="false" customHeight="true" outlineLevel="0" collapsed="false">
      <c r="A1628" s="65" t="s">
        <v>408</v>
      </c>
      <c r="B1628" s="65" t="s">
        <v>142</v>
      </c>
      <c r="C1628" s="65" t="n">
        <v>1</v>
      </c>
      <c r="D1628" s="66" t="str">
        <f aca="false">IFERROR(INDEX(المكونات!$B$2:$B$500,MATCH($B1628,المكونات!$A$2:$A$500,0)),"")</f>
        <v>قطعة</v>
      </c>
      <c r="E1628" s="67" t="n">
        <f aca="false">IFERROR(INDEX(المكونات!$C$2:$C$500,MATCH($B1628,المكونات!$A$2:$A$500,0)),"")</f>
        <v>35</v>
      </c>
      <c r="F1628" s="68" t="n">
        <f aca="false">IFERROR($C1628*$E1628,"")</f>
        <v>35</v>
      </c>
    </row>
    <row r="1629" customFormat="false" ht="15" hidden="false" customHeight="true" outlineLevel="0" collapsed="false">
      <c r="A1629" s="65" t="s">
        <v>409</v>
      </c>
      <c r="B1629" s="65" t="s">
        <v>142</v>
      </c>
      <c r="C1629" s="65" t="n">
        <v>1</v>
      </c>
      <c r="D1629" s="66" t="str">
        <f aca="false">IFERROR(INDEX(المكونات!$B$2:$B$500,MATCH($B1629,المكونات!$A$2:$A$500,0)),"")</f>
        <v>قطعة</v>
      </c>
      <c r="E1629" s="67" t="n">
        <f aca="false">IFERROR(INDEX(المكونات!$C$2:$C$500,MATCH($B1629,المكونات!$A$2:$A$500,0)),"")</f>
        <v>35</v>
      </c>
      <c r="F1629" s="68" t="n">
        <f aca="false">IFERROR($C1629*$E1629,"")</f>
        <v>35</v>
      </c>
    </row>
    <row r="1630" customFormat="false" ht="15" hidden="false" customHeight="true" outlineLevel="0" collapsed="false">
      <c r="A1630" s="65" t="s">
        <v>394</v>
      </c>
      <c r="B1630" s="65" t="s">
        <v>144</v>
      </c>
      <c r="C1630" s="65" t="n">
        <v>1</v>
      </c>
      <c r="D1630" s="66" t="str">
        <f aca="false">IFERROR(INDEX(المكونات!$B$2:$B$500,MATCH($B1630,المكونات!$A$2:$A$500,0)),"")</f>
        <v>قطعة</v>
      </c>
      <c r="E1630" s="67" t="n">
        <f aca="false">IFERROR(INDEX(المكونات!$C$2:$C$500,MATCH($B1630,المكونات!$A$2:$A$500,0)),"")</f>
        <v>46.6667</v>
      </c>
      <c r="F1630" s="68" t="n">
        <f aca="false">IFERROR($C1630*$E1630,"")</f>
        <v>46.6667</v>
      </c>
    </row>
    <row r="1631" customFormat="false" ht="15" hidden="false" customHeight="true" outlineLevel="0" collapsed="false">
      <c r="A1631" s="65" t="s">
        <v>407</v>
      </c>
      <c r="B1631" s="65" t="s">
        <v>156</v>
      </c>
      <c r="C1631" s="65" t="n">
        <v>1</v>
      </c>
      <c r="D1631" s="66" t="str">
        <f aca="false">IFERROR(INDEX(المكونات!$B$2:$B$500,MATCH($B1631,المكونات!$A$2:$A$500,0)),"")</f>
        <v>قطعة</v>
      </c>
      <c r="E1631" s="67" t="n">
        <f aca="false">IFERROR(INDEX(المكونات!$C$2:$C$500,MATCH($B1631,المكونات!$A$2:$A$500,0)),"")</f>
        <v>26.9708</v>
      </c>
      <c r="F1631" s="68" t="n">
        <f aca="false">IFERROR($C1631*$E1631,"")</f>
        <v>26.9708</v>
      </c>
    </row>
    <row r="1632" customFormat="false" ht="15" hidden="false" customHeight="true" outlineLevel="0" collapsed="false">
      <c r="A1632" s="65" t="s">
        <v>526</v>
      </c>
      <c r="B1632" s="65" t="s">
        <v>280</v>
      </c>
      <c r="C1632" s="65" t="n">
        <v>1</v>
      </c>
      <c r="D1632" s="66" t="str">
        <f aca="false">IFERROR(INDEX(المكونات!$B$2:$B$500,MATCH($B1632,المكونات!$A$2:$A$500,0)),"")</f>
        <v>قطعة</v>
      </c>
      <c r="E1632" s="67" t="n">
        <f aca="false">IFERROR(INDEX(المكونات!$C$2:$C$500,MATCH($B1632,المكونات!$A$2:$A$500,0)),"")</f>
        <v>42.03</v>
      </c>
      <c r="F1632" s="68" t="n">
        <f aca="false">IFERROR($C1632*$E1632,"")</f>
        <v>42.03</v>
      </c>
    </row>
    <row r="1633" customFormat="false" ht="15" hidden="false" customHeight="true" outlineLevel="0" collapsed="false">
      <c r="A1633" s="65" t="s">
        <v>490</v>
      </c>
      <c r="B1633" s="65" t="s">
        <v>150</v>
      </c>
      <c r="C1633" s="65" t="n">
        <v>1</v>
      </c>
      <c r="D1633" s="66" t="str">
        <f aca="false">IFERROR(INDEX(المكونات!$B$2:$B$500,MATCH($B1633,المكونات!$A$2:$A$500,0)),"")</f>
        <v>قطعة</v>
      </c>
      <c r="E1633" s="67" t="n">
        <f aca="false">IFERROR(INDEX(المكونات!$C$2:$C$500,MATCH($B1633,المكونات!$A$2:$A$500,0)),"")</f>
        <v>95</v>
      </c>
      <c r="F1633" s="68" t="n">
        <f aca="false">IFERROR($C1633*$E1633,"")</f>
        <v>95</v>
      </c>
    </row>
    <row r="1634" customFormat="false" ht="15" hidden="false" customHeight="true" outlineLevel="0" collapsed="false">
      <c r="A1634" s="65" t="s">
        <v>427</v>
      </c>
      <c r="B1634" s="65" t="s">
        <v>158</v>
      </c>
      <c r="C1634" s="65" t="n">
        <v>1</v>
      </c>
      <c r="D1634" s="66" t="str">
        <f aca="false">IFERROR(INDEX(المكونات!$B$2:$B$500,MATCH($B1634,المكونات!$A$2:$A$500,0)),"")</f>
        <v>قطعة</v>
      </c>
      <c r="E1634" s="67" t="n">
        <f aca="false">IFERROR(INDEX(المكونات!$C$2:$C$500,MATCH($B1634,المكونات!$A$2:$A$500,0)),"")</f>
        <v>33.982</v>
      </c>
      <c r="F1634" s="68" t="n">
        <f aca="false">IFERROR($C1634*$E1634,"")</f>
        <v>33.982</v>
      </c>
    </row>
    <row r="1635" customFormat="false" ht="15" hidden="false" customHeight="true" outlineLevel="0" collapsed="false">
      <c r="A1635" s="65" t="s">
        <v>410</v>
      </c>
      <c r="B1635" s="65" t="s">
        <v>160</v>
      </c>
      <c r="C1635" s="65" t="n">
        <v>1</v>
      </c>
      <c r="D1635" s="66" t="str">
        <f aca="false">IFERROR(INDEX(المكونات!$B$2:$B$500,MATCH($B1635,المكونات!$A$2:$A$500,0)),"")</f>
        <v>قطعة</v>
      </c>
      <c r="E1635" s="67" t="n">
        <f aca="false">IFERROR(INDEX(المكونات!$C$2:$C$500,MATCH($B1635,المكونات!$A$2:$A$500,0)),"")</f>
        <v>48.7817</v>
      </c>
      <c r="F1635" s="68" t="n">
        <f aca="false">IFERROR($C1635*$E1635,"")</f>
        <v>48.7817</v>
      </c>
    </row>
    <row r="1636" customFormat="false" ht="15" hidden="false" customHeight="true" outlineLevel="0" collapsed="false">
      <c r="A1636" s="65" t="s">
        <v>411</v>
      </c>
      <c r="B1636" s="65" t="s">
        <v>160</v>
      </c>
      <c r="C1636" s="65" t="n">
        <v>1</v>
      </c>
      <c r="D1636" s="66" t="str">
        <f aca="false">IFERROR(INDEX(المكونات!$B$2:$B$500,MATCH($B1636,المكونات!$A$2:$A$500,0)),"")</f>
        <v>قطعة</v>
      </c>
      <c r="E1636" s="67" t="n">
        <f aca="false">IFERROR(INDEX(المكونات!$C$2:$C$500,MATCH($B1636,المكونات!$A$2:$A$500,0)),"")</f>
        <v>48.7817</v>
      </c>
      <c r="F1636" s="68" t="n">
        <f aca="false">IFERROR($C1636*$E1636,"")</f>
        <v>48.7817</v>
      </c>
    </row>
    <row r="1637" customFormat="false" ht="15" hidden="false" customHeight="true" outlineLevel="0" collapsed="false">
      <c r="A1637" s="65" t="s">
        <v>402</v>
      </c>
      <c r="B1637" s="65" t="s">
        <v>162</v>
      </c>
      <c r="C1637" s="65" t="n">
        <v>1</v>
      </c>
      <c r="D1637" s="66" t="str">
        <f aca="false">IFERROR(INDEX(المكونات!$B$2:$B$500,MATCH($B1637,المكونات!$A$2:$A$500,0)),"")</f>
        <v>قطعة</v>
      </c>
      <c r="E1637" s="67" t="n">
        <f aca="false">IFERROR(INDEX(المكونات!$C$2:$C$500,MATCH($B1637,المكونات!$A$2:$A$500,0)),"")</f>
        <v>30</v>
      </c>
      <c r="F1637" s="68" t="n">
        <f aca="false">IFERROR($C1637*$E1637,"")</f>
        <v>30</v>
      </c>
    </row>
    <row r="1638" customFormat="false" ht="15" hidden="false" customHeight="true" outlineLevel="0" collapsed="false">
      <c r="A1638" s="65" t="s">
        <v>403</v>
      </c>
      <c r="B1638" s="65" t="s">
        <v>162</v>
      </c>
      <c r="C1638" s="65" t="n">
        <v>1</v>
      </c>
      <c r="D1638" s="66" t="str">
        <f aca="false">IFERROR(INDEX(المكونات!$B$2:$B$500,MATCH($B1638,المكونات!$A$2:$A$500,0)),"")</f>
        <v>قطعة</v>
      </c>
      <c r="E1638" s="67" t="n">
        <f aca="false">IFERROR(INDEX(المكونات!$C$2:$C$500,MATCH($B1638,المكونات!$A$2:$A$500,0)),"")</f>
        <v>30</v>
      </c>
      <c r="F1638" s="68" t="n">
        <f aca="false">IFERROR($C1638*$E1638,"")</f>
        <v>30</v>
      </c>
    </row>
    <row r="1639" customFormat="false" ht="15" hidden="false" customHeight="true" outlineLevel="0" collapsed="false">
      <c r="A1639" s="65" t="s">
        <v>379</v>
      </c>
      <c r="B1639" s="65" t="s">
        <v>164</v>
      </c>
      <c r="C1639" s="65" t="n">
        <v>1</v>
      </c>
      <c r="D1639" s="66" t="str">
        <f aca="false">IFERROR(INDEX(المكونات!$B$2:$B$500,MATCH($B1639,المكونات!$A$2:$A$500,0)),"")</f>
        <v>قطعة</v>
      </c>
      <c r="E1639" s="67" t="n">
        <f aca="false">IFERROR(INDEX(المكونات!$C$2:$C$500,MATCH($B1639,المكونات!$A$2:$A$500,0)),"")</f>
        <v>29</v>
      </c>
      <c r="F1639" s="68" t="n">
        <f aca="false">IFERROR($C1639*$E1639,"")</f>
        <v>29</v>
      </c>
    </row>
    <row r="1640" customFormat="false" ht="15" hidden="false" customHeight="true" outlineLevel="0" collapsed="false">
      <c r="A1640" s="65" t="s">
        <v>375</v>
      </c>
      <c r="B1640" s="65" t="s">
        <v>307</v>
      </c>
      <c r="C1640" s="65" t="n">
        <v>0.06</v>
      </c>
      <c r="D1640" s="66" t="str">
        <f aca="false">IFERROR(INDEX(المكونات!$B$2:$B$500,MATCH($B1640,المكونات!$A$2:$A$500,0)),"")</f>
        <v>كجم</v>
      </c>
      <c r="E1640" s="67" t="n">
        <f aca="false">IFERROR(INDEX(المكونات!$C$2:$C$500,MATCH($B1640,المكونات!$A$2:$A$500,0)),"")</f>
        <v>151.2027</v>
      </c>
      <c r="F1640" s="68" t="n">
        <f aca="false">IFERROR($C1640*$E1640,"")</f>
        <v>9.072162</v>
      </c>
    </row>
    <row r="1641" customFormat="false" ht="15" hidden="false" customHeight="true" outlineLevel="0" collapsed="false">
      <c r="A1641" s="65" t="s">
        <v>376</v>
      </c>
      <c r="B1641" s="65" t="s">
        <v>307</v>
      </c>
      <c r="C1641" s="65" t="n">
        <v>0.09</v>
      </c>
      <c r="D1641" s="66" t="str">
        <f aca="false">IFERROR(INDEX(المكونات!$B$2:$B$500,MATCH($B1641,المكونات!$A$2:$A$500,0)),"")</f>
        <v>كجم</v>
      </c>
      <c r="E1641" s="67" t="n">
        <f aca="false">IFERROR(INDEX(المكونات!$C$2:$C$500,MATCH($B1641,المكونات!$A$2:$A$500,0)),"")</f>
        <v>151.2027</v>
      </c>
      <c r="F1641" s="68" t="n">
        <f aca="false">IFERROR($C1641*$E1641,"")</f>
        <v>13.608243</v>
      </c>
    </row>
    <row r="1642" customFormat="false" ht="15" hidden="false" customHeight="true" outlineLevel="0" collapsed="false">
      <c r="A1642" s="65" t="s">
        <v>377</v>
      </c>
      <c r="B1642" s="65" t="s">
        <v>307</v>
      </c>
      <c r="C1642" s="65" t="n">
        <v>0.06</v>
      </c>
      <c r="D1642" s="66" t="str">
        <f aca="false">IFERROR(INDEX(المكونات!$B$2:$B$500,MATCH($B1642,المكونات!$A$2:$A$500,0)),"")</f>
        <v>كجم</v>
      </c>
      <c r="E1642" s="67" t="n">
        <f aca="false">IFERROR(INDEX(المكونات!$C$2:$C$500,MATCH($B1642,المكونات!$A$2:$A$500,0)),"")</f>
        <v>151.2027</v>
      </c>
      <c r="F1642" s="68" t="n">
        <f aca="false">IFERROR($C1642*$E1642,"")</f>
        <v>9.072162</v>
      </c>
    </row>
    <row r="1643" customFormat="false" ht="15" hidden="false" customHeight="true" outlineLevel="0" collapsed="false">
      <c r="A1643" s="65" t="s">
        <v>378</v>
      </c>
      <c r="B1643" s="65" t="s">
        <v>307</v>
      </c>
      <c r="C1643" s="65" t="n">
        <v>0.09</v>
      </c>
      <c r="D1643" s="66" t="str">
        <f aca="false">IFERROR(INDEX(المكونات!$B$2:$B$500,MATCH($B1643,المكونات!$A$2:$A$500,0)),"")</f>
        <v>كجم</v>
      </c>
      <c r="E1643" s="67" t="n">
        <f aca="false">IFERROR(INDEX(المكونات!$C$2:$C$500,MATCH($B1643,المكونات!$A$2:$A$500,0)),"")</f>
        <v>151.2027</v>
      </c>
      <c r="F1643" s="68" t="n">
        <f aca="false">IFERROR($C1643*$E1643,"")</f>
        <v>13.608243</v>
      </c>
    </row>
    <row r="1644" customFormat="false" ht="15" hidden="false" customHeight="true" outlineLevel="0" collapsed="false">
      <c r="A1644" s="65" t="s">
        <v>541</v>
      </c>
      <c r="B1644" s="65" t="s">
        <v>172</v>
      </c>
      <c r="C1644" s="65" t="n">
        <v>1</v>
      </c>
      <c r="D1644" s="66" t="str">
        <f aca="false">IFERROR(INDEX(المكونات!$B$2:$B$500,MATCH($B1644,المكونات!$A$2:$A$500,0)),"")</f>
        <v>قطعة</v>
      </c>
      <c r="E1644" s="67" t="n">
        <f aca="false">IFERROR(INDEX(المكونات!$C$2:$C$500,MATCH($B1644,المكونات!$A$2:$A$500,0)),"")</f>
        <v>20</v>
      </c>
      <c r="F1644" s="68" t="n">
        <f aca="false">IFERROR($C1644*$E1644,"")</f>
        <v>20</v>
      </c>
    </row>
    <row r="1645" customFormat="false" ht="15" hidden="false" customHeight="true" outlineLevel="0" collapsed="false">
      <c r="A1645" s="65" t="s">
        <v>397</v>
      </c>
      <c r="B1645" s="65" t="s">
        <v>174</v>
      </c>
      <c r="C1645" s="65" t="n">
        <v>1</v>
      </c>
      <c r="D1645" s="66" t="str">
        <f aca="false">IFERROR(INDEX(المكونات!$B$2:$B$500,MATCH($B1645,المكونات!$A$2:$A$500,0)),"")</f>
        <v>قطعة</v>
      </c>
      <c r="E1645" s="67" t="n">
        <f aca="false">IFERROR(INDEX(المكونات!$C$2:$C$500,MATCH($B1645,المكونات!$A$2:$A$500,0)),"")</f>
        <v>27.1395</v>
      </c>
      <c r="F1645" s="68" t="n">
        <f aca="false">IFERROR($C1645*$E1645,"")</f>
        <v>27.1395</v>
      </c>
    </row>
    <row r="1646" customFormat="false" ht="15" hidden="false" customHeight="true" outlineLevel="0" collapsed="false">
      <c r="A1646" s="65" t="s">
        <v>542</v>
      </c>
      <c r="B1646" s="65" t="s">
        <v>172</v>
      </c>
      <c r="C1646" s="65" t="n">
        <v>0.5</v>
      </c>
      <c r="D1646" s="66" t="str">
        <f aca="false">IFERROR(INDEX(المكونات!$B$2:$B$500,MATCH($B1646,المكونات!$A$2:$A$500,0)),"")</f>
        <v>قطعة</v>
      </c>
      <c r="E1646" s="67" t="n">
        <f aca="false">IFERROR(INDEX(المكونات!$C$2:$C$500,MATCH($B1646,المكونات!$A$2:$A$500,0)),"")</f>
        <v>20</v>
      </c>
      <c r="F1646" s="68" t="n">
        <f aca="false">IFERROR($C1646*$E1646,"")</f>
        <v>10</v>
      </c>
    </row>
    <row r="1647" customFormat="false" ht="15" hidden="false" customHeight="true" outlineLevel="0" collapsed="false">
      <c r="A1647" s="65" t="s">
        <v>398</v>
      </c>
      <c r="B1647" s="65" t="s">
        <v>174</v>
      </c>
      <c r="C1647" s="65" t="n">
        <v>0.75</v>
      </c>
      <c r="D1647" s="66" t="str">
        <f aca="false">IFERROR(INDEX(المكونات!$B$2:$B$500,MATCH($B1647,المكونات!$A$2:$A$500,0)),"")</f>
        <v>قطعة</v>
      </c>
      <c r="E1647" s="67" t="n">
        <f aca="false">IFERROR(INDEX(المكونات!$C$2:$C$500,MATCH($B1647,المكونات!$A$2:$A$500,0)),"")</f>
        <v>27.1395</v>
      </c>
      <c r="F1647" s="68" t="n">
        <f aca="false">IFERROR($C1647*$E1647,"")</f>
        <v>20.354625</v>
      </c>
    </row>
    <row r="1648" customFormat="false" ht="15" hidden="false" customHeight="true" outlineLevel="0" collapsed="false">
      <c r="A1648" s="65" t="s">
        <v>543</v>
      </c>
      <c r="B1648" s="65" t="s">
        <v>256</v>
      </c>
      <c r="C1648" s="65" t="n">
        <v>0.1</v>
      </c>
      <c r="D1648" s="66" t="str">
        <f aca="false">IFERROR(INDEX(المكونات!$B$2:$B$500,MATCH($B1648,المكونات!$A$2:$A$500,0)),"")</f>
        <v>كجم</v>
      </c>
      <c r="E1648" s="67" t="n">
        <f aca="false">IFERROR(INDEX(المكونات!$C$2:$C$500,MATCH($B1648,المكونات!$A$2:$A$500,0)),"")</f>
        <v>105</v>
      </c>
      <c r="F1648" s="68" t="n">
        <f aca="false">IFERROR($C1648*$E1648,"")</f>
        <v>10.5</v>
      </c>
    </row>
    <row r="1649" customFormat="false" ht="15" hidden="false" customHeight="true" outlineLevel="0" collapsed="false">
      <c r="A1649" s="65" t="s">
        <v>544</v>
      </c>
      <c r="B1649" s="65" t="s">
        <v>256</v>
      </c>
      <c r="C1649" s="65" t="n">
        <v>0.15</v>
      </c>
      <c r="D1649" s="66" t="str">
        <f aca="false">IFERROR(INDEX(المكونات!$B$2:$B$500,MATCH($B1649,المكونات!$A$2:$A$500,0)),"")</f>
        <v>كجم</v>
      </c>
      <c r="E1649" s="67" t="n">
        <f aca="false">IFERROR(INDEX(المكونات!$C$2:$C$500,MATCH($B1649,المكونات!$A$2:$A$500,0)),"")</f>
        <v>105</v>
      </c>
      <c r="F1649" s="68" t="n">
        <f aca="false">IFERROR($C1649*$E1649,"")</f>
        <v>15.75</v>
      </c>
    </row>
    <row r="1650" customFormat="false" ht="15" hidden="false" customHeight="true" outlineLevel="0" collapsed="false">
      <c r="A1650" s="65" t="s">
        <v>423</v>
      </c>
      <c r="B1650" s="65" t="s">
        <v>258</v>
      </c>
      <c r="C1650" s="65" t="n">
        <v>0.1</v>
      </c>
      <c r="D1650" s="66" t="str">
        <f aca="false">IFERROR(INDEX(المكونات!$B$2:$B$500,MATCH($B1650,المكونات!$A$2:$A$500,0)),"")</f>
        <v>كجم</v>
      </c>
      <c r="E1650" s="67" t="n">
        <f aca="false">IFERROR(INDEX(المكونات!$C$2:$C$500,MATCH($B1650,المكونات!$A$2:$A$500,0)),"")</f>
        <v>140</v>
      </c>
      <c r="F1650" s="68" t="n">
        <f aca="false">IFERROR($C1650*$E1650,"")</f>
        <v>14</v>
      </c>
    </row>
    <row r="1651" customFormat="false" ht="15" hidden="false" customHeight="true" outlineLevel="0" collapsed="false">
      <c r="A1651" s="65" t="s">
        <v>424</v>
      </c>
      <c r="B1651" s="65" t="s">
        <v>258</v>
      </c>
      <c r="C1651" s="65" t="n">
        <v>0.15</v>
      </c>
      <c r="D1651" s="66" t="str">
        <f aca="false">IFERROR(INDEX(المكونات!$B$2:$B$500,MATCH($B1651,المكونات!$A$2:$A$500,0)),"")</f>
        <v>كجم</v>
      </c>
      <c r="E1651" s="67" t="n">
        <f aca="false">IFERROR(INDEX(المكونات!$C$2:$C$500,MATCH($B1651,المكونات!$A$2:$A$500,0)),"")</f>
        <v>140</v>
      </c>
      <c r="F1651" s="68" t="n">
        <f aca="false">IFERROR($C1651*$E1651,"")</f>
        <v>21</v>
      </c>
    </row>
    <row r="1652" customFormat="false" ht="15" hidden="false" customHeight="true" outlineLevel="0" collapsed="false">
      <c r="A1652" s="65" t="s">
        <v>451</v>
      </c>
      <c r="B1652" s="65" t="s">
        <v>252</v>
      </c>
      <c r="C1652" s="65" t="n">
        <v>0.1</v>
      </c>
      <c r="D1652" s="66" t="str">
        <f aca="false">IFERROR(INDEX(المكونات!$B$2:$B$500,MATCH($B1652,المكونات!$A$2:$A$500,0)),"")</f>
        <v>كجم</v>
      </c>
      <c r="E1652" s="67" t="n">
        <f aca="false">IFERROR(INDEX(المكونات!$C$2:$C$500,MATCH($B1652,المكونات!$A$2:$A$500,0)),"")</f>
        <v>70</v>
      </c>
      <c r="F1652" s="68" t="n">
        <f aca="false">IFERROR($C1652*$E1652,"")</f>
        <v>7</v>
      </c>
    </row>
    <row r="1653" customFormat="false" ht="15" hidden="false" customHeight="true" outlineLevel="0" collapsed="false">
      <c r="A1653" s="65" t="s">
        <v>452</v>
      </c>
      <c r="B1653" s="65" t="s">
        <v>252</v>
      </c>
      <c r="C1653" s="65" t="n">
        <v>0.15</v>
      </c>
      <c r="D1653" s="66" t="str">
        <f aca="false">IFERROR(INDEX(المكونات!$B$2:$B$500,MATCH($B1653,المكونات!$A$2:$A$500,0)),"")</f>
        <v>كجم</v>
      </c>
      <c r="E1653" s="67" t="n">
        <f aca="false">IFERROR(INDEX(المكونات!$C$2:$C$500,MATCH($B1653,المكونات!$A$2:$A$500,0)),"")</f>
        <v>70</v>
      </c>
      <c r="F1653" s="68" t="n">
        <f aca="false">IFERROR($C1653*$E1653,"")</f>
        <v>10.5</v>
      </c>
    </row>
    <row r="1654" customFormat="false" ht="15" hidden="false" customHeight="true" outlineLevel="0" collapsed="false">
      <c r="A1654" s="49"/>
      <c r="B1654" s="49"/>
      <c r="C1654" s="49"/>
      <c r="D1654" s="69" t="str">
        <f aca="false">IFERROR(INDEX(المكونات!$B$2:$B$500,MATCH($B1654,المكونات!$A$2:$A$500,0)),"")</f>
        <v/>
      </c>
      <c r="E1654" s="70" t="str">
        <f aca="false">IFERROR(INDEX(المكونات!$C$2:$C$500,MATCH($B1654,المكونات!$A$2:$A$500,0)),"")</f>
        <v/>
      </c>
      <c r="F1654" s="13" t="str">
        <f aca="false">IFERROR($C1654*$E1654,"")</f>
        <v/>
      </c>
    </row>
    <row r="1655" customFormat="false" ht="15" hidden="false" customHeight="true" outlineLevel="0" collapsed="false">
      <c r="A1655" s="49"/>
      <c r="B1655" s="49"/>
      <c r="C1655" s="49"/>
      <c r="D1655" s="69" t="str">
        <f aca="false">IFERROR(INDEX(المكونات!$B$2:$B$500,MATCH($B1655,المكونات!$A$2:$A$500,0)),"")</f>
        <v/>
      </c>
      <c r="E1655" s="70" t="str">
        <f aca="false">IFERROR(INDEX(المكونات!$C$2:$C$500,MATCH($B1655,المكونات!$A$2:$A$500,0)),"")</f>
        <v/>
      </c>
      <c r="F1655" s="13" t="str">
        <f aca="false">IFERROR($C1655*$E1655,"")</f>
        <v/>
      </c>
    </row>
    <row r="1656" customFormat="false" ht="15" hidden="false" customHeight="true" outlineLevel="0" collapsed="false">
      <c r="A1656" s="49"/>
      <c r="B1656" s="49"/>
      <c r="C1656" s="49"/>
      <c r="D1656" s="69" t="str">
        <f aca="false">IFERROR(INDEX(المكونات!$B$2:$B$500,MATCH($B1656,المكونات!$A$2:$A$500,0)),"")</f>
        <v/>
      </c>
      <c r="E1656" s="70" t="str">
        <f aca="false">IFERROR(INDEX(المكونات!$C$2:$C$500,MATCH($B1656,المكونات!$A$2:$A$500,0)),"")</f>
        <v/>
      </c>
      <c r="F1656" s="13" t="str">
        <f aca="false">IFERROR($C1656*$E1656,"")</f>
        <v/>
      </c>
    </row>
    <row r="1657" customFormat="false" ht="15" hidden="false" customHeight="true" outlineLevel="0" collapsed="false">
      <c r="A1657" s="49"/>
      <c r="B1657" s="49"/>
      <c r="C1657" s="49"/>
      <c r="D1657" s="69" t="str">
        <f aca="false">IFERROR(INDEX(المكونات!$B$2:$B$500,MATCH($B1657,المكونات!$A$2:$A$500,0)),"")</f>
        <v/>
      </c>
      <c r="E1657" s="70" t="str">
        <f aca="false">IFERROR(INDEX(المكونات!$C$2:$C$500,MATCH($B1657,المكونات!$A$2:$A$500,0)),"")</f>
        <v/>
      </c>
      <c r="F1657" s="13" t="str">
        <f aca="false">IFERROR($C1657*$E1657,"")</f>
        <v/>
      </c>
    </row>
    <row r="1658" customFormat="false" ht="15" hidden="false" customHeight="true" outlineLevel="0" collapsed="false">
      <c r="A1658" s="49"/>
      <c r="B1658" s="49"/>
      <c r="C1658" s="49"/>
      <c r="D1658" s="69" t="str">
        <f aca="false">IFERROR(INDEX(المكونات!$B$2:$B$500,MATCH($B1658,المكونات!$A$2:$A$500,0)),"")</f>
        <v/>
      </c>
      <c r="E1658" s="70" t="str">
        <f aca="false">IFERROR(INDEX(المكونات!$C$2:$C$500,MATCH($B1658,المكونات!$A$2:$A$500,0)),"")</f>
        <v/>
      </c>
      <c r="F1658" s="13" t="str">
        <f aca="false">IFERROR($C1658*$E1658,"")</f>
        <v/>
      </c>
    </row>
    <row r="1659" customFormat="false" ht="15" hidden="false" customHeight="true" outlineLevel="0" collapsed="false">
      <c r="A1659" s="49"/>
      <c r="B1659" s="49"/>
      <c r="C1659" s="49"/>
      <c r="D1659" s="69" t="str">
        <f aca="false">IFERROR(INDEX(المكونات!$B$2:$B$500,MATCH($B1659,المكونات!$A$2:$A$500,0)),"")</f>
        <v/>
      </c>
      <c r="E1659" s="70" t="str">
        <f aca="false">IFERROR(INDEX(المكونات!$C$2:$C$500,MATCH($B1659,المكونات!$A$2:$A$500,0)),"")</f>
        <v/>
      </c>
      <c r="F1659" s="13" t="str">
        <f aca="false">IFERROR($C1659*$E1659,"")</f>
        <v/>
      </c>
    </row>
    <row r="1660" customFormat="false" ht="15" hidden="false" customHeight="true" outlineLevel="0" collapsed="false">
      <c r="A1660" s="49"/>
      <c r="B1660" s="49"/>
      <c r="C1660" s="49"/>
      <c r="D1660" s="69" t="str">
        <f aca="false">IFERROR(INDEX(المكونات!$B$2:$B$500,MATCH($B1660,المكونات!$A$2:$A$500,0)),"")</f>
        <v/>
      </c>
      <c r="E1660" s="70" t="str">
        <f aca="false">IFERROR(INDEX(المكونات!$C$2:$C$500,MATCH($B1660,المكونات!$A$2:$A$500,0)),"")</f>
        <v/>
      </c>
      <c r="F1660" s="13" t="str">
        <f aca="false">IFERROR($C1660*$E1660,"")</f>
        <v/>
      </c>
    </row>
    <row r="1661" customFormat="false" ht="15" hidden="false" customHeight="true" outlineLevel="0" collapsed="false">
      <c r="A1661" s="49"/>
      <c r="B1661" s="49"/>
      <c r="C1661" s="49"/>
      <c r="D1661" s="69" t="str">
        <f aca="false">IFERROR(INDEX(المكونات!$B$2:$B$500,MATCH($B1661,المكونات!$A$2:$A$500,0)),"")</f>
        <v/>
      </c>
      <c r="E1661" s="70" t="str">
        <f aca="false">IFERROR(INDEX(المكونات!$C$2:$C$500,MATCH($B1661,المكونات!$A$2:$A$500,0)),"")</f>
        <v/>
      </c>
      <c r="F1661" s="13" t="str">
        <f aca="false">IFERROR($C1661*$E1661,"")</f>
        <v/>
      </c>
    </row>
    <row r="1662" customFormat="false" ht="15" hidden="false" customHeight="true" outlineLevel="0" collapsed="false">
      <c r="A1662" s="49"/>
      <c r="B1662" s="49"/>
      <c r="C1662" s="49"/>
      <c r="D1662" s="69" t="str">
        <f aca="false">IFERROR(INDEX(المكونات!$B$2:$B$500,MATCH($B1662,المكونات!$A$2:$A$500,0)),"")</f>
        <v/>
      </c>
      <c r="E1662" s="70" t="str">
        <f aca="false">IFERROR(INDEX(المكونات!$C$2:$C$500,MATCH($B1662,المكونات!$A$2:$A$500,0)),"")</f>
        <v/>
      </c>
      <c r="F1662" s="13" t="str">
        <f aca="false">IFERROR($C1662*$E1662,"")</f>
        <v/>
      </c>
    </row>
    <row r="1663" customFormat="false" ht="15" hidden="false" customHeight="true" outlineLevel="0" collapsed="false">
      <c r="A1663" s="49"/>
      <c r="B1663" s="49"/>
      <c r="C1663" s="49"/>
      <c r="D1663" s="69" t="str">
        <f aca="false">IFERROR(INDEX(المكونات!$B$2:$B$500,MATCH($B1663,المكونات!$A$2:$A$500,0)),"")</f>
        <v/>
      </c>
      <c r="E1663" s="70" t="str">
        <f aca="false">IFERROR(INDEX(المكونات!$C$2:$C$500,MATCH($B1663,المكونات!$A$2:$A$500,0)),"")</f>
        <v/>
      </c>
      <c r="F1663" s="13" t="str">
        <f aca="false">IFERROR($C1663*$E1663,"")</f>
        <v/>
      </c>
    </row>
    <row r="1664" customFormat="false" ht="15" hidden="false" customHeight="true" outlineLevel="0" collapsed="false">
      <c r="A1664" s="49"/>
      <c r="B1664" s="49"/>
      <c r="C1664" s="49"/>
      <c r="D1664" s="69" t="str">
        <f aca="false">IFERROR(INDEX(المكونات!$B$2:$B$500,MATCH($B1664,المكونات!$A$2:$A$500,0)),"")</f>
        <v/>
      </c>
      <c r="E1664" s="70" t="str">
        <f aca="false">IFERROR(INDEX(المكونات!$C$2:$C$500,MATCH($B1664,المكونات!$A$2:$A$500,0)),"")</f>
        <v/>
      </c>
      <c r="F1664" s="13" t="str">
        <f aca="false">IFERROR($C1664*$E1664,"")</f>
        <v/>
      </c>
    </row>
    <row r="1665" customFormat="false" ht="15" hidden="false" customHeight="true" outlineLevel="0" collapsed="false">
      <c r="A1665" s="49"/>
      <c r="B1665" s="49"/>
      <c r="C1665" s="49"/>
      <c r="D1665" s="69" t="str">
        <f aca="false">IFERROR(INDEX(المكونات!$B$2:$B$500,MATCH($B1665,المكونات!$A$2:$A$500,0)),"")</f>
        <v/>
      </c>
      <c r="E1665" s="70" t="str">
        <f aca="false">IFERROR(INDEX(المكونات!$C$2:$C$500,MATCH($B1665,المكونات!$A$2:$A$500,0)),"")</f>
        <v/>
      </c>
      <c r="F1665" s="13" t="str">
        <f aca="false">IFERROR($C1665*$E1665,"")</f>
        <v/>
      </c>
    </row>
    <row r="1666" customFormat="false" ht="15" hidden="false" customHeight="true" outlineLevel="0" collapsed="false">
      <c r="A1666" s="49"/>
      <c r="B1666" s="49"/>
      <c r="C1666" s="49"/>
      <c r="D1666" s="69" t="str">
        <f aca="false">IFERROR(INDEX(المكونات!$B$2:$B$500,MATCH($B1666,المكونات!$A$2:$A$500,0)),"")</f>
        <v/>
      </c>
      <c r="E1666" s="70" t="str">
        <f aca="false">IFERROR(INDEX(المكونات!$C$2:$C$500,MATCH($B1666,المكونات!$A$2:$A$500,0)),"")</f>
        <v/>
      </c>
      <c r="F1666" s="13" t="str">
        <f aca="false">IFERROR($C1666*$E1666,"")</f>
        <v/>
      </c>
    </row>
    <row r="1667" customFormat="false" ht="15" hidden="false" customHeight="true" outlineLevel="0" collapsed="false">
      <c r="A1667" s="49"/>
      <c r="B1667" s="49"/>
      <c r="C1667" s="49"/>
      <c r="D1667" s="69" t="str">
        <f aca="false">IFERROR(INDEX(المكونات!$B$2:$B$500,MATCH($B1667,المكونات!$A$2:$A$500,0)),"")</f>
        <v/>
      </c>
      <c r="E1667" s="70" t="str">
        <f aca="false">IFERROR(INDEX(المكونات!$C$2:$C$500,MATCH($B1667,المكونات!$A$2:$A$500,0)),"")</f>
        <v/>
      </c>
      <c r="F1667" s="13" t="str">
        <f aca="false">IFERROR($C1667*$E1667,"")</f>
        <v/>
      </c>
    </row>
    <row r="1668" customFormat="false" ht="15" hidden="false" customHeight="true" outlineLevel="0" collapsed="false">
      <c r="A1668" s="49"/>
      <c r="B1668" s="49"/>
      <c r="C1668" s="49"/>
      <c r="D1668" s="69" t="str">
        <f aca="false">IFERROR(INDEX(المكونات!$B$2:$B$500,MATCH($B1668,المكونات!$A$2:$A$500,0)),"")</f>
        <v/>
      </c>
      <c r="E1668" s="70" t="str">
        <f aca="false">IFERROR(INDEX(المكونات!$C$2:$C$500,MATCH($B1668,المكونات!$A$2:$A$500,0)),"")</f>
        <v/>
      </c>
      <c r="F1668" s="13" t="str">
        <f aca="false">IFERROR($C1668*$E1668,"")</f>
        <v/>
      </c>
    </row>
    <row r="1669" customFormat="false" ht="15" hidden="false" customHeight="true" outlineLevel="0" collapsed="false">
      <c r="A1669" s="49"/>
      <c r="B1669" s="49"/>
      <c r="C1669" s="49"/>
      <c r="D1669" s="69" t="str">
        <f aca="false">IFERROR(INDEX(المكونات!$B$2:$B$500,MATCH($B1669,المكونات!$A$2:$A$500,0)),"")</f>
        <v/>
      </c>
      <c r="E1669" s="70" t="str">
        <f aca="false">IFERROR(INDEX(المكونات!$C$2:$C$500,MATCH($B1669,المكونات!$A$2:$A$500,0)),"")</f>
        <v/>
      </c>
      <c r="F1669" s="13" t="str">
        <f aca="false">IFERROR($C1669*$E1669,"")</f>
        <v/>
      </c>
    </row>
    <row r="1670" customFormat="false" ht="15" hidden="false" customHeight="true" outlineLevel="0" collapsed="false">
      <c r="A1670" s="49"/>
      <c r="B1670" s="49"/>
      <c r="C1670" s="49"/>
      <c r="D1670" s="69" t="str">
        <f aca="false">IFERROR(INDEX(المكونات!$B$2:$B$500,MATCH($B1670,المكونات!$A$2:$A$500,0)),"")</f>
        <v/>
      </c>
      <c r="E1670" s="70" t="str">
        <f aca="false">IFERROR(INDEX(المكونات!$C$2:$C$500,MATCH($B1670,المكونات!$A$2:$A$500,0)),"")</f>
        <v/>
      </c>
      <c r="F1670" s="13" t="str">
        <f aca="false">IFERROR($C1670*$E1670,"")</f>
        <v/>
      </c>
    </row>
    <row r="1671" customFormat="false" ht="15" hidden="false" customHeight="true" outlineLevel="0" collapsed="false">
      <c r="A1671" s="49"/>
      <c r="B1671" s="49"/>
      <c r="C1671" s="49"/>
      <c r="D1671" s="69" t="str">
        <f aca="false">IFERROR(INDEX(المكونات!$B$2:$B$500,MATCH($B1671,المكونات!$A$2:$A$500,0)),"")</f>
        <v/>
      </c>
      <c r="E1671" s="70" t="str">
        <f aca="false">IFERROR(INDEX(المكونات!$C$2:$C$500,MATCH($B1671,المكونات!$A$2:$A$500,0)),"")</f>
        <v/>
      </c>
      <c r="F1671" s="13" t="str">
        <f aca="false">IFERROR($C1671*$E1671,"")</f>
        <v/>
      </c>
    </row>
    <row r="1672" customFormat="false" ht="15" hidden="false" customHeight="true" outlineLevel="0" collapsed="false">
      <c r="A1672" s="49"/>
      <c r="B1672" s="49"/>
      <c r="C1672" s="49"/>
      <c r="D1672" s="69" t="str">
        <f aca="false">IFERROR(INDEX(المكونات!$B$2:$B$500,MATCH($B1672,المكونات!$A$2:$A$500,0)),"")</f>
        <v/>
      </c>
      <c r="E1672" s="70" t="str">
        <f aca="false">IFERROR(INDEX(المكونات!$C$2:$C$500,MATCH($B1672,المكونات!$A$2:$A$500,0)),"")</f>
        <v/>
      </c>
      <c r="F1672" s="13" t="str">
        <f aca="false">IFERROR($C1672*$E1672,"")</f>
        <v/>
      </c>
    </row>
    <row r="1673" customFormat="false" ht="15" hidden="false" customHeight="true" outlineLevel="0" collapsed="false">
      <c r="A1673" s="49"/>
      <c r="B1673" s="49"/>
      <c r="C1673" s="49"/>
      <c r="D1673" s="69" t="str">
        <f aca="false">IFERROR(INDEX(المكونات!$B$2:$B$500,MATCH($B1673,المكونات!$A$2:$A$500,0)),"")</f>
        <v/>
      </c>
      <c r="E1673" s="70" t="str">
        <f aca="false">IFERROR(INDEX(المكونات!$C$2:$C$500,MATCH($B1673,المكونات!$A$2:$A$500,0)),"")</f>
        <v/>
      </c>
      <c r="F1673" s="13" t="str">
        <f aca="false">IFERROR($C1673*$E1673,"")</f>
        <v/>
      </c>
    </row>
    <row r="1674" customFormat="false" ht="15" hidden="false" customHeight="true" outlineLevel="0" collapsed="false">
      <c r="A1674" s="49"/>
      <c r="B1674" s="49"/>
      <c r="C1674" s="49"/>
      <c r="D1674" s="69" t="str">
        <f aca="false">IFERROR(INDEX(المكونات!$B$2:$B$500,MATCH($B1674,المكونات!$A$2:$A$500,0)),"")</f>
        <v/>
      </c>
      <c r="E1674" s="70" t="str">
        <f aca="false">IFERROR(INDEX(المكونات!$C$2:$C$500,MATCH($B1674,المكونات!$A$2:$A$500,0)),"")</f>
        <v/>
      </c>
      <c r="F1674" s="13" t="str">
        <f aca="false">IFERROR($C1674*$E1674,"")</f>
        <v/>
      </c>
    </row>
    <row r="1675" customFormat="false" ht="15" hidden="false" customHeight="true" outlineLevel="0" collapsed="false">
      <c r="A1675" s="49"/>
      <c r="B1675" s="49"/>
      <c r="C1675" s="49"/>
      <c r="D1675" s="69" t="str">
        <f aca="false">IFERROR(INDEX(المكونات!$B$2:$B$500,MATCH($B1675,المكونات!$A$2:$A$500,0)),"")</f>
        <v/>
      </c>
      <c r="E1675" s="70" t="str">
        <f aca="false">IFERROR(INDEX(المكونات!$C$2:$C$500,MATCH($B1675,المكونات!$A$2:$A$500,0)),"")</f>
        <v/>
      </c>
      <c r="F1675" s="13" t="str">
        <f aca="false">IFERROR($C1675*$E1675,"")</f>
        <v/>
      </c>
    </row>
    <row r="1676" customFormat="false" ht="15" hidden="false" customHeight="true" outlineLevel="0" collapsed="false">
      <c r="A1676" s="49"/>
      <c r="B1676" s="49"/>
      <c r="C1676" s="49"/>
      <c r="D1676" s="69" t="str">
        <f aca="false">IFERROR(INDEX(المكونات!$B$2:$B$500,MATCH($B1676,المكونات!$A$2:$A$500,0)),"")</f>
        <v/>
      </c>
      <c r="E1676" s="70" t="str">
        <f aca="false">IFERROR(INDEX(المكونات!$C$2:$C$500,MATCH($B1676,المكونات!$A$2:$A$500,0)),"")</f>
        <v/>
      </c>
      <c r="F1676" s="13" t="str">
        <f aca="false">IFERROR($C1676*$E1676,"")</f>
        <v/>
      </c>
    </row>
    <row r="1677" customFormat="false" ht="15" hidden="false" customHeight="true" outlineLevel="0" collapsed="false">
      <c r="A1677" s="49"/>
      <c r="B1677" s="49"/>
      <c r="C1677" s="49"/>
      <c r="D1677" s="69" t="str">
        <f aca="false">IFERROR(INDEX(المكونات!$B$2:$B$500,MATCH($B1677,المكونات!$A$2:$A$500,0)),"")</f>
        <v/>
      </c>
      <c r="E1677" s="70" t="str">
        <f aca="false">IFERROR(INDEX(المكونات!$C$2:$C$500,MATCH($B1677,المكونات!$A$2:$A$500,0)),"")</f>
        <v/>
      </c>
      <c r="F1677" s="13" t="str">
        <f aca="false">IFERROR($C1677*$E1677,"")</f>
        <v/>
      </c>
    </row>
    <row r="1678" customFormat="false" ht="15" hidden="false" customHeight="true" outlineLevel="0" collapsed="false">
      <c r="A1678" s="49"/>
      <c r="B1678" s="49"/>
      <c r="C1678" s="49"/>
      <c r="D1678" s="69" t="str">
        <f aca="false">IFERROR(INDEX(المكونات!$B$2:$B$500,MATCH($B1678,المكونات!$A$2:$A$500,0)),"")</f>
        <v/>
      </c>
      <c r="E1678" s="70" t="str">
        <f aca="false">IFERROR(INDEX(المكونات!$C$2:$C$500,MATCH($B1678,المكونات!$A$2:$A$500,0)),"")</f>
        <v/>
      </c>
      <c r="F1678" s="13" t="str">
        <f aca="false">IFERROR($C1678*$E1678,"")</f>
        <v/>
      </c>
    </row>
    <row r="1679" customFormat="false" ht="15" hidden="false" customHeight="true" outlineLevel="0" collapsed="false">
      <c r="A1679" s="49"/>
      <c r="B1679" s="49"/>
      <c r="C1679" s="49"/>
      <c r="D1679" s="69" t="str">
        <f aca="false">IFERROR(INDEX(المكونات!$B$2:$B$500,MATCH($B1679,المكونات!$A$2:$A$500,0)),"")</f>
        <v/>
      </c>
      <c r="E1679" s="70" t="str">
        <f aca="false">IFERROR(INDEX(المكونات!$C$2:$C$500,MATCH($B1679,المكونات!$A$2:$A$500,0)),"")</f>
        <v/>
      </c>
      <c r="F1679" s="13" t="str">
        <f aca="false">IFERROR($C1679*$E1679,"")</f>
        <v/>
      </c>
    </row>
    <row r="1680" customFormat="false" ht="15" hidden="false" customHeight="true" outlineLevel="0" collapsed="false">
      <c r="A1680" s="49"/>
      <c r="B1680" s="49"/>
      <c r="C1680" s="49"/>
      <c r="D1680" s="69" t="str">
        <f aca="false">IFERROR(INDEX(المكونات!$B$2:$B$500,MATCH($B1680,المكونات!$A$2:$A$500,0)),"")</f>
        <v/>
      </c>
      <c r="E1680" s="70" t="str">
        <f aca="false">IFERROR(INDEX(المكونات!$C$2:$C$500,MATCH($B1680,المكونات!$A$2:$A$500,0)),"")</f>
        <v/>
      </c>
      <c r="F1680" s="13" t="str">
        <f aca="false">IFERROR($C1680*$E1680,"")</f>
        <v/>
      </c>
    </row>
    <row r="1681" customFormat="false" ht="15" hidden="false" customHeight="true" outlineLevel="0" collapsed="false">
      <c r="A1681" s="49"/>
      <c r="B1681" s="49"/>
      <c r="C1681" s="49"/>
      <c r="D1681" s="69" t="str">
        <f aca="false">IFERROR(INDEX(المكونات!$B$2:$B$500,MATCH($B1681,المكونات!$A$2:$A$500,0)),"")</f>
        <v/>
      </c>
      <c r="E1681" s="70" t="str">
        <f aca="false">IFERROR(INDEX(المكونات!$C$2:$C$500,MATCH($B1681,المكونات!$A$2:$A$500,0)),"")</f>
        <v/>
      </c>
      <c r="F1681" s="13" t="str">
        <f aca="false">IFERROR($C1681*$E1681,"")</f>
        <v/>
      </c>
    </row>
    <row r="1682" customFormat="false" ht="15" hidden="false" customHeight="true" outlineLevel="0" collapsed="false">
      <c r="A1682" s="49"/>
      <c r="B1682" s="49"/>
      <c r="C1682" s="49"/>
      <c r="D1682" s="69" t="str">
        <f aca="false">IFERROR(INDEX(المكونات!$B$2:$B$500,MATCH($B1682,المكونات!$A$2:$A$500,0)),"")</f>
        <v/>
      </c>
      <c r="E1682" s="70" t="str">
        <f aca="false">IFERROR(INDEX(المكونات!$C$2:$C$500,MATCH($B1682,المكونات!$A$2:$A$500,0)),"")</f>
        <v/>
      </c>
      <c r="F1682" s="13" t="str">
        <f aca="false">IFERROR($C1682*$E1682,"")</f>
        <v/>
      </c>
    </row>
    <row r="1683" customFormat="false" ht="15" hidden="false" customHeight="true" outlineLevel="0" collapsed="false">
      <c r="A1683" s="49"/>
      <c r="B1683" s="49"/>
      <c r="C1683" s="49"/>
      <c r="D1683" s="69" t="str">
        <f aca="false">IFERROR(INDEX(المكونات!$B$2:$B$500,MATCH($B1683,المكونات!$A$2:$A$500,0)),"")</f>
        <v/>
      </c>
      <c r="E1683" s="70" t="str">
        <f aca="false">IFERROR(INDEX(المكونات!$C$2:$C$500,MATCH($B1683,المكونات!$A$2:$A$500,0)),"")</f>
        <v/>
      </c>
      <c r="F1683" s="13" t="str">
        <f aca="false">IFERROR($C1683*$E1683,"")</f>
        <v/>
      </c>
    </row>
    <row r="1684" customFormat="false" ht="15" hidden="false" customHeight="true" outlineLevel="0" collapsed="false">
      <c r="A1684" s="49"/>
      <c r="B1684" s="49"/>
      <c r="C1684" s="49"/>
      <c r="D1684" s="69" t="str">
        <f aca="false">IFERROR(INDEX(المكونات!$B$2:$B$500,MATCH($B1684,المكونات!$A$2:$A$500,0)),"")</f>
        <v/>
      </c>
      <c r="E1684" s="70" t="str">
        <f aca="false">IFERROR(INDEX(المكونات!$C$2:$C$500,MATCH($B1684,المكونات!$A$2:$A$500,0)),"")</f>
        <v/>
      </c>
      <c r="F1684" s="13" t="str">
        <f aca="false">IFERROR($C1684*$E1684,"")</f>
        <v/>
      </c>
    </row>
    <row r="1685" customFormat="false" ht="15" hidden="false" customHeight="true" outlineLevel="0" collapsed="false">
      <c r="A1685" s="49"/>
      <c r="B1685" s="49"/>
      <c r="C1685" s="49"/>
      <c r="D1685" s="69" t="str">
        <f aca="false">IFERROR(INDEX(المكونات!$B$2:$B$500,MATCH($B1685,المكونات!$A$2:$A$500,0)),"")</f>
        <v/>
      </c>
      <c r="E1685" s="70" t="str">
        <f aca="false">IFERROR(INDEX(المكونات!$C$2:$C$500,MATCH($B1685,المكونات!$A$2:$A$500,0)),"")</f>
        <v/>
      </c>
      <c r="F1685" s="13" t="str">
        <f aca="false">IFERROR($C1685*$E1685,"")</f>
        <v/>
      </c>
    </row>
    <row r="1686" customFormat="false" ht="15" hidden="false" customHeight="true" outlineLevel="0" collapsed="false">
      <c r="A1686" s="49"/>
      <c r="B1686" s="49"/>
      <c r="C1686" s="49"/>
      <c r="D1686" s="69" t="str">
        <f aca="false">IFERROR(INDEX(المكونات!$B$2:$B$500,MATCH($B1686,المكونات!$A$2:$A$500,0)),"")</f>
        <v/>
      </c>
      <c r="E1686" s="70" t="str">
        <f aca="false">IFERROR(INDEX(المكونات!$C$2:$C$500,MATCH($B1686,المكونات!$A$2:$A$500,0)),"")</f>
        <v/>
      </c>
      <c r="F1686" s="13" t="str">
        <f aca="false">IFERROR($C1686*$E1686,"")</f>
        <v/>
      </c>
    </row>
    <row r="1687" customFormat="false" ht="15" hidden="false" customHeight="true" outlineLevel="0" collapsed="false">
      <c r="A1687" s="49"/>
      <c r="B1687" s="49"/>
      <c r="C1687" s="49"/>
      <c r="D1687" s="69" t="str">
        <f aca="false">IFERROR(INDEX(المكونات!$B$2:$B$500,MATCH($B1687,المكونات!$A$2:$A$500,0)),"")</f>
        <v/>
      </c>
      <c r="E1687" s="70" t="str">
        <f aca="false">IFERROR(INDEX(المكونات!$C$2:$C$500,MATCH($B1687,المكونات!$A$2:$A$500,0)),"")</f>
        <v/>
      </c>
      <c r="F1687" s="13" t="str">
        <f aca="false">IFERROR($C1687*$E1687,"")</f>
        <v/>
      </c>
    </row>
    <row r="1688" customFormat="false" ht="15" hidden="false" customHeight="true" outlineLevel="0" collapsed="false">
      <c r="A1688" s="49"/>
      <c r="B1688" s="49"/>
      <c r="C1688" s="49"/>
      <c r="D1688" s="69" t="str">
        <f aca="false">IFERROR(INDEX(المكونات!$B$2:$B$500,MATCH($B1688,المكونات!$A$2:$A$500,0)),"")</f>
        <v/>
      </c>
      <c r="E1688" s="70" t="str">
        <f aca="false">IFERROR(INDEX(المكونات!$C$2:$C$500,MATCH($B1688,المكونات!$A$2:$A$500,0)),"")</f>
        <v/>
      </c>
      <c r="F1688" s="13" t="str">
        <f aca="false">IFERROR($C1688*$E1688,"")</f>
        <v/>
      </c>
    </row>
    <row r="1689" customFormat="false" ht="15" hidden="false" customHeight="true" outlineLevel="0" collapsed="false">
      <c r="A1689" s="49"/>
      <c r="B1689" s="49"/>
      <c r="C1689" s="49"/>
      <c r="D1689" s="69" t="str">
        <f aca="false">IFERROR(INDEX(المكونات!$B$2:$B$500,MATCH($B1689,المكونات!$A$2:$A$500,0)),"")</f>
        <v/>
      </c>
      <c r="E1689" s="70" t="str">
        <f aca="false">IFERROR(INDEX(المكونات!$C$2:$C$500,MATCH($B1689,المكونات!$A$2:$A$500,0)),"")</f>
        <v/>
      </c>
      <c r="F1689" s="13" t="str">
        <f aca="false">IFERROR($C1689*$E1689,"")</f>
        <v/>
      </c>
    </row>
    <row r="1690" customFormat="false" ht="15" hidden="false" customHeight="true" outlineLevel="0" collapsed="false">
      <c r="A1690" s="49"/>
      <c r="B1690" s="49"/>
      <c r="C1690" s="49"/>
      <c r="D1690" s="69" t="str">
        <f aca="false">IFERROR(INDEX(المكونات!$B$2:$B$500,MATCH($B1690,المكونات!$A$2:$A$500,0)),"")</f>
        <v/>
      </c>
      <c r="E1690" s="70" t="str">
        <f aca="false">IFERROR(INDEX(المكونات!$C$2:$C$500,MATCH($B1690,المكونات!$A$2:$A$500,0)),"")</f>
        <v/>
      </c>
      <c r="F1690" s="13" t="str">
        <f aca="false">IFERROR($C1690*$E1690,"")</f>
        <v/>
      </c>
    </row>
    <row r="1691" customFormat="false" ht="15" hidden="false" customHeight="true" outlineLevel="0" collapsed="false">
      <c r="A1691" s="49"/>
      <c r="B1691" s="49"/>
      <c r="C1691" s="49"/>
      <c r="D1691" s="69" t="str">
        <f aca="false">IFERROR(INDEX(المكونات!$B$2:$B$500,MATCH($B1691,المكونات!$A$2:$A$500,0)),"")</f>
        <v/>
      </c>
      <c r="E1691" s="70" t="str">
        <f aca="false">IFERROR(INDEX(المكونات!$C$2:$C$500,MATCH($B1691,المكونات!$A$2:$A$500,0)),"")</f>
        <v/>
      </c>
      <c r="F1691" s="13" t="str">
        <f aca="false">IFERROR($C1691*$E1691,"")</f>
        <v/>
      </c>
    </row>
    <row r="1692" customFormat="false" ht="15" hidden="false" customHeight="true" outlineLevel="0" collapsed="false">
      <c r="A1692" s="49"/>
      <c r="B1692" s="49"/>
      <c r="C1692" s="49"/>
      <c r="D1692" s="69" t="str">
        <f aca="false">IFERROR(INDEX(المكونات!$B$2:$B$500,MATCH($B1692,المكونات!$A$2:$A$500,0)),"")</f>
        <v/>
      </c>
      <c r="E1692" s="70" t="str">
        <f aca="false">IFERROR(INDEX(المكونات!$C$2:$C$500,MATCH($B1692,المكونات!$A$2:$A$500,0)),"")</f>
        <v/>
      </c>
      <c r="F1692" s="13" t="str">
        <f aca="false">IFERROR($C1692*$E1692,"")</f>
        <v/>
      </c>
    </row>
    <row r="1693" customFormat="false" ht="15" hidden="false" customHeight="true" outlineLevel="0" collapsed="false">
      <c r="A1693" s="49"/>
      <c r="B1693" s="49"/>
      <c r="C1693" s="49"/>
      <c r="D1693" s="69" t="str">
        <f aca="false">IFERROR(INDEX(المكونات!$B$2:$B$500,MATCH($B1693,المكونات!$A$2:$A$500,0)),"")</f>
        <v/>
      </c>
      <c r="E1693" s="70" t="str">
        <f aca="false">IFERROR(INDEX(المكونات!$C$2:$C$500,MATCH($B1693,المكونات!$A$2:$A$500,0)),"")</f>
        <v/>
      </c>
      <c r="F1693" s="13" t="str">
        <f aca="false">IFERROR($C1693*$E1693,"")</f>
        <v/>
      </c>
    </row>
    <row r="1694" customFormat="false" ht="15" hidden="false" customHeight="true" outlineLevel="0" collapsed="false">
      <c r="A1694" s="49"/>
      <c r="B1694" s="49"/>
      <c r="C1694" s="49"/>
      <c r="D1694" s="69" t="str">
        <f aca="false">IFERROR(INDEX(المكونات!$B$2:$B$500,MATCH($B1694,المكونات!$A$2:$A$500,0)),"")</f>
        <v/>
      </c>
      <c r="E1694" s="70" t="str">
        <f aca="false">IFERROR(INDEX(المكونات!$C$2:$C$500,MATCH($B1694,المكونات!$A$2:$A$500,0)),"")</f>
        <v/>
      </c>
      <c r="F1694" s="13" t="str">
        <f aca="false">IFERROR($C1694*$E1694,"")</f>
        <v/>
      </c>
    </row>
    <row r="1695" customFormat="false" ht="15" hidden="false" customHeight="true" outlineLevel="0" collapsed="false">
      <c r="A1695" s="49"/>
      <c r="B1695" s="49"/>
      <c r="C1695" s="49"/>
      <c r="D1695" s="69" t="str">
        <f aca="false">IFERROR(INDEX(المكونات!$B$2:$B$500,MATCH($B1695,المكونات!$A$2:$A$500,0)),"")</f>
        <v/>
      </c>
      <c r="E1695" s="70" t="str">
        <f aca="false">IFERROR(INDEX(المكونات!$C$2:$C$500,MATCH($B1695,المكونات!$A$2:$A$500,0)),"")</f>
        <v/>
      </c>
      <c r="F1695" s="13" t="str">
        <f aca="false">IFERROR($C1695*$E1695,"")</f>
        <v/>
      </c>
    </row>
    <row r="1696" customFormat="false" ht="15" hidden="false" customHeight="true" outlineLevel="0" collapsed="false">
      <c r="A1696" s="49"/>
      <c r="B1696" s="49"/>
      <c r="C1696" s="49"/>
      <c r="D1696" s="69" t="str">
        <f aca="false">IFERROR(INDEX(المكونات!$B$2:$B$500,MATCH($B1696,المكونات!$A$2:$A$500,0)),"")</f>
        <v/>
      </c>
      <c r="E1696" s="70" t="str">
        <f aca="false">IFERROR(INDEX(المكونات!$C$2:$C$500,MATCH($B1696,المكونات!$A$2:$A$500,0)),"")</f>
        <v/>
      </c>
      <c r="F1696" s="13" t="str">
        <f aca="false">IFERROR($C1696*$E1696,"")</f>
        <v/>
      </c>
    </row>
    <row r="1697" customFormat="false" ht="15" hidden="false" customHeight="true" outlineLevel="0" collapsed="false">
      <c r="A1697" s="49"/>
      <c r="B1697" s="49"/>
      <c r="C1697" s="49"/>
      <c r="D1697" s="69" t="str">
        <f aca="false">IFERROR(INDEX(المكونات!$B$2:$B$500,MATCH($B1697,المكونات!$A$2:$A$500,0)),"")</f>
        <v/>
      </c>
      <c r="E1697" s="70" t="str">
        <f aca="false">IFERROR(INDEX(المكونات!$C$2:$C$500,MATCH($B1697,المكونات!$A$2:$A$500,0)),"")</f>
        <v/>
      </c>
      <c r="F1697" s="13" t="str">
        <f aca="false">IFERROR($C1697*$E1697,"")</f>
        <v/>
      </c>
    </row>
    <row r="1698" customFormat="false" ht="15" hidden="false" customHeight="true" outlineLevel="0" collapsed="false">
      <c r="A1698" s="49"/>
      <c r="B1698" s="49"/>
      <c r="C1698" s="49"/>
      <c r="D1698" s="69" t="str">
        <f aca="false">IFERROR(INDEX(المكونات!$B$2:$B$500,MATCH($B1698,المكونات!$A$2:$A$500,0)),"")</f>
        <v/>
      </c>
      <c r="E1698" s="70" t="str">
        <f aca="false">IFERROR(INDEX(المكونات!$C$2:$C$500,MATCH($B1698,المكونات!$A$2:$A$500,0)),"")</f>
        <v/>
      </c>
      <c r="F1698" s="13" t="str">
        <f aca="false">IFERROR($C1698*$E1698,"")</f>
        <v/>
      </c>
    </row>
    <row r="1699" customFormat="false" ht="15" hidden="false" customHeight="true" outlineLevel="0" collapsed="false">
      <c r="A1699" s="49"/>
      <c r="B1699" s="49"/>
      <c r="C1699" s="49"/>
      <c r="D1699" s="69" t="str">
        <f aca="false">IFERROR(INDEX(المكونات!$B$2:$B$500,MATCH($B1699,المكونات!$A$2:$A$500,0)),"")</f>
        <v/>
      </c>
      <c r="E1699" s="70" t="str">
        <f aca="false">IFERROR(INDEX(المكونات!$C$2:$C$500,MATCH($B1699,المكونات!$A$2:$A$500,0)),"")</f>
        <v/>
      </c>
      <c r="F1699" s="13" t="str">
        <f aca="false">IFERROR($C1699*$E1699,"")</f>
        <v/>
      </c>
    </row>
    <row r="1700" customFormat="false" ht="15" hidden="false" customHeight="true" outlineLevel="0" collapsed="false">
      <c r="A1700" s="49"/>
      <c r="B1700" s="49"/>
      <c r="C1700" s="49"/>
      <c r="D1700" s="69" t="str">
        <f aca="false">IFERROR(INDEX(المكونات!$B$2:$B$500,MATCH($B1700,المكونات!$A$2:$A$500,0)),"")</f>
        <v/>
      </c>
      <c r="E1700" s="70" t="str">
        <f aca="false">IFERROR(INDEX(المكونات!$C$2:$C$500,MATCH($B1700,المكونات!$A$2:$A$500,0)),"")</f>
        <v/>
      </c>
      <c r="F1700" s="13" t="str">
        <f aca="false">IFERROR($C1700*$E1700,"")</f>
        <v/>
      </c>
    </row>
    <row r="1701" customFormat="false" ht="15" hidden="false" customHeight="true" outlineLevel="0" collapsed="false">
      <c r="A1701" s="49"/>
      <c r="B1701" s="49"/>
      <c r="C1701" s="49"/>
      <c r="D1701" s="69" t="str">
        <f aca="false">IFERROR(INDEX(المكونات!$B$2:$B$500,MATCH($B1701,المكونات!$A$2:$A$500,0)),"")</f>
        <v/>
      </c>
      <c r="E1701" s="70" t="str">
        <f aca="false">IFERROR(INDEX(المكونات!$C$2:$C$500,MATCH($B1701,المكونات!$A$2:$A$500,0)),"")</f>
        <v/>
      </c>
      <c r="F1701" s="13" t="str">
        <f aca="false">IFERROR($C1701*$E1701,"")</f>
        <v/>
      </c>
    </row>
    <row r="1702" customFormat="false" ht="15" hidden="false" customHeight="true" outlineLevel="0" collapsed="false">
      <c r="A1702" s="49"/>
      <c r="B1702" s="49"/>
      <c r="C1702" s="49"/>
      <c r="D1702" s="69" t="str">
        <f aca="false">IFERROR(INDEX(المكونات!$B$2:$B$500,MATCH($B1702,المكونات!$A$2:$A$500,0)),"")</f>
        <v/>
      </c>
      <c r="E1702" s="70" t="str">
        <f aca="false">IFERROR(INDEX(المكونات!$C$2:$C$500,MATCH($B1702,المكونات!$A$2:$A$500,0)),"")</f>
        <v/>
      </c>
      <c r="F1702" s="13" t="str">
        <f aca="false">IFERROR($C1702*$E1702,"")</f>
        <v/>
      </c>
    </row>
    <row r="1703" customFormat="false" ht="15" hidden="false" customHeight="true" outlineLevel="0" collapsed="false">
      <c r="A1703" s="49"/>
      <c r="B1703" s="49"/>
      <c r="C1703" s="49"/>
      <c r="D1703" s="69" t="str">
        <f aca="false">IFERROR(INDEX(المكونات!$B$2:$B$500,MATCH($B1703,المكونات!$A$2:$A$500,0)),"")</f>
        <v/>
      </c>
      <c r="E1703" s="70" t="str">
        <f aca="false">IFERROR(INDEX(المكونات!$C$2:$C$500,MATCH($B1703,المكونات!$A$2:$A$500,0)),"")</f>
        <v/>
      </c>
      <c r="F1703" s="13" t="str">
        <f aca="false">IFERROR($C1703*$E1703,"")</f>
        <v/>
      </c>
    </row>
    <row r="1704" customFormat="false" ht="15" hidden="false" customHeight="true" outlineLevel="0" collapsed="false">
      <c r="A1704" s="49"/>
      <c r="B1704" s="49"/>
      <c r="C1704" s="49"/>
      <c r="D1704" s="69" t="str">
        <f aca="false">IFERROR(INDEX(المكونات!$B$2:$B$500,MATCH($B1704,المكونات!$A$2:$A$500,0)),"")</f>
        <v/>
      </c>
      <c r="E1704" s="70" t="str">
        <f aca="false">IFERROR(INDEX(المكونات!$C$2:$C$500,MATCH($B1704,المكونات!$A$2:$A$500,0)),"")</f>
        <v/>
      </c>
      <c r="F1704" s="13" t="str">
        <f aca="false">IFERROR($C1704*$E1704,"")</f>
        <v/>
      </c>
    </row>
    <row r="1705" customFormat="false" ht="15" hidden="false" customHeight="true" outlineLevel="0" collapsed="false">
      <c r="A1705" s="49"/>
      <c r="B1705" s="49"/>
      <c r="C1705" s="49"/>
      <c r="D1705" s="69" t="str">
        <f aca="false">IFERROR(INDEX(المكونات!$B$2:$B$500,MATCH($B1705,المكونات!$A$2:$A$500,0)),"")</f>
        <v/>
      </c>
      <c r="E1705" s="70" t="str">
        <f aca="false">IFERROR(INDEX(المكونات!$C$2:$C$500,MATCH($B1705,المكونات!$A$2:$A$500,0)),"")</f>
        <v/>
      </c>
      <c r="F1705" s="13" t="str">
        <f aca="false">IFERROR($C1705*$E1705,"")</f>
        <v/>
      </c>
    </row>
    <row r="1706" customFormat="false" ht="15" hidden="false" customHeight="true" outlineLevel="0" collapsed="false">
      <c r="A1706" s="49"/>
      <c r="B1706" s="49"/>
      <c r="C1706" s="49"/>
      <c r="D1706" s="69" t="str">
        <f aca="false">IFERROR(INDEX(المكونات!$B$2:$B$500,MATCH($B1706,المكونات!$A$2:$A$500,0)),"")</f>
        <v/>
      </c>
      <c r="E1706" s="70" t="str">
        <f aca="false">IFERROR(INDEX(المكونات!$C$2:$C$500,MATCH($B1706,المكونات!$A$2:$A$500,0)),"")</f>
        <v/>
      </c>
      <c r="F1706" s="13" t="str">
        <f aca="false">IFERROR($C1706*$E1706,"")</f>
        <v/>
      </c>
    </row>
    <row r="1707" customFormat="false" ht="15" hidden="false" customHeight="true" outlineLevel="0" collapsed="false">
      <c r="A1707" s="49"/>
      <c r="B1707" s="49"/>
      <c r="C1707" s="49"/>
      <c r="D1707" s="69" t="str">
        <f aca="false">IFERROR(INDEX(المكونات!$B$2:$B$500,MATCH($B1707,المكونات!$A$2:$A$500,0)),"")</f>
        <v/>
      </c>
      <c r="E1707" s="70" t="str">
        <f aca="false">IFERROR(INDEX(المكونات!$C$2:$C$500,MATCH($B1707,المكونات!$A$2:$A$500,0)),"")</f>
        <v/>
      </c>
      <c r="F1707" s="13" t="str">
        <f aca="false">IFERROR($C1707*$E1707,"")</f>
        <v/>
      </c>
    </row>
    <row r="1708" customFormat="false" ht="15" hidden="false" customHeight="true" outlineLevel="0" collapsed="false">
      <c r="A1708" s="49"/>
      <c r="B1708" s="49"/>
      <c r="C1708" s="49"/>
      <c r="D1708" s="69" t="str">
        <f aca="false">IFERROR(INDEX(المكونات!$B$2:$B$500,MATCH($B1708,المكونات!$A$2:$A$500,0)),"")</f>
        <v/>
      </c>
      <c r="E1708" s="70" t="str">
        <f aca="false">IFERROR(INDEX(المكونات!$C$2:$C$500,MATCH($B1708,المكونات!$A$2:$A$500,0)),"")</f>
        <v/>
      </c>
      <c r="F1708" s="13" t="str">
        <f aca="false">IFERROR($C1708*$E1708,"")</f>
        <v/>
      </c>
    </row>
    <row r="1709" customFormat="false" ht="15" hidden="false" customHeight="true" outlineLevel="0" collapsed="false">
      <c r="A1709" s="49"/>
      <c r="B1709" s="49"/>
      <c r="C1709" s="49"/>
      <c r="D1709" s="69" t="str">
        <f aca="false">IFERROR(INDEX(المكونات!$B$2:$B$500,MATCH($B1709,المكونات!$A$2:$A$500,0)),"")</f>
        <v/>
      </c>
      <c r="E1709" s="70" t="str">
        <f aca="false">IFERROR(INDEX(المكونات!$C$2:$C$500,MATCH($B1709,المكونات!$A$2:$A$500,0)),"")</f>
        <v/>
      </c>
      <c r="F1709" s="13" t="str">
        <f aca="false">IFERROR($C1709*$E1709,"")</f>
        <v/>
      </c>
    </row>
    <row r="1710" customFormat="false" ht="15" hidden="false" customHeight="true" outlineLevel="0" collapsed="false">
      <c r="A1710" s="49"/>
      <c r="B1710" s="49"/>
      <c r="C1710" s="49"/>
      <c r="D1710" s="69" t="str">
        <f aca="false">IFERROR(INDEX(المكونات!$B$2:$B$500,MATCH($B1710,المكونات!$A$2:$A$500,0)),"")</f>
        <v/>
      </c>
      <c r="E1710" s="70" t="str">
        <f aca="false">IFERROR(INDEX(المكونات!$C$2:$C$500,MATCH($B1710,المكونات!$A$2:$A$500,0)),"")</f>
        <v/>
      </c>
      <c r="F1710" s="13" t="str">
        <f aca="false">IFERROR($C1710*$E1710,"")</f>
        <v/>
      </c>
    </row>
    <row r="1711" customFormat="false" ht="15" hidden="false" customHeight="true" outlineLevel="0" collapsed="false">
      <c r="A1711" s="49"/>
      <c r="B1711" s="49"/>
      <c r="C1711" s="49"/>
      <c r="D1711" s="69" t="str">
        <f aca="false">IFERROR(INDEX(المكونات!$B$2:$B$500,MATCH($B1711,المكونات!$A$2:$A$500,0)),"")</f>
        <v/>
      </c>
      <c r="E1711" s="70" t="str">
        <f aca="false">IFERROR(INDEX(المكونات!$C$2:$C$500,MATCH($B1711,المكونات!$A$2:$A$500,0)),"")</f>
        <v/>
      </c>
      <c r="F1711" s="13" t="str">
        <f aca="false">IFERROR($C1711*$E1711,"")</f>
        <v/>
      </c>
    </row>
    <row r="1712" customFormat="false" ht="15" hidden="false" customHeight="true" outlineLevel="0" collapsed="false">
      <c r="A1712" s="49"/>
      <c r="B1712" s="49"/>
      <c r="C1712" s="49"/>
      <c r="D1712" s="69" t="str">
        <f aca="false">IFERROR(INDEX(المكونات!$B$2:$B$500,MATCH($B1712,المكونات!$A$2:$A$500,0)),"")</f>
        <v/>
      </c>
      <c r="E1712" s="70" t="str">
        <f aca="false">IFERROR(INDEX(المكونات!$C$2:$C$500,MATCH($B1712,المكونات!$A$2:$A$500,0)),"")</f>
        <v/>
      </c>
      <c r="F1712" s="13" t="str">
        <f aca="false">IFERROR($C1712*$E1712,"")</f>
        <v/>
      </c>
    </row>
    <row r="1713" customFormat="false" ht="15" hidden="false" customHeight="true" outlineLevel="0" collapsed="false">
      <c r="A1713" s="49"/>
      <c r="B1713" s="49"/>
      <c r="C1713" s="49"/>
      <c r="D1713" s="69" t="str">
        <f aca="false">IFERROR(INDEX(المكونات!$B$2:$B$500,MATCH($B1713,المكونات!$A$2:$A$500,0)),"")</f>
        <v/>
      </c>
      <c r="E1713" s="70" t="str">
        <f aca="false">IFERROR(INDEX(المكونات!$C$2:$C$500,MATCH($B1713,المكونات!$A$2:$A$500,0)),"")</f>
        <v/>
      </c>
      <c r="F1713" s="13" t="str">
        <f aca="false">IFERROR($C1713*$E1713,"")</f>
        <v/>
      </c>
    </row>
    <row r="1714" customFormat="false" ht="15" hidden="false" customHeight="true" outlineLevel="0" collapsed="false">
      <c r="A1714" s="49"/>
      <c r="B1714" s="49"/>
      <c r="C1714" s="49"/>
      <c r="D1714" s="69" t="str">
        <f aca="false">IFERROR(INDEX(المكونات!$B$2:$B$500,MATCH($B1714,المكونات!$A$2:$A$500,0)),"")</f>
        <v/>
      </c>
      <c r="E1714" s="70" t="str">
        <f aca="false">IFERROR(INDEX(المكونات!$C$2:$C$500,MATCH($B1714,المكونات!$A$2:$A$500,0)),"")</f>
        <v/>
      </c>
      <c r="F1714" s="13" t="str">
        <f aca="false">IFERROR($C1714*$E1714,"")</f>
        <v/>
      </c>
    </row>
    <row r="1715" customFormat="false" ht="15" hidden="false" customHeight="true" outlineLevel="0" collapsed="false">
      <c r="A1715" s="49"/>
      <c r="B1715" s="49"/>
      <c r="C1715" s="49"/>
      <c r="D1715" s="69" t="str">
        <f aca="false">IFERROR(INDEX(المكونات!$B$2:$B$500,MATCH($B1715,المكونات!$A$2:$A$500,0)),"")</f>
        <v/>
      </c>
      <c r="E1715" s="70" t="str">
        <f aca="false">IFERROR(INDEX(المكونات!$C$2:$C$500,MATCH($B1715,المكونات!$A$2:$A$500,0)),"")</f>
        <v/>
      </c>
      <c r="F1715" s="13" t="str">
        <f aca="false">IFERROR($C1715*$E1715,"")</f>
        <v/>
      </c>
    </row>
    <row r="1716" customFormat="false" ht="15" hidden="false" customHeight="true" outlineLevel="0" collapsed="false">
      <c r="A1716" s="49"/>
      <c r="B1716" s="49"/>
      <c r="C1716" s="49"/>
      <c r="D1716" s="69" t="str">
        <f aca="false">IFERROR(INDEX(المكونات!$B$2:$B$500,MATCH($B1716,المكونات!$A$2:$A$500,0)),"")</f>
        <v/>
      </c>
      <c r="E1716" s="70" t="str">
        <f aca="false">IFERROR(INDEX(المكونات!$C$2:$C$500,MATCH($B1716,المكونات!$A$2:$A$500,0)),"")</f>
        <v/>
      </c>
      <c r="F1716" s="13" t="str">
        <f aca="false">IFERROR($C1716*$E1716,"")</f>
        <v/>
      </c>
    </row>
    <row r="1717" customFormat="false" ht="15" hidden="false" customHeight="true" outlineLevel="0" collapsed="false">
      <c r="A1717" s="49"/>
      <c r="B1717" s="49"/>
      <c r="C1717" s="49"/>
      <c r="D1717" s="69" t="str">
        <f aca="false">IFERROR(INDEX(المكونات!$B$2:$B$500,MATCH($B1717,المكونات!$A$2:$A$500,0)),"")</f>
        <v/>
      </c>
      <c r="E1717" s="70" t="str">
        <f aca="false">IFERROR(INDEX(المكونات!$C$2:$C$500,MATCH($B1717,المكونات!$A$2:$A$500,0)),"")</f>
        <v/>
      </c>
      <c r="F1717" s="13" t="str">
        <f aca="false">IFERROR($C1717*$E1717,"")</f>
        <v/>
      </c>
    </row>
    <row r="1718" customFormat="false" ht="15" hidden="false" customHeight="true" outlineLevel="0" collapsed="false">
      <c r="A1718" s="49"/>
      <c r="B1718" s="49"/>
      <c r="C1718" s="49"/>
      <c r="D1718" s="69" t="str">
        <f aca="false">IFERROR(INDEX(المكونات!$B$2:$B$500,MATCH($B1718,المكونات!$A$2:$A$500,0)),"")</f>
        <v/>
      </c>
      <c r="E1718" s="70" t="str">
        <f aca="false">IFERROR(INDEX(المكونات!$C$2:$C$500,MATCH($B1718,المكونات!$A$2:$A$500,0)),"")</f>
        <v/>
      </c>
      <c r="F1718" s="13" t="str">
        <f aca="false">IFERROR($C1718*$E1718,"")</f>
        <v/>
      </c>
    </row>
    <row r="1719" customFormat="false" ht="15" hidden="false" customHeight="true" outlineLevel="0" collapsed="false">
      <c r="A1719" s="49"/>
      <c r="B1719" s="49"/>
      <c r="C1719" s="49"/>
      <c r="D1719" s="69" t="str">
        <f aca="false">IFERROR(INDEX(المكونات!$B$2:$B$500,MATCH($B1719,المكونات!$A$2:$A$500,0)),"")</f>
        <v/>
      </c>
      <c r="E1719" s="70" t="str">
        <f aca="false">IFERROR(INDEX(المكونات!$C$2:$C$500,MATCH($B1719,المكونات!$A$2:$A$500,0)),"")</f>
        <v/>
      </c>
      <c r="F1719" s="13" t="str">
        <f aca="false">IFERROR($C1719*$E1719,"")</f>
        <v/>
      </c>
    </row>
    <row r="1720" customFormat="false" ht="15" hidden="false" customHeight="true" outlineLevel="0" collapsed="false">
      <c r="A1720" s="49"/>
      <c r="B1720" s="49"/>
      <c r="C1720" s="49"/>
      <c r="D1720" s="69" t="str">
        <f aca="false">IFERROR(INDEX(المكونات!$B$2:$B$500,MATCH($B1720,المكونات!$A$2:$A$500,0)),"")</f>
        <v/>
      </c>
      <c r="E1720" s="70" t="str">
        <f aca="false">IFERROR(INDEX(المكونات!$C$2:$C$500,MATCH($B1720,المكونات!$A$2:$A$500,0)),"")</f>
        <v/>
      </c>
      <c r="F1720" s="13" t="str">
        <f aca="false">IFERROR($C1720*$E1720,"")</f>
        <v/>
      </c>
    </row>
    <row r="1721" customFormat="false" ht="15" hidden="false" customHeight="true" outlineLevel="0" collapsed="false">
      <c r="A1721" s="49"/>
      <c r="B1721" s="49"/>
      <c r="C1721" s="49"/>
      <c r="D1721" s="69" t="str">
        <f aca="false">IFERROR(INDEX(المكونات!$B$2:$B$500,MATCH($B1721,المكونات!$A$2:$A$500,0)),"")</f>
        <v/>
      </c>
      <c r="E1721" s="70" t="str">
        <f aca="false">IFERROR(INDEX(المكونات!$C$2:$C$500,MATCH($B1721,المكونات!$A$2:$A$500,0)),"")</f>
        <v/>
      </c>
      <c r="F1721" s="13" t="str">
        <f aca="false">IFERROR($C1721*$E1721,"")</f>
        <v/>
      </c>
    </row>
    <row r="1722" customFormat="false" ht="15" hidden="false" customHeight="true" outlineLevel="0" collapsed="false">
      <c r="A1722" s="49"/>
      <c r="B1722" s="49"/>
      <c r="C1722" s="49"/>
      <c r="D1722" s="69" t="str">
        <f aca="false">IFERROR(INDEX(المكونات!$B$2:$B$500,MATCH($B1722,المكونات!$A$2:$A$500,0)),"")</f>
        <v/>
      </c>
      <c r="E1722" s="70" t="str">
        <f aca="false">IFERROR(INDEX(المكونات!$C$2:$C$500,MATCH($B1722,المكونات!$A$2:$A$500,0)),"")</f>
        <v/>
      </c>
      <c r="F1722" s="13" t="str">
        <f aca="false">IFERROR($C1722*$E1722,"")</f>
        <v/>
      </c>
    </row>
    <row r="1723" customFormat="false" ht="15" hidden="false" customHeight="true" outlineLevel="0" collapsed="false">
      <c r="A1723" s="49"/>
      <c r="B1723" s="49"/>
      <c r="C1723" s="49"/>
      <c r="D1723" s="69" t="str">
        <f aca="false">IFERROR(INDEX(المكونات!$B$2:$B$500,MATCH($B1723,المكونات!$A$2:$A$500,0)),"")</f>
        <v/>
      </c>
      <c r="E1723" s="70" t="str">
        <f aca="false">IFERROR(INDEX(المكونات!$C$2:$C$500,MATCH($B1723,المكونات!$A$2:$A$500,0)),"")</f>
        <v/>
      </c>
      <c r="F1723" s="13" t="str">
        <f aca="false">IFERROR($C1723*$E1723,"")</f>
        <v/>
      </c>
    </row>
    <row r="1724" customFormat="false" ht="15" hidden="false" customHeight="true" outlineLevel="0" collapsed="false">
      <c r="A1724" s="49"/>
      <c r="B1724" s="49"/>
      <c r="C1724" s="49"/>
      <c r="D1724" s="69" t="str">
        <f aca="false">IFERROR(INDEX(المكونات!$B$2:$B$500,MATCH($B1724,المكونات!$A$2:$A$500,0)),"")</f>
        <v/>
      </c>
      <c r="E1724" s="70" t="str">
        <f aca="false">IFERROR(INDEX(المكونات!$C$2:$C$500,MATCH($B1724,المكونات!$A$2:$A$500,0)),"")</f>
        <v/>
      </c>
      <c r="F1724" s="13" t="str">
        <f aca="false">IFERROR($C1724*$E1724,"")</f>
        <v/>
      </c>
    </row>
    <row r="1725" customFormat="false" ht="15" hidden="false" customHeight="true" outlineLevel="0" collapsed="false">
      <c r="A1725" s="49"/>
      <c r="B1725" s="49"/>
      <c r="C1725" s="49"/>
      <c r="D1725" s="69" t="str">
        <f aca="false">IFERROR(INDEX(المكونات!$B$2:$B$500,MATCH($B1725,المكونات!$A$2:$A$500,0)),"")</f>
        <v/>
      </c>
      <c r="E1725" s="70" t="str">
        <f aca="false">IFERROR(INDEX(المكونات!$C$2:$C$500,MATCH($B1725,المكونات!$A$2:$A$500,0)),"")</f>
        <v/>
      </c>
      <c r="F1725" s="13" t="str">
        <f aca="false">IFERROR($C1725*$E1725,"")</f>
        <v/>
      </c>
    </row>
    <row r="1726" customFormat="false" ht="15" hidden="false" customHeight="true" outlineLevel="0" collapsed="false">
      <c r="A1726" s="49"/>
      <c r="B1726" s="49"/>
      <c r="C1726" s="49"/>
      <c r="D1726" s="69" t="str">
        <f aca="false">IFERROR(INDEX(المكونات!$B$2:$B$500,MATCH($B1726,المكونات!$A$2:$A$500,0)),"")</f>
        <v/>
      </c>
      <c r="E1726" s="70" t="str">
        <f aca="false">IFERROR(INDEX(المكونات!$C$2:$C$500,MATCH($B1726,المكونات!$A$2:$A$500,0)),"")</f>
        <v/>
      </c>
      <c r="F1726" s="13" t="str">
        <f aca="false">IFERROR($C1726*$E1726,"")</f>
        <v/>
      </c>
    </row>
    <row r="1727" customFormat="false" ht="15" hidden="false" customHeight="true" outlineLevel="0" collapsed="false">
      <c r="A1727" s="49"/>
      <c r="B1727" s="49"/>
      <c r="C1727" s="49"/>
      <c r="D1727" s="69" t="str">
        <f aca="false">IFERROR(INDEX(المكونات!$B$2:$B$500,MATCH($B1727,المكونات!$A$2:$A$500,0)),"")</f>
        <v/>
      </c>
      <c r="E1727" s="70" t="str">
        <f aca="false">IFERROR(INDEX(المكونات!$C$2:$C$500,MATCH($B1727,المكونات!$A$2:$A$500,0)),"")</f>
        <v/>
      </c>
      <c r="F1727" s="13" t="str">
        <f aca="false">IFERROR($C1727*$E1727,"")</f>
        <v/>
      </c>
    </row>
    <row r="1728" customFormat="false" ht="15" hidden="false" customHeight="true" outlineLevel="0" collapsed="false">
      <c r="A1728" s="49"/>
      <c r="B1728" s="49"/>
      <c r="C1728" s="49"/>
      <c r="D1728" s="69" t="str">
        <f aca="false">IFERROR(INDEX(المكونات!$B$2:$B$500,MATCH($B1728,المكونات!$A$2:$A$500,0)),"")</f>
        <v/>
      </c>
      <c r="E1728" s="70" t="str">
        <f aca="false">IFERROR(INDEX(المكونات!$C$2:$C$500,MATCH($B1728,المكونات!$A$2:$A$500,0)),"")</f>
        <v/>
      </c>
      <c r="F1728" s="13" t="str">
        <f aca="false">IFERROR($C1728*$E1728,"")</f>
        <v/>
      </c>
    </row>
    <row r="1729" customFormat="false" ht="15" hidden="false" customHeight="true" outlineLevel="0" collapsed="false">
      <c r="A1729" s="49"/>
      <c r="B1729" s="49"/>
      <c r="C1729" s="49"/>
      <c r="D1729" s="69" t="str">
        <f aca="false">IFERROR(INDEX(المكونات!$B$2:$B$500,MATCH($B1729,المكونات!$A$2:$A$500,0)),"")</f>
        <v/>
      </c>
      <c r="E1729" s="70" t="str">
        <f aca="false">IFERROR(INDEX(المكونات!$C$2:$C$500,MATCH($B1729,المكونات!$A$2:$A$500,0)),"")</f>
        <v/>
      </c>
      <c r="F1729" s="13" t="str">
        <f aca="false">IFERROR($C1729*$E1729,"")</f>
        <v/>
      </c>
    </row>
    <row r="1730" customFormat="false" ht="15" hidden="false" customHeight="true" outlineLevel="0" collapsed="false">
      <c r="A1730" s="49"/>
      <c r="B1730" s="49"/>
      <c r="C1730" s="49"/>
      <c r="D1730" s="69" t="str">
        <f aca="false">IFERROR(INDEX(المكونات!$B$2:$B$500,MATCH($B1730,المكونات!$A$2:$A$500,0)),"")</f>
        <v/>
      </c>
      <c r="E1730" s="70" t="str">
        <f aca="false">IFERROR(INDEX(المكونات!$C$2:$C$500,MATCH($B1730,المكونات!$A$2:$A$500,0)),"")</f>
        <v/>
      </c>
      <c r="F1730" s="13" t="str">
        <f aca="false">IFERROR($C1730*$E1730,"")</f>
        <v/>
      </c>
    </row>
    <row r="1731" customFormat="false" ht="15" hidden="false" customHeight="true" outlineLevel="0" collapsed="false">
      <c r="A1731" s="49"/>
      <c r="B1731" s="49"/>
      <c r="C1731" s="49"/>
      <c r="D1731" s="69" t="str">
        <f aca="false">IFERROR(INDEX(المكونات!$B$2:$B$500,MATCH($B1731,المكونات!$A$2:$A$500,0)),"")</f>
        <v/>
      </c>
      <c r="E1731" s="70" t="str">
        <f aca="false">IFERROR(INDEX(المكونات!$C$2:$C$500,MATCH($B1731,المكونات!$A$2:$A$500,0)),"")</f>
        <v/>
      </c>
      <c r="F1731" s="13" t="str">
        <f aca="false">IFERROR($C1731*$E1731,"")</f>
        <v/>
      </c>
    </row>
    <row r="1732" customFormat="false" ht="15" hidden="false" customHeight="true" outlineLevel="0" collapsed="false">
      <c r="A1732" s="49"/>
      <c r="B1732" s="49"/>
      <c r="C1732" s="49"/>
      <c r="D1732" s="69" t="str">
        <f aca="false">IFERROR(INDEX(المكونات!$B$2:$B$500,MATCH($B1732,المكونات!$A$2:$A$500,0)),"")</f>
        <v/>
      </c>
      <c r="E1732" s="70" t="str">
        <f aca="false">IFERROR(INDEX(المكونات!$C$2:$C$500,MATCH($B1732,المكونات!$A$2:$A$500,0)),"")</f>
        <v/>
      </c>
      <c r="F1732" s="13" t="str">
        <f aca="false">IFERROR($C1732*$E1732,"")</f>
        <v/>
      </c>
    </row>
    <row r="1733" customFormat="false" ht="15" hidden="false" customHeight="true" outlineLevel="0" collapsed="false">
      <c r="A1733" s="49"/>
      <c r="B1733" s="49"/>
      <c r="C1733" s="49"/>
      <c r="D1733" s="69" t="str">
        <f aca="false">IFERROR(INDEX(المكونات!$B$2:$B$500,MATCH($B1733,المكونات!$A$2:$A$500,0)),"")</f>
        <v/>
      </c>
      <c r="E1733" s="70" t="str">
        <f aca="false">IFERROR(INDEX(المكونات!$C$2:$C$500,MATCH($B1733,المكونات!$A$2:$A$500,0)),"")</f>
        <v/>
      </c>
      <c r="F1733" s="13" t="str">
        <f aca="false">IFERROR($C1733*$E1733,"")</f>
        <v/>
      </c>
    </row>
    <row r="1734" customFormat="false" ht="15" hidden="false" customHeight="true" outlineLevel="0" collapsed="false">
      <c r="A1734" s="49"/>
      <c r="B1734" s="49"/>
      <c r="C1734" s="49"/>
      <c r="D1734" s="69" t="str">
        <f aca="false">IFERROR(INDEX(المكونات!$B$2:$B$500,MATCH($B1734,المكونات!$A$2:$A$500,0)),"")</f>
        <v/>
      </c>
      <c r="E1734" s="70" t="str">
        <f aca="false">IFERROR(INDEX(المكونات!$C$2:$C$500,MATCH($B1734,المكونات!$A$2:$A$500,0)),"")</f>
        <v/>
      </c>
      <c r="F1734" s="13" t="str">
        <f aca="false">IFERROR($C1734*$E1734,"")</f>
        <v/>
      </c>
    </row>
    <row r="1735" customFormat="false" ht="15" hidden="false" customHeight="true" outlineLevel="0" collapsed="false">
      <c r="A1735" s="49"/>
      <c r="B1735" s="49"/>
      <c r="C1735" s="49"/>
      <c r="D1735" s="69" t="str">
        <f aca="false">IFERROR(INDEX(المكونات!$B$2:$B$500,MATCH($B1735,المكونات!$A$2:$A$500,0)),"")</f>
        <v/>
      </c>
      <c r="E1735" s="70" t="str">
        <f aca="false">IFERROR(INDEX(المكونات!$C$2:$C$500,MATCH($B1735,المكونات!$A$2:$A$500,0)),"")</f>
        <v/>
      </c>
      <c r="F1735" s="13" t="str">
        <f aca="false">IFERROR($C1735*$E1735,"")</f>
        <v/>
      </c>
    </row>
    <row r="1736" customFormat="false" ht="15" hidden="false" customHeight="true" outlineLevel="0" collapsed="false">
      <c r="A1736" s="49"/>
      <c r="B1736" s="49"/>
      <c r="C1736" s="49"/>
      <c r="D1736" s="69" t="str">
        <f aca="false">IFERROR(INDEX(المكونات!$B$2:$B$500,MATCH($B1736,المكونات!$A$2:$A$500,0)),"")</f>
        <v/>
      </c>
      <c r="E1736" s="70" t="str">
        <f aca="false">IFERROR(INDEX(المكونات!$C$2:$C$500,MATCH($B1736,المكونات!$A$2:$A$500,0)),"")</f>
        <v/>
      </c>
      <c r="F1736" s="13" t="str">
        <f aca="false">IFERROR($C1736*$E1736,"")</f>
        <v/>
      </c>
    </row>
    <row r="1737" customFormat="false" ht="15" hidden="false" customHeight="true" outlineLevel="0" collapsed="false">
      <c r="A1737" s="49"/>
      <c r="B1737" s="49"/>
      <c r="C1737" s="49"/>
      <c r="D1737" s="69" t="str">
        <f aca="false">IFERROR(INDEX(المكونات!$B$2:$B$500,MATCH($B1737,المكونات!$A$2:$A$500,0)),"")</f>
        <v/>
      </c>
      <c r="E1737" s="70" t="str">
        <f aca="false">IFERROR(INDEX(المكونات!$C$2:$C$500,MATCH($B1737,المكونات!$A$2:$A$500,0)),"")</f>
        <v/>
      </c>
      <c r="F1737" s="13" t="str">
        <f aca="false">IFERROR($C1737*$E1737,"")</f>
        <v/>
      </c>
    </row>
    <row r="1738" customFormat="false" ht="15" hidden="false" customHeight="true" outlineLevel="0" collapsed="false">
      <c r="A1738" s="49"/>
      <c r="B1738" s="49"/>
      <c r="C1738" s="49"/>
      <c r="D1738" s="69" t="str">
        <f aca="false">IFERROR(INDEX(المكونات!$B$2:$B$500,MATCH($B1738,المكونات!$A$2:$A$500,0)),"")</f>
        <v/>
      </c>
      <c r="E1738" s="70" t="str">
        <f aca="false">IFERROR(INDEX(المكونات!$C$2:$C$500,MATCH($B1738,المكونات!$A$2:$A$500,0)),"")</f>
        <v/>
      </c>
      <c r="F1738" s="13" t="str">
        <f aca="false">IFERROR($C1738*$E1738,"")</f>
        <v/>
      </c>
    </row>
    <row r="1739" customFormat="false" ht="15" hidden="false" customHeight="true" outlineLevel="0" collapsed="false">
      <c r="A1739" s="49"/>
      <c r="B1739" s="49"/>
      <c r="C1739" s="49"/>
      <c r="D1739" s="69" t="str">
        <f aca="false">IFERROR(INDEX(المكونات!$B$2:$B$500,MATCH($B1739,المكونات!$A$2:$A$500,0)),"")</f>
        <v/>
      </c>
      <c r="E1739" s="70" t="str">
        <f aca="false">IFERROR(INDEX(المكونات!$C$2:$C$500,MATCH($B1739,المكونات!$A$2:$A$500,0)),"")</f>
        <v/>
      </c>
      <c r="F1739" s="13" t="str">
        <f aca="false">IFERROR($C1739*$E1739,"")</f>
        <v/>
      </c>
    </row>
    <row r="1740" customFormat="false" ht="15" hidden="false" customHeight="true" outlineLevel="0" collapsed="false">
      <c r="A1740" s="49"/>
      <c r="B1740" s="49"/>
      <c r="C1740" s="49"/>
      <c r="D1740" s="69" t="str">
        <f aca="false">IFERROR(INDEX(المكونات!$B$2:$B$500,MATCH($B1740,المكونات!$A$2:$A$500,0)),"")</f>
        <v/>
      </c>
      <c r="E1740" s="70" t="str">
        <f aca="false">IFERROR(INDEX(المكونات!$C$2:$C$500,MATCH($B1740,المكونات!$A$2:$A$500,0)),"")</f>
        <v/>
      </c>
      <c r="F1740" s="13" t="str">
        <f aca="false">IFERROR($C1740*$E1740,"")</f>
        <v/>
      </c>
    </row>
    <row r="1741" customFormat="false" ht="15" hidden="false" customHeight="true" outlineLevel="0" collapsed="false">
      <c r="A1741" s="49"/>
      <c r="B1741" s="49"/>
      <c r="C1741" s="49"/>
      <c r="D1741" s="69" t="str">
        <f aca="false">IFERROR(INDEX(المكونات!$B$2:$B$500,MATCH($B1741,المكونات!$A$2:$A$500,0)),"")</f>
        <v/>
      </c>
      <c r="E1741" s="70" t="str">
        <f aca="false">IFERROR(INDEX(المكونات!$C$2:$C$500,MATCH($B1741,المكونات!$A$2:$A$500,0)),"")</f>
        <v/>
      </c>
      <c r="F1741" s="13" t="str">
        <f aca="false">IFERROR($C1741*$E1741,"")</f>
        <v/>
      </c>
    </row>
    <row r="1742" customFormat="false" ht="15" hidden="false" customHeight="true" outlineLevel="0" collapsed="false">
      <c r="A1742" s="49"/>
      <c r="B1742" s="49"/>
      <c r="C1742" s="49"/>
      <c r="D1742" s="69" t="str">
        <f aca="false">IFERROR(INDEX(المكونات!$B$2:$B$500,MATCH($B1742,المكونات!$A$2:$A$500,0)),"")</f>
        <v/>
      </c>
      <c r="E1742" s="70" t="str">
        <f aca="false">IFERROR(INDEX(المكونات!$C$2:$C$500,MATCH($B1742,المكونات!$A$2:$A$500,0)),"")</f>
        <v/>
      </c>
      <c r="F1742" s="13" t="str">
        <f aca="false">IFERROR($C1742*$E1742,"")</f>
        <v/>
      </c>
    </row>
    <row r="1743" customFormat="false" ht="15" hidden="false" customHeight="true" outlineLevel="0" collapsed="false">
      <c r="A1743" s="49"/>
      <c r="B1743" s="49"/>
      <c r="C1743" s="49"/>
      <c r="D1743" s="69" t="str">
        <f aca="false">IFERROR(INDEX(المكونات!$B$2:$B$500,MATCH($B1743,المكونات!$A$2:$A$500,0)),"")</f>
        <v/>
      </c>
      <c r="E1743" s="70" t="str">
        <f aca="false">IFERROR(INDEX(المكونات!$C$2:$C$500,MATCH($B1743,المكونات!$A$2:$A$500,0)),"")</f>
        <v/>
      </c>
      <c r="F1743" s="13" t="str">
        <f aca="false">IFERROR($C1743*$E1743,"")</f>
        <v/>
      </c>
    </row>
    <row r="1744" customFormat="false" ht="15" hidden="false" customHeight="true" outlineLevel="0" collapsed="false">
      <c r="A1744" s="49"/>
      <c r="B1744" s="49"/>
      <c r="C1744" s="49"/>
      <c r="D1744" s="69" t="str">
        <f aca="false">IFERROR(INDEX(المكونات!$B$2:$B$500,MATCH($B1744,المكونات!$A$2:$A$500,0)),"")</f>
        <v/>
      </c>
      <c r="E1744" s="70" t="str">
        <f aca="false">IFERROR(INDEX(المكونات!$C$2:$C$500,MATCH($B1744,المكونات!$A$2:$A$500,0)),"")</f>
        <v/>
      </c>
      <c r="F1744" s="13" t="str">
        <f aca="false">IFERROR($C1744*$E1744,"")</f>
        <v/>
      </c>
    </row>
    <row r="1745" customFormat="false" ht="15" hidden="false" customHeight="true" outlineLevel="0" collapsed="false">
      <c r="A1745" s="49"/>
      <c r="B1745" s="49"/>
      <c r="C1745" s="49"/>
      <c r="D1745" s="69" t="str">
        <f aca="false">IFERROR(INDEX(المكونات!$B$2:$B$500,MATCH($B1745,المكونات!$A$2:$A$500,0)),"")</f>
        <v/>
      </c>
      <c r="E1745" s="70" t="str">
        <f aca="false">IFERROR(INDEX(المكونات!$C$2:$C$500,MATCH($B1745,المكونات!$A$2:$A$500,0)),"")</f>
        <v/>
      </c>
      <c r="F1745" s="13" t="str">
        <f aca="false">IFERROR($C1745*$E1745,"")</f>
        <v/>
      </c>
    </row>
    <row r="1746" customFormat="false" ht="15" hidden="false" customHeight="true" outlineLevel="0" collapsed="false">
      <c r="A1746" s="49"/>
      <c r="B1746" s="49"/>
      <c r="C1746" s="49"/>
      <c r="D1746" s="69" t="str">
        <f aca="false">IFERROR(INDEX(المكونات!$B$2:$B$500,MATCH($B1746,المكونات!$A$2:$A$500,0)),"")</f>
        <v/>
      </c>
      <c r="E1746" s="70" t="str">
        <f aca="false">IFERROR(INDEX(المكونات!$C$2:$C$500,MATCH($B1746,المكونات!$A$2:$A$500,0)),"")</f>
        <v/>
      </c>
      <c r="F1746" s="13" t="str">
        <f aca="false">IFERROR($C1746*$E1746,"")</f>
        <v/>
      </c>
    </row>
    <row r="1747" customFormat="false" ht="15" hidden="false" customHeight="true" outlineLevel="0" collapsed="false">
      <c r="A1747" s="49"/>
      <c r="B1747" s="49"/>
      <c r="C1747" s="49"/>
      <c r="D1747" s="69" t="str">
        <f aca="false">IFERROR(INDEX(المكونات!$B$2:$B$500,MATCH($B1747,المكونات!$A$2:$A$500,0)),"")</f>
        <v/>
      </c>
      <c r="E1747" s="70" t="str">
        <f aca="false">IFERROR(INDEX(المكونات!$C$2:$C$500,MATCH($B1747,المكونات!$A$2:$A$500,0)),"")</f>
        <v/>
      </c>
      <c r="F1747" s="13" t="str">
        <f aca="false">IFERROR($C1747*$E1747,"")</f>
        <v/>
      </c>
    </row>
    <row r="1748" customFormat="false" ht="15" hidden="false" customHeight="true" outlineLevel="0" collapsed="false">
      <c r="A1748" s="49"/>
      <c r="B1748" s="49"/>
      <c r="C1748" s="49"/>
      <c r="D1748" s="69" t="str">
        <f aca="false">IFERROR(INDEX(المكونات!$B$2:$B$500,MATCH($B1748,المكونات!$A$2:$A$500,0)),"")</f>
        <v/>
      </c>
      <c r="E1748" s="70" t="str">
        <f aca="false">IFERROR(INDEX(المكونات!$C$2:$C$500,MATCH($B1748,المكونات!$A$2:$A$500,0)),"")</f>
        <v/>
      </c>
      <c r="F1748" s="13" t="str">
        <f aca="false">IFERROR($C1748*$E1748,"")</f>
        <v/>
      </c>
    </row>
    <row r="1749" customFormat="false" ht="15" hidden="false" customHeight="true" outlineLevel="0" collapsed="false">
      <c r="A1749" s="49"/>
      <c r="B1749" s="49"/>
      <c r="C1749" s="49"/>
      <c r="D1749" s="69" t="str">
        <f aca="false">IFERROR(INDEX(المكونات!$B$2:$B$500,MATCH($B1749,المكونات!$A$2:$A$500,0)),"")</f>
        <v/>
      </c>
      <c r="E1749" s="70" t="str">
        <f aca="false">IFERROR(INDEX(المكونات!$C$2:$C$500,MATCH($B1749,المكونات!$A$2:$A$500,0)),"")</f>
        <v/>
      </c>
      <c r="F1749" s="13" t="str">
        <f aca="false">IFERROR($C1749*$E1749,"")</f>
        <v/>
      </c>
    </row>
    <row r="1750" customFormat="false" ht="15" hidden="false" customHeight="true" outlineLevel="0" collapsed="false">
      <c r="A1750" s="49"/>
      <c r="B1750" s="49"/>
      <c r="C1750" s="49"/>
      <c r="D1750" s="69" t="str">
        <f aca="false">IFERROR(INDEX(المكونات!$B$2:$B$500,MATCH($B1750,المكونات!$A$2:$A$500,0)),"")</f>
        <v/>
      </c>
      <c r="E1750" s="70" t="str">
        <f aca="false">IFERROR(INDEX(المكونات!$C$2:$C$500,MATCH($B1750,المكونات!$A$2:$A$500,0)),"")</f>
        <v/>
      </c>
      <c r="F1750" s="13" t="str">
        <f aca="false">IFERROR($C1750*$E1750,"")</f>
        <v/>
      </c>
    </row>
    <row r="1751" customFormat="false" ht="15" hidden="false" customHeight="true" outlineLevel="0" collapsed="false">
      <c r="A1751" s="49"/>
      <c r="B1751" s="49"/>
      <c r="C1751" s="49"/>
      <c r="D1751" s="69" t="str">
        <f aca="false">IFERROR(INDEX(المكونات!$B$2:$B$500,MATCH($B1751,المكونات!$A$2:$A$500,0)),"")</f>
        <v/>
      </c>
      <c r="E1751" s="70" t="str">
        <f aca="false">IFERROR(INDEX(المكونات!$C$2:$C$500,MATCH($B1751,المكونات!$A$2:$A$500,0)),"")</f>
        <v/>
      </c>
      <c r="F1751" s="13" t="str">
        <f aca="false">IFERROR($C1751*$E1751,"")</f>
        <v/>
      </c>
    </row>
    <row r="1752" customFormat="false" ht="15" hidden="false" customHeight="true" outlineLevel="0" collapsed="false">
      <c r="A1752" s="49"/>
      <c r="B1752" s="49"/>
      <c r="C1752" s="49"/>
      <c r="D1752" s="69" t="str">
        <f aca="false">IFERROR(INDEX(المكونات!$B$2:$B$500,MATCH($B1752,المكونات!$A$2:$A$500,0)),"")</f>
        <v/>
      </c>
      <c r="E1752" s="70" t="str">
        <f aca="false">IFERROR(INDEX(المكونات!$C$2:$C$500,MATCH($B1752,المكونات!$A$2:$A$500,0)),"")</f>
        <v/>
      </c>
      <c r="F1752" s="13" t="str">
        <f aca="false">IFERROR($C1752*$E1752,"")</f>
        <v/>
      </c>
    </row>
    <row r="1753" customFormat="false" ht="15" hidden="false" customHeight="true" outlineLevel="0" collapsed="false">
      <c r="A1753" s="49"/>
      <c r="B1753" s="49"/>
      <c r="C1753" s="49"/>
      <c r="D1753" s="69" t="str">
        <f aca="false">IFERROR(INDEX(المكونات!$B$2:$B$500,MATCH($B1753,المكونات!$A$2:$A$500,0)),"")</f>
        <v/>
      </c>
      <c r="E1753" s="70" t="str">
        <f aca="false">IFERROR(INDEX(المكونات!$C$2:$C$500,MATCH($B1753,المكونات!$A$2:$A$500,0)),"")</f>
        <v/>
      </c>
      <c r="F1753" s="13" t="str">
        <f aca="false">IFERROR($C1753*$E1753,"")</f>
        <v/>
      </c>
    </row>
    <row r="1754" customFormat="false" ht="15" hidden="false" customHeight="true" outlineLevel="0" collapsed="false">
      <c r="A1754" s="49"/>
      <c r="B1754" s="49"/>
      <c r="C1754" s="49"/>
      <c r="D1754" s="69" t="str">
        <f aca="false">IFERROR(INDEX(المكونات!$B$2:$B$500,MATCH($B1754,المكونات!$A$2:$A$500,0)),"")</f>
        <v/>
      </c>
      <c r="E1754" s="70" t="str">
        <f aca="false">IFERROR(INDEX(المكونات!$C$2:$C$500,MATCH($B1754,المكونات!$A$2:$A$500,0)),"")</f>
        <v/>
      </c>
      <c r="F1754" s="13" t="str">
        <f aca="false">IFERROR($C1754*$E1754,"")</f>
        <v/>
      </c>
    </row>
    <row r="1755" customFormat="false" ht="15" hidden="false" customHeight="true" outlineLevel="0" collapsed="false">
      <c r="A1755" s="49"/>
      <c r="B1755" s="49"/>
      <c r="C1755" s="49"/>
      <c r="D1755" s="69" t="str">
        <f aca="false">IFERROR(INDEX(المكونات!$B$2:$B$500,MATCH($B1755,المكونات!$A$2:$A$500,0)),"")</f>
        <v/>
      </c>
      <c r="E1755" s="70" t="str">
        <f aca="false">IFERROR(INDEX(المكونات!$C$2:$C$500,MATCH($B1755,المكونات!$A$2:$A$500,0)),"")</f>
        <v/>
      </c>
      <c r="F1755" s="13" t="str">
        <f aca="false">IFERROR($C1755*$E1755,"")</f>
        <v/>
      </c>
    </row>
    <row r="1756" customFormat="false" ht="15" hidden="false" customHeight="true" outlineLevel="0" collapsed="false">
      <c r="A1756" s="49"/>
      <c r="B1756" s="49"/>
      <c r="C1756" s="49"/>
      <c r="D1756" s="69" t="str">
        <f aca="false">IFERROR(INDEX(المكونات!$B$2:$B$500,MATCH($B1756,المكونات!$A$2:$A$500,0)),"")</f>
        <v/>
      </c>
      <c r="E1756" s="70" t="str">
        <f aca="false">IFERROR(INDEX(المكونات!$C$2:$C$500,MATCH($B1756,المكونات!$A$2:$A$500,0)),"")</f>
        <v/>
      </c>
      <c r="F1756" s="13" t="str">
        <f aca="false">IFERROR($C1756*$E1756,"")</f>
        <v/>
      </c>
    </row>
    <row r="1757" customFormat="false" ht="15" hidden="false" customHeight="true" outlineLevel="0" collapsed="false">
      <c r="A1757" s="49"/>
      <c r="B1757" s="49"/>
      <c r="C1757" s="49"/>
      <c r="D1757" s="69" t="str">
        <f aca="false">IFERROR(INDEX(المكونات!$B$2:$B$500,MATCH($B1757,المكونات!$A$2:$A$500,0)),"")</f>
        <v/>
      </c>
      <c r="E1757" s="70" t="str">
        <f aca="false">IFERROR(INDEX(المكونات!$C$2:$C$500,MATCH($B1757,المكونات!$A$2:$A$500,0)),"")</f>
        <v/>
      </c>
      <c r="F1757" s="13" t="str">
        <f aca="false">IFERROR($C1757*$E1757,"")</f>
        <v/>
      </c>
    </row>
    <row r="1758" customFormat="false" ht="15" hidden="false" customHeight="true" outlineLevel="0" collapsed="false">
      <c r="A1758" s="49"/>
      <c r="B1758" s="49"/>
      <c r="C1758" s="49"/>
      <c r="D1758" s="69" t="str">
        <f aca="false">IFERROR(INDEX(المكونات!$B$2:$B$500,MATCH($B1758,المكونات!$A$2:$A$500,0)),"")</f>
        <v/>
      </c>
      <c r="E1758" s="70" t="str">
        <f aca="false">IFERROR(INDEX(المكونات!$C$2:$C$500,MATCH($B1758,المكونات!$A$2:$A$500,0)),"")</f>
        <v/>
      </c>
      <c r="F1758" s="13" t="str">
        <f aca="false">IFERROR($C1758*$E1758,"")</f>
        <v/>
      </c>
    </row>
    <row r="1759" customFormat="false" ht="15" hidden="false" customHeight="true" outlineLevel="0" collapsed="false">
      <c r="A1759" s="49"/>
      <c r="B1759" s="49"/>
      <c r="C1759" s="49"/>
      <c r="D1759" s="69" t="str">
        <f aca="false">IFERROR(INDEX(المكونات!$B$2:$B$500,MATCH($B1759,المكونات!$A$2:$A$500,0)),"")</f>
        <v/>
      </c>
      <c r="E1759" s="70" t="str">
        <f aca="false">IFERROR(INDEX(المكونات!$C$2:$C$500,MATCH($B1759,المكونات!$A$2:$A$500,0)),"")</f>
        <v/>
      </c>
      <c r="F1759" s="13" t="str">
        <f aca="false">IFERROR($C1759*$E1759,"")</f>
        <v/>
      </c>
    </row>
    <row r="1760" customFormat="false" ht="15" hidden="false" customHeight="true" outlineLevel="0" collapsed="false">
      <c r="A1760" s="49"/>
      <c r="B1760" s="49"/>
      <c r="C1760" s="49"/>
      <c r="D1760" s="69" t="str">
        <f aca="false">IFERROR(INDEX(المكونات!$B$2:$B$500,MATCH($B1760,المكونات!$A$2:$A$500,0)),"")</f>
        <v/>
      </c>
      <c r="E1760" s="70" t="str">
        <f aca="false">IFERROR(INDEX(المكونات!$C$2:$C$500,MATCH($B1760,المكونات!$A$2:$A$500,0)),"")</f>
        <v/>
      </c>
      <c r="F1760" s="13" t="str">
        <f aca="false">IFERROR($C1760*$E1760,"")</f>
        <v/>
      </c>
    </row>
    <row r="1761" customFormat="false" ht="15" hidden="false" customHeight="true" outlineLevel="0" collapsed="false">
      <c r="A1761" s="49"/>
      <c r="B1761" s="49"/>
      <c r="C1761" s="49"/>
      <c r="D1761" s="69" t="str">
        <f aca="false">IFERROR(INDEX(المكونات!$B$2:$B$500,MATCH($B1761,المكونات!$A$2:$A$500,0)),"")</f>
        <v/>
      </c>
      <c r="E1761" s="70" t="str">
        <f aca="false">IFERROR(INDEX(المكونات!$C$2:$C$500,MATCH($B1761,المكونات!$A$2:$A$500,0)),"")</f>
        <v/>
      </c>
      <c r="F1761" s="13" t="str">
        <f aca="false">IFERROR($C1761*$E1761,"")</f>
        <v/>
      </c>
    </row>
    <row r="1762" customFormat="false" ht="15" hidden="false" customHeight="true" outlineLevel="0" collapsed="false">
      <c r="A1762" s="49"/>
      <c r="B1762" s="49"/>
      <c r="C1762" s="49"/>
      <c r="D1762" s="69" t="str">
        <f aca="false">IFERROR(INDEX(المكونات!$B$2:$B$500,MATCH($B1762,المكونات!$A$2:$A$500,0)),"")</f>
        <v/>
      </c>
      <c r="E1762" s="70" t="str">
        <f aca="false">IFERROR(INDEX(المكونات!$C$2:$C$500,MATCH($B1762,المكونات!$A$2:$A$500,0)),"")</f>
        <v/>
      </c>
      <c r="F1762" s="13" t="str">
        <f aca="false">IFERROR($C1762*$E1762,"")</f>
        <v/>
      </c>
    </row>
    <row r="1763" customFormat="false" ht="15" hidden="false" customHeight="true" outlineLevel="0" collapsed="false">
      <c r="A1763" s="49"/>
      <c r="B1763" s="49"/>
      <c r="C1763" s="49"/>
      <c r="D1763" s="69" t="str">
        <f aca="false">IFERROR(INDEX(المكونات!$B$2:$B$500,MATCH($B1763,المكونات!$A$2:$A$500,0)),"")</f>
        <v/>
      </c>
      <c r="E1763" s="70" t="str">
        <f aca="false">IFERROR(INDEX(المكونات!$C$2:$C$500,MATCH($B1763,المكونات!$A$2:$A$500,0)),"")</f>
        <v/>
      </c>
      <c r="F1763" s="13" t="str">
        <f aca="false">IFERROR($C1763*$E1763,"")</f>
        <v/>
      </c>
    </row>
    <row r="1764" customFormat="false" ht="15" hidden="false" customHeight="true" outlineLevel="0" collapsed="false">
      <c r="A1764" s="49"/>
      <c r="B1764" s="49"/>
      <c r="C1764" s="49"/>
      <c r="D1764" s="69" t="str">
        <f aca="false">IFERROR(INDEX(المكونات!$B$2:$B$500,MATCH($B1764,المكونات!$A$2:$A$500,0)),"")</f>
        <v/>
      </c>
      <c r="E1764" s="70" t="str">
        <f aca="false">IFERROR(INDEX(المكونات!$C$2:$C$500,MATCH($B1764,المكونات!$A$2:$A$500,0)),"")</f>
        <v/>
      </c>
      <c r="F1764" s="13" t="str">
        <f aca="false">IFERROR($C1764*$E1764,"")</f>
        <v/>
      </c>
    </row>
    <row r="1765" customFormat="false" ht="15" hidden="false" customHeight="true" outlineLevel="0" collapsed="false">
      <c r="A1765" s="49"/>
      <c r="B1765" s="49"/>
      <c r="C1765" s="49"/>
      <c r="D1765" s="69" t="str">
        <f aca="false">IFERROR(INDEX(المكونات!$B$2:$B$500,MATCH($B1765,المكونات!$A$2:$A$500,0)),"")</f>
        <v/>
      </c>
      <c r="E1765" s="70" t="str">
        <f aca="false">IFERROR(INDEX(المكونات!$C$2:$C$500,MATCH($B1765,المكونات!$A$2:$A$500,0)),"")</f>
        <v/>
      </c>
      <c r="F1765" s="13" t="str">
        <f aca="false">IFERROR($C1765*$E1765,"")</f>
        <v/>
      </c>
    </row>
    <row r="1766" customFormat="false" ht="15" hidden="false" customHeight="true" outlineLevel="0" collapsed="false">
      <c r="A1766" s="49"/>
      <c r="B1766" s="49"/>
      <c r="C1766" s="49"/>
      <c r="D1766" s="69" t="str">
        <f aca="false">IFERROR(INDEX(المكونات!$B$2:$B$500,MATCH($B1766,المكونات!$A$2:$A$500,0)),"")</f>
        <v/>
      </c>
      <c r="E1766" s="70" t="str">
        <f aca="false">IFERROR(INDEX(المكونات!$C$2:$C$500,MATCH($B1766,المكونات!$A$2:$A$500,0)),"")</f>
        <v/>
      </c>
      <c r="F1766" s="13" t="str">
        <f aca="false">IFERROR($C1766*$E1766,"")</f>
        <v/>
      </c>
    </row>
    <row r="1767" customFormat="false" ht="15" hidden="false" customHeight="true" outlineLevel="0" collapsed="false">
      <c r="A1767" s="49"/>
      <c r="B1767" s="49"/>
      <c r="C1767" s="49"/>
      <c r="D1767" s="69" t="str">
        <f aca="false">IFERROR(INDEX(المكونات!$B$2:$B$500,MATCH($B1767,المكونات!$A$2:$A$500,0)),"")</f>
        <v/>
      </c>
      <c r="E1767" s="70" t="str">
        <f aca="false">IFERROR(INDEX(المكونات!$C$2:$C$500,MATCH($B1767,المكونات!$A$2:$A$500,0)),"")</f>
        <v/>
      </c>
      <c r="F1767" s="13" t="str">
        <f aca="false">IFERROR($C1767*$E1767,"")</f>
        <v/>
      </c>
    </row>
    <row r="1768" customFormat="false" ht="15" hidden="false" customHeight="true" outlineLevel="0" collapsed="false">
      <c r="A1768" s="49"/>
      <c r="B1768" s="49"/>
      <c r="C1768" s="49"/>
      <c r="D1768" s="69" t="str">
        <f aca="false">IFERROR(INDEX(المكونات!$B$2:$B$500,MATCH($B1768,المكونات!$A$2:$A$500,0)),"")</f>
        <v/>
      </c>
      <c r="E1768" s="70" t="str">
        <f aca="false">IFERROR(INDEX(المكونات!$C$2:$C$500,MATCH($B1768,المكونات!$A$2:$A$500,0)),"")</f>
        <v/>
      </c>
      <c r="F1768" s="13" t="str">
        <f aca="false">IFERROR($C1768*$E1768,"")</f>
        <v/>
      </c>
    </row>
    <row r="1769" customFormat="false" ht="15" hidden="false" customHeight="true" outlineLevel="0" collapsed="false">
      <c r="A1769" s="49"/>
      <c r="B1769" s="49"/>
      <c r="C1769" s="49"/>
      <c r="D1769" s="69" t="str">
        <f aca="false">IFERROR(INDEX(المكونات!$B$2:$B$500,MATCH($B1769,المكونات!$A$2:$A$500,0)),"")</f>
        <v/>
      </c>
      <c r="E1769" s="70" t="str">
        <f aca="false">IFERROR(INDEX(المكونات!$C$2:$C$500,MATCH($B1769,المكونات!$A$2:$A$500,0)),"")</f>
        <v/>
      </c>
      <c r="F1769" s="13" t="str">
        <f aca="false">IFERROR($C1769*$E1769,"")</f>
        <v/>
      </c>
    </row>
    <row r="1770" customFormat="false" ht="15" hidden="false" customHeight="true" outlineLevel="0" collapsed="false">
      <c r="A1770" s="49"/>
      <c r="B1770" s="49"/>
      <c r="C1770" s="49"/>
      <c r="D1770" s="69" t="str">
        <f aca="false">IFERROR(INDEX(المكونات!$B$2:$B$500,MATCH($B1770,المكونات!$A$2:$A$500,0)),"")</f>
        <v/>
      </c>
      <c r="E1770" s="70" t="str">
        <f aca="false">IFERROR(INDEX(المكونات!$C$2:$C$500,MATCH($B1770,المكونات!$A$2:$A$500,0)),"")</f>
        <v/>
      </c>
      <c r="F1770" s="13" t="str">
        <f aca="false">IFERROR($C1770*$E1770,"")</f>
        <v/>
      </c>
    </row>
    <row r="1771" customFormat="false" ht="15" hidden="false" customHeight="true" outlineLevel="0" collapsed="false">
      <c r="A1771" s="49"/>
      <c r="B1771" s="49"/>
      <c r="C1771" s="49"/>
      <c r="D1771" s="69" t="str">
        <f aca="false">IFERROR(INDEX(المكونات!$B$2:$B$500,MATCH($B1771,المكونات!$A$2:$A$500,0)),"")</f>
        <v/>
      </c>
      <c r="E1771" s="70" t="str">
        <f aca="false">IFERROR(INDEX(المكونات!$C$2:$C$500,MATCH($B1771,المكونات!$A$2:$A$500,0)),"")</f>
        <v/>
      </c>
      <c r="F1771" s="13" t="str">
        <f aca="false">IFERROR($C1771*$E1771,"")</f>
        <v/>
      </c>
    </row>
    <row r="1772" customFormat="false" ht="15" hidden="false" customHeight="true" outlineLevel="0" collapsed="false">
      <c r="A1772" s="49"/>
      <c r="B1772" s="49"/>
      <c r="C1772" s="49"/>
      <c r="D1772" s="69" t="str">
        <f aca="false">IFERROR(INDEX(المكونات!$B$2:$B$500,MATCH($B1772,المكونات!$A$2:$A$500,0)),"")</f>
        <v/>
      </c>
      <c r="E1772" s="70" t="str">
        <f aca="false">IFERROR(INDEX(المكونات!$C$2:$C$500,MATCH($B1772,المكونات!$A$2:$A$500,0)),"")</f>
        <v/>
      </c>
      <c r="F1772" s="13" t="str">
        <f aca="false">IFERROR($C1772*$E1772,"")</f>
        <v/>
      </c>
    </row>
    <row r="1773" customFormat="false" ht="15" hidden="false" customHeight="true" outlineLevel="0" collapsed="false">
      <c r="A1773" s="49"/>
      <c r="B1773" s="49"/>
      <c r="C1773" s="49"/>
      <c r="D1773" s="69" t="str">
        <f aca="false">IFERROR(INDEX(المكونات!$B$2:$B$500,MATCH($B1773,المكونات!$A$2:$A$500,0)),"")</f>
        <v/>
      </c>
      <c r="E1773" s="70" t="str">
        <f aca="false">IFERROR(INDEX(المكونات!$C$2:$C$500,MATCH($B1773,المكونات!$A$2:$A$500,0)),"")</f>
        <v/>
      </c>
      <c r="F1773" s="13" t="str">
        <f aca="false">IFERROR($C1773*$E1773,"")</f>
        <v/>
      </c>
    </row>
    <row r="1774" customFormat="false" ht="15" hidden="false" customHeight="true" outlineLevel="0" collapsed="false">
      <c r="A1774" s="49"/>
      <c r="B1774" s="49"/>
      <c r="C1774" s="49"/>
      <c r="D1774" s="69" t="str">
        <f aca="false">IFERROR(INDEX(المكونات!$B$2:$B$500,MATCH($B1774,المكونات!$A$2:$A$500,0)),"")</f>
        <v/>
      </c>
      <c r="E1774" s="70" t="str">
        <f aca="false">IFERROR(INDEX(المكونات!$C$2:$C$500,MATCH($B1774,المكونات!$A$2:$A$500,0)),"")</f>
        <v/>
      </c>
      <c r="F1774" s="13" t="str">
        <f aca="false">IFERROR($C1774*$E1774,"")</f>
        <v/>
      </c>
    </row>
    <row r="1775" customFormat="false" ht="15" hidden="false" customHeight="true" outlineLevel="0" collapsed="false">
      <c r="A1775" s="49"/>
      <c r="B1775" s="49"/>
      <c r="C1775" s="49"/>
      <c r="D1775" s="69" t="str">
        <f aca="false">IFERROR(INDEX(المكونات!$B$2:$B$500,MATCH($B1775,المكونات!$A$2:$A$500,0)),"")</f>
        <v/>
      </c>
      <c r="E1775" s="70" t="str">
        <f aca="false">IFERROR(INDEX(المكونات!$C$2:$C$500,MATCH($B1775,المكونات!$A$2:$A$500,0)),"")</f>
        <v/>
      </c>
      <c r="F1775" s="13" t="str">
        <f aca="false">IFERROR($C1775*$E1775,"")</f>
        <v/>
      </c>
    </row>
    <row r="1776" customFormat="false" ht="15" hidden="false" customHeight="true" outlineLevel="0" collapsed="false">
      <c r="A1776" s="49"/>
      <c r="B1776" s="49"/>
      <c r="C1776" s="49"/>
      <c r="D1776" s="69" t="str">
        <f aca="false">IFERROR(INDEX(المكونات!$B$2:$B$500,MATCH($B1776,المكونات!$A$2:$A$500,0)),"")</f>
        <v/>
      </c>
      <c r="E1776" s="70" t="str">
        <f aca="false">IFERROR(INDEX(المكونات!$C$2:$C$500,MATCH($B1776,المكونات!$A$2:$A$500,0)),"")</f>
        <v/>
      </c>
      <c r="F1776" s="13" t="str">
        <f aca="false">IFERROR($C1776*$E1776,"")</f>
        <v/>
      </c>
    </row>
    <row r="1777" customFormat="false" ht="15" hidden="false" customHeight="true" outlineLevel="0" collapsed="false">
      <c r="A1777" s="49"/>
      <c r="B1777" s="49"/>
      <c r="C1777" s="49"/>
      <c r="D1777" s="69" t="str">
        <f aca="false">IFERROR(INDEX(المكونات!$B$2:$B$500,MATCH($B1777,المكونات!$A$2:$A$500,0)),"")</f>
        <v/>
      </c>
      <c r="E1777" s="70" t="str">
        <f aca="false">IFERROR(INDEX(المكونات!$C$2:$C$500,MATCH($B1777,المكونات!$A$2:$A$500,0)),"")</f>
        <v/>
      </c>
      <c r="F1777" s="13" t="str">
        <f aca="false">IFERROR($C1777*$E1777,"")</f>
        <v/>
      </c>
    </row>
    <row r="1778" customFormat="false" ht="15" hidden="false" customHeight="true" outlineLevel="0" collapsed="false">
      <c r="A1778" s="49"/>
      <c r="B1778" s="49"/>
      <c r="C1778" s="49"/>
      <c r="D1778" s="69" t="str">
        <f aca="false">IFERROR(INDEX(المكونات!$B$2:$B$500,MATCH($B1778,المكونات!$A$2:$A$500,0)),"")</f>
        <v/>
      </c>
      <c r="E1778" s="70" t="str">
        <f aca="false">IFERROR(INDEX(المكونات!$C$2:$C$500,MATCH($B1778,المكونات!$A$2:$A$500,0)),"")</f>
        <v/>
      </c>
      <c r="F1778" s="13" t="str">
        <f aca="false">IFERROR($C1778*$E1778,"")</f>
        <v/>
      </c>
    </row>
    <row r="1779" customFormat="false" ht="15" hidden="false" customHeight="true" outlineLevel="0" collapsed="false">
      <c r="A1779" s="49"/>
      <c r="B1779" s="49"/>
      <c r="C1779" s="49"/>
      <c r="D1779" s="69" t="str">
        <f aca="false">IFERROR(INDEX(المكونات!$B$2:$B$500,MATCH($B1779,المكونات!$A$2:$A$500,0)),"")</f>
        <v/>
      </c>
      <c r="E1779" s="70" t="str">
        <f aca="false">IFERROR(INDEX(المكونات!$C$2:$C$500,MATCH($B1779,المكونات!$A$2:$A$500,0)),"")</f>
        <v/>
      </c>
      <c r="F1779" s="13" t="str">
        <f aca="false">IFERROR($C1779*$E1779,"")</f>
        <v/>
      </c>
    </row>
    <row r="1780" customFormat="false" ht="15" hidden="false" customHeight="true" outlineLevel="0" collapsed="false">
      <c r="A1780" s="49"/>
      <c r="B1780" s="49"/>
      <c r="C1780" s="49"/>
      <c r="D1780" s="69" t="str">
        <f aca="false">IFERROR(INDEX(المكونات!$B$2:$B$500,MATCH($B1780,المكونات!$A$2:$A$500,0)),"")</f>
        <v/>
      </c>
      <c r="E1780" s="70" t="str">
        <f aca="false">IFERROR(INDEX(المكونات!$C$2:$C$500,MATCH($B1780,المكونات!$A$2:$A$500,0)),"")</f>
        <v/>
      </c>
      <c r="F1780" s="13" t="str">
        <f aca="false">IFERROR($C1780*$E1780,"")</f>
        <v/>
      </c>
    </row>
    <row r="1781" customFormat="false" ht="15" hidden="false" customHeight="true" outlineLevel="0" collapsed="false">
      <c r="A1781" s="49"/>
      <c r="B1781" s="49"/>
      <c r="C1781" s="49"/>
      <c r="D1781" s="69" t="str">
        <f aca="false">IFERROR(INDEX(المكونات!$B$2:$B$500,MATCH($B1781,المكونات!$A$2:$A$500,0)),"")</f>
        <v/>
      </c>
      <c r="E1781" s="70" t="str">
        <f aca="false">IFERROR(INDEX(المكونات!$C$2:$C$500,MATCH($B1781,المكونات!$A$2:$A$500,0)),"")</f>
        <v/>
      </c>
      <c r="F1781" s="13" t="str">
        <f aca="false">IFERROR($C1781*$E1781,"")</f>
        <v/>
      </c>
    </row>
    <row r="1782" customFormat="false" ht="15" hidden="false" customHeight="true" outlineLevel="0" collapsed="false">
      <c r="A1782" s="49"/>
      <c r="B1782" s="49"/>
      <c r="C1782" s="49"/>
      <c r="D1782" s="69" t="str">
        <f aca="false">IFERROR(INDEX(المكونات!$B$2:$B$500,MATCH($B1782,المكونات!$A$2:$A$500,0)),"")</f>
        <v/>
      </c>
      <c r="E1782" s="70" t="str">
        <f aca="false">IFERROR(INDEX(المكونات!$C$2:$C$500,MATCH($B1782,المكونات!$A$2:$A$500,0)),"")</f>
        <v/>
      </c>
      <c r="F1782" s="13" t="str">
        <f aca="false">IFERROR($C1782*$E1782,"")</f>
        <v/>
      </c>
    </row>
    <row r="1783" customFormat="false" ht="15" hidden="false" customHeight="true" outlineLevel="0" collapsed="false">
      <c r="A1783" s="49"/>
      <c r="B1783" s="49"/>
      <c r="C1783" s="49"/>
      <c r="D1783" s="69" t="str">
        <f aca="false">IFERROR(INDEX(المكونات!$B$2:$B$500,MATCH($B1783,المكونات!$A$2:$A$500,0)),"")</f>
        <v/>
      </c>
      <c r="E1783" s="70" t="str">
        <f aca="false">IFERROR(INDEX(المكونات!$C$2:$C$500,MATCH($B1783,المكونات!$A$2:$A$500,0)),"")</f>
        <v/>
      </c>
      <c r="F1783" s="13" t="str">
        <f aca="false">IFERROR($C1783*$E1783,"")</f>
        <v/>
      </c>
    </row>
    <row r="1784" customFormat="false" ht="15" hidden="false" customHeight="true" outlineLevel="0" collapsed="false">
      <c r="A1784" s="49"/>
      <c r="B1784" s="49"/>
      <c r="C1784" s="49"/>
      <c r="D1784" s="69" t="str">
        <f aca="false">IFERROR(INDEX(المكونات!$B$2:$B$500,MATCH($B1784,المكونات!$A$2:$A$500,0)),"")</f>
        <v/>
      </c>
      <c r="E1784" s="70" t="str">
        <f aca="false">IFERROR(INDEX(المكونات!$C$2:$C$500,MATCH($B1784,المكونات!$A$2:$A$500,0)),"")</f>
        <v/>
      </c>
      <c r="F1784" s="13" t="str">
        <f aca="false">IFERROR($C1784*$E1784,"")</f>
        <v/>
      </c>
    </row>
    <row r="1785" customFormat="false" ht="15" hidden="false" customHeight="true" outlineLevel="0" collapsed="false">
      <c r="A1785" s="49"/>
      <c r="B1785" s="49"/>
      <c r="C1785" s="49"/>
      <c r="D1785" s="69" t="str">
        <f aca="false">IFERROR(INDEX(المكونات!$B$2:$B$500,MATCH($B1785,المكونات!$A$2:$A$500,0)),"")</f>
        <v/>
      </c>
      <c r="E1785" s="70" t="str">
        <f aca="false">IFERROR(INDEX(المكونات!$C$2:$C$500,MATCH($B1785,المكونات!$A$2:$A$500,0)),"")</f>
        <v/>
      </c>
      <c r="F1785" s="13" t="str">
        <f aca="false">IFERROR($C1785*$E1785,"")</f>
        <v/>
      </c>
    </row>
    <row r="1786" customFormat="false" ht="15" hidden="false" customHeight="true" outlineLevel="0" collapsed="false">
      <c r="A1786" s="49"/>
      <c r="B1786" s="49"/>
      <c r="C1786" s="49"/>
      <c r="D1786" s="69" t="str">
        <f aca="false">IFERROR(INDEX(المكونات!$B$2:$B$500,MATCH($B1786,المكونات!$A$2:$A$500,0)),"")</f>
        <v/>
      </c>
      <c r="E1786" s="70" t="str">
        <f aca="false">IFERROR(INDEX(المكونات!$C$2:$C$500,MATCH($B1786,المكونات!$A$2:$A$500,0)),"")</f>
        <v/>
      </c>
      <c r="F1786" s="13" t="str">
        <f aca="false">IFERROR($C1786*$E1786,"")</f>
        <v/>
      </c>
    </row>
    <row r="1787" customFormat="false" ht="15" hidden="false" customHeight="true" outlineLevel="0" collapsed="false">
      <c r="A1787" s="49"/>
      <c r="B1787" s="49"/>
      <c r="C1787" s="49"/>
      <c r="D1787" s="69" t="str">
        <f aca="false">IFERROR(INDEX(المكونات!$B$2:$B$500,MATCH($B1787,المكونات!$A$2:$A$500,0)),"")</f>
        <v/>
      </c>
      <c r="E1787" s="70" t="str">
        <f aca="false">IFERROR(INDEX(المكونات!$C$2:$C$500,MATCH($B1787,المكونات!$A$2:$A$500,0)),"")</f>
        <v/>
      </c>
      <c r="F1787" s="13" t="str">
        <f aca="false">IFERROR($C1787*$E1787,"")</f>
        <v/>
      </c>
    </row>
    <row r="1788" customFormat="false" ht="15" hidden="false" customHeight="true" outlineLevel="0" collapsed="false">
      <c r="A1788" s="49"/>
      <c r="B1788" s="49"/>
      <c r="C1788" s="49"/>
      <c r="D1788" s="69" t="str">
        <f aca="false">IFERROR(INDEX(المكونات!$B$2:$B$500,MATCH($B1788,المكونات!$A$2:$A$500,0)),"")</f>
        <v/>
      </c>
      <c r="E1788" s="70" t="str">
        <f aca="false">IFERROR(INDEX(المكونات!$C$2:$C$500,MATCH($B1788,المكونات!$A$2:$A$500,0)),"")</f>
        <v/>
      </c>
      <c r="F1788" s="13" t="str">
        <f aca="false">IFERROR($C1788*$E1788,"")</f>
        <v/>
      </c>
    </row>
    <row r="1789" customFormat="false" ht="15" hidden="false" customHeight="true" outlineLevel="0" collapsed="false">
      <c r="A1789" s="49"/>
      <c r="B1789" s="49"/>
      <c r="C1789" s="49"/>
      <c r="D1789" s="69" t="str">
        <f aca="false">IFERROR(INDEX(المكونات!$B$2:$B$500,MATCH($B1789,المكونات!$A$2:$A$500,0)),"")</f>
        <v/>
      </c>
      <c r="E1789" s="70" t="str">
        <f aca="false">IFERROR(INDEX(المكونات!$C$2:$C$500,MATCH($B1789,المكونات!$A$2:$A$500,0)),"")</f>
        <v/>
      </c>
      <c r="F1789" s="13" t="str">
        <f aca="false">IFERROR($C1789*$E1789,"")</f>
        <v/>
      </c>
    </row>
    <row r="1790" customFormat="false" ht="15" hidden="false" customHeight="true" outlineLevel="0" collapsed="false">
      <c r="A1790" s="49"/>
      <c r="B1790" s="49"/>
      <c r="C1790" s="49"/>
      <c r="D1790" s="69" t="str">
        <f aca="false">IFERROR(INDEX(المكونات!$B$2:$B$500,MATCH($B1790,المكونات!$A$2:$A$500,0)),"")</f>
        <v/>
      </c>
      <c r="E1790" s="70" t="str">
        <f aca="false">IFERROR(INDEX(المكونات!$C$2:$C$500,MATCH($B1790,المكونات!$A$2:$A$500,0)),"")</f>
        <v/>
      </c>
      <c r="F1790" s="13" t="str">
        <f aca="false">IFERROR($C1790*$E1790,"")</f>
        <v/>
      </c>
    </row>
    <row r="1791" customFormat="false" ht="15" hidden="false" customHeight="true" outlineLevel="0" collapsed="false">
      <c r="A1791" s="49"/>
      <c r="B1791" s="49"/>
      <c r="C1791" s="49"/>
      <c r="D1791" s="69" t="str">
        <f aca="false">IFERROR(INDEX(المكونات!$B$2:$B$500,MATCH($B1791,المكونات!$A$2:$A$500,0)),"")</f>
        <v/>
      </c>
      <c r="E1791" s="70" t="str">
        <f aca="false">IFERROR(INDEX(المكونات!$C$2:$C$500,MATCH($B1791,المكونات!$A$2:$A$500,0)),"")</f>
        <v/>
      </c>
      <c r="F1791" s="13" t="str">
        <f aca="false">IFERROR($C1791*$E1791,"")</f>
        <v/>
      </c>
    </row>
    <row r="1792" customFormat="false" ht="15" hidden="false" customHeight="true" outlineLevel="0" collapsed="false">
      <c r="A1792" s="49"/>
      <c r="B1792" s="49"/>
      <c r="C1792" s="49"/>
      <c r="D1792" s="69" t="str">
        <f aca="false">IFERROR(INDEX(المكونات!$B$2:$B$500,MATCH($B1792,المكونات!$A$2:$A$500,0)),"")</f>
        <v/>
      </c>
      <c r="E1792" s="70" t="str">
        <f aca="false">IFERROR(INDEX(المكونات!$C$2:$C$500,MATCH($B1792,المكونات!$A$2:$A$500,0)),"")</f>
        <v/>
      </c>
      <c r="F1792" s="13" t="str">
        <f aca="false">IFERROR($C1792*$E1792,"")</f>
        <v/>
      </c>
    </row>
    <row r="1793" customFormat="false" ht="15" hidden="false" customHeight="true" outlineLevel="0" collapsed="false">
      <c r="A1793" s="49"/>
      <c r="B1793" s="49"/>
      <c r="C1793" s="49"/>
      <c r="D1793" s="69" t="str">
        <f aca="false">IFERROR(INDEX(المكونات!$B$2:$B$500,MATCH($B1793,المكونات!$A$2:$A$500,0)),"")</f>
        <v/>
      </c>
      <c r="E1793" s="70" t="str">
        <f aca="false">IFERROR(INDEX(المكونات!$C$2:$C$500,MATCH($B1793,المكونات!$A$2:$A$500,0)),"")</f>
        <v/>
      </c>
      <c r="F1793" s="13" t="str">
        <f aca="false">IFERROR($C1793*$E1793,"")</f>
        <v/>
      </c>
    </row>
    <row r="1794" customFormat="false" ht="15" hidden="false" customHeight="true" outlineLevel="0" collapsed="false">
      <c r="A1794" s="49"/>
      <c r="B1794" s="49"/>
      <c r="C1794" s="49"/>
      <c r="D1794" s="69" t="str">
        <f aca="false">IFERROR(INDEX(المكونات!$B$2:$B$500,MATCH($B1794,المكونات!$A$2:$A$500,0)),"")</f>
        <v/>
      </c>
      <c r="E1794" s="70" t="str">
        <f aca="false">IFERROR(INDEX(المكونات!$C$2:$C$500,MATCH($B1794,المكونات!$A$2:$A$500,0)),"")</f>
        <v/>
      </c>
      <c r="F1794" s="13" t="str">
        <f aca="false">IFERROR($C1794*$E1794,"")</f>
        <v/>
      </c>
    </row>
    <row r="1795" customFormat="false" ht="15" hidden="false" customHeight="true" outlineLevel="0" collapsed="false">
      <c r="A1795" s="49"/>
      <c r="B1795" s="49"/>
      <c r="C1795" s="49"/>
      <c r="D1795" s="69" t="str">
        <f aca="false">IFERROR(INDEX(المكونات!$B$2:$B$500,MATCH($B1795,المكونات!$A$2:$A$500,0)),"")</f>
        <v/>
      </c>
      <c r="E1795" s="70" t="str">
        <f aca="false">IFERROR(INDEX(المكونات!$C$2:$C$500,MATCH($B1795,المكونات!$A$2:$A$500,0)),"")</f>
        <v/>
      </c>
      <c r="F1795" s="13" t="str">
        <f aca="false">IFERROR($C1795*$E1795,"")</f>
        <v/>
      </c>
    </row>
    <row r="1796" customFormat="false" ht="15" hidden="false" customHeight="true" outlineLevel="0" collapsed="false">
      <c r="A1796" s="49"/>
      <c r="B1796" s="49"/>
      <c r="C1796" s="49"/>
      <c r="D1796" s="69" t="str">
        <f aca="false">IFERROR(INDEX(المكونات!$B$2:$B$500,MATCH($B1796,المكونات!$A$2:$A$500,0)),"")</f>
        <v/>
      </c>
      <c r="E1796" s="70" t="str">
        <f aca="false">IFERROR(INDEX(المكونات!$C$2:$C$500,MATCH($B1796,المكونات!$A$2:$A$500,0)),"")</f>
        <v/>
      </c>
      <c r="F1796" s="13" t="str">
        <f aca="false">IFERROR($C1796*$E1796,"")</f>
        <v/>
      </c>
    </row>
    <row r="1797" customFormat="false" ht="15" hidden="false" customHeight="true" outlineLevel="0" collapsed="false">
      <c r="A1797" s="49"/>
      <c r="B1797" s="49"/>
      <c r="C1797" s="49"/>
      <c r="D1797" s="69" t="str">
        <f aca="false">IFERROR(INDEX(المكونات!$B$2:$B$500,MATCH($B1797,المكونات!$A$2:$A$500,0)),"")</f>
        <v/>
      </c>
      <c r="E1797" s="70" t="str">
        <f aca="false">IFERROR(INDEX(المكونات!$C$2:$C$500,MATCH($B1797,المكونات!$A$2:$A$500,0)),"")</f>
        <v/>
      </c>
      <c r="F1797" s="13" t="str">
        <f aca="false">IFERROR($C1797*$E1797,"")</f>
        <v/>
      </c>
    </row>
    <row r="1798" customFormat="false" ht="15" hidden="false" customHeight="true" outlineLevel="0" collapsed="false">
      <c r="A1798" s="49"/>
      <c r="B1798" s="49"/>
      <c r="C1798" s="49"/>
      <c r="D1798" s="69" t="str">
        <f aca="false">IFERROR(INDEX(المكونات!$B$2:$B$500,MATCH($B1798,المكونات!$A$2:$A$500,0)),"")</f>
        <v/>
      </c>
      <c r="E1798" s="70" t="str">
        <f aca="false">IFERROR(INDEX(المكونات!$C$2:$C$500,MATCH($B1798,المكونات!$A$2:$A$500,0)),"")</f>
        <v/>
      </c>
      <c r="F1798" s="13" t="str">
        <f aca="false">IFERROR($C1798*$E1798,"")</f>
        <v/>
      </c>
    </row>
    <row r="1799" customFormat="false" ht="15" hidden="false" customHeight="true" outlineLevel="0" collapsed="false">
      <c r="A1799" s="49"/>
      <c r="B1799" s="49"/>
      <c r="C1799" s="49"/>
      <c r="D1799" s="69" t="str">
        <f aca="false">IFERROR(INDEX(المكونات!$B$2:$B$500,MATCH($B1799,المكونات!$A$2:$A$500,0)),"")</f>
        <v/>
      </c>
      <c r="E1799" s="70"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545</v>
      </c>
      <c r="B1" s="10" t="s">
        <v>23</v>
      </c>
      <c r="C1" s="10" t="s">
        <v>551</v>
      </c>
      <c r="D1" s="10" t="s">
        <v>546</v>
      </c>
      <c r="E1" s="10" t="s">
        <v>552</v>
      </c>
      <c r="F1" s="10" t="s">
        <v>111</v>
      </c>
      <c r="G1" s="10" t="s">
        <v>553</v>
      </c>
      <c r="H1" s="10" t="s">
        <v>554</v>
      </c>
      <c r="I1" s="10" t="s">
        <v>26</v>
      </c>
      <c r="J1" s="10" t="s">
        <v>555</v>
      </c>
      <c r="K1" s="10" t="s">
        <v>556</v>
      </c>
      <c r="L1" s="71" t="s">
        <v>557</v>
      </c>
      <c r="M1" s="10" t="s">
        <v>558</v>
      </c>
      <c r="N1" s="10" t="s">
        <v>559</v>
      </c>
    </row>
    <row r="2" customFormat="false" ht="39" hidden="false" customHeight="true" outlineLevel="0" collapsed="false">
      <c r="A2" s="69" t="str">
        <f aca="false">IFERROR(IF(المنيو!$B2="","",المنيو!$A2),"")</f>
        <v>قسم البيتزا</v>
      </c>
      <c r="B2" s="69" t="str">
        <f aca="false">IFERROR(المنيو!$B2,"")</f>
        <v>بيتزا مارجريتا وسط</v>
      </c>
      <c r="C2" s="13" t="n">
        <f aca="false">IFERROR(IF($B2="","",SUMIFS(الريسبي!$F$2:$F$1800,الريسبي!$A$2:$A$1800,$B2)),"")</f>
        <v>37.9165</v>
      </c>
      <c r="D2" s="70" t="n">
        <f aca="false">IFERROR(IF($B2="","",المنيو!$C2),"")</f>
        <v>90</v>
      </c>
      <c r="E2" s="12" t="n">
        <f aca="false">IFERROR(IF(OR($B2="",$D2=0,$D2=""),"",$N2/$D2),"")</f>
        <v>0.431648888888889</v>
      </c>
      <c r="F2" s="72" t="n">
        <v>0.375</v>
      </c>
      <c r="G2" s="13" t="n">
        <f aca="false">IFERROR(IF($B2="","",$N2/$F2),"")</f>
        <v>103.595733333333</v>
      </c>
      <c r="H2" s="13" t="n">
        <f aca="false">IFERROR(IF($B2="","",$D2-$N2),"")</f>
        <v>51.1516</v>
      </c>
      <c r="I2" s="12" t="n">
        <f aca="false">IFERROR(IF(OR($B2="",$D2=0,$D2=""),"",$H2/$D2),"")</f>
        <v>0.568351111111111</v>
      </c>
      <c r="J2" s="72" t="n">
        <v>0.25</v>
      </c>
      <c r="K2" s="12" t="n">
        <f aca="false">IFERROR(IF($B2="","",$E2+$J2),"")</f>
        <v>0.681648888888889</v>
      </c>
      <c r="L2" s="73" t="n">
        <f aca="false">IFERROR(IF(OR($B2="",$C2=0,$C2=""),"",$I2+ROW()*0.0000001),"")</f>
        <v>0.568351311111111</v>
      </c>
      <c r="M2" s="74" t="n">
        <v>0.9319</v>
      </c>
      <c r="N2" s="13" t="n">
        <f aca="false">IFERROR(IF($B2="","",$C2+$M2),"")</f>
        <v>38.8484</v>
      </c>
    </row>
    <row r="3" customFormat="false" ht="39" hidden="false" customHeight="true" outlineLevel="0" collapsed="false">
      <c r="A3" s="69" t="str">
        <f aca="false">IFERROR(IF(المنيو!$B3="","",المنيو!$A3),"")</f>
        <v>قسم البيتزا</v>
      </c>
      <c r="B3" s="69" t="str">
        <f aca="false">IFERROR(المنيو!$B3,"")</f>
        <v>بيتزا مارجريتا حجم اكبر</v>
      </c>
      <c r="C3" s="13" t="n">
        <f aca="false">IFERROR(IF($B3="","",SUMIFS(الريسبي!$F$2:$F$1800,الريسبي!$A$2:$A$1800,$B3)),"")</f>
        <v>50.291</v>
      </c>
      <c r="D3" s="70" t="n">
        <f aca="false">IFERROR(IF($B3="","",المنيو!$C3),"")</f>
        <v>120</v>
      </c>
      <c r="E3" s="12" t="n">
        <f aca="false">IFERROR(IF(OR($B3="",$D3=0,$D3=""),"",$N3/$D3),"")</f>
        <v>0.4268575</v>
      </c>
      <c r="F3" s="75" t="n">
        <f aca="false">$F$2</f>
        <v>0.375</v>
      </c>
      <c r="G3" s="13" t="n">
        <f aca="false">IFERROR(IF($B3="","",$N3/$F3),"")</f>
        <v>136.5944</v>
      </c>
      <c r="H3" s="13" t="n">
        <f aca="false">IFERROR(IF($B3="","",$D3-$N3),"")</f>
        <v>68.7771</v>
      </c>
      <c r="I3" s="12" t="n">
        <f aca="false">IFERROR(IF(OR($B3="",$D3=0,$D3=""),"",$H3/$D3),"")</f>
        <v>0.5731425</v>
      </c>
      <c r="J3" s="75" t="n">
        <f aca="false">$J$2</f>
        <v>0.25</v>
      </c>
      <c r="K3" s="12" t="n">
        <f aca="false">IFERROR(IF($B3="","",$E3+$J3),"")</f>
        <v>0.6768575</v>
      </c>
      <c r="L3" s="73" t="n">
        <f aca="false">IFERROR(IF(OR($B3="",$C3=0,$C3=""),"",$I3+ROW()*0.0000001),"")</f>
        <v>0.5731428</v>
      </c>
      <c r="M3" s="76" t="n">
        <f aca="false">$M$2</f>
        <v>0.9319</v>
      </c>
      <c r="N3" s="13" t="n">
        <f aca="false">IFERROR(IF($B3="","",$C3+$M3),"")</f>
        <v>51.2229</v>
      </c>
    </row>
    <row r="4" customFormat="false" ht="39" hidden="false" customHeight="true" outlineLevel="0" collapsed="false">
      <c r="A4" s="69" t="str">
        <f aca="false">IFERROR(IF(المنيو!$B4="","",المنيو!$A4),"")</f>
        <v>قسم البيتزا</v>
      </c>
      <c r="B4" s="69" t="str">
        <f aca="false">IFERROR(المنيو!$B4,"")</f>
        <v>بيتزا بسطرمة وسط</v>
      </c>
      <c r="C4" s="13" t="n">
        <f aca="false">IFERROR(IF($B4="","",SUMIFS(الريسبي!$F$2:$F$1800,الريسبي!$A$2:$A$1800,$B4)),"")</f>
        <v>72.9165</v>
      </c>
      <c r="D4" s="70" t="n">
        <f aca="false">IFERROR(IF($B4="","",المنيو!$C4),"")</f>
        <v>140</v>
      </c>
      <c r="E4" s="12" t="n">
        <f aca="false">IFERROR(IF(OR($B4="",$D4=0,$D4=""),"",$N4/$D4),"")</f>
        <v>0.527488571428571</v>
      </c>
      <c r="F4" s="75" t="n">
        <f aca="false">$F$2</f>
        <v>0.375</v>
      </c>
      <c r="G4" s="13" t="n">
        <f aca="false">IFERROR(IF($B4="","",$N4/$F4),"")</f>
        <v>196.929066666667</v>
      </c>
      <c r="H4" s="13" t="n">
        <f aca="false">IFERROR(IF($B4="","",$D4-$N4),"")</f>
        <v>66.1516</v>
      </c>
      <c r="I4" s="12" t="n">
        <f aca="false">IFERROR(IF(OR($B4="",$D4=0,$D4=""),"",$H4/$D4),"")</f>
        <v>0.472511428571429</v>
      </c>
      <c r="J4" s="75" t="n">
        <f aca="false">$J$2</f>
        <v>0.25</v>
      </c>
      <c r="K4" s="12" t="n">
        <f aca="false">IFERROR(IF($B4="","",$E4+$J4),"")</f>
        <v>0.777488571428571</v>
      </c>
      <c r="L4" s="73" t="n">
        <f aca="false">IFERROR(IF(OR($B4="",$C4=0,$C4=""),"",$I4+ROW()*0.0000001),"")</f>
        <v>0.472511828571429</v>
      </c>
      <c r="M4" s="76" t="n">
        <f aca="false">$M$2</f>
        <v>0.9319</v>
      </c>
      <c r="N4" s="13" t="n">
        <f aca="false">IFERROR(IF($B4="","",$C4+$M4),"")</f>
        <v>73.8484</v>
      </c>
    </row>
    <row r="5" customFormat="false" ht="39" hidden="false" customHeight="true" outlineLevel="0" collapsed="false">
      <c r="A5" s="69" t="str">
        <f aca="false">IFERROR(IF(المنيو!$B5="","",المنيو!$A5),"")</f>
        <v>قسم البيتزا</v>
      </c>
      <c r="B5" s="69" t="str">
        <f aca="false">IFERROR(المنيو!$B5,"")</f>
        <v>بيتزا بسطرمة حجم اكبر</v>
      </c>
      <c r="C5" s="13" t="n">
        <f aca="false">IFERROR(IF($B5="","",SUMIFS(الريسبي!$F$2:$F$1800,الريسبي!$A$2:$A$1800,$B5)),"")</f>
        <v>96.9577</v>
      </c>
      <c r="D5" s="70" t="n">
        <f aca="false">IFERROR(IF($B5="","",المنيو!$C5),"")</f>
        <v>200</v>
      </c>
      <c r="E5" s="12" t="n">
        <f aca="false">IFERROR(IF(OR($B5="",$D5=0,$D5=""),"",$N5/$D5),"")</f>
        <v>0.489448</v>
      </c>
      <c r="F5" s="75" t="n">
        <f aca="false">$F$2</f>
        <v>0.375</v>
      </c>
      <c r="G5" s="13" t="n">
        <f aca="false">IFERROR(IF($B5="","",$N5/$F5),"")</f>
        <v>261.038933333333</v>
      </c>
      <c r="H5" s="13" t="n">
        <f aca="false">IFERROR(IF($B5="","",$D5-$N5),"")</f>
        <v>102.1104</v>
      </c>
      <c r="I5" s="12" t="n">
        <f aca="false">IFERROR(IF(OR($B5="",$D5=0,$D5=""),"",$H5/$D5),"")</f>
        <v>0.510552</v>
      </c>
      <c r="J5" s="75" t="n">
        <f aca="false">$J$2</f>
        <v>0.25</v>
      </c>
      <c r="K5" s="12" t="n">
        <f aca="false">IFERROR(IF($B5="","",$E5+$J5),"")</f>
        <v>0.739448</v>
      </c>
      <c r="L5" s="73" t="n">
        <f aca="false">IFERROR(IF(OR($B5="",$C5=0,$C5=""),"",$I5+ROW()*0.0000001),"")</f>
        <v>0.5105525</v>
      </c>
      <c r="M5" s="76" t="n">
        <f aca="false">$M$2</f>
        <v>0.9319</v>
      </c>
      <c r="N5" s="13" t="n">
        <f aca="false">IFERROR(IF($B5="","",$C5+$M5),"")</f>
        <v>97.8896</v>
      </c>
    </row>
    <row r="6" customFormat="false" ht="39" hidden="false" customHeight="true" outlineLevel="0" collapsed="false">
      <c r="A6" s="69" t="str">
        <f aca="false">IFERROR(IF(المنيو!$B6="","",المنيو!$A6),"")</f>
        <v>قسم البيتزا</v>
      </c>
      <c r="B6" s="69" t="str">
        <f aca="false">IFERROR(المنيو!$B6,"")</f>
        <v>بيتزا سدق وسط</v>
      </c>
      <c r="C6" s="13" t="n">
        <f aca="false">IFERROR(IF($B6="","",SUMIFS(الريسبي!$F$2:$F$1800,الريسبي!$A$2:$A$1800,$B6)),"")</f>
        <v>71.9165</v>
      </c>
      <c r="D6" s="70" t="n">
        <f aca="false">IFERROR(IF($B6="","",المنيو!$C6),"")</f>
        <v>130</v>
      </c>
      <c r="E6" s="12" t="n">
        <f aca="false">IFERROR(IF(OR($B6="",$D6=0,$D6=""),"",$N6/$D6),"")</f>
        <v>0.560372307692308</v>
      </c>
      <c r="F6" s="75" t="n">
        <f aca="false">$F$2</f>
        <v>0.375</v>
      </c>
      <c r="G6" s="13" t="n">
        <f aca="false">IFERROR(IF($B6="","",$N6/$F6),"")</f>
        <v>194.2624</v>
      </c>
      <c r="H6" s="13" t="n">
        <f aca="false">IFERROR(IF($B6="","",$D6-$N6),"")</f>
        <v>57.1516</v>
      </c>
      <c r="I6" s="12" t="n">
        <f aca="false">IFERROR(IF(OR($B6="",$D6=0,$D6=""),"",$H6/$D6),"")</f>
        <v>0.439627692307692</v>
      </c>
      <c r="J6" s="75" t="n">
        <f aca="false">$J$2</f>
        <v>0.25</v>
      </c>
      <c r="K6" s="12" t="n">
        <f aca="false">IFERROR(IF($B6="","",$E6+$J6),"")</f>
        <v>0.810372307692308</v>
      </c>
      <c r="L6" s="73" t="n">
        <f aca="false">IFERROR(IF(OR($B6="",$C6=0,$C6=""),"",$I6+ROW()*0.0000001),"")</f>
        <v>0.439628292307692</v>
      </c>
      <c r="M6" s="76" t="n">
        <f aca="false">$M$2</f>
        <v>0.9319</v>
      </c>
      <c r="N6" s="13" t="n">
        <f aca="false">IFERROR(IF($B6="","",$C6+$M6),"")</f>
        <v>72.8484</v>
      </c>
    </row>
    <row r="7" customFormat="false" ht="39" hidden="false" customHeight="true" outlineLevel="0" collapsed="false">
      <c r="A7" s="69" t="str">
        <f aca="false">IFERROR(IF(المنيو!$B7="","",المنيو!$A7),"")</f>
        <v>قسم البيتزا</v>
      </c>
      <c r="B7" s="69" t="str">
        <f aca="false">IFERROR(المنيو!$B7,"")</f>
        <v>بيتزا سدق حجم اكبر</v>
      </c>
      <c r="C7" s="13" t="n">
        <f aca="false">IFERROR(IF($B7="","",SUMIFS(الريسبي!$F$2:$F$1800,الريسبي!$A$2:$A$1800,$B7)),"")</f>
        <v>95.291</v>
      </c>
      <c r="D7" s="70" t="n">
        <f aca="false">IFERROR(IF($B7="","",المنيو!$C7),"")</f>
        <v>190</v>
      </c>
      <c r="E7" s="12" t="n">
        <f aca="false">IFERROR(IF(OR($B7="",$D7=0,$D7=""),"",$N7/$D7),"")</f>
        <v>0.506436315789474</v>
      </c>
      <c r="F7" s="75" t="n">
        <f aca="false">$F$2</f>
        <v>0.375</v>
      </c>
      <c r="G7" s="13" t="n">
        <f aca="false">IFERROR(IF($B7="","",$N7/$F7),"")</f>
        <v>256.5944</v>
      </c>
      <c r="H7" s="13" t="n">
        <f aca="false">IFERROR(IF($B7="","",$D7-$N7),"")</f>
        <v>93.7771</v>
      </c>
      <c r="I7" s="12" t="n">
        <f aca="false">IFERROR(IF(OR($B7="",$D7=0,$D7=""),"",$H7/$D7),"")</f>
        <v>0.493563684210526</v>
      </c>
      <c r="J7" s="75" t="n">
        <f aca="false">$J$2</f>
        <v>0.25</v>
      </c>
      <c r="K7" s="12" t="n">
        <f aca="false">IFERROR(IF($B7="","",$E7+$J7),"")</f>
        <v>0.756436315789474</v>
      </c>
      <c r="L7" s="73" t="n">
        <f aca="false">IFERROR(IF(OR($B7="",$C7=0,$C7=""),"",$I7+ROW()*0.0000001),"")</f>
        <v>0.493564384210526</v>
      </c>
      <c r="M7" s="76" t="n">
        <f aca="false">$M$2</f>
        <v>0.9319</v>
      </c>
      <c r="N7" s="13" t="n">
        <f aca="false">IFERROR(IF($B7="","",$C7+$M7),"")</f>
        <v>96.2229</v>
      </c>
    </row>
    <row r="8" customFormat="false" ht="39" hidden="false" customHeight="true" outlineLevel="0" collapsed="false">
      <c r="A8" s="69" t="str">
        <f aca="false">IFERROR(IF(المنيو!$B8="","",المنيو!$A8),"")</f>
        <v>قسم البيتزا</v>
      </c>
      <c r="B8" s="69" t="str">
        <f aca="false">IFERROR(المنيو!$B8,"")</f>
        <v>بيتزا دبل سلامي / بيبروني وسط</v>
      </c>
      <c r="C8" s="13" t="n">
        <f aca="false">IFERROR(IF($B8="","",SUMIFS(الريسبي!$F$2:$F$1800,الريسبي!$A$2:$A$1800,$B8)),"")</f>
        <v>64.8873</v>
      </c>
      <c r="D8" s="70" t="n">
        <f aca="false">IFERROR(IF($B8="","",المنيو!$C8),"")</f>
        <v>130</v>
      </c>
      <c r="E8" s="12" t="n">
        <f aca="false">IFERROR(IF(OR($B8="",$D8=0,$D8=""),"",$N8/$D8),"")</f>
        <v>0.506301538461539</v>
      </c>
      <c r="F8" s="75" t="n">
        <f aca="false">$F$2</f>
        <v>0.375</v>
      </c>
      <c r="G8" s="13" t="n">
        <f aca="false">IFERROR(IF($B8="","",$N8/$F8),"")</f>
        <v>175.517866666667</v>
      </c>
      <c r="H8" s="13" t="n">
        <f aca="false">IFERROR(IF($B8="","",$D8-$N8),"")</f>
        <v>64.1808</v>
      </c>
      <c r="I8" s="12" t="n">
        <f aca="false">IFERROR(IF(OR($B8="",$D8=0,$D8=""),"",$H8/$D8),"")</f>
        <v>0.493698461538462</v>
      </c>
      <c r="J8" s="75" t="n">
        <f aca="false">$J$2</f>
        <v>0.25</v>
      </c>
      <c r="K8" s="12" t="n">
        <f aca="false">IFERROR(IF($B8="","",$E8+$J8),"")</f>
        <v>0.756301538461539</v>
      </c>
      <c r="L8" s="73" t="n">
        <f aca="false">IFERROR(IF(OR($B8="",$C8=0,$C8=""),"",$I8+ROW()*0.0000001),"")</f>
        <v>0.493699261538462</v>
      </c>
      <c r="M8" s="76" t="n">
        <f aca="false">$M$2</f>
        <v>0.9319</v>
      </c>
      <c r="N8" s="13" t="n">
        <f aca="false">IFERROR(IF($B8="","",$C8+$M8),"")</f>
        <v>65.8192</v>
      </c>
    </row>
    <row r="9" customFormat="false" ht="39" hidden="false" customHeight="true" outlineLevel="0" collapsed="false">
      <c r="A9" s="69" t="str">
        <f aca="false">IFERROR(IF(المنيو!$B9="","",المنيو!$A9),"")</f>
        <v>قسم البيتزا</v>
      </c>
      <c r="B9" s="69" t="str">
        <f aca="false">IFERROR(المنيو!$B9,"")</f>
        <v>بيتزا دبل سلامي / بيبروني حجم اكبر</v>
      </c>
      <c r="C9" s="13" t="n">
        <f aca="false">IFERROR(IF($B9="","",SUMIFS(الريسبي!$F$2:$F$1800,الريسبي!$A$2:$A$1800,$B9)),"")</f>
        <v>90.7472</v>
      </c>
      <c r="D9" s="70" t="n">
        <f aca="false">IFERROR(IF($B9="","",المنيو!$C9),"")</f>
        <v>190</v>
      </c>
      <c r="E9" s="12" t="n">
        <f aca="false">IFERROR(IF(OR($B9="",$D9=0,$D9=""),"",$N9/$D9),"")</f>
        <v>0.482521578947368</v>
      </c>
      <c r="F9" s="75" t="n">
        <f aca="false">$F$2</f>
        <v>0.375</v>
      </c>
      <c r="G9" s="13" t="n">
        <f aca="false">IFERROR(IF($B9="","",$N9/$F9),"")</f>
        <v>244.4776</v>
      </c>
      <c r="H9" s="13" t="n">
        <f aca="false">IFERROR(IF($B9="","",$D9-$N9),"")</f>
        <v>98.3209</v>
      </c>
      <c r="I9" s="12" t="n">
        <f aca="false">IFERROR(IF(OR($B9="",$D9=0,$D9=""),"",$H9/$D9),"")</f>
        <v>0.517478421052632</v>
      </c>
      <c r="J9" s="75" t="n">
        <f aca="false">$J$2</f>
        <v>0.25</v>
      </c>
      <c r="K9" s="12" t="n">
        <f aca="false">IFERROR(IF($B9="","",$E9+$J9),"")</f>
        <v>0.732521578947369</v>
      </c>
      <c r="L9" s="73" t="n">
        <f aca="false">IFERROR(IF(OR($B9="",$C9=0,$C9=""),"",$I9+ROW()*0.0000001),"")</f>
        <v>0.517479321052632</v>
      </c>
      <c r="M9" s="76" t="n">
        <f aca="false">$M$2</f>
        <v>0.9319</v>
      </c>
      <c r="N9" s="13" t="n">
        <f aca="false">IFERROR(IF($B9="","",$C9+$M9),"")</f>
        <v>91.6791</v>
      </c>
    </row>
    <row r="10" customFormat="false" ht="39" hidden="false" customHeight="true" outlineLevel="0" collapsed="false">
      <c r="A10" s="69" t="str">
        <f aca="false">IFERROR(IF(المنيو!$B10="","",المنيو!$A10),"")</f>
        <v>قسم البيتزا</v>
      </c>
      <c r="B10" s="69" t="str">
        <f aca="false">IFERROR(المنيو!$B10,"")</f>
        <v>بيتزا مشكل جبن وسط</v>
      </c>
      <c r="C10" s="13" t="n">
        <f aca="false">IFERROR(IF($B10="","",SUMIFS(الريسبي!$F$2:$F$1800,الريسبي!$A$2:$A$1800,$B10)),"")</f>
        <v>74.9165</v>
      </c>
      <c r="D10" s="70" t="n">
        <f aca="false">IFERROR(IF($B10="","",المنيو!$C10),"")</f>
        <v>130</v>
      </c>
      <c r="E10" s="12" t="n">
        <f aca="false">IFERROR(IF(OR($B10="",$D10=0,$D10=""),"",$N10/$D10),"")</f>
        <v>0.583449230769231</v>
      </c>
      <c r="F10" s="75" t="n">
        <f aca="false">$F$2</f>
        <v>0.375</v>
      </c>
      <c r="G10" s="13" t="n">
        <f aca="false">IFERROR(IF($B10="","",$N10/$F10),"")</f>
        <v>202.2624</v>
      </c>
      <c r="H10" s="13" t="n">
        <f aca="false">IFERROR(IF($B10="","",$D10-$N10),"")</f>
        <v>54.1516</v>
      </c>
      <c r="I10" s="12" t="n">
        <f aca="false">IFERROR(IF(OR($B10="",$D10=0,$D10=""),"",$H10/$D10),"")</f>
        <v>0.416550769230769</v>
      </c>
      <c r="J10" s="75" t="n">
        <f aca="false">$J$2</f>
        <v>0.25</v>
      </c>
      <c r="K10" s="12" t="n">
        <f aca="false">IFERROR(IF($B10="","",$E10+$J10),"")</f>
        <v>0.833449230769231</v>
      </c>
      <c r="L10" s="73" t="n">
        <f aca="false">IFERROR(IF(OR($B10="",$C10=0,$C10=""),"",$I10+ROW()*0.0000001),"")</f>
        <v>0.416551769230769</v>
      </c>
      <c r="M10" s="76" t="n">
        <f aca="false">$M$2</f>
        <v>0.9319</v>
      </c>
      <c r="N10" s="13" t="n">
        <f aca="false">IFERROR(IF($B10="","",$C10+$M10),"")</f>
        <v>75.8484</v>
      </c>
    </row>
    <row r="11" customFormat="false" ht="39" hidden="false" customHeight="true" outlineLevel="0" collapsed="false">
      <c r="A11" s="69" t="str">
        <f aca="false">IFERROR(IF(المنيو!$B11="","",المنيو!$A11),"")</f>
        <v>قسم البيتزا</v>
      </c>
      <c r="B11" s="69" t="str">
        <f aca="false">IFERROR(المنيو!$B11,"")</f>
        <v>بيتزا مشكل جبن حجم اكبر</v>
      </c>
      <c r="C11" s="13" t="n">
        <f aca="false">IFERROR(IF($B11="","",SUMIFS(الريسبي!$F$2:$F$1800,الريسبي!$A$2:$A$1800,$B11)),"")</f>
        <v>105.791</v>
      </c>
      <c r="D11" s="70" t="n">
        <f aca="false">IFERROR(IF($B11="","",المنيو!$C11),"")</f>
        <v>190</v>
      </c>
      <c r="E11" s="12" t="n">
        <f aca="false">IFERROR(IF(OR($B11="",$D11=0,$D11=""),"",$N11/$D11),"")</f>
        <v>0.561699473684211</v>
      </c>
      <c r="F11" s="75" t="n">
        <f aca="false">$F$2</f>
        <v>0.375</v>
      </c>
      <c r="G11" s="13" t="n">
        <f aca="false">IFERROR(IF($B11="","",$N11/$F11),"")</f>
        <v>284.5944</v>
      </c>
      <c r="H11" s="13" t="n">
        <f aca="false">IFERROR(IF($B11="","",$D11-$N11),"")</f>
        <v>83.2771</v>
      </c>
      <c r="I11" s="12" t="n">
        <f aca="false">IFERROR(IF(OR($B11="",$D11=0,$D11=""),"",$H11/$D11),"")</f>
        <v>0.43830052631579</v>
      </c>
      <c r="J11" s="75" t="n">
        <f aca="false">$J$2</f>
        <v>0.25</v>
      </c>
      <c r="K11" s="12" t="n">
        <f aca="false">IFERROR(IF($B11="","",$E11+$J11),"")</f>
        <v>0.811699473684211</v>
      </c>
      <c r="L11" s="73" t="n">
        <f aca="false">IFERROR(IF(OR($B11="",$C11=0,$C11=""),"",$I11+ROW()*0.0000001),"")</f>
        <v>0.438301626315789</v>
      </c>
      <c r="M11" s="76" t="n">
        <f aca="false">$M$2</f>
        <v>0.9319</v>
      </c>
      <c r="N11" s="13" t="n">
        <f aca="false">IFERROR(IF($B11="","",$C11+$M11),"")</f>
        <v>106.7229</v>
      </c>
    </row>
    <row r="12" customFormat="false" ht="39" hidden="false" customHeight="true" outlineLevel="0" collapsed="false">
      <c r="A12" s="69" t="str">
        <f aca="false">IFERROR(IF(المنيو!$B12="","",المنيو!$A12),"")</f>
        <v>قسم البيتزا</v>
      </c>
      <c r="B12" s="69" t="str">
        <f aca="false">IFERROR(المنيو!$B12,"")</f>
        <v>بيتزا فراخ رانش وسط</v>
      </c>
      <c r="C12" s="13" t="n">
        <f aca="false">IFERROR(IF($B12="","",SUMIFS(الريسبي!$F$2:$F$1800,الريسبي!$A$2:$A$1800,$B12)),"")</f>
        <v>82.3985</v>
      </c>
      <c r="D12" s="70" t="n">
        <f aca="false">IFERROR(IF($B12="","",المنيو!$C12),"")</f>
        <v>150</v>
      </c>
      <c r="E12" s="12" t="n">
        <f aca="false">IFERROR(IF(OR($B12="",$D12=0,$D12=""),"",$N12/$D12),"")</f>
        <v>0.555536</v>
      </c>
      <c r="F12" s="75" t="n">
        <f aca="false">$F$2</f>
        <v>0.375</v>
      </c>
      <c r="G12" s="13" t="n">
        <f aca="false">IFERROR(IF($B12="","",$N12/$F12),"")</f>
        <v>222.2144</v>
      </c>
      <c r="H12" s="13" t="n">
        <f aca="false">IFERROR(IF($B12="","",$D12-$N12),"")</f>
        <v>66.6696</v>
      </c>
      <c r="I12" s="12" t="n">
        <f aca="false">IFERROR(IF(OR($B12="",$D12=0,$D12=""),"",$H12/$D12),"")</f>
        <v>0.444464</v>
      </c>
      <c r="J12" s="75" t="n">
        <f aca="false">$J$2</f>
        <v>0.25</v>
      </c>
      <c r="K12" s="12" t="n">
        <f aca="false">IFERROR(IF($B12="","",$E12+$J12),"")</f>
        <v>0.805536</v>
      </c>
      <c r="L12" s="73" t="n">
        <f aca="false">IFERROR(IF(OR($B12="",$C12=0,$C12=""),"",$I12+ROW()*0.0000001),"")</f>
        <v>0.4444652</v>
      </c>
      <c r="M12" s="76" t="n">
        <f aca="false">$M$2</f>
        <v>0.9319</v>
      </c>
      <c r="N12" s="13" t="n">
        <f aca="false">IFERROR(IF($B12="","",$C12+$M12),"")</f>
        <v>83.3304</v>
      </c>
    </row>
    <row r="13" customFormat="false" ht="39" hidden="false" customHeight="true" outlineLevel="0" collapsed="false">
      <c r="A13" s="69" t="str">
        <f aca="false">IFERROR(IF(المنيو!$B13="","",المنيو!$A13),"")</f>
        <v>قسم البيتزا</v>
      </c>
      <c r="B13" s="69" t="str">
        <f aca="false">IFERROR(المنيو!$B13,"")</f>
        <v>بيتزا فراخ رانش حجم اكبر</v>
      </c>
      <c r="C13" s="13" t="n">
        <f aca="false">IFERROR(IF($B13="","",SUMIFS(الريسبي!$F$2:$F$1800,الريسبي!$A$2:$A$1800,$B13)),"")</f>
        <v>114.8227</v>
      </c>
      <c r="D13" s="70" t="n">
        <f aca="false">IFERROR(IF($B13="","",المنيو!$C13),"")</f>
        <v>230</v>
      </c>
      <c r="E13" s="12" t="n">
        <f aca="false">IFERROR(IF(OR($B13="",$D13=0,$D13=""),"",$N13/$D13),"")</f>
        <v>0.503280869565217</v>
      </c>
      <c r="F13" s="75" t="n">
        <f aca="false">$F$2</f>
        <v>0.375</v>
      </c>
      <c r="G13" s="13" t="n">
        <f aca="false">IFERROR(IF($B13="","",$N13/$F13),"")</f>
        <v>308.678933333333</v>
      </c>
      <c r="H13" s="13" t="n">
        <f aca="false">IFERROR(IF($B13="","",$D13-$N13),"")</f>
        <v>114.2454</v>
      </c>
      <c r="I13" s="12" t="n">
        <f aca="false">IFERROR(IF(OR($B13="",$D13=0,$D13=""),"",$H13/$D13),"")</f>
        <v>0.496719130434783</v>
      </c>
      <c r="J13" s="75" t="n">
        <f aca="false">$J$2</f>
        <v>0.25</v>
      </c>
      <c r="K13" s="12" t="n">
        <f aca="false">IFERROR(IF($B13="","",$E13+$J13),"")</f>
        <v>0.753280869565217</v>
      </c>
      <c r="L13" s="73" t="n">
        <f aca="false">IFERROR(IF(OR($B13="",$C13=0,$C13=""),"",$I13+ROW()*0.0000001),"")</f>
        <v>0.496720430434783</v>
      </c>
      <c r="M13" s="76" t="n">
        <f aca="false">$M$2</f>
        <v>0.9319</v>
      </c>
      <c r="N13" s="13" t="n">
        <f aca="false">IFERROR(IF($B13="","",$C13+$M13),"")</f>
        <v>115.7546</v>
      </c>
    </row>
    <row r="14" customFormat="false" ht="39" hidden="false" customHeight="true" outlineLevel="0" collapsed="false">
      <c r="A14" s="69" t="str">
        <f aca="false">IFERROR(IF(المنيو!$B14="","",المنيو!$A14),"")</f>
        <v>قسم البيتزا</v>
      </c>
      <c r="B14" s="69" t="str">
        <f aca="false">IFERROR(المنيو!$B14,"")</f>
        <v>بيتزا فراخ باربيكيو وسط</v>
      </c>
      <c r="C14" s="13" t="n">
        <f aca="false">IFERROR(IF($B14="","",SUMIFS(الريسبي!$F$2:$F$1800,الريسبي!$A$2:$A$1800,$B14)),"")</f>
        <v>78.8985</v>
      </c>
      <c r="D14" s="70" t="n">
        <f aca="false">IFERROR(IF($B14="","",المنيو!$C14),"")</f>
        <v>150</v>
      </c>
      <c r="E14" s="12" t="n">
        <f aca="false">IFERROR(IF(OR($B14="",$D14=0,$D14=""),"",$N14/$D14),"")</f>
        <v>0.532202666666667</v>
      </c>
      <c r="F14" s="75" t="n">
        <f aca="false">$F$2</f>
        <v>0.375</v>
      </c>
      <c r="G14" s="13" t="n">
        <f aca="false">IFERROR(IF($B14="","",$N14/$F14),"")</f>
        <v>212.881066666667</v>
      </c>
      <c r="H14" s="13" t="n">
        <f aca="false">IFERROR(IF($B14="","",$D14-$N14),"")</f>
        <v>70.1696</v>
      </c>
      <c r="I14" s="12" t="n">
        <f aca="false">IFERROR(IF(OR($B14="",$D14=0,$D14=""),"",$H14/$D14),"")</f>
        <v>0.467797333333333</v>
      </c>
      <c r="J14" s="75" t="n">
        <f aca="false">$J$2</f>
        <v>0.25</v>
      </c>
      <c r="K14" s="12" t="n">
        <f aca="false">IFERROR(IF($B14="","",$E14+$J14),"")</f>
        <v>0.782202666666667</v>
      </c>
      <c r="L14" s="73" t="n">
        <f aca="false">IFERROR(IF(OR($B14="",$C14=0,$C14=""),"",$I14+ROW()*0.0000001),"")</f>
        <v>0.467798733333333</v>
      </c>
      <c r="M14" s="76" t="n">
        <f aca="false">$M$2</f>
        <v>0.9319</v>
      </c>
      <c r="N14" s="13" t="n">
        <f aca="false">IFERROR(IF($B14="","",$C14+$M14),"")</f>
        <v>79.8304</v>
      </c>
    </row>
    <row r="15" customFormat="false" ht="39" hidden="false" customHeight="true" outlineLevel="0" collapsed="false">
      <c r="A15" s="69" t="str">
        <f aca="false">IFERROR(IF(المنيو!$B15="","",المنيو!$A15),"")</f>
        <v>قسم البيتزا</v>
      </c>
      <c r="B15" s="69" t="str">
        <f aca="false">IFERROR(المنيو!$B15,"")</f>
        <v>بيتزا فراخ باربيكيو حجم اكبر</v>
      </c>
      <c r="C15" s="13" t="n">
        <f aca="false">IFERROR(IF($B15="","",SUMIFS(الريسبي!$F$2:$F$1800,الريسبي!$A$2:$A$1800,$B15)),"")</f>
        <v>109.5727</v>
      </c>
      <c r="D15" s="70" t="n">
        <f aca="false">IFERROR(IF($B15="","",المنيو!$C15),"")</f>
        <v>230</v>
      </c>
      <c r="E15" s="12" t="n">
        <f aca="false">IFERROR(IF(OR($B15="",$D15=0,$D15=""),"",$N15/$D15),"")</f>
        <v>0.480454782608696</v>
      </c>
      <c r="F15" s="75" t="n">
        <f aca="false">$F$2</f>
        <v>0.375</v>
      </c>
      <c r="G15" s="13" t="n">
        <f aca="false">IFERROR(IF($B15="","",$N15/$F15),"")</f>
        <v>294.678933333333</v>
      </c>
      <c r="H15" s="13" t="n">
        <f aca="false">IFERROR(IF($B15="","",$D15-$N15),"")</f>
        <v>119.4954</v>
      </c>
      <c r="I15" s="12" t="n">
        <f aca="false">IFERROR(IF(OR($B15="",$D15=0,$D15=""),"",$H15/$D15),"")</f>
        <v>0.519545217391304</v>
      </c>
      <c r="J15" s="75" t="n">
        <f aca="false">$J$2</f>
        <v>0.25</v>
      </c>
      <c r="K15" s="12" t="n">
        <f aca="false">IFERROR(IF($B15="","",$E15+$J15),"")</f>
        <v>0.730454782608696</v>
      </c>
      <c r="L15" s="73" t="n">
        <f aca="false">IFERROR(IF(OR($B15="",$C15=0,$C15=""),"",$I15+ROW()*0.0000001),"")</f>
        <v>0.519546717391304</v>
      </c>
      <c r="M15" s="76" t="n">
        <f aca="false">$M$2</f>
        <v>0.9319</v>
      </c>
      <c r="N15" s="13" t="n">
        <f aca="false">IFERROR(IF($B15="","",$C15+$M15),"")</f>
        <v>110.5046</v>
      </c>
    </row>
    <row r="16" customFormat="false" ht="39" hidden="false" customHeight="true" outlineLevel="0" collapsed="false">
      <c r="A16" s="69" t="str">
        <f aca="false">IFERROR(IF(المنيو!$B16="","",المنيو!$A16),"")</f>
        <v>قسم البيتزا</v>
      </c>
      <c r="B16" s="69" t="str">
        <f aca="false">IFERROR(المنيو!$B16,"")</f>
        <v>بيتزا فراخ كريسبي رانش وسط</v>
      </c>
      <c r="C16" s="13" t="n">
        <f aca="false">IFERROR(IF($B16="","",SUMIFS(الريسبي!$F$2:$F$1800,الريسبي!$A$2:$A$1800,$B16)),"")</f>
        <v>83.9942</v>
      </c>
      <c r="D16" s="70" t="n">
        <f aca="false">IFERROR(IF($B16="","",المنيو!$C16),"")</f>
        <v>150</v>
      </c>
      <c r="E16" s="12" t="n">
        <f aca="false">IFERROR(IF(OR($B16="",$D16=0,$D16=""),"",$N16/$D16),"")</f>
        <v>0.566174</v>
      </c>
      <c r="F16" s="75" t="n">
        <f aca="false">$F$2</f>
        <v>0.375</v>
      </c>
      <c r="G16" s="13" t="n">
        <f aca="false">IFERROR(IF($B16="","",$N16/$F16),"")</f>
        <v>226.4696</v>
      </c>
      <c r="H16" s="13" t="n">
        <f aca="false">IFERROR(IF($B16="","",$D16-$N16),"")</f>
        <v>65.0739</v>
      </c>
      <c r="I16" s="12" t="n">
        <f aca="false">IFERROR(IF(OR($B16="",$D16=0,$D16=""),"",$H16/$D16),"")</f>
        <v>0.433826</v>
      </c>
      <c r="J16" s="75" t="n">
        <f aca="false">$J$2</f>
        <v>0.25</v>
      </c>
      <c r="K16" s="12" t="n">
        <f aca="false">IFERROR(IF($B16="","",$E16+$J16),"")</f>
        <v>0.816174</v>
      </c>
      <c r="L16" s="73" t="n">
        <f aca="false">IFERROR(IF(OR($B16="",$C16=0,$C16=""),"",$I16+ROW()*0.0000001),"")</f>
        <v>0.4338276</v>
      </c>
      <c r="M16" s="76" t="n">
        <f aca="false">$M$2</f>
        <v>0.9319</v>
      </c>
      <c r="N16" s="13" t="n">
        <f aca="false">IFERROR(IF($B16="","",$C16+$M16),"")</f>
        <v>84.9261</v>
      </c>
    </row>
    <row r="17" customFormat="false" ht="39" hidden="false" customHeight="true" outlineLevel="0" collapsed="false">
      <c r="A17" s="69" t="str">
        <f aca="false">IFERROR(IF(المنيو!$B17="","",المنيو!$A17),"")</f>
        <v>قسم البيتزا</v>
      </c>
      <c r="B17" s="69" t="str">
        <f aca="false">IFERROR(المنيو!$B17,"")</f>
        <v>بيتزا فراخ كريسبي رانش حجم اكبر</v>
      </c>
      <c r="C17" s="13" t="n">
        <f aca="false">IFERROR(IF($B17="","",SUMIFS(الريسبي!$F$2:$F$1800,الريسبي!$A$2:$A$1800,$B17)),"")</f>
        <v>100.6187</v>
      </c>
      <c r="D17" s="70" t="n">
        <f aca="false">IFERROR(IF($B17="","",المنيو!$C17),"")</f>
        <v>230</v>
      </c>
      <c r="E17" s="12" t="n">
        <f aca="false">IFERROR(IF(OR($B17="",$D17=0,$D17=""),"",$N17/$D17),"")</f>
        <v>0.441524347826087</v>
      </c>
      <c r="F17" s="75" t="n">
        <f aca="false">$F$2</f>
        <v>0.375</v>
      </c>
      <c r="G17" s="13" t="n">
        <f aca="false">IFERROR(IF($B17="","",$N17/$F17),"")</f>
        <v>270.8016</v>
      </c>
      <c r="H17" s="13" t="n">
        <f aca="false">IFERROR(IF($B17="","",$D17-$N17),"")</f>
        <v>128.4494</v>
      </c>
      <c r="I17" s="12" t="n">
        <f aca="false">IFERROR(IF(OR($B17="",$D17=0,$D17=""),"",$H17/$D17),"")</f>
        <v>0.558475652173913</v>
      </c>
      <c r="J17" s="75" t="n">
        <f aca="false">$J$2</f>
        <v>0.25</v>
      </c>
      <c r="K17" s="12" t="n">
        <f aca="false">IFERROR(IF($B17="","",$E17+$J17),"")</f>
        <v>0.691524347826087</v>
      </c>
      <c r="L17" s="73" t="n">
        <f aca="false">IFERROR(IF(OR($B17="",$C17=0,$C17=""),"",$I17+ROW()*0.0000001),"")</f>
        <v>0.558477352173913</v>
      </c>
      <c r="M17" s="76" t="n">
        <f aca="false">$M$2</f>
        <v>0.9319</v>
      </c>
      <c r="N17" s="13" t="n">
        <f aca="false">IFERROR(IF($B17="","",$C17+$M17),"")</f>
        <v>101.5506</v>
      </c>
    </row>
    <row r="18" customFormat="false" ht="39" hidden="false" customHeight="true" outlineLevel="0" collapsed="false">
      <c r="A18" s="69" t="str">
        <f aca="false">IFERROR(IF(المنيو!$B18="","",المنيو!$A18),"")</f>
        <v>قسم البيتزا</v>
      </c>
      <c r="B18" s="69" t="str">
        <f aca="false">IFERROR(المنيو!$B18,"")</f>
        <v>بيتزا فراخ كريسبي شيدر وسط</v>
      </c>
      <c r="C18" s="13" t="n">
        <f aca="false">IFERROR(IF($B18="","",SUMIFS(الريسبي!$F$2:$F$1800,الريسبي!$A$2:$A$1800,$B18)),"")</f>
        <v>87.4942</v>
      </c>
      <c r="D18" s="70" t="n">
        <f aca="false">IFERROR(IF($B18="","",المنيو!$C18),"")</f>
        <v>150</v>
      </c>
      <c r="E18" s="12" t="n">
        <f aca="false">IFERROR(IF(OR($B18="",$D18=0,$D18=""),"",$N18/$D18),"")</f>
        <v>0.589507333333333</v>
      </c>
      <c r="F18" s="75" t="n">
        <f aca="false">$F$2</f>
        <v>0.375</v>
      </c>
      <c r="G18" s="13" t="n">
        <f aca="false">IFERROR(IF($B18="","",$N18/$F18),"")</f>
        <v>235.802933333333</v>
      </c>
      <c r="H18" s="13" t="n">
        <f aca="false">IFERROR(IF($B18="","",$D18-$N18),"")</f>
        <v>61.5739</v>
      </c>
      <c r="I18" s="12" t="n">
        <f aca="false">IFERROR(IF(OR($B18="",$D18=0,$D18=""),"",$H18/$D18),"")</f>
        <v>0.410492666666667</v>
      </c>
      <c r="J18" s="75" t="n">
        <f aca="false">$J$2</f>
        <v>0.25</v>
      </c>
      <c r="K18" s="12" t="n">
        <f aca="false">IFERROR(IF($B18="","",$E18+$J18),"")</f>
        <v>0.839507333333333</v>
      </c>
      <c r="L18" s="73" t="n">
        <f aca="false">IFERROR(IF(OR($B18="",$C18=0,$C18=""),"",$I18+ROW()*0.0000001),"")</f>
        <v>0.410494466666667</v>
      </c>
      <c r="M18" s="76" t="n">
        <f aca="false">$M$2</f>
        <v>0.9319</v>
      </c>
      <c r="N18" s="13" t="n">
        <f aca="false">IFERROR(IF($B18="","",$C18+$M18),"")</f>
        <v>88.4261</v>
      </c>
    </row>
    <row r="19" customFormat="false" ht="39" hidden="false" customHeight="true" outlineLevel="0" collapsed="false">
      <c r="A19" s="69" t="str">
        <f aca="false">IFERROR(IF(المنيو!$B19="","",المنيو!$A19),"")</f>
        <v>قسم البيتزا</v>
      </c>
      <c r="B19" s="69" t="str">
        <f aca="false">IFERROR(المنيو!$B19,"")</f>
        <v>بيتزا فراخ كريسبي شيدر حجم اكبر</v>
      </c>
      <c r="C19" s="13" t="n">
        <f aca="false">IFERROR(IF($B19="","",SUMIFS(الريسبي!$F$2:$F$1800,الريسبي!$A$2:$A$1800,$B19)),"")</f>
        <v>105.8687</v>
      </c>
      <c r="D19" s="70" t="n">
        <f aca="false">IFERROR(IF($B19="","",المنيو!$C19),"")</f>
        <v>230</v>
      </c>
      <c r="E19" s="12" t="n">
        <f aca="false">IFERROR(IF(OR($B19="",$D19=0,$D19=""),"",$N19/$D19),"")</f>
        <v>0.464350434782609</v>
      </c>
      <c r="F19" s="75" t="n">
        <f aca="false">$F$2</f>
        <v>0.375</v>
      </c>
      <c r="G19" s="13" t="n">
        <f aca="false">IFERROR(IF($B19="","",$N19/$F19),"")</f>
        <v>284.8016</v>
      </c>
      <c r="H19" s="13" t="n">
        <f aca="false">IFERROR(IF($B19="","",$D19-$N19),"")</f>
        <v>123.1994</v>
      </c>
      <c r="I19" s="12" t="n">
        <f aca="false">IFERROR(IF(OR($B19="",$D19=0,$D19=""),"",$H19/$D19),"")</f>
        <v>0.535649565217391</v>
      </c>
      <c r="J19" s="75" t="n">
        <f aca="false">$J$2</f>
        <v>0.25</v>
      </c>
      <c r="K19" s="12" t="n">
        <f aca="false">IFERROR(IF($B19="","",$E19+$J19),"")</f>
        <v>0.714350434782609</v>
      </c>
      <c r="L19" s="73" t="n">
        <f aca="false">IFERROR(IF(OR($B19="",$C19=0,$C19=""),"",$I19+ROW()*0.0000001),"")</f>
        <v>0.535651465217391</v>
      </c>
      <c r="M19" s="76" t="n">
        <f aca="false">$M$2</f>
        <v>0.9319</v>
      </c>
      <c r="N19" s="13" t="n">
        <f aca="false">IFERROR(IF($B19="","",$C19+$M19),"")</f>
        <v>106.8006</v>
      </c>
    </row>
    <row r="20" customFormat="false" ht="39" hidden="false" customHeight="true" outlineLevel="0" collapsed="false">
      <c r="A20" s="69" t="str">
        <f aca="false">IFERROR(IF(المنيو!$B20="","",المنيو!$A20),"")</f>
        <v>قسم البيتزا</v>
      </c>
      <c r="B20" s="69" t="str">
        <f aca="false">IFERROR(المنيو!$B20,"")</f>
        <v>بيتزا مشكل لحوم النكش وسط</v>
      </c>
      <c r="C20" s="13" t="n">
        <f aca="false">IFERROR(IF($B20="","",SUMIFS(الريسبي!$F$2:$F$1800,الريسبي!$A$2:$A$1800,$B20)),"")</f>
        <v>127.9165</v>
      </c>
      <c r="D20" s="70" t="n">
        <f aca="false">IFERROR(IF($B20="","",المنيو!$C20),"")</f>
        <v>230</v>
      </c>
      <c r="E20" s="12" t="n">
        <f aca="false">IFERROR(IF(OR($B20="",$D20=0,$D20=""),"",$N20/$D20),"")</f>
        <v>0.560210434782609</v>
      </c>
      <c r="F20" s="75" t="n">
        <f aca="false">$F$2</f>
        <v>0.375</v>
      </c>
      <c r="G20" s="13" t="n">
        <f aca="false">IFERROR(IF($B20="","",$N20/$F20),"")</f>
        <v>343.595733333333</v>
      </c>
      <c r="H20" s="13" t="n">
        <f aca="false">IFERROR(IF($B20="","",$D20-$N20),"")</f>
        <v>101.1516</v>
      </c>
      <c r="I20" s="12" t="n">
        <f aca="false">IFERROR(IF(OR($B20="",$D20=0,$D20=""),"",$H20/$D20),"")</f>
        <v>0.439789565217391</v>
      </c>
      <c r="J20" s="75" t="n">
        <f aca="false">$J$2</f>
        <v>0.25</v>
      </c>
      <c r="K20" s="12" t="n">
        <f aca="false">IFERROR(IF($B20="","",$E20+$J20),"")</f>
        <v>0.810210434782609</v>
      </c>
      <c r="L20" s="73" t="n">
        <f aca="false">IFERROR(IF(OR($B20="",$C20=0,$C20=""),"",$I20+ROW()*0.0000001),"")</f>
        <v>0.439791565217391</v>
      </c>
      <c r="M20" s="76" t="n">
        <f aca="false">$M$2</f>
        <v>0.9319</v>
      </c>
      <c r="N20" s="13" t="n">
        <f aca="false">IFERROR(IF($B20="","",$C20+$M20),"")</f>
        <v>128.8484</v>
      </c>
    </row>
    <row r="21" customFormat="false" ht="39" hidden="false" customHeight="true" outlineLevel="0" collapsed="false">
      <c r="A21" s="69" t="str">
        <f aca="false">IFERROR(IF(المنيو!$B21="","",المنيو!$A21),"")</f>
        <v>قسم البيتزا</v>
      </c>
      <c r="B21" s="69" t="str">
        <f aca="false">IFERROR(المنيو!$B21,"")</f>
        <v>بيتزا مشكل لحوم النكش حجم اكبر</v>
      </c>
      <c r="C21" s="13" t="n">
        <f aca="false">IFERROR(IF($B21="","",SUMIFS(الريسبي!$F$2:$F$1800,الريسبي!$A$2:$A$1800,$B21)),"")</f>
        <v>162.9577</v>
      </c>
      <c r="D21" s="70" t="n">
        <f aca="false">IFERROR(IF($B21="","",المنيو!$C21),"")</f>
        <v>340</v>
      </c>
      <c r="E21" s="12" t="n">
        <f aca="false">IFERROR(IF(OR($B21="",$D21=0,$D21=""),"",$N21/$D21),"")</f>
        <v>0.482028235294118</v>
      </c>
      <c r="F21" s="75" t="n">
        <f aca="false">$F$2</f>
        <v>0.375</v>
      </c>
      <c r="G21" s="13" t="n">
        <f aca="false">IFERROR(IF($B21="","",$N21/$F21),"")</f>
        <v>437.038933333333</v>
      </c>
      <c r="H21" s="13" t="n">
        <f aca="false">IFERROR(IF($B21="","",$D21-$N21),"")</f>
        <v>176.1104</v>
      </c>
      <c r="I21" s="12" t="n">
        <f aca="false">IFERROR(IF(OR($B21="",$D21=0,$D21=""),"",$H21/$D21),"")</f>
        <v>0.517971764705882</v>
      </c>
      <c r="J21" s="75" t="n">
        <f aca="false">$J$2</f>
        <v>0.25</v>
      </c>
      <c r="K21" s="12" t="n">
        <f aca="false">IFERROR(IF($B21="","",$E21+$J21),"")</f>
        <v>0.732028235294118</v>
      </c>
      <c r="L21" s="73" t="n">
        <f aca="false">IFERROR(IF(OR($B21="",$C21=0,$C21=""),"",$I21+ROW()*0.0000001),"")</f>
        <v>0.517973864705882</v>
      </c>
      <c r="M21" s="76" t="n">
        <f aca="false">$M$2</f>
        <v>0.9319</v>
      </c>
      <c r="N21" s="13" t="n">
        <f aca="false">IFERROR(IF($B21="","",$C21+$M21),"")</f>
        <v>163.8896</v>
      </c>
    </row>
    <row r="22" customFormat="false" ht="39" hidden="false" customHeight="true" outlineLevel="0" collapsed="false">
      <c r="A22" s="69" t="str">
        <f aca="false">IFERROR(IF(المنيو!$B22="","",المنيو!$A22),"")</f>
        <v>قسم البيتزا</v>
      </c>
      <c r="B22" s="69" t="str">
        <f aca="false">IFERROR(المنيو!$B22,"")</f>
        <v>بيتزا جمبري وسط</v>
      </c>
      <c r="C22" s="13" t="n">
        <f aca="false">IFERROR(IF($B22="","",SUMIFS(الريسبي!$F$2:$F$1800,الريسبي!$A$2:$A$1800,$B22)),"")</f>
        <v>132.9165</v>
      </c>
      <c r="D22" s="70" t="n">
        <f aca="false">IFERROR(IF($B22="","",المنيو!$C22),"")</f>
        <v>240</v>
      </c>
      <c r="E22" s="12" t="n">
        <f aca="false">IFERROR(IF(OR($B22="",$D22=0,$D22=""),"",$N22/$D22),"")</f>
        <v>0.557701666666667</v>
      </c>
      <c r="F22" s="75" t="n">
        <f aca="false">$F$2</f>
        <v>0.375</v>
      </c>
      <c r="G22" s="13" t="n">
        <f aca="false">IFERROR(IF($B22="","",$N22/$F22),"")</f>
        <v>356.929066666667</v>
      </c>
      <c r="H22" s="13" t="n">
        <f aca="false">IFERROR(IF($B22="","",$D22-$N22),"")</f>
        <v>106.1516</v>
      </c>
      <c r="I22" s="12" t="n">
        <f aca="false">IFERROR(IF(OR($B22="",$D22=0,$D22=""),"",$H22/$D22),"")</f>
        <v>0.442298333333333</v>
      </c>
      <c r="J22" s="75" t="n">
        <f aca="false">$J$2</f>
        <v>0.25</v>
      </c>
      <c r="K22" s="12" t="n">
        <f aca="false">IFERROR(IF($B22="","",$E22+$J22),"")</f>
        <v>0.807701666666667</v>
      </c>
      <c r="L22" s="73" t="n">
        <f aca="false">IFERROR(IF(OR($B22="",$C22=0,$C22=""),"",$I22+ROW()*0.0000001),"")</f>
        <v>0.442300533333333</v>
      </c>
      <c r="M22" s="76" t="n">
        <f aca="false">$M$2</f>
        <v>0.9319</v>
      </c>
      <c r="N22" s="13" t="n">
        <f aca="false">IFERROR(IF($B22="","",$C22+$M22),"")</f>
        <v>133.8484</v>
      </c>
    </row>
    <row r="23" customFormat="false" ht="39" hidden="false" customHeight="true" outlineLevel="0" collapsed="false">
      <c r="A23" s="69" t="str">
        <f aca="false">IFERROR(IF(المنيو!$B23="","",المنيو!$A23),"")</f>
        <v>قسم البيتزا</v>
      </c>
      <c r="B23" s="69" t="str">
        <f aca="false">IFERROR(المنيو!$B23,"")</f>
        <v>بيتزا جمبري حجم اكبر</v>
      </c>
      <c r="C23" s="13" t="n">
        <f aca="false">IFERROR(IF($B23="","",SUMIFS(الريسبي!$F$2:$F$1800,الريسبي!$A$2:$A$1800,$B23)),"")</f>
        <v>192.791</v>
      </c>
      <c r="D23" s="70" t="n">
        <f aca="false">IFERROR(IF($B23="","",المنيو!$C23),"")</f>
        <v>360</v>
      </c>
      <c r="E23" s="12" t="n">
        <f aca="false">IFERROR(IF(OR($B23="",$D23=0,$D23=""),"",$N23/$D23),"")</f>
        <v>0.538119166666667</v>
      </c>
      <c r="F23" s="75" t="n">
        <f aca="false">$F$2</f>
        <v>0.375</v>
      </c>
      <c r="G23" s="13" t="n">
        <f aca="false">IFERROR(IF($B23="","",$N23/$F23),"")</f>
        <v>516.5944</v>
      </c>
      <c r="H23" s="13" t="n">
        <f aca="false">IFERROR(IF($B23="","",$D23-$N23),"")</f>
        <v>166.2771</v>
      </c>
      <c r="I23" s="12" t="n">
        <f aca="false">IFERROR(IF(OR($B23="",$D23=0,$D23=""),"",$H23/$D23),"")</f>
        <v>0.461880833333333</v>
      </c>
      <c r="J23" s="75" t="n">
        <f aca="false">$J$2</f>
        <v>0.25</v>
      </c>
      <c r="K23" s="12" t="n">
        <f aca="false">IFERROR(IF($B23="","",$E23+$J23),"")</f>
        <v>0.788119166666667</v>
      </c>
      <c r="L23" s="73" t="n">
        <f aca="false">IFERROR(IF(OR($B23="",$C23=0,$C23=""),"",$I23+ROW()*0.0000001),"")</f>
        <v>0.461883133333333</v>
      </c>
      <c r="M23" s="76" t="n">
        <f aca="false">$M$2</f>
        <v>0.9319</v>
      </c>
      <c r="N23" s="13" t="n">
        <f aca="false">IFERROR(IF($B23="","",$C23+$M23),"")</f>
        <v>193.7229</v>
      </c>
    </row>
    <row r="24" customFormat="false" ht="39" hidden="false" customHeight="true" outlineLevel="0" collapsed="false">
      <c r="A24" s="69" t="str">
        <f aca="false">IFERROR(IF(المنيو!$B24="","",المنيو!$A24),"")</f>
        <v>قسم الفطير الحادق</v>
      </c>
      <c r="B24" s="69" t="str">
        <f aca="false">IFERROR(المنيو!$B24,"")</f>
        <v>فطيرة سدق وسط</v>
      </c>
      <c r="C24" s="13" t="n">
        <f aca="false">IFERROR(IF($B24="","",SUMIFS(الريسبي!$F$2:$F$1800,الريسبي!$A$2:$A$1800,$B24)),"")</f>
        <v>76.2965</v>
      </c>
      <c r="D24" s="70" t="n">
        <f aca="false">IFERROR(IF($B24="","",المنيو!$C24),"")</f>
        <v>130</v>
      </c>
      <c r="E24" s="12" t="n">
        <f aca="false">IFERROR(IF(OR($B24="",$D24=0,$D24=""),"",$N24/$D24),"")</f>
        <v>0.594064615384615</v>
      </c>
      <c r="F24" s="75" t="n">
        <f aca="false">$F$2</f>
        <v>0.375</v>
      </c>
      <c r="G24" s="13" t="n">
        <f aca="false">IFERROR(IF($B24="","",$N24/$F24),"")</f>
        <v>205.9424</v>
      </c>
      <c r="H24" s="13" t="n">
        <f aca="false">IFERROR(IF($B24="","",$D24-$N24),"")</f>
        <v>52.7716</v>
      </c>
      <c r="I24" s="12" t="n">
        <f aca="false">IFERROR(IF(OR($B24="",$D24=0,$D24=""),"",$H24/$D24),"")</f>
        <v>0.405935384615385</v>
      </c>
      <c r="J24" s="75" t="n">
        <f aca="false">$J$2</f>
        <v>0.25</v>
      </c>
      <c r="K24" s="12" t="n">
        <f aca="false">IFERROR(IF($B24="","",$E24+$J24),"")</f>
        <v>0.844064615384615</v>
      </c>
      <c r="L24" s="73" t="n">
        <f aca="false">IFERROR(IF(OR($B24="",$C24=0,$C24=""),"",$I24+ROW()*0.0000001),"")</f>
        <v>0.405937784615385</v>
      </c>
      <c r="M24" s="76" t="n">
        <f aca="false">$M$2</f>
        <v>0.9319</v>
      </c>
      <c r="N24" s="13" t="n">
        <f aca="false">IFERROR(IF($B24="","",$C24+$M24),"")</f>
        <v>77.2284</v>
      </c>
    </row>
    <row r="25" customFormat="false" ht="39" hidden="false" customHeight="true" outlineLevel="0" collapsed="false">
      <c r="A25" s="69" t="str">
        <f aca="false">IFERROR(IF(المنيو!$B25="","",المنيو!$A25),"")</f>
        <v>قسم الفطير الحادق</v>
      </c>
      <c r="B25" s="69" t="str">
        <f aca="false">IFERROR(المنيو!$B25,"")</f>
        <v>فطيرة سدق حجم اكبر</v>
      </c>
      <c r="C25" s="13" t="n">
        <f aca="false">IFERROR(IF($B25="","",SUMIFS(الريسبي!$F$2:$F$1800,الريسبي!$A$2:$A$1800,$B25)),"")</f>
        <v>104.1315</v>
      </c>
      <c r="D25" s="70" t="n">
        <f aca="false">IFERROR(IF($B25="","",المنيو!$C25),"")</f>
        <v>190</v>
      </c>
      <c r="E25" s="12" t="n">
        <f aca="false">IFERROR(IF(OR($B25="",$D25=0,$D25=""),"",$N25/$D25),"")</f>
        <v>0.552965263157895</v>
      </c>
      <c r="F25" s="75" t="n">
        <f aca="false">$F$2</f>
        <v>0.375</v>
      </c>
      <c r="G25" s="13" t="n">
        <f aca="false">IFERROR(IF($B25="","",$N25/$F25),"")</f>
        <v>280.169066666667</v>
      </c>
      <c r="H25" s="13" t="n">
        <f aca="false">IFERROR(IF($B25="","",$D25-$N25),"")</f>
        <v>84.9366</v>
      </c>
      <c r="I25" s="12" t="n">
        <f aca="false">IFERROR(IF(OR($B25="",$D25=0,$D25=""),"",$H25/$D25),"")</f>
        <v>0.447034736842105</v>
      </c>
      <c r="J25" s="75" t="n">
        <f aca="false">$J$2</f>
        <v>0.25</v>
      </c>
      <c r="K25" s="12" t="n">
        <f aca="false">IFERROR(IF($B25="","",$E25+$J25),"")</f>
        <v>0.802965263157895</v>
      </c>
      <c r="L25" s="73" t="n">
        <f aca="false">IFERROR(IF(OR($B25="",$C25=0,$C25=""),"",$I25+ROW()*0.0000001),"")</f>
        <v>0.447037236842105</v>
      </c>
      <c r="M25" s="76" t="n">
        <f aca="false">$M$2</f>
        <v>0.9319</v>
      </c>
      <c r="N25" s="13" t="n">
        <f aca="false">IFERROR(IF($B25="","",$C25+$M25),"")</f>
        <v>105.0634</v>
      </c>
    </row>
    <row r="26" customFormat="false" ht="39" hidden="false" customHeight="true" outlineLevel="0" collapsed="false">
      <c r="A26" s="69" t="str">
        <f aca="false">IFERROR(IF(المنيو!$B26="","",المنيو!$A26),"")</f>
        <v>قسم الفطير الحادق</v>
      </c>
      <c r="B26" s="69" t="str">
        <f aca="false">IFERROR(المنيو!$B26,"")</f>
        <v>فطيرة بسطرمة وسط</v>
      </c>
      <c r="C26" s="13" t="n">
        <f aca="false">IFERROR(IF($B26="","",SUMIFS(الريسبي!$F$2:$F$1800,الريسبي!$A$2:$A$1800,$B26)),"")</f>
        <v>68.2965</v>
      </c>
      <c r="D26" s="70" t="n">
        <f aca="false">IFERROR(IF($B26="","",المنيو!$C26),"")</f>
        <v>140</v>
      </c>
      <c r="E26" s="12" t="n">
        <f aca="false">IFERROR(IF(OR($B26="",$D26=0,$D26=""),"",$N26/$D26),"")</f>
        <v>0.494488571428571</v>
      </c>
      <c r="F26" s="75" t="n">
        <f aca="false">$F$2</f>
        <v>0.375</v>
      </c>
      <c r="G26" s="13" t="n">
        <f aca="false">IFERROR(IF($B26="","",$N26/$F26),"")</f>
        <v>184.609066666667</v>
      </c>
      <c r="H26" s="13" t="n">
        <f aca="false">IFERROR(IF($B26="","",$D26-$N26),"")</f>
        <v>70.7716</v>
      </c>
      <c r="I26" s="12" t="n">
        <f aca="false">IFERROR(IF(OR($B26="",$D26=0,$D26=""),"",$H26/$D26),"")</f>
        <v>0.505511428571429</v>
      </c>
      <c r="J26" s="75" t="n">
        <f aca="false">$J$2</f>
        <v>0.25</v>
      </c>
      <c r="K26" s="12" t="n">
        <f aca="false">IFERROR(IF($B26="","",$E26+$J26),"")</f>
        <v>0.744488571428571</v>
      </c>
      <c r="L26" s="73" t="n">
        <f aca="false">IFERROR(IF(OR($B26="",$C26=0,$C26=""),"",$I26+ROW()*0.0000001),"")</f>
        <v>0.505514028571429</v>
      </c>
      <c r="M26" s="76" t="n">
        <f aca="false">$M$2</f>
        <v>0.9319</v>
      </c>
      <c r="N26" s="13" t="n">
        <f aca="false">IFERROR(IF($B26="","",$C26+$M26),"")</f>
        <v>69.2284</v>
      </c>
    </row>
    <row r="27" customFormat="false" ht="39" hidden="false" customHeight="true" outlineLevel="0" collapsed="false">
      <c r="A27" s="69" t="str">
        <f aca="false">IFERROR(IF(المنيو!$B27="","",المنيو!$A27),"")</f>
        <v>قسم الفطير الحادق</v>
      </c>
      <c r="B27" s="69" t="str">
        <f aca="false">IFERROR(المنيو!$B27,"")</f>
        <v>فطيرة بسطرمة حجم اكبر</v>
      </c>
      <c r="C27" s="13" t="n">
        <f aca="false">IFERROR(IF($B27="","",SUMIFS(الريسبي!$F$2:$F$1800,الريسبي!$A$2:$A$1800,$B27)),"")</f>
        <v>92.2982</v>
      </c>
      <c r="D27" s="70" t="n">
        <f aca="false">IFERROR(IF($B27="","",المنيو!$C27),"")</f>
        <v>200</v>
      </c>
      <c r="E27" s="12" t="n">
        <f aca="false">IFERROR(IF(OR($B27="",$D27=0,$D27=""),"",$N27/$D27),"")</f>
        <v>0.4661505</v>
      </c>
      <c r="F27" s="75" t="n">
        <f aca="false">$F$2</f>
        <v>0.375</v>
      </c>
      <c r="G27" s="13" t="n">
        <f aca="false">IFERROR(IF($B27="","",$N27/$F27),"")</f>
        <v>248.6136</v>
      </c>
      <c r="H27" s="13" t="n">
        <f aca="false">IFERROR(IF($B27="","",$D27-$N27),"")</f>
        <v>106.7699</v>
      </c>
      <c r="I27" s="12" t="n">
        <f aca="false">IFERROR(IF(OR($B27="",$D27=0,$D27=""),"",$H27/$D27),"")</f>
        <v>0.5338495</v>
      </c>
      <c r="J27" s="75" t="n">
        <f aca="false">$J$2</f>
        <v>0.25</v>
      </c>
      <c r="K27" s="12" t="n">
        <f aca="false">IFERROR(IF($B27="","",$E27+$J27),"")</f>
        <v>0.7161505</v>
      </c>
      <c r="L27" s="73" t="n">
        <f aca="false">IFERROR(IF(OR($B27="",$C27=0,$C27=""),"",$I27+ROW()*0.0000001),"")</f>
        <v>0.5338522</v>
      </c>
      <c r="M27" s="76" t="n">
        <f aca="false">$M$2</f>
        <v>0.9319</v>
      </c>
      <c r="N27" s="13" t="n">
        <f aca="false">IFERROR(IF($B27="","",$C27+$M27),"")</f>
        <v>93.2301</v>
      </c>
    </row>
    <row r="28" customFormat="false" ht="39" hidden="false" customHeight="true" outlineLevel="0" collapsed="false">
      <c r="A28" s="69" t="str">
        <f aca="false">IFERROR(IF(المنيو!$B28="","",المنيو!$A28),"")</f>
        <v>قسم الفطير الحادق</v>
      </c>
      <c r="B28" s="69" t="str">
        <f aca="false">IFERROR(المنيو!$B28,"")</f>
        <v>فطيرة ميكس بسطرمة وسدق بالكيري وسط</v>
      </c>
      <c r="C28" s="13" t="n">
        <f aca="false">IFERROR(IF($B28="","",SUMIFS(الريسبي!$F$2:$F$1800,الريسبي!$A$2:$A$1800,$B28)),"")</f>
        <v>116.2965</v>
      </c>
      <c r="D28" s="70" t="n">
        <f aca="false">IFERROR(IF($B28="","",المنيو!$C28),"")</f>
        <v>210</v>
      </c>
      <c r="E28" s="12" t="n">
        <f aca="false">IFERROR(IF(OR($B28="",$D28=0,$D28=""),"",$N28/$D28),"")</f>
        <v>0.558230476190476</v>
      </c>
      <c r="F28" s="75" t="n">
        <f aca="false">$F$2</f>
        <v>0.375</v>
      </c>
      <c r="G28" s="13" t="n">
        <f aca="false">IFERROR(IF($B28="","",$N28/$F28),"")</f>
        <v>312.609066666667</v>
      </c>
      <c r="H28" s="13" t="n">
        <f aca="false">IFERROR(IF($B28="","",$D28-$N28),"")</f>
        <v>92.7716</v>
      </c>
      <c r="I28" s="12" t="n">
        <f aca="false">IFERROR(IF(OR($B28="",$D28=0,$D28=""),"",$H28/$D28),"")</f>
        <v>0.441769523809524</v>
      </c>
      <c r="J28" s="75" t="n">
        <f aca="false">$J$2</f>
        <v>0.25</v>
      </c>
      <c r="K28" s="12" t="n">
        <f aca="false">IFERROR(IF($B28="","",$E28+$J28),"")</f>
        <v>0.808230476190476</v>
      </c>
      <c r="L28" s="73" t="n">
        <f aca="false">IFERROR(IF(OR($B28="",$C28=0,$C28=""),"",$I28+ROW()*0.0000001),"")</f>
        <v>0.441772323809524</v>
      </c>
      <c r="M28" s="76" t="n">
        <f aca="false">$M$2</f>
        <v>0.9319</v>
      </c>
      <c r="N28" s="13" t="n">
        <f aca="false">IFERROR(IF($B28="","",$C28+$M28),"")</f>
        <v>117.2284</v>
      </c>
    </row>
    <row r="29" customFormat="false" ht="39" hidden="false" customHeight="true" outlineLevel="0" collapsed="false">
      <c r="A29" s="69" t="str">
        <f aca="false">IFERROR(IF(المنيو!$B29="","",المنيو!$A29),"")</f>
        <v>قسم الفطير الحادق</v>
      </c>
      <c r="B29" s="69" t="str">
        <f aca="false">IFERROR(المنيو!$B29,"")</f>
        <v>فطيرة ميكس بسطرمة وسدق بالكيري حجم اكبر</v>
      </c>
      <c r="C29" s="13" t="n">
        <f aca="false">IFERROR(IF($B29="","",SUMIFS(الريسبي!$F$2:$F$1800,الريسبي!$A$2:$A$1800,$B29)),"")</f>
        <v>158.2982</v>
      </c>
      <c r="D29" s="70" t="n">
        <f aca="false">IFERROR(IF($B29="","",المنيو!$C29),"")</f>
        <v>330</v>
      </c>
      <c r="E29" s="12" t="n">
        <f aca="false">IFERROR(IF(OR($B29="",$D29=0,$D29=""),"",$N29/$D29),"")</f>
        <v>0.482515454545455</v>
      </c>
      <c r="F29" s="75" t="n">
        <f aca="false">$F$2</f>
        <v>0.375</v>
      </c>
      <c r="G29" s="13" t="n">
        <f aca="false">IFERROR(IF($B29="","",$N29/$F29),"")</f>
        <v>424.6136</v>
      </c>
      <c r="H29" s="13" t="n">
        <f aca="false">IFERROR(IF($B29="","",$D29-$N29),"")</f>
        <v>170.7699</v>
      </c>
      <c r="I29" s="12" t="n">
        <f aca="false">IFERROR(IF(OR($B29="",$D29=0,$D29=""),"",$H29/$D29),"")</f>
        <v>0.517484545454545</v>
      </c>
      <c r="J29" s="75" t="n">
        <f aca="false">$J$2</f>
        <v>0.25</v>
      </c>
      <c r="K29" s="12" t="n">
        <f aca="false">IFERROR(IF($B29="","",$E29+$J29),"")</f>
        <v>0.732515454545455</v>
      </c>
      <c r="L29" s="73" t="n">
        <f aca="false">IFERROR(IF(OR($B29="",$C29=0,$C29=""),"",$I29+ROW()*0.0000001),"")</f>
        <v>0.517487445454545</v>
      </c>
      <c r="M29" s="76" t="n">
        <f aca="false">$M$2</f>
        <v>0.9319</v>
      </c>
      <c r="N29" s="13" t="n">
        <f aca="false">IFERROR(IF($B29="","",$C29+$M29),"")</f>
        <v>159.2301</v>
      </c>
    </row>
    <row r="30" customFormat="false" ht="39" hidden="false" customHeight="true" outlineLevel="0" collapsed="false">
      <c r="A30" s="69" t="str">
        <f aca="false">IFERROR(IF(المنيو!$B30="","",المنيو!$A30),"")</f>
        <v>قسم الفطير الحادق</v>
      </c>
      <c r="B30" s="69" t="str">
        <f aca="false">IFERROR(المنيو!$B30,"")</f>
        <v>فطيرة مشكل جبن وسط</v>
      </c>
      <c r="C30" s="13" t="n">
        <f aca="false">IFERROR(IF($B30="","",SUMIFS(الريسبي!$F$2:$F$1800,الريسبي!$A$2:$A$1800,$B30)),"")</f>
        <v>79.0465</v>
      </c>
      <c r="D30" s="70" t="n">
        <f aca="false">IFERROR(IF($B30="","",المنيو!$C30),"")</f>
        <v>145</v>
      </c>
      <c r="E30" s="12" t="n">
        <f aca="false">IFERROR(IF(OR($B30="",$D30=0,$D30=""),"",$N30/$D30),"")</f>
        <v>0.551575172413793</v>
      </c>
      <c r="F30" s="75" t="n">
        <f aca="false">$F$2</f>
        <v>0.375</v>
      </c>
      <c r="G30" s="13" t="n">
        <f aca="false">IFERROR(IF($B30="","",$N30/$F30),"")</f>
        <v>213.275733333333</v>
      </c>
      <c r="H30" s="13" t="n">
        <f aca="false">IFERROR(IF($B30="","",$D30-$N30),"")</f>
        <v>65.0216</v>
      </c>
      <c r="I30" s="12" t="n">
        <f aca="false">IFERROR(IF(OR($B30="",$D30=0,$D30=""),"",$H30/$D30),"")</f>
        <v>0.448424827586207</v>
      </c>
      <c r="J30" s="75" t="n">
        <f aca="false">$J$2</f>
        <v>0.25</v>
      </c>
      <c r="K30" s="12" t="n">
        <f aca="false">IFERROR(IF($B30="","",$E30+$J30),"")</f>
        <v>0.801575172413793</v>
      </c>
      <c r="L30" s="73" t="n">
        <f aca="false">IFERROR(IF(OR($B30="",$C30=0,$C30=""),"",$I30+ROW()*0.0000001),"")</f>
        <v>0.448427827586207</v>
      </c>
      <c r="M30" s="76" t="n">
        <f aca="false">$M$2</f>
        <v>0.9319</v>
      </c>
      <c r="N30" s="13" t="n">
        <f aca="false">IFERROR(IF($B30="","",$C30+$M30),"")</f>
        <v>79.9784</v>
      </c>
    </row>
    <row r="31" customFormat="false" ht="39" hidden="false" customHeight="true" outlineLevel="0" collapsed="false">
      <c r="A31" s="69" t="str">
        <f aca="false">IFERROR(IF(المنيو!$B31="","",المنيو!$A31),"")</f>
        <v>قسم الفطير الحادق</v>
      </c>
      <c r="B31" s="69" t="str">
        <f aca="false">IFERROR(المنيو!$B31,"")</f>
        <v>فطيرة مشكل جبن حجم اكبر</v>
      </c>
      <c r="C31" s="13" t="n">
        <f aca="false">IFERROR(IF($B31="","",SUMIFS(الريسبي!$F$2:$F$1800,الريسبي!$A$2:$A$1800,$B31)),"")</f>
        <v>113.6315</v>
      </c>
      <c r="D31" s="70" t="n">
        <f aca="false">IFERROR(IF($B31="","",المنيو!$C31),"")</f>
        <v>210</v>
      </c>
      <c r="E31" s="12" t="n">
        <f aca="false">IFERROR(IF(OR($B31="",$D31=0,$D31=""),"",$N31/$D31),"")</f>
        <v>0.54554</v>
      </c>
      <c r="F31" s="75" t="n">
        <f aca="false">$F$2</f>
        <v>0.375</v>
      </c>
      <c r="G31" s="13" t="n">
        <f aca="false">IFERROR(IF($B31="","",$N31/$F31),"")</f>
        <v>305.5024</v>
      </c>
      <c r="H31" s="13" t="n">
        <f aca="false">IFERROR(IF($B31="","",$D31-$N31),"")</f>
        <v>95.4366</v>
      </c>
      <c r="I31" s="12" t="n">
        <f aca="false">IFERROR(IF(OR($B31="",$D31=0,$D31=""),"",$H31/$D31),"")</f>
        <v>0.45446</v>
      </c>
      <c r="J31" s="75" t="n">
        <f aca="false">$J$2</f>
        <v>0.25</v>
      </c>
      <c r="K31" s="12" t="n">
        <f aca="false">IFERROR(IF($B31="","",$E31+$J31),"")</f>
        <v>0.79554</v>
      </c>
      <c r="L31" s="73" t="n">
        <f aca="false">IFERROR(IF(OR($B31="",$C31=0,$C31=""),"",$I31+ROW()*0.0000001),"")</f>
        <v>0.4544631</v>
      </c>
      <c r="M31" s="76" t="n">
        <f aca="false">$M$2</f>
        <v>0.9319</v>
      </c>
      <c r="N31" s="13" t="n">
        <f aca="false">IFERROR(IF($B31="","",$C31+$M31),"")</f>
        <v>114.5634</v>
      </c>
    </row>
    <row r="32" customFormat="false" ht="39" hidden="false" customHeight="true" outlineLevel="0" collapsed="false">
      <c r="A32" s="69" t="str">
        <f aca="false">IFERROR(IF(المنيو!$B32="","",المنيو!$A32),"")</f>
        <v>قسم الفطير الحادق</v>
      </c>
      <c r="B32" s="69" t="str">
        <f aca="false">IFERROR(المنيو!$B32,"")</f>
        <v>فطيرة فراخ رانش وسط</v>
      </c>
      <c r="C32" s="13" t="n">
        <f aca="false">IFERROR(IF($B32="","",SUMIFS(الريسبي!$F$2:$F$1800,الريسبي!$A$2:$A$1800,$B32)),"")</f>
        <v>77.7785</v>
      </c>
      <c r="D32" s="70" t="n">
        <f aca="false">IFERROR(IF($B32="","",المنيو!$C32),"")</f>
        <v>160</v>
      </c>
      <c r="E32" s="12" t="n">
        <f aca="false">IFERROR(IF(OR($B32="",$D32=0,$D32=""),"",$N32/$D32),"")</f>
        <v>0.49194</v>
      </c>
      <c r="F32" s="75" t="n">
        <f aca="false">$F$2</f>
        <v>0.375</v>
      </c>
      <c r="G32" s="13" t="n">
        <f aca="false">IFERROR(IF($B32="","",$N32/$F32),"")</f>
        <v>209.8944</v>
      </c>
      <c r="H32" s="13" t="n">
        <f aca="false">IFERROR(IF($B32="","",$D32-$N32),"")</f>
        <v>81.2896</v>
      </c>
      <c r="I32" s="12" t="n">
        <f aca="false">IFERROR(IF(OR($B32="",$D32=0,$D32=""),"",$H32/$D32),"")</f>
        <v>0.50806</v>
      </c>
      <c r="J32" s="75" t="n">
        <f aca="false">$J$2</f>
        <v>0.25</v>
      </c>
      <c r="K32" s="12" t="n">
        <f aca="false">IFERROR(IF($B32="","",$E32+$J32),"")</f>
        <v>0.74194</v>
      </c>
      <c r="L32" s="73" t="n">
        <f aca="false">IFERROR(IF(OR($B32="",$C32=0,$C32=""),"",$I32+ROW()*0.0000001),"")</f>
        <v>0.5080632</v>
      </c>
      <c r="M32" s="76" t="n">
        <f aca="false">$M$2</f>
        <v>0.9319</v>
      </c>
      <c r="N32" s="13" t="n">
        <f aca="false">IFERROR(IF($B32="","",$C32+$M32),"")</f>
        <v>78.7104</v>
      </c>
    </row>
    <row r="33" customFormat="false" ht="39" hidden="false" customHeight="true" outlineLevel="0" collapsed="false">
      <c r="A33" s="69" t="str">
        <f aca="false">IFERROR(IF(المنيو!$B33="","",المنيو!$A33),"")</f>
        <v>قسم الفطير الحادق</v>
      </c>
      <c r="B33" s="69" t="str">
        <f aca="false">IFERROR(المنيو!$B33,"")</f>
        <v>فطيرة فراخ رانش حجم اكبر</v>
      </c>
      <c r="C33" s="13" t="n">
        <f aca="false">IFERROR(IF($B33="","",SUMIFS(الريسبي!$F$2:$F$1800,الريسبي!$A$2:$A$1800,$B33)),"")</f>
        <v>110.1632</v>
      </c>
      <c r="D33" s="70" t="n">
        <f aca="false">IFERROR(IF($B33="","",المنيو!$C33),"")</f>
        <v>250</v>
      </c>
      <c r="E33" s="12" t="n">
        <f aca="false">IFERROR(IF(OR($B33="",$D33=0,$D33=""),"",$N33/$D33),"")</f>
        <v>0.4443804</v>
      </c>
      <c r="F33" s="75" t="n">
        <f aca="false">$F$2</f>
        <v>0.375</v>
      </c>
      <c r="G33" s="13" t="n">
        <f aca="false">IFERROR(IF($B33="","",$N33/$F33),"")</f>
        <v>296.2536</v>
      </c>
      <c r="H33" s="13" t="n">
        <f aca="false">IFERROR(IF($B33="","",$D33-$N33),"")</f>
        <v>138.9049</v>
      </c>
      <c r="I33" s="12" t="n">
        <f aca="false">IFERROR(IF(OR($B33="",$D33=0,$D33=""),"",$H33/$D33),"")</f>
        <v>0.5556196</v>
      </c>
      <c r="J33" s="75" t="n">
        <f aca="false">$J$2</f>
        <v>0.25</v>
      </c>
      <c r="K33" s="12" t="n">
        <f aca="false">IFERROR(IF($B33="","",$E33+$J33),"")</f>
        <v>0.6943804</v>
      </c>
      <c r="L33" s="73" t="n">
        <f aca="false">IFERROR(IF(OR($B33="",$C33=0,$C33=""),"",$I33+ROW()*0.0000001),"")</f>
        <v>0.5556229</v>
      </c>
      <c r="M33" s="76" t="n">
        <f aca="false">$M$2</f>
        <v>0.9319</v>
      </c>
      <c r="N33" s="13" t="n">
        <f aca="false">IFERROR(IF($B33="","",$C33+$M33),"")</f>
        <v>111.0951</v>
      </c>
    </row>
    <row r="34" customFormat="false" ht="39" hidden="false" customHeight="true" outlineLevel="0" collapsed="false">
      <c r="A34" s="69" t="str">
        <f aca="false">IFERROR(IF(المنيو!$B34="","",المنيو!$A34),"")</f>
        <v>قسم الفطير الحادق</v>
      </c>
      <c r="B34" s="69" t="str">
        <f aca="false">IFERROR(المنيو!$B34,"")</f>
        <v>فطيرة فراخ باربيكيو وسط</v>
      </c>
      <c r="C34" s="13" t="n">
        <f aca="false">IFERROR(IF($B34="","",SUMIFS(الريسبي!$F$2:$F$1800,الريسبي!$A$2:$A$1800,$B34)),"")</f>
        <v>74.2785</v>
      </c>
      <c r="D34" s="70" t="n">
        <f aca="false">IFERROR(IF($B34="","",المنيو!$C34),"")</f>
        <v>160</v>
      </c>
      <c r="E34" s="12" t="n">
        <f aca="false">IFERROR(IF(OR($B34="",$D34=0,$D34=""),"",$N34/$D34),"")</f>
        <v>0.470065</v>
      </c>
      <c r="F34" s="75" t="n">
        <f aca="false">$F$2</f>
        <v>0.375</v>
      </c>
      <c r="G34" s="13" t="n">
        <f aca="false">IFERROR(IF($B34="","",$N34/$F34),"")</f>
        <v>200.561066666667</v>
      </c>
      <c r="H34" s="13" t="n">
        <f aca="false">IFERROR(IF($B34="","",$D34-$N34),"")</f>
        <v>84.7896</v>
      </c>
      <c r="I34" s="12" t="n">
        <f aca="false">IFERROR(IF(OR($B34="",$D34=0,$D34=""),"",$H34/$D34),"")</f>
        <v>0.529935</v>
      </c>
      <c r="J34" s="75" t="n">
        <f aca="false">$J$2</f>
        <v>0.25</v>
      </c>
      <c r="K34" s="12" t="n">
        <f aca="false">IFERROR(IF($B34="","",$E34+$J34),"")</f>
        <v>0.720065</v>
      </c>
      <c r="L34" s="73" t="n">
        <f aca="false">IFERROR(IF(OR($B34="",$C34=0,$C34=""),"",$I34+ROW()*0.0000001),"")</f>
        <v>0.5299384</v>
      </c>
      <c r="M34" s="76" t="n">
        <f aca="false">$M$2</f>
        <v>0.9319</v>
      </c>
      <c r="N34" s="13" t="n">
        <f aca="false">IFERROR(IF($B34="","",$C34+$M34),"")</f>
        <v>75.2104</v>
      </c>
    </row>
    <row r="35" customFormat="false" ht="39" hidden="false" customHeight="true" outlineLevel="0" collapsed="false">
      <c r="A35" s="69" t="str">
        <f aca="false">IFERROR(IF(المنيو!$B35="","",المنيو!$A35),"")</f>
        <v>قسم الفطير الحادق</v>
      </c>
      <c r="B35" s="69" t="str">
        <f aca="false">IFERROR(المنيو!$B35,"")</f>
        <v>فطيرة فراخ باربيكيو حجم اكبر</v>
      </c>
      <c r="C35" s="13" t="n">
        <f aca="false">IFERROR(IF($B35="","",SUMIFS(الريسبي!$F$2:$F$1800,الريسبي!$A$2:$A$1800,$B35)),"")</f>
        <v>104.9132</v>
      </c>
      <c r="D35" s="70" t="n">
        <f aca="false">IFERROR(IF($B35="","",المنيو!$C35),"")</f>
        <v>250</v>
      </c>
      <c r="E35" s="12" t="n">
        <f aca="false">IFERROR(IF(OR($B35="",$D35=0,$D35=""),"",$N35/$D35),"")</f>
        <v>0.4233804</v>
      </c>
      <c r="F35" s="75" t="n">
        <f aca="false">$F$2</f>
        <v>0.375</v>
      </c>
      <c r="G35" s="13" t="n">
        <f aca="false">IFERROR(IF($B35="","",$N35/$F35),"")</f>
        <v>282.2536</v>
      </c>
      <c r="H35" s="13" t="n">
        <f aca="false">IFERROR(IF($B35="","",$D35-$N35),"")</f>
        <v>144.1549</v>
      </c>
      <c r="I35" s="12" t="n">
        <f aca="false">IFERROR(IF(OR($B35="",$D35=0,$D35=""),"",$H35/$D35),"")</f>
        <v>0.5766196</v>
      </c>
      <c r="J35" s="75" t="n">
        <f aca="false">$J$2</f>
        <v>0.25</v>
      </c>
      <c r="K35" s="12" t="n">
        <f aca="false">IFERROR(IF($B35="","",$E35+$J35),"")</f>
        <v>0.6733804</v>
      </c>
      <c r="L35" s="73" t="n">
        <f aca="false">IFERROR(IF(OR($B35="",$C35=0,$C35=""),"",$I35+ROW()*0.0000001),"")</f>
        <v>0.5766231</v>
      </c>
      <c r="M35" s="76" t="n">
        <f aca="false">$M$2</f>
        <v>0.9319</v>
      </c>
      <c r="N35" s="13" t="n">
        <f aca="false">IFERROR(IF($B35="","",$C35+$M35),"")</f>
        <v>105.8451</v>
      </c>
    </row>
    <row r="36" customFormat="false" ht="39" hidden="false" customHeight="true" outlineLevel="0" collapsed="false">
      <c r="A36" s="69" t="str">
        <f aca="false">IFERROR(IF(المنيو!$B36="","",المنيو!$A36),"")</f>
        <v>قسم الفطير الحادق</v>
      </c>
      <c r="B36" s="69" t="str">
        <f aca="false">IFERROR(المنيو!$B36,"")</f>
        <v>فطيرة فراخ كريسبي رانش وسط</v>
      </c>
      <c r="C36" s="13" t="n">
        <f aca="false">IFERROR(IF($B36="","",SUMIFS(الريسبي!$F$2:$F$1800,الريسبي!$A$2:$A$1800,$B36)),"")</f>
        <v>79.3742</v>
      </c>
      <c r="D36" s="70" t="n">
        <f aca="false">IFERROR(IF($B36="","",المنيو!$C36),"")</f>
        <v>150</v>
      </c>
      <c r="E36" s="12" t="n">
        <f aca="false">IFERROR(IF(OR($B36="",$D36=0,$D36=""),"",$N36/$D36),"")</f>
        <v>0.535374</v>
      </c>
      <c r="F36" s="75" t="n">
        <f aca="false">$F$2</f>
        <v>0.375</v>
      </c>
      <c r="G36" s="13" t="n">
        <f aca="false">IFERROR(IF($B36="","",$N36/$F36),"")</f>
        <v>214.1496</v>
      </c>
      <c r="H36" s="13" t="n">
        <f aca="false">IFERROR(IF($B36="","",$D36-$N36),"")</f>
        <v>69.6939</v>
      </c>
      <c r="I36" s="12" t="n">
        <f aca="false">IFERROR(IF(OR($B36="",$D36=0,$D36=""),"",$H36/$D36),"")</f>
        <v>0.464626</v>
      </c>
      <c r="J36" s="75" t="n">
        <f aca="false">$J$2</f>
        <v>0.25</v>
      </c>
      <c r="K36" s="12" t="n">
        <f aca="false">IFERROR(IF($B36="","",$E36+$J36),"")</f>
        <v>0.785374</v>
      </c>
      <c r="L36" s="73" t="n">
        <f aca="false">IFERROR(IF(OR($B36="",$C36=0,$C36=""),"",$I36+ROW()*0.0000001),"")</f>
        <v>0.4646296</v>
      </c>
      <c r="M36" s="76" t="n">
        <f aca="false">$M$2</f>
        <v>0.9319</v>
      </c>
      <c r="N36" s="13" t="n">
        <f aca="false">IFERROR(IF($B36="","",$C36+$M36),"")</f>
        <v>80.3061</v>
      </c>
    </row>
    <row r="37" customFormat="false" ht="39" hidden="false" customHeight="true" outlineLevel="0" collapsed="false">
      <c r="A37" s="69" t="str">
        <f aca="false">IFERROR(IF(المنيو!$B37="","",المنيو!$A37),"")</f>
        <v>قسم الفطير الحادق</v>
      </c>
      <c r="B37" s="69" t="str">
        <f aca="false">IFERROR(المنيو!$B37,"")</f>
        <v>فطيرة فراخ كريسبي رانش حجم اكبر</v>
      </c>
      <c r="C37" s="13" t="n">
        <f aca="false">IFERROR(IF($B37="","",SUMIFS(الريسبي!$F$2:$F$1800,الريسبي!$A$2:$A$1800,$B37)),"")</f>
        <v>95.9592</v>
      </c>
      <c r="D37" s="70" t="n">
        <f aca="false">IFERROR(IF($B37="","",المنيو!$C37),"")</f>
        <v>230</v>
      </c>
      <c r="E37" s="12" t="n">
        <f aca="false">IFERROR(IF(OR($B37="",$D37=0,$D37=""),"",$N37/$D37),"")</f>
        <v>0.421265652173913</v>
      </c>
      <c r="F37" s="75" t="n">
        <f aca="false">$F$2</f>
        <v>0.375</v>
      </c>
      <c r="G37" s="13" t="n">
        <f aca="false">IFERROR(IF($B37="","",$N37/$F37),"")</f>
        <v>258.376266666667</v>
      </c>
      <c r="H37" s="13" t="n">
        <f aca="false">IFERROR(IF($B37="","",$D37-$N37),"")</f>
        <v>133.1089</v>
      </c>
      <c r="I37" s="12" t="n">
        <f aca="false">IFERROR(IF(OR($B37="",$D37=0,$D37=""),"",$H37/$D37),"")</f>
        <v>0.578734347826087</v>
      </c>
      <c r="J37" s="75" t="n">
        <f aca="false">$J$2</f>
        <v>0.25</v>
      </c>
      <c r="K37" s="12" t="n">
        <f aca="false">IFERROR(IF($B37="","",$E37+$J37),"")</f>
        <v>0.671265652173913</v>
      </c>
      <c r="L37" s="73" t="n">
        <f aca="false">IFERROR(IF(OR($B37="",$C37=0,$C37=""),"",$I37+ROW()*0.0000001),"")</f>
        <v>0.578738047826087</v>
      </c>
      <c r="M37" s="76" t="n">
        <f aca="false">$M$2</f>
        <v>0.9319</v>
      </c>
      <c r="N37" s="13" t="n">
        <f aca="false">IFERROR(IF($B37="","",$C37+$M37),"")</f>
        <v>96.8911</v>
      </c>
    </row>
    <row r="38" customFormat="false" ht="39" hidden="false" customHeight="true" outlineLevel="0" collapsed="false">
      <c r="A38" s="69" t="str">
        <f aca="false">IFERROR(IF(المنيو!$B38="","",المنيو!$A38),"")</f>
        <v>قسم الفطير الحادق</v>
      </c>
      <c r="B38" s="69" t="str">
        <f aca="false">IFERROR(المنيو!$B38,"")</f>
        <v>فطيرة فراخ كريسبي شيدر وسط</v>
      </c>
      <c r="C38" s="13" t="n">
        <f aca="false">IFERROR(IF($B38="","",SUMIFS(الريسبي!$F$2:$F$1800,الريسبي!$A$2:$A$1800,$B38)),"")</f>
        <v>82.8742</v>
      </c>
      <c r="D38" s="70" t="n">
        <f aca="false">IFERROR(IF($B38="","",المنيو!$C38),"")</f>
        <v>150</v>
      </c>
      <c r="E38" s="12" t="n">
        <f aca="false">IFERROR(IF(OR($B38="",$D38=0,$D38=""),"",$N38/$D38),"")</f>
        <v>0.558707333333333</v>
      </c>
      <c r="F38" s="75" t="n">
        <f aca="false">$F$2</f>
        <v>0.375</v>
      </c>
      <c r="G38" s="13" t="n">
        <f aca="false">IFERROR(IF($B38="","",$N38/$F38),"")</f>
        <v>223.482933333333</v>
      </c>
      <c r="H38" s="13" t="n">
        <f aca="false">IFERROR(IF($B38="","",$D38-$N38),"")</f>
        <v>66.1939</v>
      </c>
      <c r="I38" s="12" t="n">
        <f aca="false">IFERROR(IF(OR($B38="",$D38=0,$D38=""),"",$H38/$D38),"")</f>
        <v>0.441292666666667</v>
      </c>
      <c r="J38" s="75" t="n">
        <f aca="false">$J$2</f>
        <v>0.25</v>
      </c>
      <c r="K38" s="12" t="n">
        <f aca="false">IFERROR(IF($B38="","",$E38+$J38),"")</f>
        <v>0.808707333333333</v>
      </c>
      <c r="L38" s="73" t="n">
        <f aca="false">IFERROR(IF(OR($B38="",$C38=0,$C38=""),"",$I38+ROW()*0.0000001),"")</f>
        <v>0.441296466666667</v>
      </c>
      <c r="M38" s="76" t="n">
        <f aca="false">$M$2</f>
        <v>0.9319</v>
      </c>
      <c r="N38" s="13" t="n">
        <f aca="false">IFERROR(IF($B38="","",$C38+$M38),"")</f>
        <v>83.8061</v>
      </c>
    </row>
    <row r="39" customFormat="false" ht="39" hidden="false" customHeight="true" outlineLevel="0" collapsed="false">
      <c r="A39" s="69" t="str">
        <f aca="false">IFERROR(IF(المنيو!$B39="","",المنيو!$A39),"")</f>
        <v>قسم الفطير الحادق</v>
      </c>
      <c r="B39" s="69" t="str">
        <f aca="false">IFERROR(المنيو!$B39,"")</f>
        <v>فطيرة فراخ كريسبي شيدر حجم اكبر</v>
      </c>
      <c r="C39" s="13" t="n">
        <f aca="false">IFERROR(IF($B39="","",SUMIFS(الريسبي!$F$2:$F$1800,الريسبي!$A$2:$A$1800,$B39)),"")</f>
        <v>101.2092</v>
      </c>
      <c r="D39" s="70" t="n">
        <f aca="false">IFERROR(IF($B39="","",المنيو!$C39),"")</f>
        <v>230</v>
      </c>
      <c r="E39" s="12" t="n">
        <f aca="false">IFERROR(IF(OR($B39="",$D39=0,$D39=""),"",$N39/$D39),"")</f>
        <v>0.444091739130435</v>
      </c>
      <c r="F39" s="75" t="n">
        <f aca="false">$F$2</f>
        <v>0.375</v>
      </c>
      <c r="G39" s="13" t="n">
        <f aca="false">IFERROR(IF($B39="","",$N39/$F39),"")</f>
        <v>272.376266666667</v>
      </c>
      <c r="H39" s="13" t="n">
        <f aca="false">IFERROR(IF($B39="","",$D39-$N39),"")</f>
        <v>127.8589</v>
      </c>
      <c r="I39" s="12" t="n">
        <f aca="false">IFERROR(IF(OR($B39="",$D39=0,$D39=""),"",$H39/$D39),"")</f>
        <v>0.555908260869565</v>
      </c>
      <c r="J39" s="75" t="n">
        <f aca="false">$J$2</f>
        <v>0.25</v>
      </c>
      <c r="K39" s="12" t="n">
        <f aca="false">IFERROR(IF($B39="","",$E39+$J39),"")</f>
        <v>0.694091739130435</v>
      </c>
      <c r="L39" s="73" t="n">
        <f aca="false">IFERROR(IF(OR($B39="",$C39=0,$C39=""),"",$I39+ROW()*0.0000001),"")</f>
        <v>0.555912160869565</v>
      </c>
      <c r="M39" s="76" t="n">
        <f aca="false">$M$2</f>
        <v>0.9319</v>
      </c>
      <c r="N39" s="13" t="n">
        <f aca="false">IFERROR(IF($B39="","",$C39+$M39),"")</f>
        <v>102.1411</v>
      </c>
    </row>
    <row r="40" customFormat="false" ht="39" hidden="false" customHeight="true" outlineLevel="0" collapsed="false">
      <c r="A40" s="69" t="str">
        <f aca="false">IFERROR(IF(المنيو!$B40="","",المنيو!$A40),"")</f>
        <v>قسم الفطير الحادق</v>
      </c>
      <c r="B40" s="69" t="str">
        <f aca="false">IFERROR(المنيو!$B40,"")</f>
        <v>فطيرة مشكل لحوم النكش وسط</v>
      </c>
      <c r="C40" s="13" t="n">
        <f aca="false">IFERROR(IF($B40="","",SUMIFS(الريسبي!$F$2:$F$1800,الريسبي!$A$2:$A$1800,$B40)),"")</f>
        <v>123.2965</v>
      </c>
      <c r="D40" s="70" t="n">
        <f aca="false">IFERROR(IF($B40="","",المنيو!$C40),"")</f>
        <v>230</v>
      </c>
      <c r="E40" s="12" t="n">
        <f aca="false">IFERROR(IF(OR($B40="",$D40=0,$D40=""),"",$N40/$D40),"")</f>
        <v>0.54012347826087</v>
      </c>
      <c r="F40" s="75" t="n">
        <f aca="false">$F$2</f>
        <v>0.375</v>
      </c>
      <c r="G40" s="13" t="n">
        <f aca="false">IFERROR(IF($B40="","",$N40/$F40),"")</f>
        <v>331.275733333333</v>
      </c>
      <c r="H40" s="13" t="n">
        <f aca="false">IFERROR(IF($B40="","",$D40-$N40),"")</f>
        <v>105.7716</v>
      </c>
      <c r="I40" s="12" t="n">
        <f aca="false">IFERROR(IF(OR($B40="",$D40=0,$D40=""),"",$H40/$D40),"")</f>
        <v>0.45987652173913</v>
      </c>
      <c r="J40" s="75" t="n">
        <f aca="false">$J$2</f>
        <v>0.25</v>
      </c>
      <c r="K40" s="12" t="n">
        <f aca="false">IFERROR(IF($B40="","",$E40+$J40),"")</f>
        <v>0.79012347826087</v>
      </c>
      <c r="L40" s="73" t="n">
        <f aca="false">IFERROR(IF(OR($B40="",$C40=0,$C40=""),"",$I40+ROW()*0.0000001),"")</f>
        <v>0.45988052173913</v>
      </c>
      <c r="M40" s="76" t="n">
        <f aca="false">$M$2</f>
        <v>0.9319</v>
      </c>
      <c r="N40" s="13" t="n">
        <f aca="false">IFERROR(IF($B40="","",$C40+$M40),"")</f>
        <v>124.2284</v>
      </c>
    </row>
    <row r="41" customFormat="false" ht="39" hidden="false" customHeight="true" outlineLevel="0" collapsed="false">
      <c r="A41" s="69" t="str">
        <f aca="false">IFERROR(IF(المنيو!$B41="","",المنيو!$A41),"")</f>
        <v>قسم الفطير الحادق</v>
      </c>
      <c r="B41" s="69" t="str">
        <f aca="false">IFERROR(المنيو!$B41,"")</f>
        <v>فطيرة مشكل لحوم النكش حجم اكبر</v>
      </c>
      <c r="C41" s="13" t="n">
        <f aca="false">IFERROR(IF($B41="","",SUMIFS(الريسبي!$F$2:$F$1800,الريسبي!$A$2:$A$1800,$B41)),"")</f>
        <v>158.2982</v>
      </c>
      <c r="D41" s="70" t="n">
        <f aca="false">IFERROR(IF($B41="","",المنيو!$C41),"")</f>
        <v>340</v>
      </c>
      <c r="E41" s="12" t="n">
        <f aca="false">IFERROR(IF(OR($B41="",$D41=0,$D41=""),"",$N41/$D41),"")</f>
        <v>0.468323823529412</v>
      </c>
      <c r="F41" s="75" t="n">
        <f aca="false">$F$2</f>
        <v>0.375</v>
      </c>
      <c r="G41" s="13" t="n">
        <f aca="false">IFERROR(IF($B41="","",$N41/$F41),"")</f>
        <v>424.6136</v>
      </c>
      <c r="H41" s="13" t="n">
        <f aca="false">IFERROR(IF($B41="","",$D41-$N41),"")</f>
        <v>180.7699</v>
      </c>
      <c r="I41" s="12" t="n">
        <f aca="false">IFERROR(IF(OR($B41="",$D41=0,$D41=""),"",$H41/$D41),"")</f>
        <v>0.531676176470588</v>
      </c>
      <c r="J41" s="75" t="n">
        <f aca="false">$J$2</f>
        <v>0.25</v>
      </c>
      <c r="K41" s="12" t="n">
        <f aca="false">IFERROR(IF($B41="","",$E41+$J41),"")</f>
        <v>0.718323823529412</v>
      </c>
      <c r="L41" s="73" t="n">
        <f aca="false">IFERROR(IF(OR($B41="",$C41=0,$C41=""),"",$I41+ROW()*0.0000001),"")</f>
        <v>0.531680276470588</v>
      </c>
      <c r="M41" s="76" t="n">
        <f aca="false">$M$2</f>
        <v>0.9319</v>
      </c>
      <c r="N41" s="13" t="n">
        <f aca="false">IFERROR(IF($B41="","",$C41+$M41),"")</f>
        <v>159.2301</v>
      </c>
    </row>
    <row r="42" customFormat="false" ht="39" hidden="false" customHeight="true" outlineLevel="0" collapsed="false">
      <c r="A42" s="69" t="str">
        <f aca="false">IFERROR(IF(المنيو!$B42="","",المنيو!$A42),"")</f>
        <v>قسم الفطير الحادق</v>
      </c>
      <c r="B42" s="69" t="str">
        <f aca="false">IFERROR(المنيو!$B42,"")</f>
        <v>فطيرة مشلتت بالسمنة البلدي صغير</v>
      </c>
      <c r="C42" s="13" t="n">
        <f aca="false">IFERROR(IF($B42="","",SUMIFS(الريسبي!$F$2:$F$1800,الريسبي!$A$2:$A$1800,$B42)),"")</f>
        <v>41.85</v>
      </c>
      <c r="D42" s="70" t="n">
        <f aca="false">IFERROR(IF($B42="","",المنيو!$C42),"")</f>
        <v>70</v>
      </c>
      <c r="E42" s="12" t="n">
        <f aca="false">IFERROR(IF(OR($B42="",$D42=0,$D42=""),"",$N42/$D42),"")</f>
        <v>0.61117</v>
      </c>
      <c r="F42" s="75" t="n">
        <f aca="false">$F$2</f>
        <v>0.375</v>
      </c>
      <c r="G42" s="13" t="n">
        <f aca="false">IFERROR(IF($B42="","",$N42/$F42),"")</f>
        <v>114.085066666667</v>
      </c>
      <c r="H42" s="13" t="n">
        <f aca="false">IFERROR(IF($B42="","",$D42-$N42),"")</f>
        <v>27.2181</v>
      </c>
      <c r="I42" s="12" t="n">
        <f aca="false">IFERROR(IF(OR($B42="",$D42=0,$D42=""),"",$H42/$D42),"")</f>
        <v>0.38883</v>
      </c>
      <c r="J42" s="75" t="n">
        <f aca="false">$J$2</f>
        <v>0.25</v>
      </c>
      <c r="K42" s="12" t="n">
        <f aca="false">IFERROR(IF($B42="","",$E42+$J42),"")</f>
        <v>0.86117</v>
      </c>
      <c r="L42" s="73" t="n">
        <f aca="false">IFERROR(IF(OR($B42="",$C42=0,$C42=""),"",$I42+ROW()*0.0000001),"")</f>
        <v>0.3888342</v>
      </c>
      <c r="M42" s="76" t="n">
        <f aca="false">$M$2</f>
        <v>0.9319</v>
      </c>
      <c r="N42" s="13" t="n">
        <f aca="false">IFERROR(IF($B42="","",$C42+$M42),"")</f>
        <v>42.7819</v>
      </c>
    </row>
    <row r="43" customFormat="false" ht="39" hidden="false" customHeight="true" outlineLevel="0" collapsed="false">
      <c r="A43" s="69" t="str">
        <f aca="false">IFERROR(IF(المنيو!$B43="","",المنيو!$A43),"")</f>
        <v>قسم الفطير الحادق</v>
      </c>
      <c r="B43" s="69" t="str">
        <f aca="false">IFERROR(المنيو!$B43,"")</f>
        <v>فطيرة مشلتت بالسمنة البلدي وسط</v>
      </c>
      <c r="C43" s="13" t="n">
        <f aca="false">IFERROR(IF($B43="","",SUMIFS(الريسبي!$F$2:$F$1800,الريسبي!$A$2:$A$1800,$B43)),"")</f>
        <v>63.45</v>
      </c>
      <c r="D43" s="70" t="n">
        <f aca="false">IFERROR(IF($B43="","",المنيو!$C43),"")</f>
        <v>110</v>
      </c>
      <c r="E43" s="12" t="n">
        <f aca="false">IFERROR(IF(OR($B43="",$D43=0,$D43=""),"",$N43/$D43),"")</f>
        <v>0.58529</v>
      </c>
      <c r="F43" s="75" t="n">
        <f aca="false">$F$2</f>
        <v>0.375</v>
      </c>
      <c r="G43" s="13" t="n">
        <f aca="false">IFERROR(IF($B43="","",$N43/$F43),"")</f>
        <v>171.685066666667</v>
      </c>
      <c r="H43" s="13" t="n">
        <f aca="false">IFERROR(IF($B43="","",$D43-$N43),"")</f>
        <v>45.6181</v>
      </c>
      <c r="I43" s="12" t="n">
        <f aca="false">IFERROR(IF(OR($B43="",$D43=0,$D43=""),"",$H43/$D43),"")</f>
        <v>0.41471</v>
      </c>
      <c r="J43" s="75" t="n">
        <f aca="false">$J$2</f>
        <v>0.25</v>
      </c>
      <c r="K43" s="12" t="n">
        <f aca="false">IFERROR(IF($B43="","",$E43+$J43),"")</f>
        <v>0.83529</v>
      </c>
      <c r="L43" s="73" t="n">
        <f aca="false">IFERROR(IF(OR($B43="",$C43=0,$C43=""),"",$I43+ROW()*0.0000001),"")</f>
        <v>0.4147143</v>
      </c>
      <c r="M43" s="76" t="n">
        <f aca="false">$M$2</f>
        <v>0.9319</v>
      </c>
      <c r="N43" s="13" t="n">
        <f aca="false">IFERROR(IF($B43="","",$C43+$M43),"")</f>
        <v>64.3819</v>
      </c>
    </row>
    <row r="44" customFormat="false" ht="39" hidden="false" customHeight="true" outlineLevel="0" collapsed="false">
      <c r="A44" s="69" t="str">
        <f aca="false">IFERROR(IF(المنيو!$B44="","",المنيو!$A44),"")</f>
        <v>قسم الفطير الحادق</v>
      </c>
      <c r="B44" s="69" t="str">
        <f aca="false">IFERROR(المنيو!$B44,"")</f>
        <v>فطيرة مشلتت بالسمنة البلدي كبير</v>
      </c>
      <c r="C44" s="13" t="n">
        <f aca="false">IFERROR(IF($B44="","",SUMIFS(الريسبي!$F$2:$F$1800,الريسبي!$A$2:$A$1800,$B44)),"")</f>
        <v>89.05</v>
      </c>
      <c r="D44" s="70" t="n">
        <f aca="false">IFERROR(IF($B44="","",المنيو!$C44),"")</f>
        <v>170</v>
      </c>
      <c r="E44" s="12" t="n">
        <f aca="false">IFERROR(IF(OR($B44="",$D44=0,$D44=""),"",$N44/$D44),"")</f>
        <v>0.529305294117647</v>
      </c>
      <c r="F44" s="75" t="n">
        <f aca="false">$F$2</f>
        <v>0.375</v>
      </c>
      <c r="G44" s="13" t="n">
        <f aca="false">IFERROR(IF($B44="","",$N44/$F44),"")</f>
        <v>239.951733333333</v>
      </c>
      <c r="H44" s="13" t="n">
        <f aca="false">IFERROR(IF($B44="","",$D44-$N44),"")</f>
        <v>80.0181</v>
      </c>
      <c r="I44" s="12" t="n">
        <f aca="false">IFERROR(IF(OR($B44="",$D44=0,$D44=""),"",$H44/$D44),"")</f>
        <v>0.470694705882353</v>
      </c>
      <c r="J44" s="75" t="n">
        <f aca="false">$J$2</f>
        <v>0.25</v>
      </c>
      <c r="K44" s="12" t="n">
        <f aca="false">IFERROR(IF($B44="","",$E44+$J44),"")</f>
        <v>0.779305294117647</v>
      </c>
      <c r="L44" s="73" t="n">
        <f aca="false">IFERROR(IF(OR($B44="",$C44=0,$C44=""),"",$I44+ROW()*0.0000001),"")</f>
        <v>0.470699105882353</v>
      </c>
      <c r="M44" s="76" t="n">
        <f aca="false">$M$2</f>
        <v>0.9319</v>
      </c>
      <c r="N44" s="13" t="n">
        <f aca="false">IFERROR(IF($B44="","",$C44+$M44),"")</f>
        <v>89.9819</v>
      </c>
    </row>
    <row r="45" customFormat="false" ht="39" hidden="false" customHeight="true" outlineLevel="0" collapsed="false">
      <c r="A45" s="69" t="str">
        <f aca="false">IFERROR(IF(المنيو!$B45="","",المنيو!$A45),"")</f>
        <v>قسم الفطير الحادق</v>
      </c>
      <c r="B45" s="69" t="str">
        <f aca="false">IFERROR(المنيو!$B45,"")</f>
        <v>فطيرة جمبري وسط</v>
      </c>
      <c r="C45" s="13" t="n">
        <f aca="false">IFERROR(IF($B45="","",SUMIFS(الريسبي!$F$2:$F$1800,الريسبي!$A$2:$A$1800,$B45)),"")</f>
        <v>128.2965</v>
      </c>
      <c r="D45" s="70" t="n">
        <f aca="false">IFERROR(IF($B45="","",المنيو!$C45),"")</f>
        <v>250</v>
      </c>
      <c r="E45" s="12" t="n">
        <f aca="false">IFERROR(IF(OR($B45="",$D45=0,$D45=""),"",$N45/$D45),"")</f>
        <v>0.5169136</v>
      </c>
      <c r="F45" s="75" t="n">
        <f aca="false">$F$2</f>
        <v>0.375</v>
      </c>
      <c r="G45" s="13" t="n">
        <f aca="false">IFERROR(IF($B45="","",$N45/$F45),"")</f>
        <v>344.609066666667</v>
      </c>
      <c r="H45" s="13" t="n">
        <f aca="false">IFERROR(IF($B45="","",$D45-$N45),"")</f>
        <v>120.7716</v>
      </c>
      <c r="I45" s="12" t="n">
        <f aca="false">IFERROR(IF(OR($B45="",$D45=0,$D45=""),"",$H45/$D45),"")</f>
        <v>0.4830864</v>
      </c>
      <c r="J45" s="75" t="n">
        <f aca="false">$J$2</f>
        <v>0.25</v>
      </c>
      <c r="K45" s="12" t="n">
        <f aca="false">IFERROR(IF($B45="","",$E45+$J45),"")</f>
        <v>0.7669136</v>
      </c>
      <c r="L45" s="73" t="n">
        <f aca="false">IFERROR(IF(OR($B45="",$C45=0,$C45=""),"",$I45+ROW()*0.0000001),"")</f>
        <v>0.4830909</v>
      </c>
      <c r="M45" s="76" t="n">
        <f aca="false">$M$2</f>
        <v>0.9319</v>
      </c>
      <c r="N45" s="13" t="n">
        <f aca="false">IFERROR(IF($B45="","",$C45+$M45),"")</f>
        <v>129.2284</v>
      </c>
    </row>
    <row r="46" customFormat="false" ht="39" hidden="false" customHeight="true" outlineLevel="0" collapsed="false">
      <c r="A46" s="69" t="str">
        <f aca="false">IFERROR(IF(المنيو!$B46="","",المنيو!$A46),"")</f>
        <v>قسم الفطير الحادق</v>
      </c>
      <c r="B46" s="69" t="str">
        <f aca="false">IFERROR(المنيو!$B46,"")</f>
        <v>فطيرة جمبري حجم اكبر</v>
      </c>
      <c r="C46" s="13" t="n">
        <f aca="false">IFERROR(IF($B46="","",SUMIFS(الريسبي!$F$2:$F$1800,الريسبي!$A$2:$A$1800,$B46)),"")</f>
        <v>188.1315</v>
      </c>
      <c r="D46" s="70" t="n">
        <f aca="false">IFERROR(IF($B46="","",المنيو!$C46),"")</f>
        <v>360</v>
      </c>
      <c r="E46" s="12" t="n">
        <f aca="false">IFERROR(IF(OR($B46="",$D46=0,$D46=""),"",$N46/$D46),"")</f>
        <v>0.525176111111111</v>
      </c>
      <c r="F46" s="75" t="n">
        <f aca="false">$F$2</f>
        <v>0.375</v>
      </c>
      <c r="G46" s="13" t="n">
        <f aca="false">IFERROR(IF($B46="","",$N46/$F46),"")</f>
        <v>504.169066666667</v>
      </c>
      <c r="H46" s="13" t="n">
        <f aca="false">IFERROR(IF($B46="","",$D46-$N46),"")</f>
        <v>170.9366</v>
      </c>
      <c r="I46" s="12" t="n">
        <f aca="false">IFERROR(IF(OR($B46="",$D46=0,$D46=""),"",$H46/$D46),"")</f>
        <v>0.474823888888889</v>
      </c>
      <c r="J46" s="75" t="n">
        <f aca="false">$J$2</f>
        <v>0.25</v>
      </c>
      <c r="K46" s="12" t="n">
        <f aca="false">IFERROR(IF($B46="","",$E46+$J46),"")</f>
        <v>0.775176111111111</v>
      </c>
      <c r="L46" s="73" t="n">
        <f aca="false">IFERROR(IF(OR($B46="",$C46=0,$C46=""),"",$I46+ROW()*0.0000001),"")</f>
        <v>0.474828488888889</v>
      </c>
      <c r="M46" s="76" t="n">
        <f aca="false">$M$2</f>
        <v>0.9319</v>
      </c>
      <c r="N46" s="13" t="n">
        <f aca="false">IFERROR(IF($B46="","",$C46+$M46),"")</f>
        <v>189.0634</v>
      </c>
    </row>
    <row r="47" customFormat="false" ht="39" hidden="false" customHeight="true" outlineLevel="0" collapsed="false">
      <c r="A47" s="69" t="str">
        <f aca="false">IFERROR(IF(المنيو!$B47="","",المنيو!$A47),"")</f>
        <v>قسم الفطير الحلو</v>
      </c>
      <c r="B47" s="69" t="str">
        <f aca="false">IFERROR(المنيو!$B47,"")</f>
        <v>فطيرة سكر / كاستر</v>
      </c>
      <c r="C47" s="13" t="n">
        <f aca="false">IFERROR(IF($B47="","",SUMIFS(الريسبي!$F$2:$F$1800,الريسبي!$A$2:$A$1800,$B47)),"")</f>
        <v>19.352972</v>
      </c>
      <c r="D47" s="70" t="n">
        <f aca="false">IFERROR(IF($B47="","",المنيو!$C47),"")</f>
        <v>50</v>
      </c>
      <c r="E47" s="12" t="n">
        <f aca="false">IFERROR(IF(OR($B47="",$D47=0,$D47=""),"",$N47/$D47),"")</f>
        <v>0.40569744</v>
      </c>
      <c r="F47" s="75" t="n">
        <f aca="false">$F$2</f>
        <v>0.375</v>
      </c>
      <c r="G47" s="13" t="n">
        <f aca="false">IFERROR(IF($B47="","",$N47/$F47),"")</f>
        <v>54.092992</v>
      </c>
      <c r="H47" s="13" t="n">
        <f aca="false">IFERROR(IF($B47="","",$D47-$N47),"")</f>
        <v>29.715128</v>
      </c>
      <c r="I47" s="12" t="n">
        <f aca="false">IFERROR(IF(OR($B47="",$D47=0,$D47=""),"",$H47/$D47),"")</f>
        <v>0.59430256</v>
      </c>
      <c r="J47" s="75" t="n">
        <f aca="false">$J$2</f>
        <v>0.25</v>
      </c>
      <c r="K47" s="12" t="n">
        <f aca="false">IFERROR(IF($B47="","",$E47+$J47),"")</f>
        <v>0.65569744</v>
      </c>
      <c r="L47" s="73" t="n">
        <f aca="false">IFERROR(IF(OR($B47="",$C47=0,$C47=""),"",$I47+ROW()*0.0000001),"")</f>
        <v>0.59430726</v>
      </c>
      <c r="M47" s="76" t="n">
        <f aca="false">$M$2</f>
        <v>0.9319</v>
      </c>
      <c r="N47" s="13" t="n">
        <f aca="false">IFERROR(IF($B47="","",$C47+$M47),"")</f>
        <v>20.284872</v>
      </c>
    </row>
    <row r="48" customFormat="false" ht="39" hidden="false" customHeight="true" outlineLevel="0" collapsed="false">
      <c r="A48" s="69" t="str">
        <f aca="false">IFERROR(IF(المنيو!$B48="","",المنيو!$A48),"")</f>
        <v>قسم الفطير الحلو</v>
      </c>
      <c r="B48" s="69" t="str">
        <f aca="false">IFERROR(المنيو!$B48,"")</f>
        <v>فطيرة ملوكي زبيب وجوزهند</v>
      </c>
      <c r="C48" s="13" t="n">
        <f aca="false">IFERROR(IF($B48="","",SUMIFS(الريسبي!$F$2:$F$1800,الريسبي!$A$2:$A$1800,$B48)),"")</f>
        <v>39.817972</v>
      </c>
      <c r="D48" s="70" t="n">
        <f aca="false">IFERROR(IF($B48="","",المنيو!$C48),"")</f>
        <v>75</v>
      </c>
      <c r="E48" s="12" t="n">
        <f aca="false">IFERROR(IF(OR($B48="",$D48=0,$D48=""),"",$N48/$D48),"")</f>
        <v>0.543331626666667</v>
      </c>
      <c r="F48" s="75" t="n">
        <f aca="false">$F$2</f>
        <v>0.375</v>
      </c>
      <c r="G48" s="13" t="n">
        <f aca="false">IFERROR(IF($B48="","",$N48/$F48),"")</f>
        <v>108.666325333333</v>
      </c>
      <c r="H48" s="13" t="n">
        <f aca="false">IFERROR(IF($B48="","",$D48-$N48),"")</f>
        <v>34.250128</v>
      </c>
      <c r="I48" s="12" t="n">
        <f aca="false">IFERROR(IF(OR($B48="",$D48=0,$D48=""),"",$H48/$D48),"")</f>
        <v>0.456668373333333</v>
      </c>
      <c r="J48" s="75" t="n">
        <f aca="false">$J$2</f>
        <v>0.25</v>
      </c>
      <c r="K48" s="12" t="n">
        <f aca="false">IFERROR(IF($B48="","",$E48+$J48),"")</f>
        <v>0.793331626666667</v>
      </c>
      <c r="L48" s="73" t="n">
        <f aca="false">IFERROR(IF(OR($B48="",$C48=0,$C48=""),"",$I48+ROW()*0.0000001),"")</f>
        <v>0.456673173333333</v>
      </c>
      <c r="M48" s="76" t="n">
        <f aca="false">$M$2</f>
        <v>0.9319</v>
      </c>
      <c r="N48" s="13" t="n">
        <f aca="false">IFERROR(IF($B48="","",$C48+$M48),"")</f>
        <v>40.749872</v>
      </c>
    </row>
    <row r="49" customFormat="false" ht="39" hidden="false" customHeight="true" outlineLevel="0" collapsed="false">
      <c r="A49" s="69" t="str">
        <f aca="false">IFERROR(IF(المنيو!$B49="","",المنيو!$A49),"")</f>
        <v>قسم الفطير الحلو</v>
      </c>
      <c r="B49" s="69" t="str">
        <f aca="false">IFERROR(المنيو!$B49,"")</f>
        <v>فطيرة قشطة عسل مكسرات</v>
      </c>
      <c r="C49" s="13" t="n">
        <f aca="false">IFERROR(IF($B49="","",SUMIFS(الريسبي!$F$2:$F$1800,الريسبي!$A$2:$A$1800,$B49)),"")</f>
        <v>78.417972</v>
      </c>
      <c r="D49" s="70" t="n">
        <f aca="false">IFERROR(IF($B49="","",المنيو!$C49),"")</f>
        <v>140</v>
      </c>
      <c r="E49" s="12" t="n">
        <f aca="false">IFERROR(IF(OR($B49="",$D49=0,$D49=""),"",$N49/$D49),"")</f>
        <v>0.5667848</v>
      </c>
      <c r="F49" s="75" t="n">
        <f aca="false">$F$2</f>
        <v>0.375</v>
      </c>
      <c r="G49" s="13" t="n">
        <f aca="false">IFERROR(IF($B49="","",$N49/$F49),"")</f>
        <v>211.599658666667</v>
      </c>
      <c r="H49" s="13" t="n">
        <f aca="false">IFERROR(IF($B49="","",$D49-$N49),"")</f>
        <v>60.650128</v>
      </c>
      <c r="I49" s="12" t="n">
        <f aca="false">IFERROR(IF(OR($B49="",$D49=0,$D49=""),"",$H49/$D49),"")</f>
        <v>0.4332152</v>
      </c>
      <c r="J49" s="75" t="n">
        <f aca="false">$J$2</f>
        <v>0.25</v>
      </c>
      <c r="K49" s="12" t="n">
        <f aca="false">IFERROR(IF($B49="","",$E49+$J49),"")</f>
        <v>0.8167848</v>
      </c>
      <c r="L49" s="73" t="n">
        <f aca="false">IFERROR(IF(OR($B49="",$C49=0,$C49=""),"",$I49+ROW()*0.0000001),"")</f>
        <v>0.4332201</v>
      </c>
      <c r="M49" s="76" t="n">
        <f aca="false">$M$2</f>
        <v>0.9319</v>
      </c>
      <c r="N49" s="13" t="n">
        <f aca="false">IFERROR(IF($B49="","",$C49+$M49),"")</f>
        <v>79.349872</v>
      </c>
    </row>
    <row r="50" customFormat="false" ht="39" hidden="false" customHeight="true" outlineLevel="0" collapsed="false">
      <c r="A50" s="69" t="str">
        <f aca="false">IFERROR(IF(المنيو!$B50="","",المنيو!$A50),"")</f>
        <v>قسم الفطير الحلو</v>
      </c>
      <c r="B50" s="69" t="str">
        <f aca="false">IFERROR(المنيو!$B50,"")</f>
        <v>فطيرة شيكولاتة</v>
      </c>
      <c r="C50" s="13" t="n">
        <f aca="false">IFERROR(IF($B50="","",SUMIFS(الريسبي!$F$2:$F$1800,الريسبي!$A$2:$A$1800,$B50)),"")</f>
        <v>43.610314</v>
      </c>
      <c r="D50" s="70" t="n">
        <f aca="false">IFERROR(IF($B50="","",المنيو!$C50),"")</f>
        <v>100</v>
      </c>
      <c r="E50" s="12" t="n">
        <f aca="false">IFERROR(IF(OR($B50="",$D50=0,$D50=""),"",$N50/$D50),"")</f>
        <v>0.44542214</v>
      </c>
      <c r="F50" s="75" t="n">
        <f aca="false">$F$2</f>
        <v>0.375</v>
      </c>
      <c r="G50" s="13" t="n">
        <f aca="false">IFERROR(IF($B50="","",$N50/$F50),"")</f>
        <v>118.779237333333</v>
      </c>
      <c r="H50" s="13" t="n">
        <f aca="false">IFERROR(IF($B50="","",$D50-$N50),"")</f>
        <v>55.457786</v>
      </c>
      <c r="I50" s="12" t="n">
        <f aca="false">IFERROR(IF(OR($B50="",$D50=0,$D50=""),"",$H50/$D50),"")</f>
        <v>0.55457786</v>
      </c>
      <c r="J50" s="75" t="n">
        <f aca="false">$J$2</f>
        <v>0.25</v>
      </c>
      <c r="K50" s="12" t="n">
        <f aca="false">IFERROR(IF($B50="","",$E50+$J50),"")</f>
        <v>0.69542214</v>
      </c>
      <c r="L50" s="73" t="n">
        <f aca="false">IFERROR(IF(OR($B50="",$C50=0,$C50=""),"",$I50+ROW()*0.0000001),"")</f>
        <v>0.55458286</v>
      </c>
      <c r="M50" s="76" t="n">
        <f aca="false">$M$2</f>
        <v>0.9319</v>
      </c>
      <c r="N50" s="13" t="n">
        <f aca="false">IFERROR(IF($B50="","",$C50+$M50),"")</f>
        <v>44.542214</v>
      </c>
    </row>
    <row r="51" customFormat="false" ht="39" hidden="false" customHeight="true" outlineLevel="0" collapsed="false">
      <c r="A51" s="69" t="str">
        <f aca="false">IFERROR(IF(المنيو!$B51="","",المنيو!$A51),"")</f>
        <v>قسم الفطير الحلو</v>
      </c>
      <c r="B51" s="69" t="str">
        <f aca="false">IFERROR(المنيو!$B51,"")</f>
        <v>فطيرة نوتيلا قشطة مكسرات</v>
      </c>
      <c r="C51" s="13" t="n">
        <f aca="false">IFERROR(IF($B51="","",SUMIFS(الريسبي!$F$2:$F$1800,الريسبي!$A$2:$A$1800,$B51)),"")</f>
        <v>164.585002</v>
      </c>
      <c r="D51" s="70" t="n">
        <f aca="false">IFERROR(IF($B51="","",المنيو!$C51),"")</f>
        <v>260</v>
      </c>
      <c r="E51" s="12" t="n">
        <f aca="false">IFERROR(IF(OR($B51="",$D51=0,$D51=""),"",$N51/$D51),"")</f>
        <v>0.636603469230769</v>
      </c>
      <c r="F51" s="75" t="n">
        <f aca="false">$F$2</f>
        <v>0.375</v>
      </c>
      <c r="G51" s="13" t="n">
        <f aca="false">IFERROR(IF($B51="","",$N51/$F51),"")</f>
        <v>441.378405333333</v>
      </c>
      <c r="H51" s="13" t="n">
        <f aca="false">IFERROR(IF($B51="","",$D51-$N51),"")</f>
        <v>94.483098</v>
      </c>
      <c r="I51" s="12" t="n">
        <f aca="false">IFERROR(IF(OR($B51="",$D51=0,$D51=""),"",$H51/$D51),"")</f>
        <v>0.363396530769231</v>
      </c>
      <c r="J51" s="75" t="n">
        <f aca="false">$J$2</f>
        <v>0.25</v>
      </c>
      <c r="K51" s="12" t="n">
        <f aca="false">IFERROR(IF($B51="","",$E51+$J51),"")</f>
        <v>0.886603469230769</v>
      </c>
      <c r="L51" s="73" t="n">
        <f aca="false">IFERROR(IF(OR($B51="",$C51=0,$C51=""),"",$I51+ROW()*0.0000001),"")</f>
        <v>0.363401630769231</v>
      </c>
      <c r="M51" s="76" t="n">
        <f aca="false">$M$2</f>
        <v>0.9319</v>
      </c>
      <c r="N51" s="13" t="n">
        <f aca="false">IFERROR(IF($B51="","",$C51+$M51),"")</f>
        <v>165.516902</v>
      </c>
    </row>
    <row r="52" customFormat="false" ht="39" hidden="false" customHeight="true" outlineLevel="0" collapsed="false">
      <c r="A52" s="69" t="str">
        <f aca="false">IFERROR(IF(المنيو!$B52="","",المنيو!$A52),"")</f>
        <v>قسم الفطير الحلو</v>
      </c>
      <c r="B52" s="69" t="str">
        <f aca="false">IFERROR(المنيو!$B52,"")</f>
        <v>فطيرة فورسيزون ستاموني</v>
      </c>
      <c r="C52" s="13" t="n">
        <f aca="false">IFERROR(IF($B52="","",SUMIFS(الريسبي!$F$2:$F$1800,الريسبي!$A$2:$A$1800,$B52)),"")</f>
        <v>73.419722</v>
      </c>
      <c r="D52" s="70" t="n">
        <f aca="false">IFERROR(IF($B52="","",المنيو!$C52),"")</f>
        <v>160</v>
      </c>
      <c r="E52" s="12" t="n">
        <f aca="false">IFERROR(IF(OR($B52="",$D52=0,$D52=""),"",$N52/$D52),"")</f>
        <v>0.4646976375</v>
      </c>
      <c r="F52" s="75" t="n">
        <f aca="false">$F$2</f>
        <v>0.375</v>
      </c>
      <c r="G52" s="13" t="n">
        <f aca="false">IFERROR(IF($B52="","",$N52/$F52),"")</f>
        <v>198.270992</v>
      </c>
      <c r="H52" s="13" t="n">
        <f aca="false">IFERROR(IF($B52="","",$D52-$N52),"")</f>
        <v>85.648378</v>
      </c>
      <c r="I52" s="12" t="n">
        <f aca="false">IFERROR(IF(OR($B52="",$D52=0,$D52=""),"",$H52/$D52),"")</f>
        <v>0.5353023625</v>
      </c>
      <c r="J52" s="75" t="n">
        <f aca="false">$J$2</f>
        <v>0.25</v>
      </c>
      <c r="K52" s="12" t="n">
        <f aca="false">IFERROR(IF($B52="","",$E52+$J52),"")</f>
        <v>0.7146976375</v>
      </c>
      <c r="L52" s="73" t="n">
        <f aca="false">IFERROR(IF(OR($B52="",$C52=0,$C52=""),"",$I52+ROW()*0.0000001),"")</f>
        <v>0.5353075625</v>
      </c>
      <c r="M52" s="76" t="n">
        <f aca="false">$M$2</f>
        <v>0.9319</v>
      </c>
      <c r="N52" s="13" t="n">
        <f aca="false">IFERROR(IF($B52="","",$C52+$M52),"")</f>
        <v>74.351622</v>
      </c>
    </row>
    <row r="53" customFormat="false" ht="39" hidden="false" customHeight="true" outlineLevel="0" collapsed="false">
      <c r="A53" s="69" t="str">
        <f aca="false">IFERROR(IF(المنيو!$B53="","",المنيو!$A53),"")</f>
        <v>قسم البرجر</v>
      </c>
      <c r="B53" s="69" t="str">
        <f aca="false">IFERROR(المنيو!$B53,"")</f>
        <v>قنبلة برجر</v>
      </c>
      <c r="C53" s="13" t="n">
        <f aca="false">IFERROR(IF($B53="","",SUMIFS(الريسبي!$F$2:$F$1800,الريسبي!$A$2:$A$1800,$B53)),"")</f>
        <v>79.2265</v>
      </c>
      <c r="D53" s="70" t="n">
        <f aca="false">IFERROR(IF($B53="","",المنيو!$C53),"")</f>
        <v>160</v>
      </c>
      <c r="E53" s="12" t="n">
        <f aca="false">IFERROR(IF(OR($B53="",$D53=0,$D53=""),"",$N53/$D53),"")</f>
        <v>0.50099</v>
      </c>
      <c r="F53" s="75" t="n">
        <f aca="false">$F$2</f>
        <v>0.375</v>
      </c>
      <c r="G53" s="13" t="n">
        <f aca="false">IFERROR(IF($B53="","",$N53/$F53),"")</f>
        <v>213.755733333333</v>
      </c>
      <c r="H53" s="13" t="n">
        <f aca="false">IFERROR(IF($B53="","",$D53-$N53),"")</f>
        <v>79.8416</v>
      </c>
      <c r="I53" s="12" t="n">
        <f aca="false">IFERROR(IF(OR($B53="",$D53=0,$D53=""),"",$H53/$D53),"")</f>
        <v>0.49901</v>
      </c>
      <c r="J53" s="75" t="n">
        <f aca="false">$J$2</f>
        <v>0.25</v>
      </c>
      <c r="K53" s="12" t="n">
        <f aca="false">IFERROR(IF($B53="","",$E53+$J53),"")</f>
        <v>0.75099</v>
      </c>
      <c r="L53" s="73" t="n">
        <f aca="false">IFERROR(IF(OR($B53="",$C53=0,$C53=""),"",$I53+ROW()*0.0000001),"")</f>
        <v>0.4990153</v>
      </c>
      <c r="M53" s="76" t="n">
        <f aca="false">$M$2</f>
        <v>0.9319</v>
      </c>
      <c r="N53" s="13" t="n">
        <f aca="false">IFERROR(IF($B53="","",$C53+$M53),"")</f>
        <v>80.1584</v>
      </c>
    </row>
    <row r="54" customFormat="false" ht="39" hidden="false" customHeight="true" outlineLevel="0" collapsed="false">
      <c r="A54" s="69" t="str">
        <f aca="false">IFERROR(IF(المنيو!$B54="","",المنيو!$A54),"")</f>
        <v>قسم البرجر</v>
      </c>
      <c r="B54" s="69" t="str">
        <f aca="false">IFERROR(المنيو!$B54,"")</f>
        <v>قنبلة كريسبي</v>
      </c>
      <c r="C54" s="13" t="n">
        <f aca="false">IFERROR(IF($B54="","",SUMIFS(الريسبي!$F$2:$F$1800,الريسبي!$A$2:$A$1800,$B54)),"")</f>
        <v>87.0542</v>
      </c>
      <c r="D54" s="70" t="n">
        <f aca="false">IFERROR(IF($B54="","",المنيو!$C54),"")</f>
        <v>160</v>
      </c>
      <c r="E54" s="12" t="n">
        <f aca="false">IFERROR(IF(OR($B54="",$D54=0,$D54=""),"",$N54/$D54),"")</f>
        <v>0.549913125</v>
      </c>
      <c r="F54" s="75" t="n">
        <f aca="false">$F$2</f>
        <v>0.375</v>
      </c>
      <c r="G54" s="13" t="n">
        <f aca="false">IFERROR(IF($B54="","",$N54/$F54),"")</f>
        <v>234.6296</v>
      </c>
      <c r="H54" s="13" t="n">
        <f aca="false">IFERROR(IF($B54="","",$D54-$N54),"")</f>
        <v>72.0139</v>
      </c>
      <c r="I54" s="12" t="n">
        <f aca="false">IFERROR(IF(OR($B54="",$D54=0,$D54=""),"",$H54/$D54),"")</f>
        <v>0.450086875</v>
      </c>
      <c r="J54" s="75" t="n">
        <f aca="false">$J$2</f>
        <v>0.25</v>
      </c>
      <c r="K54" s="12" t="n">
        <f aca="false">IFERROR(IF($B54="","",$E54+$J54),"")</f>
        <v>0.799913125</v>
      </c>
      <c r="L54" s="73" t="n">
        <f aca="false">IFERROR(IF(OR($B54="",$C54=0,$C54=""),"",$I54+ROW()*0.0000001),"")</f>
        <v>0.450092275</v>
      </c>
      <c r="M54" s="76" t="n">
        <f aca="false">$M$2</f>
        <v>0.9319</v>
      </c>
      <c r="N54" s="13" t="n">
        <f aca="false">IFERROR(IF($B54="","",$C54+$M54),"")</f>
        <v>87.9861</v>
      </c>
    </row>
    <row r="55" customFormat="false" ht="39" hidden="false" customHeight="true" outlineLevel="0" collapsed="false">
      <c r="A55" s="69" t="str">
        <f aca="false">IFERROR(IF(المنيو!$B55="","",المنيو!$A55),"")</f>
        <v>قسم البرجر</v>
      </c>
      <c r="B55" s="69" t="str">
        <f aca="false">IFERROR(المنيو!$B55,"")</f>
        <v>بهججة بيتزا برجر</v>
      </c>
      <c r="C55" s="13" t="n">
        <f aca="false">IFERROR(IF($B55="","",SUMIFS(الريسبي!$F$2:$F$1800,الريسبي!$A$2:$A$1800,$B55)),"")</f>
        <v>97.31774</v>
      </c>
      <c r="D55" s="70" t="n">
        <f aca="false">IFERROR(IF($B55="","",المنيو!$C55),"")</f>
        <v>170</v>
      </c>
      <c r="E55" s="12" t="n">
        <f aca="false">IFERROR(IF(OR($B55="",$D55=0,$D55=""),"",$N55/$D55),"")</f>
        <v>0.577939058823529</v>
      </c>
      <c r="F55" s="75" t="n">
        <f aca="false">$F$2</f>
        <v>0.375</v>
      </c>
      <c r="G55" s="13" t="n">
        <f aca="false">IFERROR(IF($B55="","",$N55/$F55),"")</f>
        <v>261.99904</v>
      </c>
      <c r="H55" s="13" t="n">
        <f aca="false">IFERROR(IF($B55="","",$D55-$N55),"")</f>
        <v>71.75036</v>
      </c>
      <c r="I55" s="12" t="n">
        <f aca="false">IFERROR(IF(OR($B55="",$D55=0,$D55=""),"",$H55/$D55),"")</f>
        <v>0.422060941176471</v>
      </c>
      <c r="J55" s="75" t="n">
        <f aca="false">$J$2</f>
        <v>0.25</v>
      </c>
      <c r="K55" s="12" t="n">
        <f aca="false">IFERROR(IF($B55="","",$E55+$J55),"")</f>
        <v>0.827939058823529</v>
      </c>
      <c r="L55" s="73" t="n">
        <f aca="false">IFERROR(IF(OR($B55="",$C55=0,$C55=""),"",$I55+ROW()*0.0000001),"")</f>
        <v>0.422066441176471</v>
      </c>
      <c r="M55" s="76" t="n">
        <f aca="false">$M$2</f>
        <v>0.9319</v>
      </c>
      <c r="N55" s="13" t="n">
        <f aca="false">IFERROR(IF($B55="","",$C55+$M55),"")</f>
        <v>98.24964</v>
      </c>
    </row>
    <row r="56" customFormat="false" ht="39" hidden="false" customHeight="true" outlineLevel="0" collapsed="false">
      <c r="A56" s="69" t="str">
        <f aca="false">IFERROR(IF(المنيو!$B56="","",المنيو!$A56),"")</f>
        <v>قسم البرجر</v>
      </c>
      <c r="B56" s="69" t="str">
        <f aca="false">IFERROR(المنيو!$B56,"")</f>
        <v>بهججة كريسبي</v>
      </c>
      <c r="C56" s="13" t="n">
        <f aca="false">IFERROR(IF($B56="","",SUMIFS(الريسبي!$F$2:$F$1800,الريسبي!$A$2:$A$1800,$B56)),"")</f>
        <v>95.14544</v>
      </c>
      <c r="D56" s="70" t="n">
        <f aca="false">IFERROR(IF($B56="","",المنيو!$C56),"")</f>
        <v>170</v>
      </c>
      <c r="E56" s="12" t="n">
        <f aca="false">IFERROR(IF(OR($B56="",$D56=0,$D56=""),"",$N56/$D56),"")</f>
        <v>0.565160823529412</v>
      </c>
      <c r="F56" s="75" t="n">
        <f aca="false">$F$2</f>
        <v>0.375</v>
      </c>
      <c r="G56" s="13" t="n">
        <f aca="false">IFERROR(IF($B56="","",$N56/$F56),"")</f>
        <v>256.20624</v>
      </c>
      <c r="H56" s="13" t="n">
        <f aca="false">IFERROR(IF($B56="","",$D56-$N56),"")</f>
        <v>73.92266</v>
      </c>
      <c r="I56" s="12" t="n">
        <f aca="false">IFERROR(IF(OR($B56="",$D56=0,$D56=""),"",$H56/$D56),"")</f>
        <v>0.434839176470588</v>
      </c>
      <c r="J56" s="75" t="n">
        <f aca="false">$J$2</f>
        <v>0.25</v>
      </c>
      <c r="K56" s="12" t="n">
        <f aca="false">IFERROR(IF($B56="","",$E56+$J56),"")</f>
        <v>0.815160823529412</v>
      </c>
      <c r="L56" s="73" t="n">
        <f aca="false">IFERROR(IF(OR($B56="",$C56=0,$C56=""),"",$I56+ROW()*0.0000001),"")</f>
        <v>0.434844776470588</v>
      </c>
      <c r="M56" s="76" t="n">
        <f aca="false">$M$2</f>
        <v>0.9319</v>
      </c>
      <c r="N56" s="13" t="n">
        <f aca="false">IFERROR(IF($B56="","",$C56+$M56),"")</f>
        <v>96.07734</v>
      </c>
    </row>
    <row r="57" customFormat="false" ht="39" hidden="false" customHeight="true" outlineLevel="0" collapsed="false">
      <c r="A57" s="69" t="str">
        <f aca="false">IFERROR(IF(المنيو!$B57="","",المنيو!$A57),"")</f>
        <v>قسم البرجر</v>
      </c>
      <c r="B57" s="69" t="str">
        <f aca="false">IFERROR(المنيو!$B57,"")</f>
        <v>شيكاغو بيتزا برجر</v>
      </c>
      <c r="C57" s="13" t="n">
        <f aca="false">IFERROR(IF($B57="","",SUMIFS(الريسبي!$F$2:$F$1800,الريسبي!$A$2:$A$1800,$B57)),"")</f>
        <v>180.20475</v>
      </c>
      <c r="D57" s="70" t="n">
        <f aca="false">IFERROR(IF($B57="","",المنيو!$C57),"")</f>
        <v>330</v>
      </c>
      <c r="E57" s="12" t="n">
        <f aca="false">IFERROR(IF(OR($B57="",$D57=0,$D57=""),"",$N57/$D57),"")</f>
        <v>0.548898939393939</v>
      </c>
      <c r="F57" s="75" t="n">
        <f aca="false">$F$2</f>
        <v>0.375</v>
      </c>
      <c r="G57" s="13" t="n">
        <f aca="false">IFERROR(IF($B57="","",$N57/$F57),"")</f>
        <v>483.031066666667</v>
      </c>
      <c r="H57" s="13" t="n">
        <f aca="false">IFERROR(IF($B57="","",$D57-$N57),"")</f>
        <v>148.86335</v>
      </c>
      <c r="I57" s="12" t="n">
        <f aca="false">IFERROR(IF(OR($B57="",$D57=0,$D57=""),"",$H57/$D57),"")</f>
        <v>0.451101060606061</v>
      </c>
      <c r="J57" s="75" t="n">
        <f aca="false">$J$2</f>
        <v>0.25</v>
      </c>
      <c r="K57" s="12" t="n">
        <f aca="false">IFERROR(IF($B57="","",$E57+$J57),"")</f>
        <v>0.798898939393939</v>
      </c>
      <c r="L57" s="73" t="n">
        <f aca="false">IFERROR(IF(OR($B57="",$C57=0,$C57=""),"",$I57+ROW()*0.0000001),"")</f>
        <v>0.451106760606061</v>
      </c>
      <c r="M57" s="76" t="n">
        <f aca="false">$M$2</f>
        <v>0.9319</v>
      </c>
      <c r="N57" s="13" t="n">
        <f aca="false">IFERROR(IF($B57="","",$C57+$M57),"")</f>
        <v>181.13665</v>
      </c>
    </row>
    <row r="58" customFormat="false" ht="39" hidden="false" customHeight="true" outlineLevel="0" collapsed="false">
      <c r="A58" s="69" t="str">
        <f aca="false">IFERROR(IF(المنيو!$B58="","",المنيو!$A58),"")</f>
        <v>قسم البرجر</v>
      </c>
      <c r="B58" s="69" t="str">
        <f aca="false">IFERROR(المنيو!$B58,"")</f>
        <v>فطيررجر</v>
      </c>
      <c r="C58" s="13" t="n">
        <f aca="false">IFERROR(IF($B58="","",SUMIFS(الريسبي!$F$2:$F$1800,الريسبي!$A$2:$A$1800,$B58)),"")</f>
        <v>72.0865</v>
      </c>
      <c r="D58" s="70" t="n">
        <f aca="false">IFERROR(IF($B58="","",المنيو!$C58),"")</f>
        <v>150</v>
      </c>
      <c r="E58" s="12" t="n">
        <f aca="false">IFERROR(IF(OR($B58="",$D58=0,$D58=""),"",$N58/$D58),"")</f>
        <v>0.486789333333333</v>
      </c>
      <c r="F58" s="75" t="n">
        <f aca="false">$F$2</f>
        <v>0.375</v>
      </c>
      <c r="G58" s="13" t="n">
        <f aca="false">IFERROR(IF($B58="","",$N58/$F58),"")</f>
        <v>194.715733333333</v>
      </c>
      <c r="H58" s="13" t="n">
        <f aca="false">IFERROR(IF($B58="","",$D58-$N58),"")</f>
        <v>76.9816</v>
      </c>
      <c r="I58" s="12" t="n">
        <f aca="false">IFERROR(IF(OR($B58="",$D58=0,$D58=""),"",$H58/$D58),"")</f>
        <v>0.513210666666667</v>
      </c>
      <c r="J58" s="75" t="n">
        <f aca="false">$J$2</f>
        <v>0.25</v>
      </c>
      <c r="K58" s="12" t="n">
        <f aca="false">IFERROR(IF($B58="","",$E58+$J58),"")</f>
        <v>0.736789333333333</v>
      </c>
      <c r="L58" s="73" t="n">
        <f aca="false">IFERROR(IF(OR($B58="",$C58=0,$C58=""),"",$I58+ROW()*0.0000001),"")</f>
        <v>0.513216466666667</v>
      </c>
      <c r="M58" s="76" t="n">
        <f aca="false">$M$2</f>
        <v>0.9319</v>
      </c>
      <c r="N58" s="13" t="n">
        <f aca="false">IFERROR(IF($B58="","",$C58+$M58),"")</f>
        <v>73.0184</v>
      </c>
    </row>
    <row r="59" customFormat="false" ht="39" hidden="false" customHeight="true" outlineLevel="0" collapsed="false">
      <c r="A59" s="69" t="str">
        <f aca="false">IFERROR(IF(المنيو!$B59="","",المنيو!$A59),"")</f>
        <v>قسم المكرونات</v>
      </c>
      <c r="B59" s="69" t="str">
        <f aca="false">IFERROR(المنيو!$B59,"")</f>
        <v>مكرونة تجرسكو (فراخ ومشروم)</v>
      </c>
      <c r="C59" s="13" t="n">
        <f aca="false">IFERROR(IF($B59="","",SUMIFS(الريسبي!$F$2:$F$1800,الريسبي!$A$2:$A$1800,$B59)),"")</f>
        <v>87.517497</v>
      </c>
      <c r="D59" s="70" t="n">
        <f aca="false">IFERROR(IF($B59="","",المنيو!$C59),"")</f>
        <v>160</v>
      </c>
      <c r="E59" s="12" t="n">
        <f aca="false">IFERROR(IF(OR($B59="",$D59=0,$D59=""),"",$N59/$D59),"")</f>
        <v>0.55280873125</v>
      </c>
      <c r="F59" s="75" t="n">
        <f aca="false">$F$2</f>
        <v>0.375</v>
      </c>
      <c r="G59" s="13" t="n">
        <f aca="false">IFERROR(IF($B59="","",$N59/$F59),"")</f>
        <v>235.865058666667</v>
      </c>
      <c r="H59" s="13" t="n">
        <f aca="false">IFERROR(IF($B59="","",$D59-$N59),"")</f>
        <v>71.550603</v>
      </c>
      <c r="I59" s="12" t="n">
        <f aca="false">IFERROR(IF(OR($B59="",$D59=0,$D59=""),"",$H59/$D59),"")</f>
        <v>0.44719126875</v>
      </c>
      <c r="J59" s="75" t="n">
        <f aca="false">$J$2</f>
        <v>0.25</v>
      </c>
      <c r="K59" s="12" t="n">
        <f aca="false">IFERROR(IF($B59="","",$E59+$J59),"")</f>
        <v>0.80280873125</v>
      </c>
      <c r="L59" s="73" t="n">
        <f aca="false">IFERROR(IF(OR($B59="",$C59=0,$C59=""),"",$I59+ROW()*0.0000001),"")</f>
        <v>0.44719716875</v>
      </c>
      <c r="M59" s="76" t="n">
        <f aca="false">$M$2</f>
        <v>0.9319</v>
      </c>
      <c r="N59" s="13" t="n">
        <f aca="false">IFERROR(IF($B59="","",$C59+$M59),"")</f>
        <v>88.449397</v>
      </c>
    </row>
    <row r="60" customFormat="false" ht="39" hidden="false" customHeight="true" outlineLevel="0" collapsed="false">
      <c r="A60" s="69" t="str">
        <f aca="false">IFERROR(IF(المنيو!$B60="","",المنيو!$A60),"")</f>
        <v>قسم المكرونات</v>
      </c>
      <c r="B60" s="69" t="str">
        <f aca="false">IFERROR(المنيو!$B60,"")</f>
        <v>مكرونة كريسبي شيدر</v>
      </c>
      <c r="C60" s="13" t="n">
        <f aca="false">IFERROR(IF($B60="","",SUMIFS(الريسبي!$F$2:$F$1800,الريسبي!$A$2:$A$1800,$B60)),"")</f>
        <v>94.041035</v>
      </c>
      <c r="D60" s="70" t="n">
        <f aca="false">IFERROR(IF($B60="","",المنيو!$C60),"")</f>
        <v>180</v>
      </c>
      <c r="E60" s="12" t="n">
        <f aca="false">IFERROR(IF(OR($B60="",$D60=0,$D60=""),"",$N60/$D60),"")</f>
        <v>0.527627416666667</v>
      </c>
      <c r="F60" s="75" t="n">
        <f aca="false">$F$2</f>
        <v>0.375</v>
      </c>
      <c r="G60" s="13" t="n">
        <f aca="false">IFERROR(IF($B60="","",$N60/$F60),"")</f>
        <v>253.26116</v>
      </c>
      <c r="H60" s="13" t="n">
        <f aca="false">IFERROR(IF($B60="","",$D60-$N60),"")</f>
        <v>85.027065</v>
      </c>
      <c r="I60" s="12" t="n">
        <f aca="false">IFERROR(IF(OR($B60="",$D60=0,$D60=""),"",$H60/$D60),"")</f>
        <v>0.472372583333333</v>
      </c>
      <c r="J60" s="75" t="n">
        <f aca="false">$J$2</f>
        <v>0.25</v>
      </c>
      <c r="K60" s="12" t="n">
        <f aca="false">IFERROR(IF($B60="","",$E60+$J60),"")</f>
        <v>0.777627416666667</v>
      </c>
      <c r="L60" s="73" t="n">
        <f aca="false">IFERROR(IF(OR($B60="",$C60=0,$C60=""),"",$I60+ROW()*0.0000001),"")</f>
        <v>0.472378583333333</v>
      </c>
      <c r="M60" s="76" t="n">
        <f aca="false">$M$2</f>
        <v>0.9319</v>
      </c>
      <c r="N60" s="13" t="n">
        <f aca="false">IFERROR(IF($B60="","",$C60+$M60),"")</f>
        <v>94.972935</v>
      </c>
    </row>
    <row r="61" customFormat="false" ht="39" hidden="false" customHeight="true" outlineLevel="0" collapsed="false">
      <c r="A61" s="69" t="str">
        <f aca="false">IFERROR(IF(المنيو!$B61="","",المنيو!$A61),"")</f>
        <v>قسم المكرونات</v>
      </c>
      <c r="B61" s="69" t="str">
        <f aca="false">IFERROR(المنيو!$B61,"")</f>
        <v>مكرونة كريسبي رانش</v>
      </c>
      <c r="C61" s="13" t="n">
        <f aca="false">IFERROR(IF($B61="","",SUMIFS(الريسبي!$F$2:$F$1800,الريسبي!$A$2:$A$1800,$B61)),"")</f>
        <v>90.541035</v>
      </c>
      <c r="D61" s="70" t="n">
        <f aca="false">IFERROR(IF($B61="","",المنيو!$C61),"")</f>
        <v>180</v>
      </c>
      <c r="E61" s="12" t="n">
        <f aca="false">IFERROR(IF(OR($B61="",$D61=0,$D61=""),"",$N61/$D61),"")</f>
        <v>0.508182972222222</v>
      </c>
      <c r="F61" s="75" t="n">
        <f aca="false">$F$2</f>
        <v>0.375</v>
      </c>
      <c r="G61" s="13" t="n">
        <f aca="false">IFERROR(IF($B61="","",$N61/$F61),"")</f>
        <v>243.927826666667</v>
      </c>
      <c r="H61" s="13" t="n">
        <f aca="false">IFERROR(IF($B61="","",$D61-$N61),"")</f>
        <v>88.527065</v>
      </c>
      <c r="I61" s="12" t="n">
        <f aca="false">IFERROR(IF(OR($B61="",$D61=0,$D61=""),"",$H61/$D61),"")</f>
        <v>0.491817027777778</v>
      </c>
      <c r="J61" s="75" t="n">
        <f aca="false">$J$2</f>
        <v>0.25</v>
      </c>
      <c r="K61" s="12" t="n">
        <f aca="false">IFERROR(IF($B61="","",$E61+$J61),"")</f>
        <v>0.758182972222222</v>
      </c>
      <c r="L61" s="73" t="n">
        <f aca="false">IFERROR(IF(OR($B61="",$C61=0,$C61=""),"",$I61+ROW()*0.0000001),"")</f>
        <v>0.491823127777778</v>
      </c>
      <c r="M61" s="76" t="n">
        <f aca="false">$M$2</f>
        <v>0.9319</v>
      </c>
      <c r="N61" s="13" t="n">
        <f aca="false">IFERROR(IF($B61="","",$C61+$M61),"")</f>
        <v>91.472935</v>
      </c>
    </row>
    <row r="62" customFormat="false" ht="39" hidden="false" customHeight="true" outlineLevel="0" collapsed="false">
      <c r="A62" s="69" t="str">
        <f aca="false">IFERROR(IF(المنيو!$B62="","",المنيو!$A62),"")</f>
        <v>قسم المكرونات</v>
      </c>
      <c r="B62" s="69" t="str">
        <f aca="false">IFERROR(المنيو!$B62,"")</f>
        <v>مكرونة جمبري</v>
      </c>
      <c r="C62" s="13" t="n">
        <f aca="false">IFERROR(IF($B62="","",SUMIFS(الريسبي!$F$2:$F$1800,الريسبي!$A$2:$A$1800,$B62)),"")</f>
        <v>139.463335</v>
      </c>
      <c r="D62" s="70" t="n">
        <f aca="false">IFERROR(IF($B62="","",المنيو!$C62),"")</f>
        <v>260</v>
      </c>
      <c r="E62" s="12" t="n">
        <f aca="false">IFERROR(IF(OR($B62="",$D62=0,$D62=""),"",$N62/$D62),"")</f>
        <v>0.539981673076923</v>
      </c>
      <c r="F62" s="75" t="n">
        <f aca="false">$F$2</f>
        <v>0.375</v>
      </c>
      <c r="G62" s="13" t="n">
        <f aca="false">IFERROR(IF($B62="","",$N62/$F62),"")</f>
        <v>374.387293333333</v>
      </c>
      <c r="H62" s="13" t="n">
        <f aca="false">IFERROR(IF($B62="","",$D62-$N62),"")</f>
        <v>119.604765</v>
      </c>
      <c r="I62" s="12" t="n">
        <f aca="false">IFERROR(IF(OR($B62="",$D62=0,$D62=""),"",$H62/$D62),"")</f>
        <v>0.460018326923077</v>
      </c>
      <c r="J62" s="75" t="n">
        <f aca="false">$J$2</f>
        <v>0.25</v>
      </c>
      <c r="K62" s="12" t="n">
        <f aca="false">IFERROR(IF($B62="","",$E62+$J62),"")</f>
        <v>0.789981673076923</v>
      </c>
      <c r="L62" s="73" t="n">
        <f aca="false">IFERROR(IF(OR($B62="",$C62=0,$C62=""),"",$I62+ROW()*0.0000001),"")</f>
        <v>0.460024526923077</v>
      </c>
      <c r="M62" s="76" t="n">
        <f aca="false">$M$2</f>
        <v>0.9319</v>
      </c>
      <c r="N62" s="13" t="n">
        <f aca="false">IFERROR(IF($B62="","",$C62+$M62),"")</f>
        <v>140.395235</v>
      </c>
    </row>
    <row r="63" customFormat="false" ht="39" hidden="false" customHeight="true" outlineLevel="0" collapsed="false">
      <c r="A63" s="69" t="str">
        <f aca="false">IFERROR(IF(المنيو!$B63="","",المنيو!$A63),"")</f>
        <v>قسم المكرونات</v>
      </c>
      <c r="B63" s="69" t="str">
        <f aca="false">IFERROR(المنيو!$B63,"")</f>
        <v>مكرونة صوص ابيض سدق</v>
      </c>
      <c r="C63" s="13" t="n">
        <f aca="false">IFERROR(IF($B63="","",SUMIFS(الريسبي!$F$2:$F$1800,الريسبي!$A$2:$A$1800,$B63)),"")</f>
        <v>78.463335</v>
      </c>
      <c r="D63" s="70" t="n">
        <f aca="false">IFERROR(IF($B63="","",المنيو!$C63),"")</f>
        <v>140</v>
      </c>
      <c r="E63" s="12" t="n">
        <f aca="false">IFERROR(IF(OR($B63="",$D63=0,$D63=""),"",$N63/$D63),"")</f>
        <v>0.567108821428571</v>
      </c>
      <c r="F63" s="75" t="n">
        <f aca="false">$F$2</f>
        <v>0.375</v>
      </c>
      <c r="G63" s="13" t="n">
        <f aca="false">IFERROR(IF($B63="","",$N63/$F63),"")</f>
        <v>211.720626666667</v>
      </c>
      <c r="H63" s="13" t="n">
        <f aca="false">IFERROR(IF($B63="","",$D63-$N63),"")</f>
        <v>60.604765</v>
      </c>
      <c r="I63" s="12" t="n">
        <f aca="false">IFERROR(IF(OR($B63="",$D63=0,$D63=""),"",$H63/$D63),"")</f>
        <v>0.432891178571429</v>
      </c>
      <c r="J63" s="75" t="n">
        <f aca="false">$J$2</f>
        <v>0.25</v>
      </c>
      <c r="K63" s="12" t="n">
        <f aca="false">IFERROR(IF($B63="","",$E63+$J63),"")</f>
        <v>0.817108821428571</v>
      </c>
      <c r="L63" s="73" t="n">
        <f aca="false">IFERROR(IF(OR($B63="",$C63=0,$C63=""),"",$I63+ROW()*0.0000001),"")</f>
        <v>0.432897478571429</v>
      </c>
      <c r="M63" s="76" t="n">
        <f aca="false">$M$2</f>
        <v>0.9319</v>
      </c>
      <c r="N63" s="13" t="n">
        <f aca="false">IFERROR(IF($B63="","",$C63+$M63),"")</f>
        <v>79.395235</v>
      </c>
    </row>
    <row r="64" customFormat="false" ht="39" hidden="false" customHeight="true" outlineLevel="0" collapsed="false">
      <c r="A64" s="69" t="str">
        <f aca="false">IFERROR(IF(المنيو!$B64="","",المنيو!$A64),"")</f>
        <v>قسم المكرونات</v>
      </c>
      <c r="B64" s="69" t="str">
        <f aca="false">IFERROR(المنيو!$B64,"")</f>
        <v>مكرونة صوص ابيض بسطرمة</v>
      </c>
      <c r="C64" s="13" t="n">
        <f aca="false">IFERROR(IF($B64="","",SUMIFS(الريسبي!$F$2:$F$1800,الريسبي!$A$2:$A$1800,$B64)),"")</f>
        <v>79.463335</v>
      </c>
      <c r="D64" s="70" t="n">
        <f aca="false">IFERROR(IF($B64="","",المنيو!$C64),"")</f>
        <v>140</v>
      </c>
      <c r="E64" s="12" t="n">
        <f aca="false">IFERROR(IF(OR($B64="",$D64=0,$D64=""),"",$N64/$D64),"")</f>
        <v>0.574251678571429</v>
      </c>
      <c r="F64" s="75" t="n">
        <f aca="false">$F$2</f>
        <v>0.375</v>
      </c>
      <c r="G64" s="13" t="n">
        <f aca="false">IFERROR(IF($B64="","",$N64/$F64),"")</f>
        <v>214.387293333333</v>
      </c>
      <c r="H64" s="13" t="n">
        <f aca="false">IFERROR(IF($B64="","",$D64-$N64),"")</f>
        <v>59.604765</v>
      </c>
      <c r="I64" s="12" t="n">
        <f aca="false">IFERROR(IF(OR($B64="",$D64=0,$D64=""),"",$H64/$D64),"")</f>
        <v>0.425748321428571</v>
      </c>
      <c r="J64" s="75" t="n">
        <f aca="false">$J$2</f>
        <v>0.25</v>
      </c>
      <c r="K64" s="12" t="n">
        <f aca="false">IFERROR(IF($B64="","",$E64+$J64),"")</f>
        <v>0.824251678571429</v>
      </c>
      <c r="L64" s="73" t="n">
        <f aca="false">IFERROR(IF(OR($B64="",$C64=0,$C64=""),"",$I64+ROW()*0.0000001),"")</f>
        <v>0.425754721428571</v>
      </c>
      <c r="M64" s="76" t="n">
        <f aca="false">$M$2</f>
        <v>0.9319</v>
      </c>
      <c r="N64" s="13" t="n">
        <f aca="false">IFERROR(IF($B64="","",$C64+$M64),"")</f>
        <v>80.395235</v>
      </c>
    </row>
    <row r="65" customFormat="false" ht="39" hidden="false" customHeight="true" outlineLevel="0" collapsed="false">
      <c r="A65" s="69" t="str">
        <f aca="false">IFERROR(IF(المنيو!$B65="","",المنيو!$A65),"")</f>
        <v>قسم الكريب</v>
      </c>
      <c r="B65" s="69" t="str">
        <f aca="false">IFERROR(المنيو!$B65,"")</f>
        <v>كريب فراخ كريسبي شيدر</v>
      </c>
      <c r="C65" s="13" t="n">
        <f aca="false">IFERROR(IF($B65="","",SUMIFS(الريسبي!$F$2:$F$1800,الريسبي!$A$2:$A$1800,$B65)),"")</f>
        <v>63.6796620833333</v>
      </c>
      <c r="D65" s="70" t="n">
        <f aca="false">IFERROR(IF($B65="","",المنيو!$C65),"")</f>
        <v>125</v>
      </c>
      <c r="E65" s="12" t="n">
        <f aca="false">IFERROR(IF(OR($B65="",$D65=0,$D65=""),"",$N65/$D65),"")</f>
        <v>0.516892496666667</v>
      </c>
      <c r="F65" s="75" t="n">
        <f aca="false">$F$2</f>
        <v>0.375</v>
      </c>
      <c r="G65" s="13" t="n">
        <f aca="false">IFERROR(IF($B65="","",$N65/$F65),"")</f>
        <v>172.297498888889</v>
      </c>
      <c r="H65" s="13" t="n">
        <f aca="false">IFERROR(IF($B65="","",$D65-$N65),"")</f>
        <v>60.3884379166667</v>
      </c>
      <c r="I65" s="12" t="n">
        <f aca="false">IFERROR(IF(OR($B65="",$D65=0,$D65=""),"",$H65/$D65),"")</f>
        <v>0.483107503333333</v>
      </c>
      <c r="J65" s="75" t="n">
        <f aca="false">$J$2</f>
        <v>0.25</v>
      </c>
      <c r="K65" s="12" t="n">
        <f aca="false">IFERROR(IF($B65="","",$E65+$J65),"")</f>
        <v>0.766892496666667</v>
      </c>
      <c r="L65" s="73" t="n">
        <f aca="false">IFERROR(IF(OR($B65="",$C65=0,$C65=""),"",$I65+ROW()*0.0000001),"")</f>
        <v>0.483114003333333</v>
      </c>
      <c r="M65" s="76" t="n">
        <f aca="false">$M$2</f>
        <v>0.9319</v>
      </c>
      <c r="N65" s="13" t="n">
        <f aca="false">IFERROR(IF($B65="","",$C65+$M65),"")</f>
        <v>64.6115620833333</v>
      </c>
    </row>
    <row r="66" customFormat="false" ht="39" hidden="false" customHeight="true" outlineLevel="0" collapsed="false">
      <c r="A66" s="69" t="str">
        <f aca="false">IFERROR(IF(المنيو!$B66="","",المنيو!$A66),"")</f>
        <v>قسم الكريب</v>
      </c>
      <c r="B66" s="69" t="str">
        <f aca="false">IFERROR(المنيو!$B66,"")</f>
        <v>كريب مشكل فراخ</v>
      </c>
      <c r="C66" s="13" t="n">
        <f aca="false">IFERROR(IF($B66="","",SUMIFS(الريسبي!$F$2:$F$1800,الريسبي!$A$2:$A$1800,$B66)),"")</f>
        <v>60.0929620833333</v>
      </c>
      <c r="D66" s="70" t="n">
        <f aca="false">IFERROR(IF($B66="","",المنيو!$C66),"")</f>
        <v>125</v>
      </c>
      <c r="E66" s="12" t="n">
        <f aca="false">IFERROR(IF(OR($B66="",$D66=0,$D66=""),"",$N66/$D66),"")</f>
        <v>0.488198896666667</v>
      </c>
      <c r="F66" s="75" t="n">
        <f aca="false">$F$2</f>
        <v>0.375</v>
      </c>
      <c r="G66" s="13" t="n">
        <f aca="false">IFERROR(IF($B66="","",$N66/$F66),"")</f>
        <v>162.732965555556</v>
      </c>
      <c r="H66" s="13" t="n">
        <f aca="false">IFERROR(IF($B66="","",$D66-$N66),"")</f>
        <v>63.9751379166667</v>
      </c>
      <c r="I66" s="12" t="n">
        <f aca="false">IFERROR(IF(OR($B66="",$D66=0,$D66=""),"",$H66/$D66),"")</f>
        <v>0.511801103333333</v>
      </c>
      <c r="J66" s="75" t="n">
        <f aca="false">$J$2</f>
        <v>0.25</v>
      </c>
      <c r="K66" s="12" t="n">
        <f aca="false">IFERROR(IF($B66="","",$E66+$J66),"")</f>
        <v>0.738198896666667</v>
      </c>
      <c r="L66" s="73" t="n">
        <f aca="false">IFERROR(IF(OR($B66="",$C66=0,$C66=""),"",$I66+ROW()*0.0000001),"")</f>
        <v>0.511807703333333</v>
      </c>
      <c r="M66" s="76" t="n">
        <f aca="false">$M$2</f>
        <v>0.9319</v>
      </c>
      <c r="N66" s="13" t="n">
        <f aca="false">IFERROR(IF($B66="","",$C66+$M66),"")</f>
        <v>61.0248620833333</v>
      </c>
    </row>
    <row r="67" customFormat="false" ht="39" hidden="false" customHeight="true" outlineLevel="0" collapsed="false">
      <c r="A67" s="69" t="str">
        <f aca="false">IFERROR(IF(المنيو!$B67="","",المنيو!$A67),"")</f>
        <v>قسم الكريب</v>
      </c>
      <c r="B67" s="69" t="str">
        <f aca="false">IFERROR(المنيو!$B67,"")</f>
        <v>كريب بسطرمة</v>
      </c>
      <c r="C67" s="13" t="n">
        <f aca="false">IFERROR(IF($B67="","",SUMIFS(الريسبي!$F$2:$F$1800,الريسبي!$A$2:$A$1800,$B67)),"")</f>
        <v>51.4353120833333</v>
      </c>
      <c r="D67" s="70" t="n">
        <f aca="false">IFERROR(IF($B67="","",المنيو!$C67),"")</f>
        <v>110</v>
      </c>
      <c r="E67" s="12" t="n">
        <f aca="false">IFERROR(IF(OR($B67="",$D67=0,$D67=""),"",$N67/$D67),"")</f>
        <v>0.476065564393939</v>
      </c>
      <c r="F67" s="75" t="n">
        <f aca="false">$F$2</f>
        <v>0.375</v>
      </c>
      <c r="G67" s="13" t="n">
        <f aca="false">IFERROR(IF($B67="","",$N67/$F67),"")</f>
        <v>139.645898888889</v>
      </c>
      <c r="H67" s="13" t="n">
        <f aca="false">IFERROR(IF($B67="","",$D67-$N67),"")</f>
        <v>57.6327879166667</v>
      </c>
      <c r="I67" s="12" t="n">
        <f aca="false">IFERROR(IF(OR($B67="",$D67=0,$D67=""),"",$H67/$D67),"")</f>
        <v>0.523934435606061</v>
      </c>
      <c r="J67" s="75" t="n">
        <f aca="false">$J$2</f>
        <v>0.25</v>
      </c>
      <c r="K67" s="12" t="n">
        <f aca="false">IFERROR(IF($B67="","",$E67+$J67),"")</f>
        <v>0.726065564393939</v>
      </c>
      <c r="L67" s="73" t="n">
        <f aca="false">IFERROR(IF(OR($B67="",$C67=0,$C67=""),"",$I67+ROW()*0.0000001),"")</f>
        <v>0.523941135606061</v>
      </c>
      <c r="M67" s="76" t="n">
        <f aca="false">$M$2</f>
        <v>0.9319</v>
      </c>
      <c r="N67" s="13" t="n">
        <f aca="false">IFERROR(IF($B67="","",$C67+$M67),"")</f>
        <v>52.3672120833333</v>
      </c>
    </row>
    <row r="68" customFormat="false" ht="39" hidden="false" customHeight="true" outlineLevel="0" collapsed="false">
      <c r="A68" s="69" t="str">
        <f aca="false">IFERROR(IF(المنيو!$B68="","",المنيو!$A68),"")</f>
        <v>قسم الكريب</v>
      </c>
      <c r="B68" s="69" t="str">
        <f aca="false">IFERROR(المنيو!$B68,"")</f>
        <v>كريب سدق</v>
      </c>
      <c r="C68" s="13" t="n">
        <f aca="false">IFERROR(IF($B68="","",SUMIFS(الريسبي!$F$2:$F$1800,الريسبي!$A$2:$A$1800,$B68)),"")</f>
        <v>50.6019620833333</v>
      </c>
      <c r="D68" s="70" t="n">
        <f aca="false">IFERROR(IF($B68="","",المنيو!$C68),"")</f>
        <v>110</v>
      </c>
      <c r="E68" s="12" t="n">
        <f aca="false">IFERROR(IF(OR($B68="",$D68=0,$D68=""),"",$N68/$D68),"")</f>
        <v>0.46848965530303</v>
      </c>
      <c r="F68" s="75" t="n">
        <f aca="false">$F$2</f>
        <v>0.375</v>
      </c>
      <c r="G68" s="13" t="n">
        <f aca="false">IFERROR(IF($B68="","",$N68/$F68),"")</f>
        <v>137.423632222222</v>
      </c>
      <c r="H68" s="13" t="n">
        <f aca="false">IFERROR(IF($B68="","",$D68-$N68),"")</f>
        <v>58.4661379166667</v>
      </c>
      <c r="I68" s="12" t="n">
        <f aca="false">IFERROR(IF(OR($B68="",$D68=0,$D68=""),"",$H68/$D68),"")</f>
        <v>0.53151034469697</v>
      </c>
      <c r="J68" s="75" t="n">
        <f aca="false">$J$2</f>
        <v>0.25</v>
      </c>
      <c r="K68" s="12" t="n">
        <f aca="false">IFERROR(IF($B68="","",$E68+$J68),"")</f>
        <v>0.71848965530303</v>
      </c>
      <c r="L68" s="73" t="n">
        <f aca="false">IFERROR(IF(OR($B68="",$C68=0,$C68=""),"",$I68+ROW()*0.0000001),"")</f>
        <v>0.53151714469697</v>
      </c>
      <c r="M68" s="76" t="n">
        <f aca="false">$M$2</f>
        <v>0.9319</v>
      </c>
      <c r="N68" s="13" t="n">
        <f aca="false">IFERROR(IF($B68="","",$C68+$M68),"")</f>
        <v>51.5338620833333</v>
      </c>
    </row>
    <row r="69" customFormat="false" ht="39" hidden="false" customHeight="true" outlineLevel="0" collapsed="false">
      <c r="A69" s="69" t="str">
        <f aca="false">IFERROR(IF(المنيو!$B69="","",المنيو!$A69),"")</f>
        <v>قسم الكريب</v>
      </c>
      <c r="B69" s="69" t="str">
        <f aca="false">IFERROR(المنيو!$B69,"")</f>
        <v>كريب فراخ باربيكيو</v>
      </c>
      <c r="C69" s="13" t="n">
        <f aca="false">IFERROR(IF($B69="","",SUMIFS(الريسبي!$F$2:$F$1800,الريسبي!$A$2:$A$1800,$B69)),"")</f>
        <v>69.0839620833333</v>
      </c>
      <c r="D69" s="70" t="n">
        <f aca="false">IFERROR(IF($B69="","",المنيو!$C69),"")</f>
        <v>120</v>
      </c>
      <c r="E69" s="12" t="n">
        <f aca="false">IFERROR(IF(OR($B69="",$D69=0,$D69=""),"",$N69/$D69),"")</f>
        <v>0.583465517361111</v>
      </c>
      <c r="F69" s="75" t="n">
        <f aca="false">$F$2</f>
        <v>0.375</v>
      </c>
      <c r="G69" s="13" t="n">
        <f aca="false">IFERROR(IF($B69="","",$N69/$F69),"")</f>
        <v>186.708965555556</v>
      </c>
      <c r="H69" s="13" t="n">
        <f aca="false">IFERROR(IF($B69="","",$D69-$N69),"")</f>
        <v>49.9841379166667</v>
      </c>
      <c r="I69" s="12" t="n">
        <f aca="false">IFERROR(IF(OR($B69="",$D69=0,$D69=""),"",$H69/$D69),"")</f>
        <v>0.416534482638889</v>
      </c>
      <c r="J69" s="75" t="n">
        <f aca="false">$J$2</f>
        <v>0.25</v>
      </c>
      <c r="K69" s="12" t="n">
        <f aca="false">IFERROR(IF($B69="","",$E69+$J69),"")</f>
        <v>0.833465517361111</v>
      </c>
      <c r="L69" s="73" t="n">
        <f aca="false">IFERROR(IF(OR($B69="",$C69=0,$C69=""),"",$I69+ROW()*0.0000001),"")</f>
        <v>0.416541382638889</v>
      </c>
      <c r="M69" s="76" t="n">
        <f aca="false">$M$2</f>
        <v>0.9319</v>
      </c>
      <c r="N69" s="13" t="n">
        <f aca="false">IFERROR(IF($B69="","",$C69+$M69),"")</f>
        <v>70.0158620833333</v>
      </c>
    </row>
    <row r="70" customFormat="false" ht="51.75" hidden="false" customHeight="true" outlineLevel="0" collapsed="false">
      <c r="A70" s="69" t="str">
        <f aca="false">IFERROR(IF(المنيو!$B70="","",المنيو!$A70),"")</f>
        <v>قسم الكريب</v>
      </c>
      <c r="B70" s="69" t="str">
        <f aca="false">IFERROR(المنيو!$B70,"")</f>
        <v>عيش كريب</v>
      </c>
      <c r="C70" s="13" t="n">
        <f aca="false">IFERROR(IF($B70="","",SUMIFS(الريسبي!$F$2:$F$1800,الريسبي!$A$2:$A$1800,$B70)),"")</f>
        <v>5.01306208333333</v>
      </c>
      <c r="D70" s="70" t="n">
        <f aca="false">IFERROR(IF($B70="","",المنيو!$C70),"")</f>
        <v>5</v>
      </c>
      <c r="E70" s="12" t="n">
        <f aca="false">IFERROR(IF(OR($B70="",$D70=0,$D70=""),"",$N70/$D70),"")</f>
        <v>1.18899241666667</v>
      </c>
      <c r="F70" s="75" t="n">
        <f aca="false">$F$2</f>
        <v>0.375</v>
      </c>
      <c r="G70" s="13" t="n">
        <f aca="false">IFERROR(IF($B70="","",$N70/$F70),"")</f>
        <v>15.8532322222222</v>
      </c>
      <c r="H70" s="13" t="n">
        <f aca="false">IFERROR(IF($B70="","",$D70-$N70),"")</f>
        <v>-0.944962083333333</v>
      </c>
      <c r="I70" s="12" t="n">
        <f aca="false">IFERROR(IF(OR($B70="",$D70=0,$D70=""),"",$H70/$D70),"")</f>
        <v>-0.188992416666667</v>
      </c>
      <c r="J70" s="75" t="n">
        <f aca="false">$J$2</f>
        <v>0.25</v>
      </c>
      <c r="K70" s="12" t="n">
        <f aca="false">IFERROR(IF($B70="","",$E70+$J70),"")</f>
        <v>1.43899241666667</v>
      </c>
      <c r="L70" s="73" t="n">
        <f aca="false">IFERROR(IF(OR($B70="",$C70=0,$C70=""),"",$I70+ROW()*0.0000001),"")</f>
        <v>-0.188985416666667</v>
      </c>
      <c r="M70" s="76" t="n">
        <f aca="false">$M$2</f>
        <v>0.9319</v>
      </c>
      <c r="N70" s="13" t="n">
        <f aca="false">IFERROR(IF($B70="","",$C70+$M70),"")</f>
        <v>5.94496208333333</v>
      </c>
    </row>
    <row r="71" customFormat="false" ht="39" hidden="false" customHeight="true" outlineLevel="0" collapsed="false">
      <c r="A71" s="69" t="str">
        <f aca="false">IFERROR(IF(المنيو!$B71="","",المنيو!$A71),"")</f>
        <v>قسم البطاطس</v>
      </c>
      <c r="B71" s="69" t="str">
        <f aca="false">IFERROR(المنيو!$B71,"")</f>
        <v>باكت بطاطس وسط</v>
      </c>
      <c r="C71" s="13" t="n">
        <f aca="false">IFERROR(IF($B71="","",SUMIFS(الريسبي!$F$2:$F$1800,الريسبي!$A$2:$A$1800,$B71)),"")</f>
        <v>16.0527</v>
      </c>
      <c r="D71" s="70" t="n">
        <f aca="false">IFERROR(IF($B71="","",المنيو!$C71),"")</f>
        <v>40</v>
      </c>
      <c r="E71" s="12" t="n">
        <f aca="false">IFERROR(IF(OR($B71="",$D71=0,$D71=""),"",$N71/$D71),"")</f>
        <v>0.424615</v>
      </c>
      <c r="F71" s="75" t="n">
        <f aca="false">$F$2</f>
        <v>0.375</v>
      </c>
      <c r="G71" s="13" t="n">
        <f aca="false">IFERROR(IF($B71="","",$N71/$F71),"")</f>
        <v>45.2922666666667</v>
      </c>
      <c r="H71" s="13" t="n">
        <f aca="false">IFERROR(IF($B71="","",$D71-$N71),"")</f>
        <v>23.0154</v>
      </c>
      <c r="I71" s="12" t="n">
        <f aca="false">IFERROR(IF(OR($B71="",$D71=0,$D71=""),"",$H71/$D71),"")</f>
        <v>0.575385</v>
      </c>
      <c r="J71" s="75" t="n">
        <f aca="false">$J$2</f>
        <v>0.25</v>
      </c>
      <c r="K71" s="12" t="n">
        <f aca="false">IFERROR(IF($B71="","",$E71+$J71),"")</f>
        <v>0.674615</v>
      </c>
      <c r="L71" s="73" t="n">
        <f aca="false">IFERROR(IF(OR($B71="",$C71=0,$C71=""),"",$I71+ROW()*0.0000001),"")</f>
        <v>0.5753921</v>
      </c>
      <c r="M71" s="76" t="n">
        <f aca="false">$M$2</f>
        <v>0.9319</v>
      </c>
      <c r="N71" s="13" t="n">
        <f aca="false">IFERROR(IF($B71="","",$C71+$M71),"")</f>
        <v>16.9846</v>
      </c>
    </row>
    <row r="72" customFormat="false" ht="39" hidden="false" customHeight="true" outlineLevel="0" collapsed="false">
      <c r="A72" s="69" t="str">
        <f aca="false">IFERROR(IF(المنيو!$B72="","",المنيو!$A72),"")</f>
        <v>قسم البطاطس</v>
      </c>
      <c r="B72" s="69" t="str">
        <f aca="false">IFERROR(المنيو!$B72,"")</f>
        <v>باكت بطاطس كبير</v>
      </c>
      <c r="C72" s="13" t="n">
        <f aca="false">IFERROR(IF($B72="","",SUMIFS(الريسبي!$F$2:$F$1800,الريسبي!$A$2:$A$1800,$B72)),"")</f>
        <v>25.1277</v>
      </c>
      <c r="D72" s="70" t="n">
        <f aca="false">IFERROR(IF($B72="","",المنيو!$C72),"")</f>
        <v>60</v>
      </c>
      <c r="E72" s="12" t="n">
        <f aca="false">IFERROR(IF(OR($B72="",$D72=0,$D72=""),"",$N72/$D72),"")</f>
        <v>0.434326666666667</v>
      </c>
      <c r="F72" s="75" t="n">
        <f aca="false">$F$2</f>
        <v>0.375</v>
      </c>
      <c r="G72" s="13" t="n">
        <f aca="false">IFERROR(IF($B72="","",$N72/$F72),"")</f>
        <v>69.4922666666667</v>
      </c>
      <c r="H72" s="13" t="n">
        <f aca="false">IFERROR(IF($B72="","",$D72-$N72),"")</f>
        <v>33.9404</v>
      </c>
      <c r="I72" s="12" t="n">
        <f aca="false">IFERROR(IF(OR($B72="",$D72=0,$D72=""),"",$H72/$D72),"")</f>
        <v>0.565673333333333</v>
      </c>
      <c r="J72" s="75" t="n">
        <f aca="false">$J$2</f>
        <v>0.25</v>
      </c>
      <c r="K72" s="12" t="n">
        <f aca="false">IFERROR(IF($B72="","",$E72+$J72),"")</f>
        <v>0.684326666666667</v>
      </c>
      <c r="L72" s="73" t="n">
        <f aca="false">IFERROR(IF(OR($B72="",$C72=0,$C72=""),"",$I72+ROW()*0.0000001),"")</f>
        <v>0.565680533333333</v>
      </c>
      <c r="M72" s="76" t="n">
        <f aca="false">$M$2</f>
        <v>0.9319</v>
      </c>
      <c r="N72" s="13" t="n">
        <f aca="false">IFERROR(IF($B72="","",$C72+$M72),"")</f>
        <v>26.0596</v>
      </c>
    </row>
    <row r="73" customFormat="false" ht="39" hidden="false" customHeight="true" outlineLevel="0" collapsed="false">
      <c r="A73" s="69" t="str">
        <f aca="false">IFERROR(IF(المنيو!$B73="","",المنيو!$A73),"")</f>
        <v>قسم البطاطس</v>
      </c>
      <c r="B73" s="69" t="str">
        <f aca="false">IFERROR(المنيو!$B73,"")</f>
        <v>باكت بطاطس جبنة (وسط)</v>
      </c>
      <c r="C73" s="13" t="n">
        <f aca="false">IFERROR(IF($B73="","",SUMIFS(الريسبي!$F$2:$F$1800,الريسبي!$A$2:$A$1800,$B73)),"")</f>
        <v>17.475</v>
      </c>
      <c r="D73" s="70" t="n">
        <f aca="false">IFERROR(IF($B73="","",المنيو!$C73),"")</f>
        <v>50</v>
      </c>
      <c r="E73" s="12" t="n">
        <f aca="false">IFERROR(IF(OR($B73="",$D73=0,$D73=""),"",$N73/$D73),"")</f>
        <v>0.368138</v>
      </c>
      <c r="F73" s="75" t="n">
        <f aca="false">$F$2</f>
        <v>0.375</v>
      </c>
      <c r="G73" s="13" t="n">
        <f aca="false">IFERROR(IF($B73="","",$N73/$F73),"")</f>
        <v>49.0850666666667</v>
      </c>
      <c r="H73" s="13" t="n">
        <f aca="false">IFERROR(IF($B73="","",$D73-$N73),"")</f>
        <v>31.5931</v>
      </c>
      <c r="I73" s="12" t="n">
        <f aca="false">IFERROR(IF(OR($B73="",$D73=0,$D73=""),"",$H73/$D73),"")</f>
        <v>0.631862</v>
      </c>
      <c r="J73" s="75" t="n">
        <f aca="false">$J$2</f>
        <v>0.25</v>
      </c>
      <c r="K73" s="12" t="n">
        <f aca="false">IFERROR(IF($B73="","",$E73+$J73),"")</f>
        <v>0.618138</v>
      </c>
      <c r="L73" s="73" t="n">
        <f aca="false">IFERROR(IF(OR($B73="",$C73=0,$C73=""),"",$I73+ROW()*0.0000001),"")</f>
        <v>0.6318693</v>
      </c>
      <c r="M73" s="76" t="n">
        <f aca="false">$M$2</f>
        <v>0.9319</v>
      </c>
      <c r="N73" s="13" t="n">
        <f aca="false">IFERROR(IF($B73="","",$C73+$M73),"")</f>
        <v>18.4069</v>
      </c>
    </row>
    <row r="74" customFormat="false" ht="39" hidden="false" customHeight="true" outlineLevel="0" collapsed="false">
      <c r="A74" s="69" t="str">
        <f aca="false">IFERROR(IF(المنيو!$B74="","",المنيو!$A74),"")</f>
        <v>قسم البطاطس</v>
      </c>
      <c r="B74" s="69" t="str">
        <f aca="false">IFERROR(المنيو!$B74,"")</f>
        <v>باكت بطاطس جبنة (كبير)</v>
      </c>
      <c r="C74" s="13" t="n">
        <f aca="false">IFERROR(IF($B74="","",SUMIFS(الريسبي!$F$2:$F$1800,الريسبي!$A$2:$A$1800,$B74)),"")</f>
        <v>33.55</v>
      </c>
      <c r="D74" s="70" t="n">
        <f aca="false">IFERROR(IF($B74="","",المنيو!$C74),"")</f>
        <v>70</v>
      </c>
      <c r="E74" s="12" t="n">
        <f aca="false">IFERROR(IF(OR($B74="",$D74=0,$D74=""),"",$N74/$D74),"")</f>
        <v>0.492598571428572</v>
      </c>
      <c r="F74" s="75" t="n">
        <f aca="false">$F$2</f>
        <v>0.375</v>
      </c>
      <c r="G74" s="13" t="n">
        <f aca="false">IFERROR(IF($B74="","",$N74/$F74),"")</f>
        <v>91.9517333333333</v>
      </c>
      <c r="H74" s="13" t="n">
        <f aca="false">IFERROR(IF($B74="","",$D74-$N74),"")</f>
        <v>35.5181</v>
      </c>
      <c r="I74" s="12" t="n">
        <f aca="false">IFERROR(IF(OR($B74="",$D74=0,$D74=""),"",$H74/$D74),"")</f>
        <v>0.507401428571429</v>
      </c>
      <c r="J74" s="75" t="n">
        <f aca="false">$J$2</f>
        <v>0.25</v>
      </c>
      <c r="K74" s="12" t="n">
        <f aca="false">IFERROR(IF($B74="","",$E74+$J74),"")</f>
        <v>0.742598571428571</v>
      </c>
      <c r="L74" s="73" t="n">
        <f aca="false">IFERROR(IF(OR($B74="",$C74=0,$C74=""),"",$I74+ROW()*0.0000001),"")</f>
        <v>0.507408828571429</v>
      </c>
      <c r="M74" s="76" t="n">
        <f aca="false">$M$2</f>
        <v>0.9319</v>
      </c>
      <c r="N74" s="13" t="n">
        <f aca="false">IFERROR(IF($B74="","",$C74+$M74),"")</f>
        <v>34.4819</v>
      </c>
    </row>
    <row r="75" customFormat="false" ht="39" hidden="false" customHeight="true" outlineLevel="0" collapsed="false">
      <c r="A75" s="69" t="str">
        <f aca="false">IFERROR(IF(المنيو!$B75="","",المنيو!$A75),"")</f>
        <v>قسم المشروبات</v>
      </c>
      <c r="B75" s="69" t="str">
        <f aca="false">IFERROR(المنيو!$B75,"")</f>
        <v>بيبسي كانز</v>
      </c>
      <c r="C75" s="13" t="n">
        <f aca="false">IFERROR(IF($B75="","",SUMIFS(الريسبي!$F$2:$F$1800,الريسبي!$A$2:$A$1800,$B75)),"")</f>
        <v>17.1875</v>
      </c>
      <c r="D75" s="70" t="n">
        <f aca="false">IFERROR(IF($B75="","",المنيو!$C75),"")</f>
        <v>30</v>
      </c>
      <c r="E75" s="12" t="n">
        <f aca="false">IFERROR(IF(OR($B75="",$D75=0,$D75=""),"",$N75/$D75),"")</f>
        <v>0.60398</v>
      </c>
      <c r="F75" s="75" t="n">
        <f aca="false">$F$2</f>
        <v>0.375</v>
      </c>
      <c r="G75" s="13" t="n">
        <f aca="false">IFERROR(IF($B75="","",$N75/$F75),"")</f>
        <v>48.3184</v>
      </c>
      <c r="H75" s="13" t="n">
        <f aca="false">IFERROR(IF($B75="","",$D75-$N75),"")</f>
        <v>11.8806</v>
      </c>
      <c r="I75" s="12" t="n">
        <f aca="false">IFERROR(IF(OR($B75="",$D75=0,$D75=""),"",$H75/$D75),"")</f>
        <v>0.39602</v>
      </c>
      <c r="J75" s="75" t="n">
        <f aca="false">$J$2</f>
        <v>0.25</v>
      </c>
      <c r="K75" s="12" t="n">
        <f aca="false">IFERROR(IF($B75="","",$E75+$J75),"")</f>
        <v>0.85398</v>
      </c>
      <c r="L75" s="73" t="n">
        <f aca="false">IFERROR(IF(OR($B75="",$C75=0,$C75=""),"",$I75+ROW()*0.0000001),"")</f>
        <v>0.3960275</v>
      </c>
      <c r="M75" s="76" t="n">
        <f aca="false">$M$2</f>
        <v>0.9319</v>
      </c>
      <c r="N75" s="13" t="n">
        <f aca="false">IFERROR(IF($B75="","",$C75+$M75),"")</f>
        <v>18.1194</v>
      </c>
    </row>
    <row r="76" customFormat="false" ht="39" hidden="false" customHeight="true" outlineLevel="0" collapsed="false">
      <c r="A76" s="69" t="str">
        <f aca="false">IFERROR(IF(المنيو!$B76="","",المنيو!$A76),"")</f>
        <v>قسم المشروبات</v>
      </c>
      <c r="B76" s="69" t="str">
        <f aca="false">IFERROR(المنيو!$B76,"")</f>
        <v>بيبسي لتر</v>
      </c>
      <c r="C76" s="13" t="n">
        <f aca="false">IFERROR(IF($B76="","",SUMIFS(الريسبي!$F$2:$F$1800,الريسبي!$A$2:$A$1800,$B76)),"")</f>
        <v>30</v>
      </c>
      <c r="D76" s="70" t="n">
        <f aca="false">IFERROR(IF($B76="","",المنيو!$C76),"")</f>
        <v>35</v>
      </c>
      <c r="E76" s="12" t="n">
        <f aca="false">IFERROR(IF(OR($B76="",$D76=0,$D76=""),"",$N76/$D76),"")</f>
        <v>0.883768571428571</v>
      </c>
      <c r="F76" s="75" t="n">
        <f aca="false">$F$2</f>
        <v>0.375</v>
      </c>
      <c r="G76" s="13" t="n">
        <f aca="false">IFERROR(IF($B76="","",$N76/$F76),"")</f>
        <v>82.4850666666667</v>
      </c>
      <c r="H76" s="13" t="n">
        <f aca="false">IFERROR(IF($B76="","",$D76-$N76),"")</f>
        <v>4.0681</v>
      </c>
      <c r="I76" s="12" t="n">
        <f aca="false">IFERROR(IF(OR($B76="",$D76=0,$D76=""),"",$H76/$D76),"")</f>
        <v>0.116231428571429</v>
      </c>
      <c r="J76" s="75" t="n">
        <f aca="false">$J$2</f>
        <v>0.25</v>
      </c>
      <c r="K76" s="12" t="n">
        <f aca="false">IFERROR(IF($B76="","",$E76+$J76),"")</f>
        <v>1.13376857142857</v>
      </c>
      <c r="L76" s="73" t="n">
        <f aca="false">IFERROR(IF(OR($B76="",$C76=0,$C76=""),"",$I76+ROW()*0.0000001),"")</f>
        <v>0.116239028571429</v>
      </c>
      <c r="M76" s="76" t="n">
        <f aca="false">$M$2</f>
        <v>0.9319</v>
      </c>
      <c r="N76" s="13" t="n">
        <f aca="false">IFERROR(IF($B76="","",$C76+$M76),"")</f>
        <v>30.9319</v>
      </c>
    </row>
    <row r="77" customFormat="false" ht="39" hidden="false" customHeight="true" outlineLevel="0" collapsed="false">
      <c r="A77" s="69" t="str">
        <f aca="false">IFERROR(IF(المنيو!$B77="","",المنيو!$A77),"")</f>
        <v>قسم البيتزا الصيامي</v>
      </c>
      <c r="B77" s="69" t="str">
        <f aca="false">IFERROR(المنيو!$B77,"")</f>
        <v>بيتزا مارجريتا صيامي وسط</v>
      </c>
      <c r="C77" s="13" t="n">
        <f aca="false">IFERROR(IF($B77="","",SUMIFS(الريسبي!$F$2:$F$1800,الريسبي!$A$2:$A$1800,$B77)),"")</f>
        <v>35.4165</v>
      </c>
      <c r="D77" s="70" t="n">
        <f aca="false">IFERROR(IF($B77="","",المنيو!$C77),"")</f>
        <v>90</v>
      </c>
      <c r="E77" s="12" t="n">
        <f aca="false">IFERROR(IF(OR($B77="",$D77=0,$D77=""),"",$N77/$D77),"")</f>
        <v>0.403871111111111</v>
      </c>
      <c r="F77" s="75" t="n">
        <f aca="false">$F$2</f>
        <v>0.375</v>
      </c>
      <c r="G77" s="13" t="n">
        <f aca="false">IFERROR(IF($B77="","",$N77/$F77),"")</f>
        <v>96.9290666666667</v>
      </c>
      <c r="H77" s="13" t="n">
        <f aca="false">IFERROR(IF($B77="","",$D77-$N77),"")</f>
        <v>53.6516</v>
      </c>
      <c r="I77" s="12" t="n">
        <f aca="false">IFERROR(IF(OR($B77="",$D77=0,$D77=""),"",$H77/$D77),"")</f>
        <v>0.596128888888889</v>
      </c>
      <c r="J77" s="75" t="n">
        <f aca="false">$J$2</f>
        <v>0.25</v>
      </c>
      <c r="K77" s="12" t="n">
        <f aca="false">IFERROR(IF($B77="","",$E77+$J77),"")</f>
        <v>0.653871111111111</v>
      </c>
      <c r="L77" s="73" t="n">
        <f aca="false">IFERROR(IF(OR($B77="",$C77=0,$C77=""),"",$I77+ROW()*0.0000001),"")</f>
        <v>0.596136588888889</v>
      </c>
      <c r="M77" s="76" t="n">
        <f aca="false">$M$2</f>
        <v>0.9319</v>
      </c>
      <c r="N77" s="13" t="n">
        <f aca="false">IFERROR(IF($B77="","",$C77+$M77),"")</f>
        <v>36.3484</v>
      </c>
    </row>
    <row r="78" customFormat="false" ht="39" hidden="false" customHeight="true" outlineLevel="0" collapsed="false">
      <c r="A78" s="69" t="str">
        <f aca="false">IFERROR(IF(المنيو!$B78="","",المنيو!$A78),"")</f>
        <v>قسم البيتزا الصيامي</v>
      </c>
      <c r="B78" s="69" t="str">
        <f aca="false">IFERROR(المنيو!$B78,"")</f>
        <v>بيتزا مارجريتا صيامي مخصوص</v>
      </c>
      <c r="C78" s="13" t="n">
        <f aca="false">IFERROR(IF($B78="","",SUMIFS(الريسبي!$F$2:$F$1800,الريسبي!$A$2:$A$1800,$B78)),"")</f>
        <v>48.1515</v>
      </c>
      <c r="D78" s="70" t="n">
        <f aca="false">IFERROR(IF($B78="","",المنيو!$C78),"")</f>
        <v>120</v>
      </c>
      <c r="E78" s="12" t="n">
        <f aca="false">IFERROR(IF(OR($B78="",$D78=0,$D78=""),"",$N78/$D78),"")</f>
        <v>0.409028333333333</v>
      </c>
      <c r="F78" s="75" t="n">
        <f aca="false">$F$2</f>
        <v>0.375</v>
      </c>
      <c r="G78" s="13" t="n">
        <f aca="false">IFERROR(IF($B78="","",$N78/$F78),"")</f>
        <v>130.889066666667</v>
      </c>
      <c r="H78" s="13" t="n">
        <f aca="false">IFERROR(IF($B78="","",$D78-$N78),"")</f>
        <v>70.9166</v>
      </c>
      <c r="I78" s="12" t="n">
        <f aca="false">IFERROR(IF(OR($B78="",$D78=0,$D78=""),"",$H78/$D78),"")</f>
        <v>0.590971666666667</v>
      </c>
      <c r="J78" s="75" t="n">
        <f aca="false">$J$2</f>
        <v>0.25</v>
      </c>
      <c r="K78" s="12" t="n">
        <f aca="false">IFERROR(IF($B78="","",$E78+$J78),"")</f>
        <v>0.659028333333333</v>
      </c>
      <c r="L78" s="73" t="n">
        <f aca="false">IFERROR(IF(OR($B78="",$C78=0,$C78=""),"",$I78+ROW()*0.0000001),"")</f>
        <v>0.590979466666667</v>
      </c>
      <c r="M78" s="76" t="n">
        <f aca="false">$M$2</f>
        <v>0.9319</v>
      </c>
      <c r="N78" s="13" t="n">
        <f aca="false">IFERROR(IF($B78="","",$C78+$M78),"")</f>
        <v>49.0834</v>
      </c>
    </row>
    <row r="79" customFormat="false" ht="39" hidden="false" customHeight="true" outlineLevel="0" collapsed="false">
      <c r="A79" s="69" t="str">
        <f aca="false">IFERROR(IF(المنيو!$B79="","",المنيو!$A79),"")</f>
        <v>قسم البيتزا الصيامي</v>
      </c>
      <c r="B79" s="69" t="str">
        <f aca="false">IFERROR(المنيو!$B79,"")</f>
        <v>بيتزا مشروم صيامي وسط</v>
      </c>
      <c r="C79" s="13" t="n">
        <f aca="false">IFERROR(IF($B79="","",SUMIFS(الريسبي!$F$2:$F$1800,الريسبي!$A$2:$A$1800,$B79)),"")</f>
        <v>50.53677</v>
      </c>
      <c r="D79" s="70" t="n">
        <f aca="false">IFERROR(IF($B79="","",المنيو!$C79),"")</f>
        <v>115</v>
      </c>
      <c r="E79" s="12" t="n">
        <f aca="false">IFERROR(IF(OR($B79="",$D79=0,$D79=""),"",$N79/$D79),"")</f>
        <v>0.447553652173913</v>
      </c>
      <c r="F79" s="75" t="n">
        <f aca="false">$F$2</f>
        <v>0.375</v>
      </c>
      <c r="G79" s="13" t="n">
        <f aca="false">IFERROR(IF($B79="","",$N79/$F79),"")</f>
        <v>137.249786666667</v>
      </c>
      <c r="H79" s="13" t="n">
        <f aca="false">IFERROR(IF($B79="","",$D79-$N79),"")</f>
        <v>63.53133</v>
      </c>
      <c r="I79" s="12" t="n">
        <f aca="false">IFERROR(IF(OR($B79="",$D79=0,$D79=""),"",$H79/$D79),"")</f>
        <v>0.552446347826087</v>
      </c>
      <c r="J79" s="75" t="n">
        <f aca="false">$J$2</f>
        <v>0.25</v>
      </c>
      <c r="K79" s="12" t="n">
        <f aca="false">IFERROR(IF($B79="","",$E79+$J79),"")</f>
        <v>0.697553652173913</v>
      </c>
      <c r="L79" s="73" t="n">
        <f aca="false">IFERROR(IF(OR($B79="",$C79=0,$C79=""),"",$I79+ROW()*0.0000001),"")</f>
        <v>0.552454247826087</v>
      </c>
      <c r="M79" s="76" t="n">
        <f aca="false">$M$2</f>
        <v>0.9319</v>
      </c>
      <c r="N79" s="13" t="n">
        <f aca="false">IFERROR(IF($B79="","",$C79+$M79),"")</f>
        <v>51.46867</v>
      </c>
    </row>
    <row r="80" customFormat="false" ht="39" hidden="false" customHeight="true" outlineLevel="0" collapsed="false">
      <c r="A80" s="69" t="str">
        <f aca="false">IFERROR(IF(المنيو!$B80="","",المنيو!$A80),"")</f>
        <v>قسم البيتزا الصيامي</v>
      </c>
      <c r="B80" s="69" t="str">
        <f aca="false">IFERROR(المنيو!$B80,"")</f>
        <v>بيتزا مشروم صيامي مخصوص</v>
      </c>
      <c r="C80" s="13" t="n">
        <f aca="false">IFERROR(IF($B80="","",SUMIFS(الريسبي!$F$2:$F$1800,الريسبي!$A$2:$A$1800,$B80)),"")</f>
        <v>70.831905</v>
      </c>
      <c r="D80" s="70" t="n">
        <f aca="false">IFERROR(IF($B80="","",المنيو!$C80),"")</f>
        <v>170</v>
      </c>
      <c r="E80" s="12" t="n">
        <f aca="false">IFERROR(IF(OR($B80="",$D80=0,$D80=""),"",$N80/$D80),"")</f>
        <v>0.422140029411765</v>
      </c>
      <c r="F80" s="75" t="n">
        <f aca="false">$F$2</f>
        <v>0.375</v>
      </c>
      <c r="G80" s="13" t="n">
        <f aca="false">IFERROR(IF($B80="","",$N80/$F80),"")</f>
        <v>191.370146666667</v>
      </c>
      <c r="H80" s="13" t="n">
        <f aca="false">IFERROR(IF($B80="","",$D80-$N80),"")</f>
        <v>98.236195</v>
      </c>
      <c r="I80" s="12" t="n">
        <f aca="false">IFERROR(IF(OR($B80="",$D80=0,$D80=""),"",$H80/$D80),"")</f>
        <v>0.577859970588235</v>
      </c>
      <c r="J80" s="75" t="n">
        <f aca="false">$J$2</f>
        <v>0.25</v>
      </c>
      <c r="K80" s="12" t="n">
        <f aca="false">IFERROR(IF($B80="","",$E80+$J80),"")</f>
        <v>0.672140029411765</v>
      </c>
      <c r="L80" s="73" t="n">
        <f aca="false">IFERROR(IF(OR($B80="",$C80=0,$C80=""),"",$I80+ROW()*0.0000001),"")</f>
        <v>0.577867970588235</v>
      </c>
      <c r="M80" s="76" t="n">
        <f aca="false">$M$2</f>
        <v>0.9319</v>
      </c>
      <c r="N80" s="13" t="n">
        <f aca="false">IFERROR(IF($B80="","",$C80+$M80),"")</f>
        <v>71.763805</v>
      </c>
    </row>
    <row r="81" customFormat="false" ht="39" hidden="false" customHeight="true" outlineLevel="0" collapsed="false">
      <c r="A81" s="69" t="str">
        <f aca="false">IFERROR(IF(المنيو!$B81="","",المنيو!$A81),"")</f>
        <v>قسم البيتزا الصيامي</v>
      </c>
      <c r="B81" s="69" t="str">
        <f aca="false">IFERROR(المنيو!$B81,"")</f>
        <v>بيتزا سوسيس صيامي وسط</v>
      </c>
      <c r="C81" s="13" t="n">
        <f aca="false">IFERROR(IF($B81="","",SUMIFS(الريسبي!$F$2:$F$1800,الريسبي!$A$2:$A$1800,$B81)),"")</f>
        <v>61.8189</v>
      </c>
      <c r="D81" s="70" t="n">
        <f aca="false">IFERROR(IF($B81="","",المنيو!$C81),"")</f>
        <v>120</v>
      </c>
      <c r="E81" s="12" t="n">
        <f aca="false">IFERROR(IF(OR($B81="",$D81=0,$D81=""),"",$N81/$D81),"")</f>
        <v>0.522923333333333</v>
      </c>
      <c r="F81" s="75" t="n">
        <f aca="false">$F$2</f>
        <v>0.375</v>
      </c>
      <c r="G81" s="13" t="n">
        <f aca="false">IFERROR(IF($B81="","",$N81/$F81),"")</f>
        <v>167.335466666667</v>
      </c>
      <c r="H81" s="13" t="n">
        <f aca="false">IFERROR(IF($B81="","",$D81-$N81),"")</f>
        <v>57.2492</v>
      </c>
      <c r="I81" s="12" t="n">
        <f aca="false">IFERROR(IF(OR($B81="",$D81=0,$D81=""),"",$H81/$D81),"")</f>
        <v>0.477076666666667</v>
      </c>
      <c r="J81" s="75" t="n">
        <f aca="false">$J$2</f>
        <v>0.25</v>
      </c>
      <c r="K81" s="12" t="n">
        <f aca="false">IFERROR(IF($B81="","",$E81+$J81),"")</f>
        <v>0.772923333333333</v>
      </c>
      <c r="L81" s="73" t="n">
        <f aca="false">IFERROR(IF(OR($B81="",$C81=0,$C81=""),"",$I81+ROW()*0.0000001),"")</f>
        <v>0.477084766666667</v>
      </c>
      <c r="M81" s="76" t="n">
        <f aca="false">$M$2</f>
        <v>0.9319</v>
      </c>
      <c r="N81" s="13" t="n">
        <f aca="false">IFERROR(IF($B81="","",$C81+$M81),"")</f>
        <v>62.7508</v>
      </c>
    </row>
    <row r="82" customFormat="false" ht="39" hidden="false" customHeight="true" outlineLevel="0" collapsed="false">
      <c r="A82" s="69" t="str">
        <f aca="false">IFERROR(IF(المنيو!$B82="","",المنيو!$A82),"")</f>
        <v>قسم البيتزا الصيامي</v>
      </c>
      <c r="B82" s="69" t="str">
        <f aca="false">IFERROR(المنيو!$B82,"")</f>
        <v>بيتزا سوسيس صيامي مخصوص</v>
      </c>
      <c r="C82" s="13" t="n">
        <f aca="false">IFERROR(IF($B82="","",SUMIFS(الريسبي!$F$2:$F$1800,الريسبي!$A$2:$A$1800,$B82)),"")</f>
        <v>87.7551</v>
      </c>
      <c r="D82" s="70" t="n">
        <f aca="false">IFERROR(IF($B82="","",المنيو!$C82),"")</f>
        <v>190</v>
      </c>
      <c r="E82" s="12" t="n">
        <f aca="false">IFERROR(IF(OR($B82="",$D82=0,$D82=""),"",$N82/$D82),"")</f>
        <v>0.466773684210526</v>
      </c>
      <c r="F82" s="75" t="n">
        <f aca="false">$F$2</f>
        <v>0.375</v>
      </c>
      <c r="G82" s="13" t="n">
        <f aca="false">IFERROR(IF($B82="","",$N82/$F82),"")</f>
        <v>236.498666666667</v>
      </c>
      <c r="H82" s="13" t="n">
        <f aca="false">IFERROR(IF($B82="","",$D82-$N82),"")</f>
        <v>101.313</v>
      </c>
      <c r="I82" s="12" t="n">
        <f aca="false">IFERROR(IF(OR($B82="",$D82=0,$D82=""),"",$H82/$D82),"")</f>
        <v>0.533226315789474</v>
      </c>
      <c r="J82" s="75" t="n">
        <f aca="false">$J$2</f>
        <v>0.25</v>
      </c>
      <c r="K82" s="12" t="n">
        <f aca="false">IFERROR(IF($B82="","",$E82+$J82),"")</f>
        <v>0.716773684210526</v>
      </c>
      <c r="L82" s="73" t="n">
        <f aca="false">IFERROR(IF(OR($B82="",$C82=0,$C82=""),"",$I82+ROW()*0.0000001),"")</f>
        <v>0.533234515789474</v>
      </c>
      <c r="M82" s="76" t="n">
        <f aca="false">$M$2</f>
        <v>0.9319</v>
      </c>
      <c r="N82" s="13" t="n">
        <f aca="false">IFERROR(IF($B82="","",$C82+$M82),"")</f>
        <v>88.687</v>
      </c>
    </row>
    <row r="83" customFormat="false" ht="39" hidden="false" customHeight="true" outlineLevel="0" collapsed="false">
      <c r="A83" s="69" t="str">
        <f aca="false">IFERROR(IF(المنيو!$B83="","",المنيو!$A83),"")</f>
        <v>قسم البيتزا الصيامي</v>
      </c>
      <c r="B83" s="69" t="str">
        <f aca="false">IFERROR(المنيو!$B83,"")</f>
        <v>بيتزا شاورما لحم / فراخ صيامي وسط</v>
      </c>
      <c r="C83" s="13" t="n">
        <f aca="false">IFERROR(IF($B83="","",SUMIFS(الريسبي!$F$2:$F$1800,الريسبي!$A$2:$A$1800,$B83)),"")</f>
        <v>66.1087</v>
      </c>
      <c r="D83" s="70" t="n">
        <f aca="false">IFERROR(IF($B83="","",المنيو!$C83),"")</f>
        <v>130</v>
      </c>
      <c r="E83" s="12" t="n">
        <f aca="false">IFERROR(IF(OR($B83="",$D83=0,$D83=""),"",$N83/$D83),"")</f>
        <v>0.515696923076923</v>
      </c>
      <c r="F83" s="75" t="n">
        <f aca="false">$F$2</f>
        <v>0.375</v>
      </c>
      <c r="G83" s="13" t="n">
        <f aca="false">IFERROR(IF($B83="","",$N83/$F83),"")</f>
        <v>178.774933333333</v>
      </c>
      <c r="H83" s="13" t="n">
        <f aca="false">IFERROR(IF($B83="","",$D83-$N83),"")</f>
        <v>62.9594</v>
      </c>
      <c r="I83" s="12" t="n">
        <f aca="false">IFERROR(IF(OR($B83="",$D83=0,$D83=""),"",$H83/$D83),"")</f>
        <v>0.484303076923077</v>
      </c>
      <c r="J83" s="75" t="n">
        <f aca="false">$J$2</f>
        <v>0.25</v>
      </c>
      <c r="K83" s="12" t="n">
        <f aca="false">IFERROR(IF($B83="","",$E83+$J83),"")</f>
        <v>0.765696923076923</v>
      </c>
      <c r="L83" s="73" t="n">
        <f aca="false">IFERROR(IF(OR($B83="",$C83=0,$C83=""),"",$I83+ROW()*0.0000001),"")</f>
        <v>0.484311376923077</v>
      </c>
      <c r="M83" s="76" t="n">
        <f aca="false">$M$2</f>
        <v>0.9319</v>
      </c>
      <c r="N83" s="13" t="n">
        <f aca="false">IFERROR(IF($B83="","",$C83+$M83),"")</f>
        <v>67.0406</v>
      </c>
    </row>
    <row r="84" customFormat="false" ht="39" hidden="false" customHeight="true" outlineLevel="0" collapsed="false">
      <c r="A84" s="69" t="str">
        <f aca="false">IFERROR(IF(المنيو!$B84="","",المنيو!$A84),"")</f>
        <v>قسم البيتزا الصيامي</v>
      </c>
      <c r="B84" s="69" t="str">
        <f aca="false">IFERROR(المنيو!$B84,"")</f>
        <v>بيتزا شاورما لحم / فراخ صيامي مخصوص</v>
      </c>
      <c r="C84" s="13" t="n">
        <f aca="false">IFERROR(IF($B84="","",SUMIFS(الريسبي!$F$2:$F$1800,الريسبي!$A$2:$A$1800,$B84)),"")</f>
        <v>94.1898</v>
      </c>
      <c r="D84" s="70" t="n">
        <f aca="false">IFERROR(IF($B84="","",المنيو!$C84),"")</f>
        <v>200</v>
      </c>
      <c r="E84" s="12" t="n">
        <f aca="false">IFERROR(IF(OR($B84="",$D84=0,$D84=""),"",$N84/$D84),"")</f>
        <v>0.4756085</v>
      </c>
      <c r="F84" s="75" t="n">
        <f aca="false">$F$2</f>
        <v>0.375</v>
      </c>
      <c r="G84" s="13" t="n">
        <f aca="false">IFERROR(IF($B84="","",$N84/$F84),"")</f>
        <v>253.657866666667</v>
      </c>
      <c r="H84" s="13" t="n">
        <f aca="false">IFERROR(IF($B84="","",$D84-$N84),"")</f>
        <v>104.8783</v>
      </c>
      <c r="I84" s="12" t="n">
        <f aca="false">IFERROR(IF(OR($B84="",$D84=0,$D84=""),"",$H84/$D84),"")</f>
        <v>0.5243915</v>
      </c>
      <c r="J84" s="75" t="n">
        <f aca="false">$J$2</f>
        <v>0.25</v>
      </c>
      <c r="K84" s="12" t="n">
        <f aca="false">IFERROR(IF($B84="","",$E84+$J84),"")</f>
        <v>0.7256085</v>
      </c>
      <c r="L84" s="73" t="n">
        <f aca="false">IFERROR(IF(OR($B84="",$C84=0,$C84=""),"",$I84+ROW()*0.0000001),"")</f>
        <v>0.5243999</v>
      </c>
      <c r="M84" s="76" t="n">
        <f aca="false">$M$2</f>
        <v>0.9319</v>
      </c>
      <c r="N84" s="13" t="n">
        <f aca="false">IFERROR(IF($B84="","",$C84+$M84),"")</f>
        <v>95.1217</v>
      </c>
    </row>
    <row r="85" customFormat="false" ht="39" hidden="false" customHeight="true" outlineLevel="0" collapsed="false">
      <c r="A85" s="69" t="str">
        <f aca="false">IFERROR(IF(المنيو!$B85="","",المنيو!$A85),"")</f>
        <v>قسم البيتزا الصيامي</v>
      </c>
      <c r="B85" s="69" t="str">
        <f aca="false">IFERROR(المنيو!$B85,"")</f>
        <v>بيتزا مشكل جبن صيامي وسط</v>
      </c>
      <c r="C85" s="13" t="n">
        <f aca="false">IFERROR(IF($B85="","",SUMIFS(الريسبي!$F$2:$F$1800,الريسبي!$A$2:$A$1800,$B85)),"")</f>
        <v>45.9165</v>
      </c>
      <c r="D85" s="70" t="n">
        <f aca="false">IFERROR(IF($B85="","",المنيو!$C85),"")</f>
        <v>130</v>
      </c>
      <c r="E85" s="12" t="n">
        <f aca="false">IFERROR(IF(OR($B85="",$D85=0,$D85=""),"",$N85/$D85),"")</f>
        <v>0.360372307692308</v>
      </c>
      <c r="F85" s="75" t="n">
        <f aca="false">$F$2</f>
        <v>0.375</v>
      </c>
      <c r="G85" s="13" t="n">
        <f aca="false">IFERROR(IF($B85="","",$N85/$F85),"")</f>
        <v>124.929066666667</v>
      </c>
      <c r="H85" s="13" t="n">
        <f aca="false">IFERROR(IF($B85="","",$D85-$N85),"")</f>
        <v>83.1516</v>
      </c>
      <c r="I85" s="12" t="n">
        <f aca="false">IFERROR(IF(OR($B85="",$D85=0,$D85=""),"",$H85/$D85),"")</f>
        <v>0.639627692307692</v>
      </c>
      <c r="J85" s="75" t="n">
        <f aca="false">$J$2</f>
        <v>0.25</v>
      </c>
      <c r="K85" s="12" t="n">
        <f aca="false">IFERROR(IF($B85="","",$E85+$J85),"")</f>
        <v>0.610372307692308</v>
      </c>
      <c r="L85" s="73" t="n">
        <f aca="false">IFERROR(IF(OR($B85="",$C85=0,$C85=""),"",$I85+ROW()*0.0000001),"")</f>
        <v>0.639636192307692</v>
      </c>
      <c r="M85" s="76" t="n">
        <f aca="false">$M$2</f>
        <v>0.9319</v>
      </c>
      <c r="N85" s="13" t="n">
        <f aca="false">IFERROR(IF($B85="","",$C85+$M85),"")</f>
        <v>46.8484</v>
      </c>
    </row>
    <row r="86" customFormat="false" ht="39" hidden="false" customHeight="true" outlineLevel="0" collapsed="false">
      <c r="A86" s="69" t="str">
        <f aca="false">IFERROR(IF(المنيو!$B86="","",المنيو!$A86),"")</f>
        <v>قسم البيتزا الصيامي</v>
      </c>
      <c r="B86" s="69" t="str">
        <f aca="false">IFERROR(المنيو!$B86,"")</f>
        <v>بيتزا مشكل جبن صيامي مخصوص</v>
      </c>
      <c r="C86" s="13" t="n">
        <f aca="false">IFERROR(IF($B86="","",SUMIFS(الريسبي!$F$2:$F$1800,الريسبي!$A$2:$A$1800,$B86)),"")</f>
        <v>63.9015</v>
      </c>
      <c r="D86" s="70" t="n">
        <f aca="false">IFERROR(IF($B86="","",المنيو!$C86),"")</f>
        <v>190</v>
      </c>
      <c r="E86" s="12" t="n">
        <f aca="false">IFERROR(IF(OR($B86="",$D86=0,$D86=""),"",$N86/$D86),"")</f>
        <v>0.341228421052632</v>
      </c>
      <c r="F86" s="75" t="n">
        <f aca="false">$F$2</f>
        <v>0.375</v>
      </c>
      <c r="G86" s="13" t="n">
        <f aca="false">IFERROR(IF($B86="","",$N86/$F86),"")</f>
        <v>172.889066666667</v>
      </c>
      <c r="H86" s="13" t="n">
        <f aca="false">IFERROR(IF($B86="","",$D86-$N86),"")</f>
        <v>125.1666</v>
      </c>
      <c r="I86" s="12" t="n">
        <f aca="false">IFERROR(IF(OR($B86="",$D86=0,$D86=""),"",$H86/$D86),"")</f>
        <v>0.658771578947369</v>
      </c>
      <c r="J86" s="75" t="n">
        <f aca="false">$J$2</f>
        <v>0.25</v>
      </c>
      <c r="K86" s="12" t="n">
        <f aca="false">IFERROR(IF($B86="","",$E86+$J86),"")</f>
        <v>0.591228421052632</v>
      </c>
      <c r="L86" s="73" t="n">
        <f aca="false">IFERROR(IF(OR($B86="",$C86=0,$C86=""),"",$I86+ROW()*0.0000001),"")</f>
        <v>0.658780178947369</v>
      </c>
      <c r="M86" s="76" t="n">
        <f aca="false">$M$2</f>
        <v>0.9319</v>
      </c>
      <c r="N86" s="13" t="n">
        <f aca="false">IFERROR(IF($B86="","",$C86+$M86),"")</f>
        <v>64.8334</v>
      </c>
    </row>
    <row r="87" customFormat="false" ht="39" hidden="false" customHeight="true" outlineLevel="0" collapsed="false">
      <c r="A87" s="69" t="str">
        <f aca="false">IFERROR(IF(المنيو!$B87="","",المنيو!$A87),"")</f>
        <v>قسم البيتزا الصيامي</v>
      </c>
      <c r="B87" s="69" t="str">
        <f aca="false">IFERROR(المنيو!$B87,"")</f>
        <v>بيتزا فراخ باربيكيو صيامي وسط</v>
      </c>
      <c r="C87" s="13" t="n">
        <f aca="false">IFERROR(IF($B87="","",SUMIFS(الريسبي!$F$2:$F$1800,الريسبي!$A$2:$A$1800,$B87)),"")</f>
        <v>68.9942</v>
      </c>
      <c r="D87" s="70" t="n">
        <f aca="false">IFERROR(IF($B87="","",المنيو!$C87),"")</f>
        <v>155</v>
      </c>
      <c r="E87" s="12" t="n">
        <f aca="false">IFERROR(IF(OR($B87="",$D87=0,$D87=""),"",$N87/$D87),"")</f>
        <v>0.451136129032258</v>
      </c>
      <c r="F87" s="75" t="n">
        <f aca="false">$F$2</f>
        <v>0.375</v>
      </c>
      <c r="G87" s="13" t="n">
        <f aca="false">IFERROR(IF($B87="","",$N87/$F87),"")</f>
        <v>186.4696</v>
      </c>
      <c r="H87" s="13" t="n">
        <f aca="false">IFERROR(IF($B87="","",$D87-$N87),"")</f>
        <v>85.0739</v>
      </c>
      <c r="I87" s="12" t="n">
        <f aca="false">IFERROR(IF(OR($B87="",$D87=0,$D87=""),"",$H87/$D87),"")</f>
        <v>0.548863870967742</v>
      </c>
      <c r="J87" s="75" t="n">
        <f aca="false">$J$2</f>
        <v>0.25</v>
      </c>
      <c r="K87" s="12" t="n">
        <f aca="false">IFERROR(IF($B87="","",$E87+$J87),"")</f>
        <v>0.701136129032258</v>
      </c>
      <c r="L87" s="73" t="n">
        <f aca="false">IFERROR(IF(OR($B87="",$C87=0,$C87=""),"",$I87+ROW()*0.0000001),"")</f>
        <v>0.548872570967742</v>
      </c>
      <c r="M87" s="76" t="n">
        <f aca="false">$M$2</f>
        <v>0.9319</v>
      </c>
      <c r="N87" s="13" t="n">
        <f aca="false">IFERROR(IF($B87="","",$C87+$M87),"")</f>
        <v>69.9261</v>
      </c>
    </row>
    <row r="88" customFormat="false" ht="39" hidden="false" customHeight="true" outlineLevel="0" collapsed="false">
      <c r="A88" s="69" t="str">
        <f aca="false">IFERROR(IF(المنيو!$B88="","",المنيو!$A88),"")</f>
        <v>قسم البيتزا الصيامي</v>
      </c>
      <c r="B88" s="69" t="str">
        <f aca="false">IFERROR(المنيو!$B88,"")</f>
        <v>بيتزا فراخ باربيكيو صيامي مخصوص</v>
      </c>
      <c r="C88" s="13" t="n">
        <f aca="false">IFERROR(IF($B88="","",SUMIFS(الريسبي!$F$2:$F$1800,الريسبي!$A$2:$A$1800,$B88)),"")</f>
        <v>95.7292</v>
      </c>
      <c r="D88" s="70" t="n">
        <f aca="false">IFERROR(IF($B88="","",المنيو!$C88),"")</f>
        <v>230</v>
      </c>
      <c r="E88" s="12" t="n">
        <f aca="false">IFERROR(IF(OR($B88="",$D88=0,$D88=""),"",$N88/$D88),"")</f>
        <v>0.420265652173913</v>
      </c>
      <c r="F88" s="75" t="n">
        <f aca="false">$F$2</f>
        <v>0.375</v>
      </c>
      <c r="G88" s="13" t="n">
        <f aca="false">IFERROR(IF($B88="","",$N88/$F88),"")</f>
        <v>257.762933333333</v>
      </c>
      <c r="H88" s="13" t="n">
        <f aca="false">IFERROR(IF($B88="","",$D88-$N88),"")</f>
        <v>133.3389</v>
      </c>
      <c r="I88" s="12" t="n">
        <f aca="false">IFERROR(IF(OR($B88="",$D88=0,$D88=""),"",$H88/$D88),"")</f>
        <v>0.579734347826087</v>
      </c>
      <c r="J88" s="75" t="n">
        <f aca="false">$J$2</f>
        <v>0.25</v>
      </c>
      <c r="K88" s="12" t="n">
        <f aca="false">IFERROR(IF($B88="","",$E88+$J88),"")</f>
        <v>0.670265652173913</v>
      </c>
      <c r="L88" s="73" t="n">
        <f aca="false">IFERROR(IF(OR($B88="",$C88=0,$C88=""),"",$I88+ROW()*0.0000001),"")</f>
        <v>0.579743147826087</v>
      </c>
      <c r="M88" s="76" t="n">
        <f aca="false">$M$2</f>
        <v>0.9319</v>
      </c>
      <c r="N88" s="13" t="n">
        <f aca="false">IFERROR(IF($B88="","",$C88+$M88),"")</f>
        <v>96.6611</v>
      </c>
    </row>
    <row r="89" customFormat="false" ht="39" hidden="false" customHeight="true" outlineLevel="0" collapsed="false">
      <c r="A89" s="69" t="str">
        <f aca="false">IFERROR(IF(المنيو!$B89="","",المنيو!$A89),"")</f>
        <v>قسم البيتزا الصيامي</v>
      </c>
      <c r="B89" s="69" t="str">
        <f aca="false">IFERROR(المنيو!$B89,"")</f>
        <v>بيتزا جمبري صيامي وسط</v>
      </c>
      <c r="C89" s="13" t="n">
        <f aca="false">IFERROR(IF($B89="","",SUMIFS(الريسبي!$F$2:$F$1800,الريسبي!$A$2:$A$1800,$B89)),"")</f>
        <v>130.4165</v>
      </c>
      <c r="D89" s="70" t="n">
        <f aca="false">IFERROR(IF($B89="","",المنيو!$C89),"")</f>
        <v>240</v>
      </c>
      <c r="E89" s="12" t="n">
        <f aca="false">IFERROR(IF(OR($B89="",$D89=0,$D89=""),"",$N89/$D89),"")</f>
        <v>0.547285</v>
      </c>
      <c r="F89" s="75" t="n">
        <f aca="false">$F$2</f>
        <v>0.375</v>
      </c>
      <c r="G89" s="13" t="n">
        <f aca="false">IFERROR(IF($B89="","",$N89/$F89),"")</f>
        <v>350.2624</v>
      </c>
      <c r="H89" s="13" t="n">
        <f aca="false">IFERROR(IF($B89="","",$D89-$N89),"")</f>
        <v>108.6516</v>
      </c>
      <c r="I89" s="12" t="n">
        <f aca="false">IFERROR(IF(OR($B89="",$D89=0,$D89=""),"",$H89/$D89),"")</f>
        <v>0.452715</v>
      </c>
      <c r="J89" s="75" t="n">
        <f aca="false">$J$2</f>
        <v>0.25</v>
      </c>
      <c r="K89" s="12" t="n">
        <f aca="false">IFERROR(IF($B89="","",$E89+$J89),"")</f>
        <v>0.797285</v>
      </c>
      <c r="L89" s="73" t="n">
        <f aca="false">IFERROR(IF(OR($B89="",$C89=0,$C89=""),"",$I89+ROW()*0.0000001),"")</f>
        <v>0.4527239</v>
      </c>
      <c r="M89" s="76" t="n">
        <f aca="false">$M$2</f>
        <v>0.9319</v>
      </c>
      <c r="N89" s="13" t="n">
        <f aca="false">IFERROR(IF($B89="","",$C89+$M89),"")</f>
        <v>131.3484</v>
      </c>
    </row>
    <row r="90" customFormat="false" ht="39" hidden="false" customHeight="true" outlineLevel="0" collapsed="false">
      <c r="A90" s="69" t="str">
        <f aca="false">IFERROR(IF(المنيو!$B90="","",المنيو!$A90),"")</f>
        <v>قسم البيتزا الصيامي</v>
      </c>
      <c r="B90" s="69" t="str">
        <f aca="false">IFERROR(المنيو!$B90,"")</f>
        <v>بيتزا جمبري صيامي مخصوص</v>
      </c>
      <c r="C90" s="13" t="n">
        <f aca="false">IFERROR(IF($B90="","",SUMIFS(الريسبي!$F$2:$F$1800,الريسبي!$A$2:$A$1800,$B90)),"")</f>
        <v>190.6515</v>
      </c>
      <c r="D90" s="70" t="n">
        <f aca="false">IFERROR(IF($B90="","",المنيو!$C90),"")</f>
        <v>360</v>
      </c>
      <c r="E90" s="12" t="n">
        <f aca="false">IFERROR(IF(OR($B90="",$D90=0,$D90=""),"",$N90/$D90),"")</f>
        <v>0.532176111111111</v>
      </c>
      <c r="F90" s="75" t="n">
        <f aca="false">$F$2</f>
        <v>0.375</v>
      </c>
      <c r="G90" s="13" t="n">
        <f aca="false">IFERROR(IF($B90="","",$N90/$F90),"")</f>
        <v>510.889066666667</v>
      </c>
      <c r="H90" s="13" t="n">
        <f aca="false">IFERROR(IF($B90="","",$D90-$N90),"")</f>
        <v>168.4166</v>
      </c>
      <c r="I90" s="12" t="n">
        <f aca="false">IFERROR(IF(OR($B90="",$D90=0,$D90=""),"",$H90/$D90),"")</f>
        <v>0.467823888888889</v>
      </c>
      <c r="J90" s="75" t="n">
        <f aca="false">$J$2</f>
        <v>0.25</v>
      </c>
      <c r="K90" s="12" t="n">
        <f aca="false">IFERROR(IF($B90="","",$E90+$J90),"")</f>
        <v>0.782176111111111</v>
      </c>
      <c r="L90" s="73" t="n">
        <f aca="false">IFERROR(IF(OR($B90="",$C90=0,$C90=""),"",$I90+ROW()*0.0000001),"")</f>
        <v>0.467832888888889</v>
      </c>
      <c r="M90" s="76" t="n">
        <f aca="false">$M$2</f>
        <v>0.9319</v>
      </c>
      <c r="N90" s="13" t="n">
        <f aca="false">IFERROR(IF($B90="","",$C90+$M90),"")</f>
        <v>191.5834</v>
      </c>
    </row>
    <row r="91" customFormat="false" ht="39" hidden="false" customHeight="true" outlineLevel="0" collapsed="false">
      <c r="A91" s="69" t="str">
        <f aca="false">IFERROR(IF(المنيو!$B91="","",المنيو!$A91),"")</f>
        <v>قسم البيتزا الصيامي</v>
      </c>
      <c r="B91" s="69" t="str">
        <f aca="false">IFERROR(المنيو!$B91,"")</f>
        <v>بيتزا تونة صيامي وسط</v>
      </c>
      <c r="C91" s="13" t="n">
        <f aca="false">IFERROR(IF($B91="","",SUMIFS(الريسبي!$F$2:$F$1800,الريسبي!$A$2:$A$1800,$B91)),"")</f>
        <v>77.4465</v>
      </c>
      <c r="D91" s="70" t="n">
        <f aca="false">IFERROR(IF($B91="","",المنيو!$C91),"")</f>
        <v>180</v>
      </c>
      <c r="E91" s="12" t="n">
        <f aca="false">IFERROR(IF(OR($B91="",$D91=0,$D91=""),"",$N91/$D91),"")</f>
        <v>0.435435555555556</v>
      </c>
      <c r="F91" s="75" t="n">
        <f aca="false">$F$2</f>
        <v>0.375</v>
      </c>
      <c r="G91" s="13" t="n">
        <f aca="false">IFERROR(IF($B91="","",$N91/$F91),"")</f>
        <v>209.009066666667</v>
      </c>
      <c r="H91" s="13" t="n">
        <f aca="false">IFERROR(IF($B91="","",$D91-$N91),"")</f>
        <v>101.6216</v>
      </c>
      <c r="I91" s="12" t="n">
        <f aca="false">IFERROR(IF(OR($B91="",$D91=0,$D91=""),"",$H91/$D91),"")</f>
        <v>0.564564444444444</v>
      </c>
      <c r="J91" s="75" t="n">
        <f aca="false">$J$2</f>
        <v>0.25</v>
      </c>
      <c r="K91" s="12" t="n">
        <f aca="false">IFERROR(IF($B91="","",$E91+$J91),"")</f>
        <v>0.685435555555556</v>
      </c>
      <c r="L91" s="73" t="n">
        <f aca="false">IFERROR(IF(OR($B91="",$C91=0,$C91=""),"",$I91+ROW()*0.0000001),"")</f>
        <v>0.564573544444444</v>
      </c>
      <c r="M91" s="76" t="n">
        <f aca="false">$M$2</f>
        <v>0.9319</v>
      </c>
      <c r="N91" s="13" t="n">
        <f aca="false">IFERROR(IF($B91="","",$C91+$M91),"")</f>
        <v>78.3784</v>
      </c>
    </row>
    <row r="92" customFormat="false" ht="39" hidden="false" customHeight="true" outlineLevel="0" collapsed="false">
      <c r="A92" s="69" t="str">
        <f aca="false">IFERROR(IF(المنيو!$B92="","",المنيو!$A92),"")</f>
        <v>قسم البيتزا الصيامي</v>
      </c>
      <c r="B92" s="69" t="str">
        <f aca="false">IFERROR(المنيو!$B92,"")</f>
        <v>بيتزا تونة صيامي مخصوص</v>
      </c>
      <c r="C92" s="13" t="n">
        <f aca="false">IFERROR(IF($B92="","",SUMIFS(الريسبي!$F$2:$F$1800,الريسبي!$A$2:$A$1800,$B92)),"")</f>
        <v>111.1965</v>
      </c>
      <c r="D92" s="70" t="n">
        <f aca="false">IFERROR(IF($B92="","",المنيو!$C92),"")</f>
        <v>250</v>
      </c>
      <c r="E92" s="12" t="n">
        <f aca="false">IFERROR(IF(OR($B92="",$D92=0,$D92=""),"",$N92/$D92),"")</f>
        <v>0.4485136</v>
      </c>
      <c r="F92" s="75" t="n">
        <f aca="false">$F$2</f>
        <v>0.375</v>
      </c>
      <c r="G92" s="13" t="n">
        <f aca="false">IFERROR(IF($B92="","",$N92/$F92),"")</f>
        <v>299.009066666667</v>
      </c>
      <c r="H92" s="13" t="n">
        <f aca="false">IFERROR(IF($B92="","",$D92-$N92),"")</f>
        <v>137.8716</v>
      </c>
      <c r="I92" s="12" t="n">
        <f aca="false">IFERROR(IF(OR($B92="",$D92=0,$D92=""),"",$H92/$D92),"")</f>
        <v>0.5514864</v>
      </c>
      <c r="J92" s="75" t="n">
        <f aca="false">$J$2</f>
        <v>0.25</v>
      </c>
      <c r="K92" s="12" t="n">
        <f aca="false">IFERROR(IF($B92="","",$E92+$J92),"")</f>
        <v>0.6985136</v>
      </c>
      <c r="L92" s="73" t="n">
        <f aca="false">IFERROR(IF(OR($B92="",$C92=0,$C92=""),"",$I92+ROW()*0.0000001),"")</f>
        <v>0.5514956</v>
      </c>
      <c r="M92" s="76" t="n">
        <f aca="false">$M$2</f>
        <v>0.9319</v>
      </c>
      <c r="N92" s="13" t="n">
        <f aca="false">IFERROR(IF($B92="","",$C92+$M92),"")</f>
        <v>112.1284</v>
      </c>
    </row>
    <row r="93" customFormat="false" ht="39" hidden="false" customHeight="true" outlineLevel="0" collapsed="false">
      <c r="A93" s="69" t="str">
        <f aca="false">IFERROR(IF(المنيو!$B93="","",المنيو!$A93),"")</f>
        <v>قسم الفطير الحادق الصيامي</v>
      </c>
      <c r="B93" s="69" t="str">
        <f aca="false">IFERROR(المنيو!$B93,"")</f>
        <v>فطيرة خضروات صيامي وسط</v>
      </c>
      <c r="C93" s="13" t="n">
        <f aca="false">IFERROR(IF($B93="","",SUMIFS(الريسبي!$F$2:$F$1800,الريسبي!$A$2:$A$1800,$B93)),"")</f>
        <v>33.2965</v>
      </c>
      <c r="D93" s="70" t="n">
        <f aca="false">IFERROR(IF($B93="","",المنيو!$C93),"")</f>
        <v>90</v>
      </c>
      <c r="E93" s="12" t="n">
        <f aca="false">IFERROR(IF(OR($B93="",$D93=0,$D93=""),"",$N93/$D93),"")</f>
        <v>0.380315555555556</v>
      </c>
      <c r="F93" s="75" t="n">
        <f aca="false">$F$2</f>
        <v>0.375</v>
      </c>
      <c r="G93" s="13" t="n">
        <f aca="false">IFERROR(IF($B93="","",$N93/$F93),"")</f>
        <v>91.2757333333333</v>
      </c>
      <c r="H93" s="13" t="n">
        <f aca="false">IFERROR(IF($B93="","",$D93-$N93),"")</f>
        <v>55.7716</v>
      </c>
      <c r="I93" s="12" t="n">
        <f aca="false">IFERROR(IF(OR($B93="",$D93=0,$D93=""),"",$H93/$D93),"")</f>
        <v>0.619684444444445</v>
      </c>
      <c r="J93" s="75" t="n">
        <f aca="false">$J$2</f>
        <v>0.25</v>
      </c>
      <c r="K93" s="12" t="n">
        <f aca="false">IFERROR(IF($B93="","",$E93+$J93),"")</f>
        <v>0.630315555555556</v>
      </c>
      <c r="L93" s="73" t="n">
        <f aca="false">IFERROR(IF(OR($B93="",$C93=0,$C93=""),"",$I93+ROW()*0.0000001),"")</f>
        <v>0.619693744444445</v>
      </c>
      <c r="M93" s="76" t="n">
        <f aca="false">$M$2</f>
        <v>0.9319</v>
      </c>
      <c r="N93" s="13" t="n">
        <f aca="false">IFERROR(IF($B93="","",$C93+$M93),"")</f>
        <v>34.2284</v>
      </c>
    </row>
    <row r="94" customFormat="false" ht="39" hidden="false" customHeight="true" outlineLevel="0" collapsed="false">
      <c r="A94" s="69" t="str">
        <f aca="false">IFERROR(IF(المنيو!$B94="","",المنيو!$A94),"")</f>
        <v>قسم الفطير الحادق الصيامي</v>
      </c>
      <c r="B94" s="69" t="str">
        <f aca="false">IFERROR(المنيو!$B94,"")</f>
        <v>فطيرة خضروات صيامي مخصوص</v>
      </c>
      <c r="C94" s="13" t="n">
        <f aca="false">IFERROR(IF($B94="","",SUMIFS(الريسبي!$F$2:$F$1800,الريسبي!$A$2:$A$1800,$B94)),"")</f>
        <v>45.6315</v>
      </c>
      <c r="D94" s="70" t="n">
        <f aca="false">IFERROR(IF($B94="","",المنيو!$C94),"")</f>
        <v>120</v>
      </c>
      <c r="E94" s="12" t="n">
        <f aca="false">IFERROR(IF(OR($B94="",$D94=0,$D94=""),"",$N94/$D94),"")</f>
        <v>0.388028333333333</v>
      </c>
      <c r="F94" s="75" t="n">
        <f aca="false">$F$2</f>
        <v>0.375</v>
      </c>
      <c r="G94" s="13" t="n">
        <f aca="false">IFERROR(IF($B94="","",$N94/$F94),"")</f>
        <v>124.169066666667</v>
      </c>
      <c r="H94" s="13" t="n">
        <f aca="false">IFERROR(IF($B94="","",$D94-$N94),"")</f>
        <v>73.4366</v>
      </c>
      <c r="I94" s="12" t="n">
        <f aca="false">IFERROR(IF(OR($B94="",$D94=0,$D94=""),"",$H94/$D94),"")</f>
        <v>0.611971666666667</v>
      </c>
      <c r="J94" s="75" t="n">
        <f aca="false">$J$2</f>
        <v>0.25</v>
      </c>
      <c r="K94" s="12" t="n">
        <f aca="false">IFERROR(IF($B94="","",$E94+$J94),"")</f>
        <v>0.638028333333333</v>
      </c>
      <c r="L94" s="73" t="n">
        <f aca="false">IFERROR(IF(OR($B94="",$C94=0,$C94=""),"",$I94+ROW()*0.0000001),"")</f>
        <v>0.611981066666667</v>
      </c>
      <c r="M94" s="76" t="n">
        <f aca="false">$M$2</f>
        <v>0.9319</v>
      </c>
      <c r="N94" s="13" t="n">
        <f aca="false">IFERROR(IF($B94="","",$C94+$M94),"")</f>
        <v>46.5634</v>
      </c>
    </row>
    <row r="95" customFormat="false" ht="39" hidden="false" customHeight="true" outlineLevel="0" collapsed="false">
      <c r="A95" s="69" t="str">
        <f aca="false">IFERROR(IF(المنيو!$B95="","",المنيو!$A95),"")</f>
        <v>قسم الفطير الحادق الصيامي</v>
      </c>
      <c r="B95" s="69" t="str">
        <f aca="false">IFERROR(المنيو!$B95,"")</f>
        <v>فطيرة مشروم صيامي وسط</v>
      </c>
      <c r="C95" s="13" t="n">
        <f aca="false">IFERROR(IF($B95="","",SUMIFS(الريسبي!$F$2:$F$1800,الريسبي!$A$2:$A$1800,$B95)),"")</f>
        <v>48.41677</v>
      </c>
      <c r="D95" s="70" t="n">
        <f aca="false">IFERROR(IF($B95="","",المنيو!$C95),"")</f>
        <v>115</v>
      </c>
      <c r="E95" s="12" t="n">
        <f aca="false">IFERROR(IF(OR($B95="",$D95=0,$D95=""),"",$N95/$D95),"")</f>
        <v>0.429118869565217</v>
      </c>
      <c r="F95" s="75" t="n">
        <f aca="false">$F$2</f>
        <v>0.375</v>
      </c>
      <c r="G95" s="13" t="n">
        <f aca="false">IFERROR(IF($B95="","",$N95/$F95),"")</f>
        <v>131.596453333333</v>
      </c>
      <c r="H95" s="13" t="n">
        <f aca="false">IFERROR(IF($B95="","",$D95-$N95),"")</f>
        <v>65.65133</v>
      </c>
      <c r="I95" s="12" t="n">
        <f aca="false">IFERROR(IF(OR($B95="",$D95=0,$D95=""),"",$H95/$D95),"")</f>
        <v>0.570881130434783</v>
      </c>
      <c r="J95" s="75" t="n">
        <f aca="false">$J$2</f>
        <v>0.25</v>
      </c>
      <c r="K95" s="12" t="n">
        <f aca="false">IFERROR(IF($B95="","",$E95+$J95),"")</f>
        <v>0.679118869565217</v>
      </c>
      <c r="L95" s="73" t="n">
        <f aca="false">IFERROR(IF(OR($B95="",$C95=0,$C95=""),"",$I95+ROW()*0.0000001),"")</f>
        <v>0.570890630434783</v>
      </c>
      <c r="M95" s="76" t="n">
        <f aca="false">$M$2</f>
        <v>0.9319</v>
      </c>
      <c r="N95" s="13" t="n">
        <f aca="false">IFERROR(IF($B95="","",$C95+$M95),"")</f>
        <v>49.34867</v>
      </c>
    </row>
    <row r="96" customFormat="false" ht="39" hidden="false" customHeight="true" outlineLevel="0" collapsed="false">
      <c r="A96" s="69" t="str">
        <f aca="false">IFERROR(IF(المنيو!$B96="","",المنيو!$A96),"")</f>
        <v>قسم الفطير الحادق الصيامي</v>
      </c>
      <c r="B96" s="69" t="str">
        <f aca="false">IFERROR(المنيو!$B96,"")</f>
        <v>فطيرة مشروم صيامي مخصوص</v>
      </c>
      <c r="C96" s="13" t="n">
        <f aca="false">IFERROR(IF($B96="","",SUMIFS(الريسبي!$F$2:$F$1800,الريسبي!$A$2:$A$1800,$B96)),"")</f>
        <v>68.311905</v>
      </c>
      <c r="D96" s="70" t="n">
        <f aca="false">IFERROR(IF($B96="","",المنيو!$C96),"")</f>
        <v>170</v>
      </c>
      <c r="E96" s="12" t="n">
        <f aca="false">IFERROR(IF(OR($B96="",$D96=0,$D96=""),"",$N96/$D96),"")</f>
        <v>0.4073165</v>
      </c>
      <c r="F96" s="75" t="n">
        <f aca="false">$F$2</f>
        <v>0.375</v>
      </c>
      <c r="G96" s="13" t="n">
        <f aca="false">IFERROR(IF($B96="","",$N96/$F96),"")</f>
        <v>184.650146666667</v>
      </c>
      <c r="H96" s="13" t="n">
        <f aca="false">IFERROR(IF($B96="","",$D96-$N96),"")</f>
        <v>100.756195</v>
      </c>
      <c r="I96" s="12" t="n">
        <f aca="false">IFERROR(IF(OR($B96="",$D96=0,$D96=""),"",$H96/$D96),"")</f>
        <v>0.5926835</v>
      </c>
      <c r="J96" s="75" t="n">
        <f aca="false">$J$2</f>
        <v>0.25</v>
      </c>
      <c r="K96" s="12" t="n">
        <f aca="false">IFERROR(IF($B96="","",$E96+$J96),"")</f>
        <v>0.6573165</v>
      </c>
      <c r="L96" s="73" t="n">
        <f aca="false">IFERROR(IF(OR($B96="",$C96=0,$C96=""),"",$I96+ROW()*0.0000001),"")</f>
        <v>0.5926931</v>
      </c>
      <c r="M96" s="76" t="n">
        <f aca="false">$M$2</f>
        <v>0.9319</v>
      </c>
      <c r="N96" s="13" t="n">
        <f aca="false">IFERROR(IF($B96="","",$C96+$M96),"")</f>
        <v>69.243805</v>
      </c>
    </row>
    <row r="97" customFormat="false" ht="39" hidden="false" customHeight="true" outlineLevel="0" collapsed="false">
      <c r="A97" s="69" t="str">
        <f aca="false">IFERROR(IF(المنيو!$B97="","",المنيو!$A97),"")</f>
        <v>قسم الفطير الحادق الصيامي</v>
      </c>
      <c r="B97" s="69" t="str">
        <f aca="false">IFERROR(المنيو!$B97,"")</f>
        <v>فطيرة سوسيس صيامي وسط</v>
      </c>
      <c r="C97" s="13" t="n">
        <f aca="false">IFERROR(IF($B97="","",SUMIFS(الريسبي!$F$2:$F$1800,الريسبي!$A$2:$A$1800,$B97)),"")</f>
        <v>59.6989</v>
      </c>
      <c r="D97" s="70" t="n">
        <f aca="false">IFERROR(IF($B97="","",المنيو!$C97),"")</f>
        <v>120</v>
      </c>
      <c r="E97" s="12" t="n">
        <f aca="false">IFERROR(IF(OR($B97="",$D97=0,$D97=""),"",$N97/$D97),"")</f>
        <v>0.505256666666667</v>
      </c>
      <c r="F97" s="75" t="n">
        <f aca="false">$F$2</f>
        <v>0.375</v>
      </c>
      <c r="G97" s="13" t="n">
        <f aca="false">IFERROR(IF($B97="","",$N97/$F97),"")</f>
        <v>161.682133333333</v>
      </c>
      <c r="H97" s="13" t="n">
        <f aca="false">IFERROR(IF($B97="","",$D97-$N97),"")</f>
        <v>59.3692</v>
      </c>
      <c r="I97" s="12" t="n">
        <f aca="false">IFERROR(IF(OR($B97="",$D97=0,$D97=""),"",$H97/$D97),"")</f>
        <v>0.494743333333333</v>
      </c>
      <c r="J97" s="75" t="n">
        <f aca="false">$J$2</f>
        <v>0.25</v>
      </c>
      <c r="K97" s="12" t="n">
        <f aca="false">IFERROR(IF($B97="","",$E97+$J97),"")</f>
        <v>0.755256666666667</v>
      </c>
      <c r="L97" s="73" t="n">
        <f aca="false">IFERROR(IF(OR($B97="",$C97=0,$C97=""),"",$I97+ROW()*0.0000001),"")</f>
        <v>0.494753033333333</v>
      </c>
      <c r="M97" s="76" t="n">
        <f aca="false">$M$2</f>
        <v>0.9319</v>
      </c>
      <c r="N97" s="13" t="n">
        <f aca="false">IFERROR(IF($B97="","",$C97+$M97),"")</f>
        <v>60.6308</v>
      </c>
    </row>
    <row r="98" customFormat="false" ht="39" hidden="false" customHeight="true" outlineLevel="0" collapsed="false">
      <c r="A98" s="69" t="str">
        <f aca="false">IFERROR(IF(المنيو!$B98="","",المنيو!$A98),"")</f>
        <v>قسم الفطير الحادق الصيامي</v>
      </c>
      <c r="B98" s="69" t="str">
        <f aca="false">IFERROR(المنيو!$B98,"")</f>
        <v>فطيرة سوسيس صيامي مخصوص</v>
      </c>
      <c r="C98" s="13" t="n">
        <f aca="false">IFERROR(IF($B98="","",SUMIFS(الريسبي!$F$2:$F$1800,الريسبي!$A$2:$A$1800,$B98)),"")</f>
        <v>85.2351</v>
      </c>
      <c r="D98" s="70" t="n">
        <f aca="false">IFERROR(IF($B98="","",المنيو!$C98),"")</f>
        <v>190</v>
      </c>
      <c r="E98" s="12" t="n">
        <f aca="false">IFERROR(IF(OR($B98="",$D98=0,$D98=""),"",$N98/$D98),"")</f>
        <v>0.45351052631579</v>
      </c>
      <c r="F98" s="75" t="n">
        <f aca="false">$F$2</f>
        <v>0.375</v>
      </c>
      <c r="G98" s="13" t="n">
        <f aca="false">IFERROR(IF($B98="","",$N98/$F98),"")</f>
        <v>229.778666666667</v>
      </c>
      <c r="H98" s="13" t="n">
        <f aca="false">IFERROR(IF($B98="","",$D98-$N98),"")</f>
        <v>103.833</v>
      </c>
      <c r="I98" s="12" t="n">
        <f aca="false">IFERROR(IF(OR($B98="",$D98=0,$D98=""),"",$H98/$D98),"")</f>
        <v>0.546489473684211</v>
      </c>
      <c r="J98" s="75" t="n">
        <f aca="false">$J$2</f>
        <v>0.25</v>
      </c>
      <c r="K98" s="12" t="n">
        <f aca="false">IFERROR(IF($B98="","",$E98+$J98),"")</f>
        <v>0.70351052631579</v>
      </c>
      <c r="L98" s="73" t="n">
        <f aca="false">IFERROR(IF(OR($B98="",$C98=0,$C98=""),"",$I98+ROW()*0.0000001),"")</f>
        <v>0.546499273684211</v>
      </c>
      <c r="M98" s="76" t="n">
        <f aca="false">$M$2</f>
        <v>0.9319</v>
      </c>
      <c r="N98" s="13" t="n">
        <f aca="false">IFERROR(IF($B98="","",$C98+$M98),"")</f>
        <v>86.167</v>
      </c>
    </row>
    <row r="99" customFormat="false" ht="39" hidden="false" customHeight="true" outlineLevel="0" collapsed="false">
      <c r="A99" s="69" t="str">
        <f aca="false">IFERROR(IF(المنيو!$B99="","",المنيو!$A99),"")</f>
        <v>قسم الفطير الحادق الصيامي</v>
      </c>
      <c r="B99" s="69" t="str">
        <f aca="false">IFERROR(المنيو!$B99,"")</f>
        <v>فطيرة شاورما لحم / فراخ صيامي وسط</v>
      </c>
      <c r="C99" s="13" t="n">
        <f aca="false">IFERROR(IF($B99="","",SUMIFS(الريسبي!$F$2:$F$1800,الريسبي!$A$2:$A$1800,$B99)),"")</f>
        <v>63.9887</v>
      </c>
      <c r="D99" s="70" t="n">
        <f aca="false">IFERROR(IF($B99="","",المنيو!$C99),"")</f>
        <v>130</v>
      </c>
      <c r="E99" s="12" t="n">
        <f aca="false">IFERROR(IF(OR($B99="",$D99=0,$D99=""),"",$N99/$D99),"")</f>
        <v>0.499389230769231</v>
      </c>
      <c r="F99" s="75" t="n">
        <f aca="false">$F$2</f>
        <v>0.375</v>
      </c>
      <c r="G99" s="13" t="n">
        <f aca="false">IFERROR(IF($B99="","",$N99/$F99),"")</f>
        <v>173.1216</v>
      </c>
      <c r="H99" s="13" t="n">
        <f aca="false">IFERROR(IF($B99="","",$D99-$N99),"")</f>
        <v>65.0794</v>
      </c>
      <c r="I99" s="12" t="n">
        <f aca="false">IFERROR(IF(OR($B99="",$D99=0,$D99=""),"",$H99/$D99),"")</f>
        <v>0.500610769230769</v>
      </c>
      <c r="J99" s="75" t="n">
        <f aca="false">$J$2</f>
        <v>0.25</v>
      </c>
      <c r="K99" s="12" t="n">
        <f aca="false">IFERROR(IF($B99="","",$E99+$J99),"")</f>
        <v>0.749389230769231</v>
      </c>
      <c r="L99" s="73" t="n">
        <f aca="false">IFERROR(IF(OR($B99="",$C99=0,$C99=""),"",$I99+ROW()*0.0000001),"")</f>
        <v>0.500620669230769</v>
      </c>
      <c r="M99" s="76" t="n">
        <f aca="false">$M$2</f>
        <v>0.9319</v>
      </c>
      <c r="N99" s="13" t="n">
        <f aca="false">IFERROR(IF($B99="","",$C99+$M99),"")</f>
        <v>64.9206</v>
      </c>
    </row>
    <row r="100" customFormat="false" ht="39" hidden="false" customHeight="true" outlineLevel="0" collapsed="false">
      <c r="A100" s="69" t="str">
        <f aca="false">IFERROR(IF(المنيو!$B100="","",المنيو!$A100),"")</f>
        <v>قسم الفطير الحادق الصيامي</v>
      </c>
      <c r="B100" s="69" t="str">
        <f aca="false">IFERROR(المنيو!$B100,"")</f>
        <v>فطيرة شاورما لحم / فراخ صيامي مخصوص</v>
      </c>
      <c r="C100" s="13" t="n">
        <f aca="false">IFERROR(IF($B100="","",SUMIFS(الريسبي!$F$2:$F$1800,الريسبي!$A$2:$A$1800,$B100)),"")</f>
        <v>91.6698</v>
      </c>
      <c r="D100" s="70" t="n">
        <f aca="false">IFERROR(IF($B100="","",المنيو!$C100),"")</f>
        <v>200</v>
      </c>
      <c r="E100" s="12" t="n">
        <f aca="false">IFERROR(IF(OR($B100="",$D100=0,$D100=""),"",$N100/$D100),"")</f>
        <v>0.4630085</v>
      </c>
      <c r="F100" s="75" t="n">
        <f aca="false">$F$2</f>
        <v>0.375</v>
      </c>
      <c r="G100" s="13" t="n">
        <f aca="false">IFERROR(IF($B100="","",$N100/$F100),"")</f>
        <v>246.937866666667</v>
      </c>
      <c r="H100" s="13" t="n">
        <f aca="false">IFERROR(IF($B100="","",$D100-$N100),"")</f>
        <v>107.3983</v>
      </c>
      <c r="I100" s="12" t="n">
        <f aca="false">IFERROR(IF(OR($B100="",$D100=0,$D100=""),"",$H100/$D100),"")</f>
        <v>0.5369915</v>
      </c>
      <c r="J100" s="75" t="n">
        <f aca="false">$J$2</f>
        <v>0.25</v>
      </c>
      <c r="K100" s="12" t="n">
        <f aca="false">IFERROR(IF($B100="","",$E100+$J100),"")</f>
        <v>0.7130085</v>
      </c>
      <c r="L100" s="73" t="n">
        <f aca="false">IFERROR(IF(OR($B100="",$C100=0,$C100=""),"",$I100+ROW()*0.0000001),"")</f>
        <v>0.5370015</v>
      </c>
      <c r="M100" s="76" t="n">
        <f aca="false">$M$2</f>
        <v>0.9319</v>
      </c>
      <c r="N100" s="13" t="n">
        <f aca="false">IFERROR(IF($B100="","",$C100+$M100),"")</f>
        <v>92.6017</v>
      </c>
    </row>
    <row r="101" customFormat="false" ht="39" hidden="false" customHeight="true" outlineLevel="0" collapsed="false">
      <c r="A101" s="69" t="str">
        <f aca="false">IFERROR(IF(المنيو!$B101="","",المنيو!$A101),"")</f>
        <v>قسم الفطير الحادق الصيامي</v>
      </c>
      <c r="B101" s="69" t="str">
        <f aca="false">IFERROR(المنيو!$B101,"")</f>
        <v>فطيرة مشكل لحوم صيامي وسط</v>
      </c>
      <c r="C101" s="13" t="n">
        <f aca="false">IFERROR(IF($B101="","",SUMIFS(الريسبي!$F$2:$F$1800,الريسبي!$A$2:$A$1800,$B101)),"")</f>
        <v>61.8438</v>
      </c>
      <c r="D101" s="70" t="n">
        <f aca="false">IFERROR(IF($B101="","",المنيو!$C101),"")</f>
        <v>160</v>
      </c>
      <c r="E101" s="12" t="n">
        <f aca="false">IFERROR(IF(OR($B101="",$D101=0,$D101=""),"",$N101/$D101),"")</f>
        <v>0.392348125</v>
      </c>
      <c r="F101" s="75" t="n">
        <f aca="false">$F$2</f>
        <v>0.375</v>
      </c>
      <c r="G101" s="13" t="n">
        <f aca="false">IFERROR(IF($B101="","",$N101/$F101),"")</f>
        <v>167.401866666667</v>
      </c>
      <c r="H101" s="13" t="n">
        <f aca="false">IFERROR(IF($B101="","",$D101-$N101),"")</f>
        <v>97.2243</v>
      </c>
      <c r="I101" s="12" t="n">
        <f aca="false">IFERROR(IF(OR($B101="",$D101=0,$D101=""),"",$H101/$D101),"")</f>
        <v>0.607651875</v>
      </c>
      <c r="J101" s="75" t="n">
        <f aca="false">$J$2</f>
        <v>0.25</v>
      </c>
      <c r="K101" s="12" t="n">
        <f aca="false">IFERROR(IF($B101="","",$E101+$J101),"")</f>
        <v>0.642348125</v>
      </c>
      <c r="L101" s="73" t="n">
        <f aca="false">IFERROR(IF(OR($B101="",$C101=0,$C101=""),"",$I101+ROW()*0.0000001),"")</f>
        <v>0.607661975</v>
      </c>
      <c r="M101" s="76" t="n">
        <f aca="false">$M$2</f>
        <v>0.9319</v>
      </c>
      <c r="N101" s="13" t="n">
        <f aca="false">IFERROR(IF($B101="","",$C101+$M101),"")</f>
        <v>62.7757</v>
      </c>
    </row>
    <row r="102" customFormat="false" ht="39" hidden="false" customHeight="true" outlineLevel="0" collapsed="false">
      <c r="A102" s="69" t="str">
        <f aca="false">IFERROR(IF(المنيو!$B102="","",المنيو!$A102),"")</f>
        <v>قسم الفطير الحادق الصيامي</v>
      </c>
      <c r="B102" s="69" t="str">
        <f aca="false">IFERROR(المنيو!$B102,"")</f>
        <v>فطيرة مشكل لحوم صيامي مخصوص</v>
      </c>
      <c r="C102" s="13" t="n">
        <f aca="false">IFERROR(IF($B102="","",SUMIFS(الريسبي!$F$2:$F$1800,الريسبي!$A$2:$A$1800,$B102)),"")</f>
        <v>88.45245</v>
      </c>
      <c r="D102" s="70" t="n">
        <f aca="false">IFERROR(IF($B102="","",المنيو!$C102),"")</f>
        <v>220</v>
      </c>
      <c r="E102" s="12" t="n">
        <f aca="false">IFERROR(IF(OR($B102="",$D102=0,$D102=""),"",$N102/$D102),"")</f>
        <v>0.4062925</v>
      </c>
      <c r="F102" s="75" t="n">
        <f aca="false">$F$2</f>
        <v>0.375</v>
      </c>
      <c r="G102" s="13" t="n">
        <f aca="false">IFERROR(IF($B102="","",$N102/$F102),"")</f>
        <v>238.358266666667</v>
      </c>
      <c r="H102" s="13" t="n">
        <f aca="false">IFERROR(IF($B102="","",$D102-$N102),"")</f>
        <v>130.61565</v>
      </c>
      <c r="I102" s="12" t="n">
        <f aca="false">IFERROR(IF(OR($B102="",$D102=0,$D102=""),"",$H102/$D102),"")</f>
        <v>0.5937075</v>
      </c>
      <c r="J102" s="75" t="n">
        <f aca="false">$J$2</f>
        <v>0.25</v>
      </c>
      <c r="K102" s="12" t="n">
        <f aca="false">IFERROR(IF($B102="","",$E102+$J102),"")</f>
        <v>0.6562925</v>
      </c>
      <c r="L102" s="73" t="n">
        <f aca="false">IFERROR(IF(OR($B102="",$C102=0,$C102=""),"",$I102+ROW()*0.0000001),"")</f>
        <v>0.5937177</v>
      </c>
      <c r="M102" s="76" t="n">
        <f aca="false">$M$2</f>
        <v>0.9319</v>
      </c>
      <c r="N102" s="13" t="n">
        <f aca="false">IFERROR(IF($B102="","",$C102+$M102),"")</f>
        <v>89.38435</v>
      </c>
    </row>
    <row r="103" customFormat="false" ht="39" hidden="false" customHeight="true" outlineLevel="0" collapsed="false">
      <c r="A103" s="69" t="str">
        <f aca="false">IFERROR(IF(المنيو!$B103="","",المنيو!$A103),"")</f>
        <v>قسم الفطير الحادق الصيامي</v>
      </c>
      <c r="B103" s="69" t="str">
        <f aca="false">IFERROR(المنيو!$B103,"")</f>
        <v>فطيرة مشكل جبن صيامي وسط</v>
      </c>
      <c r="C103" s="13" t="n">
        <f aca="false">IFERROR(IF($B103="","",SUMIFS(الريسبي!$F$2:$F$1800,الريسبي!$A$2:$A$1800,$B103)),"")</f>
        <v>43.7965</v>
      </c>
      <c r="D103" s="70" t="n">
        <f aca="false">IFERROR(IF($B103="","",المنيو!$C103),"")</f>
        <v>130</v>
      </c>
      <c r="E103" s="12" t="n">
        <f aca="false">IFERROR(IF(OR($B103="",$D103=0,$D103=""),"",$N103/$D103),"")</f>
        <v>0.344064615384615</v>
      </c>
      <c r="F103" s="75" t="n">
        <f aca="false">$F$2</f>
        <v>0.375</v>
      </c>
      <c r="G103" s="13" t="n">
        <f aca="false">IFERROR(IF($B103="","",$N103/$F103),"")</f>
        <v>119.275733333333</v>
      </c>
      <c r="H103" s="13" t="n">
        <f aca="false">IFERROR(IF($B103="","",$D103-$N103),"")</f>
        <v>85.2716</v>
      </c>
      <c r="I103" s="12" t="n">
        <f aca="false">IFERROR(IF(OR($B103="",$D103=0,$D103=""),"",$H103/$D103),"")</f>
        <v>0.655935384615385</v>
      </c>
      <c r="J103" s="75" t="n">
        <f aca="false">$J$2</f>
        <v>0.25</v>
      </c>
      <c r="K103" s="12" t="n">
        <f aca="false">IFERROR(IF($B103="","",$E103+$J103),"")</f>
        <v>0.594064615384615</v>
      </c>
      <c r="L103" s="73" t="n">
        <f aca="false">IFERROR(IF(OR($B103="",$C103=0,$C103=""),"",$I103+ROW()*0.0000001),"")</f>
        <v>0.655945684615385</v>
      </c>
      <c r="M103" s="76" t="n">
        <f aca="false">$M$2</f>
        <v>0.9319</v>
      </c>
      <c r="N103" s="13" t="n">
        <f aca="false">IFERROR(IF($B103="","",$C103+$M103),"")</f>
        <v>44.7284</v>
      </c>
    </row>
    <row r="104" customFormat="false" ht="39" hidden="false" customHeight="true" outlineLevel="0" collapsed="false">
      <c r="A104" s="69" t="str">
        <f aca="false">IFERROR(IF(المنيو!$B104="","",المنيو!$A104),"")</f>
        <v>قسم الفطير الحادق الصيامي</v>
      </c>
      <c r="B104" s="69" t="str">
        <f aca="false">IFERROR(المنيو!$B104,"")</f>
        <v>فطيرة مشكل جبن صيامي مخصوص</v>
      </c>
      <c r="C104" s="13" t="n">
        <f aca="false">IFERROR(IF($B104="","",SUMIFS(الريسبي!$F$2:$F$1800,الريسبي!$A$2:$A$1800,$B104)),"")</f>
        <v>61.3815</v>
      </c>
      <c r="D104" s="70" t="n">
        <f aca="false">IFERROR(IF($B104="","",المنيو!$C104),"")</f>
        <v>190</v>
      </c>
      <c r="E104" s="12" t="n">
        <f aca="false">IFERROR(IF(OR($B104="",$D104=0,$D104=""),"",$N104/$D104),"")</f>
        <v>0.327965263157895</v>
      </c>
      <c r="F104" s="75" t="n">
        <f aca="false">$F$2</f>
        <v>0.375</v>
      </c>
      <c r="G104" s="13" t="n">
        <f aca="false">IFERROR(IF($B104="","",$N104/$F104),"")</f>
        <v>166.169066666667</v>
      </c>
      <c r="H104" s="13" t="n">
        <f aca="false">IFERROR(IF($B104="","",$D104-$N104),"")</f>
        <v>127.6866</v>
      </c>
      <c r="I104" s="12" t="n">
        <f aca="false">IFERROR(IF(OR($B104="",$D104=0,$D104=""),"",$H104/$D104),"")</f>
        <v>0.672034736842105</v>
      </c>
      <c r="J104" s="75" t="n">
        <f aca="false">$J$2</f>
        <v>0.25</v>
      </c>
      <c r="K104" s="12" t="n">
        <f aca="false">IFERROR(IF($B104="","",$E104+$J104),"")</f>
        <v>0.577965263157895</v>
      </c>
      <c r="L104" s="73" t="n">
        <f aca="false">IFERROR(IF(OR($B104="",$C104=0,$C104=""),"",$I104+ROW()*0.0000001),"")</f>
        <v>0.672045136842105</v>
      </c>
      <c r="M104" s="76" t="n">
        <f aca="false">$M$2</f>
        <v>0.9319</v>
      </c>
      <c r="N104" s="13" t="n">
        <f aca="false">IFERROR(IF($B104="","",$C104+$M104),"")</f>
        <v>62.3134</v>
      </c>
    </row>
    <row r="105" customFormat="false" ht="39" hidden="false" customHeight="true" outlineLevel="0" collapsed="false">
      <c r="A105" s="69" t="str">
        <f aca="false">IFERROR(IF(المنيو!$B105="","",المنيو!$A105),"")</f>
        <v>قسم الفطير الحادق الصيامي</v>
      </c>
      <c r="B105" s="69" t="str">
        <f aca="false">IFERROR(المنيو!$B105,"")</f>
        <v>فطيرة فراخ باربيكيو صيامي وسط</v>
      </c>
      <c r="C105" s="13" t="n">
        <f aca="false">IFERROR(IF($B105="","",SUMIFS(الريسبي!$F$2:$F$1800,الريسبي!$A$2:$A$1800,$B105)),"")</f>
        <v>66.8742</v>
      </c>
      <c r="D105" s="70" t="n">
        <f aca="false">IFERROR(IF($B105="","",المنيو!$C105),"")</f>
        <v>155</v>
      </c>
      <c r="E105" s="12" t="n">
        <f aca="false">IFERROR(IF(OR($B105="",$D105=0,$D105=""),"",$N105/$D105),"")</f>
        <v>0.437458709677419</v>
      </c>
      <c r="F105" s="75" t="n">
        <f aca="false">$F$2</f>
        <v>0.375</v>
      </c>
      <c r="G105" s="13" t="n">
        <f aca="false">IFERROR(IF($B105="","",$N105/$F105),"")</f>
        <v>180.816266666667</v>
      </c>
      <c r="H105" s="13" t="n">
        <f aca="false">IFERROR(IF($B105="","",$D105-$N105),"")</f>
        <v>87.1939</v>
      </c>
      <c r="I105" s="12" t="n">
        <f aca="false">IFERROR(IF(OR($B105="",$D105=0,$D105=""),"",$H105/$D105),"")</f>
        <v>0.562541290322581</v>
      </c>
      <c r="J105" s="75" t="n">
        <f aca="false">$J$2</f>
        <v>0.25</v>
      </c>
      <c r="K105" s="12" t="n">
        <f aca="false">IFERROR(IF($B105="","",$E105+$J105),"")</f>
        <v>0.687458709677419</v>
      </c>
      <c r="L105" s="73" t="n">
        <f aca="false">IFERROR(IF(OR($B105="",$C105=0,$C105=""),"",$I105+ROW()*0.0000001),"")</f>
        <v>0.562551790322581</v>
      </c>
      <c r="M105" s="76" t="n">
        <f aca="false">$M$2</f>
        <v>0.9319</v>
      </c>
      <c r="N105" s="13" t="n">
        <f aca="false">IFERROR(IF($B105="","",$C105+$M105),"")</f>
        <v>67.8061</v>
      </c>
    </row>
    <row r="106" customFormat="false" ht="39" hidden="false" customHeight="true" outlineLevel="0" collapsed="false">
      <c r="A106" s="69" t="str">
        <f aca="false">IFERROR(IF(المنيو!$B106="","",المنيو!$A106),"")</f>
        <v>قسم الفطير الحادق الصيامي</v>
      </c>
      <c r="B106" s="69" t="str">
        <f aca="false">IFERROR(المنيو!$B106,"")</f>
        <v>فطيرة فراخ باربيكيو صيامي مخصوص</v>
      </c>
      <c r="C106" s="13" t="n">
        <f aca="false">IFERROR(IF($B106="","",SUMIFS(الريسبي!$F$2:$F$1800,الريسبي!$A$2:$A$1800,$B106)),"")</f>
        <v>93.2092</v>
      </c>
      <c r="D106" s="70" t="n">
        <f aca="false">IFERROR(IF($B106="","",المنيو!$C106),"")</f>
        <v>230</v>
      </c>
      <c r="E106" s="12" t="n">
        <f aca="false">IFERROR(IF(OR($B106="",$D106=0,$D106=""),"",$N106/$D106),"")</f>
        <v>0.409309130434783</v>
      </c>
      <c r="F106" s="75" t="n">
        <f aca="false">$F$2</f>
        <v>0.375</v>
      </c>
      <c r="G106" s="13" t="n">
        <f aca="false">IFERROR(IF($B106="","",$N106/$F106),"")</f>
        <v>251.042933333333</v>
      </c>
      <c r="H106" s="13" t="n">
        <f aca="false">IFERROR(IF($B106="","",$D106-$N106),"")</f>
        <v>135.8589</v>
      </c>
      <c r="I106" s="12" t="n">
        <f aca="false">IFERROR(IF(OR($B106="",$D106=0,$D106=""),"",$H106/$D106),"")</f>
        <v>0.590690869565217</v>
      </c>
      <c r="J106" s="75" t="n">
        <f aca="false">$J$2</f>
        <v>0.25</v>
      </c>
      <c r="K106" s="12" t="n">
        <f aca="false">IFERROR(IF($B106="","",$E106+$J106),"")</f>
        <v>0.659309130434783</v>
      </c>
      <c r="L106" s="73" t="n">
        <f aca="false">IFERROR(IF(OR($B106="",$C106=0,$C106=""),"",$I106+ROW()*0.0000001),"")</f>
        <v>0.590701469565217</v>
      </c>
      <c r="M106" s="76" t="n">
        <f aca="false">$M$2</f>
        <v>0.9319</v>
      </c>
      <c r="N106" s="13" t="n">
        <f aca="false">IFERROR(IF($B106="","",$C106+$M106),"")</f>
        <v>94.1411</v>
      </c>
    </row>
    <row r="107" customFormat="false" ht="39" hidden="false" customHeight="true" outlineLevel="0" collapsed="false">
      <c r="A107" s="69" t="str">
        <f aca="false">IFERROR(IF(المنيو!$B107="","",المنيو!$A107),"")</f>
        <v>قسم الفطير الحادق الصيامي</v>
      </c>
      <c r="B107" s="69" t="str">
        <f aca="false">IFERROR(المنيو!$B107,"")</f>
        <v>فطيرة جمبري صيامي وسط</v>
      </c>
      <c r="C107" s="13" t="n">
        <f aca="false">IFERROR(IF($B107="","",SUMIFS(الريسبي!$F$2:$F$1800,الريسبي!$A$2:$A$1800,$B107)),"")</f>
        <v>128.2965</v>
      </c>
      <c r="D107" s="70" t="n">
        <f aca="false">IFERROR(IF($B107="","",المنيو!$C107),"")</f>
        <v>240</v>
      </c>
      <c r="E107" s="12" t="n">
        <f aca="false">IFERROR(IF(OR($B107="",$D107=0,$D107=""),"",$N107/$D107),"")</f>
        <v>0.538451666666667</v>
      </c>
      <c r="F107" s="75" t="n">
        <f aca="false">$F$2</f>
        <v>0.375</v>
      </c>
      <c r="G107" s="13" t="n">
        <f aca="false">IFERROR(IF($B107="","",$N107/$F107),"")</f>
        <v>344.609066666667</v>
      </c>
      <c r="H107" s="13" t="n">
        <f aca="false">IFERROR(IF($B107="","",$D107-$N107),"")</f>
        <v>110.7716</v>
      </c>
      <c r="I107" s="12" t="n">
        <f aca="false">IFERROR(IF(OR($B107="",$D107=0,$D107=""),"",$H107/$D107),"")</f>
        <v>0.461548333333333</v>
      </c>
      <c r="J107" s="75" t="n">
        <f aca="false">$J$2</f>
        <v>0.25</v>
      </c>
      <c r="K107" s="12" t="n">
        <f aca="false">IFERROR(IF($B107="","",$E107+$J107),"")</f>
        <v>0.788451666666667</v>
      </c>
      <c r="L107" s="73" t="n">
        <f aca="false">IFERROR(IF(OR($B107="",$C107=0,$C107=""),"",$I107+ROW()*0.0000001),"")</f>
        <v>0.461559033333333</v>
      </c>
      <c r="M107" s="76" t="n">
        <f aca="false">$M$2</f>
        <v>0.9319</v>
      </c>
      <c r="N107" s="13" t="n">
        <f aca="false">IFERROR(IF($B107="","",$C107+$M107),"")</f>
        <v>129.2284</v>
      </c>
    </row>
    <row r="108" customFormat="false" ht="39" hidden="false" customHeight="true" outlineLevel="0" collapsed="false">
      <c r="A108" s="69" t="str">
        <f aca="false">IFERROR(IF(المنيو!$B108="","",المنيو!$A108),"")</f>
        <v>قسم الفطير الحادق الصيامي</v>
      </c>
      <c r="B108" s="69" t="str">
        <f aca="false">IFERROR(المنيو!$B108,"")</f>
        <v>فطيرة جمبري صيامي مخصوص</v>
      </c>
      <c r="C108" s="13" t="n">
        <f aca="false">IFERROR(IF($B108="","",SUMIFS(الريسبي!$F$2:$F$1800,الريسبي!$A$2:$A$1800,$B108)),"")</f>
        <v>188.1315</v>
      </c>
      <c r="D108" s="70" t="n">
        <f aca="false">IFERROR(IF($B108="","",المنيو!$C108),"")</f>
        <v>360</v>
      </c>
      <c r="E108" s="12" t="n">
        <f aca="false">IFERROR(IF(OR($B108="",$D108=0,$D108=""),"",$N108/$D108),"")</f>
        <v>0.525176111111111</v>
      </c>
      <c r="F108" s="75" t="n">
        <f aca="false">$F$2</f>
        <v>0.375</v>
      </c>
      <c r="G108" s="13" t="n">
        <f aca="false">IFERROR(IF($B108="","",$N108/$F108),"")</f>
        <v>504.169066666667</v>
      </c>
      <c r="H108" s="13" t="n">
        <f aca="false">IFERROR(IF($B108="","",$D108-$N108),"")</f>
        <v>170.9366</v>
      </c>
      <c r="I108" s="12" t="n">
        <f aca="false">IFERROR(IF(OR($B108="",$D108=0,$D108=""),"",$H108/$D108),"")</f>
        <v>0.474823888888889</v>
      </c>
      <c r="J108" s="75" t="n">
        <f aca="false">$J$2</f>
        <v>0.25</v>
      </c>
      <c r="K108" s="12" t="n">
        <f aca="false">IFERROR(IF($B108="","",$E108+$J108),"")</f>
        <v>0.775176111111111</v>
      </c>
      <c r="L108" s="73" t="n">
        <f aca="false">IFERROR(IF(OR($B108="",$C108=0,$C108=""),"",$I108+ROW()*0.0000001),"")</f>
        <v>0.474834688888889</v>
      </c>
      <c r="M108" s="76" t="n">
        <f aca="false">$M$2</f>
        <v>0.9319</v>
      </c>
      <c r="N108" s="13" t="n">
        <f aca="false">IFERROR(IF($B108="","",$C108+$M108),"")</f>
        <v>189.0634</v>
      </c>
    </row>
    <row r="109" customFormat="false" ht="39" hidden="false" customHeight="true" outlineLevel="0" collapsed="false">
      <c r="A109" s="69" t="str">
        <f aca="false">IFERROR(IF(المنيو!$B109="","",المنيو!$A109),"")</f>
        <v>قسم الفطير الحادق الصيامي</v>
      </c>
      <c r="B109" s="69" t="str">
        <f aca="false">IFERROR(المنيو!$B109,"")</f>
        <v>فطيرة تونة صيامي وسط</v>
      </c>
      <c r="C109" s="13" t="n">
        <f aca="false">IFERROR(IF($B109="","",SUMIFS(الريسبي!$F$2:$F$1800,الريسبي!$A$2:$A$1800,$B109)),"")</f>
        <v>75.3265</v>
      </c>
      <c r="D109" s="70" t="n">
        <f aca="false">IFERROR(IF($B109="","",المنيو!$C109),"")</f>
        <v>180</v>
      </c>
      <c r="E109" s="12" t="n">
        <f aca="false">IFERROR(IF(OR($B109="",$D109=0,$D109=""),"",$N109/$D109),"")</f>
        <v>0.423657777777778</v>
      </c>
      <c r="F109" s="75" t="n">
        <f aca="false">$F$2</f>
        <v>0.375</v>
      </c>
      <c r="G109" s="13" t="n">
        <f aca="false">IFERROR(IF($B109="","",$N109/$F109),"")</f>
        <v>203.355733333333</v>
      </c>
      <c r="H109" s="13" t="n">
        <f aca="false">IFERROR(IF($B109="","",$D109-$N109),"")</f>
        <v>103.7416</v>
      </c>
      <c r="I109" s="12" t="n">
        <f aca="false">IFERROR(IF(OR($B109="",$D109=0,$D109=""),"",$H109/$D109),"")</f>
        <v>0.576342222222222</v>
      </c>
      <c r="J109" s="75" t="n">
        <f aca="false">$J$2</f>
        <v>0.25</v>
      </c>
      <c r="K109" s="12" t="n">
        <f aca="false">IFERROR(IF($B109="","",$E109+$J109),"")</f>
        <v>0.673657777777778</v>
      </c>
      <c r="L109" s="73" t="n">
        <f aca="false">IFERROR(IF(OR($B109="",$C109=0,$C109=""),"",$I109+ROW()*0.0000001),"")</f>
        <v>0.576353122222222</v>
      </c>
      <c r="M109" s="76" t="n">
        <f aca="false">$M$2</f>
        <v>0.9319</v>
      </c>
      <c r="N109" s="13" t="n">
        <f aca="false">IFERROR(IF($B109="","",$C109+$M109),"")</f>
        <v>76.2584</v>
      </c>
    </row>
    <row r="110" customFormat="false" ht="39" hidden="false" customHeight="true" outlineLevel="0" collapsed="false">
      <c r="A110" s="69" t="str">
        <f aca="false">IFERROR(IF(المنيو!$B110="","",المنيو!$A110),"")</f>
        <v>قسم الفطير الحادق الصيامي</v>
      </c>
      <c r="B110" s="69" t="str">
        <f aca="false">IFERROR(المنيو!$B110,"")</f>
        <v>فطيرة تونة صيامي مخصوص</v>
      </c>
      <c r="C110" s="13" t="n">
        <f aca="false">IFERROR(IF($B110="","",SUMIFS(الريسبي!$F$2:$F$1800,الريسبي!$A$2:$A$1800,$B110)),"")</f>
        <v>108.6765</v>
      </c>
      <c r="D110" s="70" t="n">
        <f aca="false">IFERROR(IF($B110="","",المنيو!$C110),"")</f>
        <v>250</v>
      </c>
      <c r="E110" s="12" t="n">
        <f aca="false">IFERROR(IF(OR($B110="",$D110=0,$D110=""),"",$N110/$D110),"")</f>
        <v>0.4384336</v>
      </c>
      <c r="F110" s="75" t="n">
        <f aca="false">$F$2</f>
        <v>0.375</v>
      </c>
      <c r="G110" s="13" t="n">
        <f aca="false">IFERROR(IF($B110="","",$N110/$F110),"")</f>
        <v>292.289066666667</v>
      </c>
      <c r="H110" s="13" t="n">
        <f aca="false">IFERROR(IF($B110="","",$D110-$N110),"")</f>
        <v>140.3916</v>
      </c>
      <c r="I110" s="12" t="n">
        <f aca="false">IFERROR(IF(OR($B110="",$D110=0,$D110=""),"",$H110/$D110),"")</f>
        <v>0.5615664</v>
      </c>
      <c r="J110" s="75" t="n">
        <f aca="false">$J$2</f>
        <v>0.25</v>
      </c>
      <c r="K110" s="12" t="n">
        <f aca="false">IFERROR(IF($B110="","",$E110+$J110),"")</f>
        <v>0.6884336</v>
      </c>
      <c r="L110" s="73" t="n">
        <f aca="false">IFERROR(IF(OR($B110="",$C110=0,$C110=""),"",$I110+ROW()*0.0000001),"")</f>
        <v>0.5615774</v>
      </c>
      <c r="M110" s="76" t="n">
        <f aca="false">$M$2</f>
        <v>0.9319</v>
      </c>
      <c r="N110" s="13" t="n">
        <f aca="false">IFERROR(IF($B110="","",$C110+$M110),"")</f>
        <v>109.6084</v>
      </c>
    </row>
    <row r="111" customFormat="false" ht="39" hidden="false" customHeight="true" outlineLevel="0" collapsed="false">
      <c r="A111" s="69" t="str">
        <f aca="false">IFERROR(IF(المنيو!$B111="","",المنيو!$A111),"")</f>
        <v>قسم الفطير الحلو الصيامي</v>
      </c>
      <c r="B111" s="69" t="str">
        <f aca="false">IFERROR(المنيو!$B111,"")</f>
        <v>فطيرة سكر / كاستر صيامي</v>
      </c>
      <c r="C111" s="13" t="n">
        <f aca="false">IFERROR(IF($B111="","",SUMIFS(الريسبي!$F$2:$F$1800,الريسبي!$A$2:$A$1800,$B111)),"")</f>
        <v>15.012965</v>
      </c>
      <c r="D111" s="70" t="n">
        <f aca="false">IFERROR(IF($B111="","",المنيو!$C111),"")</f>
        <v>50</v>
      </c>
      <c r="E111" s="12" t="n">
        <f aca="false">IFERROR(IF(OR($B111="",$D111=0,$D111=""),"",$N111/$D111),"")</f>
        <v>0.3188973</v>
      </c>
      <c r="F111" s="75" t="n">
        <f aca="false">$F$2</f>
        <v>0.375</v>
      </c>
      <c r="G111" s="13" t="n">
        <f aca="false">IFERROR(IF($B111="","",$N111/$F111),"")</f>
        <v>42.51964</v>
      </c>
      <c r="H111" s="13" t="n">
        <f aca="false">IFERROR(IF($B111="","",$D111-$N111),"")</f>
        <v>34.055135</v>
      </c>
      <c r="I111" s="12" t="n">
        <f aca="false">IFERROR(IF(OR($B111="",$D111=0,$D111=""),"",$H111/$D111),"")</f>
        <v>0.6811027</v>
      </c>
      <c r="J111" s="75" t="n">
        <f aca="false">$J$2</f>
        <v>0.25</v>
      </c>
      <c r="K111" s="12" t="n">
        <f aca="false">IFERROR(IF($B111="","",$E111+$J111),"")</f>
        <v>0.5688973</v>
      </c>
      <c r="L111" s="73" t="n">
        <f aca="false">IFERROR(IF(OR($B111="",$C111=0,$C111=""),"",$I111+ROW()*0.0000001),"")</f>
        <v>0.6811138</v>
      </c>
      <c r="M111" s="76" t="n">
        <f aca="false">$M$2</f>
        <v>0.9319</v>
      </c>
      <c r="N111" s="13" t="n">
        <f aca="false">IFERROR(IF($B111="","",$C111+$M111),"")</f>
        <v>15.944865</v>
      </c>
    </row>
    <row r="112" customFormat="false" ht="39" hidden="false" customHeight="true" outlineLevel="0" collapsed="false">
      <c r="A112" s="69" t="str">
        <f aca="false">IFERROR(IF(المنيو!$B112="","",المنيو!$A112),"")</f>
        <v>قسم الفطير الحلو الصيامي</v>
      </c>
      <c r="B112" s="69" t="str">
        <f aca="false">IFERROR(المنيو!$B112,"")</f>
        <v>فطيرة ملوكي زبيب وجوزهند صيامي</v>
      </c>
      <c r="C112" s="13" t="n">
        <f aca="false">IFERROR(IF($B112="","",SUMIFS(الريسبي!$F$2:$F$1800,الريسبي!$A$2:$A$1800,$B112)),"")</f>
        <v>35.477965</v>
      </c>
      <c r="D112" s="70" t="n">
        <f aca="false">IFERROR(IF($B112="","",المنيو!$C112),"")</f>
        <v>70</v>
      </c>
      <c r="E112" s="12" t="n">
        <f aca="false">IFERROR(IF(OR($B112="",$D112=0,$D112=""),"",$N112/$D112),"")</f>
        <v>0.520140928571429</v>
      </c>
      <c r="F112" s="75" t="n">
        <f aca="false">$F$2</f>
        <v>0.375</v>
      </c>
      <c r="G112" s="13" t="n">
        <f aca="false">IFERROR(IF($B112="","",$N112/$F112),"")</f>
        <v>97.0929733333333</v>
      </c>
      <c r="H112" s="13" t="n">
        <f aca="false">IFERROR(IF($B112="","",$D112-$N112),"")</f>
        <v>33.590135</v>
      </c>
      <c r="I112" s="12" t="n">
        <f aca="false">IFERROR(IF(OR($B112="",$D112=0,$D112=""),"",$H112/$D112),"")</f>
        <v>0.479859071428572</v>
      </c>
      <c r="J112" s="75" t="n">
        <f aca="false">$J$2</f>
        <v>0.25</v>
      </c>
      <c r="K112" s="12" t="n">
        <f aca="false">IFERROR(IF($B112="","",$E112+$J112),"")</f>
        <v>0.770140928571429</v>
      </c>
      <c r="L112" s="73" t="n">
        <f aca="false">IFERROR(IF(OR($B112="",$C112=0,$C112=""),"",$I112+ROW()*0.0000001),"")</f>
        <v>0.479870271428571</v>
      </c>
      <c r="M112" s="76" t="n">
        <f aca="false">$M$2</f>
        <v>0.9319</v>
      </c>
      <c r="N112" s="13" t="n">
        <f aca="false">IFERROR(IF($B112="","",$C112+$M112),"")</f>
        <v>36.409865</v>
      </c>
    </row>
    <row r="113" customFormat="false" ht="39" hidden="false" customHeight="true" outlineLevel="0" collapsed="false">
      <c r="A113" s="69" t="str">
        <f aca="false">IFERROR(IF(المنيو!$B113="","",المنيو!$A113),"")</f>
        <v>قسم الفطير الحلو الصيامي</v>
      </c>
      <c r="B113" s="69" t="str">
        <f aca="false">IFERROR(المنيو!$B113,"")</f>
        <v>فطيرة شيكولاتة صيامي</v>
      </c>
      <c r="C113" s="13" t="n">
        <f aca="false">IFERROR(IF($B113="","",SUMIFS(الريسبي!$F$2:$F$1800,الريسبي!$A$2:$A$1800,$B113)),"")</f>
        <v>42.370312</v>
      </c>
      <c r="D113" s="70" t="n">
        <f aca="false">IFERROR(IF($B113="","",المنيو!$C113),"")</f>
        <v>100</v>
      </c>
      <c r="E113" s="12" t="n">
        <f aca="false">IFERROR(IF(OR($B113="",$D113=0,$D113=""),"",$N113/$D113),"")</f>
        <v>0.43302212</v>
      </c>
      <c r="F113" s="75" t="n">
        <f aca="false">$F$2</f>
        <v>0.375</v>
      </c>
      <c r="G113" s="13" t="n">
        <f aca="false">IFERROR(IF($B113="","",$N113/$F113),"")</f>
        <v>115.472565333333</v>
      </c>
      <c r="H113" s="13" t="n">
        <f aca="false">IFERROR(IF($B113="","",$D113-$N113),"")</f>
        <v>56.697788</v>
      </c>
      <c r="I113" s="12" t="n">
        <f aca="false">IFERROR(IF(OR($B113="",$D113=0,$D113=""),"",$H113/$D113),"")</f>
        <v>0.56697788</v>
      </c>
      <c r="J113" s="75" t="n">
        <f aca="false">$J$2</f>
        <v>0.25</v>
      </c>
      <c r="K113" s="12" t="n">
        <f aca="false">IFERROR(IF($B113="","",$E113+$J113),"")</f>
        <v>0.68302212</v>
      </c>
      <c r="L113" s="73" t="n">
        <f aca="false">IFERROR(IF(OR($B113="",$C113=0,$C113=""),"",$I113+ROW()*0.0000001),"")</f>
        <v>0.56698918</v>
      </c>
      <c r="M113" s="76" t="n">
        <f aca="false">$M$2</f>
        <v>0.9319</v>
      </c>
      <c r="N113" s="13" t="n">
        <f aca="false">IFERROR(IF($B113="","",$C113+$M113),"")</f>
        <v>43.302212</v>
      </c>
    </row>
    <row r="114" customFormat="false" ht="39" hidden="false" customHeight="true" outlineLevel="0" collapsed="false">
      <c r="A114" s="69" t="str">
        <f aca="false">IFERROR(IF(المنيو!$B114="","",المنيو!$A114),"")</f>
        <v>قسم الفطير الحلو الصيامي</v>
      </c>
      <c r="B114" s="69" t="str">
        <f aca="false">IFERROR(المنيو!$B114,"")</f>
        <v>فطيرة لوتس صيامي</v>
      </c>
      <c r="C114" s="13" t="n">
        <f aca="false">IFERROR(IF($B114="","",SUMIFS(الريسبي!$F$2:$F$1800,الريسبي!$A$2:$A$1800,$B114)),"")</f>
        <v>42.4366</v>
      </c>
      <c r="D114" s="70" t="n">
        <f aca="false">IFERROR(IF($B114="","",المنيو!$C114),"")</f>
        <v>140</v>
      </c>
      <c r="E114" s="12" t="n">
        <f aca="false">IFERROR(IF(OR($B114="",$D114=0,$D114=""),"",$N114/$D114),"")</f>
        <v>0.309775</v>
      </c>
      <c r="F114" s="75" t="n">
        <f aca="false">$F$2</f>
        <v>0.375</v>
      </c>
      <c r="G114" s="13" t="n">
        <f aca="false">IFERROR(IF($B114="","",$N114/$F114),"")</f>
        <v>115.649333333333</v>
      </c>
      <c r="H114" s="13" t="n">
        <f aca="false">IFERROR(IF($B114="","",$D114-$N114),"")</f>
        <v>96.6315</v>
      </c>
      <c r="I114" s="12" t="n">
        <f aca="false">IFERROR(IF(OR($B114="",$D114=0,$D114=""),"",$H114/$D114),"")</f>
        <v>0.690225</v>
      </c>
      <c r="J114" s="75" t="n">
        <f aca="false">$J$2</f>
        <v>0.25</v>
      </c>
      <c r="K114" s="12" t="n">
        <f aca="false">IFERROR(IF($B114="","",$E114+$J114),"")</f>
        <v>0.559775</v>
      </c>
      <c r="L114" s="73" t="n">
        <f aca="false">IFERROR(IF(OR($B114="",$C114=0,$C114=""),"",$I114+ROW()*0.0000001),"")</f>
        <v>0.6902364</v>
      </c>
      <c r="M114" s="76" t="n">
        <f aca="false">$M$2</f>
        <v>0.9319</v>
      </c>
      <c r="N114" s="13" t="n">
        <f aca="false">IFERROR(IF($B114="","",$C114+$M114),"")</f>
        <v>43.3685</v>
      </c>
    </row>
    <row r="115" customFormat="false" ht="39" hidden="false" customHeight="true" outlineLevel="0" collapsed="false">
      <c r="A115" s="69" t="str">
        <f aca="false">IFERROR(IF(المنيو!$B115="","",المنيو!$A115),"")</f>
        <v>قسم البرجر الصيامي</v>
      </c>
      <c r="B115" s="69" t="str">
        <f aca="false">IFERROR(المنيو!$B115,"")</f>
        <v>قنبلة برجر صيامي</v>
      </c>
      <c r="C115" s="13" t="n">
        <f aca="false">IFERROR(IF($B115="","",SUMIFS(الريسبي!$F$2:$F$1800,الريسبي!$A$2:$A$1800,$B115)),"")</f>
        <v>59.9765</v>
      </c>
      <c r="D115" s="70" t="n">
        <f aca="false">IFERROR(IF($B115="","",المنيو!$C115),"")</f>
        <v>160</v>
      </c>
      <c r="E115" s="12" t="n">
        <f aca="false">IFERROR(IF(OR($B115="",$D115=0,$D115=""),"",$N115/$D115),"")</f>
        <v>0.3806775</v>
      </c>
      <c r="F115" s="75" t="n">
        <f aca="false">$F$2</f>
        <v>0.375</v>
      </c>
      <c r="G115" s="13" t="n">
        <f aca="false">IFERROR(IF($B115="","",$N115/$F115),"")</f>
        <v>162.4224</v>
      </c>
      <c r="H115" s="13" t="n">
        <f aca="false">IFERROR(IF($B115="","",$D115-$N115),"")</f>
        <v>99.0916</v>
      </c>
      <c r="I115" s="12" t="n">
        <f aca="false">IFERROR(IF(OR($B115="",$D115=0,$D115=""),"",$H115/$D115),"")</f>
        <v>0.6193225</v>
      </c>
      <c r="J115" s="75" t="n">
        <f aca="false">$J$2</f>
        <v>0.25</v>
      </c>
      <c r="K115" s="12" t="n">
        <f aca="false">IFERROR(IF($B115="","",$E115+$J115),"")</f>
        <v>0.6306775</v>
      </c>
      <c r="L115" s="73" t="n">
        <f aca="false">IFERROR(IF(OR($B115="",$C115=0,$C115=""),"",$I115+ROW()*0.0000001),"")</f>
        <v>0.619334</v>
      </c>
      <c r="M115" s="76" t="n">
        <f aca="false">$M$2</f>
        <v>0.9319</v>
      </c>
      <c r="N115" s="13" t="n">
        <f aca="false">IFERROR(IF($B115="","",$C115+$M115),"")</f>
        <v>60.9084</v>
      </c>
    </row>
    <row r="116" customFormat="false" ht="39" hidden="false" customHeight="true" outlineLevel="0" collapsed="false">
      <c r="A116" s="69" t="str">
        <f aca="false">IFERROR(IF(المنيو!$B116="","",المنيو!$A116),"")</f>
        <v>قسم البرجر الصيامي</v>
      </c>
      <c r="B116" s="69" t="str">
        <f aca="false">IFERROR(المنيو!$B116,"")</f>
        <v>قنبلة كريسبي صيامي</v>
      </c>
      <c r="C116" s="13" t="n">
        <f aca="false">IFERROR(IF($B116="","",SUMIFS(الريسبي!$F$2:$F$1800,الريسبي!$A$2:$A$1800,$B116)),"")</f>
        <v>66.8042</v>
      </c>
      <c r="D116" s="70" t="n">
        <f aca="false">IFERROR(IF($B116="","",المنيو!$C116),"")</f>
        <v>160</v>
      </c>
      <c r="E116" s="12" t="n">
        <f aca="false">IFERROR(IF(OR($B116="",$D116=0,$D116=""),"",$N116/$D116),"")</f>
        <v>0.423350625</v>
      </c>
      <c r="F116" s="75" t="n">
        <f aca="false">$F$2</f>
        <v>0.375</v>
      </c>
      <c r="G116" s="13" t="n">
        <f aca="false">IFERROR(IF($B116="","",$N116/$F116),"")</f>
        <v>180.6296</v>
      </c>
      <c r="H116" s="13" t="n">
        <f aca="false">IFERROR(IF($B116="","",$D116-$N116),"")</f>
        <v>92.2639</v>
      </c>
      <c r="I116" s="12" t="n">
        <f aca="false">IFERROR(IF(OR($B116="",$D116=0,$D116=""),"",$H116/$D116),"")</f>
        <v>0.576649375</v>
      </c>
      <c r="J116" s="75" t="n">
        <f aca="false">$J$2</f>
        <v>0.25</v>
      </c>
      <c r="K116" s="12" t="n">
        <f aca="false">IFERROR(IF($B116="","",$E116+$J116),"")</f>
        <v>0.673350625</v>
      </c>
      <c r="L116" s="73" t="n">
        <f aca="false">IFERROR(IF(OR($B116="",$C116=0,$C116=""),"",$I116+ROW()*0.0000001),"")</f>
        <v>0.576660975</v>
      </c>
      <c r="M116" s="76" t="n">
        <f aca="false">$M$2</f>
        <v>0.9319</v>
      </c>
      <c r="N116" s="13" t="n">
        <f aca="false">IFERROR(IF($B116="","",$C116+$M116),"")</f>
        <v>67.7361</v>
      </c>
    </row>
    <row r="117" customFormat="false" ht="39" hidden="false" customHeight="true" outlineLevel="0" collapsed="false">
      <c r="A117" s="69" t="str">
        <f aca="false">IFERROR(IF(المنيو!$B117="","",المنيو!$A117),"")</f>
        <v>قسم البرجر الصيامي</v>
      </c>
      <c r="B117" s="69" t="str">
        <f aca="false">IFERROR(المنيو!$B117,"")</f>
        <v>بهججة بيتزا برجر صيامي</v>
      </c>
      <c r="C117" s="13" t="n">
        <f aca="false">IFERROR(IF($B117="","",SUMIFS(الريسبي!$F$2:$F$1800,الريسبي!$A$2:$A$1800,$B117)),"")</f>
        <v>68.7265</v>
      </c>
      <c r="D117" s="70" t="n">
        <f aca="false">IFERROR(IF($B117="","",المنيو!$C117),"")</f>
        <v>170</v>
      </c>
      <c r="E117" s="12" t="n">
        <f aca="false">IFERROR(IF(OR($B117="",$D117=0,$D117=""),"",$N117/$D117),"")</f>
        <v>0.409755294117647</v>
      </c>
      <c r="F117" s="75" t="n">
        <f aca="false">$F$2</f>
        <v>0.375</v>
      </c>
      <c r="G117" s="13" t="n">
        <f aca="false">IFERROR(IF($B117="","",$N117/$F117),"")</f>
        <v>185.755733333333</v>
      </c>
      <c r="H117" s="13" t="n">
        <f aca="false">IFERROR(IF($B117="","",$D117-$N117),"")</f>
        <v>100.3416</v>
      </c>
      <c r="I117" s="12" t="n">
        <f aca="false">IFERROR(IF(OR($B117="",$D117=0,$D117=""),"",$H117/$D117),"")</f>
        <v>0.590244705882353</v>
      </c>
      <c r="J117" s="75" t="n">
        <f aca="false">$J$2</f>
        <v>0.25</v>
      </c>
      <c r="K117" s="12" t="n">
        <f aca="false">IFERROR(IF($B117="","",$E117+$J117),"")</f>
        <v>0.659755294117647</v>
      </c>
      <c r="L117" s="73" t="n">
        <f aca="false">IFERROR(IF(OR($B117="",$C117=0,$C117=""),"",$I117+ROW()*0.0000001),"")</f>
        <v>0.590256405882353</v>
      </c>
      <c r="M117" s="76" t="n">
        <f aca="false">$M$2</f>
        <v>0.9319</v>
      </c>
      <c r="N117" s="13" t="n">
        <f aca="false">IFERROR(IF($B117="","",$C117+$M117),"")</f>
        <v>69.6584</v>
      </c>
    </row>
    <row r="118" customFormat="false" ht="39" hidden="false" customHeight="true" outlineLevel="0" collapsed="false">
      <c r="A118" s="69" t="str">
        <f aca="false">IFERROR(IF(المنيو!$B118="","",المنيو!$A118),"")</f>
        <v>قسم البرجر الصيامي</v>
      </c>
      <c r="B118" s="69" t="str">
        <f aca="false">IFERROR(المنيو!$B118,"")</f>
        <v>بهججة كريسبي صيامي</v>
      </c>
      <c r="C118" s="13" t="n">
        <f aca="false">IFERROR(IF($B118="","",SUMIFS(الريسبي!$F$2:$F$1800,الريسبي!$A$2:$A$1800,$B118)),"")</f>
        <v>75.5542</v>
      </c>
      <c r="D118" s="70" t="n">
        <f aca="false">IFERROR(IF($B118="","",المنيو!$C118),"")</f>
        <v>170</v>
      </c>
      <c r="E118" s="12" t="n">
        <f aca="false">IFERROR(IF(OR($B118="",$D118=0,$D118=""),"",$N118/$D118),"")</f>
        <v>0.449918235294118</v>
      </c>
      <c r="F118" s="75" t="n">
        <f aca="false">$F$2</f>
        <v>0.375</v>
      </c>
      <c r="G118" s="13" t="n">
        <f aca="false">IFERROR(IF($B118="","",$N118/$F118),"")</f>
        <v>203.962933333333</v>
      </c>
      <c r="H118" s="13" t="n">
        <f aca="false">IFERROR(IF($B118="","",$D118-$N118),"")</f>
        <v>93.5139</v>
      </c>
      <c r="I118" s="12" t="n">
        <f aca="false">IFERROR(IF(OR($B118="",$D118=0,$D118=""),"",$H118/$D118),"")</f>
        <v>0.550081764705882</v>
      </c>
      <c r="J118" s="75" t="n">
        <f aca="false">$J$2</f>
        <v>0.25</v>
      </c>
      <c r="K118" s="12" t="n">
        <f aca="false">IFERROR(IF($B118="","",$E118+$J118),"")</f>
        <v>0.699918235294118</v>
      </c>
      <c r="L118" s="73" t="n">
        <f aca="false">IFERROR(IF(OR($B118="",$C118=0,$C118=""),"",$I118+ROW()*0.0000001),"")</f>
        <v>0.550093564705882</v>
      </c>
      <c r="M118" s="76" t="n">
        <f aca="false">$M$2</f>
        <v>0.9319</v>
      </c>
      <c r="N118" s="13" t="n">
        <f aca="false">IFERROR(IF($B118="","",$C118+$M118),"")</f>
        <v>76.4861</v>
      </c>
    </row>
    <row r="119" customFormat="false" ht="39" hidden="false" customHeight="true" outlineLevel="0" collapsed="false">
      <c r="A119" s="69" t="str">
        <f aca="false">IFERROR(IF(المنيو!$B119="","",المنيو!$A119),"")</f>
        <v>قسم المكرونات الصيامي</v>
      </c>
      <c r="B119" s="69" t="str">
        <f aca="false">IFERROR(المنيو!$B119,"")</f>
        <v>مكرونة صوص ابيض خضروات صيامي</v>
      </c>
      <c r="C119" s="13" t="n">
        <f aca="false">IFERROR(IF($B119="","",SUMIFS(الريسبي!$F$2:$F$1800,الريسبي!$A$2:$A$1800,$B119)),"")</f>
        <v>36.53</v>
      </c>
      <c r="D119" s="70" t="n">
        <f aca="false">IFERROR(IF($B119="","",المنيو!$C119),"")</f>
        <v>100</v>
      </c>
      <c r="E119" s="12" t="n">
        <f aca="false">IFERROR(IF(OR($B119="",$D119=0,$D119=""),"",$N119/$D119),"")</f>
        <v>0.374619</v>
      </c>
      <c r="F119" s="75" t="n">
        <f aca="false">$F$2</f>
        <v>0.375</v>
      </c>
      <c r="G119" s="13" t="n">
        <f aca="false">IFERROR(IF($B119="","",$N119/$F119),"")</f>
        <v>99.8984</v>
      </c>
      <c r="H119" s="13" t="n">
        <f aca="false">IFERROR(IF($B119="","",$D119-$N119),"")</f>
        <v>62.5381</v>
      </c>
      <c r="I119" s="12" t="n">
        <f aca="false">IFERROR(IF(OR($B119="",$D119=0,$D119=""),"",$H119/$D119),"")</f>
        <v>0.625381</v>
      </c>
      <c r="J119" s="75" t="n">
        <f aca="false">$J$2</f>
        <v>0.25</v>
      </c>
      <c r="K119" s="12" t="n">
        <f aca="false">IFERROR(IF($B119="","",$E119+$J119),"")</f>
        <v>0.624619</v>
      </c>
      <c r="L119" s="73" t="n">
        <f aca="false">IFERROR(IF(OR($B119="",$C119=0,$C119=""),"",$I119+ROW()*0.0000001),"")</f>
        <v>0.6253929</v>
      </c>
      <c r="M119" s="76" t="n">
        <f aca="false">$M$2</f>
        <v>0.9319</v>
      </c>
      <c r="N119" s="13" t="n">
        <f aca="false">IFERROR(IF($B119="","",$C119+$M119),"")</f>
        <v>37.4619</v>
      </c>
    </row>
    <row r="120" customFormat="false" ht="39" hidden="false" customHeight="true" outlineLevel="0" collapsed="false">
      <c r="A120" s="69" t="str">
        <f aca="false">IFERROR(IF(المنيو!$B120="","",المنيو!$A120),"")</f>
        <v>قسم المكرونات الصيامي</v>
      </c>
      <c r="B120" s="69" t="str">
        <f aca="false">IFERROR(المنيو!$B120,"")</f>
        <v>مكرونة مشروم صيامي</v>
      </c>
      <c r="C120" s="13" t="n">
        <f aca="false">IFERROR(IF($B120="","",SUMIFS(الريسبي!$F$2:$F$1800,الريسبي!$A$2:$A$1800,$B120)),"")</f>
        <v>45.602162</v>
      </c>
      <c r="D120" s="70" t="n">
        <f aca="false">IFERROR(IF($B120="","",المنيو!$C120),"")</f>
        <v>130</v>
      </c>
      <c r="E120" s="12" t="n">
        <f aca="false">IFERROR(IF(OR($B120="",$D120=0,$D120=""),"",$N120/$D120),"")</f>
        <v>0.357954323076923</v>
      </c>
      <c r="F120" s="75" t="n">
        <f aca="false">$F$2</f>
        <v>0.375</v>
      </c>
      <c r="G120" s="13" t="n">
        <f aca="false">IFERROR(IF($B120="","",$N120/$F120),"")</f>
        <v>124.090832</v>
      </c>
      <c r="H120" s="13" t="n">
        <f aca="false">IFERROR(IF($B120="","",$D120-$N120),"")</f>
        <v>83.465938</v>
      </c>
      <c r="I120" s="12" t="n">
        <f aca="false">IFERROR(IF(OR($B120="",$D120=0,$D120=""),"",$H120/$D120),"")</f>
        <v>0.642045676923077</v>
      </c>
      <c r="J120" s="75" t="n">
        <f aca="false">$J$2</f>
        <v>0.25</v>
      </c>
      <c r="K120" s="12" t="n">
        <f aca="false">IFERROR(IF($B120="","",$E120+$J120),"")</f>
        <v>0.607954323076923</v>
      </c>
      <c r="L120" s="73" t="n">
        <f aca="false">IFERROR(IF(OR($B120="",$C120=0,$C120=""),"",$I120+ROW()*0.0000001),"")</f>
        <v>0.642057676923077</v>
      </c>
      <c r="M120" s="76" t="n">
        <f aca="false">$M$2</f>
        <v>0.9319</v>
      </c>
      <c r="N120" s="13" t="n">
        <f aca="false">IFERROR(IF($B120="","",$C120+$M120),"")</f>
        <v>46.534062</v>
      </c>
    </row>
    <row r="121" customFormat="false" ht="39" hidden="false" customHeight="true" outlineLevel="0" collapsed="false">
      <c r="A121" s="69" t="str">
        <f aca="false">IFERROR(IF(المنيو!$B121="","",المنيو!$A121),"")</f>
        <v>قسم المكرونات الصيامي</v>
      </c>
      <c r="B121" s="69" t="str">
        <f aca="false">IFERROR(المنيو!$B121,"")</f>
        <v>مكرونة سوسيس صيامي</v>
      </c>
      <c r="C121" s="13" t="n">
        <f aca="false">IFERROR(IF($B121="","",SUMIFS(الريسبي!$F$2:$F$1800,الريسبي!$A$2:$A$1800,$B121)),"")</f>
        <v>67.3328</v>
      </c>
      <c r="D121" s="70" t="n">
        <f aca="false">IFERROR(IF($B121="","",المنيو!$C121),"")</f>
        <v>130</v>
      </c>
      <c r="E121" s="12" t="n">
        <f aca="false">IFERROR(IF(OR($B121="",$D121=0,$D121=""),"",$N121/$D121),"")</f>
        <v>0.525113076923077</v>
      </c>
      <c r="F121" s="75" t="n">
        <f aca="false">$F$2</f>
        <v>0.375</v>
      </c>
      <c r="G121" s="13" t="n">
        <f aca="false">IFERROR(IF($B121="","",$N121/$F121),"")</f>
        <v>182.0392</v>
      </c>
      <c r="H121" s="13" t="n">
        <f aca="false">IFERROR(IF($B121="","",$D121-$N121),"")</f>
        <v>61.7353</v>
      </c>
      <c r="I121" s="12" t="n">
        <f aca="false">IFERROR(IF(OR($B121="",$D121=0,$D121=""),"",$H121/$D121),"")</f>
        <v>0.474886923076923</v>
      </c>
      <c r="J121" s="75" t="n">
        <f aca="false">$J$2</f>
        <v>0.25</v>
      </c>
      <c r="K121" s="12" t="n">
        <f aca="false">IFERROR(IF($B121="","",$E121+$J121),"")</f>
        <v>0.775113076923077</v>
      </c>
      <c r="L121" s="73" t="n">
        <f aca="false">IFERROR(IF(OR($B121="",$C121=0,$C121=""),"",$I121+ROW()*0.0000001),"")</f>
        <v>0.474899023076923</v>
      </c>
      <c r="M121" s="76" t="n">
        <f aca="false">$M$2</f>
        <v>0.9319</v>
      </c>
      <c r="N121" s="13" t="n">
        <f aca="false">IFERROR(IF($B121="","",$C121+$M121),"")</f>
        <v>68.2647</v>
      </c>
    </row>
    <row r="122" customFormat="false" ht="39" hidden="false" customHeight="true" outlineLevel="0" collapsed="false">
      <c r="A122" s="69" t="str">
        <f aca="false">IFERROR(IF(المنيو!$B122="","",المنيو!$A122),"")</f>
        <v>قسم المكرونات الصيامي</v>
      </c>
      <c r="B122" s="69" t="str">
        <f aca="false">IFERROR(المنيو!$B122,"")</f>
        <v>مكرونة فراخ باربيكيو صيامي</v>
      </c>
      <c r="C122" s="13" t="n">
        <f aca="false">IFERROR(IF($B122="","",SUMIFS(الريسبي!$F$2:$F$1800,الريسبي!$A$2:$A$1800,$B122)),"")</f>
        <v>70.1077</v>
      </c>
      <c r="D122" s="70" t="n">
        <f aca="false">IFERROR(IF($B122="","",المنيو!$C122),"")</f>
        <v>160</v>
      </c>
      <c r="E122" s="12" t="n">
        <f aca="false">IFERROR(IF(OR($B122="",$D122=0,$D122=""),"",$N122/$D122),"")</f>
        <v>0.4439975</v>
      </c>
      <c r="F122" s="75" t="n">
        <f aca="false">$F$2</f>
        <v>0.375</v>
      </c>
      <c r="G122" s="13" t="n">
        <f aca="false">IFERROR(IF($B122="","",$N122/$F122),"")</f>
        <v>189.438933333333</v>
      </c>
      <c r="H122" s="13" t="n">
        <f aca="false">IFERROR(IF($B122="","",$D122-$N122),"")</f>
        <v>88.9604</v>
      </c>
      <c r="I122" s="12" t="n">
        <f aca="false">IFERROR(IF(OR($B122="",$D122=0,$D122=""),"",$H122/$D122),"")</f>
        <v>0.5560025</v>
      </c>
      <c r="J122" s="75" t="n">
        <f aca="false">$J$2</f>
        <v>0.25</v>
      </c>
      <c r="K122" s="12" t="n">
        <f aca="false">IFERROR(IF($B122="","",$E122+$J122),"")</f>
        <v>0.6939975</v>
      </c>
      <c r="L122" s="73" t="n">
        <f aca="false">IFERROR(IF(OR($B122="",$C122=0,$C122=""),"",$I122+ROW()*0.0000001),"")</f>
        <v>0.5560147</v>
      </c>
      <c r="M122" s="76" t="n">
        <f aca="false">$M$2</f>
        <v>0.9319</v>
      </c>
      <c r="N122" s="13" t="n">
        <f aca="false">IFERROR(IF($B122="","",$C122+$M122),"")</f>
        <v>71.0396</v>
      </c>
    </row>
    <row r="123" customFormat="false" ht="39" hidden="false" customHeight="true" outlineLevel="0" collapsed="false">
      <c r="A123" s="69" t="str">
        <f aca="false">IFERROR(IF(المنيو!$B123="","",المنيو!$A123),"")</f>
        <v>قسم المكرونات الصيامي</v>
      </c>
      <c r="B123" s="69" t="str">
        <f aca="false">IFERROR(المنيو!$B123,"")</f>
        <v>مكرونة جمبري صيامي</v>
      </c>
      <c r="C123" s="13" t="n">
        <f aca="false">IFERROR(IF($B123="","",SUMIFS(الريسبي!$F$2:$F$1800,الريسبي!$A$2:$A$1800,$B123)),"")</f>
        <v>131.53</v>
      </c>
      <c r="D123" s="70" t="n">
        <f aca="false">IFERROR(IF($B123="","",المنيو!$C123),"")</f>
        <v>260</v>
      </c>
      <c r="E123" s="12" t="n">
        <f aca="false">IFERROR(IF(OR($B123="",$D123=0,$D123=""),"",$N123/$D123),"")</f>
        <v>0.509468846153846</v>
      </c>
      <c r="F123" s="75" t="n">
        <f aca="false">$F$2</f>
        <v>0.375</v>
      </c>
      <c r="G123" s="13" t="n">
        <f aca="false">IFERROR(IF($B123="","",$N123/$F123),"")</f>
        <v>353.231733333333</v>
      </c>
      <c r="H123" s="13" t="n">
        <f aca="false">IFERROR(IF($B123="","",$D123-$N123),"")</f>
        <v>127.5381</v>
      </c>
      <c r="I123" s="12" t="n">
        <f aca="false">IFERROR(IF(OR($B123="",$D123=0,$D123=""),"",$H123/$D123),"")</f>
        <v>0.490531153846154</v>
      </c>
      <c r="J123" s="75" t="n">
        <f aca="false">$J$2</f>
        <v>0.25</v>
      </c>
      <c r="K123" s="12" t="n">
        <f aca="false">IFERROR(IF($B123="","",$E123+$J123),"")</f>
        <v>0.759468846153846</v>
      </c>
      <c r="L123" s="73" t="n">
        <f aca="false">IFERROR(IF(OR($B123="",$C123=0,$C123=""),"",$I123+ROW()*0.0000001),"")</f>
        <v>0.490543453846154</v>
      </c>
      <c r="M123" s="76" t="n">
        <f aca="false">$M$2</f>
        <v>0.9319</v>
      </c>
      <c r="N123" s="13" t="n">
        <f aca="false">IFERROR(IF($B123="","",$C123+$M123),"")</f>
        <v>132.4619</v>
      </c>
    </row>
    <row r="124" customFormat="false" ht="39" hidden="false" customHeight="true" outlineLevel="0" collapsed="false">
      <c r="A124" s="69" t="str">
        <f aca="false">IFERROR(IF(المنيو!$B124="","",المنيو!$A124),"")</f>
        <v>قسم الكريب الصيامي</v>
      </c>
      <c r="B124" s="69" t="str">
        <f aca="false">IFERROR(المنيو!$B124,"")</f>
        <v>كريب بطاطس صيامي</v>
      </c>
      <c r="C124" s="13" t="n">
        <f aca="false">IFERROR(IF($B124="","",SUMIFS(الريسبي!$F$2:$F$1800,الريسبي!$A$2:$A$1800,$B124)),"")</f>
        <v>35.8880720833333</v>
      </c>
      <c r="D124" s="70" t="n">
        <f aca="false">IFERROR(IF($B124="","",المنيو!$C124),"")</f>
        <v>90</v>
      </c>
      <c r="E124" s="12" t="n">
        <f aca="false">IFERROR(IF(OR($B124="",$D124=0,$D124=""),"",$N124/$D124),"")</f>
        <v>0.409110800925926</v>
      </c>
      <c r="F124" s="75" t="n">
        <f aca="false">$F$2</f>
        <v>0.375</v>
      </c>
      <c r="G124" s="13" t="n">
        <f aca="false">IFERROR(IF($B124="","",$N124/$F124),"")</f>
        <v>98.1865922222222</v>
      </c>
      <c r="H124" s="13" t="n">
        <f aca="false">IFERROR(IF($B124="","",$D124-$N124),"")</f>
        <v>53.1800279166667</v>
      </c>
      <c r="I124" s="12" t="n">
        <f aca="false">IFERROR(IF(OR($B124="",$D124=0,$D124=""),"",$H124/$D124),"")</f>
        <v>0.590889199074074</v>
      </c>
      <c r="J124" s="75" t="n">
        <f aca="false">$J$2</f>
        <v>0.25</v>
      </c>
      <c r="K124" s="12" t="n">
        <f aca="false">IFERROR(IF($B124="","",$E124+$J124),"")</f>
        <v>0.659110800925926</v>
      </c>
      <c r="L124" s="73" t="n">
        <f aca="false">IFERROR(IF(OR($B124="",$C124=0,$C124=""),"",$I124+ROW()*0.0000001),"")</f>
        <v>0.590901599074074</v>
      </c>
      <c r="M124" s="76" t="n">
        <f aca="false">$M$2</f>
        <v>0.9319</v>
      </c>
      <c r="N124" s="13" t="n">
        <f aca="false">IFERROR(IF($B124="","",$C124+$M124),"")</f>
        <v>36.8199720833333</v>
      </c>
    </row>
    <row r="125" customFormat="false" ht="39" hidden="false" customHeight="true" outlineLevel="0" collapsed="false">
      <c r="A125" s="69" t="str">
        <f aca="false">IFERROR(IF(المنيو!$B125="","",المنيو!$A125),"")</f>
        <v>قسم الكريب الصيامي</v>
      </c>
      <c r="B125" s="69" t="str">
        <f aca="false">IFERROR(المنيو!$B125,"")</f>
        <v>كريب فراخ باربيكيو صيامي</v>
      </c>
      <c r="C125" s="13" t="n">
        <f aca="false">IFERROR(IF($B125="","",SUMIFS(الريسبي!$F$2:$F$1800,الريسبي!$A$2:$A$1800,$B125)),"")</f>
        <v>60.9907720833333</v>
      </c>
      <c r="D125" s="70" t="n">
        <f aca="false">IFERROR(IF($B125="","",المنيو!$C125),"")</f>
        <v>125</v>
      </c>
      <c r="E125" s="12" t="n">
        <f aca="false">IFERROR(IF(OR($B125="",$D125=0,$D125=""),"",$N125/$D125),"")</f>
        <v>0.495381376666667</v>
      </c>
      <c r="F125" s="75" t="n">
        <f aca="false">$F$2</f>
        <v>0.375</v>
      </c>
      <c r="G125" s="13" t="n">
        <f aca="false">IFERROR(IF($B125="","",$N125/$F125),"")</f>
        <v>165.127125555556</v>
      </c>
      <c r="H125" s="13" t="n">
        <f aca="false">IFERROR(IF($B125="","",$D125-$N125),"")</f>
        <v>63.0773279166667</v>
      </c>
      <c r="I125" s="12" t="n">
        <f aca="false">IFERROR(IF(OR($B125="",$D125=0,$D125=""),"",$H125/$D125),"")</f>
        <v>0.504618623333333</v>
      </c>
      <c r="J125" s="75" t="n">
        <f aca="false">$J$2</f>
        <v>0.25</v>
      </c>
      <c r="K125" s="12" t="n">
        <f aca="false">IFERROR(IF($B125="","",$E125+$J125),"")</f>
        <v>0.745381376666667</v>
      </c>
      <c r="L125" s="73" t="n">
        <f aca="false">IFERROR(IF(OR($B125="",$C125=0,$C125=""),"",$I125+ROW()*0.0000001),"")</f>
        <v>0.504631123333333</v>
      </c>
      <c r="M125" s="76" t="n">
        <f aca="false">$M$2</f>
        <v>0.9319</v>
      </c>
      <c r="N125" s="13" t="n">
        <f aca="false">IFERROR(IF($B125="","",$C125+$M125),"")</f>
        <v>61.9226720833333</v>
      </c>
    </row>
    <row r="126" customFormat="false" ht="39" hidden="false" customHeight="true" outlineLevel="0" collapsed="false">
      <c r="A126" s="69" t="str">
        <f aca="false">IFERROR(IF(المنيو!$B126="","",المنيو!$A126),"")</f>
        <v>قسم الكريب الصيامي</v>
      </c>
      <c r="B126" s="69" t="str">
        <f aca="false">IFERROR(المنيو!$B126,"")</f>
        <v>كريب سوسيس / شاورما لحم فراخ صيامي</v>
      </c>
      <c r="C126" s="13" t="n">
        <f aca="false">IFERROR(IF($B126="","",SUMIFS(الريسبي!$F$2:$F$1800,الريسبي!$A$2:$A$1800,$B126)),"")</f>
        <v>58.1605720833333</v>
      </c>
      <c r="D126" s="70" t="n">
        <f aca="false">IFERROR(IF($B126="","",المنيو!$C126),"")</f>
        <v>110</v>
      </c>
      <c r="E126" s="12" t="n">
        <f aca="false">IFERROR(IF(OR($B126="",$D126=0,$D126=""),"",$N126/$D126),"")</f>
        <v>0.537204291666667</v>
      </c>
      <c r="F126" s="75" t="n">
        <f aca="false">$F$2</f>
        <v>0.375</v>
      </c>
      <c r="G126" s="13" t="n">
        <f aca="false">IFERROR(IF($B126="","",$N126/$F126),"")</f>
        <v>157.579925555556</v>
      </c>
      <c r="H126" s="13" t="n">
        <f aca="false">IFERROR(IF($B126="","",$D126-$N126),"")</f>
        <v>50.9075279166667</v>
      </c>
      <c r="I126" s="12" t="n">
        <f aca="false">IFERROR(IF(OR($B126="",$D126=0,$D126=""),"",$H126/$D126),"")</f>
        <v>0.462795708333333</v>
      </c>
      <c r="J126" s="75" t="n">
        <f aca="false">$J$2</f>
        <v>0.25</v>
      </c>
      <c r="K126" s="12" t="n">
        <f aca="false">IFERROR(IF($B126="","",$E126+$J126),"")</f>
        <v>0.787204291666667</v>
      </c>
      <c r="L126" s="73" t="n">
        <f aca="false">IFERROR(IF(OR($B126="",$C126=0,$C126=""),"",$I126+ROW()*0.0000001),"")</f>
        <v>0.462808308333333</v>
      </c>
      <c r="M126" s="76" t="n">
        <f aca="false">$M$2</f>
        <v>0.9319</v>
      </c>
      <c r="N126" s="13" t="n">
        <f aca="false">IFERROR(IF($B126="","",$C126+$M126),"")</f>
        <v>59.0924720833333</v>
      </c>
    </row>
    <row r="127" customFormat="false" ht="39" hidden="false" customHeight="true" outlineLevel="0" collapsed="false">
      <c r="A127" s="69" t="str">
        <f aca="false">IFERROR(IF(المنيو!$B127="","",المنيو!$A127),"")</f>
        <v>قسم الكريب الصيامي</v>
      </c>
      <c r="B127" s="69" t="str">
        <f aca="false">IFERROR(المنيو!$B127,"")</f>
        <v>كريب جمبري صيامي</v>
      </c>
      <c r="C127" s="13" t="n">
        <f aca="false">IFERROR(IF($B127="","",SUMIFS(الريسبي!$F$2:$F$1800,الريسبي!$A$2:$A$1800,$B127)),"")</f>
        <v>74.9130720833333</v>
      </c>
      <c r="D127" s="70" t="n">
        <f aca="false">IFERROR(IF($B127="","",المنيو!$C127),"")</f>
        <v>190</v>
      </c>
      <c r="E127" s="12" t="n">
        <f aca="false">IFERROR(IF(OR($B127="",$D127=0,$D127=""),"",$N127/$D127),"")</f>
        <v>0.399184063596491</v>
      </c>
      <c r="F127" s="75" t="n">
        <f aca="false">$F$2</f>
        <v>0.375</v>
      </c>
      <c r="G127" s="13" t="n">
        <f aca="false">IFERROR(IF($B127="","",$N127/$F127),"")</f>
        <v>202.253258888889</v>
      </c>
      <c r="H127" s="13" t="n">
        <f aca="false">IFERROR(IF($B127="","",$D127-$N127),"")</f>
        <v>114.155027916667</v>
      </c>
      <c r="I127" s="12" t="n">
        <f aca="false">IFERROR(IF(OR($B127="",$D127=0,$D127=""),"",$H127/$D127),"")</f>
        <v>0.600815936403509</v>
      </c>
      <c r="J127" s="75" t="n">
        <f aca="false">$J$2</f>
        <v>0.25</v>
      </c>
      <c r="K127" s="12" t="n">
        <f aca="false">IFERROR(IF($B127="","",$E127+$J127),"")</f>
        <v>0.649184063596491</v>
      </c>
      <c r="L127" s="73" t="n">
        <f aca="false">IFERROR(IF(OR($B127="",$C127=0,$C127=""),"",$I127+ROW()*0.0000001),"")</f>
        <v>0.600828636403509</v>
      </c>
      <c r="M127" s="76" t="n">
        <f aca="false">$M$2</f>
        <v>0.9319</v>
      </c>
      <c r="N127" s="13" t="n">
        <f aca="false">IFERROR(IF($B127="","",$C127+$M127),"")</f>
        <v>75.8449720833333</v>
      </c>
    </row>
    <row r="128" customFormat="false" ht="39" hidden="false" customHeight="true" outlineLevel="0" collapsed="false">
      <c r="A128" s="69" t="str">
        <f aca="false">IFERROR(IF(المنيو!$B128="","",المنيو!$A128),"")</f>
        <v>قسم الإضافات</v>
      </c>
      <c r="B128" s="69" t="str">
        <f aca="false">IFERROR(المنيو!$B128,"")</f>
        <v>اضافة جبنة كيري (فطير M)</v>
      </c>
      <c r="C128" s="13" t="n">
        <f aca="false">IFERROR(IF($B128="","",SUMIFS(الريسبي!$F$2:$F$1800,الريسبي!$A$2:$A$1800,$B128)),"")</f>
        <v>14</v>
      </c>
      <c r="D128" s="70" t="n">
        <f aca="false">IFERROR(IF($B128="","",المنيو!$C128),"")</f>
        <v>40.92</v>
      </c>
      <c r="E128" s="12" t="n">
        <f aca="false">IFERROR(IF(OR($B128="",$D128=0,$D128=""),"",$N128/$D128),"")</f>
        <v>0.364904692082111</v>
      </c>
      <c r="F128" s="75" t="n">
        <f aca="false">$F$2</f>
        <v>0.375</v>
      </c>
      <c r="G128" s="13" t="n">
        <f aca="false">IFERROR(IF($B128="","",$N128/$F128),"")</f>
        <v>39.8184</v>
      </c>
      <c r="H128" s="13" t="n">
        <f aca="false">IFERROR(IF($B128="","",$D128-$N128),"")</f>
        <v>25.9881</v>
      </c>
      <c r="I128" s="12" t="n">
        <f aca="false">IFERROR(IF(OR($B128="",$D128=0,$D128=""),"",$H128/$D128),"")</f>
        <v>0.635095307917889</v>
      </c>
      <c r="J128" s="75" t="n">
        <f aca="false">$J$2</f>
        <v>0.25</v>
      </c>
      <c r="K128" s="12" t="n">
        <f aca="false">IFERROR(IF($B128="","",$E128+$J128),"")</f>
        <v>0.614904692082112</v>
      </c>
      <c r="L128" s="73" t="n">
        <f aca="false">IFERROR(IF(OR($B128="",$C128=0,$C128=""),"",$I128+ROW()*0.0000001),"")</f>
        <v>0.635108107917889</v>
      </c>
      <c r="M128" s="76" t="n">
        <f aca="false">$M$2</f>
        <v>0.9319</v>
      </c>
      <c r="N128" s="13" t="n">
        <f aca="false">IFERROR(IF($B128="","",$C128+$M128),"")</f>
        <v>14.9319</v>
      </c>
    </row>
    <row r="129" customFormat="false" ht="39" hidden="false" customHeight="true" outlineLevel="0" collapsed="false">
      <c r="A129" s="69" t="str">
        <f aca="false">IFERROR(IF(المنيو!$B129="","",المنيو!$A129),"")</f>
        <v>قسم الإضافات</v>
      </c>
      <c r="B129" s="69" t="str">
        <f aca="false">IFERROR(المنيو!$B129,"")</f>
        <v>اضافة جبنة كيري (فطير L)</v>
      </c>
      <c r="C129" s="13" t="n">
        <f aca="false">IFERROR(IF($B129="","",SUMIFS(الريسبي!$F$2:$F$1800,الريسبي!$A$2:$A$1800,$B129)),"")</f>
        <v>21</v>
      </c>
      <c r="D129" s="70" t="n">
        <f aca="false">IFERROR(IF($B129="","",المنيو!$C129),"")</f>
        <v>55.56</v>
      </c>
      <c r="E129" s="12" t="n">
        <f aca="false">IFERROR(IF(OR($B129="",$D129=0,$D129=""),"",$N129/$D129),"")</f>
        <v>0.394742620590353</v>
      </c>
      <c r="F129" s="75" t="n">
        <f aca="false">$F$2</f>
        <v>0.375</v>
      </c>
      <c r="G129" s="13" t="n">
        <f aca="false">IFERROR(IF($B129="","",$N129/$F129),"")</f>
        <v>58.4850666666667</v>
      </c>
      <c r="H129" s="13" t="n">
        <f aca="false">IFERROR(IF($B129="","",$D129-$N129),"")</f>
        <v>33.6281</v>
      </c>
      <c r="I129" s="12" t="n">
        <f aca="false">IFERROR(IF(OR($B129="",$D129=0,$D129=""),"",$H129/$D129),"")</f>
        <v>0.605257379409647</v>
      </c>
      <c r="J129" s="75" t="n">
        <f aca="false">$J$2</f>
        <v>0.25</v>
      </c>
      <c r="K129" s="12" t="n">
        <f aca="false">IFERROR(IF($B129="","",$E129+$J129),"")</f>
        <v>0.644742620590353</v>
      </c>
      <c r="L129" s="73" t="n">
        <f aca="false">IFERROR(IF(OR($B129="",$C129=0,$C129=""),"",$I129+ROW()*0.0000001),"")</f>
        <v>0.605270279409647</v>
      </c>
      <c r="M129" s="76" t="n">
        <f aca="false">$M$2</f>
        <v>0.9319</v>
      </c>
      <c r="N129" s="13" t="n">
        <f aca="false">IFERROR(IF($B129="","",$C129+$M129),"")</f>
        <v>21.9319</v>
      </c>
    </row>
    <row r="130" customFormat="false" ht="39" hidden="false" customHeight="true" outlineLevel="0" collapsed="false">
      <c r="A130" s="69" t="str">
        <f aca="false">IFERROR(IF(المنيو!$B130="","",المنيو!$A130),"")</f>
        <v>قسم الإضافات</v>
      </c>
      <c r="B130" s="69" t="str">
        <f aca="false">IFERROR(المنيو!$B130,"")</f>
        <v>اضافة جبنة كيري (بيتزا وسط)</v>
      </c>
      <c r="C130" s="13" t="n">
        <f aca="false">IFERROR(IF($B130="","",SUMIFS(الريسبي!$F$2:$F$1800,الريسبي!$A$2:$A$1800,$B130)),"")</f>
        <v>14</v>
      </c>
      <c r="D130" s="70" t="n">
        <f aca="false">IFERROR(IF($B130="","",المنيو!$C130),"")</f>
        <v>40.71</v>
      </c>
      <c r="E130" s="12" t="n">
        <f aca="false">IFERROR(IF(OR($B130="",$D130=0,$D130=""),"",$N130/$D130),"")</f>
        <v>0.366787030213707</v>
      </c>
      <c r="F130" s="75" t="n">
        <f aca="false">$F$2</f>
        <v>0.375</v>
      </c>
      <c r="G130" s="13" t="n">
        <f aca="false">IFERROR(IF($B130="","",$N130/$F130),"")</f>
        <v>39.8184</v>
      </c>
      <c r="H130" s="13" t="n">
        <f aca="false">IFERROR(IF($B130="","",$D130-$N130),"")</f>
        <v>25.7781</v>
      </c>
      <c r="I130" s="12" t="n">
        <f aca="false">IFERROR(IF(OR($B130="",$D130=0,$D130=""),"",$H130/$D130),"")</f>
        <v>0.633212969786293</v>
      </c>
      <c r="J130" s="75" t="n">
        <f aca="false">$J$2</f>
        <v>0.25</v>
      </c>
      <c r="K130" s="12" t="n">
        <f aca="false">IFERROR(IF($B130="","",$E130+$J130),"")</f>
        <v>0.616787030213707</v>
      </c>
      <c r="L130" s="73" t="n">
        <f aca="false">IFERROR(IF(OR($B130="",$C130=0,$C130=""),"",$I130+ROW()*0.0000001),"")</f>
        <v>0.633225969786293</v>
      </c>
      <c r="M130" s="76" t="n">
        <f aca="false">$M$2</f>
        <v>0.9319</v>
      </c>
      <c r="N130" s="13" t="n">
        <f aca="false">IFERROR(IF($B130="","",$C130+$M130),"")</f>
        <v>14.9319</v>
      </c>
    </row>
    <row r="131" customFormat="false" ht="39" hidden="false" customHeight="true" outlineLevel="0" collapsed="false">
      <c r="A131" s="69" t="str">
        <f aca="false">IFERROR(IF(المنيو!$B131="","",المنيو!$A131),"")</f>
        <v>قسم الإضافات</v>
      </c>
      <c r="B131" s="69" t="str">
        <f aca="false">IFERROR(المنيو!$B131,"")</f>
        <v>اضافة جبنة موتزريلا (فطير M)</v>
      </c>
      <c r="C131" s="13" t="n">
        <f aca="false">IFERROR(IF($B131="","",SUMIFS(الريسبي!$F$2:$F$1800,الريسبي!$A$2:$A$1800,$B131)),"")</f>
        <v>17.5</v>
      </c>
      <c r="D131" s="70" t="n">
        <f aca="false">IFERROR(IF($B131="","",المنيو!$C131),"")</f>
        <v>40.62</v>
      </c>
      <c r="E131" s="12" t="n">
        <f aca="false">IFERROR(IF(OR($B131="",$D131=0,$D131=""),"",$N131/$D131),"")</f>
        <v>0.45376415558838</v>
      </c>
      <c r="F131" s="75" t="n">
        <f aca="false">$F$2</f>
        <v>0.375</v>
      </c>
      <c r="G131" s="13" t="n">
        <f aca="false">IFERROR(IF($B131="","",$N131/$F131),"")</f>
        <v>49.1517333333333</v>
      </c>
      <c r="H131" s="13" t="n">
        <f aca="false">IFERROR(IF($B131="","",$D131-$N131),"")</f>
        <v>22.1881</v>
      </c>
      <c r="I131" s="12" t="n">
        <f aca="false">IFERROR(IF(OR($B131="",$D131=0,$D131=""),"",$H131/$D131),"")</f>
        <v>0.54623584441162</v>
      </c>
      <c r="J131" s="75" t="n">
        <f aca="false">$J$2</f>
        <v>0.25</v>
      </c>
      <c r="K131" s="12" t="n">
        <f aca="false">IFERROR(IF($B131="","",$E131+$J131),"")</f>
        <v>0.70376415558838</v>
      </c>
      <c r="L131" s="73" t="n">
        <f aca="false">IFERROR(IF(OR($B131="",$C131=0,$C131=""),"",$I131+ROW()*0.0000001),"")</f>
        <v>0.54624894441162</v>
      </c>
      <c r="M131" s="76" t="n">
        <f aca="false">$M$2</f>
        <v>0.9319</v>
      </c>
      <c r="N131" s="13" t="n">
        <f aca="false">IFERROR(IF($B131="","",$C131+$M131),"")</f>
        <v>18.4319</v>
      </c>
    </row>
    <row r="132" customFormat="false" ht="39" hidden="false" customHeight="true" outlineLevel="0" collapsed="false">
      <c r="A132" s="69" t="str">
        <f aca="false">IFERROR(IF(المنيو!$B132="","",المنيو!$A132),"")</f>
        <v>قسم الإضافات</v>
      </c>
      <c r="B132" s="69" t="str">
        <f aca="false">IFERROR(المنيو!$B132,"")</f>
        <v>اضافة جبنة موتزريلا (فطير L)</v>
      </c>
      <c r="C132" s="13" t="n">
        <f aca="false">IFERROR(IF($B132="","",SUMIFS(الريسبي!$F$2:$F$1800,الريسبي!$A$2:$A$1800,$B132)),"")</f>
        <v>25</v>
      </c>
      <c r="D132" s="70" t="n">
        <f aca="false">IFERROR(IF($B132="","",المنيو!$C132),"")</f>
        <v>55</v>
      </c>
      <c r="E132" s="12" t="n">
        <f aca="false">IFERROR(IF(OR($B132="",$D132=0,$D132=""),"",$N132/$D132),"")</f>
        <v>0.471489090909091</v>
      </c>
      <c r="F132" s="75" t="n">
        <f aca="false">$F$2</f>
        <v>0.375</v>
      </c>
      <c r="G132" s="13" t="n">
        <f aca="false">IFERROR(IF($B132="","",$N132/$F132),"")</f>
        <v>69.1517333333333</v>
      </c>
      <c r="H132" s="13" t="n">
        <f aca="false">IFERROR(IF($B132="","",$D132-$N132),"")</f>
        <v>29.0681</v>
      </c>
      <c r="I132" s="12" t="n">
        <f aca="false">IFERROR(IF(OR($B132="",$D132=0,$D132=""),"",$H132/$D132),"")</f>
        <v>0.528510909090909</v>
      </c>
      <c r="J132" s="75" t="n">
        <f aca="false">$J$2</f>
        <v>0.25</v>
      </c>
      <c r="K132" s="12" t="n">
        <f aca="false">IFERROR(IF($B132="","",$E132+$J132),"")</f>
        <v>0.721489090909091</v>
      </c>
      <c r="L132" s="73" t="n">
        <f aca="false">IFERROR(IF(OR($B132="",$C132=0,$C132=""),"",$I132+ROW()*0.0000001),"")</f>
        <v>0.528524109090909</v>
      </c>
      <c r="M132" s="76" t="n">
        <f aca="false">$M$2</f>
        <v>0.9319</v>
      </c>
      <c r="N132" s="13" t="n">
        <f aca="false">IFERROR(IF($B132="","",$C132+$M132),"")</f>
        <v>25.9319</v>
      </c>
    </row>
    <row r="133" customFormat="false" ht="39" hidden="false" customHeight="true" outlineLevel="0" collapsed="false">
      <c r="A133" s="69" t="str">
        <f aca="false">IFERROR(IF(المنيو!$B133="","",المنيو!$A133),"")</f>
        <v>قسم الإضافات</v>
      </c>
      <c r="B133" s="69" t="str">
        <f aca="false">IFERROR(المنيو!$B133,"")</f>
        <v>اضافة جبنة موتزريلا (بيتزا وسط)</v>
      </c>
      <c r="C133" s="13" t="n">
        <f aca="false">IFERROR(IF($B133="","",SUMIFS(الريسبي!$F$2:$F$1800,الريسبي!$A$2:$A$1800,$B133)),"")</f>
        <v>20</v>
      </c>
      <c r="D133" s="70" t="n">
        <f aca="false">IFERROR(IF($B133="","",المنيو!$C133),"")</f>
        <v>41.25</v>
      </c>
      <c r="E133" s="12" t="n">
        <f aca="false">IFERROR(IF(OR($B133="",$D133=0,$D133=""),"",$N133/$D133),"")</f>
        <v>0.50744</v>
      </c>
      <c r="F133" s="75" t="n">
        <f aca="false">$F$2</f>
        <v>0.375</v>
      </c>
      <c r="G133" s="13" t="n">
        <f aca="false">IFERROR(IF($B133="","",$N133/$F133),"")</f>
        <v>55.8184</v>
      </c>
      <c r="H133" s="13" t="n">
        <f aca="false">IFERROR(IF($B133="","",$D133-$N133),"")</f>
        <v>20.3181</v>
      </c>
      <c r="I133" s="12" t="n">
        <f aca="false">IFERROR(IF(OR($B133="",$D133=0,$D133=""),"",$H133/$D133),"")</f>
        <v>0.49256</v>
      </c>
      <c r="J133" s="75" t="n">
        <f aca="false">$J$2</f>
        <v>0.25</v>
      </c>
      <c r="K133" s="12" t="n">
        <f aca="false">IFERROR(IF($B133="","",$E133+$J133),"")</f>
        <v>0.75744</v>
      </c>
      <c r="L133" s="73" t="n">
        <f aca="false">IFERROR(IF(OR($B133="",$C133=0,$C133=""),"",$I133+ROW()*0.0000001),"")</f>
        <v>0.4925733</v>
      </c>
      <c r="M133" s="76" t="n">
        <f aca="false">$M$2</f>
        <v>0.9319</v>
      </c>
      <c r="N133" s="13" t="n">
        <f aca="false">IFERROR(IF($B133="","",$C133+$M133),"")</f>
        <v>20.9319</v>
      </c>
    </row>
    <row r="134" customFormat="false" ht="39" hidden="false" customHeight="true" outlineLevel="0" collapsed="false">
      <c r="A134" s="69" t="str">
        <f aca="false">IFERROR(IF(المنيو!$B134="","",المنيو!$A134),"")</f>
        <v>قسم الإضافات</v>
      </c>
      <c r="B134" s="69" t="str">
        <f aca="false">IFERROR(المنيو!$B134,"")</f>
        <v>اضافة جبنة موتزريلا (بيتزا كبير)</v>
      </c>
      <c r="C134" s="13" t="n">
        <f aca="false">IFERROR(IF($B134="","",SUMIFS(الريسبي!$F$2:$F$1800,الريسبي!$A$2:$A$1800,$B134)),"")</f>
        <v>27.1395</v>
      </c>
      <c r="D134" s="70" t="n">
        <f aca="false">IFERROR(IF($B134="","",المنيو!$C134),"")</f>
        <v>70</v>
      </c>
      <c r="E134" s="12" t="n">
        <f aca="false">IFERROR(IF(OR($B134="",$D134=0,$D134=""),"",$N134/$D134),"")</f>
        <v>0.40102</v>
      </c>
      <c r="F134" s="75" t="n">
        <f aca="false">$F$2</f>
        <v>0.375</v>
      </c>
      <c r="G134" s="13" t="n">
        <f aca="false">IFERROR(IF($B134="","",$N134/$F134),"")</f>
        <v>74.8570666666667</v>
      </c>
      <c r="H134" s="13" t="n">
        <f aca="false">IFERROR(IF($B134="","",$D134-$N134),"")</f>
        <v>41.9286</v>
      </c>
      <c r="I134" s="12" t="n">
        <f aca="false">IFERROR(IF(OR($B134="",$D134=0,$D134=""),"",$H134/$D134),"")</f>
        <v>0.59898</v>
      </c>
      <c r="J134" s="75" t="n">
        <f aca="false">$J$2</f>
        <v>0.25</v>
      </c>
      <c r="K134" s="12" t="n">
        <f aca="false">IFERROR(IF($B134="","",$E134+$J134),"")</f>
        <v>0.65102</v>
      </c>
      <c r="L134" s="73" t="n">
        <f aca="false">IFERROR(IF(OR($B134="",$C134=0,$C134=""),"",$I134+ROW()*0.0000001),"")</f>
        <v>0.5989934</v>
      </c>
      <c r="M134" s="76" t="n">
        <f aca="false">$M$2</f>
        <v>0.9319</v>
      </c>
      <c r="N134" s="13" t="n">
        <f aca="false">IFERROR(IF($B134="","",$C134+$M134),"")</f>
        <v>28.0714</v>
      </c>
    </row>
    <row r="135" customFormat="false" ht="39" hidden="false" customHeight="true" outlineLevel="0" collapsed="false">
      <c r="A135" s="69" t="str">
        <f aca="false">IFERROR(IF(المنيو!$B135="","",المنيو!$A135),"")</f>
        <v>قسم الإضافات</v>
      </c>
      <c r="B135" s="69" t="str">
        <f aca="false">IFERROR(المنيو!$B135,"")</f>
        <v>اضافة جبنة رومي (بيتزا وسط)</v>
      </c>
      <c r="C135" s="13" t="n">
        <f aca="false">IFERROR(IF($B135="","",SUMIFS(الريسبي!$F$2:$F$1800,الريسبي!$A$2:$A$1800,$B135)),"")</f>
        <v>9</v>
      </c>
      <c r="D135" s="70" t="n">
        <f aca="false">IFERROR(IF($B135="","",المنيو!$C135),"")</f>
        <v>40</v>
      </c>
      <c r="E135" s="12" t="n">
        <f aca="false">IFERROR(IF(OR($B135="",$D135=0,$D135=""),"",$N135/$D135),"")</f>
        <v>0.2482975</v>
      </c>
      <c r="F135" s="75" t="n">
        <f aca="false">$F$2</f>
        <v>0.375</v>
      </c>
      <c r="G135" s="13" t="n">
        <f aca="false">IFERROR(IF($B135="","",$N135/$F135),"")</f>
        <v>26.4850666666667</v>
      </c>
      <c r="H135" s="13" t="n">
        <f aca="false">IFERROR(IF($B135="","",$D135-$N135),"")</f>
        <v>30.0681</v>
      </c>
      <c r="I135" s="12" t="n">
        <f aca="false">IFERROR(IF(OR($B135="",$D135=0,$D135=""),"",$H135/$D135),"")</f>
        <v>0.7517025</v>
      </c>
      <c r="J135" s="75" t="n">
        <f aca="false">$J$2</f>
        <v>0.25</v>
      </c>
      <c r="K135" s="12" t="n">
        <f aca="false">IFERROR(IF($B135="","",$E135+$J135),"")</f>
        <v>0.4982975</v>
      </c>
      <c r="L135" s="73" t="n">
        <f aca="false">IFERROR(IF(OR($B135="",$C135=0,$C135=""),"",$I135+ROW()*0.0000001),"")</f>
        <v>0.751716</v>
      </c>
      <c r="M135" s="76" t="n">
        <f aca="false">$M$2</f>
        <v>0.9319</v>
      </c>
      <c r="N135" s="13" t="n">
        <f aca="false">IFERROR(IF($B135="","",$C135+$M135),"")</f>
        <v>9.9319</v>
      </c>
    </row>
    <row r="136" customFormat="false" ht="39" hidden="false" customHeight="true" outlineLevel="0" collapsed="false">
      <c r="A136" s="69" t="str">
        <f aca="false">IFERROR(IF(المنيو!$B136="","",المنيو!$A136),"")</f>
        <v>قسم الإضافات</v>
      </c>
      <c r="B136" s="69" t="str">
        <f aca="false">IFERROR(المنيو!$B136,"")</f>
        <v>اضافة جبنة رومي (فطير وسط)</v>
      </c>
      <c r="C136" s="13" t="n">
        <f aca="false">IFERROR(IF($B136="","",SUMIFS(الريسبي!$F$2:$F$1800,الريسبي!$A$2:$A$1800,$B136)),"")</f>
        <v>9</v>
      </c>
      <c r="D136" s="70" t="n">
        <f aca="false">IFERROR(IF($B136="","",المنيو!$C136),"")</f>
        <v>40</v>
      </c>
      <c r="E136" s="12" t="n">
        <f aca="false">IFERROR(IF(OR($B136="",$D136=0,$D136=""),"",$N136/$D136),"")</f>
        <v>0.2482975</v>
      </c>
      <c r="F136" s="75" t="n">
        <f aca="false">$F$2</f>
        <v>0.375</v>
      </c>
      <c r="G136" s="13" t="n">
        <f aca="false">IFERROR(IF($B136="","",$N136/$F136),"")</f>
        <v>26.4850666666667</v>
      </c>
      <c r="H136" s="13" t="n">
        <f aca="false">IFERROR(IF($B136="","",$D136-$N136),"")</f>
        <v>30.0681</v>
      </c>
      <c r="I136" s="12" t="n">
        <f aca="false">IFERROR(IF(OR($B136="",$D136=0,$D136=""),"",$H136/$D136),"")</f>
        <v>0.7517025</v>
      </c>
      <c r="J136" s="75" t="n">
        <f aca="false">$J$2</f>
        <v>0.25</v>
      </c>
      <c r="K136" s="12" t="n">
        <f aca="false">IFERROR(IF($B136="","",$E136+$J136),"")</f>
        <v>0.4982975</v>
      </c>
      <c r="L136" s="73" t="n">
        <f aca="false">IFERROR(IF(OR($B136="",$C136=0,$C136=""),"",$I136+ROW()*0.0000001),"")</f>
        <v>0.7517161</v>
      </c>
      <c r="M136" s="76" t="n">
        <f aca="false">$M$2</f>
        <v>0.9319</v>
      </c>
      <c r="N136" s="13" t="n">
        <f aca="false">IFERROR(IF($B136="","",$C136+$M136),"")</f>
        <v>9.9319</v>
      </c>
    </row>
    <row r="137" customFormat="false" ht="39" hidden="false" customHeight="true" outlineLevel="0" collapsed="false">
      <c r="A137" s="69" t="str">
        <f aca="false">IFERROR(IF(المنيو!$B137="","",المنيو!$A137),"")</f>
        <v>قسم الإضافات</v>
      </c>
      <c r="B137" s="69" t="str">
        <f aca="false">IFERROR(المنيو!$B137,"")</f>
        <v>اضافة جبنة رومي (فطير كبير)</v>
      </c>
      <c r="C137" s="13" t="n">
        <f aca="false">IFERROR(IF($B137="","",SUMIFS(الريسبي!$F$2:$F$1800,الريسبي!$A$2:$A$1800,$B137)),"")</f>
        <v>13.5</v>
      </c>
      <c r="D137" s="70" t="n">
        <f aca="false">IFERROR(IF($B137="","",المنيو!$C137),"")</f>
        <v>55</v>
      </c>
      <c r="E137" s="12" t="n">
        <f aca="false">IFERROR(IF(OR($B137="",$D137=0,$D137=""),"",$N137/$D137),"")</f>
        <v>0.262398181818182</v>
      </c>
      <c r="F137" s="75" t="n">
        <f aca="false">$F$2</f>
        <v>0.375</v>
      </c>
      <c r="G137" s="13" t="n">
        <f aca="false">IFERROR(IF($B137="","",$N137/$F137),"")</f>
        <v>38.4850666666667</v>
      </c>
      <c r="H137" s="13" t="n">
        <f aca="false">IFERROR(IF($B137="","",$D137-$N137),"")</f>
        <v>40.5681</v>
      </c>
      <c r="I137" s="12" t="n">
        <f aca="false">IFERROR(IF(OR($B137="",$D137=0,$D137=""),"",$H137/$D137),"")</f>
        <v>0.737601818181818</v>
      </c>
      <c r="J137" s="75" t="n">
        <f aca="false">$J$2</f>
        <v>0.25</v>
      </c>
      <c r="K137" s="12" t="n">
        <f aca="false">IFERROR(IF($B137="","",$E137+$J137),"")</f>
        <v>0.512398181818182</v>
      </c>
      <c r="L137" s="73" t="n">
        <f aca="false">IFERROR(IF(OR($B137="",$C137=0,$C137=""),"",$I137+ROW()*0.0000001),"")</f>
        <v>0.737615518181818</v>
      </c>
      <c r="M137" s="76" t="n">
        <f aca="false">$M$2</f>
        <v>0.9319</v>
      </c>
      <c r="N137" s="13" t="n">
        <f aca="false">IFERROR(IF($B137="","",$C137+$M137),"")</f>
        <v>14.4319</v>
      </c>
    </row>
    <row r="138" customFormat="false" ht="39" hidden="false" customHeight="true" outlineLevel="0" collapsed="false">
      <c r="A138" s="69" t="str">
        <f aca="false">IFERROR(IF(المنيو!$B138="","",المنيو!$A138),"")</f>
        <v>قسم الإضافات</v>
      </c>
      <c r="B138" s="69" t="str">
        <f aca="false">IFERROR(المنيو!$B138,"")</f>
        <v>اضافة مكسرات (وسط)</v>
      </c>
      <c r="C138" s="13" t="n">
        <f aca="false">IFERROR(IF($B138="","",SUMIFS(الريسبي!$F$2:$F$1800,الريسبي!$A$2:$A$1800,$B138)),"")</f>
        <v>23</v>
      </c>
      <c r="D138" s="70" t="n">
        <f aca="false">IFERROR(IF($B138="","",المنيو!$C138),"")</f>
        <v>50</v>
      </c>
      <c r="E138" s="12" t="n">
        <f aca="false">IFERROR(IF(OR($B138="",$D138=0,$D138=""),"",$N138/$D138),"")</f>
        <v>0.478638</v>
      </c>
      <c r="F138" s="75" t="n">
        <f aca="false">$F$2</f>
        <v>0.375</v>
      </c>
      <c r="G138" s="13" t="n">
        <f aca="false">IFERROR(IF($B138="","",$N138/$F138),"")</f>
        <v>63.8184</v>
      </c>
      <c r="H138" s="13" t="n">
        <f aca="false">IFERROR(IF($B138="","",$D138-$N138),"")</f>
        <v>26.0681</v>
      </c>
      <c r="I138" s="12" t="n">
        <f aca="false">IFERROR(IF(OR($B138="",$D138=0,$D138=""),"",$H138/$D138),"")</f>
        <v>0.521362</v>
      </c>
      <c r="J138" s="75" t="n">
        <f aca="false">$J$2</f>
        <v>0.25</v>
      </c>
      <c r="K138" s="12" t="n">
        <f aca="false">IFERROR(IF($B138="","",$E138+$J138),"")</f>
        <v>0.728638</v>
      </c>
      <c r="L138" s="73" t="n">
        <f aca="false">IFERROR(IF(OR($B138="",$C138=0,$C138=""),"",$I138+ROW()*0.0000001),"")</f>
        <v>0.5213758</v>
      </c>
      <c r="M138" s="76" t="n">
        <f aca="false">$M$2</f>
        <v>0.9319</v>
      </c>
      <c r="N138" s="13" t="n">
        <f aca="false">IFERROR(IF($B138="","",$C138+$M138),"")</f>
        <v>23.9319</v>
      </c>
    </row>
    <row r="139" customFormat="false" ht="39" hidden="false" customHeight="true" outlineLevel="0" collapsed="false">
      <c r="A139" s="69" t="str">
        <f aca="false">IFERROR(IF(المنيو!$B139="","",المنيو!$A139),"")</f>
        <v>قسم الإضافات</v>
      </c>
      <c r="B139" s="69" t="str">
        <f aca="false">IFERROR(المنيو!$B139,"")</f>
        <v>اضافة مكسرات (كبير)</v>
      </c>
      <c r="C139" s="13" t="n">
        <f aca="false">IFERROR(IF($B139="","",SUMIFS(الريسبي!$F$2:$F$1800,الريسبي!$A$2:$A$1800,$B139)),"")</f>
        <v>46</v>
      </c>
      <c r="D139" s="70" t="n">
        <f aca="false">IFERROR(IF($B139="","",المنيو!$C139),"")</f>
        <v>90</v>
      </c>
      <c r="E139" s="12" t="n">
        <f aca="false">IFERROR(IF(OR($B139="",$D139=0,$D139=""),"",$N139/$D139),"")</f>
        <v>0.521465555555556</v>
      </c>
      <c r="F139" s="75" t="n">
        <f aca="false">$F$2</f>
        <v>0.375</v>
      </c>
      <c r="G139" s="13" t="n">
        <f aca="false">IFERROR(IF($B139="","",$N139/$F139),"")</f>
        <v>125.151733333333</v>
      </c>
      <c r="H139" s="13" t="n">
        <f aca="false">IFERROR(IF($B139="","",$D139-$N139),"")</f>
        <v>43.0681</v>
      </c>
      <c r="I139" s="12" t="n">
        <f aca="false">IFERROR(IF(OR($B139="",$D139=0,$D139=""),"",$H139/$D139),"")</f>
        <v>0.478534444444445</v>
      </c>
      <c r="J139" s="75" t="n">
        <f aca="false">$J$2</f>
        <v>0.25</v>
      </c>
      <c r="K139" s="12" t="n">
        <f aca="false">IFERROR(IF($B139="","",$E139+$J139),"")</f>
        <v>0.771465555555556</v>
      </c>
      <c r="L139" s="73" t="n">
        <f aca="false">IFERROR(IF(OR($B139="",$C139=0,$C139=""),"",$I139+ROW()*0.0000001),"")</f>
        <v>0.478548344444445</v>
      </c>
      <c r="M139" s="76" t="n">
        <f aca="false">$M$2</f>
        <v>0.9319</v>
      </c>
      <c r="N139" s="13" t="n">
        <f aca="false">IFERROR(IF($B139="","",$C139+$M139),"")</f>
        <v>46.9319</v>
      </c>
    </row>
    <row r="140" customFormat="false" ht="39" hidden="false" customHeight="true" outlineLevel="0" collapsed="false">
      <c r="A140" s="69" t="str">
        <f aca="false">IFERROR(IF(المنيو!$B140="","",المنيو!$A140),"")</f>
        <v>قسم الإضافات</v>
      </c>
      <c r="B140" s="69" t="str">
        <f aca="false">IFERROR(المنيو!$B140,"")</f>
        <v>اضافة شيكولاتة (عام)</v>
      </c>
      <c r="C140" s="13" t="n">
        <f aca="false">IFERROR(IF($B140="","",SUMIFS(الريسبي!$F$2:$F$1800,الريسبي!$A$2:$A$1800,$B140)),"")</f>
        <v>12.76582</v>
      </c>
      <c r="D140" s="70" t="n">
        <f aca="false">IFERROR(IF($B140="","",المنيو!$C140),"")</f>
        <v>50</v>
      </c>
      <c r="E140" s="12" t="n">
        <f aca="false">IFERROR(IF(OR($B140="",$D140=0,$D140=""),"",$N140/$D140),"")</f>
        <v>0.2739544</v>
      </c>
      <c r="F140" s="75" t="n">
        <f aca="false">$F$2</f>
        <v>0.375</v>
      </c>
      <c r="G140" s="13" t="n">
        <f aca="false">IFERROR(IF($B140="","",$N140/$F140),"")</f>
        <v>36.5272533333333</v>
      </c>
      <c r="H140" s="13" t="n">
        <f aca="false">IFERROR(IF($B140="","",$D140-$N140),"")</f>
        <v>36.30228</v>
      </c>
      <c r="I140" s="12" t="n">
        <f aca="false">IFERROR(IF(OR($B140="",$D140=0,$D140=""),"",$H140/$D140),"")</f>
        <v>0.7260456</v>
      </c>
      <c r="J140" s="75" t="n">
        <f aca="false">$J$2</f>
        <v>0.25</v>
      </c>
      <c r="K140" s="12" t="n">
        <f aca="false">IFERROR(IF($B140="","",$E140+$J140),"")</f>
        <v>0.5239544</v>
      </c>
      <c r="L140" s="73" t="n">
        <f aca="false">IFERROR(IF(OR($B140="",$C140=0,$C140=""),"",$I140+ROW()*0.0000001),"")</f>
        <v>0.7260596</v>
      </c>
      <c r="M140" s="76" t="n">
        <f aca="false">$M$2</f>
        <v>0.9319</v>
      </c>
      <c r="N140" s="13" t="n">
        <f aca="false">IFERROR(IF($B140="","",$C140+$M140),"")</f>
        <v>13.69772</v>
      </c>
    </row>
    <row r="141" customFormat="false" ht="39" hidden="false" customHeight="true" outlineLevel="0" collapsed="false">
      <c r="A141" s="69" t="str">
        <f aca="false">IFERROR(IF(المنيو!$B141="","",المنيو!$A141),"")</f>
        <v>قسم الإضافات</v>
      </c>
      <c r="B141" s="69" t="str">
        <f aca="false">IFERROR(المنيو!$B141,"")</f>
        <v>اضافة قشطة (عام)</v>
      </c>
      <c r="C141" s="13" t="n">
        <f aca="false">IFERROR(IF($B141="","",SUMIFS(الريسبي!$F$2:$F$1800,الريسبي!$A$2:$A$1800,$B141)),"")</f>
        <v>25</v>
      </c>
      <c r="D141" s="70" t="n">
        <f aca="false">IFERROR(IF($B141="","",المنيو!$C141),"")</f>
        <v>60</v>
      </c>
      <c r="E141" s="12" t="n">
        <f aca="false">IFERROR(IF(OR($B141="",$D141=0,$D141=""),"",$N141/$D141),"")</f>
        <v>0.432198333333333</v>
      </c>
      <c r="F141" s="75" t="n">
        <f aca="false">$F$2</f>
        <v>0.375</v>
      </c>
      <c r="G141" s="13" t="n">
        <f aca="false">IFERROR(IF($B141="","",$N141/$F141),"")</f>
        <v>69.1517333333333</v>
      </c>
      <c r="H141" s="13" t="n">
        <f aca="false">IFERROR(IF($B141="","",$D141-$N141),"")</f>
        <v>34.0681</v>
      </c>
      <c r="I141" s="12" t="n">
        <f aca="false">IFERROR(IF(OR($B141="",$D141=0,$D141=""),"",$H141/$D141),"")</f>
        <v>0.567801666666667</v>
      </c>
      <c r="J141" s="75" t="n">
        <f aca="false">$J$2</f>
        <v>0.25</v>
      </c>
      <c r="K141" s="12" t="n">
        <f aca="false">IFERROR(IF($B141="","",$E141+$J141),"")</f>
        <v>0.682198333333333</v>
      </c>
      <c r="L141" s="73" t="n">
        <f aca="false">IFERROR(IF(OR($B141="",$C141=0,$C141=""),"",$I141+ROW()*0.0000001),"")</f>
        <v>0.567815766666667</v>
      </c>
      <c r="M141" s="76" t="n">
        <f aca="false">$M$2</f>
        <v>0.9319</v>
      </c>
      <c r="N141" s="13" t="n">
        <f aca="false">IFERROR(IF($B141="","",$C141+$M141),"")</f>
        <v>25.9319</v>
      </c>
    </row>
    <row r="142" customFormat="false" ht="39" hidden="false" customHeight="true" outlineLevel="0" collapsed="false">
      <c r="A142" s="69" t="str">
        <f aca="false">IFERROR(IF(المنيو!$B142="","",المنيو!$A142),"")</f>
        <v>قسم الإضافات</v>
      </c>
      <c r="B142" s="69" t="str">
        <f aca="false">IFERROR(المنيو!$B142,"")</f>
        <v>اضافة مفروم (بيتزا وسط)</v>
      </c>
      <c r="C142" s="13" t="n">
        <f aca="false">IFERROR(IF($B142="","",SUMIFS(الريسبي!$F$2:$F$1800,الريسبي!$A$2:$A$1800,$B142)),"")</f>
        <v>21</v>
      </c>
      <c r="D142" s="70" t="n">
        <f aca="false">IFERROR(IF($B142="","",المنيو!$C142),"")</f>
        <v>60</v>
      </c>
      <c r="E142" s="12" t="n">
        <f aca="false">IFERROR(IF(OR($B142="",$D142=0,$D142=""),"",$N142/$D142),"")</f>
        <v>0.365531666666667</v>
      </c>
      <c r="F142" s="75" t="n">
        <f aca="false">$F$2</f>
        <v>0.375</v>
      </c>
      <c r="G142" s="13" t="n">
        <f aca="false">IFERROR(IF($B142="","",$N142/$F142),"")</f>
        <v>58.4850666666667</v>
      </c>
      <c r="H142" s="13" t="n">
        <f aca="false">IFERROR(IF($B142="","",$D142-$N142),"")</f>
        <v>38.0681</v>
      </c>
      <c r="I142" s="12" t="n">
        <f aca="false">IFERROR(IF(OR($B142="",$D142=0,$D142=""),"",$H142/$D142),"")</f>
        <v>0.634468333333333</v>
      </c>
      <c r="J142" s="75" t="n">
        <f aca="false">$J$2</f>
        <v>0.25</v>
      </c>
      <c r="K142" s="12" t="n">
        <f aca="false">IFERROR(IF($B142="","",$E142+$J142),"")</f>
        <v>0.615531666666667</v>
      </c>
      <c r="L142" s="73" t="n">
        <f aca="false">IFERROR(IF(OR($B142="",$C142=0,$C142=""),"",$I142+ROW()*0.0000001),"")</f>
        <v>0.634482533333333</v>
      </c>
      <c r="M142" s="76" t="n">
        <f aca="false">$M$2</f>
        <v>0.9319</v>
      </c>
      <c r="N142" s="13" t="n">
        <f aca="false">IFERROR(IF($B142="","",$C142+$M142),"")</f>
        <v>21.9319</v>
      </c>
    </row>
    <row r="143" customFormat="false" ht="39" hidden="false" customHeight="true" outlineLevel="0" collapsed="false">
      <c r="A143" s="69" t="str">
        <f aca="false">IFERROR(IF(المنيو!$B143="","",المنيو!$A143),"")</f>
        <v>قسم الإضافات</v>
      </c>
      <c r="B143" s="69" t="str">
        <f aca="false">IFERROR(المنيو!$B143,"")</f>
        <v>اضافة مفروم (فطير وسط)</v>
      </c>
      <c r="C143" s="13" t="n">
        <f aca="false">IFERROR(IF($B143="","",SUMIFS(الريسبي!$F$2:$F$1800,الريسبي!$A$2:$A$1800,$B143)),"")</f>
        <v>21</v>
      </c>
      <c r="D143" s="70" t="n">
        <f aca="false">IFERROR(IF($B143="","",المنيو!$C143),"")</f>
        <v>60</v>
      </c>
      <c r="E143" s="12" t="n">
        <f aca="false">IFERROR(IF(OR($B143="",$D143=0,$D143=""),"",$N143/$D143),"")</f>
        <v>0.365531666666667</v>
      </c>
      <c r="F143" s="75" t="n">
        <f aca="false">$F$2</f>
        <v>0.375</v>
      </c>
      <c r="G143" s="13" t="n">
        <f aca="false">IFERROR(IF($B143="","",$N143/$F143),"")</f>
        <v>58.4850666666667</v>
      </c>
      <c r="H143" s="13" t="n">
        <f aca="false">IFERROR(IF($B143="","",$D143-$N143),"")</f>
        <v>38.0681</v>
      </c>
      <c r="I143" s="12" t="n">
        <f aca="false">IFERROR(IF(OR($B143="",$D143=0,$D143=""),"",$H143/$D143),"")</f>
        <v>0.634468333333333</v>
      </c>
      <c r="J143" s="75" t="n">
        <f aca="false">$J$2</f>
        <v>0.25</v>
      </c>
      <c r="K143" s="12" t="n">
        <f aca="false">IFERROR(IF($B143="","",$E143+$J143),"")</f>
        <v>0.615531666666667</v>
      </c>
      <c r="L143" s="73" t="n">
        <f aca="false">IFERROR(IF(OR($B143="",$C143=0,$C143=""),"",$I143+ROW()*0.0000001),"")</f>
        <v>0.634482633333333</v>
      </c>
      <c r="M143" s="76" t="n">
        <f aca="false">$M$2</f>
        <v>0.9319</v>
      </c>
      <c r="N143" s="13" t="n">
        <f aca="false">IFERROR(IF($B143="","",$C143+$M143),"")</f>
        <v>21.9319</v>
      </c>
    </row>
    <row r="144" customFormat="false" ht="39" hidden="false" customHeight="true" outlineLevel="0" collapsed="false">
      <c r="A144" s="69" t="str">
        <f aca="false">IFERROR(IF(المنيو!$B144="","",المنيو!$A144),"")</f>
        <v>قسم الإضافات</v>
      </c>
      <c r="B144" s="69" t="str">
        <f aca="false">IFERROR(المنيو!$B144,"")</f>
        <v>اضافة سدق (بيتزا وسط)</v>
      </c>
      <c r="C144" s="13" t="n">
        <f aca="false">IFERROR(IF($B144="","",SUMIFS(الريسبي!$F$2:$F$1800,الريسبي!$A$2:$A$1800,$B144)),"")</f>
        <v>34</v>
      </c>
      <c r="D144" s="70" t="n">
        <f aca="false">IFERROR(IF($B144="","",المنيو!$C144),"")</f>
        <v>80</v>
      </c>
      <c r="E144" s="12" t="n">
        <f aca="false">IFERROR(IF(OR($B144="",$D144=0,$D144=""),"",$N144/$D144),"")</f>
        <v>0.43664875</v>
      </c>
      <c r="F144" s="75" t="n">
        <f aca="false">$F$2</f>
        <v>0.375</v>
      </c>
      <c r="G144" s="13" t="n">
        <f aca="false">IFERROR(IF($B144="","",$N144/$F144),"")</f>
        <v>93.1517333333333</v>
      </c>
      <c r="H144" s="13" t="n">
        <f aca="false">IFERROR(IF($B144="","",$D144-$N144),"")</f>
        <v>45.0681</v>
      </c>
      <c r="I144" s="12" t="n">
        <f aca="false">IFERROR(IF(OR($B144="",$D144=0,$D144=""),"",$H144/$D144),"")</f>
        <v>0.56335125</v>
      </c>
      <c r="J144" s="75" t="n">
        <f aca="false">$J$2</f>
        <v>0.25</v>
      </c>
      <c r="K144" s="12" t="n">
        <f aca="false">IFERROR(IF($B144="","",$E144+$J144),"")</f>
        <v>0.68664875</v>
      </c>
      <c r="L144" s="73" t="n">
        <f aca="false">IFERROR(IF(OR($B144="",$C144=0,$C144=""),"",$I144+ROW()*0.0000001),"")</f>
        <v>0.56336565</v>
      </c>
      <c r="M144" s="76" t="n">
        <f aca="false">$M$2</f>
        <v>0.9319</v>
      </c>
      <c r="N144" s="13" t="n">
        <f aca="false">IFERROR(IF($B144="","",$C144+$M144),"")</f>
        <v>34.9319</v>
      </c>
    </row>
    <row r="145" customFormat="false" ht="39" hidden="false" customHeight="true" outlineLevel="0" collapsed="false">
      <c r="A145" s="69" t="str">
        <f aca="false">IFERROR(IF(المنيو!$B145="","",المنيو!$A145),"")</f>
        <v>قسم الإضافات</v>
      </c>
      <c r="B145" s="69" t="str">
        <f aca="false">IFERROR(المنيو!$B145,"")</f>
        <v>اضافة سدق (فطير وسط)</v>
      </c>
      <c r="C145" s="13" t="n">
        <f aca="false">IFERROR(IF($B145="","",SUMIFS(الريسبي!$F$2:$F$1800,الريسبي!$A$2:$A$1800,$B145)),"")</f>
        <v>34</v>
      </c>
      <c r="D145" s="70" t="n">
        <f aca="false">IFERROR(IF($B145="","",المنيو!$C145),"")</f>
        <v>83.33</v>
      </c>
      <c r="E145" s="12" t="n">
        <f aca="false">IFERROR(IF(OR($B145="",$D145=0,$D145=""),"",$N145/$D145),"")</f>
        <v>0.419199567982719</v>
      </c>
      <c r="F145" s="75" t="n">
        <f aca="false">$F$2</f>
        <v>0.375</v>
      </c>
      <c r="G145" s="13" t="n">
        <f aca="false">IFERROR(IF($B145="","",$N145/$F145),"")</f>
        <v>93.1517333333333</v>
      </c>
      <c r="H145" s="13" t="n">
        <f aca="false">IFERROR(IF($B145="","",$D145-$N145),"")</f>
        <v>48.3981</v>
      </c>
      <c r="I145" s="12" t="n">
        <f aca="false">IFERROR(IF(OR($B145="",$D145=0,$D145=""),"",$H145/$D145),"")</f>
        <v>0.580800432017281</v>
      </c>
      <c r="J145" s="75" t="n">
        <f aca="false">$J$2</f>
        <v>0.25</v>
      </c>
      <c r="K145" s="12" t="n">
        <f aca="false">IFERROR(IF($B145="","",$E145+$J145),"")</f>
        <v>0.669199567982719</v>
      </c>
      <c r="L145" s="73" t="n">
        <f aca="false">IFERROR(IF(OR($B145="",$C145=0,$C145=""),"",$I145+ROW()*0.0000001),"")</f>
        <v>0.580814932017281</v>
      </c>
      <c r="M145" s="76" t="n">
        <f aca="false">$M$2</f>
        <v>0.9319</v>
      </c>
      <c r="N145" s="13" t="n">
        <f aca="false">IFERROR(IF($B145="","",$C145+$M145),"")</f>
        <v>34.9319</v>
      </c>
    </row>
    <row r="146" customFormat="false" ht="39" hidden="false" customHeight="true" outlineLevel="0" collapsed="false">
      <c r="A146" s="69" t="str">
        <f aca="false">IFERROR(IF(المنيو!$B146="","",المنيو!$A146),"")</f>
        <v>قسم الإضافات</v>
      </c>
      <c r="B146" s="69" t="str">
        <f aca="false">IFERROR(المنيو!$B146,"")</f>
        <v>اضافة سدق (فطير كبير)</v>
      </c>
      <c r="C146" s="13" t="n">
        <f aca="false">IFERROR(IF($B146="","",SUMIFS(الريسبي!$F$2:$F$1800,الريسبي!$A$2:$A$1800,$B146)),"")</f>
        <v>45</v>
      </c>
      <c r="D146" s="70" t="n">
        <f aca="false">IFERROR(IF($B146="","",المنيو!$C146),"")</f>
        <v>100</v>
      </c>
      <c r="E146" s="12" t="n">
        <f aca="false">IFERROR(IF(OR($B146="",$D146=0,$D146=""),"",$N146/$D146),"")</f>
        <v>0.459319</v>
      </c>
      <c r="F146" s="75" t="n">
        <f aca="false">$F$2</f>
        <v>0.375</v>
      </c>
      <c r="G146" s="13" t="n">
        <f aca="false">IFERROR(IF($B146="","",$N146/$F146),"")</f>
        <v>122.485066666667</v>
      </c>
      <c r="H146" s="13" t="n">
        <f aca="false">IFERROR(IF($B146="","",$D146-$N146),"")</f>
        <v>54.0681</v>
      </c>
      <c r="I146" s="12" t="n">
        <f aca="false">IFERROR(IF(OR($B146="",$D146=0,$D146=""),"",$H146/$D146),"")</f>
        <v>0.540681</v>
      </c>
      <c r="J146" s="75" t="n">
        <f aca="false">$J$2</f>
        <v>0.25</v>
      </c>
      <c r="K146" s="12" t="n">
        <f aca="false">IFERROR(IF($B146="","",$E146+$J146),"")</f>
        <v>0.709319</v>
      </c>
      <c r="L146" s="73" t="n">
        <f aca="false">IFERROR(IF(OR($B146="",$C146=0,$C146=""),"",$I146+ROW()*0.0000001),"")</f>
        <v>0.5406956</v>
      </c>
      <c r="M146" s="76" t="n">
        <f aca="false">$M$2</f>
        <v>0.9319</v>
      </c>
      <c r="N146" s="13" t="n">
        <f aca="false">IFERROR(IF($B146="","",$C146+$M146),"")</f>
        <v>45.9319</v>
      </c>
    </row>
    <row r="147" customFormat="false" ht="39" hidden="false" customHeight="true" outlineLevel="0" collapsed="false">
      <c r="A147" s="69" t="str">
        <f aca="false">IFERROR(IF(المنيو!$B147="","",المنيو!$A147),"")</f>
        <v>قسم الإضافات</v>
      </c>
      <c r="B147" s="69" t="str">
        <f aca="false">IFERROR(المنيو!$B147,"")</f>
        <v>اضافة بسطرمة (بيتزا وسط)</v>
      </c>
      <c r="C147" s="13" t="n">
        <f aca="false">IFERROR(IF($B147="","",SUMIFS(الريسبي!$F$2:$F$1800,الريسبي!$A$2:$A$1800,$B147)),"")</f>
        <v>35</v>
      </c>
      <c r="D147" s="70" t="n">
        <f aca="false">IFERROR(IF($B147="","",المنيو!$C147),"")</f>
        <v>80</v>
      </c>
      <c r="E147" s="12" t="n">
        <f aca="false">IFERROR(IF(OR($B147="",$D147=0,$D147=""),"",$N147/$D147),"")</f>
        <v>0.44914875</v>
      </c>
      <c r="F147" s="75" t="n">
        <f aca="false">$F$2</f>
        <v>0.375</v>
      </c>
      <c r="G147" s="13" t="n">
        <f aca="false">IFERROR(IF($B147="","",$N147/$F147),"")</f>
        <v>95.8184</v>
      </c>
      <c r="H147" s="13" t="n">
        <f aca="false">IFERROR(IF($B147="","",$D147-$N147),"")</f>
        <v>44.0681</v>
      </c>
      <c r="I147" s="12" t="n">
        <f aca="false">IFERROR(IF(OR($B147="",$D147=0,$D147=""),"",$H147/$D147),"")</f>
        <v>0.55085125</v>
      </c>
      <c r="J147" s="75" t="n">
        <f aca="false">$J$2</f>
        <v>0.25</v>
      </c>
      <c r="K147" s="12" t="n">
        <f aca="false">IFERROR(IF($B147="","",$E147+$J147),"")</f>
        <v>0.69914875</v>
      </c>
      <c r="L147" s="73" t="n">
        <f aca="false">IFERROR(IF(OR($B147="",$C147=0,$C147=""),"",$I147+ROW()*0.0000001),"")</f>
        <v>0.55086595</v>
      </c>
      <c r="M147" s="76" t="n">
        <f aca="false">$M$2</f>
        <v>0.9319</v>
      </c>
      <c r="N147" s="13" t="n">
        <f aca="false">IFERROR(IF($B147="","",$C147+$M147),"")</f>
        <v>35.9319</v>
      </c>
    </row>
    <row r="148" customFormat="false" ht="39" hidden="false" customHeight="true" outlineLevel="0" collapsed="false">
      <c r="A148" s="69" t="str">
        <f aca="false">IFERROR(IF(المنيو!$B148="","",المنيو!$A148),"")</f>
        <v>قسم الإضافات</v>
      </c>
      <c r="B148" s="69" t="str">
        <f aca="false">IFERROR(المنيو!$B148,"")</f>
        <v>اضافة بسطرمة (فطير وسط)</v>
      </c>
      <c r="C148" s="13" t="n">
        <f aca="false">IFERROR(IF($B148="","",SUMIFS(الريسبي!$F$2:$F$1800,الريسبي!$A$2:$A$1800,$B148)),"")</f>
        <v>35</v>
      </c>
      <c r="D148" s="70" t="n">
        <f aca="false">IFERROR(IF($B148="","",المنيو!$C148),"")</f>
        <v>80</v>
      </c>
      <c r="E148" s="12" t="n">
        <f aca="false">IFERROR(IF(OR($B148="",$D148=0,$D148=""),"",$N148/$D148),"")</f>
        <v>0.44914875</v>
      </c>
      <c r="F148" s="75" t="n">
        <f aca="false">$F$2</f>
        <v>0.375</v>
      </c>
      <c r="G148" s="13" t="n">
        <f aca="false">IFERROR(IF($B148="","",$N148/$F148),"")</f>
        <v>95.8184</v>
      </c>
      <c r="H148" s="13" t="n">
        <f aca="false">IFERROR(IF($B148="","",$D148-$N148),"")</f>
        <v>44.0681</v>
      </c>
      <c r="I148" s="12" t="n">
        <f aca="false">IFERROR(IF(OR($B148="",$D148=0,$D148=""),"",$H148/$D148),"")</f>
        <v>0.55085125</v>
      </c>
      <c r="J148" s="75" t="n">
        <f aca="false">$J$2</f>
        <v>0.25</v>
      </c>
      <c r="K148" s="12" t="n">
        <f aca="false">IFERROR(IF($B148="","",$E148+$J148),"")</f>
        <v>0.69914875</v>
      </c>
      <c r="L148" s="73" t="n">
        <f aca="false">IFERROR(IF(OR($B148="",$C148=0,$C148=""),"",$I148+ROW()*0.0000001),"")</f>
        <v>0.55086605</v>
      </c>
      <c r="M148" s="76" t="n">
        <f aca="false">$M$2</f>
        <v>0.9319</v>
      </c>
      <c r="N148" s="13" t="n">
        <f aca="false">IFERROR(IF($B148="","",$C148+$M148),"")</f>
        <v>35.9319</v>
      </c>
    </row>
    <row r="149" customFormat="false" ht="39" hidden="false" customHeight="true" outlineLevel="0" collapsed="false">
      <c r="A149" s="69" t="str">
        <f aca="false">IFERROR(IF(المنيو!$B149="","",المنيو!$A149),"")</f>
        <v>قسم الإضافات</v>
      </c>
      <c r="B149" s="69" t="str">
        <f aca="false">IFERROR(المنيو!$B149,"")</f>
        <v>اضافة بسطرمة (فطير كبير)</v>
      </c>
      <c r="C149" s="13" t="n">
        <f aca="false">IFERROR(IF($B149="","",SUMIFS(الريسبي!$F$2:$F$1800,الريسبي!$A$2:$A$1800,$B149)),"")</f>
        <v>46.6667</v>
      </c>
      <c r="D149" s="70" t="n">
        <f aca="false">IFERROR(IF($B149="","",المنيو!$C149),"")</f>
        <v>100</v>
      </c>
      <c r="E149" s="12" t="n">
        <f aca="false">IFERROR(IF(OR($B149="",$D149=0,$D149=""),"",$N149/$D149),"")</f>
        <v>0.475986</v>
      </c>
      <c r="F149" s="75" t="n">
        <f aca="false">$F$2</f>
        <v>0.375</v>
      </c>
      <c r="G149" s="13" t="n">
        <f aca="false">IFERROR(IF($B149="","",$N149/$F149),"")</f>
        <v>126.9296</v>
      </c>
      <c r="H149" s="13" t="n">
        <f aca="false">IFERROR(IF($B149="","",$D149-$N149),"")</f>
        <v>52.4014</v>
      </c>
      <c r="I149" s="12" t="n">
        <f aca="false">IFERROR(IF(OR($B149="",$D149=0,$D149=""),"",$H149/$D149),"")</f>
        <v>0.524014</v>
      </c>
      <c r="J149" s="75" t="n">
        <f aca="false">$J$2</f>
        <v>0.25</v>
      </c>
      <c r="K149" s="12" t="n">
        <f aca="false">IFERROR(IF($B149="","",$E149+$J149),"")</f>
        <v>0.725986</v>
      </c>
      <c r="L149" s="73" t="n">
        <f aca="false">IFERROR(IF(OR($B149="",$C149=0,$C149=""),"",$I149+ROW()*0.0000001),"")</f>
        <v>0.5240289</v>
      </c>
      <c r="M149" s="76" t="n">
        <f aca="false">$M$2</f>
        <v>0.9319</v>
      </c>
      <c r="N149" s="13" t="n">
        <f aca="false">IFERROR(IF($B149="","",$C149+$M149),"")</f>
        <v>47.5986</v>
      </c>
    </row>
    <row r="150" customFormat="false" ht="39" hidden="false" customHeight="true" outlineLevel="0" collapsed="false">
      <c r="A150" s="69" t="str">
        <f aca="false">IFERROR(IF(المنيو!$B150="","",المنيو!$A150),"")</f>
        <v>قسم الإضافات</v>
      </c>
      <c r="B150" s="69" t="str">
        <f aca="false">IFERROR(المنيو!$B150,"")</f>
        <v>اضافة سلامي (بيتزا وسط)</v>
      </c>
      <c r="C150" s="13" t="n">
        <f aca="false">IFERROR(IF($B150="","",SUMIFS(الريسبي!$F$2:$F$1800,الريسبي!$A$2:$A$1800,$B150)),"")</f>
        <v>26.9708</v>
      </c>
      <c r="D150" s="70" t="n">
        <f aca="false">IFERROR(IF($B150="","",المنيو!$C150),"")</f>
        <v>60</v>
      </c>
      <c r="E150" s="12" t="n">
        <f aca="false">IFERROR(IF(OR($B150="",$D150=0,$D150=""),"",$N150/$D150),"")</f>
        <v>0.465045</v>
      </c>
      <c r="F150" s="75" t="n">
        <f aca="false">$F$2</f>
        <v>0.375</v>
      </c>
      <c r="G150" s="13" t="n">
        <f aca="false">IFERROR(IF($B150="","",$N150/$F150),"")</f>
        <v>74.4072</v>
      </c>
      <c r="H150" s="13" t="n">
        <f aca="false">IFERROR(IF($B150="","",$D150-$N150),"")</f>
        <v>32.0973</v>
      </c>
      <c r="I150" s="12" t="n">
        <f aca="false">IFERROR(IF(OR($B150="",$D150=0,$D150=""),"",$H150/$D150),"")</f>
        <v>0.534955</v>
      </c>
      <c r="J150" s="75" t="n">
        <f aca="false">$J$2</f>
        <v>0.25</v>
      </c>
      <c r="K150" s="12" t="n">
        <f aca="false">IFERROR(IF($B150="","",$E150+$J150),"")</f>
        <v>0.715045</v>
      </c>
      <c r="L150" s="73" t="n">
        <f aca="false">IFERROR(IF(OR($B150="",$C150=0,$C150=""),"",$I150+ROW()*0.0000001),"")</f>
        <v>0.53497</v>
      </c>
      <c r="M150" s="76" t="n">
        <f aca="false">$M$2</f>
        <v>0.9319</v>
      </c>
      <c r="N150" s="13" t="n">
        <f aca="false">IFERROR(IF($B150="","",$C150+$M150),"")</f>
        <v>27.9027</v>
      </c>
    </row>
    <row r="151" customFormat="false" ht="39" hidden="false" customHeight="true" outlineLevel="0" collapsed="false">
      <c r="A151" s="69" t="str">
        <f aca="false">IFERROR(IF(المنيو!$B151="","",المنيو!$A151),"")</f>
        <v>قسم الإضافات</v>
      </c>
      <c r="B151" s="69" t="str">
        <f aca="false">IFERROR(المنيو!$B151,"")</f>
        <v>اضافة تونة (بيتزا وسط)</v>
      </c>
      <c r="C151" s="13" t="n">
        <f aca="false">IFERROR(IF($B151="","",SUMIFS(الريسبي!$F$2:$F$1800,الريسبي!$A$2:$A$1800,$B151)),"")</f>
        <v>42.03</v>
      </c>
      <c r="D151" s="70" t="n">
        <f aca="false">IFERROR(IF($B151="","",المنيو!$C151),"")</f>
        <v>80</v>
      </c>
      <c r="E151" s="12" t="n">
        <f aca="false">IFERROR(IF(OR($B151="",$D151=0,$D151=""),"",$N151/$D151),"")</f>
        <v>0.53702375</v>
      </c>
      <c r="F151" s="75" t="n">
        <f aca="false">$F$2</f>
        <v>0.375</v>
      </c>
      <c r="G151" s="13" t="n">
        <f aca="false">IFERROR(IF($B151="","",$N151/$F151),"")</f>
        <v>114.565066666667</v>
      </c>
      <c r="H151" s="13" t="n">
        <f aca="false">IFERROR(IF($B151="","",$D151-$N151),"")</f>
        <v>37.0381</v>
      </c>
      <c r="I151" s="12" t="n">
        <f aca="false">IFERROR(IF(OR($B151="",$D151=0,$D151=""),"",$H151/$D151),"")</f>
        <v>0.46297625</v>
      </c>
      <c r="J151" s="75" t="n">
        <f aca="false">$J$2</f>
        <v>0.25</v>
      </c>
      <c r="K151" s="12" t="n">
        <f aca="false">IFERROR(IF($B151="","",$E151+$J151),"")</f>
        <v>0.78702375</v>
      </c>
      <c r="L151" s="73" t="n">
        <f aca="false">IFERROR(IF(OR($B151="",$C151=0,$C151=""),"",$I151+ROW()*0.0000001),"")</f>
        <v>0.46299135</v>
      </c>
      <c r="M151" s="76" t="n">
        <f aca="false">$M$2</f>
        <v>0.9319</v>
      </c>
      <c r="N151" s="13" t="n">
        <f aca="false">IFERROR(IF($B151="","",$C151+$M151),"")</f>
        <v>42.9619</v>
      </c>
    </row>
    <row r="152" customFormat="false" ht="39" hidden="false" customHeight="true" outlineLevel="0" collapsed="false">
      <c r="A152" s="69" t="str">
        <f aca="false">IFERROR(IF(المنيو!$B152="","",المنيو!$A152),"")</f>
        <v>قسم الإضافات</v>
      </c>
      <c r="B152" s="69" t="str">
        <f aca="false">IFERROR(المنيو!$B152,"")</f>
        <v>اضافة جمبري (بيتزا وسط)</v>
      </c>
      <c r="C152" s="13" t="n">
        <f aca="false">IFERROR(IF($B152="","",SUMIFS(الريسبي!$F$2:$F$1800,الريسبي!$A$2:$A$1800,$B152)),"")</f>
        <v>95</v>
      </c>
      <c r="D152" s="70" t="n">
        <f aca="false">IFERROR(IF($B152="","",المنيو!$C152),"")</f>
        <v>140</v>
      </c>
      <c r="E152" s="12" t="n">
        <f aca="false">IFERROR(IF(OR($B152="",$D152=0,$D152=""),"",$N152/$D152),"")</f>
        <v>0.685227857142857</v>
      </c>
      <c r="F152" s="75" t="n">
        <f aca="false">$F$2</f>
        <v>0.375</v>
      </c>
      <c r="G152" s="13" t="n">
        <f aca="false">IFERROR(IF($B152="","",$N152/$F152),"")</f>
        <v>255.8184</v>
      </c>
      <c r="H152" s="13" t="n">
        <f aca="false">IFERROR(IF($B152="","",$D152-$N152),"")</f>
        <v>44.0681</v>
      </c>
      <c r="I152" s="12" t="n">
        <f aca="false">IFERROR(IF(OR($B152="",$D152=0,$D152=""),"",$H152/$D152),"")</f>
        <v>0.314772142857143</v>
      </c>
      <c r="J152" s="75" t="n">
        <f aca="false">$J$2</f>
        <v>0.25</v>
      </c>
      <c r="K152" s="12" t="n">
        <f aca="false">IFERROR(IF($B152="","",$E152+$J152),"")</f>
        <v>0.935227857142857</v>
      </c>
      <c r="L152" s="73" t="n">
        <f aca="false">IFERROR(IF(OR($B152="",$C152=0,$C152=""),"",$I152+ROW()*0.0000001),"")</f>
        <v>0.314787342857143</v>
      </c>
      <c r="M152" s="76" t="n">
        <f aca="false">$M$2</f>
        <v>0.9319</v>
      </c>
      <c r="N152" s="13" t="n">
        <f aca="false">IFERROR(IF($B152="","",$C152+$M152),"")</f>
        <v>95.9319</v>
      </c>
    </row>
    <row r="153" customFormat="false" ht="39" hidden="false" customHeight="true" outlineLevel="0" collapsed="false">
      <c r="A153" s="69" t="str">
        <f aca="false">IFERROR(IF(المنيو!$B153="","",المنيو!$A153),"")</f>
        <v>قسم الإضافات</v>
      </c>
      <c r="B153" s="69" t="str">
        <f aca="false">IFERROR(المنيو!$B153,"")</f>
        <v>اضافة فراخ جريل (بيتزا وسط)</v>
      </c>
      <c r="C153" s="13" t="n">
        <f aca="false">IFERROR(IF($B153="","",SUMIFS(الريسبي!$F$2:$F$1800,الريسبي!$A$2:$A$1800,$B153)),"")</f>
        <v>33.982</v>
      </c>
      <c r="D153" s="70" t="n">
        <f aca="false">IFERROR(IF($B153="","",المنيو!$C153),"")</f>
        <v>80</v>
      </c>
      <c r="E153" s="12" t="n">
        <f aca="false">IFERROR(IF(OR($B153="",$D153=0,$D153=""),"",$N153/$D153),"")</f>
        <v>0.43642375</v>
      </c>
      <c r="F153" s="75" t="n">
        <f aca="false">$F$2</f>
        <v>0.375</v>
      </c>
      <c r="G153" s="13" t="n">
        <f aca="false">IFERROR(IF($B153="","",$N153/$F153),"")</f>
        <v>93.1037333333333</v>
      </c>
      <c r="H153" s="13" t="n">
        <f aca="false">IFERROR(IF($B153="","",$D153-$N153),"")</f>
        <v>45.0861</v>
      </c>
      <c r="I153" s="12" t="n">
        <f aca="false">IFERROR(IF(OR($B153="",$D153=0,$D153=""),"",$H153/$D153),"")</f>
        <v>0.56357625</v>
      </c>
      <c r="J153" s="75" t="n">
        <f aca="false">$J$2</f>
        <v>0.25</v>
      </c>
      <c r="K153" s="12" t="n">
        <f aca="false">IFERROR(IF($B153="","",$E153+$J153),"")</f>
        <v>0.68642375</v>
      </c>
      <c r="L153" s="73" t="n">
        <f aca="false">IFERROR(IF(OR($B153="",$C153=0,$C153=""),"",$I153+ROW()*0.0000001),"")</f>
        <v>0.56359155</v>
      </c>
      <c r="M153" s="76" t="n">
        <f aca="false">$M$2</f>
        <v>0.9319</v>
      </c>
      <c r="N153" s="13" t="n">
        <f aca="false">IFERROR(IF($B153="","",$C153+$M153),"")</f>
        <v>34.9139</v>
      </c>
    </row>
    <row r="154" customFormat="false" ht="39" hidden="false" customHeight="true" outlineLevel="0" collapsed="false">
      <c r="A154" s="69" t="str">
        <f aca="false">IFERROR(IF(المنيو!$B154="","",المنيو!$A154),"")</f>
        <v>قسم الإضافات</v>
      </c>
      <c r="B154" s="69" t="str">
        <f aca="false">IFERROR(المنيو!$B154,"")</f>
        <v>اضافة فراخ جريل (بيتزا كبير)</v>
      </c>
      <c r="C154" s="13" t="n">
        <f aca="false">IFERROR(IF($B154="","",SUMIFS(الريسبي!$F$2:$F$1800,الريسبي!$A$2:$A$1800,$B154)),"")</f>
        <v>48.7817</v>
      </c>
      <c r="D154" s="70" t="n">
        <f aca="false">IFERROR(IF($B154="","",المنيو!$C154),"")</f>
        <v>130</v>
      </c>
      <c r="E154" s="12" t="n">
        <f aca="false">IFERROR(IF(OR($B154="",$D154=0,$D154=""),"",$N154/$D154),"")</f>
        <v>0.382412307692308</v>
      </c>
      <c r="F154" s="75" t="n">
        <f aca="false">$F$2</f>
        <v>0.375</v>
      </c>
      <c r="G154" s="13" t="n">
        <f aca="false">IFERROR(IF($B154="","",$N154/$F154),"")</f>
        <v>132.5696</v>
      </c>
      <c r="H154" s="13" t="n">
        <f aca="false">IFERROR(IF($B154="","",$D154-$N154),"")</f>
        <v>80.2864</v>
      </c>
      <c r="I154" s="12" t="n">
        <f aca="false">IFERROR(IF(OR($B154="",$D154=0,$D154=""),"",$H154/$D154),"")</f>
        <v>0.617587692307692</v>
      </c>
      <c r="J154" s="75" t="n">
        <f aca="false">$J$2</f>
        <v>0.25</v>
      </c>
      <c r="K154" s="12" t="n">
        <f aca="false">IFERROR(IF($B154="","",$E154+$J154),"")</f>
        <v>0.632412307692308</v>
      </c>
      <c r="L154" s="73" t="n">
        <f aca="false">IFERROR(IF(OR($B154="",$C154=0,$C154=""),"",$I154+ROW()*0.0000001),"")</f>
        <v>0.617603092307692</v>
      </c>
      <c r="M154" s="76" t="n">
        <f aca="false">$M$2</f>
        <v>0.9319</v>
      </c>
      <c r="N154" s="13" t="n">
        <f aca="false">IFERROR(IF($B154="","",$C154+$M154),"")</f>
        <v>49.7136</v>
      </c>
    </row>
    <row r="155" customFormat="false" ht="39" hidden="false" customHeight="true" outlineLevel="0" collapsed="false">
      <c r="A155" s="69" t="str">
        <f aca="false">IFERROR(IF(المنيو!$B155="","",المنيو!$A155),"")</f>
        <v>قسم الإضافات</v>
      </c>
      <c r="B155" s="69" t="str">
        <f aca="false">IFERROR(المنيو!$B155,"")</f>
        <v>اضافة فراخ جريل (فطير كبير)</v>
      </c>
      <c r="C155" s="13" t="n">
        <f aca="false">IFERROR(IF($B155="","",SUMIFS(الريسبي!$F$2:$F$1800,الريسبي!$A$2:$A$1800,$B155)),"")</f>
        <v>48.7817</v>
      </c>
      <c r="D155" s="70" t="n">
        <f aca="false">IFERROR(IF($B155="","",المنيو!$C155),"")</f>
        <v>130</v>
      </c>
      <c r="E155" s="12" t="n">
        <f aca="false">IFERROR(IF(OR($B155="",$D155=0,$D155=""),"",$N155/$D155),"")</f>
        <v>0.382412307692308</v>
      </c>
      <c r="F155" s="75" t="n">
        <f aca="false">$F$2</f>
        <v>0.375</v>
      </c>
      <c r="G155" s="13" t="n">
        <f aca="false">IFERROR(IF($B155="","",$N155/$F155),"")</f>
        <v>132.5696</v>
      </c>
      <c r="H155" s="13" t="n">
        <f aca="false">IFERROR(IF($B155="","",$D155-$N155),"")</f>
        <v>80.2864</v>
      </c>
      <c r="I155" s="12" t="n">
        <f aca="false">IFERROR(IF(OR($B155="",$D155=0,$D155=""),"",$H155/$D155),"")</f>
        <v>0.617587692307692</v>
      </c>
      <c r="J155" s="75" t="n">
        <f aca="false">$J$2</f>
        <v>0.25</v>
      </c>
      <c r="K155" s="12" t="n">
        <f aca="false">IFERROR(IF($B155="","",$E155+$J155),"")</f>
        <v>0.632412307692308</v>
      </c>
      <c r="L155" s="73" t="n">
        <f aca="false">IFERROR(IF(OR($B155="",$C155=0,$C155=""),"",$I155+ROW()*0.0000001),"")</f>
        <v>0.617603192307692</v>
      </c>
      <c r="M155" s="76" t="n">
        <f aca="false">$M$2</f>
        <v>0.9319</v>
      </c>
      <c r="N155" s="13" t="n">
        <f aca="false">IFERROR(IF($B155="","",$C155+$M155),"")</f>
        <v>49.7136</v>
      </c>
    </row>
    <row r="156" customFormat="false" ht="39" hidden="false" customHeight="true" outlineLevel="0" collapsed="false">
      <c r="A156" s="69" t="str">
        <f aca="false">IFERROR(IF(المنيو!$B156="","",المنيو!$A156),"")</f>
        <v>قسم الإضافات</v>
      </c>
      <c r="B156" s="69" t="str">
        <f aca="false">IFERROR(المنيو!$B156,"")</f>
        <v>اضافة فراخ كريسبي (بيتزا وسط)</v>
      </c>
      <c r="C156" s="13" t="n">
        <f aca="false">IFERROR(IF($B156="","",SUMIFS(الريسبي!$F$2:$F$1800,الريسبي!$A$2:$A$1800,$B156)),"")</f>
        <v>30</v>
      </c>
      <c r="D156" s="70" t="n">
        <f aca="false">IFERROR(IF($B156="","",المنيو!$C156),"")</f>
        <v>100</v>
      </c>
      <c r="E156" s="12" t="n">
        <f aca="false">IFERROR(IF(OR($B156="",$D156=0,$D156=""),"",$N156/$D156),"")</f>
        <v>0.309319</v>
      </c>
      <c r="F156" s="75" t="n">
        <f aca="false">$F$2</f>
        <v>0.375</v>
      </c>
      <c r="G156" s="13" t="n">
        <f aca="false">IFERROR(IF($B156="","",$N156/$F156),"")</f>
        <v>82.4850666666667</v>
      </c>
      <c r="H156" s="13" t="n">
        <f aca="false">IFERROR(IF($B156="","",$D156-$N156),"")</f>
        <v>69.0681</v>
      </c>
      <c r="I156" s="12" t="n">
        <f aca="false">IFERROR(IF(OR($B156="",$D156=0,$D156=""),"",$H156/$D156),"")</f>
        <v>0.690681</v>
      </c>
      <c r="J156" s="75" t="n">
        <f aca="false">$J$2</f>
        <v>0.25</v>
      </c>
      <c r="K156" s="12" t="n">
        <f aca="false">IFERROR(IF($B156="","",$E156+$J156),"")</f>
        <v>0.559319</v>
      </c>
      <c r="L156" s="73" t="n">
        <f aca="false">IFERROR(IF(OR($B156="",$C156=0,$C156=""),"",$I156+ROW()*0.0000001),"")</f>
        <v>0.6906966</v>
      </c>
      <c r="M156" s="76" t="n">
        <f aca="false">$M$2</f>
        <v>0.9319</v>
      </c>
      <c r="N156" s="13" t="n">
        <f aca="false">IFERROR(IF($B156="","",$C156+$M156),"")</f>
        <v>30.9319</v>
      </c>
    </row>
    <row r="157" customFormat="false" ht="39" hidden="false" customHeight="true" outlineLevel="0" collapsed="false">
      <c r="A157" s="69" t="str">
        <f aca="false">IFERROR(IF(المنيو!$B157="","",المنيو!$A157),"")</f>
        <v>قسم الإضافات</v>
      </c>
      <c r="B157" s="69" t="str">
        <f aca="false">IFERROR(المنيو!$B157,"")</f>
        <v>اضافة فراخ كريسبي (فطير وسط)</v>
      </c>
      <c r="C157" s="13" t="n">
        <f aca="false">IFERROR(IF($B157="","",SUMIFS(الريسبي!$F$2:$F$1800,الريسبي!$A$2:$A$1800,$B157)),"")</f>
        <v>30</v>
      </c>
      <c r="D157" s="70" t="n">
        <f aca="false">IFERROR(IF($B157="","",المنيو!$C157),"")</f>
        <v>80</v>
      </c>
      <c r="E157" s="12" t="n">
        <f aca="false">IFERROR(IF(OR($B157="",$D157=0,$D157=""),"",$N157/$D157),"")</f>
        <v>0.38664875</v>
      </c>
      <c r="F157" s="75" t="n">
        <f aca="false">$F$2</f>
        <v>0.375</v>
      </c>
      <c r="G157" s="13" t="n">
        <f aca="false">IFERROR(IF($B157="","",$N157/$F157),"")</f>
        <v>82.4850666666667</v>
      </c>
      <c r="H157" s="13" t="n">
        <f aca="false">IFERROR(IF($B157="","",$D157-$N157),"")</f>
        <v>49.0681</v>
      </c>
      <c r="I157" s="12" t="n">
        <f aca="false">IFERROR(IF(OR($B157="",$D157=0,$D157=""),"",$H157/$D157),"")</f>
        <v>0.61335125</v>
      </c>
      <c r="J157" s="75" t="n">
        <f aca="false">$J$2</f>
        <v>0.25</v>
      </c>
      <c r="K157" s="12" t="n">
        <f aca="false">IFERROR(IF($B157="","",$E157+$J157),"")</f>
        <v>0.63664875</v>
      </c>
      <c r="L157" s="73" t="n">
        <f aca="false">IFERROR(IF(OR($B157="",$C157=0,$C157=""),"",$I157+ROW()*0.0000001),"")</f>
        <v>0.61336695</v>
      </c>
      <c r="M157" s="76" t="n">
        <f aca="false">$M$2</f>
        <v>0.9319</v>
      </c>
      <c r="N157" s="13" t="n">
        <f aca="false">IFERROR(IF($B157="","",$C157+$M157),"")</f>
        <v>30.9319</v>
      </c>
    </row>
    <row r="158" customFormat="false" ht="39" hidden="false" customHeight="true" outlineLevel="0" collapsed="false">
      <c r="A158" s="69" t="str">
        <f aca="false">IFERROR(IF(المنيو!$B158="","",المنيو!$A158),"")</f>
        <v>قسم الإضافات</v>
      </c>
      <c r="B158" s="69" t="str">
        <f aca="false">IFERROR(المنيو!$B158,"")</f>
        <v>اضافة فراخ كريسبي (فطير كبير)</v>
      </c>
      <c r="C158" s="13" t="n">
        <f aca="false">IFERROR(IF($B158="","",SUMIFS(الريسبي!$F$2:$F$1800,الريسبي!$A$2:$A$1800,$B158)),"")</f>
        <v>29</v>
      </c>
      <c r="D158" s="70" t="n">
        <f aca="false">IFERROR(IF($B158="","",المنيو!$C158),"")</f>
        <v>130</v>
      </c>
      <c r="E158" s="12" t="n">
        <f aca="false">IFERROR(IF(OR($B158="",$D158=0,$D158=""),"",$N158/$D158),"")</f>
        <v>0.230245384615385</v>
      </c>
      <c r="F158" s="75" t="n">
        <f aca="false">$F$2</f>
        <v>0.375</v>
      </c>
      <c r="G158" s="13" t="n">
        <f aca="false">IFERROR(IF($B158="","",$N158/$F158),"")</f>
        <v>79.8184</v>
      </c>
      <c r="H158" s="13" t="n">
        <f aca="false">IFERROR(IF($B158="","",$D158-$N158),"")</f>
        <v>100.0681</v>
      </c>
      <c r="I158" s="12" t="n">
        <f aca="false">IFERROR(IF(OR($B158="",$D158=0,$D158=""),"",$H158/$D158),"")</f>
        <v>0.769754615384615</v>
      </c>
      <c r="J158" s="75" t="n">
        <f aca="false">$J$2</f>
        <v>0.25</v>
      </c>
      <c r="K158" s="12" t="n">
        <f aca="false">IFERROR(IF($B158="","",$E158+$J158),"")</f>
        <v>0.480245384615385</v>
      </c>
      <c r="L158" s="73" t="n">
        <f aca="false">IFERROR(IF(OR($B158="",$C158=0,$C158=""),"",$I158+ROW()*0.0000001),"")</f>
        <v>0.769770415384615</v>
      </c>
      <c r="M158" s="76" t="n">
        <f aca="false">$M$2</f>
        <v>0.9319</v>
      </c>
      <c r="N158" s="13" t="n">
        <f aca="false">IFERROR(IF($B158="","",$C158+$M158),"")</f>
        <v>29.9319</v>
      </c>
    </row>
    <row r="159" customFormat="false" ht="39" hidden="false" customHeight="true" outlineLevel="0" collapsed="false">
      <c r="A159" s="69" t="str">
        <f aca="false">IFERROR(IF(المنيو!$B159="","",المنيو!$A159),"")</f>
        <v>قسم الإضافات</v>
      </c>
      <c r="B159" s="69" t="str">
        <f aca="false">IFERROR(المنيو!$B159,"")</f>
        <v>اضافة مشروم (بيتزا وسط)</v>
      </c>
      <c r="C159" s="13" t="n">
        <f aca="false">IFERROR(IF($B159="","",SUMIFS(الريسبي!$F$2:$F$1800,الريسبي!$A$2:$A$1800,$B159)),"")</f>
        <v>9.072162</v>
      </c>
      <c r="D159" s="70" t="n">
        <f aca="false">IFERROR(IF($B159="","",المنيو!$C159),"")</f>
        <v>40</v>
      </c>
      <c r="E159" s="12" t="n">
        <f aca="false">IFERROR(IF(OR($B159="",$D159=0,$D159=""),"",$N159/$D159),"")</f>
        <v>0.25010155</v>
      </c>
      <c r="F159" s="75" t="n">
        <f aca="false">$F$2</f>
        <v>0.375</v>
      </c>
      <c r="G159" s="13" t="n">
        <f aca="false">IFERROR(IF($B159="","",$N159/$F159),"")</f>
        <v>26.6774986666667</v>
      </c>
      <c r="H159" s="13" t="n">
        <f aca="false">IFERROR(IF($B159="","",$D159-$N159),"")</f>
        <v>29.995938</v>
      </c>
      <c r="I159" s="12" t="n">
        <f aca="false">IFERROR(IF(OR($B159="",$D159=0,$D159=""),"",$H159/$D159),"")</f>
        <v>0.74989845</v>
      </c>
      <c r="J159" s="75" t="n">
        <f aca="false">$J$2</f>
        <v>0.25</v>
      </c>
      <c r="K159" s="12" t="n">
        <f aca="false">IFERROR(IF($B159="","",$E159+$J159),"")</f>
        <v>0.50010155</v>
      </c>
      <c r="L159" s="73" t="n">
        <f aca="false">IFERROR(IF(OR($B159="",$C159=0,$C159=""),"",$I159+ROW()*0.0000001),"")</f>
        <v>0.74991435</v>
      </c>
      <c r="M159" s="76" t="n">
        <f aca="false">$M$2</f>
        <v>0.9319</v>
      </c>
      <c r="N159" s="13" t="n">
        <f aca="false">IFERROR(IF($B159="","",$C159+$M159),"")</f>
        <v>10.004062</v>
      </c>
    </row>
    <row r="160" customFormat="false" ht="39" hidden="false" customHeight="true" outlineLevel="0" collapsed="false">
      <c r="A160" s="69" t="str">
        <f aca="false">IFERROR(IF(المنيو!$B160="","",المنيو!$A160),"")</f>
        <v>قسم الإضافات</v>
      </c>
      <c r="B160" s="69" t="str">
        <f aca="false">IFERROR(المنيو!$B160,"")</f>
        <v>اضافة مشروم (بيتزا كبير)</v>
      </c>
      <c r="C160" s="13" t="n">
        <f aca="false">IFERROR(IF($B160="","",SUMIFS(الريسبي!$F$2:$F$1800,الريسبي!$A$2:$A$1800,$B160)),"")</f>
        <v>13.608243</v>
      </c>
      <c r="D160" s="70" t="n">
        <f aca="false">IFERROR(IF($B160="","",المنيو!$C160),"")</f>
        <v>55</v>
      </c>
      <c r="E160" s="12" t="n">
        <f aca="false">IFERROR(IF(OR($B160="",$D160=0,$D160=""),"",$N160/$D160),"")</f>
        <v>0.264366236363636</v>
      </c>
      <c r="F160" s="75" t="n">
        <f aca="false">$F$2</f>
        <v>0.375</v>
      </c>
      <c r="G160" s="13" t="n">
        <f aca="false">IFERROR(IF($B160="","",$N160/$F160),"")</f>
        <v>38.7737146666667</v>
      </c>
      <c r="H160" s="13" t="n">
        <f aca="false">IFERROR(IF($B160="","",$D160-$N160),"")</f>
        <v>40.459857</v>
      </c>
      <c r="I160" s="12" t="n">
        <f aca="false">IFERROR(IF(OR($B160="",$D160=0,$D160=""),"",$H160/$D160),"")</f>
        <v>0.735633763636364</v>
      </c>
      <c r="J160" s="75" t="n">
        <f aca="false">$J$2</f>
        <v>0.25</v>
      </c>
      <c r="K160" s="12" t="n">
        <f aca="false">IFERROR(IF($B160="","",$E160+$J160),"")</f>
        <v>0.514366236363636</v>
      </c>
      <c r="L160" s="73" t="n">
        <f aca="false">IFERROR(IF(OR($B160="",$C160=0,$C160=""),"",$I160+ROW()*0.0000001),"")</f>
        <v>0.735649763636364</v>
      </c>
      <c r="M160" s="76" t="n">
        <f aca="false">$M$2</f>
        <v>0.9319</v>
      </c>
      <c r="N160" s="13" t="n">
        <f aca="false">IFERROR(IF($B160="","",$C160+$M160),"")</f>
        <v>14.540143</v>
      </c>
    </row>
    <row r="161" customFormat="false" ht="39" hidden="false" customHeight="true" outlineLevel="0" collapsed="false">
      <c r="A161" s="69" t="str">
        <f aca="false">IFERROR(IF(المنيو!$B161="","",المنيو!$A161),"")</f>
        <v>قسم الإضافات</v>
      </c>
      <c r="B161" s="69" t="str">
        <f aca="false">IFERROR(المنيو!$B161,"")</f>
        <v>اضافة مشروم (فطير وسط)</v>
      </c>
      <c r="C161" s="13" t="n">
        <f aca="false">IFERROR(IF($B161="","",SUMIFS(الريسبي!$F$2:$F$1800,الريسبي!$A$2:$A$1800,$B161)),"")</f>
        <v>9.072162</v>
      </c>
      <c r="D161" s="70" t="n">
        <f aca="false">IFERROR(IF($B161="","",المنيو!$C161),"")</f>
        <v>40</v>
      </c>
      <c r="E161" s="12" t="n">
        <f aca="false">IFERROR(IF(OR($B161="",$D161=0,$D161=""),"",$N161/$D161),"")</f>
        <v>0.25010155</v>
      </c>
      <c r="F161" s="75" t="n">
        <f aca="false">$F$2</f>
        <v>0.375</v>
      </c>
      <c r="G161" s="13" t="n">
        <f aca="false">IFERROR(IF($B161="","",$N161/$F161),"")</f>
        <v>26.6774986666667</v>
      </c>
      <c r="H161" s="13" t="n">
        <f aca="false">IFERROR(IF($B161="","",$D161-$N161),"")</f>
        <v>29.995938</v>
      </c>
      <c r="I161" s="12" t="n">
        <f aca="false">IFERROR(IF(OR($B161="",$D161=0,$D161=""),"",$H161/$D161),"")</f>
        <v>0.74989845</v>
      </c>
      <c r="J161" s="75" t="n">
        <f aca="false">$J$2</f>
        <v>0.25</v>
      </c>
      <c r="K161" s="12" t="n">
        <f aca="false">IFERROR(IF($B161="","",$E161+$J161),"")</f>
        <v>0.50010155</v>
      </c>
      <c r="L161" s="73" t="n">
        <f aca="false">IFERROR(IF(OR($B161="",$C161=0,$C161=""),"",$I161+ROW()*0.0000001),"")</f>
        <v>0.74991455</v>
      </c>
      <c r="M161" s="76" t="n">
        <f aca="false">$M$2</f>
        <v>0.9319</v>
      </c>
      <c r="N161" s="13" t="n">
        <f aca="false">IFERROR(IF($B161="","",$C161+$M161),"")</f>
        <v>10.004062</v>
      </c>
    </row>
    <row r="162" customFormat="false" ht="39" hidden="false" customHeight="true" outlineLevel="0" collapsed="false">
      <c r="A162" s="69" t="str">
        <f aca="false">IFERROR(IF(المنيو!$B162="","",المنيو!$A162),"")</f>
        <v>قسم الإضافات</v>
      </c>
      <c r="B162" s="69" t="str">
        <f aca="false">IFERROR(المنيو!$B162,"")</f>
        <v>اضافة مشروم (فطير كبير)</v>
      </c>
      <c r="C162" s="13" t="n">
        <f aca="false">IFERROR(IF($B162="","",SUMIFS(الريسبي!$F$2:$F$1800,الريسبي!$A$2:$A$1800,$B162)),"")</f>
        <v>13.608243</v>
      </c>
      <c r="D162" s="70" t="n">
        <f aca="false">IFERROR(IF($B162="","",المنيو!$C162),"")</f>
        <v>55</v>
      </c>
      <c r="E162" s="12" t="n">
        <f aca="false">IFERROR(IF(OR($B162="",$D162=0,$D162=""),"",$N162/$D162),"")</f>
        <v>0.264366236363636</v>
      </c>
      <c r="F162" s="75" t="n">
        <f aca="false">$F$2</f>
        <v>0.375</v>
      </c>
      <c r="G162" s="13" t="n">
        <f aca="false">IFERROR(IF($B162="","",$N162/$F162),"")</f>
        <v>38.7737146666667</v>
      </c>
      <c r="H162" s="13" t="n">
        <f aca="false">IFERROR(IF($B162="","",$D162-$N162),"")</f>
        <v>40.459857</v>
      </c>
      <c r="I162" s="12" t="n">
        <f aca="false">IFERROR(IF(OR($B162="",$D162=0,$D162=""),"",$H162/$D162),"")</f>
        <v>0.735633763636364</v>
      </c>
      <c r="J162" s="75" t="n">
        <f aca="false">$J$2</f>
        <v>0.25</v>
      </c>
      <c r="K162" s="12" t="n">
        <f aca="false">IFERROR(IF($B162="","",$E162+$J162),"")</f>
        <v>0.514366236363636</v>
      </c>
      <c r="L162" s="73" t="n">
        <f aca="false">IFERROR(IF(OR($B162="",$C162=0,$C162=""),"",$I162+ROW()*0.0000001),"")</f>
        <v>0.735649963636364</v>
      </c>
      <c r="M162" s="76" t="n">
        <f aca="false">$M$2</f>
        <v>0.9319</v>
      </c>
      <c r="N162" s="13" t="n">
        <f aca="false">IFERROR(IF($B162="","",$C162+$M162),"")</f>
        <v>14.540143</v>
      </c>
    </row>
    <row r="163" customFormat="false" ht="39" hidden="false" customHeight="true" outlineLevel="0" collapsed="false">
      <c r="A163" s="69" t="str">
        <f aca="false">IFERROR(IF(المنيو!$B163="","",المنيو!$A163),"")</f>
        <v>قسم الإضافات</v>
      </c>
      <c r="B163" s="69" t="str">
        <f aca="false">IFERROR(المنيو!$B163,"")</f>
        <v>إضافة وش بيتزا (مخصوص) (وسط)</v>
      </c>
      <c r="C163" s="13" t="n">
        <f aca="false">IFERROR(IF($B163="","",SUMIFS(الريسبي!$F$2:$F$1800,الريسبي!$A$2:$A$1800,$B163)),"")</f>
        <v>20</v>
      </c>
      <c r="D163" s="70" t="n">
        <f aca="false">IFERROR(IF($B163="","",المنيو!$C163),"")</f>
        <v>40.83</v>
      </c>
      <c r="E163" s="12" t="n">
        <f aca="false">IFERROR(IF(OR($B163="",$D163=0,$D163=""),"",$N163/$D163),"")</f>
        <v>0.512659808963997</v>
      </c>
      <c r="F163" s="75" t="n">
        <f aca="false">$F$2</f>
        <v>0.375</v>
      </c>
      <c r="G163" s="13" t="n">
        <f aca="false">IFERROR(IF($B163="","",$N163/$F163),"")</f>
        <v>55.8184</v>
      </c>
      <c r="H163" s="13" t="n">
        <f aca="false">IFERROR(IF($B163="","",$D163-$N163),"")</f>
        <v>19.8981</v>
      </c>
      <c r="I163" s="12" t="n">
        <f aca="false">IFERROR(IF(OR($B163="",$D163=0,$D163=""),"",$H163/$D163),"")</f>
        <v>0.487340191036003</v>
      </c>
      <c r="J163" s="75" t="n">
        <f aca="false">$J$2</f>
        <v>0.25</v>
      </c>
      <c r="K163" s="12" t="n">
        <f aca="false">IFERROR(IF($B163="","",$E163+$J163),"")</f>
        <v>0.762659808963997</v>
      </c>
      <c r="L163" s="73" t="n">
        <f aca="false">IFERROR(IF(OR($B163="",$C163=0,$C163=""),"",$I163+ROW()*0.0000001),"")</f>
        <v>0.487356491036003</v>
      </c>
      <c r="M163" s="76" t="n">
        <f aca="false">$M$2</f>
        <v>0.9319</v>
      </c>
      <c r="N163" s="13" t="n">
        <f aca="false">IFERROR(IF($B163="","",$C163+$M163),"")</f>
        <v>20.9319</v>
      </c>
    </row>
    <row r="164" customFormat="false" ht="39" hidden="false" customHeight="true" outlineLevel="0" collapsed="false">
      <c r="A164" s="69" t="str">
        <f aca="false">IFERROR(IF(المنيو!$B164="","",المنيو!$A164),"")</f>
        <v>قسم الإضافات</v>
      </c>
      <c r="B164" s="69" t="str">
        <f aca="false">IFERROR(المنيو!$B164,"")</f>
        <v>إضافة وش بيتزا (مخصوص) (كبير)</v>
      </c>
      <c r="C164" s="13" t="n">
        <f aca="false">IFERROR(IF($B164="","",SUMIFS(الريسبي!$F$2:$F$1800,الريسبي!$A$2:$A$1800,$B164)),"")</f>
        <v>27.1395</v>
      </c>
      <c r="D164" s="70" t="n">
        <f aca="false">IFERROR(IF($B164="","",المنيو!$C164),"")</f>
        <v>55</v>
      </c>
      <c r="E164" s="12" t="n">
        <f aca="false">IFERROR(IF(OR($B164="",$D164=0,$D164=""),"",$N164/$D164),"")</f>
        <v>0.510389090909091</v>
      </c>
      <c r="F164" s="75" t="n">
        <f aca="false">$F$2</f>
        <v>0.375</v>
      </c>
      <c r="G164" s="13" t="n">
        <f aca="false">IFERROR(IF($B164="","",$N164/$F164),"")</f>
        <v>74.8570666666667</v>
      </c>
      <c r="H164" s="13" t="n">
        <f aca="false">IFERROR(IF($B164="","",$D164-$N164),"")</f>
        <v>26.9286</v>
      </c>
      <c r="I164" s="12" t="n">
        <f aca="false">IFERROR(IF(OR($B164="",$D164=0,$D164=""),"",$H164/$D164),"")</f>
        <v>0.489610909090909</v>
      </c>
      <c r="J164" s="75" t="n">
        <f aca="false">$J$2</f>
        <v>0.25</v>
      </c>
      <c r="K164" s="12" t="n">
        <f aca="false">IFERROR(IF($B164="","",$E164+$J164),"")</f>
        <v>0.760389090909091</v>
      </c>
      <c r="L164" s="73" t="n">
        <f aca="false">IFERROR(IF(OR($B164="",$C164=0,$C164=""),"",$I164+ROW()*0.0000001),"")</f>
        <v>0.489627309090909</v>
      </c>
      <c r="M164" s="76" t="n">
        <f aca="false">$M$2</f>
        <v>0.9319</v>
      </c>
      <c r="N164" s="13" t="n">
        <f aca="false">IFERROR(IF($B164="","",$C164+$M164),"")</f>
        <v>28.0714</v>
      </c>
    </row>
    <row r="165" customFormat="false" ht="39" hidden="false" customHeight="true" outlineLevel="0" collapsed="false">
      <c r="A165" s="69" t="str">
        <f aca="false">IFERROR(IF(المنيو!$B165="","",المنيو!$A165),"")</f>
        <v>قسم الإضافات</v>
      </c>
      <c r="B165" s="69" t="str">
        <f aca="false">IFERROR(المنيو!$B165,"")</f>
        <v>اضافة حشو للاطراف (Small)</v>
      </c>
      <c r="C165" s="13" t="n">
        <f aca="false">IFERROR(IF($B165="","",SUMIFS(الريسبي!$F$2:$F$1800,الريسبي!$A$2:$A$1800,$B165)),"")</f>
        <v>10</v>
      </c>
      <c r="D165" s="70" t="n">
        <f aca="false">IFERROR(IF($B165="","",المنيو!$C165),"")</f>
        <v>50</v>
      </c>
      <c r="E165" s="12" t="n">
        <f aca="false">IFERROR(IF(OR($B165="",$D165=0,$D165=""),"",$N165/$D165),"")</f>
        <v>0.218638</v>
      </c>
      <c r="F165" s="75" t="n">
        <f aca="false">$F$2</f>
        <v>0.375</v>
      </c>
      <c r="G165" s="13" t="n">
        <f aca="false">IFERROR(IF($B165="","",$N165/$F165),"")</f>
        <v>29.1517333333333</v>
      </c>
      <c r="H165" s="13" t="n">
        <f aca="false">IFERROR(IF($B165="","",$D165-$N165),"")</f>
        <v>39.0681</v>
      </c>
      <c r="I165" s="12" t="n">
        <f aca="false">IFERROR(IF(OR($B165="",$D165=0,$D165=""),"",$H165/$D165),"")</f>
        <v>0.781362</v>
      </c>
      <c r="J165" s="75" t="n">
        <f aca="false">$J$2</f>
        <v>0.25</v>
      </c>
      <c r="K165" s="12" t="n">
        <f aca="false">IFERROR(IF($B165="","",$E165+$J165),"")</f>
        <v>0.468638</v>
      </c>
      <c r="L165" s="73" t="n">
        <f aca="false">IFERROR(IF(OR($B165="",$C165=0,$C165=""),"",$I165+ROW()*0.0000001),"")</f>
        <v>0.7813785</v>
      </c>
      <c r="M165" s="76" t="n">
        <f aca="false">$M$2</f>
        <v>0.9319</v>
      </c>
      <c r="N165" s="13" t="n">
        <f aca="false">IFERROR(IF($B165="","",$C165+$M165),"")</f>
        <v>10.9319</v>
      </c>
    </row>
    <row r="166" customFormat="false" ht="39" hidden="false" customHeight="true" outlineLevel="0" collapsed="false">
      <c r="A166" s="69" t="str">
        <f aca="false">IFERROR(IF(المنيو!$B166="","",المنيو!$A166),"")</f>
        <v>قسم الإضافات</v>
      </c>
      <c r="B166" s="69" t="str">
        <f aca="false">IFERROR(المنيو!$B166,"")</f>
        <v>اضافة حشو للاطراف (Medium)</v>
      </c>
      <c r="C166" s="13" t="n">
        <f aca="false">IFERROR(IF($B166="","",SUMIFS(الريسبي!$F$2:$F$1800,الريسبي!$A$2:$A$1800,$B166)),"")</f>
        <v>20.354625</v>
      </c>
      <c r="D166" s="70" t="n">
        <f aca="false">IFERROR(IF($B166="","",المنيو!$C166),"")</f>
        <v>66.25</v>
      </c>
      <c r="E166" s="12" t="n">
        <f aca="false">IFERROR(IF(OR($B166="",$D166=0,$D166=""),"",$N166/$D166),"")</f>
        <v>0.321306037735849</v>
      </c>
      <c r="F166" s="75" t="n">
        <f aca="false">$F$2</f>
        <v>0.375</v>
      </c>
      <c r="G166" s="13" t="n">
        <f aca="false">IFERROR(IF($B166="","",$N166/$F166),"")</f>
        <v>56.7640666666667</v>
      </c>
      <c r="H166" s="13" t="n">
        <f aca="false">IFERROR(IF($B166="","",$D166-$N166),"")</f>
        <v>44.963475</v>
      </c>
      <c r="I166" s="12" t="n">
        <f aca="false">IFERROR(IF(OR($B166="",$D166=0,$D166=""),"",$H166/$D166),"")</f>
        <v>0.678693962264151</v>
      </c>
      <c r="J166" s="75" t="n">
        <f aca="false">$J$2</f>
        <v>0.25</v>
      </c>
      <c r="K166" s="12" t="n">
        <f aca="false">IFERROR(IF($B166="","",$E166+$J166),"")</f>
        <v>0.571306037735849</v>
      </c>
      <c r="L166" s="73" t="n">
        <f aca="false">IFERROR(IF(OR($B166="",$C166=0,$C166=""),"",$I166+ROW()*0.0000001),"")</f>
        <v>0.678710562264151</v>
      </c>
      <c r="M166" s="76" t="n">
        <f aca="false">$M$2</f>
        <v>0.9319</v>
      </c>
      <c r="N166" s="13" t="n">
        <f aca="false">IFERROR(IF($B166="","",$C166+$M166),"")</f>
        <v>21.286525</v>
      </c>
    </row>
    <row r="167" customFormat="false" ht="39" hidden="false" customHeight="true" outlineLevel="0" collapsed="false">
      <c r="A167" s="69" t="str">
        <f aca="false">IFERROR(IF(المنيو!$B167="","",المنيو!$A167),"")</f>
        <v>قسم الإضافات</v>
      </c>
      <c r="B167" s="69" t="str">
        <f aca="false">IFERROR(المنيو!$B167,"")</f>
        <v>صوص رانش إضافي (M)</v>
      </c>
      <c r="C167" s="13" t="n">
        <f aca="false">IFERROR(IF($B167="","",SUMIFS(الريسبي!$F$2:$F$1800,الريسبي!$A$2:$A$1800,$B167)),"")</f>
        <v>10.5</v>
      </c>
      <c r="D167" s="70" t="n">
        <f aca="false">IFERROR(IF($B167="","",المنيو!$C167),"")</f>
        <v>31.47</v>
      </c>
      <c r="E167" s="12" t="n">
        <f aca="false">IFERROR(IF(OR($B167="",$D167=0,$D167=""),"",$N167/$D167),"")</f>
        <v>0.363263425484589</v>
      </c>
      <c r="F167" s="75" t="n">
        <f aca="false">$F$2</f>
        <v>0.375</v>
      </c>
      <c r="G167" s="13" t="n">
        <f aca="false">IFERROR(IF($B167="","",$N167/$F167),"")</f>
        <v>30.4850666666667</v>
      </c>
      <c r="H167" s="13" t="n">
        <f aca="false">IFERROR(IF($B167="","",$D167-$N167),"")</f>
        <v>20.0381</v>
      </c>
      <c r="I167" s="12" t="n">
        <f aca="false">IFERROR(IF(OR($B167="",$D167=0,$D167=""),"",$H167/$D167),"")</f>
        <v>0.636736574515412</v>
      </c>
      <c r="J167" s="75" t="n">
        <f aca="false">$J$2</f>
        <v>0.25</v>
      </c>
      <c r="K167" s="12" t="n">
        <f aca="false">IFERROR(IF($B167="","",$E167+$J167),"")</f>
        <v>0.613263425484589</v>
      </c>
      <c r="L167" s="73" t="n">
        <f aca="false">IFERROR(IF(OR($B167="",$C167=0,$C167=""),"",$I167+ROW()*0.0000001),"")</f>
        <v>0.636753274515412</v>
      </c>
      <c r="M167" s="76" t="n">
        <f aca="false">$M$2</f>
        <v>0.9319</v>
      </c>
      <c r="N167" s="13" t="n">
        <f aca="false">IFERROR(IF($B167="","",$C167+$M167),"")</f>
        <v>11.4319</v>
      </c>
    </row>
    <row r="168" customFormat="false" ht="39" hidden="false" customHeight="true" outlineLevel="0" collapsed="false">
      <c r="A168" s="69" t="str">
        <f aca="false">IFERROR(IF(المنيو!$B168="","",المنيو!$A168),"")</f>
        <v>قسم الإضافات</v>
      </c>
      <c r="B168" s="69" t="str">
        <f aca="false">IFERROR(المنيو!$B168,"")</f>
        <v>صوص رانش إضافي (L)</v>
      </c>
      <c r="C168" s="13" t="n">
        <f aca="false">IFERROR(IF($B168="","",SUMIFS(الريسبي!$F$2:$F$1800,الريسبي!$A$2:$A$1800,$B168)),"")</f>
        <v>15.75</v>
      </c>
      <c r="D168" s="70" t="n">
        <f aca="false">IFERROR(IF($B168="","",المنيو!$C168),"")</f>
        <v>41.25</v>
      </c>
      <c r="E168" s="12" t="n">
        <f aca="false">IFERROR(IF(OR($B168="",$D168=0,$D168=""),"",$N168/$D168),"")</f>
        <v>0.404409696969697</v>
      </c>
      <c r="F168" s="75" t="n">
        <f aca="false">$F$2</f>
        <v>0.375</v>
      </c>
      <c r="G168" s="13" t="n">
        <f aca="false">IFERROR(IF($B168="","",$N168/$F168),"")</f>
        <v>44.4850666666667</v>
      </c>
      <c r="H168" s="13" t="n">
        <f aca="false">IFERROR(IF($B168="","",$D168-$N168),"")</f>
        <v>24.5681</v>
      </c>
      <c r="I168" s="12" t="n">
        <f aca="false">IFERROR(IF(OR($B168="",$D168=0,$D168=""),"",$H168/$D168),"")</f>
        <v>0.595590303030303</v>
      </c>
      <c r="J168" s="75" t="n">
        <f aca="false">$J$2</f>
        <v>0.25</v>
      </c>
      <c r="K168" s="12" t="n">
        <f aca="false">IFERROR(IF($B168="","",$E168+$J168),"")</f>
        <v>0.654409696969697</v>
      </c>
      <c r="L168" s="73" t="n">
        <f aca="false">IFERROR(IF(OR($B168="",$C168=0,$C168=""),"",$I168+ROW()*0.0000001),"")</f>
        <v>0.595607103030303</v>
      </c>
      <c r="M168" s="76" t="n">
        <f aca="false">$M$2</f>
        <v>0.9319</v>
      </c>
      <c r="N168" s="13" t="n">
        <f aca="false">IFERROR(IF($B168="","",$C168+$M168),"")</f>
        <v>16.6819</v>
      </c>
    </row>
    <row r="169" customFormat="false" ht="39" hidden="false" customHeight="true" outlineLevel="0" collapsed="false">
      <c r="A169" s="69" t="str">
        <f aca="false">IFERROR(IF(المنيو!$B169="","",المنيو!$A169),"")</f>
        <v>قسم الإضافات</v>
      </c>
      <c r="B169" s="69" t="str">
        <f aca="false">IFERROR(المنيو!$B169,"")</f>
        <v>صوص شيدر إضافي (M)</v>
      </c>
      <c r="C169" s="13" t="n">
        <f aca="false">IFERROR(IF($B169="","",SUMIFS(الريسبي!$F$2:$F$1800,الريسبي!$A$2:$A$1800,$B169)),"")</f>
        <v>14</v>
      </c>
      <c r="D169" s="70" t="n">
        <f aca="false">IFERROR(IF($B169="","",المنيو!$C169),"")</f>
        <v>33.93</v>
      </c>
      <c r="E169" s="12" t="n">
        <f aca="false">IFERROR(IF(OR($B169="",$D169=0,$D169=""),"",$N169/$D169),"")</f>
        <v>0.440079575596817</v>
      </c>
      <c r="F169" s="75" t="n">
        <f aca="false">$F$2</f>
        <v>0.375</v>
      </c>
      <c r="G169" s="13" t="n">
        <f aca="false">IFERROR(IF($B169="","",$N169/$F169),"")</f>
        <v>39.8184</v>
      </c>
      <c r="H169" s="13" t="n">
        <f aca="false">IFERROR(IF($B169="","",$D169-$N169),"")</f>
        <v>18.9981</v>
      </c>
      <c r="I169" s="12" t="n">
        <f aca="false">IFERROR(IF(OR($B169="",$D169=0,$D169=""),"",$H169/$D169),"")</f>
        <v>0.559920424403183</v>
      </c>
      <c r="J169" s="75" t="n">
        <f aca="false">$J$2</f>
        <v>0.25</v>
      </c>
      <c r="K169" s="12" t="n">
        <f aca="false">IFERROR(IF($B169="","",$E169+$J169),"")</f>
        <v>0.690079575596817</v>
      </c>
      <c r="L169" s="73" t="n">
        <f aca="false">IFERROR(IF(OR($B169="",$C169=0,$C169=""),"",$I169+ROW()*0.0000001),"")</f>
        <v>0.559937324403183</v>
      </c>
      <c r="M169" s="76" t="n">
        <f aca="false">$M$2</f>
        <v>0.9319</v>
      </c>
      <c r="N169" s="13" t="n">
        <f aca="false">IFERROR(IF($B169="","",$C169+$M169),"")</f>
        <v>14.9319</v>
      </c>
    </row>
    <row r="170" customFormat="false" ht="39" hidden="false" customHeight="true" outlineLevel="0" collapsed="false">
      <c r="A170" s="69" t="str">
        <f aca="false">IFERROR(IF(المنيو!$B170="","",المنيو!$A170),"")</f>
        <v>قسم الإضافات</v>
      </c>
      <c r="B170" s="69" t="str">
        <f aca="false">IFERROR(المنيو!$B170,"")</f>
        <v>صوص شيدر إضافي (L)</v>
      </c>
      <c r="C170" s="13" t="n">
        <f aca="false">IFERROR(IF($B170="","",SUMIFS(الريسبي!$F$2:$F$1800,الريسبي!$A$2:$A$1800,$B170)),"")</f>
        <v>21</v>
      </c>
      <c r="D170" s="70" t="n">
        <f aca="false">IFERROR(IF($B170="","",المنيو!$C170),"")</f>
        <v>48.57</v>
      </c>
      <c r="E170" s="12" t="n">
        <f aca="false">IFERROR(IF(OR($B170="",$D170=0,$D170=""),"",$N170/$D170),"")</f>
        <v>0.451552398599959</v>
      </c>
      <c r="F170" s="75" t="n">
        <f aca="false">$F$2</f>
        <v>0.375</v>
      </c>
      <c r="G170" s="13" t="n">
        <f aca="false">IFERROR(IF($B170="","",$N170/$F170),"")</f>
        <v>58.4850666666667</v>
      </c>
      <c r="H170" s="13" t="n">
        <f aca="false">IFERROR(IF($B170="","",$D170-$N170),"")</f>
        <v>26.6381</v>
      </c>
      <c r="I170" s="12" t="n">
        <f aca="false">IFERROR(IF(OR($B170="",$D170=0,$D170=""),"",$H170/$D170),"")</f>
        <v>0.548447601400041</v>
      </c>
      <c r="J170" s="75" t="n">
        <f aca="false">$J$2</f>
        <v>0.25</v>
      </c>
      <c r="K170" s="12" t="n">
        <f aca="false">IFERROR(IF($B170="","",$E170+$J170),"")</f>
        <v>0.701552398599959</v>
      </c>
      <c r="L170" s="73" t="n">
        <f aca="false">IFERROR(IF(OR($B170="",$C170=0,$C170=""),"",$I170+ROW()*0.0000001),"")</f>
        <v>0.548464601400041</v>
      </c>
      <c r="M170" s="76" t="n">
        <f aca="false">$M$2</f>
        <v>0.9319</v>
      </c>
      <c r="N170" s="13" t="n">
        <f aca="false">IFERROR(IF($B170="","",$C170+$M170),"")</f>
        <v>21.9319</v>
      </c>
    </row>
    <row r="171" customFormat="false" ht="39" hidden="false" customHeight="true" outlineLevel="0" collapsed="false">
      <c r="A171" s="69" t="str">
        <f aca="false">IFERROR(IF(المنيو!$B171="","",المنيو!$A171),"")</f>
        <v>قسم الإضافات</v>
      </c>
      <c r="B171" s="69" t="str">
        <f aca="false">IFERROR(المنيو!$B171,"")</f>
        <v>صوص باربيكيو إضافي (M)</v>
      </c>
      <c r="C171" s="13" t="n">
        <f aca="false">IFERROR(IF($B171="","",SUMIFS(الريسبي!$F$2:$F$1800,الريسبي!$A$2:$A$1800,$B171)),"")</f>
        <v>7</v>
      </c>
      <c r="D171" s="70" t="n">
        <f aca="false">IFERROR(IF($B171="","",المنيو!$C171),"")</f>
        <v>34.5</v>
      </c>
      <c r="E171" s="12" t="n">
        <f aca="false">IFERROR(IF(OR($B171="",$D171=0,$D171=""),"",$N171/$D171),"")</f>
        <v>0.229910144927536</v>
      </c>
      <c r="F171" s="75" t="n">
        <f aca="false">$F$2</f>
        <v>0.375</v>
      </c>
      <c r="G171" s="13" t="n">
        <f aca="false">IFERROR(IF($B171="","",$N171/$F171),"")</f>
        <v>21.1517333333333</v>
      </c>
      <c r="H171" s="13" t="n">
        <f aca="false">IFERROR(IF($B171="","",$D171-$N171),"")</f>
        <v>26.5681</v>
      </c>
      <c r="I171" s="12" t="n">
        <f aca="false">IFERROR(IF(OR($B171="",$D171=0,$D171=""),"",$H171/$D171),"")</f>
        <v>0.770089855072464</v>
      </c>
      <c r="J171" s="75" t="n">
        <f aca="false">$J$2</f>
        <v>0.25</v>
      </c>
      <c r="K171" s="12" t="n">
        <f aca="false">IFERROR(IF($B171="","",$E171+$J171),"")</f>
        <v>0.479910144927536</v>
      </c>
      <c r="L171" s="73" t="n">
        <f aca="false">IFERROR(IF(OR($B171="",$C171=0,$C171=""),"",$I171+ROW()*0.0000001),"")</f>
        <v>0.770106955072464</v>
      </c>
      <c r="M171" s="76" t="n">
        <f aca="false">$M$2</f>
        <v>0.9319</v>
      </c>
      <c r="N171" s="13" t="n">
        <f aca="false">IFERROR(IF($B171="","",$C171+$M171),"")</f>
        <v>7.9319</v>
      </c>
    </row>
    <row r="172" customFormat="false" ht="39" hidden="false" customHeight="true" outlineLevel="0" collapsed="false">
      <c r="A172" s="69" t="str">
        <f aca="false">IFERROR(IF(المنيو!$B172="","",المنيو!$A172),"")</f>
        <v>قسم الإضافات</v>
      </c>
      <c r="B172" s="69" t="str">
        <f aca="false">IFERROR(المنيو!$B172,"")</f>
        <v>صوص باربيكيو إضافي (L)</v>
      </c>
      <c r="C172" s="13" t="n">
        <f aca="false">IFERROR(IF($B172="","",SUMIFS(الريسبي!$F$2:$F$1800,الريسبي!$A$2:$A$1800,$B172)),"")</f>
        <v>10.5</v>
      </c>
      <c r="D172" s="70" t="n">
        <f aca="false">IFERROR(IF($B172="","",المنيو!$C172),"")</f>
        <v>40</v>
      </c>
      <c r="E172" s="12" t="n">
        <f aca="false">IFERROR(IF(OR($B172="",$D172=0,$D172=""),"",$N172/$D172),"")</f>
        <v>0.2857975</v>
      </c>
      <c r="F172" s="75" t="n">
        <f aca="false">$F$2</f>
        <v>0.375</v>
      </c>
      <c r="G172" s="13" t="n">
        <f aca="false">IFERROR(IF($B172="","",$N172/$F172),"")</f>
        <v>30.4850666666667</v>
      </c>
      <c r="H172" s="13" t="n">
        <f aca="false">IFERROR(IF($B172="","",$D172-$N172),"")</f>
        <v>28.5681</v>
      </c>
      <c r="I172" s="12" t="n">
        <f aca="false">IFERROR(IF(OR($B172="",$D172=0,$D172=""),"",$H172/$D172),"")</f>
        <v>0.7142025</v>
      </c>
      <c r="J172" s="75" t="n">
        <f aca="false">$J$2</f>
        <v>0.25</v>
      </c>
      <c r="K172" s="12" t="n">
        <f aca="false">IFERROR(IF($B172="","",$E172+$J172),"")</f>
        <v>0.5357975</v>
      </c>
      <c r="L172" s="73" t="n">
        <f aca="false">IFERROR(IF(OR($B172="",$C172=0,$C172=""),"",$I172+ROW()*0.0000001),"")</f>
        <v>0.7142197</v>
      </c>
      <c r="M172" s="76" t="n">
        <f aca="false">$M$2</f>
        <v>0.9319</v>
      </c>
      <c r="N172" s="13" t="n">
        <f aca="false">IFERROR(IF($B172="","",$C172+$M172),"")</f>
        <v>11.4319</v>
      </c>
    </row>
    <row r="173" customFormat="false" ht="15" hidden="false" customHeight="true" outlineLevel="0" collapsed="false">
      <c r="A173" s="69" t="str">
        <f aca="false">IFERROR(IF(المنيو!$B173="","",المنيو!$A173),"")</f>
        <v/>
      </c>
      <c r="B173" s="69" t="n">
        <f aca="false">IFERROR(المنيو!$B173,"")</f>
        <v>0</v>
      </c>
      <c r="C173" s="13" t="str">
        <f aca="false">IFERROR(IF($B173="","",SUMIFS(الريسبي!$F$2:$F$1800,الريسبي!$A$2:$A$1800,$B173)),"")</f>
        <v/>
      </c>
      <c r="D173" s="70" t="str">
        <f aca="false">IFERROR(IF($B173="","",المنيو!$C173),"")</f>
        <v/>
      </c>
      <c r="E173" s="12" t="str">
        <f aca="false">IFERROR(IF(OR($B173="",$D173=0,$D173=""),"",$N173/$D173),"")</f>
        <v/>
      </c>
      <c r="F173" s="75" t="n">
        <f aca="false">$F$2</f>
        <v>0.375</v>
      </c>
      <c r="G173" s="13" t="str">
        <f aca="false">IFERROR(IF($B173="","",$N173/$F173),"")</f>
        <v/>
      </c>
      <c r="H173" s="13" t="str">
        <f aca="false">IFERROR(IF($B173="","",$D173-$N173),"")</f>
        <v/>
      </c>
      <c r="I173" s="12" t="str">
        <f aca="false">IFERROR(IF(OR($B173="",$D173=0,$D173=""),"",$H173/$D173),"")</f>
        <v/>
      </c>
      <c r="J173" s="75" t="n">
        <f aca="false">$J$2</f>
        <v>0.25</v>
      </c>
      <c r="K173" s="12" t="str">
        <f aca="false">IFERROR(IF($B173="","",$E173+$J173),"")</f>
        <v/>
      </c>
      <c r="L173" s="11" t="str">
        <f aca="false">IFERROR(IF(OR($B173="",$C173=0,$C173=""),"",$I173+ROW()*0.0000001),"")</f>
        <v/>
      </c>
      <c r="M173" s="76" t="n">
        <f aca="false">$M$2</f>
        <v>0.9319</v>
      </c>
      <c r="N173" s="13" t="str">
        <f aca="false">IFERROR(IF($B173="","",$C173+$M173),"")</f>
        <v/>
      </c>
    </row>
    <row r="174" customFormat="false" ht="15" hidden="false" customHeight="true" outlineLevel="0" collapsed="false">
      <c r="A174" s="69" t="str">
        <f aca="false">IFERROR(IF(المنيو!$B174="","",المنيو!$A174),"")</f>
        <v/>
      </c>
      <c r="B174" s="69" t="n">
        <f aca="false">IFERROR(المنيو!$B174,"")</f>
        <v>0</v>
      </c>
      <c r="C174" s="13" t="str">
        <f aca="false">IFERROR(IF($B174="","",SUMIFS(الريسبي!$F$2:$F$1800,الريسبي!$A$2:$A$1800,$B174)),"")</f>
        <v/>
      </c>
      <c r="D174" s="70" t="str">
        <f aca="false">IFERROR(IF($B174="","",المنيو!$C174),"")</f>
        <v/>
      </c>
      <c r="E174" s="12" t="str">
        <f aca="false">IFERROR(IF(OR($B174="",$D174=0,$D174=""),"",$N174/$D174),"")</f>
        <v/>
      </c>
      <c r="F174" s="75" t="n">
        <f aca="false">$F$2</f>
        <v>0.375</v>
      </c>
      <c r="G174" s="13" t="str">
        <f aca="false">IFERROR(IF($B174="","",$N174/$F174),"")</f>
        <v/>
      </c>
      <c r="H174" s="13" t="str">
        <f aca="false">IFERROR(IF($B174="","",$D174-$N174),"")</f>
        <v/>
      </c>
      <c r="I174" s="12" t="str">
        <f aca="false">IFERROR(IF(OR($B174="",$D174=0,$D174=""),"",$H174/$D174),"")</f>
        <v/>
      </c>
      <c r="J174" s="75" t="n">
        <f aca="false">$J$2</f>
        <v>0.25</v>
      </c>
      <c r="K174" s="12" t="str">
        <f aca="false">IFERROR(IF($B174="","",$E174+$J174),"")</f>
        <v/>
      </c>
      <c r="L174" s="11" t="str">
        <f aca="false">IFERROR(IF(OR($B174="",$C174=0,$C174=""),"",$I174+ROW()*0.0000001),"")</f>
        <v/>
      </c>
      <c r="M174" s="76" t="n">
        <f aca="false">$M$2</f>
        <v>0.9319</v>
      </c>
      <c r="N174" s="13" t="str">
        <f aca="false">IFERROR(IF($B174="","",$C174+$M174),"")</f>
        <v/>
      </c>
    </row>
    <row r="175" customFormat="false" ht="15" hidden="false" customHeight="true" outlineLevel="0" collapsed="false">
      <c r="A175" s="69" t="str">
        <f aca="false">IFERROR(IF(المنيو!$B175="","",المنيو!$A175),"")</f>
        <v/>
      </c>
      <c r="B175" s="69" t="n">
        <f aca="false">IFERROR(المنيو!$B175,"")</f>
        <v>0</v>
      </c>
      <c r="C175" s="13" t="str">
        <f aca="false">IFERROR(IF($B175="","",SUMIFS(الريسبي!$F$2:$F$1800,الريسبي!$A$2:$A$1800,$B175)),"")</f>
        <v/>
      </c>
      <c r="D175" s="70" t="str">
        <f aca="false">IFERROR(IF($B175="","",المنيو!$C175),"")</f>
        <v/>
      </c>
      <c r="E175" s="12" t="str">
        <f aca="false">IFERROR(IF(OR($B175="",$D175=0,$D175=""),"",$N175/$D175),"")</f>
        <v/>
      </c>
      <c r="F175" s="75" t="n">
        <f aca="false">$F$2</f>
        <v>0.375</v>
      </c>
      <c r="G175" s="13" t="str">
        <f aca="false">IFERROR(IF($B175="","",$N175/$F175),"")</f>
        <v/>
      </c>
      <c r="H175" s="13" t="str">
        <f aca="false">IFERROR(IF($B175="","",$D175-$N175),"")</f>
        <v/>
      </c>
      <c r="I175" s="12" t="str">
        <f aca="false">IFERROR(IF(OR($B175="",$D175=0,$D175=""),"",$H175/$D175),"")</f>
        <v/>
      </c>
      <c r="J175" s="75" t="n">
        <f aca="false">$J$2</f>
        <v>0.25</v>
      </c>
      <c r="K175" s="12" t="str">
        <f aca="false">IFERROR(IF($B175="","",$E175+$J175),"")</f>
        <v/>
      </c>
      <c r="L175" s="11" t="str">
        <f aca="false">IFERROR(IF(OR($B175="",$C175=0,$C175=""),"",$I175+ROW()*0.0000001),"")</f>
        <v/>
      </c>
      <c r="M175" s="76" t="n">
        <f aca="false">$M$2</f>
        <v>0.9319</v>
      </c>
      <c r="N175" s="13" t="str">
        <f aca="false">IFERROR(IF($B175="","",$C175+$M175),"")</f>
        <v/>
      </c>
    </row>
    <row r="176" customFormat="false" ht="15" hidden="false" customHeight="true" outlineLevel="0" collapsed="false">
      <c r="A176" s="69" t="str">
        <f aca="false">IFERROR(IF(المنيو!$B176="","",المنيو!$A176),"")</f>
        <v/>
      </c>
      <c r="B176" s="69" t="n">
        <f aca="false">IFERROR(المنيو!$B176,"")</f>
        <v>0</v>
      </c>
      <c r="C176" s="13" t="str">
        <f aca="false">IFERROR(IF($B176="","",SUMIFS(الريسبي!$F$2:$F$1800,الريسبي!$A$2:$A$1800,$B176)),"")</f>
        <v/>
      </c>
      <c r="D176" s="70" t="str">
        <f aca="false">IFERROR(IF($B176="","",المنيو!$C176),"")</f>
        <v/>
      </c>
      <c r="E176" s="12" t="str">
        <f aca="false">IFERROR(IF(OR($B176="",$D176=0,$D176=""),"",$N176/$D176),"")</f>
        <v/>
      </c>
      <c r="F176" s="75" t="n">
        <f aca="false">$F$2</f>
        <v>0.375</v>
      </c>
      <c r="G176" s="13" t="str">
        <f aca="false">IFERROR(IF($B176="","",$N176/$F176),"")</f>
        <v/>
      </c>
      <c r="H176" s="13" t="str">
        <f aca="false">IFERROR(IF($B176="","",$D176-$N176),"")</f>
        <v/>
      </c>
      <c r="I176" s="12" t="str">
        <f aca="false">IFERROR(IF(OR($B176="",$D176=0,$D176=""),"",$H176/$D176),"")</f>
        <v/>
      </c>
      <c r="J176" s="75" t="n">
        <f aca="false">$J$2</f>
        <v>0.25</v>
      </c>
      <c r="K176" s="12" t="str">
        <f aca="false">IFERROR(IF($B176="","",$E176+$J176),"")</f>
        <v/>
      </c>
      <c r="L176" s="11" t="str">
        <f aca="false">IFERROR(IF(OR($B176="",$C176=0,$C176=""),"",$I176+ROW()*0.0000001),"")</f>
        <v/>
      </c>
      <c r="M176" s="76" t="n">
        <f aca="false">$M$2</f>
        <v>0.9319</v>
      </c>
      <c r="N176" s="13" t="str">
        <f aca="false">IFERROR(IF($B176="","",$C176+$M176),"")</f>
        <v/>
      </c>
    </row>
    <row r="177" customFormat="false" ht="15" hidden="false" customHeight="true" outlineLevel="0" collapsed="false">
      <c r="A177" s="69" t="str">
        <f aca="false">IFERROR(IF(المنيو!$B177="","",المنيو!$A177),"")</f>
        <v/>
      </c>
      <c r="B177" s="69" t="n">
        <f aca="false">IFERROR(المنيو!$B177,"")</f>
        <v>0</v>
      </c>
      <c r="C177" s="13" t="str">
        <f aca="false">IFERROR(IF($B177="","",SUMIFS(الريسبي!$F$2:$F$1800,الريسبي!$A$2:$A$1800,$B177)),"")</f>
        <v/>
      </c>
      <c r="D177" s="70" t="str">
        <f aca="false">IFERROR(IF($B177="","",المنيو!$C177),"")</f>
        <v/>
      </c>
      <c r="E177" s="12" t="str">
        <f aca="false">IFERROR(IF(OR($B177="",$D177=0,$D177=""),"",$N177/$D177),"")</f>
        <v/>
      </c>
      <c r="F177" s="75" t="n">
        <f aca="false">$F$2</f>
        <v>0.375</v>
      </c>
      <c r="G177" s="13" t="str">
        <f aca="false">IFERROR(IF($B177="","",$N177/$F177),"")</f>
        <v/>
      </c>
      <c r="H177" s="13" t="str">
        <f aca="false">IFERROR(IF($B177="","",$D177-$N177),"")</f>
        <v/>
      </c>
      <c r="I177" s="12" t="str">
        <f aca="false">IFERROR(IF(OR($B177="",$D177=0,$D177=""),"",$H177/$D177),"")</f>
        <v/>
      </c>
      <c r="J177" s="75" t="n">
        <f aca="false">$J$2</f>
        <v>0.25</v>
      </c>
      <c r="K177" s="12" t="str">
        <f aca="false">IFERROR(IF($B177="","",$E177+$J177),"")</f>
        <v/>
      </c>
      <c r="L177" s="11" t="str">
        <f aca="false">IFERROR(IF(OR($B177="",$C177=0,$C177=""),"",$I177+ROW()*0.0000001),"")</f>
        <v/>
      </c>
      <c r="M177" s="76" t="n">
        <f aca="false">$M$2</f>
        <v>0.9319</v>
      </c>
      <c r="N177" s="13" t="str">
        <f aca="false">IFERROR(IF($B177="","",$C177+$M177),"")</f>
        <v/>
      </c>
    </row>
    <row r="178" customFormat="false" ht="15" hidden="false" customHeight="true" outlineLevel="0" collapsed="false">
      <c r="A178" s="69" t="str">
        <f aca="false">IFERROR(IF(المنيو!$B178="","",المنيو!$A178),"")</f>
        <v/>
      </c>
      <c r="B178" s="69" t="n">
        <f aca="false">IFERROR(المنيو!$B178,"")</f>
        <v>0</v>
      </c>
      <c r="C178" s="13" t="str">
        <f aca="false">IFERROR(IF($B178="","",SUMIFS(الريسبي!$F$2:$F$1800,الريسبي!$A$2:$A$1800,$B178)),"")</f>
        <v/>
      </c>
      <c r="D178" s="70" t="str">
        <f aca="false">IFERROR(IF($B178="","",المنيو!$C178),"")</f>
        <v/>
      </c>
      <c r="E178" s="12" t="str">
        <f aca="false">IFERROR(IF(OR($B178="",$D178=0,$D178=""),"",$N178/$D178),"")</f>
        <v/>
      </c>
      <c r="F178" s="75" t="n">
        <f aca="false">$F$2</f>
        <v>0.375</v>
      </c>
      <c r="G178" s="13" t="str">
        <f aca="false">IFERROR(IF($B178="","",$N178/$F178),"")</f>
        <v/>
      </c>
      <c r="H178" s="13" t="str">
        <f aca="false">IFERROR(IF($B178="","",$D178-$N178),"")</f>
        <v/>
      </c>
      <c r="I178" s="12" t="str">
        <f aca="false">IFERROR(IF(OR($B178="",$D178=0,$D178=""),"",$H178/$D178),"")</f>
        <v/>
      </c>
      <c r="J178" s="75" t="n">
        <f aca="false">$J$2</f>
        <v>0.25</v>
      </c>
      <c r="K178" s="12" t="str">
        <f aca="false">IFERROR(IF($B178="","",$E178+$J178),"")</f>
        <v/>
      </c>
      <c r="L178" s="11" t="str">
        <f aca="false">IFERROR(IF(OR($B178="",$C178=0,$C178=""),"",$I178+ROW()*0.0000001),"")</f>
        <v/>
      </c>
      <c r="M178" s="76" t="n">
        <f aca="false">$M$2</f>
        <v>0.9319</v>
      </c>
      <c r="N178" s="13" t="str">
        <f aca="false">IFERROR(IF($B178="","",$C178+$M178),"")</f>
        <v/>
      </c>
    </row>
    <row r="179" customFormat="false" ht="15" hidden="false" customHeight="true" outlineLevel="0" collapsed="false">
      <c r="A179" s="69" t="str">
        <f aca="false">IFERROR(IF(المنيو!$B179="","",المنيو!$A179),"")</f>
        <v/>
      </c>
      <c r="B179" s="69" t="n">
        <f aca="false">IFERROR(المنيو!$B179,"")</f>
        <v>0</v>
      </c>
      <c r="C179" s="13" t="str">
        <f aca="false">IFERROR(IF($B179="","",SUMIFS(الريسبي!$F$2:$F$1800,الريسبي!$A$2:$A$1800,$B179)),"")</f>
        <v/>
      </c>
      <c r="D179" s="70" t="str">
        <f aca="false">IFERROR(IF($B179="","",المنيو!$C179),"")</f>
        <v/>
      </c>
      <c r="E179" s="12" t="str">
        <f aca="false">IFERROR(IF(OR($B179="",$D179=0,$D179=""),"",$N179/$D179),"")</f>
        <v/>
      </c>
      <c r="F179" s="75" t="n">
        <f aca="false">$F$2</f>
        <v>0.375</v>
      </c>
      <c r="G179" s="13" t="str">
        <f aca="false">IFERROR(IF($B179="","",$N179/$F179),"")</f>
        <v/>
      </c>
      <c r="H179" s="13" t="str">
        <f aca="false">IFERROR(IF($B179="","",$D179-$N179),"")</f>
        <v/>
      </c>
      <c r="I179" s="12" t="str">
        <f aca="false">IFERROR(IF(OR($B179="",$D179=0,$D179=""),"",$H179/$D179),"")</f>
        <v/>
      </c>
      <c r="J179" s="75" t="n">
        <f aca="false">$J$2</f>
        <v>0.25</v>
      </c>
      <c r="K179" s="12" t="str">
        <f aca="false">IFERROR(IF($B179="","",$E179+$J179),"")</f>
        <v/>
      </c>
      <c r="L179" s="11" t="str">
        <f aca="false">IFERROR(IF(OR($B179="",$C179=0,$C179=""),"",$I179+ROW()*0.0000001),"")</f>
        <v/>
      </c>
      <c r="M179" s="76" t="n">
        <f aca="false">$M$2</f>
        <v>0.9319</v>
      </c>
      <c r="N179" s="13" t="str">
        <f aca="false">IFERROR(IF($B179="","",$C179+$M179),"")</f>
        <v/>
      </c>
    </row>
    <row r="180" customFormat="false" ht="15" hidden="false" customHeight="true" outlineLevel="0" collapsed="false">
      <c r="A180" s="69" t="str">
        <f aca="false">IFERROR(IF(المنيو!$B180="","",المنيو!$A180),"")</f>
        <v/>
      </c>
      <c r="B180" s="69" t="n">
        <f aca="false">IFERROR(المنيو!$B180,"")</f>
        <v>0</v>
      </c>
      <c r="C180" s="13" t="str">
        <f aca="false">IFERROR(IF($B180="","",SUMIFS(الريسبي!$F$2:$F$1800,الريسبي!$A$2:$A$1800,$B180)),"")</f>
        <v/>
      </c>
      <c r="D180" s="70" t="str">
        <f aca="false">IFERROR(IF($B180="","",المنيو!$C180),"")</f>
        <v/>
      </c>
      <c r="E180" s="12" t="str">
        <f aca="false">IFERROR(IF(OR($B180="",$D180=0,$D180=""),"",$N180/$D180),"")</f>
        <v/>
      </c>
      <c r="F180" s="75" t="n">
        <f aca="false">$F$2</f>
        <v>0.375</v>
      </c>
      <c r="G180" s="13" t="str">
        <f aca="false">IFERROR(IF($B180="","",$N180/$F180),"")</f>
        <v/>
      </c>
      <c r="H180" s="13" t="str">
        <f aca="false">IFERROR(IF($B180="","",$D180-$N180),"")</f>
        <v/>
      </c>
      <c r="I180" s="12" t="str">
        <f aca="false">IFERROR(IF(OR($B180="",$D180=0,$D180=""),"",$H180/$D180),"")</f>
        <v/>
      </c>
      <c r="J180" s="75" t="n">
        <f aca="false">$J$2</f>
        <v>0.25</v>
      </c>
      <c r="K180" s="12" t="str">
        <f aca="false">IFERROR(IF($B180="","",$E180+$J180),"")</f>
        <v/>
      </c>
      <c r="L180" s="11" t="str">
        <f aca="false">IFERROR(IF(OR($B180="",$C180=0,$C180=""),"",$I180+ROW()*0.0000001),"")</f>
        <v/>
      </c>
      <c r="M180" s="76" t="n">
        <f aca="false">$M$2</f>
        <v>0.9319</v>
      </c>
      <c r="N180" s="13" t="str">
        <f aca="false">IFERROR(IF($B180="","",$C180+$M180),"")</f>
        <v/>
      </c>
    </row>
    <row r="181" customFormat="false" ht="15" hidden="false" customHeight="true" outlineLevel="0" collapsed="false">
      <c r="A181" s="69" t="str">
        <f aca="false">IFERROR(IF(المنيو!$B181="","",المنيو!$A181),"")</f>
        <v/>
      </c>
      <c r="B181" s="69" t="n">
        <f aca="false">IFERROR(المنيو!$B181,"")</f>
        <v>0</v>
      </c>
      <c r="C181" s="13" t="str">
        <f aca="false">IFERROR(IF($B181="","",SUMIFS(الريسبي!$F$2:$F$1800,الريسبي!$A$2:$A$1800,$B181)),"")</f>
        <v/>
      </c>
      <c r="D181" s="70" t="str">
        <f aca="false">IFERROR(IF($B181="","",المنيو!$C181),"")</f>
        <v/>
      </c>
      <c r="E181" s="12" t="str">
        <f aca="false">IFERROR(IF(OR($B181="",$D181=0,$D181=""),"",$N181/$D181),"")</f>
        <v/>
      </c>
      <c r="F181" s="75" t="n">
        <f aca="false">$F$2</f>
        <v>0.375</v>
      </c>
      <c r="G181" s="13" t="str">
        <f aca="false">IFERROR(IF($B181="","",$N181/$F181),"")</f>
        <v/>
      </c>
      <c r="H181" s="13" t="str">
        <f aca="false">IFERROR(IF($B181="","",$D181-$N181),"")</f>
        <v/>
      </c>
      <c r="I181" s="12" t="str">
        <f aca="false">IFERROR(IF(OR($B181="",$D181=0,$D181=""),"",$H181/$D181),"")</f>
        <v/>
      </c>
      <c r="J181" s="75" t="n">
        <f aca="false">$J$2</f>
        <v>0.25</v>
      </c>
      <c r="K181" s="12" t="str">
        <f aca="false">IFERROR(IF($B181="","",$E181+$J181),"")</f>
        <v/>
      </c>
      <c r="L181" s="11" t="str">
        <f aca="false">IFERROR(IF(OR($B181="",$C181=0,$C181=""),"",$I181+ROW()*0.0000001),"")</f>
        <v/>
      </c>
      <c r="M181" s="76" t="n">
        <f aca="false">$M$2</f>
        <v>0.9319</v>
      </c>
      <c r="N181" s="13" t="str">
        <f aca="false">IFERROR(IF($B181="","",$C181+$M181),"")</f>
        <v/>
      </c>
    </row>
    <row r="182" customFormat="false" ht="15" hidden="false" customHeight="true" outlineLevel="0" collapsed="false">
      <c r="A182" s="69" t="str">
        <f aca="false">IFERROR(IF(المنيو!$B182="","",المنيو!$A182),"")</f>
        <v/>
      </c>
      <c r="B182" s="69" t="n">
        <f aca="false">IFERROR(المنيو!$B182,"")</f>
        <v>0</v>
      </c>
      <c r="C182" s="13" t="str">
        <f aca="false">IFERROR(IF($B182="","",SUMIFS(الريسبي!$F$2:$F$1800,الريسبي!$A$2:$A$1800,$B182)),"")</f>
        <v/>
      </c>
      <c r="D182" s="70" t="str">
        <f aca="false">IFERROR(IF($B182="","",المنيو!$C182),"")</f>
        <v/>
      </c>
      <c r="E182" s="12" t="str">
        <f aca="false">IFERROR(IF(OR($B182="",$D182=0,$D182=""),"",$N182/$D182),"")</f>
        <v/>
      </c>
      <c r="F182" s="75" t="n">
        <f aca="false">$F$2</f>
        <v>0.375</v>
      </c>
      <c r="G182" s="13" t="str">
        <f aca="false">IFERROR(IF($B182="","",$N182/$F182),"")</f>
        <v/>
      </c>
      <c r="H182" s="13" t="str">
        <f aca="false">IFERROR(IF($B182="","",$D182-$N182),"")</f>
        <v/>
      </c>
      <c r="I182" s="12" t="str">
        <f aca="false">IFERROR(IF(OR($B182="",$D182=0,$D182=""),"",$H182/$D182),"")</f>
        <v/>
      </c>
      <c r="J182" s="75" t="n">
        <f aca="false">$J$2</f>
        <v>0.25</v>
      </c>
      <c r="K182" s="12" t="str">
        <f aca="false">IFERROR(IF($B182="","",$E182+$J182),"")</f>
        <v/>
      </c>
      <c r="L182" s="11" t="str">
        <f aca="false">IFERROR(IF(OR($B182="",$C182=0,$C182=""),"",$I182+ROW()*0.0000001),"")</f>
        <v/>
      </c>
      <c r="M182" s="76" t="n">
        <f aca="false">$M$2</f>
        <v>0.9319</v>
      </c>
      <c r="N182" s="13" t="str">
        <f aca="false">IFERROR(IF($B182="","",$C182+$M182),"")</f>
        <v/>
      </c>
    </row>
    <row r="183" customFormat="false" ht="15" hidden="false" customHeight="true" outlineLevel="0" collapsed="false">
      <c r="A183" s="69" t="str">
        <f aca="false">IFERROR(IF(المنيو!$B183="","",المنيو!$A183),"")</f>
        <v/>
      </c>
      <c r="B183" s="69" t="n">
        <f aca="false">IFERROR(المنيو!$B183,"")</f>
        <v>0</v>
      </c>
      <c r="C183" s="13" t="str">
        <f aca="false">IFERROR(IF($B183="","",SUMIFS(الريسبي!$F$2:$F$1800,الريسبي!$A$2:$A$1800,$B183)),"")</f>
        <v/>
      </c>
      <c r="D183" s="70" t="str">
        <f aca="false">IFERROR(IF($B183="","",المنيو!$C183),"")</f>
        <v/>
      </c>
      <c r="E183" s="12" t="str">
        <f aca="false">IFERROR(IF(OR($B183="",$D183=0,$D183=""),"",$N183/$D183),"")</f>
        <v/>
      </c>
      <c r="F183" s="75" t="n">
        <f aca="false">$F$2</f>
        <v>0.375</v>
      </c>
      <c r="G183" s="13" t="str">
        <f aca="false">IFERROR(IF($B183="","",$N183/$F183),"")</f>
        <v/>
      </c>
      <c r="H183" s="13" t="str">
        <f aca="false">IFERROR(IF($B183="","",$D183-$N183),"")</f>
        <v/>
      </c>
      <c r="I183" s="12" t="str">
        <f aca="false">IFERROR(IF(OR($B183="",$D183=0,$D183=""),"",$H183/$D183),"")</f>
        <v/>
      </c>
      <c r="J183" s="75" t="n">
        <f aca="false">$J$2</f>
        <v>0.25</v>
      </c>
      <c r="K183" s="12" t="str">
        <f aca="false">IFERROR(IF($B183="","",$E183+$J183),"")</f>
        <v/>
      </c>
      <c r="L183" s="11" t="str">
        <f aca="false">IFERROR(IF(OR($B183="",$C183=0,$C183=""),"",$I183+ROW()*0.0000001),"")</f>
        <v/>
      </c>
      <c r="M183" s="76" t="n">
        <f aca="false">$M$2</f>
        <v>0.9319</v>
      </c>
      <c r="N183" s="13" t="str">
        <f aca="false">IFERROR(IF($B183="","",$C183+$M183),"")</f>
        <v/>
      </c>
    </row>
    <row r="184" customFormat="false" ht="15" hidden="false" customHeight="true" outlineLevel="0" collapsed="false">
      <c r="A184" s="69" t="str">
        <f aca="false">IFERROR(IF(المنيو!$B184="","",المنيو!$A184),"")</f>
        <v/>
      </c>
      <c r="B184" s="69" t="n">
        <f aca="false">IFERROR(المنيو!$B184,"")</f>
        <v>0</v>
      </c>
      <c r="C184" s="13" t="str">
        <f aca="false">IFERROR(IF($B184="","",SUMIFS(الريسبي!$F$2:$F$1800,الريسبي!$A$2:$A$1800,$B184)),"")</f>
        <v/>
      </c>
      <c r="D184" s="70" t="str">
        <f aca="false">IFERROR(IF($B184="","",المنيو!$C184),"")</f>
        <v/>
      </c>
      <c r="E184" s="12" t="str">
        <f aca="false">IFERROR(IF(OR($B184="",$D184=0,$D184=""),"",$N184/$D184),"")</f>
        <v/>
      </c>
      <c r="F184" s="75" t="n">
        <f aca="false">$F$2</f>
        <v>0.375</v>
      </c>
      <c r="G184" s="13" t="str">
        <f aca="false">IFERROR(IF($B184="","",$N184/$F184),"")</f>
        <v/>
      </c>
      <c r="H184" s="13" t="str">
        <f aca="false">IFERROR(IF($B184="","",$D184-$N184),"")</f>
        <v/>
      </c>
      <c r="I184" s="12" t="str">
        <f aca="false">IFERROR(IF(OR($B184="",$D184=0,$D184=""),"",$H184/$D184),"")</f>
        <v/>
      </c>
      <c r="J184" s="75" t="n">
        <f aca="false">$J$2</f>
        <v>0.25</v>
      </c>
      <c r="K184" s="12" t="str">
        <f aca="false">IFERROR(IF($B184="","",$E184+$J184),"")</f>
        <v/>
      </c>
      <c r="L184" s="11" t="str">
        <f aca="false">IFERROR(IF(OR($B184="",$C184=0,$C184=""),"",$I184+ROW()*0.0000001),"")</f>
        <v/>
      </c>
      <c r="M184" s="76" t="n">
        <f aca="false">$M$2</f>
        <v>0.9319</v>
      </c>
      <c r="N184" s="13" t="str">
        <f aca="false">IFERROR(IF($B184="","",$C184+$M184),"")</f>
        <v/>
      </c>
    </row>
    <row r="185" customFormat="false" ht="15" hidden="false" customHeight="true" outlineLevel="0" collapsed="false">
      <c r="A185" s="69" t="str">
        <f aca="false">IFERROR(IF(المنيو!$B185="","",المنيو!$A185),"")</f>
        <v/>
      </c>
      <c r="B185" s="69" t="n">
        <f aca="false">IFERROR(المنيو!$B185,"")</f>
        <v>0</v>
      </c>
      <c r="C185" s="13" t="str">
        <f aca="false">IFERROR(IF($B185="","",SUMIFS(الريسبي!$F$2:$F$1800,الريسبي!$A$2:$A$1800,$B185)),"")</f>
        <v/>
      </c>
      <c r="D185" s="70" t="str">
        <f aca="false">IFERROR(IF($B185="","",المنيو!$C185),"")</f>
        <v/>
      </c>
      <c r="E185" s="12" t="str">
        <f aca="false">IFERROR(IF(OR($B185="",$D185=0,$D185=""),"",$N185/$D185),"")</f>
        <v/>
      </c>
      <c r="F185" s="75" t="n">
        <f aca="false">$F$2</f>
        <v>0.375</v>
      </c>
      <c r="G185" s="13" t="str">
        <f aca="false">IFERROR(IF($B185="","",$N185/$F185),"")</f>
        <v/>
      </c>
      <c r="H185" s="13" t="str">
        <f aca="false">IFERROR(IF($B185="","",$D185-$N185),"")</f>
        <v/>
      </c>
      <c r="I185" s="12" t="str">
        <f aca="false">IFERROR(IF(OR($B185="",$D185=0,$D185=""),"",$H185/$D185),"")</f>
        <v/>
      </c>
      <c r="J185" s="75" t="n">
        <f aca="false">$J$2</f>
        <v>0.25</v>
      </c>
      <c r="K185" s="12" t="str">
        <f aca="false">IFERROR(IF($B185="","",$E185+$J185),"")</f>
        <v/>
      </c>
      <c r="L185" s="11" t="str">
        <f aca="false">IFERROR(IF(OR($B185="",$C185=0,$C185=""),"",$I185+ROW()*0.0000001),"")</f>
        <v/>
      </c>
      <c r="M185" s="76" t="n">
        <f aca="false">$M$2</f>
        <v>0.9319</v>
      </c>
      <c r="N185" s="13" t="str">
        <f aca="false">IFERROR(IF($B185="","",$C185+$M185),"")</f>
        <v/>
      </c>
    </row>
    <row r="186" customFormat="false" ht="15" hidden="false" customHeight="true" outlineLevel="0" collapsed="false">
      <c r="A186" s="69" t="str">
        <f aca="false">IFERROR(IF(المنيو!$B186="","",المنيو!$A186),"")</f>
        <v/>
      </c>
      <c r="B186" s="69" t="n">
        <f aca="false">IFERROR(المنيو!$B186,"")</f>
        <v>0</v>
      </c>
      <c r="C186" s="13" t="str">
        <f aca="false">IFERROR(IF($B186="","",SUMIFS(الريسبي!$F$2:$F$1800,الريسبي!$A$2:$A$1800,$B186)),"")</f>
        <v/>
      </c>
      <c r="D186" s="70" t="str">
        <f aca="false">IFERROR(IF($B186="","",المنيو!$C186),"")</f>
        <v/>
      </c>
      <c r="E186" s="12" t="str">
        <f aca="false">IFERROR(IF(OR($B186="",$D186=0,$D186=""),"",$N186/$D186),"")</f>
        <v/>
      </c>
      <c r="F186" s="75" t="n">
        <f aca="false">$F$2</f>
        <v>0.375</v>
      </c>
      <c r="G186" s="13" t="str">
        <f aca="false">IFERROR(IF($B186="","",$N186/$F186),"")</f>
        <v/>
      </c>
      <c r="H186" s="13" t="str">
        <f aca="false">IFERROR(IF($B186="","",$D186-$N186),"")</f>
        <v/>
      </c>
      <c r="I186" s="12" t="str">
        <f aca="false">IFERROR(IF(OR($B186="",$D186=0,$D186=""),"",$H186/$D186),"")</f>
        <v/>
      </c>
      <c r="J186" s="75" t="n">
        <f aca="false">$J$2</f>
        <v>0.25</v>
      </c>
      <c r="K186" s="12" t="str">
        <f aca="false">IFERROR(IF($B186="","",$E186+$J186),"")</f>
        <v/>
      </c>
      <c r="L186" s="11" t="str">
        <f aca="false">IFERROR(IF(OR($B186="",$C186=0,$C186=""),"",$I186+ROW()*0.0000001),"")</f>
        <v/>
      </c>
      <c r="M186" s="76" t="n">
        <f aca="false">$M$2</f>
        <v>0.9319</v>
      </c>
      <c r="N186" s="13" t="str">
        <f aca="false">IFERROR(IF($B186="","",$C186+$M186),"")</f>
        <v/>
      </c>
    </row>
    <row r="187" customFormat="false" ht="15" hidden="false" customHeight="true" outlineLevel="0" collapsed="false">
      <c r="A187" s="69" t="str">
        <f aca="false">IFERROR(IF(المنيو!$B187="","",المنيو!$A187),"")</f>
        <v/>
      </c>
      <c r="B187" s="69" t="n">
        <f aca="false">IFERROR(المنيو!$B187,"")</f>
        <v>0</v>
      </c>
      <c r="C187" s="13" t="str">
        <f aca="false">IFERROR(IF($B187="","",SUMIFS(الريسبي!$F$2:$F$1800,الريسبي!$A$2:$A$1800,$B187)),"")</f>
        <v/>
      </c>
      <c r="D187" s="70" t="str">
        <f aca="false">IFERROR(IF($B187="","",المنيو!$C187),"")</f>
        <v/>
      </c>
      <c r="E187" s="12" t="str">
        <f aca="false">IFERROR(IF(OR($B187="",$D187=0,$D187=""),"",$N187/$D187),"")</f>
        <v/>
      </c>
      <c r="F187" s="75" t="n">
        <f aca="false">$F$2</f>
        <v>0.375</v>
      </c>
      <c r="G187" s="13" t="str">
        <f aca="false">IFERROR(IF($B187="","",$N187/$F187),"")</f>
        <v/>
      </c>
      <c r="H187" s="13" t="str">
        <f aca="false">IFERROR(IF($B187="","",$D187-$N187),"")</f>
        <v/>
      </c>
      <c r="I187" s="12" t="str">
        <f aca="false">IFERROR(IF(OR($B187="",$D187=0,$D187=""),"",$H187/$D187),"")</f>
        <v/>
      </c>
      <c r="J187" s="75" t="n">
        <f aca="false">$J$2</f>
        <v>0.25</v>
      </c>
      <c r="K187" s="12" t="str">
        <f aca="false">IFERROR(IF($B187="","",$E187+$J187),"")</f>
        <v/>
      </c>
      <c r="L187" s="11" t="str">
        <f aca="false">IFERROR(IF(OR($B187="",$C187=0,$C187=""),"",$I187+ROW()*0.0000001),"")</f>
        <v/>
      </c>
      <c r="M187" s="76" t="n">
        <f aca="false">$M$2</f>
        <v>0.9319</v>
      </c>
      <c r="N187" s="13" t="str">
        <f aca="false">IFERROR(IF($B187="","",$C187+$M187),"")</f>
        <v/>
      </c>
    </row>
    <row r="188" customFormat="false" ht="15" hidden="false" customHeight="true" outlineLevel="0" collapsed="false">
      <c r="A188" s="69" t="str">
        <f aca="false">IFERROR(IF(المنيو!$B188="","",المنيو!$A188),"")</f>
        <v/>
      </c>
      <c r="B188" s="69" t="n">
        <f aca="false">IFERROR(المنيو!$B188,"")</f>
        <v>0</v>
      </c>
      <c r="C188" s="13" t="str">
        <f aca="false">IFERROR(IF($B188="","",SUMIFS(الريسبي!$F$2:$F$1800,الريسبي!$A$2:$A$1800,$B188)),"")</f>
        <v/>
      </c>
      <c r="D188" s="70" t="str">
        <f aca="false">IFERROR(IF($B188="","",المنيو!$C188),"")</f>
        <v/>
      </c>
      <c r="E188" s="12" t="str">
        <f aca="false">IFERROR(IF(OR($B188="",$D188=0,$D188=""),"",$N188/$D188),"")</f>
        <v/>
      </c>
      <c r="F188" s="75" t="n">
        <f aca="false">$F$2</f>
        <v>0.375</v>
      </c>
      <c r="G188" s="13" t="str">
        <f aca="false">IFERROR(IF($B188="","",$N188/$F188),"")</f>
        <v/>
      </c>
      <c r="H188" s="13" t="str">
        <f aca="false">IFERROR(IF($B188="","",$D188-$N188),"")</f>
        <v/>
      </c>
      <c r="I188" s="12" t="str">
        <f aca="false">IFERROR(IF(OR($B188="",$D188=0,$D188=""),"",$H188/$D188),"")</f>
        <v/>
      </c>
      <c r="J188" s="75" t="n">
        <f aca="false">$J$2</f>
        <v>0.25</v>
      </c>
      <c r="K188" s="12" t="str">
        <f aca="false">IFERROR(IF($B188="","",$E188+$J188),"")</f>
        <v/>
      </c>
      <c r="L188" s="11" t="str">
        <f aca="false">IFERROR(IF(OR($B188="",$C188=0,$C188=""),"",$I188+ROW()*0.0000001),"")</f>
        <v/>
      </c>
      <c r="M188" s="76" t="n">
        <f aca="false">$M$2</f>
        <v>0.9319</v>
      </c>
      <c r="N188" s="13" t="str">
        <f aca="false">IFERROR(IF($B188="","",$C188+$M188),"")</f>
        <v/>
      </c>
    </row>
    <row r="189" customFormat="false" ht="15" hidden="false" customHeight="true" outlineLevel="0" collapsed="false">
      <c r="A189" s="69" t="str">
        <f aca="false">IFERROR(IF(المنيو!$B189="","",المنيو!$A189),"")</f>
        <v/>
      </c>
      <c r="B189" s="69" t="n">
        <f aca="false">IFERROR(المنيو!$B189,"")</f>
        <v>0</v>
      </c>
      <c r="C189" s="13" t="str">
        <f aca="false">IFERROR(IF($B189="","",SUMIFS(الريسبي!$F$2:$F$1800,الريسبي!$A$2:$A$1800,$B189)),"")</f>
        <v/>
      </c>
      <c r="D189" s="70" t="str">
        <f aca="false">IFERROR(IF($B189="","",المنيو!$C189),"")</f>
        <v/>
      </c>
      <c r="E189" s="12" t="str">
        <f aca="false">IFERROR(IF(OR($B189="",$D189=0,$D189=""),"",$N189/$D189),"")</f>
        <v/>
      </c>
      <c r="F189" s="75" t="n">
        <f aca="false">$F$2</f>
        <v>0.375</v>
      </c>
      <c r="G189" s="13" t="str">
        <f aca="false">IFERROR(IF($B189="","",$N189/$F189),"")</f>
        <v/>
      </c>
      <c r="H189" s="13" t="str">
        <f aca="false">IFERROR(IF($B189="","",$D189-$N189),"")</f>
        <v/>
      </c>
      <c r="I189" s="12" t="str">
        <f aca="false">IFERROR(IF(OR($B189="",$D189=0,$D189=""),"",$H189/$D189),"")</f>
        <v/>
      </c>
      <c r="J189" s="75" t="n">
        <f aca="false">$J$2</f>
        <v>0.25</v>
      </c>
      <c r="K189" s="12" t="str">
        <f aca="false">IFERROR(IF($B189="","",$E189+$J189),"")</f>
        <v/>
      </c>
      <c r="L189" s="11" t="str">
        <f aca="false">IFERROR(IF(OR($B189="",$C189=0,$C189=""),"",$I189+ROW()*0.0000001),"")</f>
        <v/>
      </c>
      <c r="M189" s="76" t="n">
        <f aca="false">$M$2</f>
        <v>0.9319</v>
      </c>
      <c r="N189" s="13" t="str">
        <f aca="false">IFERROR(IF($B189="","",$C189+$M189),"")</f>
        <v/>
      </c>
    </row>
    <row r="190" customFormat="false" ht="15" hidden="false" customHeight="true" outlineLevel="0" collapsed="false">
      <c r="A190" s="69" t="str">
        <f aca="false">IFERROR(IF(المنيو!$B190="","",المنيو!$A190),"")</f>
        <v/>
      </c>
      <c r="B190" s="69" t="n">
        <f aca="false">IFERROR(المنيو!$B190,"")</f>
        <v>0</v>
      </c>
      <c r="C190" s="13" t="str">
        <f aca="false">IFERROR(IF($B190="","",SUMIFS(الريسبي!$F$2:$F$1800,الريسبي!$A$2:$A$1800,$B190)),"")</f>
        <v/>
      </c>
      <c r="D190" s="70" t="str">
        <f aca="false">IFERROR(IF($B190="","",المنيو!$C190),"")</f>
        <v/>
      </c>
      <c r="E190" s="12" t="str">
        <f aca="false">IFERROR(IF(OR($B190="",$D190=0,$D190=""),"",$N190/$D190),"")</f>
        <v/>
      </c>
      <c r="F190" s="75" t="n">
        <f aca="false">$F$2</f>
        <v>0.375</v>
      </c>
      <c r="G190" s="13" t="str">
        <f aca="false">IFERROR(IF($B190="","",$N190/$F190),"")</f>
        <v/>
      </c>
      <c r="H190" s="13" t="str">
        <f aca="false">IFERROR(IF($B190="","",$D190-$N190),"")</f>
        <v/>
      </c>
      <c r="I190" s="12" t="str">
        <f aca="false">IFERROR(IF(OR($B190="",$D190=0,$D190=""),"",$H190/$D190),"")</f>
        <v/>
      </c>
      <c r="J190" s="75" t="n">
        <f aca="false">$J$2</f>
        <v>0.25</v>
      </c>
      <c r="K190" s="12" t="str">
        <f aca="false">IFERROR(IF($B190="","",$E190+$J190),"")</f>
        <v/>
      </c>
      <c r="L190" s="11" t="str">
        <f aca="false">IFERROR(IF(OR($B190="",$C190=0,$C190=""),"",$I190+ROW()*0.0000001),"")</f>
        <v/>
      </c>
      <c r="M190" s="76" t="n">
        <f aca="false">$M$2</f>
        <v>0.9319</v>
      </c>
      <c r="N190" s="13" t="str">
        <f aca="false">IFERROR(IF($B190="","",$C190+$M190),"")</f>
        <v/>
      </c>
    </row>
    <row r="191" customFormat="false" ht="15" hidden="false" customHeight="true" outlineLevel="0" collapsed="false">
      <c r="A191" s="69" t="str">
        <f aca="false">IFERROR(IF(المنيو!$B191="","",المنيو!$A191),"")</f>
        <v/>
      </c>
      <c r="B191" s="69" t="n">
        <f aca="false">IFERROR(المنيو!$B191,"")</f>
        <v>0</v>
      </c>
      <c r="C191" s="13" t="str">
        <f aca="false">IFERROR(IF($B191="","",SUMIFS(الريسبي!$F$2:$F$1800,الريسبي!$A$2:$A$1800,$B191)),"")</f>
        <v/>
      </c>
      <c r="D191" s="70" t="str">
        <f aca="false">IFERROR(IF($B191="","",المنيو!$C191),"")</f>
        <v/>
      </c>
      <c r="E191" s="12" t="str">
        <f aca="false">IFERROR(IF(OR($B191="",$D191=0,$D191=""),"",$N191/$D191),"")</f>
        <v/>
      </c>
      <c r="F191" s="75" t="n">
        <f aca="false">$F$2</f>
        <v>0.375</v>
      </c>
      <c r="G191" s="13" t="str">
        <f aca="false">IFERROR(IF($B191="","",$N191/$F191),"")</f>
        <v/>
      </c>
      <c r="H191" s="13" t="str">
        <f aca="false">IFERROR(IF($B191="","",$D191-$N191),"")</f>
        <v/>
      </c>
      <c r="I191" s="12" t="str">
        <f aca="false">IFERROR(IF(OR($B191="",$D191=0,$D191=""),"",$H191/$D191),"")</f>
        <v/>
      </c>
      <c r="J191" s="75" t="n">
        <f aca="false">$J$2</f>
        <v>0.25</v>
      </c>
      <c r="K191" s="12" t="str">
        <f aca="false">IFERROR(IF($B191="","",$E191+$J191),"")</f>
        <v/>
      </c>
      <c r="L191" s="11" t="str">
        <f aca="false">IFERROR(IF(OR($B191="",$C191=0,$C191=""),"",$I191+ROW()*0.0000001),"")</f>
        <v/>
      </c>
      <c r="M191" s="76" t="n">
        <f aca="false">$M$2</f>
        <v>0.9319</v>
      </c>
      <c r="N191" s="13" t="str">
        <f aca="false">IFERROR(IF($B191="","",$C191+$M191),"")</f>
        <v/>
      </c>
    </row>
    <row r="192" customFormat="false" ht="15" hidden="false" customHeight="true" outlineLevel="0" collapsed="false">
      <c r="A192" s="69" t="str">
        <f aca="false">IFERROR(IF(المنيو!$B192="","",المنيو!$A192),"")</f>
        <v/>
      </c>
      <c r="B192" s="69" t="n">
        <f aca="false">IFERROR(المنيو!$B192,"")</f>
        <v>0</v>
      </c>
      <c r="C192" s="13" t="str">
        <f aca="false">IFERROR(IF($B192="","",SUMIFS(الريسبي!$F$2:$F$1800,الريسبي!$A$2:$A$1800,$B192)),"")</f>
        <v/>
      </c>
      <c r="D192" s="70" t="str">
        <f aca="false">IFERROR(IF($B192="","",المنيو!$C192),"")</f>
        <v/>
      </c>
      <c r="E192" s="12" t="str">
        <f aca="false">IFERROR(IF(OR($B192="",$D192=0,$D192=""),"",$N192/$D192),"")</f>
        <v/>
      </c>
      <c r="F192" s="75" t="n">
        <f aca="false">$F$2</f>
        <v>0.375</v>
      </c>
      <c r="G192" s="13" t="str">
        <f aca="false">IFERROR(IF($B192="","",$N192/$F192),"")</f>
        <v/>
      </c>
      <c r="H192" s="13" t="str">
        <f aca="false">IFERROR(IF($B192="","",$D192-$N192),"")</f>
        <v/>
      </c>
      <c r="I192" s="12" t="str">
        <f aca="false">IFERROR(IF(OR($B192="",$D192=0,$D192=""),"",$H192/$D192),"")</f>
        <v/>
      </c>
      <c r="J192" s="75" t="n">
        <f aca="false">$J$2</f>
        <v>0.25</v>
      </c>
      <c r="K192" s="12" t="str">
        <f aca="false">IFERROR(IF($B192="","",$E192+$J192),"")</f>
        <v/>
      </c>
      <c r="L192" s="11" t="str">
        <f aca="false">IFERROR(IF(OR($B192="",$C192=0,$C192=""),"",$I192+ROW()*0.0000001),"")</f>
        <v/>
      </c>
      <c r="M192" s="76" t="n">
        <f aca="false">$M$2</f>
        <v>0.9319</v>
      </c>
      <c r="N192" s="13" t="str">
        <f aca="false">IFERROR(IF($B192="","",$C192+$M192),"")</f>
        <v/>
      </c>
    </row>
    <row r="193" customFormat="false" ht="15" hidden="false" customHeight="true" outlineLevel="0" collapsed="false">
      <c r="A193" s="69" t="str">
        <f aca="false">IFERROR(IF(المنيو!$B193="","",المنيو!$A193),"")</f>
        <v/>
      </c>
      <c r="B193" s="69" t="n">
        <f aca="false">IFERROR(المنيو!$B193,"")</f>
        <v>0</v>
      </c>
      <c r="C193" s="13" t="str">
        <f aca="false">IFERROR(IF($B193="","",SUMIFS(الريسبي!$F$2:$F$1800,الريسبي!$A$2:$A$1800,$B193)),"")</f>
        <v/>
      </c>
      <c r="D193" s="70" t="str">
        <f aca="false">IFERROR(IF($B193="","",المنيو!$C193),"")</f>
        <v/>
      </c>
      <c r="E193" s="12" t="str">
        <f aca="false">IFERROR(IF(OR($B193="",$D193=0,$D193=""),"",$N193/$D193),"")</f>
        <v/>
      </c>
      <c r="F193" s="75" t="n">
        <f aca="false">$F$2</f>
        <v>0.375</v>
      </c>
      <c r="G193" s="13" t="str">
        <f aca="false">IFERROR(IF($B193="","",$N193/$F193),"")</f>
        <v/>
      </c>
      <c r="H193" s="13" t="str">
        <f aca="false">IFERROR(IF($B193="","",$D193-$N193),"")</f>
        <v/>
      </c>
      <c r="I193" s="12" t="str">
        <f aca="false">IFERROR(IF(OR($B193="",$D193=0,$D193=""),"",$H193/$D193),"")</f>
        <v/>
      </c>
      <c r="J193" s="75" t="n">
        <f aca="false">$J$2</f>
        <v>0.25</v>
      </c>
      <c r="K193" s="12" t="str">
        <f aca="false">IFERROR(IF($B193="","",$E193+$J193),"")</f>
        <v/>
      </c>
      <c r="L193" s="11" t="str">
        <f aca="false">IFERROR(IF(OR($B193="",$C193=0,$C193=""),"",$I193+ROW()*0.0000001),"")</f>
        <v/>
      </c>
      <c r="M193" s="76" t="n">
        <f aca="false">$M$2</f>
        <v>0.9319</v>
      </c>
      <c r="N193" s="13" t="str">
        <f aca="false">IFERROR(IF($B193="","",$C193+$M193),"")</f>
        <v/>
      </c>
    </row>
    <row r="194" customFormat="false" ht="15" hidden="false" customHeight="true" outlineLevel="0" collapsed="false">
      <c r="A194" s="69" t="str">
        <f aca="false">IFERROR(IF(المنيو!$B194="","",المنيو!$A194),"")</f>
        <v/>
      </c>
      <c r="B194" s="69" t="n">
        <f aca="false">IFERROR(المنيو!$B194,"")</f>
        <v>0</v>
      </c>
      <c r="C194" s="13" t="str">
        <f aca="false">IFERROR(IF($B194="","",SUMIFS(الريسبي!$F$2:$F$1800,الريسبي!$A$2:$A$1800,$B194)),"")</f>
        <v/>
      </c>
      <c r="D194" s="70" t="str">
        <f aca="false">IFERROR(IF($B194="","",المنيو!$C194),"")</f>
        <v/>
      </c>
      <c r="E194" s="12" t="str">
        <f aca="false">IFERROR(IF(OR($B194="",$D194=0,$D194=""),"",$N194/$D194),"")</f>
        <v/>
      </c>
      <c r="F194" s="75" t="n">
        <f aca="false">$F$2</f>
        <v>0.375</v>
      </c>
      <c r="G194" s="13" t="str">
        <f aca="false">IFERROR(IF($B194="","",$N194/$F194),"")</f>
        <v/>
      </c>
      <c r="H194" s="13" t="str">
        <f aca="false">IFERROR(IF($B194="","",$D194-$N194),"")</f>
        <v/>
      </c>
      <c r="I194" s="12" t="str">
        <f aca="false">IFERROR(IF(OR($B194="",$D194=0,$D194=""),"",$H194/$D194),"")</f>
        <v/>
      </c>
      <c r="J194" s="75" t="n">
        <f aca="false">$J$2</f>
        <v>0.25</v>
      </c>
      <c r="K194" s="12" t="str">
        <f aca="false">IFERROR(IF($B194="","",$E194+$J194),"")</f>
        <v/>
      </c>
      <c r="L194" s="11" t="str">
        <f aca="false">IFERROR(IF(OR($B194="",$C194=0,$C194=""),"",$I194+ROW()*0.0000001),"")</f>
        <v/>
      </c>
      <c r="M194" s="76" t="n">
        <f aca="false">$M$2</f>
        <v>0.9319</v>
      </c>
      <c r="N194" s="13" t="str">
        <f aca="false">IFERROR(IF($B194="","",$C194+$M194),"")</f>
        <v/>
      </c>
    </row>
    <row r="195" customFormat="false" ht="15" hidden="false" customHeight="true" outlineLevel="0" collapsed="false">
      <c r="A195" s="69" t="str">
        <f aca="false">IFERROR(IF(المنيو!$B195="","",المنيو!$A195),"")</f>
        <v/>
      </c>
      <c r="B195" s="69" t="n">
        <f aca="false">IFERROR(المنيو!$B195,"")</f>
        <v>0</v>
      </c>
      <c r="C195" s="13" t="str">
        <f aca="false">IFERROR(IF($B195="","",SUMIFS(الريسبي!$F$2:$F$1800,الريسبي!$A$2:$A$1800,$B195)),"")</f>
        <v/>
      </c>
      <c r="D195" s="70" t="str">
        <f aca="false">IFERROR(IF($B195="","",المنيو!$C195),"")</f>
        <v/>
      </c>
      <c r="E195" s="12" t="str">
        <f aca="false">IFERROR(IF(OR($B195="",$D195=0,$D195=""),"",$N195/$D195),"")</f>
        <v/>
      </c>
      <c r="F195" s="75" t="n">
        <f aca="false">$F$2</f>
        <v>0.375</v>
      </c>
      <c r="G195" s="13" t="str">
        <f aca="false">IFERROR(IF($B195="","",$N195/$F195),"")</f>
        <v/>
      </c>
      <c r="H195" s="13" t="str">
        <f aca="false">IFERROR(IF($B195="","",$D195-$N195),"")</f>
        <v/>
      </c>
      <c r="I195" s="12" t="str">
        <f aca="false">IFERROR(IF(OR($B195="",$D195=0,$D195=""),"",$H195/$D195),"")</f>
        <v/>
      </c>
      <c r="J195" s="75" t="n">
        <f aca="false">$J$2</f>
        <v>0.25</v>
      </c>
      <c r="K195" s="12" t="str">
        <f aca="false">IFERROR(IF($B195="","",$E195+$J195),"")</f>
        <v/>
      </c>
      <c r="L195" s="11" t="str">
        <f aca="false">IFERROR(IF(OR($B195="",$C195=0,$C195=""),"",$I195+ROW()*0.0000001),"")</f>
        <v/>
      </c>
      <c r="M195" s="76" t="n">
        <f aca="false">$M$2</f>
        <v>0.9319</v>
      </c>
      <c r="N195" s="13" t="str">
        <f aca="false">IFERROR(IF($B195="","",$C195+$M195),"")</f>
        <v/>
      </c>
    </row>
    <row r="196" customFormat="false" ht="15" hidden="false" customHeight="true" outlineLevel="0" collapsed="false">
      <c r="A196" s="69" t="str">
        <f aca="false">IFERROR(IF(المنيو!$B196="","",المنيو!$A196),"")</f>
        <v/>
      </c>
      <c r="B196" s="69" t="n">
        <f aca="false">IFERROR(المنيو!$B196,"")</f>
        <v>0</v>
      </c>
      <c r="C196" s="13" t="str">
        <f aca="false">IFERROR(IF($B196="","",SUMIFS(الريسبي!$F$2:$F$1800,الريسبي!$A$2:$A$1800,$B196)),"")</f>
        <v/>
      </c>
      <c r="D196" s="70" t="str">
        <f aca="false">IFERROR(IF($B196="","",المنيو!$C196),"")</f>
        <v/>
      </c>
      <c r="E196" s="12" t="str">
        <f aca="false">IFERROR(IF(OR($B196="",$D196=0,$D196=""),"",$N196/$D196),"")</f>
        <v/>
      </c>
      <c r="F196" s="75" t="n">
        <f aca="false">$F$2</f>
        <v>0.375</v>
      </c>
      <c r="G196" s="13" t="str">
        <f aca="false">IFERROR(IF($B196="","",$N196/$F196),"")</f>
        <v/>
      </c>
      <c r="H196" s="13" t="str">
        <f aca="false">IFERROR(IF($B196="","",$D196-$N196),"")</f>
        <v/>
      </c>
      <c r="I196" s="12" t="str">
        <f aca="false">IFERROR(IF(OR($B196="",$D196=0,$D196=""),"",$H196/$D196),"")</f>
        <v/>
      </c>
      <c r="J196" s="75" t="n">
        <f aca="false">$J$2</f>
        <v>0.25</v>
      </c>
      <c r="K196" s="12" t="str">
        <f aca="false">IFERROR(IF($B196="","",$E196+$J196),"")</f>
        <v/>
      </c>
      <c r="L196" s="11" t="str">
        <f aca="false">IFERROR(IF(OR($B196="",$C196=0,$C196=""),"",$I196+ROW()*0.0000001),"")</f>
        <v/>
      </c>
      <c r="M196" s="76" t="n">
        <f aca="false">$M$2</f>
        <v>0.9319</v>
      </c>
      <c r="N196" s="13" t="str">
        <f aca="false">IFERROR(IF($B196="","",$C196+$M196),"")</f>
        <v/>
      </c>
    </row>
    <row r="197" customFormat="false" ht="15" hidden="false" customHeight="true" outlineLevel="0" collapsed="false">
      <c r="A197" s="69" t="str">
        <f aca="false">IFERROR(IF(المنيو!$B197="","",المنيو!$A197),"")</f>
        <v/>
      </c>
      <c r="B197" s="69" t="n">
        <f aca="false">IFERROR(المنيو!$B197,"")</f>
        <v>0</v>
      </c>
      <c r="C197" s="13" t="str">
        <f aca="false">IFERROR(IF($B197="","",SUMIFS(الريسبي!$F$2:$F$1800,الريسبي!$A$2:$A$1800,$B197)),"")</f>
        <v/>
      </c>
      <c r="D197" s="70" t="str">
        <f aca="false">IFERROR(IF($B197="","",المنيو!$C197),"")</f>
        <v/>
      </c>
      <c r="E197" s="12" t="str">
        <f aca="false">IFERROR(IF(OR($B197="",$D197=0,$D197=""),"",$N197/$D197),"")</f>
        <v/>
      </c>
      <c r="F197" s="75" t="n">
        <f aca="false">$F$2</f>
        <v>0.375</v>
      </c>
      <c r="G197" s="13" t="str">
        <f aca="false">IFERROR(IF($B197="","",$N197/$F197),"")</f>
        <v/>
      </c>
      <c r="H197" s="13" t="str">
        <f aca="false">IFERROR(IF($B197="","",$D197-$N197),"")</f>
        <v/>
      </c>
      <c r="I197" s="12" t="str">
        <f aca="false">IFERROR(IF(OR($B197="",$D197=0,$D197=""),"",$H197/$D197),"")</f>
        <v/>
      </c>
      <c r="J197" s="75" t="n">
        <f aca="false">$J$2</f>
        <v>0.25</v>
      </c>
      <c r="K197" s="12" t="str">
        <f aca="false">IFERROR(IF($B197="","",$E197+$J197),"")</f>
        <v/>
      </c>
      <c r="L197" s="11" t="str">
        <f aca="false">IFERROR(IF(OR($B197="",$C197=0,$C197=""),"",$I197+ROW()*0.0000001),"")</f>
        <v/>
      </c>
      <c r="M197" s="76" t="n">
        <f aca="false">$M$2</f>
        <v>0.9319</v>
      </c>
      <c r="N197" s="13" t="str">
        <f aca="false">IFERROR(IF($B197="","",$C197+$M197),"")</f>
        <v/>
      </c>
    </row>
    <row r="198" customFormat="false" ht="15" hidden="false" customHeight="true" outlineLevel="0" collapsed="false">
      <c r="A198" s="69" t="str">
        <f aca="false">IFERROR(IF(المنيو!$B198="","",المنيو!$A198),"")</f>
        <v/>
      </c>
      <c r="B198" s="69" t="n">
        <f aca="false">IFERROR(المنيو!$B198,"")</f>
        <v>0</v>
      </c>
      <c r="C198" s="13" t="str">
        <f aca="false">IFERROR(IF($B198="","",SUMIFS(الريسبي!$F$2:$F$1800,الريسبي!$A$2:$A$1800,$B198)),"")</f>
        <v/>
      </c>
      <c r="D198" s="70" t="str">
        <f aca="false">IFERROR(IF($B198="","",المنيو!$C198),"")</f>
        <v/>
      </c>
      <c r="E198" s="12" t="str">
        <f aca="false">IFERROR(IF(OR($B198="",$D198=0,$D198=""),"",$N198/$D198),"")</f>
        <v/>
      </c>
      <c r="F198" s="75" t="n">
        <f aca="false">$F$2</f>
        <v>0.375</v>
      </c>
      <c r="G198" s="13" t="str">
        <f aca="false">IFERROR(IF($B198="","",$N198/$F198),"")</f>
        <v/>
      </c>
      <c r="H198" s="13" t="str">
        <f aca="false">IFERROR(IF($B198="","",$D198-$N198),"")</f>
        <v/>
      </c>
      <c r="I198" s="12" t="str">
        <f aca="false">IFERROR(IF(OR($B198="",$D198=0,$D198=""),"",$H198/$D198),"")</f>
        <v/>
      </c>
      <c r="J198" s="75" t="n">
        <f aca="false">$J$2</f>
        <v>0.25</v>
      </c>
      <c r="K198" s="12" t="str">
        <f aca="false">IFERROR(IF($B198="","",$E198+$J198),"")</f>
        <v/>
      </c>
      <c r="L198" s="11" t="str">
        <f aca="false">IFERROR(IF(OR($B198="",$C198=0,$C198=""),"",$I198+ROW()*0.0000001),"")</f>
        <v/>
      </c>
      <c r="M198" s="76" t="n">
        <f aca="false">$M$2</f>
        <v>0.9319</v>
      </c>
      <c r="N198" s="13" t="str">
        <f aca="false">IFERROR(IF($B198="","",$C198+$M198),"")</f>
        <v/>
      </c>
    </row>
    <row r="199" customFormat="false" ht="15" hidden="false" customHeight="true" outlineLevel="0" collapsed="false">
      <c r="A199" s="69" t="str">
        <f aca="false">IFERROR(IF(المنيو!$B199="","",المنيو!$A199),"")</f>
        <v/>
      </c>
      <c r="B199" s="69" t="n">
        <f aca="false">IFERROR(المنيو!$B199,"")</f>
        <v>0</v>
      </c>
      <c r="C199" s="13" t="str">
        <f aca="false">IFERROR(IF($B199="","",SUMIFS(الريسبي!$F$2:$F$1800,الريسبي!$A$2:$A$1800,$B199)),"")</f>
        <v/>
      </c>
      <c r="D199" s="70" t="str">
        <f aca="false">IFERROR(IF($B199="","",المنيو!$C199),"")</f>
        <v/>
      </c>
      <c r="E199" s="12" t="str">
        <f aca="false">IFERROR(IF(OR($B199="",$D199=0,$D199=""),"",$N199/$D199),"")</f>
        <v/>
      </c>
      <c r="F199" s="75" t="n">
        <f aca="false">$F$2</f>
        <v>0.375</v>
      </c>
      <c r="G199" s="13" t="str">
        <f aca="false">IFERROR(IF($B199="","",$N199/$F199),"")</f>
        <v/>
      </c>
      <c r="H199" s="13" t="str">
        <f aca="false">IFERROR(IF($B199="","",$D199-$N199),"")</f>
        <v/>
      </c>
      <c r="I199" s="12" t="str">
        <f aca="false">IFERROR(IF(OR($B199="",$D199=0,$D199=""),"",$H199/$D199),"")</f>
        <v/>
      </c>
      <c r="J199" s="75" t="n">
        <f aca="false">$J$2</f>
        <v>0.25</v>
      </c>
      <c r="K199" s="12" t="str">
        <f aca="false">IFERROR(IF($B199="","",$E199+$J199),"")</f>
        <v/>
      </c>
      <c r="L199" s="11" t="str">
        <f aca="false">IFERROR(IF(OR($B199="",$C199=0,$C199=""),"",$I199+ROW()*0.0000001),"")</f>
        <v/>
      </c>
      <c r="M199" s="76" t="n">
        <f aca="false">$M$2</f>
        <v>0.9319</v>
      </c>
      <c r="N199" s="13" t="str">
        <f aca="false">IFERROR(IF($B199="","",$C199+$M199),"")</f>
        <v/>
      </c>
    </row>
    <row r="200" customFormat="false" ht="15" hidden="false" customHeight="true" outlineLevel="0" collapsed="false">
      <c r="A200" s="69" t="str">
        <f aca="false">IFERROR(IF(المنيو!$B200="","",المنيو!$A200),"")</f>
        <v/>
      </c>
      <c r="B200" s="69" t="n">
        <f aca="false">IFERROR(المنيو!$B200,"")</f>
        <v>0</v>
      </c>
      <c r="C200" s="13" t="str">
        <f aca="false">IFERROR(IF($B200="","",SUMIFS(الريسبي!$F$2:$F$1800,الريسبي!$A$2:$A$1800,$B200)),"")</f>
        <v/>
      </c>
      <c r="D200" s="70" t="str">
        <f aca="false">IFERROR(IF($B200="","",المنيو!$C200),"")</f>
        <v/>
      </c>
      <c r="E200" s="12" t="str">
        <f aca="false">IFERROR(IF(OR($B200="",$D200=0,$D200=""),"",$N200/$D200),"")</f>
        <v/>
      </c>
      <c r="F200" s="75" t="n">
        <f aca="false">$F$2</f>
        <v>0.375</v>
      </c>
      <c r="G200" s="13" t="str">
        <f aca="false">IFERROR(IF($B200="","",$N200/$F200),"")</f>
        <v/>
      </c>
      <c r="H200" s="13" t="str">
        <f aca="false">IFERROR(IF($B200="","",$D200-$N200),"")</f>
        <v/>
      </c>
      <c r="I200" s="12" t="str">
        <f aca="false">IFERROR(IF(OR($B200="",$D200=0,$D200=""),"",$H200/$D200),"")</f>
        <v/>
      </c>
      <c r="J200" s="75" t="n">
        <f aca="false">$J$2</f>
        <v>0.25</v>
      </c>
      <c r="K200" s="12" t="str">
        <f aca="false">IFERROR(IF($B200="","",$E200+$J200),"")</f>
        <v/>
      </c>
      <c r="L200" s="11" t="str">
        <f aca="false">IFERROR(IF(OR($B200="",$C200=0,$C200=""),"",$I200+ROW()*0.0000001),"")</f>
        <v/>
      </c>
      <c r="M200" s="76" t="n">
        <f aca="false">$M$2</f>
        <v>0.9319</v>
      </c>
      <c r="N200" s="13" t="str">
        <f aca="false">IFERROR(IF($B200="","",$C200+$M200),"")</f>
        <v/>
      </c>
    </row>
    <row r="201" customFormat="false" ht="15" hidden="false" customHeight="true" outlineLevel="0" collapsed="false">
      <c r="A201" s="69" t="str">
        <f aca="false">IFERROR(IF(المنيو!$B201="","",المنيو!$A201),"")</f>
        <v/>
      </c>
      <c r="B201" s="69" t="n">
        <f aca="false">IFERROR(المنيو!$B201,"")</f>
        <v>0</v>
      </c>
      <c r="C201" s="13" t="str">
        <f aca="false">IFERROR(IF($B201="","",SUMIFS(الريسبي!$F$2:$F$1800,الريسبي!$A$2:$A$1800,$B201)),"")</f>
        <v/>
      </c>
      <c r="D201" s="70" t="str">
        <f aca="false">IFERROR(IF($B201="","",المنيو!$C201),"")</f>
        <v/>
      </c>
      <c r="E201" s="12" t="str">
        <f aca="false">IFERROR(IF(OR($B201="",$D201=0,$D201=""),"",$N201/$D201),"")</f>
        <v/>
      </c>
      <c r="F201" s="75" t="n">
        <f aca="false">$F$2</f>
        <v>0.375</v>
      </c>
      <c r="G201" s="13" t="str">
        <f aca="false">IFERROR(IF($B201="","",$N201/$F201),"")</f>
        <v/>
      </c>
      <c r="H201" s="13" t="str">
        <f aca="false">IFERROR(IF($B201="","",$D201-$N201),"")</f>
        <v/>
      </c>
      <c r="I201" s="12" t="str">
        <f aca="false">IFERROR(IF(OR($B201="",$D201=0,$D201=""),"",$H201/$D201),"")</f>
        <v/>
      </c>
      <c r="J201" s="75" t="n">
        <f aca="false">$J$2</f>
        <v>0.25</v>
      </c>
      <c r="K201" s="12" t="str">
        <f aca="false">IFERROR(IF($B201="","",$E201+$J201),"")</f>
        <v/>
      </c>
      <c r="L201" s="11" t="str">
        <f aca="false">IFERROR(IF(OR($B201="",$C201=0,$C201=""),"",$I201+ROW()*0.0000001),"")</f>
        <v/>
      </c>
      <c r="M201" s="76" t="n">
        <f aca="false">$M$2</f>
        <v>0.9319</v>
      </c>
      <c r="N201" s="13" t="str">
        <f aca="false">IFERROR(IF($B201="","",$C201+$M201),"")</f>
        <v/>
      </c>
    </row>
    <row r="202" customFormat="false" ht="15" hidden="false" customHeight="true" outlineLevel="0" collapsed="false">
      <c r="A202" s="69" t="str">
        <f aca="false">IFERROR(IF(المنيو!$B202="","",المنيو!$A202),"")</f>
        <v/>
      </c>
      <c r="B202" s="69" t="n">
        <f aca="false">IFERROR(المنيو!$B202,"")</f>
        <v>0</v>
      </c>
      <c r="C202" s="13" t="str">
        <f aca="false">IFERROR(IF($B202="","",SUMIFS(الريسبي!$F$2:$F$1800,الريسبي!$A$2:$A$1800,$B202)),"")</f>
        <v/>
      </c>
      <c r="D202" s="70" t="str">
        <f aca="false">IFERROR(IF($B202="","",المنيو!$C202),"")</f>
        <v/>
      </c>
      <c r="E202" s="12" t="str">
        <f aca="false">IFERROR(IF(OR($B202="",$D202=0,$D202=""),"",$N202/$D202),"")</f>
        <v/>
      </c>
      <c r="F202" s="75" t="n">
        <f aca="false">$F$2</f>
        <v>0.375</v>
      </c>
      <c r="G202" s="13" t="str">
        <f aca="false">IFERROR(IF($B202="","",$N202/$F202),"")</f>
        <v/>
      </c>
      <c r="H202" s="13" t="str">
        <f aca="false">IFERROR(IF($B202="","",$D202-$N202),"")</f>
        <v/>
      </c>
      <c r="I202" s="12" t="str">
        <f aca="false">IFERROR(IF(OR($B202="",$D202=0,$D202=""),"",$H202/$D202),"")</f>
        <v/>
      </c>
      <c r="J202" s="75" t="n">
        <f aca="false">$J$2</f>
        <v>0.25</v>
      </c>
      <c r="K202" s="12" t="str">
        <f aca="false">IFERROR(IF($B202="","",$E202+$J202),"")</f>
        <v/>
      </c>
      <c r="L202" s="11" t="str">
        <f aca="false">IFERROR(IF(OR($B202="",$C202=0,$C202=""),"",$I202+ROW()*0.0000001),"")</f>
        <v/>
      </c>
      <c r="M202" s="76" t="n">
        <f aca="false">$M$2</f>
        <v>0.9319</v>
      </c>
      <c r="N202" s="13" t="str">
        <f aca="false">IFERROR(IF($B202="","",$C202+$M202),"")</f>
        <v/>
      </c>
    </row>
    <row r="203" customFormat="false" ht="15" hidden="false" customHeight="true" outlineLevel="0" collapsed="false">
      <c r="A203" s="69" t="str">
        <f aca="false">IFERROR(IF(المنيو!$B203="","",المنيو!$A203),"")</f>
        <v/>
      </c>
      <c r="B203" s="69" t="n">
        <f aca="false">IFERROR(المنيو!$B203,"")</f>
        <v>0</v>
      </c>
      <c r="C203" s="13" t="str">
        <f aca="false">IFERROR(IF($B203="","",SUMIFS(الريسبي!$F$2:$F$1800,الريسبي!$A$2:$A$1800,$B203)),"")</f>
        <v/>
      </c>
      <c r="D203" s="70" t="str">
        <f aca="false">IFERROR(IF($B203="","",المنيو!$C203),"")</f>
        <v/>
      </c>
      <c r="E203" s="12" t="str">
        <f aca="false">IFERROR(IF(OR($B203="",$D203=0,$D203=""),"",$N203/$D203),"")</f>
        <v/>
      </c>
      <c r="F203" s="75" t="n">
        <f aca="false">$F$2</f>
        <v>0.375</v>
      </c>
      <c r="G203" s="13" t="str">
        <f aca="false">IFERROR(IF($B203="","",$N203/$F203),"")</f>
        <v/>
      </c>
      <c r="H203" s="13" t="str">
        <f aca="false">IFERROR(IF($B203="","",$D203-$N203),"")</f>
        <v/>
      </c>
      <c r="I203" s="12" t="str">
        <f aca="false">IFERROR(IF(OR($B203="",$D203=0,$D203=""),"",$H203/$D203),"")</f>
        <v/>
      </c>
      <c r="J203" s="75" t="n">
        <f aca="false">$J$2</f>
        <v>0.25</v>
      </c>
      <c r="K203" s="12" t="str">
        <f aca="false">IFERROR(IF($B203="","",$E203+$J203),"")</f>
        <v/>
      </c>
      <c r="L203" s="11" t="str">
        <f aca="false">IFERROR(IF(OR($B203="",$C203=0,$C203=""),"",$I203+ROW()*0.0000001),"")</f>
        <v/>
      </c>
      <c r="M203" s="76" t="n">
        <f aca="false">$M$2</f>
        <v>0.9319</v>
      </c>
      <c r="N203" s="13" t="str">
        <f aca="false">IFERROR(IF($B203="","",$C203+$M203),"")</f>
        <v/>
      </c>
    </row>
    <row r="204" customFormat="false" ht="15" hidden="false" customHeight="true" outlineLevel="0" collapsed="false">
      <c r="A204" s="69" t="str">
        <f aca="false">IFERROR(IF(المنيو!$B204="","",المنيو!$A204),"")</f>
        <v/>
      </c>
      <c r="B204" s="69" t="n">
        <f aca="false">IFERROR(المنيو!$B204,"")</f>
        <v>0</v>
      </c>
      <c r="C204" s="13" t="str">
        <f aca="false">IFERROR(IF($B204="","",SUMIFS(الريسبي!$F$2:$F$1800,الريسبي!$A$2:$A$1800,$B204)),"")</f>
        <v/>
      </c>
      <c r="D204" s="70" t="str">
        <f aca="false">IFERROR(IF($B204="","",المنيو!$C204),"")</f>
        <v/>
      </c>
      <c r="E204" s="12" t="str">
        <f aca="false">IFERROR(IF(OR($B204="",$D204=0,$D204=""),"",$N204/$D204),"")</f>
        <v/>
      </c>
      <c r="F204" s="75" t="n">
        <f aca="false">$F$2</f>
        <v>0.375</v>
      </c>
      <c r="G204" s="13" t="str">
        <f aca="false">IFERROR(IF($B204="","",$N204/$F204),"")</f>
        <v/>
      </c>
      <c r="H204" s="13" t="str">
        <f aca="false">IFERROR(IF($B204="","",$D204-$N204),"")</f>
        <v/>
      </c>
      <c r="I204" s="12" t="str">
        <f aca="false">IFERROR(IF(OR($B204="",$D204=0,$D204=""),"",$H204/$D204),"")</f>
        <v/>
      </c>
      <c r="J204" s="75" t="n">
        <f aca="false">$J$2</f>
        <v>0.25</v>
      </c>
      <c r="K204" s="12" t="str">
        <f aca="false">IFERROR(IF($B204="","",$E204+$J204),"")</f>
        <v/>
      </c>
      <c r="L204" s="11" t="str">
        <f aca="false">IFERROR(IF(OR($B204="",$C204=0,$C204=""),"",$I204+ROW()*0.0000001),"")</f>
        <v/>
      </c>
      <c r="M204" s="76" t="n">
        <f aca="false">$M$2</f>
        <v>0.9319</v>
      </c>
      <c r="N204" s="13" t="str">
        <f aca="false">IFERROR(IF($B204="","",$C204+$M204),"")</f>
        <v/>
      </c>
    </row>
    <row r="205" customFormat="false" ht="15" hidden="false" customHeight="true" outlineLevel="0" collapsed="false">
      <c r="A205" s="69" t="str">
        <f aca="false">IFERROR(IF(المنيو!$B205="","",المنيو!$A205),"")</f>
        <v/>
      </c>
      <c r="B205" s="69" t="n">
        <f aca="false">IFERROR(المنيو!$B205,"")</f>
        <v>0</v>
      </c>
      <c r="C205" s="13" t="str">
        <f aca="false">IFERROR(IF($B205="","",SUMIFS(الريسبي!$F$2:$F$1800,الريسبي!$A$2:$A$1800,$B205)),"")</f>
        <v/>
      </c>
      <c r="D205" s="70" t="str">
        <f aca="false">IFERROR(IF($B205="","",المنيو!$C205),"")</f>
        <v/>
      </c>
      <c r="E205" s="12" t="str">
        <f aca="false">IFERROR(IF(OR($B205="",$D205=0,$D205=""),"",$N205/$D205),"")</f>
        <v/>
      </c>
      <c r="F205" s="75" t="n">
        <f aca="false">$F$2</f>
        <v>0.375</v>
      </c>
      <c r="G205" s="13" t="str">
        <f aca="false">IFERROR(IF($B205="","",$N205/$F205),"")</f>
        <v/>
      </c>
      <c r="H205" s="13" t="str">
        <f aca="false">IFERROR(IF($B205="","",$D205-$N205),"")</f>
        <v/>
      </c>
      <c r="I205" s="12" t="str">
        <f aca="false">IFERROR(IF(OR($B205="",$D205=0,$D205=""),"",$H205/$D205),"")</f>
        <v/>
      </c>
      <c r="J205" s="75" t="n">
        <f aca="false">$J$2</f>
        <v>0.25</v>
      </c>
      <c r="K205" s="12" t="str">
        <f aca="false">IFERROR(IF($B205="","",$E205+$J205),"")</f>
        <v/>
      </c>
      <c r="L205" s="11" t="str">
        <f aca="false">IFERROR(IF(OR($B205="",$C205=0,$C205=""),"",$I205+ROW()*0.0000001),"")</f>
        <v/>
      </c>
      <c r="M205" s="76" t="n">
        <f aca="false">$M$2</f>
        <v>0.9319</v>
      </c>
      <c r="N205" s="13" t="str">
        <f aca="false">IFERROR(IF($B205="","",$C205+$M205),"")</f>
        <v/>
      </c>
    </row>
    <row r="206" customFormat="false" ht="15" hidden="false" customHeight="true" outlineLevel="0" collapsed="false">
      <c r="A206" s="69" t="str">
        <f aca="false">IFERROR(IF(المنيو!$B206="","",المنيو!$A206),"")</f>
        <v/>
      </c>
      <c r="B206" s="69" t="n">
        <f aca="false">IFERROR(المنيو!$B206,"")</f>
        <v>0</v>
      </c>
      <c r="C206" s="13" t="str">
        <f aca="false">IFERROR(IF($B206="","",SUMIFS(الريسبي!$F$2:$F$1800,الريسبي!$A$2:$A$1800,$B206)),"")</f>
        <v/>
      </c>
      <c r="D206" s="70" t="str">
        <f aca="false">IFERROR(IF($B206="","",المنيو!$C206),"")</f>
        <v/>
      </c>
      <c r="E206" s="12" t="str">
        <f aca="false">IFERROR(IF(OR($B206="",$D206=0,$D206=""),"",$N206/$D206),"")</f>
        <v/>
      </c>
      <c r="F206" s="75" t="n">
        <f aca="false">$F$2</f>
        <v>0.375</v>
      </c>
      <c r="G206" s="13" t="str">
        <f aca="false">IFERROR(IF($B206="","",$N206/$F206),"")</f>
        <v/>
      </c>
      <c r="H206" s="13" t="str">
        <f aca="false">IFERROR(IF($B206="","",$D206-$N206),"")</f>
        <v/>
      </c>
      <c r="I206" s="12" t="str">
        <f aca="false">IFERROR(IF(OR($B206="",$D206=0,$D206=""),"",$H206/$D206),"")</f>
        <v/>
      </c>
      <c r="J206" s="75" t="n">
        <f aca="false">$J$2</f>
        <v>0.25</v>
      </c>
      <c r="K206" s="12" t="str">
        <f aca="false">IFERROR(IF($B206="","",$E206+$J206),"")</f>
        <v/>
      </c>
      <c r="L206" s="11" t="str">
        <f aca="false">IFERROR(IF(OR($B206="",$C206=0,$C206=""),"",$I206+ROW()*0.0000001),"")</f>
        <v/>
      </c>
      <c r="M206" s="76" t="n">
        <f aca="false">$M$2</f>
        <v>0.9319</v>
      </c>
      <c r="N206" s="13" t="str">
        <f aca="false">IFERROR(IF($B206="","",$C206+$M206),"")</f>
        <v/>
      </c>
    </row>
    <row r="207" customFormat="false" ht="15" hidden="false" customHeight="true" outlineLevel="0" collapsed="false">
      <c r="A207" s="69" t="str">
        <f aca="false">IFERROR(IF(المنيو!$B207="","",المنيو!$A207),"")</f>
        <v/>
      </c>
      <c r="B207" s="69" t="n">
        <f aca="false">IFERROR(المنيو!$B207,"")</f>
        <v>0</v>
      </c>
      <c r="C207" s="13" t="str">
        <f aca="false">IFERROR(IF($B207="","",SUMIFS(الريسبي!$F$2:$F$1800,الريسبي!$A$2:$A$1800,$B207)),"")</f>
        <v/>
      </c>
      <c r="D207" s="70" t="str">
        <f aca="false">IFERROR(IF($B207="","",المنيو!$C207),"")</f>
        <v/>
      </c>
      <c r="E207" s="12" t="str">
        <f aca="false">IFERROR(IF(OR($B207="",$D207=0,$D207=""),"",$N207/$D207),"")</f>
        <v/>
      </c>
      <c r="F207" s="75" t="n">
        <f aca="false">$F$2</f>
        <v>0.375</v>
      </c>
      <c r="G207" s="13" t="str">
        <f aca="false">IFERROR(IF($B207="","",$N207/$F207),"")</f>
        <v/>
      </c>
      <c r="H207" s="13" t="str">
        <f aca="false">IFERROR(IF($B207="","",$D207-$N207),"")</f>
        <v/>
      </c>
      <c r="I207" s="12" t="str">
        <f aca="false">IFERROR(IF(OR($B207="",$D207=0,$D207=""),"",$H207/$D207),"")</f>
        <v/>
      </c>
      <c r="J207" s="75" t="n">
        <f aca="false">$J$2</f>
        <v>0.25</v>
      </c>
      <c r="K207" s="12" t="str">
        <f aca="false">IFERROR(IF($B207="","",$E207+$J207),"")</f>
        <v/>
      </c>
      <c r="L207" s="11" t="str">
        <f aca="false">IFERROR(IF(OR($B207="",$C207=0,$C207=""),"",$I207+ROW()*0.0000001),"")</f>
        <v/>
      </c>
      <c r="M207" s="76" t="n">
        <f aca="false">$M$2</f>
        <v>0.9319</v>
      </c>
      <c r="N207" s="13" t="str">
        <f aca="false">IFERROR(IF($B207="","",$C207+$M207),"")</f>
        <v/>
      </c>
    </row>
    <row r="208" customFormat="false" ht="15" hidden="false" customHeight="true" outlineLevel="0" collapsed="false">
      <c r="A208" s="69" t="str">
        <f aca="false">IFERROR(IF(المنيو!$B208="","",المنيو!$A208),"")</f>
        <v/>
      </c>
      <c r="B208" s="69" t="n">
        <f aca="false">IFERROR(المنيو!$B208,"")</f>
        <v>0</v>
      </c>
      <c r="C208" s="13" t="str">
        <f aca="false">IFERROR(IF($B208="","",SUMIFS(الريسبي!$F$2:$F$1800,الريسبي!$A$2:$A$1800,$B208)),"")</f>
        <v/>
      </c>
      <c r="D208" s="70" t="str">
        <f aca="false">IFERROR(IF($B208="","",المنيو!$C208),"")</f>
        <v/>
      </c>
      <c r="E208" s="12" t="str">
        <f aca="false">IFERROR(IF(OR($B208="",$D208=0,$D208=""),"",$N208/$D208),"")</f>
        <v/>
      </c>
      <c r="F208" s="75" t="n">
        <f aca="false">$F$2</f>
        <v>0.375</v>
      </c>
      <c r="G208" s="13" t="str">
        <f aca="false">IFERROR(IF($B208="","",$N208/$F208),"")</f>
        <v/>
      </c>
      <c r="H208" s="13" t="str">
        <f aca="false">IFERROR(IF($B208="","",$D208-$N208),"")</f>
        <v/>
      </c>
      <c r="I208" s="12" t="str">
        <f aca="false">IFERROR(IF(OR($B208="",$D208=0,$D208=""),"",$H208/$D208),"")</f>
        <v/>
      </c>
      <c r="J208" s="75" t="n">
        <f aca="false">$J$2</f>
        <v>0.25</v>
      </c>
      <c r="K208" s="12" t="str">
        <f aca="false">IFERROR(IF($B208="","",$E208+$J208),"")</f>
        <v/>
      </c>
      <c r="L208" s="11" t="str">
        <f aca="false">IFERROR(IF(OR($B208="",$C208=0,$C208=""),"",$I208+ROW()*0.0000001),"")</f>
        <v/>
      </c>
      <c r="M208" s="76" t="n">
        <f aca="false">$M$2</f>
        <v>0.9319</v>
      </c>
      <c r="N208" s="13" t="str">
        <f aca="false">IFERROR(IF($B208="","",$C208+$M208),"")</f>
        <v/>
      </c>
    </row>
    <row r="209" customFormat="false" ht="15" hidden="false" customHeight="true" outlineLevel="0" collapsed="false">
      <c r="A209" s="69" t="str">
        <f aca="false">IFERROR(IF(المنيو!$B209="","",المنيو!$A209),"")</f>
        <v/>
      </c>
      <c r="B209" s="69" t="n">
        <f aca="false">IFERROR(المنيو!$B209,"")</f>
        <v>0</v>
      </c>
      <c r="C209" s="13" t="str">
        <f aca="false">IFERROR(IF($B209="","",SUMIFS(الريسبي!$F$2:$F$1800,الريسبي!$A$2:$A$1800,$B209)),"")</f>
        <v/>
      </c>
      <c r="D209" s="70" t="str">
        <f aca="false">IFERROR(IF($B209="","",المنيو!$C209),"")</f>
        <v/>
      </c>
      <c r="E209" s="12" t="str">
        <f aca="false">IFERROR(IF(OR($B209="",$D209=0,$D209=""),"",$N209/$D209),"")</f>
        <v/>
      </c>
      <c r="F209" s="75" t="n">
        <f aca="false">$F$2</f>
        <v>0.375</v>
      </c>
      <c r="G209" s="13" t="str">
        <f aca="false">IFERROR(IF($B209="","",$N209/$F209),"")</f>
        <v/>
      </c>
      <c r="H209" s="13" t="str">
        <f aca="false">IFERROR(IF($B209="","",$D209-$N209),"")</f>
        <v/>
      </c>
      <c r="I209" s="12" t="str">
        <f aca="false">IFERROR(IF(OR($B209="",$D209=0,$D209=""),"",$H209/$D209),"")</f>
        <v/>
      </c>
      <c r="J209" s="75" t="n">
        <f aca="false">$J$2</f>
        <v>0.25</v>
      </c>
      <c r="K209" s="12" t="str">
        <f aca="false">IFERROR(IF($B209="","",$E209+$J209),"")</f>
        <v/>
      </c>
      <c r="L209" s="11" t="str">
        <f aca="false">IFERROR(IF(OR($B209="",$C209=0,$C209=""),"",$I209+ROW()*0.0000001),"")</f>
        <v/>
      </c>
      <c r="M209" s="76" t="n">
        <f aca="false">$M$2</f>
        <v>0.9319</v>
      </c>
      <c r="N209" s="13" t="str">
        <f aca="false">IFERROR(IF($B209="","",$C209+$M209),"")</f>
        <v/>
      </c>
    </row>
    <row r="210" customFormat="false" ht="15" hidden="false" customHeight="true" outlineLevel="0" collapsed="false">
      <c r="A210" s="69" t="str">
        <f aca="false">IFERROR(IF(المنيو!$B210="","",المنيو!$A210),"")</f>
        <v/>
      </c>
      <c r="B210" s="69" t="n">
        <f aca="false">IFERROR(المنيو!$B210,"")</f>
        <v>0</v>
      </c>
      <c r="C210" s="13" t="str">
        <f aca="false">IFERROR(IF($B210="","",SUMIFS(الريسبي!$F$2:$F$1800,الريسبي!$A$2:$A$1800,$B210)),"")</f>
        <v/>
      </c>
      <c r="D210" s="70" t="str">
        <f aca="false">IFERROR(IF($B210="","",المنيو!$C210),"")</f>
        <v/>
      </c>
      <c r="E210" s="12" t="str">
        <f aca="false">IFERROR(IF(OR($B210="",$D210=0,$D210=""),"",$N210/$D210),"")</f>
        <v/>
      </c>
      <c r="F210" s="75" t="n">
        <f aca="false">$F$2</f>
        <v>0.375</v>
      </c>
      <c r="G210" s="13" t="str">
        <f aca="false">IFERROR(IF($B210="","",$N210/$F210),"")</f>
        <v/>
      </c>
      <c r="H210" s="13" t="str">
        <f aca="false">IFERROR(IF($B210="","",$D210-$N210),"")</f>
        <v/>
      </c>
      <c r="I210" s="12" t="str">
        <f aca="false">IFERROR(IF(OR($B210="",$D210=0,$D210=""),"",$H210/$D210),"")</f>
        <v/>
      </c>
      <c r="J210" s="75" t="n">
        <f aca="false">$J$2</f>
        <v>0.25</v>
      </c>
      <c r="K210" s="12" t="str">
        <f aca="false">IFERROR(IF($B210="","",$E210+$J210),"")</f>
        <v/>
      </c>
      <c r="L210" s="11" t="str">
        <f aca="false">IFERROR(IF(OR($B210="",$C210=0,$C210=""),"",$I210+ROW()*0.0000001),"")</f>
        <v/>
      </c>
      <c r="M210" s="76" t="n">
        <f aca="false">$M$2</f>
        <v>0.9319</v>
      </c>
      <c r="N210" s="13" t="str">
        <f aca="false">IFERROR(IF($B210="","",$C210+$M210),"")</f>
        <v/>
      </c>
    </row>
    <row r="211" customFormat="false" ht="15" hidden="false" customHeight="true" outlineLevel="0" collapsed="false">
      <c r="A211" s="69" t="str">
        <f aca="false">IFERROR(IF(المنيو!$B211="","",المنيو!$A211),"")</f>
        <v/>
      </c>
      <c r="B211" s="69" t="n">
        <f aca="false">IFERROR(المنيو!$B211,"")</f>
        <v>0</v>
      </c>
      <c r="C211" s="13" t="str">
        <f aca="false">IFERROR(IF($B211="","",SUMIFS(الريسبي!$F$2:$F$1800,الريسبي!$A$2:$A$1800,$B211)),"")</f>
        <v/>
      </c>
      <c r="D211" s="70" t="str">
        <f aca="false">IFERROR(IF($B211="","",المنيو!$C211),"")</f>
        <v/>
      </c>
      <c r="E211" s="12" t="str">
        <f aca="false">IFERROR(IF(OR($B211="",$D211=0,$D211=""),"",$N211/$D211),"")</f>
        <v/>
      </c>
      <c r="F211" s="75" t="n">
        <f aca="false">$F$2</f>
        <v>0.375</v>
      </c>
      <c r="G211" s="13" t="str">
        <f aca="false">IFERROR(IF($B211="","",$N211/$F211),"")</f>
        <v/>
      </c>
      <c r="H211" s="13" t="str">
        <f aca="false">IFERROR(IF($B211="","",$D211-$N211),"")</f>
        <v/>
      </c>
      <c r="I211" s="12" t="str">
        <f aca="false">IFERROR(IF(OR($B211="",$D211=0,$D211=""),"",$H211/$D211),"")</f>
        <v/>
      </c>
      <c r="J211" s="75" t="n">
        <f aca="false">$J$2</f>
        <v>0.25</v>
      </c>
      <c r="K211" s="12" t="str">
        <f aca="false">IFERROR(IF($B211="","",$E211+$J211),"")</f>
        <v/>
      </c>
      <c r="L211" s="11" t="str">
        <f aca="false">IFERROR(IF(OR($B211="",$C211=0,$C211=""),"",$I211+ROW()*0.0000001),"")</f>
        <v/>
      </c>
      <c r="M211" s="76" t="n">
        <f aca="false">$M$2</f>
        <v>0.9319</v>
      </c>
      <c r="N211" s="13" t="str">
        <f aca="false">IFERROR(IF($B211="","",$C211+$M211),"")</f>
        <v/>
      </c>
    </row>
    <row r="212" customFormat="false" ht="15" hidden="false" customHeight="true" outlineLevel="0" collapsed="false">
      <c r="A212" s="69" t="str">
        <f aca="false">IFERROR(IF(المنيو!$B212="","",المنيو!$A212),"")</f>
        <v/>
      </c>
      <c r="B212" s="69" t="n">
        <f aca="false">IFERROR(المنيو!$B212,"")</f>
        <v>0</v>
      </c>
      <c r="C212" s="13" t="str">
        <f aca="false">IFERROR(IF($B212="","",SUMIFS(الريسبي!$F$2:$F$1800,الريسبي!$A$2:$A$1800,$B212)),"")</f>
        <v/>
      </c>
      <c r="D212" s="70" t="str">
        <f aca="false">IFERROR(IF($B212="","",المنيو!$C212),"")</f>
        <v/>
      </c>
      <c r="E212" s="12" t="str">
        <f aca="false">IFERROR(IF(OR($B212="",$D212=0,$D212=""),"",$N212/$D212),"")</f>
        <v/>
      </c>
      <c r="F212" s="75" t="n">
        <f aca="false">$F$2</f>
        <v>0.375</v>
      </c>
      <c r="G212" s="13" t="str">
        <f aca="false">IFERROR(IF($B212="","",$N212/$F212),"")</f>
        <v/>
      </c>
      <c r="H212" s="13" t="str">
        <f aca="false">IFERROR(IF($B212="","",$D212-$N212),"")</f>
        <v/>
      </c>
      <c r="I212" s="12" t="str">
        <f aca="false">IFERROR(IF(OR($B212="",$D212=0,$D212=""),"",$H212/$D212),"")</f>
        <v/>
      </c>
      <c r="J212" s="75" t="n">
        <f aca="false">$J$2</f>
        <v>0.25</v>
      </c>
      <c r="K212" s="12" t="str">
        <f aca="false">IFERROR(IF($B212="","",$E212+$J212),"")</f>
        <v/>
      </c>
      <c r="L212" s="11" t="str">
        <f aca="false">IFERROR(IF(OR($B212="",$C212=0,$C212=""),"",$I212+ROW()*0.0000001),"")</f>
        <v/>
      </c>
      <c r="M212" s="76" t="n">
        <f aca="false">$M$2</f>
        <v>0.9319</v>
      </c>
      <c r="N212" s="13" t="str">
        <f aca="false">IFERROR(IF($B212="","",$C212+$M212),"")</f>
        <v/>
      </c>
    </row>
    <row r="213" customFormat="false" ht="15" hidden="false" customHeight="true" outlineLevel="0" collapsed="false">
      <c r="A213" s="69" t="str">
        <f aca="false">IFERROR(IF(المنيو!$B213="","",المنيو!$A213),"")</f>
        <v/>
      </c>
      <c r="B213" s="69" t="n">
        <f aca="false">IFERROR(المنيو!$B213,"")</f>
        <v>0</v>
      </c>
      <c r="C213" s="13" t="str">
        <f aca="false">IFERROR(IF($B213="","",SUMIFS(الريسبي!$F$2:$F$1800,الريسبي!$A$2:$A$1800,$B213)),"")</f>
        <v/>
      </c>
      <c r="D213" s="70" t="str">
        <f aca="false">IFERROR(IF($B213="","",المنيو!$C213),"")</f>
        <v/>
      </c>
      <c r="E213" s="12" t="str">
        <f aca="false">IFERROR(IF(OR($B213="",$D213=0,$D213=""),"",$N213/$D213),"")</f>
        <v/>
      </c>
      <c r="F213" s="75" t="n">
        <f aca="false">$F$2</f>
        <v>0.375</v>
      </c>
      <c r="G213" s="13" t="str">
        <f aca="false">IFERROR(IF($B213="","",$N213/$F213),"")</f>
        <v/>
      </c>
      <c r="H213" s="13" t="str">
        <f aca="false">IFERROR(IF($B213="","",$D213-$N213),"")</f>
        <v/>
      </c>
      <c r="I213" s="12" t="str">
        <f aca="false">IFERROR(IF(OR($B213="",$D213=0,$D213=""),"",$H213/$D213),"")</f>
        <v/>
      </c>
      <c r="J213" s="75" t="n">
        <f aca="false">$J$2</f>
        <v>0.25</v>
      </c>
      <c r="K213" s="12" t="str">
        <f aca="false">IFERROR(IF($B213="","",$E213+$J213),"")</f>
        <v/>
      </c>
      <c r="L213" s="11" t="str">
        <f aca="false">IFERROR(IF(OR($B213="",$C213=0,$C213=""),"",$I213+ROW()*0.0000001),"")</f>
        <v/>
      </c>
      <c r="M213" s="76" t="n">
        <f aca="false">$M$2</f>
        <v>0.9319</v>
      </c>
      <c r="N213" s="13" t="str">
        <f aca="false">IFERROR(IF($B213="","",$C213+$M213),"")</f>
        <v/>
      </c>
    </row>
    <row r="214" customFormat="false" ht="15" hidden="false" customHeight="true" outlineLevel="0" collapsed="false">
      <c r="A214" s="69" t="str">
        <f aca="false">IFERROR(IF(المنيو!$B214="","",المنيو!$A214),"")</f>
        <v/>
      </c>
      <c r="B214" s="69" t="n">
        <f aca="false">IFERROR(المنيو!$B214,"")</f>
        <v>0</v>
      </c>
      <c r="C214" s="13" t="str">
        <f aca="false">IFERROR(IF($B214="","",SUMIFS(الريسبي!$F$2:$F$1800,الريسبي!$A$2:$A$1800,$B214)),"")</f>
        <v/>
      </c>
      <c r="D214" s="70" t="str">
        <f aca="false">IFERROR(IF($B214="","",المنيو!$C214),"")</f>
        <v/>
      </c>
      <c r="E214" s="12" t="str">
        <f aca="false">IFERROR(IF(OR($B214="",$D214=0,$D214=""),"",$N214/$D214),"")</f>
        <v/>
      </c>
      <c r="F214" s="75" t="n">
        <f aca="false">$F$2</f>
        <v>0.375</v>
      </c>
      <c r="G214" s="13" t="str">
        <f aca="false">IFERROR(IF($B214="","",$N214/$F214),"")</f>
        <v/>
      </c>
      <c r="H214" s="13" t="str">
        <f aca="false">IFERROR(IF($B214="","",$D214-$N214),"")</f>
        <v/>
      </c>
      <c r="I214" s="12" t="str">
        <f aca="false">IFERROR(IF(OR($B214="",$D214=0,$D214=""),"",$H214/$D214),"")</f>
        <v/>
      </c>
      <c r="J214" s="75" t="n">
        <f aca="false">$J$2</f>
        <v>0.25</v>
      </c>
      <c r="K214" s="12" t="str">
        <f aca="false">IFERROR(IF($B214="","",$E214+$J214),"")</f>
        <v/>
      </c>
      <c r="L214" s="11" t="str">
        <f aca="false">IFERROR(IF(OR($B214="",$C214=0,$C214=""),"",$I214+ROW()*0.0000001),"")</f>
        <v/>
      </c>
      <c r="M214" s="76" t="n">
        <f aca="false">$M$2</f>
        <v>0.9319</v>
      </c>
      <c r="N214" s="13" t="str">
        <f aca="false">IFERROR(IF($B214="","",$C214+$M214),"")</f>
        <v/>
      </c>
    </row>
    <row r="215" customFormat="false" ht="15" hidden="false" customHeight="true" outlineLevel="0" collapsed="false">
      <c r="A215" s="69" t="str">
        <f aca="false">IFERROR(IF(المنيو!$B215="","",المنيو!$A215),"")</f>
        <v/>
      </c>
      <c r="B215" s="69" t="n">
        <f aca="false">IFERROR(المنيو!$B215,"")</f>
        <v>0</v>
      </c>
      <c r="C215" s="13" t="str">
        <f aca="false">IFERROR(IF($B215="","",SUMIFS(الريسبي!$F$2:$F$1800,الريسبي!$A$2:$A$1800,$B215)),"")</f>
        <v/>
      </c>
      <c r="D215" s="70" t="str">
        <f aca="false">IFERROR(IF($B215="","",المنيو!$C215),"")</f>
        <v/>
      </c>
      <c r="E215" s="12" t="str">
        <f aca="false">IFERROR(IF(OR($B215="",$D215=0,$D215=""),"",$N215/$D215),"")</f>
        <v/>
      </c>
      <c r="F215" s="75" t="n">
        <f aca="false">$F$2</f>
        <v>0.375</v>
      </c>
      <c r="G215" s="13" t="str">
        <f aca="false">IFERROR(IF($B215="","",$N215/$F215),"")</f>
        <v/>
      </c>
      <c r="H215" s="13" t="str">
        <f aca="false">IFERROR(IF($B215="","",$D215-$N215),"")</f>
        <v/>
      </c>
      <c r="I215" s="12" t="str">
        <f aca="false">IFERROR(IF(OR($B215="",$D215=0,$D215=""),"",$H215/$D215),"")</f>
        <v/>
      </c>
      <c r="J215" s="75" t="n">
        <f aca="false">$J$2</f>
        <v>0.25</v>
      </c>
      <c r="K215" s="12" t="str">
        <f aca="false">IFERROR(IF($B215="","",$E215+$J215),"")</f>
        <v/>
      </c>
      <c r="L215" s="11" t="str">
        <f aca="false">IFERROR(IF(OR($B215="",$C215=0,$C215=""),"",$I215+ROW()*0.0000001),"")</f>
        <v/>
      </c>
      <c r="M215" s="76" t="n">
        <f aca="false">$M$2</f>
        <v>0.9319</v>
      </c>
      <c r="N215" s="13" t="str">
        <f aca="false">IFERROR(IF($B215="","",$C215+$M215),"")</f>
        <v/>
      </c>
    </row>
    <row r="216" customFormat="false" ht="15" hidden="false" customHeight="true" outlineLevel="0" collapsed="false">
      <c r="A216" s="69" t="str">
        <f aca="false">IFERROR(IF(المنيو!$B216="","",المنيو!$A216),"")</f>
        <v/>
      </c>
      <c r="B216" s="69" t="n">
        <f aca="false">IFERROR(المنيو!$B216,"")</f>
        <v>0</v>
      </c>
      <c r="C216" s="13" t="str">
        <f aca="false">IFERROR(IF($B216="","",SUMIFS(الريسبي!$F$2:$F$1800,الريسبي!$A$2:$A$1800,$B216)),"")</f>
        <v/>
      </c>
      <c r="D216" s="70" t="str">
        <f aca="false">IFERROR(IF($B216="","",المنيو!$C216),"")</f>
        <v/>
      </c>
      <c r="E216" s="12" t="str">
        <f aca="false">IFERROR(IF(OR($B216="",$D216=0,$D216=""),"",$N216/$D216),"")</f>
        <v/>
      </c>
      <c r="F216" s="75" t="n">
        <f aca="false">$F$2</f>
        <v>0.375</v>
      </c>
      <c r="G216" s="13" t="str">
        <f aca="false">IFERROR(IF($B216="","",$N216/$F216),"")</f>
        <v/>
      </c>
      <c r="H216" s="13" t="str">
        <f aca="false">IFERROR(IF($B216="","",$D216-$N216),"")</f>
        <v/>
      </c>
      <c r="I216" s="12" t="str">
        <f aca="false">IFERROR(IF(OR($B216="",$D216=0,$D216=""),"",$H216/$D216),"")</f>
        <v/>
      </c>
      <c r="J216" s="75" t="n">
        <f aca="false">$J$2</f>
        <v>0.25</v>
      </c>
      <c r="K216" s="12" t="str">
        <f aca="false">IFERROR(IF($B216="","",$E216+$J216),"")</f>
        <v/>
      </c>
      <c r="L216" s="11" t="str">
        <f aca="false">IFERROR(IF(OR($B216="",$C216=0,$C216=""),"",$I216+ROW()*0.0000001),"")</f>
        <v/>
      </c>
      <c r="M216" s="76" t="n">
        <f aca="false">$M$2</f>
        <v>0.9319</v>
      </c>
      <c r="N216" s="13" t="str">
        <f aca="false">IFERROR(IF($B216="","",$C216+$M216),"")</f>
        <v/>
      </c>
    </row>
    <row r="217" customFormat="false" ht="15" hidden="false" customHeight="true" outlineLevel="0" collapsed="false">
      <c r="A217" s="69" t="str">
        <f aca="false">IFERROR(IF(المنيو!$B217="","",المنيو!$A217),"")</f>
        <v/>
      </c>
      <c r="B217" s="69" t="n">
        <f aca="false">IFERROR(المنيو!$B217,"")</f>
        <v>0</v>
      </c>
      <c r="C217" s="13" t="str">
        <f aca="false">IFERROR(IF($B217="","",SUMIFS(الريسبي!$F$2:$F$1800,الريسبي!$A$2:$A$1800,$B217)),"")</f>
        <v/>
      </c>
      <c r="D217" s="70" t="str">
        <f aca="false">IFERROR(IF($B217="","",المنيو!$C217),"")</f>
        <v/>
      </c>
      <c r="E217" s="12" t="str">
        <f aca="false">IFERROR(IF(OR($B217="",$D217=0,$D217=""),"",$N217/$D217),"")</f>
        <v/>
      </c>
      <c r="F217" s="75" t="n">
        <f aca="false">$F$2</f>
        <v>0.375</v>
      </c>
      <c r="G217" s="13" t="str">
        <f aca="false">IFERROR(IF($B217="","",$N217/$F217),"")</f>
        <v/>
      </c>
      <c r="H217" s="13" t="str">
        <f aca="false">IFERROR(IF($B217="","",$D217-$N217),"")</f>
        <v/>
      </c>
      <c r="I217" s="12" t="str">
        <f aca="false">IFERROR(IF(OR($B217="",$D217=0,$D217=""),"",$H217/$D217),"")</f>
        <v/>
      </c>
      <c r="J217" s="75" t="n">
        <f aca="false">$J$2</f>
        <v>0.25</v>
      </c>
      <c r="K217" s="12" t="str">
        <f aca="false">IFERROR(IF($B217="","",$E217+$J217),"")</f>
        <v/>
      </c>
      <c r="L217" s="11" t="str">
        <f aca="false">IFERROR(IF(OR($B217="",$C217=0,$C217=""),"",$I217+ROW()*0.0000001),"")</f>
        <v/>
      </c>
      <c r="M217" s="76" t="n">
        <f aca="false">$M$2</f>
        <v>0.9319</v>
      </c>
      <c r="N217" s="13" t="str">
        <f aca="false">IFERROR(IF($B217="","",$C217+$M217),"")</f>
        <v/>
      </c>
    </row>
    <row r="218" customFormat="false" ht="15" hidden="false" customHeight="true" outlineLevel="0" collapsed="false">
      <c r="A218" s="69" t="str">
        <f aca="false">IFERROR(IF(المنيو!$B218="","",المنيو!$A218),"")</f>
        <v/>
      </c>
      <c r="B218" s="69" t="n">
        <f aca="false">IFERROR(المنيو!$B218,"")</f>
        <v>0</v>
      </c>
      <c r="C218" s="13" t="str">
        <f aca="false">IFERROR(IF($B218="","",SUMIFS(الريسبي!$F$2:$F$1800,الريسبي!$A$2:$A$1800,$B218)),"")</f>
        <v/>
      </c>
      <c r="D218" s="70" t="str">
        <f aca="false">IFERROR(IF($B218="","",المنيو!$C218),"")</f>
        <v/>
      </c>
      <c r="E218" s="12" t="str">
        <f aca="false">IFERROR(IF(OR($B218="",$D218=0,$D218=""),"",$N218/$D218),"")</f>
        <v/>
      </c>
      <c r="F218" s="75" t="n">
        <f aca="false">$F$2</f>
        <v>0.375</v>
      </c>
      <c r="G218" s="13" t="str">
        <f aca="false">IFERROR(IF($B218="","",$N218/$F218),"")</f>
        <v/>
      </c>
      <c r="H218" s="13" t="str">
        <f aca="false">IFERROR(IF($B218="","",$D218-$N218),"")</f>
        <v/>
      </c>
      <c r="I218" s="12" t="str">
        <f aca="false">IFERROR(IF(OR($B218="",$D218=0,$D218=""),"",$H218/$D218),"")</f>
        <v/>
      </c>
      <c r="J218" s="75" t="n">
        <f aca="false">$J$2</f>
        <v>0.25</v>
      </c>
      <c r="K218" s="12" t="str">
        <f aca="false">IFERROR(IF($B218="","",$E218+$J218),"")</f>
        <v/>
      </c>
      <c r="L218" s="11" t="str">
        <f aca="false">IFERROR(IF(OR($B218="",$C218=0,$C218=""),"",$I218+ROW()*0.0000001),"")</f>
        <v/>
      </c>
      <c r="M218" s="76" t="n">
        <f aca="false">$M$2</f>
        <v>0.9319</v>
      </c>
      <c r="N218" s="13" t="str">
        <f aca="false">IFERROR(IF($B218="","",$C218+$M218),"")</f>
        <v/>
      </c>
    </row>
    <row r="219" customFormat="false" ht="15" hidden="false" customHeight="true" outlineLevel="0" collapsed="false">
      <c r="A219" s="69" t="str">
        <f aca="false">IFERROR(IF(المنيو!$B219="","",المنيو!$A219),"")</f>
        <v/>
      </c>
      <c r="B219" s="69" t="n">
        <f aca="false">IFERROR(المنيو!$B219,"")</f>
        <v>0</v>
      </c>
      <c r="C219" s="13" t="str">
        <f aca="false">IFERROR(IF($B219="","",SUMIFS(الريسبي!$F$2:$F$1800,الريسبي!$A$2:$A$1800,$B219)),"")</f>
        <v/>
      </c>
      <c r="D219" s="70" t="str">
        <f aca="false">IFERROR(IF($B219="","",المنيو!$C219),"")</f>
        <v/>
      </c>
      <c r="E219" s="12" t="str">
        <f aca="false">IFERROR(IF(OR($B219="",$D219=0,$D219=""),"",$N219/$D219),"")</f>
        <v/>
      </c>
      <c r="F219" s="75" t="n">
        <f aca="false">$F$2</f>
        <v>0.375</v>
      </c>
      <c r="G219" s="13" t="str">
        <f aca="false">IFERROR(IF($B219="","",$N219/$F219),"")</f>
        <v/>
      </c>
      <c r="H219" s="13" t="str">
        <f aca="false">IFERROR(IF($B219="","",$D219-$N219),"")</f>
        <v/>
      </c>
      <c r="I219" s="12" t="str">
        <f aca="false">IFERROR(IF(OR($B219="",$D219=0,$D219=""),"",$H219/$D219),"")</f>
        <v/>
      </c>
      <c r="J219" s="75" t="n">
        <f aca="false">$J$2</f>
        <v>0.25</v>
      </c>
      <c r="K219" s="12" t="str">
        <f aca="false">IFERROR(IF($B219="","",$E219+$J219),"")</f>
        <v/>
      </c>
      <c r="L219" s="11" t="str">
        <f aca="false">IFERROR(IF(OR($B219="",$C219=0,$C219=""),"",$I219+ROW()*0.0000001),"")</f>
        <v/>
      </c>
      <c r="M219" s="76" t="n">
        <f aca="false">$M$2</f>
        <v>0.9319</v>
      </c>
      <c r="N219" s="13" t="str">
        <f aca="false">IFERROR(IF($B219="","",$C219+$M219),"")</f>
        <v/>
      </c>
    </row>
    <row r="220" customFormat="false" ht="15" hidden="false" customHeight="true" outlineLevel="0" collapsed="false">
      <c r="A220" s="69" t="str">
        <f aca="false">IFERROR(IF(المنيو!$B220="","",المنيو!$A220),"")</f>
        <v/>
      </c>
      <c r="B220" s="69" t="n">
        <f aca="false">IFERROR(المنيو!$B220,"")</f>
        <v>0</v>
      </c>
      <c r="C220" s="13" t="str">
        <f aca="false">IFERROR(IF($B220="","",SUMIFS(الريسبي!$F$2:$F$1800,الريسبي!$A$2:$A$1800,$B220)),"")</f>
        <v/>
      </c>
      <c r="D220" s="70" t="str">
        <f aca="false">IFERROR(IF($B220="","",المنيو!$C220),"")</f>
        <v/>
      </c>
      <c r="E220" s="12" t="str">
        <f aca="false">IFERROR(IF(OR($B220="",$D220=0,$D220=""),"",$N220/$D220),"")</f>
        <v/>
      </c>
      <c r="F220" s="75" t="n">
        <f aca="false">$F$2</f>
        <v>0.375</v>
      </c>
      <c r="G220" s="13" t="str">
        <f aca="false">IFERROR(IF($B220="","",$N220/$F220),"")</f>
        <v/>
      </c>
      <c r="H220" s="13" t="str">
        <f aca="false">IFERROR(IF($B220="","",$D220-$N220),"")</f>
        <v/>
      </c>
      <c r="I220" s="12" t="str">
        <f aca="false">IFERROR(IF(OR($B220="",$D220=0,$D220=""),"",$H220/$D220),"")</f>
        <v/>
      </c>
      <c r="J220" s="75" t="n">
        <f aca="false">$J$2</f>
        <v>0.25</v>
      </c>
      <c r="K220" s="12" t="str">
        <f aca="false">IFERROR(IF($B220="","",$E220+$J220),"")</f>
        <v/>
      </c>
      <c r="L220" s="11" t="str">
        <f aca="false">IFERROR(IF(OR($B220="",$C220=0,$C220=""),"",$I220+ROW()*0.0000001),"")</f>
        <v/>
      </c>
      <c r="M220" s="76" t="n">
        <f aca="false">$M$2</f>
        <v>0.9319</v>
      </c>
      <c r="N220" s="13" t="str">
        <f aca="false">IFERROR(IF($B220="","",$C220+$M220),"")</f>
        <v/>
      </c>
    </row>
    <row r="221" customFormat="false" ht="15" hidden="false" customHeight="true" outlineLevel="0" collapsed="false">
      <c r="A221" s="69" t="str">
        <f aca="false">IFERROR(IF(المنيو!$B221="","",المنيو!$A221),"")</f>
        <v/>
      </c>
      <c r="B221" s="69" t="n">
        <f aca="false">IFERROR(المنيو!$B221,"")</f>
        <v>0</v>
      </c>
      <c r="C221" s="13" t="str">
        <f aca="false">IFERROR(IF($B221="","",SUMIFS(الريسبي!$F$2:$F$1800,الريسبي!$A$2:$A$1800,$B221)),"")</f>
        <v/>
      </c>
      <c r="D221" s="70" t="str">
        <f aca="false">IFERROR(IF($B221="","",المنيو!$C221),"")</f>
        <v/>
      </c>
      <c r="E221" s="12" t="str">
        <f aca="false">IFERROR(IF(OR($B221="",$D221=0,$D221=""),"",$N221/$D221),"")</f>
        <v/>
      </c>
      <c r="F221" s="75" t="n">
        <f aca="false">$F$2</f>
        <v>0.375</v>
      </c>
      <c r="G221" s="13" t="str">
        <f aca="false">IFERROR(IF($B221="","",$N221/$F221),"")</f>
        <v/>
      </c>
      <c r="H221" s="13" t="str">
        <f aca="false">IFERROR(IF($B221="","",$D221-$N221),"")</f>
        <v/>
      </c>
      <c r="I221" s="12" t="str">
        <f aca="false">IFERROR(IF(OR($B221="",$D221=0,$D221=""),"",$H221/$D221),"")</f>
        <v/>
      </c>
      <c r="J221" s="75" t="n">
        <f aca="false">$J$2</f>
        <v>0.25</v>
      </c>
      <c r="K221" s="12" t="str">
        <f aca="false">IFERROR(IF($B221="","",$E221+$J221),"")</f>
        <v/>
      </c>
      <c r="L221" s="11" t="str">
        <f aca="false">IFERROR(IF(OR($B221="",$C221=0,$C221=""),"",$I221+ROW()*0.0000001),"")</f>
        <v/>
      </c>
      <c r="M221" s="76" t="n">
        <f aca="false">$M$2</f>
        <v>0.9319</v>
      </c>
      <c r="N221" s="13" t="str">
        <f aca="false">IFERROR(IF($B221="","",$C221+$M221),"")</f>
        <v/>
      </c>
    </row>
    <row r="222" customFormat="false" ht="15" hidden="false" customHeight="true" outlineLevel="0" collapsed="false">
      <c r="A222" s="69" t="str">
        <f aca="false">IFERROR(IF(المنيو!$B222="","",المنيو!$A222),"")</f>
        <v/>
      </c>
      <c r="B222" s="69" t="n">
        <f aca="false">IFERROR(المنيو!$B222,"")</f>
        <v>0</v>
      </c>
      <c r="C222" s="13" t="str">
        <f aca="false">IFERROR(IF($B222="","",SUMIFS(الريسبي!$F$2:$F$1800,الريسبي!$A$2:$A$1800,$B222)),"")</f>
        <v/>
      </c>
      <c r="D222" s="70" t="str">
        <f aca="false">IFERROR(IF($B222="","",المنيو!$C222),"")</f>
        <v/>
      </c>
      <c r="E222" s="12" t="str">
        <f aca="false">IFERROR(IF(OR($B222="",$D222=0,$D222=""),"",$N222/$D222),"")</f>
        <v/>
      </c>
      <c r="F222" s="75" t="n">
        <f aca="false">$F$2</f>
        <v>0.375</v>
      </c>
      <c r="G222" s="13" t="str">
        <f aca="false">IFERROR(IF($B222="","",$N222/$F222),"")</f>
        <v/>
      </c>
      <c r="H222" s="13" t="str">
        <f aca="false">IFERROR(IF($B222="","",$D222-$N222),"")</f>
        <v/>
      </c>
      <c r="I222" s="12" t="str">
        <f aca="false">IFERROR(IF(OR($B222="",$D222=0,$D222=""),"",$H222/$D222),"")</f>
        <v/>
      </c>
      <c r="J222" s="75" t="n">
        <f aca="false">$J$2</f>
        <v>0.25</v>
      </c>
      <c r="K222" s="12" t="str">
        <f aca="false">IFERROR(IF($B222="","",$E222+$J222),"")</f>
        <v/>
      </c>
      <c r="L222" s="11" t="str">
        <f aca="false">IFERROR(IF(OR($B222="",$C222=0,$C222=""),"",$I222+ROW()*0.0000001),"")</f>
        <v/>
      </c>
      <c r="M222" s="76" t="n">
        <f aca="false">$M$2</f>
        <v>0.9319</v>
      </c>
      <c r="N222" s="13" t="str">
        <f aca="false">IFERROR(IF($B222="","",$C222+$M222),"")</f>
        <v/>
      </c>
    </row>
    <row r="223" customFormat="false" ht="15" hidden="false" customHeight="true" outlineLevel="0" collapsed="false">
      <c r="A223" s="69" t="str">
        <f aca="false">IFERROR(IF(المنيو!$B223="","",المنيو!$A223),"")</f>
        <v/>
      </c>
      <c r="B223" s="69" t="n">
        <f aca="false">IFERROR(المنيو!$B223,"")</f>
        <v>0</v>
      </c>
      <c r="C223" s="13" t="str">
        <f aca="false">IFERROR(IF($B223="","",SUMIFS(الريسبي!$F$2:$F$1800,الريسبي!$A$2:$A$1800,$B223)),"")</f>
        <v/>
      </c>
      <c r="D223" s="70" t="str">
        <f aca="false">IFERROR(IF($B223="","",المنيو!$C223),"")</f>
        <v/>
      </c>
      <c r="E223" s="12" t="str">
        <f aca="false">IFERROR(IF(OR($B223="",$D223=0,$D223=""),"",$N223/$D223),"")</f>
        <v/>
      </c>
      <c r="F223" s="75" t="n">
        <f aca="false">$F$2</f>
        <v>0.375</v>
      </c>
      <c r="G223" s="13" t="str">
        <f aca="false">IFERROR(IF($B223="","",$N223/$F223),"")</f>
        <v/>
      </c>
      <c r="H223" s="13" t="str">
        <f aca="false">IFERROR(IF($B223="","",$D223-$N223),"")</f>
        <v/>
      </c>
      <c r="I223" s="12" t="str">
        <f aca="false">IFERROR(IF(OR($B223="",$D223=0,$D223=""),"",$H223/$D223),"")</f>
        <v/>
      </c>
      <c r="J223" s="75" t="n">
        <f aca="false">$J$2</f>
        <v>0.25</v>
      </c>
      <c r="K223" s="12" t="str">
        <f aca="false">IFERROR(IF($B223="","",$E223+$J223),"")</f>
        <v/>
      </c>
      <c r="L223" s="11" t="str">
        <f aca="false">IFERROR(IF(OR($B223="",$C223=0,$C223=""),"",$I223+ROW()*0.0000001),"")</f>
        <v/>
      </c>
      <c r="M223" s="76" t="n">
        <f aca="false">$M$2</f>
        <v>0.9319</v>
      </c>
      <c r="N223" s="13" t="str">
        <f aca="false">IFERROR(IF($B223="","",$C223+$M223),"")</f>
        <v/>
      </c>
    </row>
    <row r="224" customFormat="false" ht="15" hidden="false" customHeight="true" outlineLevel="0" collapsed="false">
      <c r="A224" s="69" t="str">
        <f aca="false">IFERROR(IF(المنيو!$B224="","",المنيو!$A224),"")</f>
        <v/>
      </c>
      <c r="B224" s="69" t="n">
        <f aca="false">IFERROR(المنيو!$B224,"")</f>
        <v>0</v>
      </c>
      <c r="C224" s="13" t="str">
        <f aca="false">IFERROR(IF($B224="","",SUMIFS(الريسبي!$F$2:$F$1800,الريسبي!$A$2:$A$1800,$B224)),"")</f>
        <v/>
      </c>
      <c r="D224" s="70" t="str">
        <f aca="false">IFERROR(IF($B224="","",المنيو!$C224),"")</f>
        <v/>
      </c>
      <c r="E224" s="12" t="str">
        <f aca="false">IFERROR(IF(OR($B224="",$D224=0,$D224=""),"",$N224/$D224),"")</f>
        <v/>
      </c>
      <c r="F224" s="75" t="n">
        <f aca="false">$F$2</f>
        <v>0.375</v>
      </c>
      <c r="G224" s="13" t="str">
        <f aca="false">IFERROR(IF($B224="","",$N224/$F224),"")</f>
        <v/>
      </c>
      <c r="H224" s="13" t="str">
        <f aca="false">IFERROR(IF($B224="","",$D224-$N224),"")</f>
        <v/>
      </c>
      <c r="I224" s="12" t="str">
        <f aca="false">IFERROR(IF(OR($B224="",$D224=0,$D224=""),"",$H224/$D224),"")</f>
        <v/>
      </c>
      <c r="J224" s="75" t="n">
        <f aca="false">$J$2</f>
        <v>0.25</v>
      </c>
      <c r="K224" s="12" t="str">
        <f aca="false">IFERROR(IF($B224="","",$E224+$J224),"")</f>
        <v/>
      </c>
      <c r="L224" s="11" t="str">
        <f aca="false">IFERROR(IF(OR($B224="",$C224=0,$C224=""),"",$I224+ROW()*0.0000001),"")</f>
        <v/>
      </c>
      <c r="M224" s="76" t="n">
        <f aca="false">$M$2</f>
        <v>0.9319</v>
      </c>
      <c r="N224" s="13" t="str">
        <f aca="false">IFERROR(IF($B224="","",$C224+$M224),"")</f>
        <v/>
      </c>
    </row>
    <row r="225" customFormat="false" ht="15" hidden="false" customHeight="true" outlineLevel="0" collapsed="false">
      <c r="A225" s="69" t="str">
        <f aca="false">IFERROR(IF(المنيو!$B225="","",المنيو!$A225),"")</f>
        <v/>
      </c>
      <c r="B225" s="69" t="n">
        <f aca="false">IFERROR(المنيو!$B225,"")</f>
        <v>0</v>
      </c>
      <c r="C225" s="13" t="str">
        <f aca="false">IFERROR(IF($B225="","",SUMIFS(الريسبي!$F$2:$F$1800,الريسبي!$A$2:$A$1800,$B225)),"")</f>
        <v/>
      </c>
      <c r="D225" s="70" t="str">
        <f aca="false">IFERROR(IF($B225="","",المنيو!$C225),"")</f>
        <v/>
      </c>
      <c r="E225" s="12" t="str">
        <f aca="false">IFERROR(IF(OR($B225="",$D225=0,$D225=""),"",$N225/$D225),"")</f>
        <v/>
      </c>
      <c r="F225" s="75" t="n">
        <f aca="false">$F$2</f>
        <v>0.375</v>
      </c>
      <c r="G225" s="13" t="str">
        <f aca="false">IFERROR(IF($B225="","",$N225/$F225),"")</f>
        <v/>
      </c>
      <c r="H225" s="13" t="str">
        <f aca="false">IFERROR(IF($B225="","",$D225-$N225),"")</f>
        <v/>
      </c>
      <c r="I225" s="12" t="str">
        <f aca="false">IFERROR(IF(OR($B225="",$D225=0,$D225=""),"",$H225/$D225),"")</f>
        <v/>
      </c>
      <c r="J225" s="75" t="n">
        <f aca="false">$J$2</f>
        <v>0.25</v>
      </c>
      <c r="K225" s="12" t="str">
        <f aca="false">IFERROR(IF($B225="","",$E225+$J225),"")</f>
        <v/>
      </c>
      <c r="L225" s="11" t="str">
        <f aca="false">IFERROR(IF(OR($B225="",$C225=0,$C225=""),"",$I225+ROW()*0.0000001),"")</f>
        <v/>
      </c>
      <c r="M225" s="76" t="n">
        <f aca="false">$M$2</f>
        <v>0.9319</v>
      </c>
      <c r="N225" s="13" t="str">
        <f aca="false">IFERROR(IF($B225="","",$C225+$M225),"")</f>
        <v/>
      </c>
    </row>
    <row r="226" customFormat="false" ht="15" hidden="false" customHeight="true" outlineLevel="0" collapsed="false">
      <c r="A226" s="69" t="str">
        <f aca="false">IFERROR(IF(المنيو!$B226="","",المنيو!$A226),"")</f>
        <v/>
      </c>
      <c r="B226" s="69" t="n">
        <f aca="false">IFERROR(المنيو!$B226,"")</f>
        <v>0</v>
      </c>
      <c r="C226" s="13" t="str">
        <f aca="false">IFERROR(IF($B226="","",SUMIFS(الريسبي!$F$2:$F$1800,الريسبي!$A$2:$A$1800,$B226)),"")</f>
        <v/>
      </c>
      <c r="D226" s="70" t="str">
        <f aca="false">IFERROR(IF($B226="","",المنيو!$C226),"")</f>
        <v/>
      </c>
      <c r="E226" s="12" t="str">
        <f aca="false">IFERROR(IF(OR($B226="",$D226=0,$D226=""),"",$N226/$D226),"")</f>
        <v/>
      </c>
      <c r="F226" s="75" t="n">
        <f aca="false">$F$2</f>
        <v>0.375</v>
      </c>
      <c r="G226" s="13" t="str">
        <f aca="false">IFERROR(IF($B226="","",$N226/$F226),"")</f>
        <v/>
      </c>
      <c r="H226" s="13" t="str">
        <f aca="false">IFERROR(IF($B226="","",$D226-$N226),"")</f>
        <v/>
      </c>
      <c r="I226" s="12" t="str">
        <f aca="false">IFERROR(IF(OR($B226="",$D226=0,$D226=""),"",$H226/$D226),"")</f>
        <v/>
      </c>
      <c r="J226" s="75" t="n">
        <f aca="false">$J$2</f>
        <v>0.25</v>
      </c>
      <c r="K226" s="12" t="str">
        <f aca="false">IFERROR(IF($B226="","",$E226+$J226),"")</f>
        <v/>
      </c>
      <c r="L226" s="11" t="str">
        <f aca="false">IFERROR(IF(OR($B226="",$C226=0,$C226=""),"",$I226+ROW()*0.0000001),"")</f>
        <v/>
      </c>
      <c r="M226" s="76" t="n">
        <f aca="false">$M$2</f>
        <v>0.9319</v>
      </c>
      <c r="N226" s="13" t="str">
        <f aca="false">IFERROR(IF($B226="","",$C226+$M226),"")</f>
        <v/>
      </c>
    </row>
    <row r="227" customFormat="false" ht="15" hidden="false" customHeight="true" outlineLevel="0" collapsed="false">
      <c r="A227" s="69" t="str">
        <f aca="false">IFERROR(IF(المنيو!$B227="","",المنيو!$A227),"")</f>
        <v/>
      </c>
      <c r="B227" s="69" t="n">
        <f aca="false">IFERROR(المنيو!$B227,"")</f>
        <v>0</v>
      </c>
      <c r="C227" s="13" t="str">
        <f aca="false">IFERROR(IF($B227="","",SUMIFS(الريسبي!$F$2:$F$1800,الريسبي!$A$2:$A$1800,$B227)),"")</f>
        <v/>
      </c>
      <c r="D227" s="70" t="str">
        <f aca="false">IFERROR(IF($B227="","",المنيو!$C227),"")</f>
        <v/>
      </c>
      <c r="E227" s="12" t="str">
        <f aca="false">IFERROR(IF(OR($B227="",$D227=0,$D227=""),"",$N227/$D227),"")</f>
        <v/>
      </c>
      <c r="F227" s="75" t="n">
        <f aca="false">$F$2</f>
        <v>0.375</v>
      </c>
      <c r="G227" s="13" t="str">
        <f aca="false">IFERROR(IF($B227="","",$N227/$F227),"")</f>
        <v/>
      </c>
      <c r="H227" s="13" t="str">
        <f aca="false">IFERROR(IF($B227="","",$D227-$N227),"")</f>
        <v/>
      </c>
      <c r="I227" s="12" t="str">
        <f aca="false">IFERROR(IF(OR($B227="",$D227=0,$D227=""),"",$H227/$D227),"")</f>
        <v/>
      </c>
      <c r="J227" s="75" t="n">
        <f aca="false">$J$2</f>
        <v>0.25</v>
      </c>
      <c r="K227" s="12" t="str">
        <f aca="false">IFERROR(IF($B227="","",$E227+$J227),"")</f>
        <v/>
      </c>
      <c r="L227" s="11" t="str">
        <f aca="false">IFERROR(IF(OR($B227="",$C227=0,$C227=""),"",$I227+ROW()*0.0000001),"")</f>
        <v/>
      </c>
      <c r="M227" s="76" t="n">
        <f aca="false">$M$2</f>
        <v>0.9319</v>
      </c>
      <c r="N227" s="13" t="str">
        <f aca="false">IFERROR(IF($B227="","",$C227+$M227),"")</f>
        <v/>
      </c>
    </row>
    <row r="228" customFormat="false" ht="15" hidden="false" customHeight="true" outlineLevel="0" collapsed="false">
      <c r="A228" s="69" t="str">
        <f aca="false">IFERROR(IF(المنيو!$B228="","",المنيو!$A228),"")</f>
        <v/>
      </c>
      <c r="B228" s="69" t="n">
        <f aca="false">IFERROR(المنيو!$B228,"")</f>
        <v>0</v>
      </c>
      <c r="C228" s="13" t="str">
        <f aca="false">IFERROR(IF($B228="","",SUMIFS(الريسبي!$F$2:$F$1800,الريسبي!$A$2:$A$1800,$B228)),"")</f>
        <v/>
      </c>
      <c r="D228" s="70" t="str">
        <f aca="false">IFERROR(IF($B228="","",المنيو!$C228),"")</f>
        <v/>
      </c>
      <c r="E228" s="12" t="str">
        <f aca="false">IFERROR(IF(OR($B228="",$D228=0,$D228=""),"",$N228/$D228),"")</f>
        <v/>
      </c>
      <c r="F228" s="75" t="n">
        <f aca="false">$F$2</f>
        <v>0.375</v>
      </c>
      <c r="G228" s="13" t="str">
        <f aca="false">IFERROR(IF($B228="","",$N228/$F228),"")</f>
        <v/>
      </c>
      <c r="H228" s="13" t="str">
        <f aca="false">IFERROR(IF($B228="","",$D228-$N228),"")</f>
        <v/>
      </c>
      <c r="I228" s="12" t="str">
        <f aca="false">IFERROR(IF(OR($B228="",$D228=0,$D228=""),"",$H228/$D228),"")</f>
        <v/>
      </c>
      <c r="J228" s="75" t="n">
        <f aca="false">$J$2</f>
        <v>0.25</v>
      </c>
      <c r="K228" s="12" t="str">
        <f aca="false">IFERROR(IF($B228="","",$E228+$J228),"")</f>
        <v/>
      </c>
      <c r="L228" s="11" t="str">
        <f aca="false">IFERROR(IF(OR($B228="",$C228=0,$C228=""),"",$I228+ROW()*0.0000001),"")</f>
        <v/>
      </c>
      <c r="M228" s="76" t="n">
        <f aca="false">$M$2</f>
        <v>0.9319</v>
      </c>
      <c r="N228" s="13" t="str">
        <f aca="false">IFERROR(IF($B228="","",$C228+$M228),"")</f>
        <v/>
      </c>
    </row>
    <row r="229" customFormat="false" ht="15" hidden="false" customHeight="true" outlineLevel="0" collapsed="false">
      <c r="A229" s="69" t="str">
        <f aca="false">IFERROR(IF(المنيو!$B229="","",المنيو!$A229),"")</f>
        <v/>
      </c>
      <c r="B229" s="69" t="n">
        <f aca="false">IFERROR(المنيو!$B229,"")</f>
        <v>0</v>
      </c>
      <c r="C229" s="13" t="str">
        <f aca="false">IFERROR(IF($B229="","",SUMIFS(الريسبي!$F$2:$F$1800,الريسبي!$A$2:$A$1800,$B229)),"")</f>
        <v/>
      </c>
      <c r="D229" s="70" t="str">
        <f aca="false">IFERROR(IF($B229="","",المنيو!$C229),"")</f>
        <v/>
      </c>
      <c r="E229" s="12" t="str">
        <f aca="false">IFERROR(IF(OR($B229="",$D229=0,$D229=""),"",$N229/$D229),"")</f>
        <v/>
      </c>
      <c r="F229" s="75" t="n">
        <f aca="false">$F$2</f>
        <v>0.375</v>
      </c>
      <c r="G229" s="13" t="str">
        <f aca="false">IFERROR(IF($B229="","",$N229/$F229),"")</f>
        <v/>
      </c>
      <c r="H229" s="13" t="str">
        <f aca="false">IFERROR(IF($B229="","",$D229-$N229),"")</f>
        <v/>
      </c>
      <c r="I229" s="12" t="str">
        <f aca="false">IFERROR(IF(OR($B229="",$D229=0,$D229=""),"",$H229/$D229),"")</f>
        <v/>
      </c>
      <c r="J229" s="75" t="n">
        <f aca="false">$J$2</f>
        <v>0.25</v>
      </c>
      <c r="K229" s="12" t="str">
        <f aca="false">IFERROR(IF($B229="","",$E229+$J229),"")</f>
        <v/>
      </c>
      <c r="L229" s="11" t="str">
        <f aca="false">IFERROR(IF(OR($B229="",$C229=0,$C229=""),"",$I229+ROW()*0.0000001),"")</f>
        <v/>
      </c>
      <c r="M229" s="76" t="n">
        <f aca="false">$M$2</f>
        <v>0.9319</v>
      </c>
      <c r="N229" s="13" t="str">
        <f aca="false">IFERROR(IF($B229="","",$C229+$M229),"")</f>
        <v/>
      </c>
    </row>
    <row r="230" customFormat="false" ht="15" hidden="false" customHeight="true" outlineLevel="0" collapsed="false">
      <c r="A230" s="69" t="str">
        <f aca="false">IFERROR(IF(المنيو!$B230="","",المنيو!$A230),"")</f>
        <v/>
      </c>
      <c r="B230" s="69" t="n">
        <f aca="false">IFERROR(المنيو!$B230,"")</f>
        <v>0</v>
      </c>
      <c r="C230" s="13" t="str">
        <f aca="false">IFERROR(IF($B230="","",SUMIFS(الريسبي!$F$2:$F$1800,الريسبي!$A$2:$A$1800,$B230)),"")</f>
        <v/>
      </c>
      <c r="D230" s="70" t="str">
        <f aca="false">IFERROR(IF($B230="","",المنيو!$C230),"")</f>
        <v/>
      </c>
      <c r="E230" s="12" t="str">
        <f aca="false">IFERROR(IF(OR($B230="",$D230=0,$D230=""),"",$N230/$D230),"")</f>
        <v/>
      </c>
      <c r="F230" s="75" t="n">
        <f aca="false">$F$2</f>
        <v>0.375</v>
      </c>
      <c r="G230" s="13" t="str">
        <f aca="false">IFERROR(IF($B230="","",$N230/$F230),"")</f>
        <v/>
      </c>
      <c r="H230" s="13" t="str">
        <f aca="false">IFERROR(IF($B230="","",$D230-$N230),"")</f>
        <v/>
      </c>
      <c r="I230" s="12" t="str">
        <f aca="false">IFERROR(IF(OR($B230="",$D230=0,$D230=""),"",$H230/$D230),"")</f>
        <v/>
      </c>
      <c r="J230" s="75" t="n">
        <f aca="false">$J$2</f>
        <v>0.25</v>
      </c>
      <c r="K230" s="12" t="str">
        <f aca="false">IFERROR(IF($B230="","",$E230+$J230),"")</f>
        <v/>
      </c>
      <c r="L230" s="11" t="str">
        <f aca="false">IFERROR(IF(OR($B230="",$C230=0,$C230=""),"",$I230+ROW()*0.0000001),"")</f>
        <v/>
      </c>
      <c r="M230" s="76" t="n">
        <f aca="false">$M$2</f>
        <v>0.9319</v>
      </c>
      <c r="N230" s="13" t="str">
        <f aca="false">IFERROR(IF($B230="","",$C230+$M230),"")</f>
        <v/>
      </c>
    </row>
    <row r="231" customFormat="false" ht="15" hidden="false" customHeight="true" outlineLevel="0" collapsed="false">
      <c r="A231" s="69" t="str">
        <f aca="false">IFERROR(IF(المنيو!$B231="","",المنيو!$A231),"")</f>
        <v/>
      </c>
      <c r="B231" s="69" t="n">
        <f aca="false">IFERROR(المنيو!$B231,"")</f>
        <v>0</v>
      </c>
      <c r="C231" s="13" t="str">
        <f aca="false">IFERROR(IF($B231="","",SUMIFS(الريسبي!$F$2:$F$1800,الريسبي!$A$2:$A$1800,$B231)),"")</f>
        <v/>
      </c>
      <c r="D231" s="70" t="str">
        <f aca="false">IFERROR(IF($B231="","",المنيو!$C231),"")</f>
        <v/>
      </c>
      <c r="E231" s="12" t="str">
        <f aca="false">IFERROR(IF(OR($B231="",$D231=0,$D231=""),"",$N231/$D231),"")</f>
        <v/>
      </c>
      <c r="F231" s="75" t="n">
        <f aca="false">$F$2</f>
        <v>0.375</v>
      </c>
      <c r="G231" s="13" t="str">
        <f aca="false">IFERROR(IF($B231="","",$N231/$F231),"")</f>
        <v/>
      </c>
      <c r="H231" s="13" t="str">
        <f aca="false">IFERROR(IF($B231="","",$D231-$N231),"")</f>
        <v/>
      </c>
      <c r="I231" s="12" t="str">
        <f aca="false">IFERROR(IF(OR($B231="",$D231=0,$D231=""),"",$H231/$D231),"")</f>
        <v/>
      </c>
      <c r="J231" s="75" t="n">
        <f aca="false">$J$2</f>
        <v>0.25</v>
      </c>
      <c r="K231" s="12" t="str">
        <f aca="false">IFERROR(IF($B231="","",$E231+$J231),"")</f>
        <v/>
      </c>
      <c r="L231" s="11" t="str">
        <f aca="false">IFERROR(IF(OR($B231="",$C231=0,$C231=""),"",$I231+ROW()*0.0000001),"")</f>
        <v/>
      </c>
      <c r="M231" s="76" t="n">
        <f aca="false">$M$2</f>
        <v>0.9319</v>
      </c>
      <c r="N231" s="13" t="str">
        <f aca="false">IFERROR(IF($B231="","",$C231+$M231),"")</f>
        <v/>
      </c>
    </row>
    <row r="232" customFormat="false" ht="15" hidden="false" customHeight="true" outlineLevel="0" collapsed="false">
      <c r="A232" s="69" t="str">
        <f aca="false">IFERROR(IF(المنيو!$B232="","",المنيو!$A232),"")</f>
        <v/>
      </c>
      <c r="B232" s="69" t="n">
        <f aca="false">IFERROR(المنيو!$B232,"")</f>
        <v>0</v>
      </c>
      <c r="C232" s="13" t="str">
        <f aca="false">IFERROR(IF($B232="","",SUMIFS(الريسبي!$F$2:$F$1800,الريسبي!$A$2:$A$1800,$B232)),"")</f>
        <v/>
      </c>
      <c r="D232" s="70" t="str">
        <f aca="false">IFERROR(IF($B232="","",المنيو!$C232),"")</f>
        <v/>
      </c>
      <c r="E232" s="12" t="str">
        <f aca="false">IFERROR(IF(OR($B232="",$D232=0,$D232=""),"",$N232/$D232),"")</f>
        <v/>
      </c>
      <c r="F232" s="75" t="n">
        <f aca="false">$F$2</f>
        <v>0.375</v>
      </c>
      <c r="G232" s="13" t="str">
        <f aca="false">IFERROR(IF($B232="","",$N232/$F232),"")</f>
        <v/>
      </c>
      <c r="H232" s="13" t="str">
        <f aca="false">IFERROR(IF($B232="","",$D232-$N232),"")</f>
        <v/>
      </c>
      <c r="I232" s="12" t="str">
        <f aca="false">IFERROR(IF(OR($B232="",$D232=0,$D232=""),"",$H232/$D232),"")</f>
        <v/>
      </c>
      <c r="J232" s="75" t="n">
        <f aca="false">$J$2</f>
        <v>0.25</v>
      </c>
      <c r="K232" s="12" t="str">
        <f aca="false">IFERROR(IF($B232="","",$E232+$J232),"")</f>
        <v/>
      </c>
      <c r="L232" s="11" t="str">
        <f aca="false">IFERROR(IF(OR($B232="",$C232=0,$C232=""),"",$I232+ROW()*0.0000001),"")</f>
        <v/>
      </c>
      <c r="M232" s="76" t="n">
        <f aca="false">$M$2</f>
        <v>0.9319</v>
      </c>
      <c r="N232" s="13" t="str">
        <f aca="false">IFERROR(IF($B232="","",$C232+$M232),"")</f>
        <v/>
      </c>
    </row>
    <row r="233" customFormat="false" ht="15" hidden="false" customHeight="true" outlineLevel="0" collapsed="false">
      <c r="A233" s="69" t="str">
        <f aca="false">IFERROR(IF(المنيو!$B233="","",المنيو!$A233),"")</f>
        <v/>
      </c>
      <c r="B233" s="69" t="n">
        <f aca="false">IFERROR(المنيو!$B233,"")</f>
        <v>0</v>
      </c>
      <c r="C233" s="13" t="str">
        <f aca="false">IFERROR(IF($B233="","",SUMIFS(الريسبي!$F$2:$F$1800,الريسبي!$A$2:$A$1800,$B233)),"")</f>
        <v/>
      </c>
      <c r="D233" s="70" t="str">
        <f aca="false">IFERROR(IF($B233="","",المنيو!$C233),"")</f>
        <v/>
      </c>
      <c r="E233" s="12" t="str">
        <f aca="false">IFERROR(IF(OR($B233="",$D233=0,$D233=""),"",$N233/$D233),"")</f>
        <v/>
      </c>
      <c r="F233" s="75" t="n">
        <f aca="false">$F$2</f>
        <v>0.375</v>
      </c>
      <c r="G233" s="13" t="str">
        <f aca="false">IFERROR(IF($B233="","",$N233/$F233),"")</f>
        <v/>
      </c>
      <c r="H233" s="13" t="str">
        <f aca="false">IFERROR(IF($B233="","",$D233-$N233),"")</f>
        <v/>
      </c>
      <c r="I233" s="12" t="str">
        <f aca="false">IFERROR(IF(OR($B233="",$D233=0,$D233=""),"",$H233/$D233),"")</f>
        <v/>
      </c>
      <c r="J233" s="75" t="n">
        <f aca="false">$J$2</f>
        <v>0.25</v>
      </c>
      <c r="K233" s="12" t="str">
        <f aca="false">IFERROR(IF($B233="","",$E233+$J233),"")</f>
        <v/>
      </c>
      <c r="L233" s="11" t="str">
        <f aca="false">IFERROR(IF(OR($B233="",$C233=0,$C233=""),"",$I233+ROW()*0.0000001),"")</f>
        <v/>
      </c>
      <c r="M233" s="76" t="n">
        <f aca="false">$M$2</f>
        <v>0.9319</v>
      </c>
      <c r="N233" s="13" t="str">
        <f aca="false">IFERROR(IF($B233="","",$C233+$M233),"")</f>
        <v/>
      </c>
    </row>
    <row r="234" customFormat="false" ht="15" hidden="false" customHeight="true" outlineLevel="0" collapsed="false">
      <c r="A234" s="69" t="str">
        <f aca="false">IFERROR(IF(المنيو!$B234="","",المنيو!$A234),"")</f>
        <v/>
      </c>
      <c r="B234" s="69" t="n">
        <f aca="false">IFERROR(المنيو!$B234,"")</f>
        <v>0</v>
      </c>
      <c r="C234" s="13" t="str">
        <f aca="false">IFERROR(IF($B234="","",SUMIFS(الريسبي!$F$2:$F$1800,الريسبي!$A$2:$A$1800,$B234)),"")</f>
        <v/>
      </c>
      <c r="D234" s="70" t="str">
        <f aca="false">IFERROR(IF($B234="","",المنيو!$C234),"")</f>
        <v/>
      </c>
      <c r="E234" s="12" t="str">
        <f aca="false">IFERROR(IF(OR($B234="",$D234=0,$D234=""),"",$N234/$D234),"")</f>
        <v/>
      </c>
      <c r="F234" s="75" t="n">
        <f aca="false">$F$2</f>
        <v>0.375</v>
      </c>
      <c r="G234" s="13" t="str">
        <f aca="false">IFERROR(IF($B234="","",$N234/$F234),"")</f>
        <v/>
      </c>
      <c r="H234" s="13" t="str">
        <f aca="false">IFERROR(IF($B234="","",$D234-$N234),"")</f>
        <v/>
      </c>
      <c r="I234" s="12" t="str">
        <f aca="false">IFERROR(IF(OR($B234="",$D234=0,$D234=""),"",$H234/$D234),"")</f>
        <v/>
      </c>
      <c r="J234" s="75" t="n">
        <f aca="false">$J$2</f>
        <v>0.25</v>
      </c>
      <c r="K234" s="12" t="str">
        <f aca="false">IFERROR(IF($B234="","",$E234+$J234),"")</f>
        <v/>
      </c>
      <c r="L234" s="11" t="str">
        <f aca="false">IFERROR(IF(OR($B234="",$C234=0,$C234=""),"",$I234+ROW()*0.0000001),"")</f>
        <v/>
      </c>
      <c r="M234" s="76" t="n">
        <f aca="false">$M$2</f>
        <v>0.9319</v>
      </c>
      <c r="N234" s="13" t="str">
        <f aca="false">IFERROR(IF($B234="","",$C234+$M234),"")</f>
        <v/>
      </c>
    </row>
    <row r="235" customFormat="false" ht="15" hidden="false" customHeight="true" outlineLevel="0" collapsed="false">
      <c r="A235" s="69" t="str">
        <f aca="false">IFERROR(IF(المنيو!$B235="","",المنيو!$A235),"")</f>
        <v/>
      </c>
      <c r="B235" s="69" t="n">
        <f aca="false">IFERROR(المنيو!$B235,"")</f>
        <v>0</v>
      </c>
      <c r="C235" s="13" t="str">
        <f aca="false">IFERROR(IF($B235="","",SUMIFS(الريسبي!$F$2:$F$1800,الريسبي!$A$2:$A$1800,$B235)),"")</f>
        <v/>
      </c>
      <c r="D235" s="70" t="str">
        <f aca="false">IFERROR(IF($B235="","",المنيو!$C235),"")</f>
        <v/>
      </c>
      <c r="E235" s="12" t="str">
        <f aca="false">IFERROR(IF(OR($B235="",$D235=0,$D235=""),"",$N235/$D235),"")</f>
        <v/>
      </c>
      <c r="F235" s="75" t="n">
        <f aca="false">$F$2</f>
        <v>0.375</v>
      </c>
      <c r="G235" s="13" t="str">
        <f aca="false">IFERROR(IF($B235="","",$N235/$F235),"")</f>
        <v/>
      </c>
      <c r="H235" s="13" t="str">
        <f aca="false">IFERROR(IF($B235="","",$D235-$N235),"")</f>
        <v/>
      </c>
      <c r="I235" s="12" t="str">
        <f aca="false">IFERROR(IF(OR($B235="",$D235=0,$D235=""),"",$H235/$D235),"")</f>
        <v/>
      </c>
      <c r="J235" s="75" t="n">
        <f aca="false">$J$2</f>
        <v>0.25</v>
      </c>
      <c r="K235" s="12" t="str">
        <f aca="false">IFERROR(IF($B235="","",$E235+$J235),"")</f>
        <v/>
      </c>
      <c r="L235" s="11" t="str">
        <f aca="false">IFERROR(IF(OR($B235="",$C235=0,$C235=""),"",$I235+ROW()*0.0000001),"")</f>
        <v/>
      </c>
      <c r="M235" s="76" t="n">
        <f aca="false">$M$2</f>
        <v>0.9319</v>
      </c>
      <c r="N235" s="13" t="str">
        <f aca="false">IFERROR(IF($B235="","",$C235+$M235),"")</f>
        <v/>
      </c>
    </row>
    <row r="236" customFormat="false" ht="15" hidden="false" customHeight="true" outlineLevel="0" collapsed="false">
      <c r="A236" s="69" t="str">
        <f aca="false">IFERROR(IF(المنيو!$B236="","",المنيو!$A236),"")</f>
        <v/>
      </c>
      <c r="B236" s="69" t="n">
        <f aca="false">IFERROR(المنيو!$B236,"")</f>
        <v>0</v>
      </c>
      <c r="C236" s="13" t="str">
        <f aca="false">IFERROR(IF($B236="","",SUMIFS(الريسبي!$F$2:$F$1800,الريسبي!$A$2:$A$1800,$B236)),"")</f>
        <v/>
      </c>
      <c r="D236" s="70" t="str">
        <f aca="false">IFERROR(IF($B236="","",المنيو!$C236),"")</f>
        <v/>
      </c>
      <c r="E236" s="12" t="str">
        <f aca="false">IFERROR(IF(OR($B236="",$D236=0,$D236=""),"",$N236/$D236),"")</f>
        <v/>
      </c>
      <c r="F236" s="75" t="n">
        <f aca="false">$F$2</f>
        <v>0.375</v>
      </c>
      <c r="G236" s="13" t="str">
        <f aca="false">IFERROR(IF($B236="","",$N236/$F236),"")</f>
        <v/>
      </c>
      <c r="H236" s="13" t="str">
        <f aca="false">IFERROR(IF($B236="","",$D236-$N236),"")</f>
        <v/>
      </c>
      <c r="I236" s="12" t="str">
        <f aca="false">IFERROR(IF(OR($B236="",$D236=0,$D236=""),"",$H236/$D236),"")</f>
        <v/>
      </c>
      <c r="J236" s="75" t="n">
        <f aca="false">$J$2</f>
        <v>0.25</v>
      </c>
      <c r="K236" s="12" t="str">
        <f aca="false">IFERROR(IF($B236="","",$E236+$J236),"")</f>
        <v/>
      </c>
      <c r="L236" s="11" t="str">
        <f aca="false">IFERROR(IF(OR($B236="",$C236=0,$C236=""),"",$I236+ROW()*0.0000001),"")</f>
        <v/>
      </c>
      <c r="M236" s="76" t="n">
        <f aca="false">$M$2</f>
        <v>0.9319</v>
      </c>
      <c r="N236" s="13" t="str">
        <f aca="false">IFERROR(IF($B236="","",$C236+$M236),"")</f>
        <v/>
      </c>
    </row>
    <row r="237" customFormat="false" ht="15" hidden="false" customHeight="true" outlineLevel="0" collapsed="false">
      <c r="A237" s="69" t="str">
        <f aca="false">IFERROR(IF(المنيو!$B237="","",المنيو!$A237),"")</f>
        <v/>
      </c>
      <c r="B237" s="69" t="n">
        <f aca="false">IFERROR(المنيو!$B237,"")</f>
        <v>0</v>
      </c>
      <c r="C237" s="13" t="str">
        <f aca="false">IFERROR(IF($B237="","",SUMIFS(الريسبي!$F$2:$F$1800,الريسبي!$A$2:$A$1800,$B237)),"")</f>
        <v/>
      </c>
      <c r="D237" s="70" t="str">
        <f aca="false">IFERROR(IF($B237="","",المنيو!$C237),"")</f>
        <v/>
      </c>
      <c r="E237" s="12" t="str">
        <f aca="false">IFERROR(IF(OR($B237="",$D237=0,$D237=""),"",$N237/$D237),"")</f>
        <v/>
      </c>
      <c r="F237" s="75" t="n">
        <f aca="false">$F$2</f>
        <v>0.375</v>
      </c>
      <c r="G237" s="13" t="str">
        <f aca="false">IFERROR(IF($B237="","",$N237/$F237),"")</f>
        <v/>
      </c>
      <c r="H237" s="13" t="str">
        <f aca="false">IFERROR(IF($B237="","",$D237-$N237),"")</f>
        <v/>
      </c>
      <c r="I237" s="12" t="str">
        <f aca="false">IFERROR(IF(OR($B237="",$D237=0,$D237=""),"",$H237/$D237),"")</f>
        <v/>
      </c>
      <c r="J237" s="75" t="n">
        <f aca="false">$J$2</f>
        <v>0.25</v>
      </c>
      <c r="K237" s="12" t="str">
        <f aca="false">IFERROR(IF($B237="","",$E237+$J237),"")</f>
        <v/>
      </c>
      <c r="L237" s="11" t="str">
        <f aca="false">IFERROR(IF(OR($B237="",$C237=0,$C237=""),"",$I237+ROW()*0.0000001),"")</f>
        <v/>
      </c>
      <c r="M237" s="76" t="n">
        <f aca="false">$M$2</f>
        <v>0.9319</v>
      </c>
      <c r="N237" s="13" t="str">
        <f aca="false">IFERROR(IF($B237="","",$C237+$M237),"")</f>
        <v/>
      </c>
    </row>
    <row r="238" customFormat="false" ht="15" hidden="false" customHeight="true" outlineLevel="0" collapsed="false">
      <c r="A238" s="69" t="str">
        <f aca="false">IFERROR(IF(المنيو!$B238="","",المنيو!$A238),"")</f>
        <v/>
      </c>
      <c r="B238" s="69" t="n">
        <f aca="false">IFERROR(المنيو!$B238,"")</f>
        <v>0</v>
      </c>
      <c r="C238" s="13" t="str">
        <f aca="false">IFERROR(IF($B238="","",SUMIFS(الريسبي!$F$2:$F$1800,الريسبي!$A$2:$A$1800,$B238)),"")</f>
        <v/>
      </c>
      <c r="D238" s="70" t="str">
        <f aca="false">IFERROR(IF($B238="","",المنيو!$C238),"")</f>
        <v/>
      </c>
      <c r="E238" s="12" t="str">
        <f aca="false">IFERROR(IF(OR($B238="",$D238=0,$D238=""),"",$N238/$D238),"")</f>
        <v/>
      </c>
      <c r="F238" s="75" t="n">
        <f aca="false">$F$2</f>
        <v>0.375</v>
      </c>
      <c r="G238" s="13" t="str">
        <f aca="false">IFERROR(IF($B238="","",$N238/$F238),"")</f>
        <v/>
      </c>
      <c r="H238" s="13" t="str">
        <f aca="false">IFERROR(IF($B238="","",$D238-$N238),"")</f>
        <v/>
      </c>
      <c r="I238" s="12" t="str">
        <f aca="false">IFERROR(IF(OR($B238="",$D238=0,$D238=""),"",$H238/$D238),"")</f>
        <v/>
      </c>
      <c r="J238" s="75" t="n">
        <f aca="false">$J$2</f>
        <v>0.25</v>
      </c>
      <c r="K238" s="12" t="str">
        <f aca="false">IFERROR(IF($B238="","",$E238+$J238),"")</f>
        <v/>
      </c>
      <c r="L238" s="11" t="str">
        <f aca="false">IFERROR(IF(OR($B238="",$C238=0,$C238=""),"",$I238+ROW()*0.0000001),"")</f>
        <v/>
      </c>
      <c r="M238" s="76" t="n">
        <f aca="false">$M$2</f>
        <v>0.9319</v>
      </c>
      <c r="N238" s="13" t="str">
        <f aca="false">IFERROR(IF($B238="","",$C238+$M238),"")</f>
        <v/>
      </c>
    </row>
    <row r="239" customFormat="false" ht="15" hidden="false" customHeight="true" outlineLevel="0" collapsed="false">
      <c r="A239" s="69" t="str">
        <f aca="false">IFERROR(IF(المنيو!$B239="","",المنيو!$A239),"")</f>
        <v/>
      </c>
      <c r="B239" s="69" t="n">
        <f aca="false">IFERROR(المنيو!$B239,"")</f>
        <v>0</v>
      </c>
      <c r="C239" s="13" t="str">
        <f aca="false">IFERROR(IF($B239="","",SUMIFS(الريسبي!$F$2:$F$1800,الريسبي!$A$2:$A$1800,$B239)),"")</f>
        <v/>
      </c>
      <c r="D239" s="70" t="str">
        <f aca="false">IFERROR(IF($B239="","",المنيو!$C239),"")</f>
        <v/>
      </c>
      <c r="E239" s="12" t="str">
        <f aca="false">IFERROR(IF(OR($B239="",$D239=0,$D239=""),"",$N239/$D239),"")</f>
        <v/>
      </c>
      <c r="F239" s="75" t="n">
        <f aca="false">$F$2</f>
        <v>0.375</v>
      </c>
      <c r="G239" s="13" t="str">
        <f aca="false">IFERROR(IF($B239="","",$N239/$F239),"")</f>
        <v/>
      </c>
      <c r="H239" s="13" t="str">
        <f aca="false">IFERROR(IF($B239="","",$D239-$N239),"")</f>
        <v/>
      </c>
      <c r="I239" s="12" t="str">
        <f aca="false">IFERROR(IF(OR($B239="",$D239=0,$D239=""),"",$H239/$D239),"")</f>
        <v/>
      </c>
      <c r="J239" s="75" t="n">
        <f aca="false">$J$2</f>
        <v>0.25</v>
      </c>
      <c r="K239" s="12" t="str">
        <f aca="false">IFERROR(IF($B239="","",$E239+$J239),"")</f>
        <v/>
      </c>
      <c r="L239" s="11" t="str">
        <f aca="false">IFERROR(IF(OR($B239="",$C239=0,$C239=""),"",$I239+ROW()*0.0000001),"")</f>
        <v/>
      </c>
      <c r="M239" s="76" t="n">
        <f aca="false">$M$2</f>
        <v>0.9319</v>
      </c>
      <c r="N239" s="13" t="str">
        <f aca="false">IFERROR(IF($B239="","",$C239+$M239),"")</f>
        <v/>
      </c>
    </row>
    <row r="240" customFormat="false" ht="15" hidden="false" customHeight="true" outlineLevel="0" collapsed="false">
      <c r="A240" s="69" t="str">
        <f aca="false">IFERROR(IF(المنيو!$B240="","",المنيو!$A240),"")</f>
        <v/>
      </c>
      <c r="B240" s="69" t="n">
        <f aca="false">IFERROR(المنيو!$B240,"")</f>
        <v>0</v>
      </c>
      <c r="C240" s="13" t="str">
        <f aca="false">IFERROR(IF($B240="","",SUMIFS(الريسبي!$F$2:$F$1800,الريسبي!$A$2:$A$1800,$B240)),"")</f>
        <v/>
      </c>
      <c r="D240" s="70" t="str">
        <f aca="false">IFERROR(IF($B240="","",المنيو!$C240),"")</f>
        <v/>
      </c>
      <c r="E240" s="12" t="str">
        <f aca="false">IFERROR(IF(OR($B240="",$D240=0,$D240=""),"",$N240/$D240),"")</f>
        <v/>
      </c>
      <c r="F240" s="75" t="n">
        <f aca="false">$F$2</f>
        <v>0.375</v>
      </c>
      <c r="G240" s="13" t="str">
        <f aca="false">IFERROR(IF($B240="","",$N240/$F240),"")</f>
        <v/>
      </c>
      <c r="H240" s="13" t="str">
        <f aca="false">IFERROR(IF($B240="","",$D240-$N240),"")</f>
        <v/>
      </c>
      <c r="I240" s="12" t="str">
        <f aca="false">IFERROR(IF(OR($B240="",$D240=0,$D240=""),"",$H240/$D240),"")</f>
        <v/>
      </c>
      <c r="J240" s="75" t="n">
        <f aca="false">$J$2</f>
        <v>0.25</v>
      </c>
      <c r="K240" s="12" t="str">
        <f aca="false">IFERROR(IF($B240="","",$E240+$J240),"")</f>
        <v/>
      </c>
      <c r="L240" s="11" t="str">
        <f aca="false">IFERROR(IF(OR($B240="",$C240=0,$C240=""),"",$I240+ROW()*0.0000001),"")</f>
        <v/>
      </c>
      <c r="M240" s="76" t="n">
        <f aca="false">$M$2</f>
        <v>0.9319</v>
      </c>
      <c r="N240" s="13" t="str">
        <f aca="false">IFERROR(IF($B240="","",$C240+$M240),"")</f>
        <v/>
      </c>
    </row>
    <row r="241" customFormat="false" ht="15" hidden="false" customHeight="true" outlineLevel="0" collapsed="false">
      <c r="A241" s="69" t="str">
        <f aca="false">IFERROR(IF(المنيو!$B241="","",المنيو!$A241),"")</f>
        <v/>
      </c>
      <c r="B241" s="69" t="n">
        <f aca="false">IFERROR(المنيو!$B241,"")</f>
        <v>0</v>
      </c>
      <c r="C241" s="13" t="str">
        <f aca="false">IFERROR(IF($B241="","",SUMIFS(الريسبي!$F$2:$F$1800,الريسبي!$A$2:$A$1800,$B241)),"")</f>
        <v/>
      </c>
      <c r="D241" s="70" t="str">
        <f aca="false">IFERROR(IF($B241="","",المنيو!$C241),"")</f>
        <v/>
      </c>
      <c r="E241" s="12" t="str">
        <f aca="false">IFERROR(IF(OR($B241="",$D241=0,$D241=""),"",$N241/$D241),"")</f>
        <v/>
      </c>
      <c r="F241" s="75" t="n">
        <f aca="false">$F$2</f>
        <v>0.375</v>
      </c>
      <c r="G241" s="13" t="str">
        <f aca="false">IFERROR(IF($B241="","",$N241/$F241),"")</f>
        <v/>
      </c>
      <c r="H241" s="13" t="str">
        <f aca="false">IFERROR(IF($B241="","",$D241-$N241),"")</f>
        <v/>
      </c>
      <c r="I241" s="12" t="str">
        <f aca="false">IFERROR(IF(OR($B241="",$D241=0,$D241=""),"",$H241/$D241),"")</f>
        <v/>
      </c>
      <c r="J241" s="75" t="n">
        <f aca="false">$J$2</f>
        <v>0.25</v>
      </c>
      <c r="K241" s="12" t="str">
        <f aca="false">IFERROR(IF($B241="","",$E241+$J241),"")</f>
        <v/>
      </c>
      <c r="L241" s="11" t="str">
        <f aca="false">IFERROR(IF(OR($B241="",$C241=0,$C241=""),"",$I241+ROW()*0.0000001),"")</f>
        <v/>
      </c>
      <c r="M241" s="76" t="n">
        <f aca="false">$M$2</f>
        <v>0.9319</v>
      </c>
      <c r="N241" s="13" t="str">
        <f aca="false">IFERROR(IF($B241="","",$C241+$M241),"")</f>
        <v/>
      </c>
    </row>
    <row r="242" customFormat="false" ht="15" hidden="false" customHeight="true" outlineLevel="0" collapsed="false">
      <c r="A242" s="69" t="str">
        <f aca="false">IFERROR(IF(المنيو!$B242="","",المنيو!$A242),"")</f>
        <v/>
      </c>
      <c r="B242" s="69" t="n">
        <f aca="false">IFERROR(المنيو!$B242,"")</f>
        <v>0</v>
      </c>
      <c r="C242" s="13" t="str">
        <f aca="false">IFERROR(IF($B242="","",SUMIFS(الريسبي!$F$2:$F$1800,الريسبي!$A$2:$A$1800,$B242)),"")</f>
        <v/>
      </c>
      <c r="D242" s="70" t="str">
        <f aca="false">IFERROR(IF($B242="","",المنيو!$C242),"")</f>
        <v/>
      </c>
      <c r="E242" s="12" t="str">
        <f aca="false">IFERROR(IF(OR($B242="",$D242=0,$D242=""),"",$N242/$D242),"")</f>
        <v/>
      </c>
      <c r="F242" s="75" t="n">
        <f aca="false">$F$2</f>
        <v>0.375</v>
      </c>
      <c r="G242" s="13" t="str">
        <f aca="false">IFERROR(IF($B242="","",$N242/$F242),"")</f>
        <v/>
      </c>
      <c r="H242" s="13" t="str">
        <f aca="false">IFERROR(IF($B242="","",$D242-$N242),"")</f>
        <v/>
      </c>
      <c r="I242" s="12" t="str">
        <f aca="false">IFERROR(IF(OR($B242="",$D242=0,$D242=""),"",$H242/$D242),"")</f>
        <v/>
      </c>
      <c r="J242" s="75" t="n">
        <f aca="false">$J$2</f>
        <v>0.25</v>
      </c>
      <c r="K242" s="12" t="str">
        <f aca="false">IFERROR(IF($B242="","",$E242+$J242),"")</f>
        <v/>
      </c>
      <c r="L242" s="11" t="str">
        <f aca="false">IFERROR(IF(OR($B242="",$C242=0,$C242=""),"",$I242+ROW()*0.0000001),"")</f>
        <v/>
      </c>
      <c r="M242" s="76" t="n">
        <f aca="false">$M$2</f>
        <v>0.9319</v>
      </c>
      <c r="N242" s="13" t="str">
        <f aca="false">IFERROR(IF($B242="","",$C242+$M242),"")</f>
        <v/>
      </c>
    </row>
    <row r="243" customFormat="false" ht="15" hidden="false" customHeight="true" outlineLevel="0" collapsed="false">
      <c r="A243" s="69" t="str">
        <f aca="false">IFERROR(IF(المنيو!$B243="","",المنيو!$A243),"")</f>
        <v/>
      </c>
      <c r="B243" s="69" t="n">
        <f aca="false">IFERROR(المنيو!$B243,"")</f>
        <v>0</v>
      </c>
      <c r="C243" s="13" t="str">
        <f aca="false">IFERROR(IF($B243="","",SUMIFS(الريسبي!$F$2:$F$1800,الريسبي!$A$2:$A$1800,$B243)),"")</f>
        <v/>
      </c>
      <c r="D243" s="70" t="str">
        <f aca="false">IFERROR(IF($B243="","",المنيو!$C243),"")</f>
        <v/>
      </c>
      <c r="E243" s="12" t="str">
        <f aca="false">IFERROR(IF(OR($B243="",$D243=0,$D243=""),"",$N243/$D243),"")</f>
        <v/>
      </c>
      <c r="F243" s="75" t="n">
        <f aca="false">$F$2</f>
        <v>0.375</v>
      </c>
      <c r="G243" s="13" t="str">
        <f aca="false">IFERROR(IF($B243="","",$N243/$F243),"")</f>
        <v/>
      </c>
      <c r="H243" s="13" t="str">
        <f aca="false">IFERROR(IF($B243="","",$D243-$N243),"")</f>
        <v/>
      </c>
      <c r="I243" s="12" t="str">
        <f aca="false">IFERROR(IF(OR($B243="",$D243=0,$D243=""),"",$H243/$D243),"")</f>
        <v/>
      </c>
      <c r="J243" s="75" t="n">
        <f aca="false">$J$2</f>
        <v>0.25</v>
      </c>
      <c r="K243" s="12" t="str">
        <f aca="false">IFERROR(IF($B243="","",$E243+$J243),"")</f>
        <v/>
      </c>
      <c r="L243" s="11" t="str">
        <f aca="false">IFERROR(IF(OR($B243="",$C243=0,$C243=""),"",$I243+ROW()*0.0000001),"")</f>
        <v/>
      </c>
      <c r="M243" s="76" t="n">
        <f aca="false">$M$2</f>
        <v>0.9319</v>
      </c>
      <c r="N243" s="13" t="str">
        <f aca="false">IFERROR(IF($B243="","",$C243+$M243),"")</f>
        <v/>
      </c>
    </row>
    <row r="244" customFormat="false" ht="15" hidden="false" customHeight="true" outlineLevel="0" collapsed="false">
      <c r="A244" s="69" t="str">
        <f aca="false">IFERROR(IF(المنيو!$B244="","",المنيو!$A244),"")</f>
        <v/>
      </c>
      <c r="B244" s="69" t="n">
        <f aca="false">IFERROR(المنيو!$B244,"")</f>
        <v>0</v>
      </c>
      <c r="C244" s="13" t="str">
        <f aca="false">IFERROR(IF($B244="","",SUMIFS(الريسبي!$F$2:$F$1800,الريسبي!$A$2:$A$1800,$B244)),"")</f>
        <v/>
      </c>
      <c r="D244" s="70" t="str">
        <f aca="false">IFERROR(IF($B244="","",المنيو!$C244),"")</f>
        <v/>
      </c>
      <c r="E244" s="12" t="str">
        <f aca="false">IFERROR(IF(OR($B244="",$D244=0,$D244=""),"",$N244/$D244),"")</f>
        <v/>
      </c>
      <c r="F244" s="75" t="n">
        <f aca="false">$F$2</f>
        <v>0.375</v>
      </c>
      <c r="G244" s="13" t="str">
        <f aca="false">IFERROR(IF($B244="","",$N244/$F244),"")</f>
        <v/>
      </c>
      <c r="H244" s="13" t="str">
        <f aca="false">IFERROR(IF($B244="","",$D244-$N244),"")</f>
        <v/>
      </c>
      <c r="I244" s="12" t="str">
        <f aca="false">IFERROR(IF(OR($B244="",$D244=0,$D244=""),"",$H244/$D244),"")</f>
        <v/>
      </c>
      <c r="J244" s="75" t="n">
        <f aca="false">$J$2</f>
        <v>0.25</v>
      </c>
      <c r="K244" s="12" t="str">
        <f aca="false">IFERROR(IF($B244="","",$E244+$J244),"")</f>
        <v/>
      </c>
      <c r="L244" s="11" t="str">
        <f aca="false">IFERROR(IF(OR($B244="",$C244=0,$C244=""),"",$I244+ROW()*0.0000001),"")</f>
        <v/>
      </c>
      <c r="M244" s="76" t="n">
        <f aca="false">$M$2</f>
        <v>0.9319</v>
      </c>
      <c r="N244" s="13" t="str">
        <f aca="false">IFERROR(IF($B244="","",$C244+$M244),"")</f>
        <v/>
      </c>
    </row>
    <row r="245" customFormat="false" ht="15" hidden="false" customHeight="true" outlineLevel="0" collapsed="false">
      <c r="A245" s="69" t="str">
        <f aca="false">IFERROR(IF(المنيو!$B245="","",المنيو!$A245),"")</f>
        <v/>
      </c>
      <c r="B245" s="69" t="n">
        <f aca="false">IFERROR(المنيو!$B245,"")</f>
        <v>0</v>
      </c>
      <c r="C245" s="13" t="str">
        <f aca="false">IFERROR(IF($B245="","",SUMIFS(الريسبي!$F$2:$F$1800,الريسبي!$A$2:$A$1800,$B245)),"")</f>
        <v/>
      </c>
      <c r="D245" s="70" t="str">
        <f aca="false">IFERROR(IF($B245="","",المنيو!$C245),"")</f>
        <v/>
      </c>
      <c r="E245" s="12" t="str">
        <f aca="false">IFERROR(IF(OR($B245="",$D245=0,$D245=""),"",$N245/$D245),"")</f>
        <v/>
      </c>
      <c r="F245" s="75" t="n">
        <f aca="false">$F$2</f>
        <v>0.375</v>
      </c>
      <c r="G245" s="13" t="str">
        <f aca="false">IFERROR(IF($B245="","",$N245/$F245),"")</f>
        <v/>
      </c>
      <c r="H245" s="13" t="str">
        <f aca="false">IFERROR(IF($B245="","",$D245-$N245),"")</f>
        <v/>
      </c>
      <c r="I245" s="12" t="str">
        <f aca="false">IFERROR(IF(OR($B245="",$D245=0,$D245=""),"",$H245/$D245),"")</f>
        <v/>
      </c>
      <c r="J245" s="75" t="n">
        <f aca="false">$J$2</f>
        <v>0.25</v>
      </c>
      <c r="K245" s="12" t="str">
        <f aca="false">IFERROR(IF($B245="","",$E245+$J245),"")</f>
        <v/>
      </c>
      <c r="L245" s="11" t="str">
        <f aca="false">IFERROR(IF(OR($B245="",$C245=0,$C245=""),"",$I245+ROW()*0.0000001),"")</f>
        <v/>
      </c>
      <c r="M245" s="76" t="n">
        <f aca="false">$M$2</f>
        <v>0.9319</v>
      </c>
      <c r="N245" s="13" t="str">
        <f aca="false">IFERROR(IF($B245="","",$C245+$M245),"")</f>
        <v/>
      </c>
    </row>
    <row r="246" customFormat="false" ht="15" hidden="false" customHeight="true" outlineLevel="0" collapsed="false">
      <c r="A246" s="69" t="str">
        <f aca="false">IFERROR(IF(المنيو!$B246="","",المنيو!$A246),"")</f>
        <v/>
      </c>
      <c r="B246" s="69" t="n">
        <f aca="false">IFERROR(المنيو!$B246,"")</f>
        <v>0</v>
      </c>
      <c r="C246" s="13" t="str">
        <f aca="false">IFERROR(IF($B246="","",SUMIFS(الريسبي!$F$2:$F$1800,الريسبي!$A$2:$A$1800,$B246)),"")</f>
        <v/>
      </c>
      <c r="D246" s="70" t="str">
        <f aca="false">IFERROR(IF($B246="","",المنيو!$C246),"")</f>
        <v/>
      </c>
      <c r="E246" s="12" t="str">
        <f aca="false">IFERROR(IF(OR($B246="",$D246=0,$D246=""),"",$N246/$D246),"")</f>
        <v/>
      </c>
      <c r="F246" s="75" t="n">
        <f aca="false">$F$2</f>
        <v>0.375</v>
      </c>
      <c r="G246" s="13" t="str">
        <f aca="false">IFERROR(IF($B246="","",$N246/$F246),"")</f>
        <v/>
      </c>
      <c r="H246" s="13" t="str">
        <f aca="false">IFERROR(IF($B246="","",$D246-$N246),"")</f>
        <v/>
      </c>
      <c r="I246" s="12" t="str">
        <f aca="false">IFERROR(IF(OR($B246="",$D246=0,$D246=""),"",$H246/$D246),"")</f>
        <v/>
      </c>
      <c r="J246" s="75" t="n">
        <f aca="false">$J$2</f>
        <v>0.25</v>
      </c>
      <c r="K246" s="12" t="str">
        <f aca="false">IFERROR(IF($B246="","",$E246+$J246),"")</f>
        <v/>
      </c>
      <c r="L246" s="11" t="str">
        <f aca="false">IFERROR(IF(OR($B246="",$C246=0,$C246=""),"",$I246+ROW()*0.0000001),"")</f>
        <v/>
      </c>
      <c r="M246" s="76" t="n">
        <f aca="false">$M$2</f>
        <v>0.9319</v>
      </c>
      <c r="N246" s="13" t="str">
        <f aca="false">IFERROR(IF($B246="","",$C246+$M246),"")</f>
        <v/>
      </c>
    </row>
    <row r="247" customFormat="false" ht="15" hidden="false" customHeight="true" outlineLevel="0" collapsed="false">
      <c r="A247" s="69" t="str">
        <f aca="false">IFERROR(IF(المنيو!$B247="","",المنيو!$A247),"")</f>
        <v/>
      </c>
      <c r="B247" s="69" t="n">
        <f aca="false">IFERROR(المنيو!$B247,"")</f>
        <v>0</v>
      </c>
      <c r="C247" s="13" t="str">
        <f aca="false">IFERROR(IF($B247="","",SUMIFS(الريسبي!$F$2:$F$1800,الريسبي!$A$2:$A$1800,$B247)),"")</f>
        <v/>
      </c>
      <c r="D247" s="70" t="str">
        <f aca="false">IFERROR(IF($B247="","",المنيو!$C247),"")</f>
        <v/>
      </c>
      <c r="E247" s="12" t="str">
        <f aca="false">IFERROR(IF(OR($B247="",$D247=0,$D247=""),"",$N247/$D247),"")</f>
        <v/>
      </c>
      <c r="F247" s="75" t="n">
        <f aca="false">$F$2</f>
        <v>0.375</v>
      </c>
      <c r="G247" s="13" t="str">
        <f aca="false">IFERROR(IF($B247="","",$N247/$F247),"")</f>
        <v/>
      </c>
      <c r="H247" s="13" t="str">
        <f aca="false">IFERROR(IF($B247="","",$D247-$N247),"")</f>
        <v/>
      </c>
      <c r="I247" s="12" t="str">
        <f aca="false">IFERROR(IF(OR($B247="",$D247=0,$D247=""),"",$H247/$D247),"")</f>
        <v/>
      </c>
      <c r="J247" s="75" t="n">
        <f aca="false">$J$2</f>
        <v>0.25</v>
      </c>
      <c r="K247" s="12" t="str">
        <f aca="false">IFERROR(IF($B247="","",$E247+$J247),"")</f>
        <v/>
      </c>
      <c r="L247" s="11" t="str">
        <f aca="false">IFERROR(IF(OR($B247="",$C247=0,$C247=""),"",$I247+ROW()*0.0000001),"")</f>
        <v/>
      </c>
      <c r="M247" s="76" t="n">
        <f aca="false">$M$2</f>
        <v>0.9319</v>
      </c>
      <c r="N247" s="13" t="str">
        <f aca="false">IFERROR(IF($B247="","",$C247+$M247),"")</f>
        <v/>
      </c>
    </row>
    <row r="248" customFormat="false" ht="15" hidden="false" customHeight="true" outlineLevel="0" collapsed="false">
      <c r="A248" s="69" t="str">
        <f aca="false">IFERROR(IF(المنيو!$B248="","",المنيو!$A248),"")</f>
        <v/>
      </c>
      <c r="B248" s="69" t="n">
        <f aca="false">IFERROR(المنيو!$B248,"")</f>
        <v>0</v>
      </c>
      <c r="C248" s="13" t="str">
        <f aca="false">IFERROR(IF($B248="","",SUMIFS(الريسبي!$F$2:$F$1800,الريسبي!$A$2:$A$1800,$B248)),"")</f>
        <v/>
      </c>
      <c r="D248" s="70" t="str">
        <f aca="false">IFERROR(IF($B248="","",المنيو!$C248),"")</f>
        <v/>
      </c>
      <c r="E248" s="12" t="str">
        <f aca="false">IFERROR(IF(OR($B248="",$D248=0,$D248=""),"",$N248/$D248),"")</f>
        <v/>
      </c>
      <c r="F248" s="75" t="n">
        <f aca="false">$F$2</f>
        <v>0.375</v>
      </c>
      <c r="G248" s="13" t="str">
        <f aca="false">IFERROR(IF($B248="","",$N248/$F248),"")</f>
        <v/>
      </c>
      <c r="H248" s="13" t="str">
        <f aca="false">IFERROR(IF($B248="","",$D248-$N248),"")</f>
        <v/>
      </c>
      <c r="I248" s="12" t="str">
        <f aca="false">IFERROR(IF(OR($B248="",$D248=0,$D248=""),"",$H248/$D248),"")</f>
        <v/>
      </c>
      <c r="J248" s="75" t="n">
        <f aca="false">$J$2</f>
        <v>0.25</v>
      </c>
      <c r="K248" s="12" t="str">
        <f aca="false">IFERROR(IF($B248="","",$E248+$J248),"")</f>
        <v/>
      </c>
      <c r="L248" s="11" t="str">
        <f aca="false">IFERROR(IF(OR($B248="",$C248=0,$C248=""),"",$I248+ROW()*0.0000001),"")</f>
        <v/>
      </c>
      <c r="M248" s="76" t="n">
        <f aca="false">$M$2</f>
        <v>0.9319</v>
      </c>
      <c r="N248" s="13" t="str">
        <f aca="false">IFERROR(IF($B248="","",$C248+$M248),"")</f>
        <v/>
      </c>
    </row>
    <row r="249" customFormat="false" ht="15" hidden="false" customHeight="true" outlineLevel="0" collapsed="false">
      <c r="A249" s="69" t="str">
        <f aca="false">IFERROR(IF(المنيو!$B249="","",المنيو!$A249),"")</f>
        <v/>
      </c>
      <c r="B249" s="69" t="n">
        <f aca="false">IFERROR(المنيو!$B249,"")</f>
        <v>0</v>
      </c>
      <c r="C249" s="13" t="str">
        <f aca="false">IFERROR(IF($B249="","",SUMIFS(الريسبي!$F$2:$F$1800,الريسبي!$A$2:$A$1800,$B249)),"")</f>
        <v/>
      </c>
      <c r="D249" s="70" t="str">
        <f aca="false">IFERROR(IF($B249="","",المنيو!$C249),"")</f>
        <v/>
      </c>
      <c r="E249" s="12" t="str">
        <f aca="false">IFERROR(IF(OR($B249="",$D249=0,$D249=""),"",$N249/$D249),"")</f>
        <v/>
      </c>
      <c r="F249" s="75" t="n">
        <f aca="false">$F$2</f>
        <v>0.375</v>
      </c>
      <c r="G249" s="13" t="str">
        <f aca="false">IFERROR(IF($B249="","",$N249/$F249),"")</f>
        <v/>
      </c>
      <c r="H249" s="13" t="str">
        <f aca="false">IFERROR(IF($B249="","",$D249-$N249),"")</f>
        <v/>
      </c>
      <c r="I249" s="12" t="str">
        <f aca="false">IFERROR(IF(OR($B249="",$D249=0,$D249=""),"",$H249/$D249),"")</f>
        <v/>
      </c>
      <c r="J249" s="75" t="n">
        <f aca="false">$J$2</f>
        <v>0.25</v>
      </c>
      <c r="K249" s="12" t="str">
        <f aca="false">IFERROR(IF($B249="","",$E249+$J249),"")</f>
        <v/>
      </c>
      <c r="L249" s="11" t="str">
        <f aca="false">IFERROR(IF(OR($B249="",$C249=0,$C249=""),"",$I249+ROW()*0.0000001),"")</f>
        <v/>
      </c>
      <c r="M249" s="76" t="n">
        <f aca="false">$M$2</f>
        <v>0.9319</v>
      </c>
      <c r="N249" s="13" t="str">
        <f aca="false">IFERROR(IF($B249="","",$C249+$M249),"")</f>
        <v/>
      </c>
    </row>
    <row r="250" customFormat="false" ht="15" hidden="false" customHeight="true" outlineLevel="0" collapsed="false">
      <c r="A250" s="69" t="str">
        <f aca="false">IFERROR(IF(المنيو!$B250="","",المنيو!$A250),"")</f>
        <v/>
      </c>
      <c r="B250" s="69" t="n">
        <f aca="false">IFERROR(المنيو!$B250,"")</f>
        <v>0</v>
      </c>
      <c r="C250" s="13" t="str">
        <f aca="false">IFERROR(IF($B250="","",SUMIFS(الريسبي!$F$2:$F$1800,الريسبي!$A$2:$A$1800,$B250)),"")</f>
        <v/>
      </c>
      <c r="D250" s="70" t="str">
        <f aca="false">IFERROR(IF($B250="","",المنيو!$C250),"")</f>
        <v/>
      </c>
      <c r="E250" s="12" t="str">
        <f aca="false">IFERROR(IF(OR($B250="",$D250=0,$D250=""),"",$N250/$D250),"")</f>
        <v/>
      </c>
      <c r="F250" s="75" t="n">
        <f aca="false">$F$2</f>
        <v>0.375</v>
      </c>
      <c r="G250" s="13" t="str">
        <f aca="false">IFERROR(IF($B250="","",$N250/$F250),"")</f>
        <v/>
      </c>
      <c r="H250" s="13" t="str">
        <f aca="false">IFERROR(IF($B250="","",$D250-$N250),"")</f>
        <v/>
      </c>
      <c r="I250" s="12" t="str">
        <f aca="false">IFERROR(IF(OR($B250="",$D250=0,$D250=""),"",$H250/$D250),"")</f>
        <v/>
      </c>
      <c r="J250" s="75" t="n">
        <f aca="false">$J$2</f>
        <v>0.25</v>
      </c>
      <c r="K250" s="12" t="str">
        <f aca="false">IFERROR(IF($B250="","",$E250+$J250),"")</f>
        <v/>
      </c>
      <c r="L250" s="11" t="str">
        <f aca="false">IFERROR(IF(OR($B250="",$C250=0,$C250=""),"",$I250+ROW()*0.0000001),"")</f>
        <v/>
      </c>
      <c r="M250" s="76" t="n">
        <f aca="false">$M$2</f>
        <v>0.9319</v>
      </c>
      <c r="N250" s="13" t="str">
        <f aca="false">IFERROR(IF($B250="","",$C250+$M250),"")</f>
        <v/>
      </c>
    </row>
    <row r="251" customFormat="false" ht="15" hidden="false" customHeight="true" outlineLevel="0" collapsed="false">
      <c r="A251" s="69" t="str">
        <f aca="false">IFERROR(IF(المنيو!$B251="","",المنيو!$A251),"")</f>
        <v/>
      </c>
      <c r="B251" s="69" t="n">
        <f aca="false">IFERROR(المنيو!$B251,"")</f>
        <v>0</v>
      </c>
      <c r="C251" s="13" t="str">
        <f aca="false">IFERROR(IF($B251="","",SUMIFS(الريسبي!$F$2:$F$1800,الريسبي!$A$2:$A$1800,$B251)),"")</f>
        <v/>
      </c>
      <c r="D251" s="70" t="str">
        <f aca="false">IFERROR(IF($B251="","",المنيو!$C251),"")</f>
        <v/>
      </c>
      <c r="E251" s="12" t="str">
        <f aca="false">IFERROR(IF(OR($B251="",$D251=0,$D251=""),"",$N251/$D251),"")</f>
        <v/>
      </c>
      <c r="F251" s="75" t="n">
        <f aca="false">$F$2</f>
        <v>0.375</v>
      </c>
      <c r="G251" s="13" t="str">
        <f aca="false">IFERROR(IF($B251="","",$N251/$F251),"")</f>
        <v/>
      </c>
      <c r="H251" s="13" t="str">
        <f aca="false">IFERROR(IF($B251="","",$D251-$N251),"")</f>
        <v/>
      </c>
      <c r="I251" s="12" t="str">
        <f aca="false">IFERROR(IF(OR($B251="",$D251=0,$D251=""),"",$H251/$D251),"")</f>
        <v/>
      </c>
      <c r="J251" s="75" t="n">
        <f aca="false">$J$2</f>
        <v>0.25</v>
      </c>
      <c r="K251" s="12" t="str">
        <f aca="false">IFERROR(IF($B251="","",$E251+$J251),"")</f>
        <v/>
      </c>
      <c r="L251" s="11" t="str">
        <f aca="false">IFERROR(IF(OR($B251="",$C251=0,$C251=""),"",$I251+ROW()*0.0000001),"")</f>
        <v/>
      </c>
      <c r="M251" s="76" t="n">
        <f aca="false">$M$2</f>
        <v>0.9319</v>
      </c>
      <c r="N251" s="13" t="str">
        <f aca="false">IFERROR(IF($B251="","",$C251+$M251),"")</f>
        <v/>
      </c>
    </row>
    <row r="252" customFormat="false" ht="15" hidden="false" customHeight="true" outlineLevel="0" collapsed="false">
      <c r="A252" s="69" t="str">
        <f aca="false">IFERROR(IF(المنيو!$B252="","",المنيو!$A252),"")</f>
        <v/>
      </c>
      <c r="B252" s="69" t="n">
        <f aca="false">IFERROR(المنيو!$B252,"")</f>
        <v>0</v>
      </c>
      <c r="C252" s="13" t="str">
        <f aca="false">IFERROR(IF($B252="","",SUMIFS(الريسبي!$F$2:$F$1800,الريسبي!$A$2:$A$1800,$B252)),"")</f>
        <v/>
      </c>
      <c r="D252" s="70" t="str">
        <f aca="false">IFERROR(IF($B252="","",المنيو!$C252),"")</f>
        <v/>
      </c>
      <c r="E252" s="12" t="str">
        <f aca="false">IFERROR(IF(OR($B252="",$D252=0,$D252=""),"",$N252/$D252),"")</f>
        <v/>
      </c>
      <c r="F252" s="75" t="n">
        <f aca="false">$F$2</f>
        <v>0.375</v>
      </c>
      <c r="G252" s="13" t="str">
        <f aca="false">IFERROR(IF($B252="","",$N252/$F252),"")</f>
        <v/>
      </c>
      <c r="H252" s="13" t="str">
        <f aca="false">IFERROR(IF($B252="","",$D252-$N252),"")</f>
        <v/>
      </c>
      <c r="I252" s="12" t="str">
        <f aca="false">IFERROR(IF(OR($B252="",$D252=0,$D252=""),"",$H252/$D252),"")</f>
        <v/>
      </c>
      <c r="J252" s="75" t="n">
        <f aca="false">$J$2</f>
        <v>0.25</v>
      </c>
      <c r="K252" s="12" t="str">
        <f aca="false">IFERROR(IF($B252="","",$E252+$J252),"")</f>
        <v/>
      </c>
      <c r="L252" s="11" t="str">
        <f aca="false">IFERROR(IF(OR($B252="",$C252=0,$C252=""),"",$I252+ROW()*0.0000001),"")</f>
        <v/>
      </c>
      <c r="M252" s="76" t="n">
        <f aca="false">$M$2</f>
        <v>0.9319</v>
      </c>
      <c r="N252" s="13" t="str">
        <f aca="false">IFERROR(IF($B252="","",$C252+$M252),"")</f>
        <v/>
      </c>
    </row>
    <row r="253" customFormat="false" ht="15" hidden="false" customHeight="true" outlineLevel="0" collapsed="false">
      <c r="A253" s="69" t="str">
        <f aca="false">IFERROR(IF(المنيو!$B253="","",المنيو!$A253),"")</f>
        <v/>
      </c>
      <c r="B253" s="69" t="n">
        <f aca="false">IFERROR(المنيو!$B253,"")</f>
        <v>0</v>
      </c>
      <c r="C253" s="13" t="str">
        <f aca="false">IFERROR(IF($B253="","",SUMIFS(الريسبي!$F$2:$F$1800,الريسبي!$A$2:$A$1800,$B253)),"")</f>
        <v/>
      </c>
      <c r="D253" s="70" t="str">
        <f aca="false">IFERROR(IF($B253="","",المنيو!$C253),"")</f>
        <v/>
      </c>
      <c r="E253" s="12" t="str">
        <f aca="false">IFERROR(IF(OR($B253="",$D253=0,$D253=""),"",$N253/$D253),"")</f>
        <v/>
      </c>
      <c r="F253" s="75" t="n">
        <f aca="false">$F$2</f>
        <v>0.375</v>
      </c>
      <c r="G253" s="13" t="str">
        <f aca="false">IFERROR(IF($B253="","",$N253/$F253),"")</f>
        <v/>
      </c>
      <c r="H253" s="13" t="str">
        <f aca="false">IFERROR(IF($B253="","",$D253-$N253),"")</f>
        <v/>
      </c>
      <c r="I253" s="12" t="str">
        <f aca="false">IFERROR(IF(OR($B253="",$D253=0,$D253=""),"",$H253/$D253),"")</f>
        <v/>
      </c>
      <c r="J253" s="75" t="n">
        <f aca="false">$J$2</f>
        <v>0.25</v>
      </c>
      <c r="K253" s="12" t="str">
        <f aca="false">IFERROR(IF($B253="","",$E253+$J253),"")</f>
        <v/>
      </c>
      <c r="L253" s="11" t="str">
        <f aca="false">IFERROR(IF(OR($B253="",$C253=0,$C253=""),"",$I253+ROW()*0.0000001),"")</f>
        <v/>
      </c>
      <c r="M253" s="76" t="n">
        <f aca="false">$M$2</f>
        <v>0.9319</v>
      </c>
      <c r="N253" s="13" t="str">
        <f aca="false">IFERROR(IF($B253="","",$C253+$M253),"")</f>
        <v/>
      </c>
    </row>
    <row r="254" customFormat="false" ht="15" hidden="false" customHeight="true" outlineLevel="0" collapsed="false">
      <c r="A254" s="69" t="str">
        <f aca="false">IFERROR(IF(المنيو!$B254="","",المنيو!$A254),"")</f>
        <v/>
      </c>
      <c r="B254" s="69" t="n">
        <f aca="false">IFERROR(المنيو!$B254,"")</f>
        <v>0</v>
      </c>
      <c r="C254" s="13" t="str">
        <f aca="false">IFERROR(IF($B254="","",SUMIFS(الريسبي!$F$2:$F$1800,الريسبي!$A$2:$A$1800,$B254)),"")</f>
        <v/>
      </c>
      <c r="D254" s="70" t="str">
        <f aca="false">IFERROR(IF($B254="","",المنيو!$C254),"")</f>
        <v/>
      </c>
      <c r="E254" s="12" t="str">
        <f aca="false">IFERROR(IF(OR($B254="",$D254=0,$D254=""),"",$N254/$D254),"")</f>
        <v/>
      </c>
      <c r="F254" s="75" t="n">
        <f aca="false">$F$2</f>
        <v>0.375</v>
      </c>
      <c r="G254" s="13" t="str">
        <f aca="false">IFERROR(IF($B254="","",$N254/$F254),"")</f>
        <v/>
      </c>
      <c r="H254" s="13" t="str">
        <f aca="false">IFERROR(IF($B254="","",$D254-$N254),"")</f>
        <v/>
      </c>
      <c r="I254" s="12" t="str">
        <f aca="false">IFERROR(IF(OR($B254="",$D254=0,$D254=""),"",$H254/$D254),"")</f>
        <v/>
      </c>
      <c r="J254" s="75" t="n">
        <f aca="false">$J$2</f>
        <v>0.25</v>
      </c>
      <c r="K254" s="12" t="str">
        <f aca="false">IFERROR(IF($B254="","",$E254+$J254),"")</f>
        <v/>
      </c>
      <c r="L254" s="11" t="str">
        <f aca="false">IFERROR(IF(OR($B254="",$C254=0,$C254=""),"",$I254+ROW()*0.0000001),"")</f>
        <v/>
      </c>
      <c r="M254" s="76" t="n">
        <f aca="false">$M$2</f>
        <v>0.9319</v>
      </c>
      <c r="N254" s="13" t="str">
        <f aca="false">IFERROR(IF($B254="","",$C254+$M254),"")</f>
        <v/>
      </c>
    </row>
    <row r="255" customFormat="false" ht="15" hidden="false" customHeight="true" outlineLevel="0" collapsed="false">
      <c r="A255" s="69" t="str">
        <f aca="false">IFERROR(IF(المنيو!$B255="","",المنيو!$A255),"")</f>
        <v/>
      </c>
      <c r="B255" s="69" t="n">
        <f aca="false">IFERROR(المنيو!$B255,"")</f>
        <v>0</v>
      </c>
      <c r="C255" s="13" t="str">
        <f aca="false">IFERROR(IF($B255="","",SUMIFS(الريسبي!$F$2:$F$1800,الريسبي!$A$2:$A$1800,$B255)),"")</f>
        <v/>
      </c>
      <c r="D255" s="70" t="str">
        <f aca="false">IFERROR(IF($B255="","",المنيو!$C255),"")</f>
        <v/>
      </c>
      <c r="E255" s="12" t="str">
        <f aca="false">IFERROR(IF(OR($B255="",$D255=0,$D255=""),"",$N255/$D255),"")</f>
        <v/>
      </c>
      <c r="F255" s="75" t="n">
        <f aca="false">$F$2</f>
        <v>0.375</v>
      </c>
      <c r="G255" s="13" t="str">
        <f aca="false">IFERROR(IF($B255="","",$N255/$F255),"")</f>
        <v/>
      </c>
      <c r="H255" s="13" t="str">
        <f aca="false">IFERROR(IF($B255="","",$D255-$N255),"")</f>
        <v/>
      </c>
      <c r="I255" s="12" t="str">
        <f aca="false">IFERROR(IF(OR($B255="",$D255=0,$D255=""),"",$H255/$D255),"")</f>
        <v/>
      </c>
      <c r="J255" s="75" t="n">
        <f aca="false">$J$2</f>
        <v>0.25</v>
      </c>
      <c r="K255" s="12" t="str">
        <f aca="false">IFERROR(IF($B255="","",$E255+$J255),"")</f>
        <v/>
      </c>
      <c r="L255" s="11" t="str">
        <f aca="false">IFERROR(IF(OR($B255="",$C255=0,$C255=""),"",$I255+ROW()*0.0000001),"")</f>
        <v/>
      </c>
      <c r="M255" s="76" t="n">
        <f aca="false">$M$2</f>
        <v>0.9319</v>
      </c>
      <c r="N255" s="13" t="str">
        <f aca="false">IFERROR(IF($B255="","",$C255+$M255),"")</f>
        <v/>
      </c>
    </row>
    <row r="256" customFormat="false" ht="15" hidden="false" customHeight="true" outlineLevel="0" collapsed="false">
      <c r="A256" s="69" t="str">
        <f aca="false">IFERROR(IF(المنيو!$B256="","",المنيو!$A256),"")</f>
        <v/>
      </c>
      <c r="B256" s="69" t="n">
        <f aca="false">IFERROR(المنيو!$B256,"")</f>
        <v>0</v>
      </c>
      <c r="C256" s="13" t="str">
        <f aca="false">IFERROR(IF($B256="","",SUMIFS(الريسبي!$F$2:$F$1800,الريسبي!$A$2:$A$1800,$B256)),"")</f>
        <v/>
      </c>
      <c r="D256" s="70" t="str">
        <f aca="false">IFERROR(IF($B256="","",المنيو!$C256),"")</f>
        <v/>
      </c>
      <c r="E256" s="12" t="str">
        <f aca="false">IFERROR(IF(OR($B256="",$D256=0,$D256=""),"",$N256/$D256),"")</f>
        <v/>
      </c>
      <c r="F256" s="75" t="n">
        <f aca="false">$F$2</f>
        <v>0.375</v>
      </c>
      <c r="G256" s="13" t="str">
        <f aca="false">IFERROR(IF($B256="","",$N256/$F256),"")</f>
        <v/>
      </c>
      <c r="H256" s="13" t="str">
        <f aca="false">IFERROR(IF($B256="","",$D256-$N256),"")</f>
        <v/>
      </c>
      <c r="I256" s="12" t="str">
        <f aca="false">IFERROR(IF(OR($B256="",$D256=0,$D256=""),"",$H256/$D256),"")</f>
        <v/>
      </c>
      <c r="J256" s="75" t="n">
        <f aca="false">$J$2</f>
        <v>0.25</v>
      </c>
      <c r="K256" s="12" t="str">
        <f aca="false">IFERROR(IF($B256="","",$E256+$J256),"")</f>
        <v/>
      </c>
      <c r="L256" s="11" t="str">
        <f aca="false">IFERROR(IF(OR($B256="",$C256=0,$C256=""),"",$I256+ROW()*0.0000001),"")</f>
        <v/>
      </c>
      <c r="M256" s="76" t="n">
        <f aca="false">$M$2</f>
        <v>0.9319</v>
      </c>
      <c r="N256" s="13" t="str">
        <f aca="false">IFERROR(IF($B256="","",$C256+$M256),"")</f>
        <v/>
      </c>
    </row>
    <row r="257" customFormat="false" ht="15" hidden="false" customHeight="true" outlineLevel="0" collapsed="false">
      <c r="A257" s="69" t="str">
        <f aca="false">IFERROR(IF(المنيو!$B257="","",المنيو!$A257),"")</f>
        <v/>
      </c>
      <c r="B257" s="69" t="n">
        <f aca="false">IFERROR(المنيو!$B257,"")</f>
        <v>0</v>
      </c>
      <c r="C257" s="13" t="str">
        <f aca="false">IFERROR(IF($B257="","",SUMIFS(الريسبي!$F$2:$F$1800,الريسبي!$A$2:$A$1800,$B257)),"")</f>
        <v/>
      </c>
      <c r="D257" s="70" t="str">
        <f aca="false">IFERROR(IF($B257="","",المنيو!$C257),"")</f>
        <v/>
      </c>
      <c r="E257" s="12" t="str">
        <f aca="false">IFERROR(IF(OR($B257="",$D257=0,$D257=""),"",$N257/$D257),"")</f>
        <v/>
      </c>
      <c r="F257" s="75" t="n">
        <f aca="false">$F$2</f>
        <v>0.375</v>
      </c>
      <c r="G257" s="13" t="str">
        <f aca="false">IFERROR(IF($B257="","",$N257/$F257),"")</f>
        <v/>
      </c>
      <c r="H257" s="13" t="str">
        <f aca="false">IFERROR(IF($B257="","",$D257-$N257),"")</f>
        <v/>
      </c>
      <c r="I257" s="12" t="str">
        <f aca="false">IFERROR(IF(OR($B257="",$D257=0,$D257=""),"",$H257/$D257),"")</f>
        <v/>
      </c>
      <c r="J257" s="75" t="n">
        <f aca="false">$J$2</f>
        <v>0.25</v>
      </c>
      <c r="K257" s="12" t="str">
        <f aca="false">IFERROR(IF($B257="","",$E257+$J257),"")</f>
        <v/>
      </c>
      <c r="L257" s="11" t="str">
        <f aca="false">IFERROR(IF(OR($B257="",$C257=0,$C257=""),"",$I257+ROW()*0.0000001),"")</f>
        <v/>
      </c>
      <c r="M257" s="76" t="n">
        <f aca="false">$M$2</f>
        <v>0.9319</v>
      </c>
      <c r="N257" s="13" t="str">
        <f aca="false">IFERROR(IF($B257="","",$C257+$M257),"")</f>
        <v/>
      </c>
    </row>
    <row r="258" customFormat="false" ht="15" hidden="false" customHeight="true" outlineLevel="0" collapsed="false">
      <c r="A258" s="69" t="str">
        <f aca="false">IFERROR(IF(المنيو!$B258="","",المنيو!$A258),"")</f>
        <v/>
      </c>
      <c r="B258" s="69" t="n">
        <f aca="false">IFERROR(المنيو!$B258,"")</f>
        <v>0</v>
      </c>
      <c r="C258" s="13" t="str">
        <f aca="false">IFERROR(IF($B258="","",SUMIFS(الريسبي!$F$2:$F$1800,الريسبي!$A$2:$A$1800,$B258)),"")</f>
        <v/>
      </c>
      <c r="D258" s="70" t="str">
        <f aca="false">IFERROR(IF($B258="","",المنيو!$C258),"")</f>
        <v/>
      </c>
      <c r="E258" s="12" t="str">
        <f aca="false">IFERROR(IF(OR($B258="",$D258=0,$D258=""),"",$N258/$D258),"")</f>
        <v/>
      </c>
      <c r="F258" s="75" t="n">
        <f aca="false">$F$2</f>
        <v>0.375</v>
      </c>
      <c r="G258" s="13" t="str">
        <f aca="false">IFERROR(IF($B258="","",$N258/$F258),"")</f>
        <v/>
      </c>
      <c r="H258" s="13" t="str">
        <f aca="false">IFERROR(IF($B258="","",$D258-$N258),"")</f>
        <v/>
      </c>
      <c r="I258" s="12" t="str">
        <f aca="false">IFERROR(IF(OR($B258="",$D258=0,$D258=""),"",$H258/$D258),"")</f>
        <v/>
      </c>
      <c r="J258" s="75" t="n">
        <f aca="false">$J$2</f>
        <v>0.25</v>
      </c>
      <c r="K258" s="12" t="str">
        <f aca="false">IFERROR(IF($B258="","",$E258+$J258),"")</f>
        <v/>
      </c>
      <c r="L258" s="11" t="str">
        <f aca="false">IFERROR(IF(OR($B258="",$C258=0,$C258=""),"",$I258+ROW()*0.0000001),"")</f>
        <v/>
      </c>
      <c r="M258" s="76" t="n">
        <f aca="false">$M$2</f>
        <v>0.9319</v>
      </c>
      <c r="N258" s="13" t="str">
        <f aca="false">IFERROR(IF($B258="","",$C258+$M258),"")</f>
        <v/>
      </c>
    </row>
    <row r="259" customFormat="false" ht="15" hidden="false" customHeight="true" outlineLevel="0" collapsed="false">
      <c r="A259" s="69" t="str">
        <f aca="false">IFERROR(IF(المنيو!$B259="","",المنيو!$A259),"")</f>
        <v/>
      </c>
      <c r="B259" s="69" t="n">
        <f aca="false">IFERROR(المنيو!$B259,"")</f>
        <v>0</v>
      </c>
      <c r="C259" s="13" t="str">
        <f aca="false">IFERROR(IF($B259="","",SUMIFS(الريسبي!$F$2:$F$1800,الريسبي!$A$2:$A$1800,$B259)),"")</f>
        <v/>
      </c>
      <c r="D259" s="70" t="str">
        <f aca="false">IFERROR(IF($B259="","",المنيو!$C259),"")</f>
        <v/>
      </c>
      <c r="E259" s="12" t="str">
        <f aca="false">IFERROR(IF(OR($B259="",$D259=0,$D259=""),"",$N259/$D259),"")</f>
        <v/>
      </c>
      <c r="F259" s="75" t="n">
        <f aca="false">$F$2</f>
        <v>0.375</v>
      </c>
      <c r="G259" s="13" t="str">
        <f aca="false">IFERROR(IF($B259="","",$N259/$F259),"")</f>
        <v/>
      </c>
      <c r="H259" s="13" t="str">
        <f aca="false">IFERROR(IF($B259="","",$D259-$N259),"")</f>
        <v/>
      </c>
      <c r="I259" s="12" t="str">
        <f aca="false">IFERROR(IF(OR($B259="",$D259=0,$D259=""),"",$H259/$D259),"")</f>
        <v/>
      </c>
      <c r="J259" s="75" t="n">
        <f aca="false">$J$2</f>
        <v>0.25</v>
      </c>
      <c r="K259" s="12" t="str">
        <f aca="false">IFERROR(IF($B259="","",$E259+$J259),"")</f>
        <v/>
      </c>
      <c r="L259" s="11" t="str">
        <f aca="false">IFERROR(IF(OR($B259="",$C259=0,$C259=""),"",$I259+ROW()*0.0000001),"")</f>
        <v/>
      </c>
      <c r="M259" s="76" t="n">
        <f aca="false">$M$2</f>
        <v>0.9319</v>
      </c>
      <c r="N259" s="13" t="str">
        <f aca="false">IFERROR(IF($B259="","",$C259+$M259),"")</f>
        <v/>
      </c>
    </row>
    <row r="260" customFormat="false" ht="15" hidden="false" customHeight="true" outlineLevel="0" collapsed="false">
      <c r="A260" s="69" t="str">
        <f aca="false">IFERROR(IF(المنيو!$B260="","",المنيو!$A260),"")</f>
        <v/>
      </c>
      <c r="B260" s="69" t="n">
        <f aca="false">IFERROR(المنيو!$B260,"")</f>
        <v>0</v>
      </c>
      <c r="C260" s="13" t="str">
        <f aca="false">IFERROR(IF($B260="","",SUMIFS(الريسبي!$F$2:$F$1800,الريسبي!$A$2:$A$1800,$B260)),"")</f>
        <v/>
      </c>
      <c r="D260" s="70" t="str">
        <f aca="false">IFERROR(IF($B260="","",المنيو!$C260),"")</f>
        <v/>
      </c>
      <c r="E260" s="12" t="str">
        <f aca="false">IFERROR(IF(OR($B260="",$D260=0,$D260=""),"",$N260/$D260),"")</f>
        <v/>
      </c>
      <c r="F260" s="75" t="n">
        <f aca="false">$F$2</f>
        <v>0.375</v>
      </c>
      <c r="G260" s="13" t="str">
        <f aca="false">IFERROR(IF($B260="","",$N260/$F260),"")</f>
        <v/>
      </c>
      <c r="H260" s="13" t="str">
        <f aca="false">IFERROR(IF($B260="","",$D260-$N260),"")</f>
        <v/>
      </c>
      <c r="I260" s="12" t="str">
        <f aca="false">IFERROR(IF(OR($B260="",$D260=0,$D260=""),"",$H260/$D260),"")</f>
        <v/>
      </c>
      <c r="J260" s="75" t="n">
        <f aca="false">$J$2</f>
        <v>0.25</v>
      </c>
      <c r="K260" s="12" t="str">
        <f aca="false">IFERROR(IF($B260="","",$E260+$J260),"")</f>
        <v/>
      </c>
      <c r="L260" s="11" t="str">
        <f aca="false">IFERROR(IF(OR($B260="",$C260=0,$C260=""),"",$I260+ROW()*0.0000001),"")</f>
        <v/>
      </c>
      <c r="M260" s="76" t="n">
        <f aca="false">$M$2</f>
        <v>0.9319</v>
      </c>
      <c r="N260" s="13" t="str">
        <f aca="false">IFERROR(IF($B260="","",$C260+$M260),"")</f>
        <v/>
      </c>
    </row>
    <row r="261" customFormat="false" ht="15" hidden="false" customHeight="true" outlineLevel="0" collapsed="false">
      <c r="A261" s="69" t="str">
        <f aca="false">IFERROR(IF(المنيو!$B261="","",المنيو!$A261),"")</f>
        <v/>
      </c>
      <c r="B261" s="69" t="n">
        <f aca="false">IFERROR(المنيو!$B261,"")</f>
        <v>0</v>
      </c>
      <c r="C261" s="13" t="str">
        <f aca="false">IFERROR(IF($B261="","",SUMIFS(الريسبي!$F$2:$F$1800,الريسبي!$A$2:$A$1800,$B261)),"")</f>
        <v/>
      </c>
      <c r="D261" s="70" t="str">
        <f aca="false">IFERROR(IF($B261="","",المنيو!$C261),"")</f>
        <v/>
      </c>
      <c r="E261" s="12" t="str">
        <f aca="false">IFERROR(IF(OR($B261="",$D261=0,$D261=""),"",$N261/$D261),"")</f>
        <v/>
      </c>
      <c r="F261" s="75" t="n">
        <f aca="false">$F$2</f>
        <v>0.375</v>
      </c>
      <c r="G261" s="13" t="str">
        <f aca="false">IFERROR(IF($B261="","",$N261/$F261),"")</f>
        <v/>
      </c>
      <c r="H261" s="13" t="str">
        <f aca="false">IFERROR(IF($B261="","",$D261-$N261),"")</f>
        <v/>
      </c>
      <c r="I261" s="12" t="str">
        <f aca="false">IFERROR(IF(OR($B261="",$D261=0,$D261=""),"",$H261/$D261),"")</f>
        <v/>
      </c>
      <c r="J261" s="75" t="n">
        <f aca="false">$J$2</f>
        <v>0.25</v>
      </c>
      <c r="K261" s="12" t="str">
        <f aca="false">IFERROR(IF($B261="","",$E261+$J261),"")</f>
        <v/>
      </c>
      <c r="L261" s="11" t="str">
        <f aca="false">IFERROR(IF(OR($B261="",$C261=0,$C261=""),"",$I261+ROW()*0.0000001),"")</f>
        <v/>
      </c>
      <c r="M261" s="76" t="n">
        <f aca="false">$M$2</f>
        <v>0.9319</v>
      </c>
      <c r="N261" s="13" t="str">
        <f aca="false">IFERROR(IF($B261="","",$C261+$M261),"")</f>
        <v/>
      </c>
    </row>
    <row r="262" customFormat="false" ht="15" hidden="false" customHeight="true" outlineLevel="0" collapsed="false">
      <c r="A262" s="69" t="str">
        <f aca="false">IFERROR(IF(المنيو!$B262="","",المنيو!$A262),"")</f>
        <v/>
      </c>
      <c r="B262" s="69" t="n">
        <f aca="false">IFERROR(المنيو!$B262,"")</f>
        <v>0</v>
      </c>
      <c r="C262" s="13" t="str">
        <f aca="false">IFERROR(IF($B262="","",SUMIFS(الريسبي!$F$2:$F$1800,الريسبي!$A$2:$A$1800,$B262)),"")</f>
        <v/>
      </c>
      <c r="D262" s="70" t="str">
        <f aca="false">IFERROR(IF($B262="","",المنيو!$C262),"")</f>
        <v/>
      </c>
      <c r="E262" s="12" t="str">
        <f aca="false">IFERROR(IF(OR($B262="",$D262=0,$D262=""),"",$N262/$D262),"")</f>
        <v/>
      </c>
      <c r="F262" s="75" t="n">
        <f aca="false">$F$2</f>
        <v>0.375</v>
      </c>
      <c r="G262" s="13" t="str">
        <f aca="false">IFERROR(IF($B262="","",$N262/$F262),"")</f>
        <v/>
      </c>
      <c r="H262" s="13" t="str">
        <f aca="false">IFERROR(IF($B262="","",$D262-$N262),"")</f>
        <v/>
      </c>
      <c r="I262" s="12" t="str">
        <f aca="false">IFERROR(IF(OR($B262="",$D262=0,$D262=""),"",$H262/$D262),"")</f>
        <v/>
      </c>
      <c r="J262" s="75" t="n">
        <f aca="false">$J$2</f>
        <v>0.25</v>
      </c>
      <c r="K262" s="12" t="str">
        <f aca="false">IFERROR(IF($B262="","",$E262+$J262),"")</f>
        <v/>
      </c>
      <c r="L262" s="11" t="str">
        <f aca="false">IFERROR(IF(OR($B262="",$C262=0,$C262=""),"",$I262+ROW()*0.0000001),"")</f>
        <v/>
      </c>
      <c r="M262" s="76" t="n">
        <f aca="false">$M$2</f>
        <v>0.9319</v>
      </c>
      <c r="N262" s="13" t="str">
        <f aca="false">IFERROR(IF($B262="","",$C262+$M262),"")</f>
        <v/>
      </c>
    </row>
    <row r="263" customFormat="false" ht="15" hidden="false" customHeight="true" outlineLevel="0" collapsed="false">
      <c r="A263" s="69" t="str">
        <f aca="false">IFERROR(IF(المنيو!$B263="","",المنيو!$A263),"")</f>
        <v/>
      </c>
      <c r="B263" s="69" t="n">
        <f aca="false">IFERROR(المنيو!$B263,"")</f>
        <v>0</v>
      </c>
      <c r="C263" s="13" t="str">
        <f aca="false">IFERROR(IF($B263="","",SUMIFS(الريسبي!$F$2:$F$1800,الريسبي!$A$2:$A$1800,$B263)),"")</f>
        <v/>
      </c>
      <c r="D263" s="70" t="str">
        <f aca="false">IFERROR(IF($B263="","",المنيو!$C263),"")</f>
        <v/>
      </c>
      <c r="E263" s="12" t="str">
        <f aca="false">IFERROR(IF(OR($B263="",$D263=0,$D263=""),"",$N263/$D263),"")</f>
        <v/>
      </c>
      <c r="F263" s="75" t="n">
        <f aca="false">$F$2</f>
        <v>0.375</v>
      </c>
      <c r="G263" s="13" t="str">
        <f aca="false">IFERROR(IF($B263="","",$N263/$F263),"")</f>
        <v/>
      </c>
      <c r="H263" s="13" t="str">
        <f aca="false">IFERROR(IF($B263="","",$D263-$N263),"")</f>
        <v/>
      </c>
      <c r="I263" s="12" t="str">
        <f aca="false">IFERROR(IF(OR($B263="",$D263=0,$D263=""),"",$H263/$D263),"")</f>
        <v/>
      </c>
      <c r="J263" s="75" t="n">
        <f aca="false">$J$2</f>
        <v>0.25</v>
      </c>
      <c r="K263" s="12" t="str">
        <f aca="false">IFERROR(IF($B263="","",$E263+$J263),"")</f>
        <v/>
      </c>
      <c r="L263" s="11" t="str">
        <f aca="false">IFERROR(IF(OR($B263="",$C263=0,$C263=""),"",$I263+ROW()*0.0000001),"")</f>
        <v/>
      </c>
      <c r="M263" s="76" t="n">
        <f aca="false">$M$2</f>
        <v>0.9319</v>
      </c>
      <c r="N263" s="13" t="str">
        <f aca="false">IFERROR(IF($B263="","",$C263+$M263),"")</f>
        <v/>
      </c>
    </row>
    <row r="264" customFormat="false" ht="15" hidden="false" customHeight="true" outlineLevel="0" collapsed="false">
      <c r="A264" s="69" t="str">
        <f aca="false">IFERROR(IF(المنيو!$B264="","",المنيو!$A264),"")</f>
        <v/>
      </c>
      <c r="B264" s="69" t="n">
        <f aca="false">IFERROR(المنيو!$B264,"")</f>
        <v>0</v>
      </c>
      <c r="C264" s="13" t="str">
        <f aca="false">IFERROR(IF($B264="","",SUMIFS(الريسبي!$F$2:$F$1800,الريسبي!$A$2:$A$1800,$B264)),"")</f>
        <v/>
      </c>
      <c r="D264" s="70" t="str">
        <f aca="false">IFERROR(IF($B264="","",المنيو!$C264),"")</f>
        <v/>
      </c>
      <c r="E264" s="12" t="str">
        <f aca="false">IFERROR(IF(OR($B264="",$D264=0,$D264=""),"",$N264/$D264),"")</f>
        <v/>
      </c>
      <c r="F264" s="75" t="n">
        <f aca="false">$F$2</f>
        <v>0.375</v>
      </c>
      <c r="G264" s="13" t="str">
        <f aca="false">IFERROR(IF($B264="","",$N264/$F264),"")</f>
        <v/>
      </c>
      <c r="H264" s="13" t="str">
        <f aca="false">IFERROR(IF($B264="","",$D264-$N264),"")</f>
        <v/>
      </c>
      <c r="I264" s="12" t="str">
        <f aca="false">IFERROR(IF(OR($B264="",$D264=0,$D264=""),"",$H264/$D264),"")</f>
        <v/>
      </c>
      <c r="J264" s="75" t="n">
        <f aca="false">$J$2</f>
        <v>0.25</v>
      </c>
      <c r="K264" s="12" t="str">
        <f aca="false">IFERROR(IF($B264="","",$E264+$J264),"")</f>
        <v/>
      </c>
      <c r="L264" s="11" t="str">
        <f aca="false">IFERROR(IF(OR($B264="",$C264=0,$C264=""),"",$I264+ROW()*0.0000001),"")</f>
        <v/>
      </c>
      <c r="M264" s="76" t="n">
        <f aca="false">$M$2</f>
        <v>0.9319</v>
      </c>
      <c r="N264" s="13" t="str">
        <f aca="false">IFERROR(IF($B264="","",$C264+$M264),"")</f>
        <v/>
      </c>
    </row>
    <row r="265" customFormat="false" ht="15" hidden="false" customHeight="true" outlineLevel="0" collapsed="false">
      <c r="A265" s="69" t="str">
        <f aca="false">IFERROR(IF(المنيو!$B265="","",المنيو!$A265),"")</f>
        <v/>
      </c>
      <c r="B265" s="69" t="n">
        <f aca="false">IFERROR(المنيو!$B265,"")</f>
        <v>0</v>
      </c>
      <c r="C265" s="13" t="str">
        <f aca="false">IFERROR(IF($B265="","",SUMIFS(الريسبي!$F$2:$F$1800,الريسبي!$A$2:$A$1800,$B265)),"")</f>
        <v/>
      </c>
      <c r="D265" s="70" t="str">
        <f aca="false">IFERROR(IF($B265="","",المنيو!$C265),"")</f>
        <v/>
      </c>
      <c r="E265" s="12" t="str">
        <f aca="false">IFERROR(IF(OR($B265="",$D265=0,$D265=""),"",$N265/$D265),"")</f>
        <v/>
      </c>
      <c r="F265" s="75" t="n">
        <f aca="false">$F$2</f>
        <v>0.375</v>
      </c>
      <c r="G265" s="13" t="str">
        <f aca="false">IFERROR(IF($B265="","",$N265/$F265),"")</f>
        <v/>
      </c>
      <c r="H265" s="13" t="str">
        <f aca="false">IFERROR(IF($B265="","",$D265-$N265),"")</f>
        <v/>
      </c>
      <c r="I265" s="12" t="str">
        <f aca="false">IFERROR(IF(OR($B265="",$D265=0,$D265=""),"",$H265/$D265),"")</f>
        <v/>
      </c>
      <c r="J265" s="75" t="n">
        <f aca="false">$J$2</f>
        <v>0.25</v>
      </c>
      <c r="K265" s="12" t="str">
        <f aca="false">IFERROR(IF($B265="","",$E265+$J265),"")</f>
        <v/>
      </c>
      <c r="L265" s="11" t="str">
        <f aca="false">IFERROR(IF(OR($B265="",$C265=0,$C265=""),"",$I265+ROW()*0.0000001),"")</f>
        <v/>
      </c>
      <c r="M265" s="76" t="n">
        <f aca="false">$M$2</f>
        <v>0.9319</v>
      </c>
      <c r="N265" s="13" t="str">
        <f aca="false">IFERROR(IF($B265="","",$C265+$M265),"")</f>
        <v/>
      </c>
    </row>
    <row r="266" customFormat="false" ht="15" hidden="false" customHeight="true" outlineLevel="0" collapsed="false">
      <c r="A266" s="69" t="str">
        <f aca="false">IFERROR(IF(المنيو!$B266="","",المنيو!$A266),"")</f>
        <v/>
      </c>
      <c r="B266" s="69" t="n">
        <f aca="false">IFERROR(المنيو!$B266,"")</f>
        <v>0</v>
      </c>
      <c r="C266" s="13" t="str">
        <f aca="false">IFERROR(IF($B266="","",SUMIFS(الريسبي!$F$2:$F$1800,الريسبي!$A$2:$A$1800,$B266)),"")</f>
        <v/>
      </c>
      <c r="D266" s="70" t="str">
        <f aca="false">IFERROR(IF($B266="","",المنيو!$C266),"")</f>
        <v/>
      </c>
      <c r="E266" s="12" t="str">
        <f aca="false">IFERROR(IF(OR($B266="",$D266=0,$D266=""),"",$N266/$D266),"")</f>
        <v/>
      </c>
      <c r="F266" s="75" t="n">
        <f aca="false">$F$2</f>
        <v>0.375</v>
      </c>
      <c r="G266" s="13" t="str">
        <f aca="false">IFERROR(IF($B266="","",$N266/$F266),"")</f>
        <v/>
      </c>
      <c r="H266" s="13" t="str">
        <f aca="false">IFERROR(IF($B266="","",$D266-$N266),"")</f>
        <v/>
      </c>
      <c r="I266" s="12" t="str">
        <f aca="false">IFERROR(IF(OR($B266="",$D266=0,$D266=""),"",$H266/$D266),"")</f>
        <v/>
      </c>
      <c r="J266" s="75" t="n">
        <f aca="false">$J$2</f>
        <v>0.25</v>
      </c>
      <c r="K266" s="12" t="str">
        <f aca="false">IFERROR(IF($B266="","",$E266+$J266),"")</f>
        <v/>
      </c>
      <c r="L266" s="11" t="str">
        <f aca="false">IFERROR(IF(OR($B266="",$C266=0,$C266=""),"",$I266+ROW()*0.0000001),"")</f>
        <v/>
      </c>
      <c r="M266" s="76" t="n">
        <f aca="false">$M$2</f>
        <v>0.9319</v>
      </c>
      <c r="N266" s="13" t="str">
        <f aca="false">IFERROR(IF($B266="","",$C266+$M266),"")</f>
        <v/>
      </c>
    </row>
    <row r="267" customFormat="false" ht="15" hidden="false" customHeight="true" outlineLevel="0" collapsed="false">
      <c r="A267" s="69" t="str">
        <f aca="false">IFERROR(IF(المنيو!$B267="","",المنيو!$A267),"")</f>
        <v/>
      </c>
      <c r="B267" s="69" t="n">
        <f aca="false">IFERROR(المنيو!$B267,"")</f>
        <v>0</v>
      </c>
      <c r="C267" s="13" t="str">
        <f aca="false">IFERROR(IF($B267="","",SUMIFS(الريسبي!$F$2:$F$1800,الريسبي!$A$2:$A$1800,$B267)),"")</f>
        <v/>
      </c>
      <c r="D267" s="70" t="str">
        <f aca="false">IFERROR(IF($B267="","",المنيو!$C267),"")</f>
        <v/>
      </c>
      <c r="E267" s="12" t="str">
        <f aca="false">IFERROR(IF(OR($B267="",$D267=0,$D267=""),"",$N267/$D267),"")</f>
        <v/>
      </c>
      <c r="F267" s="75" t="n">
        <f aca="false">$F$2</f>
        <v>0.375</v>
      </c>
      <c r="G267" s="13" t="str">
        <f aca="false">IFERROR(IF($B267="","",$N267/$F267),"")</f>
        <v/>
      </c>
      <c r="H267" s="13" t="str">
        <f aca="false">IFERROR(IF($B267="","",$D267-$N267),"")</f>
        <v/>
      </c>
      <c r="I267" s="12" t="str">
        <f aca="false">IFERROR(IF(OR($B267="",$D267=0,$D267=""),"",$H267/$D267),"")</f>
        <v/>
      </c>
      <c r="J267" s="75" t="n">
        <f aca="false">$J$2</f>
        <v>0.25</v>
      </c>
      <c r="K267" s="12" t="str">
        <f aca="false">IFERROR(IF($B267="","",$E267+$J267),"")</f>
        <v/>
      </c>
      <c r="L267" s="11" t="str">
        <f aca="false">IFERROR(IF(OR($B267="",$C267=0,$C267=""),"",$I267+ROW()*0.0000001),"")</f>
        <v/>
      </c>
      <c r="M267" s="76" t="n">
        <f aca="false">$M$2</f>
        <v>0.9319</v>
      </c>
      <c r="N267" s="13" t="str">
        <f aca="false">IFERROR(IF($B267="","",$C267+$M267),"")</f>
        <v/>
      </c>
    </row>
    <row r="268" customFormat="false" ht="15" hidden="false" customHeight="true" outlineLevel="0" collapsed="false">
      <c r="A268" s="69" t="str">
        <f aca="false">IFERROR(IF(المنيو!$B268="","",المنيو!$A268),"")</f>
        <v/>
      </c>
      <c r="B268" s="69" t="n">
        <f aca="false">IFERROR(المنيو!$B268,"")</f>
        <v>0</v>
      </c>
      <c r="C268" s="13" t="str">
        <f aca="false">IFERROR(IF($B268="","",SUMIFS(الريسبي!$F$2:$F$1800,الريسبي!$A$2:$A$1800,$B268)),"")</f>
        <v/>
      </c>
      <c r="D268" s="70" t="str">
        <f aca="false">IFERROR(IF($B268="","",المنيو!$C268),"")</f>
        <v/>
      </c>
      <c r="E268" s="12" t="str">
        <f aca="false">IFERROR(IF(OR($B268="",$D268=0,$D268=""),"",$N268/$D268),"")</f>
        <v/>
      </c>
      <c r="F268" s="75" t="n">
        <f aca="false">$F$2</f>
        <v>0.375</v>
      </c>
      <c r="G268" s="13" t="str">
        <f aca="false">IFERROR(IF($B268="","",$N268/$F268),"")</f>
        <v/>
      </c>
      <c r="H268" s="13" t="str">
        <f aca="false">IFERROR(IF($B268="","",$D268-$N268),"")</f>
        <v/>
      </c>
      <c r="I268" s="12" t="str">
        <f aca="false">IFERROR(IF(OR($B268="",$D268=0,$D268=""),"",$H268/$D268),"")</f>
        <v/>
      </c>
      <c r="J268" s="75" t="n">
        <f aca="false">$J$2</f>
        <v>0.25</v>
      </c>
      <c r="K268" s="12" t="str">
        <f aca="false">IFERROR(IF($B268="","",$E268+$J268),"")</f>
        <v/>
      </c>
      <c r="L268" s="11" t="str">
        <f aca="false">IFERROR(IF(OR($B268="",$C268=0,$C268=""),"",$I268+ROW()*0.0000001),"")</f>
        <v/>
      </c>
      <c r="M268" s="76" t="n">
        <f aca="false">$M$2</f>
        <v>0.9319</v>
      </c>
      <c r="N268" s="13" t="str">
        <f aca="false">IFERROR(IF($B268="","",$C268+$M268),"")</f>
        <v/>
      </c>
    </row>
    <row r="269" customFormat="false" ht="15" hidden="false" customHeight="true" outlineLevel="0" collapsed="false">
      <c r="A269" s="69" t="str">
        <f aca="false">IFERROR(IF(المنيو!$B269="","",المنيو!$A269),"")</f>
        <v/>
      </c>
      <c r="B269" s="69" t="n">
        <f aca="false">IFERROR(المنيو!$B269,"")</f>
        <v>0</v>
      </c>
      <c r="C269" s="13" t="str">
        <f aca="false">IFERROR(IF($B269="","",SUMIFS(الريسبي!$F$2:$F$1800,الريسبي!$A$2:$A$1800,$B269)),"")</f>
        <v/>
      </c>
      <c r="D269" s="70" t="str">
        <f aca="false">IFERROR(IF($B269="","",المنيو!$C269),"")</f>
        <v/>
      </c>
      <c r="E269" s="12" t="str">
        <f aca="false">IFERROR(IF(OR($B269="",$D269=0,$D269=""),"",$N269/$D269),"")</f>
        <v/>
      </c>
      <c r="F269" s="75" t="n">
        <f aca="false">$F$2</f>
        <v>0.375</v>
      </c>
      <c r="G269" s="13" t="str">
        <f aca="false">IFERROR(IF($B269="","",$N269/$F269),"")</f>
        <v/>
      </c>
      <c r="H269" s="13" t="str">
        <f aca="false">IFERROR(IF($B269="","",$D269-$N269),"")</f>
        <v/>
      </c>
      <c r="I269" s="12" t="str">
        <f aca="false">IFERROR(IF(OR($B269="",$D269=0,$D269=""),"",$H269/$D269),"")</f>
        <v/>
      </c>
      <c r="J269" s="75" t="n">
        <f aca="false">$J$2</f>
        <v>0.25</v>
      </c>
      <c r="K269" s="12" t="str">
        <f aca="false">IFERROR(IF($B269="","",$E269+$J269),"")</f>
        <v/>
      </c>
      <c r="L269" s="11" t="str">
        <f aca="false">IFERROR(IF(OR($B269="",$C269=0,$C269=""),"",$I269+ROW()*0.0000001),"")</f>
        <v/>
      </c>
      <c r="M269" s="76" t="n">
        <f aca="false">$M$2</f>
        <v>0.9319</v>
      </c>
      <c r="N269" s="13" t="str">
        <f aca="false">IFERROR(IF($B269="","",$C269+$M269),"")</f>
        <v/>
      </c>
    </row>
    <row r="270" customFormat="false" ht="15" hidden="false" customHeight="true" outlineLevel="0" collapsed="false">
      <c r="A270" s="69" t="str">
        <f aca="false">IFERROR(IF(المنيو!$B270="","",المنيو!$A270),"")</f>
        <v/>
      </c>
      <c r="B270" s="69" t="n">
        <f aca="false">IFERROR(المنيو!$B270,"")</f>
        <v>0</v>
      </c>
      <c r="C270" s="13" t="str">
        <f aca="false">IFERROR(IF($B270="","",SUMIFS(الريسبي!$F$2:$F$1800,الريسبي!$A$2:$A$1800,$B270)),"")</f>
        <v/>
      </c>
      <c r="D270" s="70" t="str">
        <f aca="false">IFERROR(IF($B270="","",المنيو!$C270),"")</f>
        <v/>
      </c>
      <c r="E270" s="12" t="str">
        <f aca="false">IFERROR(IF(OR($B270="",$D270=0,$D270=""),"",$N270/$D270),"")</f>
        <v/>
      </c>
      <c r="F270" s="75" t="n">
        <f aca="false">$F$2</f>
        <v>0.375</v>
      </c>
      <c r="G270" s="13" t="str">
        <f aca="false">IFERROR(IF($B270="","",$N270/$F270),"")</f>
        <v/>
      </c>
      <c r="H270" s="13" t="str">
        <f aca="false">IFERROR(IF($B270="","",$D270-$N270),"")</f>
        <v/>
      </c>
      <c r="I270" s="12" t="str">
        <f aca="false">IFERROR(IF(OR($B270="",$D270=0,$D270=""),"",$H270/$D270),"")</f>
        <v/>
      </c>
      <c r="J270" s="75" t="n">
        <f aca="false">$J$2</f>
        <v>0.25</v>
      </c>
      <c r="K270" s="12" t="str">
        <f aca="false">IFERROR(IF($B270="","",$E270+$J270),"")</f>
        <v/>
      </c>
      <c r="L270" s="11" t="str">
        <f aca="false">IFERROR(IF(OR($B270="",$C270=0,$C270=""),"",$I270+ROW()*0.0000001),"")</f>
        <v/>
      </c>
      <c r="M270" s="76" t="n">
        <f aca="false">$M$2</f>
        <v>0.9319</v>
      </c>
      <c r="N270" s="13" t="str">
        <f aca="false">IFERROR(IF($B270="","",$C270+$M270),"")</f>
        <v/>
      </c>
    </row>
    <row r="271" customFormat="false" ht="15" hidden="false" customHeight="true" outlineLevel="0" collapsed="false">
      <c r="A271" s="69" t="str">
        <f aca="false">IFERROR(IF(المنيو!$B271="","",المنيو!$A271),"")</f>
        <v/>
      </c>
      <c r="B271" s="69" t="n">
        <f aca="false">IFERROR(المنيو!$B271,"")</f>
        <v>0</v>
      </c>
      <c r="C271" s="13" t="str">
        <f aca="false">IFERROR(IF($B271="","",SUMIFS(الريسبي!$F$2:$F$1800,الريسبي!$A$2:$A$1800,$B271)),"")</f>
        <v/>
      </c>
      <c r="D271" s="70" t="str">
        <f aca="false">IFERROR(IF($B271="","",المنيو!$C271),"")</f>
        <v/>
      </c>
      <c r="E271" s="12" t="str">
        <f aca="false">IFERROR(IF(OR($B271="",$D271=0,$D271=""),"",$N271/$D271),"")</f>
        <v/>
      </c>
      <c r="F271" s="75" t="n">
        <f aca="false">$F$2</f>
        <v>0.375</v>
      </c>
      <c r="G271" s="13" t="str">
        <f aca="false">IFERROR(IF($B271="","",$N271/$F271),"")</f>
        <v/>
      </c>
      <c r="H271" s="13" t="str">
        <f aca="false">IFERROR(IF($B271="","",$D271-$N271),"")</f>
        <v/>
      </c>
      <c r="I271" s="12" t="str">
        <f aca="false">IFERROR(IF(OR($B271="",$D271=0,$D271=""),"",$H271/$D271),"")</f>
        <v/>
      </c>
      <c r="J271" s="75" t="n">
        <f aca="false">$J$2</f>
        <v>0.25</v>
      </c>
      <c r="K271" s="12" t="str">
        <f aca="false">IFERROR(IF($B271="","",$E271+$J271),"")</f>
        <v/>
      </c>
      <c r="L271" s="11" t="str">
        <f aca="false">IFERROR(IF(OR($B271="",$C271=0,$C271=""),"",$I271+ROW()*0.0000001),"")</f>
        <v/>
      </c>
      <c r="M271" s="76" t="n">
        <f aca="false">$M$2</f>
        <v>0.9319</v>
      </c>
      <c r="N271" s="13" t="str">
        <f aca="false">IFERROR(IF($B271="","",$C271+$M271),"")</f>
        <v/>
      </c>
    </row>
    <row r="272" customFormat="false" ht="15" hidden="false" customHeight="true" outlineLevel="0" collapsed="false">
      <c r="A272" s="69" t="str">
        <f aca="false">IFERROR(IF(المنيو!$B272="","",المنيو!$A272),"")</f>
        <v/>
      </c>
      <c r="B272" s="69" t="n">
        <f aca="false">IFERROR(المنيو!$B272,"")</f>
        <v>0</v>
      </c>
      <c r="C272" s="13" t="str">
        <f aca="false">IFERROR(IF($B272="","",SUMIFS(الريسبي!$F$2:$F$1800,الريسبي!$A$2:$A$1800,$B272)),"")</f>
        <v/>
      </c>
      <c r="D272" s="70" t="str">
        <f aca="false">IFERROR(IF($B272="","",المنيو!$C272),"")</f>
        <v/>
      </c>
      <c r="E272" s="12" t="str">
        <f aca="false">IFERROR(IF(OR($B272="",$D272=0,$D272=""),"",$N272/$D272),"")</f>
        <v/>
      </c>
      <c r="F272" s="75" t="n">
        <f aca="false">$F$2</f>
        <v>0.375</v>
      </c>
      <c r="G272" s="13" t="str">
        <f aca="false">IFERROR(IF($B272="","",$N272/$F272),"")</f>
        <v/>
      </c>
      <c r="H272" s="13" t="str">
        <f aca="false">IFERROR(IF($B272="","",$D272-$N272),"")</f>
        <v/>
      </c>
      <c r="I272" s="12" t="str">
        <f aca="false">IFERROR(IF(OR($B272="",$D272=0,$D272=""),"",$H272/$D272),"")</f>
        <v/>
      </c>
      <c r="J272" s="75" t="n">
        <f aca="false">$J$2</f>
        <v>0.25</v>
      </c>
      <c r="K272" s="12" t="str">
        <f aca="false">IFERROR(IF($B272="","",$E272+$J272),"")</f>
        <v/>
      </c>
      <c r="L272" s="11" t="str">
        <f aca="false">IFERROR(IF(OR($B272="",$C272=0,$C272=""),"",$I272+ROW()*0.0000001),"")</f>
        <v/>
      </c>
      <c r="M272" s="76" t="n">
        <f aca="false">$M$2</f>
        <v>0.9319</v>
      </c>
      <c r="N272" s="13" t="str">
        <f aca="false">IFERROR(IF($B272="","",$C272+$M272),"")</f>
        <v/>
      </c>
    </row>
    <row r="273" customFormat="false" ht="15" hidden="false" customHeight="true" outlineLevel="0" collapsed="false">
      <c r="A273" s="69" t="str">
        <f aca="false">IFERROR(IF(المنيو!$B273="","",المنيو!$A273),"")</f>
        <v/>
      </c>
      <c r="B273" s="69" t="n">
        <f aca="false">IFERROR(المنيو!$B273,"")</f>
        <v>0</v>
      </c>
      <c r="C273" s="13" t="str">
        <f aca="false">IFERROR(IF($B273="","",SUMIFS(الريسبي!$F$2:$F$1800,الريسبي!$A$2:$A$1800,$B273)),"")</f>
        <v/>
      </c>
      <c r="D273" s="70" t="str">
        <f aca="false">IFERROR(IF($B273="","",المنيو!$C273),"")</f>
        <v/>
      </c>
      <c r="E273" s="12" t="str">
        <f aca="false">IFERROR(IF(OR($B273="",$D273=0,$D273=""),"",$N273/$D273),"")</f>
        <v/>
      </c>
      <c r="F273" s="75" t="n">
        <f aca="false">$F$2</f>
        <v>0.375</v>
      </c>
      <c r="G273" s="13" t="str">
        <f aca="false">IFERROR(IF($B273="","",$N273/$F273),"")</f>
        <v/>
      </c>
      <c r="H273" s="13" t="str">
        <f aca="false">IFERROR(IF($B273="","",$D273-$N273),"")</f>
        <v/>
      </c>
      <c r="I273" s="12" t="str">
        <f aca="false">IFERROR(IF(OR($B273="",$D273=0,$D273=""),"",$H273/$D273),"")</f>
        <v/>
      </c>
      <c r="J273" s="75" t="n">
        <f aca="false">$J$2</f>
        <v>0.25</v>
      </c>
      <c r="K273" s="12" t="str">
        <f aca="false">IFERROR(IF($B273="","",$E273+$J273),"")</f>
        <v/>
      </c>
      <c r="L273" s="11" t="str">
        <f aca="false">IFERROR(IF(OR($B273="",$C273=0,$C273=""),"",$I273+ROW()*0.0000001),"")</f>
        <v/>
      </c>
      <c r="M273" s="76" t="n">
        <f aca="false">$M$2</f>
        <v>0.9319</v>
      </c>
      <c r="N273" s="13" t="str">
        <f aca="false">IFERROR(IF($B273="","",$C273+$M273),"")</f>
        <v/>
      </c>
    </row>
    <row r="274" customFormat="false" ht="15" hidden="false" customHeight="true" outlineLevel="0" collapsed="false">
      <c r="A274" s="69" t="str">
        <f aca="false">IFERROR(IF(المنيو!$B274="","",المنيو!$A274),"")</f>
        <v/>
      </c>
      <c r="B274" s="69" t="n">
        <f aca="false">IFERROR(المنيو!$B274,"")</f>
        <v>0</v>
      </c>
      <c r="C274" s="13" t="str">
        <f aca="false">IFERROR(IF($B274="","",SUMIFS(الريسبي!$F$2:$F$1800,الريسبي!$A$2:$A$1800,$B274)),"")</f>
        <v/>
      </c>
      <c r="D274" s="70" t="str">
        <f aca="false">IFERROR(IF($B274="","",المنيو!$C274),"")</f>
        <v/>
      </c>
      <c r="E274" s="12" t="str">
        <f aca="false">IFERROR(IF(OR($B274="",$D274=0,$D274=""),"",$N274/$D274),"")</f>
        <v/>
      </c>
      <c r="F274" s="75" t="n">
        <f aca="false">$F$2</f>
        <v>0.375</v>
      </c>
      <c r="G274" s="13" t="str">
        <f aca="false">IFERROR(IF($B274="","",$N274/$F274),"")</f>
        <v/>
      </c>
      <c r="H274" s="13" t="str">
        <f aca="false">IFERROR(IF($B274="","",$D274-$N274),"")</f>
        <v/>
      </c>
      <c r="I274" s="12" t="str">
        <f aca="false">IFERROR(IF(OR($B274="",$D274=0,$D274=""),"",$H274/$D274),"")</f>
        <v/>
      </c>
      <c r="J274" s="75" t="n">
        <f aca="false">$J$2</f>
        <v>0.25</v>
      </c>
      <c r="K274" s="12" t="str">
        <f aca="false">IFERROR(IF($B274="","",$E274+$J274),"")</f>
        <v/>
      </c>
      <c r="L274" s="11" t="str">
        <f aca="false">IFERROR(IF(OR($B274="",$C274=0,$C274=""),"",$I274+ROW()*0.0000001),"")</f>
        <v/>
      </c>
      <c r="M274" s="76" t="n">
        <f aca="false">$M$2</f>
        <v>0.9319</v>
      </c>
      <c r="N274" s="13" t="str">
        <f aca="false">IFERROR(IF($B274="","",$C274+$M274),"")</f>
        <v/>
      </c>
    </row>
    <row r="275" customFormat="false" ht="15" hidden="false" customHeight="true" outlineLevel="0" collapsed="false">
      <c r="A275" s="69" t="str">
        <f aca="false">IFERROR(IF(المنيو!$B275="","",المنيو!$A275),"")</f>
        <v/>
      </c>
      <c r="B275" s="69" t="n">
        <f aca="false">IFERROR(المنيو!$B275,"")</f>
        <v>0</v>
      </c>
      <c r="C275" s="13" t="str">
        <f aca="false">IFERROR(IF($B275="","",SUMIFS(الريسبي!$F$2:$F$1800,الريسبي!$A$2:$A$1800,$B275)),"")</f>
        <v/>
      </c>
      <c r="D275" s="70" t="str">
        <f aca="false">IFERROR(IF($B275="","",المنيو!$C275),"")</f>
        <v/>
      </c>
      <c r="E275" s="12" t="str">
        <f aca="false">IFERROR(IF(OR($B275="",$D275=0,$D275=""),"",$N275/$D275),"")</f>
        <v/>
      </c>
      <c r="F275" s="75" t="n">
        <f aca="false">$F$2</f>
        <v>0.375</v>
      </c>
      <c r="G275" s="13" t="str">
        <f aca="false">IFERROR(IF($B275="","",$N275/$F275),"")</f>
        <v/>
      </c>
      <c r="H275" s="13" t="str">
        <f aca="false">IFERROR(IF($B275="","",$D275-$N275),"")</f>
        <v/>
      </c>
      <c r="I275" s="12" t="str">
        <f aca="false">IFERROR(IF(OR($B275="",$D275=0,$D275=""),"",$H275/$D275),"")</f>
        <v/>
      </c>
      <c r="J275" s="75" t="n">
        <f aca="false">$J$2</f>
        <v>0.25</v>
      </c>
      <c r="K275" s="12" t="str">
        <f aca="false">IFERROR(IF($B275="","",$E275+$J275),"")</f>
        <v/>
      </c>
      <c r="L275" s="11" t="str">
        <f aca="false">IFERROR(IF(OR($B275="",$C275=0,$C275=""),"",$I275+ROW()*0.0000001),"")</f>
        <v/>
      </c>
      <c r="M275" s="76" t="n">
        <f aca="false">$M$2</f>
        <v>0.9319</v>
      </c>
      <c r="N275" s="13" t="str">
        <f aca="false">IFERROR(IF($B275="","",$C275+$M275),"")</f>
        <v/>
      </c>
    </row>
    <row r="276" customFormat="false" ht="15" hidden="false" customHeight="true" outlineLevel="0" collapsed="false">
      <c r="A276" s="69" t="str">
        <f aca="false">IFERROR(IF(المنيو!$B276="","",المنيو!$A276),"")</f>
        <v/>
      </c>
      <c r="B276" s="69" t="n">
        <f aca="false">IFERROR(المنيو!$B276,"")</f>
        <v>0</v>
      </c>
      <c r="C276" s="13" t="str">
        <f aca="false">IFERROR(IF($B276="","",SUMIFS(الريسبي!$F$2:$F$1800,الريسبي!$A$2:$A$1800,$B276)),"")</f>
        <v/>
      </c>
      <c r="D276" s="70" t="str">
        <f aca="false">IFERROR(IF($B276="","",المنيو!$C276),"")</f>
        <v/>
      </c>
      <c r="E276" s="12" t="str">
        <f aca="false">IFERROR(IF(OR($B276="",$D276=0,$D276=""),"",$N276/$D276),"")</f>
        <v/>
      </c>
      <c r="F276" s="75" t="n">
        <f aca="false">$F$2</f>
        <v>0.375</v>
      </c>
      <c r="G276" s="13" t="str">
        <f aca="false">IFERROR(IF($B276="","",$N276/$F276),"")</f>
        <v/>
      </c>
      <c r="H276" s="13" t="str">
        <f aca="false">IFERROR(IF($B276="","",$D276-$N276),"")</f>
        <v/>
      </c>
      <c r="I276" s="12" t="str">
        <f aca="false">IFERROR(IF(OR($B276="",$D276=0,$D276=""),"",$H276/$D276),"")</f>
        <v/>
      </c>
      <c r="J276" s="75" t="n">
        <f aca="false">$J$2</f>
        <v>0.25</v>
      </c>
      <c r="K276" s="12" t="str">
        <f aca="false">IFERROR(IF($B276="","",$E276+$J276),"")</f>
        <v/>
      </c>
      <c r="L276" s="11" t="str">
        <f aca="false">IFERROR(IF(OR($B276="",$C276=0,$C276=""),"",$I276+ROW()*0.0000001),"")</f>
        <v/>
      </c>
      <c r="M276" s="76" t="n">
        <f aca="false">$M$2</f>
        <v>0.9319</v>
      </c>
      <c r="N276" s="13" t="str">
        <f aca="false">IFERROR(IF($B276="","",$C276+$M276),"")</f>
        <v/>
      </c>
    </row>
    <row r="277" customFormat="false" ht="15" hidden="false" customHeight="true" outlineLevel="0" collapsed="false">
      <c r="A277" s="69" t="str">
        <f aca="false">IFERROR(IF(المنيو!$B277="","",المنيو!$A277),"")</f>
        <v/>
      </c>
      <c r="B277" s="69" t="n">
        <f aca="false">IFERROR(المنيو!$B277,"")</f>
        <v>0</v>
      </c>
      <c r="C277" s="13" t="str">
        <f aca="false">IFERROR(IF($B277="","",SUMIFS(الريسبي!$F$2:$F$1800,الريسبي!$A$2:$A$1800,$B277)),"")</f>
        <v/>
      </c>
      <c r="D277" s="70" t="str">
        <f aca="false">IFERROR(IF($B277="","",المنيو!$C277),"")</f>
        <v/>
      </c>
      <c r="E277" s="12" t="str">
        <f aca="false">IFERROR(IF(OR($B277="",$D277=0,$D277=""),"",$N277/$D277),"")</f>
        <v/>
      </c>
      <c r="F277" s="75" t="n">
        <f aca="false">$F$2</f>
        <v>0.375</v>
      </c>
      <c r="G277" s="13" t="str">
        <f aca="false">IFERROR(IF($B277="","",$N277/$F277),"")</f>
        <v/>
      </c>
      <c r="H277" s="13" t="str">
        <f aca="false">IFERROR(IF($B277="","",$D277-$N277),"")</f>
        <v/>
      </c>
      <c r="I277" s="12" t="str">
        <f aca="false">IFERROR(IF(OR($B277="",$D277=0,$D277=""),"",$H277/$D277),"")</f>
        <v/>
      </c>
      <c r="J277" s="75" t="n">
        <f aca="false">$J$2</f>
        <v>0.25</v>
      </c>
      <c r="K277" s="12" t="str">
        <f aca="false">IFERROR(IF($B277="","",$E277+$J277),"")</f>
        <v/>
      </c>
      <c r="L277" s="11" t="str">
        <f aca="false">IFERROR(IF(OR($B277="",$C277=0,$C277=""),"",$I277+ROW()*0.0000001),"")</f>
        <v/>
      </c>
      <c r="M277" s="76" t="n">
        <f aca="false">$M$2</f>
        <v>0.9319</v>
      </c>
      <c r="N277" s="13" t="str">
        <f aca="false">IFERROR(IF($B277="","",$C277+$M277),"")</f>
        <v/>
      </c>
    </row>
    <row r="278" customFormat="false" ht="15" hidden="false" customHeight="true" outlineLevel="0" collapsed="false">
      <c r="A278" s="69" t="str">
        <f aca="false">IFERROR(IF(المنيو!$B278="","",المنيو!$A278),"")</f>
        <v/>
      </c>
      <c r="B278" s="69" t="n">
        <f aca="false">IFERROR(المنيو!$B278,"")</f>
        <v>0</v>
      </c>
      <c r="C278" s="13" t="str">
        <f aca="false">IFERROR(IF($B278="","",SUMIFS(الريسبي!$F$2:$F$1800,الريسبي!$A$2:$A$1800,$B278)),"")</f>
        <v/>
      </c>
      <c r="D278" s="70" t="str">
        <f aca="false">IFERROR(IF($B278="","",المنيو!$C278),"")</f>
        <v/>
      </c>
      <c r="E278" s="12" t="str">
        <f aca="false">IFERROR(IF(OR($B278="",$D278=0,$D278=""),"",$N278/$D278),"")</f>
        <v/>
      </c>
      <c r="F278" s="75" t="n">
        <f aca="false">$F$2</f>
        <v>0.375</v>
      </c>
      <c r="G278" s="13" t="str">
        <f aca="false">IFERROR(IF($B278="","",$N278/$F278),"")</f>
        <v/>
      </c>
      <c r="H278" s="13" t="str">
        <f aca="false">IFERROR(IF($B278="","",$D278-$N278),"")</f>
        <v/>
      </c>
      <c r="I278" s="12" t="str">
        <f aca="false">IFERROR(IF(OR($B278="",$D278=0,$D278=""),"",$H278/$D278),"")</f>
        <v/>
      </c>
      <c r="J278" s="75" t="n">
        <f aca="false">$J$2</f>
        <v>0.25</v>
      </c>
      <c r="K278" s="12" t="str">
        <f aca="false">IFERROR(IF($B278="","",$E278+$J278),"")</f>
        <v/>
      </c>
      <c r="L278" s="11" t="str">
        <f aca="false">IFERROR(IF(OR($B278="",$C278=0,$C278=""),"",$I278+ROW()*0.0000001),"")</f>
        <v/>
      </c>
      <c r="M278" s="76" t="n">
        <f aca="false">$M$2</f>
        <v>0.9319</v>
      </c>
      <c r="N278" s="13" t="str">
        <f aca="false">IFERROR(IF($B278="","",$C278+$M278),"")</f>
        <v/>
      </c>
    </row>
    <row r="279" customFormat="false" ht="15" hidden="false" customHeight="true" outlineLevel="0" collapsed="false">
      <c r="A279" s="69" t="str">
        <f aca="false">IFERROR(IF(المنيو!$B279="","",المنيو!$A279),"")</f>
        <v/>
      </c>
      <c r="B279" s="69" t="n">
        <f aca="false">IFERROR(المنيو!$B279,"")</f>
        <v>0</v>
      </c>
      <c r="C279" s="13" t="str">
        <f aca="false">IFERROR(IF($B279="","",SUMIFS(الريسبي!$F$2:$F$1800,الريسبي!$A$2:$A$1800,$B279)),"")</f>
        <v/>
      </c>
      <c r="D279" s="70" t="str">
        <f aca="false">IFERROR(IF($B279="","",المنيو!$C279),"")</f>
        <v/>
      </c>
      <c r="E279" s="12" t="str">
        <f aca="false">IFERROR(IF(OR($B279="",$D279=0,$D279=""),"",$N279/$D279),"")</f>
        <v/>
      </c>
      <c r="F279" s="75" t="n">
        <f aca="false">$F$2</f>
        <v>0.375</v>
      </c>
      <c r="G279" s="13" t="str">
        <f aca="false">IFERROR(IF($B279="","",$N279/$F279),"")</f>
        <v/>
      </c>
      <c r="H279" s="13" t="str">
        <f aca="false">IFERROR(IF($B279="","",$D279-$N279),"")</f>
        <v/>
      </c>
      <c r="I279" s="12" t="str">
        <f aca="false">IFERROR(IF(OR($B279="",$D279=0,$D279=""),"",$H279/$D279),"")</f>
        <v/>
      </c>
      <c r="J279" s="75" t="n">
        <f aca="false">$J$2</f>
        <v>0.25</v>
      </c>
      <c r="K279" s="12" t="str">
        <f aca="false">IFERROR(IF($B279="","",$E279+$J279),"")</f>
        <v/>
      </c>
      <c r="L279" s="11" t="str">
        <f aca="false">IFERROR(IF(OR($B279="",$C279=0,$C279=""),"",$I279+ROW()*0.0000001),"")</f>
        <v/>
      </c>
      <c r="M279" s="76" t="n">
        <f aca="false">$M$2</f>
        <v>0.9319</v>
      </c>
      <c r="N279" s="13" t="str">
        <f aca="false">IFERROR(IF($B279="","",$C279+$M279),"")</f>
        <v/>
      </c>
    </row>
    <row r="280" customFormat="false" ht="15" hidden="false" customHeight="true" outlineLevel="0" collapsed="false">
      <c r="A280" s="69" t="str">
        <f aca="false">IFERROR(IF(المنيو!$B280="","",المنيو!$A280),"")</f>
        <v/>
      </c>
      <c r="B280" s="69" t="n">
        <f aca="false">IFERROR(المنيو!$B280,"")</f>
        <v>0</v>
      </c>
      <c r="C280" s="13" t="str">
        <f aca="false">IFERROR(IF($B280="","",SUMIFS(الريسبي!$F$2:$F$1800,الريسبي!$A$2:$A$1800,$B280)),"")</f>
        <v/>
      </c>
      <c r="D280" s="70" t="str">
        <f aca="false">IFERROR(IF($B280="","",المنيو!$C280),"")</f>
        <v/>
      </c>
      <c r="E280" s="12" t="str">
        <f aca="false">IFERROR(IF(OR($B280="",$D280=0,$D280=""),"",$N280/$D280),"")</f>
        <v/>
      </c>
      <c r="F280" s="75" t="n">
        <f aca="false">$F$2</f>
        <v>0.375</v>
      </c>
      <c r="G280" s="13" t="str">
        <f aca="false">IFERROR(IF($B280="","",$N280/$F280),"")</f>
        <v/>
      </c>
      <c r="H280" s="13" t="str">
        <f aca="false">IFERROR(IF($B280="","",$D280-$N280),"")</f>
        <v/>
      </c>
      <c r="I280" s="12" t="str">
        <f aca="false">IFERROR(IF(OR($B280="",$D280=0,$D280=""),"",$H280/$D280),"")</f>
        <v/>
      </c>
      <c r="J280" s="75" t="n">
        <f aca="false">$J$2</f>
        <v>0.25</v>
      </c>
      <c r="K280" s="12" t="str">
        <f aca="false">IFERROR(IF($B280="","",$E280+$J280),"")</f>
        <v/>
      </c>
      <c r="L280" s="11" t="str">
        <f aca="false">IFERROR(IF(OR($B280="",$C280=0,$C280=""),"",$I280+ROW()*0.0000001),"")</f>
        <v/>
      </c>
      <c r="M280" s="76" t="n">
        <f aca="false">$M$2</f>
        <v>0.9319</v>
      </c>
      <c r="N280" s="13" t="str">
        <f aca="false">IFERROR(IF($B280="","",$C280+$M280),"")</f>
        <v/>
      </c>
    </row>
    <row r="281" customFormat="false" ht="15" hidden="false" customHeight="true" outlineLevel="0" collapsed="false">
      <c r="A281" s="69" t="str">
        <f aca="false">IFERROR(IF(المنيو!$B281="","",المنيو!$A281),"")</f>
        <v/>
      </c>
      <c r="B281" s="69" t="n">
        <f aca="false">IFERROR(المنيو!$B281,"")</f>
        <v>0</v>
      </c>
      <c r="C281" s="13" t="str">
        <f aca="false">IFERROR(IF($B281="","",SUMIFS(الريسبي!$F$2:$F$1800,الريسبي!$A$2:$A$1800,$B281)),"")</f>
        <v/>
      </c>
      <c r="D281" s="70" t="str">
        <f aca="false">IFERROR(IF($B281="","",المنيو!$C281),"")</f>
        <v/>
      </c>
      <c r="E281" s="12" t="str">
        <f aca="false">IFERROR(IF(OR($B281="",$D281=0,$D281=""),"",$N281/$D281),"")</f>
        <v/>
      </c>
      <c r="F281" s="75" t="n">
        <f aca="false">$F$2</f>
        <v>0.375</v>
      </c>
      <c r="G281" s="13" t="str">
        <f aca="false">IFERROR(IF($B281="","",$N281/$F281),"")</f>
        <v/>
      </c>
      <c r="H281" s="13" t="str">
        <f aca="false">IFERROR(IF($B281="","",$D281-$N281),"")</f>
        <v/>
      </c>
      <c r="I281" s="12" t="str">
        <f aca="false">IFERROR(IF(OR($B281="",$D281=0,$D281=""),"",$H281/$D281),"")</f>
        <v/>
      </c>
      <c r="J281" s="75" t="n">
        <f aca="false">$J$2</f>
        <v>0.25</v>
      </c>
      <c r="K281" s="12" t="str">
        <f aca="false">IFERROR(IF($B281="","",$E281+$J281),"")</f>
        <v/>
      </c>
      <c r="L281" s="11" t="str">
        <f aca="false">IFERROR(IF(OR($B281="",$C281=0,$C281=""),"",$I281+ROW()*0.0000001),"")</f>
        <v/>
      </c>
      <c r="M281" s="76" t="n">
        <f aca="false">$M$2</f>
        <v>0.9319</v>
      </c>
      <c r="N281" s="13" t="str">
        <f aca="false">IFERROR(IF($B281="","",$C281+$M281),"")</f>
        <v/>
      </c>
    </row>
    <row r="282" customFormat="false" ht="15" hidden="false" customHeight="true" outlineLevel="0" collapsed="false">
      <c r="A282" s="69" t="str">
        <f aca="false">IFERROR(IF(المنيو!$B282="","",المنيو!$A282),"")</f>
        <v/>
      </c>
      <c r="B282" s="69" t="n">
        <f aca="false">IFERROR(المنيو!$B282,"")</f>
        <v>0</v>
      </c>
      <c r="C282" s="13" t="str">
        <f aca="false">IFERROR(IF($B282="","",SUMIFS(الريسبي!$F$2:$F$1800,الريسبي!$A$2:$A$1800,$B282)),"")</f>
        <v/>
      </c>
      <c r="D282" s="70" t="str">
        <f aca="false">IFERROR(IF($B282="","",المنيو!$C282),"")</f>
        <v/>
      </c>
      <c r="E282" s="12" t="str">
        <f aca="false">IFERROR(IF(OR($B282="",$D282=0,$D282=""),"",$N282/$D282),"")</f>
        <v/>
      </c>
      <c r="F282" s="75" t="n">
        <f aca="false">$F$2</f>
        <v>0.375</v>
      </c>
      <c r="G282" s="13" t="str">
        <f aca="false">IFERROR(IF($B282="","",$N282/$F282),"")</f>
        <v/>
      </c>
      <c r="H282" s="13" t="str">
        <f aca="false">IFERROR(IF($B282="","",$D282-$N282),"")</f>
        <v/>
      </c>
      <c r="I282" s="12" t="str">
        <f aca="false">IFERROR(IF(OR($B282="",$D282=0,$D282=""),"",$H282/$D282),"")</f>
        <v/>
      </c>
      <c r="J282" s="75" t="n">
        <f aca="false">$J$2</f>
        <v>0.25</v>
      </c>
      <c r="K282" s="12" t="str">
        <f aca="false">IFERROR(IF($B282="","",$E282+$J282),"")</f>
        <v/>
      </c>
      <c r="L282" s="11" t="str">
        <f aca="false">IFERROR(IF(OR($B282="",$C282=0,$C282=""),"",$I282+ROW()*0.0000001),"")</f>
        <v/>
      </c>
      <c r="M282" s="76" t="n">
        <f aca="false">$M$2</f>
        <v>0.9319</v>
      </c>
      <c r="N282" s="13" t="str">
        <f aca="false">IFERROR(IF($B282="","",$C282+$M282),"")</f>
        <v/>
      </c>
    </row>
    <row r="283" customFormat="false" ht="15" hidden="false" customHeight="true" outlineLevel="0" collapsed="false">
      <c r="A283" s="69" t="str">
        <f aca="false">IFERROR(IF(المنيو!$B283="","",المنيو!$A283),"")</f>
        <v/>
      </c>
      <c r="B283" s="69" t="n">
        <f aca="false">IFERROR(المنيو!$B283,"")</f>
        <v>0</v>
      </c>
      <c r="C283" s="13" t="str">
        <f aca="false">IFERROR(IF($B283="","",SUMIFS(الريسبي!$F$2:$F$1800,الريسبي!$A$2:$A$1800,$B283)),"")</f>
        <v/>
      </c>
      <c r="D283" s="70" t="str">
        <f aca="false">IFERROR(IF($B283="","",المنيو!$C283),"")</f>
        <v/>
      </c>
      <c r="E283" s="12" t="str">
        <f aca="false">IFERROR(IF(OR($B283="",$D283=0,$D283=""),"",$N283/$D283),"")</f>
        <v/>
      </c>
      <c r="F283" s="75" t="n">
        <f aca="false">$F$2</f>
        <v>0.375</v>
      </c>
      <c r="G283" s="13" t="str">
        <f aca="false">IFERROR(IF($B283="","",$N283/$F283),"")</f>
        <v/>
      </c>
      <c r="H283" s="13" t="str">
        <f aca="false">IFERROR(IF($B283="","",$D283-$N283),"")</f>
        <v/>
      </c>
      <c r="I283" s="12" t="str">
        <f aca="false">IFERROR(IF(OR($B283="",$D283=0,$D283=""),"",$H283/$D283),"")</f>
        <v/>
      </c>
      <c r="J283" s="75" t="n">
        <f aca="false">$J$2</f>
        <v>0.25</v>
      </c>
      <c r="K283" s="12" t="str">
        <f aca="false">IFERROR(IF($B283="","",$E283+$J283),"")</f>
        <v/>
      </c>
      <c r="L283" s="11" t="str">
        <f aca="false">IFERROR(IF(OR($B283="",$C283=0,$C283=""),"",$I283+ROW()*0.0000001),"")</f>
        <v/>
      </c>
      <c r="M283" s="76" t="n">
        <f aca="false">$M$2</f>
        <v>0.9319</v>
      </c>
      <c r="N283" s="13" t="str">
        <f aca="false">IFERROR(IF($B283="","",$C283+$M283),"")</f>
        <v/>
      </c>
    </row>
    <row r="284" customFormat="false" ht="15" hidden="false" customHeight="true" outlineLevel="0" collapsed="false">
      <c r="A284" s="69" t="str">
        <f aca="false">IFERROR(IF(المنيو!$B284="","",المنيو!$A284),"")</f>
        <v/>
      </c>
      <c r="B284" s="69" t="n">
        <f aca="false">IFERROR(المنيو!$B284,"")</f>
        <v>0</v>
      </c>
      <c r="C284" s="13" t="str">
        <f aca="false">IFERROR(IF($B284="","",SUMIFS(الريسبي!$F$2:$F$1800,الريسبي!$A$2:$A$1800,$B284)),"")</f>
        <v/>
      </c>
      <c r="D284" s="70" t="str">
        <f aca="false">IFERROR(IF($B284="","",المنيو!$C284),"")</f>
        <v/>
      </c>
      <c r="E284" s="12" t="str">
        <f aca="false">IFERROR(IF(OR($B284="",$D284=0,$D284=""),"",$N284/$D284),"")</f>
        <v/>
      </c>
      <c r="F284" s="75" t="n">
        <f aca="false">$F$2</f>
        <v>0.375</v>
      </c>
      <c r="G284" s="13" t="str">
        <f aca="false">IFERROR(IF($B284="","",$N284/$F284),"")</f>
        <v/>
      </c>
      <c r="H284" s="13" t="str">
        <f aca="false">IFERROR(IF($B284="","",$D284-$N284),"")</f>
        <v/>
      </c>
      <c r="I284" s="12" t="str">
        <f aca="false">IFERROR(IF(OR($B284="",$D284=0,$D284=""),"",$H284/$D284),"")</f>
        <v/>
      </c>
      <c r="J284" s="75" t="n">
        <f aca="false">$J$2</f>
        <v>0.25</v>
      </c>
      <c r="K284" s="12" t="str">
        <f aca="false">IFERROR(IF($B284="","",$E284+$J284),"")</f>
        <v/>
      </c>
      <c r="L284" s="11" t="str">
        <f aca="false">IFERROR(IF(OR($B284="",$C284=0,$C284=""),"",$I284+ROW()*0.0000001),"")</f>
        <v/>
      </c>
      <c r="M284" s="76" t="n">
        <f aca="false">$M$2</f>
        <v>0.9319</v>
      </c>
      <c r="N284" s="13" t="str">
        <f aca="false">IFERROR(IF($B284="","",$C284+$M284),"")</f>
        <v/>
      </c>
    </row>
    <row r="285" customFormat="false" ht="15" hidden="false" customHeight="true" outlineLevel="0" collapsed="false">
      <c r="A285" s="69" t="str">
        <f aca="false">IFERROR(IF(المنيو!$B285="","",المنيو!$A285),"")</f>
        <v/>
      </c>
      <c r="B285" s="69" t="n">
        <f aca="false">IFERROR(المنيو!$B285,"")</f>
        <v>0</v>
      </c>
      <c r="C285" s="13" t="str">
        <f aca="false">IFERROR(IF($B285="","",SUMIFS(الريسبي!$F$2:$F$1800,الريسبي!$A$2:$A$1800,$B285)),"")</f>
        <v/>
      </c>
      <c r="D285" s="70" t="str">
        <f aca="false">IFERROR(IF($B285="","",المنيو!$C285),"")</f>
        <v/>
      </c>
      <c r="E285" s="12" t="str">
        <f aca="false">IFERROR(IF(OR($B285="",$D285=0,$D285=""),"",$N285/$D285),"")</f>
        <v/>
      </c>
      <c r="F285" s="75" t="n">
        <f aca="false">$F$2</f>
        <v>0.375</v>
      </c>
      <c r="G285" s="13" t="str">
        <f aca="false">IFERROR(IF($B285="","",$N285/$F285),"")</f>
        <v/>
      </c>
      <c r="H285" s="13" t="str">
        <f aca="false">IFERROR(IF($B285="","",$D285-$N285),"")</f>
        <v/>
      </c>
      <c r="I285" s="12" t="str">
        <f aca="false">IFERROR(IF(OR($B285="",$D285=0,$D285=""),"",$H285/$D285),"")</f>
        <v/>
      </c>
      <c r="J285" s="75" t="n">
        <f aca="false">$J$2</f>
        <v>0.25</v>
      </c>
      <c r="K285" s="12" t="str">
        <f aca="false">IFERROR(IF($B285="","",$E285+$J285),"")</f>
        <v/>
      </c>
      <c r="L285" s="11" t="str">
        <f aca="false">IFERROR(IF(OR($B285="",$C285=0,$C285=""),"",$I285+ROW()*0.0000001),"")</f>
        <v/>
      </c>
      <c r="M285" s="76" t="n">
        <f aca="false">$M$2</f>
        <v>0.9319</v>
      </c>
      <c r="N285" s="13" t="str">
        <f aca="false">IFERROR(IF($B285="","",$C285+$M285),"")</f>
        <v/>
      </c>
    </row>
    <row r="286" customFormat="false" ht="15" hidden="false" customHeight="true" outlineLevel="0" collapsed="false">
      <c r="A286" s="69" t="str">
        <f aca="false">IFERROR(IF(المنيو!$B286="","",المنيو!$A286),"")</f>
        <v/>
      </c>
      <c r="B286" s="69" t="n">
        <f aca="false">IFERROR(المنيو!$B286,"")</f>
        <v>0</v>
      </c>
      <c r="C286" s="13" t="str">
        <f aca="false">IFERROR(IF($B286="","",SUMIFS(الريسبي!$F$2:$F$1800,الريسبي!$A$2:$A$1800,$B286)),"")</f>
        <v/>
      </c>
      <c r="D286" s="70" t="str">
        <f aca="false">IFERROR(IF($B286="","",المنيو!$C286),"")</f>
        <v/>
      </c>
      <c r="E286" s="12" t="str">
        <f aca="false">IFERROR(IF(OR($B286="",$D286=0,$D286=""),"",$N286/$D286),"")</f>
        <v/>
      </c>
      <c r="F286" s="75" t="n">
        <f aca="false">$F$2</f>
        <v>0.375</v>
      </c>
      <c r="G286" s="13" t="str">
        <f aca="false">IFERROR(IF($B286="","",$N286/$F286),"")</f>
        <v/>
      </c>
      <c r="H286" s="13" t="str">
        <f aca="false">IFERROR(IF($B286="","",$D286-$N286),"")</f>
        <v/>
      </c>
      <c r="I286" s="12" t="str">
        <f aca="false">IFERROR(IF(OR($B286="",$D286=0,$D286=""),"",$H286/$D286),"")</f>
        <v/>
      </c>
      <c r="J286" s="75" t="n">
        <f aca="false">$J$2</f>
        <v>0.25</v>
      </c>
      <c r="K286" s="12" t="str">
        <f aca="false">IFERROR(IF($B286="","",$E286+$J286),"")</f>
        <v/>
      </c>
      <c r="L286" s="11" t="str">
        <f aca="false">IFERROR(IF(OR($B286="",$C286=0,$C286=""),"",$I286+ROW()*0.0000001),"")</f>
        <v/>
      </c>
      <c r="M286" s="76" t="n">
        <f aca="false">$M$2</f>
        <v>0.9319</v>
      </c>
      <c r="N286" s="13" t="str">
        <f aca="false">IFERROR(IF($B286="","",$C286+$M286),"")</f>
        <v/>
      </c>
    </row>
    <row r="287" customFormat="false" ht="15" hidden="false" customHeight="true" outlineLevel="0" collapsed="false">
      <c r="A287" s="69" t="str">
        <f aca="false">IFERROR(IF(المنيو!$B287="","",المنيو!$A287),"")</f>
        <v/>
      </c>
      <c r="B287" s="69" t="n">
        <f aca="false">IFERROR(المنيو!$B287,"")</f>
        <v>0</v>
      </c>
      <c r="C287" s="13" t="str">
        <f aca="false">IFERROR(IF($B287="","",SUMIFS(الريسبي!$F$2:$F$1800,الريسبي!$A$2:$A$1800,$B287)),"")</f>
        <v/>
      </c>
      <c r="D287" s="70" t="str">
        <f aca="false">IFERROR(IF($B287="","",المنيو!$C287),"")</f>
        <v/>
      </c>
      <c r="E287" s="12" t="str">
        <f aca="false">IFERROR(IF(OR($B287="",$D287=0,$D287=""),"",$N287/$D287),"")</f>
        <v/>
      </c>
      <c r="F287" s="75" t="n">
        <f aca="false">$F$2</f>
        <v>0.375</v>
      </c>
      <c r="G287" s="13" t="str">
        <f aca="false">IFERROR(IF($B287="","",$N287/$F287),"")</f>
        <v/>
      </c>
      <c r="H287" s="13" t="str">
        <f aca="false">IFERROR(IF($B287="","",$D287-$N287),"")</f>
        <v/>
      </c>
      <c r="I287" s="12" t="str">
        <f aca="false">IFERROR(IF(OR($B287="",$D287=0,$D287=""),"",$H287/$D287),"")</f>
        <v/>
      </c>
      <c r="J287" s="75" t="n">
        <f aca="false">$J$2</f>
        <v>0.25</v>
      </c>
      <c r="K287" s="12" t="str">
        <f aca="false">IFERROR(IF($B287="","",$E287+$J287),"")</f>
        <v/>
      </c>
      <c r="L287" s="11" t="str">
        <f aca="false">IFERROR(IF(OR($B287="",$C287=0,$C287=""),"",$I287+ROW()*0.0000001),"")</f>
        <v/>
      </c>
      <c r="M287" s="76" t="n">
        <f aca="false">$M$2</f>
        <v>0.9319</v>
      </c>
      <c r="N287" s="13" t="str">
        <f aca="false">IFERROR(IF($B287="","",$C287+$M287),"")</f>
        <v/>
      </c>
    </row>
    <row r="288" customFormat="false" ht="15" hidden="false" customHeight="true" outlineLevel="0" collapsed="false">
      <c r="A288" s="69" t="str">
        <f aca="false">IFERROR(IF(المنيو!$B288="","",المنيو!$A288),"")</f>
        <v/>
      </c>
      <c r="B288" s="69" t="n">
        <f aca="false">IFERROR(المنيو!$B288,"")</f>
        <v>0</v>
      </c>
      <c r="C288" s="13" t="str">
        <f aca="false">IFERROR(IF($B288="","",SUMIFS(الريسبي!$F$2:$F$1800,الريسبي!$A$2:$A$1800,$B288)),"")</f>
        <v/>
      </c>
      <c r="D288" s="70" t="str">
        <f aca="false">IFERROR(IF($B288="","",المنيو!$C288),"")</f>
        <v/>
      </c>
      <c r="E288" s="12" t="str">
        <f aca="false">IFERROR(IF(OR($B288="",$D288=0,$D288=""),"",$N288/$D288),"")</f>
        <v/>
      </c>
      <c r="F288" s="75" t="n">
        <f aca="false">$F$2</f>
        <v>0.375</v>
      </c>
      <c r="G288" s="13" t="str">
        <f aca="false">IFERROR(IF($B288="","",$N288/$F288),"")</f>
        <v/>
      </c>
      <c r="H288" s="13" t="str">
        <f aca="false">IFERROR(IF($B288="","",$D288-$N288),"")</f>
        <v/>
      </c>
      <c r="I288" s="12" t="str">
        <f aca="false">IFERROR(IF(OR($B288="",$D288=0,$D288=""),"",$H288/$D288),"")</f>
        <v/>
      </c>
      <c r="J288" s="75" t="n">
        <f aca="false">$J$2</f>
        <v>0.25</v>
      </c>
      <c r="K288" s="12" t="str">
        <f aca="false">IFERROR(IF($B288="","",$E288+$J288),"")</f>
        <v/>
      </c>
      <c r="L288" s="11" t="str">
        <f aca="false">IFERROR(IF(OR($B288="",$C288=0,$C288=""),"",$I288+ROW()*0.0000001),"")</f>
        <v/>
      </c>
      <c r="M288" s="76" t="n">
        <f aca="false">$M$2</f>
        <v>0.9319</v>
      </c>
      <c r="N288" s="13" t="str">
        <f aca="false">IFERROR(IF($B288="","",$C288+$M288),"")</f>
        <v/>
      </c>
    </row>
    <row r="289" customFormat="false" ht="15" hidden="false" customHeight="true" outlineLevel="0" collapsed="false">
      <c r="A289" s="69" t="str">
        <f aca="false">IFERROR(IF(المنيو!$B289="","",المنيو!$A289),"")</f>
        <v/>
      </c>
      <c r="B289" s="69" t="n">
        <f aca="false">IFERROR(المنيو!$B289,"")</f>
        <v>0</v>
      </c>
      <c r="C289" s="13" t="str">
        <f aca="false">IFERROR(IF($B289="","",SUMIFS(الريسبي!$F$2:$F$1800,الريسبي!$A$2:$A$1800,$B289)),"")</f>
        <v/>
      </c>
      <c r="D289" s="70" t="str">
        <f aca="false">IFERROR(IF($B289="","",المنيو!$C289),"")</f>
        <v/>
      </c>
      <c r="E289" s="12" t="str">
        <f aca="false">IFERROR(IF(OR($B289="",$D289=0,$D289=""),"",$N289/$D289),"")</f>
        <v/>
      </c>
      <c r="F289" s="75" t="n">
        <f aca="false">$F$2</f>
        <v>0.375</v>
      </c>
      <c r="G289" s="13" t="str">
        <f aca="false">IFERROR(IF($B289="","",$N289/$F289),"")</f>
        <v/>
      </c>
      <c r="H289" s="13" t="str">
        <f aca="false">IFERROR(IF($B289="","",$D289-$N289),"")</f>
        <v/>
      </c>
      <c r="I289" s="12" t="str">
        <f aca="false">IFERROR(IF(OR($B289="",$D289=0,$D289=""),"",$H289/$D289),"")</f>
        <v/>
      </c>
      <c r="J289" s="75" t="n">
        <f aca="false">$J$2</f>
        <v>0.25</v>
      </c>
      <c r="K289" s="12" t="str">
        <f aca="false">IFERROR(IF($B289="","",$E289+$J289),"")</f>
        <v/>
      </c>
      <c r="L289" s="11" t="str">
        <f aca="false">IFERROR(IF(OR($B289="",$C289=0,$C289=""),"",$I289+ROW()*0.0000001),"")</f>
        <v/>
      </c>
      <c r="M289" s="76" t="n">
        <f aca="false">$M$2</f>
        <v>0.9319</v>
      </c>
      <c r="N289" s="13" t="str">
        <f aca="false">IFERROR(IF($B289="","",$C289+$M289),"")</f>
        <v/>
      </c>
    </row>
    <row r="290" customFormat="false" ht="15" hidden="false" customHeight="true" outlineLevel="0" collapsed="false">
      <c r="A290" s="69" t="str">
        <f aca="false">IFERROR(IF(المنيو!$B290="","",المنيو!$A290),"")</f>
        <v/>
      </c>
      <c r="B290" s="69" t="n">
        <f aca="false">IFERROR(المنيو!$B290,"")</f>
        <v>0</v>
      </c>
      <c r="C290" s="13" t="str">
        <f aca="false">IFERROR(IF($B290="","",SUMIFS(الريسبي!$F$2:$F$1800,الريسبي!$A$2:$A$1800,$B290)),"")</f>
        <v/>
      </c>
      <c r="D290" s="70" t="str">
        <f aca="false">IFERROR(IF($B290="","",المنيو!$C290),"")</f>
        <v/>
      </c>
      <c r="E290" s="12" t="str">
        <f aca="false">IFERROR(IF(OR($B290="",$D290=0,$D290=""),"",$N290/$D290),"")</f>
        <v/>
      </c>
      <c r="F290" s="75" t="n">
        <f aca="false">$F$2</f>
        <v>0.375</v>
      </c>
      <c r="G290" s="13" t="str">
        <f aca="false">IFERROR(IF($B290="","",$N290/$F290),"")</f>
        <v/>
      </c>
      <c r="H290" s="13" t="str">
        <f aca="false">IFERROR(IF($B290="","",$D290-$N290),"")</f>
        <v/>
      </c>
      <c r="I290" s="12" t="str">
        <f aca="false">IFERROR(IF(OR($B290="",$D290=0,$D290=""),"",$H290/$D290),"")</f>
        <v/>
      </c>
      <c r="J290" s="75" t="n">
        <f aca="false">$J$2</f>
        <v>0.25</v>
      </c>
      <c r="K290" s="12" t="str">
        <f aca="false">IFERROR(IF($B290="","",$E290+$J290),"")</f>
        <v/>
      </c>
      <c r="L290" s="11" t="str">
        <f aca="false">IFERROR(IF(OR($B290="",$C290=0,$C290=""),"",$I290+ROW()*0.0000001),"")</f>
        <v/>
      </c>
      <c r="M290" s="76" t="n">
        <f aca="false">$M$2</f>
        <v>0.9319</v>
      </c>
      <c r="N290" s="13" t="str">
        <f aca="false">IFERROR(IF($B290="","",$C290+$M290),"")</f>
        <v/>
      </c>
    </row>
    <row r="291" customFormat="false" ht="15" hidden="false" customHeight="true" outlineLevel="0" collapsed="false">
      <c r="A291" s="69" t="str">
        <f aca="false">IFERROR(IF(المنيو!$B291="","",المنيو!$A291),"")</f>
        <v/>
      </c>
      <c r="B291" s="69" t="n">
        <f aca="false">IFERROR(المنيو!$B291,"")</f>
        <v>0</v>
      </c>
      <c r="C291" s="13" t="str">
        <f aca="false">IFERROR(IF($B291="","",SUMIFS(الريسبي!$F$2:$F$1800,الريسبي!$A$2:$A$1800,$B291)),"")</f>
        <v/>
      </c>
      <c r="D291" s="70" t="str">
        <f aca="false">IFERROR(IF($B291="","",المنيو!$C291),"")</f>
        <v/>
      </c>
      <c r="E291" s="12" t="str">
        <f aca="false">IFERROR(IF(OR($B291="",$D291=0,$D291=""),"",$N291/$D291),"")</f>
        <v/>
      </c>
      <c r="F291" s="75" t="n">
        <f aca="false">$F$2</f>
        <v>0.375</v>
      </c>
      <c r="G291" s="13" t="str">
        <f aca="false">IFERROR(IF($B291="","",$N291/$F291),"")</f>
        <v/>
      </c>
      <c r="H291" s="13" t="str">
        <f aca="false">IFERROR(IF($B291="","",$D291-$N291),"")</f>
        <v/>
      </c>
      <c r="I291" s="12" t="str">
        <f aca="false">IFERROR(IF(OR($B291="",$D291=0,$D291=""),"",$H291/$D291),"")</f>
        <v/>
      </c>
      <c r="J291" s="75" t="n">
        <f aca="false">$J$2</f>
        <v>0.25</v>
      </c>
      <c r="K291" s="12" t="str">
        <f aca="false">IFERROR(IF($B291="","",$E291+$J291),"")</f>
        <v/>
      </c>
      <c r="L291" s="11" t="str">
        <f aca="false">IFERROR(IF(OR($B291="",$C291=0,$C291=""),"",$I291+ROW()*0.0000001),"")</f>
        <v/>
      </c>
      <c r="M291" s="76" t="n">
        <f aca="false">$M$2</f>
        <v>0.9319</v>
      </c>
      <c r="N291" s="13" t="str">
        <f aca="false">IFERROR(IF($B291="","",$C291+$M291),"")</f>
        <v/>
      </c>
    </row>
    <row r="292" customFormat="false" ht="15" hidden="false" customHeight="true" outlineLevel="0" collapsed="false">
      <c r="A292" s="69" t="str">
        <f aca="false">IFERROR(IF(المنيو!$B292="","",المنيو!$A292),"")</f>
        <v/>
      </c>
      <c r="B292" s="69" t="n">
        <f aca="false">IFERROR(المنيو!$B292,"")</f>
        <v>0</v>
      </c>
      <c r="C292" s="13" t="str">
        <f aca="false">IFERROR(IF($B292="","",SUMIFS(الريسبي!$F$2:$F$1800,الريسبي!$A$2:$A$1800,$B292)),"")</f>
        <v/>
      </c>
      <c r="D292" s="70" t="str">
        <f aca="false">IFERROR(IF($B292="","",المنيو!$C292),"")</f>
        <v/>
      </c>
      <c r="E292" s="12" t="str">
        <f aca="false">IFERROR(IF(OR($B292="",$D292=0,$D292=""),"",$N292/$D292),"")</f>
        <v/>
      </c>
      <c r="F292" s="75" t="n">
        <f aca="false">$F$2</f>
        <v>0.375</v>
      </c>
      <c r="G292" s="13" t="str">
        <f aca="false">IFERROR(IF($B292="","",$N292/$F292),"")</f>
        <v/>
      </c>
      <c r="H292" s="13" t="str">
        <f aca="false">IFERROR(IF($B292="","",$D292-$N292),"")</f>
        <v/>
      </c>
      <c r="I292" s="12" t="str">
        <f aca="false">IFERROR(IF(OR($B292="",$D292=0,$D292=""),"",$H292/$D292),"")</f>
        <v/>
      </c>
      <c r="J292" s="75" t="n">
        <f aca="false">$J$2</f>
        <v>0.25</v>
      </c>
      <c r="K292" s="12" t="str">
        <f aca="false">IFERROR(IF($B292="","",$E292+$J292),"")</f>
        <v/>
      </c>
      <c r="L292" s="11" t="str">
        <f aca="false">IFERROR(IF(OR($B292="",$C292=0,$C292=""),"",$I292+ROW()*0.0000001),"")</f>
        <v/>
      </c>
      <c r="M292" s="76" t="n">
        <f aca="false">$M$2</f>
        <v>0.9319</v>
      </c>
      <c r="N292" s="13" t="str">
        <f aca="false">IFERROR(IF($B292="","",$C292+$M292),"")</f>
        <v/>
      </c>
    </row>
    <row r="293" customFormat="false" ht="15" hidden="false" customHeight="true" outlineLevel="0" collapsed="false">
      <c r="A293" s="69" t="str">
        <f aca="false">IFERROR(IF(المنيو!$B293="","",المنيو!$A293),"")</f>
        <v/>
      </c>
      <c r="B293" s="69" t="n">
        <f aca="false">IFERROR(المنيو!$B293,"")</f>
        <v>0</v>
      </c>
      <c r="C293" s="13" t="str">
        <f aca="false">IFERROR(IF($B293="","",SUMIFS(الريسبي!$F$2:$F$1800,الريسبي!$A$2:$A$1800,$B293)),"")</f>
        <v/>
      </c>
      <c r="D293" s="70" t="str">
        <f aca="false">IFERROR(IF($B293="","",المنيو!$C293),"")</f>
        <v/>
      </c>
      <c r="E293" s="12" t="str">
        <f aca="false">IFERROR(IF(OR($B293="",$D293=0,$D293=""),"",$N293/$D293),"")</f>
        <v/>
      </c>
      <c r="F293" s="75" t="n">
        <f aca="false">$F$2</f>
        <v>0.375</v>
      </c>
      <c r="G293" s="13" t="str">
        <f aca="false">IFERROR(IF($B293="","",$N293/$F293),"")</f>
        <v/>
      </c>
      <c r="H293" s="13" t="str">
        <f aca="false">IFERROR(IF($B293="","",$D293-$N293),"")</f>
        <v/>
      </c>
      <c r="I293" s="12" t="str">
        <f aca="false">IFERROR(IF(OR($B293="",$D293=0,$D293=""),"",$H293/$D293),"")</f>
        <v/>
      </c>
      <c r="J293" s="75" t="n">
        <f aca="false">$J$2</f>
        <v>0.25</v>
      </c>
      <c r="K293" s="12" t="str">
        <f aca="false">IFERROR(IF($B293="","",$E293+$J293),"")</f>
        <v/>
      </c>
      <c r="L293" s="11" t="str">
        <f aca="false">IFERROR(IF(OR($B293="",$C293=0,$C293=""),"",$I293+ROW()*0.0000001),"")</f>
        <v/>
      </c>
      <c r="M293" s="76" t="n">
        <f aca="false">$M$2</f>
        <v>0.9319</v>
      </c>
      <c r="N293" s="13" t="str">
        <f aca="false">IFERROR(IF($B293="","",$C293+$M293),"")</f>
        <v/>
      </c>
    </row>
    <row r="294" customFormat="false" ht="15" hidden="false" customHeight="true" outlineLevel="0" collapsed="false">
      <c r="A294" s="69" t="str">
        <f aca="false">IFERROR(IF(المنيو!$B294="","",المنيو!$A294),"")</f>
        <v/>
      </c>
      <c r="B294" s="69" t="n">
        <f aca="false">IFERROR(المنيو!$B294,"")</f>
        <v>0</v>
      </c>
      <c r="C294" s="13" t="str">
        <f aca="false">IFERROR(IF($B294="","",SUMIFS(الريسبي!$F$2:$F$1800,الريسبي!$A$2:$A$1800,$B294)),"")</f>
        <v/>
      </c>
      <c r="D294" s="70" t="str">
        <f aca="false">IFERROR(IF($B294="","",المنيو!$C294),"")</f>
        <v/>
      </c>
      <c r="E294" s="12" t="str">
        <f aca="false">IFERROR(IF(OR($B294="",$D294=0,$D294=""),"",$N294/$D294),"")</f>
        <v/>
      </c>
      <c r="F294" s="75" t="n">
        <f aca="false">$F$2</f>
        <v>0.375</v>
      </c>
      <c r="G294" s="13" t="str">
        <f aca="false">IFERROR(IF($B294="","",$N294/$F294),"")</f>
        <v/>
      </c>
      <c r="H294" s="13" t="str">
        <f aca="false">IFERROR(IF($B294="","",$D294-$N294),"")</f>
        <v/>
      </c>
      <c r="I294" s="12" t="str">
        <f aca="false">IFERROR(IF(OR($B294="",$D294=0,$D294=""),"",$H294/$D294),"")</f>
        <v/>
      </c>
      <c r="J294" s="75" t="n">
        <f aca="false">$J$2</f>
        <v>0.25</v>
      </c>
      <c r="K294" s="12" t="str">
        <f aca="false">IFERROR(IF($B294="","",$E294+$J294),"")</f>
        <v/>
      </c>
      <c r="L294" s="11" t="str">
        <f aca="false">IFERROR(IF(OR($B294="",$C294=0,$C294=""),"",$I294+ROW()*0.0000001),"")</f>
        <v/>
      </c>
      <c r="M294" s="76" t="n">
        <f aca="false">$M$2</f>
        <v>0.9319</v>
      </c>
      <c r="N294" s="13" t="str">
        <f aca="false">IFERROR(IF($B294="","",$C294+$M294),"")</f>
        <v/>
      </c>
    </row>
    <row r="295" customFormat="false" ht="15" hidden="false" customHeight="true" outlineLevel="0" collapsed="false">
      <c r="A295" s="69" t="str">
        <f aca="false">IFERROR(IF(المنيو!$B295="","",المنيو!$A295),"")</f>
        <v/>
      </c>
      <c r="B295" s="69" t="n">
        <f aca="false">IFERROR(المنيو!$B295,"")</f>
        <v>0</v>
      </c>
      <c r="C295" s="13" t="str">
        <f aca="false">IFERROR(IF($B295="","",SUMIFS(الريسبي!$F$2:$F$1800,الريسبي!$A$2:$A$1800,$B295)),"")</f>
        <v/>
      </c>
      <c r="D295" s="70" t="str">
        <f aca="false">IFERROR(IF($B295="","",المنيو!$C295),"")</f>
        <v/>
      </c>
      <c r="E295" s="12" t="str">
        <f aca="false">IFERROR(IF(OR($B295="",$D295=0,$D295=""),"",$N295/$D295),"")</f>
        <v/>
      </c>
      <c r="F295" s="75" t="n">
        <f aca="false">$F$2</f>
        <v>0.375</v>
      </c>
      <c r="G295" s="13" t="str">
        <f aca="false">IFERROR(IF($B295="","",$N295/$F295),"")</f>
        <v/>
      </c>
      <c r="H295" s="13" t="str">
        <f aca="false">IFERROR(IF($B295="","",$D295-$N295),"")</f>
        <v/>
      </c>
      <c r="I295" s="12" t="str">
        <f aca="false">IFERROR(IF(OR($B295="",$D295=0,$D295=""),"",$H295/$D295),"")</f>
        <v/>
      </c>
      <c r="J295" s="75" t="n">
        <f aca="false">$J$2</f>
        <v>0.25</v>
      </c>
      <c r="K295" s="12" t="str">
        <f aca="false">IFERROR(IF($B295="","",$E295+$J295),"")</f>
        <v/>
      </c>
      <c r="L295" s="11" t="str">
        <f aca="false">IFERROR(IF(OR($B295="",$C295=0,$C295=""),"",$I295+ROW()*0.0000001),"")</f>
        <v/>
      </c>
      <c r="M295" s="76" t="n">
        <f aca="false">$M$2</f>
        <v>0.9319</v>
      </c>
      <c r="N295" s="13" t="str">
        <f aca="false">IFERROR(IF($B295="","",$C295+$M295),"")</f>
        <v/>
      </c>
    </row>
    <row r="296" customFormat="false" ht="15" hidden="false" customHeight="true" outlineLevel="0" collapsed="false">
      <c r="A296" s="69" t="str">
        <f aca="false">IFERROR(IF(المنيو!$B296="","",المنيو!$A296),"")</f>
        <v/>
      </c>
      <c r="B296" s="69" t="n">
        <f aca="false">IFERROR(المنيو!$B296,"")</f>
        <v>0</v>
      </c>
      <c r="C296" s="13" t="str">
        <f aca="false">IFERROR(IF($B296="","",SUMIFS(الريسبي!$F$2:$F$1800,الريسبي!$A$2:$A$1800,$B296)),"")</f>
        <v/>
      </c>
      <c r="D296" s="70" t="str">
        <f aca="false">IFERROR(IF($B296="","",المنيو!$C296),"")</f>
        <v/>
      </c>
      <c r="E296" s="12" t="str">
        <f aca="false">IFERROR(IF(OR($B296="",$D296=0,$D296=""),"",$N296/$D296),"")</f>
        <v/>
      </c>
      <c r="F296" s="75" t="n">
        <f aca="false">$F$2</f>
        <v>0.375</v>
      </c>
      <c r="G296" s="13" t="str">
        <f aca="false">IFERROR(IF($B296="","",$N296/$F296),"")</f>
        <v/>
      </c>
      <c r="H296" s="13" t="str">
        <f aca="false">IFERROR(IF($B296="","",$D296-$N296),"")</f>
        <v/>
      </c>
      <c r="I296" s="12" t="str">
        <f aca="false">IFERROR(IF(OR($B296="",$D296=0,$D296=""),"",$H296/$D296),"")</f>
        <v/>
      </c>
      <c r="J296" s="75" t="n">
        <f aca="false">$J$2</f>
        <v>0.25</v>
      </c>
      <c r="K296" s="12" t="str">
        <f aca="false">IFERROR(IF($B296="","",$E296+$J296),"")</f>
        <v/>
      </c>
      <c r="L296" s="11" t="str">
        <f aca="false">IFERROR(IF(OR($B296="",$C296=0,$C296=""),"",$I296+ROW()*0.0000001),"")</f>
        <v/>
      </c>
      <c r="M296" s="76" t="n">
        <f aca="false">$M$2</f>
        <v>0.9319</v>
      </c>
      <c r="N296" s="13" t="str">
        <f aca="false">IFERROR(IF($B296="","",$C296+$M296),"")</f>
        <v/>
      </c>
    </row>
    <row r="297" customFormat="false" ht="15" hidden="false" customHeight="true" outlineLevel="0" collapsed="false">
      <c r="A297" s="69" t="str">
        <f aca="false">IFERROR(IF(المنيو!$B297="","",المنيو!$A297),"")</f>
        <v/>
      </c>
      <c r="B297" s="69" t="n">
        <f aca="false">IFERROR(المنيو!$B297,"")</f>
        <v>0</v>
      </c>
      <c r="C297" s="13" t="str">
        <f aca="false">IFERROR(IF($B297="","",SUMIFS(الريسبي!$F$2:$F$1800,الريسبي!$A$2:$A$1800,$B297)),"")</f>
        <v/>
      </c>
      <c r="D297" s="70" t="str">
        <f aca="false">IFERROR(IF($B297="","",المنيو!$C297),"")</f>
        <v/>
      </c>
      <c r="E297" s="12" t="str">
        <f aca="false">IFERROR(IF(OR($B297="",$D297=0,$D297=""),"",$N297/$D297),"")</f>
        <v/>
      </c>
      <c r="F297" s="75" t="n">
        <f aca="false">$F$2</f>
        <v>0.375</v>
      </c>
      <c r="G297" s="13" t="str">
        <f aca="false">IFERROR(IF($B297="","",$N297/$F297),"")</f>
        <v/>
      </c>
      <c r="H297" s="13" t="str">
        <f aca="false">IFERROR(IF($B297="","",$D297-$N297),"")</f>
        <v/>
      </c>
      <c r="I297" s="12" t="str">
        <f aca="false">IFERROR(IF(OR($B297="",$D297=0,$D297=""),"",$H297/$D297),"")</f>
        <v/>
      </c>
      <c r="J297" s="75" t="n">
        <f aca="false">$J$2</f>
        <v>0.25</v>
      </c>
      <c r="K297" s="12" t="str">
        <f aca="false">IFERROR(IF($B297="","",$E297+$J297),"")</f>
        <v/>
      </c>
      <c r="L297" s="11" t="str">
        <f aca="false">IFERROR(IF(OR($B297="",$C297=0,$C297=""),"",$I297+ROW()*0.0000001),"")</f>
        <v/>
      </c>
      <c r="M297" s="76" t="n">
        <f aca="false">$M$2</f>
        <v>0.9319</v>
      </c>
      <c r="N297" s="13" t="str">
        <f aca="false">IFERROR(IF($B297="","",$C297+$M297),"")</f>
        <v/>
      </c>
    </row>
    <row r="298" customFormat="false" ht="15" hidden="false" customHeight="true" outlineLevel="0" collapsed="false">
      <c r="A298" s="69" t="str">
        <f aca="false">IFERROR(IF(المنيو!$B298="","",المنيو!$A298),"")</f>
        <v/>
      </c>
      <c r="B298" s="69" t="n">
        <f aca="false">IFERROR(المنيو!$B298,"")</f>
        <v>0</v>
      </c>
      <c r="C298" s="13" t="str">
        <f aca="false">IFERROR(IF($B298="","",SUMIFS(الريسبي!$F$2:$F$1800,الريسبي!$A$2:$A$1800,$B298)),"")</f>
        <v/>
      </c>
      <c r="D298" s="70" t="str">
        <f aca="false">IFERROR(IF($B298="","",المنيو!$C298),"")</f>
        <v/>
      </c>
      <c r="E298" s="12" t="str">
        <f aca="false">IFERROR(IF(OR($B298="",$D298=0,$D298=""),"",$N298/$D298),"")</f>
        <v/>
      </c>
      <c r="F298" s="75" t="n">
        <f aca="false">$F$2</f>
        <v>0.375</v>
      </c>
      <c r="G298" s="13" t="str">
        <f aca="false">IFERROR(IF($B298="","",$N298/$F298),"")</f>
        <v/>
      </c>
      <c r="H298" s="13" t="str">
        <f aca="false">IFERROR(IF($B298="","",$D298-$N298),"")</f>
        <v/>
      </c>
      <c r="I298" s="12" t="str">
        <f aca="false">IFERROR(IF(OR($B298="",$D298=0,$D298=""),"",$H298/$D298),"")</f>
        <v/>
      </c>
      <c r="J298" s="75" t="n">
        <f aca="false">$J$2</f>
        <v>0.25</v>
      </c>
      <c r="K298" s="12" t="str">
        <f aca="false">IFERROR(IF($B298="","",$E298+$J298),"")</f>
        <v/>
      </c>
      <c r="L298" s="11" t="str">
        <f aca="false">IFERROR(IF(OR($B298="",$C298=0,$C298=""),"",$I298+ROW()*0.0000001),"")</f>
        <v/>
      </c>
      <c r="M298" s="76" t="n">
        <f aca="false">$M$2</f>
        <v>0.9319</v>
      </c>
      <c r="N298" s="13" t="str">
        <f aca="false">IFERROR(IF($B298="","",$C298+$M298),"")</f>
        <v/>
      </c>
    </row>
    <row r="299" customFormat="false" ht="15" hidden="false" customHeight="true" outlineLevel="0" collapsed="false">
      <c r="A299" s="69" t="str">
        <f aca="false">IFERROR(IF(المنيو!$B299="","",المنيو!$A299),"")</f>
        <v/>
      </c>
      <c r="B299" s="69" t="n">
        <f aca="false">IFERROR(المنيو!$B299,"")</f>
        <v>0</v>
      </c>
      <c r="C299" s="13" t="str">
        <f aca="false">IFERROR(IF($B299="","",SUMIFS(الريسبي!$F$2:$F$1800,الريسبي!$A$2:$A$1800,$B299)),"")</f>
        <v/>
      </c>
      <c r="D299" s="70" t="str">
        <f aca="false">IFERROR(IF($B299="","",المنيو!$C299),"")</f>
        <v/>
      </c>
      <c r="E299" s="12" t="str">
        <f aca="false">IFERROR(IF(OR($B299="",$D299=0,$D299=""),"",$N299/$D299),"")</f>
        <v/>
      </c>
      <c r="F299" s="75" t="n">
        <f aca="false">$F$2</f>
        <v>0.375</v>
      </c>
      <c r="G299" s="13" t="str">
        <f aca="false">IFERROR(IF($B299="","",$N299/$F299),"")</f>
        <v/>
      </c>
      <c r="H299" s="13" t="str">
        <f aca="false">IFERROR(IF($B299="","",$D299-$N299),"")</f>
        <v/>
      </c>
      <c r="I299" s="12" t="str">
        <f aca="false">IFERROR(IF(OR($B299="",$D299=0,$D299=""),"",$H299/$D299),"")</f>
        <v/>
      </c>
      <c r="J299" s="75" t="n">
        <f aca="false">$J$2</f>
        <v>0.25</v>
      </c>
      <c r="K299" s="12" t="str">
        <f aca="false">IFERROR(IF($B299="","",$E299+$J299),"")</f>
        <v/>
      </c>
      <c r="L299" s="11" t="str">
        <f aca="false">IFERROR(IF(OR($B299="",$C299=0,$C299=""),"",$I299+ROW()*0.0000001),"")</f>
        <v/>
      </c>
      <c r="M299" s="76"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560</v>
      </c>
      <c r="B1" s="9"/>
      <c r="C1" s="9"/>
      <c r="D1" s="9"/>
      <c r="E1" s="9"/>
    </row>
    <row r="2" customFormat="false" ht="27.75" hidden="false" customHeight="true" outlineLevel="0" collapsed="false">
      <c r="A2" s="10" t="s">
        <v>561</v>
      </c>
      <c r="B2" s="10" t="s">
        <v>562</v>
      </c>
      <c r="C2" s="10" t="s">
        <v>563</v>
      </c>
      <c r="D2" s="10" t="s">
        <v>118</v>
      </c>
      <c r="E2" s="10" t="s">
        <v>550</v>
      </c>
    </row>
    <row r="3" customFormat="false" ht="26.25" hidden="false" customHeight="true" outlineLevel="0" collapsed="false">
      <c r="A3" s="65" t="s">
        <v>564</v>
      </c>
      <c r="B3" s="65" t="s">
        <v>467</v>
      </c>
      <c r="C3" s="65" t="n">
        <v>1</v>
      </c>
      <c r="D3" s="67" t="n">
        <f aca="false">IFERROR(INDEX('تحليل التكلفة والسعر'!$N$2:$N$300,MATCH($B3,'تحليل التكلفة والسعر'!$B$2:$B$300,0)),IFERROR(INDEX(المكونات!$C$2:$C$500,MATCH($B3,المكونات!$A$2:$A$500,0)),""))</f>
        <v>38.8484</v>
      </c>
      <c r="E3" s="68" t="n">
        <f aca="false">IFERROR($C3*$D3,"")</f>
        <v>38.8484</v>
      </c>
    </row>
    <row r="4" customFormat="false" ht="26.25" hidden="false" customHeight="true" outlineLevel="0" collapsed="false">
      <c r="A4" s="65" t="s">
        <v>564</v>
      </c>
      <c r="B4" s="65" t="s">
        <v>432</v>
      </c>
      <c r="C4" s="65" t="n">
        <v>1</v>
      </c>
      <c r="D4" s="67" t="n">
        <f aca="false">IFERROR(INDEX('تحليل التكلفة والسعر'!$N$2:$N$300,MATCH($B4,'تحليل التكلفة والسعر'!$B$2:$B$300,0)),IFERROR(INDEX(المكونات!$C$2:$C$500,MATCH($B4,المكونات!$A$2:$A$500,0)),""))</f>
        <v>52.3672120833333</v>
      </c>
      <c r="E4" s="68" t="n">
        <f aca="false">IFERROR($C4*$D4,"")</f>
        <v>52.3672120833333</v>
      </c>
    </row>
    <row r="5" customFormat="false" ht="26.25" hidden="false" customHeight="true" outlineLevel="0" collapsed="false">
      <c r="A5" s="65" t="s">
        <v>565</v>
      </c>
      <c r="B5" s="65" t="s">
        <v>146</v>
      </c>
      <c r="C5" s="65" t="n">
        <v>1</v>
      </c>
      <c r="D5" s="67" t="n">
        <f aca="false">IFERROR(INDEX('تحليل التكلفة والسعر'!$N$2:$N$300,MATCH($B5,'تحليل التكلفة والسعر'!$B$2:$B$300,0)),IFERROR(INDEX(المكونات!$C$2:$C$500,MATCH($B5,المكونات!$A$2:$A$500,0)),""))</f>
        <v>5.65</v>
      </c>
      <c r="E5" s="68" t="n">
        <f aca="false">IFERROR($C5*$D5,"")</f>
        <v>5.65</v>
      </c>
    </row>
    <row r="6" customFormat="false" ht="26.25" hidden="false" customHeight="true" outlineLevel="0" collapsed="false">
      <c r="A6" s="65" t="s">
        <v>565</v>
      </c>
      <c r="B6" s="65" t="s">
        <v>200</v>
      </c>
      <c r="C6" s="65" t="n">
        <v>1</v>
      </c>
      <c r="D6" s="67" t="n">
        <f aca="false">IFERROR(INDEX('تحليل التكلفة والسعر'!$N$2:$N$300,MATCH($B6,'تحليل التكلفة والسعر'!$B$2:$B$300,0)),IFERROR(INDEX(المكونات!$C$2:$C$500,MATCH($B6,المكونات!$A$2:$A$500,0)),""))</f>
        <v>6.09</v>
      </c>
      <c r="E6" s="68" t="n">
        <f aca="false">IFERROR($C6*$D6,"")</f>
        <v>6.09</v>
      </c>
    </row>
    <row r="7" customFormat="false" ht="15" hidden="false" customHeight="true" outlineLevel="0" collapsed="false">
      <c r="A7" s="65" t="s">
        <v>566</v>
      </c>
      <c r="B7" s="65" t="s">
        <v>264</v>
      </c>
      <c r="C7" s="65" t="n">
        <v>0.5</v>
      </c>
      <c r="D7" s="67" t="n">
        <f aca="false">IFERROR(INDEX('تحليل التكلفة والسعر'!$N$2:$N$300,MATCH($B7,'تحليل التكلفة والسعر'!$B$2:$B$300,0)),IFERROR(INDEX(المكونات!$C$2:$C$500,MATCH($B7,المكونات!$A$2:$A$500,0)),""))</f>
        <v>4</v>
      </c>
      <c r="E7" s="68" t="n">
        <f aca="false">IFERROR($C7*$D7,"")</f>
        <v>2</v>
      </c>
    </row>
    <row r="8" customFormat="false" ht="15" hidden="false" customHeight="true" outlineLevel="0" collapsed="false">
      <c r="A8" s="65" t="s">
        <v>566</v>
      </c>
      <c r="B8" s="65" t="s">
        <v>325</v>
      </c>
      <c r="C8" s="65" t="n">
        <v>0.075</v>
      </c>
      <c r="D8" s="67" t="n">
        <f aca="false">IFERROR(INDEX('تحليل التكلفة والسعر'!$N$2:$N$300,MATCH($B8,'تحليل التكلفة والسعر'!$B$2:$B$300,0)),IFERROR(INDEX(المكونات!$C$2:$C$500,MATCH($B8,المكونات!$A$2:$A$500,0)),""))</f>
        <v>23.56668</v>
      </c>
      <c r="E8" s="68" t="n">
        <f aca="false">IFERROR($C8*$D8,"")</f>
        <v>1.767501</v>
      </c>
    </row>
    <row r="9" customFormat="false" ht="15" hidden="false" customHeight="true" outlineLevel="0" collapsed="false">
      <c r="A9" s="65" t="s">
        <v>566</v>
      </c>
      <c r="B9" s="65" t="s">
        <v>229</v>
      </c>
      <c r="C9" s="65" t="n">
        <v>0.025</v>
      </c>
      <c r="D9" s="67" t="n">
        <f aca="false">IFERROR(INDEX('تحليل التكلفة والسعر'!$N$2:$N$300,MATCH($B9,'تحليل التكلفة والسعر'!$B$2:$B$300,0)),IFERROR(INDEX(المكونات!$C$2:$C$500,MATCH($B9,المكونات!$A$2:$A$500,0)),""))</f>
        <v>30.6593</v>
      </c>
      <c r="E9" s="68" t="n">
        <f aca="false">IFERROR($C9*$D9,"")</f>
        <v>0.7664825</v>
      </c>
    </row>
    <row r="10" customFormat="false" ht="15" hidden="false" customHeight="true" outlineLevel="0" collapsed="false">
      <c r="A10" s="65" t="s">
        <v>566</v>
      </c>
      <c r="B10" s="65" t="s">
        <v>298</v>
      </c>
      <c r="C10" s="65" t="n">
        <v>0.075</v>
      </c>
      <c r="D10" s="67" t="n">
        <f aca="false">IFERROR(INDEX('تحليل التكلفة والسعر'!$N$2:$N$300,MATCH($B10,'تحليل التكلفة والسعر'!$B$2:$B$300,0)),IFERROR(INDEX(المكونات!$C$2:$C$500,MATCH($B10,المكونات!$A$2:$A$500,0)),""))</f>
        <v>20.6667</v>
      </c>
      <c r="E10" s="68" t="n">
        <f aca="false">IFERROR($C10*$D10,"")</f>
        <v>1.5500025</v>
      </c>
    </row>
    <row r="11" customFormat="false" ht="15" hidden="false" customHeight="true" outlineLevel="0" collapsed="false">
      <c r="A11" s="65" t="s">
        <v>566</v>
      </c>
      <c r="B11" s="65" t="s">
        <v>127</v>
      </c>
      <c r="C11" s="65" t="n">
        <v>1</v>
      </c>
      <c r="D11" s="67" t="n">
        <f aca="false">IFERROR(INDEX('تحليل التكلفة والسعر'!$N$2:$N$300,MATCH($B11,'تحليل التكلفة والسعر'!$B$2:$B$300,0)),IFERROR(INDEX(المكونات!$C$2:$C$500,MATCH($B11,المكونات!$A$2:$A$500,0)),""))</f>
        <v>0.5</v>
      </c>
      <c r="E11" s="68" t="n">
        <f aca="false">IFERROR($C11*$D11,"")</f>
        <v>0.5</v>
      </c>
    </row>
    <row r="12" customFormat="false" ht="15" hidden="false" customHeight="true" outlineLevel="0" collapsed="false">
      <c r="A12" s="65" t="s">
        <v>566</v>
      </c>
      <c r="B12" s="65" t="s">
        <v>192</v>
      </c>
      <c r="C12" s="65" t="n">
        <v>1</v>
      </c>
      <c r="D12" s="67" t="n">
        <f aca="false">IFERROR(INDEX('تحليل التكلفة والسعر'!$N$2:$N$300,MATCH($B12,'تحليل التكلفة والسعر'!$B$2:$B$300,0)),IFERROR(INDEX(المكونات!$C$2:$C$500,MATCH($B12,المكونات!$A$2:$A$500,0)),""))</f>
        <v>3.65</v>
      </c>
      <c r="E12" s="68" t="n">
        <f aca="false">IFERROR($C12*$D12,"")</f>
        <v>3.65</v>
      </c>
    </row>
    <row r="13" customFormat="false" ht="15" hidden="false" customHeight="true" outlineLevel="0" collapsed="false">
      <c r="A13" s="65" t="s">
        <v>566</v>
      </c>
      <c r="B13" s="65" t="s">
        <v>243</v>
      </c>
      <c r="C13" s="65" t="n">
        <v>1</v>
      </c>
      <c r="D13" s="67" t="n">
        <f aca="false">IFERROR(INDEX('تحليل التكلفة والسعر'!$N$2:$N$300,MATCH($B13,'تحليل التكلفة والسعر'!$B$2:$B$300,0)),IFERROR(INDEX(المكونات!$C$2:$C$500,MATCH($B13,المكونات!$A$2:$A$500,0)),""))</f>
        <v>0.3</v>
      </c>
      <c r="E13" s="68" t="n">
        <f aca="false">IFERROR($C13*$D13,"")</f>
        <v>0.3</v>
      </c>
    </row>
    <row r="14" customFormat="false" ht="15" hidden="false" customHeight="true" outlineLevel="0" collapsed="false">
      <c r="A14" s="65" t="s">
        <v>566</v>
      </c>
      <c r="B14" s="65" t="s">
        <v>211</v>
      </c>
      <c r="C14" s="65" t="n">
        <v>1</v>
      </c>
      <c r="D14" s="67" t="n">
        <f aca="false">IFERROR(INDEX('تحليل التكلفة والسعر'!$N$2:$N$300,MATCH($B14,'تحليل التكلفة والسعر'!$B$2:$B$300,0)),IFERROR(INDEX(المكونات!$C$2:$C$500,MATCH($B14,المكونات!$A$2:$A$500,0)),""))</f>
        <v>0.18</v>
      </c>
      <c r="E14" s="68" t="n">
        <f aca="false">IFERROR($C14*$D14,"")</f>
        <v>0.18</v>
      </c>
    </row>
    <row r="15" customFormat="false" ht="15" hidden="false" customHeight="true" outlineLevel="0" collapsed="false">
      <c r="A15" s="65" t="s">
        <v>567</v>
      </c>
      <c r="B15" s="65" t="s">
        <v>264</v>
      </c>
      <c r="C15" s="65" t="n">
        <v>0.5</v>
      </c>
      <c r="D15" s="67" t="n">
        <f aca="false">IFERROR(INDEX('تحليل التكلفة والسعر'!$N$2:$N$300,MATCH($B15,'تحليل التكلفة والسعر'!$B$2:$B$300,0)),IFERROR(INDEX(المكونات!$C$2:$C$500,MATCH($B15,المكونات!$A$2:$A$500,0)),""))</f>
        <v>4</v>
      </c>
      <c r="E15" s="68" t="n">
        <f aca="false">IFERROR($C15*$D15,"")</f>
        <v>2</v>
      </c>
    </row>
    <row r="16" customFormat="false" ht="15" hidden="false" customHeight="true" outlineLevel="0" collapsed="false">
      <c r="A16" s="65" t="s">
        <v>567</v>
      </c>
      <c r="B16" s="65" t="s">
        <v>325</v>
      </c>
      <c r="C16" s="65" t="n">
        <v>0.075</v>
      </c>
      <c r="D16" s="67" t="n">
        <f aca="false">IFERROR(INDEX('تحليل التكلفة والسعر'!$N$2:$N$300,MATCH($B16,'تحليل التكلفة والسعر'!$B$2:$B$300,0)),IFERROR(INDEX(المكونات!$C$2:$C$500,MATCH($B16,المكونات!$A$2:$A$500,0)),""))</f>
        <v>23.56668</v>
      </c>
      <c r="E16" s="68" t="n">
        <f aca="false">IFERROR($C16*$D16,"")</f>
        <v>1.767501</v>
      </c>
    </row>
    <row r="17" customFormat="false" ht="15" hidden="false" customHeight="true" outlineLevel="0" collapsed="false">
      <c r="A17" s="65" t="s">
        <v>567</v>
      </c>
      <c r="B17" s="65" t="s">
        <v>245</v>
      </c>
      <c r="C17" s="65" t="n">
        <v>0.08</v>
      </c>
      <c r="D17" s="67" t="n">
        <f aca="false">IFERROR(INDEX('تحليل التكلفة والسعر'!$N$2:$N$300,MATCH($B17,'تحليل التكلفة والسعر'!$B$2:$B$300,0)),IFERROR(INDEX(المكونات!$C$2:$C$500,MATCH($B17,المكونات!$A$2:$A$500,0)),""))</f>
        <v>127.6582</v>
      </c>
      <c r="E17" s="68" t="n">
        <f aca="false">IFERROR($C17*$D17,"")</f>
        <v>10.212656</v>
      </c>
    </row>
    <row r="18" customFormat="false" ht="15" hidden="false" customHeight="true" outlineLevel="0" collapsed="false">
      <c r="A18" s="65" t="s">
        <v>567</v>
      </c>
      <c r="B18" s="65" t="s">
        <v>247</v>
      </c>
      <c r="C18" s="65" t="n">
        <v>0.015</v>
      </c>
      <c r="D18" s="67" t="n">
        <f aca="false">IFERROR(INDEX('تحليل التكلفة والسعر'!$N$2:$N$300,MATCH($B18,'تحليل التكلفة والسعر'!$B$2:$B$300,0)),IFERROR(INDEX(المكونات!$C$2:$C$500,MATCH($B18,المكونات!$A$2:$A$500,0)),""))</f>
        <v>100</v>
      </c>
      <c r="E18" s="68" t="n">
        <f aca="false">IFERROR($C18*$D18,"")</f>
        <v>1.5</v>
      </c>
    </row>
    <row r="19" customFormat="false" ht="15" hidden="false" customHeight="true" outlineLevel="0" collapsed="false">
      <c r="A19" s="65" t="s">
        <v>567</v>
      </c>
      <c r="B19" s="65" t="s">
        <v>127</v>
      </c>
      <c r="C19" s="65" t="n">
        <v>1</v>
      </c>
      <c r="D19" s="67" t="n">
        <f aca="false">IFERROR(INDEX('تحليل التكلفة والسعر'!$N$2:$N$300,MATCH($B19,'تحليل التكلفة والسعر'!$B$2:$B$300,0)),IFERROR(INDEX(المكونات!$C$2:$C$500,MATCH($B19,المكونات!$A$2:$A$500,0)),""))</f>
        <v>0.5</v>
      </c>
      <c r="E19" s="68" t="n">
        <f aca="false">IFERROR($C19*$D19,"")</f>
        <v>0.5</v>
      </c>
    </row>
    <row r="20" customFormat="false" ht="15" hidden="false" customHeight="true" outlineLevel="0" collapsed="false">
      <c r="A20" s="65" t="s">
        <v>567</v>
      </c>
      <c r="B20" s="65" t="s">
        <v>192</v>
      </c>
      <c r="C20" s="65" t="n">
        <v>1</v>
      </c>
      <c r="D20" s="67" t="n">
        <f aca="false">IFERROR(INDEX('تحليل التكلفة والسعر'!$N$2:$N$300,MATCH($B20,'تحليل التكلفة والسعر'!$B$2:$B$300,0)),IFERROR(INDEX(المكونات!$C$2:$C$500,MATCH($B20,المكونات!$A$2:$A$500,0)),""))</f>
        <v>3.65</v>
      </c>
      <c r="E20" s="68" t="n">
        <f aca="false">IFERROR($C20*$D20,"")</f>
        <v>3.65</v>
      </c>
    </row>
    <row r="21" customFormat="false" ht="15" hidden="false" customHeight="true" outlineLevel="0" collapsed="false">
      <c r="A21" s="65" t="s">
        <v>567</v>
      </c>
      <c r="B21" s="65" t="s">
        <v>243</v>
      </c>
      <c r="C21" s="65" t="n">
        <v>1</v>
      </c>
      <c r="D21" s="67" t="n">
        <f aca="false">IFERROR(INDEX('تحليل التكلفة والسعر'!$N$2:$N$300,MATCH($B21,'تحليل التكلفة والسعر'!$B$2:$B$300,0)),IFERROR(INDEX(المكونات!$C$2:$C$500,MATCH($B21,المكونات!$A$2:$A$500,0)),""))</f>
        <v>0.3</v>
      </c>
      <c r="E21" s="68" t="n">
        <f aca="false">IFERROR($C21*$D21,"")</f>
        <v>0.3</v>
      </c>
    </row>
    <row r="22" customFormat="false" ht="15" hidden="false" customHeight="true" outlineLevel="0" collapsed="false">
      <c r="A22" s="65" t="s">
        <v>567</v>
      </c>
      <c r="B22" s="65" t="s">
        <v>211</v>
      </c>
      <c r="C22" s="65" t="n">
        <v>1</v>
      </c>
      <c r="D22" s="67" t="n">
        <f aca="false">IFERROR(INDEX('تحليل التكلفة والسعر'!$N$2:$N$300,MATCH($B22,'تحليل التكلفة والسعر'!$B$2:$B$300,0)),IFERROR(INDEX(المكونات!$C$2:$C$500,MATCH($B22,المكونات!$A$2:$A$500,0)),""))</f>
        <v>0.18</v>
      </c>
      <c r="E22" s="68" t="n">
        <f aca="false">IFERROR($C22*$D22,"")</f>
        <v>0.18</v>
      </c>
    </row>
    <row r="23" customFormat="false" ht="26.25" hidden="false" customHeight="true" outlineLevel="0" collapsed="false">
      <c r="A23" s="65" t="s">
        <v>568</v>
      </c>
      <c r="B23" s="65" t="s">
        <v>467</v>
      </c>
      <c r="C23" s="65" t="n">
        <v>1</v>
      </c>
      <c r="D23" s="67" t="n">
        <f aca="false">IFERROR(INDEX('تحليل التكلفة والسعر'!$N$2:$N$300,MATCH($B23,'تحليل التكلفة والسعر'!$B$2:$B$300,0)),IFERROR(INDEX(المكونات!$C$2:$C$500,MATCH($B23,المكونات!$A$2:$A$500,0)),""))</f>
        <v>38.8484</v>
      </c>
      <c r="E23" s="68" t="n">
        <f aca="false">IFERROR($C23*$D23,"")</f>
        <v>38.8484</v>
      </c>
    </row>
    <row r="24" customFormat="false" ht="26.25" hidden="false" customHeight="true" outlineLevel="0" collapsed="false">
      <c r="A24" s="65" t="s">
        <v>568</v>
      </c>
      <c r="B24" s="65" t="s">
        <v>488</v>
      </c>
      <c r="C24" s="65" t="n">
        <v>1</v>
      </c>
      <c r="D24" s="67" t="n">
        <f aca="false">IFERROR(INDEX('تحليل التكلفة والسعر'!$N$2:$N$300,MATCH($B24,'تحليل التكلفة والسعر'!$B$2:$B$300,0)),IFERROR(INDEX(المكونات!$C$2:$C$500,MATCH($B24,المكونات!$A$2:$A$500,0)),""))</f>
        <v>72.8484</v>
      </c>
      <c r="E24" s="68" t="n">
        <f aca="false">IFERROR($C24*$D24,"")</f>
        <v>72.8484</v>
      </c>
    </row>
    <row r="25" customFormat="false" ht="26.25" hidden="false" customHeight="true" outlineLevel="0" collapsed="false">
      <c r="A25" s="65" t="s">
        <v>568</v>
      </c>
      <c r="B25" s="65" t="s">
        <v>437</v>
      </c>
      <c r="C25" s="65" t="n">
        <v>1</v>
      </c>
      <c r="D25" s="67" t="n">
        <f aca="false">IFERROR(INDEX('تحليل التكلفة والسعر'!$N$2:$N$300,MATCH($B25,'تحليل التكلفة والسعر'!$B$2:$B$300,0)),IFERROR(INDEX(المكونات!$C$2:$C$500,MATCH($B25,المكونات!$A$2:$A$500,0)),""))</f>
        <v>73.8484</v>
      </c>
      <c r="E25" s="68" t="n">
        <f aca="false">IFERROR($C25*$D25,"")</f>
        <v>73.8484</v>
      </c>
    </row>
    <row r="26" customFormat="false" ht="26.25" hidden="false" customHeight="true" outlineLevel="0" collapsed="false">
      <c r="A26" s="65" t="s">
        <v>569</v>
      </c>
      <c r="B26" s="65" t="s">
        <v>517</v>
      </c>
      <c r="C26" s="65" t="n">
        <v>1</v>
      </c>
      <c r="D26" s="67" t="n">
        <f aca="false">IFERROR(INDEX('تحليل التكلفة والسعر'!$N$2:$N$300,MATCH($B26,'تحليل التكلفة والسعر'!$B$2:$B$300,0)),IFERROR(INDEX(المكونات!$C$2:$C$500,MATCH($B26,المكونات!$A$2:$A$500,0)),""))</f>
        <v>77.2284</v>
      </c>
      <c r="E26" s="68" t="n">
        <f aca="false">IFERROR($C26*$D26,"")</f>
        <v>77.2284</v>
      </c>
    </row>
    <row r="27" customFormat="false" ht="26.25" hidden="false" customHeight="true" outlineLevel="0" collapsed="false">
      <c r="A27" s="65" t="s">
        <v>569</v>
      </c>
      <c r="B27" s="65" t="s">
        <v>447</v>
      </c>
      <c r="C27" s="65" t="n">
        <v>1</v>
      </c>
      <c r="D27" s="67" t="n">
        <f aca="false">IFERROR(INDEX('تحليل التكلفة والسعر'!$N$2:$N$300,MATCH($B27,'تحليل التكلفة والسعر'!$B$2:$B$300,0)),IFERROR(INDEX(المكونات!$C$2:$C$500,MATCH($B27,المكونات!$A$2:$A$500,0)),""))</f>
        <v>69.2284</v>
      </c>
      <c r="E27" s="68" t="n">
        <f aca="false">IFERROR($C27*$D27,"")</f>
        <v>69.2284</v>
      </c>
    </row>
    <row r="28" customFormat="false" ht="26.25" hidden="false" customHeight="true" outlineLevel="0" collapsed="false">
      <c r="A28" s="65" t="s">
        <v>569</v>
      </c>
      <c r="B28" s="65" t="s">
        <v>429</v>
      </c>
      <c r="C28" s="65" t="n">
        <v>1</v>
      </c>
      <c r="D28" s="67" t="n">
        <f aca="false">IFERROR(INDEX('تحليل التكلفة والسعر'!$N$2:$N$300,MATCH($B28,'تحليل التكلفة والسعر'!$B$2:$B$300,0)),IFERROR(INDEX(المكونات!$C$2:$C$500,MATCH($B28,المكونات!$A$2:$A$500,0)),""))</f>
        <v>20.284872</v>
      </c>
      <c r="E28" s="68" t="n">
        <f aca="false">IFERROR($C28*$D28,"")</f>
        <v>20.284872</v>
      </c>
    </row>
    <row r="29" customFormat="false" ht="26.25" hidden="false" customHeight="true" outlineLevel="0" collapsed="false">
      <c r="A29" s="65" t="s">
        <v>570</v>
      </c>
      <c r="B29" s="65" t="s">
        <v>524</v>
      </c>
      <c r="C29" s="65" t="n">
        <v>1</v>
      </c>
      <c r="D29" s="67" t="n">
        <f aca="false">IFERROR(INDEX('تحليل التكلفة والسعر'!$N$2:$N$300,MATCH($B29,'تحليل التكلفة والسعر'!$B$2:$B$300,0)),IFERROR(INDEX(المكونات!$C$2:$C$500,MATCH($B29,المكونات!$A$2:$A$500,0)),""))</f>
        <v>80.1584</v>
      </c>
      <c r="E29" s="68" t="n">
        <f aca="false">IFERROR($C29*$D29,"")</f>
        <v>80.1584</v>
      </c>
    </row>
    <row r="30" customFormat="false" ht="26.25" hidden="false" customHeight="true" outlineLevel="0" collapsed="false">
      <c r="A30" s="65" t="s">
        <v>570</v>
      </c>
      <c r="B30" s="65" t="s">
        <v>146</v>
      </c>
      <c r="C30" s="65" t="n">
        <v>1</v>
      </c>
      <c r="D30" s="67" t="n">
        <f aca="false">IFERROR(INDEX('تحليل التكلفة والسعر'!$N$2:$N$300,MATCH($B30,'تحليل التكلفة والسعر'!$B$2:$B$300,0)),IFERROR(INDEX(المكونات!$C$2:$C$500,MATCH($B30,المكونات!$A$2:$A$500,0)),""))</f>
        <v>5.65</v>
      </c>
      <c r="E30" s="68" t="n">
        <f aca="false">IFERROR($C30*$D30,"")</f>
        <v>5.65</v>
      </c>
    </row>
    <row r="31" customFormat="false" ht="26.25" hidden="false" customHeight="true" outlineLevel="0" collapsed="false">
      <c r="A31" s="65" t="s">
        <v>570</v>
      </c>
      <c r="B31" s="65" t="s">
        <v>200</v>
      </c>
      <c r="C31" s="65" t="n">
        <v>1</v>
      </c>
      <c r="D31" s="67" t="n">
        <f aca="false">IFERROR(INDEX('تحليل التكلفة والسعر'!$N$2:$N$300,MATCH($B31,'تحليل التكلفة والسعر'!$B$2:$B$300,0)),IFERROR(INDEX(المكونات!$C$2:$C$500,MATCH($B31,المكونات!$A$2:$A$500,0)),""))</f>
        <v>6.09</v>
      </c>
      <c r="E31" s="68" t="n">
        <f aca="false">IFERROR($C31*$D31,"")</f>
        <v>6.09</v>
      </c>
    </row>
    <row r="32" customFormat="false" ht="26.25" hidden="false" customHeight="true" outlineLevel="0" collapsed="false">
      <c r="A32" s="65" t="s">
        <v>571</v>
      </c>
      <c r="B32" s="65" t="s">
        <v>467</v>
      </c>
      <c r="C32" s="65" t="n">
        <v>1</v>
      </c>
      <c r="D32" s="67" t="n">
        <f aca="false">IFERROR(INDEX('تحليل التكلفة والسعر'!$N$2:$N$300,MATCH($B32,'تحليل التكلفة والسعر'!$B$2:$B$300,0)),IFERROR(INDEX(المكونات!$C$2:$C$500,MATCH($B32,المكونات!$A$2:$A$500,0)),""))</f>
        <v>38.8484</v>
      </c>
      <c r="E32" s="68" t="n">
        <f aca="false">IFERROR($C32*$D32,"")</f>
        <v>38.8484</v>
      </c>
    </row>
    <row r="33" customFormat="false" ht="26.25" hidden="false" customHeight="true" outlineLevel="0" collapsed="false">
      <c r="A33" s="65" t="s">
        <v>571</v>
      </c>
      <c r="B33" s="65" t="s">
        <v>435</v>
      </c>
      <c r="C33" s="65" t="n">
        <v>1</v>
      </c>
      <c r="D33" s="67" t="n">
        <f aca="false">IFERROR(INDEX('تحليل التكلفة والسعر'!$N$2:$N$300,MATCH($B33,'تحليل التكلفة والسعر'!$B$2:$B$300,0)),IFERROR(INDEX(المكونات!$C$2:$C$500,MATCH($B33,المكونات!$A$2:$A$500,0)),""))</f>
        <v>65.8192</v>
      </c>
      <c r="E33" s="68" t="n">
        <f aca="false">IFERROR($C33*$D33,"")</f>
        <v>65.8192</v>
      </c>
    </row>
    <row r="34" customFormat="false" ht="15" hidden="false" customHeight="true" outlineLevel="0" collapsed="false">
      <c r="A34" s="49"/>
      <c r="B34" s="49"/>
      <c r="C34" s="49"/>
      <c r="D34" s="70"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49"/>
      <c r="B35" s="49"/>
      <c r="C35" s="49"/>
      <c r="D35" s="70"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49"/>
      <c r="B36" s="49"/>
      <c r="C36" s="49"/>
      <c r="D36" s="70"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49"/>
      <c r="B37" s="49"/>
      <c r="C37" s="49"/>
      <c r="D37" s="70"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49"/>
      <c r="B38" s="49"/>
      <c r="C38" s="49"/>
      <c r="D38" s="70"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49"/>
      <c r="B39" s="49"/>
      <c r="C39" s="49"/>
      <c r="D39" s="70"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49"/>
      <c r="B40" s="49"/>
      <c r="C40" s="49"/>
      <c r="D40" s="70"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49"/>
      <c r="B41" s="49"/>
      <c r="C41" s="49"/>
      <c r="D41" s="70"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49"/>
      <c r="B42" s="49"/>
      <c r="C42" s="49"/>
      <c r="D42" s="70"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49"/>
      <c r="B43" s="49"/>
      <c r="C43" s="49"/>
      <c r="D43" s="70"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49"/>
      <c r="B44" s="49"/>
      <c r="C44" s="49"/>
      <c r="D44" s="70"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49"/>
      <c r="B45" s="49"/>
      <c r="C45" s="49"/>
      <c r="D45" s="70"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49"/>
      <c r="B46" s="49"/>
      <c r="C46" s="49"/>
      <c r="D46" s="70"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49"/>
      <c r="B47" s="49"/>
      <c r="C47" s="49"/>
      <c r="D47" s="70"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49"/>
      <c r="B48" s="49"/>
      <c r="C48" s="49"/>
      <c r="D48" s="70"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49"/>
      <c r="B49" s="49"/>
      <c r="C49" s="49"/>
      <c r="D49" s="70"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49"/>
      <c r="B50" s="49"/>
      <c r="C50" s="49"/>
      <c r="D50" s="70"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49"/>
      <c r="B51" s="49"/>
      <c r="C51" s="49"/>
      <c r="D51" s="70"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49"/>
      <c r="B52" s="49"/>
      <c r="C52" s="49"/>
      <c r="D52" s="70"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49"/>
      <c r="B53" s="49"/>
      <c r="C53" s="49"/>
      <c r="D53" s="70"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49"/>
      <c r="B54" s="49"/>
      <c r="C54" s="49"/>
      <c r="D54" s="70"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49"/>
      <c r="B55" s="49"/>
      <c r="C55" s="49"/>
      <c r="D55" s="70"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49"/>
      <c r="B56" s="49"/>
      <c r="C56" s="49"/>
      <c r="D56" s="70"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49"/>
      <c r="B57" s="49"/>
      <c r="C57" s="49"/>
      <c r="D57" s="70"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49"/>
      <c r="B58" s="49"/>
      <c r="C58" s="49"/>
      <c r="D58" s="70"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49"/>
      <c r="B59" s="49"/>
      <c r="C59" s="49"/>
      <c r="D59" s="70"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49"/>
      <c r="B60" s="49"/>
      <c r="C60" s="49"/>
      <c r="D60" s="70"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49"/>
      <c r="B61" s="49"/>
      <c r="C61" s="49"/>
      <c r="D61" s="70"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49"/>
      <c r="B62" s="49"/>
      <c r="C62" s="49"/>
      <c r="D62" s="70"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49"/>
      <c r="B63" s="49"/>
      <c r="C63" s="49"/>
      <c r="D63" s="70"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49"/>
      <c r="B64" s="49"/>
      <c r="C64" s="49"/>
      <c r="D64" s="70"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49"/>
      <c r="B65" s="49"/>
      <c r="C65" s="49"/>
      <c r="D65" s="70"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49"/>
      <c r="B66" s="49"/>
      <c r="C66" s="49"/>
      <c r="D66" s="70"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49"/>
      <c r="B67" s="49"/>
      <c r="C67" s="49"/>
      <c r="D67" s="70"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49"/>
      <c r="B68" s="49"/>
      <c r="C68" s="49"/>
      <c r="D68" s="70"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49"/>
      <c r="B69" s="49"/>
      <c r="C69" s="49"/>
      <c r="D69" s="70"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49"/>
      <c r="B70" s="49"/>
      <c r="C70" s="49"/>
      <c r="D70" s="70"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49"/>
      <c r="B71" s="49"/>
      <c r="C71" s="49"/>
      <c r="D71" s="70"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49"/>
      <c r="B72" s="49"/>
      <c r="C72" s="49"/>
      <c r="D72" s="70"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49"/>
      <c r="B73" s="49"/>
      <c r="C73" s="49"/>
      <c r="D73" s="70"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49"/>
      <c r="B74" s="49"/>
      <c r="C74" s="49"/>
      <c r="D74" s="70"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49"/>
      <c r="B75" s="49"/>
      <c r="C75" s="49"/>
      <c r="D75" s="70"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49"/>
      <c r="B76" s="49"/>
      <c r="C76" s="49"/>
      <c r="D76" s="70"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49"/>
      <c r="B77" s="49"/>
      <c r="C77" s="49"/>
      <c r="D77" s="70"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49"/>
      <c r="B78" s="49"/>
      <c r="C78" s="49"/>
      <c r="D78" s="70"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49"/>
      <c r="B79" s="49"/>
      <c r="C79" s="49"/>
      <c r="D79" s="70"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49"/>
      <c r="B80" s="49"/>
      <c r="C80" s="49"/>
      <c r="D80" s="70"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49"/>
      <c r="B81" s="49"/>
      <c r="C81" s="49"/>
      <c r="D81" s="70"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49"/>
      <c r="B82" s="49"/>
      <c r="C82" s="49"/>
      <c r="D82" s="70"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49"/>
      <c r="B83" s="49"/>
      <c r="C83" s="49"/>
      <c r="D83" s="70"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49"/>
      <c r="B84" s="49"/>
      <c r="C84" s="49"/>
      <c r="D84" s="70"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49"/>
      <c r="B85" s="49"/>
      <c r="C85" s="49"/>
      <c r="D85" s="70"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49"/>
      <c r="B86" s="49"/>
      <c r="C86" s="49"/>
      <c r="D86" s="70"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49"/>
      <c r="B87" s="49"/>
      <c r="C87" s="49"/>
      <c r="D87" s="70"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49"/>
      <c r="B88" s="49"/>
      <c r="C88" s="49"/>
      <c r="D88" s="70"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49"/>
      <c r="B89" s="49"/>
      <c r="C89" s="49"/>
      <c r="D89" s="70"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49"/>
      <c r="B90" s="49"/>
      <c r="C90" s="49"/>
      <c r="D90" s="70"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49"/>
      <c r="B91" s="49"/>
      <c r="C91" s="49"/>
      <c r="D91" s="70"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49"/>
      <c r="B92" s="49"/>
      <c r="C92" s="49"/>
      <c r="D92" s="70"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49"/>
      <c r="B93" s="49"/>
      <c r="C93" s="49"/>
      <c r="D93" s="70"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49"/>
      <c r="B94" s="49"/>
      <c r="C94" s="49"/>
      <c r="D94" s="70"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49"/>
      <c r="B95" s="49"/>
      <c r="C95" s="49"/>
      <c r="D95" s="70"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49"/>
      <c r="B96" s="49"/>
      <c r="C96" s="49"/>
      <c r="D96" s="70"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49"/>
      <c r="B97" s="49"/>
      <c r="C97" s="49"/>
      <c r="D97" s="70"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49"/>
      <c r="B98" s="49"/>
      <c r="C98" s="49"/>
      <c r="D98" s="70"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49"/>
      <c r="B99" s="49"/>
      <c r="C99" s="49"/>
      <c r="D99" s="70"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49"/>
      <c r="B100" s="49"/>
      <c r="C100" s="49"/>
      <c r="D100" s="70"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49"/>
      <c r="B101" s="49"/>
      <c r="C101" s="49"/>
      <c r="D101" s="70"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49"/>
      <c r="B102" s="49"/>
      <c r="C102" s="49"/>
      <c r="D102" s="70"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49"/>
      <c r="B103" s="49"/>
      <c r="C103" s="49"/>
      <c r="D103" s="70"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49"/>
      <c r="B104" s="49"/>
      <c r="C104" s="49"/>
      <c r="D104" s="70"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49"/>
      <c r="B105" s="49"/>
      <c r="C105" s="49"/>
      <c r="D105" s="70"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49"/>
      <c r="B106" s="49"/>
      <c r="C106" s="49"/>
      <c r="D106" s="70"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49"/>
      <c r="B107" s="49"/>
      <c r="C107" s="49"/>
      <c r="D107" s="70"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49"/>
      <c r="B108" s="49"/>
      <c r="C108" s="49"/>
      <c r="D108" s="70"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49"/>
      <c r="B109" s="49"/>
      <c r="C109" s="49"/>
      <c r="D109" s="70"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49"/>
      <c r="B110" s="49"/>
      <c r="C110" s="49"/>
      <c r="D110" s="70"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49"/>
      <c r="B111" s="49"/>
      <c r="C111" s="49"/>
      <c r="D111" s="70"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49"/>
      <c r="B112" s="49"/>
      <c r="C112" s="49"/>
      <c r="D112" s="70"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49"/>
      <c r="B113" s="49"/>
      <c r="C113" s="49"/>
      <c r="D113" s="70"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49"/>
      <c r="B114" s="49"/>
      <c r="C114" s="49"/>
      <c r="D114" s="70"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49"/>
      <c r="B115" s="49"/>
      <c r="C115" s="49"/>
      <c r="D115" s="70"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49"/>
      <c r="B116" s="49"/>
      <c r="C116" s="49"/>
      <c r="D116" s="70"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49"/>
      <c r="B117" s="49"/>
      <c r="C117" s="49"/>
      <c r="D117" s="70"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49"/>
      <c r="B118" s="49"/>
      <c r="C118" s="49"/>
      <c r="D118" s="70"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49"/>
      <c r="B119" s="49"/>
      <c r="C119" s="49"/>
      <c r="D119" s="70"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49"/>
      <c r="B120" s="49"/>
      <c r="C120" s="49"/>
      <c r="D120" s="70"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49"/>
      <c r="B121" s="49"/>
      <c r="C121" s="49"/>
      <c r="D121" s="70"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49"/>
      <c r="B122" s="49"/>
      <c r="C122" s="49"/>
      <c r="D122" s="70"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49"/>
      <c r="B123" s="49"/>
      <c r="C123" s="49"/>
      <c r="D123" s="70"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49"/>
      <c r="B124" s="49"/>
      <c r="C124" s="49"/>
      <c r="D124" s="70"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49"/>
      <c r="B125" s="49"/>
      <c r="C125" s="49"/>
      <c r="D125" s="70"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49"/>
      <c r="B126" s="49"/>
      <c r="C126" s="49"/>
      <c r="D126" s="70"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49"/>
      <c r="B127" s="49"/>
      <c r="C127" s="49"/>
      <c r="D127" s="70"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49"/>
      <c r="B128" s="49"/>
      <c r="C128" s="49"/>
      <c r="D128" s="70"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49"/>
      <c r="B129" s="49"/>
      <c r="C129" s="49"/>
      <c r="D129" s="70"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49"/>
      <c r="B130" s="49"/>
      <c r="C130" s="49"/>
      <c r="D130" s="70"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49"/>
      <c r="B131" s="49"/>
      <c r="C131" s="49"/>
      <c r="D131" s="70"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49"/>
      <c r="B132" s="49"/>
      <c r="C132" s="49"/>
      <c r="D132" s="70"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49"/>
      <c r="B133" s="49"/>
      <c r="C133" s="49"/>
      <c r="D133" s="70"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49"/>
      <c r="B134" s="49"/>
      <c r="C134" s="49"/>
      <c r="D134" s="70"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49"/>
      <c r="B135" s="49"/>
      <c r="C135" s="49"/>
      <c r="D135" s="70"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49"/>
      <c r="B136" s="49"/>
      <c r="C136" s="49"/>
      <c r="D136" s="70"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49"/>
      <c r="B137" s="49"/>
      <c r="C137" s="49"/>
      <c r="D137" s="70"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49"/>
      <c r="B138" s="49"/>
      <c r="C138" s="49"/>
      <c r="D138" s="70"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49"/>
      <c r="B139" s="49"/>
      <c r="C139" s="49"/>
      <c r="D139" s="70"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49"/>
      <c r="B140" s="49"/>
      <c r="C140" s="49"/>
      <c r="D140" s="70"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49"/>
      <c r="B141" s="49"/>
      <c r="C141" s="49"/>
      <c r="D141" s="70"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49"/>
      <c r="B142" s="49"/>
      <c r="C142" s="49"/>
      <c r="D142" s="70"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49"/>
      <c r="B143" s="49"/>
      <c r="C143" s="49"/>
      <c r="D143" s="70"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49"/>
      <c r="B144" s="49"/>
      <c r="C144" s="49"/>
      <c r="D144" s="70"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49"/>
      <c r="B145" s="49"/>
      <c r="C145" s="49"/>
      <c r="D145" s="70"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49"/>
      <c r="B146" s="49"/>
      <c r="C146" s="49"/>
      <c r="D146" s="70"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49"/>
      <c r="B147" s="49"/>
      <c r="C147" s="49"/>
      <c r="D147" s="70"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49"/>
      <c r="B148" s="49"/>
      <c r="C148" s="49"/>
      <c r="D148" s="70"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49"/>
      <c r="B149" s="49"/>
      <c r="C149" s="49"/>
      <c r="D149" s="70"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49"/>
      <c r="B150" s="49"/>
      <c r="C150" s="49"/>
      <c r="D150" s="70"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49"/>
      <c r="B151" s="49"/>
      <c r="C151" s="49"/>
      <c r="D151" s="70"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49"/>
      <c r="B152" s="49"/>
      <c r="C152" s="49"/>
      <c r="D152" s="70"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49"/>
      <c r="B153" s="49"/>
      <c r="C153" s="49"/>
      <c r="D153" s="70"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49"/>
      <c r="B154" s="49"/>
      <c r="C154" s="49"/>
      <c r="D154" s="70"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49"/>
      <c r="B155" s="49"/>
      <c r="C155" s="49"/>
      <c r="D155" s="70"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49"/>
      <c r="B156" s="49"/>
      <c r="C156" s="49"/>
      <c r="D156" s="70"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49"/>
      <c r="B157" s="49"/>
      <c r="C157" s="49"/>
      <c r="D157" s="70"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49"/>
      <c r="B158" s="49"/>
      <c r="C158" s="49"/>
      <c r="D158" s="70"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49"/>
      <c r="B159" s="49"/>
      <c r="C159" s="49"/>
      <c r="D159" s="70"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49"/>
      <c r="B160" s="49"/>
      <c r="C160" s="49"/>
      <c r="D160" s="70"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49"/>
      <c r="B161" s="49"/>
      <c r="C161" s="49"/>
      <c r="D161" s="70"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49"/>
      <c r="B162" s="49"/>
      <c r="C162" s="49"/>
      <c r="D162" s="70"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49"/>
      <c r="B163" s="49"/>
      <c r="C163" s="49"/>
      <c r="D163" s="70"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49"/>
      <c r="B164" s="49"/>
      <c r="C164" s="49"/>
      <c r="D164" s="70"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49"/>
      <c r="B165" s="49"/>
      <c r="C165" s="49"/>
      <c r="D165" s="70"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49"/>
      <c r="B166" s="49"/>
      <c r="C166" s="49"/>
      <c r="D166" s="70"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49"/>
      <c r="B167" s="49"/>
      <c r="C167" s="49"/>
      <c r="D167" s="70"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49"/>
      <c r="B168" s="49"/>
      <c r="C168" s="49"/>
      <c r="D168" s="70"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49"/>
      <c r="B169" s="49"/>
      <c r="C169" s="49"/>
      <c r="D169" s="70"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49"/>
      <c r="B170" s="49"/>
      <c r="C170" s="49"/>
      <c r="D170" s="70"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49"/>
      <c r="B171" s="49"/>
      <c r="C171" s="49"/>
      <c r="D171" s="70"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49"/>
      <c r="B172" s="49"/>
      <c r="C172" s="49"/>
      <c r="D172" s="70"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49"/>
      <c r="B173" s="49"/>
      <c r="C173" s="49"/>
      <c r="D173" s="70"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49"/>
      <c r="B174" s="49"/>
      <c r="C174" s="49"/>
      <c r="D174" s="70"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49"/>
      <c r="B175" s="49"/>
      <c r="C175" s="49"/>
      <c r="D175" s="70"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49"/>
      <c r="B176" s="49"/>
      <c r="C176" s="49"/>
      <c r="D176" s="70"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49"/>
      <c r="B177" s="49"/>
      <c r="C177" s="49"/>
      <c r="D177" s="70"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49"/>
      <c r="B178" s="49"/>
      <c r="C178" s="49"/>
      <c r="D178" s="70"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49"/>
      <c r="B179" s="49"/>
      <c r="C179" s="49"/>
      <c r="D179" s="70"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49"/>
      <c r="B180" s="49"/>
      <c r="C180" s="49"/>
      <c r="D180" s="70"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49"/>
      <c r="B181" s="49"/>
      <c r="C181" s="49"/>
      <c r="D181" s="70"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49"/>
      <c r="B182" s="49"/>
      <c r="C182" s="49"/>
      <c r="D182" s="70"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49"/>
      <c r="B183" s="49"/>
      <c r="C183" s="49"/>
      <c r="D183" s="70"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49"/>
      <c r="B184" s="49"/>
      <c r="C184" s="49"/>
      <c r="D184" s="70"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49"/>
      <c r="B185" s="49"/>
      <c r="C185" s="49"/>
      <c r="D185" s="70"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49"/>
      <c r="B186" s="49"/>
      <c r="C186" s="49"/>
      <c r="D186" s="70"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49"/>
      <c r="B187" s="49"/>
      <c r="C187" s="49"/>
      <c r="D187" s="70"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49"/>
      <c r="B188" s="49"/>
      <c r="C188" s="49"/>
      <c r="D188" s="70"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49"/>
      <c r="B189" s="49"/>
      <c r="C189" s="49"/>
      <c r="D189" s="70"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49"/>
      <c r="B190" s="49"/>
      <c r="C190" s="49"/>
      <c r="D190" s="70"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49"/>
      <c r="B191" s="49"/>
      <c r="C191" s="49"/>
      <c r="D191" s="70"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49"/>
      <c r="B192" s="49"/>
      <c r="C192" s="49"/>
      <c r="D192" s="70"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49"/>
      <c r="B193" s="49"/>
      <c r="C193" s="49"/>
      <c r="D193" s="70"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49"/>
      <c r="B194" s="49"/>
      <c r="C194" s="49"/>
      <c r="D194" s="70"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49"/>
      <c r="B195" s="49"/>
      <c r="C195" s="49"/>
      <c r="D195" s="70"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49"/>
      <c r="B196" s="49"/>
      <c r="C196" s="49"/>
      <c r="D196" s="70"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49"/>
      <c r="B197" s="49"/>
      <c r="C197" s="49"/>
      <c r="D197" s="70"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49"/>
      <c r="B198" s="49"/>
      <c r="C198" s="49"/>
      <c r="D198" s="70"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49"/>
      <c r="B199" s="49"/>
      <c r="C199" s="49"/>
      <c r="D199" s="70"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49"/>
      <c r="B200" s="49"/>
      <c r="C200" s="49"/>
      <c r="D200" s="70"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49"/>
      <c r="B201" s="49"/>
      <c r="C201" s="49"/>
      <c r="D201" s="70"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49"/>
      <c r="B202" s="49"/>
      <c r="C202" s="49"/>
      <c r="D202" s="70"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572</v>
      </c>
      <c r="B204" s="9"/>
      <c r="C204" s="9"/>
      <c r="D204" s="9"/>
      <c r="E204" s="9"/>
      <c r="F204" s="9"/>
    </row>
    <row r="205" customFormat="false" ht="39.75" hidden="false" customHeight="true" outlineLevel="0" collapsed="false">
      <c r="A205" s="10" t="s">
        <v>561</v>
      </c>
      <c r="B205" s="10" t="s">
        <v>573</v>
      </c>
      <c r="C205" s="10" t="s">
        <v>574</v>
      </c>
      <c r="D205" s="10" t="s">
        <v>575</v>
      </c>
      <c r="E205" s="10" t="s">
        <v>576</v>
      </c>
      <c r="F205" s="10" t="s">
        <v>577</v>
      </c>
    </row>
    <row r="206" customFormat="false" ht="26.25" hidden="false" customHeight="true" outlineLevel="0" collapsed="false">
      <c r="A206" s="65" t="s">
        <v>564</v>
      </c>
      <c r="B206" s="68" t="n">
        <f aca="false">IFERROR(IF($A206="","",SUMIFS($E$3:$E$202,$A$3:$A$202,$A206)),"")</f>
        <v>91.2156120833333</v>
      </c>
      <c r="C206" s="77" t="n">
        <v>160</v>
      </c>
      <c r="D206" s="78" t="n">
        <f aca="false">IFERROR(IF(OR($A206="",$C206=0,$C206=""),"",$B206/$C206),"")</f>
        <v>0.570097575520833</v>
      </c>
      <c r="E206" s="67" t="n">
        <f aca="false">IFERROR(IF($A206="","",$B206/'تحليل التكلفة والسعر'!$F$2),"")</f>
        <v>243.241632222222</v>
      </c>
      <c r="F206" s="68" t="n">
        <f aca="false">IFERROR(IF($A206="","",$C206-$B206),"")</f>
        <v>68.7843879166667</v>
      </c>
    </row>
    <row r="207" customFormat="false" ht="26.25" hidden="false" customHeight="true" outlineLevel="0" collapsed="false">
      <c r="A207" s="65" t="s">
        <v>565</v>
      </c>
      <c r="B207" s="68" t="n">
        <f aca="false">IFERROR(IF($A207="","",SUMIFS($E$3:$E$202,$A$3:$A$202,$A207)),"")</f>
        <v>11.74</v>
      </c>
      <c r="C207" s="77" t="n">
        <v>0</v>
      </c>
      <c r="D207" s="78" t="str">
        <f aca="false">IFERROR(IF(OR($A207="",$C207=0,$C207=""),"",$B207/$C207),"")</f>
        <v/>
      </c>
      <c r="E207" s="67" t="n">
        <f aca="false">IFERROR(IF($A207="","",$B207/'تحليل التكلفة والسعر'!$F$2),"")</f>
        <v>31.3066666666667</v>
      </c>
      <c r="F207" s="68" t="n">
        <f aca="false">IFERROR(IF($A207="","",$C207-$B207),"")</f>
        <v>-11.74</v>
      </c>
    </row>
    <row r="208" customFormat="false" ht="15" hidden="false" customHeight="true" outlineLevel="0" collapsed="false">
      <c r="A208" s="65" t="s">
        <v>566</v>
      </c>
      <c r="B208" s="68" t="n">
        <f aca="false">IFERROR(IF($A208="","",SUMIFS($E$3:$E$202,$A$3:$A$202,$A208)),"")</f>
        <v>10.713986</v>
      </c>
      <c r="C208" s="77" t="n">
        <v>0</v>
      </c>
      <c r="D208" s="78" t="str">
        <f aca="false">IFERROR(IF(OR($A208="",$C208=0,$C208=""),"",$B208/$C208),"")</f>
        <v/>
      </c>
      <c r="E208" s="67" t="n">
        <f aca="false">IFERROR(IF($A208="","",$B208/'تحليل التكلفة والسعر'!$F$2),"")</f>
        <v>28.5706293333333</v>
      </c>
      <c r="F208" s="68" t="n">
        <f aca="false">IFERROR(IF($A208="","",$C208-$B208),"")</f>
        <v>-10.713986</v>
      </c>
    </row>
    <row r="209" customFormat="false" ht="15" hidden="false" customHeight="true" outlineLevel="0" collapsed="false">
      <c r="A209" s="65" t="s">
        <v>567</v>
      </c>
      <c r="B209" s="68" t="n">
        <f aca="false">IFERROR(IF($A209="","",SUMIFS($E$3:$E$202,$A$3:$A$202,$A209)),"")</f>
        <v>20.110157</v>
      </c>
      <c r="C209" s="77" t="n">
        <v>0</v>
      </c>
      <c r="D209" s="78" t="str">
        <f aca="false">IFERROR(IF(OR($A209="",$C209=0,$C209=""),"",$B209/$C209),"")</f>
        <v/>
      </c>
      <c r="E209" s="67" t="n">
        <f aca="false">IFERROR(IF($A209="","",$B209/'تحليل التكلفة والسعر'!$F$2),"")</f>
        <v>53.6270853333333</v>
      </c>
      <c r="F209" s="68" t="n">
        <f aca="false">IFERROR(IF($A209="","",$C209-$B209),"")</f>
        <v>-20.110157</v>
      </c>
    </row>
    <row r="210" customFormat="false" ht="26.25" hidden="false" customHeight="true" outlineLevel="0" collapsed="false">
      <c r="A210" s="65" t="s">
        <v>568</v>
      </c>
      <c r="B210" s="68" t="n">
        <f aca="false">IFERROR(IF($A210="","",SUMIFS($E$3:$E$202,$A$3:$A$202,$A210)),"")</f>
        <v>185.5452</v>
      </c>
      <c r="C210" s="77" t="n">
        <v>250</v>
      </c>
      <c r="D210" s="78" t="n">
        <f aca="false">IFERROR(IF(OR($A210="",$C210=0,$C210=""),"",$B210/$C210),"")</f>
        <v>0.7421808</v>
      </c>
      <c r="E210" s="67" t="n">
        <f aca="false">IFERROR(IF($A210="","",$B210/'تحليل التكلفة والسعر'!$F$2),"")</f>
        <v>494.7872</v>
      </c>
      <c r="F210" s="68" t="n">
        <f aca="false">IFERROR(IF($A210="","",$C210-$B210),"")</f>
        <v>64.4548</v>
      </c>
    </row>
    <row r="211" customFormat="false" ht="26.25" hidden="false" customHeight="true" outlineLevel="0" collapsed="false">
      <c r="A211" s="65" t="s">
        <v>569</v>
      </c>
      <c r="B211" s="68" t="n">
        <f aca="false">IFERROR(IF($A211="","",SUMIFS($E$3:$E$202,$A$3:$A$202,$A211)),"")</f>
        <v>166.741672</v>
      </c>
      <c r="C211" s="77" t="n">
        <v>250</v>
      </c>
      <c r="D211" s="78" t="n">
        <f aca="false">IFERROR(IF(OR($A211="",$C211=0,$C211=""),"",$B211/$C211),"")</f>
        <v>0.666966688</v>
      </c>
      <c r="E211" s="67" t="n">
        <f aca="false">IFERROR(IF($A211="","",$B211/'تحليل التكلفة والسعر'!$F$2),"")</f>
        <v>444.644458666667</v>
      </c>
      <c r="F211" s="68" t="n">
        <f aca="false">IFERROR(IF($A211="","",$C211-$B211),"")</f>
        <v>83.258328</v>
      </c>
    </row>
    <row r="212" customFormat="false" ht="26.25" hidden="false" customHeight="true" outlineLevel="0" collapsed="false">
      <c r="A212" s="65" t="s">
        <v>570</v>
      </c>
      <c r="B212" s="68" t="n">
        <f aca="false">IFERROR(IF($A212="","",SUMIFS($E$3:$E$202,$A$3:$A$202,$A212)),"")</f>
        <v>91.8984</v>
      </c>
      <c r="C212" s="77" t="n">
        <v>150</v>
      </c>
      <c r="D212" s="78" t="n">
        <f aca="false">IFERROR(IF(OR($A212="",$C212=0,$C212=""),"",$B212/$C212),"")</f>
        <v>0.612656</v>
      </c>
      <c r="E212" s="67" t="n">
        <f aca="false">IFERROR(IF($A212="","",$B212/'تحليل التكلفة والسعر'!$F$2),"")</f>
        <v>245.0624</v>
      </c>
      <c r="F212" s="68" t="n">
        <f aca="false">IFERROR(IF($A212="","",$C212-$B212),"")</f>
        <v>58.1016</v>
      </c>
    </row>
    <row r="213" customFormat="false" ht="26.25" hidden="false" customHeight="true" outlineLevel="0" collapsed="false">
      <c r="A213" s="65" t="s">
        <v>571</v>
      </c>
      <c r="B213" s="68" t="n">
        <f aca="false">IFERROR(IF($A213="","",SUMIFS($E$3:$E$202,$A$3:$A$202,$A213)),"")</f>
        <v>104.6676</v>
      </c>
      <c r="C213" s="77" t="n">
        <v>200</v>
      </c>
      <c r="D213" s="78" t="n">
        <f aca="false">IFERROR(IF(OR($A213="",$C213=0,$C213=""),"",$B213/$C213),"")</f>
        <v>0.523338</v>
      </c>
      <c r="E213" s="67" t="n">
        <f aca="false">IFERROR(IF($A213="","",$B213/'تحليل التكلفة والسعر'!$F$2),"")</f>
        <v>279.1136</v>
      </c>
      <c r="F213" s="68" t="n">
        <f aca="false">IFERROR(IF($A213="","",$C213-$B213),"")</f>
        <v>95.3324</v>
      </c>
    </row>
    <row r="214" customFormat="false" ht="15" hidden="false" customHeight="true" outlineLevel="0" collapsed="false">
      <c r="A214" s="49"/>
      <c r="B214" s="13" t="str">
        <f aca="false">IFERROR(IF($A214="","",SUMIFS($E$3:$E$202,$A$3:$A$202,$A214)),"")</f>
        <v/>
      </c>
      <c r="C214" s="50"/>
      <c r="D214" s="12" t="str">
        <f aca="false">IFERROR(IF(OR($A214="",$C214=0,$C214=""),"",$B214/$C214),"")</f>
        <v/>
      </c>
      <c r="E214" s="70" t="str">
        <f aca="false">IFERROR(IF($A214="","",$B214/'تحليل التكلفة والسعر'!$F$2),"")</f>
        <v/>
      </c>
      <c r="F214" s="13" t="str">
        <f aca="false">IFERROR(IF($A214="","",$C214-$B214),"")</f>
        <v/>
      </c>
    </row>
    <row r="215" customFormat="false" ht="15" hidden="false" customHeight="true" outlineLevel="0" collapsed="false">
      <c r="A215" s="49"/>
      <c r="B215" s="13" t="str">
        <f aca="false">IFERROR(IF($A215="","",SUMIFS($E$3:$E$202,$A$3:$A$202,$A215)),"")</f>
        <v/>
      </c>
      <c r="C215" s="50"/>
      <c r="D215" s="12" t="str">
        <f aca="false">IFERROR(IF(OR($A215="",$C215=0,$C215=""),"",$B215/$C215),"")</f>
        <v/>
      </c>
      <c r="E215" s="70" t="str">
        <f aca="false">IFERROR(IF($A215="","",$B215/'تحليل التكلفة والسعر'!$F$2),"")</f>
        <v/>
      </c>
      <c r="F215" s="13" t="str">
        <f aca="false">IFERROR(IF($A215="","",$C215-$B215),"")</f>
        <v/>
      </c>
    </row>
    <row r="216" customFormat="false" ht="15" hidden="false" customHeight="true" outlineLevel="0" collapsed="false">
      <c r="A216" s="49"/>
      <c r="B216" s="13" t="str">
        <f aca="false">IFERROR(IF($A216="","",SUMIFS($E$3:$E$202,$A$3:$A$202,$A216)),"")</f>
        <v/>
      </c>
      <c r="C216" s="50"/>
      <c r="D216" s="12" t="str">
        <f aca="false">IFERROR(IF(OR($A216="",$C216=0,$C216=""),"",$B216/$C216),"")</f>
        <v/>
      </c>
      <c r="E216" s="70" t="str">
        <f aca="false">IFERROR(IF($A216="","",$B216/'تحليل التكلفة والسعر'!$F$2),"")</f>
        <v/>
      </c>
      <c r="F216" s="13" t="str">
        <f aca="false">IFERROR(IF($A216="","",$C216-$B216),"")</f>
        <v/>
      </c>
    </row>
    <row r="217" customFormat="false" ht="15" hidden="false" customHeight="true" outlineLevel="0" collapsed="false">
      <c r="A217" s="49"/>
      <c r="B217" s="13" t="str">
        <f aca="false">IFERROR(IF($A217="","",SUMIFS($E$3:$E$202,$A$3:$A$202,$A217)),"")</f>
        <v/>
      </c>
      <c r="C217" s="50"/>
      <c r="D217" s="12" t="str">
        <f aca="false">IFERROR(IF(OR($A217="",$C217=0,$C217=""),"",$B217/$C217),"")</f>
        <v/>
      </c>
      <c r="E217" s="70" t="str">
        <f aca="false">IFERROR(IF($A217="","",$B217/'تحليل التكلفة والسعر'!$F$2),"")</f>
        <v/>
      </c>
      <c r="F217" s="13" t="str">
        <f aca="false">IFERROR(IF($A217="","",$C217-$B217),"")</f>
        <v/>
      </c>
    </row>
    <row r="218" customFormat="false" ht="15" hidden="false" customHeight="true" outlineLevel="0" collapsed="false">
      <c r="A218" s="49"/>
      <c r="B218" s="13" t="str">
        <f aca="false">IFERROR(IF($A218="","",SUMIFS($E$3:$E$202,$A$3:$A$202,$A218)),"")</f>
        <v/>
      </c>
      <c r="C218" s="50"/>
      <c r="D218" s="12" t="str">
        <f aca="false">IFERROR(IF(OR($A218="",$C218=0,$C218=""),"",$B218/$C218),"")</f>
        <v/>
      </c>
      <c r="E218" s="70" t="str">
        <f aca="false">IFERROR(IF($A218="","",$B218/'تحليل التكلفة والسعر'!$F$2),"")</f>
        <v/>
      </c>
      <c r="F218" s="13" t="str">
        <f aca="false">IFERROR(IF($A218="","",$C218-$B218),"")</f>
        <v/>
      </c>
    </row>
    <row r="219" customFormat="false" ht="15" hidden="false" customHeight="true" outlineLevel="0" collapsed="false">
      <c r="A219" s="49"/>
      <c r="B219" s="13" t="str">
        <f aca="false">IFERROR(IF($A219="","",SUMIFS($E$3:$E$202,$A$3:$A$202,$A219)),"")</f>
        <v/>
      </c>
      <c r="C219" s="50"/>
      <c r="D219" s="12" t="str">
        <f aca="false">IFERROR(IF(OR($A219="",$C219=0,$C219=""),"",$B219/$C219),"")</f>
        <v/>
      </c>
      <c r="E219" s="70" t="str">
        <f aca="false">IFERROR(IF($A219="","",$B219/'تحليل التكلفة والسعر'!$F$2),"")</f>
        <v/>
      </c>
      <c r="F219" s="13" t="str">
        <f aca="false">IFERROR(IF($A219="","",$C219-$B219),"")</f>
        <v/>
      </c>
    </row>
    <row r="220" customFormat="false" ht="15" hidden="false" customHeight="true" outlineLevel="0" collapsed="false">
      <c r="A220" s="49"/>
      <c r="B220" s="13" t="str">
        <f aca="false">IFERROR(IF($A220="","",SUMIFS($E$3:$E$202,$A$3:$A$202,$A220)),"")</f>
        <v/>
      </c>
      <c r="C220" s="50"/>
      <c r="D220" s="12" t="str">
        <f aca="false">IFERROR(IF(OR($A220="",$C220=0,$C220=""),"",$B220/$C220),"")</f>
        <v/>
      </c>
      <c r="E220" s="70" t="str">
        <f aca="false">IFERROR(IF($A220="","",$B220/'تحليل التكلفة والسعر'!$F$2),"")</f>
        <v/>
      </c>
      <c r="F220" s="13" t="str">
        <f aca="false">IFERROR(IF($A220="","",$C220-$B220),"")</f>
        <v/>
      </c>
    </row>
    <row r="221" customFormat="false" ht="15" hidden="false" customHeight="true" outlineLevel="0" collapsed="false">
      <c r="A221" s="49"/>
      <c r="B221" s="13" t="str">
        <f aca="false">IFERROR(IF($A221="","",SUMIFS($E$3:$E$202,$A$3:$A$202,$A221)),"")</f>
        <v/>
      </c>
      <c r="C221" s="50"/>
      <c r="D221" s="12" t="str">
        <f aca="false">IFERROR(IF(OR($A221="",$C221=0,$C221=""),"",$B221/$C221),"")</f>
        <v/>
      </c>
      <c r="E221" s="70" t="str">
        <f aca="false">IFERROR(IF($A221="","",$B221/'تحليل التكلفة والسعر'!$F$2),"")</f>
        <v/>
      </c>
      <c r="F221" s="13" t="str">
        <f aca="false">IFERROR(IF($A221="","",$C221-$B221),"")</f>
        <v/>
      </c>
    </row>
    <row r="222" customFormat="false" ht="15" hidden="false" customHeight="true" outlineLevel="0" collapsed="false">
      <c r="A222" s="49"/>
      <c r="B222" s="13" t="str">
        <f aca="false">IFERROR(IF($A222="","",SUMIFS($E$3:$E$202,$A$3:$A$202,$A222)),"")</f>
        <v/>
      </c>
      <c r="C222" s="50"/>
      <c r="D222" s="12" t="str">
        <f aca="false">IFERROR(IF(OR($A222="",$C222=0,$C222=""),"",$B222/$C222),"")</f>
        <v/>
      </c>
      <c r="E222" s="70" t="str">
        <f aca="false">IFERROR(IF($A222="","",$B222/'تحليل التكلفة والسعر'!$F$2),"")</f>
        <v/>
      </c>
      <c r="F222" s="13" t="str">
        <f aca="false">IFERROR(IF($A222="","",$C222-$B222),"")</f>
        <v/>
      </c>
    </row>
    <row r="223" customFormat="false" ht="15" hidden="false" customHeight="true" outlineLevel="0" collapsed="false">
      <c r="A223" s="49"/>
      <c r="B223" s="13" t="str">
        <f aca="false">IFERROR(IF($A223="","",SUMIFS($E$3:$E$202,$A$3:$A$202,$A223)),"")</f>
        <v/>
      </c>
      <c r="C223" s="50"/>
      <c r="D223" s="12" t="str">
        <f aca="false">IFERROR(IF(OR($A223="",$C223=0,$C223=""),"",$B223/$C223),"")</f>
        <v/>
      </c>
      <c r="E223" s="70" t="str">
        <f aca="false">IFERROR(IF($A223="","",$B223/'تحليل التكلفة والسعر'!$F$2),"")</f>
        <v/>
      </c>
      <c r="F223" s="13" t="str">
        <f aca="false">IFERROR(IF($A223="","",$C223-$B223),"")</f>
        <v/>
      </c>
    </row>
    <row r="224" customFormat="false" ht="15" hidden="false" customHeight="true" outlineLevel="0" collapsed="false">
      <c r="A224" s="49"/>
      <c r="B224" s="13" t="str">
        <f aca="false">IFERROR(IF($A224="","",SUMIFS($E$3:$E$202,$A$3:$A$202,$A224)),"")</f>
        <v/>
      </c>
      <c r="C224" s="50"/>
      <c r="D224" s="12" t="str">
        <f aca="false">IFERROR(IF(OR($A224="",$C224=0,$C224=""),"",$B224/$C224),"")</f>
        <v/>
      </c>
      <c r="E224" s="70" t="str">
        <f aca="false">IFERROR(IF($A224="","",$B224/'تحليل التكلفة والسعر'!$F$2),"")</f>
        <v/>
      </c>
      <c r="F224" s="13" t="str">
        <f aca="false">IFERROR(IF($A224="","",$C224-$B224),"")</f>
        <v/>
      </c>
    </row>
    <row r="225" customFormat="false" ht="15" hidden="false" customHeight="true" outlineLevel="0" collapsed="false">
      <c r="A225" s="49"/>
      <c r="B225" s="13" t="str">
        <f aca="false">IFERROR(IF($A225="","",SUMIFS($E$3:$E$202,$A$3:$A$202,$A225)),"")</f>
        <v/>
      </c>
      <c r="C225" s="50"/>
      <c r="D225" s="12" t="str">
        <f aca="false">IFERROR(IF(OR($A225="",$C225=0,$C225=""),"",$B225/$C225),"")</f>
        <v/>
      </c>
      <c r="E225" s="70" t="str">
        <f aca="false">IFERROR(IF($A225="","",$B225/'تحليل التكلفة والسعر'!$F$2),"")</f>
        <v/>
      </c>
      <c r="F225" s="13" t="str">
        <f aca="false">IFERROR(IF($A225="","",$C225-$B225),"")</f>
        <v/>
      </c>
    </row>
    <row r="226" customFormat="false" ht="15" hidden="false" customHeight="true" outlineLevel="0" collapsed="false">
      <c r="A226" s="49"/>
      <c r="B226" s="13" t="str">
        <f aca="false">IFERROR(IF($A226="","",SUMIFS($E$3:$E$202,$A$3:$A$202,$A226)),"")</f>
        <v/>
      </c>
      <c r="C226" s="50"/>
      <c r="D226" s="12" t="str">
        <f aca="false">IFERROR(IF(OR($A226="",$C226=0,$C226=""),"",$B226/$C226),"")</f>
        <v/>
      </c>
      <c r="E226" s="70" t="str">
        <f aca="false">IFERROR(IF($A226="","",$B226/'تحليل التكلفة والسعر'!$F$2),"")</f>
        <v/>
      </c>
      <c r="F226" s="13" t="str">
        <f aca="false">IFERROR(IF($A226="","",$C226-$B226),"")</f>
        <v/>
      </c>
    </row>
    <row r="227" customFormat="false" ht="15" hidden="false" customHeight="true" outlineLevel="0" collapsed="false">
      <c r="A227" s="49"/>
      <c r="B227" s="13" t="str">
        <f aca="false">IFERROR(IF($A227="","",SUMIFS($E$3:$E$202,$A$3:$A$202,$A227)),"")</f>
        <v/>
      </c>
      <c r="C227" s="50"/>
      <c r="D227" s="12" t="str">
        <f aca="false">IFERROR(IF(OR($A227="",$C227=0,$C227=""),"",$B227/$C227),"")</f>
        <v/>
      </c>
      <c r="E227" s="70" t="str">
        <f aca="false">IFERROR(IF($A227="","",$B227/'تحليل التكلفة والسعر'!$F$2),"")</f>
        <v/>
      </c>
      <c r="F227" s="13" t="str">
        <f aca="false">IFERROR(IF($A227="","",$C227-$B227),"")</f>
        <v/>
      </c>
    </row>
    <row r="228" customFormat="false" ht="15" hidden="false" customHeight="true" outlineLevel="0" collapsed="false">
      <c r="A228" s="49"/>
      <c r="B228" s="13" t="str">
        <f aca="false">IFERROR(IF($A228="","",SUMIFS($E$3:$E$202,$A$3:$A$202,$A228)),"")</f>
        <v/>
      </c>
      <c r="C228" s="50"/>
      <c r="D228" s="12" t="str">
        <f aca="false">IFERROR(IF(OR($A228="",$C228=0,$C228=""),"",$B228/$C228),"")</f>
        <v/>
      </c>
      <c r="E228" s="70" t="str">
        <f aca="false">IFERROR(IF($A228="","",$B228/'تحليل التكلفة والسعر'!$F$2),"")</f>
        <v/>
      </c>
      <c r="F228" s="13" t="str">
        <f aca="false">IFERROR(IF($A228="","",$C228-$B228),"")</f>
        <v/>
      </c>
    </row>
    <row r="229" customFormat="false" ht="15" hidden="false" customHeight="true" outlineLevel="0" collapsed="false">
      <c r="A229" s="49"/>
      <c r="B229" s="13" t="str">
        <f aca="false">IFERROR(IF($A229="","",SUMIFS($E$3:$E$202,$A$3:$A$202,$A229)),"")</f>
        <v/>
      </c>
      <c r="C229" s="50"/>
      <c r="D229" s="12" t="str">
        <f aca="false">IFERROR(IF(OR($A229="",$C229=0,$C229=""),"",$B229/$C229),"")</f>
        <v/>
      </c>
      <c r="E229" s="70" t="str">
        <f aca="false">IFERROR(IF($A229="","",$B229/'تحليل التكلفة والسعر'!$F$2),"")</f>
        <v/>
      </c>
      <c r="F229" s="13" t="str">
        <f aca="false">IFERROR(IF($A229="","",$C229-$B229),"")</f>
        <v/>
      </c>
    </row>
    <row r="230" customFormat="false" ht="15" hidden="false" customHeight="true" outlineLevel="0" collapsed="false">
      <c r="A230" s="49"/>
      <c r="B230" s="13" t="str">
        <f aca="false">IFERROR(IF($A230="","",SUMIFS($E$3:$E$202,$A$3:$A$202,$A230)),"")</f>
        <v/>
      </c>
      <c r="C230" s="50"/>
      <c r="D230" s="12" t="str">
        <f aca="false">IFERROR(IF(OR($A230="",$C230=0,$C230=""),"",$B230/$C230),"")</f>
        <v/>
      </c>
      <c r="E230" s="70" t="str">
        <f aca="false">IFERROR(IF($A230="","",$B230/'تحليل التكلفة والسعر'!$F$2),"")</f>
        <v/>
      </c>
      <c r="F230" s="13" t="str">
        <f aca="false">IFERROR(IF($A230="","",$C230-$B230),"")</f>
        <v/>
      </c>
    </row>
    <row r="231" customFormat="false" ht="15" hidden="false" customHeight="true" outlineLevel="0" collapsed="false">
      <c r="A231" s="49"/>
      <c r="B231" s="13" t="str">
        <f aca="false">IFERROR(IF($A231="","",SUMIFS($E$3:$E$202,$A$3:$A$202,$A231)),"")</f>
        <v/>
      </c>
      <c r="C231" s="50"/>
      <c r="D231" s="12" t="str">
        <f aca="false">IFERROR(IF(OR($A231="",$C231=0,$C231=""),"",$B231/$C231),"")</f>
        <v/>
      </c>
      <c r="E231" s="70" t="str">
        <f aca="false">IFERROR(IF($A231="","",$B231/'تحليل التكلفة والسعر'!$F$2),"")</f>
        <v/>
      </c>
      <c r="F231" s="13" t="str">
        <f aca="false">IFERROR(IF($A231="","",$C231-$B231),"")</f>
        <v/>
      </c>
    </row>
    <row r="232" customFormat="false" ht="15" hidden="false" customHeight="true" outlineLevel="0" collapsed="false">
      <c r="A232" s="49"/>
      <c r="B232" s="13" t="str">
        <f aca="false">IFERROR(IF($A232="","",SUMIFS($E$3:$E$202,$A$3:$A$202,$A232)),"")</f>
        <v/>
      </c>
      <c r="C232" s="50"/>
      <c r="D232" s="12" t="str">
        <f aca="false">IFERROR(IF(OR($A232="",$C232=0,$C232=""),"",$B232/$C232),"")</f>
        <v/>
      </c>
      <c r="E232" s="70" t="str">
        <f aca="false">IFERROR(IF($A232="","",$B232/'تحليل التكلفة والسعر'!$F$2),"")</f>
        <v/>
      </c>
      <c r="F232" s="13" t="str">
        <f aca="false">IFERROR(IF($A232="","",$C232-$B232),"")</f>
        <v/>
      </c>
    </row>
    <row r="233" customFormat="false" ht="15" hidden="false" customHeight="true" outlineLevel="0" collapsed="false">
      <c r="A233" s="49"/>
      <c r="B233" s="13" t="str">
        <f aca="false">IFERROR(IF($A233="","",SUMIFS($E$3:$E$202,$A$3:$A$202,$A233)),"")</f>
        <v/>
      </c>
      <c r="C233" s="50"/>
      <c r="D233" s="12" t="str">
        <f aca="false">IFERROR(IF(OR($A233="",$C233=0,$C233=""),"",$B233/$C233),"")</f>
        <v/>
      </c>
      <c r="E233" s="70" t="str">
        <f aca="false">IFERROR(IF($A233="","",$B233/'تحليل التكلفة والسعر'!$F$2),"")</f>
        <v/>
      </c>
      <c r="F233" s="13" t="str">
        <f aca="false">IFERROR(IF($A233="","",$C233-$B233),"")</f>
        <v/>
      </c>
    </row>
    <row r="234" customFormat="false" ht="15" hidden="false" customHeight="true" outlineLevel="0" collapsed="false">
      <c r="A234" s="49"/>
      <c r="B234" s="13" t="str">
        <f aca="false">IFERROR(IF($A234="","",SUMIFS($E$3:$E$202,$A$3:$A$202,$A234)),"")</f>
        <v/>
      </c>
      <c r="C234" s="50"/>
      <c r="D234" s="12" t="str">
        <f aca="false">IFERROR(IF(OR($A234="",$C234=0,$C234=""),"",$B234/$C234),"")</f>
        <v/>
      </c>
      <c r="E234" s="70" t="str">
        <f aca="false">IFERROR(IF($A234="","",$B234/'تحليل التكلفة والسعر'!$F$2),"")</f>
        <v/>
      </c>
      <c r="F234" s="13" t="str">
        <f aca="false">IFERROR(IF($A234="","",$C234-$B234),"")</f>
        <v/>
      </c>
    </row>
    <row r="235" customFormat="false" ht="15" hidden="false" customHeight="true" outlineLevel="0" collapsed="false">
      <c r="A235" s="49"/>
      <c r="B235" s="13" t="str">
        <f aca="false">IFERROR(IF($A235="","",SUMIFS($E$3:$E$202,$A$3:$A$202,$A235)),"")</f>
        <v/>
      </c>
      <c r="C235" s="50"/>
      <c r="D235" s="12" t="str">
        <f aca="false">IFERROR(IF(OR($A235="",$C235=0,$C235=""),"",$B235/$C235),"")</f>
        <v/>
      </c>
      <c r="E235" s="70" t="str">
        <f aca="false">IFERROR(IF($A235="","",$B235/'تحليل التكلفة والسعر'!$F$2),"")</f>
        <v/>
      </c>
      <c r="F235" s="13" t="str">
        <f aca="false">IFERROR(IF($A235="","",$C235-$B235),"")</f>
        <v/>
      </c>
    </row>
    <row r="236" customFormat="false" ht="15" hidden="false" customHeight="true" outlineLevel="0" collapsed="false">
      <c r="A236" s="49"/>
      <c r="B236" s="13" t="str">
        <f aca="false">IFERROR(IF($A236="","",SUMIFS($E$3:$E$202,$A$3:$A$202,$A236)),"")</f>
        <v/>
      </c>
      <c r="C236" s="50"/>
      <c r="D236" s="12" t="str">
        <f aca="false">IFERROR(IF(OR($A236="",$C236=0,$C236=""),"",$B236/$C236),"")</f>
        <v/>
      </c>
      <c r="E236" s="70" t="str">
        <f aca="false">IFERROR(IF($A236="","",$B236/'تحليل التكلفة والسعر'!$F$2),"")</f>
        <v/>
      </c>
      <c r="F236" s="13" t="str">
        <f aca="false">IFERROR(IF($A236="","",$C236-$B236),"")</f>
        <v/>
      </c>
    </row>
    <row r="237" customFormat="false" ht="15" hidden="false" customHeight="true" outlineLevel="0" collapsed="false">
      <c r="A237" s="49"/>
      <c r="B237" s="13" t="str">
        <f aca="false">IFERROR(IF($A237="","",SUMIFS($E$3:$E$202,$A$3:$A$202,$A237)),"")</f>
        <v/>
      </c>
      <c r="C237" s="50"/>
      <c r="D237" s="12" t="str">
        <f aca="false">IFERROR(IF(OR($A237="",$C237=0,$C237=""),"",$B237/$C237),"")</f>
        <v/>
      </c>
      <c r="E237" s="70" t="str">
        <f aca="false">IFERROR(IF($A237="","",$B237/'تحليل التكلفة والسعر'!$F$2),"")</f>
        <v/>
      </c>
      <c r="F237" s="13" t="str">
        <f aca="false">IFERROR(IF($A237="","",$C237-$B237),"")</f>
        <v/>
      </c>
    </row>
    <row r="238" customFormat="false" ht="15" hidden="false" customHeight="true" outlineLevel="0" collapsed="false">
      <c r="A238" s="49"/>
      <c r="B238" s="13" t="str">
        <f aca="false">IFERROR(IF($A238="","",SUMIFS($E$3:$E$202,$A$3:$A$202,$A238)),"")</f>
        <v/>
      </c>
      <c r="C238" s="50"/>
      <c r="D238" s="12" t="str">
        <f aca="false">IFERROR(IF(OR($A238="",$C238=0,$C238=""),"",$B238/$C238),"")</f>
        <v/>
      </c>
      <c r="E238" s="70" t="str">
        <f aca="false">IFERROR(IF($A238="","",$B238/'تحليل التكلفة والسعر'!$F$2),"")</f>
        <v/>
      </c>
      <c r="F238" s="13" t="str">
        <f aca="false">IFERROR(IF($A238="","",$C238-$B238),"")</f>
        <v/>
      </c>
    </row>
    <row r="239" customFormat="false" ht="15" hidden="false" customHeight="true" outlineLevel="0" collapsed="false">
      <c r="A239" s="49"/>
      <c r="B239" s="13" t="str">
        <f aca="false">IFERROR(IF($A239="","",SUMIFS($E$3:$E$202,$A$3:$A$202,$A239)),"")</f>
        <v/>
      </c>
      <c r="C239" s="50"/>
      <c r="D239" s="12" t="str">
        <f aca="false">IFERROR(IF(OR($A239="",$C239=0,$C239=""),"",$B239/$C239),"")</f>
        <v/>
      </c>
      <c r="E239" s="70" t="str">
        <f aca="false">IFERROR(IF($A239="","",$B239/'تحليل التكلفة والسعر'!$F$2),"")</f>
        <v/>
      </c>
      <c r="F239" s="13" t="str">
        <f aca="false">IFERROR(IF($A239="","",$C239-$B239),"")</f>
        <v/>
      </c>
    </row>
    <row r="240" customFormat="false" ht="15" hidden="false" customHeight="true" outlineLevel="0" collapsed="false">
      <c r="A240" s="49"/>
      <c r="B240" s="13" t="str">
        <f aca="false">IFERROR(IF($A240="","",SUMIFS($E$3:$E$202,$A$3:$A$202,$A240)),"")</f>
        <v/>
      </c>
      <c r="C240" s="50"/>
      <c r="D240" s="12" t="str">
        <f aca="false">IFERROR(IF(OR($A240="",$C240=0,$C240=""),"",$B240/$C240),"")</f>
        <v/>
      </c>
      <c r="E240" s="70" t="str">
        <f aca="false">IFERROR(IF($A240="","",$B240/'تحليل التكلفة والسعر'!$F$2),"")</f>
        <v/>
      </c>
      <c r="F240" s="13" t="str">
        <f aca="false">IFERROR(IF($A240="","",$C240-$B240),"")</f>
        <v/>
      </c>
    </row>
    <row r="241" customFormat="false" ht="15" hidden="false" customHeight="true" outlineLevel="0" collapsed="false">
      <c r="A241" s="49"/>
      <c r="B241" s="13" t="str">
        <f aca="false">IFERROR(IF($A241="","",SUMIFS($E$3:$E$202,$A$3:$A$202,$A241)),"")</f>
        <v/>
      </c>
      <c r="C241" s="50"/>
      <c r="D241" s="12" t="str">
        <f aca="false">IFERROR(IF(OR($A241="",$C241=0,$C241=""),"",$B241/$C241),"")</f>
        <v/>
      </c>
      <c r="E241" s="70" t="str">
        <f aca="false">IFERROR(IF($A241="","",$B241/'تحليل التكلفة والسعر'!$F$2),"")</f>
        <v/>
      </c>
      <c r="F241" s="13" t="str">
        <f aca="false">IFERROR(IF($A241="","",$C241-$B241),"")</f>
        <v/>
      </c>
    </row>
    <row r="242" customFormat="false" ht="15" hidden="false" customHeight="true" outlineLevel="0" collapsed="false">
      <c r="A242" s="49"/>
      <c r="B242" s="13" t="str">
        <f aca="false">IFERROR(IF($A242="","",SUMIFS($E$3:$E$202,$A$3:$A$202,$A242)),"")</f>
        <v/>
      </c>
      <c r="C242" s="50"/>
      <c r="D242" s="12" t="str">
        <f aca="false">IFERROR(IF(OR($A242="",$C242=0,$C242=""),"",$B242/$C242),"")</f>
        <v/>
      </c>
      <c r="E242" s="70" t="str">
        <f aca="false">IFERROR(IF($A242="","",$B242/'تحليل التكلفة والسعر'!$F$2),"")</f>
        <v/>
      </c>
      <c r="F242" s="13" t="str">
        <f aca="false">IFERROR(IF($A242="","",$C242-$B242),"")</f>
        <v/>
      </c>
    </row>
    <row r="243" customFormat="false" ht="15" hidden="false" customHeight="true" outlineLevel="0" collapsed="false">
      <c r="A243" s="49"/>
      <c r="B243" s="13" t="str">
        <f aca="false">IFERROR(IF($A243="","",SUMIFS($E$3:$E$202,$A$3:$A$202,$A243)),"")</f>
        <v/>
      </c>
      <c r="C243" s="50"/>
      <c r="D243" s="12" t="str">
        <f aca="false">IFERROR(IF(OR($A243="",$C243=0,$C243=""),"",$B243/$C243),"")</f>
        <v/>
      </c>
      <c r="E243" s="70" t="str">
        <f aca="false">IFERROR(IF($A243="","",$B243/'تحليل التكلفة والسعر'!$F$2),"")</f>
        <v/>
      </c>
      <c r="F243" s="13" t="str">
        <f aca="false">IFERROR(IF($A243="","",$C243-$B243),"")</f>
        <v/>
      </c>
    </row>
    <row r="244" customFormat="false" ht="15" hidden="false" customHeight="true" outlineLevel="0" collapsed="false">
      <c r="A244" s="49"/>
      <c r="B244" s="13" t="str">
        <f aca="false">IFERROR(IF($A244="","",SUMIFS($E$3:$E$202,$A$3:$A$202,$A244)),"")</f>
        <v/>
      </c>
      <c r="C244" s="50"/>
      <c r="D244" s="12" t="str">
        <f aca="false">IFERROR(IF(OR($A244="",$C244=0,$C244=""),"",$B244/$C244),"")</f>
        <v/>
      </c>
      <c r="E244" s="70" t="str">
        <f aca="false">IFERROR(IF($A244="","",$B244/'تحليل التكلفة والسعر'!$F$2),"")</f>
        <v/>
      </c>
      <c r="F244" s="13" t="str">
        <f aca="false">IFERROR(IF($A244="","",$C244-$B244),"")</f>
        <v/>
      </c>
    </row>
    <row r="245" customFormat="false" ht="15" hidden="false" customHeight="true" outlineLevel="0" collapsed="false">
      <c r="A245" s="49"/>
      <c r="B245" s="13" t="str">
        <f aca="false">IFERROR(IF($A245="","",SUMIFS($E$3:$E$202,$A$3:$A$202,$A245)),"")</f>
        <v/>
      </c>
      <c r="C245" s="50"/>
      <c r="D245" s="12" t="str">
        <f aca="false">IFERROR(IF(OR($A245="",$C245=0,$C245=""),"",$B245/$C245),"")</f>
        <v/>
      </c>
      <c r="E245" s="70" t="str">
        <f aca="false">IFERROR(IF($A245="","",$B245/'تحليل التكلفة والسعر'!$F$2),"")</f>
        <v/>
      </c>
      <c r="F245" s="13" t="str">
        <f aca="false">IFERROR(IF($A245="","",$C245-$B245),"")</f>
        <v/>
      </c>
    </row>
    <row r="246" customFormat="false" ht="15" hidden="false" customHeight="true" outlineLevel="0" collapsed="false">
      <c r="A246" s="49"/>
      <c r="B246" s="13" t="str">
        <f aca="false">IFERROR(IF($A246="","",SUMIFS($E$3:$E$202,$A$3:$A$202,$A246)),"")</f>
        <v/>
      </c>
      <c r="C246" s="50"/>
      <c r="D246" s="12" t="str">
        <f aca="false">IFERROR(IF(OR($A246="",$C246=0,$C246=""),"",$B246/$C246),"")</f>
        <v/>
      </c>
      <c r="E246" s="70" t="str">
        <f aca="false">IFERROR(IF($A246="","",$B246/'تحليل التكلفة والسعر'!$F$2),"")</f>
        <v/>
      </c>
      <c r="F246" s="13" t="str">
        <f aca="false">IFERROR(IF($A246="","",$C246-$B246),"")</f>
        <v/>
      </c>
    </row>
    <row r="247" customFormat="false" ht="15" hidden="false" customHeight="true" outlineLevel="0" collapsed="false">
      <c r="A247" s="49"/>
      <c r="B247" s="13" t="str">
        <f aca="false">IFERROR(IF($A247="","",SUMIFS($E$3:$E$202,$A$3:$A$202,$A247)),"")</f>
        <v/>
      </c>
      <c r="C247" s="50"/>
      <c r="D247" s="12" t="str">
        <f aca="false">IFERROR(IF(OR($A247="",$C247=0,$C247=""),"",$B247/$C247),"")</f>
        <v/>
      </c>
      <c r="E247" s="70" t="str">
        <f aca="false">IFERROR(IF($A247="","",$B247/'تحليل التكلفة والسعر'!$F$2),"")</f>
        <v/>
      </c>
      <c r="F247" s="13" t="str">
        <f aca="false">IFERROR(IF($A247="","",$C247-$B247),"")</f>
        <v/>
      </c>
    </row>
    <row r="248" customFormat="false" ht="15" hidden="false" customHeight="true" outlineLevel="0" collapsed="false">
      <c r="A248" s="49"/>
      <c r="B248" s="13" t="str">
        <f aca="false">IFERROR(IF($A248="","",SUMIFS($E$3:$E$202,$A$3:$A$202,$A248)),"")</f>
        <v/>
      </c>
      <c r="C248" s="50"/>
      <c r="D248" s="12" t="str">
        <f aca="false">IFERROR(IF(OR($A248="",$C248=0,$C248=""),"",$B248/$C248),"")</f>
        <v/>
      </c>
      <c r="E248" s="70" t="str">
        <f aca="false">IFERROR(IF($A248="","",$B248/'تحليل التكلفة والسعر'!$F$2),"")</f>
        <v/>
      </c>
      <c r="F248" s="13" t="str">
        <f aca="false">IFERROR(IF($A248="","",$C248-$B248),"")</f>
        <v/>
      </c>
    </row>
    <row r="249" customFormat="false" ht="15" hidden="false" customHeight="true" outlineLevel="0" collapsed="false">
      <c r="A249" s="49"/>
      <c r="B249" s="13" t="str">
        <f aca="false">IFERROR(IF($A249="","",SUMIFS($E$3:$E$202,$A$3:$A$202,$A249)),"")</f>
        <v/>
      </c>
      <c r="C249" s="50"/>
      <c r="D249" s="12" t="str">
        <f aca="false">IFERROR(IF(OR($A249="",$C249=0,$C249=""),"",$B249/$C249),"")</f>
        <v/>
      </c>
      <c r="E249" s="70" t="str">
        <f aca="false">IFERROR(IF($A249="","",$B249/'تحليل التكلفة والسعر'!$F$2),"")</f>
        <v/>
      </c>
      <c r="F249" s="13" t="str">
        <f aca="false">IFERROR(IF($A249="","",$C249-$B249),"")</f>
        <v/>
      </c>
    </row>
    <row r="250" customFormat="false" ht="15" hidden="false" customHeight="true" outlineLevel="0" collapsed="false">
      <c r="A250" s="49"/>
      <c r="B250" s="13" t="str">
        <f aca="false">IFERROR(IF($A250="","",SUMIFS($E$3:$E$202,$A$3:$A$202,$A250)),"")</f>
        <v/>
      </c>
      <c r="C250" s="50"/>
      <c r="D250" s="12" t="str">
        <f aca="false">IFERROR(IF(OR($A250="",$C250=0,$C250=""),"",$B250/$C250),"")</f>
        <v/>
      </c>
      <c r="E250" s="70" t="str">
        <f aca="false">IFERROR(IF($A250="","",$B250/'تحليل التكلفة والسعر'!$F$2),"")</f>
        <v/>
      </c>
      <c r="F250" s="13" t="str">
        <f aca="false">IFERROR(IF($A250="","",$C250-$B250),"")</f>
        <v/>
      </c>
    </row>
    <row r="251" customFormat="false" ht="15" hidden="false" customHeight="true" outlineLevel="0" collapsed="false">
      <c r="A251" s="49"/>
      <c r="B251" s="13" t="str">
        <f aca="false">IFERROR(IF($A251="","",SUMIFS($E$3:$E$202,$A$3:$A$202,$A251)),"")</f>
        <v/>
      </c>
      <c r="C251" s="50"/>
      <c r="D251" s="12" t="str">
        <f aca="false">IFERROR(IF(OR($A251="",$C251=0,$C251=""),"",$B251/$C251),"")</f>
        <v/>
      </c>
      <c r="E251" s="70" t="str">
        <f aca="false">IFERROR(IF($A251="","",$B251/'تحليل التكلفة والسعر'!$F$2),"")</f>
        <v/>
      </c>
      <c r="F251" s="13" t="str">
        <f aca="false">IFERROR(IF($A251="","",$C251-$B251),"")</f>
        <v/>
      </c>
    </row>
    <row r="252" customFormat="false" ht="15" hidden="false" customHeight="true" outlineLevel="0" collapsed="false">
      <c r="A252" s="49"/>
      <c r="B252" s="13" t="str">
        <f aca="false">IFERROR(IF($A252="","",SUMIFS($E$3:$E$202,$A$3:$A$202,$A252)),"")</f>
        <v/>
      </c>
      <c r="C252" s="50"/>
      <c r="D252" s="12" t="str">
        <f aca="false">IFERROR(IF(OR($A252="",$C252=0,$C252=""),"",$B252/$C252),"")</f>
        <v/>
      </c>
      <c r="E252" s="70" t="str">
        <f aca="false">IFERROR(IF($A252="","",$B252/'تحليل التكلفة والسعر'!$F$2),"")</f>
        <v/>
      </c>
      <c r="F252" s="13" t="str">
        <f aca="false">IFERROR(IF($A252="","",$C252-$B252),"")</f>
        <v/>
      </c>
    </row>
    <row r="253" customFormat="false" ht="15" hidden="false" customHeight="true" outlineLevel="0" collapsed="false">
      <c r="A253" s="49"/>
      <c r="B253" s="13" t="str">
        <f aca="false">IFERROR(IF($A253="","",SUMIFS($E$3:$E$202,$A$3:$A$202,$A253)),"")</f>
        <v/>
      </c>
      <c r="C253" s="50"/>
      <c r="D253" s="12" t="str">
        <f aca="false">IFERROR(IF(OR($A253="",$C253=0,$C253=""),"",$B253/$C253),"")</f>
        <v/>
      </c>
      <c r="E253" s="70" t="str">
        <f aca="false">IFERROR(IF($A253="","",$B253/'تحليل التكلفة والسعر'!$F$2),"")</f>
        <v/>
      </c>
      <c r="F253" s="13" t="str">
        <f aca="false">IFERROR(IF($A253="","",$C253-$B253),"")</f>
        <v/>
      </c>
    </row>
    <row r="254" customFormat="false" ht="15" hidden="false" customHeight="true" outlineLevel="0" collapsed="false">
      <c r="A254" s="49"/>
      <c r="B254" s="13" t="str">
        <f aca="false">IFERROR(IF($A254="","",SUMIFS($E$3:$E$202,$A$3:$A$202,$A254)),"")</f>
        <v/>
      </c>
      <c r="C254" s="50"/>
      <c r="D254" s="12" t="str">
        <f aca="false">IFERROR(IF(OR($A254="",$C254=0,$C254=""),"",$B254/$C254),"")</f>
        <v/>
      </c>
      <c r="E254" s="70" t="str">
        <f aca="false">IFERROR(IF($A254="","",$B254/'تحليل التكلفة والسعر'!$F$2),"")</f>
        <v/>
      </c>
      <c r="F254" s="13" t="str">
        <f aca="false">IFERROR(IF($A254="","",$C254-$B254),"")</f>
        <v/>
      </c>
    </row>
    <row r="255" customFormat="false" ht="15" hidden="false" customHeight="true" outlineLevel="0" collapsed="false">
      <c r="A255" s="49"/>
      <c r="B255" s="13" t="str">
        <f aca="false">IFERROR(IF($A255="","",SUMIFS($E$3:$E$202,$A$3:$A$202,$A255)),"")</f>
        <v/>
      </c>
      <c r="C255" s="50"/>
      <c r="D255" s="12" t="str">
        <f aca="false">IFERROR(IF(OR($A255="",$C255=0,$C255=""),"",$B255/$C255),"")</f>
        <v/>
      </c>
      <c r="E255" s="70" t="str">
        <f aca="false">IFERROR(IF($A255="","",$B255/'تحليل التكلفة والسعر'!$F$2),"")</f>
        <v/>
      </c>
      <c r="F255" s="13" t="str">
        <f aca="false">IFERROR(IF($A255="","",$C255-$B255),"")</f>
        <v/>
      </c>
    </row>
    <row r="256" customFormat="false" ht="15" hidden="false" customHeight="true" outlineLevel="0" collapsed="false">
      <c r="A256" s="49"/>
      <c r="B256" s="13" t="str">
        <f aca="false">IFERROR(IF($A256="","",SUMIFS($E$3:$E$202,$A$3:$A$202,$A256)),"")</f>
        <v/>
      </c>
      <c r="C256" s="50"/>
      <c r="D256" s="12" t="str">
        <f aca="false">IFERROR(IF(OR($A256="",$C256=0,$C256=""),"",$B256/$C256),"")</f>
        <v/>
      </c>
      <c r="E256" s="70" t="str">
        <f aca="false">IFERROR(IF($A256="","",$B256/'تحليل التكلفة والسعر'!$F$2),"")</f>
        <v/>
      </c>
      <c r="F256" s="13" t="str">
        <f aca="false">IFERROR(IF($A256="","",$C256-$B256),"")</f>
        <v/>
      </c>
    </row>
    <row r="257" customFormat="false" ht="15" hidden="false" customHeight="true" outlineLevel="0" collapsed="false">
      <c r="A257" s="49"/>
      <c r="B257" s="13" t="str">
        <f aca="false">IFERROR(IF($A257="","",SUMIFS($E$3:$E$202,$A$3:$A$202,$A257)),"")</f>
        <v/>
      </c>
      <c r="C257" s="50"/>
      <c r="D257" s="12" t="str">
        <f aca="false">IFERROR(IF(OR($A257="",$C257=0,$C257=""),"",$B257/$C257),"")</f>
        <v/>
      </c>
      <c r="E257" s="70" t="str">
        <f aca="false">IFERROR(IF($A257="","",$B257/'تحليل التكلفة والسعر'!$F$2),"")</f>
        <v/>
      </c>
      <c r="F257" s="13" t="str">
        <f aca="false">IFERROR(IF($A257="","",$C257-$B257),"")</f>
        <v/>
      </c>
    </row>
    <row r="258" customFormat="false" ht="15" hidden="false" customHeight="true" outlineLevel="0" collapsed="false">
      <c r="A258" s="49"/>
      <c r="B258" s="13" t="str">
        <f aca="false">IFERROR(IF($A258="","",SUMIFS($E$3:$E$202,$A$3:$A$202,$A258)),"")</f>
        <v/>
      </c>
      <c r="C258" s="50"/>
      <c r="D258" s="12" t="str">
        <f aca="false">IFERROR(IF(OR($A258="",$C258=0,$C258=""),"",$B258/$C258),"")</f>
        <v/>
      </c>
      <c r="E258" s="70" t="str">
        <f aca="false">IFERROR(IF($A258="","",$B258/'تحليل التكلفة والسعر'!$F$2),"")</f>
        <v/>
      </c>
      <c r="F258" s="13" t="str">
        <f aca="false">IFERROR(IF($A258="","",$C258-$B258),"")</f>
        <v/>
      </c>
    </row>
    <row r="259" customFormat="false" ht="15" hidden="false" customHeight="true" outlineLevel="0" collapsed="false">
      <c r="A259" s="49"/>
      <c r="B259" s="13" t="str">
        <f aca="false">IFERROR(IF($A259="","",SUMIFS($E$3:$E$202,$A$3:$A$202,$A259)),"")</f>
        <v/>
      </c>
      <c r="C259" s="50"/>
      <c r="D259" s="12" t="str">
        <f aca="false">IFERROR(IF(OR($A259="",$C259=0,$C259=""),"",$B259/$C259),"")</f>
        <v/>
      </c>
      <c r="E259" s="70" t="str">
        <f aca="false">IFERROR(IF($A259="","",$B259/'تحليل التكلفة والسعر'!$F$2),"")</f>
        <v/>
      </c>
      <c r="F259" s="13" t="str">
        <f aca="false">IFERROR(IF($A259="","",$C259-$B259),"")</f>
        <v/>
      </c>
    </row>
    <row r="260" customFormat="false" ht="15" hidden="false" customHeight="true" outlineLevel="0" collapsed="false">
      <c r="A260" s="49"/>
      <c r="B260" s="13" t="str">
        <f aca="false">IFERROR(IF($A260="","",SUMIFS($E$3:$E$202,$A$3:$A$202,$A260)),"")</f>
        <v/>
      </c>
      <c r="C260" s="50"/>
      <c r="D260" s="12" t="str">
        <f aca="false">IFERROR(IF(OR($A260="",$C260=0,$C260=""),"",$B260/$C260),"")</f>
        <v/>
      </c>
      <c r="E260" s="70" t="str">
        <f aca="false">IFERROR(IF($A260="","",$B260/'تحليل التكلفة والسعر'!$F$2),"")</f>
        <v/>
      </c>
      <c r="F260" s="13" t="str">
        <f aca="false">IFERROR(IF($A260="","",$C260-$B260),"")</f>
        <v/>
      </c>
    </row>
    <row r="261" customFormat="false" ht="15" hidden="false" customHeight="true" outlineLevel="0" collapsed="false">
      <c r="A261" s="49"/>
      <c r="B261" s="13" t="str">
        <f aca="false">IFERROR(IF($A261="","",SUMIFS($E$3:$E$202,$A$3:$A$202,$A261)),"")</f>
        <v/>
      </c>
      <c r="C261" s="50"/>
      <c r="D261" s="12" t="str">
        <f aca="false">IFERROR(IF(OR($A261="",$C261=0,$C261=""),"",$B261/$C261),"")</f>
        <v/>
      </c>
      <c r="E261" s="70" t="str">
        <f aca="false">IFERROR(IF($A261="","",$B261/'تحليل التكلفة والسعر'!$F$2),"")</f>
        <v/>
      </c>
      <c r="F261" s="13" t="str">
        <f aca="false">IFERROR(IF($A261="","",$C261-$B261),"")</f>
        <v/>
      </c>
    </row>
    <row r="262" customFormat="false" ht="15" hidden="false" customHeight="true" outlineLevel="0" collapsed="false">
      <c r="A262" s="49"/>
      <c r="B262" s="13" t="str">
        <f aca="false">IFERROR(IF($A262="","",SUMIFS($E$3:$E$202,$A$3:$A$202,$A262)),"")</f>
        <v/>
      </c>
      <c r="C262" s="50"/>
      <c r="D262" s="12" t="str">
        <f aca="false">IFERROR(IF(OR($A262="",$C262=0,$C262=""),"",$B262/$C262),"")</f>
        <v/>
      </c>
      <c r="E262" s="70" t="str">
        <f aca="false">IFERROR(IF($A262="","",$B262/'تحليل التكلفة والسعر'!$F$2),"")</f>
        <v/>
      </c>
      <c r="F262" s="13" t="str">
        <f aca="false">IFERROR(IF($A262="","",$C262-$B262),"")</f>
        <v/>
      </c>
    </row>
    <row r="263" customFormat="false" ht="15" hidden="false" customHeight="true" outlineLevel="0" collapsed="false">
      <c r="A263" s="49"/>
      <c r="B263" s="13" t="str">
        <f aca="false">IFERROR(IF($A263="","",SUMIFS($E$3:$E$202,$A$3:$A$202,$A263)),"")</f>
        <v/>
      </c>
      <c r="C263" s="50"/>
      <c r="D263" s="12" t="str">
        <f aca="false">IFERROR(IF(OR($A263="",$C263=0,$C263=""),"",$B263/$C263),"")</f>
        <v/>
      </c>
      <c r="E263" s="70" t="str">
        <f aca="false">IFERROR(IF($A263="","",$B263/'تحليل التكلفة والسعر'!$F$2),"")</f>
        <v/>
      </c>
      <c r="F263" s="13" t="str">
        <f aca="false">IFERROR(IF($A263="","",$C263-$B263),"")</f>
        <v/>
      </c>
    </row>
    <row r="264" customFormat="false" ht="15" hidden="false" customHeight="true" outlineLevel="0" collapsed="false">
      <c r="A264" s="49"/>
      <c r="B264" s="13" t="str">
        <f aca="false">IFERROR(IF($A264="","",SUMIFS($E$3:$E$202,$A$3:$A$202,$A264)),"")</f>
        <v/>
      </c>
      <c r="C264" s="50"/>
      <c r="D264" s="12" t="str">
        <f aca="false">IFERROR(IF(OR($A264="",$C264=0,$C264=""),"",$B264/$C264),"")</f>
        <v/>
      </c>
      <c r="E264" s="70" t="str">
        <f aca="false">IFERROR(IF($A264="","",$B264/'تحليل التكلفة والسعر'!$F$2),"")</f>
        <v/>
      </c>
      <c r="F264" s="13" t="str">
        <f aca="false">IFERROR(IF($A264="","",$C264-$B264),"")</f>
        <v/>
      </c>
    </row>
    <row r="265" customFormat="false" ht="15" hidden="false" customHeight="true" outlineLevel="0" collapsed="false">
      <c r="A265" s="49"/>
      <c r="B265" s="13" t="str">
        <f aca="false">IFERROR(IF($A265="","",SUMIFS($E$3:$E$202,$A$3:$A$202,$A265)),"")</f>
        <v/>
      </c>
      <c r="C265" s="50"/>
      <c r="D265" s="12" t="str">
        <f aca="false">IFERROR(IF(OR($A265="",$C265=0,$C265=""),"",$B265/$C265),"")</f>
        <v/>
      </c>
      <c r="E265" s="70"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79" t="s">
        <v>578</v>
      </c>
      <c r="B1" s="79"/>
      <c r="C1" s="79"/>
      <c r="D1" s="79"/>
      <c r="E1" s="79"/>
      <c r="F1" s="79"/>
      <c r="G1" s="79"/>
      <c r="H1" s="79"/>
    </row>
    <row r="2" customFormat="false" ht="30" hidden="false" customHeight="true" outlineLevel="0" collapsed="false">
      <c r="A2" s="14" t="s">
        <v>579</v>
      </c>
      <c r="B2" s="14"/>
      <c r="C2" s="14"/>
      <c r="D2" s="14"/>
      <c r="E2" s="14"/>
      <c r="F2" s="14"/>
      <c r="G2" s="14"/>
      <c r="H2" s="14"/>
    </row>
    <row r="4" customFormat="false" ht="43.5" hidden="false" customHeight="true" outlineLevel="0" collapsed="false">
      <c r="A4" s="10" t="s">
        <v>580</v>
      </c>
      <c r="B4" s="10" t="s">
        <v>581</v>
      </c>
      <c r="C4" s="10" t="s">
        <v>582</v>
      </c>
      <c r="D4" s="10" t="s">
        <v>583</v>
      </c>
      <c r="E4" s="10" t="s">
        <v>584</v>
      </c>
      <c r="F4" s="10" t="s">
        <v>585</v>
      </c>
      <c r="G4" s="10" t="s">
        <v>586</v>
      </c>
      <c r="H4" s="10" t="s">
        <v>587</v>
      </c>
    </row>
    <row r="5" customFormat="false" ht="15" hidden="false" customHeight="true" outlineLevel="0" collapsed="false">
      <c r="A5" s="49"/>
      <c r="B5" s="49"/>
      <c r="C5" s="49"/>
      <c r="D5" s="80"/>
      <c r="E5" s="80"/>
      <c r="F5" s="81"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49"/>
      <c r="B6" s="49"/>
      <c r="C6" s="49"/>
      <c r="D6" s="80"/>
      <c r="E6" s="80"/>
      <c r="F6" s="81"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49"/>
      <c r="B7" s="49"/>
      <c r="C7" s="49"/>
      <c r="D7" s="80"/>
      <c r="E7" s="80"/>
      <c r="F7" s="81"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49"/>
      <c r="B8" s="49"/>
      <c r="C8" s="49"/>
      <c r="D8" s="80"/>
      <c r="E8" s="80"/>
      <c r="F8" s="81"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49"/>
      <c r="B9" s="49"/>
      <c r="C9" s="49"/>
      <c r="D9" s="80"/>
      <c r="E9" s="80"/>
      <c r="F9" s="81"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49"/>
      <c r="B10" s="49"/>
      <c r="C10" s="49"/>
      <c r="D10" s="80"/>
      <c r="E10" s="80"/>
      <c r="F10" s="81"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49"/>
      <c r="B11" s="49"/>
      <c r="C11" s="49"/>
      <c r="D11" s="80"/>
      <c r="E11" s="80"/>
      <c r="F11" s="81"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49"/>
      <c r="B12" s="49"/>
      <c r="C12" s="49"/>
      <c r="D12" s="80"/>
      <c r="E12" s="80"/>
      <c r="F12" s="81"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49"/>
      <c r="B13" s="49"/>
      <c r="C13" s="49"/>
      <c r="D13" s="80"/>
      <c r="E13" s="80"/>
      <c r="F13" s="81"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49"/>
      <c r="B14" s="49"/>
      <c r="C14" s="49"/>
      <c r="D14" s="80"/>
      <c r="E14" s="80"/>
      <c r="F14" s="81"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49"/>
      <c r="B15" s="49"/>
      <c r="C15" s="49"/>
      <c r="D15" s="80"/>
      <c r="E15" s="80"/>
      <c r="F15" s="81"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49"/>
      <c r="B16" s="49"/>
      <c r="C16" s="49"/>
      <c r="D16" s="80"/>
      <c r="E16" s="80"/>
      <c r="F16" s="81"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49"/>
      <c r="B17" s="49"/>
      <c r="C17" s="49"/>
      <c r="D17" s="80"/>
      <c r="E17" s="80"/>
      <c r="F17" s="81"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49"/>
      <c r="B18" s="49"/>
      <c r="C18" s="49"/>
      <c r="D18" s="80"/>
      <c r="E18" s="80"/>
      <c r="F18" s="81"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49"/>
      <c r="B19" s="49"/>
      <c r="C19" s="49"/>
      <c r="D19" s="80"/>
      <c r="E19" s="80"/>
      <c r="F19" s="81"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49"/>
      <c r="B20" s="49"/>
      <c r="C20" s="49"/>
      <c r="D20" s="80"/>
      <c r="E20" s="80"/>
      <c r="F20" s="81"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49"/>
      <c r="B21" s="49"/>
      <c r="C21" s="49"/>
      <c r="D21" s="80"/>
      <c r="E21" s="80"/>
      <c r="F21" s="81"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49"/>
      <c r="B22" s="49"/>
      <c r="C22" s="49"/>
      <c r="D22" s="80"/>
      <c r="E22" s="80"/>
      <c r="F22" s="81"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49"/>
      <c r="B23" s="49"/>
      <c r="C23" s="49"/>
      <c r="D23" s="80"/>
      <c r="E23" s="80"/>
      <c r="F23" s="81"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49"/>
      <c r="B24" s="49"/>
      <c r="C24" s="49"/>
      <c r="D24" s="80"/>
      <c r="E24" s="80"/>
      <c r="F24" s="81"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49"/>
      <c r="B25" s="49"/>
      <c r="C25" s="49"/>
      <c r="D25" s="80"/>
      <c r="E25" s="80"/>
      <c r="F25" s="81"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49"/>
      <c r="B26" s="49"/>
      <c r="C26" s="49"/>
      <c r="D26" s="80"/>
      <c r="E26" s="80"/>
      <c r="F26" s="81"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49"/>
      <c r="B27" s="49"/>
      <c r="C27" s="49"/>
      <c r="D27" s="80"/>
      <c r="E27" s="80"/>
      <c r="F27" s="81"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49"/>
      <c r="B28" s="49"/>
      <c r="C28" s="49"/>
      <c r="D28" s="80"/>
      <c r="E28" s="80"/>
      <c r="F28" s="81"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49"/>
      <c r="B29" s="49"/>
      <c r="C29" s="49"/>
      <c r="D29" s="80"/>
      <c r="E29" s="80"/>
      <c r="F29" s="81"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49"/>
      <c r="B30" s="49"/>
      <c r="C30" s="49"/>
      <c r="D30" s="80"/>
      <c r="E30" s="80"/>
      <c r="F30" s="81"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49"/>
      <c r="B31" s="49"/>
      <c r="C31" s="49"/>
      <c r="D31" s="80"/>
      <c r="E31" s="80"/>
      <c r="F31" s="81"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49"/>
      <c r="B32" s="49"/>
      <c r="C32" s="49"/>
      <c r="D32" s="80"/>
      <c r="E32" s="80"/>
      <c r="F32" s="81"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49"/>
      <c r="B33" s="49"/>
      <c r="C33" s="49"/>
      <c r="D33" s="80"/>
      <c r="E33" s="80"/>
      <c r="F33" s="81"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49"/>
      <c r="B34" s="49"/>
      <c r="C34" s="49"/>
      <c r="D34" s="80"/>
      <c r="E34" s="80"/>
      <c r="F34" s="81"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49"/>
      <c r="B35" s="49"/>
      <c r="C35" s="49"/>
      <c r="D35" s="80"/>
      <c r="E35" s="80"/>
      <c r="F35" s="81"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49"/>
      <c r="B36" s="49"/>
      <c r="C36" s="49"/>
      <c r="D36" s="80"/>
      <c r="E36" s="80"/>
      <c r="F36" s="81"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49"/>
      <c r="B37" s="49"/>
      <c r="C37" s="49"/>
      <c r="D37" s="80"/>
      <c r="E37" s="80"/>
      <c r="F37" s="81"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49"/>
      <c r="B38" s="49"/>
      <c r="C38" s="49"/>
      <c r="D38" s="80"/>
      <c r="E38" s="80"/>
      <c r="F38" s="81"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49"/>
      <c r="B39" s="49"/>
      <c r="C39" s="49"/>
      <c r="D39" s="80"/>
      <c r="E39" s="80"/>
      <c r="F39" s="81"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49"/>
      <c r="B40" s="49"/>
      <c r="C40" s="49"/>
      <c r="D40" s="80"/>
      <c r="E40" s="80"/>
      <c r="F40" s="81"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49"/>
      <c r="B41" s="49"/>
      <c r="C41" s="49"/>
      <c r="D41" s="80"/>
      <c r="E41" s="80"/>
      <c r="F41" s="81"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49"/>
      <c r="B42" s="49"/>
      <c r="C42" s="49"/>
      <c r="D42" s="80"/>
      <c r="E42" s="80"/>
      <c r="F42" s="81"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49"/>
      <c r="B43" s="49"/>
      <c r="C43" s="49"/>
      <c r="D43" s="80"/>
      <c r="E43" s="80"/>
      <c r="F43" s="81"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49"/>
      <c r="B44" s="49"/>
      <c r="C44" s="49"/>
      <c r="D44" s="80"/>
      <c r="E44" s="80"/>
      <c r="F44" s="81"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49"/>
      <c r="B45" s="49"/>
      <c r="C45" s="49"/>
      <c r="D45" s="80"/>
      <c r="E45" s="80"/>
      <c r="F45" s="81"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49"/>
      <c r="B46" s="49"/>
      <c r="C46" s="49"/>
      <c r="D46" s="80"/>
      <c r="E46" s="80"/>
      <c r="F46" s="81"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49"/>
      <c r="B47" s="49"/>
      <c r="C47" s="49"/>
      <c r="D47" s="80"/>
      <c r="E47" s="80"/>
      <c r="F47" s="81"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49"/>
      <c r="B48" s="49"/>
      <c r="C48" s="49"/>
      <c r="D48" s="80"/>
      <c r="E48" s="80"/>
      <c r="F48" s="81"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49"/>
      <c r="B49" s="49"/>
      <c r="C49" s="49"/>
      <c r="D49" s="80"/>
      <c r="E49" s="80"/>
      <c r="F49" s="81"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49"/>
      <c r="B50" s="49"/>
      <c r="C50" s="49"/>
      <c r="D50" s="80"/>
      <c r="E50" s="80"/>
      <c r="F50" s="81"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49"/>
      <c r="B51" s="49"/>
      <c r="C51" s="49"/>
      <c r="D51" s="80"/>
      <c r="E51" s="80"/>
      <c r="F51" s="81"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49"/>
      <c r="B52" s="49"/>
      <c r="C52" s="49"/>
      <c r="D52" s="80"/>
      <c r="E52" s="80"/>
      <c r="F52" s="81"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49"/>
      <c r="B53" s="49"/>
      <c r="C53" s="49"/>
      <c r="D53" s="80"/>
      <c r="E53" s="80"/>
      <c r="F53" s="81"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49"/>
      <c r="B54" s="49"/>
      <c r="C54" s="49"/>
      <c r="D54" s="80"/>
      <c r="E54" s="80"/>
      <c r="F54" s="81"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49"/>
      <c r="B55" s="49"/>
      <c r="C55" s="49"/>
      <c r="D55" s="80"/>
      <c r="E55" s="80"/>
      <c r="F55" s="81"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49"/>
      <c r="B56" s="49"/>
      <c r="C56" s="49"/>
      <c r="D56" s="80"/>
      <c r="E56" s="80"/>
      <c r="F56" s="81"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49"/>
      <c r="B57" s="49"/>
      <c r="C57" s="49"/>
      <c r="D57" s="80"/>
      <c r="E57" s="80"/>
      <c r="F57" s="81"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49"/>
      <c r="B58" s="49"/>
      <c r="C58" s="49"/>
      <c r="D58" s="80"/>
      <c r="E58" s="80"/>
      <c r="F58" s="81"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49"/>
      <c r="B59" s="49"/>
      <c r="C59" s="49"/>
      <c r="D59" s="80"/>
      <c r="E59" s="80"/>
      <c r="F59" s="81"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49"/>
      <c r="B60" s="49"/>
      <c r="C60" s="49"/>
      <c r="D60" s="80"/>
      <c r="E60" s="80"/>
      <c r="F60" s="81"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49"/>
      <c r="B61" s="49"/>
      <c r="C61" s="49"/>
      <c r="D61" s="80"/>
      <c r="E61" s="80"/>
      <c r="F61" s="81"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49"/>
      <c r="B62" s="49"/>
      <c r="C62" s="49"/>
      <c r="D62" s="80"/>
      <c r="E62" s="80"/>
      <c r="F62" s="81"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49"/>
      <c r="B63" s="49"/>
      <c r="C63" s="49"/>
      <c r="D63" s="80"/>
      <c r="E63" s="80"/>
      <c r="F63" s="81"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49"/>
      <c r="B64" s="49"/>
      <c r="C64" s="49"/>
      <c r="D64" s="80"/>
      <c r="E64" s="80"/>
      <c r="F64" s="81"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49"/>
      <c r="B65" s="49"/>
      <c r="C65" s="49"/>
      <c r="D65" s="80"/>
      <c r="E65" s="80"/>
      <c r="F65" s="81"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49"/>
      <c r="B66" s="49"/>
      <c r="C66" s="49"/>
      <c r="D66" s="80"/>
      <c r="E66" s="80"/>
      <c r="F66" s="81"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49"/>
      <c r="B67" s="49"/>
      <c r="C67" s="49"/>
      <c r="D67" s="80"/>
      <c r="E67" s="80"/>
      <c r="F67" s="81"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49"/>
      <c r="B68" s="49"/>
      <c r="C68" s="49"/>
      <c r="D68" s="80"/>
      <c r="E68" s="80"/>
      <c r="F68" s="81"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49"/>
      <c r="B69" s="49"/>
      <c r="C69" s="49"/>
      <c r="D69" s="80"/>
      <c r="E69" s="80"/>
      <c r="F69" s="81"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49"/>
      <c r="B70" s="49"/>
      <c r="C70" s="49"/>
      <c r="D70" s="80"/>
      <c r="E70" s="80"/>
      <c r="F70" s="81"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49"/>
      <c r="B71" s="49"/>
      <c r="C71" s="49"/>
      <c r="D71" s="80"/>
      <c r="E71" s="80"/>
      <c r="F71" s="81"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49"/>
      <c r="B72" s="49"/>
      <c r="C72" s="49"/>
      <c r="D72" s="80"/>
      <c r="E72" s="80"/>
      <c r="F72" s="81"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49"/>
      <c r="B73" s="49"/>
      <c r="C73" s="49"/>
      <c r="D73" s="80"/>
      <c r="E73" s="80"/>
      <c r="F73" s="81"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49"/>
      <c r="B74" s="49"/>
      <c r="C74" s="49"/>
      <c r="D74" s="80"/>
      <c r="E74" s="80"/>
      <c r="F74" s="81"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49"/>
      <c r="B75" s="49"/>
      <c r="C75" s="49"/>
      <c r="D75" s="80"/>
      <c r="E75" s="80"/>
      <c r="F75" s="81"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49"/>
      <c r="B76" s="49"/>
      <c r="C76" s="49"/>
      <c r="D76" s="80"/>
      <c r="E76" s="80"/>
      <c r="F76" s="81"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49"/>
      <c r="B77" s="49"/>
      <c r="C77" s="49"/>
      <c r="D77" s="80"/>
      <c r="E77" s="80"/>
      <c r="F77" s="81"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49"/>
      <c r="B78" s="49"/>
      <c r="C78" s="49"/>
      <c r="D78" s="80"/>
      <c r="E78" s="80"/>
      <c r="F78" s="81"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49"/>
      <c r="B79" s="49"/>
      <c r="C79" s="49"/>
      <c r="D79" s="80"/>
      <c r="E79" s="80"/>
      <c r="F79" s="81"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49"/>
      <c r="B80" s="49"/>
      <c r="C80" s="49"/>
      <c r="D80" s="80"/>
      <c r="E80" s="80"/>
      <c r="F80" s="81"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49"/>
      <c r="B81" s="49"/>
      <c r="C81" s="49"/>
      <c r="D81" s="80"/>
      <c r="E81" s="80"/>
      <c r="F81" s="81"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49"/>
      <c r="B82" s="49"/>
      <c r="C82" s="49"/>
      <c r="D82" s="80"/>
      <c r="E82" s="80"/>
      <c r="F82" s="81"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49"/>
      <c r="B83" s="49"/>
      <c r="C83" s="49"/>
      <c r="D83" s="80"/>
      <c r="E83" s="80"/>
      <c r="F83" s="81"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49"/>
      <c r="B84" s="49"/>
      <c r="C84" s="49"/>
      <c r="D84" s="80"/>
      <c r="E84" s="80"/>
      <c r="F84" s="81"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49"/>
      <c r="B85" s="49"/>
      <c r="C85" s="49"/>
      <c r="D85" s="80"/>
      <c r="E85" s="80"/>
      <c r="F85" s="81"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49"/>
      <c r="B86" s="49"/>
      <c r="C86" s="49"/>
      <c r="D86" s="80"/>
      <c r="E86" s="80"/>
      <c r="F86" s="81"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49"/>
      <c r="B87" s="49"/>
      <c r="C87" s="49"/>
      <c r="D87" s="80"/>
      <c r="E87" s="80"/>
      <c r="F87" s="81"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49"/>
      <c r="B88" s="49"/>
      <c r="C88" s="49"/>
      <c r="D88" s="80"/>
      <c r="E88" s="80"/>
      <c r="F88" s="81"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49"/>
      <c r="B89" s="49"/>
      <c r="C89" s="49"/>
      <c r="D89" s="80"/>
      <c r="E89" s="80"/>
      <c r="F89" s="81"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49"/>
      <c r="B90" s="49"/>
      <c r="C90" s="49"/>
      <c r="D90" s="80"/>
      <c r="E90" s="80"/>
      <c r="F90" s="81"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49"/>
      <c r="B91" s="49"/>
      <c r="C91" s="49"/>
      <c r="D91" s="80"/>
      <c r="E91" s="80"/>
      <c r="F91" s="81"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49"/>
      <c r="B92" s="49"/>
      <c r="C92" s="49"/>
      <c r="D92" s="80"/>
      <c r="E92" s="80"/>
      <c r="F92" s="81"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49"/>
      <c r="B93" s="49"/>
      <c r="C93" s="49"/>
      <c r="D93" s="80"/>
      <c r="E93" s="80"/>
      <c r="F93" s="81"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49"/>
      <c r="B94" s="49"/>
      <c r="C94" s="49"/>
      <c r="D94" s="80"/>
      <c r="E94" s="80"/>
      <c r="F94" s="81"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49"/>
      <c r="B95" s="49"/>
      <c r="C95" s="49"/>
      <c r="D95" s="80"/>
      <c r="E95" s="80"/>
      <c r="F95" s="81"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49"/>
      <c r="B96" s="49"/>
      <c r="C96" s="49"/>
      <c r="D96" s="80"/>
      <c r="E96" s="80"/>
      <c r="F96" s="81"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49"/>
      <c r="B97" s="49"/>
      <c r="C97" s="49"/>
      <c r="D97" s="80"/>
      <c r="E97" s="80"/>
      <c r="F97" s="81"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49"/>
      <c r="B98" s="49"/>
      <c r="C98" s="49"/>
      <c r="D98" s="80"/>
      <c r="E98" s="80"/>
      <c r="F98" s="81"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49"/>
      <c r="B99" s="49"/>
      <c r="C99" s="49"/>
      <c r="D99" s="80"/>
      <c r="E99" s="80"/>
      <c r="F99" s="81"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49"/>
      <c r="B100" s="49"/>
      <c r="C100" s="49"/>
      <c r="D100" s="80"/>
      <c r="E100" s="80"/>
      <c r="F100" s="81"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49"/>
      <c r="B101" s="49"/>
      <c r="C101" s="49"/>
      <c r="D101" s="80"/>
      <c r="E101" s="80"/>
      <c r="F101" s="81"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49"/>
      <c r="B102" s="49"/>
      <c r="C102" s="49"/>
      <c r="D102" s="80"/>
      <c r="E102" s="80"/>
      <c r="F102" s="81"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49"/>
      <c r="B103" s="49"/>
      <c r="C103" s="49"/>
      <c r="D103" s="80"/>
      <c r="E103" s="80"/>
      <c r="F103" s="81"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49"/>
      <c r="B104" s="49"/>
      <c r="C104" s="49"/>
      <c r="D104" s="80"/>
      <c r="E104" s="80"/>
      <c r="F104" s="81"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49"/>
      <c r="B105" s="49"/>
      <c r="C105" s="49"/>
      <c r="D105" s="80"/>
      <c r="E105" s="80"/>
      <c r="F105" s="81"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49"/>
      <c r="B106" s="49"/>
      <c r="C106" s="49"/>
      <c r="D106" s="80"/>
      <c r="E106" s="80"/>
      <c r="F106" s="81"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49"/>
      <c r="B107" s="49"/>
      <c r="C107" s="49"/>
      <c r="D107" s="80"/>
      <c r="E107" s="80"/>
      <c r="F107" s="81"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49"/>
      <c r="B108" s="49"/>
      <c r="C108" s="49"/>
      <c r="D108" s="80"/>
      <c r="E108" s="80"/>
      <c r="F108" s="81"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49"/>
      <c r="B109" s="49"/>
      <c r="C109" s="49"/>
      <c r="D109" s="80"/>
      <c r="E109" s="80"/>
      <c r="F109" s="81"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49"/>
      <c r="B110" s="49"/>
      <c r="C110" s="49"/>
      <c r="D110" s="80"/>
      <c r="E110" s="80"/>
      <c r="F110" s="81"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49"/>
      <c r="B111" s="49"/>
      <c r="C111" s="49"/>
      <c r="D111" s="80"/>
      <c r="E111" s="80"/>
      <c r="F111" s="81"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49"/>
      <c r="B112" s="49"/>
      <c r="C112" s="49"/>
      <c r="D112" s="80"/>
      <c r="E112" s="80"/>
      <c r="F112" s="81"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49"/>
      <c r="B113" s="49"/>
      <c r="C113" s="49"/>
      <c r="D113" s="80"/>
      <c r="E113" s="80"/>
      <c r="F113" s="81"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49"/>
      <c r="B114" s="49"/>
      <c r="C114" s="49"/>
      <c r="D114" s="80"/>
      <c r="E114" s="80"/>
      <c r="F114" s="81"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49"/>
      <c r="B115" s="49"/>
      <c r="C115" s="49"/>
      <c r="D115" s="80"/>
      <c r="E115" s="80"/>
      <c r="F115" s="81"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49"/>
      <c r="B116" s="49"/>
      <c r="C116" s="49"/>
      <c r="D116" s="80"/>
      <c r="E116" s="80"/>
      <c r="F116" s="81"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49"/>
      <c r="B117" s="49"/>
      <c r="C117" s="49"/>
      <c r="D117" s="80"/>
      <c r="E117" s="80"/>
      <c r="F117" s="81"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49"/>
      <c r="B118" s="49"/>
      <c r="C118" s="49"/>
      <c r="D118" s="80"/>
      <c r="E118" s="80"/>
      <c r="F118" s="81"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49"/>
      <c r="B119" s="49"/>
      <c r="C119" s="49"/>
      <c r="D119" s="80"/>
      <c r="E119" s="80"/>
      <c r="F119" s="81"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49"/>
      <c r="B120" s="49"/>
      <c r="C120" s="49"/>
      <c r="D120" s="80"/>
      <c r="E120" s="80"/>
      <c r="F120" s="81"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49"/>
      <c r="B121" s="49"/>
      <c r="C121" s="49"/>
      <c r="D121" s="80"/>
      <c r="E121" s="80"/>
      <c r="F121" s="81"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49"/>
      <c r="B122" s="49"/>
      <c r="C122" s="49"/>
      <c r="D122" s="80"/>
      <c r="E122" s="80"/>
      <c r="F122" s="81"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49"/>
      <c r="B123" s="49"/>
      <c r="C123" s="49"/>
      <c r="D123" s="80"/>
      <c r="E123" s="80"/>
      <c r="F123" s="81"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49"/>
      <c r="B124" s="49"/>
      <c r="C124" s="49"/>
      <c r="D124" s="80"/>
      <c r="E124" s="80"/>
      <c r="F124" s="81"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49"/>
      <c r="B125" s="49"/>
      <c r="C125" s="49"/>
      <c r="D125" s="80"/>
      <c r="E125" s="80"/>
      <c r="F125" s="81"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49"/>
      <c r="B126" s="49"/>
      <c r="C126" s="49"/>
      <c r="D126" s="80"/>
      <c r="E126" s="80"/>
      <c r="F126" s="81"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49"/>
      <c r="B127" s="49"/>
      <c r="C127" s="49"/>
      <c r="D127" s="80"/>
      <c r="E127" s="80"/>
      <c r="F127" s="81"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49"/>
      <c r="B128" s="49"/>
      <c r="C128" s="49"/>
      <c r="D128" s="80"/>
      <c r="E128" s="80"/>
      <c r="F128" s="81"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49"/>
      <c r="B129" s="49"/>
      <c r="C129" s="49"/>
      <c r="D129" s="80"/>
      <c r="E129" s="80"/>
      <c r="F129" s="81"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49"/>
      <c r="B130" s="49"/>
      <c r="C130" s="49"/>
      <c r="D130" s="80"/>
      <c r="E130" s="80"/>
      <c r="F130" s="81"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49"/>
      <c r="B131" s="49"/>
      <c r="C131" s="49"/>
      <c r="D131" s="80"/>
      <c r="E131" s="80"/>
      <c r="F131" s="81"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49"/>
      <c r="B132" s="49"/>
      <c r="C132" s="49"/>
      <c r="D132" s="80"/>
      <c r="E132" s="80"/>
      <c r="F132" s="81"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49"/>
      <c r="B133" s="49"/>
      <c r="C133" s="49"/>
      <c r="D133" s="80"/>
      <c r="E133" s="80"/>
      <c r="F133" s="81"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49"/>
      <c r="B134" s="49"/>
      <c r="C134" s="49"/>
      <c r="D134" s="80"/>
      <c r="E134" s="80"/>
      <c r="F134" s="81"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49"/>
      <c r="B135" s="49"/>
      <c r="C135" s="49"/>
      <c r="D135" s="80"/>
      <c r="E135" s="80"/>
      <c r="F135" s="81"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49"/>
      <c r="B136" s="49"/>
      <c r="C136" s="49"/>
      <c r="D136" s="80"/>
      <c r="E136" s="80"/>
      <c r="F136" s="81"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49"/>
      <c r="B137" s="49"/>
      <c r="C137" s="49"/>
      <c r="D137" s="80"/>
      <c r="E137" s="80"/>
      <c r="F137" s="81"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49"/>
      <c r="B138" s="49"/>
      <c r="C138" s="49"/>
      <c r="D138" s="80"/>
      <c r="E138" s="80"/>
      <c r="F138" s="81"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49"/>
      <c r="B139" s="49"/>
      <c r="C139" s="49"/>
      <c r="D139" s="80"/>
      <c r="E139" s="80"/>
      <c r="F139" s="81"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49"/>
      <c r="B140" s="49"/>
      <c r="C140" s="49"/>
      <c r="D140" s="80"/>
      <c r="E140" s="80"/>
      <c r="F140" s="81"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49"/>
      <c r="B141" s="49"/>
      <c r="C141" s="49"/>
      <c r="D141" s="80"/>
      <c r="E141" s="80"/>
      <c r="F141" s="81"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49"/>
      <c r="B142" s="49"/>
      <c r="C142" s="49"/>
      <c r="D142" s="80"/>
      <c r="E142" s="80"/>
      <c r="F142" s="81"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49"/>
      <c r="B143" s="49"/>
      <c r="C143" s="49"/>
      <c r="D143" s="80"/>
      <c r="E143" s="80"/>
      <c r="F143" s="81"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49"/>
      <c r="B144" s="49"/>
      <c r="C144" s="49"/>
      <c r="D144" s="80"/>
      <c r="E144" s="80"/>
      <c r="F144" s="81"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49"/>
      <c r="B145" s="49"/>
      <c r="C145" s="49"/>
      <c r="D145" s="80"/>
      <c r="E145" s="80"/>
      <c r="F145" s="81"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49"/>
      <c r="B146" s="49"/>
      <c r="C146" s="49"/>
      <c r="D146" s="80"/>
      <c r="E146" s="80"/>
      <c r="F146" s="81"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49"/>
      <c r="B147" s="49"/>
      <c r="C147" s="49"/>
      <c r="D147" s="80"/>
      <c r="E147" s="80"/>
      <c r="F147" s="81"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49"/>
      <c r="B148" s="49"/>
      <c r="C148" s="49"/>
      <c r="D148" s="80"/>
      <c r="E148" s="80"/>
      <c r="F148" s="81"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49"/>
      <c r="B149" s="49"/>
      <c r="C149" s="49"/>
      <c r="D149" s="80"/>
      <c r="E149" s="80"/>
      <c r="F149" s="81"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49"/>
      <c r="B150" s="49"/>
      <c r="C150" s="49"/>
      <c r="D150" s="80"/>
      <c r="E150" s="80"/>
      <c r="F150" s="81"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49"/>
      <c r="B151" s="49"/>
      <c r="C151" s="49"/>
      <c r="D151" s="80"/>
      <c r="E151" s="80"/>
      <c r="F151" s="81"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49"/>
      <c r="B152" s="49"/>
      <c r="C152" s="49"/>
      <c r="D152" s="80"/>
      <c r="E152" s="80"/>
      <c r="F152" s="81"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49"/>
      <c r="B153" s="49"/>
      <c r="C153" s="49"/>
      <c r="D153" s="80"/>
      <c r="E153" s="80"/>
      <c r="F153" s="81"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49"/>
      <c r="B154" s="49"/>
      <c r="C154" s="49"/>
      <c r="D154" s="80"/>
      <c r="E154" s="80"/>
      <c r="F154" s="81"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49"/>
      <c r="B155" s="49"/>
      <c r="C155" s="49"/>
      <c r="D155" s="80"/>
      <c r="E155" s="80"/>
      <c r="F155" s="81"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49"/>
      <c r="B156" s="49"/>
      <c r="C156" s="49"/>
      <c r="D156" s="80"/>
      <c r="E156" s="80"/>
      <c r="F156" s="81"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49"/>
      <c r="B157" s="49"/>
      <c r="C157" s="49"/>
      <c r="D157" s="80"/>
      <c r="E157" s="80"/>
      <c r="F157" s="81"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49"/>
      <c r="B158" s="49"/>
      <c r="C158" s="49"/>
      <c r="D158" s="80"/>
      <c r="E158" s="80"/>
      <c r="F158" s="81"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49"/>
      <c r="B159" s="49"/>
      <c r="C159" s="49"/>
      <c r="D159" s="80"/>
      <c r="E159" s="80"/>
      <c r="F159" s="81"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49"/>
      <c r="B160" s="49"/>
      <c r="C160" s="49"/>
      <c r="D160" s="80"/>
      <c r="E160" s="80"/>
      <c r="F160" s="81"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49"/>
      <c r="B161" s="49"/>
      <c r="C161" s="49"/>
      <c r="D161" s="80"/>
      <c r="E161" s="80"/>
      <c r="F161" s="81"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49"/>
      <c r="B162" s="49"/>
      <c r="C162" s="49"/>
      <c r="D162" s="80"/>
      <c r="E162" s="80"/>
      <c r="F162" s="81"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49"/>
      <c r="B163" s="49"/>
      <c r="C163" s="49"/>
      <c r="D163" s="80"/>
      <c r="E163" s="80"/>
      <c r="F163" s="81"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49"/>
      <c r="B164" s="49"/>
      <c r="C164" s="49"/>
      <c r="D164" s="80"/>
      <c r="E164" s="80"/>
      <c r="F164" s="81"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49"/>
      <c r="B165" s="49"/>
      <c r="C165" s="49"/>
      <c r="D165" s="80"/>
      <c r="E165" s="80"/>
      <c r="F165" s="81"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49"/>
      <c r="B166" s="49"/>
      <c r="C166" s="49"/>
      <c r="D166" s="80"/>
      <c r="E166" s="80"/>
      <c r="F166" s="81"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49"/>
      <c r="B167" s="49"/>
      <c r="C167" s="49"/>
      <c r="D167" s="80"/>
      <c r="E167" s="80"/>
      <c r="F167" s="81"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49"/>
      <c r="B168" s="49"/>
      <c r="C168" s="49"/>
      <c r="D168" s="80"/>
      <c r="E168" s="80"/>
      <c r="F168" s="81"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49"/>
      <c r="B169" s="49"/>
      <c r="C169" s="49"/>
      <c r="D169" s="80"/>
      <c r="E169" s="80"/>
      <c r="F169" s="81"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49"/>
      <c r="B170" s="49"/>
      <c r="C170" s="49"/>
      <c r="D170" s="80"/>
      <c r="E170" s="80"/>
      <c r="F170" s="81"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49"/>
      <c r="B171" s="49"/>
      <c r="C171" s="49"/>
      <c r="D171" s="80"/>
      <c r="E171" s="80"/>
      <c r="F171" s="81"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49"/>
      <c r="B172" s="49"/>
      <c r="C172" s="49"/>
      <c r="D172" s="80"/>
      <c r="E172" s="80"/>
      <c r="F172" s="81"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49"/>
      <c r="B173" s="49"/>
      <c r="C173" s="49"/>
      <c r="D173" s="80"/>
      <c r="E173" s="80"/>
      <c r="F173" s="81"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49"/>
      <c r="B174" s="49"/>
      <c r="C174" s="49"/>
      <c r="D174" s="80"/>
      <c r="E174" s="80"/>
      <c r="F174" s="81"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49"/>
      <c r="B175" s="49"/>
      <c r="C175" s="49"/>
      <c r="D175" s="80"/>
      <c r="E175" s="80"/>
      <c r="F175" s="81"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49"/>
      <c r="B176" s="49"/>
      <c r="C176" s="49"/>
      <c r="D176" s="80"/>
      <c r="E176" s="80"/>
      <c r="F176" s="81"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49"/>
      <c r="B177" s="49"/>
      <c r="C177" s="49"/>
      <c r="D177" s="80"/>
      <c r="E177" s="80"/>
      <c r="F177" s="81"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49"/>
      <c r="B178" s="49"/>
      <c r="C178" s="49"/>
      <c r="D178" s="80"/>
      <c r="E178" s="80"/>
      <c r="F178" s="81"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49"/>
      <c r="B179" s="49"/>
      <c r="C179" s="49"/>
      <c r="D179" s="80"/>
      <c r="E179" s="80"/>
      <c r="F179" s="81"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49"/>
      <c r="B180" s="49"/>
      <c r="C180" s="49"/>
      <c r="D180" s="80"/>
      <c r="E180" s="80"/>
      <c r="F180" s="81"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49"/>
      <c r="B181" s="49"/>
      <c r="C181" s="49"/>
      <c r="D181" s="80"/>
      <c r="E181" s="80"/>
      <c r="F181" s="81"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49"/>
      <c r="B182" s="49"/>
      <c r="C182" s="49"/>
      <c r="D182" s="80"/>
      <c r="E182" s="80"/>
      <c r="F182" s="81"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49"/>
      <c r="B183" s="49"/>
      <c r="C183" s="49"/>
      <c r="D183" s="80"/>
      <c r="E183" s="80"/>
      <c r="F183" s="81"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49"/>
      <c r="B184" s="49"/>
      <c r="C184" s="49"/>
      <c r="D184" s="80"/>
      <c r="E184" s="80"/>
      <c r="F184" s="81"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49"/>
      <c r="B185" s="49"/>
      <c r="C185" s="49"/>
      <c r="D185" s="80"/>
      <c r="E185" s="80"/>
      <c r="F185" s="81"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49"/>
      <c r="B186" s="49"/>
      <c r="C186" s="49"/>
      <c r="D186" s="80"/>
      <c r="E186" s="80"/>
      <c r="F186" s="81"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49"/>
      <c r="B187" s="49"/>
      <c r="C187" s="49"/>
      <c r="D187" s="80"/>
      <c r="E187" s="80"/>
      <c r="F187" s="81"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49"/>
      <c r="B188" s="49"/>
      <c r="C188" s="49"/>
      <c r="D188" s="80"/>
      <c r="E188" s="80"/>
      <c r="F188" s="81"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49"/>
      <c r="B189" s="49"/>
      <c r="C189" s="49"/>
      <c r="D189" s="80"/>
      <c r="E189" s="80"/>
      <c r="F189" s="81"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49"/>
      <c r="B190" s="49"/>
      <c r="C190" s="49"/>
      <c r="D190" s="80"/>
      <c r="E190" s="80"/>
      <c r="F190" s="81"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49"/>
      <c r="B191" s="49"/>
      <c r="C191" s="49"/>
      <c r="D191" s="80"/>
      <c r="E191" s="80"/>
      <c r="F191" s="81"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49"/>
      <c r="B192" s="49"/>
      <c r="C192" s="49"/>
      <c r="D192" s="80"/>
      <c r="E192" s="80"/>
      <c r="F192" s="81"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49"/>
      <c r="B193" s="49"/>
      <c r="C193" s="49"/>
      <c r="D193" s="80"/>
      <c r="E193" s="80"/>
      <c r="F193" s="81"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49"/>
      <c r="B194" s="49"/>
      <c r="C194" s="49"/>
      <c r="D194" s="80"/>
      <c r="E194" s="80"/>
      <c r="F194" s="81"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49"/>
      <c r="B195" s="49"/>
      <c r="C195" s="49"/>
      <c r="D195" s="80"/>
      <c r="E195" s="80"/>
      <c r="F195" s="81"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49"/>
      <c r="B196" s="49"/>
      <c r="C196" s="49"/>
      <c r="D196" s="80"/>
      <c r="E196" s="80"/>
      <c r="F196" s="81"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49"/>
      <c r="B197" s="49"/>
      <c r="C197" s="49"/>
      <c r="D197" s="80"/>
      <c r="E197" s="80"/>
      <c r="F197" s="81"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49"/>
      <c r="B198" s="49"/>
      <c r="C198" s="49"/>
      <c r="D198" s="80"/>
      <c r="E198" s="80"/>
      <c r="F198" s="81"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49"/>
      <c r="B199" s="49"/>
      <c r="C199" s="49"/>
      <c r="D199" s="80"/>
      <c r="E199" s="80"/>
      <c r="F199" s="81"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49"/>
      <c r="B200" s="49"/>
      <c r="C200" s="49"/>
      <c r="D200" s="80"/>
      <c r="E200" s="80"/>
      <c r="F200" s="81"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49"/>
      <c r="B201" s="49"/>
      <c r="C201" s="49"/>
      <c r="D201" s="80"/>
      <c r="E201" s="80"/>
      <c r="F201" s="81"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49"/>
      <c r="B202" s="49"/>
      <c r="C202" s="49"/>
      <c r="D202" s="80"/>
      <c r="E202" s="80"/>
      <c r="F202" s="81"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49"/>
      <c r="B203" s="49"/>
      <c r="C203" s="49"/>
      <c r="D203" s="80"/>
      <c r="E203" s="80"/>
      <c r="F203" s="81"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49"/>
      <c r="B204" s="49"/>
      <c r="C204" s="49"/>
      <c r="D204" s="80"/>
      <c r="E204" s="80"/>
      <c r="F204" s="81"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49"/>
      <c r="B205" s="49"/>
      <c r="C205" s="49"/>
      <c r="D205" s="80"/>
      <c r="E205" s="80"/>
      <c r="F205" s="81"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49"/>
      <c r="B206" s="49"/>
      <c r="C206" s="49"/>
      <c r="D206" s="80"/>
      <c r="E206" s="80"/>
      <c r="F206" s="81"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49"/>
      <c r="B207" s="49"/>
      <c r="C207" s="49"/>
      <c r="D207" s="80"/>
      <c r="E207" s="80"/>
      <c r="F207" s="81"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49"/>
      <c r="B208" s="49"/>
      <c r="C208" s="49"/>
      <c r="D208" s="80"/>
      <c r="E208" s="80"/>
      <c r="F208" s="81"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49"/>
      <c r="B209" s="49"/>
      <c r="C209" s="49"/>
      <c r="D209" s="80"/>
      <c r="E209" s="80"/>
      <c r="F209" s="81"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49"/>
      <c r="B210" s="49"/>
      <c r="C210" s="49"/>
      <c r="D210" s="80"/>
      <c r="E210" s="80"/>
      <c r="F210" s="81"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49"/>
      <c r="B211" s="49"/>
      <c r="C211" s="49"/>
      <c r="D211" s="80"/>
      <c r="E211" s="80"/>
      <c r="F211" s="81"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49"/>
      <c r="B212" s="49"/>
      <c r="C212" s="49"/>
      <c r="D212" s="80"/>
      <c r="E212" s="80"/>
      <c r="F212" s="81"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49"/>
      <c r="B213" s="49"/>
      <c r="C213" s="49"/>
      <c r="D213" s="80"/>
      <c r="E213" s="80"/>
      <c r="F213" s="81"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49"/>
      <c r="B214" s="49"/>
      <c r="C214" s="49"/>
      <c r="D214" s="80"/>
      <c r="E214" s="80"/>
      <c r="F214" s="81"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49"/>
      <c r="B215" s="49"/>
      <c r="C215" s="49"/>
      <c r="D215" s="80"/>
      <c r="E215" s="80"/>
      <c r="F215" s="81"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49"/>
      <c r="B216" s="49"/>
      <c r="C216" s="49"/>
      <c r="D216" s="80"/>
      <c r="E216" s="80"/>
      <c r="F216" s="81"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49"/>
      <c r="B217" s="49"/>
      <c r="C217" s="49"/>
      <c r="D217" s="80"/>
      <c r="E217" s="80"/>
      <c r="F217" s="81"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49"/>
      <c r="B218" s="49"/>
      <c r="C218" s="49"/>
      <c r="D218" s="80"/>
      <c r="E218" s="80"/>
      <c r="F218" s="81"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49"/>
      <c r="B219" s="49"/>
      <c r="C219" s="49"/>
      <c r="D219" s="80"/>
      <c r="E219" s="80"/>
      <c r="F219" s="81"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49"/>
      <c r="B220" s="49"/>
      <c r="C220" s="49"/>
      <c r="D220" s="80"/>
      <c r="E220" s="80"/>
      <c r="F220" s="81"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49"/>
      <c r="B221" s="49"/>
      <c r="C221" s="49"/>
      <c r="D221" s="80"/>
      <c r="E221" s="80"/>
      <c r="F221" s="81"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49"/>
      <c r="B222" s="49"/>
      <c r="C222" s="49"/>
      <c r="D222" s="80"/>
      <c r="E222" s="80"/>
      <c r="F222" s="81"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49"/>
      <c r="B223" s="49"/>
      <c r="C223" s="49"/>
      <c r="D223" s="80"/>
      <c r="E223" s="80"/>
      <c r="F223" s="81"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49"/>
      <c r="B224" s="49"/>
      <c r="C224" s="49"/>
      <c r="D224" s="80"/>
      <c r="E224" s="80"/>
      <c r="F224" s="81"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49"/>
      <c r="B225" s="49"/>
      <c r="C225" s="49"/>
      <c r="D225" s="80"/>
      <c r="E225" s="80"/>
      <c r="F225" s="81"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49"/>
      <c r="B226" s="49"/>
      <c r="C226" s="49"/>
      <c r="D226" s="80"/>
      <c r="E226" s="80"/>
      <c r="F226" s="81"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49"/>
      <c r="B227" s="49"/>
      <c r="C227" s="49"/>
      <c r="D227" s="80"/>
      <c r="E227" s="80"/>
      <c r="F227" s="81"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49"/>
      <c r="B228" s="49"/>
      <c r="C228" s="49"/>
      <c r="D228" s="80"/>
      <c r="E228" s="80"/>
      <c r="F228" s="81"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49"/>
      <c r="B229" s="49"/>
      <c r="C229" s="49"/>
      <c r="D229" s="80"/>
      <c r="E229" s="80"/>
      <c r="F229" s="81"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49"/>
      <c r="B230" s="49"/>
      <c r="C230" s="49"/>
      <c r="D230" s="80"/>
      <c r="E230" s="80"/>
      <c r="F230" s="81"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49"/>
      <c r="B231" s="49"/>
      <c r="C231" s="49"/>
      <c r="D231" s="80"/>
      <c r="E231" s="80"/>
      <c r="F231" s="81"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49"/>
      <c r="B232" s="49"/>
      <c r="C232" s="49"/>
      <c r="D232" s="80"/>
      <c r="E232" s="80"/>
      <c r="F232" s="81"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49"/>
      <c r="B233" s="49"/>
      <c r="C233" s="49"/>
      <c r="D233" s="80"/>
      <c r="E233" s="80"/>
      <c r="F233" s="81"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49"/>
      <c r="B234" s="49"/>
      <c r="C234" s="49"/>
      <c r="D234" s="80"/>
      <c r="E234" s="80"/>
      <c r="F234" s="81"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49"/>
      <c r="B235" s="49"/>
      <c r="C235" s="49"/>
      <c r="D235" s="80"/>
      <c r="E235" s="80"/>
      <c r="F235" s="81"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49"/>
      <c r="B236" s="49"/>
      <c r="C236" s="49"/>
      <c r="D236" s="80"/>
      <c r="E236" s="80"/>
      <c r="F236" s="81"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49"/>
      <c r="B237" s="49"/>
      <c r="C237" s="49"/>
      <c r="D237" s="80"/>
      <c r="E237" s="80"/>
      <c r="F237" s="81"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49"/>
      <c r="B238" s="49"/>
      <c r="C238" s="49"/>
      <c r="D238" s="80"/>
      <c r="E238" s="80"/>
      <c r="F238" s="81"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49"/>
      <c r="B239" s="49"/>
      <c r="C239" s="49"/>
      <c r="D239" s="80"/>
      <c r="E239" s="80"/>
      <c r="F239" s="81"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49"/>
      <c r="B240" s="49"/>
      <c r="C240" s="49"/>
      <c r="D240" s="80"/>
      <c r="E240" s="80"/>
      <c r="F240" s="81"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49"/>
      <c r="B241" s="49"/>
      <c r="C241" s="49"/>
      <c r="D241" s="80"/>
      <c r="E241" s="80"/>
      <c r="F241" s="81"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49"/>
      <c r="B242" s="49"/>
      <c r="C242" s="49"/>
      <c r="D242" s="80"/>
      <c r="E242" s="80"/>
      <c r="F242" s="81"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49"/>
      <c r="B243" s="49"/>
      <c r="C243" s="49"/>
      <c r="D243" s="80"/>
      <c r="E243" s="80"/>
      <c r="F243" s="81"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49"/>
      <c r="B244" s="49"/>
      <c r="C244" s="49"/>
      <c r="D244" s="80"/>
      <c r="E244" s="80"/>
      <c r="F244" s="81"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49"/>
      <c r="B245" s="49"/>
      <c r="C245" s="49"/>
      <c r="D245" s="80"/>
      <c r="E245" s="80"/>
      <c r="F245" s="81"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49"/>
      <c r="B246" s="49"/>
      <c r="C246" s="49"/>
      <c r="D246" s="80"/>
      <c r="E246" s="80"/>
      <c r="F246" s="81"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49"/>
      <c r="B247" s="49"/>
      <c r="C247" s="49"/>
      <c r="D247" s="80"/>
      <c r="E247" s="80"/>
      <c r="F247" s="81"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49"/>
      <c r="B248" s="49"/>
      <c r="C248" s="49"/>
      <c r="D248" s="80"/>
      <c r="E248" s="80"/>
      <c r="F248" s="81"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49"/>
      <c r="B249" s="49"/>
      <c r="C249" s="49"/>
      <c r="D249" s="80"/>
      <c r="E249" s="80"/>
      <c r="F249" s="81"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49"/>
      <c r="B250" s="49"/>
      <c r="C250" s="49"/>
      <c r="D250" s="80"/>
      <c r="E250" s="80"/>
      <c r="F250" s="81"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49"/>
      <c r="B251" s="49"/>
      <c r="C251" s="49"/>
      <c r="D251" s="80"/>
      <c r="E251" s="80"/>
      <c r="F251" s="81"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49"/>
      <c r="B252" s="49"/>
      <c r="C252" s="49"/>
      <c r="D252" s="80"/>
      <c r="E252" s="80"/>
      <c r="F252" s="81"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49"/>
      <c r="B253" s="49"/>
      <c r="C253" s="49"/>
      <c r="D253" s="80"/>
      <c r="E253" s="80"/>
      <c r="F253" s="81"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49"/>
      <c r="B254" s="49"/>
      <c r="C254" s="49"/>
      <c r="D254" s="80"/>
      <c r="E254" s="80"/>
      <c r="F254" s="81"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49"/>
      <c r="B255" s="49"/>
      <c r="C255" s="49"/>
      <c r="D255" s="80"/>
      <c r="E255" s="80"/>
      <c r="F255" s="81"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49"/>
      <c r="B256" s="49"/>
      <c r="C256" s="49"/>
      <c r="D256" s="80"/>
      <c r="E256" s="80"/>
      <c r="F256" s="81"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49"/>
      <c r="B257" s="49"/>
      <c r="C257" s="49"/>
      <c r="D257" s="80"/>
      <c r="E257" s="80"/>
      <c r="F257" s="81"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49"/>
      <c r="B258" s="49"/>
      <c r="C258" s="49"/>
      <c r="D258" s="80"/>
      <c r="E258" s="80"/>
      <c r="F258" s="81"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49"/>
      <c r="B259" s="49"/>
      <c r="C259" s="49"/>
      <c r="D259" s="80"/>
      <c r="E259" s="80"/>
      <c r="F259" s="81"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49"/>
      <c r="B260" s="49"/>
      <c r="C260" s="49"/>
      <c r="D260" s="80"/>
      <c r="E260" s="80"/>
      <c r="F260" s="81"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49"/>
      <c r="B261" s="49"/>
      <c r="C261" s="49"/>
      <c r="D261" s="80"/>
      <c r="E261" s="80"/>
      <c r="F261" s="81"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49"/>
      <c r="B262" s="49"/>
      <c r="C262" s="49"/>
      <c r="D262" s="80"/>
      <c r="E262" s="80"/>
      <c r="F262" s="81"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49"/>
      <c r="B263" s="49"/>
      <c r="C263" s="49"/>
      <c r="D263" s="80"/>
      <c r="E263" s="80"/>
      <c r="F263" s="81"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49"/>
      <c r="B264" s="49"/>
      <c r="C264" s="49"/>
      <c r="D264" s="80"/>
      <c r="E264" s="80"/>
      <c r="F264" s="81"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49"/>
      <c r="B265" s="49"/>
      <c r="C265" s="49"/>
      <c r="D265" s="80"/>
      <c r="E265" s="80"/>
      <c r="F265" s="81"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49"/>
      <c r="B266" s="49"/>
      <c r="C266" s="49"/>
      <c r="D266" s="80"/>
      <c r="E266" s="80"/>
      <c r="F266" s="81"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49"/>
      <c r="B267" s="49"/>
      <c r="C267" s="49"/>
      <c r="D267" s="80"/>
      <c r="E267" s="80"/>
      <c r="F267" s="81"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49"/>
      <c r="B268" s="49"/>
      <c r="C268" s="49"/>
      <c r="D268" s="80"/>
      <c r="E268" s="80"/>
      <c r="F268" s="81"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49"/>
      <c r="B269" s="49"/>
      <c r="C269" s="49"/>
      <c r="D269" s="80"/>
      <c r="E269" s="80"/>
      <c r="F269" s="81"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49"/>
      <c r="B270" s="49"/>
      <c r="C270" s="49"/>
      <c r="D270" s="80"/>
      <c r="E270" s="80"/>
      <c r="F270" s="81"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49"/>
      <c r="B271" s="49"/>
      <c r="C271" s="49"/>
      <c r="D271" s="80"/>
      <c r="E271" s="80"/>
      <c r="F271" s="81"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49"/>
      <c r="B272" s="49"/>
      <c r="C272" s="49"/>
      <c r="D272" s="80"/>
      <c r="E272" s="80"/>
      <c r="F272" s="81"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49"/>
      <c r="B273" s="49"/>
      <c r="C273" s="49"/>
      <c r="D273" s="80"/>
      <c r="E273" s="80"/>
      <c r="F273" s="81"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49"/>
      <c r="B274" s="49"/>
      <c r="C274" s="49"/>
      <c r="D274" s="80"/>
      <c r="E274" s="80"/>
      <c r="F274" s="81"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49"/>
      <c r="B275" s="49"/>
      <c r="C275" s="49"/>
      <c r="D275" s="80"/>
      <c r="E275" s="80"/>
      <c r="F275" s="81"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49"/>
      <c r="B276" s="49"/>
      <c r="C276" s="49"/>
      <c r="D276" s="80"/>
      <c r="E276" s="80"/>
      <c r="F276" s="81"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49"/>
      <c r="B277" s="49"/>
      <c r="C277" s="49"/>
      <c r="D277" s="80"/>
      <c r="E277" s="80"/>
      <c r="F277" s="81"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49"/>
      <c r="B278" s="49"/>
      <c r="C278" s="49"/>
      <c r="D278" s="80"/>
      <c r="E278" s="80"/>
      <c r="F278" s="81"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49"/>
      <c r="B279" s="49"/>
      <c r="C279" s="49"/>
      <c r="D279" s="80"/>
      <c r="E279" s="80"/>
      <c r="F279" s="81"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49"/>
      <c r="B280" s="49"/>
      <c r="C280" s="49"/>
      <c r="D280" s="80"/>
      <c r="E280" s="80"/>
      <c r="F280" s="81"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49"/>
      <c r="B281" s="49"/>
      <c r="C281" s="49"/>
      <c r="D281" s="80"/>
      <c r="E281" s="80"/>
      <c r="F281" s="81"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49"/>
      <c r="B282" s="49"/>
      <c r="C282" s="49"/>
      <c r="D282" s="80"/>
      <c r="E282" s="80"/>
      <c r="F282" s="81"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49"/>
      <c r="B283" s="49"/>
      <c r="C283" s="49"/>
      <c r="D283" s="80"/>
      <c r="E283" s="80"/>
      <c r="F283" s="81"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49"/>
      <c r="B284" s="49"/>
      <c r="C284" s="49"/>
      <c r="D284" s="80"/>
      <c r="E284" s="80"/>
      <c r="F284" s="81"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49"/>
      <c r="B285" s="49"/>
      <c r="C285" s="49"/>
      <c r="D285" s="80"/>
      <c r="E285" s="80"/>
      <c r="F285" s="81"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49"/>
      <c r="B286" s="49"/>
      <c r="C286" s="49"/>
      <c r="D286" s="80"/>
      <c r="E286" s="80"/>
      <c r="F286" s="81"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49"/>
      <c r="B287" s="49"/>
      <c r="C287" s="49"/>
      <c r="D287" s="80"/>
      <c r="E287" s="80"/>
      <c r="F287" s="81"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49"/>
      <c r="B288" s="49"/>
      <c r="C288" s="49"/>
      <c r="D288" s="80"/>
      <c r="E288" s="80"/>
      <c r="F288" s="81"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49"/>
      <c r="B289" s="49"/>
      <c r="C289" s="49"/>
      <c r="D289" s="80"/>
      <c r="E289" s="80"/>
      <c r="F289" s="81"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49"/>
      <c r="B290" s="49"/>
      <c r="C290" s="49"/>
      <c r="D290" s="80"/>
      <c r="E290" s="80"/>
      <c r="F290" s="81"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49"/>
      <c r="B291" s="49"/>
      <c r="C291" s="49"/>
      <c r="D291" s="80"/>
      <c r="E291" s="80"/>
      <c r="F291" s="81"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49"/>
      <c r="B292" s="49"/>
      <c r="C292" s="49"/>
      <c r="D292" s="80"/>
      <c r="E292" s="80"/>
      <c r="F292" s="81"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49"/>
      <c r="B293" s="49"/>
      <c r="C293" s="49"/>
      <c r="D293" s="80"/>
      <c r="E293" s="80"/>
      <c r="F293" s="81"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49"/>
      <c r="B294" s="49"/>
      <c r="C294" s="49"/>
      <c r="D294" s="80"/>
      <c r="E294" s="80"/>
      <c r="F294" s="81"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49"/>
      <c r="B295" s="49"/>
      <c r="C295" s="49"/>
      <c r="D295" s="80"/>
      <c r="E295" s="80"/>
      <c r="F295" s="81"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49"/>
      <c r="B296" s="49"/>
      <c r="C296" s="49"/>
      <c r="D296" s="80"/>
      <c r="E296" s="80"/>
      <c r="F296" s="81"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49"/>
      <c r="B297" s="49"/>
      <c r="C297" s="49"/>
      <c r="D297" s="80"/>
      <c r="E297" s="80"/>
      <c r="F297" s="81"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49"/>
      <c r="B298" s="49"/>
      <c r="C298" s="49"/>
      <c r="D298" s="80"/>
      <c r="E298" s="80"/>
      <c r="F298" s="81"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49"/>
      <c r="B299" s="49"/>
      <c r="C299" s="49"/>
      <c r="D299" s="80"/>
      <c r="E299" s="80"/>
      <c r="F299" s="81"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49"/>
      <c r="B300" s="49"/>
      <c r="C300" s="49"/>
      <c r="D300" s="80"/>
      <c r="E300" s="80"/>
      <c r="F300" s="81"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49"/>
      <c r="B301" s="49"/>
      <c r="C301" s="49"/>
      <c r="D301" s="80"/>
      <c r="E301" s="80"/>
      <c r="F301" s="81"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49"/>
      <c r="B302" s="49"/>
      <c r="C302" s="49"/>
      <c r="D302" s="80"/>
      <c r="E302" s="80"/>
      <c r="F302" s="81"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49"/>
      <c r="B303" s="49"/>
      <c r="C303" s="49"/>
      <c r="D303" s="80"/>
      <c r="E303" s="80"/>
      <c r="F303" s="81"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49"/>
      <c r="B304" s="49"/>
      <c r="C304" s="49"/>
      <c r="D304" s="80"/>
      <c r="E304" s="80"/>
      <c r="F304" s="81"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79" t="s">
        <v>588</v>
      </c>
      <c r="B1" s="79"/>
      <c r="C1" s="79"/>
      <c r="D1" s="79"/>
      <c r="E1" s="79"/>
      <c r="F1" s="79"/>
      <c r="G1" s="79"/>
      <c r="H1" s="79"/>
    </row>
    <row r="2" customFormat="false" ht="43.5" hidden="false" customHeight="true" outlineLevel="0" collapsed="false">
      <c r="A2" s="14" t="s">
        <v>589</v>
      </c>
      <c r="B2" s="14"/>
      <c r="C2" s="14"/>
      <c r="D2" s="14"/>
      <c r="E2" s="14"/>
      <c r="F2" s="14"/>
      <c r="G2" s="14"/>
      <c r="H2" s="14"/>
    </row>
    <row r="4" customFormat="false" ht="49.5" hidden="false" customHeight="true" outlineLevel="0" collapsed="false">
      <c r="A4" s="10" t="s">
        <v>7</v>
      </c>
      <c r="B4" s="10" t="s">
        <v>23</v>
      </c>
      <c r="C4" s="10" t="s">
        <v>24</v>
      </c>
      <c r="D4" s="10" t="s">
        <v>26</v>
      </c>
      <c r="E4" s="10" t="s">
        <v>590</v>
      </c>
      <c r="F4" s="10" t="s">
        <v>591</v>
      </c>
      <c r="G4" s="10" t="s">
        <v>592</v>
      </c>
      <c r="H4" s="10" t="s">
        <v>593</v>
      </c>
    </row>
    <row r="5" customFormat="false" ht="15" hidden="false" customHeight="true" outlineLevel="0" collapsed="false">
      <c r="A5" s="11" t="s">
        <v>9</v>
      </c>
      <c r="B5" s="11" t="s">
        <v>467</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49"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49"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412</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49"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49"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437</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49"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49"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456</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49"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49"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488</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49"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49"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420</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49"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49"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435</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49"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49"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509</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49"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49"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466</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49"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49"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463</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49"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49"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478</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49"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49"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419</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49"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49"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482</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49"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49"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418</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49"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49"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458</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49"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49"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382</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49"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49"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475</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49"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49"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388</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49"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49"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460</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49"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49"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525</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49"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49"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522</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49"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49"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459</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49"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49"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517</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49"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49"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448</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49"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49"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447</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49"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49"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421</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49"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49"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471</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49"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49"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469</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49"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49"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501</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49"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49"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516</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49"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49"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455</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49"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49"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441</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49"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49"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457</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49"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49"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442</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49"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49"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439</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49"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49"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386</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49"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49"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453</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49"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49"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391</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49"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49"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473</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49"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49"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470</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49"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49"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454</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49"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49"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462</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49"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49"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468</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49"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49"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494</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49"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49"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483</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49"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49"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429</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49"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49"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436</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49"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49"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404</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49"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49"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395</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49"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49"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422</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49"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49"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426</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49"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49"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524</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49"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49"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498</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49"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49"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506</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49"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49"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527</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49"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49"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390</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49"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49"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476</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49"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49"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400</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49"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49"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461</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49"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49"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446</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49"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49"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499</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49"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49"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523</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49"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49"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449</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49"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49"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428</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49"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49"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430</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49"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49"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432</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49"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49"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443</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49"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49"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444</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49"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49"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425</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49"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49"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464</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49"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49"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450</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49"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49"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438</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49"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49"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434</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49"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49"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385</v>
      </c>
      <c r="B78" s="11" t="s">
        <v>202</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49"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49"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385</v>
      </c>
      <c r="B79" s="11" t="s">
        <v>204</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49"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49"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465</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49"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49"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491</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49"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49"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389</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49"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49"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384</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49"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49"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481</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49"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49"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505</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49"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49"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496</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49"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49"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518</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49"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49"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474</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49"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49"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500</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49"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49"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405</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49"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49"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406</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49"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49"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521</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49"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49"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507</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49"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49"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489</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49"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49"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508</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49"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49"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503</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49"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49"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472</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49"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49"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383</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49"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49"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381</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49"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49"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515</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49"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49"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492</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49"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49"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504</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49"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49"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485</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49"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49"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511</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49"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49"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487</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49"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49"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510</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49"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49"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479</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49"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49"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413</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49"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49"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414</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49"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49"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495</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49"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49"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484</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49"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49"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519</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49"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49"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502</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49"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49"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417</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49"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49"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433</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49"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49"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393</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49"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49"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486</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49"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49"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440</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49"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49"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399</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49"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49"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445</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49"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49"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401</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49"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49"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514</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49"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49"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392</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49"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49"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520</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49"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49"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416</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49"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49"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497</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49"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49"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493</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49"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49"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415</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49"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49"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480</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49"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49"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477</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49"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49"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374</v>
      </c>
      <c r="B131" s="11" t="s">
        <v>528</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49"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49"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374</v>
      </c>
      <c r="B132" s="11" t="s">
        <v>529</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49"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49"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374</v>
      </c>
      <c r="B133" s="11" t="s">
        <v>530</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49"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49"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374</v>
      </c>
      <c r="B134" s="11" t="s">
        <v>531</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49"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49"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374</v>
      </c>
      <c r="B135" s="11" t="s">
        <v>532</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49"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49"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374</v>
      </c>
      <c r="B136" s="11" t="s">
        <v>533</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49"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49"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374</v>
      </c>
      <c r="B137" s="11" t="s">
        <v>396</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49"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49"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374</v>
      </c>
      <c r="B138" s="11" t="s">
        <v>534</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49"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49"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374</v>
      </c>
      <c r="B139" s="11" t="s">
        <v>535</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49"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49"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374</v>
      </c>
      <c r="B140" s="11" t="s">
        <v>536</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49"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49"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374</v>
      </c>
      <c r="B141" s="11" t="s">
        <v>512</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49"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49"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374</v>
      </c>
      <c r="B142" s="11" t="s">
        <v>513</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49"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49"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374</v>
      </c>
      <c r="B143" s="11" t="s">
        <v>380</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49"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49"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374</v>
      </c>
      <c r="B144" s="11" t="s">
        <v>387</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49"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49"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374</v>
      </c>
      <c r="B145" s="11" t="s">
        <v>537</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49"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49"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374</v>
      </c>
      <c r="B146" s="11" t="s">
        <v>538</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49"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49"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374</v>
      </c>
      <c r="B147" s="11" t="s">
        <v>539</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49"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49"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374</v>
      </c>
      <c r="B148" s="11" t="s">
        <v>540</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49"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49"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374</v>
      </c>
      <c r="B149" s="11" t="s">
        <v>431</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49"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49"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374</v>
      </c>
      <c r="B150" s="11" t="s">
        <v>408</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49"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49"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374</v>
      </c>
      <c r="B151" s="11" t="s">
        <v>409</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49"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49"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374</v>
      </c>
      <c r="B152" s="11" t="s">
        <v>394</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49"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49"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374</v>
      </c>
      <c r="B153" s="11" t="s">
        <v>407</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49"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49"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374</v>
      </c>
      <c r="B154" s="11" t="s">
        <v>526</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49"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49"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374</v>
      </c>
      <c r="B155" s="11" t="s">
        <v>490</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49"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49"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374</v>
      </c>
      <c r="B156" s="11" t="s">
        <v>427</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49"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49"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374</v>
      </c>
      <c r="B157" s="11" t="s">
        <v>410</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49"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49"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374</v>
      </c>
      <c r="B158" s="11" t="s">
        <v>411</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49"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49"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374</v>
      </c>
      <c r="B159" s="11" t="s">
        <v>402</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49"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49"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374</v>
      </c>
      <c r="B160" s="11" t="s">
        <v>403</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49"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49"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374</v>
      </c>
      <c r="B161" s="11" t="s">
        <v>379</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49"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49"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374</v>
      </c>
      <c r="B162" s="11" t="s">
        <v>375</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49"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49"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374</v>
      </c>
      <c r="B163" s="11" t="s">
        <v>376</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49"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49"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374</v>
      </c>
      <c r="B164" s="11" t="s">
        <v>377</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49"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49"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374</v>
      </c>
      <c r="B165" s="11" t="s">
        <v>378</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49"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49"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374</v>
      </c>
      <c r="B166" s="11" t="s">
        <v>541</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49"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49"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374</v>
      </c>
      <c r="B167" s="11" t="s">
        <v>397</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49"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49"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374</v>
      </c>
      <c r="B168" s="11" t="s">
        <v>542</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49"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49"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374</v>
      </c>
      <c r="B169" s="11" t="s">
        <v>398</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49"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49"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374</v>
      </c>
      <c r="B170" s="11" t="s">
        <v>543</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49"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49"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374</v>
      </c>
      <c r="B171" s="11" t="s">
        <v>544</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49"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49"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374</v>
      </c>
      <c r="B172" s="11" t="s">
        <v>423</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49"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49"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374</v>
      </c>
      <c r="B173" s="11" t="s">
        <v>424</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49"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49"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374</v>
      </c>
      <c r="B174" s="11" t="s">
        <v>451</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49"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49"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374</v>
      </c>
      <c r="B175" s="11" t="s">
        <v>452</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49"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49"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79" t="s">
        <v>594</v>
      </c>
      <c r="B1" s="79"/>
      <c r="C1" s="79"/>
      <c r="D1" s="79"/>
      <c r="E1" s="79"/>
    </row>
    <row r="2" customFormat="false" ht="33.75" hidden="false" customHeight="true" outlineLevel="0" collapsed="false">
      <c r="A2" s="14" t="s">
        <v>595</v>
      </c>
      <c r="B2" s="14"/>
      <c r="C2" s="14"/>
      <c r="D2" s="14"/>
      <c r="E2" s="14"/>
    </row>
    <row r="4" customFormat="false" ht="24" hidden="false" customHeight="true" outlineLevel="0" collapsed="false">
      <c r="A4" s="10" t="s">
        <v>596</v>
      </c>
      <c r="B4" s="10" t="s">
        <v>545</v>
      </c>
      <c r="C4" s="10" t="s">
        <v>597</v>
      </c>
      <c r="D4" s="10" t="s">
        <v>598</v>
      </c>
      <c r="E4" s="10" t="s">
        <v>119</v>
      </c>
    </row>
    <row r="5" customFormat="false" ht="15" hidden="false" customHeight="true" outlineLevel="0" collapsed="false">
      <c r="A5" s="46" t="s">
        <v>131</v>
      </c>
      <c r="B5" s="46" t="s">
        <v>599</v>
      </c>
      <c r="C5" s="46" t="n">
        <v>5</v>
      </c>
      <c r="D5" s="82" t="n">
        <v>360</v>
      </c>
      <c r="E5" s="83"/>
    </row>
    <row r="6" customFormat="false" ht="15" hidden="false" customHeight="true" outlineLevel="0" collapsed="false">
      <c r="A6" s="46" t="s">
        <v>230</v>
      </c>
      <c r="B6" s="46" t="s">
        <v>599</v>
      </c>
      <c r="C6" s="46" t="n">
        <v>6</v>
      </c>
      <c r="D6" s="82" t="n">
        <v>42.6</v>
      </c>
      <c r="E6" s="83"/>
    </row>
    <row r="7" customFormat="false" ht="15" hidden="false" customHeight="true" outlineLevel="0" collapsed="false">
      <c r="A7" s="46" t="s">
        <v>303</v>
      </c>
      <c r="B7" s="46" t="s">
        <v>599</v>
      </c>
      <c r="C7" s="46" t="n">
        <v>9</v>
      </c>
      <c r="D7" s="82" t="n">
        <v>45</v>
      </c>
      <c r="E7" s="83"/>
    </row>
    <row r="8" customFormat="false" ht="15" hidden="false" customHeight="true" outlineLevel="0" collapsed="false">
      <c r="A8" s="46" t="s">
        <v>305</v>
      </c>
      <c r="B8" s="46" t="s">
        <v>599</v>
      </c>
      <c r="C8" s="46" t="n">
        <v>2</v>
      </c>
      <c r="D8" s="82" t="n">
        <v>50</v>
      </c>
      <c r="E8" s="83"/>
    </row>
    <row r="9" customFormat="false" ht="15" hidden="false" customHeight="true" outlineLevel="0" collapsed="false">
      <c r="A9" s="46" t="s">
        <v>311</v>
      </c>
      <c r="B9" s="46" t="s">
        <v>599</v>
      </c>
      <c r="C9" s="46" t="n">
        <v>1</v>
      </c>
      <c r="D9" s="82" t="n">
        <v>25</v>
      </c>
      <c r="E9" s="83"/>
    </row>
    <row r="10" customFormat="false" ht="15" hidden="false" customHeight="true" outlineLevel="0" collapsed="false">
      <c r="A10" s="46" t="s">
        <v>248</v>
      </c>
      <c r="B10" s="46" t="s">
        <v>599</v>
      </c>
      <c r="C10" s="46" t="n">
        <v>65</v>
      </c>
      <c r="D10" s="82" t="n">
        <v>880</v>
      </c>
      <c r="E10" s="83"/>
    </row>
    <row r="11" customFormat="false" ht="15" hidden="false" customHeight="true" outlineLevel="0" collapsed="false">
      <c r="A11" s="46" t="s">
        <v>315</v>
      </c>
      <c r="B11" s="46" t="s">
        <v>599</v>
      </c>
      <c r="C11" s="46" t="n">
        <v>69</v>
      </c>
      <c r="D11" s="82" t="n">
        <v>621</v>
      </c>
      <c r="E11" s="83"/>
    </row>
    <row r="12" customFormat="false" ht="15" hidden="false" customHeight="true" outlineLevel="0" collapsed="false">
      <c r="A12" s="46" t="s">
        <v>286</v>
      </c>
      <c r="B12" s="46" t="s">
        <v>599</v>
      </c>
      <c r="C12" s="46" t="n">
        <v>2</v>
      </c>
      <c r="D12" s="82" t="n">
        <v>20</v>
      </c>
      <c r="E12" s="83"/>
    </row>
    <row r="13" customFormat="false" ht="15" hidden="false" customHeight="true" outlineLevel="0" collapsed="false">
      <c r="A13" s="46" t="s">
        <v>216</v>
      </c>
      <c r="B13" s="46" t="s">
        <v>600</v>
      </c>
      <c r="C13" s="46" t="n">
        <v>3</v>
      </c>
      <c r="D13" s="82" t="n">
        <v>45</v>
      </c>
      <c r="E13" s="83"/>
    </row>
    <row r="14" customFormat="false" ht="15" hidden="false" customHeight="true" outlineLevel="0" collapsed="false">
      <c r="A14" s="46" t="s">
        <v>272</v>
      </c>
      <c r="B14" s="46" t="s">
        <v>601</v>
      </c>
      <c r="C14" s="46" t="n">
        <v>200</v>
      </c>
      <c r="D14" s="82" t="n">
        <v>100</v>
      </c>
      <c r="E14" s="83"/>
    </row>
    <row r="15" customFormat="false" ht="15" hidden="false" customHeight="true" outlineLevel="0" collapsed="false">
      <c r="A15" s="46" t="s">
        <v>195</v>
      </c>
      <c r="B15" s="46" t="s">
        <v>602</v>
      </c>
      <c r="C15" s="46" t="n">
        <v>40</v>
      </c>
      <c r="D15" s="82" t="n">
        <v>1200</v>
      </c>
      <c r="E15" s="83"/>
    </row>
    <row r="16" customFormat="false" ht="15" hidden="false" customHeight="true" outlineLevel="0" collapsed="false">
      <c r="A16" s="46" t="s">
        <v>138</v>
      </c>
      <c r="B16" s="46" t="s">
        <v>602</v>
      </c>
      <c r="C16" s="46" t="n">
        <v>4</v>
      </c>
      <c r="D16" s="82" t="n">
        <v>240</v>
      </c>
      <c r="E16" s="83"/>
    </row>
    <row r="18" customFormat="false" ht="15" hidden="false" customHeight="true" outlineLevel="0" collapsed="false">
      <c r="A18" s="84" t="s">
        <v>603</v>
      </c>
      <c r="B18" s="84"/>
      <c r="C18" s="84"/>
      <c r="D18" s="85"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79" t="s">
        <v>604</v>
      </c>
      <c r="B1" s="79"/>
      <c r="C1" s="79"/>
      <c r="D1" s="79"/>
      <c r="E1" s="79"/>
      <c r="F1" s="79"/>
      <c r="G1" s="79"/>
      <c r="H1" s="79"/>
      <c r="I1" s="79"/>
    </row>
    <row r="2" customFormat="false" ht="33.75" hidden="false" customHeight="true" outlineLevel="0" collapsed="false">
      <c r="A2" s="14" t="s">
        <v>605</v>
      </c>
      <c r="B2" s="14"/>
      <c r="C2" s="14"/>
      <c r="D2" s="14"/>
      <c r="E2" s="14"/>
      <c r="F2" s="14"/>
      <c r="G2" s="14"/>
      <c r="H2" s="14"/>
      <c r="I2" s="14"/>
    </row>
    <row r="4" customFormat="false" ht="39.75" hidden="false" customHeight="true" outlineLevel="0" collapsed="false">
      <c r="A4" s="10" t="s">
        <v>581</v>
      </c>
      <c r="B4" s="10" t="s">
        <v>606</v>
      </c>
      <c r="C4" s="10" t="s">
        <v>607</v>
      </c>
      <c r="D4" s="10" t="s">
        <v>608</v>
      </c>
      <c r="E4" s="10" t="s">
        <v>609</v>
      </c>
      <c r="F4" s="10" t="s">
        <v>610</v>
      </c>
      <c r="G4" s="10" t="s">
        <v>611</v>
      </c>
      <c r="H4" s="10" t="s">
        <v>612</v>
      </c>
      <c r="I4" s="10" t="s">
        <v>613</v>
      </c>
    </row>
    <row r="5" customFormat="false" ht="15" hidden="false" customHeight="true" outlineLevel="0" collapsed="false">
      <c r="A5" s="49" t="s">
        <v>32</v>
      </c>
      <c r="B5" s="82" t="n">
        <v>0</v>
      </c>
      <c r="C5" s="86" t="n">
        <f aca="false">'لوحة التحكم'!$B$4</f>
        <v>0.464002117830697</v>
      </c>
      <c r="D5" s="87" t="n">
        <v>0.25</v>
      </c>
      <c r="E5" s="70" t="n">
        <f aca="false">'المصروفات غير المباشرة'!$D$18</f>
        <v>3628.6</v>
      </c>
      <c r="F5" s="12" t="n">
        <f aca="false">IFERROR($C5+$D5,"")</f>
        <v>0.714002117830697</v>
      </c>
      <c r="G5" s="13" t="n">
        <f aca="false">IFERROR($B5*(1-$F5)-$E5,"")</f>
        <v>-3628.6</v>
      </c>
      <c r="H5" s="88" t="n">
        <v>174165.05</v>
      </c>
      <c r="I5" s="88" t="n">
        <v>73523.47769</v>
      </c>
    </row>
    <row r="6" customFormat="false" ht="15" hidden="false" customHeight="true" outlineLevel="0" collapsed="false">
      <c r="A6" s="49" t="s">
        <v>33</v>
      </c>
      <c r="B6" s="82" t="n">
        <v>0</v>
      </c>
      <c r="C6" s="87" t="n">
        <f aca="false">$C$5</f>
        <v>0.464002117830697</v>
      </c>
      <c r="D6" s="87" t="n">
        <v>0.25</v>
      </c>
      <c r="E6" s="82" t="n">
        <v>0</v>
      </c>
      <c r="F6" s="12" t="n">
        <f aca="false">IFERROR($C6+$D6,"")</f>
        <v>0.714002117830697</v>
      </c>
      <c r="G6" s="13" t="n">
        <f aca="false">IFERROR($B6*(1-$F6)-$E6,"")</f>
        <v>0</v>
      </c>
      <c r="H6" s="88" t="n">
        <v>146929.8</v>
      </c>
      <c r="I6" s="88" t="n">
        <v>102711.42974</v>
      </c>
    </row>
    <row r="7" customFormat="false" ht="15" hidden="false" customHeight="true" outlineLevel="0" collapsed="false">
      <c r="A7" s="49" t="s">
        <v>34</v>
      </c>
      <c r="B7" s="82" t="n">
        <v>0</v>
      </c>
      <c r="C7" s="87" t="n">
        <f aca="false">$C$5</f>
        <v>0.464002117830697</v>
      </c>
      <c r="D7" s="87" t="n">
        <v>0.25</v>
      </c>
      <c r="E7" s="82" t="n">
        <v>0</v>
      </c>
      <c r="F7" s="12" t="n">
        <f aca="false">IFERROR($C7+$D7,"")</f>
        <v>0.714002117830697</v>
      </c>
      <c r="G7" s="13" t="n">
        <f aca="false">IFERROR($B7*(1-$F7)-$E7,"")</f>
        <v>0</v>
      </c>
      <c r="H7" s="88" t="n">
        <v>167070.68</v>
      </c>
      <c r="I7" s="88" t="n">
        <v>98851.93574</v>
      </c>
    </row>
    <row r="8" customFormat="false" ht="15" hidden="false" customHeight="true" outlineLevel="0" collapsed="false">
      <c r="A8" s="49" t="s">
        <v>614</v>
      </c>
      <c r="B8" s="82" t="n">
        <v>0</v>
      </c>
      <c r="C8" s="87" t="n">
        <f aca="false">$C$5</f>
        <v>0.464002117830697</v>
      </c>
      <c r="D8" s="87" t="n">
        <v>0.25</v>
      </c>
      <c r="E8" s="82" t="n">
        <v>0</v>
      </c>
      <c r="F8" s="12" t="n">
        <f aca="false">IFERROR($C8+$D8,"")</f>
        <v>0.714002117830697</v>
      </c>
      <c r="G8" s="13" t="n">
        <f aca="false">IFERROR($B8*(1-$F8)-$E8,"")</f>
        <v>0</v>
      </c>
      <c r="H8" s="50" t="n">
        <v>0</v>
      </c>
      <c r="I8" s="50" t="n">
        <v>0</v>
      </c>
    </row>
    <row r="10" customFormat="false" ht="11.25" hidden="false" customHeight="true" outlineLevel="0" collapsed="false">
      <c r="A10" s="14" t="s">
        <v>615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79" t="s">
        <v>616</v>
      </c>
      <c r="B1" s="79"/>
      <c r="C1" s="79"/>
    </row>
    <row r="2" customFormat="false" ht="24" hidden="false" customHeight="true" outlineLevel="0" collapsed="false">
      <c r="A2" s="14" t="s">
        <v>617</v>
      </c>
      <c r="B2" s="14"/>
      <c r="C2" s="14"/>
    </row>
    <row r="4" customFormat="false" ht="24" hidden="false" customHeight="true" outlineLevel="0" collapsed="false">
      <c r="A4" s="10" t="s">
        <v>596</v>
      </c>
      <c r="B4" s="10"/>
      <c r="C4" s="10"/>
    </row>
    <row r="5" customFormat="false" ht="15" hidden="false" customHeight="true" outlineLevel="0" collapsed="false">
      <c r="A5" s="11" t="s">
        <v>618</v>
      </c>
      <c r="B5" s="82" t="n">
        <v>0</v>
      </c>
      <c r="C5" s="89" t="str">
        <f aca="false">IFERROR($B5/$B$5,"")</f>
        <v/>
      </c>
    </row>
    <row r="6" customFormat="false" ht="15" hidden="false" customHeight="true" outlineLevel="0" collapsed="false">
      <c r="A6" s="11" t="s">
        <v>619</v>
      </c>
      <c r="B6" s="13" t="n">
        <f aca="false">IFERROR($B$5*'لوحة التحكم'!$B$4,"")</f>
        <v>0</v>
      </c>
      <c r="C6" s="89" t="str">
        <f aca="false">IFERROR($B6/$B$5,"")</f>
        <v/>
      </c>
    </row>
    <row r="7" customFormat="false" ht="15" hidden="false" customHeight="true" outlineLevel="0" collapsed="false">
      <c r="A7" s="11" t="s">
        <v>620</v>
      </c>
      <c r="B7" s="13" t="n">
        <f aca="false">IFERROR($B$5-$B$6,"")</f>
        <v>0</v>
      </c>
      <c r="C7" s="89" t="str">
        <f aca="false">IFERROR($B7/$B$5,"")</f>
        <v/>
      </c>
    </row>
    <row r="8" customFormat="false" ht="15" hidden="false" customHeight="true" outlineLevel="0" collapsed="false">
      <c r="A8" s="11" t="s">
        <v>621</v>
      </c>
      <c r="B8" s="13" t="n">
        <f aca="false">IFERROR($B$5*'مقارنة الفروع'!$D$5,"")</f>
        <v>0</v>
      </c>
      <c r="C8" s="89" t="str">
        <f aca="false">IFERROR($B8/$B$5,"")</f>
        <v/>
      </c>
    </row>
    <row r="9" customFormat="false" ht="15" hidden="false" customHeight="true" outlineLevel="0" collapsed="false">
      <c r="A9" s="11" t="s">
        <v>622</v>
      </c>
      <c r="B9" s="13" t="n">
        <f aca="false">'المصروفات غير المباشرة'!$D$18</f>
        <v>3628.6</v>
      </c>
      <c r="C9" s="89" t="str">
        <f aca="false">IFERROR($B9/$B$5,"")</f>
        <v/>
      </c>
    </row>
    <row r="10" customFormat="false" ht="15" hidden="false" customHeight="true" outlineLevel="0" collapsed="false">
      <c r="A10" s="11" t="s">
        <v>623</v>
      </c>
      <c r="B10" s="82" t="n">
        <v>0</v>
      </c>
      <c r="C10" s="89" t="str">
        <f aca="false">IFERROR($B10/$B$5,"")</f>
        <v/>
      </c>
    </row>
    <row r="11" customFormat="false" ht="15" hidden="false" customHeight="true" outlineLevel="0" collapsed="false">
      <c r="A11" s="11" t="s">
        <v>624</v>
      </c>
      <c r="B11" s="82" t="n">
        <v>0</v>
      </c>
      <c r="C11" s="89" t="str">
        <f aca="false">IFERROR($B11/$B$5,"")</f>
        <v/>
      </c>
    </row>
    <row r="12" customFormat="false" ht="15" hidden="false" customHeight="true" outlineLevel="0" collapsed="false">
      <c r="A12" s="11" t="s">
        <v>625</v>
      </c>
      <c r="B12" s="13" t="n">
        <f aca="false">IFERROR($B$5-$B$6-$B$8-$B$9-$B$10-$B$11,"")</f>
        <v>-3628.6</v>
      </c>
      <c r="C12" s="89"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79" t="s">
        <v>626</v>
      </c>
      <c r="B1" s="79"/>
      <c r="C1" s="79"/>
    </row>
    <row r="2" customFormat="false" ht="30" hidden="false" customHeight="true" outlineLevel="0" collapsed="false">
      <c r="A2" s="14" t="s">
        <v>627</v>
      </c>
      <c r="B2" s="14"/>
      <c r="C2" s="14"/>
    </row>
    <row r="4" customFormat="false" ht="24" hidden="false" customHeight="true" outlineLevel="0" collapsed="false">
      <c r="A4" s="10" t="s">
        <v>596</v>
      </c>
      <c r="B4" s="10"/>
    </row>
    <row r="5" customFormat="false" ht="15" hidden="false" customHeight="true" outlineLevel="0" collapsed="false">
      <c r="A5" s="11" t="s">
        <v>628</v>
      </c>
      <c r="B5" s="13" t="n">
        <f aca="false">'قائمة الدخل الشهرية'!$B$10</f>
        <v>0</v>
      </c>
    </row>
    <row r="6" customFormat="false" ht="15" hidden="false" customHeight="true" outlineLevel="0" collapsed="false">
      <c r="A6" s="11" t="s">
        <v>629</v>
      </c>
      <c r="B6" s="13" t="n">
        <f aca="false">'المصروفات غير المباشرة'!$D$18</f>
        <v>3628.6</v>
      </c>
    </row>
    <row r="7" customFormat="false" ht="15" hidden="false" customHeight="true" outlineLevel="0" collapsed="false">
      <c r="A7" s="11" t="s">
        <v>630</v>
      </c>
      <c r="B7" s="13" t="n">
        <f aca="false">'قائمة الدخل الشهرية'!$B$11</f>
        <v>0</v>
      </c>
    </row>
    <row r="8" customFormat="false" ht="15" hidden="false" customHeight="true" outlineLevel="0" collapsed="false">
      <c r="A8" s="11" t="s">
        <v>631</v>
      </c>
      <c r="B8" s="13" t="n">
        <f aca="false">IFERROR($B$5+$B$6+$B$7,"")</f>
        <v>3628.6</v>
      </c>
    </row>
    <row r="9" customFormat="false" ht="15" hidden="false" customHeight="true" outlineLevel="0" collapsed="false">
      <c r="A9" s="11" t="s">
        <v>632</v>
      </c>
      <c r="B9" s="12" t="n">
        <f aca="false">'لوحة التحكم'!$B$4</f>
        <v>0.464002117830697</v>
      </c>
    </row>
    <row r="10" customFormat="false" ht="15" hidden="false" customHeight="true" outlineLevel="0" collapsed="false">
      <c r="A10" s="11" t="s">
        <v>633</v>
      </c>
      <c r="B10" s="12" t="n">
        <f aca="false">'مقارنة الفروع'!$D$5</f>
        <v>0.25</v>
      </c>
    </row>
    <row r="11" customFormat="false" ht="15" hidden="false" customHeight="true" outlineLevel="0" collapsed="false">
      <c r="A11" s="11" t="s">
        <v>634</v>
      </c>
      <c r="B11" s="12" t="n">
        <f aca="false">IFERROR(1-$B$9-$B$10,"")</f>
        <v>0.285997882169303</v>
      </c>
    </row>
    <row r="12" customFormat="false" ht="15" hidden="false" customHeight="true" outlineLevel="0" collapsed="false">
      <c r="A12" s="11" t="s">
        <v>635</v>
      </c>
      <c r="B12" s="13" t="n">
        <f aca="false">IFERROR($B$8/$B$11,"")</f>
        <v>12687.5065384294</v>
      </c>
    </row>
    <row r="13" customFormat="false" ht="15" hidden="false" customHeight="true" outlineLevel="0" collapsed="false">
      <c r="A13" s="11" t="s">
        <v>636</v>
      </c>
      <c r="B13" s="13" t="n">
        <f aca="false">IFERROR($B$12/30,"")</f>
        <v>422.916884614314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0" t="s">
        <v>637</v>
      </c>
    </row>
    <row r="2" customFormat="false" ht="15" hidden="false" customHeight="false" outlineLevel="0" collapsed="false">
      <c r="A2" s="17" t="s">
        <v>638</v>
      </c>
    </row>
    <row r="3" customFormat="false" ht="25.5" hidden="false" customHeight="true" outlineLevel="0" collapsed="false">
      <c r="A3" s="18" t="s">
        <v>639</v>
      </c>
      <c r="B3" s="18" t="s">
        <v>640</v>
      </c>
      <c r="C3" s="18" t="s">
        <v>641</v>
      </c>
    </row>
    <row r="4" customFormat="false" ht="15" hidden="false" customHeight="false" outlineLevel="0" collapsed="false">
      <c r="A4" s="90" t="s">
        <v>642</v>
      </c>
      <c r="B4" s="91" t="n">
        <v>46307</v>
      </c>
      <c r="C4" s="92" t="s">
        <v>643</v>
      </c>
    </row>
    <row r="5" customFormat="false" ht="15" hidden="false" customHeight="false" outlineLevel="0" collapsed="false">
      <c r="A5" s="90" t="s">
        <v>644</v>
      </c>
      <c r="B5" s="91" t="n">
        <v>46296</v>
      </c>
      <c r="C5" s="92" t="s">
        <v>645</v>
      </c>
    </row>
    <row r="6" customFormat="false" ht="15" hidden="false" customHeight="false" outlineLevel="0" collapsed="false">
      <c r="A6" s="90" t="s">
        <v>646</v>
      </c>
      <c r="B6" s="91" t="n">
        <v>46295</v>
      </c>
      <c r="C6" s="92" t="s">
        <v>647</v>
      </c>
    </row>
    <row r="7" customFormat="false" ht="15" hidden="false" customHeight="false" outlineLevel="0" collapsed="false">
      <c r="A7" s="90" t="s">
        <v>648</v>
      </c>
      <c r="B7" s="93" t="n">
        <v>0.03</v>
      </c>
      <c r="C7" s="92" t="s">
        <v>649</v>
      </c>
    </row>
    <row r="8" customFormat="false" ht="15" hidden="false" customHeight="false" outlineLevel="0" collapsed="false">
      <c r="A8" s="90" t="s">
        <v>650</v>
      </c>
      <c r="B8" s="94" t="n">
        <v>2</v>
      </c>
      <c r="C8" s="92" t="s">
        <v>651</v>
      </c>
    </row>
    <row r="9" customFormat="false" ht="15" hidden="false" customHeight="false" outlineLevel="0" collapsed="false">
      <c r="A9" s="90" t="s">
        <v>652</v>
      </c>
      <c r="B9" s="94" t="n">
        <v>1</v>
      </c>
      <c r="C9" s="92"/>
    </row>
    <row r="10" customFormat="false" ht="15" hidden="false" customHeight="false" outlineLevel="0" collapsed="false">
      <c r="A10" s="90" t="s">
        <v>653</v>
      </c>
      <c r="B10" s="94" t="n">
        <v>1</v>
      </c>
      <c r="C10" s="92" t="s">
        <v>654</v>
      </c>
    </row>
    <row r="11" customFormat="false" ht="15" hidden="false" customHeight="false" outlineLevel="0" collapsed="false">
      <c r="A11" s="90" t="s">
        <v>655</v>
      </c>
      <c r="B11" s="94" t="n">
        <v>7</v>
      </c>
      <c r="C11" s="92" t="s">
        <v>656</v>
      </c>
    </row>
    <row r="14" customFormat="false" ht="15" hidden="false" customHeight="false" outlineLevel="0" collapsed="false">
      <c r="A14" s="33" t="s">
        <v>657</v>
      </c>
    </row>
    <row r="15" customFormat="false" ht="15" hidden="false" customHeight="false" outlineLevel="0" collapsed="false">
      <c r="A15" s="94" t="s">
        <v>32</v>
      </c>
    </row>
    <row r="16" customFormat="false" ht="15" hidden="false" customHeight="false" outlineLevel="0" collapsed="false">
      <c r="A16" s="94" t="s">
        <v>33</v>
      </c>
    </row>
    <row r="17" customFormat="false" ht="15" hidden="false" customHeight="false" outlineLevel="0" collapsed="false">
      <c r="A17" s="94" t="s">
        <v>34</v>
      </c>
    </row>
    <row r="18" customFormat="false" ht="15" hidden="false" customHeight="false" outlineLevel="0" collapsed="false">
      <c r="A18" s="94" t="s">
        <v>614</v>
      </c>
    </row>
    <row r="20" customFormat="false" ht="15" hidden="false" customHeight="false" outlineLevel="0" collapsed="false">
      <c r="A20" s="33" t="s">
        <v>658</v>
      </c>
    </row>
    <row r="21" customFormat="false" ht="15" hidden="false" customHeight="false" outlineLevel="0" collapsed="false">
      <c r="A21" s="90" t="s">
        <v>659</v>
      </c>
    </row>
    <row r="22" customFormat="false" ht="15" hidden="false" customHeight="false" outlineLevel="0" collapsed="false">
      <c r="A22" s="90" t="s">
        <v>660</v>
      </c>
    </row>
    <row r="23" customFormat="false" ht="15" hidden="false" customHeight="false" outlineLevel="0" collapsed="false">
      <c r="A23" s="90" t="s">
        <v>661</v>
      </c>
    </row>
    <row r="24" customFormat="false" ht="15" hidden="false" customHeight="false" outlineLevel="0" collapsed="false">
      <c r="A24" s="90" t="s">
        <v>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9" min="9" style="0" width="12"/>
  </cols>
  <sheetData>
    <row r="1" customFormat="false" ht="48" hidden="false" customHeight="true" outlineLevel="0" collapsed="false">
      <c r="A1" s="18" t="s">
        <v>59</v>
      </c>
      <c r="B1" s="18" t="s">
        <v>663</v>
      </c>
      <c r="C1" s="18" t="s">
        <v>664</v>
      </c>
      <c r="D1" s="18" t="s">
        <v>665</v>
      </c>
      <c r="E1" s="18" t="s">
        <v>666</v>
      </c>
      <c r="F1" s="18" t="s">
        <v>667</v>
      </c>
      <c r="G1" s="18" t="s">
        <v>668</v>
      </c>
      <c r="H1" s="18" t="s">
        <v>669</v>
      </c>
      <c r="I1" s="18" t="s">
        <v>670</v>
      </c>
    </row>
    <row r="2" customFormat="false" ht="15" hidden="false" customHeight="false" outlineLevel="0" collapsed="false">
      <c r="A2" s="62" t="s">
        <v>122</v>
      </c>
      <c r="B2" s="95" t="s">
        <v>123</v>
      </c>
      <c r="C2" s="95" t="s">
        <v>123</v>
      </c>
      <c r="D2" s="96" t="n">
        <v>1</v>
      </c>
      <c r="E2" s="97" t="n">
        <f aca="false">INDEX(المكونات!$C$2:$C$500,MATCH($A2,المكونات!$A$2:$A$500,0))*D2</f>
        <v>3.3</v>
      </c>
      <c r="F2" s="98" t="n">
        <v>1</v>
      </c>
      <c r="G2" s="98" t="s">
        <v>671</v>
      </c>
      <c r="H2" s="95" t="str">
        <f aca="false">IF(G2="نعم",COUNTIF($G$2:G2,"نعم"),"")</f>
        <v/>
      </c>
      <c r="I2" s="95" t="s">
        <v>672</v>
      </c>
    </row>
    <row r="3" customFormat="false" ht="15" hidden="false" customHeight="false" outlineLevel="0" collapsed="false">
      <c r="A3" s="62" t="s">
        <v>125</v>
      </c>
      <c r="B3" s="95" t="s">
        <v>123</v>
      </c>
      <c r="C3" s="95" t="s">
        <v>123</v>
      </c>
      <c r="D3" s="96" t="n">
        <v>1</v>
      </c>
      <c r="E3" s="97" t="n">
        <f aca="false">INDEX(المكونات!$C$2:$C$500,MATCH($A3,المكونات!$A$2:$A$500,0))*D3</f>
        <v>0.8</v>
      </c>
      <c r="F3" s="98" t="n">
        <v>1</v>
      </c>
      <c r="G3" s="98" t="s">
        <v>671</v>
      </c>
      <c r="H3" s="95" t="str">
        <f aca="false">IF(G3="نعم",COUNTIF($G$2:G3,"نعم"),"")</f>
        <v/>
      </c>
      <c r="I3" s="95" t="s">
        <v>672</v>
      </c>
    </row>
    <row r="4" customFormat="false" ht="15" hidden="false" customHeight="false" outlineLevel="0" collapsed="false">
      <c r="A4" s="62" t="s">
        <v>133</v>
      </c>
      <c r="B4" s="95" t="s">
        <v>181</v>
      </c>
      <c r="C4" s="95" t="s">
        <v>134</v>
      </c>
      <c r="D4" s="96" t="n">
        <v>50</v>
      </c>
      <c r="E4" s="97" t="n">
        <f aca="false">INDEX(المكونات!$C$2:$C$500,MATCH($A4,المكونات!$A$2:$A$500,0))*D4</f>
        <v>70</v>
      </c>
      <c r="F4" s="98" t="n">
        <v>1</v>
      </c>
      <c r="G4" s="98" t="s">
        <v>671</v>
      </c>
      <c r="H4" s="95" t="str">
        <f aca="false">IF(G4="نعم",COUNTIF($G$2:G4,"نعم"),"")</f>
        <v/>
      </c>
      <c r="I4" s="95" t="s">
        <v>672</v>
      </c>
    </row>
    <row r="5" customFormat="false" ht="15" hidden="false" customHeight="false" outlineLevel="0" collapsed="false">
      <c r="A5" s="62" t="s">
        <v>136</v>
      </c>
      <c r="B5" s="95" t="s">
        <v>181</v>
      </c>
      <c r="C5" s="95" t="s">
        <v>134</v>
      </c>
      <c r="D5" s="96" t="n">
        <v>50</v>
      </c>
      <c r="E5" s="97" t="n">
        <f aca="false">INDEX(المكونات!$C$2:$C$500,MATCH($A5,المكونات!$A$2:$A$500,0))*D5</f>
        <v>70</v>
      </c>
      <c r="F5" s="98" t="n">
        <v>1</v>
      </c>
      <c r="G5" s="98" t="s">
        <v>671</v>
      </c>
      <c r="H5" s="95" t="str">
        <f aca="false">IF(G5="نعم",COUNTIF($G$2:G5,"نعم"),"")</f>
        <v/>
      </c>
      <c r="I5" s="95" t="s">
        <v>672</v>
      </c>
    </row>
    <row r="6" customFormat="false" ht="15" hidden="false" customHeight="false" outlineLevel="0" collapsed="false">
      <c r="A6" s="62" t="s">
        <v>140</v>
      </c>
      <c r="B6" s="95" t="s">
        <v>123</v>
      </c>
      <c r="C6" s="95" t="s">
        <v>123</v>
      </c>
      <c r="D6" s="96" t="n">
        <v>1</v>
      </c>
      <c r="E6" s="97" t="n">
        <f aca="false">INDEX(المكونات!$C$2:$C$500,MATCH($A6,المكونات!$A$2:$A$500,0))*D6</f>
        <v>18</v>
      </c>
      <c r="F6" s="98" t="n">
        <v>1</v>
      </c>
      <c r="G6" s="98" t="s">
        <v>671</v>
      </c>
      <c r="H6" s="95" t="str">
        <f aca="false">IF(G6="نعم",COUNTIF($G$2:G6,"نعم"),"")</f>
        <v/>
      </c>
      <c r="I6" s="95" t="s">
        <v>673</v>
      </c>
    </row>
    <row r="7" customFormat="false" ht="15" hidden="false" customHeight="false" outlineLevel="0" collapsed="false">
      <c r="A7" s="62" t="s">
        <v>142</v>
      </c>
      <c r="B7" s="95" t="s">
        <v>123</v>
      </c>
      <c r="C7" s="95" t="s">
        <v>123</v>
      </c>
      <c r="D7" s="96" t="n">
        <v>1</v>
      </c>
      <c r="E7" s="97" t="n">
        <f aca="false">INDEX(المكونات!$C$2:$C$500,MATCH($A7,المكونات!$A$2:$A$500,0))*D7</f>
        <v>35</v>
      </c>
      <c r="F7" s="98" t="n">
        <v>1</v>
      </c>
      <c r="G7" s="98" t="s">
        <v>671</v>
      </c>
      <c r="H7" s="95" t="str">
        <f aca="false">IF(G7="نعم",COUNTIF($G$2:G7,"نعم"),"")</f>
        <v/>
      </c>
      <c r="I7" s="95" t="s">
        <v>673</v>
      </c>
    </row>
    <row r="8" customFormat="false" ht="15" hidden="false" customHeight="false" outlineLevel="0" collapsed="false">
      <c r="A8" s="62" t="s">
        <v>144</v>
      </c>
      <c r="B8" s="95" t="s">
        <v>123</v>
      </c>
      <c r="C8" s="95" t="s">
        <v>123</v>
      </c>
      <c r="D8" s="96" t="n">
        <v>1</v>
      </c>
      <c r="E8" s="97" t="n">
        <f aca="false">INDEX(المكونات!$C$2:$C$500,MATCH($A8,المكونات!$A$2:$A$500,0))*D8</f>
        <v>46.6667</v>
      </c>
      <c r="F8" s="98" t="n">
        <v>1</v>
      </c>
      <c r="G8" s="98" t="s">
        <v>671</v>
      </c>
      <c r="H8" s="95" t="str">
        <f aca="false">IF(G8="نعم",COUNTIF($G$2:G8,"نعم"),"")</f>
        <v/>
      </c>
      <c r="I8" s="95" t="s">
        <v>673</v>
      </c>
    </row>
    <row r="9" customFormat="false" ht="15" hidden="false" customHeight="false" outlineLevel="0" collapsed="false">
      <c r="A9" s="62" t="s">
        <v>146</v>
      </c>
      <c r="B9" s="95" t="s">
        <v>123</v>
      </c>
      <c r="C9" s="95" t="s">
        <v>123</v>
      </c>
      <c r="D9" s="96" t="n">
        <v>1</v>
      </c>
      <c r="E9" s="97" t="n">
        <f aca="false">INDEX(المكونات!$C$2:$C$500,MATCH($A9,المكونات!$A$2:$A$500,0))*D9</f>
        <v>5.65</v>
      </c>
      <c r="F9" s="98" t="n">
        <v>1</v>
      </c>
      <c r="G9" s="98" t="s">
        <v>671</v>
      </c>
      <c r="H9" s="95" t="str">
        <f aca="false">IF(G9="نعم",COUNTIF($G$2:G9,"نعم"),"")</f>
        <v/>
      </c>
      <c r="I9" s="95" t="s">
        <v>673</v>
      </c>
    </row>
    <row r="10" customFormat="false" ht="15" hidden="false" customHeight="false" outlineLevel="0" collapsed="false">
      <c r="A10" s="62" t="s">
        <v>148</v>
      </c>
      <c r="B10" s="95" t="s">
        <v>123</v>
      </c>
      <c r="C10" s="95" t="s">
        <v>123</v>
      </c>
      <c r="D10" s="96" t="n">
        <v>1</v>
      </c>
      <c r="E10" s="97" t="n">
        <f aca="false">INDEX(المكونات!$C$2:$C$500,MATCH($A10,المكونات!$A$2:$A$500,0))*D10</f>
        <v>9</v>
      </c>
      <c r="F10" s="98" t="n">
        <v>1</v>
      </c>
      <c r="G10" s="98" t="s">
        <v>671</v>
      </c>
      <c r="H10" s="95" t="str">
        <f aca="false">IF(G10="نعم",COUNTIF($G$2:G10,"نعم"),"")</f>
        <v/>
      </c>
      <c r="I10" s="95" t="s">
        <v>673</v>
      </c>
    </row>
    <row r="11" customFormat="false" ht="15" hidden="false" customHeight="false" outlineLevel="0" collapsed="false">
      <c r="A11" s="62" t="s">
        <v>150</v>
      </c>
      <c r="B11" s="95" t="s">
        <v>123</v>
      </c>
      <c r="C11" s="95" t="s">
        <v>123</v>
      </c>
      <c r="D11" s="96" t="n">
        <v>1</v>
      </c>
      <c r="E11" s="97" t="n">
        <f aca="false">INDEX(المكونات!$C$2:$C$500,MATCH($A11,المكونات!$A$2:$A$500,0))*D11</f>
        <v>95</v>
      </c>
      <c r="F11" s="98" t="n">
        <v>1</v>
      </c>
      <c r="G11" s="98" t="s">
        <v>671</v>
      </c>
      <c r="H11" s="95" t="str">
        <f aca="false">IF(G11="نعم",COUNTIF($G$2:G11,"نعم"),"")</f>
        <v/>
      </c>
      <c r="I11" s="95" t="s">
        <v>673</v>
      </c>
    </row>
    <row r="12" customFormat="false" ht="15" hidden="false" customHeight="false" outlineLevel="0" collapsed="false">
      <c r="A12" s="62" t="s">
        <v>152</v>
      </c>
      <c r="B12" s="95" t="s">
        <v>123</v>
      </c>
      <c r="C12" s="95" t="s">
        <v>123</v>
      </c>
      <c r="D12" s="96" t="n">
        <v>1</v>
      </c>
      <c r="E12" s="97" t="n">
        <f aca="false">INDEX(المكونات!$C$2:$C$500,MATCH($A12,المكونات!$A$2:$A$500,0))*D12</f>
        <v>34</v>
      </c>
      <c r="F12" s="98" t="n">
        <v>1</v>
      </c>
      <c r="G12" s="98" t="s">
        <v>671</v>
      </c>
      <c r="H12" s="95" t="str">
        <f aca="false">IF(G12="نعم",COUNTIF($G$2:G12,"نعم"),"")</f>
        <v/>
      </c>
      <c r="I12" s="95" t="s">
        <v>673</v>
      </c>
    </row>
    <row r="13" customFormat="false" ht="15" hidden="false" customHeight="false" outlineLevel="0" collapsed="false">
      <c r="A13" s="62" t="s">
        <v>154</v>
      </c>
      <c r="B13" s="95" t="s">
        <v>123</v>
      </c>
      <c r="C13" s="95" t="s">
        <v>123</v>
      </c>
      <c r="D13" s="96" t="n">
        <v>1</v>
      </c>
      <c r="E13" s="97" t="n">
        <f aca="false">INDEX(المكونات!$C$2:$C$500,MATCH($A13,المكونات!$A$2:$A$500,0))*D13</f>
        <v>45</v>
      </c>
      <c r="F13" s="98" t="n">
        <v>1</v>
      </c>
      <c r="G13" s="98" t="s">
        <v>671</v>
      </c>
      <c r="H13" s="95" t="str">
        <f aca="false">IF(G13="نعم",COUNTIF($G$2:G13,"نعم"),"")</f>
        <v/>
      </c>
      <c r="I13" s="95" t="s">
        <v>673</v>
      </c>
    </row>
    <row r="14" customFormat="false" ht="15" hidden="false" customHeight="false" outlineLevel="0" collapsed="false">
      <c r="A14" s="62" t="s">
        <v>156</v>
      </c>
      <c r="B14" s="95" t="s">
        <v>123</v>
      </c>
      <c r="C14" s="95" t="s">
        <v>123</v>
      </c>
      <c r="D14" s="96" t="n">
        <v>1</v>
      </c>
      <c r="E14" s="97" t="n">
        <f aca="false">INDEX(المكونات!$C$2:$C$500,MATCH($A14,المكونات!$A$2:$A$500,0))*D14</f>
        <v>26.9708</v>
      </c>
      <c r="F14" s="98" t="n">
        <v>1</v>
      </c>
      <c r="G14" s="98" t="s">
        <v>671</v>
      </c>
      <c r="H14" s="95" t="str">
        <f aca="false">IF(G14="نعم",COUNTIF($G$2:G14,"نعم"),"")</f>
        <v/>
      </c>
      <c r="I14" s="95" t="s">
        <v>673</v>
      </c>
    </row>
    <row r="15" customFormat="false" ht="15" hidden="false" customHeight="false" outlineLevel="0" collapsed="false">
      <c r="A15" s="62" t="s">
        <v>158</v>
      </c>
      <c r="B15" s="95" t="s">
        <v>123</v>
      </c>
      <c r="C15" s="95" t="s">
        <v>123</v>
      </c>
      <c r="D15" s="96" t="n">
        <v>1</v>
      </c>
      <c r="E15" s="97" t="n">
        <f aca="false">INDEX(المكونات!$C$2:$C$500,MATCH($A15,المكونات!$A$2:$A$500,0))*D15</f>
        <v>33.982</v>
      </c>
      <c r="F15" s="98" t="n">
        <v>1</v>
      </c>
      <c r="G15" s="98" t="s">
        <v>671</v>
      </c>
      <c r="H15" s="95" t="str">
        <f aca="false">IF(G15="نعم",COUNTIF($G$2:G15,"نعم"),"")</f>
        <v/>
      </c>
      <c r="I15" s="95" t="s">
        <v>673</v>
      </c>
    </row>
    <row r="16" customFormat="false" ht="15" hidden="false" customHeight="false" outlineLevel="0" collapsed="false">
      <c r="A16" s="62" t="s">
        <v>160</v>
      </c>
      <c r="B16" s="95" t="s">
        <v>123</v>
      </c>
      <c r="C16" s="95" t="s">
        <v>123</v>
      </c>
      <c r="D16" s="96" t="n">
        <v>1</v>
      </c>
      <c r="E16" s="97" t="n">
        <f aca="false">INDEX(المكونات!$C$2:$C$500,MATCH($A16,المكونات!$A$2:$A$500,0))*D16</f>
        <v>48.7817</v>
      </c>
      <c r="F16" s="98" t="n">
        <v>1</v>
      </c>
      <c r="G16" s="98" t="s">
        <v>671</v>
      </c>
      <c r="H16" s="95" t="str">
        <f aca="false">IF(G16="نعم",COUNTIF($G$2:G16,"نعم"),"")</f>
        <v/>
      </c>
      <c r="I16" s="95" t="s">
        <v>673</v>
      </c>
    </row>
    <row r="17" customFormat="false" ht="15" hidden="false" customHeight="false" outlineLevel="0" collapsed="false">
      <c r="A17" s="62" t="s">
        <v>162</v>
      </c>
      <c r="B17" s="95" t="s">
        <v>123</v>
      </c>
      <c r="C17" s="95" t="s">
        <v>123</v>
      </c>
      <c r="D17" s="96" t="n">
        <v>1</v>
      </c>
      <c r="E17" s="97" t="n">
        <f aca="false">INDEX(المكونات!$C$2:$C$500,MATCH($A17,المكونات!$A$2:$A$500,0))*D17</f>
        <v>30</v>
      </c>
      <c r="F17" s="98" t="n">
        <v>1</v>
      </c>
      <c r="G17" s="98" t="s">
        <v>671</v>
      </c>
      <c r="H17" s="95" t="str">
        <f aca="false">IF(G17="نعم",COUNTIF($G$2:G17,"نعم"),"")</f>
        <v/>
      </c>
      <c r="I17" s="95" t="s">
        <v>673</v>
      </c>
    </row>
    <row r="18" customFormat="false" ht="15" hidden="false" customHeight="false" outlineLevel="0" collapsed="false">
      <c r="A18" s="62" t="s">
        <v>164</v>
      </c>
      <c r="B18" s="95" t="s">
        <v>123</v>
      </c>
      <c r="C18" s="95" t="s">
        <v>123</v>
      </c>
      <c r="D18" s="96" t="n">
        <v>1</v>
      </c>
      <c r="E18" s="97" t="n">
        <f aca="false">INDEX(المكونات!$C$2:$C$500,MATCH($A18,المكونات!$A$2:$A$500,0))*D18</f>
        <v>29</v>
      </c>
      <c r="F18" s="98" t="n">
        <v>1</v>
      </c>
      <c r="G18" s="98" t="s">
        <v>671</v>
      </c>
      <c r="H18" s="95" t="str">
        <f aca="false">IF(G18="نعم",COUNTIF($G$2:G18,"نعم"),"")</f>
        <v/>
      </c>
      <c r="I18" s="95" t="s">
        <v>673</v>
      </c>
    </row>
    <row r="19" customFormat="false" ht="15" hidden="false" customHeight="false" outlineLevel="0" collapsed="false">
      <c r="A19" s="62" t="s">
        <v>166</v>
      </c>
      <c r="B19" s="95" t="s">
        <v>123</v>
      </c>
      <c r="C19" s="95" t="s">
        <v>123</v>
      </c>
      <c r="D19" s="96" t="n">
        <v>1</v>
      </c>
      <c r="E19" s="97" t="n">
        <f aca="false">INDEX(المكونات!$C$2:$C$500,MATCH($A19,المكونات!$A$2:$A$500,0))*D19</f>
        <v>25</v>
      </c>
      <c r="F19" s="98" t="n">
        <v>1</v>
      </c>
      <c r="G19" s="98" t="s">
        <v>671</v>
      </c>
      <c r="H19" s="95" t="str">
        <f aca="false">IF(G19="نعم",COUNTIF($G$2:G19,"نعم"),"")</f>
        <v/>
      </c>
      <c r="I19" s="95" t="s">
        <v>673</v>
      </c>
    </row>
    <row r="20" customFormat="false" ht="15" hidden="false" customHeight="false" outlineLevel="0" collapsed="false">
      <c r="A20" s="62" t="s">
        <v>168</v>
      </c>
      <c r="B20" s="95" t="s">
        <v>123</v>
      </c>
      <c r="C20" s="95" t="s">
        <v>123</v>
      </c>
      <c r="D20" s="96" t="n">
        <v>1</v>
      </c>
      <c r="E20" s="97" t="n">
        <f aca="false">INDEX(المكونات!$C$2:$C$500,MATCH($A20,المكونات!$A$2:$A$500,0))*D20</f>
        <v>21</v>
      </c>
      <c r="F20" s="98" t="n">
        <v>1</v>
      </c>
      <c r="G20" s="98" t="s">
        <v>671</v>
      </c>
      <c r="H20" s="95" t="str">
        <f aca="false">IF(G20="نعم",COUNTIF($G$2:G20,"نعم"),"")</f>
        <v/>
      </c>
      <c r="I20" s="95" t="s">
        <v>673</v>
      </c>
    </row>
    <row r="21" customFormat="false" ht="15" hidden="false" customHeight="false" outlineLevel="0" collapsed="false">
      <c r="A21" s="62" t="s">
        <v>170</v>
      </c>
      <c r="B21" s="95" t="s">
        <v>123</v>
      </c>
      <c r="C21" s="95" t="s">
        <v>123</v>
      </c>
      <c r="D21" s="96" t="n">
        <v>1</v>
      </c>
      <c r="E21" s="97" t="n">
        <f aca="false">INDEX(المكونات!$C$2:$C$500,MATCH($A21,المكونات!$A$2:$A$500,0))*D21</f>
        <v>23</v>
      </c>
      <c r="F21" s="98" t="n">
        <v>1</v>
      </c>
      <c r="G21" s="98" t="s">
        <v>671</v>
      </c>
      <c r="H21" s="95" t="str">
        <f aca="false">IF(G21="نعم",COUNTIF($G$2:G21,"نعم"),"")</f>
        <v/>
      </c>
      <c r="I21" s="95" t="s">
        <v>673</v>
      </c>
    </row>
    <row r="22" customFormat="false" ht="15" hidden="false" customHeight="false" outlineLevel="0" collapsed="false">
      <c r="A22" s="62" t="s">
        <v>172</v>
      </c>
      <c r="B22" s="95" t="s">
        <v>123</v>
      </c>
      <c r="C22" s="95" t="s">
        <v>123</v>
      </c>
      <c r="D22" s="96" t="n">
        <v>1</v>
      </c>
      <c r="E22" s="97" t="n">
        <f aca="false">INDEX(المكونات!$C$2:$C$500,MATCH($A22,المكونات!$A$2:$A$500,0))*D22</f>
        <v>20</v>
      </c>
      <c r="F22" s="98" t="n">
        <v>1</v>
      </c>
      <c r="G22" s="98" t="s">
        <v>671</v>
      </c>
      <c r="H22" s="95" t="str">
        <f aca="false">IF(G22="نعم",COUNTIF($G$2:G22,"نعم"),"")</f>
        <v/>
      </c>
      <c r="I22" s="95" t="s">
        <v>673</v>
      </c>
    </row>
    <row r="23" customFormat="false" ht="15" hidden="false" customHeight="false" outlineLevel="0" collapsed="false">
      <c r="A23" s="62" t="s">
        <v>174</v>
      </c>
      <c r="B23" s="95" t="s">
        <v>123</v>
      </c>
      <c r="C23" s="95" t="s">
        <v>123</v>
      </c>
      <c r="D23" s="96" t="n">
        <v>1</v>
      </c>
      <c r="E23" s="97" t="n">
        <f aca="false">INDEX(المكونات!$C$2:$C$500,MATCH($A23,المكونات!$A$2:$A$500,0))*D23</f>
        <v>27.1395</v>
      </c>
      <c r="F23" s="98" t="n">
        <v>1</v>
      </c>
      <c r="G23" s="98" t="s">
        <v>671</v>
      </c>
      <c r="H23" s="95" t="str">
        <f aca="false">IF(G23="نعم",COUNTIF($G$2:G23,"نعم"),"")</f>
        <v/>
      </c>
      <c r="I23" s="95" t="s">
        <v>673</v>
      </c>
    </row>
    <row r="24" customFormat="false" ht="15" hidden="false" customHeight="false" outlineLevel="0" collapsed="false">
      <c r="A24" s="62" t="s">
        <v>176</v>
      </c>
      <c r="B24" s="95" t="s">
        <v>123</v>
      </c>
      <c r="C24" s="95" t="s">
        <v>123</v>
      </c>
      <c r="D24" s="96" t="n">
        <v>1</v>
      </c>
      <c r="E24" s="97" t="n">
        <f aca="false">INDEX(المكونات!$C$2:$C$500,MATCH($A24,المكونات!$A$2:$A$500,0))*D24</f>
        <v>17.5</v>
      </c>
      <c r="F24" s="98" t="n">
        <v>1</v>
      </c>
      <c r="G24" s="98" t="s">
        <v>671</v>
      </c>
      <c r="H24" s="95" t="str">
        <f aca="false">IF(G24="نعم",COUNTIF($G$2:G24,"نعم"),"")</f>
        <v/>
      </c>
      <c r="I24" s="95" t="s">
        <v>673</v>
      </c>
    </row>
    <row r="25" customFormat="false" ht="15" hidden="false" customHeight="false" outlineLevel="0" collapsed="false">
      <c r="A25" s="62" t="s">
        <v>178</v>
      </c>
      <c r="B25" s="95" t="s">
        <v>123</v>
      </c>
      <c r="C25" s="95" t="s">
        <v>123</v>
      </c>
      <c r="D25" s="96" t="n">
        <v>1</v>
      </c>
      <c r="E25" s="97" t="n">
        <f aca="false">INDEX(المكونات!$C$2:$C$500,MATCH($A25,المكونات!$A$2:$A$500,0))*D25</f>
        <v>25</v>
      </c>
      <c r="F25" s="98" t="n">
        <v>1</v>
      </c>
      <c r="G25" s="98" t="s">
        <v>671</v>
      </c>
      <c r="H25" s="95" t="str">
        <f aca="false">IF(G25="نعم",COUNTIF($G$2:G25,"نعم"),"")</f>
        <v/>
      </c>
      <c r="I25" s="95" t="s">
        <v>673</v>
      </c>
    </row>
    <row r="26" customFormat="false" ht="15" hidden="false" customHeight="false" outlineLevel="0" collapsed="false">
      <c r="A26" s="62" t="s">
        <v>180</v>
      </c>
      <c r="B26" s="95" t="s">
        <v>181</v>
      </c>
      <c r="C26" s="95" t="s">
        <v>181</v>
      </c>
      <c r="D26" s="96" t="n">
        <v>1</v>
      </c>
      <c r="E26" s="97" t="n">
        <f aca="false">INDEX(المكونات!$C$2:$C$500,MATCH($A26,المكونات!$A$2:$A$500,0))*D26</f>
        <v>100</v>
      </c>
      <c r="F26" s="98" t="n">
        <v>1</v>
      </c>
      <c r="G26" s="98" t="s">
        <v>671</v>
      </c>
      <c r="H26" s="95" t="str">
        <f aca="false">IF(G26="نعم",COUNTIF($G$2:G26,"نعم"),"")</f>
        <v/>
      </c>
      <c r="I26" s="95" t="s">
        <v>673</v>
      </c>
    </row>
    <row r="27" customFormat="false" ht="15" hidden="false" customHeight="false" outlineLevel="0" collapsed="false">
      <c r="A27" s="62" t="s">
        <v>183</v>
      </c>
      <c r="B27" s="95" t="s">
        <v>181</v>
      </c>
      <c r="C27" s="95" t="s">
        <v>181</v>
      </c>
      <c r="D27" s="96" t="n">
        <v>1</v>
      </c>
      <c r="E27" s="97" t="n">
        <f aca="false">INDEX(المكونات!$C$2:$C$500,MATCH($A27,المكونات!$A$2:$A$500,0))*D27</f>
        <v>104.58</v>
      </c>
      <c r="F27" s="98" t="n">
        <v>1</v>
      </c>
      <c r="G27" s="98" t="s">
        <v>671</v>
      </c>
      <c r="H27" s="95" t="str">
        <f aca="false">IF(G27="نعم",COUNTIF($G$2:G27,"نعم"),"")</f>
        <v/>
      </c>
      <c r="I27" s="95" t="s">
        <v>673</v>
      </c>
    </row>
    <row r="28" customFormat="false" ht="15" hidden="false" customHeight="false" outlineLevel="0" collapsed="false">
      <c r="A28" s="62" t="s">
        <v>185</v>
      </c>
      <c r="B28" s="95" t="s">
        <v>181</v>
      </c>
      <c r="C28" s="95" t="s">
        <v>181</v>
      </c>
      <c r="D28" s="96" t="n">
        <v>1</v>
      </c>
      <c r="E28" s="97" t="n">
        <f aca="false">INDEX(المكونات!$C$2:$C$500,MATCH($A28,المكونات!$A$2:$A$500,0))*D28</f>
        <v>100</v>
      </c>
      <c r="F28" s="98" t="n">
        <v>1</v>
      </c>
      <c r="G28" s="98" t="s">
        <v>671</v>
      </c>
      <c r="H28" s="95" t="str">
        <f aca="false">IF(G28="نعم",COUNTIF($G$2:G28,"نعم"),"")</f>
        <v/>
      </c>
      <c r="I28" s="95" t="s">
        <v>673</v>
      </c>
    </row>
    <row r="29" customFormat="false" ht="15" hidden="false" customHeight="false" outlineLevel="0" collapsed="false">
      <c r="A29" s="62" t="s">
        <v>186</v>
      </c>
      <c r="B29" s="95" t="s">
        <v>181</v>
      </c>
      <c r="C29" s="95" t="s">
        <v>181</v>
      </c>
      <c r="D29" s="96" t="n">
        <v>1</v>
      </c>
      <c r="E29" s="97" t="n">
        <f aca="false">INDEX(المكونات!$C$2:$C$500,MATCH($A29,المكونات!$A$2:$A$500,0))*D29</f>
        <v>41</v>
      </c>
      <c r="F29" s="98" t="n">
        <v>1</v>
      </c>
      <c r="G29" s="98" t="s">
        <v>674</v>
      </c>
      <c r="H29" s="95" t="n">
        <f aca="false">IF(G29="نعم",COUNTIF($G$2:G29,"نعم"),"")</f>
        <v>1</v>
      </c>
      <c r="I29" s="95" t="s">
        <v>675</v>
      </c>
    </row>
    <row r="30" customFormat="false" ht="15" hidden="false" customHeight="false" outlineLevel="0" collapsed="false">
      <c r="A30" s="62" t="s">
        <v>188</v>
      </c>
      <c r="B30" s="95" t="s">
        <v>181</v>
      </c>
      <c r="C30" s="95" t="s">
        <v>181</v>
      </c>
      <c r="D30" s="96" t="n">
        <v>1</v>
      </c>
      <c r="E30" s="97" t="n">
        <f aca="false">INDEX(المكونات!$C$2:$C$500,MATCH($A30,المكونات!$A$2:$A$500,0))*D30</f>
        <v>25</v>
      </c>
      <c r="F30" s="98" t="n">
        <v>1</v>
      </c>
      <c r="G30" s="98" t="s">
        <v>674</v>
      </c>
      <c r="H30" s="95" t="n">
        <f aca="false">IF(G30="نعم",COUNTIF($G$2:G30,"نعم"),"")</f>
        <v>2</v>
      </c>
      <c r="I30" s="95" t="s">
        <v>675</v>
      </c>
    </row>
    <row r="31" customFormat="false" ht="15" hidden="false" customHeight="false" outlineLevel="0" collapsed="false">
      <c r="A31" s="62" t="s">
        <v>190</v>
      </c>
      <c r="B31" s="95" t="s">
        <v>181</v>
      </c>
      <c r="C31" s="95" t="s">
        <v>181</v>
      </c>
      <c r="D31" s="96" t="n">
        <v>1</v>
      </c>
      <c r="E31" s="97" t="n">
        <f aca="false">INDEX(المكونات!$C$2:$C$500,MATCH($A31,المكونات!$A$2:$A$500,0))*D31</f>
        <v>18</v>
      </c>
      <c r="F31" s="98" t="n">
        <v>1</v>
      </c>
      <c r="G31" s="98" t="s">
        <v>671</v>
      </c>
      <c r="H31" s="95" t="str">
        <f aca="false">IF(G31="نعم",COUNTIF($G$2:G31,"نعم"),"")</f>
        <v/>
      </c>
      <c r="I31" s="95" t="s">
        <v>673</v>
      </c>
    </row>
    <row r="32" customFormat="false" ht="15" hidden="false" customHeight="false" outlineLevel="0" collapsed="false">
      <c r="A32" s="62" t="s">
        <v>192</v>
      </c>
      <c r="B32" s="95" t="s">
        <v>196</v>
      </c>
      <c r="C32" s="95" t="s">
        <v>193</v>
      </c>
      <c r="D32" s="96" t="n">
        <v>200</v>
      </c>
      <c r="E32" s="97" t="n">
        <f aca="false">INDEX(المكونات!$C$2:$C$500,MATCH($A32,المكونات!$A$2:$A$500,0))*D32</f>
        <v>730</v>
      </c>
      <c r="F32" s="98" t="n">
        <v>1</v>
      </c>
      <c r="G32" s="98" t="s">
        <v>671</v>
      </c>
      <c r="H32" s="95" t="str">
        <f aca="false">IF(G32="نعم",COUNTIF($G$2:G32,"نعم"),"")</f>
        <v/>
      </c>
      <c r="I32" s="95" t="s">
        <v>672</v>
      </c>
    </row>
    <row r="33" customFormat="false" ht="15" hidden="false" customHeight="false" outlineLevel="0" collapsed="false">
      <c r="A33" s="62" t="s">
        <v>202</v>
      </c>
      <c r="B33" s="95" t="s">
        <v>123</v>
      </c>
      <c r="C33" s="95" t="s">
        <v>123</v>
      </c>
      <c r="D33" s="96" t="n">
        <v>1</v>
      </c>
      <c r="E33" s="97" t="n">
        <f aca="false">INDEX(المكونات!$C$2:$C$500,MATCH($A33,المكونات!$A$2:$A$500,0))*D33</f>
        <v>17.1875</v>
      </c>
      <c r="F33" s="98" t="n">
        <v>1</v>
      </c>
      <c r="G33" s="98" t="s">
        <v>671</v>
      </c>
      <c r="H33" s="95" t="str">
        <f aca="false">IF(G33="نعم",COUNTIF($G$2:G33,"نعم"),"")</f>
        <v/>
      </c>
      <c r="I33" s="95" t="s">
        <v>673</v>
      </c>
    </row>
    <row r="34" customFormat="false" ht="15" hidden="false" customHeight="false" outlineLevel="0" collapsed="false">
      <c r="A34" s="62" t="s">
        <v>204</v>
      </c>
      <c r="B34" s="95" t="s">
        <v>205</v>
      </c>
      <c r="C34" s="95" t="s">
        <v>205</v>
      </c>
      <c r="D34" s="96" t="n">
        <v>1</v>
      </c>
      <c r="E34" s="97" t="n">
        <f aca="false">INDEX(المكونات!$C$2:$C$500,MATCH($A34,المكونات!$A$2:$A$500,0))*D34</f>
        <v>30</v>
      </c>
      <c r="F34" s="98" t="n">
        <v>1</v>
      </c>
      <c r="G34" s="98" t="s">
        <v>671</v>
      </c>
      <c r="H34" s="95" t="str">
        <f aca="false">IF(G34="نعم",COUNTIF($G$2:G34,"نعم"),"")</f>
        <v/>
      </c>
      <c r="I34" s="95" t="s">
        <v>673</v>
      </c>
    </row>
    <row r="35" customFormat="false" ht="15" hidden="false" customHeight="false" outlineLevel="0" collapsed="false">
      <c r="A35" s="62" t="s">
        <v>207</v>
      </c>
      <c r="B35" s="95" t="s">
        <v>181</v>
      </c>
      <c r="C35" s="95" t="s">
        <v>181</v>
      </c>
      <c r="D35" s="96" t="n">
        <v>1</v>
      </c>
      <c r="E35" s="97" t="n">
        <f aca="false">INDEX(المكونات!$C$2:$C$500,MATCH($A35,المكونات!$A$2:$A$500,0))*D35</f>
        <v>105</v>
      </c>
      <c r="F35" s="98" t="n">
        <v>1</v>
      </c>
      <c r="G35" s="98" t="s">
        <v>671</v>
      </c>
      <c r="H35" s="95" t="str">
        <f aca="false">IF(G35="نعم",COUNTIF($G$2:G35,"نعم"),"")</f>
        <v/>
      </c>
      <c r="I35" s="95" t="s">
        <v>673</v>
      </c>
    </row>
    <row r="36" customFormat="false" ht="15" hidden="false" customHeight="false" outlineLevel="0" collapsed="false">
      <c r="A36" s="62" t="s">
        <v>211</v>
      </c>
      <c r="B36" s="95" t="s">
        <v>209</v>
      </c>
      <c r="C36" s="95" t="s">
        <v>212</v>
      </c>
      <c r="D36" s="96" t="n">
        <v>50</v>
      </c>
      <c r="E36" s="97" t="n">
        <f aca="false">INDEX(المكونات!$C$2:$C$500,MATCH($A36,المكونات!$A$2:$A$500,0))*D36</f>
        <v>9</v>
      </c>
      <c r="F36" s="98" t="n">
        <v>1</v>
      </c>
      <c r="G36" s="98" t="s">
        <v>671</v>
      </c>
      <c r="H36" s="95" t="str">
        <f aca="false">IF(G36="نعم",COUNTIF($G$2:G36,"نعم"),"")</f>
        <v/>
      </c>
      <c r="I36" s="95" t="s">
        <v>672</v>
      </c>
    </row>
    <row r="37" customFormat="false" ht="15" hidden="false" customHeight="false" outlineLevel="0" collapsed="false">
      <c r="A37" s="62" t="s">
        <v>214</v>
      </c>
      <c r="B37" s="95" t="s">
        <v>181</v>
      </c>
      <c r="C37" s="95" t="s">
        <v>181</v>
      </c>
      <c r="D37" s="96" t="n">
        <v>1</v>
      </c>
      <c r="E37" s="97" t="n">
        <f aca="false">INDEX(المكونات!$C$2:$C$500,MATCH($A37,المكونات!$A$2:$A$500,0))*D37</f>
        <v>200</v>
      </c>
      <c r="F37" s="98" t="n">
        <v>1</v>
      </c>
      <c r="G37" s="98" t="s">
        <v>671</v>
      </c>
      <c r="H37" s="95" t="str">
        <f aca="false">IF(G37="نعم",COUNTIF($G$2:G37,"نعم"),"")</f>
        <v/>
      </c>
      <c r="I37" s="95" t="s">
        <v>673</v>
      </c>
    </row>
    <row r="38" customFormat="false" ht="15" hidden="false" customHeight="false" outlineLevel="0" collapsed="false">
      <c r="A38" s="62" t="s">
        <v>217</v>
      </c>
      <c r="B38" s="95" t="s">
        <v>181</v>
      </c>
      <c r="C38" s="95" t="s">
        <v>181</v>
      </c>
      <c r="D38" s="96" t="n">
        <v>1</v>
      </c>
      <c r="E38" s="97" t="n">
        <f aca="false">INDEX(المكونات!$C$2:$C$500,MATCH($A38,المكونات!$A$2:$A$500,0))*D38</f>
        <v>30</v>
      </c>
      <c r="F38" s="98" t="n">
        <v>1</v>
      </c>
      <c r="G38" s="98" t="s">
        <v>671</v>
      </c>
      <c r="H38" s="95" t="str">
        <f aca="false">IF(G38="نعم",COUNTIF($G$2:G38,"نعم"),"")</f>
        <v/>
      </c>
      <c r="I38" s="95" t="s">
        <v>673</v>
      </c>
    </row>
    <row r="39" customFormat="false" ht="15" hidden="false" customHeight="false" outlineLevel="0" collapsed="false">
      <c r="A39" s="62" t="s">
        <v>218</v>
      </c>
      <c r="B39" s="95" t="s">
        <v>181</v>
      </c>
      <c r="C39" s="95" t="s">
        <v>181</v>
      </c>
      <c r="D39" s="96" t="n">
        <v>1</v>
      </c>
      <c r="E39" s="97" t="n">
        <f aca="false">INDEX(المكونات!$C$2:$C$500,MATCH($A39,المكونات!$A$2:$A$500,0))*D39</f>
        <v>20.3571</v>
      </c>
      <c r="F39" s="98" t="n">
        <v>1</v>
      </c>
      <c r="G39" s="98" t="s">
        <v>671</v>
      </c>
      <c r="H39" s="95" t="str">
        <f aca="false">IF(G39="نعم",COUNTIF($G$2:G39,"نعم"),"")</f>
        <v/>
      </c>
      <c r="I39" s="95" t="s">
        <v>673</v>
      </c>
    </row>
    <row r="40" customFormat="false" ht="15" hidden="false" customHeight="false" outlineLevel="0" collapsed="false">
      <c r="A40" s="62" t="s">
        <v>220</v>
      </c>
      <c r="B40" s="95" t="s">
        <v>181</v>
      </c>
      <c r="C40" s="95" t="s">
        <v>181</v>
      </c>
      <c r="D40" s="96" t="n">
        <v>1</v>
      </c>
      <c r="E40" s="97" t="n">
        <f aca="false">INDEX(المكونات!$C$2:$C$500,MATCH($A40,المكونات!$A$2:$A$500,0))*D40</f>
        <v>120</v>
      </c>
      <c r="F40" s="98" t="n">
        <v>1</v>
      </c>
      <c r="G40" s="98" t="s">
        <v>671</v>
      </c>
      <c r="H40" s="95" t="str">
        <f aca="false">IF(G40="نعم",COUNTIF($G$2:G40,"نعم"),"")</f>
        <v/>
      </c>
      <c r="I40" s="95" t="s">
        <v>673</v>
      </c>
    </row>
    <row r="41" customFormat="false" ht="15" hidden="false" customHeight="false" outlineLevel="0" collapsed="false">
      <c r="A41" s="62" t="s">
        <v>221</v>
      </c>
      <c r="B41" s="95" t="s">
        <v>181</v>
      </c>
      <c r="C41" s="95" t="s">
        <v>181</v>
      </c>
      <c r="D41" s="96" t="n">
        <v>1</v>
      </c>
      <c r="E41" s="97" t="n">
        <f aca="false">INDEX(المكونات!$C$2:$C$500,MATCH($A41,المكونات!$A$2:$A$500,0))*D41</f>
        <v>220</v>
      </c>
      <c r="F41" s="98" t="n">
        <v>1</v>
      </c>
      <c r="G41" s="98" t="s">
        <v>671</v>
      </c>
      <c r="H41" s="95" t="str">
        <f aca="false">IF(G41="نعم",COUNTIF($G$2:G41,"نعم"),"")</f>
        <v/>
      </c>
      <c r="I41" s="95" t="s">
        <v>673</v>
      </c>
    </row>
    <row r="42" customFormat="false" ht="15" hidden="false" customHeight="false" outlineLevel="0" collapsed="false">
      <c r="A42" s="62" t="s">
        <v>227</v>
      </c>
      <c r="B42" s="95" t="s">
        <v>181</v>
      </c>
      <c r="C42" s="95" t="s">
        <v>181</v>
      </c>
      <c r="D42" s="96" t="n">
        <v>1</v>
      </c>
      <c r="E42" s="97" t="n">
        <f aca="false">INDEX(المكونات!$C$2:$C$500,MATCH($A42,المكونات!$A$2:$A$500,0))*D42</f>
        <v>95</v>
      </c>
      <c r="F42" s="98" t="n">
        <v>1</v>
      </c>
      <c r="G42" s="98" t="s">
        <v>671</v>
      </c>
      <c r="H42" s="95" t="str">
        <f aca="false">IF(G42="نعم",COUNTIF($G$2:G42,"نعم"),"")</f>
        <v/>
      </c>
      <c r="I42" s="95" t="s">
        <v>673</v>
      </c>
    </row>
    <row r="43" customFormat="false" ht="15" hidden="false" customHeight="false" outlineLevel="0" collapsed="false">
      <c r="A43" s="62" t="s">
        <v>229</v>
      </c>
      <c r="B43" s="95" t="s">
        <v>181</v>
      </c>
      <c r="C43" s="95" t="s">
        <v>181</v>
      </c>
      <c r="D43" s="96" t="n">
        <v>1</v>
      </c>
      <c r="E43" s="97" t="n">
        <f aca="false">INDEX(المكونات!$C$2:$C$500,MATCH($A43,المكونات!$A$2:$A$500,0))*D43</f>
        <v>30.6593</v>
      </c>
      <c r="F43" s="98" t="n">
        <v>1</v>
      </c>
      <c r="G43" s="98" t="s">
        <v>671</v>
      </c>
      <c r="H43" s="95" t="str">
        <f aca="false">IF(G43="نعم",COUNTIF($G$2:G43,"نعم"),"")</f>
        <v/>
      </c>
      <c r="I43" s="95" t="s">
        <v>673</v>
      </c>
    </row>
    <row r="44" customFormat="false" ht="15" hidden="false" customHeight="false" outlineLevel="0" collapsed="false">
      <c r="A44" s="62" t="s">
        <v>232</v>
      </c>
      <c r="B44" s="95" t="s">
        <v>181</v>
      </c>
      <c r="C44" s="95" t="s">
        <v>181</v>
      </c>
      <c r="D44" s="96" t="n">
        <v>1</v>
      </c>
      <c r="E44" s="97" t="n">
        <f aca="false">INDEX(المكونات!$C$2:$C$500,MATCH($A44,المكونات!$A$2:$A$500,0))*D44</f>
        <v>380</v>
      </c>
      <c r="F44" s="98" t="n">
        <v>1</v>
      </c>
      <c r="G44" s="98" t="s">
        <v>671</v>
      </c>
      <c r="H44" s="95" t="str">
        <f aca="false">IF(G44="نعم",COUNTIF($G$2:G44,"نعم"),"")</f>
        <v/>
      </c>
      <c r="I44" s="95" t="s">
        <v>673</v>
      </c>
    </row>
    <row r="45" customFormat="false" ht="15" hidden="false" customHeight="false" outlineLevel="0" collapsed="false">
      <c r="A45" s="62" t="s">
        <v>234</v>
      </c>
      <c r="B45" s="95" t="s">
        <v>196</v>
      </c>
      <c r="C45" s="95" t="s">
        <v>235</v>
      </c>
      <c r="D45" s="96" t="n">
        <v>200</v>
      </c>
      <c r="E45" s="97" t="n">
        <f aca="false">INDEX(المكونات!$C$2:$C$500,MATCH($A45,المكونات!$A$2:$A$500,0))*D45</f>
        <v>503.78</v>
      </c>
      <c r="F45" s="98" t="n">
        <v>1</v>
      </c>
      <c r="G45" s="98" t="s">
        <v>671</v>
      </c>
      <c r="H45" s="95" t="str">
        <f aca="false">IF(G45="نعم",COUNTIF($G$2:G45,"نعم"),"")</f>
        <v/>
      </c>
      <c r="I45" s="95" t="s">
        <v>672</v>
      </c>
    </row>
    <row r="46" customFormat="false" ht="15" hidden="false" customHeight="false" outlineLevel="0" collapsed="false">
      <c r="A46" s="62" t="s">
        <v>239</v>
      </c>
      <c r="B46" s="95" t="s">
        <v>181</v>
      </c>
      <c r="C46" s="95" t="s">
        <v>123</v>
      </c>
      <c r="D46" s="96" t="n">
        <v>200</v>
      </c>
      <c r="E46" s="97" t="n">
        <f aca="false">INDEX(المكونات!$C$2:$C$500,MATCH($A46,المكونات!$A$2:$A$500,0))*D46</f>
        <v>135</v>
      </c>
      <c r="F46" s="98" t="n">
        <v>1</v>
      </c>
      <c r="G46" s="98" t="s">
        <v>671</v>
      </c>
      <c r="H46" s="95" t="str">
        <f aca="false">IF(G46="نعم",COUNTIF($G$2:G46,"نعم"),"")</f>
        <v/>
      </c>
      <c r="I46" s="95" t="s">
        <v>672</v>
      </c>
    </row>
    <row r="47" customFormat="false" ht="15" hidden="false" customHeight="false" outlineLevel="0" collapsed="false">
      <c r="A47" s="62" t="s">
        <v>243</v>
      </c>
      <c r="B47" s="95" t="s">
        <v>123</v>
      </c>
      <c r="C47" s="95" t="s">
        <v>123</v>
      </c>
      <c r="D47" s="96" t="n">
        <v>1</v>
      </c>
      <c r="E47" s="97" t="n">
        <f aca="false">INDEX(المكونات!$C$2:$C$500,MATCH($A47,المكونات!$A$2:$A$500,0))*D47</f>
        <v>0.3</v>
      </c>
      <c r="F47" s="98" t="n">
        <v>1</v>
      </c>
      <c r="G47" s="98" t="s">
        <v>671</v>
      </c>
      <c r="H47" s="95" t="str">
        <f aca="false">IF(G47="نعم",COUNTIF($G$2:G47,"نعم"),"")</f>
        <v/>
      </c>
      <c r="I47" s="95" t="s">
        <v>672</v>
      </c>
    </row>
    <row r="48" customFormat="false" ht="15" hidden="false" customHeight="false" outlineLevel="0" collapsed="false">
      <c r="A48" s="62" t="s">
        <v>245</v>
      </c>
      <c r="B48" s="95" t="s">
        <v>181</v>
      </c>
      <c r="C48" s="95" t="s">
        <v>181</v>
      </c>
      <c r="D48" s="96" t="n">
        <v>1</v>
      </c>
      <c r="E48" s="97" t="n">
        <f aca="false">INDEX(المكونات!$C$2:$C$500,MATCH($A48,المكونات!$A$2:$A$500,0))*D48</f>
        <v>127.6582</v>
      </c>
      <c r="F48" s="98" t="n">
        <v>1</v>
      </c>
      <c r="G48" s="98" t="s">
        <v>671</v>
      </c>
      <c r="H48" s="95" t="str">
        <f aca="false">IF(G48="نعم",COUNTIF($G$2:G48,"نعم"),"")</f>
        <v/>
      </c>
      <c r="I48" s="95" t="s">
        <v>673</v>
      </c>
    </row>
    <row r="49" customFormat="false" ht="15" hidden="false" customHeight="false" outlineLevel="0" collapsed="false">
      <c r="A49" s="62" t="s">
        <v>247</v>
      </c>
      <c r="B49" s="95" t="s">
        <v>181</v>
      </c>
      <c r="C49" s="95" t="s">
        <v>181</v>
      </c>
      <c r="D49" s="96" t="n">
        <v>1</v>
      </c>
      <c r="E49" s="97" t="n">
        <f aca="false">INDEX(المكونات!$C$2:$C$500,MATCH($A49,المكونات!$A$2:$A$500,0))*D49</f>
        <v>100</v>
      </c>
      <c r="F49" s="98" t="n">
        <v>1</v>
      </c>
      <c r="G49" s="98" t="s">
        <v>671</v>
      </c>
      <c r="H49" s="95" t="str">
        <f aca="false">IF(G49="نعم",COUNTIF($G$2:G49,"نعم"),"")</f>
        <v/>
      </c>
      <c r="I49" s="95" t="s">
        <v>673</v>
      </c>
    </row>
    <row r="50" customFormat="false" ht="15" hidden="false" customHeight="false" outlineLevel="0" collapsed="false">
      <c r="A50" s="62" t="s">
        <v>250</v>
      </c>
      <c r="B50" s="95" t="s">
        <v>181</v>
      </c>
      <c r="C50" s="95" t="s">
        <v>181</v>
      </c>
      <c r="D50" s="96" t="n">
        <v>1</v>
      </c>
      <c r="E50" s="97" t="n">
        <f aca="false">INDEX(المكونات!$C$2:$C$500,MATCH($A50,المكونات!$A$2:$A$500,0))*D50</f>
        <v>32</v>
      </c>
      <c r="F50" s="98" t="n">
        <v>1</v>
      </c>
      <c r="G50" s="98" t="s">
        <v>674</v>
      </c>
      <c r="H50" s="95" t="n">
        <f aca="false">IF(G50="نعم",COUNTIF($G$2:G50,"نعم"),"")</f>
        <v>3</v>
      </c>
      <c r="I50" s="95" t="s">
        <v>675</v>
      </c>
    </row>
    <row r="51" customFormat="false" ht="15" hidden="false" customHeight="false" outlineLevel="0" collapsed="false">
      <c r="A51" s="62" t="s">
        <v>252</v>
      </c>
      <c r="B51" s="95" t="s">
        <v>181</v>
      </c>
      <c r="C51" s="95" t="s">
        <v>181</v>
      </c>
      <c r="D51" s="96" t="n">
        <v>1</v>
      </c>
      <c r="E51" s="97" t="n">
        <f aca="false">INDEX(المكونات!$C$2:$C$500,MATCH($A51,المكونات!$A$2:$A$500,0))*D51</f>
        <v>70</v>
      </c>
      <c r="F51" s="98" t="n">
        <v>1</v>
      </c>
      <c r="G51" s="98" t="s">
        <v>671</v>
      </c>
      <c r="H51" s="95" t="str">
        <f aca="false">IF(G51="نعم",COUNTIF($G$2:G51,"نعم"),"")</f>
        <v/>
      </c>
      <c r="I51" s="95" t="s">
        <v>673</v>
      </c>
    </row>
    <row r="52" customFormat="false" ht="15" hidden="false" customHeight="false" outlineLevel="0" collapsed="false">
      <c r="A52" s="62" t="s">
        <v>254</v>
      </c>
      <c r="B52" s="95" t="s">
        <v>181</v>
      </c>
      <c r="C52" s="95" t="s">
        <v>181</v>
      </c>
      <c r="D52" s="96" t="n">
        <v>1</v>
      </c>
      <c r="E52" s="97" t="n">
        <f aca="false">INDEX(المكونات!$C$2:$C$500,MATCH($A52,المكونات!$A$2:$A$500,0))*D52</f>
        <v>140</v>
      </c>
      <c r="F52" s="98" t="n">
        <v>1</v>
      </c>
      <c r="G52" s="98" t="s">
        <v>671</v>
      </c>
      <c r="H52" s="95" t="str">
        <f aca="false">IF(G52="نعم",COUNTIF($G$2:G52,"نعم"),"")</f>
        <v/>
      </c>
      <c r="I52" s="95" t="s">
        <v>673</v>
      </c>
    </row>
    <row r="53" customFormat="false" ht="15" hidden="false" customHeight="false" outlineLevel="0" collapsed="false">
      <c r="A53" s="62" t="s">
        <v>256</v>
      </c>
      <c r="B53" s="95" t="s">
        <v>181</v>
      </c>
      <c r="C53" s="95" t="s">
        <v>181</v>
      </c>
      <c r="D53" s="96" t="n">
        <v>1</v>
      </c>
      <c r="E53" s="97" t="n">
        <f aca="false">INDEX(المكونات!$C$2:$C$500,MATCH($A53,المكونات!$A$2:$A$500,0))*D53</f>
        <v>105</v>
      </c>
      <c r="F53" s="98" t="n">
        <v>1</v>
      </c>
      <c r="G53" s="98" t="s">
        <v>671</v>
      </c>
      <c r="H53" s="95" t="str">
        <f aca="false">IF(G53="نعم",COUNTIF($G$2:G53,"نعم"),"")</f>
        <v/>
      </c>
      <c r="I53" s="95" t="s">
        <v>673</v>
      </c>
    </row>
    <row r="54" customFormat="false" ht="15" hidden="false" customHeight="false" outlineLevel="0" collapsed="false">
      <c r="A54" s="62" t="s">
        <v>258</v>
      </c>
      <c r="B54" s="95" t="s">
        <v>181</v>
      </c>
      <c r="C54" s="95" t="s">
        <v>181</v>
      </c>
      <c r="D54" s="96" t="n">
        <v>1</v>
      </c>
      <c r="E54" s="97" t="n">
        <f aca="false">INDEX(المكونات!$C$2:$C$500,MATCH($A54,المكونات!$A$2:$A$500,0))*D54</f>
        <v>140</v>
      </c>
      <c r="F54" s="98" t="n">
        <v>1</v>
      </c>
      <c r="G54" s="98" t="s">
        <v>671</v>
      </c>
      <c r="H54" s="95" t="str">
        <f aca="false">IF(G54="نعم",COUNTIF($G$2:G54,"نعم"),"")</f>
        <v/>
      </c>
      <c r="I54" s="95" t="s">
        <v>673</v>
      </c>
    </row>
    <row r="55" customFormat="false" ht="15" hidden="false" customHeight="false" outlineLevel="0" collapsed="false">
      <c r="A55" s="62" t="s">
        <v>260</v>
      </c>
      <c r="B55" s="95" t="s">
        <v>181</v>
      </c>
      <c r="C55" s="95" t="s">
        <v>181</v>
      </c>
      <c r="D55" s="96" t="n">
        <v>1</v>
      </c>
      <c r="E55" s="97" t="n">
        <f aca="false">INDEX(المكونات!$C$2:$C$500,MATCH($A55,المكونات!$A$2:$A$500,0))*D55</f>
        <v>21</v>
      </c>
      <c r="F55" s="98" t="n">
        <v>1</v>
      </c>
      <c r="G55" s="98" t="s">
        <v>671</v>
      </c>
      <c r="H55" s="95" t="str">
        <f aca="false">IF(G55="نعم",COUNTIF($G$2:G55,"نعم"),"")</f>
        <v/>
      </c>
      <c r="I55" s="95" t="s">
        <v>673</v>
      </c>
    </row>
    <row r="56" customFormat="false" ht="15" hidden="false" customHeight="false" outlineLevel="0" collapsed="false">
      <c r="A56" s="62" t="s">
        <v>262</v>
      </c>
      <c r="B56" s="95" t="s">
        <v>181</v>
      </c>
      <c r="C56" s="95" t="s">
        <v>181</v>
      </c>
      <c r="D56" s="96" t="n">
        <v>1</v>
      </c>
      <c r="E56" s="97" t="n">
        <f aca="false">INDEX(المكونات!$C$2:$C$500,MATCH($A56,المكونات!$A$2:$A$500,0))*D56</f>
        <v>22</v>
      </c>
      <c r="F56" s="98" t="n">
        <v>1</v>
      </c>
      <c r="G56" s="98" t="s">
        <v>674</v>
      </c>
      <c r="H56" s="95" t="n">
        <f aca="false">IF(G56="نعم",COUNTIF($G$2:G56,"نعم"),"")</f>
        <v>4</v>
      </c>
      <c r="I56" s="95" t="s">
        <v>675</v>
      </c>
    </row>
    <row r="57" customFormat="false" ht="15" hidden="false" customHeight="false" outlineLevel="0" collapsed="false">
      <c r="A57" s="62" t="s">
        <v>264</v>
      </c>
      <c r="B57" s="95" t="s">
        <v>123</v>
      </c>
      <c r="C57" s="95" t="s">
        <v>123</v>
      </c>
      <c r="D57" s="96" t="n">
        <v>1</v>
      </c>
      <c r="E57" s="97" t="n">
        <f aca="false">INDEX(المكونات!$C$2:$C$500,MATCH($A57,المكونات!$A$2:$A$500,0))*D57</f>
        <v>4</v>
      </c>
      <c r="F57" s="98" t="n">
        <v>1</v>
      </c>
      <c r="G57" s="98" t="s">
        <v>674</v>
      </c>
      <c r="H57" s="95" t="n">
        <f aca="false">IF(G57="نعم",COUNTIF($G$2:G57,"نعم"),"")</f>
        <v>5</v>
      </c>
      <c r="I57" s="95" t="s">
        <v>675</v>
      </c>
    </row>
    <row r="58" customFormat="false" ht="15" hidden="false" customHeight="false" outlineLevel="0" collapsed="false">
      <c r="A58" s="62" t="s">
        <v>266</v>
      </c>
      <c r="B58" s="95" t="s">
        <v>181</v>
      </c>
      <c r="C58" s="95" t="s">
        <v>181</v>
      </c>
      <c r="D58" s="96" t="n">
        <v>1</v>
      </c>
      <c r="E58" s="97" t="n">
        <f aca="false">INDEX(المكونات!$C$2:$C$500,MATCH($A58,المكونات!$A$2:$A$500,0))*D58</f>
        <v>140</v>
      </c>
      <c r="F58" s="98" t="n">
        <v>1</v>
      </c>
      <c r="G58" s="98" t="s">
        <v>671</v>
      </c>
      <c r="H58" s="95" t="str">
        <f aca="false">IF(G58="نعم",COUNTIF($G$2:G58,"نعم"),"")</f>
        <v/>
      </c>
      <c r="I58" s="95" t="s">
        <v>673</v>
      </c>
    </row>
    <row r="59" customFormat="false" ht="15" hidden="false" customHeight="false" outlineLevel="0" collapsed="false">
      <c r="A59" s="62" t="s">
        <v>268</v>
      </c>
      <c r="B59" s="95" t="s">
        <v>123</v>
      </c>
      <c r="C59" s="95" t="s">
        <v>123</v>
      </c>
      <c r="D59" s="96" t="n">
        <v>1</v>
      </c>
      <c r="E59" s="97" t="n">
        <f aca="false">INDEX(المكونات!$C$2:$C$500,MATCH($A59,المكونات!$A$2:$A$500,0))*D59</f>
        <v>5.5</v>
      </c>
      <c r="F59" s="98" t="n">
        <v>1</v>
      </c>
      <c r="G59" s="98" t="s">
        <v>671</v>
      </c>
      <c r="H59" s="95" t="str">
        <f aca="false">IF(G59="نعم",COUNTIF($G$2:G59,"نعم"),"")</f>
        <v/>
      </c>
      <c r="I59" s="95" t="s">
        <v>672</v>
      </c>
    </row>
    <row r="60" customFormat="false" ht="15" hidden="false" customHeight="false" outlineLevel="0" collapsed="false">
      <c r="A60" s="62" t="s">
        <v>270</v>
      </c>
      <c r="B60" s="95" t="s">
        <v>123</v>
      </c>
      <c r="C60" s="95" t="s">
        <v>123</v>
      </c>
      <c r="D60" s="96" t="n">
        <v>1</v>
      </c>
      <c r="E60" s="97" t="n">
        <f aca="false">INDEX(المكونات!$C$2:$C$500,MATCH($A60,المكونات!$A$2:$A$500,0))*D60</f>
        <v>4.5</v>
      </c>
      <c r="F60" s="98" t="n">
        <v>1</v>
      </c>
      <c r="G60" s="98" t="s">
        <v>671</v>
      </c>
      <c r="H60" s="95" t="str">
        <f aca="false">IF(G60="نعم",COUNTIF($G$2:G60,"نعم"),"")</f>
        <v/>
      </c>
      <c r="I60" s="95" t="s">
        <v>672</v>
      </c>
    </row>
    <row r="61" customFormat="false" ht="15" hidden="false" customHeight="false" outlineLevel="0" collapsed="false">
      <c r="A61" s="62" t="s">
        <v>274</v>
      </c>
      <c r="B61" s="95" t="s">
        <v>123</v>
      </c>
      <c r="C61" s="95" t="s">
        <v>123</v>
      </c>
      <c r="D61" s="96" t="n">
        <v>1</v>
      </c>
      <c r="E61" s="97" t="n">
        <f aca="false">INDEX(المكونات!$C$2:$C$500,MATCH($A61,المكونات!$A$2:$A$500,0))*D61</f>
        <v>1.7</v>
      </c>
      <c r="F61" s="98" t="n">
        <v>1</v>
      </c>
      <c r="G61" s="98" t="s">
        <v>671</v>
      </c>
      <c r="H61" s="95" t="str">
        <f aca="false">IF(G61="نعم",COUNTIF($G$2:G61,"نعم"),"")</f>
        <v/>
      </c>
      <c r="I61" s="95" t="s">
        <v>672</v>
      </c>
    </row>
    <row r="62" customFormat="false" ht="15" hidden="false" customHeight="false" outlineLevel="0" collapsed="false">
      <c r="A62" s="62" t="s">
        <v>276</v>
      </c>
      <c r="B62" s="95" t="s">
        <v>123</v>
      </c>
      <c r="C62" s="95" t="s">
        <v>123</v>
      </c>
      <c r="D62" s="96" t="n">
        <v>1</v>
      </c>
      <c r="E62" s="97" t="n">
        <f aca="false">INDEX(المكونات!$C$2:$C$500,MATCH($A62,المكونات!$A$2:$A$500,0))*D62</f>
        <v>2</v>
      </c>
      <c r="F62" s="98" t="n">
        <v>1</v>
      </c>
      <c r="G62" s="98" t="s">
        <v>671</v>
      </c>
      <c r="H62" s="95" t="str">
        <f aca="false">IF(G62="نعم",COUNTIF($G$2:G62,"نعم"),"")</f>
        <v/>
      </c>
      <c r="I62" s="95" t="s">
        <v>672</v>
      </c>
    </row>
    <row r="63" customFormat="false" ht="15" hidden="false" customHeight="false" outlineLevel="0" collapsed="false">
      <c r="A63" s="62" t="s">
        <v>278</v>
      </c>
      <c r="B63" s="95" t="s">
        <v>123</v>
      </c>
      <c r="C63" s="95" t="s">
        <v>123</v>
      </c>
      <c r="D63" s="96" t="n">
        <v>1</v>
      </c>
      <c r="E63" s="97" t="n">
        <f aca="false">INDEX(المكونات!$C$2:$C$500,MATCH($A63,المكونات!$A$2:$A$500,0))*D63</f>
        <v>3.1</v>
      </c>
      <c r="F63" s="98" t="n">
        <v>1</v>
      </c>
      <c r="G63" s="98" t="s">
        <v>671</v>
      </c>
      <c r="H63" s="95" t="str">
        <f aca="false">IF(G63="نعم",COUNTIF($G$2:G63,"نعم"),"")</f>
        <v/>
      </c>
      <c r="I63" s="95" t="s">
        <v>672</v>
      </c>
    </row>
    <row r="64" customFormat="false" ht="15" hidden="false" customHeight="false" outlineLevel="0" collapsed="false">
      <c r="A64" s="62" t="s">
        <v>280</v>
      </c>
      <c r="B64" s="95" t="s">
        <v>123</v>
      </c>
      <c r="C64" s="95" t="s">
        <v>123</v>
      </c>
      <c r="D64" s="96" t="n">
        <v>1</v>
      </c>
      <c r="E64" s="97" t="n">
        <f aca="false">INDEX(المكونات!$C$2:$C$500,MATCH($A64,المكونات!$A$2:$A$500,0))*D64</f>
        <v>42.03</v>
      </c>
      <c r="F64" s="98" t="n">
        <v>1</v>
      </c>
      <c r="G64" s="98" t="s">
        <v>671</v>
      </c>
      <c r="H64" s="95" t="str">
        <f aca="false">IF(G64="نعم",COUNTIF($G$2:G64,"نعم"),"")</f>
        <v/>
      </c>
      <c r="I64" s="95" t="s">
        <v>672</v>
      </c>
    </row>
    <row r="65" customFormat="false" ht="15" hidden="false" customHeight="false" outlineLevel="0" collapsed="false">
      <c r="A65" s="62" t="s">
        <v>282</v>
      </c>
      <c r="B65" s="95" t="s">
        <v>181</v>
      </c>
      <c r="C65" s="95" t="s">
        <v>181</v>
      </c>
      <c r="D65" s="96" t="n">
        <v>1</v>
      </c>
      <c r="E65" s="97" t="n">
        <f aca="false">INDEX(المكونات!$C$2:$C$500,MATCH($A65,المكونات!$A$2:$A$500,0))*D65</f>
        <v>150</v>
      </c>
      <c r="F65" s="98" t="n">
        <v>1</v>
      </c>
      <c r="G65" s="98" t="s">
        <v>671</v>
      </c>
      <c r="H65" s="95" t="str">
        <f aca="false">IF(G65="نعم",COUNTIF($G$2:G65,"نعم"),"")</f>
        <v/>
      </c>
      <c r="I65" s="95" t="s">
        <v>673</v>
      </c>
    </row>
    <row r="66" customFormat="false" ht="15" hidden="false" customHeight="false" outlineLevel="0" collapsed="false">
      <c r="A66" s="62" t="s">
        <v>284</v>
      </c>
      <c r="B66" s="95" t="s">
        <v>181</v>
      </c>
      <c r="C66" s="95" t="s">
        <v>181</v>
      </c>
      <c r="D66" s="96" t="n">
        <v>1</v>
      </c>
      <c r="E66" s="97" t="n">
        <f aca="false">INDEX(المكونات!$C$2:$C$500,MATCH($A66,المكونات!$A$2:$A$500,0))*D66</f>
        <v>27</v>
      </c>
      <c r="F66" s="98" t="n">
        <v>1</v>
      </c>
      <c r="G66" s="98" t="s">
        <v>671</v>
      </c>
      <c r="H66" s="95" t="str">
        <f aca="false">IF(G66="نعم",COUNTIF($G$2:G66,"نعم"),"")</f>
        <v/>
      </c>
      <c r="I66" s="95" t="s">
        <v>673</v>
      </c>
    </row>
    <row r="67" customFormat="false" ht="15" hidden="false" customHeight="false" outlineLevel="0" collapsed="false">
      <c r="A67" s="62" t="s">
        <v>288</v>
      </c>
      <c r="B67" s="95" t="s">
        <v>123</v>
      </c>
      <c r="C67" s="95" t="s">
        <v>123</v>
      </c>
      <c r="D67" s="96" t="n">
        <v>1</v>
      </c>
      <c r="E67" s="97" t="n">
        <f aca="false">INDEX(المكونات!$C$2:$C$500,MATCH($A67,المكونات!$A$2:$A$500,0))*D67</f>
        <v>7</v>
      </c>
      <c r="F67" s="98" t="n">
        <v>1</v>
      </c>
      <c r="G67" s="98" t="s">
        <v>671</v>
      </c>
      <c r="H67" s="95" t="str">
        <f aca="false">IF(G67="نعم",COUNTIF($G$2:G67,"نعم"),"")</f>
        <v/>
      </c>
      <c r="I67" s="95" t="s">
        <v>673</v>
      </c>
    </row>
    <row r="68" customFormat="false" ht="15" hidden="false" customHeight="false" outlineLevel="0" collapsed="false">
      <c r="A68" s="62" t="s">
        <v>290</v>
      </c>
      <c r="B68" s="95" t="s">
        <v>123</v>
      </c>
      <c r="C68" s="95" t="s">
        <v>123</v>
      </c>
      <c r="D68" s="96" t="n">
        <v>1</v>
      </c>
      <c r="E68" s="97" t="n">
        <f aca="false">INDEX(المكونات!$C$2:$C$500,MATCH($A68,المكونات!$A$2:$A$500,0))*D68</f>
        <v>0.3</v>
      </c>
      <c r="F68" s="98" t="n">
        <v>1</v>
      </c>
      <c r="G68" s="98" t="s">
        <v>671</v>
      </c>
      <c r="H68" s="95" t="str">
        <f aca="false">IF(G68="نعم",COUNTIF($G$2:G68,"نعم"),"")</f>
        <v/>
      </c>
      <c r="I68" s="95" t="s">
        <v>672</v>
      </c>
    </row>
    <row r="69" customFormat="false" ht="15" hidden="false" customHeight="false" outlineLevel="0" collapsed="false">
      <c r="A69" s="62" t="s">
        <v>291</v>
      </c>
      <c r="B69" s="95" t="s">
        <v>181</v>
      </c>
      <c r="C69" s="95" t="s">
        <v>181</v>
      </c>
      <c r="D69" s="96" t="n">
        <v>1</v>
      </c>
      <c r="E69" s="97" t="n">
        <f aca="false">INDEX(المكونات!$C$2:$C$500,MATCH($A69,المكونات!$A$2:$A$500,0))*D69</f>
        <v>90</v>
      </c>
      <c r="F69" s="98" t="n">
        <v>1</v>
      </c>
      <c r="G69" s="98" t="s">
        <v>671</v>
      </c>
      <c r="H69" s="95" t="str">
        <f aca="false">IF(G69="نعم",COUNTIF($G$2:G69,"نعم"),"")</f>
        <v/>
      </c>
      <c r="I69" s="95" t="s">
        <v>673</v>
      </c>
    </row>
    <row r="70" customFormat="false" ht="15" hidden="false" customHeight="false" outlineLevel="0" collapsed="false">
      <c r="A70" s="62" t="s">
        <v>293</v>
      </c>
      <c r="B70" s="95" t="s">
        <v>123</v>
      </c>
      <c r="C70" s="95" t="s">
        <v>123</v>
      </c>
      <c r="D70" s="96" t="n">
        <v>1</v>
      </c>
      <c r="E70" s="97" t="n">
        <f aca="false">INDEX(المكونات!$C$2:$C$500,MATCH($A70,المكونات!$A$2:$A$500,0))*D70</f>
        <v>0.5</v>
      </c>
      <c r="F70" s="98" t="n">
        <v>1</v>
      </c>
      <c r="G70" s="98" t="s">
        <v>671</v>
      </c>
      <c r="H70" s="95" t="str">
        <f aca="false">IF(G70="نعم",COUNTIF($G$2:G70,"نعم"),"")</f>
        <v/>
      </c>
      <c r="I70" s="95" t="s">
        <v>672</v>
      </c>
    </row>
    <row r="71" customFormat="false" ht="15" hidden="false" customHeight="false" outlineLevel="0" collapsed="false">
      <c r="A71" s="62" t="s">
        <v>295</v>
      </c>
      <c r="B71" s="95" t="s">
        <v>181</v>
      </c>
      <c r="C71" s="95" t="s">
        <v>181</v>
      </c>
      <c r="D71" s="96" t="n">
        <v>1</v>
      </c>
      <c r="E71" s="97" t="n">
        <f aca="false">INDEX(المكونات!$C$2:$C$500,MATCH($A71,المكونات!$A$2:$A$500,0))*D71</f>
        <v>420</v>
      </c>
      <c r="F71" s="98" t="n">
        <v>1</v>
      </c>
      <c r="G71" s="98" t="s">
        <v>671</v>
      </c>
      <c r="H71" s="95" t="str">
        <f aca="false">IF(G71="نعم",COUNTIF($G$2:G71,"نعم"),"")</f>
        <v/>
      </c>
      <c r="I71" s="95" t="s">
        <v>673</v>
      </c>
    </row>
    <row r="72" customFormat="false" ht="15" hidden="false" customHeight="false" outlineLevel="0" collapsed="false">
      <c r="A72" s="62" t="s">
        <v>297</v>
      </c>
      <c r="B72" s="95" t="s">
        <v>123</v>
      </c>
      <c r="C72" s="95" t="s">
        <v>123</v>
      </c>
      <c r="D72" s="96" t="n">
        <v>1</v>
      </c>
      <c r="E72" s="97" t="n">
        <f aca="false">INDEX(المكونات!$C$2:$C$500,MATCH($A72,المكونات!$A$2:$A$500,0))*D72</f>
        <v>2</v>
      </c>
      <c r="F72" s="98" t="n">
        <v>1</v>
      </c>
      <c r="G72" s="98" t="s">
        <v>671</v>
      </c>
      <c r="H72" s="95" t="str">
        <f aca="false">IF(G72="نعم",COUNTIF($G$2:G72,"نعم"),"")</f>
        <v/>
      </c>
      <c r="I72" s="95" t="s">
        <v>672</v>
      </c>
    </row>
    <row r="73" customFormat="false" ht="15" hidden="false" customHeight="false" outlineLevel="0" collapsed="false">
      <c r="A73" s="62" t="s">
        <v>298</v>
      </c>
      <c r="B73" s="95" t="s">
        <v>205</v>
      </c>
      <c r="C73" s="95" t="s">
        <v>205</v>
      </c>
      <c r="D73" s="96" t="n">
        <v>1</v>
      </c>
      <c r="E73" s="97" t="n">
        <f aca="false">INDEX(المكونات!$C$2:$C$500,MATCH($A73,المكونات!$A$2:$A$500,0))*D73</f>
        <v>20.6667</v>
      </c>
      <c r="F73" s="98" t="n">
        <v>1</v>
      </c>
      <c r="G73" s="98" t="s">
        <v>671</v>
      </c>
      <c r="H73" s="95" t="str">
        <f aca="false">IF(G73="نعم",COUNTIF($G$2:G73,"نعم"),"")</f>
        <v/>
      </c>
      <c r="I73" s="95" t="s">
        <v>673</v>
      </c>
    </row>
    <row r="74" customFormat="false" ht="15" hidden="false" customHeight="false" outlineLevel="0" collapsed="false">
      <c r="A74" s="62" t="s">
        <v>302</v>
      </c>
      <c r="B74" s="95" t="s">
        <v>181</v>
      </c>
      <c r="C74" s="95" t="s">
        <v>181</v>
      </c>
      <c r="D74" s="96" t="n">
        <v>1</v>
      </c>
      <c r="E74" s="97" t="n">
        <f aca="false">INDEX(المكونات!$C$2:$C$500,MATCH($A74,المكونات!$A$2:$A$500,0))*D74</f>
        <v>135</v>
      </c>
      <c r="F74" s="98" t="n">
        <v>1</v>
      </c>
      <c r="G74" s="98" t="s">
        <v>671</v>
      </c>
      <c r="H74" s="95" t="str">
        <f aca="false">IF(G74="نعم",COUNTIF($G$2:G74,"نعم"),"")</f>
        <v/>
      </c>
      <c r="I74" s="95" t="s">
        <v>673</v>
      </c>
    </row>
    <row r="75" customFormat="false" ht="15" hidden="false" customHeight="false" outlineLevel="0" collapsed="false">
      <c r="A75" s="62" t="s">
        <v>307</v>
      </c>
      <c r="B75" s="95" t="s">
        <v>181</v>
      </c>
      <c r="C75" s="95" t="s">
        <v>181</v>
      </c>
      <c r="D75" s="96" t="n">
        <v>1</v>
      </c>
      <c r="E75" s="97" t="n">
        <f aca="false">INDEX(المكونات!$C$2:$C$500,MATCH($A75,المكونات!$A$2:$A$500,0))*D75</f>
        <v>151.2027</v>
      </c>
      <c r="F75" s="98" t="n">
        <v>1</v>
      </c>
      <c r="G75" s="98" t="s">
        <v>671</v>
      </c>
      <c r="H75" s="95" t="str">
        <f aca="false">IF(G75="نعم",COUNTIF($G$2:G75,"نعم"),"")</f>
        <v/>
      </c>
      <c r="I75" s="95" t="s">
        <v>673</v>
      </c>
    </row>
    <row r="76" customFormat="false" ht="15" hidden="false" customHeight="false" outlineLevel="0" collapsed="false">
      <c r="A76" s="62" t="s">
        <v>309</v>
      </c>
      <c r="B76" s="95" t="s">
        <v>181</v>
      </c>
      <c r="C76" s="95" t="s">
        <v>181</v>
      </c>
      <c r="D76" s="96" t="n">
        <v>1</v>
      </c>
      <c r="E76" s="97" t="n">
        <f aca="false">INDEX(المكونات!$C$2:$C$500,MATCH($A76,المكونات!$A$2:$A$500,0))*D76</f>
        <v>24</v>
      </c>
      <c r="F76" s="98" t="n">
        <v>1</v>
      </c>
      <c r="G76" s="98" t="s">
        <v>671</v>
      </c>
      <c r="H76" s="95" t="str">
        <f aca="false">IF(G76="نعم",COUNTIF($G$2:G76,"نعم"),"")</f>
        <v/>
      </c>
      <c r="I76" s="95" t="s">
        <v>673</v>
      </c>
    </row>
    <row r="77" customFormat="false" ht="15" hidden="false" customHeight="false" outlineLevel="0" collapsed="false">
      <c r="A77" s="62" t="s">
        <v>317</v>
      </c>
      <c r="B77" s="95" t="s">
        <v>181</v>
      </c>
      <c r="C77" s="95" t="s">
        <v>181</v>
      </c>
      <c r="D77" s="96" t="n">
        <v>1</v>
      </c>
      <c r="E77" s="97" t="n">
        <f aca="false">INDEX(المكونات!$C$2:$C$500,MATCH($A77,المكونات!$A$2:$A$500,0))*D77</f>
        <v>610</v>
      </c>
      <c r="F77" s="98" t="n">
        <v>1</v>
      </c>
      <c r="G77" s="98" t="s">
        <v>671</v>
      </c>
      <c r="H77" s="95" t="str">
        <f aca="false">IF(G77="نعم",COUNTIF($G$2:G77,"نعم"),"")</f>
        <v/>
      </c>
      <c r="I77" s="95" t="s">
        <v>673</v>
      </c>
    </row>
    <row r="78" customFormat="false" ht="15" hidden="false" customHeight="false" outlineLevel="0" collapsed="false">
      <c r="A78" s="62" t="s">
        <v>319</v>
      </c>
      <c r="B78" s="95" t="s">
        <v>181</v>
      </c>
      <c r="C78" s="95" t="s">
        <v>320</v>
      </c>
      <c r="D78" s="96" t="n">
        <v>125</v>
      </c>
      <c r="E78" s="97" t="n">
        <f aca="false">INDEX(المكونات!$C$2:$C$500,MATCH($A78,المكونات!$A$2:$A$500,0))*D78</f>
        <v>45.8125</v>
      </c>
      <c r="F78" s="98" t="n">
        <v>1</v>
      </c>
      <c r="G78" s="98" t="s">
        <v>671</v>
      </c>
      <c r="H78" s="95" t="str">
        <f aca="false">IF(G78="نعم",COUNTIF($G$2:G78,"نعم"),"")</f>
        <v/>
      </c>
      <c r="I78" s="95" t="s">
        <v>672</v>
      </c>
    </row>
    <row r="79" customFormat="false" ht="15" hidden="false" customHeight="false" outlineLevel="0" collapsed="false">
      <c r="A79" s="62" t="s">
        <v>322</v>
      </c>
      <c r="B79" s="95" t="s">
        <v>181</v>
      </c>
      <c r="C79" s="95" t="s">
        <v>134</v>
      </c>
      <c r="D79" s="96" t="n">
        <v>200</v>
      </c>
      <c r="E79" s="97" t="n">
        <f aca="false">INDEX(المكونات!$C$2:$C$500,MATCH($A79,المكونات!$A$2:$A$500,0))*D79</f>
        <v>200</v>
      </c>
      <c r="F79" s="98" t="n">
        <v>1</v>
      </c>
      <c r="G79" s="98" t="s">
        <v>671</v>
      </c>
      <c r="H79" s="95" t="str">
        <f aca="false">IF(G79="نعم",COUNTIF($G$2:G79,"نعم"),"")</f>
        <v/>
      </c>
      <c r="I79" s="95" t="s">
        <v>672</v>
      </c>
    </row>
    <row r="80" customFormat="false" ht="15" hidden="false" customHeight="false" outlineLevel="0" collapsed="false">
      <c r="A80" s="62" t="s">
        <v>328</v>
      </c>
      <c r="B80" s="95" t="s">
        <v>123</v>
      </c>
      <c r="C80" s="95" t="s">
        <v>123</v>
      </c>
      <c r="D80" s="96" t="n">
        <v>1</v>
      </c>
      <c r="E80" s="97" t="n">
        <f aca="false">INDEX(المكونات!$C$2:$C$500,MATCH($A80,المكونات!$A$2:$A$500,0))*D80</f>
        <v>4.47</v>
      </c>
      <c r="F80" s="98" t="n">
        <v>1</v>
      </c>
      <c r="G80" s="98" t="s">
        <v>671</v>
      </c>
      <c r="H80" s="95" t="str">
        <f aca="false">IF(G80="نعم",COUNTIF($G$2:G80,"نعم"),"")</f>
        <v/>
      </c>
      <c r="I80" s="95" t="s">
        <v>672</v>
      </c>
    </row>
    <row r="81" customFormat="false" ht="15" hidden="false" customHeight="false" outlineLevel="0" collapsed="false">
      <c r="A81" s="62" t="s">
        <v>336</v>
      </c>
      <c r="B81" s="95" t="s">
        <v>181</v>
      </c>
      <c r="C81" s="95" t="s">
        <v>181</v>
      </c>
      <c r="D81" s="96" t="n">
        <v>1</v>
      </c>
      <c r="E81" s="97" t="n">
        <f aca="false">INDEX(المكونات!$C$2:$C$500,MATCH($A81,المكونات!$A$2:$A$500,0))*D81</f>
        <v>220.02</v>
      </c>
      <c r="F81" s="98" t="n">
        <v>1</v>
      </c>
      <c r="G81" s="98" t="s">
        <v>671</v>
      </c>
      <c r="H81" s="95" t="str">
        <f aca="false">IF(G81="نعم",COUNTIF($G$2:G81,"نعم"),"")</f>
        <v/>
      </c>
      <c r="I81" s="95" t="s">
        <v>673</v>
      </c>
    </row>
    <row r="82" customFormat="false" ht="15" hidden="false" customHeight="false" outlineLevel="0" collapsed="false">
      <c r="A82" s="62" t="s">
        <v>338</v>
      </c>
      <c r="B82" s="95" t="s">
        <v>181</v>
      </c>
      <c r="C82" s="95" t="s">
        <v>181</v>
      </c>
      <c r="D82" s="96" t="n">
        <v>1</v>
      </c>
      <c r="E82" s="97" t="n">
        <f aca="false">INDEX(المكونات!$C$2:$C$500,MATCH($A82,المكونات!$A$2:$A$500,0))*D82</f>
        <v>219.23</v>
      </c>
      <c r="F82" s="98" t="n">
        <v>1</v>
      </c>
      <c r="G82" s="98" t="s">
        <v>671</v>
      </c>
      <c r="H82" s="95" t="str">
        <f aca="false">IF(G82="نعم",COUNTIF($G$2:G82,"نعم"),"")</f>
        <v/>
      </c>
      <c r="I82" s="95" t="s">
        <v>673</v>
      </c>
    </row>
    <row r="83" customFormat="false" ht="15" hidden="false" customHeight="false" outlineLevel="0" collapsed="false">
      <c r="A83" s="62" t="s">
        <v>340</v>
      </c>
      <c r="B83" s="95" t="s">
        <v>123</v>
      </c>
      <c r="C83" s="95" t="s">
        <v>123</v>
      </c>
      <c r="D83" s="96" t="n">
        <v>1</v>
      </c>
      <c r="E83" s="97" t="n">
        <f aca="false">INDEX(المكونات!$C$2:$C$500,MATCH($A83,المكونات!$A$2:$A$500,0))*D83</f>
        <v>6</v>
      </c>
      <c r="F83" s="98" t="n">
        <v>1</v>
      </c>
      <c r="G83" s="98" t="s">
        <v>671</v>
      </c>
      <c r="H83" s="95" t="str">
        <f aca="false">IF(G83="نعم",COUNTIF($G$2:G83,"نعم"),"")</f>
        <v/>
      </c>
      <c r="I83" s="95" t="s">
        <v>673</v>
      </c>
    </row>
    <row r="84" customFormat="false" ht="15" hidden="false" customHeight="false" outlineLevel="0" collapsed="false">
      <c r="A84" s="62" t="s">
        <v>342</v>
      </c>
      <c r="B84" s="95" t="s">
        <v>123</v>
      </c>
      <c r="C84" s="95" t="s">
        <v>123</v>
      </c>
      <c r="D84" s="96" t="n">
        <v>1</v>
      </c>
      <c r="E84" s="97" t="n">
        <f aca="false">INDEX(المكونات!$C$2:$C$500,MATCH($A84,المكونات!$A$2:$A$500,0))*D84</f>
        <v>0.3</v>
      </c>
      <c r="F84" s="98" t="n">
        <v>1</v>
      </c>
      <c r="G84" s="98" t="s">
        <v>671</v>
      </c>
      <c r="H84" s="95" t="str">
        <f aca="false">IF(G84="نعم",COUNTIF($G$2:G84,"نعم"),"")</f>
        <v/>
      </c>
      <c r="I84" s="95" t="s">
        <v>672</v>
      </c>
    </row>
    <row r="85" customFormat="false" ht="15" hidden="false" customHeight="false" outlineLevel="0" collapsed="false">
      <c r="A85" s="62" t="s">
        <v>344</v>
      </c>
      <c r="B85" s="95" t="s">
        <v>123</v>
      </c>
      <c r="C85" s="95" t="s">
        <v>123</v>
      </c>
      <c r="D85" s="96" t="n">
        <v>1</v>
      </c>
      <c r="E85" s="97" t="n">
        <f aca="false">INDEX(المكونات!$C$2:$C$500,MATCH($A85,المكونات!$A$2:$A$500,0))*D85</f>
        <v>4.44</v>
      </c>
      <c r="F85" s="98" t="n">
        <v>1</v>
      </c>
      <c r="G85" s="98" t="s">
        <v>671</v>
      </c>
      <c r="H85" s="95" t="str">
        <f aca="false">IF(G85="نعم",COUNTIF($G$2:G85,"نعم"),"")</f>
        <v/>
      </c>
      <c r="I85" s="95" t="s">
        <v>672</v>
      </c>
    </row>
    <row r="86" customFormat="false" ht="15" hidden="false" customHeight="false" outlineLevel="0" collapsed="false">
      <c r="A86" s="62" t="s">
        <v>346</v>
      </c>
      <c r="B86" s="95" t="s">
        <v>123</v>
      </c>
      <c r="C86" s="95" t="s">
        <v>123</v>
      </c>
      <c r="D86" s="96" t="n">
        <v>1</v>
      </c>
      <c r="E86" s="97" t="n">
        <f aca="false">INDEX(المكونات!$C$2:$C$500,MATCH($A86,المكونات!$A$2:$A$500,0))*D86</f>
        <v>8</v>
      </c>
      <c r="F86" s="98" t="n">
        <v>1</v>
      </c>
      <c r="G86" s="98" t="s">
        <v>671</v>
      </c>
      <c r="H86" s="95" t="str">
        <f aca="false">IF(G86="نعم",COUNTIF($G$2:G86,"نعم"),"")</f>
        <v/>
      </c>
      <c r="I86" s="95" t="s">
        <v>672</v>
      </c>
    </row>
    <row r="89" customFormat="false" ht="15" hidden="false" customHeight="false" outlineLevel="0" collapsed="false">
      <c r="A89" s="33" t="s">
        <v>119</v>
      </c>
    </row>
    <row r="90" customFormat="false" ht="15" hidden="false" customHeight="false" outlineLevel="0" collapsed="false">
      <c r="A90" s="92" t="s">
        <v>676</v>
      </c>
    </row>
    <row r="91" customFormat="false" ht="15" hidden="false" customHeight="false" outlineLevel="0" collapsed="false">
      <c r="A91" s="92" t="s">
        <v>677</v>
      </c>
    </row>
    <row r="92" customFormat="false" ht="15" hidden="false" customHeight="false" outlineLevel="0" collapsed="false">
      <c r="A92" s="92" t="s">
        <v>678</v>
      </c>
    </row>
    <row r="93" customFormat="false" ht="15" hidden="false" customHeight="false" outlineLevel="0" collapsed="false">
      <c r="A93" s="92" t="s">
        <v>679</v>
      </c>
    </row>
    <row r="94" customFormat="false" ht="15" hidden="false" customHeight="false" outlineLevel="0" collapsed="false">
      <c r="A94" s="92" t="s">
        <v>680</v>
      </c>
    </row>
    <row r="95" customFormat="false" ht="15" hidden="false" customHeight="false" outlineLevel="0" collapsed="false">
      <c r="A95" s="92" t="s">
        <v>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0" t="s">
        <v>682</v>
      </c>
    </row>
    <row r="2" customFormat="false" ht="15" hidden="false" customHeight="false" outlineLevel="0" collapsed="false">
      <c r="A2" s="17" t="s">
        <v>683</v>
      </c>
    </row>
    <row r="4" customFormat="false" ht="33.75" hidden="false" customHeight="true" outlineLevel="0" collapsed="false">
      <c r="A4" s="18" t="s">
        <v>59</v>
      </c>
      <c r="B4" s="18" t="s">
        <v>663</v>
      </c>
      <c r="C4" s="18" t="s">
        <v>32</v>
      </c>
      <c r="D4" s="18" t="s">
        <v>33</v>
      </c>
      <c r="E4" s="18" t="s">
        <v>34</v>
      </c>
      <c r="F4" s="18" t="s">
        <v>614</v>
      </c>
      <c r="G4" s="18" t="s">
        <v>684</v>
      </c>
      <c r="H4" s="18" t="s">
        <v>685</v>
      </c>
      <c r="I4" s="18" t="s">
        <v>686</v>
      </c>
      <c r="J4" s="18" t="s">
        <v>687</v>
      </c>
    </row>
    <row r="5" customFormat="false" ht="15" hidden="false" customHeight="false" outlineLevel="0" collapsed="false">
      <c r="A5" s="62" t="str">
        <f aca="false">'مواد المخزون'!A2</f>
        <v>اطباق سيلفر مكرونة</v>
      </c>
      <c r="B5" s="95" t="str">
        <f aca="false">'مواد المخزون'!B2</f>
        <v>قطعة</v>
      </c>
      <c r="C5" s="99" t="n">
        <v>165</v>
      </c>
      <c r="D5" s="99" t="n">
        <v>150</v>
      </c>
      <c r="E5" s="99" t="n">
        <v>215</v>
      </c>
      <c r="F5" s="99" t="n">
        <v>0</v>
      </c>
      <c r="G5" s="100" t="n">
        <f aca="false">C5*'مواد المخزون'!$E2</f>
        <v>544.5</v>
      </c>
      <c r="H5" s="100" t="n">
        <f aca="false">D5*'مواد المخزون'!$E2</f>
        <v>495</v>
      </c>
      <c r="I5" s="100" t="n">
        <f aca="false">E5*'مواد المخزون'!$E2</f>
        <v>709.5</v>
      </c>
      <c r="J5" s="100" t="n">
        <f aca="false">F5*'مواد المخزون'!$E2</f>
        <v>0</v>
      </c>
    </row>
    <row r="6" customFormat="false" ht="15" hidden="false" customHeight="false" outlineLevel="0" collapsed="false">
      <c r="A6" s="62" t="str">
        <f aca="false">'مواد المخزون'!A3</f>
        <v>اطباق فوم كيلو</v>
      </c>
      <c r="B6" s="95" t="str">
        <f aca="false">'مواد المخزون'!B3</f>
        <v>قطعة</v>
      </c>
      <c r="C6" s="99" t="n">
        <v>299</v>
      </c>
      <c r="D6" s="99" t="n">
        <v>875</v>
      </c>
      <c r="E6" s="99" t="n">
        <v>243</v>
      </c>
      <c r="F6" s="99" t="n">
        <v>0</v>
      </c>
      <c r="G6" s="100" t="n">
        <f aca="false">C6*'مواد المخزون'!$E3</f>
        <v>239.2</v>
      </c>
      <c r="H6" s="100" t="n">
        <f aca="false">D6*'مواد المخزون'!$E3</f>
        <v>700</v>
      </c>
      <c r="I6" s="100" t="n">
        <f aca="false">E6*'مواد المخزون'!$E3</f>
        <v>194.4</v>
      </c>
      <c r="J6" s="100" t="n">
        <f aca="false">F6*'مواد المخزون'!$E3</f>
        <v>0</v>
      </c>
    </row>
    <row r="7" customFormat="false" ht="15" hidden="false" customHeight="false" outlineLevel="0" collapsed="false">
      <c r="A7" s="62" t="str">
        <f aca="false">'مواد المخزون'!A4</f>
        <v>اكياس مطبوعة كبير</v>
      </c>
      <c r="B7" s="95" t="str">
        <f aca="false">'مواد المخزون'!B4</f>
        <v>كجم</v>
      </c>
      <c r="C7" s="99" t="n">
        <v>17</v>
      </c>
      <c r="D7" s="99" t="n">
        <v>15.991</v>
      </c>
      <c r="E7" s="99" t="n">
        <v>22.98</v>
      </c>
      <c r="F7" s="99" t="n">
        <v>0</v>
      </c>
      <c r="G7" s="100" t="n">
        <f aca="false">C7*'مواد المخزون'!$E4</f>
        <v>1190</v>
      </c>
      <c r="H7" s="100" t="n">
        <f aca="false">D7*'مواد المخزون'!$E4</f>
        <v>1119.37</v>
      </c>
      <c r="I7" s="100" t="n">
        <f aca="false">E7*'مواد المخزون'!$E4</f>
        <v>1608.6</v>
      </c>
      <c r="J7" s="100" t="n">
        <f aca="false">F7*'مواد المخزون'!$E4</f>
        <v>0</v>
      </c>
    </row>
    <row r="8" customFormat="false" ht="15" hidden="false" customHeight="false" outlineLevel="0" collapsed="false">
      <c r="A8" s="62" t="str">
        <f aca="false">'مواد المخزون'!A5</f>
        <v>اكياس مطبوعة وسط</v>
      </c>
      <c r="B8" s="95" t="str">
        <f aca="false">'مواد المخزون'!B5</f>
        <v>كجم</v>
      </c>
      <c r="C8" s="99" t="n">
        <v>10</v>
      </c>
      <c r="D8" s="99" t="n">
        <v>7.91</v>
      </c>
      <c r="E8" s="99" t="n">
        <v>22.75</v>
      </c>
      <c r="F8" s="99" t="n">
        <v>0</v>
      </c>
      <c r="G8" s="100" t="n">
        <f aca="false">C8*'مواد المخزون'!$E5</f>
        <v>700</v>
      </c>
      <c r="H8" s="100" t="n">
        <f aca="false">D8*'مواد المخزون'!$E5</f>
        <v>553.7</v>
      </c>
      <c r="I8" s="100" t="n">
        <f aca="false">E8*'مواد المخزون'!$E5</f>
        <v>1592.5</v>
      </c>
      <c r="J8" s="100" t="n">
        <f aca="false">F8*'مواد المخزون'!$E5</f>
        <v>0</v>
      </c>
    </row>
    <row r="9" customFormat="false" ht="15" hidden="false" customHeight="false" outlineLevel="0" collapsed="false">
      <c r="A9" s="62" t="str">
        <f aca="false">'مواد المخزون'!A6</f>
        <v>برجر 100 جرام</v>
      </c>
      <c r="B9" s="95" t="str">
        <f aca="false">'مواد المخزون'!B6</f>
        <v>قطعة</v>
      </c>
      <c r="C9" s="99" t="n">
        <v>41</v>
      </c>
      <c r="D9" s="99" t="n">
        <v>54</v>
      </c>
      <c r="E9" s="99" t="n">
        <v>68</v>
      </c>
      <c r="F9" s="99" t="n">
        <v>0</v>
      </c>
      <c r="G9" s="100" t="n">
        <f aca="false">C9*'مواد المخزون'!$E6</f>
        <v>738</v>
      </c>
      <c r="H9" s="100" t="n">
        <f aca="false">D9*'مواد المخزون'!$E6</f>
        <v>972</v>
      </c>
      <c r="I9" s="100" t="n">
        <f aca="false">E9*'مواد المخزون'!$E6</f>
        <v>1224</v>
      </c>
      <c r="J9" s="100" t="n">
        <f aca="false">F9*'مواد المخزون'!$E6</f>
        <v>0</v>
      </c>
    </row>
    <row r="10" customFormat="false" ht="15" hidden="false" customHeight="false" outlineLevel="0" collapsed="false">
      <c r="A10" s="62" t="str">
        <f aca="false">'مواد المخزون'!A7</f>
        <v>برسيون بسطرمة صغير</v>
      </c>
      <c r="B10" s="95" t="str">
        <f aca="false">'مواد المخزون'!B7</f>
        <v>قطعة</v>
      </c>
      <c r="C10" s="99" t="n">
        <v>55</v>
      </c>
      <c r="D10" s="99" t="n">
        <v>26</v>
      </c>
      <c r="E10" s="99" t="n">
        <v>64</v>
      </c>
      <c r="F10" s="99" t="n">
        <v>0</v>
      </c>
      <c r="G10" s="100" t="n">
        <f aca="false">C10*'مواد المخزون'!$E7</f>
        <v>1925</v>
      </c>
      <c r="H10" s="100" t="n">
        <f aca="false">D10*'مواد المخزون'!$E7</f>
        <v>910</v>
      </c>
      <c r="I10" s="100" t="n">
        <f aca="false">E10*'مواد المخزون'!$E7</f>
        <v>2240</v>
      </c>
      <c r="J10" s="100" t="n">
        <f aca="false">F10*'مواد المخزون'!$E7</f>
        <v>0</v>
      </c>
    </row>
    <row r="11" customFormat="false" ht="15" hidden="false" customHeight="false" outlineLevel="0" collapsed="false">
      <c r="A11" s="62" t="str">
        <f aca="false">'مواد المخزون'!A8</f>
        <v>برسيون بسطرمة كبير</v>
      </c>
      <c r="B11" s="95" t="str">
        <f aca="false">'مواد المخزون'!B8</f>
        <v>قطعة</v>
      </c>
      <c r="C11" s="99" t="n">
        <v>49</v>
      </c>
      <c r="D11" s="99" t="n">
        <v>35.5</v>
      </c>
      <c r="E11" s="99" t="n">
        <v>98.5</v>
      </c>
      <c r="F11" s="99" t="n">
        <v>0</v>
      </c>
      <c r="G11" s="100" t="n">
        <f aca="false">C11*'مواد المخزون'!$E8</f>
        <v>2286.6683</v>
      </c>
      <c r="H11" s="100" t="n">
        <f aca="false">D11*'مواد المخزون'!$E8</f>
        <v>1656.66785</v>
      </c>
      <c r="I11" s="100" t="n">
        <f aca="false">E11*'مواد المخزون'!$E8</f>
        <v>4596.66995</v>
      </c>
      <c r="J11" s="100" t="n">
        <f aca="false">F11*'مواد المخزون'!$E8</f>
        <v>0</v>
      </c>
    </row>
    <row r="12" customFormat="false" ht="15" hidden="false" customHeight="false" outlineLevel="0" collapsed="false">
      <c r="A12" s="62" t="str">
        <f aca="false">'مواد المخزون'!A9</f>
        <v>برسيون بطاطس</v>
      </c>
      <c r="B12" s="95" t="str">
        <f aca="false">'مواد المخزون'!B9</f>
        <v>قطعة</v>
      </c>
      <c r="C12" s="99" t="n">
        <v>53</v>
      </c>
      <c r="D12" s="99" t="n">
        <v>72</v>
      </c>
      <c r="E12" s="99" t="n">
        <v>33</v>
      </c>
      <c r="F12" s="99" t="n">
        <v>0</v>
      </c>
      <c r="G12" s="100" t="n">
        <f aca="false">C12*'مواد المخزون'!$E9</f>
        <v>299.45</v>
      </c>
      <c r="H12" s="100" t="n">
        <f aca="false">D12*'مواد المخزون'!$E9</f>
        <v>406.8</v>
      </c>
      <c r="I12" s="100" t="n">
        <f aca="false">E12*'مواد المخزون'!$E9</f>
        <v>186.45</v>
      </c>
      <c r="J12" s="100" t="n">
        <f aca="false">F12*'مواد المخزون'!$E9</f>
        <v>0</v>
      </c>
    </row>
    <row r="13" customFormat="false" ht="15" hidden="false" customHeight="false" outlineLevel="0" collapsed="false">
      <c r="A13" s="62" t="str">
        <f aca="false">'مواد المخزون'!A10</f>
        <v>برسيون جبنة رومي صغير</v>
      </c>
      <c r="B13" s="95" t="str">
        <f aca="false">'مواد المخزون'!B10</f>
        <v>قطعة</v>
      </c>
      <c r="C13" s="99" t="n">
        <v>12</v>
      </c>
      <c r="D13" s="99" t="n">
        <v>2</v>
      </c>
      <c r="E13" s="99" t="n">
        <v>44</v>
      </c>
      <c r="F13" s="99" t="n">
        <v>0</v>
      </c>
      <c r="G13" s="100" t="n">
        <f aca="false">C13*'مواد المخزون'!$E10</f>
        <v>108</v>
      </c>
      <c r="H13" s="100" t="n">
        <f aca="false">D13*'مواد المخزون'!$E10</f>
        <v>18</v>
      </c>
      <c r="I13" s="100" t="n">
        <f aca="false">E13*'مواد المخزون'!$E10</f>
        <v>396</v>
      </c>
      <c r="J13" s="100" t="n">
        <f aca="false">F13*'مواد المخزون'!$E10</f>
        <v>0</v>
      </c>
    </row>
    <row r="14" customFormat="false" ht="15" hidden="false" customHeight="false" outlineLevel="0" collapsed="false">
      <c r="A14" s="62" t="str">
        <f aca="false">'مواد المخزون'!A11</f>
        <v>برسيون جمبري صغير</v>
      </c>
      <c r="B14" s="95" t="str">
        <f aca="false">'مواد المخزون'!B11</f>
        <v>قطعة</v>
      </c>
      <c r="C14" s="99" t="n">
        <v>10</v>
      </c>
      <c r="D14" s="99" t="n">
        <v>16.5</v>
      </c>
      <c r="E14" s="99" t="n">
        <v>12</v>
      </c>
      <c r="F14" s="99" t="n">
        <v>0</v>
      </c>
      <c r="G14" s="100" t="n">
        <f aca="false">C14*'مواد المخزون'!$E11</f>
        <v>950</v>
      </c>
      <c r="H14" s="100" t="n">
        <f aca="false">D14*'مواد المخزون'!$E11</f>
        <v>1567.5</v>
      </c>
      <c r="I14" s="100" t="n">
        <f aca="false">E14*'مواد المخزون'!$E11</f>
        <v>1140</v>
      </c>
      <c r="J14" s="100" t="n">
        <f aca="false">F14*'مواد المخزون'!$E11</f>
        <v>0</v>
      </c>
    </row>
    <row r="15" customFormat="false" ht="15" hidden="false" customHeight="false" outlineLevel="0" collapsed="false">
      <c r="A15" s="62" t="str">
        <f aca="false">'مواد المخزون'!A12</f>
        <v>برسيون سدق صغير</v>
      </c>
      <c r="B15" s="95" t="str">
        <f aca="false">'مواد المخزون'!B12</f>
        <v>قطعة</v>
      </c>
      <c r="C15" s="99" t="n">
        <v>65</v>
      </c>
      <c r="D15" s="99" t="n">
        <v>5</v>
      </c>
      <c r="E15" s="99" t="n">
        <v>62</v>
      </c>
      <c r="F15" s="99" t="n">
        <v>0</v>
      </c>
      <c r="G15" s="100" t="n">
        <f aca="false">C15*'مواد المخزون'!$E12</f>
        <v>2210</v>
      </c>
      <c r="H15" s="100" t="n">
        <f aca="false">D15*'مواد المخزون'!$E12</f>
        <v>170</v>
      </c>
      <c r="I15" s="100" t="n">
        <f aca="false">E15*'مواد المخزون'!$E12</f>
        <v>2108</v>
      </c>
      <c r="J15" s="100" t="n">
        <f aca="false">F15*'مواد المخزون'!$E12</f>
        <v>0</v>
      </c>
    </row>
    <row r="16" customFormat="false" ht="15" hidden="false" customHeight="false" outlineLevel="0" collapsed="false">
      <c r="A16" s="62" t="str">
        <f aca="false">'مواد المخزون'!A13</f>
        <v>برسيون سدق كبير</v>
      </c>
      <c r="B16" s="95" t="str">
        <f aca="false">'مواد المخزون'!B13</f>
        <v>قطعة</v>
      </c>
      <c r="C16" s="99" t="n">
        <v>32</v>
      </c>
      <c r="D16" s="99" t="n">
        <v>43</v>
      </c>
      <c r="E16" s="99" t="n">
        <v>26</v>
      </c>
      <c r="F16" s="99" t="n">
        <v>0</v>
      </c>
      <c r="G16" s="100" t="n">
        <f aca="false">C16*'مواد المخزون'!$E13</f>
        <v>1440</v>
      </c>
      <c r="H16" s="100" t="n">
        <f aca="false">D16*'مواد المخزون'!$E13</f>
        <v>1935</v>
      </c>
      <c r="I16" s="100" t="n">
        <f aca="false">E16*'مواد المخزون'!$E13</f>
        <v>1170</v>
      </c>
      <c r="J16" s="100" t="n">
        <f aca="false">F16*'مواد المخزون'!$E13</f>
        <v>0</v>
      </c>
    </row>
    <row r="17" customFormat="false" ht="15" hidden="false" customHeight="false" outlineLevel="0" collapsed="false">
      <c r="A17" s="62" t="str">
        <f aca="false">'مواد المخزون'!A14</f>
        <v>برسيون سلامي صغير</v>
      </c>
      <c r="B17" s="95" t="str">
        <f aca="false">'مواد المخزون'!B14</f>
        <v>قطعة</v>
      </c>
      <c r="C17" s="99" t="n">
        <v>12</v>
      </c>
      <c r="D17" s="99" t="n">
        <v>8.5</v>
      </c>
      <c r="E17" s="99" t="n">
        <v>13</v>
      </c>
      <c r="F17" s="99" t="n">
        <v>0</v>
      </c>
      <c r="G17" s="100" t="n">
        <f aca="false">C17*'مواد المخزون'!$E14</f>
        <v>323.6496</v>
      </c>
      <c r="H17" s="100" t="n">
        <f aca="false">D17*'مواد المخزون'!$E14</f>
        <v>229.2518</v>
      </c>
      <c r="I17" s="100" t="n">
        <f aca="false">E17*'مواد المخزون'!$E14</f>
        <v>350.6204</v>
      </c>
      <c r="J17" s="100" t="n">
        <f aca="false">F17*'مواد المخزون'!$E14</f>
        <v>0</v>
      </c>
    </row>
    <row r="18" customFormat="false" ht="15" hidden="false" customHeight="false" outlineLevel="0" collapsed="false">
      <c r="A18" s="62" t="str">
        <f aca="false">'مواد المخزون'!A15</f>
        <v>برسيون فراخ جريل صغير</v>
      </c>
      <c r="B18" s="95" t="str">
        <f aca="false">'مواد المخزون'!B15</f>
        <v>قطعة</v>
      </c>
      <c r="C18" s="99" t="n">
        <v>26.5</v>
      </c>
      <c r="D18" s="99" t="n">
        <v>34</v>
      </c>
      <c r="E18" s="99" t="n">
        <v>48</v>
      </c>
      <c r="F18" s="99" t="n">
        <v>0</v>
      </c>
      <c r="G18" s="100" t="n">
        <f aca="false">C18*'مواد المخزون'!$E15</f>
        <v>900.523</v>
      </c>
      <c r="H18" s="100" t="n">
        <f aca="false">D18*'مواد المخزون'!$E15</f>
        <v>1155.388</v>
      </c>
      <c r="I18" s="100" t="n">
        <f aca="false">E18*'مواد المخزون'!$E15</f>
        <v>1631.136</v>
      </c>
      <c r="J18" s="100" t="n">
        <f aca="false">F18*'مواد المخزون'!$E15</f>
        <v>0</v>
      </c>
    </row>
    <row r="19" customFormat="false" ht="15" hidden="false" customHeight="false" outlineLevel="0" collapsed="false">
      <c r="A19" s="62" t="str">
        <f aca="false">'مواد المخزون'!A16</f>
        <v>برسيون فراخ جريل كبير</v>
      </c>
      <c r="B19" s="95" t="str">
        <f aca="false">'مواد المخزون'!B16</f>
        <v>قطعة</v>
      </c>
      <c r="C19" s="99" t="n">
        <v>31</v>
      </c>
      <c r="D19" s="99" t="n">
        <v>61.5</v>
      </c>
      <c r="E19" s="99" t="n">
        <v>59.5</v>
      </c>
      <c r="F19" s="99" t="n">
        <v>0</v>
      </c>
      <c r="G19" s="100" t="n">
        <f aca="false">C19*'مواد المخزون'!$E16</f>
        <v>1512.2327</v>
      </c>
      <c r="H19" s="100" t="n">
        <f aca="false">D19*'مواد المخزون'!$E16</f>
        <v>3000.07455</v>
      </c>
      <c r="I19" s="100" t="n">
        <f aca="false">E19*'مواد المخزون'!$E16</f>
        <v>2902.51115</v>
      </c>
      <c r="J19" s="100" t="n">
        <f aca="false">F19*'مواد المخزون'!$E16</f>
        <v>0</v>
      </c>
    </row>
    <row r="20" customFormat="false" ht="15" hidden="false" customHeight="false" outlineLevel="0" collapsed="false">
      <c r="A20" s="62" t="str">
        <f aca="false">'مواد المخزون'!A17</f>
        <v>برسيون فراخ كريسبي صغير</v>
      </c>
      <c r="B20" s="95" t="str">
        <f aca="false">'مواد المخزون'!B17</f>
        <v>قطعة</v>
      </c>
      <c r="C20" s="99" t="n">
        <v>43</v>
      </c>
      <c r="D20" s="99" t="n">
        <v>42.5</v>
      </c>
      <c r="E20" s="99" t="n">
        <v>28</v>
      </c>
      <c r="F20" s="99" t="n">
        <v>0</v>
      </c>
      <c r="G20" s="100" t="n">
        <f aca="false">C20*'مواد المخزون'!$E17</f>
        <v>1290</v>
      </c>
      <c r="H20" s="100" t="n">
        <f aca="false">D20*'مواد المخزون'!$E17</f>
        <v>1275</v>
      </c>
      <c r="I20" s="100" t="n">
        <f aca="false">E20*'مواد المخزون'!$E17</f>
        <v>840</v>
      </c>
      <c r="J20" s="100" t="n">
        <f aca="false">F20*'مواد المخزون'!$E17</f>
        <v>0</v>
      </c>
    </row>
    <row r="21" customFormat="false" ht="15" hidden="false" customHeight="false" outlineLevel="0" collapsed="false">
      <c r="A21" s="62" t="str">
        <f aca="false">'مواد المخزون'!A18</f>
        <v>برسيون فراخ كريسبي كبير</v>
      </c>
      <c r="B21" s="95" t="str">
        <f aca="false">'مواد المخزون'!B18</f>
        <v>قطعة</v>
      </c>
      <c r="C21" s="99" t="n">
        <v>0</v>
      </c>
      <c r="D21" s="99" t="n">
        <v>36</v>
      </c>
      <c r="E21" s="99" t="n">
        <v>0</v>
      </c>
      <c r="F21" s="99" t="n">
        <v>0</v>
      </c>
      <c r="G21" s="100" t="n">
        <f aca="false">C21*'مواد المخزون'!$E18</f>
        <v>0</v>
      </c>
      <c r="H21" s="100" t="n">
        <f aca="false">D21*'مواد المخزون'!$E18</f>
        <v>1044</v>
      </c>
      <c r="I21" s="100" t="n">
        <f aca="false">E21*'مواد المخزون'!$E18</f>
        <v>0</v>
      </c>
      <c r="J21" s="100" t="n">
        <f aca="false">F21*'مواد المخزون'!$E18</f>
        <v>0</v>
      </c>
    </row>
    <row r="22" customFormat="false" ht="15" hidden="false" customHeight="false" outlineLevel="0" collapsed="false">
      <c r="A22" s="62" t="str">
        <f aca="false">'مواد المخزون'!A19</f>
        <v>برسيون قشطة</v>
      </c>
      <c r="B22" s="95" t="str">
        <f aca="false">'مواد المخزون'!B19</f>
        <v>قطعة</v>
      </c>
      <c r="C22" s="99" t="n">
        <v>14</v>
      </c>
      <c r="D22" s="99" t="n">
        <v>19</v>
      </c>
      <c r="E22" s="99" t="n">
        <v>21</v>
      </c>
      <c r="F22" s="99" t="n">
        <v>0</v>
      </c>
      <c r="G22" s="100" t="n">
        <f aca="false">C22*'مواد المخزون'!$E19</f>
        <v>350</v>
      </c>
      <c r="H22" s="100" t="n">
        <f aca="false">D22*'مواد المخزون'!$E19</f>
        <v>475</v>
      </c>
      <c r="I22" s="100" t="n">
        <f aca="false">E22*'مواد المخزون'!$E19</f>
        <v>525</v>
      </c>
      <c r="J22" s="100" t="n">
        <f aca="false">F22*'مواد المخزون'!$E19</f>
        <v>0</v>
      </c>
    </row>
    <row r="23" customFormat="false" ht="15" hidden="false" customHeight="false" outlineLevel="0" collapsed="false">
      <c r="A23" s="62" t="str">
        <f aca="false">'مواد المخزون'!A20</f>
        <v>برسيون لحمة مفرومة</v>
      </c>
      <c r="B23" s="95" t="str">
        <f aca="false">'مواد المخزون'!B20</f>
        <v>قطعة</v>
      </c>
      <c r="C23" s="99" t="n">
        <v>38</v>
      </c>
      <c r="D23" s="99" t="n">
        <v>24</v>
      </c>
      <c r="E23" s="99" t="n">
        <v>13.5</v>
      </c>
      <c r="F23" s="99" t="n">
        <v>0</v>
      </c>
      <c r="G23" s="100" t="n">
        <f aca="false">C23*'مواد المخزون'!$E20</f>
        <v>798</v>
      </c>
      <c r="H23" s="100" t="n">
        <f aca="false">D23*'مواد المخزون'!$E20</f>
        <v>504</v>
      </c>
      <c r="I23" s="100" t="n">
        <f aca="false">E23*'مواد المخزون'!$E20</f>
        <v>283.5</v>
      </c>
      <c r="J23" s="100" t="n">
        <f aca="false">F23*'مواد المخزون'!$E20</f>
        <v>0</v>
      </c>
    </row>
    <row r="24" customFormat="false" ht="15" hidden="false" customHeight="false" outlineLevel="0" collapsed="false">
      <c r="A24" s="62" t="str">
        <f aca="false">'مواد المخزون'!A21</f>
        <v>برسيون مكسرات</v>
      </c>
      <c r="B24" s="95" t="str">
        <f aca="false">'مواد المخزون'!B21</f>
        <v>قطعة</v>
      </c>
      <c r="C24" s="99" t="n">
        <v>6</v>
      </c>
      <c r="D24" s="99" t="n">
        <v>6</v>
      </c>
      <c r="E24" s="99" t="n">
        <v>4</v>
      </c>
      <c r="F24" s="99" t="n">
        <v>0</v>
      </c>
      <c r="G24" s="100" t="n">
        <f aca="false">C24*'مواد المخزون'!$E21</f>
        <v>138</v>
      </c>
      <c r="H24" s="100" t="n">
        <f aca="false">D24*'مواد المخزون'!$E21</f>
        <v>138</v>
      </c>
      <c r="I24" s="100" t="n">
        <f aca="false">E24*'مواد المخزون'!$E21</f>
        <v>92</v>
      </c>
      <c r="J24" s="100" t="n">
        <f aca="false">F24*'مواد المخزون'!$E21</f>
        <v>0</v>
      </c>
    </row>
    <row r="25" customFormat="false" ht="15" hidden="false" customHeight="false" outlineLevel="0" collapsed="false">
      <c r="A25" s="62" t="str">
        <f aca="false">'مواد المخزون'!A22</f>
        <v>برسيون موتزريلا بيتزا صغير</v>
      </c>
      <c r="B25" s="95" t="str">
        <f aca="false">'مواد المخزون'!B22</f>
        <v>قطعة</v>
      </c>
      <c r="C25" s="99" t="n">
        <v>75</v>
      </c>
      <c r="D25" s="99" t="n">
        <v>61.5</v>
      </c>
      <c r="E25" s="99" t="n">
        <v>174</v>
      </c>
      <c r="F25" s="99" t="n">
        <v>0</v>
      </c>
      <c r="G25" s="100" t="n">
        <f aca="false">C25*'مواد المخزون'!$E22</f>
        <v>1500</v>
      </c>
      <c r="H25" s="100" t="n">
        <f aca="false">D25*'مواد المخزون'!$E22</f>
        <v>1230</v>
      </c>
      <c r="I25" s="100" t="n">
        <f aca="false">E25*'مواد المخزون'!$E22</f>
        <v>3480</v>
      </c>
      <c r="J25" s="100" t="n">
        <f aca="false">F25*'مواد المخزون'!$E22</f>
        <v>0</v>
      </c>
    </row>
    <row r="26" customFormat="false" ht="15" hidden="false" customHeight="false" outlineLevel="0" collapsed="false">
      <c r="A26" s="62" t="str">
        <f aca="false">'مواد المخزون'!A23</f>
        <v>برسيون موتزريلا بيتزا كبير</v>
      </c>
      <c r="B26" s="95" t="str">
        <f aca="false">'مواد المخزون'!B23</f>
        <v>قطعة</v>
      </c>
      <c r="C26" s="99" t="n">
        <v>40</v>
      </c>
      <c r="D26" s="99" t="n">
        <v>75</v>
      </c>
      <c r="E26" s="99" t="n">
        <v>0</v>
      </c>
      <c r="F26" s="99" t="n">
        <v>0</v>
      </c>
      <c r="G26" s="100" t="n">
        <f aca="false">C26*'مواد المخزون'!$E23</f>
        <v>1085.58</v>
      </c>
      <c r="H26" s="100" t="n">
        <f aca="false">D26*'مواد المخزون'!$E23</f>
        <v>2035.4625</v>
      </c>
      <c r="I26" s="100" t="n">
        <f aca="false">E26*'مواد المخزون'!$E23</f>
        <v>0</v>
      </c>
      <c r="J26" s="100" t="n">
        <f aca="false">F26*'مواد المخزون'!$E23</f>
        <v>0</v>
      </c>
    </row>
    <row r="27" customFormat="false" ht="15" hidden="false" customHeight="false" outlineLevel="0" collapsed="false">
      <c r="A27" s="62" t="str">
        <f aca="false">'مواد المخزون'!A24</f>
        <v>برسيون موتزريلا فطير صغير</v>
      </c>
      <c r="B27" s="95" t="str">
        <f aca="false">'مواد المخزون'!B24</f>
        <v>قطعة</v>
      </c>
      <c r="C27" s="99" t="n">
        <v>68</v>
      </c>
      <c r="D27" s="99" t="n">
        <v>86</v>
      </c>
      <c r="E27" s="99" t="n">
        <v>92</v>
      </c>
      <c r="F27" s="99" t="n">
        <v>0</v>
      </c>
      <c r="G27" s="100" t="n">
        <f aca="false">C27*'مواد المخزون'!$E24</f>
        <v>1190</v>
      </c>
      <c r="H27" s="100" t="n">
        <f aca="false">D27*'مواد المخزون'!$E24</f>
        <v>1505</v>
      </c>
      <c r="I27" s="100" t="n">
        <f aca="false">E27*'مواد المخزون'!$E24</f>
        <v>1610</v>
      </c>
      <c r="J27" s="100" t="n">
        <f aca="false">F27*'مواد المخزون'!$E24</f>
        <v>0</v>
      </c>
    </row>
    <row r="28" customFormat="false" ht="15" hidden="false" customHeight="false" outlineLevel="0" collapsed="false">
      <c r="A28" s="62" t="str">
        <f aca="false">'مواد المخزون'!A25</f>
        <v>برسيون موتزريلا فطير كبير</v>
      </c>
      <c r="B28" s="95" t="str">
        <f aca="false">'مواد المخزون'!B25</f>
        <v>قطعة</v>
      </c>
      <c r="C28" s="99" t="n">
        <v>60</v>
      </c>
      <c r="D28" s="99" t="n">
        <v>39</v>
      </c>
      <c r="E28" s="99" t="n">
        <v>0</v>
      </c>
      <c r="F28" s="99" t="n">
        <v>0</v>
      </c>
      <c r="G28" s="100" t="n">
        <f aca="false">C28*'مواد المخزون'!$E25</f>
        <v>1500</v>
      </c>
      <c r="H28" s="100" t="n">
        <f aca="false">D28*'مواد المخزون'!$E25</f>
        <v>975</v>
      </c>
      <c r="I28" s="100" t="n">
        <f aca="false">E28*'مواد المخزون'!$E25</f>
        <v>0</v>
      </c>
      <c r="J28" s="100" t="n">
        <f aca="false">F28*'مواد المخزون'!$E25</f>
        <v>0</v>
      </c>
    </row>
    <row r="29" customFormat="false" ht="15" hidden="false" customHeight="false" outlineLevel="0" collapsed="false">
      <c r="A29" s="62" t="str">
        <f aca="false">'مواد المخزون'!A26</f>
        <v>بسكوت اوريو مجروش</v>
      </c>
      <c r="B29" s="95" t="str">
        <f aca="false">'مواد المخزون'!B26</f>
        <v>كجم</v>
      </c>
      <c r="C29" s="99" t="n">
        <v>0.21</v>
      </c>
      <c r="D29" s="99" t="n">
        <v>1</v>
      </c>
      <c r="E29" s="99" t="n">
        <v>0.7</v>
      </c>
      <c r="F29" s="99" t="n">
        <v>0</v>
      </c>
      <c r="G29" s="100" t="n">
        <f aca="false">C29*'مواد المخزون'!$E26</f>
        <v>21</v>
      </c>
      <c r="H29" s="100" t="n">
        <f aca="false">D29*'مواد المخزون'!$E26</f>
        <v>100</v>
      </c>
      <c r="I29" s="100" t="n">
        <f aca="false">E29*'مواد المخزون'!$E26</f>
        <v>70</v>
      </c>
      <c r="J29" s="100" t="n">
        <f aca="false">F29*'مواد المخزون'!$E26</f>
        <v>0</v>
      </c>
    </row>
    <row r="30" customFormat="false" ht="15" hidden="false" customHeight="false" outlineLevel="0" collapsed="false">
      <c r="A30" s="62" t="str">
        <f aca="false">'مواد المخزون'!A27</f>
        <v>بسكوت للوتس باكو</v>
      </c>
      <c r="B30" s="95" t="str">
        <f aca="false">'مواد المخزون'!B27</f>
        <v>كجم</v>
      </c>
      <c r="C30" s="99" t="n">
        <v>0.3</v>
      </c>
      <c r="D30" s="99" t="n">
        <v>0.35</v>
      </c>
      <c r="E30" s="99" t="n">
        <v>0.75</v>
      </c>
      <c r="F30" s="99" t="n">
        <v>0</v>
      </c>
      <c r="G30" s="100" t="n">
        <f aca="false">C30*'مواد المخزون'!$E27</f>
        <v>31.374</v>
      </c>
      <c r="H30" s="100" t="n">
        <f aca="false">D30*'مواد المخزون'!$E27</f>
        <v>36.603</v>
      </c>
      <c r="I30" s="100" t="n">
        <f aca="false">E30*'مواد المخزون'!$E27</f>
        <v>78.435</v>
      </c>
      <c r="J30" s="100" t="n">
        <f aca="false">F30*'مواد المخزون'!$E27</f>
        <v>0</v>
      </c>
    </row>
    <row r="31" customFormat="false" ht="15" hidden="false" customHeight="false" outlineLevel="0" collapsed="false">
      <c r="A31" s="62" t="str">
        <f aca="false">'مواد المخزون'!A28</f>
        <v>بسكوت للوتس مجروش</v>
      </c>
      <c r="B31" s="95" t="str">
        <f aca="false">'مواد المخزون'!B28</f>
        <v>كجم</v>
      </c>
      <c r="C31" s="99" t="n">
        <v>1</v>
      </c>
      <c r="D31" s="99" t="n">
        <v>1.57</v>
      </c>
      <c r="E31" s="99" t="n">
        <v>1.05</v>
      </c>
      <c r="F31" s="99" t="n">
        <v>0</v>
      </c>
      <c r="G31" s="100" t="n">
        <f aca="false">C31*'مواد المخزون'!$E28</f>
        <v>100</v>
      </c>
      <c r="H31" s="100" t="n">
        <f aca="false">D31*'مواد المخزون'!$E28</f>
        <v>157</v>
      </c>
      <c r="I31" s="100" t="n">
        <f aca="false">E31*'مواد المخزون'!$E28</f>
        <v>105</v>
      </c>
      <c r="J31" s="100" t="n">
        <f aca="false">F31*'مواد المخزون'!$E28</f>
        <v>0</v>
      </c>
    </row>
    <row r="32" customFormat="false" ht="15" hidden="false" customHeight="false" outlineLevel="0" collapsed="false">
      <c r="A32" s="62" t="str">
        <f aca="false">'مواد المخزون'!A29</f>
        <v>بشاميل مصنع</v>
      </c>
      <c r="B32" s="95" t="str">
        <f aca="false">'مواد المخزون'!B29</f>
        <v>كجم</v>
      </c>
      <c r="C32" s="99" t="n">
        <v>5.25</v>
      </c>
      <c r="D32" s="99" t="n">
        <v>5.5</v>
      </c>
      <c r="E32" s="99" t="n">
        <v>13.6</v>
      </c>
      <c r="F32" s="99" t="n">
        <v>0</v>
      </c>
      <c r="G32" s="100" t="n">
        <f aca="false">C32*'مواد المخزون'!$E29</f>
        <v>215.25</v>
      </c>
      <c r="H32" s="100" t="n">
        <f aca="false">D32*'مواد المخزون'!$E29</f>
        <v>225.5</v>
      </c>
      <c r="I32" s="100" t="n">
        <f aca="false">E32*'مواد المخزون'!$E29</f>
        <v>557.6</v>
      </c>
      <c r="J32" s="100" t="n">
        <f aca="false">F32*'مواد المخزون'!$E29</f>
        <v>0</v>
      </c>
    </row>
    <row r="33" customFormat="false" ht="15" hidden="false" customHeight="false" outlineLevel="0" collapsed="false">
      <c r="A33" s="62" t="str">
        <f aca="false">'مواد المخزون'!A30</f>
        <v>بشاميل مصنع صيامي</v>
      </c>
      <c r="B33" s="95" t="str">
        <f aca="false">'مواد المخزون'!B30</f>
        <v>كجم</v>
      </c>
      <c r="C33" s="99" t="n">
        <v>0</v>
      </c>
      <c r="D33" s="99" t="n">
        <v>0</v>
      </c>
      <c r="E33" s="99" t="n">
        <v>0</v>
      </c>
      <c r="F33" s="99" t="n">
        <v>0</v>
      </c>
      <c r="G33" s="100" t="n">
        <f aca="false">C33*'مواد المخزون'!$E30</f>
        <v>0</v>
      </c>
      <c r="H33" s="100" t="n">
        <f aca="false">D33*'مواد المخزون'!$E30</f>
        <v>0</v>
      </c>
      <c r="I33" s="100" t="n">
        <f aca="false">E33*'مواد المخزون'!$E30</f>
        <v>0</v>
      </c>
      <c r="J33" s="100" t="n">
        <f aca="false">F33*'مواد المخزون'!$E30</f>
        <v>0</v>
      </c>
    </row>
    <row r="34" customFormat="false" ht="15" hidden="false" customHeight="false" outlineLevel="0" collapsed="false">
      <c r="A34" s="62" t="str">
        <f aca="false">'مواد المخزون'!A31</f>
        <v>بصل</v>
      </c>
      <c r="B34" s="95" t="str">
        <f aca="false">'مواد المخزون'!B31</f>
        <v>كجم</v>
      </c>
      <c r="C34" s="99" t="n">
        <v>1.5</v>
      </c>
      <c r="D34" s="99" t="n">
        <v>1.6</v>
      </c>
      <c r="E34" s="99" t="n">
        <v>0</v>
      </c>
      <c r="F34" s="99" t="n">
        <v>0</v>
      </c>
      <c r="G34" s="100" t="n">
        <f aca="false">C34*'مواد المخزون'!$E31</f>
        <v>27</v>
      </c>
      <c r="H34" s="100" t="n">
        <f aca="false">D34*'مواد المخزون'!$E31</f>
        <v>28.8</v>
      </c>
      <c r="I34" s="100" t="n">
        <f aca="false">E34*'مواد المخزون'!$E31</f>
        <v>0</v>
      </c>
      <c r="J34" s="100" t="n">
        <f aca="false">F34*'مواد المخزون'!$E31</f>
        <v>0</v>
      </c>
    </row>
    <row r="35" customFormat="false" ht="15" hidden="false" customHeight="false" outlineLevel="0" collapsed="false">
      <c r="A35" s="62" t="str">
        <f aca="false">'مواد المخزون'!A32</f>
        <v>بكر استريتش</v>
      </c>
      <c r="B35" s="95" t="str">
        <f aca="false">'مواد المخزون'!B32</f>
        <v>رول</v>
      </c>
      <c r="C35" s="99" t="n">
        <v>0.5</v>
      </c>
      <c r="D35" s="99" t="n">
        <v>2.835</v>
      </c>
      <c r="E35" s="99" t="n">
        <v>5</v>
      </c>
      <c r="F35" s="99" t="n">
        <v>0</v>
      </c>
      <c r="G35" s="100" t="n">
        <f aca="false">C35*'مواد المخزون'!$E32</f>
        <v>365</v>
      </c>
      <c r="H35" s="100" t="n">
        <f aca="false">D35*'مواد المخزون'!$E32</f>
        <v>2069.55</v>
      </c>
      <c r="I35" s="100" t="n">
        <f aca="false">E35*'مواد المخزون'!$E32</f>
        <v>3650</v>
      </c>
      <c r="J35" s="100" t="n">
        <f aca="false">F35*'مواد المخزون'!$E32</f>
        <v>0</v>
      </c>
    </row>
    <row r="36" customFormat="false" ht="15" hidden="false" customHeight="false" outlineLevel="0" collapsed="false">
      <c r="A36" s="62" t="str">
        <f aca="false">'مواد المخزون'!A33</f>
        <v>بيبسي كانز</v>
      </c>
      <c r="B36" s="95" t="str">
        <f aca="false">'مواد المخزون'!B33</f>
        <v>قطعة</v>
      </c>
      <c r="C36" s="99" t="n">
        <v>0</v>
      </c>
      <c r="D36" s="99" t="n">
        <v>0</v>
      </c>
      <c r="E36" s="99" t="n">
        <v>0</v>
      </c>
      <c r="F36" s="99" t="n">
        <v>0</v>
      </c>
      <c r="G36" s="100" t="n">
        <f aca="false">C36*'مواد المخزون'!$E33</f>
        <v>0</v>
      </c>
      <c r="H36" s="100" t="n">
        <f aca="false">D36*'مواد المخزون'!$E33</f>
        <v>0</v>
      </c>
      <c r="I36" s="100" t="n">
        <f aca="false">E36*'مواد المخزون'!$E33</f>
        <v>0</v>
      </c>
      <c r="J36" s="100" t="n">
        <f aca="false">F36*'مواد المخزون'!$E33</f>
        <v>0</v>
      </c>
    </row>
    <row r="37" customFormat="false" ht="15" hidden="false" customHeight="false" outlineLevel="0" collapsed="false">
      <c r="A37" s="62" t="str">
        <f aca="false">'مواد المخزون'!A34</f>
        <v>بيبسي لتر</v>
      </c>
      <c r="B37" s="95" t="str">
        <f aca="false">'مواد المخزون'!B34</f>
        <v>لتر</v>
      </c>
      <c r="C37" s="99" t="n">
        <v>0</v>
      </c>
      <c r="D37" s="99" t="n">
        <v>0</v>
      </c>
      <c r="E37" s="99" t="n">
        <v>0</v>
      </c>
      <c r="F37" s="99" t="n">
        <v>0</v>
      </c>
      <c r="G37" s="100" t="n">
        <f aca="false">C37*'مواد المخزون'!$E34</f>
        <v>0</v>
      </c>
      <c r="H37" s="100" t="n">
        <f aca="false">D37*'مواد المخزون'!$E34</f>
        <v>0</v>
      </c>
      <c r="I37" s="100" t="n">
        <f aca="false">E37*'مواد المخزون'!$E34</f>
        <v>0</v>
      </c>
      <c r="J37" s="100" t="n">
        <f aca="false">F37*'مواد المخزون'!$E34</f>
        <v>0</v>
      </c>
    </row>
    <row r="38" customFormat="false" ht="15" hidden="false" customHeight="false" outlineLevel="0" collapsed="false">
      <c r="A38" s="62" t="str">
        <f aca="false">'مواد المخزون'!A35</f>
        <v>جبنة رومي/شيدر صيامي</v>
      </c>
      <c r="B38" s="95" t="str">
        <f aca="false">'مواد المخزون'!B35</f>
        <v>كجم</v>
      </c>
      <c r="C38" s="99" t="n">
        <v>0</v>
      </c>
      <c r="D38" s="99" t="n">
        <v>0.825</v>
      </c>
      <c r="E38" s="99" t="n">
        <v>0</v>
      </c>
      <c r="F38" s="99" t="n">
        <v>0</v>
      </c>
      <c r="G38" s="100" t="n">
        <f aca="false">C38*'مواد المخزون'!$E35</f>
        <v>0</v>
      </c>
      <c r="H38" s="100" t="n">
        <f aca="false">D38*'مواد المخزون'!$E35</f>
        <v>86.625</v>
      </c>
      <c r="I38" s="100" t="n">
        <f aca="false">E38*'مواد المخزون'!$E35</f>
        <v>0</v>
      </c>
      <c r="J38" s="100" t="n">
        <f aca="false">F38*'مواد المخزون'!$E35</f>
        <v>0</v>
      </c>
    </row>
    <row r="39" customFormat="false" ht="15" hidden="false" customHeight="false" outlineLevel="0" collapsed="false">
      <c r="A39" s="62" t="str">
        <f aca="false">'مواد المخزون'!A36</f>
        <v>جلافزات شفاف</v>
      </c>
      <c r="B39" s="95" t="str">
        <f aca="false">'مواد المخزون'!B36</f>
        <v>علبة</v>
      </c>
      <c r="C39" s="99" t="n">
        <v>100</v>
      </c>
      <c r="D39" s="99" t="n">
        <v>50</v>
      </c>
      <c r="E39" s="99" t="n">
        <v>68</v>
      </c>
      <c r="F39" s="99" t="n">
        <v>0</v>
      </c>
      <c r="G39" s="100" t="n">
        <f aca="false">C39*'مواد المخزون'!$E36</f>
        <v>900</v>
      </c>
      <c r="H39" s="100" t="n">
        <f aca="false">D39*'مواد المخزون'!$E36</f>
        <v>450</v>
      </c>
      <c r="I39" s="100" t="n">
        <f aca="false">E39*'مواد المخزون'!$E36</f>
        <v>612</v>
      </c>
      <c r="J39" s="100" t="n">
        <f aca="false">F39*'مواد المخزون'!$E36</f>
        <v>0</v>
      </c>
    </row>
    <row r="40" customFormat="false" ht="15" hidden="false" customHeight="false" outlineLevel="0" collapsed="false">
      <c r="A40" s="62" t="str">
        <f aca="false">'مواد المخزون'!A37</f>
        <v>جوزهند</v>
      </c>
      <c r="B40" s="95" t="str">
        <f aca="false">'مواد المخزون'!B37</f>
        <v>كجم</v>
      </c>
      <c r="C40" s="99" t="n">
        <v>0.45</v>
      </c>
      <c r="D40" s="99" t="n">
        <v>0.65</v>
      </c>
      <c r="E40" s="99" t="n">
        <v>0.65</v>
      </c>
      <c r="F40" s="99" t="n">
        <v>0</v>
      </c>
      <c r="G40" s="100" t="n">
        <f aca="false">C40*'مواد المخزون'!$E37</f>
        <v>90</v>
      </c>
      <c r="H40" s="100" t="n">
        <f aca="false">D40*'مواد المخزون'!$E37</f>
        <v>130</v>
      </c>
      <c r="I40" s="100" t="n">
        <f aca="false">E40*'مواد المخزون'!$E37</f>
        <v>130</v>
      </c>
      <c r="J40" s="100" t="n">
        <f aca="false">F40*'مواد المخزون'!$E37</f>
        <v>0</v>
      </c>
    </row>
    <row r="41" customFormat="false" ht="15" hidden="false" customHeight="false" outlineLevel="0" collapsed="false">
      <c r="A41" s="62" t="str">
        <f aca="false">'مواد المخزون'!A38</f>
        <v>خيار مخلل</v>
      </c>
      <c r="B41" s="95" t="str">
        <f aca="false">'مواد المخزون'!B38</f>
        <v>كجم</v>
      </c>
      <c r="C41" s="99" t="n">
        <v>6</v>
      </c>
      <c r="D41" s="99" t="n">
        <v>4.545</v>
      </c>
      <c r="E41" s="99" t="n">
        <v>6.5</v>
      </c>
      <c r="F41" s="99" t="n">
        <v>0</v>
      </c>
      <c r="G41" s="100" t="n">
        <f aca="false">C41*'مواد المخزون'!$E38</f>
        <v>180</v>
      </c>
      <c r="H41" s="100" t="n">
        <f aca="false">D41*'مواد المخزون'!$E38</f>
        <v>136.35</v>
      </c>
      <c r="I41" s="100" t="n">
        <f aca="false">E41*'مواد المخزون'!$E38</f>
        <v>195</v>
      </c>
      <c r="J41" s="100" t="n">
        <f aca="false">F41*'مواد المخزون'!$E38</f>
        <v>0</v>
      </c>
    </row>
    <row r="42" customFormat="false" ht="15" hidden="false" customHeight="false" outlineLevel="0" collapsed="false">
      <c r="A42" s="62" t="str">
        <f aca="false">'مواد المخزون'!A39</f>
        <v>دقيق</v>
      </c>
      <c r="B42" s="95" t="str">
        <f aca="false">'مواد المخزون'!B39</f>
        <v>كجم</v>
      </c>
      <c r="C42" s="99" t="n">
        <v>12</v>
      </c>
      <c r="D42" s="99" t="n">
        <v>8.014</v>
      </c>
      <c r="E42" s="99" t="n">
        <v>50.255</v>
      </c>
      <c r="F42" s="99" t="n">
        <v>0</v>
      </c>
      <c r="G42" s="100" t="n">
        <f aca="false">C42*'مواد المخزون'!$E39</f>
        <v>244.2852</v>
      </c>
      <c r="H42" s="100" t="n">
        <f aca="false">D42*'مواد المخزون'!$E39</f>
        <v>163.1417994</v>
      </c>
      <c r="I42" s="100" t="n">
        <f aca="false">E42*'مواد المخزون'!$E39</f>
        <v>1023.0460605</v>
      </c>
      <c r="J42" s="100" t="n">
        <f aca="false">F42*'مواد المخزون'!$E39</f>
        <v>0</v>
      </c>
    </row>
    <row r="43" customFormat="false" ht="15" hidden="false" customHeight="false" outlineLevel="0" collapsed="false">
      <c r="A43" s="62" t="str">
        <f aca="false">'مواد المخزون'!A40</f>
        <v>زبدة</v>
      </c>
      <c r="B43" s="95" t="str">
        <f aca="false">'مواد المخزون'!B40</f>
        <v>كجم</v>
      </c>
      <c r="C43" s="99" t="n">
        <v>3.556</v>
      </c>
      <c r="D43" s="99" t="n">
        <v>1.38</v>
      </c>
      <c r="E43" s="99" t="n">
        <v>1.528</v>
      </c>
      <c r="F43" s="99" t="n">
        <v>0</v>
      </c>
      <c r="G43" s="100" t="n">
        <f aca="false">C43*'مواد المخزون'!$E40</f>
        <v>426.72</v>
      </c>
      <c r="H43" s="100" t="n">
        <f aca="false">D43*'مواد المخزون'!$E40</f>
        <v>165.6</v>
      </c>
      <c r="I43" s="100" t="n">
        <f aca="false">E43*'مواد المخزون'!$E40</f>
        <v>183.36</v>
      </c>
      <c r="J43" s="100" t="n">
        <f aca="false">F43*'مواد المخزون'!$E40</f>
        <v>0</v>
      </c>
    </row>
    <row r="44" customFormat="false" ht="15" hidden="false" customHeight="false" outlineLevel="0" collapsed="false">
      <c r="A44" s="62" t="str">
        <f aca="false">'مواد المخزون'!A41</f>
        <v>زبيب</v>
      </c>
      <c r="B44" s="95" t="str">
        <f aca="false">'مواد المخزون'!B41</f>
        <v>كجم</v>
      </c>
      <c r="C44" s="99" t="n">
        <v>0.875</v>
      </c>
      <c r="D44" s="99" t="n">
        <v>0.46</v>
      </c>
      <c r="E44" s="99" t="n">
        <v>0.94</v>
      </c>
      <c r="F44" s="99" t="n">
        <v>0</v>
      </c>
      <c r="G44" s="100" t="n">
        <f aca="false">C44*'مواد المخزون'!$E41</f>
        <v>192.5</v>
      </c>
      <c r="H44" s="100" t="n">
        <f aca="false">D44*'مواد المخزون'!$E41</f>
        <v>101.2</v>
      </c>
      <c r="I44" s="100" t="n">
        <f aca="false">E44*'مواد المخزون'!$E41</f>
        <v>206.8</v>
      </c>
      <c r="J44" s="100" t="n">
        <f aca="false">F44*'مواد المخزون'!$E41</f>
        <v>0</v>
      </c>
    </row>
    <row r="45" customFormat="false" ht="15" hidden="false" customHeight="false" outlineLevel="0" collapsed="false">
      <c r="A45" s="62" t="str">
        <f aca="false">'مواد المخزون'!A42</f>
        <v>زيتون</v>
      </c>
      <c r="B45" s="95" t="str">
        <f aca="false">'مواد المخزون'!B42</f>
        <v>كجم</v>
      </c>
      <c r="C45" s="99" t="n">
        <v>16.25</v>
      </c>
      <c r="D45" s="99" t="n">
        <v>7.325</v>
      </c>
      <c r="E45" s="99" t="n">
        <v>9.57</v>
      </c>
      <c r="F45" s="99" t="n">
        <v>0</v>
      </c>
      <c r="G45" s="100" t="n">
        <f aca="false">C45*'مواد المخزون'!$E42</f>
        <v>1543.75</v>
      </c>
      <c r="H45" s="100" t="n">
        <f aca="false">D45*'مواد المخزون'!$E42</f>
        <v>695.875</v>
      </c>
      <c r="I45" s="100" t="n">
        <f aca="false">E45*'مواد المخزون'!$E42</f>
        <v>909.15</v>
      </c>
      <c r="J45" s="100" t="n">
        <f aca="false">F45*'مواد المخزون'!$E42</f>
        <v>0</v>
      </c>
    </row>
    <row r="46" customFormat="false" ht="15" hidden="false" customHeight="false" outlineLevel="0" collapsed="false">
      <c r="A46" s="62" t="str">
        <f aca="false">'مواد المخزون'!A43</f>
        <v>سكر بودرة</v>
      </c>
      <c r="B46" s="95" t="str">
        <f aca="false">'مواد المخزون'!B43</f>
        <v>كجم</v>
      </c>
      <c r="C46" s="99" t="n">
        <v>5.845</v>
      </c>
      <c r="D46" s="99" t="n">
        <v>7.764</v>
      </c>
      <c r="E46" s="99" t="n">
        <v>4.821</v>
      </c>
      <c r="F46" s="99" t="n">
        <v>0</v>
      </c>
      <c r="G46" s="100" t="n">
        <f aca="false">C46*'مواد المخزون'!$E43</f>
        <v>179.2036085</v>
      </c>
      <c r="H46" s="100" t="n">
        <f aca="false">D46*'مواد المخزون'!$E43</f>
        <v>238.0388052</v>
      </c>
      <c r="I46" s="100" t="n">
        <f aca="false">E46*'مواد المخزون'!$E43</f>
        <v>147.8084853</v>
      </c>
      <c r="J46" s="100" t="n">
        <f aca="false">F46*'مواد المخزون'!$E43</f>
        <v>0</v>
      </c>
    </row>
    <row r="47" customFormat="false" ht="15" hidden="false" customHeight="false" outlineLevel="0" collapsed="false">
      <c r="A47" s="62" t="str">
        <f aca="false">'مواد المخزون'!A44</f>
        <v>سمنة الشيخ</v>
      </c>
      <c r="B47" s="95" t="str">
        <f aca="false">'مواد المخزون'!B44</f>
        <v>كجم</v>
      </c>
      <c r="C47" s="99" t="n">
        <v>1.25</v>
      </c>
      <c r="D47" s="99" t="n">
        <v>1.798</v>
      </c>
      <c r="E47" s="99" t="n">
        <v>5.06</v>
      </c>
      <c r="F47" s="99" t="n">
        <v>0</v>
      </c>
      <c r="G47" s="100" t="n">
        <f aca="false">C47*'مواد المخزون'!$E44</f>
        <v>475</v>
      </c>
      <c r="H47" s="100" t="n">
        <f aca="false">D47*'مواد المخزون'!$E44</f>
        <v>683.24</v>
      </c>
      <c r="I47" s="100" t="n">
        <f aca="false">E47*'مواد المخزون'!$E44</f>
        <v>1922.8</v>
      </c>
      <c r="J47" s="100" t="n">
        <f aca="false">F47*'مواد المخزون'!$E44</f>
        <v>0</v>
      </c>
    </row>
    <row r="48" customFormat="false" ht="15" hidden="false" customHeight="false" outlineLevel="0" collapsed="false">
      <c r="A48" s="62" t="str">
        <f aca="false">'مواد المخزون'!A45</f>
        <v>سيلفر رول</v>
      </c>
      <c r="B48" s="95" t="str">
        <f aca="false">'مواد المخزون'!B45</f>
        <v>رول</v>
      </c>
      <c r="C48" s="99" t="n">
        <v>1.5</v>
      </c>
      <c r="D48" s="99" t="n">
        <v>0.985</v>
      </c>
      <c r="E48" s="99" t="n">
        <v>1.92</v>
      </c>
      <c r="F48" s="99" t="n">
        <v>0</v>
      </c>
      <c r="G48" s="100" t="n">
        <f aca="false">C48*'مواد المخزون'!$E45</f>
        <v>755.67</v>
      </c>
      <c r="H48" s="100" t="n">
        <f aca="false">D48*'مواد المخزون'!$E45</f>
        <v>496.2233</v>
      </c>
      <c r="I48" s="100" t="n">
        <f aca="false">E48*'مواد المخزون'!$E45</f>
        <v>967.2576</v>
      </c>
      <c r="J48" s="100" t="n">
        <f aca="false">F48*'مواد المخزون'!$E45</f>
        <v>0</v>
      </c>
    </row>
    <row r="49" customFormat="false" ht="15" hidden="false" customHeight="false" outlineLevel="0" collapsed="false">
      <c r="A49" s="62" t="str">
        <f aca="false">'مواد المخزون'!A46</f>
        <v>شرايح بلاستيك وسط</v>
      </c>
      <c r="B49" s="95" t="str">
        <f aca="false">'مواد المخزون'!B46</f>
        <v>كجم</v>
      </c>
      <c r="C49" s="99" t="n">
        <v>0.5</v>
      </c>
      <c r="D49" s="99" t="n">
        <v>0.5</v>
      </c>
      <c r="E49" s="99" t="n">
        <v>1</v>
      </c>
      <c r="F49" s="99" t="n">
        <v>0</v>
      </c>
      <c r="G49" s="100" t="n">
        <f aca="false">C49*'مواد المخزون'!$E46</f>
        <v>67.5</v>
      </c>
      <c r="H49" s="100" t="n">
        <f aca="false">D49*'مواد المخزون'!$E46</f>
        <v>67.5</v>
      </c>
      <c r="I49" s="100" t="n">
        <f aca="false">E49*'مواد المخزون'!$E46</f>
        <v>135</v>
      </c>
      <c r="J49" s="100" t="n">
        <f aca="false">F49*'مواد المخزون'!$E46</f>
        <v>0</v>
      </c>
    </row>
    <row r="50" customFormat="false" ht="15" hidden="false" customHeight="false" outlineLevel="0" collapsed="false">
      <c r="A50" s="62" t="str">
        <f aca="false">'مواد المخزون'!A47</f>
        <v>شوك بلاستيك</v>
      </c>
      <c r="B50" s="95" t="str">
        <f aca="false">'مواد المخزون'!B47</f>
        <v>قطعة</v>
      </c>
      <c r="C50" s="99" t="n">
        <v>500</v>
      </c>
      <c r="D50" s="99" t="n">
        <v>2800</v>
      </c>
      <c r="E50" s="99" t="n">
        <v>1058</v>
      </c>
      <c r="F50" s="99" t="n">
        <v>0</v>
      </c>
      <c r="G50" s="100" t="n">
        <f aca="false">C50*'مواد المخزون'!$E47</f>
        <v>150</v>
      </c>
      <c r="H50" s="100" t="n">
        <f aca="false">D50*'مواد المخزون'!$E47</f>
        <v>840</v>
      </c>
      <c r="I50" s="100" t="n">
        <f aca="false">E50*'مواد المخزون'!$E47</f>
        <v>317.4</v>
      </c>
      <c r="J50" s="100" t="n">
        <f aca="false">F50*'مواد المخزون'!$E47</f>
        <v>0</v>
      </c>
    </row>
    <row r="51" customFormat="false" ht="15" hidden="false" customHeight="false" outlineLevel="0" collapsed="false">
      <c r="A51" s="62" t="str">
        <f aca="false">'مواد المخزون'!A48</f>
        <v>شيكولاتة بني</v>
      </c>
      <c r="B51" s="95" t="str">
        <f aca="false">'مواد المخزون'!B48</f>
        <v>كجم</v>
      </c>
      <c r="C51" s="99" t="n">
        <v>8.5</v>
      </c>
      <c r="D51" s="99" t="n">
        <v>5.3</v>
      </c>
      <c r="E51" s="99" t="n">
        <v>7.485</v>
      </c>
      <c r="F51" s="99" t="n">
        <v>0</v>
      </c>
      <c r="G51" s="100" t="n">
        <f aca="false">C51*'مواد المخزون'!$E48</f>
        <v>1085.0947</v>
      </c>
      <c r="H51" s="100" t="n">
        <f aca="false">D51*'مواد المخزون'!$E48</f>
        <v>676.58846</v>
      </c>
      <c r="I51" s="100" t="n">
        <f aca="false">E51*'مواد المخزون'!$E48</f>
        <v>955.521627</v>
      </c>
      <c r="J51" s="100" t="n">
        <f aca="false">F51*'مواد المخزون'!$E48</f>
        <v>0</v>
      </c>
    </row>
    <row r="52" customFormat="false" ht="15" hidden="false" customHeight="false" outlineLevel="0" collapsed="false">
      <c r="A52" s="62" t="str">
        <f aca="false">'مواد المخزون'!A49</f>
        <v>شيكولاتة بيضاء</v>
      </c>
      <c r="B52" s="95" t="str">
        <f aca="false">'مواد المخزون'!B49</f>
        <v>كجم</v>
      </c>
      <c r="C52" s="99" t="n">
        <v>5.5</v>
      </c>
      <c r="D52" s="99" t="n">
        <v>6</v>
      </c>
      <c r="E52" s="99" t="n">
        <v>4.07</v>
      </c>
      <c r="F52" s="99" t="n">
        <v>0</v>
      </c>
      <c r="G52" s="100" t="n">
        <f aca="false">C52*'مواد المخزون'!$E49</f>
        <v>550</v>
      </c>
      <c r="H52" s="100" t="n">
        <f aca="false">D52*'مواد المخزون'!$E49</f>
        <v>600</v>
      </c>
      <c r="I52" s="100" t="n">
        <f aca="false">E52*'مواد المخزون'!$E49</f>
        <v>407</v>
      </c>
      <c r="J52" s="100" t="n">
        <f aca="false">F52*'مواد المخزون'!$E49</f>
        <v>0</v>
      </c>
    </row>
    <row r="53" customFormat="false" ht="15" hidden="false" customHeight="false" outlineLevel="0" collapsed="false">
      <c r="A53" s="62" t="str">
        <f aca="false">'مواد المخزون'!A50</f>
        <v>صلصة مصنع</v>
      </c>
      <c r="B53" s="95" t="str">
        <f aca="false">'مواد المخزون'!B50</f>
        <v>كجم</v>
      </c>
      <c r="C53" s="99" t="n">
        <v>8</v>
      </c>
      <c r="D53" s="99" t="n">
        <v>7.797</v>
      </c>
      <c r="E53" s="99" t="n">
        <v>6.526</v>
      </c>
      <c r="F53" s="99" t="n">
        <v>0</v>
      </c>
      <c r="G53" s="100" t="n">
        <f aca="false">C53*'مواد المخزون'!$E50</f>
        <v>256</v>
      </c>
      <c r="H53" s="100" t="n">
        <f aca="false">D53*'مواد المخزون'!$E50</f>
        <v>249.504</v>
      </c>
      <c r="I53" s="100" t="n">
        <f aca="false">E53*'مواد المخزون'!$E50</f>
        <v>208.832</v>
      </c>
      <c r="J53" s="100" t="n">
        <f aca="false">F53*'مواد المخزون'!$E50</f>
        <v>0</v>
      </c>
    </row>
    <row r="54" customFormat="false" ht="15" hidden="false" customHeight="false" outlineLevel="0" collapsed="false">
      <c r="A54" s="62" t="str">
        <f aca="false">'مواد المخزون'!A51</f>
        <v>صوص باربيكيو كيلو</v>
      </c>
      <c r="B54" s="95" t="str">
        <f aca="false">'مواد المخزون'!B51</f>
        <v>كجم</v>
      </c>
      <c r="C54" s="99" t="n">
        <v>4.5</v>
      </c>
      <c r="D54" s="99" t="n">
        <v>6.95</v>
      </c>
      <c r="E54" s="99" t="n">
        <v>4.3</v>
      </c>
      <c r="F54" s="99" t="n">
        <v>0</v>
      </c>
      <c r="G54" s="100" t="n">
        <f aca="false">C54*'مواد المخزون'!$E51</f>
        <v>315</v>
      </c>
      <c r="H54" s="100" t="n">
        <f aca="false">D54*'مواد المخزون'!$E51</f>
        <v>486.5</v>
      </c>
      <c r="I54" s="100" t="n">
        <f aca="false">E54*'مواد المخزون'!$E51</f>
        <v>301</v>
      </c>
      <c r="J54" s="100" t="n">
        <f aca="false">F54*'مواد المخزون'!$E51</f>
        <v>0</v>
      </c>
    </row>
    <row r="55" customFormat="false" ht="15" hidden="false" customHeight="false" outlineLevel="0" collapsed="false">
      <c r="A55" s="62" t="str">
        <f aca="false">'مواد المخزون'!A52</f>
        <v>صوص تكساس برجر</v>
      </c>
      <c r="B55" s="95" t="str">
        <f aca="false">'مواد المخزون'!B52</f>
        <v>كجم</v>
      </c>
      <c r="C55" s="99" t="n">
        <v>5.25</v>
      </c>
      <c r="D55" s="99" t="n">
        <v>4.3</v>
      </c>
      <c r="E55" s="99" t="n">
        <v>3.25</v>
      </c>
      <c r="F55" s="99" t="n">
        <v>0</v>
      </c>
      <c r="G55" s="100" t="n">
        <f aca="false">C55*'مواد المخزون'!$E52</f>
        <v>735</v>
      </c>
      <c r="H55" s="100" t="n">
        <f aca="false">D55*'مواد المخزون'!$E52</f>
        <v>602</v>
      </c>
      <c r="I55" s="100" t="n">
        <f aca="false">E55*'مواد المخزون'!$E52</f>
        <v>455</v>
      </c>
      <c r="J55" s="100" t="n">
        <f aca="false">F55*'مواد المخزون'!$E52</f>
        <v>0</v>
      </c>
    </row>
    <row r="56" customFormat="false" ht="15" hidden="false" customHeight="false" outlineLevel="0" collapsed="false">
      <c r="A56" s="62" t="str">
        <f aca="false">'مواد المخزون'!A53</f>
        <v>صوص رانش كيلو</v>
      </c>
      <c r="B56" s="95" t="str">
        <f aca="false">'مواد المخزون'!B53</f>
        <v>كجم</v>
      </c>
      <c r="C56" s="99" t="n">
        <v>6.5</v>
      </c>
      <c r="D56" s="99" t="n">
        <v>3.6</v>
      </c>
      <c r="E56" s="99" t="n">
        <v>5.31</v>
      </c>
      <c r="F56" s="99" t="n">
        <v>0</v>
      </c>
      <c r="G56" s="100" t="n">
        <f aca="false">C56*'مواد المخزون'!$E53</f>
        <v>682.5</v>
      </c>
      <c r="H56" s="100" t="n">
        <f aca="false">D56*'مواد المخزون'!$E53</f>
        <v>378</v>
      </c>
      <c r="I56" s="100" t="n">
        <f aca="false">E56*'مواد المخزون'!$E53</f>
        <v>557.55</v>
      </c>
      <c r="J56" s="100" t="n">
        <f aca="false">F56*'مواد المخزون'!$E53</f>
        <v>0</v>
      </c>
    </row>
    <row r="57" customFormat="false" ht="15" hidden="false" customHeight="false" outlineLevel="0" collapsed="false">
      <c r="A57" s="62" t="str">
        <f aca="false">'مواد المخزون'!A54</f>
        <v>صوص شيدر كيلو</v>
      </c>
      <c r="B57" s="95" t="str">
        <f aca="false">'مواد المخزون'!B54</f>
        <v>كجم</v>
      </c>
      <c r="C57" s="99" t="n">
        <v>6</v>
      </c>
      <c r="D57" s="99" t="n">
        <v>6.795</v>
      </c>
      <c r="E57" s="99" t="n">
        <v>3.04</v>
      </c>
      <c r="F57" s="99" t="n">
        <v>0</v>
      </c>
      <c r="G57" s="100" t="n">
        <f aca="false">C57*'مواد المخزون'!$E54</f>
        <v>840</v>
      </c>
      <c r="H57" s="100" t="n">
        <f aca="false">D57*'مواد المخزون'!$E54</f>
        <v>951.3</v>
      </c>
      <c r="I57" s="100" t="n">
        <f aca="false">E57*'مواد المخزون'!$E54</f>
        <v>425.6</v>
      </c>
      <c r="J57" s="100" t="n">
        <f aca="false">F57*'مواد المخزون'!$E54</f>
        <v>0</v>
      </c>
    </row>
    <row r="58" customFormat="false" ht="15" hidden="false" customHeight="false" outlineLevel="0" collapsed="false">
      <c r="A58" s="62" t="str">
        <f aca="false">'مواد المخزون'!A55</f>
        <v>طماطم</v>
      </c>
      <c r="B58" s="95" t="str">
        <f aca="false">'مواد المخزون'!B55</f>
        <v>كجم</v>
      </c>
      <c r="C58" s="99" t="n">
        <v>15</v>
      </c>
      <c r="D58" s="99" t="n">
        <v>6.55</v>
      </c>
      <c r="E58" s="99" t="n">
        <v>3.485</v>
      </c>
      <c r="F58" s="99" t="n">
        <v>0</v>
      </c>
      <c r="G58" s="100" t="n">
        <f aca="false">C58*'مواد المخزون'!$E55</f>
        <v>315</v>
      </c>
      <c r="H58" s="100" t="n">
        <f aca="false">D58*'مواد المخزون'!$E55</f>
        <v>137.55</v>
      </c>
      <c r="I58" s="100" t="n">
        <f aca="false">E58*'مواد المخزون'!$E55</f>
        <v>73.185</v>
      </c>
      <c r="J58" s="100" t="n">
        <f aca="false">F58*'مواد المخزون'!$E55</f>
        <v>0</v>
      </c>
    </row>
    <row r="59" customFormat="false" ht="15" hidden="false" customHeight="false" outlineLevel="0" collapsed="false">
      <c r="A59" s="62" t="str">
        <f aca="false">'مواد المخزون'!A56</f>
        <v>عجين بيتزا</v>
      </c>
      <c r="B59" s="95" t="str">
        <f aca="false">'مواد المخزون'!B56</f>
        <v>كجم</v>
      </c>
      <c r="C59" s="99" t="n">
        <v>21</v>
      </c>
      <c r="D59" s="99" t="n">
        <v>25</v>
      </c>
      <c r="E59" s="99" t="n">
        <v>44.18</v>
      </c>
      <c r="F59" s="99" t="n">
        <v>0</v>
      </c>
      <c r="G59" s="100" t="n">
        <f aca="false">C59*'مواد المخزون'!$E56</f>
        <v>462</v>
      </c>
      <c r="H59" s="100" t="n">
        <f aca="false">D59*'مواد المخزون'!$E56</f>
        <v>550</v>
      </c>
      <c r="I59" s="100" t="n">
        <f aca="false">E59*'مواد المخزون'!$E56</f>
        <v>971.96</v>
      </c>
      <c r="J59" s="100" t="n">
        <f aca="false">F59*'مواد المخزون'!$E56</f>
        <v>0</v>
      </c>
    </row>
    <row r="60" customFormat="false" ht="15" hidden="false" customHeight="false" outlineLevel="0" collapsed="false">
      <c r="A60" s="62" t="str">
        <f aca="false">'مواد المخزون'!A57</f>
        <v>عجين فطير</v>
      </c>
      <c r="B60" s="95" t="str">
        <f aca="false">'مواد المخزون'!B57</f>
        <v>قطعة</v>
      </c>
      <c r="C60" s="99" t="n">
        <v>105</v>
      </c>
      <c r="D60" s="99" t="n">
        <v>199</v>
      </c>
      <c r="E60" s="99" t="n">
        <v>109</v>
      </c>
      <c r="F60" s="99" t="n">
        <v>0</v>
      </c>
      <c r="G60" s="100" t="n">
        <f aca="false">C60*'مواد المخزون'!$E57</f>
        <v>420</v>
      </c>
      <c r="H60" s="100" t="n">
        <f aca="false">D60*'مواد المخزون'!$E57</f>
        <v>796</v>
      </c>
      <c r="I60" s="100" t="n">
        <f aca="false">E60*'مواد المخزون'!$E57</f>
        <v>436</v>
      </c>
      <c r="J60" s="100" t="n">
        <f aca="false">F60*'مواد المخزون'!$E57</f>
        <v>0</v>
      </c>
    </row>
    <row r="61" customFormat="false" ht="15" hidden="false" customHeight="false" outlineLevel="0" collapsed="false">
      <c r="A61" s="62" t="str">
        <f aca="false">'مواد المخزون'!A58</f>
        <v>عسل ابيض</v>
      </c>
      <c r="B61" s="95" t="str">
        <f aca="false">'مواد المخزون'!B58</f>
        <v>كجم</v>
      </c>
      <c r="C61" s="99" t="n">
        <v>1.5</v>
      </c>
      <c r="D61" s="99" t="n">
        <v>1.8</v>
      </c>
      <c r="E61" s="99" t="n">
        <v>0.6</v>
      </c>
      <c r="F61" s="99" t="n">
        <v>0</v>
      </c>
      <c r="G61" s="100" t="n">
        <f aca="false">C61*'مواد المخزون'!$E58</f>
        <v>210</v>
      </c>
      <c r="H61" s="100" t="n">
        <f aca="false">D61*'مواد المخزون'!$E58</f>
        <v>252</v>
      </c>
      <c r="I61" s="100" t="n">
        <f aca="false">E61*'مواد المخزون'!$E58</f>
        <v>84</v>
      </c>
      <c r="J61" s="100" t="n">
        <f aca="false">F61*'مواد المخزون'!$E58</f>
        <v>0</v>
      </c>
    </row>
    <row r="62" customFormat="false" ht="15" hidden="false" customHeight="false" outlineLevel="0" collapsed="false">
      <c r="A62" s="62" t="str">
        <f aca="false">'مواد المخزون'!A59</f>
        <v>علب بيتزا كبير</v>
      </c>
      <c r="B62" s="95" t="str">
        <f aca="false">'مواد المخزون'!B59</f>
        <v>قطعة</v>
      </c>
      <c r="C62" s="99" t="n">
        <v>1336</v>
      </c>
      <c r="D62" s="99" t="n">
        <v>1050</v>
      </c>
      <c r="E62" s="99" t="n">
        <v>996</v>
      </c>
      <c r="F62" s="99" t="n">
        <v>0</v>
      </c>
      <c r="G62" s="100" t="n">
        <f aca="false">C62*'مواد المخزون'!$E59</f>
        <v>7348</v>
      </c>
      <c r="H62" s="100" t="n">
        <f aca="false">D62*'مواد المخزون'!$E59</f>
        <v>5775</v>
      </c>
      <c r="I62" s="100" t="n">
        <f aca="false">E62*'مواد المخزون'!$E59</f>
        <v>5478</v>
      </c>
      <c r="J62" s="100" t="n">
        <f aca="false">F62*'مواد المخزون'!$E59</f>
        <v>0</v>
      </c>
    </row>
    <row r="63" customFormat="false" ht="15" hidden="false" customHeight="false" outlineLevel="0" collapsed="false">
      <c r="A63" s="62" t="str">
        <f aca="false">'مواد المخزون'!A60</f>
        <v>علب بيتزا وسط</v>
      </c>
      <c r="B63" s="95" t="str">
        <f aca="false">'مواد المخزون'!B60</f>
        <v>قطعة</v>
      </c>
      <c r="C63" s="99" t="n">
        <v>1130</v>
      </c>
      <c r="D63" s="99" t="n">
        <v>4000</v>
      </c>
      <c r="E63" s="99" t="n">
        <v>4995</v>
      </c>
      <c r="F63" s="99" t="n">
        <v>0</v>
      </c>
      <c r="G63" s="100" t="n">
        <f aca="false">C63*'مواد المخزون'!$E60</f>
        <v>5085</v>
      </c>
      <c r="H63" s="100" t="n">
        <f aca="false">D63*'مواد المخزون'!$E60</f>
        <v>18000</v>
      </c>
      <c r="I63" s="100" t="n">
        <f aca="false">E63*'مواد المخزون'!$E60</f>
        <v>22477.5</v>
      </c>
      <c r="J63" s="100" t="n">
        <f aca="false">F63*'مواد المخزون'!$E60</f>
        <v>0</v>
      </c>
    </row>
    <row r="64" customFormat="false" ht="15" hidden="false" customHeight="false" outlineLevel="0" collapsed="false">
      <c r="A64" s="62" t="str">
        <f aca="false">'مواد المخزون'!A61</f>
        <v>علبة بطاطس صغير</v>
      </c>
      <c r="B64" s="95" t="str">
        <f aca="false">'مواد المخزون'!B61</f>
        <v>قطعة</v>
      </c>
      <c r="C64" s="99" t="n">
        <v>13</v>
      </c>
      <c r="D64" s="99" t="n">
        <v>220</v>
      </c>
      <c r="E64" s="99" t="n">
        <v>39</v>
      </c>
      <c r="F64" s="99" t="n">
        <v>0</v>
      </c>
      <c r="G64" s="100" t="n">
        <f aca="false">C64*'مواد المخزون'!$E61</f>
        <v>22.1</v>
      </c>
      <c r="H64" s="100" t="n">
        <f aca="false">D64*'مواد المخزون'!$E61</f>
        <v>374</v>
      </c>
      <c r="I64" s="100" t="n">
        <f aca="false">E64*'مواد المخزون'!$E61</f>
        <v>66.3</v>
      </c>
      <c r="J64" s="100" t="n">
        <f aca="false">F64*'مواد المخزون'!$E61</f>
        <v>0</v>
      </c>
    </row>
    <row r="65" customFormat="false" ht="15" hidden="false" customHeight="false" outlineLevel="0" collapsed="false">
      <c r="A65" s="62" t="str">
        <f aca="false">'مواد المخزون'!A62</f>
        <v>علبة بطاطس كبير</v>
      </c>
      <c r="B65" s="95" t="str">
        <f aca="false">'مواد المخزون'!B62</f>
        <v>قطعة</v>
      </c>
      <c r="C65" s="99" t="n">
        <v>10</v>
      </c>
      <c r="D65" s="99" t="n">
        <v>40</v>
      </c>
      <c r="E65" s="99" t="n">
        <v>87</v>
      </c>
      <c r="F65" s="99" t="n">
        <v>0</v>
      </c>
      <c r="G65" s="100" t="n">
        <f aca="false">C65*'مواد المخزون'!$E62</f>
        <v>20</v>
      </c>
      <c r="H65" s="100" t="n">
        <f aca="false">D65*'مواد المخزون'!$E62</f>
        <v>80</v>
      </c>
      <c r="I65" s="100" t="n">
        <f aca="false">E65*'مواد المخزون'!$E62</f>
        <v>174</v>
      </c>
      <c r="J65" s="100" t="n">
        <f aca="false">F65*'مواد المخزون'!$E62</f>
        <v>0</v>
      </c>
    </row>
    <row r="66" customFormat="false" ht="15" hidden="false" customHeight="false" outlineLevel="0" collapsed="false">
      <c r="A66" s="62" t="str">
        <f aca="false">'مواد المخزون'!A63</f>
        <v>علبة بلاستيك وجبات</v>
      </c>
      <c r="B66" s="95" t="str">
        <f aca="false">'مواد المخزون'!B63</f>
        <v>قطعة</v>
      </c>
      <c r="C66" s="99" t="n">
        <v>0</v>
      </c>
      <c r="D66" s="99" t="n">
        <v>38</v>
      </c>
      <c r="E66" s="99" t="n">
        <v>99</v>
      </c>
      <c r="F66" s="99" t="n">
        <v>0</v>
      </c>
      <c r="G66" s="100" t="n">
        <f aca="false">C66*'مواد المخزون'!$E63</f>
        <v>0</v>
      </c>
      <c r="H66" s="100" t="n">
        <f aca="false">D66*'مواد المخزون'!$E63</f>
        <v>117.8</v>
      </c>
      <c r="I66" s="100" t="n">
        <f aca="false">E66*'مواد المخزون'!$E63</f>
        <v>306.9</v>
      </c>
      <c r="J66" s="100" t="n">
        <f aca="false">F66*'مواد المخزون'!$E63</f>
        <v>0</v>
      </c>
    </row>
    <row r="67" customFormat="false" ht="15" hidden="false" customHeight="false" outlineLevel="0" collapsed="false">
      <c r="A67" s="62" t="str">
        <f aca="false">'مواد المخزون'!A64</f>
        <v>علبة تونة صغير</v>
      </c>
      <c r="B67" s="95" t="str">
        <f aca="false">'مواد المخزون'!B64</f>
        <v>قطعة</v>
      </c>
      <c r="C67" s="99" t="n">
        <v>4</v>
      </c>
      <c r="D67" s="99" t="n">
        <v>6</v>
      </c>
      <c r="E67" s="99" t="n">
        <v>6</v>
      </c>
      <c r="F67" s="99" t="n">
        <v>0</v>
      </c>
      <c r="G67" s="100" t="n">
        <f aca="false">C67*'مواد المخزون'!$E64</f>
        <v>168.12</v>
      </c>
      <c r="H67" s="100" t="n">
        <f aca="false">D67*'مواد المخزون'!$E64</f>
        <v>252.18</v>
      </c>
      <c r="I67" s="100" t="n">
        <f aca="false">E67*'مواد المخزون'!$E64</f>
        <v>252.18</v>
      </c>
      <c r="J67" s="100" t="n">
        <f aca="false">F67*'مواد المخزون'!$E64</f>
        <v>0</v>
      </c>
    </row>
    <row r="68" customFormat="false" ht="15" hidden="false" customHeight="false" outlineLevel="0" collapsed="false">
      <c r="A68" s="62" t="str">
        <f aca="false">'مواد المخزون'!A65</f>
        <v>فراخ كريسبي صيامي</v>
      </c>
      <c r="B68" s="95" t="str">
        <f aca="false">'مواد المخزون'!B65</f>
        <v>كجم</v>
      </c>
      <c r="C68" s="99" t="n">
        <v>0</v>
      </c>
      <c r="D68" s="99" t="n">
        <v>0</v>
      </c>
      <c r="E68" s="99" t="n">
        <v>0</v>
      </c>
      <c r="F68" s="99" t="n">
        <v>0</v>
      </c>
      <c r="G68" s="100" t="n">
        <f aca="false">C68*'مواد المخزون'!$E65</f>
        <v>0</v>
      </c>
      <c r="H68" s="100" t="n">
        <f aca="false">D68*'مواد المخزون'!$E65</f>
        <v>0</v>
      </c>
      <c r="I68" s="100" t="n">
        <f aca="false">E68*'مواد المخزون'!$E65</f>
        <v>0</v>
      </c>
      <c r="J68" s="100" t="n">
        <f aca="false">F68*'مواد المخزون'!$E65</f>
        <v>0</v>
      </c>
    </row>
    <row r="69" customFormat="false" ht="15" hidden="false" customHeight="false" outlineLevel="0" collapsed="false">
      <c r="A69" s="62" t="str">
        <f aca="false">'مواد المخزون'!A66</f>
        <v>فلفل كوبي</v>
      </c>
      <c r="B69" s="95" t="str">
        <f aca="false">'مواد المخزون'!B66</f>
        <v>كجم</v>
      </c>
      <c r="C69" s="99" t="n">
        <v>7</v>
      </c>
      <c r="D69" s="99" t="n">
        <v>5.185</v>
      </c>
      <c r="E69" s="99" t="n">
        <v>2.8</v>
      </c>
      <c r="F69" s="99" t="n">
        <v>0</v>
      </c>
      <c r="G69" s="100" t="n">
        <f aca="false">C69*'مواد المخزون'!$E66</f>
        <v>189</v>
      </c>
      <c r="H69" s="100" t="n">
        <f aca="false">D69*'مواد المخزون'!$E66</f>
        <v>139.995</v>
      </c>
      <c r="I69" s="100" t="n">
        <f aca="false">E69*'مواد المخزون'!$E66</f>
        <v>75.6</v>
      </c>
      <c r="J69" s="100" t="n">
        <f aca="false">F69*'مواد المخزون'!$E66</f>
        <v>0</v>
      </c>
    </row>
    <row r="70" customFormat="false" ht="15" hidden="false" customHeight="false" outlineLevel="0" collapsed="false">
      <c r="A70" s="62" t="str">
        <f aca="false">'مواد المخزون'!A67</f>
        <v>قطعة جبنة كيري</v>
      </c>
      <c r="B70" s="95" t="str">
        <f aca="false">'مواد المخزون'!B67</f>
        <v>قطعة</v>
      </c>
      <c r="C70" s="99" t="n">
        <v>65</v>
      </c>
      <c r="D70" s="99" t="n">
        <v>84</v>
      </c>
      <c r="E70" s="99" t="n">
        <v>85</v>
      </c>
      <c r="F70" s="99" t="n">
        <v>0</v>
      </c>
      <c r="G70" s="100" t="n">
        <f aca="false">C70*'مواد المخزون'!$E67</f>
        <v>455</v>
      </c>
      <c r="H70" s="100" t="n">
        <f aca="false">D70*'مواد المخزون'!$E67</f>
        <v>588</v>
      </c>
      <c r="I70" s="100" t="n">
        <f aca="false">E70*'مواد المخزون'!$E67</f>
        <v>595</v>
      </c>
      <c r="J70" s="100" t="n">
        <f aca="false">F70*'مواد المخزون'!$E67</f>
        <v>0</v>
      </c>
    </row>
    <row r="71" customFormat="false" ht="15" hidden="false" customHeight="false" outlineLevel="0" collapsed="false">
      <c r="A71" s="62" t="str">
        <f aca="false">'مواد المخزون'!A68</f>
        <v>كاتشب ظرف</v>
      </c>
      <c r="B71" s="95" t="str">
        <f aca="false">'مواد المخزون'!B68</f>
        <v>قطعة</v>
      </c>
      <c r="C71" s="99" t="n">
        <v>250</v>
      </c>
      <c r="D71" s="99" t="n">
        <v>534</v>
      </c>
      <c r="E71" s="99" t="n">
        <v>3577</v>
      </c>
      <c r="F71" s="99" t="n">
        <v>0</v>
      </c>
      <c r="G71" s="100" t="n">
        <f aca="false">C71*'مواد المخزون'!$E68</f>
        <v>75</v>
      </c>
      <c r="H71" s="100" t="n">
        <f aca="false">D71*'مواد المخزون'!$E68</f>
        <v>160.2</v>
      </c>
      <c r="I71" s="100" t="n">
        <f aca="false">E71*'مواد المخزون'!$E68</f>
        <v>1073.1</v>
      </c>
      <c r="J71" s="100" t="n">
        <f aca="false">F71*'مواد المخزون'!$E68</f>
        <v>0</v>
      </c>
    </row>
    <row r="72" customFormat="false" ht="15" hidden="false" customHeight="false" outlineLevel="0" collapsed="false">
      <c r="A72" s="62" t="str">
        <f aca="false">'مواد المخزون'!A69</f>
        <v>كاستر بودر</v>
      </c>
      <c r="B72" s="95" t="str">
        <f aca="false">'مواد المخزون'!B69</f>
        <v>كجم</v>
      </c>
      <c r="C72" s="99" t="n">
        <v>1.25</v>
      </c>
      <c r="D72" s="99" t="n">
        <v>0.7</v>
      </c>
      <c r="E72" s="99" t="n">
        <v>7.3</v>
      </c>
      <c r="F72" s="99" t="n">
        <v>0</v>
      </c>
      <c r="G72" s="100" t="n">
        <f aca="false">C72*'مواد المخزون'!$E69</f>
        <v>112.5</v>
      </c>
      <c r="H72" s="100" t="n">
        <f aca="false">D72*'مواد المخزون'!$E69</f>
        <v>63</v>
      </c>
      <c r="I72" s="100" t="n">
        <f aca="false">E72*'مواد المخزون'!$E69</f>
        <v>657</v>
      </c>
      <c r="J72" s="100" t="n">
        <f aca="false">F72*'مواد المخزون'!$E69</f>
        <v>0</v>
      </c>
    </row>
    <row r="73" customFormat="false" ht="15" hidden="false" customHeight="false" outlineLevel="0" collapsed="false">
      <c r="A73" s="62" t="str">
        <f aca="false">'مواد المخزون'!A70</f>
        <v>كراسي بيتزا</v>
      </c>
      <c r="B73" s="95" t="str">
        <f aca="false">'مواد المخزون'!B70</f>
        <v>قطعة</v>
      </c>
      <c r="C73" s="99" t="n">
        <v>475</v>
      </c>
      <c r="D73" s="99" t="n">
        <v>387</v>
      </c>
      <c r="E73" s="99" t="n">
        <v>1661</v>
      </c>
      <c r="F73" s="99" t="n">
        <v>0</v>
      </c>
      <c r="G73" s="100" t="n">
        <f aca="false">C73*'مواد المخزون'!$E70</f>
        <v>237.5</v>
      </c>
      <c r="H73" s="100" t="n">
        <f aca="false">D73*'مواد المخزون'!$E70</f>
        <v>193.5</v>
      </c>
      <c r="I73" s="100" t="n">
        <f aca="false">E73*'مواد المخزون'!$E70</f>
        <v>830.5</v>
      </c>
      <c r="J73" s="100" t="n">
        <f aca="false">F73*'مواد المخزون'!$E70</f>
        <v>0</v>
      </c>
    </row>
    <row r="74" customFormat="false" ht="15" hidden="false" customHeight="false" outlineLevel="0" collapsed="false">
      <c r="A74" s="62" t="str">
        <f aca="false">'مواد المخزون'!A71</f>
        <v>كريز احمر</v>
      </c>
      <c r="B74" s="95" t="str">
        <f aca="false">'مواد المخزون'!B71</f>
        <v>كجم</v>
      </c>
      <c r="C74" s="99" t="n">
        <v>0.8</v>
      </c>
      <c r="D74" s="99" t="n">
        <v>0.67</v>
      </c>
      <c r="E74" s="99" t="n">
        <v>1.8</v>
      </c>
      <c r="F74" s="99" t="n">
        <v>0</v>
      </c>
      <c r="G74" s="100" t="n">
        <f aca="false">C74*'مواد المخزون'!$E71</f>
        <v>336</v>
      </c>
      <c r="H74" s="100" t="n">
        <f aca="false">D74*'مواد المخزون'!$E71</f>
        <v>281.4</v>
      </c>
      <c r="I74" s="100" t="n">
        <f aca="false">E74*'مواد المخزون'!$E71</f>
        <v>756</v>
      </c>
      <c r="J74" s="100" t="n">
        <f aca="false">F74*'مواد المخزون'!$E71</f>
        <v>0</v>
      </c>
    </row>
    <row r="75" customFormat="false" ht="15" hidden="false" customHeight="false" outlineLevel="0" collapsed="false">
      <c r="A75" s="62" t="str">
        <f aca="false">'مواد المخزون'!A72</f>
        <v>كفرات كريب</v>
      </c>
      <c r="B75" s="95" t="str">
        <f aca="false">'مواد المخزون'!B72</f>
        <v>قطعة</v>
      </c>
      <c r="C75" s="99" t="n">
        <v>190</v>
      </c>
      <c r="D75" s="99" t="n">
        <v>275</v>
      </c>
      <c r="E75" s="99" t="n">
        <v>74</v>
      </c>
      <c r="F75" s="99" t="n">
        <v>0</v>
      </c>
      <c r="G75" s="100" t="n">
        <f aca="false">C75*'مواد المخزون'!$E72</f>
        <v>380</v>
      </c>
      <c r="H75" s="100" t="n">
        <f aca="false">D75*'مواد المخزون'!$E72</f>
        <v>550</v>
      </c>
      <c r="I75" s="100" t="n">
        <f aca="false">E75*'مواد المخزون'!$E72</f>
        <v>148</v>
      </c>
      <c r="J75" s="100" t="n">
        <f aca="false">F75*'مواد المخزون'!$E72</f>
        <v>0</v>
      </c>
    </row>
    <row r="76" customFormat="false" ht="15" hidden="false" customHeight="false" outlineLevel="0" collapsed="false">
      <c r="A76" s="62" t="str">
        <f aca="false">'مواد المخزون'!A73</f>
        <v>لبن</v>
      </c>
      <c r="B76" s="95" t="str">
        <f aca="false">'مواد المخزون'!B73</f>
        <v>لتر</v>
      </c>
      <c r="C76" s="99" t="n">
        <v>3</v>
      </c>
      <c r="D76" s="99" t="n">
        <v>1.735</v>
      </c>
      <c r="E76" s="99" t="n">
        <v>9.068</v>
      </c>
      <c r="F76" s="99" t="n">
        <v>0</v>
      </c>
      <c r="G76" s="100" t="n">
        <f aca="false">C76*'مواد المخزون'!$E73</f>
        <v>62.0001</v>
      </c>
      <c r="H76" s="100" t="n">
        <f aca="false">D76*'مواد المخزون'!$E73</f>
        <v>35.8567245</v>
      </c>
      <c r="I76" s="100" t="n">
        <f aca="false">E76*'مواد المخزون'!$E73</f>
        <v>187.4056356</v>
      </c>
      <c r="J76" s="100" t="n">
        <f aca="false">F76*'مواد المخزون'!$E73</f>
        <v>0</v>
      </c>
    </row>
    <row r="77" customFormat="false" ht="15" hidden="false" customHeight="false" outlineLevel="0" collapsed="false">
      <c r="A77" s="62" t="str">
        <f aca="false">'مواد المخزون'!A74</f>
        <v>للوتس سبريد</v>
      </c>
      <c r="B77" s="95" t="str">
        <f aca="false">'مواد المخزون'!B74</f>
        <v>كجم</v>
      </c>
      <c r="C77" s="99" t="n">
        <v>1</v>
      </c>
      <c r="D77" s="99" t="n">
        <v>0.3</v>
      </c>
      <c r="E77" s="99" t="n">
        <v>0.975</v>
      </c>
      <c r="F77" s="99" t="n">
        <v>0</v>
      </c>
      <c r="G77" s="100" t="n">
        <f aca="false">C77*'مواد المخزون'!$E74</f>
        <v>135</v>
      </c>
      <c r="H77" s="100" t="n">
        <f aca="false">D77*'مواد المخزون'!$E74</f>
        <v>40.5</v>
      </c>
      <c r="I77" s="100" t="n">
        <f aca="false">E77*'مواد المخزون'!$E74</f>
        <v>131.625</v>
      </c>
      <c r="J77" s="100" t="n">
        <f aca="false">F77*'مواد المخزون'!$E74</f>
        <v>0</v>
      </c>
    </row>
    <row r="78" customFormat="false" ht="15" hidden="false" customHeight="false" outlineLevel="0" collapsed="false">
      <c r="A78" s="62" t="str">
        <f aca="false">'مواد المخزون'!A75</f>
        <v>مشروم فريش</v>
      </c>
      <c r="B78" s="95" t="str">
        <f aca="false">'مواد المخزون'!B75</f>
        <v>كجم</v>
      </c>
      <c r="C78" s="99" t="n">
        <v>2.1</v>
      </c>
      <c r="D78" s="99" t="n">
        <v>0.6</v>
      </c>
      <c r="E78" s="99" t="n">
        <v>0</v>
      </c>
      <c r="F78" s="99" t="n">
        <v>0</v>
      </c>
      <c r="G78" s="100" t="n">
        <f aca="false">C78*'مواد المخزون'!$E75</f>
        <v>317.52567</v>
      </c>
      <c r="H78" s="100" t="n">
        <f aca="false">D78*'مواد المخزون'!$E75</f>
        <v>90.72162</v>
      </c>
      <c r="I78" s="100" t="n">
        <f aca="false">E78*'مواد المخزون'!$E75</f>
        <v>0</v>
      </c>
      <c r="J78" s="100" t="n">
        <f aca="false">F78*'مواد المخزون'!$E75</f>
        <v>0</v>
      </c>
    </row>
    <row r="79" customFormat="false" ht="15" hidden="false" customHeight="false" outlineLevel="0" collapsed="false">
      <c r="A79" s="62" t="str">
        <f aca="false">'مواد المخزون'!A76</f>
        <v>مكرونة خام</v>
      </c>
      <c r="B79" s="95" t="str">
        <f aca="false">'مواد المخزون'!B76</f>
        <v>كجم</v>
      </c>
      <c r="C79" s="99" t="n">
        <v>25</v>
      </c>
      <c r="D79" s="99" t="n">
        <v>8.8</v>
      </c>
      <c r="E79" s="99" t="n">
        <v>20.25</v>
      </c>
      <c r="F79" s="99" t="n">
        <v>0</v>
      </c>
      <c r="G79" s="100" t="n">
        <f aca="false">C79*'مواد المخزون'!$E76</f>
        <v>600</v>
      </c>
      <c r="H79" s="100" t="n">
        <f aca="false">D79*'مواد المخزون'!$E76</f>
        <v>211.2</v>
      </c>
      <c r="I79" s="100" t="n">
        <f aca="false">E79*'مواد المخزون'!$E76</f>
        <v>486</v>
      </c>
      <c r="J79" s="100" t="n">
        <f aca="false">F79*'مواد المخزون'!$E76</f>
        <v>0</v>
      </c>
    </row>
    <row r="80" customFormat="false" ht="15" hidden="false" customHeight="false" outlineLevel="0" collapsed="false">
      <c r="A80" s="62" t="str">
        <f aca="false">'مواد المخزون'!A77</f>
        <v>نوتيلا كيلو</v>
      </c>
      <c r="B80" s="95" t="str">
        <f aca="false">'مواد المخزون'!B77</f>
        <v>كجم</v>
      </c>
      <c r="C80" s="99" t="n">
        <v>1.25</v>
      </c>
      <c r="D80" s="99" t="n">
        <v>1</v>
      </c>
      <c r="E80" s="99" t="n">
        <v>1</v>
      </c>
      <c r="F80" s="99" t="n">
        <v>0</v>
      </c>
      <c r="G80" s="100" t="n">
        <f aca="false">C80*'مواد المخزون'!$E77</f>
        <v>762.5</v>
      </c>
      <c r="H80" s="100" t="n">
        <f aca="false">D80*'مواد المخزون'!$E77</f>
        <v>610</v>
      </c>
      <c r="I80" s="100" t="n">
        <f aca="false">E80*'مواد المخزون'!$E77</f>
        <v>610</v>
      </c>
      <c r="J80" s="100" t="n">
        <f aca="false">F80*'مواد المخزون'!$E77</f>
        <v>0</v>
      </c>
    </row>
    <row r="81" customFormat="false" ht="15" hidden="false" customHeight="false" outlineLevel="0" collapsed="false">
      <c r="A81" s="62" t="str">
        <f aca="false">'مواد المخزون'!A78</f>
        <v>ورق زبدة وسط كيلو 500 ورقة</v>
      </c>
      <c r="B81" s="95" t="str">
        <f aca="false">'مواد المخزون'!B78</f>
        <v>كجم</v>
      </c>
      <c r="C81" s="99" t="n">
        <v>40</v>
      </c>
      <c r="D81" s="99" t="n">
        <v>6.143</v>
      </c>
      <c r="E81" s="99" t="n">
        <v>3.855</v>
      </c>
      <c r="F81" s="99" t="n">
        <v>0</v>
      </c>
      <c r="G81" s="100" t="n">
        <f aca="false">C81*'مواد المخزون'!$E78</f>
        <v>1832.5</v>
      </c>
      <c r="H81" s="100" t="n">
        <f aca="false">D81*'مواد المخزون'!$E78</f>
        <v>281.4261875</v>
      </c>
      <c r="I81" s="100" t="n">
        <f aca="false">E81*'مواد المخزون'!$E78</f>
        <v>176.6071875</v>
      </c>
      <c r="J81" s="100" t="n">
        <f aca="false">F81*'مواد المخزون'!$E78</f>
        <v>0</v>
      </c>
    </row>
    <row r="82" customFormat="false" ht="15" hidden="false" customHeight="false" outlineLevel="0" collapsed="false">
      <c r="A82" s="62" t="str">
        <f aca="false">'مواد المخزون'!A79</f>
        <v>اكياس كفرات</v>
      </c>
      <c r="B82" s="95" t="str">
        <f aca="false">'مواد المخزون'!B79</f>
        <v>كجم</v>
      </c>
      <c r="C82" s="99" t="n">
        <v>1</v>
      </c>
      <c r="D82" s="99" t="n">
        <v>7.55</v>
      </c>
      <c r="E82" s="99" t="n">
        <v>2</v>
      </c>
      <c r="F82" s="99" t="n">
        <v>0</v>
      </c>
      <c r="G82" s="100" t="n">
        <f aca="false">C82*'مواد المخزون'!$E79</f>
        <v>200</v>
      </c>
      <c r="H82" s="100" t="n">
        <f aca="false">D82*'مواد المخزون'!$E79</f>
        <v>1510</v>
      </c>
      <c r="I82" s="100" t="n">
        <f aca="false">E82*'مواد المخزون'!$E79</f>
        <v>400</v>
      </c>
      <c r="J82" s="100" t="n">
        <f aca="false">F82*'مواد المخزون'!$E79</f>
        <v>0</v>
      </c>
    </row>
    <row r="83" customFormat="false" ht="15" hidden="false" customHeight="false" outlineLevel="0" collapsed="false">
      <c r="A83" s="62" t="str">
        <f aca="false">'مواد المخزون'!A80</f>
        <v>علبة كاليزوني</v>
      </c>
      <c r="B83" s="95" t="str">
        <f aca="false">'مواد المخزون'!B80</f>
        <v>قطعة</v>
      </c>
      <c r="C83" s="99" t="n">
        <v>1190</v>
      </c>
      <c r="D83" s="99" t="n">
        <v>1800</v>
      </c>
      <c r="E83" s="99" t="n">
        <v>1505</v>
      </c>
      <c r="F83" s="99" t="n">
        <v>0</v>
      </c>
      <c r="G83" s="100" t="n">
        <f aca="false">C83*'مواد المخزون'!$E80</f>
        <v>5319.3</v>
      </c>
      <c r="H83" s="100" t="n">
        <f aca="false">D83*'مواد المخزون'!$E80</f>
        <v>8046</v>
      </c>
      <c r="I83" s="100" t="n">
        <f aca="false">E83*'مواد المخزون'!$E80</f>
        <v>6727.35</v>
      </c>
      <c r="J83" s="100" t="n">
        <f aca="false">F83*'مواد المخزون'!$E80</f>
        <v>0</v>
      </c>
    </row>
    <row r="84" customFormat="false" ht="15" hidden="false" customHeight="false" outlineLevel="0" collapsed="false">
      <c r="A84" s="62" t="str">
        <f aca="false">'مواد المخزون'!A81</f>
        <v>سوسيس/سدق صيامي</v>
      </c>
      <c r="B84" s="95" t="str">
        <f aca="false">'مواد المخزون'!B81</f>
        <v>كجم</v>
      </c>
      <c r="C84" s="99" t="n">
        <v>-1.98</v>
      </c>
      <c r="D84" s="99" t="n">
        <v>2.7</v>
      </c>
      <c r="E84" s="99" t="n">
        <v>0</v>
      </c>
      <c r="F84" s="99" t="n">
        <v>0</v>
      </c>
      <c r="G84" s="100" t="n">
        <f aca="false">C84*'مواد المخزون'!$E81</f>
        <v>-435.6396</v>
      </c>
      <c r="H84" s="100" t="n">
        <f aca="false">D84*'مواد المخزون'!$E81</f>
        <v>594.054</v>
      </c>
      <c r="I84" s="100" t="n">
        <f aca="false">E84*'مواد المخزون'!$E81</f>
        <v>0</v>
      </c>
      <c r="J84" s="100" t="n">
        <f aca="false">F84*'مواد المخزون'!$E81</f>
        <v>0</v>
      </c>
    </row>
    <row r="85" customFormat="false" ht="15" hidden="false" customHeight="false" outlineLevel="0" collapsed="false">
      <c r="A85" s="62" t="str">
        <f aca="false">'مواد المخزون'!A82</f>
        <v>شاورما فراخ/سدق صيامي</v>
      </c>
      <c r="B85" s="95" t="str">
        <f aca="false">'مواد المخزون'!B82</f>
        <v>كجم</v>
      </c>
      <c r="C85" s="99" t="n">
        <v>0</v>
      </c>
      <c r="D85" s="99" t="n">
        <v>3.57</v>
      </c>
      <c r="E85" s="99" t="n">
        <v>0.77</v>
      </c>
      <c r="F85" s="99" t="n">
        <v>0</v>
      </c>
      <c r="G85" s="100" t="n">
        <f aca="false">C85*'مواد المخزون'!$E82</f>
        <v>0</v>
      </c>
      <c r="H85" s="100" t="n">
        <f aca="false">D85*'مواد المخزون'!$E82</f>
        <v>782.6511</v>
      </c>
      <c r="I85" s="100" t="n">
        <f aca="false">E85*'مواد المخزون'!$E82</f>
        <v>168.8071</v>
      </c>
      <c r="J85" s="100" t="n">
        <f aca="false">F85*'مواد المخزون'!$E82</f>
        <v>0</v>
      </c>
    </row>
    <row r="86" customFormat="false" ht="15" hidden="false" customHeight="false" outlineLevel="0" collapsed="false">
      <c r="A86" s="62" t="str">
        <f aca="false">'مواد المخزون'!A83</f>
        <v>برجر صيامي</v>
      </c>
      <c r="B86" s="95" t="str">
        <f aca="false">'مواد المخزون'!B83</f>
        <v>قطعة</v>
      </c>
      <c r="C86" s="99" t="n">
        <v>0</v>
      </c>
      <c r="D86" s="99" t="n">
        <v>12</v>
      </c>
      <c r="E86" s="99" t="n">
        <v>0</v>
      </c>
      <c r="F86" s="99" t="n">
        <v>0</v>
      </c>
      <c r="G86" s="100" t="n">
        <f aca="false">C86*'مواد المخزون'!$E83</f>
        <v>0</v>
      </c>
      <c r="H86" s="100" t="n">
        <f aca="false">D86*'مواد المخزون'!$E83</f>
        <v>72</v>
      </c>
      <c r="I86" s="100" t="n">
        <f aca="false">E86*'مواد المخزون'!$E83</f>
        <v>0</v>
      </c>
      <c r="J86" s="100" t="n">
        <f aca="false">F86*'مواد المخزون'!$E83</f>
        <v>0</v>
      </c>
    </row>
    <row r="87" customFormat="false" ht="15" hidden="false" customHeight="false" outlineLevel="0" collapsed="false">
      <c r="A87" s="62" t="str">
        <f aca="false">'مواد المخزون'!A84</f>
        <v>سكينة بلاستيك</v>
      </c>
      <c r="B87" s="95" t="str">
        <f aca="false">'مواد المخزون'!B84</f>
        <v>قطعة</v>
      </c>
      <c r="C87" s="99" t="n">
        <v>179</v>
      </c>
      <c r="D87" s="99" t="n">
        <v>200</v>
      </c>
      <c r="E87" s="99" t="n">
        <v>207</v>
      </c>
      <c r="F87" s="99" t="n">
        <v>0</v>
      </c>
      <c r="G87" s="100" t="n">
        <f aca="false">C87*'مواد المخزون'!$E84</f>
        <v>53.7</v>
      </c>
      <c r="H87" s="100" t="n">
        <f aca="false">D87*'مواد المخزون'!$E84</f>
        <v>60</v>
      </c>
      <c r="I87" s="100" t="n">
        <f aca="false">E87*'مواد المخزون'!$E84</f>
        <v>62.1</v>
      </c>
      <c r="J87" s="100" t="n">
        <f aca="false">F87*'مواد المخزون'!$E84</f>
        <v>0</v>
      </c>
    </row>
    <row r="88" customFormat="false" ht="15" hidden="false" customHeight="false" outlineLevel="0" collapsed="false">
      <c r="A88" s="62" t="str">
        <f aca="false">'مواد المخزون'!A85</f>
        <v>علب مكرونة</v>
      </c>
      <c r="B88" s="95" t="str">
        <f aca="false">'مواد المخزون'!B85</f>
        <v>قطعة</v>
      </c>
      <c r="C88" s="99" t="n">
        <v>1350</v>
      </c>
      <c r="D88" s="99" t="n">
        <v>1450</v>
      </c>
      <c r="E88" s="99" t="n">
        <v>1724</v>
      </c>
      <c r="F88" s="99" t="n">
        <v>0</v>
      </c>
      <c r="G88" s="100" t="n">
        <f aca="false">C88*'مواد المخزون'!$E85</f>
        <v>5994</v>
      </c>
      <c r="H88" s="100" t="n">
        <f aca="false">D88*'مواد المخزون'!$E85</f>
        <v>6438</v>
      </c>
      <c r="I88" s="100" t="n">
        <f aca="false">E88*'مواد المخزون'!$E85</f>
        <v>7654.56</v>
      </c>
      <c r="J88" s="100" t="n">
        <f aca="false">F88*'مواد المخزون'!$E85</f>
        <v>0</v>
      </c>
    </row>
    <row r="89" customFormat="false" ht="15" hidden="false" customHeight="false" outlineLevel="0" collapsed="false">
      <c r="A89" s="62" t="str">
        <f aca="false">'مواد المخزون'!A86</f>
        <v>علب بيتزا كيك</v>
      </c>
      <c r="B89" s="95" t="str">
        <f aca="false">'مواد المخزون'!B86</f>
        <v>قطعة</v>
      </c>
      <c r="C89" s="99" t="n">
        <v>91</v>
      </c>
      <c r="D89" s="99" t="n">
        <v>32</v>
      </c>
      <c r="E89" s="99" t="n">
        <v>34</v>
      </c>
      <c r="F89" s="99" t="n">
        <v>0</v>
      </c>
      <c r="G89" s="100" t="n">
        <f aca="false">C89*'مواد المخزون'!$E86</f>
        <v>728</v>
      </c>
      <c r="H89" s="100" t="n">
        <f aca="false">D89*'مواد المخزون'!$E86</f>
        <v>256</v>
      </c>
      <c r="I89" s="100" t="n">
        <f aca="false">E89*'مواد المخزون'!$E86</f>
        <v>272</v>
      </c>
      <c r="J89" s="100" t="n">
        <f aca="false">F89*'مواد المخزون'!$E86</f>
        <v>0</v>
      </c>
    </row>
    <row r="90" customFormat="false" ht="15" hidden="false" customHeight="false" outlineLevel="0" collapsed="false">
      <c r="A90" s="33" t="s">
        <v>688</v>
      </c>
      <c r="G90" s="101" t="n">
        <f aca="false">SUM(G5:G89)</f>
        <v>65050.7572785</v>
      </c>
      <c r="H90" s="101" t="n">
        <f aca="false">SUM(H5:H89)</f>
        <v>82224.3886966</v>
      </c>
      <c r="I90" s="101" t="n">
        <f aca="false">SUM(I5:I89)</f>
        <v>94733.7281959</v>
      </c>
      <c r="J90" s="101" t="n">
        <f aca="false">SUM(J5:J89)</f>
        <v>0</v>
      </c>
    </row>
    <row r="92" customFormat="false" ht="15" hidden="false" customHeight="false" outlineLevel="0" collapsed="false">
      <c r="A92" s="17" t="s">
        <v>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s>
  <sheetData>
    <row r="1" customFormat="false" ht="33.75" hidden="false" customHeight="true" outlineLevel="0" collapsed="false">
      <c r="A1" s="18" t="s">
        <v>66</v>
      </c>
      <c r="B1" s="18" t="s">
        <v>581</v>
      </c>
      <c r="C1" s="18" t="s">
        <v>690</v>
      </c>
      <c r="D1" s="18" t="s">
        <v>691</v>
      </c>
      <c r="E1" s="18" t="s">
        <v>24</v>
      </c>
      <c r="F1" s="18" t="s">
        <v>692</v>
      </c>
      <c r="G1" s="18" t="s">
        <v>693</v>
      </c>
    </row>
    <row r="2" customFormat="false" ht="15" hidden="false" customHeight="false" outlineLevel="0" collapsed="false">
      <c r="A2" s="102"/>
      <c r="E2" s="103" t="str">
        <f aca="false">IF($C2="","",IFERROR(INDEX(المنيو!$C$2:$C$500,MATCH($C2,المنيو!$B$2:$B$500,0)),0))</f>
        <v/>
      </c>
      <c r="F2" s="103" t="str">
        <f aca="false">IF($C2="","",$D2*$E2)</f>
        <v/>
      </c>
      <c r="G2" s="103" t="str">
        <f aca="false">IF($C2="","",$D2*IFERROR(INDEX('تحليل التكلفة والسعر'!$C$2:$C$700,MATCH($C2,'تحليل التكلفة والسعر'!$B$2:$B$700,0)),0))</f>
        <v/>
      </c>
    </row>
    <row r="3" customFormat="false" ht="15" hidden="false" customHeight="false" outlineLevel="0" collapsed="false">
      <c r="A3" s="102"/>
      <c r="E3" s="103" t="str">
        <f aca="false">IF($C3="","",IFERROR(INDEX(المنيو!$C$2:$C$500,MATCH($C3,المنيو!$B$2:$B$500,0)),0))</f>
        <v/>
      </c>
      <c r="F3" s="103" t="str">
        <f aca="false">IF($C3="","",$D3*$E3)</f>
        <v/>
      </c>
      <c r="G3" s="103" t="str">
        <f aca="false">IF($C3="","",$D3*IFERROR(INDEX('تحليل التكلفة والسعر'!$C$2:$C$700,MATCH($C3,'تحليل التكلفة والسعر'!$B$2:$B$700,0)),0))</f>
        <v/>
      </c>
    </row>
    <row r="4" customFormat="false" ht="15" hidden="false" customHeight="false" outlineLevel="0" collapsed="false">
      <c r="A4" s="102"/>
      <c r="E4" s="103" t="str">
        <f aca="false">IF($C4="","",IFERROR(INDEX(المنيو!$C$2:$C$500,MATCH($C4,المنيو!$B$2:$B$500,0)),0))</f>
        <v/>
      </c>
      <c r="F4" s="103" t="str">
        <f aca="false">IF($C4="","",$D4*$E4)</f>
        <v/>
      </c>
      <c r="G4" s="103" t="str">
        <f aca="false">IF($C4="","",$D4*IFERROR(INDEX('تحليل التكلفة والسعر'!$C$2:$C$700,MATCH($C4,'تحليل التكلفة والسعر'!$B$2:$B$700,0)),0))</f>
        <v/>
      </c>
    </row>
    <row r="5" customFormat="false" ht="15" hidden="false" customHeight="false" outlineLevel="0" collapsed="false">
      <c r="A5" s="102"/>
      <c r="E5" s="103" t="str">
        <f aca="false">IF($C5="","",IFERROR(INDEX(المنيو!$C$2:$C$500,MATCH($C5,المنيو!$B$2:$B$500,0)),0))</f>
        <v/>
      </c>
      <c r="F5" s="103" t="str">
        <f aca="false">IF($C5="","",$D5*$E5)</f>
        <v/>
      </c>
      <c r="G5" s="103" t="str">
        <f aca="false">IF($C5="","",$D5*IFERROR(INDEX('تحليل التكلفة والسعر'!$C$2:$C$700,MATCH($C5,'تحليل التكلفة والسعر'!$B$2:$B$700,0)),0))</f>
        <v/>
      </c>
    </row>
    <row r="6" customFormat="false" ht="15" hidden="false" customHeight="false" outlineLevel="0" collapsed="false">
      <c r="A6" s="102"/>
      <c r="E6" s="103" t="str">
        <f aca="false">IF($C6="","",IFERROR(INDEX(المنيو!$C$2:$C$500,MATCH($C6,المنيو!$B$2:$B$500,0)),0))</f>
        <v/>
      </c>
      <c r="F6" s="103" t="str">
        <f aca="false">IF($C6="","",$D6*$E6)</f>
        <v/>
      </c>
      <c r="G6" s="103" t="str">
        <f aca="false">IF($C6="","",$D6*IFERROR(INDEX('تحليل التكلفة والسعر'!$C$2:$C$700,MATCH($C6,'تحليل التكلفة والسعر'!$B$2:$B$700,0)),0))</f>
        <v/>
      </c>
    </row>
    <row r="7" customFormat="false" ht="15" hidden="false" customHeight="false" outlineLevel="0" collapsed="false">
      <c r="A7" s="102"/>
      <c r="E7" s="103" t="str">
        <f aca="false">IF($C7="","",IFERROR(INDEX(المنيو!$C$2:$C$500,MATCH($C7,المنيو!$B$2:$B$500,0)),0))</f>
        <v/>
      </c>
      <c r="F7" s="103" t="str">
        <f aca="false">IF($C7="","",$D7*$E7)</f>
        <v/>
      </c>
      <c r="G7" s="103" t="str">
        <f aca="false">IF($C7="","",$D7*IFERROR(INDEX('تحليل التكلفة والسعر'!$C$2:$C$700,MATCH($C7,'تحليل التكلفة والسعر'!$B$2:$B$700,0)),0))</f>
        <v/>
      </c>
    </row>
    <row r="8" customFormat="false" ht="15" hidden="false" customHeight="false" outlineLevel="0" collapsed="false">
      <c r="A8" s="102"/>
      <c r="E8" s="103" t="str">
        <f aca="false">IF($C8="","",IFERROR(INDEX(المنيو!$C$2:$C$500,MATCH($C8,المنيو!$B$2:$B$500,0)),0))</f>
        <v/>
      </c>
      <c r="F8" s="103" t="str">
        <f aca="false">IF($C8="","",$D8*$E8)</f>
        <v/>
      </c>
      <c r="G8" s="103" t="str">
        <f aca="false">IF($C8="","",$D8*IFERROR(INDEX('تحليل التكلفة والسعر'!$C$2:$C$700,MATCH($C8,'تحليل التكلفة والسعر'!$B$2:$B$700,0)),0))</f>
        <v/>
      </c>
    </row>
    <row r="9" customFormat="false" ht="15" hidden="false" customHeight="false" outlineLevel="0" collapsed="false">
      <c r="A9" s="102"/>
      <c r="E9" s="103" t="str">
        <f aca="false">IF($C9="","",IFERROR(INDEX(المنيو!$C$2:$C$500,MATCH($C9,المنيو!$B$2:$B$500,0)),0))</f>
        <v/>
      </c>
      <c r="F9" s="103" t="str">
        <f aca="false">IF($C9="","",$D9*$E9)</f>
        <v/>
      </c>
      <c r="G9" s="103" t="str">
        <f aca="false">IF($C9="","",$D9*IFERROR(INDEX('تحليل التكلفة والسعر'!$C$2:$C$700,MATCH($C9,'تحليل التكلفة والسعر'!$B$2:$B$700,0)),0))</f>
        <v/>
      </c>
    </row>
    <row r="10" customFormat="false" ht="15" hidden="false" customHeight="false" outlineLevel="0" collapsed="false">
      <c r="A10" s="102"/>
      <c r="E10" s="103" t="str">
        <f aca="false">IF($C10="","",IFERROR(INDEX(المنيو!$C$2:$C$500,MATCH($C10,المنيو!$B$2:$B$500,0)),0))</f>
        <v/>
      </c>
      <c r="F10" s="103" t="str">
        <f aca="false">IF($C10="","",$D10*$E10)</f>
        <v/>
      </c>
      <c r="G10" s="103" t="str">
        <f aca="false">IF($C10="","",$D10*IFERROR(INDEX('تحليل التكلفة والسعر'!$C$2:$C$700,MATCH($C10,'تحليل التكلفة والسعر'!$B$2:$B$700,0)),0))</f>
        <v/>
      </c>
    </row>
    <row r="11" customFormat="false" ht="15" hidden="false" customHeight="false" outlineLevel="0" collapsed="false">
      <c r="A11" s="102"/>
      <c r="E11" s="103" t="str">
        <f aca="false">IF($C11="","",IFERROR(INDEX(المنيو!$C$2:$C$500,MATCH($C11,المنيو!$B$2:$B$500,0)),0))</f>
        <v/>
      </c>
      <c r="F11" s="103" t="str">
        <f aca="false">IF($C11="","",$D11*$E11)</f>
        <v/>
      </c>
      <c r="G11" s="103" t="str">
        <f aca="false">IF($C11="","",$D11*IFERROR(INDEX('تحليل التكلفة والسعر'!$C$2:$C$700,MATCH($C11,'تحليل التكلفة والسعر'!$B$2:$B$700,0)),0))</f>
        <v/>
      </c>
    </row>
    <row r="12" customFormat="false" ht="15" hidden="false" customHeight="false" outlineLevel="0" collapsed="false">
      <c r="A12" s="102"/>
      <c r="E12" s="103" t="str">
        <f aca="false">IF($C12="","",IFERROR(INDEX(المنيو!$C$2:$C$500,MATCH($C12,المنيو!$B$2:$B$500,0)),0))</f>
        <v/>
      </c>
      <c r="F12" s="103" t="str">
        <f aca="false">IF($C12="","",$D12*$E12)</f>
        <v/>
      </c>
      <c r="G12" s="103" t="str">
        <f aca="false">IF($C12="","",$D12*IFERROR(INDEX('تحليل التكلفة والسعر'!$C$2:$C$700,MATCH($C12,'تحليل التكلفة والسعر'!$B$2:$B$700,0)),0))</f>
        <v/>
      </c>
    </row>
    <row r="13" customFormat="false" ht="15" hidden="false" customHeight="false" outlineLevel="0" collapsed="false">
      <c r="A13" s="102"/>
      <c r="E13" s="103" t="str">
        <f aca="false">IF($C13="","",IFERROR(INDEX(المنيو!$C$2:$C$500,MATCH($C13,المنيو!$B$2:$B$500,0)),0))</f>
        <v/>
      </c>
      <c r="F13" s="103" t="str">
        <f aca="false">IF($C13="","",$D13*$E13)</f>
        <v/>
      </c>
      <c r="G13" s="103" t="str">
        <f aca="false">IF($C13="","",$D13*IFERROR(INDEX('تحليل التكلفة والسعر'!$C$2:$C$700,MATCH($C13,'تحليل التكلفة والسعر'!$B$2:$B$700,0)),0))</f>
        <v/>
      </c>
    </row>
    <row r="14" customFormat="false" ht="15" hidden="false" customHeight="false" outlineLevel="0" collapsed="false">
      <c r="A14" s="102"/>
      <c r="E14" s="103" t="str">
        <f aca="false">IF($C14="","",IFERROR(INDEX(المنيو!$C$2:$C$500,MATCH($C14,المنيو!$B$2:$B$500,0)),0))</f>
        <v/>
      </c>
      <c r="F14" s="103" t="str">
        <f aca="false">IF($C14="","",$D14*$E14)</f>
        <v/>
      </c>
      <c r="G14" s="103" t="str">
        <f aca="false">IF($C14="","",$D14*IFERROR(INDEX('تحليل التكلفة والسعر'!$C$2:$C$700,MATCH($C14,'تحليل التكلفة والسعر'!$B$2:$B$700,0)),0))</f>
        <v/>
      </c>
    </row>
    <row r="15" customFormat="false" ht="15" hidden="false" customHeight="false" outlineLevel="0" collapsed="false">
      <c r="A15" s="102"/>
      <c r="E15" s="103" t="str">
        <f aca="false">IF($C15="","",IFERROR(INDEX(المنيو!$C$2:$C$500,MATCH($C15,المنيو!$B$2:$B$500,0)),0))</f>
        <v/>
      </c>
      <c r="F15" s="103" t="str">
        <f aca="false">IF($C15="","",$D15*$E15)</f>
        <v/>
      </c>
      <c r="G15" s="103" t="str">
        <f aca="false">IF($C15="","",$D15*IFERROR(INDEX('تحليل التكلفة والسعر'!$C$2:$C$700,MATCH($C15,'تحليل التكلفة والسعر'!$B$2:$B$700,0)),0))</f>
        <v/>
      </c>
    </row>
    <row r="16" customFormat="false" ht="15" hidden="false" customHeight="false" outlineLevel="0" collapsed="false">
      <c r="A16" s="102"/>
      <c r="E16" s="103" t="str">
        <f aca="false">IF($C16="","",IFERROR(INDEX(المنيو!$C$2:$C$500,MATCH($C16,المنيو!$B$2:$B$500,0)),0))</f>
        <v/>
      </c>
      <c r="F16" s="103" t="str">
        <f aca="false">IF($C16="","",$D16*$E16)</f>
        <v/>
      </c>
      <c r="G16" s="103" t="str">
        <f aca="false">IF($C16="","",$D16*IFERROR(INDEX('تحليل التكلفة والسعر'!$C$2:$C$700,MATCH($C16,'تحليل التكلفة والسعر'!$B$2:$B$700,0)),0))</f>
        <v/>
      </c>
    </row>
    <row r="17" customFormat="false" ht="15" hidden="false" customHeight="false" outlineLevel="0" collapsed="false">
      <c r="A17" s="102"/>
      <c r="E17" s="103" t="str">
        <f aca="false">IF($C17="","",IFERROR(INDEX(المنيو!$C$2:$C$500,MATCH($C17,المنيو!$B$2:$B$500,0)),0))</f>
        <v/>
      </c>
      <c r="F17" s="103" t="str">
        <f aca="false">IF($C17="","",$D17*$E17)</f>
        <v/>
      </c>
      <c r="G17" s="103" t="str">
        <f aca="false">IF($C17="","",$D17*IFERROR(INDEX('تحليل التكلفة والسعر'!$C$2:$C$700,MATCH($C17,'تحليل التكلفة والسعر'!$B$2:$B$700,0)),0))</f>
        <v/>
      </c>
    </row>
    <row r="18" customFormat="false" ht="15" hidden="false" customHeight="false" outlineLevel="0" collapsed="false">
      <c r="A18" s="102"/>
      <c r="E18" s="103" t="str">
        <f aca="false">IF($C18="","",IFERROR(INDEX(المنيو!$C$2:$C$500,MATCH($C18,المنيو!$B$2:$B$500,0)),0))</f>
        <v/>
      </c>
      <c r="F18" s="103" t="str">
        <f aca="false">IF($C18="","",$D18*$E18)</f>
        <v/>
      </c>
      <c r="G18" s="103" t="str">
        <f aca="false">IF($C18="","",$D18*IFERROR(INDEX('تحليل التكلفة والسعر'!$C$2:$C$700,MATCH($C18,'تحليل التكلفة والسعر'!$B$2:$B$700,0)),0))</f>
        <v/>
      </c>
    </row>
    <row r="19" customFormat="false" ht="15" hidden="false" customHeight="false" outlineLevel="0" collapsed="false">
      <c r="A19" s="102"/>
      <c r="E19" s="103" t="str">
        <f aca="false">IF($C19="","",IFERROR(INDEX(المنيو!$C$2:$C$500,MATCH($C19,المنيو!$B$2:$B$500,0)),0))</f>
        <v/>
      </c>
      <c r="F19" s="103" t="str">
        <f aca="false">IF($C19="","",$D19*$E19)</f>
        <v/>
      </c>
      <c r="G19" s="103" t="str">
        <f aca="false">IF($C19="","",$D19*IFERROR(INDEX('تحليل التكلفة والسعر'!$C$2:$C$700,MATCH($C19,'تحليل التكلفة والسعر'!$B$2:$B$700,0)),0))</f>
        <v/>
      </c>
    </row>
    <row r="20" customFormat="false" ht="15" hidden="false" customHeight="false" outlineLevel="0" collapsed="false">
      <c r="A20" s="102"/>
      <c r="E20" s="103" t="str">
        <f aca="false">IF($C20="","",IFERROR(INDEX(المنيو!$C$2:$C$500,MATCH($C20,المنيو!$B$2:$B$500,0)),0))</f>
        <v/>
      </c>
      <c r="F20" s="103" t="str">
        <f aca="false">IF($C20="","",$D20*$E20)</f>
        <v/>
      </c>
      <c r="G20" s="103" t="str">
        <f aca="false">IF($C20="","",$D20*IFERROR(INDEX('تحليل التكلفة والسعر'!$C$2:$C$700,MATCH($C20,'تحليل التكلفة والسعر'!$B$2:$B$700,0)),0))</f>
        <v/>
      </c>
    </row>
    <row r="21" customFormat="false" ht="15" hidden="false" customHeight="false" outlineLevel="0" collapsed="false">
      <c r="A21" s="102"/>
      <c r="E21" s="103" t="str">
        <f aca="false">IF($C21="","",IFERROR(INDEX(المنيو!$C$2:$C$500,MATCH($C21,المنيو!$B$2:$B$500,0)),0))</f>
        <v/>
      </c>
      <c r="F21" s="103" t="str">
        <f aca="false">IF($C21="","",$D21*$E21)</f>
        <v/>
      </c>
      <c r="G21" s="103" t="str">
        <f aca="false">IF($C21="","",$D21*IFERROR(INDEX('تحليل التكلفة والسعر'!$C$2:$C$700,MATCH($C21,'تحليل التكلفة والسعر'!$B$2:$B$700,0)),0))</f>
        <v/>
      </c>
    </row>
    <row r="22" customFormat="false" ht="15" hidden="false" customHeight="false" outlineLevel="0" collapsed="false">
      <c r="A22" s="102"/>
      <c r="E22" s="103" t="str">
        <f aca="false">IF($C22="","",IFERROR(INDEX(المنيو!$C$2:$C$500,MATCH($C22,المنيو!$B$2:$B$500,0)),0))</f>
        <v/>
      </c>
      <c r="F22" s="103" t="str">
        <f aca="false">IF($C22="","",$D22*$E22)</f>
        <v/>
      </c>
      <c r="G22" s="103" t="str">
        <f aca="false">IF($C22="","",$D22*IFERROR(INDEX('تحليل التكلفة والسعر'!$C$2:$C$700,MATCH($C22,'تحليل التكلفة والسعر'!$B$2:$B$700,0)),0))</f>
        <v/>
      </c>
    </row>
    <row r="23" customFormat="false" ht="15" hidden="false" customHeight="false" outlineLevel="0" collapsed="false">
      <c r="A23" s="102"/>
      <c r="E23" s="103" t="str">
        <f aca="false">IF($C23="","",IFERROR(INDEX(المنيو!$C$2:$C$500,MATCH($C23,المنيو!$B$2:$B$500,0)),0))</f>
        <v/>
      </c>
      <c r="F23" s="103" t="str">
        <f aca="false">IF($C23="","",$D23*$E23)</f>
        <v/>
      </c>
      <c r="G23" s="103" t="str">
        <f aca="false">IF($C23="","",$D23*IFERROR(INDEX('تحليل التكلفة والسعر'!$C$2:$C$700,MATCH($C23,'تحليل التكلفة والسعر'!$B$2:$B$700,0)),0))</f>
        <v/>
      </c>
    </row>
    <row r="24" customFormat="false" ht="15" hidden="false" customHeight="false" outlineLevel="0" collapsed="false">
      <c r="A24" s="102"/>
      <c r="E24" s="103" t="str">
        <f aca="false">IF($C24="","",IFERROR(INDEX(المنيو!$C$2:$C$500,MATCH($C24,المنيو!$B$2:$B$500,0)),0))</f>
        <v/>
      </c>
      <c r="F24" s="103" t="str">
        <f aca="false">IF($C24="","",$D24*$E24)</f>
        <v/>
      </c>
      <c r="G24" s="103" t="str">
        <f aca="false">IF($C24="","",$D24*IFERROR(INDEX('تحليل التكلفة والسعر'!$C$2:$C$700,MATCH($C24,'تحليل التكلفة والسعر'!$B$2:$B$700,0)),0))</f>
        <v/>
      </c>
    </row>
    <row r="25" customFormat="false" ht="15" hidden="false" customHeight="false" outlineLevel="0" collapsed="false">
      <c r="A25" s="102"/>
      <c r="E25" s="103" t="str">
        <f aca="false">IF($C25="","",IFERROR(INDEX(المنيو!$C$2:$C$500,MATCH($C25,المنيو!$B$2:$B$500,0)),0))</f>
        <v/>
      </c>
      <c r="F25" s="103" t="str">
        <f aca="false">IF($C25="","",$D25*$E25)</f>
        <v/>
      </c>
      <c r="G25" s="103" t="str">
        <f aca="false">IF($C25="","",$D25*IFERROR(INDEX('تحليل التكلفة والسعر'!$C$2:$C$700,MATCH($C25,'تحليل التكلفة والسعر'!$B$2:$B$700,0)),0))</f>
        <v/>
      </c>
    </row>
    <row r="26" customFormat="false" ht="15" hidden="false" customHeight="false" outlineLevel="0" collapsed="false">
      <c r="A26" s="102"/>
      <c r="E26" s="103" t="str">
        <f aca="false">IF($C26="","",IFERROR(INDEX(المنيو!$C$2:$C$500,MATCH($C26,المنيو!$B$2:$B$500,0)),0))</f>
        <v/>
      </c>
      <c r="F26" s="103" t="str">
        <f aca="false">IF($C26="","",$D26*$E26)</f>
        <v/>
      </c>
      <c r="G26" s="103" t="str">
        <f aca="false">IF($C26="","",$D26*IFERROR(INDEX('تحليل التكلفة والسعر'!$C$2:$C$700,MATCH($C26,'تحليل التكلفة والسعر'!$B$2:$B$700,0)),0))</f>
        <v/>
      </c>
    </row>
    <row r="27" customFormat="false" ht="15" hidden="false" customHeight="false" outlineLevel="0" collapsed="false">
      <c r="A27" s="102"/>
      <c r="E27" s="103" t="str">
        <f aca="false">IF($C27="","",IFERROR(INDEX(المنيو!$C$2:$C$500,MATCH($C27,المنيو!$B$2:$B$500,0)),0))</f>
        <v/>
      </c>
      <c r="F27" s="103" t="str">
        <f aca="false">IF($C27="","",$D27*$E27)</f>
        <v/>
      </c>
      <c r="G27" s="103" t="str">
        <f aca="false">IF($C27="","",$D27*IFERROR(INDEX('تحليل التكلفة والسعر'!$C$2:$C$700,MATCH($C27,'تحليل التكلفة والسعر'!$B$2:$B$700,0)),0))</f>
        <v/>
      </c>
    </row>
    <row r="28" customFormat="false" ht="15" hidden="false" customHeight="false" outlineLevel="0" collapsed="false">
      <c r="A28" s="102"/>
      <c r="E28" s="103" t="str">
        <f aca="false">IF($C28="","",IFERROR(INDEX(المنيو!$C$2:$C$500,MATCH($C28,المنيو!$B$2:$B$500,0)),0))</f>
        <v/>
      </c>
      <c r="F28" s="103" t="str">
        <f aca="false">IF($C28="","",$D28*$E28)</f>
        <v/>
      </c>
      <c r="G28" s="103" t="str">
        <f aca="false">IF($C28="","",$D28*IFERROR(INDEX('تحليل التكلفة والسعر'!$C$2:$C$700,MATCH($C28,'تحليل التكلفة والسعر'!$B$2:$B$700,0)),0))</f>
        <v/>
      </c>
    </row>
    <row r="29" customFormat="false" ht="15" hidden="false" customHeight="false" outlineLevel="0" collapsed="false">
      <c r="A29" s="102"/>
      <c r="E29" s="103" t="str">
        <f aca="false">IF($C29="","",IFERROR(INDEX(المنيو!$C$2:$C$500,MATCH($C29,المنيو!$B$2:$B$500,0)),0))</f>
        <v/>
      </c>
      <c r="F29" s="103" t="str">
        <f aca="false">IF($C29="","",$D29*$E29)</f>
        <v/>
      </c>
      <c r="G29" s="103" t="str">
        <f aca="false">IF($C29="","",$D29*IFERROR(INDEX('تحليل التكلفة والسعر'!$C$2:$C$700,MATCH($C29,'تحليل التكلفة والسعر'!$B$2:$B$700,0)),0))</f>
        <v/>
      </c>
    </row>
    <row r="30" customFormat="false" ht="15" hidden="false" customHeight="false" outlineLevel="0" collapsed="false">
      <c r="A30" s="102"/>
      <c r="E30" s="103" t="str">
        <f aca="false">IF($C30="","",IFERROR(INDEX(المنيو!$C$2:$C$500,MATCH($C30,المنيو!$B$2:$B$500,0)),0))</f>
        <v/>
      </c>
      <c r="F30" s="103" t="str">
        <f aca="false">IF($C30="","",$D30*$E30)</f>
        <v/>
      </c>
      <c r="G30" s="103" t="str">
        <f aca="false">IF($C30="","",$D30*IFERROR(INDEX('تحليل التكلفة والسعر'!$C$2:$C$700,MATCH($C30,'تحليل التكلفة والسعر'!$B$2:$B$700,0)),0))</f>
        <v/>
      </c>
    </row>
    <row r="31" customFormat="false" ht="15" hidden="false" customHeight="false" outlineLevel="0" collapsed="false">
      <c r="A31" s="102"/>
      <c r="E31" s="103" t="str">
        <f aca="false">IF($C31="","",IFERROR(INDEX(المنيو!$C$2:$C$500,MATCH($C31,المنيو!$B$2:$B$500,0)),0))</f>
        <v/>
      </c>
      <c r="F31" s="103" t="str">
        <f aca="false">IF($C31="","",$D31*$E31)</f>
        <v/>
      </c>
      <c r="G31" s="103" t="str">
        <f aca="false">IF($C31="","",$D31*IFERROR(INDEX('تحليل التكلفة والسعر'!$C$2:$C$700,MATCH($C31,'تحليل التكلفة والسعر'!$B$2:$B$700,0)),0))</f>
        <v/>
      </c>
    </row>
    <row r="32" customFormat="false" ht="15" hidden="false" customHeight="false" outlineLevel="0" collapsed="false">
      <c r="A32" s="102"/>
      <c r="E32" s="103" t="str">
        <f aca="false">IF($C32="","",IFERROR(INDEX(المنيو!$C$2:$C$500,MATCH($C32,المنيو!$B$2:$B$500,0)),0))</f>
        <v/>
      </c>
      <c r="F32" s="103" t="str">
        <f aca="false">IF($C32="","",$D32*$E32)</f>
        <v/>
      </c>
      <c r="G32" s="103" t="str">
        <f aca="false">IF($C32="","",$D32*IFERROR(INDEX('تحليل التكلفة والسعر'!$C$2:$C$700,MATCH($C32,'تحليل التكلفة والسعر'!$B$2:$B$700,0)),0))</f>
        <v/>
      </c>
    </row>
    <row r="33" customFormat="false" ht="15" hidden="false" customHeight="false" outlineLevel="0" collapsed="false">
      <c r="A33" s="102"/>
      <c r="E33" s="103" t="str">
        <f aca="false">IF($C33="","",IFERROR(INDEX(المنيو!$C$2:$C$500,MATCH($C33,المنيو!$B$2:$B$500,0)),0))</f>
        <v/>
      </c>
      <c r="F33" s="103" t="str">
        <f aca="false">IF($C33="","",$D33*$E33)</f>
        <v/>
      </c>
      <c r="G33" s="103" t="str">
        <f aca="false">IF($C33="","",$D33*IFERROR(INDEX('تحليل التكلفة والسعر'!$C$2:$C$700,MATCH($C33,'تحليل التكلفة والسعر'!$B$2:$B$700,0)),0))</f>
        <v/>
      </c>
    </row>
    <row r="34" customFormat="false" ht="15" hidden="false" customHeight="false" outlineLevel="0" collapsed="false">
      <c r="A34" s="102"/>
      <c r="E34" s="103" t="str">
        <f aca="false">IF($C34="","",IFERROR(INDEX(المنيو!$C$2:$C$500,MATCH($C34,المنيو!$B$2:$B$500,0)),0))</f>
        <v/>
      </c>
      <c r="F34" s="103" t="str">
        <f aca="false">IF($C34="","",$D34*$E34)</f>
        <v/>
      </c>
      <c r="G34" s="103" t="str">
        <f aca="false">IF($C34="","",$D34*IFERROR(INDEX('تحليل التكلفة والسعر'!$C$2:$C$700,MATCH($C34,'تحليل التكلفة والسعر'!$B$2:$B$700,0)),0))</f>
        <v/>
      </c>
    </row>
    <row r="35" customFormat="false" ht="15" hidden="false" customHeight="false" outlineLevel="0" collapsed="false">
      <c r="A35" s="102"/>
      <c r="E35" s="103" t="str">
        <f aca="false">IF($C35="","",IFERROR(INDEX(المنيو!$C$2:$C$500,MATCH($C35,المنيو!$B$2:$B$500,0)),0))</f>
        <v/>
      </c>
      <c r="F35" s="103" t="str">
        <f aca="false">IF($C35="","",$D35*$E35)</f>
        <v/>
      </c>
      <c r="G35" s="103" t="str">
        <f aca="false">IF($C35="","",$D35*IFERROR(INDEX('تحليل التكلفة والسعر'!$C$2:$C$700,MATCH($C35,'تحليل التكلفة والسعر'!$B$2:$B$700,0)),0))</f>
        <v/>
      </c>
    </row>
    <row r="36" customFormat="false" ht="15" hidden="false" customHeight="false" outlineLevel="0" collapsed="false">
      <c r="A36" s="102"/>
      <c r="E36" s="103" t="str">
        <f aca="false">IF($C36="","",IFERROR(INDEX(المنيو!$C$2:$C$500,MATCH($C36,المنيو!$B$2:$B$500,0)),0))</f>
        <v/>
      </c>
      <c r="F36" s="103" t="str">
        <f aca="false">IF($C36="","",$D36*$E36)</f>
        <v/>
      </c>
      <c r="G36" s="103" t="str">
        <f aca="false">IF($C36="","",$D36*IFERROR(INDEX('تحليل التكلفة والسعر'!$C$2:$C$700,MATCH($C36,'تحليل التكلفة والسعر'!$B$2:$B$700,0)),0))</f>
        <v/>
      </c>
    </row>
    <row r="37" customFormat="false" ht="15" hidden="false" customHeight="false" outlineLevel="0" collapsed="false">
      <c r="A37" s="102"/>
      <c r="E37" s="103" t="str">
        <f aca="false">IF($C37="","",IFERROR(INDEX(المنيو!$C$2:$C$500,MATCH($C37,المنيو!$B$2:$B$500,0)),0))</f>
        <v/>
      </c>
      <c r="F37" s="103" t="str">
        <f aca="false">IF($C37="","",$D37*$E37)</f>
        <v/>
      </c>
      <c r="G37" s="103" t="str">
        <f aca="false">IF($C37="","",$D37*IFERROR(INDEX('تحليل التكلفة والسعر'!$C$2:$C$700,MATCH($C37,'تحليل التكلفة والسعر'!$B$2:$B$700,0)),0))</f>
        <v/>
      </c>
    </row>
    <row r="38" customFormat="false" ht="15" hidden="false" customHeight="false" outlineLevel="0" collapsed="false">
      <c r="A38" s="102"/>
      <c r="E38" s="103" t="str">
        <f aca="false">IF($C38="","",IFERROR(INDEX(المنيو!$C$2:$C$500,MATCH($C38,المنيو!$B$2:$B$500,0)),0))</f>
        <v/>
      </c>
      <c r="F38" s="103" t="str">
        <f aca="false">IF($C38="","",$D38*$E38)</f>
        <v/>
      </c>
      <c r="G38" s="103" t="str">
        <f aca="false">IF($C38="","",$D38*IFERROR(INDEX('تحليل التكلفة والسعر'!$C$2:$C$700,MATCH($C38,'تحليل التكلفة والسعر'!$B$2:$B$700,0)),0))</f>
        <v/>
      </c>
    </row>
    <row r="39" customFormat="false" ht="15" hidden="false" customHeight="false" outlineLevel="0" collapsed="false">
      <c r="A39" s="102"/>
      <c r="E39" s="103" t="str">
        <f aca="false">IF($C39="","",IFERROR(INDEX(المنيو!$C$2:$C$500,MATCH($C39,المنيو!$B$2:$B$500,0)),0))</f>
        <v/>
      </c>
      <c r="F39" s="103" t="str">
        <f aca="false">IF($C39="","",$D39*$E39)</f>
        <v/>
      </c>
      <c r="G39" s="103" t="str">
        <f aca="false">IF($C39="","",$D39*IFERROR(INDEX('تحليل التكلفة والسعر'!$C$2:$C$700,MATCH($C39,'تحليل التكلفة والسعر'!$B$2:$B$700,0)),0))</f>
        <v/>
      </c>
    </row>
    <row r="40" customFormat="false" ht="15" hidden="false" customHeight="false" outlineLevel="0" collapsed="false">
      <c r="A40" s="102"/>
      <c r="E40" s="103" t="str">
        <f aca="false">IF($C40="","",IFERROR(INDEX(المنيو!$C$2:$C$500,MATCH($C40,المنيو!$B$2:$B$500,0)),0))</f>
        <v/>
      </c>
      <c r="F40" s="103" t="str">
        <f aca="false">IF($C40="","",$D40*$E40)</f>
        <v/>
      </c>
      <c r="G40" s="103" t="str">
        <f aca="false">IF($C40="","",$D40*IFERROR(INDEX('تحليل التكلفة والسعر'!$C$2:$C$700,MATCH($C40,'تحليل التكلفة والسعر'!$B$2:$B$700,0)),0))</f>
        <v/>
      </c>
    </row>
    <row r="41" customFormat="false" ht="15" hidden="false" customHeight="false" outlineLevel="0" collapsed="false">
      <c r="A41" s="102"/>
      <c r="E41" s="103" t="str">
        <f aca="false">IF($C41="","",IFERROR(INDEX(المنيو!$C$2:$C$500,MATCH($C41,المنيو!$B$2:$B$500,0)),0))</f>
        <v/>
      </c>
      <c r="F41" s="103" t="str">
        <f aca="false">IF($C41="","",$D41*$E41)</f>
        <v/>
      </c>
      <c r="G41" s="103" t="str">
        <f aca="false">IF($C41="","",$D41*IFERROR(INDEX('تحليل التكلفة والسعر'!$C$2:$C$700,MATCH($C41,'تحليل التكلفة والسعر'!$B$2:$B$700,0)),0))</f>
        <v/>
      </c>
    </row>
    <row r="42" customFormat="false" ht="15" hidden="false" customHeight="false" outlineLevel="0" collapsed="false">
      <c r="A42" s="102"/>
      <c r="E42" s="103" t="str">
        <f aca="false">IF($C42="","",IFERROR(INDEX(المنيو!$C$2:$C$500,MATCH($C42,المنيو!$B$2:$B$500,0)),0))</f>
        <v/>
      </c>
      <c r="F42" s="103" t="str">
        <f aca="false">IF($C42="","",$D42*$E42)</f>
        <v/>
      </c>
      <c r="G42" s="103" t="str">
        <f aca="false">IF($C42="","",$D42*IFERROR(INDEX('تحليل التكلفة والسعر'!$C$2:$C$700,MATCH($C42,'تحليل التكلفة والسعر'!$B$2:$B$700,0)),0))</f>
        <v/>
      </c>
    </row>
    <row r="43" customFormat="false" ht="15" hidden="false" customHeight="false" outlineLevel="0" collapsed="false">
      <c r="A43" s="102"/>
      <c r="E43" s="103" t="str">
        <f aca="false">IF($C43="","",IFERROR(INDEX(المنيو!$C$2:$C$500,MATCH($C43,المنيو!$B$2:$B$500,0)),0))</f>
        <v/>
      </c>
      <c r="F43" s="103" t="str">
        <f aca="false">IF($C43="","",$D43*$E43)</f>
        <v/>
      </c>
      <c r="G43" s="103" t="str">
        <f aca="false">IF($C43="","",$D43*IFERROR(INDEX('تحليل التكلفة والسعر'!$C$2:$C$700,MATCH($C43,'تحليل التكلفة والسعر'!$B$2:$B$700,0)),0))</f>
        <v/>
      </c>
    </row>
    <row r="44" customFormat="false" ht="15" hidden="false" customHeight="false" outlineLevel="0" collapsed="false">
      <c r="A44" s="102"/>
      <c r="E44" s="103" t="str">
        <f aca="false">IF($C44="","",IFERROR(INDEX(المنيو!$C$2:$C$500,MATCH($C44,المنيو!$B$2:$B$500,0)),0))</f>
        <v/>
      </c>
      <c r="F44" s="103" t="str">
        <f aca="false">IF($C44="","",$D44*$E44)</f>
        <v/>
      </c>
      <c r="G44" s="103" t="str">
        <f aca="false">IF($C44="","",$D44*IFERROR(INDEX('تحليل التكلفة والسعر'!$C$2:$C$700,MATCH($C44,'تحليل التكلفة والسعر'!$B$2:$B$700,0)),0))</f>
        <v/>
      </c>
    </row>
    <row r="45" customFormat="false" ht="15" hidden="false" customHeight="false" outlineLevel="0" collapsed="false">
      <c r="A45" s="102"/>
      <c r="E45" s="103" t="str">
        <f aca="false">IF($C45="","",IFERROR(INDEX(المنيو!$C$2:$C$500,MATCH($C45,المنيو!$B$2:$B$500,0)),0))</f>
        <v/>
      </c>
      <c r="F45" s="103" t="str">
        <f aca="false">IF($C45="","",$D45*$E45)</f>
        <v/>
      </c>
      <c r="G45" s="103" t="str">
        <f aca="false">IF($C45="","",$D45*IFERROR(INDEX('تحليل التكلفة والسعر'!$C$2:$C$700,MATCH($C45,'تحليل التكلفة والسعر'!$B$2:$B$700,0)),0))</f>
        <v/>
      </c>
    </row>
    <row r="46" customFormat="false" ht="15" hidden="false" customHeight="false" outlineLevel="0" collapsed="false">
      <c r="A46" s="102"/>
      <c r="E46" s="103" t="str">
        <f aca="false">IF($C46="","",IFERROR(INDEX(المنيو!$C$2:$C$500,MATCH($C46,المنيو!$B$2:$B$500,0)),0))</f>
        <v/>
      </c>
      <c r="F46" s="103" t="str">
        <f aca="false">IF($C46="","",$D46*$E46)</f>
        <v/>
      </c>
      <c r="G46" s="103" t="str">
        <f aca="false">IF($C46="","",$D46*IFERROR(INDEX('تحليل التكلفة والسعر'!$C$2:$C$700,MATCH($C46,'تحليل التكلفة والسعر'!$B$2:$B$700,0)),0))</f>
        <v/>
      </c>
    </row>
    <row r="47" customFormat="false" ht="15" hidden="false" customHeight="false" outlineLevel="0" collapsed="false">
      <c r="A47" s="102"/>
      <c r="E47" s="103" t="str">
        <f aca="false">IF($C47="","",IFERROR(INDEX(المنيو!$C$2:$C$500,MATCH($C47,المنيو!$B$2:$B$500,0)),0))</f>
        <v/>
      </c>
      <c r="F47" s="103" t="str">
        <f aca="false">IF($C47="","",$D47*$E47)</f>
        <v/>
      </c>
      <c r="G47" s="103" t="str">
        <f aca="false">IF($C47="","",$D47*IFERROR(INDEX('تحليل التكلفة والسعر'!$C$2:$C$700,MATCH($C47,'تحليل التكلفة والسعر'!$B$2:$B$700,0)),0))</f>
        <v/>
      </c>
    </row>
    <row r="48" customFormat="false" ht="15" hidden="false" customHeight="false" outlineLevel="0" collapsed="false">
      <c r="A48" s="102"/>
      <c r="E48" s="103" t="str">
        <f aca="false">IF($C48="","",IFERROR(INDEX(المنيو!$C$2:$C$500,MATCH($C48,المنيو!$B$2:$B$500,0)),0))</f>
        <v/>
      </c>
      <c r="F48" s="103" t="str">
        <f aca="false">IF($C48="","",$D48*$E48)</f>
        <v/>
      </c>
      <c r="G48" s="103" t="str">
        <f aca="false">IF($C48="","",$D48*IFERROR(INDEX('تحليل التكلفة والسعر'!$C$2:$C$700,MATCH($C48,'تحليل التكلفة والسعر'!$B$2:$B$700,0)),0))</f>
        <v/>
      </c>
    </row>
    <row r="49" customFormat="false" ht="15" hidden="false" customHeight="false" outlineLevel="0" collapsed="false">
      <c r="A49" s="102"/>
      <c r="E49" s="103" t="str">
        <f aca="false">IF($C49="","",IFERROR(INDEX(المنيو!$C$2:$C$500,MATCH($C49,المنيو!$B$2:$B$500,0)),0))</f>
        <v/>
      </c>
      <c r="F49" s="103" t="str">
        <f aca="false">IF($C49="","",$D49*$E49)</f>
        <v/>
      </c>
      <c r="G49" s="103" t="str">
        <f aca="false">IF($C49="","",$D49*IFERROR(INDEX('تحليل التكلفة والسعر'!$C$2:$C$700,MATCH($C49,'تحليل التكلفة والسعر'!$B$2:$B$700,0)),0))</f>
        <v/>
      </c>
    </row>
    <row r="50" customFormat="false" ht="15" hidden="false" customHeight="false" outlineLevel="0" collapsed="false">
      <c r="A50" s="102"/>
      <c r="E50" s="103" t="str">
        <f aca="false">IF($C50="","",IFERROR(INDEX(المنيو!$C$2:$C$500,MATCH($C50,المنيو!$B$2:$B$500,0)),0))</f>
        <v/>
      </c>
      <c r="F50" s="103" t="str">
        <f aca="false">IF($C50="","",$D50*$E50)</f>
        <v/>
      </c>
      <c r="G50" s="103" t="str">
        <f aca="false">IF($C50="","",$D50*IFERROR(INDEX('تحليل التكلفة والسعر'!$C$2:$C$700,MATCH($C50,'تحليل التكلفة والسعر'!$B$2:$B$700,0)),0))</f>
        <v/>
      </c>
    </row>
    <row r="51" customFormat="false" ht="15" hidden="false" customHeight="false" outlineLevel="0" collapsed="false">
      <c r="A51" s="102"/>
      <c r="E51" s="103" t="str">
        <f aca="false">IF($C51="","",IFERROR(INDEX(المنيو!$C$2:$C$500,MATCH($C51,المنيو!$B$2:$B$500,0)),0))</f>
        <v/>
      </c>
      <c r="F51" s="103" t="str">
        <f aca="false">IF($C51="","",$D51*$E51)</f>
        <v/>
      </c>
      <c r="G51" s="103" t="str">
        <f aca="false">IF($C51="","",$D51*IFERROR(INDEX('تحليل التكلفة والسعر'!$C$2:$C$700,MATCH($C51,'تحليل التكلفة والسعر'!$B$2:$B$700,0)),0))</f>
        <v/>
      </c>
    </row>
    <row r="52" customFormat="false" ht="15" hidden="false" customHeight="false" outlineLevel="0" collapsed="false">
      <c r="A52" s="102"/>
      <c r="E52" s="103" t="str">
        <f aca="false">IF($C52="","",IFERROR(INDEX(المنيو!$C$2:$C$500,MATCH($C52,المنيو!$B$2:$B$500,0)),0))</f>
        <v/>
      </c>
      <c r="F52" s="103" t="str">
        <f aca="false">IF($C52="","",$D52*$E52)</f>
        <v/>
      </c>
      <c r="G52" s="103" t="str">
        <f aca="false">IF($C52="","",$D52*IFERROR(INDEX('تحليل التكلفة والسعر'!$C$2:$C$700,MATCH($C52,'تحليل التكلفة والسعر'!$B$2:$B$700,0)),0))</f>
        <v/>
      </c>
    </row>
    <row r="53" customFormat="false" ht="15" hidden="false" customHeight="false" outlineLevel="0" collapsed="false">
      <c r="A53" s="102"/>
      <c r="E53" s="103" t="str">
        <f aca="false">IF($C53="","",IFERROR(INDEX(المنيو!$C$2:$C$500,MATCH($C53,المنيو!$B$2:$B$500,0)),0))</f>
        <v/>
      </c>
      <c r="F53" s="103" t="str">
        <f aca="false">IF($C53="","",$D53*$E53)</f>
        <v/>
      </c>
      <c r="G53" s="103" t="str">
        <f aca="false">IF($C53="","",$D53*IFERROR(INDEX('تحليل التكلفة والسعر'!$C$2:$C$700,MATCH($C53,'تحليل التكلفة والسعر'!$B$2:$B$700,0)),0))</f>
        <v/>
      </c>
    </row>
    <row r="54" customFormat="false" ht="15" hidden="false" customHeight="false" outlineLevel="0" collapsed="false">
      <c r="A54" s="102"/>
      <c r="E54" s="103" t="str">
        <f aca="false">IF($C54="","",IFERROR(INDEX(المنيو!$C$2:$C$500,MATCH($C54,المنيو!$B$2:$B$500,0)),0))</f>
        <v/>
      </c>
      <c r="F54" s="103" t="str">
        <f aca="false">IF($C54="","",$D54*$E54)</f>
        <v/>
      </c>
      <c r="G54" s="103" t="str">
        <f aca="false">IF($C54="","",$D54*IFERROR(INDEX('تحليل التكلفة والسعر'!$C$2:$C$700,MATCH($C54,'تحليل التكلفة والسعر'!$B$2:$B$700,0)),0))</f>
        <v/>
      </c>
    </row>
    <row r="55" customFormat="false" ht="15" hidden="false" customHeight="false" outlineLevel="0" collapsed="false">
      <c r="A55" s="102"/>
      <c r="E55" s="103" t="str">
        <f aca="false">IF($C55="","",IFERROR(INDEX(المنيو!$C$2:$C$500,MATCH($C55,المنيو!$B$2:$B$500,0)),0))</f>
        <v/>
      </c>
      <c r="F55" s="103" t="str">
        <f aca="false">IF($C55="","",$D55*$E55)</f>
        <v/>
      </c>
      <c r="G55" s="103" t="str">
        <f aca="false">IF($C55="","",$D55*IFERROR(INDEX('تحليل التكلفة والسعر'!$C$2:$C$700,MATCH($C55,'تحليل التكلفة والسعر'!$B$2:$B$700,0)),0))</f>
        <v/>
      </c>
    </row>
    <row r="56" customFormat="false" ht="15" hidden="false" customHeight="false" outlineLevel="0" collapsed="false">
      <c r="A56" s="102"/>
      <c r="E56" s="103" t="str">
        <f aca="false">IF($C56="","",IFERROR(INDEX(المنيو!$C$2:$C$500,MATCH($C56,المنيو!$B$2:$B$500,0)),0))</f>
        <v/>
      </c>
      <c r="F56" s="103" t="str">
        <f aca="false">IF($C56="","",$D56*$E56)</f>
        <v/>
      </c>
      <c r="G56" s="103" t="str">
        <f aca="false">IF($C56="","",$D56*IFERROR(INDEX('تحليل التكلفة والسعر'!$C$2:$C$700,MATCH($C56,'تحليل التكلفة والسعر'!$B$2:$B$700,0)),0))</f>
        <v/>
      </c>
    </row>
    <row r="57" customFormat="false" ht="15" hidden="false" customHeight="false" outlineLevel="0" collapsed="false">
      <c r="A57" s="102"/>
      <c r="E57" s="103" t="str">
        <f aca="false">IF($C57="","",IFERROR(INDEX(المنيو!$C$2:$C$500,MATCH($C57,المنيو!$B$2:$B$500,0)),0))</f>
        <v/>
      </c>
      <c r="F57" s="103" t="str">
        <f aca="false">IF($C57="","",$D57*$E57)</f>
        <v/>
      </c>
      <c r="G57" s="103" t="str">
        <f aca="false">IF($C57="","",$D57*IFERROR(INDEX('تحليل التكلفة والسعر'!$C$2:$C$700,MATCH($C57,'تحليل التكلفة والسعر'!$B$2:$B$700,0)),0))</f>
        <v/>
      </c>
    </row>
    <row r="58" customFormat="false" ht="15" hidden="false" customHeight="false" outlineLevel="0" collapsed="false">
      <c r="A58" s="102"/>
      <c r="E58" s="103" t="str">
        <f aca="false">IF($C58="","",IFERROR(INDEX(المنيو!$C$2:$C$500,MATCH($C58,المنيو!$B$2:$B$500,0)),0))</f>
        <v/>
      </c>
      <c r="F58" s="103" t="str">
        <f aca="false">IF($C58="","",$D58*$E58)</f>
        <v/>
      </c>
      <c r="G58" s="103" t="str">
        <f aca="false">IF($C58="","",$D58*IFERROR(INDEX('تحليل التكلفة والسعر'!$C$2:$C$700,MATCH($C58,'تحليل التكلفة والسعر'!$B$2:$B$700,0)),0))</f>
        <v/>
      </c>
    </row>
    <row r="59" customFormat="false" ht="15" hidden="false" customHeight="false" outlineLevel="0" collapsed="false">
      <c r="A59" s="102"/>
      <c r="E59" s="103" t="str">
        <f aca="false">IF($C59="","",IFERROR(INDEX(المنيو!$C$2:$C$500,MATCH($C59,المنيو!$B$2:$B$500,0)),0))</f>
        <v/>
      </c>
      <c r="F59" s="103" t="str">
        <f aca="false">IF($C59="","",$D59*$E59)</f>
        <v/>
      </c>
      <c r="G59" s="103" t="str">
        <f aca="false">IF($C59="","",$D59*IFERROR(INDEX('تحليل التكلفة والسعر'!$C$2:$C$700,MATCH($C59,'تحليل التكلفة والسعر'!$B$2:$B$700,0)),0))</f>
        <v/>
      </c>
    </row>
    <row r="60" customFormat="false" ht="15" hidden="false" customHeight="false" outlineLevel="0" collapsed="false">
      <c r="A60" s="102"/>
      <c r="E60" s="103" t="str">
        <f aca="false">IF($C60="","",IFERROR(INDEX(المنيو!$C$2:$C$500,MATCH($C60,المنيو!$B$2:$B$500,0)),0))</f>
        <v/>
      </c>
      <c r="F60" s="103" t="str">
        <f aca="false">IF($C60="","",$D60*$E60)</f>
        <v/>
      </c>
      <c r="G60" s="103" t="str">
        <f aca="false">IF($C60="","",$D60*IFERROR(INDEX('تحليل التكلفة والسعر'!$C$2:$C$700,MATCH($C60,'تحليل التكلفة والسعر'!$B$2:$B$700,0)),0))</f>
        <v/>
      </c>
    </row>
    <row r="61" customFormat="false" ht="15" hidden="false" customHeight="false" outlineLevel="0" collapsed="false">
      <c r="A61" s="102"/>
      <c r="E61" s="103" t="str">
        <f aca="false">IF($C61="","",IFERROR(INDEX(المنيو!$C$2:$C$500,MATCH($C61,المنيو!$B$2:$B$500,0)),0))</f>
        <v/>
      </c>
      <c r="F61" s="103" t="str">
        <f aca="false">IF($C61="","",$D61*$E61)</f>
        <v/>
      </c>
      <c r="G61" s="103" t="str">
        <f aca="false">IF($C61="","",$D61*IFERROR(INDEX('تحليل التكلفة والسعر'!$C$2:$C$700,MATCH($C61,'تحليل التكلفة والسعر'!$B$2:$B$700,0)),0))</f>
        <v/>
      </c>
    </row>
    <row r="62" customFormat="false" ht="15" hidden="false" customHeight="false" outlineLevel="0" collapsed="false">
      <c r="A62" s="102"/>
      <c r="E62" s="103" t="str">
        <f aca="false">IF($C62="","",IFERROR(INDEX(المنيو!$C$2:$C$500,MATCH($C62,المنيو!$B$2:$B$500,0)),0))</f>
        <v/>
      </c>
      <c r="F62" s="103" t="str">
        <f aca="false">IF($C62="","",$D62*$E62)</f>
        <v/>
      </c>
      <c r="G62" s="103" t="str">
        <f aca="false">IF($C62="","",$D62*IFERROR(INDEX('تحليل التكلفة والسعر'!$C$2:$C$700,MATCH($C62,'تحليل التكلفة والسعر'!$B$2:$B$700,0)),0))</f>
        <v/>
      </c>
    </row>
    <row r="63" customFormat="false" ht="15" hidden="false" customHeight="false" outlineLevel="0" collapsed="false">
      <c r="A63" s="102"/>
      <c r="E63" s="103" t="str">
        <f aca="false">IF($C63="","",IFERROR(INDEX(المنيو!$C$2:$C$500,MATCH($C63,المنيو!$B$2:$B$500,0)),0))</f>
        <v/>
      </c>
      <c r="F63" s="103" t="str">
        <f aca="false">IF($C63="","",$D63*$E63)</f>
        <v/>
      </c>
      <c r="G63" s="103" t="str">
        <f aca="false">IF($C63="","",$D63*IFERROR(INDEX('تحليل التكلفة والسعر'!$C$2:$C$700,MATCH($C63,'تحليل التكلفة والسعر'!$B$2:$B$700,0)),0))</f>
        <v/>
      </c>
    </row>
    <row r="64" customFormat="false" ht="15" hidden="false" customHeight="false" outlineLevel="0" collapsed="false">
      <c r="A64" s="102"/>
      <c r="E64" s="103" t="str">
        <f aca="false">IF($C64="","",IFERROR(INDEX(المنيو!$C$2:$C$500,MATCH($C64,المنيو!$B$2:$B$500,0)),0))</f>
        <v/>
      </c>
      <c r="F64" s="103" t="str">
        <f aca="false">IF($C64="","",$D64*$E64)</f>
        <v/>
      </c>
      <c r="G64" s="103" t="str">
        <f aca="false">IF($C64="","",$D64*IFERROR(INDEX('تحليل التكلفة والسعر'!$C$2:$C$700,MATCH($C64,'تحليل التكلفة والسعر'!$B$2:$B$700,0)),0))</f>
        <v/>
      </c>
    </row>
    <row r="65" customFormat="false" ht="15" hidden="false" customHeight="false" outlineLevel="0" collapsed="false">
      <c r="A65" s="102"/>
      <c r="E65" s="103" t="str">
        <f aca="false">IF($C65="","",IFERROR(INDEX(المنيو!$C$2:$C$500,MATCH($C65,المنيو!$B$2:$B$500,0)),0))</f>
        <v/>
      </c>
      <c r="F65" s="103" t="str">
        <f aca="false">IF($C65="","",$D65*$E65)</f>
        <v/>
      </c>
      <c r="G65" s="103" t="str">
        <f aca="false">IF($C65="","",$D65*IFERROR(INDEX('تحليل التكلفة والسعر'!$C$2:$C$700,MATCH($C65,'تحليل التكلفة والسعر'!$B$2:$B$700,0)),0))</f>
        <v/>
      </c>
    </row>
    <row r="66" customFormat="false" ht="15" hidden="false" customHeight="false" outlineLevel="0" collapsed="false">
      <c r="A66" s="102"/>
      <c r="E66" s="103" t="str">
        <f aca="false">IF($C66="","",IFERROR(INDEX(المنيو!$C$2:$C$500,MATCH($C66,المنيو!$B$2:$B$500,0)),0))</f>
        <v/>
      </c>
      <c r="F66" s="103" t="str">
        <f aca="false">IF($C66="","",$D66*$E66)</f>
        <v/>
      </c>
      <c r="G66" s="103" t="str">
        <f aca="false">IF($C66="","",$D66*IFERROR(INDEX('تحليل التكلفة والسعر'!$C$2:$C$700,MATCH($C66,'تحليل التكلفة والسعر'!$B$2:$B$700,0)),0))</f>
        <v/>
      </c>
    </row>
    <row r="67" customFormat="false" ht="15" hidden="false" customHeight="false" outlineLevel="0" collapsed="false">
      <c r="A67" s="102"/>
      <c r="E67" s="103" t="str">
        <f aca="false">IF($C67="","",IFERROR(INDEX(المنيو!$C$2:$C$500,MATCH($C67,المنيو!$B$2:$B$500,0)),0))</f>
        <v/>
      </c>
      <c r="F67" s="103" t="str">
        <f aca="false">IF($C67="","",$D67*$E67)</f>
        <v/>
      </c>
      <c r="G67" s="103" t="str">
        <f aca="false">IF($C67="","",$D67*IFERROR(INDEX('تحليل التكلفة والسعر'!$C$2:$C$700,MATCH($C67,'تحليل التكلفة والسعر'!$B$2:$B$700,0)),0))</f>
        <v/>
      </c>
    </row>
    <row r="68" customFormat="false" ht="15" hidden="false" customHeight="false" outlineLevel="0" collapsed="false">
      <c r="A68" s="102"/>
      <c r="E68" s="103" t="str">
        <f aca="false">IF($C68="","",IFERROR(INDEX(المنيو!$C$2:$C$500,MATCH($C68,المنيو!$B$2:$B$500,0)),0))</f>
        <v/>
      </c>
      <c r="F68" s="103" t="str">
        <f aca="false">IF($C68="","",$D68*$E68)</f>
        <v/>
      </c>
      <c r="G68" s="103" t="str">
        <f aca="false">IF($C68="","",$D68*IFERROR(INDEX('تحليل التكلفة والسعر'!$C$2:$C$700,MATCH($C68,'تحليل التكلفة والسعر'!$B$2:$B$700,0)),0))</f>
        <v/>
      </c>
    </row>
    <row r="69" customFormat="false" ht="15" hidden="false" customHeight="false" outlineLevel="0" collapsed="false">
      <c r="A69" s="102"/>
      <c r="E69" s="103" t="str">
        <f aca="false">IF($C69="","",IFERROR(INDEX(المنيو!$C$2:$C$500,MATCH($C69,المنيو!$B$2:$B$500,0)),0))</f>
        <v/>
      </c>
      <c r="F69" s="103" t="str">
        <f aca="false">IF($C69="","",$D69*$E69)</f>
        <v/>
      </c>
      <c r="G69" s="103" t="str">
        <f aca="false">IF($C69="","",$D69*IFERROR(INDEX('تحليل التكلفة والسعر'!$C$2:$C$700,MATCH($C69,'تحليل التكلفة والسعر'!$B$2:$B$700,0)),0))</f>
        <v/>
      </c>
    </row>
    <row r="70" customFormat="false" ht="15" hidden="false" customHeight="false" outlineLevel="0" collapsed="false">
      <c r="A70" s="102"/>
      <c r="E70" s="103" t="str">
        <f aca="false">IF($C70="","",IFERROR(INDEX(المنيو!$C$2:$C$500,MATCH($C70,المنيو!$B$2:$B$500,0)),0))</f>
        <v/>
      </c>
      <c r="F70" s="103" t="str">
        <f aca="false">IF($C70="","",$D70*$E70)</f>
        <v/>
      </c>
      <c r="G70" s="103" t="str">
        <f aca="false">IF($C70="","",$D70*IFERROR(INDEX('تحليل التكلفة والسعر'!$C$2:$C$700,MATCH($C70,'تحليل التكلفة والسعر'!$B$2:$B$700,0)),0))</f>
        <v/>
      </c>
    </row>
    <row r="71" customFormat="false" ht="15" hidden="false" customHeight="false" outlineLevel="0" collapsed="false">
      <c r="A71" s="102"/>
      <c r="E71" s="103" t="str">
        <f aca="false">IF($C71="","",IFERROR(INDEX(المنيو!$C$2:$C$500,MATCH($C71,المنيو!$B$2:$B$500,0)),0))</f>
        <v/>
      </c>
      <c r="F71" s="103" t="str">
        <f aca="false">IF($C71="","",$D71*$E71)</f>
        <v/>
      </c>
      <c r="G71" s="103" t="str">
        <f aca="false">IF($C71="","",$D71*IFERROR(INDEX('تحليل التكلفة والسعر'!$C$2:$C$700,MATCH($C71,'تحليل التكلفة والسعر'!$B$2:$B$700,0)),0))</f>
        <v/>
      </c>
    </row>
    <row r="72" customFormat="false" ht="15" hidden="false" customHeight="false" outlineLevel="0" collapsed="false">
      <c r="A72" s="102"/>
      <c r="E72" s="103" t="str">
        <f aca="false">IF($C72="","",IFERROR(INDEX(المنيو!$C$2:$C$500,MATCH($C72,المنيو!$B$2:$B$500,0)),0))</f>
        <v/>
      </c>
      <c r="F72" s="103" t="str">
        <f aca="false">IF($C72="","",$D72*$E72)</f>
        <v/>
      </c>
      <c r="G72" s="103" t="str">
        <f aca="false">IF($C72="","",$D72*IFERROR(INDEX('تحليل التكلفة والسعر'!$C$2:$C$700,MATCH($C72,'تحليل التكلفة والسعر'!$B$2:$B$700,0)),0))</f>
        <v/>
      </c>
    </row>
    <row r="73" customFormat="false" ht="15" hidden="false" customHeight="false" outlineLevel="0" collapsed="false">
      <c r="A73" s="102"/>
      <c r="E73" s="103" t="str">
        <f aca="false">IF($C73="","",IFERROR(INDEX(المنيو!$C$2:$C$500,MATCH($C73,المنيو!$B$2:$B$500,0)),0))</f>
        <v/>
      </c>
      <c r="F73" s="103" t="str">
        <f aca="false">IF($C73="","",$D73*$E73)</f>
        <v/>
      </c>
      <c r="G73" s="103" t="str">
        <f aca="false">IF($C73="","",$D73*IFERROR(INDEX('تحليل التكلفة والسعر'!$C$2:$C$700,MATCH($C73,'تحليل التكلفة والسعر'!$B$2:$B$700,0)),0))</f>
        <v/>
      </c>
    </row>
    <row r="74" customFormat="false" ht="15" hidden="false" customHeight="false" outlineLevel="0" collapsed="false">
      <c r="A74" s="102"/>
      <c r="E74" s="103" t="str">
        <f aca="false">IF($C74="","",IFERROR(INDEX(المنيو!$C$2:$C$500,MATCH($C74,المنيو!$B$2:$B$500,0)),0))</f>
        <v/>
      </c>
      <c r="F74" s="103" t="str">
        <f aca="false">IF($C74="","",$D74*$E74)</f>
        <v/>
      </c>
      <c r="G74" s="103" t="str">
        <f aca="false">IF($C74="","",$D74*IFERROR(INDEX('تحليل التكلفة والسعر'!$C$2:$C$700,MATCH($C74,'تحليل التكلفة والسعر'!$B$2:$B$700,0)),0))</f>
        <v/>
      </c>
    </row>
    <row r="75" customFormat="false" ht="15" hidden="false" customHeight="false" outlineLevel="0" collapsed="false">
      <c r="A75" s="102"/>
      <c r="E75" s="103" t="str">
        <f aca="false">IF($C75="","",IFERROR(INDEX(المنيو!$C$2:$C$500,MATCH($C75,المنيو!$B$2:$B$500,0)),0))</f>
        <v/>
      </c>
      <c r="F75" s="103" t="str">
        <f aca="false">IF($C75="","",$D75*$E75)</f>
        <v/>
      </c>
      <c r="G75" s="103" t="str">
        <f aca="false">IF($C75="","",$D75*IFERROR(INDEX('تحليل التكلفة والسعر'!$C$2:$C$700,MATCH($C75,'تحليل التكلفة والسعر'!$B$2:$B$700,0)),0))</f>
        <v/>
      </c>
    </row>
    <row r="76" customFormat="false" ht="15" hidden="false" customHeight="false" outlineLevel="0" collapsed="false">
      <c r="A76" s="102"/>
      <c r="E76" s="103" t="str">
        <f aca="false">IF($C76="","",IFERROR(INDEX(المنيو!$C$2:$C$500,MATCH($C76,المنيو!$B$2:$B$500,0)),0))</f>
        <v/>
      </c>
      <c r="F76" s="103" t="str">
        <f aca="false">IF($C76="","",$D76*$E76)</f>
        <v/>
      </c>
      <c r="G76" s="103" t="str">
        <f aca="false">IF($C76="","",$D76*IFERROR(INDEX('تحليل التكلفة والسعر'!$C$2:$C$700,MATCH($C76,'تحليل التكلفة والسعر'!$B$2:$B$700,0)),0))</f>
        <v/>
      </c>
    </row>
    <row r="77" customFormat="false" ht="15" hidden="false" customHeight="false" outlineLevel="0" collapsed="false">
      <c r="A77" s="102"/>
      <c r="E77" s="103" t="str">
        <f aca="false">IF($C77="","",IFERROR(INDEX(المنيو!$C$2:$C$500,MATCH($C77,المنيو!$B$2:$B$500,0)),0))</f>
        <v/>
      </c>
      <c r="F77" s="103" t="str">
        <f aca="false">IF($C77="","",$D77*$E77)</f>
        <v/>
      </c>
      <c r="G77" s="103" t="str">
        <f aca="false">IF($C77="","",$D77*IFERROR(INDEX('تحليل التكلفة والسعر'!$C$2:$C$700,MATCH($C77,'تحليل التكلفة والسعر'!$B$2:$B$700,0)),0))</f>
        <v/>
      </c>
    </row>
    <row r="78" customFormat="false" ht="15" hidden="false" customHeight="false" outlineLevel="0" collapsed="false">
      <c r="A78" s="102"/>
      <c r="E78" s="103" t="str">
        <f aca="false">IF($C78="","",IFERROR(INDEX(المنيو!$C$2:$C$500,MATCH($C78,المنيو!$B$2:$B$500,0)),0))</f>
        <v/>
      </c>
      <c r="F78" s="103" t="str">
        <f aca="false">IF($C78="","",$D78*$E78)</f>
        <v/>
      </c>
      <c r="G78" s="103" t="str">
        <f aca="false">IF($C78="","",$D78*IFERROR(INDEX('تحليل التكلفة والسعر'!$C$2:$C$700,MATCH($C78,'تحليل التكلفة والسعر'!$B$2:$B$700,0)),0))</f>
        <v/>
      </c>
    </row>
    <row r="79" customFormat="false" ht="15" hidden="false" customHeight="false" outlineLevel="0" collapsed="false">
      <c r="A79" s="102"/>
      <c r="E79" s="103" t="str">
        <f aca="false">IF($C79="","",IFERROR(INDEX(المنيو!$C$2:$C$500,MATCH($C79,المنيو!$B$2:$B$500,0)),0))</f>
        <v/>
      </c>
      <c r="F79" s="103" t="str">
        <f aca="false">IF($C79="","",$D79*$E79)</f>
        <v/>
      </c>
      <c r="G79" s="103" t="str">
        <f aca="false">IF($C79="","",$D79*IFERROR(INDEX('تحليل التكلفة والسعر'!$C$2:$C$700,MATCH($C79,'تحليل التكلفة والسعر'!$B$2:$B$700,0)),0))</f>
        <v/>
      </c>
    </row>
    <row r="80" customFormat="false" ht="15" hidden="false" customHeight="false" outlineLevel="0" collapsed="false">
      <c r="A80" s="102"/>
      <c r="E80" s="103" t="str">
        <f aca="false">IF($C80="","",IFERROR(INDEX(المنيو!$C$2:$C$500,MATCH($C80,المنيو!$B$2:$B$500,0)),0))</f>
        <v/>
      </c>
      <c r="F80" s="103" t="str">
        <f aca="false">IF($C80="","",$D80*$E80)</f>
        <v/>
      </c>
      <c r="G80" s="103" t="str">
        <f aca="false">IF($C80="","",$D80*IFERROR(INDEX('تحليل التكلفة والسعر'!$C$2:$C$700,MATCH($C80,'تحليل التكلفة والسعر'!$B$2:$B$700,0)),0))</f>
        <v/>
      </c>
    </row>
    <row r="81" customFormat="false" ht="15" hidden="false" customHeight="false" outlineLevel="0" collapsed="false">
      <c r="A81" s="102"/>
      <c r="E81" s="103" t="str">
        <f aca="false">IF($C81="","",IFERROR(INDEX(المنيو!$C$2:$C$500,MATCH($C81,المنيو!$B$2:$B$500,0)),0))</f>
        <v/>
      </c>
      <c r="F81" s="103" t="str">
        <f aca="false">IF($C81="","",$D81*$E81)</f>
        <v/>
      </c>
      <c r="G81" s="103" t="str">
        <f aca="false">IF($C81="","",$D81*IFERROR(INDEX('تحليل التكلفة والسعر'!$C$2:$C$700,MATCH($C81,'تحليل التكلفة والسعر'!$B$2:$B$700,0)),0))</f>
        <v/>
      </c>
    </row>
    <row r="82" customFormat="false" ht="15" hidden="false" customHeight="false" outlineLevel="0" collapsed="false">
      <c r="A82" s="102"/>
      <c r="E82" s="103" t="str">
        <f aca="false">IF($C82="","",IFERROR(INDEX(المنيو!$C$2:$C$500,MATCH($C82,المنيو!$B$2:$B$500,0)),0))</f>
        <v/>
      </c>
      <c r="F82" s="103" t="str">
        <f aca="false">IF($C82="","",$D82*$E82)</f>
        <v/>
      </c>
      <c r="G82" s="103" t="str">
        <f aca="false">IF($C82="","",$D82*IFERROR(INDEX('تحليل التكلفة والسعر'!$C$2:$C$700,MATCH($C82,'تحليل التكلفة والسعر'!$B$2:$B$700,0)),0))</f>
        <v/>
      </c>
    </row>
    <row r="83" customFormat="false" ht="15" hidden="false" customHeight="false" outlineLevel="0" collapsed="false">
      <c r="A83" s="102"/>
      <c r="E83" s="103" t="str">
        <f aca="false">IF($C83="","",IFERROR(INDEX(المنيو!$C$2:$C$500,MATCH($C83,المنيو!$B$2:$B$500,0)),0))</f>
        <v/>
      </c>
      <c r="F83" s="103" t="str">
        <f aca="false">IF($C83="","",$D83*$E83)</f>
        <v/>
      </c>
      <c r="G83" s="103" t="str">
        <f aca="false">IF($C83="","",$D83*IFERROR(INDEX('تحليل التكلفة والسعر'!$C$2:$C$700,MATCH($C83,'تحليل التكلفة والسعر'!$B$2:$B$700,0)),0))</f>
        <v/>
      </c>
    </row>
    <row r="84" customFormat="false" ht="15" hidden="false" customHeight="false" outlineLevel="0" collapsed="false">
      <c r="A84" s="102"/>
      <c r="E84" s="103" t="str">
        <f aca="false">IF($C84="","",IFERROR(INDEX(المنيو!$C$2:$C$500,MATCH($C84,المنيو!$B$2:$B$500,0)),0))</f>
        <v/>
      </c>
      <c r="F84" s="103" t="str">
        <f aca="false">IF($C84="","",$D84*$E84)</f>
        <v/>
      </c>
      <c r="G84" s="103" t="str">
        <f aca="false">IF($C84="","",$D84*IFERROR(INDEX('تحليل التكلفة والسعر'!$C$2:$C$700,MATCH($C84,'تحليل التكلفة والسعر'!$B$2:$B$700,0)),0))</f>
        <v/>
      </c>
    </row>
    <row r="85" customFormat="false" ht="15" hidden="false" customHeight="false" outlineLevel="0" collapsed="false">
      <c r="A85" s="102"/>
      <c r="E85" s="103" t="str">
        <f aca="false">IF($C85="","",IFERROR(INDEX(المنيو!$C$2:$C$500,MATCH($C85,المنيو!$B$2:$B$500,0)),0))</f>
        <v/>
      </c>
      <c r="F85" s="103" t="str">
        <f aca="false">IF($C85="","",$D85*$E85)</f>
        <v/>
      </c>
      <c r="G85" s="103" t="str">
        <f aca="false">IF($C85="","",$D85*IFERROR(INDEX('تحليل التكلفة والسعر'!$C$2:$C$700,MATCH($C85,'تحليل التكلفة والسعر'!$B$2:$B$700,0)),0))</f>
        <v/>
      </c>
    </row>
    <row r="86" customFormat="false" ht="15" hidden="false" customHeight="false" outlineLevel="0" collapsed="false">
      <c r="A86" s="102"/>
      <c r="E86" s="103" t="str">
        <f aca="false">IF($C86="","",IFERROR(INDEX(المنيو!$C$2:$C$500,MATCH($C86,المنيو!$B$2:$B$500,0)),0))</f>
        <v/>
      </c>
      <c r="F86" s="103" t="str">
        <f aca="false">IF($C86="","",$D86*$E86)</f>
        <v/>
      </c>
      <c r="G86" s="103" t="str">
        <f aca="false">IF($C86="","",$D86*IFERROR(INDEX('تحليل التكلفة والسعر'!$C$2:$C$700,MATCH($C86,'تحليل التكلفة والسعر'!$B$2:$B$700,0)),0))</f>
        <v/>
      </c>
    </row>
    <row r="87" customFormat="false" ht="15" hidden="false" customHeight="false" outlineLevel="0" collapsed="false">
      <c r="A87" s="102"/>
      <c r="E87" s="103" t="str">
        <f aca="false">IF($C87="","",IFERROR(INDEX(المنيو!$C$2:$C$500,MATCH($C87,المنيو!$B$2:$B$500,0)),0))</f>
        <v/>
      </c>
      <c r="F87" s="103" t="str">
        <f aca="false">IF($C87="","",$D87*$E87)</f>
        <v/>
      </c>
      <c r="G87" s="103" t="str">
        <f aca="false">IF($C87="","",$D87*IFERROR(INDEX('تحليل التكلفة والسعر'!$C$2:$C$700,MATCH($C87,'تحليل التكلفة والسعر'!$B$2:$B$700,0)),0))</f>
        <v/>
      </c>
    </row>
    <row r="88" customFormat="false" ht="15" hidden="false" customHeight="false" outlineLevel="0" collapsed="false">
      <c r="A88" s="102"/>
      <c r="E88" s="103" t="str">
        <f aca="false">IF($C88="","",IFERROR(INDEX(المنيو!$C$2:$C$500,MATCH($C88,المنيو!$B$2:$B$500,0)),0))</f>
        <v/>
      </c>
      <c r="F88" s="103" t="str">
        <f aca="false">IF($C88="","",$D88*$E88)</f>
        <v/>
      </c>
      <c r="G88" s="103" t="str">
        <f aca="false">IF($C88="","",$D88*IFERROR(INDEX('تحليل التكلفة والسعر'!$C$2:$C$700,MATCH($C88,'تحليل التكلفة والسعر'!$B$2:$B$700,0)),0))</f>
        <v/>
      </c>
    </row>
    <row r="89" customFormat="false" ht="15" hidden="false" customHeight="false" outlineLevel="0" collapsed="false">
      <c r="A89" s="102"/>
      <c r="E89" s="103" t="str">
        <f aca="false">IF($C89="","",IFERROR(INDEX(المنيو!$C$2:$C$500,MATCH($C89,المنيو!$B$2:$B$500,0)),0))</f>
        <v/>
      </c>
      <c r="F89" s="103" t="str">
        <f aca="false">IF($C89="","",$D89*$E89)</f>
        <v/>
      </c>
      <c r="G89" s="103" t="str">
        <f aca="false">IF($C89="","",$D89*IFERROR(INDEX('تحليل التكلفة والسعر'!$C$2:$C$700,MATCH($C89,'تحليل التكلفة والسعر'!$B$2:$B$700,0)),0))</f>
        <v/>
      </c>
    </row>
    <row r="90" customFormat="false" ht="15" hidden="false" customHeight="false" outlineLevel="0" collapsed="false">
      <c r="A90" s="102"/>
      <c r="E90" s="103" t="str">
        <f aca="false">IF($C90="","",IFERROR(INDEX(المنيو!$C$2:$C$500,MATCH($C90,المنيو!$B$2:$B$500,0)),0))</f>
        <v/>
      </c>
      <c r="F90" s="103" t="str">
        <f aca="false">IF($C90="","",$D90*$E90)</f>
        <v/>
      </c>
      <c r="G90" s="103" t="str">
        <f aca="false">IF($C90="","",$D90*IFERROR(INDEX('تحليل التكلفة والسعر'!$C$2:$C$700,MATCH($C90,'تحليل التكلفة والسعر'!$B$2:$B$700,0)),0))</f>
        <v/>
      </c>
    </row>
    <row r="91" customFormat="false" ht="15" hidden="false" customHeight="false" outlineLevel="0" collapsed="false">
      <c r="A91" s="102"/>
      <c r="E91" s="103" t="str">
        <f aca="false">IF($C91="","",IFERROR(INDEX(المنيو!$C$2:$C$500,MATCH($C91,المنيو!$B$2:$B$500,0)),0))</f>
        <v/>
      </c>
      <c r="F91" s="103" t="str">
        <f aca="false">IF($C91="","",$D91*$E91)</f>
        <v/>
      </c>
      <c r="G91" s="103" t="str">
        <f aca="false">IF($C91="","",$D91*IFERROR(INDEX('تحليل التكلفة والسعر'!$C$2:$C$700,MATCH($C91,'تحليل التكلفة والسعر'!$B$2:$B$700,0)),0))</f>
        <v/>
      </c>
    </row>
    <row r="92" customFormat="false" ht="15" hidden="false" customHeight="false" outlineLevel="0" collapsed="false">
      <c r="A92" s="102"/>
      <c r="E92" s="103" t="str">
        <f aca="false">IF($C92="","",IFERROR(INDEX(المنيو!$C$2:$C$500,MATCH($C92,المنيو!$B$2:$B$500,0)),0))</f>
        <v/>
      </c>
      <c r="F92" s="103" t="str">
        <f aca="false">IF($C92="","",$D92*$E92)</f>
        <v/>
      </c>
      <c r="G92" s="103" t="str">
        <f aca="false">IF($C92="","",$D92*IFERROR(INDEX('تحليل التكلفة والسعر'!$C$2:$C$700,MATCH($C92,'تحليل التكلفة والسعر'!$B$2:$B$700,0)),0))</f>
        <v/>
      </c>
    </row>
    <row r="93" customFormat="false" ht="15" hidden="false" customHeight="false" outlineLevel="0" collapsed="false">
      <c r="A93" s="102"/>
      <c r="E93" s="103" t="str">
        <f aca="false">IF($C93="","",IFERROR(INDEX(المنيو!$C$2:$C$500,MATCH($C93,المنيو!$B$2:$B$500,0)),0))</f>
        <v/>
      </c>
      <c r="F93" s="103" t="str">
        <f aca="false">IF($C93="","",$D93*$E93)</f>
        <v/>
      </c>
      <c r="G93" s="103" t="str">
        <f aca="false">IF($C93="","",$D93*IFERROR(INDEX('تحليل التكلفة والسعر'!$C$2:$C$700,MATCH($C93,'تحليل التكلفة والسعر'!$B$2:$B$700,0)),0))</f>
        <v/>
      </c>
    </row>
    <row r="94" customFormat="false" ht="15" hidden="false" customHeight="false" outlineLevel="0" collapsed="false">
      <c r="A94" s="102"/>
      <c r="E94" s="103" t="str">
        <f aca="false">IF($C94="","",IFERROR(INDEX(المنيو!$C$2:$C$500,MATCH($C94,المنيو!$B$2:$B$500,0)),0))</f>
        <v/>
      </c>
      <c r="F94" s="103" t="str">
        <f aca="false">IF($C94="","",$D94*$E94)</f>
        <v/>
      </c>
      <c r="G94" s="103" t="str">
        <f aca="false">IF($C94="","",$D94*IFERROR(INDEX('تحليل التكلفة والسعر'!$C$2:$C$700,MATCH($C94,'تحليل التكلفة والسعر'!$B$2:$B$700,0)),0))</f>
        <v/>
      </c>
    </row>
    <row r="95" customFormat="false" ht="15" hidden="false" customHeight="false" outlineLevel="0" collapsed="false">
      <c r="A95" s="102"/>
      <c r="E95" s="103" t="str">
        <f aca="false">IF($C95="","",IFERROR(INDEX(المنيو!$C$2:$C$500,MATCH($C95,المنيو!$B$2:$B$500,0)),0))</f>
        <v/>
      </c>
      <c r="F95" s="103" t="str">
        <f aca="false">IF($C95="","",$D95*$E95)</f>
        <v/>
      </c>
      <c r="G95" s="103" t="str">
        <f aca="false">IF($C95="","",$D95*IFERROR(INDEX('تحليل التكلفة والسعر'!$C$2:$C$700,MATCH($C95,'تحليل التكلفة والسعر'!$B$2:$B$700,0)),0))</f>
        <v/>
      </c>
    </row>
    <row r="96" customFormat="false" ht="15" hidden="false" customHeight="false" outlineLevel="0" collapsed="false">
      <c r="A96" s="102"/>
      <c r="E96" s="103" t="str">
        <f aca="false">IF($C96="","",IFERROR(INDEX(المنيو!$C$2:$C$500,MATCH($C96,المنيو!$B$2:$B$500,0)),0))</f>
        <v/>
      </c>
      <c r="F96" s="103" t="str">
        <f aca="false">IF($C96="","",$D96*$E96)</f>
        <v/>
      </c>
      <c r="G96" s="103" t="str">
        <f aca="false">IF($C96="","",$D96*IFERROR(INDEX('تحليل التكلفة والسعر'!$C$2:$C$700,MATCH($C96,'تحليل التكلفة والسعر'!$B$2:$B$700,0)),0))</f>
        <v/>
      </c>
    </row>
    <row r="97" customFormat="false" ht="15" hidden="false" customHeight="false" outlineLevel="0" collapsed="false">
      <c r="A97" s="102"/>
      <c r="E97" s="103" t="str">
        <f aca="false">IF($C97="","",IFERROR(INDEX(المنيو!$C$2:$C$500,MATCH($C97,المنيو!$B$2:$B$500,0)),0))</f>
        <v/>
      </c>
      <c r="F97" s="103" t="str">
        <f aca="false">IF($C97="","",$D97*$E97)</f>
        <v/>
      </c>
      <c r="G97" s="103" t="str">
        <f aca="false">IF($C97="","",$D97*IFERROR(INDEX('تحليل التكلفة والسعر'!$C$2:$C$700,MATCH($C97,'تحليل التكلفة والسعر'!$B$2:$B$700,0)),0))</f>
        <v/>
      </c>
    </row>
    <row r="98" customFormat="false" ht="15" hidden="false" customHeight="false" outlineLevel="0" collapsed="false">
      <c r="A98" s="102"/>
      <c r="E98" s="103" t="str">
        <f aca="false">IF($C98="","",IFERROR(INDEX(المنيو!$C$2:$C$500,MATCH($C98,المنيو!$B$2:$B$500,0)),0))</f>
        <v/>
      </c>
      <c r="F98" s="103" t="str">
        <f aca="false">IF($C98="","",$D98*$E98)</f>
        <v/>
      </c>
      <c r="G98" s="103" t="str">
        <f aca="false">IF($C98="","",$D98*IFERROR(INDEX('تحليل التكلفة والسعر'!$C$2:$C$700,MATCH($C98,'تحليل التكلفة والسعر'!$B$2:$B$700,0)),0))</f>
        <v/>
      </c>
    </row>
    <row r="99" customFormat="false" ht="15" hidden="false" customHeight="false" outlineLevel="0" collapsed="false">
      <c r="A99" s="102"/>
      <c r="E99" s="103" t="str">
        <f aca="false">IF($C99="","",IFERROR(INDEX(المنيو!$C$2:$C$500,MATCH($C99,المنيو!$B$2:$B$500,0)),0))</f>
        <v/>
      </c>
      <c r="F99" s="103" t="str">
        <f aca="false">IF($C99="","",$D99*$E99)</f>
        <v/>
      </c>
      <c r="G99" s="103" t="str">
        <f aca="false">IF($C99="","",$D99*IFERROR(INDEX('تحليل التكلفة والسعر'!$C$2:$C$700,MATCH($C99,'تحليل التكلفة والسعر'!$B$2:$B$700,0)),0))</f>
        <v/>
      </c>
    </row>
    <row r="100" customFormat="false" ht="15" hidden="false" customHeight="false" outlineLevel="0" collapsed="false">
      <c r="A100" s="102"/>
      <c r="E100" s="103" t="str">
        <f aca="false">IF($C100="","",IFERROR(INDEX(المنيو!$C$2:$C$500,MATCH($C100,المنيو!$B$2:$B$500,0)),0))</f>
        <v/>
      </c>
      <c r="F100" s="103" t="str">
        <f aca="false">IF($C100="","",$D100*$E100)</f>
        <v/>
      </c>
      <c r="G100" s="103" t="str">
        <f aca="false">IF($C100="","",$D100*IFERROR(INDEX('تحليل التكلفة والسعر'!$C$2:$C$700,MATCH($C100,'تحليل التكلفة والسعر'!$B$2:$B$700,0)),0))</f>
        <v/>
      </c>
    </row>
    <row r="101" customFormat="false" ht="15" hidden="false" customHeight="false" outlineLevel="0" collapsed="false">
      <c r="A101" s="102"/>
      <c r="E101" s="103" t="str">
        <f aca="false">IF($C101="","",IFERROR(INDEX(المنيو!$C$2:$C$500,MATCH($C101,المنيو!$B$2:$B$500,0)),0))</f>
        <v/>
      </c>
      <c r="F101" s="103" t="str">
        <f aca="false">IF($C101="","",$D101*$E101)</f>
        <v/>
      </c>
      <c r="G101" s="103" t="str">
        <f aca="false">IF($C101="","",$D101*IFERROR(INDEX('تحليل التكلفة والسعر'!$C$2:$C$700,MATCH($C101,'تحليل التكلفة والسعر'!$B$2:$B$700,0)),0))</f>
        <v/>
      </c>
    </row>
    <row r="102" customFormat="false" ht="15" hidden="false" customHeight="false" outlineLevel="0" collapsed="false">
      <c r="A102" s="102"/>
      <c r="E102" s="103" t="str">
        <f aca="false">IF($C102="","",IFERROR(INDEX(المنيو!$C$2:$C$500,MATCH($C102,المنيو!$B$2:$B$500,0)),0))</f>
        <v/>
      </c>
      <c r="F102" s="103" t="str">
        <f aca="false">IF($C102="","",$D102*$E102)</f>
        <v/>
      </c>
      <c r="G102" s="103" t="str">
        <f aca="false">IF($C102="","",$D102*IFERROR(INDEX('تحليل التكلفة والسعر'!$C$2:$C$700,MATCH($C102,'تحليل التكلفة والسعر'!$B$2:$B$700,0)),0))</f>
        <v/>
      </c>
    </row>
    <row r="103" customFormat="false" ht="15" hidden="false" customHeight="false" outlineLevel="0" collapsed="false">
      <c r="A103" s="102"/>
      <c r="E103" s="103" t="str">
        <f aca="false">IF($C103="","",IFERROR(INDEX(المنيو!$C$2:$C$500,MATCH($C103,المنيو!$B$2:$B$500,0)),0))</f>
        <v/>
      </c>
      <c r="F103" s="103" t="str">
        <f aca="false">IF($C103="","",$D103*$E103)</f>
        <v/>
      </c>
      <c r="G103" s="103" t="str">
        <f aca="false">IF($C103="","",$D103*IFERROR(INDEX('تحليل التكلفة والسعر'!$C$2:$C$700,MATCH($C103,'تحليل التكلفة والسعر'!$B$2:$B$700,0)),0))</f>
        <v/>
      </c>
    </row>
    <row r="104" customFormat="false" ht="15" hidden="false" customHeight="false" outlineLevel="0" collapsed="false">
      <c r="A104" s="102"/>
      <c r="E104" s="103" t="str">
        <f aca="false">IF($C104="","",IFERROR(INDEX(المنيو!$C$2:$C$500,MATCH($C104,المنيو!$B$2:$B$500,0)),0))</f>
        <v/>
      </c>
      <c r="F104" s="103" t="str">
        <f aca="false">IF($C104="","",$D104*$E104)</f>
        <v/>
      </c>
      <c r="G104" s="103" t="str">
        <f aca="false">IF($C104="","",$D104*IFERROR(INDEX('تحليل التكلفة والسعر'!$C$2:$C$700,MATCH($C104,'تحليل التكلفة والسعر'!$B$2:$B$700,0)),0))</f>
        <v/>
      </c>
    </row>
    <row r="105" customFormat="false" ht="15" hidden="false" customHeight="false" outlineLevel="0" collapsed="false">
      <c r="A105" s="102"/>
      <c r="E105" s="103" t="str">
        <f aca="false">IF($C105="","",IFERROR(INDEX(المنيو!$C$2:$C$500,MATCH($C105,المنيو!$B$2:$B$500,0)),0))</f>
        <v/>
      </c>
      <c r="F105" s="103" t="str">
        <f aca="false">IF($C105="","",$D105*$E105)</f>
        <v/>
      </c>
      <c r="G105" s="103" t="str">
        <f aca="false">IF($C105="","",$D105*IFERROR(INDEX('تحليل التكلفة والسعر'!$C$2:$C$700,MATCH($C105,'تحليل التكلفة والسعر'!$B$2:$B$700,0)),0))</f>
        <v/>
      </c>
    </row>
    <row r="106" customFormat="false" ht="15" hidden="false" customHeight="false" outlineLevel="0" collapsed="false">
      <c r="A106" s="102"/>
      <c r="E106" s="103" t="str">
        <f aca="false">IF($C106="","",IFERROR(INDEX(المنيو!$C$2:$C$500,MATCH($C106,المنيو!$B$2:$B$500,0)),0))</f>
        <v/>
      </c>
      <c r="F106" s="103" t="str">
        <f aca="false">IF($C106="","",$D106*$E106)</f>
        <v/>
      </c>
      <c r="G106" s="103" t="str">
        <f aca="false">IF($C106="","",$D106*IFERROR(INDEX('تحليل التكلفة والسعر'!$C$2:$C$700,MATCH($C106,'تحليل التكلفة والسعر'!$B$2:$B$700,0)),0))</f>
        <v/>
      </c>
    </row>
    <row r="107" customFormat="false" ht="15" hidden="false" customHeight="false" outlineLevel="0" collapsed="false">
      <c r="A107" s="102"/>
      <c r="E107" s="103" t="str">
        <f aca="false">IF($C107="","",IFERROR(INDEX(المنيو!$C$2:$C$500,MATCH($C107,المنيو!$B$2:$B$500,0)),0))</f>
        <v/>
      </c>
      <c r="F107" s="103" t="str">
        <f aca="false">IF($C107="","",$D107*$E107)</f>
        <v/>
      </c>
      <c r="G107" s="103" t="str">
        <f aca="false">IF($C107="","",$D107*IFERROR(INDEX('تحليل التكلفة والسعر'!$C$2:$C$700,MATCH($C107,'تحليل التكلفة والسعر'!$B$2:$B$700,0)),0))</f>
        <v/>
      </c>
    </row>
    <row r="108" customFormat="false" ht="15" hidden="false" customHeight="false" outlineLevel="0" collapsed="false">
      <c r="A108" s="102"/>
      <c r="E108" s="103" t="str">
        <f aca="false">IF($C108="","",IFERROR(INDEX(المنيو!$C$2:$C$500,MATCH($C108,المنيو!$B$2:$B$500,0)),0))</f>
        <v/>
      </c>
      <c r="F108" s="103" t="str">
        <f aca="false">IF($C108="","",$D108*$E108)</f>
        <v/>
      </c>
      <c r="G108" s="103" t="str">
        <f aca="false">IF($C108="","",$D108*IFERROR(INDEX('تحليل التكلفة والسعر'!$C$2:$C$700,MATCH($C108,'تحليل التكلفة والسعر'!$B$2:$B$700,0)),0))</f>
        <v/>
      </c>
    </row>
    <row r="109" customFormat="false" ht="15" hidden="false" customHeight="false" outlineLevel="0" collapsed="false">
      <c r="A109" s="102"/>
      <c r="E109" s="103" t="str">
        <f aca="false">IF($C109="","",IFERROR(INDEX(المنيو!$C$2:$C$500,MATCH($C109,المنيو!$B$2:$B$500,0)),0))</f>
        <v/>
      </c>
      <c r="F109" s="103" t="str">
        <f aca="false">IF($C109="","",$D109*$E109)</f>
        <v/>
      </c>
      <c r="G109" s="103" t="str">
        <f aca="false">IF($C109="","",$D109*IFERROR(INDEX('تحليل التكلفة والسعر'!$C$2:$C$700,MATCH($C109,'تحليل التكلفة والسعر'!$B$2:$B$700,0)),0))</f>
        <v/>
      </c>
    </row>
    <row r="110" customFormat="false" ht="15" hidden="false" customHeight="false" outlineLevel="0" collapsed="false">
      <c r="A110" s="102"/>
      <c r="E110" s="103" t="str">
        <f aca="false">IF($C110="","",IFERROR(INDEX(المنيو!$C$2:$C$500,MATCH($C110,المنيو!$B$2:$B$500,0)),0))</f>
        <v/>
      </c>
      <c r="F110" s="103" t="str">
        <f aca="false">IF($C110="","",$D110*$E110)</f>
        <v/>
      </c>
      <c r="G110" s="103" t="str">
        <f aca="false">IF($C110="","",$D110*IFERROR(INDEX('تحليل التكلفة والسعر'!$C$2:$C$700,MATCH($C110,'تحليل التكلفة والسعر'!$B$2:$B$700,0)),0))</f>
        <v/>
      </c>
    </row>
    <row r="111" customFormat="false" ht="15" hidden="false" customHeight="false" outlineLevel="0" collapsed="false">
      <c r="A111" s="102"/>
      <c r="E111" s="103" t="str">
        <f aca="false">IF($C111="","",IFERROR(INDEX(المنيو!$C$2:$C$500,MATCH($C111,المنيو!$B$2:$B$500,0)),0))</f>
        <v/>
      </c>
      <c r="F111" s="103" t="str">
        <f aca="false">IF($C111="","",$D111*$E111)</f>
        <v/>
      </c>
      <c r="G111" s="103" t="str">
        <f aca="false">IF($C111="","",$D111*IFERROR(INDEX('تحليل التكلفة والسعر'!$C$2:$C$700,MATCH($C111,'تحليل التكلفة والسعر'!$B$2:$B$700,0)),0))</f>
        <v/>
      </c>
    </row>
    <row r="112" customFormat="false" ht="15" hidden="false" customHeight="false" outlineLevel="0" collapsed="false">
      <c r="A112" s="102"/>
      <c r="E112" s="103" t="str">
        <f aca="false">IF($C112="","",IFERROR(INDEX(المنيو!$C$2:$C$500,MATCH($C112,المنيو!$B$2:$B$500,0)),0))</f>
        <v/>
      </c>
      <c r="F112" s="103" t="str">
        <f aca="false">IF($C112="","",$D112*$E112)</f>
        <v/>
      </c>
      <c r="G112" s="103" t="str">
        <f aca="false">IF($C112="","",$D112*IFERROR(INDEX('تحليل التكلفة والسعر'!$C$2:$C$700,MATCH($C112,'تحليل التكلفة والسعر'!$B$2:$B$700,0)),0))</f>
        <v/>
      </c>
    </row>
    <row r="113" customFormat="false" ht="15" hidden="false" customHeight="false" outlineLevel="0" collapsed="false">
      <c r="A113" s="102"/>
      <c r="E113" s="103" t="str">
        <f aca="false">IF($C113="","",IFERROR(INDEX(المنيو!$C$2:$C$500,MATCH($C113,المنيو!$B$2:$B$500,0)),0))</f>
        <v/>
      </c>
      <c r="F113" s="103" t="str">
        <f aca="false">IF($C113="","",$D113*$E113)</f>
        <v/>
      </c>
      <c r="G113" s="103" t="str">
        <f aca="false">IF($C113="","",$D113*IFERROR(INDEX('تحليل التكلفة والسعر'!$C$2:$C$700,MATCH($C113,'تحليل التكلفة والسعر'!$B$2:$B$700,0)),0))</f>
        <v/>
      </c>
    </row>
    <row r="114" customFormat="false" ht="15" hidden="false" customHeight="false" outlineLevel="0" collapsed="false">
      <c r="A114" s="102"/>
      <c r="E114" s="103" t="str">
        <f aca="false">IF($C114="","",IFERROR(INDEX(المنيو!$C$2:$C$500,MATCH($C114,المنيو!$B$2:$B$500,0)),0))</f>
        <v/>
      </c>
      <c r="F114" s="103" t="str">
        <f aca="false">IF($C114="","",$D114*$E114)</f>
        <v/>
      </c>
      <c r="G114" s="103" t="str">
        <f aca="false">IF($C114="","",$D114*IFERROR(INDEX('تحليل التكلفة والسعر'!$C$2:$C$700,MATCH($C114,'تحليل التكلفة والسعر'!$B$2:$B$700,0)),0))</f>
        <v/>
      </c>
    </row>
    <row r="115" customFormat="false" ht="15" hidden="false" customHeight="false" outlineLevel="0" collapsed="false">
      <c r="A115" s="102"/>
      <c r="E115" s="103" t="str">
        <f aca="false">IF($C115="","",IFERROR(INDEX(المنيو!$C$2:$C$500,MATCH($C115,المنيو!$B$2:$B$500,0)),0))</f>
        <v/>
      </c>
      <c r="F115" s="103" t="str">
        <f aca="false">IF($C115="","",$D115*$E115)</f>
        <v/>
      </c>
      <c r="G115" s="103" t="str">
        <f aca="false">IF($C115="","",$D115*IFERROR(INDEX('تحليل التكلفة والسعر'!$C$2:$C$700,MATCH($C115,'تحليل التكلفة والسعر'!$B$2:$B$700,0)),0))</f>
        <v/>
      </c>
    </row>
    <row r="116" customFormat="false" ht="15" hidden="false" customHeight="false" outlineLevel="0" collapsed="false">
      <c r="A116" s="102"/>
      <c r="E116" s="103" t="str">
        <f aca="false">IF($C116="","",IFERROR(INDEX(المنيو!$C$2:$C$500,MATCH($C116,المنيو!$B$2:$B$500,0)),0))</f>
        <v/>
      </c>
      <c r="F116" s="103" t="str">
        <f aca="false">IF($C116="","",$D116*$E116)</f>
        <v/>
      </c>
      <c r="G116" s="103" t="str">
        <f aca="false">IF($C116="","",$D116*IFERROR(INDEX('تحليل التكلفة والسعر'!$C$2:$C$700,MATCH($C116,'تحليل التكلفة والسعر'!$B$2:$B$700,0)),0))</f>
        <v/>
      </c>
    </row>
    <row r="117" customFormat="false" ht="15" hidden="false" customHeight="false" outlineLevel="0" collapsed="false">
      <c r="A117" s="102"/>
      <c r="E117" s="103" t="str">
        <f aca="false">IF($C117="","",IFERROR(INDEX(المنيو!$C$2:$C$500,MATCH($C117,المنيو!$B$2:$B$500,0)),0))</f>
        <v/>
      </c>
      <c r="F117" s="103" t="str">
        <f aca="false">IF($C117="","",$D117*$E117)</f>
        <v/>
      </c>
      <c r="G117" s="103" t="str">
        <f aca="false">IF($C117="","",$D117*IFERROR(INDEX('تحليل التكلفة والسعر'!$C$2:$C$700,MATCH($C117,'تحليل التكلفة والسعر'!$B$2:$B$700,0)),0))</f>
        <v/>
      </c>
    </row>
    <row r="118" customFormat="false" ht="15" hidden="false" customHeight="false" outlineLevel="0" collapsed="false">
      <c r="A118" s="102"/>
      <c r="E118" s="103" t="str">
        <f aca="false">IF($C118="","",IFERROR(INDEX(المنيو!$C$2:$C$500,MATCH($C118,المنيو!$B$2:$B$500,0)),0))</f>
        <v/>
      </c>
      <c r="F118" s="103" t="str">
        <f aca="false">IF($C118="","",$D118*$E118)</f>
        <v/>
      </c>
      <c r="G118" s="103" t="str">
        <f aca="false">IF($C118="","",$D118*IFERROR(INDEX('تحليل التكلفة والسعر'!$C$2:$C$700,MATCH($C118,'تحليل التكلفة والسعر'!$B$2:$B$700,0)),0))</f>
        <v/>
      </c>
    </row>
    <row r="119" customFormat="false" ht="15" hidden="false" customHeight="false" outlineLevel="0" collapsed="false">
      <c r="A119" s="102"/>
      <c r="E119" s="103" t="str">
        <f aca="false">IF($C119="","",IFERROR(INDEX(المنيو!$C$2:$C$500,MATCH($C119,المنيو!$B$2:$B$500,0)),0))</f>
        <v/>
      </c>
      <c r="F119" s="103" t="str">
        <f aca="false">IF($C119="","",$D119*$E119)</f>
        <v/>
      </c>
      <c r="G119" s="103" t="str">
        <f aca="false">IF($C119="","",$D119*IFERROR(INDEX('تحليل التكلفة والسعر'!$C$2:$C$700,MATCH($C119,'تحليل التكلفة والسعر'!$B$2:$B$700,0)),0))</f>
        <v/>
      </c>
    </row>
    <row r="120" customFormat="false" ht="15" hidden="false" customHeight="false" outlineLevel="0" collapsed="false">
      <c r="A120" s="102"/>
      <c r="E120" s="103" t="str">
        <f aca="false">IF($C120="","",IFERROR(INDEX(المنيو!$C$2:$C$500,MATCH($C120,المنيو!$B$2:$B$500,0)),0))</f>
        <v/>
      </c>
      <c r="F120" s="103" t="str">
        <f aca="false">IF($C120="","",$D120*$E120)</f>
        <v/>
      </c>
      <c r="G120" s="103" t="str">
        <f aca="false">IF($C120="","",$D120*IFERROR(INDEX('تحليل التكلفة والسعر'!$C$2:$C$700,MATCH($C120,'تحليل التكلفة والسعر'!$B$2:$B$700,0)),0))</f>
        <v/>
      </c>
    </row>
    <row r="121" customFormat="false" ht="15" hidden="false" customHeight="false" outlineLevel="0" collapsed="false">
      <c r="A121" s="102"/>
      <c r="E121" s="103" t="str">
        <f aca="false">IF($C121="","",IFERROR(INDEX(المنيو!$C$2:$C$500,MATCH($C121,المنيو!$B$2:$B$500,0)),0))</f>
        <v/>
      </c>
      <c r="F121" s="103" t="str">
        <f aca="false">IF($C121="","",$D121*$E121)</f>
        <v/>
      </c>
      <c r="G121" s="103" t="str">
        <f aca="false">IF($C121="","",$D121*IFERROR(INDEX('تحليل التكلفة والسعر'!$C$2:$C$700,MATCH($C121,'تحليل التكلفة والسعر'!$B$2:$B$700,0)),0))</f>
        <v/>
      </c>
    </row>
    <row r="122" customFormat="false" ht="15" hidden="false" customHeight="false" outlineLevel="0" collapsed="false">
      <c r="A122" s="102"/>
      <c r="E122" s="103" t="str">
        <f aca="false">IF($C122="","",IFERROR(INDEX(المنيو!$C$2:$C$500,MATCH($C122,المنيو!$B$2:$B$500,0)),0))</f>
        <v/>
      </c>
      <c r="F122" s="103" t="str">
        <f aca="false">IF($C122="","",$D122*$E122)</f>
        <v/>
      </c>
      <c r="G122" s="103" t="str">
        <f aca="false">IF($C122="","",$D122*IFERROR(INDEX('تحليل التكلفة والسعر'!$C$2:$C$700,MATCH($C122,'تحليل التكلفة والسعر'!$B$2:$B$700,0)),0))</f>
        <v/>
      </c>
    </row>
    <row r="123" customFormat="false" ht="15" hidden="false" customHeight="false" outlineLevel="0" collapsed="false">
      <c r="A123" s="102"/>
      <c r="E123" s="103" t="str">
        <f aca="false">IF($C123="","",IFERROR(INDEX(المنيو!$C$2:$C$500,MATCH($C123,المنيو!$B$2:$B$500,0)),0))</f>
        <v/>
      </c>
      <c r="F123" s="103" t="str">
        <f aca="false">IF($C123="","",$D123*$E123)</f>
        <v/>
      </c>
      <c r="G123" s="103" t="str">
        <f aca="false">IF($C123="","",$D123*IFERROR(INDEX('تحليل التكلفة والسعر'!$C$2:$C$700,MATCH($C123,'تحليل التكلفة والسعر'!$B$2:$B$700,0)),0))</f>
        <v/>
      </c>
    </row>
    <row r="124" customFormat="false" ht="15" hidden="false" customHeight="false" outlineLevel="0" collapsed="false">
      <c r="A124" s="102"/>
      <c r="E124" s="103" t="str">
        <f aca="false">IF($C124="","",IFERROR(INDEX(المنيو!$C$2:$C$500,MATCH($C124,المنيو!$B$2:$B$500,0)),0))</f>
        <v/>
      </c>
      <c r="F124" s="103" t="str">
        <f aca="false">IF($C124="","",$D124*$E124)</f>
        <v/>
      </c>
      <c r="G124" s="103" t="str">
        <f aca="false">IF($C124="","",$D124*IFERROR(INDEX('تحليل التكلفة والسعر'!$C$2:$C$700,MATCH($C124,'تحليل التكلفة والسعر'!$B$2:$B$700,0)),0))</f>
        <v/>
      </c>
    </row>
    <row r="125" customFormat="false" ht="15" hidden="false" customHeight="false" outlineLevel="0" collapsed="false">
      <c r="A125" s="102"/>
      <c r="E125" s="103" t="str">
        <f aca="false">IF($C125="","",IFERROR(INDEX(المنيو!$C$2:$C$500,MATCH($C125,المنيو!$B$2:$B$500,0)),0))</f>
        <v/>
      </c>
      <c r="F125" s="103" t="str">
        <f aca="false">IF($C125="","",$D125*$E125)</f>
        <v/>
      </c>
      <c r="G125" s="103" t="str">
        <f aca="false">IF($C125="","",$D125*IFERROR(INDEX('تحليل التكلفة والسعر'!$C$2:$C$700,MATCH($C125,'تحليل التكلفة والسعر'!$B$2:$B$700,0)),0))</f>
        <v/>
      </c>
    </row>
    <row r="126" customFormat="false" ht="15" hidden="false" customHeight="false" outlineLevel="0" collapsed="false">
      <c r="A126" s="102"/>
      <c r="E126" s="103" t="str">
        <f aca="false">IF($C126="","",IFERROR(INDEX(المنيو!$C$2:$C$500,MATCH($C126,المنيو!$B$2:$B$500,0)),0))</f>
        <v/>
      </c>
      <c r="F126" s="103" t="str">
        <f aca="false">IF($C126="","",$D126*$E126)</f>
        <v/>
      </c>
      <c r="G126" s="103" t="str">
        <f aca="false">IF($C126="","",$D126*IFERROR(INDEX('تحليل التكلفة والسعر'!$C$2:$C$700,MATCH($C126,'تحليل التكلفة والسعر'!$B$2:$B$700,0)),0))</f>
        <v/>
      </c>
    </row>
    <row r="127" customFormat="false" ht="15" hidden="false" customHeight="false" outlineLevel="0" collapsed="false">
      <c r="A127" s="102"/>
      <c r="E127" s="103" t="str">
        <f aca="false">IF($C127="","",IFERROR(INDEX(المنيو!$C$2:$C$500,MATCH($C127,المنيو!$B$2:$B$500,0)),0))</f>
        <v/>
      </c>
      <c r="F127" s="103" t="str">
        <f aca="false">IF($C127="","",$D127*$E127)</f>
        <v/>
      </c>
      <c r="G127" s="103" t="str">
        <f aca="false">IF($C127="","",$D127*IFERROR(INDEX('تحليل التكلفة والسعر'!$C$2:$C$700,MATCH($C127,'تحليل التكلفة والسعر'!$B$2:$B$700,0)),0))</f>
        <v/>
      </c>
    </row>
    <row r="128" customFormat="false" ht="15" hidden="false" customHeight="false" outlineLevel="0" collapsed="false">
      <c r="A128" s="102"/>
      <c r="E128" s="103" t="str">
        <f aca="false">IF($C128="","",IFERROR(INDEX(المنيو!$C$2:$C$500,MATCH($C128,المنيو!$B$2:$B$500,0)),0))</f>
        <v/>
      </c>
      <c r="F128" s="103" t="str">
        <f aca="false">IF($C128="","",$D128*$E128)</f>
        <v/>
      </c>
      <c r="G128" s="103" t="str">
        <f aca="false">IF($C128="","",$D128*IFERROR(INDEX('تحليل التكلفة والسعر'!$C$2:$C$700,MATCH($C128,'تحليل التكلفة والسعر'!$B$2:$B$700,0)),0))</f>
        <v/>
      </c>
    </row>
    <row r="129" customFormat="false" ht="15" hidden="false" customHeight="false" outlineLevel="0" collapsed="false">
      <c r="A129" s="102"/>
      <c r="E129" s="103" t="str">
        <f aca="false">IF($C129="","",IFERROR(INDEX(المنيو!$C$2:$C$500,MATCH($C129,المنيو!$B$2:$B$500,0)),0))</f>
        <v/>
      </c>
      <c r="F129" s="103" t="str">
        <f aca="false">IF($C129="","",$D129*$E129)</f>
        <v/>
      </c>
      <c r="G129" s="103" t="str">
        <f aca="false">IF($C129="","",$D129*IFERROR(INDEX('تحليل التكلفة والسعر'!$C$2:$C$700,MATCH($C129,'تحليل التكلفة والسعر'!$B$2:$B$700,0)),0))</f>
        <v/>
      </c>
    </row>
    <row r="130" customFormat="false" ht="15" hidden="false" customHeight="false" outlineLevel="0" collapsed="false">
      <c r="A130" s="102"/>
      <c r="E130" s="103" t="str">
        <f aca="false">IF($C130="","",IFERROR(INDEX(المنيو!$C$2:$C$500,MATCH($C130,المنيو!$B$2:$B$500,0)),0))</f>
        <v/>
      </c>
      <c r="F130" s="103" t="str">
        <f aca="false">IF($C130="","",$D130*$E130)</f>
        <v/>
      </c>
      <c r="G130" s="103" t="str">
        <f aca="false">IF($C130="","",$D130*IFERROR(INDEX('تحليل التكلفة والسعر'!$C$2:$C$700,MATCH($C130,'تحليل التكلفة والسعر'!$B$2:$B$700,0)),0))</f>
        <v/>
      </c>
    </row>
    <row r="131" customFormat="false" ht="15" hidden="false" customHeight="false" outlineLevel="0" collapsed="false">
      <c r="A131" s="102"/>
      <c r="E131" s="103" t="str">
        <f aca="false">IF($C131="","",IFERROR(INDEX(المنيو!$C$2:$C$500,MATCH($C131,المنيو!$B$2:$B$500,0)),0))</f>
        <v/>
      </c>
      <c r="F131" s="103" t="str">
        <f aca="false">IF($C131="","",$D131*$E131)</f>
        <v/>
      </c>
      <c r="G131" s="103" t="str">
        <f aca="false">IF($C131="","",$D131*IFERROR(INDEX('تحليل التكلفة والسعر'!$C$2:$C$700,MATCH($C131,'تحليل التكلفة والسعر'!$B$2:$B$700,0)),0))</f>
        <v/>
      </c>
    </row>
    <row r="132" customFormat="false" ht="15" hidden="false" customHeight="false" outlineLevel="0" collapsed="false">
      <c r="A132" s="102"/>
      <c r="E132" s="103" t="str">
        <f aca="false">IF($C132="","",IFERROR(INDEX(المنيو!$C$2:$C$500,MATCH($C132,المنيو!$B$2:$B$500,0)),0))</f>
        <v/>
      </c>
      <c r="F132" s="103" t="str">
        <f aca="false">IF($C132="","",$D132*$E132)</f>
        <v/>
      </c>
      <c r="G132" s="103" t="str">
        <f aca="false">IF($C132="","",$D132*IFERROR(INDEX('تحليل التكلفة والسعر'!$C$2:$C$700,MATCH($C132,'تحليل التكلفة والسعر'!$B$2:$B$700,0)),0))</f>
        <v/>
      </c>
    </row>
    <row r="133" customFormat="false" ht="15" hidden="false" customHeight="false" outlineLevel="0" collapsed="false">
      <c r="A133" s="102"/>
      <c r="E133" s="103" t="str">
        <f aca="false">IF($C133="","",IFERROR(INDEX(المنيو!$C$2:$C$500,MATCH($C133,المنيو!$B$2:$B$500,0)),0))</f>
        <v/>
      </c>
      <c r="F133" s="103" t="str">
        <f aca="false">IF($C133="","",$D133*$E133)</f>
        <v/>
      </c>
      <c r="G133" s="103" t="str">
        <f aca="false">IF($C133="","",$D133*IFERROR(INDEX('تحليل التكلفة والسعر'!$C$2:$C$700,MATCH($C133,'تحليل التكلفة والسعر'!$B$2:$B$700,0)),0))</f>
        <v/>
      </c>
    </row>
    <row r="134" customFormat="false" ht="15" hidden="false" customHeight="false" outlineLevel="0" collapsed="false">
      <c r="A134" s="102"/>
      <c r="E134" s="103" t="str">
        <f aca="false">IF($C134="","",IFERROR(INDEX(المنيو!$C$2:$C$500,MATCH($C134,المنيو!$B$2:$B$500,0)),0))</f>
        <v/>
      </c>
      <c r="F134" s="103" t="str">
        <f aca="false">IF($C134="","",$D134*$E134)</f>
        <v/>
      </c>
      <c r="G134" s="103" t="str">
        <f aca="false">IF($C134="","",$D134*IFERROR(INDEX('تحليل التكلفة والسعر'!$C$2:$C$700,MATCH($C134,'تحليل التكلفة والسعر'!$B$2:$B$700,0)),0))</f>
        <v/>
      </c>
    </row>
    <row r="135" customFormat="false" ht="15" hidden="false" customHeight="false" outlineLevel="0" collapsed="false">
      <c r="A135" s="102"/>
      <c r="E135" s="103" t="str">
        <f aca="false">IF($C135="","",IFERROR(INDEX(المنيو!$C$2:$C$500,MATCH($C135,المنيو!$B$2:$B$500,0)),0))</f>
        <v/>
      </c>
      <c r="F135" s="103" t="str">
        <f aca="false">IF($C135="","",$D135*$E135)</f>
        <v/>
      </c>
      <c r="G135" s="103" t="str">
        <f aca="false">IF($C135="","",$D135*IFERROR(INDEX('تحليل التكلفة والسعر'!$C$2:$C$700,MATCH($C135,'تحليل التكلفة والسعر'!$B$2:$B$700,0)),0))</f>
        <v/>
      </c>
    </row>
    <row r="136" customFormat="false" ht="15" hidden="false" customHeight="false" outlineLevel="0" collapsed="false">
      <c r="A136" s="102"/>
      <c r="E136" s="103" t="str">
        <f aca="false">IF($C136="","",IFERROR(INDEX(المنيو!$C$2:$C$500,MATCH($C136,المنيو!$B$2:$B$500,0)),0))</f>
        <v/>
      </c>
      <c r="F136" s="103" t="str">
        <f aca="false">IF($C136="","",$D136*$E136)</f>
        <v/>
      </c>
      <c r="G136" s="103" t="str">
        <f aca="false">IF($C136="","",$D136*IFERROR(INDEX('تحليل التكلفة والسعر'!$C$2:$C$700,MATCH($C136,'تحليل التكلفة والسعر'!$B$2:$B$700,0)),0))</f>
        <v/>
      </c>
    </row>
    <row r="137" customFormat="false" ht="15" hidden="false" customHeight="false" outlineLevel="0" collapsed="false">
      <c r="A137" s="102"/>
      <c r="E137" s="103" t="str">
        <f aca="false">IF($C137="","",IFERROR(INDEX(المنيو!$C$2:$C$500,MATCH($C137,المنيو!$B$2:$B$500,0)),0))</f>
        <v/>
      </c>
      <c r="F137" s="103" t="str">
        <f aca="false">IF($C137="","",$D137*$E137)</f>
        <v/>
      </c>
      <c r="G137" s="103" t="str">
        <f aca="false">IF($C137="","",$D137*IFERROR(INDEX('تحليل التكلفة والسعر'!$C$2:$C$700,MATCH($C137,'تحليل التكلفة والسعر'!$B$2:$B$700,0)),0))</f>
        <v/>
      </c>
    </row>
    <row r="138" customFormat="false" ht="15" hidden="false" customHeight="false" outlineLevel="0" collapsed="false">
      <c r="A138" s="102"/>
      <c r="E138" s="103" t="str">
        <f aca="false">IF($C138="","",IFERROR(INDEX(المنيو!$C$2:$C$500,MATCH($C138,المنيو!$B$2:$B$500,0)),0))</f>
        <v/>
      </c>
      <c r="F138" s="103" t="str">
        <f aca="false">IF($C138="","",$D138*$E138)</f>
        <v/>
      </c>
      <c r="G138" s="103" t="str">
        <f aca="false">IF($C138="","",$D138*IFERROR(INDEX('تحليل التكلفة والسعر'!$C$2:$C$700,MATCH($C138,'تحليل التكلفة والسعر'!$B$2:$B$700,0)),0))</f>
        <v/>
      </c>
    </row>
    <row r="139" customFormat="false" ht="15" hidden="false" customHeight="false" outlineLevel="0" collapsed="false">
      <c r="A139" s="102"/>
      <c r="E139" s="103" t="str">
        <f aca="false">IF($C139="","",IFERROR(INDEX(المنيو!$C$2:$C$500,MATCH($C139,المنيو!$B$2:$B$500,0)),0))</f>
        <v/>
      </c>
      <c r="F139" s="103" t="str">
        <f aca="false">IF($C139="","",$D139*$E139)</f>
        <v/>
      </c>
      <c r="G139" s="103" t="str">
        <f aca="false">IF($C139="","",$D139*IFERROR(INDEX('تحليل التكلفة والسعر'!$C$2:$C$700,MATCH($C139,'تحليل التكلفة والسعر'!$B$2:$B$700,0)),0))</f>
        <v/>
      </c>
    </row>
    <row r="140" customFormat="false" ht="15" hidden="false" customHeight="false" outlineLevel="0" collapsed="false">
      <c r="A140" s="102"/>
      <c r="E140" s="103" t="str">
        <f aca="false">IF($C140="","",IFERROR(INDEX(المنيو!$C$2:$C$500,MATCH($C140,المنيو!$B$2:$B$500,0)),0))</f>
        <v/>
      </c>
      <c r="F140" s="103" t="str">
        <f aca="false">IF($C140="","",$D140*$E140)</f>
        <v/>
      </c>
      <c r="G140" s="103" t="str">
        <f aca="false">IF($C140="","",$D140*IFERROR(INDEX('تحليل التكلفة والسعر'!$C$2:$C$700,MATCH($C140,'تحليل التكلفة والسعر'!$B$2:$B$700,0)),0))</f>
        <v/>
      </c>
    </row>
    <row r="141" customFormat="false" ht="15" hidden="false" customHeight="false" outlineLevel="0" collapsed="false">
      <c r="A141" s="102"/>
      <c r="E141" s="103" t="str">
        <f aca="false">IF($C141="","",IFERROR(INDEX(المنيو!$C$2:$C$500,MATCH($C141,المنيو!$B$2:$B$500,0)),0))</f>
        <v/>
      </c>
      <c r="F141" s="103" t="str">
        <f aca="false">IF($C141="","",$D141*$E141)</f>
        <v/>
      </c>
      <c r="G141" s="103" t="str">
        <f aca="false">IF($C141="","",$D141*IFERROR(INDEX('تحليل التكلفة والسعر'!$C$2:$C$700,MATCH($C141,'تحليل التكلفة والسعر'!$B$2:$B$700,0)),0))</f>
        <v/>
      </c>
    </row>
    <row r="142" customFormat="false" ht="15" hidden="false" customHeight="false" outlineLevel="0" collapsed="false">
      <c r="A142" s="102"/>
      <c r="E142" s="103" t="str">
        <f aca="false">IF($C142="","",IFERROR(INDEX(المنيو!$C$2:$C$500,MATCH($C142,المنيو!$B$2:$B$500,0)),0))</f>
        <v/>
      </c>
      <c r="F142" s="103" t="str">
        <f aca="false">IF($C142="","",$D142*$E142)</f>
        <v/>
      </c>
      <c r="G142" s="103" t="str">
        <f aca="false">IF($C142="","",$D142*IFERROR(INDEX('تحليل التكلفة والسعر'!$C$2:$C$700,MATCH($C142,'تحليل التكلفة والسعر'!$B$2:$B$700,0)),0))</f>
        <v/>
      </c>
    </row>
    <row r="143" customFormat="false" ht="15" hidden="false" customHeight="false" outlineLevel="0" collapsed="false">
      <c r="A143" s="102"/>
      <c r="E143" s="103" t="str">
        <f aca="false">IF($C143="","",IFERROR(INDEX(المنيو!$C$2:$C$500,MATCH($C143,المنيو!$B$2:$B$500,0)),0))</f>
        <v/>
      </c>
      <c r="F143" s="103" t="str">
        <f aca="false">IF($C143="","",$D143*$E143)</f>
        <v/>
      </c>
      <c r="G143" s="103" t="str">
        <f aca="false">IF($C143="","",$D143*IFERROR(INDEX('تحليل التكلفة والسعر'!$C$2:$C$700,MATCH($C143,'تحليل التكلفة والسعر'!$B$2:$B$700,0)),0))</f>
        <v/>
      </c>
    </row>
    <row r="144" customFormat="false" ht="15" hidden="false" customHeight="false" outlineLevel="0" collapsed="false">
      <c r="A144" s="102"/>
      <c r="E144" s="103" t="str">
        <f aca="false">IF($C144="","",IFERROR(INDEX(المنيو!$C$2:$C$500,MATCH($C144,المنيو!$B$2:$B$500,0)),0))</f>
        <v/>
      </c>
      <c r="F144" s="103" t="str">
        <f aca="false">IF($C144="","",$D144*$E144)</f>
        <v/>
      </c>
      <c r="G144" s="103" t="str">
        <f aca="false">IF($C144="","",$D144*IFERROR(INDEX('تحليل التكلفة والسعر'!$C$2:$C$700,MATCH($C144,'تحليل التكلفة والسعر'!$B$2:$B$700,0)),0))</f>
        <v/>
      </c>
    </row>
    <row r="145" customFormat="false" ht="15" hidden="false" customHeight="false" outlineLevel="0" collapsed="false">
      <c r="A145" s="102"/>
      <c r="E145" s="103" t="str">
        <f aca="false">IF($C145="","",IFERROR(INDEX(المنيو!$C$2:$C$500,MATCH($C145,المنيو!$B$2:$B$500,0)),0))</f>
        <v/>
      </c>
      <c r="F145" s="103" t="str">
        <f aca="false">IF($C145="","",$D145*$E145)</f>
        <v/>
      </c>
      <c r="G145" s="103" t="str">
        <f aca="false">IF($C145="","",$D145*IFERROR(INDEX('تحليل التكلفة والسعر'!$C$2:$C$700,MATCH($C145,'تحليل التكلفة والسعر'!$B$2:$B$700,0)),0))</f>
        <v/>
      </c>
    </row>
    <row r="146" customFormat="false" ht="15" hidden="false" customHeight="false" outlineLevel="0" collapsed="false">
      <c r="A146" s="102"/>
      <c r="E146" s="103" t="str">
        <f aca="false">IF($C146="","",IFERROR(INDEX(المنيو!$C$2:$C$500,MATCH($C146,المنيو!$B$2:$B$500,0)),0))</f>
        <v/>
      </c>
      <c r="F146" s="103" t="str">
        <f aca="false">IF($C146="","",$D146*$E146)</f>
        <v/>
      </c>
      <c r="G146" s="103" t="str">
        <f aca="false">IF($C146="","",$D146*IFERROR(INDEX('تحليل التكلفة والسعر'!$C$2:$C$700,MATCH($C146,'تحليل التكلفة والسعر'!$B$2:$B$700,0)),0))</f>
        <v/>
      </c>
    </row>
    <row r="147" customFormat="false" ht="15" hidden="false" customHeight="false" outlineLevel="0" collapsed="false">
      <c r="A147" s="102"/>
      <c r="E147" s="103" t="str">
        <f aca="false">IF($C147="","",IFERROR(INDEX(المنيو!$C$2:$C$500,MATCH($C147,المنيو!$B$2:$B$500,0)),0))</f>
        <v/>
      </c>
      <c r="F147" s="103" t="str">
        <f aca="false">IF($C147="","",$D147*$E147)</f>
        <v/>
      </c>
      <c r="G147" s="103" t="str">
        <f aca="false">IF($C147="","",$D147*IFERROR(INDEX('تحليل التكلفة والسعر'!$C$2:$C$700,MATCH($C147,'تحليل التكلفة والسعر'!$B$2:$B$700,0)),0))</f>
        <v/>
      </c>
    </row>
    <row r="148" customFormat="false" ht="15" hidden="false" customHeight="false" outlineLevel="0" collapsed="false">
      <c r="A148" s="102"/>
      <c r="E148" s="103" t="str">
        <f aca="false">IF($C148="","",IFERROR(INDEX(المنيو!$C$2:$C$500,MATCH($C148,المنيو!$B$2:$B$500,0)),0))</f>
        <v/>
      </c>
      <c r="F148" s="103" t="str">
        <f aca="false">IF($C148="","",$D148*$E148)</f>
        <v/>
      </c>
      <c r="G148" s="103" t="str">
        <f aca="false">IF($C148="","",$D148*IFERROR(INDEX('تحليل التكلفة والسعر'!$C$2:$C$700,MATCH($C148,'تحليل التكلفة والسعر'!$B$2:$B$700,0)),0))</f>
        <v/>
      </c>
    </row>
    <row r="149" customFormat="false" ht="15" hidden="false" customHeight="false" outlineLevel="0" collapsed="false">
      <c r="A149" s="102"/>
      <c r="E149" s="103" t="str">
        <f aca="false">IF($C149="","",IFERROR(INDEX(المنيو!$C$2:$C$500,MATCH($C149,المنيو!$B$2:$B$500,0)),0))</f>
        <v/>
      </c>
      <c r="F149" s="103" t="str">
        <f aca="false">IF($C149="","",$D149*$E149)</f>
        <v/>
      </c>
      <c r="G149" s="103" t="str">
        <f aca="false">IF($C149="","",$D149*IFERROR(INDEX('تحليل التكلفة والسعر'!$C$2:$C$700,MATCH($C149,'تحليل التكلفة والسعر'!$B$2:$B$700,0)),0))</f>
        <v/>
      </c>
    </row>
    <row r="150" customFormat="false" ht="15" hidden="false" customHeight="false" outlineLevel="0" collapsed="false">
      <c r="A150" s="102"/>
      <c r="E150" s="103" t="str">
        <f aca="false">IF($C150="","",IFERROR(INDEX(المنيو!$C$2:$C$500,MATCH($C150,المنيو!$B$2:$B$500,0)),0))</f>
        <v/>
      </c>
      <c r="F150" s="103" t="str">
        <f aca="false">IF($C150="","",$D150*$E150)</f>
        <v/>
      </c>
      <c r="G150" s="103" t="str">
        <f aca="false">IF($C150="","",$D150*IFERROR(INDEX('تحليل التكلفة والسعر'!$C$2:$C$700,MATCH($C150,'تحليل التكلفة والسعر'!$B$2:$B$700,0)),0))</f>
        <v/>
      </c>
    </row>
    <row r="151" customFormat="false" ht="15" hidden="false" customHeight="false" outlineLevel="0" collapsed="false">
      <c r="A151" s="102"/>
      <c r="E151" s="103" t="str">
        <f aca="false">IF($C151="","",IFERROR(INDEX(المنيو!$C$2:$C$500,MATCH($C151,المنيو!$B$2:$B$500,0)),0))</f>
        <v/>
      </c>
      <c r="F151" s="103" t="str">
        <f aca="false">IF($C151="","",$D151*$E151)</f>
        <v/>
      </c>
      <c r="G151" s="103" t="str">
        <f aca="false">IF($C151="","",$D151*IFERROR(INDEX('تحليل التكلفة والسعر'!$C$2:$C$700,MATCH($C151,'تحليل التكلفة والسعر'!$B$2:$B$700,0)),0))</f>
        <v/>
      </c>
    </row>
    <row r="152" customFormat="false" ht="15" hidden="false" customHeight="false" outlineLevel="0" collapsed="false">
      <c r="A152" s="102"/>
      <c r="E152" s="103" t="str">
        <f aca="false">IF($C152="","",IFERROR(INDEX(المنيو!$C$2:$C$500,MATCH($C152,المنيو!$B$2:$B$500,0)),0))</f>
        <v/>
      </c>
      <c r="F152" s="103" t="str">
        <f aca="false">IF($C152="","",$D152*$E152)</f>
        <v/>
      </c>
      <c r="G152" s="103" t="str">
        <f aca="false">IF($C152="","",$D152*IFERROR(INDEX('تحليل التكلفة والسعر'!$C$2:$C$700,MATCH($C152,'تحليل التكلفة والسعر'!$B$2:$B$700,0)),0))</f>
        <v/>
      </c>
    </row>
    <row r="153" customFormat="false" ht="15" hidden="false" customHeight="false" outlineLevel="0" collapsed="false">
      <c r="A153" s="102"/>
      <c r="E153" s="103" t="str">
        <f aca="false">IF($C153="","",IFERROR(INDEX(المنيو!$C$2:$C$500,MATCH($C153,المنيو!$B$2:$B$500,0)),0))</f>
        <v/>
      </c>
      <c r="F153" s="103" t="str">
        <f aca="false">IF($C153="","",$D153*$E153)</f>
        <v/>
      </c>
      <c r="G153" s="103" t="str">
        <f aca="false">IF($C153="","",$D153*IFERROR(INDEX('تحليل التكلفة والسعر'!$C$2:$C$700,MATCH($C153,'تحليل التكلفة والسعر'!$B$2:$B$700,0)),0))</f>
        <v/>
      </c>
    </row>
    <row r="154" customFormat="false" ht="15" hidden="false" customHeight="false" outlineLevel="0" collapsed="false">
      <c r="A154" s="102"/>
      <c r="E154" s="103" t="str">
        <f aca="false">IF($C154="","",IFERROR(INDEX(المنيو!$C$2:$C$500,MATCH($C154,المنيو!$B$2:$B$500,0)),0))</f>
        <v/>
      </c>
      <c r="F154" s="103" t="str">
        <f aca="false">IF($C154="","",$D154*$E154)</f>
        <v/>
      </c>
      <c r="G154" s="103" t="str">
        <f aca="false">IF($C154="","",$D154*IFERROR(INDEX('تحليل التكلفة والسعر'!$C$2:$C$700,MATCH($C154,'تحليل التكلفة والسعر'!$B$2:$B$700,0)),0))</f>
        <v/>
      </c>
    </row>
    <row r="155" customFormat="false" ht="15" hidden="false" customHeight="false" outlineLevel="0" collapsed="false">
      <c r="A155" s="102"/>
      <c r="E155" s="103" t="str">
        <f aca="false">IF($C155="","",IFERROR(INDEX(المنيو!$C$2:$C$500,MATCH($C155,المنيو!$B$2:$B$500,0)),0))</f>
        <v/>
      </c>
      <c r="F155" s="103" t="str">
        <f aca="false">IF($C155="","",$D155*$E155)</f>
        <v/>
      </c>
      <c r="G155" s="103" t="str">
        <f aca="false">IF($C155="","",$D155*IFERROR(INDEX('تحليل التكلفة والسعر'!$C$2:$C$700,MATCH($C155,'تحليل التكلفة والسعر'!$B$2:$B$700,0)),0))</f>
        <v/>
      </c>
    </row>
    <row r="156" customFormat="false" ht="15" hidden="false" customHeight="false" outlineLevel="0" collapsed="false">
      <c r="A156" s="102"/>
      <c r="E156" s="103" t="str">
        <f aca="false">IF($C156="","",IFERROR(INDEX(المنيو!$C$2:$C$500,MATCH($C156,المنيو!$B$2:$B$500,0)),0))</f>
        <v/>
      </c>
      <c r="F156" s="103" t="str">
        <f aca="false">IF($C156="","",$D156*$E156)</f>
        <v/>
      </c>
      <c r="G156" s="103" t="str">
        <f aca="false">IF($C156="","",$D156*IFERROR(INDEX('تحليل التكلفة والسعر'!$C$2:$C$700,MATCH($C156,'تحليل التكلفة والسعر'!$B$2:$B$700,0)),0))</f>
        <v/>
      </c>
    </row>
    <row r="157" customFormat="false" ht="15" hidden="false" customHeight="false" outlineLevel="0" collapsed="false">
      <c r="A157" s="102"/>
      <c r="E157" s="103" t="str">
        <f aca="false">IF($C157="","",IFERROR(INDEX(المنيو!$C$2:$C$500,MATCH($C157,المنيو!$B$2:$B$500,0)),0))</f>
        <v/>
      </c>
      <c r="F157" s="103" t="str">
        <f aca="false">IF($C157="","",$D157*$E157)</f>
        <v/>
      </c>
      <c r="G157" s="103" t="str">
        <f aca="false">IF($C157="","",$D157*IFERROR(INDEX('تحليل التكلفة والسعر'!$C$2:$C$700,MATCH($C157,'تحليل التكلفة والسعر'!$B$2:$B$700,0)),0))</f>
        <v/>
      </c>
    </row>
    <row r="158" customFormat="false" ht="15" hidden="false" customHeight="false" outlineLevel="0" collapsed="false">
      <c r="A158" s="102"/>
      <c r="E158" s="103" t="str">
        <f aca="false">IF($C158="","",IFERROR(INDEX(المنيو!$C$2:$C$500,MATCH($C158,المنيو!$B$2:$B$500,0)),0))</f>
        <v/>
      </c>
      <c r="F158" s="103" t="str">
        <f aca="false">IF($C158="","",$D158*$E158)</f>
        <v/>
      </c>
      <c r="G158" s="103" t="str">
        <f aca="false">IF($C158="","",$D158*IFERROR(INDEX('تحليل التكلفة والسعر'!$C$2:$C$700,MATCH($C158,'تحليل التكلفة والسعر'!$B$2:$B$700,0)),0))</f>
        <v/>
      </c>
    </row>
    <row r="159" customFormat="false" ht="15" hidden="false" customHeight="false" outlineLevel="0" collapsed="false">
      <c r="A159" s="102"/>
      <c r="E159" s="103" t="str">
        <f aca="false">IF($C159="","",IFERROR(INDEX(المنيو!$C$2:$C$500,MATCH($C159,المنيو!$B$2:$B$500,0)),0))</f>
        <v/>
      </c>
      <c r="F159" s="103" t="str">
        <f aca="false">IF($C159="","",$D159*$E159)</f>
        <v/>
      </c>
      <c r="G159" s="103" t="str">
        <f aca="false">IF($C159="","",$D159*IFERROR(INDEX('تحليل التكلفة والسعر'!$C$2:$C$700,MATCH($C159,'تحليل التكلفة والسعر'!$B$2:$B$700,0)),0))</f>
        <v/>
      </c>
    </row>
    <row r="160" customFormat="false" ht="15" hidden="false" customHeight="false" outlineLevel="0" collapsed="false">
      <c r="A160" s="102"/>
      <c r="E160" s="103" t="str">
        <f aca="false">IF($C160="","",IFERROR(INDEX(المنيو!$C$2:$C$500,MATCH($C160,المنيو!$B$2:$B$500,0)),0))</f>
        <v/>
      </c>
      <c r="F160" s="103" t="str">
        <f aca="false">IF($C160="","",$D160*$E160)</f>
        <v/>
      </c>
      <c r="G160" s="103" t="str">
        <f aca="false">IF($C160="","",$D160*IFERROR(INDEX('تحليل التكلفة والسعر'!$C$2:$C$700,MATCH($C160,'تحليل التكلفة والسعر'!$B$2:$B$700,0)),0))</f>
        <v/>
      </c>
    </row>
    <row r="161" customFormat="false" ht="15" hidden="false" customHeight="false" outlineLevel="0" collapsed="false">
      <c r="A161" s="102"/>
      <c r="E161" s="103" t="str">
        <f aca="false">IF($C161="","",IFERROR(INDEX(المنيو!$C$2:$C$500,MATCH($C161,المنيو!$B$2:$B$500,0)),0))</f>
        <v/>
      </c>
      <c r="F161" s="103" t="str">
        <f aca="false">IF($C161="","",$D161*$E161)</f>
        <v/>
      </c>
      <c r="G161" s="103" t="str">
        <f aca="false">IF($C161="","",$D161*IFERROR(INDEX('تحليل التكلفة والسعر'!$C$2:$C$700,MATCH($C161,'تحليل التكلفة والسعر'!$B$2:$B$700,0)),0))</f>
        <v/>
      </c>
    </row>
    <row r="162" customFormat="false" ht="15" hidden="false" customHeight="false" outlineLevel="0" collapsed="false">
      <c r="A162" s="102"/>
      <c r="E162" s="103" t="str">
        <f aca="false">IF($C162="","",IFERROR(INDEX(المنيو!$C$2:$C$500,MATCH($C162,المنيو!$B$2:$B$500,0)),0))</f>
        <v/>
      </c>
      <c r="F162" s="103" t="str">
        <f aca="false">IF($C162="","",$D162*$E162)</f>
        <v/>
      </c>
      <c r="G162" s="103" t="str">
        <f aca="false">IF($C162="","",$D162*IFERROR(INDEX('تحليل التكلفة والسعر'!$C$2:$C$700,MATCH($C162,'تحليل التكلفة والسعر'!$B$2:$B$700,0)),0))</f>
        <v/>
      </c>
    </row>
    <row r="163" customFormat="false" ht="15" hidden="false" customHeight="false" outlineLevel="0" collapsed="false">
      <c r="A163" s="102"/>
      <c r="E163" s="103" t="str">
        <f aca="false">IF($C163="","",IFERROR(INDEX(المنيو!$C$2:$C$500,MATCH($C163,المنيو!$B$2:$B$500,0)),0))</f>
        <v/>
      </c>
      <c r="F163" s="103" t="str">
        <f aca="false">IF($C163="","",$D163*$E163)</f>
        <v/>
      </c>
      <c r="G163" s="103" t="str">
        <f aca="false">IF($C163="","",$D163*IFERROR(INDEX('تحليل التكلفة والسعر'!$C$2:$C$700,MATCH($C163,'تحليل التكلفة والسعر'!$B$2:$B$700,0)),0))</f>
        <v/>
      </c>
    </row>
    <row r="164" customFormat="false" ht="15" hidden="false" customHeight="false" outlineLevel="0" collapsed="false">
      <c r="A164" s="102"/>
      <c r="E164" s="103" t="str">
        <f aca="false">IF($C164="","",IFERROR(INDEX(المنيو!$C$2:$C$500,MATCH($C164,المنيو!$B$2:$B$500,0)),0))</f>
        <v/>
      </c>
      <c r="F164" s="103" t="str">
        <f aca="false">IF($C164="","",$D164*$E164)</f>
        <v/>
      </c>
      <c r="G164" s="103" t="str">
        <f aca="false">IF($C164="","",$D164*IFERROR(INDEX('تحليل التكلفة والسعر'!$C$2:$C$700,MATCH($C164,'تحليل التكلفة والسعر'!$B$2:$B$700,0)),0))</f>
        <v/>
      </c>
    </row>
    <row r="165" customFormat="false" ht="15" hidden="false" customHeight="false" outlineLevel="0" collapsed="false">
      <c r="A165" s="102"/>
      <c r="E165" s="103" t="str">
        <f aca="false">IF($C165="","",IFERROR(INDEX(المنيو!$C$2:$C$500,MATCH($C165,المنيو!$B$2:$B$500,0)),0))</f>
        <v/>
      </c>
      <c r="F165" s="103" t="str">
        <f aca="false">IF($C165="","",$D165*$E165)</f>
        <v/>
      </c>
      <c r="G165" s="103" t="str">
        <f aca="false">IF($C165="","",$D165*IFERROR(INDEX('تحليل التكلفة والسعر'!$C$2:$C$700,MATCH($C165,'تحليل التكلفة والسعر'!$B$2:$B$700,0)),0))</f>
        <v/>
      </c>
    </row>
    <row r="166" customFormat="false" ht="15" hidden="false" customHeight="false" outlineLevel="0" collapsed="false">
      <c r="A166" s="102"/>
      <c r="E166" s="103" t="str">
        <f aca="false">IF($C166="","",IFERROR(INDEX(المنيو!$C$2:$C$500,MATCH($C166,المنيو!$B$2:$B$500,0)),0))</f>
        <v/>
      </c>
      <c r="F166" s="103" t="str">
        <f aca="false">IF($C166="","",$D166*$E166)</f>
        <v/>
      </c>
      <c r="G166" s="103" t="str">
        <f aca="false">IF($C166="","",$D166*IFERROR(INDEX('تحليل التكلفة والسعر'!$C$2:$C$700,MATCH($C166,'تحليل التكلفة والسعر'!$B$2:$B$700,0)),0))</f>
        <v/>
      </c>
    </row>
    <row r="167" customFormat="false" ht="15" hidden="false" customHeight="false" outlineLevel="0" collapsed="false">
      <c r="A167" s="102"/>
      <c r="E167" s="103" t="str">
        <f aca="false">IF($C167="","",IFERROR(INDEX(المنيو!$C$2:$C$500,MATCH($C167,المنيو!$B$2:$B$500,0)),0))</f>
        <v/>
      </c>
      <c r="F167" s="103" t="str">
        <f aca="false">IF($C167="","",$D167*$E167)</f>
        <v/>
      </c>
      <c r="G167" s="103" t="str">
        <f aca="false">IF($C167="","",$D167*IFERROR(INDEX('تحليل التكلفة والسعر'!$C$2:$C$700,MATCH($C167,'تحليل التكلفة والسعر'!$B$2:$B$700,0)),0))</f>
        <v/>
      </c>
    </row>
    <row r="168" customFormat="false" ht="15" hidden="false" customHeight="false" outlineLevel="0" collapsed="false">
      <c r="A168" s="102"/>
      <c r="E168" s="103" t="str">
        <f aca="false">IF($C168="","",IFERROR(INDEX(المنيو!$C$2:$C$500,MATCH($C168,المنيو!$B$2:$B$500,0)),0))</f>
        <v/>
      </c>
      <c r="F168" s="103" t="str">
        <f aca="false">IF($C168="","",$D168*$E168)</f>
        <v/>
      </c>
      <c r="G168" s="103" t="str">
        <f aca="false">IF($C168="","",$D168*IFERROR(INDEX('تحليل التكلفة والسعر'!$C$2:$C$700,MATCH($C168,'تحليل التكلفة والسعر'!$B$2:$B$700,0)),0))</f>
        <v/>
      </c>
    </row>
    <row r="169" customFormat="false" ht="15" hidden="false" customHeight="false" outlineLevel="0" collapsed="false">
      <c r="A169" s="102"/>
      <c r="E169" s="103" t="str">
        <f aca="false">IF($C169="","",IFERROR(INDEX(المنيو!$C$2:$C$500,MATCH($C169,المنيو!$B$2:$B$500,0)),0))</f>
        <v/>
      </c>
      <c r="F169" s="103" t="str">
        <f aca="false">IF($C169="","",$D169*$E169)</f>
        <v/>
      </c>
      <c r="G169" s="103" t="str">
        <f aca="false">IF($C169="","",$D169*IFERROR(INDEX('تحليل التكلفة والسعر'!$C$2:$C$700,MATCH($C169,'تحليل التكلفة والسعر'!$B$2:$B$700,0)),0))</f>
        <v/>
      </c>
    </row>
    <row r="170" customFormat="false" ht="15" hidden="false" customHeight="false" outlineLevel="0" collapsed="false">
      <c r="A170" s="102"/>
      <c r="E170" s="103" t="str">
        <f aca="false">IF($C170="","",IFERROR(INDEX(المنيو!$C$2:$C$500,MATCH($C170,المنيو!$B$2:$B$500,0)),0))</f>
        <v/>
      </c>
      <c r="F170" s="103" t="str">
        <f aca="false">IF($C170="","",$D170*$E170)</f>
        <v/>
      </c>
      <c r="G170" s="103" t="str">
        <f aca="false">IF($C170="","",$D170*IFERROR(INDEX('تحليل التكلفة والسعر'!$C$2:$C$700,MATCH($C170,'تحليل التكلفة والسعر'!$B$2:$B$700,0)),0))</f>
        <v/>
      </c>
    </row>
    <row r="171" customFormat="false" ht="15" hidden="false" customHeight="false" outlineLevel="0" collapsed="false">
      <c r="A171" s="102"/>
      <c r="E171" s="103" t="str">
        <f aca="false">IF($C171="","",IFERROR(INDEX(المنيو!$C$2:$C$500,MATCH($C171,المنيو!$B$2:$B$500,0)),0))</f>
        <v/>
      </c>
      <c r="F171" s="103" t="str">
        <f aca="false">IF($C171="","",$D171*$E171)</f>
        <v/>
      </c>
      <c r="G171" s="103" t="str">
        <f aca="false">IF($C171="","",$D171*IFERROR(INDEX('تحليل التكلفة والسعر'!$C$2:$C$700,MATCH($C171,'تحليل التكلفة والسعر'!$B$2:$B$700,0)),0))</f>
        <v/>
      </c>
    </row>
    <row r="172" customFormat="false" ht="15" hidden="false" customHeight="false" outlineLevel="0" collapsed="false">
      <c r="A172" s="102"/>
      <c r="E172" s="103" t="str">
        <f aca="false">IF($C172="","",IFERROR(INDEX(المنيو!$C$2:$C$500,MATCH($C172,المنيو!$B$2:$B$500,0)),0))</f>
        <v/>
      </c>
      <c r="F172" s="103" t="str">
        <f aca="false">IF($C172="","",$D172*$E172)</f>
        <v/>
      </c>
      <c r="G172" s="103" t="str">
        <f aca="false">IF($C172="","",$D172*IFERROR(INDEX('تحليل التكلفة والسعر'!$C$2:$C$700,MATCH($C172,'تحليل التكلفة والسعر'!$B$2:$B$700,0)),0))</f>
        <v/>
      </c>
    </row>
    <row r="173" customFormat="false" ht="15" hidden="false" customHeight="false" outlineLevel="0" collapsed="false">
      <c r="A173" s="102"/>
      <c r="E173" s="103" t="str">
        <f aca="false">IF($C173="","",IFERROR(INDEX(المنيو!$C$2:$C$500,MATCH($C173,المنيو!$B$2:$B$500,0)),0))</f>
        <v/>
      </c>
      <c r="F173" s="103" t="str">
        <f aca="false">IF($C173="","",$D173*$E173)</f>
        <v/>
      </c>
      <c r="G173" s="103" t="str">
        <f aca="false">IF($C173="","",$D173*IFERROR(INDEX('تحليل التكلفة والسعر'!$C$2:$C$700,MATCH($C173,'تحليل التكلفة والسعر'!$B$2:$B$700,0)),0))</f>
        <v/>
      </c>
    </row>
    <row r="174" customFormat="false" ht="15" hidden="false" customHeight="false" outlineLevel="0" collapsed="false">
      <c r="A174" s="102"/>
      <c r="E174" s="103" t="str">
        <f aca="false">IF($C174="","",IFERROR(INDEX(المنيو!$C$2:$C$500,MATCH($C174,المنيو!$B$2:$B$500,0)),0))</f>
        <v/>
      </c>
      <c r="F174" s="103" t="str">
        <f aca="false">IF($C174="","",$D174*$E174)</f>
        <v/>
      </c>
      <c r="G174" s="103" t="str">
        <f aca="false">IF($C174="","",$D174*IFERROR(INDEX('تحليل التكلفة والسعر'!$C$2:$C$700,MATCH($C174,'تحليل التكلفة والسعر'!$B$2:$B$700,0)),0))</f>
        <v/>
      </c>
    </row>
    <row r="175" customFormat="false" ht="15" hidden="false" customHeight="false" outlineLevel="0" collapsed="false">
      <c r="A175" s="102"/>
      <c r="E175" s="103" t="str">
        <f aca="false">IF($C175="","",IFERROR(INDEX(المنيو!$C$2:$C$500,MATCH($C175,المنيو!$B$2:$B$500,0)),0))</f>
        <v/>
      </c>
      <c r="F175" s="103" t="str">
        <f aca="false">IF($C175="","",$D175*$E175)</f>
        <v/>
      </c>
      <c r="G175" s="103" t="str">
        <f aca="false">IF($C175="","",$D175*IFERROR(INDEX('تحليل التكلفة والسعر'!$C$2:$C$700,MATCH($C175,'تحليل التكلفة والسعر'!$B$2:$B$700,0)),0))</f>
        <v/>
      </c>
    </row>
    <row r="176" customFormat="false" ht="15" hidden="false" customHeight="false" outlineLevel="0" collapsed="false">
      <c r="A176" s="102"/>
      <c r="E176" s="103" t="str">
        <f aca="false">IF($C176="","",IFERROR(INDEX(المنيو!$C$2:$C$500,MATCH($C176,المنيو!$B$2:$B$500,0)),0))</f>
        <v/>
      </c>
      <c r="F176" s="103" t="str">
        <f aca="false">IF($C176="","",$D176*$E176)</f>
        <v/>
      </c>
      <c r="G176" s="103" t="str">
        <f aca="false">IF($C176="","",$D176*IFERROR(INDEX('تحليل التكلفة والسعر'!$C$2:$C$700,MATCH($C176,'تحليل التكلفة والسعر'!$B$2:$B$700,0)),0))</f>
        <v/>
      </c>
    </row>
    <row r="177" customFormat="false" ht="15" hidden="false" customHeight="false" outlineLevel="0" collapsed="false">
      <c r="A177" s="102"/>
      <c r="E177" s="103" t="str">
        <f aca="false">IF($C177="","",IFERROR(INDEX(المنيو!$C$2:$C$500,MATCH($C177,المنيو!$B$2:$B$500,0)),0))</f>
        <v/>
      </c>
      <c r="F177" s="103" t="str">
        <f aca="false">IF($C177="","",$D177*$E177)</f>
        <v/>
      </c>
      <c r="G177" s="103" t="str">
        <f aca="false">IF($C177="","",$D177*IFERROR(INDEX('تحليل التكلفة والسعر'!$C$2:$C$700,MATCH($C177,'تحليل التكلفة والسعر'!$B$2:$B$700,0)),0))</f>
        <v/>
      </c>
    </row>
    <row r="178" customFormat="false" ht="15" hidden="false" customHeight="false" outlineLevel="0" collapsed="false">
      <c r="A178" s="102"/>
      <c r="E178" s="103" t="str">
        <f aca="false">IF($C178="","",IFERROR(INDEX(المنيو!$C$2:$C$500,MATCH($C178,المنيو!$B$2:$B$500,0)),0))</f>
        <v/>
      </c>
      <c r="F178" s="103" t="str">
        <f aca="false">IF($C178="","",$D178*$E178)</f>
        <v/>
      </c>
      <c r="G178" s="103" t="str">
        <f aca="false">IF($C178="","",$D178*IFERROR(INDEX('تحليل التكلفة والسعر'!$C$2:$C$700,MATCH($C178,'تحليل التكلفة والسعر'!$B$2:$B$700,0)),0))</f>
        <v/>
      </c>
    </row>
    <row r="179" customFormat="false" ht="15" hidden="false" customHeight="false" outlineLevel="0" collapsed="false">
      <c r="A179" s="102"/>
      <c r="E179" s="103" t="str">
        <f aca="false">IF($C179="","",IFERROR(INDEX(المنيو!$C$2:$C$500,MATCH($C179,المنيو!$B$2:$B$500,0)),0))</f>
        <v/>
      </c>
      <c r="F179" s="103" t="str">
        <f aca="false">IF($C179="","",$D179*$E179)</f>
        <v/>
      </c>
      <c r="G179" s="103" t="str">
        <f aca="false">IF($C179="","",$D179*IFERROR(INDEX('تحليل التكلفة والسعر'!$C$2:$C$700,MATCH($C179,'تحليل التكلفة والسعر'!$B$2:$B$700,0)),0))</f>
        <v/>
      </c>
    </row>
    <row r="180" customFormat="false" ht="15" hidden="false" customHeight="false" outlineLevel="0" collapsed="false">
      <c r="A180" s="102"/>
      <c r="E180" s="103" t="str">
        <f aca="false">IF($C180="","",IFERROR(INDEX(المنيو!$C$2:$C$500,MATCH($C180,المنيو!$B$2:$B$500,0)),0))</f>
        <v/>
      </c>
      <c r="F180" s="103" t="str">
        <f aca="false">IF($C180="","",$D180*$E180)</f>
        <v/>
      </c>
      <c r="G180" s="103" t="str">
        <f aca="false">IF($C180="","",$D180*IFERROR(INDEX('تحليل التكلفة والسعر'!$C$2:$C$700,MATCH($C180,'تحليل التكلفة والسعر'!$B$2:$B$700,0)),0))</f>
        <v/>
      </c>
    </row>
    <row r="181" customFormat="false" ht="15" hidden="false" customHeight="false" outlineLevel="0" collapsed="false">
      <c r="A181" s="102"/>
      <c r="E181" s="103" t="str">
        <f aca="false">IF($C181="","",IFERROR(INDEX(المنيو!$C$2:$C$500,MATCH($C181,المنيو!$B$2:$B$500,0)),0))</f>
        <v/>
      </c>
      <c r="F181" s="103" t="str">
        <f aca="false">IF($C181="","",$D181*$E181)</f>
        <v/>
      </c>
      <c r="G181" s="103" t="str">
        <f aca="false">IF($C181="","",$D181*IFERROR(INDEX('تحليل التكلفة والسعر'!$C$2:$C$700,MATCH($C181,'تحليل التكلفة والسعر'!$B$2:$B$700,0)),0))</f>
        <v/>
      </c>
    </row>
    <row r="182" customFormat="false" ht="15" hidden="false" customHeight="false" outlineLevel="0" collapsed="false">
      <c r="A182" s="102"/>
      <c r="E182" s="103" t="str">
        <f aca="false">IF($C182="","",IFERROR(INDEX(المنيو!$C$2:$C$500,MATCH($C182,المنيو!$B$2:$B$500,0)),0))</f>
        <v/>
      </c>
      <c r="F182" s="103" t="str">
        <f aca="false">IF($C182="","",$D182*$E182)</f>
        <v/>
      </c>
      <c r="G182" s="103" t="str">
        <f aca="false">IF($C182="","",$D182*IFERROR(INDEX('تحليل التكلفة والسعر'!$C$2:$C$700,MATCH($C182,'تحليل التكلفة والسعر'!$B$2:$B$700,0)),0))</f>
        <v/>
      </c>
    </row>
    <row r="183" customFormat="false" ht="15" hidden="false" customHeight="false" outlineLevel="0" collapsed="false">
      <c r="A183" s="102"/>
      <c r="E183" s="103" t="str">
        <f aca="false">IF($C183="","",IFERROR(INDEX(المنيو!$C$2:$C$500,MATCH($C183,المنيو!$B$2:$B$500,0)),0))</f>
        <v/>
      </c>
      <c r="F183" s="103" t="str">
        <f aca="false">IF($C183="","",$D183*$E183)</f>
        <v/>
      </c>
      <c r="G183" s="103" t="str">
        <f aca="false">IF($C183="","",$D183*IFERROR(INDEX('تحليل التكلفة والسعر'!$C$2:$C$700,MATCH($C183,'تحليل التكلفة والسعر'!$B$2:$B$700,0)),0))</f>
        <v/>
      </c>
    </row>
    <row r="184" customFormat="false" ht="15" hidden="false" customHeight="false" outlineLevel="0" collapsed="false">
      <c r="A184" s="102"/>
      <c r="E184" s="103" t="str">
        <f aca="false">IF($C184="","",IFERROR(INDEX(المنيو!$C$2:$C$500,MATCH($C184,المنيو!$B$2:$B$500,0)),0))</f>
        <v/>
      </c>
      <c r="F184" s="103" t="str">
        <f aca="false">IF($C184="","",$D184*$E184)</f>
        <v/>
      </c>
      <c r="G184" s="103" t="str">
        <f aca="false">IF($C184="","",$D184*IFERROR(INDEX('تحليل التكلفة والسعر'!$C$2:$C$700,MATCH($C184,'تحليل التكلفة والسعر'!$B$2:$B$700,0)),0))</f>
        <v/>
      </c>
    </row>
    <row r="185" customFormat="false" ht="15" hidden="false" customHeight="false" outlineLevel="0" collapsed="false">
      <c r="A185" s="102"/>
      <c r="E185" s="103" t="str">
        <f aca="false">IF($C185="","",IFERROR(INDEX(المنيو!$C$2:$C$500,MATCH($C185,المنيو!$B$2:$B$500,0)),0))</f>
        <v/>
      </c>
      <c r="F185" s="103" t="str">
        <f aca="false">IF($C185="","",$D185*$E185)</f>
        <v/>
      </c>
      <c r="G185" s="103" t="str">
        <f aca="false">IF($C185="","",$D185*IFERROR(INDEX('تحليل التكلفة والسعر'!$C$2:$C$700,MATCH($C185,'تحليل التكلفة والسعر'!$B$2:$B$700,0)),0))</f>
        <v/>
      </c>
    </row>
    <row r="186" customFormat="false" ht="15" hidden="false" customHeight="false" outlineLevel="0" collapsed="false">
      <c r="A186" s="102"/>
      <c r="E186" s="103" t="str">
        <f aca="false">IF($C186="","",IFERROR(INDEX(المنيو!$C$2:$C$500,MATCH($C186,المنيو!$B$2:$B$500,0)),0))</f>
        <v/>
      </c>
      <c r="F186" s="103" t="str">
        <f aca="false">IF($C186="","",$D186*$E186)</f>
        <v/>
      </c>
      <c r="G186" s="103" t="str">
        <f aca="false">IF($C186="","",$D186*IFERROR(INDEX('تحليل التكلفة والسعر'!$C$2:$C$700,MATCH($C186,'تحليل التكلفة والسعر'!$B$2:$B$700,0)),0))</f>
        <v/>
      </c>
    </row>
    <row r="187" customFormat="false" ht="15" hidden="false" customHeight="false" outlineLevel="0" collapsed="false">
      <c r="A187" s="102"/>
      <c r="E187" s="103" t="str">
        <f aca="false">IF($C187="","",IFERROR(INDEX(المنيو!$C$2:$C$500,MATCH($C187,المنيو!$B$2:$B$500,0)),0))</f>
        <v/>
      </c>
      <c r="F187" s="103" t="str">
        <f aca="false">IF($C187="","",$D187*$E187)</f>
        <v/>
      </c>
      <c r="G187" s="103" t="str">
        <f aca="false">IF($C187="","",$D187*IFERROR(INDEX('تحليل التكلفة والسعر'!$C$2:$C$700,MATCH($C187,'تحليل التكلفة والسعر'!$B$2:$B$700,0)),0))</f>
        <v/>
      </c>
    </row>
    <row r="188" customFormat="false" ht="15" hidden="false" customHeight="false" outlineLevel="0" collapsed="false">
      <c r="A188" s="102"/>
      <c r="E188" s="103" t="str">
        <f aca="false">IF($C188="","",IFERROR(INDEX(المنيو!$C$2:$C$500,MATCH($C188,المنيو!$B$2:$B$500,0)),0))</f>
        <v/>
      </c>
      <c r="F188" s="103" t="str">
        <f aca="false">IF($C188="","",$D188*$E188)</f>
        <v/>
      </c>
      <c r="G188" s="103" t="str">
        <f aca="false">IF($C188="","",$D188*IFERROR(INDEX('تحليل التكلفة والسعر'!$C$2:$C$700,MATCH($C188,'تحليل التكلفة والسعر'!$B$2:$B$700,0)),0))</f>
        <v/>
      </c>
    </row>
    <row r="189" customFormat="false" ht="15" hidden="false" customHeight="false" outlineLevel="0" collapsed="false">
      <c r="A189" s="102"/>
      <c r="E189" s="103" t="str">
        <f aca="false">IF($C189="","",IFERROR(INDEX(المنيو!$C$2:$C$500,MATCH($C189,المنيو!$B$2:$B$500,0)),0))</f>
        <v/>
      </c>
      <c r="F189" s="103" t="str">
        <f aca="false">IF($C189="","",$D189*$E189)</f>
        <v/>
      </c>
      <c r="G189" s="103" t="str">
        <f aca="false">IF($C189="","",$D189*IFERROR(INDEX('تحليل التكلفة والسعر'!$C$2:$C$700,MATCH($C189,'تحليل التكلفة والسعر'!$B$2:$B$700,0)),0))</f>
        <v/>
      </c>
    </row>
    <row r="190" customFormat="false" ht="15" hidden="false" customHeight="false" outlineLevel="0" collapsed="false">
      <c r="A190" s="102"/>
      <c r="E190" s="103" t="str">
        <f aca="false">IF($C190="","",IFERROR(INDEX(المنيو!$C$2:$C$500,MATCH($C190,المنيو!$B$2:$B$500,0)),0))</f>
        <v/>
      </c>
      <c r="F190" s="103" t="str">
        <f aca="false">IF($C190="","",$D190*$E190)</f>
        <v/>
      </c>
      <c r="G190" s="103" t="str">
        <f aca="false">IF($C190="","",$D190*IFERROR(INDEX('تحليل التكلفة والسعر'!$C$2:$C$700,MATCH($C190,'تحليل التكلفة والسعر'!$B$2:$B$700,0)),0))</f>
        <v/>
      </c>
    </row>
    <row r="191" customFormat="false" ht="15" hidden="false" customHeight="false" outlineLevel="0" collapsed="false">
      <c r="A191" s="102"/>
      <c r="E191" s="103" t="str">
        <f aca="false">IF($C191="","",IFERROR(INDEX(المنيو!$C$2:$C$500,MATCH($C191,المنيو!$B$2:$B$500,0)),0))</f>
        <v/>
      </c>
      <c r="F191" s="103" t="str">
        <f aca="false">IF($C191="","",$D191*$E191)</f>
        <v/>
      </c>
      <c r="G191" s="103" t="str">
        <f aca="false">IF($C191="","",$D191*IFERROR(INDEX('تحليل التكلفة والسعر'!$C$2:$C$700,MATCH($C191,'تحليل التكلفة والسعر'!$B$2:$B$700,0)),0))</f>
        <v/>
      </c>
    </row>
    <row r="192" customFormat="false" ht="15" hidden="false" customHeight="false" outlineLevel="0" collapsed="false">
      <c r="A192" s="102"/>
      <c r="E192" s="103" t="str">
        <f aca="false">IF($C192="","",IFERROR(INDEX(المنيو!$C$2:$C$500,MATCH($C192,المنيو!$B$2:$B$500,0)),0))</f>
        <v/>
      </c>
      <c r="F192" s="103" t="str">
        <f aca="false">IF($C192="","",$D192*$E192)</f>
        <v/>
      </c>
      <c r="G192" s="103" t="str">
        <f aca="false">IF($C192="","",$D192*IFERROR(INDEX('تحليل التكلفة والسعر'!$C$2:$C$700,MATCH($C192,'تحليل التكلفة والسعر'!$B$2:$B$700,0)),0))</f>
        <v/>
      </c>
    </row>
    <row r="193" customFormat="false" ht="15" hidden="false" customHeight="false" outlineLevel="0" collapsed="false">
      <c r="A193" s="102"/>
      <c r="E193" s="103" t="str">
        <f aca="false">IF($C193="","",IFERROR(INDEX(المنيو!$C$2:$C$500,MATCH($C193,المنيو!$B$2:$B$500,0)),0))</f>
        <v/>
      </c>
      <c r="F193" s="103" t="str">
        <f aca="false">IF($C193="","",$D193*$E193)</f>
        <v/>
      </c>
      <c r="G193" s="103" t="str">
        <f aca="false">IF($C193="","",$D193*IFERROR(INDEX('تحليل التكلفة والسعر'!$C$2:$C$700,MATCH($C193,'تحليل التكلفة والسعر'!$B$2:$B$700,0)),0))</f>
        <v/>
      </c>
    </row>
    <row r="194" customFormat="false" ht="15" hidden="false" customHeight="false" outlineLevel="0" collapsed="false">
      <c r="A194" s="102"/>
      <c r="E194" s="103" t="str">
        <f aca="false">IF($C194="","",IFERROR(INDEX(المنيو!$C$2:$C$500,MATCH($C194,المنيو!$B$2:$B$500,0)),0))</f>
        <v/>
      </c>
      <c r="F194" s="103" t="str">
        <f aca="false">IF($C194="","",$D194*$E194)</f>
        <v/>
      </c>
      <c r="G194" s="103" t="str">
        <f aca="false">IF($C194="","",$D194*IFERROR(INDEX('تحليل التكلفة والسعر'!$C$2:$C$700,MATCH($C194,'تحليل التكلفة والسعر'!$B$2:$B$700,0)),0))</f>
        <v/>
      </c>
    </row>
    <row r="195" customFormat="false" ht="15" hidden="false" customHeight="false" outlineLevel="0" collapsed="false">
      <c r="A195" s="102"/>
      <c r="E195" s="103" t="str">
        <f aca="false">IF($C195="","",IFERROR(INDEX(المنيو!$C$2:$C$500,MATCH($C195,المنيو!$B$2:$B$500,0)),0))</f>
        <v/>
      </c>
      <c r="F195" s="103" t="str">
        <f aca="false">IF($C195="","",$D195*$E195)</f>
        <v/>
      </c>
      <c r="G195" s="103" t="str">
        <f aca="false">IF($C195="","",$D195*IFERROR(INDEX('تحليل التكلفة والسعر'!$C$2:$C$700,MATCH($C195,'تحليل التكلفة والسعر'!$B$2:$B$700,0)),0))</f>
        <v/>
      </c>
    </row>
    <row r="196" customFormat="false" ht="15" hidden="false" customHeight="false" outlineLevel="0" collapsed="false">
      <c r="A196" s="102"/>
      <c r="E196" s="103" t="str">
        <f aca="false">IF($C196="","",IFERROR(INDEX(المنيو!$C$2:$C$500,MATCH($C196,المنيو!$B$2:$B$500,0)),0))</f>
        <v/>
      </c>
      <c r="F196" s="103" t="str">
        <f aca="false">IF($C196="","",$D196*$E196)</f>
        <v/>
      </c>
      <c r="G196" s="103" t="str">
        <f aca="false">IF($C196="","",$D196*IFERROR(INDEX('تحليل التكلفة والسعر'!$C$2:$C$700,MATCH($C196,'تحليل التكلفة والسعر'!$B$2:$B$700,0)),0))</f>
        <v/>
      </c>
    </row>
    <row r="197" customFormat="false" ht="15" hidden="false" customHeight="false" outlineLevel="0" collapsed="false">
      <c r="A197" s="102"/>
      <c r="E197" s="103" t="str">
        <f aca="false">IF($C197="","",IFERROR(INDEX(المنيو!$C$2:$C$500,MATCH($C197,المنيو!$B$2:$B$500,0)),0))</f>
        <v/>
      </c>
      <c r="F197" s="103" t="str">
        <f aca="false">IF($C197="","",$D197*$E197)</f>
        <v/>
      </c>
      <c r="G197" s="103" t="str">
        <f aca="false">IF($C197="","",$D197*IFERROR(INDEX('تحليل التكلفة والسعر'!$C$2:$C$700,MATCH($C197,'تحليل التكلفة والسعر'!$B$2:$B$700,0)),0))</f>
        <v/>
      </c>
    </row>
    <row r="198" customFormat="false" ht="15" hidden="false" customHeight="false" outlineLevel="0" collapsed="false">
      <c r="A198" s="102"/>
      <c r="E198" s="103" t="str">
        <f aca="false">IF($C198="","",IFERROR(INDEX(المنيو!$C$2:$C$500,MATCH($C198,المنيو!$B$2:$B$500,0)),0))</f>
        <v/>
      </c>
      <c r="F198" s="103" t="str">
        <f aca="false">IF($C198="","",$D198*$E198)</f>
        <v/>
      </c>
      <c r="G198" s="103" t="str">
        <f aca="false">IF($C198="","",$D198*IFERROR(INDEX('تحليل التكلفة والسعر'!$C$2:$C$700,MATCH($C198,'تحليل التكلفة والسعر'!$B$2:$B$700,0)),0))</f>
        <v/>
      </c>
    </row>
    <row r="199" customFormat="false" ht="15" hidden="false" customHeight="false" outlineLevel="0" collapsed="false">
      <c r="A199" s="102"/>
      <c r="E199" s="103" t="str">
        <f aca="false">IF($C199="","",IFERROR(INDEX(المنيو!$C$2:$C$500,MATCH($C199,المنيو!$B$2:$B$500,0)),0))</f>
        <v/>
      </c>
      <c r="F199" s="103" t="str">
        <f aca="false">IF($C199="","",$D199*$E199)</f>
        <v/>
      </c>
      <c r="G199" s="103" t="str">
        <f aca="false">IF($C199="","",$D199*IFERROR(INDEX('تحليل التكلفة والسعر'!$C$2:$C$700,MATCH($C199,'تحليل التكلفة والسعر'!$B$2:$B$700,0)),0))</f>
        <v/>
      </c>
    </row>
    <row r="200" customFormat="false" ht="15" hidden="false" customHeight="false" outlineLevel="0" collapsed="false">
      <c r="A200" s="102"/>
      <c r="E200" s="103" t="str">
        <f aca="false">IF($C200="","",IFERROR(INDEX(المنيو!$C$2:$C$500,MATCH($C200,المنيو!$B$2:$B$500,0)),0))</f>
        <v/>
      </c>
      <c r="F200" s="103" t="str">
        <f aca="false">IF($C200="","",$D200*$E200)</f>
        <v/>
      </c>
      <c r="G200" s="103" t="str">
        <f aca="false">IF($C200="","",$D200*IFERROR(INDEX('تحليل التكلفة والسعر'!$C$2:$C$700,MATCH($C200,'تحليل التكلفة والسعر'!$B$2:$B$700,0)),0))</f>
        <v/>
      </c>
    </row>
    <row r="201" customFormat="false" ht="15" hidden="false" customHeight="false" outlineLevel="0" collapsed="false">
      <c r="A201" s="102"/>
      <c r="E201" s="103" t="str">
        <f aca="false">IF($C201="","",IFERROR(INDEX(المنيو!$C$2:$C$500,MATCH($C201,المنيو!$B$2:$B$500,0)),0))</f>
        <v/>
      </c>
      <c r="F201" s="103" t="str">
        <f aca="false">IF($C201="","",$D201*$E201)</f>
        <v/>
      </c>
      <c r="G201" s="103" t="str">
        <f aca="false">IF($C201="","",$D201*IFERROR(INDEX('تحليل التكلفة والسعر'!$C$2:$C$700,MATCH($C201,'تحليل التكلفة والسعر'!$B$2:$B$700,0)),0))</f>
        <v/>
      </c>
    </row>
    <row r="202" customFormat="false" ht="15" hidden="false" customHeight="false" outlineLevel="0" collapsed="false">
      <c r="A202" s="102"/>
      <c r="E202" s="103" t="str">
        <f aca="false">IF($C202="","",IFERROR(INDEX(المنيو!$C$2:$C$500,MATCH($C202,المنيو!$B$2:$B$500,0)),0))</f>
        <v/>
      </c>
      <c r="F202" s="103" t="str">
        <f aca="false">IF($C202="","",$D202*$E202)</f>
        <v/>
      </c>
      <c r="G202" s="103" t="str">
        <f aca="false">IF($C202="","",$D202*IFERROR(INDEX('تحليل التكلفة والسعر'!$C$2:$C$700,MATCH($C202,'تحليل التكلفة والسعر'!$B$2:$B$700,0)),0))</f>
        <v/>
      </c>
    </row>
    <row r="203" customFormat="false" ht="15" hidden="false" customHeight="false" outlineLevel="0" collapsed="false">
      <c r="A203" s="102"/>
      <c r="E203" s="103" t="str">
        <f aca="false">IF($C203="","",IFERROR(INDEX(المنيو!$C$2:$C$500,MATCH($C203,المنيو!$B$2:$B$500,0)),0))</f>
        <v/>
      </c>
      <c r="F203" s="103" t="str">
        <f aca="false">IF($C203="","",$D203*$E203)</f>
        <v/>
      </c>
      <c r="G203" s="103" t="str">
        <f aca="false">IF($C203="","",$D203*IFERROR(INDEX('تحليل التكلفة والسعر'!$C$2:$C$700,MATCH($C203,'تحليل التكلفة والسعر'!$B$2:$B$700,0)),0))</f>
        <v/>
      </c>
    </row>
    <row r="204" customFormat="false" ht="15" hidden="false" customHeight="false" outlineLevel="0" collapsed="false">
      <c r="A204" s="102"/>
      <c r="E204" s="103" t="str">
        <f aca="false">IF($C204="","",IFERROR(INDEX(المنيو!$C$2:$C$500,MATCH($C204,المنيو!$B$2:$B$500,0)),0))</f>
        <v/>
      </c>
      <c r="F204" s="103" t="str">
        <f aca="false">IF($C204="","",$D204*$E204)</f>
        <v/>
      </c>
      <c r="G204" s="103" t="str">
        <f aca="false">IF($C204="","",$D204*IFERROR(INDEX('تحليل التكلفة والسعر'!$C$2:$C$700,MATCH($C204,'تحليل التكلفة والسعر'!$B$2:$B$700,0)),0))</f>
        <v/>
      </c>
    </row>
    <row r="205" customFormat="false" ht="15" hidden="false" customHeight="false" outlineLevel="0" collapsed="false">
      <c r="A205" s="102"/>
      <c r="E205" s="103" t="str">
        <f aca="false">IF($C205="","",IFERROR(INDEX(المنيو!$C$2:$C$500,MATCH($C205,المنيو!$B$2:$B$500,0)),0))</f>
        <v/>
      </c>
      <c r="F205" s="103" t="str">
        <f aca="false">IF($C205="","",$D205*$E205)</f>
        <v/>
      </c>
      <c r="G205" s="103" t="str">
        <f aca="false">IF($C205="","",$D205*IFERROR(INDEX('تحليل التكلفة والسعر'!$C$2:$C$700,MATCH($C205,'تحليل التكلفة والسعر'!$B$2:$B$700,0)),0))</f>
        <v/>
      </c>
    </row>
    <row r="206" customFormat="false" ht="15" hidden="false" customHeight="false" outlineLevel="0" collapsed="false">
      <c r="A206" s="102"/>
      <c r="E206" s="103" t="str">
        <f aca="false">IF($C206="","",IFERROR(INDEX(المنيو!$C$2:$C$500,MATCH($C206,المنيو!$B$2:$B$500,0)),0))</f>
        <v/>
      </c>
      <c r="F206" s="103" t="str">
        <f aca="false">IF($C206="","",$D206*$E206)</f>
        <v/>
      </c>
      <c r="G206" s="103" t="str">
        <f aca="false">IF($C206="","",$D206*IFERROR(INDEX('تحليل التكلفة والسعر'!$C$2:$C$700,MATCH($C206,'تحليل التكلفة والسعر'!$B$2:$B$700,0)),0))</f>
        <v/>
      </c>
    </row>
    <row r="207" customFormat="false" ht="15" hidden="false" customHeight="false" outlineLevel="0" collapsed="false">
      <c r="A207" s="102"/>
      <c r="E207" s="103" t="str">
        <f aca="false">IF($C207="","",IFERROR(INDEX(المنيو!$C$2:$C$500,MATCH($C207,المنيو!$B$2:$B$500,0)),0))</f>
        <v/>
      </c>
      <c r="F207" s="103" t="str">
        <f aca="false">IF($C207="","",$D207*$E207)</f>
        <v/>
      </c>
      <c r="G207" s="103" t="str">
        <f aca="false">IF($C207="","",$D207*IFERROR(INDEX('تحليل التكلفة والسعر'!$C$2:$C$700,MATCH($C207,'تحليل التكلفة والسعر'!$B$2:$B$700,0)),0))</f>
        <v/>
      </c>
    </row>
    <row r="208" customFormat="false" ht="15" hidden="false" customHeight="false" outlineLevel="0" collapsed="false">
      <c r="A208" s="102"/>
      <c r="E208" s="103" t="str">
        <f aca="false">IF($C208="","",IFERROR(INDEX(المنيو!$C$2:$C$500,MATCH($C208,المنيو!$B$2:$B$500,0)),0))</f>
        <v/>
      </c>
      <c r="F208" s="103" t="str">
        <f aca="false">IF($C208="","",$D208*$E208)</f>
        <v/>
      </c>
      <c r="G208" s="103" t="str">
        <f aca="false">IF($C208="","",$D208*IFERROR(INDEX('تحليل التكلفة والسعر'!$C$2:$C$700,MATCH($C208,'تحليل التكلفة والسعر'!$B$2:$B$700,0)),0))</f>
        <v/>
      </c>
    </row>
    <row r="209" customFormat="false" ht="15" hidden="false" customHeight="false" outlineLevel="0" collapsed="false">
      <c r="A209" s="102"/>
      <c r="E209" s="103" t="str">
        <f aca="false">IF($C209="","",IFERROR(INDEX(المنيو!$C$2:$C$500,MATCH($C209,المنيو!$B$2:$B$500,0)),0))</f>
        <v/>
      </c>
      <c r="F209" s="103" t="str">
        <f aca="false">IF($C209="","",$D209*$E209)</f>
        <v/>
      </c>
      <c r="G209" s="103" t="str">
        <f aca="false">IF($C209="","",$D209*IFERROR(INDEX('تحليل التكلفة والسعر'!$C$2:$C$700,MATCH($C209,'تحليل التكلفة والسعر'!$B$2:$B$700,0)),0))</f>
        <v/>
      </c>
    </row>
    <row r="210" customFormat="false" ht="15" hidden="false" customHeight="false" outlineLevel="0" collapsed="false">
      <c r="A210" s="102"/>
      <c r="E210" s="103" t="str">
        <f aca="false">IF($C210="","",IFERROR(INDEX(المنيو!$C$2:$C$500,MATCH($C210,المنيو!$B$2:$B$500,0)),0))</f>
        <v/>
      </c>
      <c r="F210" s="103" t="str">
        <f aca="false">IF($C210="","",$D210*$E210)</f>
        <v/>
      </c>
      <c r="G210" s="103" t="str">
        <f aca="false">IF($C210="","",$D210*IFERROR(INDEX('تحليل التكلفة والسعر'!$C$2:$C$700,MATCH($C210,'تحليل التكلفة والسعر'!$B$2:$B$700,0)),0))</f>
        <v/>
      </c>
    </row>
    <row r="211" customFormat="false" ht="15" hidden="false" customHeight="false" outlineLevel="0" collapsed="false">
      <c r="A211" s="102"/>
      <c r="E211" s="103" t="str">
        <f aca="false">IF($C211="","",IFERROR(INDEX(المنيو!$C$2:$C$500,MATCH($C211,المنيو!$B$2:$B$500,0)),0))</f>
        <v/>
      </c>
      <c r="F211" s="103" t="str">
        <f aca="false">IF($C211="","",$D211*$E211)</f>
        <v/>
      </c>
      <c r="G211" s="103" t="str">
        <f aca="false">IF($C211="","",$D211*IFERROR(INDEX('تحليل التكلفة والسعر'!$C$2:$C$700,MATCH($C211,'تحليل التكلفة والسعر'!$B$2:$B$700,0)),0))</f>
        <v/>
      </c>
    </row>
    <row r="212" customFormat="false" ht="15" hidden="false" customHeight="false" outlineLevel="0" collapsed="false">
      <c r="A212" s="102"/>
      <c r="E212" s="103" t="str">
        <f aca="false">IF($C212="","",IFERROR(INDEX(المنيو!$C$2:$C$500,MATCH($C212,المنيو!$B$2:$B$500,0)),0))</f>
        <v/>
      </c>
      <c r="F212" s="103" t="str">
        <f aca="false">IF($C212="","",$D212*$E212)</f>
        <v/>
      </c>
      <c r="G212" s="103" t="str">
        <f aca="false">IF($C212="","",$D212*IFERROR(INDEX('تحليل التكلفة والسعر'!$C$2:$C$700,MATCH($C212,'تحليل التكلفة والسعر'!$B$2:$B$700,0)),0))</f>
        <v/>
      </c>
    </row>
    <row r="213" customFormat="false" ht="15" hidden="false" customHeight="false" outlineLevel="0" collapsed="false">
      <c r="A213" s="102"/>
      <c r="E213" s="103" t="str">
        <f aca="false">IF($C213="","",IFERROR(INDEX(المنيو!$C$2:$C$500,MATCH($C213,المنيو!$B$2:$B$500,0)),0))</f>
        <v/>
      </c>
      <c r="F213" s="103" t="str">
        <f aca="false">IF($C213="","",$D213*$E213)</f>
        <v/>
      </c>
      <c r="G213" s="103" t="str">
        <f aca="false">IF($C213="","",$D213*IFERROR(INDEX('تحليل التكلفة والسعر'!$C$2:$C$700,MATCH($C213,'تحليل التكلفة والسعر'!$B$2:$B$700,0)),0))</f>
        <v/>
      </c>
    </row>
    <row r="214" customFormat="false" ht="15" hidden="false" customHeight="false" outlineLevel="0" collapsed="false">
      <c r="A214" s="102"/>
      <c r="E214" s="103" t="str">
        <f aca="false">IF($C214="","",IFERROR(INDEX(المنيو!$C$2:$C$500,MATCH($C214,المنيو!$B$2:$B$500,0)),0))</f>
        <v/>
      </c>
      <c r="F214" s="103" t="str">
        <f aca="false">IF($C214="","",$D214*$E214)</f>
        <v/>
      </c>
      <c r="G214" s="103" t="str">
        <f aca="false">IF($C214="","",$D214*IFERROR(INDEX('تحليل التكلفة والسعر'!$C$2:$C$700,MATCH($C214,'تحليل التكلفة والسعر'!$B$2:$B$700,0)),0))</f>
        <v/>
      </c>
    </row>
    <row r="215" customFormat="false" ht="15" hidden="false" customHeight="false" outlineLevel="0" collapsed="false">
      <c r="A215" s="102"/>
      <c r="E215" s="103" t="str">
        <f aca="false">IF($C215="","",IFERROR(INDEX(المنيو!$C$2:$C$500,MATCH($C215,المنيو!$B$2:$B$500,0)),0))</f>
        <v/>
      </c>
      <c r="F215" s="103" t="str">
        <f aca="false">IF($C215="","",$D215*$E215)</f>
        <v/>
      </c>
      <c r="G215" s="103" t="str">
        <f aca="false">IF($C215="","",$D215*IFERROR(INDEX('تحليل التكلفة والسعر'!$C$2:$C$700,MATCH($C215,'تحليل التكلفة والسعر'!$B$2:$B$700,0)),0))</f>
        <v/>
      </c>
    </row>
    <row r="216" customFormat="false" ht="15" hidden="false" customHeight="false" outlineLevel="0" collapsed="false">
      <c r="A216" s="102"/>
      <c r="E216" s="103" t="str">
        <f aca="false">IF($C216="","",IFERROR(INDEX(المنيو!$C$2:$C$500,MATCH($C216,المنيو!$B$2:$B$500,0)),0))</f>
        <v/>
      </c>
      <c r="F216" s="103" t="str">
        <f aca="false">IF($C216="","",$D216*$E216)</f>
        <v/>
      </c>
      <c r="G216" s="103" t="str">
        <f aca="false">IF($C216="","",$D216*IFERROR(INDEX('تحليل التكلفة والسعر'!$C$2:$C$700,MATCH($C216,'تحليل التكلفة والسعر'!$B$2:$B$700,0)),0))</f>
        <v/>
      </c>
    </row>
    <row r="217" customFormat="false" ht="15" hidden="false" customHeight="false" outlineLevel="0" collapsed="false">
      <c r="A217" s="102"/>
      <c r="E217" s="103" t="str">
        <f aca="false">IF($C217="","",IFERROR(INDEX(المنيو!$C$2:$C$500,MATCH($C217,المنيو!$B$2:$B$500,0)),0))</f>
        <v/>
      </c>
      <c r="F217" s="103" t="str">
        <f aca="false">IF($C217="","",$D217*$E217)</f>
        <v/>
      </c>
      <c r="G217" s="103" t="str">
        <f aca="false">IF($C217="","",$D217*IFERROR(INDEX('تحليل التكلفة والسعر'!$C$2:$C$700,MATCH($C217,'تحليل التكلفة والسعر'!$B$2:$B$700,0)),0))</f>
        <v/>
      </c>
    </row>
    <row r="218" customFormat="false" ht="15" hidden="false" customHeight="false" outlineLevel="0" collapsed="false">
      <c r="A218" s="102"/>
      <c r="E218" s="103" t="str">
        <f aca="false">IF($C218="","",IFERROR(INDEX(المنيو!$C$2:$C$500,MATCH($C218,المنيو!$B$2:$B$500,0)),0))</f>
        <v/>
      </c>
      <c r="F218" s="103" t="str">
        <f aca="false">IF($C218="","",$D218*$E218)</f>
        <v/>
      </c>
      <c r="G218" s="103" t="str">
        <f aca="false">IF($C218="","",$D218*IFERROR(INDEX('تحليل التكلفة والسعر'!$C$2:$C$700,MATCH($C218,'تحليل التكلفة والسعر'!$B$2:$B$700,0)),0))</f>
        <v/>
      </c>
    </row>
    <row r="219" customFormat="false" ht="15" hidden="false" customHeight="false" outlineLevel="0" collapsed="false">
      <c r="A219" s="102"/>
      <c r="E219" s="103" t="str">
        <f aca="false">IF($C219="","",IFERROR(INDEX(المنيو!$C$2:$C$500,MATCH($C219,المنيو!$B$2:$B$500,0)),0))</f>
        <v/>
      </c>
      <c r="F219" s="103" t="str">
        <f aca="false">IF($C219="","",$D219*$E219)</f>
        <v/>
      </c>
      <c r="G219" s="103" t="str">
        <f aca="false">IF($C219="","",$D219*IFERROR(INDEX('تحليل التكلفة والسعر'!$C$2:$C$700,MATCH($C219,'تحليل التكلفة والسعر'!$B$2:$B$700,0)),0))</f>
        <v/>
      </c>
    </row>
    <row r="220" customFormat="false" ht="15" hidden="false" customHeight="false" outlineLevel="0" collapsed="false">
      <c r="A220" s="102"/>
      <c r="E220" s="103" t="str">
        <f aca="false">IF($C220="","",IFERROR(INDEX(المنيو!$C$2:$C$500,MATCH($C220,المنيو!$B$2:$B$500,0)),0))</f>
        <v/>
      </c>
      <c r="F220" s="103" t="str">
        <f aca="false">IF($C220="","",$D220*$E220)</f>
        <v/>
      </c>
      <c r="G220" s="103" t="str">
        <f aca="false">IF($C220="","",$D220*IFERROR(INDEX('تحليل التكلفة والسعر'!$C$2:$C$700,MATCH($C220,'تحليل التكلفة والسعر'!$B$2:$B$700,0)),0))</f>
        <v/>
      </c>
    </row>
    <row r="221" customFormat="false" ht="15" hidden="false" customHeight="false" outlineLevel="0" collapsed="false">
      <c r="A221" s="102"/>
      <c r="E221" s="103" t="str">
        <f aca="false">IF($C221="","",IFERROR(INDEX(المنيو!$C$2:$C$500,MATCH($C221,المنيو!$B$2:$B$500,0)),0))</f>
        <v/>
      </c>
      <c r="F221" s="103" t="str">
        <f aca="false">IF($C221="","",$D221*$E221)</f>
        <v/>
      </c>
      <c r="G221" s="103" t="str">
        <f aca="false">IF($C221="","",$D221*IFERROR(INDEX('تحليل التكلفة والسعر'!$C$2:$C$700,MATCH($C221,'تحليل التكلفة والسعر'!$B$2:$B$700,0)),0))</f>
        <v/>
      </c>
    </row>
    <row r="222" customFormat="false" ht="15" hidden="false" customHeight="false" outlineLevel="0" collapsed="false">
      <c r="A222" s="102"/>
      <c r="E222" s="103" t="str">
        <f aca="false">IF($C222="","",IFERROR(INDEX(المنيو!$C$2:$C$500,MATCH($C222,المنيو!$B$2:$B$500,0)),0))</f>
        <v/>
      </c>
      <c r="F222" s="103" t="str">
        <f aca="false">IF($C222="","",$D222*$E222)</f>
        <v/>
      </c>
      <c r="G222" s="103" t="str">
        <f aca="false">IF($C222="","",$D222*IFERROR(INDEX('تحليل التكلفة والسعر'!$C$2:$C$700,MATCH($C222,'تحليل التكلفة والسعر'!$B$2:$B$700,0)),0))</f>
        <v/>
      </c>
    </row>
    <row r="223" customFormat="false" ht="15" hidden="false" customHeight="false" outlineLevel="0" collapsed="false">
      <c r="A223" s="102"/>
      <c r="E223" s="103" t="str">
        <f aca="false">IF($C223="","",IFERROR(INDEX(المنيو!$C$2:$C$500,MATCH($C223,المنيو!$B$2:$B$500,0)),0))</f>
        <v/>
      </c>
      <c r="F223" s="103" t="str">
        <f aca="false">IF($C223="","",$D223*$E223)</f>
        <v/>
      </c>
      <c r="G223" s="103" t="str">
        <f aca="false">IF($C223="","",$D223*IFERROR(INDEX('تحليل التكلفة والسعر'!$C$2:$C$700,MATCH($C223,'تحليل التكلفة والسعر'!$B$2:$B$700,0)),0))</f>
        <v/>
      </c>
    </row>
    <row r="224" customFormat="false" ht="15" hidden="false" customHeight="false" outlineLevel="0" collapsed="false">
      <c r="A224" s="102"/>
      <c r="E224" s="103" t="str">
        <f aca="false">IF($C224="","",IFERROR(INDEX(المنيو!$C$2:$C$500,MATCH($C224,المنيو!$B$2:$B$500,0)),0))</f>
        <v/>
      </c>
      <c r="F224" s="103" t="str">
        <f aca="false">IF($C224="","",$D224*$E224)</f>
        <v/>
      </c>
      <c r="G224" s="103" t="str">
        <f aca="false">IF($C224="","",$D224*IFERROR(INDEX('تحليل التكلفة والسعر'!$C$2:$C$700,MATCH($C224,'تحليل التكلفة والسعر'!$B$2:$B$700,0)),0))</f>
        <v/>
      </c>
    </row>
    <row r="225" customFormat="false" ht="15" hidden="false" customHeight="false" outlineLevel="0" collapsed="false">
      <c r="A225" s="102"/>
      <c r="E225" s="103" t="str">
        <f aca="false">IF($C225="","",IFERROR(INDEX(المنيو!$C$2:$C$500,MATCH($C225,المنيو!$B$2:$B$500,0)),0))</f>
        <v/>
      </c>
      <c r="F225" s="103" t="str">
        <f aca="false">IF($C225="","",$D225*$E225)</f>
        <v/>
      </c>
      <c r="G225" s="103" t="str">
        <f aca="false">IF($C225="","",$D225*IFERROR(INDEX('تحليل التكلفة والسعر'!$C$2:$C$700,MATCH($C225,'تحليل التكلفة والسعر'!$B$2:$B$700,0)),0))</f>
        <v/>
      </c>
    </row>
    <row r="226" customFormat="false" ht="15" hidden="false" customHeight="false" outlineLevel="0" collapsed="false">
      <c r="A226" s="102"/>
      <c r="E226" s="103" t="str">
        <f aca="false">IF($C226="","",IFERROR(INDEX(المنيو!$C$2:$C$500,MATCH($C226,المنيو!$B$2:$B$500,0)),0))</f>
        <v/>
      </c>
      <c r="F226" s="103" t="str">
        <f aca="false">IF($C226="","",$D226*$E226)</f>
        <v/>
      </c>
      <c r="G226" s="103" t="str">
        <f aca="false">IF($C226="","",$D226*IFERROR(INDEX('تحليل التكلفة والسعر'!$C$2:$C$700,MATCH($C226,'تحليل التكلفة والسعر'!$B$2:$B$700,0)),0))</f>
        <v/>
      </c>
    </row>
    <row r="227" customFormat="false" ht="15" hidden="false" customHeight="false" outlineLevel="0" collapsed="false">
      <c r="A227" s="102"/>
      <c r="E227" s="103" t="str">
        <f aca="false">IF($C227="","",IFERROR(INDEX(المنيو!$C$2:$C$500,MATCH($C227,المنيو!$B$2:$B$500,0)),0))</f>
        <v/>
      </c>
      <c r="F227" s="103" t="str">
        <f aca="false">IF($C227="","",$D227*$E227)</f>
        <v/>
      </c>
      <c r="G227" s="103" t="str">
        <f aca="false">IF($C227="","",$D227*IFERROR(INDEX('تحليل التكلفة والسعر'!$C$2:$C$700,MATCH($C227,'تحليل التكلفة والسعر'!$B$2:$B$700,0)),0))</f>
        <v/>
      </c>
    </row>
    <row r="228" customFormat="false" ht="15" hidden="false" customHeight="false" outlineLevel="0" collapsed="false">
      <c r="A228" s="102"/>
      <c r="E228" s="103" t="str">
        <f aca="false">IF($C228="","",IFERROR(INDEX(المنيو!$C$2:$C$500,MATCH($C228,المنيو!$B$2:$B$500,0)),0))</f>
        <v/>
      </c>
      <c r="F228" s="103" t="str">
        <f aca="false">IF($C228="","",$D228*$E228)</f>
        <v/>
      </c>
      <c r="G228" s="103" t="str">
        <f aca="false">IF($C228="","",$D228*IFERROR(INDEX('تحليل التكلفة والسعر'!$C$2:$C$700,MATCH($C228,'تحليل التكلفة والسعر'!$B$2:$B$700,0)),0))</f>
        <v/>
      </c>
    </row>
    <row r="229" customFormat="false" ht="15" hidden="false" customHeight="false" outlineLevel="0" collapsed="false">
      <c r="A229" s="102"/>
      <c r="E229" s="103" t="str">
        <f aca="false">IF($C229="","",IFERROR(INDEX(المنيو!$C$2:$C$500,MATCH($C229,المنيو!$B$2:$B$500,0)),0))</f>
        <v/>
      </c>
      <c r="F229" s="103" t="str">
        <f aca="false">IF($C229="","",$D229*$E229)</f>
        <v/>
      </c>
      <c r="G229" s="103" t="str">
        <f aca="false">IF($C229="","",$D229*IFERROR(INDEX('تحليل التكلفة والسعر'!$C$2:$C$700,MATCH($C229,'تحليل التكلفة والسعر'!$B$2:$B$700,0)),0))</f>
        <v/>
      </c>
    </row>
    <row r="230" customFormat="false" ht="15" hidden="false" customHeight="false" outlineLevel="0" collapsed="false">
      <c r="A230" s="102"/>
      <c r="E230" s="103" t="str">
        <f aca="false">IF($C230="","",IFERROR(INDEX(المنيو!$C$2:$C$500,MATCH($C230,المنيو!$B$2:$B$500,0)),0))</f>
        <v/>
      </c>
      <c r="F230" s="103" t="str">
        <f aca="false">IF($C230="","",$D230*$E230)</f>
        <v/>
      </c>
      <c r="G230" s="103" t="str">
        <f aca="false">IF($C230="","",$D230*IFERROR(INDEX('تحليل التكلفة والسعر'!$C$2:$C$700,MATCH($C230,'تحليل التكلفة والسعر'!$B$2:$B$700,0)),0))</f>
        <v/>
      </c>
    </row>
    <row r="231" customFormat="false" ht="15" hidden="false" customHeight="false" outlineLevel="0" collapsed="false">
      <c r="A231" s="102"/>
      <c r="E231" s="103" t="str">
        <f aca="false">IF($C231="","",IFERROR(INDEX(المنيو!$C$2:$C$500,MATCH($C231,المنيو!$B$2:$B$500,0)),0))</f>
        <v/>
      </c>
      <c r="F231" s="103" t="str">
        <f aca="false">IF($C231="","",$D231*$E231)</f>
        <v/>
      </c>
      <c r="G231" s="103" t="str">
        <f aca="false">IF($C231="","",$D231*IFERROR(INDEX('تحليل التكلفة والسعر'!$C$2:$C$700,MATCH($C231,'تحليل التكلفة والسعر'!$B$2:$B$700,0)),0))</f>
        <v/>
      </c>
    </row>
    <row r="232" customFormat="false" ht="15" hidden="false" customHeight="false" outlineLevel="0" collapsed="false">
      <c r="A232" s="102"/>
      <c r="E232" s="103" t="str">
        <f aca="false">IF($C232="","",IFERROR(INDEX(المنيو!$C$2:$C$500,MATCH($C232,المنيو!$B$2:$B$500,0)),0))</f>
        <v/>
      </c>
      <c r="F232" s="103" t="str">
        <f aca="false">IF($C232="","",$D232*$E232)</f>
        <v/>
      </c>
      <c r="G232" s="103" t="str">
        <f aca="false">IF($C232="","",$D232*IFERROR(INDEX('تحليل التكلفة والسعر'!$C$2:$C$700,MATCH($C232,'تحليل التكلفة والسعر'!$B$2:$B$700,0)),0))</f>
        <v/>
      </c>
    </row>
    <row r="233" customFormat="false" ht="15" hidden="false" customHeight="false" outlineLevel="0" collapsed="false">
      <c r="A233" s="102"/>
      <c r="E233" s="103" t="str">
        <f aca="false">IF($C233="","",IFERROR(INDEX(المنيو!$C$2:$C$500,MATCH($C233,المنيو!$B$2:$B$500,0)),0))</f>
        <v/>
      </c>
      <c r="F233" s="103" t="str">
        <f aca="false">IF($C233="","",$D233*$E233)</f>
        <v/>
      </c>
      <c r="G233" s="103" t="str">
        <f aca="false">IF($C233="","",$D233*IFERROR(INDEX('تحليل التكلفة والسعر'!$C$2:$C$700,MATCH($C233,'تحليل التكلفة والسعر'!$B$2:$B$700,0)),0))</f>
        <v/>
      </c>
    </row>
    <row r="234" customFormat="false" ht="15" hidden="false" customHeight="false" outlineLevel="0" collapsed="false">
      <c r="A234" s="102"/>
      <c r="E234" s="103" t="str">
        <f aca="false">IF($C234="","",IFERROR(INDEX(المنيو!$C$2:$C$500,MATCH($C234,المنيو!$B$2:$B$500,0)),0))</f>
        <v/>
      </c>
      <c r="F234" s="103" t="str">
        <f aca="false">IF($C234="","",$D234*$E234)</f>
        <v/>
      </c>
      <c r="G234" s="103" t="str">
        <f aca="false">IF($C234="","",$D234*IFERROR(INDEX('تحليل التكلفة والسعر'!$C$2:$C$700,MATCH($C234,'تحليل التكلفة والسعر'!$B$2:$B$700,0)),0))</f>
        <v/>
      </c>
    </row>
    <row r="235" customFormat="false" ht="15" hidden="false" customHeight="false" outlineLevel="0" collapsed="false">
      <c r="A235" s="102"/>
      <c r="E235" s="103" t="str">
        <f aca="false">IF($C235="","",IFERROR(INDEX(المنيو!$C$2:$C$500,MATCH($C235,المنيو!$B$2:$B$500,0)),0))</f>
        <v/>
      </c>
      <c r="F235" s="103" t="str">
        <f aca="false">IF($C235="","",$D235*$E235)</f>
        <v/>
      </c>
      <c r="G235" s="103" t="str">
        <f aca="false">IF($C235="","",$D235*IFERROR(INDEX('تحليل التكلفة والسعر'!$C$2:$C$700,MATCH($C235,'تحليل التكلفة والسعر'!$B$2:$B$700,0)),0))</f>
        <v/>
      </c>
    </row>
    <row r="236" customFormat="false" ht="15" hidden="false" customHeight="false" outlineLevel="0" collapsed="false">
      <c r="A236" s="102"/>
      <c r="E236" s="103" t="str">
        <f aca="false">IF($C236="","",IFERROR(INDEX(المنيو!$C$2:$C$500,MATCH($C236,المنيو!$B$2:$B$500,0)),0))</f>
        <v/>
      </c>
      <c r="F236" s="103" t="str">
        <f aca="false">IF($C236="","",$D236*$E236)</f>
        <v/>
      </c>
      <c r="G236" s="103" t="str">
        <f aca="false">IF($C236="","",$D236*IFERROR(INDEX('تحليل التكلفة والسعر'!$C$2:$C$700,MATCH($C236,'تحليل التكلفة والسعر'!$B$2:$B$700,0)),0))</f>
        <v/>
      </c>
    </row>
    <row r="237" customFormat="false" ht="15" hidden="false" customHeight="false" outlineLevel="0" collapsed="false">
      <c r="A237" s="102"/>
      <c r="E237" s="103" t="str">
        <f aca="false">IF($C237="","",IFERROR(INDEX(المنيو!$C$2:$C$500,MATCH($C237,المنيو!$B$2:$B$500,0)),0))</f>
        <v/>
      </c>
      <c r="F237" s="103" t="str">
        <f aca="false">IF($C237="","",$D237*$E237)</f>
        <v/>
      </c>
      <c r="G237" s="103" t="str">
        <f aca="false">IF($C237="","",$D237*IFERROR(INDEX('تحليل التكلفة والسعر'!$C$2:$C$700,MATCH($C237,'تحليل التكلفة والسعر'!$B$2:$B$700,0)),0))</f>
        <v/>
      </c>
    </row>
    <row r="238" customFormat="false" ht="15" hidden="false" customHeight="false" outlineLevel="0" collapsed="false">
      <c r="A238" s="102"/>
      <c r="E238" s="103" t="str">
        <f aca="false">IF($C238="","",IFERROR(INDEX(المنيو!$C$2:$C$500,MATCH($C238,المنيو!$B$2:$B$500,0)),0))</f>
        <v/>
      </c>
      <c r="F238" s="103" t="str">
        <f aca="false">IF($C238="","",$D238*$E238)</f>
        <v/>
      </c>
      <c r="G238" s="103" t="str">
        <f aca="false">IF($C238="","",$D238*IFERROR(INDEX('تحليل التكلفة والسعر'!$C$2:$C$700,MATCH($C238,'تحليل التكلفة والسعر'!$B$2:$B$700,0)),0))</f>
        <v/>
      </c>
    </row>
    <row r="239" customFormat="false" ht="15" hidden="false" customHeight="false" outlineLevel="0" collapsed="false">
      <c r="A239" s="102"/>
      <c r="E239" s="103" t="str">
        <f aca="false">IF($C239="","",IFERROR(INDEX(المنيو!$C$2:$C$500,MATCH($C239,المنيو!$B$2:$B$500,0)),0))</f>
        <v/>
      </c>
      <c r="F239" s="103" t="str">
        <f aca="false">IF($C239="","",$D239*$E239)</f>
        <v/>
      </c>
      <c r="G239" s="103" t="str">
        <f aca="false">IF($C239="","",$D239*IFERROR(INDEX('تحليل التكلفة والسعر'!$C$2:$C$700,MATCH($C239,'تحليل التكلفة والسعر'!$B$2:$B$700,0)),0))</f>
        <v/>
      </c>
    </row>
    <row r="240" customFormat="false" ht="15" hidden="false" customHeight="false" outlineLevel="0" collapsed="false">
      <c r="A240" s="102"/>
      <c r="E240" s="103" t="str">
        <f aca="false">IF($C240="","",IFERROR(INDEX(المنيو!$C$2:$C$500,MATCH($C240,المنيو!$B$2:$B$500,0)),0))</f>
        <v/>
      </c>
      <c r="F240" s="103" t="str">
        <f aca="false">IF($C240="","",$D240*$E240)</f>
        <v/>
      </c>
      <c r="G240" s="103" t="str">
        <f aca="false">IF($C240="","",$D240*IFERROR(INDEX('تحليل التكلفة والسعر'!$C$2:$C$700,MATCH($C240,'تحليل التكلفة والسعر'!$B$2:$B$700,0)),0))</f>
        <v/>
      </c>
    </row>
    <row r="241" customFormat="false" ht="15" hidden="false" customHeight="false" outlineLevel="0" collapsed="false">
      <c r="A241" s="102"/>
      <c r="E241" s="103" t="str">
        <f aca="false">IF($C241="","",IFERROR(INDEX(المنيو!$C$2:$C$500,MATCH($C241,المنيو!$B$2:$B$500,0)),0))</f>
        <v/>
      </c>
      <c r="F241" s="103" t="str">
        <f aca="false">IF($C241="","",$D241*$E241)</f>
        <v/>
      </c>
      <c r="G241" s="103" t="str">
        <f aca="false">IF($C241="","",$D241*IFERROR(INDEX('تحليل التكلفة والسعر'!$C$2:$C$700,MATCH($C241,'تحليل التكلفة والسعر'!$B$2:$B$700,0)),0))</f>
        <v/>
      </c>
    </row>
    <row r="242" customFormat="false" ht="15" hidden="false" customHeight="false" outlineLevel="0" collapsed="false">
      <c r="A242" s="102"/>
      <c r="E242" s="103" t="str">
        <f aca="false">IF($C242="","",IFERROR(INDEX(المنيو!$C$2:$C$500,MATCH($C242,المنيو!$B$2:$B$500,0)),0))</f>
        <v/>
      </c>
      <c r="F242" s="103" t="str">
        <f aca="false">IF($C242="","",$D242*$E242)</f>
        <v/>
      </c>
      <c r="G242" s="103" t="str">
        <f aca="false">IF($C242="","",$D242*IFERROR(INDEX('تحليل التكلفة والسعر'!$C$2:$C$700,MATCH($C242,'تحليل التكلفة والسعر'!$B$2:$B$700,0)),0))</f>
        <v/>
      </c>
    </row>
    <row r="243" customFormat="false" ht="15" hidden="false" customHeight="false" outlineLevel="0" collapsed="false">
      <c r="A243" s="102"/>
      <c r="E243" s="103" t="str">
        <f aca="false">IF($C243="","",IFERROR(INDEX(المنيو!$C$2:$C$500,MATCH($C243,المنيو!$B$2:$B$500,0)),0))</f>
        <v/>
      </c>
      <c r="F243" s="103" t="str">
        <f aca="false">IF($C243="","",$D243*$E243)</f>
        <v/>
      </c>
      <c r="G243" s="103" t="str">
        <f aca="false">IF($C243="","",$D243*IFERROR(INDEX('تحليل التكلفة والسعر'!$C$2:$C$700,MATCH($C243,'تحليل التكلفة والسعر'!$B$2:$B$700,0)),0))</f>
        <v/>
      </c>
    </row>
    <row r="244" customFormat="false" ht="15" hidden="false" customHeight="false" outlineLevel="0" collapsed="false">
      <c r="A244" s="102"/>
      <c r="E244" s="103" t="str">
        <f aca="false">IF($C244="","",IFERROR(INDEX(المنيو!$C$2:$C$500,MATCH($C244,المنيو!$B$2:$B$500,0)),0))</f>
        <v/>
      </c>
      <c r="F244" s="103" t="str">
        <f aca="false">IF($C244="","",$D244*$E244)</f>
        <v/>
      </c>
      <c r="G244" s="103" t="str">
        <f aca="false">IF($C244="","",$D244*IFERROR(INDEX('تحليل التكلفة والسعر'!$C$2:$C$700,MATCH($C244,'تحليل التكلفة والسعر'!$B$2:$B$700,0)),0))</f>
        <v/>
      </c>
    </row>
    <row r="245" customFormat="false" ht="15" hidden="false" customHeight="false" outlineLevel="0" collapsed="false">
      <c r="A245" s="102"/>
      <c r="E245" s="103" t="str">
        <f aca="false">IF($C245="","",IFERROR(INDEX(المنيو!$C$2:$C$500,MATCH($C245,المنيو!$B$2:$B$500,0)),0))</f>
        <v/>
      </c>
      <c r="F245" s="103" t="str">
        <f aca="false">IF($C245="","",$D245*$E245)</f>
        <v/>
      </c>
      <c r="G245" s="103" t="str">
        <f aca="false">IF($C245="","",$D245*IFERROR(INDEX('تحليل التكلفة والسعر'!$C$2:$C$700,MATCH($C245,'تحليل التكلفة والسعر'!$B$2:$B$700,0)),0))</f>
        <v/>
      </c>
    </row>
    <row r="246" customFormat="false" ht="15" hidden="false" customHeight="false" outlineLevel="0" collapsed="false">
      <c r="A246" s="102"/>
      <c r="E246" s="103" t="str">
        <f aca="false">IF($C246="","",IFERROR(INDEX(المنيو!$C$2:$C$500,MATCH($C246,المنيو!$B$2:$B$500,0)),0))</f>
        <v/>
      </c>
      <c r="F246" s="103" t="str">
        <f aca="false">IF($C246="","",$D246*$E246)</f>
        <v/>
      </c>
      <c r="G246" s="103" t="str">
        <f aca="false">IF($C246="","",$D246*IFERROR(INDEX('تحليل التكلفة والسعر'!$C$2:$C$700,MATCH($C246,'تحليل التكلفة والسعر'!$B$2:$B$700,0)),0))</f>
        <v/>
      </c>
    </row>
    <row r="247" customFormat="false" ht="15" hidden="false" customHeight="false" outlineLevel="0" collapsed="false">
      <c r="A247" s="102"/>
      <c r="E247" s="103" t="str">
        <f aca="false">IF($C247="","",IFERROR(INDEX(المنيو!$C$2:$C$500,MATCH($C247,المنيو!$B$2:$B$500,0)),0))</f>
        <v/>
      </c>
      <c r="F247" s="103" t="str">
        <f aca="false">IF($C247="","",$D247*$E247)</f>
        <v/>
      </c>
      <c r="G247" s="103" t="str">
        <f aca="false">IF($C247="","",$D247*IFERROR(INDEX('تحليل التكلفة والسعر'!$C$2:$C$700,MATCH($C247,'تحليل التكلفة والسعر'!$B$2:$B$700,0)),0))</f>
        <v/>
      </c>
    </row>
    <row r="248" customFormat="false" ht="15" hidden="false" customHeight="false" outlineLevel="0" collapsed="false">
      <c r="A248" s="102"/>
      <c r="E248" s="103" t="str">
        <f aca="false">IF($C248="","",IFERROR(INDEX(المنيو!$C$2:$C$500,MATCH($C248,المنيو!$B$2:$B$500,0)),0))</f>
        <v/>
      </c>
      <c r="F248" s="103" t="str">
        <f aca="false">IF($C248="","",$D248*$E248)</f>
        <v/>
      </c>
      <c r="G248" s="103" t="str">
        <f aca="false">IF($C248="","",$D248*IFERROR(INDEX('تحليل التكلفة والسعر'!$C$2:$C$700,MATCH($C248,'تحليل التكلفة والسعر'!$B$2:$B$700,0)),0))</f>
        <v/>
      </c>
    </row>
    <row r="249" customFormat="false" ht="15" hidden="false" customHeight="false" outlineLevel="0" collapsed="false">
      <c r="A249" s="102"/>
      <c r="E249" s="103" t="str">
        <f aca="false">IF($C249="","",IFERROR(INDEX(المنيو!$C$2:$C$500,MATCH($C249,المنيو!$B$2:$B$500,0)),0))</f>
        <v/>
      </c>
      <c r="F249" s="103" t="str">
        <f aca="false">IF($C249="","",$D249*$E249)</f>
        <v/>
      </c>
      <c r="G249" s="103" t="str">
        <f aca="false">IF($C249="","",$D249*IFERROR(INDEX('تحليل التكلفة والسعر'!$C$2:$C$700,MATCH($C249,'تحليل التكلفة والسعر'!$B$2:$B$700,0)),0))</f>
        <v/>
      </c>
    </row>
    <row r="250" customFormat="false" ht="15" hidden="false" customHeight="false" outlineLevel="0" collapsed="false">
      <c r="A250" s="102"/>
      <c r="E250" s="103" t="str">
        <f aca="false">IF($C250="","",IFERROR(INDEX(المنيو!$C$2:$C$500,MATCH($C250,المنيو!$B$2:$B$500,0)),0))</f>
        <v/>
      </c>
      <c r="F250" s="103" t="str">
        <f aca="false">IF($C250="","",$D250*$E250)</f>
        <v/>
      </c>
      <c r="G250" s="103" t="str">
        <f aca="false">IF($C250="","",$D250*IFERROR(INDEX('تحليل التكلفة والسعر'!$C$2:$C$700,MATCH($C250,'تحليل التكلفة والسعر'!$B$2:$B$700,0)),0))</f>
        <v/>
      </c>
    </row>
    <row r="251" customFormat="false" ht="15" hidden="false" customHeight="false" outlineLevel="0" collapsed="false">
      <c r="A251" s="102"/>
      <c r="E251" s="103" t="str">
        <f aca="false">IF($C251="","",IFERROR(INDEX(المنيو!$C$2:$C$500,MATCH($C251,المنيو!$B$2:$B$500,0)),0))</f>
        <v/>
      </c>
      <c r="F251" s="103" t="str">
        <f aca="false">IF($C251="","",$D251*$E251)</f>
        <v/>
      </c>
      <c r="G251" s="103" t="str">
        <f aca="false">IF($C251="","",$D251*IFERROR(INDEX('تحليل التكلفة والسعر'!$C$2:$C$700,MATCH($C251,'تحليل التكلفة والسعر'!$B$2:$B$700,0)),0))</f>
        <v/>
      </c>
    </row>
    <row r="252" customFormat="false" ht="15" hidden="false" customHeight="false" outlineLevel="0" collapsed="false">
      <c r="A252" s="102"/>
      <c r="E252" s="103" t="str">
        <f aca="false">IF($C252="","",IFERROR(INDEX(المنيو!$C$2:$C$500,MATCH($C252,المنيو!$B$2:$B$500,0)),0))</f>
        <v/>
      </c>
      <c r="F252" s="103" t="str">
        <f aca="false">IF($C252="","",$D252*$E252)</f>
        <v/>
      </c>
      <c r="G252" s="103" t="str">
        <f aca="false">IF($C252="","",$D252*IFERROR(INDEX('تحليل التكلفة والسعر'!$C$2:$C$700,MATCH($C252,'تحليل التكلفة والسعر'!$B$2:$B$700,0)),0))</f>
        <v/>
      </c>
    </row>
    <row r="253" customFormat="false" ht="15" hidden="false" customHeight="false" outlineLevel="0" collapsed="false">
      <c r="A253" s="102"/>
      <c r="E253" s="103" t="str">
        <f aca="false">IF($C253="","",IFERROR(INDEX(المنيو!$C$2:$C$500,MATCH($C253,المنيو!$B$2:$B$500,0)),0))</f>
        <v/>
      </c>
      <c r="F253" s="103" t="str">
        <f aca="false">IF($C253="","",$D253*$E253)</f>
        <v/>
      </c>
      <c r="G253" s="103" t="str">
        <f aca="false">IF($C253="","",$D253*IFERROR(INDEX('تحليل التكلفة والسعر'!$C$2:$C$700,MATCH($C253,'تحليل التكلفة والسعر'!$B$2:$B$700,0)),0))</f>
        <v/>
      </c>
    </row>
    <row r="254" customFormat="false" ht="15" hidden="false" customHeight="false" outlineLevel="0" collapsed="false">
      <c r="A254" s="102"/>
      <c r="E254" s="103" t="str">
        <f aca="false">IF($C254="","",IFERROR(INDEX(المنيو!$C$2:$C$500,MATCH($C254,المنيو!$B$2:$B$500,0)),0))</f>
        <v/>
      </c>
      <c r="F254" s="103" t="str">
        <f aca="false">IF($C254="","",$D254*$E254)</f>
        <v/>
      </c>
      <c r="G254" s="103" t="str">
        <f aca="false">IF($C254="","",$D254*IFERROR(INDEX('تحليل التكلفة والسعر'!$C$2:$C$700,MATCH($C254,'تحليل التكلفة والسعر'!$B$2:$B$700,0)),0))</f>
        <v/>
      </c>
    </row>
    <row r="255" customFormat="false" ht="15" hidden="false" customHeight="false" outlineLevel="0" collapsed="false">
      <c r="A255" s="102"/>
      <c r="E255" s="103" t="str">
        <f aca="false">IF($C255="","",IFERROR(INDEX(المنيو!$C$2:$C$500,MATCH($C255,المنيو!$B$2:$B$500,0)),0))</f>
        <v/>
      </c>
      <c r="F255" s="103" t="str">
        <f aca="false">IF($C255="","",$D255*$E255)</f>
        <v/>
      </c>
      <c r="G255" s="103" t="str">
        <f aca="false">IF($C255="","",$D255*IFERROR(INDEX('تحليل التكلفة والسعر'!$C$2:$C$700,MATCH($C255,'تحليل التكلفة والسعر'!$B$2:$B$700,0)),0))</f>
        <v/>
      </c>
    </row>
    <row r="256" customFormat="false" ht="15" hidden="false" customHeight="false" outlineLevel="0" collapsed="false">
      <c r="A256" s="102"/>
      <c r="E256" s="103" t="str">
        <f aca="false">IF($C256="","",IFERROR(INDEX(المنيو!$C$2:$C$500,MATCH($C256,المنيو!$B$2:$B$500,0)),0))</f>
        <v/>
      </c>
      <c r="F256" s="103" t="str">
        <f aca="false">IF($C256="","",$D256*$E256)</f>
        <v/>
      </c>
      <c r="G256" s="103" t="str">
        <f aca="false">IF($C256="","",$D256*IFERROR(INDEX('تحليل التكلفة والسعر'!$C$2:$C$700,MATCH($C256,'تحليل التكلفة والسعر'!$B$2:$B$700,0)),0))</f>
        <v/>
      </c>
    </row>
    <row r="257" customFormat="false" ht="15" hidden="false" customHeight="false" outlineLevel="0" collapsed="false">
      <c r="A257" s="102"/>
      <c r="E257" s="103" t="str">
        <f aca="false">IF($C257="","",IFERROR(INDEX(المنيو!$C$2:$C$500,MATCH($C257,المنيو!$B$2:$B$500,0)),0))</f>
        <v/>
      </c>
      <c r="F257" s="103" t="str">
        <f aca="false">IF($C257="","",$D257*$E257)</f>
        <v/>
      </c>
      <c r="G257" s="103" t="str">
        <f aca="false">IF($C257="","",$D257*IFERROR(INDEX('تحليل التكلفة والسعر'!$C$2:$C$700,MATCH($C257,'تحليل التكلفة والسعر'!$B$2:$B$700,0)),0))</f>
        <v/>
      </c>
    </row>
    <row r="258" customFormat="false" ht="15" hidden="false" customHeight="false" outlineLevel="0" collapsed="false">
      <c r="A258" s="102"/>
      <c r="E258" s="103" t="str">
        <f aca="false">IF($C258="","",IFERROR(INDEX(المنيو!$C$2:$C$500,MATCH($C258,المنيو!$B$2:$B$500,0)),0))</f>
        <v/>
      </c>
      <c r="F258" s="103" t="str">
        <f aca="false">IF($C258="","",$D258*$E258)</f>
        <v/>
      </c>
      <c r="G258" s="103" t="str">
        <f aca="false">IF($C258="","",$D258*IFERROR(INDEX('تحليل التكلفة والسعر'!$C$2:$C$700,MATCH($C258,'تحليل التكلفة والسعر'!$B$2:$B$700,0)),0))</f>
        <v/>
      </c>
    </row>
    <row r="259" customFormat="false" ht="15" hidden="false" customHeight="false" outlineLevel="0" collapsed="false">
      <c r="A259" s="102"/>
      <c r="E259" s="103" t="str">
        <f aca="false">IF($C259="","",IFERROR(INDEX(المنيو!$C$2:$C$500,MATCH($C259,المنيو!$B$2:$B$500,0)),0))</f>
        <v/>
      </c>
      <c r="F259" s="103" t="str">
        <f aca="false">IF($C259="","",$D259*$E259)</f>
        <v/>
      </c>
      <c r="G259" s="103" t="str">
        <f aca="false">IF($C259="","",$D259*IFERROR(INDEX('تحليل التكلفة والسعر'!$C$2:$C$700,MATCH($C259,'تحليل التكلفة والسعر'!$B$2:$B$700,0)),0))</f>
        <v/>
      </c>
    </row>
    <row r="260" customFormat="false" ht="15" hidden="false" customHeight="false" outlineLevel="0" collapsed="false">
      <c r="A260" s="102"/>
      <c r="E260" s="103" t="str">
        <f aca="false">IF($C260="","",IFERROR(INDEX(المنيو!$C$2:$C$500,MATCH($C260,المنيو!$B$2:$B$500,0)),0))</f>
        <v/>
      </c>
      <c r="F260" s="103" t="str">
        <f aca="false">IF($C260="","",$D260*$E260)</f>
        <v/>
      </c>
      <c r="G260" s="103" t="str">
        <f aca="false">IF($C260="","",$D260*IFERROR(INDEX('تحليل التكلفة والسعر'!$C$2:$C$700,MATCH($C260,'تحليل التكلفة والسعر'!$B$2:$B$700,0)),0))</f>
        <v/>
      </c>
    </row>
    <row r="261" customFormat="false" ht="15" hidden="false" customHeight="false" outlineLevel="0" collapsed="false">
      <c r="A261" s="102"/>
      <c r="E261" s="103" t="str">
        <f aca="false">IF($C261="","",IFERROR(INDEX(المنيو!$C$2:$C$500,MATCH($C261,المنيو!$B$2:$B$500,0)),0))</f>
        <v/>
      </c>
      <c r="F261" s="103" t="str">
        <f aca="false">IF($C261="","",$D261*$E261)</f>
        <v/>
      </c>
      <c r="G261" s="103" t="str">
        <f aca="false">IF($C261="","",$D261*IFERROR(INDEX('تحليل التكلفة والسعر'!$C$2:$C$700,MATCH($C261,'تحليل التكلفة والسعر'!$B$2:$B$700,0)),0))</f>
        <v/>
      </c>
    </row>
    <row r="262" customFormat="false" ht="15" hidden="false" customHeight="false" outlineLevel="0" collapsed="false">
      <c r="A262" s="102"/>
      <c r="E262" s="103" t="str">
        <f aca="false">IF($C262="","",IFERROR(INDEX(المنيو!$C$2:$C$500,MATCH($C262,المنيو!$B$2:$B$500,0)),0))</f>
        <v/>
      </c>
      <c r="F262" s="103" t="str">
        <f aca="false">IF($C262="","",$D262*$E262)</f>
        <v/>
      </c>
      <c r="G262" s="103" t="str">
        <f aca="false">IF($C262="","",$D262*IFERROR(INDEX('تحليل التكلفة والسعر'!$C$2:$C$700,MATCH($C262,'تحليل التكلفة والسعر'!$B$2:$B$700,0)),0))</f>
        <v/>
      </c>
    </row>
    <row r="263" customFormat="false" ht="15" hidden="false" customHeight="false" outlineLevel="0" collapsed="false">
      <c r="A263" s="102"/>
      <c r="E263" s="103" t="str">
        <f aca="false">IF($C263="","",IFERROR(INDEX(المنيو!$C$2:$C$500,MATCH($C263,المنيو!$B$2:$B$500,0)),0))</f>
        <v/>
      </c>
      <c r="F263" s="103" t="str">
        <f aca="false">IF($C263="","",$D263*$E263)</f>
        <v/>
      </c>
      <c r="G263" s="103" t="str">
        <f aca="false">IF($C263="","",$D263*IFERROR(INDEX('تحليل التكلفة والسعر'!$C$2:$C$700,MATCH($C263,'تحليل التكلفة والسعر'!$B$2:$B$700,0)),0))</f>
        <v/>
      </c>
    </row>
    <row r="264" customFormat="false" ht="15" hidden="false" customHeight="false" outlineLevel="0" collapsed="false">
      <c r="A264" s="102"/>
      <c r="E264" s="103" t="str">
        <f aca="false">IF($C264="","",IFERROR(INDEX(المنيو!$C$2:$C$500,MATCH($C264,المنيو!$B$2:$B$500,0)),0))</f>
        <v/>
      </c>
      <c r="F264" s="103" t="str">
        <f aca="false">IF($C264="","",$D264*$E264)</f>
        <v/>
      </c>
      <c r="G264" s="103" t="str">
        <f aca="false">IF($C264="","",$D264*IFERROR(INDEX('تحليل التكلفة والسعر'!$C$2:$C$700,MATCH($C264,'تحليل التكلفة والسعر'!$B$2:$B$700,0)),0))</f>
        <v/>
      </c>
    </row>
    <row r="265" customFormat="false" ht="15" hidden="false" customHeight="false" outlineLevel="0" collapsed="false">
      <c r="A265" s="102"/>
      <c r="E265" s="103" t="str">
        <f aca="false">IF($C265="","",IFERROR(INDEX(المنيو!$C$2:$C$500,MATCH($C265,المنيو!$B$2:$B$500,0)),0))</f>
        <v/>
      </c>
      <c r="F265" s="103" t="str">
        <f aca="false">IF($C265="","",$D265*$E265)</f>
        <v/>
      </c>
      <c r="G265" s="103" t="str">
        <f aca="false">IF($C265="","",$D265*IFERROR(INDEX('تحليل التكلفة والسعر'!$C$2:$C$700,MATCH($C265,'تحليل التكلفة والسعر'!$B$2:$B$700,0)),0))</f>
        <v/>
      </c>
    </row>
    <row r="266" customFormat="false" ht="15" hidden="false" customHeight="false" outlineLevel="0" collapsed="false">
      <c r="A266" s="102"/>
      <c r="E266" s="103" t="str">
        <f aca="false">IF($C266="","",IFERROR(INDEX(المنيو!$C$2:$C$500,MATCH($C266,المنيو!$B$2:$B$500,0)),0))</f>
        <v/>
      </c>
      <c r="F266" s="103" t="str">
        <f aca="false">IF($C266="","",$D266*$E266)</f>
        <v/>
      </c>
      <c r="G266" s="103" t="str">
        <f aca="false">IF($C266="","",$D266*IFERROR(INDEX('تحليل التكلفة والسعر'!$C$2:$C$700,MATCH($C266,'تحليل التكلفة والسعر'!$B$2:$B$700,0)),0))</f>
        <v/>
      </c>
    </row>
    <row r="267" customFormat="false" ht="15" hidden="false" customHeight="false" outlineLevel="0" collapsed="false">
      <c r="A267" s="102"/>
      <c r="E267" s="103" t="str">
        <f aca="false">IF($C267="","",IFERROR(INDEX(المنيو!$C$2:$C$500,MATCH($C267,المنيو!$B$2:$B$500,0)),0))</f>
        <v/>
      </c>
      <c r="F267" s="103" t="str">
        <f aca="false">IF($C267="","",$D267*$E267)</f>
        <v/>
      </c>
      <c r="G267" s="103" t="str">
        <f aca="false">IF($C267="","",$D267*IFERROR(INDEX('تحليل التكلفة والسعر'!$C$2:$C$700,MATCH($C267,'تحليل التكلفة والسعر'!$B$2:$B$700,0)),0))</f>
        <v/>
      </c>
    </row>
    <row r="268" customFormat="false" ht="15" hidden="false" customHeight="false" outlineLevel="0" collapsed="false">
      <c r="A268" s="102"/>
      <c r="E268" s="103" t="str">
        <f aca="false">IF($C268="","",IFERROR(INDEX(المنيو!$C$2:$C$500,MATCH($C268,المنيو!$B$2:$B$500,0)),0))</f>
        <v/>
      </c>
      <c r="F268" s="103" t="str">
        <f aca="false">IF($C268="","",$D268*$E268)</f>
        <v/>
      </c>
      <c r="G268" s="103" t="str">
        <f aca="false">IF($C268="","",$D268*IFERROR(INDEX('تحليل التكلفة والسعر'!$C$2:$C$700,MATCH($C268,'تحليل التكلفة والسعر'!$B$2:$B$700,0)),0))</f>
        <v/>
      </c>
    </row>
    <row r="269" customFormat="false" ht="15" hidden="false" customHeight="false" outlineLevel="0" collapsed="false">
      <c r="A269" s="102"/>
      <c r="E269" s="103" t="str">
        <f aca="false">IF($C269="","",IFERROR(INDEX(المنيو!$C$2:$C$500,MATCH($C269,المنيو!$B$2:$B$500,0)),0))</f>
        <v/>
      </c>
      <c r="F269" s="103" t="str">
        <f aca="false">IF($C269="","",$D269*$E269)</f>
        <v/>
      </c>
      <c r="G269" s="103" t="str">
        <f aca="false">IF($C269="","",$D269*IFERROR(INDEX('تحليل التكلفة والسعر'!$C$2:$C$700,MATCH($C269,'تحليل التكلفة والسعر'!$B$2:$B$700,0)),0))</f>
        <v/>
      </c>
    </row>
    <row r="270" customFormat="false" ht="15" hidden="false" customHeight="false" outlineLevel="0" collapsed="false">
      <c r="A270" s="102"/>
      <c r="E270" s="103" t="str">
        <f aca="false">IF($C270="","",IFERROR(INDEX(المنيو!$C$2:$C$500,MATCH($C270,المنيو!$B$2:$B$500,0)),0))</f>
        <v/>
      </c>
      <c r="F270" s="103" t="str">
        <f aca="false">IF($C270="","",$D270*$E270)</f>
        <v/>
      </c>
      <c r="G270" s="103" t="str">
        <f aca="false">IF($C270="","",$D270*IFERROR(INDEX('تحليل التكلفة والسعر'!$C$2:$C$700,MATCH($C270,'تحليل التكلفة والسعر'!$B$2:$B$700,0)),0))</f>
        <v/>
      </c>
    </row>
    <row r="271" customFormat="false" ht="15" hidden="false" customHeight="false" outlineLevel="0" collapsed="false">
      <c r="A271" s="102"/>
      <c r="E271" s="103" t="str">
        <f aca="false">IF($C271="","",IFERROR(INDEX(المنيو!$C$2:$C$500,MATCH($C271,المنيو!$B$2:$B$500,0)),0))</f>
        <v/>
      </c>
      <c r="F271" s="103" t="str">
        <f aca="false">IF($C271="","",$D271*$E271)</f>
        <v/>
      </c>
      <c r="G271" s="103" t="str">
        <f aca="false">IF($C271="","",$D271*IFERROR(INDEX('تحليل التكلفة والسعر'!$C$2:$C$700,MATCH($C271,'تحليل التكلفة والسعر'!$B$2:$B$700,0)),0))</f>
        <v/>
      </c>
    </row>
    <row r="272" customFormat="false" ht="15" hidden="false" customHeight="false" outlineLevel="0" collapsed="false">
      <c r="A272" s="102"/>
      <c r="E272" s="103" t="str">
        <f aca="false">IF($C272="","",IFERROR(INDEX(المنيو!$C$2:$C$500,MATCH($C272,المنيو!$B$2:$B$500,0)),0))</f>
        <v/>
      </c>
      <c r="F272" s="103" t="str">
        <f aca="false">IF($C272="","",$D272*$E272)</f>
        <v/>
      </c>
      <c r="G272" s="103" t="str">
        <f aca="false">IF($C272="","",$D272*IFERROR(INDEX('تحليل التكلفة والسعر'!$C$2:$C$700,MATCH($C272,'تحليل التكلفة والسعر'!$B$2:$B$700,0)),0))</f>
        <v/>
      </c>
    </row>
    <row r="273" customFormat="false" ht="15" hidden="false" customHeight="false" outlineLevel="0" collapsed="false">
      <c r="A273" s="102"/>
      <c r="E273" s="103" t="str">
        <f aca="false">IF($C273="","",IFERROR(INDEX(المنيو!$C$2:$C$500,MATCH($C273,المنيو!$B$2:$B$500,0)),0))</f>
        <v/>
      </c>
      <c r="F273" s="103" t="str">
        <f aca="false">IF($C273="","",$D273*$E273)</f>
        <v/>
      </c>
      <c r="G273" s="103" t="str">
        <f aca="false">IF($C273="","",$D273*IFERROR(INDEX('تحليل التكلفة والسعر'!$C$2:$C$700,MATCH($C273,'تحليل التكلفة والسعر'!$B$2:$B$700,0)),0))</f>
        <v/>
      </c>
    </row>
    <row r="274" customFormat="false" ht="15" hidden="false" customHeight="false" outlineLevel="0" collapsed="false">
      <c r="A274" s="102"/>
      <c r="E274" s="103" t="str">
        <f aca="false">IF($C274="","",IFERROR(INDEX(المنيو!$C$2:$C$500,MATCH($C274,المنيو!$B$2:$B$500,0)),0))</f>
        <v/>
      </c>
      <c r="F274" s="103" t="str">
        <f aca="false">IF($C274="","",$D274*$E274)</f>
        <v/>
      </c>
      <c r="G274" s="103" t="str">
        <f aca="false">IF($C274="","",$D274*IFERROR(INDEX('تحليل التكلفة والسعر'!$C$2:$C$700,MATCH($C274,'تحليل التكلفة والسعر'!$B$2:$B$700,0)),0))</f>
        <v/>
      </c>
    </row>
    <row r="275" customFormat="false" ht="15" hidden="false" customHeight="false" outlineLevel="0" collapsed="false">
      <c r="A275" s="102"/>
      <c r="E275" s="103" t="str">
        <f aca="false">IF($C275="","",IFERROR(INDEX(المنيو!$C$2:$C$500,MATCH($C275,المنيو!$B$2:$B$500,0)),0))</f>
        <v/>
      </c>
      <c r="F275" s="103" t="str">
        <f aca="false">IF($C275="","",$D275*$E275)</f>
        <v/>
      </c>
      <c r="G275" s="103" t="str">
        <f aca="false">IF($C275="","",$D275*IFERROR(INDEX('تحليل التكلفة والسعر'!$C$2:$C$700,MATCH($C275,'تحليل التكلفة والسعر'!$B$2:$B$700,0)),0))</f>
        <v/>
      </c>
    </row>
    <row r="276" customFormat="false" ht="15" hidden="false" customHeight="false" outlineLevel="0" collapsed="false">
      <c r="A276" s="102"/>
      <c r="E276" s="103" t="str">
        <f aca="false">IF($C276="","",IFERROR(INDEX(المنيو!$C$2:$C$500,MATCH($C276,المنيو!$B$2:$B$500,0)),0))</f>
        <v/>
      </c>
      <c r="F276" s="103" t="str">
        <f aca="false">IF($C276="","",$D276*$E276)</f>
        <v/>
      </c>
      <c r="G276" s="103" t="str">
        <f aca="false">IF($C276="","",$D276*IFERROR(INDEX('تحليل التكلفة والسعر'!$C$2:$C$700,MATCH($C276,'تحليل التكلفة والسعر'!$B$2:$B$700,0)),0))</f>
        <v/>
      </c>
    </row>
    <row r="277" customFormat="false" ht="15" hidden="false" customHeight="false" outlineLevel="0" collapsed="false">
      <c r="A277" s="102"/>
      <c r="E277" s="103" t="str">
        <f aca="false">IF($C277="","",IFERROR(INDEX(المنيو!$C$2:$C$500,MATCH($C277,المنيو!$B$2:$B$500,0)),0))</f>
        <v/>
      </c>
      <c r="F277" s="103" t="str">
        <f aca="false">IF($C277="","",$D277*$E277)</f>
        <v/>
      </c>
      <c r="G277" s="103" t="str">
        <f aca="false">IF($C277="","",$D277*IFERROR(INDEX('تحليل التكلفة والسعر'!$C$2:$C$700,MATCH($C277,'تحليل التكلفة والسعر'!$B$2:$B$700,0)),0))</f>
        <v/>
      </c>
    </row>
    <row r="278" customFormat="false" ht="15" hidden="false" customHeight="false" outlineLevel="0" collapsed="false">
      <c r="A278" s="102"/>
      <c r="E278" s="103" t="str">
        <f aca="false">IF($C278="","",IFERROR(INDEX(المنيو!$C$2:$C$500,MATCH($C278,المنيو!$B$2:$B$500,0)),0))</f>
        <v/>
      </c>
      <c r="F278" s="103" t="str">
        <f aca="false">IF($C278="","",$D278*$E278)</f>
        <v/>
      </c>
      <c r="G278" s="103" t="str">
        <f aca="false">IF($C278="","",$D278*IFERROR(INDEX('تحليل التكلفة والسعر'!$C$2:$C$700,MATCH($C278,'تحليل التكلفة والسعر'!$B$2:$B$700,0)),0))</f>
        <v/>
      </c>
    </row>
    <row r="279" customFormat="false" ht="15" hidden="false" customHeight="false" outlineLevel="0" collapsed="false">
      <c r="A279" s="102"/>
      <c r="E279" s="103" t="str">
        <f aca="false">IF($C279="","",IFERROR(INDEX(المنيو!$C$2:$C$500,MATCH($C279,المنيو!$B$2:$B$500,0)),0))</f>
        <v/>
      </c>
      <c r="F279" s="103" t="str">
        <f aca="false">IF($C279="","",$D279*$E279)</f>
        <v/>
      </c>
      <c r="G279" s="103" t="str">
        <f aca="false">IF($C279="","",$D279*IFERROR(INDEX('تحليل التكلفة والسعر'!$C$2:$C$700,MATCH($C279,'تحليل التكلفة والسعر'!$B$2:$B$700,0)),0))</f>
        <v/>
      </c>
    </row>
    <row r="280" customFormat="false" ht="15" hidden="false" customHeight="false" outlineLevel="0" collapsed="false">
      <c r="A280" s="102"/>
      <c r="E280" s="103" t="str">
        <f aca="false">IF($C280="","",IFERROR(INDEX(المنيو!$C$2:$C$500,MATCH($C280,المنيو!$B$2:$B$500,0)),0))</f>
        <v/>
      </c>
      <c r="F280" s="103" t="str">
        <f aca="false">IF($C280="","",$D280*$E280)</f>
        <v/>
      </c>
      <c r="G280" s="103" t="str">
        <f aca="false">IF($C280="","",$D280*IFERROR(INDEX('تحليل التكلفة والسعر'!$C$2:$C$700,MATCH($C280,'تحليل التكلفة والسعر'!$B$2:$B$700,0)),0))</f>
        <v/>
      </c>
    </row>
    <row r="281" customFormat="false" ht="15" hidden="false" customHeight="false" outlineLevel="0" collapsed="false">
      <c r="A281" s="102"/>
      <c r="E281" s="103" t="str">
        <f aca="false">IF($C281="","",IFERROR(INDEX(المنيو!$C$2:$C$500,MATCH($C281,المنيو!$B$2:$B$500,0)),0))</f>
        <v/>
      </c>
      <c r="F281" s="103" t="str">
        <f aca="false">IF($C281="","",$D281*$E281)</f>
        <v/>
      </c>
      <c r="G281" s="103" t="str">
        <f aca="false">IF($C281="","",$D281*IFERROR(INDEX('تحليل التكلفة والسعر'!$C$2:$C$700,MATCH($C281,'تحليل التكلفة والسعر'!$B$2:$B$700,0)),0))</f>
        <v/>
      </c>
    </row>
    <row r="282" customFormat="false" ht="15" hidden="false" customHeight="false" outlineLevel="0" collapsed="false">
      <c r="A282" s="102"/>
      <c r="E282" s="103" t="str">
        <f aca="false">IF($C282="","",IFERROR(INDEX(المنيو!$C$2:$C$500,MATCH($C282,المنيو!$B$2:$B$500,0)),0))</f>
        <v/>
      </c>
      <c r="F282" s="103" t="str">
        <f aca="false">IF($C282="","",$D282*$E282)</f>
        <v/>
      </c>
      <c r="G282" s="103" t="str">
        <f aca="false">IF($C282="","",$D282*IFERROR(INDEX('تحليل التكلفة والسعر'!$C$2:$C$700,MATCH($C282,'تحليل التكلفة والسعر'!$B$2:$B$700,0)),0))</f>
        <v/>
      </c>
    </row>
    <row r="283" customFormat="false" ht="15" hidden="false" customHeight="false" outlineLevel="0" collapsed="false">
      <c r="A283" s="102"/>
      <c r="E283" s="103" t="str">
        <f aca="false">IF($C283="","",IFERROR(INDEX(المنيو!$C$2:$C$500,MATCH($C283,المنيو!$B$2:$B$500,0)),0))</f>
        <v/>
      </c>
      <c r="F283" s="103" t="str">
        <f aca="false">IF($C283="","",$D283*$E283)</f>
        <v/>
      </c>
      <c r="G283" s="103" t="str">
        <f aca="false">IF($C283="","",$D283*IFERROR(INDEX('تحليل التكلفة والسعر'!$C$2:$C$700,MATCH($C283,'تحليل التكلفة والسعر'!$B$2:$B$700,0)),0))</f>
        <v/>
      </c>
    </row>
    <row r="284" customFormat="false" ht="15" hidden="false" customHeight="false" outlineLevel="0" collapsed="false">
      <c r="A284" s="102"/>
      <c r="E284" s="103" t="str">
        <f aca="false">IF($C284="","",IFERROR(INDEX(المنيو!$C$2:$C$500,MATCH($C284,المنيو!$B$2:$B$500,0)),0))</f>
        <v/>
      </c>
      <c r="F284" s="103" t="str">
        <f aca="false">IF($C284="","",$D284*$E284)</f>
        <v/>
      </c>
      <c r="G284" s="103" t="str">
        <f aca="false">IF($C284="","",$D284*IFERROR(INDEX('تحليل التكلفة والسعر'!$C$2:$C$700,MATCH($C284,'تحليل التكلفة والسعر'!$B$2:$B$700,0)),0))</f>
        <v/>
      </c>
    </row>
    <row r="285" customFormat="false" ht="15" hidden="false" customHeight="false" outlineLevel="0" collapsed="false">
      <c r="A285" s="102"/>
      <c r="E285" s="103" t="str">
        <f aca="false">IF($C285="","",IFERROR(INDEX(المنيو!$C$2:$C$500,MATCH($C285,المنيو!$B$2:$B$500,0)),0))</f>
        <v/>
      </c>
      <c r="F285" s="103" t="str">
        <f aca="false">IF($C285="","",$D285*$E285)</f>
        <v/>
      </c>
      <c r="G285" s="103" t="str">
        <f aca="false">IF($C285="","",$D285*IFERROR(INDEX('تحليل التكلفة والسعر'!$C$2:$C$700,MATCH($C285,'تحليل التكلفة والسعر'!$B$2:$B$700,0)),0))</f>
        <v/>
      </c>
    </row>
    <row r="286" customFormat="false" ht="15" hidden="false" customHeight="false" outlineLevel="0" collapsed="false">
      <c r="A286" s="102"/>
      <c r="E286" s="103" t="str">
        <f aca="false">IF($C286="","",IFERROR(INDEX(المنيو!$C$2:$C$500,MATCH($C286,المنيو!$B$2:$B$500,0)),0))</f>
        <v/>
      </c>
      <c r="F286" s="103" t="str">
        <f aca="false">IF($C286="","",$D286*$E286)</f>
        <v/>
      </c>
      <c r="G286" s="103" t="str">
        <f aca="false">IF($C286="","",$D286*IFERROR(INDEX('تحليل التكلفة والسعر'!$C$2:$C$700,MATCH($C286,'تحليل التكلفة والسعر'!$B$2:$B$700,0)),0))</f>
        <v/>
      </c>
    </row>
    <row r="287" customFormat="false" ht="15" hidden="false" customHeight="false" outlineLevel="0" collapsed="false">
      <c r="A287" s="102"/>
      <c r="E287" s="103" t="str">
        <f aca="false">IF($C287="","",IFERROR(INDEX(المنيو!$C$2:$C$500,MATCH($C287,المنيو!$B$2:$B$500,0)),0))</f>
        <v/>
      </c>
      <c r="F287" s="103" t="str">
        <f aca="false">IF($C287="","",$D287*$E287)</f>
        <v/>
      </c>
      <c r="G287" s="103" t="str">
        <f aca="false">IF($C287="","",$D287*IFERROR(INDEX('تحليل التكلفة والسعر'!$C$2:$C$700,MATCH($C287,'تحليل التكلفة والسعر'!$B$2:$B$700,0)),0))</f>
        <v/>
      </c>
    </row>
    <row r="288" customFormat="false" ht="15" hidden="false" customHeight="false" outlineLevel="0" collapsed="false">
      <c r="A288" s="102"/>
      <c r="E288" s="103" t="str">
        <f aca="false">IF($C288="","",IFERROR(INDEX(المنيو!$C$2:$C$500,MATCH($C288,المنيو!$B$2:$B$500,0)),0))</f>
        <v/>
      </c>
      <c r="F288" s="103" t="str">
        <f aca="false">IF($C288="","",$D288*$E288)</f>
        <v/>
      </c>
      <c r="G288" s="103" t="str">
        <f aca="false">IF($C288="","",$D288*IFERROR(INDEX('تحليل التكلفة والسعر'!$C$2:$C$700,MATCH($C288,'تحليل التكلفة والسعر'!$B$2:$B$700,0)),0))</f>
        <v/>
      </c>
    </row>
    <row r="289" customFormat="false" ht="15" hidden="false" customHeight="false" outlineLevel="0" collapsed="false">
      <c r="A289" s="102"/>
      <c r="E289" s="103" t="str">
        <f aca="false">IF($C289="","",IFERROR(INDEX(المنيو!$C$2:$C$500,MATCH($C289,المنيو!$B$2:$B$500,0)),0))</f>
        <v/>
      </c>
      <c r="F289" s="103" t="str">
        <f aca="false">IF($C289="","",$D289*$E289)</f>
        <v/>
      </c>
      <c r="G289" s="103" t="str">
        <f aca="false">IF($C289="","",$D289*IFERROR(INDEX('تحليل التكلفة والسعر'!$C$2:$C$700,MATCH($C289,'تحليل التكلفة والسعر'!$B$2:$B$700,0)),0))</f>
        <v/>
      </c>
    </row>
    <row r="290" customFormat="false" ht="15" hidden="false" customHeight="false" outlineLevel="0" collapsed="false">
      <c r="A290" s="102"/>
      <c r="E290" s="103" t="str">
        <f aca="false">IF($C290="","",IFERROR(INDEX(المنيو!$C$2:$C$500,MATCH($C290,المنيو!$B$2:$B$500,0)),0))</f>
        <v/>
      </c>
      <c r="F290" s="103" t="str">
        <f aca="false">IF($C290="","",$D290*$E290)</f>
        <v/>
      </c>
      <c r="G290" s="103" t="str">
        <f aca="false">IF($C290="","",$D290*IFERROR(INDEX('تحليل التكلفة والسعر'!$C$2:$C$700,MATCH($C290,'تحليل التكلفة والسعر'!$B$2:$B$700,0)),0))</f>
        <v/>
      </c>
    </row>
    <row r="291" customFormat="false" ht="15" hidden="false" customHeight="false" outlineLevel="0" collapsed="false">
      <c r="A291" s="102"/>
      <c r="E291" s="103" t="str">
        <f aca="false">IF($C291="","",IFERROR(INDEX(المنيو!$C$2:$C$500,MATCH($C291,المنيو!$B$2:$B$500,0)),0))</f>
        <v/>
      </c>
      <c r="F291" s="103" t="str">
        <f aca="false">IF($C291="","",$D291*$E291)</f>
        <v/>
      </c>
      <c r="G291" s="103" t="str">
        <f aca="false">IF($C291="","",$D291*IFERROR(INDEX('تحليل التكلفة والسعر'!$C$2:$C$700,MATCH($C291,'تحليل التكلفة والسعر'!$B$2:$B$700,0)),0))</f>
        <v/>
      </c>
    </row>
    <row r="292" customFormat="false" ht="15" hidden="false" customHeight="false" outlineLevel="0" collapsed="false">
      <c r="A292" s="102"/>
      <c r="E292" s="103" t="str">
        <f aca="false">IF($C292="","",IFERROR(INDEX(المنيو!$C$2:$C$500,MATCH($C292,المنيو!$B$2:$B$500,0)),0))</f>
        <v/>
      </c>
      <c r="F292" s="103" t="str">
        <f aca="false">IF($C292="","",$D292*$E292)</f>
        <v/>
      </c>
      <c r="G292" s="103" t="str">
        <f aca="false">IF($C292="","",$D292*IFERROR(INDEX('تحليل التكلفة والسعر'!$C$2:$C$700,MATCH($C292,'تحليل التكلفة والسعر'!$B$2:$B$700,0)),0))</f>
        <v/>
      </c>
    </row>
    <row r="293" customFormat="false" ht="15" hidden="false" customHeight="false" outlineLevel="0" collapsed="false">
      <c r="A293" s="102"/>
      <c r="E293" s="103" t="str">
        <f aca="false">IF($C293="","",IFERROR(INDEX(المنيو!$C$2:$C$500,MATCH($C293,المنيو!$B$2:$B$500,0)),0))</f>
        <v/>
      </c>
      <c r="F293" s="103" t="str">
        <f aca="false">IF($C293="","",$D293*$E293)</f>
        <v/>
      </c>
      <c r="G293" s="103" t="str">
        <f aca="false">IF($C293="","",$D293*IFERROR(INDEX('تحليل التكلفة والسعر'!$C$2:$C$700,MATCH($C293,'تحليل التكلفة والسعر'!$B$2:$B$700,0)),0))</f>
        <v/>
      </c>
    </row>
    <row r="294" customFormat="false" ht="15" hidden="false" customHeight="false" outlineLevel="0" collapsed="false">
      <c r="A294" s="102"/>
      <c r="E294" s="103" t="str">
        <f aca="false">IF($C294="","",IFERROR(INDEX(المنيو!$C$2:$C$500,MATCH($C294,المنيو!$B$2:$B$500,0)),0))</f>
        <v/>
      </c>
      <c r="F294" s="103" t="str">
        <f aca="false">IF($C294="","",$D294*$E294)</f>
        <v/>
      </c>
      <c r="G294" s="103" t="str">
        <f aca="false">IF($C294="","",$D294*IFERROR(INDEX('تحليل التكلفة والسعر'!$C$2:$C$700,MATCH($C294,'تحليل التكلفة والسعر'!$B$2:$B$700,0)),0))</f>
        <v/>
      </c>
    </row>
    <row r="295" customFormat="false" ht="15" hidden="false" customHeight="false" outlineLevel="0" collapsed="false">
      <c r="A295" s="102"/>
      <c r="E295" s="103" t="str">
        <f aca="false">IF($C295="","",IFERROR(INDEX(المنيو!$C$2:$C$500,MATCH($C295,المنيو!$B$2:$B$500,0)),0))</f>
        <v/>
      </c>
      <c r="F295" s="103" t="str">
        <f aca="false">IF($C295="","",$D295*$E295)</f>
        <v/>
      </c>
      <c r="G295" s="103" t="str">
        <f aca="false">IF($C295="","",$D295*IFERROR(INDEX('تحليل التكلفة والسعر'!$C$2:$C$700,MATCH($C295,'تحليل التكلفة والسعر'!$B$2:$B$700,0)),0))</f>
        <v/>
      </c>
    </row>
    <row r="296" customFormat="false" ht="15" hidden="false" customHeight="false" outlineLevel="0" collapsed="false">
      <c r="A296" s="102"/>
      <c r="E296" s="103" t="str">
        <f aca="false">IF($C296="","",IFERROR(INDEX(المنيو!$C$2:$C$500,MATCH($C296,المنيو!$B$2:$B$500,0)),0))</f>
        <v/>
      </c>
      <c r="F296" s="103" t="str">
        <f aca="false">IF($C296="","",$D296*$E296)</f>
        <v/>
      </c>
      <c r="G296" s="103" t="str">
        <f aca="false">IF($C296="","",$D296*IFERROR(INDEX('تحليل التكلفة والسعر'!$C$2:$C$700,MATCH($C296,'تحليل التكلفة والسعر'!$B$2:$B$700,0)),0))</f>
        <v/>
      </c>
    </row>
    <row r="297" customFormat="false" ht="15" hidden="false" customHeight="false" outlineLevel="0" collapsed="false">
      <c r="A297" s="102"/>
      <c r="E297" s="103" t="str">
        <f aca="false">IF($C297="","",IFERROR(INDEX(المنيو!$C$2:$C$500,MATCH($C297,المنيو!$B$2:$B$500,0)),0))</f>
        <v/>
      </c>
      <c r="F297" s="103" t="str">
        <f aca="false">IF($C297="","",$D297*$E297)</f>
        <v/>
      </c>
      <c r="G297" s="103" t="str">
        <f aca="false">IF($C297="","",$D297*IFERROR(INDEX('تحليل التكلفة والسعر'!$C$2:$C$700,MATCH($C297,'تحليل التكلفة والسعر'!$B$2:$B$700,0)),0))</f>
        <v/>
      </c>
    </row>
    <row r="298" customFormat="false" ht="15" hidden="false" customHeight="false" outlineLevel="0" collapsed="false">
      <c r="A298" s="102"/>
      <c r="E298" s="103" t="str">
        <f aca="false">IF($C298="","",IFERROR(INDEX(المنيو!$C$2:$C$500,MATCH($C298,المنيو!$B$2:$B$500,0)),0))</f>
        <v/>
      </c>
      <c r="F298" s="103" t="str">
        <f aca="false">IF($C298="","",$D298*$E298)</f>
        <v/>
      </c>
      <c r="G298" s="103" t="str">
        <f aca="false">IF($C298="","",$D298*IFERROR(INDEX('تحليل التكلفة والسعر'!$C$2:$C$700,MATCH($C298,'تحليل التكلفة والسعر'!$B$2:$B$700,0)),0))</f>
        <v/>
      </c>
    </row>
    <row r="299" customFormat="false" ht="15" hidden="false" customHeight="false" outlineLevel="0" collapsed="false">
      <c r="A299" s="102"/>
      <c r="E299" s="103" t="str">
        <f aca="false">IF($C299="","",IFERROR(INDEX(المنيو!$C$2:$C$500,MATCH($C299,المنيو!$B$2:$B$500,0)),0))</f>
        <v/>
      </c>
      <c r="F299" s="103" t="str">
        <f aca="false">IF($C299="","",$D299*$E299)</f>
        <v/>
      </c>
      <c r="G299" s="103" t="str">
        <f aca="false">IF($C299="","",$D299*IFERROR(INDEX('تحليل التكلفة والسعر'!$C$2:$C$700,MATCH($C299,'تحليل التكلفة والسعر'!$B$2:$B$700,0)),0))</f>
        <v/>
      </c>
    </row>
    <row r="300" customFormat="false" ht="15" hidden="false" customHeight="false" outlineLevel="0" collapsed="false">
      <c r="A300" s="102"/>
      <c r="E300" s="103" t="str">
        <f aca="false">IF($C300="","",IFERROR(INDEX(المنيو!$C$2:$C$500,MATCH($C300,المنيو!$B$2:$B$500,0)),0))</f>
        <v/>
      </c>
      <c r="F300" s="103" t="str">
        <f aca="false">IF($C300="","",$D300*$E300)</f>
        <v/>
      </c>
      <c r="G300" s="103" t="str">
        <f aca="false">IF($C300="","",$D300*IFERROR(INDEX('تحليل التكلفة والسعر'!$C$2:$C$700,MATCH($C300,'تحليل التكلفة والسعر'!$B$2:$B$700,0)),0))</f>
        <v/>
      </c>
    </row>
    <row r="301" customFormat="false" ht="15" hidden="false" customHeight="false" outlineLevel="0" collapsed="false">
      <c r="A301" s="102"/>
      <c r="E301" s="103" t="str">
        <f aca="false">IF($C301="","",IFERROR(INDEX(المنيو!$C$2:$C$500,MATCH($C301,المنيو!$B$2:$B$500,0)),0))</f>
        <v/>
      </c>
      <c r="F301" s="103" t="str">
        <f aca="false">IF($C301="","",$D301*$E301)</f>
        <v/>
      </c>
      <c r="G301" s="103" t="str">
        <f aca="false">IF($C301="","",$D301*IFERROR(INDEX('تحليل التكلفة والسعر'!$C$2:$C$700,MATCH($C301,'تحليل التكلفة والسعر'!$B$2:$B$700,0)),0))</f>
        <v/>
      </c>
    </row>
    <row r="302" customFormat="false" ht="15" hidden="false" customHeight="false" outlineLevel="0" collapsed="false">
      <c r="A302" s="102"/>
      <c r="E302" s="103" t="str">
        <f aca="false">IF($C302="","",IFERROR(INDEX(المنيو!$C$2:$C$500,MATCH($C302,المنيو!$B$2:$B$500,0)),0))</f>
        <v/>
      </c>
      <c r="F302" s="103" t="str">
        <f aca="false">IF($C302="","",$D302*$E302)</f>
        <v/>
      </c>
      <c r="G302" s="103" t="str">
        <f aca="false">IF($C302="","",$D302*IFERROR(INDEX('تحليل التكلفة والسعر'!$C$2:$C$700,MATCH($C302,'تحليل التكلفة والسعر'!$B$2:$B$700,0)),0))</f>
        <v/>
      </c>
    </row>
    <row r="303" customFormat="false" ht="15" hidden="false" customHeight="false" outlineLevel="0" collapsed="false">
      <c r="A303" s="102"/>
      <c r="E303" s="103" t="str">
        <f aca="false">IF($C303="","",IFERROR(INDEX(المنيو!$C$2:$C$500,MATCH($C303,المنيو!$B$2:$B$500,0)),0))</f>
        <v/>
      </c>
      <c r="F303" s="103" t="str">
        <f aca="false">IF($C303="","",$D303*$E303)</f>
        <v/>
      </c>
      <c r="G303" s="103" t="str">
        <f aca="false">IF($C303="","",$D303*IFERROR(INDEX('تحليل التكلفة والسعر'!$C$2:$C$700,MATCH($C303,'تحليل التكلفة والسعر'!$B$2:$B$700,0)),0))</f>
        <v/>
      </c>
    </row>
    <row r="304" customFormat="false" ht="15" hidden="false" customHeight="false" outlineLevel="0" collapsed="false">
      <c r="A304" s="102"/>
      <c r="E304" s="103" t="str">
        <f aca="false">IF($C304="","",IFERROR(INDEX(المنيو!$C$2:$C$500,MATCH($C304,المنيو!$B$2:$B$500,0)),0))</f>
        <v/>
      </c>
      <c r="F304" s="103" t="str">
        <f aca="false">IF($C304="","",$D304*$E304)</f>
        <v/>
      </c>
      <c r="G304" s="103" t="str">
        <f aca="false">IF($C304="","",$D304*IFERROR(INDEX('تحليل التكلفة والسعر'!$C$2:$C$700,MATCH($C304,'تحليل التكلفة والسعر'!$B$2:$B$700,0)),0))</f>
        <v/>
      </c>
    </row>
    <row r="305" customFormat="false" ht="15" hidden="false" customHeight="false" outlineLevel="0" collapsed="false">
      <c r="A305" s="102"/>
      <c r="E305" s="103" t="str">
        <f aca="false">IF($C305="","",IFERROR(INDEX(المنيو!$C$2:$C$500,MATCH($C305,المنيو!$B$2:$B$500,0)),0))</f>
        <v/>
      </c>
      <c r="F305" s="103" t="str">
        <f aca="false">IF($C305="","",$D305*$E305)</f>
        <v/>
      </c>
      <c r="G305" s="103" t="str">
        <f aca="false">IF($C305="","",$D305*IFERROR(INDEX('تحليل التكلفة والسعر'!$C$2:$C$700,MATCH($C305,'تحليل التكلفة والسعر'!$B$2:$B$700,0)),0))</f>
        <v/>
      </c>
    </row>
    <row r="306" customFormat="false" ht="15" hidden="false" customHeight="false" outlineLevel="0" collapsed="false">
      <c r="A306" s="102"/>
      <c r="E306" s="103" t="str">
        <f aca="false">IF($C306="","",IFERROR(INDEX(المنيو!$C$2:$C$500,MATCH($C306,المنيو!$B$2:$B$500,0)),0))</f>
        <v/>
      </c>
      <c r="F306" s="103" t="str">
        <f aca="false">IF($C306="","",$D306*$E306)</f>
        <v/>
      </c>
      <c r="G306" s="103" t="str">
        <f aca="false">IF($C306="","",$D306*IFERROR(INDEX('تحليل التكلفة والسعر'!$C$2:$C$700,MATCH($C306,'تحليل التكلفة والسعر'!$B$2:$B$700,0)),0))</f>
        <v/>
      </c>
    </row>
    <row r="307" customFormat="false" ht="15" hidden="false" customHeight="false" outlineLevel="0" collapsed="false">
      <c r="A307" s="102"/>
      <c r="E307" s="103" t="str">
        <f aca="false">IF($C307="","",IFERROR(INDEX(المنيو!$C$2:$C$500,MATCH($C307,المنيو!$B$2:$B$500,0)),0))</f>
        <v/>
      </c>
      <c r="F307" s="103" t="str">
        <f aca="false">IF($C307="","",$D307*$E307)</f>
        <v/>
      </c>
      <c r="G307" s="103" t="str">
        <f aca="false">IF($C307="","",$D307*IFERROR(INDEX('تحليل التكلفة والسعر'!$C$2:$C$700,MATCH($C307,'تحليل التكلفة والسعر'!$B$2:$B$700,0)),0))</f>
        <v/>
      </c>
    </row>
    <row r="308" customFormat="false" ht="15" hidden="false" customHeight="false" outlineLevel="0" collapsed="false">
      <c r="A308" s="102"/>
      <c r="E308" s="103" t="str">
        <f aca="false">IF($C308="","",IFERROR(INDEX(المنيو!$C$2:$C$500,MATCH($C308,المنيو!$B$2:$B$500,0)),0))</f>
        <v/>
      </c>
      <c r="F308" s="103" t="str">
        <f aca="false">IF($C308="","",$D308*$E308)</f>
        <v/>
      </c>
      <c r="G308" s="103" t="str">
        <f aca="false">IF($C308="","",$D308*IFERROR(INDEX('تحليل التكلفة والسعر'!$C$2:$C$700,MATCH($C308,'تحليل التكلفة والسعر'!$B$2:$B$700,0)),0))</f>
        <v/>
      </c>
    </row>
    <row r="309" customFormat="false" ht="15" hidden="false" customHeight="false" outlineLevel="0" collapsed="false">
      <c r="A309" s="102"/>
      <c r="E309" s="103" t="str">
        <f aca="false">IF($C309="","",IFERROR(INDEX(المنيو!$C$2:$C$500,MATCH($C309,المنيو!$B$2:$B$500,0)),0))</f>
        <v/>
      </c>
      <c r="F309" s="103" t="str">
        <f aca="false">IF($C309="","",$D309*$E309)</f>
        <v/>
      </c>
      <c r="G309" s="103" t="str">
        <f aca="false">IF($C309="","",$D309*IFERROR(INDEX('تحليل التكلفة والسعر'!$C$2:$C$700,MATCH($C309,'تحليل التكلفة والسعر'!$B$2:$B$700,0)),0))</f>
        <v/>
      </c>
    </row>
    <row r="310" customFormat="false" ht="15" hidden="false" customHeight="false" outlineLevel="0" collapsed="false">
      <c r="A310" s="102"/>
      <c r="E310" s="103" t="str">
        <f aca="false">IF($C310="","",IFERROR(INDEX(المنيو!$C$2:$C$500,MATCH($C310,المنيو!$B$2:$B$500,0)),0))</f>
        <v/>
      </c>
      <c r="F310" s="103" t="str">
        <f aca="false">IF($C310="","",$D310*$E310)</f>
        <v/>
      </c>
      <c r="G310" s="103" t="str">
        <f aca="false">IF($C310="","",$D310*IFERROR(INDEX('تحليل التكلفة والسعر'!$C$2:$C$700,MATCH($C310,'تحليل التكلفة والسعر'!$B$2:$B$700,0)),0))</f>
        <v/>
      </c>
    </row>
    <row r="311" customFormat="false" ht="15" hidden="false" customHeight="false" outlineLevel="0" collapsed="false">
      <c r="A311" s="102"/>
      <c r="E311" s="103" t="str">
        <f aca="false">IF($C311="","",IFERROR(INDEX(المنيو!$C$2:$C$500,MATCH($C311,المنيو!$B$2:$B$500,0)),0))</f>
        <v/>
      </c>
      <c r="F311" s="103" t="str">
        <f aca="false">IF($C311="","",$D311*$E311)</f>
        <v/>
      </c>
      <c r="G311" s="103" t="str">
        <f aca="false">IF($C311="","",$D311*IFERROR(INDEX('تحليل التكلفة والسعر'!$C$2:$C$700,MATCH($C311,'تحليل التكلفة والسعر'!$B$2:$B$700,0)),0))</f>
        <v/>
      </c>
    </row>
    <row r="312" customFormat="false" ht="15" hidden="false" customHeight="false" outlineLevel="0" collapsed="false">
      <c r="A312" s="102"/>
      <c r="E312" s="103" t="str">
        <f aca="false">IF($C312="","",IFERROR(INDEX(المنيو!$C$2:$C$500,MATCH($C312,المنيو!$B$2:$B$500,0)),0))</f>
        <v/>
      </c>
      <c r="F312" s="103" t="str">
        <f aca="false">IF($C312="","",$D312*$E312)</f>
        <v/>
      </c>
      <c r="G312" s="103" t="str">
        <f aca="false">IF($C312="","",$D312*IFERROR(INDEX('تحليل التكلفة والسعر'!$C$2:$C$700,MATCH($C312,'تحليل التكلفة والسعر'!$B$2:$B$700,0)),0))</f>
        <v/>
      </c>
    </row>
    <row r="313" customFormat="false" ht="15" hidden="false" customHeight="false" outlineLevel="0" collapsed="false">
      <c r="A313" s="102"/>
      <c r="E313" s="103" t="str">
        <f aca="false">IF($C313="","",IFERROR(INDEX(المنيو!$C$2:$C$500,MATCH($C313,المنيو!$B$2:$B$500,0)),0))</f>
        <v/>
      </c>
      <c r="F313" s="103" t="str">
        <f aca="false">IF($C313="","",$D313*$E313)</f>
        <v/>
      </c>
      <c r="G313" s="103" t="str">
        <f aca="false">IF($C313="","",$D313*IFERROR(INDEX('تحليل التكلفة والسعر'!$C$2:$C$700,MATCH($C313,'تحليل التكلفة والسعر'!$B$2:$B$700,0)),0))</f>
        <v/>
      </c>
    </row>
    <row r="314" customFormat="false" ht="15" hidden="false" customHeight="false" outlineLevel="0" collapsed="false">
      <c r="A314" s="102"/>
      <c r="E314" s="103" t="str">
        <f aca="false">IF($C314="","",IFERROR(INDEX(المنيو!$C$2:$C$500,MATCH($C314,المنيو!$B$2:$B$500,0)),0))</f>
        <v/>
      </c>
      <c r="F314" s="103" t="str">
        <f aca="false">IF($C314="","",$D314*$E314)</f>
        <v/>
      </c>
      <c r="G314" s="103" t="str">
        <f aca="false">IF($C314="","",$D314*IFERROR(INDEX('تحليل التكلفة والسعر'!$C$2:$C$700,MATCH($C314,'تحليل التكلفة والسعر'!$B$2:$B$700,0)),0))</f>
        <v/>
      </c>
    </row>
    <row r="315" customFormat="false" ht="15" hidden="false" customHeight="false" outlineLevel="0" collapsed="false">
      <c r="A315" s="102"/>
      <c r="E315" s="103" t="str">
        <f aca="false">IF($C315="","",IFERROR(INDEX(المنيو!$C$2:$C$500,MATCH($C315,المنيو!$B$2:$B$500,0)),0))</f>
        <v/>
      </c>
      <c r="F315" s="103" t="str">
        <f aca="false">IF($C315="","",$D315*$E315)</f>
        <v/>
      </c>
      <c r="G315" s="103" t="str">
        <f aca="false">IF($C315="","",$D315*IFERROR(INDEX('تحليل التكلفة والسعر'!$C$2:$C$700,MATCH($C315,'تحليل التكلفة والسعر'!$B$2:$B$700,0)),0))</f>
        <v/>
      </c>
    </row>
    <row r="316" customFormat="false" ht="15" hidden="false" customHeight="false" outlineLevel="0" collapsed="false">
      <c r="A316" s="102"/>
      <c r="E316" s="103" t="str">
        <f aca="false">IF($C316="","",IFERROR(INDEX(المنيو!$C$2:$C$500,MATCH($C316,المنيو!$B$2:$B$500,0)),0))</f>
        <v/>
      </c>
      <c r="F316" s="103" t="str">
        <f aca="false">IF($C316="","",$D316*$E316)</f>
        <v/>
      </c>
      <c r="G316" s="103" t="str">
        <f aca="false">IF($C316="","",$D316*IFERROR(INDEX('تحليل التكلفة والسعر'!$C$2:$C$700,MATCH($C316,'تحليل التكلفة والسعر'!$B$2:$B$700,0)),0))</f>
        <v/>
      </c>
    </row>
    <row r="317" customFormat="false" ht="15" hidden="false" customHeight="false" outlineLevel="0" collapsed="false">
      <c r="A317" s="102"/>
      <c r="E317" s="103" t="str">
        <f aca="false">IF($C317="","",IFERROR(INDEX(المنيو!$C$2:$C$500,MATCH($C317,المنيو!$B$2:$B$500,0)),0))</f>
        <v/>
      </c>
      <c r="F317" s="103" t="str">
        <f aca="false">IF($C317="","",$D317*$E317)</f>
        <v/>
      </c>
      <c r="G317" s="103" t="str">
        <f aca="false">IF($C317="","",$D317*IFERROR(INDEX('تحليل التكلفة والسعر'!$C$2:$C$700,MATCH($C317,'تحليل التكلفة والسعر'!$B$2:$B$700,0)),0))</f>
        <v/>
      </c>
    </row>
    <row r="318" customFormat="false" ht="15" hidden="false" customHeight="false" outlineLevel="0" collapsed="false">
      <c r="A318" s="102"/>
      <c r="E318" s="103" t="str">
        <f aca="false">IF($C318="","",IFERROR(INDEX(المنيو!$C$2:$C$500,MATCH($C318,المنيو!$B$2:$B$500,0)),0))</f>
        <v/>
      </c>
      <c r="F318" s="103" t="str">
        <f aca="false">IF($C318="","",$D318*$E318)</f>
        <v/>
      </c>
      <c r="G318" s="103" t="str">
        <f aca="false">IF($C318="","",$D318*IFERROR(INDEX('تحليل التكلفة والسعر'!$C$2:$C$700,MATCH($C318,'تحليل التكلفة والسعر'!$B$2:$B$700,0)),0))</f>
        <v/>
      </c>
    </row>
    <row r="319" customFormat="false" ht="15" hidden="false" customHeight="false" outlineLevel="0" collapsed="false">
      <c r="A319" s="102"/>
      <c r="E319" s="103" t="str">
        <f aca="false">IF($C319="","",IFERROR(INDEX(المنيو!$C$2:$C$500,MATCH($C319,المنيو!$B$2:$B$500,0)),0))</f>
        <v/>
      </c>
      <c r="F319" s="103" t="str">
        <f aca="false">IF($C319="","",$D319*$E319)</f>
        <v/>
      </c>
      <c r="G319" s="103" t="str">
        <f aca="false">IF($C319="","",$D319*IFERROR(INDEX('تحليل التكلفة والسعر'!$C$2:$C$700,MATCH($C319,'تحليل التكلفة والسعر'!$B$2:$B$700,0)),0))</f>
        <v/>
      </c>
    </row>
    <row r="320" customFormat="false" ht="15" hidden="false" customHeight="false" outlineLevel="0" collapsed="false">
      <c r="A320" s="102"/>
      <c r="E320" s="103" t="str">
        <f aca="false">IF($C320="","",IFERROR(INDEX(المنيو!$C$2:$C$500,MATCH($C320,المنيو!$B$2:$B$500,0)),0))</f>
        <v/>
      </c>
      <c r="F320" s="103" t="str">
        <f aca="false">IF($C320="","",$D320*$E320)</f>
        <v/>
      </c>
      <c r="G320" s="103" t="str">
        <f aca="false">IF($C320="","",$D320*IFERROR(INDEX('تحليل التكلفة والسعر'!$C$2:$C$700,MATCH($C320,'تحليل التكلفة والسعر'!$B$2:$B$700,0)),0))</f>
        <v/>
      </c>
    </row>
    <row r="321" customFormat="false" ht="15" hidden="false" customHeight="false" outlineLevel="0" collapsed="false">
      <c r="A321" s="102"/>
      <c r="E321" s="103" t="str">
        <f aca="false">IF($C321="","",IFERROR(INDEX(المنيو!$C$2:$C$500,MATCH($C321,المنيو!$B$2:$B$500,0)),0))</f>
        <v/>
      </c>
      <c r="F321" s="103" t="str">
        <f aca="false">IF($C321="","",$D321*$E321)</f>
        <v/>
      </c>
      <c r="G321" s="103" t="str">
        <f aca="false">IF($C321="","",$D321*IFERROR(INDEX('تحليل التكلفة والسعر'!$C$2:$C$700,MATCH($C321,'تحليل التكلفة والسعر'!$B$2:$B$700,0)),0))</f>
        <v/>
      </c>
    </row>
    <row r="322" customFormat="false" ht="15" hidden="false" customHeight="false" outlineLevel="0" collapsed="false">
      <c r="A322" s="102"/>
      <c r="E322" s="103" t="str">
        <f aca="false">IF($C322="","",IFERROR(INDEX(المنيو!$C$2:$C$500,MATCH($C322,المنيو!$B$2:$B$500,0)),0))</f>
        <v/>
      </c>
      <c r="F322" s="103" t="str">
        <f aca="false">IF($C322="","",$D322*$E322)</f>
        <v/>
      </c>
      <c r="G322" s="103" t="str">
        <f aca="false">IF($C322="","",$D322*IFERROR(INDEX('تحليل التكلفة والسعر'!$C$2:$C$700,MATCH($C322,'تحليل التكلفة والسعر'!$B$2:$B$700,0)),0))</f>
        <v/>
      </c>
    </row>
    <row r="323" customFormat="false" ht="15" hidden="false" customHeight="false" outlineLevel="0" collapsed="false">
      <c r="A323" s="102"/>
      <c r="E323" s="103" t="str">
        <f aca="false">IF($C323="","",IFERROR(INDEX(المنيو!$C$2:$C$500,MATCH($C323,المنيو!$B$2:$B$500,0)),0))</f>
        <v/>
      </c>
      <c r="F323" s="103" t="str">
        <f aca="false">IF($C323="","",$D323*$E323)</f>
        <v/>
      </c>
      <c r="G323" s="103" t="str">
        <f aca="false">IF($C323="","",$D323*IFERROR(INDEX('تحليل التكلفة والسعر'!$C$2:$C$700,MATCH($C323,'تحليل التكلفة والسعر'!$B$2:$B$700,0)),0))</f>
        <v/>
      </c>
    </row>
    <row r="324" customFormat="false" ht="15" hidden="false" customHeight="false" outlineLevel="0" collapsed="false">
      <c r="A324" s="102"/>
      <c r="E324" s="103" t="str">
        <f aca="false">IF($C324="","",IFERROR(INDEX(المنيو!$C$2:$C$500,MATCH($C324,المنيو!$B$2:$B$500,0)),0))</f>
        <v/>
      </c>
      <c r="F324" s="103" t="str">
        <f aca="false">IF($C324="","",$D324*$E324)</f>
        <v/>
      </c>
      <c r="G324" s="103" t="str">
        <f aca="false">IF($C324="","",$D324*IFERROR(INDEX('تحليل التكلفة والسعر'!$C$2:$C$700,MATCH($C324,'تحليل التكلفة والسعر'!$B$2:$B$700,0)),0))</f>
        <v/>
      </c>
    </row>
    <row r="325" customFormat="false" ht="15" hidden="false" customHeight="false" outlineLevel="0" collapsed="false">
      <c r="A325" s="102"/>
      <c r="E325" s="103" t="str">
        <f aca="false">IF($C325="","",IFERROR(INDEX(المنيو!$C$2:$C$500,MATCH($C325,المنيو!$B$2:$B$500,0)),0))</f>
        <v/>
      </c>
      <c r="F325" s="103" t="str">
        <f aca="false">IF($C325="","",$D325*$E325)</f>
        <v/>
      </c>
      <c r="G325" s="103" t="str">
        <f aca="false">IF($C325="","",$D325*IFERROR(INDEX('تحليل التكلفة والسعر'!$C$2:$C$700,MATCH($C325,'تحليل التكلفة والسعر'!$B$2:$B$700,0)),0))</f>
        <v/>
      </c>
    </row>
    <row r="326" customFormat="false" ht="15" hidden="false" customHeight="false" outlineLevel="0" collapsed="false">
      <c r="A326" s="102"/>
      <c r="E326" s="103" t="str">
        <f aca="false">IF($C326="","",IFERROR(INDEX(المنيو!$C$2:$C$500,MATCH($C326,المنيو!$B$2:$B$500,0)),0))</f>
        <v/>
      </c>
      <c r="F326" s="103" t="str">
        <f aca="false">IF($C326="","",$D326*$E326)</f>
        <v/>
      </c>
      <c r="G326" s="103" t="str">
        <f aca="false">IF($C326="","",$D326*IFERROR(INDEX('تحليل التكلفة والسعر'!$C$2:$C$700,MATCH($C326,'تحليل التكلفة والسعر'!$B$2:$B$700,0)),0))</f>
        <v/>
      </c>
    </row>
    <row r="327" customFormat="false" ht="15" hidden="false" customHeight="false" outlineLevel="0" collapsed="false">
      <c r="A327" s="102"/>
      <c r="E327" s="103" t="str">
        <f aca="false">IF($C327="","",IFERROR(INDEX(المنيو!$C$2:$C$500,MATCH($C327,المنيو!$B$2:$B$500,0)),0))</f>
        <v/>
      </c>
      <c r="F327" s="103" t="str">
        <f aca="false">IF($C327="","",$D327*$E327)</f>
        <v/>
      </c>
      <c r="G327" s="103" t="str">
        <f aca="false">IF($C327="","",$D327*IFERROR(INDEX('تحليل التكلفة والسعر'!$C$2:$C$700,MATCH($C327,'تحليل التكلفة والسعر'!$B$2:$B$700,0)),0))</f>
        <v/>
      </c>
    </row>
    <row r="328" customFormat="false" ht="15" hidden="false" customHeight="false" outlineLevel="0" collapsed="false">
      <c r="A328" s="102"/>
      <c r="E328" s="103" t="str">
        <f aca="false">IF($C328="","",IFERROR(INDEX(المنيو!$C$2:$C$500,MATCH($C328,المنيو!$B$2:$B$500,0)),0))</f>
        <v/>
      </c>
      <c r="F328" s="103" t="str">
        <f aca="false">IF($C328="","",$D328*$E328)</f>
        <v/>
      </c>
      <c r="G328" s="103" t="str">
        <f aca="false">IF($C328="","",$D328*IFERROR(INDEX('تحليل التكلفة والسعر'!$C$2:$C$700,MATCH($C328,'تحليل التكلفة والسعر'!$B$2:$B$700,0)),0))</f>
        <v/>
      </c>
    </row>
    <row r="329" customFormat="false" ht="15" hidden="false" customHeight="false" outlineLevel="0" collapsed="false">
      <c r="A329" s="102"/>
      <c r="E329" s="103" t="str">
        <f aca="false">IF($C329="","",IFERROR(INDEX(المنيو!$C$2:$C$500,MATCH($C329,المنيو!$B$2:$B$500,0)),0))</f>
        <v/>
      </c>
      <c r="F329" s="103" t="str">
        <f aca="false">IF($C329="","",$D329*$E329)</f>
        <v/>
      </c>
      <c r="G329" s="103" t="str">
        <f aca="false">IF($C329="","",$D329*IFERROR(INDEX('تحليل التكلفة والسعر'!$C$2:$C$700,MATCH($C329,'تحليل التكلفة والسعر'!$B$2:$B$700,0)),0))</f>
        <v/>
      </c>
    </row>
    <row r="330" customFormat="false" ht="15" hidden="false" customHeight="false" outlineLevel="0" collapsed="false">
      <c r="A330" s="102"/>
      <c r="E330" s="103" t="str">
        <f aca="false">IF($C330="","",IFERROR(INDEX(المنيو!$C$2:$C$500,MATCH($C330,المنيو!$B$2:$B$500,0)),0))</f>
        <v/>
      </c>
      <c r="F330" s="103" t="str">
        <f aca="false">IF($C330="","",$D330*$E330)</f>
        <v/>
      </c>
      <c r="G330" s="103" t="str">
        <f aca="false">IF($C330="","",$D330*IFERROR(INDEX('تحليل التكلفة والسعر'!$C$2:$C$700,MATCH($C330,'تحليل التكلفة والسعر'!$B$2:$B$700,0)),0))</f>
        <v/>
      </c>
    </row>
    <row r="331" customFormat="false" ht="15" hidden="false" customHeight="false" outlineLevel="0" collapsed="false">
      <c r="A331" s="102"/>
      <c r="E331" s="103" t="str">
        <f aca="false">IF($C331="","",IFERROR(INDEX(المنيو!$C$2:$C$500,MATCH($C331,المنيو!$B$2:$B$500,0)),0))</f>
        <v/>
      </c>
      <c r="F331" s="103" t="str">
        <f aca="false">IF($C331="","",$D331*$E331)</f>
        <v/>
      </c>
      <c r="G331" s="103" t="str">
        <f aca="false">IF($C331="","",$D331*IFERROR(INDEX('تحليل التكلفة والسعر'!$C$2:$C$700,MATCH($C331,'تحليل التكلفة والسعر'!$B$2:$B$700,0)),0))</f>
        <v/>
      </c>
    </row>
    <row r="332" customFormat="false" ht="15" hidden="false" customHeight="false" outlineLevel="0" collapsed="false">
      <c r="A332" s="102"/>
      <c r="E332" s="103" t="str">
        <f aca="false">IF($C332="","",IFERROR(INDEX(المنيو!$C$2:$C$500,MATCH($C332,المنيو!$B$2:$B$500,0)),0))</f>
        <v/>
      </c>
      <c r="F332" s="103" t="str">
        <f aca="false">IF($C332="","",$D332*$E332)</f>
        <v/>
      </c>
      <c r="G332" s="103" t="str">
        <f aca="false">IF($C332="","",$D332*IFERROR(INDEX('تحليل التكلفة والسعر'!$C$2:$C$700,MATCH($C332,'تحليل التكلفة والسعر'!$B$2:$B$700,0)),0))</f>
        <v/>
      </c>
    </row>
    <row r="333" customFormat="false" ht="15" hidden="false" customHeight="false" outlineLevel="0" collapsed="false">
      <c r="A333" s="102"/>
      <c r="E333" s="103" t="str">
        <f aca="false">IF($C333="","",IFERROR(INDEX(المنيو!$C$2:$C$500,MATCH($C333,المنيو!$B$2:$B$500,0)),0))</f>
        <v/>
      </c>
      <c r="F333" s="103" t="str">
        <f aca="false">IF($C333="","",$D333*$E333)</f>
        <v/>
      </c>
      <c r="G333" s="103" t="str">
        <f aca="false">IF($C333="","",$D333*IFERROR(INDEX('تحليل التكلفة والسعر'!$C$2:$C$700,MATCH($C333,'تحليل التكلفة والسعر'!$B$2:$B$700,0)),0))</f>
        <v/>
      </c>
    </row>
    <row r="334" customFormat="false" ht="15" hidden="false" customHeight="false" outlineLevel="0" collapsed="false">
      <c r="A334" s="102"/>
      <c r="E334" s="103" t="str">
        <f aca="false">IF($C334="","",IFERROR(INDEX(المنيو!$C$2:$C$500,MATCH($C334,المنيو!$B$2:$B$500,0)),0))</f>
        <v/>
      </c>
      <c r="F334" s="103" t="str">
        <f aca="false">IF($C334="","",$D334*$E334)</f>
        <v/>
      </c>
      <c r="G334" s="103" t="str">
        <f aca="false">IF($C334="","",$D334*IFERROR(INDEX('تحليل التكلفة والسعر'!$C$2:$C$700,MATCH($C334,'تحليل التكلفة والسعر'!$B$2:$B$700,0)),0))</f>
        <v/>
      </c>
    </row>
    <row r="335" customFormat="false" ht="15" hidden="false" customHeight="false" outlineLevel="0" collapsed="false">
      <c r="A335" s="102"/>
      <c r="E335" s="103" t="str">
        <f aca="false">IF($C335="","",IFERROR(INDEX(المنيو!$C$2:$C$500,MATCH($C335,المنيو!$B$2:$B$500,0)),0))</f>
        <v/>
      </c>
      <c r="F335" s="103" t="str">
        <f aca="false">IF($C335="","",$D335*$E335)</f>
        <v/>
      </c>
      <c r="G335" s="103" t="str">
        <f aca="false">IF($C335="","",$D335*IFERROR(INDEX('تحليل التكلفة والسعر'!$C$2:$C$700,MATCH($C335,'تحليل التكلفة والسعر'!$B$2:$B$700,0)),0))</f>
        <v/>
      </c>
    </row>
    <row r="336" customFormat="false" ht="15" hidden="false" customHeight="false" outlineLevel="0" collapsed="false">
      <c r="A336" s="102"/>
      <c r="E336" s="103" t="str">
        <f aca="false">IF($C336="","",IFERROR(INDEX(المنيو!$C$2:$C$500,MATCH($C336,المنيو!$B$2:$B$500,0)),0))</f>
        <v/>
      </c>
      <c r="F336" s="103" t="str">
        <f aca="false">IF($C336="","",$D336*$E336)</f>
        <v/>
      </c>
      <c r="G336" s="103" t="str">
        <f aca="false">IF($C336="","",$D336*IFERROR(INDEX('تحليل التكلفة والسعر'!$C$2:$C$700,MATCH($C336,'تحليل التكلفة والسعر'!$B$2:$B$700,0)),0))</f>
        <v/>
      </c>
    </row>
    <row r="337" customFormat="false" ht="15" hidden="false" customHeight="false" outlineLevel="0" collapsed="false">
      <c r="A337" s="102"/>
      <c r="E337" s="103" t="str">
        <f aca="false">IF($C337="","",IFERROR(INDEX(المنيو!$C$2:$C$500,MATCH($C337,المنيو!$B$2:$B$500,0)),0))</f>
        <v/>
      </c>
      <c r="F337" s="103" t="str">
        <f aca="false">IF($C337="","",$D337*$E337)</f>
        <v/>
      </c>
      <c r="G337" s="103" t="str">
        <f aca="false">IF($C337="","",$D337*IFERROR(INDEX('تحليل التكلفة والسعر'!$C$2:$C$700,MATCH($C337,'تحليل التكلفة والسعر'!$B$2:$B$700,0)),0))</f>
        <v/>
      </c>
    </row>
    <row r="338" customFormat="false" ht="15" hidden="false" customHeight="false" outlineLevel="0" collapsed="false">
      <c r="A338" s="102"/>
      <c r="E338" s="103" t="str">
        <f aca="false">IF($C338="","",IFERROR(INDEX(المنيو!$C$2:$C$500,MATCH($C338,المنيو!$B$2:$B$500,0)),0))</f>
        <v/>
      </c>
      <c r="F338" s="103" t="str">
        <f aca="false">IF($C338="","",$D338*$E338)</f>
        <v/>
      </c>
      <c r="G338" s="103" t="str">
        <f aca="false">IF($C338="","",$D338*IFERROR(INDEX('تحليل التكلفة والسعر'!$C$2:$C$700,MATCH($C338,'تحليل التكلفة والسعر'!$B$2:$B$700,0)),0))</f>
        <v/>
      </c>
    </row>
    <row r="339" customFormat="false" ht="15" hidden="false" customHeight="false" outlineLevel="0" collapsed="false">
      <c r="A339" s="102"/>
      <c r="E339" s="103" t="str">
        <f aca="false">IF($C339="","",IFERROR(INDEX(المنيو!$C$2:$C$500,MATCH($C339,المنيو!$B$2:$B$500,0)),0))</f>
        <v/>
      </c>
      <c r="F339" s="103" t="str">
        <f aca="false">IF($C339="","",$D339*$E339)</f>
        <v/>
      </c>
      <c r="G339" s="103" t="str">
        <f aca="false">IF($C339="","",$D339*IFERROR(INDEX('تحليل التكلفة والسعر'!$C$2:$C$700,MATCH($C339,'تحليل التكلفة والسعر'!$B$2:$B$700,0)),0))</f>
        <v/>
      </c>
    </row>
    <row r="340" customFormat="false" ht="15" hidden="false" customHeight="false" outlineLevel="0" collapsed="false">
      <c r="A340" s="102"/>
      <c r="E340" s="103" t="str">
        <f aca="false">IF($C340="","",IFERROR(INDEX(المنيو!$C$2:$C$500,MATCH($C340,المنيو!$B$2:$B$500,0)),0))</f>
        <v/>
      </c>
      <c r="F340" s="103" t="str">
        <f aca="false">IF($C340="","",$D340*$E340)</f>
        <v/>
      </c>
      <c r="G340" s="103" t="str">
        <f aca="false">IF($C340="","",$D340*IFERROR(INDEX('تحليل التكلفة والسعر'!$C$2:$C$700,MATCH($C340,'تحليل التكلفة والسعر'!$B$2:$B$700,0)),0))</f>
        <v/>
      </c>
    </row>
    <row r="341" customFormat="false" ht="15" hidden="false" customHeight="false" outlineLevel="0" collapsed="false">
      <c r="A341" s="102"/>
      <c r="E341" s="103" t="str">
        <f aca="false">IF($C341="","",IFERROR(INDEX(المنيو!$C$2:$C$500,MATCH($C341,المنيو!$B$2:$B$500,0)),0))</f>
        <v/>
      </c>
      <c r="F341" s="103" t="str">
        <f aca="false">IF($C341="","",$D341*$E341)</f>
        <v/>
      </c>
      <c r="G341" s="103" t="str">
        <f aca="false">IF($C341="","",$D341*IFERROR(INDEX('تحليل التكلفة والسعر'!$C$2:$C$700,MATCH($C341,'تحليل التكلفة والسعر'!$B$2:$B$700,0)),0))</f>
        <v/>
      </c>
    </row>
    <row r="342" customFormat="false" ht="15" hidden="false" customHeight="false" outlineLevel="0" collapsed="false">
      <c r="A342" s="102"/>
      <c r="E342" s="103" t="str">
        <f aca="false">IF($C342="","",IFERROR(INDEX(المنيو!$C$2:$C$500,MATCH($C342,المنيو!$B$2:$B$500,0)),0))</f>
        <v/>
      </c>
      <c r="F342" s="103" t="str">
        <f aca="false">IF($C342="","",$D342*$E342)</f>
        <v/>
      </c>
      <c r="G342" s="103" t="str">
        <f aca="false">IF($C342="","",$D342*IFERROR(INDEX('تحليل التكلفة والسعر'!$C$2:$C$700,MATCH($C342,'تحليل التكلفة والسعر'!$B$2:$B$700,0)),0))</f>
        <v/>
      </c>
    </row>
    <row r="343" customFormat="false" ht="15" hidden="false" customHeight="false" outlineLevel="0" collapsed="false">
      <c r="A343" s="102"/>
      <c r="E343" s="103" t="str">
        <f aca="false">IF($C343="","",IFERROR(INDEX(المنيو!$C$2:$C$500,MATCH($C343,المنيو!$B$2:$B$500,0)),0))</f>
        <v/>
      </c>
      <c r="F343" s="103" t="str">
        <f aca="false">IF($C343="","",$D343*$E343)</f>
        <v/>
      </c>
      <c r="G343" s="103" t="str">
        <f aca="false">IF($C343="","",$D343*IFERROR(INDEX('تحليل التكلفة والسعر'!$C$2:$C$700,MATCH($C343,'تحليل التكلفة والسعر'!$B$2:$B$700,0)),0))</f>
        <v/>
      </c>
    </row>
    <row r="344" customFormat="false" ht="15" hidden="false" customHeight="false" outlineLevel="0" collapsed="false">
      <c r="A344" s="102"/>
      <c r="E344" s="103" t="str">
        <f aca="false">IF($C344="","",IFERROR(INDEX(المنيو!$C$2:$C$500,MATCH($C344,المنيو!$B$2:$B$500,0)),0))</f>
        <v/>
      </c>
      <c r="F344" s="103" t="str">
        <f aca="false">IF($C344="","",$D344*$E344)</f>
        <v/>
      </c>
      <c r="G344" s="103" t="str">
        <f aca="false">IF($C344="","",$D344*IFERROR(INDEX('تحليل التكلفة والسعر'!$C$2:$C$700,MATCH($C344,'تحليل التكلفة والسعر'!$B$2:$B$700,0)),0))</f>
        <v/>
      </c>
    </row>
    <row r="345" customFormat="false" ht="15" hidden="false" customHeight="false" outlineLevel="0" collapsed="false">
      <c r="A345" s="102"/>
      <c r="E345" s="103" t="str">
        <f aca="false">IF($C345="","",IFERROR(INDEX(المنيو!$C$2:$C$500,MATCH($C345,المنيو!$B$2:$B$500,0)),0))</f>
        <v/>
      </c>
      <c r="F345" s="103" t="str">
        <f aca="false">IF($C345="","",$D345*$E345)</f>
        <v/>
      </c>
      <c r="G345" s="103" t="str">
        <f aca="false">IF($C345="","",$D345*IFERROR(INDEX('تحليل التكلفة والسعر'!$C$2:$C$700,MATCH($C345,'تحليل التكلفة والسعر'!$B$2:$B$700,0)),0))</f>
        <v/>
      </c>
    </row>
    <row r="346" customFormat="false" ht="15" hidden="false" customHeight="false" outlineLevel="0" collapsed="false">
      <c r="A346" s="102"/>
      <c r="E346" s="103" t="str">
        <f aca="false">IF($C346="","",IFERROR(INDEX(المنيو!$C$2:$C$500,MATCH($C346,المنيو!$B$2:$B$500,0)),0))</f>
        <v/>
      </c>
      <c r="F346" s="103" t="str">
        <f aca="false">IF($C346="","",$D346*$E346)</f>
        <v/>
      </c>
      <c r="G346" s="103" t="str">
        <f aca="false">IF($C346="","",$D346*IFERROR(INDEX('تحليل التكلفة والسعر'!$C$2:$C$700,MATCH($C346,'تحليل التكلفة والسعر'!$B$2:$B$700,0)),0))</f>
        <v/>
      </c>
    </row>
    <row r="347" customFormat="false" ht="15" hidden="false" customHeight="false" outlineLevel="0" collapsed="false">
      <c r="A347" s="102"/>
      <c r="E347" s="103" t="str">
        <f aca="false">IF($C347="","",IFERROR(INDEX(المنيو!$C$2:$C$500,MATCH($C347,المنيو!$B$2:$B$500,0)),0))</f>
        <v/>
      </c>
      <c r="F347" s="103" t="str">
        <f aca="false">IF($C347="","",$D347*$E347)</f>
        <v/>
      </c>
      <c r="G347" s="103" t="str">
        <f aca="false">IF($C347="","",$D347*IFERROR(INDEX('تحليل التكلفة والسعر'!$C$2:$C$700,MATCH($C347,'تحليل التكلفة والسعر'!$B$2:$B$700,0)),0))</f>
        <v/>
      </c>
    </row>
    <row r="348" customFormat="false" ht="15" hidden="false" customHeight="false" outlineLevel="0" collapsed="false">
      <c r="A348" s="102"/>
      <c r="E348" s="103" t="str">
        <f aca="false">IF($C348="","",IFERROR(INDEX(المنيو!$C$2:$C$500,MATCH($C348,المنيو!$B$2:$B$500,0)),0))</f>
        <v/>
      </c>
      <c r="F348" s="103" t="str">
        <f aca="false">IF($C348="","",$D348*$E348)</f>
        <v/>
      </c>
      <c r="G348" s="103" t="str">
        <f aca="false">IF($C348="","",$D348*IFERROR(INDEX('تحليل التكلفة والسعر'!$C$2:$C$700,MATCH($C348,'تحليل التكلفة والسعر'!$B$2:$B$700,0)),0))</f>
        <v/>
      </c>
    </row>
    <row r="349" customFormat="false" ht="15" hidden="false" customHeight="false" outlineLevel="0" collapsed="false">
      <c r="A349" s="102"/>
      <c r="E349" s="103" t="str">
        <f aca="false">IF($C349="","",IFERROR(INDEX(المنيو!$C$2:$C$500,MATCH($C349,المنيو!$B$2:$B$500,0)),0))</f>
        <v/>
      </c>
      <c r="F349" s="103" t="str">
        <f aca="false">IF($C349="","",$D349*$E349)</f>
        <v/>
      </c>
      <c r="G349" s="103" t="str">
        <f aca="false">IF($C349="","",$D349*IFERROR(INDEX('تحليل التكلفة والسعر'!$C$2:$C$700,MATCH($C349,'تحليل التكلفة والسعر'!$B$2:$B$700,0)),0))</f>
        <v/>
      </c>
    </row>
    <row r="350" customFormat="false" ht="15" hidden="false" customHeight="false" outlineLevel="0" collapsed="false">
      <c r="A350" s="102"/>
      <c r="E350" s="103" t="str">
        <f aca="false">IF($C350="","",IFERROR(INDEX(المنيو!$C$2:$C$500,MATCH($C350,المنيو!$B$2:$B$500,0)),0))</f>
        <v/>
      </c>
      <c r="F350" s="103" t="str">
        <f aca="false">IF($C350="","",$D350*$E350)</f>
        <v/>
      </c>
      <c r="G350" s="103" t="str">
        <f aca="false">IF($C350="","",$D350*IFERROR(INDEX('تحليل التكلفة والسعر'!$C$2:$C$700,MATCH($C350,'تحليل التكلفة والسعر'!$B$2:$B$700,0)),0))</f>
        <v/>
      </c>
    </row>
    <row r="351" customFormat="false" ht="15" hidden="false" customHeight="false" outlineLevel="0" collapsed="false">
      <c r="A351" s="102"/>
      <c r="E351" s="103" t="str">
        <f aca="false">IF($C351="","",IFERROR(INDEX(المنيو!$C$2:$C$500,MATCH($C351,المنيو!$B$2:$B$500,0)),0))</f>
        <v/>
      </c>
      <c r="F351" s="103" t="str">
        <f aca="false">IF($C351="","",$D351*$E351)</f>
        <v/>
      </c>
      <c r="G351" s="103" t="str">
        <f aca="false">IF($C351="","",$D351*IFERROR(INDEX('تحليل التكلفة والسعر'!$C$2:$C$700,MATCH($C351,'تحليل التكلفة والسعر'!$B$2:$B$700,0)),0))</f>
        <v/>
      </c>
    </row>
    <row r="352" customFormat="false" ht="15" hidden="false" customHeight="false" outlineLevel="0" collapsed="false">
      <c r="A352" s="102"/>
      <c r="E352" s="103" t="str">
        <f aca="false">IF($C352="","",IFERROR(INDEX(المنيو!$C$2:$C$500,MATCH($C352,المنيو!$B$2:$B$500,0)),0))</f>
        <v/>
      </c>
      <c r="F352" s="103" t="str">
        <f aca="false">IF($C352="","",$D352*$E352)</f>
        <v/>
      </c>
      <c r="G352" s="103" t="str">
        <f aca="false">IF($C352="","",$D352*IFERROR(INDEX('تحليل التكلفة والسعر'!$C$2:$C$700,MATCH($C352,'تحليل التكلفة والسعر'!$B$2:$B$700,0)),0))</f>
        <v/>
      </c>
    </row>
    <row r="353" customFormat="false" ht="15" hidden="false" customHeight="false" outlineLevel="0" collapsed="false">
      <c r="A353" s="102"/>
      <c r="E353" s="103" t="str">
        <f aca="false">IF($C353="","",IFERROR(INDEX(المنيو!$C$2:$C$500,MATCH($C353,المنيو!$B$2:$B$500,0)),0))</f>
        <v/>
      </c>
      <c r="F353" s="103" t="str">
        <f aca="false">IF($C353="","",$D353*$E353)</f>
        <v/>
      </c>
      <c r="G353" s="103" t="str">
        <f aca="false">IF($C353="","",$D353*IFERROR(INDEX('تحليل التكلفة والسعر'!$C$2:$C$700,MATCH($C353,'تحليل التكلفة والسعر'!$B$2:$B$700,0)),0))</f>
        <v/>
      </c>
    </row>
    <row r="354" customFormat="false" ht="15" hidden="false" customHeight="false" outlineLevel="0" collapsed="false">
      <c r="A354" s="102"/>
      <c r="E354" s="103" t="str">
        <f aca="false">IF($C354="","",IFERROR(INDEX(المنيو!$C$2:$C$500,MATCH($C354,المنيو!$B$2:$B$500,0)),0))</f>
        <v/>
      </c>
      <c r="F354" s="103" t="str">
        <f aca="false">IF($C354="","",$D354*$E354)</f>
        <v/>
      </c>
      <c r="G354" s="103" t="str">
        <f aca="false">IF($C354="","",$D354*IFERROR(INDEX('تحليل التكلفة والسعر'!$C$2:$C$700,MATCH($C354,'تحليل التكلفة والسعر'!$B$2:$B$700,0)),0))</f>
        <v/>
      </c>
    </row>
    <row r="355" customFormat="false" ht="15" hidden="false" customHeight="false" outlineLevel="0" collapsed="false">
      <c r="A355" s="102"/>
      <c r="E355" s="103" t="str">
        <f aca="false">IF($C355="","",IFERROR(INDEX(المنيو!$C$2:$C$500,MATCH($C355,المنيو!$B$2:$B$500,0)),0))</f>
        <v/>
      </c>
      <c r="F355" s="103" t="str">
        <f aca="false">IF($C355="","",$D355*$E355)</f>
        <v/>
      </c>
      <c r="G355" s="103" t="str">
        <f aca="false">IF($C355="","",$D355*IFERROR(INDEX('تحليل التكلفة والسعر'!$C$2:$C$700,MATCH($C355,'تحليل التكلفة والسعر'!$B$2:$B$700,0)),0))</f>
        <v/>
      </c>
    </row>
    <row r="356" customFormat="false" ht="15" hidden="false" customHeight="false" outlineLevel="0" collapsed="false">
      <c r="A356" s="102"/>
      <c r="E356" s="103" t="str">
        <f aca="false">IF($C356="","",IFERROR(INDEX(المنيو!$C$2:$C$500,MATCH($C356,المنيو!$B$2:$B$500,0)),0))</f>
        <v/>
      </c>
      <c r="F356" s="103" t="str">
        <f aca="false">IF($C356="","",$D356*$E356)</f>
        <v/>
      </c>
      <c r="G356" s="103" t="str">
        <f aca="false">IF($C356="","",$D356*IFERROR(INDEX('تحليل التكلفة والسعر'!$C$2:$C$700,MATCH($C356,'تحليل التكلفة والسعر'!$B$2:$B$700,0)),0))</f>
        <v/>
      </c>
    </row>
    <row r="357" customFormat="false" ht="15" hidden="false" customHeight="false" outlineLevel="0" collapsed="false">
      <c r="A357" s="102"/>
      <c r="E357" s="103" t="str">
        <f aca="false">IF($C357="","",IFERROR(INDEX(المنيو!$C$2:$C$500,MATCH($C357,المنيو!$B$2:$B$500,0)),0))</f>
        <v/>
      </c>
      <c r="F357" s="103" t="str">
        <f aca="false">IF($C357="","",$D357*$E357)</f>
        <v/>
      </c>
      <c r="G357" s="103" t="str">
        <f aca="false">IF($C357="","",$D357*IFERROR(INDEX('تحليل التكلفة والسعر'!$C$2:$C$700,MATCH($C357,'تحليل التكلفة والسعر'!$B$2:$B$700,0)),0))</f>
        <v/>
      </c>
    </row>
    <row r="358" customFormat="false" ht="15" hidden="false" customHeight="false" outlineLevel="0" collapsed="false">
      <c r="A358" s="102"/>
      <c r="E358" s="103" t="str">
        <f aca="false">IF($C358="","",IFERROR(INDEX(المنيو!$C$2:$C$500,MATCH($C358,المنيو!$B$2:$B$500,0)),0))</f>
        <v/>
      </c>
      <c r="F358" s="103" t="str">
        <f aca="false">IF($C358="","",$D358*$E358)</f>
        <v/>
      </c>
      <c r="G358" s="103" t="str">
        <f aca="false">IF($C358="","",$D358*IFERROR(INDEX('تحليل التكلفة والسعر'!$C$2:$C$700,MATCH($C358,'تحليل التكلفة والسعر'!$B$2:$B$700,0)),0))</f>
        <v/>
      </c>
    </row>
    <row r="359" customFormat="false" ht="15" hidden="false" customHeight="false" outlineLevel="0" collapsed="false">
      <c r="A359" s="102"/>
      <c r="E359" s="103" t="str">
        <f aca="false">IF($C359="","",IFERROR(INDEX(المنيو!$C$2:$C$500,MATCH($C359,المنيو!$B$2:$B$500,0)),0))</f>
        <v/>
      </c>
      <c r="F359" s="103" t="str">
        <f aca="false">IF($C359="","",$D359*$E359)</f>
        <v/>
      </c>
      <c r="G359" s="103" t="str">
        <f aca="false">IF($C359="","",$D359*IFERROR(INDEX('تحليل التكلفة والسعر'!$C$2:$C$700,MATCH($C359,'تحليل التكلفة والسعر'!$B$2:$B$700,0)),0))</f>
        <v/>
      </c>
    </row>
    <row r="360" customFormat="false" ht="15" hidden="false" customHeight="false" outlineLevel="0" collapsed="false">
      <c r="A360" s="102"/>
      <c r="E360" s="103" t="str">
        <f aca="false">IF($C360="","",IFERROR(INDEX(المنيو!$C$2:$C$500,MATCH($C360,المنيو!$B$2:$B$500,0)),0))</f>
        <v/>
      </c>
      <c r="F360" s="103" t="str">
        <f aca="false">IF($C360="","",$D360*$E360)</f>
        <v/>
      </c>
      <c r="G360" s="103" t="str">
        <f aca="false">IF($C360="","",$D360*IFERROR(INDEX('تحليل التكلفة والسعر'!$C$2:$C$700,MATCH($C360,'تحليل التكلفة والسعر'!$B$2:$B$700,0)),0))</f>
        <v/>
      </c>
    </row>
    <row r="361" customFormat="false" ht="15" hidden="false" customHeight="false" outlineLevel="0" collapsed="false">
      <c r="A361" s="102"/>
      <c r="E361" s="103" t="str">
        <f aca="false">IF($C361="","",IFERROR(INDEX(المنيو!$C$2:$C$500,MATCH($C361,المنيو!$B$2:$B$500,0)),0))</f>
        <v/>
      </c>
      <c r="F361" s="103" t="str">
        <f aca="false">IF($C361="","",$D361*$E361)</f>
        <v/>
      </c>
      <c r="G361" s="103" t="str">
        <f aca="false">IF($C361="","",$D361*IFERROR(INDEX('تحليل التكلفة والسعر'!$C$2:$C$700,MATCH($C361,'تحليل التكلفة والسعر'!$B$2:$B$700,0)),0))</f>
        <v/>
      </c>
    </row>
    <row r="362" customFormat="false" ht="15" hidden="false" customHeight="false" outlineLevel="0" collapsed="false">
      <c r="A362" s="102"/>
      <c r="E362" s="103" t="str">
        <f aca="false">IF($C362="","",IFERROR(INDEX(المنيو!$C$2:$C$500,MATCH($C362,المنيو!$B$2:$B$500,0)),0))</f>
        <v/>
      </c>
      <c r="F362" s="103" t="str">
        <f aca="false">IF($C362="","",$D362*$E362)</f>
        <v/>
      </c>
      <c r="G362" s="103" t="str">
        <f aca="false">IF($C362="","",$D362*IFERROR(INDEX('تحليل التكلفة والسعر'!$C$2:$C$700,MATCH($C362,'تحليل التكلفة والسعر'!$B$2:$B$700,0)),0))</f>
        <v/>
      </c>
    </row>
    <row r="363" customFormat="false" ht="15" hidden="false" customHeight="false" outlineLevel="0" collapsed="false">
      <c r="A363" s="102"/>
      <c r="E363" s="103" t="str">
        <f aca="false">IF($C363="","",IFERROR(INDEX(المنيو!$C$2:$C$500,MATCH($C363,المنيو!$B$2:$B$500,0)),0))</f>
        <v/>
      </c>
      <c r="F363" s="103" t="str">
        <f aca="false">IF($C363="","",$D363*$E363)</f>
        <v/>
      </c>
      <c r="G363" s="103" t="str">
        <f aca="false">IF($C363="","",$D363*IFERROR(INDEX('تحليل التكلفة والسعر'!$C$2:$C$700,MATCH($C363,'تحليل التكلفة والسعر'!$B$2:$B$700,0)),0))</f>
        <v/>
      </c>
    </row>
    <row r="364" customFormat="false" ht="15" hidden="false" customHeight="false" outlineLevel="0" collapsed="false">
      <c r="A364" s="102"/>
      <c r="E364" s="103" t="str">
        <f aca="false">IF($C364="","",IFERROR(INDEX(المنيو!$C$2:$C$500,MATCH($C364,المنيو!$B$2:$B$500,0)),0))</f>
        <v/>
      </c>
      <c r="F364" s="103" t="str">
        <f aca="false">IF($C364="","",$D364*$E364)</f>
        <v/>
      </c>
      <c r="G364" s="103" t="str">
        <f aca="false">IF($C364="","",$D364*IFERROR(INDEX('تحليل التكلفة والسعر'!$C$2:$C$700,MATCH($C364,'تحليل التكلفة والسعر'!$B$2:$B$700,0)),0))</f>
        <v/>
      </c>
    </row>
    <row r="365" customFormat="false" ht="15" hidden="false" customHeight="false" outlineLevel="0" collapsed="false">
      <c r="A365" s="102"/>
      <c r="E365" s="103" t="str">
        <f aca="false">IF($C365="","",IFERROR(INDEX(المنيو!$C$2:$C$500,MATCH($C365,المنيو!$B$2:$B$500,0)),0))</f>
        <v/>
      </c>
      <c r="F365" s="103" t="str">
        <f aca="false">IF($C365="","",$D365*$E365)</f>
        <v/>
      </c>
      <c r="G365" s="103" t="str">
        <f aca="false">IF($C365="","",$D365*IFERROR(INDEX('تحليل التكلفة والسعر'!$C$2:$C$700,MATCH($C365,'تحليل التكلفة والسعر'!$B$2:$B$700,0)),0))</f>
        <v/>
      </c>
    </row>
    <row r="366" customFormat="false" ht="15" hidden="false" customHeight="false" outlineLevel="0" collapsed="false">
      <c r="A366" s="102"/>
      <c r="E366" s="103" t="str">
        <f aca="false">IF($C366="","",IFERROR(INDEX(المنيو!$C$2:$C$500,MATCH($C366,المنيو!$B$2:$B$500,0)),0))</f>
        <v/>
      </c>
      <c r="F366" s="103" t="str">
        <f aca="false">IF($C366="","",$D366*$E366)</f>
        <v/>
      </c>
      <c r="G366" s="103" t="str">
        <f aca="false">IF($C366="","",$D366*IFERROR(INDEX('تحليل التكلفة والسعر'!$C$2:$C$700,MATCH($C366,'تحليل التكلفة والسعر'!$B$2:$B$700,0)),0))</f>
        <v/>
      </c>
    </row>
    <row r="367" customFormat="false" ht="15" hidden="false" customHeight="false" outlineLevel="0" collapsed="false">
      <c r="A367" s="102"/>
      <c r="E367" s="103" t="str">
        <f aca="false">IF($C367="","",IFERROR(INDEX(المنيو!$C$2:$C$500,MATCH($C367,المنيو!$B$2:$B$500,0)),0))</f>
        <v/>
      </c>
      <c r="F367" s="103" t="str">
        <f aca="false">IF($C367="","",$D367*$E367)</f>
        <v/>
      </c>
      <c r="G367" s="103" t="str">
        <f aca="false">IF($C367="","",$D367*IFERROR(INDEX('تحليل التكلفة والسعر'!$C$2:$C$700,MATCH($C367,'تحليل التكلفة والسعر'!$B$2:$B$700,0)),0))</f>
        <v/>
      </c>
    </row>
    <row r="368" customFormat="false" ht="15" hidden="false" customHeight="false" outlineLevel="0" collapsed="false">
      <c r="A368" s="102"/>
      <c r="E368" s="103" t="str">
        <f aca="false">IF($C368="","",IFERROR(INDEX(المنيو!$C$2:$C$500,MATCH($C368,المنيو!$B$2:$B$500,0)),0))</f>
        <v/>
      </c>
      <c r="F368" s="103" t="str">
        <f aca="false">IF($C368="","",$D368*$E368)</f>
        <v/>
      </c>
      <c r="G368" s="103" t="str">
        <f aca="false">IF($C368="","",$D368*IFERROR(INDEX('تحليل التكلفة والسعر'!$C$2:$C$700,MATCH($C368,'تحليل التكلفة والسعر'!$B$2:$B$700,0)),0))</f>
        <v/>
      </c>
    </row>
    <row r="369" customFormat="false" ht="15" hidden="false" customHeight="false" outlineLevel="0" collapsed="false">
      <c r="A369" s="102"/>
      <c r="E369" s="103" t="str">
        <f aca="false">IF($C369="","",IFERROR(INDEX(المنيو!$C$2:$C$500,MATCH($C369,المنيو!$B$2:$B$500,0)),0))</f>
        <v/>
      </c>
      <c r="F369" s="103" t="str">
        <f aca="false">IF($C369="","",$D369*$E369)</f>
        <v/>
      </c>
      <c r="G369" s="103" t="str">
        <f aca="false">IF($C369="","",$D369*IFERROR(INDEX('تحليل التكلفة والسعر'!$C$2:$C$700,MATCH($C369,'تحليل التكلفة والسعر'!$B$2:$B$700,0)),0))</f>
        <v/>
      </c>
    </row>
    <row r="370" customFormat="false" ht="15" hidden="false" customHeight="false" outlineLevel="0" collapsed="false">
      <c r="A370" s="102"/>
      <c r="E370" s="103" t="str">
        <f aca="false">IF($C370="","",IFERROR(INDEX(المنيو!$C$2:$C$500,MATCH($C370,المنيو!$B$2:$B$500,0)),0))</f>
        <v/>
      </c>
      <c r="F370" s="103" t="str">
        <f aca="false">IF($C370="","",$D370*$E370)</f>
        <v/>
      </c>
      <c r="G370" s="103" t="str">
        <f aca="false">IF($C370="","",$D370*IFERROR(INDEX('تحليل التكلفة والسعر'!$C$2:$C$700,MATCH($C370,'تحليل التكلفة والسعر'!$B$2:$B$700,0)),0))</f>
        <v/>
      </c>
    </row>
    <row r="371" customFormat="false" ht="15" hidden="false" customHeight="false" outlineLevel="0" collapsed="false">
      <c r="A371" s="102"/>
      <c r="E371" s="103" t="str">
        <f aca="false">IF($C371="","",IFERROR(INDEX(المنيو!$C$2:$C$500,MATCH($C371,المنيو!$B$2:$B$500,0)),0))</f>
        <v/>
      </c>
      <c r="F371" s="103" t="str">
        <f aca="false">IF($C371="","",$D371*$E371)</f>
        <v/>
      </c>
      <c r="G371" s="103" t="str">
        <f aca="false">IF($C371="","",$D371*IFERROR(INDEX('تحليل التكلفة والسعر'!$C$2:$C$700,MATCH($C371,'تحليل التكلفة والسعر'!$B$2:$B$700,0)),0))</f>
        <v/>
      </c>
    </row>
    <row r="372" customFormat="false" ht="15" hidden="false" customHeight="false" outlineLevel="0" collapsed="false">
      <c r="A372" s="102"/>
      <c r="E372" s="103" t="str">
        <f aca="false">IF($C372="","",IFERROR(INDEX(المنيو!$C$2:$C$500,MATCH($C372,المنيو!$B$2:$B$500,0)),0))</f>
        <v/>
      </c>
      <c r="F372" s="103" t="str">
        <f aca="false">IF($C372="","",$D372*$E372)</f>
        <v/>
      </c>
      <c r="G372" s="103" t="str">
        <f aca="false">IF($C372="","",$D372*IFERROR(INDEX('تحليل التكلفة والسعر'!$C$2:$C$700,MATCH($C372,'تحليل التكلفة والسعر'!$B$2:$B$700,0)),0))</f>
        <v/>
      </c>
    </row>
    <row r="373" customFormat="false" ht="15" hidden="false" customHeight="false" outlineLevel="0" collapsed="false">
      <c r="A373" s="102"/>
      <c r="E373" s="103" t="str">
        <f aca="false">IF($C373="","",IFERROR(INDEX(المنيو!$C$2:$C$500,MATCH($C373,المنيو!$B$2:$B$500,0)),0))</f>
        <v/>
      </c>
      <c r="F373" s="103" t="str">
        <f aca="false">IF($C373="","",$D373*$E373)</f>
        <v/>
      </c>
      <c r="G373" s="103" t="str">
        <f aca="false">IF($C373="","",$D373*IFERROR(INDEX('تحليل التكلفة والسعر'!$C$2:$C$700,MATCH($C373,'تحليل التكلفة والسعر'!$B$2:$B$700,0)),0))</f>
        <v/>
      </c>
    </row>
    <row r="374" customFormat="false" ht="15" hidden="false" customHeight="false" outlineLevel="0" collapsed="false">
      <c r="A374" s="102"/>
      <c r="E374" s="103" t="str">
        <f aca="false">IF($C374="","",IFERROR(INDEX(المنيو!$C$2:$C$500,MATCH($C374,المنيو!$B$2:$B$500,0)),0))</f>
        <v/>
      </c>
      <c r="F374" s="103" t="str">
        <f aca="false">IF($C374="","",$D374*$E374)</f>
        <v/>
      </c>
      <c r="G374" s="103" t="str">
        <f aca="false">IF($C374="","",$D374*IFERROR(INDEX('تحليل التكلفة والسعر'!$C$2:$C$700,MATCH($C374,'تحليل التكلفة والسعر'!$B$2:$B$700,0)),0))</f>
        <v/>
      </c>
    </row>
    <row r="375" customFormat="false" ht="15" hidden="false" customHeight="false" outlineLevel="0" collapsed="false">
      <c r="A375" s="102"/>
      <c r="E375" s="103" t="str">
        <f aca="false">IF($C375="","",IFERROR(INDEX(المنيو!$C$2:$C$500,MATCH($C375,المنيو!$B$2:$B$500,0)),0))</f>
        <v/>
      </c>
      <c r="F375" s="103" t="str">
        <f aca="false">IF($C375="","",$D375*$E375)</f>
        <v/>
      </c>
      <c r="G375" s="103" t="str">
        <f aca="false">IF($C375="","",$D375*IFERROR(INDEX('تحليل التكلفة والسعر'!$C$2:$C$700,MATCH($C375,'تحليل التكلفة والسعر'!$B$2:$B$700,0)),0))</f>
        <v/>
      </c>
    </row>
    <row r="376" customFormat="false" ht="15" hidden="false" customHeight="false" outlineLevel="0" collapsed="false">
      <c r="A376" s="102"/>
      <c r="E376" s="103" t="str">
        <f aca="false">IF($C376="","",IFERROR(INDEX(المنيو!$C$2:$C$500,MATCH($C376,المنيو!$B$2:$B$500,0)),0))</f>
        <v/>
      </c>
      <c r="F376" s="103" t="str">
        <f aca="false">IF($C376="","",$D376*$E376)</f>
        <v/>
      </c>
      <c r="G376" s="103" t="str">
        <f aca="false">IF($C376="","",$D376*IFERROR(INDEX('تحليل التكلفة والسعر'!$C$2:$C$700,MATCH($C376,'تحليل التكلفة والسعر'!$B$2:$B$700,0)),0))</f>
        <v/>
      </c>
    </row>
    <row r="377" customFormat="false" ht="15" hidden="false" customHeight="false" outlineLevel="0" collapsed="false">
      <c r="A377" s="102"/>
      <c r="E377" s="103" t="str">
        <f aca="false">IF($C377="","",IFERROR(INDEX(المنيو!$C$2:$C$500,MATCH($C377,المنيو!$B$2:$B$500,0)),0))</f>
        <v/>
      </c>
      <c r="F377" s="103" t="str">
        <f aca="false">IF($C377="","",$D377*$E377)</f>
        <v/>
      </c>
      <c r="G377" s="103" t="str">
        <f aca="false">IF($C377="","",$D377*IFERROR(INDEX('تحليل التكلفة والسعر'!$C$2:$C$700,MATCH($C377,'تحليل التكلفة والسعر'!$B$2:$B$700,0)),0))</f>
        <v/>
      </c>
    </row>
    <row r="378" customFormat="false" ht="15" hidden="false" customHeight="false" outlineLevel="0" collapsed="false">
      <c r="A378" s="102"/>
      <c r="E378" s="103" t="str">
        <f aca="false">IF($C378="","",IFERROR(INDEX(المنيو!$C$2:$C$500,MATCH($C378,المنيو!$B$2:$B$500,0)),0))</f>
        <v/>
      </c>
      <c r="F378" s="103" t="str">
        <f aca="false">IF($C378="","",$D378*$E378)</f>
        <v/>
      </c>
      <c r="G378" s="103" t="str">
        <f aca="false">IF($C378="","",$D378*IFERROR(INDEX('تحليل التكلفة والسعر'!$C$2:$C$700,MATCH($C378,'تحليل التكلفة والسعر'!$B$2:$B$700,0)),0))</f>
        <v/>
      </c>
    </row>
    <row r="379" customFormat="false" ht="15" hidden="false" customHeight="false" outlineLevel="0" collapsed="false">
      <c r="A379" s="102"/>
      <c r="E379" s="103" t="str">
        <f aca="false">IF($C379="","",IFERROR(INDEX(المنيو!$C$2:$C$500,MATCH($C379,المنيو!$B$2:$B$500,0)),0))</f>
        <v/>
      </c>
      <c r="F379" s="103" t="str">
        <f aca="false">IF($C379="","",$D379*$E379)</f>
        <v/>
      </c>
      <c r="G379" s="103" t="str">
        <f aca="false">IF($C379="","",$D379*IFERROR(INDEX('تحليل التكلفة والسعر'!$C$2:$C$700,MATCH($C379,'تحليل التكلفة والسعر'!$B$2:$B$700,0)),0))</f>
        <v/>
      </c>
    </row>
    <row r="380" customFormat="false" ht="15" hidden="false" customHeight="false" outlineLevel="0" collapsed="false">
      <c r="A380" s="102"/>
      <c r="E380" s="103" t="str">
        <f aca="false">IF($C380="","",IFERROR(INDEX(المنيو!$C$2:$C$500,MATCH($C380,المنيو!$B$2:$B$500,0)),0))</f>
        <v/>
      </c>
      <c r="F380" s="103" t="str">
        <f aca="false">IF($C380="","",$D380*$E380)</f>
        <v/>
      </c>
      <c r="G380" s="103" t="str">
        <f aca="false">IF($C380="","",$D380*IFERROR(INDEX('تحليل التكلفة والسعر'!$C$2:$C$700,MATCH($C380,'تحليل التكلفة والسعر'!$B$2:$B$700,0)),0))</f>
        <v/>
      </c>
    </row>
    <row r="381" customFormat="false" ht="15" hidden="false" customHeight="false" outlineLevel="0" collapsed="false">
      <c r="A381" s="102"/>
      <c r="E381" s="103" t="str">
        <f aca="false">IF($C381="","",IFERROR(INDEX(المنيو!$C$2:$C$500,MATCH($C381,المنيو!$B$2:$B$500,0)),0))</f>
        <v/>
      </c>
      <c r="F381" s="103" t="str">
        <f aca="false">IF($C381="","",$D381*$E381)</f>
        <v/>
      </c>
      <c r="G381" s="103" t="str">
        <f aca="false">IF($C381="","",$D381*IFERROR(INDEX('تحليل التكلفة والسعر'!$C$2:$C$700,MATCH($C381,'تحليل التكلفة والسعر'!$B$2:$B$700,0)),0))</f>
        <v/>
      </c>
    </row>
    <row r="382" customFormat="false" ht="15" hidden="false" customHeight="false" outlineLevel="0" collapsed="false">
      <c r="A382" s="102"/>
      <c r="E382" s="103" t="str">
        <f aca="false">IF($C382="","",IFERROR(INDEX(المنيو!$C$2:$C$500,MATCH($C382,المنيو!$B$2:$B$500,0)),0))</f>
        <v/>
      </c>
      <c r="F382" s="103" t="str">
        <f aca="false">IF($C382="","",$D382*$E382)</f>
        <v/>
      </c>
      <c r="G382" s="103" t="str">
        <f aca="false">IF($C382="","",$D382*IFERROR(INDEX('تحليل التكلفة والسعر'!$C$2:$C$700,MATCH($C382,'تحليل التكلفة والسعر'!$B$2:$B$700,0)),0))</f>
        <v/>
      </c>
    </row>
    <row r="383" customFormat="false" ht="15" hidden="false" customHeight="false" outlineLevel="0" collapsed="false">
      <c r="A383" s="102"/>
      <c r="E383" s="103" t="str">
        <f aca="false">IF($C383="","",IFERROR(INDEX(المنيو!$C$2:$C$500,MATCH($C383,المنيو!$B$2:$B$500,0)),0))</f>
        <v/>
      </c>
      <c r="F383" s="103" t="str">
        <f aca="false">IF($C383="","",$D383*$E383)</f>
        <v/>
      </c>
      <c r="G383" s="103" t="str">
        <f aca="false">IF($C383="","",$D383*IFERROR(INDEX('تحليل التكلفة والسعر'!$C$2:$C$700,MATCH($C383,'تحليل التكلفة والسعر'!$B$2:$B$700,0)),0))</f>
        <v/>
      </c>
    </row>
    <row r="384" customFormat="false" ht="15" hidden="false" customHeight="false" outlineLevel="0" collapsed="false">
      <c r="A384" s="102"/>
      <c r="E384" s="103" t="str">
        <f aca="false">IF($C384="","",IFERROR(INDEX(المنيو!$C$2:$C$500,MATCH($C384,المنيو!$B$2:$B$500,0)),0))</f>
        <v/>
      </c>
      <c r="F384" s="103" t="str">
        <f aca="false">IF($C384="","",$D384*$E384)</f>
        <v/>
      </c>
      <c r="G384" s="103" t="str">
        <f aca="false">IF($C384="","",$D384*IFERROR(INDEX('تحليل التكلفة والسعر'!$C$2:$C$700,MATCH($C384,'تحليل التكلفة والسعر'!$B$2:$B$700,0)),0))</f>
        <v/>
      </c>
    </row>
    <row r="385" customFormat="false" ht="15" hidden="false" customHeight="false" outlineLevel="0" collapsed="false">
      <c r="A385" s="102"/>
      <c r="E385" s="103" t="str">
        <f aca="false">IF($C385="","",IFERROR(INDEX(المنيو!$C$2:$C$500,MATCH($C385,المنيو!$B$2:$B$500,0)),0))</f>
        <v/>
      </c>
      <c r="F385" s="103" t="str">
        <f aca="false">IF($C385="","",$D385*$E385)</f>
        <v/>
      </c>
      <c r="G385" s="103" t="str">
        <f aca="false">IF($C385="","",$D385*IFERROR(INDEX('تحليل التكلفة والسعر'!$C$2:$C$700,MATCH($C385,'تحليل التكلفة والسعر'!$B$2:$B$700,0)),0))</f>
        <v/>
      </c>
    </row>
    <row r="386" customFormat="false" ht="15" hidden="false" customHeight="false" outlineLevel="0" collapsed="false">
      <c r="A386" s="102"/>
      <c r="E386" s="103" t="str">
        <f aca="false">IF($C386="","",IFERROR(INDEX(المنيو!$C$2:$C$500,MATCH($C386,المنيو!$B$2:$B$500,0)),0))</f>
        <v/>
      </c>
      <c r="F386" s="103" t="str">
        <f aca="false">IF($C386="","",$D386*$E386)</f>
        <v/>
      </c>
      <c r="G386" s="103" t="str">
        <f aca="false">IF($C386="","",$D386*IFERROR(INDEX('تحليل التكلفة والسعر'!$C$2:$C$700,MATCH($C386,'تحليل التكلفة والسعر'!$B$2:$B$700,0)),0))</f>
        <v/>
      </c>
    </row>
    <row r="387" customFormat="false" ht="15" hidden="false" customHeight="false" outlineLevel="0" collapsed="false">
      <c r="A387" s="102"/>
      <c r="E387" s="103" t="str">
        <f aca="false">IF($C387="","",IFERROR(INDEX(المنيو!$C$2:$C$500,MATCH($C387,المنيو!$B$2:$B$500,0)),0))</f>
        <v/>
      </c>
      <c r="F387" s="103" t="str">
        <f aca="false">IF($C387="","",$D387*$E387)</f>
        <v/>
      </c>
      <c r="G387" s="103" t="str">
        <f aca="false">IF($C387="","",$D387*IFERROR(INDEX('تحليل التكلفة والسعر'!$C$2:$C$700,MATCH($C387,'تحليل التكلفة والسعر'!$B$2:$B$700,0)),0))</f>
        <v/>
      </c>
    </row>
    <row r="388" customFormat="false" ht="15" hidden="false" customHeight="false" outlineLevel="0" collapsed="false">
      <c r="A388" s="102"/>
      <c r="E388" s="103" t="str">
        <f aca="false">IF($C388="","",IFERROR(INDEX(المنيو!$C$2:$C$500,MATCH($C388,المنيو!$B$2:$B$500,0)),0))</f>
        <v/>
      </c>
      <c r="F388" s="103" t="str">
        <f aca="false">IF($C388="","",$D388*$E388)</f>
        <v/>
      </c>
      <c r="G388" s="103" t="str">
        <f aca="false">IF($C388="","",$D388*IFERROR(INDEX('تحليل التكلفة والسعر'!$C$2:$C$700,MATCH($C388,'تحليل التكلفة والسعر'!$B$2:$B$700,0)),0))</f>
        <v/>
      </c>
    </row>
    <row r="389" customFormat="false" ht="15" hidden="false" customHeight="false" outlineLevel="0" collapsed="false">
      <c r="A389" s="102"/>
      <c r="E389" s="103" t="str">
        <f aca="false">IF($C389="","",IFERROR(INDEX(المنيو!$C$2:$C$500,MATCH($C389,المنيو!$B$2:$B$500,0)),0))</f>
        <v/>
      </c>
      <c r="F389" s="103" t="str">
        <f aca="false">IF($C389="","",$D389*$E389)</f>
        <v/>
      </c>
      <c r="G389" s="103" t="str">
        <f aca="false">IF($C389="","",$D389*IFERROR(INDEX('تحليل التكلفة والسعر'!$C$2:$C$700,MATCH($C389,'تحليل التكلفة والسعر'!$B$2:$B$700,0)),0))</f>
        <v/>
      </c>
    </row>
    <row r="390" customFormat="false" ht="15" hidden="false" customHeight="false" outlineLevel="0" collapsed="false">
      <c r="A390" s="102"/>
      <c r="E390" s="103" t="str">
        <f aca="false">IF($C390="","",IFERROR(INDEX(المنيو!$C$2:$C$500,MATCH($C390,المنيو!$B$2:$B$500,0)),0))</f>
        <v/>
      </c>
      <c r="F390" s="103" t="str">
        <f aca="false">IF($C390="","",$D390*$E390)</f>
        <v/>
      </c>
      <c r="G390" s="103" t="str">
        <f aca="false">IF($C390="","",$D390*IFERROR(INDEX('تحليل التكلفة والسعر'!$C$2:$C$700,MATCH($C390,'تحليل التكلفة والسعر'!$B$2:$B$700,0)),0))</f>
        <v/>
      </c>
    </row>
    <row r="391" customFormat="false" ht="15" hidden="false" customHeight="false" outlineLevel="0" collapsed="false">
      <c r="A391" s="102"/>
      <c r="E391" s="103" t="str">
        <f aca="false">IF($C391="","",IFERROR(INDEX(المنيو!$C$2:$C$500,MATCH($C391,المنيو!$B$2:$B$500,0)),0))</f>
        <v/>
      </c>
      <c r="F391" s="103" t="str">
        <f aca="false">IF($C391="","",$D391*$E391)</f>
        <v/>
      </c>
      <c r="G391" s="103" t="str">
        <f aca="false">IF($C391="","",$D391*IFERROR(INDEX('تحليل التكلفة والسعر'!$C$2:$C$700,MATCH($C391,'تحليل التكلفة والسعر'!$B$2:$B$700,0)),0))</f>
        <v/>
      </c>
    </row>
    <row r="392" customFormat="false" ht="15" hidden="false" customHeight="false" outlineLevel="0" collapsed="false">
      <c r="A392" s="102"/>
      <c r="E392" s="103" t="str">
        <f aca="false">IF($C392="","",IFERROR(INDEX(المنيو!$C$2:$C$500,MATCH($C392,المنيو!$B$2:$B$500,0)),0))</f>
        <v/>
      </c>
      <c r="F392" s="103" t="str">
        <f aca="false">IF($C392="","",$D392*$E392)</f>
        <v/>
      </c>
      <c r="G392" s="103" t="str">
        <f aca="false">IF($C392="","",$D392*IFERROR(INDEX('تحليل التكلفة والسعر'!$C$2:$C$700,MATCH($C392,'تحليل التكلفة والسعر'!$B$2:$B$700,0)),0))</f>
        <v/>
      </c>
    </row>
    <row r="393" customFormat="false" ht="15" hidden="false" customHeight="false" outlineLevel="0" collapsed="false">
      <c r="A393" s="102"/>
      <c r="E393" s="103" t="str">
        <f aca="false">IF($C393="","",IFERROR(INDEX(المنيو!$C$2:$C$500,MATCH($C393,المنيو!$B$2:$B$500,0)),0))</f>
        <v/>
      </c>
      <c r="F393" s="103" t="str">
        <f aca="false">IF($C393="","",$D393*$E393)</f>
        <v/>
      </c>
      <c r="G393" s="103" t="str">
        <f aca="false">IF($C393="","",$D393*IFERROR(INDEX('تحليل التكلفة والسعر'!$C$2:$C$700,MATCH($C393,'تحليل التكلفة والسعر'!$B$2:$B$700,0)),0))</f>
        <v/>
      </c>
    </row>
    <row r="394" customFormat="false" ht="15" hidden="false" customHeight="false" outlineLevel="0" collapsed="false">
      <c r="A394" s="102"/>
      <c r="E394" s="103" t="str">
        <f aca="false">IF($C394="","",IFERROR(INDEX(المنيو!$C$2:$C$500,MATCH($C394,المنيو!$B$2:$B$500,0)),0))</f>
        <v/>
      </c>
      <c r="F394" s="103" t="str">
        <f aca="false">IF($C394="","",$D394*$E394)</f>
        <v/>
      </c>
      <c r="G394" s="103" t="str">
        <f aca="false">IF($C394="","",$D394*IFERROR(INDEX('تحليل التكلفة والسعر'!$C$2:$C$700,MATCH($C394,'تحليل التكلفة والسعر'!$B$2:$B$700,0)),0))</f>
        <v/>
      </c>
    </row>
    <row r="395" customFormat="false" ht="15" hidden="false" customHeight="false" outlineLevel="0" collapsed="false">
      <c r="A395" s="102"/>
      <c r="E395" s="103" t="str">
        <f aca="false">IF($C395="","",IFERROR(INDEX(المنيو!$C$2:$C$500,MATCH($C395,المنيو!$B$2:$B$500,0)),0))</f>
        <v/>
      </c>
      <c r="F395" s="103" t="str">
        <f aca="false">IF($C395="","",$D395*$E395)</f>
        <v/>
      </c>
      <c r="G395" s="103" t="str">
        <f aca="false">IF($C395="","",$D395*IFERROR(INDEX('تحليل التكلفة والسعر'!$C$2:$C$700,MATCH($C395,'تحليل التكلفة والسعر'!$B$2:$B$700,0)),0))</f>
        <v/>
      </c>
    </row>
    <row r="396" customFormat="false" ht="15" hidden="false" customHeight="false" outlineLevel="0" collapsed="false">
      <c r="A396" s="102"/>
      <c r="E396" s="103" t="str">
        <f aca="false">IF($C396="","",IFERROR(INDEX(المنيو!$C$2:$C$500,MATCH($C396,المنيو!$B$2:$B$500,0)),0))</f>
        <v/>
      </c>
      <c r="F396" s="103" t="str">
        <f aca="false">IF($C396="","",$D396*$E396)</f>
        <v/>
      </c>
      <c r="G396" s="103" t="str">
        <f aca="false">IF($C396="","",$D396*IFERROR(INDEX('تحليل التكلفة والسعر'!$C$2:$C$700,MATCH($C396,'تحليل التكلفة والسعر'!$B$2:$B$700,0)),0))</f>
        <v/>
      </c>
    </row>
    <row r="397" customFormat="false" ht="15" hidden="false" customHeight="false" outlineLevel="0" collapsed="false">
      <c r="A397" s="102"/>
      <c r="E397" s="103" t="str">
        <f aca="false">IF($C397="","",IFERROR(INDEX(المنيو!$C$2:$C$500,MATCH($C397,المنيو!$B$2:$B$500,0)),0))</f>
        <v/>
      </c>
      <c r="F397" s="103" t="str">
        <f aca="false">IF($C397="","",$D397*$E397)</f>
        <v/>
      </c>
      <c r="G397" s="103" t="str">
        <f aca="false">IF($C397="","",$D397*IFERROR(INDEX('تحليل التكلفة والسعر'!$C$2:$C$700,MATCH($C397,'تحليل التكلفة والسعر'!$B$2:$B$700,0)),0))</f>
        <v/>
      </c>
    </row>
    <row r="398" customFormat="false" ht="15" hidden="false" customHeight="false" outlineLevel="0" collapsed="false">
      <c r="A398" s="102"/>
      <c r="E398" s="103" t="str">
        <f aca="false">IF($C398="","",IFERROR(INDEX(المنيو!$C$2:$C$500,MATCH($C398,المنيو!$B$2:$B$500,0)),0))</f>
        <v/>
      </c>
      <c r="F398" s="103" t="str">
        <f aca="false">IF($C398="","",$D398*$E398)</f>
        <v/>
      </c>
      <c r="G398" s="103" t="str">
        <f aca="false">IF($C398="","",$D398*IFERROR(INDEX('تحليل التكلفة والسعر'!$C$2:$C$700,MATCH($C398,'تحليل التكلفة والسعر'!$B$2:$B$700,0)),0))</f>
        <v/>
      </c>
    </row>
    <row r="399" customFormat="false" ht="15" hidden="false" customHeight="false" outlineLevel="0" collapsed="false">
      <c r="A399" s="102"/>
      <c r="E399" s="103" t="str">
        <f aca="false">IF($C399="","",IFERROR(INDEX(المنيو!$C$2:$C$500,MATCH($C399,المنيو!$B$2:$B$500,0)),0))</f>
        <v/>
      </c>
      <c r="F399" s="103" t="str">
        <f aca="false">IF($C399="","",$D399*$E399)</f>
        <v/>
      </c>
      <c r="G399" s="103" t="str">
        <f aca="false">IF($C399="","",$D399*IFERROR(INDEX('تحليل التكلفة والسعر'!$C$2:$C$700,MATCH($C399,'تحليل التكلفة والسعر'!$B$2:$B$700,0)),0))</f>
        <v/>
      </c>
    </row>
    <row r="400" customFormat="false" ht="15" hidden="false" customHeight="false" outlineLevel="0" collapsed="false">
      <c r="A400" s="102"/>
      <c r="E400" s="103" t="str">
        <f aca="false">IF($C400="","",IFERROR(INDEX(المنيو!$C$2:$C$500,MATCH($C400,المنيو!$B$2:$B$500,0)),0))</f>
        <v/>
      </c>
      <c r="F400" s="103" t="str">
        <f aca="false">IF($C400="","",$D400*$E400)</f>
        <v/>
      </c>
      <c r="G400" s="103" t="str">
        <f aca="false">IF($C400="","",$D400*IFERROR(INDEX('تحليل التكلفة والسعر'!$C$2:$C$700,MATCH($C400,'تحليل التكلفة والسعر'!$B$2:$B$700,0)),0))</f>
        <v/>
      </c>
    </row>
    <row r="401" customFormat="false" ht="15" hidden="false" customHeight="false" outlineLevel="0" collapsed="false">
      <c r="A401" s="102"/>
      <c r="E401" s="103" t="str">
        <f aca="false">IF($C401="","",IFERROR(INDEX(المنيو!$C$2:$C$500,MATCH($C401,المنيو!$B$2:$B$500,0)),0))</f>
        <v/>
      </c>
      <c r="F401" s="103" t="str">
        <f aca="false">IF($C401="","",$D401*$E401)</f>
        <v/>
      </c>
      <c r="G401" s="103" t="str">
        <f aca="false">IF($C401="","",$D401*IFERROR(INDEX('تحليل التكلفة والسعر'!$C$2:$C$700,MATCH($C401,'تحليل التكلفة والسعر'!$B$2:$B$700,0)),0))</f>
        <v/>
      </c>
    </row>
    <row r="402" customFormat="false" ht="15" hidden="false" customHeight="false" outlineLevel="0" collapsed="false">
      <c r="A402" s="102"/>
      <c r="E402" s="103" t="str">
        <f aca="false">IF($C402="","",IFERROR(INDEX(المنيو!$C$2:$C$500,MATCH($C402,المنيو!$B$2:$B$500,0)),0))</f>
        <v/>
      </c>
      <c r="F402" s="103" t="str">
        <f aca="false">IF($C402="","",$D402*$E402)</f>
        <v/>
      </c>
      <c r="G402" s="103" t="str">
        <f aca="false">IF($C402="","",$D402*IFERROR(INDEX('تحليل التكلفة والسعر'!$C$2:$C$700,MATCH($C402,'تحليل التكلفة والسعر'!$B$2:$B$700,0)),0))</f>
        <v/>
      </c>
    </row>
    <row r="403" customFormat="false" ht="15" hidden="false" customHeight="false" outlineLevel="0" collapsed="false">
      <c r="A403" s="102"/>
      <c r="E403" s="103" t="str">
        <f aca="false">IF($C403="","",IFERROR(INDEX(المنيو!$C$2:$C$500,MATCH($C403,المنيو!$B$2:$B$500,0)),0))</f>
        <v/>
      </c>
      <c r="F403" s="103" t="str">
        <f aca="false">IF($C403="","",$D403*$E403)</f>
        <v/>
      </c>
      <c r="G403" s="103" t="str">
        <f aca="false">IF($C403="","",$D403*IFERROR(INDEX('تحليل التكلفة والسعر'!$C$2:$C$700,MATCH($C403,'تحليل التكلفة والسعر'!$B$2:$B$700,0)),0))</f>
        <v/>
      </c>
    </row>
    <row r="404" customFormat="false" ht="15" hidden="false" customHeight="false" outlineLevel="0" collapsed="false">
      <c r="A404" s="102"/>
      <c r="E404" s="103" t="str">
        <f aca="false">IF($C404="","",IFERROR(INDEX(المنيو!$C$2:$C$500,MATCH($C404,المنيو!$B$2:$B$500,0)),0))</f>
        <v/>
      </c>
      <c r="F404" s="103" t="str">
        <f aca="false">IF($C404="","",$D404*$E404)</f>
        <v/>
      </c>
      <c r="G404" s="103" t="str">
        <f aca="false">IF($C404="","",$D404*IFERROR(INDEX('تحليل التكلفة والسعر'!$C$2:$C$700,MATCH($C404,'تحليل التكلفة والسعر'!$B$2:$B$700,0)),0))</f>
        <v/>
      </c>
    </row>
    <row r="405" customFormat="false" ht="15" hidden="false" customHeight="false" outlineLevel="0" collapsed="false">
      <c r="A405" s="102"/>
      <c r="E405" s="103" t="str">
        <f aca="false">IF($C405="","",IFERROR(INDEX(المنيو!$C$2:$C$500,MATCH($C405,المنيو!$B$2:$B$500,0)),0))</f>
        <v/>
      </c>
      <c r="F405" s="103" t="str">
        <f aca="false">IF($C405="","",$D405*$E405)</f>
        <v/>
      </c>
      <c r="G405" s="103" t="str">
        <f aca="false">IF($C405="","",$D405*IFERROR(INDEX('تحليل التكلفة والسعر'!$C$2:$C$700,MATCH($C405,'تحليل التكلفة والسعر'!$B$2:$B$700,0)),0))</f>
        <v/>
      </c>
    </row>
    <row r="406" customFormat="false" ht="15" hidden="false" customHeight="false" outlineLevel="0" collapsed="false">
      <c r="A406" s="102"/>
      <c r="E406" s="103" t="str">
        <f aca="false">IF($C406="","",IFERROR(INDEX(المنيو!$C$2:$C$500,MATCH($C406,المنيو!$B$2:$B$500,0)),0))</f>
        <v/>
      </c>
      <c r="F406" s="103" t="str">
        <f aca="false">IF($C406="","",$D406*$E406)</f>
        <v/>
      </c>
      <c r="G406" s="103" t="str">
        <f aca="false">IF($C406="","",$D406*IFERROR(INDEX('تحليل التكلفة والسعر'!$C$2:$C$700,MATCH($C406,'تحليل التكلفة والسعر'!$B$2:$B$700,0)),0))</f>
        <v/>
      </c>
    </row>
    <row r="407" customFormat="false" ht="15" hidden="false" customHeight="false" outlineLevel="0" collapsed="false">
      <c r="A407" s="102"/>
      <c r="E407" s="103" t="str">
        <f aca="false">IF($C407="","",IFERROR(INDEX(المنيو!$C$2:$C$500,MATCH($C407,المنيو!$B$2:$B$500,0)),0))</f>
        <v/>
      </c>
      <c r="F407" s="103" t="str">
        <f aca="false">IF($C407="","",$D407*$E407)</f>
        <v/>
      </c>
      <c r="G407" s="103" t="str">
        <f aca="false">IF($C407="","",$D407*IFERROR(INDEX('تحليل التكلفة والسعر'!$C$2:$C$700,MATCH($C407,'تحليل التكلفة والسعر'!$B$2:$B$700,0)),0))</f>
        <v/>
      </c>
    </row>
    <row r="408" customFormat="false" ht="15" hidden="false" customHeight="false" outlineLevel="0" collapsed="false">
      <c r="A408" s="102"/>
      <c r="E408" s="103" t="str">
        <f aca="false">IF($C408="","",IFERROR(INDEX(المنيو!$C$2:$C$500,MATCH($C408,المنيو!$B$2:$B$500,0)),0))</f>
        <v/>
      </c>
      <c r="F408" s="103" t="str">
        <f aca="false">IF($C408="","",$D408*$E408)</f>
        <v/>
      </c>
      <c r="G408" s="103" t="str">
        <f aca="false">IF($C408="","",$D408*IFERROR(INDEX('تحليل التكلفة والسعر'!$C$2:$C$700,MATCH($C408,'تحليل التكلفة والسعر'!$B$2:$B$700,0)),0))</f>
        <v/>
      </c>
    </row>
    <row r="409" customFormat="false" ht="15" hidden="false" customHeight="false" outlineLevel="0" collapsed="false">
      <c r="A409" s="102"/>
      <c r="E409" s="103" t="str">
        <f aca="false">IF($C409="","",IFERROR(INDEX(المنيو!$C$2:$C$500,MATCH($C409,المنيو!$B$2:$B$500,0)),0))</f>
        <v/>
      </c>
      <c r="F409" s="103" t="str">
        <f aca="false">IF($C409="","",$D409*$E409)</f>
        <v/>
      </c>
      <c r="G409" s="103" t="str">
        <f aca="false">IF($C409="","",$D409*IFERROR(INDEX('تحليل التكلفة والسعر'!$C$2:$C$700,MATCH($C409,'تحليل التكلفة والسعر'!$B$2:$B$700,0)),0))</f>
        <v/>
      </c>
    </row>
    <row r="410" customFormat="false" ht="15" hidden="false" customHeight="false" outlineLevel="0" collapsed="false">
      <c r="A410" s="102"/>
      <c r="E410" s="103" t="str">
        <f aca="false">IF($C410="","",IFERROR(INDEX(المنيو!$C$2:$C$500,MATCH($C410,المنيو!$B$2:$B$500,0)),0))</f>
        <v/>
      </c>
      <c r="F410" s="103" t="str">
        <f aca="false">IF($C410="","",$D410*$E410)</f>
        <v/>
      </c>
      <c r="G410" s="103" t="str">
        <f aca="false">IF($C410="","",$D410*IFERROR(INDEX('تحليل التكلفة والسعر'!$C$2:$C$700,MATCH($C410,'تحليل التكلفة والسعر'!$B$2:$B$700,0)),0))</f>
        <v/>
      </c>
    </row>
    <row r="411" customFormat="false" ht="15" hidden="false" customHeight="false" outlineLevel="0" collapsed="false">
      <c r="A411" s="102"/>
      <c r="E411" s="103" t="str">
        <f aca="false">IF($C411="","",IFERROR(INDEX(المنيو!$C$2:$C$500,MATCH($C411,المنيو!$B$2:$B$500,0)),0))</f>
        <v/>
      </c>
      <c r="F411" s="103" t="str">
        <f aca="false">IF($C411="","",$D411*$E411)</f>
        <v/>
      </c>
      <c r="G411" s="103" t="str">
        <f aca="false">IF($C411="","",$D411*IFERROR(INDEX('تحليل التكلفة والسعر'!$C$2:$C$700,MATCH($C411,'تحليل التكلفة والسعر'!$B$2:$B$700,0)),0))</f>
        <v/>
      </c>
    </row>
    <row r="412" customFormat="false" ht="15" hidden="false" customHeight="false" outlineLevel="0" collapsed="false">
      <c r="A412" s="102"/>
      <c r="E412" s="103" t="str">
        <f aca="false">IF($C412="","",IFERROR(INDEX(المنيو!$C$2:$C$500,MATCH($C412,المنيو!$B$2:$B$500,0)),0))</f>
        <v/>
      </c>
      <c r="F412" s="103" t="str">
        <f aca="false">IF($C412="","",$D412*$E412)</f>
        <v/>
      </c>
      <c r="G412" s="103" t="str">
        <f aca="false">IF($C412="","",$D412*IFERROR(INDEX('تحليل التكلفة والسعر'!$C$2:$C$700,MATCH($C412,'تحليل التكلفة والسعر'!$B$2:$B$700,0)),0))</f>
        <v/>
      </c>
    </row>
    <row r="413" customFormat="false" ht="15" hidden="false" customHeight="false" outlineLevel="0" collapsed="false">
      <c r="A413" s="102"/>
      <c r="E413" s="103" t="str">
        <f aca="false">IF($C413="","",IFERROR(INDEX(المنيو!$C$2:$C$500,MATCH($C413,المنيو!$B$2:$B$500,0)),0))</f>
        <v/>
      </c>
      <c r="F413" s="103" t="str">
        <f aca="false">IF($C413="","",$D413*$E413)</f>
        <v/>
      </c>
      <c r="G413" s="103" t="str">
        <f aca="false">IF($C413="","",$D413*IFERROR(INDEX('تحليل التكلفة والسعر'!$C$2:$C$700,MATCH($C413,'تحليل التكلفة والسعر'!$B$2:$B$700,0)),0))</f>
        <v/>
      </c>
    </row>
    <row r="414" customFormat="false" ht="15" hidden="false" customHeight="false" outlineLevel="0" collapsed="false">
      <c r="A414" s="102"/>
      <c r="E414" s="103" t="str">
        <f aca="false">IF($C414="","",IFERROR(INDEX(المنيو!$C$2:$C$500,MATCH($C414,المنيو!$B$2:$B$500,0)),0))</f>
        <v/>
      </c>
      <c r="F414" s="103" t="str">
        <f aca="false">IF($C414="","",$D414*$E414)</f>
        <v/>
      </c>
      <c r="G414" s="103" t="str">
        <f aca="false">IF($C414="","",$D414*IFERROR(INDEX('تحليل التكلفة والسعر'!$C$2:$C$700,MATCH($C414,'تحليل التكلفة والسعر'!$B$2:$B$700,0)),0))</f>
        <v/>
      </c>
    </row>
    <row r="415" customFormat="false" ht="15" hidden="false" customHeight="false" outlineLevel="0" collapsed="false">
      <c r="A415" s="102"/>
      <c r="E415" s="103" t="str">
        <f aca="false">IF($C415="","",IFERROR(INDEX(المنيو!$C$2:$C$500,MATCH($C415,المنيو!$B$2:$B$500,0)),0))</f>
        <v/>
      </c>
      <c r="F415" s="103" t="str">
        <f aca="false">IF($C415="","",$D415*$E415)</f>
        <v/>
      </c>
      <c r="G415" s="103" t="str">
        <f aca="false">IF($C415="","",$D415*IFERROR(INDEX('تحليل التكلفة والسعر'!$C$2:$C$700,MATCH($C415,'تحليل التكلفة والسعر'!$B$2:$B$700,0)),0))</f>
        <v/>
      </c>
    </row>
    <row r="416" customFormat="false" ht="15" hidden="false" customHeight="false" outlineLevel="0" collapsed="false">
      <c r="A416" s="102"/>
      <c r="E416" s="103" t="str">
        <f aca="false">IF($C416="","",IFERROR(INDEX(المنيو!$C$2:$C$500,MATCH($C416,المنيو!$B$2:$B$500,0)),0))</f>
        <v/>
      </c>
      <c r="F416" s="103" t="str">
        <f aca="false">IF($C416="","",$D416*$E416)</f>
        <v/>
      </c>
      <c r="G416" s="103" t="str">
        <f aca="false">IF($C416="","",$D416*IFERROR(INDEX('تحليل التكلفة والسعر'!$C$2:$C$700,MATCH($C416,'تحليل التكلفة والسعر'!$B$2:$B$700,0)),0))</f>
        <v/>
      </c>
    </row>
    <row r="417" customFormat="false" ht="15" hidden="false" customHeight="false" outlineLevel="0" collapsed="false">
      <c r="A417" s="102"/>
      <c r="E417" s="103" t="str">
        <f aca="false">IF($C417="","",IFERROR(INDEX(المنيو!$C$2:$C$500,MATCH($C417,المنيو!$B$2:$B$500,0)),0))</f>
        <v/>
      </c>
      <c r="F417" s="103" t="str">
        <f aca="false">IF($C417="","",$D417*$E417)</f>
        <v/>
      </c>
      <c r="G417" s="103" t="str">
        <f aca="false">IF($C417="","",$D417*IFERROR(INDEX('تحليل التكلفة والسعر'!$C$2:$C$700,MATCH($C417,'تحليل التكلفة والسعر'!$B$2:$B$700,0)),0))</f>
        <v/>
      </c>
    </row>
    <row r="418" customFormat="false" ht="15" hidden="false" customHeight="false" outlineLevel="0" collapsed="false">
      <c r="A418" s="102"/>
      <c r="E418" s="103" t="str">
        <f aca="false">IF($C418="","",IFERROR(INDEX(المنيو!$C$2:$C$500,MATCH($C418,المنيو!$B$2:$B$500,0)),0))</f>
        <v/>
      </c>
      <c r="F418" s="103" t="str">
        <f aca="false">IF($C418="","",$D418*$E418)</f>
        <v/>
      </c>
      <c r="G418" s="103" t="str">
        <f aca="false">IF($C418="","",$D418*IFERROR(INDEX('تحليل التكلفة والسعر'!$C$2:$C$700,MATCH($C418,'تحليل التكلفة والسعر'!$B$2:$B$700,0)),0))</f>
        <v/>
      </c>
    </row>
    <row r="419" customFormat="false" ht="15" hidden="false" customHeight="false" outlineLevel="0" collapsed="false">
      <c r="A419" s="102"/>
      <c r="E419" s="103" t="str">
        <f aca="false">IF($C419="","",IFERROR(INDEX(المنيو!$C$2:$C$500,MATCH($C419,المنيو!$B$2:$B$500,0)),0))</f>
        <v/>
      </c>
      <c r="F419" s="103" t="str">
        <f aca="false">IF($C419="","",$D419*$E419)</f>
        <v/>
      </c>
      <c r="G419" s="103" t="str">
        <f aca="false">IF($C419="","",$D419*IFERROR(INDEX('تحليل التكلفة والسعر'!$C$2:$C$700,MATCH($C419,'تحليل التكلفة والسعر'!$B$2:$B$700,0)),0))</f>
        <v/>
      </c>
    </row>
    <row r="420" customFormat="false" ht="15" hidden="false" customHeight="false" outlineLevel="0" collapsed="false">
      <c r="A420" s="102"/>
      <c r="E420" s="103" t="str">
        <f aca="false">IF($C420="","",IFERROR(INDEX(المنيو!$C$2:$C$500,MATCH($C420,المنيو!$B$2:$B$500,0)),0))</f>
        <v/>
      </c>
      <c r="F420" s="103" t="str">
        <f aca="false">IF($C420="","",$D420*$E420)</f>
        <v/>
      </c>
      <c r="G420" s="103" t="str">
        <f aca="false">IF($C420="","",$D420*IFERROR(INDEX('تحليل التكلفة والسعر'!$C$2:$C$700,MATCH($C420,'تحليل التكلفة والسعر'!$B$2:$B$700,0)),0))</f>
        <v/>
      </c>
    </row>
    <row r="421" customFormat="false" ht="15" hidden="false" customHeight="false" outlineLevel="0" collapsed="false">
      <c r="A421" s="102"/>
      <c r="E421" s="103" t="str">
        <f aca="false">IF($C421="","",IFERROR(INDEX(المنيو!$C$2:$C$500,MATCH($C421,المنيو!$B$2:$B$500,0)),0))</f>
        <v/>
      </c>
      <c r="F421" s="103" t="str">
        <f aca="false">IF($C421="","",$D421*$E421)</f>
        <v/>
      </c>
      <c r="G421" s="103" t="str">
        <f aca="false">IF($C421="","",$D421*IFERROR(INDEX('تحليل التكلفة والسعر'!$C$2:$C$700,MATCH($C421,'تحليل التكلفة والسعر'!$B$2:$B$700,0)),0))</f>
        <v/>
      </c>
    </row>
    <row r="422" customFormat="false" ht="15" hidden="false" customHeight="false" outlineLevel="0" collapsed="false">
      <c r="A422" s="102"/>
      <c r="E422" s="103" t="str">
        <f aca="false">IF($C422="","",IFERROR(INDEX(المنيو!$C$2:$C$500,MATCH($C422,المنيو!$B$2:$B$500,0)),0))</f>
        <v/>
      </c>
      <c r="F422" s="103" t="str">
        <f aca="false">IF($C422="","",$D422*$E422)</f>
        <v/>
      </c>
      <c r="G422" s="103" t="str">
        <f aca="false">IF($C422="","",$D422*IFERROR(INDEX('تحليل التكلفة والسعر'!$C$2:$C$700,MATCH($C422,'تحليل التكلفة والسعر'!$B$2:$B$700,0)),0))</f>
        <v/>
      </c>
    </row>
    <row r="423" customFormat="false" ht="15" hidden="false" customHeight="false" outlineLevel="0" collapsed="false">
      <c r="A423" s="102"/>
      <c r="E423" s="103" t="str">
        <f aca="false">IF($C423="","",IFERROR(INDEX(المنيو!$C$2:$C$500,MATCH($C423,المنيو!$B$2:$B$500,0)),0))</f>
        <v/>
      </c>
      <c r="F423" s="103" t="str">
        <f aca="false">IF($C423="","",$D423*$E423)</f>
        <v/>
      </c>
      <c r="G423" s="103" t="str">
        <f aca="false">IF($C423="","",$D423*IFERROR(INDEX('تحليل التكلفة والسعر'!$C$2:$C$700,MATCH($C423,'تحليل التكلفة والسعر'!$B$2:$B$700,0)),0))</f>
        <v/>
      </c>
    </row>
    <row r="424" customFormat="false" ht="15" hidden="false" customHeight="false" outlineLevel="0" collapsed="false">
      <c r="A424" s="102"/>
      <c r="E424" s="103" t="str">
        <f aca="false">IF($C424="","",IFERROR(INDEX(المنيو!$C$2:$C$500,MATCH($C424,المنيو!$B$2:$B$500,0)),0))</f>
        <v/>
      </c>
      <c r="F424" s="103" t="str">
        <f aca="false">IF($C424="","",$D424*$E424)</f>
        <v/>
      </c>
      <c r="G424" s="103" t="str">
        <f aca="false">IF($C424="","",$D424*IFERROR(INDEX('تحليل التكلفة والسعر'!$C$2:$C$700,MATCH($C424,'تحليل التكلفة والسعر'!$B$2:$B$700,0)),0))</f>
        <v/>
      </c>
    </row>
    <row r="425" customFormat="false" ht="15" hidden="false" customHeight="false" outlineLevel="0" collapsed="false">
      <c r="A425" s="102"/>
      <c r="E425" s="103" t="str">
        <f aca="false">IF($C425="","",IFERROR(INDEX(المنيو!$C$2:$C$500,MATCH($C425,المنيو!$B$2:$B$500,0)),0))</f>
        <v/>
      </c>
      <c r="F425" s="103" t="str">
        <f aca="false">IF($C425="","",$D425*$E425)</f>
        <v/>
      </c>
      <c r="G425" s="103" t="str">
        <f aca="false">IF($C425="","",$D425*IFERROR(INDEX('تحليل التكلفة والسعر'!$C$2:$C$700,MATCH($C425,'تحليل التكلفة والسعر'!$B$2:$B$700,0)),0))</f>
        <v/>
      </c>
    </row>
    <row r="426" customFormat="false" ht="15" hidden="false" customHeight="false" outlineLevel="0" collapsed="false">
      <c r="A426" s="102"/>
      <c r="E426" s="103" t="str">
        <f aca="false">IF($C426="","",IFERROR(INDEX(المنيو!$C$2:$C$500,MATCH($C426,المنيو!$B$2:$B$500,0)),0))</f>
        <v/>
      </c>
      <c r="F426" s="103" t="str">
        <f aca="false">IF($C426="","",$D426*$E426)</f>
        <v/>
      </c>
      <c r="G426" s="103" t="str">
        <f aca="false">IF($C426="","",$D426*IFERROR(INDEX('تحليل التكلفة والسعر'!$C$2:$C$700,MATCH($C426,'تحليل التكلفة والسعر'!$B$2:$B$700,0)),0))</f>
        <v/>
      </c>
    </row>
    <row r="427" customFormat="false" ht="15" hidden="false" customHeight="false" outlineLevel="0" collapsed="false">
      <c r="A427" s="102"/>
      <c r="E427" s="103" t="str">
        <f aca="false">IF($C427="","",IFERROR(INDEX(المنيو!$C$2:$C$500,MATCH($C427,المنيو!$B$2:$B$500,0)),0))</f>
        <v/>
      </c>
      <c r="F427" s="103" t="str">
        <f aca="false">IF($C427="","",$D427*$E427)</f>
        <v/>
      </c>
      <c r="G427" s="103" t="str">
        <f aca="false">IF($C427="","",$D427*IFERROR(INDEX('تحليل التكلفة والسعر'!$C$2:$C$700,MATCH($C427,'تحليل التكلفة والسعر'!$B$2:$B$700,0)),0))</f>
        <v/>
      </c>
    </row>
    <row r="428" customFormat="false" ht="15" hidden="false" customHeight="false" outlineLevel="0" collapsed="false">
      <c r="A428" s="102"/>
      <c r="E428" s="103" t="str">
        <f aca="false">IF($C428="","",IFERROR(INDEX(المنيو!$C$2:$C$500,MATCH($C428,المنيو!$B$2:$B$500,0)),0))</f>
        <v/>
      </c>
      <c r="F428" s="103" t="str">
        <f aca="false">IF($C428="","",$D428*$E428)</f>
        <v/>
      </c>
      <c r="G428" s="103" t="str">
        <f aca="false">IF($C428="","",$D428*IFERROR(INDEX('تحليل التكلفة والسعر'!$C$2:$C$700,MATCH($C428,'تحليل التكلفة والسعر'!$B$2:$B$700,0)),0))</f>
        <v/>
      </c>
    </row>
    <row r="429" customFormat="false" ht="15" hidden="false" customHeight="false" outlineLevel="0" collapsed="false">
      <c r="A429" s="102"/>
      <c r="E429" s="103" t="str">
        <f aca="false">IF($C429="","",IFERROR(INDEX(المنيو!$C$2:$C$500,MATCH($C429,المنيو!$B$2:$B$500,0)),0))</f>
        <v/>
      </c>
      <c r="F429" s="103" t="str">
        <f aca="false">IF($C429="","",$D429*$E429)</f>
        <v/>
      </c>
      <c r="G429" s="103" t="str">
        <f aca="false">IF($C429="","",$D429*IFERROR(INDEX('تحليل التكلفة والسعر'!$C$2:$C$700,MATCH($C429,'تحليل التكلفة والسعر'!$B$2:$B$700,0)),0))</f>
        <v/>
      </c>
    </row>
    <row r="430" customFormat="false" ht="15" hidden="false" customHeight="false" outlineLevel="0" collapsed="false">
      <c r="A430" s="102"/>
      <c r="E430" s="103" t="str">
        <f aca="false">IF($C430="","",IFERROR(INDEX(المنيو!$C$2:$C$500,MATCH($C430,المنيو!$B$2:$B$500,0)),0))</f>
        <v/>
      </c>
      <c r="F430" s="103" t="str">
        <f aca="false">IF($C430="","",$D430*$E430)</f>
        <v/>
      </c>
      <c r="G430" s="103" t="str">
        <f aca="false">IF($C430="","",$D430*IFERROR(INDEX('تحليل التكلفة والسعر'!$C$2:$C$700,MATCH($C430,'تحليل التكلفة والسعر'!$B$2:$B$700,0)),0))</f>
        <v/>
      </c>
    </row>
    <row r="431" customFormat="false" ht="15" hidden="false" customHeight="false" outlineLevel="0" collapsed="false">
      <c r="A431" s="102"/>
      <c r="E431" s="103" t="str">
        <f aca="false">IF($C431="","",IFERROR(INDEX(المنيو!$C$2:$C$500,MATCH($C431,المنيو!$B$2:$B$500,0)),0))</f>
        <v/>
      </c>
      <c r="F431" s="103" t="str">
        <f aca="false">IF($C431="","",$D431*$E431)</f>
        <v/>
      </c>
      <c r="G431" s="103" t="str">
        <f aca="false">IF($C431="","",$D431*IFERROR(INDEX('تحليل التكلفة والسعر'!$C$2:$C$700,MATCH($C431,'تحليل التكلفة والسعر'!$B$2:$B$700,0)),0))</f>
        <v/>
      </c>
    </row>
    <row r="432" customFormat="false" ht="15" hidden="false" customHeight="false" outlineLevel="0" collapsed="false">
      <c r="A432" s="102"/>
      <c r="E432" s="103" t="str">
        <f aca="false">IF($C432="","",IFERROR(INDEX(المنيو!$C$2:$C$500,MATCH($C432,المنيو!$B$2:$B$500,0)),0))</f>
        <v/>
      </c>
      <c r="F432" s="103" t="str">
        <f aca="false">IF($C432="","",$D432*$E432)</f>
        <v/>
      </c>
      <c r="G432" s="103" t="str">
        <f aca="false">IF($C432="","",$D432*IFERROR(INDEX('تحليل التكلفة والسعر'!$C$2:$C$700,MATCH($C432,'تحليل التكلفة والسعر'!$B$2:$B$700,0)),0))</f>
        <v/>
      </c>
    </row>
    <row r="433" customFormat="false" ht="15" hidden="false" customHeight="false" outlineLevel="0" collapsed="false">
      <c r="A433" s="102"/>
      <c r="E433" s="103" t="str">
        <f aca="false">IF($C433="","",IFERROR(INDEX(المنيو!$C$2:$C$500,MATCH($C433,المنيو!$B$2:$B$500,0)),0))</f>
        <v/>
      </c>
      <c r="F433" s="103" t="str">
        <f aca="false">IF($C433="","",$D433*$E433)</f>
        <v/>
      </c>
      <c r="G433" s="103" t="str">
        <f aca="false">IF($C433="","",$D433*IFERROR(INDEX('تحليل التكلفة والسعر'!$C$2:$C$700,MATCH($C433,'تحليل التكلفة والسعر'!$B$2:$B$700,0)),0))</f>
        <v/>
      </c>
    </row>
    <row r="434" customFormat="false" ht="15" hidden="false" customHeight="false" outlineLevel="0" collapsed="false">
      <c r="A434" s="102"/>
      <c r="E434" s="103" t="str">
        <f aca="false">IF($C434="","",IFERROR(INDEX(المنيو!$C$2:$C$500,MATCH($C434,المنيو!$B$2:$B$500,0)),0))</f>
        <v/>
      </c>
      <c r="F434" s="103" t="str">
        <f aca="false">IF($C434="","",$D434*$E434)</f>
        <v/>
      </c>
      <c r="G434" s="103" t="str">
        <f aca="false">IF($C434="","",$D434*IFERROR(INDEX('تحليل التكلفة والسعر'!$C$2:$C$700,MATCH($C434,'تحليل التكلفة والسعر'!$B$2:$B$700,0)),0))</f>
        <v/>
      </c>
    </row>
    <row r="435" customFormat="false" ht="15" hidden="false" customHeight="false" outlineLevel="0" collapsed="false">
      <c r="A435" s="102"/>
      <c r="E435" s="103" t="str">
        <f aca="false">IF($C435="","",IFERROR(INDEX(المنيو!$C$2:$C$500,MATCH($C435,المنيو!$B$2:$B$500,0)),0))</f>
        <v/>
      </c>
      <c r="F435" s="103" t="str">
        <f aca="false">IF($C435="","",$D435*$E435)</f>
        <v/>
      </c>
      <c r="G435" s="103" t="str">
        <f aca="false">IF($C435="","",$D435*IFERROR(INDEX('تحليل التكلفة والسعر'!$C$2:$C$700,MATCH($C435,'تحليل التكلفة والسعر'!$B$2:$B$700,0)),0))</f>
        <v/>
      </c>
    </row>
    <row r="436" customFormat="false" ht="15" hidden="false" customHeight="false" outlineLevel="0" collapsed="false">
      <c r="A436" s="102"/>
      <c r="E436" s="103" t="str">
        <f aca="false">IF($C436="","",IFERROR(INDEX(المنيو!$C$2:$C$500,MATCH($C436,المنيو!$B$2:$B$500,0)),0))</f>
        <v/>
      </c>
      <c r="F436" s="103" t="str">
        <f aca="false">IF($C436="","",$D436*$E436)</f>
        <v/>
      </c>
      <c r="G436" s="103" t="str">
        <f aca="false">IF($C436="","",$D436*IFERROR(INDEX('تحليل التكلفة والسعر'!$C$2:$C$700,MATCH($C436,'تحليل التكلفة والسعر'!$B$2:$B$700,0)),0))</f>
        <v/>
      </c>
    </row>
    <row r="437" customFormat="false" ht="15" hidden="false" customHeight="false" outlineLevel="0" collapsed="false">
      <c r="A437" s="102"/>
      <c r="E437" s="103" t="str">
        <f aca="false">IF($C437="","",IFERROR(INDEX(المنيو!$C$2:$C$500,MATCH($C437,المنيو!$B$2:$B$500,0)),0))</f>
        <v/>
      </c>
      <c r="F437" s="103" t="str">
        <f aca="false">IF($C437="","",$D437*$E437)</f>
        <v/>
      </c>
      <c r="G437" s="103" t="str">
        <f aca="false">IF($C437="","",$D437*IFERROR(INDEX('تحليل التكلفة والسعر'!$C$2:$C$700,MATCH($C437,'تحليل التكلفة والسعر'!$B$2:$B$700,0)),0))</f>
        <v/>
      </c>
    </row>
    <row r="438" customFormat="false" ht="15" hidden="false" customHeight="false" outlineLevel="0" collapsed="false">
      <c r="A438" s="102"/>
      <c r="E438" s="103" t="str">
        <f aca="false">IF($C438="","",IFERROR(INDEX(المنيو!$C$2:$C$500,MATCH($C438,المنيو!$B$2:$B$500,0)),0))</f>
        <v/>
      </c>
      <c r="F438" s="103" t="str">
        <f aca="false">IF($C438="","",$D438*$E438)</f>
        <v/>
      </c>
      <c r="G438" s="103" t="str">
        <f aca="false">IF($C438="","",$D438*IFERROR(INDEX('تحليل التكلفة والسعر'!$C$2:$C$700,MATCH($C438,'تحليل التكلفة والسعر'!$B$2:$B$700,0)),0))</f>
        <v/>
      </c>
    </row>
    <row r="439" customFormat="false" ht="15" hidden="false" customHeight="false" outlineLevel="0" collapsed="false">
      <c r="A439" s="102"/>
      <c r="E439" s="103" t="str">
        <f aca="false">IF($C439="","",IFERROR(INDEX(المنيو!$C$2:$C$500,MATCH($C439,المنيو!$B$2:$B$500,0)),0))</f>
        <v/>
      </c>
      <c r="F439" s="103" t="str">
        <f aca="false">IF($C439="","",$D439*$E439)</f>
        <v/>
      </c>
      <c r="G439" s="103" t="str">
        <f aca="false">IF($C439="","",$D439*IFERROR(INDEX('تحليل التكلفة والسعر'!$C$2:$C$700,MATCH($C439,'تحليل التكلفة والسعر'!$B$2:$B$700,0)),0))</f>
        <v/>
      </c>
    </row>
    <row r="440" customFormat="false" ht="15" hidden="false" customHeight="false" outlineLevel="0" collapsed="false">
      <c r="A440" s="102"/>
      <c r="E440" s="103" t="str">
        <f aca="false">IF($C440="","",IFERROR(INDEX(المنيو!$C$2:$C$500,MATCH($C440,المنيو!$B$2:$B$500,0)),0))</f>
        <v/>
      </c>
      <c r="F440" s="103" t="str">
        <f aca="false">IF($C440="","",$D440*$E440)</f>
        <v/>
      </c>
      <c r="G440" s="103" t="str">
        <f aca="false">IF($C440="","",$D440*IFERROR(INDEX('تحليل التكلفة والسعر'!$C$2:$C$700,MATCH($C440,'تحليل التكلفة والسعر'!$B$2:$B$700,0)),0))</f>
        <v/>
      </c>
    </row>
    <row r="441" customFormat="false" ht="15" hidden="false" customHeight="false" outlineLevel="0" collapsed="false">
      <c r="A441" s="102"/>
      <c r="E441" s="103" t="str">
        <f aca="false">IF($C441="","",IFERROR(INDEX(المنيو!$C$2:$C$500,MATCH($C441,المنيو!$B$2:$B$500,0)),0))</f>
        <v/>
      </c>
      <c r="F441" s="103" t="str">
        <f aca="false">IF($C441="","",$D441*$E441)</f>
        <v/>
      </c>
      <c r="G441" s="103" t="str">
        <f aca="false">IF($C441="","",$D441*IFERROR(INDEX('تحليل التكلفة والسعر'!$C$2:$C$700,MATCH($C441,'تحليل التكلفة والسعر'!$B$2:$B$700,0)),0))</f>
        <v/>
      </c>
    </row>
    <row r="442" customFormat="false" ht="15" hidden="false" customHeight="false" outlineLevel="0" collapsed="false">
      <c r="A442" s="102"/>
      <c r="E442" s="103" t="str">
        <f aca="false">IF($C442="","",IFERROR(INDEX(المنيو!$C$2:$C$500,MATCH($C442,المنيو!$B$2:$B$500,0)),0))</f>
        <v/>
      </c>
      <c r="F442" s="103" t="str">
        <f aca="false">IF($C442="","",$D442*$E442)</f>
        <v/>
      </c>
      <c r="G442" s="103" t="str">
        <f aca="false">IF($C442="","",$D442*IFERROR(INDEX('تحليل التكلفة والسعر'!$C$2:$C$700,MATCH($C442,'تحليل التكلفة والسعر'!$B$2:$B$700,0)),0))</f>
        <v/>
      </c>
    </row>
    <row r="443" customFormat="false" ht="15" hidden="false" customHeight="false" outlineLevel="0" collapsed="false">
      <c r="A443" s="102"/>
      <c r="E443" s="103" t="str">
        <f aca="false">IF($C443="","",IFERROR(INDEX(المنيو!$C$2:$C$500,MATCH($C443,المنيو!$B$2:$B$500,0)),0))</f>
        <v/>
      </c>
      <c r="F443" s="103" t="str">
        <f aca="false">IF($C443="","",$D443*$E443)</f>
        <v/>
      </c>
      <c r="G443" s="103" t="str">
        <f aca="false">IF($C443="","",$D443*IFERROR(INDEX('تحليل التكلفة والسعر'!$C$2:$C$700,MATCH($C443,'تحليل التكلفة والسعر'!$B$2:$B$700,0)),0))</f>
        <v/>
      </c>
    </row>
    <row r="444" customFormat="false" ht="15" hidden="false" customHeight="false" outlineLevel="0" collapsed="false">
      <c r="A444" s="102"/>
      <c r="E444" s="103" t="str">
        <f aca="false">IF($C444="","",IFERROR(INDEX(المنيو!$C$2:$C$500,MATCH($C444,المنيو!$B$2:$B$500,0)),0))</f>
        <v/>
      </c>
      <c r="F444" s="103" t="str">
        <f aca="false">IF($C444="","",$D444*$E444)</f>
        <v/>
      </c>
      <c r="G444" s="103" t="str">
        <f aca="false">IF($C444="","",$D444*IFERROR(INDEX('تحليل التكلفة والسعر'!$C$2:$C$700,MATCH($C444,'تحليل التكلفة والسعر'!$B$2:$B$700,0)),0))</f>
        <v/>
      </c>
    </row>
    <row r="445" customFormat="false" ht="15" hidden="false" customHeight="false" outlineLevel="0" collapsed="false">
      <c r="A445" s="102"/>
      <c r="E445" s="103" t="str">
        <f aca="false">IF($C445="","",IFERROR(INDEX(المنيو!$C$2:$C$500,MATCH($C445,المنيو!$B$2:$B$500,0)),0))</f>
        <v/>
      </c>
      <c r="F445" s="103" t="str">
        <f aca="false">IF($C445="","",$D445*$E445)</f>
        <v/>
      </c>
      <c r="G445" s="103" t="str">
        <f aca="false">IF($C445="","",$D445*IFERROR(INDEX('تحليل التكلفة والسعر'!$C$2:$C$700,MATCH($C445,'تحليل التكلفة والسعر'!$B$2:$B$700,0)),0))</f>
        <v/>
      </c>
    </row>
    <row r="446" customFormat="false" ht="15" hidden="false" customHeight="false" outlineLevel="0" collapsed="false">
      <c r="A446" s="102"/>
      <c r="E446" s="103" t="str">
        <f aca="false">IF($C446="","",IFERROR(INDEX(المنيو!$C$2:$C$500,MATCH($C446,المنيو!$B$2:$B$500,0)),0))</f>
        <v/>
      </c>
      <c r="F446" s="103" t="str">
        <f aca="false">IF($C446="","",$D446*$E446)</f>
        <v/>
      </c>
      <c r="G446" s="103" t="str">
        <f aca="false">IF($C446="","",$D446*IFERROR(INDEX('تحليل التكلفة والسعر'!$C$2:$C$700,MATCH($C446,'تحليل التكلفة والسعر'!$B$2:$B$700,0)),0))</f>
        <v/>
      </c>
    </row>
    <row r="447" customFormat="false" ht="15" hidden="false" customHeight="false" outlineLevel="0" collapsed="false">
      <c r="A447" s="102"/>
      <c r="E447" s="103" t="str">
        <f aca="false">IF($C447="","",IFERROR(INDEX(المنيو!$C$2:$C$500,MATCH($C447,المنيو!$B$2:$B$500,0)),0))</f>
        <v/>
      </c>
      <c r="F447" s="103" t="str">
        <f aca="false">IF($C447="","",$D447*$E447)</f>
        <v/>
      </c>
      <c r="G447" s="103" t="str">
        <f aca="false">IF($C447="","",$D447*IFERROR(INDEX('تحليل التكلفة والسعر'!$C$2:$C$700,MATCH($C447,'تحليل التكلفة والسعر'!$B$2:$B$700,0)),0))</f>
        <v/>
      </c>
    </row>
    <row r="448" customFormat="false" ht="15" hidden="false" customHeight="false" outlineLevel="0" collapsed="false">
      <c r="A448" s="102"/>
      <c r="E448" s="103" t="str">
        <f aca="false">IF($C448="","",IFERROR(INDEX(المنيو!$C$2:$C$500,MATCH($C448,المنيو!$B$2:$B$500,0)),0))</f>
        <v/>
      </c>
      <c r="F448" s="103" t="str">
        <f aca="false">IF($C448="","",$D448*$E448)</f>
        <v/>
      </c>
      <c r="G448" s="103" t="str">
        <f aca="false">IF($C448="","",$D448*IFERROR(INDEX('تحليل التكلفة والسعر'!$C$2:$C$700,MATCH($C448,'تحليل التكلفة والسعر'!$B$2:$B$700,0)),0))</f>
        <v/>
      </c>
    </row>
    <row r="449" customFormat="false" ht="15" hidden="false" customHeight="false" outlineLevel="0" collapsed="false">
      <c r="A449" s="102"/>
      <c r="E449" s="103" t="str">
        <f aca="false">IF($C449="","",IFERROR(INDEX(المنيو!$C$2:$C$500,MATCH($C449,المنيو!$B$2:$B$500,0)),0))</f>
        <v/>
      </c>
      <c r="F449" s="103" t="str">
        <f aca="false">IF($C449="","",$D449*$E449)</f>
        <v/>
      </c>
      <c r="G449" s="103" t="str">
        <f aca="false">IF($C449="","",$D449*IFERROR(INDEX('تحليل التكلفة والسعر'!$C$2:$C$700,MATCH($C449,'تحليل التكلفة والسعر'!$B$2:$B$700,0)),0))</f>
        <v/>
      </c>
    </row>
    <row r="450" customFormat="false" ht="15" hidden="false" customHeight="false" outlineLevel="0" collapsed="false">
      <c r="A450" s="102"/>
      <c r="E450" s="103" t="str">
        <f aca="false">IF($C450="","",IFERROR(INDEX(المنيو!$C$2:$C$500,MATCH($C450,المنيو!$B$2:$B$500,0)),0))</f>
        <v/>
      </c>
      <c r="F450" s="103" t="str">
        <f aca="false">IF($C450="","",$D450*$E450)</f>
        <v/>
      </c>
      <c r="G450" s="103" t="str">
        <f aca="false">IF($C450="","",$D450*IFERROR(INDEX('تحليل التكلفة والسعر'!$C$2:$C$700,MATCH($C450,'تحليل التكلفة والسعر'!$B$2:$B$700,0)),0))</f>
        <v/>
      </c>
    </row>
    <row r="451" customFormat="false" ht="15" hidden="false" customHeight="false" outlineLevel="0" collapsed="false">
      <c r="A451" s="102"/>
      <c r="E451" s="103" t="str">
        <f aca="false">IF($C451="","",IFERROR(INDEX(المنيو!$C$2:$C$500,MATCH($C451,المنيو!$B$2:$B$500,0)),0))</f>
        <v/>
      </c>
      <c r="F451" s="103" t="str">
        <f aca="false">IF($C451="","",$D451*$E451)</f>
        <v/>
      </c>
      <c r="G451" s="103" t="str">
        <f aca="false">IF($C451="","",$D451*IFERROR(INDEX('تحليل التكلفة والسعر'!$C$2:$C$700,MATCH($C451,'تحليل التكلفة والسعر'!$B$2:$B$700,0)),0))</f>
        <v/>
      </c>
    </row>
    <row r="452" customFormat="false" ht="15" hidden="false" customHeight="false" outlineLevel="0" collapsed="false">
      <c r="A452" s="102"/>
      <c r="E452" s="103" t="str">
        <f aca="false">IF($C452="","",IFERROR(INDEX(المنيو!$C$2:$C$500,MATCH($C452,المنيو!$B$2:$B$500,0)),0))</f>
        <v/>
      </c>
      <c r="F452" s="103" t="str">
        <f aca="false">IF($C452="","",$D452*$E452)</f>
        <v/>
      </c>
      <c r="G452" s="103" t="str">
        <f aca="false">IF($C452="","",$D452*IFERROR(INDEX('تحليل التكلفة والسعر'!$C$2:$C$700,MATCH($C452,'تحليل التكلفة والسعر'!$B$2:$B$700,0)),0))</f>
        <v/>
      </c>
    </row>
    <row r="453" customFormat="false" ht="15" hidden="false" customHeight="false" outlineLevel="0" collapsed="false">
      <c r="A453" s="102"/>
      <c r="E453" s="103" t="str">
        <f aca="false">IF($C453="","",IFERROR(INDEX(المنيو!$C$2:$C$500,MATCH($C453,المنيو!$B$2:$B$500,0)),0))</f>
        <v/>
      </c>
      <c r="F453" s="103" t="str">
        <f aca="false">IF($C453="","",$D453*$E453)</f>
        <v/>
      </c>
      <c r="G453" s="103" t="str">
        <f aca="false">IF($C453="","",$D453*IFERROR(INDEX('تحليل التكلفة والسعر'!$C$2:$C$700,MATCH($C453,'تحليل التكلفة والسعر'!$B$2:$B$700,0)),0))</f>
        <v/>
      </c>
    </row>
    <row r="454" customFormat="false" ht="15" hidden="false" customHeight="false" outlineLevel="0" collapsed="false">
      <c r="A454" s="102"/>
      <c r="E454" s="103" t="str">
        <f aca="false">IF($C454="","",IFERROR(INDEX(المنيو!$C$2:$C$500,MATCH($C454,المنيو!$B$2:$B$500,0)),0))</f>
        <v/>
      </c>
      <c r="F454" s="103" t="str">
        <f aca="false">IF($C454="","",$D454*$E454)</f>
        <v/>
      </c>
      <c r="G454" s="103" t="str">
        <f aca="false">IF($C454="","",$D454*IFERROR(INDEX('تحليل التكلفة والسعر'!$C$2:$C$700,MATCH($C454,'تحليل التكلفة والسعر'!$B$2:$B$700,0)),0))</f>
        <v/>
      </c>
    </row>
    <row r="455" customFormat="false" ht="15" hidden="false" customHeight="false" outlineLevel="0" collapsed="false">
      <c r="A455" s="102"/>
      <c r="E455" s="103" t="str">
        <f aca="false">IF($C455="","",IFERROR(INDEX(المنيو!$C$2:$C$500,MATCH($C455,المنيو!$B$2:$B$500,0)),0))</f>
        <v/>
      </c>
      <c r="F455" s="103" t="str">
        <f aca="false">IF($C455="","",$D455*$E455)</f>
        <v/>
      </c>
      <c r="G455" s="103" t="str">
        <f aca="false">IF($C455="","",$D455*IFERROR(INDEX('تحليل التكلفة والسعر'!$C$2:$C$700,MATCH($C455,'تحليل التكلفة والسعر'!$B$2:$B$700,0)),0))</f>
        <v/>
      </c>
    </row>
    <row r="456" customFormat="false" ht="15" hidden="false" customHeight="false" outlineLevel="0" collapsed="false">
      <c r="A456" s="102"/>
      <c r="E456" s="103" t="str">
        <f aca="false">IF($C456="","",IFERROR(INDEX(المنيو!$C$2:$C$500,MATCH($C456,المنيو!$B$2:$B$500,0)),0))</f>
        <v/>
      </c>
      <c r="F456" s="103" t="str">
        <f aca="false">IF($C456="","",$D456*$E456)</f>
        <v/>
      </c>
      <c r="G456" s="103" t="str">
        <f aca="false">IF($C456="","",$D456*IFERROR(INDEX('تحليل التكلفة والسعر'!$C$2:$C$700,MATCH($C456,'تحليل التكلفة والسعر'!$B$2:$B$700,0)),0))</f>
        <v/>
      </c>
    </row>
    <row r="457" customFormat="false" ht="15" hidden="false" customHeight="false" outlineLevel="0" collapsed="false">
      <c r="A457" s="102"/>
      <c r="E457" s="103" t="str">
        <f aca="false">IF($C457="","",IFERROR(INDEX(المنيو!$C$2:$C$500,MATCH($C457,المنيو!$B$2:$B$500,0)),0))</f>
        <v/>
      </c>
      <c r="F457" s="103" t="str">
        <f aca="false">IF($C457="","",$D457*$E457)</f>
        <v/>
      </c>
      <c r="G457" s="103" t="str">
        <f aca="false">IF($C457="","",$D457*IFERROR(INDEX('تحليل التكلفة والسعر'!$C$2:$C$700,MATCH($C457,'تحليل التكلفة والسعر'!$B$2:$B$700,0)),0))</f>
        <v/>
      </c>
    </row>
    <row r="458" customFormat="false" ht="15" hidden="false" customHeight="false" outlineLevel="0" collapsed="false">
      <c r="A458" s="102"/>
      <c r="E458" s="103" t="str">
        <f aca="false">IF($C458="","",IFERROR(INDEX(المنيو!$C$2:$C$500,MATCH($C458,المنيو!$B$2:$B$500,0)),0))</f>
        <v/>
      </c>
      <c r="F458" s="103" t="str">
        <f aca="false">IF($C458="","",$D458*$E458)</f>
        <v/>
      </c>
      <c r="G458" s="103" t="str">
        <f aca="false">IF($C458="","",$D458*IFERROR(INDEX('تحليل التكلفة والسعر'!$C$2:$C$700,MATCH($C458,'تحليل التكلفة والسعر'!$B$2:$B$700,0)),0))</f>
        <v/>
      </c>
    </row>
    <row r="459" customFormat="false" ht="15" hidden="false" customHeight="false" outlineLevel="0" collapsed="false">
      <c r="A459" s="102"/>
      <c r="E459" s="103" t="str">
        <f aca="false">IF($C459="","",IFERROR(INDEX(المنيو!$C$2:$C$500,MATCH($C459,المنيو!$B$2:$B$500,0)),0))</f>
        <v/>
      </c>
      <c r="F459" s="103" t="str">
        <f aca="false">IF($C459="","",$D459*$E459)</f>
        <v/>
      </c>
      <c r="G459" s="103" t="str">
        <f aca="false">IF($C459="","",$D459*IFERROR(INDEX('تحليل التكلفة والسعر'!$C$2:$C$700,MATCH($C459,'تحليل التكلفة والسعر'!$B$2:$B$700,0)),0))</f>
        <v/>
      </c>
    </row>
    <row r="460" customFormat="false" ht="15" hidden="false" customHeight="false" outlineLevel="0" collapsed="false">
      <c r="A460" s="102"/>
      <c r="E460" s="103" t="str">
        <f aca="false">IF($C460="","",IFERROR(INDEX(المنيو!$C$2:$C$500,MATCH($C460,المنيو!$B$2:$B$500,0)),0))</f>
        <v/>
      </c>
      <c r="F460" s="103" t="str">
        <f aca="false">IF($C460="","",$D460*$E460)</f>
        <v/>
      </c>
      <c r="G460" s="103" t="str">
        <f aca="false">IF($C460="","",$D460*IFERROR(INDEX('تحليل التكلفة والسعر'!$C$2:$C$700,MATCH($C460,'تحليل التكلفة والسعر'!$B$2:$B$700,0)),0))</f>
        <v/>
      </c>
    </row>
    <row r="461" customFormat="false" ht="15" hidden="false" customHeight="false" outlineLevel="0" collapsed="false">
      <c r="A461" s="102"/>
      <c r="E461" s="103" t="str">
        <f aca="false">IF($C461="","",IFERROR(INDEX(المنيو!$C$2:$C$500,MATCH($C461,المنيو!$B$2:$B$500,0)),0))</f>
        <v/>
      </c>
      <c r="F461" s="103" t="str">
        <f aca="false">IF($C461="","",$D461*$E461)</f>
        <v/>
      </c>
      <c r="G461" s="103" t="str">
        <f aca="false">IF($C461="","",$D461*IFERROR(INDEX('تحليل التكلفة والسعر'!$C$2:$C$700,MATCH($C461,'تحليل التكلفة والسعر'!$B$2:$B$700,0)),0))</f>
        <v/>
      </c>
    </row>
    <row r="462" customFormat="false" ht="15" hidden="false" customHeight="false" outlineLevel="0" collapsed="false">
      <c r="A462" s="102"/>
      <c r="E462" s="103" t="str">
        <f aca="false">IF($C462="","",IFERROR(INDEX(المنيو!$C$2:$C$500,MATCH($C462,المنيو!$B$2:$B$500,0)),0))</f>
        <v/>
      </c>
      <c r="F462" s="103" t="str">
        <f aca="false">IF($C462="","",$D462*$E462)</f>
        <v/>
      </c>
      <c r="G462" s="103" t="str">
        <f aca="false">IF($C462="","",$D462*IFERROR(INDEX('تحليل التكلفة والسعر'!$C$2:$C$700,MATCH($C462,'تحليل التكلفة والسعر'!$B$2:$B$700,0)),0))</f>
        <v/>
      </c>
    </row>
    <row r="463" customFormat="false" ht="15" hidden="false" customHeight="false" outlineLevel="0" collapsed="false">
      <c r="A463" s="102"/>
      <c r="E463" s="103" t="str">
        <f aca="false">IF($C463="","",IFERROR(INDEX(المنيو!$C$2:$C$500,MATCH($C463,المنيو!$B$2:$B$500,0)),0))</f>
        <v/>
      </c>
      <c r="F463" s="103" t="str">
        <f aca="false">IF($C463="","",$D463*$E463)</f>
        <v/>
      </c>
      <c r="G463" s="103" t="str">
        <f aca="false">IF($C463="","",$D463*IFERROR(INDEX('تحليل التكلفة والسعر'!$C$2:$C$700,MATCH($C463,'تحليل التكلفة والسعر'!$B$2:$B$700,0)),0))</f>
        <v/>
      </c>
    </row>
    <row r="464" customFormat="false" ht="15" hidden="false" customHeight="false" outlineLevel="0" collapsed="false">
      <c r="A464" s="102"/>
      <c r="E464" s="103" t="str">
        <f aca="false">IF($C464="","",IFERROR(INDEX(المنيو!$C$2:$C$500,MATCH($C464,المنيو!$B$2:$B$500,0)),0))</f>
        <v/>
      </c>
      <c r="F464" s="103" t="str">
        <f aca="false">IF($C464="","",$D464*$E464)</f>
        <v/>
      </c>
      <c r="G464" s="103" t="str">
        <f aca="false">IF($C464="","",$D464*IFERROR(INDEX('تحليل التكلفة والسعر'!$C$2:$C$700,MATCH($C464,'تحليل التكلفة والسعر'!$B$2:$B$700,0)),0))</f>
        <v/>
      </c>
    </row>
    <row r="465" customFormat="false" ht="15" hidden="false" customHeight="false" outlineLevel="0" collapsed="false">
      <c r="A465" s="102"/>
      <c r="E465" s="103" t="str">
        <f aca="false">IF($C465="","",IFERROR(INDEX(المنيو!$C$2:$C$500,MATCH($C465,المنيو!$B$2:$B$500,0)),0))</f>
        <v/>
      </c>
      <c r="F465" s="103" t="str">
        <f aca="false">IF($C465="","",$D465*$E465)</f>
        <v/>
      </c>
      <c r="G465" s="103" t="str">
        <f aca="false">IF($C465="","",$D465*IFERROR(INDEX('تحليل التكلفة والسعر'!$C$2:$C$700,MATCH($C465,'تحليل التكلفة والسعر'!$B$2:$B$700,0)),0))</f>
        <v/>
      </c>
    </row>
    <row r="466" customFormat="false" ht="15" hidden="false" customHeight="false" outlineLevel="0" collapsed="false">
      <c r="A466" s="102"/>
      <c r="E466" s="103" t="str">
        <f aca="false">IF($C466="","",IFERROR(INDEX(المنيو!$C$2:$C$500,MATCH($C466,المنيو!$B$2:$B$500,0)),0))</f>
        <v/>
      </c>
      <c r="F466" s="103" t="str">
        <f aca="false">IF($C466="","",$D466*$E466)</f>
        <v/>
      </c>
      <c r="G466" s="103" t="str">
        <f aca="false">IF($C466="","",$D466*IFERROR(INDEX('تحليل التكلفة والسعر'!$C$2:$C$700,MATCH($C466,'تحليل التكلفة والسعر'!$B$2:$B$700,0)),0))</f>
        <v/>
      </c>
    </row>
    <row r="467" customFormat="false" ht="15" hidden="false" customHeight="false" outlineLevel="0" collapsed="false">
      <c r="A467" s="102"/>
      <c r="E467" s="103" t="str">
        <f aca="false">IF($C467="","",IFERROR(INDEX(المنيو!$C$2:$C$500,MATCH($C467,المنيو!$B$2:$B$500,0)),0))</f>
        <v/>
      </c>
      <c r="F467" s="103" t="str">
        <f aca="false">IF($C467="","",$D467*$E467)</f>
        <v/>
      </c>
      <c r="G467" s="103" t="str">
        <f aca="false">IF($C467="","",$D467*IFERROR(INDEX('تحليل التكلفة والسعر'!$C$2:$C$700,MATCH($C467,'تحليل التكلفة والسعر'!$B$2:$B$700,0)),0))</f>
        <v/>
      </c>
    </row>
    <row r="468" customFormat="false" ht="15" hidden="false" customHeight="false" outlineLevel="0" collapsed="false">
      <c r="A468" s="102"/>
      <c r="E468" s="103" t="str">
        <f aca="false">IF($C468="","",IFERROR(INDEX(المنيو!$C$2:$C$500,MATCH($C468,المنيو!$B$2:$B$500,0)),0))</f>
        <v/>
      </c>
      <c r="F468" s="103" t="str">
        <f aca="false">IF($C468="","",$D468*$E468)</f>
        <v/>
      </c>
      <c r="G468" s="103" t="str">
        <f aca="false">IF($C468="","",$D468*IFERROR(INDEX('تحليل التكلفة والسعر'!$C$2:$C$700,MATCH($C468,'تحليل التكلفة والسعر'!$B$2:$B$700,0)),0))</f>
        <v/>
      </c>
    </row>
    <row r="469" customFormat="false" ht="15" hidden="false" customHeight="false" outlineLevel="0" collapsed="false">
      <c r="A469" s="102"/>
      <c r="E469" s="103" t="str">
        <f aca="false">IF($C469="","",IFERROR(INDEX(المنيو!$C$2:$C$500,MATCH($C469,المنيو!$B$2:$B$500,0)),0))</f>
        <v/>
      </c>
      <c r="F469" s="103" t="str">
        <f aca="false">IF($C469="","",$D469*$E469)</f>
        <v/>
      </c>
      <c r="G469" s="103" t="str">
        <f aca="false">IF($C469="","",$D469*IFERROR(INDEX('تحليل التكلفة والسعر'!$C$2:$C$700,MATCH($C469,'تحليل التكلفة والسعر'!$B$2:$B$700,0)),0))</f>
        <v/>
      </c>
    </row>
    <row r="470" customFormat="false" ht="15" hidden="false" customHeight="false" outlineLevel="0" collapsed="false">
      <c r="A470" s="102"/>
      <c r="E470" s="103" t="str">
        <f aca="false">IF($C470="","",IFERROR(INDEX(المنيو!$C$2:$C$500,MATCH($C470,المنيو!$B$2:$B$500,0)),0))</f>
        <v/>
      </c>
      <c r="F470" s="103" t="str">
        <f aca="false">IF($C470="","",$D470*$E470)</f>
        <v/>
      </c>
      <c r="G470" s="103" t="str">
        <f aca="false">IF($C470="","",$D470*IFERROR(INDEX('تحليل التكلفة والسعر'!$C$2:$C$700,MATCH($C470,'تحليل التكلفة والسعر'!$B$2:$B$700,0)),0))</f>
        <v/>
      </c>
    </row>
    <row r="471" customFormat="false" ht="15" hidden="false" customHeight="false" outlineLevel="0" collapsed="false">
      <c r="A471" s="102"/>
      <c r="E471" s="103" t="str">
        <f aca="false">IF($C471="","",IFERROR(INDEX(المنيو!$C$2:$C$500,MATCH($C471,المنيو!$B$2:$B$500,0)),0))</f>
        <v/>
      </c>
      <c r="F471" s="103" t="str">
        <f aca="false">IF($C471="","",$D471*$E471)</f>
        <v/>
      </c>
      <c r="G471" s="103" t="str">
        <f aca="false">IF($C471="","",$D471*IFERROR(INDEX('تحليل التكلفة والسعر'!$C$2:$C$700,MATCH($C471,'تحليل التكلفة والسعر'!$B$2:$B$700,0)),0))</f>
        <v/>
      </c>
    </row>
    <row r="472" customFormat="false" ht="15" hidden="false" customHeight="false" outlineLevel="0" collapsed="false">
      <c r="A472" s="102"/>
      <c r="E472" s="103" t="str">
        <f aca="false">IF($C472="","",IFERROR(INDEX(المنيو!$C$2:$C$500,MATCH($C472,المنيو!$B$2:$B$500,0)),0))</f>
        <v/>
      </c>
      <c r="F472" s="103" t="str">
        <f aca="false">IF($C472="","",$D472*$E472)</f>
        <v/>
      </c>
      <c r="G472" s="103" t="str">
        <f aca="false">IF($C472="","",$D472*IFERROR(INDEX('تحليل التكلفة والسعر'!$C$2:$C$700,MATCH($C472,'تحليل التكلفة والسعر'!$B$2:$B$700,0)),0))</f>
        <v/>
      </c>
    </row>
    <row r="473" customFormat="false" ht="15" hidden="false" customHeight="false" outlineLevel="0" collapsed="false">
      <c r="A473" s="102"/>
      <c r="E473" s="103" t="str">
        <f aca="false">IF($C473="","",IFERROR(INDEX(المنيو!$C$2:$C$500,MATCH($C473,المنيو!$B$2:$B$500,0)),0))</f>
        <v/>
      </c>
      <c r="F473" s="103" t="str">
        <f aca="false">IF($C473="","",$D473*$E473)</f>
        <v/>
      </c>
      <c r="G473" s="103" t="str">
        <f aca="false">IF($C473="","",$D473*IFERROR(INDEX('تحليل التكلفة والسعر'!$C$2:$C$700,MATCH($C473,'تحليل التكلفة والسعر'!$B$2:$B$700,0)),0))</f>
        <v/>
      </c>
    </row>
    <row r="474" customFormat="false" ht="15" hidden="false" customHeight="false" outlineLevel="0" collapsed="false">
      <c r="A474" s="102"/>
      <c r="E474" s="103" t="str">
        <f aca="false">IF($C474="","",IFERROR(INDEX(المنيو!$C$2:$C$500,MATCH($C474,المنيو!$B$2:$B$500,0)),0))</f>
        <v/>
      </c>
      <c r="F474" s="103" t="str">
        <f aca="false">IF($C474="","",$D474*$E474)</f>
        <v/>
      </c>
      <c r="G474" s="103" t="str">
        <f aca="false">IF($C474="","",$D474*IFERROR(INDEX('تحليل التكلفة والسعر'!$C$2:$C$700,MATCH($C474,'تحليل التكلفة والسعر'!$B$2:$B$700,0)),0))</f>
        <v/>
      </c>
    </row>
    <row r="475" customFormat="false" ht="15" hidden="false" customHeight="false" outlineLevel="0" collapsed="false">
      <c r="A475" s="102"/>
      <c r="E475" s="103" t="str">
        <f aca="false">IF($C475="","",IFERROR(INDEX(المنيو!$C$2:$C$500,MATCH($C475,المنيو!$B$2:$B$500,0)),0))</f>
        <v/>
      </c>
      <c r="F475" s="103" t="str">
        <f aca="false">IF($C475="","",$D475*$E475)</f>
        <v/>
      </c>
      <c r="G475" s="103" t="str">
        <f aca="false">IF($C475="","",$D475*IFERROR(INDEX('تحليل التكلفة والسعر'!$C$2:$C$700,MATCH($C475,'تحليل التكلفة والسعر'!$B$2:$B$700,0)),0))</f>
        <v/>
      </c>
    </row>
    <row r="476" customFormat="false" ht="15" hidden="false" customHeight="false" outlineLevel="0" collapsed="false">
      <c r="A476" s="102"/>
      <c r="E476" s="103" t="str">
        <f aca="false">IF($C476="","",IFERROR(INDEX(المنيو!$C$2:$C$500,MATCH($C476,المنيو!$B$2:$B$500,0)),0))</f>
        <v/>
      </c>
      <c r="F476" s="103" t="str">
        <f aca="false">IF($C476="","",$D476*$E476)</f>
        <v/>
      </c>
      <c r="G476" s="103" t="str">
        <f aca="false">IF($C476="","",$D476*IFERROR(INDEX('تحليل التكلفة والسعر'!$C$2:$C$700,MATCH($C476,'تحليل التكلفة والسعر'!$B$2:$B$700,0)),0))</f>
        <v/>
      </c>
    </row>
    <row r="477" customFormat="false" ht="15" hidden="false" customHeight="false" outlineLevel="0" collapsed="false">
      <c r="A477" s="102"/>
      <c r="E477" s="103" t="str">
        <f aca="false">IF($C477="","",IFERROR(INDEX(المنيو!$C$2:$C$500,MATCH($C477,المنيو!$B$2:$B$500,0)),0))</f>
        <v/>
      </c>
      <c r="F477" s="103" t="str">
        <f aca="false">IF($C477="","",$D477*$E477)</f>
        <v/>
      </c>
      <c r="G477" s="103" t="str">
        <f aca="false">IF($C477="","",$D477*IFERROR(INDEX('تحليل التكلفة والسعر'!$C$2:$C$700,MATCH($C477,'تحليل التكلفة والسعر'!$B$2:$B$700,0)),0))</f>
        <v/>
      </c>
    </row>
    <row r="478" customFormat="false" ht="15" hidden="false" customHeight="false" outlineLevel="0" collapsed="false">
      <c r="A478" s="102"/>
      <c r="E478" s="103" t="str">
        <f aca="false">IF($C478="","",IFERROR(INDEX(المنيو!$C$2:$C$500,MATCH($C478,المنيو!$B$2:$B$500,0)),0))</f>
        <v/>
      </c>
      <c r="F478" s="103" t="str">
        <f aca="false">IF($C478="","",$D478*$E478)</f>
        <v/>
      </c>
      <c r="G478" s="103" t="str">
        <f aca="false">IF($C478="","",$D478*IFERROR(INDEX('تحليل التكلفة والسعر'!$C$2:$C$700,MATCH($C478,'تحليل التكلفة والسعر'!$B$2:$B$700,0)),0))</f>
        <v/>
      </c>
    </row>
    <row r="479" customFormat="false" ht="15" hidden="false" customHeight="false" outlineLevel="0" collapsed="false">
      <c r="A479" s="102"/>
      <c r="E479" s="103" t="str">
        <f aca="false">IF($C479="","",IFERROR(INDEX(المنيو!$C$2:$C$500,MATCH($C479,المنيو!$B$2:$B$500,0)),0))</f>
        <v/>
      </c>
      <c r="F479" s="103" t="str">
        <f aca="false">IF($C479="","",$D479*$E479)</f>
        <v/>
      </c>
      <c r="G479" s="103" t="str">
        <f aca="false">IF($C479="","",$D479*IFERROR(INDEX('تحليل التكلفة والسعر'!$C$2:$C$700,MATCH($C479,'تحليل التكلفة والسعر'!$B$2:$B$700,0)),0))</f>
        <v/>
      </c>
    </row>
    <row r="480" customFormat="false" ht="15" hidden="false" customHeight="false" outlineLevel="0" collapsed="false">
      <c r="A480" s="102"/>
      <c r="E480" s="103" t="str">
        <f aca="false">IF($C480="","",IFERROR(INDEX(المنيو!$C$2:$C$500,MATCH($C480,المنيو!$B$2:$B$500,0)),0))</f>
        <v/>
      </c>
      <c r="F480" s="103" t="str">
        <f aca="false">IF($C480="","",$D480*$E480)</f>
        <v/>
      </c>
      <c r="G480" s="103" t="str">
        <f aca="false">IF($C480="","",$D480*IFERROR(INDEX('تحليل التكلفة والسعر'!$C$2:$C$700,MATCH($C480,'تحليل التكلفة والسعر'!$B$2:$B$700,0)),0))</f>
        <v/>
      </c>
    </row>
    <row r="481" customFormat="false" ht="15" hidden="false" customHeight="false" outlineLevel="0" collapsed="false">
      <c r="A481" s="102"/>
      <c r="E481" s="103" t="str">
        <f aca="false">IF($C481="","",IFERROR(INDEX(المنيو!$C$2:$C$500,MATCH($C481,المنيو!$B$2:$B$500,0)),0))</f>
        <v/>
      </c>
      <c r="F481" s="103" t="str">
        <f aca="false">IF($C481="","",$D481*$E481)</f>
        <v/>
      </c>
      <c r="G481" s="103" t="str">
        <f aca="false">IF($C481="","",$D481*IFERROR(INDEX('تحليل التكلفة والسعر'!$C$2:$C$700,MATCH($C481,'تحليل التكلفة والسعر'!$B$2:$B$700,0)),0))</f>
        <v/>
      </c>
    </row>
    <row r="482" customFormat="false" ht="15" hidden="false" customHeight="false" outlineLevel="0" collapsed="false">
      <c r="A482" s="102"/>
      <c r="E482" s="103" t="str">
        <f aca="false">IF($C482="","",IFERROR(INDEX(المنيو!$C$2:$C$500,MATCH($C482,المنيو!$B$2:$B$500,0)),0))</f>
        <v/>
      </c>
      <c r="F482" s="103" t="str">
        <f aca="false">IF($C482="","",$D482*$E482)</f>
        <v/>
      </c>
      <c r="G482" s="103" t="str">
        <f aca="false">IF($C482="","",$D482*IFERROR(INDEX('تحليل التكلفة والسعر'!$C$2:$C$700,MATCH($C482,'تحليل التكلفة والسعر'!$B$2:$B$700,0)),0))</f>
        <v/>
      </c>
    </row>
    <row r="483" customFormat="false" ht="15" hidden="false" customHeight="false" outlineLevel="0" collapsed="false">
      <c r="A483" s="102"/>
      <c r="E483" s="103" t="str">
        <f aca="false">IF($C483="","",IFERROR(INDEX(المنيو!$C$2:$C$500,MATCH($C483,المنيو!$B$2:$B$500,0)),0))</f>
        <v/>
      </c>
      <c r="F483" s="103" t="str">
        <f aca="false">IF($C483="","",$D483*$E483)</f>
        <v/>
      </c>
      <c r="G483" s="103" t="str">
        <f aca="false">IF($C483="","",$D483*IFERROR(INDEX('تحليل التكلفة والسعر'!$C$2:$C$700,MATCH($C483,'تحليل التكلفة والسعر'!$B$2:$B$700,0)),0))</f>
        <v/>
      </c>
    </row>
    <row r="484" customFormat="false" ht="15" hidden="false" customHeight="false" outlineLevel="0" collapsed="false">
      <c r="A484" s="102"/>
      <c r="E484" s="103" t="str">
        <f aca="false">IF($C484="","",IFERROR(INDEX(المنيو!$C$2:$C$500,MATCH($C484,المنيو!$B$2:$B$500,0)),0))</f>
        <v/>
      </c>
      <c r="F484" s="103" t="str">
        <f aca="false">IF($C484="","",$D484*$E484)</f>
        <v/>
      </c>
      <c r="G484" s="103" t="str">
        <f aca="false">IF($C484="","",$D484*IFERROR(INDEX('تحليل التكلفة والسعر'!$C$2:$C$700,MATCH($C484,'تحليل التكلفة والسعر'!$B$2:$B$700,0)),0))</f>
        <v/>
      </c>
    </row>
    <row r="485" customFormat="false" ht="15" hidden="false" customHeight="false" outlineLevel="0" collapsed="false">
      <c r="A485" s="102"/>
      <c r="E485" s="103" t="str">
        <f aca="false">IF($C485="","",IFERROR(INDEX(المنيو!$C$2:$C$500,MATCH($C485,المنيو!$B$2:$B$500,0)),0))</f>
        <v/>
      </c>
      <c r="F485" s="103" t="str">
        <f aca="false">IF($C485="","",$D485*$E485)</f>
        <v/>
      </c>
      <c r="G485" s="103" t="str">
        <f aca="false">IF($C485="","",$D485*IFERROR(INDEX('تحليل التكلفة والسعر'!$C$2:$C$700,MATCH($C485,'تحليل التكلفة والسعر'!$B$2:$B$700,0)),0))</f>
        <v/>
      </c>
    </row>
    <row r="486" customFormat="false" ht="15" hidden="false" customHeight="false" outlineLevel="0" collapsed="false">
      <c r="A486" s="102"/>
      <c r="E486" s="103" t="str">
        <f aca="false">IF($C486="","",IFERROR(INDEX(المنيو!$C$2:$C$500,MATCH($C486,المنيو!$B$2:$B$500,0)),0))</f>
        <v/>
      </c>
      <c r="F486" s="103" t="str">
        <f aca="false">IF($C486="","",$D486*$E486)</f>
        <v/>
      </c>
      <c r="G486" s="103" t="str">
        <f aca="false">IF($C486="","",$D486*IFERROR(INDEX('تحليل التكلفة والسعر'!$C$2:$C$700,MATCH($C486,'تحليل التكلفة والسعر'!$B$2:$B$700,0)),0))</f>
        <v/>
      </c>
    </row>
    <row r="487" customFormat="false" ht="15" hidden="false" customHeight="false" outlineLevel="0" collapsed="false">
      <c r="A487" s="102"/>
      <c r="E487" s="103" t="str">
        <f aca="false">IF($C487="","",IFERROR(INDEX(المنيو!$C$2:$C$500,MATCH($C487,المنيو!$B$2:$B$500,0)),0))</f>
        <v/>
      </c>
      <c r="F487" s="103" t="str">
        <f aca="false">IF($C487="","",$D487*$E487)</f>
        <v/>
      </c>
      <c r="G487" s="103" t="str">
        <f aca="false">IF($C487="","",$D487*IFERROR(INDEX('تحليل التكلفة والسعر'!$C$2:$C$700,MATCH($C487,'تحليل التكلفة والسعر'!$B$2:$B$700,0)),0))</f>
        <v/>
      </c>
    </row>
    <row r="488" customFormat="false" ht="15" hidden="false" customHeight="false" outlineLevel="0" collapsed="false">
      <c r="A488" s="102"/>
      <c r="E488" s="103" t="str">
        <f aca="false">IF($C488="","",IFERROR(INDEX(المنيو!$C$2:$C$500,MATCH($C488,المنيو!$B$2:$B$500,0)),0))</f>
        <v/>
      </c>
      <c r="F488" s="103" t="str">
        <f aca="false">IF($C488="","",$D488*$E488)</f>
        <v/>
      </c>
      <c r="G488" s="103" t="str">
        <f aca="false">IF($C488="","",$D488*IFERROR(INDEX('تحليل التكلفة والسعر'!$C$2:$C$700,MATCH($C488,'تحليل التكلفة والسعر'!$B$2:$B$700,0)),0))</f>
        <v/>
      </c>
    </row>
    <row r="489" customFormat="false" ht="15" hidden="false" customHeight="false" outlineLevel="0" collapsed="false">
      <c r="A489" s="102"/>
      <c r="E489" s="103" t="str">
        <f aca="false">IF($C489="","",IFERROR(INDEX(المنيو!$C$2:$C$500,MATCH($C489,المنيو!$B$2:$B$500,0)),0))</f>
        <v/>
      </c>
      <c r="F489" s="103" t="str">
        <f aca="false">IF($C489="","",$D489*$E489)</f>
        <v/>
      </c>
      <c r="G489" s="103" t="str">
        <f aca="false">IF($C489="","",$D489*IFERROR(INDEX('تحليل التكلفة والسعر'!$C$2:$C$700,MATCH($C489,'تحليل التكلفة والسعر'!$B$2:$B$700,0)),0))</f>
        <v/>
      </c>
    </row>
    <row r="490" customFormat="false" ht="15" hidden="false" customHeight="false" outlineLevel="0" collapsed="false">
      <c r="A490" s="102"/>
      <c r="E490" s="103" t="str">
        <f aca="false">IF($C490="","",IFERROR(INDEX(المنيو!$C$2:$C$500,MATCH($C490,المنيو!$B$2:$B$500,0)),0))</f>
        <v/>
      </c>
      <c r="F490" s="103" t="str">
        <f aca="false">IF($C490="","",$D490*$E490)</f>
        <v/>
      </c>
      <c r="G490" s="103" t="str">
        <f aca="false">IF($C490="","",$D490*IFERROR(INDEX('تحليل التكلفة والسعر'!$C$2:$C$700,MATCH($C490,'تحليل التكلفة والسعر'!$B$2:$B$700,0)),0))</f>
        <v/>
      </c>
    </row>
    <row r="491" customFormat="false" ht="15" hidden="false" customHeight="false" outlineLevel="0" collapsed="false">
      <c r="A491" s="102"/>
      <c r="E491" s="103" t="str">
        <f aca="false">IF($C491="","",IFERROR(INDEX(المنيو!$C$2:$C$500,MATCH($C491,المنيو!$B$2:$B$500,0)),0))</f>
        <v/>
      </c>
      <c r="F491" s="103" t="str">
        <f aca="false">IF($C491="","",$D491*$E491)</f>
        <v/>
      </c>
      <c r="G491" s="103" t="str">
        <f aca="false">IF($C491="","",$D491*IFERROR(INDEX('تحليل التكلفة والسعر'!$C$2:$C$700,MATCH($C491,'تحليل التكلفة والسعر'!$B$2:$B$700,0)),0))</f>
        <v/>
      </c>
    </row>
    <row r="492" customFormat="false" ht="15" hidden="false" customHeight="false" outlineLevel="0" collapsed="false">
      <c r="A492" s="102"/>
      <c r="E492" s="103" t="str">
        <f aca="false">IF($C492="","",IFERROR(INDEX(المنيو!$C$2:$C$500,MATCH($C492,المنيو!$B$2:$B$500,0)),0))</f>
        <v/>
      </c>
      <c r="F492" s="103" t="str">
        <f aca="false">IF($C492="","",$D492*$E492)</f>
        <v/>
      </c>
      <c r="G492" s="103" t="str">
        <f aca="false">IF($C492="","",$D492*IFERROR(INDEX('تحليل التكلفة والسعر'!$C$2:$C$700,MATCH($C492,'تحليل التكلفة والسعر'!$B$2:$B$700,0)),0))</f>
        <v/>
      </c>
    </row>
    <row r="493" customFormat="false" ht="15" hidden="false" customHeight="false" outlineLevel="0" collapsed="false">
      <c r="A493" s="102"/>
      <c r="E493" s="103" t="str">
        <f aca="false">IF($C493="","",IFERROR(INDEX(المنيو!$C$2:$C$500,MATCH($C493,المنيو!$B$2:$B$500,0)),0))</f>
        <v/>
      </c>
      <c r="F493" s="103" t="str">
        <f aca="false">IF($C493="","",$D493*$E493)</f>
        <v/>
      </c>
      <c r="G493" s="103" t="str">
        <f aca="false">IF($C493="","",$D493*IFERROR(INDEX('تحليل التكلفة والسعر'!$C$2:$C$700,MATCH($C493,'تحليل التكلفة والسعر'!$B$2:$B$700,0)),0))</f>
        <v/>
      </c>
    </row>
    <row r="494" customFormat="false" ht="15" hidden="false" customHeight="false" outlineLevel="0" collapsed="false">
      <c r="A494" s="102"/>
      <c r="E494" s="103" t="str">
        <f aca="false">IF($C494="","",IFERROR(INDEX(المنيو!$C$2:$C$500,MATCH($C494,المنيو!$B$2:$B$500,0)),0))</f>
        <v/>
      </c>
      <c r="F494" s="103" t="str">
        <f aca="false">IF($C494="","",$D494*$E494)</f>
        <v/>
      </c>
      <c r="G494" s="103" t="str">
        <f aca="false">IF($C494="","",$D494*IFERROR(INDEX('تحليل التكلفة والسعر'!$C$2:$C$700,MATCH($C494,'تحليل التكلفة والسعر'!$B$2:$B$700,0)),0))</f>
        <v/>
      </c>
    </row>
    <row r="495" customFormat="false" ht="15" hidden="false" customHeight="false" outlineLevel="0" collapsed="false">
      <c r="A495" s="102"/>
      <c r="E495" s="103" t="str">
        <f aca="false">IF($C495="","",IFERROR(INDEX(المنيو!$C$2:$C$500,MATCH($C495,المنيو!$B$2:$B$500,0)),0))</f>
        <v/>
      </c>
      <c r="F495" s="103" t="str">
        <f aca="false">IF($C495="","",$D495*$E495)</f>
        <v/>
      </c>
      <c r="G495" s="103" t="str">
        <f aca="false">IF($C495="","",$D495*IFERROR(INDEX('تحليل التكلفة والسعر'!$C$2:$C$700,MATCH($C495,'تحليل التكلفة والسعر'!$B$2:$B$700,0)),0))</f>
        <v/>
      </c>
    </row>
    <row r="496" customFormat="false" ht="15" hidden="false" customHeight="false" outlineLevel="0" collapsed="false">
      <c r="A496" s="102"/>
      <c r="E496" s="103" t="str">
        <f aca="false">IF($C496="","",IFERROR(INDEX(المنيو!$C$2:$C$500,MATCH($C496,المنيو!$B$2:$B$500,0)),0))</f>
        <v/>
      </c>
      <c r="F496" s="103" t="str">
        <f aca="false">IF($C496="","",$D496*$E496)</f>
        <v/>
      </c>
      <c r="G496" s="103" t="str">
        <f aca="false">IF($C496="","",$D496*IFERROR(INDEX('تحليل التكلفة والسعر'!$C$2:$C$700,MATCH($C496,'تحليل التكلفة والسعر'!$B$2:$B$700,0)),0))</f>
        <v/>
      </c>
    </row>
    <row r="497" customFormat="false" ht="15" hidden="false" customHeight="false" outlineLevel="0" collapsed="false">
      <c r="A497" s="102"/>
      <c r="E497" s="103" t="str">
        <f aca="false">IF($C497="","",IFERROR(INDEX(المنيو!$C$2:$C$500,MATCH($C497,المنيو!$B$2:$B$500,0)),0))</f>
        <v/>
      </c>
      <c r="F497" s="103" t="str">
        <f aca="false">IF($C497="","",$D497*$E497)</f>
        <v/>
      </c>
      <c r="G497" s="103" t="str">
        <f aca="false">IF($C497="","",$D497*IFERROR(INDEX('تحليل التكلفة والسعر'!$C$2:$C$700,MATCH($C497,'تحليل التكلفة والسعر'!$B$2:$B$700,0)),0))</f>
        <v/>
      </c>
    </row>
    <row r="498" customFormat="false" ht="15" hidden="false" customHeight="false" outlineLevel="0" collapsed="false">
      <c r="A498" s="102"/>
      <c r="E498" s="103" t="str">
        <f aca="false">IF($C498="","",IFERROR(INDEX(المنيو!$C$2:$C$500,MATCH($C498,المنيو!$B$2:$B$500,0)),0))</f>
        <v/>
      </c>
      <c r="F498" s="103" t="str">
        <f aca="false">IF($C498="","",$D498*$E498)</f>
        <v/>
      </c>
      <c r="G498" s="103" t="str">
        <f aca="false">IF($C498="","",$D498*IFERROR(INDEX('تحليل التكلفة والسعر'!$C$2:$C$700,MATCH($C498,'تحليل التكلفة والسعر'!$B$2:$B$700,0)),0))</f>
        <v/>
      </c>
    </row>
    <row r="499" customFormat="false" ht="15" hidden="false" customHeight="false" outlineLevel="0" collapsed="false">
      <c r="A499" s="102"/>
      <c r="E499" s="103" t="str">
        <f aca="false">IF($C499="","",IFERROR(INDEX(المنيو!$C$2:$C$500,MATCH($C499,المنيو!$B$2:$B$500,0)),0))</f>
        <v/>
      </c>
      <c r="F499" s="103" t="str">
        <f aca="false">IF($C499="","",$D499*$E499)</f>
        <v/>
      </c>
      <c r="G499" s="103" t="str">
        <f aca="false">IF($C499="","",$D499*IFERROR(INDEX('تحليل التكلفة والسعر'!$C$2:$C$700,MATCH($C499,'تحليل التكلفة والسعر'!$B$2:$B$700,0)),0))</f>
        <v/>
      </c>
    </row>
    <row r="500" customFormat="false" ht="15" hidden="false" customHeight="false" outlineLevel="0" collapsed="false">
      <c r="A500" s="102"/>
      <c r="E500" s="103" t="str">
        <f aca="false">IF($C500="","",IFERROR(INDEX(المنيو!$C$2:$C$500,MATCH($C500,المنيو!$B$2:$B$500,0)),0))</f>
        <v/>
      </c>
      <c r="F500" s="103" t="str">
        <f aca="false">IF($C500="","",$D500*$E500)</f>
        <v/>
      </c>
      <c r="G500" s="103" t="str">
        <f aca="false">IF($C500="","",$D500*IFERROR(INDEX('تحليل التكلفة والسعر'!$C$2:$C$700,MATCH($C500,'تحليل التكلفة والسعر'!$B$2:$B$700,0)),0))</f>
        <v/>
      </c>
    </row>
    <row r="501" customFormat="false" ht="15" hidden="false" customHeight="false" outlineLevel="0" collapsed="false">
      <c r="A501" s="102"/>
      <c r="E501" s="103" t="str">
        <f aca="false">IF($C501="","",IFERROR(INDEX(المنيو!$C$2:$C$500,MATCH($C501,المنيو!$B$2:$B$500,0)),0))</f>
        <v/>
      </c>
      <c r="F501" s="103" t="str">
        <f aca="false">IF($C501="","",$D501*$E501)</f>
        <v/>
      </c>
      <c r="G501" s="103" t="str">
        <f aca="false">IF($C501="","",$D501*IFERROR(INDEX('تحليل التكلفة والسعر'!$C$2:$C$700,MATCH($C501,'تحليل التكلفة والسعر'!$B$2:$B$700,0)),0))</f>
        <v/>
      </c>
    </row>
    <row r="502" customFormat="false" ht="15" hidden="false" customHeight="false" outlineLevel="0" collapsed="false">
      <c r="A502" s="102"/>
      <c r="E502" s="103" t="str">
        <f aca="false">IF($C502="","",IFERROR(INDEX(المنيو!$C$2:$C$500,MATCH($C502,المنيو!$B$2:$B$500,0)),0))</f>
        <v/>
      </c>
      <c r="F502" s="103" t="str">
        <f aca="false">IF($C502="","",$D502*$E502)</f>
        <v/>
      </c>
      <c r="G502" s="103" t="str">
        <f aca="false">IF($C502="","",$D502*IFERROR(INDEX('تحليل التكلفة والسعر'!$C$2:$C$700,MATCH($C502,'تحليل التكلفة والسعر'!$B$2:$B$700,0)),0))</f>
        <v/>
      </c>
    </row>
    <row r="503" customFormat="false" ht="15" hidden="false" customHeight="false" outlineLevel="0" collapsed="false">
      <c r="A503" s="102"/>
      <c r="E503" s="103" t="str">
        <f aca="false">IF($C503="","",IFERROR(INDEX(المنيو!$C$2:$C$500,MATCH($C503,المنيو!$B$2:$B$500,0)),0))</f>
        <v/>
      </c>
      <c r="F503" s="103" t="str">
        <f aca="false">IF($C503="","",$D503*$E503)</f>
        <v/>
      </c>
      <c r="G503" s="103" t="str">
        <f aca="false">IF($C503="","",$D503*IFERROR(INDEX('تحليل التكلفة والسعر'!$C$2:$C$700,MATCH($C503,'تحليل التكلفة والسعر'!$B$2:$B$700,0)),0))</f>
        <v/>
      </c>
    </row>
    <row r="504" customFormat="false" ht="15" hidden="false" customHeight="false" outlineLevel="0" collapsed="false">
      <c r="A504" s="102"/>
      <c r="E504" s="103" t="str">
        <f aca="false">IF($C504="","",IFERROR(INDEX(المنيو!$C$2:$C$500,MATCH($C504,المنيو!$B$2:$B$500,0)),0))</f>
        <v/>
      </c>
      <c r="F504" s="103" t="str">
        <f aca="false">IF($C504="","",$D504*$E504)</f>
        <v/>
      </c>
      <c r="G504" s="103" t="str">
        <f aca="false">IF($C504="","",$D504*IFERROR(INDEX('تحليل التكلفة والسعر'!$C$2:$C$700,MATCH($C504,'تحليل التكلفة والسعر'!$B$2:$B$700,0)),0))</f>
        <v/>
      </c>
    </row>
    <row r="505" customFormat="false" ht="15" hidden="false" customHeight="false" outlineLevel="0" collapsed="false">
      <c r="A505" s="102"/>
      <c r="E505" s="103" t="str">
        <f aca="false">IF($C505="","",IFERROR(INDEX(المنيو!$C$2:$C$500,MATCH($C505,المنيو!$B$2:$B$500,0)),0))</f>
        <v/>
      </c>
      <c r="F505" s="103" t="str">
        <f aca="false">IF($C505="","",$D505*$E505)</f>
        <v/>
      </c>
      <c r="G505" s="103" t="str">
        <f aca="false">IF($C505="","",$D505*IFERROR(INDEX('تحليل التكلفة والسعر'!$C$2:$C$700,MATCH($C505,'تحليل التكلفة والسعر'!$B$2:$B$700,0)),0))</f>
        <v/>
      </c>
    </row>
    <row r="506" customFormat="false" ht="15" hidden="false" customHeight="false" outlineLevel="0" collapsed="false">
      <c r="A506" s="102"/>
      <c r="E506" s="103" t="str">
        <f aca="false">IF($C506="","",IFERROR(INDEX(المنيو!$C$2:$C$500,MATCH($C506,المنيو!$B$2:$B$500,0)),0))</f>
        <v/>
      </c>
      <c r="F506" s="103" t="str">
        <f aca="false">IF($C506="","",$D506*$E506)</f>
        <v/>
      </c>
      <c r="G506" s="103" t="str">
        <f aca="false">IF($C506="","",$D506*IFERROR(INDEX('تحليل التكلفة والسعر'!$C$2:$C$700,MATCH($C506,'تحليل التكلفة والسعر'!$B$2:$B$700,0)),0))</f>
        <v/>
      </c>
    </row>
    <row r="507" customFormat="false" ht="15" hidden="false" customHeight="false" outlineLevel="0" collapsed="false">
      <c r="A507" s="102"/>
      <c r="E507" s="103" t="str">
        <f aca="false">IF($C507="","",IFERROR(INDEX(المنيو!$C$2:$C$500,MATCH($C507,المنيو!$B$2:$B$500,0)),0))</f>
        <v/>
      </c>
      <c r="F507" s="103" t="str">
        <f aca="false">IF($C507="","",$D507*$E507)</f>
        <v/>
      </c>
      <c r="G507" s="103" t="str">
        <f aca="false">IF($C507="","",$D507*IFERROR(INDEX('تحليل التكلفة والسعر'!$C$2:$C$700,MATCH($C507,'تحليل التكلفة والسعر'!$B$2:$B$700,0)),0))</f>
        <v/>
      </c>
    </row>
    <row r="508" customFormat="false" ht="15" hidden="false" customHeight="false" outlineLevel="0" collapsed="false">
      <c r="A508" s="102"/>
      <c r="E508" s="103" t="str">
        <f aca="false">IF($C508="","",IFERROR(INDEX(المنيو!$C$2:$C$500,MATCH($C508,المنيو!$B$2:$B$500,0)),0))</f>
        <v/>
      </c>
      <c r="F508" s="103" t="str">
        <f aca="false">IF($C508="","",$D508*$E508)</f>
        <v/>
      </c>
      <c r="G508" s="103" t="str">
        <f aca="false">IF($C508="","",$D508*IFERROR(INDEX('تحليل التكلفة والسعر'!$C$2:$C$700,MATCH($C508,'تحليل التكلفة والسعر'!$B$2:$B$700,0)),0))</f>
        <v/>
      </c>
    </row>
    <row r="509" customFormat="false" ht="15" hidden="false" customHeight="false" outlineLevel="0" collapsed="false">
      <c r="A509" s="102"/>
      <c r="E509" s="103" t="str">
        <f aca="false">IF($C509="","",IFERROR(INDEX(المنيو!$C$2:$C$500,MATCH($C509,المنيو!$B$2:$B$500,0)),0))</f>
        <v/>
      </c>
      <c r="F509" s="103" t="str">
        <f aca="false">IF($C509="","",$D509*$E509)</f>
        <v/>
      </c>
      <c r="G509" s="103" t="str">
        <f aca="false">IF($C509="","",$D509*IFERROR(INDEX('تحليل التكلفة والسعر'!$C$2:$C$700,MATCH($C509,'تحليل التكلفة والسعر'!$B$2:$B$700,0)),0))</f>
        <v/>
      </c>
    </row>
    <row r="510" customFormat="false" ht="15" hidden="false" customHeight="false" outlineLevel="0" collapsed="false">
      <c r="A510" s="102"/>
      <c r="E510" s="103" t="str">
        <f aca="false">IF($C510="","",IFERROR(INDEX(المنيو!$C$2:$C$500,MATCH($C510,المنيو!$B$2:$B$500,0)),0))</f>
        <v/>
      </c>
      <c r="F510" s="103" t="str">
        <f aca="false">IF($C510="","",$D510*$E510)</f>
        <v/>
      </c>
      <c r="G510" s="103" t="str">
        <f aca="false">IF($C510="","",$D510*IFERROR(INDEX('تحليل التكلفة والسعر'!$C$2:$C$700,MATCH($C510,'تحليل التكلفة والسعر'!$B$2:$B$700,0)),0))</f>
        <v/>
      </c>
    </row>
    <row r="511" customFormat="false" ht="15" hidden="false" customHeight="false" outlineLevel="0" collapsed="false">
      <c r="A511" s="102"/>
      <c r="E511" s="103" t="str">
        <f aca="false">IF($C511="","",IFERROR(INDEX(المنيو!$C$2:$C$500,MATCH($C511,المنيو!$B$2:$B$500,0)),0))</f>
        <v/>
      </c>
      <c r="F511" s="103" t="str">
        <f aca="false">IF($C511="","",$D511*$E511)</f>
        <v/>
      </c>
      <c r="G511" s="103" t="str">
        <f aca="false">IF($C511="","",$D511*IFERROR(INDEX('تحليل التكلفة والسعر'!$C$2:$C$700,MATCH($C511,'تحليل التكلفة والسعر'!$B$2:$B$700,0)),0))</f>
        <v/>
      </c>
    </row>
    <row r="512" customFormat="false" ht="15" hidden="false" customHeight="false" outlineLevel="0" collapsed="false">
      <c r="A512" s="102"/>
      <c r="E512" s="103" t="str">
        <f aca="false">IF($C512="","",IFERROR(INDEX(المنيو!$C$2:$C$500,MATCH($C512,المنيو!$B$2:$B$500,0)),0))</f>
        <v/>
      </c>
      <c r="F512" s="103" t="str">
        <f aca="false">IF($C512="","",$D512*$E512)</f>
        <v/>
      </c>
      <c r="G512" s="103" t="str">
        <f aca="false">IF($C512="","",$D512*IFERROR(INDEX('تحليل التكلفة والسعر'!$C$2:$C$700,MATCH($C512,'تحليل التكلفة والسعر'!$B$2:$B$700,0)),0))</f>
        <v/>
      </c>
    </row>
    <row r="513" customFormat="false" ht="15" hidden="false" customHeight="false" outlineLevel="0" collapsed="false">
      <c r="A513" s="102"/>
      <c r="E513" s="103" t="str">
        <f aca="false">IF($C513="","",IFERROR(INDEX(المنيو!$C$2:$C$500,MATCH($C513,المنيو!$B$2:$B$500,0)),0))</f>
        <v/>
      </c>
      <c r="F513" s="103" t="str">
        <f aca="false">IF($C513="","",$D513*$E513)</f>
        <v/>
      </c>
      <c r="G513" s="103" t="str">
        <f aca="false">IF($C513="","",$D513*IFERROR(INDEX('تحليل التكلفة والسعر'!$C$2:$C$700,MATCH($C513,'تحليل التكلفة والسعر'!$B$2:$B$700,0)),0))</f>
        <v/>
      </c>
    </row>
    <row r="514" customFormat="false" ht="15" hidden="false" customHeight="false" outlineLevel="0" collapsed="false">
      <c r="A514" s="102"/>
      <c r="E514" s="103" t="str">
        <f aca="false">IF($C514="","",IFERROR(INDEX(المنيو!$C$2:$C$500,MATCH($C514,المنيو!$B$2:$B$500,0)),0))</f>
        <v/>
      </c>
      <c r="F514" s="103" t="str">
        <f aca="false">IF($C514="","",$D514*$E514)</f>
        <v/>
      </c>
      <c r="G514" s="103" t="str">
        <f aca="false">IF($C514="","",$D514*IFERROR(INDEX('تحليل التكلفة والسعر'!$C$2:$C$700,MATCH($C514,'تحليل التكلفة والسعر'!$B$2:$B$700,0)),0))</f>
        <v/>
      </c>
    </row>
    <row r="515" customFormat="false" ht="15" hidden="false" customHeight="false" outlineLevel="0" collapsed="false">
      <c r="A515" s="102"/>
      <c r="E515" s="103" t="str">
        <f aca="false">IF($C515="","",IFERROR(INDEX(المنيو!$C$2:$C$500,MATCH($C515,المنيو!$B$2:$B$500,0)),0))</f>
        <v/>
      </c>
      <c r="F515" s="103" t="str">
        <f aca="false">IF($C515="","",$D515*$E515)</f>
        <v/>
      </c>
      <c r="G515" s="103" t="str">
        <f aca="false">IF($C515="","",$D515*IFERROR(INDEX('تحليل التكلفة والسعر'!$C$2:$C$700,MATCH($C515,'تحليل التكلفة والسعر'!$B$2:$B$700,0)),0))</f>
        <v/>
      </c>
    </row>
    <row r="516" customFormat="false" ht="15" hidden="false" customHeight="false" outlineLevel="0" collapsed="false">
      <c r="A516" s="102"/>
      <c r="E516" s="103" t="str">
        <f aca="false">IF($C516="","",IFERROR(INDEX(المنيو!$C$2:$C$500,MATCH($C516,المنيو!$B$2:$B$500,0)),0))</f>
        <v/>
      </c>
      <c r="F516" s="103" t="str">
        <f aca="false">IF($C516="","",$D516*$E516)</f>
        <v/>
      </c>
      <c r="G516" s="103" t="str">
        <f aca="false">IF($C516="","",$D516*IFERROR(INDEX('تحليل التكلفة والسعر'!$C$2:$C$700,MATCH($C516,'تحليل التكلفة والسعر'!$B$2:$B$700,0)),0))</f>
        <v/>
      </c>
    </row>
    <row r="517" customFormat="false" ht="15" hidden="false" customHeight="false" outlineLevel="0" collapsed="false">
      <c r="A517" s="102"/>
      <c r="E517" s="103" t="str">
        <f aca="false">IF($C517="","",IFERROR(INDEX(المنيو!$C$2:$C$500,MATCH($C517,المنيو!$B$2:$B$500,0)),0))</f>
        <v/>
      </c>
      <c r="F517" s="103" t="str">
        <f aca="false">IF($C517="","",$D517*$E517)</f>
        <v/>
      </c>
      <c r="G517" s="103" t="str">
        <f aca="false">IF($C517="","",$D517*IFERROR(INDEX('تحليل التكلفة والسعر'!$C$2:$C$700,MATCH($C517,'تحليل التكلفة والسعر'!$B$2:$B$700,0)),0))</f>
        <v/>
      </c>
    </row>
    <row r="518" customFormat="false" ht="15" hidden="false" customHeight="false" outlineLevel="0" collapsed="false">
      <c r="A518" s="102"/>
      <c r="E518" s="103" t="str">
        <f aca="false">IF($C518="","",IFERROR(INDEX(المنيو!$C$2:$C$500,MATCH($C518,المنيو!$B$2:$B$500,0)),0))</f>
        <v/>
      </c>
      <c r="F518" s="103" t="str">
        <f aca="false">IF($C518="","",$D518*$E518)</f>
        <v/>
      </c>
      <c r="G518" s="103" t="str">
        <f aca="false">IF($C518="","",$D518*IFERROR(INDEX('تحليل التكلفة والسعر'!$C$2:$C$700,MATCH($C518,'تحليل التكلفة والسعر'!$B$2:$B$700,0)),0))</f>
        <v/>
      </c>
    </row>
    <row r="519" customFormat="false" ht="15" hidden="false" customHeight="false" outlineLevel="0" collapsed="false">
      <c r="A519" s="102"/>
      <c r="E519" s="103" t="str">
        <f aca="false">IF($C519="","",IFERROR(INDEX(المنيو!$C$2:$C$500,MATCH($C519,المنيو!$B$2:$B$500,0)),0))</f>
        <v/>
      </c>
      <c r="F519" s="103" t="str">
        <f aca="false">IF($C519="","",$D519*$E519)</f>
        <v/>
      </c>
      <c r="G519" s="103" t="str">
        <f aca="false">IF($C519="","",$D519*IFERROR(INDEX('تحليل التكلفة والسعر'!$C$2:$C$700,MATCH($C519,'تحليل التكلفة والسعر'!$B$2:$B$700,0)),0))</f>
        <v/>
      </c>
    </row>
    <row r="520" customFormat="false" ht="15" hidden="false" customHeight="false" outlineLevel="0" collapsed="false">
      <c r="A520" s="102"/>
      <c r="E520" s="103" t="str">
        <f aca="false">IF($C520="","",IFERROR(INDEX(المنيو!$C$2:$C$500,MATCH($C520,المنيو!$B$2:$B$500,0)),0))</f>
        <v/>
      </c>
      <c r="F520" s="103" t="str">
        <f aca="false">IF($C520="","",$D520*$E520)</f>
        <v/>
      </c>
      <c r="G520" s="103" t="str">
        <f aca="false">IF($C520="","",$D520*IFERROR(INDEX('تحليل التكلفة والسعر'!$C$2:$C$700,MATCH($C520,'تحليل التكلفة والسعر'!$B$2:$B$700,0)),0))</f>
        <v/>
      </c>
    </row>
    <row r="521" customFormat="false" ht="15" hidden="false" customHeight="false" outlineLevel="0" collapsed="false">
      <c r="A521" s="102"/>
      <c r="E521" s="103" t="str">
        <f aca="false">IF($C521="","",IFERROR(INDEX(المنيو!$C$2:$C$500,MATCH($C521,المنيو!$B$2:$B$500,0)),0))</f>
        <v/>
      </c>
      <c r="F521" s="103" t="str">
        <f aca="false">IF($C521="","",$D521*$E521)</f>
        <v/>
      </c>
      <c r="G521" s="103" t="str">
        <f aca="false">IF($C521="","",$D521*IFERROR(INDEX('تحليل التكلفة والسعر'!$C$2:$C$700,MATCH($C521,'تحليل التكلفة والسعر'!$B$2:$B$700,0)),0))</f>
        <v/>
      </c>
    </row>
    <row r="522" customFormat="false" ht="15" hidden="false" customHeight="false" outlineLevel="0" collapsed="false">
      <c r="A522" s="102"/>
      <c r="E522" s="103" t="str">
        <f aca="false">IF($C522="","",IFERROR(INDEX(المنيو!$C$2:$C$500,MATCH($C522,المنيو!$B$2:$B$500,0)),0))</f>
        <v/>
      </c>
      <c r="F522" s="103" t="str">
        <f aca="false">IF($C522="","",$D522*$E522)</f>
        <v/>
      </c>
      <c r="G522" s="103" t="str">
        <f aca="false">IF($C522="","",$D522*IFERROR(INDEX('تحليل التكلفة والسعر'!$C$2:$C$700,MATCH($C522,'تحليل التكلفة والسعر'!$B$2:$B$700,0)),0))</f>
        <v/>
      </c>
    </row>
    <row r="523" customFormat="false" ht="15" hidden="false" customHeight="false" outlineLevel="0" collapsed="false">
      <c r="A523" s="102"/>
      <c r="E523" s="103" t="str">
        <f aca="false">IF($C523="","",IFERROR(INDEX(المنيو!$C$2:$C$500,MATCH($C523,المنيو!$B$2:$B$500,0)),0))</f>
        <v/>
      </c>
      <c r="F523" s="103" t="str">
        <f aca="false">IF($C523="","",$D523*$E523)</f>
        <v/>
      </c>
      <c r="G523" s="103" t="str">
        <f aca="false">IF($C523="","",$D523*IFERROR(INDEX('تحليل التكلفة والسعر'!$C$2:$C$700,MATCH($C523,'تحليل التكلفة والسعر'!$B$2:$B$700,0)),0))</f>
        <v/>
      </c>
    </row>
    <row r="524" customFormat="false" ht="15" hidden="false" customHeight="false" outlineLevel="0" collapsed="false">
      <c r="A524" s="102"/>
      <c r="E524" s="103" t="str">
        <f aca="false">IF($C524="","",IFERROR(INDEX(المنيو!$C$2:$C$500,MATCH($C524,المنيو!$B$2:$B$500,0)),0))</f>
        <v/>
      </c>
      <c r="F524" s="103" t="str">
        <f aca="false">IF($C524="","",$D524*$E524)</f>
        <v/>
      </c>
      <c r="G524" s="103" t="str">
        <f aca="false">IF($C524="","",$D524*IFERROR(INDEX('تحليل التكلفة والسعر'!$C$2:$C$700,MATCH($C524,'تحليل التكلفة والسعر'!$B$2:$B$700,0)),0))</f>
        <v/>
      </c>
    </row>
    <row r="525" customFormat="false" ht="15" hidden="false" customHeight="false" outlineLevel="0" collapsed="false">
      <c r="A525" s="102"/>
      <c r="E525" s="103" t="str">
        <f aca="false">IF($C525="","",IFERROR(INDEX(المنيو!$C$2:$C$500,MATCH($C525,المنيو!$B$2:$B$500,0)),0))</f>
        <v/>
      </c>
      <c r="F525" s="103" t="str">
        <f aca="false">IF($C525="","",$D525*$E525)</f>
        <v/>
      </c>
      <c r="G525" s="103" t="str">
        <f aca="false">IF($C525="","",$D525*IFERROR(INDEX('تحليل التكلفة والسعر'!$C$2:$C$700,MATCH($C525,'تحليل التكلفة والسعر'!$B$2:$B$700,0)),0))</f>
        <v/>
      </c>
    </row>
    <row r="526" customFormat="false" ht="15" hidden="false" customHeight="false" outlineLevel="0" collapsed="false">
      <c r="A526" s="102"/>
      <c r="E526" s="103" t="str">
        <f aca="false">IF($C526="","",IFERROR(INDEX(المنيو!$C$2:$C$500,MATCH($C526,المنيو!$B$2:$B$500,0)),0))</f>
        <v/>
      </c>
      <c r="F526" s="103" t="str">
        <f aca="false">IF($C526="","",$D526*$E526)</f>
        <v/>
      </c>
      <c r="G526" s="103" t="str">
        <f aca="false">IF($C526="","",$D526*IFERROR(INDEX('تحليل التكلفة والسعر'!$C$2:$C$700,MATCH($C526,'تحليل التكلفة والسعر'!$B$2:$B$700,0)),0))</f>
        <v/>
      </c>
    </row>
    <row r="527" customFormat="false" ht="15" hidden="false" customHeight="false" outlineLevel="0" collapsed="false">
      <c r="A527" s="102"/>
      <c r="E527" s="103" t="str">
        <f aca="false">IF($C527="","",IFERROR(INDEX(المنيو!$C$2:$C$500,MATCH($C527,المنيو!$B$2:$B$500,0)),0))</f>
        <v/>
      </c>
      <c r="F527" s="103" t="str">
        <f aca="false">IF($C527="","",$D527*$E527)</f>
        <v/>
      </c>
      <c r="G527" s="103" t="str">
        <f aca="false">IF($C527="","",$D527*IFERROR(INDEX('تحليل التكلفة والسعر'!$C$2:$C$700,MATCH($C527,'تحليل التكلفة والسعر'!$B$2:$B$700,0)),0))</f>
        <v/>
      </c>
    </row>
    <row r="528" customFormat="false" ht="15" hidden="false" customHeight="false" outlineLevel="0" collapsed="false">
      <c r="A528" s="102"/>
      <c r="E528" s="103" t="str">
        <f aca="false">IF($C528="","",IFERROR(INDEX(المنيو!$C$2:$C$500,MATCH($C528,المنيو!$B$2:$B$500,0)),0))</f>
        <v/>
      </c>
      <c r="F528" s="103" t="str">
        <f aca="false">IF($C528="","",$D528*$E528)</f>
        <v/>
      </c>
      <c r="G528" s="103" t="str">
        <f aca="false">IF($C528="","",$D528*IFERROR(INDEX('تحليل التكلفة والسعر'!$C$2:$C$700,MATCH($C528,'تحليل التكلفة والسعر'!$B$2:$B$700,0)),0))</f>
        <v/>
      </c>
    </row>
    <row r="529" customFormat="false" ht="15" hidden="false" customHeight="false" outlineLevel="0" collapsed="false">
      <c r="A529" s="102"/>
      <c r="E529" s="103" t="str">
        <f aca="false">IF($C529="","",IFERROR(INDEX(المنيو!$C$2:$C$500,MATCH($C529,المنيو!$B$2:$B$500,0)),0))</f>
        <v/>
      </c>
      <c r="F529" s="103" t="str">
        <f aca="false">IF($C529="","",$D529*$E529)</f>
        <v/>
      </c>
      <c r="G529" s="103" t="str">
        <f aca="false">IF($C529="","",$D529*IFERROR(INDEX('تحليل التكلفة والسعر'!$C$2:$C$700,MATCH($C529,'تحليل التكلفة والسعر'!$B$2:$B$700,0)),0))</f>
        <v/>
      </c>
    </row>
    <row r="530" customFormat="false" ht="15" hidden="false" customHeight="false" outlineLevel="0" collapsed="false">
      <c r="A530" s="102"/>
      <c r="E530" s="103" t="str">
        <f aca="false">IF($C530="","",IFERROR(INDEX(المنيو!$C$2:$C$500,MATCH($C530,المنيو!$B$2:$B$500,0)),0))</f>
        <v/>
      </c>
      <c r="F530" s="103" t="str">
        <f aca="false">IF($C530="","",$D530*$E530)</f>
        <v/>
      </c>
      <c r="G530" s="103" t="str">
        <f aca="false">IF($C530="","",$D530*IFERROR(INDEX('تحليل التكلفة والسعر'!$C$2:$C$700,MATCH($C530,'تحليل التكلفة والسعر'!$B$2:$B$700,0)),0))</f>
        <v/>
      </c>
    </row>
    <row r="531" customFormat="false" ht="15" hidden="false" customHeight="false" outlineLevel="0" collapsed="false">
      <c r="A531" s="102"/>
      <c r="E531" s="103" t="str">
        <f aca="false">IF($C531="","",IFERROR(INDEX(المنيو!$C$2:$C$500,MATCH($C531,المنيو!$B$2:$B$500,0)),0))</f>
        <v/>
      </c>
      <c r="F531" s="103" t="str">
        <f aca="false">IF($C531="","",$D531*$E531)</f>
        <v/>
      </c>
      <c r="G531" s="103" t="str">
        <f aca="false">IF($C531="","",$D531*IFERROR(INDEX('تحليل التكلفة والسعر'!$C$2:$C$700,MATCH($C531,'تحليل التكلفة والسعر'!$B$2:$B$700,0)),0))</f>
        <v/>
      </c>
    </row>
    <row r="532" customFormat="false" ht="15" hidden="false" customHeight="false" outlineLevel="0" collapsed="false">
      <c r="A532" s="102"/>
      <c r="E532" s="103" t="str">
        <f aca="false">IF($C532="","",IFERROR(INDEX(المنيو!$C$2:$C$500,MATCH($C532,المنيو!$B$2:$B$500,0)),0))</f>
        <v/>
      </c>
      <c r="F532" s="103" t="str">
        <f aca="false">IF($C532="","",$D532*$E532)</f>
        <v/>
      </c>
      <c r="G532" s="103" t="str">
        <f aca="false">IF($C532="","",$D532*IFERROR(INDEX('تحليل التكلفة والسعر'!$C$2:$C$700,MATCH($C532,'تحليل التكلفة والسعر'!$B$2:$B$700,0)),0))</f>
        <v/>
      </c>
    </row>
    <row r="533" customFormat="false" ht="15" hidden="false" customHeight="false" outlineLevel="0" collapsed="false">
      <c r="A533" s="102"/>
      <c r="E533" s="103" t="str">
        <f aca="false">IF($C533="","",IFERROR(INDEX(المنيو!$C$2:$C$500,MATCH($C533,المنيو!$B$2:$B$500,0)),0))</f>
        <v/>
      </c>
      <c r="F533" s="103" t="str">
        <f aca="false">IF($C533="","",$D533*$E533)</f>
        <v/>
      </c>
      <c r="G533" s="103" t="str">
        <f aca="false">IF($C533="","",$D533*IFERROR(INDEX('تحليل التكلفة والسعر'!$C$2:$C$700,MATCH($C533,'تحليل التكلفة والسعر'!$B$2:$B$700,0)),0))</f>
        <v/>
      </c>
    </row>
    <row r="534" customFormat="false" ht="15" hidden="false" customHeight="false" outlineLevel="0" collapsed="false">
      <c r="A534" s="102"/>
      <c r="E534" s="103" t="str">
        <f aca="false">IF($C534="","",IFERROR(INDEX(المنيو!$C$2:$C$500,MATCH($C534,المنيو!$B$2:$B$500,0)),0))</f>
        <v/>
      </c>
      <c r="F534" s="103" t="str">
        <f aca="false">IF($C534="","",$D534*$E534)</f>
        <v/>
      </c>
      <c r="G534" s="103" t="str">
        <f aca="false">IF($C534="","",$D534*IFERROR(INDEX('تحليل التكلفة والسعر'!$C$2:$C$700,MATCH($C534,'تحليل التكلفة والسعر'!$B$2:$B$700,0)),0))</f>
        <v/>
      </c>
    </row>
    <row r="535" customFormat="false" ht="15" hidden="false" customHeight="false" outlineLevel="0" collapsed="false">
      <c r="A535" s="102"/>
      <c r="E535" s="103" t="str">
        <f aca="false">IF($C535="","",IFERROR(INDEX(المنيو!$C$2:$C$500,MATCH($C535,المنيو!$B$2:$B$500,0)),0))</f>
        <v/>
      </c>
      <c r="F535" s="103" t="str">
        <f aca="false">IF($C535="","",$D535*$E535)</f>
        <v/>
      </c>
      <c r="G535" s="103" t="str">
        <f aca="false">IF($C535="","",$D535*IFERROR(INDEX('تحليل التكلفة والسعر'!$C$2:$C$700,MATCH($C535,'تحليل التكلفة والسعر'!$B$2:$B$700,0)),0))</f>
        <v/>
      </c>
    </row>
    <row r="536" customFormat="false" ht="15" hidden="false" customHeight="false" outlineLevel="0" collapsed="false">
      <c r="A536" s="102"/>
      <c r="E536" s="103" t="str">
        <f aca="false">IF($C536="","",IFERROR(INDEX(المنيو!$C$2:$C$500,MATCH($C536,المنيو!$B$2:$B$500,0)),0))</f>
        <v/>
      </c>
      <c r="F536" s="103" t="str">
        <f aca="false">IF($C536="","",$D536*$E536)</f>
        <v/>
      </c>
      <c r="G536" s="103" t="str">
        <f aca="false">IF($C536="","",$D536*IFERROR(INDEX('تحليل التكلفة والسعر'!$C$2:$C$700,MATCH($C536,'تحليل التكلفة والسعر'!$B$2:$B$700,0)),0))</f>
        <v/>
      </c>
    </row>
    <row r="537" customFormat="false" ht="15" hidden="false" customHeight="false" outlineLevel="0" collapsed="false">
      <c r="A537" s="102"/>
      <c r="E537" s="103" t="str">
        <f aca="false">IF($C537="","",IFERROR(INDEX(المنيو!$C$2:$C$500,MATCH($C537,المنيو!$B$2:$B$500,0)),0))</f>
        <v/>
      </c>
      <c r="F537" s="103" t="str">
        <f aca="false">IF($C537="","",$D537*$E537)</f>
        <v/>
      </c>
      <c r="G537" s="103" t="str">
        <f aca="false">IF($C537="","",$D537*IFERROR(INDEX('تحليل التكلفة والسعر'!$C$2:$C$700,MATCH($C537,'تحليل التكلفة والسعر'!$B$2:$B$700,0)),0))</f>
        <v/>
      </c>
    </row>
    <row r="538" customFormat="false" ht="15" hidden="false" customHeight="false" outlineLevel="0" collapsed="false">
      <c r="A538" s="102"/>
      <c r="E538" s="103" t="str">
        <f aca="false">IF($C538="","",IFERROR(INDEX(المنيو!$C$2:$C$500,MATCH($C538,المنيو!$B$2:$B$500,0)),0))</f>
        <v/>
      </c>
      <c r="F538" s="103" t="str">
        <f aca="false">IF($C538="","",$D538*$E538)</f>
        <v/>
      </c>
      <c r="G538" s="103" t="str">
        <f aca="false">IF($C538="","",$D538*IFERROR(INDEX('تحليل التكلفة والسعر'!$C$2:$C$700,MATCH($C538,'تحليل التكلفة والسعر'!$B$2:$B$700,0)),0))</f>
        <v/>
      </c>
    </row>
    <row r="539" customFormat="false" ht="15" hidden="false" customHeight="false" outlineLevel="0" collapsed="false">
      <c r="A539" s="102"/>
      <c r="E539" s="103" t="str">
        <f aca="false">IF($C539="","",IFERROR(INDEX(المنيو!$C$2:$C$500,MATCH($C539,المنيو!$B$2:$B$500,0)),0))</f>
        <v/>
      </c>
      <c r="F539" s="103" t="str">
        <f aca="false">IF($C539="","",$D539*$E539)</f>
        <v/>
      </c>
      <c r="G539" s="103" t="str">
        <f aca="false">IF($C539="","",$D539*IFERROR(INDEX('تحليل التكلفة والسعر'!$C$2:$C$700,MATCH($C539,'تحليل التكلفة والسعر'!$B$2:$B$700,0)),0))</f>
        <v/>
      </c>
    </row>
    <row r="540" customFormat="false" ht="15" hidden="false" customHeight="false" outlineLevel="0" collapsed="false">
      <c r="A540" s="102"/>
      <c r="E540" s="103" t="str">
        <f aca="false">IF($C540="","",IFERROR(INDEX(المنيو!$C$2:$C$500,MATCH($C540,المنيو!$B$2:$B$500,0)),0))</f>
        <v/>
      </c>
      <c r="F540" s="103" t="str">
        <f aca="false">IF($C540="","",$D540*$E540)</f>
        <v/>
      </c>
      <c r="G540" s="103" t="str">
        <f aca="false">IF($C540="","",$D540*IFERROR(INDEX('تحليل التكلفة والسعر'!$C$2:$C$700,MATCH($C540,'تحليل التكلفة والسعر'!$B$2:$B$700,0)),0))</f>
        <v/>
      </c>
    </row>
    <row r="541" customFormat="false" ht="15" hidden="false" customHeight="false" outlineLevel="0" collapsed="false">
      <c r="A541" s="102"/>
      <c r="E541" s="103" t="str">
        <f aca="false">IF($C541="","",IFERROR(INDEX(المنيو!$C$2:$C$500,MATCH($C541,المنيو!$B$2:$B$500,0)),0))</f>
        <v/>
      </c>
      <c r="F541" s="103" t="str">
        <f aca="false">IF($C541="","",$D541*$E541)</f>
        <v/>
      </c>
      <c r="G541" s="103" t="str">
        <f aca="false">IF($C541="","",$D541*IFERROR(INDEX('تحليل التكلفة والسعر'!$C$2:$C$700,MATCH($C541,'تحليل التكلفة والسعر'!$B$2:$B$700,0)),0))</f>
        <v/>
      </c>
    </row>
    <row r="542" customFormat="false" ht="15" hidden="false" customHeight="false" outlineLevel="0" collapsed="false">
      <c r="A542" s="102"/>
      <c r="E542" s="103" t="str">
        <f aca="false">IF($C542="","",IFERROR(INDEX(المنيو!$C$2:$C$500,MATCH($C542,المنيو!$B$2:$B$500,0)),0))</f>
        <v/>
      </c>
      <c r="F542" s="103" t="str">
        <f aca="false">IF($C542="","",$D542*$E542)</f>
        <v/>
      </c>
      <c r="G542" s="103" t="str">
        <f aca="false">IF($C542="","",$D542*IFERROR(INDEX('تحليل التكلفة والسعر'!$C$2:$C$700,MATCH($C542,'تحليل التكلفة والسعر'!$B$2:$B$700,0)),0))</f>
        <v/>
      </c>
    </row>
    <row r="543" customFormat="false" ht="15" hidden="false" customHeight="false" outlineLevel="0" collapsed="false">
      <c r="A543" s="102"/>
      <c r="E543" s="103" t="str">
        <f aca="false">IF($C543="","",IFERROR(INDEX(المنيو!$C$2:$C$500,MATCH($C543,المنيو!$B$2:$B$500,0)),0))</f>
        <v/>
      </c>
      <c r="F543" s="103" t="str">
        <f aca="false">IF($C543="","",$D543*$E543)</f>
        <v/>
      </c>
      <c r="G543" s="103" t="str">
        <f aca="false">IF($C543="","",$D543*IFERROR(INDEX('تحليل التكلفة والسعر'!$C$2:$C$700,MATCH($C543,'تحليل التكلفة والسعر'!$B$2:$B$700,0)),0))</f>
        <v/>
      </c>
    </row>
    <row r="544" customFormat="false" ht="15" hidden="false" customHeight="false" outlineLevel="0" collapsed="false">
      <c r="A544" s="102"/>
      <c r="E544" s="103" t="str">
        <f aca="false">IF($C544="","",IFERROR(INDEX(المنيو!$C$2:$C$500,MATCH($C544,المنيو!$B$2:$B$500,0)),0))</f>
        <v/>
      </c>
      <c r="F544" s="103" t="str">
        <f aca="false">IF($C544="","",$D544*$E544)</f>
        <v/>
      </c>
      <c r="G544" s="103" t="str">
        <f aca="false">IF($C544="","",$D544*IFERROR(INDEX('تحليل التكلفة والسعر'!$C$2:$C$700,MATCH($C544,'تحليل التكلفة والسعر'!$B$2:$B$700,0)),0))</f>
        <v/>
      </c>
    </row>
    <row r="545" customFormat="false" ht="15" hidden="false" customHeight="false" outlineLevel="0" collapsed="false">
      <c r="A545" s="102"/>
      <c r="E545" s="103" t="str">
        <f aca="false">IF($C545="","",IFERROR(INDEX(المنيو!$C$2:$C$500,MATCH($C545,المنيو!$B$2:$B$500,0)),0))</f>
        <v/>
      </c>
      <c r="F545" s="103" t="str">
        <f aca="false">IF($C545="","",$D545*$E545)</f>
        <v/>
      </c>
      <c r="G545" s="103" t="str">
        <f aca="false">IF($C545="","",$D545*IFERROR(INDEX('تحليل التكلفة والسعر'!$C$2:$C$700,MATCH($C545,'تحليل التكلفة والسعر'!$B$2:$B$700,0)),0))</f>
        <v/>
      </c>
    </row>
    <row r="546" customFormat="false" ht="15" hidden="false" customHeight="false" outlineLevel="0" collapsed="false">
      <c r="A546" s="102"/>
      <c r="E546" s="103" t="str">
        <f aca="false">IF($C546="","",IFERROR(INDEX(المنيو!$C$2:$C$500,MATCH($C546,المنيو!$B$2:$B$500,0)),0))</f>
        <v/>
      </c>
      <c r="F546" s="103" t="str">
        <f aca="false">IF($C546="","",$D546*$E546)</f>
        <v/>
      </c>
      <c r="G546" s="103" t="str">
        <f aca="false">IF($C546="","",$D546*IFERROR(INDEX('تحليل التكلفة والسعر'!$C$2:$C$700,MATCH($C546,'تحليل التكلفة والسعر'!$B$2:$B$700,0)),0))</f>
        <v/>
      </c>
    </row>
    <row r="547" customFormat="false" ht="15" hidden="false" customHeight="false" outlineLevel="0" collapsed="false">
      <c r="A547" s="102"/>
      <c r="E547" s="103" t="str">
        <f aca="false">IF($C547="","",IFERROR(INDEX(المنيو!$C$2:$C$500,MATCH($C547,المنيو!$B$2:$B$500,0)),0))</f>
        <v/>
      </c>
      <c r="F547" s="103" t="str">
        <f aca="false">IF($C547="","",$D547*$E547)</f>
        <v/>
      </c>
      <c r="G547" s="103" t="str">
        <f aca="false">IF($C547="","",$D547*IFERROR(INDEX('تحليل التكلفة والسعر'!$C$2:$C$700,MATCH($C547,'تحليل التكلفة والسعر'!$B$2:$B$700,0)),0))</f>
        <v/>
      </c>
    </row>
    <row r="548" customFormat="false" ht="15" hidden="false" customHeight="false" outlineLevel="0" collapsed="false">
      <c r="A548" s="102"/>
      <c r="E548" s="103" t="str">
        <f aca="false">IF($C548="","",IFERROR(INDEX(المنيو!$C$2:$C$500,MATCH($C548,المنيو!$B$2:$B$500,0)),0))</f>
        <v/>
      </c>
      <c r="F548" s="103" t="str">
        <f aca="false">IF($C548="","",$D548*$E548)</f>
        <v/>
      </c>
      <c r="G548" s="103" t="str">
        <f aca="false">IF($C548="","",$D548*IFERROR(INDEX('تحليل التكلفة والسعر'!$C$2:$C$700,MATCH($C548,'تحليل التكلفة والسعر'!$B$2:$B$700,0)),0))</f>
        <v/>
      </c>
    </row>
    <row r="549" customFormat="false" ht="15" hidden="false" customHeight="false" outlineLevel="0" collapsed="false">
      <c r="A549" s="102"/>
      <c r="E549" s="103" t="str">
        <f aca="false">IF($C549="","",IFERROR(INDEX(المنيو!$C$2:$C$500,MATCH($C549,المنيو!$B$2:$B$500,0)),0))</f>
        <v/>
      </c>
      <c r="F549" s="103" t="str">
        <f aca="false">IF($C549="","",$D549*$E549)</f>
        <v/>
      </c>
      <c r="G549" s="103" t="str">
        <f aca="false">IF($C549="","",$D549*IFERROR(INDEX('تحليل التكلفة والسعر'!$C$2:$C$700,MATCH($C549,'تحليل التكلفة والسعر'!$B$2:$B$700,0)),0))</f>
        <v/>
      </c>
    </row>
    <row r="550" customFormat="false" ht="15" hidden="false" customHeight="false" outlineLevel="0" collapsed="false">
      <c r="A550" s="102"/>
      <c r="E550" s="103" t="str">
        <f aca="false">IF($C550="","",IFERROR(INDEX(المنيو!$C$2:$C$500,MATCH($C550,المنيو!$B$2:$B$500,0)),0))</f>
        <v/>
      </c>
      <c r="F550" s="103" t="str">
        <f aca="false">IF($C550="","",$D550*$E550)</f>
        <v/>
      </c>
      <c r="G550" s="103" t="str">
        <f aca="false">IF($C550="","",$D550*IFERROR(INDEX('تحليل التكلفة والسعر'!$C$2:$C$700,MATCH($C550,'تحليل التكلفة والسعر'!$B$2:$B$700,0)),0))</f>
        <v/>
      </c>
    </row>
    <row r="551" customFormat="false" ht="15" hidden="false" customHeight="false" outlineLevel="0" collapsed="false">
      <c r="A551" s="102"/>
      <c r="E551" s="103" t="str">
        <f aca="false">IF($C551="","",IFERROR(INDEX(المنيو!$C$2:$C$500,MATCH($C551,المنيو!$B$2:$B$500,0)),0))</f>
        <v/>
      </c>
      <c r="F551" s="103" t="str">
        <f aca="false">IF($C551="","",$D551*$E551)</f>
        <v/>
      </c>
      <c r="G551" s="103" t="str">
        <f aca="false">IF($C551="","",$D551*IFERROR(INDEX('تحليل التكلفة والسعر'!$C$2:$C$700,MATCH($C551,'تحليل التكلفة والسعر'!$B$2:$B$700,0)),0))</f>
        <v/>
      </c>
    </row>
    <row r="552" customFormat="false" ht="15" hidden="false" customHeight="false" outlineLevel="0" collapsed="false">
      <c r="A552" s="102"/>
      <c r="E552" s="103" t="str">
        <f aca="false">IF($C552="","",IFERROR(INDEX(المنيو!$C$2:$C$500,MATCH($C552,المنيو!$B$2:$B$500,0)),0))</f>
        <v/>
      </c>
      <c r="F552" s="103" t="str">
        <f aca="false">IF($C552="","",$D552*$E552)</f>
        <v/>
      </c>
      <c r="G552" s="103" t="str">
        <f aca="false">IF($C552="","",$D552*IFERROR(INDEX('تحليل التكلفة والسعر'!$C$2:$C$700,MATCH($C552,'تحليل التكلفة والسعر'!$B$2:$B$700,0)),0))</f>
        <v/>
      </c>
    </row>
    <row r="553" customFormat="false" ht="15" hidden="false" customHeight="false" outlineLevel="0" collapsed="false">
      <c r="A553" s="102"/>
      <c r="E553" s="103" t="str">
        <f aca="false">IF($C553="","",IFERROR(INDEX(المنيو!$C$2:$C$500,MATCH($C553,المنيو!$B$2:$B$500,0)),0))</f>
        <v/>
      </c>
      <c r="F553" s="103" t="str">
        <f aca="false">IF($C553="","",$D553*$E553)</f>
        <v/>
      </c>
      <c r="G553" s="103" t="str">
        <f aca="false">IF($C553="","",$D553*IFERROR(INDEX('تحليل التكلفة والسعر'!$C$2:$C$700,MATCH($C553,'تحليل التكلفة والسعر'!$B$2:$B$700,0)),0))</f>
        <v/>
      </c>
    </row>
    <row r="554" customFormat="false" ht="15" hidden="false" customHeight="false" outlineLevel="0" collapsed="false">
      <c r="A554" s="102"/>
      <c r="E554" s="103" t="str">
        <f aca="false">IF($C554="","",IFERROR(INDEX(المنيو!$C$2:$C$500,MATCH($C554,المنيو!$B$2:$B$500,0)),0))</f>
        <v/>
      </c>
      <c r="F554" s="103" t="str">
        <f aca="false">IF($C554="","",$D554*$E554)</f>
        <v/>
      </c>
      <c r="G554" s="103" t="str">
        <f aca="false">IF($C554="","",$D554*IFERROR(INDEX('تحليل التكلفة والسعر'!$C$2:$C$700,MATCH($C554,'تحليل التكلفة والسعر'!$B$2:$B$700,0)),0))</f>
        <v/>
      </c>
    </row>
    <row r="555" customFormat="false" ht="15" hidden="false" customHeight="false" outlineLevel="0" collapsed="false">
      <c r="A555" s="102"/>
      <c r="E555" s="103" t="str">
        <f aca="false">IF($C555="","",IFERROR(INDEX(المنيو!$C$2:$C$500,MATCH($C555,المنيو!$B$2:$B$500,0)),0))</f>
        <v/>
      </c>
      <c r="F555" s="103" t="str">
        <f aca="false">IF($C555="","",$D555*$E555)</f>
        <v/>
      </c>
      <c r="G555" s="103" t="str">
        <f aca="false">IF($C555="","",$D555*IFERROR(INDEX('تحليل التكلفة والسعر'!$C$2:$C$700,MATCH($C555,'تحليل التكلفة والسعر'!$B$2:$B$700,0)),0))</f>
        <v/>
      </c>
    </row>
    <row r="556" customFormat="false" ht="15" hidden="false" customHeight="false" outlineLevel="0" collapsed="false">
      <c r="A556" s="102"/>
      <c r="E556" s="103" t="str">
        <f aca="false">IF($C556="","",IFERROR(INDEX(المنيو!$C$2:$C$500,MATCH($C556,المنيو!$B$2:$B$500,0)),0))</f>
        <v/>
      </c>
      <c r="F556" s="103" t="str">
        <f aca="false">IF($C556="","",$D556*$E556)</f>
        <v/>
      </c>
      <c r="G556" s="103" t="str">
        <f aca="false">IF($C556="","",$D556*IFERROR(INDEX('تحليل التكلفة والسعر'!$C$2:$C$700,MATCH($C556,'تحليل التكلفة والسعر'!$B$2:$B$700,0)),0))</f>
        <v/>
      </c>
    </row>
    <row r="557" customFormat="false" ht="15" hidden="false" customHeight="false" outlineLevel="0" collapsed="false">
      <c r="A557" s="102"/>
      <c r="E557" s="103" t="str">
        <f aca="false">IF($C557="","",IFERROR(INDEX(المنيو!$C$2:$C$500,MATCH($C557,المنيو!$B$2:$B$500,0)),0))</f>
        <v/>
      </c>
      <c r="F557" s="103" t="str">
        <f aca="false">IF($C557="","",$D557*$E557)</f>
        <v/>
      </c>
      <c r="G557" s="103" t="str">
        <f aca="false">IF($C557="","",$D557*IFERROR(INDEX('تحليل التكلفة والسعر'!$C$2:$C$700,MATCH($C557,'تحليل التكلفة والسعر'!$B$2:$B$700,0)),0))</f>
        <v/>
      </c>
    </row>
    <row r="558" customFormat="false" ht="15" hidden="false" customHeight="false" outlineLevel="0" collapsed="false">
      <c r="A558" s="102"/>
      <c r="E558" s="103" t="str">
        <f aca="false">IF($C558="","",IFERROR(INDEX(المنيو!$C$2:$C$500,MATCH($C558,المنيو!$B$2:$B$500,0)),0))</f>
        <v/>
      </c>
      <c r="F558" s="103" t="str">
        <f aca="false">IF($C558="","",$D558*$E558)</f>
        <v/>
      </c>
      <c r="G558" s="103" t="str">
        <f aca="false">IF($C558="","",$D558*IFERROR(INDEX('تحليل التكلفة والسعر'!$C$2:$C$700,MATCH($C558,'تحليل التكلفة والسعر'!$B$2:$B$700,0)),0))</f>
        <v/>
      </c>
    </row>
    <row r="559" customFormat="false" ht="15" hidden="false" customHeight="false" outlineLevel="0" collapsed="false">
      <c r="A559" s="102"/>
      <c r="E559" s="103" t="str">
        <f aca="false">IF($C559="","",IFERROR(INDEX(المنيو!$C$2:$C$500,MATCH($C559,المنيو!$B$2:$B$500,0)),0))</f>
        <v/>
      </c>
      <c r="F559" s="103" t="str">
        <f aca="false">IF($C559="","",$D559*$E559)</f>
        <v/>
      </c>
      <c r="G559" s="103" t="str">
        <f aca="false">IF($C559="","",$D559*IFERROR(INDEX('تحليل التكلفة والسعر'!$C$2:$C$700,MATCH($C559,'تحليل التكلفة والسعر'!$B$2:$B$700,0)),0))</f>
        <v/>
      </c>
    </row>
    <row r="560" customFormat="false" ht="15" hidden="false" customHeight="false" outlineLevel="0" collapsed="false">
      <c r="A560" s="102"/>
      <c r="E560" s="103" t="str">
        <f aca="false">IF($C560="","",IFERROR(INDEX(المنيو!$C$2:$C$500,MATCH($C560,المنيو!$B$2:$B$500,0)),0))</f>
        <v/>
      </c>
      <c r="F560" s="103" t="str">
        <f aca="false">IF($C560="","",$D560*$E560)</f>
        <v/>
      </c>
      <c r="G560" s="103" t="str">
        <f aca="false">IF($C560="","",$D560*IFERROR(INDEX('تحليل التكلفة والسعر'!$C$2:$C$700,MATCH($C560,'تحليل التكلفة والسعر'!$B$2:$B$700,0)),0))</f>
        <v/>
      </c>
    </row>
    <row r="561" customFormat="false" ht="15" hidden="false" customHeight="false" outlineLevel="0" collapsed="false">
      <c r="A561" s="102"/>
      <c r="E561" s="103" t="str">
        <f aca="false">IF($C561="","",IFERROR(INDEX(المنيو!$C$2:$C$500,MATCH($C561,المنيو!$B$2:$B$500,0)),0))</f>
        <v/>
      </c>
      <c r="F561" s="103" t="str">
        <f aca="false">IF($C561="","",$D561*$E561)</f>
        <v/>
      </c>
      <c r="G561" s="103" t="str">
        <f aca="false">IF($C561="","",$D561*IFERROR(INDEX('تحليل التكلفة والسعر'!$C$2:$C$700,MATCH($C561,'تحليل التكلفة والسعر'!$B$2:$B$700,0)),0))</f>
        <v/>
      </c>
    </row>
    <row r="562" customFormat="false" ht="15" hidden="false" customHeight="false" outlineLevel="0" collapsed="false">
      <c r="A562" s="102"/>
      <c r="E562" s="103" t="str">
        <f aca="false">IF($C562="","",IFERROR(INDEX(المنيو!$C$2:$C$500,MATCH($C562,المنيو!$B$2:$B$500,0)),0))</f>
        <v/>
      </c>
      <c r="F562" s="103" t="str">
        <f aca="false">IF($C562="","",$D562*$E562)</f>
        <v/>
      </c>
      <c r="G562" s="103" t="str">
        <f aca="false">IF($C562="","",$D562*IFERROR(INDEX('تحليل التكلفة والسعر'!$C$2:$C$700,MATCH($C562,'تحليل التكلفة والسعر'!$B$2:$B$700,0)),0))</f>
        <v/>
      </c>
    </row>
    <row r="563" customFormat="false" ht="15" hidden="false" customHeight="false" outlineLevel="0" collapsed="false">
      <c r="A563" s="102"/>
      <c r="E563" s="103" t="str">
        <f aca="false">IF($C563="","",IFERROR(INDEX(المنيو!$C$2:$C$500,MATCH($C563,المنيو!$B$2:$B$500,0)),0))</f>
        <v/>
      </c>
      <c r="F563" s="103" t="str">
        <f aca="false">IF($C563="","",$D563*$E563)</f>
        <v/>
      </c>
      <c r="G563" s="103" t="str">
        <f aca="false">IF($C563="","",$D563*IFERROR(INDEX('تحليل التكلفة والسعر'!$C$2:$C$700,MATCH($C563,'تحليل التكلفة والسعر'!$B$2:$B$700,0)),0))</f>
        <v/>
      </c>
    </row>
    <row r="564" customFormat="false" ht="15" hidden="false" customHeight="false" outlineLevel="0" collapsed="false">
      <c r="A564" s="102"/>
      <c r="E564" s="103" t="str">
        <f aca="false">IF($C564="","",IFERROR(INDEX(المنيو!$C$2:$C$500,MATCH($C564,المنيو!$B$2:$B$500,0)),0))</f>
        <v/>
      </c>
      <c r="F564" s="103" t="str">
        <f aca="false">IF($C564="","",$D564*$E564)</f>
        <v/>
      </c>
      <c r="G564" s="103" t="str">
        <f aca="false">IF($C564="","",$D564*IFERROR(INDEX('تحليل التكلفة والسعر'!$C$2:$C$700,MATCH($C564,'تحليل التكلفة والسعر'!$B$2:$B$700,0)),0))</f>
        <v/>
      </c>
    </row>
    <row r="565" customFormat="false" ht="15" hidden="false" customHeight="false" outlineLevel="0" collapsed="false">
      <c r="A565" s="102"/>
      <c r="E565" s="103" t="str">
        <f aca="false">IF($C565="","",IFERROR(INDEX(المنيو!$C$2:$C$500,MATCH($C565,المنيو!$B$2:$B$500,0)),0))</f>
        <v/>
      </c>
      <c r="F565" s="103" t="str">
        <f aca="false">IF($C565="","",$D565*$E565)</f>
        <v/>
      </c>
      <c r="G565" s="103" t="str">
        <f aca="false">IF($C565="","",$D565*IFERROR(INDEX('تحليل التكلفة والسعر'!$C$2:$C$700,MATCH($C565,'تحليل التكلفة والسعر'!$B$2:$B$700,0)),0))</f>
        <v/>
      </c>
    </row>
    <row r="566" customFormat="false" ht="15" hidden="false" customHeight="false" outlineLevel="0" collapsed="false">
      <c r="A566" s="102"/>
      <c r="E566" s="103" t="str">
        <f aca="false">IF($C566="","",IFERROR(INDEX(المنيو!$C$2:$C$500,MATCH($C566,المنيو!$B$2:$B$500,0)),0))</f>
        <v/>
      </c>
      <c r="F566" s="103" t="str">
        <f aca="false">IF($C566="","",$D566*$E566)</f>
        <v/>
      </c>
      <c r="G566" s="103" t="str">
        <f aca="false">IF($C566="","",$D566*IFERROR(INDEX('تحليل التكلفة والسعر'!$C$2:$C$700,MATCH($C566,'تحليل التكلفة والسعر'!$B$2:$B$700,0)),0))</f>
        <v/>
      </c>
    </row>
    <row r="567" customFormat="false" ht="15" hidden="false" customHeight="false" outlineLevel="0" collapsed="false">
      <c r="A567" s="102"/>
      <c r="E567" s="103" t="str">
        <f aca="false">IF($C567="","",IFERROR(INDEX(المنيو!$C$2:$C$500,MATCH($C567,المنيو!$B$2:$B$500,0)),0))</f>
        <v/>
      </c>
      <c r="F567" s="103" t="str">
        <f aca="false">IF($C567="","",$D567*$E567)</f>
        <v/>
      </c>
      <c r="G567" s="103" t="str">
        <f aca="false">IF($C567="","",$D567*IFERROR(INDEX('تحليل التكلفة والسعر'!$C$2:$C$700,MATCH($C567,'تحليل التكلفة والسعر'!$B$2:$B$700,0)),0))</f>
        <v/>
      </c>
    </row>
    <row r="568" customFormat="false" ht="15" hidden="false" customHeight="false" outlineLevel="0" collapsed="false">
      <c r="A568" s="102"/>
      <c r="E568" s="103" t="str">
        <f aca="false">IF($C568="","",IFERROR(INDEX(المنيو!$C$2:$C$500,MATCH($C568,المنيو!$B$2:$B$500,0)),0))</f>
        <v/>
      </c>
      <c r="F568" s="103" t="str">
        <f aca="false">IF($C568="","",$D568*$E568)</f>
        <v/>
      </c>
      <c r="G568" s="103" t="str">
        <f aca="false">IF($C568="","",$D568*IFERROR(INDEX('تحليل التكلفة والسعر'!$C$2:$C$700,MATCH($C568,'تحليل التكلفة والسعر'!$B$2:$B$700,0)),0))</f>
        <v/>
      </c>
    </row>
    <row r="569" customFormat="false" ht="15" hidden="false" customHeight="false" outlineLevel="0" collapsed="false">
      <c r="A569" s="102"/>
      <c r="E569" s="103" t="str">
        <f aca="false">IF($C569="","",IFERROR(INDEX(المنيو!$C$2:$C$500,MATCH($C569,المنيو!$B$2:$B$500,0)),0))</f>
        <v/>
      </c>
      <c r="F569" s="103" t="str">
        <f aca="false">IF($C569="","",$D569*$E569)</f>
        <v/>
      </c>
      <c r="G569" s="103" t="str">
        <f aca="false">IF($C569="","",$D569*IFERROR(INDEX('تحليل التكلفة والسعر'!$C$2:$C$700,MATCH($C569,'تحليل التكلفة والسعر'!$B$2:$B$700,0)),0))</f>
        <v/>
      </c>
    </row>
    <row r="570" customFormat="false" ht="15" hidden="false" customHeight="false" outlineLevel="0" collapsed="false">
      <c r="A570" s="102"/>
      <c r="E570" s="103" t="str">
        <f aca="false">IF($C570="","",IFERROR(INDEX(المنيو!$C$2:$C$500,MATCH($C570,المنيو!$B$2:$B$500,0)),0))</f>
        <v/>
      </c>
      <c r="F570" s="103" t="str">
        <f aca="false">IF($C570="","",$D570*$E570)</f>
        <v/>
      </c>
      <c r="G570" s="103" t="str">
        <f aca="false">IF($C570="","",$D570*IFERROR(INDEX('تحليل التكلفة والسعر'!$C$2:$C$700,MATCH($C570,'تحليل التكلفة والسعر'!$B$2:$B$700,0)),0))</f>
        <v/>
      </c>
    </row>
    <row r="571" customFormat="false" ht="15" hidden="false" customHeight="false" outlineLevel="0" collapsed="false">
      <c r="A571" s="102"/>
      <c r="E571" s="103" t="str">
        <f aca="false">IF($C571="","",IFERROR(INDEX(المنيو!$C$2:$C$500,MATCH($C571,المنيو!$B$2:$B$500,0)),0))</f>
        <v/>
      </c>
      <c r="F571" s="103" t="str">
        <f aca="false">IF($C571="","",$D571*$E571)</f>
        <v/>
      </c>
      <c r="G571" s="103" t="str">
        <f aca="false">IF($C571="","",$D571*IFERROR(INDEX('تحليل التكلفة والسعر'!$C$2:$C$700,MATCH($C571,'تحليل التكلفة والسعر'!$B$2:$B$700,0)),0))</f>
        <v/>
      </c>
    </row>
    <row r="572" customFormat="false" ht="15" hidden="false" customHeight="false" outlineLevel="0" collapsed="false">
      <c r="A572" s="102"/>
      <c r="E572" s="103" t="str">
        <f aca="false">IF($C572="","",IFERROR(INDEX(المنيو!$C$2:$C$500,MATCH($C572,المنيو!$B$2:$B$500,0)),0))</f>
        <v/>
      </c>
      <c r="F572" s="103" t="str">
        <f aca="false">IF($C572="","",$D572*$E572)</f>
        <v/>
      </c>
      <c r="G572" s="103" t="str">
        <f aca="false">IF($C572="","",$D572*IFERROR(INDEX('تحليل التكلفة والسعر'!$C$2:$C$700,MATCH($C572,'تحليل التكلفة والسعر'!$B$2:$B$700,0)),0))</f>
        <v/>
      </c>
    </row>
    <row r="573" customFormat="false" ht="15" hidden="false" customHeight="false" outlineLevel="0" collapsed="false">
      <c r="A573" s="102"/>
      <c r="E573" s="103" t="str">
        <f aca="false">IF($C573="","",IFERROR(INDEX(المنيو!$C$2:$C$500,MATCH($C573,المنيو!$B$2:$B$500,0)),0))</f>
        <v/>
      </c>
      <c r="F573" s="103" t="str">
        <f aca="false">IF($C573="","",$D573*$E573)</f>
        <v/>
      </c>
      <c r="G573" s="103" t="str">
        <f aca="false">IF($C573="","",$D573*IFERROR(INDEX('تحليل التكلفة والسعر'!$C$2:$C$700,MATCH($C573,'تحليل التكلفة والسعر'!$B$2:$B$700,0)),0))</f>
        <v/>
      </c>
    </row>
    <row r="574" customFormat="false" ht="15" hidden="false" customHeight="false" outlineLevel="0" collapsed="false">
      <c r="A574" s="102"/>
      <c r="E574" s="103" t="str">
        <f aca="false">IF($C574="","",IFERROR(INDEX(المنيو!$C$2:$C$500,MATCH($C574,المنيو!$B$2:$B$500,0)),0))</f>
        <v/>
      </c>
      <c r="F574" s="103" t="str">
        <f aca="false">IF($C574="","",$D574*$E574)</f>
        <v/>
      </c>
      <c r="G574" s="103" t="str">
        <f aca="false">IF($C574="","",$D574*IFERROR(INDEX('تحليل التكلفة والسعر'!$C$2:$C$700,MATCH($C574,'تحليل التكلفة والسعر'!$B$2:$B$700,0)),0))</f>
        <v/>
      </c>
    </row>
    <row r="575" customFormat="false" ht="15" hidden="false" customHeight="false" outlineLevel="0" collapsed="false">
      <c r="A575" s="102"/>
      <c r="E575" s="103" t="str">
        <f aca="false">IF($C575="","",IFERROR(INDEX(المنيو!$C$2:$C$500,MATCH($C575,المنيو!$B$2:$B$500,0)),0))</f>
        <v/>
      </c>
      <c r="F575" s="103" t="str">
        <f aca="false">IF($C575="","",$D575*$E575)</f>
        <v/>
      </c>
      <c r="G575" s="103" t="str">
        <f aca="false">IF($C575="","",$D575*IFERROR(INDEX('تحليل التكلفة والسعر'!$C$2:$C$700,MATCH($C575,'تحليل التكلفة والسعر'!$B$2:$B$700,0)),0))</f>
        <v/>
      </c>
    </row>
    <row r="576" customFormat="false" ht="15" hidden="false" customHeight="false" outlineLevel="0" collapsed="false">
      <c r="A576" s="102"/>
      <c r="E576" s="103" t="str">
        <f aca="false">IF($C576="","",IFERROR(INDEX(المنيو!$C$2:$C$500,MATCH($C576,المنيو!$B$2:$B$500,0)),0))</f>
        <v/>
      </c>
      <c r="F576" s="103" t="str">
        <f aca="false">IF($C576="","",$D576*$E576)</f>
        <v/>
      </c>
      <c r="G576" s="103" t="str">
        <f aca="false">IF($C576="","",$D576*IFERROR(INDEX('تحليل التكلفة والسعر'!$C$2:$C$700,MATCH($C576,'تحليل التكلفة والسعر'!$B$2:$B$700,0)),0))</f>
        <v/>
      </c>
    </row>
    <row r="577" customFormat="false" ht="15" hidden="false" customHeight="false" outlineLevel="0" collapsed="false">
      <c r="A577" s="102"/>
      <c r="E577" s="103" t="str">
        <f aca="false">IF($C577="","",IFERROR(INDEX(المنيو!$C$2:$C$500,MATCH($C577,المنيو!$B$2:$B$500,0)),0))</f>
        <v/>
      </c>
      <c r="F577" s="103" t="str">
        <f aca="false">IF($C577="","",$D577*$E577)</f>
        <v/>
      </c>
      <c r="G577" s="103" t="str">
        <f aca="false">IF($C577="","",$D577*IFERROR(INDEX('تحليل التكلفة والسعر'!$C$2:$C$700,MATCH($C577,'تحليل التكلفة والسعر'!$B$2:$B$700,0)),0))</f>
        <v/>
      </c>
    </row>
    <row r="578" customFormat="false" ht="15" hidden="false" customHeight="false" outlineLevel="0" collapsed="false">
      <c r="A578" s="102"/>
      <c r="E578" s="103" t="str">
        <f aca="false">IF($C578="","",IFERROR(INDEX(المنيو!$C$2:$C$500,MATCH($C578,المنيو!$B$2:$B$500,0)),0))</f>
        <v/>
      </c>
      <c r="F578" s="103" t="str">
        <f aca="false">IF($C578="","",$D578*$E578)</f>
        <v/>
      </c>
      <c r="G578" s="103" t="str">
        <f aca="false">IF($C578="","",$D578*IFERROR(INDEX('تحليل التكلفة والسعر'!$C$2:$C$700,MATCH($C578,'تحليل التكلفة والسعر'!$B$2:$B$700,0)),0))</f>
        <v/>
      </c>
    </row>
    <row r="579" customFormat="false" ht="15" hidden="false" customHeight="false" outlineLevel="0" collapsed="false">
      <c r="A579" s="102"/>
      <c r="E579" s="103" t="str">
        <f aca="false">IF($C579="","",IFERROR(INDEX(المنيو!$C$2:$C$500,MATCH($C579,المنيو!$B$2:$B$500,0)),0))</f>
        <v/>
      </c>
      <c r="F579" s="103" t="str">
        <f aca="false">IF($C579="","",$D579*$E579)</f>
        <v/>
      </c>
      <c r="G579" s="103" t="str">
        <f aca="false">IF($C579="","",$D579*IFERROR(INDEX('تحليل التكلفة والسعر'!$C$2:$C$700,MATCH($C579,'تحليل التكلفة والسعر'!$B$2:$B$700,0)),0))</f>
        <v/>
      </c>
    </row>
    <row r="580" customFormat="false" ht="15" hidden="false" customHeight="false" outlineLevel="0" collapsed="false">
      <c r="A580" s="102"/>
      <c r="E580" s="103" t="str">
        <f aca="false">IF($C580="","",IFERROR(INDEX(المنيو!$C$2:$C$500,MATCH($C580,المنيو!$B$2:$B$500,0)),0))</f>
        <v/>
      </c>
      <c r="F580" s="103" t="str">
        <f aca="false">IF($C580="","",$D580*$E580)</f>
        <v/>
      </c>
      <c r="G580" s="103" t="str">
        <f aca="false">IF($C580="","",$D580*IFERROR(INDEX('تحليل التكلفة والسعر'!$C$2:$C$700,MATCH($C580,'تحليل التكلفة والسعر'!$B$2:$B$700,0)),0))</f>
        <v/>
      </c>
    </row>
    <row r="581" customFormat="false" ht="15" hidden="false" customHeight="false" outlineLevel="0" collapsed="false">
      <c r="A581" s="102"/>
      <c r="E581" s="103" t="str">
        <f aca="false">IF($C581="","",IFERROR(INDEX(المنيو!$C$2:$C$500,MATCH($C581,المنيو!$B$2:$B$500,0)),0))</f>
        <v/>
      </c>
      <c r="F581" s="103" t="str">
        <f aca="false">IF($C581="","",$D581*$E581)</f>
        <v/>
      </c>
      <c r="G581" s="103" t="str">
        <f aca="false">IF($C581="","",$D581*IFERROR(INDEX('تحليل التكلفة والسعر'!$C$2:$C$700,MATCH($C581,'تحليل التكلفة والسعر'!$B$2:$B$700,0)),0))</f>
        <v/>
      </c>
    </row>
    <row r="582" customFormat="false" ht="15" hidden="false" customHeight="false" outlineLevel="0" collapsed="false">
      <c r="A582" s="102"/>
      <c r="E582" s="103" t="str">
        <f aca="false">IF($C582="","",IFERROR(INDEX(المنيو!$C$2:$C$500,MATCH($C582,المنيو!$B$2:$B$500,0)),0))</f>
        <v/>
      </c>
      <c r="F582" s="103" t="str">
        <f aca="false">IF($C582="","",$D582*$E582)</f>
        <v/>
      </c>
      <c r="G582" s="103" t="str">
        <f aca="false">IF($C582="","",$D582*IFERROR(INDEX('تحليل التكلفة والسعر'!$C$2:$C$700,MATCH($C582,'تحليل التكلفة والسعر'!$B$2:$B$700,0)),0))</f>
        <v/>
      </c>
    </row>
    <row r="583" customFormat="false" ht="15" hidden="false" customHeight="false" outlineLevel="0" collapsed="false">
      <c r="A583" s="102"/>
      <c r="E583" s="103" t="str">
        <f aca="false">IF($C583="","",IFERROR(INDEX(المنيو!$C$2:$C$500,MATCH($C583,المنيو!$B$2:$B$500,0)),0))</f>
        <v/>
      </c>
      <c r="F583" s="103" t="str">
        <f aca="false">IF($C583="","",$D583*$E583)</f>
        <v/>
      </c>
      <c r="G583" s="103" t="str">
        <f aca="false">IF($C583="","",$D583*IFERROR(INDEX('تحليل التكلفة والسعر'!$C$2:$C$700,MATCH($C583,'تحليل التكلفة والسعر'!$B$2:$B$700,0)),0))</f>
        <v/>
      </c>
    </row>
    <row r="584" customFormat="false" ht="15" hidden="false" customHeight="false" outlineLevel="0" collapsed="false">
      <c r="A584" s="102"/>
      <c r="E584" s="103" t="str">
        <f aca="false">IF($C584="","",IFERROR(INDEX(المنيو!$C$2:$C$500,MATCH($C584,المنيو!$B$2:$B$500,0)),0))</f>
        <v/>
      </c>
      <c r="F584" s="103" t="str">
        <f aca="false">IF($C584="","",$D584*$E584)</f>
        <v/>
      </c>
      <c r="G584" s="103" t="str">
        <f aca="false">IF($C584="","",$D584*IFERROR(INDEX('تحليل التكلفة والسعر'!$C$2:$C$700,MATCH($C584,'تحليل التكلفة والسعر'!$B$2:$B$700,0)),0))</f>
        <v/>
      </c>
    </row>
    <row r="585" customFormat="false" ht="15" hidden="false" customHeight="false" outlineLevel="0" collapsed="false">
      <c r="A585" s="102"/>
      <c r="E585" s="103" t="str">
        <f aca="false">IF($C585="","",IFERROR(INDEX(المنيو!$C$2:$C$500,MATCH($C585,المنيو!$B$2:$B$500,0)),0))</f>
        <v/>
      </c>
      <c r="F585" s="103" t="str">
        <f aca="false">IF($C585="","",$D585*$E585)</f>
        <v/>
      </c>
      <c r="G585" s="103" t="str">
        <f aca="false">IF($C585="","",$D585*IFERROR(INDEX('تحليل التكلفة والسعر'!$C$2:$C$700,MATCH($C585,'تحليل التكلفة والسعر'!$B$2:$B$700,0)),0))</f>
        <v/>
      </c>
    </row>
    <row r="586" customFormat="false" ht="15" hidden="false" customHeight="false" outlineLevel="0" collapsed="false">
      <c r="A586" s="102"/>
      <c r="E586" s="103" t="str">
        <f aca="false">IF($C586="","",IFERROR(INDEX(المنيو!$C$2:$C$500,MATCH($C586,المنيو!$B$2:$B$500,0)),0))</f>
        <v/>
      </c>
      <c r="F586" s="103" t="str">
        <f aca="false">IF($C586="","",$D586*$E586)</f>
        <v/>
      </c>
      <c r="G586" s="103" t="str">
        <f aca="false">IF($C586="","",$D586*IFERROR(INDEX('تحليل التكلفة والسعر'!$C$2:$C$700,MATCH($C586,'تحليل التكلفة والسعر'!$B$2:$B$700,0)),0))</f>
        <v/>
      </c>
    </row>
    <row r="587" customFormat="false" ht="15" hidden="false" customHeight="false" outlineLevel="0" collapsed="false">
      <c r="A587" s="102"/>
      <c r="E587" s="103" t="str">
        <f aca="false">IF($C587="","",IFERROR(INDEX(المنيو!$C$2:$C$500,MATCH($C587,المنيو!$B$2:$B$500,0)),0))</f>
        <v/>
      </c>
      <c r="F587" s="103" t="str">
        <f aca="false">IF($C587="","",$D587*$E587)</f>
        <v/>
      </c>
      <c r="G587" s="103" t="str">
        <f aca="false">IF($C587="","",$D587*IFERROR(INDEX('تحليل التكلفة والسعر'!$C$2:$C$700,MATCH($C587,'تحليل التكلفة والسعر'!$B$2:$B$700,0)),0))</f>
        <v/>
      </c>
    </row>
    <row r="588" customFormat="false" ht="15" hidden="false" customHeight="false" outlineLevel="0" collapsed="false">
      <c r="A588" s="102"/>
      <c r="E588" s="103" t="str">
        <f aca="false">IF($C588="","",IFERROR(INDEX(المنيو!$C$2:$C$500,MATCH($C588,المنيو!$B$2:$B$500,0)),0))</f>
        <v/>
      </c>
      <c r="F588" s="103" t="str">
        <f aca="false">IF($C588="","",$D588*$E588)</f>
        <v/>
      </c>
      <c r="G588" s="103" t="str">
        <f aca="false">IF($C588="","",$D588*IFERROR(INDEX('تحليل التكلفة والسعر'!$C$2:$C$700,MATCH($C588,'تحليل التكلفة والسعر'!$B$2:$B$700,0)),0))</f>
        <v/>
      </c>
    </row>
    <row r="589" customFormat="false" ht="15" hidden="false" customHeight="false" outlineLevel="0" collapsed="false">
      <c r="A589" s="102"/>
      <c r="E589" s="103" t="str">
        <f aca="false">IF($C589="","",IFERROR(INDEX(المنيو!$C$2:$C$500,MATCH($C589,المنيو!$B$2:$B$500,0)),0))</f>
        <v/>
      </c>
      <c r="F589" s="103" t="str">
        <f aca="false">IF($C589="","",$D589*$E589)</f>
        <v/>
      </c>
      <c r="G589" s="103" t="str">
        <f aca="false">IF($C589="","",$D589*IFERROR(INDEX('تحليل التكلفة والسعر'!$C$2:$C$700,MATCH($C589,'تحليل التكلفة والسعر'!$B$2:$B$700,0)),0))</f>
        <v/>
      </c>
    </row>
    <row r="590" customFormat="false" ht="15" hidden="false" customHeight="false" outlineLevel="0" collapsed="false">
      <c r="A590" s="102"/>
      <c r="E590" s="103" t="str">
        <f aca="false">IF($C590="","",IFERROR(INDEX(المنيو!$C$2:$C$500,MATCH($C590,المنيو!$B$2:$B$500,0)),0))</f>
        <v/>
      </c>
      <c r="F590" s="103" t="str">
        <f aca="false">IF($C590="","",$D590*$E590)</f>
        <v/>
      </c>
      <c r="G590" s="103" t="str">
        <f aca="false">IF($C590="","",$D590*IFERROR(INDEX('تحليل التكلفة والسعر'!$C$2:$C$700,MATCH($C590,'تحليل التكلفة والسعر'!$B$2:$B$700,0)),0))</f>
        <v/>
      </c>
    </row>
    <row r="591" customFormat="false" ht="15" hidden="false" customHeight="false" outlineLevel="0" collapsed="false">
      <c r="A591" s="102"/>
      <c r="E591" s="103" t="str">
        <f aca="false">IF($C591="","",IFERROR(INDEX(المنيو!$C$2:$C$500,MATCH($C591,المنيو!$B$2:$B$500,0)),0))</f>
        <v/>
      </c>
      <c r="F591" s="103" t="str">
        <f aca="false">IF($C591="","",$D591*$E591)</f>
        <v/>
      </c>
      <c r="G591" s="103" t="str">
        <f aca="false">IF($C591="","",$D591*IFERROR(INDEX('تحليل التكلفة والسعر'!$C$2:$C$700,MATCH($C591,'تحليل التكلفة والسعر'!$B$2:$B$700,0)),0))</f>
        <v/>
      </c>
    </row>
    <row r="592" customFormat="false" ht="15" hidden="false" customHeight="false" outlineLevel="0" collapsed="false">
      <c r="A592" s="102"/>
      <c r="E592" s="103" t="str">
        <f aca="false">IF($C592="","",IFERROR(INDEX(المنيو!$C$2:$C$500,MATCH($C592,المنيو!$B$2:$B$500,0)),0))</f>
        <v/>
      </c>
      <c r="F592" s="103" t="str">
        <f aca="false">IF($C592="","",$D592*$E592)</f>
        <v/>
      </c>
      <c r="G592" s="103" t="str">
        <f aca="false">IF($C592="","",$D592*IFERROR(INDEX('تحليل التكلفة والسعر'!$C$2:$C$700,MATCH($C592,'تحليل التكلفة والسعر'!$B$2:$B$700,0)),0))</f>
        <v/>
      </c>
    </row>
    <row r="593" customFormat="false" ht="15" hidden="false" customHeight="false" outlineLevel="0" collapsed="false">
      <c r="A593" s="102"/>
      <c r="E593" s="103" t="str">
        <f aca="false">IF($C593="","",IFERROR(INDEX(المنيو!$C$2:$C$500,MATCH($C593,المنيو!$B$2:$B$500,0)),0))</f>
        <v/>
      </c>
      <c r="F593" s="103" t="str">
        <f aca="false">IF($C593="","",$D593*$E593)</f>
        <v/>
      </c>
      <c r="G593" s="103" t="str">
        <f aca="false">IF($C593="","",$D593*IFERROR(INDEX('تحليل التكلفة والسعر'!$C$2:$C$700,MATCH($C593,'تحليل التكلفة والسعر'!$B$2:$B$700,0)),0))</f>
        <v/>
      </c>
    </row>
    <row r="594" customFormat="false" ht="15" hidden="false" customHeight="false" outlineLevel="0" collapsed="false">
      <c r="A594" s="102"/>
      <c r="E594" s="103" t="str">
        <f aca="false">IF($C594="","",IFERROR(INDEX(المنيو!$C$2:$C$500,MATCH($C594,المنيو!$B$2:$B$500,0)),0))</f>
        <v/>
      </c>
      <c r="F594" s="103" t="str">
        <f aca="false">IF($C594="","",$D594*$E594)</f>
        <v/>
      </c>
      <c r="G594" s="103" t="str">
        <f aca="false">IF($C594="","",$D594*IFERROR(INDEX('تحليل التكلفة والسعر'!$C$2:$C$700,MATCH($C594,'تحليل التكلفة والسعر'!$B$2:$B$700,0)),0))</f>
        <v/>
      </c>
    </row>
    <row r="595" customFormat="false" ht="15" hidden="false" customHeight="false" outlineLevel="0" collapsed="false">
      <c r="A595" s="102"/>
      <c r="E595" s="103" t="str">
        <f aca="false">IF($C595="","",IFERROR(INDEX(المنيو!$C$2:$C$500,MATCH($C595,المنيو!$B$2:$B$500,0)),0))</f>
        <v/>
      </c>
      <c r="F595" s="103" t="str">
        <f aca="false">IF($C595="","",$D595*$E595)</f>
        <v/>
      </c>
      <c r="G595" s="103" t="str">
        <f aca="false">IF($C595="","",$D595*IFERROR(INDEX('تحليل التكلفة والسعر'!$C$2:$C$700,MATCH($C595,'تحليل التكلفة والسعر'!$B$2:$B$700,0)),0))</f>
        <v/>
      </c>
    </row>
    <row r="596" customFormat="false" ht="15" hidden="false" customHeight="false" outlineLevel="0" collapsed="false">
      <c r="A596" s="102"/>
      <c r="E596" s="103" t="str">
        <f aca="false">IF($C596="","",IFERROR(INDEX(المنيو!$C$2:$C$500,MATCH($C596,المنيو!$B$2:$B$500,0)),0))</f>
        <v/>
      </c>
      <c r="F596" s="103" t="str">
        <f aca="false">IF($C596="","",$D596*$E596)</f>
        <v/>
      </c>
      <c r="G596" s="103" t="str">
        <f aca="false">IF($C596="","",$D596*IFERROR(INDEX('تحليل التكلفة والسعر'!$C$2:$C$700,MATCH($C596,'تحليل التكلفة والسعر'!$B$2:$B$700,0)),0))</f>
        <v/>
      </c>
    </row>
    <row r="597" customFormat="false" ht="15" hidden="false" customHeight="false" outlineLevel="0" collapsed="false">
      <c r="A597" s="102"/>
      <c r="E597" s="103" t="str">
        <f aca="false">IF($C597="","",IFERROR(INDEX(المنيو!$C$2:$C$500,MATCH($C597,المنيو!$B$2:$B$500,0)),0))</f>
        <v/>
      </c>
      <c r="F597" s="103" t="str">
        <f aca="false">IF($C597="","",$D597*$E597)</f>
        <v/>
      </c>
      <c r="G597" s="103" t="str">
        <f aca="false">IF($C597="","",$D597*IFERROR(INDEX('تحليل التكلفة والسعر'!$C$2:$C$700,MATCH($C597,'تحليل التكلفة والسعر'!$B$2:$B$700,0)),0))</f>
        <v/>
      </c>
    </row>
    <row r="598" customFormat="false" ht="15" hidden="false" customHeight="false" outlineLevel="0" collapsed="false">
      <c r="A598" s="102"/>
      <c r="E598" s="103" t="str">
        <f aca="false">IF($C598="","",IFERROR(INDEX(المنيو!$C$2:$C$500,MATCH($C598,المنيو!$B$2:$B$500,0)),0))</f>
        <v/>
      </c>
      <c r="F598" s="103" t="str">
        <f aca="false">IF($C598="","",$D598*$E598)</f>
        <v/>
      </c>
      <c r="G598" s="103" t="str">
        <f aca="false">IF($C598="","",$D598*IFERROR(INDEX('تحليل التكلفة والسعر'!$C$2:$C$700,MATCH($C598,'تحليل التكلفة والسعر'!$B$2:$B$700,0)),0))</f>
        <v/>
      </c>
    </row>
    <row r="599" customFormat="false" ht="15" hidden="false" customHeight="false" outlineLevel="0" collapsed="false">
      <c r="A599" s="102"/>
      <c r="E599" s="103" t="str">
        <f aca="false">IF($C599="","",IFERROR(INDEX(المنيو!$C$2:$C$500,MATCH($C599,المنيو!$B$2:$B$500,0)),0))</f>
        <v/>
      </c>
      <c r="F599" s="103" t="str">
        <f aca="false">IF($C599="","",$D599*$E599)</f>
        <v/>
      </c>
      <c r="G599" s="103" t="str">
        <f aca="false">IF($C599="","",$D599*IFERROR(INDEX('تحليل التكلفة والسعر'!$C$2:$C$700,MATCH($C599,'تحليل التكلفة والسعر'!$B$2:$B$700,0)),0))</f>
        <v/>
      </c>
    </row>
    <row r="600" customFormat="false" ht="15" hidden="false" customHeight="false" outlineLevel="0" collapsed="false">
      <c r="A600" s="102"/>
      <c r="E600" s="103" t="str">
        <f aca="false">IF($C600="","",IFERROR(INDEX(المنيو!$C$2:$C$500,MATCH($C600,المنيو!$B$2:$B$500,0)),0))</f>
        <v/>
      </c>
      <c r="F600" s="103" t="str">
        <f aca="false">IF($C600="","",$D600*$E600)</f>
        <v/>
      </c>
      <c r="G600" s="103" t="str">
        <f aca="false">IF($C600="","",$D600*IFERROR(INDEX('تحليل التكلفة والسعر'!$C$2:$C$700,MATCH($C600,'تحليل التكلفة والسعر'!$B$2:$B$700,0)),0))</f>
        <v/>
      </c>
    </row>
    <row r="601" customFormat="false" ht="15" hidden="false" customHeight="false" outlineLevel="0" collapsed="false">
      <c r="A601" s="102"/>
      <c r="E601" s="103" t="str">
        <f aca="false">IF($C601="","",IFERROR(INDEX(المنيو!$C$2:$C$500,MATCH($C601,المنيو!$B$2:$B$500,0)),0))</f>
        <v/>
      </c>
      <c r="F601" s="103" t="str">
        <f aca="false">IF($C601="","",$D601*$E601)</f>
        <v/>
      </c>
      <c r="G601" s="103" t="str">
        <f aca="false">IF($C601="","",$D601*IFERROR(INDEX('تحليل التكلفة والسعر'!$C$2:$C$700,MATCH($C601,'تحليل التكلفة والسعر'!$B$2:$B$700,0)),0))</f>
        <v/>
      </c>
    </row>
    <row r="602" customFormat="false" ht="15" hidden="false" customHeight="false" outlineLevel="0" collapsed="false">
      <c r="A602" s="102"/>
      <c r="E602" s="103" t="str">
        <f aca="false">IF($C602="","",IFERROR(INDEX(المنيو!$C$2:$C$500,MATCH($C602,المنيو!$B$2:$B$500,0)),0))</f>
        <v/>
      </c>
      <c r="F602" s="103" t="str">
        <f aca="false">IF($C602="","",$D602*$E602)</f>
        <v/>
      </c>
      <c r="G602" s="103" t="str">
        <f aca="false">IF($C602="","",$D602*IFERROR(INDEX('تحليل التكلفة والسعر'!$C$2:$C$700,MATCH($C602,'تحليل التكلفة والسعر'!$B$2:$B$700,0)),0))</f>
        <v/>
      </c>
    </row>
    <row r="603" customFormat="false" ht="15" hidden="false" customHeight="false" outlineLevel="0" collapsed="false">
      <c r="A603" s="102"/>
      <c r="E603" s="103" t="str">
        <f aca="false">IF($C603="","",IFERROR(INDEX(المنيو!$C$2:$C$500,MATCH($C603,المنيو!$B$2:$B$500,0)),0))</f>
        <v/>
      </c>
      <c r="F603" s="103" t="str">
        <f aca="false">IF($C603="","",$D603*$E603)</f>
        <v/>
      </c>
      <c r="G603" s="103" t="str">
        <f aca="false">IF($C603="","",$D603*IFERROR(INDEX('تحليل التكلفة والسعر'!$C$2:$C$700,MATCH($C603,'تحليل التكلفة والسعر'!$B$2:$B$700,0)),0))</f>
        <v/>
      </c>
    </row>
    <row r="604" customFormat="false" ht="15" hidden="false" customHeight="false" outlineLevel="0" collapsed="false">
      <c r="A604" s="102"/>
      <c r="E604" s="103" t="str">
        <f aca="false">IF($C604="","",IFERROR(INDEX(المنيو!$C$2:$C$500,MATCH($C604,المنيو!$B$2:$B$500,0)),0))</f>
        <v/>
      </c>
      <c r="F604" s="103" t="str">
        <f aca="false">IF($C604="","",$D604*$E604)</f>
        <v/>
      </c>
      <c r="G604" s="103" t="str">
        <f aca="false">IF($C604="","",$D604*IFERROR(INDEX('تحليل التكلفة والسعر'!$C$2:$C$700,MATCH($C604,'تحليل التكلفة والسعر'!$B$2:$B$700,0)),0))</f>
        <v/>
      </c>
    </row>
    <row r="605" customFormat="false" ht="15" hidden="false" customHeight="false" outlineLevel="0" collapsed="false">
      <c r="A605" s="102"/>
      <c r="E605" s="103" t="str">
        <f aca="false">IF($C605="","",IFERROR(INDEX(المنيو!$C$2:$C$500,MATCH($C605,المنيو!$B$2:$B$500,0)),0))</f>
        <v/>
      </c>
      <c r="F605" s="103" t="str">
        <f aca="false">IF($C605="","",$D605*$E605)</f>
        <v/>
      </c>
      <c r="G605" s="103" t="str">
        <f aca="false">IF($C605="","",$D605*IFERROR(INDEX('تحليل التكلفة والسعر'!$C$2:$C$700,MATCH($C605,'تحليل التكلفة والسعر'!$B$2:$B$700,0)),0))</f>
        <v/>
      </c>
    </row>
    <row r="606" customFormat="false" ht="15" hidden="false" customHeight="false" outlineLevel="0" collapsed="false">
      <c r="A606" s="102"/>
      <c r="E606" s="103" t="str">
        <f aca="false">IF($C606="","",IFERROR(INDEX(المنيو!$C$2:$C$500,MATCH($C606,المنيو!$B$2:$B$500,0)),0))</f>
        <v/>
      </c>
      <c r="F606" s="103" t="str">
        <f aca="false">IF($C606="","",$D606*$E606)</f>
        <v/>
      </c>
      <c r="G606" s="103" t="str">
        <f aca="false">IF($C606="","",$D606*IFERROR(INDEX('تحليل التكلفة والسعر'!$C$2:$C$700,MATCH($C606,'تحليل التكلفة والسعر'!$B$2:$B$700,0)),0))</f>
        <v/>
      </c>
    </row>
    <row r="607" customFormat="false" ht="15" hidden="false" customHeight="false" outlineLevel="0" collapsed="false">
      <c r="A607" s="102"/>
      <c r="E607" s="103" t="str">
        <f aca="false">IF($C607="","",IFERROR(INDEX(المنيو!$C$2:$C$500,MATCH($C607,المنيو!$B$2:$B$500,0)),0))</f>
        <v/>
      </c>
      <c r="F607" s="103" t="str">
        <f aca="false">IF($C607="","",$D607*$E607)</f>
        <v/>
      </c>
      <c r="G607" s="103" t="str">
        <f aca="false">IF($C607="","",$D607*IFERROR(INDEX('تحليل التكلفة والسعر'!$C$2:$C$700,MATCH($C607,'تحليل التكلفة والسعر'!$B$2:$B$700,0)),0))</f>
        <v/>
      </c>
    </row>
    <row r="608" customFormat="false" ht="15" hidden="false" customHeight="false" outlineLevel="0" collapsed="false">
      <c r="A608" s="102"/>
      <c r="E608" s="103" t="str">
        <f aca="false">IF($C608="","",IFERROR(INDEX(المنيو!$C$2:$C$500,MATCH($C608,المنيو!$B$2:$B$500,0)),0))</f>
        <v/>
      </c>
      <c r="F608" s="103" t="str">
        <f aca="false">IF($C608="","",$D608*$E608)</f>
        <v/>
      </c>
      <c r="G608" s="103" t="str">
        <f aca="false">IF($C608="","",$D608*IFERROR(INDEX('تحليل التكلفة والسعر'!$C$2:$C$700,MATCH($C608,'تحليل التكلفة والسعر'!$B$2:$B$700,0)),0))</f>
        <v/>
      </c>
    </row>
    <row r="609" customFormat="false" ht="15" hidden="false" customHeight="false" outlineLevel="0" collapsed="false">
      <c r="A609" s="102"/>
      <c r="E609" s="103" t="str">
        <f aca="false">IF($C609="","",IFERROR(INDEX(المنيو!$C$2:$C$500,MATCH($C609,المنيو!$B$2:$B$500,0)),0))</f>
        <v/>
      </c>
      <c r="F609" s="103" t="str">
        <f aca="false">IF($C609="","",$D609*$E609)</f>
        <v/>
      </c>
      <c r="G609" s="103" t="str">
        <f aca="false">IF($C609="","",$D609*IFERROR(INDEX('تحليل التكلفة والسعر'!$C$2:$C$700,MATCH($C609,'تحليل التكلفة والسعر'!$B$2:$B$700,0)),0))</f>
        <v/>
      </c>
    </row>
    <row r="610" customFormat="false" ht="15" hidden="false" customHeight="false" outlineLevel="0" collapsed="false">
      <c r="A610" s="102"/>
      <c r="E610" s="103" t="str">
        <f aca="false">IF($C610="","",IFERROR(INDEX(المنيو!$C$2:$C$500,MATCH($C610,المنيو!$B$2:$B$500,0)),0))</f>
        <v/>
      </c>
      <c r="F610" s="103" t="str">
        <f aca="false">IF($C610="","",$D610*$E610)</f>
        <v/>
      </c>
      <c r="G610" s="103" t="str">
        <f aca="false">IF($C610="","",$D610*IFERROR(INDEX('تحليل التكلفة والسعر'!$C$2:$C$700,MATCH($C610,'تحليل التكلفة والسعر'!$B$2:$B$700,0)),0))</f>
        <v/>
      </c>
    </row>
    <row r="611" customFormat="false" ht="15" hidden="false" customHeight="false" outlineLevel="0" collapsed="false">
      <c r="A611" s="102"/>
      <c r="E611" s="103" t="str">
        <f aca="false">IF($C611="","",IFERROR(INDEX(المنيو!$C$2:$C$500,MATCH($C611,المنيو!$B$2:$B$500,0)),0))</f>
        <v/>
      </c>
      <c r="F611" s="103" t="str">
        <f aca="false">IF($C611="","",$D611*$E611)</f>
        <v/>
      </c>
      <c r="G611" s="103" t="str">
        <f aca="false">IF($C611="","",$D611*IFERROR(INDEX('تحليل التكلفة والسعر'!$C$2:$C$700,MATCH($C611,'تحليل التكلفة والسعر'!$B$2:$B$700,0)),0))</f>
        <v/>
      </c>
    </row>
    <row r="612" customFormat="false" ht="15" hidden="false" customHeight="false" outlineLevel="0" collapsed="false">
      <c r="A612" s="102"/>
      <c r="E612" s="103" t="str">
        <f aca="false">IF($C612="","",IFERROR(INDEX(المنيو!$C$2:$C$500,MATCH($C612,المنيو!$B$2:$B$500,0)),0))</f>
        <v/>
      </c>
      <c r="F612" s="103" t="str">
        <f aca="false">IF($C612="","",$D612*$E612)</f>
        <v/>
      </c>
      <c r="G612" s="103" t="str">
        <f aca="false">IF($C612="","",$D612*IFERROR(INDEX('تحليل التكلفة والسعر'!$C$2:$C$700,MATCH($C612,'تحليل التكلفة والسعر'!$B$2:$B$700,0)),0))</f>
        <v/>
      </c>
    </row>
    <row r="613" customFormat="false" ht="15" hidden="false" customHeight="false" outlineLevel="0" collapsed="false">
      <c r="A613" s="102"/>
      <c r="E613" s="103" t="str">
        <f aca="false">IF($C613="","",IFERROR(INDEX(المنيو!$C$2:$C$500,MATCH($C613,المنيو!$B$2:$B$500,0)),0))</f>
        <v/>
      </c>
      <c r="F613" s="103" t="str">
        <f aca="false">IF($C613="","",$D613*$E613)</f>
        <v/>
      </c>
      <c r="G613" s="103" t="str">
        <f aca="false">IF($C613="","",$D613*IFERROR(INDEX('تحليل التكلفة والسعر'!$C$2:$C$700,MATCH($C613,'تحليل التكلفة والسعر'!$B$2:$B$700,0)),0))</f>
        <v/>
      </c>
    </row>
    <row r="614" customFormat="false" ht="15" hidden="false" customHeight="false" outlineLevel="0" collapsed="false">
      <c r="A614" s="102"/>
      <c r="E614" s="103" t="str">
        <f aca="false">IF($C614="","",IFERROR(INDEX(المنيو!$C$2:$C$500,MATCH($C614,المنيو!$B$2:$B$500,0)),0))</f>
        <v/>
      </c>
      <c r="F614" s="103" t="str">
        <f aca="false">IF($C614="","",$D614*$E614)</f>
        <v/>
      </c>
      <c r="G614" s="103" t="str">
        <f aca="false">IF($C614="","",$D614*IFERROR(INDEX('تحليل التكلفة والسعر'!$C$2:$C$700,MATCH($C614,'تحليل التكلفة والسعر'!$B$2:$B$700,0)),0))</f>
        <v/>
      </c>
    </row>
    <row r="615" customFormat="false" ht="15" hidden="false" customHeight="false" outlineLevel="0" collapsed="false">
      <c r="A615" s="102"/>
      <c r="E615" s="103" t="str">
        <f aca="false">IF($C615="","",IFERROR(INDEX(المنيو!$C$2:$C$500,MATCH($C615,المنيو!$B$2:$B$500,0)),0))</f>
        <v/>
      </c>
      <c r="F615" s="103" t="str">
        <f aca="false">IF($C615="","",$D615*$E615)</f>
        <v/>
      </c>
      <c r="G615" s="103" t="str">
        <f aca="false">IF($C615="","",$D615*IFERROR(INDEX('تحليل التكلفة والسعر'!$C$2:$C$700,MATCH($C615,'تحليل التكلفة والسعر'!$B$2:$B$700,0)),0))</f>
        <v/>
      </c>
    </row>
    <row r="616" customFormat="false" ht="15" hidden="false" customHeight="false" outlineLevel="0" collapsed="false">
      <c r="A616" s="102"/>
      <c r="E616" s="103" t="str">
        <f aca="false">IF($C616="","",IFERROR(INDEX(المنيو!$C$2:$C$500,MATCH($C616,المنيو!$B$2:$B$500,0)),0))</f>
        <v/>
      </c>
      <c r="F616" s="103" t="str">
        <f aca="false">IF($C616="","",$D616*$E616)</f>
        <v/>
      </c>
      <c r="G616" s="103" t="str">
        <f aca="false">IF($C616="","",$D616*IFERROR(INDEX('تحليل التكلفة والسعر'!$C$2:$C$700,MATCH($C616,'تحليل التكلفة والسعر'!$B$2:$B$700,0)),0))</f>
        <v/>
      </c>
    </row>
    <row r="617" customFormat="false" ht="15" hidden="false" customHeight="false" outlineLevel="0" collapsed="false">
      <c r="A617" s="102"/>
      <c r="E617" s="103" t="str">
        <f aca="false">IF($C617="","",IFERROR(INDEX(المنيو!$C$2:$C$500,MATCH($C617,المنيو!$B$2:$B$500,0)),0))</f>
        <v/>
      </c>
      <c r="F617" s="103" t="str">
        <f aca="false">IF($C617="","",$D617*$E617)</f>
        <v/>
      </c>
      <c r="G617" s="103" t="str">
        <f aca="false">IF($C617="","",$D617*IFERROR(INDEX('تحليل التكلفة والسعر'!$C$2:$C$700,MATCH($C617,'تحليل التكلفة والسعر'!$B$2:$B$700,0)),0))</f>
        <v/>
      </c>
    </row>
    <row r="618" customFormat="false" ht="15" hidden="false" customHeight="false" outlineLevel="0" collapsed="false">
      <c r="A618" s="102"/>
      <c r="E618" s="103" t="str">
        <f aca="false">IF($C618="","",IFERROR(INDEX(المنيو!$C$2:$C$500,MATCH($C618,المنيو!$B$2:$B$500,0)),0))</f>
        <v/>
      </c>
      <c r="F618" s="103" t="str">
        <f aca="false">IF($C618="","",$D618*$E618)</f>
        <v/>
      </c>
      <c r="G618" s="103" t="str">
        <f aca="false">IF($C618="","",$D618*IFERROR(INDEX('تحليل التكلفة والسعر'!$C$2:$C$700,MATCH($C618,'تحليل التكلفة والسعر'!$B$2:$B$700,0)),0))</f>
        <v/>
      </c>
    </row>
    <row r="619" customFormat="false" ht="15" hidden="false" customHeight="false" outlineLevel="0" collapsed="false">
      <c r="A619" s="102"/>
      <c r="E619" s="103" t="str">
        <f aca="false">IF($C619="","",IFERROR(INDEX(المنيو!$C$2:$C$500,MATCH($C619,المنيو!$B$2:$B$500,0)),0))</f>
        <v/>
      </c>
      <c r="F619" s="103" t="str">
        <f aca="false">IF($C619="","",$D619*$E619)</f>
        <v/>
      </c>
      <c r="G619" s="103" t="str">
        <f aca="false">IF($C619="","",$D619*IFERROR(INDEX('تحليل التكلفة والسعر'!$C$2:$C$700,MATCH($C619,'تحليل التكلفة والسعر'!$B$2:$B$700,0)),0))</f>
        <v/>
      </c>
    </row>
    <row r="620" customFormat="false" ht="15" hidden="false" customHeight="false" outlineLevel="0" collapsed="false">
      <c r="A620" s="102"/>
      <c r="E620" s="103" t="str">
        <f aca="false">IF($C620="","",IFERROR(INDEX(المنيو!$C$2:$C$500,MATCH($C620,المنيو!$B$2:$B$500,0)),0))</f>
        <v/>
      </c>
      <c r="F620" s="103" t="str">
        <f aca="false">IF($C620="","",$D620*$E620)</f>
        <v/>
      </c>
      <c r="G620" s="103" t="str">
        <f aca="false">IF($C620="","",$D620*IFERROR(INDEX('تحليل التكلفة والسعر'!$C$2:$C$700,MATCH($C620,'تحليل التكلفة والسعر'!$B$2:$B$700,0)),0))</f>
        <v/>
      </c>
    </row>
    <row r="621" customFormat="false" ht="15" hidden="false" customHeight="false" outlineLevel="0" collapsed="false">
      <c r="A621" s="102"/>
      <c r="E621" s="103" t="str">
        <f aca="false">IF($C621="","",IFERROR(INDEX(المنيو!$C$2:$C$500,MATCH($C621,المنيو!$B$2:$B$500,0)),0))</f>
        <v/>
      </c>
      <c r="F621" s="103" t="str">
        <f aca="false">IF($C621="","",$D621*$E621)</f>
        <v/>
      </c>
      <c r="G621" s="103" t="str">
        <f aca="false">IF($C621="","",$D621*IFERROR(INDEX('تحليل التكلفة والسعر'!$C$2:$C$700,MATCH($C621,'تحليل التكلفة والسعر'!$B$2:$B$700,0)),0))</f>
        <v/>
      </c>
    </row>
    <row r="622" customFormat="false" ht="15" hidden="false" customHeight="false" outlineLevel="0" collapsed="false">
      <c r="A622" s="102"/>
      <c r="E622" s="103" t="str">
        <f aca="false">IF($C622="","",IFERROR(INDEX(المنيو!$C$2:$C$500,MATCH($C622,المنيو!$B$2:$B$500,0)),0))</f>
        <v/>
      </c>
      <c r="F622" s="103" t="str">
        <f aca="false">IF($C622="","",$D622*$E622)</f>
        <v/>
      </c>
      <c r="G622" s="103" t="str">
        <f aca="false">IF($C622="","",$D622*IFERROR(INDEX('تحليل التكلفة والسعر'!$C$2:$C$700,MATCH($C622,'تحليل التكلفة والسعر'!$B$2:$B$700,0)),0))</f>
        <v/>
      </c>
    </row>
    <row r="623" customFormat="false" ht="15" hidden="false" customHeight="false" outlineLevel="0" collapsed="false">
      <c r="A623" s="102"/>
      <c r="E623" s="103" t="str">
        <f aca="false">IF($C623="","",IFERROR(INDEX(المنيو!$C$2:$C$500,MATCH($C623,المنيو!$B$2:$B$500,0)),0))</f>
        <v/>
      </c>
      <c r="F623" s="103" t="str">
        <f aca="false">IF($C623="","",$D623*$E623)</f>
        <v/>
      </c>
      <c r="G623" s="103" t="str">
        <f aca="false">IF($C623="","",$D623*IFERROR(INDEX('تحليل التكلفة والسعر'!$C$2:$C$700,MATCH($C623,'تحليل التكلفة والسعر'!$B$2:$B$700,0)),0))</f>
        <v/>
      </c>
    </row>
    <row r="624" customFormat="false" ht="15" hidden="false" customHeight="false" outlineLevel="0" collapsed="false">
      <c r="A624" s="102"/>
      <c r="E624" s="103" t="str">
        <f aca="false">IF($C624="","",IFERROR(INDEX(المنيو!$C$2:$C$500,MATCH($C624,المنيو!$B$2:$B$500,0)),0))</f>
        <v/>
      </c>
      <c r="F624" s="103" t="str">
        <f aca="false">IF($C624="","",$D624*$E624)</f>
        <v/>
      </c>
      <c r="G624" s="103" t="str">
        <f aca="false">IF($C624="","",$D624*IFERROR(INDEX('تحليل التكلفة والسعر'!$C$2:$C$700,MATCH($C624,'تحليل التكلفة والسعر'!$B$2:$B$700,0)),0))</f>
        <v/>
      </c>
    </row>
    <row r="625" customFormat="false" ht="15" hidden="false" customHeight="false" outlineLevel="0" collapsed="false">
      <c r="A625" s="102"/>
      <c r="E625" s="103" t="str">
        <f aca="false">IF($C625="","",IFERROR(INDEX(المنيو!$C$2:$C$500,MATCH($C625,المنيو!$B$2:$B$500,0)),0))</f>
        <v/>
      </c>
      <c r="F625" s="103" t="str">
        <f aca="false">IF($C625="","",$D625*$E625)</f>
        <v/>
      </c>
      <c r="G625" s="103" t="str">
        <f aca="false">IF($C625="","",$D625*IFERROR(INDEX('تحليل التكلفة والسعر'!$C$2:$C$700,MATCH($C625,'تحليل التكلفة والسعر'!$B$2:$B$700,0)),0))</f>
        <v/>
      </c>
    </row>
    <row r="626" customFormat="false" ht="15" hidden="false" customHeight="false" outlineLevel="0" collapsed="false">
      <c r="A626" s="102"/>
      <c r="E626" s="103" t="str">
        <f aca="false">IF($C626="","",IFERROR(INDEX(المنيو!$C$2:$C$500,MATCH($C626,المنيو!$B$2:$B$500,0)),0))</f>
        <v/>
      </c>
      <c r="F626" s="103" t="str">
        <f aca="false">IF($C626="","",$D626*$E626)</f>
        <v/>
      </c>
      <c r="G626" s="103" t="str">
        <f aca="false">IF($C626="","",$D626*IFERROR(INDEX('تحليل التكلفة والسعر'!$C$2:$C$700,MATCH($C626,'تحليل التكلفة والسعر'!$B$2:$B$700,0)),0))</f>
        <v/>
      </c>
    </row>
    <row r="627" customFormat="false" ht="15" hidden="false" customHeight="false" outlineLevel="0" collapsed="false">
      <c r="A627" s="102"/>
      <c r="E627" s="103" t="str">
        <f aca="false">IF($C627="","",IFERROR(INDEX(المنيو!$C$2:$C$500,MATCH($C627,المنيو!$B$2:$B$500,0)),0))</f>
        <v/>
      </c>
      <c r="F627" s="103" t="str">
        <f aca="false">IF($C627="","",$D627*$E627)</f>
        <v/>
      </c>
      <c r="G627" s="103" t="str">
        <f aca="false">IF($C627="","",$D627*IFERROR(INDEX('تحليل التكلفة والسعر'!$C$2:$C$700,MATCH($C627,'تحليل التكلفة والسعر'!$B$2:$B$700,0)),0))</f>
        <v/>
      </c>
    </row>
    <row r="628" customFormat="false" ht="15" hidden="false" customHeight="false" outlineLevel="0" collapsed="false">
      <c r="A628" s="102"/>
      <c r="E628" s="103" t="str">
        <f aca="false">IF($C628="","",IFERROR(INDEX(المنيو!$C$2:$C$500,MATCH($C628,المنيو!$B$2:$B$500,0)),0))</f>
        <v/>
      </c>
      <c r="F628" s="103" t="str">
        <f aca="false">IF($C628="","",$D628*$E628)</f>
        <v/>
      </c>
      <c r="G628" s="103" t="str">
        <f aca="false">IF($C628="","",$D628*IFERROR(INDEX('تحليل التكلفة والسعر'!$C$2:$C$700,MATCH($C628,'تحليل التكلفة والسعر'!$B$2:$B$700,0)),0))</f>
        <v/>
      </c>
    </row>
    <row r="629" customFormat="false" ht="15" hidden="false" customHeight="false" outlineLevel="0" collapsed="false">
      <c r="A629" s="102"/>
      <c r="E629" s="103" t="str">
        <f aca="false">IF($C629="","",IFERROR(INDEX(المنيو!$C$2:$C$500,MATCH($C629,المنيو!$B$2:$B$500,0)),0))</f>
        <v/>
      </c>
      <c r="F629" s="103" t="str">
        <f aca="false">IF($C629="","",$D629*$E629)</f>
        <v/>
      </c>
      <c r="G629" s="103" t="str">
        <f aca="false">IF($C629="","",$D629*IFERROR(INDEX('تحليل التكلفة والسعر'!$C$2:$C$700,MATCH($C629,'تحليل التكلفة والسعر'!$B$2:$B$700,0)),0))</f>
        <v/>
      </c>
    </row>
    <row r="630" customFormat="false" ht="15" hidden="false" customHeight="false" outlineLevel="0" collapsed="false">
      <c r="A630" s="102"/>
      <c r="E630" s="103" t="str">
        <f aca="false">IF($C630="","",IFERROR(INDEX(المنيو!$C$2:$C$500,MATCH($C630,المنيو!$B$2:$B$500,0)),0))</f>
        <v/>
      </c>
      <c r="F630" s="103" t="str">
        <f aca="false">IF($C630="","",$D630*$E630)</f>
        <v/>
      </c>
      <c r="G630" s="103" t="str">
        <f aca="false">IF($C630="","",$D630*IFERROR(INDEX('تحليل التكلفة والسعر'!$C$2:$C$700,MATCH($C630,'تحليل التكلفة والسعر'!$B$2:$B$700,0)),0))</f>
        <v/>
      </c>
    </row>
    <row r="631" customFormat="false" ht="15" hidden="false" customHeight="false" outlineLevel="0" collapsed="false">
      <c r="A631" s="102"/>
      <c r="E631" s="103" t="str">
        <f aca="false">IF($C631="","",IFERROR(INDEX(المنيو!$C$2:$C$500,MATCH($C631,المنيو!$B$2:$B$500,0)),0))</f>
        <v/>
      </c>
      <c r="F631" s="103" t="str">
        <f aca="false">IF($C631="","",$D631*$E631)</f>
        <v/>
      </c>
      <c r="G631" s="103" t="str">
        <f aca="false">IF($C631="","",$D631*IFERROR(INDEX('تحليل التكلفة والسعر'!$C$2:$C$700,MATCH($C631,'تحليل التكلفة والسعر'!$B$2:$B$700,0)),0))</f>
        <v/>
      </c>
    </row>
    <row r="632" customFormat="false" ht="15" hidden="false" customHeight="false" outlineLevel="0" collapsed="false">
      <c r="A632" s="102"/>
      <c r="E632" s="103" t="str">
        <f aca="false">IF($C632="","",IFERROR(INDEX(المنيو!$C$2:$C$500,MATCH($C632,المنيو!$B$2:$B$500,0)),0))</f>
        <v/>
      </c>
      <c r="F632" s="103" t="str">
        <f aca="false">IF($C632="","",$D632*$E632)</f>
        <v/>
      </c>
      <c r="G632" s="103" t="str">
        <f aca="false">IF($C632="","",$D632*IFERROR(INDEX('تحليل التكلفة والسعر'!$C$2:$C$700,MATCH($C632,'تحليل التكلفة والسعر'!$B$2:$B$700,0)),0))</f>
        <v/>
      </c>
    </row>
    <row r="633" customFormat="false" ht="15" hidden="false" customHeight="false" outlineLevel="0" collapsed="false">
      <c r="A633" s="102"/>
      <c r="E633" s="103" t="str">
        <f aca="false">IF($C633="","",IFERROR(INDEX(المنيو!$C$2:$C$500,MATCH($C633,المنيو!$B$2:$B$500,0)),0))</f>
        <v/>
      </c>
      <c r="F633" s="103" t="str">
        <f aca="false">IF($C633="","",$D633*$E633)</f>
        <v/>
      </c>
      <c r="G633" s="103" t="str">
        <f aca="false">IF($C633="","",$D633*IFERROR(INDEX('تحليل التكلفة والسعر'!$C$2:$C$700,MATCH($C633,'تحليل التكلفة والسعر'!$B$2:$B$700,0)),0))</f>
        <v/>
      </c>
    </row>
    <row r="634" customFormat="false" ht="15" hidden="false" customHeight="false" outlineLevel="0" collapsed="false">
      <c r="A634" s="102"/>
      <c r="E634" s="103" t="str">
        <f aca="false">IF($C634="","",IFERROR(INDEX(المنيو!$C$2:$C$500,MATCH($C634,المنيو!$B$2:$B$500,0)),0))</f>
        <v/>
      </c>
      <c r="F634" s="103" t="str">
        <f aca="false">IF($C634="","",$D634*$E634)</f>
        <v/>
      </c>
      <c r="G634" s="103" t="str">
        <f aca="false">IF($C634="","",$D634*IFERROR(INDEX('تحليل التكلفة والسعر'!$C$2:$C$700,MATCH($C634,'تحليل التكلفة والسعر'!$B$2:$B$700,0)),0))</f>
        <v/>
      </c>
    </row>
    <row r="635" customFormat="false" ht="15" hidden="false" customHeight="false" outlineLevel="0" collapsed="false">
      <c r="A635" s="102"/>
      <c r="E635" s="103" t="str">
        <f aca="false">IF($C635="","",IFERROR(INDEX(المنيو!$C$2:$C$500,MATCH($C635,المنيو!$B$2:$B$500,0)),0))</f>
        <v/>
      </c>
      <c r="F635" s="103" t="str">
        <f aca="false">IF($C635="","",$D635*$E635)</f>
        <v/>
      </c>
      <c r="G635" s="103" t="str">
        <f aca="false">IF($C635="","",$D635*IFERROR(INDEX('تحليل التكلفة والسعر'!$C$2:$C$700,MATCH($C635,'تحليل التكلفة والسعر'!$B$2:$B$700,0)),0))</f>
        <v/>
      </c>
    </row>
    <row r="636" customFormat="false" ht="15" hidden="false" customHeight="false" outlineLevel="0" collapsed="false">
      <c r="A636" s="102"/>
      <c r="E636" s="103" t="str">
        <f aca="false">IF($C636="","",IFERROR(INDEX(المنيو!$C$2:$C$500,MATCH($C636,المنيو!$B$2:$B$500,0)),0))</f>
        <v/>
      </c>
      <c r="F636" s="103" t="str">
        <f aca="false">IF($C636="","",$D636*$E636)</f>
        <v/>
      </c>
      <c r="G636" s="103" t="str">
        <f aca="false">IF($C636="","",$D636*IFERROR(INDEX('تحليل التكلفة والسعر'!$C$2:$C$700,MATCH($C636,'تحليل التكلفة والسعر'!$B$2:$B$700,0)),0))</f>
        <v/>
      </c>
    </row>
    <row r="637" customFormat="false" ht="15" hidden="false" customHeight="false" outlineLevel="0" collapsed="false">
      <c r="A637" s="102"/>
      <c r="E637" s="103" t="str">
        <f aca="false">IF($C637="","",IFERROR(INDEX(المنيو!$C$2:$C$500,MATCH($C637,المنيو!$B$2:$B$500,0)),0))</f>
        <v/>
      </c>
      <c r="F637" s="103" t="str">
        <f aca="false">IF($C637="","",$D637*$E637)</f>
        <v/>
      </c>
      <c r="G637" s="103" t="str">
        <f aca="false">IF($C637="","",$D637*IFERROR(INDEX('تحليل التكلفة والسعر'!$C$2:$C$700,MATCH($C637,'تحليل التكلفة والسعر'!$B$2:$B$700,0)),0))</f>
        <v/>
      </c>
    </row>
    <row r="638" customFormat="false" ht="15" hidden="false" customHeight="false" outlineLevel="0" collapsed="false">
      <c r="A638" s="102"/>
      <c r="E638" s="103" t="str">
        <f aca="false">IF($C638="","",IFERROR(INDEX(المنيو!$C$2:$C$500,MATCH($C638,المنيو!$B$2:$B$500,0)),0))</f>
        <v/>
      </c>
      <c r="F638" s="103" t="str">
        <f aca="false">IF($C638="","",$D638*$E638)</f>
        <v/>
      </c>
      <c r="G638" s="103" t="str">
        <f aca="false">IF($C638="","",$D638*IFERROR(INDEX('تحليل التكلفة والسعر'!$C$2:$C$700,MATCH($C638,'تحليل التكلفة والسعر'!$B$2:$B$700,0)),0))</f>
        <v/>
      </c>
    </row>
    <row r="639" customFormat="false" ht="15" hidden="false" customHeight="false" outlineLevel="0" collapsed="false">
      <c r="A639" s="102"/>
      <c r="E639" s="103" t="str">
        <f aca="false">IF($C639="","",IFERROR(INDEX(المنيو!$C$2:$C$500,MATCH($C639,المنيو!$B$2:$B$500,0)),0))</f>
        <v/>
      </c>
      <c r="F639" s="103" t="str">
        <f aca="false">IF($C639="","",$D639*$E639)</f>
        <v/>
      </c>
      <c r="G639" s="103" t="str">
        <f aca="false">IF($C639="","",$D639*IFERROR(INDEX('تحليل التكلفة والسعر'!$C$2:$C$700,MATCH($C639,'تحليل التكلفة والسعر'!$B$2:$B$700,0)),0))</f>
        <v/>
      </c>
    </row>
    <row r="640" customFormat="false" ht="15" hidden="false" customHeight="false" outlineLevel="0" collapsed="false">
      <c r="A640" s="102"/>
      <c r="E640" s="103" t="str">
        <f aca="false">IF($C640="","",IFERROR(INDEX(المنيو!$C$2:$C$500,MATCH($C640,المنيو!$B$2:$B$500,0)),0))</f>
        <v/>
      </c>
      <c r="F640" s="103" t="str">
        <f aca="false">IF($C640="","",$D640*$E640)</f>
        <v/>
      </c>
      <c r="G640" s="103" t="str">
        <f aca="false">IF($C640="","",$D640*IFERROR(INDEX('تحليل التكلفة والسعر'!$C$2:$C$700,MATCH($C640,'تحليل التكلفة والسعر'!$B$2:$B$700,0)),0))</f>
        <v/>
      </c>
    </row>
    <row r="641" customFormat="false" ht="15" hidden="false" customHeight="false" outlineLevel="0" collapsed="false">
      <c r="A641" s="102"/>
      <c r="E641" s="103" t="str">
        <f aca="false">IF($C641="","",IFERROR(INDEX(المنيو!$C$2:$C$500,MATCH($C641,المنيو!$B$2:$B$500,0)),0))</f>
        <v/>
      </c>
      <c r="F641" s="103" t="str">
        <f aca="false">IF($C641="","",$D641*$E641)</f>
        <v/>
      </c>
      <c r="G641" s="103" t="str">
        <f aca="false">IF($C641="","",$D641*IFERROR(INDEX('تحليل التكلفة والسعر'!$C$2:$C$700,MATCH($C641,'تحليل التكلفة والسعر'!$B$2:$B$700,0)),0))</f>
        <v/>
      </c>
    </row>
    <row r="642" customFormat="false" ht="15" hidden="false" customHeight="false" outlineLevel="0" collapsed="false">
      <c r="A642" s="102"/>
      <c r="E642" s="103" t="str">
        <f aca="false">IF($C642="","",IFERROR(INDEX(المنيو!$C$2:$C$500,MATCH($C642,المنيو!$B$2:$B$500,0)),0))</f>
        <v/>
      </c>
      <c r="F642" s="103" t="str">
        <f aca="false">IF($C642="","",$D642*$E642)</f>
        <v/>
      </c>
      <c r="G642" s="103" t="str">
        <f aca="false">IF($C642="","",$D642*IFERROR(INDEX('تحليل التكلفة والسعر'!$C$2:$C$700,MATCH($C642,'تحليل التكلفة والسعر'!$B$2:$B$700,0)),0))</f>
        <v/>
      </c>
    </row>
    <row r="643" customFormat="false" ht="15" hidden="false" customHeight="false" outlineLevel="0" collapsed="false">
      <c r="A643" s="102"/>
      <c r="E643" s="103" t="str">
        <f aca="false">IF($C643="","",IFERROR(INDEX(المنيو!$C$2:$C$500,MATCH($C643,المنيو!$B$2:$B$500,0)),0))</f>
        <v/>
      </c>
      <c r="F643" s="103" t="str">
        <f aca="false">IF($C643="","",$D643*$E643)</f>
        <v/>
      </c>
      <c r="G643" s="103" t="str">
        <f aca="false">IF($C643="","",$D643*IFERROR(INDEX('تحليل التكلفة والسعر'!$C$2:$C$700,MATCH($C643,'تحليل التكلفة والسعر'!$B$2:$B$700,0)),0))</f>
        <v/>
      </c>
    </row>
    <row r="644" customFormat="false" ht="15" hidden="false" customHeight="false" outlineLevel="0" collapsed="false">
      <c r="A644" s="102"/>
      <c r="E644" s="103" t="str">
        <f aca="false">IF($C644="","",IFERROR(INDEX(المنيو!$C$2:$C$500,MATCH($C644,المنيو!$B$2:$B$500,0)),0))</f>
        <v/>
      </c>
      <c r="F644" s="103" t="str">
        <f aca="false">IF($C644="","",$D644*$E644)</f>
        <v/>
      </c>
      <c r="G644" s="103" t="str">
        <f aca="false">IF($C644="","",$D644*IFERROR(INDEX('تحليل التكلفة والسعر'!$C$2:$C$700,MATCH($C644,'تحليل التكلفة والسعر'!$B$2:$B$700,0)),0))</f>
        <v/>
      </c>
    </row>
    <row r="645" customFormat="false" ht="15" hidden="false" customHeight="false" outlineLevel="0" collapsed="false">
      <c r="A645" s="102"/>
      <c r="E645" s="103" t="str">
        <f aca="false">IF($C645="","",IFERROR(INDEX(المنيو!$C$2:$C$500,MATCH($C645,المنيو!$B$2:$B$500,0)),0))</f>
        <v/>
      </c>
      <c r="F645" s="103" t="str">
        <f aca="false">IF($C645="","",$D645*$E645)</f>
        <v/>
      </c>
      <c r="G645" s="103" t="str">
        <f aca="false">IF($C645="","",$D645*IFERROR(INDEX('تحليل التكلفة والسعر'!$C$2:$C$700,MATCH($C645,'تحليل التكلفة والسعر'!$B$2:$B$700,0)),0))</f>
        <v/>
      </c>
    </row>
    <row r="646" customFormat="false" ht="15" hidden="false" customHeight="false" outlineLevel="0" collapsed="false">
      <c r="A646" s="102"/>
      <c r="E646" s="103" t="str">
        <f aca="false">IF($C646="","",IFERROR(INDEX(المنيو!$C$2:$C$500,MATCH($C646,المنيو!$B$2:$B$500,0)),0))</f>
        <v/>
      </c>
      <c r="F646" s="103" t="str">
        <f aca="false">IF($C646="","",$D646*$E646)</f>
        <v/>
      </c>
      <c r="G646" s="103" t="str">
        <f aca="false">IF($C646="","",$D646*IFERROR(INDEX('تحليل التكلفة والسعر'!$C$2:$C$700,MATCH($C646,'تحليل التكلفة والسعر'!$B$2:$B$700,0)),0))</f>
        <v/>
      </c>
    </row>
    <row r="647" customFormat="false" ht="15" hidden="false" customHeight="false" outlineLevel="0" collapsed="false">
      <c r="A647" s="102"/>
      <c r="E647" s="103" t="str">
        <f aca="false">IF($C647="","",IFERROR(INDEX(المنيو!$C$2:$C$500,MATCH($C647,المنيو!$B$2:$B$500,0)),0))</f>
        <v/>
      </c>
      <c r="F647" s="103" t="str">
        <f aca="false">IF($C647="","",$D647*$E647)</f>
        <v/>
      </c>
      <c r="G647" s="103" t="str">
        <f aca="false">IF($C647="","",$D647*IFERROR(INDEX('تحليل التكلفة والسعر'!$C$2:$C$700,MATCH($C647,'تحليل التكلفة والسعر'!$B$2:$B$700,0)),0))</f>
        <v/>
      </c>
    </row>
    <row r="648" customFormat="false" ht="15" hidden="false" customHeight="false" outlineLevel="0" collapsed="false">
      <c r="A648" s="102"/>
      <c r="E648" s="103" t="str">
        <f aca="false">IF($C648="","",IFERROR(INDEX(المنيو!$C$2:$C$500,MATCH($C648,المنيو!$B$2:$B$500,0)),0))</f>
        <v/>
      </c>
      <c r="F648" s="103" t="str">
        <f aca="false">IF($C648="","",$D648*$E648)</f>
        <v/>
      </c>
      <c r="G648" s="103" t="str">
        <f aca="false">IF($C648="","",$D648*IFERROR(INDEX('تحليل التكلفة والسعر'!$C$2:$C$700,MATCH($C648,'تحليل التكلفة والسعر'!$B$2:$B$700,0)),0))</f>
        <v/>
      </c>
    </row>
    <row r="649" customFormat="false" ht="15" hidden="false" customHeight="false" outlineLevel="0" collapsed="false">
      <c r="A649" s="102"/>
      <c r="E649" s="103" t="str">
        <f aca="false">IF($C649="","",IFERROR(INDEX(المنيو!$C$2:$C$500,MATCH($C649,المنيو!$B$2:$B$500,0)),0))</f>
        <v/>
      </c>
      <c r="F649" s="103" t="str">
        <f aca="false">IF($C649="","",$D649*$E649)</f>
        <v/>
      </c>
      <c r="G649" s="103" t="str">
        <f aca="false">IF($C649="","",$D649*IFERROR(INDEX('تحليل التكلفة والسعر'!$C$2:$C$700,MATCH($C649,'تحليل التكلفة والسعر'!$B$2:$B$700,0)),0))</f>
        <v/>
      </c>
    </row>
    <row r="650" customFormat="false" ht="15" hidden="false" customHeight="false" outlineLevel="0" collapsed="false">
      <c r="A650" s="102"/>
      <c r="E650" s="103" t="str">
        <f aca="false">IF($C650="","",IFERROR(INDEX(المنيو!$C$2:$C$500,MATCH($C650,المنيو!$B$2:$B$500,0)),0))</f>
        <v/>
      </c>
      <c r="F650" s="103" t="str">
        <f aca="false">IF($C650="","",$D650*$E650)</f>
        <v/>
      </c>
      <c r="G650" s="103" t="str">
        <f aca="false">IF($C650="","",$D650*IFERROR(INDEX('تحليل التكلفة والسعر'!$C$2:$C$700,MATCH($C650,'تحليل التكلفة والسعر'!$B$2:$B$700,0)),0))</f>
        <v/>
      </c>
    </row>
    <row r="651" customFormat="false" ht="15" hidden="false" customHeight="false" outlineLevel="0" collapsed="false">
      <c r="A651" s="102"/>
      <c r="E651" s="103" t="str">
        <f aca="false">IF($C651="","",IFERROR(INDEX(المنيو!$C$2:$C$500,MATCH($C651,المنيو!$B$2:$B$500,0)),0))</f>
        <v/>
      </c>
      <c r="F651" s="103" t="str">
        <f aca="false">IF($C651="","",$D651*$E651)</f>
        <v/>
      </c>
      <c r="G651" s="103" t="str">
        <f aca="false">IF($C651="","",$D651*IFERROR(INDEX('تحليل التكلفة والسعر'!$C$2:$C$700,MATCH($C651,'تحليل التكلفة والسعر'!$B$2:$B$700,0)),0))</f>
        <v/>
      </c>
    </row>
    <row r="652" customFormat="false" ht="15" hidden="false" customHeight="false" outlineLevel="0" collapsed="false">
      <c r="A652" s="102"/>
      <c r="E652" s="103" t="str">
        <f aca="false">IF($C652="","",IFERROR(INDEX(المنيو!$C$2:$C$500,MATCH($C652,المنيو!$B$2:$B$500,0)),0))</f>
        <v/>
      </c>
      <c r="F652" s="103" t="str">
        <f aca="false">IF($C652="","",$D652*$E652)</f>
        <v/>
      </c>
      <c r="G652" s="103" t="str">
        <f aca="false">IF($C652="","",$D652*IFERROR(INDEX('تحليل التكلفة والسعر'!$C$2:$C$700,MATCH($C652,'تحليل التكلفة والسعر'!$B$2:$B$700,0)),0))</f>
        <v/>
      </c>
    </row>
    <row r="653" customFormat="false" ht="15" hidden="false" customHeight="false" outlineLevel="0" collapsed="false">
      <c r="A653" s="102"/>
      <c r="E653" s="103" t="str">
        <f aca="false">IF($C653="","",IFERROR(INDEX(المنيو!$C$2:$C$500,MATCH($C653,المنيو!$B$2:$B$500,0)),0))</f>
        <v/>
      </c>
      <c r="F653" s="103" t="str">
        <f aca="false">IF($C653="","",$D653*$E653)</f>
        <v/>
      </c>
      <c r="G653" s="103" t="str">
        <f aca="false">IF($C653="","",$D653*IFERROR(INDEX('تحليل التكلفة والسعر'!$C$2:$C$700,MATCH($C653,'تحليل التكلفة والسعر'!$B$2:$B$700,0)),0))</f>
        <v/>
      </c>
    </row>
    <row r="654" customFormat="false" ht="15" hidden="false" customHeight="false" outlineLevel="0" collapsed="false">
      <c r="A654" s="102"/>
      <c r="E654" s="103" t="str">
        <f aca="false">IF($C654="","",IFERROR(INDEX(المنيو!$C$2:$C$500,MATCH($C654,المنيو!$B$2:$B$500,0)),0))</f>
        <v/>
      </c>
      <c r="F654" s="103" t="str">
        <f aca="false">IF($C654="","",$D654*$E654)</f>
        <v/>
      </c>
      <c r="G654" s="103" t="str">
        <f aca="false">IF($C654="","",$D654*IFERROR(INDEX('تحليل التكلفة والسعر'!$C$2:$C$700,MATCH($C654,'تحليل التكلفة والسعر'!$B$2:$B$700,0)),0))</f>
        <v/>
      </c>
    </row>
    <row r="655" customFormat="false" ht="15" hidden="false" customHeight="false" outlineLevel="0" collapsed="false">
      <c r="A655" s="102"/>
      <c r="E655" s="103" t="str">
        <f aca="false">IF($C655="","",IFERROR(INDEX(المنيو!$C$2:$C$500,MATCH($C655,المنيو!$B$2:$B$500,0)),0))</f>
        <v/>
      </c>
      <c r="F655" s="103" t="str">
        <f aca="false">IF($C655="","",$D655*$E655)</f>
        <v/>
      </c>
      <c r="G655" s="103" t="str">
        <f aca="false">IF($C655="","",$D655*IFERROR(INDEX('تحليل التكلفة والسعر'!$C$2:$C$700,MATCH($C655,'تحليل التكلفة والسعر'!$B$2:$B$700,0)),0))</f>
        <v/>
      </c>
    </row>
    <row r="656" customFormat="false" ht="15" hidden="false" customHeight="false" outlineLevel="0" collapsed="false">
      <c r="A656" s="102"/>
      <c r="E656" s="103" t="str">
        <f aca="false">IF($C656="","",IFERROR(INDEX(المنيو!$C$2:$C$500,MATCH($C656,المنيو!$B$2:$B$500,0)),0))</f>
        <v/>
      </c>
      <c r="F656" s="103" t="str">
        <f aca="false">IF($C656="","",$D656*$E656)</f>
        <v/>
      </c>
      <c r="G656" s="103" t="str">
        <f aca="false">IF($C656="","",$D656*IFERROR(INDEX('تحليل التكلفة والسعر'!$C$2:$C$700,MATCH($C656,'تحليل التكلفة والسعر'!$B$2:$B$700,0)),0))</f>
        <v/>
      </c>
    </row>
    <row r="657" customFormat="false" ht="15" hidden="false" customHeight="false" outlineLevel="0" collapsed="false">
      <c r="A657" s="102"/>
      <c r="E657" s="103" t="str">
        <f aca="false">IF($C657="","",IFERROR(INDEX(المنيو!$C$2:$C$500,MATCH($C657,المنيو!$B$2:$B$500,0)),0))</f>
        <v/>
      </c>
      <c r="F657" s="103" t="str">
        <f aca="false">IF($C657="","",$D657*$E657)</f>
        <v/>
      </c>
      <c r="G657" s="103" t="str">
        <f aca="false">IF($C657="","",$D657*IFERROR(INDEX('تحليل التكلفة والسعر'!$C$2:$C$700,MATCH($C657,'تحليل التكلفة والسعر'!$B$2:$B$700,0)),0))</f>
        <v/>
      </c>
    </row>
    <row r="658" customFormat="false" ht="15" hidden="false" customHeight="false" outlineLevel="0" collapsed="false">
      <c r="A658" s="102"/>
      <c r="E658" s="103" t="str">
        <f aca="false">IF($C658="","",IFERROR(INDEX(المنيو!$C$2:$C$500,MATCH($C658,المنيو!$B$2:$B$500,0)),0))</f>
        <v/>
      </c>
      <c r="F658" s="103" t="str">
        <f aca="false">IF($C658="","",$D658*$E658)</f>
        <v/>
      </c>
      <c r="G658" s="103" t="str">
        <f aca="false">IF($C658="","",$D658*IFERROR(INDEX('تحليل التكلفة والسعر'!$C$2:$C$700,MATCH($C658,'تحليل التكلفة والسعر'!$B$2:$B$700,0)),0))</f>
        <v/>
      </c>
    </row>
    <row r="659" customFormat="false" ht="15" hidden="false" customHeight="false" outlineLevel="0" collapsed="false">
      <c r="A659" s="102"/>
      <c r="E659" s="103" t="str">
        <f aca="false">IF($C659="","",IFERROR(INDEX(المنيو!$C$2:$C$500,MATCH($C659,المنيو!$B$2:$B$500,0)),0))</f>
        <v/>
      </c>
      <c r="F659" s="103" t="str">
        <f aca="false">IF($C659="","",$D659*$E659)</f>
        <v/>
      </c>
      <c r="G659" s="103" t="str">
        <f aca="false">IF($C659="","",$D659*IFERROR(INDEX('تحليل التكلفة والسعر'!$C$2:$C$700,MATCH($C659,'تحليل التكلفة والسعر'!$B$2:$B$700,0)),0))</f>
        <v/>
      </c>
    </row>
    <row r="660" customFormat="false" ht="15" hidden="false" customHeight="false" outlineLevel="0" collapsed="false">
      <c r="A660" s="102"/>
      <c r="E660" s="103" t="str">
        <f aca="false">IF($C660="","",IFERROR(INDEX(المنيو!$C$2:$C$500,MATCH($C660,المنيو!$B$2:$B$500,0)),0))</f>
        <v/>
      </c>
      <c r="F660" s="103" t="str">
        <f aca="false">IF($C660="","",$D660*$E660)</f>
        <v/>
      </c>
      <c r="G660" s="103" t="str">
        <f aca="false">IF($C660="","",$D660*IFERROR(INDEX('تحليل التكلفة والسعر'!$C$2:$C$700,MATCH($C660,'تحليل التكلفة والسعر'!$B$2:$B$700,0)),0))</f>
        <v/>
      </c>
    </row>
    <row r="661" customFormat="false" ht="15" hidden="false" customHeight="false" outlineLevel="0" collapsed="false">
      <c r="A661" s="102"/>
      <c r="E661" s="103" t="str">
        <f aca="false">IF($C661="","",IFERROR(INDEX(المنيو!$C$2:$C$500,MATCH($C661,المنيو!$B$2:$B$500,0)),0))</f>
        <v/>
      </c>
      <c r="F661" s="103" t="str">
        <f aca="false">IF($C661="","",$D661*$E661)</f>
        <v/>
      </c>
      <c r="G661" s="103" t="str">
        <f aca="false">IF($C661="","",$D661*IFERROR(INDEX('تحليل التكلفة والسعر'!$C$2:$C$700,MATCH($C661,'تحليل التكلفة والسعر'!$B$2:$B$700,0)),0))</f>
        <v/>
      </c>
    </row>
    <row r="662" customFormat="false" ht="15" hidden="false" customHeight="false" outlineLevel="0" collapsed="false">
      <c r="A662" s="102"/>
      <c r="E662" s="103" t="str">
        <f aca="false">IF($C662="","",IFERROR(INDEX(المنيو!$C$2:$C$500,MATCH($C662,المنيو!$B$2:$B$500,0)),0))</f>
        <v/>
      </c>
      <c r="F662" s="103" t="str">
        <f aca="false">IF($C662="","",$D662*$E662)</f>
        <v/>
      </c>
      <c r="G662" s="103" t="str">
        <f aca="false">IF($C662="","",$D662*IFERROR(INDEX('تحليل التكلفة والسعر'!$C$2:$C$700,MATCH($C662,'تحليل التكلفة والسعر'!$B$2:$B$700,0)),0))</f>
        <v/>
      </c>
    </row>
    <row r="663" customFormat="false" ht="15" hidden="false" customHeight="false" outlineLevel="0" collapsed="false">
      <c r="A663" s="102"/>
      <c r="E663" s="103" t="str">
        <f aca="false">IF($C663="","",IFERROR(INDEX(المنيو!$C$2:$C$500,MATCH($C663,المنيو!$B$2:$B$500,0)),0))</f>
        <v/>
      </c>
      <c r="F663" s="103" t="str">
        <f aca="false">IF($C663="","",$D663*$E663)</f>
        <v/>
      </c>
      <c r="G663" s="103" t="str">
        <f aca="false">IF($C663="","",$D663*IFERROR(INDEX('تحليل التكلفة والسعر'!$C$2:$C$700,MATCH($C663,'تحليل التكلفة والسعر'!$B$2:$B$700,0)),0))</f>
        <v/>
      </c>
    </row>
    <row r="664" customFormat="false" ht="15" hidden="false" customHeight="false" outlineLevel="0" collapsed="false">
      <c r="A664" s="102"/>
      <c r="E664" s="103" t="str">
        <f aca="false">IF($C664="","",IFERROR(INDEX(المنيو!$C$2:$C$500,MATCH($C664,المنيو!$B$2:$B$500,0)),0))</f>
        <v/>
      </c>
      <c r="F664" s="103" t="str">
        <f aca="false">IF($C664="","",$D664*$E664)</f>
        <v/>
      </c>
      <c r="G664" s="103" t="str">
        <f aca="false">IF($C664="","",$D664*IFERROR(INDEX('تحليل التكلفة والسعر'!$C$2:$C$700,MATCH($C664,'تحليل التكلفة والسعر'!$B$2:$B$700,0)),0))</f>
        <v/>
      </c>
    </row>
    <row r="665" customFormat="false" ht="15" hidden="false" customHeight="false" outlineLevel="0" collapsed="false">
      <c r="A665" s="102"/>
      <c r="E665" s="103" t="str">
        <f aca="false">IF($C665="","",IFERROR(INDEX(المنيو!$C$2:$C$500,MATCH($C665,المنيو!$B$2:$B$500,0)),0))</f>
        <v/>
      </c>
      <c r="F665" s="103" t="str">
        <f aca="false">IF($C665="","",$D665*$E665)</f>
        <v/>
      </c>
      <c r="G665" s="103" t="str">
        <f aca="false">IF($C665="","",$D665*IFERROR(INDEX('تحليل التكلفة والسعر'!$C$2:$C$700,MATCH($C665,'تحليل التكلفة والسعر'!$B$2:$B$700,0)),0))</f>
        <v/>
      </c>
    </row>
    <row r="666" customFormat="false" ht="15" hidden="false" customHeight="false" outlineLevel="0" collapsed="false">
      <c r="A666" s="102"/>
      <c r="E666" s="103" t="str">
        <f aca="false">IF($C666="","",IFERROR(INDEX(المنيو!$C$2:$C$500,MATCH($C666,المنيو!$B$2:$B$500,0)),0))</f>
        <v/>
      </c>
      <c r="F666" s="103" t="str">
        <f aca="false">IF($C666="","",$D666*$E666)</f>
        <v/>
      </c>
      <c r="G666" s="103" t="str">
        <f aca="false">IF($C666="","",$D666*IFERROR(INDEX('تحليل التكلفة والسعر'!$C$2:$C$700,MATCH($C666,'تحليل التكلفة والسعر'!$B$2:$B$700,0)),0))</f>
        <v/>
      </c>
    </row>
    <row r="667" customFormat="false" ht="15" hidden="false" customHeight="false" outlineLevel="0" collapsed="false">
      <c r="A667" s="102"/>
      <c r="E667" s="103" t="str">
        <f aca="false">IF($C667="","",IFERROR(INDEX(المنيو!$C$2:$C$500,MATCH($C667,المنيو!$B$2:$B$500,0)),0))</f>
        <v/>
      </c>
      <c r="F667" s="103" t="str">
        <f aca="false">IF($C667="","",$D667*$E667)</f>
        <v/>
      </c>
      <c r="G667" s="103" t="str">
        <f aca="false">IF($C667="","",$D667*IFERROR(INDEX('تحليل التكلفة والسعر'!$C$2:$C$700,MATCH($C667,'تحليل التكلفة والسعر'!$B$2:$B$700,0)),0))</f>
        <v/>
      </c>
    </row>
    <row r="668" customFormat="false" ht="15" hidden="false" customHeight="false" outlineLevel="0" collapsed="false">
      <c r="A668" s="102"/>
      <c r="E668" s="103" t="str">
        <f aca="false">IF($C668="","",IFERROR(INDEX(المنيو!$C$2:$C$500,MATCH($C668,المنيو!$B$2:$B$500,0)),0))</f>
        <v/>
      </c>
      <c r="F668" s="103" t="str">
        <f aca="false">IF($C668="","",$D668*$E668)</f>
        <v/>
      </c>
      <c r="G668" s="103" t="str">
        <f aca="false">IF($C668="","",$D668*IFERROR(INDEX('تحليل التكلفة والسعر'!$C$2:$C$700,MATCH($C668,'تحليل التكلفة والسعر'!$B$2:$B$700,0)),0))</f>
        <v/>
      </c>
    </row>
    <row r="669" customFormat="false" ht="15" hidden="false" customHeight="false" outlineLevel="0" collapsed="false">
      <c r="A669" s="102"/>
      <c r="E669" s="103" t="str">
        <f aca="false">IF($C669="","",IFERROR(INDEX(المنيو!$C$2:$C$500,MATCH($C669,المنيو!$B$2:$B$500,0)),0))</f>
        <v/>
      </c>
      <c r="F669" s="103" t="str">
        <f aca="false">IF($C669="","",$D669*$E669)</f>
        <v/>
      </c>
      <c r="G669" s="103" t="str">
        <f aca="false">IF($C669="","",$D669*IFERROR(INDEX('تحليل التكلفة والسعر'!$C$2:$C$700,MATCH($C669,'تحليل التكلفة والسعر'!$B$2:$B$700,0)),0))</f>
        <v/>
      </c>
    </row>
    <row r="670" customFormat="false" ht="15" hidden="false" customHeight="false" outlineLevel="0" collapsed="false">
      <c r="A670" s="102"/>
      <c r="E670" s="103" t="str">
        <f aca="false">IF($C670="","",IFERROR(INDEX(المنيو!$C$2:$C$500,MATCH($C670,المنيو!$B$2:$B$500,0)),0))</f>
        <v/>
      </c>
      <c r="F670" s="103" t="str">
        <f aca="false">IF($C670="","",$D670*$E670)</f>
        <v/>
      </c>
      <c r="G670" s="103" t="str">
        <f aca="false">IF($C670="","",$D670*IFERROR(INDEX('تحليل التكلفة والسعر'!$C$2:$C$700,MATCH($C670,'تحليل التكلفة والسعر'!$B$2:$B$700,0)),0))</f>
        <v/>
      </c>
    </row>
    <row r="671" customFormat="false" ht="15" hidden="false" customHeight="false" outlineLevel="0" collapsed="false">
      <c r="A671" s="102"/>
      <c r="E671" s="103" t="str">
        <f aca="false">IF($C671="","",IFERROR(INDEX(المنيو!$C$2:$C$500,MATCH($C671,المنيو!$B$2:$B$500,0)),0))</f>
        <v/>
      </c>
      <c r="F671" s="103" t="str">
        <f aca="false">IF($C671="","",$D671*$E671)</f>
        <v/>
      </c>
      <c r="G671" s="103" t="str">
        <f aca="false">IF($C671="","",$D671*IFERROR(INDEX('تحليل التكلفة والسعر'!$C$2:$C$700,MATCH($C671,'تحليل التكلفة والسعر'!$B$2:$B$700,0)),0))</f>
        <v/>
      </c>
    </row>
    <row r="672" customFormat="false" ht="15" hidden="false" customHeight="false" outlineLevel="0" collapsed="false">
      <c r="A672" s="102"/>
      <c r="E672" s="103" t="str">
        <f aca="false">IF($C672="","",IFERROR(INDEX(المنيو!$C$2:$C$500,MATCH($C672,المنيو!$B$2:$B$500,0)),0))</f>
        <v/>
      </c>
      <c r="F672" s="103" t="str">
        <f aca="false">IF($C672="","",$D672*$E672)</f>
        <v/>
      </c>
      <c r="G672" s="103" t="str">
        <f aca="false">IF($C672="","",$D672*IFERROR(INDEX('تحليل التكلفة والسعر'!$C$2:$C$700,MATCH($C672,'تحليل التكلفة والسعر'!$B$2:$B$700,0)),0))</f>
        <v/>
      </c>
    </row>
    <row r="673" customFormat="false" ht="15" hidden="false" customHeight="false" outlineLevel="0" collapsed="false">
      <c r="A673" s="102"/>
      <c r="E673" s="103" t="str">
        <f aca="false">IF($C673="","",IFERROR(INDEX(المنيو!$C$2:$C$500,MATCH($C673,المنيو!$B$2:$B$500,0)),0))</f>
        <v/>
      </c>
      <c r="F673" s="103" t="str">
        <f aca="false">IF($C673="","",$D673*$E673)</f>
        <v/>
      </c>
      <c r="G673" s="103" t="str">
        <f aca="false">IF($C673="","",$D673*IFERROR(INDEX('تحليل التكلفة والسعر'!$C$2:$C$700,MATCH($C673,'تحليل التكلفة والسعر'!$B$2:$B$700,0)),0))</f>
        <v/>
      </c>
    </row>
    <row r="674" customFormat="false" ht="15" hidden="false" customHeight="false" outlineLevel="0" collapsed="false">
      <c r="A674" s="102"/>
      <c r="E674" s="103" t="str">
        <f aca="false">IF($C674="","",IFERROR(INDEX(المنيو!$C$2:$C$500,MATCH($C674,المنيو!$B$2:$B$500,0)),0))</f>
        <v/>
      </c>
      <c r="F674" s="103" t="str">
        <f aca="false">IF($C674="","",$D674*$E674)</f>
        <v/>
      </c>
      <c r="G674" s="103" t="str">
        <f aca="false">IF($C674="","",$D674*IFERROR(INDEX('تحليل التكلفة والسعر'!$C$2:$C$700,MATCH($C674,'تحليل التكلفة والسعر'!$B$2:$B$700,0)),0))</f>
        <v/>
      </c>
    </row>
    <row r="675" customFormat="false" ht="15" hidden="false" customHeight="false" outlineLevel="0" collapsed="false">
      <c r="A675" s="102"/>
      <c r="E675" s="103" t="str">
        <f aca="false">IF($C675="","",IFERROR(INDEX(المنيو!$C$2:$C$500,MATCH($C675,المنيو!$B$2:$B$500,0)),0))</f>
        <v/>
      </c>
      <c r="F675" s="103" t="str">
        <f aca="false">IF($C675="","",$D675*$E675)</f>
        <v/>
      </c>
      <c r="G675" s="103" t="str">
        <f aca="false">IF($C675="","",$D675*IFERROR(INDEX('تحليل التكلفة والسعر'!$C$2:$C$700,MATCH($C675,'تحليل التكلفة والسعر'!$B$2:$B$700,0)),0))</f>
        <v/>
      </c>
    </row>
    <row r="676" customFormat="false" ht="15" hidden="false" customHeight="false" outlineLevel="0" collapsed="false">
      <c r="A676" s="102"/>
      <c r="E676" s="103" t="str">
        <f aca="false">IF($C676="","",IFERROR(INDEX(المنيو!$C$2:$C$500,MATCH($C676,المنيو!$B$2:$B$500,0)),0))</f>
        <v/>
      </c>
      <c r="F676" s="103" t="str">
        <f aca="false">IF($C676="","",$D676*$E676)</f>
        <v/>
      </c>
      <c r="G676" s="103" t="str">
        <f aca="false">IF($C676="","",$D676*IFERROR(INDEX('تحليل التكلفة والسعر'!$C$2:$C$700,MATCH($C676,'تحليل التكلفة والسعر'!$B$2:$B$700,0)),0))</f>
        <v/>
      </c>
    </row>
    <row r="677" customFormat="false" ht="15" hidden="false" customHeight="false" outlineLevel="0" collapsed="false">
      <c r="A677" s="102"/>
      <c r="E677" s="103" t="str">
        <f aca="false">IF($C677="","",IFERROR(INDEX(المنيو!$C$2:$C$500,MATCH($C677,المنيو!$B$2:$B$500,0)),0))</f>
        <v/>
      </c>
      <c r="F677" s="103" t="str">
        <f aca="false">IF($C677="","",$D677*$E677)</f>
        <v/>
      </c>
      <c r="G677" s="103" t="str">
        <f aca="false">IF($C677="","",$D677*IFERROR(INDEX('تحليل التكلفة والسعر'!$C$2:$C$700,MATCH($C677,'تحليل التكلفة والسعر'!$B$2:$B$700,0)),0))</f>
        <v/>
      </c>
    </row>
    <row r="678" customFormat="false" ht="15" hidden="false" customHeight="false" outlineLevel="0" collapsed="false">
      <c r="A678" s="102"/>
      <c r="E678" s="103" t="str">
        <f aca="false">IF($C678="","",IFERROR(INDEX(المنيو!$C$2:$C$500,MATCH($C678,المنيو!$B$2:$B$500,0)),0))</f>
        <v/>
      </c>
      <c r="F678" s="103" t="str">
        <f aca="false">IF($C678="","",$D678*$E678)</f>
        <v/>
      </c>
      <c r="G678" s="103" t="str">
        <f aca="false">IF($C678="","",$D678*IFERROR(INDEX('تحليل التكلفة والسعر'!$C$2:$C$700,MATCH($C678,'تحليل التكلفة والسعر'!$B$2:$B$700,0)),0))</f>
        <v/>
      </c>
    </row>
    <row r="679" customFormat="false" ht="15" hidden="false" customHeight="false" outlineLevel="0" collapsed="false">
      <c r="A679" s="102"/>
      <c r="E679" s="103" t="str">
        <f aca="false">IF($C679="","",IFERROR(INDEX(المنيو!$C$2:$C$500,MATCH($C679,المنيو!$B$2:$B$500,0)),0))</f>
        <v/>
      </c>
      <c r="F679" s="103" t="str">
        <f aca="false">IF($C679="","",$D679*$E679)</f>
        <v/>
      </c>
      <c r="G679" s="103" t="str">
        <f aca="false">IF($C679="","",$D679*IFERROR(INDEX('تحليل التكلفة والسعر'!$C$2:$C$700,MATCH($C679,'تحليل التكلفة والسعر'!$B$2:$B$700,0)),0))</f>
        <v/>
      </c>
    </row>
    <row r="680" customFormat="false" ht="15" hidden="false" customHeight="false" outlineLevel="0" collapsed="false">
      <c r="A680" s="102"/>
      <c r="E680" s="103" t="str">
        <f aca="false">IF($C680="","",IFERROR(INDEX(المنيو!$C$2:$C$500,MATCH($C680,المنيو!$B$2:$B$500,0)),0))</f>
        <v/>
      </c>
      <c r="F680" s="103" t="str">
        <f aca="false">IF($C680="","",$D680*$E680)</f>
        <v/>
      </c>
      <c r="G680" s="103" t="str">
        <f aca="false">IF($C680="","",$D680*IFERROR(INDEX('تحليل التكلفة والسعر'!$C$2:$C$700,MATCH($C680,'تحليل التكلفة والسعر'!$B$2:$B$700,0)),0))</f>
        <v/>
      </c>
    </row>
    <row r="681" customFormat="false" ht="15" hidden="false" customHeight="false" outlineLevel="0" collapsed="false">
      <c r="A681" s="102"/>
      <c r="E681" s="103" t="str">
        <f aca="false">IF($C681="","",IFERROR(INDEX(المنيو!$C$2:$C$500,MATCH($C681,المنيو!$B$2:$B$500,0)),0))</f>
        <v/>
      </c>
      <c r="F681" s="103" t="str">
        <f aca="false">IF($C681="","",$D681*$E681)</f>
        <v/>
      </c>
      <c r="G681" s="103" t="str">
        <f aca="false">IF($C681="","",$D681*IFERROR(INDEX('تحليل التكلفة والسعر'!$C$2:$C$700,MATCH($C681,'تحليل التكلفة والسعر'!$B$2:$B$700,0)),0))</f>
        <v/>
      </c>
    </row>
    <row r="682" customFormat="false" ht="15" hidden="false" customHeight="false" outlineLevel="0" collapsed="false">
      <c r="A682" s="102"/>
      <c r="E682" s="103" t="str">
        <f aca="false">IF($C682="","",IFERROR(INDEX(المنيو!$C$2:$C$500,MATCH($C682,المنيو!$B$2:$B$500,0)),0))</f>
        <v/>
      </c>
      <c r="F682" s="103" t="str">
        <f aca="false">IF($C682="","",$D682*$E682)</f>
        <v/>
      </c>
      <c r="G682" s="103" t="str">
        <f aca="false">IF($C682="","",$D682*IFERROR(INDEX('تحليل التكلفة والسعر'!$C$2:$C$700,MATCH($C682,'تحليل التكلفة والسعر'!$B$2:$B$700,0)),0))</f>
        <v/>
      </c>
    </row>
    <row r="683" customFormat="false" ht="15" hidden="false" customHeight="false" outlineLevel="0" collapsed="false">
      <c r="A683" s="102"/>
      <c r="E683" s="103" t="str">
        <f aca="false">IF($C683="","",IFERROR(INDEX(المنيو!$C$2:$C$500,MATCH($C683,المنيو!$B$2:$B$500,0)),0))</f>
        <v/>
      </c>
      <c r="F683" s="103" t="str">
        <f aca="false">IF($C683="","",$D683*$E683)</f>
        <v/>
      </c>
      <c r="G683" s="103" t="str">
        <f aca="false">IF($C683="","",$D683*IFERROR(INDEX('تحليل التكلفة والسعر'!$C$2:$C$700,MATCH($C683,'تحليل التكلفة والسعر'!$B$2:$B$700,0)),0))</f>
        <v/>
      </c>
    </row>
    <row r="684" customFormat="false" ht="15" hidden="false" customHeight="false" outlineLevel="0" collapsed="false">
      <c r="A684" s="102"/>
      <c r="E684" s="103" t="str">
        <f aca="false">IF($C684="","",IFERROR(INDEX(المنيو!$C$2:$C$500,MATCH($C684,المنيو!$B$2:$B$500,0)),0))</f>
        <v/>
      </c>
      <c r="F684" s="103" t="str">
        <f aca="false">IF($C684="","",$D684*$E684)</f>
        <v/>
      </c>
      <c r="G684" s="103" t="str">
        <f aca="false">IF($C684="","",$D684*IFERROR(INDEX('تحليل التكلفة والسعر'!$C$2:$C$700,MATCH($C684,'تحليل التكلفة والسعر'!$B$2:$B$700,0)),0))</f>
        <v/>
      </c>
    </row>
    <row r="685" customFormat="false" ht="15" hidden="false" customHeight="false" outlineLevel="0" collapsed="false">
      <c r="A685" s="102"/>
      <c r="E685" s="103" t="str">
        <f aca="false">IF($C685="","",IFERROR(INDEX(المنيو!$C$2:$C$500,MATCH($C685,المنيو!$B$2:$B$500,0)),0))</f>
        <v/>
      </c>
      <c r="F685" s="103" t="str">
        <f aca="false">IF($C685="","",$D685*$E685)</f>
        <v/>
      </c>
      <c r="G685" s="103" t="str">
        <f aca="false">IF($C685="","",$D685*IFERROR(INDEX('تحليل التكلفة والسعر'!$C$2:$C$700,MATCH($C685,'تحليل التكلفة والسعر'!$B$2:$B$700,0)),0))</f>
        <v/>
      </c>
    </row>
    <row r="686" customFormat="false" ht="15" hidden="false" customHeight="false" outlineLevel="0" collapsed="false">
      <c r="A686" s="102"/>
      <c r="E686" s="103" t="str">
        <f aca="false">IF($C686="","",IFERROR(INDEX(المنيو!$C$2:$C$500,MATCH($C686,المنيو!$B$2:$B$500,0)),0))</f>
        <v/>
      </c>
      <c r="F686" s="103" t="str">
        <f aca="false">IF($C686="","",$D686*$E686)</f>
        <v/>
      </c>
      <c r="G686" s="103" t="str">
        <f aca="false">IF($C686="","",$D686*IFERROR(INDEX('تحليل التكلفة والسعر'!$C$2:$C$700,MATCH($C686,'تحليل التكلفة والسعر'!$B$2:$B$700,0)),0))</f>
        <v/>
      </c>
    </row>
    <row r="687" customFormat="false" ht="15" hidden="false" customHeight="false" outlineLevel="0" collapsed="false">
      <c r="A687" s="102"/>
      <c r="E687" s="103" t="str">
        <f aca="false">IF($C687="","",IFERROR(INDEX(المنيو!$C$2:$C$500,MATCH($C687,المنيو!$B$2:$B$500,0)),0))</f>
        <v/>
      </c>
      <c r="F687" s="103" t="str">
        <f aca="false">IF($C687="","",$D687*$E687)</f>
        <v/>
      </c>
      <c r="G687" s="103" t="str">
        <f aca="false">IF($C687="","",$D687*IFERROR(INDEX('تحليل التكلفة والسعر'!$C$2:$C$700,MATCH($C687,'تحليل التكلفة والسعر'!$B$2:$B$700,0)),0))</f>
        <v/>
      </c>
    </row>
    <row r="688" customFormat="false" ht="15" hidden="false" customHeight="false" outlineLevel="0" collapsed="false">
      <c r="A688" s="102"/>
      <c r="E688" s="103" t="str">
        <f aca="false">IF($C688="","",IFERROR(INDEX(المنيو!$C$2:$C$500,MATCH($C688,المنيو!$B$2:$B$500,0)),0))</f>
        <v/>
      </c>
      <c r="F688" s="103" t="str">
        <f aca="false">IF($C688="","",$D688*$E688)</f>
        <v/>
      </c>
      <c r="G688" s="103" t="str">
        <f aca="false">IF($C688="","",$D688*IFERROR(INDEX('تحليل التكلفة والسعر'!$C$2:$C$700,MATCH($C688,'تحليل التكلفة والسعر'!$B$2:$B$700,0)),0))</f>
        <v/>
      </c>
    </row>
    <row r="689" customFormat="false" ht="15" hidden="false" customHeight="false" outlineLevel="0" collapsed="false">
      <c r="A689" s="102"/>
      <c r="E689" s="103" t="str">
        <f aca="false">IF($C689="","",IFERROR(INDEX(المنيو!$C$2:$C$500,MATCH($C689,المنيو!$B$2:$B$500,0)),0))</f>
        <v/>
      </c>
      <c r="F689" s="103" t="str">
        <f aca="false">IF($C689="","",$D689*$E689)</f>
        <v/>
      </c>
      <c r="G689" s="103" t="str">
        <f aca="false">IF($C689="","",$D689*IFERROR(INDEX('تحليل التكلفة والسعر'!$C$2:$C$700,MATCH($C689,'تحليل التكلفة والسعر'!$B$2:$B$700,0)),0))</f>
        <v/>
      </c>
    </row>
    <row r="690" customFormat="false" ht="15" hidden="false" customHeight="false" outlineLevel="0" collapsed="false">
      <c r="A690" s="102"/>
      <c r="E690" s="103" t="str">
        <f aca="false">IF($C690="","",IFERROR(INDEX(المنيو!$C$2:$C$500,MATCH($C690,المنيو!$B$2:$B$500,0)),0))</f>
        <v/>
      </c>
      <c r="F690" s="103" t="str">
        <f aca="false">IF($C690="","",$D690*$E690)</f>
        <v/>
      </c>
      <c r="G690" s="103" t="str">
        <f aca="false">IF($C690="","",$D690*IFERROR(INDEX('تحليل التكلفة والسعر'!$C$2:$C$700,MATCH($C690,'تحليل التكلفة والسعر'!$B$2:$B$700,0)),0))</f>
        <v/>
      </c>
    </row>
    <row r="691" customFormat="false" ht="15" hidden="false" customHeight="false" outlineLevel="0" collapsed="false">
      <c r="A691" s="102"/>
      <c r="E691" s="103" t="str">
        <f aca="false">IF($C691="","",IFERROR(INDEX(المنيو!$C$2:$C$500,MATCH($C691,المنيو!$B$2:$B$500,0)),0))</f>
        <v/>
      </c>
      <c r="F691" s="103" t="str">
        <f aca="false">IF($C691="","",$D691*$E691)</f>
        <v/>
      </c>
      <c r="G691" s="103" t="str">
        <f aca="false">IF($C691="","",$D691*IFERROR(INDEX('تحليل التكلفة والسعر'!$C$2:$C$700,MATCH($C691,'تحليل التكلفة والسعر'!$B$2:$B$700,0)),0))</f>
        <v/>
      </c>
    </row>
    <row r="692" customFormat="false" ht="15" hidden="false" customHeight="false" outlineLevel="0" collapsed="false">
      <c r="A692" s="102"/>
      <c r="E692" s="103" t="str">
        <f aca="false">IF($C692="","",IFERROR(INDEX(المنيو!$C$2:$C$500,MATCH($C692,المنيو!$B$2:$B$500,0)),0))</f>
        <v/>
      </c>
      <c r="F692" s="103" t="str">
        <f aca="false">IF($C692="","",$D692*$E692)</f>
        <v/>
      </c>
      <c r="G692" s="103" t="str">
        <f aca="false">IF($C692="","",$D692*IFERROR(INDEX('تحليل التكلفة والسعر'!$C$2:$C$700,MATCH($C692,'تحليل التكلفة والسعر'!$B$2:$B$700,0)),0))</f>
        <v/>
      </c>
    </row>
    <row r="693" customFormat="false" ht="15" hidden="false" customHeight="false" outlineLevel="0" collapsed="false">
      <c r="A693" s="102"/>
      <c r="E693" s="103" t="str">
        <f aca="false">IF($C693="","",IFERROR(INDEX(المنيو!$C$2:$C$500,MATCH($C693,المنيو!$B$2:$B$500,0)),0))</f>
        <v/>
      </c>
      <c r="F693" s="103" t="str">
        <f aca="false">IF($C693="","",$D693*$E693)</f>
        <v/>
      </c>
      <c r="G693" s="103" t="str">
        <f aca="false">IF($C693="","",$D693*IFERROR(INDEX('تحليل التكلفة والسعر'!$C$2:$C$700,MATCH($C693,'تحليل التكلفة والسعر'!$B$2:$B$700,0)),0))</f>
        <v/>
      </c>
    </row>
    <row r="694" customFormat="false" ht="15" hidden="false" customHeight="false" outlineLevel="0" collapsed="false">
      <c r="A694" s="102"/>
      <c r="E694" s="103" t="str">
        <f aca="false">IF($C694="","",IFERROR(INDEX(المنيو!$C$2:$C$500,MATCH($C694,المنيو!$B$2:$B$500,0)),0))</f>
        <v/>
      </c>
      <c r="F694" s="103" t="str">
        <f aca="false">IF($C694="","",$D694*$E694)</f>
        <v/>
      </c>
      <c r="G694" s="103" t="str">
        <f aca="false">IF($C694="","",$D694*IFERROR(INDEX('تحليل التكلفة والسعر'!$C$2:$C$700,MATCH($C694,'تحليل التكلفة والسعر'!$B$2:$B$700,0)),0))</f>
        <v/>
      </c>
    </row>
    <row r="695" customFormat="false" ht="15" hidden="false" customHeight="false" outlineLevel="0" collapsed="false">
      <c r="A695" s="102"/>
      <c r="E695" s="103" t="str">
        <f aca="false">IF($C695="","",IFERROR(INDEX(المنيو!$C$2:$C$500,MATCH($C695,المنيو!$B$2:$B$500,0)),0))</f>
        <v/>
      </c>
      <c r="F695" s="103" t="str">
        <f aca="false">IF($C695="","",$D695*$E695)</f>
        <v/>
      </c>
      <c r="G695" s="103" t="str">
        <f aca="false">IF($C695="","",$D695*IFERROR(INDEX('تحليل التكلفة والسعر'!$C$2:$C$700,MATCH($C695,'تحليل التكلفة والسعر'!$B$2:$B$700,0)),0))</f>
        <v/>
      </c>
    </row>
    <row r="696" customFormat="false" ht="15" hidden="false" customHeight="false" outlineLevel="0" collapsed="false">
      <c r="A696" s="102"/>
      <c r="E696" s="103" t="str">
        <f aca="false">IF($C696="","",IFERROR(INDEX(المنيو!$C$2:$C$500,MATCH($C696,المنيو!$B$2:$B$500,0)),0))</f>
        <v/>
      </c>
      <c r="F696" s="103" t="str">
        <f aca="false">IF($C696="","",$D696*$E696)</f>
        <v/>
      </c>
      <c r="G696" s="103" t="str">
        <f aca="false">IF($C696="","",$D696*IFERROR(INDEX('تحليل التكلفة والسعر'!$C$2:$C$700,MATCH($C696,'تحليل التكلفة والسعر'!$B$2:$B$700,0)),0))</f>
        <v/>
      </c>
    </row>
    <row r="697" customFormat="false" ht="15" hidden="false" customHeight="false" outlineLevel="0" collapsed="false">
      <c r="A697" s="102"/>
      <c r="E697" s="103" t="str">
        <f aca="false">IF($C697="","",IFERROR(INDEX(المنيو!$C$2:$C$500,MATCH($C697,المنيو!$B$2:$B$500,0)),0))</f>
        <v/>
      </c>
      <c r="F697" s="103" t="str">
        <f aca="false">IF($C697="","",$D697*$E697)</f>
        <v/>
      </c>
      <c r="G697" s="103" t="str">
        <f aca="false">IF($C697="","",$D697*IFERROR(INDEX('تحليل التكلفة والسعر'!$C$2:$C$700,MATCH($C697,'تحليل التكلفة والسعر'!$B$2:$B$700,0)),0))</f>
        <v/>
      </c>
    </row>
    <row r="698" customFormat="false" ht="15" hidden="false" customHeight="false" outlineLevel="0" collapsed="false">
      <c r="A698" s="102"/>
      <c r="E698" s="103" t="str">
        <f aca="false">IF($C698="","",IFERROR(INDEX(المنيو!$C$2:$C$500,MATCH($C698,المنيو!$B$2:$B$500,0)),0))</f>
        <v/>
      </c>
      <c r="F698" s="103" t="str">
        <f aca="false">IF($C698="","",$D698*$E698)</f>
        <v/>
      </c>
      <c r="G698" s="103" t="str">
        <f aca="false">IF($C698="","",$D698*IFERROR(INDEX('تحليل التكلفة والسعر'!$C$2:$C$700,MATCH($C698,'تحليل التكلفة والسعر'!$B$2:$B$700,0)),0))</f>
        <v/>
      </c>
    </row>
    <row r="699" customFormat="false" ht="15" hidden="false" customHeight="false" outlineLevel="0" collapsed="false">
      <c r="A699" s="102"/>
      <c r="E699" s="103" t="str">
        <f aca="false">IF($C699="","",IFERROR(INDEX(المنيو!$C$2:$C$500,MATCH($C699,المنيو!$B$2:$B$500,0)),0))</f>
        <v/>
      </c>
      <c r="F699" s="103" t="str">
        <f aca="false">IF($C699="","",$D699*$E699)</f>
        <v/>
      </c>
      <c r="G699" s="103" t="str">
        <f aca="false">IF($C699="","",$D699*IFERROR(INDEX('تحليل التكلفة والسعر'!$C$2:$C$700,MATCH($C699,'تحليل التكلفة والسعر'!$B$2:$B$700,0)),0))</f>
        <v/>
      </c>
    </row>
    <row r="700" customFormat="false" ht="15" hidden="false" customHeight="false" outlineLevel="0" collapsed="false">
      <c r="A700" s="102"/>
      <c r="E700" s="103" t="str">
        <f aca="false">IF($C700="","",IFERROR(INDEX(المنيو!$C$2:$C$500,MATCH($C700,المنيو!$B$2:$B$500,0)),0))</f>
        <v/>
      </c>
      <c r="F700" s="103" t="str">
        <f aca="false">IF($C700="","",$D700*$E700)</f>
        <v/>
      </c>
      <c r="G700" s="103" t="str">
        <f aca="false">IF($C700="","",$D700*IFERROR(INDEX('تحليل التكلفة والسعر'!$C$2:$C$700,MATCH($C700,'تحليل التكلفة والسعر'!$B$2:$B$700,0)),0))</f>
        <v/>
      </c>
    </row>
    <row r="701" customFormat="false" ht="15" hidden="false" customHeight="false" outlineLevel="0" collapsed="false">
      <c r="A701" s="102"/>
      <c r="E701" s="103" t="str">
        <f aca="false">IF($C701="","",IFERROR(INDEX(المنيو!$C$2:$C$500,MATCH($C701,المنيو!$B$2:$B$500,0)),0))</f>
        <v/>
      </c>
      <c r="F701" s="103" t="str">
        <f aca="false">IF($C701="","",$D701*$E701)</f>
        <v/>
      </c>
      <c r="G701" s="103" t="str">
        <f aca="false">IF($C701="","",$D701*IFERROR(INDEX('تحليل التكلفة والسعر'!$C$2:$C$700,MATCH($C701,'تحليل التكلفة والسعر'!$B$2:$B$700,0)),0))</f>
        <v/>
      </c>
    </row>
    <row r="702" customFormat="false" ht="15" hidden="false" customHeight="false" outlineLevel="0" collapsed="false">
      <c r="A702" s="102"/>
      <c r="E702" s="103" t="str">
        <f aca="false">IF($C702="","",IFERROR(INDEX(المنيو!$C$2:$C$500,MATCH($C702,المنيو!$B$2:$B$500,0)),0))</f>
        <v/>
      </c>
      <c r="F702" s="103" t="str">
        <f aca="false">IF($C702="","",$D702*$E702)</f>
        <v/>
      </c>
      <c r="G702" s="103" t="str">
        <f aca="false">IF($C702="","",$D702*IFERROR(INDEX('تحليل التكلفة والسعر'!$C$2:$C$700,MATCH($C702,'تحليل التكلفة والسعر'!$B$2:$B$700,0)),0))</f>
        <v/>
      </c>
    </row>
    <row r="703" customFormat="false" ht="15" hidden="false" customHeight="false" outlineLevel="0" collapsed="false">
      <c r="A703" s="102"/>
      <c r="E703" s="103" t="str">
        <f aca="false">IF($C703="","",IFERROR(INDEX(المنيو!$C$2:$C$500,MATCH($C703,المنيو!$B$2:$B$500,0)),0))</f>
        <v/>
      </c>
      <c r="F703" s="103" t="str">
        <f aca="false">IF($C703="","",$D703*$E703)</f>
        <v/>
      </c>
      <c r="G703" s="103" t="str">
        <f aca="false">IF($C703="","",$D703*IFERROR(INDEX('تحليل التكلفة والسعر'!$C$2:$C$700,MATCH($C703,'تحليل التكلفة والسعر'!$B$2:$B$700,0)),0))</f>
        <v/>
      </c>
    </row>
    <row r="704" customFormat="false" ht="15" hidden="false" customHeight="false" outlineLevel="0" collapsed="false">
      <c r="A704" s="102"/>
      <c r="E704" s="103" t="str">
        <f aca="false">IF($C704="","",IFERROR(INDEX(المنيو!$C$2:$C$500,MATCH($C704,المنيو!$B$2:$B$500,0)),0))</f>
        <v/>
      </c>
      <c r="F704" s="103" t="str">
        <f aca="false">IF($C704="","",$D704*$E704)</f>
        <v/>
      </c>
      <c r="G704" s="103" t="str">
        <f aca="false">IF($C704="","",$D704*IFERROR(INDEX('تحليل التكلفة والسعر'!$C$2:$C$700,MATCH($C704,'تحليل التكلفة والسعر'!$B$2:$B$700,0)),0))</f>
        <v/>
      </c>
    </row>
    <row r="705" customFormat="false" ht="15" hidden="false" customHeight="false" outlineLevel="0" collapsed="false">
      <c r="A705" s="102"/>
      <c r="E705" s="103" t="str">
        <f aca="false">IF($C705="","",IFERROR(INDEX(المنيو!$C$2:$C$500,MATCH($C705,المنيو!$B$2:$B$500,0)),0))</f>
        <v/>
      </c>
      <c r="F705" s="103" t="str">
        <f aca="false">IF($C705="","",$D705*$E705)</f>
        <v/>
      </c>
      <c r="G705" s="103" t="str">
        <f aca="false">IF($C705="","",$D705*IFERROR(INDEX('تحليل التكلفة والسعر'!$C$2:$C$700,MATCH($C705,'تحليل التكلفة والسعر'!$B$2:$B$700,0)),0))</f>
        <v/>
      </c>
    </row>
    <row r="706" customFormat="false" ht="15" hidden="false" customHeight="false" outlineLevel="0" collapsed="false">
      <c r="A706" s="102"/>
      <c r="E706" s="103" t="str">
        <f aca="false">IF($C706="","",IFERROR(INDEX(المنيو!$C$2:$C$500,MATCH($C706,المنيو!$B$2:$B$500,0)),0))</f>
        <v/>
      </c>
      <c r="F706" s="103" t="str">
        <f aca="false">IF($C706="","",$D706*$E706)</f>
        <v/>
      </c>
      <c r="G706" s="103" t="str">
        <f aca="false">IF($C706="","",$D706*IFERROR(INDEX('تحليل التكلفة والسعر'!$C$2:$C$700,MATCH($C706,'تحليل التكلفة والسعر'!$B$2:$B$700,0)),0))</f>
        <v/>
      </c>
    </row>
    <row r="707" customFormat="false" ht="15" hidden="false" customHeight="false" outlineLevel="0" collapsed="false">
      <c r="A707" s="102"/>
      <c r="E707" s="103" t="str">
        <f aca="false">IF($C707="","",IFERROR(INDEX(المنيو!$C$2:$C$500,MATCH($C707,المنيو!$B$2:$B$500,0)),0))</f>
        <v/>
      </c>
      <c r="F707" s="103" t="str">
        <f aca="false">IF($C707="","",$D707*$E707)</f>
        <v/>
      </c>
      <c r="G707" s="103" t="str">
        <f aca="false">IF($C707="","",$D707*IFERROR(INDEX('تحليل التكلفة والسعر'!$C$2:$C$700,MATCH($C707,'تحليل التكلفة والسعر'!$B$2:$B$700,0)),0))</f>
        <v/>
      </c>
    </row>
    <row r="708" customFormat="false" ht="15" hidden="false" customHeight="false" outlineLevel="0" collapsed="false">
      <c r="A708" s="102"/>
      <c r="E708" s="103" t="str">
        <f aca="false">IF($C708="","",IFERROR(INDEX(المنيو!$C$2:$C$500,MATCH($C708,المنيو!$B$2:$B$500,0)),0))</f>
        <v/>
      </c>
      <c r="F708" s="103" t="str">
        <f aca="false">IF($C708="","",$D708*$E708)</f>
        <v/>
      </c>
      <c r="G708" s="103" t="str">
        <f aca="false">IF($C708="","",$D708*IFERROR(INDEX('تحليل التكلفة والسعر'!$C$2:$C$700,MATCH($C708,'تحليل التكلفة والسعر'!$B$2:$B$700,0)),0))</f>
        <v/>
      </c>
    </row>
    <row r="709" customFormat="false" ht="15" hidden="false" customHeight="false" outlineLevel="0" collapsed="false">
      <c r="A709" s="102"/>
      <c r="E709" s="103" t="str">
        <f aca="false">IF($C709="","",IFERROR(INDEX(المنيو!$C$2:$C$500,MATCH($C709,المنيو!$B$2:$B$500,0)),0))</f>
        <v/>
      </c>
      <c r="F709" s="103" t="str">
        <f aca="false">IF($C709="","",$D709*$E709)</f>
        <v/>
      </c>
      <c r="G709" s="103" t="str">
        <f aca="false">IF($C709="","",$D709*IFERROR(INDEX('تحليل التكلفة والسعر'!$C$2:$C$700,MATCH($C709,'تحليل التكلفة والسعر'!$B$2:$B$700,0)),0))</f>
        <v/>
      </c>
    </row>
    <row r="710" customFormat="false" ht="15" hidden="false" customHeight="false" outlineLevel="0" collapsed="false">
      <c r="A710" s="102"/>
      <c r="E710" s="103" t="str">
        <f aca="false">IF($C710="","",IFERROR(INDEX(المنيو!$C$2:$C$500,MATCH($C710,المنيو!$B$2:$B$500,0)),0))</f>
        <v/>
      </c>
      <c r="F710" s="103" t="str">
        <f aca="false">IF($C710="","",$D710*$E710)</f>
        <v/>
      </c>
      <c r="G710" s="103" t="str">
        <f aca="false">IF($C710="","",$D710*IFERROR(INDEX('تحليل التكلفة والسعر'!$C$2:$C$700,MATCH($C710,'تحليل التكلفة والسعر'!$B$2:$B$700,0)),0))</f>
        <v/>
      </c>
    </row>
    <row r="711" customFormat="false" ht="15" hidden="false" customHeight="false" outlineLevel="0" collapsed="false">
      <c r="A711" s="102"/>
      <c r="E711" s="103" t="str">
        <f aca="false">IF($C711="","",IFERROR(INDEX(المنيو!$C$2:$C$500,MATCH($C711,المنيو!$B$2:$B$500,0)),0))</f>
        <v/>
      </c>
      <c r="F711" s="103" t="str">
        <f aca="false">IF($C711="","",$D711*$E711)</f>
        <v/>
      </c>
      <c r="G711" s="103" t="str">
        <f aca="false">IF($C711="","",$D711*IFERROR(INDEX('تحليل التكلفة والسعر'!$C$2:$C$700,MATCH($C711,'تحليل التكلفة والسعر'!$B$2:$B$700,0)),0))</f>
        <v/>
      </c>
    </row>
    <row r="712" customFormat="false" ht="15" hidden="false" customHeight="false" outlineLevel="0" collapsed="false">
      <c r="A712" s="102"/>
      <c r="E712" s="103" t="str">
        <f aca="false">IF($C712="","",IFERROR(INDEX(المنيو!$C$2:$C$500,MATCH($C712,المنيو!$B$2:$B$500,0)),0))</f>
        <v/>
      </c>
      <c r="F712" s="103" t="str">
        <f aca="false">IF($C712="","",$D712*$E712)</f>
        <v/>
      </c>
      <c r="G712" s="103" t="str">
        <f aca="false">IF($C712="","",$D712*IFERROR(INDEX('تحليل التكلفة والسعر'!$C$2:$C$700,MATCH($C712,'تحليل التكلفة والسعر'!$B$2:$B$700,0)),0))</f>
        <v/>
      </c>
    </row>
    <row r="713" customFormat="false" ht="15" hidden="false" customHeight="false" outlineLevel="0" collapsed="false">
      <c r="A713" s="102"/>
      <c r="E713" s="103" t="str">
        <f aca="false">IF($C713="","",IFERROR(INDEX(المنيو!$C$2:$C$500,MATCH($C713,المنيو!$B$2:$B$500,0)),0))</f>
        <v/>
      </c>
      <c r="F713" s="103" t="str">
        <f aca="false">IF($C713="","",$D713*$E713)</f>
        <v/>
      </c>
      <c r="G713" s="103" t="str">
        <f aca="false">IF($C713="","",$D713*IFERROR(INDEX('تحليل التكلفة والسعر'!$C$2:$C$700,MATCH($C713,'تحليل التكلفة والسعر'!$B$2:$B$700,0)),0))</f>
        <v/>
      </c>
    </row>
    <row r="714" customFormat="false" ht="15" hidden="false" customHeight="false" outlineLevel="0" collapsed="false">
      <c r="A714" s="102"/>
      <c r="E714" s="103" t="str">
        <f aca="false">IF($C714="","",IFERROR(INDEX(المنيو!$C$2:$C$500,MATCH($C714,المنيو!$B$2:$B$500,0)),0))</f>
        <v/>
      </c>
      <c r="F714" s="103" t="str">
        <f aca="false">IF($C714="","",$D714*$E714)</f>
        <v/>
      </c>
      <c r="G714" s="103" t="str">
        <f aca="false">IF($C714="","",$D714*IFERROR(INDEX('تحليل التكلفة والسعر'!$C$2:$C$700,MATCH($C714,'تحليل التكلفة والسعر'!$B$2:$B$700,0)),0))</f>
        <v/>
      </c>
    </row>
    <row r="715" customFormat="false" ht="15" hidden="false" customHeight="false" outlineLevel="0" collapsed="false">
      <c r="A715" s="102"/>
      <c r="E715" s="103" t="str">
        <f aca="false">IF($C715="","",IFERROR(INDEX(المنيو!$C$2:$C$500,MATCH($C715,المنيو!$B$2:$B$500,0)),0))</f>
        <v/>
      </c>
      <c r="F715" s="103" t="str">
        <f aca="false">IF($C715="","",$D715*$E715)</f>
        <v/>
      </c>
      <c r="G715" s="103" t="str">
        <f aca="false">IF($C715="","",$D715*IFERROR(INDEX('تحليل التكلفة والسعر'!$C$2:$C$700,MATCH($C715,'تحليل التكلفة والسعر'!$B$2:$B$700,0)),0))</f>
        <v/>
      </c>
    </row>
    <row r="716" customFormat="false" ht="15" hidden="false" customHeight="false" outlineLevel="0" collapsed="false">
      <c r="A716" s="102"/>
      <c r="E716" s="103" t="str">
        <f aca="false">IF($C716="","",IFERROR(INDEX(المنيو!$C$2:$C$500,MATCH($C716,المنيو!$B$2:$B$500,0)),0))</f>
        <v/>
      </c>
      <c r="F716" s="103" t="str">
        <f aca="false">IF($C716="","",$D716*$E716)</f>
        <v/>
      </c>
      <c r="G716" s="103" t="str">
        <f aca="false">IF($C716="","",$D716*IFERROR(INDEX('تحليل التكلفة والسعر'!$C$2:$C$700,MATCH($C716,'تحليل التكلفة والسعر'!$B$2:$B$700,0)),0))</f>
        <v/>
      </c>
    </row>
    <row r="717" customFormat="false" ht="15" hidden="false" customHeight="false" outlineLevel="0" collapsed="false">
      <c r="A717" s="102"/>
      <c r="E717" s="103" t="str">
        <f aca="false">IF($C717="","",IFERROR(INDEX(المنيو!$C$2:$C$500,MATCH($C717,المنيو!$B$2:$B$500,0)),0))</f>
        <v/>
      </c>
      <c r="F717" s="103" t="str">
        <f aca="false">IF($C717="","",$D717*$E717)</f>
        <v/>
      </c>
      <c r="G717" s="103" t="str">
        <f aca="false">IF($C717="","",$D717*IFERROR(INDEX('تحليل التكلفة والسعر'!$C$2:$C$700,MATCH($C717,'تحليل التكلفة والسعر'!$B$2:$B$700,0)),0))</f>
        <v/>
      </c>
    </row>
    <row r="718" customFormat="false" ht="15" hidden="false" customHeight="false" outlineLevel="0" collapsed="false">
      <c r="A718" s="102"/>
      <c r="E718" s="103" t="str">
        <f aca="false">IF($C718="","",IFERROR(INDEX(المنيو!$C$2:$C$500,MATCH($C718,المنيو!$B$2:$B$500,0)),0))</f>
        <v/>
      </c>
      <c r="F718" s="103" t="str">
        <f aca="false">IF($C718="","",$D718*$E718)</f>
        <v/>
      </c>
      <c r="G718" s="103" t="str">
        <f aca="false">IF($C718="","",$D718*IFERROR(INDEX('تحليل التكلفة والسعر'!$C$2:$C$700,MATCH($C718,'تحليل التكلفة والسعر'!$B$2:$B$700,0)),0))</f>
        <v/>
      </c>
    </row>
    <row r="719" customFormat="false" ht="15" hidden="false" customHeight="false" outlineLevel="0" collapsed="false">
      <c r="A719" s="102"/>
      <c r="E719" s="103" t="str">
        <f aca="false">IF($C719="","",IFERROR(INDEX(المنيو!$C$2:$C$500,MATCH($C719,المنيو!$B$2:$B$500,0)),0))</f>
        <v/>
      </c>
      <c r="F719" s="103" t="str">
        <f aca="false">IF($C719="","",$D719*$E719)</f>
        <v/>
      </c>
      <c r="G719" s="103" t="str">
        <f aca="false">IF($C719="","",$D719*IFERROR(INDEX('تحليل التكلفة والسعر'!$C$2:$C$700,MATCH($C719,'تحليل التكلفة والسعر'!$B$2:$B$700,0)),0))</f>
        <v/>
      </c>
    </row>
    <row r="720" customFormat="false" ht="15" hidden="false" customHeight="false" outlineLevel="0" collapsed="false">
      <c r="A720" s="102"/>
      <c r="E720" s="103" t="str">
        <f aca="false">IF($C720="","",IFERROR(INDEX(المنيو!$C$2:$C$500,MATCH($C720,المنيو!$B$2:$B$500,0)),0))</f>
        <v/>
      </c>
      <c r="F720" s="103" t="str">
        <f aca="false">IF($C720="","",$D720*$E720)</f>
        <v/>
      </c>
      <c r="G720" s="103" t="str">
        <f aca="false">IF($C720="","",$D720*IFERROR(INDEX('تحليل التكلفة والسعر'!$C$2:$C$700,MATCH($C720,'تحليل التكلفة والسعر'!$B$2:$B$700,0)),0))</f>
        <v/>
      </c>
    </row>
    <row r="721" customFormat="false" ht="15" hidden="false" customHeight="false" outlineLevel="0" collapsed="false">
      <c r="A721" s="102"/>
      <c r="E721" s="103" t="str">
        <f aca="false">IF($C721="","",IFERROR(INDEX(المنيو!$C$2:$C$500,MATCH($C721,المنيو!$B$2:$B$500,0)),0))</f>
        <v/>
      </c>
      <c r="F721" s="103" t="str">
        <f aca="false">IF($C721="","",$D721*$E721)</f>
        <v/>
      </c>
      <c r="G721" s="103" t="str">
        <f aca="false">IF($C721="","",$D721*IFERROR(INDEX('تحليل التكلفة والسعر'!$C$2:$C$700,MATCH($C721,'تحليل التكلفة والسعر'!$B$2:$B$700,0)),0))</f>
        <v/>
      </c>
    </row>
    <row r="722" customFormat="false" ht="15" hidden="false" customHeight="false" outlineLevel="0" collapsed="false">
      <c r="A722" s="102"/>
      <c r="E722" s="103" t="str">
        <f aca="false">IF($C722="","",IFERROR(INDEX(المنيو!$C$2:$C$500,MATCH($C722,المنيو!$B$2:$B$500,0)),0))</f>
        <v/>
      </c>
      <c r="F722" s="103" t="str">
        <f aca="false">IF($C722="","",$D722*$E722)</f>
        <v/>
      </c>
      <c r="G722" s="103" t="str">
        <f aca="false">IF($C722="","",$D722*IFERROR(INDEX('تحليل التكلفة والسعر'!$C$2:$C$700,MATCH($C722,'تحليل التكلفة والسعر'!$B$2:$B$700,0)),0))</f>
        <v/>
      </c>
    </row>
    <row r="723" customFormat="false" ht="15" hidden="false" customHeight="false" outlineLevel="0" collapsed="false">
      <c r="A723" s="102"/>
      <c r="E723" s="103" t="str">
        <f aca="false">IF($C723="","",IFERROR(INDEX(المنيو!$C$2:$C$500,MATCH($C723,المنيو!$B$2:$B$500,0)),0))</f>
        <v/>
      </c>
      <c r="F723" s="103" t="str">
        <f aca="false">IF($C723="","",$D723*$E723)</f>
        <v/>
      </c>
      <c r="G723" s="103" t="str">
        <f aca="false">IF($C723="","",$D723*IFERROR(INDEX('تحليل التكلفة والسعر'!$C$2:$C$700,MATCH($C723,'تحليل التكلفة والسعر'!$B$2:$B$700,0)),0))</f>
        <v/>
      </c>
    </row>
    <row r="724" customFormat="false" ht="15" hidden="false" customHeight="false" outlineLevel="0" collapsed="false">
      <c r="A724" s="102"/>
      <c r="E724" s="103" t="str">
        <f aca="false">IF($C724="","",IFERROR(INDEX(المنيو!$C$2:$C$500,MATCH($C724,المنيو!$B$2:$B$500,0)),0))</f>
        <v/>
      </c>
      <c r="F724" s="103" t="str">
        <f aca="false">IF($C724="","",$D724*$E724)</f>
        <v/>
      </c>
      <c r="G724" s="103" t="str">
        <f aca="false">IF($C724="","",$D724*IFERROR(INDEX('تحليل التكلفة والسعر'!$C$2:$C$700,MATCH($C724,'تحليل التكلفة والسعر'!$B$2:$B$700,0)),0))</f>
        <v/>
      </c>
    </row>
    <row r="725" customFormat="false" ht="15" hidden="false" customHeight="false" outlineLevel="0" collapsed="false">
      <c r="A725" s="102"/>
      <c r="E725" s="103" t="str">
        <f aca="false">IF($C725="","",IFERROR(INDEX(المنيو!$C$2:$C$500,MATCH($C725,المنيو!$B$2:$B$500,0)),0))</f>
        <v/>
      </c>
      <c r="F725" s="103" t="str">
        <f aca="false">IF($C725="","",$D725*$E725)</f>
        <v/>
      </c>
      <c r="G725" s="103" t="str">
        <f aca="false">IF($C725="","",$D725*IFERROR(INDEX('تحليل التكلفة والسعر'!$C$2:$C$700,MATCH($C725,'تحليل التكلفة والسعر'!$B$2:$B$700,0)),0))</f>
        <v/>
      </c>
    </row>
    <row r="726" customFormat="false" ht="15" hidden="false" customHeight="false" outlineLevel="0" collapsed="false">
      <c r="A726" s="102"/>
      <c r="E726" s="103" t="str">
        <f aca="false">IF($C726="","",IFERROR(INDEX(المنيو!$C$2:$C$500,MATCH($C726,المنيو!$B$2:$B$500,0)),0))</f>
        <v/>
      </c>
      <c r="F726" s="103" t="str">
        <f aca="false">IF($C726="","",$D726*$E726)</f>
        <v/>
      </c>
      <c r="G726" s="103" t="str">
        <f aca="false">IF($C726="","",$D726*IFERROR(INDEX('تحليل التكلفة والسعر'!$C$2:$C$700,MATCH($C726,'تحليل التكلفة والسعر'!$B$2:$B$700,0)),0))</f>
        <v/>
      </c>
    </row>
    <row r="727" customFormat="false" ht="15" hidden="false" customHeight="false" outlineLevel="0" collapsed="false">
      <c r="A727" s="102"/>
      <c r="E727" s="103" t="str">
        <f aca="false">IF($C727="","",IFERROR(INDEX(المنيو!$C$2:$C$500,MATCH($C727,المنيو!$B$2:$B$500,0)),0))</f>
        <v/>
      </c>
      <c r="F727" s="103" t="str">
        <f aca="false">IF($C727="","",$D727*$E727)</f>
        <v/>
      </c>
      <c r="G727" s="103" t="str">
        <f aca="false">IF($C727="","",$D727*IFERROR(INDEX('تحليل التكلفة والسعر'!$C$2:$C$700,MATCH($C727,'تحليل التكلفة والسعر'!$B$2:$B$700,0)),0))</f>
        <v/>
      </c>
    </row>
    <row r="728" customFormat="false" ht="15" hidden="false" customHeight="false" outlineLevel="0" collapsed="false">
      <c r="A728" s="102"/>
      <c r="E728" s="103" t="str">
        <f aca="false">IF($C728="","",IFERROR(INDEX(المنيو!$C$2:$C$500,MATCH($C728,المنيو!$B$2:$B$500,0)),0))</f>
        <v/>
      </c>
      <c r="F728" s="103" t="str">
        <f aca="false">IF($C728="","",$D728*$E728)</f>
        <v/>
      </c>
      <c r="G728" s="103" t="str">
        <f aca="false">IF($C728="","",$D728*IFERROR(INDEX('تحليل التكلفة والسعر'!$C$2:$C$700,MATCH($C728,'تحليل التكلفة والسعر'!$B$2:$B$700,0)),0))</f>
        <v/>
      </c>
    </row>
    <row r="729" customFormat="false" ht="15" hidden="false" customHeight="false" outlineLevel="0" collapsed="false">
      <c r="A729" s="102"/>
      <c r="E729" s="103" t="str">
        <f aca="false">IF($C729="","",IFERROR(INDEX(المنيو!$C$2:$C$500,MATCH($C729,المنيو!$B$2:$B$500,0)),0))</f>
        <v/>
      </c>
      <c r="F729" s="103" t="str">
        <f aca="false">IF($C729="","",$D729*$E729)</f>
        <v/>
      </c>
      <c r="G729" s="103" t="str">
        <f aca="false">IF($C729="","",$D729*IFERROR(INDEX('تحليل التكلفة والسعر'!$C$2:$C$700,MATCH($C729,'تحليل التكلفة والسعر'!$B$2:$B$700,0)),0))</f>
        <v/>
      </c>
    </row>
    <row r="730" customFormat="false" ht="15" hidden="false" customHeight="false" outlineLevel="0" collapsed="false">
      <c r="A730" s="102"/>
      <c r="E730" s="103" t="str">
        <f aca="false">IF($C730="","",IFERROR(INDEX(المنيو!$C$2:$C$500,MATCH($C730,المنيو!$B$2:$B$500,0)),0))</f>
        <v/>
      </c>
      <c r="F730" s="103" t="str">
        <f aca="false">IF($C730="","",$D730*$E730)</f>
        <v/>
      </c>
      <c r="G730" s="103" t="str">
        <f aca="false">IF($C730="","",$D730*IFERROR(INDEX('تحليل التكلفة والسعر'!$C$2:$C$700,MATCH($C730,'تحليل التكلفة والسعر'!$B$2:$B$700,0)),0))</f>
        <v/>
      </c>
    </row>
    <row r="731" customFormat="false" ht="15" hidden="false" customHeight="false" outlineLevel="0" collapsed="false">
      <c r="A731" s="102"/>
      <c r="E731" s="103" t="str">
        <f aca="false">IF($C731="","",IFERROR(INDEX(المنيو!$C$2:$C$500,MATCH($C731,المنيو!$B$2:$B$500,0)),0))</f>
        <v/>
      </c>
      <c r="F731" s="103" t="str">
        <f aca="false">IF($C731="","",$D731*$E731)</f>
        <v/>
      </c>
      <c r="G731" s="103" t="str">
        <f aca="false">IF($C731="","",$D731*IFERROR(INDEX('تحليل التكلفة والسعر'!$C$2:$C$700,MATCH($C731,'تحليل التكلفة والسعر'!$B$2:$B$700,0)),0))</f>
        <v/>
      </c>
    </row>
    <row r="732" customFormat="false" ht="15" hidden="false" customHeight="false" outlineLevel="0" collapsed="false">
      <c r="A732" s="102"/>
      <c r="E732" s="103" t="str">
        <f aca="false">IF($C732="","",IFERROR(INDEX(المنيو!$C$2:$C$500,MATCH($C732,المنيو!$B$2:$B$500,0)),0))</f>
        <v/>
      </c>
      <c r="F732" s="103" t="str">
        <f aca="false">IF($C732="","",$D732*$E732)</f>
        <v/>
      </c>
      <c r="G732" s="103" t="str">
        <f aca="false">IF($C732="","",$D732*IFERROR(INDEX('تحليل التكلفة والسعر'!$C$2:$C$700,MATCH($C732,'تحليل التكلفة والسعر'!$B$2:$B$700,0)),0))</f>
        <v/>
      </c>
    </row>
    <row r="733" customFormat="false" ht="15" hidden="false" customHeight="false" outlineLevel="0" collapsed="false">
      <c r="A733" s="102"/>
      <c r="E733" s="103" t="str">
        <f aca="false">IF($C733="","",IFERROR(INDEX(المنيو!$C$2:$C$500,MATCH($C733,المنيو!$B$2:$B$500,0)),0))</f>
        <v/>
      </c>
      <c r="F733" s="103" t="str">
        <f aca="false">IF($C733="","",$D733*$E733)</f>
        <v/>
      </c>
      <c r="G733" s="103" t="str">
        <f aca="false">IF($C733="","",$D733*IFERROR(INDEX('تحليل التكلفة والسعر'!$C$2:$C$700,MATCH($C733,'تحليل التكلفة والسعر'!$B$2:$B$700,0)),0))</f>
        <v/>
      </c>
    </row>
    <row r="734" customFormat="false" ht="15" hidden="false" customHeight="false" outlineLevel="0" collapsed="false">
      <c r="A734" s="102"/>
      <c r="E734" s="103" t="str">
        <f aca="false">IF($C734="","",IFERROR(INDEX(المنيو!$C$2:$C$500,MATCH($C734,المنيو!$B$2:$B$500,0)),0))</f>
        <v/>
      </c>
      <c r="F734" s="103" t="str">
        <f aca="false">IF($C734="","",$D734*$E734)</f>
        <v/>
      </c>
      <c r="G734" s="103" t="str">
        <f aca="false">IF($C734="","",$D734*IFERROR(INDEX('تحليل التكلفة والسعر'!$C$2:$C$700,MATCH($C734,'تحليل التكلفة والسعر'!$B$2:$B$700,0)),0))</f>
        <v/>
      </c>
    </row>
    <row r="735" customFormat="false" ht="15" hidden="false" customHeight="false" outlineLevel="0" collapsed="false">
      <c r="A735" s="102"/>
      <c r="E735" s="103" t="str">
        <f aca="false">IF($C735="","",IFERROR(INDEX(المنيو!$C$2:$C$500,MATCH($C735,المنيو!$B$2:$B$500,0)),0))</f>
        <v/>
      </c>
      <c r="F735" s="103" t="str">
        <f aca="false">IF($C735="","",$D735*$E735)</f>
        <v/>
      </c>
      <c r="G735" s="103" t="str">
        <f aca="false">IF($C735="","",$D735*IFERROR(INDEX('تحليل التكلفة والسعر'!$C$2:$C$700,MATCH($C735,'تحليل التكلفة والسعر'!$B$2:$B$700,0)),0))</f>
        <v/>
      </c>
    </row>
    <row r="736" customFormat="false" ht="15" hidden="false" customHeight="false" outlineLevel="0" collapsed="false">
      <c r="A736" s="102"/>
      <c r="E736" s="103" t="str">
        <f aca="false">IF($C736="","",IFERROR(INDEX(المنيو!$C$2:$C$500,MATCH($C736,المنيو!$B$2:$B$500,0)),0))</f>
        <v/>
      </c>
      <c r="F736" s="103" t="str">
        <f aca="false">IF($C736="","",$D736*$E736)</f>
        <v/>
      </c>
      <c r="G736" s="103" t="str">
        <f aca="false">IF($C736="","",$D736*IFERROR(INDEX('تحليل التكلفة والسعر'!$C$2:$C$700,MATCH($C736,'تحليل التكلفة والسعر'!$B$2:$B$700,0)),0))</f>
        <v/>
      </c>
    </row>
    <row r="737" customFormat="false" ht="15" hidden="false" customHeight="false" outlineLevel="0" collapsed="false">
      <c r="A737" s="102"/>
      <c r="E737" s="103" t="str">
        <f aca="false">IF($C737="","",IFERROR(INDEX(المنيو!$C$2:$C$500,MATCH($C737,المنيو!$B$2:$B$500,0)),0))</f>
        <v/>
      </c>
      <c r="F737" s="103" t="str">
        <f aca="false">IF($C737="","",$D737*$E737)</f>
        <v/>
      </c>
      <c r="G737" s="103" t="str">
        <f aca="false">IF($C737="","",$D737*IFERROR(INDEX('تحليل التكلفة والسعر'!$C$2:$C$700,MATCH($C737,'تحليل التكلفة والسعر'!$B$2:$B$700,0)),0))</f>
        <v/>
      </c>
    </row>
    <row r="738" customFormat="false" ht="15" hidden="false" customHeight="false" outlineLevel="0" collapsed="false">
      <c r="A738" s="102"/>
      <c r="E738" s="103" t="str">
        <f aca="false">IF($C738="","",IFERROR(INDEX(المنيو!$C$2:$C$500,MATCH($C738,المنيو!$B$2:$B$500,0)),0))</f>
        <v/>
      </c>
      <c r="F738" s="103" t="str">
        <f aca="false">IF($C738="","",$D738*$E738)</f>
        <v/>
      </c>
      <c r="G738" s="103" t="str">
        <f aca="false">IF($C738="","",$D738*IFERROR(INDEX('تحليل التكلفة والسعر'!$C$2:$C$700,MATCH($C738,'تحليل التكلفة والسعر'!$B$2:$B$700,0)),0))</f>
        <v/>
      </c>
    </row>
    <row r="739" customFormat="false" ht="15" hidden="false" customHeight="false" outlineLevel="0" collapsed="false">
      <c r="A739" s="102"/>
      <c r="E739" s="103" t="str">
        <f aca="false">IF($C739="","",IFERROR(INDEX(المنيو!$C$2:$C$500,MATCH($C739,المنيو!$B$2:$B$500,0)),0))</f>
        <v/>
      </c>
      <c r="F739" s="103" t="str">
        <f aca="false">IF($C739="","",$D739*$E739)</f>
        <v/>
      </c>
      <c r="G739" s="103" t="str">
        <f aca="false">IF($C739="","",$D739*IFERROR(INDEX('تحليل التكلفة والسعر'!$C$2:$C$700,MATCH($C739,'تحليل التكلفة والسعر'!$B$2:$B$700,0)),0))</f>
        <v/>
      </c>
    </row>
    <row r="740" customFormat="false" ht="15" hidden="false" customHeight="false" outlineLevel="0" collapsed="false">
      <c r="A740" s="102"/>
      <c r="E740" s="103" t="str">
        <f aca="false">IF($C740="","",IFERROR(INDEX(المنيو!$C$2:$C$500,MATCH($C740,المنيو!$B$2:$B$500,0)),0))</f>
        <v/>
      </c>
      <c r="F740" s="103" t="str">
        <f aca="false">IF($C740="","",$D740*$E740)</f>
        <v/>
      </c>
      <c r="G740" s="103" t="str">
        <f aca="false">IF($C740="","",$D740*IFERROR(INDEX('تحليل التكلفة والسعر'!$C$2:$C$700,MATCH($C740,'تحليل التكلفة والسعر'!$B$2:$B$700,0)),0))</f>
        <v/>
      </c>
    </row>
    <row r="741" customFormat="false" ht="15" hidden="false" customHeight="false" outlineLevel="0" collapsed="false">
      <c r="A741" s="102"/>
      <c r="E741" s="103" t="str">
        <f aca="false">IF($C741="","",IFERROR(INDEX(المنيو!$C$2:$C$500,MATCH($C741,المنيو!$B$2:$B$500,0)),0))</f>
        <v/>
      </c>
      <c r="F741" s="103" t="str">
        <f aca="false">IF($C741="","",$D741*$E741)</f>
        <v/>
      </c>
      <c r="G741" s="103" t="str">
        <f aca="false">IF($C741="","",$D741*IFERROR(INDEX('تحليل التكلفة والسعر'!$C$2:$C$700,MATCH($C741,'تحليل التكلفة والسعر'!$B$2:$B$700,0)),0))</f>
        <v/>
      </c>
    </row>
    <row r="742" customFormat="false" ht="15" hidden="false" customHeight="false" outlineLevel="0" collapsed="false">
      <c r="A742" s="102"/>
      <c r="E742" s="103" t="str">
        <f aca="false">IF($C742="","",IFERROR(INDEX(المنيو!$C$2:$C$500,MATCH($C742,المنيو!$B$2:$B$500,0)),0))</f>
        <v/>
      </c>
      <c r="F742" s="103" t="str">
        <f aca="false">IF($C742="","",$D742*$E742)</f>
        <v/>
      </c>
      <c r="G742" s="103" t="str">
        <f aca="false">IF($C742="","",$D742*IFERROR(INDEX('تحليل التكلفة والسعر'!$C$2:$C$700,MATCH($C742,'تحليل التكلفة والسعر'!$B$2:$B$700,0)),0))</f>
        <v/>
      </c>
    </row>
    <row r="743" customFormat="false" ht="15" hidden="false" customHeight="false" outlineLevel="0" collapsed="false">
      <c r="A743" s="102"/>
      <c r="E743" s="103" t="str">
        <f aca="false">IF($C743="","",IFERROR(INDEX(المنيو!$C$2:$C$500,MATCH($C743,المنيو!$B$2:$B$500,0)),0))</f>
        <v/>
      </c>
      <c r="F743" s="103" t="str">
        <f aca="false">IF($C743="","",$D743*$E743)</f>
        <v/>
      </c>
      <c r="G743" s="103" t="str">
        <f aca="false">IF($C743="","",$D743*IFERROR(INDEX('تحليل التكلفة والسعر'!$C$2:$C$700,MATCH($C743,'تحليل التكلفة والسعر'!$B$2:$B$700,0)),0))</f>
        <v/>
      </c>
    </row>
    <row r="744" customFormat="false" ht="15" hidden="false" customHeight="false" outlineLevel="0" collapsed="false">
      <c r="A744" s="102"/>
      <c r="E744" s="103" t="str">
        <f aca="false">IF($C744="","",IFERROR(INDEX(المنيو!$C$2:$C$500,MATCH($C744,المنيو!$B$2:$B$500,0)),0))</f>
        <v/>
      </c>
      <c r="F744" s="103" t="str">
        <f aca="false">IF($C744="","",$D744*$E744)</f>
        <v/>
      </c>
      <c r="G744" s="103" t="str">
        <f aca="false">IF($C744="","",$D744*IFERROR(INDEX('تحليل التكلفة والسعر'!$C$2:$C$700,MATCH($C744,'تحليل التكلفة والسعر'!$B$2:$B$700,0)),0))</f>
        <v/>
      </c>
    </row>
    <row r="745" customFormat="false" ht="15" hidden="false" customHeight="false" outlineLevel="0" collapsed="false">
      <c r="A745" s="102"/>
      <c r="E745" s="103" t="str">
        <f aca="false">IF($C745="","",IFERROR(INDEX(المنيو!$C$2:$C$500,MATCH($C745,المنيو!$B$2:$B$500,0)),0))</f>
        <v/>
      </c>
      <c r="F745" s="103" t="str">
        <f aca="false">IF($C745="","",$D745*$E745)</f>
        <v/>
      </c>
      <c r="G745" s="103" t="str">
        <f aca="false">IF($C745="","",$D745*IFERROR(INDEX('تحليل التكلفة والسعر'!$C$2:$C$700,MATCH($C745,'تحليل التكلفة والسعر'!$B$2:$B$700,0)),0))</f>
        <v/>
      </c>
    </row>
    <row r="746" customFormat="false" ht="15" hidden="false" customHeight="false" outlineLevel="0" collapsed="false">
      <c r="A746" s="102"/>
      <c r="E746" s="103" t="str">
        <f aca="false">IF($C746="","",IFERROR(INDEX(المنيو!$C$2:$C$500,MATCH($C746,المنيو!$B$2:$B$500,0)),0))</f>
        <v/>
      </c>
      <c r="F746" s="103" t="str">
        <f aca="false">IF($C746="","",$D746*$E746)</f>
        <v/>
      </c>
      <c r="G746" s="103" t="str">
        <f aca="false">IF($C746="","",$D746*IFERROR(INDEX('تحليل التكلفة والسعر'!$C$2:$C$700,MATCH($C746,'تحليل التكلفة والسعر'!$B$2:$B$700,0)),0))</f>
        <v/>
      </c>
    </row>
    <row r="747" customFormat="false" ht="15" hidden="false" customHeight="false" outlineLevel="0" collapsed="false">
      <c r="A747" s="102"/>
      <c r="E747" s="103" t="str">
        <f aca="false">IF($C747="","",IFERROR(INDEX(المنيو!$C$2:$C$500,MATCH($C747,المنيو!$B$2:$B$500,0)),0))</f>
        <v/>
      </c>
      <c r="F747" s="103" t="str">
        <f aca="false">IF($C747="","",$D747*$E747)</f>
        <v/>
      </c>
      <c r="G747" s="103" t="str">
        <f aca="false">IF($C747="","",$D747*IFERROR(INDEX('تحليل التكلفة والسعر'!$C$2:$C$700,MATCH($C747,'تحليل التكلفة والسعر'!$B$2:$B$700,0)),0))</f>
        <v/>
      </c>
    </row>
    <row r="748" customFormat="false" ht="15" hidden="false" customHeight="false" outlineLevel="0" collapsed="false">
      <c r="A748" s="102"/>
      <c r="E748" s="103" t="str">
        <f aca="false">IF($C748="","",IFERROR(INDEX(المنيو!$C$2:$C$500,MATCH($C748,المنيو!$B$2:$B$500,0)),0))</f>
        <v/>
      </c>
      <c r="F748" s="103" t="str">
        <f aca="false">IF($C748="","",$D748*$E748)</f>
        <v/>
      </c>
      <c r="G748" s="103" t="str">
        <f aca="false">IF($C748="","",$D748*IFERROR(INDEX('تحليل التكلفة والسعر'!$C$2:$C$700,MATCH($C748,'تحليل التكلفة والسعر'!$B$2:$B$700,0)),0))</f>
        <v/>
      </c>
    </row>
    <row r="749" customFormat="false" ht="15" hidden="false" customHeight="false" outlineLevel="0" collapsed="false">
      <c r="A749" s="102"/>
      <c r="E749" s="103" t="str">
        <f aca="false">IF($C749="","",IFERROR(INDEX(المنيو!$C$2:$C$500,MATCH($C749,المنيو!$B$2:$B$500,0)),0))</f>
        <v/>
      </c>
      <c r="F749" s="103" t="str">
        <f aca="false">IF($C749="","",$D749*$E749)</f>
        <v/>
      </c>
      <c r="G749" s="103" t="str">
        <f aca="false">IF($C749="","",$D749*IFERROR(INDEX('تحليل التكلفة والسعر'!$C$2:$C$700,MATCH($C749,'تحليل التكلفة والسعر'!$B$2:$B$700,0)),0))</f>
        <v/>
      </c>
    </row>
    <row r="750" customFormat="false" ht="15" hidden="false" customHeight="false" outlineLevel="0" collapsed="false">
      <c r="A750" s="102"/>
      <c r="E750" s="103" t="str">
        <f aca="false">IF($C750="","",IFERROR(INDEX(المنيو!$C$2:$C$500,MATCH($C750,المنيو!$B$2:$B$500,0)),0))</f>
        <v/>
      </c>
      <c r="F750" s="103" t="str">
        <f aca="false">IF($C750="","",$D750*$E750)</f>
        <v/>
      </c>
      <c r="G750" s="103" t="str">
        <f aca="false">IF($C750="","",$D750*IFERROR(INDEX('تحليل التكلفة والسعر'!$C$2:$C$700,MATCH($C750,'تحليل التكلفة والسعر'!$B$2:$B$700,0)),0))</f>
        <v/>
      </c>
    </row>
    <row r="751" customFormat="false" ht="15" hidden="false" customHeight="false" outlineLevel="0" collapsed="false">
      <c r="A751" s="102"/>
      <c r="E751" s="103" t="str">
        <f aca="false">IF($C751="","",IFERROR(INDEX(المنيو!$C$2:$C$500,MATCH($C751,المنيو!$B$2:$B$500,0)),0))</f>
        <v/>
      </c>
      <c r="F751" s="103" t="str">
        <f aca="false">IF($C751="","",$D751*$E751)</f>
        <v/>
      </c>
      <c r="G751" s="103" t="str">
        <f aca="false">IF($C751="","",$D751*IFERROR(INDEX('تحليل التكلفة والسعر'!$C$2:$C$700,MATCH($C751,'تحليل التكلفة والسعر'!$B$2:$B$700,0)),0))</f>
        <v/>
      </c>
    </row>
    <row r="752" customFormat="false" ht="15" hidden="false" customHeight="false" outlineLevel="0" collapsed="false">
      <c r="A752" s="102"/>
      <c r="E752" s="103" t="str">
        <f aca="false">IF($C752="","",IFERROR(INDEX(المنيو!$C$2:$C$500,MATCH($C752,المنيو!$B$2:$B$500,0)),0))</f>
        <v/>
      </c>
      <c r="F752" s="103" t="str">
        <f aca="false">IF($C752="","",$D752*$E752)</f>
        <v/>
      </c>
      <c r="G752" s="103" t="str">
        <f aca="false">IF($C752="","",$D752*IFERROR(INDEX('تحليل التكلفة والسعر'!$C$2:$C$700,MATCH($C752,'تحليل التكلفة والسعر'!$B$2:$B$700,0)),0))</f>
        <v/>
      </c>
    </row>
    <row r="753" customFormat="false" ht="15" hidden="false" customHeight="false" outlineLevel="0" collapsed="false">
      <c r="A753" s="102"/>
      <c r="E753" s="103" t="str">
        <f aca="false">IF($C753="","",IFERROR(INDEX(المنيو!$C$2:$C$500,MATCH($C753,المنيو!$B$2:$B$500,0)),0))</f>
        <v/>
      </c>
      <c r="F753" s="103" t="str">
        <f aca="false">IF($C753="","",$D753*$E753)</f>
        <v/>
      </c>
      <c r="G753" s="103" t="str">
        <f aca="false">IF($C753="","",$D753*IFERROR(INDEX('تحليل التكلفة والسعر'!$C$2:$C$700,MATCH($C753,'تحليل التكلفة والسعر'!$B$2:$B$700,0)),0))</f>
        <v/>
      </c>
    </row>
    <row r="754" customFormat="false" ht="15" hidden="false" customHeight="false" outlineLevel="0" collapsed="false">
      <c r="A754" s="102"/>
      <c r="E754" s="103" t="str">
        <f aca="false">IF($C754="","",IFERROR(INDEX(المنيو!$C$2:$C$500,MATCH($C754,المنيو!$B$2:$B$500,0)),0))</f>
        <v/>
      </c>
      <c r="F754" s="103" t="str">
        <f aca="false">IF($C754="","",$D754*$E754)</f>
        <v/>
      </c>
      <c r="G754" s="103" t="str">
        <f aca="false">IF($C754="","",$D754*IFERROR(INDEX('تحليل التكلفة والسعر'!$C$2:$C$700,MATCH($C754,'تحليل التكلفة والسعر'!$B$2:$B$700,0)),0))</f>
        <v/>
      </c>
    </row>
    <row r="755" customFormat="false" ht="15" hidden="false" customHeight="false" outlineLevel="0" collapsed="false">
      <c r="A755" s="102"/>
      <c r="E755" s="103" t="str">
        <f aca="false">IF($C755="","",IFERROR(INDEX(المنيو!$C$2:$C$500,MATCH($C755,المنيو!$B$2:$B$500,0)),0))</f>
        <v/>
      </c>
      <c r="F755" s="103" t="str">
        <f aca="false">IF($C755="","",$D755*$E755)</f>
        <v/>
      </c>
      <c r="G755" s="103" t="str">
        <f aca="false">IF($C755="","",$D755*IFERROR(INDEX('تحليل التكلفة والسعر'!$C$2:$C$700,MATCH($C755,'تحليل التكلفة والسعر'!$B$2:$B$700,0)),0))</f>
        <v/>
      </c>
    </row>
    <row r="756" customFormat="false" ht="15" hidden="false" customHeight="false" outlineLevel="0" collapsed="false">
      <c r="A756" s="102"/>
      <c r="E756" s="103" t="str">
        <f aca="false">IF($C756="","",IFERROR(INDEX(المنيو!$C$2:$C$500,MATCH($C756,المنيو!$B$2:$B$500,0)),0))</f>
        <v/>
      </c>
      <c r="F756" s="103" t="str">
        <f aca="false">IF($C756="","",$D756*$E756)</f>
        <v/>
      </c>
      <c r="G756" s="103" t="str">
        <f aca="false">IF($C756="","",$D756*IFERROR(INDEX('تحليل التكلفة والسعر'!$C$2:$C$700,MATCH($C756,'تحليل التكلفة والسعر'!$B$2:$B$700,0)),0))</f>
        <v/>
      </c>
    </row>
    <row r="757" customFormat="false" ht="15" hidden="false" customHeight="false" outlineLevel="0" collapsed="false">
      <c r="A757" s="102"/>
      <c r="E757" s="103" t="str">
        <f aca="false">IF($C757="","",IFERROR(INDEX(المنيو!$C$2:$C$500,MATCH($C757,المنيو!$B$2:$B$500,0)),0))</f>
        <v/>
      </c>
      <c r="F757" s="103" t="str">
        <f aca="false">IF($C757="","",$D757*$E757)</f>
        <v/>
      </c>
      <c r="G757" s="103" t="str">
        <f aca="false">IF($C757="","",$D757*IFERROR(INDEX('تحليل التكلفة والسعر'!$C$2:$C$700,MATCH($C757,'تحليل التكلفة والسعر'!$B$2:$B$700,0)),0))</f>
        <v/>
      </c>
    </row>
    <row r="758" customFormat="false" ht="15" hidden="false" customHeight="false" outlineLevel="0" collapsed="false">
      <c r="A758" s="102"/>
      <c r="E758" s="103" t="str">
        <f aca="false">IF($C758="","",IFERROR(INDEX(المنيو!$C$2:$C$500,MATCH($C758,المنيو!$B$2:$B$500,0)),0))</f>
        <v/>
      </c>
      <c r="F758" s="103" t="str">
        <f aca="false">IF($C758="","",$D758*$E758)</f>
        <v/>
      </c>
      <c r="G758" s="103" t="str">
        <f aca="false">IF($C758="","",$D758*IFERROR(INDEX('تحليل التكلفة والسعر'!$C$2:$C$700,MATCH($C758,'تحليل التكلفة والسعر'!$B$2:$B$700,0)),0))</f>
        <v/>
      </c>
    </row>
    <row r="759" customFormat="false" ht="15" hidden="false" customHeight="false" outlineLevel="0" collapsed="false">
      <c r="A759" s="102"/>
      <c r="E759" s="103" t="str">
        <f aca="false">IF($C759="","",IFERROR(INDEX(المنيو!$C$2:$C$500,MATCH($C759,المنيو!$B$2:$B$500,0)),0))</f>
        <v/>
      </c>
      <c r="F759" s="103" t="str">
        <f aca="false">IF($C759="","",$D759*$E759)</f>
        <v/>
      </c>
      <c r="G759" s="103" t="str">
        <f aca="false">IF($C759="","",$D759*IFERROR(INDEX('تحليل التكلفة والسعر'!$C$2:$C$700,MATCH($C759,'تحليل التكلفة والسعر'!$B$2:$B$700,0)),0))</f>
        <v/>
      </c>
    </row>
    <row r="760" customFormat="false" ht="15" hidden="false" customHeight="false" outlineLevel="0" collapsed="false">
      <c r="A760" s="102"/>
      <c r="E760" s="103" t="str">
        <f aca="false">IF($C760="","",IFERROR(INDEX(المنيو!$C$2:$C$500,MATCH($C760,المنيو!$B$2:$B$500,0)),0))</f>
        <v/>
      </c>
      <c r="F760" s="103" t="str">
        <f aca="false">IF($C760="","",$D760*$E760)</f>
        <v/>
      </c>
      <c r="G760" s="103" t="str">
        <f aca="false">IF($C760="","",$D760*IFERROR(INDEX('تحليل التكلفة والسعر'!$C$2:$C$700,MATCH($C760,'تحليل التكلفة والسعر'!$B$2:$B$700,0)),0))</f>
        <v/>
      </c>
    </row>
    <row r="761" customFormat="false" ht="15" hidden="false" customHeight="false" outlineLevel="0" collapsed="false">
      <c r="A761" s="102"/>
      <c r="E761" s="103" t="str">
        <f aca="false">IF($C761="","",IFERROR(INDEX(المنيو!$C$2:$C$500,MATCH($C761,المنيو!$B$2:$B$500,0)),0))</f>
        <v/>
      </c>
      <c r="F761" s="103" t="str">
        <f aca="false">IF($C761="","",$D761*$E761)</f>
        <v/>
      </c>
      <c r="G761" s="103" t="str">
        <f aca="false">IF($C761="","",$D761*IFERROR(INDEX('تحليل التكلفة والسعر'!$C$2:$C$700,MATCH($C761,'تحليل التكلفة والسعر'!$B$2:$B$700,0)),0))</f>
        <v/>
      </c>
    </row>
    <row r="762" customFormat="false" ht="15" hidden="false" customHeight="false" outlineLevel="0" collapsed="false">
      <c r="A762" s="102"/>
      <c r="E762" s="103" t="str">
        <f aca="false">IF($C762="","",IFERROR(INDEX(المنيو!$C$2:$C$500,MATCH($C762,المنيو!$B$2:$B$500,0)),0))</f>
        <v/>
      </c>
      <c r="F762" s="103" t="str">
        <f aca="false">IF($C762="","",$D762*$E762)</f>
        <v/>
      </c>
      <c r="G762" s="103" t="str">
        <f aca="false">IF($C762="","",$D762*IFERROR(INDEX('تحليل التكلفة والسعر'!$C$2:$C$700,MATCH($C762,'تحليل التكلفة والسعر'!$B$2:$B$700,0)),0))</f>
        <v/>
      </c>
    </row>
    <row r="763" customFormat="false" ht="15" hidden="false" customHeight="false" outlineLevel="0" collapsed="false">
      <c r="A763" s="102"/>
      <c r="E763" s="103" t="str">
        <f aca="false">IF($C763="","",IFERROR(INDEX(المنيو!$C$2:$C$500,MATCH($C763,المنيو!$B$2:$B$500,0)),0))</f>
        <v/>
      </c>
      <c r="F763" s="103" t="str">
        <f aca="false">IF($C763="","",$D763*$E763)</f>
        <v/>
      </c>
      <c r="G763" s="103" t="str">
        <f aca="false">IF($C763="","",$D763*IFERROR(INDEX('تحليل التكلفة والسعر'!$C$2:$C$700,MATCH($C763,'تحليل التكلفة والسعر'!$B$2:$B$700,0)),0))</f>
        <v/>
      </c>
    </row>
    <row r="764" customFormat="false" ht="15" hidden="false" customHeight="false" outlineLevel="0" collapsed="false">
      <c r="A764" s="102"/>
      <c r="E764" s="103" t="str">
        <f aca="false">IF($C764="","",IFERROR(INDEX(المنيو!$C$2:$C$500,MATCH($C764,المنيو!$B$2:$B$500,0)),0))</f>
        <v/>
      </c>
      <c r="F764" s="103" t="str">
        <f aca="false">IF($C764="","",$D764*$E764)</f>
        <v/>
      </c>
      <c r="G764" s="103" t="str">
        <f aca="false">IF($C764="","",$D764*IFERROR(INDEX('تحليل التكلفة والسعر'!$C$2:$C$700,MATCH($C764,'تحليل التكلفة والسعر'!$B$2:$B$700,0)),0))</f>
        <v/>
      </c>
    </row>
    <row r="765" customFormat="false" ht="15" hidden="false" customHeight="false" outlineLevel="0" collapsed="false">
      <c r="A765" s="102"/>
      <c r="E765" s="103" t="str">
        <f aca="false">IF($C765="","",IFERROR(INDEX(المنيو!$C$2:$C$500,MATCH($C765,المنيو!$B$2:$B$500,0)),0))</f>
        <v/>
      </c>
      <c r="F765" s="103" t="str">
        <f aca="false">IF($C765="","",$D765*$E765)</f>
        <v/>
      </c>
      <c r="G765" s="103" t="str">
        <f aca="false">IF($C765="","",$D765*IFERROR(INDEX('تحليل التكلفة والسعر'!$C$2:$C$700,MATCH($C765,'تحليل التكلفة والسعر'!$B$2:$B$700,0)),0))</f>
        <v/>
      </c>
    </row>
    <row r="766" customFormat="false" ht="15" hidden="false" customHeight="false" outlineLevel="0" collapsed="false">
      <c r="A766" s="102"/>
      <c r="E766" s="103" t="str">
        <f aca="false">IF($C766="","",IFERROR(INDEX(المنيو!$C$2:$C$500,MATCH($C766,المنيو!$B$2:$B$500,0)),0))</f>
        <v/>
      </c>
      <c r="F766" s="103" t="str">
        <f aca="false">IF($C766="","",$D766*$E766)</f>
        <v/>
      </c>
      <c r="G766" s="103" t="str">
        <f aca="false">IF($C766="","",$D766*IFERROR(INDEX('تحليل التكلفة والسعر'!$C$2:$C$700,MATCH($C766,'تحليل التكلفة والسعر'!$B$2:$B$700,0)),0))</f>
        <v/>
      </c>
    </row>
    <row r="767" customFormat="false" ht="15" hidden="false" customHeight="false" outlineLevel="0" collapsed="false">
      <c r="A767" s="102"/>
      <c r="E767" s="103" t="str">
        <f aca="false">IF($C767="","",IFERROR(INDEX(المنيو!$C$2:$C$500,MATCH($C767,المنيو!$B$2:$B$500,0)),0))</f>
        <v/>
      </c>
      <c r="F767" s="103" t="str">
        <f aca="false">IF($C767="","",$D767*$E767)</f>
        <v/>
      </c>
      <c r="G767" s="103" t="str">
        <f aca="false">IF($C767="","",$D767*IFERROR(INDEX('تحليل التكلفة والسعر'!$C$2:$C$700,MATCH($C767,'تحليل التكلفة والسعر'!$B$2:$B$700,0)),0))</f>
        <v/>
      </c>
    </row>
    <row r="768" customFormat="false" ht="15" hidden="false" customHeight="false" outlineLevel="0" collapsed="false">
      <c r="A768" s="102"/>
      <c r="E768" s="103" t="str">
        <f aca="false">IF($C768="","",IFERROR(INDEX(المنيو!$C$2:$C$500,MATCH($C768,المنيو!$B$2:$B$500,0)),0))</f>
        <v/>
      </c>
      <c r="F768" s="103" t="str">
        <f aca="false">IF($C768="","",$D768*$E768)</f>
        <v/>
      </c>
      <c r="G768" s="103" t="str">
        <f aca="false">IF($C768="","",$D768*IFERROR(INDEX('تحليل التكلفة والسعر'!$C$2:$C$700,MATCH($C768,'تحليل التكلفة والسعر'!$B$2:$B$700,0)),0))</f>
        <v/>
      </c>
    </row>
    <row r="769" customFormat="false" ht="15" hidden="false" customHeight="false" outlineLevel="0" collapsed="false">
      <c r="A769" s="102"/>
      <c r="E769" s="103" t="str">
        <f aca="false">IF($C769="","",IFERROR(INDEX(المنيو!$C$2:$C$500,MATCH($C769,المنيو!$B$2:$B$500,0)),0))</f>
        <v/>
      </c>
      <c r="F769" s="103" t="str">
        <f aca="false">IF($C769="","",$D769*$E769)</f>
        <v/>
      </c>
      <c r="G769" s="103" t="str">
        <f aca="false">IF($C769="","",$D769*IFERROR(INDEX('تحليل التكلفة والسعر'!$C$2:$C$700,MATCH($C769,'تحليل التكلفة والسعر'!$B$2:$B$700,0)),0))</f>
        <v/>
      </c>
    </row>
    <row r="770" customFormat="false" ht="15" hidden="false" customHeight="false" outlineLevel="0" collapsed="false">
      <c r="A770" s="102"/>
      <c r="E770" s="103" t="str">
        <f aca="false">IF($C770="","",IFERROR(INDEX(المنيو!$C$2:$C$500,MATCH($C770,المنيو!$B$2:$B$500,0)),0))</f>
        <v/>
      </c>
      <c r="F770" s="103" t="str">
        <f aca="false">IF($C770="","",$D770*$E770)</f>
        <v/>
      </c>
      <c r="G770" s="103" t="str">
        <f aca="false">IF($C770="","",$D770*IFERROR(INDEX('تحليل التكلفة والسعر'!$C$2:$C$700,MATCH($C770,'تحليل التكلفة والسعر'!$B$2:$B$700,0)),0))</f>
        <v/>
      </c>
    </row>
    <row r="771" customFormat="false" ht="15" hidden="false" customHeight="false" outlineLevel="0" collapsed="false">
      <c r="A771" s="102"/>
      <c r="E771" s="103" t="str">
        <f aca="false">IF($C771="","",IFERROR(INDEX(المنيو!$C$2:$C$500,MATCH($C771,المنيو!$B$2:$B$500,0)),0))</f>
        <v/>
      </c>
      <c r="F771" s="103" t="str">
        <f aca="false">IF($C771="","",$D771*$E771)</f>
        <v/>
      </c>
      <c r="G771" s="103" t="str">
        <f aca="false">IF($C771="","",$D771*IFERROR(INDEX('تحليل التكلفة والسعر'!$C$2:$C$700,MATCH($C771,'تحليل التكلفة والسعر'!$B$2:$B$700,0)),0))</f>
        <v/>
      </c>
    </row>
    <row r="772" customFormat="false" ht="15" hidden="false" customHeight="false" outlineLevel="0" collapsed="false">
      <c r="A772" s="102"/>
      <c r="E772" s="103" t="str">
        <f aca="false">IF($C772="","",IFERROR(INDEX(المنيو!$C$2:$C$500,MATCH($C772,المنيو!$B$2:$B$500,0)),0))</f>
        <v/>
      </c>
      <c r="F772" s="103" t="str">
        <f aca="false">IF($C772="","",$D772*$E772)</f>
        <v/>
      </c>
      <c r="G772" s="103" t="str">
        <f aca="false">IF($C772="","",$D772*IFERROR(INDEX('تحليل التكلفة والسعر'!$C$2:$C$700,MATCH($C772,'تحليل التكلفة والسعر'!$B$2:$B$700,0)),0))</f>
        <v/>
      </c>
    </row>
    <row r="773" customFormat="false" ht="15" hidden="false" customHeight="false" outlineLevel="0" collapsed="false">
      <c r="A773" s="102"/>
      <c r="E773" s="103" t="str">
        <f aca="false">IF($C773="","",IFERROR(INDEX(المنيو!$C$2:$C$500,MATCH($C773,المنيو!$B$2:$B$500,0)),0))</f>
        <v/>
      </c>
      <c r="F773" s="103" t="str">
        <f aca="false">IF($C773="","",$D773*$E773)</f>
        <v/>
      </c>
      <c r="G773" s="103" t="str">
        <f aca="false">IF($C773="","",$D773*IFERROR(INDEX('تحليل التكلفة والسعر'!$C$2:$C$700,MATCH($C773,'تحليل التكلفة والسعر'!$B$2:$B$700,0)),0))</f>
        <v/>
      </c>
    </row>
    <row r="774" customFormat="false" ht="15" hidden="false" customHeight="false" outlineLevel="0" collapsed="false">
      <c r="A774" s="102"/>
      <c r="E774" s="103" t="str">
        <f aca="false">IF($C774="","",IFERROR(INDEX(المنيو!$C$2:$C$500,MATCH($C774,المنيو!$B$2:$B$500,0)),0))</f>
        <v/>
      </c>
      <c r="F774" s="103" t="str">
        <f aca="false">IF($C774="","",$D774*$E774)</f>
        <v/>
      </c>
      <c r="G774" s="103" t="str">
        <f aca="false">IF($C774="","",$D774*IFERROR(INDEX('تحليل التكلفة والسعر'!$C$2:$C$700,MATCH($C774,'تحليل التكلفة والسعر'!$B$2:$B$700,0)),0))</f>
        <v/>
      </c>
    </row>
    <row r="775" customFormat="false" ht="15" hidden="false" customHeight="false" outlineLevel="0" collapsed="false">
      <c r="A775" s="102"/>
      <c r="E775" s="103" t="str">
        <f aca="false">IF($C775="","",IFERROR(INDEX(المنيو!$C$2:$C$500,MATCH($C775,المنيو!$B$2:$B$500,0)),0))</f>
        <v/>
      </c>
      <c r="F775" s="103" t="str">
        <f aca="false">IF($C775="","",$D775*$E775)</f>
        <v/>
      </c>
      <c r="G775" s="103" t="str">
        <f aca="false">IF($C775="","",$D775*IFERROR(INDEX('تحليل التكلفة والسعر'!$C$2:$C$700,MATCH($C775,'تحليل التكلفة والسعر'!$B$2:$B$700,0)),0))</f>
        <v/>
      </c>
    </row>
    <row r="776" customFormat="false" ht="15" hidden="false" customHeight="false" outlineLevel="0" collapsed="false">
      <c r="A776" s="102"/>
      <c r="E776" s="103" t="str">
        <f aca="false">IF($C776="","",IFERROR(INDEX(المنيو!$C$2:$C$500,MATCH($C776,المنيو!$B$2:$B$500,0)),0))</f>
        <v/>
      </c>
      <c r="F776" s="103" t="str">
        <f aca="false">IF($C776="","",$D776*$E776)</f>
        <v/>
      </c>
      <c r="G776" s="103" t="str">
        <f aca="false">IF($C776="","",$D776*IFERROR(INDEX('تحليل التكلفة والسعر'!$C$2:$C$700,MATCH($C776,'تحليل التكلفة والسعر'!$B$2:$B$700,0)),0))</f>
        <v/>
      </c>
    </row>
    <row r="777" customFormat="false" ht="15" hidden="false" customHeight="false" outlineLevel="0" collapsed="false">
      <c r="A777" s="102"/>
      <c r="E777" s="103" t="str">
        <f aca="false">IF($C777="","",IFERROR(INDEX(المنيو!$C$2:$C$500,MATCH($C777,المنيو!$B$2:$B$500,0)),0))</f>
        <v/>
      </c>
      <c r="F777" s="103" t="str">
        <f aca="false">IF($C777="","",$D777*$E777)</f>
        <v/>
      </c>
      <c r="G777" s="103" t="str">
        <f aca="false">IF($C777="","",$D777*IFERROR(INDEX('تحليل التكلفة والسعر'!$C$2:$C$700,MATCH($C777,'تحليل التكلفة والسعر'!$B$2:$B$700,0)),0))</f>
        <v/>
      </c>
    </row>
    <row r="778" customFormat="false" ht="15" hidden="false" customHeight="false" outlineLevel="0" collapsed="false">
      <c r="A778" s="102"/>
      <c r="E778" s="103" t="str">
        <f aca="false">IF($C778="","",IFERROR(INDEX(المنيو!$C$2:$C$500,MATCH($C778,المنيو!$B$2:$B$500,0)),0))</f>
        <v/>
      </c>
      <c r="F778" s="103" t="str">
        <f aca="false">IF($C778="","",$D778*$E778)</f>
        <v/>
      </c>
      <c r="G778" s="103" t="str">
        <f aca="false">IF($C778="","",$D778*IFERROR(INDEX('تحليل التكلفة والسعر'!$C$2:$C$700,MATCH($C778,'تحليل التكلفة والسعر'!$B$2:$B$700,0)),0))</f>
        <v/>
      </c>
    </row>
    <row r="779" customFormat="false" ht="15" hidden="false" customHeight="false" outlineLevel="0" collapsed="false">
      <c r="A779" s="102"/>
      <c r="E779" s="103" t="str">
        <f aca="false">IF($C779="","",IFERROR(INDEX(المنيو!$C$2:$C$500,MATCH($C779,المنيو!$B$2:$B$500,0)),0))</f>
        <v/>
      </c>
      <c r="F779" s="103" t="str">
        <f aca="false">IF($C779="","",$D779*$E779)</f>
        <v/>
      </c>
      <c r="G779" s="103" t="str">
        <f aca="false">IF($C779="","",$D779*IFERROR(INDEX('تحليل التكلفة والسعر'!$C$2:$C$700,MATCH($C779,'تحليل التكلفة والسعر'!$B$2:$B$700,0)),0))</f>
        <v/>
      </c>
    </row>
    <row r="780" customFormat="false" ht="15" hidden="false" customHeight="false" outlineLevel="0" collapsed="false">
      <c r="A780" s="102"/>
      <c r="E780" s="103" t="str">
        <f aca="false">IF($C780="","",IFERROR(INDEX(المنيو!$C$2:$C$500,MATCH($C780,المنيو!$B$2:$B$500,0)),0))</f>
        <v/>
      </c>
      <c r="F780" s="103" t="str">
        <f aca="false">IF($C780="","",$D780*$E780)</f>
        <v/>
      </c>
      <c r="G780" s="103" t="str">
        <f aca="false">IF($C780="","",$D780*IFERROR(INDEX('تحليل التكلفة والسعر'!$C$2:$C$700,MATCH($C780,'تحليل التكلفة والسعر'!$B$2:$B$700,0)),0))</f>
        <v/>
      </c>
    </row>
    <row r="781" customFormat="false" ht="15" hidden="false" customHeight="false" outlineLevel="0" collapsed="false">
      <c r="A781" s="102"/>
      <c r="E781" s="103" t="str">
        <f aca="false">IF($C781="","",IFERROR(INDEX(المنيو!$C$2:$C$500,MATCH($C781,المنيو!$B$2:$B$500,0)),0))</f>
        <v/>
      </c>
      <c r="F781" s="103" t="str">
        <f aca="false">IF($C781="","",$D781*$E781)</f>
        <v/>
      </c>
      <c r="G781" s="103" t="str">
        <f aca="false">IF($C781="","",$D781*IFERROR(INDEX('تحليل التكلفة والسعر'!$C$2:$C$700,MATCH($C781,'تحليل التكلفة والسعر'!$B$2:$B$700,0)),0))</f>
        <v/>
      </c>
    </row>
    <row r="782" customFormat="false" ht="15" hidden="false" customHeight="false" outlineLevel="0" collapsed="false">
      <c r="A782" s="102"/>
      <c r="E782" s="103" t="str">
        <f aca="false">IF($C782="","",IFERROR(INDEX(المنيو!$C$2:$C$500,MATCH($C782,المنيو!$B$2:$B$500,0)),0))</f>
        <v/>
      </c>
      <c r="F782" s="103" t="str">
        <f aca="false">IF($C782="","",$D782*$E782)</f>
        <v/>
      </c>
      <c r="G782" s="103" t="str">
        <f aca="false">IF($C782="","",$D782*IFERROR(INDEX('تحليل التكلفة والسعر'!$C$2:$C$700,MATCH($C782,'تحليل التكلفة والسعر'!$B$2:$B$700,0)),0))</f>
        <v/>
      </c>
    </row>
    <row r="783" customFormat="false" ht="15" hidden="false" customHeight="false" outlineLevel="0" collapsed="false">
      <c r="A783" s="102"/>
      <c r="E783" s="103" t="str">
        <f aca="false">IF($C783="","",IFERROR(INDEX(المنيو!$C$2:$C$500,MATCH($C783,المنيو!$B$2:$B$500,0)),0))</f>
        <v/>
      </c>
      <c r="F783" s="103" t="str">
        <f aca="false">IF($C783="","",$D783*$E783)</f>
        <v/>
      </c>
      <c r="G783" s="103" t="str">
        <f aca="false">IF($C783="","",$D783*IFERROR(INDEX('تحليل التكلفة والسعر'!$C$2:$C$700,MATCH($C783,'تحليل التكلفة والسعر'!$B$2:$B$700,0)),0))</f>
        <v/>
      </c>
    </row>
    <row r="784" customFormat="false" ht="15" hidden="false" customHeight="false" outlineLevel="0" collapsed="false">
      <c r="A784" s="102"/>
      <c r="E784" s="103" t="str">
        <f aca="false">IF($C784="","",IFERROR(INDEX(المنيو!$C$2:$C$500,MATCH($C784,المنيو!$B$2:$B$500,0)),0))</f>
        <v/>
      </c>
      <c r="F784" s="103" t="str">
        <f aca="false">IF($C784="","",$D784*$E784)</f>
        <v/>
      </c>
      <c r="G784" s="103" t="str">
        <f aca="false">IF($C784="","",$D784*IFERROR(INDEX('تحليل التكلفة والسعر'!$C$2:$C$700,MATCH($C784,'تحليل التكلفة والسعر'!$B$2:$B$700,0)),0))</f>
        <v/>
      </c>
    </row>
    <row r="785" customFormat="false" ht="15" hidden="false" customHeight="false" outlineLevel="0" collapsed="false">
      <c r="A785" s="102"/>
      <c r="E785" s="103" t="str">
        <f aca="false">IF($C785="","",IFERROR(INDEX(المنيو!$C$2:$C$500,MATCH($C785,المنيو!$B$2:$B$500,0)),0))</f>
        <v/>
      </c>
      <c r="F785" s="103" t="str">
        <f aca="false">IF($C785="","",$D785*$E785)</f>
        <v/>
      </c>
      <c r="G785" s="103" t="str">
        <f aca="false">IF($C785="","",$D785*IFERROR(INDEX('تحليل التكلفة والسعر'!$C$2:$C$700,MATCH($C785,'تحليل التكلفة والسعر'!$B$2:$B$700,0)),0))</f>
        <v/>
      </c>
    </row>
    <row r="786" customFormat="false" ht="15" hidden="false" customHeight="false" outlineLevel="0" collapsed="false">
      <c r="A786" s="102"/>
      <c r="E786" s="103" t="str">
        <f aca="false">IF($C786="","",IFERROR(INDEX(المنيو!$C$2:$C$500,MATCH($C786,المنيو!$B$2:$B$500,0)),0))</f>
        <v/>
      </c>
      <c r="F786" s="103" t="str">
        <f aca="false">IF($C786="","",$D786*$E786)</f>
        <v/>
      </c>
      <c r="G786" s="103" t="str">
        <f aca="false">IF($C786="","",$D786*IFERROR(INDEX('تحليل التكلفة والسعر'!$C$2:$C$700,MATCH($C786,'تحليل التكلفة والسعر'!$B$2:$B$700,0)),0))</f>
        <v/>
      </c>
    </row>
    <row r="787" customFormat="false" ht="15" hidden="false" customHeight="false" outlineLevel="0" collapsed="false">
      <c r="A787" s="102"/>
      <c r="E787" s="103" t="str">
        <f aca="false">IF($C787="","",IFERROR(INDEX(المنيو!$C$2:$C$500,MATCH($C787,المنيو!$B$2:$B$500,0)),0))</f>
        <v/>
      </c>
      <c r="F787" s="103" t="str">
        <f aca="false">IF($C787="","",$D787*$E787)</f>
        <v/>
      </c>
      <c r="G787" s="103" t="str">
        <f aca="false">IF($C787="","",$D787*IFERROR(INDEX('تحليل التكلفة والسعر'!$C$2:$C$700,MATCH($C787,'تحليل التكلفة والسعر'!$B$2:$B$700,0)),0))</f>
        <v/>
      </c>
    </row>
    <row r="788" customFormat="false" ht="15" hidden="false" customHeight="false" outlineLevel="0" collapsed="false">
      <c r="A788" s="102"/>
      <c r="E788" s="103" t="str">
        <f aca="false">IF($C788="","",IFERROR(INDEX(المنيو!$C$2:$C$500,MATCH($C788,المنيو!$B$2:$B$500,0)),0))</f>
        <v/>
      </c>
      <c r="F788" s="103" t="str">
        <f aca="false">IF($C788="","",$D788*$E788)</f>
        <v/>
      </c>
      <c r="G788" s="103" t="str">
        <f aca="false">IF($C788="","",$D788*IFERROR(INDEX('تحليل التكلفة والسعر'!$C$2:$C$700,MATCH($C788,'تحليل التكلفة والسعر'!$B$2:$B$700,0)),0))</f>
        <v/>
      </c>
    </row>
    <row r="789" customFormat="false" ht="15" hidden="false" customHeight="false" outlineLevel="0" collapsed="false">
      <c r="A789" s="102"/>
      <c r="E789" s="103" t="str">
        <f aca="false">IF($C789="","",IFERROR(INDEX(المنيو!$C$2:$C$500,MATCH($C789,المنيو!$B$2:$B$500,0)),0))</f>
        <v/>
      </c>
      <c r="F789" s="103" t="str">
        <f aca="false">IF($C789="","",$D789*$E789)</f>
        <v/>
      </c>
      <c r="G789" s="103" t="str">
        <f aca="false">IF($C789="","",$D789*IFERROR(INDEX('تحليل التكلفة والسعر'!$C$2:$C$700,MATCH($C789,'تحليل التكلفة والسعر'!$B$2:$B$700,0)),0))</f>
        <v/>
      </c>
    </row>
    <row r="790" customFormat="false" ht="15" hidden="false" customHeight="false" outlineLevel="0" collapsed="false">
      <c r="A790" s="102"/>
      <c r="E790" s="103" t="str">
        <f aca="false">IF($C790="","",IFERROR(INDEX(المنيو!$C$2:$C$500,MATCH($C790,المنيو!$B$2:$B$500,0)),0))</f>
        <v/>
      </c>
      <c r="F790" s="103" t="str">
        <f aca="false">IF($C790="","",$D790*$E790)</f>
        <v/>
      </c>
      <c r="G790" s="103" t="str">
        <f aca="false">IF($C790="","",$D790*IFERROR(INDEX('تحليل التكلفة والسعر'!$C$2:$C$700,MATCH($C790,'تحليل التكلفة والسعر'!$B$2:$B$700,0)),0))</f>
        <v/>
      </c>
    </row>
    <row r="791" customFormat="false" ht="15" hidden="false" customHeight="false" outlineLevel="0" collapsed="false">
      <c r="A791" s="102"/>
      <c r="E791" s="103" t="str">
        <f aca="false">IF($C791="","",IFERROR(INDEX(المنيو!$C$2:$C$500,MATCH($C791,المنيو!$B$2:$B$500,0)),0))</f>
        <v/>
      </c>
      <c r="F791" s="103" t="str">
        <f aca="false">IF($C791="","",$D791*$E791)</f>
        <v/>
      </c>
      <c r="G791" s="103" t="str">
        <f aca="false">IF($C791="","",$D791*IFERROR(INDEX('تحليل التكلفة والسعر'!$C$2:$C$700,MATCH($C791,'تحليل التكلفة والسعر'!$B$2:$B$700,0)),0))</f>
        <v/>
      </c>
    </row>
    <row r="792" customFormat="false" ht="15" hidden="false" customHeight="false" outlineLevel="0" collapsed="false">
      <c r="A792" s="102"/>
      <c r="E792" s="103" t="str">
        <f aca="false">IF($C792="","",IFERROR(INDEX(المنيو!$C$2:$C$500,MATCH($C792,المنيو!$B$2:$B$500,0)),0))</f>
        <v/>
      </c>
      <c r="F792" s="103" t="str">
        <f aca="false">IF($C792="","",$D792*$E792)</f>
        <v/>
      </c>
      <c r="G792" s="103" t="str">
        <f aca="false">IF($C792="","",$D792*IFERROR(INDEX('تحليل التكلفة والسعر'!$C$2:$C$700,MATCH($C792,'تحليل التكلفة والسعر'!$B$2:$B$700,0)),0))</f>
        <v/>
      </c>
    </row>
    <row r="793" customFormat="false" ht="15" hidden="false" customHeight="false" outlineLevel="0" collapsed="false">
      <c r="A793" s="102"/>
      <c r="E793" s="103" t="str">
        <f aca="false">IF($C793="","",IFERROR(INDEX(المنيو!$C$2:$C$500,MATCH($C793,المنيو!$B$2:$B$500,0)),0))</f>
        <v/>
      </c>
      <c r="F793" s="103" t="str">
        <f aca="false">IF($C793="","",$D793*$E793)</f>
        <v/>
      </c>
      <c r="G793" s="103" t="str">
        <f aca="false">IF($C793="","",$D793*IFERROR(INDEX('تحليل التكلفة والسعر'!$C$2:$C$700,MATCH($C793,'تحليل التكلفة والسعر'!$B$2:$B$700,0)),0))</f>
        <v/>
      </c>
    </row>
    <row r="794" customFormat="false" ht="15" hidden="false" customHeight="false" outlineLevel="0" collapsed="false">
      <c r="A794" s="102"/>
      <c r="E794" s="103" t="str">
        <f aca="false">IF($C794="","",IFERROR(INDEX(المنيو!$C$2:$C$500,MATCH($C794,المنيو!$B$2:$B$500,0)),0))</f>
        <v/>
      </c>
      <c r="F794" s="103" t="str">
        <f aca="false">IF($C794="","",$D794*$E794)</f>
        <v/>
      </c>
      <c r="G794" s="103" t="str">
        <f aca="false">IF($C794="","",$D794*IFERROR(INDEX('تحليل التكلفة والسعر'!$C$2:$C$700,MATCH($C794,'تحليل التكلفة والسعر'!$B$2:$B$700,0)),0))</f>
        <v/>
      </c>
    </row>
    <row r="795" customFormat="false" ht="15" hidden="false" customHeight="false" outlineLevel="0" collapsed="false">
      <c r="A795" s="102"/>
      <c r="E795" s="103" t="str">
        <f aca="false">IF($C795="","",IFERROR(INDEX(المنيو!$C$2:$C$500,MATCH($C795,المنيو!$B$2:$B$500,0)),0))</f>
        <v/>
      </c>
      <c r="F795" s="103" t="str">
        <f aca="false">IF($C795="","",$D795*$E795)</f>
        <v/>
      </c>
      <c r="G795" s="103" t="str">
        <f aca="false">IF($C795="","",$D795*IFERROR(INDEX('تحليل التكلفة والسعر'!$C$2:$C$700,MATCH($C795,'تحليل التكلفة والسعر'!$B$2:$B$700,0)),0))</f>
        <v/>
      </c>
    </row>
    <row r="796" customFormat="false" ht="15" hidden="false" customHeight="false" outlineLevel="0" collapsed="false">
      <c r="A796" s="102"/>
      <c r="E796" s="103" t="str">
        <f aca="false">IF($C796="","",IFERROR(INDEX(المنيو!$C$2:$C$500,MATCH($C796,المنيو!$B$2:$B$500,0)),0))</f>
        <v/>
      </c>
      <c r="F796" s="103" t="str">
        <f aca="false">IF($C796="","",$D796*$E796)</f>
        <v/>
      </c>
      <c r="G796" s="103" t="str">
        <f aca="false">IF($C796="","",$D796*IFERROR(INDEX('تحليل التكلفة والسعر'!$C$2:$C$700,MATCH($C796,'تحليل التكلفة والسعر'!$B$2:$B$700,0)),0))</f>
        <v/>
      </c>
    </row>
    <row r="797" customFormat="false" ht="15" hidden="false" customHeight="false" outlineLevel="0" collapsed="false">
      <c r="A797" s="102"/>
      <c r="E797" s="103" t="str">
        <f aca="false">IF($C797="","",IFERROR(INDEX(المنيو!$C$2:$C$500,MATCH($C797,المنيو!$B$2:$B$500,0)),0))</f>
        <v/>
      </c>
      <c r="F797" s="103" t="str">
        <f aca="false">IF($C797="","",$D797*$E797)</f>
        <v/>
      </c>
      <c r="G797" s="103" t="str">
        <f aca="false">IF($C797="","",$D797*IFERROR(INDEX('تحليل التكلفة والسعر'!$C$2:$C$700,MATCH($C797,'تحليل التكلفة والسعر'!$B$2:$B$700,0)),0))</f>
        <v/>
      </c>
    </row>
    <row r="798" customFormat="false" ht="15" hidden="false" customHeight="false" outlineLevel="0" collapsed="false">
      <c r="A798" s="102"/>
      <c r="E798" s="103" t="str">
        <f aca="false">IF($C798="","",IFERROR(INDEX(المنيو!$C$2:$C$500,MATCH($C798,المنيو!$B$2:$B$500,0)),0))</f>
        <v/>
      </c>
      <c r="F798" s="103" t="str">
        <f aca="false">IF($C798="","",$D798*$E798)</f>
        <v/>
      </c>
      <c r="G798" s="103" t="str">
        <f aca="false">IF($C798="","",$D798*IFERROR(INDEX('تحليل التكلفة والسعر'!$C$2:$C$700,MATCH($C798,'تحليل التكلفة والسعر'!$B$2:$B$700,0)),0))</f>
        <v/>
      </c>
    </row>
    <row r="799" customFormat="false" ht="15" hidden="false" customHeight="false" outlineLevel="0" collapsed="false">
      <c r="A799" s="102"/>
      <c r="E799" s="103" t="str">
        <f aca="false">IF($C799="","",IFERROR(INDEX(المنيو!$C$2:$C$500,MATCH($C799,المنيو!$B$2:$B$500,0)),0))</f>
        <v/>
      </c>
      <c r="F799" s="103" t="str">
        <f aca="false">IF($C799="","",$D799*$E799)</f>
        <v/>
      </c>
      <c r="G799" s="103" t="str">
        <f aca="false">IF($C799="","",$D799*IFERROR(INDEX('تحليل التكلفة والسعر'!$C$2:$C$700,MATCH($C799,'تحليل التكلفة والسعر'!$B$2:$B$700,0)),0))</f>
        <v/>
      </c>
    </row>
    <row r="800" customFormat="false" ht="15" hidden="false" customHeight="false" outlineLevel="0" collapsed="false">
      <c r="A800" s="102"/>
      <c r="E800" s="103" t="str">
        <f aca="false">IF($C800="","",IFERROR(INDEX(المنيو!$C$2:$C$500,MATCH($C800,المنيو!$B$2:$B$500,0)),0))</f>
        <v/>
      </c>
      <c r="F800" s="103" t="str">
        <f aca="false">IF($C800="","",$D800*$E800)</f>
        <v/>
      </c>
      <c r="G800" s="103" t="str">
        <f aca="false">IF($C800="","",$D800*IFERROR(INDEX('تحليل التكلفة والسعر'!$C$2:$C$700,MATCH($C800,'تحليل التكلفة والسعر'!$B$2:$B$700,0)),0))</f>
        <v/>
      </c>
    </row>
    <row r="801" customFormat="false" ht="15" hidden="false" customHeight="false" outlineLevel="0" collapsed="false">
      <c r="A801" s="102"/>
      <c r="E801" s="103" t="str">
        <f aca="false">IF($C801="","",IFERROR(INDEX(المنيو!$C$2:$C$500,MATCH($C801,المنيو!$B$2:$B$500,0)),0))</f>
        <v/>
      </c>
      <c r="F801" s="103" t="str">
        <f aca="false">IF($C801="","",$D801*$E801)</f>
        <v/>
      </c>
      <c r="G801" s="103" t="str">
        <f aca="false">IF($C801="","",$D801*IFERROR(INDEX('تحليل التكلفة والسعر'!$C$2:$C$700,MATCH($C801,'تحليل التكلفة والسعر'!$B$2:$B$700,0)),0))</f>
        <v/>
      </c>
    </row>
    <row r="802" customFormat="false" ht="15" hidden="false" customHeight="false" outlineLevel="0" collapsed="false">
      <c r="A802" s="102"/>
      <c r="E802" s="103" t="str">
        <f aca="false">IF($C802="","",IFERROR(INDEX(المنيو!$C$2:$C$500,MATCH($C802,المنيو!$B$2:$B$500,0)),0))</f>
        <v/>
      </c>
      <c r="F802" s="103" t="str">
        <f aca="false">IF($C802="","",$D802*$E802)</f>
        <v/>
      </c>
      <c r="G802" s="103" t="str">
        <f aca="false">IF($C802="","",$D802*IFERROR(INDEX('تحليل التكلفة والسعر'!$C$2:$C$700,MATCH($C802,'تحليل التكلفة والسعر'!$B$2:$B$700,0)),0))</f>
        <v/>
      </c>
    </row>
    <row r="803" customFormat="false" ht="15" hidden="false" customHeight="false" outlineLevel="0" collapsed="false">
      <c r="A803" s="102"/>
      <c r="E803" s="103" t="str">
        <f aca="false">IF($C803="","",IFERROR(INDEX(المنيو!$C$2:$C$500,MATCH($C803,المنيو!$B$2:$B$500,0)),0))</f>
        <v/>
      </c>
      <c r="F803" s="103" t="str">
        <f aca="false">IF($C803="","",$D803*$E803)</f>
        <v/>
      </c>
      <c r="G803" s="103" t="str">
        <f aca="false">IF($C803="","",$D803*IFERROR(INDEX('تحليل التكلفة والسعر'!$C$2:$C$700,MATCH($C803,'تحليل التكلفة والسعر'!$B$2:$B$700,0)),0))</f>
        <v/>
      </c>
    </row>
    <row r="804" customFormat="false" ht="15" hidden="false" customHeight="false" outlineLevel="0" collapsed="false">
      <c r="A804" s="102"/>
      <c r="E804" s="103" t="str">
        <f aca="false">IF($C804="","",IFERROR(INDEX(المنيو!$C$2:$C$500,MATCH($C804,المنيو!$B$2:$B$500,0)),0))</f>
        <v/>
      </c>
      <c r="F804" s="103" t="str">
        <f aca="false">IF($C804="","",$D804*$E804)</f>
        <v/>
      </c>
      <c r="G804" s="103" t="str">
        <f aca="false">IF($C804="","",$D804*IFERROR(INDEX('تحليل التكلفة والسعر'!$C$2:$C$700,MATCH($C804,'تحليل التكلفة والسعر'!$B$2:$B$700,0)),0))</f>
        <v/>
      </c>
    </row>
    <row r="805" customFormat="false" ht="15" hidden="false" customHeight="false" outlineLevel="0" collapsed="false">
      <c r="A805" s="102"/>
      <c r="E805" s="103" t="str">
        <f aca="false">IF($C805="","",IFERROR(INDEX(المنيو!$C$2:$C$500,MATCH($C805,المنيو!$B$2:$B$500,0)),0))</f>
        <v/>
      </c>
      <c r="F805" s="103" t="str">
        <f aca="false">IF($C805="","",$D805*$E805)</f>
        <v/>
      </c>
      <c r="G805" s="103" t="str">
        <f aca="false">IF($C805="","",$D805*IFERROR(INDEX('تحليل التكلفة والسعر'!$C$2:$C$700,MATCH($C805,'تحليل التكلفة والسعر'!$B$2:$B$700,0)),0))</f>
        <v/>
      </c>
    </row>
    <row r="806" customFormat="false" ht="15" hidden="false" customHeight="false" outlineLevel="0" collapsed="false">
      <c r="A806" s="102"/>
      <c r="E806" s="103" t="str">
        <f aca="false">IF($C806="","",IFERROR(INDEX(المنيو!$C$2:$C$500,MATCH($C806,المنيو!$B$2:$B$500,0)),0))</f>
        <v/>
      </c>
      <c r="F806" s="103" t="str">
        <f aca="false">IF($C806="","",$D806*$E806)</f>
        <v/>
      </c>
      <c r="G806" s="103" t="str">
        <f aca="false">IF($C806="","",$D806*IFERROR(INDEX('تحليل التكلفة والسعر'!$C$2:$C$700,MATCH($C806,'تحليل التكلفة والسعر'!$B$2:$B$700,0)),0))</f>
        <v/>
      </c>
    </row>
    <row r="807" customFormat="false" ht="15" hidden="false" customHeight="false" outlineLevel="0" collapsed="false">
      <c r="A807" s="102"/>
      <c r="E807" s="103" t="str">
        <f aca="false">IF($C807="","",IFERROR(INDEX(المنيو!$C$2:$C$500,MATCH($C807,المنيو!$B$2:$B$500,0)),0))</f>
        <v/>
      </c>
      <c r="F807" s="103" t="str">
        <f aca="false">IF($C807="","",$D807*$E807)</f>
        <v/>
      </c>
      <c r="G807" s="103" t="str">
        <f aca="false">IF($C807="","",$D807*IFERROR(INDEX('تحليل التكلفة والسعر'!$C$2:$C$700,MATCH($C807,'تحليل التكلفة والسعر'!$B$2:$B$700,0)),0))</f>
        <v/>
      </c>
    </row>
    <row r="808" customFormat="false" ht="15" hidden="false" customHeight="false" outlineLevel="0" collapsed="false">
      <c r="A808" s="102"/>
      <c r="E808" s="103" t="str">
        <f aca="false">IF($C808="","",IFERROR(INDEX(المنيو!$C$2:$C$500,MATCH($C808,المنيو!$B$2:$B$500,0)),0))</f>
        <v/>
      </c>
      <c r="F808" s="103" t="str">
        <f aca="false">IF($C808="","",$D808*$E808)</f>
        <v/>
      </c>
      <c r="G808" s="103" t="str">
        <f aca="false">IF($C808="","",$D808*IFERROR(INDEX('تحليل التكلفة والسعر'!$C$2:$C$700,MATCH($C808,'تحليل التكلفة والسعر'!$B$2:$B$700,0)),0))</f>
        <v/>
      </c>
    </row>
    <row r="809" customFormat="false" ht="15" hidden="false" customHeight="false" outlineLevel="0" collapsed="false">
      <c r="A809" s="102"/>
      <c r="E809" s="103" t="str">
        <f aca="false">IF($C809="","",IFERROR(INDEX(المنيو!$C$2:$C$500,MATCH($C809,المنيو!$B$2:$B$500,0)),0))</f>
        <v/>
      </c>
      <c r="F809" s="103" t="str">
        <f aca="false">IF($C809="","",$D809*$E809)</f>
        <v/>
      </c>
      <c r="G809" s="103" t="str">
        <f aca="false">IF($C809="","",$D809*IFERROR(INDEX('تحليل التكلفة والسعر'!$C$2:$C$700,MATCH($C809,'تحليل التكلفة والسعر'!$B$2:$B$700,0)),0))</f>
        <v/>
      </c>
    </row>
    <row r="810" customFormat="false" ht="15" hidden="false" customHeight="false" outlineLevel="0" collapsed="false">
      <c r="A810" s="102"/>
      <c r="E810" s="103" t="str">
        <f aca="false">IF($C810="","",IFERROR(INDEX(المنيو!$C$2:$C$500,MATCH($C810,المنيو!$B$2:$B$500,0)),0))</f>
        <v/>
      </c>
      <c r="F810" s="103" t="str">
        <f aca="false">IF($C810="","",$D810*$E810)</f>
        <v/>
      </c>
      <c r="G810" s="103" t="str">
        <f aca="false">IF($C810="","",$D810*IFERROR(INDEX('تحليل التكلفة والسعر'!$C$2:$C$700,MATCH($C810,'تحليل التكلفة والسعر'!$B$2:$B$700,0)),0))</f>
        <v/>
      </c>
    </row>
    <row r="811" customFormat="false" ht="15" hidden="false" customHeight="false" outlineLevel="0" collapsed="false">
      <c r="A811" s="102"/>
      <c r="E811" s="103" t="str">
        <f aca="false">IF($C811="","",IFERROR(INDEX(المنيو!$C$2:$C$500,MATCH($C811,المنيو!$B$2:$B$500,0)),0))</f>
        <v/>
      </c>
      <c r="F811" s="103" t="str">
        <f aca="false">IF($C811="","",$D811*$E811)</f>
        <v/>
      </c>
      <c r="G811" s="103" t="str">
        <f aca="false">IF($C811="","",$D811*IFERROR(INDEX('تحليل التكلفة والسعر'!$C$2:$C$700,MATCH($C811,'تحليل التكلفة والسعر'!$B$2:$B$700,0)),0))</f>
        <v/>
      </c>
    </row>
    <row r="812" customFormat="false" ht="15" hidden="false" customHeight="false" outlineLevel="0" collapsed="false">
      <c r="A812" s="102"/>
      <c r="E812" s="103" t="str">
        <f aca="false">IF($C812="","",IFERROR(INDEX(المنيو!$C$2:$C$500,MATCH($C812,المنيو!$B$2:$B$500,0)),0))</f>
        <v/>
      </c>
      <c r="F812" s="103" t="str">
        <f aca="false">IF($C812="","",$D812*$E812)</f>
        <v/>
      </c>
      <c r="G812" s="103" t="str">
        <f aca="false">IF($C812="","",$D812*IFERROR(INDEX('تحليل التكلفة والسعر'!$C$2:$C$700,MATCH($C812,'تحليل التكلفة والسعر'!$B$2:$B$700,0)),0))</f>
        <v/>
      </c>
    </row>
    <row r="813" customFormat="false" ht="15" hidden="false" customHeight="false" outlineLevel="0" collapsed="false">
      <c r="A813" s="102"/>
      <c r="E813" s="103" t="str">
        <f aca="false">IF($C813="","",IFERROR(INDEX(المنيو!$C$2:$C$500,MATCH($C813,المنيو!$B$2:$B$500,0)),0))</f>
        <v/>
      </c>
      <c r="F813" s="103" t="str">
        <f aca="false">IF($C813="","",$D813*$E813)</f>
        <v/>
      </c>
      <c r="G813" s="103" t="str">
        <f aca="false">IF($C813="","",$D813*IFERROR(INDEX('تحليل التكلفة والسعر'!$C$2:$C$700,MATCH($C813,'تحليل التكلفة والسعر'!$B$2:$B$700,0)),0))</f>
        <v/>
      </c>
    </row>
    <row r="814" customFormat="false" ht="15" hidden="false" customHeight="false" outlineLevel="0" collapsed="false">
      <c r="A814" s="102"/>
      <c r="E814" s="103" t="str">
        <f aca="false">IF($C814="","",IFERROR(INDEX(المنيو!$C$2:$C$500,MATCH($C814,المنيو!$B$2:$B$500,0)),0))</f>
        <v/>
      </c>
      <c r="F814" s="103" t="str">
        <f aca="false">IF($C814="","",$D814*$E814)</f>
        <v/>
      </c>
      <c r="G814" s="103" t="str">
        <f aca="false">IF($C814="","",$D814*IFERROR(INDEX('تحليل التكلفة والسعر'!$C$2:$C$700,MATCH($C814,'تحليل التكلفة والسعر'!$B$2:$B$700,0)),0))</f>
        <v/>
      </c>
    </row>
    <row r="815" customFormat="false" ht="15" hidden="false" customHeight="false" outlineLevel="0" collapsed="false">
      <c r="A815" s="102"/>
      <c r="E815" s="103" t="str">
        <f aca="false">IF($C815="","",IFERROR(INDEX(المنيو!$C$2:$C$500,MATCH($C815,المنيو!$B$2:$B$500,0)),0))</f>
        <v/>
      </c>
      <c r="F815" s="103" t="str">
        <f aca="false">IF($C815="","",$D815*$E815)</f>
        <v/>
      </c>
      <c r="G815" s="103" t="str">
        <f aca="false">IF($C815="","",$D815*IFERROR(INDEX('تحليل التكلفة والسعر'!$C$2:$C$700,MATCH($C815,'تحليل التكلفة والسعر'!$B$2:$B$700,0)),0))</f>
        <v/>
      </c>
    </row>
    <row r="816" customFormat="false" ht="15" hidden="false" customHeight="false" outlineLevel="0" collapsed="false">
      <c r="A816" s="102"/>
      <c r="E816" s="103" t="str">
        <f aca="false">IF($C816="","",IFERROR(INDEX(المنيو!$C$2:$C$500,MATCH($C816,المنيو!$B$2:$B$500,0)),0))</f>
        <v/>
      </c>
      <c r="F816" s="103" t="str">
        <f aca="false">IF($C816="","",$D816*$E816)</f>
        <v/>
      </c>
      <c r="G816" s="103" t="str">
        <f aca="false">IF($C816="","",$D816*IFERROR(INDEX('تحليل التكلفة والسعر'!$C$2:$C$700,MATCH($C816,'تحليل التكلفة والسعر'!$B$2:$B$700,0)),0))</f>
        <v/>
      </c>
    </row>
    <row r="817" customFormat="false" ht="15" hidden="false" customHeight="false" outlineLevel="0" collapsed="false">
      <c r="A817" s="102"/>
      <c r="E817" s="103" t="str">
        <f aca="false">IF($C817="","",IFERROR(INDEX(المنيو!$C$2:$C$500,MATCH($C817,المنيو!$B$2:$B$500,0)),0))</f>
        <v/>
      </c>
      <c r="F817" s="103" t="str">
        <f aca="false">IF($C817="","",$D817*$E817)</f>
        <v/>
      </c>
      <c r="G817" s="103" t="str">
        <f aca="false">IF($C817="","",$D817*IFERROR(INDEX('تحليل التكلفة والسعر'!$C$2:$C$700,MATCH($C817,'تحليل التكلفة والسعر'!$B$2:$B$700,0)),0))</f>
        <v/>
      </c>
    </row>
    <row r="818" customFormat="false" ht="15" hidden="false" customHeight="false" outlineLevel="0" collapsed="false">
      <c r="A818" s="102"/>
      <c r="E818" s="103" t="str">
        <f aca="false">IF($C818="","",IFERROR(INDEX(المنيو!$C$2:$C$500,MATCH($C818,المنيو!$B$2:$B$500,0)),0))</f>
        <v/>
      </c>
      <c r="F818" s="103" t="str">
        <f aca="false">IF($C818="","",$D818*$E818)</f>
        <v/>
      </c>
      <c r="G818" s="103" t="str">
        <f aca="false">IF($C818="","",$D818*IFERROR(INDEX('تحليل التكلفة والسعر'!$C$2:$C$700,MATCH($C818,'تحليل التكلفة والسعر'!$B$2:$B$700,0)),0))</f>
        <v/>
      </c>
    </row>
    <row r="819" customFormat="false" ht="15" hidden="false" customHeight="false" outlineLevel="0" collapsed="false">
      <c r="A819" s="102"/>
      <c r="E819" s="103" t="str">
        <f aca="false">IF($C819="","",IFERROR(INDEX(المنيو!$C$2:$C$500,MATCH($C819,المنيو!$B$2:$B$500,0)),0))</f>
        <v/>
      </c>
      <c r="F819" s="103" t="str">
        <f aca="false">IF($C819="","",$D819*$E819)</f>
        <v/>
      </c>
      <c r="G819" s="103" t="str">
        <f aca="false">IF($C819="","",$D819*IFERROR(INDEX('تحليل التكلفة والسعر'!$C$2:$C$700,MATCH($C819,'تحليل التكلفة والسعر'!$B$2:$B$700,0)),0))</f>
        <v/>
      </c>
    </row>
    <row r="820" customFormat="false" ht="15" hidden="false" customHeight="false" outlineLevel="0" collapsed="false">
      <c r="A820" s="102"/>
      <c r="E820" s="103" t="str">
        <f aca="false">IF($C820="","",IFERROR(INDEX(المنيو!$C$2:$C$500,MATCH($C820,المنيو!$B$2:$B$500,0)),0))</f>
        <v/>
      </c>
      <c r="F820" s="103" t="str">
        <f aca="false">IF($C820="","",$D820*$E820)</f>
        <v/>
      </c>
      <c r="G820" s="103" t="str">
        <f aca="false">IF($C820="","",$D820*IFERROR(INDEX('تحليل التكلفة والسعر'!$C$2:$C$700,MATCH($C820,'تحليل التكلفة والسعر'!$B$2:$B$700,0)),0))</f>
        <v/>
      </c>
    </row>
    <row r="821" customFormat="false" ht="15" hidden="false" customHeight="false" outlineLevel="0" collapsed="false">
      <c r="A821" s="102"/>
      <c r="E821" s="103" t="str">
        <f aca="false">IF($C821="","",IFERROR(INDEX(المنيو!$C$2:$C$500,MATCH($C821,المنيو!$B$2:$B$500,0)),0))</f>
        <v/>
      </c>
      <c r="F821" s="103" t="str">
        <f aca="false">IF($C821="","",$D821*$E821)</f>
        <v/>
      </c>
      <c r="G821" s="103" t="str">
        <f aca="false">IF($C821="","",$D821*IFERROR(INDEX('تحليل التكلفة والسعر'!$C$2:$C$700,MATCH($C821,'تحليل التكلفة والسعر'!$B$2:$B$700,0)),0))</f>
        <v/>
      </c>
    </row>
    <row r="822" customFormat="false" ht="15" hidden="false" customHeight="false" outlineLevel="0" collapsed="false">
      <c r="A822" s="102"/>
      <c r="E822" s="103" t="str">
        <f aca="false">IF($C822="","",IFERROR(INDEX(المنيو!$C$2:$C$500,MATCH($C822,المنيو!$B$2:$B$500,0)),0))</f>
        <v/>
      </c>
      <c r="F822" s="103" t="str">
        <f aca="false">IF($C822="","",$D822*$E822)</f>
        <v/>
      </c>
      <c r="G822" s="103" t="str">
        <f aca="false">IF($C822="","",$D822*IFERROR(INDEX('تحليل التكلفة والسعر'!$C$2:$C$700,MATCH($C822,'تحليل التكلفة والسعر'!$B$2:$B$700,0)),0))</f>
        <v/>
      </c>
    </row>
    <row r="823" customFormat="false" ht="15" hidden="false" customHeight="false" outlineLevel="0" collapsed="false">
      <c r="A823" s="102"/>
      <c r="E823" s="103" t="str">
        <f aca="false">IF($C823="","",IFERROR(INDEX(المنيو!$C$2:$C$500,MATCH($C823,المنيو!$B$2:$B$500,0)),0))</f>
        <v/>
      </c>
      <c r="F823" s="103" t="str">
        <f aca="false">IF($C823="","",$D823*$E823)</f>
        <v/>
      </c>
      <c r="G823" s="103" t="str">
        <f aca="false">IF($C823="","",$D823*IFERROR(INDEX('تحليل التكلفة والسعر'!$C$2:$C$700,MATCH($C823,'تحليل التكلفة والسعر'!$B$2:$B$700,0)),0))</f>
        <v/>
      </c>
    </row>
    <row r="824" customFormat="false" ht="15" hidden="false" customHeight="false" outlineLevel="0" collapsed="false">
      <c r="A824" s="102"/>
      <c r="E824" s="103" t="str">
        <f aca="false">IF($C824="","",IFERROR(INDEX(المنيو!$C$2:$C$500,MATCH($C824,المنيو!$B$2:$B$500,0)),0))</f>
        <v/>
      </c>
      <c r="F824" s="103" t="str">
        <f aca="false">IF($C824="","",$D824*$E824)</f>
        <v/>
      </c>
      <c r="G824" s="103" t="str">
        <f aca="false">IF($C824="","",$D824*IFERROR(INDEX('تحليل التكلفة والسعر'!$C$2:$C$700,MATCH($C824,'تحليل التكلفة والسعر'!$B$2:$B$700,0)),0))</f>
        <v/>
      </c>
    </row>
    <row r="825" customFormat="false" ht="15" hidden="false" customHeight="false" outlineLevel="0" collapsed="false">
      <c r="A825" s="102"/>
      <c r="E825" s="103" t="str">
        <f aca="false">IF($C825="","",IFERROR(INDEX(المنيو!$C$2:$C$500,MATCH($C825,المنيو!$B$2:$B$500,0)),0))</f>
        <v/>
      </c>
      <c r="F825" s="103" t="str">
        <f aca="false">IF($C825="","",$D825*$E825)</f>
        <v/>
      </c>
      <c r="G825" s="103" t="str">
        <f aca="false">IF($C825="","",$D825*IFERROR(INDEX('تحليل التكلفة والسعر'!$C$2:$C$700,MATCH($C825,'تحليل التكلفة والسعر'!$B$2:$B$700,0)),0))</f>
        <v/>
      </c>
    </row>
    <row r="826" customFormat="false" ht="15" hidden="false" customHeight="false" outlineLevel="0" collapsed="false">
      <c r="A826" s="102"/>
      <c r="E826" s="103" t="str">
        <f aca="false">IF($C826="","",IFERROR(INDEX(المنيو!$C$2:$C$500,MATCH($C826,المنيو!$B$2:$B$500,0)),0))</f>
        <v/>
      </c>
      <c r="F826" s="103" t="str">
        <f aca="false">IF($C826="","",$D826*$E826)</f>
        <v/>
      </c>
      <c r="G826" s="103" t="str">
        <f aca="false">IF($C826="","",$D826*IFERROR(INDEX('تحليل التكلفة والسعر'!$C$2:$C$700,MATCH($C826,'تحليل التكلفة والسعر'!$B$2:$B$700,0)),0))</f>
        <v/>
      </c>
    </row>
    <row r="827" customFormat="false" ht="15" hidden="false" customHeight="false" outlineLevel="0" collapsed="false">
      <c r="A827" s="102"/>
      <c r="E827" s="103" t="str">
        <f aca="false">IF($C827="","",IFERROR(INDEX(المنيو!$C$2:$C$500,MATCH($C827,المنيو!$B$2:$B$500,0)),0))</f>
        <v/>
      </c>
      <c r="F827" s="103" t="str">
        <f aca="false">IF($C827="","",$D827*$E827)</f>
        <v/>
      </c>
      <c r="G827" s="103" t="str">
        <f aca="false">IF($C827="","",$D827*IFERROR(INDEX('تحليل التكلفة والسعر'!$C$2:$C$700,MATCH($C827,'تحليل التكلفة والسعر'!$B$2:$B$700,0)),0))</f>
        <v/>
      </c>
    </row>
    <row r="828" customFormat="false" ht="15" hidden="false" customHeight="false" outlineLevel="0" collapsed="false">
      <c r="A828" s="102"/>
      <c r="E828" s="103" t="str">
        <f aca="false">IF($C828="","",IFERROR(INDEX(المنيو!$C$2:$C$500,MATCH($C828,المنيو!$B$2:$B$500,0)),0))</f>
        <v/>
      </c>
      <c r="F828" s="103" t="str">
        <f aca="false">IF($C828="","",$D828*$E828)</f>
        <v/>
      </c>
      <c r="G828" s="103" t="str">
        <f aca="false">IF($C828="","",$D828*IFERROR(INDEX('تحليل التكلفة والسعر'!$C$2:$C$700,MATCH($C828,'تحليل التكلفة والسعر'!$B$2:$B$700,0)),0))</f>
        <v/>
      </c>
    </row>
    <row r="829" customFormat="false" ht="15" hidden="false" customHeight="false" outlineLevel="0" collapsed="false">
      <c r="A829" s="102"/>
      <c r="E829" s="103" t="str">
        <f aca="false">IF($C829="","",IFERROR(INDEX(المنيو!$C$2:$C$500,MATCH($C829,المنيو!$B$2:$B$500,0)),0))</f>
        <v/>
      </c>
      <c r="F829" s="103" t="str">
        <f aca="false">IF($C829="","",$D829*$E829)</f>
        <v/>
      </c>
      <c r="G829" s="103" t="str">
        <f aca="false">IF($C829="","",$D829*IFERROR(INDEX('تحليل التكلفة والسعر'!$C$2:$C$700,MATCH($C829,'تحليل التكلفة والسعر'!$B$2:$B$700,0)),0))</f>
        <v/>
      </c>
    </row>
    <row r="830" customFormat="false" ht="15" hidden="false" customHeight="false" outlineLevel="0" collapsed="false">
      <c r="A830" s="102"/>
      <c r="E830" s="103" t="str">
        <f aca="false">IF($C830="","",IFERROR(INDEX(المنيو!$C$2:$C$500,MATCH($C830,المنيو!$B$2:$B$500,0)),0))</f>
        <v/>
      </c>
      <c r="F830" s="103" t="str">
        <f aca="false">IF($C830="","",$D830*$E830)</f>
        <v/>
      </c>
      <c r="G830" s="103" t="str">
        <f aca="false">IF($C830="","",$D830*IFERROR(INDEX('تحليل التكلفة والسعر'!$C$2:$C$700,MATCH($C830,'تحليل التكلفة والسعر'!$B$2:$B$700,0)),0))</f>
        <v/>
      </c>
    </row>
    <row r="831" customFormat="false" ht="15" hidden="false" customHeight="false" outlineLevel="0" collapsed="false">
      <c r="A831" s="102"/>
      <c r="E831" s="103" t="str">
        <f aca="false">IF($C831="","",IFERROR(INDEX(المنيو!$C$2:$C$500,MATCH($C831,المنيو!$B$2:$B$500,0)),0))</f>
        <v/>
      </c>
      <c r="F831" s="103" t="str">
        <f aca="false">IF($C831="","",$D831*$E831)</f>
        <v/>
      </c>
      <c r="G831" s="103" t="str">
        <f aca="false">IF($C831="","",$D831*IFERROR(INDEX('تحليل التكلفة والسعر'!$C$2:$C$700,MATCH($C831,'تحليل التكلفة والسعر'!$B$2:$B$700,0)),0))</f>
        <v/>
      </c>
    </row>
    <row r="832" customFormat="false" ht="15" hidden="false" customHeight="false" outlineLevel="0" collapsed="false">
      <c r="A832" s="102"/>
      <c r="E832" s="103" t="str">
        <f aca="false">IF($C832="","",IFERROR(INDEX(المنيو!$C$2:$C$500,MATCH($C832,المنيو!$B$2:$B$500,0)),0))</f>
        <v/>
      </c>
      <c r="F832" s="103" t="str">
        <f aca="false">IF($C832="","",$D832*$E832)</f>
        <v/>
      </c>
      <c r="G832" s="103" t="str">
        <f aca="false">IF($C832="","",$D832*IFERROR(INDEX('تحليل التكلفة والسعر'!$C$2:$C$700,MATCH($C832,'تحليل التكلفة والسعر'!$B$2:$B$700,0)),0))</f>
        <v/>
      </c>
    </row>
    <row r="833" customFormat="false" ht="15" hidden="false" customHeight="false" outlineLevel="0" collapsed="false">
      <c r="A833" s="102"/>
      <c r="E833" s="103" t="str">
        <f aca="false">IF($C833="","",IFERROR(INDEX(المنيو!$C$2:$C$500,MATCH($C833,المنيو!$B$2:$B$500,0)),0))</f>
        <v/>
      </c>
      <c r="F833" s="103" t="str">
        <f aca="false">IF($C833="","",$D833*$E833)</f>
        <v/>
      </c>
      <c r="G833" s="103" t="str">
        <f aca="false">IF($C833="","",$D833*IFERROR(INDEX('تحليل التكلفة والسعر'!$C$2:$C$700,MATCH($C833,'تحليل التكلفة والسعر'!$B$2:$B$700,0)),0))</f>
        <v/>
      </c>
    </row>
    <row r="834" customFormat="false" ht="15" hidden="false" customHeight="false" outlineLevel="0" collapsed="false">
      <c r="A834" s="102"/>
      <c r="E834" s="103" t="str">
        <f aca="false">IF($C834="","",IFERROR(INDEX(المنيو!$C$2:$C$500,MATCH($C834,المنيو!$B$2:$B$500,0)),0))</f>
        <v/>
      </c>
      <c r="F834" s="103" t="str">
        <f aca="false">IF($C834="","",$D834*$E834)</f>
        <v/>
      </c>
      <c r="G834" s="103" t="str">
        <f aca="false">IF($C834="","",$D834*IFERROR(INDEX('تحليل التكلفة والسعر'!$C$2:$C$700,MATCH($C834,'تحليل التكلفة والسعر'!$B$2:$B$700,0)),0))</f>
        <v/>
      </c>
    </row>
    <row r="835" customFormat="false" ht="15" hidden="false" customHeight="false" outlineLevel="0" collapsed="false">
      <c r="A835" s="102"/>
      <c r="E835" s="103" t="str">
        <f aca="false">IF($C835="","",IFERROR(INDEX(المنيو!$C$2:$C$500,MATCH($C835,المنيو!$B$2:$B$500,0)),0))</f>
        <v/>
      </c>
      <c r="F835" s="103" t="str">
        <f aca="false">IF($C835="","",$D835*$E835)</f>
        <v/>
      </c>
      <c r="G835" s="103" t="str">
        <f aca="false">IF($C835="","",$D835*IFERROR(INDEX('تحليل التكلفة والسعر'!$C$2:$C$700,MATCH($C835,'تحليل التكلفة والسعر'!$B$2:$B$700,0)),0))</f>
        <v/>
      </c>
    </row>
    <row r="836" customFormat="false" ht="15" hidden="false" customHeight="false" outlineLevel="0" collapsed="false">
      <c r="A836" s="102"/>
      <c r="E836" s="103" t="str">
        <f aca="false">IF($C836="","",IFERROR(INDEX(المنيو!$C$2:$C$500,MATCH($C836,المنيو!$B$2:$B$500,0)),0))</f>
        <v/>
      </c>
      <c r="F836" s="103" t="str">
        <f aca="false">IF($C836="","",$D836*$E836)</f>
        <v/>
      </c>
      <c r="G836" s="103" t="str">
        <f aca="false">IF($C836="","",$D836*IFERROR(INDEX('تحليل التكلفة والسعر'!$C$2:$C$700,MATCH($C836,'تحليل التكلفة والسعر'!$B$2:$B$700,0)),0))</f>
        <v/>
      </c>
    </row>
    <row r="837" customFormat="false" ht="15" hidden="false" customHeight="false" outlineLevel="0" collapsed="false">
      <c r="A837" s="102"/>
      <c r="E837" s="103" t="str">
        <f aca="false">IF($C837="","",IFERROR(INDEX(المنيو!$C$2:$C$500,MATCH($C837,المنيو!$B$2:$B$500,0)),0))</f>
        <v/>
      </c>
      <c r="F837" s="103" t="str">
        <f aca="false">IF($C837="","",$D837*$E837)</f>
        <v/>
      </c>
      <c r="G837" s="103" t="str">
        <f aca="false">IF($C837="","",$D837*IFERROR(INDEX('تحليل التكلفة والسعر'!$C$2:$C$700,MATCH($C837,'تحليل التكلفة والسعر'!$B$2:$B$700,0)),0))</f>
        <v/>
      </c>
    </row>
    <row r="838" customFormat="false" ht="15" hidden="false" customHeight="false" outlineLevel="0" collapsed="false">
      <c r="A838" s="102"/>
      <c r="E838" s="103" t="str">
        <f aca="false">IF($C838="","",IFERROR(INDEX(المنيو!$C$2:$C$500,MATCH($C838,المنيو!$B$2:$B$500,0)),0))</f>
        <v/>
      </c>
      <c r="F838" s="103" t="str">
        <f aca="false">IF($C838="","",$D838*$E838)</f>
        <v/>
      </c>
      <c r="G838" s="103" t="str">
        <f aca="false">IF($C838="","",$D838*IFERROR(INDEX('تحليل التكلفة والسعر'!$C$2:$C$700,MATCH($C838,'تحليل التكلفة والسعر'!$B$2:$B$700,0)),0))</f>
        <v/>
      </c>
    </row>
    <row r="839" customFormat="false" ht="15" hidden="false" customHeight="false" outlineLevel="0" collapsed="false">
      <c r="A839" s="102"/>
      <c r="E839" s="103" t="str">
        <f aca="false">IF($C839="","",IFERROR(INDEX(المنيو!$C$2:$C$500,MATCH($C839,المنيو!$B$2:$B$500,0)),0))</f>
        <v/>
      </c>
      <c r="F839" s="103" t="str">
        <f aca="false">IF($C839="","",$D839*$E839)</f>
        <v/>
      </c>
      <c r="G839" s="103" t="str">
        <f aca="false">IF($C839="","",$D839*IFERROR(INDEX('تحليل التكلفة والسعر'!$C$2:$C$700,MATCH($C839,'تحليل التكلفة والسعر'!$B$2:$B$700,0)),0))</f>
        <v/>
      </c>
    </row>
    <row r="840" customFormat="false" ht="15" hidden="false" customHeight="false" outlineLevel="0" collapsed="false">
      <c r="A840" s="102"/>
      <c r="E840" s="103" t="str">
        <f aca="false">IF($C840="","",IFERROR(INDEX(المنيو!$C$2:$C$500,MATCH($C840,المنيو!$B$2:$B$500,0)),0))</f>
        <v/>
      </c>
      <c r="F840" s="103" t="str">
        <f aca="false">IF($C840="","",$D840*$E840)</f>
        <v/>
      </c>
      <c r="G840" s="103" t="str">
        <f aca="false">IF($C840="","",$D840*IFERROR(INDEX('تحليل التكلفة والسعر'!$C$2:$C$700,MATCH($C840,'تحليل التكلفة والسعر'!$B$2:$B$700,0)),0))</f>
        <v/>
      </c>
    </row>
    <row r="841" customFormat="false" ht="15" hidden="false" customHeight="false" outlineLevel="0" collapsed="false">
      <c r="A841" s="102"/>
      <c r="E841" s="103" t="str">
        <f aca="false">IF($C841="","",IFERROR(INDEX(المنيو!$C$2:$C$500,MATCH($C841,المنيو!$B$2:$B$500,0)),0))</f>
        <v/>
      </c>
      <c r="F841" s="103" t="str">
        <f aca="false">IF($C841="","",$D841*$E841)</f>
        <v/>
      </c>
      <c r="G841" s="103" t="str">
        <f aca="false">IF($C841="","",$D841*IFERROR(INDEX('تحليل التكلفة والسعر'!$C$2:$C$700,MATCH($C841,'تحليل التكلفة والسعر'!$B$2:$B$700,0)),0))</f>
        <v/>
      </c>
    </row>
    <row r="842" customFormat="false" ht="15" hidden="false" customHeight="false" outlineLevel="0" collapsed="false">
      <c r="A842" s="102"/>
      <c r="E842" s="103" t="str">
        <f aca="false">IF($C842="","",IFERROR(INDEX(المنيو!$C$2:$C$500,MATCH($C842,المنيو!$B$2:$B$500,0)),0))</f>
        <v/>
      </c>
      <c r="F842" s="103" t="str">
        <f aca="false">IF($C842="","",$D842*$E842)</f>
        <v/>
      </c>
      <c r="G842" s="103" t="str">
        <f aca="false">IF($C842="","",$D842*IFERROR(INDEX('تحليل التكلفة والسعر'!$C$2:$C$700,MATCH($C842,'تحليل التكلفة والسعر'!$B$2:$B$700,0)),0))</f>
        <v/>
      </c>
    </row>
    <row r="843" customFormat="false" ht="15" hidden="false" customHeight="false" outlineLevel="0" collapsed="false">
      <c r="A843" s="102"/>
      <c r="E843" s="103" t="str">
        <f aca="false">IF($C843="","",IFERROR(INDEX(المنيو!$C$2:$C$500,MATCH($C843,المنيو!$B$2:$B$500,0)),0))</f>
        <v/>
      </c>
      <c r="F843" s="103" t="str">
        <f aca="false">IF($C843="","",$D843*$E843)</f>
        <v/>
      </c>
      <c r="G843" s="103" t="str">
        <f aca="false">IF($C843="","",$D843*IFERROR(INDEX('تحليل التكلفة والسعر'!$C$2:$C$700,MATCH($C843,'تحليل التكلفة والسعر'!$B$2:$B$700,0)),0))</f>
        <v/>
      </c>
    </row>
    <row r="844" customFormat="false" ht="15" hidden="false" customHeight="false" outlineLevel="0" collapsed="false">
      <c r="A844" s="102"/>
      <c r="E844" s="103" t="str">
        <f aca="false">IF($C844="","",IFERROR(INDEX(المنيو!$C$2:$C$500,MATCH($C844,المنيو!$B$2:$B$500,0)),0))</f>
        <v/>
      </c>
      <c r="F844" s="103" t="str">
        <f aca="false">IF($C844="","",$D844*$E844)</f>
        <v/>
      </c>
      <c r="G844" s="103" t="str">
        <f aca="false">IF($C844="","",$D844*IFERROR(INDEX('تحليل التكلفة والسعر'!$C$2:$C$700,MATCH($C844,'تحليل التكلفة والسعر'!$B$2:$B$700,0)),0))</f>
        <v/>
      </c>
    </row>
    <row r="845" customFormat="false" ht="15" hidden="false" customHeight="false" outlineLevel="0" collapsed="false">
      <c r="A845" s="102"/>
      <c r="E845" s="103" t="str">
        <f aca="false">IF($C845="","",IFERROR(INDEX(المنيو!$C$2:$C$500,MATCH($C845,المنيو!$B$2:$B$500,0)),0))</f>
        <v/>
      </c>
      <c r="F845" s="103" t="str">
        <f aca="false">IF($C845="","",$D845*$E845)</f>
        <v/>
      </c>
      <c r="G845" s="103" t="str">
        <f aca="false">IF($C845="","",$D845*IFERROR(INDEX('تحليل التكلفة والسعر'!$C$2:$C$700,MATCH($C845,'تحليل التكلفة والسعر'!$B$2:$B$700,0)),0))</f>
        <v/>
      </c>
    </row>
    <row r="846" customFormat="false" ht="15" hidden="false" customHeight="false" outlineLevel="0" collapsed="false">
      <c r="A846" s="102"/>
      <c r="E846" s="103" t="str">
        <f aca="false">IF($C846="","",IFERROR(INDEX(المنيو!$C$2:$C$500,MATCH($C846,المنيو!$B$2:$B$500,0)),0))</f>
        <v/>
      </c>
      <c r="F846" s="103" t="str">
        <f aca="false">IF($C846="","",$D846*$E846)</f>
        <v/>
      </c>
      <c r="G846" s="103" t="str">
        <f aca="false">IF($C846="","",$D846*IFERROR(INDEX('تحليل التكلفة والسعر'!$C$2:$C$700,MATCH($C846,'تحليل التكلفة والسعر'!$B$2:$B$700,0)),0))</f>
        <v/>
      </c>
    </row>
    <row r="847" customFormat="false" ht="15" hidden="false" customHeight="false" outlineLevel="0" collapsed="false">
      <c r="A847" s="102"/>
      <c r="E847" s="103" t="str">
        <f aca="false">IF($C847="","",IFERROR(INDEX(المنيو!$C$2:$C$500,MATCH($C847,المنيو!$B$2:$B$500,0)),0))</f>
        <v/>
      </c>
      <c r="F847" s="103" t="str">
        <f aca="false">IF($C847="","",$D847*$E847)</f>
        <v/>
      </c>
      <c r="G847" s="103" t="str">
        <f aca="false">IF($C847="","",$D847*IFERROR(INDEX('تحليل التكلفة والسعر'!$C$2:$C$700,MATCH($C847,'تحليل التكلفة والسعر'!$B$2:$B$700,0)),0))</f>
        <v/>
      </c>
    </row>
    <row r="848" customFormat="false" ht="15" hidden="false" customHeight="false" outlineLevel="0" collapsed="false">
      <c r="A848" s="102"/>
      <c r="E848" s="103" t="str">
        <f aca="false">IF($C848="","",IFERROR(INDEX(المنيو!$C$2:$C$500,MATCH($C848,المنيو!$B$2:$B$500,0)),0))</f>
        <v/>
      </c>
      <c r="F848" s="103" t="str">
        <f aca="false">IF($C848="","",$D848*$E848)</f>
        <v/>
      </c>
      <c r="G848" s="103" t="str">
        <f aca="false">IF($C848="","",$D848*IFERROR(INDEX('تحليل التكلفة والسعر'!$C$2:$C$700,MATCH($C848,'تحليل التكلفة والسعر'!$B$2:$B$700,0)),0))</f>
        <v/>
      </c>
    </row>
    <row r="849" customFormat="false" ht="15" hidden="false" customHeight="false" outlineLevel="0" collapsed="false">
      <c r="A849" s="102"/>
      <c r="E849" s="103" t="str">
        <f aca="false">IF($C849="","",IFERROR(INDEX(المنيو!$C$2:$C$500,MATCH($C849,المنيو!$B$2:$B$500,0)),0))</f>
        <v/>
      </c>
      <c r="F849" s="103" t="str">
        <f aca="false">IF($C849="","",$D849*$E849)</f>
        <v/>
      </c>
      <c r="G849" s="103" t="str">
        <f aca="false">IF($C849="","",$D849*IFERROR(INDEX('تحليل التكلفة والسعر'!$C$2:$C$700,MATCH($C849,'تحليل التكلفة والسعر'!$B$2:$B$700,0)),0))</f>
        <v/>
      </c>
    </row>
    <row r="850" customFormat="false" ht="15" hidden="false" customHeight="false" outlineLevel="0" collapsed="false">
      <c r="A850" s="102"/>
      <c r="E850" s="103" t="str">
        <f aca="false">IF($C850="","",IFERROR(INDEX(المنيو!$C$2:$C$500,MATCH($C850,المنيو!$B$2:$B$500,0)),0))</f>
        <v/>
      </c>
      <c r="F850" s="103" t="str">
        <f aca="false">IF($C850="","",$D850*$E850)</f>
        <v/>
      </c>
      <c r="G850" s="103" t="str">
        <f aca="false">IF($C850="","",$D850*IFERROR(INDEX('تحليل التكلفة والسعر'!$C$2:$C$700,MATCH($C850,'تحليل التكلفة والسعر'!$B$2:$B$700,0)),0))</f>
        <v/>
      </c>
    </row>
    <row r="851" customFormat="false" ht="15" hidden="false" customHeight="false" outlineLevel="0" collapsed="false">
      <c r="A851" s="102"/>
      <c r="E851" s="103" t="str">
        <f aca="false">IF($C851="","",IFERROR(INDEX(المنيو!$C$2:$C$500,MATCH($C851,المنيو!$B$2:$B$500,0)),0))</f>
        <v/>
      </c>
      <c r="F851" s="103" t="str">
        <f aca="false">IF($C851="","",$D851*$E851)</f>
        <v/>
      </c>
      <c r="G851" s="103" t="str">
        <f aca="false">IF($C851="","",$D851*IFERROR(INDEX('تحليل التكلفة والسعر'!$C$2:$C$700,MATCH($C851,'تحليل التكلفة والسعر'!$B$2:$B$700,0)),0))</f>
        <v/>
      </c>
    </row>
    <row r="852" customFormat="false" ht="15" hidden="false" customHeight="false" outlineLevel="0" collapsed="false">
      <c r="A852" s="102"/>
      <c r="E852" s="103" t="str">
        <f aca="false">IF($C852="","",IFERROR(INDEX(المنيو!$C$2:$C$500,MATCH($C852,المنيو!$B$2:$B$500,0)),0))</f>
        <v/>
      </c>
      <c r="F852" s="103" t="str">
        <f aca="false">IF($C852="","",$D852*$E852)</f>
        <v/>
      </c>
      <c r="G852" s="103" t="str">
        <f aca="false">IF($C852="","",$D852*IFERROR(INDEX('تحليل التكلفة والسعر'!$C$2:$C$700,MATCH($C852,'تحليل التكلفة والسعر'!$B$2:$B$700,0)),0))</f>
        <v/>
      </c>
    </row>
    <row r="853" customFormat="false" ht="15" hidden="false" customHeight="false" outlineLevel="0" collapsed="false">
      <c r="A853" s="102"/>
      <c r="E853" s="103" t="str">
        <f aca="false">IF($C853="","",IFERROR(INDEX(المنيو!$C$2:$C$500,MATCH($C853,المنيو!$B$2:$B$500,0)),0))</f>
        <v/>
      </c>
      <c r="F853" s="103" t="str">
        <f aca="false">IF($C853="","",$D853*$E853)</f>
        <v/>
      </c>
      <c r="G853" s="103" t="str">
        <f aca="false">IF($C853="","",$D853*IFERROR(INDEX('تحليل التكلفة والسعر'!$C$2:$C$700,MATCH($C853,'تحليل التكلفة والسعر'!$B$2:$B$700,0)),0))</f>
        <v/>
      </c>
    </row>
    <row r="854" customFormat="false" ht="15" hidden="false" customHeight="false" outlineLevel="0" collapsed="false">
      <c r="A854" s="102"/>
      <c r="E854" s="103" t="str">
        <f aca="false">IF($C854="","",IFERROR(INDEX(المنيو!$C$2:$C$500,MATCH($C854,المنيو!$B$2:$B$500,0)),0))</f>
        <v/>
      </c>
      <c r="F854" s="103" t="str">
        <f aca="false">IF($C854="","",$D854*$E854)</f>
        <v/>
      </c>
      <c r="G854" s="103" t="str">
        <f aca="false">IF($C854="","",$D854*IFERROR(INDEX('تحليل التكلفة والسعر'!$C$2:$C$700,MATCH($C854,'تحليل التكلفة والسعر'!$B$2:$B$700,0)),0))</f>
        <v/>
      </c>
    </row>
    <row r="855" customFormat="false" ht="15" hidden="false" customHeight="false" outlineLevel="0" collapsed="false">
      <c r="A855" s="102"/>
      <c r="E855" s="103" t="str">
        <f aca="false">IF($C855="","",IFERROR(INDEX(المنيو!$C$2:$C$500,MATCH($C855,المنيو!$B$2:$B$500,0)),0))</f>
        <v/>
      </c>
      <c r="F855" s="103" t="str">
        <f aca="false">IF($C855="","",$D855*$E855)</f>
        <v/>
      </c>
      <c r="G855" s="103" t="str">
        <f aca="false">IF($C855="","",$D855*IFERROR(INDEX('تحليل التكلفة والسعر'!$C$2:$C$700,MATCH($C855,'تحليل التكلفة والسعر'!$B$2:$B$700,0)),0))</f>
        <v/>
      </c>
    </row>
    <row r="856" customFormat="false" ht="15" hidden="false" customHeight="false" outlineLevel="0" collapsed="false">
      <c r="A856" s="102"/>
      <c r="E856" s="103" t="str">
        <f aca="false">IF($C856="","",IFERROR(INDEX(المنيو!$C$2:$C$500,MATCH($C856,المنيو!$B$2:$B$500,0)),0))</f>
        <v/>
      </c>
      <c r="F856" s="103" t="str">
        <f aca="false">IF($C856="","",$D856*$E856)</f>
        <v/>
      </c>
      <c r="G856" s="103" t="str">
        <f aca="false">IF($C856="","",$D856*IFERROR(INDEX('تحليل التكلفة والسعر'!$C$2:$C$700,MATCH($C856,'تحليل التكلفة والسعر'!$B$2:$B$700,0)),0))</f>
        <v/>
      </c>
    </row>
    <row r="857" customFormat="false" ht="15" hidden="false" customHeight="false" outlineLevel="0" collapsed="false">
      <c r="A857" s="102"/>
      <c r="E857" s="103" t="str">
        <f aca="false">IF($C857="","",IFERROR(INDEX(المنيو!$C$2:$C$500,MATCH($C857,المنيو!$B$2:$B$500,0)),0))</f>
        <v/>
      </c>
      <c r="F857" s="103" t="str">
        <f aca="false">IF($C857="","",$D857*$E857)</f>
        <v/>
      </c>
      <c r="G857" s="103" t="str">
        <f aca="false">IF($C857="","",$D857*IFERROR(INDEX('تحليل التكلفة والسعر'!$C$2:$C$700,MATCH($C857,'تحليل التكلفة والسعر'!$B$2:$B$700,0)),0))</f>
        <v/>
      </c>
    </row>
    <row r="858" customFormat="false" ht="15" hidden="false" customHeight="false" outlineLevel="0" collapsed="false">
      <c r="A858" s="102"/>
      <c r="E858" s="103" t="str">
        <f aca="false">IF($C858="","",IFERROR(INDEX(المنيو!$C$2:$C$500,MATCH($C858,المنيو!$B$2:$B$500,0)),0))</f>
        <v/>
      </c>
      <c r="F858" s="103" t="str">
        <f aca="false">IF($C858="","",$D858*$E858)</f>
        <v/>
      </c>
      <c r="G858" s="103" t="str">
        <f aca="false">IF($C858="","",$D858*IFERROR(INDEX('تحليل التكلفة والسعر'!$C$2:$C$700,MATCH($C858,'تحليل التكلفة والسعر'!$B$2:$B$700,0)),0))</f>
        <v/>
      </c>
    </row>
    <row r="859" customFormat="false" ht="15" hidden="false" customHeight="false" outlineLevel="0" collapsed="false">
      <c r="A859" s="102"/>
      <c r="E859" s="103" t="str">
        <f aca="false">IF($C859="","",IFERROR(INDEX(المنيو!$C$2:$C$500,MATCH($C859,المنيو!$B$2:$B$500,0)),0))</f>
        <v/>
      </c>
      <c r="F859" s="103" t="str">
        <f aca="false">IF($C859="","",$D859*$E859)</f>
        <v/>
      </c>
      <c r="G859" s="103" t="str">
        <f aca="false">IF($C859="","",$D859*IFERROR(INDEX('تحليل التكلفة والسعر'!$C$2:$C$700,MATCH($C859,'تحليل التكلفة والسعر'!$B$2:$B$700,0)),0))</f>
        <v/>
      </c>
    </row>
    <row r="860" customFormat="false" ht="15" hidden="false" customHeight="false" outlineLevel="0" collapsed="false">
      <c r="A860" s="102"/>
      <c r="E860" s="103" t="str">
        <f aca="false">IF($C860="","",IFERROR(INDEX(المنيو!$C$2:$C$500,MATCH($C860,المنيو!$B$2:$B$500,0)),0))</f>
        <v/>
      </c>
      <c r="F860" s="103" t="str">
        <f aca="false">IF($C860="","",$D860*$E860)</f>
        <v/>
      </c>
      <c r="G860" s="103" t="str">
        <f aca="false">IF($C860="","",$D860*IFERROR(INDEX('تحليل التكلفة والسعر'!$C$2:$C$700,MATCH($C860,'تحليل التكلفة والسعر'!$B$2:$B$700,0)),0))</f>
        <v/>
      </c>
    </row>
    <row r="861" customFormat="false" ht="15" hidden="false" customHeight="false" outlineLevel="0" collapsed="false">
      <c r="A861" s="102"/>
      <c r="E861" s="103" t="str">
        <f aca="false">IF($C861="","",IFERROR(INDEX(المنيو!$C$2:$C$500,MATCH($C861,المنيو!$B$2:$B$500,0)),0))</f>
        <v/>
      </c>
      <c r="F861" s="103" t="str">
        <f aca="false">IF($C861="","",$D861*$E861)</f>
        <v/>
      </c>
      <c r="G861" s="103" t="str">
        <f aca="false">IF($C861="","",$D861*IFERROR(INDEX('تحليل التكلفة والسعر'!$C$2:$C$700,MATCH($C861,'تحليل التكلفة والسعر'!$B$2:$B$700,0)),0))</f>
        <v/>
      </c>
    </row>
    <row r="862" customFormat="false" ht="15" hidden="false" customHeight="false" outlineLevel="0" collapsed="false">
      <c r="A862" s="102"/>
      <c r="E862" s="103" t="str">
        <f aca="false">IF($C862="","",IFERROR(INDEX(المنيو!$C$2:$C$500,MATCH($C862,المنيو!$B$2:$B$500,0)),0))</f>
        <v/>
      </c>
      <c r="F862" s="103" t="str">
        <f aca="false">IF($C862="","",$D862*$E862)</f>
        <v/>
      </c>
      <c r="G862" s="103" t="str">
        <f aca="false">IF($C862="","",$D862*IFERROR(INDEX('تحليل التكلفة والسعر'!$C$2:$C$700,MATCH($C862,'تحليل التكلفة والسعر'!$B$2:$B$700,0)),0))</f>
        <v/>
      </c>
    </row>
    <row r="863" customFormat="false" ht="15" hidden="false" customHeight="false" outlineLevel="0" collapsed="false">
      <c r="A863" s="102"/>
      <c r="E863" s="103" t="str">
        <f aca="false">IF($C863="","",IFERROR(INDEX(المنيو!$C$2:$C$500,MATCH($C863,المنيو!$B$2:$B$500,0)),0))</f>
        <v/>
      </c>
      <c r="F863" s="103" t="str">
        <f aca="false">IF($C863="","",$D863*$E863)</f>
        <v/>
      </c>
      <c r="G863" s="103" t="str">
        <f aca="false">IF($C863="","",$D863*IFERROR(INDEX('تحليل التكلفة والسعر'!$C$2:$C$700,MATCH($C863,'تحليل التكلفة والسعر'!$B$2:$B$700,0)),0))</f>
        <v/>
      </c>
    </row>
    <row r="864" customFormat="false" ht="15" hidden="false" customHeight="false" outlineLevel="0" collapsed="false">
      <c r="A864" s="102"/>
      <c r="E864" s="103" t="str">
        <f aca="false">IF($C864="","",IFERROR(INDEX(المنيو!$C$2:$C$500,MATCH($C864,المنيو!$B$2:$B$500,0)),0))</f>
        <v/>
      </c>
      <c r="F864" s="103" t="str">
        <f aca="false">IF($C864="","",$D864*$E864)</f>
        <v/>
      </c>
      <c r="G864" s="103" t="str">
        <f aca="false">IF($C864="","",$D864*IFERROR(INDEX('تحليل التكلفة والسعر'!$C$2:$C$700,MATCH($C864,'تحليل التكلفة والسعر'!$B$2:$B$700,0)),0))</f>
        <v/>
      </c>
    </row>
    <row r="865" customFormat="false" ht="15" hidden="false" customHeight="false" outlineLevel="0" collapsed="false">
      <c r="A865" s="102"/>
      <c r="E865" s="103" t="str">
        <f aca="false">IF($C865="","",IFERROR(INDEX(المنيو!$C$2:$C$500,MATCH($C865,المنيو!$B$2:$B$500,0)),0))</f>
        <v/>
      </c>
      <c r="F865" s="103" t="str">
        <f aca="false">IF($C865="","",$D865*$E865)</f>
        <v/>
      </c>
      <c r="G865" s="103" t="str">
        <f aca="false">IF($C865="","",$D865*IFERROR(INDEX('تحليل التكلفة والسعر'!$C$2:$C$700,MATCH($C865,'تحليل التكلفة والسعر'!$B$2:$B$700,0)),0))</f>
        <v/>
      </c>
    </row>
    <row r="866" customFormat="false" ht="15" hidden="false" customHeight="false" outlineLevel="0" collapsed="false">
      <c r="A866" s="102"/>
      <c r="E866" s="103" t="str">
        <f aca="false">IF($C866="","",IFERROR(INDEX(المنيو!$C$2:$C$500,MATCH($C866,المنيو!$B$2:$B$500,0)),0))</f>
        <v/>
      </c>
      <c r="F866" s="103" t="str">
        <f aca="false">IF($C866="","",$D866*$E866)</f>
        <v/>
      </c>
      <c r="G866" s="103" t="str">
        <f aca="false">IF($C866="","",$D866*IFERROR(INDEX('تحليل التكلفة والسعر'!$C$2:$C$700,MATCH($C866,'تحليل التكلفة والسعر'!$B$2:$B$700,0)),0))</f>
        <v/>
      </c>
    </row>
    <row r="867" customFormat="false" ht="15" hidden="false" customHeight="false" outlineLevel="0" collapsed="false">
      <c r="A867" s="102"/>
      <c r="E867" s="103" t="str">
        <f aca="false">IF($C867="","",IFERROR(INDEX(المنيو!$C$2:$C$500,MATCH($C867,المنيو!$B$2:$B$500,0)),0))</f>
        <v/>
      </c>
      <c r="F867" s="103" t="str">
        <f aca="false">IF($C867="","",$D867*$E867)</f>
        <v/>
      </c>
      <c r="G867" s="103" t="str">
        <f aca="false">IF($C867="","",$D867*IFERROR(INDEX('تحليل التكلفة والسعر'!$C$2:$C$700,MATCH($C867,'تحليل التكلفة والسعر'!$B$2:$B$700,0)),0))</f>
        <v/>
      </c>
    </row>
    <row r="868" customFormat="false" ht="15" hidden="false" customHeight="false" outlineLevel="0" collapsed="false">
      <c r="A868" s="102"/>
      <c r="E868" s="103" t="str">
        <f aca="false">IF($C868="","",IFERROR(INDEX(المنيو!$C$2:$C$500,MATCH($C868,المنيو!$B$2:$B$500,0)),0))</f>
        <v/>
      </c>
      <c r="F868" s="103" t="str">
        <f aca="false">IF($C868="","",$D868*$E868)</f>
        <v/>
      </c>
      <c r="G868" s="103" t="str">
        <f aca="false">IF($C868="","",$D868*IFERROR(INDEX('تحليل التكلفة والسعر'!$C$2:$C$700,MATCH($C868,'تحليل التكلفة والسعر'!$B$2:$B$700,0)),0))</f>
        <v/>
      </c>
    </row>
    <row r="869" customFormat="false" ht="15" hidden="false" customHeight="false" outlineLevel="0" collapsed="false">
      <c r="A869" s="102"/>
      <c r="E869" s="103" t="str">
        <f aca="false">IF($C869="","",IFERROR(INDEX(المنيو!$C$2:$C$500,MATCH($C869,المنيو!$B$2:$B$500,0)),0))</f>
        <v/>
      </c>
      <c r="F869" s="103" t="str">
        <f aca="false">IF($C869="","",$D869*$E869)</f>
        <v/>
      </c>
      <c r="G869" s="103" t="str">
        <f aca="false">IF($C869="","",$D869*IFERROR(INDEX('تحليل التكلفة والسعر'!$C$2:$C$700,MATCH($C869,'تحليل التكلفة والسعر'!$B$2:$B$700,0)),0))</f>
        <v/>
      </c>
    </row>
    <row r="870" customFormat="false" ht="15" hidden="false" customHeight="false" outlineLevel="0" collapsed="false">
      <c r="A870" s="102"/>
      <c r="E870" s="103" t="str">
        <f aca="false">IF($C870="","",IFERROR(INDEX(المنيو!$C$2:$C$500,MATCH($C870,المنيو!$B$2:$B$500,0)),0))</f>
        <v/>
      </c>
      <c r="F870" s="103" t="str">
        <f aca="false">IF($C870="","",$D870*$E870)</f>
        <v/>
      </c>
      <c r="G870" s="103" t="str">
        <f aca="false">IF($C870="","",$D870*IFERROR(INDEX('تحليل التكلفة والسعر'!$C$2:$C$700,MATCH($C870,'تحليل التكلفة والسعر'!$B$2:$B$700,0)),0))</f>
        <v/>
      </c>
    </row>
    <row r="871" customFormat="false" ht="15" hidden="false" customHeight="false" outlineLevel="0" collapsed="false">
      <c r="A871" s="102"/>
      <c r="E871" s="103" t="str">
        <f aca="false">IF($C871="","",IFERROR(INDEX(المنيو!$C$2:$C$500,MATCH($C871,المنيو!$B$2:$B$500,0)),0))</f>
        <v/>
      </c>
      <c r="F871" s="103" t="str">
        <f aca="false">IF($C871="","",$D871*$E871)</f>
        <v/>
      </c>
      <c r="G871" s="103" t="str">
        <f aca="false">IF($C871="","",$D871*IFERROR(INDEX('تحليل التكلفة والسعر'!$C$2:$C$700,MATCH($C871,'تحليل التكلفة والسعر'!$B$2:$B$700,0)),0))</f>
        <v/>
      </c>
    </row>
    <row r="872" customFormat="false" ht="15" hidden="false" customHeight="false" outlineLevel="0" collapsed="false">
      <c r="A872" s="102"/>
      <c r="E872" s="103" t="str">
        <f aca="false">IF($C872="","",IFERROR(INDEX(المنيو!$C$2:$C$500,MATCH($C872,المنيو!$B$2:$B$500,0)),0))</f>
        <v/>
      </c>
      <c r="F872" s="103" t="str">
        <f aca="false">IF($C872="","",$D872*$E872)</f>
        <v/>
      </c>
      <c r="G872" s="103" t="str">
        <f aca="false">IF($C872="","",$D872*IFERROR(INDEX('تحليل التكلفة والسعر'!$C$2:$C$700,MATCH($C872,'تحليل التكلفة والسعر'!$B$2:$B$700,0)),0))</f>
        <v/>
      </c>
    </row>
    <row r="873" customFormat="false" ht="15" hidden="false" customHeight="false" outlineLevel="0" collapsed="false">
      <c r="A873" s="102"/>
      <c r="E873" s="103" t="str">
        <f aca="false">IF($C873="","",IFERROR(INDEX(المنيو!$C$2:$C$500,MATCH($C873,المنيو!$B$2:$B$500,0)),0))</f>
        <v/>
      </c>
      <c r="F873" s="103" t="str">
        <f aca="false">IF($C873="","",$D873*$E873)</f>
        <v/>
      </c>
      <c r="G873" s="103" t="str">
        <f aca="false">IF($C873="","",$D873*IFERROR(INDEX('تحليل التكلفة والسعر'!$C$2:$C$700,MATCH($C873,'تحليل التكلفة والسعر'!$B$2:$B$700,0)),0))</f>
        <v/>
      </c>
    </row>
    <row r="874" customFormat="false" ht="15" hidden="false" customHeight="false" outlineLevel="0" collapsed="false">
      <c r="A874" s="102"/>
      <c r="E874" s="103" t="str">
        <f aca="false">IF($C874="","",IFERROR(INDEX(المنيو!$C$2:$C$500,MATCH($C874,المنيو!$B$2:$B$500,0)),0))</f>
        <v/>
      </c>
      <c r="F874" s="103" t="str">
        <f aca="false">IF($C874="","",$D874*$E874)</f>
        <v/>
      </c>
      <c r="G874" s="103" t="str">
        <f aca="false">IF($C874="","",$D874*IFERROR(INDEX('تحليل التكلفة والسعر'!$C$2:$C$700,MATCH($C874,'تحليل التكلفة والسعر'!$B$2:$B$700,0)),0))</f>
        <v/>
      </c>
    </row>
    <row r="875" customFormat="false" ht="15" hidden="false" customHeight="false" outlineLevel="0" collapsed="false">
      <c r="A875" s="102"/>
      <c r="E875" s="103" t="str">
        <f aca="false">IF($C875="","",IFERROR(INDEX(المنيو!$C$2:$C$500,MATCH($C875,المنيو!$B$2:$B$500,0)),0))</f>
        <v/>
      </c>
      <c r="F875" s="103" t="str">
        <f aca="false">IF($C875="","",$D875*$E875)</f>
        <v/>
      </c>
      <c r="G875" s="103" t="str">
        <f aca="false">IF($C875="","",$D875*IFERROR(INDEX('تحليل التكلفة والسعر'!$C$2:$C$700,MATCH($C875,'تحليل التكلفة والسعر'!$B$2:$B$700,0)),0))</f>
        <v/>
      </c>
    </row>
    <row r="876" customFormat="false" ht="15" hidden="false" customHeight="false" outlineLevel="0" collapsed="false">
      <c r="A876" s="102"/>
      <c r="E876" s="103" t="str">
        <f aca="false">IF($C876="","",IFERROR(INDEX(المنيو!$C$2:$C$500,MATCH($C876,المنيو!$B$2:$B$500,0)),0))</f>
        <v/>
      </c>
      <c r="F876" s="103" t="str">
        <f aca="false">IF($C876="","",$D876*$E876)</f>
        <v/>
      </c>
      <c r="G876" s="103" t="str">
        <f aca="false">IF($C876="","",$D876*IFERROR(INDEX('تحليل التكلفة والسعر'!$C$2:$C$700,MATCH($C876,'تحليل التكلفة والسعر'!$B$2:$B$700,0)),0))</f>
        <v/>
      </c>
    </row>
    <row r="877" customFormat="false" ht="15" hidden="false" customHeight="false" outlineLevel="0" collapsed="false">
      <c r="A877" s="102"/>
      <c r="E877" s="103" t="str">
        <f aca="false">IF($C877="","",IFERROR(INDEX(المنيو!$C$2:$C$500,MATCH($C877,المنيو!$B$2:$B$500,0)),0))</f>
        <v/>
      </c>
      <c r="F877" s="103" t="str">
        <f aca="false">IF($C877="","",$D877*$E877)</f>
        <v/>
      </c>
      <c r="G877" s="103" t="str">
        <f aca="false">IF($C877="","",$D877*IFERROR(INDEX('تحليل التكلفة والسعر'!$C$2:$C$700,MATCH($C877,'تحليل التكلفة والسعر'!$B$2:$B$700,0)),0))</f>
        <v/>
      </c>
    </row>
    <row r="878" customFormat="false" ht="15" hidden="false" customHeight="false" outlineLevel="0" collapsed="false">
      <c r="A878" s="102"/>
      <c r="E878" s="103" t="str">
        <f aca="false">IF($C878="","",IFERROR(INDEX(المنيو!$C$2:$C$500,MATCH($C878,المنيو!$B$2:$B$500,0)),0))</f>
        <v/>
      </c>
      <c r="F878" s="103" t="str">
        <f aca="false">IF($C878="","",$D878*$E878)</f>
        <v/>
      </c>
      <c r="G878" s="103" t="str">
        <f aca="false">IF($C878="","",$D878*IFERROR(INDEX('تحليل التكلفة والسعر'!$C$2:$C$700,MATCH($C878,'تحليل التكلفة والسعر'!$B$2:$B$700,0)),0))</f>
        <v/>
      </c>
    </row>
    <row r="879" customFormat="false" ht="15" hidden="false" customHeight="false" outlineLevel="0" collapsed="false">
      <c r="A879" s="102"/>
      <c r="E879" s="103" t="str">
        <f aca="false">IF($C879="","",IFERROR(INDEX(المنيو!$C$2:$C$500,MATCH($C879,المنيو!$B$2:$B$500,0)),0))</f>
        <v/>
      </c>
      <c r="F879" s="103" t="str">
        <f aca="false">IF($C879="","",$D879*$E879)</f>
        <v/>
      </c>
      <c r="G879" s="103" t="str">
        <f aca="false">IF($C879="","",$D879*IFERROR(INDEX('تحليل التكلفة والسعر'!$C$2:$C$700,MATCH($C879,'تحليل التكلفة والسعر'!$B$2:$B$700,0)),0))</f>
        <v/>
      </c>
    </row>
    <row r="880" customFormat="false" ht="15" hidden="false" customHeight="false" outlineLevel="0" collapsed="false">
      <c r="A880" s="102"/>
      <c r="E880" s="103" t="str">
        <f aca="false">IF($C880="","",IFERROR(INDEX(المنيو!$C$2:$C$500,MATCH($C880,المنيو!$B$2:$B$500,0)),0))</f>
        <v/>
      </c>
      <c r="F880" s="103" t="str">
        <f aca="false">IF($C880="","",$D880*$E880)</f>
        <v/>
      </c>
      <c r="G880" s="103" t="str">
        <f aca="false">IF($C880="","",$D880*IFERROR(INDEX('تحليل التكلفة والسعر'!$C$2:$C$700,MATCH($C880,'تحليل التكلفة والسعر'!$B$2:$B$700,0)),0))</f>
        <v/>
      </c>
    </row>
    <row r="881" customFormat="false" ht="15" hidden="false" customHeight="false" outlineLevel="0" collapsed="false">
      <c r="A881" s="102"/>
      <c r="E881" s="103" t="str">
        <f aca="false">IF($C881="","",IFERROR(INDEX(المنيو!$C$2:$C$500,MATCH($C881,المنيو!$B$2:$B$500,0)),0))</f>
        <v/>
      </c>
      <c r="F881" s="103" t="str">
        <f aca="false">IF($C881="","",$D881*$E881)</f>
        <v/>
      </c>
      <c r="G881" s="103" t="str">
        <f aca="false">IF($C881="","",$D881*IFERROR(INDEX('تحليل التكلفة والسعر'!$C$2:$C$700,MATCH($C881,'تحليل التكلفة والسعر'!$B$2:$B$700,0)),0))</f>
        <v/>
      </c>
    </row>
    <row r="882" customFormat="false" ht="15" hidden="false" customHeight="false" outlineLevel="0" collapsed="false">
      <c r="A882" s="102"/>
      <c r="E882" s="103" t="str">
        <f aca="false">IF($C882="","",IFERROR(INDEX(المنيو!$C$2:$C$500,MATCH($C882,المنيو!$B$2:$B$500,0)),0))</f>
        <v/>
      </c>
      <c r="F882" s="103" t="str">
        <f aca="false">IF($C882="","",$D882*$E882)</f>
        <v/>
      </c>
      <c r="G882" s="103" t="str">
        <f aca="false">IF($C882="","",$D882*IFERROR(INDEX('تحليل التكلفة والسعر'!$C$2:$C$700,MATCH($C882,'تحليل التكلفة والسعر'!$B$2:$B$700,0)),0))</f>
        <v/>
      </c>
    </row>
    <row r="883" customFormat="false" ht="15" hidden="false" customHeight="false" outlineLevel="0" collapsed="false">
      <c r="A883" s="102"/>
      <c r="E883" s="103" t="str">
        <f aca="false">IF($C883="","",IFERROR(INDEX(المنيو!$C$2:$C$500,MATCH($C883,المنيو!$B$2:$B$500,0)),0))</f>
        <v/>
      </c>
      <c r="F883" s="103" t="str">
        <f aca="false">IF($C883="","",$D883*$E883)</f>
        <v/>
      </c>
      <c r="G883" s="103" t="str">
        <f aca="false">IF($C883="","",$D883*IFERROR(INDEX('تحليل التكلفة والسعر'!$C$2:$C$700,MATCH($C883,'تحليل التكلفة والسعر'!$B$2:$B$700,0)),0))</f>
        <v/>
      </c>
    </row>
    <row r="884" customFormat="false" ht="15" hidden="false" customHeight="false" outlineLevel="0" collapsed="false">
      <c r="A884" s="102"/>
      <c r="E884" s="103" t="str">
        <f aca="false">IF($C884="","",IFERROR(INDEX(المنيو!$C$2:$C$500,MATCH($C884,المنيو!$B$2:$B$500,0)),0))</f>
        <v/>
      </c>
      <c r="F884" s="103" t="str">
        <f aca="false">IF($C884="","",$D884*$E884)</f>
        <v/>
      </c>
      <c r="G884" s="103" t="str">
        <f aca="false">IF($C884="","",$D884*IFERROR(INDEX('تحليل التكلفة والسعر'!$C$2:$C$700,MATCH($C884,'تحليل التكلفة والسعر'!$B$2:$B$700,0)),0))</f>
        <v/>
      </c>
    </row>
    <row r="885" customFormat="false" ht="15" hidden="false" customHeight="false" outlineLevel="0" collapsed="false">
      <c r="A885" s="102"/>
      <c r="E885" s="103" t="str">
        <f aca="false">IF($C885="","",IFERROR(INDEX(المنيو!$C$2:$C$500,MATCH($C885,المنيو!$B$2:$B$500,0)),0))</f>
        <v/>
      </c>
      <c r="F885" s="103" t="str">
        <f aca="false">IF($C885="","",$D885*$E885)</f>
        <v/>
      </c>
      <c r="G885" s="103" t="str">
        <f aca="false">IF($C885="","",$D885*IFERROR(INDEX('تحليل التكلفة والسعر'!$C$2:$C$700,MATCH($C885,'تحليل التكلفة والسعر'!$B$2:$B$700,0)),0))</f>
        <v/>
      </c>
    </row>
    <row r="886" customFormat="false" ht="15" hidden="false" customHeight="false" outlineLevel="0" collapsed="false">
      <c r="A886" s="102"/>
      <c r="E886" s="103" t="str">
        <f aca="false">IF($C886="","",IFERROR(INDEX(المنيو!$C$2:$C$500,MATCH($C886,المنيو!$B$2:$B$500,0)),0))</f>
        <v/>
      </c>
      <c r="F886" s="103" t="str">
        <f aca="false">IF($C886="","",$D886*$E886)</f>
        <v/>
      </c>
      <c r="G886" s="103" t="str">
        <f aca="false">IF($C886="","",$D886*IFERROR(INDEX('تحليل التكلفة والسعر'!$C$2:$C$700,MATCH($C886,'تحليل التكلفة والسعر'!$B$2:$B$700,0)),0))</f>
        <v/>
      </c>
    </row>
    <row r="887" customFormat="false" ht="15" hidden="false" customHeight="false" outlineLevel="0" collapsed="false">
      <c r="A887" s="102"/>
      <c r="E887" s="103" t="str">
        <f aca="false">IF($C887="","",IFERROR(INDEX(المنيو!$C$2:$C$500,MATCH($C887,المنيو!$B$2:$B$500,0)),0))</f>
        <v/>
      </c>
      <c r="F887" s="103" t="str">
        <f aca="false">IF($C887="","",$D887*$E887)</f>
        <v/>
      </c>
      <c r="G887" s="103" t="str">
        <f aca="false">IF($C887="","",$D887*IFERROR(INDEX('تحليل التكلفة والسعر'!$C$2:$C$700,MATCH($C887,'تحليل التكلفة والسعر'!$B$2:$B$700,0)),0))</f>
        <v/>
      </c>
    </row>
    <row r="888" customFormat="false" ht="15" hidden="false" customHeight="false" outlineLevel="0" collapsed="false">
      <c r="A888" s="102"/>
      <c r="E888" s="103" t="str">
        <f aca="false">IF($C888="","",IFERROR(INDEX(المنيو!$C$2:$C$500,MATCH($C888,المنيو!$B$2:$B$500,0)),0))</f>
        <v/>
      </c>
      <c r="F888" s="103" t="str">
        <f aca="false">IF($C888="","",$D888*$E888)</f>
        <v/>
      </c>
      <c r="G888" s="103" t="str">
        <f aca="false">IF($C888="","",$D888*IFERROR(INDEX('تحليل التكلفة والسعر'!$C$2:$C$700,MATCH($C888,'تحليل التكلفة والسعر'!$B$2:$B$700,0)),0))</f>
        <v/>
      </c>
    </row>
    <row r="889" customFormat="false" ht="15" hidden="false" customHeight="false" outlineLevel="0" collapsed="false">
      <c r="A889" s="102"/>
      <c r="E889" s="103" t="str">
        <f aca="false">IF($C889="","",IFERROR(INDEX(المنيو!$C$2:$C$500,MATCH($C889,المنيو!$B$2:$B$500,0)),0))</f>
        <v/>
      </c>
      <c r="F889" s="103" t="str">
        <f aca="false">IF($C889="","",$D889*$E889)</f>
        <v/>
      </c>
      <c r="G889" s="103" t="str">
        <f aca="false">IF($C889="","",$D889*IFERROR(INDEX('تحليل التكلفة والسعر'!$C$2:$C$700,MATCH($C889,'تحليل التكلفة والسعر'!$B$2:$B$700,0)),0))</f>
        <v/>
      </c>
    </row>
    <row r="890" customFormat="false" ht="15" hidden="false" customHeight="false" outlineLevel="0" collapsed="false">
      <c r="A890" s="102"/>
      <c r="E890" s="103" t="str">
        <f aca="false">IF($C890="","",IFERROR(INDEX(المنيو!$C$2:$C$500,MATCH($C890,المنيو!$B$2:$B$500,0)),0))</f>
        <v/>
      </c>
      <c r="F890" s="103" t="str">
        <f aca="false">IF($C890="","",$D890*$E890)</f>
        <v/>
      </c>
      <c r="G890" s="103" t="str">
        <f aca="false">IF($C890="","",$D890*IFERROR(INDEX('تحليل التكلفة والسعر'!$C$2:$C$700,MATCH($C890,'تحليل التكلفة والسعر'!$B$2:$B$700,0)),0))</f>
        <v/>
      </c>
    </row>
    <row r="891" customFormat="false" ht="15" hidden="false" customHeight="false" outlineLevel="0" collapsed="false">
      <c r="A891" s="102"/>
      <c r="E891" s="103" t="str">
        <f aca="false">IF($C891="","",IFERROR(INDEX(المنيو!$C$2:$C$500,MATCH($C891,المنيو!$B$2:$B$500,0)),0))</f>
        <v/>
      </c>
      <c r="F891" s="103" t="str">
        <f aca="false">IF($C891="","",$D891*$E891)</f>
        <v/>
      </c>
      <c r="G891" s="103" t="str">
        <f aca="false">IF($C891="","",$D891*IFERROR(INDEX('تحليل التكلفة والسعر'!$C$2:$C$700,MATCH($C891,'تحليل التكلفة والسعر'!$B$2:$B$700,0)),0))</f>
        <v/>
      </c>
    </row>
    <row r="892" customFormat="false" ht="15" hidden="false" customHeight="false" outlineLevel="0" collapsed="false">
      <c r="A892" s="102"/>
      <c r="E892" s="103" t="str">
        <f aca="false">IF($C892="","",IFERROR(INDEX(المنيو!$C$2:$C$500,MATCH($C892,المنيو!$B$2:$B$500,0)),0))</f>
        <v/>
      </c>
      <c r="F892" s="103" t="str">
        <f aca="false">IF($C892="","",$D892*$E892)</f>
        <v/>
      </c>
      <c r="G892" s="103" t="str">
        <f aca="false">IF($C892="","",$D892*IFERROR(INDEX('تحليل التكلفة والسعر'!$C$2:$C$700,MATCH($C892,'تحليل التكلفة والسعر'!$B$2:$B$700,0)),0))</f>
        <v/>
      </c>
    </row>
    <row r="893" customFormat="false" ht="15" hidden="false" customHeight="false" outlineLevel="0" collapsed="false">
      <c r="A893" s="102"/>
      <c r="E893" s="103" t="str">
        <f aca="false">IF($C893="","",IFERROR(INDEX(المنيو!$C$2:$C$500,MATCH($C893,المنيو!$B$2:$B$500,0)),0))</f>
        <v/>
      </c>
      <c r="F893" s="103" t="str">
        <f aca="false">IF($C893="","",$D893*$E893)</f>
        <v/>
      </c>
      <c r="G893" s="103" t="str">
        <f aca="false">IF($C893="","",$D893*IFERROR(INDEX('تحليل التكلفة والسعر'!$C$2:$C$700,MATCH($C893,'تحليل التكلفة والسعر'!$B$2:$B$700,0)),0))</f>
        <v/>
      </c>
    </row>
    <row r="894" customFormat="false" ht="15" hidden="false" customHeight="false" outlineLevel="0" collapsed="false">
      <c r="A894" s="102"/>
      <c r="E894" s="103" t="str">
        <f aca="false">IF($C894="","",IFERROR(INDEX(المنيو!$C$2:$C$500,MATCH($C894,المنيو!$B$2:$B$500,0)),0))</f>
        <v/>
      </c>
      <c r="F894" s="103" t="str">
        <f aca="false">IF($C894="","",$D894*$E894)</f>
        <v/>
      </c>
      <c r="G894" s="103" t="str">
        <f aca="false">IF($C894="","",$D894*IFERROR(INDEX('تحليل التكلفة والسعر'!$C$2:$C$700,MATCH($C894,'تحليل التكلفة والسعر'!$B$2:$B$700,0)),0))</f>
        <v/>
      </c>
    </row>
    <row r="895" customFormat="false" ht="15" hidden="false" customHeight="false" outlineLevel="0" collapsed="false">
      <c r="A895" s="102"/>
      <c r="E895" s="103" t="str">
        <f aca="false">IF($C895="","",IFERROR(INDEX(المنيو!$C$2:$C$500,MATCH($C895,المنيو!$B$2:$B$500,0)),0))</f>
        <v/>
      </c>
      <c r="F895" s="103" t="str">
        <f aca="false">IF($C895="","",$D895*$E895)</f>
        <v/>
      </c>
      <c r="G895" s="103" t="str">
        <f aca="false">IF($C895="","",$D895*IFERROR(INDEX('تحليل التكلفة والسعر'!$C$2:$C$700,MATCH($C895,'تحليل التكلفة والسعر'!$B$2:$B$700,0)),0))</f>
        <v/>
      </c>
    </row>
    <row r="896" customFormat="false" ht="15" hidden="false" customHeight="false" outlineLevel="0" collapsed="false">
      <c r="A896" s="102"/>
      <c r="E896" s="103" t="str">
        <f aca="false">IF($C896="","",IFERROR(INDEX(المنيو!$C$2:$C$500,MATCH($C896,المنيو!$B$2:$B$500,0)),0))</f>
        <v/>
      </c>
      <c r="F896" s="103" t="str">
        <f aca="false">IF($C896="","",$D896*$E896)</f>
        <v/>
      </c>
      <c r="G896" s="103" t="str">
        <f aca="false">IF($C896="","",$D896*IFERROR(INDEX('تحليل التكلفة والسعر'!$C$2:$C$700,MATCH($C896,'تحليل التكلفة والسعر'!$B$2:$B$700,0)),0))</f>
        <v/>
      </c>
    </row>
    <row r="897" customFormat="false" ht="15" hidden="false" customHeight="false" outlineLevel="0" collapsed="false">
      <c r="A897" s="102"/>
      <c r="E897" s="103" t="str">
        <f aca="false">IF($C897="","",IFERROR(INDEX(المنيو!$C$2:$C$500,MATCH($C897,المنيو!$B$2:$B$500,0)),0))</f>
        <v/>
      </c>
      <c r="F897" s="103" t="str">
        <f aca="false">IF($C897="","",$D897*$E897)</f>
        <v/>
      </c>
      <c r="G897" s="103" t="str">
        <f aca="false">IF($C897="","",$D897*IFERROR(INDEX('تحليل التكلفة والسعر'!$C$2:$C$700,MATCH($C897,'تحليل التكلفة والسعر'!$B$2:$B$700,0)),0))</f>
        <v/>
      </c>
    </row>
    <row r="898" customFormat="false" ht="15" hidden="false" customHeight="false" outlineLevel="0" collapsed="false">
      <c r="A898" s="102"/>
      <c r="E898" s="103" t="str">
        <f aca="false">IF($C898="","",IFERROR(INDEX(المنيو!$C$2:$C$500,MATCH($C898,المنيو!$B$2:$B$500,0)),0))</f>
        <v/>
      </c>
      <c r="F898" s="103" t="str">
        <f aca="false">IF($C898="","",$D898*$E898)</f>
        <v/>
      </c>
      <c r="G898" s="103" t="str">
        <f aca="false">IF($C898="","",$D898*IFERROR(INDEX('تحليل التكلفة والسعر'!$C$2:$C$700,MATCH($C898,'تحليل التكلفة والسعر'!$B$2:$B$700,0)),0))</f>
        <v/>
      </c>
    </row>
    <row r="899" customFormat="false" ht="15" hidden="false" customHeight="false" outlineLevel="0" collapsed="false">
      <c r="A899" s="102"/>
      <c r="E899" s="103" t="str">
        <f aca="false">IF($C899="","",IFERROR(INDEX(المنيو!$C$2:$C$500,MATCH($C899,المنيو!$B$2:$B$500,0)),0))</f>
        <v/>
      </c>
      <c r="F899" s="103" t="str">
        <f aca="false">IF($C899="","",$D899*$E899)</f>
        <v/>
      </c>
      <c r="G899" s="103" t="str">
        <f aca="false">IF($C899="","",$D899*IFERROR(INDEX('تحليل التكلفة والسعر'!$C$2:$C$700,MATCH($C899,'تحليل التكلفة والسعر'!$B$2:$B$700,0)),0))</f>
        <v/>
      </c>
    </row>
    <row r="900" customFormat="false" ht="15" hidden="false" customHeight="false" outlineLevel="0" collapsed="false">
      <c r="A900" s="102"/>
      <c r="E900" s="103" t="str">
        <f aca="false">IF($C900="","",IFERROR(INDEX(المنيو!$C$2:$C$500,MATCH($C900,المنيو!$B$2:$B$500,0)),0))</f>
        <v/>
      </c>
      <c r="F900" s="103" t="str">
        <f aca="false">IF($C900="","",$D900*$E900)</f>
        <v/>
      </c>
      <c r="G900" s="103" t="str">
        <f aca="false">IF($C900="","",$D900*IFERROR(INDEX('تحليل التكلفة والسعر'!$C$2:$C$700,MATCH($C900,'تحليل التكلفة والسعر'!$B$2:$B$700,0)),0))</f>
        <v/>
      </c>
    </row>
    <row r="901" customFormat="false" ht="15" hidden="false" customHeight="false" outlineLevel="0" collapsed="false">
      <c r="A901" s="102"/>
      <c r="E901" s="103" t="str">
        <f aca="false">IF($C901="","",IFERROR(INDEX(المنيو!$C$2:$C$500,MATCH($C901,المنيو!$B$2:$B$500,0)),0))</f>
        <v/>
      </c>
      <c r="F901" s="103" t="str">
        <f aca="false">IF($C901="","",$D901*$E901)</f>
        <v/>
      </c>
      <c r="G901" s="103" t="str">
        <f aca="false">IF($C901="","",$D901*IFERROR(INDEX('تحليل التكلفة والسعر'!$C$2:$C$700,MATCH($C901,'تحليل التكلفة والسعر'!$B$2:$B$700,0)),0))</f>
        <v/>
      </c>
    </row>
    <row r="902" customFormat="false" ht="15" hidden="false" customHeight="false" outlineLevel="0" collapsed="false">
      <c r="A902" s="102"/>
      <c r="E902" s="103" t="str">
        <f aca="false">IF($C902="","",IFERROR(INDEX(المنيو!$C$2:$C$500,MATCH($C902,المنيو!$B$2:$B$500,0)),0))</f>
        <v/>
      </c>
      <c r="F902" s="103" t="str">
        <f aca="false">IF($C902="","",$D902*$E902)</f>
        <v/>
      </c>
      <c r="G902" s="103" t="str">
        <f aca="false">IF($C902="","",$D902*IFERROR(INDEX('تحليل التكلفة والسعر'!$C$2:$C$700,MATCH($C902,'تحليل التكلفة والسعر'!$B$2:$B$700,0)),0))</f>
        <v/>
      </c>
    </row>
    <row r="903" customFormat="false" ht="15" hidden="false" customHeight="false" outlineLevel="0" collapsed="false">
      <c r="A903" s="102"/>
      <c r="E903" s="103" t="str">
        <f aca="false">IF($C903="","",IFERROR(INDEX(المنيو!$C$2:$C$500,MATCH($C903,المنيو!$B$2:$B$500,0)),0))</f>
        <v/>
      </c>
      <c r="F903" s="103" t="str">
        <f aca="false">IF($C903="","",$D903*$E903)</f>
        <v/>
      </c>
      <c r="G903" s="103" t="str">
        <f aca="false">IF($C903="","",$D903*IFERROR(INDEX('تحليل التكلفة والسعر'!$C$2:$C$700,MATCH($C903,'تحليل التكلفة والسعر'!$B$2:$B$700,0)),0))</f>
        <v/>
      </c>
    </row>
    <row r="904" customFormat="false" ht="15" hidden="false" customHeight="false" outlineLevel="0" collapsed="false">
      <c r="A904" s="102"/>
      <c r="E904" s="103" t="str">
        <f aca="false">IF($C904="","",IFERROR(INDEX(المنيو!$C$2:$C$500,MATCH($C904,المنيو!$B$2:$B$500,0)),0))</f>
        <v/>
      </c>
      <c r="F904" s="103" t="str">
        <f aca="false">IF($C904="","",$D904*$E904)</f>
        <v/>
      </c>
      <c r="G904" s="103" t="str">
        <f aca="false">IF($C904="","",$D904*IFERROR(INDEX('تحليل التكلفة والسعر'!$C$2:$C$700,MATCH($C904,'تحليل التكلفة والسعر'!$B$2:$B$700,0)),0))</f>
        <v/>
      </c>
    </row>
    <row r="905" customFormat="false" ht="15" hidden="false" customHeight="false" outlineLevel="0" collapsed="false">
      <c r="A905" s="102"/>
      <c r="E905" s="103" t="str">
        <f aca="false">IF($C905="","",IFERROR(INDEX(المنيو!$C$2:$C$500,MATCH($C905,المنيو!$B$2:$B$500,0)),0))</f>
        <v/>
      </c>
      <c r="F905" s="103" t="str">
        <f aca="false">IF($C905="","",$D905*$E905)</f>
        <v/>
      </c>
      <c r="G905" s="103" t="str">
        <f aca="false">IF($C905="","",$D905*IFERROR(INDEX('تحليل التكلفة والسعر'!$C$2:$C$700,MATCH($C905,'تحليل التكلفة والسعر'!$B$2:$B$700,0)),0))</f>
        <v/>
      </c>
    </row>
    <row r="906" customFormat="false" ht="15" hidden="false" customHeight="false" outlineLevel="0" collapsed="false">
      <c r="A906" s="102"/>
      <c r="E906" s="103" t="str">
        <f aca="false">IF($C906="","",IFERROR(INDEX(المنيو!$C$2:$C$500,MATCH($C906,المنيو!$B$2:$B$500,0)),0))</f>
        <v/>
      </c>
      <c r="F906" s="103" t="str">
        <f aca="false">IF($C906="","",$D906*$E906)</f>
        <v/>
      </c>
      <c r="G906" s="103" t="str">
        <f aca="false">IF($C906="","",$D906*IFERROR(INDEX('تحليل التكلفة والسعر'!$C$2:$C$700,MATCH($C906,'تحليل التكلفة والسعر'!$B$2:$B$700,0)),0))</f>
        <v/>
      </c>
    </row>
    <row r="907" customFormat="false" ht="15" hidden="false" customHeight="false" outlineLevel="0" collapsed="false">
      <c r="A907" s="102"/>
      <c r="E907" s="103" t="str">
        <f aca="false">IF($C907="","",IFERROR(INDEX(المنيو!$C$2:$C$500,MATCH($C907,المنيو!$B$2:$B$500,0)),0))</f>
        <v/>
      </c>
      <c r="F907" s="103" t="str">
        <f aca="false">IF($C907="","",$D907*$E907)</f>
        <v/>
      </c>
      <c r="G907" s="103" t="str">
        <f aca="false">IF($C907="","",$D907*IFERROR(INDEX('تحليل التكلفة والسعر'!$C$2:$C$700,MATCH($C907,'تحليل التكلفة والسعر'!$B$2:$B$700,0)),0))</f>
        <v/>
      </c>
    </row>
    <row r="908" customFormat="false" ht="15" hidden="false" customHeight="false" outlineLevel="0" collapsed="false">
      <c r="A908" s="102"/>
      <c r="E908" s="103" t="str">
        <f aca="false">IF($C908="","",IFERROR(INDEX(المنيو!$C$2:$C$500,MATCH($C908,المنيو!$B$2:$B$500,0)),0))</f>
        <v/>
      </c>
      <c r="F908" s="103" t="str">
        <f aca="false">IF($C908="","",$D908*$E908)</f>
        <v/>
      </c>
      <c r="G908" s="103" t="str">
        <f aca="false">IF($C908="","",$D908*IFERROR(INDEX('تحليل التكلفة والسعر'!$C$2:$C$700,MATCH($C908,'تحليل التكلفة والسعر'!$B$2:$B$700,0)),0))</f>
        <v/>
      </c>
    </row>
    <row r="909" customFormat="false" ht="15" hidden="false" customHeight="false" outlineLevel="0" collapsed="false">
      <c r="A909" s="102"/>
      <c r="E909" s="103" t="str">
        <f aca="false">IF($C909="","",IFERROR(INDEX(المنيو!$C$2:$C$500,MATCH($C909,المنيو!$B$2:$B$500,0)),0))</f>
        <v/>
      </c>
      <c r="F909" s="103" t="str">
        <f aca="false">IF($C909="","",$D909*$E909)</f>
        <v/>
      </c>
      <c r="G909" s="103" t="str">
        <f aca="false">IF($C909="","",$D909*IFERROR(INDEX('تحليل التكلفة والسعر'!$C$2:$C$700,MATCH($C909,'تحليل التكلفة والسعر'!$B$2:$B$700,0)),0))</f>
        <v/>
      </c>
    </row>
    <row r="910" customFormat="false" ht="15" hidden="false" customHeight="false" outlineLevel="0" collapsed="false">
      <c r="A910" s="102"/>
      <c r="E910" s="103" t="str">
        <f aca="false">IF($C910="","",IFERROR(INDEX(المنيو!$C$2:$C$500,MATCH($C910,المنيو!$B$2:$B$500,0)),0))</f>
        <v/>
      </c>
      <c r="F910" s="103" t="str">
        <f aca="false">IF($C910="","",$D910*$E910)</f>
        <v/>
      </c>
      <c r="G910" s="103" t="str">
        <f aca="false">IF($C910="","",$D910*IFERROR(INDEX('تحليل التكلفة والسعر'!$C$2:$C$700,MATCH($C910,'تحليل التكلفة والسعر'!$B$2:$B$700,0)),0))</f>
        <v/>
      </c>
    </row>
    <row r="911" customFormat="false" ht="15" hidden="false" customHeight="false" outlineLevel="0" collapsed="false">
      <c r="A911" s="102"/>
      <c r="E911" s="103" t="str">
        <f aca="false">IF($C911="","",IFERROR(INDEX(المنيو!$C$2:$C$500,MATCH($C911,المنيو!$B$2:$B$500,0)),0))</f>
        <v/>
      </c>
      <c r="F911" s="103" t="str">
        <f aca="false">IF($C911="","",$D911*$E911)</f>
        <v/>
      </c>
      <c r="G911" s="103" t="str">
        <f aca="false">IF($C911="","",$D911*IFERROR(INDEX('تحليل التكلفة والسعر'!$C$2:$C$700,MATCH($C911,'تحليل التكلفة والسعر'!$B$2:$B$700,0)),0))</f>
        <v/>
      </c>
    </row>
    <row r="912" customFormat="false" ht="15" hidden="false" customHeight="false" outlineLevel="0" collapsed="false">
      <c r="A912" s="102"/>
      <c r="E912" s="103" t="str">
        <f aca="false">IF($C912="","",IFERROR(INDEX(المنيو!$C$2:$C$500,MATCH($C912,المنيو!$B$2:$B$500,0)),0))</f>
        <v/>
      </c>
      <c r="F912" s="103" t="str">
        <f aca="false">IF($C912="","",$D912*$E912)</f>
        <v/>
      </c>
      <c r="G912" s="103" t="str">
        <f aca="false">IF($C912="","",$D912*IFERROR(INDEX('تحليل التكلفة والسعر'!$C$2:$C$700,MATCH($C912,'تحليل التكلفة والسعر'!$B$2:$B$700,0)),0))</f>
        <v/>
      </c>
    </row>
    <row r="913" customFormat="false" ht="15" hidden="false" customHeight="false" outlineLevel="0" collapsed="false">
      <c r="A913" s="102"/>
      <c r="E913" s="103" t="str">
        <f aca="false">IF($C913="","",IFERROR(INDEX(المنيو!$C$2:$C$500,MATCH($C913,المنيو!$B$2:$B$500,0)),0))</f>
        <v/>
      </c>
      <c r="F913" s="103" t="str">
        <f aca="false">IF($C913="","",$D913*$E913)</f>
        <v/>
      </c>
      <c r="G913" s="103" t="str">
        <f aca="false">IF($C913="","",$D913*IFERROR(INDEX('تحليل التكلفة والسعر'!$C$2:$C$700,MATCH($C913,'تحليل التكلفة والسعر'!$B$2:$B$700,0)),0))</f>
        <v/>
      </c>
    </row>
    <row r="914" customFormat="false" ht="15" hidden="false" customHeight="false" outlineLevel="0" collapsed="false">
      <c r="A914" s="102"/>
      <c r="E914" s="103" t="str">
        <f aca="false">IF($C914="","",IFERROR(INDEX(المنيو!$C$2:$C$500,MATCH($C914,المنيو!$B$2:$B$500,0)),0))</f>
        <v/>
      </c>
      <c r="F914" s="103" t="str">
        <f aca="false">IF($C914="","",$D914*$E914)</f>
        <v/>
      </c>
      <c r="G914" s="103" t="str">
        <f aca="false">IF($C914="","",$D914*IFERROR(INDEX('تحليل التكلفة والسعر'!$C$2:$C$700,MATCH($C914,'تحليل التكلفة والسعر'!$B$2:$B$700,0)),0))</f>
        <v/>
      </c>
    </row>
    <row r="915" customFormat="false" ht="15" hidden="false" customHeight="false" outlineLevel="0" collapsed="false">
      <c r="A915" s="102"/>
      <c r="E915" s="103" t="str">
        <f aca="false">IF($C915="","",IFERROR(INDEX(المنيو!$C$2:$C$500,MATCH($C915,المنيو!$B$2:$B$500,0)),0))</f>
        <v/>
      </c>
      <c r="F915" s="103" t="str">
        <f aca="false">IF($C915="","",$D915*$E915)</f>
        <v/>
      </c>
      <c r="G915" s="103" t="str">
        <f aca="false">IF($C915="","",$D915*IFERROR(INDEX('تحليل التكلفة والسعر'!$C$2:$C$700,MATCH($C915,'تحليل التكلفة والسعر'!$B$2:$B$700,0)),0))</f>
        <v/>
      </c>
    </row>
    <row r="916" customFormat="false" ht="15" hidden="false" customHeight="false" outlineLevel="0" collapsed="false">
      <c r="A916" s="102"/>
      <c r="E916" s="103" t="str">
        <f aca="false">IF($C916="","",IFERROR(INDEX(المنيو!$C$2:$C$500,MATCH($C916,المنيو!$B$2:$B$500,0)),0))</f>
        <v/>
      </c>
      <c r="F916" s="103" t="str">
        <f aca="false">IF($C916="","",$D916*$E916)</f>
        <v/>
      </c>
      <c r="G916" s="103" t="str">
        <f aca="false">IF($C916="","",$D916*IFERROR(INDEX('تحليل التكلفة والسعر'!$C$2:$C$700,MATCH($C916,'تحليل التكلفة والسعر'!$B$2:$B$700,0)),0))</f>
        <v/>
      </c>
    </row>
    <row r="917" customFormat="false" ht="15" hidden="false" customHeight="false" outlineLevel="0" collapsed="false">
      <c r="A917" s="102"/>
      <c r="E917" s="103" t="str">
        <f aca="false">IF($C917="","",IFERROR(INDEX(المنيو!$C$2:$C$500,MATCH($C917,المنيو!$B$2:$B$500,0)),0))</f>
        <v/>
      </c>
      <c r="F917" s="103" t="str">
        <f aca="false">IF($C917="","",$D917*$E917)</f>
        <v/>
      </c>
      <c r="G917" s="103" t="str">
        <f aca="false">IF($C917="","",$D917*IFERROR(INDEX('تحليل التكلفة والسعر'!$C$2:$C$700,MATCH($C917,'تحليل التكلفة والسعر'!$B$2:$B$700,0)),0))</f>
        <v/>
      </c>
    </row>
    <row r="918" customFormat="false" ht="15" hidden="false" customHeight="false" outlineLevel="0" collapsed="false">
      <c r="A918" s="102"/>
      <c r="E918" s="103" t="str">
        <f aca="false">IF($C918="","",IFERROR(INDEX(المنيو!$C$2:$C$500,MATCH($C918,المنيو!$B$2:$B$500,0)),0))</f>
        <v/>
      </c>
      <c r="F918" s="103" t="str">
        <f aca="false">IF($C918="","",$D918*$E918)</f>
        <v/>
      </c>
      <c r="G918" s="103" t="str">
        <f aca="false">IF($C918="","",$D918*IFERROR(INDEX('تحليل التكلفة والسعر'!$C$2:$C$700,MATCH($C918,'تحليل التكلفة والسعر'!$B$2:$B$700,0)),0))</f>
        <v/>
      </c>
    </row>
    <row r="919" customFormat="false" ht="15" hidden="false" customHeight="false" outlineLevel="0" collapsed="false">
      <c r="A919" s="102"/>
      <c r="E919" s="103" t="str">
        <f aca="false">IF($C919="","",IFERROR(INDEX(المنيو!$C$2:$C$500,MATCH($C919,المنيو!$B$2:$B$500,0)),0))</f>
        <v/>
      </c>
      <c r="F919" s="103" t="str">
        <f aca="false">IF($C919="","",$D919*$E919)</f>
        <v/>
      </c>
      <c r="G919" s="103" t="str">
        <f aca="false">IF($C919="","",$D919*IFERROR(INDEX('تحليل التكلفة والسعر'!$C$2:$C$700,MATCH($C919,'تحليل التكلفة والسعر'!$B$2:$B$700,0)),0))</f>
        <v/>
      </c>
    </row>
    <row r="920" customFormat="false" ht="15" hidden="false" customHeight="false" outlineLevel="0" collapsed="false">
      <c r="A920" s="102"/>
      <c r="E920" s="103" t="str">
        <f aca="false">IF($C920="","",IFERROR(INDEX(المنيو!$C$2:$C$500,MATCH($C920,المنيو!$B$2:$B$500,0)),0))</f>
        <v/>
      </c>
      <c r="F920" s="103" t="str">
        <f aca="false">IF($C920="","",$D920*$E920)</f>
        <v/>
      </c>
      <c r="G920" s="103" t="str">
        <f aca="false">IF($C920="","",$D920*IFERROR(INDEX('تحليل التكلفة والسعر'!$C$2:$C$700,MATCH($C920,'تحليل التكلفة والسعر'!$B$2:$B$700,0)),0))</f>
        <v/>
      </c>
    </row>
    <row r="921" customFormat="false" ht="15" hidden="false" customHeight="false" outlineLevel="0" collapsed="false">
      <c r="A921" s="102"/>
      <c r="E921" s="103" t="str">
        <f aca="false">IF($C921="","",IFERROR(INDEX(المنيو!$C$2:$C$500,MATCH($C921,المنيو!$B$2:$B$500,0)),0))</f>
        <v/>
      </c>
      <c r="F921" s="103" t="str">
        <f aca="false">IF($C921="","",$D921*$E921)</f>
        <v/>
      </c>
      <c r="G921" s="103" t="str">
        <f aca="false">IF($C921="","",$D921*IFERROR(INDEX('تحليل التكلفة والسعر'!$C$2:$C$700,MATCH($C921,'تحليل التكلفة والسعر'!$B$2:$B$700,0)),0))</f>
        <v/>
      </c>
    </row>
    <row r="922" customFormat="false" ht="15" hidden="false" customHeight="false" outlineLevel="0" collapsed="false">
      <c r="A922" s="102"/>
      <c r="E922" s="103" t="str">
        <f aca="false">IF($C922="","",IFERROR(INDEX(المنيو!$C$2:$C$500,MATCH($C922,المنيو!$B$2:$B$500,0)),0))</f>
        <v/>
      </c>
      <c r="F922" s="103" t="str">
        <f aca="false">IF($C922="","",$D922*$E922)</f>
        <v/>
      </c>
      <c r="G922" s="103" t="str">
        <f aca="false">IF($C922="","",$D922*IFERROR(INDEX('تحليل التكلفة والسعر'!$C$2:$C$700,MATCH($C922,'تحليل التكلفة والسعر'!$B$2:$B$700,0)),0))</f>
        <v/>
      </c>
    </row>
    <row r="923" customFormat="false" ht="15" hidden="false" customHeight="false" outlineLevel="0" collapsed="false">
      <c r="A923" s="102"/>
      <c r="E923" s="103" t="str">
        <f aca="false">IF($C923="","",IFERROR(INDEX(المنيو!$C$2:$C$500,MATCH($C923,المنيو!$B$2:$B$500,0)),0))</f>
        <v/>
      </c>
      <c r="F923" s="103" t="str">
        <f aca="false">IF($C923="","",$D923*$E923)</f>
        <v/>
      </c>
      <c r="G923" s="103" t="str">
        <f aca="false">IF($C923="","",$D923*IFERROR(INDEX('تحليل التكلفة والسعر'!$C$2:$C$700,MATCH($C923,'تحليل التكلفة والسعر'!$B$2:$B$700,0)),0))</f>
        <v/>
      </c>
    </row>
    <row r="924" customFormat="false" ht="15" hidden="false" customHeight="false" outlineLevel="0" collapsed="false">
      <c r="A924" s="102"/>
      <c r="E924" s="103" t="str">
        <f aca="false">IF($C924="","",IFERROR(INDEX(المنيو!$C$2:$C$500,MATCH($C924,المنيو!$B$2:$B$500,0)),0))</f>
        <v/>
      </c>
      <c r="F924" s="103" t="str">
        <f aca="false">IF($C924="","",$D924*$E924)</f>
        <v/>
      </c>
      <c r="G924" s="103" t="str">
        <f aca="false">IF($C924="","",$D924*IFERROR(INDEX('تحليل التكلفة والسعر'!$C$2:$C$700,MATCH($C924,'تحليل التكلفة والسعر'!$B$2:$B$700,0)),0))</f>
        <v/>
      </c>
    </row>
    <row r="925" customFormat="false" ht="15" hidden="false" customHeight="false" outlineLevel="0" collapsed="false">
      <c r="A925" s="102"/>
      <c r="E925" s="103" t="str">
        <f aca="false">IF($C925="","",IFERROR(INDEX(المنيو!$C$2:$C$500,MATCH($C925,المنيو!$B$2:$B$500,0)),0))</f>
        <v/>
      </c>
      <c r="F925" s="103" t="str">
        <f aca="false">IF($C925="","",$D925*$E925)</f>
        <v/>
      </c>
      <c r="G925" s="103" t="str">
        <f aca="false">IF($C925="","",$D925*IFERROR(INDEX('تحليل التكلفة والسعر'!$C$2:$C$700,MATCH($C925,'تحليل التكلفة والسعر'!$B$2:$B$700,0)),0))</f>
        <v/>
      </c>
    </row>
    <row r="926" customFormat="false" ht="15" hidden="false" customHeight="false" outlineLevel="0" collapsed="false">
      <c r="A926" s="102"/>
      <c r="E926" s="103" t="str">
        <f aca="false">IF($C926="","",IFERROR(INDEX(المنيو!$C$2:$C$500,MATCH($C926,المنيو!$B$2:$B$500,0)),0))</f>
        <v/>
      </c>
      <c r="F926" s="103" t="str">
        <f aca="false">IF($C926="","",$D926*$E926)</f>
        <v/>
      </c>
      <c r="G926" s="103" t="str">
        <f aca="false">IF($C926="","",$D926*IFERROR(INDEX('تحليل التكلفة والسعر'!$C$2:$C$700,MATCH($C926,'تحليل التكلفة والسعر'!$B$2:$B$700,0)),0))</f>
        <v/>
      </c>
    </row>
    <row r="927" customFormat="false" ht="15" hidden="false" customHeight="false" outlineLevel="0" collapsed="false">
      <c r="A927" s="102"/>
      <c r="E927" s="103" t="str">
        <f aca="false">IF($C927="","",IFERROR(INDEX(المنيو!$C$2:$C$500,MATCH($C927,المنيو!$B$2:$B$500,0)),0))</f>
        <v/>
      </c>
      <c r="F927" s="103" t="str">
        <f aca="false">IF($C927="","",$D927*$E927)</f>
        <v/>
      </c>
      <c r="G927" s="103" t="str">
        <f aca="false">IF($C927="","",$D927*IFERROR(INDEX('تحليل التكلفة والسعر'!$C$2:$C$700,MATCH($C927,'تحليل التكلفة والسعر'!$B$2:$B$700,0)),0))</f>
        <v/>
      </c>
    </row>
    <row r="928" customFormat="false" ht="15" hidden="false" customHeight="false" outlineLevel="0" collapsed="false">
      <c r="A928" s="102"/>
      <c r="E928" s="103" t="str">
        <f aca="false">IF($C928="","",IFERROR(INDEX(المنيو!$C$2:$C$500,MATCH($C928,المنيو!$B$2:$B$500,0)),0))</f>
        <v/>
      </c>
      <c r="F928" s="103" t="str">
        <f aca="false">IF($C928="","",$D928*$E928)</f>
        <v/>
      </c>
      <c r="G928" s="103" t="str">
        <f aca="false">IF($C928="","",$D928*IFERROR(INDEX('تحليل التكلفة والسعر'!$C$2:$C$700,MATCH($C928,'تحليل التكلفة والسعر'!$B$2:$B$700,0)),0))</f>
        <v/>
      </c>
    </row>
    <row r="929" customFormat="false" ht="15" hidden="false" customHeight="false" outlineLevel="0" collapsed="false">
      <c r="A929" s="102"/>
      <c r="E929" s="103" t="str">
        <f aca="false">IF($C929="","",IFERROR(INDEX(المنيو!$C$2:$C$500,MATCH($C929,المنيو!$B$2:$B$500,0)),0))</f>
        <v/>
      </c>
      <c r="F929" s="103" t="str">
        <f aca="false">IF($C929="","",$D929*$E929)</f>
        <v/>
      </c>
      <c r="G929" s="103" t="str">
        <f aca="false">IF($C929="","",$D929*IFERROR(INDEX('تحليل التكلفة والسعر'!$C$2:$C$700,MATCH($C929,'تحليل التكلفة والسعر'!$B$2:$B$700,0)),0))</f>
        <v/>
      </c>
    </row>
    <row r="930" customFormat="false" ht="15" hidden="false" customHeight="false" outlineLevel="0" collapsed="false">
      <c r="A930" s="102"/>
      <c r="E930" s="103" t="str">
        <f aca="false">IF($C930="","",IFERROR(INDEX(المنيو!$C$2:$C$500,MATCH($C930,المنيو!$B$2:$B$500,0)),0))</f>
        <v/>
      </c>
      <c r="F930" s="103" t="str">
        <f aca="false">IF($C930="","",$D930*$E930)</f>
        <v/>
      </c>
      <c r="G930" s="103" t="str">
        <f aca="false">IF($C930="","",$D930*IFERROR(INDEX('تحليل التكلفة والسعر'!$C$2:$C$700,MATCH($C930,'تحليل التكلفة والسعر'!$B$2:$B$700,0)),0))</f>
        <v/>
      </c>
    </row>
    <row r="931" customFormat="false" ht="15" hidden="false" customHeight="false" outlineLevel="0" collapsed="false">
      <c r="A931" s="102"/>
      <c r="E931" s="103" t="str">
        <f aca="false">IF($C931="","",IFERROR(INDEX(المنيو!$C$2:$C$500,MATCH($C931,المنيو!$B$2:$B$500,0)),0))</f>
        <v/>
      </c>
      <c r="F931" s="103" t="str">
        <f aca="false">IF($C931="","",$D931*$E931)</f>
        <v/>
      </c>
      <c r="G931" s="103" t="str">
        <f aca="false">IF($C931="","",$D931*IFERROR(INDEX('تحليل التكلفة والسعر'!$C$2:$C$700,MATCH($C931,'تحليل التكلفة والسعر'!$B$2:$B$700,0)),0))</f>
        <v/>
      </c>
    </row>
    <row r="932" customFormat="false" ht="15" hidden="false" customHeight="false" outlineLevel="0" collapsed="false">
      <c r="A932" s="102"/>
      <c r="E932" s="103" t="str">
        <f aca="false">IF($C932="","",IFERROR(INDEX(المنيو!$C$2:$C$500,MATCH($C932,المنيو!$B$2:$B$500,0)),0))</f>
        <v/>
      </c>
      <c r="F932" s="103" t="str">
        <f aca="false">IF($C932="","",$D932*$E932)</f>
        <v/>
      </c>
      <c r="G932" s="103" t="str">
        <f aca="false">IF($C932="","",$D932*IFERROR(INDEX('تحليل التكلفة والسعر'!$C$2:$C$700,MATCH($C932,'تحليل التكلفة والسعر'!$B$2:$B$700,0)),0))</f>
        <v/>
      </c>
    </row>
    <row r="933" customFormat="false" ht="15" hidden="false" customHeight="false" outlineLevel="0" collapsed="false">
      <c r="A933" s="102"/>
      <c r="E933" s="103" t="str">
        <f aca="false">IF($C933="","",IFERROR(INDEX(المنيو!$C$2:$C$500,MATCH($C933,المنيو!$B$2:$B$500,0)),0))</f>
        <v/>
      </c>
      <c r="F933" s="103" t="str">
        <f aca="false">IF($C933="","",$D933*$E933)</f>
        <v/>
      </c>
      <c r="G933" s="103" t="str">
        <f aca="false">IF($C933="","",$D933*IFERROR(INDEX('تحليل التكلفة والسعر'!$C$2:$C$700,MATCH($C933,'تحليل التكلفة والسعر'!$B$2:$B$700,0)),0))</f>
        <v/>
      </c>
    </row>
    <row r="934" customFormat="false" ht="15" hidden="false" customHeight="false" outlineLevel="0" collapsed="false">
      <c r="A934" s="102"/>
      <c r="E934" s="103" t="str">
        <f aca="false">IF($C934="","",IFERROR(INDEX(المنيو!$C$2:$C$500,MATCH($C934,المنيو!$B$2:$B$500,0)),0))</f>
        <v/>
      </c>
      <c r="F934" s="103" t="str">
        <f aca="false">IF($C934="","",$D934*$E934)</f>
        <v/>
      </c>
      <c r="G934" s="103" t="str">
        <f aca="false">IF($C934="","",$D934*IFERROR(INDEX('تحليل التكلفة والسعر'!$C$2:$C$700,MATCH($C934,'تحليل التكلفة والسعر'!$B$2:$B$700,0)),0))</f>
        <v/>
      </c>
    </row>
    <row r="935" customFormat="false" ht="15" hidden="false" customHeight="false" outlineLevel="0" collapsed="false">
      <c r="A935" s="102"/>
      <c r="E935" s="103" t="str">
        <f aca="false">IF($C935="","",IFERROR(INDEX(المنيو!$C$2:$C$500,MATCH($C935,المنيو!$B$2:$B$500,0)),0))</f>
        <v/>
      </c>
      <c r="F935" s="103" t="str">
        <f aca="false">IF($C935="","",$D935*$E935)</f>
        <v/>
      </c>
      <c r="G935" s="103" t="str">
        <f aca="false">IF($C935="","",$D935*IFERROR(INDEX('تحليل التكلفة والسعر'!$C$2:$C$700,MATCH($C935,'تحليل التكلفة والسعر'!$B$2:$B$700,0)),0))</f>
        <v/>
      </c>
    </row>
    <row r="936" customFormat="false" ht="15" hidden="false" customHeight="false" outlineLevel="0" collapsed="false">
      <c r="A936" s="102"/>
      <c r="E936" s="103" t="str">
        <f aca="false">IF($C936="","",IFERROR(INDEX(المنيو!$C$2:$C$500,MATCH($C936,المنيو!$B$2:$B$500,0)),0))</f>
        <v/>
      </c>
      <c r="F936" s="103" t="str">
        <f aca="false">IF($C936="","",$D936*$E936)</f>
        <v/>
      </c>
      <c r="G936" s="103" t="str">
        <f aca="false">IF($C936="","",$D936*IFERROR(INDEX('تحليل التكلفة والسعر'!$C$2:$C$700,MATCH($C936,'تحليل التكلفة والسعر'!$B$2:$B$700,0)),0))</f>
        <v/>
      </c>
    </row>
    <row r="937" customFormat="false" ht="15" hidden="false" customHeight="false" outlineLevel="0" collapsed="false">
      <c r="A937" s="102"/>
      <c r="E937" s="103" t="str">
        <f aca="false">IF($C937="","",IFERROR(INDEX(المنيو!$C$2:$C$500,MATCH($C937,المنيو!$B$2:$B$500,0)),0))</f>
        <v/>
      </c>
      <c r="F937" s="103" t="str">
        <f aca="false">IF($C937="","",$D937*$E937)</f>
        <v/>
      </c>
      <c r="G937" s="103" t="str">
        <f aca="false">IF($C937="","",$D937*IFERROR(INDEX('تحليل التكلفة والسعر'!$C$2:$C$700,MATCH($C937,'تحليل التكلفة والسعر'!$B$2:$B$700,0)),0))</f>
        <v/>
      </c>
    </row>
    <row r="938" customFormat="false" ht="15" hidden="false" customHeight="false" outlineLevel="0" collapsed="false">
      <c r="A938" s="102"/>
      <c r="E938" s="103" t="str">
        <f aca="false">IF($C938="","",IFERROR(INDEX(المنيو!$C$2:$C$500,MATCH($C938,المنيو!$B$2:$B$500,0)),0))</f>
        <v/>
      </c>
      <c r="F938" s="103" t="str">
        <f aca="false">IF($C938="","",$D938*$E938)</f>
        <v/>
      </c>
      <c r="G938" s="103" t="str">
        <f aca="false">IF($C938="","",$D938*IFERROR(INDEX('تحليل التكلفة والسعر'!$C$2:$C$700,MATCH($C938,'تحليل التكلفة والسعر'!$B$2:$B$700,0)),0))</f>
        <v/>
      </c>
    </row>
    <row r="939" customFormat="false" ht="15" hidden="false" customHeight="false" outlineLevel="0" collapsed="false">
      <c r="A939" s="102"/>
      <c r="E939" s="103" t="str">
        <f aca="false">IF($C939="","",IFERROR(INDEX(المنيو!$C$2:$C$500,MATCH($C939,المنيو!$B$2:$B$500,0)),0))</f>
        <v/>
      </c>
      <c r="F939" s="103" t="str">
        <f aca="false">IF($C939="","",$D939*$E939)</f>
        <v/>
      </c>
      <c r="G939" s="103" t="str">
        <f aca="false">IF($C939="","",$D939*IFERROR(INDEX('تحليل التكلفة والسعر'!$C$2:$C$700,MATCH($C939,'تحليل التكلفة والسعر'!$B$2:$B$700,0)),0))</f>
        <v/>
      </c>
    </row>
    <row r="940" customFormat="false" ht="15" hidden="false" customHeight="false" outlineLevel="0" collapsed="false">
      <c r="A940" s="102"/>
      <c r="E940" s="103" t="str">
        <f aca="false">IF($C940="","",IFERROR(INDEX(المنيو!$C$2:$C$500,MATCH($C940,المنيو!$B$2:$B$500,0)),0))</f>
        <v/>
      </c>
      <c r="F940" s="103" t="str">
        <f aca="false">IF($C940="","",$D940*$E940)</f>
        <v/>
      </c>
      <c r="G940" s="103" t="str">
        <f aca="false">IF($C940="","",$D940*IFERROR(INDEX('تحليل التكلفة والسعر'!$C$2:$C$700,MATCH($C940,'تحليل التكلفة والسعر'!$B$2:$B$700,0)),0))</f>
        <v/>
      </c>
    </row>
    <row r="941" customFormat="false" ht="15" hidden="false" customHeight="false" outlineLevel="0" collapsed="false">
      <c r="A941" s="102"/>
      <c r="E941" s="103" t="str">
        <f aca="false">IF($C941="","",IFERROR(INDEX(المنيو!$C$2:$C$500,MATCH($C941,المنيو!$B$2:$B$500,0)),0))</f>
        <v/>
      </c>
      <c r="F941" s="103" t="str">
        <f aca="false">IF($C941="","",$D941*$E941)</f>
        <v/>
      </c>
      <c r="G941" s="103" t="str">
        <f aca="false">IF($C941="","",$D941*IFERROR(INDEX('تحليل التكلفة والسعر'!$C$2:$C$700,MATCH($C941,'تحليل التكلفة والسعر'!$B$2:$B$700,0)),0))</f>
        <v/>
      </c>
    </row>
    <row r="942" customFormat="false" ht="15" hidden="false" customHeight="false" outlineLevel="0" collapsed="false">
      <c r="A942" s="102"/>
      <c r="E942" s="103" t="str">
        <f aca="false">IF($C942="","",IFERROR(INDEX(المنيو!$C$2:$C$500,MATCH($C942,المنيو!$B$2:$B$500,0)),0))</f>
        <v/>
      </c>
      <c r="F942" s="103" t="str">
        <f aca="false">IF($C942="","",$D942*$E942)</f>
        <v/>
      </c>
      <c r="G942" s="103" t="str">
        <f aca="false">IF($C942="","",$D942*IFERROR(INDEX('تحليل التكلفة والسعر'!$C$2:$C$700,MATCH($C942,'تحليل التكلفة والسعر'!$B$2:$B$700,0)),0))</f>
        <v/>
      </c>
    </row>
    <row r="943" customFormat="false" ht="15" hidden="false" customHeight="false" outlineLevel="0" collapsed="false">
      <c r="A943" s="102"/>
      <c r="E943" s="103" t="str">
        <f aca="false">IF($C943="","",IFERROR(INDEX(المنيو!$C$2:$C$500,MATCH($C943,المنيو!$B$2:$B$500,0)),0))</f>
        <v/>
      </c>
      <c r="F943" s="103" t="str">
        <f aca="false">IF($C943="","",$D943*$E943)</f>
        <v/>
      </c>
      <c r="G943" s="103" t="str">
        <f aca="false">IF($C943="","",$D943*IFERROR(INDEX('تحليل التكلفة والسعر'!$C$2:$C$700,MATCH($C943,'تحليل التكلفة والسعر'!$B$2:$B$700,0)),0))</f>
        <v/>
      </c>
    </row>
    <row r="944" customFormat="false" ht="15" hidden="false" customHeight="false" outlineLevel="0" collapsed="false">
      <c r="A944" s="102"/>
      <c r="E944" s="103" t="str">
        <f aca="false">IF($C944="","",IFERROR(INDEX(المنيو!$C$2:$C$500,MATCH($C944,المنيو!$B$2:$B$500,0)),0))</f>
        <v/>
      </c>
      <c r="F944" s="103" t="str">
        <f aca="false">IF($C944="","",$D944*$E944)</f>
        <v/>
      </c>
      <c r="G944" s="103" t="str">
        <f aca="false">IF($C944="","",$D944*IFERROR(INDEX('تحليل التكلفة والسعر'!$C$2:$C$700,MATCH($C944,'تحليل التكلفة والسعر'!$B$2:$B$700,0)),0))</f>
        <v/>
      </c>
    </row>
    <row r="945" customFormat="false" ht="15" hidden="false" customHeight="false" outlineLevel="0" collapsed="false">
      <c r="A945" s="102"/>
      <c r="E945" s="103" t="str">
        <f aca="false">IF($C945="","",IFERROR(INDEX(المنيو!$C$2:$C$500,MATCH($C945,المنيو!$B$2:$B$500,0)),0))</f>
        <v/>
      </c>
      <c r="F945" s="103" t="str">
        <f aca="false">IF($C945="","",$D945*$E945)</f>
        <v/>
      </c>
      <c r="G945" s="103" t="str">
        <f aca="false">IF($C945="","",$D945*IFERROR(INDEX('تحليل التكلفة والسعر'!$C$2:$C$700,MATCH($C945,'تحليل التكلفة والسعر'!$B$2:$B$700,0)),0))</f>
        <v/>
      </c>
    </row>
    <row r="946" customFormat="false" ht="15" hidden="false" customHeight="false" outlineLevel="0" collapsed="false">
      <c r="A946" s="102"/>
      <c r="E946" s="103" t="str">
        <f aca="false">IF($C946="","",IFERROR(INDEX(المنيو!$C$2:$C$500,MATCH($C946,المنيو!$B$2:$B$500,0)),0))</f>
        <v/>
      </c>
      <c r="F946" s="103" t="str">
        <f aca="false">IF($C946="","",$D946*$E946)</f>
        <v/>
      </c>
      <c r="G946" s="103" t="str">
        <f aca="false">IF($C946="","",$D946*IFERROR(INDEX('تحليل التكلفة والسعر'!$C$2:$C$700,MATCH($C946,'تحليل التكلفة والسعر'!$B$2:$B$700,0)),0))</f>
        <v/>
      </c>
    </row>
    <row r="947" customFormat="false" ht="15" hidden="false" customHeight="false" outlineLevel="0" collapsed="false">
      <c r="A947" s="102"/>
      <c r="E947" s="103" t="str">
        <f aca="false">IF($C947="","",IFERROR(INDEX(المنيو!$C$2:$C$500,MATCH($C947,المنيو!$B$2:$B$500,0)),0))</f>
        <v/>
      </c>
      <c r="F947" s="103" t="str">
        <f aca="false">IF($C947="","",$D947*$E947)</f>
        <v/>
      </c>
      <c r="G947" s="103" t="str">
        <f aca="false">IF($C947="","",$D947*IFERROR(INDEX('تحليل التكلفة والسعر'!$C$2:$C$700,MATCH($C947,'تحليل التكلفة والسعر'!$B$2:$B$700,0)),0))</f>
        <v/>
      </c>
    </row>
    <row r="948" customFormat="false" ht="15" hidden="false" customHeight="false" outlineLevel="0" collapsed="false">
      <c r="A948" s="102"/>
      <c r="E948" s="103" t="str">
        <f aca="false">IF($C948="","",IFERROR(INDEX(المنيو!$C$2:$C$500,MATCH($C948,المنيو!$B$2:$B$500,0)),0))</f>
        <v/>
      </c>
      <c r="F948" s="103" t="str">
        <f aca="false">IF($C948="","",$D948*$E948)</f>
        <v/>
      </c>
      <c r="G948" s="103" t="str">
        <f aca="false">IF($C948="","",$D948*IFERROR(INDEX('تحليل التكلفة والسعر'!$C$2:$C$700,MATCH($C948,'تحليل التكلفة والسعر'!$B$2:$B$700,0)),0))</f>
        <v/>
      </c>
    </row>
    <row r="949" customFormat="false" ht="15" hidden="false" customHeight="false" outlineLevel="0" collapsed="false">
      <c r="A949" s="102"/>
      <c r="E949" s="103" t="str">
        <f aca="false">IF($C949="","",IFERROR(INDEX(المنيو!$C$2:$C$500,MATCH($C949,المنيو!$B$2:$B$500,0)),0))</f>
        <v/>
      </c>
      <c r="F949" s="103" t="str">
        <f aca="false">IF($C949="","",$D949*$E949)</f>
        <v/>
      </c>
      <c r="G949" s="103" t="str">
        <f aca="false">IF($C949="","",$D949*IFERROR(INDEX('تحليل التكلفة والسعر'!$C$2:$C$700,MATCH($C949,'تحليل التكلفة والسعر'!$B$2:$B$700,0)),0))</f>
        <v/>
      </c>
    </row>
    <row r="950" customFormat="false" ht="15" hidden="false" customHeight="false" outlineLevel="0" collapsed="false">
      <c r="A950" s="102"/>
      <c r="E950" s="103" t="str">
        <f aca="false">IF($C950="","",IFERROR(INDEX(المنيو!$C$2:$C$500,MATCH($C950,المنيو!$B$2:$B$500,0)),0))</f>
        <v/>
      </c>
      <c r="F950" s="103" t="str">
        <f aca="false">IF($C950="","",$D950*$E950)</f>
        <v/>
      </c>
      <c r="G950" s="103" t="str">
        <f aca="false">IF($C950="","",$D950*IFERROR(INDEX('تحليل التكلفة والسعر'!$C$2:$C$700,MATCH($C950,'تحليل التكلفة والسعر'!$B$2:$B$700,0)),0))</f>
        <v/>
      </c>
    </row>
    <row r="951" customFormat="false" ht="15" hidden="false" customHeight="false" outlineLevel="0" collapsed="false">
      <c r="A951" s="102"/>
      <c r="E951" s="103" t="str">
        <f aca="false">IF($C951="","",IFERROR(INDEX(المنيو!$C$2:$C$500,MATCH($C951,المنيو!$B$2:$B$500,0)),0))</f>
        <v/>
      </c>
      <c r="F951" s="103" t="str">
        <f aca="false">IF($C951="","",$D951*$E951)</f>
        <v/>
      </c>
      <c r="G951" s="103" t="str">
        <f aca="false">IF($C951="","",$D951*IFERROR(INDEX('تحليل التكلفة والسعر'!$C$2:$C$700,MATCH($C951,'تحليل التكلفة والسعر'!$B$2:$B$700,0)),0))</f>
        <v/>
      </c>
    </row>
    <row r="952" customFormat="false" ht="15" hidden="false" customHeight="false" outlineLevel="0" collapsed="false">
      <c r="A952" s="102"/>
      <c r="E952" s="103" t="str">
        <f aca="false">IF($C952="","",IFERROR(INDEX(المنيو!$C$2:$C$500,MATCH($C952,المنيو!$B$2:$B$500,0)),0))</f>
        <v/>
      </c>
      <c r="F952" s="103" t="str">
        <f aca="false">IF($C952="","",$D952*$E952)</f>
        <v/>
      </c>
      <c r="G952" s="103" t="str">
        <f aca="false">IF($C952="","",$D952*IFERROR(INDEX('تحليل التكلفة والسعر'!$C$2:$C$700,MATCH($C952,'تحليل التكلفة والسعر'!$B$2:$B$700,0)),0))</f>
        <v/>
      </c>
    </row>
    <row r="953" customFormat="false" ht="15" hidden="false" customHeight="false" outlineLevel="0" collapsed="false">
      <c r="A953" s="102"/>
      <c r="E953" s="103" t="str">
        <f aca="false">IF($C953="","",IFERROR(INDEX(المنيو!$C$2:$C$500,MATCH($C953,المنيو!$B$2:$B$500,0)),0))</f>
        <v/>
      </c>
      <c r="F953" s="103" t="str">
        <f aca="false">IF($C953="","",$D953*$E953)</f>
        <v/>
      </c>
      <c r="G953" s="103" t="str">
        <f aca="false">IF($C953="","",$D953*IFERROR(INDEX('تحليل التكلفة والسعر'!$C$2:$C$700,MATCH($C953,'تحليل التكلفة والسعر'!$B$2:$B$700,0)),0))</f>
        <v/>
      </c>
    </row>
    <row r="954" customFormat="false" ht="15" hidden="false" customHeight="false" outlineLevel="0" collapsed="false">
      <c r="A954" s="102"/>
      <c r="E954" s="103" t="str">
        <f aca="false">IF($C954="","",IFERROR(INDEX(المنيو!$C$2:$C$500,MATCH($C954,المنيو!$B$2:$B$500,0)),0))</f>
        <v/>
      </c>
      <c r="F954" s="103" t="str">
        <f aca="false">IF($C954="","",$D954*$E954)</f>
        <v/>
      </c>
      <c r="G954" s="103" t="str">
        <f aca="false">IF($C954="","",$D954*IFERROR(INDEX('تحليل التكلفة والسعر'!$C$2:$C$700,MATCH($C954,'تحليل التكلفة والسعر'!$B$2:$B$700,0)),0))</f>
        <v/>
      </c>
    </row>
    <row r="955" customFormat="false" ht="15" hidden="false" customHeight="false" outlineLevel="0" collapsed="false">
      <c r="A955" s="102"/>
      <c r="E955" s="103" t="str">
        <f aca="false">IF($C955="","",IFERROR(INDEX(المنيو!$C$2:$C$500,MATCH($C955,المنيو!$B$2:$B$500,0)),0))</f>
        <v/>
      </c>
      <c r="F955" s="103" t="str">
        <f aca="false">IF($C955="","",$D955*$E955)</f>
        <v/>
      </c>
      <c r="G955" s="103" t="str">
        <f aca="false">IF($C955="","",$D955*IFERROR(INDEX('تحليل التكلفة والسعر'!$C$2:$C$700,MATCH($C955,'تحليل التكلفة والسعر'!$B$2:$B$700,0)),0))</f>
        <v/>
      </c>
    </row>
    <row r="956" customFormat="false" ht="15" hidden="false" customHeight="false" outlineLevel="0" collapsed="false">
      <c r="A956" s="102"/>
      <c r="E956" s="103" t="str">
        <f aca="false">IF($C956="","",IFERROR(INDEX(المنيو!$C$2:$C$500,MATCH($C956,المنيو!$B$2:$B$500,0)),0))</f>
        <v/>
      </c>
      <c r="F956" s="103" t="str">
        <f aca="false">IF($C956="","",$D956*$E956)</f>
        <v/>
      </c>
      <c r="G956" s="103" t="str">
        <f aca="false">IF($C956="","",$D956*IFERROR(INDEX('تحليل التكلفة والسعر'!$C$2:$C$700,MATCH($C956,'تحليل التكلفة والسعر'!$B$2:$B$700,0)),0))</f>
        <v/>
      </c>
    </row>
    <row r="957" customFormat="false" ht="15" hidden="false" customHeight="false" outlineLevel="0" collapsed="false">
      <c r="A957" s="102"/>
      <c r="E957" s="103" t="str">
        <f aca="false">IF($C957="","",IFERROR(INDEX(المنيو!$C$2:$C$500,MATCH($C957,المنيو!$B$2:$B$500,0)),0))</f>
        <v/>
      </c>
      <c r="F957" s="103" t="str">
        <f aca="false">IF($C957="","",$D957*$E957)</f>
        <v/>
      </c>
      <c r="G957" s="103" t="str">
        <f aca="false">IF($C957="","",$D957*IFERROR(INDEX('تحليل التكلفة والسعر'!$C$2:$C$700,MATCH($C957,'تحليل التكلفة والسعر'!$B$2:$B$700,0)),0))</f>
        <v/>
      </c>
    </row>
    <row r="958" customFormat="false" ht="15" hidden="false" customHeight="false" outlineLevel="0" collapsed="false">
      <c r="A958" s="102"/>
      <c r="E958" s="103" t="str">
        <f aca="false">IF($C958="","",IFERROR(INDEX(المنيو!$C$2:$C$500,MATCH($C958,المنيو!$B$2:$B$500,0)),0))</f>
        <v/>
      </c>
      <c r="F958" s="103" t="str">
        <f aca="false">IF($C958="","",$D958*$E958)</f>
        <v/>
      </c>
      <c r="G958" s="103" t="str">
        <f aca="false">IF($C958="","",$D958*IFERROR(INDEX('تحليل التكلفة والسعر'!$C$2:$C$700,MATCH($C958,'تحليل التكلفة والسعر'!$B$2:$B$700,0)),0))</f>
        <v/>
      </c>
    </row>
    <row r="959" customFormat="false" ht="15" hidden="false" customHeight="false" outlineLevel="0" collapsed="false">
      <c r="A959" s="102"/>
      <c r="E959" s="103" t="str">
        <f aca="false">IF($C959="","",IFERROR(INDEX(المنيو!$C$2:$C$500,MATCH($C959,المنيو!$B$2:$B$500,0)),0))</f>
        <v/>
      </c>
      <c r="F959" s="103" t="str">
        <f aca="false">IF($C959="","",$D959*$E959)</f>
        <v/>
      </c>
      <c r="G959" s="103" t="str">
        <f aca="false">IF($C959="","",$D959*IFERROR(INDEX('تحليل التكلفة والسعر'!$C$2:$C$700,MATCH($C959,'تحليل التكلفة والسعر'!$B$2:$B$700,0)),0))</f>
        <v/>
      </c>
    </row>
    <row r="960" customFormat="false" ht="15" hidden="false" customHeight="false" outlineLevel="0" collapsed="false">
      <c r="A960" s="102"/>
      <c r="E960" s="103" t="str">
        <f aca="false">IF($C960="","",IFERROR(INDEX(المنيو!$C$2:$C$500,MATCH($C960,المنيو!$B$2:$B$500,0)),0))</f>
        <v/>
      </c>
      <c r="F960" s="103" t="str">
        <f aca="false">IF($C960="","",$D960*$E960)</f>
        <v/>
      </c>
      <c r="G960" s="103" t="str">
        <f aca="false">IF($C960="","",$D960*IFERROR(INDEX('تحليل التكلفة والسعر'!$C$2:$C$700,MATCH($C960,'تحليل التكلفة والسعر'!$B$2:$B$700,0)),0))</f>
        <v/>
      </c>
    </row>
    <row r="961" customFormat="false" ht="15" hidden="false" customHeight="false" outlineLevel="0" collapsed="false">
      <c r="A961" s="102"/>
      <c r="E961" s="103" t="str">
        <f aca="false">IF($C961="","",IFERROR(INDEX(المنيو!$C$2:$C$500,MATCH($C961,المنيو!$B$2:$B$500,0)),0))</f>
        <v/>
      </c>
      <c r="F961" s="103" t="str">
        <f aca="false">IF($C961="","",$D961*$E961)</f>
        <v/>
      </c>
      <c r="G961" s="103" t="str">
        <f aca="false">IF($C961="","",$D961*IFERROR(INDEX('تحليل التكلفة والسعر'!$C$2:$C$700,MATCH($C961,'تحليل التكلفة والسعر'!$B$2:$B$700,0)),0))</f>
        <v/>
      </c>
    </row>
    <row r="962" customFormat="false" ht="15" hidden="false" customHeight="false" outlineLevel="0" collapsed="false">
      <c r="A962" s="102"/>
      <c r="E962" s="103" t="str">
        <f aca="false">IF($C962="","",IFERROR(INDEX(المنيو!$C$2:$C$500,MATCH($C962,المنيو!$B$2:$B$500,0)),0))</f>
        <v/>
      </c>
      <c r="F962" s="103" t="str">
        <f aca="false">IF($C962="","",$D962*$E962)</f>
        <v/>
      </c>
      <c r="G962" s="103" t="str">
        <f aca="false">IF($C962="","",$D962*IFERROR(INDEX('تحليل التكلفة والسعر'!$C$2:$C$700,MATCH($C962,'تحليل التكلفة والسعر'!$B$2:$B$700,0)),0))</f>
        <v/>
      </c>
    </row>
    <row r="963" customFormat="false" ht="15" hidden="false" customHeight="false" outlineLevel="0" collapsed="false">
      <c r="A963" s="102"/>
      <c r="E963" s="103" t="str">
        <f aca="false">IF($C963="","",IFERROR(INDEX(المنيو!$C$2:$C$500,MATCH($C963,المنيو!$B$2:$B$500,0)),0))</f>
        <v/>
      </c>
      <c r="F963" s="103" t="str">
        <f aca="false">IF($C963="","",$D963*$E963)</f>
        <v/>
      </c>
      <c r="G963" s="103" t="str">
        <f aca="false">IF($C963="","",$D963*IFERROR(INDEX('تحليل التكلفة والسعر'!$C$2:$C$700,MATCH($C963,'تحليل التكلفة والسعر'!$B$2:$B$700,0)),0))</f>
        <v/>
      </c>
    </row>
    <row r="964" customFormat="false" ht="15" hidden="false" customHeight="false" outlineLevel="0" collapsed="false">
      <c r="A964" s="102"/>
      <c r="E964" s="103" t="str">
        <f aca="false">IF($C964="","",IFERROR(INDEX(المنيو!$C$2:$C$500,MATCH($C964,المنيو!$B$2:$B$500,0)),0))</f>
        <v/>
      </c>
      <c r="F964" s="103" t="str">
        <f aca="false">IF($C964="","",$D964*$E964)</f>
        <v/>
      </c>
      <c r="G964" s="103" t="str">
        <f aca="false">IF($C964="","",$D964*IFERROR(INDEX('تحليل التكلفة والسعر'!$C$2:$C$700,MATCH($C964,'تحليل التكلفة والسعر'!$B$2:$B$700,0)),0))</f>
        <v/>
      </c>
    </row>
    <row r="965" customFormat="false" ht="15" hidden="false" customHeight="false" outlineLevel="0" collapsed="false">
      <c r="A965" s="102"/>
      <c r="E965" s="103" t="str">
        <f aca="false">IF($C965="","",IFERROR(INDEX(المنيو!$C$2:$C$500,MATCH($C965,المنيو!$B$2:$B$500,0)),0))</f>
        <v/>
      </c>
      <c r="F965" s="103" t="str">
        <f aca="false">IF($C965="","",$D965*$E965)</f>
        <v/>
      </c>
      <c r="G965" s="103" t="str">
        <f aca="false">IF($C965="","",$D965*IFERROR(INDEX('تحليل التكلفة والسعر'!$C$2:$C$700,MATCH($C965,'تحليل التكلفة والسعر'!$B$2:$B$700,0)),0))</f>
        <v/>
      </c>
    </row>
    <row r="966" customFormat="false" ht="15" hidden="false" customHeight="false" outlineLevel="0" collapsed="false">
      <c r="A966" s="102"/>
      <c r="E966" s="103" t="str">
        <f aca="false">IF($C966="","",IFERROR(INDEX(المنيو!$C$2:$C$500,MATCH($C966,المنيو!$B$2:$B$500,0)),0))</f>
        <v/>
      </c>
      <c r="F966" s="103" t="str">
        <f aca="false">IF($C966="","",$D966*$E966)</f>
        <v/>
      </c>
      <c r="G966" s="103" t="str">
        <f aca="false">IF($C966="","",$D966*IFERROR(INDEX('تحليل التكلفة والسعر'!$C$2:$C$700,MATCH($C966,'تحليل التكلفة والسعر'!$B$2:$B$700,0)),0))</f>
        <v/>
      </c>
    </row>
    <row r="967" customFormat="false" ht="15" hidden="false" customHeight="false" outlineLevel="0" collapsed="false">
      <c r="A967" s="102"/>
      <c r="E967" s="103" t="str">
        <f aca="false">IF($C967="","",IFERROR(INDEX(المنيو!$C$2:$C$500,MATCH($C967,المنيو!$B$2:$B$500,0)),0))</f>
        <v/>
      </c>
      <c r="F967" s="103" t="str">
        <f aca="false">IF($C967="","",$D967*$E967)</f>
        <v/>
      </c>
      <c r="G967" s="103" t="str">
        <f aca="false">IF($C967="","",$D967*IFERROR(INDEX('تحليل التكلفة والسعر'!$C$2:$C$700,MATCH($C967,'تحليل التكلفة والسعر'!$B$2:$B$700,0)),0))</f>
        <v/>
      </c>
    </row>
    <row r="968" customFormat="false" ht="15" hidden="false" customHeight="false" outlineLevel="0" collapsed="false">
      <c r="A968" s="102"/>
      <c r="E968" s="103" t="str">
        <f aca="false">IF($C968="","",IFERROR(INDEX(المنيو!$C$2:$C$500,MATCH($C968,المنيو!$B$2:$B$500,0)),0))</f>
        <v/>
      </c>
      <c r="F968" s="103" t="str">
        <f aca="false">IF($C968="","",$D968*$E968)</f>
        <v/>
      </c>
      <c r="G968" s="103" t="str">
        <f aca="false">IF($C968="","",$D968*IFERROR(INDEX('تحليل التكلفة والسعر'!$C$2:$C$700,MATCH($C968,'تحليل التكلفة والسعر'!$B$2:$B$700,0)),0))</f>
        <v/>
      </c>
    </row>
    <row r="969" customFormat="false" ht="15" hidden="false" customHeight="false" outlineLevel="0" collapsed="false">
      <c r="A969" s="102"/>
      <c r="E969" s="103" t="str">
        <f aca="false">IF($C969="","",IFERROR(INDEX(المنيو!$C$2:$C$500,MATCH($C969,المنيو!$B$2:$B$500,0)),0))</f>
        <v/>
      </c>
      <c r="F969" s="103" t="str">
        <f aca="false">IF($C969="","",$D969*$E969)</f>
        <v/>
      </c>
      <c r="G969" s="103" t="str">
        <f aca="false">IF($C969="","",$D969*IFERROR(INDEX('تحليل التكلفة والسعر'!$C$2:$C$700,MATCH($C969,'تحليل التكلفة والسعر'!$B$2:$B$700,0)),0))</f>
        <v/>
      </c>
    </row>
    <row r="970" customFormat="false" ht="15" hidden="false" customHeight="false" outlineLevel="0" collapsed="false">
      <c r="A970" s="102"/>
      <c r="E970" s="103" t="str">
        <f aca="false">IF($C970="","",IFERROR(INDEX(المنيو!$C$2:$C$500,MATCH($C970,المنيو!$B$2:$B$500,0)),0))</f>
        <v/>
      </c>
      <c r="F970" s="103" t="str">
        <f aca="false">IF($C970="","",$D970*$E970)</f>
        <v/>
      </c>
      <c r="G970" s="103" t="str">
        <f aca="false">IF($C970="","",$D970*IFERROR(INDEX('تحليل التكلفة والسعر'!$C$2:$C$700,MATCH($C970,'تحليل التكلفة والسعر'!$B$2:$B$700,0)),0))</f>
        <v/>
      </c>
    </row>
    <row r="971" customFormat="false" ht="15" hidden="false" customHeight="false" outlineLevel="0" collapsed="false">
      <c r="A971" s="102"/>
      <c r="E971" s="103" t="str">
        <f aca="false">IF($C971="","",IFERROR(INDEX(المنيو!$C$2:$C$500,MATCH($C971,المنيو!$B$2:$B$500,0)),0))</f>
        <v/>
      </c>
      <c r="F971" s="103" t="str">
        <f aca="false">IF($C971="","",$D971*$E971)</f>
        <v/>
      </c>
      <c r="G971" s="103" t="str">
        <f aca="false">IF($C971="","",$D971*IFERROR(INDEX('تحليل التكلفة والسعر'!$C$2:$C$700,MATCH($C971,'تحليل التكلفة والسعر'!$B$2:$B$700,0)),0))</f>
        <v/>
      </c>
    </row>
    <row r="972" customFormat="false" ht="15" hidden="false" customHeight="false" outlineLevel="0" collapsed="false">
      <c r="A972" s="102"/>
      <c r="E972" s="103" t="str">
        <f aca="false">IF($C972="","",IFERROR(INDEX(المنيو!$C$2:$C$500,MATCH($C972,المنيو!$B$2:$B$500,0)),0))</f>
        <v/>
      </c>
      <c r="F972" s="103" t="str">
        <f aca="false">IF($C972="","",$D972*$E972)</f>
        <v/>
      </c>
      <c r="G972" s="103" t="str">
        <f aca="false">IF($C972="","",$D972*IFERROR(INDEX('تحليل التكلفة والسعر'!$C$2:$C$700,MATCH($C972,'تحليل التكلفة والسعر'!$B$2:$B$700,0)),0))</f>
        <v/>
      </c>
    </row>
    <row r="973" customFormat="false" ht="15" hidden="false" customHeight="false" outlineLevel="0" collapsed="false">
      <c r="A973" s="102"/>
      <c r="E973" s="103" t="str">
        <f aca="false">IF($C973="","",IFERROR(INDEX(المنيو!$C$2:$C$500,MATCH($C973,المنيو!$B$2:$B$500,0)),0))</f>
        <v/>
      </c>
      <c r="F973" s="103" t="str">
        <f aca="false">IF($C973="","",$D973*$E973)</f>
        <v/>
      </c>
      <c r="G973" s="103" t="str">
        <f aca="false">IF($C973="","",$D973*IFERROR(INDEX('تحليل التكلفة والسعر'!$C$2:$C$700,MATCH($C973,'تحليل التكلفة والسعر'!$B$2:$B$700,0)),0))</f>
        <v/>
      </c>
    </row>
    <row r="974" customFormat="false" ht="15" hidden="false" customHeight="false" outlineLevel="0" collapsed="false">
      <c r="A974" s="102"/>
      <c r="E974" s="103" t="str">
        <f aca="false">IF($C974="","",IFERROR(INDEX(المنيو!$C$2:$C$500,MATCH($C974,المنيو!$B$2:$B$500,0)),0))</f>
        <v/>
      </c>
      <c r="F974" s="103" t="str">
        <f aca="false">IF($C974="","",$D974*$E974)</f>
        <v/>
      </c>
      <c r="G974" s="103" t="str">
        <f aca="false">IF($C974="","",$D974*IFERROR(INDEX('تحليل التكلفة والسعر'!$C$2:$C$700,MATCH($C974,'تحليل التكلفة والسعر'!$B$2:$B$700,0)),0))</f>
        <v/>
      </c>
    </row>
    <row r="975" customFormat="false" ht="15" hidden="false" customHeight="false" outlineLevel="0" collapsed="false">
      <c r="A975" s="102"/>
      <c r="E975" s="103" t="str">
        <f aca="false">IF($C975="","",IFERROR(INDEX(المنيو!$C$2:$C$500,MATCH($C975,المنيو!$B$2:$B$500,0)),0))</f>
        <v/>
      </c>
      <c r="F975" s="103" t="str">
        <f aca="false">IF($C975="","",$D975*$E975)</f>
        <v/>
      </c>
      <c r="G975" s="103" t="str">
        <f aca="false">IF($C975="","",$D975*IFERROR(INDEX('تحليل التكلفة والسعر'!$C$2:$C$700,MATCH($C975,'تحليل التكلفة والسعر'!$B$2:$B$700,0)),0))</f>
        <v/>
      </c>
    </row>
    <row r="976" customFormat="false" ht="15" hidden="false" customHeight="false" outlineLevel="0" collapsed="false">
      <c r="A976" s="102"/>
      <c r="E976" s="103" t="str">
        <f aca="false">IF($C976="","",IFERROR(INDEX(المنيو!$C$2:$C$500,MATCH($C976,المنيو!$B$2:$B$500,0)),0))</f>
        <v/>
      </c>
      <c r="F976" s="103" t="str">
        <f aca="false">IF($C976="","",$D976*$E976)</f>
        <v/>
      </c>
      <c r="G976" s="103" t="str">
        <f aca="false">IF($C976="","",$D976*IFERROR(INDEX('تحليل التكلفة والسعر'!$C$2:$C$700,MATCH($C976,'تحليل التكلفة والسعر'!$B$2:$B$700,0)),0))</f>
        <v/>
      </c>
    </row>
    <row r="977" customFormat="false" ht="15" hidden="false" customHeight="false" outlineLevel="0" collapsed="false">
      <c r="A977" s="102"/>
      <c r="E977" s="103" t="str">
        <f aca="false">IF($C977="","",IFERROR(INDEX(المنيو!$C$2:$C$500,MATCH($C977,المنيو!$B$2:$B$500,0)),0))</f>
        <v/>
      </c>
      <c r="F977" s="103" t="str">
        <f aca="false">IF($C977="","",$D977*$E977)</f>
        <v/>
      </c>
      <c r="G977" s="103" t="str">
        <f aca="false">IF($C977="","",$D977*IFERROR(INDEX('تحليل التكلفة والسعر'!$C$2:$C$700,MATCH($C977,'تحليل التكلفة والسعر'!$B$2:$B$700,0)),0))</f>
        <v/>
      </c>
    </row>
    <row r="978" customFormat="false" ht="15" hidden="false" customHeight="false" outlineLevel="0" collapsed="false">
      <c r="A978" s="102"/>
      <c r="E978" s="103" t="str">
        <f aca="false">IF($C978="","",IFERROR(INDEX(المنيو!$C$2:$C$500,MATCH($C978,المنيو!$B$2:$B$500,0)),0))</f>
        <v/>
      </c>
      <c r="F978" s="103" t="str">
        <f aca="false">IF($C978="","",$D978*$E978)</f>
        <v/>
      </c>
      <c r="G978" s="103" t="str">
        <f aca="false">IF($C978="","",$D978*IFERROR(INDEX('تحليل التكلفة والسعر'!$C$2:$C$700,MATCH($C978,'تحليل التكلفة والسعر'!$B$2:$B$700,0)),0))</f>
        <v/>
      </c>
    </row>
    <row r="979" customFormat="false" ht="15" hidden="false" customHeight="false" outlineLevel="0" collapsed="false">
      <c r="A979" s="102"/>
      <c r="E979" s="103" t="str">
        <f aca="false">IF($C979="","",IFERROR(INDEX(المنيو!$C$2:$C$500,MATCH($C979,المنيو!$B$2:$B$500,0)),0))</f>
        <v/>
      </c>
      <c r="F979" s="103" t="str">
        <f aca="false">IF($C979="","",$D979*$E979)</f>
        <v/>
      </c>
      <c r="G979" s="103" t="str">
        <f aca="false">IF($C979="","",$D979*IFERROR(INDEX('تحليل التكلفة والسعر'!$C$2:$C$700,MATCH($C979,'تحليل التكلفة والسعر'!$B$2:$B$700,0)),0))</f>
        <v/>
      </c>
    </row>
    <row r="980" customFormat="false" ht="15" hidden="false" customHeight="false" outlineLevel="0" collapsed="false">
      <c r="A980" s="102"/>
      <c r="E980" s="103" t="str">
        <f aca="false">IF($C980="","",IFERROR(INDEX(المنيو!$C$2:$C$500,MATCH($C980,المنيو!$B$2:$B$500,0)),0))</f>
        <v/>
      </c>
      <c r="F980" s="103" t="str">
        <f aca="false">IF($C980="","",$D980*$E980)</f>
        <v/>
      </c>
      <c r="G980" s="103" t="str">
        <f aca="false">IF($C980="","",$D980*IFERROR(INDEX('تحليل التكلفة والسعر'!$C$2:$C$700,MATCH($C980,'تحليل التكلفة والسعر'!$B$2:$B$700,0)),0))</f>
        <v/>
      </c>
    </row>
    <row r="981" customFormat="false" ht="15" hidden="false" customHeight="false" outlineLevel="0" collapsed="false">
      <c r="A981" s="102"/>
      <c r="E981" s="103" t="str">
        <f aca="false">IF($C981="","",IFERROR(INDEX(المنيو!$C$2:$C$500,MATCH($C981,المنيو!$B$2:$B$500,0)),0))</f>
        <v/>
      </c>
      <c r="F981" s="103" t="str">
        <f aca="false">IF($C981="","",$D981*$E981)</f>
        <v/>
      </c>
      <c r="G981" s="103" t="str">
        <f aca="false">IF($C981="","",$D981*IFERROR(INDEX('تحليل التكلفة والسعر'!$C$2:$C$700,MATCH($C981,'تحليل التكلفة والسعر'!$B$2:$B$700,0)),0))</f>
        <v/>
      </c>
    </row>
    <row r="982" customFormat="false" ht="15" hidden="false" customHeight="false" outlineLevel="0" collapsed="false">
      <c r="A982" s="102"/>
      <c r="E982" s="103" t="str">
        <f aca="false">IF($C982="","",IFERROR(INDEX(المنيو!$C$2:$C$500,MATCH($C982,المنيو!$B$2:$B$500,0)),0))</f>
        <v/>
      </c>
      <c r="F982" s="103" t="str">
        <f aca="false">IF($C982="","",$D982*$E982)</f>
        <v/>
      </c>
      <c r="G982" s="103" t="str">
        <f aca="false">IF($C982="","",$D982*IFERROR(INDEX('تحليل التكلفة والسعر'!$C$2:$C$700,MATCH($C982,'تحليل التكلفة والسعر'!$B$2:$B$700,0)),0))</f>
        <v/>
      </c>
    </row>
    <row r="983" customFormat="false" ht="15" hidden="false" customHeight="false" outlineLevel="0" collapsed="false">
      <c r="A983" s="102"/>
      <c r="E983" s="103" t="str">
        <f aca="false">IF($C983="","",IFERROR(INDEX(المنيو!$C$2:$C$500,MATCH($C983,المنيو!$B$2:$B$500,0)),0))</f>
        <v/>
      </c>
      <c r="F983" s="103" t="str">
        <f aca="false">IF($C983="","",$D983*$E983)</f>
        <v/>
      </c>
      <c r="G983" s="103" t="str">
        <f aca="false">IF($C983="","",$D983*IFERROR(INDEX('تحليل التكلفة والسعر'!$C$2:$C$700,MATCH($C983,'تحليل التكلفة والسعر'!$B$2:$B$700,0)),0))</f>
        <v/>
      </c>
    </row>
    <row r="984" customFormat="false" ht="15" hidden="false" customHeight="false" outlineLevel="0" collapsed="false">
      <c r="A984" s="102"/>
      <c r="E984" s="103" t="str">
        <f aca="false">IF($C984="","",IFERROR(INDEX(المنيو!$C$2:$C$500,MATCH($C984,المنيو!$B$2:$B$500,0)),0))</f>
        <v/>
      </c>
      <c r="F984" s="103" t="str">
        <f aca="false">IF($C984="","",$D984*$E984)</f>
        <v/>
      </c>
      <c r="G984" s="103" t="str">
        <f aca="false">IF($C984="","",$D984*IFERROR(INDEX('تحليل التكلفة والسعر'!$C$2:$C$700,MATCH($C984,'تحليل التكلفة والسعر'!$B$2:$B$700,0)),0))</f>
        <v/>
      </c>
    </row>
    <row r="985" customFormat="false" ht="15" hidden="false" customHeight="false" outlineLevel="0" collapsed="false">
      <c r="A985" s="102"/>
      <c r="E985" s="103" t="str">
        <f aca="false">IF($C985="","",IFERROR(INDEX(المنيو!$C$2:$C$500,MATCH($C985,المنيو!$B$2:$B$500,0)),0))</f>
        <v/>
      </c>
      <c r="F985" s="103" t="str">
        <f aca="false">IF($C985="","",$D985*$E985)</f>
        <v/>
      </c>
      <c r="G985" s="103" t="str">
        <f aca="false">IF($C985="","",$D985*IFERROR(INDEX('تحليل التكلفة والسعر'!$C$2:$C$700,MATCH($C985,'تحليل التكلفة والسعر'!$B$2:$B$700,0)),0))</f>
        <v/>
      </c>
    </row>
    <row r="986" customFormat="false" ht="15" hidden="false" customHeight="false" outlineLevel="0" collapsed="false">
      <c r="A986" s="102"/>
      <c r="E986" s="103" t="str">
        <f aca="false">IF($C986="","",IFERROR(INDEX(المنيو!$C$2:$C$500,MATCH($C986,المنيو!$B$2:$B$500,0)),0))</f>
        <v/>
      </c>
      <c r="F986" s="103" t="str">
        <f aca="false">IF($C986="","",$D986*$E986)</f>
        <v/>
      </c>
      <c r="G986" s="103" t="str">
        <f aca="false">IF($C986="","",$D986*IFERROR(INDEX('تحليل التكلفة والسعر'!$C$2:$C$700,MATCH($C986,'تحليل التكلفة والسعر'!$B$2:$B$700,0)),0))</f>
        <v/>
      </c>
    </row>
    <row r="987" customFormat="false" ht="15" hidden="false" customHeight="false" outlineLevel="0" collapsed="false">
      <c r="A987" s="102"/>
      <c r="E987" s="103" t="str">
        <f aca="false">IF($C987="","",IFERROR(INDEX(المنيو!$C$2:$C$500,MATCH($C987,المنيو!$B$2:$B$500,0)),0))</f>
        <v/>
      </c>
      <c r="F987" s="103" t="str">
        <f aca="false">IF($C987="","",$D987*$E987)</f>
        <v/>
      </c>
      <c r="G987" s="103" t="str">
        <f aca="false">IF($C987="","",$D987*IFERROR(INDEX('تحليل التكلفة والسعر'!$C$2:$C$700,MATCH($C987,'تحليل التكلفة والسعر'!$B$2:$B$700,0)),0))</f>
        <v/>
      </c>
    </row>
    <row r="988" customFormat="false" ht="15" hidden="false" customHeight="false" outlineLevel="0" collapsed="false">
      <c r="A988" s="102"/>
      <c r="E988" s="103" t="str">
        <f aca="false">IF($C988="","",IFERROR(INDEX(المنيو!$C$2:$C$500,MATCH($C988,المنيو!$B$2:$B$500,0)),0))</f>
        <v/>
      </c>
      <c r="F988" s="103" t="str">
        <f aca="false">IF($C988="","",$D988*$E988)</f>
        <v/>
      </c>
      <c r="G988" s="103" t="str">
        <f aca="false">IF($C988="","",$D988*IFERROR(INDEX('تحليل التكلفة والسعر'!$C$2:$C$700,MATCH($C988,'تحليل التكلفة والسعر'!$B$2:$B$700,0)),0))</f>
        <v/>
      </c>
    </row>
    <row r="989" customFormat="false" ht="15" hidden="false" customHeight="false" outlineLevel="0" collapsed="false">
      <c r="A989" s="102"/>
      <c r="E989" s="103" t="str">
        <f aca="false">IF($C989="","",IFERROR(INDEX(المنيو!$C$2:$C$500,MATCH($C989,المنيو!$B$2:$B$500,0)),0))</f>
        <v/>
      </c>
      <c r="F989" s="103" t="str">
        <f aca="false">IF($C989="","",$D989*$E989)</f>
        <v/>
      </c>
      <c r="G989" s="103" t="str">
        <f aca="false">IF($C989="","",$D989*IFERROR(INDEX('تحليل التكلفة والسعر'!$C$2:$C$700,MATCH($C989,'تحليل التكلفة والسعر'!$B$2:$B$700,0)),0))</f>
        <v/>
      </c>
    </row>
    <row r="990" customFormat="false" ht="15" hidden="false" customHeight="false" outlineLevel="0" collapsed="false">
      <c r="A990" s="102"/>
      <c r="E990" s="103" t="str">
        <f aca="false">IF($C990="","",IFERROR(INDEX(المنيو!$C$2:$C$500,MATCH($C990,المنيو!$B$2:$B$500,0)),0))</f>
        <v/>
      </c>
      <c r="F990" s="103" t="str">
        <f aca="false">IF($C990="","",$D990*$E990)</f>
        <v/>
      </c>
      <c r="G990" s="103" t="str">
        <f aca="false">IF($C990="","",$D990*IFERROR(INDEX('تحليل التكلفة والسعر'!$C$2:$C$700,MATCH($C990,'تحليل التكلفة والسعر'!$B$2:$B$700,0)),0))</f>
        <v/>
      </c>
    </row>
    <row r="991" customFormat="false" ht="15" hidden="false" customHeight="false" outlineLevel="0" collapsed="false">
      <c r="A991" s="102"/>
      <c r="E991" s="103" t="str">
        <f aca="false">IF($C991="","",IFERROR(INDEX(المنيو!$C$2:$C$500,MATCH($C991,المنيو!$B$2:$B$500,0)),0))</f>
        <v/>
      </c>
      <c r="F991" s="103" t="str">
        <f aca="false">IF($C991="","",$D991*$E991)</f>
        <v/>
      </c>
      <c r="G991" s="103" t="str">
        <f aca="false">IF($C991="","",$D991*IFERROR(INDEX('تحليل التكلفة والسعر'!$C$2:$C$700,MATCH($C991,'تحليل التكلفة والسعر'!$B$2:$B$700,0)),0))</f>
        <v/>
      </c>
    </row>
    <row r="992" customFormat="false" ht="15" hidden="false" customHeight="false" outlineLevel="0" collapsed="false">
      <c r="A992" s="102"/>
      <c r="E992" s="103" t="str">
        <f aca="false">IF($C992="","",IFERROR(INDEX(المنيو!$C$2:$C$500,MATCH($C992,المنيو!$B$2:$B$500,0)),0))</f>
        <v/>
      </c>
      <c r="F992" s="103" t="str">
        <f aca="false">IF($C992="","",$D992*$E992)</f>
        <v/>
      </c>
      <c r="G992" s="103" t="str">
        <f aca="false">IF($C992="","",$D992*IFERROR(INDEX('تحليل التكلفة والسعر'!$C$2:$C$700,MATCH($C992,'تحليل التكلفة والسعر'!$B$2:$B$700,0)),0))</f>
        <v/>
      </c>
    </row>
    <row r="993" customFormat="false" ht="15" hidden="false" customHeight="false" outlineLevel="0" collapsed="false">
      <c r="A993" s="102"/>
      <c r="E993" s="103" t="str">
        <f aca="false">IF($C993="","",IFERROR(INDEX(المنيو!$C$2:$C$500,MATCH($C993,المنيو!$B$2:$B$500,0)),0))</f>
        <v/>
      </c>
      <c r="F993" s="103" t="str">
        <f aca="false">IF($C993="","",$D993*$E993)</f>
        <v/>
      </c>
      <c r="G993" s="103" t="str">
        <f aca="false">IF($C993="","",$D993*IFERROR(INDEX('تحليل التكلفة والسعر'!$C$2:$C$700,MATCH($C993,'تحليل التكلفة والسعر'!$B$2:$B$700,0)),0))</f>
        <v/>
      </c>
    </row>
    <row r="994" customFormat="false" ht="15" hidden="false" customHeight="false" outlineLevel="0" collapsed="false">
      <c r="A994" s="102"/>
      <c r="E994" s="103" t="str">
        <f aca="false">IF($C994="","",IFERROR(INDEX(المنيو!$C$2:$C$500,MATCH($C994,المنيو!$B$2:$B$500,0)),0))</f>
        <v/>
      </c>
      <c r="F994" s="103" t="str">
        <f aca="false">IF($C994="","",$D994*$E994)</f>
        <v/>
      </c>
      <c r="G994" s="103" t="str">
        <f aca="false">IF($C994="","",$D994*IFERROR(INDEX('تحليل التكلفة والسعر'!$C$2:$C$700,MATCH($C994,'تحليل التكلفة والسعر'!$B$2:$B$700,0)),0))</f>
        <v/>
      </c>
    </row>
    <row r="995" customFormat="false" ht="15" hidden="false" customHeight="false" outlineLevel="0" collapsed="false">
      <c r="A995" s="102"/>
      <c r="E995" s="103" t="str">
        <f aca="false">IF($C995="","",IFERROR(INDEX(المنيو!$C$2:$C$500,MATCH($C995,المنيو!$B$2:$B$500,0)),0))</f>
        <v/>
      </c>
      <c r="F995" s="103" t="str">
        <f aca="false">IF($C995="","",$D995*$E995)</f>
        <v/>
      </c>
      <c r="G995" s="103" t="str">
        <f aca="false">IF($C995="","",$D995*IFERROR(INDEX('تحليل التكلفة والسعر'!$C$2:$C$700,MATCH($C995,'تحليل التكلفة والسعر'!$B$2:$B$700,0)),0))</f>
        <v/>
      </c>
    </row>
    <row r="996" customFormat="false" ht="15" hidden="false" customHeight="false" outlineLevel="0" collapsed="false">
      <c r="A996" s="102"/>
      <c r="E996" s="103" t="str">
        <f aca="false">IF($C996="","",IFERROR(INDEX(المنيو!$C$2:$C$500,MATCH($C996,المنيو!$B$2:$B$500,0)),0))</f>
        <v/>
      </c>
      <c r="F996" s="103" t="str">
        <f aca="false">IF($C996="","",$D996*$E996)</f>
        <v/>
      </c>
      <c r="G996" s="103" t="str">
        <f aca="false">IF($C996="","",$D996*IFERROR(INDEX('تحليل التكلفة والسعر'!$C$2:$C$700,MATCH($C996,'تحليل التكلفة والسعر'!$B$2:$B$700,0)),0))</f>
        <v/>
      </c>
    </row>
    <row r="997" customFormat="false" ht="15" hidden="false" customHeight="false" outlineLevel="0" collapsed="false">
      <c r="A997" s="102"/>
      <c r="E997" s="103" t="str">
        <f aca="false">IF($C997="","",IFERROR(INDEX(المنيو!$C$2:$C$500,MATCH($C997,المنيو!$B$2:$B$500,0)),0))</f>
        <v/>
      </c>
      <c r="F997" s="103" t="str">
        <f aca="false">IF($C997="","",$D997*$E997)</f>
        <v/>
      </c>
      <c r="G997" s="103" t="str">
        <f aca="false">IF($C997="","",$D997*IFERROR(INDEX('تحليل التكلفة والسعر'!$C$2:$C$700,MATCH($C997,'تحليل التكلفة والسعر'!$B$2:$B$700,0)),0))</f>
        <v/>
      </c>
    </row>
    <row r="998" customFormat="false" ht="15" hidden="false" customHeight="false" outlineLevel="0" collapsed="false">
      <c r="A998" s="102"/>
      <c r="E998" s="103" t="str">
        <f aca="false">IF($C998="","",IFERROR(INDEX(المنيو!$C$2:$C$500,MATCH($C998,المنيو!$B$2:$B$500,0)),0))</f>
        <v/>
      </c>
      <c r="F998" s="103" t="str">
        <f aca="false">IF($C998="","",$D998*$E998)</f>
        <v/>
      </c>
      <c r="G998" s="103" t="str">
        <f aca="false">IF($C998="","",$D998*IFERROR(INDEX('تحليل التكلفة والسعر'!$C$2:$C$700,MATCH($C998,'تحليل التكلفة والسعر'!$B$2:$B$700,0)),0))</f>
        <v/>
      </c>
    </row>
    <row r="999" customFormat="false" ht="15" hidden="false" customHeight="false" outlineLevel="0" collapsed="false">
      <c r="A999" s="102"/>
      <c r="E999" s="103" t="str">
        <f aca="false">IF($C999="","",IFERROR(INDEX(المنيو!$C$2:$C$500,MATCH($C999,المنيو!$B$2:$B$500,0)),0))</f>
        <v/>
      </c>
      <c r="F999" s="103" t="str">
        <f aca="false">IF($C999="","",$D999*$E999)</f>
        <v/>
      </c>
      <c r="G999" s="103" t="str">
        <f aca="false">IF($C999="","",$D999*IFERROR(INDEX('تحليل التكلفة والسعر'!$C$2:$C$700,MATCH($C999,'تحليل التكلفة والسعر'!$B$2:$B$700,0)),0))</f>
        <v/>
      </c>
    </row>
    <row r="1000" customFormat="false" ht="15" hidden="false" customHeight="false" outlineLevel="0" collapsed="false">
      <c r="A1000" s="102"/>
      <c r="E1000" s="103" t="str">
        <f aca="false">IF($C1000="","",IFERROR(INDEX(المنيو!$C$2:$C$500,MATCH($C1000,المنيو!$B$2:$B$500,0)),0))</f>
        <v/>
      </c>
      <c r="F1000" s="103" t="str">
        <f aca="false">IF($C1000="","",$D1000*$E1000)</f>
        <v/>
      </c>
      <c r="G1000" s="103" t="str">
        <f aca="false">IF($C1000="","",$D1000*IFERROR(INDEX('تحليل التكلفة والسعر'!$C$2:$C$700,MATCH($C1000,'تحليل التكلفة والسعر'!$B$2:$B$700,0)),0))</f>
        <v/>
      </c>
    </row>
    <row r="1001" customFormat="false" ht="15" hidden="false" customHeight="false" outlineLevel="0" collapsed="false">
      <c r="A1001" s="102"/>
      <c r="E1001" s="103" t="str">
        <f aca="false">IF($C1001="","",IFERROR(INDEX(المنيو!$C$2:$C$500,MATCH($C1001,المنيو!$B$2:$B$500,0)),0))</f>
        <v/>
      </c>
      <c r="F1001" s="103" t="str">
        <f aca="false">IF($C1001="","",$D1001*$E1001)</f>
        <v/>
      </c>
      <c r="G1001" s="103" t="str">
        <f aca="false">IF($C1001="","",$D1001*IFERROR(INDEX('تحليل التكلفة والسعر'!$C$2:$C$700,MATCH($C1001,'تحليل التكلفة والسعر'!$B$2:$B$700,0)),0))</f>
        <v/>
      </c>
    </row>
    <row r="1002" customFormat="false" ht="15" hidden="false" customHeight="false" outlineLevel="0" collapsed="false">
      <c r="A1002" s="102"/>
      <c r="E1002" s="103" t="str">
        <f aca="false">IF($C1002="","",IFERROR(INDEX(المنيو!$C$2:$C$500,MATCH($C1002,المنيو!$B$2:$B$500,0)),0))</f>
        <v/>
      </c>
      <c r="F1002" s="103" t="str">
        <f aca="false">IF($C1002="","",$D1002*$E1002)</f>
        <v/>
      </c>
      <c r="G1002" s="103" t="str">
        <f aca="false">IF($C1002="","",$D1002*IFERROR(INDEX('تحليل التكلفة والسعر'!$C$2:$C$700,MATCH($C1002,'تحليل التكلفة والسعر'!$B$2:$B$700,0)),0))</f>
        <v/>
      </c>
    </row>
    <row r="1003" customFormat="false" ht="15" hidden="false" customHeight="false" outlineLevel="0" collapsed="false">
      <c r="A1003" s="102"/>
      <c r="E1003" s="103" t="str">
        <f aca="false">IF($C1003="","",IFERROR(INDEX(المنيو!$C$2:$C$500,MATCH($C1003,المنيو!$B$2:$B$500,0)),0))</f>
        <v/>
      </c>
      <c r="F1003" s="103" t="str">
        <f aca="false">IF($C1003="","",$D1003*$E1003)</f>
        <v/>
      </c>
      <c r="G1003" s="103" t="str">
        <f aca="false">IF($C1003="","",$D1003*IFERROR(INDEX('تحليل التكلفة والسعر'!$C$2:$C$700,MATCH($C1003,'تحليل التكلفة والسعر'!$B$2:$B$700,0)),0))</f>
        <v/>
      </c>
    </row>
    <row r="1004" customFormat="false" ht="15" hidden="false" customHeight="false" outlineLevel="0" collapsed="false">
      <c r="A1004" s="102"/>
      <c r="E1004" s="103" t="str">
        <f aca="false">IF($C1004="","",IFERROR(INDEX(المنيو!$C$2:$C$500,MATCH($C1004,المنيو!$B$2:$B$500,0)),0))</f>
        <v/>
      </c>
      <c r="F1004" s="103" t="str">
        <f aca="false">IF($C1004="","",$D1004*$E1004)</f>
        <v/>
      </c>
      <c r="G1004" s="103" t="str">
        <f aca="false">IF($C1004="","",$D1004*IFERROR(INDEX('تحليل التكلفة والسعر'!$C$2:$C$700,MATCH($C1004,'تحليل التكلفة والسعر'!$B$2:$B$700,0)),0))</f>
        <v/>
      </c>
    </row>
    <row r="1005" customFormat="false" ht="15" hidden="false" customHeight="false" outlineLevel="0" collapsed="false">
      <c r="A1005" s="102"/>
      <c r="E1005" s="103" t="str">
        <f aca="false">IF($C1005="","",IFERROR(INDEX(المنيو!$C$2:$C$500,MATCH($C1005,المنيو!$B$2:$B$500,0)),0))</f>
        <v/>
      </c>
      <c r="F1005" s="103" t="str">
        <f aca="false">IF($C1005="","",$D1005*$E1005)</f>
        <v/>
      </c>
      <c r="G1005" s="103" t="str">
        <f aca="false">IF($C1005="","",$D1005*IFERROR(INDEX('تحليل التكلفة والسعر'!$C$2:$C$700,MATCH($C1005,'تحليل التكلفة والسعر'!$B$2:$B$700,0)),0))</f>
        <v/>
      </c>
    </row>
    <row r="1006" customFormat="false" ht="15" hidden="false" customHeight="false" outlineLevel="0" collapsed="false">
      <c r="A1006" s="102"/>
      <c r="E1006" s="103" t="str">
        <f aca="false">IF($C1006="","",IFERROR(INDEX(المنيو!$C$2:$C$500,MATCH($C1006,المنيو!$B$2:$B$500,0)),0))</f>
        <v/>
      </c>
      <c r="F1006" s="103" t="str">
        <f aca="false">IF($C1006="","",$D1006*$E1006)</f>
        <v/>
      </c>
      <c r="G1006" s="103" t="str">
        <f aca="false">IF($C1006="","",$D1006*IFERROR(INDEX('تحليل التكلفة والسعر'!$C$2:$C$700,MATCH($C1006,'تحليل التكلفة والسعر'!$B$2:$B$700,0)),0))</f>
        <v/>
      </c>
    </row>
    <row r="1007" customFormat="false" ht="15" hidden="false" customHeight="false" outlineLevel="0" collapsed="false">
      <c r="A1007" s="102"/>
      <c r="E1007" s="103" t="str">
        <f aca="false">IF($C1007="","",IFERROR(INDEX(المنيو!$C$2:$C$500,MATCH($C1007,المنيو!$B$2:$B$500,0)),0))</f>
        <v/>
      </c>
      <c r="F1007" s="103" t="str">
        <f aca="false">IF($C1007="","",$D1007*$E1007)</f>
        <v/>
      </c>
      <c r="G1007" s="103" t="str">
        <f aca="false">IF($C1007="","",$D1007*IFERROR(INDEX('تحليل التكلفة والسعر'!$C$2:$C$700,MATCH($C1007,'تحليل التكلفة والسعر'!$B$2:$B$700,0)),0))</f>
        <v/>
      </c>
    </row>
    <row r="1008" customFormat="false" ht="15" hidden="false" customHeight="false" outlineLevel="0" collapsed="false">
      <c r="A1008" s="102"/>
      <c r="E1008" s="103" t="str">
        <f aca="false">IF($C1008="","",IFERROR(INDEX(المنيو!$C$2:$C$500,MATCH($C1008,المنيو!$B$2:$B$500,0)),0))</f>
        <v/>
      </c>
      <c r="F1008" s="103" t="str">
        <f aca="false">IF($C1008="","",$D1008*$E1008)</f>
        <v/>
      </c>
      <c r="G1008" s="103" t="str">
        <f aca="false">IF($C1008="","",$D1008*IFERROR(INDEX('تحليل التكلفة والسعر'!$C$2:$C$700,MATCH($C1008,'تحليل التكلفة والسعر'!$B$2:$B$700,0)),0))</f>
        <v/>
      </c>
    </row>
    <row r="1009" customFormat="false" ht="15" hidden="false" customHeight="false" outlineLevel="0" collapsed="false">
      <c r="A1009" s="102"/>
      <c r="E1009" s="103" t="str">
        <f aca="false">IF($C1009="","",IFERROR(INDEX(المنيو!$C$2:$C$500,MATCH($C1009,المنيو!$B$2:$B$500,0)),0))</f>
        <v/>
      </c>
      <c r="F1009" s="103" t="str">
        <f aca="false">IF($C1009="","",$D1009*$E1009)</f>
        <v/>
      </c>
      <c r="G1009" s="103" t="str">
        <f aca="false">IF($C1009="","",$D1009*IFERROR(INDEX('تحليل التكلفة والسعر'!$C$2:$C$700,MATCH($C1009,'تحليل التكلفة والسعر'!$B$2:$B$700,0)),0))</f>
        <v/>
      </c>
    </row>
    <row r="1010" customFormat="false" ht="15" hidden="false" customHeight="false" outlineLevel="0" collapsed="false">
      <c r="A1010" s="102"/>
      <c r="E1010" s="103" t="str">
        <f aca="false">IF($C1010="","",IFERROR(INDEX(المنيو!$C$2:$C$500,MATCH($C1010,المنيو!$B$2:$B$500,0)),0))</f>
        <v/>
      </c>
      <c r="F1010" s="103" t="str">
        <f aca="false">IF($C1010="","",$D1010*$E1010)</f>
        <v/>
      </c>
      <c r="G1010" s="103" t="str">
        <f aca="false">IF($C1010="","",$D1010*IFERROR(INDEX('تحليل التكلفة والسعر'!$C$2:$C$700,MATCH($C1010,'تحليل التكلفة والسعر'!$B$2:$B$700,0)),0))</f>
        <v/>
      </c>
    </row>
    <row r="1011" customFormat="false" ht="15" hidden="false" customHeight="false" outlineLevel="0" collapsed="false">
      <c r="A1011" s="102"/>
      <c r="E1011" s="103" t="str">
        <f aca="false">IF($C1011="","",IFERROR(INDEX(المنيو!$C$2:$C$500,MATCH($C1011,المنيو!$B$2:$B$500,0)),0))</f>
        <v/>
      </c>
      <c r="F1011" s="103" t="str">
        <f aca="false">IF($C1011="","",$D1011*$E1011)</f>
        <v/>
      </c>
      <c r="G1011" s="103" t="str">
        <f aca="false">IF($C1011="","",$D1011*IFERROR(INDEX('تحليل التكلفة والسعر'!$C$2:$C$700,MATCH($C1011,'تحليل التكلفة والسعر'!$B$2:$B$700,0)),0))</f>
        <v/>
      </c>
    </row>
    <row r="1012" customFormat="false" ht="15" hidden="false" customHeight="false" outlineLevel="0" collapsed="false">
      <c r="A1012" s="102"/>
      <c r="E1012" s="103" t="str">
        <f aca="false">IF($C1012="","",IFERROR(INDEX(المنيو!$C$2:$C$500,MATCH($C1012,المنيو!$B$2:$B$500,0)),0))</f>
        <v/>
      </c>
      <c r="F1012" s="103" t="str">
        <f aca="false">IF($C1012="","",$D1012*$E1012)</f>
        <v/>
      </c>
      <c r="G1012" s="103" t="str">
        <f aca="false">IF($C1012="","",$D1012*IFERROR(INDEX('تحليل التكلفة والسعر'!$C$2:$C$700,MATCH($C1012,'تحليل التكلفة والسعر'!$B$2:$B$700,0)),0))</f>
        <v/>
      </c>
    </row>
    <row r="1013" customFormat="false" ht="15" hidden="false" customHeight="false" outlineLevel="0" collapsed="false">
      <c r="A1013" s="102"/>
      <c r="E1013" s="103" t="str">
        <f aca="false">IF($C1013="","",IFERROR(INDEX(المنيو!$C$2:$C$500,MATCH($C1013,المنيو!$B$2:$B$500,0)),0))</f>
        <v/>
      </c>
      <c r="F1013" s="103" t="str">
        <f aca="false">IF($C1013="","",$D1013*$E1013)</f>
        <v/>
      </c>
      <c r="G1013" s="103" t="str">
        <f aca="false">IF($C1013="","",$D1013*IFERROR(INDEX('تحليل التكلفة والسعر'!$C$2:$C$700,MATCH($C1013,'تحليل التكلفة والسعر'!$B$2:$B$700,0)),0))</f>
        <v/>
      </c>
    </row>
    <row r="1014" customFormat="false" ht="15" hidden="false" customHeight="false" outlineLevel="0" collapsed="false">
      <c r="A1014" s="102"/>
      <c r="E1014" s="103" t="str">
        <f aca="false">IF($C1014="","",IFERROR(INDEX(المنيو!$C$2:$C$500,MATCH($C1014,المنيو!$B$2:$B$500,0)),0))</f>
        <v/>
      </c>
      <c r="F1014" s="103" t="str">
        <f aca="false">IF($C1014="","",$D1014*$E1014)</f>
        <v/>
      </c>
      <c r="G1014" s="103" t="str">
        <f aca="false">IF($C1014="","",$D1014*IFERROR(INDEX('تحليل التكلفة والسعر'!$C$2:$C$700,MATCH($C1014,'تحليل التكلفة والسعر'!$B$2:$B$700,0)),0))</f>
        <v/>
      </c>
    </row>
    <row r="1015" customFormat="false" ht="15" hidden="false" customHeight="false" outlineLevel="0" collapsed="false">
      <c r="A1015" s="102"/>
      <c r="E1015" s="103" t="str">
        <f aca="false">IF($C1015="","",IFERROR(INDEX(المنيو!$C$2:$C$500,MATCH($C1015,المنيو!$B$2:$B$500,0)),0))</f>
        <v/>
      </c>
      <c r="F1015" s="103" t="str">
        <f aca="false">IF($C1015="","",$D1015*$E1015)</f>
        <v/>
      </c>
      <c r="G1015" s="103" t="str">
        <f aca="false">IF($C1015="","",$D1015*IFERROR(INDEX('تحليل التكلفة والسعر'!$C$2:$C$700,MATCH($C1015,'تحليل التكلفة والسعر'!$B$2:$B$700,0)),0))</f>
        <v/>
      </c>
    </row>
    <row r="1016" customFormat="false" ht="15" hidden="false" customHeight="false" outlineLevel="0" collapsed="false">
      <c r="A1016" s="102"/>
      <c r="E1016" s="103" t="str">
        <f aca="false">IF($C1016="","",IFERROR(INDEX(المنيو!$C$2:$C$500,MATCH($C1016,المنيو!$B$2:$B$500,0)),0))</f>
        <v/>
      </c>
      <c r="F1016" s="103" t="str">
        <f aca="false">IF($C1016="","",$D1016*$E1016)</f>
        <v/>
      </c>
      <c r="G1016" s="103" t="str">
        <f aca="false">IF($C1016="","",$D1016*IFERROR(INDEX('تحليل التكلفة والسعر'!$C$2:$C$700,MATCH($C1016,'تحليل التكلفة والسعر'!$B$2:$B$700,0)),0))</f>
        <v/>
      </c>
    </row>
    <row r="1017" customFormat="false" ht="15" hidden="false" customHeight="false" outlineLevel="0" collapsed="false">
      <c r="A1017" s="102"/>
      <c r="E1017" s="103" t="str">
        <f aca="false">IF($C1017="","",IFERROR(INDEX(المنيو!$C$2:$C$500,MATCH($C1017,المنيو!$B$2:$B$500,0)),0))</f>
        <v/>
      </c>
      <c r="F1017" s="103" t="str">
        <f aca="false">IF($C1017="","",$D1017*$E1017)</f>
        <v/>
      </c>
      <c r="G1017" s="103" t="str">
        <f aca="false">IF($C1017="","",$D1017*IFERROR(INDEX('تحليل التكلفة والسعر'!$C$2:$C$700,MATCH($C1017,'تحليل التكلفة والسعر'!$B$2:$B$700,0)),0))</f>
        <v/>
      </c>
    </row>
    <row r="1018" customFormat="false" ht="15" hidden="false" customHeight="false" outlineLevel="0" collapsed="false">
      <c r="A1018" s="102"/>
      <c r="E1018" s="103" t="str">
        <f aca="false">IF($C1018="","",IFERROR(INDEX(المنيو!$C$2:$C$500,MATCH($C1018,المنيو!$B$2:$B$500,0)),0))</f>
        <v/>
      </c>
      <c r="F1018" s="103" t="str">
        <f aca="false">IF($C1018="","",$D1018*$E1018)</f>
        <v/>
      </c>
      <c r="G1018" s="103" t="str">
        <f aca="false">IF($C1018="","",$D1018*IFERROR(INDEX('تحليل التكلفة والسعر'!$C$2:$C$700,MATCH($C1018,'تحليل التكلفة والسعر'!$B$2:$B$700,0)),0))</f>
        <v/>
      </c>
    </row>
    <row r="1019" customFormat="false" ht="15" hidden="false" customHeight="false" outlineLevel="0" collapsed="false">
      <c r="A1019" s="102"/>
      <c r="E1019" s="103" t="str">
        <f aca="false">IF($C1019="","",IFERROR(INDEX(المنيو!$C$2:$C$500,MATCH($C1019,المنيو!$B$2:$B$500,0)),0))</f>
        <v/>
      </c>
      <c r="F1019" s="103" t="str">
        <f aca="false">IF($C1019="","",$D1019*$E1019)</f>
        <v/>
      </c>
      <c r="G1019" s="103" t="str">
        <f aca="false">IF($C1019="","",$D1019*IFERROR(INDEX('تحليل التكلفة والسعر'!$C$2:$C$700,MATCH($C1019,'تحليل التكلفة والسعر'!$B$2:$B$700,0)),0))</f>
        <v/>
      </c>
    </row>
    <row r="1020" customFormat="false" ht="15" hidden="false" customHeight="false" outlineLevel="0" collapsed="false">
      <c r="A1020" s="102"/>
      <c r="E1020" s="103" t="str">
        <f aca="false">IF($C1020="","",IFERROR(INDEX(المنيو!$C$2:$C$500,MATCH($C1020,المنيو!$B$2:$B$500,0)),0))</f>
        <v/>
      </c>
      <c r="F1020" s="103" t="str">
        <f aca="false">IF($C1020="","",$D1020*$E1020)</f>
        <v/>
      </c>
      <c r="G1020" s="103" t="str">
        <f aca="false">IF($C1020="","",$D1020*IFERROR(INDEX('تحليل التكلفة والسعر'!$C$2:$C$700,MATCH($C1020,'تحليل التكلفة والسعر'!$B$2:$B$700,0)),0))</f>
        <v/>
      </c>
    </row>
    <row r="1021" customFormat="false" ht="15" hidden="false" customHeight="false" outlineLevel="0" collapsed="false">
      <c r="A1021" s="102"/>
      <c r="E1021" s="103" t="str">
        <f aca="false">IF($C1021="","",IFERROR(INDEX(المنيو!$C$2:$C$500,MATCH($C1021,المنيو!$B$2:$B$500,0)),0))</f>
        <v/>
      </c>
      <c r="F1021" s="103" t="str">
        <f aca="false">IF($C1021="","",$D1021*$E1021)</f>
        <v/>
      </c>
      <c r="G1021" s="103" t="str">
        <f aca="false">IF($C1021="","",$D1021*IFERROR(INDEX('تحليل التكلفة والسعر'!$C$2:$C$700,MATCH($C1021,'تحليل التكلفة والسعر'!$B$2:$B$700,0)),0))</f>
        <v/>
      </c>
    </row>
    <row r="1022" customFormat="false" ht="15" hidden="false" customHeight="false" outlineLevel="0" collapsed="false">
      <c r="A1022" s="102"/>
      <c r="E1022" s="103" t="str">
        <f aca="false">IF($C1022="","",IFERROR(INDEX(المنيو!$C$2:$C$500,MATCH($C1022,المنيو!$B$2:$B$500,0)),0))</f>
        <v/>
      </c>
      <c r="F1022" s="103" t="str">
        <f aca="false">IF($C1022="","",$D1022*$E1022)</f>
        <v/>
      </c>
      <c r="G1022" s="103" t="str">
        <f aca="false">IF($C1022="","",$D1022*IFERROR(INDEX('تحليل التكلفة والسعر'!$C$2:$C$700,MATCH($C1022,'تحليل التكلفة والسعر'!$B$2:$B$700,0)),0))</f>
        <v/>
      </c>
    </row>
    <row r="1023" customFormat="false" ht="15" hidden="false" customHeight="false" outlineLevel="0" collapsed="false">
      <c r="A1023" s="102"/>
      <c r="E1023" s="103" t="str">
        <f aca="false">IF($C1023="","",IFERROR(INDEX(المنيو!$C$2:$C$500,MATCH($C1023,المنيو!$B$2:$B$500,0)),0))</f>
        <v/>
      </c>
      <c r="F1023" s="103" t="str">
        <f aca="false">IF($C1023="","",$D1023*$E1023)</f>
        <v/>
      </c>
      <c r="G1023" s="103" t="str">
        <f aca="false">IF($C1023="","",$D1023*IFERROR(INDEX('تحليل التكلفة والسعر'!$C$2:$C$700,MATCH($C1023,'تحليل التكلفة والسعر'!$B$2:$B$700,0)),0))</f>
        <v/>
      </c>
    </row>
    <row r="1024" customFormat="false" ht="15" hidden="false" customHeight="false" outlineLevel="0" collapsed="false">
      <c r="A1024" s="102"/>
      <c r="E1024" s="103" t="str">
        <f aca="false">IF($C1024="","",IFERROR(INDEX(المنيو!$C$2:$C$500,MATCH($C1024,المنيو!$B$2:$B$500,0)),0))</f>
        <v/>
      </c>
      <c r="F1024" s="103" t="str">
        <f aca="false">IF($C1024="","",$D1024*$E1024)</f>
        <v/>
      </c>
      <c r="G1024" s="103" t="str">
        <f aca="false">IF($C1024="","",$D1024*IFERROR(INDEX('تحليل التكلفة والسعر'!$C$2:$C$700,MATCH($C1024,'تحليل التكلفة والسعر'!$B$2:$B$700,0)),0))</f>
        <v/>
      </c>
    </row>
    <row r="1025" customFormat="false" ht="15" hidden="false" customHeight="false" outlineLevel="0" collapsed="false">
      <c r="A1025" s="102"/>
      <c r="E1025" s="103" t="str">
        <f aca="false">IF($C1025="","",IFERROR(INDEX(المنيو!$C$2:$C$500,MATCH($C1025,المنيو!$B$2:$B$500,0)),0))</f>
        <v/>
      </c>
      <c r="F1025" s="103" t="str">
        <f aca="false">IF($C1025="","",$D1025*$E1025)</f>
        <v/>
      </c>
      <c r="G1025" s="103" t="str">
        <f aca="false">IF($C1025="","",$D1025*IFERROR(INDEX('تحليل التكلفة والسعر'!$C$2:$C$700,MATCH($C1025,'تحليل التكلفة والسعر'!$B$2:$B$700,0)),0))</f>
        <v/>
      </c>
    </row>
    <row r="1026" customFormat="false" ht="15" hidden="false" customHeight="false" outlineLevel="0" collapsed="false">
      <c r="A1026" s="102"/>
      <c r="E1026" s="103" t="str">
        <f aca="false">IF($C1026="","",IFERROR(INDEX(المنيو!$C$2:$C$500,MATCH($C1026,المنيو!$B$2:$B$500,0)),0))</f>
        <v/>
      </c>
      <c r="F1026" s="103" t="str">
        <f aca="false">IF($C1026="","",$D1026*$E1026)</f>
        <v/>
      </c>
      <c r="G1026" s="103" t="str">
        <f aca="false">IF($C1026="","",$D1026*IFERROR(INDEX('تحليل التكلفة والسعر'!$C$2:$C$700,MATCH($C1026,'تحليل التكلفة والسعر'!$B$2:$B$700,0)),0))</f>
        <v/>
      </c>
    </row>
    <row r="1027" customFormat="false" ht="15" hidden="false" customHeight="false" outlineLevel="0" collapsed="false">
      <c r="A1027" s="102"/>
      <c r="E1027" s="103" t="str">
        <f aca="false">IF($C1027="","",IFERROR(INDEX(المنيو!$C$2:$C$500,MATCH($C1027,المنيو!$B$2:$B$500,0)),0))</f>
        <v/>
      </c>
      <c r="F1027" s="103" t="str">
        <f aca="false">IF($C1027="","",$D1027*$E1027)</f>
        <v/>
      </c>
      <c r="G1027" s="103" t="str">
        <f aca="false">IF($C1027="","",$D1027*IFERROR(INDEX('تحليل التكلفة والسعر'!$C$2:$C$700,MATCH($C1027,'تحليل التكلفة والسعر'!$B$2:$B$700,0)),0))</f>
        <v/>
      </c>
    </row>
    <row r="1028" customFormat="false" ht="15" hidden="false" customHeight="false" outlineLevel="0" collapsed="false">
      <c r="A1028" s="102"/>
      <c r="E1028" s="103" t="str">
        <f aca="false">IF($C1028="","",IFERROR(INDEX(المنيو!$C$2:$C$500,MATCH($C1028,المنيو!$B$2:$B$500,0)),0))</f>
        <v/>
      </c>
      <c r="F1028" s="103" t="str">
        <f aca="false">IF($C1028="","",$D1028*$E1028)</f>
        <v/>
      </c>
      <c r="G1028" s="103" t="str">
        <f aca="false">IF($C1028="","",$D1028*IFERROR(INDEX('تحليل التكلفة والسعر'!$C$2:$C$700,MATCH($C1028,'تحليل التكلفة والسعر'!$B$2:$B$700,0)),0))</f>
        <v/>
      </c>
    </row>
    <row r="1029" customFormat="false" ht="15" hidden="false" customHeight="false" outlineLevel="0" collapsed="false">
      <c r="A1029" s="102"/>
      <c r="E1029" s="103" t="str">
        <f aca="false">IF($C1029="","",IFERROR(INDEX(المنيو!$C$2:$C$500,MATCH($C1029,المنيو!$B$2:$B$500,0)),0))</f>
        <v/>
      </c>
      <c r="F1029" s="103" t="str">
        <f aca="false">IF($C1029="","",$D1029*$E1029)</f>
        <v/>
      </c>
      <c r="G1029" s="103" t="str">
        <f aca="false">IF($C1029="","",$D1029*IFERROR(INDEX('تحليل التكلفة والسعر'!$C$2:$C$700,MATCH($C1029,'تحليل التكلفة والسعر'!$B$2:$B$700,0)),0))</f>
        <v/>
      </c>
    </row>
    <row r="1030" customFormat="false" ht="15" hidden="false" customHeight="false" outlineLevel="0" collapsed="false">
      <c r="A1030" s="102"/>
      <c r="E1030" s="103" t="str">
        <f aca="false">IF($C1030="","",IFERROR(INDEX(المنيو!$C$2:$C$500,MATCH($C1030,المنيو!$B$2:$B$500,0)),0))</f>
        <v/>
      </c>
      <c r="F1030" s="103" t="str">
        <f aca="false">IF($C1030="","",$D1030*$E1030)</f>
        <v/>
      </c>
      <c r="G1030" s="103" t="str">
        <f aca="false">IF($C1030="","",$D1030*IFERROR(INDEX('تحليل التكلفة والسعر'!$C$2:$C$700,MATCH($C1030,'تحليل التكلفة والسعر'!$B$2:$B$700,0)),0))</f>
        <v/>
      </c>
    </row>
    <row r="1031" customFormat="false" ht="15" hidden="false" customHeight="false" outlineLevel="0" collapsed="false">
      <c r="A1031" s="102"/>
      <c r="E1031" s="103" t="str">
        <f aca="false">IF($C1031="","",IFERROR(INDEX(المنيو!$C$2:$C$500,MATCH($C1031,المنيو!$B$2:$B$500,0)),0))</f>
        <v/>
      </c>
      <c r="F1031" s="103" t="str">
        <f aca="false">IF($C1031="","",$D1031*$E1031)</f>
        <v/>
      </c>
      <c r="G1031" s="103" t="str">
        <f aca="false">IF($C1031="","",$D1031*IFERROR(INDEX('تحليل التكلفة والسعر'!$C$2:$C$700,MATCH($C1031,'تحليل التكلفة والسعر'!$B$2:$B$700,0)),0))</f>
        <v/>
      </c>
    </row>
    <row r="1032" customFormat="false" ht="15" hidden="false" customHeight="false" outlineLevel="0" collapsed="false">
      <c r="A1032" s="102"/>
      <c r="E1032" s="103" t="str">
        <f aca="false">IF($C1032="","",IFERROR(INDEX(المنيو!$C$2:$C$500,MATCH($C1032,المنيو!$B$2:$B$500,0)),0))</f>
        <v/>
      </c>
      <c r="F1032" s="103" t="str">
        <f aca="false">IF($C1032="","",$D1032*$E1032)</f>
        <v/>
      </c>
      <c r="G1032" s="103" t="str">
        <f aca="false">IF($C1032="","",$D1032*IFERROR(INDEX('تحليل التكلفة والسعر'!$C$2:$C$700,MATCH($C1032,'تحليل التكلفة والسعر'!$B$2:$B$700,0)),0))</f>
        <v/>
      </c>
    </row>
    <row r="1033" customFormat="false" ht="15" hidden="false" customHeight="false" outlineLevel="0" collapsed="false">
      <c r="A1033" s="102"/>
      <c r="E1033" s="103" t="str">
        <f aca="false">IF($C1033="","",IFERROR(INDEX(المنيو!$C$2:$C$500,MATCH($C1033,المنيو!$B$2:$B$500,0)),0))</f>
        <v/>
      </c>
      <c r="F1033" s="103" t="str">
        <f aca="false">IF($C1033="","",$D1033*$E1033)</f>
        <v/>
      </c>
      <c r="G1033" s="103" t="str">
        <f aca="false">IF($C1033="","",$D1033*IFERROR(INDEX('تحليل التكلفة والسعر'!$C$2:$C$700,MATCH($C1033,'تحليل التكلفة والسعر'!$B$2:$B$700,0)),0))</f>
        <v/>
      </c>
    </row>
    <row r="1034" customFormat="false" ht="15" hidden="false" customHeight="false" outlineLevel="0" collapsed="false">
      <c r="A1034" s="102"/>
      <c r="E1034" s="103" t="str">
        <f aca="false">IF($C1034="","",IFERROR(INDEX(المنيو!$C$2:$C$500,MATCH($C1034,المنيو!$B$2:$B$500,0)),0))</f>
        <v/>
      </c>
      <c r="F1034" s="103" t="str">
        <f aca="false">IF($C1034="","",$D1034*$E1034)</f>
        <v/>
      </c>
      <c r="G1034" s="103" t="str">
        <f aca="false">IF($C1034="","",$D1034*IFERROR(INDEX('تحليل التكلفة والسعر'!$C$2:$C$700,MATCH($C1034,'تحليل التكلفة والسعر'!$B$2:$B$700,0)),0))</f>
        <v/>
      </c>
    </row>
    <row r="1035" customFormat="false" ht="15" hidden="false" customHeight="false" outlineLevel="0" collapsed="false">
      <c r="A1035" s="102"/>
      <c r="E1035" s="103" t="str">
        <f aca="false">IF($C1035="","",IFERROR(INDEX(المنيو!$C$2:$C$500,MATCH($C1035,المنيو!$B$2:$B$500,0)),0))</f>
        <v/>
      </c>
      <c r="F1035" s="103" t="str">
        <f aca="false">IF($C1035="","",$D1035*$E1035)</f>
        <v/>
      </c>
      <c r="G1035" s="103" t="str">
        <f aca="false">IF($C1035="","",$D1035*IFERROR(INDEX('تحليل التكلفة والسعر'!$C$2:$C$700,MATCH($C1035,'تحليل التكلفة والسعر'!$B$2:$B$700,0)),0))</f>
        <v/>
      </c>
    </row>
    <row r="1036" customFormat="false" ht="15" hidden="false" customHeight="false" outlineLevel="0" collapsed="false">
      <c r="A1036" s="102"/>
      <c r="E1036" s="103" t="str">
        <f aca="false">IF($C1036="","",IFERROR(INDEX(المنيو!$C$2:$C$500,MATCH($C1036,المنيو!$B$2:$B$500,0)),0))</f>
        <v/>
      </c>
      <c r="F1036" s="103" t="str">
        <f aca="false">IF($C1036="","",$D1036*$E1036)</f>
        <v/>
      </c>
      <c r="G1036" s="103" t="str">
        <f aca="false">IF($C1036="","",$D1036*IFERROR(INDEX('تحليل التكلفة والسعر'!$C$2:$C$700,MATCH($C1036,'تحليل التكلفة والسعر'!$B$2:$B$700,0)),0))</f>
        <v/>
      </c>
    </row>
    <row r="1037" customFormat="false" ht="15" hidden="false" customHeight="false" outlineLevel="0" collapsed="false">
      <c r="A1037" s="102"/>
      <c r="E1037" s="103" t="str">
        <f aca="false">IF($C1037="","",IFERROR(INDEX(المنيو!$C$2:$C$500,MATCH($C1037,المنيو!$B$2:$B$500,0)),0))</f>
        <v/>
      </c>
      <c r="F1037" s="103" t="str">
        <f aca="false">IF($C1037="","",$D1037*$E1037)</f>
        <v/>
      </c>
      <c r="G1037" s="103" t="str">
        <f aca="false">IF($C1037="","",$D1037*IFERROR(INDEX('تحليل التكلفة والسعر'!$C$2:$C$700,MATCH($C1037,'تحليل التكلفة والسعر'!$B$2:$B$700,0)),0))</f>
        <v/>
      </c>
    </row>
    <row r="1038" customFormat="false" ht="15" hidden="false" customHeight="false" outlineLevel="0" collapsed="false">
      <c r="A1038" s="102"/>
      <c r="E1038" s="103" t="str">
        <f aca="false">IF($C1038="","",IFERROR(INDEX(المنيو!$C$2:$C$500,MATCH($C1038,المنيو!$B$2:$B$500,0)),0))</f>
        <v/>
      </c>
      <c r="F1038" s="103" t="str">
        <f aca="false">IF($C1038="","",$D1038*$E1038)</f>
        <v/>
      </c>
      <c r="G1038" s="103" t="str">
        <f aca="false">IF($C1038="","",$D1038*IFERROR(INDEX('تحليل التكلفة والسعر'!$C$2:$C$700,MATCH($C1038,'تحليل التكلفة والسعر'!$B$2:$B$700,0)),0))</f>
        <v/>
      </c>
    </row>
    <row r="1039" customFormat="false" ht="15" hidden="false" customHeight="false" outlineLevel="0" collapsed="false">
      <c r="A1039" s="102"/>
      <c r="E1039" s="103" t="str">
        <f aca="false">IF($C1039="","",IFERROR(INDEX(المنيو!$C$2:$C$500,MATCH($C1039,المنيو!$B$2:$B$500,0)),0))</f>
        <v/>
      </c>
      <c r="F1039" s="103" t="str">
        <f aca="false">IF($C1039="","",$D1039*$E1039)</f>
        <v/>
      </c>
      <c r="G1039" s="103" t="str">
        <f aca="false">IF($C1039="","",$D1039*IFERROR(INDEX('تحليل التكلفة والسعر'!$C$2:$C$700,MATCH($C1039,'تحليل التكلفة والسعر'!$B$2:$B$700,0)),0))</f>
        <v/>
      </c>
    </row>
    <row r="1040" customFormat="false" ht="15" hidden="false" customHeight="false" outlineLevel="0" collapsed="false">
      <c r="A1040" s="102"/>
      <c r="E1040" s="103" t="str">
        <f aca="false">IF($C1040="","",IFERROR(INDEX(المنيو!$C$2:$C$500,MATCH($C1040,المنيو!$B$2:$B$500,0)),0))</f>
        <v/>
      </c>
      <c r="F1040" s="103" t="str">
        <f aca="false">IF($C1040="","",$D1040*$E1040)</f>
        <v/>
      </c>
      <c r="G1040" s="103" t="str">
        <f aca="false">IF($C1040="","",$D1040*IFERROR(INDEX('تحليل التكلفة والسعر'!$C$2:$C$700,MATCH($C1040,'تحليل التكلفة والسعر'!$B$2:$B$700,0)),0))</f>
        <v/>
      </c>
    </row>
    <row r="1041" customFormat="false" ht="15" hidden="false" customHeight="false" outlineLevel="0" collapsed="false">
      <c r="A1041" s="102"/>
      <c r="E1041" s="103" t="str">
        <f aca="false">IF($C1041="","",IFERROR(INDEX(المنيو!$C$2:$C$500,MATCH($C1041,المنيو!$B$2:$B$500,0)),0))</f>
        <v/>
      </c>
      <c r="F1041" s="103" t="str">
        <f aca="false">IF($C1041="","",$D1041*$E1041)</f>
        <v/>
      </c>
      <c r="G1041" s="103" t="str">
        <f aca="false">IF($C1041="","",$D1041*IFERROR(INDEX('تحليل التكلفة والسعر'!$C$2:$C$700,MATCH($C1041,'تحليل التكلفة والسعر'!$B$2:$B$700,0)),0))</f>
        <v/>
      </c>
    </row>
    <row r="1042" customFormat="false" ht="15" hidden="false" customHeight="false" outlineLevel="0" collapsed="false">
      <c r="A1042" s="102"/>
      <c r="E1042" s="103" t="str">
        <f aca="false">IF($C1042="","",IFERROR(INDEX(المنيو!$C$2:$C$500,MATCH($C1042,المنيو!$B$2:$B$500,0)),0))</f>
        <v/>
      </c>
      <c r="F1042" s="103" t="str">
        <f aca="false">IF($C1042="","",$D1042*$E1042)</f>
        <v/>
      </c>
      <c r="G1042" s="103" t="str">
        <f aca="false">IF($C1042="","",$D1042*IFERROR(INDEX('تحليل التكلفة والسعر'!$C$2:$C$700,MATCH($C1042,'تحليل التكلفة والسعر'!$B$2:$B$700,0)),0))</f>
        <v/>
      </c>
    </row>
    <row r="1043" customFormat="false" ht="15" hidden="false" customHeight="false" outlineLevel="0" collapsed="false">
      <c r="A1043" s="102"/>
      <c r="E1043" s="103" t="str">
        <f aca="false">IF($C1043="","",IFERROR(INDEX(المنيو!$C$2:$C$500,MATCH($C1043,المنيو!$B$2:$B$500,0)),0))</f>
        <v/>
      </c>
      <c r="F1043" s="103" t="str">
        <f aca="false">IF($C1043="","",$D1043*$E1043)</f>
        <v/>
      </c>
      <c r="G1043" s="103" t="str">
        <f aca="false">IF($C1043="","",$D1043*IFERROR(INDEX('تحليل التكلفة والسعر'!$C$2:$C$700,MATCH($C1043,'تحليل التكلفة والسعر'!$B$2:$B$700,0)),0))</f>
        <v/>
      </c>
    </row>
    <row r="1044" customFormat="false" ht="15" hidden="false" customHeight="false" outlineLevel="0" collapsed="false">
      <c r="A1044" s="102"/>
      <c r="E1044" s="103" t="str">
        <f aca="false">IF($C1044="","",IFERROR(INDEX(المنيو!$C$2:$C$500,MATCH($C1044,المنيو!$B$2:$B$500,0)),0))</f>
        <v/>
      </c>
      <c r="F1044" s="103" t="str">
        <f aca="false">IF($C1044="","",$D1044*$E1044)</f>
        <v/>
      </c>
      <c r="G1044" s="103" t="str">
        <f aca="false">IF($C1044="","",$D1044*IFERROR(INDEX('تحليل التكلفة والسعر'!$C$2:$C$700,MATCH($C1044,'تحليل التكلفة والسعر'!$B$2:$B$700,0)),0))</f>
        <v/>
      </c>
    </row>
    <row r="1045" customFormat="false" ht="15" hidden="false" customHeight="false" outlineLevel="0" collapsed="false">
      <c r="A1045" s="102"/>
      <c r="E1045" s="103" t="str">
        <f aca="false">IF($C1045="","",IFERROR(INDEX(المنيو!$C$2:$C$500,MATCH($C1045,المنيو!$B$2:$B$500,0)),0))</f>
        <v/>
      </c>
      <c r="F1045" s="103" t="str">
        <f aca="false">IF($C1045="","",$D1045*$E1045)</f>
        <v/>
      </c>
      <c r="G1045" s="103" t="str">
        <f aca="false">IF($C1045="","",$D1045*IFERROR(INDEX('تحليل التكلفة والسعر'!$C$2:$C$700,MATCH($C1045,'تحليل التكلفة والسعر'!$B$2:$B$700,0)),0))</f>
        <v/>
      </c>
    </row>
    <row r="1046" customFormat="false" ht="15" hidden="false" customHeight="false" outlineLevel="0" collapsed="false">
      <c r="A1046" s="102"/>
      <c r="E1046" s="103" t="str">
        <f aca="false">IF($C1046="","",IFERROR(INDEX(المنيو!$C$2:$C$500,MATCH($C1046,المنيو!$B$2:$B$500,0)),0))</f>
        <v/>
      </c>
      <c r="F1046" s="103" t="str">
        <f aca="false">IF($C1046="","",$D1046*$E1046)</f>
        <v/>
      </c>
      <c r="G1046" s="103" t="str">
        <f aca="false">IF($C1046="","",$D1046*IFERROR(INDEX('تحليل التكلفة والسعر'!$C$2:$C$700,MATCH($C1046,'تحليل التكلفة والسعر'!$B$2:$B$700,0)),0))</f>
        <v/>
      </c>
    </row>
    <row r="1047" customFormat="false" ht="15" hidden="false" customHeight="false" outlineLevel="0" collapsed="false">
      <c r="A1047" s="102"/>
      <c r="E1047" s="103" t="str">
        <f aca="false">IF($C1047="","",IFERROR(INDEX(المنيو!$C$2:$C$500,MATCH($C1047,المنيو!$B$2:$B$500,0)),0))</f>
        <v/>
      </c>
      <c r="F1047" s="103" t="str">
        <f aca="false">IF($C1047="","",$D1047*$E1047)</f>
        <v/>
      </c>
      <c r="G1047" s="103" t="str">
        <f aca="false">IF($C1047="","",$D1047*IFERROR(INDEX('تحليل التكلفة والسعر'!$C$2:$C$700,MATCH($C1047,'تحليل التكلفة والسعر'!$B$2:$B$700,0)),0))</f>
        <v/>
      </c>
    </row>
    <row r="1048" customFormat="false" ht="15" hidden="false" customHeight="false" outlineLevel="0" collapsed="false">
      <c r="A1048" s="102"/>
      <c r="E1048" s="103" t="str">
        <f aca="false">IF($C1048="","",IFERROR(INDEX(المنيو!$C$2:$C$500,MATCH($C1048,المنيو!$B$2:$B$500,0)),0))</f>
        <v/>
      </c>
      <c r="F1048" s="103" t="str">
        <f aca="false">IF($C1048="","",$D1048*$E1048)</f>
        <v/>
      </c>
      <c r="G1048" s="103" t="str">
        <f aca="false">IF($C1048="","",$D1048*IFERROR(INDEX('تحليل التكلفة والسعر'!$C$2:$C$700,MATCH($C1048,'تحليل التكلفة والسعر'!$B$2:$B$700,0)),0))</f>
        <v/>
      </c>
    </row>
    <row r="1049" customFormat="false" ht="15" hidden="false" customHeight="false" outlineLevel="0" collapsed="false">
      <c r="A1049" s="102"/>
      <c r="E1049" s="103" t="str">
        <f aca="false">IF($C1049="","",IFERROR(INDEX(المنيو!$C$2:$C$500,MATCH($C1049,المنيو!$B$2:$B$500,0)),0))</f>
        <v/>
      </c>
      <c r="F1049" s="103" t="str">
        <f aca="false">IF($C1049="","",$D1049*$E1049)</f>
        <v/>
      </c>
      <c r="G1049" s="103" t="str">
        <f aca="false">IF($C1049="","",$D1049*IFERROR(INDEX('تحليل التكلفة والسعر'!$C$2:$C$700,MATCH($C1049,'تحليل التكلفة والسعر'!$B$2:$B$700,0)),0))</f>
        <v/>
      </c>
    </row>
    <row r="1050" customFormat="false" ht="15" hidden="false" customHeight="false" outlineLevel="0" collapsed="false">
      <c r="A1050" s="102"/>
      <c r="E1050" s="103" t="str">
        <f aca="false">IF($C1050="","",IFERROR(INDEX(المنيو!$C$2:$C$500,MATCH($C1050,المنيو!$B$2:$B$500,0)),0))</f>
        <v/>
      </c>
      <c r="F1050" s="103" t="str">
        <f aca="false">IF($C1050="","",$D1050*$E1050)</f>
        <v/>
      </c>
      <c r="G1050" s="103" t="str">
        <f aca="false">IF($C1050="","",$D1050*IFERROR(INDEX('تحليل التكلفة والسعر'!$C$2:$C$700,MATCH($C1050,'تحليل التكلفة والسعر'!$B$2:$B$700,0)),0))</f>
        <v/>
      </c>
    </row>
    <row r="1051" customFormat="false" ht="15" hidden="false" customHeight="false" outlineLevel="0" collapsed="false">
      <c r="A1051" s="102"/>
      <c r="E1051" s="103" t="str">
        <f aca="false">IF($C1051="","",IFERROR(INDEX(المنيو!$C$2:$C$500,MATCH($C1051,المنيو!$B$2:$B$500,0)),0))</f>
        <v/>
      </c>
      <c r="F1051" s="103" t="str">
        <f aca="false">IF($C1051="","",$D1051*$E1051)</f>
        <v/>
      </c>
      <c r="G1051" s="103" t="str">
        <f aca="false">IF($C1051="","",$D1051*IFERROR(INDEX('تحليل التكلفة والسعر'!$C$2:$C$700,MATCH($C1051,'تحليل التكلفة والسعر'!$B$2:$B$700,0)),0))</f>
        <v/>
      </c>
    </row>
    <row r="1052" customFormat="false" ht="15" hidden="false" customHeight="false" outlineLevel="0" collapsed="false">
      <c r="A1052" s="102"/>
      <c r="E1052" s="103" t="str">
        <f aca="false">IF($C1052="","",IFERROR(INDEX(المنيو!$C$2:$C$500,MATCH($C1052,المنيو!$B$2:$B$500,0)),0))</f>
        <v/>
      </c>
      <c r="F1052" s="103" t="str">
        <f aca="false">IF($C1052="","",$D1052*$E1052)</f>
        <v/>
      </c>
      <c r="G1052" s="103" t="str">
        <f aca="false">IF($C1052="","",$D1052*IFERROR(INDEX('تحليل التكلفة والسعر'!$C$2:$C$700,MATCH($C1052,'تحليل التكلفة والسعر'!$B$2:$B$700,0)),0))</f>
        <v/>
      </c>
    </row>
    <row r="1053" customFormat="false" ht="15" hidden="false" customHeight="false" outlineLevel="0" collapsed="false">
      <c r="A1053" s="102"/>
      <c r="E1053" s="103" t="str">
        <f aca="false">IF($C1053="","",IFERROR(INDEX(المنيو!$C$2:$C$500,MATCH($C1053,المنيو!$B$2:$B$500,0)),0))</f>
        <v/>
      </c>
      <c r="F1053" s="103" t="str">
        <f aca="false">IF($C1053="","",$D1053*$E1053)</f>
        <v/>
      </c>
      <c r="G1053" s="103" t="str">
        <f aca="false">IF($C1053="","",$D1053*IFERROR(INDEX('تحليل التكلفة والسعر'!$C$2:$C$700,MATCH($C1053,'تحليل التكلفة والسعر'!$B$2:$B$700,0)),0))</f>
        <v/>
      </c>
    </row>
    <row r="1054" customFormat="false" ht="15" hidden="false" customHeight="false" outlineLevel="0" collapsed="false">
      <c r="A1054" s="102"/>
      <c r="E1054" s="103" t="str">
        <f aca="false">IF($C1054="","",IFERROR(INDEX(المنيو!$C$2:$C$500,MATCH($C1054,المنيو!$B$2:$B$500,0)),0))</f>
        <v/>
      </c>
      <c r="F1054" s="103" t="str">
        <f aca="false">IF($C1054="","",$D1054*$E1054)</f>
        <v/>
      </c>
      <c r="G1054" s="103" t="str">
        <f aca="false">IF($C1054="","",$D1054*IFERROR(INDEX('تحليل التكلفة والسعر'!$C$2:$C$700,MATCH($C1054,'تحليل التكلفة والسعر'!$B$2:$B$700,0)),0))</f>
        <v/>
      </c>
    </row>
    <row r="1055" customFormat="false" ht="15" hidden="false" customHeight="false" outlineLevel="0" collapsed="false">
      <c r="A1055" s="102"/>
      <c r="E1055" s="103" t="str">
        <f aca="false">IF($C1055="","",IFERROR(INDEX(المنيو!$C$2:$C$500,MATCH($C1055,المنيو!$B$2:$B$500,0)),0))</f>
        <v/>
      </c>
      <c r="F1055" s="103" t="str">
        <f aca="false">IF($C1055="","",$D1055*$E1055)</f>
        <v/>
      </c>
      <c r="G1055" s="103" t="str">
        <f aca="false">IF($C1055="","",$D1055*IFERROR(INDEX('تحليل التكلفة والسعر'!$C$2:$C$700,MATCH($C1055,'تحليل التكلفة والسعر'!$B$2:$B$700,0)),0))</f>
        <v/>
      </c>
    </row>
    <row r="1056" customFormat="false" ht="15" hidden="false" customHeight="false" outlineLevel="0" collapsed="false">
      <c r="A1056" s="102"/>
      <c r="E1056" s="103" t="str">
        <f aca="false">IF($C1056="","",IFERROR(INDEX(المنيو!$C$2:$C$500,MATCH($C1056,المنيو!$B$2:$B$500,0)),0))</f>
        <v/>
      </c>
      <c r="F1056" s="103" t="str">
        <f aca="false">IF($C1056="","",$D1056*$E1056)</f>
        <v/>
      </c>
      <c r="G1056" s="103" t="str">
        <f aca="false">IF($C1056="","",$D1056*IFERROR(INDEX('تحليل التكلفة والسعر'!$C$2:$C$700,MATCH($C1056,'تحليل التكلفة والسعر'!$B$2:$B$700,0)),0))</f>
        <v/>
      </c>
    </row>
    <row r="1057" customFormat="false" ht="15" hidden="false" customHeight="false" outlineLevel="0" collapsed="false">
      <c r="A1057" s="102"/>
      <c r="E1057" s="103" t="str">
        <f aca="false">IF($C1057="","",IFERROR(INDEX(المنيو!$C$2:$C$500,MATCH($C1057,المنيو!$B$2:$B$500,0)),0))</f>
        <v/>
      </c>
      <c r="F1057" s="103" t="str">
        <f aca="false">IF($C1057="","",$D1057*$E1057)</f>
        <v/>
      </c>
      <c r="G1057" s="103" t="str">
        <f aca="false">IF($C1057="","",$D1057*IFERROR(INDEX('تحليل التكلفة والسعر'!$C$2:$C$700,MATCH($C1057,'تحليل التكلفة والسعر'!$B$2:$B$700,0)),0))</f>
        <v/>
      </c>
    </row>
    <row r="1058" customFormat="false" ht="15" hidden="false" customHeight="false" outlineLevel="0" collapsed="false">
      <c r="A1058" s="102"/>
      <c r="E1058" s="103" t="str">
        <f aca="false">IF($C1058="","",IFERROR(INDEX(المنيو!$C$2:$C$500,MATCH($C1058,المنيو!$B$2:$B$500,0)),0))</f>
        <v/>
      </c>
      <c r="F1058" s="103" t="str">
        <f aca="false">IF($C1058="","",$D1058*$E1058)</f>
        <v/>
      </c>
      <c r="G1058" s="103" t="str">
        <f aca="false">IF($C1058="","",$D1058*IFERROR(INDEX('تحليل التكلفة والسعر'!$C$2:$C$700,MATCH($C1058,'تحليل التكلفة والسعر'!$B$2:$B$700,0)),0))</f>
        <v/>
      </c>
    </row>
    <row r="1059" customFormat="false" ht="15" hidden="false" customHeight="false" outlineLevel="0" collapsed="false">
      <c r="A1059" s="102"/>
      <c r="E1059" s="103" t="str">
        <f aca="false">IF($C1059="","",IFERROR(INDEX(المنيو!$C$2:$C$500,MATCH($C1059,المنيو!$B$2:$B$500,0)),0))</f>
        <v/>
      </c>
      <c r="F1059" s="103" t="str">
        <f aca="false">IF($C1059="","",$D1059*$E1059)</f>
        <v/>
      </c>
      <c r="G1059" s="103" t="str">
        <f aca="false">IF($C1059="","",$D1059*IFERROR(INDEX('تحليل التكلفة والسعر'!$C$2:$C$700,MATCH($C1059,'تحليل التكلفة والسعر'!$B$2:$B$700,0)),0))</f>
        <v/>
      </c>
    </row>
    <row r="1060" customFormat="false" ht="15" hidden="false" customHeight="false" outlineLevel="0" collapsed="false">
      <c r="A1060" s="102"/>
      <c r="E1060" s="103" t="str">
        <f aca="false">IF($C1060="","",IFERROR(INDEX(المنيو!$C$2:$C$500,MATCH($C1060,المنيو!$B$2:$B$500,0)),0))</f>
        <v/>
      </c>
      <c r="F1060" s="103" t="str">
        <f aca="false">IF($C1060="","",$D1060*$E1060)</f>
        <v/>
      </c>
      <c r="G1060" s="103" t="str">
        <f aca="false">IF($C1060="","",$D1060*IFERROR(INDEX('تحليل التكلفة والسعر'!$C$2:$C$700,MATCH($C1060,'تحليل التكلفة والسعر'!$B$2:$B$700,0)),0))</f>
        <v/>
      </c>
    </row>
    <row r="1061" customFormat="false" ht="15" hidden="false" customHeight="false" outlineLevel="0" collapsed="false">
      <c r="A1061" s="102"/>
      <c r="E1061" s="103" t="str">
        <f aca="false">IF($C1061="","",IFERROR(INDEX(المنيو!$C$2:$C$500,MATCH($C1061,المنيو!$B$2:$B$500,0)),0))</f>
        <v/>
      </c>
      <c r="F1061" s="103" t="str">
        <f aca="false">IF($C1061="","",$D1061*$E1061)</f>
        <v/>
      </c>
      <c r="G1061" s="103" t="str">
        <f aca="false">IF($C1061="","",$D1061*IFERROR(INDEX('تحليل التكلفة والسعر'!$C$2:$C$700,MATCH($C1061,'تحليل التكلفة والسعر'!$B$2:$B$700,0)),0))</f>
        <v/>
      </c>
    </row>
    <row r="1062" customFormat="false" ht="15" hidden="false" customHeight="false" outlineLevel="0" collapsed="false">
      <c r="A1062" s="102"/>
      <c r="E1062" s="103" t="str">
        <f aca="false">IF($C1062="","",IFERROR(INDEX(المنيو!$C$2:$C$500,MATCH($C1062,المنيو!$B$2:$B$500,0)),0))</f>
        <v/>
      </c>
      <c r="F1062" s="103" t="str">
        <f aca="false">IF($C1062="","",$D1062*$E1062)</f>
        <v/>
      </c>
      <c r="G1062" s="103" t="str">
        <f aca="false">IF($C1062="","",$D1062*IFERROR(INDEX('تحليل التكلفة والسعر'!$C$2:$C$700,MATCH($C1062,'تحليل التكلفة والسعر'!$B$2:$B$700,0)),0))</f>
        <v/>
      </c>
    </row>
    <row r="1063" customFormat="false" ht="15" hidden="false" customHeight="false" outlineLevel="0" collapsed="false">
      <c r="A1063" s="102"/>
      <c r="E1063" s="103" t="str">
        <f aca="false">IF($C1063="","",IFERROR(INDEX(المنيو!$C$2:$C$500,MATCH($C1063,المنيو!$B$2:$B$500,0)),0))</f>
        <v/>
      </c>
      <c r="F1063" s="103" t="str">
        <f aca="false">IF($C1063="","",$D1063*$E1063)</f>
        <v/>
      </c>
      <c r="G1063" s="103" t="str">
        <f aca="false">IF($C1063="","",$D1063*IFERROR(INDEX('تحليل التكلفة والسعر'!$C$2:$C$700,MATCH($C1063,'تحليل التكلفة والسعر'!$B$2:$B$700,0)),0))</f>
        <v/>
      </c>
    </row>
    <row r="1064" customFormat="false" ht="15" hidden="false" customHeight="false" outlineLevel="0" collapsed="false">
      <c r="A1064" s="102"/>
      <c r="E1064" s="103" t="str">
        <f aca="false">IF($C1064="","",IFERROR(INDEX(المنيو!$C$2:$C$500,MATCH($C1064,المنيو!$B$2:$B$500,0)),0))</f>
        <v/>
      </c>
      <c r="F1064" s="103" t="str">
        <f aca="false">IF($C1064="","",$D1064*$E1064)</f>
        <v/>
      </c>
      <c r="G1064" s="103" t="str">
        <f aca="false">IF($C1064="","",$D1064*IFERROR(INDEX('تحليل التكلفة والسعر'!$C$2:$C$700,MATCH($C1064,'تحليل التكلفة والسعر'!$B$2:$B$700,0)),0))</f>
        <v/>
      </c>
    </row>
    <row r="1065" customFormat="false" ht="15" hidden="false" customHeight="false" outlineLevel="0" collapsed="false">
      <c r="A1065" s="102"/>
      <c r="E1065" s="103" t="str">
        <f aca="false">IF($C1065="","",IFERROR(INDEX(المنيو!$C$2:$C$500,MATCH($C1065,المنيو!$B$2:$B$500,0)),0))</f>
        <v/>
      </c>
      <c r="F1065" s="103" t="str">
        <f aca="false">IF($C1065="","",$D1065*$E1065)</f>
        <v/>
      </c>
      <c r="G1065" s="103" t="str">
        <f aca="false">IF($C1065="","",$D1065*IFERROR(INDEX('تحليل التكلفة والسعر'!$C$2:$C$700,MATCH($C1065,'تحليل التكلفة والسعر'!$B$2:$B$700,0)),0))</f>
        <v/>
      </c>
    </row>
    <row r="1066" customFormat="false" ht="15" hidden="false" customHeight="false" outlineLevel="0" collapsed="false">
      <c r="A1066" s="102"/>
      <c r="E1066" s="103" t="str">
        <f aca="false">IF($C1066="","",IFERROR(INDEX(المنيو!$C$2:$C$500,MATCH($C1066,المنيو!$B$2:$B$500,0)),0))</f>
        <v/>
      </c>
      <c r="F1066" s="103" t="str">
        <f aca="false">IF($C1066="","",$D1066*$E1066)</f>
        <v/>
      </c>
      <c r="G1066" s="103" t="str">
        <f aca="false">IF($C1066="","",$D1066*IFERROR(INDEX('تحليل التكلفة والسعر'!$C$2:$C$700,MATCH($C1066,'تحليل التكلفة والسعر'!$B$2:$B$700,0)),0))</f>
        <v/>
      </c>
    </row>
    <row r="1067" customFormat="false" ht="15" hidden="false" customHeight="false" outlineLevel="0" collapsed="false">
      <c r="A1067" s="102"/>
      <c r="E1067" s="103" t="str">
        <f aca="false">IF($C1067="","",IFERROR(INDEX(المنيو!$C$2:$C$500,MATCH($C1067,المنيو!$B$2:$B$500,0)),0))</f>
        <v/>
      </c>
      <c r="F1067" s="103" t="str">
        <f aca="false">IF($C1067="","",$D1067*$E1067)</f>
        <v/>
      </c>
      <c r="G1067" s="103" t="str">
        <f aca="false">IF($C1067="","",$D1067*IFERROR(INDEX('تحليل التكلفة والسعر'!$C$2:$C$700,MATCH($C1067,'تحليل التكلفة والسعر'!$B$2:$B$700,0)),0))</f>
        <v/>
      </c>
    </row>
    <row r="1068" customFormat="false" ht="15" hidden="false" customHeight="false" outlineLevel="0" collapsed="false">
      <c r="A1068" s="102"/>
      <c r="E1068" s="103" t="str">
        <f aca="false">IF($C1068="","",IFERROR(INDEX(المنيو!$C$2:$C$500,MATCH($C1068,المنيو!$B$2:$B$500,0)),0))</f>
        <v/>
      </c>
      <c r="F1068" s="103" t="str">
        <f aca="false">IF($C1068="","",$D1068*$E1068)</f>
        <v/>
      </c>
      <c r="G1068" s="103" t="str">
        <f aca="false">IF($C1068="","",$D1068*IFERROR(INDEX('تحليل التكلفة والسعر'!$C$2:$C$700,MATCH($C1068,'تحليل التكلفة والسعر'!$B$2:$B$700,0)),0))</f>
        <v/>
      </c>
    </row>
    <row r="1069" customFormat="false" ht="15" hidden="false" customHeight="false" outlineLevel="0" collapsed="false">
      <c r="A1069" s="102"/>
      <c r="E1069" s="103" t="str">
        <f aca="false">IF($C1069="","",IFERROR(INDEX(المنيو!$C$2:$C$500,MATCH($C1069,المنيو!$B$2:$B$500,0)),0))</f>
        <v/>
      </c>
      <c r="F1069" s="103" t="str">
        <f aca="false">IF($C1069="","",$D1069*$E1069)</f>
        <v/>
      </c>
      <c r="G1069" s="103" t="str">
        <f aca="false">IF($C1069="","",$D1069*IFERROR(INDEX('تحليل التكلفة والسعر'!$C$2:$C$700,MATCH($C1069,'تحليل التكلفة والسعر'!$B$2:$B$700,0)),0))</f>
        <v/>
      </c>
    </row>
    <row r="1070" customFormat="false" ht="15" hidden="false" customHeight="false" outlineLevel="0" collapsed="false">
      <c r="A1070" s="102"/>
      <c r="E1070" s="103" t="str">
        <f aca="false">IF($C1070="","",IFERROR(INDEX(المنيو!$C$2:$C$500,MATCH($C1070,المنيو!$B$2:$B$500,0)),0))</f>
        <v/>
      </c>
      <c r="F1070" s="103" t="str">
        <f aca="false">IF($C1070="","",$D1070*$E1070)</f>
        <v/>
      </c>
      <c r="G1070" s="103" t="str">
        <f aca="false">IF($C1070="","",$D1070*IFERROR(INDEX('تحليل التكلفة والسعر'!$C$2:$C$700,MATCH($C1070,'تحليل التكلفة والسعر'!$B$2:$B$700,0)),0))</f>
        <v/>
      </c>
    </row>
    <row r="1071" customFormat="false" ht="15" hidden="false" customHeight="false" outlineLevel="0" collapsed="false">
      <c r="A1071" s="102"/>
      <c r="E1071" s="103" t="str">
        <f aca="false">IF($C1071="","",IFERROR(INDEX(المنيو!$C$2:$C$500,MATCH($C1071,المنيو!$B$2:$B$500,0)),0))</f>
        <v/>
      </c>
      <c r="F1071" s="103" t="str">
        <f aca="false">IF($C1071="","",$D1071*$E1071)</f>
        <v/>
      </c>
      <c r="G1071" s="103" t="str">
        <f aca="false">IF($C1071="","",$D1071*IFERROR(INDEX('تحليل التكلفة والسعر'!$C$2:$C$700,MATCH($C1071,'تحليل التكلفة والسعر'!$B$2:$B$700,0)),0))</f>
        <v/>
      </c>
    </row>
    <row r="1072" customFormat="false" ht="15" hidden="false" customHeight="false" outlineLevel="0" collapsed="false">
      <c r="A1072" s="102"/>
      <c r="E1072" s="103" t="str">
        <f aca="false">IF($C1072="","",IFERROR(INDEX(المنيو!$C$2:$C$500,MATCH($C1072,المنيو!$B$2:$B$500,0)),0))</f>
        <v/>
      </c>
      <c r="F1072" s="103" t="str">
        <f aca="false">IF($C1072="","",$D1072*$E1072)</f>
        <v/>
      </c>
      <c r="G1072" s="103" t="str">
        <f aca="false">IF($C1072="","",$D1072*IFERROR(INDEX('تحليل التكلفة والسعر'!$C$2:$C$700,MATCH($C1072,'تحليل التكلفة والسعر'!$B$2:$B$700,0)),0))</f>
        <v/>
      </c>
    </row>
    <row r="1073" customFormat="false" ht="15" hidden="false" customHeight="false" outlineLevel="0" collapsed="false">
      <c r="A1073" s="102"/>
      <c r="E1073" s="103" t="str">
        <f aca="false">IF($C1073="","",IFERROR(INDEX(المنيو!$C$2:$C$500,MATCH($C1073,المنيو!$B$2:$B$500,0)),0))</f>
        <v/>
      </c>
      <c r="F1073" s="103" t="str">
        <f aca="false">IF($C1073="","",$D1073*$E1073)</f>
        <v/>
      </c>
      <c r="G1073" s="103" t="str">
        <f aca="false">IF($C1073="","",$D1073*IFERROR(INDEX('تحليل التكلفة والسعر'!$C$2:$C$700,MATCH($C1073,'تحليل التكلفة والسعر'!$B$2:$B$700,0)),0))</f>
        <v/>
      </c>
    </row>
    <row r="1074" customFormat="false" ht="15" hidden="false" customHeight="false" outlineLevel="0" collapsed="false">
      <c r="A1074" s="102"/>
      <c r="E1074" s="103" t="str">
        <f aca="false">IF($C1074="","",IFERROR(INDEX(المنيو!$C$2:$C$500,MATCH($C1074,المنيو!$B$2:$B$500,0)),0))</f>
        <v/>
      </c>
      <c r="F1074" s="103" t="str">
        <f aca="false">IF($C1074="","",$D1074*$E1074)</f>
        <v/>
      </c>
      <c r="G1074" s="103" t="str">
        <f aca="false">IF($C1074="","",$D1074*IFERROR(INDEX('تحليل التكلفة والسعر'!$C$2:$C$700,MATCH($C1074,'تحليل التكلفة والسعر'!$B$2:$B$700,0)),0))</f>
        <v/>
      </c>
    </row>
    <row r="1075" customFormat="false" ht="15" hidden="false" customHeight="false" outlineLevel="0" collapsed="false">
      <c r="A1075" s="102"/>
      <c r="E1075" s="103" t="str">
        <f aca="false">IF($C1075="","",IFERROR(INDEX(المنيو!$C$2:$C$500,MATCH($C1075,المنيو!$B$2:$B$500,0)),0))</f>
        <v/>
      </c>
      <c r="F1075" s="103" t="str">
        <f aca="false">IF($C1075="","",$D1075*$E1075)</f>
        <v/>
      </c>
      <c r="G1075" s="103" t="str">
        <f aca="false">IF($C1075="","",$D1075*IFERROR(INDEX('تحليل التكلفة والسعر'!$C$2:$C$700,MATCH($C1075,'تحليل التكلفة والسعر'!$B$2:$B$700,0)),0))</f>
        <v/>
      </c>
    </row>
    <row r="1076" customFormat="false" ht="15" hidden="false" customHeight="false" outlineLevel="0" collapsed="false">
      <c r="A1076" s="102"/>
      <c r="E1076" s="103" t="str">
        <f aca="false">IF($C1076="","",IFERROR(INDEX(المنيو!$C$2:$C$500,MATCH($C1076,المنيو!$B$2:$B$500,0)),0))</f>
        <v/>
      </c>
      <c r="F1076" s="103" t="str">
        <f aca="false">IF($C1076="","",$D1076*$E1076)</f>
        <v/>
      </c>
      <c r="G1076" s="103" t="str">
        <f aca="false">IF($C1076="","",$D1076*IFERROR(INDEX('تحليل التكلفة والسعر'!$C$2:$C$700,MATCH($C1076,'تحليل التكلفة والسعر'!$B$2:$B$700,0)),0))</f>
        <v/>
      </c>
    </row>
    <row r="1077" customFormat="false" ht="15" hidden="false" customHeight="false" outlineLevel="0" collapsed="false">
      <c r="A1077" s="102"/>
      <c r="E1077" s="103" t="str">
        <f aca="false">IF($C1077="","",IFERROR(INDEX(المنيو!$C$2:$C$500,MATCH($C1077,المنيو!$B$2:$B$500,0)),0))</f>
        <v/>
      </c>
      <c r="F1077" s="103" t="str">
        <f aca="false">IF($C1077="","",$D1077*$E1077)</f>
        <v/>
      </c>
      <c r="G1077" s="103" t="str">
        <f aca="false">IF($C1077="","",$D1077*IFERROR(INDEX('تحليل التكلفة والسعر'!$C$2:$C$700,MATCH($C1077,'تحليل التكلفة والسعر'!$B$2:$B$700,0)),0))</f>
        <v/>
      </c>
    </row>
    <row r="1078" customFormat="false" ht="15" hidden="false" customHeight="false" outlineLevel="0" collapsed="false">
      <c r="A1078" s="102"/>
      <c r="E1078" s="103" t="str">
        <f aca="false">IF($C1078="","",IFERROR(INDEX(المنيو!$C$2:$C$500,MATCH($C1078,المنيو!$B$2:$B$500,0)),0))</f>
        <v/>
      </c>
      <c r="F1078" s="103" t="str">
        <f aca="false">IF($C1078="","",$D1078*$E1078)</f>
        <v/>
      </c>
      <c r="G1078" s="103" t="str">
        <f aca="false">IF($C1078="","",$D1078*IFERROR(INDEX('تحليل التكلفة والسعر'!$C$2:$C$700,MATCH($C1078,'تحليل التكلفة والسعر'!$B$2:$B$700,0)),0))</f>
        <v/>
      </c>
    </row>
    <row r="1079" customFormat="false" ht="15" hidden="false" customHeight="false" outlineLevel="0" collapsed="false">
      <c r="A1079" s="102"/>
      <c r="E1079" s="103" t="str">
        <f aca="false">IF($C1079="","",IFERROR(INDEX(المنيو!$C$2:$C$500,MATCH($C1079,المنيو!$B$2:$B$500,0)),0))</f>
        <v/>
      </c>
      <c r="F1079" s="103" t="str">
        <f aca="false">IF($C1079="","",$D1079*$E1079)</f>
        <v/>
      </c>
      <c r="G1079" s="103" t="str">
        <f aca="false">IF($C1079="","",$D1079*IFERROR(INDEX('تحليل التكلفة والسعر'!$C$2:$C$700,MATCH($C1079,'تحليل التكلفة والسعر'!$B$2:$B$700,0)),0))</f>
        <v/>
      </c>
    </row>
    <row r="1080" customFormat="false" ht="15" hidden="false" customHeight="false" outlineLevel="0" collapsed="false">
      <c r="A1080" s="102"/>
      <c r="E1080" s="103" t="str">
        <f aca="false">IF($C1080="","",IFERROR(INDEX(المنيو!$C$2:$C$500,MATCH($C1080,المنيو!$B$2:$B$500,0)),0))</f>
        <v/>
      </c>
      <c r="F1080" s="103" t="str">
        <f aca="false">IF($C1080="","",$D1080*$E1080)</f>
        <v/>
      </c>
      <c r="G1080" s="103" t="str">
        <f aca="false">IF($C1080="","",$D1080*IFERROR(INDEX('تحليل التكلفة والسعر'!$C$2:$C$700,MATCH($C1080,'تحليل التكلفة والسعر'!$B$2:$B$700,0)),0))</f>
        <v/>
      </c>
    </row>
    <row r="1081" customFormat="false" ht="15" hidden="false" customHeight="false" outlineLevel="0" collapsed="false">
      <c r="A1081" s="102"/>
      <c r="E1081" s="103" t="str">
        <f aca="false">IF($C1081="","",IFERROR(INDEX(المنيو!$C$2:$C$500,MATCH($C1081,المنيو!$B$2:$B$500,0)),0))</f>
        <v/>
      </c>
      <c r="F1081" s="103" t="str">
        <f aca="false">IF($C1081="","",$D1081*$E1081)</f>
        <v/>
      </c>
      <c r="G1081" s="103" t="str">
        <f aca="false">IF($C1081="","",$D1081*IFERROR(INDEX('تحليل التكلفة والسعر'!$C$2:$C$700,MATCH($C1081,'تحليل التكلفة والسعر'!$B$2:$B$700,0)),0))</f>
        <v/>
      </c>
    </row>
    <row r="1082" customFormat="false" ht="15" hidden="false" customHeight="false" outlineLevel="0" collapsed="false">
      <c r="A1082" s="102"/>
      <c r="E1082" s="103" t="str">
        <f aca="false">IF($C1082="","",IFERROR(INDEX(المنيو!$C$2:$C$500,MATCH($C1082,المنيو!$B$2:$B$500,0)),0))</f>
        <v/>
      </c>
      <c r="F1082" s="103" t="str">
        <f aca="false">IF($C1082="","",$D1082*$E1082)</f>
        <v/>
      </c>
      <c r="G1082" s="103" t="str">
        <f aca="false">IF($C1082="","",$D1082*IFERROR(INDEX('تحليل التكلفة والسعر'!$C$2:$C$700,MATCH($C1082,'تحليل التكلفة والسعر'!$B$2:$B$700,0)),0))</f>
        <v/>
      </c>
    </row>
    <row r="1083" customFormat="false" ht="15" hidden="false" customHeight="false" outlineLevel="0" collapsed="false">
      <c r="A1083" s="102"/>
      <c r="E1083" s="103" t="str">
        <f aca="false">IF($C1083="","",IFERROR(INDEX(المنيو!$C$2:$C$500,MATCH($C1083,المنيو!$B$2:$B$500,0)),0))</f>
        <v/>
      </c>
      <c r="F1083" s="103" t="str">
        <f aca="false">IF($C1083="","",$D1083*$E1083)</f>
        <v/>
      </c>
      <c r="G1083" s="103" t="str">
        <f aca="false">IF($C1083="","",$D1083*IFERROR(INDEX('تحليل التكلفة والسعر'!$C$2:$C$700,MATCH($C1083,'تحليل التكلفة والسعر'!$B$2:$B$700,0)),0))</f>
        <v/>
      </c>
    </row>
    <row r="1084" customFormat="false" ht="15" hidden="false" customHeight="false" outlineLevel="0" collapsed="false">
      <c r="A1084" s="102"/>
      <c r="E1084" s="103" t="str">
        <f aca="false">IF($C1084="","",IFERROR(INDEX(المنيو!$C$2:$C$500,MATCH($C1084,المنيو!$B$2:$B$500,0)),0))</f>
        <v/>
      </c>
      <c r="F1084" s="103" t="str">
        <f aca="false">IF($C1084="","",$D1084*$E1084)</f>
        <v/>
      </c>
      <c r="G1084" s="103" t="str">
        <f aca="false">IF($C1084="","",$D1084*IFERROR(INDEX('تحليل التكلفة والسعر'!$C$2:$C$700,MATCH($C1084,'تحليل التكلفة والسعر'!$B$2:$B$700,0)),0))</f>
        <v/>
      </c>
    </row>
    <row r="1085" customFormat="false" ht="15" hidden="false" customHeight="false" outlineLevel="0" collapsed="false">
      <c r="A1085" s="102"/>
      <c r="E1085" s="103" t="str">
        <f aca="false">IF($C1085="","",IFERROR(INDEX(المنيو!$C$2:$C$500,MATCH($C1085,المنيو!$B$2:$B$500,0)),0))</f>
        <v/>
      </c>
      <c r="F1085" s="103" t="str">
        <f aca="false">IF($C1085="","",$D1085*$E1085)</f>
        <v/>
      </c>
      <c r="G1085" s="103" t="str">
        <f aca="false">IF($C1085="","",$D1085*IFERROR(INDEX('تحليل التكلفة والسعر'!$C$2:$C$700,MATCH($C1085,'تحليل التكلفة والسعر'!$B$2:$B$700,0)),0))</f>
        <v/>
      </c>
    </row>
    <row r="1086" customFormat="false" ht="15" hidden="false" customHeight="false" outlineLevel="0" collapsed="false">
      <c r="A1086" s="102"/>
      <c r="E1086" s="103" t="str">
        <f aca="false">IF($C1086="","",IFERROR(INDEX(المنيو!$C$2:$C$500,MATCH($C1086,المنيو!$B$2:$B$500,0)),0))</f>
        <v/>
      </c>
      <c r="F1086" s="103" t="str">
        <f aca="false">IF($C1086="","",$D1086*$E1086)</f>
        <v/>
      </c>
      <c r="G1086" s="103" t="str">
        <f aca="false">IF($C1086="","",$D1086*IFERROR(INDEX('تحليل التكلفة والسعر'!$C$2:$C$700,MATCH($C1086,'تحليل التكلفة والسعر'!$B$2:$B$700,0)),0))</f>
        <v/>
      </c>
    </row>
    <row r="1087" customFormat="false" ht="15" hidden="false" customHeight="false" outlineLevel="0" collapsed="false">
      <c r="A1087" s="102"/>
      <c r="E1087" s="103" t="str">
        <f aca="false">IF($C1087="","",IFERROR(INDEX(المنيو!$C$2:$C$500,MATCH($C1087,المنيو!$B$2:$B$500,0)),0))</f>
        <v/>
      </c>
      <c r="F1087" s="103" t="str">
        <f aca="false">IF($C1087="","",$D1087*$E1087)</f>
        <v/>
      </c>
      <c r="G1087" s="103" t="str">
        <f aca="false">IF($C1087="","",$D1087*IFERROR(INDEX('تحليل التكلفة والسعر'!$C$2:$C$700,MATCH($C1087,'تحليل التكلفة والسعر'!$B$2:$B$700,0)),0))</f>
        <v/>
      </c>
    </row>
    <row r="1088" customFormat="false" ht="15" hidden="false" customHeight="false" outlineLevel="0" collapsed="false">
      <c r="A1088" s="102"/>
      <c r="E1088" s="103" t="str">
        <f aca="false">IF($C1088="","",IFERROR(INDEX(المنيو!$C$2:$C$500,MATCH($C1088,المنيو!$B$2:$B$500,0)),0))</f>
        <v/>
      </c>
      <c r="F1088" s="103" t="str">
        <f aca="false">IF($C1088="","",$D1088*$E1088)</f>
        <v/>
      </c>
      <c r="G1088" s="103" t="str">
        <f aca="false">IF($C1088="","",$D1088*IFERROR(INDEX('تحليل التكلفة والسعر'!$C$2:$C$700,MATCH($C1088,'تحليل التكلفة والسعر'!$B$2:$B$700,0)),0))</f>
        <v/>
      </c>
    </row>
    <row r="1089" customFormat="false" ht="15" hidden="false" customHeight="false" outlineLevel="0" collapsed="false">
      <c r="A1089" s="102"/>
      <c r="E1089" s="103" t="str">
        <f aca="false">IF($C1089="","",IFERROR(INDEX(المنيو!$C$2:$C$500,MATCH($C1089,المنيو!$B$2:$B$500,0)),0))</f>
        <v/>
      </c>
      <c r="F1089" s="103" t="str">
        <f aca="false">IF($C1089="","",$D1089*$E1089)</f>
        <v/>
      </c>
      <c r="G1089" s="103" t="str">
        <f aca="false">IF($C1089="","",$D1089*IFERROR(INDEX('تحليل التكلفة والسعر'!$C$2:$C$700,MATCH($C1089,'تحليل التكلفة والسعر'!$B$2:$B$700,0)),0))</f>
        <v/>
      </c>
    </row>
    <row r="1090" customFormat="false" ht="15" hidden="false" customHeight="false" outlineLevel="0" collapsed="false">
      <c r="A1090" s="102"/>
      <c r="E1090" s="103" t="str">
        <f aca="false">IF($C1090="","",IFERROR(INDEX(المنيو!$C$2:$C$500,MATCH($C1090,المنيو!$B$2:$B$500,0)),0))</f>
        <v/>
      </c>
      <c r="F1090" s="103" t="str">
        <f aca="false">IF($C1090="","",$D1090*$E1090)</f>
        <v/>
      </c>
      <c r="G1090" s="103" t="str">
        <f aca="false">IF($C1090="","",$D1090*IFERROR(INDEX('تحليل التكلفة والسعر'!$C$2:$C$700,MATCH($C1090,'تحليل التكلفة والسعر'!$B$2:$B$700,0)),0))</f>
        <v/>
      </c>
    </row>
    <row r="1091" customFormat="false" ht="15" hidden="false" customHeight="false" outlineLevel="0" collapsed="false">
      <c r="A1091" s="102"/>
      <c r="E1091" s="103" t="str">
        <f aca="false">IF($C1091="","",IFERROR(INDEX(المنيو!$C$2:$C$500,MATCH($C1091,المنيو!$B$2:$B$500,0)),0))</f>
        <v/>
      </c>
      <c r="F1091" s="103" t="str">
        <f aca="false">IF($C1091="","",$D1091*$E1091)</f>
        <v/>
      </c>
      <c r="G1091" s="103" t="str">
        <f aca="false">IF($C1091="","",$D1091*IFERROR(INDEX('تحليل التكلفة والسعر'!$C$2:$C$700,MATCH($C1091,'تحليل التكلفة والسعر'!$B$2:$B$700,0)),0))</f>
        <v/>
      </c>
    </row>
    <row r="1092" customFormat="false" ht="15" hidden="false" customHeight="false" outlineLevel="0" collapsed="false">
      <c r="A1092" s="102"/>
      <c r="E1092" s="103" t="str">
        <f aca="false">IF($C1092="","",IFERROR(INDEX(المنيو!$C$2:$C$500,MATCH($C1092,المنيو!$B$2:$B$500,0)),0))</f>
        <v/>
      </c>
      <c r="F1092" s="103" t="str">
        <f aca="false">IF($C1092="","",$D1092*$E1092)</f>
        <v/>
      </c>
      <c r="G1092" s="103" t="str">
        <f aca="false">IF($C1092="","",$D1092*IFERROR(INDEX('تحليل التكلفة والسعر'!$C$2:$C$700,MATCH($C1092,'تحليل التكلفة والسعر'!$B$2:$B$700,0)),0))</f>
        <v/>
      </c>
    </row>
    <row r="1093" customFormat="false" ht="15" hidden="false" customHeight="false" outlineLevel="0" collapsed="false">
      <c r="A1093" s="102"/>
      <c r="E1093" s="103" t="str">
        <f aca="false">IF($C1093="","",IFERROR(INDEX(المنيو!$C$2:$C$500,MATCH($C1093,المنيو!$B$2:$B$500,0)),0))</f>
        <v/>
      </c>
      <c r="F1093" s="103" t="str">
        <f aca="false">IF($C1093="","",$D1093*$E1093)</f>
        <v/>
      </c>
      <c r="G1093" s="103" t="str">
        <f aca="false">IF($C1093="","",$D1093*IFERROR(INDEX('تحليل التكلفة والسعر'!$C$2:$C$700,MATCH($C1093,'تحليل التكلفة والسعر'!$B$2:$B$700,0)),0))</f>
        <v/>
      </c>
    </row>
    <row r="1094" customFormat="false" ht="15" hidden="false" customHeight="false" outlineLevel="0" collapsed="false">
      <c r="A1094" s="102"/>
      <c r="E1094" s="103" t="str">
        <f aca="false">IF($C1094="","",IFERROR(INDEX(المنيو!$C$2:$C$500,MATCH($C1094,المنيو!$B$2:$B$500,0)),0))</f>
        <v/>
      </c>
      <c r="F1094" s="103" t="str">
        <f aca="false">IF($C1094="","",$D1094*$E1094)</f>
        <v/>
      </c>
      <c r="G1094" s="103" t="str">
        <f aca="false">IF($C1094="","",$D1094*IFERROR(INDEX('تحليل التكلفة والسعر'!$C$2:$C$700,MATCH($C1094,'تحليل التكلفة والسعر'!$B$2:$B$700,0)),0))</f>
        <v/>
      </c>
    </row>
    <row r="1095" customFormat="false" ht="15" hidden="false" customHeight="false" outlineLevel="0" collapsed="false">
      <c r="A1095" s="102"/>
      <c r="E1095" s="103" t="str">
        <f aca="false">IF($C1095="","",IFERROR(INDEX(المنيو!$C$2:$C$500,MATCH($C1095,المنيو!$B$2:$B$500,0)),0))</f>
        <v/>
      </c>
      <c r="F1095" s="103" t="str">
        <f aca="false">IF($C1095="","",$D1095*$E1095)</f>
        <v/>
      </c>
      <c r="G1095" s="103" t="str">
        <f aca="false">IF($C1095="","",$D1095*IFERROR(INDEX('تحليل التكلفة والسعر'!$C$2:$C$700,MATCH($C1095,'تحليل التكلفة والسعر'!$B$2:$B$700,0)),0))</f>
        <v/>
      </c>
    </row>
    <row r="1096" customFormat="false" ht="15" hidden="false" customHeight="false" outlineLevel="0" collapsed="false">
      <c r="A1096" s="102"/>
      <c r="E1096" s="103" t="str">
        <f aca="false">IF($C1096="","",IFERROR(INDEX(المنيو!$C$2:$C$500,MATCH($C1096,المنيو!$B$2:$B$500,0)),0))</f>
        <v/>
      </c>
      <c r="F1096" s="103" t="str">
        <f aca="false">IF($C1096="","",$D1096*$E1096)</f>
        <v/>
      </c>
      <c r="G1096" s="103" t="str">
        <f aca="false">IF($C1096="","",$D1096*IFERROR(INDEX('تحليل التكلفة والسعر'!$C$2:$C$700,MATCH($C1096,'تحليل التكلفة والسعر'!$B$2:$B$700,0)),0))</f>
        <v/>
      </c>
    </row>
    <row r="1097" customFormat="false" ht="15" hidden="false" customHeight="false" outlineLevel="0" collapsed="false">
      <c r="A1097" s="102"/>
      <c r="E1097" s="103" t="str">
        <f aca="false">IF($C1097="","",IFERROR(INDEX(المنيو!$C$2:$C$500,MATCH($C1097,المنيو!$B$2:$B$500,0)),0))</f>
        <v/>
      </c>
      <c r="F1097" s="103" t="str">
        <f aca="false">IF($C1097="","",$D1097*$E1097)</f>
        <v/>
      </c>
      <c r="G1097" s="103" t="str">
        <f aca="false">IF($C1097="","",$D1097*IFERROR(INDEX('تحليل التكلفة والسعر'!$C$2:$C$700,MATCH($C1097,'تحليل التكلفة والسعر'!$B$2:$B$700,0)),0))</f>
        <v/>
      </c>
    </row>
    <row r="1098" customFormat="false" ht="15" hidden="false" customHeight="false" outlineLevel="0" collapsed="false">
      <c r="A1098" s="102"/>
      <c r="E1098" s="103" t="str">
        <f aca="false">IF($C1098="","",IFERROR(INDEX(المنيو!$C$2:$C$500,MATCH($C1098,المنيو!$B$2:$B$500,0)),0))</f>
        <v/>
      </c>
      <c r="F1098" s="103" t="str">
        <f aca="false">IF($C1098="","",$D1098*$E1098)</f>
        <v/>
      </c>
      <c r="G1098" s="103" t="str">
        <f aca="false">IF($C1098="","",$D1098*IFERROR(INDEX('تحليل التكلفة والسعر'!$C$2:$C$700,MATCH($C1098,'تحليل التكلفة والسعر'!$B$2:$B$700,0)),0))</f>
        <v/>
      </c>
    </row>
    <row r="1099" customFormat="false" ht="15" hidden="false" customHeight="false" outlineLevel="0" collapsed="false">
      <c r="A1099" s="102"/>
      <c r="E1099" s="103" t="str">
        <f aca="false">IF($C1099="","",IFERROR(INDEX(المنيو!$C$2:$C$500,MATCH($C1099,المنيو!$B$2:$B$500,0)),0))</f>
        <v/>
      </c>
      <c r="F1099" s="103" t="str">
        <f aca="false">IF($C1099="","",$D1099*$E1099)</f>
        <v/>
      </c>
      <c r="G1099" s="103" t="str">
        <f aca="false">IF($C1099="","",$D1099*IFERROR(INDEX('تحليل التكلفة والسعر'!$C$2:$C$700,MATCH($C1099,'تحليل التكلفة والسعر'!$B$2:$B$700,0)),0))</f>
        <v/>
      </c>
    </row>
    <row r="1100" customFormat="false" ht="15" hidden="false" customHeight="false" outlineLevel="0" collapsed="false">
      <c r="A1100" s="102"/>
      <c r="E1100" s="103" t="str">
        <f aca="false">IF($C1100="","",IFERROR(INDEX(المنيو!$C$2:$C$500,MATCH($C1100,المنيو!$B$2:$B$500,0)),0))</f>
        <v/>
      </c>
      <c r="F1100" s="103" t="str">
        <f aca="false">IF($C1100="","",$D1100*$E1100)</f>
        <v/>
      </c>
      <c r="G1100" s="103" t="str">
        <f aca="false">IF($C1100="","",$D1100*IFERROR(INDEX('تحليل التكلفة والسعر'!$C$2:$C$700,MATCH($C1100,'تحليل التكلفة والسعر'!$B$2:$B$700,0)),0))</f>
        <v/>
      </c>
    </row>
    <row r="1101" customFormat="false" ht="15" hidden="false" customHeight="false" outlineLevel="0" collapsed="false">
      <c r="A1101" s="102"/>
      <c r="E1101" s="103" t="str">
        <f aca="false">IF($C1101="","",IFERROR(INDEX(المنيو!$C$2:$C$500,MATCH($C1101,المنيو!$B$2:$B$500,0)),0))</f>
        <v/>
      </c>
      <c r="F1101" s="103" t="str">
        <f aca="false">IF($C1101="","",$D1101*$E1101)</f>
        <v/>
      </c>
      <c r="G1101" s="103" t="str">
        <f aca="false">IF($C1101="","",$D1101*IFERROR(INDEX('تحليل التكلفة والسعر'!$C$2:$C$700,MATCH($C1101,'تحليل التكلفة والسعر'!$B$2:$B$700,0)),0))</f>
        <v/>
      </c>
    </row>
    <row r="1102" customFormat="false" ht="15" hidden="false" customHeight="false" outlineLevel="0" collapsed="false">
      <c r="A1102" s="102"/>
      <c r="E1102" s="103" t="str">
        <f aca="false">IF($C1102="","",IFERROR(INDEX(المنيو!$C$2:$C$500,MATCH($C1102,المنيو!$B$2:$B$500,0)),0))</f>
        <v/>
      </c>
      <c r="F1102" s="103" t="str">
        <f aca="false">IF($C1102="","",$D1102*$E1102)</f>
        <v/>
      </c>
      <c r="G1102" s="103" t="str">
        <f aca="false">IF($C1102="","",$D1102*IFERROR(INDEX('تحليل التكلفة والسعر'!$C$2:$C$700,MATCH($C1102,'تحليل التكلفة والسعر'!$B$2:$B$700,0)),0))</f>
        <v/>
      </c>
    </row>
    <row r="1103" customFormat="false" ht="15" hidden="false" customHeight="false" outlineLevel="0" collapsed="false">
      <c r="A1103" s="102"/>
      <c r="E1103" s="103" t="str">
        <f aca="false">IF($C1103="","",IFERROR(INDEX(المنيو!$C$2:$C$500,MATCH($C1103,المنيو!$B$2:$B$500,0)),0))</f>
        <v/>
      </c>
      <c r="F1103" s="103" t="str">
        <f aca="false">IF($C1103="","",$D1103*$E1103)</f>
        <v/>
      </c>
      <c r="G1103" s="103" t="str">
        <f aca="false">IF($C1103="","",$D1103*IFERROR(INDEX('تحليل التكلفة والسعر'!$C$2:$C$700,MATCH($C1103,'تحليل التكلفة والسعر'!$B$2:$B$700,0)),0))</f>
        <v/>
      </c>
    </row>
    <row r="1104" customFormat="false" ht="15" hidden="false" customHeight="false" outlineLevel="0" collapsed="false">
      <c r="A1104" s="102"/>
      <c r="E1104" s="103" t="str">
        <f aca="false">IF($C1104="","",IFERROR(INDEX(المنيو!$C$2:$C$500,MATCH($C1104,المنيو!$B$2:$B$500,0)),0))</f>
        <v/>
      </c>
      <c r="F1104" s="103" t="str">
        <f aca="false">IF($C1104="","",$D1104*$E1104)</f>
        <v/>
      </c>
      <c r="G1104" s="103" t="str">
        <f aca="false">IF($C1104="","",$D1104*IFERROR(INDEX('تحليل التكلفة والسعر'!$C$2:$C$700,MATCH($C1104,'تحليل التكلفة والسعر'!$B$2:$B$700,0)),0))</f>
        <v/>
      </c>
    </row>
    <row r="1105" customFormat="false" ht="15" hidden="false" customHeight="false" outlineLevel="0" collapsed="false">
      <c r="A1105" s="102"/>
      <c r="E1105" s="103" t="str">
        <f aca="false">IF($C1105="","",IFERROR(INDEX(المنيو!$C$2:$C$500,MATCH($C1105,المنيو!$B$2:$B$500,0)),0))</f>
        <v/>
      </c>
      <c r="F1105" s="103" t="str">
        <f aca="false">IF($C1105="","",$D1105*$E1105)</f>
        <v/>
      </c>
      <c r="G1105" s="103" t="str">
        <f aca="false">IF($C1105="","",$D1105*IFERROR(INDEX('تحليل التكلفة والسعر'!$C$2:$C$700,MATCH($C1105,'تحليل التكلفة والسعر'!$B$2:$B$700,0)),0))</f>
        <v/>
      </c>
    </row>
    <row r="1106" customFormat="false" ht="15" hidden="false" customHeight="false" outlineLevel="0" collapsed="false">
      <c r="A1106" s="102"/>
      <c r="E1106" s="103" t="str">
        <f aca="false">IF($C1106="","",IFERROR(INDEX(المنيو!$C$2:$C$500,MATCH($C1106,المنيو!$B$2:$B$500,0)),0))</f>
        <v/>
      </c>
      <c r="F1106" s="103" t="str">
        <f aca="false">IF($C1106="","",$D1106*$E1106)</f>
        <v/>
      </c>
      <c r="G1106" s="103" t="str">
        <f aca="false">IF($C1106="","",$D1106*IFERROR(INDEX('تحليل التكلفة والسعر'!$C$2:$C$700,MATCH($C1106,'تحليل التكلفة والسعر'!$B$2:$B$700,0)),0))</f>
        <v/>
      </c>
    </row>
    <row r="1107" customFormat="false" ht="15" hidden="false" customHeight="false" outlineLevel="0" collapsed="false">
      <c r="A1107" s="102"/>
      <c r="E1107" s="103" t="str">
        <f aca="false">IF($C1107="","",IFERROR(INDEX(المنيو!$C$2:$C$500,MATCH($C1107,المنيو!$B$2:$B$500,0)),0))</f>
        <v/>
      </c>
      <c r="F1107" s="103" t="str">
        <f aca="false">IF($C1107="","",$D1107*$E1107)</f>
        <v/>
      </c>
      <c r="G1107" s="103" t="str">
        <f aca="false">IF($C1107="","",$D1107*IFERROR(INDEX('تحليل التكلفة والسعر'!$C$2:$C$700,MATCH($C1107,'تحليل التكلفة والسعر'!$B$2:$B$700,0)),0))</f>
        <v/>
      </c>
    </row>
    <row r="1108" customFormat="false" ht="15" hidden="false" customHeight="false" outlineLevel="0" collapsed="false">
      <c r="A1108" s="102"/>
      <c r="E1108" s="103" t="str">
        <f aca="false">IF($C1108="","",IFERROR(INDEX(المنيو!$C$2:$C$500,MATCH($C1108,المنيو!$B$2:$B$500,0)),0))</f>
        <v/>
      </c>
      <c r="F1108" s="103" t="str">
        <f aca="false">IF($C1108="","",$D1108*$E1108)</f>
        <v/>
      </c>
      <c r="G1108" s="103" t="str">
        <f aca="false">IF($C1108="","",$D1108*IFERROR(INDEX('تحليل التكلفة والسعر'!$C$2:$C$700,MATCH($C1108,'تحليل التكلفة والسعر'!$B$2:$B$700,0)),0))</f>
        <v/>
      </c>
    </row>
    <row r="1109" customFormat="false" ht="15" hidden="false" customHeight="false" outlineLevel="0" collapsed="false">
      <c r="A1109" s="102"/>
      <c r="E1109" s="103" t="str">
        <f aca="false">IF($C1109="","",IFERROR(INDEX(المنيو!$C$2:$C$500,MATCH($C1109,المنيو!$B$2:$B$500,0)),0))</f>
        <v/>
      </c>
      <c r="F1109" s="103" t="str">
        <f aca="false">IF($C1109="","",$D1109*$E1109)</f>
        <v/>
      </c>
      <c r="G1109" s="103" t="str">
        <f aca="false">IF($C1109="","",$D1109*IFERROR(INDEX('تحليل التكلفة والسعر'!$C$2:$C$700,MATCH($C1109,'تحليل التكلفة والسعر'!$B$2:$B$700,0)),0))</f>
        <v/>
      </c>
    </row>
    <row r="1110" customFormat="false" ht="15" hidden="false" customHeight="false" outlineLevel="0" collapsed="false">
      <c r="A1110" s="102"/>
      <c r="E1110" s="103" t="str">
        <f aca="false">IF($C1110="","",IFERROR(INDEX(المنيو!$C$2:$C$500,MATCH($C1110,المنيو!$B$2:$B$500,0)),0))</f>
        <v/>
      </c>
      <c r="F1110" s="103" t="str">
        <f aca="false">IF($C1110="","",$D1110*$E1110)</f>
        <v/>
      </c>
      <c r="G1110" s="103" t="str">
        <f aca="false">IF($C1110="","",$D1110*IFERROR(INDEX('تحليل التكلفة والسعر'!$C$2:$C$700,MATCH($C1110,'تحليل التكلفة والسعر'!$B$2:$B$700,0)),0))</f>
        <v/>
      </c>
    </row>
    <row r="1111" customFormat="false" ht="15" hidden="false" customHeight="false" outlineLevel="0" collapsed="false">
      <c r="A1111" s="102"/>
      <c r="E1111" s="103" t="str">
        <f aca="false">IF($C1111="","",IFERROR(INDEX(المنيو!$C$2:$C$500,MATCH($C1111,المنيو!$B$2:$B$500,0)),0))</f>
        <v/>
      </c>
      <c r="F1111" s="103" t="str">
        <f aca="false">IF($C1111="","",$D1111*$E1111)</f>
        <v/>
      </c>
      <c r="G1111" s="103" t="str">
        <f aca="false">IF($C1111="","",$D1111*IFERROR(INDEX('تحليل التكلفة والسعر'!$C$2:$C$700,MATCH($C1111,'تحليل التكلفة والسعر'!$B$2:$B$700,0)),0))</f>
        <v/>
      </c>
    </row>
    <row r="1112" customFormat="false" ht="15" hidden="false" customHeight="false" outlineLevel="0" collapsed="false">
      <c r="A1112" s="102"/>
      <c r="E1112" s="103" t="str">
        <f aca="false">IF($C1112="","",IFERROR(INDEX(المنيو!$C$2:$C$500,MATCH($C1112,المنيو!$B$2:$B$500,0)),0))</f>
        <v/>
      </c>
      <c r="F1112" s="103" t="str">
        <f aca="false">IF($C1112="","",$D1112*$E1112)</f>
        <v/>
      </c>
      <c r="G1112" s="103" t="str">
        <f aca="false">IF($C1112="","",$D1112*IFERROR(INDEX('تحليل التكلفة والسعر'!$C$2:$C$700,MATCH($C1112,'تحليل التكلفة والسعر'!$B$2:$B$700,0)),0))</f>
        <v/>
      </c>
    </row>
    <row r="1113" customFormat="false" ht="15" hidden="false" customHeight="false" outlineLevel="0" collapsed="false">
      <c r="A1113" s="102"/>
      <c r="E1113" s="103" t="str">
        <f aca="false">IF($C1113="","",IFERROR(INDEX(المنيو!$C$2:$C$500,MATCH($C1113,المنيو!$B$2:$B$500,0)),0))</f>
        <v/>
      </c>
      <c r="F1113" s="103" t="str">
        <f aca="false">IF($C1113="","",$D1113*$E1113)</f>
        <v/>
      </c>
      <c r="G1113" s="103" t="str">
        <f aca="false">IF($C1113="","",$D1113*IFERROR(INDEX('تحليل التكلفة والسعر'!$C$2:$C$700,MATCH($C1113,'تحليل التكلفة والسعر'!$B$2:$B$700,0)),0))</f>
        <v/>
      </c>
    </row>
    <row r="1114" customFormat="false" ht="15" hidden="false" customHeight="false" outlineLevel="0" collapsed="false">
      <c r="A1114" s="102"/>
      <c r="E1114" s="103" t="str">
        <f aca="false">IF($C1114="","",IFERROR(INDEX(المنيو!$C$2:$C$500,MATCH($C1114,المنيو!$B$2:$B$500,0)),0))</f>
        <v/>
      </c>
      <c r="F1114" s="103" t="str">
        <f aca="false">IF($C1114="","",$D1114*$E1114)</f>
        <v/>
      </c>
      <c r="G1114" s="103" t="str">
        <f aca="false">IF($C1114="","",$D1114*IFERROR(INDEX('تحليل التكلفة والسعر'!$C$2:$C$700,MATCH($C1114,'تحليل التكلفة والسعر'!$B$2:$B$700,0)),0))</f>
        <v/>
      </c>
    </row>
    <row r="1115" customFormat="false" ht="15" hidden="false" customHeight="false" outlineLevel="0" collapsed="false">
      <c r="A1115" s="102"/>
      <c r="E1115" s="103" t="str">
        <f aca="false">IF($C1115="","",IFERROR(INDEX(المنيو!$C$2:$C$500,MATCH($C1115,المنيو!$B$2:$B$500,0)),0))</f>
        <v/>
      </c>
      <c r="F1115" s="103" t="str">
        <f aca="false">IF($C1115="","",$D1115*$E1115)</f>
        <v/>
      </c>
      <c r="G1115" s="103" t="str">
        <f aca="false">IF($C1115="","",$D1115*IFERROR(INDEX('تحليل التكلفة والسعر'!$C$2:$C$700,MATCH($C1115,'تحليل التكلفة والسعر'!$B$2:$B$700,0)),0))</f>
        <v/>
      </c>
    </row>
    <row r="1116" customFormat="false" ht="15" hidden="false" customHeight="false" outlineLevel="0" collapsed="false">
      <c r="A1116" s="102"/>
      <c r="E1116" s="103" t="str">
        <f aca="false">IF($C1116="","",IFERROR(INDEX(المنيو!$C$2:$C$500,MATCH($C1116,المنيو!$B$2:$B$500,0)),0))</f>
        <v/>
      </c>
      <c r="F1116" s="103" t="str">
        <f aca="false">IF($C1116="","",$D1116*$E1116)</f>
        <v/>
      </c>
      <c r="G1116" s="103" t="str">
        <f aca="false">IF($C1116="","",$D1116*IFERROR(INDEX('تحليل التكلفة والسعر'!$C$2:$C$700,MATCH($C1116,'تحليل التكلفة والسعر'!$B$2:$B$700,0)),0))</f>
        <v/>
      </c>
    </row>
    <row r="1117" customFormat="false" ht="15" hidden="false" customHeight="false" outlineLevel="0" collapsed="false">
      <c r="A1117" s="102"/>
      <c r="E1117" s="103" t="str">
        <f aca="false">IF($C1117="","",IFERROR(INDEX(المنيو!$C$2:$C$500,MATCH($C1117,المنيو!$B$2:$B$500,0)),0))</f>
        <v/>
      </c>
      <c r="F1117" s="103" t="str">
        <f aca="false">IF($C1117="","",$D1117*$E1117)</f>
        <v/>
      </c>
      <c r="G1117" s="103" t="str">
        <f aca="false">IF($C1117="","",$D1117*IFERROR(INDEX('تحليل التكلفة والسعر'!$C$2:$C$700,MATCH($C1117,'تحليل التكلفة والسعر'!$B$2:$B$700,0)),0))</f>
        <v/>
      </c>
    </row>
    <row r="1118" customFormat="false" ht="15" hidden="false" customHeight="false" outlineLevel="0" collapsed="false">
      <c r="A1118" s="102"/>
      <c r="E1118" s="103" t="str">
        <f aca="false">IF($C1118="","",IFERROR(INDEX(المنيو!$C$2:$C$500,MATCH($C1118,المنيو!$B$2:$B$500,0)),0))</f>
        <v/>
      </c>
      <c r="F1118" s="103" t="str">
        <f aca="false">IF($C1118="","",$D1118*$E1118)</f>
        <v/>
      </c>
      <c r="G1118" s="103" t="str">
        <f aca="false">IF($C1118="","",$D1118*IFERROR(INDEX('تحليل التكلفة والسعر'!$C$2:$C$700,MATCH($C1118,'تحليل التكلفة والسعر'!$B$2:$B$700,0)),0))</f>
        <v/>
      </c>
    </row>
    <row r="1119" customFormat="false" ht="15" hidden="false" customHeight="false" outlineLevel="0" collapsed="false">
      <c r="A1119" s="102"/>
      <c r="E1119" s="103" t="str">
        <f aca="false">IF($C1119="","",IFERROR(INDEX(المنيو!$C$2:$C$500,MATCH($C1119,المنيو!$B$2:$B$500,0)),0))</f>
        <v/>
      </c>
      <c r="F1119" s="103" t="str">
        <f aca="false">IF($C1119="","",$D1119*$E1119)</f>
        <v/>
      </c>
      <c r="G1119" s="103" t="str">
        <f aca="false">IF($C1119="","",$D1119*IFERROR(INDEX('تحليل التكلفة والسعر'!$C$2:$C$700,MATCH($C1119,'تحليل التكلفة والسعر'!$B$2:$B$700,0)),0))</f>
        <v/>
      </c>
    </row>
    <row r="1120" customFormat="false" ht="15" hidden="false" customHeight="false" outlineLevel="0" collapsed="false">
      <c r="A1120" s="102"/>
      <c r="E1120" s="103" t="str">
        <f aca="false">IF($C1120="","",IFERROR(INDEX(المنيو!$C$2:$C$500,MATCH($C1120,المنيو!$B$2:$B$500,0)),0))</f>
        <v/>
      </c>
      <c r="F1120" s="103" t="str">
        <f aca="false">IF($C1120="","",$D1120*$E1120)</f>
        <v/>
      </c>
      <c r="G1120" s="103" t="str">
        <f aca="false">IF($C1120="","",$D1120*IFERROR(INDEX('تحليل التكلفة والسعر'!$C$2:$C$700,MATCH($C1120,'تحليل التكلفة والسعر'!$B$2:$B$700,0)),0))</f>
        <v/>
      </c>
    </row>
    <row r="1121" customFormat="false" ht="15" hidden="false" customHeight="false" outlineLevel="0" collapsed="false">
      <c r="A1121" s="102"/>
      <c r="E1121" s="103" t="str">
        <f aca="false">IF($C1121="","",IFERROR(INDEX(المنيو!$C$2:$C$500,MATCH($C1121,المنيو!$B$2:$B$500,0)),0))</f>
        <v/>
      </c>
      <c r="F1121" s="103" t="str">
        <f aca="false">IF($C1121="","",$D1121*$E1121)</f>
        <v/>
      </c>
      <c r="G1121" s="103" t="str">
        <f aca="false">IF($C1121="","",$D1121*IFERROR(INDEX('تحليل التكلفة والسعر'!$C$2:$C$700,MATCH($C1121,'تحليل التكلفة والسعر'!$B$2:$B$700,0)),0))</f>
        <v/>
      </c>
    </row>
    <row r="1122" customFormat="false" ht="15" hidden="false" customHeight="false" outlineLevel="0" collapsed="false">
      <c r="A1122" s="102"/>
      <c r="E1122" s="103" t="str">
        <f aca="false">IF($C1122="","",IFERROR(INDEX(المنيو!$C$2:$C$500,MATCH($C1122,المنيو!$B$2:$B$500,0)),0))</f>
        <v/>
      </c>
      <c r="F1122" s="103" t="str">
        <f aca="false">IF($C1122="","",$D1122*$E1122)</f>
        <v/>
      </c>
      <c r="G1122" s="103" t="str">
        <f aca="false">IF($C1122="","",$D1122*IFERROR(INDEX('تحليل التكلفة والسعر'!$C$2:$C$700,MATCH($C1122,'تحليل التكلفة والسعر'!$B$2:$B$700,0)),0))</f>
        <v/>
      </c>
    </row>
    <row r="1123" customFormat="false" ht="15" hidden="false" customHeight="false" outlineLevel="0" collapsed="false">
      <c r="A1123" s="102"/>
      <c r="E1123" s="103" t="str">
        <f aca="false">IF($C1123="","",IFERROR(INDEX(المنيو!$C$2:$C$500,MATCH($C1123,المنيو!$B$2:$B$500,0)),0))</f>
        <v/>
      </c>
      <c r="F1123" s="103" t="str">
        <f aca="false">IF($C1123="","",$D1123*$E1123)</f>
        <v/>
      </c>
      <c r="G1123" s="103" t="str">
        <f aca="false">IF($C1123="","",$D1123*IFERROR(INDEX('تحليل التكلفة والسعر'!$C$2:$C$700,MATCH($C1123,'تحليل التكلفة والسعر'!$B$2:$B$700,0)),0))</f>
        <v/>
      </c>
    </row>
    <row r="1124" customFormat="false" ht="15" hidden="false" customHeight="false" outlineLevel="0" collapsed="false">
      <c r="A1124" s="102"/>
      <c r="E1124" s="103" t="str">
        <f aca="false">IF($C1124="","",IFERROR(INDEX(المنيو!$C$2:$C$500,MATCH($C1124,المنيو!$B$2:$B$500,0)),0))</f>
        <v/>
      </c>
      <c r="F1124" s="103" t="str">
        <f aca="false">IF($C1124="","",$D1124*$E1124)</f>
        <v/>
      </c>
      <c r="G1124" s="103" t="str">
        <f aca="false">IF($C1124="","",$D1124*IFERROR(INDEX('تحليل التكلفة والسعر'!$C$2:$C$700,MATCH($C1124,'تحليل التكلفة والسعر'!$B$2:$B$700,0)),0))</f>
        <v/>
      </c>
    </row>
    <row r="1125" customFormat="false" ht="15" hidden="false" customHeight="false" outlineLevel="0" collapsed="false">
      <c r="A1125" s="102"/>
      <c r="E1125" s="103" t="str">
        <f aca="false">IF($C1125="","",IFERROR(INDEX(المنيو!$C$2:$C$500,MATCH($C1125,المنيو!$B$2:$B$500,0)),0))</f>
        <v/>
      </c>
      <c r="F1125" s="103" t="str">
        <f aca="false">IF($C1125="","",$D1125*$E1125)</f>
        <v/>
      </c>
      <c r="G1125" s="103" t="str">
        <f aca="false">IF($C1125="","",$D1125*IFERROR(INDEX('تحليل التكلفة والسعر'!$C$2:$C$700,MATCH($C1125,'تحليل التكلفة والسعر'!$B$2:$B$700,0)),0))</f>
        <v/>
      </c>
    </row>
    <row r="1126" customFormat="false" ht="15" hidden="false" customHeight="false" outlineLevel="0" collapsed="false">
      <c r="A1126" s="102"/>
      <c r="E1126" s="103" t="str">
        <f aca="false">IF($C1126="","",IFERROR(INDEX(المنيو!$C$2:$C$500,MATCH($C1126,المنيو!$B$2:$B$500,0)),0))</f>
        <v/>
      </c>
      <c r="F1126" s="103" t="str">
        <f aca="false">IF($C1126="","",$D1126*$E1126)</f>
        <v/>
      </c>
      <c r="G1126" s="103" t="str">
        <f aca="false">IF($C1126="","",$D1126*IFERROR(INDEX('تحليل التكلفة والسعر'!$C$2:$C$700,MATCH($C1126,'تحليل التكلفة والسعر'!$B$2:$B$700,0)),0))</f>
        <v/>
      </c>
    </row>
    <row r="1127" customFormat="false" ht="15" hidden="false" customHeight="false" outlineLevel="0" collapsed="false">
      <c r="A1127" s="102"/>
      <c r="E1127" s="103" t="str">
        <f aca="false">IF($C1127="","",IFERROR(INDEX(المنيو!$C$2:$C$500,MATCH($C1127,المنيو!$B$2:$B$500,0)),0))</f>
        <v/>
      </c>
      <c r="F1127" s="103" t="str">
        <f aca="false">IF($C1127="","",$D1127*$E1127)</f>
        <v/>
      </c>
      <c r="G1127" s="103" t="str">
        <f aca="false">IF($C1127="","",$D1127*IFERROR(INDEX('تحليل التكلفة والسعر'!$C$2:$C$700,MATCH($C1127,'تحليل التكلفة والسعر'!$B$2:$B$700,0)),0))</f>
        <v/>
      </c>
    </row>
    <row r="1128" customFormat="false" ht="15" hidden="false" customHeight="false" outlineLevel="0" collapsed="false">
      <c r="A1128" s="102"/>
      <c r="E1128" s="103" t="str">
        <f aca="false">IF($C1128="","",IFERROR(INDEX(المنيو!$C$2:$C$500,MATCH($C1128,المنيو!$B$2:$B$500,0)),0))</f>
        <v/>
      </c>
      <c r="F1128" s="103" t="str">
        <f aca="false">IF($C1128="","",$D1128*$E1128)</f>
        <v/>
      </c>
      <c r="G1128" s="103" t="str">
        <f aca="false">IF($C1128="","",$D1128*IFERROR(INDEX('تحليل التكلفة والسعر'!$C$2:$C$700,MATCH($C1128,'تحليل التكلفة والسعر'!$B$2:$B$700,0)),0))</f>
        <v/>
      </c>
    </row>
    <row r="1129" customFormat="false" ht="15" hidden="false" customHeight="false" outlineLevel="0" collapsed="false">
      <c r="A1129" s="102"/>
      <c r="E1129" s="103" t="str">
        <f aca="false">IF($C1129="","",IFERROR(INDEX(المنيو!$C$2:$C$500,MATCH($C1129,المنيو!$B$2:$B$500,0)),0))</f>
        <v/>
      </c>
      <c r="F1129" s="103" t="str">
        <f aca="false">IF($C1129="","",$D1129*$E1129)</f>
        <v/>
      </c>
      <c r="G1129" s="103" t="str">
        <f aca="false">IF($C1129="","",$D1129*IFERROR(INDEX('تحليل التكلفة والسعر'!$C$2:$C$700,MATCH($C1129,'تحليل التكلفة والسعر'!$B$2:$B$700,0)),0))</f>
        <v/>
      </c>
    </row>
    <row r="1130" customFormat="false" ht="15" hidden="false" customHeight="false" outlineLevel="0" collapsed="false">
      <c r="A1130" s="102"/>
      <c r="E1130" s="103" t="str">
        <f aca="false">IF($C1130="","",IFERROR(INDEX(المنيو!$C$2:$C$500,MATCH($C1130,المنيو!$B$2:$B$500,0)),0))</f>
        <v/>
      </c>
      <c r="F1130" s="103" t="str">
        <f aca="false">IF($C1130="","",$D1130*$E1130)</f>
        <v/>
      </c>
      <c r="G1130" s="103" t="str">
        <f aca="false">IF($C1130="","",$D1130*IFERROR(INDEX('تحليل التكلفة والسعر'!$C$2:$C$700,MATCH($C1130,'تحليل التكلفة والسعر'!$B$2:$B$700,0)),0))</f>
        <v/>
      </c>
    </row>
    <row r="1131" customFormat="false" ht="15" hidden="false" customHeight="false" outlineLevel="0" collapsed="false">
      <c r="A1131" s="102"/>
      <c r="E1131" s="103" t="str">
        <f aca="false">IF($C1131="","",IFERROR(INDEX(المنيو!$C$2:$C$500,MATCH($C1131,المنيو!$B$2:$B$500,0)),0))</f>
        <v/>
      </c>
      <c r="F1131" s="103" t="str">
        <f aca="false">IF($C1131="","",$D1131*$E1131)</f>
        <v/>
      </c>
      <c r="G1131" s="103" t="str">
        <f aca="false">IF($C1131="","",$D1131*IFERROR(INDEX('تحليل التكلفة والسعر'!$C$2:$C$700,MATCH($C1131,'تحليل التكلفة والسعر'!$B$2:$B$700,0)),0))</f>
        <v/>
      </c>
    </row>
    <row r="1132" customFormat="false" ht="15" hidden="false" customHeight="false" outlineLevel="0" collapsed="false">
      <c r="A1132" s="102"/>
      <c r="E1132" s="103" t="str">
        <f aca="false">IF($C1132="","",IFERROR(INDEX(المنيو!$C$2:$C$500,MATCH($C1132,المنيو!$B$2:$B$500,0)),0))</f>
        <v/>
      </c>
      <c r="F1132" s="103" t="str">
        <f aca="false">IF($C1132="","",$D1132*$E1132)</f>
        <v/>
      </c>
      <c r="G1132" s="103" t="str">
        <f aca="false">IF($C1132="","",$D1132*IFERROR(INDEX('تحليل التكلفة والسعر'!$C$2:$C$700,MATCH($C1132,'تحليل التكلفة والسعر'!$B$2:$B$700,0)),0))</f>
        <v/>
      </c>
    </row>
    <row r="1133" customFormat="false" ht="15" hidden="false" customHeight="false" outlineLevel="0" collapsed="false">
      <c r="A1133" s="102"/>
      <c r="E1133" s="103" t="str">
        <f aca="false">IF($C1133="","",IFERROR(INDEX(المنيو!$C$2:$C$500,MATCH($C1133,المنيو!$B$2:$B$500,0)),0))</f>
        <v/>
      </c>
      <c r="F1133" s="103" t="str">
        <f aca="false">IF($C1133="","",$D1133*$E1133)</f>
        <v/>
      </c>
      <c r="G1133" s="103" t="str">
        <f aca="false">IF($C1133="","",$D1133*IFERROR(INDEX('تحليل التكلفة والسعر'!$C$2:$C$700,MATCH($C1133,'تحليل التكلفة والسعر'!$B$2:$B$700,0)),0))</f>
        <v/>
      </c>
    </row>
    <row r="1134" customFormat="false" ht="15" hidden="false" customHeight="false" outlineLevel="0" collapsed="false">
      <c r="A1134" s="102"/>
      <c r="E1134" s="103" t="str">
        <f aca="false">IF($C1134="","",IFERROR(INDEX(المنيو!$C$2:$C$500,MATCH($C1134,المنيو!$B$2:$B$500,0)),0))</f>
        <v/>
      </c>
      <c r="F1134" s="103" t="str">
        <f aca="false">IF($C1134="","",$D1134*$E1134)</f>
        <v/>
      </c>
      <c r="G1134" s="103" t="str">
        <f aca="false">IF($C1134="","",$D1134*IFERROR(INDEX('تحليل التكلفة والسعر'!$C$2:$C$700,MATCH($C1134,'تحليل التكلفة والسعر'!$B$2:$B$700,0)),0))</f>
        <v/>
      </c>
    </row>
    <row r="1135" customFormat="false" ht="15" hidden="false" customHeight="false" outlineLevel="0" collapsed="false">
      <c r="A1135" s="102"/>
      <c r="E1135" s="103" t="str">
        <f aca="false">IF($C1135="","",IFERROR(INDEX(المنيو!$C$2:$C$500,MATCH($C1135,المنيو!$B$2:$B$500,0)),0))</f>
        <v/>
      </c>
      <c r="F1135" s="103" t="str">
        <f aca="false">IF($C1135="","",$D1135*$E1135)</f>
        <v/>
      </c>
      <c r="G1135" s="103" t="str">
        <f aca="false">IF($C1135="","",$D1135*IFERROR(INDEX('تحليل التكلفة والسعر'!$C$2:$C$700,MATCH($C1135,'تحليل التكلفة والسعر'!$B$2:$B$700,0)),0))</f>
        <v/>
      </c>
    </row>
    <row r="1136" customFormat="false" ht="15" hidden="false" customHeight="false" outlineLevel="0" collapsed="false">
      <c r="A1136" s="102"/>
      <c r="E1136" s="103" t="str">
        <f aca="false">IF($C1136="","",IFERROR(INDEX(المنيو!$C$2:$C$500,MATCH($C1136,المنيو!$B$2:$B$500,0)),0))</f>
        <v/>
      </c>
      <c r="F1136" s="103" t="str">
        <f aca="false">IF($C1136="","",$D1136*$E1136)</f>
        <v/>
      </c>
      <c r="G1136" s="103" t="str">
        <f aca="false">IF($C1136="","",$D1136*IFERROR(INDEX('تحليل التكلفة والسعر'!$C$2:$C$700,MATCH($C1136,'تحليل التكلفة والسعر'!$B$2:$B$700,0)),0))</f>
        <v/>
      </c>
    </row>
    <row r="1137" customFormat="false" ht="15" hidden="false" customHeight="false" outlineLevel="0" collapsed="false">
      <c r="A1137" s="102"/>
      <c r="E1137" s="103" t="str">
        <f aca="false">IF($C1137="","",IFERROR(INDEX(المنيو!$C$2:$C$500,MATCH($C1137,المنيو!$B$2:$B$500,0)),0))</f>
        <v/>
      </c>
      <c r="F1137" s="103" t="str">
        <f aca="false">IF($C1137="","",$D1137*$E1137)</f>
        <v/>
      </c>
      <c r="G1137" s="103" t="str">
        <f aca="false">IF($C1137="","",$D1137*IFERROR(INDEX('تحليل التكلفة والسعر'!$C$2:$C$700,MATCH($C1137,'تحليل التكلفة والسعر'!$B$2:$B$700,0)),0))</f>
        <v/>
      </c>
    </row>
    <row r="1138" customFormat="false" ht="15" hidden="false" customHeight="false" outlineLevel="0" collapsed="false">
      <c r="A1138" s="102"/>
      <c r="E1138" s="103" t="str">
        <f aca="false">IF($C1138="","",IFERROR(INDEX(المنيو!$C$2:$C$500,MATCH($C1138,المنيو!$B$2:$B$500,0)),0))</f>
        <v/>
      </c>
      <c r="F1138" s="103" t="str">
        <f aca="false">IF($C1138="","",$D1138*$E1138)</f>
        <v/>
      </c>
      <c r="G1138" s="103" t="str">
        <f aca="false">IF($C1138="","",$D1138*IFERROR(INDEX('تحليل التكلفة والسعر'!$C$2:$C$700,MATCH($C1138,'تحليل التكلفة والسعر'!$B$2:$B$700,0)),0))</f>
        <v/>
      </c>
    </row>
    <row r="1139" customFormat="false" ht="15" hidden="false" customHeight="false" outlineLevel="0" collapsed="false">
      <c r="A1139" s="102"/>
      <c r="E1139" s="103" t="str">
        <f aca="false">IF($C1139="","",IFERROR(INDEX(المنيو!$C$2:$C$500,MATCH($C1139,المنيو!$B$2:$B$500,0)),0))</f>
        <v/>
      </c>
      <c r="F1139" s="103" t="str">
        <f aca="false">IF($C1139="","",$D1139*$E1139)</f>
        <v/>
      </c>
      <c r="G1139" s="103" t="str">
        <f aca="false">IF($C1139="","",$D1139*IFERROR(INDEX('تحليل التكلفة والسعر'!$C$2:$C$700,MATCH($C1139,'تحليل التكلفة والسعر'!$B$2:$B$700,0)),0))</f>
        <v/>
      </c>
    </row>
    <row r="1140" customFormat="false" ht="15" hidden="false" customHeight="false" outlineLevel="0" collapsed="false">
      <c r="A1140" s="102"/>
      <c r="E1140" s="103" t="str">
        <f aca="false">IF($C1140="","",IFERROR(INDEX(المنيو!$C$2:$C$500,MATCH($C1140,المنيو!$B$2:$B$500,0)),0))</f>
        <v/>
      </c>
      <c r="F1140" s="103" t="str">
        <f aca="false">IF($C1140="","",$D1140*$E1140)</f>
        <v/>
      </c>
      <c r="G1140" s="103" t="str">
        <f aca="false">IF($C1140="","",$D1140*IFERROR(INDEX('تحليل التكلفة والسعر'!$C$2:$C$700,MATCH($C1140,'تحليل التكلفة والسعر'!$B$2:$B$700,0)),0))</f>
        <v/>
      </c>
    </row>
    <row r="1141" customFormat="false" ht="15" hidden="false" customHeight="false" outlineLevel="0" collapsed="false">
      <c r="A1141" s="102"/>
      <c r="E1141" s="103" t="str">
        <f aca="false">IF($C1141="","",IFERROR(INDEX(المنيو!$C$2:$C$500,MATCH($C1141,المنيو!$B$2:$B$500,0)),0))</f>
        <v/>
      </c>
      <c r="F1141" s="103" t="str">
        <f aca="false">IF($C1141="","",$D1141*$E1141)</f>
        <v/>
      </c>
      <c r="G1141" s="103" t="str">
        <f aca="false">IF($C1141="","",$D1141*IFERROR(INDEX('تحليل التكلفة والسعر'!$C$2:$C$700,MATCH($C1141,'تحليل التكلفة والسعر'!$B$2:$B$700,0)),0))</f>
        <v/>
      </c>
    </row>
    <row r="1142" customFormat="false" ht="15" hidden="false" customHeight="false" outlineLevel="0" collapsed="false">
      <c r="A1142" s="102"/>
      <c r="E1142" s="103" t="str">
        <f aca="false">IF($C1142="","",IFERROR(INDEX(المنيو!$C$2:$C$500,MATCH($C1142,المنيو!$B$2:$B$500,0)),0))</f>
        <v/>
      </c>
      <c r="F1142" s="103" t="str">
        <f aca="false">IF($C1142="","",$D1142*$E1142)</f>
        <v/>
      </c>
      <c r="G1142" s="103" t="str">
        <f aca="false">IF($C1142="","",$D1142*IFERROR(INDEX('تحليل التكلفة والسعر'!$C$2:$C$700,MATCH($C1142,'تحليل التكلفة والسعر'!$B$2:$B$700,0)),0))</f>
        <v/>
      </c>
    </row>
    <row r="1143" customFormat="false" ht="15" hidden="false" customHeight="false" outlineLevel="0" collapsed="false">
      <c r="A1143" s="102"/>
      <c r="E1143" s="103" t="str">
        <f aca="false">IF($C1143="","",IFERROR(INDEX(المنيو!$C$2:$C$500,MATCH($C1143,المنيو!$B$2:$B$500,0)),0))</f>
        <v/>
      </c>
      <c r="F1143" s="103" t="str">
        <f aca="false">IF($C1143="","",$D1143*$E1143)</f>
        <v/>
      </c>
      <c r="G1143" s="103" t="str">
        <f aca="false">IF($C1143="","",$D1143*IFERROR(INDEX('تحليل التكلفة والسعر'!$C$2:$C$700,MATCH($C1143,'تحليل التكلفة والسعر'!$B$2:$B$700,0)),0))</f>
        <v/>
      </c>
    </row>
    <row r="1144" customFormat="false" ht="15" hidden="false" customHeight="false" outlineLevel="0" collapsed="false">
      <c r="A1144" s="102"/>
      <c r="E1144" s="103" t="str">
        <f aca="false">IF($C1144="","",IFERROR(INDEX(المنيو!$C$2:$C$500,MATCH($C1144,المنيو!$B$2:$B$500,0)),0))</f>
        <v/>
      </c>
      <c r="F1144" s="103" t="str">
        <f aca="false">IF($C1144="","",$D1144*$E1144)</f>
        <v/>
      </c>
      <c r="G1144" s="103" t="str">
        <f aca="false">IF($C1144="","",$D1144*IFERROR(INDEX('تحليل التكلفة والسعر'!$C$2:$C$700,MATCH($C1144,'تحليل التكلفة والسعر'!$B$2:$B$700,0)),0))</f>
        <v/>
      </c>
    </row>
    <row r="1145" customFormat="false" ht="15" hidden="false" customHeight="false" outlineLevel="0" collapsed="false">
      <c r="A1145" s="102"/>
      <c r="E1145" s="103" t="str">
        <f aca="false">IF($C1145="","",IFERROR(INDEX(المنيو!$C$2:$C$500,MATCH($C1145,المنيو!$B$2:$B$500,0)),0))</f>
        <v/>
      </c>
      <c r="F1145" s="103" t="str">
        <f aca="false">IF($C1145="","",$D1145*$E1145)</f>
        <v/>
      </c>
      <c r="G1145" s="103" t="str">
        <f aca="false">IF($C1145="","",$D1145*IFERROR(INDEX('تحليل التكلفة والسعر'!$C$2:$C$700,MATCH($C1145,'تحليل التكلفة والسعر'!$B$2:$B$700,0)),0))</f>
        <v/>
      </c>
    </row>
    <row r="1146" customFormat="false" ht="15" hidden="false" customHeight="false" outlineLevel="0" collapsed="false">
      <c r="A1146" s="102"/>
      <c r="E1146" s="103" t="str">
        <f aca="false">IF($C1146="","",IFERROR(INDEX(المنيو!$C$2:$C$500,MATCH($C1146,المنيو!$B$2:$B$500,0)),0))</f>
        <v/>
      </c>
      <c r="F1146" s="103" t="str">
        <f aca="false">IF($C1146="","",$D1146*$E1146)</f>
        <v/>
      </c>
      <c r="G1146" s="103" t="str">
        <f aca="false">IF($C1146="","",$D1146*IFERROR(INDEX('تحليل التكلفة والسعر'!$C$2:$C$700,MATCH($C1146,'تحليل التكلفة والسعر'!$B$2:$B$700,0)),0))</f>
        <v/>
      </c>
    </row>
    <row r="1147" customFormat="false" ht="15" hidden="false" customHeight="false" outlineLevel="0" collapsed="false">
      <c r="A1147" s="102"/>
      <c r="E1147" s="103" t="str">
        <f aca="false">IF($C1147="","",IFERROR(INDEX(المنيو!$C$2:$C$500,MATCH($C1147,المنيو!$B$2:$B$500,0)),0))</f>
        <v/>
      </c>
      <c r="F1147" s="103" t="str">
        <f aca="false">IF($C1147="","",$D1147*$E1147)</f>
        <v/>
      </c>
      <c r="G1147" s="103" t="str">
        <f aca="false">IF($C1147="","",$D1147*IFERROR(INDEX('تحليل التكلفة والسعر'!$C$2:$C$700,MATCH($C1147,'تحليل التكلفة والسعر'!$B$2:$B$700,0)),0))</f>
        <v/>
      </c>
    </row>
    <row r="1148" customFormat="false" ht="15" hidden="false" customHeight="false" outlineLevel="0" collapsed="false">
      <c r="A1148" s="102"/>
      <c r="E1148" s="103" t="str">
        <f aca="false">IF($C1148="","",IFERROR(INDEX(المنيو!$C$2:$C$500,MATCH($C1148,المنيو!$B$2:$B$500,0)),0))</f>
        <v/>
      </c>
      <c r="F1148" s="103" t="str">
        <f aca="false">IF($C1148="","",$D1148*$E1148)</f>
        <v/>
      </c>
      <c r="G1148" s="103" t="str">
        <f aca="false">IF($C1148="","",$D1148*IFERROR(INDEX('تحليل التكلفة والسعر'!$C$2:$C$700,MATCH($C1148,'تحليل التكلفة والسعر'!$B$2:$B$700,0)),0))</f>
        <v/>
      </c>
    </row>
    <row r="1149" customFormat="false" ht="15" hidden="false" customHeight="false" outlineLevel="0" collapsed="false">
      <c r="A1149" s="102"/>
      <c r="E1149" s="103" t="str">
        <f aca="false">IF($C1149="","",IFERROR(INDEX(المنيو!$C$2:$C$500,MATCH($C1149,المنيو!$B$2:$B$500,0)),0))</f>
        <v/>
      </c>
      <c r="F1149" s="103" t="str">
        <f aca="false">IF($C1149="","",$D1149*$E1149)</f>
        <v/>
      </c>
      <c r="G1149" s="103" t="str">
        <f aca="false">IF($C1149="","",$D1149*IFERROR(INDEX('تحليل التكلفة والسعر'!$C$2:$C$700,MATCH($C1149,'تحليل التكلفة والسعر'!$B$2:$B$700,0)),0))</f>
        <v/>
      </c>
    </row>
    <row r="1150" customFormat="false" ht="15" hidden="false" customHeight="false" outlineLevel="0" collapsed="false">
      <c r="A1150" s="102"/>
      <c r="E1150" s="103" t="str">
        <f aca="false">IF($C1150="","",IFERROR(INDEX(المنيو!$C$2:$C$500,MATCH($C1150,المنيو!$B$2:$B$500,0)),0))</f>
        <v/>
      </c>
      <c r="F1150" s="103" t="str">
        <f aca="false">IF($C1150="","",$D1150*$E1150)</f>
        <v/>
      </c>
      <c r="G1150" s="103" t="str">
        <f aca="false">IF($C1150="","",$D1150*IFERROR(INDEX('تحليل التكلفة والسعر'!$C$2:$C$700,MATCH($C1150,'تحليل التكلفة والسعر'!$B$2:$B$700,0)),0))</f>
        <v/>
      </c>
    </row>
    <row r="1151" customFormat="false" ht="15" hidden="false" customHeight="false" outlineLevel="0" collapsed="false">
      <c r="A1151" s="102"/>
      <c r="E1151" s="103" t="str">
        <f aca="false">IF($C1151="","",IFERROR(INDEX(المنيو!$C$2:$C$500,MATCH($C1151,المنيو!$B$2:$B$500,0)),0))</f>
        <v/>
      </c>
      <c r="F1151" s="103" t="str">
        <f aca="false">IF($C1151="","",$D1151*$E1151)</f>
        <v/>
      </c>
      <c r="G1151" s="103" t="str">
        <f aca="false">IF($C1151="","",$D1151*IFERROR(INDEX('تحليل التكلفة والسعر'!$C$2:$C$700,MATCH($C1151,'تحليل التكلفة والسعر'!$B$2:$B$700,0)),0))</f>
        <v/>
      </c>
    </row>
    <row r="1152" customFormat="false" ht="15" hidden="false" customHeight="false" outlineLevel="0" collapsed="false">
      <c r="A1152" s="102"/>
      <c r="E1152" s="103" t="str">
        <f aca="false">IF($C1152="","",IFERROR(INDEX(المنيو!$C$2:$C$500,MATCH($C1152,المنيو!$B$2:$B$500,0)),0))</f>
        <v/>
      </c>
      <c r="F1152" s="103" t="str">
        <f aca="false">IF($C1152="","",$D1152*$E1152)</f>
        <v/>
      </c>
      <c r="G1152" s="103" t="str">
        <f aca="false">IF($C1152="","",$D1152*IFERROR(INDEX('تحليل التكلفة والسعر'!$C$2:$C$700,MATCH($C1152,'تحليل التكلفة والسعر'!$B$2:$B$700,0)),0))</f>
        <v/>
      </c>
    </row>
    <row r="1153" customFormat="false" ht="15" hidden="false" customHeight="false" outlineLevel="0" collapsed="false">
      <c r="A1153" s="102"/>
      <c r="E1153" s="103" t="str">
        <f aca="false">IF($C1153="","",IFERROR(INDEX(المنيو!$C$2:$C$500,MATCH($C1153,المنيو!$B$2:$B$500,0)),0))</f>
        <v/>
      </c>
      <c r="F1153" s="103" t="str">
        <f aca="false">IF($C1153="","",$D1153*$E1153)</f>
        <v/>
      </c>
      <c r="G1153" s="103" t="str">
        <f aca="false">IF($C1153="","",$D1153*IFERROR(INDEX('تحليل التكلفة والسعر'!$C$2:$C$700,MATCH($C1153,'تحليل التكلفة والسعر'!$B$2:$B$700,0)),0))</f>
        <v/>
      </c>
    </row>
    <row r="1154" customFormat="false" ht="15" hidden="false" customHeight="false" outlineLevel="0" collapsed="false">
      <c r="A1154" s="102"/>
      <c r="E1154" s="103" t="str">
        <f aca="false">IF($C1154="","",IFERROR(INDEX(المنيو!$C$2:$C$500,MATCH($C1154,المنيو!$B$2:$B$500,0)),0))</f>
        <v/>
      </c>
      <c r="F1154" s="103" t="str">
        <f aca="false">IF($C1154="","",$D1154*$E1154)</f>
        <v/>
      </c>
      <c r="G1154" s="103" t="str">
        <f aca="false">IF($C1154="","",$D1154*IFERROR(INDEX('تحليل التكلفة والسعر'!$C$2:$C$700,MATCH($C1154,'تحليل التكلفة والسعر'!$B$2:$B$700,0)),0))</f>
        <v/>
      </c>
    </row>
    <row r="1155" customFormat="false" ht="15" hidden="false" customHeight="false" outlineLevel="0" collapsed="false">
      <c r="A1155" s="102"/>
      <c r="E1155" s="103" t="str">
        <f aca="false">IF($C1155="","",IFERROR(INDEX(المنيو!$C$2:$C$500,MATCH($C1155,المنيو!$B$2:$B$500,0)),0))</f>
        <v/>
      </c>
      <c r="F1155" s="103" t="str">
        <f aca="false">IF($C1155="","",$D1155*$E1155)</f>
        <v/>
      </c>
      <c r="G1155" s="103" t="str">
        <f aca="false">IF($C1155="","",$D1155*IFERROR(INDEX('تحليل التكلفة والسعر'!$C$2:$C$700,MATCH($C1155,'تحليل التكلفة والسعر'!$B$2:$B$700,0)),0))</f>
        <v/>
      </c>
    </row>
    <row r="1156" customFormat="false" ht="15" hidden="false" customHeight="false" outlineLevel="0" collapsed="false">
      <c r="A1156" s="102"/>
      <c r="E1156" s="103" t="str">
        <f aca="false">IF($C1156="","",IFERROR(INDEX(المنيو!$C$2:$C$500,MATCH($C1156,المنيو!$B$2:$B$500,0)),0))</f>
        <v/>
      </c>
      <c r="F1156" s="103" t="str">
        <f aca="false">IF($C1156="","",$D1156*$E1156)</f>
        <v/>
      </c>
      <c r="G1156" s="103" t="str">
        <f aca="false">IF($C1156="","",$D1156*IFERROR(INDEX('تحليل التكلفة والسعر'!$C$2:$C$700,MATCH($C1156,'تحليل التكلفة والسعر'!$B$2:$B$700,0)),0))</f>
        <v/>
      </c>
    </row>
    <row r="1157" customFormat="false" ht="15" hidden="false" customHeight="false" outlineLevel="0" collapsed="false">
      <c r="A1157" s="102"/>
      <c r="E1157" s="103" t="str">
        <f aca="false">IF($C1157="","",IFERROR(INDEX(المنيو!$C$2:$C$500,MATCH($C1157,المنيو!$B$2:$B$500,0)),0))</f>
        <v/>
      </c>
      <c r="F1157" s="103" t="str">
        <f aca="false">IF($C1157="","",$D1157*$E1157)</f>
        <v/>
      </c>
      <c r="G1157" s="103" t="str">
        <f aca="false">IF($C1157="","",$D1157*IFERROR(INDEX('تحليل التكلفة والسعر'!$C$2:$C$700,MATCH($C1157,'تحليل التكلفة والسعر'!$B$2:$B$700,0)),0))</f>
        <v/>
      </c>
    </row>
    <row r="1158" customFormat="false" ht="15" hidden="false" customHeight="false" outlineLevel="0" collapsed="false">
      <c r="A1158" s="102"/>
      <c r="E1158" s="103" t="str">
        <f aca="false">IF($C1158="","",IFERROR(INDEX(المنيو!$C$2:$C$500,MATCH($C1158,المنيو!$B$2:$B$500,0)),0))</f>
        <v/>
      </c>
      <c r="F1158" s="103" t="str">
        <f aca="false">IF($C1158="","",$D1158*$E1158)</f>
        <v/>
      </c>
      <c r="G1158" s="103" t="str">
        <f aca="false">IF($C1158="","",$D1158*IFERROR(INDEX('تحليل التكلفة والسعر'!$C$2:$C$700,MATCH($C1158,'تحليل التكلفة والسعر'!$B$2:$B$700,0)),0))</f>
        <v/>
      </c>
    </row>
    <row r="1159" customFormat="false" ht="15" hidden="false" customHeight="false" outlineLevel="0" collapsed="false">
      <c r="A1159" s="102"/>
      <c r="E1159" s="103" t="str">
        <f aca="false">IF($C1159="","",IFERROR(INDEX(المنيو!$C$2:$C$500,MATCH($C1159,المنيو!$B$2:$B$500,0)),0))</f>
        <v/>
      </c>
      <c r="F1159" s="103" t="str">
        <f aca="false">IF($C1159="","",$D1159*$E1159)</f>
        <v/>
      </c>
      <c r="G1159" s="103" t="str">
        <f aca="false">IF($C1159="","",$D1159*IFERROR(INDEX('تحليل التكلفة والسعر'!$C$2:$C$700,MATCH($C1159,'تحليل التكلفة والسعر'!$B$2:$B$700,0)),0))</f>
        <v/>
      </c>
    </row>
    <row r="1160" customFormat="false" ht="15" hidden="false" customHeight="false" outlineLevel="0" collapsed="false">
      <c r="A1160" s="102"/>
      <c r="E1160" s="103" t="str">
        <f aca="false">IF($C1160="","",IFERROR(INDEX(المنيو!$C$2:$C$500,MATCH($C1160,المنيو!$B$2:$B$500,0)),0))</f>
        <v/>
      </c>
      <c r="F1160" s="103" t="str">
        <f aca="false">IF($C1160="","",$D1160*$E1160)</f>
        <v/>
      </c>
      <c r="G1160" s="103" t="str">
        <f aca="false">IF($C1160="","",$D1160*IFERROR(INDEX('تحليل التكلفة والسعر'!$C$2:$C$700,MATCH($C1160,'تحليل التكلفة والسعر'!$B$2:$B$700,0)),0))</f>
        <v/>
      </c>
    </row>
    <row r="1161" customFormat="false" ht="15" hidden="false" customHeight="false" outlineLevel="0" collapsed="false">
      <c r="A1161" s="102"/>
      <c r="E1161" s="103" t="str">
        <f aca="false">IF($C1161="","",IFERROR(INDEX(المنيو!$C$2:$C$500,MATCH($C1161,المنيو!$B$2:$B$500,0)),0))</f>
        <v/>
      </c>
      <c r="F1161" s="103" t="str">
        <f aca="false">IF($C1161="","",$D1161*$E1161)</f>
        <v/>
      </c>
      <c r="G1161" s="103" t="str">
        <f aca="false">IF($C1161="","",$D1161*IFERROR(INDEX('تحليل التكلفة والسعر'!$C$2:$C$700,MATCH($C1161,'تحليل التكلفة والسعر'!$B$2:$B$700,0)),0))</f>
        <v/>
      </c>
    </row>
    <row r="1162" customFormat="false" ht="15" hidden="false" customHeight="false" outlineLevel="0" collapsed="false">
      <c r="A1162" s="102"/>
      <c r="E1162" s="103" t="str">
        <f aca="false">IF($C1162="","",IFERROR(INDEX(المنيو!$C$2:$C$500,MATCH($C1162,المنيو!$B$2:$B$500,0)),0))</f>
        <v/>
      </c>
      <c r="F1162" s="103" t="str">
        <f aca="false">IF($C1162="","",$D1162*$E1162)</f>
        <v/>
      </c>
      <c r="G1162" s="103" t="str">
        <f aca="false">IF($C1162="","",$D1162*IFERROR(INDEX('تحليل التكلفة والسعر'!$C$2:$C$700,MATCH($C1162,'تحليل التكلفة والسعر'!$B$2:$B$700,0)),0))</f>
        <v/>
      </c>
    </row>
    <row r="1163" customFormat="false" ht="15" hidden="false" customHeight="false" outlineLevel="0" collapsed="false">
      <c r="A1163" s="102"/>
      <c r="E1163" s="103" t="str">
        <f aca="false">IF($C1163="","",IFERROR(INDEX(المنيو!$C$2:$C$500,MATCH($C1163,المنيو!$B$2:$B$500,0)),0))</f>
        <v/>
      </c>
      <c r="F1163" s="103" t="str">
        <f aca="false">IF($C1163="","",$D1163*$E1163)</f>
        <v/>
      </c>
      <c r="G1163" s="103" t="str">
        <f aca="false">IF($C1163="","",$D1163*IFERROR(INDEX('تحليل التكلفة والسعر'!$C$2:$C$700,MATCH($C1163,'تحليل التكلفة والسعر'!$B$2:$B$700,0)),0))</f>
        <v/>
      </c>
    </row>
    <row r="1164" customFormat="false" ht="15" hidden="false" customHeight="false" outlineLevel="0" collapsed="false">
      <c r="A1164" s="102"/>
      <c r="E1164" s="103" t="str">
        <f aca="false">IF($C1164="","",IFERROR(INDEX(المنيو!$C$2:$C$500,MATCH($C1164,المنيو!$B$2:$B$500,0)),0))</f>
        <v/>
      </c>
      <c r="F1164" s="103" t="str">
        <f aca="false">IF($C1164="","",$D1164*$E1164)</f>
        <v/>
      </c>
      <c r="G1164" s="103" t="str">
        <f aca="false">IF($C1164="","",$D1164*IFERROR(INDEX('تحليل التكلفة والسعر'!$C$2:$C$700,MATCH($C1164,'تحليل التكلفة والسعر'!$B$2:$B$700,0)),0))</f>
        <v/>
      </c>
    </row>
    <row r="1165" customFormat="false" ht="15" hidden="false" customHeight="false" outlineLevel="0" collapsed="false">
      <c r="A1165" s="102"/>
      <c r="E1165" s="103" t="str">
        <f aca="false">IF($C1165="","",IFERROR(INDEX(المنيو!$C$2:$C$500,MATCH($C1165,المنيو!$B$2:$B$500,0)),0))</f>
        <v/>
      </c>
      <c r="F1165" s="103" t="str">
        <f aca="false">IF($C1165="","",$D1165*$E1165)</f>
        <v/>
      </c>
      <c r="G1165" s="103" t="str">
        <f aca="false">IF($C1165="","",$D1165*IFERROR(INDEX('تحليل التكلفة والسعر'!$C$2:$C$700,MATCH($C1165,'تحليل التكلفة والسعر'!$B$2:$B$700,0)),0))</f>
        <v/>
      </c>
    </row>
    <row r="1166" customFormat="false" ht="15" hidden="false" customHeight="false" outlineLevel="0" collapsed="false">
      <c r="A1166" s="102"/>
      <c r="E1166" s="103" t="str">
        <f aca="false">IF($C1166="","",IFERROR(INDEX(المنيو!$C$2:$C$500,MATCH($C1166,المنيو!$B$2:$B$500,0)),0))</f>
        <v/>
      </c>
      <c r="F1166" s="103" t="str">
        <f aca="false">IF($C1166="","",$D1166*$E1166)</f>
        <v/>
      </c>
      <c r="G1166" s="103" t="str">
        <f aca="false">IF($C1166="","",$D1166*IFERROR(INDEX('تحليل التكلفة والسعر'!$C$2:$C$700,MATCH($C1166,'تحليل التكلفة والسعر'!$B$2:$B$700,0)),0))</f>
        <v/>
      </c>
    </row>
    <row r="1167" customFormat="false" ht="15" hidden="false" customHeight="false" outlineLevel="0" collapsed="false">
      <c r="A1167" s="102"/>
      <c r="E1167" s="103" t="str">
        <f aca="false">IF($C1167="","",IFERROR(INDEX(المنيو!$C$2:$C$500,MATCH($C1167,المنيو!$B$2:$B$500,0)),0))</f>
        <v/>
      </c>
      <c r="F1167" s="103" t="str">
        <f aca="false">IF($C1167="","",$D1167*$E1167)</f>
        <v/>
      </c>
      <c r="G1167" s="103" t="str">
        <f aca="false">IF($C1167="","",$D1167*IFERROR(INDEX('تحليل التكلفة والسعر'!$C$2:$C$700,MATCH($C1167,'تحليل التكلفة والسعر'!$B$2:$B$700,0)),0))</f>
        <v/>
      </c>
    </row>
    <row r="1168" customFormat="false" ht="15" hidden="false" customHeight="false" outlineLevel="0" collapsed="false">
      <c r="A1168" s="102"/>
      <c r="E1168" s="103" t="str">
        <f aca="false">IF($C1168="","",IFERROR(INDEX(المنيو!$C$2:$C$500,MATCH($C1168,المنيو!$B$2:$B$500,0)),0))</f>
        <v/>
      </c>
      <c r="F1168" s="103" t="str">
        <f aca="false">IF($C1168="","",$D1168*$E1168)</f>
        <v/>
      </c>
      <c r="G1168" s="103" t="str">
        <f aca="false">IF($C1168="","",$D1168*IFERROR(INDEX('تحليل التكلفة والسعر'!$C$2:$C$700,MATCH($C1168,'تحليل التكلفة والسعر'!$B$2:$B$700,0)),0))</f>
        <v/>
      </c>
    </row>
    <row r="1169" customFormat="false" ht="15" hidden="false" customHeight="false" outlineLevel="0" collapsed="false">
      <c r="A1169" s="102"/>
      <c r="E1169" s="103" t="str">
        <f aca="false">IF($C1169="","",IFERROR(INDEX(المنيو!$C$2:$C$500,MATCH($C1169,المنيو!$B$2:$B$500,0)),0))</f>
        <v/>
      </c>
      <c r="F1169" s="103" t="str">
        <f aca="false">IF($C1169="","",$D1169*$E1169)</f>
        <v/>
      </c>
      <c r="G1169" s="103" t="str">
        <f aca="false">IF($C1169="","",$D1169*IFERROR(INDEX('تحليل التكلفة والسعر'!$C$2:$C$700,MATCH($C1169,'تحليل التكلفة والسعر'!$B$2:$B$700,0)),0))</f>
        <v/>
      </c>
    </row>
    <row r="1170" customFormat="false" ht="15" hidden="false" customHeight="false" outlineLevel="0" collapsed="false">
      <c r="A1170" s="102"/>
      <c r="E1170" s="103" t="str">
        <f aca="false">IF($C1170="","",IFERROR(INDEX(المنيو!$C$2:$C$500,MATCH($C1170,المنيو!$B$2:$B$500,0)),0))</f>
        <v/>
      </c>
      <c r="F1170" s="103" t="str">
        <f aca="false">IF($C1170="","",$D1170*$E1170)</f>
        <v/>
      </c>
      <c r="G1170" s="103" t="str">
        <f aca="false">IF($C1170="","",$D1170*IFERROR(INDEX('تحليل التكلفة والسعر'!$C$2:$C$700,MATCH($C1170,'تحليل التكلفة والسعر'!$B$2:$B$700,0)),0))</f>
        <v/>
      </c>
    </row>
    <row r="1171" customFormat="false" ht="15" hidden="false" customHeight="false" outlineLevel="0" collapsed="false">
      <c r="A1171" s="102"/>
      <c r="E1171" s="103" t="str">
        <f aca="false">IF($C1171="","",IFERROR(INDEX(المنيو!$C$2:$C$500,MATCH($C1171,المنيو!$B$2:$B$500,0)),0))</f>
        <v/>
      </c>
      <c r="F1171" s="103" t="str">
        <f aca="false">IF($C1171="","",$D1171*$E1171)</f>
        <v/>
      </c>
      <c r="G1171" s="103" t="str">
        <f aca="false">IF($C1171="","",$D1171*IFERROR(INDEX('تحليل التكلفة والسعر'!$C$2:$C$700,MATCH($C1171,'تحليل التكلفة والسعر'!$B$2:$B$700,0)),0))</f>
        <v/>
      </c>
    </row>
    <row r="1172" customFormat="false" ht="15" hidden="false" customHeight="false" outlineLevel="0" collapsed="false">
      <c r="A1172" s="102"/>
      <c r="E1172" s="103" t="str">
        <f aca="false">IF($C1172="","",IFERROR(INDEX(المنيو!$C$2:$C$500,MATCH($C1172,المنيو!$B$2:$B$500,0)),0))</f>
        <v/>
      </c>
      <c r="F1172" s="103" t="str">
        <f aca="false">IF($C1172="","",$D1172*$E1172)</f>
        <v/>
      </c>
      <c r="G1172" s="103" t="str">
        <f aca="false">IF($C1172="","",$D1172*IFERROR(INDEX('تحليل التكلفة والسعر'!$C$2:$C$700,MATCH($C1172,'تحليل التكلفة والسعر'!$B$2:$B$700,0)),0))</f>
        <v/>
      </c>
    </row>
    <row r="1173" customFormat="false" ht="15" hidden="false" customHeight="false" outlineLevel="0" collapsed="false">
      <c r="A1173" s="102"/>
      <c r="E1173" s="103" t="str">
        <f aca="false">IF($C1173="","",IFERROR(INDEX(المنيو!$C$2:$C$500,MATCH($C1173,المنيو!$B$2:$B$500,0)),0))</f>
        <v/>
      </c>
      <c r="F1173" s="103" t="str">
        <f aca="false">IF($C1173="","",$D1173*$E1173)</f>
        <v/>
      </c>
      <c r="G1173" s="103" t="str">
        <f aca="false">IF($C1173="","",$D1173*IFERROR(INDEX('تحليل التكلفة والسعر'!$C$2:$C$700,MATCH($C1173,'تحليل التكلفة والسعر'!$B$2:$B$700,0)),0))</f>
        <v/>
      </c>
    </row>
    <row r="1174" customFormat="false" ht="15" hidden="false" customHeight="false" outlineLevel="0" collapsed="false">
      <c r="A1174" s="102"/>
      <c r="E1174" s="103" t="str">
        <f aca="false">IF($C1174="","",IFERROR(INDEX(المنيو!$C$2:$C$500,MATCH($C1174,المنيو!$B$2:$B$500,0)),0))</f>
        <v/>
      </c>
      <c r="F1174" s="103" t="str">
        <f aca="false">IF($C1174="","",$D1174*$E1174)</f>
        <v/>
      </c>
      <c r="G1174" s="103" t="str">
        <f aca="false">IF($C1174="","",$D1174*IFERROR(INDEX('تحليل التكلفة والسعر'!$C$2:$C$700,MATCH($C1174,'تحليل التكلفة والسعر'!$B$2:$B$700,0)),0))</f>
        <v/>
      </c>
    </row>
    <row r="1175" customFormat="false" ht="15" hidden="false" customHeight="false" outlineLevel="0" collapsed="false">
      <c r="A1175" s="102"/>
      <c r="E1175" s="103" t="str">
        <f aca="false">IF($C1175="","",IFERROR(INDEX(المنيو!$C$2:$C$500,MATCH($C1175,المنيو!$B$2:$B$500,0)),0))</f>
        <v/>
      </c>
      <c r="F1175" s="103" t="str">
        <f aca="false">IF($C1175="","",$D1175*$E1175)</f>
        <v/>
      </c>
      <c r="G1175" s="103" t="str">
        <f aca="false">IF($C1175="","",$D1175*IFERROR(INDEX('تحليل التكلفة والسعر'!$C$2:$C$700,MATCH($C1175,'تحليل التكلفة والسعر'!$B$2:$B$700,0)),0))</f>
        <v/>
      </c>
    </row>
    <row r="1176" customFormat="false" ht="15" hidden="false" customHeight="false" outlineLevel="0" collapsed="false">
      <c r="A1176" s="102"/>
      <c r="E1176" s="103" t="str">
        <f aca="false">IF($C1176="","",IFERROR(INDEX(المنيو!$C$2:$C$500,MATCH($C1176,المنيو!$B$2:$B$500,0)),0))</f>
        <v/>
      </c>
      <c r="F1176" s="103" t="str">
        <f aca="false">IF($C1176="","",$D1176*$E1176)</f>
        <v/>
      </c>
      <c r="G1176" s="103" t="str">
        <f aca="false">IF($C1176="","",$D1176*IFERROR(INDEX('تحليل التكلفة والسعر'!$C$2:$C$700,MATCH($C1176,'تحليل التكلفة والسعر'!$B$2:$B$700,0)),0))</f>
        <v/>
      </c>
    </row>
    <row r="1177" customFormat="false" ht="15" hidden="false" customHeight="false" outlineLevel="0" collapsed="false">
      <c r="A1177" s="102"/>
      <c r="E1177" s="103" t="str">
        <f aca="false">IF($C1177="","",IFERROR(INDEX(المنيو!$C$2:$C$500,MATCH($C1177,المنيو!$B$2:$B$500,0)),0))</f>
        <v/>
      </c>
      <c r="F1177" s="103" t="str">
        <f aca="false">IF($C1177="","",$D1177*$E1177)</f>
        <v/>
      </c>
      <c r="G1177" s="103" t="str">
        <f aca="false">IF($C1177="","",$D1177*IFERROR(INDEX('تحليل التكلفة والسعر'!$C$2:$C$700,MATCH($C1177,'تحليل التكلفة والسعر'!$B$2:$B$700,0)),0))</f>
        <v/>
      </c>
    </row>
    <row r="1178" customFormat="false" ht="15" hidden="false" customHeight="false" outlineLevel="0" collapsed="false">
      <c r="A1178" s="102"/>
      <c r="E1178" s="103" t="str">
        <f aca="false">IF($C1178="","",IFERROR(INDEX(المنيو!$C$2:$C$500,MATCH($C1178,المنيو!$B$2:$B$500,0)),0))</f>
        <v/>
      </c>
      <c r="F1178" s="103" t="str">
        <f aca="false">IF($C1178="","",$D1178*$E1178)</f>
        <v/>
      </c>
      <c r="G1178" s="103" t="str">
        <f aca="false">IF($C1178="","",$D1178*IFERROR(INDEX('تحليل التكلفة والسعر'!$C$2:$C$700,MATCH($C1178,'تحليل التكلفة والسعر'!$B$2:$B$700,0)),0))</f>
        <v/>
      </c>
    </row>
    <row r="1179" customFormat="false" ht="15" hidden="false" customHeight="false" outlineLevel="0" collapsed="false">
      <c r="A1179" s="102"/>
      <c r="E1179" s="103" t="str">
        <f aca="false">IF($C1179="","",IFERROR(INDEX(المنيو!$C$2:$C$500,MATCH($C1179,المنيو!$B$2:$B$500,0)),0))</f>
        <v/>
      </c>
      <c r="F1179" s="103" t="str">
        <f aca="false">IF($C1179="","",$D1179*$E1179)</f>
        <v/>
      </c>
      <c r="G1179" s="103" t="str">
        <f aca="false">IF($C1179="","",$D1179*IFERROR(INDEX('تحليل التكلفة والسعر'!$C$2:$C$700,MATCH($C1179,'تحليل التكلفة والسعر'!$B$2:$B$700,0)),0))</f>
        <v/>
      </c>
    </row>
    <row r="1180" customFormat="false" ht="15" hidden="false" customHeight="false" outlineLevel="0" collapsed="false">
      <c r="A1180" s="102"/>
      <c r="E1180" s="103" t="str">
        <f aca="false">IF($C1180="","",IFERROR(INDEX(المنيو!$C$2:$C$500,MATCH($C1180,المنيو!$B$2:$B$500,0)),0))</f>
        <v/>
      </c>
      <c r="F1180" s="103" t="str">
        <f aca="false">IF($C1180="","",$D1180*$E1180)</f>
        <v/>
      </c>
      <c r="G1180" s="103" t="str">
        <f aca="false">IF($C1180="","",$D1180*IFERROR(INDEX('تحليل التكلفة والسعر'!$C$2:$C$700,MATCH($C1180,'تحليل التكلفة والسعر'!$B$2:$B$700,0)),0))</f>
        <v/>
      </c>
    </row>
    <row r="1181" customFormat="false" ht="15" hidden="false" customHeight="false" outlineLevel="0" collapsed="false">
      <c r="A1181" s="102"/>
      <c r="E1181" s="103" t="str">
        <f aca="false">IF($C1181="","",IFERROR(INDEX(المنيو!$C$2:$C$500,MATCH($C1181,المنيو!$B$2:$B$500,0)),0))</f>
        <v/>
      </c>
      <c r="F1181" s="103" t="str">
        <f aca="false">IF($C1181="","",$D1181*$E1181)</f>
        <v/>
      </c>
      <c r="G1181" s="103" t="str">
        <f aca="false">IF($C1181="","",$D1181*IFERROR(INDEX('تحليل التكلفة والسعر'!$C$2:$C$700,MATCH($C1181,'تحليل التكلفة والسعر'!$B$2:$B$700,0)),0))</f>
        <v/>
      </c>
    </row>
    <row r="1182" customFormat="false" ht="15" hidden="false" customHeight="false" outlineLevel="0" collapsed="false">
      <c r="A1182" s="102"/>
      <c r="E1182" s="103" t="str">
        <f aca="false">IF($C1182="","",IFERROR(INDEX(المنيو!$C$2:$C$500,MATCH($C1182,المنيو!$B$2:$B$500,0)),0))</f>
        <v/>
      </c>
      <c r="F1182" s="103" t="str">
        <f aca="false">IF($C1182="","",$D1182*$E1182)</f>
        <v/>
      </c>
      <c r="G1182" s="103" t="str">
        <f aca="false">IF($C1182="","",$D1182*IFERROR(INDEX('تحليل التكلفة والسعر'!$C$2:$C$700,MATCH($C1182,'تحليل التكلفة والسعر'!$B$2:$B$700,0)),0))</f>
        <v/>
      </c>
    </row>
    <row r="1183" customFormat="false" ht="15" hidden="false" customHeight="false" outlineLevel="0" collapsed="false">
      <c r="A1183" s="102"/>
      <c r="E1183" s="103" t="str">
        <f aca="false">IF($C1183="","",IFERROR(INDEX(المنيو!$C$2:$C$500,MATCH($C1183,المنيو!$B$2:$B$500,0)),0))</f>
        <v/>
      </c>
      <c r="F1183" s="103" t="str">
        <f aca="false">IF($C1183="","",$D1183*$E1183)</f>
        <v/>
      </c>
      <c r="G1183" s="103" t="str">
        <f aca="false">IF($C1183="","",$D1183*IFERROR(INDEX('تحليل التكلفة والسعر'!$C$2:$C$700,MATCH($C1183,'تحليل التكلفة والسعر'!$B$2:$B$700,0)),0))</f>
        <v/>
      </c>
    </row>
    <row r="1184" customFormat="false" ht="15" hidden="false" customHeight="false" outlineLevel="0" collapsed="false">
      <c r="A1184" s="102"/>
      <c r="E1184" s="103" t="str">
        <f aca="false">IF($C1184="","",IFERROR(INDEX(المنيو!$C$2:$C$500,MATCH($C1184,المنيو!$B$2:$B$500,0)),0))</f>
        <v/>
      </c>
      <c r="F1184" s="103" t="str">
        <f aca="false">IF($C1184="","",$D1184*$E1184)</f>
        <v/>
      </c>
      <c r="G1184" s="103" t="str">
        <f aca="false">IF($C1184="","",$D1184*IFERROR(INDEX('تحليل التكلفة والسعر'!$C$2:$C$700,MATCH($C1184,'تحليل التكلفة والسعر'!$B$2:$B$700,0)),0))</f>
        <v/>
      </c>
    </row>
    <row r="1185" customFormat="false" ht="15" hidden="false" customHeight="false" outlineLevel="0" collapsed="false">
      <c r="A1185" s="102"/>
      <c r="E1185" s="103" t="str">
        <f aca="false">IF($C1185="","",IFERROR(INDEX(المنيو!$C$2:$C$500,MATCH($C1185,المنيو!$B$2:$B$500,0)),0))</f>
        <v/>
      </c>
      <c r="F1185" s="103" t="str">
        <f aca="false">IF($C1185="","",$D1185*$E1185)</f>
        <v/>
      </c>
      <c r="G1185" s="103" t="str">
        <f aca="false">IF($C1185="","",$D1185*IFERROR(INDEX('تحليل التكلفة والسعر'!$C$2:$C$700,MATCH($C1185,'تحليل التكلفة والسعر'!$B$2:$B$700,0)),0))</f>
        <v/>
      </c>
    </row>
    <row r="1186" customFormat="false" ht="15" hidden="false" customHeight="false" outlineLevel="0" collapsed="false">
      <c r="A1186" s="102"/>
      <c r="E1186" s="103" t="str">
        <f aca="false">IF($C1186="","",IFERROR(INDEX(المنيو!$C$2:$C$500,MATCH($C1186,المنيو!$B$2:$B$500,0)),0))</f>
        <v/>
      </c>
      <c r="F1186" s="103" t="str">
        <f aca="false">IF($C1186="","",$D1186*$E1186)</f>
        <v/>
      </c>
      <c r="G1186" s="103" t="str">
        <f aca="false">IF($C1186="","",$D1186*IFERROR(INDEX('تحليل التكلفة والسعر'!$C$2:$C$700,MATCH($C1186,'تحليل التكلفة والسعر'!$B$2:$B$700,0)),0))</f>
        <v/>
      </c>
    </row>
    <row r="1187" customFormat="false" ht="15" hidden="false" customHeight="false" outlineLevel="0" collapsed="false">
      <c r="A1187" s="102"/>
      <c r="E1187" s="103" t="str">
        <f aca="false">IF($C1187="","",IFERROR(INDEX(المنيو!$C$2:$C$500,MATCH($C1187,المنيو!$B$2:$B$500,0)),0))</f>
        <v/>
      </c>
      <c r="F1187" s="103" t="str">
        <f aca="false">IF($C1187="","",$D1187*$E1187)</f>
        <v/>
      </c>
      <c r="G1187" s="103" t="str">
        <f aca="false">IF($C1187="","",$D1187*IFERROR(INDEX('تحليل التكلفة والسعر'!$C$2:$C$700,MATCH($C1187,'تحليل التكلفة والسعر'!$B$2:$B$700,0)),0))</f>
        <v/>
      </c>
    </row>
    <row r="1188" customFormat="false" ht="15" hidden="false" customHeight="false" outlineLevel="0" collapsed="false">
      <c r="A1188" s="102"/>
      <c r="E1188" s="103" t="str">
        <f aca="false">IF($C1188="","",IFERROR(INDEX(المنيو!$C$2:$C$500,MATCH($C1188,المنيو!$B$2:$B$500,0)),0))</f>
        <v/>
      </c>
      <c r="F1188" s="103" t="str">
        <f aca="false">IF($C1188="","",$D1188*$E1188)</f>
        <v/>
      </c>
      <c r="G1188" s="103" t="str">
        <f aca="false">IF($C1188="","",$D1188*IFERROR(INDEX('تحليل التكلفة والسعر'!$C$2:$C$700,MATCH($C1188,'تحليل التكلفة والسعر'!$B$2:$B$700,0)),0))</f>
        <v/>
      </c>
    </row>
    <row r="1189" customFormat="false" ht="15" hidden="false" customHeight="false" outlineLevel="0" collapsed="false">
      <c r="A1189" s="102"/>
      <c r="E1189" s="103" t="str">
        <f aca="false">IF($C1189="","",IFERROR(INDEX(المنيو!$C$2:$C$500,MATCH($C1189,المنيو!$B$2:$B$500,0)),0))</f>
        <v/>
      </c>
      <c r="F1189" s="103" t="str">
        <f aca="false">IF($C1189="","",$D1189*$E1189)</f>
        <v/>
      </c>
      <c r="G1189" s="103" t="str">
        <f aca="false">IF($C1189="","",$D1189*IFERROR(INDEX('تحليل التكلفة والسعر'!$C$2:$C$700,MATCH($C1189,'تحليل التكلفة والسعر'!$B$2:$B$700,0)),0))</f>
        <v/>
      </c>
    </row>
    <row r="1190" customFormat="false" ht="15" hidden="false" customHeight="false" outlineLevel="0" collapsed="false">
      <c r="A1190" s="102"/>
      <c r="E1190" s="103" t="str">
        <f aca="false">IF($C1190="","",IFERROR(INDEX(المنيو!$C$2:$C$500,MATCH($C1190,المنيو!$B$2:$B$500,0)),0))</f>
        <v/>
      </c>
      <c r="F1190" s="103" t="str">
        <f aca="false">IF($C1190="","",$D1190*$E1190)</f>
        <v/>
      </c>
      <c r="G1190" s="103" t="str">
        <f aca="false">IF($C1190="","",$D1190*IFERROR(INDEX('تحليل التكلفة والسعر'!$C$2:$C$700,MATCH($C1190,'تحليل التكلفة والسعر'!$B$2:$B$700,0)),0))</f>
        <v/>
      </c>
    </row>
    <row r="1191" customFormat="false" ht="15" hidden="false" customHeight="false" outlineLevel="0" collapsed="false">
      <c r="A1191" s="102"/>
      <c r="E1191" s="103" t="str">
        <f aca="false">IF($C1191="","",IFERROR(INDEX(المنيو!$C$2:$C$500,MATCH($C1191,المنيو!$B$2:$B$500,0)),0))</f>
        <v/>
      </c>
      <c r="F1191" s="103" t="str">
        <f aca="false">IF($C1191="","",$D1191*$E1191)</f>
        <v/>
      </c>
      <c r="G1191" s="103" t="str">
        <f aca="false">IF($C1191="","",$D1191*IFERROR(INDEX('تحليل التكلفة والسعر'!$C$2:$C$700,MATCH($C1191,'تحليل التكلفة والسعر'!$B$2:$B$700,0)),0))</f>
        <v/>
      </c>
    </row>
    <row r="1192" customFormat="false" ht="15" hidden="false" customHeight="false" outlineLevel="0" collapsed="false">
      <c r="A1192" s="102"/>
      <c r="E1192" s="103" t="str">
        <f aca="false">IF($C1192="","",IFERROR(INDEX(المنيو!$C$2:$C$500,MATCH($C1192,المنيو!$B$2:$B$500,0)),0))</f>
        <v/>
      </c>
      <c r="F1192" s="103" t="str">
        <f aca="false">IF($C1192="","",$D1192*$E1192)</f>
        <v/>
      </c>
      <c r="G1192" s="103" t="str">
        <f aca="false">IF($C1192="","",$D1192*IFERROR(INDEX('تحليل التكلفة والسعر'!$C$2:$C$700,MATCH($C1192,'تحليل التكلفة والسعر'!$B$2:$B$700,0)),0))</f>
        <v/>
      </c>
    </row>
    <row r="1193" customFormat="false" ht="15" hidden="false" customHeight="false" outlineLevel="0" collapsed="false">
      <c r="A1193" s="102"/>
      <c r="E1193" s="103" t="str">
        <f aca="false">IF($C1193="","",IFERROR(INDEX(المنيو!$C$2:$C$500,MATCH($C1193,المنيو!$B$2:$B$500,0)),0))</f>
        <v/>
      </c>
      <c r="F1193" s="103" t="str">
        <f aca="false">IF($C1193="","",$D1193*$E1193)</f>
        <v/>
      </c>
      <c r="G1193" s="103" t="str">
        <f aca="false">IF($C1193="","",$D1193*IFERROR(INDEX('تحليل التكلفة والسعر'!$C$2:$C$700,MATCH($C1193,'تحليل التكلفة والسعر'!$B$2:$B$700,0)),0))</f>
        <v/>
      </c>
    </row>
    <row r="1194" customFormat="false" ht="15" hidden="false" customHeight="false" outlineLevel="0" collapsed="false">
      <c r="A1194" s="102"/>
      <c r="E1194" s="103" t="str">
        <f aca="false">IF($C1194="","",IFERROR(INDEX(المنيو!$C$2:$C$500,MATCH($C1194,المنيو!$B$2:$B$500,0)),0))</f>
        <v/>
      </c>
      <c r="F1194" s="103" t="str">
        <f aca="false">IF($C1194="","",$D1194*$E1194)</f>
        <v/>
      </c>
      <c r="G1194" s="103" t="str">
        <f aca="false">IF($C1194="","",$D1194*IFERROR(INDEX('تحليل التكلفة والسعر'!$C$2:$C$700,MATCH($C1194,'تحليل التكلفة والسعر'!$B$2:$B$700,0)),0))</f>
        <v/>
      </c>
    </row>
    <row r="1195" customFormat="false" ht="15" hidden="false" customHeight="false" outlineLevel="0" collapsed="false">
      <c r="A1195" s="102"/>
      <c r="E1195" s="103" t="str">
        <f aca="false">IF($C1195="","",IFERROR(INDEX(المنيو!$C$2:$C$500,MATCH($C1195,المنيو!$B$2:$B$500,0)),0))</f>
        <v/>
      </c>
      <c r="F1195" s="103" t="str">
        <f aca="false">IF($C1195="","",$D1195*$E1195)</f>
        <v/>
      </c>
      <c r="G1195" s="103" t="str">
        <f aca="false">IF($C1195="","",$D1195*IFERROR(INDEX('تحليل التكلفة والسعر'!$C$2:$C$700,MATCH($C1195,'تحليل التكلفة والسعر'!$B$2:$B$700,0)),0))</f>
        <v/>
      </c>
    </row>
    <row r="1196" customFormat="false" ht="15" hidden="false" customHeight="false" outlineLevel="0" collapsed="false">
      <c r="A1196" s="102"/>
      <c r="E1196" s="103" t="str">
        <f aca="false">IF($C1196="","",IFERROR(INDEX(المنيو!$C$2:$C$500,MATCH($C1196,المنيو!$B$2:$B$500,0)),0))</f>
        <v/>
      </c>
      <c r="F1196" s="103" t="str">
        <f aca="false">IF($C1196="","",$D1196*$E1196)</f>
        <v/>
      </c>
      <c r="G1196" s="103" t="str">
        <f aca="false">IF($C1196="","",$D1196*IFERROR(INDEX('تحليل التكلفة والسعر'!$C$2:$C$700,MATCH($C1196,'تحليل التكلفة والسعر'!$B$2:$B$700,0)),0))</f>
        <v/>
      </c>
    </row>
    <row r="1197" customFormat="false" ht="15" hidden="false" customHeight="false" outlineLevel="0" collapsed="false">
      <c r="A1197" s="102"/>
      <c r="E1197" s="103" t="str">
        <f aca="false">IF($C1197="","",IFERROR(INDEX(المنيو!$C$2:$C$500,MATCH($C1197,المنيو!$B$2:$B$500,0)),0))</f>
        <v/>
      </c>
      <c r="F1197" s="103" t="str">
        <f aca="false">IF($C1197="","",$D1197*$E1197)</f>
        <v/>
      </c>
      <c r="G1197" s="103" t="str">
        <f aca="false">IF($C1197="","",$D1197*IFERROR(INDEX('تحليل التكلفة والسعر'!$C$2:$C$700,MATCH($C1197,'تحليل التكلفة والسعر'!$B$2:$B$700,0)),0))</f>
        <v/>
      </c>
    </row>
    <row r="1198" customFormat="false" ht="15" hidden="false" customHeight="false" outlineLevel="0" collapsed="false">
      <c r="A1198" s="102"/>
      <c r="E1198" s="103" t="str">
        <f aca="false">IF($C1198="","",IFERROR(INDEX(المنيو!$C$2:$C$500,MATCH($C1198,المنيو!$B$2:$B$500,0)),0))</f>
        <v/>
      </c>
      <c r="F1198" s="103" t="str">
        <f aca="false">IF($C1198="","",$D1198*$E1198)</f>
        <v/>
      </c>
      <c r="G1198" s="103" t="str">
        <f aca="false">IF($C1198="","",$D1198*IFERROR(INDEX('تحليل التكلفة والسعر'!$C$2:$C$700,MATCH($C1198,'تحليل التكلفة والسعر'!$B$2:$B$700,0)),0))</f>
        <v/>
      </c>
    </row>
    <row r="1199" customFormat="false" ht="15" hidden="false" customHeight="false" outlineLevel="0" collapsed="false">
      <c r="A1199" s="102"/>
      <c r="E1199" s="103" t="str">
        <f aca="false">IF($C1199="","",IFERROR(INDEX(المنيو!$C$2:$C$500,MATCH($C1199,المنيو!$B$2:$B$500,0)),0))</f>
        <v/>
      </c>
      <c r="F1199" s="103" t="str">
        <f aca="false">IF($C1199="","",$D1199*$E1199)</f>
        <v/>
      </c>
      <c r="G1199" s="103" t="str">
        <f aca="false">IF($C1199="","",$D1199*IFERROR(INDEX('تحليل التكلفة والسعر'!$C$2:$C$700,MATCH($C1199,'تحليل التكلفة والسعر'!$B$2:$B$700,0)),0))</f>
        <v/>
      </c>
    </row>
    <row r="1200" customFormat="false" ht="15" hidden="false" customHeight="false" outlineLevel="0" collapsed="false">
      <c r="A1200" s="102"/>
      <c r="E1200" s="103" t="str">
        <f aca="false">IF($C1200="","",IFERROR(INDEX(المنيو!$C$2:$C$500,MATCH($C1200,المنيو!$B$2:$B$500,0)),0))</f>
        <v/>
      </c>
      <c r="F1200" s="103" t="str">
        <f aca="false">IF($C1200="","",$D1200*$E1200)</f>
        <v/>
      </c>
      <c r="G1200" s="103" t="str">
        <f aca="false">IF($C1200="","",$D1200*IFERROR(INDEX('تحليل التكلفة والسعر'!$C$2:$C$700,MATCH($C1200,'تحليل التكلفة والسعر'!$B$2:$B$700,0)),0))</f>
        <v/>
      </c>
    </row>
    <row r="1201" customFormat="false" ht="15" hidden="false" customHeight="false" outlineLevel="0" collapsed="false">
      <c r="A1201" s="102"/>
      <c r="E1201" s="103" t="str">
        <f aca="false">IF($C1201="","",IFERROR(INDEX(المنيو!$C$2:$C$500,MATCH($C1201,المنيو!$B$2:$B$500,0)),0))</f>
        <v/>
      </c>
      <c r="F1201" s="103" t="str">
        <f aca="false">IF($C1201="","",$D1201*$E1201)</f>
        <v/>
      </c>
      <c r="G1201" s="103" t="str">
        <f aca="false">IF($C1201="","",$D1201*IFERROR(INDEX('تحليل التكلفة والسعر'!$C$2:$C$700,MATCH($C1201,'تحليل التكلفة والسعر'!$B$2:$B$700,0)),0))</f>
        <v/>
      </c>
    </row>
    <row r="1202" customFormat="false" ht="15" hidden="false" customHeight="false" outlineLevel="0" collapsed="false">
      <c r="A1202" s="102"/>
      <c r="E1202" s="103" t="str">
        <f aca="false">IF($C1202="","",IFERROR(INDEX(المنيو!$C$2:$C$500,MATCH($C1202,المنيو!$B$2:$B$500,0)),0))</f>
        <v/>
      </c>
      <c r="F1202" s="103" t="str">
        <f aca="false">IF($C1202="","",$D1202*$E1202)</f>
        <v/>
      </c>
      <c r="G1202" s="103" t="str">
        <f aca="false">IF($C1202="","",$D1202*IFERROR(INDEX('تحليل التكلفة والسعر'!$C$2:$C$700,MATCH($C1202,'تحليل التكلفة والسعر'!$B$2:$B$700,0)),0))</f>
        <v/>
      </c>
    </row>
    <row r="1203" customFormat="false" ht="15" hidden="false" customHeight="false" outlineLevel="0" collapsed="false">
      <c r="A1203" s="102"/>
      <c r="E1203" s="103" t="str">
        <f aca="false">IF($C1203="","",IFERROR(INDEX(المنيو!$C$2:$C$500,MATCH($C1203,المنيو!$B$2:$B$500,0)),0))</f>
        <v/>
      </c>
      <c r="F1203" s="103" t="str">
        <f aca="false">IF($C1203="","",$D1203*$E1203)</f>
        <v/>
      </c>
      <c r="G1203" s="103" t="str">
        <f aca="false">IF($C1203="","",$D1203*IFERROR(INDEX('تحليل التكلفة والسعر'!$C$2:$C$700,MATCH($C1203,'تحليل التكلفة والسعر'!$B$2:$B$700,0)),0))</f>
        <v/>
      </c>
    </row>
    <row r="1204" customFormat="false" ht="15" hidden="false" customHeight="false" outlineLevel="0" collapsed="false">
      <c r="A1204" s="102"/>
      <c r="E1204" s="103" t="str">
        <f aca="false">IF($C1204="","",IFERROR(INDEX(المنيو!$C$2:$C$500,MATCH($C1204,المنيو!$B$2:$B$500,0)),0))</f>
        <v/>
      </c>
      <c r="F1204" s="103" t="str">
        <f aca="false">IF($C1204="","",$D1204*$E1204)</f>
        <v/>
      </c>
      <c r="G1204" s="103" t="str">
        <f aca="false">IF($C1204="","",$D1204*IFERROR(INDEX('تحليل التكلفة والسعر'!$C$2:$C$700,MATCH($C1204,'تحليل التكلفة والسعر'!$B$2:$B$700,0)),0))</f>
        <v/>
      </c>
    </row>
    <row r="1205" customFormat="false" ht="15" hidden="false" customHeight="false" outlineLevel="0" collapsed="false">
      <c r="A1205" s="102"/>
      <c r="E1205" s="103" t="str">
        <f aca="false">IF($C1205="","",IFERROR(INDEX(المنيو!$C$2:$C$500,MATCH($C1205,المنيو!$B$2:$B$500,0)),0))</f>
        <v/>
      </c>
      <c r="F1205" s="103" t="str">
        <f aca="false">IF($C1205="","",$D1205*$E1205)</f>
        <v/>
      </c>
      <c r="G1205" s="103" t="str">
        <f aca="false">IF($C1205="","",$D1205*IFERROR(INDEX('تحليل التكلفة والسعر'!$C$2:$C$700,MATCH($C1205,'تحليل التكلفة والسعر'!$B$2:$B$700,0)),0))</f>
        <v/>
      </c>
    </row>
    <row r="1206" customFormat="false" ht="15" hidden="false" customHeight="false" outlineLevel="0" collapsed="false">
      <c r="A1206" s="102"/>
      <c r="E1206" s="103" t="str">
        <f aca="false">IF($C1206="","",IFERROR(INDEX(المنيو!$C$2:$C$500,MATCH($C1206,المنيو!$B$2:$B$500,0)),0))</f>
        <v/>
      </c>
      <c r="F1206" s="103" t="str">
        <f aca="false">IF($C1206="","",$D1206*$E1206)</f>
        <v/>
      </c>
      <c r="G1206" s="103" t="str">
        <f aca="false">IF($C1206="","",$D1206*IFERROR(INDEX('تحليل التكلفة والسعر'!$C$2:$C$700,MATCH($C1206,'تحليل التكلفة والسعر'!$B$2:$B$700,0)),0))</f>
        <v/>
      </c>
    </row>
    <row r="1207" customFormat="false" ht="15" hidden="false" customHeight="false" outlineLevel="0" collapsed="false">
      <c r="A1207" s="102"/>
      <c r="E1207" s="103" t="str">
        <f aca="false">IF($C1207="","",IFERROR(INDEX(المنيو!$C$2:$C$500,MATCH($C1207,المنيو!$B$2:$B$500,0)),0))</f>
        <v/>
      </c>
      <c r="F1207" s="103" t="str">
        <f aca="false">IF($C1207="","",$D1207*$E1207)</f>
        <v/>
      </c>
      <c r="G1207" s="103" t="str">
        <f aca="false">IF($C1207="","",$D1207*IFERROR(INDEX('تحليل التكلفة والسعر'!$C$2:$C$700,MATCH($C1207,'تحليل التكلفة والسعر'!$B$2:$B$700,0)),0))</f>
        <v/>
      </c>
    </row>
    <row r="1208" customFormat="false" ht="15" hidden="false" customHeight="false" outlineLevel="0" collapsed="false">
      <c r="A1208" s="102"/>
      <c r="E1208" s="103" t="str">
        <f aca="false">IF($C1208="","",IFERROR(INDEX(المنيو!$C$2:$C$500,MATCH($C1208,المنيو!$B$2:$B$500,0)),0))</f>
        <v/>
      </c>
      <c r="F1208" s="103" t="str">
        <f aca="false">IF($C1208="","",$D1208*$E1208)</f>
        <v/>
      </c>
      <c r="G1208" s="103" t="str">
        <f aca="false">IF($C1208="","",$D1208*IFERROR(INDEX('تحليل التكلفة والسعر'!$C$2:$C$700,MATCH($C1208,'تحليل التكلفة والسعر'!$B$2:$B$700,0)),0))</f>
        <v/>
      </c>
    </row>
    <row r="1209" customFormat="false" ht="15" hidden="false" customHeight="false" outlineLevel="0" collapsed="false">
      <c r="A1209" s="102"/>
      <c r="E1209" s="103" t="str">
        <f aca="false">IF($C1209="","",IFERROR(INDEX(المنيو!$C$2:$C$500,MATCH($C1209,المنيو!$B$2:$B$500,0)),0))</f>
        <v/>
      </c>
      <c r="F1209" s="103" t="str">
        <f aca="false">IF($C1209="","",$D1209*$E1209)</f>
        <v/>
      </c>
      <c r="G1209" s="103" t="str">
        <f aca="false">IF($C1209="","",$D1209*IFERROR(INDEX('تحليل التكلفة والسعر'!$C$2:$C$700,MATCH($C1209,'تحليل التكلفة والسعر'!$B$2:$B$700,0)),0))</f>
        <v/>
      </c>
    </row>
    <row r="1210" customFormat="false" ht="15" hidden="false" customHeight="false" outlineLevel="0" collapsed="false">
      <c r="A1210" s="102"/>
      <c r="E1210" s="103" t="str">
        <f aca="false">IF($C1210="","",IFERROR(INDEX(المنيو!$C$2:$C$500,MATCH($C1210,المنيو!$B$2:$B$500,0)),0))</f>
        <v/>
      </c>
      <c r="F1210" s="103" t="str">
        <f aca="false">IF($C1210="","",$D1210*$E1210)</f>
        <v/>
      </c>
      <c r="G1210" s="103" t="str">
        <f aca="false">IF($C1210="","",$D1210*IFERROR(INDEX('تحليل التكلفة والسعر'!$C$2:$C$700,MATCH($C1210,'تحليل التكلفة والسعر'!$B$2:$B$700,0)),0))</f>
        <v/>
      </c>
    </row>
    <row r="1211" customFormat="false" ht="15" hidden="false" customHeight="false" outlineLevel="0" collapsed="false">
      <c r="A1211" s="102"/>
      <c r="E1211" s="103" t="str">
        <f aca="false">IF($C1211="","",IFERROR(INDEX(المنيو!$C$2:$C$500,MATCH($C1211,المنيو!$B$2:$B$500,0)),0))</f>
        <v/>
      </c>
      <c r="F1211" s="103" t="str">
        <f aca="false">IF($C1211="","",$D1211*$E1211)</f>
        <v/>
      </c>
      <c r="G1211" s="103" t="str">
        <f aca="false">IF($C1211="","",$D1211*IFERROR(INDEX('تحليل التكلفة والسعر'!$C$2:$C$700,MATCH($C1211,'تحليل التكلفة والسعر'!$B$2:$B$700,0)),0))</f>
        <v/>
      </c>
    </row>
    <row r="1212" customFormat="false" ht="15" hidden="false" customHeight="false" outlineLevel="0" collapsed="false">
      <c r="A1212" s="102"/>
      <c r="E1212" s="103" t="str">
        <f aca="false">IF($C1212="","",IFERROR(INDEX(المنيو!$C$2:$C$500,MATCH($C1212,المنيو!$B$2:$B$500,0)),0))</f>
        <v/>
      </c>
      <c r="F1212" s="103" t="str">
        <f aca="false">IF($C1212="","",$D1212*$E1212)</f>
        <v/>
      </c>
      <c r="G1212" s="103" t="str">
        <f aca="false">IF($C1212="","",$D1212*IFERROR(INDEX('تحليل التكلفة والسعر'!$C$2:$C$700,MATCH($C1212,'تحليل التكلفة والسعر'!$B$2:$B$700,0)),0))</f>
        <v/>
      </c>
    </row>
    <row r="1213" customFormat="false" ht="15" hidden="false" customHeight="false" outlineLevel="0" collapsed="false">
      <c r="A1213" s="102"/>
      <c r="E1213" s="103" t="str">
        <f aca="false">IF($C1213="","",IFERROR(INDEX(المنيو!$C$2:$C$500,MATCH($C1213,المنيو!$B$2:$B$500,0)),0))</f>
        <v/>
      </c>
      <c r="F1213" s="103" t="str">
        <f aca="false">IF($C1213="","",$D1213*$E1213)</f>
        <v/>
      </c>
      <c r="G1213" s="103" t="str">
        <f aca="false">IF($C1213="","",$D1213*IFERROR(INDEX('تحليل التكلفة والسعر'!$C$2:$C$700,MATCH($C1213,'تحليل التكلفة والسعر'!$B$2:$B$700,0)),0))</f>
        <v/>
      </c>
    </row>
    <row r="1214" customFormat="false" ht="15" hidden="false" customHeight="false" outlineLevel="0" collapsed="false">
      <c r="A1214" s="102"/>
      <c r="E1214" s="103" t="str">
        <f aca="false">IF($C1214="","",IFERROR(INDEX(المنيو!$C$2:$C$500,MATCH($C1214,المنيو!$B$2:$B$500,0)),0))</f>
        <v/>
      </c>
      <c r="F1214" s="103" t="str">
        <f aca="false">IF($C1214="","",$D1214*$E1214)</f>
        <v/>
      </c>
      <c r="G1214" s="103" t="str">
        <f aca="false">IF($C1214="","",$D1214*IFERROR(INDEX('تحليل التكلفة والسعر'!$C$2:$C$700,MATCH($C1214,'تحليل التكلفة والسعر'!$B$2:$B$700,0)),0))</f>
        <v/>
      </c>
    </row>
    <row r="1215" customFormat="false" ht="15" hidden="false" customHeight="false" outlineLevel="0" collapsed="false">
      <c r="A1215" s="102"/>
      <c r="E1215" s="103" t="str">
        <f aca="false">IF($C1215="","",IFERROR(INDEX(المنيو!$C$2:$C$500,MATCH($C1215,المنيو!$B$2:$B$500,0)),0))</f>
        <v/>
      </c>
      <c r="F1215" s="103" t="str">
        <f aca="false">IF($C1215="","",$D1215*$E1215)</f>
        <v/>
      </c>
      <c r="G1215" s="103" t="str">
        <f aca="false">IF($C1215="","",$D1215*IFERROR(INDEX('تحليل التكلفة والسعر'!$C$2:$C$700,MATCH($C1215,'تحليل التكلفة والسعر'!$B$2:$B$700,0)),0))</f>
        <v/>
      </c>
    </row>
    <row r="1216" customFormat="false" ht="15" hidden="false" customHeight="false" outlineLevel="0" collapsed="false">
      <c r="A1216" s="102"/>
      <c r="E1216" s="103" t="str">
        <f aca="false">IF($C1216="","",IFERROR(INDEX(المنيو!$C$2:$C$500,MATCH($C1216,المنيو!$B$2:$B$500,0)),0))</f>
        <v/>
      </c>
      <c r="F1216" s="103" t="str">
        <f aca="false">IF($C1216="","",$D1216*$E1216)</f>
        <v/>
      </c>
      <c r="G1216" s="103" t="str">
        <f aca="false">IF($C1216="","",$D1216*IFERROR(INDEX('تحليل التكلفة والسعر'!$C$2:$C$700,MATCH($C1216,'تحليل التكلفة والسعر'!$B$2:$B$700,0)),0))</f>
        <v/>
      </c>
    </row>
    <row r="1217" customFormat="false" ht="15" hidden="false" customHeight="false" outlineLevel="0" collapsed="false">
      <c r="A1217" s="102"/>
      <c r="E1217" s="103" t="str">
        <f aca="false">IF($C1217="","",IFERROR(INDEX(المنيو!$C$2:$C$500,MATCH($C1217,المنيو!$B$2:$B$500,0)),0))</f>
        <v/>
      </c>
      <c r="F1217" s="103" t="str">
        <f aca="false">IF($C1217="","",$D1217*$E1217)</f>
        <v/>
      </c>
      <c r="G1217" s="103" t="str">
        <f aca="false">IF($C1217="","",$D1217*IFERROR(INDEX('تحليل التكلفة والسعر'!$C$2:$C$700,MATCH($C1217,'تحليل التكلفة والسعر'!$B$2:$B$700,0)),0))</f>
        <v/>
      </c>
    </row>
    <row r="1218" customFormat="false" ht="15" hidden="false" customHeight="false" outlineLevel="0" collapsed="false">
      <c r="A1218" s="102"/>
      <c r="E1218" s="103" t="str">
        <f aca="false">IF($C1218="","",IFERROR(INDEX(المنيو!$C$2:$C$500,MATCH($C1218,المنيو!$B$2:$B$500,0)),0))</f>
        <v/>
      </c>
      <c r="F1218" s="103" t="str">
        <f aca="false">IF($C1218="","",$D1218*$E1218)</f>
        <v/>
      </c>
      <c r="G1218" s="103" t="str">
        <f aca="false">IF($C1218="","",$D1218*IFERROR(INDEX('تحليل التكلفة والسعر'!$C$2:$C$700,MATCH($C1218,'تحليل التكلفة والسعر'!$B$2:$B$700,0)),0))</f>
        <v/>
      </c>
    </row>
    <row r="1219" customFormat="false" ht="15" hidden="false" customHeight="false" outlineLevel="0" collapsed="false">
      <c r="A1219" s="102"/>
      <c r="E1219" s="103" t="str">
        <f aca="false">IF($C1219="","",IFERROR(INDEX(المنيو!$C$2:$C$500,MATCH($C1219,المنيو!$B$2:$B$500,0)),0))</f>
        <v/>
      </c>
      <c r="F1219" s="103" t="str">
        <f aca="false">IF($C1219="","",$D1219*$E1219)</f>
        <v/>
      </c>
      <c r="G1219" s="103" t="str">
        <f aca="false">IF($C1219="","",$D1219*IFERROR(INDEX('تحليل التكلفة والسعر'!$C$2:$C$700,MATCH($C1219,'تحليل التكلفة والسعر'!$B$2:$B$700,0)),0))</f>
        <v/>
      </c>
    </row>
    <row r="1220" customFormat="false" ht="15" hidden="false" customHeight="false" outlineLevel="0" collapsed="false">
      <c r="A1220" s="102"/>
      <c r="E1220" s="103" t="str">
        <f aca="false">IF($C1220="","",IFERROR(INDEX(المنيو!$C$2:$C$500,MATCH($C1220,المنيو!$B$2:$B$500,0)),0))</f>
        <v/>
      </c>
      <c r="F1220" s="103" t="str">
        <f aca="false">IF($C1220="","",$D1220*$E1220)</f>
        <v/>
      </c>
      <c r="G1220" s="103" t="str">
        <f aca="false">IF($C1220="","",$D1220*IFERROR(INDEX('تحليل التكلفة والسعر'!$C$2:$C$700,MATCH($C1220,'تحليل التكلفة والسعر'!$B$2:$B$700,0)),0))</f>
        <v/>
      </c>
    </row>
    <row r="1221" customFormat="false" ht="15" hidden="false" customHeight="false" outlineLevel="0" collapsed="false">
      <c r="A1221" s="102"/>
      <c r="E1221" s="103" t="str">
        <f aca="false">IF($C1221="","",IFERROR(INDEX(المنيو!$C$2:$C$500,MATCH($C1221,المنيو!$B$2:$B$500,0)),0))</f>
        <v/>
      </c>
      <c r="F1221" s="103" t="str">
        <f aca="false">IF($C1221="","",$D1221*$E1221)</f>
        <v/>
      </c>
      <c r="G1221" s="103" t="str">
        <f aca="false">IF($C1221="","",$D1221*IFERROR(INDEX('تحليل التكلفة والسعر'!$C$2:$C$700,MATCH($C1221,'تحليل التكلفة والسعر'!$B$2:$B$700,0)),0))</f>
        <v/>
      </c>
    </row>
    <row r="1222" customFormat="false" ht="15" hidden="false" customHeight="false" outlineLevel="0" collapsed="false">
      <c r="A1222" s="102"/>
      <c r="E1222" s="103" t="str">
        <f aca="false">IF($C1222="","",IFERROR(INDEX(المنيو!$C$2:$C$500,MATCH($C1222,المنيو!$B$2:$B$500,0)),0))</f>
        <v/>
      </c>
      <c r="F1222" s="103" t="str">
        <f aca="false">IF($C1222="","",$D1222*$E1222)</f>
        <v/>
      </c>
      <c r="G1222" s="103" t="str">
        <f aca="false">IF($C1222="","",$D1222*IFERROR(INDEX('تحليل التكلفة والسعر'!$C$2:$C$700,MATCH($C1222,'تحليل التكلفة والسعر'!$B$2:$B$700,0)),0))</f>
        <v/>
      </c>
    </row>
    <row r="1223" customFormat="false" ht="15" hidden="false" customHeight="false" outlineLevel="0" collapsed="false">
      <c r="A1223" s="102"/>
      <c r="E1223" s="103" t="str">
        <f aca="false">IF($C1223="","",IFERROR(INDEX(المنيو!$C$2:$C$500,MATCH($C1223,المنيو!$B$2:$B$500,0)),0))</f>
        <v/>
      </c>
      <c r="F1223" s="103" t="str">
        <f aca="false">IF($C1223="","",$D1223*$E1223)</f>
        <v/>
      </c>
      <c r="G1223" s="103" t="str">
        <f aca="false">IF($C1223="","",$D1223*IFERROR(INDEX('تحليل التكلفة والسعر'!$C$2:$C$700,MATCH($C1223,'تحليل التكلفة والسعر'!$B$2:$B$700,0)),0))</f>
        <v/>
      </c>
    </row>
    <row r="1224" customFormat="false" ht="15" hidden="false" customHeight="false" outlineLevel="0" collapsed="false">
      <c r="A1224" s="102"/>
      <c r="E1224" s="103" t="str">
        <f aca="false">IF($C1224="","",IFERROR(INDEX(المنيو!$C$2:$C$500,MATCH($C1224,المنيو!$B$2:$B$500,0)),0))</f>
        <v/>
      </c>
      <c r="F1224" s="103" t="str">
        <f aca="false">IF($C1224="","",$D1224*$E1224)</f>
        <v/>
      </c>
      <c r="G1224" s="103" t="str">
        <f aca="false">IF($C1224="","",$D1224*IFERROR(INDEX('تحليل التكلفة والسعر'!$C$2:$C$700,MATCH($C1224,'تحليل التكلفة والسعر'!$B$2:$B$700,0)),0))</f>
        <v/>
      </c>
    </row>
    <row r="1225" customFormat="false" ht="15" hidden="false" customHeight="false" outlineLevel="0" collapsed="false">
      <c r="A1225" s="102"/>
      <c r="E1225" s="103" t="str">
        <f aca="false">IF($C1225="","",IFERROR(INDEX(المنيو!$C$2:$C$500,MATCH($C1225,المنيو!$B$2:$B$500,0)),0))</f>
        <v/>
      </c>
      <c r="F1225" s="103" t="str">
        <f aca="false">IF($C1225="","",$D1225*$E1225)</f>
        <v/>
      </c>
      <c r="G1225" s="103" t="str">
        <f aca="false">IF($C1225="","",$D1225*IFERROR(INDEX('تحليل التكلفة والسعر'!$C$2:$C$700,MATCH($C1225,'تحليل التكلفة والسعر'!$B$2:$B$700,0)),0))</f>
        <v/>
      </c>
    </row>
    <row r="1226" customFormat="false" ht="15" hidden="false" customHeight="false" outlineLevel="0" collapsed="false">
      <c r="A1226" s="102"/>
      <c r="E1226" s="103" t="str">
        <f aca="false">IF($C1226="","",IFERROR(INDEX(المنيو!$C$2:$C$500,MATCH($C1226,المنيو!$B$2:$B$500,0)),0))</f>
        <v/>
      </c>
      <c r="F1226" s="103" t="str">
        <f aca="false">IF($C1226="","",$D1226*$E1226)</f>
        <v/>
      </c>
      <c r="G1226" s="103" t="str">
        <f aca="false">IF($C1226="","",$D1226*IFERROR(INDEX('تحليل التكلفة والسعر'!$C$2:$C$700,MATCH($C1226,'تحليل التكلفة والسعر'!$B$2:$B$700,0)),0))</f>
        <v/>
      </c>
    </row>
    <row r="1227" customFormat="false" ht="15" hidden="false" customHeight="false" outlineLevel="0" collapsed="false">
      <c r="A1227" s="102"/>
      <c r="E1227" s="103" t="str">
        <f aca="false">IF($C1227="","",IFERROR(INDEX(المنيو!$C$2:$C$500,MATCH($C1227,المنيو!$B$2:$B$500,0)),0))</f>
        <v/>
      </c>
      <c r="F1227" s="103" t="str">
        <f aca="false">IF($C1227="","",$D1227*$E1227)</f>
        <v/>
      </c>
      <c r="G1227" s="103" t="str">
        <f aca="false">IF($C1227="","",$D1227*IFERROR(INDEX('تحليل التكلفة والسعر'!$C$2:$C$700,MATCH($C1227,'تحليل التكلفة والسعر'!$B$2:$B$700,0)),0))</f>
        <v/>
      </c>
    </row>
    <row r="1228" customFormat="false" ht="15" hidden="false" customHeight="false" outlineLevel="0" collapsed="false">
      <c r="A1228" s="102"/>
      <c r="E1228" s="103" t="str">
        <f aca="false">IF($C1228="","",IFERROR(INDEX(المنيو!$C$2:$C$500,MATCH($C1228,المنيو!$B$2:$B$500,0)),0))</f>
        <v/>
      </c>
      <c r="F1228" s="103" t="str">
        <f aca="false">IF($C1228="","",$D1228*$E1228)</f>
        <v/>
      </c>
      <c r="G1228" s="103" t="str">
        <f aca="false">IF($C1228="","",$D1228*IFERROR(INDEX('تحليل التكلفة والسعر'!$C$2:$C$700,MATCH($C1228,'تحليل التكلفة والسعر'!$B$2:$B$700,0)),0))</f>
        <v/>
      </c>
    </row>
    <row r="1229" customFormat="false" ht="15" hidden="false" customHeight="false" outlineLevel="0" collapsed="false">
      <c r="A1229" s="102"/>
      <c r="E1229" s="103" t="str">
        <f aca="false">IF($C1229="","",IFERROR(INDEX(المنيو!$C$2:$C$500,MATCH($C1229,المنيو!$B$2:$B$500,0)),0))</f>
        <v/>
      </c>
      <c r="F1229" s="103" t="str">
        <f aca="false">IF($C1229="","",$D1229*$E1229)</f>
        <v/>
      </c>
      <c r="G1229" s="103" t="str">
        <f aca="false">IF($C1229="","",$D1229*IFERROR(INDEX('تحليل التكلفة والسعر'!$C$2:$C$700,MATCH($C1229,'تحليل التكلفة والسعر'!$B$2:$B$700,0)),0))</f>
        <v/>
      </c>
    </row>
    <row r="1230" customFormat="false" ht="15" hidden="false" customHeight="false" outlineLevel="0" collapsed="false">
      <c r="A1230" s="102"/>
      <c r="E1230" s="103" t="str">
        <f aca="false">IF($C1230="","",IFERROR(INDEX(المنيو!$C$2:$C$500,MATCH($C1230,المنيو!$B$2:$B$500,0)),0))</f>
        <v/>
      </c>
      <c r="F1230" s="103" t="str">
        <f aca="false">IF($C1230="","",$D1230*$E1230)</f>
        <v/>
      </c>
      <c r="G1230" s="103" t="str">
        <f aca="false">IF($C1230="","",$D1230*IFERROR(INDEX('تحليل التكلفة والسعر'!$C$2:$C$700,MATCH($C1230,'تحليل التكلفة والسعر'!$B$2:$B$700,0)),0))</f>
        <v/>
      </c>
    </row>
    <row r="1231" customFormat="false" ht="15" hidden="false" customHeight="false" outlineLevel="0" collapsed="false">
      <c r="A1231" s="102"/>
      <c r="E1231" s="103" t="str">
        <f aca="false">IF($C1231="","",IFERROR(INDEX(المنيو!$C$2:$C$500,MATCH($C1231,المنيو!$B$2:$B$500,0)),0))</f>
        <v/>
      </c>
      <c r="F1231" s="103" t="str">
        <f aca="false">IF($C1231="","",$D1231*$E1231)</f>
        <v/>
      </c>
      <c r="G1231" s="103" t="str">
        <f aca="false">IF($C1231="","",$D1231*IFERROR(INDEX('تحليل التكلفة والسعر'!$C$2:$C$700,MATCH($C1231,'تحليل التكلفة والسعر'!$B$2:$B$700,0)),0))</f>
        <v/>
      </c>
    </row>
    <row r="1232" customFormat="false" ht="15" hidden="false" customHeight="false" outlineLevel="0" collapsed="false">
      <c r="A1232" s="102"/>
      <c r="E1232" s="103" t="str">
        <f aca="false">IF($C1232="","",IFERROR(INDEX(المنيو!$C$2:$C$500,MATCH($C1232,المنيو!$B$2:$B$500,0)),0))</f>
        <v/>
      </c>
      <c r="F1232" s="103" t="str">
        <f aca="false">IF($C1232="","",$D1232*$E1232)</f>
        <v/>
      </c>
      <c r="G1232" s="103" t="str">
        <f aca="false">IF($C1232="","",$D1232*IFERROR(INDEX('تحليل التكلفة والسعر'!$C$2:$C$700,MATCH($C1232,'تحليل التكلفة والسعر'!$B$2:$B$700,0)),0))</f>
        <v/>
      </c>
    </row>
    <row r="1233" customFormat="false" ht="15" hidden="false" customHeight="false" outlineLevel="0" collapsed="false">
      <c r="A1233" s="102"/>
      <c r="E1233" s="103" t="str">
        <f aca="false">IF($C1233="","",IFERROR(INDEX(المنيو!$C$2:$C$500,MATCH($C1233,المنيو!$B$2:$B$500,0)),0))</f>
        <v/>
      </c>
      <c r="F1233" s="103" t="str">
        <f aca="false">IF($C1233="","",$D1233*$E1233)</f>
        <v/>
      </c>
      <c r="G1233" s="103" t="str">
        <f aca="false">IF($C1233="","",$D1233*IFERROR(INDEX('تحليل التكلفة والسعر'!$C$2:$C$700,MATCH($C1233,'تحليل التكلفة والسعر'!$B$2:$B$700,0)),0))</f>
        <v/>
      </c>
    </row>
    <row r="1234" customFormat="false" ht="15" hidden="false" customHeight="false" outlineLevel="0" collapsed="false">
      <c r="A1234" s="102"/>
      <c r="E1234" s="103" t="str">
        <f aca="false">IF($C1234="","",IFERROR(INDEX(المنيو!$C$2:$C$500,MATCH($C1234,المنيو!$B$2:$B$500,0)),0))</f>
        <v/>
      </c>
      <c r="F1234" s="103" t="str">
        <f aca="false">IF($C1234="","",$D1234*$E1234)</f>
        <v/>
      </c>
      <c r="G1234" s="103" t="str">
        <f aca="false">IF($C1234="","",$D1234*IFERROR(INDEX('تحليل التكلفة والسعر'!$C$2:$C$700,MATCH($C1234,'تحليل التكلفة والسعر'!$B$2:$B$700,0)),0))</f>
        <v/>
      </c>
    </row>
    <row r="1235" customFormat="false" ht="15" hidden="false" customHeight="false" outlineLevel="0" collapsed="false">
      <c r="A1235" s="102"/>
      <c r="E1235" s="103" t="str">
        <f aca="false">IF($C1235="","",IFERROR(INDEX(المنيو!$C$2:$C$500,MATCH($C1235,المنيو!$B$2:$B$500,0)),0))</f>
        <v/>
      </c>
      <c r="F1235" s="103" t="str">
        <f aca="false">IF($C1235="","",$D1235*$E1235)</f>
        <v/>
      </c>
      <c r="G1235" s="103" t="str">
        <f aca="false">IF($C1235="","",$D1235*IFERROR(INDEX('تحليل التكلفة والسعر'!$C$2:$C$700,MATCH($C1235,'تحليل التكلفة والسعر'!$B$2:$B$700,0)),0))</f>
        <v/>
      </c>
    </row>
    <row r="1236" customFormat="false" ht="15" hidden="false" customHeight="false" outlineLevel="0" collapsed="false">
      <c r="A1236" s="102"/>
      <c r="E1236" s="103" t="str">
        <f aca="false">IF($C1236="","",IFERROR(INDEX(المنيو!$C$2:$C$500,MATCH($C1236,المنيو!$B$2:$B$500,0)),0))</f>
        <v/>
      </c>
      <c r="F1236" s="103" t="str">
        <f aca="false">IF($C1236="","",$D1236*$E1236)</f>
        <v/>
      </c>
      <c r="G1236" s="103" t="str">
        <f aca="false">IF($C1236="","",$D1236*IFERROR(INDEX('تحليل التكلفة والسعر'!$C$2:$C$700,MATCH($C1236,'تحليل التكلفة والسعر'!$B$2:$B$700,0)),0))</f>
        <v/>
      </c>
    </row>
    <row r="1237" customFormat="false" ht="15" hidden="false" customHeight="false" outlineLevel="0" collapsed="false">
      <c r="A1237" s="102"/>
      <c r="E1237" s="103" t="str">
        <f aca="false">IF($C1237="","",IFERROR(INDEX(المنيو!$C$2:$C$500,MATCH($C1237,المنيو!$B$2:$B$500,0)),0))</f>
        <v/>
      </c>
      <c r="F1237" s="103" t="str">
        <f aca="false">IF($C1237="","",$D1237*$E1237)</f>
        <v/>
      </c>
      <c r="G1237" s="103" t="str">
        <f aca="false">IF($C1237="","",$D1237*IFERROR(INDEX('تحليل التكلفة والسعر'!$C$2:$C$700,MATCH($C1237,'تحليل التكلفة والسعر'!$B$2:$B$700,0)),0))</f>
        <v/>
      </c>
    </row>
    <row r="1238" customFormat="false" ht="15" hidden="false" customHeight="false" outlineLevel="0" collapsed="false">
      <c r="A1238" s="102"/>
      <c r="E1238" s="103" t="str">
        <f aca="false">IF($C1238="","",IFERROR(INDEX(المنيو!$C$2:$C$500,MATCH($C1238,المنيو!$B$2:$B$500,0)),0))</f>
        <v/>
      </c>
      <c r="F1238" s="103" t="str">
        <f aca="false">IF($C1238="","",$D1238*$E1238)</f>
        <v/>
      </c>
      <c r="G1238" s="103" t="str">
        <f aca="false">IF($C1238="","",$D1238*IFERROR(INDEX('تحليل التكلفة والسعر'!$C$2:$C$700,MATCH($C1238,'تحليل التكلفة والسعر'!$B$2:$B$700,0)),0))</f>
        <v/>
      </c>
    </row>
    <row r="1239" customFormat="false" ht="15" hidden="false" customHeight="false" outlineLevel="0" collapsed="false">
      <c r="A1239" s="102"/>
      <c r="E1239" s="103" t="str">
        <f aca="false">IF($C1239="","",IFERROR(INDEX(المنيو!$C$2:$C$500,MATCH($C1239,المنيو!$B$2:$B$500,0)),0))</f>
        <v/>
      </c>
      <c r="F1239" s="103" t="str">
        <f aca="false">IF($C1239="","",$D1239*$E1239)</f>
        <v/>
      </c>
      <c r="G1239" s="103" t="str">
        <f aca="false">IF($C1239="","",$D1239*IFERROR(INDEX('تحليل التكلفة والسعر'!$C$2:$C$700,MATCH($C1239,'تحليل التكلفة والسعر'!$B$2:$B$700,0)),0))</f>
        <v/>
      </c>
    </row>
    <row r="1240" customFormat="false" ht="15" hidden="false" customHeight="false" outlineLevel="0" collapsed="false">
      <c r="A1240" s="102"/>
      <c r="E1240" s="103" t="str">
        <f aca="false">IF($C1240="","",IFERROR(INDEX(المنيو!$C$2:$C$500,MATCH($C1240,المنيو!$B$2:$B$500,0)),0))</f>
        <v/>
      </c>
      <c r="F1240" s="103" t="str">
        <f aca="false">IF($C1240="","",$D1240*$E1240)</f>
        <v/>
      </c>
      <c r="G1240" s="103" t="str">
        <f aca="false">IF($C1240="","",$D1240*IFERROR(INDEX('تحليل التكلفة والسعر'!$C$2:$C$700,MATCH($C1240,'تحليل التكلفة والسعر'!$B$2:$B$700,0)),0))</f>
        <v/>
      </c>
    </row>
    <row r="1241" customFormat="false" ht="15" hidden="false" customHeight="false" outlineLevel="0" collapsed="false">
      <c r="A1241" s="102"/>
      <c r="E1241" s="103" t="str">
        <f aca="false">IF($C1241="","",IFERROR(INDEX(المنيو!$C$2:$C$500,MATCH($C1241,المنيو!$B$2:$B$500,0)),0))</f>
        <v/>
      </c>
      <c r="F1241" s="103" t="str">
        <f aca="false">IF($C1241="","",$D1241*$E1241)</f>
        <v/>
      </c>
      <c r="G1241" s="103" t="str">
        <f aca="false">IF($C1241="","",$D1241*IFERROR(INDEX('تحليل التكلفة والسعر'!$C$2:$C$700,MATCH($C1241,'تحليل التكلفة والسعر'!$B$2:$B$700,0)),0))</f>
        <v/>
      </c>
    </row>
    <row r="1242" customFormat="false" ht="15" hidden="false" customHeight="false" outlineLevel="0" collapsed="false">
      <c r="A1242" s="102"/>
      <c r="E1242" s="103" t="str">
        <f aca="false">IF($C1242="","",IFERROR(INDEX(المنيو!$C$2:$C$500,MATCH($C1242,المنيو!$B$2:$B$500,0)),0))</f>
        <v/>
      </c>
      <c r="F1242" s="103" t="str">
        <f aca="false">IF($C1242="","",$D1242*$E1242)</f>
        <v/>
      </c>
      <c r="G1242" s="103" t="str">
        <f aca="false">IF($C1242="","",$D1242*IFERROR(INDEX('تحليل التكلفة والسعر'!$C$2:$C$700,MATCH($C1242,'تحليل التكلفة والسعر'!$B$2:$B$700,0)),0))</f>
        <v/>
      </c>
    </row>
    <row r="1243" customFormat="false" ht="15" hidden="false" customHeight="false" outlineLevel="0" collapsed="false">
      <c r="A1243" s="102"/>
      <c r="E1243" s="103" t="str">
        <f aca="false">IF($C1243="","",IFERROR(INDEX(المنيو!$C$2:$C$500,MATCH($C1243,المنيو!$B$2:$B$500,0)),0))</f>
        <v/>
      </c>
      <c r="F1243" s="103" t="str">
        <f aca="false">IF($C1243="","",$D1243*$E1243)</f>
        <v/>
      </c>
      <c r="G1243" s="103" t="str">
        <f aca="false">IF($C1243="","",$D1243*IFERROR(INDEX('تحليل التكلفة والسعر'!$C$2:$C$700,MATCH($C1243,'تحليل التكلفة والسعر'!$B$2:$B$700,0)),0))</f>
        <v/>
      </c>
    </row>
    <row r="1244" customFormat="false" ht="15" hidden="false" customHeight="false" outlineLevel="0" collapsed="false">
      <c r="A1244" s="102"/>
      <c r="E1244" s="103" t="str">
        <f aca="false">IF($C1244="","",IFERROR(INDEX(المنيو!$C$2:$C$500,MATCH($C1244,المنيو!$B$2:$B$500,0)),0))</f>
        <v/>
      </c>
      <c r="F1244" s="103" t="str">
        <f aca="false">IF($C1244="","",$D1244*$E1244)</f>
        <v/>
      </c>
      <c r="G1244" s="103" t="str">
        <f aca="false">IF($C1244="","",$D1244*IFERROR(INDEX('تحليل التكلفة والسعر'!$C$2:$C$700,MATCH($C1244,'تحليل التكلفة والسعر'!$B$2:$B$700,0)),0))</f>
        <v/>
      </c>
    </row>
    <row r="1245" customFormat="false" ht="15" hidden="false" customHeight="false" outlineLevel="0" collapsed="false">
      <c r="A1245" s="102"/>
      <c r="E1245" s="103" t="str">
        <f aca="false">IF($C1245="","",IFERROR(INDEX(المنيو!$C$2:$C$500,MATCH($C1245,المنيو!$B$2:$B$500,0)),0))</f>
        <v/>
      </c>
      <c r="F1245" s="103" t="str">
        <f aca="false">IF($C1245="","",$D1245*$E1245)</f>
        <v/>
      </c>
      <c r="G1245" s="103" t="str">
        <f aca="false">IF($C1245="","",$D1245*IFERROR(INDEX('تحليل التكلفة والسعر'!$C$2:$C$700,MATCH($C1245,'تحليل التكلفة والسعر'!$B$2:$B$700,0)),0))</f>
        <v/>
      </c>
    </row>
    <row r="1246" customFormat="false" ht="15" hidden="false" customHeight="false" outlineLevel="0" collapsed="false">
      <c r="A1246" s="102"/>
      <c r="E1246" s="103" t="str">
        <f aca="false">IF($C1246="","",IFERROR(INDEX(المنيو!$C$2:$C$500,MATCH($C1246,المنيو!$B$2:$B$500,0)),0))</f>
        <v/>
      </c>
      <c r="F1246" s="103" t="str">
        <f aca="false">IF($C1246="","",$D1246*$E1246)</f>
        <v/>
      </c>
      <c r="G1246" s="103" t="str">
        <f aca="false">IF($C1246="","",$D1246*IFERROR(INDEX('تحليل التكلفة والسعر'!$C$2:$C$700,MATCH($C1246,'تحليل التكلفة والسعر'!$B$2:$B$700,0)),0))</f>
        <v/>
      </c>
    </row>
    <row r="1247" customFormat="false" ht="15" hidden="false" customHeight="false" outlineLevel="0" collapsed="false">
      <c r="A1247" s="102"/>
      <c r="E1247" s="103" t="str">
        <f aca="false">IF($C1247="","",IFERROR(INDEX(المنيو!$C$2:$C$500,MATCH($C1247,المنيو!$B$2:$B$500,0)),0))</f>
        <v/>
      </c>
      <c r="F1247" s="103" t="str">
        <f aca="false">IF($C1247="","",$D1247*$E1247)</f>
        <v/>
      </c>
      <c r="G1247" s="103" t="str">
        <f aca="false">IF($C1247="","",$D1247*IFERROR(INDEX('تحليل التكلفة والسعر'!$C$2:$C$700,MATCH($C1247,'تحليل التكلفة والسعر'!$B$2:$B$700,0)),0))</f>
        <v/>
      </c>
    </row>
    <row r="1248" customFormat="false" ht="15" hidden="false" customHeight="false" outlineLevel="0" collapsed="false">
      <c r="A1248" s="102"/>
      <c r="E1248" s="103" t="str">
        <f aca="false">IF($C1248="","",IFERROR(INDEX(المنيو!$C$2:$C$500,MATCH($C1248,المنيو!$B$2:$B$500,0)),0))</f>
        <v/>
      </c>
      <c r="F1248" s="103" t="str">
        <f aca="false">IF($C1248="","",$D1248*$E1248)</f>
        <v/>
      </c>
      <c r="G1248" s="103" t="str">
        <f aca="false">IF($C1248="","",$D1248*IFERROR(INDEX('تحليل التكلفة والسعر'!$C$2:$C$700,MATCH($C1248,'تحليل التكلفة والسعر'!$B$2:$B$700,0)),0))</f>
        <v/>
      </c>
    </row>
    <row r="1249" customFormat="false" ht="15" hidden="false" customHeight="false" outlineLevel="0" collapsed="false">
      <c r="A1249" s="102"/>
      <c r="E1249" s="103" t="str">
        <f aca="false">IF($C1249="","",IFERROR(INDEX(المنيو!$C$2:$C$500,MATCH($C1249,المنيو!$B$2:$B$500,0)),0))</f>
        <v/>
      </c>
      <c r="F1249" s="103" t="str">
        <f aca="false">IF($C1249="","",$D1249*$E1249)</f>
        <v/>
      </c>
      <c r="G1249" s="103" t="str">
        <f aca="false">IF($C1249="","",$D1249*IFERROR(INDEX('تحليل التكلفة والسعر'!$C$2:$C$700,MATCH($C1249,'تحليل التكلفة والسعر'!$B$2:$B$700,0)),0))</f>
        <v/>
      </c>
    </row>
    <row r="1250" customFormat="false" ht="15" hidden="false" customHeight="false" outlineLevel="0" collapsed="false">
      <c r="A1250" s="102"/>
      <c r="E1250" s="103" t="str">
        <f aca="false">IF($C1250="","",IFERROR(INDEX(المنيو!$C$2:$C$500,MATCH($C1250,المنيو!$B$2:$B$500,0)),0))</f>
        <v/>
      </c>
      <c r="F1250" s="103" t="str">
        <f aca="false">IF($C1250="","",$D1250*$E1250)</f>
        <v/>
      </c>
      <c r="G1250" s="103" t="str">
        <f aca="false">IF($C1250="","",$D1250*IFERROR(INDEX('تحليل التكلفة والسعر'!$C$2:$C$700,MATCH($C1250,'تحليل التكلفة والسعر'!$B$2:$B$700,0)),0))</f>
        <v/>
      </c>
    </row>
    <row r="1251" customFormat="false" ht="15" hidden="false" customHeight="false" outlineLevel="0" collapsed="false">
      <c r="A1251" s="102"/>
      <c r="E1251" s="103" t="str">
        <f aca="false">IF($C1251="","",IFERROR(INDEX(المنيو!$C$2:$C$500,MATCH($C1251,المنيو!$B$2:$B$500,0)),0))</f>
        <v/>
      </c>
      <c r="F1251" s="103" t="str">
        <f aca="false">IF($C1251="","",$D1251*$E1251)</f>
        <v/>
      </c>
      <c r="G1251" s="103" t="str">
        <f aca="false">IF($C1251="","",$D1251*IFERROR(INDEX('تحليل التكلفة والسعر'!$C$2:$C$700,MATCH($C1251,'تحليل التكلفة والسعر'!$B$2:$B$700,0)),0))</f>
        <v/>
      </c>
    </row>
    <row r="1252" customFormat="false" ht="15" hidden="false" customHeight="false" outlineLevel="0" collapsed="false">
      <c r="A1252" s="102"/>
      <c r="E1252" s="103" t="str">
        <f aca="false">IF($C1252="","",IFERROR(INDEX(المنيو!$C$2:$C$500,MATCH($C1252,المنيو!$B$2:$B$500,0)),0))</f>
        <v/>
      </c>
      <c r="F1252" s="103" t="str">
        <f aca="false">IF($C1252="","",$D1252*$E1252)</f>
        <v/>
      </c>
      <c r="G1252" s="103" t="str">
        <f aca="false">IF($C1252="","",$D1252*IFERROR(INDEX('تحليل التكلفة والسعر'!$C$2:$C$700,MATCH($C1252,'تحليل التكلفة والسعر'!$B$2:$B$700,0)),0))</f>
        <v/>
      </c>
    </row>
    <row r="1253" customFormat="false" ht="15" hidden="false" customHeight="false" outlineLevel="0" collapsed="false">
      <c r="A1253" s="102"/>
      <c r="E1253" s="103" t="str">
        <f aca="false">IF($C1253="","",IFERROR(INDEX(المنيو!$C$2:$C$500,MATCH($C1253,المنيو!$B$2:$B$500,0)),0))</f>
        <v/>
      </c>
      <c r="F1253" s="103" t="str">
        <f aca="false">IF($C1253="","",$D1253*$E1253)</f>
        <v/>
      </c>
      <c r="G1253" s="103" t="str">
        <f aca="false">IF($C1253="","",$D1253*IFERROR(INDEX('تحليل التكلفة والسعر'!$C$2:$C$700,MATCH($C1253,'تحليل التكلفة والسعر'!$B$2:$B$700,0)),0))</f>
        <v/>
      </c>
    </row>
    <row r="1254" customFormat="false" ht="15" hidden="false" customHeight="false" outlineLevel="0" collapsed="false">
      <c r="A1254" s="102"/>
      <c r="E1254" s="103" t="str">
        <f aca="false">IF($C1254="","",IFERROR(INDEX(المنيو!$C$2:$C$500,MATCH($C1254,المنيو!$B$2:$B$500,0)),0))</f>
        <v/>
      </c>
      <c r="F1254" s="103" t="str">
        <f aca="false">IF($C1254="","",$D1254*$E1254)</f>
        <v/>
      </c>
      <c r="G1254" s="103" t="str">
        <f aca="false">IF($C1254="","",$D1254*IFERROR(INDEX('تحليل التكلفة والسعر'!$C$2:$C$700,MATCH($C1254,'تحليل التكلفة والسعر'!$B$2:$B$700,0)),0))</f>
        <v/>
      </c>
    </row>
    <row r="1255" customFormat="false" ht="15" hidden="false" customHeight="false" outlineLevel="0" collapsed="false">
      <c r="A1255" s="102"/>
      <c r="E1255" s="103" t="str">
        <f aca="false">IF($C1255="","",IFERROR(INDEX(المنيو!$C$2:$C$500,MATCH($C1255,المنيو!$B$2:$B$500,0)),0))</f>
        <v/>
      </c>
      <c r="F1255" s="103" t="str">
        <f aca="false">IF($C1255="","",$D1255*$E1255)</f>
        <v/>
      </c>
      <c r="G1255" s="103" t="str">
        <f aca="false">IF($C1255="","",$D1255*IFERROR(INDEX('تحليل التكلفة والسعر'!$C$2:$C$700,MATCH($C1255,'تحليل التكلفة والسعر'!$B$2:$B$700,0)),0))</f>
        <v/>
      </c>
    </row>
    <row r="1256" customFormat="false" ht="15" hidden="false" customHeight="false" outlineLevel="0" collapsed="false">
      <c r="A1256" s="102"/>
      <c r="E1256" s="103" t="str">
        <f aca="false">IF($C1256="","",IFERROR(INDEX(المنيو!$C$2:$C$500,MATCH($C1256,المنيو!$B$2:$B$500,0)),0))</f>
        <v/>
      </c>
      <c r="F1256" s="103" t="str">
        <f aca="false">IF($C1256="","",$D1256*$E1256)</f>
        <v/>
      </c>
      <c r="G1256" s="103" t="str">
        <f aca="false">IF($C1256="","",$D1256*IFERROR(INDEX('تحليل التكلفة والسعر'!$C$2:$C$700,MATCH($C1256,'تحليل التكلفة والسعر'!$B$2:$B$700,0)),0))</f>
        <v/>
      </c>
    </row>
    <row r="1257" customFormat="false" ht="15" hidden="false" customHeight="false" outlineLevel="0" collapsed="false">
      <c r="A1257" s="102"/>
      <c r="E1257" s="103" t="str">
        <f aca="false">IF($C1257="","",IFERROR(INDEX(المنيو!$C$2:$C$500,MATCH($C1257,المنيو!$B$2:$B$500,0)),0))</f>
        <v/>
      </c>
      <c r="F1257" s="103" t="str">
        <f aca="false">IF($C1257="","",$D1257*$E1257)</f>
        <v/>
      </c>
      <c r="G1257" s="103" t="str">
        <f aca="false">IF($C1257="","",$D1257*IFERROR(INDEX('تحليل التكلفة والسعر'!$C$2:$C$700,MATCH($C1257,'تحليل التكلفة والسعر'!$B$2:$B$700,0)),0))</f>
        <v/>
      </c>
    </row>
    <row r="1258" customFormat="false" ht="15" hidden="false" customHeight="false" outlineLevel="0" collapsed="false">
      <c r="A1258" s="102"/>
      <c r="E1258" s="103" t="str">
        <f aca="false">IF($C1258="","",IFERROR(INDEX(المنيو!$C$2:$C$500,MATCH($C1258,المنيو!$B$2:$B$500,0)),0))</f>
        <v/>
      </c>
      <c r="F1258" s="103" t="str">
        <f aca="false">IF($C1258="","",$D1258*$E1258)</f>
        <v/>
      </c>
      <c r="G1258" s="103" t="str">
        <f aca="false">IF($C1258="","",$D1258*IFERROR(INDEX('تحليل التكلفة والسعر'!$C$2:$C$700,MATCH($C1258,'تحليل التكلفة والسعر'!$B$2:$B$700,0)),0))</f>
        <v/>
      </c>
    </row>
    <row r="1259" customFormat="false" ht="15" hidden="false" customHeight="false" outlineLevel="0" collapsed="false">
      <c r="A1259" s="102"/>
      <c r="E1259" s="103" t="str">
        <f aca="false">IF($C1259="","",IFERROR(INDEX(المنيو!$C$2:$C$500,MATCH($C1259,المنيو!$B$2:$B$500,0)),0))</f>
        <v/>
      </c>
      <c r="F1259" s="103" t="str">
        <f aca="false">IF($C1259="","",$D1259*$E1259)</f>
        <v/>
      </c>
      <c r="G1259" s="103" t="str">
        <f aca="false">IF($C1259="","",$D1259*IFERROR(INDEX('تحليل التكلفة والسعر'!$C$2:$C$700,MATCH($C1259,'تحليل التكلفة والسعر'!$B$2:$B$700,0)),0))</f>
        <v/>
      </c>
    </row>
    <row r="1260" customFormat="false" ht="15" hidden="false" customHeight="false" outlineLevel="0" collapsed="false">
      <c r="A1260" s="102"/>
      <c r="E1260" s="103" t="str">
        <f aca="false">IF($C1260="","",IFERROR(INDEX(المنيو!$C$2:$C$500,MATCH($C1260,المنيو!$B$2:$B$500,0)),0))</f>
        <v/>
      </c>
      <c r="F1260" s="103" t="str">
        <f aca="false">IF($C1260="","",$D1260*$E1260)</f>
        <v/>
      </c>
      <c r="G1260" s="103" t="str">
        <f aca="false">IF($C1260="","",$D1260*IFERROR(INDEX('تحليل التكلفة والسعر'!$C$2:$C$700,MATCH($C1260,'تحليل التكلفة والسعر'!$B$2:$B$700,0)),0))</f>
        <v/>
      </c>
    </row>
    <row r="1261" customFormat="false" ht="15" hidden="false" customHeight="false" outlineLevel="0" collapsed="false">
      <c r="A1261" s="102"/>
      <c r="E1261" s="103" t="str">
        <f aca="false">IF($C1261="","",IFERROR(INDEX(المنيو!$C$2:$C$500,MATCH($C1261,المنيو!$B$2:$B$500,0)),0))</f>
        <v/>
      </c>
      <c r="F1261" s="103" t="str">
        <f aca="false">IF($C1261="","",$D1261*$E1261)</f>
        <v/>
      </c>
      <c r="G1261" s="103" t="str">
        <f aca="false">IF($C1261="","",$D1261*IFERROR(INDEX('تحليل التكلفة والسعر'!$C$2:$C$700,MATCH($C1261,'تحليل التكلفة والسعر'!$B$2:$B$700,0)),0))</f>
        <v/>
      </c>
    </row>
    <row r="1262" customFormat="false" ht="15" hidden="false" customHeight="false" outlineLevel="0" collapsed="false">
      <c r="A1262" s="102"/>
      <c r="E1262" s="103" t="str">
        <f aca="false">IF($C1262="","",IFERROR(INDEX(المنيو!$C$2:$C$500,MATCH($C1262,المنيو!$B$2:$B$500,0)),0))</f>
        <v/>
      </c>
      <c r="F1262" s="103" t="str">
        <f aca="false">IF($C1262="","",$D1262*$E1262)</f>
        <v/>
      </c>
      <c r="G1262" s="103" t="str">
        <f aca="false">IF($C1262="","",$D1262*IFERROR(INDEX('تحليل التكلفة والسعر'!$C$2:$C$700,MATCH($C1262,'تحليل التكلفة والسعر'!$B$2:$B$700,0)),0))</f>
        <v/>
      </c>
    </row>
    <row r="1263" customFormat="false" ht="15" hidden="false" customHeight="false" outlineLevel="0" collapsed="false">
      <c r="A1263" s="102"/>
      <c r="E1263" s="103" t="str">
        <f aca="false">IF($C1263="","",IFERROR(INDEX(المنيو!$C$2:$C$500,MATCH($C1263,المنيو!$B$2:$B$500,0)),0))</f>
        <v/>
      </c>
      <c r="F1263" s="103" t="str">
        <f aca="false">IF($C1263="","",$D1263*$E1263)</f>
        <v/>
      </c>
      <c r="G1263" s="103" t="str">
        <f aca="false">IF($C1263="","",$D1263*IFERROR(INDEX('تحليل التكلفة والسعر'!$C$2:$C$700,MATCH($C1263,'تحليل التكلفة والسعر'!$B$2:$B$700,0)),0))</f>
        <v/>
      </c>
    </row>
    <row r="1264" customFormat="false" ht="15" hidden="false" customHeight="false" outlineLevel="0" collapsed="false">
      <c r="A1264" s="102"/>
      <c r="E1264" s="103" t="str">
        <f aca="false">IF($C1264="","",IFERROR(INDEX(المنيو!$C$2:$C$500,MATCH($C1264,المنيو!$B$2:$B$500,0)),0))</f>
        <v/>
      </c>
      <c r="F1264" s="103" t="str">
        <f aca="false">IF($C1264="","",$D1264*$E1264)</f>
        <v/>
      </c>
      <c r="G1264" s="103" t="str">
        <f aca="false">IF($C1264="","",$D1264*IFERROR(INDEX('تحليل التكلفة والسعر'!$C$2:$C$700,MATCH($C1264,'تحليل التكلفة والسعر'!$B$2:$B$700,0)),0))</f>
        <v/>
      </c>
    </row>
    <row r="1265" customFormat="false" ht="15" hidden="false" customHeight="false" outlineLevel="0" collapsed="false">
      <c r="A1265" s="102"/>
      <c r="E1265" s="103" t="str">
        <f aca="false">IF($C1265="","",IFERROR(INDEX(المنيو!$C$2:$C$500,MATCH($C1265,المنيو!$B$2:$B$500,0)),0))</f>
        <v/>
      </c>
      <c r="F1265" s="103" t="str">
        <f aca="false">IF($C1265="","",$D1265*$E1265)</f>
        <v/>
      </c>
      <c r="G1265" s="103" t="str">
        <f aca="false">IF($C1265="","",$D1265*IFERROR(INDEX('تحليل التكلفة والسعر'!$C$2:$C$700,MATCH($C1265,'تحليل التكلفة والسعر'!$B$2:$B$700,0)),0))</f>
        <v/>
      </c>
    </row>
    <row r="1266" customFormat="false" ht="15" hidden="false" customHeight="false" outlineLevel="0" collapsed="false">
      <c r="A1266" s="102"/>
      <c r="E1266" s="103" t="str">
        <f aca="false">IF($C1266="","",IFERROR(INDEX(المنيو!$C$2:$C$500,MATCH($C1266,المنيو!$B$2:$B$500,0)),0))</f>
        <v/>
      </c>
      <c r="F1266" s="103" t="str">
        <f aca="false">IF($C1266="","",$D1266*$E1266)</f>
        <v/>
      </c>
      <c r="G1266" s="103" t="str">
        <f aca="false">IF($C1266="","",$D1266*IFERROR(INDEX('تحليل التكلفة والسعر'!$C$2:$C$700,MATCH($C1266,'تحليل التكلفة والسعر'!$B$2:$B$700,0)),0))</f>
        <v/>
      </c>
    </row>
    <row r="1267" customFormat="false" ht="15" hidden="false" customHeight="false" outlineLevel="0" collapsed="false">
      <c r="A1267" s="102"/>
      <c r="E1267" s="103" t="str">
        <f aca="false">IF($C1267="","",IFERROR(INDEX(المنيو!$C$2:$C$500,MATCH($C1267,المنيو!$B$2:$B$500,0)),0))</f>
        <v/>
      </c>
      <c r="F1267" s="103" t="str">
        <f aca="false">IF($C1267="","",$D1267*$E1267)</f>
        <v/>
      </c>
      <c r="G1267" s="103" t="str">
        <f aca="false">IF($C1267="","",$D1267*IFERROR(INDEX('تحليل التكلفة والسعر'!$C$2:$C$700,MATCH($C1267,'تحليل التكلفة والسعر'!$B$2:$B$700,0)),0))</f>
        <v/>
      </c>
    </row>
    <row r="1268" customFormat="false" ht="15" hidden="false" customHeight="false" outlineLevel="0" collapsed="false">
      <c r="A1268" s="102"/>
      <c r="E1268" s="103" t="str">
        <f aca="false">IF($C1268="","",IFERROR(INDEX(المنيو!$C$2:$C$500,MATCH($C1268,المنيو!$B$2:$B$500,0)),0))</f>
        <v/>
      </c>
      <c r="F1268" s="103" t="str">
        <f aca="false">IF($C1268="","",$D1268*$E1268)</f>
        <v/>
      </c>
      <c r="G1268" s="103" t="str">
        <f aca="false">IF($C1268="","",$D1268*IFERROR(INDEX('تحليل التكلفة والسعر'!$C$2:$C$700,MATCH($C1268,'تحليل التكلفة والسعر'!$B$2:$B$700,0)),0))</f>
        <v/>
      </c>
    </row>
    <row r="1269" customFormat="false" ht="15" hidden="false" customHeight="false" outlineLevel="0" collapsed="false">
      <c r="A1269" s="102"/>
      <c r="E1269" s="103" t="str">
        <f aca="false">IF($C1269="","",IFERROR(INDEX(المنيو!$C$2:$C$500,MATCH($C1269,المنيو!$B$2:$B$500,0)),0))</f>
        <v/>
      </c>
      <c r="F1269" s="103" t="str">
        <f aca="false">IF($C1269="","",$D1269*$E1269)</f>
        <v/>
      </c>
      <c r="G1269" s="103" t="str">
        <f aca="false">IF($C1269="","",$D1269*IFERROR(INDEX('تحليل التكلفة والسعر'!$C$2:$C$700,MATCH($C1269,'تحليل التكلفة والسعر'!$B$2:$B$700,0)),0))</f>
        <v/>
      </c>
    </row>
    <row r="1270" customFormat="false" ht="15" hidden="false" customHeight="false" outlineLevel="0" collapsed="false">
      <c r="A1270" s="102"/>
      <c r="E1270" s="103" t="str">
        <f aca="false">IF($C1270="","",IFERROR(INDEX(المنيو!$C$2:$C$500,MATCH($C1270,المنيو!$B$2:$B$500,0)),0))</f>
        <v/>
      </c>
      <c r="F1270" s="103" t="str">
        <f aca="false">IF($C1270="","",$D1270*$E1270)</f>
        <v/>
      </c>
      <c r="G1270" s="103" t="str">
        <f aca="false">IF($C1270="","",$D1270*IFERROR(INDEX('تحليل التكلفة والسعر'!$C$2:$C$700,MATCH($C1270,'تحليل التكلفة والسعر'!$B$2:$B$700,0)),0))</f>
        <v/>
      </c>
    </row>
    <row r="1271" customFormat="false" ht="15" hidden="false" customHeight="false" outlineLevel="0" collapsed="false">
      <c r="A1271" s="102"/>
      <c r="E1271" s="103" t="str">
        <f aca="false">IF($C1271="","",IFERROR(INDEX(المنيو!$C$2:$C$500,MATCH($C1271,المنيو!$B$2:$B$500,0)),0))</f>
        <v/>
      </c>
      <c r="F1271" s="103" t="str">
        <f aca="false">IF($C1271="","",$D1271*$E1271)</f>
        <v/>
      </c>
      <c r="G1271" s="103" t="str">
        <f aca="false">IF($C1271="","",$D1271*IFERROR(INDEX('تحليل التكلفة والسعر'!$C$2:$C$700,MATCH($C1271,'تحليل التكلفة والسعر'!$B$2:$B$700,0)),0))</f>
        <v/>
      </c>
    </row>
    <row r="1272" customFormat="false" ht="15" hidden="false" customHeight="false" outlineLevel="0" collapsed="false">
      <c r="A1272" s="102"/>
      <c r="E1272" s="103" t="str">
        <f aca="false">IF($C1272="","",IFERROR(INDEX(المنيو!$C$2:$C$500,MATCH($C1272,المنيو!$B$2:$B$500,0)),0))</f>
        <v/>
      </c>
      <c r="F1272" s="103" t="str">
        <f aca="false">IF($C1272="","",$D1272*$E1272)</f>
        <v/>
      </c>
      <c r="G1272" s="103" t="str">
        <f aca="false">IF($C1272="","",$D1272*IFERROR(INDEX('تحليل التكلفة والسعر'!$C$2:$C$700,MATCH($C1272,'تحليل التكلفة والسعر'!$B$2:$B$700,0)),0))</f>
        <v/>
      </c>
    </row>
    <row r="1273" customFormat="false" ht="15" hidden="false" customHeight="false" outlineLevel="0" collapsed="false">
      <c r="A1273" s="102"/>
      <c r="E1273" s="103" t="str">
        <f aca="false">IF($C1273="","",IFERROR(INDEX(المنيو!$C$2:$C$500,MATCH($C1273,المنيو!$B$2:$B$500,0)),0))</f>
        <v/>
      </c>
      <c r="F1273" s="103" t="str">
        <f aca="false">IF($C1273="","",$D1273*$E1273)</f>
        <v/>
      </c>
      <c r="G1273" s="103" t="str">
        <f aca="false">IF($C1273="","",$D1273*IFERROR(INDEX('تحليل التكلفة والسعر'!$C$2:$C$700,MATCH($C1273,'تحليل التكلفة والسعر'!$B$2:$B$700,0)),0))</f>
        <v/>
      </c>
    </row>
    <row r="1274" customFormat="false" ht="15" hidden="false" customHeight="false" outlineLevel="0" collapsed="false">
      <c r="A1274" s="102"/>
      <c r="E1274" s="103" t="str">
        <f aca="false">IF($C1274="","",IFERROR(INDEX(المنيو!$C$2:$C$500,MATCH($C1274,المنيو!$B$2:$B$500,0)),0))</f>
        <v/>
      </c>
      <c r="F1274" s="103" t="str">
        <f aca="false">IF($C1274="","",$D1274*$E1274)</f>
        <v/>
      </c>
      <c r="G1274" s="103" t="str">
        <f aca="false">IF($C1274="","",$D1274*IFERROR(INDEX('تحليل التكلفة والسعر'!$C$2:$C$700,MATCH($C1274,'تحليل التكلفة والسعر'!$B$2:$B$700,0)),0))</f>
        <v/>
      </c>
    </row>
    <row r="1275" customFormat="false" ht="15" hidden="false" customHeight="false" outlineLevel="0" collapsed="false">
      <c r="A1275" s="102"/>
      <c r="E1275" s="103" t="str">
        <f aca="false">IF($C1275="","",IFERROR(INDEX(المنيو!$C$2:$C$500,MATCH($C1275,المنيو!$B$2:$B$500,0)),0))</f>
        <v/>
      </c>
      <c r="F1275" s="103" t="str">
        <f aca="false">IF($C1275="","",$D1275*$E1275)</f>
        <v/>
      </c>
      <c r="G1275" s="103" t="str">
        <f aca="false">IF($C1275="","",$D1275*IFERROR(INDEX('تحليل التكلفة والسعر'!$C$2:$C$700,MATCH($C1275,'تحليل التكلفة والسعر'!$B$2:$B$700,0)),0))</f>
        <v/>
      </c>
    </row>
    <row r="1276" customFormat="false" ht="15" hidden="false" customHeight="false" outlineLevel="0" collapsed="false">
      <c r="A1276" s="102"/>
      <c r="E1276" s="103" t="str">
        <f aca="false">IF($C1276="","",IFERROR(INDEX(المنيو!$C$2:$C$500,MATCH($C1276,المنيو!$B$2:$B$500,0)),0))</f>
        <v/>
      </c>
      <c r="F1276" s="103" t="str">
        <f aca="false">IF($C1276="","",$D1276*$E1276)</f>
        <v/>
      </c>
      <c r="G1276" s="103" t="str">
        <f aca="false">IF($C1276="","",$D1276*IFERROR(INDEX('تحليل التكلفة والسعر'!$C$2:$C$700,MATCH($C1276,'تحليل التكلفة والسعر'!$B$2:$B$700,0)),0))</f>
        <v/>
      </c>
    </row>
    <row r="1277" customFormat="false" ht="15" hidden="false" customHeight="false" outlineLevel="0" collapsed="false">
      <c r="A1277" s="102"/>
      <c r="E1277" s="103" t="str">
        <f aca="false">IF($C1277="","",IFERROR(INDEX(المنيو!$C$2:$C$500,MATCH($C1277,المنيو!$B$2:$B$500,0)),0))</f>
        <v/>
      </c>
      <c r="F1277" s="103" t="str">
        <f aca="false">IF($C1277="","",$D1277*$E1277)</f>
        <v/>
      </c>
      <c r="G1277" s="103" t="str">
        <f aca="false">IF($C1277="","",$D1277*IFERROR(INDEX('تحليل التكلفة والسعر'!$C$2:$C$700,MATCH($C1277,'تحليل التكلفة والسعر'!$B$2:$B$700,0)),0))</f>
        <v/>
      </c>
    </row>
    <row r="1278" customFormat="false" ht="15" hidden="false" customHeight="false" outlineLevel="0" collapsed="false">
      <c r="A1278" s="102"/>
      <c r="E1278" s="103" t="str">
        <f aca="false">IF($C1278="","",IFERROR(INDEX(المنيو!$C$2:$C$500,MATCH($C1278,المنيو!$B$2:$B$500,0)),0))</f>
        <v/>
      </c>
      <c r="F1278" s="103" t="str">
        <f aca="false">IF($C1278="","",$D1278*$E1278)</f>
        <v/>
      </c>
      <c r="G1278" s="103" t="str">
        <f aca="false">IF($C1278="","",$D1278*IFERROR(INDEX('تحليل التكلفة والسعر'!$C$2:$C$700,MATCH($C1278,'تحليل التكلفة والسعر'!$B$2:$B$700,0)),0))</f>
        <v/>
      </c>
    </row>
    <row r="1279" customFormat="false" ht="15" hidden="false" customHeight="false" outlineLevel="0" collapsed="false">
      <c r="A1279" s="102"/>
      <c r="E1279" s="103" t="str">
        <f aca="false">IF($C1279="","",IFERROR(INDEX(المنيو!$C$2:$C$500,MATCH($C1279,المنيو!$B$2:$B$500,0)),0))</f>
        <v/>
      </c>
      <c r="F1279" s="103" t="str">
        <f aca="false">IF($C1279="","",$D1279*$E1279)</f>
        <v/>
      </c>
      <c r="G1279" s="103" t="str">
        <f aca="false">IF($C1279="","",$D1279*IFERROR(INDEX('تحليل التكلفة والسعر'!$C$2:$C$700,MATCH($C1279,'تحليل التكلفة والسعر'!$B$2:$B$700,0)),0))</f>
        <v/>
      </c>
    </row>
    <row r="1280" customFormat="false" ht="15" hidden="false" customHeight="false" outlineLevel="0" collapsed="false">
      <c r="A1280" s="102"/>
      <c r="E1280" s="103" t="str">
        <f aca="false">IF($C1280="","",IFERROR(INDEX(المنيو!$C$2:$C$500,MATCH($C1280,المنيو!$B$2:$B$500,0)),0))</f>
        <v/>
      </c>
      <c r="F1280" s="103" t="str">
        <f aca="false">IF($C1280="","",$D1280*$E1280)</f>
        <v/>
      </c>
      <c r="G1280" s="103" t="str">
        <f aca="false">IF($C1280="","",$D1280*IFERROR(INDEX('تحليل التكلفة والسعر'!$C$2:$C$700,MATCH($C1280,'تحليل التكلفة والسعر'!$B$2:$B$700,0)),0))</f>
        <v/>
      </c>
    </row>
    <row r="1281" customFormat="false" ht="15" hidden="false" customHeight="false" outlineLevel="0" collapsed="false">
      <c r="A1281" s="102"/>
      <c r="E1281" s="103" t="str">
        <f aca="false">IF($C1281="","",IFERROR(INDEX(المنيو!$C$2:$C$500,MATCH($C1281,المنيو!$B$2:$B$500,0)),0))</f>
        <v/>
      </c>
      <c r="F1281" s="103" t="str">
        <f aca="false">IF($C1281="","",$D1281*$E1281)</f>
        <v/>
      </c>
      <c r="G1281" s="103" t="str">
        <f aca="false">IF($C1281="","",$D1281*IFERROR(INDEX('تحليل التكلفة والسعر'!$C$2:$C$700,MATCH($C1281,'تحليل التكلفة والسعر'!$B$2:$B$700,0)),0))</f>
        <v/>
      </c>
    </row>
    <row r="1282" customFormat="false" ht="15" hidden="false" customHeight="false" outlineLevel="0" collapsed="false">
      <c r="A1282" s="102"/>
      <c r="E1282" s="103" t="str">
        <f aca="false">IF($C1282="","",IFERROR(INDEX(المنيو!$C$2:$C$500,MATCH($C1282,المنيو!$B$2:$B$500,0)),0))</f>
        <v/>
      </c>
      <c r="F1282" s="103" t="str">
        <f aca="false">IF($C1282="","",$D1282*$E1282)</f>
        <v/>
      </c>
      <c r="G1282" s="103" t="str">
        <f aca="false">IF($C1282="","",$D1282*IFERROR(INDEX('تحليل التكلفة والسعر'!$C$2:$C$700,MATCH($C1282,'تحليل التكلفة والسعر'!$B$2:$B$700,0)),0))</f>
        <v/>
      </c>
    </row>
    <row r="1283" customFormat="false" ht="15" hidden="false" customHeight="false" outlineLevel="0" collapsed="false">
      <c r="A1283" s="102"/>
      <c r="E1283" s="103" t="str">
        <f aca="false">IF($C1283="","",IFERROR(INDEX(المنيو!$C$2:$C$500,MATCH($C1283,المنيو!$B$2:$B$500,0)),0))</f>
        <v/>
      </c>
      <c r="F1283" s="103" t="str">
        <f aca="false">IF($C1283="","",$D1283*$E1283)</f>
        <v/>
      </c>
      <c r="G1283" s="103" t="str">
        <f aca="false">IF($C1283="","",$D1283*IFERROR(INDEX('تحليل التكلفة والسعر'!$C$2:$C$700,MATCH($C1283,'تحليل التكلفة والسعر'!$B$2:$B$700,0)),0))</f>
        <v/>
      </c>
    </row>
    <row r="1284" customFormat="false" ht="15" hidden="false" customHeight="false" outlineLevel="0" collapsed="false">
      <c r="A1284" s="102"/>
      <c r="E1284" s="103" t="str">
        <f aca="false">IF($C1284="","",IFERROR(INDEX(المنيو!$C$2:$C$500,MATCH($C1284,المنيو!$B$2:$B$500,0)),0))</f>
        <v/>
      </c>
      <c r="F1284" s="103" t="str">
        <f aca="false">IF($C1284="","",$D1284*$E1284)</f>
        <v/>
      </c>
      <c r="G1284" s="103" t="str">
        <f aca="false">IF($C1284="","",$D1284*IFERROR(INDEX('تحليل التكلفة والسعر'!$C$2:$C$700,MATCH($C1284,'تحليل التكلفة والسعر'!$B$2:$B$700,0)),0))</f>
        <v/>
      </c>
    </row>
    <row r="1285" customFormat="false" ht="15" hidden="false" customHeight="false" outlineLevel="0" collapsed="false">
      <c r="A1285" s="102"/>
      <c r="E1285" s="103" t="str">
        <f aca="false">IF($C1285="","",IFERROR(INDEX(المنيو!$C$2:$C$500,MATCH($C1285,المنيو!$B$2:$B$500,0)),0))</f>
        <v/>
      </c>
      <c r="F1285" s="103" t="str">
        <f aca="false">IF($C1285="","",$D1285*$E1285)</f>
        <v/>
      </c>
      <c r="G1285" s="103" t="str">
        <f aca="false">IF($C1285="","",$D1285*IFERROR(INDEX('تحليل التكلفة والسعر'!$C$2:$C$700,MATCH($C1285,'تحليل التكلفة والسعر'!$B$2:$B$700,0)),0))</f>
        <v/>
      </c>
    </row>
    <row r="1286" customFormat="false" ht="15" hidden="false" customHeight="false" outlineLevel="0" collapsed="false">
      <c r="A1286" s="102"/>
      <c r="E1286" s="103" t="str">
        <f aca="false">IF($C1286="","",IFERROR(INDEX(المنيو!$C$2:$C$500,MATCH($C1286,المنيو!$B$2:$B$500,0)),0))</f>
        <v/>
      </c>
      <c r="F1286" s="103" t="str">
        <f aca="false">IF($C1286="","",$D1286*$E1286)</f>
        <v/>
      </c>
      <c r="G1286" s="103" t="str">
        <f aca="false">IF($C1286="","",$D1286*IFERROR(INDEX('تحليل التكلفة والسعر'!$C$2:$C$700,MATCH($C1286,'تحليل التكلفة والسعر'!$B$2:$B$700,0)),0))</f>
        <v/>
      </c>
    </row>
    <row r="1287" customFormat="false" ht="15" hidden="false" customHeight="false" outlineLevel="0" collapsed="false">
      <c r="A1287" s="102"/>
      <c r="E1287" s="103" t="str">
        <f aca="false">IF($C1287="","",IFERROR(INDEX(المنيو!$C$2:$C$500,MATCH($C1287,المنيو!$B$2:$B$500,0)),0))</f>
        <v/>
      </c>
      <c r="F1287" s="103" t="str">
        <f aca="false">IF($C1287="","",$D1287*$E1287)</f>
        <v/>
      </c>
      <c r="G1287" s="103" t="str">
        <f aca="false">IF($C1287="","",$D1287*IFERROR(INDEX('تحليل التكلفة والسعر'!$C$2:$C$700,MATCH($C1287,'تحليل التكلفة والسعر'!$B$2:$B$700,0)),0))</f>
        <v/>
      </c>
    </row>
    <row r="1288" customFormat="false" ht="15" hidden="false" customHeight="false" outlineLevel="0" collapsed="false">
      <c r="A1288" s="102"/>
      <c r="E1288" s="103" t="str">
        <f aca="false">IF($C1288="","",IFERROR(INDEX(المنيو!$C$2:$C$500,MATCH($C1288,المنيو!$B$2:$B$500,0)),0))</f>
        <v/>
      </c>
      <c r="F1288" s="103" t="str">
        <f aca="false">IF($C1288="","",$D1288*$E1288)</f>
        <v/>
      </c>
      <c r="G1288" s="103" t="str">
        <f aca="false">IF($C1288="","",$D1288*IFERROR(INDEX('تحليل التكلفة والسعر'!$C$2:$C$700,MATCH($C1288,'تحليل التكلفة والسعر'!$B$2:$B$700,0)),0))</f>
        <v/>
      </c>
    </row>
    <row r="1289" customFormat="false" ht="15" hidden="false" customHeight="false" outlineLevel="0" collapsed="false">
      <c r="A1289" s="102"/>
      <c r="E1289" s="103" t="str">
        <f aca="false">IF($C1289="","",IFERROR(INDEX(المنيو!$C$2:$C$500,MATCH($C1289,المنيو!$B$2:$B$500,0)),0))</f>
        <v/>
      </c>
      <c r="F1289" s="103" t="str">
        <f aca="false">IF($C1289="","",$D1289*$E1289)</f>
        <v/>
      </c>
      <c r="G1289" s="103" t="str">
        <f aca="false">IF($C1289="","",$D1289*IFERROR(INDEX('تحليل التكلفة والسعر'!$C$2:$C$700,MATCH($C1289,'تحليل التكلفة والسعر'!$B$2:$B$700,0)),0))</f>
        <v/>
      </c>
    </row>
    <row r="1290" customFormat="false" ht="15" hidden="false" customHeight="false" outlineLevel="0" collapsed="false">
      <c r="A1290" s="102"/>
      <c r="E1290" s="103" t="str">
        <f aca="false">IF($C1290="","",IFERROR(INDEX(المنيو!$C$2:$C$500,MATCH($C1290,المنيو!$B$2:$B$500,0)),0))</f>
        <v/>
      </c>
      <c r="F1290" s="103" t="str">
        <f aca="false">IF($C1290="","",$D1290*$E1290)</f>
        <v/>
      </c>
      <c r="G1290" s="103" t="str">
        <f aca="false">IF($C1290="","",$D1290*IFERROR(INDEX('تحليل التكلفة والسعر'!$C$2:$C$700,MATCH($C1290,'تحليل التكلفة والسعر'!$B$2:$B$700,0)),0))</f>
        <v/>
      </c>
    </row>
    <row r="1291" customFormat="false" ht="15" hidden="false" customHeight="false" outlineLevel="0" collapsed="false">
      <c r="A1291" s="102"/>
      <c r="E1291" s="103" t="str">
        <f aca="false">IF($C1291="","",IFERROR(INDEX(المنيو!$C$2:$C$500,MATCH($C1291,المنيو!$B$2:$B$500,0)),0))</f>
        <v/>
      </c>
      <c r="F1291" s="103" t="str">
        <f aca="false">IF($C1291="","",$D1291*$E1291)</f>
        <v/>
      </c>
      <c r="G1291" s="103" t="str">
        <f aca="false">IF($C1291="","",$D1291*IFERROR(INDEX('تحليل التكلفة والسعر'!$C$2:$C$700,MATCH($C1291,'تحليل التكلفة والسعر'!$B$2:$B$700,0)),0))</f>
        <v/>
      </c>
    </row>
    <row r="1292" customFormat="false" ht="15" hidden="false" customHeight="false" outlineLevel="0" collapsed="false">
      <c r="A1292" s="102"/>
      <c r="E1292" s="103" t="str">
        <f aca="false">IF($C1292="","",IFERROR(INDEX(المنيو!$C$2:$C$500,MATCH($C1292,المنيو!$B$2:$B$500,0)),0))</f>
        <v/>
      </c>
      <c r="F1292" s="103" t="str">
        <f aca="false">IF($C1292="","",$D1292*$E1292)</f>
        <v/>
      </c>
      <c r="G1292" s="103" t="str">
        <f aca="false">IF($C1292="","",$D1292*IFERROR(INDEX('تحليل التكلفة والسعر'!$C$2:$C$700,MATCH($C1292,'تحليل التكلفة والسعر'!$B$2:$B$700,0)),0))</f>
        <v/>
      </c>
    </row>
    <row r="1293" customFormat="false" ht="15" hidden="false" customHeight="false" outlineLevel="0" collapsed="false">
      <c r="A1293" s="102"/>
      <c r="E1293" s="103" t="str">
        <f aca="false">IF($C1293="","",IFERROR(INDEX(المنيو!$C$2:$C$500,MATCH($C1293,المنيو!$B$2:$B$500,0)),0))</f>
        <v/>
      </c>
      <c r="F1293" s="103" t="str">
        <f aca="false">IF($C1293="","",$D1293*$E1293)</f>
        <v/>
      </c>
      <c r="G1293" s="103" t="str">
        <f aca="false">IF($C1293="","",$D1293*IFERROR(INDEX('تحليل التكلفة والسعر'!$C$2:$C$700,MATCH($C1293,'تحليل التكلفة والسعر'!$B$2:$B$700,0)),0))</f>
        <v/>
      </c>
    </row>
    <row r="1294" customFormat="false" ht="15" hidden="false" customHeight="false" outlineLevel="0" collapsed="false">
      <c r="A1294" s="102"/>
      <c r="E1294" s="103" t="str">
        <f aca="false">IF($C1294="","",IFERROR(INDEX(المنيو!$C$2:$C$500,MATCH($C1294,المنيو!$B$2:$B$500,0)),0))</f>
        <v/>
      </c>
      <c r="F1294" s="103" t="str">
        <f aca="false">IF($C1294="","",$D1294*$E1294)</f>
        <v/>
      </c>
      <c r="G1294" s="103" t="str">
        <f aca="false">IF($C1294="","",$D1294*IFERROR(INDEX('تحليل التكلفة والسعر'!$C$2:$C$700,MATCH($C1294,'تحليل التكلفة والسعر'!$B$2:$B$700,0)),0))</f>
        <v/>
      </c>
    </row>
    <row r="1295" customFormat="false" ht="15" hidden="false" customHeight="false" outlineLevel="0" collapsed="false">
      <c r="A1295" s="102"/>
      <c r="E1295" s="103" t="str">
        <f aca="false">IF($C1295="","",IFERROR(INDEX(المنيو!$C$2:$C$500,MATCH($C1295,المنيو!$B$2:$B$500,0)),0))</f>
        <v/>
      </c>
      <c r="F1295" s="103" t="str">
        <f aca="false">IF($C1295="","",$D1295*$E1295)</f>
        <v/>
      </c>
      <c r="G1295" s="103" t="str">
        <f aca="false">IF($C1295="","",$D1295*IFERROR(INDEX('تحليل التكلفة والسعر'!$C$2:$C$700,MATCH($C1295,'تحليل التكلفة والسعر'!$B$2:$B$700,0)),0))</f>
        <v/>
      </c>
    </row>
    <row r="1296" customFormat="false" ht="15" hidden="false" customHeight="false" outlineLevel="0" collapsed="false">
      <c r="A1296" s="102"/>
      <c r="E1296" s="103" t="str">
        <f aca="false">IF($C1296="","",IFERROR(INDEX(المنيو!$C$2:$C$500,MATCH($C1296,المنيو!$B$2:$B$500,0)),0))</f>
        <v/>
      </c>
      <c r="F1296" s="103" t="str">
        <f aca="false">IF($C1296="","",$D1296*$E1296)</f>
        <v/>
      </c>
      <c r="G1296" s="103" t="str">
        <f aca="false">IF($C1296="","",$D1296*IFERROR(INDEX('تحليل التكلفة والسعر'!$C$2:$C$700,MATCH($C1296,'تحليل التكلفة والسعر'!$B$2:$B$700,0)),0))</f>
        <v/>
      </c>
    </row>
    <row r="1297" customFormat="false" ht="15" hidden="false" customHeight="false" outlineLevel="0" collapsed="false">
      <c r="A1297" s="102"/>
      <c r="E1297" s="103" t="str">
        <f aca="false">IF($C1297="","",IFERROR(INDEX(المنيو!$C$2:$C$500,MATCH($C1297,المنيو!$B$2:$B$500,0)),0))</f>
        <v/>
      </c>
      <c r="F1297" s="103" t="str">
        <f aca="false">IF($C1297="","",$D1297*$E1297)</f>
        <v/>
      </c>
      <c r="G1297" s="103" t="str">
        <f aca="false">IF($C1297="","",$D1297*IFERROR(INDEX('تحليل التكلفة والسعر'!$C$2:$C$700,MATCH($C1297,'تحليل التكلفة والسعر'!$B$2:$B$700,0)),0))</f>
        <v/>
      </c>
    </row>
    <row r="1298" customFormat="false" ht="15" hidden="false" customHeight="false" outlineLevel="0" collapsed="false">
      <c r="A1298" s="102"/>
      <c r="E1298" s="103" t="str">
        <f aca="false">IF($C1298="","",IFERROR(INDEX(المنيو!$C$2:$C$500,MATCH($C1298,المنيو!$B$2:$B$500,0)),0))</f>
        <v/>
      </c>
      <c r="F1298" s="103" t="str">
        <f aca="false">IF($C1298="","",$D1298*$E1298)</f>
        <v/>
      </c>
      <c r="G1298" s="103" t="str">
        <f aca="false">IF($C1298="","",$D1298*IFERROR(INDEX('تحليل التكلفة والسعر'!$C$2:$C$700,MATCH($C1298,'تحليل التكلفة والسعر'!$B$2:$B$700,0)),0))</f>
        <v/>
      </c>
    </row>
    <row r="1299" customFormat="false" ht="15" hidden="false" customHeight="false" outlineLevel="0" collapsed="false">
      <c r="A1299" s="102"/>
      <c r="E1299" s="103" t="str">
        <f aca="false">IF($C1299="","",IFERROR(INDEX(المنيو!$C$2:$C$500,MATCH($C1299,المنيو!$B$2:$B$500,0)),0))</f>
        <v/>
      </c>
      <c r="F1299" s="103" t="str">
        <f aca="false">IF($C1299="","",$D1299*$E1299)</f>
        <v/>
      </c>
      <c r="G1299" s="103" t="str">
        <f aca="false">IF($C1299="","",$D1299*IFERROR(INDEX('تحليل التكلفة والسعر'!$C$2:$C$700,MATCH($C1299,'تحليل التكلفة والسعر'!$B$2:$B$700,0)),0))</f>
        <v/>
      </c>
    </row>
    <row r="1300" customFormat="false" ht="15" hidden="false" customHeight="false" outlineLevel="0" collapsed="false">
      <c r="A1300" s="102"/>
      <c r="E1300" s="103" t="str">
        <f aca="false">IF($C1300="","",IFERROR(INDEX(المنيو!$C$2:$C$500,MATCH($C1300,المنيو!$B$2:$B$500,0)),0))</f>
        <v/>
      </c>
      <c r="F1300" s="103" t="str">
        <f aca="false">IF($C1300="","",$D1300*$E1300)</f>
        <v/>
      </c>
      <c r="G1300" s="103" t="str">
        <f aca="false">IF($C1300="","",$D1300*IFERROR(INDEX('تحليل التكلفة والسعر'!$C$2:$C$700,MATCH($C1300,'تحليل التكلفة والسعر'!$B$2:$B$700,0)),0))</f>
        <v/>
      </c>
    </row>
    <row r="1301" customFormat="false" ht="15" hidden="false" customHeight="false" outlineLevel="0" collapsed="false">
      <c r="A1301" s="102"/>
      <c r="E1301" s="103" t="str">
        <f aca="false">IF($C1301="","",IFERROR(INDEX(المنيو!$C$2:$C$500,MATCH($C1301,المنيو!$B$2:$B$500,0)),0))</f>
        <v/>
      </c>
      <c r="F1301" s="103" t="str">
        <f aca="false">IF($C1301="","",$D1301*$E1301)</f>
        <v/>
      </c>
      <c r="G1301" s="103" t="str">
        <f aca="false">IF($C1301="","",$D1301*IFERROR(INDEX('تحليل التكلفة والسعر'!$C$2:$C$700,MATCH($C1301,'تحليل التكلفة والسعر'!$B$2:$B$700,0)),0))</f>
        <v/>
      </c>
    </row>
    <row r="1302" customFormat="false" ht="15" hidden="false" customHeight="false" outlineLevel="0" collapsed="false">
      <c r="A1302" s="102"/>
      <c r="E1302" s="103" t="str">
        <f aca="false">IF($C1302="","",IFERROR(INDEX(المنيو!$C$2:$C$500,MATCH($C1302,المنيو!$B$2:$B$500,0)),0))</f>
        <v/>
      </c>
      <c r="F1302" s="103" t="str">
        <f aca="false">IF($C1302="","",$D1302*$E1302)</f>
        <v/>
      </c>
      <c r="G1302" s="103" t="str">
        <f aca="false">IF($C1302="","",$D1302*IFERROR(INDEX('تحليل التكلفة والسعر'!$C$2:$C$700,MATCH($C1302,'تحليل التكلفة والسعر'!$B$2:$B$700,0)),0))</f>
        <v/>
      </c>
    </row>
    <row r="1303" customFormat="false" ht="15" hidden="false" customHeight="false" outlineLevel="0" collapsed="false">
      <c r="A1303" s="102"/>
      <c r="E1303" s="103" t="str">
        <f aca="false">IF($C1303="","",IFERROR(INDEX(المنيو!$C$2:$C$500,MATCH($C1303,المنيو!$B$2:$B$500,0)),0))</f>
        <v/>
      </c>
      <c r="F1303" s="103" t="str">
        <f aca="false">IF($C1303="","",$D1303*$E1303)</f>
        <v/>
      </c>
      <c r="G1303" s="103" t="str">
        <f aca="false">IF($C1303="","",$D1303*IFERROR(INDEX('تحليل التكلفة والسعر'!$C$2:$C$700,MATCH($C1303,'تحليل التكلفة والسعر'!$B$2:$B$700,0)),0))</f>
        <v/>
      </c>
    </row>
    <row r="1304" customFormat="false" ht="15" hidden="false" customHeight="false" outlineLevel="0" collapsed="false">
      <c r="A1304" s="102"/>
      <c r="E1304" s="103" t="str">
        <f aca="false">IF($C1304="","",IFERROR(INDEX(المنيو!$C$2:$C$500,MATCH($C1304,المنيو!$B$2:$B$500,0)),0))</f>
        <v/>
      </c>
      <c r="F1304" s="103" t="str">
        <f aca="false">IF($C1304="","",$D1304*$E1304)</f>
        <v/>
      </c>
      <c r="G1304" s="103" t="str">
        <f aca="false">IF($C1304="","",$D1304*IFERROR(INDEX('تحليل التكلفة والسعر'!$C$2:$C$700,MATCH($C1304,'تحليل التكلفة والسعر'!$B$2:$B$700,0)),0))</f>
        <v/>
      </c>
    </row>
    <row r="1305" customFormat="false" ht="15" hidden="false" customHeight="false" outlineLevel="0" collapsed="false">
      <c r="A1305" s="102"/>
      <c r="E1305" s="103" t="str">
        <f aca="false">IF($C1305="","",IFERROR(INDEX(المنيو!$C$2:$C$500,MATCH($C1305,المنيو!$B$2:$B$500,0)),0))</f>
        <v/>
      </c>
      <c r="F1305" s="103" t="str">
        <f aca="false">IF($C1305="","",$D1305*$E1305)</f>
        <v/>
      </c>
      <c r="G1305" s="103" t="str">
        <f aca="false">IF($C1305="","",$D1305*IFERROR(INDEX('تحليل التكلفة والسعر'!$C$2:$C$700,MATCH($C1305,'تحليل التكلفة والسعر'!$B$2:$B$700,0)),0))</f>
        <v/>
      </c>
    </row>
    <row r="1306" customFormat="false" ht="15" hidden="false" customHeight="false" outlineLevel="0" collapsed="false">
      <c r="A1306" s="102"/>
      <c r="E1306" s="103" t="str">
        <f aca="false">IF($C1306="","",IFERROR(INDEX(المنيو!$C$2:$C$500,MATCH($C1306,المنيو!$B$2:$B$500,0)),0))</f>
        <v/>
      </c>
      <c r="F1306" s="103" t="str">
        <f aca="false">IF($C1306="","",$D1306*$E1306)</f>
        <v/>
      </c>
      <c r="G1306" s="103" t="str">
        <f aca="false">IF($C1306="","",$D1306*IFERROR(INDEX('تحليل التكلفة والسعر'!$C$2:$C$700,MATCH($C1306,'تحليل التكلفة والسعر'!$B$2:$B$700,0)),0))</f>
        <v/>
      </c>
    </row>
    <row r="1307" customFormat="false" ht="15" hidden="false" customHeight="false" outlineLevel="0" collapsed="false">
      <c r="A1307" s="102"/>
      <c r="E1307" s="103" t="str">
        <f aca="false">IF($C1307="","",IFERROR(INDEX(المنيو!$C$2:$C$500,MATCH($C1307,المنيو!$B$2:$B$500,0)),0))</f>
        <v/>
      </c>
      <c r="F1307" s="103" t="str">
        <f aca="false">IF($C1307="","",$D1307*$E1307)</f>
        <v/>
      </c>
      <c r="G1307" s="103" t="str">
        <f aca="false">IF($C1307="","",$D1307*IFERROR(INDEX('تحليل التكلفة والسعر'!$C$2:$C$700,MATCH($C1307,'تحليل التكلفة والسعر'!$B$2:$B$700,0)),0))</f>
        <v/>
      </c>
    </row>
    <row r="1308" customFormat="false" ht="15" hidden="false" customHeight="false" outlineLevel="0" collapsed="false">
      <c r="A1308" s="102"/>
      <c r="E1308" s="103" t="str">
        <f aca="false">IF($C1308="","",IFERROR(INDEX(المنيو!$C$2:$C$500,MATCH($C1308,المنيو!$B$2:$B$500,0)),0))</f>
        <v/>
      </c>
      <c r="F1308" s="103" t="str">
        <f aca="false">IF($C1308="","",$D1308*$E1308)</f>
        <v/>
      </c>
      <c r="G1308" s="103" t="str">
        <f aca="false">IF($C1308="","",$D1308*IFERROR(INDEX('تحليل التكلفة والسعر'!$C$2:$C$700,MATCH($C1308,'تحليل التكلفة والسعر'!$B$2:$B$700,0)),0))</f>
        <v/>
      </c>
    </row>
    <row r="1309" customFormat="false" ht="15" hidden="false" customHeight="false" outlineLevel="0" collapsed="false">
      <c r="A1309" s="102"/>
      <c r="E1309" s="103" t="str">
        <f aca="false">IF($C1309="","",IFERROR(INDEX(المنيو!$C$2:$C$500,MATCH($C1309,المنيو!$B$2:$B$500,0)),0))</f>
        <v/>
      </c>
      <c r="F1309" s="103" t="str">
        <f aca="false">IF($C1309="","",$D1309*$E1309)</f>
        <v/>
      </c>
      <c r="G1309" s="103" t="str">
        <f aca="false">IF($C1309="","",$D1309*IFERROR(INDEX('تحليل التكلفة والسعر'!$C$2:$C$700,MATCH($C1309,'تحليل التكلفة والسعر'!$B$2:$B$700,0)),0))</f>
        <v/>
      </c>
    </row>
    <row r="1310" customFormat="false" ht="15" hidden="false" customHeight="false" outlineLevel="0" collapsed="false">
      <c r="A1310" s="102"/>
      <c r="E1310" s="103" t="str">
        <f aca="false">IF($C1310="","",IFERROR(INDEX(المنيو!$C$2:$C$500,MATCH($C1310,المنيو!$B$2:$B$500,0)),0))</f>
        <v/>
      </c>
      <c r="F1310" s="103" t="str">
        <f aca="false">IF($C1310="","",$D1310*$E1310)</f>
        <v/>
      </c>
      <c r="G1310" s="103" t="str">
        <f aca="false">IF($C1310="","",$D1310*IFERROR(INDEX('تحليل التكلفة والسعر'!$C$2:$C$700,MATCH($C1310,'تحليل التكلفة والسعر'!$B$2:$B$700,0)),0))</f>
        <v/>
      </c>
    </row>
    <row r="1311" customFormat="false" ht="15" hidden="false" customHeight="false" outlineLevel="0" collapsed="false">
      <c r="A1311" s="102"/>
      <c r="E1311" s="103" t="str">
        <f aca="false">IF($C1311="","",IFERROR(INDEX(المنيو!$C$2:$C$500,MATCH($C1311,المنيو!$B$2:$B$500,0)),0))</f>
        <v/>
      </c>
      <c r="F1311" s="103" t="str">
        <f aca="false">IF($C1311="","",$D1311*$E1311)</f>
        <v/>
      </c>
      <c r="G1311" s="103" t="str">
        <f aca="false">IF($C1311="","",$D1311*IFERROR(INDEX('تحليل التكلفة والسعر'!$C$2:$C$700,MATCH($C1311,'تحليل التكلفة والسعر'!$B$2:$B$700,0)),0))</f>
        <v/>
      </c>
    </row>
    <row r="1312" customFormat="false" ht="15" hidden="false" customHeight="false" outlineLevel="0" collapsed="false">
      <c r="A1312" s="102"/>
      <c r="E1312" s="103" t="str">
        <f aca="false">IF($C1312="","",IFERROR(INDEX(المنيو!$C$2:$C$500,MATCH($C1312,المنيو!$B$2:$B$500,0)),0))</f>
        <v/>
      </c>
      <c r="F1312" s="103" t="str">
        <f aca="false">IF($C1312="","",$D1312*$E1312)</f>
        <v/>
      </c>
      <c r="G1312" s="103" t="str">
        <f aca="false">IF($C1312="","",$D1312*IFERROR(INDEX('تحليل التكلفة والسعر'!$C$2:$C$700,MATCH($C1312,'تحليل التكلفة والسعر'!$B$2:$B$700,0)),0))</f>
        <v/>
      </c>
    </row>
    <row r="1313" customFormat="false" ht="15" hidden="false" customHeight="false" outlineLevel="0" collapsed="false">
      <c r="A1313" s="102"/>
      <c r="E1313" s="103" t="str">
        <f aca="false">IF($C1313="","",IFERROR(INDEX(المنيو!$C$2:$C$500,MATCH($C1313,المنيو!$B$2:$B$500,0)),0))</f>
        <v/>
      </c>
      <c r="F1313" s="103" t="str">
        <f aca="false">IF($C1313="","",$D1313*$E1313)</f>
        <v/>
      </c>
      <c r="G1313" s="103" t="str">
        <f aca="false">IF($C1313="","",$D1313*IFERROR(INDEX('تحليل التكلفة والسعر'!$C$2:$C$700,MATCH($C1313,'تحليل التكلفة والسعر'!$B$2:$B$700,0)),0))</f>
        <v/>
      </c>
    </row>
    <row r="1314" customFormat="false" ht="15" hidden="false" customHeight="false" outlineLevel="0" collapsed="false">
      <c r="A1314" s="102"/>
      <c r="E1314" s="103" t="str">
        <f aca="false">IF($C1314="","",IFERROR(INDEX(المنيو!$C$2:$C$500,MATCH($C1314,المنيو!$B$2:$B$500,0)),0))</f>
        <v/>
      </c>
      <c r="F1314" s="103" t="str">
        <f aca="false">IF($C1314="","",$D1314*$E1314)</f>
        <v/>
      </c>
      <c r="G1314" s="103" t="str">
        <f aca="false">IF($C1314="","",$D1314*IFERROR(INDEX('تحليل التكلفة والسعر'!$C$2:$C$700,MATCH($C1314,'تحليل التكلفة والسعر'!$B$2:$B$700,0)),0))</f>
        <v/>
      </c>
    </row>
    <row r="1315" customFormat="false" ht="15" hidden="false" customHeight="false" outlineLevel="0" collapsed="false">
      <c r="A1315" s="102"/>
      <c r="E1315" s="103" t="str">
        <f aca="false">IF($C1315="","",IFERROR(INDEX(المنيو!$C$2:$C$500,MATCH($C1315,المنيو!$B$2:$B$500,0)),0))</f>
        <v/>
      </c>
      <c r="F1315" s="103" t="str">
        <f aca="false">IF($C1315="","",$D1315*$E1315)</f>
        <v/>
      </c>
      <c r="G1315" s="103" t="str">
        <f aca="false">IF($C1315="","",$D1315*IFERROR(INDEX('تحليل التكلفة والسعر'!$C$2:$C$700,MATCH($C1315,'تحليل التكلفة والسعر'!$B$2:$B$700,0)),0))</f>
        <v/>
      </c>
    </row>
    <row r="1316" customFormat="false" ht="15" hidden="false" customHeight="false" outlineLevel="0" collapsed="false">
      <c r="A1316" s="102"/>
      <c r="E1316" s="103" t="str">
        <f aca="false">IF($C1316="","",IFERROR(INDEX(المنيو!$C$2:$C$500,MATCH($C1316,المنيو!$B$2:$B$500,0)),0))</f>
        <v/>
      </c>
      <c r="F1316" s="103" t="str">
        <f aca="false">IF($C1316="","",$D1316*$E1316)</f>
        <v/>
      </c>
      <c r="G1316" s="103" t="str">
        <f aca="false">IF($C1316="","",$D1316*IFERROR(INDEX('تحليل التكلفة والسعر'!$C$2:$C$700,MATCH($C1316,'تحليل التكلفة والسعر'!$B$2:$B$700,0)),0))</f>
        <v/>
      </c>
    </row>
    <row r="1317" customFormat="false" ht="15" hidden="false" customHeight="false" outlineLevel="0" collapsed="false">
      <c r="A1317" s="102"/>
      <c r="E1317" s="103" t="str">
        <f aca="false">IF($C1317="","",IFERROR(INDEX(المنيو!$C$2:$C$500,MATCH($C1317,المنيو!$B$2:$B$500,0)),0))</f>
        <v/>
      </c>
      <c r="F1317" s="103" t="str">
        <f aca="false">IF($C1317="","",$D1317*$E1317)</f>
        <v/>
      </c>
      <c r="G1317" s="103" t="str">
        <f aca="false">IF($C1317="","",$D1317*IFERROR(INDEX('تحليل التكلفة والسعر'!$C$2:$C$700,MATCH($C1317,'تحليل التكلفة والسعر'!$B$2:$B$700,0)),0))</f>
        <v/>
      </c>
    </row>
    <row r="1318" customFormat="false" ht="15" hidden="false" customHeight="false" outlineLevel="0" collapsed="false">
      <c r="A1318" s="102"/>
      <c r="E1318" s="103" t="str">
        <f aca="false">IF($C1318="","",IFERROR(INDEX(المنيو!$C$2:$C$500,MATCH($C1318,المنيو!$B$2:$B$500,0)),0))</f>
        <v/>
      </c>
      <c r="F1318" s="103" t="str">
        <f aca="false">IF($C1318="","",$D1318*$E1318)</f>
        <v/>
      </c>
      <c r="G1318" s="103" t="str">
        <f aca="false">IF($C1318="","",$D1318*IFERROR(INDEX('تحليل التكلفة والسعر'!$C$2:$C$700,MATCH($C1318,'تحليل التكلفة والسعر'!$B$2:$B$700,0)),0))</f>
        <v/>
      </c>
    </row>
    <row r="1319" customFormat="false" ht="15" hidden="false" customHeight="false" outlineLevel="0" collapsed="false">
      <c r="A1319" s="102"/>
      <c r="E1319" s="103" t="str">
        <f aca="false">IF($C1319="","",IFERROR(INDEX(المنيو!$C$2:$C$500,MATCH($C1319,المنيو!$B$2:$B$500,0)),0))</f>
        <v/>
      </c>
      <c r="F1319" s="103" t="str">
        <f aca="false">IF($C1319="","",$D1319*$E1319)</f>
        <v/>
      </c>
      <c r="G1319" s="103" t="str">
        <f aca="false">IF($C1319="","",$D1319*IFERROR(INDEX('تحليل التكلفة والسعر'!$C$2:$C$700,MATCH($C1319,'تحليل التكلفة والسعر'!$B$2:$B$700,0)),0))</f>
        <v/>
      </c>
    </row>
    <row r="1320" customFormat="false" ht="15" hidden="false" customHeight="false" outlineLevel="0" collapsed="false">
      <c r="A1320" s="102"/>
      <c r="E1320" s="103" t="str">
        <f aca="false">IF($C1320="","",IFERROR(INDEX(المنيو!$C$2:$C$500,MATCH($C1320,المنيو!$B$2:$B$500,0)),0))</f>
        <v/>
      </c>
      <c r="F1320" s="103" t="str">
        <f aca="false">IF($C1320="","",$D1320*$E1320)</f>
        <v/>
      </c>
      <c r="G1320" s="103" t="str">
        <f aca="false">IF($C1320="","",$D1320*IFERROR(INDEX('تحليل التكلفة والسعر'!$C$2:$C$700,MATCH($C1320,'تحليل التكلفة والسعر'!$B$2:$B$700,0)),0))</f>
        <v/>
      </c>
    </row>
    <row r="1321" customFormat="false" ht="15" hidden="false" customHeight="false" outlineLevel="0" collapsed="false">
      <c r="A1321" s="102"/>
      <c r="E1321" s="103" t="str">
        <f aca="false">IF($C1321="","",IFERROR(INDEX(المنيو!$C$2:$C$500,MATCH($C1321,المنيو!$B$2:$B$500,0)),0))</f>
        <v/>
      </c>
      <c r="F1321" s="103" t="str">
        <f aca="false">IF($C1321="","",$D1321*$E1321)</f>
        <v/>
      </c>
      <c r="G1321" s="103" t="str">
        <f aca="false">IF($C1321="","",$D1321*IFERROR(INDEX('تحليل التكلفة والسعر'!$C$2:$C$700,MATCH($C1321,'تحليل التكلفة والسعر'!$B$2:$B$700,0)),0))</f>
        <v/>
      </c>
    </row>
    <row r="1322" customFormat="false" ht="15" hidden="false" customHeight="false" outlineLevel="0" collapsed="false">
      <c r="A1322" s="102"/>
      <c r="E1322" s="103" t="str">
        <f aca="false">IF($C1322="","",IFERROR(INDEX(المنيو!$C$2:$C$500,MATCH($C1322,المنيو!$B$2:$B$500,0)),0))</f>
        <v/>
      </c>
      <c r="F1322" s="103" t="str">
        <f aca="false">IF($C1322="","",$D1322*$E1322)</f>
        <v/>
      </c>
      <c r="G1322" s="103" t="str">
        <f aca="false">IF($C1322="","",$D1322*IFERROR(INDEX('تحليل التكلفة والسعر'!$C$2:$C$700,MATCH($C1322,'تحليل التكلفة والسعر'!$B$2:$B$700,0)),0))</f>
        <v/>
      </c>
    </row>
    <row r="1323" customFormat="false" ht="15" hidden="false" customHeight="false" outlineLevel="0" collapsed="false">
      <c r="A1323" s="102"/>
      <c r="E1323" s="103" t="str">
        <f aca="false">IF($C1323="","",IFERROR(INDEX(المنيو!$C$2:$C$500,MATCH($C1323,المنيو!$B$2:$B$500,0)),0))</f>
        <v/>
      </c>
      <c r="F1323" s="103" t="str">
        <f aca="false">IF($C1323="","",$D1323*$E1323)</f>
        <v/>
      </c>
      <c r="G1323" s="103" t="str">
        <f aca="false">IF($C1323="","",$D1323*IFERROR(INDEX('تحليل التكلفة والسعر'!$C$2:$C$700,MATCH($C1323,'تحليل التكلفة والسعر'!$B$2:$B$700,0)),0))</f>
        <v/>
      </c>
    </row>
    <row r="1324" customFormat="false" ht="15" hidden="false" customHeight="false" outlineLevel="0" collapsed="false">
      <c r="A1324" s="102"/>
      <c r="E1324" s="103" t="str">
        <f aca="false">IF($C1324="","",IFERROR(INDEX(المنيو!$C$2:$C$500,MATCH($C1324,المنيو!$B$2:$B$500,0)),0))</f>
        <v/>
      </c>
      <c r="F1324" s="103" t="str">
        <f aca="false">IF($C1324="","",$D1324*$E1324)</f>
        <v/>
      </c>
      <c r="G1324" s="103" t="str">
        <f aca="false">IF($C1324="","",$D1324*IFERROR(INDEX('تحليل التكلفة والسعر'!$C$2:$C$700,MATCH($C1324,'تحليل التكلفة والسعر'!$B$2:$B$700,0)),0))</f>
        <v/>
      </c>
    </row>
    <row r="1325" customFormat="false" ht="15" hidden="false" customHeight="false" outlineLevel="0" collapsed="false">
      <c r="A1325" s="102"/>
      <c r="E1325" s="103" t="str">
        <f aca="false">IF($C1325="","",IFERROR(INDEX(المنيو!$C$2:$C$500,MATCH($C1325,المنيو!$B$2:$B$500,0)),0))</f>
        <v/>
      </c>
      <c r="F1325" s="103" t="str">
        <f aca="false">IF($C1325="","",$D1325*$E1325)</f>
        <v/>
      </c>
      <c r="G1325" s="103" t="str">
        <f aca="false">IF($C1325="","",$D1325*IFERROR(INDEX('تحليل التكلفة والسعر'!$C$2:$C$700,MATCH($C1325,'تحليل التكلفة والسعر'!$B$2:$B$700,0)),0))</f>
        <v/>
      </c>
    </row>
    <row r="1326" customFormat="false" ht="15" hidden="false" customHeight="false" outlineLevel="0" collapsed="false">
      <c r="A1326" s="102"/>
      <c r="E1326" s="103" t="str">
        <f aca="false">IF($C1326="","",IFERROR(INDEX(المنيو!$C$2:$C$500,MATCH($C1326,المنيو!$B$2:$B$500,0)),0))</f>
        <v/>
      </c>
      <c r="F1326" s="103" t="str">
        <f aca="false">IF($C1326="","",$D1326*$E1326)</f>
        <v/>
      </c>
      <c r="G1326" s="103" t="str">
        <f aca="false">IF($C1326="","",$D1326*IFERROR(INDEX('تحليل التكلفة والسعر'!$C$2:$C$700,MATCH($C1326,'تحليل التكلفة والسعر'!$B$2:$B$700,0)),0))</f>
        <v/>
      </c>
    </row>
    <row r="1327" customFormat="false" ht="15" hidden="false" customHeight="false" outlineLevel="0" collapsed="false">
      <c r="A1327" s="102"/>
      <c r="E1327" s="103" t="str">
        <f aca="false">IF($C1327="","",IFERROR(INDEX(المنيو!$C$2:$C$500,MATCH($C1327,المنيو!$B$2:$B$500,0)),0))</f>
        <v/>
      </c>
      <c r="F1327" s="103" t="str">
        <f aca="false">IF($C1327="","",$D1327*$E1327)</f>
        <v/>
      </c>
      <c r="G1327" s="103" t="str">
        <f aca="false">IF($C1327="","",$D1327*IFERROR(INDEX('تحليل التكلفة والسعر'!$C$2:$C$700,MATCH($C1327,'تحليل التكلفة والسعر'!$B$2:$B$700,0)),0))</f>
        <v/>
      </c>
    </row>
    <row r="1328" customFormat="false" ht="15" hidden="false" customHeight="false" outlineLevel="0" collapsed="false">
      <c r="A1328" s="102"/>
      <c r="E1328" s="103" t="str">
        <f aca="false">IF($C1328="","",IFERROR(INDEX(المنيو!$C$2:$C$500,MATCH($C1328,المنيو!$B$2:$B$500,0)),0))</f>
        <v/>
      </c>
      <c r="F1328" s="103" t="str">
        <f aca="false">IF($C1328="","",$D1328*$E1328)</f>
        <v/>
      </c>
      <c r="G1328" s="103" t="str">
        <f aca="false">IF($C1328="","",$D1328*IFERROR(INDEX('تحليل التكلفة والسعر'!$C$2:$C$700,MATCH($C1328,'تحليل التكلفة والسعر'!$B$2:$B$700,0)),0))</f>
        <v/>
      </c>
    </row>
    <row r="1329" customFormat="false" ht="15" hidden="false" customHeight="false" outlineLevel="0" collapsed="false">
      <c r="A1329" s="102"/>
      <c r="E1329" s="103" t="str">
        <f aca="false">IF($C1329="","",IFERROR(INDEX(المنيو!$C$2:$C$500,MATCH($C1329,المنيو!$B$2:$B$500,0)),0))</f>
        <v/>
      </c>
      <c r="F1329" s="103" t="str">
        <f aca="false">IF($C1329="","",$D1329*$E1329)</f>
        <v/>
      </c>
      <c r="G1329" s="103" t="str">
        <f aca="false">IF($C1329="","",$D1329*IFERROR(INDEX('تحليل التكلفة والسعر'!$C$2:$C$700,MATCH($C1329,'تحليل التكلفة والسعر'!$B$2:$B$700,0)),0))</f>
        <v/>
      </c>
    </row>
    <row r="1330" customFormat="false" ht="15" hidden="false" customHeight="false" outlineLevel="0" collapsed="false">
      <c r="A1330" s="102"/>
      <c r="E1330" s="103" t="str">
        <f aca="false">IF($C1330="","",IFERROR(INDEX(المنيو!$C$2:$C$500,MATCH($C1330,المنيو!$B$2:$B$500,0)),0))</f>
        <v/>
      </c>
      <c r="F1330" s="103" t="str">
        <f aca="false">IF($C1330="","",$D1330*$E1330)</f>
        <v/>
      </c>
      <c r="G1330" s="103" t="str">
        <f aca="false">IF($C1330="","",$D1330*IFERROR(INDEX('تحليل التكلفة والسعر'!$C$2:$C$700,MATCH($C1330,'تحليل التكلفة والسعر'!$B$2:$B$700,0)),0))</f>
        <v/>
      </c>
    </row>
    <row r="1331" customFormat="false" ht="15" hidden="false" customHeight="false" outlineLevel="0" collapsed="false">
      <c r="A1331" s="102"/>
      <c r="E1331" s="103" t="str">
        <f aca="false">IF($C1331="","",IFERROR(INDEX(المنيو!$C$2:$C$500,MATCH($C1331,المنيو!$B$2:$B$500,0)),0))</f>
        <v/>
      </c>
      <c r="F1331" s="103" t="str">
        <f aca="false">IF($C1331="","",$D1331*$E1331)</f>
        <v/>
      </c>
      <c r="G1331" s="103" t="str">
        <f aca="false">IF($C1331="","",$D1331*IFERROR(INDEX('تحليل التكلفة والسعر'!$C$2:$C$700,MATCH($C1331,'تحليل التكلفة والسعر'!$B$2:$B$700,0)),0))</f>
        <v/>
      </c>
    </row>
    <row r="1332" customFormat="false" ht="15" hidden="false" customHeight="false" outlineLevel="0" collapsed="false">
      <c r="A1332" s="102"/>
      <c r="E1332" s="103" t="str">
        <f aca="false">IF($C1332="","",IFERROR(INDEX(المنيو!$C$2:$C$500,MATCH($C1332,المنيو!$B$2:$B$500,0)),0))</f>
        <v/>
      </c>
      <c r="F1332" s="103" t="str">
        <f aca="false">IF($C1332="","",$D1332*$E1332)</f>
        <v/>
      </c>
      <c r="G1332" s="103" t="str">
        <f aca="false">IF($C1332="","",$D1332*IFERROR(INDEX('تحليل التكلفة والسعر'!$C$2:$C$700,MATCH($C1332,'تحليل التكلفة والسعر'!$B$2:$B$700,0)),0))</f>
        <v/>
      </c>
    </row>
    <row r="1333" customFormat="false" ht="15" hidden="false" customHeight="false" outlineLevel="0" collapsed="false">
      <c r="A1333" s="102"/>
      <c r="E1333" s="103" t="str">
        <f aca="false">IF($C1333="","",IFERROR(INDEX(المنيو!$C$2:$C$500,MATCH($C1333,المنيو!$B$2:$B$500,0)),0))</f>
        <v/>
      </c>
      <c r="F1333" s="103" t="str">
        <f aca="false">IF($C1333="","",$D1333*$E1333)</f>
        <v/>
      </c>
      <c r="G1333" s="103" t="str">
        <f aca="false">IF($C1333="","",$D1333*IFERROR(INDEX('تحليل التكلفة والسعر'!$C$2:$C$700,MATCH($C1333,'تحليل التكلفة والسعر'!$B$2:$B$700,0)),0))</f>
        <v/>
      </c>
    </row>
    <row r="1334" customFormat="false" ht="15" hidden="false" customHeight="false" outlineLevel="0" collapsed="false">
      <c r="A1334" s="102"/>
      <c r="E1334" s="103" t="str">
        <f aca="false">IF($C1334="","",IFERROR(INDEX(المنيو!$C$2:$C$500,MATCH($C1334,المنيو!$B$2:$B$500,0)),0))</f>
        <v/>
      </c>
      <c r="F1334" s="103" t="str">
        <f aca="false">IF($C1334="","",$D1334*$E1334)</f>
        <v/>
      </c>
      <c r="G1334" s="103" t="str">
        <f aca="false">IF($C1334="","",$D1334*IFERROR(INDEX('تحليل التكلفة والسعر'!$C$2:$C$700,MATCH($C1334,'تحليل التكلفة والسعر'!$B$2:$B$700,0)),0))</f>
        <v/>
      </c>
    </row>
    <row r="1335" customFormat="false" ht="15" hidden="false" customHeight="false" outlineLevel="0" collapsed="false">
      <c r="A1335" s="102"/>
      <c r="E1335" s="103" t="str">
        <f aca="false">IF($C1335="","",IFERROR(INDEX(المنيو!$C$2:$C$500,MATCH($C1335,المنيو!$B$2:$B$500,0)),0))</f>
        <v/>
      </c>
      <c r="F1335" s="103" t="str">
        <f aca="false">IF($C1335="","",$D1335*$E1335)</f>
        <v/>
      </c>
      <c r="G1335" s="103" t="str">
        <f aca="false">IF($C1335="","",$D1335*IFERROR(INDEX('تحليل التكلفة والسعر'!$C$2:$C$700,MATCH($C1335,'تحليل التكلفة والسعر'!$B$2:$B$700,0)),0))</f>
        <v/>
      </c>
    </row>
    <row r="1336" customFormat="false" ht="15" hidden="false" customHeight="false" outlineLevel="0" collapsed="false">
      <c r="A1336" s="102"/>
      <c r="E1336" s="103" t="str">
        <f aca="false">IF($C1336="","",IFERROR(INDEX(المنيو!$C$2:$C$500,MATCH($C1336,المنيو!$B$2:$B$500,0)),0))</f>
        <v/>
      </c>
      <c r="F1336" s="103" t="str">
        <f aca="false">IF($C1336="","",$D1336*$E1336)</f>
        <v/>
      </c>
      <c r="G1336" s="103" t="str">
        <f aca="false">IF($C1336="","",$D1336*IFERROR(INDEX('تحليل التكلفة والسعر'!$C$2:$C$700,MATCH($C1336,'تحليل التكلفة والسعر'!$B$2:$B$700,0)),0))</f>
        <v/>
      </c>
    </row>
    <row r="1337" customFormat="false" ht="15" hidden="false" customHeight="false" outlineLevel="0" collapsed="false">
      <c r="A1337" s="102"/>
      <c r="E1337" s="103" t="str">
        <f aca="false">IF($C1337="","",IFERROR(INDEX(المنيو!$C$2:$C$500,MATCH($C1337,المنيو!$B$2:$B$500,0)),0))</f>
        <v/>
      </c>
      <c r="F1337" s="103" t="str">
        <f aca="false">IF($C1337="","",$D1337*$E1337)</f>
        <v/>
      </c>
      <c r="G1337" s="103" t="str">
        <f aca="false">IF($C1337="","",$D1337*IFERROR(INDEX('تحليل التكلفة والسعر'!$C$2:$C$700,MATCH($C1337,'تحليل التكلفة والسعر'!$B$2:$B$700,0)),0))</f>
        <v/>
      </c>
    </row>
    <row r="1338" customFormat="false" ht="15" hidden="false" customHeight="false" outlineLevel="0" collapsed="false">
      <c r="A1338" s="102"/>
      <c r="E1338" s="103" t="str">
        <f aca="false">IF($C1338="","",IFERROR(INDEX(المنيو!$C$2:$C$500,MATCH($C1338,المنيو!$B$2:$B$500,0)),0))</f>
        <v/>
      </c>
      <c r="F1338" s="103" t="str">
        <f aca="false">IF($C1338="","",$D1338*$E1338)</f>
        <v/>
      </c>
      <c r="G1338" s="103" t="str">
        <f aca="false">IF($C1338="","",$D1338*IFERROR(INDEX('تحليل التكلفة والسعر'!$C$2:$C$700,MATCH($C1338,'تحليل التكلفة والسعر'!$B$2:$B$700,0)),0))</f>
        <v/>
      </c>
    </row>
    <row r="1339" customFormat="false" ht="15" hidden="false" customHeight="false" outlineLevel="0" collapsed="false">
      <c r="A1339" s="102"/>
      <c r="E1339" s="103" t="str">
        <f aca="false">IF($C1339="","",IFERROR(INDEX(المنيو!$C$2:$C$500,MATCH($C1339,المنيو!$B$2:$B$500,0)),0))</f>
        <v/>
      </c>
      <c r="F1339" s="103" t="str">
        <f aca="false">IF($C1339="","",$D1339*$E1339)</f>
        <v/>
      </c>
      <c r="G1339" s="103" t="str">
        <f aca="false">IF($C1339="","",$D1339*IFERROR(INDEX('تحليل التكلفة والسعر'!$C$2:$C$700,MATCH($C1339,'تحليل التكلفة والسعر'!$B$2:$B$700,0)),0))</f>
        <v/>
      </c>
    </row>
    <row r="1340" customFormat="false" ht="15" hidden="false" customHeight="false" outlineLevel="0" collapsed="false">
      <c r="A1340" s="102"/>
      <c r="E1340" s="103" t="str">
        <f aca="false">IF($C1340="","",IFERROR(INDEX(المنيو!$C$2:$C$500,MATCH($C1340,المنيو!$B$2:$B$500,0)),0))</f>
        <v/>
      </c>
      <c r="F1340" s="103" t="str">
        <f aca="false">IF($C1340="","",$D1340*$E1340)</f>
        <v/>
      </c>
      <c r="G1340" s="103" t="str">
        <f aca="false">IF($C1340="","",$D1340*IFERROR(INDEX('تحليل التكلفة والسعر'!$C$2:$C$700,MATCH($C1340,'تحليل التكلفة والسعر'!$B$2:$B$700,0)),0))</f>
        <v/>
      </c>
    </row>
    <row r="1341" customFormat="false" ht="15" hidden="false" customHeight="false" outlineLevel="0" collapsed="false">
      <c r="A1341" s="102"/>
      <c r="E1341" s="103" t="str">
        <f aca="false">IF($C1341="","",IFERROR(INDEX(المنيو!$C$2:$C$500,MATCH($C1341,المنيو!$B$2:$B$500,0)),0))</f>
        <v/>
      </c>
      <c r="F1341" s="103" t="str">
        <f aca="false">IF($C1341="","",$D1341*$E1341)</f>
        <v/>
      </c>
      <c r="G1341" s="103" t="str">
        <f aca="false">IF($C1341="","",$D1341*IFERROR(INDEX('تحليل التكلفة والسعر'!$C$2:$C$700,MATCH($C1341,'تحليل التكلفة والسعر'!$B$2:$B$700,0)),0))</f>
        <v/>
      </c>
    </row>
    <row r="1342" customFormat="false" ht="15" hidden="false" customHeight="false" outlineLevel="0" collapsed="false">
      <c r="A1342" s="102"/>
      <c r="E1342" s="103" t="str">
        <f aca="false">IF($C1342="","",IFERROR(INDEX(المنيو!$C$2:$C$500,MATCH($C1342,المنيو!$B$2:$B$500,0)),0))</f>
        <v/>
      </c>
      <c r="F1342" s="103" t="str">
        <f aca="false">IF($C1342="","",$D1342*$E1342)</f>
        <v/>
      </c>
      <c r="G1342" s="103" t="str">
        <f aca="false">IF($C1342="","",$D1342*IFERROR(INDEX('تحليل التكلفة والسعر'!$C$2:$C$700,MATCH($C1342,'تحليل التكلفة والسعر'!$B$2:$B$700,0)),0))</f>
        <v/>
      </c>
    </row>
    <row r="1343" customFormat="false" ht="15" hidden="false" customHeight="false" outlineLevel="0" collapsed="false">
      <c r="A1343" s="102"/>
      <c r="E1343" s="103" t="str">
        <f aca="false">IF($C1343="","",IFERROR(INDEX(المنيو!$C$2:$C$500,MATCH($C1343,المنيو!$B$2:$B$500,0)),0))</f>
        <v/>
      </c>
      <c r="F1343" s="103" t="str">
        <f aca="false">IF($C1343="","",$D1343*$E1343)</f>
        <v/>
      </c>
      <c r="G1343" s="103" t="str">
        <f aca="false">IF($C1343="","",$D1343*IFERROR(INDEX('تحليل التكلفة والسعر'!$C$2:$C$700,MATCH($C1343,'تحليل التكلفة والسعر'!$B$2:$B$700,0)),0))</f>
        <v/>
      </c>
    </row>
    <row r="1344" customFormat="false" ht="15" hidden="false" customHeight="false" outlineLevel="0" collapsed="false">
      <c r="A1344" s="102"/>
      <c r="E1344" s="103" t="str">
        <f aca="false">IF($C1344="","",IFERROR(INDEX(المنيو!$C$2:$C$500,MATCH($C1344,المنيو!$B$2:$B$500,0)),0))</f>
        <v/>
      </c>
      <c r="F1344" s="103" t="str">
        <f aca="false">IF($C1344="","",$D1344*$E1344)</f>
        <v/>
      </c>
      <c r="G1344" s="103" t="str">
        <f aca="false">IF($C1344="","",$D1344*IFERROR(INDEX('تحليل التكلفة والسعر'!$C$2:$C$700,MATCH($C1344,'تحليل التكلفة والسعر'!$B$2:$B$700,0)),0))</f>
        <v/>
      </c>
    </row>
    <row r="1345" customFormat="false" ht="15" hidden="false" customHeight="false" outlineLevel="0" collapsed="false">
      <c r="A1345" s="102"/>
      <c r="E1345" s="103" t="str">
        <f aca="false">IF($C1345="","",IFERROR(INDEX(المنيو!$C$2:$C$500,MATCH($C1345,المنيو!$B$2:$B$500,0)),0))</f>
        <v/>
      </c>
      <c r="F1345" s="103" t="str">
        <f aca="false">IF($C1345="","",$D1345*$E1345)</f>
        <v/>
      </c>
      <c r="G1345" s="103" t="str">
        <f aca="false">IF($C1345="","",$D1345*IFERROR(INDEX('تحليل التكلفة والسعر'!$C$2:$C$700,MATCH($C1345,'تحليل التكلفة والسعر'!$B$2:$B$700,0)),0))</f>
        <v/>
      </c>
    </row>
    <row r="1346" customFormat="false" ht="15" hidden="false" customHeight="false" outlineLevel="0" collapsed="false">
      <c r="A1346" s="102"/>
      <c r="E1346" s="103" t="str">
        <f aca="false">IF($C1346="","",IFERROR(INDEX(المنيو!$C$2:$C$500,MATCH($C1346,المنيو!$B$2:$B$500,0)),0))</f>
        <v/>
      </c>
      <c r="F1346" s="103" t="str">
        <f aca="false">IF($C1346="","",$D1346*$E1346)</f>
        <v/>
      </c>
      <c r="G1346" s="103" t="str">
        <f aca="false">IF($C1346="","",$D1346*IFERROR(INDEX('تحليل التكلفة والسعر'!$C$2:$C$700,MATCH($C1346,'تحليل التكلفة والسعر'!$B$2:$B$700,0)),0))</f>
        <v/>
      </c>
    </row>
    <row r="1347" customFormat="false" ht="15" hidden="false" customHeight="false" outlineLevel="0" collapsed="false">
      <c r="A1347" s="102"/>
      <c r="E1347" s="103" t="str">
        <f aca="false">IF($C1347="","",IFERROR(INDEX(المنيو!$C$2:$C$500,MATCH($C1347,المنيو!$B$2:$B$500,0)),0))</f>
        <v/>
      </c>
      <c r="F1347" s="103" t="str">
        <f aca="false">IF($C1347="","",$D1347*$E1347)</f>
        <v/>
      </c>
      <c r="G1347" s="103" t="str">
        <f aca="false">IF($C1347="","",$D1347*IFERROR(INDEX('تحليل التكلفة والسعر'!$C$2:$C$700,MATCH($C1347,'تحليل التكلفة والسعر'!$B$2:$B$700,0)),0))</f>
        <v/>
      </c>
    </row>
    <row r="1348" customFormat="false" ht="15" hidden="false" customHeight="false" outlineLevel="0" collapsed="false">
      <c r="A1348" s="102"/>
      <c r="E1348" s="103" t="str">
        <f aca="false">IF($C1348="","",IFERROR(INDEX(المنيو!$C$2:$C$500,MATCH($C1348,المنيو!$B$2:$B$500,0)),0))</f>
        <v/>
      </c>
      <c r="F1348" s="103" t="str">
        <f aca="false">IF($C1348="","",$D1348*$E1348)</f>
        <v/>
      </c>
      <c r="G1348" s="103" t="str">
        <f aca="false">IF($C1348="","",$D1348*IFERROR(INDEX('تحليل التكلفة والسعر'!$C$2:$C$700,MATCH($C1348,'تحليل التكلفة والسعر'!$B$2:$B$700,0)),0))</f>
        <v/>
      </c>
    </row>
    <row r="1349" customFormat="false" ht="15" hidden="false" customHeight="false" outlineLevel="0" collapsed="false">
      <c r="A1349" s="102"/>
      <c r="E1349" s="103" t="str">
        <f aca="false">IF($C1349="","",IFERROR(INDEX(المنيو!$C$2:$C$500,MATCH($C1349,المنيو!$B$2:$B$500,0)),0))</f>
        <v/>
      </c>
      <c r="F1349" s="103" t="str">
        <f aca="false">IF($C1349="","",$D1349*$E1349)</f>
        <v/>
      </c>
      <c r="G1349" s="103" t="str">
        <f aca="false">IF($C1349="","",$D1349*IFERROR(INDEX('تحليل التكلفة والسعر'!$C$2:$C$700,MATCH($C1349,'تحليل التكلفة والسعر'!$B$2:$B$700,0)),0))</f>
        <v/>
      </c>
    </row>
    <row r="1350" customFormat="false" ht="15" hidden="false" customHeight="false" outlineLevel="0" collapsed="false">
      <c r="A1350" s="102"/>
      <c r="E1350" s="103" t="str">
        <f aca="false">IF($C1350="","",IFERROR(INDEX(المنيو!$C$2:$C$500,MATCH($C1350,المنيو!$B$2:$B$500,0)),0))</f>
        <v/>
      </c>
      <c r="F1350" s="103" t="str">
        <f aca="false">IF($C1350="","",$D1350*$E1350)</f>
        <v/>
      </c>
      <c r="G1350" s="103" t="str">
        <f aca="false">IF($C1350="","",$D1350*IFERROR(INDEX('تحليل التكلفة والسعر'!$C$2:$C$700,MATCH($C1350,'تحليل التكلفة والسعر'!$B$2:$B$700,0)),0))</f>
        <v/>
      </c>
    </row>
    <row r="1351" customFormat="false" ht="15" hidden="false" customHeight="false" outlineLevel="0" collapsed="false">
      <c r="A1351" s="102"/>
      <c r="E1351" s="103" t="str">
        <f aca="false">IF($C1351="","",IFERROR(INDEX(المنيو!$C$2:$C$500,MATCH($C1351,المنيو!$B$2:$B$500,0)),0))</f>
        <v/>
      </c>
      <c r="F1351" s="103" t="str">
        <f aca="false">IF($C1351="","",$D1351*$E1351)</f>
        <v/>
      </c>
      <c r="G1351" s="103" t="str">
        <f aca="false">IF($C1351="","",$D1351*IFERROR(INDEX('تحليل التكلفة والسعر'!$C$2:$C$700,MATCH($C1351,'تحليل التكلفة والسعر'!$B$2:$B$700,0)),0))</f>
        <v/>
      </c>
    </row>
    <row r="1352" customFormat="false" ht="15" hidden="false" customHeight="false" outlineLevel="0" collapsed="false">
      <c r="A1352" s="102"/>
      <c r="E1352" s="103" t="str">
        <f aca="false">IF($C1352="","",IFERROR(INDEX(المنيو!$C$2:$C$500,MATCH($C1352,المنيو!$B$2:$B$500,0)),0))</f>
        <v/>
      </c>
      <c r="F1352" s="103" t="str">
        <f aca="false">IF($C1352="","",$D1352*$E1352)</f>
        <v/>
      </c>
      <c r="G1352" s="103" t="str">
        <f aca="false">IF($C1352="","",$D1352*IFERROR(INDEX('تحليل التكلفة والسعر'!$C$2:$C$700,MATCH($C1352,'تحليل التكلفة والسعر'!$B$2:$B$700,0)),0))</f>
        <v/>
      </c>
    </row>
    <row r="1353" customFormat="false" ht="15" hidden="false" customHeight="false" outlineLevel="0" collapsed="false">
      <c r="A1353" s="102"/>
      <c r="E1353" s="103" t="str">
        <f aca="false">IF($C1353="","",IFERROR(INDEX(المنيو!$C$2:$C$500,MATCH($C1353,المنيو!$B$2:$B$500,0)),0))</f>
        <v/>
      </c>
      <c r="F1353" s="103" t="str">
        <f aca="false">IF($C1353="","",$D1353*$E1353)</f>
        <v/>
      </c>
      <c r="G1353" s="103" t="str">
        <f aca="false">IF($C1353="","",$D1353*IFERROR(INDEX('تحليل التكلفة والسعر'!$C$2:$C$700,MATCH($C1353,'تحليل التكلفة والسعر'!$B$2:$B$700,0)),0))</f>
        <v/>
      </c>
    </row>
    <row r="1354" customFormat="false" ht="15" hidden="false" customHeight="false" outlineLevel="0" collapsed="false">
      <c r="A1354" s="102"/>
      <c r="E1354" s="103" t="str">
        <f aca="false">IF($C1354="","",IFERROR(INDEX(المنيو!$C$2:$C$500,MATCH($C1354,المنيو!$B$2:$B$500,0)),0))</f>
        <v/>
      </c>
      <c r="F1354" s="103" t="str">
        <f aca="false">IF($C1354="","",$D1354*$E1354)</f>
        <v/>
      </c>
      <c r="G1354" s="103" t="str">
        <f aca="false">IF($C1354="","",$D1354*IFERROR(INDEX('تحليل التكلفة والسعر'!$C$2:$C$700,MATCH($C1354,'تحليل التكلفة والسعر'!$B$2:$B$700,0)),0))</f>
        <v/>
      </c>
    </row>
    <row r="1355" customFormat="false" ht="15" hidden="false" customHeight="false" outlineLevel="0" collapsed="false">
      <c r="A1355" s="102"/>
      <c r="E1355" s="103" t="str">
        <f aca="false">IF($C1355="","",IFERROR(INDEX(المنيو!$C$2:$C$500,MATCH($C1355,المنيو!$B$2:$B$500,0)),0))</f>
        <v/>
      </c>
      <c r="F1355" s="103" t="str">
        <f aca="false">IF($C1355="","",$D1355*$E1355)</f>
        <v/>
      </c>
      <c r="G1355" s="103" t="str">
        <f aca="false">IF($C1355="","",$D1355*IFERROR(INDEX('تحليل التكلفة والسعر'!$C$2:$C$700,MATCH($C1355,'تحليل التكلفة والسعر'!$B$2:$B$700,0)),0))</f>
        <v/>
      </c>
    </row>
    <row r="1356" customFormat="false" ht="15" hidden="false" customHeight="false" outlineLevel="0" collapsed="false">
      <c r="A1356" s="102"/>
      <c r="E1356" s="103" t="str">
        <f aca="false">IF($C1356="","",IFERROR(INDEX(المنيو!$C$2:$C$500,MATCH($C1356,المنيو!$B$2:$B$500,0)),0))</f>
        <v/>
      </c>
      <c r="F1356" s="103" t="str">
        <f aca="false">IF($C1356="","",$D1356*$E1356)</f>
        <v/>
      </c>
      <c r="G1356" s="103" t="str">
        <f aca="false">IF($C1356="","",$D1356*IFERROR(INDEX('تحليل التكلفة والسعر'!$C$2:$C$700,MATCH($C1356,'تحليل التكلفة والسعر'!$B$2:$B$700,0)),0))</f>
        <v/>
      </c>
    </row>
    <row r="1357" customFormat="false" ht="15" hidden="false" customHeight="false" outlineLevel="0" collapsed="false">
      <c r="A1357" s="102"/>
      <c r="E1357" s="103" t="str">
        <f aca="false">IF($C1357="","",IFERROR(INDEX(المنيو!$C$2:$C$500,MATCH($C1357,المنيو!$B$2:$B$500,0)),0))</f>
        <v/>
      </c>
      <c r="F1357" s="103" t="str">
        <f aca="false">IF($C1357="","",$D1357*$E1357)</f>
        <v/>
      </c>
      <c r="G1357" s="103" t="str">
        <f aca="false">IF($C1357="","",$D1357*IFERROR(INDEX('تحليل التكلفة والسعر'!$C$2:$C$700,MATCH($C1357,'تحليل التكلفة والسعر'!$B$2:$B$700,0)),0))</f>
        <v/>
      </c>
    </row>
    <row r="1358" customFormat="false" ht="15" hidden="false" customHeight="false" outlineLevel="0" collapsed="false">
      <c r="A1358" s="102"/>
      <c r="E1358" s="103" t="str">
        <f aca="false">IF($C1358="","",IFERROR(INDEX(المنيو!$C$2:$C$500,MATCH($C1358,المنيو!$B$2:$B$500,0)),0))</f>
        <v/>
      </c>
      <c r="F1358" s="103" t="str">
        <f aca="false">IF($C1358="","",$D1358*$E1358)</f>
        <v/>
      </c>
      <c r="G1358" s="103" t="str">
        <f aca="false">IF($C1358="","",$D1358*IFERROR(INDEX('تحليل التكلفة والسعر'!$C$2:$C$700,MATCH($C1358,'تحليل التكلفة والسعر'!$B$2:$B$700,0)),0))</f>
        <v/>
      </c>
    </row>
    <row r="1359" customFormat="false" ht="15" hidden="false" customHeight="false" outlineLevel="0" collapsed="false">
      <c r="A1359" s="102"/>
      <c r="E1359" s="103" t="str">
        <f aca="false">IF($C1359="","",IFERROR(INDEX(المنيو!$C$2:$C$500,MATCH($C1359,المنيو!$B$2:$B$500,0)),0))</f>
        <v/>
      </c>
      <c r="F1359" s="103" t="str">
        <f aca="false">IF($C1359="","",$D1359*$E1359)</f>
        <v/>
      </c>
      <c r="G1359" s="103" t="str">
        <f aca="false">IF($C1359="","",$D1359*IFERROR(INDEX('تحليل التكلفة والسعر'!$C$2:$C$700,MATCH($C1359,'تحليل التكلفة والسعر'!$B$2:$B$700,0)),0))</f>
        <v/>
      </c>
    </row>
    <row r="1360" customFormat="false" ht="15" hidden="false" customHeight="false" outlineLevel="0" collapsed="false">
      <c r="A1360" s="102"/>
      <c r="E1360" s="103" t="str">
        <f aca="false">IF($C1360="","",IFERROR(INDEX(المنيو!$C$2:$C$500,MATCH($C1360,المنيو!$B$2:$B$500,0)),0))</f>
        <v/>
      </c>
      <c r="F1360" s="103" t="str">
        <f aca="false">IF($C1360="","",$D1360*$E1360)</f>
        <v/>
      </c>
      <c r="G1360" s="103" t="str">
        <f aca="false">IF($C1360="","",$D1360*IFERROR(INDEX('تحليل التكلفة والسعر'!$C$2:$C$700,MATCH($C1360,'تحليل التكلفة والسعر'!$B$2:$B$700,0)),0))</f>
        <v/>
      </c>
    </row>
    <row r="1361" customFormat="false" ht="15" hidden="false" customHeight="false" outlineLevel="0" collapsed="false">
      <c r="A1361" s="102"/>
      <c r="E1361" s="103" t="str">
        <f aca="false">IF($C1361="","",IFERROR(INDEX(المنيو!$C$2:$C$500,MATCH($C1361,المنيو!$B$2:$B$500,0)),0))</f>
        <v/>
      </c>
      <c r="F1361" s="103" t="str">
        <f aca="false">IF($C1361="","",$D1361*$E1361)</f>
        <v/>
      </c>
      <c r="G1361" s="103" t="str">
        <f aca="false">IF($C1361="","",$D1361*IFERROR(INDEX('تحليل التكلفة والسعر'!$C$2:$C$700,MATCH($C1361,'تحليل التكلفة والسعر'!$B$2:$B$700,0)),0))</f>
        <v/>
      </c>
    </row>
    <row r="1362" customFormat="false" ht="15" hidden="false" customHeight="false" outlineLevel="0" collapsed="false">
      <c r="A1362" s="102"/>
      <c r="E1362" s="103" t="str">
        <f aca="false">IF($C1362="","",IFERROR(INDEX(المنيو!$C$2:$C$500,MATCH($C1362,المنيو!$B$2:$B$500,0)),0))</f>
        <v/>
      </c>
      <c r="F1362" s="103" t="str">
        <f aca="false">IF($C1362="","",$D1362*$E1362)</f>
        <v/>
      </c>
      <c r="G1362" s="103" t="str">
        <f aca="false">IF($C1362="","",$D1362*IFERROR(INDEX('تحليل التكلفة والسعر'!$C$2:$C$700,MATCH($C1362,'تحليل التكلفة والسعر'!$B$2:$B$700,0)),0))</f>
        <v/>
      </c>
    </row>
    <row r="1363" customFormat="false" ht="15" hidden="false" customHeight="false" outlineLevel="0" collapsed="false">
      <c r="A1363" s="102"/>
      <c r="E1363" s="103" t="str">
        <f aca="false">IF($C1363="","",IFERROR(INDEX(المنيو!$C$2:$C$500,MATCH($C1363,المنيو!$B$2:$B$500,0)),0))</f>
        <v/>
      </c>
      <c r="F1363" s="103" t="str">
        <f aca="false">IF($C1363="","",$D1363*$E1363)</f>
        <v/>
      </c>
      <c r="G1363" s="103" t="str">
        <f aca="false">IF($C1363="","",$D1363*IFERROR(INDEX('تحليل التكلفة والسعر'!$C$2:$C$700,MATCH($C1363,'تحليل التكلفة والسعر'!$B$2:$B$700,0)),0))</f>
        <v/>
      </c>
    </row>
    <row r="1364" customFormat="false" ht="15" hidden="false" customHeight="false" outlineLevel="0" collapsed="false">
      <c r="A1364" s="102"/>
      <c r="E1364" s="103" t="str">
        <f aca="false">IF($C1364="","",IFERROR(INDEX(المنيو!$C$2:$C$500,MATCH($C1364,المنيو!$B$2:$B$500,0)),0))</f>
        <v/>
      </c>
      <c r="F1364" s="103" t="str">
        <f aca="false">IF($C1364="","",$D1364*$E1364)</f>
        <v/>
      </c>
      <c r="G1364" s="103" t="str">
        <f aca="false">IF($C1364="","",$D1364*IFERROR(INDEX('تحليل التكلفة والسعر'!$C$2:$C$700,MATCH($C1364,'تحليل التكلفة والسعر'!$B$2:$B$700,0)),0))</f>
        <v/>
      </c>
    </row>
    <row r="1365" customFormat="false" ht="15" hidden="false" customHeight="false" outlineLevel="0" collapsed="false">
      <c r="A1365" s="102"/>
      <c r="E1365" s="103" t="str">
        <f aca="false">IF($C1365="","",IFERROR(INDEX(المنيو!$C$2:$C$500,MATCH($C1365,المنيو!$B$2:$B$500,0)),0))</f>
        <v/>
      </c>
      <c r="F1365" s="103" t="str">
        <f aca="false">IF($C1365="","",$D1365*$E1365)</f>
        <v/>
      </c>
      <c r="G1365" s="103" t="str">
        <f aca="false">IF($C1365="","",$D1365*IFERROR(INDEX('تحليل التكلفة والسعر'!$C$2:$C$700,MATCH($C1365,'تحليل التكلفة والسعر'!$B$2:$B$700,0)),0))</f>
        <v/>
      </c>
    </row>
    <row r="1366" customFormat="false" ht="15" hidden="false" customHeight="false" outlineLevel="0" collapsed="false">
      <c r="A1366" s="102"/>
      <c r="E1366" s="103" t="str">
        <f aca="false">IF($C1366="","",IFERROR(INDEX(المنيو!$C$2:$C$500,MATCH($C1366,المنيو!$B$2:$B$500,0)),0))</f>
        <v/>
      </c>
      <c r="F1366" s="103" t="str">
        <f aca="false">IF($C1366="","",$D1366*$E1366)</f>
        <v/>
      </c>
      <c r="G1366" s="103" t="str">
        <f aca="false">IF($C1366="","",$D1366*IFERROR(INDEX('تحليل التكلفة والسعر'!$C$2:$C$700,MATCH($C1366,'تحليل التكلفة والسعر'!$B$2:$B$700,0)),0))</f>
        <v/>
      </c>
    </row>
    <row r="1367" customFormat="false" ht="15" hidden="false" customHeight="false" outlineLevel="0" collapsed="false">
      <c r="A1367" s="102"/>
      <c r="E1367" s="103" t="str">
        <f aca="false">IF($C1367="","",IFERROR(INDEX(المنيو!$C$2:$C$500,MATCH($C1367,المنيو!$B$2:$B$500,0)),0))</f>
        <v/>
      </c>
      <c r="F1367" s="103" t="str">
        <f aca="false">IF($C1367="","",$D1367*$E1367)</f>
        <v/>
      </c>
      <c r="G1367" s="103" t="str">
        <f aca="false">IF($C1367="","",$D1367*IFERROR(INDEX('تحليل التكلفة والسعر'!$C$2:$C$700,MATCH($C1367,'تحليل التكلفة والسعر'!$B$2:$B$700,0)),0))</f>
        <v/>
      </c>
    </row>
    <row r="1368" customFormat="false" ht="15" hidden="false" customHeight="false" outlineLevel="0" collapsed="false">
      <c r="A1368" s="102"/>
      <c r="E1368" s="103" t="str">
        <f aca="false">IF($C1368="","",IFERROR(INDEX(المنيو!$C$2:$C$500,MATCH($C1368,المنيو!$B$2:$B$500,0)),0))</f>
        <v/>
      </c>
      <c r="F1368" s="103" t="str">
        <f aca="false">IF($C1368="","",$D1368*$E1368)</f>
        <v/>
      </c>
      <c r="G1368" s="103" t="str">
        <f aca="false">IF($C1368="","",$D1368*IFERROR(INDEX('تحليل التكلفة والسعر'!$C$2:$C$700,MATCH($C1368,'تحليل التكلفة والسعر'!$B$2:$B$700,0)),0))</f>
        <v/>
      </c>
    </row>
    <row r="1369" customFormat="false" ht="15" hidden="false" customHeight="false" outlineLevel="0" collapsed="false">
      <c r="A1369" s="102"/>
      <c r="E1369" s="103" t="str">
        <f aca="false">IF($C1369="","",IFERROR(INDEX(المنيو!$C$2:$C$500,MATCH($C1369,المنيو!$B$2:$B$500,0)),0))</f>
        <v/>
      </c>
      <c r="F1369" s="103" t="str">
        <f aca="false">IF($C1369="","",$D1369*$E1369)</f>
        <v/>
      </c>
      <c r="G1369" s="103" t="str">
        <f aca="false">IF($C1369="","",$D1369*IFERROR(INDEX('تحليل التكلفة والسعر'!$C$2:$C$700,MATCH($C1369,'تحليل التكلفة والسعر'!$B$2:$B$700,0)),0))</f>
        <v/>
      </c>
    </row>
    <row r="1370" customFormat="false" ht="15" hidden="false" customHeight="false" outlineLevel="0" collapsed="false">
      <c r="A1370" s="102"/>
      <c r="E1370" s="103" t="str">
        <f aca="false">IF($C1370="","",IFERROR(INDEX(المنيو!$C$2:$C$500,MATCH($C1370,المنيو!$B$2:$B$500,0)),0))</f>
        <v/>
      </c>
      <c r="F1370" s="103" t="str">
        <f aca="false">IF($C1370="","",$D1370*$E1370)</f>
        <v/>
      </c>
      <c r="G1370" s="103" t="str">
        <f aca="false">IF($C1370="","",$D1370*IFERROR(INDEX('تحليل التكلفة والسعر'!$C$2:$C$700,MATCH($C1370,'تحليل التكلفة والسعر'!$B$2:$B$700,0)),0))</f>
        <v/>
      </c>
    </row>
    <row r="1371" customFormat="false" ht="15" hidden="false" customHeight="false" outlineLevel="0" collapsed="false">
      <c r="A1371" s="102"/>
      <c r="E1371" s="103" t="str">
        <f aca="false">IF($C1371="","",IFERROR(INDEX(المنيو!$C$2:$C$500,MATCH($C1371,المنيو!$B$2:$B$500,0)),0))</f>
        <v/>
      </c>
      <c r="F1371" s="103" t="str">
        <f aca="false">IF($C1371="","",$D1371*$E1371)</f>
        <v/>
      </c>
      <c r="G1371" s="103" t="str">
        <f aca="false">IF($C1371="","",$D1371*IFERROR(INDEX('تحليل التكلفة والسعر'!$C$2:$C$700,MATCH($C1371,'تحليل التكلفة والسعر'!$B$2:$B$700,0)),0))</f>
        <v/>
      </c>
    </row>
    <row r="1372" customFormat="false" ht="15" hidden="false" customHeight="false" outlineLevel="0" collapsed="false">
      <c r="A1372" s="102"/>
      <c r="E1372" s="103" t="str">
        <f aca="false">IF($C1372="","",IFERROR(INDEX(المنيو!$C$2:$C$500,MATCH($C1372,المنيو!$B$2:$B$500,0)),0))</f>
        <v/>
      </c>
      <c r="F1372" s="103" t="str">
        <f aca="false">IF($C1372="","",$D1372*$E1372)</f>
        <v/>
      </c>
      <c r="G1372" s="103" t="str">
        <f aca="false">IF($C1372="","",$D1372*IFERROR(INDEX('تحليل التكلفة والسعر'!$C$2:$C$700,MATCH($C1372,'تحليل التكلفة والسعر'!$B$2:$B$700,0)),0))</f>
        <v/>
      </c>
    </row>
    <row r="1373" customFormat="false" ht="15" hidden="false" customHeight="false" outlineLevel="0" collapsed="false">
      <c r="A1373" s="102"/>
      <c r="E1373" s="103" t="str">
        <f aca="false">IF($C1373="","",IFERROR(INDEX(المنيو!$C$2:$C$500,MATCH($C1373,المنيو!$B$2:$B$500,0)),0))</f>
        <v/>
      </c>
      <c r="F1373" s="103" t="str">
        <f aca="false">IF($C1373="","",$D1373*$E1373)</f>
        <v/>
      </c>
      <c r="G1373" s="103" t="str">
        <f aca="false">IF($C1373="","",$D1373*IFERROR(INDEX('تحليل التكلفة والسعر'!$C$2:$C$700,MATCH($C1373,'تحليل التكلفة والسعر'!$B$2:$B$700,0)),0))</f>
        <v/>
      </c>
    </row>
    <row r="1374" customFormat="false" ht="15" hidden="false" customHeight="false" outlineLevel="0" collapsed="false">
      <c r="A1374" s="102"/>
      <c r="E1374" s="103" t="str">
        <f aca="false">IF($C1374="","",IFERROR(INDEX(المنيو!$C$2:$C$500,MATCH($C1374,المنيو!$B$2:$B$500,0)),0))</f>
        <v/>
      </c>
      <c r="F1374" s="103" t="str">
        <f aca="false">IF($C1374="","",$D1374*$E1374)</f>
        <v/>
      </c>
      <c r="G1374" s="103" t="str">
        <f aca="false">IF($C1374="","",$D1374*IFERROR(INDEX('تحليل التكلفة والسعر'!$C$2:$C$700,MATCH($C1374,'تحليل التكلفة والسعر'!$B$2:$B$700,0)),0))</f>
        <v/>
      </c>
    </row>
    <row r="1375" customFormat="false" ht="15" hidden="false" customHeight="false" outlineLevel="0" collapsed="false">
      <c r="A1375" s="102"/>
      <c r="E1375" s="103" t="str">
        <f aca="false">IF($C1375="","",IFERROR(INDEX(المنيو!$C$2:$C$500,MATCH($C1375,المنيو!$B$2:$B$500,0)),0))</f>
        <v/>
      </c>
      <c r="F1375" s="103" t="str">
        <f aca="false">IF($C1375="","",$D1375*$E1375)</f>
        <v/>
      </c>
      <c r="G1375" s="103" t="str">
        <f aca="false">IF($C1375="","",$D1375*IFERROR(INDEX('تحليل التكلفة والسعر'!$C$2:$C$700,MATCH($C1375,'تحليل التكلفة والسعر'!$B$2:$B$700,0)),0))</f>
        <v/>
      </c>
    </row>
    <row r="1376" customFormat="false" ht="15" hidden="false" customHeight="false" outlineLevel="0" collapsed="false">
      <c r="A1376" s="102"/>
      <c r="E1376" s="103" t="str">
        <f aca="false">IF($C1376="","",IFERROR(INDEX(المنيو!$C$2:$C$500,MATCH($C1376,المنيو!$B$2:$B$500,0)),0))</f>
        <v/>
      </c>
      <c r="F1376" s="103" t="str">
        <f aca="false">IF($C1376="","",$D1376*$E1376)</f>
        <v/>
      </c>
      <c r="G1376" s="103" t="str">
        <f aca="false">IF($C1376="","",$D1376*IFERROR(INDEX('تحليل التكلفة والسعر'!$C$2:$C$700,MATCH($C1376,'تحليل التكلفة والسعر'!$B$2:$B$700,0)),0))</f>
        <v/>
      </c>
    </row>
    <row r="1377" customFormat="false" ht="15" hidden="false" customHeight="false" outlineLevel="0" collapsed="false">
      <c r="A1377" s="102"/>
      <c r="E1377" s="103" t="str">
        <f aca="false">IF($C1377="","",IFERROR(INDEX(المنيو!$C$2:$C$500,MATCH($C1377,المنيو!$B$2:$B$500,0)),0))</f>
        <v/>
      </c>
      <c r="F1377" s="103" t="str">
        <f aca="false">IF($C1377="","",$D1377*$E1377)</f>
        <v/>
      </c>
      <c r="G1377" s="103" t="str">
        <f aca="false">IF($C1377="","",$D1377*IFERROR(INDEX('تحليل التكلفة والسعر'!$C$2:$C$700,MATCH($C1377,'تحليل التكلفة والسعر'!$B$2:$B$700,0)),0))</f>
        <v/>
      </c>
    </row>
    <row r="1378" customFormat="false" ht="15" hidden="false" customHeight="false" outlineLevel="0" collapsed="false">
      <c r="A1378" s="102"/>
      <c r="E1378" s="103" t="str">
        <f aca="false">IF($C1378="","",IFERROR(INDEX(المنيو!$C$2:$C$500,MATCH($C1378,المنيو!$B$2:$B$500,0)),0))</f>
        <v/>
      </c>
      <c r="F1378" s="103" t="str">
        <f aca="false">IF($C1378="","",$D1378*$E1378)</f>
        <v/>
      </c>
      <c r="G1378" s="103" t="str">
        <f aca="false">IF($C1378="","",$D1378*IFERROR(INDEX('تحليل التكلفة والسعر'!$C$2:$C$700,MATCH($C1378,'تحليل التكلفة والسعر'!$B$2:$B$700,0)),0))</f>
        <v/>
      </c>
    </row>
    <row r="1379" customFormat="false" ht="15" hidden="false" customHeight="false" outlineLevel="0" collapsed="false">
      <c r="A1379" s="102"/>
      <c r="E1379" s="103" t="str">
        <f aca="false">IF($C1379="","",IFERROR(INDEX(المنيو!$C$2:$C$500,MATCH($C1379,المنيو!$B$2:$B$500,0)),0))</f>
        <v/>
      </c>
      <c r="F1379" s="103" t="str">
        <f aca="false">IF($C1379="","",$D1379*$E1379)</f>
        <v/>
      </c>
      <c r="G1379" s="103" t="str">
        <f aca="false">IF($C1379="","",$D1379*IFERROR(INDEX('تحليل التكلفة والسعر'!$C$2:$C$700,MATCH($C1379,'تحليل التكلفة والسعر'!$B$2:$B$700,0)),0))</f>
        <v/>
      </c>
    </row>
    <row r="1380" customFormat="false" ht="15" hidden="false" customHeight="false" outlineLevel="0" collapsed="false">
      <c r="A1380" s="102"/>
      <c r="E1380" s="103" t="str">
        <f aca="false">IF($C1380="","",IFERROR(INDEX(المنيو!$C$2:$C$500,MATCH($C1380,المنيو!$B$2:$B$500,0)),0))</f>
        <v/>
      </c>
      <c r="F1380" s="103" t="str">
        <f aca="false">IF($C1380="","",$D1380*$E1380)</f>
        <v/>
      </c>
      <c r="G1380" s="103" t="str">
        <f aca="false">IF($C1380="","",$D1380*IFERROR(INDEX('تحليل التكلفة والسعر'!$C$2:$C$700,MATCH($C1380,'تحليل التكلفة والسعر'!$B$2:$B$700,0)),0))</f>
        <v/>
      </c>
    </row>
    <row r="1381" customFormat="false" ht="15" hidden="false" customHeight="false" outlineLevel="0" collapsed="false">
      <c r="A1381" s="102"/>
      <c r="E1381" s="103" t="str">
        <f aca="false">IF($C1381="","",IFERROR(INDEX(المنيو!$C$2:$C$500,MATCH($C1381,المنيو!$B$2:$B$500,0)),0))</f>
        <v/>
      </c>
      <c r="F1381" s="103" t="str">
        <f aca="false">IF($C1381="","",$D1381*$E1381)</f>
        <v/>
      </c>
      <c r="G1381" s="103" t="str">
        <f aca="false">IF($C1381="","",$D1381*IFERROR(INDEX('تحليل التكلفة والسعر'!$C$2:$C$700,MATCH($C1381,'تحليل التكلفة والسعر'!$B$2:$B$700,0)),0))</f>
        <v/>
      </c>
    </row>
    <row r="1382" customFormat="false" ht="15" hidden="false" customHeight="false" outlineLevel="0" collapsed="false">
      <c r="A1382" s="102"/>
      <c r="E1382" s="103" t="str">
        <f aca="false">IF($C1382="","",IFERROR(INDEX(المنيو!$C$2:$C$500,MATCH($C1382,المنيو!$B$2:$B$500,0)),0))</f>
        <v/>
      </c>
      <c r="F1382" s="103" t="str">
        <f aca="false">IF($C1382="","",$D1382*$E1382)</f>
        <v/>
      </c>
      <c r="G1382" s="103" t="str">
        <f aca="false">IF($C1382="","",$D1382*IFERROR(INDEX('تحليل التكلفة والسعر'!$C$2:$C$700,MATCH($C1382,'تحليل التكلفة والسعر'!$B$2:$B$700,0)),0))</f>
        <v/>
      </c>
    </row>
    <row r="1383" customFormat="false" ht="15" hidden="false" customHeight="false" outlineLevel="0" collapsed="false">
      <c r="A1383" s="102"/>
      <c r="E1383" s="103" t="str">
        <f aca="false">IF($C1383="","",IFERROR(INDEX(المنيو!$C$2:$C$500,MATCH($C1383,المنيو!$B$2:$B$500,0)),0))</f>
        <v/>
      </c>
      <c r="F1383" s="103" t="str">
        <f aca="false">IF($C1383="","",$D1383*$E1383)</f>
        <v/>
      </c>
      <c r="G1383" s="103" t="str">
        <f aca="false">IF($C1383="","",$D1383*IFERROR(INDEX('تحليل التكلفة والسعر'!$C$2:$C$700,MATCH($C1383,'تحليل التكلفة والسعر'!$B$2:$B$700,0)),0))</f>
        <v/>
      </c>
    </row>
    <row r="1384" customFormat="false" ht="15" hidden="false" customHeight="false" outlineLevel="0" collapsed="false">
      <c r="A1384" s="102"/>
      <c r="E1384" s="103" t="str">
        <f aca="false">IF($C1384="","",IFERROR(INDEX(المنيو!$C$2:$C$500,MATCH($C1384,المنيو!$B$2:$B$500,0)),0))</f>
        <v/>
      </c>
      <c r="F1384" s="103" t="str">
        <f aca="false">IF($C1384="","",$D1384*$E1384)</f>
        <v/>
      </c>
      <c r="G1384" s="103" t="str">
        <f aca="false">IF($C1384="","",$D1384*IFERROR(INDEX('تحليل التكلفة والسعر'!$C$2:$C$700,MATCH($C1384,'تحليل التكلفة والسعر'!$B$2:$B$700,0)),0))</f>
        <v/>
      </c>
    </row>
    <row r="1385" customFormat="false" ht="15" hidden="false" customHeight="false" outlineLevel="0" collapsed="false">
      <c r="A1385" s="102"/>
      <c r="E1385" s="103" t="str">
        <f aca="false">IF($C1385="","",IFERROR(INDEX(المنيو!$C$2:$C$500,MATCH($C1385,المنيو!$B$2:$B$500,0)),0))</f>
        <v/>
      </c>
      <c r="F1385" s="103" t="str">
        <f aca="false">IF($C1385="","",$D1385*$E1385)</f>
        <v/>
      </c>
      <c r="G1385" s="103" t="str">
        <f aca="false">IF($C1385="","",$D1385*IFERROR(INDEX('تحليل التكلفة والسعر'!$C$2:$C$700,MATCH($C1385,'تحليل التكلفة والسعر'!$B$2:$B$700,0)),0))</f>
        <v/>
      </c>
    </row>
    <row r="1386" customFormat="false" ht="15" hidden="false" customHeight="false" outlineLevel="0" collapsed="false">
      <c r="A1386" s="102"/>
      <c r="E1386" s="103" t="str">
        <f aca="false">IF($C1386="","",IFERROR(INDEX(المنيو!$C$2:$C$500,MATCH($C1386,المنيو!$B$2:$B$500,0)),0))</f>
        <v/>
      </c>
      <c r="F1386" s="103" t="str">
        <f aca="false">IF($C1386="","",$D1386*$E1386)</f>
        <v/>
      </c>
      <c r="G1386" s="103" t="str">
        <f aca="false">IF($C1386="","",$D1386*IFERROR(INDEX('تحليل التكلفة والسعر'!$C$2:$C$700,MATCH($C1386,'تحليل التكلفة والسعر'!$B$2:$B$700,0)),0))</f>
        <v/>
      </c>
    </row>
    <row r="1387" customFormat="false" ht="15" hidden="false" customHeight="false" outlineLevel="0" collapsed="false">
      <c r="A1387" s="102"/>
      <c r="E1387" s="103" t="str">
        <f aca="false">IF($C1387="","",IFERROR(INDEX(المنيو!$C$2:$C$500,MATCH($C1387,المنيو!$B$2:$B$500,0)),0))</f>
        <v/>
      </c>
      <c r="F1387" s="103" t="str">
        <f aca="false">IF($C1387="","",$D1387*$E1387)</f>
        <v/>
      </c>
      <c r="G1387" s="103" t="str">
        <f aca="false">IF($C1387="","",$D1387*IFERROR(INDEX('تحليل التكلفة والسعر'!$C$2:$C$700,MATCH($C1387,'تحليل التكلفة والسعر'!$B$2:$B$700,0)),0))</f>
        <v/>
      </c>
    </row>
    <row r="1388" customFormat="false" ht="15" hidden="false" customHeight="false" outlineLevel="0" collapsed="false">
      <c r="A1388" s="102"/>
      <c r="E1388" s="103" t="str">
        <f aca="false">IF($C1388="","",IFERROR(INDEX(المنيو!$C$2:$C$500,MATCH($C1388,المنيو!$B$2:$B$500,0)),0))</f>
        <v/>
      </c>
      <c r="F1388" s="103" t="str">
        <f aca="false">IF($C1388="","",$D1388*$E1388)</f>
        <v/>
      </c>
      <c r="G1388" s="103" t="str">
        <f aca="false">IF($C1388="","",$D1388*IFERROR(INDEX('تحليل التكلفة والسعر'!$C$2:$C$700,MATCH($C1388,'تحليل التكلفة والسعر'!$B$2:$B$700,0)),0))</f>
        <v/>
      </c>
    </row>
    <row r="1389" customFormat="false" ht="15" hidden="false" customHeight="false" outlineLevel="0" collapsed="false">
      <c r="A1389" s="102"/>
      <c r="E1389" s="103" t="str">
        <f aca="false">IF($C1389="","",IFERROR(INDEX(المنيو!$C$2:$C$500,MATCH($C1389,المنيو!$B$2:$B$500,0)),0))</f>
        <v/>
      </c>
      <c r="F1389" s="103" t="str">
        <f aca="false">IF($C1389="","",$D1389*$E1389)</f>
        <v/>
      </c>
      <c r="G1389" s="103" t="str">
        <f aca="false">IF($C1389="","",$D1389*IFERROR(INDEX('تحليل التكلفة والسعر'!$C$2:$C$700,MATCH($C1389,'تحليل التكلفة والسعر'!$B$2:$B$700,0)),0))</f>
        <v/>
      </c>
    </row>
    <row r="1390" customFormat="false" ht="15" hidden="false" customHeight="false" outlineLevel="0" collapsed="false">
      <c r="A1390" s="102"/>
      <c r="E1390" s="103" t="str">
        <f aca="false">IF($C1390="","",IFERROR(INDEX(المنيو!$C$2:$C$500,MATCH($C1390,المنيو!$B$2:$B$500,0)),0))</f>
        <v/>
      </c>
      <c r="F1390" s="103" t="str">
        <f aca="false">IF($C1390="","",$D1390*$E1390)</f>
        <v/>
      </c>
      <c r="G1390" s="103" t="str">
        <f aca="false">IF($C1390="","",$D1390*IFERROR(INDEX('تحليل التكلفة والسعر'!$C$2:$C$700,MATCH($C1390,'تحليل التكلفة والسعر'!$B$2:$B$700,0)),0))</f>
        <v/>
      </c>
    </row>
    <row r="1391" customFormat="false" ht="15" hidden="false" customHeight="false" outlineLevel="0" collapsed="false">
      <c r="A1391" s="102"/>
      <c r="E1391" s="103" t="str">
        <f aca="false">IF($C1391="","",IFERROR(INDEX(المنيو!$C$2:$C$500,MATCH($C1391,المنيو!$B$2:$B$500,0)),0))</f>
        <v/>
      </c>
      <c r="F1391" s="103" t="str">
        <f aca="false">IF($C1391="","",$D1391*$E1391)</f>
        <v/>
      </c>
      <c r="G1391" s="103" t="str">
        <f aca="false">IF($C1391="","",$D1391*IFERROR(INDEX('تحليل التكلفة والسعر'!$C$2:$C$700,MATCH($C1391,'تحليل التكلفة والسعر'!$B$2:$B$700,0)),0))</f>
        <v/>
      </c>
    </row>
    <row r="1392" customFormat="false" ht="15" hidden="false" customHeight="false" outlineLevel="0" collapsed="false">
      <c r="A1392" s="102"/>
      <c r="E1392" s="103" t="str">
        <f aca="false">IF($C1392="","",IFERROR(INDEX(المنيو!$C$2:$C$500,MATCH($C1392,المنيو!$B$2:$B$500,0)),0))</f>
        <v/>
      </c>
      <c r="F1392" s="103" t="str">
        <f aca="false">IF($C1392="","",$D1392*$E1392)</f>
        <v/>
      </c>
      <c r="G1392" s="103" t="str">
        <f aca="false">IF($C1392="","",$D1392*IFERROR(INDEX('تحليل التكلفة والسعر'!$C$2:$C$700,MATCH($C1392,'تحليل التكلفة والسعر'!$B$2:$B$700,0)),0))</f>
        <v/>
      </c>
    </row>
    <row r="1393" customFormat="false" ht="15" hidden="false" customHeight="false" outlineLevel="0" collapsed="false">
      <c r="A1393" s="102"/>
      <c r="E1393" s="103" t="str">
        <f aca="false">IF($C1393="","",IFERROR(INDEX(المنيو!$C$2:$C$500,MATCH($C1393,المنيو!$B$2:$B$500,0)),0))</f>
        <v/>
      </c>
      <c r="F1393" s="103" t="str">
        <f aca="false">IF($C1393="","",$D1393*$E1393)</f>
        <v/>
      </c>
      <c r="G1393" s="103" t="str">
        <f aca="false">IF($C1393="","",$D1393*IFERROR(INDEX('تحليل التكلفة والسعر'!$C$2:$C$700,MATCH($C1393,'تحليل التكلفة والسعر'!$B$2:$B$700,0)),0))</f>
        <v/>
      </c>
    </row>
    <row r="1394" customFormat="false" ht="15" hidden="false" customHeight="false" outlineLevel="0" collapsed="false">
      <c r="A1394" s="102"/>
      <c r="E1394" s="103" t="str">
        <f aca="false">IF($C1394="","",IFERROR(INDEX(المنيو!$C$2:$C$500,MATCH($C1394,المنيو!$B$2:$B$500,0)),0))</f>
        <v/>
      </c>
      <c r="F1394" s="103" t="str">
        <f aca="false">IF($C1394="","",$D1394*$E1394)</f>
        <v/>
      </c>
      <c r="G1394" s="103" t="str">
        <f aca="false">IF($C1394="","",$D1394*IFERROR(INDEX('تحليل التكلفة والسعر'!$C$2:$C$700,MATCH($C1394,'تحليل التكلفة والسعر'!$B$2:$B$700,0)),0))</f>
        <v/>
      </c>
    </row>
    <row r="1395" customFormat="false" ht="15" hidden="false" customHeight="false" outlineLevel="0" collapsed="false">
      <c r="A1395" s="102"/>
      <c r="E1395" s="103" t="str">
        <f aca="false">IF($C1395="","",IFERROR(INDEX(المنيو!$C$2:$C$500,MATCH($C1395,المنيو!$B$2:$B$500,0)),0))</f>
        <v/>
      </c>
      <c r="F1395" s="103" t="str">
        <f aca="false">IF($C1395="","",$D1395*$E1395)</f>
        <v/>
      </c>
      <c r="G1395" s="103" t="str">
        <f aca="false">IF($C1395="","",$D1395*IFERROR(INDEX('تحليل التكلفة والسعر'!$C$2:$C$700,MATCH($C1395,'تحليل التكلفة والسعر'!$B$2:$B$700,0)),0))</f>
        <v/>
      </c>
    </row>
    <row r="1396" customFormat="false" ht="15" hidden="false" customHeight="false" outlineLevel="0" collapsed="false">
      <c r="A1396" s="102"/>
      <c r="E1396" s="103" t="str">
        <f aca="false">IF($C1396="","",IFERROR(INDEX(المنيو!$C$2:$C$500,MATCH($C1396,المنيو!$B$2:$B$500,0)),0))</f>
        <v/>
      </c>
      <c r="F1396" s="103" t="str">
        <f aca="false">IF($C1396="","",$D1396*$E1396)</f>
        <v/>
      </c>
      <c r="G1396" s="103" t="str">
        <f aca="false">IF($C1396="","",$D1396*IFERROR(INDEX('تحليل التكلفة والسعر'!$C$2:$C$700,MATCH($C1396,'تحليل التكلفة والسعر'!$B$2:$B$700,0)),0))</f>
        <v/>
      </c>
    </row>
    <row r="1397" customFormat="false" ht="15" hidden="false" customHeight="false" outlineLevel="0" collapsed="false">
      <c r="A1397" s="102"/>
      <c r="E1397" s="103" t="str">
        <f aca="false">IF($C1397="","",IFERROR(INDEX(المنيو!$C$2:$C$500,MATCH($C1397,المنيو!$B$2:$B$500,0)),0))</f>
        <v/>
      </c>
      <c r="F1397" s="103" t="str">
        <f aca="false">IF($C1397="","",$D1397*$E1397)</f>
        <v/>
      </c>
      <c r="G1397" s="103" t="str">
        <f aca="false">IF($C1397="","",$D1397*IFERROR(INDEX('تحليل التكلفة والسعر'!$C$2:$C$700,MATCH($C1397,'تحليل التكلفة والسعر'!$B$2:$B$700,0)),0))</f>
        <v/>
      </c>
    </row>
    <row r="1398" customFormat="false" ht="15" hidden="false" customHeight="false" outlineLevel="0" collapsed="false">
      <c r="A1398" s="102"/>
      <c r="E1398" s="103" t="str">
        <f aca="false">IF($C1398="","",IFERROR(INDEX(المنيو!$C$2:$C$500,MATCH($C1398,المنيو!$B$2:$B$500,0)),0))</f>
        <v/>
      </c>
      <c r="F1398" s="103" t="str">
        <f aca="false">IF($C1398="","",$D1398*$E1398)</f>
        <v/>
      </c>
      <c r="G1398" s="103" t="str">
        <f aca="false">IF($C1398="","",$D1398*IFERROR(INDEX('تحليل التكلفة والسعر'!$C$2:$C$700,MATCH($C1398,'تحليل التكلفة والسعر'!$B$2:$B$700,0)),0))</f>
        <v/>
      </c>
    </row>
    <row r="1399" customFormat="false" ht="15" hidden="false" customHeight="false" outlineLevel="0" collapsed="false">
      <c r="A1399" s="102"/>
      <c r="E1399" s="103" t="str">
        <f aca="false">IF($C1399="","",IFERROR(INDEX(المنيو!$C$2:$C$500,MATCH($C1399,المنيو!$B$2:$B$500,0)),0))</f>
        <v/>
      </c>
      <c r="F1399" s="103" t="str">
        <f aca="false">IF($C1399="","",$D1399*$E1399)</f>
        <v/>
      </c>
      <c r="G1399" s="103" t="str">
        <f aca="false">IF($C1399="","",$D1399*IFERROR(INDEX('تحليل التكلفة والسعر'!$C$2:$C$700,MATCH($C1399,'تحليل التكلفة والسعر'!$B$2:$B$700,0)),0))</f>
        <v/>
      </c>
    </row>
    <row r="1400" customFormat="false" ht="15" hidden="false" customHeight="false" outlineLevel="0" collapsed="false">
      <c r="A1400" s="102"/>
      <c r="E1400" s="103" t="str">
        <f aca="false">IF($C1400="","",IFERROR(INDEX(المنيو!$C$2:$C$500,MATCH($C1400,المنيو!$B$2:$B$500,0)),0))</f>
        <v/>
      </c>
      <c r="F1400" s="103" t="str">
        <f aca="false">IF($C1400="","",$D1400*$E1400)</f>
        <v/>
      </c>
      <c r="G1400" s="103" t="str">
        <f aca="false">IF($C1400="","",$D1400*IFERROR(INDEX('تحليل التكلفة والسعر'!$C$2:$C$700,MATCH($C1400,'تحليل التكلفة والسعر'!$B$2:$B$700,0)),0))</f>
        <v/>
      </c>
    </row>
    <row r="1401" customFormat="false" ht="15" hidden="false" customHeight="false" outlineLevel="0" collapsed="false">
      <c r="A1401" s="102"/>
      <c r="E1401" s="103" t="str">
        <f aca="false">IF($C1401="","",IFERROR(INDEX(المنيو!$C$2:$C$500,MATCH($C1401,المنيو!$B$2:$B$500,0)),0))</f>
        <v/>
      </c>
      <c r="F1401" s="103" t="str">
        <f aca="false">IF($C1401="","",$D1401*$E1401)</f>
        <v/>
      </c>
      <c r="G1401" s="103" t="str">
        <f aca="false">IF($C1401="","",$D1401*IFERROR(INDEX('تحليل التكلفة والسعر'!$C$2:$C$700,MATCH($C1401,'تحليل التكلفة والسعر'!$B$2:$B$700,0)),0))</f>
        <v/>
      </c>
    </row>
    <row r="1402" customFormat="false" ht="15" hidden="false" customHeight="false" outlineLevel="0" collapsed="false">
      <c r="A1402" s="102"/>
      <c r="E1402" s="103" t="str">
        <f aca="false">IF($C1402="","",IFERROR(INDEX(المنيو!$C$2:$C$500,MATCH($C1402,المنيو!$B$2:$B$500,0)),0))</f>
        <v/>
      </c>
      <c r="F1402" s="103" t="str">
        <f aca="false">IF($C1402="","",$D1402*$E1402)</f>
        <v/>
      </c>
      <c r="G1402" s="103" t="str">
        <f aca="false">IF($C1402="","",$D1402*IFERROR(INDEX('تحليل التكلفة والسعر'!$C$2:$C$700,MATCH($C1402,'تحليل التكلفة والسعر'!$B$2:$B$700,0)),0))</f>
        <v/>
      </c>
    </row>
    <row r="1403" customFormat="false" ht="15" hidden="false" customHeight="false" outlineLevel="0" collapsed="false">
      <c r="A1403" s="102"/>
      <c r="E1403" s="103" t="str">
        <f aca="false">IF($C1403="","",IFERROR(INDEX(المنيو!$C$2:$C$500,MATCH($C1403,المنيو!$B$2:$B$500,0)),0))</f>
        <v/>
      </c>
      <c r="F1403" s="103" t="str">
        <f aca="false">IF($C1403="","",$D1403*$E1403)</f>
        <v/>
      </c>
      <c r="G1403" s="103" t="str">
        <f aca="false">IF($C1403="","",$D1403*IFERROR(INDEX('تحليل التكلفة والسعر'!$C$2:$C$700,MATCH($C1403,'تحليل التكلفة والسعر'!$B$2:$B$700,0)),0))</f>
        <v/>
      </c>
    </row>
    <row r="1404" customFormat="false" ht="15" hidden="false" customHeight="false" outlineLevel="0" collapsed="false">
      <c r="A1404" s="102"/>
      <c r="E1404" s="103" t="str">
        <f aca="false">IF($C1404="","",IFERROR(INDEX(المنيو!$C$2:$C$500,MATCH($C1404,المنيو!$B$2:$B$500,0)),0))</f>
        <v/>
      </c>
      <c r="F1404" s="103" t="str">
        <f aca="false">IF($C1404="","",$D1404*$E1404)</f>
        <v/>
      </c>
      <c r="G1404" s="103" t="str">
        <f aca="false">IF($C1404="","",$D1404*IFERROR(INDEX('تحليل التكلفة والسعر'!$C$2:$C$700,MATCH($C1404,'تحليل التكلفة والسعر'!$B$2:$B$700,0)),0))</f>
        <v/>
      </c>
    </row>
    <row r="1405" customFormat="false" ht="15" hidden="false" customHeight="false" outlineLevel="0" collapsed="false">
      <c r="A1405" s="102"/>
      <c r="E1405" s="103" t="str">
        <f aca="false">IF($C1405="","",IFERROR(INDEX(المنيو!$C$2:$C$500,MATCH($C1405,المنيو!$B$2:$B$500,0)),0))</f>
        <v/>
      </c>
      <c r="F1405" s="103" t="str">
        <f aca="false">IF($C1405="","",$D1405*$E1405)</f>
        <v/>
      </c>
      <c r="G1405" s="103" t="str">
        <f aca="false">IF($C1405="","",$D1405*IFERROR(INDEX('تحليل التكلفة والسعر'!$C$2:$C$700,MATCH($C1405,'تحليل التكلفة والسعر'!$B$2:$B$700,0)),0))</f>
        <v/>
      </c>
    </row>
    <row r="1406" customFormat="false" ht="15" hidden="false" customHeight="false" outlineLevel="0" collapsed="false">
      <c r="A1406" s="102"/>
      <c r="E1406" s="103" t="str">
        <f aca="false">IF($C1406="","",IFERROR(INDEX(المنيو!$C$2:$C$500,MATCH($C1406,المنيو!$B$2:$B$500,0)),0))</f>
        <v/>
      </c>
      <c r="F1406" s="103" t="str">
        <f aca="false">IF($C1406="","",$D1406*$E1406)</f>
        <v/>
      </c>
      <c r="G1406" s="103" t="str">
        <f aca="false">IF($C1406="","",$D1406*IFERROR(INDEX('تحليل التكلفة والسعر'!$C$2:$C$700,MATCH($C1406,'تحليل التكلفة والسعر'!$B$2:$B$700,0)),0))</f>
        <v/>
      </c>
    </row>
    <row r="1407" customFormat="false" ht="15" hidden="false" customHeight="false" outlineLevel="0" collapsed="false">
      <c r="A1407" s="102"/>
      <c r="E1407" s="103" t="str">
        <f aca="false">IF($C1407="","",IFERROR(INDEX(المنيو!$C$2:$C$500,MATCH($C1407,المنيو!$B$2:$B$500,0)),0))</f>
        <v/>
      </c>
      <c r="F1407" s="103" t="str">
        <f aca="false">IF($C1407="","",$D1407*$E1407)</f>
        <v/>
      </c>
      <c r="G1407" s="103" t="str">
        <f aca="false">IF($C1407="","",$D1407*IFERROR(INDEX('تحليل التكلفة والسعر'!$C$2:$C$700,MATCH($C1407,'تحليل التكلفة والسعر'!$B$2:$B$700,0)),0))</f>
        <v/>
      </c>
    </row>
    <row r="1408" customFormat="false" ht="15" hidden="false" customHeight="false" outlineLevel="0" collapsed="false">
      <c r="A1408" s="102"/>
      <c r="E1408" s="103" t="str">
        <f aca="false">IF($C1408="","",IFERROR(INDEX(المنيو!$C$2:$C$500,MATCH($C1408,المنيو!$B$2:$B$500,0)),0))</f>
        <v/>
      </c>
      <c r="F1408" s="103" t="str">
        <f aca="false">IF($C1408="","",$D1408*$E1408)</f>
        <v/>
      </c>
      <c r="G1408" s="103" t="str">
        <f aca="false">IF($C1408="","",$D1408*IFERROR(INDEX('تحليل التكلفة والسعر'!$C$2:$C$700,MATCH($C1408,'تحليل التكلفة والسعر'!$B$2:$B$700,0)),0))</f>
        <v/>
      </c>
    </row>
    <row r="1409" customFormat="false" ht="15" hidden="false" customHeight="false" outlineLevel="0" collapsed="false">
      <c r="A1409" s="102"/>
      <c r="E1409" s="103" t="str">
        <f aca="false">IF($C1409="","",IFERROR(INDEX(المنيو!$C$2:$C$500,MATCH($C1409,المنيو!$B$2:$B$500,0)),0))</f>
        <v/>
      </c>
      <c r="F1409" s="103" t="str">
        <f aca="false">IF($C1409="","",$D1409*$E1409)</f>
        <v/>
      </c>
      <c r="G1409" s="103" t="str">
        <f aca="false">IF($C1409="","",$D1409*IFERROR(INDEX('تحليل التكلفة والسعر'!$C$2:$C$700,MATCH($C1409,'تحليل التكلفة والسعر'!$B$2:$B$700,0)),0))</f>
        <v/>
      </c>
    </row>
    <row r="1410" customFormat="false" ht="15" hidden="false" customHeight="false" outlineLevel="0" collapsed="false">
      <c r="A1410" s="102"/>
      <c r="E1410" s="103" t="str">
        <f aca="false">IF($C1410="","",IFERROR(INDEX(المنيو!$C$2:$C$500,MATCH($C1410,المنيو!$B$2:$B$500,0)),0))</f>
        <v/>
      </c>
      <c r="F1410" s="103" t="str">
        <f aca="false">IF($C1410="","",$D1410*$E1410)</f>
        <v/>
      </c>
      <c r="G1410" s="103" t="str">
        <f aca="false">IF($C1410="","",$D1410*IFERROR(INDEX('تحليل التكلفة والسعر'!$C$2:$C$700,MATCH($C1410,'تحليل التكلفة والسعر'!$B$2:$B$700,0)),0))</f>
        <v/>
      </c>
    </row>
    <row r="1411" customFormat="false" ht="15" hidden="false" customHeight="false" outlineLevel="0" collapsed="false">
      <c r="A1411" s="102"/>
      <c r="E1411" s="103" t="str">
        <f aca="false">IF($C1411="","",IFERROR(INDEX(المنيو!$C$2:$C$500,MATCH($C1411,المنيو!$B$2:$B$500,0)),0))</f>
        <v/>
      </c>
      <c r="F1411" s="103" t="str">
        <f aca="false">IF($C1411="","",$D1411*$E1411)</f>
        <v/>
      </c>
      <c r="G1411" s="103" t="str">
        <f aca="false">IF($C1411="","",$D1411*IFERROR(INDEX('تحليل التكلفة والسعر'!$C$2:$C$700,MATCH($C1411,'تحليل التكلفة والسعر'!$B$2:$B$700,0)),0))</f>
        <v/>
      </c>
    </row>
    <row r="1412" customFormat="false" ht="15" hidden="false" customHeight="false" outlineLevel="0" collapsed="false">
      <c r="A1412" s="102"/>
      <c r="E1412" s="103" t="str">
        <f aca="false">IF($C1412="","",IFERROR(INDEX(المنيو!$C$2:$C$500,MATCH($C1412,المنيو!$B$2:$B$500,0)),0))</f>
        <v/>
      </c>
      <c r="F1412" s="103" t="str">
        <f aca="false">IF($C1412="","",$D1412*$E1412)</f>
        <v/>
      </c>
      <c r="G1412" s="103" t="str">
        <f aca="false">IF($C1412="","",$D1412*IFERROR(INDEX('تحليل التكلفة والسعر'!$C$2:$C$700,MATCH($C1412,'تحليل التكلفة والسعر'!$B$2:$B$700,0)),0))</f>
        <v/>
      </c>
    </row>
    <row r="1413" customFormat="false" ht="15" hidden="false" customHeight="false" outlineLevel="0" collapsed="false">
      <c r="A1413" s="102"/>
      <c r="E1413" s="103" t="str">
        <f aca="false">IF($C1413="","",IFERROR(INDEX(المنيو!$C$2:$C$500,MATCH($C1413,المنيو!$B$2:$B$500,0)),0))</f>
        <v/>
      </c>
      <c r="F1413" s="103" t="str">
        <f aca="false">IF($C1413="","",$D1413*$E1413)</f>
        <v/>
      </c>
      <c r="G1413" s="103" t="str">
        <f aca="false">IF($C1413="","",$D1413*IFERROR(INDEX('تحليل التكلفة والسعر'!$C$2:$C$700,MATCH($C1413,'تحليل التكلفة والسعر'!$B$2:$B$700,0)),0))</f>
        <v/>
      </c>
    </row>
    <row r="1414" customFormat="false" ht="15" hidden="false" customHeight="false" outlineLevel="0" collapsed="false">
      <c r="A1414" s="102"/>
      <c r="E1414" s="103" t="str">
        <f aca="false">IF($C1414="","",IFERROR(INDEX(المنيو!$C$2:$C$500,MATCH($C1414,المنيو!$B$2:$B$500,0)),0))</f>
        <v/>
      </c>
      <c r="F1414" s="103" t="str">
        <f aca="false">IF($C1414="","",$D1414*$E1414)</f>
        <v/>
      </c>
      <c r="G1414" s="103" t="str">
        <f aca="false">IF($C1414="","",$D1414*IFERROR(INDEX('تحليل التكلفة والسعر'!$C$2:$C$700,MATCH($C1414,'تحليل التكلفة والسعر'!$B$2:$B$700,0)),0))</f>
        <v/>
      </c>
    </row>
    <row r="1415" customFormat="false" ht="15" hidden="false" customHeight="false" outlineLevel="0" collapsed="false">
      <c r="A1415" s="102"/>
      <c r="E1415" s="103" t="str">
        <f aca="false">IF($C1415="","",IFERROR(INDEX(المنيو!$C$2:$C$500,MATCH($C1415,المنيو!$B$2:$B$500,0)),0))</f>
        <v/>
      </c>
      <c r="F1415" s="103" t="str">
        <f aca="false">IF($C1415="","",$D1415*$E1415)</f>
        <v/>
      </c>
      <c r="G1415" s="103" t="str">
        <f aca="false">IF($C1415="","",$D1415*IFERROR(INDEX('تحليل التكلفة والسعر'!$C$2:$C$700,MATCH($C1415,'تحليل التكلفة والسعر'!$B$2:$B$700,0)),0))</f>
        <v/>
      </c>
    </row>
    <row r="1416" customFormat="false" ht="15" hidden="false" customHeight="false" outlineLevel="0" collapsed="false">
      <c r="A1416" s="102"/>
      <c r="E1416" s="103" t="str">
        <f aca="false">IF($C1416="","",IFERROR(INDEX(المنيو!$C$2:$C$500,MATCH($C1416,المنيو!$B$2:$B$500,0)),0))</f>
        <v/>
      </c>
      <c r="F1416" s="103" t="str">
        <f aca="false">IF($C1416="","",$D1416*$E1416)</f>
        <v/>
      </c>
      <c r="G1416" s="103" t="str">
        <f aca="false">IF($C1416="","",$D1416*IFERROR(INDEX('تحليل التكلفة والسعر'!$C$2:$C$700,MATCH($C1416,'تحليل التكلفة والسعر'!$B$2:$B$700,0)),0))</f>
        <v/>
      </c>
    </row>
    <row r="1417" customFormat="false" ht="15" hidden="false" customHeight="false" outlineLevel="0" collapsed="false">
      <c r="A1417" s="102"/>
      <c r="E1417" s="103" t="str">
        <f aca="false">IF($C1417="","",IFERROR(INDEX(المنيو!$C$2:$C$500,MATCH($C1417,المنيو!$B$2:$B$500,0)),0))</f>
        <v/>
      </c>
      <c r="F1417" s="103" t="str">
        <f aca="false">IF($C1417="","",$D1417*$E1417)</f>
        <v/>
      </c>
      <c r="G1417" s="103" t="str">
        <f aca="false">IF($C1417="","",$D1417*IFERROR(INDEX('تحليل التكلفة والسعر'!$C$2:$C$700,MATCH($C1417,'تحليل التكلفة والسعر'!$B$2:$B$700,0)),0))</f>
        <v/>
      </c>
    </row>
    <row r="1418" customFormat="false" ht="15" hidden="false" customHeight="false" outlineLevel="0" collapsed="false">
      <c r="A1418" s="102"/>
      <c r="E1418" s="103" t="str">
        <f aca="false">IF($C1418="","",IFERROR(INDEX(المنيو!$C$2:$C$500,MATCH($C1418,المنيو!$B$2:$B$500,0)),0))</f>
        <v/>
      </c>
      <c r="F1418" s="103" t="str">
        <f aca="false">IF($C1418="","",$D1418*$E1418)</f>
        <v/>
      </c>
      <c r="G1418" s="103" t="str">
        <f aca="false">IF($C1418="","",$D1418*IFERROR(INDEX('تحليل التكلفة والسعر'!$C$2:$C$700,MATCH($C1418,'تحليل التكلفة والسعر'!$B$2:$B$700,0)),0))</f>
        <v/>
      </c>
    </row>
    <row r="1419" customFormat="false" ht="15" hidden="false" customHeight="false" outlineLevel="0" collapsed="false">
      <c r="A1419" s="102"/>
      <c r="E1419" s="103" t="str">
        <f aca="false">IF($C1419="","",IFERROR(INDEX(المنيو!$C$2:$C$500,MATCH($C1419,المنيو!$B$2:$B$500,0)),0))</f>
        <v/>
      </c>
      <c r="F1419" s="103" t="str">
        <f aca="false">IF($C1419="","",$D1419*$E1419)</f>
        <v/>
      </c>
      <c r="G1419" s="103" t="str">
        <f aca="false">IF($C1419="","",$D1419*IFERROR(INDEX('تحليل التكلفة والسعر'!$C$2:$C$700,MATCH($C1419,'تحليل التكلفة والسعر'!$B$2:$B$700,0)),0))</f>
        <v/>
      </c>
    </row>
    <row r="1420" customFormat="false" ht="15" hidden="false" customHeight="false" outlineLevel="0" collapsed="false">
      <c r="A1420" s="102"/>
      <c r="E1420" s="103" t="str">
        <f aca="false">IF($C1420="","",IFERROR(INDEX(المنيو!$C$2:$C$500,MATCH($C1420,المنيو!$B$2:$B$500,0)),0))</f>
        <v/>
      </c>
      <c r="F1420" s="103" t="str">
        <f aca="false">IF($C1420="","",$D1420*$E1420)</f>
        <v/>
      </c>
      <c r="G1420" s="103" t="str">
        <f aca="false">IF($C1420="","",$D1420*IFERROR(INDEX('تحليل التكلفة والسعر'!$C$2:$C$700,MATCH($C1420,'تحليل التكلفة والسعر'!$B$2:$B$700,0)),0))</f>
        <v/>
      </c>
    </row>
    <row r="1421" customFormat="false" ht="15" hidden="false" customHeight="false" outlineLevel="0" collapsed="false">
      <c r="A1421" s="102"/>
      <c r="E1421" s="103" t="str">
        <f aca="false">IF($C1421="","",IFERROR(INDEX(المنيو!$C$2:$C$500,MATCH($C1421,المنيو!$B$2:$B$500,0)),0))</f>
        <v/>
      </c>
      <c r="F1421" s="103" t="str">
        <f aca="false">IF($C1421="","",$D1421*$E1421)</f>
        <v/>
      </c>
      <c r="G1421" s="103" t="str">
        <f aca="false">IF($C1421="","",$D1421*IFERROR(INDEX('تحليل التكلفة والسعر'!$C$2:$C$700,MATCH($C1421,'تحليل التكلفة والسعر'!$B$2:$B$700,0)),0))</f>
        <v/>
      </c>
    </row>
    <row r="1422" customFormat="false" ht="15" hidden="false" customHeight="false" outlineLevel="0" collapsed="false">
      <c r="A1422" s="102"/>
      <c r="E1422" s="103" t="str">
        <f aca="false">IF($C1422="","",IFERROR(INDEX(المنيو!$C$2:$C$500,MATCH($C1422,المنيو!$B$2:$B$500,0)),0))</f>
        <v/>
      </c>
      <c r="F1422" s="103" t="str">
        <f aca="false">IF($C1422="","",$D1422*$E1422)</f>
        <v/>
      </c>
      <c r="G1422" s="103" t="str">
        <f aca="false">IF($C1422="","",$D1422*IFERROR(INDEX('تحليل التكلفة والسعر'!$C$2:$C$700,MATCH($C1422,'تحليل التكلفة والسعر'!$B$2:$B$700,0)),0))</f>
        <v/>
      </c>
    </row>
    <row r="1423" customFormat="false" ht="15" hidden="false" customHeight="false" outlineLevel="0" collapsed="false">
      <c r="A1423" s="102"/>
      <c r="E1423" s="103" t="str">
        <f aca="false">IF($C1423="","",IFERROR(INDEX(المنيو!$C$2:$C$500,MATCH($C1423,المنيو!$B$2:$B$500,0)),0))</f>
        <v/>
      </c>
      <c r="F1423" s="103" t="str">
        <f aca="false">IF($C1423="","",$D1423*$E1423)</f>
        <v/>
      </c>
      <c r="G1423" s="103" t="str">
        <f aca="false">IF($C1423="","",$D1423*IFERROR(INDEX('تحليل التكلفة والسعر'!$C$2:$C$700,MATCH($C1423,'تحليل التكلفة والسعر'!$B$2:$B$700,0)),0))</f>
        <v/>
      </c>
    </row>
    <row r="1424" customFormat="false" ht="15" hidden="false" customHeight="false" outlineLevel="0" collapsed="false">
      <c r="A1424" s="102"/>
      <c r="E1424" s="103" t="str">
        <f aca="false">IF($C1424="","",IFERROR(INDEX(المنيو!$C$2:$C$500,MATCH($C1424,المنيو!$B$2:$B$500,0)),0))</f>
        <v/>
      </c>
      <c r="F1424" s="103" t="str">
        <f aca="false">IF($C1424="","",$D1424*$E1424)</f>
        <v/>
      </c>
      <c r="G1424" s="103" t="str">
        <f aca="false">IF($C1424="","",$D1424*IFERROR(INDEX('تحليل التكلفة والسعر'!$C$2:$C$700,MATCH($C1424,'تحليل التكلفة والسعر'!$B$2:$B$700,0)),0))</f>
        <v/>
      </c>
    </row>
    <row r="1425" customFormat="false" ht="15" hidden="false" customHeight="false" outlineLevel="0" collapsed="false">
      <c r="A1425" s="102"/>
      <c r="E1425" s="103" t="str">
        <f aca="false">IF($C1425="","",IFERROR(INDEX(المنيو!$C$2:$C$500,MATCH($C1425,المنيو!$B$2:$B$500,0)),0))</f>
        <v/>
      </c>
      <c r="F1425" s="103" t="str">
        <f aca="false">IF($C1425="","",$D1425*$E1425)</f>
        <v/>
      </c>
      <c r="G1425" s="103" t="str">
        <f aca="false">IF($C1425="","",$D1425*IFERROR(INDEX('تحليل التكلفة والسعر'!$C$2:$C$700,MATCH($C1425,'تحليل التكلفة والسعر'!$B$2:$B$700,0)),0))</f>
        <v/>
      </c>
    </row>
    <row r="1426" customFormat="false" ht="15" hidden="false" customHeight="false" outlineLevel="0" collapsed="false">
      <c r="A1426" s="102"/>
      <c r="E1426" s="103" t="str">
        <f aca="false">IF($C1426="","",IFERROR(INDEX(المنيو!$C$2:$C$500,MATCH($C1426,المنيو!$B$2:$B$500,0)),0))</f>
        <v/>
      </c>
      <c r="F1426" s="103" t="str">
        <f aca="false">IF($C1426="","",$D1426*$E1426)</f>
        <v/>
      </c>
      <c r="G1426" s="103" t="str">
        <f aca="false">IF($C1426="","",$D1426*IFERROR(INDEX('تحليل التكلفة والسعر'!$C$2:$C$700,MATCH($C1426,'تحليل التكلفة والسعر'!$B$2:$B$700,0)),0))</f>
        <v/>
      </c>
    </row>
    <row r="1427" customFormat="false" ht="15" hidden="false" customHeight="false" outlineLevel="0" collapsed="false">
      <c r="A1427" s="102"/>
      <c r="E1427" s="103" t="str">
        <f aca="false">IF($C1427="","",IFERROR(INDEX(المنيو!$C$2:$C$500,MATCH($C1427,المنيو!$B$2:$B$500,0)),0))</f>
        <v/>
      </c>
      <c r="F1427" s="103" t="str">
        <f aca="false">IF($C1427="","",$D1427*$E1427)</f>
        <v/>
      </c>
      <c r="G1427" s="103" t="str">
        <f aca="false">IF($C1427="","",$D1427*IFERROR(INDEX('تحليل التكلفة والسعر'!$C$2:$C$700,MATCH($C1427,'تحليل التكلفة والسعر'!$B$2:$B$700,0)),0))</f>
        <v/>
      </c>
    </row>
    <row r="1428" customFormat="false" ht="15" hidden="false" customHeight="false" outlineLevel="0" collapsed="false">
      <c r="A1428" s="102"/>
      <c r="E1428" s="103" t="str">
        <f aca="false">IF($C1428="","",IFERROR(INDEX(المنيو!$C$2:$C$500,MATCH($C1428,المنيو!$B$2:$B$500,0)),0))</f>
        <v/>
      </c>
      <c r="F1428" s="103" t="str">
        <f aca="false">IF($C1428="","",$D1428*$E1428)</f>
        <v/>
      </c>
      <c r="G1428" s="103" t="str">
        <f aca="false">IF($C1428="","",$D1428*IFERROR(INDEX('تحليل التكلفة والسعر'!$C$2:$C$700,MATCH($C1428,'تحليل التكلفة والسعر'!$B$2:$B$700,0)),0))</f>
        <v/>
      </c>
    </row>
    <row r="1429" customFormat="false" ht="15" hidden="false" customHeight="false" outlineLevel="0" collapsed="false">
      <c r="A1429" s="102"/>
      <c r="E1429" s="103" t="str">
        <f aca="false">IF($C1429="","",IFERROR(INDEX(المنيو!$C$2:$C$500,MATCH($C1429,المنيو!$B$2:$B$500,0)),0))</f>
        <v/>
      </c>
      <c r="F1429" s="103" t="str">
        <f aca="false">IF($C1429="","",$D1429*$E1429)</f>
        <v/>
      </c>
      <c r="G1429" s="103" t="str">
        <f aca="false">IF($C1429="","",$D1429*IFERROR(INDEX('تحليل التكلفة والسعر'!$C$2:$C$700,MATCH($C1429,'تحليل التكلفة والسعر'!$B$2:$B$700,0)),0))</f>
        <v/>
      </c>
    </row>
    <row r="1430" customFormat="false" ht="15" hidden="false" customHeight="false" outlineLevel="0" collapsed="false">
      <c r="A1430" s="102"/>
      <c r="E1430" s="103" t="str">
        <f aca="false">IF($C1430="","",IFERROR(INDEX(المنيو!$C$2:$C$500,MATCH($C1430,المنيو!$B$2:$B$500,0)),0))</f>
        <v/>
      </c>
      <c r="F1430" s="103" t="str">
        <f aca="false">IF($C1430="","",$D1430*$E1430)</f>
        <v/>
      </c>
      <c r="G1430" s="103" t="str">
        <f aca="false">IF($C1430="","",$D1430*IFERROR(INDEX('تحليل التكلفة والسعر'!$C$2:$C$700,MATCH($C1430,'تحليل التكلفة والسعر'!$B$2:$B$700,0)),0))</f>
        <v/>
      </c>
    </row>
    <row r="1431" customFormat="false" ht="15" hidden="false" customHeight="false" outlineLevel="0" collapsed="false">
      <c r="A1431" s="102"/>
      <c r="E1431" s="103" t="str">
        <f aca="false">IF($C1431="","",IFERROR(INDEX(المنيو!$C$2:$C$500,MATCH($C1431,المنيو!$B$2:$B$500,0)),0))</f>
        <v/>
      </c>
      <c r="F1431" s="103" t="str">
        <f aca="false">IF($C1431="","",$D1431*$E1431)</f>
        <v/>
      </c>
      <c r="G1431" s="103" t="str">
        <f aca="false">IF($C1431="","",$D1431*IFERROR(INDEX('تحليل التكلفة والسعر'!$C$2:$C$700,MATCH($C1431,'تحليل التكلفة والسعر'!$B$2:$B$700,0)),0))</f>
        <v/>
      </c>
    </row>
    <row r="1432" customFormat="false" ht="15" hidden="false" customHeight="false" outlineLevel="0" collapsed="false">
      <c r="A1432" s="102"/>
      <c r="E1432" s="103" t="str">
        <f aca="false">IF($C1432="","",IFERROR(INDEX(المنيو!$C$2:$C$500,MATCH($C1432,المنيو!$B$2:$B$500,0)),0))</f>
        <v/>
      </c>
      <c r="F1432" s="103" t="str">
        <f aca="false">IF($C1432="","",$D1432*$E1432)</f>
        <v/>
      </c>
      <c r="G1432" s="103" t="str">
        <f aca="false">IF($C1432="","",$D1432*IFERROR(INDEX('تحليل التكلفة والسعر'!$C$2:$C$700,MATCH($C1432,'تحليل التكلفة والسعر'!$B$2:$B$700,0)),0))</f>
        <v/>
      </c>
    </row>
    <row r="1433" customFormat="false" ht="15" hidden="false" customHeight="false" outlineLevel="0" collapsed="false">
      <c r="A1433" s="102"/>
      <c r="E1433" s="103" t="str">
        <f aca="false">IF($C1433="","",IFERROR(INDEX(المنيو!$C$2:$C$500,MATCH($C1433,المنيو!$B$2:$B$500,0)),0))</f>
        <v/>
      </c>
      <c r="F1433" s="103" t="str">
        <f aca="false">IF($C1433="","",$D1433*$E1433)</f>
        <v/>
      </c>
      <c r="G1433" s="103" t="str">
        <f aca="false">IF($C1433="","",$D1433*IFERROR(INDEX('تحليل التكلفة والسعر'!$C$2:$C$700,MATCH($C1433,'تحليل التكلفة والسعر'!$B$2:$B$700,0)),0))</f>
        <v/>
      </c>
    </row>
    <row r="1434" customFormat="false" ht="15" hidden="false" customHeight="false" outlineLevel="0" collapsed="false">
      <c r="A1434" s="102"/>
      <c r="E1434" s="103" t="str">
        <f aca="false">IF($C1434="","",IFERROR(INDEX(المنيو!$C$2:$C$500,MATCH($C1434,المنيو!$B$2:$B$500,0)),0))</f>
        <v/>
      </c>
      <c r="F1434" s="103" t="str">
        <f aca="false">IF($C1434="","",$D1434*$E1434)</f>
        <v/>
      </c>
      <c r="G1434" s="103" t="str">
        <f aca="false">IF($C1434="","",$D1434*IFERROR(INDEX('تحليل التكلفة والسعر'!$C$2:$C$700,MATCH($C1434,'تحليل التكلفة والسعر'!$B$2:$B$700,0)),0))</f>
        <v/>
      </c>
    </row>
    <row r="1435" customFormat="false" ht="15" hidden="false" customHeight="false" outlineLevel="0" collapsed="false">
      <c r="A1435" s="102"/>
      <c r="E1435" s="103" t="str">
        <f aca="false">IF($C1435="","",IFERROR(INDEX(المنيو!$C$2:$C$500,MATCH($C1435,المنيو!$B$2:$B$500,0)),0))</f>
        <v/>
      </c>
      <c r="F1435" s="103" t="str">
        <f aca="false">IF($C1435="","",$D1435*$E1435)</f>
        <v/>
      </c>
      <c r="G1435" s="103" t="str">
        <f aca="false">IF($C1435="","",$D1435*IFERROR(INDEX('تحليل التكلفة والسعر'!$C$2:$C$700,MATCH($C1435,'تحليل التكلفة والسعر'!$B$2:$B$700,0)),0))</f>
        <v/>
      </c>
    </row>
    <row r="1436" customFormat="false" ht="15" hidden="false" customHeight="false" outlineLevel="0" collapsed="false">
      <c r="A1436" s="102"/>
      <c r="E1436" s="103" t="str">
        <f aca="false">IF($C1436="","",IFERROR(INDEX(المنيو!$C$2:$C$500,MATCH($C1436,المنيو!$B$2:$B$500,0)),0))</f>
        <v/>
      </c>
      <c r="F1436" s="103" t="str">
        <f aca="false">IF($C1436="","",$D1436*$E1436)</f>
        <v/>
      </c>
      <c r="G1436" s="103" t="str">
        <f aca="false">IF($C1436="","",$D1436*IFERROR(INDEX('تحليل التكلفة والسعر'!$C$2:$C$700,MATCH($C1436,'تحليل التكلفة والسعر'!$B$2:$B$700,0)),0))</f>
        <v/>
      </c>
    </row>
    <row r="1437" customFormat="false" ht="15" hidden="false" customHeight="false" outlineLevel="0" collapsed="false">
      <c r="A1437" s="102"/>
      <c r="E1437" s="103" t="str">
        <f aca="false">IF($C1437="","",IFERROR(INDEX(المنيو!$C$2:$C$500,MATCH($C1437,المنيو!$B$2:$B$500,0)),0))</f>
        <v/>
      </c>
      <c r="F1437" s="103" t="str">
        <f aca="false">IF($C1437="","",$D1437*$E1437)</f>
        <v/>
      </c>
      <c r="G1437" s="103" t="str">
        <f aca="false">IF($C1437="","",$D1437*IFERROR(INDEX('تحليل التكلفة والسعر'!$C$2:$C$700,MATCH($C1437,'تحليل التكلفة والسعر'!$B$2:$B$700,0)),0))</f>
        <v/>
      </c>
    </row>
    <row r="1438" customFormat="false" ht="15" hidden="false" customHeight="false" outlineLevel="0" collapsed="false">
      <c r="A1438" s="102"/>
      <c r="E1438" s="103" t="str">
        <f aca="false">IF($C1438="","",IFERROR(INDEX(المنيو!$C$2:$C$500,MATCH($C1438,المنيو!$B$2:$B$500,0)),0))</f>
        <v/>
      </c>
      <c r="F1438" s="103" t="str">
        <f aca="false">IF($C1438="","",$D1438*$E1438)</f>
        <v/>
      </c>
      <c r="G1438" s="103" t="str">
        <f aca="false">IF($C1438="","",$D1438*IFERROR(INDEX('تحليل التكلفة والسعر'!$C$2:$C$700,MATCH($C1438,'تحليل التكلفة والسعر'!$B$2:$B$700,0)),0))</f>
        <v/>
      </c>
    </row>
    <row r="1439" customFormat="false" ht="15" hidden="false" customHeight="false" outlineLevel="0" collapsed="false">
      <c r="A1439" s="102"/>
      <c r="E1439" s="103" t="str">
        <f aca="false">IF($C1439="","",IFERROR(INDEX(المنيو!$C$2:$C$500,MATCH($C1439,المنيو!$B$2:$B$500,0)),0))</f>
        <v/>
      </c>
      <c r="F1439" s="103" t="str">
        <f aca="false">IF($C1439="","",$D1439*$E1439)</f>
        <v/>
      </c>
      <c r="G1439" s="103" t="str">
        <f aca="false">IF($C1439="","",$D1439*IFERROR(INDEX('تحليل التكلفة والسعر'!$C$2:$C$700,MATCH($C1439,'تحليل التكلفة والسعر'!$B$2:$B$700,0)),0))</f>
        <v/>
      </c>
    </row>
    <row r="1440" customFormat="false" ht="15" hidden="false" customHeight="false" outlineLevel="0" collapsed="false">
      <c r="A1440" s="102"/>
      <c r="E1440" s="103" t="str">
        <f aca="false">IF($C1440="","",IFERROR(INDEX(المنيو!$C$2:$C$500,MATCH($C1440,المنيو!$B$2:$B$500,0)),0))</f>
        <v/>
      </c>
      <c r="F1440" s="103" t="str">
        <f aca="false">IF($C1440="","",$D1440*$E1440)</f>
        <v/>
      </c>
      <c r="G1440" s="103" t="str">
        <f aca="false">IF($C1440="","",$D1440*IFERROR(INDEX('تحليل التكلفة والسعر'!$C$2:$C$700,MATCH($C1440,'تحليل التكلفة والسعر'!$B$2:$B$700,0)),0))</f>
        <v/>
      </c>
    </row>
    <row r="1441" customFormat="false" ht="15" hidden="false" customHeight="false" outlineLevel="0" collapsed="false">
      <c r="A1441" s="102"/>
      <c r="E1441" s="103" t="str">
        <f aca="false">IF($C1441="","",IFERROR(INDEX(المنيو!$C$2:$C$500,MATCH($C1441,المنيو!$B$2:$B$500,0)),0))</f>
        <v/>
      </c>
      <c r="F1441" s="103" t="str">
        <f aca="false">IF($C1441="","",$D1441*$E1441)</f>
        <v/>
      </c>
      <c r="G1441" s="103" t="str">
        <f aca="false">IF($C1441="","",$D1441*IFERROR(INDEX('تحليل التكلفة والسعر'!$C$2:$C$700,MATCH($C1441,'تحليل التكلفة والسعر'!$B$2:$B$700,0)),0))</f>
        <v/>
      </c>
    </row>
    <row r="1442" customFormat="false" ht="15" hidden="false" customHeight="false" outlineLevel="0" collapsed="false">
      <c r="A1442" s="102"/>
      <c r="E1442" s="103" t="str">
        <f aca="false">IF($C1442="","",IFERROR(INDEX(المنيو!$C$2:$C$500,MATCH($C1442,المنيو!$B$2:$B$500,0)),0))</f>
        <v/>
      </c>
      <c r="F1442" s="103" t="str">
        <f aca="false">IF($C1442="","",$D1442*$E1442)</f>
        <v/>
      </c>
      <c r="G1442" s="103" t="str">
        <f aca="false">IF($C1442="","",$D1442*IFERROR(INDEX('تحليل التكلفة والسعر'!$C$2:$C$700,MATCH($C1442,'تحليل التكلفة والسعر'!$B$2:$B$700,0)),0))</f>
        <v/>
      </c>
    </row>
    <row r="1443" customFormat="false" ht="15" hidden="false" customHeight="false" outlineLevel="0" collapsed="false">
      <c r="A1443" s="102"/>
      <c r="E1443" s="103" t="str">
        <f aca="false">IF($C1443="","",IFERROR(INDEX(المنيو!$C$2:$C$500,MATCH($C1443,المنيو!$B$2:$B$500,0)),0))</f>
        <v/>
      </c>
      <c r="F1443" s="103" t="str">
        <f aca="false">IF($C1443="","",$D1443*$E1443)</f>
        <v/>
      </c>
      <c r="G1443" s="103" t="str">
        <f aca="false">IF($C1443="","",$D1443*IFERROR(INDEX('تحليل التكلفة والسعر'!$C$2:$C$700,MATCH($C1443,'تحليل التكلفة والسعر'!$B$2:$B$700,0)),0))</f>
        <v/>
      </c>
    </row>
    <row r="1444" customFormat="false" ht="15" hidden="false" customHeight="false" outlineLevel="0" collapsed="false">
      <c r="A1444" s="102"/>
      <c r="E1444" s="103" t="str">
        <f aca="false">IF($C1444="","",IFERROR(INDEX(المنيو!$C$2:$C$500,MATCH($C1444,المنيو!$B$2:$B$500,0)),0))</f>
        <v/>
      </c>
      <c r="F1444" s="103" t="str">
        <f aca="false">IF($C1444="","",$D1444*$E1444)</f>
        <v/>
      </c>
      <c r="G1444" s="103" t="str">
        <f aca="false">IF($C1444="","",$D1444*IFERROR(INDEX('تحليل التكلفة والسعر'!$C$2:$C$700,MATCH($C1444,'تحليل التكلفة والسعر'!$B$2:$B$700,0)),0))</f>
        <v/>
      </c>
    </row>
    <row r="1445" customFormat="false" ht="15" hidden="false" customHeight="false" outlineLevel="0" collapsed="false">
      <c r="A1445" s="102"/>
      <c r="E1445" s="103" t="str">
        <f aca="false">IF($C1445="","",IFERROR(INDEX(المنيو!$C$2:$C$500,MATCH($C1445,المنيو!$B$2:$B$500,0)),0))</f>
        <v/>
      </c>
      <c r="F1445" s="103" t="str">
        <f aca="false">IF($C1445="","",$D1445*$E1445)</f>
        <v/>
      </c>
      <c r="G1445" s="103" t="str">
        <f aca="false">IF($C1445="","",$D1445*IFERROR(INDEX('تحليل التكلفة والسعر'!$C$2:$C$700,MATCH($C1445,'تحليل التكلفة والسعر'!$B$2:$B$700,0)),0))</f>
        <v/>
      </c>
    </row>
    <row r="1446" customFormat="false" ht="15" hidden="false" customHeight="false" outlineLevel="0" collapsed="false">
      <c r="A1446" s="102"/>
      <c r="E1446" s="103" t="str">
        <f aca="false">IF($C1446="","",IFERROR(INDEX(المنيو!$C$2:$C$500,MATCH($C1446,المنيو!$B$2:$B$500,0)),0))</f>
        <v/>
      </c>
      <c r="F1446" s="103" t="str">
        <f aca="false">IF($C1446="","",$D1446*$E1446)</f>
        <v/>
      </c>
      <c r="G1446" s="103" t="str">
        <f aca="false">IF($C1446="","",$D1446*IFERROR(INDEX('تحليل التكلفة والسعر'!$C$2:$C$700,MATCH($C1446,'تحليل التكلفة والسعر'!$B$2:$B$700,0)),0))</f>
        <v/>
      </c>
    </row>
    <row r="1447" customFormat="false" ht="15" hidden="false" customHeight="false" outlineLevel="0" collapsed="false">
      <c r="A1447" s="102"/>
      <c r="E1447" s="103" t="str">
        <f aca="false">IF($C1447="","",IFERROR(INDEX(المنيو!$C$2:$C$500,MATCH($C1447,المنيو!$B$2:$B$500,0)),0))</f>
        <v/>
      </c>
      <c r="F1447" s="103" t="str">
        <f aca="false">IF($C1447="","",$D1447*$E1447)</f>
        <v/>
      </c>
      <c r="G1447" s="103" t="str">
        <f aca="false">IF($C1447="","",$D1447*IFERROR(INDEX('تحليل التكلفة والسعر'!$C$2:$C$700,MATCH($C1447,'تحليل التكلفة والسعر'!$B$2:$B$700,0)),0))</f>
        <v/>
      </c>
    </row>
    <row r="1448" customFormat="false" ht="15" hidden="false" customHeight="false" outlineLevel="0" collapsed="false">
      <c r="A1448" s="102"/>
      <c r="E1448" s="103" t="str">
        <f aca="false">IF($C1448="","",IFERROR(INDEX(المنيو!$C$2:$C$500,MATCH($C1448,المنيو!$B$2:$B$500,0)),0))</f>
        <v/>
      </c>
      <c r="F1448" s="103" t="str">
        <f aca="false">IF($C1448="","",$D1448*$E1448)</f>
        <v/>
      </c>
      <c r="G1448" s="103" t="str">
        <f aca="false">IF($C1448="","",$D1448*IFERROR(INDEX('تحليل التكلفة والسعر'!$C$2:$C$700,MATCH($C1448,'تحليل التكلفة والسعر'!$B$2:$B$700,0)),0))</f>
        <v/>
      </c>
    </row>
    <row r="1449" customFormat="false" ht="15" hidden="false" customHeight="false" outlineLevel="0" collapsed="false">
      <c r="A1449" s="102"/>
      <c r="E1449" s="103" t="str">
        <f aca="false">IF($C1449="","",IFERROR(INDEX(المنيو!$C$2:$C$500,MATCH($C1449,المنيو!$B$2:$B$500,0)),0))</f>
        <v/>
      </c>
      <c r="F1449" s="103" t="str">
        <f aca="false">IF($C1449="","",$D1449*$E1449)</f>
        <v/>
      </c>
      <c r="G1449" s="103" t="str">
        <f aca="false">IF($C1449="","",$D1449*IFERROR(INDEX('تحليل التكلفة والسعر'!$C$2:$C$700,MATCH($C1449,'تحليل التكلفة والسعر'!$B$2:$B$700,0)),0))</f>
        <v/>
      </c>
    </row>
    <row r="1450" customFormat="false" ht="15" hidden="false" customHeight="false" outlineLevel="0" collapsed="false">
      <c r="A1450" s="102"/>
      <c r="E1450" s="103" t="str">
        <f aca="false">IF($C1450="","",IFERROR(INDEX(المنيو!$C$2:$C$500,MATCH($C1450,المنيو!$B$2:$B$500,0)),0))</f>
        <v/>
      </c>
      <c r="F1450" s="103" t="str">
        <f aca="false">IF($C1450="","",$D1450*$E1450)</f>
        <v/>
      </c>
      <c r="G1450" s="103" t="str">
        <f aca="false">IF($C1450="","",$D1450*IFERROR(INDEX('تحليل التكلفة والسعر'!$C$2:$C$700,MATCH($C1450,'تحليل التكلفة والسعر'!$B$2:$B$700,0)),0))</f>
        <v/>
      </c>
    </row>
    <row r="1451" customFormat="false" ht="15" hidden="false" customHeight="false" outlineLevel="0" collapsed="false">
      <c r="A1451" s="102"/>
      <c r="E1451" s="103" t="str">
        <f aca="false">IF($C1451="","",IFERROR(INDEX(المنيو!$C$2:$C$500,MATCH($C1451,المنيو!$B$2:$B$500,0)),0))</f>
        <v/>
      </c>
      <c r="F1451" s="103" t="str">
        <f aca="false">IF($C1451="","",$D1451*$E1451)</f>
        <v/>
      </c>
      <c r="G1451" s="103" t="str">
        <f aca="false">IF($C1451="","",$D1451*IFERROR(INDEX('تحليل التكلفة والسعر'!$C$2:$C$700,MATCH($C1451,'تحليل التكلفة والسعر'!$B$2:$B$700,0)),0))</f>
        <v/>
      </c>
    </row>
    <row r="1452" customFormat="false" ht="15" hidden="false" customHeight="false" outlineLevel="0" collapsed="false">
      <c r="A1452" s="102"/>
      <c r="E1452" s="103" t="str">
        <f aca="false">IF($C1452="","",IFERROR(INDEX(المنيو!$C$2:$C$500,MATCH($C1452,المنيو!$B$2:$B$500,0)),0))</f>
        <v/>
      </c>
      <c r="F1452" s="103" t="str">
        <f aca="false">IF($C1452="","",$D1452*$E1452)</f>
        <v/>
      </c>
      <c r="G1452" s="103" t="str">
        <f aca="false">IF($C1452="","",$D1452*IFERROR(INDEX('تحليل التكلفة والسعر'!$C$2:$C$700,MATCH($C1452,'تحليل التكلفة والسعر'!$B$2:$B$700,0)),0))</f>
        <v/>
      </c>
    </row>
    <row r="1453" customFormat="false" ht="15" hidden="false" customHeight="false" outlineLevel="0" collapsed="false">
      <c r="A1453" s="102"/>
      <c r="E1453" s="103" t="str">
        <f aca="false">IF($C1453="","",IFERROR(INDEX(المنيو!$C$2:$C$500,MATCH($C1453,المنيو!$B$2:$B$500,0)),0))</f>
        <v/>
      </c>
      <c r="F1453" s="103" t="str">
        <f aca="false">IF($C1453="","",$D1453*$E1453)</f>
        <v/>
      </c>
      <c r="G1453" s="103" t="str">
        <f aca="false">IF($C1453="","",$D1453*IFERROR(INDEX('تحليل التكلفة والسعر'!$C$2:$C$700,MATCH($C1453,'تحليل التكلفة والسعر'!$B$2:$B$700,0)),0))</f>
        <v/>
      </c>
    </row>
    <row r="1454" customFormat="false" ht="15" hidden="false" customHeight="false" outlineLevel="0" collapsed="false">
      <c r="A1454" s="102"/>
      <c r="E1454" s="103" t="str">
        <f aca="false">IF($C1454="","",IFERROR(INDEX(المنيو!$C$2:$C$500,MATCH($C1454,المنيو!$B$2:$B$500,0)),0))</f>
        <v/>
      </c>
      <c r="F1454" s="103" t="str">
        <f aca="false">IF($C1454="","",$D1454*$E1454)</f>
        <v/>
      </c>
      <c r="G1454" s="103" t="str">
        <f aca="false">IF($C1454="","",$D1454*IFERROR(INDEX('تحليل التكلفة والسعر'!$C$2:$C$700,MATCH($C1454,'تحليل التكلفة والسعر'!$B$2:$B$700,0)),0))</f>
        <v/>
      </c>
    </row>
    <row r="1455" customFormat="false" ht="15" hidden="false" customHeight="false" outlineLevel="0" collapsed="false">
      <c r="A1455" s="102"/>
      <c r="E1455" s="103" t="str">
        <f aca="false">IF($C1455="","",IFERROR(INDEX(المنيو!$C$2:$C$500,MATCH($C1455,المنيو!$B$2:$B$500,0)),0))</f>
        <v/>
      </c>
      <c r="F1455" s="103" t="str">
        <f aca="false">IF($C1455="","",$D1455*$E1455)</f>
        <v/>
      </c>
      <c r="G1455" s="103" t="str">
        <f aca="false">IF($C1455="","",$D1455*IFERROR(INDEX('تحليل التكلفة والسعر'!$C$2:$C$700,MATCH($C1455,'تحليل التكلفة والسعر'!$B$2:$B$700,0)),0))</f>
        <v/>
      </c>
    </row>
    <row r="1456" customFormat="false" ht="15" hidden="false" customHeight="false" outlineLevel="0" collapsed="false">
      <c r="A1456" s="102"/>
      <c r="E1456" s="103" t="str">
        <f aca="false">IF($C1456="","",IFERROR(INDEX(المنيو!$C$2:$C$500,MATCH($C1456,المنيو!$B$2:$B$500,0)),0))</f>
        <v/>
      </c>
      <c r="F1456" s="103" t="str">
        <f aca="false">IF($C1456="","",$D1456*$E1456)</f>
        <v/>
      </c>
      <c r="G1456" s="103" t="str">
        <f aca="false">IF($C1456="","",$D1456*IFERROR(INDEX('تحليل التكلفة والسعر'!$C$2:$C$700,MATCH($C1456,'تحليل التكلفة والسعر'!$B$2:$B$700,0)),0))</f>
        <v/>
      </c>
    </row>
    <row r="1457" customFormat="false" ht="15" hidden="false" customHeight="false" outlineLevel="0" collapsed="false">
      <c r="A1457" s="102"/>
      <c r="E1457" s="103" t="str">
        <f aca="false">IF($C1457="","",IFERROR(INDEX(المنيو!$C$2:$C$500,MATCH($C1457,المنيو!$B$2:$B$500,0)),0))</f>
        <v/>
      </c>
      <c r="F1457" s="103" t="str">
        <f aca="false">IF($C1457="","",$D1457*$E1457)</f>
        <v/>
      </c>
      <c r="G1457" s="103" t="str">
        <f aca="false">IF($C1457="","",$D1457*IFERROR(INDEX('تحليل التكلفة والسعر'!$C$2:$C$700,MATCH($C1457,'تحليل التكلفة والسعر'!$B$2:$B$700,0)),0))</f>
        <v/>
      </c>
    </row>
    <row r="1458" customFormat="false" ht="15" hidden="false" customHeight="false" outlineLevel="0" collapsed="false">
      <c r="A1458" s="102"/>
      <c r="E1458" s="103" t="str">
        <f aca="false">IF($C1458="","",IFERROR(INDEX(المنيو!$C$2:$C$500,MATCH($C1458,المنيو!$B$2:$B$500,0)),0))</f>
        <v/>
      </c>
      <c r="F1458" s="103" t="str">
        <f aca="false">IF($C1458="","",$D1458*$E1458)</f>
        <v/>
      </c>
      <c r="G1458" s="103" t="str">
        <f aca="false">IF($C1458="","",$D1458*IFERROR(INDEX('تحليل التكلفة والسعر'!$C$2:$C$700,MATCH($C1458,'تحليل التكلفة والسعر'!$B$2:$B$700,0)),0))</f>
        <v/>
      </c>
    </row>
    <row r="1459" customFormat="false" ht="15" hidden="false" customHeight="false" outlineLevel="0" collapsed="false">
      <c r="A1459" s="102"/>
      <c r="E1459" s="103" t="str">
        <f aca="false">IF($C1459="","",IFERROR(INDEX(المنيو!$C$2:$C$500,MATCH($C1459,المنيو!$B$2:$B$500,0)),0))</f>
        <v/>
      </c>
      <c r="F1459" s="103" t="str">
        <f aca="false">IF($C1459="","",$D1459*$E1459)</f>
        <v/>
      </c>
      <c r="G1459" s="103" t="str">
        <f aca="false">IF($C1459="","",$D1459*IFERROR(INDEX('تحليل التكلفة والسعر'!$C$2:$C$700,MATCH($C1459,'تحليل التكلفة والسعر'!$B$2:$B$700,0)),0))</f>
        <v/>
      </c>
    </row>
    <row r="1460" customFormat="false" ht="15" hidden="false" customHeight="false" outlineLevel="0" collapsed="false">
      <c r="A1460" s="102"/>
      <c r="E1460" s="103" t="str">
        <f aca="false">IF($C1460="","",IFERROR(INDEX(المنيو!$C$2:$C$500,MATCH($C1460,المنيو!$B$2:$B$500,0)),0))</f>
        <v/>
      </c>
      <c r="F1460" s="103" t="str">
        <f aca="false">IF($C1460="","",$D1460*$E1460)</f>
        <v/>
      </c>
      <c r="G1460" s="103" t="str">
        <f aca="false">IF($C1460="","",$D1460*IFERROR(INDEX('تحليل التكلفة والسعر'!$C$2:$C$700,MATCH($C1460,'تحليل التكلفة والسعر'!$B$2:$B$700,0)),0))</f>
        <v/>
      </c>
    </row>
    <row r="1461" customFormat="false" ht="15" hidden="false" customHeight="false" outlineLevel="0" collapsed="false">
      <c r="A1461" s="102"/>
      <c r="E1461" s="103" t="str">
        <f aca="false">IF($C1461="","",IFERROR(INDEX(المنيو!$C$2:$C$500,MATCH($C1461,المنيو!$B$2:$B$500,0)),0))</f>
        <v/>
      </c>
      <c r="F1461" s="103" t="str">
        <f aca="false">IF($C1461="","",$D1461*$E1461)</f>
        <v/>
      </c>
      <c r="G1461" s="103" t="str">
        <f aca="false">IF($C1461="","",$D1461*IFERROR(INDEX('تحليل التكلفة والسعر'!$C$2:$C$700,MATCH($C1461,'تحليل التكلفة والسعر'!$B$2:$B$700,0)),0))</f>
        <v/>
      </c>
    </row>
    <row r="1462" customFormat="false" ht="15" hidden="false" customHeight="false" outlineLevel="0" collapsed="false">
      <c r="A1462" s="102"/>
      <c r="E1462" s="103" t="str">
        <f aca="false">IF($C1462="","",IFERROR(INDEX(المنيو!$C$2:$C$500,MATCH($C1462,المنيو!$B$2:$B$500,0)),0))</f>
        <v/>
      </c>
      <c r="F1462" s="103" t="str">
        <f aca="false">IF($C1462="","",$D1462*$E1462)</f>
        <v/>
      </c>
      <c r="G1462" s="103" t="str">
        <f aca="false">IF($C1462="","",$D1462*IFERROR(INDEX('تحليل التكلفة والسعر'!$C$2:$C$700,MATCH($C1462,'تحليل التكلفة والسعر'!$B$2:$B$700,0)),0))</f>
        <v/>
      </c>
    </row>
    <row r="1463" customFormat="false" ht="15" hidden="false" customHeight="false" outlineLevel="0" collapsed="false">
      <c r="A1463" s="102"/>
      <c r="E1463" s="103" t="str">
        <f aca="false">IF($C1463="","",IFERROR(INDEX(المنيو!$C$2:$C$500,MATCH($C1463,المنيو!$B$2:$B$500,0)),0))</f>
        <v/>
      </c>
      <c r="F1463" s="103" t="str">
        <f aca="false">IF($C1463="","",$D1463*$E1463)</f>
        <v/>
      </c>
      <c r="G1463" s="103" t="str">
        <f aca="false">IF($C1463="","",$D1463*IFERROR(INDEX('تحليل التكلفة والسعر'!$C$2:$C$700,MATCH($C1463,'تحليل التكلفة والسعر'!$B$2:$B$700,0)),0))</f>
        <v/>
      </c>
    </row>
    <row r="1464" customFormat="false" ht="15" hidden="false" customHeight="false" outlineLevel="0" collapsed="false">
      <c r="A1464" s="102"/>
      <c r="E1464" s="103" t="str">
        <f aca="false">IF($C1464="","",IFERROR(INDEX(المنيو!$C$2:$C$500,MATCH($C1464,المنيو!$B$2:$B$500,0)),0))</f>
        <v/>
      </c>
      <c r="F1464" s="103" t="str">
        <f aca="false">IF($C1464="","",$D1464*$E1464)</f>
        <v/>
      </c>
      <c r="G1464" s="103" t="str">
        <f aca="false">IF($C1464="","",$D1464*IFERROR(INDEX('تحليل التكلفة والسعر'!$C$2:$C$700,MATCH($C1464,'تحليل التكلفة والسعر'!$B$2:$B$700,0)),0))</f>
        <v/>
      </c>
    </row>
    <row r="1465" customFormat="false" ht="15" hidden="false" customHeight="false" outlineLevel="0" collapsed="false">
      <c r="A1465" s="102"/>
      <c r="E1465" s="103" t="str">
        <f aca="false">IF($C1465="","",IFERROR(INDEX(المنيو!$C$2:$C$500,MATCH($C1465,المنيو!$B$2:$B$500,0)),0))</f>
        <v/>
      </c>
      <c r="F1465" s="103" t="str">
        <f aca="false">IF($C1465="","",$D1465*$E1465)</f>
        <v/>
      </c>
      <c r="G1465" s="103" t="str">
        <f aca="false">IF($C1465="","",$D1465*IFERROR(INDEX('تحليل التكلفة والسعر'!$C$2:$C$700,MATCH($C1465,'تحليل التكلفة والسعر'!$B$2:$B$700,0)),0))</f>
        <v/>
      </c>
    </row>
    <row r="1466" customFormat="false" ht="15" hidden="false" customHeight="false" outlineLevel="0" collapsed="false">
      <c r="A1466" s="102"/>
      <c r="E1466" s="103" t="str">
        <f aca="false">IF($C1466="","",IFERROR(INDEX(المنيو!$C$2:$C$500,MATCH($C1466,المنيو!$B$2:$B$500,0)),0))</f>
        <v/>
      </c>
      <c r="F1466" s="103" t="str">
        <f aca="false">IF($C1466="","",$D1466*$E1466)</f>
        <v/>
      </c>
      <c r="G1466" s="103" t="str">
        <f aca="false">IF($C1466="","",$D1466*IFERROR(INDEX('تحليل التكلفة والسعر'!$C$2:$C$700,MATCH($C1466,'تحليل التكلفة والسعر'!$B$2:$B$700,0)),0))</f>
        <v/>
      </c>
    </row>
    <row r="1467" customFormat="false" ht="15" hidden="false" customHeight="false" outlineLevel="0" collapsed="false">
      <c r="A1467" s="102"/>
      <c r="E1467" s="103" t="str">
        <f aca="false">IF($C1467="","",IFERROR(INDEX(المنيو!$C$2:$C$500,MATCH($C1467,المنيو!$B$2:$B$500,0)),0))</f>
        <v/>
      </c>
      <c r="F1467" s="103" t="str">
        <f aca="false">IF($C1467="","",$D1467*$E1467)</f>
        <v/>
      </c>
      <c r="G1467" s="103" t="str">
        <f aca="false">IF($C1467="","",$D1467*IFERROR(INDEX('تحليل التكلفة والسعر'!$C$2:$C$700,MATCH($C1467,'تحليل التكلفة والسعر'!$B$2:$B$700,0)),0))</f>
        <v/>
      </c>
    </row>
    <row r="1468" customFormat="false" ht="15" hidden="false" customHeight="false" outlineLevel="0" collapsed="false">
      <c r="A1468" s="102"/>
      <c r="E1468" s="103" t="str">
        <f aca="false">IF($C1468="","",IFERROR(INDEX(المنيو!$C$2:$C$500,MATCH($C1468,المنيو!$B$2:$B$500,0)),0))</f>
        <v/>
      </c>
      <c r="F1468" s="103" t="str">
        <f aca="false">IF($C1468="","",$D1468*$E1468)</f>
        <v/>
      </c>
      <c r="G1468" s="103" t="str">
        <f aca="false">IF($C1468="","",$D1468*IFERROR(INDEX('تحليل التكلفة والسعر'!$C$2:$C$700,MATCH($C1468,'تحليل التكلفة والسعر'!$B$2:$B$700,0)),0))</f>
        <v/>
      </c>
    </row>
    <row r="1469" customFormat="false" ht="15" hidden="false" customHeight="false" outlineLevel="0" collapsed="false">
      <c r="A1469" s="102"/>
      <c r="E1469" s="103" t="str">
        <f aca="false">IF($C1469="","",IFERROR(INDEX(المنيو!$C$2:$C$500,MATCH($C1469,المنيو!$B$2:$B$500,0)),0))</f>
        <v/>
      </c>
      <c r="F1469" s="103" t="str">
        <f aca="false">IF($C1469="","",$D1469*$E1469)</f>
        <v/>
      </c>
      <c r="G1469" s="103" t="str">
        <f aca="false">IF($C1469="","",$D1469*IFERROR(INDEX('تحليل التكلفة والسعر'!$C$2:$C$700,MATCH($C1469,'تحليل التكلفة والسعر'!$B$2:$B$700,0)),0))</f>
        <v/>
      </c>
    </row>
    <row r="1470" customFormat="false" ht="15" hidden="false" customHeight="false" outlineLevel="0" collapsed="false">
      <c r="A1470" s="102"/>
      <c r="E1470" s="103" t="str">
        <f aca="false">IF($C1470="","",IFERROR(INDEX(المنيو!$C$2:$C$500,MATCH($C1470,المنيو!$B$2:$B$500,0)),0))</f>
        <v/>
      </c>
      <c r="F1470" s="103" t="str">
        <f aca="false">IF($C1470="","",$D1470*$E1470)</f>
        <v/>
      </c>
      <c r="G1470" s="103" t="str">
        <f aca="false">IF($C1470="","",$D1470*IFERROR(INDEX('تحليل التكلفة والسعر'!$C$2:$C$700,MATCH($C1470,'تحليل التكلفة والسعر'!$B$2:$B$700,0)),0))</f>
        <v/>
      </c>
    </row>
    <row r="1471" customFormat="false" ht="15" hidden="false" customHeight="false" outlineLevel="0" collapsed="false">
      <c r="A1471" s="102"/>
      <c r="E1471" s="103" t="str">
        <f aca="false">IF($C1471="","",IFERROR(INDEX(المنيو!$C$2:$C$500,MATCH($C1471,المنيو!$B$2:$B$500,0)),0))</f>
        <v/>
      </c>
      <c r="F1471" s="103" t="str">
        <f aca="false">IF($C1471="","",$D1471*$E1471)</f>
        <v/>
      </c>
      <c r="G1471" s="103" t="str">
        <f aca="false">IF($C1471="","",$D1471*IFERROR(INDEX('تحليل التكلفة والسعر'!$C$2:$C$700,MATCH($C1471,'تحليل التكلفة والسعر'!$B$2:$B$700,0)),0))</f>
        <v/>
      </c>
    </row>
    <row r="1472" customFormat="false" ht="15" hidden="false" customHeight="false" outlineLevel="0" collapsed="false">
      <c r="A1472" s="102"/>
      <c r="E1472" s="103" t="str">
        <f aca="false">IF($C1472="","",IFERROR(INDEX(المنيو!$C$2:$C$500,MATCH($C1472,المنيو!$B$2:$B$500,0)),0))</f>
        <v/>
      </c>
      <c r="F1472" s="103" t="str">
        <f aca="false">IF($C1472="","",$D1472*$E1472)</f>
        <v/>
      </c>
      <c r="G1472" s="103" t="str">
        <f aca="false">IF($C1472="","",$D1472*IFERROR(INDEX('تحليل التكلفة والسعر'!$C$2:$C$700,MATCH($C1472,'تحليل التكلفة والسعر'!$B$2:$B$700,0)),0))</f>
        <v/>
      </c>
    </row>
    <row r="1473" customFormat="false" ht="15" hidden="false" customHeight="false" outlineLevel="0" collapsed="false">
      <c r="A1473" s="102"/>
      <c r="E1473" s="103" t="str">
        <f aca="false">IF($C1473="","",IFERROR(INDEX(المنيو!$C$2:$C$500,MATCH($C1473,المنيو!$B$2:$B$500,0)),0))</f>
        <v/>
      </c>
      <c r="F1473" s="103" t="str">
        <f aca="false">IF($C1473="","",$D1473*$E1473)</f>
        <v/>
      </c>
      <c r="G1473" s="103" t="str">
        <f aca="false">IF($C1473="","",$D1473*IFERROR(INDEX('تحليل التكلفة والسعر'!$C$2:$C$700,MATCH($C1473,'تحليل التكلفة والسعر'!$B$2:$B$700,0)),0))</f>
        <v/>
      </c>
    </row>
    <row r="1474" customFormat="false" ht="15" hidden="false" customHeight="false" outlineLevel="0" collapsed="false">
      <c r="A1474" s="102"/>
      <c r="E1474" s="103" t="str">
        <f aca="false">IF($C1474="","",IFERROR(INDEX(المنيو!$C$2:$C$500,MATCH($C1474,المنيو!$B$2:$B$500,0)),0))</f>
        <v/>
      </c>
      <c r="F1474" s="103" t="str">
        <f aca="false">IF($C1474="","",$D1474*$E1474)</f>
        <v/>
      </c>
      <c r="G1474" s="103" t="str">
        <f aca="false">IF($C1474="","",$D1474*IFERROR(INDEX('تحليل التكلفة والسعر'!$C$2:$C$700,MATCH($C1474,'تحليل التكلفة والسعر'!$B$2:$B$700,0)),0))</f>
        <v/>
      </c>
    </row>
    <row r="1475" customFormat="false" ht="15" hidden="false" customHeight="false" outlineLevel="0" collapsed="false">
      <c r="A1475" s="102"/>
      <c r="E1475" s="103" t="str">
        <f aca="false">IF($C1475="","",IFERROR(INDEX(المنيو!$C$2:$C$500,MATCH($C1475,المنيو!$B$2:$B$500,0)),0))</f>
        <v/>
      </c>
      <c r="F1475" s="103" t="str">
        <f aca="false">IF($C1475="","",$D1475*$E1475)</f>
        <v/>
      </c>
      <c r="G1475" s="103" t="str">
        <f aca="false">IF($C1475="","",$D1475*IFERROR(INDEX('تحليل التكلفة والسعر'!$C$2:$C$700,MATCH($C1475,'تحليل التكلفة والسعر'!$B$2:$B$700,0)),0))</f>
        <v/>
      </c>
    </row>
    <row r="1476" customFormat="false" ht="15" hidden="false" customHeight="false" outlineLevel="0" collapsed="false">
      <c r="A1476" s="102"/>
      <c r="E1476" s="103" t="str">
        <f aca="false">IF($C1476="","",IFERROR(INDEX(المنيو!$C$2:$C$500,MATCH($C1476,المنيو!$B$2:$B$500,0)),0))</f>
        <v/>
      </c>
      <c r="F1476" s="103" t="str">
        <f aca="false">IF($C1476="","",$D1476*$E1476)</f>
        <v/>
      </c>
      <c r="G1476" s="103" t="str">
        <f aca="false">IF($C1476="","",$D1476*IFERROR(INDEX('تحليل التكلفة والسعر'!$C$2:$C$700,MATCH($C1476,'تحليل التكلفة والسعر'!$B$2:$B$700,0)),0))</f>
        <v/>
      </c>
    </row>
    <row r="1477" customFormat="false" ht="15" hidden="false" customHeight="false" outlineLevel="0" collapsed="false">
      <c r="A1477" s="102"/>
      <c r="E1477" s="103" t="str">
        <f aca="false">IF($C1477="","",IFERROR(INDEX(المنيو!$C$2:$C$500,MATCH($C1477,المنيو!$B$2:$B$500,0)),0))</f>
        <v/>
      </c>
      <c r="F1477" s="103" t="str">
        <f aca="false">IF($C1477="","",$D1477*$E1477)</f>
        <v/>
      </c>
      <c r="G1477" s="103" t="str">
        <f aca="false">IF($C1477="","",$D1477*IFERROR(INDEX('تحليل التكلفة والسعر'!$C$2:$C$700,MATCH($C1477,'تحليل التكلفة والسعر'!$B$2:$B$700,0)),0))</f>
        <v/>
      </c>
    </row>
    <row r="1478" customFormat="false" ht="15" hidden="false" customHeight="false" outlineLevel="0" collapsed="false">
      <c r="A1478" s="102"/>
      <c r="E1478" s="103" t="str">
        <f aca="false">IF($C1478="","",IFERROR(INDEX(المنيو!$C$2:$C$500,MATCH($C1478,المنيو!$B$2:$B$500,0)),0))</f>
        <v/>
      </c>
      <c r="F1478" s="103" t="str">
        <f aca="false">IF($C1478="","",$D1478*$E1478)</f>
        <v/>
      </c>
      <c r="G1478" s="103" t="str">
        <f aca="false">IF($C1478="","",$D1478*IFERROR(INDEX('تحليل التكلفة والسعر'!$C$2:$C$700,MATCH($C1478,'تحليل التكلفة والسعر'!$B$2:$B$700,0)),0))</f>
        <v/>
      </c>
    </row>
    <row r="1479" customFormat="false" ht="15" hidden="false" customHeight="false" outlineLevel="0" collapsed="false">
      <c r="A1479" s="102"/>
      <c r="E1479" s="103" t="str">
        <f aca="false">IF($C1479="","",IFERROR(INDEX(المنيو!$C$2:$C$500,MATCH($C1479,المنيو!$B$2:$B$500,0)),0))</f>
        <v/>
      </c>
      <c r="F1479" s="103" t="str">
        <f aca="false">IF($C1479="","",$D1479*$E1479)</f>
        <v/>
      </c>
      <c r="G1479" s="103" t="str">
        <f aca="false">IF($C1479="","",$D1479*IFERROR(INDEX('تحليل التكلفة والسعر'!$C$2:$C$700,MATCH($C1479,'تحليل التكلفة والسعر'!$B$2:$B$700,0)),0))</f>
        <v/>
      </c>
    </row>
    <row r="1480" customFormat="false" ht="15" hidden="false" customHeight="false" outlineLevel="0" collapsed="false">
      <c r="A1480" s="102"/>
      <c r="E1480" s="103" t="str">
        <f aca="false">IF($C1480="","",IFERROR(INDEX(المنيو!$C$2:$C$500,MATCH($C1480,المنيو!$B$2:$B$500,0)),0))</f>
        <v/>
      </c>
      <c r="F1480" s="103" t="str">
        <f aca="false">IF($C1480="","",$D1480*$E1480)</f>
        <v/>
      </c>
      <c r="G1480" s="103" t="str">
        <f aca="false">IF($C1480="","",$D1480*IFERROR(INDEX('تحليل التكلفة والسعر'!$C$2:$C$700,MATCH($C1480,'تحليل التكلفة والسعر'!$B$2:$B$700,0)),0))</f>
        <v/>
      </c>
    </row>
    <row r="1481" customFormat="false" ht="15" hidden="false" customHeight="false" outlineLevel="0" collapsed="false">
      <c r="A1481" s="102"/>
      <c r="E1481" s="103" t="str">
        <f aca="false">IF($C1481="","",IFERROR(INDEX(المنيو!$C$2:$C$500,MATCH($C1481,المنيو!$B$2:$B$500,0)),0))</f>
        <v/>
      </c>
      <c r="F1481" s="103" t="str">
        <f aca="false">IF($C1481="","",$D1481*$E1481)</f>
        <v/>
      </c>
      <c r="G1481" s="103" t="str">
        <f aca="false">IF($C1481="","",$D1481*IFERROR(INDEX('تحليل التكلفة والسعر'!$C$2:$C$700,MATCH($C1481,'تحليل التكلفة والسعر'!$B$2:$B$700,0)),0))</f>
        <v/>
      </c>
    </row>
    <row r="1482" customFormat="false" ht="15" hidden="false" customHeight="false" outlineLevel="0" collapsed="false">
      <c r="A1482" s="102"/>
      <c r="E1482" s="103" t="str">
        <f aca="false">IF($C1482="","",IFERROR(INDEX(المنيو!$C$2:$C$500,MATCH($C1482,المنيو!$B$2:$B$500,0)),0))</f>
        <v/>
      </c>
      <c r="F1482" s="103" t="str">
        <f aca="false">IF($C1482="","",$D1482*$E1482)</f>
        <v/>
      </c>
      <c r="G1482" s="103" t="str">
        <f aca="false">IF($C1482="","",$D1482*IFERROR(INDEX('تحليل التكلفة والسعر'!$C$2:$C$700,MATCH($C1482,'تحليل التكلفة والسعر'!$B$2:$B$700,0)),0))</f>
        <v/>
      </c>
    </row>
    <row r="1483" customFormat="false" ht="15" hidden="false" customHeight="false" outlineLevel="0" collapsed="false">
      <c r="A1483" s="102"/>
      <c r="E1483" s="103" t="str">
        <f aca="false">IF($C1483="","",IFERROR(INDEX(المنيو!$C$2:$C$500,MATCH($C1483,المنيو!$B$2:$B$500,0)),0))</f>
        <v/>
      </c>
      <c r="F1483" s="103" t="str">
        <f aca="false">IF($C1483="","",$D1483*$E1483)</f>
        <v/>
      </c>
      <c r="G1483" s="103" t="str">
        <f aca="false">IF($C1483="","",$D1483*IFERROR(INDEX('تحليل التكلفة والسعر'!$C$2:$C$700,MATCH($C1483,'تحليل التكلفة والسعر'!$B$2:$B$700,0)),0))</f>
        <v/>
      </c>
    </row>
    <row r="1484" customFormat="false" ht="15" hidden="false" customHeight="false" outlineLevel="0" collapsed="false">
      <c r="A1484" s="102"/>
      <c r="E1484" s="103" t="str">
        <f aca="false">IF($C1484="","",IFERROR(INDEX(المنيو!$C$2:$C$500,MATCH($C1484,المنيو!$B$2:$B$500,0)),0))</f>
        <v/>
      </c>
      <c r="F1484" s="103" t="str">
        <f aca="false">IF($C1484="","",$D1484*$E1484)</f>
        <v/>
      </c>
      <c r="G1484" s="103" t="str">
        <f aca="false">IF($C1484="","",$D1484*IFERROR(INDEX('تحليل التكلفة والسعر'!$C$2:$C$700,MATCH($C1484,'تحليل التكلفة والسعر'!$B$2:$B$700,0)),0))</f>
        <v/>
      </c>
    </row>
    <row r="1485" customFormat="false" ht="15" hidden="false" customHeight="false" outlineLevel="0" collapsed="false">
      <c r="A1485" s="102"/>
      <c r="E1485" s="103" t="str">
        <f aca="false">IF($C1485="","",IFERROR(INDEX(المنيو!$C$2:$C$500,MATCH($C1485,المنيو!$B$2:$B$500,0)),0))</f>
        <v/>
      </c>
      <c r="F1485" s="103" t="str">
        <f aca="false">IF($C1485="","",$D1485*$E1485)</f>
        <v/>
      </c>
      <c r="G1485" s="103" t="str">
        <f aca="false">IF($C1485="","",$D1485*IFERROR(INDEX('تحليل التكلفة والسعر'!$C$2:$C$700,MATCH($C1485,'تحليل التكلفة والسعر'!$B$2:$B$700,0)),0))</f>
        <v/>
      </c>
    </row>
    <row r="1486" customFormat="false" ht="15" hidden="false" customHeight="false" outlineLevel="0" collapsed="false">
      <c r="A1486" s="102"/>
      <c r="E1486" s="103" t="str">
        <f aca="false">IF($C1486="","",IFERROR(INDEX(المنيو!$C$2:$C$500,MATCH($C1486,المنيو!$B$2:$B$500,0)),0))</f>
        <v/>
      </c>
      <c r="F1486" s="103" t="str">
        <f aca="false">IF($C1486="","",$D1486*$E1486)</f>
        <v/>
      </c>
      <c r="G1486" s="103" t="str">
        <f aca="false">IF($C1486="","",$D1486*IFERROR(INDEX('تحليل التكلفة والسعر'!$C$2:$C$700,MATCH($C1486,'تحليل التكلفة والسعر'!$B$2:$B$700,0)),0))</f>
        <v/>
      </c>
    </row>
    <row r="1487" customFormat="false" ht="15" hidden="false" customHeight="false" outlineLevel="0" collapsed="false">
      <c r="A1487" s="102"/>
      <c r="E1487" s="103" t="str">
        <f aca="false">IF($C1487="","",IFERROR(INDEX(المنيو!$C$2:$C$500,MATCH($C1487,المنيو!$B$2:$B$500,0)),0))</f>
        <v/>
      </c>
      <c r="F1487" s="103" t="str">
        <f aca="false">IF($C1487="","",$D1487*$E1487)</f>
        <v/>
      </c>
      <c r="G1487" s="103" t="str">
        <f aca="false">IF($C1487="","",$D1487*IFERROR(INDEX('تحليل التكلفة والسعر'!$C$2:$C$700,MATCH($C1487,'تحليل التكلفة والسعر'!$B$2:$B$700,0)),0))</f>
        <v/>
      </c>
    </row>
    <row r="1488" customFormat="false" ht="15" hidden="false" customHeight="false" outlineLevel="0" collapsed="false">
      <c r="A1488" s="102"/>
      <c r="E1488" s="103" t="str">
        <f aca="false">IF($C1488="","",IFERROR(INDEX(المنيو!$C$2:$C$500,MATCH($C1488,المنيو!$B$2:$B$500,0)),0))</f>
        <v/>
      </c>
      <c r="F1488" s="103" t="str">
        <f aca="false">IF($C1488="","",$D1488*$E1488)</f>
        <v/>
      </c>
      <c r="G1488" s="103" t="str">
        <f aca="false">IF($C1488="","",$D1488*IFERROR(INDEX('تحليل التكلفة والسعر'!$C$2:$C$700,MATCH($C1488,'تحليل التكلفة والسعر'!$B$2:$B$700,0)),0))</f>
        <v/>
      </c>
    </row>
    <row r="1489" customFormat="false" ht="15" hidden="false" customHeight="false" outlineLevel="0" collapsed="false">
      <c r="A1489" s="102"/>
      <c r="E1489" s="103" t="str">
        <f aca="false">IF($C1489="","",IFERROR(INDEX(المنيو!$C$2:$C$500,MATCH($C1489,المنيو!$B$2:$B$500,0)),0))</f>
        <v/>
      </c>
      <c r="F1489" s="103" t="str">
        <f aca="false">IF($C1489="","",$D1489*$E1489)</f>
        <v/>
      </c>
      <c r="G1489" s="103" t="str">
        <f aca="false">IF($C1489="","",$D1489*IFERROR(INDEX('تحليل التكلفة والسعر'!$C$2:$C$700,MATCH($C1489,'تحليل التكلفة والسعر'!$B$2:$B$700,0)),0))</f>
        <v/>
      </c>
    </row>
    <row r="1490" customFormat="false" ht="15" hidden="false" customHeight="false" outlineLevel="0" collapsed="false">
      <c r="A1490" s="102"/>
      <c r="E1490" s="103" t="str">
        <f aca="false">IF($C1490="","",IFERROR(INDEX(المنيو!$C$2:$C$500,MATCH($C1490,المنيو!$B$2:$B$500,0)),0))</f>
        <v/>
      </c>
      <c r="F1490" s="103" t="str">
        <f aca="false">IF($C1490="","",$D1490*$E1490)</f>
        <v/>
      </c>
      <c r="G1490" s="103" t="str">
        <f aca="false">IF($C1490="","",$D1490*IFERROR(INDEX('تحليل التكلفة والسعر'!$C$2:$C$700,MATCH($C1490,'تحليل التكلفة والسعر'!$B$2:$B$700,0)),0))</f>
        <v/>
      </c>
    </row>
    <row r="1491" customFormat="false" ht="15" hidden="false" customHeight="false" outlineLevel="0" collapsed="false">
      <c r="A1491" s="102"/>
      <c r="E1491" s="103" t="str">
        <f aca="false">IF($C1491="","",IFERROR(INDEX(المنيو!$C$2:$C$500,MATCH($C1491,المنيو!$B$2:$B$500,0)),0))</f>
        <v/>
      </c>
      <c r="F1491" s="103" t="str">
        <f aca="false">IF($C1491="","",$D1491*$E1491)</f>
        <v/>
      </c>
      <c r="G1491" s="103" t="str">
        <f aca="false">IF($C1491="","",$D1491*IFERROR(INDEX('تحليل التكلفة والسعر'!$C$2:$C$700,MATCH($C1491,'تحليل التكلفة والسعر'!$B$2:$B$700,0)),0))</f>
        <v/>
      </c>
    </row>
    <row r="1492" customFormat="false" ht="15" hidden="false" customHeight="false" outlineLevel="0" collapsed="false">
      <c r="A1492" s="102"/>
      <c r="E1492" s="103" t="str">
        <f aca="false">IF($C1492="","",IFERROR(INDEX(المنيو!$C$2:$C$500,MATCH($C1492,المنيو!$B$2:$B$500,0)),0))</f>
        <v/>
      </c>
      <c r="F1492" s="103" t="str">
        <f aca="false">IF($C1492="","",$D1492*$E1492)</f>
        <v/>
      </c>
      <c r="G1492" s="103" t="str">
        <f aca="false">IF($C1492="","",$D1492*IFERROR(INDEX('تحليل التكلفة والسعر'!$C$2:$C$700,MATCH($C1492,'تحليل التكلفة والسعر'!$B$2:$B$700,0)),0))</f>
        <v/>
      </c>
    </row>
    <row r="1493" customFormat="false" ht="15" hidden="false" customHeight="false" outlineLevel="0" collapsed="false">
      <c r="A1493" s="102"/>
      <c r="E1493" s="103" t="str">
        <f aca="false">IF($C1493="","",IFERROR(INDEX(المنيو!$C$2:$C$500,MATCH($C1493,المنيو!$B$2:$B$500,0)),0))</f>
        <v/>
      </c>
      <c r="F1493" s="103" t="str">
        <f aca="false">IF($C1493="","",$D1493*$E1493)</f>
        <v/>
      </c>
      <c r="G1493" s="103" t="str">
        <f aca="false">IF($C1493="","",$D1493*IFERROR(INDEX('تحليل التكلفة والسعر'!$C$2:$C$700,MATCH($C1493,'تحليل التكلفة والسعر'!$B$2:$B$700,0)),0))</f>
        <v/>
      </c>
    </row>
    <row r="1494" customFormat="false" ht="15" hidden="false" customHeight="false" outlineLevel="0" collapsed="false">
      <c r="A1494" s="102"/>
      <c r="E1494" s="103" t="str">
        <f aca="false">IF($C1494="","",IFERROR(INDEX(المنيو!$C$2:$C$500,MATCH($C1494,المنيو!$B$2:$B$500,0)),0))</f>
        <v/>
      </c>
      <c r="F1494" s="103" t="str">
        <f aca="false">IF($C1494="","",$D1494*$E1494)</f>
        <v/>
      </c>
      <c r="G1494" s="103" t="str">
        <f aca="false">IF($C1494="","",$D1494*IFERROR(INDEX('تحليل التكلفة والسعر'!$C$2:$C$700,MATCH($C1494,'تحليل التكلفة والسعر'!$B$2:$B$700,0)),0))</f>
        <v/>
      </c>
    </row>
    <row r="1495" customFormat="false" ht="15" hidden="false" customHeight="false" outlineLevel="0" collapsed="false">
      <c r="A1495" s="102"/>
      <c r="E1495" s="103" t="str">
        <f aca="false">IF($C1495="","",IFERROR(INDEX(المنيو!$C$2:$C$500,MATCH($C1495,المنيو!$B$2:$B$500,0)),0))</f>
        <v/>
      </c>
      <c r="F1495" s="103" t="str">
        <f aca="false">IF($C1495="","",$D1495*$E1495)</f>
        <v/>
      </c>
      <c r="G1495" s="103" t="str">
        <f aca="false">IF($C1495="","",$D1495*IFERROR(INDEX('تحليل التكلفة والسعر'!$C$2:$C$700,MATCH($C1495,'تحليل التكلفة والسعر'!$B$2:$B$700,0)),0))</f>
        <v/>
      </c>
    </row>
    <row r="1496" customFormat="false" ht="15" hidden="false" customHeight="false" outlineLevel="0" collapsed="false">
      <c r="A1496" s="102"/>
      <c r="E1496" s="103" t="str">
        <f aca="false">IF($C1496="","",IFERROR(INDEX(المنيو!$C$2:$C$500,MATCH($C1496,المنيو!$B$2:$B$500,0)),0))</f>
        <v/>
      </c>
      <c r="F1496" s="103" t="str">
        <f aca="false">IF($C1496="","",$D1496*$E1496)</f>
        <v/>
      </c>
      <c r="G1496" s="103" t="str">
        <f aca="false">IF($C1496="","",$D1496*IFERROR(INDEX('تحليل التكلفة والسعر'!$C$2:$C$700,MATCH($C1496,'تحليل التكلفة والسعر'!$B$2:$B$700,0)),0))</f>
        <v/>
      </c>
    </row>
    <row r="1497" customFormat="false" ht="15" hidden="false" customHeight="false" outlineLevel="0" collapsed="false">
      <c r="A1497" s="102"/>
      <c r="E1497" s="103" t="str">
        <f aca="false">IF($C1497="","",IFERROR(INDEX(المنيو!$C$2:$C$500,MATCH($C1497,المنيو!$B$2:$B$500,0)),0))</f>
        <v/>
      </c>
      <c r="F1497" s="103" t="str">
        <f aca="false">IF($C1497="","",$D1497*$E1497)</f>
        <v/>
      </c>
      <c r="G1497" s="103" t="str">
        <f aca="false">IF($C1497="","",$D1497*IFERROR(INDEX('تحليل التكلفة والسعر'!$C$2:$C$700,MATCH($C1497,'تحليل التكلفة والسعر'!$B$2:$B$700,0)),0))</f>
        <v/>
      </c>
    </row>
    <row r="1498" customFormat="false" ht="15" hidden="false" customHeight="false" outlineLevel="0" collapsed="false">
      <c r="A1498" s="102"/>
      <c r="E1498" s="103" t="str">
        <f aca="false">IF($C1498="","",IFERROR(INDEX(المنيو!$C$2:$C$500,MATCH($C1498,المنيو!$B$2:$B$500,0)),0))</f>
        <v/>
      </c>
      <c r="F1498" s="103" t="str">
        <f aca="false">IF($C1498="","",$D1498*$E1498)</f>
        <v/>
      </c>
      <c r="G1498" s="103" t="str">
        <f aca="false">IF($C1498="","",$D1498*IFERROR(INDEX('تحليل التكلفة والسعر'!$C$2:$C$700,MATCH($C1498,'تحليل التكلفة والسعر'!$B$2:$B$700,0)),0))</f>
        <v/>
      </c>
    </row>
    <row r="1499" customFormat="false" ht="15" hidden="false" customHeight="false" outlineLevel="0" collapsed="false">
      <c r="A1499" s="102"/>
      <c r="E1499" s="103" t="str">
        <f aca="false">IF($C1499="","",IFERROR(INDEX(المنيو!$C$2:$C$500,MATCH($C1499,المنيو!$B$2:$B$500,0)),0))</f>
        <v/>
      </c>
      <c r="F1499" s="103" t="str">
        <f aca="false">IF($C1499="","",$D1499*$E1499)</f>
        <v/>
      </c>
      <c r="G1499" s="103" t="str">
        <f aca="false">IF($C1499="","",$D1499*IFERROR(INDEX('تحليل التكلفة والسعر'!$C$2:$C$700,MATCH($C1499,'تحليل التكلفة والسعر'!$B$2:$B$700,0)),0))</f>
        <v/>
      </c>
    </row>
    <row r="1500" customFormat="false" ht="15" hidden="false" customHeight="false" outlineLevel="0" collapsed="false">
      <c r="A1500" s="102"/>
      <c r="E1500" s="103" t="str">
        <f aca="false">IF($C1500="","",IFERROR(INDEX(المنيو!$C$2:$C$500,MATCH($C1500,المنيو!$B$2:$B$500,0)),0))</f>
        <v/>
      </c>
      <c r="F1500" s="103" t="str">
        <f aca="false">IF($C1500="","",$D1500*$E1500)</f>
        <v/>
      </c>
      <c r="G1500" s="103" t="str">
        <f aca="false">IF($C1500="","",$D1500*IFERROR(INDEX('تحليل التكلفة والسعر'!$C$2:$C$700,MATCH($C1500,'تحليل التكلفة والسعر'!$B$2:$B$700,0)),0))</f>
        <v/>
      </c>
    </row>
    <row r="1501" customFormat="false" ht="15" hidden="false" customHeight="false" outlineLevel="0" collapsed="false">
      <c r="A1501" s="102"/>
      <c r="E1501" s="103" t="str">
        <f aca="false">IF($C1501="","",IFERROR(INDEX(المنيو!$C$2:$C$500,MATCH($C1501,المنيو!$B$2:$B$500,0)),0))</f>
        <v/>
      </c>
      <c r="F1501" s="103" t="str">
        <f aca="false">IF($C1501="","",$D1501*$E1501)</f>
        <v/>
      </c>
      <c r="G1501" s="103" t="str">
        <f aca="false">IF($C1501="","",$D1501*IFERROR(INDEX('تحليل التكلفة والسعر'!$C$2:$C$700,MATCH($C1501,'تحليل التكلفة والسعر'!$B$2:$B$700,0)),0))</f>
        <v/>
      </c>
    </row>
    <row r="1502" customFormat="false" ht="15" hidden="false" customHeight="false" outlineLevel="0" collapsed="false">
      <c r="A1502" s="102"/>
      <c r="E1502" s="103" t="str">
        <f aca="false">IF($C1502="","",IFERROR(INDEX(المنيو!$C$2:$C$500,MATCH($C1502,المنيو!$B$2:$B$500,0)),0))</f>
        <v/>
      </c>
      <c r="F1502" s="103" t="str">
        <f aca="false">IF($C1502="","",$D1502*$E1502)</f>
        <v/>
      </c>
      <c r="G1502" s="103" t="str">
        <f aca="false">IF($C1502="","",$D1502*IFERROR(INDEX('تحليل التكلفة والسعر'!$C$2:$C$700,MATCH($C1502,'تحليل التكلفة والسعر'!$B$2:$B$700,0)),0))</f>
        <v/>
      </c>
    </row>
    <row r="1503" customFormat="false" ht="15" hidden="false" customHeight="false" outlineLevel="0" collapsed="false">
      <c r="A1503" s="102"/>
      <c r="E1503" s="103" t="str">
        <f aca="false">IF($C1503="","",IFERROR(INDEX(المنيو!$C$2:$C$500,MATCH($C1503,المنيو!$B$2:$B$500,0)),0))</f>
        <v/>
      </c>
      <c r="F1503" s="103" t="str">
        <f aca="false">IF($C1503="","",$D1503*$E1503)</f>
        <v/>
      </c>
      <c r="G1503" s="103" t="str">
        <f aca="false">IF($C1503="","",$D1503*IFERROR(INDEX('تحليل التكلفة والسعر'!$C$2:$C$700,MATCH($C1503,'تحليل التكلفة والسعر'!$B$2:$B$700,0)),0))</f>
        <v/>
      </c>
    </row>
    <row r="1504" customFormat="false" ht="15" hidden="false" customHeight="false" outlineLevel="0" collapsed="false">
      <c r="A1504" s="102"/>
      <c r="E1504" s="103" t="str">
        <f aca="false">IF($C1504="","",IFERROR(INDEX(المنيو!$C$2:$C$500,MATCH($C1504,المنيو!$B$2:$B$500,0)),0))</f>
        <v/>
      </c>
      <c r="F1504" s="103" t="str">
        <f aca="false">IF($C1504="","",$D1504*$E1504)</f>
        <v/>
      </c>
      <c r="G1504" s="103" t="str">
        <f aca="false">IF($C1504="","",$D1504*IFERROR(INDEX('تحليل التكلفة والسعر'!$C$2:$C$700,MATCH($C1504,'تحليل التكلفة والسعر'!$B$2:$B$700,0)),0))</f>
        <v/>
      </c>
    </row>
    <row r="1505" customFormat="false" ht="15" hidden="false" customHeight="false" outlineLevel="0" collapsed="false">
      <c r="A1505" s="102"/>
      <c r="E1505" s="103" t="str">
        <f aca="false">IF($C1505="","",IFERROR(INDEX(المنيو!$C$2:$C$500,MATCH($C1505,المنيو!$B$2:$B$500,0)),0))</f>
        <v/>
      </c>
      <c r="F1505" s="103" t="str">
        <f aca="false">IF($C1505="","",$D1505*$E1505)</f>
        <v/>
      </c>
      <c r="G1505" s="103" t="str">
        <f aca="false">IF($C1505="","",$D1505*IFERROR(INDEX('تحليل التكلفة والسعر'!$C$2:$C$700,MATCH($C1505,'تحليل التكلفة والسعر'!$B$2:$B$700,0)),0))</f>
        <v/>
      </c>
    </row>
    <row r="1506" customFormat="false" ht="15" hidden="false" customHeight="false" outlineLevel="0" collapsed="false">
      <c r="A1506" s="102"/>
      <c r="E1506" s="103" t="str">
        <f aca="false">IF($C1506="","",IFERROR(INDEX(المنيو!$C$2:$C$500,MATCH($C1506,المنيو!$B$2:$B$500,0)),0))</f>
        <v/>
      </c>
      <c r="F1506" s="103" t="str">
        <f aca="false">IF($C1506="","",$D1506*$E1506)</f>
        <v/>
      </c>
      <c r="G1506" s="103" t="str">
        <f aca="false">IF($C1506="","",$D1506*IFERROR(INDEX('تحليل التكلفة والسعر'!$C$2:$C$700,MATCH($C1506,'تحليل التكلفة والسعر'!$B$2:$B$700,0)),0))</f>
        <v/>
      </c>
    </row>
    <row r="1507" customFormat="false" ht="15" hidden="false" customHeight="false" outlineLevel="0" collapsed="false">
      <c r="A1507" s="102"/>
      <c r="E1507" s="103" t="str">
        <f aca="false">IF($C1507="","",IFERROR(INDEX(المنيو!$C$2:$C$500,MATCH($C1507,المنيو!$B$2:$B$500,0)),0))</f>
        <v/>
      </c>
      <c r="F1507" s="103" t="str">
        <f aca="false">IF($C1507="","",$D1507*$E1507)</f>
        <v/>
      </c>
      <c r="G1507" s="103" t="str">
        <f aca="false">IF($C1507="","",$D1507*IFERROR(INDEX('تحليل التكلفة والسعر'!$C$2:$C$700,MATCH($C1507,'تحليل التكلفة والسعر'!$B$2:$B$700,0)),0))</f>
        <v/>
      </c>
    </row>
    <row r="1508" customFormat="false" ht="15" hidden="false" customHeight="false" outlineLevel="0" collapsed="false">
      <c r="A1508" s="102"/>
      <c r="E1508" s="103" t="str">
        <f aca="false">IF($C1508="","",IFERROR(INDEX(المنيو!$C$2:$C$500,MATCH($C1508,المنيو!$B$2:$B$500,0)),0))</f>
        <v/>
      </c>
      <c r="F1508" s="103" t="str">
        <f aca="false">IF($C1508="","",$D1508*$E1508)</f>
        <v/>
      </c>
      <c r="G1508" s="103" t="str">
        <f aca="false">IF($C1508="","",$D1508*IFERROR(INDEX('تحليل التكلفة والسعر'!$C$2:$C$700,MATCH($C1508,'تحليل التكلفة والسعر'!$B$2:$B$700,0)),0))</f>
        <v/>
      </c>
    </row>
    <row r="1509" customFormat="false" ht="15" hidden="false" customHeight="false" outlineLevel="0" collapsed="false">
      <c r="A1509" s="102"/>
      <c r="E1509" s="103" t="str">
        <f aca="false">IF($C1509="","",IFERROR(INDEX(المنيو!$C$2:$C$500,MATCH($C1509,المنيو!$B$2:$B$500,0)),0))</f>
        <v/>
      </c>
      <c r="F1509" s="103" t="str">
        <f aca="false">IF($C1509="","",$D1509*$E1509)</f>
        <v/>
      </c>
      <c r="G1509" s="103" t="str">
        <f aca="false">IF($C1509="","",$D1509*IFERROR(INDEX('تحليل التكلفة والسعر'!$C$2:$C$700,MATCH($C1509,'تحليل التكلفة والسعر'!$B$2:$B$700,0)),0))</f>
        <v/>
      </c>
    </row>
    <row r="1510" customFormat="false" ht="15" hidden="false" customHeight="false" outlineLevel="0" collapsed="false">
      <c r="A1510" s="102"/>
      <c r="E1510" s="103" t="str">
        <f aca="false">IF($C1510="","",IFERROR(INDEX(المنيو!$C$2:$C$500,MATCH($C1510,المنيو!$B$2:$B$500,0)),0))</f>
        <v/>
      </c>
      <c r="F1510" s="103" t="str">
        <f aca="false">IF($C1510="","",$D1510*$E1510)</f>
        <v/>
      </c>
      <c r="G1510" s="103" t="str">
        <f aca="false">IF($C1510="","",$D1510*IFERROR(INDEX('تحليل التكلفة والسعر'!$C$2:$C$700,MATCH($C1510,'تحليل التكلفة والسعر'!$B$2:$B$700,0)),0))</f>
        <v/>
      </c>
    </row>
    <row r="1511" customFormat="false" ht="15" hidden="false" customHeight="false" outlineLevel="0" collapsed="false">
      <c r="A1511" s="102"/>
      <c r="E1511" s="103" t="str">
        <f aca="false">IF($C1511="","",IFERROR(INDEX(المنيو!$C$2:$C$500,MATCH($C1511,المنيو!$B$2:$B$500,0)),0))</f>
        <v/>
      </c>
      <c r="F1511" s="103" t="str">
        <f aca="false">IF($C1511="","",$D1511*$E1511)</f>
        <v/>
      </c>
      <c r="G1511" s="103" t="str">
        <f aca="false">IF($C1511="","",$D1511*IFERROR(INDEX('تحليل التكلفة والسعر'!$C$2:$C$700,MATCH($C1511,'تحليل التكلفة والسعر'!$B$2:$B$700,0)),0))</f>
        <v/>
      </c>
    </row>
    <row r="1512" customFormat="false" ht="15" hidden="false" customHeight="false" outlineLevel="0" collapsed="false">
      <c r="A1512" s="102"/>
      <c r="E1512" s="103" t="str">
        <f aca="false">IF($C1512="","",IFERROR(INDEX(المنيو!$C$2:$C$500,MATCH($C1512,المنيو!$B$2:$B$500,0)),0))</f>
        <v/>
      </c>
      <c r="F1512" s="103" t="str">
        <f aca="false">IF($C1512="","",$D1512*$E1512)</f>
        <v/>
      </c>
      <c r="G1512" s="103" t="str">
        <f aca="false">IF($C1512="","",$D1512*IFERROR(INDEX('تحليل التكلفة والسعر'!$C$2:$C$700,MATCH($C1512,'تحليل التكلفة والسعر'!$B$2:$B$700,0)),0))</f>
        <v/>
      </c>
    </row>
    <row r="1513" customFormat="false" ht="15" hidden="false" customHeight="false" outlineLevel="0" collapsed="false">
      <c r="A1513" s="102"/>
      <c r="E1513" s="103" t="str">
        <f aca="false">IF($C1513="","",IFERROR(INDEX(المنيو!$C$2:$C$500,MATCH($C1513,المنيو!$B$2:$B$500,0)),0))</f>
        <v/>
      </c>
      <c r="F1513" s="103" t="str">
        <f aca="false">IF($C1513="","",$D1513*$E1513)</f>
        <v/>
      </c>
      <c r="G1513" s="103" t="str">
        <f aca="false">IF($C1513="","",$D1513*IFERROR(INDEX('تحليل التكلفة والسعر'!$C$2:$C$700,MATCH($C1513,'تحليل التكلفة والسعر'!$B$2:$B$700,0)),0))</f>
        <v/>
      </c>
    </row>
    <row r="1514" customFormat="false" ht="15" hidden="false" customHeight="false" outlineLevel="0" collapsed="false">
      <c r="A1514" s="102"/>
      <c r="E1514" s="103" t="str">
        <f aca="false">IF($C1514="","",IFERROR(INDEX(المنيو!$C$2:$C$500,MATCH($C1514,المنيو!$B$2:$B$500,0)),0))</f>
        <v/>
      </c>
      <c r="F1514" s="103" t="str">
        <f aca="false">IF($C1514="","",$D1514*$E1514)</f>
        <v/>
      </c>
      <c r="G1514" s="103" t="str">
        <f aca="false">IF($C1514="","",$D1514*IFERROR(INDEX('تحليل التكلفة والسعر'!$C$2:$C$700,MATCH($C1514,'تحليل التكلفة والسعر'!$B$2:$B$700,0)),0))</f>
        <v/>
      </c>
    </row>
    <row r="1515" customFormat="false" ht="15" hidden="false" customHeight="false" outlineLevel="0" collapsed="false">
      <c r="A1515" s="102"/>
      <c r="E1515" s="103" t="str">
        <f aca="false">IF($C1515="","",IFERROR(INDEX(المنيو!$C$2:$C$500,MATCH($C1515,المنيو!$B$2:$B$500,0)),0))</f>
        <v/>
      </c>
      <c r="F1515" s="103" t="str">
        <f aca="false">IF($C1515="","",$D1515*$E1515)</f>
        <v/>
      </c>
      <c r="G1515" s="103" t="str">
        <f aca="false">IF($C1515="","",$D1515*IFERROR(INDEX('تحليل التكلفة والسعر'!$C$2:$C$700,MATCH($C1515,'تحليل التكلفة والسعر'!$B$2:$B$700,0)),0))</f>
        <v/>
      </c>
    </row>
    <row r="1516" customFormat="false" ht="15" hidden="false" customHeight="false" outlineLevel="0" collapsed="false">
      <c r="A1516" s="102"/>
      <c r="E1516" s="103" t="str">
        <f aca="false">IF($C1516="","",IFERROR(INDEX(المنيو!$C$2:$C$500,MATCH($C1516,المنيو!$B$2:$B$500,0)),0))</f>
        <v/>
      </c>
      <c r="F1516" s="103" t="str">
        <f aca="false">IF($C1516="","",$D1516*$E1516)</f>
        <v/>
      </c>
      <c r="G1516" s="103" t="str">
        <f aca="false">IF($C1516="","",$D1516*IFERROR(INDEX('تحليل التكلفة والسعر'!$C$2:$C$700,MATCH($C1516,'تحليل التكلفة والسعر'!$B$2:$B$700,0)),0))</f>
        <v/>
      </c>
    </row>
    <row r="1517" customFormat="false" ht="15" hidden="false" customHeight="false" outlineLevel="0" collapsed="false">
      <c r="A1517" s="102"/>
      <c r="E1517" s="103" t="str">
        <f aca="false">IF($C1517="","",IFERROR(INDEX(المنيو!$C$2:$C$500,MATCH($C1517,المنيو!$B$2:$B$500,0)),0))</f>
        <v/>
      </c>
      <c r="F1517" s="103" t="str">
        <f aca="false">IF($C1517="","",$D1517*$E1517)</f>
        <v/>
      </c>
      <c r="G1517" s="103" t="str">
        <f aca="false">IF($C1517="","",$D1517*IFERROR(INDEX('تحليل التكلفة والسعر'!$C$2:$C$700,MATCH($C1517,'تحليل التكلفة والسعر'!$B$2:$B$700,0)),0))</f>
        <v/>
      </c>
    </row>
    <row r="1518" customFormat="false" ht="15" hidden="false" customHeight="false" outlineLevel="0" collapsed="false">
      <c r="A1518" s="102"/>
      <c r="E1518" s="103" t="str">
        <f aca="false">IF($C1518="","",IFERROR(INDEX(المنيو!$C$2:$C$500,MATCH($C1518,المنيو!$B$2:$B$500,0)),0))</f>
        <v/>
      </c>
      <c r="F1518" s="103" t="str">
        <f aca="false">IF($C1518="","",$D1518*$E1518)</f>
        <v/>
      </c>
      <c r="G1518" s="103" t="str">
        <f aca="false">IF($C1518="","",$D1518*IFERROR(INDEX('تحليل التكلفة والسعر'!$C$2:$C$700,MATCH($C1518,'تحليل التكلفة والسعر'!$B$2:$B$700,0)),0))</f>
        <v/>
      </c>
    </row>
    <row r="1519" customFormat="false" ht="15" hidden="false" customHeight="false" outlineLevel="0" collapsed="false">
      <c r="A1519" s="102"/>
      <c r="E1519" s="103" t="str">
        <f aca="false">IF($C1519="","",IFERROR(INDEX(المنيو!$C$2:$C$500,MATCH($C1519,المنيو!$B$2:$B$500,0)),0))</f>
        <v/>
      </c>
      <c r="F1519" s="103" t="str">
        <f aca="false">IF($C1519="","",$D1519*$E1519)</f>
        <v/>
      </c>
      <c r="G1519" s="103" t="str">
        <f aca="false">IF($C1519="","",$D1519*IFERROR(INDEX('تحليل التكلفة والسعر'!$C$2:$C$700,MATCH($C1519,'تحليل التكلفة والسعر'!$B$2:$B$700,0)),0))</f>
        <v/>
      </c>
    </row>
    <row r="1520" customFormat="false" ht="15" hidden="false" customHeight="false" outlineLevel="0" collapsed="false">
      <c r="A1520" s="102"/>
      <c r="E1520" s="103" t="str">
        <f aca="false">IF($C1520="","",IFERROR(INDEX(المنيو!$C$2:$C$500,MATCH($C1520,المنيو!$B$2:$B$500,0)),0))</f>
        <v/>
      </c>
      <c r="F1520" s="103" t="str">
        <f aca="false">IF($C1520="","",$D1520*$E1520)</f>
        <v/>
      </c>
      <c r="G1520" s="103" t="str">
        <f aca="false">IF($C1520="","",$D1520*IFERROR(INDEX('تحليل التكلفة والسعر'!$C$2:$C$700,MATCH($C1520,'تحليل التكلفة والسعر'!$B$2:$B$700,0)),0))</f>
        <v/>
      </c>
    </row>
    <row r="1521" customFormat="false" ht="15" hidden="false" customHeight="false" outlineLevel="0" collapsed="false">
      <c r="A1521" s="102"/>
      <c r="E1521" s="103" t="str">
        <f aca="false">IF($C1521="","",IFERROR(INDEX(المنيو!$C$2:$C$500,MATCH($C1521,المنيو!$B$2:$B$500,0)),0))</f>
        <v/>
      </c>
      <c r="F1521" s="103" t="str">
        <f aca="false">IF($C1521="","",$D1521*$E1521)</f>
        <v/>
      </c>
      <c r="G1521" s="103" t="str">
        <f aca="false">IF($C1521="","",$D1521*IFERROR(INDEX('تحليل التكلفة والسعر'!$C$2:$C$700,MATCH($C1521,'تحليل التكلفة والسعر'!$B$2:$B$700,0)),0))</f>
        <v/>
      </c>
    </row>
    <row r="1522" customFormat="false" ht="15" hidden="false" customHeight="false" outlineLevel="0" collapsed="false">
      <c r="A1522" s="102"/>
      <c r="E1522" s="103" t="str">
        <f aca="false">IF($C1522="","",IFERROR(INDEX(المنيو!$C$2:$C$500,MATCH($C1522,المنيو!$B$2:$B$500,0)),0))</f>
        <v/>
      </c>
      <c r="F1522" s="103" t="str">
        <f aca="false">IF($C1522="","",$D1522*$E1522)</f>
        <v/>
      </c>
      <c r="G1522" s="103" t="str">
        <f aca="false">IF($C1522="","",$D1522*IFERROR(INDEX('تحليل التكلفة والسعر'!$C$2:$C$700,MATCH($C1522,'تحليل التكلفة والسعر'!$B$2:$B$700,0)),0))</f>
        <v/>
      </c>
    </row>
    <row r="1523" customFormat="false" ht="15" hidden="false" customHeight="false" outlineLevel="0" collapsed="false">
      <c r="A1523" s="102"/>
      <c r="E1523" s="103" t="str">
        <f aca="false">IF($C1523="","",IFERROR(INDEX(المنيو!$C$2:$C$500,MATCH($C1523,المنيو!$B$2:$B$500,0)),0))</f>
        <v/>
      </c>
      <c r="F1523" s="103" t="str">
        <f aca="false">IF($C1523="","",$D1523*$E1523)</f>
        <v/>
      </c>
      <c r="G1523" s="103" t="str">
        <f aca="false">IF($C1523="","",$D1523*IFERROR(INDEX('تحليل التكلفة والسعر'!$C$2:$C$700,MATCH($C1523,'تحليل التكلفة والسعر'!$B$2:$B$700,0)),0))</f>
        <v/>
      </c>
    </row>
    <row r="1524" customFormat="false" ht="15" hidden="false" customHeight="false" outlineLevel="0" collapsed="false">
      <c r="A1524" s="102"/>
      <c r="E1524" s="103" t="str">
        <f aca="false">IF($C1524="","",IFERROR(INDEX(المنيو!$C$2:$C$500,MATCH($C1524,المنيو!$B$2:$B$500,0)),0))</f>
        <v/>
      </c>
      <c r="F1524" s="103" t="str">
        <f aca="false">IF($C1524="","",$D1524*$E1524)</f>
        <v/>
      </c>
      <c r="G1524" s="103" t="str">
        <f aca="false">IF($C1524="","",$D1524*IFERROR(INDEX('تحليل التكلفة والسعر'!$C$2:$C$700,MATCH($C1524,'تحليل التكلفة والسعر'!$B$2:$B$700,0)),0))</f>
        <v/>
      </c>
    </row>
    <row r="1525" customFormat="false" ht="15" hidden="false" customHeight="false" outlineLevel="0" collapsed="false">
      <c r="A1525" s="102"/>
      <c r="E1525" s="103" t="str">
        <f aca="false">IF($C1525="","",IFERROR(INDEX(المنيو!$C$2:$C$500,MATCH($C1525,المنيو!$B$2:$B$500,0)),0))</f>
        <v/>
      </c>
      <c r="F1525" s="103" t="str">
        <f aca="false">IF($C1525="","",$D1525*$E1525)</f>
        <v/>
      </c>
      <c r="G1525" s="103" t="str">
        <f aca="false">IF($C1525="","",$D1525*IFERROR(INDEX('تحليل التكلفة والسعر'!$C$2:$C$700,MATCH($C1525,'تحليل التكلفة والسعر'!$B$2:$B$700,0)),0))</f>
        <v/>
      </c>
    </row>
    <row r="1526" customFormat="false" ht="15" hidden="false" customHeight="false" outlineLevel="0" collapsed="false">
      <c r="A1526" s="102"/>
      <c r="E1526" s="103" t="str">
        <f aca="false">IF($C1526="","",IFERROR(INDEX(المنيو!$C$2:$C$500,MATCH($C1526,المنيو!$B$2:$B$500,0)),0))</f>
        <v/>
      </c>
      <c r="F1526" s="103" t="str">
        <f aca="false">IF($C1526="","",$D1526*$E1526)</f>
        <v/>
      </c>
      <c r="G1526" s="103" t="str">
        <f aca="false">IF($C1526="","",$D1526*IFERROR(INDEX('تحليل التكلفة والسعر'!$C$2:$C$700,MATCH($C1526,'تحليل التكلفة والسعر'!$B$2:$B$700,0)),0))</f>
        <v/>
      </c>
    </row>
    <row r="1527" customFormat="false" ht="15" hidden="false" customHeight="false" outlineLevel="0" collapsed="false">
      <c r="A1527" s="102"/>
      <c r="E1527" s="103" t="str">
        <f aca="false">IF($C1527="","",IFERROR(INDEX(المنيو!$C$2:$C$500,MATCH($C1527,المنيو!$B$2:$B$500,0)),0))</f>
        <v/>
      </c>
      <c r="F1527" s="103" t="str">
        <f aca="false">IF($C1527="","",$D1527*$E1527)</f>
        <v/>
      </c>
      <c r="G1527" s="103" t="str">
        <f aca="false">IF($C1527="","",$D1527*IFERROR(INDEX('تحليل التكلفة والسعر'!$C$2:$C$700,MATCH($C1527,'تحليل التكلفة والسعر'!$B$2:$B$700,0)),0))</f>
        <v/>
      </c>
    </row>
    <row r="1528" customFormat="false" ht="15" hidden="false" customHeight="false" outlineLevel="0" collapsed="false">
      <c r="A1528" s="102"/>
      <c r="E1528" s="103" t="str">
        <f aca="false">IF($C1528="","",IFERROR(INDEX(المنيو!$C$2:$C$500,MATCH($C1528,المنيو!$B$2:$B$500,0)),0))</f>
        <v/>
      </c>
      <c r="F1528" s="103" t="str">
        <f aca="false">IF($C1528="","",$D1528*$E1528)</f>
        <v/>
      </c>
      <c r="G1528" s="103" t="str">
        <f aca="false">IF($C1528="","",$D1528*IFERROR(INDEX('تحليل التكلفة والسعر'!$C$2:$C$700,MATCH($C1528,'تحليل التكلفة والسعر'!$B$2:$B$700,0)),0))</f>
        <v/>
      </c>
    </row>
    <row r="1529" customFormat="false" ht="15" hidden="false" customHeight="false" outlineLevel="0" collapsed="false">
      <c r="A1529" s="102"/>
      <c r="E1529" s="103" t="str">
        <f aca="false">IF($C1529="","",IFERROR(INDEX(المنيو!$C$2:$C$500,MATCH($C1529,المنيو!$B$2:$B$500,0)),0))</f>
        <v/>
      </c>
      <c r="F1529" s="103" t="str">
        <f aca="false">IF($C1529="","",$D1529*$E1529)</f>
        <v/>
      </c>
      <c r="G1529" s="103" t="str">
        <f aca="false">IF($C1529="","",$D1529*IFERROR(INDEX('تحليل التكلفة والسعر'!$C$2:$C$700,MATCH($C1529,'تحليل التكلفة والسعر'!$B$2:$B$700,0)),0))</f>
        <v/>
      </c>
    </row>
    <row r="1530" customFormat="false" ht="15" hidden="false" customHeight="false" outlineLevel="0" collapsed="false">
      <c r="A1530" s="102"/>
      <c r="E1530" s="103" t="str">
        <f aca="false">IF($C1530="","",IFERROR(INDEX(المنيو!$C$2:$C$500,MATCH($C1530,المنيو!$B$2:$B$500,0)),0))</f>
        <v/>
      </c>
      <c r="F1530" s="103" t="str">
        <f aca="false">IF($C1530="","",$D1530*$E1530)</f>
        <v/>
      </c>
      <c r="G1530" s="103" t="str">
        <f aca="false">IF($C1530="","",$D1530*IFERROR(INDEX('تحليل التكلفة والسعر'!$C$2:$C$700,MATCH($C1530,'تحليل التكلفة والسعر'!$B$2:$B$700,0)),0))</f>
        <v/>
      </c>
    </row>
    <row r="1531" customFormat="false" ht="15" hidden="false" customHeight="false" outlineLevel="0" collapsed="false">
      <c r="A1531" s="102"/>
      <c r="E1531" s="103" t="str">
        <f aca="false">IF($C1531="","",IFERROR(INDEX(المنيو!$C$2:$C$500,MATCH($C1531,المنيو!$B$2:$B$500,0)),0))</f>
        <v/>
      </c>
      <c r="F1531" s="103" t="str">
        <f aca="false">IF($C1531="","",$D1531*$E1531)</f>
        <v/>
      </c>
      <c r="G1531" s="103" t="str">
        <f aca="false">IF($C1531="","",$D1531*IFERROR(INDEX('تحليل التكلفة والسعر'!$C$2:$C$700,MATCH($C1531,'تحليل التكلفة والسعر'!$B$2:$B$700,0)),0))</f>
        <v/>
      </c>
    </row>
    <row r="1532" customFormat="false" ht="15" hidden="false" customHeight="false" outlineLevel="0" collapsed="false">
      <c r="A1532" s="102"/>
      <c r="E1532" s="103" t="str">
        <f aca="false">IF($C1532="","",IFERROR(INDEX(المنيو!$C$2:$C$500,MATCH($C1532,المنيو!$B$2:$B$500,0)),0))</f>
        <v/>
      </c>
      <c r="F1532" s="103" t="str">
        <f aca="false">IF($C1532="","",$D1532*$E1532)</f>
        <v/>
      </c>
      <c r="G1532" s="103" t="str">
        <f aca="false">IF($C1532="","",$D1532*IFERROR(INDEX('تحليل التكلفة والسعر'!$C$2:$C$700,MATCH($C1532,'تحليل التكلفة والسعر'!$B$2:$B$700,0)),0))</f>
        <v/>
      </c>
    </row>
    <row r="1533" customFormat="false" ht="15" hidden="false" customHeight="false" outlineLevel="0" collapsed="false">
      <c r="A1533" s="102"/>
      <c r="E1533" s="103" t="str">
        <f aca="false">IF($C1533="","",IFERROR(INDEX(المنيو!$C$2:$C$500,MATCH($C1533,المنيو!$B$2:$B$500,0)),0))</f>
        <v/>
      </c>
      <c r="F1533" s="103" t="str">
        <f aca="false">IF($C1533="","",$D1533*$E1533)</f>
        <v/>
      </c>
      <c r="G1533" s="103" t="str">
        <f aca="false">IF($C1533="","",$D1533*IFERROR(INDEX('تحليل التكلفة والسعر'!$C$2:$C$700,MATCH($C1533,'تحليل التكلفة والسعر'!$B$2:$B$700,0)),0))</f>
        <v/>
      </c>
    </row>
    <row r="1534" customFormat="false" ht="15" hidden="false" customHeight="false" outlineLevel="0" collapsed="false">
      <c r="A1534" s="102"/>
      <c r="E1534" s="103" t="str">
        <f aca="false">IF($C1534="","",IFERROR(INDEX(المنيو!$C$2:$C$500,MATCH($C1534,المنيو!$B$2:$B$500,0)),0))</f>
        <v/>
      </c>
      <c r="F1534" s="103" t="str">
        <f aca="false">IF($C1534="","",$D1534*$E1534)</f>
        <v/>
      </c>
      <c r="G1534" s="103" t="str">
        <f aca="false">IF($C1534="","",$D1534*IFERROR(INDEX('تحليل التكلفة والسعر'!$C$2:$C$700,MATCH($C1534,'تحليل التكلفة والسعر'!$B$2:$B$700,0)),0))</f>
        <v/>
      </c>
    </row>
    <row r="1535" customFormat="false" ht="15" hidden="false" customHeight="false" outlineLevel="0" collapsed="false">
      <c r="A1535" s="102"/>
      <c r="E1535" s="103" t="str">
        <f aca="false">IF($C1535="","",IFERROR(INDEX(المنيو!$C$2:$C$500,MATCH($C1535,المنيو!$B$2:$B$500,0)),0))</f>
        <v/>
      </c>
      <c r="F1535" s="103" t="str">
        <f aca="false">IF($C1535="","",$D1535*$E1535)</f>
        <v/>
      </c>
      <c r="G1535" s="103" t="str">
        <f aca="false">IF($C1535="","",$D1535*IFERROR(INDEX('تحليل التكلفة والسعر'!$C$2:$C$700,MATCH($C1535,'تحليل التكلفة والسعر'!$B$2:$B$700,0)),0))</f>
        <v/>
      </c>
    </row>
    <row r="1536" customFormat="false" ht="15" hidden="false" customHeight="false" outlineLevel="0" collapsed="false">
      <c r="A1536" s="102"/>
      <c r="E1536" s="103" t="str">
        <f aca="false">IF($C1536="","",IFERROR(INDEX(المنيو!$C$2:$C$500,MATCH($C1536,المنيو!$B$2:$B$500,0)),0))</f>
        <v/>
      </c>
      <c r="F1536" s="103" t="str">
        <f aca="false">IF($C1536="","",$D1536*$E1536)</f>
        <v/>
      </c>
      <c r="G1536" s="103" t="str">
        <f aca="false">IF($C1536="","",$D1536*IFERROR(INDEX('تحليل التكلفة والسعر'!$C$2:$C$700,MATCH($C1536,'تحليل التكلفة والسعر'!$B$2:$B$700,0)),0))</f>
        <v/>
      </c>
    </row>
    <row r="1537" customFormat="false" ht="15" hidden="false" customHeight="false" outlineLevel="0" collapsed="false">
      <c r="A1537" s="102"/>
      <c r="E1537" s="103" t="str">
        <f aca="false">IF($C1537="","",IFERROR(INDEX(المنيو!$C$2:$C$500,MATCH($C1537,المنيو!$B$2:$B$500,0)),0))</f>
        <v/>
      </c>
      <c r="F1537" s="103" t="str">
        <f aca="false">IF($C1537="","",$D1537*$E1537)</f>
        <v/>
      </c>
      <c r="G1537" s="103" t="str">
        <f aca="false">IF($C1537="","",$D1537*IFERROR(INDEX('تحليل التكلفة والسعر'!$C$2:$C$700,MATCH($C1537,'تحليل التكلفة والسعر'!$B$2:$B$700,0)),0))</f>
        <v/>
      </c>
    </row>
    <row r="1538" customFormat="false" ht="15" hidden="false" customHeight="false" outlineLevel="0" collapsed="false">
      <c r="A1538" s="102"/>
      <c r="E1538" s="103" t="str">
        <f aca="false">IF($C1538="","",IFERROR(INDEX(المنيو!$C$2:$C$500,MATCH($C1538,المنيو!$B$2:$B$500,0)),0))</f>
        <v/>
      </c>
      <c r="F1538" s="103" t="str">
        <f aca="false">IF($C1538="","",$D1538*$E1538)</f>
        <v/>
      </c>
      <c r="G1538" s="103" t="str">
        <f aca="false">IF($C1538="","",$D1538*IFERROR(INDEX('تحليل التكلفة والسعر'!$C$2:$C$700,MATCH($C1538,'تحليل التكلفة والسعر'!$B$2:$B$700,0)),0))</f>
        <v/>
      </c>
    </row>
    <row r="1539" customFormat="false" ht="15" hidden="false" customHeight="false" outlineLevel="0" collapsed="false">
      <c r="A1539" s="102"/>
      <c r="E1539" s="103" t="str">
        <f aca="false">IF($C1539="","",IFERROR(INDEX(المنيو!$C$2:$C$500,MATCH($C1539,المنيو!$B$2:$B$500,0)),0))</f>
        <v/>
      </c>
      <c r="F1539" s="103" t="str">
        <f aca="false">IF($C1539="","",$D1539*$E1539)</f>
        <v/>
      </c>
      <c r="G1539" s="103" t="str">
        <f aca="false">IF($C1539="","",$D1539*IFERROR(INDEX('تحليل التكلفة والسعر'!$C$2:$C$700,MATCH($C1539,'تحليل التكلفة والسعر'!$B$2:$B$700,0)),0))</f>
        <v/>
      </c>
    </row>
    <row r="1540" customFormat="false" ht="15" hidden="false" customHeight="false" outlineLevel="0" collapsed="false">
      <c r="A1540" s="102"/>
      <c r="E1540" s="103" t="str">
        <f aca="false">IF($C1540="","",IFERROR(INDEX(المنيو!$C$2:$C$500,MATCH($C1540,المنيو!$B$2:$B$500,0)),0))</f>
        <v/>
      </c>
      <c r="F1540" s="103" t="str">
        <f aca="false">IF($C1540="","",$D1540*$E1540)</f>
        <v/>
      </c>
      <c r="G1540" s="103" t="str">
        <f aca="false">IF($C1540="","",$D1540*IFERROR(INDEX('تحليل التكلفة والسعر'!$C$2:$C$700,MATCH($C1540,'تحليل التكلفة والسعر'!$B$2:$B$700,0)),0))</f>
        <v/>
      </c>
    </row>
    <row r="1541" customFormat="false" ht="15" hidden="false" customHeight="false" outlineLevel="0" collapsed="false">
      <c r="A1541" s="102"/>
      <c r="E1541" s="103" t="str">
        <f aca="false">IF($C1541="","",IFERROR(INDEX(المنيو!$C$2:$C$500,MATCH($C1541,المنيو!$B$2:$B$500,0)),0))</f>
        <v/>
      </c>
      <c r="F1541" s="103" t="str">
        <f aca="false">IF($C1541="","",$D1541*$E1541)</f>
        <v/>
      </c>
      <c r="G1541" s="103" t="str">
        <f aca="false">IF($C1541="","",$D1541*IFERROR(INDEX('تحليل التكلفة والسعر'!$C$2:$C$700,MATCH($C1541,'تحليل التكلفة والسعر'!$B$2:$B$700,0)),0))</f>
        <v/>
      </c>
    </row>
    <row r="1542" customFormat="false" ht="15" hidden="false" customHeight="false" outlineLevel="0" collapsed="false">
      <c r="A1542" s="102"/>
      <c r="E1542" s="103" t="str">
        <f aca="false">IF($C1542="","",IFERROR(INDEX(المنيو!$C$2:$C$500,MATCH($C1542,المنيو!$B$2:$B$500,0)),0))</f>
        <v/>
      </c>
      <c r="F1542" s="103" t="str">
        <f aca="false">IF($C1542="","",$D1542*$E1542)</f>
        <v/>
      </c>
      <c r="G1542" s="103" t="str">
        <f aca="false">IF($C1542="","",$D1542*IFERROR(INDEX('تحليل التكلفة والسعر'!$C$2:$C$700,MATCH($C1542,'تحليل التكلفة والسعر'!$B$2:$B$700,0)),0))</f>
        <v/>
      </c>
    </row>
    <row r="1543" customFormat="false" ht="15" hidden="false" customHeight="false" outlineLevel="0" collapsed="false">
      <c r="A1543" s="102"/>
      <c r="E1543" s="103" t="str">
        <f aca="false">IF($C1543="","",IFERROR(INDEX(المنيو!$C$2:$C$500,MATCH($C1543,المنيو!$B$2:$B$500,0)),0))</f>
        <v/>
      </c>
      <c r="F1543" s="103" t="str">
        <f aca="false">IF($C1543="","",$D1543*$E1543)</f>
        <v/>
      </c>
      <c r="G1543" s="103" t="str">
        <f aca="false">IF($C1543="","",$D1543*IFERROR(INDEX('تحليل التكلفة والسعر'!$C$2:$C$700,MATCH($C1543,'تحليل التكلفة والسعر'!$B$2:$B$700,0)),0))</f>
        <v/>
      </c>
    </row>
    <row r="1544" customFormat="false" ht="15" hidden="false" customHeight="false" outlineLevel="0" collapsed="false">
      <c r="A1544" s="102"/>
      <c r="E1544" s="103" t="str">
        <f aca="false">IF($C1544="","",IFERROR(INDEX(المنيو!$C$2:$C$500,MATCH($C1544,المنيو!$B$2:$B$500,0)),0))</f>
        <v/>
      </c>
      <c r="F1544" s="103" t="str">
        <f aca="false">IF($C1544="","",$D1544*$E1544)</f>
        <v/>
      </c>
      <c r="G1544" s="103" t="str">
        <f aca="false">IF($C1544="","",$D1544*IFERROR(INDEX('تحليل التكلفة والسعر'!$C$2:$C$700,MATCH($C1544,'تحليل التكلفة والسعر'!$B$2:$B$700,0)),0))</f>
        <v/>
      </c>
    </row>
    <row r="1545" customFormat="false" ht="15" hidden="false" customHeight="false" outlineLevel="0" collapsed="false">
      <c r="A1545" s="102"/>
      <c r="E1545" s="103" t="str">
        <f aca="false">IF($C1545="","",IFERROR(INDEX(المنيو!$C$2:$C$500,MATCH($C1545,المنيو!$B$2:$B$500,0)),0))</f>
        <v/>
      </c>
      <c r="F1545" s="103" t="str">
        <f aca="false">IF($C1545="","",$D1545*$E1545)</f>
        <v/>
      </c>
      <c r="G1545" s="103" t="str">
        <f aca="false">IF($C1545="","",$D1545*IFERROR(INDEX('تحليل التكلفة والسعر'!$C$2:$C$700,MATCH($C1545,'تحليل التكلفة والسعر'!$B$2:$B$700,0)),0))</f>
        <v/>
      </c>
    </row>
    <row r="1546" customFormat="false" ht="15" hidden="false" customHeight="false" outlineLevel="0" collapsed="false">
      <c r="A1546" s="102"/>
      <c r="E1546" s="103" t="str">
        <f aca="false">IF($C1546="","",IFERROR(INDEX(المنيو!$C$2:$C$500,MATCH($C1546,المنيو!$B$2:$B$500,0)),0))</f>
        <v/>
      </c>
      <c r="F1546" s="103" t="str">
        <f aca="false">IF($C1546="","",$D1546*$E1546)</f>
        <v/>
      </c>
      <c r="G1546" s="103" t="str">
        <f aca="false">IF($C1546="","",$D1546*IFERROR(INDEX('تحليل التكلفة والسعر'!$C$2:$C$700,MATCH($C1546,'تحليل التكلفة والسعر'!$B$2:$B$700,0)),0))</f>
        <v/>
      </c>
    </row>
    <row r="1547" customFormat="false" ht="15" hidden="false" customHeight="false" outlineLevel="0" collapsed="false">
      <c r="A1547" s="102"/>
      <c r="E1547" s="103" t="str">
        <f aca="false">IF($C1547="","",IFERROR(INDEX(المنيو!$C$2:$C$500,MATCH($C1547,المنيو!$B$2:$B$500,0)),0))</f>
        <v/>
      </c>
      <c r="F1547" s="103" t="str">
        <f aca="false">IF($C1547="","",$D1547*$E1547)</f>
        <v/>
      </c>
      <c r="G1547" s="103" t="str">
        <f aca="false">IF($C1547="","",$D1547*IFERROR(INDEX('تحليل التكلفة والسعر'!$C$2:$C$700,MATCH($C1547,'تحليل التكلفة والسعر'!$B$2:$B$700,0)),0))</f>
        <v/>
      </c>
    </row>
    <row r="1548" customFormat="false" ht="15" hidden="false" customHeight="false" outlineLevel="0" collapsed="false">
      <c r="A1548" s="102"/>
      <c r="E1548" s="103" t="str">
        <f aca="false">IF($C1548="","",IFERROR(INDEX(المنيو!$C$2:$C$500,MATCH($C1548,المنيو!$B$2:$B$500,0)),0))</f>
        <v/>
      </c>
      <c r="F1548" s="103" t="str">
        <f aca="false">IF($C1548="","",$D1548*$E1548)</f>
        <v/>
      </c>
      <c r="G1548" s="103" t="str">
        <f aca="false">IF($C1548="","",$D1548*IFERROR(INDEX('تحليل التكلفة والسعر'!$C$2:$C$700,MATCH($C1548,'تحليل التكلفة والسعر'!$B$2:$B$700,0)),0))</f>
        <v/>
      </c>
    </row>
    <row r="1549" customFormat="false" ht="15" hidden="false" customHeight="false" outlineLevel="0" collapsed="false">
      <c r="A1549" s="102"/>
      <c r="E1549" s="103" t="str">
        <f aca="false">IF($C1549="","",IFERROR(INDEX(المنيو!$C$2:$C$500,MATCH($C1549,المنيو!$B$2:$B$500,0)),0))</f>
        <v/>
      </c>
      <c r="F1549" s="103" t="str">
        <f aca="false">IF($C1549="","",$D1549*$E1549)</f>
        <v/>
      </c>
      <c r="G1549" s="103" t="str">
        <f aca="false">IF($C1549="","",$D1549*IFERROR(INDEX('تحليل التكلفة والسعر'!$C$2:$C$700,MATCH($C1549,'تحليل التكلفة والسعر'!$B$2:$B$700,0)),0))</f>
        <v/>
      </c>
    </row>
    <row r="1550" customFormat="false" ht="15" hidden="false" customHeight="false" outlineLevel="0" collapsed="false">
      <c r="A1550" s="102"/>
      <c r="E1550" s="103" t="str">
        <f aca="false">IF($C1550="","",IFERROR(INDEX(المنيو!$C$2:$C$500,MATCH($C1550,المنيو!$B$2:$B$500,0)),0))</f>
        <v/>
      </c>
      <c r="F1550" s="103" t="str">
        <f aca="false">IF($C1550="","",$D1550*$E1550)</f>
        <v/>
      </c>
      <c r="G1550" s="103" t="str">
        <f aca="false">IF($C1550="","",$D1550*IFERROR(INDEX('تحليل التكلفة والسعر'!$C$2:$C$700,MATCH($C1550,'تحليل التكلفة والسعر'!$B$2:$B$700,0)),0))</f>
        <v/>
      </c>
    </row>
    <row r="1551" customFormat="false" ht="15" hidden="false" customHeight="false" outlineLevel="0" collapsed="false">
      <c r="A1551" s="102"/>
      <c r="E1551" s="103" t="str">
        <f aca="false">IF($C1551="","",IFERROR(INDEX(المنيو!$C$2:$C$500,MATCH($C1551,المنيو!$B$2:$B$500,0)),0))</f>
        <v/>
      </c>
      <c r="F1551" s="103" t="str">
        <f aca="false">IF($C1551="","",$D1551*$E1551)</f>
        <v/>
      </c>
      <c r="G1551" s="103" t="str">
        <f aca="false">IF($C1551="","",$D1551*IFERROR(INDEX('تحليل التكلفة والسعر'!$C$2:$C$700,MATCH($C1551,'تحليل التكلفة والسعر'!$B$2:$B$700,0)),0))</f>
        <v/>
      </c>
    </row>
    <row r="1552" customFormat="false" ht="15" hidden="false" customHeight="false" outlineLevel="0" collapsed="false">
      <c r="A1552" s="102"/>
      <c r="E1552" s="103" t="str">
        <f aca="false">IF($C1552="","",IFERROR(INDEX(المنيو!$C$2:$C$500,MATCH($C1552,المنيو!$B$2:$B$500,0)),0))</f>
        <v/>
      </c>
      <c r="F1552" s="103" t="str">
        <f aca="false">IF($C1552="","",$D1552*$E1552)</f>
        <v/>
      </c>
      <c r="G1552" s="103" t="str">
        <f aca="false">IF($C1552="","",$D1552*IFERROR(INDEX('تحليل التكلفة والسعر'!$C$2:$C$700,MATCH($C1552,'تحليل التكلفة والسعر'!$B$2:$B$700,0)),0))</f>
        <v/>
      </c>
    </row>
    <row r="1553" customFormat="false" ht="15" hidden="false" customHeight="false" outlineLevel="0" collapsed="false">
      <c r="A1553" s="102"/>
      <c r="E1553" s="103" t="str">
        <f aca="false">IF($C1553="","",IFERROR(INDEX(المنيو!$C$2:$C$500,MATCH($C1553,المنيو!$B$2:$B$500,0)),0))</f>
        <v/>
      </c>
      <c r="F1553" s="103" t="str">
        <f aca="false">IF($C1553="","",$D1553*$E1553)</f>
        <v/>
      </c>
      <c r="G1553" s="103" t="str">
        <f aca="false">IF($C1553="","",$D1553*IFERROR(INDEX('تحليل التكلفة والسعر'!$C$2:$C$700,MATCH($C1553,'تحليل التكلفة والسعر'!$B$2:$B$700,0)),0))</f>
        <v/>
      </c>
    </row>
    <row r="1554" customFormat="false" ht="15" hidden="false" customHeight="false" outlineLevel="0" collapsed="false">
      <c r="A1554" s="102"/>
      <c r="E1554" s="103" t="str">
        <f aca="false">IF($C1554="","",IFERROR(INDEX(المنيو!$C$2:$C$500,MATCH($C1554,المنيو!$B$2:$B$500,0)),0))</f>
        <v/>
      </c>
      <c r="F1554" s="103" t="str">
        <f aca="false">IF($C1554="","",$D1554*$E1554)</f>
        <v/>
      </c>
      <c r="G1554" s="103" t="str">
        <f aca="false">IF($C1554="","",$D1554*IFERROR(INDEX('تحليل التكلفة والسعر'!$C$2:$C$700,MATCH($C1554,'تحليل التكلفة والسعر'!$B$2:$B$700,0)),0))</f>
        <v/>
      </c>
    </row>
    <row r="1555" customFormat="false" ht="15" hidden="false" customHeight="false" outlineLevel="0" collapsed="false">
      <c r="A1555" s="102"/>
      <c r="E1555" s="103" t="str">
        <f aca="false">IF($C1555="","",IFERROR(INDEX(المنيو!$C$2:$C$500,MATCH($C1555,المنيو!$B$2:$B$500,0)),0))</f>
        <v/>
      </c>
      <c r="F1555" s="103" t="str">
        <f aca="false">IF($C1555="","",$D1555*$E1555)</f>
        <v/>
      </c>
      <c r="G1555" s="103" t="str">
        <f aca="false">IF($C1555="","",$D1555*IFERROR(INDEX('تحليل التكلفة والسعر'!$C$2:$C$700,MATCH($C1555,'تحليل التكلفة والسعر'!$B$2:$B$700,0)),0))</f>
        <v/>
      </c>
    </row>
    <row r="1556" customFormat="false" ht="15" hidden="false" customHeight="false" outlineLevel="0" collapsed="false">
      <c r="A1556" s="102"/>
      <c r="E1556" s="103" t="str">
        <f aca="false">IF($C1556="","",IFERROR(INDEX(المنيو!$C$2:$C$500,MATCH($C1556,المنيو!$B$2:$B$500,0)),0))</f>
        <v/>
      </c>
      <c r="F1556" s="103" t="str">
        <f aca="false">IF($C1556="","",$D1556*$E1556)</f>
        <v/>
      </c>
      <c r="G1556" s="103" t="str">
        <f aca="false">IF($C1556="","",$D1556*IFERROR(INDEX('تحليل التكلفة والسعر'!$C$2:$C$700,MATCH($C1556,'تحليل التكلفة والسعر'!$B$2:$B$700,0)),0))</f>
        <v/>
      </c>
    </row>
    <row r="1557" customFormat="false" ht="15" hidden="false" customHeight="false" outlineLevel="0" collapsed="false">
      <c r="A1557" s="102"/>
      <c r="E1557" s="103" t="str">
        <f aca="false">IF($C1557="","",IFERROR(INDEX(المنيو!$C$2:$C$500,MATCH($C1557,المنيو!$B$2:$B$500,0)),0))</f>
        <v/>
      </c>
      <c r="F1557" s="103" t="str">
        <f aca="false">IF($C1557="","",$D1557*$E1557)</f>
        <v/>
      </c>
      <c r="G1557" s="103" t="str">
        <f aca="false">IF($C1557="","",$D1557*IFERROR(INDEX('تحليل التكلفة والسعر'!$C$2:$C$700,MATCH($C1557,'تحليل التكلفة والسعر'!$B$2:$B$700,0)),0))</f>
        <v/>
      </c>
    </row>
    <row r="1558" customFormat="false" ht="15" hidden="false" customHeight="false" outlineLevel="0" collapsed="false">
      <c r="A1558" s="102"/>
      <c r="E1558" s="103" t="str">
        <f aca="false">IF($C1558="","",IFERROR(INDEX(المنيو!$C$2:$C$500,MATCH($C1558,المنيو!$B$2:$B$500,0)),0))</f>
        <v/>
      </c>
      <c r="F1558" s="103" t="str">
        <f aca="false">IF($C1558="","",$D1558*$E1558)</f>
        <v/>
      </c>
      <c r="G1558" s="103" t="str">
        <f aca="false">IF($C1558="","",$D1558*IFERROR(INDEX('تحليل التكلفة والسعر'!$C$2:$C$700,MATCH($C1558,'تحليل التكلفة والسعر'!$B$2:$B$700,0)),0))</f>
        <v/>
      </c>
    </row>
    <row r="1559" customFormat="false" ht="15" hidden="false" customHeight="false" outlineLevel="0" collapsed="false">
      <c r="A1559" s="102"/>
      <c r="E1559" s="103" t="str">
        <f aca="false">IF($C1559="","",IFERROR(INDEX(المنيو!$C$2:$C$500,MATCH($C1559,المنيو!$B$2:$B$500,0)),0))</f>
        <v/>
      </c>
      <c r="F1559" s="103" t="str">
        <f aca="false">IF($C1559="","",$D1559*$E1559)</f>
        <v/>
      </c>
      <c r="G1559" s="103" t="str">
        <f aca="false">IF($C1559="","",$D1559*IFERROR(INDEX('تحليل التكلفة والسعر'!$C$2:$C$700,MATCH($C1559,'تحليل التكلفة والسعر'!$B$2:$B$700,0)),0))</f>
        <v/>
      </c>
    </row>
    <row r="1560" customFormat="false" ht="15" hidden="false" customHeight="false" outlineLevel="0" collapsed="false">
      <c r="A1560" s="102"/>
      <c r="E1560" s="103" t="str">
        <f aca="false">IF($C1560="","",IFERROR(INDEX(المنيو!$C$2:$C$500,MATCH($C1560,المنيو!$B$2:$B$500,0)),0))</f>
        <v/>
      </c>
      <c r="F1560" s="103" t="str">
        <f aca="false">IF($C1560="","",$D1560*$E1560)</f>
        <v/>
      </c>
      <c r="G1560" s="103" t="str">
        <f aca="false">IF($C1560="","",$D1560*IFERROR(INDEX('تحليل التكلفة والسعر'!$C$2:$C$700,MATCH($C1560,'تحليل التكلفة والسعر'!$B$2:$B$700,0)),0))</f>
        <v/>
      </c>
    </row>
    <row r="1561" customFormat="false" ht="15" hidden="false" customHeight="false" outlineLevel="0" collapsed="false">
      <c r="A1561" s="102"/>
      <c r="E1561" s="103" t="str">
        <f aca="false">IF($C1561="","",IFERROR(INDEX(المنيو!$C$2:$C$500,MATCH($C1561,المنيو!$B$2:$B$500,0)),0))</f>
        <v/>
      </c>
      <c r="F1561" s="103" t="str">
        <f aca="false">IF($C1561="","",$D1561*$E1561)</f>
        <v/>
      </c>
      <c r="G1561" s="103" t="str">
        <f aca="false">IF($C1561="","",$D1561*IFERROR(INDEX('تحليل التكلفة والسعر'!$C$2:$C$700,MATCH($C1561,'تحليل التكلفة والسعر'!$B$2:$B$700,0)),0))</f>
        <v/>
      </c>
    </row>
    <row r="1562" customFormat="false" ht="15" hidden="false" customHeight="false" outlineLevel="0" collapsed="false">
      <c r="A1562" s="102"/>
      <c r="E1562" s="103" t="str">
        <f aca="false">IF($C1562="","",IFERROR(INDEX(المنيو!$C$2:$C$500,MATCH($C1562,المنيو!$B$2:$B$500,0)),0))</f>
        <v/>
      </c>
      <c r="F1562" s="103" t="str">
        <f aca="false">IF($C1562="","",$D1562*$E1562)</f>
        <v/>
      </c>
      <c r="G1562" s="103" t="str">
        <f aca="false">IF($C1562="","",$D1562*IFERROR(INDEX('تحليل التكلفة والسعر'!$C$2:$C$700,MATCH($C1562,'تحليل التكلفة والسعر'!$B$2:$B$700,0)),0))</f>
        <v/>
      </c>
    </row>
    <row r="1563" customFormat="false" ht="15" hidden="false" customHeight="false" outlineLevel="0" collapsed="false">
      <c r="A1563" s="102"/>
      <c r="E1563" s="103" t="str">
        <f aca="false">IF($C1563="","",IFERROR(INDEX(المنيو!$C$2:$C$500,MATCH($C1563,المنيو!$B$2:$B$500,0)),0))</f>
        <v/>
      </c>
      <c r="F1563" s="103" t="str">
        <f aca="false">IF($C1563="","",$D1563*$E1563)</f>
        <v/>
      </c>
      <c r="G1563" s="103" t="str">
        <f aca="false">IF($C1563="","",$D1563*IFERROR(INDEX('تحليل التكلفة والسعر'!$C$2:$C$700,MATCH($C1563,'تحليل التكلفة والسعر'!$B$2:$B$700,0)),0))</f>
        <v/>
      </c>
    </row>
    <row r="1564" customFormat="false" ht="15" hidden="false" customHeight="false" outlineLevel="0" collapsed="false">
      <c r="A1564" s="102"/>
      <c r="E1564" s="103" t="str">
        <f aca="false">IF($C1564="","",IFERROR(INDEX(المنيو!$C$2:$C$500,MATCH($C1564,المنيو!$B$2:$B$500,0)),0))</f>
        <v/>
      </c>
      <c r="F1564" s="103" t="str">
        <f aca="false">IF($C1564="","",$D1564*$E1564)</f>
        <v/>
      </c>
      <c r="G1564" s="103" t="str">
        <f aca="false">IF($C1564="","",$D1564*IFERROR(INDEX('تحليل التكلفة والسعر'!$C$2:$C$700,MATCH($C1564,'تحليل التكلفة والسعر'!$B$2:$B$700,0)),0))</f>
        <v/>
      </c>
    </row>
    <row r="1565" customFormat="false" ht="15" hidden="false" customHeight="false" outlineLevel="0" collapsed="false">
      <c r="A1565" s="102"/>
      <c r="E1565" s="103" t="str">
        <f aca="false">IF($C1565="","",IFERROR(INDEX(المنيو!$C$2:$C$500,MATCH($C1565,المنيو!$B$2:$B$500,0)),0))</f>
        <v/>
      </c>
      <c r="F1565" s="103" t="str">
        <f aca="false">IF($C1565="","",$D1565*$E1565)</f>
        <v/>
      </c>
      <c r="G1565" s="103" t="str">
        <f aca="false">IF($C1565="","",$D1565*IFERROR(INDEX('تحليل التكلفة والسعر'!$C$2:$C$700,MATCH($C1565,'تحليل التكلفة والسعر'!$B$2:$B$700,0)),0))</f>
        <v/>
      </c>
    </row>
    <row r="1566" customFormat="false" ht="15" hidden="false" customHeight="false" outlineLevel="0" collapsed="false">
      <c r="A1566" s="102"/>
      <c r="E1566" s="103" t="str">
        <f aca="false">IF($C1566="","",IFERROR(INDEX(المنيو!$C$2:$C$500,MATCH($C1566,المنيو!$B$2:$B$500,0)),0))</f>
        <v/>
      </c>
      <c r="F1566" s="103" t="str">
        <f aca="false">IF($C1566="","",$D1566*$E1566)</f>
        <v/>
      </c>
      <c r="G1566" s="103" t="str">
        <f aca="false">IF($C1566="","",$D1566*IFERROR(INDEX('تحليل التكلفة والسعر'!$C$2:$C$700,MATCH($C1566,'تحليل التكلفة والسعر'!$B$2:$B$700,0)),0))</f>
        <v/>
      </c>
    </row>
    <row r="1567" customFormat="false" ht="15" hidden="false" customHeight="false" outlineLevel="0" collapsed="false">
      <c r="A1567" s="102"/>
      <c r="E1567" s="103" t="str">
        <f aca="false">IF($C1567="","",IFERROR(INDEX(المنيو!$C$2:$C$500,MATCH($C1567,المنيو!$B$2:$B$500,0)),0))</f>
        <v/>
      </c>
      <c r="F1567" s="103" t="str">
        <f aca="false">IF($C1567="","",$D1567*$E1567)</f>
        <v/>
      </c>
      <c r="G1567" s="103" t="str">
        <f aca="false">IF($C1567="","",$D1567*IFERROR(INDEX('تحليل التكلفة والسعر'!$C$2:$C$700,MATCH($C1567,'تحليل التكلفة والسعر'!$B$2:$B$700,0)),0))</f>
        <v/>
      </c>
    </row>
    <row r="1568" customFormat="false" ht="15" hidden="false" customHeight="false" outlineLevel="0" collapsed="false">
      <c r="A1568" s="102"/>
      <c r="E1568" s="103" t="str">
        <f aca="false">IF($C1568="","",IFERROR(INDEX(المنيو!$C$2:$C$500,MATCH($C1568,المنيو!$B$2:$B$500,0)),0))</f>
        <v/>
      </c>
      <c r="F1568" s="103" t="str">
        <f aca="false">IF($C1568="","",$D1568*$E1568)</f>
        <v/>
      </c>
      <c r="G1568" s="103" t="str">
        <f aca="false">IF($C1568="","",$D1568*IFERROR(INDEX('تحليل التكلفة والسعر'!$C$2:$C$700,MATCH($C1568,'تحليل التكلفة والسعر'!$B$2:$B$700,0)),0))</f>
        <v/>
      </c>
    </row>
    <row r="1569" customFormat="false" ht="15" hidden="false" customHeight="false" outlineLevel="0" collapsed="false">
      <c r="A1569" s="102"/>
      <c r="E1569" s="103" t="str">
        <f aca="false">IF($C1569="","",IFERROR(INDEX(المنيو!$C$2:$C$500,MATCH($C1569,المنيو!$B$2:$B$500,0)),0))</f>
        <v/>
      </c>
      <c r="F1569" s="103" t="str">
        <f aca="false">IF($C1569="","",$D1569*$E1569)</f>
        <v/>
      </c>
      <c r="G1569" s="103" t="str">
        <f aca="false">IF($C1569="","",$D1569*IFERROR(INDEX('تحليل التكلفة والسعر'!$C$2:$C$700,MATCH($C1569,'تحليل التكلفة والسعر'!$B$2:$B$700,0)),0))</f>
        <v/>
      </c>
    </row>
    <row r="1570" customFormat="false" ht="15" hidden="false" customHeight="false" outlineLevel="0" collapsed="false">
      <c r="A1570" s="102"/>
      <c r="E1570" s="103" t="str">
        <f aca="false">IF($C1570="","",IFERROR(INDEX(المنيو!$C$2:$C$500,MATCH($C1570,المنيو!$B$2:$B$500,0)),0))</f>
        <v/>
      </c>
      <c r="F1570" s="103" t="str">
        <f aca="false">IF($C1570="","",$D1570*$E1570)</f>
        <v/>
      </c>
      <c r="G1570" s="103" t="str">
        <f aca="false">IF($C1570="","",$D1570*IFERROR(INDEX('تحليل التكلفة والسعر'!$C$2:$C$700,MATCH($C1570,'تحليل التكلفة والسعر'!$B$2:$B$700,0)),0))</f>
        <v/>
      </c>
    </row>
    <row r="1571" customFormat="false" ht="15" hidden="false" customHeight="false" outlineLevel="0" collapsed="false">
      <c r="A1571" s="102"/>
      <c r="E1571" s="103" t="str">
        <f aca="false">IF($C1571="","",IFERROR(INDEX(المنيو!$C$2:$C$500,MATCH($C1571,المنيو!$B$2:$B$500,0)),0))</f>
        <v/>
      </c>
      <c r="F1571" s="103" t="str">
        <f aca="false">IF($C1571="","",$D1571*$E1571)</f>
        <v/>
      </c>
      <c r="G1571" s="103" t="str">
        <f aca="false">IF($C1571="","",$D1571*IFERROR(INDEX('تحليل التكلفة والسعر'!$C$2:$C$700,MATCH($C1571,'تحليل التكلفة والسعر'!$B$2:$B$700,0)),0))</f>
        <v/>
      </c>
    </row>
    <row r="1572" customFormat="false" ht="15" hidden="false" customHeight="false" outlineLevel="0" collapsed="false">
      <c r="A1572" s="102"/>
      <c r="E1572" s="103" t="str">
        <f aca="false">IF($C1572="","",IFERROR(INDEX(المنيو!$C$2:$C$500,MATCH($C1572,المنيو!$B$2:$B$500,0)),0))</f>
        <v/>
      </c>
      <c r="F1572" s="103" t="str">
        <f aca="false">IF($C1572="","",$D1572*$E1572)</f>
        <v/>
      </c>
      <c r="G1572" s="103" t="str">
        <f aca="false">IF($C1572="","",$D1572*IFERROR(INDEX('تحليل التكلفة والسعر'!$C$2:$C$700,MATCH($C1572,'تحليل التكلفة والسعر'!$B$2:$B$700,0)),0))</f>
        <v/>
      </c>
    </row>
    <row r="1573" customFormat="false" ht="15" hidden="false" customHeight="false" outlineLevel="0" collapsed="false">
      <c r="A1573" s="102"/>
      <c r="E1573" s="103" t="str">
        <f aca="false">IF($C1573="","",IFERROR(INDEX(المنيو!$C$2:$C$500,MATCH($C1573,المنيو!$B$2:$B$500,0)),0))</f>
        <v/>
      </c>
      <c r="F1573" s="103" t="str">
        <f aca="false">IF($C1573="","",$D1573*$E1573)</f>
        <v/>
      </c>
      <c r="G1573" s="103" t="str">
        <f aca="false">IF($C1573="","",$D1573*IFERROR(INDEX('تحليل التكلفة والسعر'!$C$2:$C$700,MATCH($C1573,'تحليل التكلفة والسعر'!$B$2:$B$700,0)),0))</f>
        <v/>
      </c>
    </row>
    <row r="1574" customFormat="false" ht="15" hidden="false" customHeight="false" outlineLevel="0" collapsed="false">
      <c r="A1574" s="102"/>
      <c r="E1574" s="103" t="str">
        <f aca="false">IF($C1574="","",IFERROR(INDEX(المنيو!$C$2:$C$500,MATCH($C1574,المنيو!$B$2:$B$500,0)),0))</f>
        <v/>
      </c>
      <c r="F1574" s="103" t="str">
        <f aca="false">IF($C1574="","",$D1574*$E1574)</f>
        <v/>
      </c>
      <c r="G1574" s="103" t="str">
        <f aca="false">IF($C1574="","",$D1574*IFERROR(INDEX('تحليل التكلفة والسعر'!$C$2:$C$700,MATCH($C1574,'تحليل التكلفة والسعر'!$B$2:$B$700,0)),0))</f>
        <v/>
      </c>
    </row>
    <row r="1575" customFormat="false" ht="15" hidden="false" customHeight="false" outlineLevel="0" collapsed="false">
      <c r="A1575" s="102"/>
      <c r="E1575" s="103" t="str">
        <f aca="false">IF($C1575="","",IFERROR(INDEX(المنيو!$C$2:$C$500,MATCH($C1575,المنيو!$B$2:$B$500,0)),0))</f>
        <v/>
      </c>
      <c r="F1575" s="103" t="str">
        <f aca="false">IF($C1575="","",$D1575*$E1575)</f>
        <v/>
      </c>
      <c r="G1575" s="103" t="str">
        <f aca="false">IF($C1575="","",$D1575*IFERROR(INDEX('تحليل التكلفة والسعر'!$C$2:$C$700,MATCH($C1575,'تحليل التكلفة والسعر'!$B$2:$B$700,0)),0))</f>
        <v/>
      </c>
    </row>
    <row r="1576" customFormat="false" ht="15" hidden="false" customHeight="false" outlineLevel="0" collapsed="false">
      <c r="A1576" s="102"/>
      <c r="E1576" s="103" t="str">
        <f aca="false">IF($C1576="","",IFERROR(INDEX(المنيو!$C$2:$C$500,MATCH($C1576,المنيو!$B$2:$B$500,0)),0))</f>
        <v/>
      </c>
      <c r="F1576" s="103" t="str">
        <f aca="false">IF($C1576="","",$D1576*$E1576)</f>
        <v/>
      </c>
      <c r="G1576" s="103" t="str">
        <f aca="false">IF($C1576="","",$D1576*IFERROR(INDEX('تحليل التكلفة والسعر'!$C$2:$C$700,MATCH($C1576,'تحليل التكلفة والسعر'!$B$2:$B$700,0)),0))</f>
        <v/>
      </c>
    </row>
    <row r="1577" customFormat="false" ht="15" hidden="false" customHeight="false" outlineLevel="0" collapsed="false">
      <c r="A1577" s="102"/>
      <c r="E1577" s="103" t="str">
        <f aca="false">IF($C1577="","",IFERROR(INDEX(المنيو!$C$2:$C$500,MATCH($C1577,المنيو!$B$2:$B$500,0)),0))</f>
        <v/>
      </c>
      <c r="F1577" s="103" t="str">
        <f aca="false">IF($C1577="","",$D1577*$E1577)</f>
        <v/>
      </c>
      <c r="G1577" s="103" t="str">
        <f aca="false">IF($C1577="","",$D1577*IFERROR(INDEX('تحليل التكلفة والسعر'!$C$2:$C$700,MATCH($C1577,'تحليل التكلفة والسعر'!$B$2:$B$700,0)),0))</f>
        <v/>
      </c>
    </row>
    <row r="1578" customFormat="false" ht="15" hidden="false" customHeight="false" outlineLevel="0" collapsed="false">
      <c r="A1578" s="102"/>
      <c r="E1578" s="103" t="str">
        <f aca="false">IF($C1578="","",IFERROR(INDEX(المنيو!$C$2:$C$500,MATCH($C1578,المنيو!$B$2:$B$500,0)),0))</f>
        <v/>
      </c>
      <c r="F1578" s="103" t="str">
        <f aca="false">IF($C1578="","",$D1578*$E1578)</f>
        <v/>
      </c>
      <c r="G1578" s="103" t="str">
        <f aca="false">IF($C1578="","",$D1578*IFERROR(INDEX('تحليل التكلفة والسعر'!$C$2:$C$700,MATCH($C1578,'تحليل التكلفة والسعر'!$B$2:$B$700,0)),0))</f>
        <v/>
      </c>
    </row>
    <row r="1579" customFormat="false" ht="15" hidden="false" customHeight="false" outlineLevel="0" collapsed="false">
      <c r="A1579" s="102"/>
      <c r="E1579" s="103" t="str">
        <f aca="false">IF($C1579="","",IFERROR(INDEX(المنيو!$C$2:$C$500,MATCH($C1579,المنيو!$B$2:$B$500,0)),0))</f>
        <v/>
      </c>
      <c r="F1579" s="103" t="str">
        <f aca="false">IF($C1579="","",$D1579*$E1579)</f>
        <v/>
      </c>
      <c r="G1579" s="103" t="str">
        <f aca="false">IF($C1579="","",$D1579*IFERROR(INDEX('تحليل التكلفة والسعر'!$C$2:$C$700,MATCH($C1579,'تحليل التكلفة والسعر'!$B$2:$B$700,0)),0))</f>
        <v/>
      </c>
    </row>
    <row r="1580" customFormat="false" ht="15" hidden="false" customHeight="false" outlineLevel="0" collapsed="false">
      <c r="A1580" s="102"/>
      <c r="E1580" s="103" t="str">
        <f aca="false">IF($C1580="","",IFERROR(INDEX(المنيو!$C$2:$C$500,MATCH($C1580,المنيو!$B$2:$B$500,0)),0))</f>
        <v/>
      </c>
      <c r="F1580" s="103" t="str">
        <f aca="false">IF($C1580="","",$D1580*$E1580)</f>
        <v/>
      </c>
      <c r="G1580" s="103" t="str">
        <f aca="false">IF($C1580="","",$D1580*IFERROR(INDEX('تحليل التكلفة والسعر'!$C$2:$C$700,MATCH($C1580,'تحليل التكلفة والسعر'!$B$2:$B$700,0)),0))</f>
        <v/>
      </c>
    </row>
    <row r="1581" customFormat="false" ht="15" hidden="false" customHeight="false" outlineLevel="0" collapsed="false">
      <c r="A1581" s="102"/>
      <c r="E1581" s="103" t="str">
        <f aca="false">IF($C1581="","",IFERROR(INDEX(المنيو!$C$2:$C$500,MATCH($C1581,المنيو!$B$2:$B$500,0)),0))</f>
        <v/>
      </c>
      <c r="F1581" s="103" t="str">
        <f aca="false">IF($C1581="","",$D1581*$E1581)</f>
        <v/>
      </c>
      <c r="G1581" s="103" t="str">
        <f aca="false">IF($C1581="","",$D1581*IFERROR(INDEX('تحليل التكلفة والسعر'!$C$2:$C$700,MATCH($C1581,'تحليل التكلفة والسعر'!$B$2:$B$700,0)),0))</f>
        <v/>
      </c>
    </row>
    <row r="1582" customFormat="false" ht="15" hidden="false" customHeight="false" outlineLevel="0" collapsed="false">
      <c r="A1582" s="102"/>
      <c r="E1582" s="103" t="str">
        <f aca="false">IF($C1582="","",IFERROR(INDEX(المنيو!$C$2:$C$500,MATCH($C1582,المنيو!$B$2:$B$500,0)),0))</f>
        <v/>
      </c>
      <c r="F1582" s="103" t="str">
        <f aca="false">IF($C1582="","",$D1582*$E1582)</f>
        <v/>
      </c>
      <c r="G1582" s="103" t="str">
        <f aca="false">IF($C1582="","",$D1582*IFERROR(INDEX('تحليل التكلفة والسعر'!$C$2:$C$700,MATCH($C1582,'تحليل التكلفة والسعر'!$B$2:$B$700,0)),0))</f>
        <v/>
      </c>
    </row>
    <row r="1583" customFormat="false" ht="15" hidden="false" customHeight="false" outlineLevel="0" collapsed="false">
      <c r="A1583" s="102"/>
      <c r="E1583" s="103" t="str">
        <f aca="false">IF($C1583="","",IFERROR(INDEX(المنيو!$C$2:$C$500,MATCH($C1583,المنيو!$B$2:$B$500,0)),0))</f>
        <v/>
      </c>
      <c r="F1583" s="103" t="str">
        <f aca="false">IF($C1583="","",$D1583*$E1583)</f>
        <v/>
      </c>
      <c r="G1583" s="103" t="str">
        <f aca="false">IF($C1583="","",$D1583*IFERROR(INDEX('تحليل التكلفة والسعر'!$C$2:$C$700,MATCH($C1583,'تحليل التكلفة والسعر'!$B$2:$B$700,0)),0))</f>
        <v/>
      </c>
    </row>
    <row r="1584" customFormat="false" ht="15" hidden="false" customHeight="false" outlineLevel="0" collapsed="false">
      <c r="A1584" s="102"/>
      <c r="E1584" s="103" t="str">
        <f aca="false">IF($C1584="","",IFERROR(INDEX(المنيو!$C$2:$C$500,MATCH($C1584,المنيو!$B$2:$B$500,0)),0))</f>
        <v/>
      </c>
      <c r="F1584" s="103" t="str">
        <f aca="false">IF($C1584="","",$D1584*$E1584)</f>
        <v/>
      </c>
      <c r="G1584" s="103" t="str">
        <f aca="false">IF($C1584="","",$D1584*IFERROR(INDEX('تحليل التكلفة والسعر'!$C$2:$C$700,MATCH($C1584,'تحليل التكلفة والسعر'!$B$2:$B$700,0)),0))</f>
        <v/>
      </c>
    </row>
    <row r="1585" customFormat="false" ht="15" hidden="false" customHeight="false" outlineLevel="0" collapsed="false">
      <c r="A1585" s="102"/>
      <c r="E1585" s="103" t="str">
        <f aca="false">IF($C1585="","",IFERROR(INDEX(المنيو!$C$2:$C$500,MATCH($C1585,المنيو!$B$2:$B$500,0)),0))</f>
        <v/>
      </c>
      <c r="F1585" s="103" t="str">
        <f aca="false">IF($C1585="","",$D1585*$E1585)</f>
        <v/>
      </c>
      <c r="G1585" s="103" t="str">
        <f aca="false">IF($C1585="","",$D1585*IFERROR(INDEX('تحليل التكلفة والسعر'!$C$2:$C$700,MATCH($C1585,'تحليل التكلفة والسعر'!$B$2:$B$700,0)),0))</f>
        <v/>
      </c>
    </row>
    <row r="1586" customFormat="false" ht="15" hidden="false" customHeight="false" outlineLevel="0" collapsed="false">
      <c r="A1586" s="102"/>
      <c r="E1586" s="103" t="str">
        <f aca="false">IF($C1586="","",IFERROR(INDEX(المنيو!$C$2:$C$500,MATCH($C1586,المنيو!$B$2:$B$500,0)),0))</f>
        <v/>
      </c>
      <c r="F1586" s="103" t="str">
        <f aca="false">IF($C1586="","",$D1586*$E1586)</f>
        <v/>
      </c>
      <c r="G1586" s="103" t="str">
        <f aca="false">IF($C1586="","",$D1586*IFERROR(INDEX('تحليل التكلفة والسعر'!$C$2:$C$700,MATCH($C1586,'تحليل التكلفة والسعر'!$B$2:$B$700,0)),0))</f>
        <v/>
      </c>
    </row>
    <row r="1587" customFormat="false" ht="15" hidden="false" customHeight="false" outlineLevel="0" collapsed="false">
      <c r="A1587" s="102"/>
      <c r="E1587" s="103" t="str">
        <f aca="false">IF($C1587="","",IFERROR(INDEX(المنيو!$C$2:$C$500,MATCH($C1587,المنيو!$B$2:$B$500,0)),0))</f>
        <v/>
      </c>
      <c r="F1587" s="103" t="str">
        <f aca="false">IF($C1587="","",$D1587*$E1587)</f>
        <v/>
      </c>
      <c r="G1587" s="103" t="str">
        <f aca="false">IF($C1587="","",$D1587*IFERROR(INDEX('تحليل التكلفة والسعر'!$C$2:$C$700,MATCH($C1587,'تحليل التكلفة والسعر'!$B$2:$B$700,0)),0))</f>
        <v/>
      </c>
    </row>
    <row r="1588" customFormat="false" ht="15" hidden="false" customHeight="false" outlineLevel="0" collapsed="false">
      <c r="A1588" s="102"/>
      <c r="E1588" s="103" t="str">
        <f aca="false">IF($C1588="","",IFERROR(INDEX(المنيو!$C$2:$C$500,MATCH($C1588,المنيو!$B$2:$B$500,0)),0))</f>
        <v/>
      </c>
      <c r="F1588" s="103" t="str">
        <f aca="false">IF($C1588="","",$D1588*$E1588)</f>
        <v/>
      </c>
      <c r="G1588" s="103" t="str">
        <f aca="false">IF($C1588="","",$D1588*IFERROR(INDEX('تحليل التكلفة والسعر'!$C$2:$C$700,MATCH($C1588,'تحليل التكلفة والسعر'!$B$2:$B$700,0)),0))</f>
        <v/>
      </c>
    </row>
    <row r="1589" customFormat="false" ht="15" hidden="false" customHeight="false" outlineLevel="0" collapsed="false">
      <c r="A1589" s="102"/>
      <c r="E1589" s="103" t="str">
        <f aca="false">IF($C1589="","",IFERROR(INDEX(المنيو!$C$2:$C$500,MATCH($C1589,المنيو!$B$2:$B$500,0)),0))</f>
        <v/>
      </c>
      <c r="F1589" s="103" t="str">
        <f aca="false">IF($C1589="","",$D1589*$E1589)</f>
        <v/>
      </c>
      <c r="G1589" s="103" t="str">
        <f aca="false">IF($C1589="","",$D1589*IFERROR(INDEX('تحليل التكلفة والسعر'!$C$2:$C$700,MATCH($C1589,'تحليل التكلفة والسعر'!$B$2:$B$700,0)),0))</f>
        <v/>
      </c>
    </row>
    <row r="1590" customFormat="false" ht="15" hidden="false" customHeight="false" outlineLevel="0" collapsed="false">
      <c r="A1590" s="102"/>
      <c r="E1590" s="103" t="str">
        <f aca="false">IF($C1590="","",IFERROR(INDEX(المنيو!$C$2:$C$500,MATCH($C1590,المنيو!$B$2:$B$500,0)),0))</f>
        <v/>
      </c>
      <c r="F1590" s="103" t="str">
        <f aca="false">IF($C1590="","",$D1590*$E1590)</f>
        <v/>
      </c>
      <c r="G1590" s="103" t="str">
        <f aca="false">IF($C1590="","",$D1590*IFERROR(INDEX('تحليل التكلفة والسعر'!$C$2:$C$700,MATCH($C1590,'تحليل التكلفة والسعر'!$B$2:$B$700,0)),0))</f>
        <v/>
      </c>
    </row>
    <row r="1591" customFormat="false" ht="15" hidden="false" customHeight="false" outlineLevel="0" collapsed="false">
      <c r="A1591" s="102"/>
      <c r="E1591" s="103" t="str">
        <f aca="false">IF($C1591="","",IFERROR(INDEX(المنيو!$C$2:$C$500,MATCH($C1591,المنيو!$B$2:$B$500,0)),0))</f>
        <v/>
      </c>
      <c r="F1591" s="103" t="str">
        <f aca="false">IF($C1591="","",$D1591*$E1591)</f>
        <v/>
      </c>
      <c r="G1591" s="103" t="str">
        <f aca="false">IF($C1591="","",$D1591*IFERROR(INDEX('تحليل التكلفة والسعر'!$C$2:$C$700,MATCH($C1591,'تحليل التكلفة والسعر'!$B$2:$B$700,0)),0))</f>
        <v/>
      </c>
    </row>
    <row r="1592" customFormat="false" ht="15" hidden="false" customHeight="false" outlineLevel="0" collapsed="false">
      <c r="A1592" s="102"/>
      <c r="E1592" s="103" t="str">
        <f aca="false">IF($C1592="","",IFERROR(INDEX(المنيو!$C$2:$C$500,MATCH($C1592,المنيو!$B$2:$B$500,0)),0))</f>
        <v/>
      </c>
      <c r="F1592" s="103" t="str">
        <f aca="false">IF($C1592="","",$D1592*$E1592)</f>
        <v/>
      </c>
      <c r="G1592" s="103" t="str">
        <f aca="false">IF($C1592="","",$D1592*IFERROR(INDEX('تحليل التكلفة والسعر'!$C$2:$C$700,MATCH($C1592,'تحليل التكلفة والسعر'!$B$2:$B$700,0)),0))</f>
        <v/>
      </c>
    </row>
    <row r="1593" customFormat="false" ht="15" hidden="false" customHeight="false" outlineLevel="0" collapsed="false">
      <c r="A1593" s="102"/>
      <c r="E1593" s="103" t="str">
        <f aca="false">IF($C1593="","",IFERROR(INDEX(المنيو!$C$2:$C$500,MATCH($C1593,المنيو!$B$2:$B$500,0)),0))</f>
        <v/>
      </c>
      <c r="F1593" s="103" t="str">
        <f aca="false">IF($C1593="","",$D1593*$E1593)</f>
        <v/>
      </c>
      <c r="G1593" s="103" t="str">
        <f aca="false">IF($C1593="","",$D1593*IFERROR(INDEX('تحليل التكلفة والسعر'!$C$2:$C$700,MATCH($C1593,'تحليل التكلفة والسعر'!$B$2:$B$700,0)),0))</f>
        <v/>
      </c>
    </row>
    <row r="1594" customFormat="false" ht="15" hidden="false" customHeight="false" outlineLevel="0" collapsed="false">
      <c r="A1594" s="102"/>
      <c r="E1594" s="103" t="str">
        <f aca="false">IF($C1594="","",IFERROR(INDEX(المنيو!$C$2:$C$500,MATCH($C1594,المنيو!$B$2:$B$500,0)),0))</f>
        <v/>
      </c>
      <c r="F1594" s="103" t="str">
        <f aca="false">IF($C1594="","",$D1594*$E1594)</f>
        <v/>
      </c>
      <c r="G1594" s="103" t="str">
        <f aca="false">IF($C1594="","",$D1594*IFERROR(INDEX('تحليل التكلفة والسعر'!$C$2:$C$700,MATCH($C1594,'تحليل التكلفة والسعر'!$B$2:$B$700,0)),0))</f>
        <v/>
      </c>
    </row>
    <row r="1595" customFormat="false" ht="15" hidden="false" customHeight="false" outlineLevel="0" collapsed="false">
      <c r="A1595" s="102"/>
      <c r="E1595" s="103" t="str">
        <f aca="false">IF($C1595="","",IFERROR(INDEX(المنيو!$C$2:$C$500,MATCH($C1595,المنيو!$B$2:$B$500,0)),0))</f>
        <v/>
      </c>
      <c r="F1595" s="103" t="str">
        <f aca="false">IF($C1595="","",$D1595*$E1595)</f>
        <v/>
      </c>
      <c r="G1595" s="103" t="str">
        <f aca="false">IF($C1595="","",$D1595*IFERROR(INDEX('تحليل التكلفة والسعر'!$C$2:$C$700,MATCH($C1595,'تحليل التكلفة والسعر'!$B$2:$B$700,0)),0))</f>
        <v/>
      </c>
    </row>
    <row r="1596" customFormat="false" ht="15" hidden="false" customHeight="false" outlineLevel="0" collapsed="false">
      <c r="A1596" s="102"/>
      <c r="E1596" s="103" t="str">
        <f aca="false">IF($C1596="","",IFERROR(INDEX(المنيو!$C$2:$C$500,MATCH($C1596,المنيو!$B$2:$B$500,0)),0))</f>
        <v/>
      </c>
      <c r="F1596" s="103" t="str">
        <f aca="false">IF($C1596="","",$D1596*$E1596)</f>
        <v/>
      </c>
      <c r="G1596" s="103" t="str">
        <f aca="false">IF($C1596="","",$D1596*IFERROR(INDEX('تحليل التكلفة والسعر'!$C$2:$C$700,MATCH($C1596,'تحليل التكلفة والسعر'!$B$2:$B$700,0)),0))</f>
        <v/>
      </c>
    </row>
    <row r="1597" customFormat="false" ht="15" hidden="false" customHeight="false" outlineLevel="0" collapsed="false">
      <c r="A1597" s="102"/>
      <c r="E1597" s="103" t="str">
        <f aca="false">IF($C1597="","",IFERROR(INDEX(المنيو!$C$2:$C$500,MATCH($C1597,المنيو!$B$2:$B$500,0)),0))</f>
        <v/>
      </c>
      <c r="F1597" s="103" t="str">
        <f aca="false">IF($C1597="","",$D1597*$E1597)</f>
        <v/>
      </c>
      <c r="G1597" s="103" t="str">
        <f aca="false">IF($C1597="","",$D1597*IFERROR(INDEX('تحليل التكلفة والسعر'!$C$2:$C$700,MATCH($C1597,'تحليل التكلفة والسعر'!$B$2:$B$700,0)),0))</f>
        <v/>
      </c>
    </row>
    <row r="1598" customFormat="false" ht="15" hidden="false" customHeight="false" outlineLevel="0" collapsed="false">
      <c r="A1598" s="102"/>
      <c r="E1598" s="103" t="str">
        <f aca="false">IF($C1598="","",IFERROR(INDEX(المنيو!$C$2:$C$500,MATCH($C1598,المنيو!$B$2:$B$500,0)),0))</f>
        <v/>
      </c>
      <c r="F1598" s="103" t="str">
        <f aca="false">IF($C1598="","",$D1598*$E1598)</f>
        <v/>
      </c>
      <c r="G1598" s="103" t="str">
        <f aca="false">IF($C1598="","",$D1598*IFERROR(INDEX('تحليل التكلفة والسعر'!$C$2:$C$700,MATCH($C1598,'تحليل التكلفة والسعر'!$B$2:$B$700,0)),0))</f>
        <v/>
      </c>
    </row>
    <row r="1599" customFormat="false" ht="15" hidden="false" customHeight="false" outlineLevel="0" collapsed="false">
      <c r="A1599" s="102"/>
      <c r="E1599" s="103" t="str">
        <f aca="false">IF($C1599="","",IFERROR(INDEX(المنيو!$C$2:$C$500,MATCH($C1599,المنيو!$B$2:$B$500,0)),0))</f>
        <v/>
      </c>
      <c r="F1599" s="103" t="str">
        <f aca="false">IF($C1599="","",$D1599*$E1599)</f>
        <v/>
      </c>
      <c r="G1599" s="103" t="str">
        <f aca="false">IF($C1599="","",$D1599*IFERROR(INDEX('تحليل التكلفة والسعر'!$C$2:$C$700,MATCH($C1599,'تحليل التكلفة والسعر'!$B$2:$B$700,0)),0))</f>
        <v/>
      </c>
    </row>
    <row r="1600" customFormat="false" ht="15" hidden="false" customHeight="false" outlineLevel="0" collapsed="false">
      <c r="A1600" s="102"/>
      <c r="E1600" s="103" t="str">
        <f aca="false">IF($C1600="","",IFERROR(INDEX(المنيو!$C$2:$C$500,MATCH($C1600,المنيو!$B$2:$B$500,0)),0))</f>
        <v/>
      </c>
      <c r="F1600" s="103" t="str">
        <f aca="false">IF($C1600="","",$D1600*$E1600)</f>
        <v/>
      </c>
      <c r="G1600" s="103" t="str">
        <f aca="false">IF($C1600="","",$D1600*IFERROR(INDEX('تحليل التكلفة والسعر'!$C$2:$C$700,MATCH($C1600,'تحليل التكلفة والسعر'!$B$2:$B$700,0)),0))</f>
        <v/>
      </c>
    </row>
    <row r="1601" customFormat="false" ht="15" hidden="false" customHeight="false" outlineLevel="0" collapsed="false">
      <c r="A1601" s="102"/>
      <c r="E1601" s="103" t="str">
        <f aca="false">IF($C1601="","",IFERROR(INDEX(المنيو!$C$2:$C$500,MATCH($C1601,المنيو!$B$2:$B$500,0)),0))</f>
        <v/>
      </c>
      <c r="F1601" s="103" t="str">
        <f aca="false">IF($C1601="","",$D1601*$E1601)</f>
        <v/>
      </c>
      <c r="G1601" s="103" t="str">
        <f aca="false">IF($C1601="","",$D1601*IFERROR(INDEX('تحليل التكلفة والسعر'!$C$2:$C$700,MATCH($C1601,'تحليل التكلفة والسعر'!$B$2:$B$700,0)),0))</f>
        <v/>
      </c>
    </row>
    <row r="1602" customFormat="false" ht="15" hidden="false" customHeight="false" outlineLevel="0" collapsed="false">
      <c r="A1602" s="102"/>
      <c r="E1602" s="103" t="str">
        <f aca="false">IF($C1602="","",IFERROR(INDEX(المنيو!$C$2:$C$500,MATCH($C1602,المنيو!$B$2:$B$500,0)),0))</f>
        <v/>
      </c>
      <c r="F1602" s="103" t="str">
        <f aca="false">IF($C1602="","",$D1602*$E1602)</f>
        <v/>
      </c>
      <c r="G1602" s="103" t="str">
        <f aca="false">IF($C1602="","",$D1602*IFERROR(INDEX('تحليل التكلفة والسعر'!$C$2:$C$700,MATCH($C1602,'تحليل التكلفة والسعر'!$B$2:$B$700,0)),0))</f>
        <v/>
      </c>
    </row>
    <row r="1603" customFormat="false" ht="15" hidden="false" customHeight="false" outlineLevel="0" collapsed="false">
      <c r="A1603" s="102"/>
      <c r="E1603" s="103" t="str">
        <f aca="false">IF($C1603="","",IFERROR(INDEX(المنيو!$C$2:$C$500,MATCH($C1603,المنيو!$B$2:$B$500,0)),0))</f>
        <v/>
      </c>
      <c r="F1603" s="103" t="str">
        <f aca="false">IF($C1603="","",$D1603*$E1603)</f>
        <v/>
      </c>
      <c r="G1603" s="103" t="str">
        <f aca="false">IF($C1603="","",$D1603*IFERROR(INDEX('تحليل التكلفة والسعر'!$C$2:$C$700,MATCH($C1603,'تحليل التكلفة والسعر'!$B$2:$B$700,0)),0))</f>
        <v/>
      </c>
    </row>
    <row r="1604" customFormat="false" ht="15" hidden="false" customHeight="false" outlineLevel="0" collapsed="false">
      <c r="A1604" s="102"/>
      <c r="E1604" s="103" t="str">
        <f aca="false">IF($C1604="","",IFERROR(INDEX(المنيو!$C$2:$C$500,MATCH($C1604,المنيو!$B$2:$B$500,0)),0))</f>
        <v/>
      </c>
      <c r="F1604" s="103" t="str">
        <f aca="false">IF($C1604="","",$D1604*$E1604)</f>
        <v/>
      </c>
      <c r="G1604" s="103" t="str">
        <f aca="false">IF($C1604="","",$D1604*IFERROR(INDEX('تحليل التكلفة والسعر'!$C$2:$C$700,MATCH($C1604,'تحليل التكلفة والسعر'!$B$2:$B$700,0)),0))</f>
        <v/>
      </c>
    </row>
    <row r="1605" customFormat="false" ht="15" hidden="false" customHeight="false" outlineLevel="0" collapsed="false">
      <c r="A1605" s="102"/>
      <c r="E1605" s="103" t="str">
        <f aca="false">IF($C1605="","",IFERROR(INDEX(المنيو!$C$2:$C$500,MATCH($C1605,المنيو!$B$2:$B$500,0)),0))</f>
        <v/>
      </c>
      <c r="F1605" s="103" t="str">
        <f aca="false">IF($C1605="","",$D1605*$E1605)</f>
        <v/>
      </c>
      <c r="G1605" s="103" t="str">
        <f aca="false">IF($C1605="","",$D1605*IFERROR(INDEX('تحليل التكلفة والسعر'!$C$2:$C$700,MATCH($C1605,'تحليل التكلفة والسعر'!$B$2:$B$700,0)),0))</f>
        <v/>
      </c>
    </row>
    <row r="1606" customFormat="false" ht="15" hidden="false" customHeight="false" outlineLevel="0" collapsed="false">
      <c r="A1606" s="102"/>
      <c r="E1606" s="103" t="str">
        <f aca="false">IF($C1606="","",IFERROR(INDEX(المنيو!$C$2:$C$500,MATCH($C1606,المنيو!$B$2:$B$500,0)),0))</f>
        <v/>
      </c>
      <c r="F1606" s="103" t="str">
        <f aca="false">IF($C1606="","",$D1606*$E1606)</f>
        <v/>
      </c>
      <c r="G1606" s="103" t="str">
        <f aca="false">IF($C1606="","",$D1606*IFERROR(INDEX('تحليل التكلفة والسعر'!$C$2:$C$700,MATCH($C1606,'تحليل التكلفة والسعر'!$B$2:$B$700,0)),0))</f>
        <v/>
      </c>
    </row>
    <row r="1607" customFormat="false" ht="15" hidden="false" customHeight="false" outlineLevel="0" collapsed="false">
      <c r="A1607" s="102"/>
      <c r="E1607" s="103" t="str">
        <f aca="false">IF($C1607="","",IFERROR(INDEX(المنيو!$C$2:$C$500,MATCH($C1607,المنيو!$B$2:$B$500,0)),0))</f>
        <v/>
      </c>
      <c r="F1607" s="103" t="str">
        <f aca="false">IF($C1607="","",$D1607*$E1607)</f>
        <v/>
      </c>
      <c r="G1607" s="103" t="str">
        <f aca="false">IF($C1607="","",$D1607*IFERROR(INDEX('تحليل التكلفة والسعر'!$C$2:$C$700,MATCH($C1607,'تحليل التكلفة والسعر'!$B$2:$B$700,0)),0))</f>
        <v/>
      </c>
    </row>
    <row r="1608" customFormat="false" ht="15" hidden="false" customHeight="false" outlineLevel="0" collapsed="false">
      <c r="A1608" s="102"/>
      <c r="E1608" s="103" t="str">
        <f aca="false">IF($C1608="","",IFERROR(INDEX(المنيو!$C$2:$C$500,MATCH($C1608,المنيو!$B$2:$B$500,0)),0))</f>
        <v/>
      </c>
      <c r="F1608" s="103" t="str">
        <f aca="false">IF($C1608="","",$D1608*$E1608)</f>
        <v/>
      </c>
      <c r="G1608" s="103" t="str">
        <f aca="false">IF($C1608="","",$D1608*IFERROR(INDEX('تحليل التكلفة والسعر'!$C$2:$C$700,MATCH($C1608,'تحليل التكلفة والسعر'!$B$2:$B$700,0)),0))</f>
        <v/>
      </c>
    </row>
    <row r="1609" customFormat="false" ht="15" hidden="false" customHeight="false" outlineLevel="0" collapsed="false">
      <c r="A1609" s="102"/>
      <c r="E1609" s="103" t="str">
        <f aca="false">IF($C1609="","",IFERROR(INDEX(المنيو!$C$2:$C$500,MATCH($C1609,المنيو!$B$2:$B$500,0)),0))</f>
        <v/>
      </c>
      <c r="F1609" s="103" t="str">
        <f aca="false">IF($C1609="","",$D1609*$E1609)</f>
        <v/>
      </c>
      <c r="G1609" s="103" t="str">
        <f aca="false">IF($C1609="","",$D1609*IFERROR(INDEX('تحليل التكلفة والسعر'!$C$2:$C$700,MATCH($C1609,'تحليل التكلفة والسعر'!$B$2:$B$700,0)),0))</f>
        <v/>
      </c>
    </row>
    <row r="1610" customFormat="false" ht="15" hidden="false" customHeight="false" outlineLevel="0" collapsed="false">
      <c r="A1610" s="102"/>
      <c r="E1610" s="103" t="str">
        <f aca="false">IF($C1610="","",IFERROR(INDEX(المنيو!$C$2:$C$500,MATCH($C1610,المنيو!$B$2:$B$500,0)),0))</f>
        <v/>
      </c>
      <c r="F1610" s="103" t="str">
        <f aca="false">IF($C1610="","",$D1610*$E1610)</f>
        <v/>
      </c>
      <c r="G1610" s="103" t="str">
        <f aca="false">IF($C1610="","",$D1610*IFERROR(INDEX('تحليل التكلفة والسعر'!$C$2:$C$700,MATCH($C1610,'تحليل التكلفة والسعر'!$B$2:$B$700,0)),0))</f>
        <v/>
      </c>
    </row>
    <row r="1611" customFormat="false" ht="15" hidden="false" customHeight="false" outlineLevel="0" collapsed="false">
      <c r="A1611" s="102"/>
      <c r="E1611" s="103" t="str">
        <f aca="false">IF($C1611="","",IFERROR(INDEX(المنيو!$C$2:$C$500,MATCH($C1611,المنيو!$B$2:$B$500,0)),0))</f>
        <v/>
      </c>
      <c r="F1611" s="103" t="str">
        <f aca="false">IF($C1611="","",$D1611*$E1611)</f>
        <v/>
      </c>
      <c r="G1611" s="103" t="str">
        <f aca="false">IF($C1611="","",$D1611*IFERROR(INDEX('تحليل التكلفة والسعر'!$C$2:$C$700,MATCH($C1611,'تحليل التكلفة والسعر'!$B$2:$B$700,0)),0))</f>
        <v/>
      </c>
    </row>
    <row r="1612" customFormat="false" ht="15" hidden="false" customHeight="false" outlineLevel="0" collapsed="false">
      <c r="A1612" s="102"/>
      <c r="E1612" s="103" t="str">
        <f aca="false">IF($C1612="","",IFERROR(INDEX(المنيو!$C$2:$C$500,MATCH($C1612,المنيو!$B$2:$B$500,0)),0))</f>
        <v/>
      </c>
      <c r="F1612" s="103" t="str">
        <f aca="false">IF($C1612="","",$D1612*$E1612)</f>
        <v/>
      </c>
      <c r="G1612" s="103" t="str">
        <f aca="false">IF($C1612="","",$D1612*IFERROR(INDEX('تحليل التكلفة والسعر'!$C$2:$C$700,MATCH($C1612,'تحليل التكلفة والسعر'!$B$2:$B$700,0)),0))</f>
        <v/>
      </c>
    </row>
    <row r="1613" customFormat="false" ht="15" hidden="false" customHeight="false" outlineLevel="0" collapsed="false">
      <c r="A1613" s="102"/>
      <c r="E1613" s="103" t="str">
        <f aca="false">IF($C1613="","",IFERROR(INDEX(المنيو!$C$2:$C$500,MATCH($C1613,المنيو!$B$2:$B$500,0)),0))</f>
        <v/>
      </c>
      <c r="F1613" s="103" t="str">
        <f aca="false">IF($C1613="","",$D1613*$E1613)</f>
        <v/>
      </c>
      <c r="G1613" s="103" t="str">
        <f aca="false">IF($C1613="","",$D1613*IFERROR(INDEX('تحليل التكلفة والسعر'!$C$2:$C$700,MATCH($C1613,'تحليل التكلفة والسعر'!$B$2:$B$700,0)),0))</f>
        <v/>
      </c>
    </row>
    <row r="1614" customFormat="false" ht="15" hidden="false" customHeight="false" outlineLevel="0" collapsed="false">
      <c r="A1614" s="102"/>
      <c r="E1614" s="103" t="str">
        <f aca="false">IF($C1614="","",IFERROR(INDEX(المنيو!$C$2:$C$500,MATCH($C1614,المنيو!$B$2:$B$500,0)),0))</f>
        <v/>
      </c>
      <c r="F1614" s="103" t="str">
        <f aca="false">IF($C1614="","",$D1614*$E1614)</f>
        <v/>
      </c>
      <c r="G1614" s="103" t="str">
        <f aca="false">IF($C1614="","",$D1614*IFERROR(INDEX('تحليل التكلفة والسعر'!$C$2:$C$700,MATCH($C1614,'تحليل التكلفة والسعر'!$B$2:$B$700,0)),0))</f>
        <v/>
      </c>
    </row>
    <row r="1615" customFormat="false" ht="15" hidden="false" customHeight="false" outlineLevel="0" collapsed="false">
      <c r="A1615" s="102"/>
      <c r="E1615" s="103" t="str">
        <f aca="false">IF($C1615="","",IFERROR(INDEX(المنيو!$C$2:$C$500,MATCH($C1615,المنيو!$B$2:$B$500,0)),0))</f>
        <v/>
      </c>
      <c r="F1615" s="103" t="str">
        <f aca="false">IF($C1615="","",$D1615*$E1615)</f>
        <v/>
      </c>
      <c r="G1615" s="103" t="str">
        <f aca="false">IF($C1615="","",$D1615*IFERROR(INDEX('تحليل التكلفة والسعر'!$C$2:$C$700,MATCH($C1615,'تحليل التكلفة والسعر'!$B$2:$B$700,0)),0))</f>
        <v/>
      </c>
    </row>
    <row r="1616" customFormat="false" ht="15" hidden="false" customHeight="false" outlineLevel="0" collapsed="false">
      <c r="A1616" s="102"/>
      <c r="E1616" s="103" t="str">
        <f aca="false">IF($C1616="","",IFERROR(INDEX(المنيو!$C$2:$C$500,MATCH($C1616,المنيو!$B$2:$B$500,0)),0))</f>
        <v/>
      </c>
      <c r="F1616" s="103" t="str">
        <f aca="false">IF($C1616="","",$D1616*$E1616)</f>
        <v/>
      </c>
      <c r="G1616" s="103" t="str">
        <f aca="false">IF($C1616="","",$D1616*IFERROR(INDEX('تحليل التكلفة والسعر'!$C$2:$C$700,MATCH($C1616,'تحليل التكلفة والسعر'!$B$2:$B$700,0)),0))</f>
        <v/>
      </c>
    </row>
    <row r="1617" customFormat="false" ht="15" hidden="false" customHeight="false" outlineLevel="0" collapsed="false">
      <c r="A1617" s="102"/>
      <c r="E1617" s="103" t="str">
        <f aca="false">IF($C1617="","",IFERROR(INDEX(المنيو!$C$2:$C$500,MATCH($C1617,المنيو!$B$2:$B$500,0)),0))</f>
        <v/>
      </c>
      <c r="F1617" s="103" t="str">
        <f aca="false">IF($C1617="","",$D1617*$E1617)</f>
        <v/>
      </c>
      <c r="G1617" s="103" t="str">
        <f aca="false">IF($C1617="","",$D1617*IFERROR(INDEX('تحليل التكلفة والسعر'!$C$2:$C$700,MATCH($C1617,'تحليل التكلفة والسعر'!$B$2:$B$700,0)),0))</f>
        <v/>
      </c>
    </row>
    <row r="1618" customFormat="false" ht="15" hidden="false" customHeight="false" outlineLevel="0" collapsed="false">
      <c r="A1618" s="102"/>
      <c r="E1618" s="103" t="str">
        <f aca="false">IF($C1618="","",IFERROR(INDEX(المنيو!$C$2:$C$500,MATCH($C1618,المنيو!$B$2:$B$500,0)),0))</f>
        <v/>
      </c>
      <c r="F1618" s="103" t="str">
        <f aca="false">IF($C1618="","",$D1618*$E1618)</f>
        <v/>
      </c>
      <c r="G1618" s="103" t="str">
        <f aca="false">IF($C1618="","",$D1618*IFERROR(INDEX('تحليل التكلفة والسعر'!$C$2:$C$700,MATCH($C1618,'تحليل التكلفة والسعر'!$B$2:$B$700,0)),0))</f>
        <v/>
      </c>
    </row>
    <row r="1619" customFormat="false" ht="15" hidden="false" customHeight="false" outlineLevel="0" collapsed="false">
      <c r="A1619" s="102"/>
      <c r="E1619" s="103" t="str">
        <f aca="false">IF($C1619="","",IFERROR(INDEX(المنيو!$C$2:$C$500,MATCH($C1619,المنيو!$B$2:$B$500,0)),0))</f>
        <v/>
      </c>
      <c r="F1619" s="103" t="str">
        <f aca="false">IF($C1619="","",$D1619*$E1619)</f>
        <v/>
      </c>
      <c r="G1619" s="103" t="str">
        <f aca="false">IF($C1619="","",$D1619*IFERROR(INDEX('تحليل التكلفة والسعر'!$C$2:$C$700,MATCH($C1619,'تحليل التكلفة والسعر'!$B$2:$B$700,0)),0))</f>
        <v/>
      </c>
    </row>
    <row r="1620" customFormat="false" ht="15" hidden="false" customHeight="false" outlineLevel="0" collapsed="false">
      <c r="A1620" s="102"/>
      <c r="E1620" s="103" t="str">
        <f aca="false">IF($C1620="","",IFERROR(INDEX(المنيو!$C$2:$C$500,MATCH($C1620,المنيو!$B$2:$B$500,0)),0))</f>
        <v/>
      </c>
      <c r="F1620" s="103" t="str">
        <f aca="false">IF($C1620="","",$D1620*$E1620)</f>
        <v/>
      </c>
      <c r="G1620" s="103" t="str">
        <f aca="false">IF($C1620="","",$D1620*IFERROR(INDEX('تحليل التكلفة والسعر'!$C$2:$C$700,MATCH($C1620,'تحليل التكلفة والسعر'!$B$2:$B$700,0)),0))</f>
        <v/>
      </c>
    </row>
    <row r="1621" customFormat="false" ht="15" hidden="false" customHeight="false" outlineLevel="0" collapsed="false">
      <c r="A1621" s="102"/>
      <c r="E1621" s="103" t="str">
        <f aca="false">IF($C1621="","",IFERROR(INDEX(المنيو!$C$2:$C$500,MATCH($C1621,المنيو!$B$2:$B$500,0)),0))</f>
        <v/>
      </c>
      <c r="F1621" s="103" t="str">
        <f aca="false">IF($C1621="","",$D1621*$E1621)</f>
        <v/>
      </c>
      <c r="G1621" s="103" t="str">
        <f aca="false">IF($C1621="","",$D1621*IFERROR(INDEX('تحليل التكلفة والسعر'!$C$2:$C$700,MATCH($C1621,'تحليل التكلفة والسعر'!$B$2:$B$700,0)),0))</f>
        <v/>
      </c>
    </row>
    <row r="1622" customFormat="false" ht="15" hidden="false" customHeight="false" outlineLevel="0" collapsed="false">
      <c r="A1622" s="102"/>
      <c r="E1622" s="103" t="str">
        <f aca="false">IF($C1622="","",IFERROR(INDEX(المنيو!$C$2:$C$500,MATCH($C1622,المنيو!$B$2:$B$500,0)),0))</f>
        <v/>
      </c>
      <c r="F1622" s="103" t="str">
        <f aca="false">IF($C1622="","",$D1622*$E1622)</f>
        <v/>
      </c>
      <c r="G1622" s="103" t="str">
        <f aca="false">IF($C1622="","",$D1622*IFERROR(INDEX('تحليل التكلفة والسعر'!$C$2:$C$700,MATCH($C1622,'تحليل التكلفة والسعر'!$B$2:$B$700,0)),0))</f>
        <v/>
      </c>
    </row>
    <row r="1623" customFormat="false" ht="15" hidden="false" customHeight="false" outlineLevel="0" collapsed="false">
      <c r="A1623" s="102"/>
      <c r="E1623" s="103" t="str">
        <f aca="false">IF($C1623="","",IFERROR(INDEX(المنيو!$C$2:$C$500,MATCH($C1623,المنيو!$B$2:$B$500,0)),0))</f>
        <v/>
      </c>
      <c r="F1623" s="103" t="str">
        <f aca="false">IF($C1623="","",$D1623*$E1623)</f>
        <v/>
      </c>
      <c r="G1623" s="103" t="str">
        <f aca="false">IF($C1623="","",$D1623*IFERROR(INDEX('تحليل التكلفة والسعر'!$C$2:$C$700,MATCH($C1623,'تحليل التكلفة والسعر'!$B$2:$B$700,0)),0))</f>
        <v/>
      </c>
    </row>
    <row r="1624" customFormat="false" ht="15" hidden="false" customHeight="false" outlineLevel="0" collapsed="false">
      <c r="A1624" s="102"/>
      <c r="E1624" s="103" t="str">
        <f aca="false">IF($C1624="","",IFERROR(INDEX(المنيو!$C$2:$C$500,MATCH($C1624,المنيو!$B$2:$B$500,0)),0))</f>
        <v/>
      </c>
      <c r="F1624" s="103" t="str">
        <f aca="false">IF($C1624="","",$D1624*$E1624)</f>
        <v/>
      </c>
      <c r="G1624" s="103" t="str">
        <f aca="false">IF($C1624="","",$D1624*IFERROR(INDEX('تحليل التكلفة والسعر'!$C$2:$C$700,MATCH($C1624,'تحليل التكلفة والسعر'!$B$2:$B$700,0)),0))</f>
        <v/>
      </c>
    </row>
    <row r="1625" customFormat="false" ht="15" hidden="false" customHeight="false" outlineLevel="0" collapsed="false">
      <c r="A1625" s="102"/>
      <c r="E1625" s="103" t="str">
        <f aca="false">IF($C1625="","",IFERROR(INDEX(المنيو!$C$2:$C$500,MATCH($C1625,المنيو!$B$2:$B$500,0)),0))</f>
        <v/>
      </c>
      <c r="F1625" s="103" t="str">
        <f aca="false">IF($C1625="","",$D1625*$E1625)</f>
        <v/>
      </c>
      <c r="G1625" s="103" t="str">
        <f aca="false">IF($C1625="","",$D1625*IFERROR(INDEX('تحليل التكلفة والسعر'!$C$2:$C$700,MATCH($C1625,'تحليل التكلفة والسعر'!$B$2:$B$700,0)),0))</f>
        <v/>
      </c>
    </row>
    <row r="1626" customFormat="false" ht="15" hidden="false" customHeight="false" outlineLevel="0" collapsed="false">
      <c r="A1626" s="102"/>
      <c r="E1626" s="103" t="str">
        <f aca="false">IF($C1626="","",IFERROR(INDEX(المنيو!$C$2:$C$500,MATCH($C1626,المنيو!$B$2:$B$500,0)),0))</f>
        <v/>
      </c>
      <c r="F1626" s="103" t="str">
        <f aca="false">IF($C1626="","",$D1626*$E1626)</f>
        <v/>
      </c>
      <c r="G1626" s="103" t="str">
        <f aca="false">IF($C1626="","",$D1626*IFERROR(INDEX('تحليل التكلفة والسعر'!$C$2:$C$700,MATCH($C1626,'تحليل التكلفة والسعر'!$B$2:$B$700,0)),0))</f>
        <v/>
      </c>
    </row>
    <row r="1627" customFormat="false" ht="15" hidden="false" customHeight="false" outlineLevel="0" collapsed="false">
      <c r="A1627" s="102"/>
      <c r="E1627" s="103" t="str">
        <f aca="false">IF($C1627="","",IFERROR(INDEX(المنيو!$C$2:$C$500,MATCH($C1627,المنيو!$B$2:$B$500,0)),0))</f>
        <v/>
      </c>
      <c r="F1627" s="103" t="str">
        <f aca="false">IF($C1627="","",$D1627*$E1627)</f>
        <v/>
      </c>
      <c r="G1627" s="103" t="str">
        <f aca="false">IF($C1627="","",$D1627*IFERROR(INDEX('تحليل التكلفة والسعر'!$C$2:$C$700,MATCH($C1627,'تحليل التكلفة والسعر'!$B$2:$B$700,0)),0))</f>
        <v/>
      </c>
    </row>
    <row r="1628" customFormat="false" ht="15" hidden="false" customHeight="false" outlineLevel="0" collapsed="false">
      <c r="A1628" s="102"/>
      <c r="E1628" s="103" t="str">
        <f aca="false">IF($C1628="","",IFERROR(INDEX(المنيو!$C$2:$C$500,MATCH($C1628,المنيو!$B$2:$B$500,0)),0))</f>
        <v/>
      </c>
      <c r="F1628" s="103" t="str">
        <f aca="false">IF($C1628="","",$D1628*$E1628)</f>
        <v/>
      </c>
      <c r="G1628" s="103" t="str">
        <f aca="false">IF($C1628="","",$D1628*IFERROR(INDEX('تحليل التكلفة والسعر'!$C$2:$C$700,MATCH($C1628,'تحليل التكلفة والسعر'!$B$2:$B$700,0)),0))</f>
        <v/>
      </c>
    </row>
    <row r="1629" customFormat="false" ht="15" hidden="false" customHeight="false" outlineLevel="0" collapsed="false">
      <c r="A1629" s="102"/>
      <c r="E1629" s="103" t="str">
        <f aca="false">IF($C1629="","",IFERROR(INDEX(المنيو!$C$2:$C$500,MATCH($C1629,المنيو!$B$2:$B$500,0)),0))</f>
        <v/>
      </c>
      <c r="F1629" s="103" t="str">
        <f aca="false">IF($C1629="","",$D1629*$E1629)</f>
        <v/>
      </c>
      <c r="G1629" s="103" t="str">
        <f aca="false">IF($C1629="","",$D1629*IFERROR(INDEX('تحليل التكلفة والسعر'!$C$2:$C$700,MATCH($C1629,'تحليل التكلفة والسعر'!$B$2:$B$700,0)),0))</f>
        <v/>
      </c>
    </row>
    <row r="1630" customFormat="false" ht="15" hidden="false" customHeight="false" outlineLevel="0" collapsed="false">
      <c r="A1630" s="102"/>
      <c r="E1630" s="103" t="str">
        <f aca="false">IF($C1630="","",IFERROR(INDEX(المنيو!$C$2:$C$500,MATCH($C1630,المنيو!$B$2:$B$500,0)),0))</f>
        <v/>
      </c>
      <c r="F1630" s="103" t="str">
        <f aca="false">IF($C1630="","",$D1630*$E1630)</f>
        <v/>
      </c>
      <c r="G1630" s="103" t="str">
        <f aca="false">IF($C1630="","",$D1630*IFERROR(INDEX('تحليل التكلفة والسعر'!$C$2:$C$700,MATCH($C1630,'تحليل التكلفة والسعر'!$B$2:$B$700,0)),0))</f>
        <v/>
      </c>
    </row>
    <row r="1631" customFormat="false" ht="15" hidden="false" customHeight="false" outlineLevel="0" collapsed="false">
      <c r="A1631" s="102"/>
      <c r="E1631" s="103" t="str">
        <f aca="false">IF($C1631="","",IFERROR(INDEX(المنيو!$C$2:$C$500,MATCH($C1631,المنيو!$B$2:$B$500,0)),0))</f>
        <v/>
      </c>
      <c r="F1631" s="103" t="str">
        <f aca="false">IF($C1631="","",$D1631*$E1631)</f>
        <v/>
      </c>
      <c r="G1631" s="103" t="str">
        <f aca="false">IF($C1631="","",$D1631*IFERROR(INDEX('تحليل التكلفة والسعر'!$C$2:$C$700,MATCH($C1631,'تحليل التكلفة والسعر'!$B$2:$B$700,0)),0))</f>
        <v/>
      </c>
    </row>
    <row r="1632" customFormat="false" ht="15" hidden="false" customHeight="false" outlineLevel="0" collapsed="false">
      <c r="A1632" s="102"/>
      <c r="E1632" s="103" t="str">
        <f aca="false">IF($C1632="","",IFERROR(INDEX(المنيو!$C$2:$C$500,MATCH($C1632,المنيو!$B$2:$B$500,0)),0))</f>
        <v/>
      </c>
      <c r="F1632" s="103" t="str">
        <f aca="false">IF($C1632="","",$D1632*$E1632)</f>
        <v/>
      </c>
      <c r="G1632" s="103" t="str">
        <f aca="false">IF($C1632="","",$D1632*IFERROR(INDEX('تحليل التكلفة والسعر'!$C$2:$C$700,MATCH($C1632,'تحليل التكلفة والسعر'!$B$2:$B$700,0)),0))</f>
        <v/>
      </c>
    </row>
    <row r="1633" customFormat="false" ht="15" hidden="false" customHeight="false" outlineLevel="0" collapsed="false">
      <c r="A1633" s="102"/>
      <c r="E1633" s="103" t="str">
        <f aca="false">IF($C1633="","",IFERROR(INDEX(المنيو!$C$2:$C$500,MATCH($C1633,المنيو!$B$2:$B$500,0)),0))</f>
        <v/>
      </c>
      <c r="F1633" s="103" t="str">
        <f aca="false">IF($C1633="","",$D1633*$E1633)</f>
        <v/>
      </c>
      <c r="G1633" s="103" t="str">
        <f aca="false">IF($C1633="","",$D1633*IFERROR(INDEX('تحليل التكلفة والسعر'!$C$2:$C$700,MATCH($C1633,'تحليل التكلفة والسعر'!$B$2:$B$700,0)),0))</f>
        <v/>
      </c>
    </row>
    <row r="1634" customFormat="false" ht="15" hidden="false" customHeight="false" outlineLevel="0" collapsed="false">
      <c r="A1634" s="102"/>
      <c r="E1634" s="103" t="str">
        <f aca="false">IF($C1634="","",IFERROR(INDEX(المنيو!$C$2:$C$500,MATCH($C1634,المنيو!$B$2:$B$500,0)),0))</f>
        <v/>
      </c>
      <c r="F1634" s="103" t="str">
        <f aca="false">IF($C1634="","",$D1634*$E1634)</f>
        <v/>
      </c>
      <c r="G1634" s="103" t="str">
        <f aca="false">IF($C1634="","",$D1634*IFERROR(INDEX('تحليل التكلفة والسعر'!$C$2:$C$700,MATCH($C1634,'تحليل التكلفة والسعر'!$B$2:$B$700,0)),0))</f>
        <v/>
      </c>
    </row>
    <row r="1635" customFormat="false" ht="15" hidden="false" customHeight="false" outlineLevel="0" collapsed="false">
      <c r="A1635" s="102"/>
      <c r="E1635" s="103" t="str">
        <f aca="false">IF($C1635="","",IFERROR(INDEX(المنيو!$C$2:$C$500,MATCH($C1635,المنيو!$B$2:$B$500,0)),0))</f>
        <v/>
      </c>
      <c r="F1635" s="103" t="str">
        <f aca="false">IF($C1635="","",$D1635*$E1635)</f>
        <v/>
      </c>
      <c r="G1635" s="103" t="str">
        <f aca="false">IF($C1635="","",$D1635*IFERROR(INDEX('تحليل التكلفة والسعر'!$C$2:$C$700,MATCH($C1635,'تحليل التكلفة والسعر'!$B$2:$B$700,0)),0))</f>
        <v/>
      </c>
    </row>
    <row r="1636" customFormat="false" ht="15" hidden="false" customHeight="false" outlineLevel="0" collapsed="false">
      <c r="A1636" s="102"/>
      <c r="E1636" s="103" t="str">
        <f aca="false">IF($C1636="","",IFERROR(INDEX(المنيو!$C$2:$C$500,MATCH($C1636,المنيو!$B$2:$B$500,0)),0))</f>
        <v/>
      </c>
      <c r="F1636" s="103" t="str">
        <f aca="false">IF($C1636="","",$D1636*$E1636)</f>
        <v/>
      </c>
      <c r="G1636" s="103" t="str">
        <f aca="false">IF($C1636="","",$D1636*IFERROR(INDEX('تحليل التكلفة والسعر'!$C$2:$C$700,MATCH($C1636,'تحليل التكلفة والسعر'!$B$2:$B$700,0)),0))</f>
        <v/>
      </c>
    </row>
    <row r="1637" customFormat="false" ht="15" hidden="false" customHeight="false" outlineLevel="0" collapsed="false">
      <c r="A1637" s="102"/>
      <c r="E1637" s="103" t="str">
        <f aca="false">IF($C1637="","",IFERROR(INDEX(المنيو!$C$2:$C$500,MATCH($C1637,المنيو!$B$2:$B$500,0)),0))</f>
        <v/>
      </c>
      <c r="F1637" s="103" t="str">
        <f aca="false">IF($C1637="","",$D1637*$E1637)</f>
        <v/>
      </c>
      <c r="G1637" s="103" t="str">
        <f aca="false">IF($C1637="","",$D1637*IFERROR(INDEX('تحليل التكلفة والسعر'!$C$2:$C$700,MATCH($C1637,'تحليل التكلفة والسعر'!$B$2:$B$700,0)),0))</f>
        <v/>
      </c>
    </row>
    <row r="1638" customFormat="false" ht="15" hidden="false" customHeight="false" outlineLevel="0" collapsed="false">
      <c r="A1638" s="102"/>
      <c r="E1638" s="103" t="str">
        <f aca="false">IF($C1638="","",IFERROR(INDEX(المنيو!$C$2:$C$500,MATCH($C1638,المنيو!$B$2:$B$500,0)),0))</f>
        <v/>
      </c>
      <c r="F1638" s="103" t="str">
        <f aca="false">IF($C1638="","",$D1638*$E1638)</f>
        <v/>
      </c>
      <c r="G1638" s="103" t="str">
        <f aca="false">IF($C1638="","",$D1638*IFERROR(INDEX('تحليل التكلفة والسعر'!$C$2:$C$700,MATCH($C1638,'تحليل التكلفة والسعر'!$B$2:$B$700,0)),0))</f>
        <v/>
      </c>
    </row>
    <row r="1639" customFormat="false" ht="15" hidden="false" customHeight="false" outlineLevel="0" collapsed="false">
      <c r="A1639" s="102"/>
      <c r="E1639" s="103" t="str">
        <f aca="false">IF($C1639="","",IFERROR(INDEX(المنيو!$C$2:$C$500,MATCH($C1639,المنيو!$B$2:$B$500,0)),0))</f>
        <v/>
      </c>
      <c r="F1639" s="103" t="str">
        <f aca="false">IF($C1639="","",$D1639*$E1639)</f>
        <v/>
      </c>
      <c r="G1639" s="103" t="str">
        <f aca="false">IF($C1639="","",$D1639*IFERROR(INDEX('تحليل التكلفة والسعر'!$C$2:$C$700,MATCH($C1639,'تحليل التكلفة والسعر'!$B$2:$B$700,0)),0))</f>
        <v/>
      </c>
    </row>
    <row r="1640" customFormat="false" ht="15" hidden="false" customHeight="false" outlineLevel="0" collapsed="false">
      <c r="A1640" s="102"/>
      <c r="E1640" s="103" t="str">
        <f aca="false">IF($C1640="","",IFERROR(INDEX(المنيو!$C$2:$C$500,MATCH($C1640,المنيو!$B$2:$B$500,0)),0))</f>
        <v/>
      </c>
      <c r="F1640" s="103" t="str">
        <f aca="false">IF($C1640="","",$D1640*$E1640)</f>
        <v/>
      </c>
      <c r="G1640" s="103" t="str">
        <f aca="false">IF($C1640="","",$D1640*IFERROR(INDEX('تحليل التكلفة والسعر'!$C$2:$C$700,MATCH($C1640,'تحليل التكلفة والسعر'!$B$2:$B$700,0)),0))</f>
        <v/>
      </c>
    </row>
    <row r="1641" customFormat="false" ht="15" hidden="false" customHeight="false" outlineLevel="0" collapsed="false">
      <c r="A1641" s="102"/>
      <c r="E1641" s="103" t="str">
        <f aca="false">IF($C1641="","",IFERROR(INDEX(المنيو!$C$2:$C$500,MATCH($C1641,المنيو!$B$2:$B$500,0)),0))</f>
        <v/>
      </c>
      <c r="F1641" s="103" t="str">
        <f aca="false">IF($C1641="","",$D1641*$E1641)</f>
        <v/>
      </c>
      <c r="G1641" s="103" t="str">
        <f aca="false">IF($C1641="","",$D1641*IFERROR(INDEX('تحليل التكلفة والسعر'!$C$2:$C$700,MATCH($C1641,'تحليل التكلفة والسعر'!$B$2:$B$700,0)),0))</f>
        <v/>
      </c>
    </row>
    <row r="1642" customFormat="false" ht="15" hidden="false" customHeight="false" outlineLevel="0" collapsed="false">
      <c r="A1642" s="102"/>
      <c r="E1642" s="103" t="str">
        <f aca="false">IF($C1642="","",IFERROR(INDEX(المنيو!$C$2:$C$500,MATCH($C1642,المنيو!$B$2:$B$500,0)),0))</f>
        <v/>
      </c>
      <c r="F1642" s="103" t="str">
        <f aca="false">IF($C1642="","",$D1642*$E1642)</f>
        <v/>
      </c>
      <c r="G1642" s="103" t="str">
        <f aca="false">IF($C1642="","",$D1642*IFERROR(INDEX('تحليل التكلفة والسعر'!$C$2:$C$700,MATCH($C1642,'تحليل التكلفة والسعر'!$B$2:$B$700,0)),0))</f>
        <v/>
      </c>
    </row>
    <row r="1643" customFormat="false" ht="15" hidden="false" customHeight="false" outlineLevel="0" collapsed="false">
      <c r="A1643" s="102"/>
      <c r="E1643" s="103" t="str">
        <f aca="false">IF($C1643="","",IFERROR(INDEX(المنيو!$C$2:$C$500,MATCH($C1643,المنيو!$B$2:$B$500,0)),0))</f>
        <v/>
      </c>
      <c r="F1643" s="103" t="str">
        <f aca="false">IF($C1643="","",$D1643*$E1643)</f>
        <v/>
      </c>
      <c r="G1643" s="103" t="str">
        <f aca="false">IF($C1643="","",$D1643*IFERROR(INDEX('تحليل التكلفة والسعر'!$C$2:$C$700,MATCH($C1643,'تحليل التكلفة والسعر'!$B$2:$B$700,0)),0))</f>
        <v/>
      </c>
    </row>
    <row r="1644" customFormat="false" ht="15" hidden="false" customHeight="false" outlineLevel="0" collapsed="false">
      <c r="A1644" s="102"/>
      <c r="E1644" s="103" t="str">
        <f aca="false">IF($C1644="","",IFERROR(INDEX(المنيو!$C$2:$C$500,MATCH($C1644,المنيو!$B$2:$B$500,0)),0))</f>
        <v/>
      </c>
      <c r="F1644" s="103" t="str">
        <f aca="false">IF($C1644="","",$D1644*$E1644)</f>
        <v/>
      </c>
      <c r="G1644" s="103" t="str">
        <f aca="false">IF($C1644="","",$D1644*IFERROR(INDEX('تحليل التكلفة والسعر'!$C$2:$C$700,MATCH($C1644,'تحليل التكلفة والسعر'!$B$2:$B$700,0)),0))</f>
        <v/>
      </c>
    </row>
    <row r="1645" customFormat="false" ht="15" hidden="false" customHeight="false" outlineLevel="0" collapsed="false">
      <c r="A1645" s="102"/>
      <c r="E1645" s="103" t="str">
        <f aca="false">IF($C1645="","",IFERROR(INDEX(المنيو!$C$2:$C$500,MATCH($C1645,المنيو!$B$2:$B$500,0)),0))</f>
        <v/>
      </c>
      <c r="F1645" s="103" t="str">
        <f aca="false">IF($C1645="","",$D1645*$E1645)</f>
        <v/>
      </c>
      <c r="G1645" s="103" t="str">
        <f aca="false">IF($C1645="","",$D1645*IFERROR(INDEX('تحليل التكلفة والسعر'!$C$2:$C$700,MATCH($C1645,'تحليل التكلفة والسعر'!$B$2:$B$700,0)),0))</f>
        <v/>
      </c>
    </row>
    <row r="1646" customFormat="false" ht="15" hidden="false" customHeight="false" outlineLevel="0" collapsed="false">
      <c r="A1646" s="102"/>
      <c r="E1646" s="103" t="str">
        <f aca="false">IF($C1646="","",IFERROR(INDEX(المنيو!$C$2:$C$500,MATCH($C1646,المنيو!$B$2:$B$500,0)),0))</f>
        <v/>
      </c>
      <c r="F1646" s="103" t="str">
        <f aca="false">IF($C1646="","",$D1646*$E1646)</f>
        <v/>
      </c>
      <c r="G1646" s="103" t="str">
        <f aca="false">IF($C1646="","",$D1646*IFERROR(INDEX('تحليل التكلفة والسعر'!$C$2:$C$700,MATCH($C1646,'تحليل التكلفة والسعر'!$B$2:$B$700,0)),0))</f>
        <v/>
      </c>
    </row>
    <row r="1647" customFormat="false" ht="15" hidden="false" customHeight="false" outlineLevel="0" collapsed="false">
      <c r="A1647" s="102"/>
      <c r="E1647" s="103" t="str">
        <f aca="false">IF($C1647="","",IFERROR(INDEX(المنيو!$C$2:$C$500,MATCH($C1647,المنيو!$B$2:$B$500,0)),0))</f>
        <v/>
      </c>
      <c r="F1647" s="103" t="str">
        <f aca="false">IF($C1647="","",$D1647*$E1647)</f>
        <v/>
      </c>
      <c r="G1647" s="103" t="str">
        <f aca="false">IF($C1647="","",$D1647*IFERROR(INDEX('تحليل التكلفة والسعر'!$C$2:$C$700,MATCH($C1647,'تحليل التكلفة والسعر'!$B$2:$B$700,0)),0))</f>
        <v/>
      </c>
    </row>
    <row r="1648" customFormat="false" ht="15" hidden="false" customHeight="false" outlineLevel="0" collapsed="false">
      <c r="A1648" s="102"/>
      <c r="E1648" s="103" t="str">
        <f aca="false">IF($C1648="","",IFERROR(INDEX(المنيو!$C$2:$C$500,MATCH($C1648,المنيو!$B$2:$B$500,0)),0))</f>
        <v/>
      </c>
      <c r="F1648" s="103" t="str">
        <f aca="false">IF($C1648="","",$D1648*$E1648)</f>
        <v/>
      </c>
      <c r="G1648" s="103" t="str">
        <f aca="false">IF($C1648="","",$D1648*IFERROR(INDEX('تحليل التكلفة والسعر'!$C$2:$C$700,MATCH($C1648,'تحليل التكلفة والسعر'!$B$2:$B$700,0)),0))</f>
        <v/>
      </c>
    </row>
    <row r="1649" customFormat="false" ht="15" hidden="false" customHeight="false" outlineLevel="0" collapsed="false">
      <c r="A1649" s="102"/>
      <c r="E1649" s="103" t="str">
        <f aca="false">IF($C1649="","",IFERROR(INDEX(المنيو!$C$2:$C$500,MATCH($C1649,المنيو!$B$2:$B$500,0)),0))</f>
        <v/>
      </c>
      <c r="F1649" s="103" t="str">
        <f aca="false">IF($C1649="","",$D1649*$E1649)</f>
        <v/>
      </c>
      <c r="G1649" s="103" t="str">
        <f aca="false">IF($C1649="","",$D1649*IFERROR(INDEX('تحليل التكلفة والسعر'!$C$2:$C$700,MATCH($C1649,'تحليل التكلفة والسعر'!$B$2:$B$700,0)),0))</f>
        <v/>
      </c>
    </row>
    <row r="1650" customFormat="false" ht="15" hidden="false" customHeight="false" outlineLevel="0" collapsed="false">
      <c r="A1650" s="102"/>
      <c r="E1650" s="103" t="str">
        <f aca="false">IF($C1650="","",IFERROR(INDEX(المنيو!$C$2:$C$500,MATCH($C1650,المنيو!$B$2:$B$500,0)),0))</f>
        <v/>
      </c>
      <c r="F1650" s="103" t="str">
        <f aca="false">IF($C1650="","",$D1650*$E1650)</f>
        <v/>
      </c>
      <c r="G1650" s="103" t="str">
        <f aca="false">IF($C1650="","",$D1650*IFERROR(INDEX('تحليل التكلفة والسعر'!$C$2:$C$700,MATCH($C1650,'تحليل التكلفة والسعر'!$B$2:$B$700,0)),0))</f>
        <v/>
      </c>
    </row>
    <row r="1651" customFormat="false" ht="15" hidden="false" customHeight="false" outlineLevel="0" collapsed="false">
      <c r="A1651" s="102"/>
      <c r="E1651" s="103" t="str">
        <f aca="false">IF($C1651="","",IFERROR(INDEX(المنيو!$C$2:$C$500,MATCH($C1651,المنيو!$B$2:$B$500,0)),0))</f>
        <v/>
      </c>
      <c r="F1651" s="103" t="str">
        <f aca="false">IF($C1651="","",$D1651*$E1651)</f>
        <v/>
      </c>
      <c r="G1651" s="103" t="str">
        <f aca="false">IF($C1651="","",$D1651*IFERROR(INDEX('تحليل التكلفة والسعر'!$C$2:$C$700,MATCH($C1651,'تحليل التكلفة والسعر'!$B$2:$B$700,0)),0))</f>
        <v/>
      </c>
    </row>
    <row r="1652" customFormat="false" ht="15" hidden="false" customHeight="false" outlineLevel="0" collapsed="false">
      <c r="A1652" s="102"/>
      <c r="E1652" s="103" t="str">
        <f aca="false">IF($C1652="","",IFERROR(INDEX(المنيو!$C$2:$C$500,MATCH($C1652,المنيو!$B$2:$B$500,0)),0))</f>
        <v/>
      </c>
      <c r="F1652" s="103" t="str">
        <f aca="false">IF($C1652="","",$D1652*$E1652)</f>
        <v/>
      </c>
      <c r="G1652" s="103" t="str">
        <f aca="false">IF($C1652="","",$D1652*IFERROR(INDEX('تحليل التكلفة والسعر'!$C$2:$C$700,MATCH($C1652,'تحليل التكلفة والسعر'!$B$2:$B$700,0)),0))</f>
        <v/>
      </c>
    </row>
    <row r="1653" customFormat="false" ht="15" hidden="false" customHeight="false" outlineLevel="0" collapsed="false">
      <c r="A1653" s="102"/>
      <c r="E1653" s="103" t="str">
        <f aca="false">IF($C1653="","",IFERROR(INDEX(المنيو!$C$2:$C$500,MATCH($C1653,المنيو!$B$2:$B$500,0)),0))</f>
        <v/>
      </c>
      <c r="F1653" s="103" t="str">
        <f aca="false">IF($C1653="","",$D1653*$E1653)</f>
        <v/>
      </c>
      <c r="G1653" s="103" t="str">
        <f aca="false">IF($C1653="","",$D1653*IFERROR(INDEX('تحليل التكلفة والسعر'!$C$2:$C$700,MATCH($C1653,'تحليل التكلفة والسعر'!$B$2:$B$700,0)),0))</f>
        <v/>
      </c>
    </row>
    <row r="1654" customFormat="false" ht="15" hidden="false" customHeight="false" outlineLevel="0" collapsed="false">
      <c r="A1654" s="102"/>
      <c r="E1654" s="103" t="str">
        <f aca="false">IF($C1654="","",IFERROR(INDEX(المنيو!$C$2:$C$500,MATCH($C1654,المنيو!$B$2:$B$500,0)),0))</f>
        <v/>
      </c>
      <c r="F1654" s="103" t="str">
        <f aca="false">IF($C1654="","",$D1654*$E1654)</f>
        <v/>
      </c>
      <c r="G1654" s="103" t="str">
        <f aca="false">IF($C1654="","",$D1654*IFERROR(INDEX('تحليل التكلفة والسعر'!$C$2:$C$700,MATCH($C1654,'تحليل التكلفة والسعر'!$B$2:$B$700,0)),0))</f>
        <v/>
      </c>
    </row>
    <row r="1655" customFormat="false" ht="15" hidden="false" customHeight="false" outlineLevel="0" collapsed="false">
      <c r="A1655" s="102"/>
      <c r="E1655" s="103" t="str">
        <f aca="false">IF($C1655="","",IFERROR(INDEX(المنيو!$C$2:$C$500,MATCH($C1655,المنيو!$B$2:$B$500,0)),0))</f>
        <v/>
      </c>
      <c r="F1655" s="103" t="str">
        <f aca="false">IF($C1655="","",$D1655*$E1655)</f>
        <v/>
      </c>
      <c r="G1655" s="103" t="str">
        <f aca="false">IF($C1655="","",$D1655*IFERROR(INDEX('تحليل التكلفة والسعر'!$C$2:$C$700,MATCH($C1655,'تحليل التكلفة والسعر'!$B$2:$B$700,0)),0))</f>
        <v/>
      </c>
    </row>
    <row r="1656" customFormat="false" ht="15" hidden="false" customHeight="false" outlineLevel="0" collapsed="false">
      <c r="A1656" s="102"/>
      <c r="E1656" s="103" t="str">
        <f aca="false">IF($C1656="","",IFERROR(INDEX(المنيو!$C$2:$C$500,MATCH($C1656,المنيو!$B$2:$B$500,0)),0))</f>
        <v/>
      </c>
      <c r="F1656" s="103" t="str">
        <f aca="false">IF($C1656="","",$D1656*$E1656)</f>
        <v/>
      </c>
      <c r="G1656" s="103" t="str">
        <f aca="false">IF($C1656="","",$D1656*IFERROR(INDEX('تحليل التكلفة والسعر'!$C$2:$C$700,MATCH($C1656,'تحليل التكلفة والسعر'!$B$2:$B$700,0)),0))</f>
        <v/>
      </c>
    </row>
    <row r="1657" customFormat="false" ht="15" hidden="false" customHeight="false" outlineLevel="0" collapsed="false">
      <c r="A1657" s="102"/>
      <c r="E1657" s="103" t="str">
        <f aca="false">IF($C1657="","",IFERROR(INDEX(المنيو!$C$2:$C$500,MATCH($C1657,المنيو!$B$2:$B$500,0)),0))</f>
        <v/>
      </c>
      <c r="F1657" s="103" t="str">
        <f aca="false">IF($C1657="","",$D1657*$E1657)</f>
        <v/>
      </c>
      <c r="G1657" s="103" t="str">
        <f aca="false">IF($C1657="","",$D1657*IFERROR(INDEX('تحليل التكلفة والسعر'!$C$2:$C$700,MATCH($C1657,'تحليل التكلفة والسعر'!$B$2:$B$700,0)),0))</f>
        <v/>
      </c>
    </row>
    <row r="1658" customFormat="false" ht="15" hidden="false" customHeight="false" outlineLevel="0" collapsed="false">
      <c r="A1658" s="102"/>
      <c r="E1658" s="103" t="str">
        <f aca="false">IF($C1658="","",IFERROR(INDEX(المنيو!$C$2:$C$500,MATCH($C1658,المنيو!$B$2:$B$500,0)),0))</f>
        <v/>
      </c>
      <c r="F1658" s="103" t="str">
        <f aca="false">IF($C1658="","",$D1658*$E1658)</f>
        <v/>
      </c>
      <c r="G1658" s="103" t="str">
        <f aca="false">IF($C1658="","",$D1658*IFERROR(INDEX('تحليل التكلفة والسعر'!$C$2:$C$700,MATCH($C1658,'تحليل التكلفة والسعر'!$B$2:$B$700,0)),0))</f>
        <v/>
      </c>
    </row>
    <row r="1659" customFormat="false" ht="15" hidden="false" customHeight="false" outlineLevel="0" collapsed="false">
      <c r="A1659" s="102"/>
      <c r="E1659" s="103" t="str">
        <f aca="false">IF($C1659="","",IFERROR(INDEX(المنيو!$C$2:$C$500,MATCH($C1659,المنيو!$B$2:$B$500,0)),0))</f>
        <v/>
      </c>
      <c r="F1659" s="103" t="str">
        <f aca="false">IF($C1659="","",$D1659*$E1659)</f>
        <v/>
      </c>
      <c r="G1659" s="103" t="str">
        <f aca="false">IF($C1659="","",$D1659*IFERROR(INDEX('تحليل التكلفة والسعر'!$C$2:$C$700,MATCH($C1659,'تحليل التكلفة والسعر'!$B$2:$B$700,0)),0))</f>
        <v/>
      </c>
    </row>
    <row r="1660" customFormat="false" ht="15" hidden="false" customHeight="false" outlineLevel="0" collapsed="false">
      <c r="A1660" s="102"/>
      <c r="E1660" s="103" t="str">
        <f aca="false">IF($C1660="","",IFERROR(INDEX(المنيو!$C$2:$C$500,MATCH($C1660,المنيو!$B$2:$B$500,0)),0))</f>
        <v/>
      </c>
      <c r="F1660" s="103" t="str">
        <f aca="false">IF($C1660="","",$D1660*$E1660)</f>
        <v/>
      </c>
      <c r="G1660" s="103" t="str">
        <f aca="false">IF($C1660="","",$D1660*IFERROR(INDEX('تحليل التكلفة والسعر'!$C$2:$C$700,MATCH($C1660,'تحليل التكلفة والسعر'!$B$2:$B$700,0)),0))</f>
        <v/>
      </c>
    </row>
    <row r="1661" customFormat="false" ht="15" hidden="false" customHeight="false" outlineLevel="0" collapsed="false">
      <c r="A1661" s="102"/>
      <c r="E1661" s="103" t="str">
        <f aca="false">IF($C1661="","",IFERROR(INDEX(المنيو!$C$2:$C$500,MATCH($C1661,المنيو!$B$2:$B$500,0)),0))</f>
        <v/>
      </c>
      <c r="F1661" s="103" t="str">
        <f aca="false">IF($C1661="","",$D1661*$E1661)</f>
        <v/>
      </c>
      <c r="G1661" s="103" t="str">
        <f aca="false">IF($C1661="","",$D1661*IFERROR(INDEX('تحليل التكلفة والسعر'!$C$2:$C$700,MATCH($C1661,'تحليل التكلفة والسعر'!$B$2:$B$700,0)),0))</f>
        <v/>
      </c>
    </row>
    <row r="1662" customFormat="false" ht="15" hidden="false" customHeight="false" outlineLevel="0" collapsed="false">
      <c r="A1662" s="102"/>
      <c r="E1662" s="103" t="str">
        <f aca="false">IF($C1662="","",IFERROR(INDEX(المنيو!$C$2:$C$500,MATCH($C1662,المنيو!$B$2:$B$500,0)),0))</f>
        <v/>
      </c>
      <c r="F1662" s="103" t="str">
        <f aca="false">IF($C1662="","",$D1662*$E1662)</f>
        <v/>
      </c>
      <c r="G1662" s="103" t="str">
        <f aca="false">IF($C1662="","",$D1662*IFERROR(INDEX('تحليل التكلفة والسعر'!$C$2:$C$700,MATCH($C1662,'تحليل التكلفة والسعر'!$B$2:$B$700,0)),0))</f>
        <v/>
      </c>
    </row>
    <row r="1663" customFormat="false" ht="15" hidden="false" customHeight="false" outlineLevel="0" collapsed="false">
      <c r="A1663" s="102"/>
      <c r="E1663" s="103" t="str">
        <f aca="false">IF($C1663="","",IFERROR(INDEX(المنيو!$C$2:$C$500,MATCH($C1663,المنيو!$B$2:$B$500,0)),0))</f>
        <v/>
      </c>
      <c r="F1663" s="103" t="str">
        <f aca="false">IF($C1663="","",$D1663*$E1663)</f>
        <v/>
      </c>
      <c r="G1663" s="103" t="str">
        <f aca="false">IF($C1663="","",$D1663*IFERROR(INDEX('تحليل التكلفة والسعر'!$C$2:$C$700,MATCH($C1663,'تحليل التكلفة والسعر'!$B$2:$B$700,0)),0))</f>
        <v/>
      </c>
    </row>
    <row r="1664" customFormat="false" ht="15" hidden="false" customHeight="false" outlineLevel="0" collapsed="false">
      <c r="A1664" s="102"/>
      <c r="E1664" s="103" t="str">
        <f aca="false">IF($C1664="","",IFERROR(INDEX(المنيو!$C$2:$C$500,MATCH($C1664,المنيو!$B$2:$B$500,0)),0))</f>
        <v/>
      </c>
      <c r="F1664" s="103" t="str">
        <f aca="false">IF($C1664="","",$D1664*$E1664)</f>
        <v/>
      </c>
      <c r="G1664" s="103" t="str">
        <f aca="false">IF($C1664="","",$D1664*IFERROR(INDEX('تحليل التكلفة والسعر'!$C$2:$C$700,MATCH($C1664,'تحليل التكلفة والسعر'!$B$2:$B$700,0)),0))</f>
        <v/>
      </c>
    </row>
    <row r="1665" customFormat="false" ht="15" hidden="false" customHeight="false" outlineLevel="0" collapsed="false">
      <c r="A1665" s="102"/>
      <c r="E1665" s="103" t="str">
        <f aca="false">IF($C1665="","",IFERROR(INDEX(المنيو!$C$2:$C$500,MATCH($C1665,المنيو!$B$2:$B$500,0)),0))</f>
        <v/>
      </c>
      <c r="F1665" s="103" t="str">
        <f aca="false">IF($C1665="","",$D1665*$E1665)</f>
        <v/>
      </c>
      <c r="G1665" s="103" t="str">
        <f aca="false">IF($C1665="","",$D1665*IFERROR(INDEX('تحليل التكلفة والسعر'!$C$2:$C$700,MATCH($C1665,'تحليل التكلفة والسعر'!$B$2:$B$700,0)),0))</f>
        <v/>
      </c>
    </row>
    <row r="1666" customFormat="false" ht="15" hidden="false" customHeight="false" outlineLevel="0" collapsed="false">
      <c r="A1666" s="102"/>
      <c r="E1666" s="103" t="str">
        <f aca="false">IF($C1666="","",IFERROR(INDEX(المنيو!$C$2:$C$500,MATCH($C1666,المنيو!$B$2:$B$500,0)),0))</f>
        <v/>
      </c>
      <c r="F1666" s="103" t="str">
        <f aca="false">IF($C1666="","",$D1666*$E1666)</f>
        <v/>
      </c>
      <c r="G1666" s="103" t="str">
        <f aca="false">IF($C1666="","",$D1666*IFERROR(INDEX('تحليل التكلفة والسعر'!$C$2:$C$700,MATCH($C1666,'تحليل التكلفة والسعر'!$B$2:$B$700,0)),0))</f>
        <v/>
      </c>
    </row>
    <row r="1667" customFormat="false" ht="15" hidden="false" customHeight="false" outlineLevel="0" collapsed="false">
      <c r="A1667" s="102"/>
      <c r="E1667" s="103" t="str">
        <f aca="false">IF($C1667="","",IFERROR(INDEX(المنيو!$C$2:$C$500,MATCH($C1667,المنيو!$B$2:$B$500,0)),0))</f>
        <v/>
      </c>
      <c r="F1667" s="103" t="str">
        <f aca="false">IF($C1667="","",$D1667*$E1667)</f>
        <v/>
      </c>
      <c r="G1667" s="103" t="str">
        <f aca="false">IF($C1667="","",$D1667*IFERROR(INDEX('تحليل التكلفة والسعر'!$C$2:$C$700,MATCH($C1667,'تحليل التكلفة والسعر'!$B$2:$B$700,0)),0))</f>
        <v/>
      </c>
    </row>
    <row r="1668" customFormat="false" ht="15" hidden="false" customHeight="false" outlineLevel="0" collapsed="false">
      <c r="A1668" s="102"/>
      <c r="E1668" s="103" t="str">
        <f aca="false">IF($C1668="","",IFERROR(INDEX(المنيو!$C$2:$C$500,MATCH($C1668,المنيو!$B$2:$B$500,0)),0))</f>
        <v/>
      </c>
      <c r="F1668" s="103" t="str">
        <f aca="false">IF($C1668="","",$D1668*$E1668)</f>
        <v/>
      </c>
      <c r="G1668" s="103" t="str">
        <f aca="false">IF($C1668="","",$D1668*IFERROR(INDEX('تحليل التكلفة والسعر'!$C$2:$C$700,MATCH($C1668,'تحليل التكلفة والسعر'!$B$2:$B$700,0)),0))</f>
        <v/>
      </c>
    </row>
    <row r="1669" customFormat="false" ht="15" hidden="false" customHeight="false" outlineLevel="0" collapsed="false">
      <c r="A1669" s="102"/>
      <c r="E1669" s="103" t="str">
        <f aca="false">IF($C1669="","",IFERROR(INDEX(المنيو!$C$2:$C$500,MATCH($C1669,المنيو!$B$2:$B$500,0)),0))</f>
        <v/>
      </c>
      <c r="F1669" s="103" t="str">
        <f aca="false">IF($C1669="","",$D1669*$E1669)</f>
        <v/>
      </c>
      <c r="G1669" s="103" t="str">
        <f aca="false">IF($C1669="","",$D1669*IFERROR(INDEX('تحليل التكلفة والسعر'!$C$2:$C$700,MATCH($C1669,'تحليل التكلفة والسعر'!$B$2:$B$700,0)),0))</f>
        <v/>
      </c>
    </row>
    <row r="1670" customFormat="false" ht="15" hidden="false" customHeight="false" outlineLevel="0" collapsed="false">
      <c r="A1670" s="102"/>
      <c r="E1670" s="103" t="str">
        <f aca="false">IF($C1670="","",IFERROR(INDEX(المنيو!$C$2:$C$500,MATCH($C1670,المنيو!$B$2:$B$500,0)),0))</f>
        <v/>
      </c>
      <c r="F1670" s="103" t="str">
        <f aca="false">IF($C1670="","",$D1670*$E1670)</f>
        <v/>
      </c>
      <c r="G1670" s="103" t="str">
        <f aca="false">IF($C1670="","",$D1670*IFERROR(INDEX('تحليل التكلفة والسعر'!$C$2:$C$700,MATCH($C1670,'تحليل التكلفة والسعر'!$B$2:$B$700,0)),0))</f>
        <v/>
      </c>
    </row>
    <row r="1671" customFormat="false" ht="15" hidden="false" customHeight="false" outlineLevel="0" collapsed="false">
      <c r="A1671" s="102"/>
      <c r="E1671" s="103" t="str">
        <f aca="false">IF($C1671="","",IFERROR(INDEX(المنيو!$C$2:$C$500,MATCH($C1671,المنيو!$B$2:$B$500,0)),0))</f>
        <v/>
      </c>
      <c r="F1671" s="103" t="str">
        <f aca="false">IF($C1671="","",$D1671*$E1671)</f>
        <v/>
      </c>
      <c r="G1671" s="103" t="str">
        <f aca="false">IF($C1671="","",$D1671*IFERROR(INDEX('تحليل التكلفة والسعر'!$C$2:$C$700,MATCH($C1671,'تحليل التكلفة والسعر'!$B$2:$B$700,0)),0))</f>
        <v/>
      </c>
    </row>
    <row r="1672" customFormat="false" ht="15" hidden="false" customHeight="false" outlineLevel="0" collapsed="false">
      <c r="A1672" s="102"/>
      <c r="E1672" s="103" t="str">
        <f aca="false">IF($C1672="","",IFERROR(INDEX(المنيو!$C$2:$C$500,MATCH($C1672,المنيو!$B$2:$B$500,0)),0))</f>
        <v/>
      </c>
      <c r="F1672" s="103" t="str">
        <f aca="false">IF($C1672="","",$D1672*$E1672)</f>
        <v/>
      </c>
      <c r="G1672" s="103" t="str">
        <f aca="false">IF($C1672="","",$D1672*IFERROR(INDEX('تحليل التكلفة والسعر'!$C$2:$C$700,MATCH($C1672,'تحليل التكلفة والسعر'!$B$2:$B$700,0)),0))</f>
        <v/>
      </c>
    </row>
    <row r="1673" customFormat="false" ht="15" hidden="false" customHeight="false" outlineLevel="0" collapsed="false">
      <c r="A1673" s="102"/>
      <c r="E1673" s="103" t="str">
        <f aca="false">IF($C1673="","",IFERROR(INDEX(المنيو!$C$2:$C$500,MATCH($C1673,المنيو!$B$2:$B$500,0)),0))</f>
        <v/>
      </c>
      <c r="F1673" s="103" t="str">
        <f aca="false">IF($C1673="","",$D1673*$E1673)</f>
        <v/>
      </c>
      <c r="G1673" s="103" t="str">
        <f aca="false">IF($C1673="","",$D1673*IFERROR(INDEX('تحليل التكلفة والسعر'!$C$2:$C$700,MATCH($C1673,'تحليل التكلفة والسعر'!$B$2:$B$700,0)),0))</f>
        <v/>
      </c>
    </row>
    <row r="1674" customFormat="false" ht="15" hidden="false" customHeight="false" outlineLevel="0" collapsed="false">
      <c r="A1674" s="102"/>
      <c r="E1674" s="103" t="str">
        <f aca="false">IF($C1674="","",IFERROR(INDEX(المنيو!$C$2:$C$500,MATCH($C1674,المنيو!$B$2:$B$500,0)),0))</f>
        <v/>
      </c>
      <c r="F1674" s="103" t="str">
        <f aca="false">IF($C1674="","",$D1674*$E1674)</f>
        <v/>
      </c>
      <c r="G1674" s="103" t="str">
        <f aca="false">IF($C1674="","",$D1674*IFERROR(INDEX('تحليل التكلفة والسعر'!$C$2:$C$700,MATCH($C1674,'تحليل التكلفة والسعر'!$B$2:$B$700,0)),0))</f>
        <v/>
      </c>
    </row>
    <row r="1675" customFormat="false" ht="15" hidden="false" customHeight="false" outlineLevel="0" collapsed="false">
      <c r="A1675" s="102"/>
      <c r="E1675" s="103" t="str">
        <f aca="false">IF($C1675="","",IFERROR(INDEX(المنيو!$C$2:$C$500,MATCH($C1675,المنيو!$B$2:$B$500,0)),0))</f>
        <v/>
      </c>
      <c r="F1675" s="103" t="str">
        <f aca="false">IF($C1675="","",$D1675*$E1675)</f>
        <v/>
      </c>
      <c r="G1675" s="103" t="str">
        <f aca="false">IF($C1675="","",$D1675*IFERROR(INDEX('تحليل التكلفة والسعر'!$C$2:$C$700,MATCH($C1675,'تحليل التكلفة والسعر'!$B$2:$B$700,0)),0))</f>
        <v/>
      </c>
    </row>
    <row r="1676" customFormat="false" ht="15" hidden="false" customHeight="false" outlineLevel="0" collapsed="false">
      <c r="A1676" s="102"/>
      <c r="E1676" s="103" t="str">
        <f aca="false">IF($C1676="","",IFERROR(INDEX(المنيو!$C$2:$C$500,MATCH($C1676,المنيو!$B$2:$B$500,0)),0))</f>
        <v/>
      </c>
      <c r="F1676" s="103" t="str">
        <f aca="false">IF($C1676="","",$D1676*$E1676)</f>
        <v/>
      </c>
      <c r="G1676" s="103" t="str">
        <f aca="false">IF($C1676="","",$D1676*IFERROR(INDEX('تحليل التكلفة والسعر'!$C$2:$C$700,MATCH($C1676,'تحليل التكلفة والسعر'!$B$2:$B$700,0)),0))</f>
        <v/>
      </c>
    </row>
    <row r="1677" customFormat="false" ht="15" hidden="false" customHeight="false" outlineLevel="0" collapsed="false">
      <c r="A1677" s="102"/>
      <c r="E1677" s="103" t="str">
        <f aca="false">IF($C1677="","",IFERROR(INDEX(المنيو!$C$2:$C$500,MATCH($C1677,المنيو!$B$2:$B$500,0)),0))</f>
        <v/>
      </c>
      <c r="F1677" s="103" t="str">
        <f aca="false">IF($C1677="","",$D1677*$E1677)</f>
        <v/>
      </c>
      <c r="G1677" s="103" t="str">
        <f aca="false">IF($C1677="","",$D1677*IFERROR(INDEX('تحليل التكلفة والسعر'!$C$2:$C$700,MATCH($C1677,'تحليل التكلفة والسعر'!$B$2:$B$700,0)),0))</f>
        <v/>
      </c>
    </row>
    <row r="1678" customFormat="false" ht="15" hidden="false" customHeight="false" outlineLevel="0" collapsed="false">
      <c r="A1678" s="102"/>
      <c r="E1678" s="103" t="str">
        <f aca="false">IF($C1678="","",IFERROR(INDEX(المنيو!$C$2:$C$500,MATCH($C1678,المنيو!$B$2:$B$500,0)),0))</f>
        <v/>
      </c>
      <c r="F1678" s="103" t="str">
        <f aca="false">IF($C1678="","",$D1678*$E1678)</f>
        <v/>
      </c>
      <c r="G1678" s="103" t="str">
        <f aca="false">IF($C1678="","",$D1678*IFERROR(INDEX('تحليل التكلفة والسعر'!$C$2:$C$700,MATCH($C1678,'تحليل التكلفة والسعر'!$B$2:$B$700,0)),0))</f>
        <v/>
      </c>
    </row>
    <row r="1679" customFormat="false" ht="15" hidden="false" customHeight="false" outlineLevel="0" collapsed="false">
      <c r="A1679" s="102"/>
      <c r="E1679" s="103" t="str">
        <f aca="false">IF($C1679="","",IFERROR(INDEX(المنيو!$C$2:$C$500,MATCH($C1679,المنيو!$B$2:$B$500,0)),0))</f>
        <v/>
      </c>
      <c r="F1679" s="103" t="str">
        <f aca="false">IF($C1679="","",$D1679*$E1679)</f>
        <v/>
      </c>
      <c r="G1679" s="103" t="str">
        <f aca="false">IF($C1679="","",$D1679*IFERROR(INDEX('تحليل التكلفة والسعر'!$C$2:$C$700,MATCH($C1679,'تحليل التكلفة والسعر'!$B$2:$B$700,0)),0))</f>
        <v/>
      </c>
    </row>
    <row r="1680" customFormat="false" ht="15" hidden="false" customHeight="false" outlineLevel="0" collapsed="false">
      <c r="A1680" s="102"/>
      <c r="E1680" s="103" t="str">
        <f aca="false">IF($C1680="","",IFERROR(INDEX(المنيو!$C$2:$C$500,MATCH($C1680,المنيو!$B$2:$B$500,0)),0))</f>
        <v/>
      </c>
      <c r="F1680" s="103" t="str">
        <f aca="false">IF($C1680="","",$D1680*$E1680)</f>
        <v/>
      </c>
      <c r="G1680" s="103" t="str">
        <f aca="false">IF($C1680="","",$D1680*IFERROR(INDEX('تحليل التكلفة والسعر'!$C$2:$C$700,MATCH($C1680,'تحليل التكلفة والسعر'!$B$2:$B$700,0)),0))</f>
        <v/>
      </c>
    </row>
    <row r="1681" customFormat="false" ht="15" hidden="false" customHeight="false" outlineLevel="0" collapsed="false">
      <c r="A1681" s="102"/>
      <c r="E1681" s="103" t="str">
        <f aca="false">IF($C1681="","",IFERROR(INDEX(المنيو!$C$2:$C$500,MATCH($C1681,المنيو!$B$2:$B$500,0)),0))</f>
        <v/>
      </c>
      <c r="F1681" s="103" t="str">
        <f aca="false">IF($C1681="","",$D1681*$E1681)</f>
        <v/>
      </c>
      <c r="G1681" s="103" t="str">
        <f aca="false">IF($C1681="","",$D1681*IFERROR(INDEX('تحليل التكلفة والسعر'!$C$2:$C$700,MATCH($C1681,'تحليل التكلفة والسعر'!$B$2:$B$700,0)),0))</f>
        <v/>
      </c>
    </row>
    <row r="1682" customFormat="false" ht="15" hidden="false" customHeight="false" outlineLevel="0" collapsed="false">
      <c r="A1682" s="102"/>
      <c r="E1682" s="103" t="str">
        <f aca="false">IF($C1682="","",IFERROR(INDEX(المنيو!$C$2:$C$500,MATCH($C1682,المنيو!$B$2:$B$500,0)),0))</f>
        <v/>
      </c>
      <c r="F1682" s="103" t="str">
        <f aca="false">IF($C1682="","",$D1682*$E1682)</f>
        <v/>
      </c>
      <c r="G1682" s="103" t="str">
        <f aca="false">IF($C1682="","",$D1682*IFERROR(INDEX('تحليل التكلفة والسعر'!$C$2:$C$700,MATCH($C1682,'تحليل التكلفة والسعر'!$B$2:$B$700,0)),0))</f>
        <v/>
      </c>
    </row>
    <row r="1683" customFormat="false" ht="15" hidden="false" customHeight="false" outlineLevel="0" collapsed="false">
      <c r="A1683" s="102"/>
      <c r="E1683" s="103" t="str">
        <f aca="false">IF($C1683="","",IFERROR(INDEX(المنيو!$C$2:$C$500,MATCH($C1683,المنيو!$B$2:$B$500,0)),0))</f>
        <v/>
      </c>
      <c r="F1683" s="103" t="str">
        <f aca="false">IF($C1683="","",$D1683*$E1683)</f>
        <v/>
      </c>
      <c r="G1683" s="103" t="str">
        <f aca="false">IF($C1683="","",$D1683*IFERROR(INDEX('تحليل التكلفة والسعر'!$C$2:$C$700,MATCH($C1683,'تحليل التكلفة والسعر'!$B$2:$B$700,0)),0))</f>
        <v/>
      </c>
    </row>
    <row r="1684" customFormat="false" ht="15" hidden="false" customHeight="false" outlineLevel="0" collapsed="false">
      <c r="A1684" s="102"/>
      <c r="E1684" s="103" t="str">
        <f aca="false">IF($C1684="","",IFERROR(INDEX(المنيو!$C$2:$C$500,MATCH($C1684,المنيو!$B$2:$B$500,0)),0))</f>
        <v/>
      </c>
      <c r="F1684" s="103" t="str">
        <f aca="false">IF($C1684="","",$D1684*$E1684)</f>
        <v/>
      </c>
      <c r="G1684" s="103" t="str">
        <f aca="false">IF($C1684="","",$D1684*IFERROR(INDEX('تحليل التكلفة والسعر'!$C$2:$C$700,MATCH($C1684,'تحليل التكلفة والسعر'!$B$2:$B$700,0)),0))</f>
        <v/>
      </c>
    </row>
    <row r="1685" customFormat="false" ht="15" hidden="false" customHeight="false" outlineLevel="0" collapsed="false">
      <c r="A1685" s="102"/>
      <c r="E1685" s="103" t="str">
        <f aca="false">IF($C1685="","",IFERROR(INDEX(المنيو!$C$2:$C$500,MATCH($C1685,المنيو!$B$2:$B$500,0)),0))</f>
        <v/>
      </c>
      <c r="F1685" s="103" t="str">
        <f aca="false">IF($C1685="","",$D1685*$E1685)</f>
        <v/>
      </c>
      <c r="G1685" s="103" t="str">
        <f aca="false">IF($C1685="","",$D1685*IFERROR(INDEX('تحليل التكلفة والسعر'!$C$2:$C$700,MATCH($C1685,'تحليل التكلفة والسعر'!$B$2:$B$700,0)),0))</f>
        <v/>
      </c>
    </row>
    <row r="1686" customFormat="false" ht="15" hidden="false" customHeight="false" outlineLevel="0" collapsed="false">
      <c r="A1686" s="102"/>
      <c r="E1686" s="103" t="str">
        <f aca="false">IF($C1686="","",IFERROR(INDEX(المنيو!$C$2:$C$500,MATCH($C1686,المنيو!$B$2:$B$500,0)),0))</f>
        <v/>
      </c>
      <c r="F1686" s="103" t="str">
        <f aca="false">IF($C1686="","",$D1686*$E1686)</f>
        <v/>
      </c>
      <c r="G1686" s="103" t="str">
        <f aca="false">IF($C1686="","",$D1686*IFERROR(INDEX('تحليل التكلفة والسعر'!$C$2:$C$700,MATCH($C1686,'تحليل التكلفة والسعر'!$B$2:$B$700,0)),0))</f>
        <v/>
      </c>
    </row>
    <row r="1687" customFormat="false" ht="15" hidden="false" customHeight="false" outlineLevel="0" collapsed="false">
      <c r="A1687" s="102"/>
      <c r="E1687" s="103" t="str">
        <f aca="false">IF($C1687="","",IFERROR(INDEX(المنيو!$C$2:$C$500,MATCH($C1687,المنيو!$B$2:$B$500,0)),0))</f>
        <v/>
      </c>
      <c r="F1687" s="103" t="str">
        <f aca="false">IF($C1687="","",$D1687*$E1687)</f>
        <v/>
      </c>
      <c r="G1687" s="103" t="str">
        <f aca="false">IF($C1687="","",$D1687*IFERROR(INDEX('تحليل التكلفة والسعر'!$C$2:$C$700,MATCH($C1687,'تحليل التكلفة والسعر'!$B$2:$B$700,0)),0))</f>
        <v/>
      </c>
    </row>
    <row r="1688" customFormat="false" ht="15" hidden="false" customHeight="false" outlineLevel="0" collapsed="false">
      <c r="A1688" s="102"/>
      <c r="E1688" s="103" t="str">
        <f aca="false">IF($C1688="","",IFERROR(INDEX(المنيو!$C$2:$C$500,MATCH($C1688,المنيو!$B$2:$B$500,0)),0))</f>
        <v/>
      </c>
      <c r="F1688" s="103" t="str">
        <f aca="false">IF($C1688="","",$D1688*$E1688)</f>
        <v/>
      </c>
      <c r="G1688" s="103" t="str">
        <f aca="false">IF($C1688="","",$D1688*IFERROR(INDEX('تحليل التكلفة والسعر'!$C$2:$C$700,MATCH($C1688,'تحليل التكلفة والسعر'!$B$2:$B$700,0)),0))</f>
        <v/>
      </c>
    </row>
    <row r="1689" customFormat="false" ht="15" hidden="false" customHeight="false" outlineLevel="0" collapsed="false">
      <c r="A1689" s="102"/>
      <c r="E1689" s="103" t="str">
        <f aca="false">IF($C1689="","",IFERROR(INDEX(المنيو!$C$2:$C$500,MATCH($C1689,المنيو!$B$2:$B$500,0)),0))</f>
        <v/>
      </c>
      <c r="F1689" s="103" t="str">
        <f aca="false">IF($C1689="","",$D1689*$E1689)</f>
        <v/>
      </c>
      <c r="G1689" s="103" t="str">
        <f aca="false">IF($C1689="","",$D1689*IFERROR(INDEX('تحليل التكلفة والسعر'!$C$2:$C$700,MATCH($C1689,'تحليل التكلفة والسعر'!$B$2:$B$700,0)),0))</f>
        <v/>
      </c>
    </row>
    <row r="1690" customFormat="false" ht="15" hidden="false" customHeight="false" outlineLevel="0" collapsed="false">
      <c r="A1690" s="102"/>
      <c r="E1690" s="103" t="str">
        <f aca="false">IF($C1690="","",IFERROR(INDEX(المنيو!$C$2:$C$500,MATCH($C1690,المنيو!$B$2:$B$500,0)),0))</f>
        <v/>
      </c>
      <c r="F1690" s="103" t="str">
        <f aca="false">IF($C1690="","",$D1690*$E1690)</f>
        <v/>
      </c>
      <c r="G1690" s="103" t="str">
        <f aca="false">IF($C1690="","",$D1690*IFERROR(INDEX('تحليل التكلفة والسعر'!$C$2:$C$700,MATCH($C1690,'تحليل التكلفة والسعر'!$B$2:$B$700,0)),0))</f>
        <v/>
      </c>
    </row>
    <row r="1691" customFormat="false" ht="15" hidden="false" customHeight="false" outlineLevel="0" collapsed="false">
      <c r="A1691" s="102"/>
      <c r="E1691" s="103" t="str">
        <f aca="false">IF($C1691="","",IFERROR(INDEX(المنيو!$C$2:$C$500,MATCH($C1691,المنيو!$B$2:$B$500,0)),0))</f>
        <v/>
      </c>
      <c r="F1691" s="103" t="str">
        <f aca="false">IF($C1691="","",$D1691*$E1691)</f>
        <v/>
      </c>
      <c r="G1691" s="103" t="str">
        <f aca="false">IF($C1691="","",$D1691*IFERROR(INDEX('تحليل التكلفة والسعر'!$C$2:$C$700,MATCH($C1691,'تحليل التكلفة والسعر'!$B$2:$B$700,0)),0))</f>
        <v/>
      </c>
    </row>
    <row r="1692" customFormat="false" ht="15" hidden="false" customHeight="false" outlineLevel="0" collapsed="false">
      <c r="A1692" s="102"/>
      <c r="E1692" s="103" t="str">
        <f aca="false">IF($C1692="","",IFERROR(INDEX(المنيو!$C$2:$C$500,MATCH($C1692,المنيو!$B$2:$B$500,0)),0))</f>
        <v/>
      </c>
      <c r="F1692" s="103" t="str">
        <f aca="false">IF($C1692="","",$D1692*$E1692)</f>
        <v/>
      </c>
      <c r="G1692" s="103" t="str">
        <f aca="false">IF($C1692="","",$D1692*IFERROR(INDEX('تحليل التكلفة والسعر'!$C$2:$C$700,MATCH($C1692,'تحليل التكلفة والسعر'!$B$2:$B$700,0)),0))</f>
        <v/>
      </c>
    </row>
    <row r="1693" customFormat="false" ht="15" hidden="false" customHeight="false" outlineLevel="0" collapsed="false">
      <c r="A1693" s="102"/>
      <c r="E1693" s="103" t="str">
        <f aca="false">IF($C1693="","",IFERROR(INDEX(المنيو!$C$2:$C$500,MATCH($C1693,المنيو!$B$2:$B$500,0)),0))</f>
        <v/>
      </c>
      <c r="F1693" s="103" t="str">
        <f aca="false">IF($C1693="","",$D1693*$E1693)</f>
        <v/>
      </c>
      <c r="G1693" s="103" t="str">
        <f aca="false">IF($C1693="","",$D1693*IFERROR(INDEX('تحليل التكلفة والسعر'!$C$2:$C$700,MATCH($C1693,'تحليل التكلفة والسعر'!$B$2:$B$700,0)),0))</f>
        <v/>
      </c>
    </row>
    <row r="1694" customFormat="false" ht="15" hidden="false" customHeight="false" outlineLevel="0" collapsed="false">
      <c r="A1694" s="102"/>
      <c r="E1694" s="103" t="str">
        <f aca="false">IF($C1694="","",IFERROR(INDEX(المنيو!$C$2:$C$500,MATCH($C1694,المنيو!$B$2:$B$500,0)),0))</f>
        <v/>
      </c>
      <c r="F1694" s="103" t="str">
        <f aca="false">IF($C1694="","",$D1694*$E1694)</f>
        <v/>
      </c>
      <c r="G1694" s="103" t="str">
        <f aca="false">IF($C1694="","",$D1694*IFERROR(INDEX('تحليل التكلفة والسعر'!$C$2:$C$700,MATCH($C1694,'تحليل التكلفة والسعر'!$B$2:$B$700,0)),0))</f>
        <v/>
      </c>
    </row>
    <row r="1695" customFormat="false" ht="15" hidden="false" customHeight="false" outlineLevel="0" collapsed="false">
      <c r="A1695" s="102"/>
      <c r="E1695" s="103" t="str">
        <f aca="false">IF($C1695="","",IFERROR(INDEX(المنيو!$C$2:$C$500,MATCH($C1695,المنيو!$B$2:$B$500,0)),0))</f>
        <v/>
      </c>
      <c r="F1695" s="103" t="str">
        <f aca="false">IF($C1695="","",$D1695*$E1695)</f>
        <v/>
      </c>
      <c r="G1695" s="103" t="str">
        <f aca="false">IF($C1695="","",$D1695*IFERROR(INDEX('تحليل التكلفة والسعر'!$C$2:$C$700,MATCH($C1695,'تحليل التكلفة والسعر'!$B$2:$B$700,0)),0))</f>
        <v/>
      </c>
    </row>
    <row r="1696" customFormat="false" ht="15" hidden="false" customHeight="false" outlineLevel="0" collapsed="false">
      <c r="A1696" s="102"/>
      <c r="E1696" s="103" t="str">
        <f aca="false">IF($C1696="","",IFERROR(INDEX(المنيو!$C$2:$C$500,MATCH($C1696,المنيو!$B$2:$B$500,0)),0))</f>
        <v/>
      </c>
      <c r="F1696" s="103" t="str">
        <f aca="false">IF($C1696="","",$D1696*$E1696)</f>
        <v/>
      </c>
      <c r="G1696" s="103" t="str">
        <f aca="false">IF($C1696="","",$D1696*IFERROR(INDEX('تحليل التكلفة والسعر'!$C$2:$C$700,MATCH($C1696,'تحليل التكلفة والسعر'!$B$2:$B$700,0)),0))</f>
        <v/>
      </c>
    </row>
    <row r="1697" customFormat="false" ht="15" hidden="false" customHeight="false" outlineLevel="0" collapsed="false">
      <c r="A1697" s="102"/>
      <c r="E1697" s="103" t="str">
        <f aca="false">IF($C1697="","",IFERROR(INDEX(المنيو!$C$2:$C$500,MATCH($C1697,المنيو!$B$2:$B$500,0)),0))</f>
        <v/>
      </c>
      <c r="F1697" s="103" t="str">
        <f aca="false">IF($C1697="","",$D1697*$E1697)</f>
        <v/>
      </c>
      <c r="G1697" s="103" t="str">
        <f aca="false">IF($C1697="","",$D1697*IFERROR(INDEX('تحليل التكلفة والسعر'!$C$2:$C$700,MATCH($C1697,'تحليل التكلفة والسعر'!$B$2:$B$700,0)),0))</f>
        <v/>
      </c>
    </row>
    <row r="1698" customFormat="false" ht="15" hidden="false" customHeight="false" outlineLevel="0" collapsed="false">
      <c r="A1698" s="102"/>
      <c r="E1698" s="103" t="str">
        <f aca="false">IF($C1698="","",IFERROR(INDEX(المنيو!$C$2:$C$500,MATCH($C1698,المنيو!$B$2:$B$500,0)),0))</f>
        <v/>
      </c>
      <c r="F1698" s="103" t="str">
        <f aca="false">IF($C1698="","",$D1698*$E1698)</f>
        <v/>
      </c>
      <c r="G1698" s="103" t="str">
        <f aca="false">IF($C1698="","",$D1698*IFERROR(INDEX('تحليل التكلفة والسعر'!$C$2:$C$700,MATCH($C1698,'تحليل التكلفة والسعر'!$B$2:$B$700,0)),0))</f>
        <v/>
      </c>
    </row>
    <row r="1699" customFormat="false" ht="15" hidden="false" customHeight="false" outlineLevel="0" collapsed="false">
      <c r="A1699" s="102"/>
      <c r="E1699" s="103" t="str">
        <f aca="false">IF($C1699="","",IFERROR(INDEX(المنيو!$C$2:$C$500,MATCH($C1699,المنيو!$B$2:$B$500,0)),0))</f>
        <v/>
      </c>
      <c r="F1699" s="103" t="str">
        <f aca="false">IF($C1699="","",$D1699*$E1699)</f>
        <v/>
      </c>
      <c r="G1699" s="103" t="str">
        <f aca="false">IF($C1699="","",$D1699*IFERROR(INDEX('تحليل التكلفة والسعر'!$C$2:$C$700,MATCH($C1699,'تحليل التكلفة والسعر'!$B$2:$B$700,0)),0))</f>
        <v/>
      </c>
    </row>
    <row r="1700" customFormat="false" ht="15" hidden="false" customHeight="false" outlineLevel="0" collapsed="false">
      <c r="A1700" s="102"/>
      <c r="E1700" s="103" t="str">
        <f aca="false">IF($C1700="","",IFERROR(INDEX(المنيو!$C$2:$C$500,MATCH($C1700,المنيو!$B$2:$B$500,0)),0))</f>
        <v/>
      </c>
      <c r="F1700" s="103" t="str">
        <f aca="false">IF($C1700="","",$D1700*$E1700)</f>
        <v/>
      </c>
      <c r="G1700" s="103" t="str">
        <f aca="false">IF($C1700="","",$D1700*IFERROR(INDEX('تحليل التكلفة والسعر'!$C$2:$C$700,MATCH($C1700,'تحليل التكلفة والسعر'!$B$2:$B$700,0)),0))</f>
        <v/>
      </c>
    </row>
    <row r="1701" customFormat="false" ht="15" hidden="false" customHeight="false" outlineLevel="0" collapsed="false">
      <c r="A1701" s="102"/>
      <c r="E1701" s="103" t="str">
        <f aca="false">IF($C1701="","",IFERROR(INDEX(المنيو!$C$2:$C$500,MATCH($C1701,المنيو!$B$2:$B$500,0)),0))</f>
        <v/>
      </c>
      <c r="F1701" s="103" t="str">
        <f aca="false">IF($C1701="","",$D1701*$E1701)</f>
        <v/>
      </c>
      <c r="G1701" s="103" t="str">
        <f aca="false">IF($C1701="","",$D1701*IFERROR(INDEX('تحليل التكلفة والسعر'!$C$2:$C$700,MATCH($C1701,'تحليل التكلفة والسعر'!$B$2:$B$700,0)),0))</f>
        <v/>
      </c>
    </row>
    <row r="1702" customFormat="false" ht="15" hidden="false" customHeight="false" outlineLevel="0" collapsed="false">
      <c r="A1702" s="102"/>
      <c r="E1702" s="103" t="str">
        <f aca="false">IF($C1702="","",IFERROR(INDEX(المنيو!$C$2:$C$500,MATCH($C1702,المنيو!$B$2:$B$500,0)),0))</f>
        <v/>
      </c>
      <c r="F1702" s="103" t="str">
        <f aca="false">IF($C1702="","",$D1702*$E1702)</f>
        <v/>
      </c>
      <c r="G1702" s="103" t="str">
        <f aca="false">IF($C1702="","",$D1702*IFERROR(INDEX('تحليل التكلفة والسعر'!$C$2:$C$700,MATCH($C1702,'تحليل التكلفة والسعر'!$B$2:$B$700,0)),0))</f>
        <v/>
      </c>
    </row>
    <row r="1703" customFormat="false" ht="15" hidden="false" customHeight="false" outlineLevel="0" collapsed="false">
      <c r="A1703" s="102"/>
      <c r="E1703" s="103" t="str">
        <f aca="false">IF($C1703="","",IFERROR(INDEX(المنيو!$C$2:$C$500,MATCH($C1703,المنيو!$B$2:$B$500,0)),0))</f>
        <v/>
      </c>
      <c r="F1703" s="103" t="str">
        <f aca="false">IF($C1703="","",$D1703*$E1703)</f>
        <v/>
      </c>
      <c r="G1703" s="103" t="str">
        <f aca="false">IF($C1703="","",$D1703*IFERROR(INDEX('تحليل التكلفة والسعر'!$C$2:$C$700,MATCH($C1703,'تحليل التكلفة والسعر'!$B$2:$B$700,0)),0))</f>
        <v/>
      </c>
    </row>
    <row r="1704" customFormat="false" ht="15" hidden="false" customHeight="false" outlineLevel="0" collapsed="false">
      <c r="A1704" s="102"/>
      <c r="E1704" s="103" t="str">
        <f aca="false">IF($C1704="","",IFERROR(INDEX(المنيو!$C$2:$C$500,MATCH($C1704,المنيو!$B$2:$B$500,0)),0))</f>
        <v/>
      </c>
      <c r="F1704" s="103" t="str">
        <f aca="false">IF($C1704="","",$D1704*$E1704)</f>
        <v/>
      </c>
      <c r="G1704" s="103" t="str">
        <f aca="false">IF($C1704="","",$D1704*IFERROR(INDEX('تحليل التكلفة والسعر'!$C$2:$C$700,MATCH($C1704,'تحليل التكلفة والسعر'!$B$2:$B$700,0)),0))</f>
        <v/>
      </c>
    </row>
    <row r="1705" customFormat="false" ht="15" hidden="false" customHeight="false" outlineLevel="0" collapsed="false">
      <c r="A1705" s="102"/>
      <c r="E1705" s="103" t="str">
        <f aca="false">IF($C1705="","",IFERROR(INDEX(المنيو!$C$2:$C$500,MATCH($C1705,المنيو!$B$2:$B$500,0)),0))</f>
        <v/>
      </c>
      <c r="F1705" s="103" t="str">
        <f aca="false">IF($C1705="","",$D1705*$E1705)</f>
        <v/>
      </c>
      <c r="G1705" s="103" t="str">
        <f aca="false">IF($C1705="","",$D1705*IFERROR(INDEX('تحليل التكلفة والسعر'!$C$2:$C$700,MATCH($C1705,'تحليل التكلفة والسعر'!$B$2:$B$700,0)),0))</f>
        <v/>
      </c>
    </row>
    <row r="1706" customFormat="false" ht="15" hidden="false" customHeight="false" outlineLevel="0" collapsed="false">
      <c r="A1706" s="102"/>
      <c r="E1706" s="103" t="str">
        <f aca="false">IF($C1706="","",IFERROR(INDEX(المنيو!$C$2:$C$500,MATCH($C1706,المنيو!$B$2:$B$500,0)),0))</f>
        <v/>
      </c>
      <c r="F1706" s="103" t="str">
        <f aca="false">IF($C1706="","",$D1706*$E1706)</f>
        <v/>
      </c>
      <c r="G1706" s="103" t="str">
        <f aca="false">IF($C1706="","",$D1706*IFERROR(INDEX('تحليل التكلفة والسعر'!$C$2:$C$700,MATCH($C1706,'تحليل التكلفة والسعر'!$B$2:$B$700,0)),0))</f>
        <v/>
      </c>
    </row>
    <row r="1707" customFormat="false" ht="15" hidden="false" customHeight="false" outlineLevel="0" collapsed="false">
      <c r="A1707" s="102"/>
      <c r="E1707" s="103" t="str">
        <f aca="false">IF($C1707="","",IFERROR(INDEX(المنيو!$C$2:$C$500,MATCH($C1707,المنيو!$B$2:$B$500,0)),0))</f>
        <v/>
      </c>
      <c r="F1707" s="103" t="str">
        <f aca="false">IF($C1707="","",$D1707*$E1707)</f>
        <v/>
      </c>
      <c r="G1707" s="103" t="str">
        <f aca="false">IF($C1707="","",$D1707*IFERROR(INDEX('تحليل التكلفة والسعر'!$C$2:$C$700,MATCH($C1707,'تحليل التكلفة والسعر'!$B$2:$B$700,0)),0))</f>
        <v/>
      </c>
    </row>
    <row r="1708" customFormat="false" ht="15" hidden="false" customHeight="false" outlineLevel="0" collapsed="false">
      <c r="A1708" s="102"/>
      <c r="E1708" s="103" t="str">
        <f aca="false">IF($C1708="","",IFERROR(INDEX(المنيو!$C$2:$C$500,MATCH($C1708,المنيو!$B$2:$B$500,0)),0))</f>
        <v/>
      </c>
      <c r="F1708" s="103" t="str">
        <f aca="false">IF($C1708="","",$D1708*$E1708)</f>
        <v/>
      </c>
      <c r="G1708" s="103" t="str">
        <f aca="false">IF($C1708="","",$D1708*IFERROR(INDEX('تحليل التكلفة والسعر'!$C$2:$C$700,MATCH($C1708,'تحليل التكلفة والسعر'!$B$2:$B$700,0)),0))</f>
        <v/>
      </c>
    </row>
    <row r="1709" customFormat="false" ht="15" hidden="false" customHeight="false" outlineLevel="0" collapsed="false">
      <c r="A1709" s="102"/>
      <c r="E1709" s="103" t="str">
        <f aca="false">IF($C1709="","",IFERROR(INDEX(المنيو!$C$2:$C$500,MATCH($C1709,المنيو!$B$2:$B$500,0)),0))</f>
        <v/>
      </c>
      <c r="F1709" s="103" t="str">
        <f aca="false">IF($C1709="","",$D1709*$E1709)</f>
        <v/>
      </c>
      <c r="G1709" s="103" t="str">
        <f aca="false">IF($C1709="","",$D1709*IFERROR(INDEX('تحليل التكلفة والسعر'!$C$2:$C$700,MATCH($C1709,'تحليل التكلفة والسعر'!$B$2:$B$700,0)),0))</f>
        <v/>
      </c>
    </row>
    <row r="1710" customFormat="false" ht="15" hidden="false" customHeight="false" outlineLevel="0" collapsed="false">
      <c r="A1710" s="102"/>
      <c r="E1710" s="103" t="str">
        <f aca="false">IF($C1710="","",IFERROR(INDEX(المنيو!$C$2:$C$500,MATCH($C1710,المنيو!$B$2:$B$500,0)),0))</f>
        <v/>
      </c>
      <c r="F1710" s="103" t="str">
        <f aca="false">IF($C1710="","",$D1710*$E1710)</f>
        <v/>
      </c>
      <c r="G1710" s="103" t="str">
        <f aca="false">IF($C1710="","",$D1710*IFERROR(INDEX('تحليل التكلفة والسعر'!$C$2:$C$700,MATCH($C1710,'تحليل التكلفة والسعر'!$B$2:$B$700,0)),0))</f>
        <v/>
      </c>
    </row>
    <row r="1711" customFormat="false" ht="15" hidden="false" customHeight="false" outlineLevel="0" collapsed="false">
      <c r="A1711" s="102"/>
      <c r="E1711" s="103" t="str">
        <f aca="false">IF($C1711="","",IFERROR(INDEX(المنيو!$C$2:$C$500,MATCH($C1711,المنيو!$B$2:$B$500,0)),0))</f>
        <v/>
      </c>
      <c r="F1711" s="103" t="str">
        <f aca="false">IF($C1711="","",$D1711*$E1711)</f>
        <v/>
      </c>
      <c r="G1711" s="103" t="str">
        <f aca="false">IF($C1711="","",$D1711*IFERROR(INDEX('تحليل التكلفة والسعر'!$C$2:$C$700,MATCH($C1711,'تحليل التكلفة والسعر'!$B$2:$B$700,0)),0))</f>
        <v/>
      </c>
    </row>
    <row r="1712" customFormat="false" ht="15" hidden="false" customHeight="false" outlineLevel="0" collapsed="false">
      <c r="A1712" s="102"/>
      <c r="E1712" s="103" t="str">
        <f aca="false">IF($C1712="","",IFERROR(INDEX(المنيو!$C$2:$C$500,MATCH($C1712,المنيو!$B$2:$B$500,0)),0))</f>
        <v/>
      </c>
      <c r="F1712" s="103" t="str">
        <f aca="false">IF($C1712="","",$D1712*$E1712)</f>
        <v/>
      </c>
      <c r="G1712" s="103" t="str">
        <f aca="false">IF($C1712="","",$D1712*IFERROR(INDEX('تحليل التكلفة والسعر'!$C$2:$C$700,MATCH($C1712,'تحليل التكلفة والسعر'!$B$2:$B$700,0)),0))</f>
        <v/>
      </c>
    </row>
    <row r="1713" customFormat="false" ht="15" hidden="false" customHeight="false" outlineLevel="0" collapsed="false">
      <c r="A1713" s="102"/>
      <c r="E1713" s="103" t="str">
        <f aca="false">IF($C1713="","",IFERROR(INDEX(المنيو!$C$2:$C$500,MATCH($C1713,المنيو!$B$2:$B$500,0)),0))</f>
        <v/>
      </c>
      <c r="F1713" s="103" t="str">
        <f aca="false">IF($C1713="","",$D1713*$E1713)</f>
        <v/>
      </c>
      <c r="G1713" s="103" t="str">
        <f aca="false">IF($C1713="","",$D1713*IFERROR(INDEX('تحليل التكلفة والسعر'!$C$2:$C$700,MATCH($C1713,'تحليل التكلفة والسعر'!$B$2:$B$700,0)),0))</f>
        <v/>
      </c>
    </row>
    <row r="1714" customFormat="false" ht="15" hidden="false" customHeight="false" outlineLevel="0" collapsed="false">
      <c r="A1714" s="102"/>
      <c r="E1714" s="103" t="str">
        <f aca="false">IF($C1714="","",IFERROR(INDEX(المنيو!$C$2:$C$500,MATCH($C1714,المنيو!$B$2:$B$500,0)),0))</f>
        <v/>
      </c>
      <c r="F1714" s="103" t="str">
        <f aca="false">IF($C1714="","",$D1714*$E1714)</f>
        <v/>
      </c>
      <c r="G1714" s="103" t="str">
        <f aca="false">IF($C1714="","",$D1714*IFERROR(INDEX('تحليل التكلفة والسعر'!$C$2:$C$700,MATCH($C1714,'تحليل التكلفة والسعر'!$B$2:$B$700,0)),0))</f>
        <v/>
      </c>
    </row>
    <row r="1715" customFormat="false" ht="15" hidden="false" customHeight="false" outlineLevel="0" collapsed="false">
      <c r="A1715" s="102"/>
      <c r="E1715" s="103" t="str">
        <f aca="false">IF($C1715="","",IFERROR(INDEX(المنيو!$C$2:$C$500,MATCH($C1715,المنيو!$B$2:$B$500,0)),0))</f>
        <v/>
      </c>
      <c r="F1715" s="103" t="str">
        <f aca="false">IF($C1715="","",$D1715*$E1715)</f>
        <v/>
      </c>
      <c r="G1715" s="103" t="str">
        <f aca="false">IF($C1715="","",$D1715*IFERROR(INDEX('تحليل التكلفة والسعر'!$C$2:$C$700,MATCH($C1715,'تحليل التكلفة والسعر'!$B$2:$B$700,0)),0))</f>
        <v/>
      </c>
    </row>
    <row r="1716" customFormat="false" ht="15" hidden="false" customHeight="false" outlineLevel="0" collapsed="false">
      <c r="A1716" s="102"/>
      <c r="E1716" s="103" t="str">
        <f aca="false">IF($C1716="","",IFERROR(INDEX(المنيو!$C$2:$C$500,MATCH($C1716,المنيو!$B$2:$B$500,0)),0))</f>
        <v/>
      </c>
      <c r="F1716" s="103" t="str">
        <f aca="false">IF($C1716="","",$D1716*$E1716)</f>
        <v/>
      </c>
      <c r="G1716" s="103" t="str">
        <f aca="false">IF($C1716="","",$D1716*IFERROR(INDEX('تحليل التكلفة والسعر'!$C$2:$C$700,MATCH($C1716,'تحليل التكلفة والسعر'!$B$2:$B$700,0)),0))</f>
        <v/>
      </c>
    </row>
    <row r="1717" customFormat="false" ht="15" hidden="false" customHeight="false" outlineLevel="0" collapsed="false">
      <c r="A1717" s="102"/>
      <c r="E1717" s="103" t="str">
        <f aca="false">IF($C1717="","",IFERROR(INDEX(المنيو!$C$2:$C$500,MATCH($C1717,المنيو!$B$2:$B$500,0)),0))</f>
        <v/>
      </c>
      <c r="F1717" s="103" t="str">
        <f aca="false">IF($C1717="","",$D1717*$E1717)</f>
        <v/>
      </c>
      <c r="G1717" s="103" t="str">
        <f aca="false">IF($C1717="","",$D1717*IFERROR(INDEX('تحليل التكلفة والسعر'!$C$2:$C$700,MATCH($C1717,'تحليل التكلفة والسعر'!$B$2:$B$700,0)),0))</f>
        <v/>
      </c>
    </row>
    <row r="1718" customFormat="false" ht="15" hidden="false" customHeight="false" outlineLevel="0" collapsed="false">
      <c r="A1718" s="102"/>
      <c r="E1718" s="103" t="str">
        <f aca="false">IF($C1718="","",IFERROR(INDEX(المنيو!$C$2:$C$500,MATCH($C1718,المنيو!$B$2:$B$500,0)),0))</f>
        <v/>
      </c>
      <c r="F1718" s="103" t="str">
        <f aca="false">IF($C1718="","",$D1718*$E1718)</f>
        <v/>
      </c>
      <c r="G1718" s="103" t="str">
        <f aca="false">IF($C1718="","",$D1718*IFERROR(INDEX('تحليل التكلفة والسعر'!$C$2:$C$700,MATCH($C1718,'تحليل التكلفة والسعر'!$B$2:$B$700,0)),0))</f>
        <v/>
      </c>
    </row>
    <row r="1719" customFormat="false" ht="15" hidden="false" customHeight="false" outlineLevel="0" collapsed="false">
      <c r="A1719" s="102"/>
      <c r="E1719" s="103" t="str">
        <f aca="false">IF($C1719="","",IFERROR(INDEX(المنيو!$C$2:$C$500,MATCH($C1719,المنيو!$B$2:$B$500,0)),0))</f>
        <v/>
      </c>
      <c r="F1719" s="103" t="str">
        <f aca="false">IF($C1719="","",$D1719*$E1719)</f>
        <v/>
      </c>
      <c r="G1719" s="103" t="str">
        <f aca="false">IF($C1719="","",$D1719*IFERROR(INDEX('تحليل التكلفة والسعر'!$C$2:$C$700,MATCH($C1719,'تحليل التكلفة والسعر'!$B$2:$B$700,0)),0))</f>
        <v/>
      </c>
    </row>
    <row r="1720" customFormat="false" ht="15" hidden="false" customHeight="false" outlineLevel="0" collapsed="false">
      <c r="A1720" s="102"/>
      <c r="E1720" s="103" t="str">
        <f aca="false">IF($C1720="","",IFERROR(INDEX(المنيو!$C$2:$C$500,MATCH($C1720,المنيو!$B$2:$B$500,0)),0))</f>
        <v/>
      </c>
      <c r="F1720" s="103" t="str">
        <f aca="false">IF($C1720="","",$D1720*$E1720)</f>
        <v/>
      </c>
      <c r="G1720" s="103" t="str">
        <f aca="false">IF($C1720="","",$D1720*IFERROR(INDEX('تحليل التكلفة والسعر'!$C$2:$C$700,MATCH($C1720,'تحليل التكلفة والسعر'!$B$2:$B$700,0)),0))</f>
        <v/>
      </c>
    </row>
    <row r="1721" customFormat="false" ht="15" hidden="false" customHeight="false" outlineLevel="0" collapsed="false">
      <c r="A1721" s="102"/>
      <c r="E1721" s="103" t="str">
        <f aca="false">IF($C1721="","",IFERROR(INDEX(المنيو!$C$2:$C$500,MATCH($C1721,المنيو!$B$2:$B$500,0)),0))</f>
        <v/>
      </c>
      <c r="F1721" s="103" t="str">
        <f aca="false">IF($C1721="","",$D1721*$E1721)</f>
        <v/>
      </c>
      <c r="G1721" s="103" t="str">
        <f aca="false">IF($C1721="","",$D1721*IFERROR(INDEX('تحليل التكلفة والسعر'!$C$2:$C$700,MATCH($C1721,'تحليل التكلفة والسعر'!$B$2:$B$700,0)),0))</f>
        <v/>
      </c>
    </row>
    <row r="1722" customFormat="false" ht="15" hidden="false" customHeight="false" outlineLevel="0" collapsed="false">
      <c r="A1722" s="102"/>
      <c r="E1722" s="103" t="str">
        <f aca="false">IF($C1722="","",IFERROR(INDEX(المنيو!$C$2:$C$500,MATCH($C1722,المنيو!$B$2:$B$500,0)),0))</f>
        <v/>
      </c>
      <c r="F1722" s="103" t="str">
        <f aca="false">IF($C1722="","",$D1722*$E1722)</f>
        <v/>
      </c>
      <c r="G1722" s="103" t="str">
        <f aca="false">IF($C1722="","",$D1722*IFERROR(INDEX('تحليل التكلفة والسعر'!$C$2:$C$700,MATCH($C1722,'تحليل التكلفة والسعر'!$B$2:$B$700,0)),0))</f>
        <v/>
      </c>
    </row>
    <row r="1723" customFormat="false" ht="15" hidden="false" customHeight="false" outlineLevel="0" collapsed="false">
      <c r="A1723" s="102"/>
      <c r="E1723" s="103" t="str">
        <f aca="false">IF($C1723="","",IFERROR(INDEX(المنيو!$C$2:$C$500,MATCH($C1723,المنيو!$B$2:$B$500,0)),0))</f>
        <v/>
      </c>
      <c r="F1723" s="103" t="str">
        <f aca="false">IF($C1723="","",$D1723*$E1723)</f>
        <v/>
      </c>
      <c r="G1723" s="103" t="str">
        <f aca="false">IF($C1723="","",$D1723*IFERROR(INDEX('تحليل التكلفة والسعر'!$C$2:$C$700,MATCH($C1723,'تحليل التكلفة والسعر'!$B$2:$B$700,0)),0))</f>
        <v/>
      </c>
    </row>
    <row r="1724" customFormat="false" ht="15" hidden="false" customHeight="false" outlineLevel="0" collapsed="false">
      <c r="A1724" s="102"/>
      <c r="E1724" s="103" t="str">
        <f aca="false">IF($C1724="","",IFERROR(INDEX(المنيو!$C$2:$C$500,MATCH($C1724,المنيو!$B$2:$B$500,0)),0))</f>
        <v/>
      </c>
      <c r="F1724" s="103" t="str">
        <f aca="false">IF($C1724="","",$D1724*$E1724)</f>
        <v/>
      </c>
      <c r="G1724" s="103" t="str">
        <f aca="false">IF($C1724="","",$D1724*IFERROR(INDEX('تحليل التكلفة والسعر'!$C$2:$C$700,MATCH($C1724,'تحليل التكلفة والسعر'!$B$2:$B$700,0)),0))</f>
        <v/>
      </c>
    </row>
    <row r="1725" customFormat="false" ht="15" hidden="false" customHeight="false" outlineLevel="0" collapsed="false">
      <c r="A1725" s="102"/>
      <c r="E1725" s="103" t="str">
        <f aca="false">IF($C1725="","",IFERROR(INDEX(المنيو!$C$2:$C$500,MATCH($C1725,المنيو!$B$2:$B$500,0)),0))</f>
        <v/>
      </c>
      <c r="F1725" s="103" t="str">
        <f aca="false">IF($C1725="","",$D1725*$E1725)</f>
        <v/>
      </c>
      <c r="G1725" s="103" t="str">
        <f aca="false">IF($C1725="","",$D1725*IFERROR(INDEX('تحليل التكلفة والسعر'!$C$2:$C$700,MATCH($C1725,'تحليل التكلفة والسعر'!$B$2:$B$700,0)),0))</f>
        <v/>
      </c>
    </row>
    <row r="1726" customFormat="false" ht="15" hidden="false" customHeight="false" outlineLevel="0" collapsed="false">
      <c r="A1726" s="102"/>
      <c r="E1726" s="103" t="str">
        <f aca="false">IF($C1726="","",IFERROR(INDEX(المنيو!$C$2:$C$500,MATCH($C1726,المنيو!$B$2:$B$500,0)),0))</f>
        <v/>
      </c>
      <c r="F1726" s="103" t="str">
        <f aca="false">IF($C1726="","",$D1726*$E1726)</f>
        <v/>
      </c>
      <c r="G1726" s="103" t="str">
        <f aca="false">IF($C1726="","",$D1726*IFERROR(INDEX('تحليل التكلفة والسعر'!$C$2:$C$700,MATCH($C1726,'تحليل التكلفة والسعر'!$B$2:$B$700,0)),0))</f>
        <v/>
      </c>
    </row>
    <row r="1727" customFormat="false" ht="15" hidden="false" customHeight="false" outlineLevel="0" collapsed="false">
      <c r="A1727" s="102"/>
      <c r="E1727" s="103" t="str">
        <f aca="false">IF($C1727="","",IFERROR(INDEX(المنيو!$C$2:$C$500,MATCH($C1727,المنيو!$B$2:$B$500,0)),0))</f>
        <v/>
      </c>
      <c r="F1727" s="103" t="str">
        <f aca="false">IF($C1727="","",$D1727*$E1727)</f>
        <v/>
      </c>
      <c r="G1727" s="103" t="str">
        <f aca="false">IF($C1727="","",$D1727*IFERROR(INDEX('تحليل التكلفة والسعر'!$C$2:$C$700,MATCH($C1727,'تحليل التكلفة والسعر'!$B$2:$B$700,0)),0))</f>
        <v/>
      </c>
    </row>
    <row r="1728" customFormat="false" ht="15" hidden="false" customHeight="false" outlineLevel="0" collapsed="false">
      <c r="A1728" s="102"/>
      <c r="E1728" s="103" t="str">
        <f aca="false">IF($C1728="","",IFERROR(INDEX(المنيو!$C$2:$C$500,MATCH($C1728,المنيو!$B$2:$B$500,0)),0))</f>
        <v/>
      </c>
      <c r="F1728" s="103" t="str">
        <f aca="false">IF($C1728="","",$D1728*$E1728)</f>
        <v/>
      </c>
      <c r="G1728" s="103" t="str">
        <f aca="false">IF($C1728="","",$D1728*IFERROR(INDEX('تحليل التكلفة والسعر'!$C$2:$C$700,MATCH($C1728,'تحليل التكلفة والسعر'!$B$2:$B$700,0)),0))</f>
        <v/>
      </c>
    </row>
    <row r="1729" customFormat="false" ht="15" hidden="false" customHeight="false" outlineLevel="0" collapsed="false">
      <c r="A1729" s="102"/>
      <c r="E1729" s="103" t="str">
        <f aca="false">IF($C1729="","",IFERROR(INDEX(المنيو!$C$2:$C$500,MATCH($C1729,المنيو!$B$2:$B$500,0)),0))</f>
        <v/>
      </c>
      <c r="F1729" s="103" t="str">
        <f aca="false">IF($C1729="","",$D1729*$E1729)</f>
        <v/>
      </c>
      <c r="G1729" s="103" t="str">
        <f aca="false">IF($C1729="","",$D1729*IFERROR(INDEX('تحليل التكلفة والسعر'!$C$2:$C$700,MATCH($C1729,'تحليل التكلفة والسعر'!$B$2:$B$700,0)),0))</f>
        <v/>
      </c>
    </row>
    <row r="1730" customFormat="false" ht="15" hidden="false" customHeight="false" outlineLevel="0" collapsed="false">
      <c r="A1730" s="102"/>
      <c r="E1730" s="103" t="str">
        <f aca="false">IF($C1730="","",IFERROR(INDEX(المنيو!$C$2:$C$500,MATCH($C1730,المنيو!$B$2:$B$500,0)),0))</f>
        <v/>
      </c>
      <c r="F1730" s="103" t="str">
        <f aca="false">IF($C1730="","",$D1730*$E1730)</f>
        <v/>
      </c>
      <c r="G1730" s="103" t="str">
        <f aca="false">IF($C1730="","",$D1730*IFERROR(INDEX('تحليل التكلفة والسعر'!$C$2:$C$700,MATCH($C1730,'تحليل التكلفة والسعر'!$B$2:$B$700,0)),0))</f>
        <v/>
      </c>
    </row>
    <row r="1731" customFormat="false" ht="15" hidden="false" customHeight="false" outlineLevel="0" collapsed="false">
      <c r="A1731" s="102"/>
      <c r="E1731" s="103" t="str">
        <f aca="false">IF($C1731="","",IFERROR(INDEX(المنيو!$C$2:$C$500,MATCH($C1731,المنيو!$B$2:$B$500,0)),0))</f>
        <v/>
      </c>
      <c r="F1731" s="103" t="str">
        <f aca="false">IF($C1731="","",$D1731*$E1731)</f>
        <v/>
      </c>
      <c r="G1731" s="103" t="str">
        <f aca="false">IF($C1731="","",$D1731*IFERROR(INDEX('تحليل التكلفة والسعر'!$C$2:$C$700,MATCH($C1731,'تحليل التكلفة والسعر'!$B$2:$B$700,0)),0))</f>
        <v/>
      </c>
    </row>
    <row r="1732" customFormat="false" ht="15" hidden="false" customHeight="false" outlineLevel="0" collapsed="false">
      <c r="A1732" s="102"/>
      <c r="E1732" s="103" t="str">
        <f aca="false">IF($C1732="","",IFERROR(INDEX(المنيو!$C$2:$C$500,MATCH($C1732,المنيو!$B$2:$B$500,0)),0))</f>
        <v/>
      </c>
      <c r="F1732" s="103" t="str">
        <f aca="false">IF($C1732="","",$D1732*$E1732)</f>
        <v/>
      </c>
      <c r="G1732" s="103" t="str">
        <f aca="false">IF($C1732="","",$D1732*IFERROR(INDEX('تحليل التكلفة والسعر'!$C$2:$C$700,MATCH($C1732,'تحليل التكلفة والسعر'!$B$2:$B$700,0)),0))</f>
        <v/>
      </c>
    </row>
    <row r="1733" customFormat="false" ht="15" hidden="false" customHeight="false" outlineLevel="0" collapsed="false">
      <c r="A1733" s="102"/>
      <c r="E1733" s="103" t="str">
        <f aca="false">IF($C1733="","",IFERROR(INDEX(المنيو!$C$2:$C$500,MATCH($C1733,المنيو!$B$2:$B$500,0)),0))</f>
        <v/>
      </c>
      <c r="F1733" s="103" t="str">
        <f aca="false">IF($C1733="","",$D1733*$E1733)</f>
        <v/>
      </c>
      <c r="G1733" s="103" t="str">
        <f aca="false">IF($C1733="","",$D1733*IFERROR(INDEX('تحليل التكلفة والسعر'!$C$2:$C$700,MATCH($C1733,'تحليل التكلفة والسعر'!$B$2:$B$700,0)),0))</f>
        <v/>
      </c>
    </row>
    <row r="1734" customFormat="false" ht="15" hidden="false" customHeight="false" outlineLevel="0" collapsed="false">
      <c r="A1734" s="102"/>
      <c r="E1734" s="103" t="str">
        <f aca="false">IF($C1734="","",IFERROR(INDEX(المنيو!$C$2:$C$500,MATCH($C1734,المنيو!$B$2:$B$500,0)),0))</f>
        <v/>
      </c>
      <c r="F1734" s="103" t="str">
        <f aca="false">IF($C1734="","",$D1734*$E1734)</f>
        <v/>
      </c>
      <c r="G1734" s="103" t="str">
        <f aca="false">IF($C1734="","",$D1734*IFERROR(INDEX('تحليل التكلفة والسعر'!$C$2:$C$700,MATCH($C1734,'تحليل التكلفة والسعر'!$B$2:$B$700,0)),0))</f>
        <v/>
      </c>
    </row>
    <row r="1735" customFormat="false" ht="15" hidden="false" customHeight="false" outlineLevel="0" collapsed="false">
      <c r="A1735" s="102"/>
      <c r="E1735" s="103" t="str">
        <f aca="false">IF($C1735="","",IFERROR(INDEX(المنيو!$C$2:$C$500,MATCH($C1735,المنيو!$B$2:$B$500,0)),0))</f>
        <v/>
      </c>
      <c r="F1735" s="103" t="str">
        <f aca="false">IF($C1735="","",$D1735*$E1735)</f>
        <v/>
      </c>
      <c r="G1735" s="103" t="str">
        <f aca="false">IF($C1735="","",$D1735*IFERROR(INDEX('تحليل التكلفة والسعر'!$C$2:$C$700,MATCH($C1735,'تحليل التكلفة والسعر'!$B$2:$B$700,0)),0))</f>
        <v/>
      </c>
    </row>
    <row r="1736" customFormat="false" ht="15" hidden="false" customHeight="false" outlineLevel="0" collapsed="false">
      <c r="A1736" s="102"/>
      <c r="E1736" s="103" t="str">
        <f aca="false">IF($C1736="","",IFERROR(INDEX(المنيو!$C$2:$C$500,MATCH($C1736,المنيو!$B$2:$B$500,0)),0))</f>
        <v/>
      </c>
      <c r="F1736" s="103" t="str">
        <f aca="false">IF($C1736="","",$D1736*$E1736)</f>
        <v/>
      </c>
      <c r="G1736" s="103" t="str">
        <f aca="false">IF($C1736="","",$D1736*IFERROR(INDEX('تحليل التكلفة والسعر'!$C$2:$C$700,MATCH($C1736,'تحليل التكلفة والسعر'!$B$2:$B$700,0)),0))</f>
        <v/>
      </c>
    </row>
    <row r="1737" customFormat="false" ht="15" hidden="false" customHeight="false" outlineLevel="0" collapsed="false">
      <c r="A1737" s="102"/>
      <c r="E1737" s="103" t="str">
        <f aca="false">IF($C1737="","",IFERROR(INDEX(المنيو!$C$2:$C$500,MATCH($C1737,المنيو!$B$2:$B$500,0)),0))</f>
        <v/>
      </c>
      <c r="F1737" s="103" t="str">
        <f aca="false">IF($C1737="","",$D1737*$E1737)</f>
        <v/>
      </c>
      <c r="G1737" s="103" t="str">
        <f aca="false">IF($C1737="","",$D1737*IFERROR(INDEX('تحليل التكلفة والسعر'!$C$2:$C$700,MATCH($C1737,'تحليل التكلفة والسعر'!$B$2:$B$700,0)),0))</f>
        <v/>
      </c>
    </row>
    <row r="1738" customFormat="false" ht="15" hidden="false" customHeight="false" outlineLevel="0" collapsed="false">
      <c r="A1738" s="102"/>
      <c r="E1738" s="103" t="str">
        <f aca="false">IF($C1738="","",IFERROR(INDEX(المنيو!$C$2:$C$500,MATCH($C1738,المنيو!$B$2:$B$500,0)),0))</f>
        <v/>
      </c>
      <c r="F1738" s="103" t="str">
        <f aca="false">IF($C1738="","",$D1738*$E1738)</f>
        <v/>
      </c>
      <c r="G1738" s="103" t="str">
        <f aca="false">IF($C1738="","",$D1738*IFERROR(INDEX('تحليل التكلفة والسعر'!$C$2:$C$700,MATCH($C1738,'تحليل التكلفة والسعر'!$B$2:$B$700,0)),0))</f>
        <v/>
      </c>
    </row>
    <row r="1739" customFormat="false" ht="15" hidden="false" customHeight="false" outlineLevel="0" collapsed="false">
      <c r="A1739" s="102"/>
      <c r="E1739" s="103" t="str">
        <f aca="false">IF($C1739="","",IFERROR(INDEX(المنيو!$C$2:$C$500,MATCH($C1739,المنيو!$B$2:$B$500,0)),0))</f>
        <v/>
      </c>
      <c r="F1739" s="103" t="str">
        <f aca="false">IF($C1739="","",$D1739*$E1739)</f>
        <v/>
      </c>
      <c r="G1739" s="103" t="str">
        <f aca="false">IF($C1739="","",$D1739*IFERROR(INDEX('تحليل التكلفة والسعر'!$C$2:$C$700,MATCH($C1739,'تحليل التكلفة والسعر'!$B$2:$B$700,0)),0))</f>
        <v/>
      </c>
    </row>
    <row r="1740" customFormat="false" ht="15" hidden="false" customHeight="false" outlineLevel="0" collapsed="false">
      <c r="A1740" s="102"/>
      <c r="E1740" s="103" t="str">
        <f aca="false">IF($C1740="","",IFERROR(INDEX(المنيو!$C$2:$C$500,MATCH($C1740,المنيو!$B$2:$B$500,0)),0))</f>
        <v/>
      </c>
      <c r="F1740" s="103" t="str">
        <f aca="false">IF($C1740="","",$D1740*$E1740)</f>
        <v/>
      </c>
      <c r="G1740" s="103" t="str">
        <f aca="false">IF($C1740="","",$D1740*IFERROR(INDEX('تحليل التكلفة والسعر'!$C$2:$C$700,MATCH($C1740,'تحليل التكلفة والسعر'!$B$2:$B$700,0)),0))</f>
        <v/>
      </c>
    </row>
    <row r="1741" customFormat="false" ht="15" hidden="false" customHeight="false" outlineLevel="0" collapsed="false">
      <c r="A1741" s="102"/>
      <c r="E1741" s="103" t="str">
        <f aca="false">IF($C1741="","",IFERROR(INDEX(المنيو!$C$2:$C$500,MATCH($C1741,المنيو!$B$2:$B$500,0)),0))</f>
        <v/>
      </c>
      <c r="F1741" s="103" t="str">
        <f aca="false">IF($C1741="","",$D1741*$E1741)</f>
        <v/>
      </c>
      <c r="G1741" s="103" t="str">
        <f aca="false">IF($C1741="","",$D1741*IFERROR(INDEX('تحليل التكلفة والسعر'!$C$2:$C$700,MATCH($C1741,'تحليل التكلفة والسعر'!$B$2:$B$700,0)),0))</f>
        <v/>
      </c>
    </row>
    <row r="1742" customFormat="false" ht="15" hidden="false" customHeight="false" outlineLevel="0" collapsed="false">
      <c r="A1742" s="102"/>
      <c r="E1742" s="103" t="str">
        <f aca="false">IF($C1742="","",IFERROR(INDEX(المنيو!$C$2:$C$500,MATCH($C1742,المنيو!$B$2:$B$500,0)),0))</f>
        <v/>
      </c>
      <c r="F1742" s="103" t="str">
        <f aca="false">IF($C1742="","",$D1742*$E1742)</f>
        <v/>
      </c>
      <c r="G1742" s="103" t="str">
        <f aca="false">IF($C1742="","",$D1742*IFERROR(INDEX('تحليل التكلفة والسعر'!$C$2:$C$700,MATCH($C1742,'تحليل التكلفة والسعر'!$B$2:$B$700,0)),0))</f>
        <v/>
      </c>
    </row>
    <row r="1743" customFormat="false" ht="15" hidden="false" customHeight="false" outlineLevel="0" collapsed="false">
      <c r="A1743" s="102"/>
      <c r="E1743" s="103" t="str">
        <f aca="false">IF($C1743="","",IFERROR(INDEX(المنيو!$C$2:$C$500,MATCH($C1743,المنيو!$B$2:$B$500,0)),0))</f>
        <v/>
      </c>
      <c r="F1743" s="103" t="str">
        <f aca="false">IF($C1743="","",$D1743*$E1743)</f>
        <v/>
      </c>
      <c r="G1743" s="103" t="str">
        <f aca="false">IF($C1743="","",$D1743*IFERROR(INDEX('تحليل التكلفة والسعر'!$C$2:$C$700,MATCH($C1743,'تحليل التكلفة والسعر'!$B$2:$B$700,0)),0))</f>
        <v/>
      </c>
    </row>
    <row r="1744" customFormat="false" ht="15" hidden="false" customHeight="false" outlineLevel="0" collapsed="false">
      <c r="A1744" s="102"/>
      <c r="E1744" s="103" t="str">
        <f aca="false">IF($C1744="","",IFERROR(INDEX(المنيو!$C$2:$C$500,MATCH($C1744,المنيو!$B$2:$B$500,0)),0))</f>
        <v/>
      </c>
      <c r="F1744" s="103" t="str">
        <f aca="false">IF($C1744="","",$D1744*$E1744)</f>
        <v/>
      </c>
      <c r="G1744" s="103" t="str">
        <f aca="false">IF($C1744="","",$D1744*IFERROR(INDEX('تحليل التكلفة والسعر'!$C$2:$C$700,MATCH($C1744,'تحليل التكلفة والسعر'!$B$2:$B$700,0)),0))</f>
        <v/>
      </c>
    </row>
    <row r="1745" customFormat="false" ht="15" hidden="false" customHeight="false" outlineLevel="0" collapsed="false">
      <c r="A1745" s="102"/>
      <c r="E1745" s="103" t="str">
        <f aca="false">IF($C1745="","",IFERROR(INDEX(المنيو!$C$2:$C$500,MATCH($C1745,المنيو!$B$2:$B$500,0)),0))</f>
        <v/>
      </c>
      <c r="F1745" s="103" t="str">
        <f aca="false">IF($C1745="","",$D1745*$E1745)</f>
        <v/>
      </c>
      <c r="G1745" s="103" t="str">
        <f aca="false">IF($C1745="","",$D1745*IFERROR(INDEX('تحليل التكلفة والسعر'!$C$2:$C$700,MATCH($C1745,'تحليل التكلفة والسعر'!$B$2:$B$700,0)),0))</f>
        <v/>
      </c>
    </row>
    <row r="1746" customFormat="false" ht="15" hidden="false" customHeight="false" outlineLevel="0" collapsed="false">
      <c r="A1746" s="102"/>
      <c r="E1746" s="103" t="str">
        <f aca="false">IF($C1746="","",IFERROR(INDEX(المنيو!$C$2:$C$500,MATCH($C1746,المنيو!$B$2:$B$500,0)),0))</f>
        <v/>
      </c>
      <c r="F1746" s="103" t="str">
        <f aca="false">IF($C1746="","",$D1746*$E1746)</f>
        <v/>
      </c>
      <c r="G1746" s="103" t="str">
        <f aca="false">IF($C1746="","",$D1746*IFERROR(INDEX('تحليل التكلفة والسعر'!$C$2:$C$700,MATCH($C1746,'تحليل التكلفة والسعر'!$B$2:$B$700,0)),0))</f>
        <v/>
      </c>
    </row>
    <row r="1747" customFormat="false" ht="15" hidden="false" customHeight="false" outlineLevel="0" collapsed="false">
      <c r="A1747" s="102"/>
      <c r="E1747" s="103" t="str">
        <f aca="false">IF($C1747="","",IFERROR(INDEX(المنيو!$C$2:$C$500,MATCH($C1747,المنيو!$B$2:$B$500,0)),0))</f>
        <v/>
      </c>
      <c r="F1747" s="103" t="str">
        <f aca="false">IF($C1747="","",$D1747*$E1747)</f>
        <v/>
      </c>
      <c r="G1747" s="103" t="str">
        <f aca="false">IF($C1747="","",$D1747*IFERROR(INDEX('تحليل التكلفة والسعر'!$C$2:$C$700,MATCH($C1747,'تحليل التكلفة والسعر'!$B$2:$B$700,0)),0))</f>
        <v/>
      </c>
    </row>
    <row r="1748" customFormat="false" ht="15" hidden="false" customHeight="false" outlineLevel="0" collapsed="false">
      <c r="A1748" s="102"/>
      <c r="E1748" s="103" t="str">
        <f aca="false">IF($C1748="","",IFERROR(INDEX(المنيو!$C$2:$C$500,MATCH($C1748,المنيو!$B$2:$B$500,0)),0))</f>
        <v/>
      </c>
      <c r="F1748" s="103" t="str">
        <f aca="false">IF($C1748="","",$D1748*$E1748)</f>
        <v/>
      </c>
      <c r="G1748" s="103" t="str">
        <f aca="false">IF($C1748="","",$D1748*IFERROR(INDEX('تحليل التكلفة والسعر'!$C$2:$C$700,MATCH($C1748,'تحليل التكلفة والسعر'!$B$2:$B$700,0)),0))</f>
        <v/>
      </c>
    </row>
    <row r="1749" customFormat="false" ht="15" hidden="false" customHeight="false" outlineLevel="0" collapsed="false">
      <c r="A1749" s="102"/>
      <c r="E1749" s="103" t="str">
        <f aca="false">IF($C1749="","",IFERROR(INDEX(المنيو!$C$2:$C$500,MATCH($C1749,المنيو!$B$2:$B$500,0)),0))</f>
        <v/>
      </c>
      <c r="F1749" s="103" t="str">
        <f aca="false">IF($C1749="","",$D1749*$E1749)</f>
        <v/>
      </c>
      <c r="G1749" s="103" t="str">
        <f aca="false">IF($C1749="","",$D1749*IFERROR(INDEX('تحليل التكلفة والسعر'!$C$2:$C$700,MATCH($C1749,'تحليل التكلفة والسعر'!$B$2:$B$700,0)),0))</f>
        <v/>
      </c>
    </row>
    <row r="1750" customFormat="false" ht="15" hidden="false" customHeight="false" outlineLevel="0" collapsed="false">
      <c r="A1750" s="102"/>
      <c r="E1750" s="103" t="str">
        <f aca="false">IF($C1750="","",IFERROR(INDEX(المنيو!$C$2:$C$500,MATCH($C1750,المنيو!$B$2:$B$500,0)),0))</f>
        <v/>
      </c>
      <c r="F1750" s="103" t="str">
        <f aca="false">IF($C1750="","",$D1750*$E1750)</f>
        <v/>
      </c>
      <c r="G1750" s="103" t="str">
        <f aca="false">IF($C1750="","",$D1750*IFERROR(INDEX('تحليل التكلفة والسعر'!$C$2:$C$700,MATCH($C1750,'تحليل التكلفة والسعر'!$B$2:$B$700,0)),0))</f>
        <v/>
      </c>
    </row>
    <row r="1751" customFormat="false" ht="15" hidden="false" customHeight="false" outlineLevel="0" collapsed="false">
      <c r="A1751" s="102"/>
      <c r="E1751" s="103" t="str">
        <f aca="false">IF($C1751="","",IFERROR(INDEX(المنيو!$C$2:$C$500,MATCH($C1751,المنيو!$B$2:$B$500,0)),0))</f>
        <v/>
      </c>
      <c r="F1751" s="103" t="str">
        <f aca="false">IF($C1751="","",$D1751*$E1751)</f>
        <v/>
      </c>
      <c r="G1751" s="103" t="str">
        <f aca="false">IF($C1751="","",$D1751*IFERROR(INDEX('تحليل التكلفة والسعر'!$C$2:$C$700,MATCH($C1751,'تحليل التكلفة والسعر'!$B$2:$B$700,0)),0))</f>
        <v/>
      </c>
    </row>
    <row r="1752" customFormat="false" ht="15" hidden="false" customHeight="false" outlineLevel="0" collapsed="false">
      <c r="A1752" s="102"/>
      <c r="E1752" s="103" t="str">
        <f aca="false">IF($C1752="","",IFERROR(INDEX(المنيو!$C$2:$C$500,MATCH($C1752,المنيو!$B$2:$B$500,0)),0))</f>
        <v/>
      </c>
      <c r="F1752" s="103" t="str">
        <f aca="false">IF($C1752="","",$D1752*$E1752)</f>
        <v/>
      </c>
      <c r="G1752" s="103" t="str">
        <f aca="false">IF($C1752="","",$D1752*IFERROR(INDEX('تحليل التكلفة والسعر'!$C$2:$C$700,MATCH($C1752,'تحليل التكلفة والسعر'!$B$2:$B$700,0)),0))</f>
        <v/>
      </c>
    </row>
    <row r="1753" customFormat="false" ht="15" hidden="false" customHeight="false" outlineLevel="0" collapsed="false">
      <c r="A1753" s="102"/>
      <c r="E1753" s="103" t="str">
        <f aca="false">IF($C1753="","",IFERROR(INDEX(المنيو!$C$2:$C$500,MATCH($C1753,المنيو!$B$2:$B$500,0)),0))</f>
        <v/>
      </c>
      <c r="F1753" s="103" t="str">
        <f aca="false">IF($C1753="","",$D1753*$E1753)</f>
        <v/>
      </c>
      <c r="G1753" s="103" t="str">
        <f aca="false">IF($C1753="","",$D1753*IFERROR(INDEX('تحليل التكلفة والسعر'!$C$2:$C$700,MATCH($C1753,'تحليل التكلفة والسعر'!$B$2:$B$700,0)),0))</f>
        <v/>
      </c>
    </row>
    <row r="1754" customFormat="false" ht="15" hidden="false" customHeight="false" outlineLevel="0" collapsed="false">
      <c r="A1754" s="102"/>
      <c r="E1754" s="103" t="str">
        <f aca="false">IF($C1754="","",IFERROR(INDEX(المنيو!$C$2:$C$500,MATCH($C1754,المنيو!$B$2:$B$500,0)),0))</f>
        <v/>
      </c>
      <c r="F1754" s="103" t="str">
        <f aca="false">IF($C1754="","",$D1754*$E1754)</f>
        <v/>
      </c>
      <c r="G1754" s="103" t="str">
        <f aca="false">IF($C1754="","",$D1754*IFERROR(INDEX('تحليل التكلفة والسعر'!$C$2:$C$700,MATCH($C1754,'تحليل التكلفة والسعر'!$B$2:$B$700,0)),0))</f>
        <v/>
      </c>
    </row>
    <row r="1755" customFormat="false" ht="15" hidden="false" customHeight="false" outlineLevel="0" collapsed="false">
      <c r="A1755" s="102"/>
      <c r="E1755" s="103" t="str">
        <f aca="false">IF($C1755="","",IFERROR(INDEX(المنيو!$C$2:$C$500,MATCH($C1755,المنيو!$B$2:$B$500,0)),0))</f>
        <v/>
      </c>
      <c r="F1755" s="103" t="str">
        <f aca="false">IF($C1755="","",$D1755*$E1755)</f>
        <v/>
      </c>
      <c r="G1755" s="103" t="str">
        <f aca="false">IF($C1755="","",$D1755*IFERROR(INDEX('تحليل التكلفة والسعر'!$C$2:$C$700,MATCH($C1755,'تحليل التكلفة والسعر'!$B$2:$B$700,0)),0))</f>
        <v/>
      </c>
    </row>
    <row r="1756" customFormat="false" ht="15" hidden="false" customHeight="false" outlineLevel="0" collapsed="false">
      <c r="A1756" s="102"/>
      <c r="E1756" s="103" t="str">
        <f aca="false">IF($C1756="","",IFERROR(INDEX(المنيو!$C$2:$C$500,MATCH($C1756,المنيو!$B$2:$B$500,0)),0))</f>
        <v/>
      </c>
      <c r="F1756" s="103" t="str">
        <f aca="false">IF($C1756="","",$D1756*$E1756)</f>
        <v/>
      </c>
      <c r="G1756" s="103" t="str">
        <f aca="false">IF($C1756="","",$D1756*IFERROR(INDEX('تحليل التكلفة والسعر'!$C$2:$C$700,MATCH($C1756,'تحليل التكلفة والسعر'!$B$2:$B$700,0)),0))</f>
        <v/>
      </c>
    </row>
    <row r="1757" customFormat="false" ht="15" hidden="false" customHeight="false" outlineLevel="0" collapsed="false">
      <c r="A1757" s="102"/>
      <c r="E1757" s="103" t="str">
        <f aca="false">IF($C1757="","",IFERROR(INDEX(المنيو!$C$2:$C$500,MATCH($C1757,المنيو!$B$2:$B$500,0)),0))</f>
        <v/>
      </c>
      <c r="F1757" s="103" t="str">
        <f aca="false">IF($C1757="","",$D1757*$E1757)</f>
        <v/>
      </c>
      <c r="G1757" s="103" t="str">
        <f aca="false">IF($C1757="","",$D1757*IFERROR(INDEX('تحليل التكلفة والسعر'!$C$2:$C$700,MATCH($C1757,'تحليل التكلفة والسعر'!$B$2:$B$700,0)),0))</f>
        <v/>
      </c>
    </row>
    <row r="1758" customFormat="false" ht="15" hidden="false" customHeight="false" outlineLevel="0" collapsed="false">
      <c r="A1758" s="102"/>
      <c r="E1758" s="103" t="str">
        <f aca="false">IF($C1758="","",IFERROR(INDEX(المنيو!$C$2:$C$500,MATCH($C1758,المنيو!$B$2:$B$500,0)),0))</f>
        <v/>
      </c>
      <c r="F1758" s="103" t="str">
        <f aca="false">IF($C1758="","",$D1758*$E1758)</f>
        <v/>
      </c>
      <c r="G1758" s="103" t="str">
        <f aca="false">IF($C1758="","",$D1758*IFERROR(INDEX('تحليل التكلفة والسعر'!$C$2:$C$700,MATCH($C1758,'تحليل التكلفة والسعر'!$B$2:$B$700,0)),0))</f>
        <v/>
      </c>
    </row>
    <row r="1759" customFormat="false" ht="15" hidden="false" customHeight="false" outlineLevel="0" collapsed="false">
      <c r="A1759" s="102"/>
      <c r="E1759" s="103" t="str">
        <f aca="false">IF($C1759="","",IFERROR(INDEX(المنيو!$C$2:$C$500,MATCH($C1759,المنيو!$B$2:$B$500,0)),0))</f>
        <v/>
      </c>
      <c r="F1759" s="103" t="str">
        <f aca="false">IF($C1759="","",$D1759*$E1759)</f>
        <v/>
      </c>
      <c r="G1759" s="103" t="str">
        <f aca="false">IF($C1759="","",$D1759*IFERROR(INDEX('تحليل التكلفة والسعر'!$C$2:$C$700,MATCH($C1759,'تحليل التكلفة والسعر'!$B$2:$B$700,0)),0))</f>
        <v/>
      </c>
    </row>
    <row r="1760" customFormat="false" ht="15" hidden="false" customHeight="false" outlineLevel="0" collapsed="false">
      <c r="A1760" s="102"/>
      <c r="E1760" s="103" t="str">
        <f aca="false">IF($C1760="","",IFERROR(INDEX(المنيو!$C$2:$C$500,MATCH($C1760,المنيو!$B$2:$B$500,0)),0))</f>
        <v/>
      </c>
      <c r="F1760" s="103" t="str">
        <f aca="false">IF($C1760="","",$D1760*$E1760)</f>
        <v/>
      </c>
      <c r="G1760" s="103" t="str">
        <f aca="false">IF($C1760="","",$D1760*IFERROR(INDEX('تحليل التكلفة والسعر'!$C$2:$C$700,MATCH($C1760,'تحليل التكلفة والسعر'!$B$2:$B$700,0)),0))</f>
        <v/>
      </c>
    </row>
    <row r="1761" customFormat="false" ht="15" hidden="false" customHeight="false" outlineLevel="0" collapsed="false">
      <c r="A1761" s="102"/>
      <c r="E1761" s="103" t="str">
        <f aca="false">IF($C1761="","",IFERROR(INDEX(المنيو!$C$2:$C$500,MATCH($C1761,المنيو!$B$2:$B$500,0)),0))</f>
        <v/>
      </c>
      <c r="F1761" s="103" t="str">
        <f aca="false">IF($C1761="","",$D1761*$E1761)</f>
        <v/>
      </c>
      <c r="G1761" s="103" t="str">
        <f aca="false">IF($C1761="","",$D1761*IFERROR(INDEX('تحليل التكلفة والسعر'!$C$2:$C$700,MATCH($C1761,'تحليل التكلفة والسعر'!$B$2:$B$700,0)),0))</f>
        <v/>
      </c>
    </row>
    <row r="1762" customFormat="false" ht="15" hidden="false" customHeight="false" outlineLevel="0" collapsed="false">
      <c r="A1762" s="102"/>
      <c r="E1762" s="103" t="str">
        <f aca="false">IF($C1762="","",IFERROR(INDEX(المنيو!$C$2:$C$500,MATCH($C1762,المنيو!$B$2:$B$500,0)),0))</f>
        <v/>
      </c>
      <c r="F1762" s="103" t="str">
        <f aca="false">IF($C1762="","",$D1762*$E1762)</f>
        <v/>
      </c>
      <c r="G1762" s="103" t="str">
        <f aca="false">IF($C1762="","",$D1762*IFERROR(INDEX('تحليل التكلفة والسعر'!$C$2:$C$700,MATCH($C1762,'تحليل التكلفة والسعر'!$B$2:$B$700,0)),0))</f>
        <v/>
      </c>
    </row>
    <row r="1763" customFormat="false" ht="15" hidden="false" customHeight="false" outlineLevel="0" collapsed="false">
      <c r="A1763" s="102"/>
      <c r="E1763" s="103" t="str">
        <f aca="false">IF($C1763="","",IFERROR(INDEX(المنيو!$C$2:$C$500,MATCH($C1763,المنيو!$B$2:$B$500,0)),0))</f>
        <v/>
      </c>
      <c r="F1763" s="103" t="str">
        <f aca="false">IF($C1763="","",$D1763*$E1763)</f>
        <v/>
      </c>
      <c r="G1763" s="103" t="str">
        <f aca="false">IF($C1763="","",$D1763*IFERROR(INDEX('تحليل التكلفة والسعر'!$C$2:$C$700,MATCH($C1763,'تحليل التكلفة والسعر'!$B$2:$B$700,0)),0))</f>
        <v/>
      </c>
    </row>
    <row r="1764" customFormat="false" ht="15" hidden="false" customHeight="false" outlineLevel="0" collapsed="false">
      <c r="A1764" s="102"/>
      <c r="E1764" s="103" t="str">
        <f aca="false">IF($C1764="","",IFERROR(INDEX(المنيو!$C$2:$C$500,MATCH($C1764,المنيو!$B$2:$B$500,0)),0))</f>
        <v/>
      </c>
      <c r="F1764" s="103" t="str">
        <f aca="false">IF($C1764="","",$D1764*$E1764)</f>
        <v/>
      </c>
      <c r="G1764" s="103" t="str">
        <f aca="false">IF($C1764="","",$D1764*IFERROR(INDEX('تحليل التكلفة والسعر'!$C$2:$C$700,MATCH($C1764,'تحليل التكلفة والسعر'!$B$2:$B$700,0)),0))</f>
        <v/>
      </c>
    </row>
    <row r="1765" customFormat="false" ht="15" hidden="false" customHeight="false" outlineLevel="0" collapsed="false">
      <c r="A1765" s="102"/>
      <c r="E1765" s="103" t="str">
        <f aca="false">IF($C1765="","",IFERROR(INDEX(المنيو!$C$2:$C$500,MATCH($C1765,المنيو!$B$2:$B$500,0)),0))</f>
        <v/>
      </c>
      <c r="F1765" s="103" t="str">
        <f aca="false">IF($C1765="","",$D1765*$E1765)</f>
        <v/>
      </c>
      <c r="G1765" s="103" t="str">
        <f aca="false">IF($C1765="","",$D1765*IFERROR(INDEX('تحليل التكلفة والسعر'!$C$2:$C$700,MATCH($C1765,'تحليل التكلفة والسعر'!$B$2:$B$700,0)),0))</f>
        <v/>
      </c>
    </row>
    <row r="1766" customFormat="false" ht="15" hidden="false" customHeight="false" outlineLevel="0" collapsed="false">
      <c r="A1766" s="102"/>
      <c r="E1766" s="103" t="str">
        <f aca="false">IF($C1766="","",IFERROR(INDEX(المنيو!$C$2:$C$500,MATCH($C1766,المنيو!$B$2:$B$500,0)),0))</f>
        <v/>
      </c>
      <c r="F1766" s="103" t="str">
        <f aca="false">IF($C1766="","",$D1766*$E1766)</f>
        <v/>
      </c>
      <c r="G1766" s="103" t="str">
        <f aca="false">IF($C1766="","",$D1766*IFERROR(INDEX('تحليل التكلفة والسعر'!$C$2:$C$700,MATCH($C1766,'تحليل التكلفة والسعر'!$B$2:$B$700,0)),0))</f>
        <v/>
      </c>
    </row>
    <row r="1767" customFormat="false" ht="15" hidden="false" customHeight="false" outlineLevel="0" collapsed="false">
      <c r="A1767" s="102"/>
      <c r="E1767" s="103" t="str">
        <f aca="false">IF($C1767="","",IFERROR(INDEX(المنيو!$C$2:$C$500,MATCH($C1767,المنيو!$B$2:$B$500,0)),0))</f>
        <v/>
      </c>
      <c r="F1767" s="103" t="str">
        <f aca="false">IF($C1767="","",$D1767*$E1767)</f>
        <v/>
      </c>
      <c r="G1767" s="103" t="str">
        <f aca="false">IF($C1767="","",$D1767*IFERROR(INDEX('تحليل التكلفة والسعر'!$C$2:$C$700,MATCH($C1767,'تحليل التكلفة والسعر'!$B$2:$B$700,0)),0))</f>
        <v/>
      </c>
    </row>
    <row r="1768" customFormat="false" ht="15" hidden="false" customHeight="false" outlineLevel="0" collapsed="false">
      <c r="A1768" s="102"/>
      <c r="E1768" s="103" t="str">
        <f aca="false">IF($C1768="","",IFERROR(INDEX(المنيو!$C$2:$C$500,MATCH($C1768,المنيو!$B$2:$B$500,0)),0))</f>
        <v/>
      </c>
      <c r="F1768" s="103" t="str">
        <f aca="false">IF($C1768="","",$D1768*$E1768)</f>
        <v/>
      </c>
      <c r="G1768" s="103" t="str">
        <f aca="false">IF($C1768="","",$D1768*IFERROR(INDEX('تحليل التكلفة والسعر'!$C$2:$C$700,MATCH($C1768,'تحليل التكلفة والسعر'!$B$2:$B$700,0)),0))</f>
        <v/>
      </c>
    </row>
    <row r="1769" customFormat="false" ht="15" hidden="false" customHeight="false" outlineLevel="0" collapsed="false">
      <c r="A1769" s="102"/>
      <c r="E1769" s="103" t="str">
        <f aca="false">IF($C1769="","",IFERROR(INDEX(المنيو!$C$2:$C$500,MATCH($C1769,المنيو!$B$2:$B$500,0)),0))</f>
        <v/>
      </c>
      <c r="F1769" s="103" t="str">
        <f aca="false">IF($C1769="","",$D1769*$E1769)</f>
        <v/>
      </c>
      <c r="G1769" s="103" t="str">
        <f aca="false">IF($C1769="","",$D1769*IFERROR(INDEX('تحليل التكلفة والسعر'!$C$2:$C$700,MATCH($C1769,'تحليل التكلفة والسعر'!$B$2:$B$700,0)),0))</f>
        <v/>
      </c>
    </row>
    <row r="1770" customFormat="false" ht="15" hidden="false" customHeight="false" outlineLevel="0" collapsed="false">
      <c r="A1770" s="102"/>
      <c r="E1770" s="103" t="str">
        <f aca="false">IF($C1770="","",IFERROR(INDEX(المنيو!$C$2:$C$500,MATCH($C1770,المنيو!$B$2:$B$500,0)),0))</f>
        <v/>
      </c>
      <c r="F1770" s="103" t="str">
        <f aca="false">IF($C1770="","",$D1770*$E1770)</f>
        <v/>
      </c>
      <c r="G1770" s="103" t="str">
        <f aca="false">IF($C1770="","",$D1770*IFERROR(INDEX('تحليل التكلفة والسعر'!$C$2:$C$700,MATCH($C1770,'تحليل التكلفة والسعر'!$B$2:$B$700,0)),0))</f>
        <v/>
      </c>
    </row>
    <row r="1771" customFormat="false" ht="15" hidden="false" customHeight="false" outlineLevel="0" collapsed="false">
      <c r="A1771" s="102"/>
      <c r="E1771" s="103" t="str">
        <f aca="false">IF($C1771="","",IFERROR(INDEX(المنيو!$C$2:$C$500,MATCH($C1771,المنيو!$B$2:$B$500,0)),0))</f>
        <v/>
      </c>
      <c r="F1771" s="103" t="str">
        <f aca="false">IF($C1771="","",$D1771*$E1771)</f>
        <v/>
      </c>
      <c r="G1771" s="103" t="str">
        <f aca="false">IF($C1771="","",$D1771*IFERROR(INDEX('تحليل التكلفة والسعر'!$C$2:$C$700,MATCH($C1771,'تحليل التكلفة والسعر'!$B$2:$B$700,0)),0))</f>
        <v/>
      </c>
    </row>
    <row r="1772" customFormat="false" ht="15" hidden="false" customHeight="false" outlineLevel="0" collapsed="false">
      <c r="A1772" s="102"/>
      <c r="E1772" s="103" t="str">
        <f aca="false">IF($C1772="","",IFERROR(INDEX(المنيو!$C$2:$C$500,MATCH($C1772,المنيو!$B$2:$B$500,0)),0))</f>
        <v/>
      </c>
      <c r="F1772" s="103" t="str">
        <f aca="false">IF($C1772="","",$D1772*$E1772)</f>
        <v/>
      </c>
      <c r="G1772" s="103" t="str">
        <f aca="false">IF($C1772="","",$D1772*IFERROR(INDEX('تحليل التكلفة والسعر'!$C$2:$C$700,MATCH($C1772,'تحليل التكلفة والسعر'!$B$2:$B$700,0)),0))</f>
        <v/>
      </c>
    </row>
    <row r="1773" customFormat="false" ht="15" hidden="false" customHeight="false" outlineLevel="0" collapsed="false">
      <c r="A1773" s="102"/>
      <c r="E1773" s="103" t="str">
        <f aca="false">IF($C1773="","",IFERROR(INDEX(المنيو!$C$2:$C$500,MATCH($C1773,المنيو!$B$2:$B$500,0)),0))</f>
        <v/>
      </c>
      <c r="F1773" s="103" t="str">
        <f aca="false">IF($C1773="","",$D1773*$E1773)</f>
        <v/>
      </c>
      <c r="G1773" s="103" t="str">
        <f aca="false">IF($C1773="","",$D1773*IFERROR(INDEX('تحليل التكلفة والسعر'!$C$2:$C$700,MATCH($C1773,'تحليل التكلفة والسعر'!$B$2:$B$700,0)),0))</f>
        <v/>
      </c>
    </row>
    <row r="1774" customFormat="false" ht="15" hidden="false" customHeight="false" outlineLevel="0" collapsed="false">
      <c r="A1774" s="102"/>
      <c r="E1774" s="103" t="str">
        <f aca="false">IF($C1774="","",IFERROR(INDEX(المنيو!$C$2:$C$500,MATCH($C1774,المنيو!$B$2:$B$500,0)),0))</f>
        <v/>
      </c>
      <c r="F1774" s="103" t="str">
        <f aca="false">IF($C1774="","",$D1774*$E1774)</f>
        <v/>
      </c>
      <c r="G1774" s="103" t="str">
        <f aca="false">IF($C1774="","",$D1774*IFERROR(INDEX('تحليل التكلفة والسعر'!$C$2:$C$700,MATCH($C1774,'تحليل التكلفة والسعر'!$B$2:$B$700,0)),0))</f>
        <v/>
      </c>
    </row>
    <row r="1775" customFormat="false" ht="15" hidden="false" customHeight="false" outlineLevel="0" collapsed="false">
      <c r="A1775" s="102"/>
      <c r="E1775" s="103" t="str">
        <f aca="false">IF($C1775="","",IFERROR(INDEX(المنيو!$C$2:$C$500,MATCH($C1775,المنيو!$B$2:$B$500,0)),0))</f>
        <v/>
      </c>
      <c r="F1775" s="103" t="str">
        <f aca="false">IF($C1775="","",$D1775*$E1775)</f>
        <v/>
      </c>
      <c r="G1775" s="103" t="str">
        <f aca="false">IF($C1775="","",$D1775*IFERROR(INDEX('تحليل التكلفة والسعر'!$C$2:$C$700,MATCH($C1775,'تحليل التكلفة والسعر'!$B$2:$B$700,0)),0))</f>
        <v/>
      </c>
    </row>
    <row r="1776" customFormat="false" ht="15" hidden="false" customHeight="false" outlineLevel="0" collapsed="false">
      <c r="A1776" s="102"/>
      <c r="E1776" s="103" t="str">
        <f aca="false">IF($C1776="","",IFERROR(INDEX(المنيو!$C$2:$C$500,MATCH($C1776,المنيو!$B$2:$B$500,0)),0))</f>
        <v/>
      </c>
      <c r="F1776" s="103" t="str">
        <f aca="false">IF($C1776="","",$D1776*$E1776)</f>
        <v/>
      </c>
      <c r="G1776" s="103" t="str">
        <f aca="false">IF($C1776="","",$D1776*IFERROR(INDEX('تحليل التكلفة والسعر'!$C$2:$C$700,MATCH($C1776,'تحليل التكلفة والسعر'!$B$2:$B$700,0)),0))</f>
        <v/>
      </c>
    </row>
    <row r="1777" customFormat="false" ht="15" hidden="false" customHeight="false" outlineLevel="0" collapsed="false">
      <c r="A1777" s="102"/>
      <c r="E1777" s="103" t="str">
        <f aca="false">IF($C1777="","",IFERROR(INDEX(المنيو!$C$2:$C$500,MATCH($C1777,المنيو!$B$2:$B$500,0)),0))</f>
        <v/>
      </c>
      <c r="F1777" s="103" t="str">
        <f aca="false">IF($C1777="","",$D1777*$E1777)</f>
        <v/>
      </c>
      <c r="G1777" s="103" t="str">
        <f aca="false">IF($C1777="","",$D1777*IFERROR(INDEX('تحليل التكلفة والسعر'!$C$2:$C$700,MATCH($C1777,'تحليل التكلفة والسعر'!$B$2:$B$700,0)),0))</f>
        <v/>
      </c>
    </row>
    <row r="1778" customFormat="false" ht="15" hidden="false" customHeight="false" outlineLevel="0" collapsed="false">
      <c r="A1778" s="102"/>
      <c r="E1778" s="103" t="str">
        <f aca="false">IF($C1778="","",IFERROR(INDEX(المنيو!$C$2:$C$500,MATCH($C1778,المنيو!$B$2:$B$500,0)),0))</f>
        <v/>
      </c>
      <c r="F1778" s="103" t="str">
        <f aca="false">IF($C1778="","",$D1778*$E1778)</f>
        <v/>
      </c>
      <c r="G1778" s="103" t="str">
        <f aca="false">IF($C1778="","",$D1778*IFERROR(INDEX('تحليل التكلفة والسعر'!$C$2:$C$700,MATCH($C1778,'تحليل التكلفة والسعر'!$B$2:$B$700,0)),0))</f>
        <v/>
      </c>
    </row>
    <row r="1779" customFormat="false" ht="15" hidden="false" customHeight="false" outlineLevel="0" collapsed="false">
      <c r="A1779" s="102"/>
      <c r="E1779" s="103" t="str">
        <f aca="false">IF($C1779="","",IFERROR(INDEX(المنيو!$C$2:$C$500,MATCH($C1779,المنيو!$B$2:$B$500,0)),0))</f>
        <v/>
      </c>
      <c r="F1779" s="103" t="str">
        <f aca="false">IF($C1779="","",$D1779*$E1779)</f>
        <v/>
      </c>
      <c r="G1779" s="103" t="str">
        <f aca="false">IF($C1779="","",$D1779*IFERROR(INDEX('تحليل التكلفة والسعر'!$C$2:$C$700,MATCH($C1779,'تحليل التكلفة والسعر'!$B$2:$B$700,0)),0))</f>
        <v/>
      </c>
    </row>
    <row r="1780" customFormat="false" ht="15" hidden="false" customHeight="false" outlineLevel="0" collapsed="false">
      <c r="A1780" s="102"/>
      <c r="E1780" s="103" t="str">
        <f aca="false">IF($C1780="","",IFERROR(INDEX(المنيو!$C$2:$C$500,MATCH($C1780,المنيو!$B$2:$B$500,0)),0))</f>
        <v/>
      </c>
      <c r="F1780" s="103" t="str">
        <f aca="false">IF($C1780="","",$D1780*$E1780)</f>
        <v/>
      </c>
      <c r="G1780" s="103" t="str">
        <f aca="false">IF($C1780="","",$D1780*IFERROR(INDEX('تحليل التكلفة والسعر'!$C$2:$C$700,MATCH($C1780,'تحليل التكلفة والسعر'!$B$2:$B$700,0)),0))</f>
        <v/>
      </c>
    </row>
    <row r="1781" customFormat="false" ht="15" hidden="false" customHeight="false" outlineLevel="0" collapsed="false">
      <c r="A1781" s="102"/>
      <c r="E1781" s="103" t="str">
        <f aca="false">IF($C1781="","",IFERROR(INDEX(المنيو!$C$2:$C$500,MATCH($C1781,المنيو!$B$2:$B$500,0)),0))</f>
        <v/>
      </c>
      <c r="F1781" s="103" t="str">
        <f aca="false">IF($C1781="","",$D1781*$E1781)</f>
        <v/>
      </c>
      <c r="G1781" s="103" t="str">
        <f aca="false">IF($C1781="","",$D1781*IFERROR(INDEX('تحليل التكلفة والسعر'!$C$2:$C$700,MATCH($C1781,'تحليل التكلفة والسعر'!$B$2:$B$700,0)),0))</f>
        <v/>
      </c>
    </row>
    <row r="1782" customFormat="false" ht="15" hidden="false" customHeight="false" outlineLevel="0" collapsed="false">
      <c r="A1782" s="102"/>
      <c r="E1782" s="103" t="str">
        <f aca="false">IF($C1782="","",IFERROR(INDEX(المنيو!$C$2:$C$500,MATCH($C1782,المنيو!$B$2:$B$500,0)),0))</f>
        <v/>
      </c>
      <c r="F1782" s="103" t="str">
        <f aca="false">IF($C1782="","",$D1782*$E1782)</f>
        <v/>
      </c>
      <c r="G1782" s="103" t="str">
        <f aca="false">IF($C1782="","",$D1782*IFERROR(INDEX('تحليل التكلفة والسعر'!$C$2:$C$700,MATCH($C1782,'تحليل التكلفة والسعر'!$B$2:$B$700,0)),0))</f>
        <v/>
      </c>
    </row>
    <row r="1783" customFormat="false" ht="15" hidden="false" customHeight="false" outlineLevel="0" collapsed="false">
      <c r="A1783" s="102"/>
      <c r="E1783" s="103" t="str">
        <f aca="false">IF($C1783="","",IFERROR(INDEX(المنيو!$C$2:$C$500,MATCH($C1783,المنيو!$B$2:$B$500,0)),0))</f>
        <v/>
      </c>
      <c r="F1783" s="103" t="str">
        <f aca="false">IF($C1783="","",$D1783*$E1783)</f>
        <v/>
      </c>
      <c r="G1783" s="103" t="str">
        <f aca="false">IF($C1783="","",$D1783*IFERROR(INDEX('تحليل التكلفة والسعر'!$C$2:$C$700,MATCH($C1783,'تحليل التكلفة والسعر'!$B$2:$B$700,0)),0))</f>
        <v/>
      </c>
    </row>
    <row r="1784" customFormat="false" ht="15" hidden="false" customHeight="false" outlineLevel="0" collapsed="false">
      <c r="A1784" s="102"/>
      <c r="E1784" s="103" t="str">
        <f aca="false">IF($C1784="","",IFERROR(INDEX(المنيو!$C$2:$C$500,MATCH($C1784,المنيو!$B$2:$B$500,0)),0))</f>
        <v/>
      </c>
      <c r="F1784" s="103" t="str">
        <f aca="false">IF($C1784="","",$D1784*$E1784)</f>
        <v/>
      </c>
      <c r="G1784" s="103" t="str">
        <f aca="false">IF($C1784="","",$D1784*IFERROR(INDEX('تحليل التكلفة والسعر'!$C$2:$C$700,MATCH($C1784,'تحليل التكلفة والسعر'!$B$2:$B$700,0)),0))</f>
        <v/>
      </c>
    </row>
    <row r="1785" customFormat="false" ht="15" hidden="false" customHeight="false" outlineLevel="0" collapsed="false">
      <c r="A1785" s="102"/>
      <c r="E1785" s="103" t="str">
        <f aca="false">IF($C1785="","",IFERROR(INDEX(المنيو!$C$2:$C$500,MATCH($C1785,المنيو!$B$2:$B$500,0)),0))</f>
        <v/>
      </c>
      <c r="F1785" s="103" t="str">
        <f aca="false">IF($C1785="","",$D1785*$E1785)</f>
        <v/>
      </c>
      <c r="G1785" s="103" t="str">
        <f aca="false">IF($C1785="","",$D1785*IFERROR(INDEX('تحليل التكلفة والسعر'!$C$2:$C$700,MATCH($C1785,'تحليل التكلفة والسعر'!$B$2:$B$700,0)),0))</f>
        <v/>
      </c>
    </row>
    <row r="1786" customFormat="false" ht="15" hidden="false" customHeight="false" outlineLevel="0" collapsed="false">
      <c r="A1786" s="102"/>
      <c r="E1786" s="103" t="str">
        <f aca="false">IF($C1786="","",IFERROR(INDEX(المنيو!$C$2:$C$500,MATCH($C1786,المنيو!$B$2:$B$500,0)),0))</f>
        <v/>
      </c>
      <c r="F1786" s="103" t="str">
        <f aca="false">IF($C1786="","",$D1786*$E1786)</f>
        <v/>
      </c>
      <c r="G1786" s="103" t="str">
        <f aca="false">IF($C1786="","",$D1786*IFERROR(INDEX('تحليل التكلفة والسعر'!$C$2:$C$700,MATCH($C1786,'تحليل التكلفة والسعر'!$B$2:$B$700,0)),0))</f>
        <v/>
      </c>
    </row>
    <row r="1787" customFormat="false" ht="15" hidden="false" customHeight="false" outlineLevel="0" collapsed="false">
      <c r="A1787" s="102"/>
      <c r="E1787" s="103" t="str">
        <f aca="false">IF($C1787="","",IFERROR(INDEX(المنيو!$C$2:$C$500,MATCH($C1787,المنيو!$B$2:$B$500,0)),0))</f>
        <v/>
      </c>
      <c r="F1787" s="103" t="str">
        <f aca="false">IF($C1787="","",$D1787*$E1787)</f>
        <v/>
      </c>
      <c r="G1787" s="103" t="str">
        <f aca="false">IF($C1787="","",$D1787*IFERROR(INDEX('تحليل التكلفة والسعر'!$C$2:$C$700,MATCH($C1787,'تحليل التكلفة والسعر'!$B$2:$B$700,0)),0))</f>
        <v/>
      </c>
    </row>
    <row r="1788" customFormat="false" ht="15" hidden="false" customHeight="false" outlineLevel="0" collapsed="false">
      <c r="A1788" s="102"/>
      <c r="E1788" s="103" t="str">
        <f aca="false">IF($C1788="","",IFERROR(INDEX(المنيو!$C$2:$C$500,MATCH($C1788,المنيو!$B$2:$B$500,0)),0))</f>
        <v/>
      </c>
      <c r="F1788" s="103" t="str">
        <f aca="false">IF($C1788="","",$D1788*$E1788)</f>
        <v/>
      </c>
      <c r="G1788" s="103" t="str">
        <f aca="false">IF($C1788="","",$D1788*IFERROR(INDEX('تحليل التكلفة والسعر'!$C$2:$C$700,MATCH($C1788,'تحليل التكلفة والسعر'!$B$2:$B$700,0)),0))</f>
        <v/>
      </c>
    </row>
    <row r="1789" customFormat="false" ht="15" hidden="false" customHeight="false" outlineLevel="0" collapsed="false">
      <c r="A1789" s="102"/>
      <c r="E1789" s="103" t="str">
        <f aca="false">IF($C1789="","",IFERROR(INDEX(المنيو!$C$2:$C$500,MATCH($C1789,المنيو!$B$2:$B$500,0)),0))</f>
        <v/>
      </c>
      <c r="F1789" s="103" t="str">
        <f aca="false">IF($C1789="","",$D1789*$E1789)</f>
        <v/>
      </c>
      <c r="G1789" s="103" t="str">
        <f aca="false">IF($C1789="","",$D1789*IFERROR(INDEX('تحليل التكلفة والسعر'!$C$2:$C$700,MATCH($C1789,'تحليل التكلفة والسعر'!$B$2:$B$700,0)),0))</f>
        <v/>
      </c>
    </row>
    <row r="1790" customFormat="false" ht="15" hidden="false" customHeight="false" outlineLevel="0" collapsed="false">
      <c r="A1790" s="102"/>
      <c r="E1790" s="103" t="str">
        <f aca="false">IF($C1790="","",IFERROR(INDEX(المنيو!$C$2:$C$500,MATCH($C1790,المنيو!$B$2:$B$500,0)),0))</f>
        <v/>
      </c>
      <c r="F1790" s="103" t="str">
        <f aca="false">IF($C1790="","",$D1790*$E1790)</f>
        <v/>
      </c>
      <c r="G1790" s="103" t="str">
        <f aca="false">IF($C1790="","",$D1790*IFERROR(INDEX('تحليل التكلفة والسعر'!$C$2:$C$700,MATCH($C1790,'تحليل التكلفة والسعر'!$B$2:$B$700,0)),0))</f>
        <v/>
      </c>
    </row>
    <row r="1791" customFormat="false" ht="15" hidden="false" customHeight="false" outlineLevel="0" collapsed="false">
      <c r="A1791" s="102"/>
      <c r="E1791" s="103" t="str">
        <f aca="false">IF($C1791="","",IFERROR(INDEX(المنيو!$C$2:$C$500,MATCH($C1791,المنيو!$B$2:$B$500,0)),0))</f>
        <v/>
      </c>
      <c r="F1791" s="103" t="str">
        <f aca="false">IF($C1791="","",$D1791*$E1791)</f>
        <v/>
      </c>
      <c r="G1791" s="103" t="str">
        <f aca="false">IF($C1791="","",$D1791*IFERROR(INDEX('تحليل التكلفة والسعر'!$C$2:$C$700,MATCH($C1791,'تحليل التكلفة والسعر'!$B$2:$B$700,0)),0))</f>
        <v/>
      </c>
    </row>
    <row r="1792" customFormat="false" ht="15" hidden="false" customHeight="false" outlineLevel="0" collapsed="false">
      <c r="A1792" s="102"/>
      <c r="E1792" s="103" t="str">
        <f aca="false">IF($C1792="","",IFERROR(INDEX(المنيو!$C$2:$C$500,MATCH($C1792,المنيو!$B$2:$B$500,0)),0))</f>
        <v/>
      </c>
      <c r="F1792" s="103" t="str">
        <f aca="false">IF($C1792="","",$D1792*$E1792)</f>
        <v/>
      </c>
      <c r="G1792" s="103" t="str">
        <f aca="false">IF($C1792="","",$D1792*IFERROR(INDEX('تحليل التكلفة والسعر'!$C$2:$C$700,MATCH($C1792,'تحليل التكلفة والسعر'!$B$2:$B$700,0)),0))</f>
        <v/>
      </c>
    </row>
    <row r="1793" customFormat="false" ht="15" hidden="false" customHeight="false" outlineLevel="0" collapsed="false">
      <c r="A1793" s="102"/>
      <c r="E1793" s="103" t="str">
        <f aca="false">IF($C1793="","",IFERROR(INDEX(المنيو!$C$2:$C$500,MATCH($C1793,المنيو!$B$2:$B$500,0)),0))</f>
        <v/>
      </c>
      <c r="F1793" s="103" t="str">
        <f aca="false">IF($C1793="","",$D1793*$E1793)</f>
        <v/>
      </c>
      <c r="G1793" s="103" t="str">
        <f aca="false">IF($C1793="","",$D1793*IFERROR(INDEX('تحليل التكلفة والسعر'!$C$2:$C$700,MATCH($C1793,'تحليل التكلفة والسعر'!$B$2:$B$700,0)),0))</f>
        <v/>
      </c>
    </row>
    <row r="1794" customFormat="false" ht="15" hidden="false" customHeight="false" outlineLevel="0" collapsed="false">
      <c r="A1794" s="102"/>
      <c r="E1794" s="103" t="str">
        <f aca="false">IF($C1794="","",IFERROR(INDEX(المنيو!$C$2:$C$500,MATCH($C1794,المنيو!$B$2:$B$500,0)),0))</f>
        <v/>
      </c>
      <c r="F1794" s="103" t="str">
        <f aca="false">IF($C1794="","",$D1794*$E1794)</f>
        <v/>
      </c>
      <c r="G1794" s="103" t="str">
        <f aca="false">IF($C1794="","",$D1794*IFERROR(INDEX('تحليل التكلفة والسعر'!$C$2:$C$700,MATCH($C1794,'تحليل التكلفة والسعر'!$B$2:$B$700,0)),0))</f>
        <v/>
      </c>
    </row>
    <row r="1795" customFormat="false" ht="15" hidden="false" customHeight="false" outlineLevel="0" collapsed="false">
      <c r="A1795" s="102"/>
      <c r="E1795" s="103" t="str">
        <f aca="false">IF($C1795="","",IFERROR(INDEX(المنيو!$C$2:$C$500,MATCH($C1795,المنيو!$B$2:$B$500,0)),0))</f>
        <v/>
      </c>
      <c r="F1795" s="103" t="str">
        <f aca="false">IF($C1795="","",$D1795*$E1795)</f>
        <v/>
      </c>
      <c r="G1795" s="103" t="str">
        <f aca="false">IF($C1795="","",$D1795*IFERROR(INDEX('تحليل التكلفة والسعر'!$C$2:$C$700,MATCH($C1795,'تحليل التكلفة والسعر'!$B$2:$B$700,0)),0))</f>
        <v/>
      </c>
    </row>
    <row r="1796" customFormat="false" ht="15" hidden="false" customHeight="false" outlineLevel="0" collapsed="false">
      <c r="A1796" s="102"/>
      <c r="E1796" s="103" t="str">
        <f aca="false">IF($C1796="","",IFERROR(INDEX(المنيو!$C$2:$C$500,MATCH($C1796,المنيو!$B$2:$B$500,0)),0))</f>
        <v/>
      </c>
      <c r="F1796" s="103" t="str">
        <f aca="false">IF($C1796="","",$D1796*$E1796)</f>
        <v/>
      </c>
      <c r="G1796" s="103" t="str">
        <f aca="false">IF($C1796="","",$D1796*IFERROR(INDEX('تحليل التكلفة والسعر'!$C$2:$C$700,MATCH($C1796,'تحليل التكلفة والسعر'!$B$2:$B$700,0)),0))</f>
        <v/>
      </c>
    </row>
    <row r="1797" customFormat="false" ht="15" hidden="false" customHeight="false" outlineLevel="0" collapsed="false">
      <c r="A1797" s="102"/>
      <c r="E1797" s="103" t="str">
        <f aca="false">IF($C1797="","",IFERROR(INDEX(المنيو!$C$2:$C$500,MATCH($C1797,المنيو!$B$2:$B$500,0)),0))</f>
        <v/>
      </c>
      <c r="F1797" s="103" t="str">
        <f aca="false">IF($C1797="","",$D1797*$E1797)</f>
        <v/>
      </c>
      <c r="G1797" s="103" t="str">
        <f aca="false">IF($C1797="","",$D1797*IFERROR(INDEX('تحليل التكلفة والسعر'!$C$2:$C$700,MATCH($C1797,'تحليل التكلفة والسعر'!$B$2:$B$700,0)),0))</f>
        <v/>
      </c>
    </row>
    <row r="1798" customFormat="false" ht="15" hidden="false" customHeight="false" outlineLevel="0" collapsed="false">
      <c r="A1798" s="102"/>
      <c r="E1798" s="103" t="str">
        <f aca="false">IF($C1798="","",IFERROR(INDEX(المنيو!$C$2:$C$500,MATCH($C1798,المنيو!$B$2:$B$500,0)),0))</f>
        <v/>
      </c>
      <c r="F1798" s="103" t="str">
        <f aca="false">IF($C1798="","",$D1798*$E1798)</f>
        <v/>
      </c>
      <c r="G1798" s="103" t="str">
        <f aca="false">IF($C1798="","",$D1798*IFERROR(INDEX('تحليل التكلفة والسعر'!$C$2:$C$700,MATCH($C1798,'تحليل التكلفة والسعر'!$B$2:$B$700,0)),0))</f>
        <v/>
      </c>
    </row>
    <row r="1799" customFormat="false" ht="15" hidden="false" customHeight="false" outlineLevel="0" collapsed="false">
      <c r="A1799" s="102"/>
      <c r="E1799" s="103" t="str">
        <f aca="false">IF($C1799="","",IFERROR(INDEX(المنيو!$C$2:$C$500,MATCH($C1799,المنيو!$B$2:$B$500,0)),0))</f>
        <v/>
      </c>
      <c r="F1799" s="103" t="str">
        <f aca="false">IF($C1799="","",$D1799*$E1799)</f>
        <v/>
      </c>
      <c r="G1799" s="103" t="str">
        <f aca="false">IF($C1799="","",$D1799*IFERROR(INDEX('تحليل التكلفة والسعر'!$C$2:$C$700,MATCH($C1799,'تحليل التكلفة والسعر'!$B$2:$B$700,0)),0))</f>
        <v/>
      </c>
    </row>
    <row r="1800" customFormat="false" ht="15" hidden="false" customHeight="false" outlineLevel="0" collapsed="false">
      <c r="A1800" s="102"/>
      <c r="E1800" s="103" t="str">
        <f aca="false">IF($C1800="","",IFERROR(INDEX(المنيو!$C$2:$C$500,MATCH($C1800,المنيو!$B$2:$B$500,0)),0))</f>
        <v/>
      </c>
      <c r="F1800" s="103" t="str">
        <f aca="false">IF($C1800="","",$D1800*$E1800)</f>
        <v/>
      </c>
      <c r="G1800" s="103" t="str">
        <f aca="false">IF($C1800="","",$D1800*IFERROR(INDEX('تحليل التكلفة والسعر'!$C$2:$C$700,MATCH($C1800,'تحليل التكلفة والسعر'!$B$2:$B$700,0)),0))</f>
        <v/>
      </c>
    </row>
    <row r="1801" customFormat="false" ht="15" hidden="false" customHeight="false" outlineLevel="0" collapsed="false">
      <c r="A1801" s="102"/>
      <c r="E1801" s="103" t="str">
        <f aca="false">IF($C1801="","",IFERROR(INDEX(المنيو!$C$2:$C$500,MATCH($C1801,المنيو!$B$2:$B$500,0)),0))</f>
        <v/>
      </c>
      <c r="F1801" s="103" t="str">
        <f aca="false">IF($C1801="","",$D1801*$E1801)</f>
        <v/>
      </c>
      <c r="G1801" s="103" t="str">
        <f aca="false">IF($C1801="","",$D1801*IFERROR(INDEX('تحليل التكلفة والسعر'!$C$2:$C$700,MATCH($C1801,'تحليل التكلفة والسعر'!$B$2:$B$700,0)),0))</f>
        <v/>
      </c>
    </row>
    <row r="1802" customFormat="false" ht="15" hidden="false" customHeight="false" outlineLevel="0" collapsed="false">
      <c r="A1802" s="102"/>
      <c r="E1802" s="103" t="str">
        <f aca="false">IF($C1802="","",IFERROR(INDEX(المنيو!$C$2:$C$500,MATCH($C1802,المنيو!$B$2:$B$500,0)),0))</f>
        <v/>
      </c>
      <c r="F1802" s="103" t="str">
        <f aca="false">IF($C1802="","",$D1802*$E1802)</f>
        <v/>
      </c>
      <c r="G1802" s="103" t="str">
        <f aca="false">IF($C1802="","",$D1802*IFERROR(INDEX('تحليل التكلفة والسعر'!$C$2:$C$700,MATCH($C1802,'تحليل التكلفة والسعر'!$B$2:$B$700,0)),0))</f>
        <v/>
      </c>
    </row>
    <row r="1803" customFormat="false" ht="15" hidden="false" customHeight="false" outlineLevel="0" collapsed="false">
      <c r="A1803" s="102"/>
      <c r="E1803" s="103" t="str">
        <f aca="false">IF($C1803="","",IFERROR(INDEX(المنيو!$C$2:$C$500,MATCH($C1803,المنيو!$B$2:$B$500,0)),0))</f>
        <v/>
      </c>
      <c r="F1803" s="103" t="str">
        <f aca="false">IF($C1803="","",$D1803*$E1803)</f>
        <v/>
      </c>
      <c r="G1803" s="103" t="str">
        <f aca="false">IF($C1803="","",$D1803*IFERROR(INDEX('تحليل التكلفة والسعر'!$C$2:$C$700,MATCH($C1803,'تحليل التكلفة والسعر'!$B$2:$B$700,0)),0))</f>
        <v/>
      </c>
    </row>
    <row r="1804" customFormat="false" ht="15" hidden="false" customHeight="false" outlineLevel="0" collapsed="false">
      <c r="A1804" s="102"/>
      <c r="E1804" s="103" t="str">
        <f aca="false">IF($C1804="","",IFERROR(INDEX(المنيو!$C$2:$C$500,MATCH($C1804,المنيو!$B$2:$B$500,0)),0))</f>
        <v/>
      </c>
      <c r="F1804" s="103" t="str">
        <f aca="false">IF($C1804="","",$D1804*$E1804)</f>
        <v/>
      </c>
      <c r="G1804" s="103" t="str">
        <f aca="false">IF($C1804="","",$D1804*IFERROR(INDEX('تحليل التكلفة والسعر'!$C$2:$C$700,MATCH($C1804,'تحليل التكلفة والسعر'!$B$2:$B$700,0)),0))</f>
        <v/>
      </c>
    </row>
    <row r="1805" customFormat="false" ht="15" hidden="false" customHeight="false" outlineLevel="0" collapsed="false">
      <c r="A1805" s="102"/>
      <c r="E1805" s="103" t="str">
        <f aca="false">IF($C1805="","",IFERROR(INDEX(المنيو!$C$2:$C$500,MATCH($C1805,المنيو!$B$2:$B$500,0)),0))</f>
        <v/>
      </c>
      <c r="F1805" s="103" t="str">
        <f aca="false">IF($C1805="","",$D1805*$E1805)</f>
        <v/>
      </c>
      <c r="G1805" s="103" t="str">
        <f aca="false">IF($C1805="","",$D1805*IFERROR(INDEX('تحليل التكلفة والسعر'!$C$2:$C$700,MATCH($C1805,'تحليل التكلفة والسعر'!$B$2:$B$700,0)),0))</f>
        <v/>
      </c>
    </row>
    <row r="1806" customFormat="false" ht="15" hidden="false" customHeight="false" outlineLevel="0" collapsed="false">
      <c r="A1806" s="102"/>
      <c r="E1806" s="103" t="str">
        <f aca="false">IF($C1806="","",IFERROR(INDEX(المنيو!$C$2:$C$500,MATCH($C1806,المنيو!$B$2:$B$500,0)),0))</f>
        <v/>
      </c>
      <c r="F1806" s="103" t="str">
        <f aca="false">IF($C1806="","",$D1806*$E1806)</f>
        <v/>
      </c>
      <c r="G1806" s="103" t="str">
        <f aca="false">IF($C1806="","",$D1806*IFERROR(INDEX('تحليل التكلفة والسعر'!$C$2:$C$700,MATCH($C1806,'تحليل التكلفة والسعر'!$B$2:$B$700,0)),0))</f>
        <v/>
      </c>
    </row>
    <row r="1807" customFormat="false" ht="15" hidden="false" customHeight="false" outlineLevel="0" collapsed="false">
      <c r="A1807" s="102"/>
      <c r="E1807" s="103" t="str">
        <f aca="false">IF($C1807="","",IFERROR(INDEX(المنيو!$C$2:$C$500,MATCH($C1807,المنيو!$B$2:$B$500,0)),0))</f>
        <v/>
      </c>
      <c r="F1807" s="103" t="str">
        <f aca="false">IF($C1807="","",$D1807*$E1807)</f>
        <v/>
      </c>
      <c r="G1807" s="103" t="str">
        <f aca="false">IF($C1807="","",$D1807*IFERROR(INDEX('تحليل التكلفة والسعر'!$C$2:$C$700,MATCH($C1807,'تحليل التكلفة والسعر'!$B$2:$B$700,0)),0))</f>
        <v/>
      </c>
    </row>
    <row r="1808" customFormat="false" ht="15" hidden="false" customHeight="false" outlineLevel="0" collapsed="false">
      <c r="A1808" s="102"/>
      <c r="E1808" s="103" t="str">
        <f aca="false">IF($C1808="","",IFERROR(INDEX(المنيو!$C$2:$C$500,MATCH($C1808,المنيو!$B$2:$B$500,0)),0))</f>
        <v/>
      </c>
      <c r="F1808" s="103" t="str">
        <f aca="false">IF($C1808="","",$D1808*$E1808)</f>
        <v/>
      </c>
      <c r="G1808" s="103" t="str">
        <f aca="false">IF($C1808="","",$D1808*IFERROR(INDEX('تحليل التكلفة والسعر'!$C$2:$C$700,MATCH($C1808,'تحليل التكلفة والسعر'!$B$2:$B$700,0)),0))</f>
        <v/>
      </c>
    </row>
    <row r="1809" customFormat="false" ht="15" hidden="false" customHeight="false" outlineLevel="0" collapsed="false">
      <c r="A1809" s="102"/>
      <c r="E1809" s="103" t="str">
        <f aca="false">IF($C1809="","",IFERROR(INDEX(المنيو!$C$2:$C$500,MATCH($C1809,المنيو!$B$2:$B$500,0)),0))</f>
        <v/>
      </c>
      <c r="F1809" s="103" t="str">
        <f aca="false">IF($C1809="","",$D1809*$E1809)</f>
        <v/>
      </c>
      <c r="G1809" s="103" t="str">
        <f aca="false">IF($C1809="","",$D1809*IFERROR(INDEX('تحليل التكلفة والسعر'!$C$2:$C$700,MATCH($C1809,'تحليل التكلفة والسعر'!$B$2:$B$700,0)),0))</f>
        <v/>
      </c>
    </row>
    <row r="1810" customFormat="false" ht="15" hidden="false" customHeight="false" outlineLevel="0" collapsed="false">
      <c r="A1810" s="102"/>
      <c r="E1810" s="103" t="str">
        <f aca="false">IF($C1810="","",IFERROR(INDEX(المنيو!$C$2:$C$500,MATCH($C1810,المنيو!$B$2:$B$500,0)),0))</f>
        <v/>
      </c>
      <c r="F1810" s="103" t="str">
        <f aca="false">IF($C1810="","",$D1810*$E1810)</f>
        <v/>
      </c>
      <c r="G1810" s="103" t="str">
        <f aca="false">IF($C1810="","",$D1810*IFERROR(INDEX('تحليل التكلفة والسعر'!$C$2:$C$700,MATCH($C1810,'تحليل التكلفة والسعر'!$B$2:$B$700,0)),0))</f>
        <v/>
      </c>
    </row>
    <row r="1811" customFormat="false" ht="15" hidden="false" customHeight="false" outlineLevel="0" collapsed="false">
      <c r="A1811" s="102"/>
      <c r="E1811" s="103" t="str">
        <f aca="false">IF($C1811="","",IFERROR(INDEX(المنيو!$C$2:$C$500,MATCH($C1811,المنيو!$B$2:$B$500,0)),0))</f>
        <v/>
      </c>
      <c r="F1811" s="103" t="str">
        <f aca="false">IF($C1811="","",$D1811*$E1811)</f>
        <v/>
      </c>
      <c r="G1811" s="103" t="str">
        <f aca="false">IF($C1811="","",$D1811*IFERROR(INDEX('تحليل التكلفة والسعر'!$C$2:$C$700,MATCH($C1811,'تحليل التكلفة والسعر'!$B$2:$B$700,0)),0))</f>
        <v/>
      </c>
    </row>
    <row r="1812" customFormat="false" ht="15" hidden="false" customHeight="false" outlineLevel="0" collapsed="false">
      <c r="A1812" s="102"/>
      <c r="E1812" s="103" t="str">
        <f aca="false">IF($C1812="","",IFERROR(INDEX(المنيو!$C$2:$C$500,MATCH($C1812,المنيو!$B$2:$B$500,0)),0))</f>
        <v/>
      </c>
      <c r="F1812" s="103" t="str">
        <f aca="false">IF($C1812="","",$D1812*$E1812)</f>
        <v/>
      </c>
      <c r="G1812" s="103" t="str">
        <f aca="false">IF($C1812="","",$D1812*IFERROR(INDEX('تحليل التكلفة والسعر'!$C$2:$C$700,MATCH($C1812,'تحليل التكلفة والسعر'!$B$2:$B$700,0)),0))</f>
        <v/>
      </c>
    </row>
    <row r="1813" customFormat="false" ht="15" hidden="false" customHeight="false" outlineLevel="0" collapsed="false">
      <c r="A1813" s="102"/>
      <c r="E1813" s="103" t="str">
        <f aca="false">IF($C1813="","",IFERROR(INDEX(المنيو!$C$2:$C$500,MATCH($C1813,المنيو!$B$2:$B$500,0)),0))</f>
        <v/>
      </c>
      <c r="F1813" s="103" t="str">
        <f aca="false">IF($C1813="","",$D1813*$E1813)</f>
        <v/>
      </c>
      <c r="G1813" s="103" t="str">
        <f aca="false">IF($C1813="","",$D1813*IFERROR(INDEX('تحليل التكلفة والسعر'!$C$2:$C$700,MATCH($C1813,'تحليل التكلفة والسعر'!$B$2:$B$700,0)),0))</f>
        <v/>
      </c>
    </row>
    <row r="1814" customFormat="false" ht="15" hidden="false" customHeight="false" outlineLevel="0" collapsed="false">
      <c r="A1814" s="102"/>
      <c r="E1814" s="103" t="str">
        <f aca="false">IF($C1814="","",IFERROR(INDEX(المنيو!$C$2:$C$500,MATCH($C1814,المنيو!$B$2:$B$500,0)),0))</f>
        <v/>
      </c>
      <c r="F1814" s="103" t="str">
        <f aca="false">IF($C1814="","",$D1814*$E1814)</f>
        <v/>
      </c>
      <c r="G1814" s="103" t="str">
        <f aca="false">IF($C1814="","",$D1814*IFERROR(INDEX('تحليل التكلفة والسعر'!$C$2:$C$700,MATCH($C1814,'تحليل التكلفة والسعر'!$B$2:$B$700,0)),0))</f>
        <v/>
      </c>
    </row>
    <row r="1815" customFormat="false" ht="15" hidden="false" customHeight="false" outlineLevel="0" collapsed="false">
      <c r="A1815" s="102"/>
      <c r="E1815" s="103" t="str">
        <f aca="false">IF($C1815="","",IFERROR(INDEX(المنيو!$C$2:$C$500,MATCH($C1815,المنيو!$B$2:$B$500,0)),0))</f>
        <v/>
      </c>
      <c r="F1815" s="103" t="str">
        <f aca="false">IF($C1815="","",$D1815*$E1815)</f>
        <v/>
      </c>
      <c r="G1815" s="103" t="str">
        <f aca="false">IF($C1815="","",$D1815*IFERROR(INDEX('تحليل التكلفة والسعر'!$C$2:$C$700,MATCH($C1815,'تحليل التكلفة والسعر'!$B$2:$B$700,0)),0))</f>
        <v/>
      </c>
    </row>
    <row r="1816" customFormat="false" ht="15" hidden="false" customHeight="false" outlineLevel="0" collapsed="false">
      <c r="A1816" s="102"/>
      <c r="E1816" s="103" t="str">
        <f aca="false">IF($C1816="","",IFERROR(INDEX(المنيو!$C$2:$C$500,MATCH($C1816,المنيو!$B$2:$B$500,0)),0))</f>
        <v/>
      </c>
      <c r="F1816" s="103" t="str">
        <f aca="false">IF($C1816="","",$D1816*$E1816)</f>
        <v/>
      </c>
      <c r="G1816" s="103" t="str">
        <f aca="false">IF($C1816="","",$D1816*IFERROR(INDEX('تحليل التكلفة والسعر'!$C$2:$C$700,MATCH($C1816,'تحليل التكلفة والسعر'!$B$2:$B$700,0)),0))</f>
        <v/>
      </c>
    </row>
    <row r="1817" customFormat="false" ht="15" hidden="false" customHeight="false" outlineLevel="0" collapsed="false">
      <c r="A1817" s="102"/>
      <c r="E1817" s="103" t="str">
        <f aca="false">IF($C1817="","",IFERROR(INDEX(المنيو!$C$2:$C$500,MATCH($C1817,المنيو!$B$2:$B$500,0)),0))</f>
        <v/>
      </c>
      <c r="F1817" s="103" t="str">
        <f aca="false">IF($C1817="","",$D1817*$E1817)</f>
        <v/>
      </c>
      <c r="G1817" s="103" t="str">
        <f aca="false">IF($C1817="","",$D1817*IFERROR(INDEX('تحليل التكلفة والسعر'!$C$2:$C$700,MATCH($C1817,'تحليل التكلفة والسعر'!$B$2:$B$700,0)),0))</f>
        <v/>
      </c>
    </row>
    <row r="1818" customFormat="false" ht="15" hidden="false" customHeight="false" outlineLevel="0" collapsed="false">
      <c r="A1818" s="102"/>
      <c r="E1818" s="103" t="str">
        <f aca="false">IF($C1818="","",IFERROR(INDEX(المنيو!$C$2:$C$500,MATCH($C1818,المنيو!$B$2:$B$500,0)),0))</f>
        <v/>
      </c>
      <c r="F1818" s="103" t="str">
        <f aca="false">IF($C1818="","",$D1818*$E1818)</f>
        <v/>
      </c>
      <c r="G1818" s="103" t="str">
        <f aca="false">IF($C1818="","",$D1818*IFERROR(INDEX('تحليل التكلفة والسعر'!$C$2:$C$700,MATCH($C1818,'تحليل التكلفة والسعر'!$B$2:$B$700,0)),0))</f>
        <v/>
      </c>
    </row>
    <row r="1819" customFormat="false" ht="15" hidden="false" customHeight="false" outlineLevel="0" collapsed="false">
      <c r="A1819" s="102"/>
      <c r="E1819" s="103" t="str">
        <f aca="false">IF($C1819="","",IFERROR(INDEX(المنيو!$C$2:$C$500,MATCH($C1819,المنيو!$B$2:$B$500,0)),0))</f>
        <v/>
      </c>
      <c r="F1819" s="103" t="str">
        <f aca="false">IF($C1819="","",$D1819*$E1819)</f>
        <v/>
      </c>
      <c r="G1819" s="103" t="str">
        <f aca="false">IF($C1819="","",$D1819*IFERROR(INDEX('تحليل التكلفة والسعر'!$C$2:$C$700,MATCH($C1819,'تحليل التكلفة والسعر'!$B$2:$B$700,0)),0))</f>
        <v/>
      </c>
    </row>
    <row r="1820" customFormat="false" ht="15" hidden="false" customHeight="false" outlineLevel="0" collapsed="false">
      <c r="A1820" s="102"/>
      <c r="E1820" s="103" t="str">
        <f aca="false">IF($C1820="","",IFERROR(INDEX(المنيو!$C$2:$C$500,MATCH($C1820,المنيو!$B$2:$B$500,0)),0))</f>
        <v/>
      </c>
      <c r="F1820" s="103" t="str">
        <f aca="false">IF($C1820="","",$D1820*$E1820)</f>
        <v/>
      </c>
      <c r="G1820" s="103" t="str">
        <f aca="false">IF($C1820="","",$D1820*IFERROR(INDEX('تحليل التكلفة والسعر'!$C$2:$C$700,MATCH($C1820,'تحليل التكلفة والسعر'!$B$2:$B$700,0)),0))</f>
        <v/>
      </c>
    </row>
    <row r="1821" customFormat="false" ht="15" hidden="false" customHeight="false" outlineLevel="0" collapsed="false">
      <c r="A1821" s="102"/>
      <c r="E1821" s="103" t="str">
        <f aca="false">IF($C1821="","",IFERROR(INDEX(المنيو!$C$2:$C$500,MATCH($C1821,المنيو!$B$2:$B$500,0)),0))</f>
        <v/>
      </c>
      <c r="F1821" s="103" t="str">
        <f aca="false">IF($C1821="","",$D1821*$E1821)</f>
        <v/>
      </c>
      <c r="G1821" s="103" t="str">
        <f aca="false">IF($C1821="","",$D1821*IFERROR(INDEX('تحليل التكلفة والسعر'!$C$2:$C$700,MATCH($C1821,'تحليل التكلفة والسعر'!$B$2:$B$700,0)),0))</f>
        <v/>
      </c>
    </row>
    <row r="1822" customFormat="false" ht="15" hidden="false" customHeight="false" outlineLevel="0" collapsed="false">
      <c r="A1822" s="102"/>
      <c r="E1822" s="103" t="str">
        <f aca="false">IF($C1822="","",IFERROR(INDEX(المنيو!$C$2:$C$500,MATCH($C1822,المنيو!$B$2:$B$500,0)),0))</f>
        <v/>
      </c>
      <c r="F1822" s="103" t="str">
        <f aca="false">IF($C1822="","",$D1822*$E1822)</f>
        <v/>
      </c>
      <c r="G1822" s="103" t="str">
        <f aca="false">IF($C1822="","",$D1822*IFERROR(INDEX('تحليل التكلفة والسعر'!$C$2:$C$700,MATCH($C1822,'تحليل التكلفة والسعر'!$B$2:$B$700,0)),0))</f>
        <v/>
      </c>
    </row>
    <row r="1823" customFormat="false" ht="15" hidden="false" customHeight="false" outlineLevel="0" collapsed="false">
      <c r="A1823" s="102"/>
      <c r="E1823" s="103" t="str">
        <f aca="false">IF($C1823="","",IFERROR(INDEX(المنيو!$C$2:$C$500,MATCH($C1823,المنيو!$B$2:$B$500,0)),0))</f>
        <v/>
      </c>
      <c r="F1823" s="103" t="str">
        <f aca="false">IF($C1823="","",$D1823*$E1823)</f>
        <v/>
      </c>
      <c r="G1823" s="103" t="str">
        <f aca="false">IF($C1823="","",$D1823*IFERROR(INDEX('تحليل التكلفة والسعر'!$C$2:$C$700,MATCH($C1823,'تحليل التكلفة والسعر'!$B$2:$B$700,0)),0))</f>
        <v/>
      </c>
    </row>
    <row r="1824" customFormat="false" ht="15" hidden="false" customHeight="false" outlineLevel="0" collapsed="false">
      <c r="A1824" s="102"/>
      <c r="E1824" s="103" t="str">
        <f aca="false">IF($C1824="","",IFERROR(INDEX(المنيو!$C$2:$C$500,MATCH($C1824,المنيو!$B$2:$B$500,0)),0))</f>
        <v/>
      </c>
      <c r="F1824" s="103" t="str">
        <f aca="false">IF($C1824="","",$D1824*$E1824)</f>
        <v/>
      </c>
      <c r="G1824" s="103" t="str">
        <f aca="false">IF($C1824="","",$D1824*IFERROR(INDEX('تحليل التكلفة والسعر'!$C$2:$C$700,MATCH($C1824,'تحليل التكلفة والسعر'!$B$2:$B$700,0)),0))</f>
        <v/>
      </c>
    </row>
    <row r="1825" customFormat="false" ht="15" hidden="false" customHeight="false" outlineLevel="0" collapsed="false">
      <c r="A1825" s="102"/>
      <c r="E1825" s="103" t="str">
        <f aca="false">IF($C1825="","",IFERROR(INDEX(المنيو!$C$2:$C$500,MATCH($C1825,المنيو!$B$2:$B$500,0)),0))</f>
        <v/>
      </c>
      <c r="F1825" s="103" t="str">
        <f aca="false">IF($C1825="","",$D1825*$E1825)</f>
        <v/>
      </c>
      <c r="G1825" s="103" t="str">
        <f aca="false">IF($C1825="","",$D1825*IFERROR(INDEX('تحليل التكلفة والسعر'!$C$2:$C$700,MATCH($C1825,'تحليل التكلفة والسعر'!$B$2:$B$700,0)),0))</f>
        <v/>
      </c>
    </row>
    <row r="1826" customFormat="false" ht="15" hidden="false" customHeight="false" outlineLevel="0" collapsed="false">
      <c r="A1826" s="102"/>
      <c r="E1826" s="103" t="str">
        <f aca="false">IF($C1826="","",IFERROR(INDEX(المنيو!$C$2:$C$500,MATCH($C1826,المنيو!$B$2:$B$500,0)),0))</f>
        <v/>
      </c>
      <c r="F1826" s="103" t="str">
        <f aca="false">IF($C1826="","",$D1826*$E1826)</f>
        <v/>
      </c>
      <c r="G1826" s="103" t="str">
        <f aca="false">IF($C1826="","",$D1826*IFERROR(INDEX('تحليل التكلفة والسعر'!$C$2:$C$700,MATCH($C1826,'تحليل التكلفة والسعر'!$B$2:$B$700,0)),0))</f>
        <v/>
      </c>
    </row>
    <row r="1827" customFormat="false" ht="15" hidden="false" customHeight="false" outlineLevel="0" collapsed="false">
      <c r="A1827" s="102"/>
      <c r="E1827" s="103" t="str">
        <f aca="false">IF($C1827="","",IFERROR(INDEX(المنيو!$C$2:$C$500,MATCH($C1827,المنيو!$B$2:$B$500,0)),0))</f>
        <v/>
      </c>
      <c r="F1827" s="103" t="str">
        <f aca="false">IF($C1827="","",$D1827*$E1827)</f>
        <v/>
      </c>
      <c r="G1827" s="103" t="str">
        <f aca="false">IF($C1827="","",$D1827*IFERROR(INDEX('تحليل التكلفة والسعر'!$C$2:$C$700,MATCH($C1827,'تحليل التكلفة والسعر'!$B$2:$B$700,0)),0))</f>
        <v/>
      </c>
    </row>
    <row r="1828" customFormat="false" ht="15" hidden="false" customHeight="false" outlineLevel="0" collapsed="false">
      <c r="A1828" s="102"/>
      <c r="E1828" s="103" t="str">
        <f aca="false">IF($C1828="","",IFERROR(INDEX(المنيو!$C$2:$C$500,MATCH($C1828,المنيو!$B$2:$B$500,0)),0))</f>
        <v/>
      </c>
      <c r="F1828" s="103" t="str">
        <f aca="false">IF($C1828="","",$D1828*$E1828)</f>
        <v/>
      </c>
      <c r="G1828" s="103" t="str">
        <f aca="false">IF($C1828="","",$D1828*IFERROR(INDEX('تحليل التكلفة والسعر'!$C$2:$C$700,MATCH($C1828,'تحليل التكلفة والسعر'!$B$2:$B$700,0)),0))</f>
        <v/>
      </c>
    </row>
    <row r="1829" customFormat="false" ht="15" hidden="false" customHeight="false" outlineLevel="0" collapsed="false">
      <c r="A1829" s="102"/>
      <c r="E1829" s="103" t="str">
        <f aca="false">IF($C1829="","",IFERROR(INDEX(المنيو!$C$2:$C$500,MATCH($C1829,المنيو!$B$2:$B$500,0)),0))</f>
        <v/>
      </c>
      <c r="F1829" s="103" t="str">
        <f aca="false">IF($C1829="","",$D1829*$E1829)</f>
        <v/>
      </c>
      <c r="G1829" s="103" t="str">
        <f aca="false">IF($C1829="","",$D1829*IFERROR(INDEX('تحليل التكلفة والسعر'!$C$2:$C$700,MATCH($C1829,'تحليل التكلفة والسعر'!$B$2:$B$700,0)),0))</f>
        <v/>
      </c>
    </row>
    <row r="1830" customFormat="false" ht="15" hidden="false" customHeight="false" outlineLevel="0" collapsed="false">
      <c r="A1830" s="102"/>
      <c r="E1830" s="103" t="str">
        <f aca="false">IF($C1830="","",IFERROR(INDEX(المنيو!$C$2:$C$500,MATCH($C1830,المنيو!$B$2:$B$500,0)),0))</f>
        <v/>
      </c>
      <c r="F1830" s="103" t="str">
        <f aca="false">IF($C1830="","",$D1830*$E1830)</f>
        <v/>
      </c>
      <c r="G1830" s="103" t="str">
        <f aca="false">IF($C1830="","",$D1830*IFERROR(INDEX('تحليل التكلفة والسعر'!$C$2:$C$700,MATCH($C1830,'تحليل التكلفة والسعر'!$B$2:$B$700,0)),0))</f>
        <v/>
      </c>
    </row>
    <row r="1831" customFormat="false" ht="15" hidden="false" customHeight="false" outlineLevel="0" collapsed="false">
      <c r="A1831" s="102"/>
      <c r="E1831" s="103" t="str">
        <f aca="false">IF($C1831="","",IFERROR(INDEX(المنيو!$C$2:$C$500,MATCH($C1831,المنيو!$B$2:$B$500,0)),0))</f>
        <v/>
      </c>
      <c r="F1831" s="103" t="str">
        <f aca="false">IF($C1831="","",$D1831*$E1831)</f>
        <v/>
      </c>
      <c r="G1831" s="103" t="str">
        <f aca="false">IF($C1831="","",$D1831*IFERROR(INDEX('تحليل التكلفة والسعر'!$C$2:$C$700,MATCH($C1831,'تحليل التكلفة والسعر'!$B$2:$B$700,0)),0))</f>
        <v/>
      </c>
    </row>
    <row r="1832" customFormat="false" ht="15" hidden="false" customHeight="false" outlineLevel="0" collapsed="false">
      <c r="A1832" s="102"/>
      <c r="E1832" s="103" t="str">
        <f aca="false">IF($C1832="","",IFERROR(INDEX(المنيو!$C$2:$C$500,MATCH($C1832,المنيو!$B$2:$B$500,0)),0))</f>
        <v/>
      </c>
      <c r="F1832" s="103" t="str">
        <f aca="false">IF($C1832="","",$D1832*$E1832)</f>
        <v/>
      </c>
      <c r="G1832" s="103" t="str">
        <f aca="false">IF($C1832="","",$D1832*IFERROR(INDEX('تحليل التكلفة والسعر'!$C$2:$C$700,MATCH($C1832,'تحليل التكلفة والسعر'!$B$2:$B$700,0)),0))</f>
        <v/>
      </c>
    </row>
    <row r="1833" customFormat="false" ht="15" hidden="false" customHeight="false" outlineLevel="0" collapsed="false">
      <c r="A1833" s="102"/>
      <c r="E1833" s="103" t="str">
        <f aca="false">IF($C1833="","",IFERROR(INDEX(المنيو!$C$2:$C$500,MATCH($C1833,المنيو!$B$2:$B$500,0)),0))</f>
        <v/>
      </c>
      <c r="F1833" s="103" t="str">
        <f aca="false">IF($C1833="","",$D1833*$E1833)</f>
        <v/>
      </c>
      <c r="G1833" s="103" t="str">
        <f aca="false">IF($C1833="","",$D1833*IFERROR(INDEX('تحليل التكلفة والسعر'!$C$2:$C$700,MATCH($C1833,'تحليل التكلفة والسعر'!$B$2:$B$700,0)),0))</f>
        <v/>
      </c>
    </row>
    <row r="1834" customFormat="false" ht="15" hidden="false" customHeight="false" outlineLevel="0" collapsed="false">
      <c r="A1834" s="102"/>
      <c r="E1834" s="103" t="str">
        <f aca="false">IF($C1834="","",IFERROR(INDEX(المنيو!$C$2:$C$500,MATCH($C1834,المنيو!$B$2:$B$500,0)),0))</f>
        <v/>
      </c>
      <c r="F1834" s="103" t="str">
        <f aca="false">IF($C1834="","",$D1834*$E1834)</f>
        <v/>
      </c>
      <c r="G1834" s="103" t="str">
        <f aca="false">IF($C1834="","",$D1834*IFERROR(INDEX('تحليل التكلفة والسعر'!$C$2:$C$700,MATCH($C1834,'تحليل التكلفة والسعر'!$B$2:$B$700,0)),0))</f>
        <v/>
      </c>
    </row>
    <row r="1835" customFormat="false" ht="15" hidden="false" customHeight="false" outlineLevel="0" collapsed="false">
      <c r="A1835" s="102"/>
      <c r="E1835" s="103" t="str">
        <f aca="false">IF($C1835="","",IFERROR(INDEX(المنيو!$C$2:$C$500,MATCH($C1835,المنيو!$B$2:$B$500,0)),0))</f>
        <v/>
      </c>
      <c r="F1835" s="103" t="str">
        <f aca="false">IF($C1835="","",$D1835*$E1835)</f>
        <v/>
      </c>
      <c r="G1835" s="103" t="str">
        <f aca="false">IF($C1835="","",$D1835*IFERROR(INDEX('تحليل التكلفة والسعر'!$C$2:$C$700,MATCH($C1835,'تحليل التكلفة والسعر'!$B$2:$B$700,0)),0))</f>
        <v/>
      </c>
    </row>
    <row r="1836" customFormat="false" ht="15" hidden="false" customHeight="false" outlineLevel="0" collapsed="false">
      <c r="A1836" s="102"/>
      <c r="E1836" s="103" t="str">
        <f aca="false">IF($C1836="","",IFERROR(INDEX(المنيو!$C$2:$C$500,MATCH($C1836,المنيو!$B$2:$B$500,0)),0))</f>
        <v/>
      </c>
      <c r="F1836" s="103" t="str">
        <f aca="false">IF($C1836="","",$D1836*$E1836)</f>
        <v/>
      </c>
      <c r="G1836" s="103" t="str">
        <f aca="false">IF($C1836="","",$D1836*IFERROR(INDEX('تحليل التكلفة والسعر'!$C$2:$C$700,MATCH($C1836,'تحليل التكلفة والسعر'!$B$2:$B$700,0)),0))</f>
        <v/>
      </c>
    </row>
    <row r="1837" customFormat="false" ht="15" hidden="false" customHeight="false" outlineLevel="0" collapsed="false">
      <c r="A1837" s="102"/>
      <c r="E1837" s="103" t="str">
        <f aca="false">IF($C1837="","",IFERROR(INDEX(المنيو!$C$2:$C$500,MATCH($C1837,المنيو!$B$2:$B$500,0)),0))</f>
        <v/>
      </c>
      <c r="F1837" s="103" t="str">
        <f aca="false">IF($C1837="","",$D1837*$E1837)</f>
        <v/>
      </c>
      <c r="G1837" s="103" t="str">
        <f aca="false">IF($C1837="","",$D1837*IFERROR(INDEX('تحليل التكلفة والسعر'!$C$2:$C$700,MATCH($C1837,'تحليل التكلفة والسعر'!$B$2:$B$700,0)),0))</f>
        <v/>
      </c>
    </row>
    <row r="1838" customFormat="false" ht="15" hidden="false" customHeight="false" outlineLevel="0" collapsed="false">
      <c r="A1838" s="102"/>
      <c r="E1838" s="103" t="str">
        <f aca="false">IF($C1838="","",IFERROR(INDEX(المنيو!$C$2:$C$500,MATCH($C1838,المنيو!$B$2:$B$500,0)),0))</f>
        <v/>
      </c>
      <c r="F1838" s="103" t="str">
        <f aca="false">IF($C1838="","",$D1838*$E1838)</f>
        <v/>
      </c>
      <c r="G1838" s="103" t="str">
        <f aca="false">IF($C1838="","",$D1838*IFERROR(INDEX('تحليل التكلفة والسعر'!$C$2:$C$700,MATCH($C1838,'تحليل التكلفة والسعر'!$B$2:$B$700,0)),0))</f>
        <v/>
      </c>
    </row>
    <row r="1839" customFormat="false" ht="15" hidden="false" customHeight="false" outlineLevel="0" collapsed="false">
      <c r="A1839" s="102"/>
      <c r="E1839" s="103" t="str">
        <f aca="false">IF($C1839="","",IFERROR(INDEX(المنيو!$C$2:$C$500,MATCH($C1839,المنيو!$B$2:$B$500,0)),0))</f>
        <v/>
      </c>
      <c r="F1839" s="103" t="str">
        <f aca="false">IF($C1839="","",$D1839*$E1839)</f>
        <v/>
      </c>
      <c r="G1839" s="103" t="str">
        <f aca="false">IF($C1839="","",$D1839*IFERROR(INDEX('تحليل التكلفة والسعر'!$C$2:$C$700,MATCH($C1839,'تحليل التكلفة والسعر'!$B$2:$B$700,0)),0))</f>
        <v/>
      </c>
    </row>
    <row r="1840" customFormat="false" ht="15" hidden="false" customHeight="false" outlineLevel="0" collapsed="false">
      <c r="A1840" s="102"/>
      <c r="E1840" s="103" t="str">
        <f aca="false">IF($C1840="","",IFERROR(INDEX(المنيو!$C$2:$C$500,MATCH($C1840,المنيو!$B$2:$B$500,0)),0))</f>
        <v/>
      </c>
      <c r="F1840" s="103" t="str">
        <f aca="false">IF($C1840="","",$D1840*$E1840)</f>
        <v/>
      </c>
      <c r="G1840" s="103" t="str">
        <f aca="false">IF($C1840="","",$D1840*IFERROR(INDEX('تحليل التكلفة والسعر'!$C$2:$C$700,MATCH($C1840,'تحليل التكلفة والسعر'!$B$2:$B$700,0)),0))</f>
        <v/>
      </c>
    </row>
    <row r="1841" customFormat="false" ht="15" hidden="false" customHeight="false" outlineLevel="0" collapsed="false">
      <c r="A1841" s="102"/>
      <c r="E1841" s="103" t="str">
        <f aca="false">IF($C1841="","",IFERROR(INDEX(المنيو!$C$2:$C$500,MATCH($C1841,المنيو!$B$2:$B$500,0)),0))</f>
        <v/>
      </c>
      <c r="F1841" s="103" t="str">
        <f aca="false">IF($C1841="","",$D1841*$E1841)</f>
        <v/>
      </c>
      <c r="G1841" s="103" t="str">
        <f aca="false">IF($C1841="","",$D1841*IFERROR(INDEX('تحليل التكلفة والسعر'!$C$2:$C$700,MATCH($C1841,'تحليل التكلفة والسعر'!$B$2:$B$700,0)),0))</f>
        <v/>
      </c>
    </row>
    <row r="1842" customFormat="false" ht="15" hidden="false" customHeight="false" outlineLevel="0" collapsed="false">
      <c r="A1842" s="102"/>
      <c r="E1842" s="103" t="str">
        <f aca="false">IF($C1842="","",IFERROR(INDEX(المنيو!$C$2:$C$500,MATCH($C1842,المنيو!$B$2:$B$500,0)),0))</f>
        <v/>
      </c>
      <c r="F1842" s="103" t="str">
        <f aca="false">IF($C1842="","",$D1842*$E1842)</f>
        <v/>
      </c>
      <c r="G1842" s="103" t="str">
        <f aca="false">IF($C1842="","",$D1842*IFERROR(INDEX('تحليل التكلفة والسعر'!$C$2:$C$700,MATCH($C1842,'تحليل التكلفة والسعر'!$B$2:$B$700,0)),0))</f>
        <v/>
      </c>
    </row>
    <row r="1843" customFormat="false" ht="15" hidden="false" customHeight="false" outlineLevel="0" collapsed="false">
      <c r="A1843" s="102"/>
      <c r="E1843" s="103" t="str">
        <f aca="false">IF($C1843="","",IFERROR(INDEX(المنيو!$C$2:$C$500,MATCH($C1843,المنيو!$B$2:$B$500,0)),0))</f>
        <v/>
      </c>
      <c r="F1843" s="103" t="str">
        <f aca="false">IF($C1843="","",$D1843*$E1843)</f>
        <v/>
      </c>
      <c r="G1843" s="103" t="str">
        <f aca="false">IF($C1843="","",$D1843*IFERROR(INDEX('تحليل التكلفة والسعر'!$C$2:$C$700,MATCH($C1843,'تحليل التكلفة والسعر'!$B$2:$B$700,0)),0))</f>
        <v/>
      </c>
    </row>
    <row r="1844" customFormat="false" ht="15" hidden="false" customHeight="false" outlineLevel="0" collapsed="false">
      <c r="A1844" s="102"/>
      <c r="E1844" s="103" t="str">
        <f aca="false">IF($C1844="","",IFERROR(INDEX(المنيو!$C$2:$C$500,MATCH($C1844,المنيو!$B$2:$B$500,0)),0))</f>
        <v/>
      </c>
      <c r="F1844" s="103" t="str">
        <f aca="false">IF($C1844="","",$D1844*$E1844)</f>
        <v/>
      </c>
      <c r="G1844" s="103" t="str">
        <f aca="false">IF($C1844="","",$D1844*IFERROR(INDEX('تحليل التكلفة والسعر'!$C$2:$C$700,MATCH($C1844,'تحليل التكلفة والسعر'!$B$2:$B$700,0)),0))</f>
        <v/>
      </c>
    </row>
    <row r="1845" customFormat="false" ht="15" hidden="false" customHeight="false" outlineLevel="0" collapsed="false">
      <c r="A1845" s="102"/>
      <c r="E1845" s="103" t="str">
        <f aca="false">IF($C1845="","",IFERROR(INDEX(المنيو!$C$2:$C$500,MATCH($C1845,المنيو!$B$2:$B$500,0)),0))</f>
        <v/>
      </c>
      <c r="F1845" s="103" t="str">
        <f aca="false">IF($C1845="","",$D1845*$E1845)</f>
        <v/>
      </c>
      <c r="G1845" s="103" t="str">
        <f aca="false">IF($C1845="","",$D1845*IFERROR(INDEX('تحليل التكلفة والسعر'!$C$2:$C$700,MATCH($C1845,'تحليل التكلفة والسعر'!$B$2:$B$700,0)),0))</f>
        <v/>
      </c>
    </row>
    <row r="1846" customFormat="false" ht="15" hidden="false" customHeight="false" outlineLevel="0" collapsed="false">
      <c r="A1846" s="102"/>
      <c r="E1846" s="103" t="str">
        <f aca="false">IF($C1846="","",IFERROR(INDEX(المنيو!$C$2:$C$500,MATCH($C1846,المنيو!$B$2:$B$500,0)),0))</f>
        <v/>
      </c>
      <c r="F1846" s="103" t="str">
        <f aca="false">IF($C1846="","",$D1846*$E1846)</f>
        <v/>
      </c>
      <c r="G1846" s="103" t="str">
        <f aca="false">IF($C1846="","",$D1846*IFERROR(INDEX('تحليل التكلفة والسعر'!$C$2:$C$700,MATCH($C1846,'تحليل التكلفة والسعر'!$B$2:$B$700,0)),0))</f>
        <v/>
      </c>
    </row>
    <row r="1847" customFormat="false" ht="15" hidden="false" customHeight="false" outlineLevel="0" collapsed="false">
      <c r="A1847" s="102"/>
      <c r="E1847" s="103" t="str">
        <f aca="false">IF($C1847="","",IFERROR(INDEX(المنيو!$C$2:$C$500,MATCH($C1847,المنيو!$B$2:$B$500,0)),0))</f>
        <v/>
      </c>
      <c r="F1847" s="103" t="str">
        <f aca="false">IF($C1847="","",$D1847*$E1847)</f>
        <v/>
      </c>
      <c r="G1847" s="103" t="str">
        <f aca="false">IF($C1847="","",$D1847*IFERROR(INDEX('تحليل التكلفة والسعر'!$C$2:$C$700,MATCH($C1847,'تحليل التكلفة والسعر'!$B$2:$B$700,0)),0))</f>
        <v/>
      </c>
    </row>
    <row r="1848" customFormat="false" ht="15" hidden="false" customHeight="false" outlineLevel="0" collapsed="false">
      <c r="A1848" s="102"/>
      <c r="E1848" s="103" t="str">
        <f aca="false">IF($C1848="","",IFERROR(INDEX(المنيو!$C$2:$C$500,MATCH($C1848,المنيو!$B$2:$B$500,0)),0))</f>
        <v/>
      </c>
      <c r="F1848" s="103" t="str">
        <f aca="false">IF($C1848="","",$D1848*$E1848)</f>
        <v/>
      </c>
      <c r="G1848" s="103" t="str">
        <f aca="false">IF($C1848="","",$D1848*IFERROR(INDEX('تحليل التكلفة والسعر'!$C$2:$C$700,MATCH($C1848,'تحليل التكلفة والسعر'!$B$2:$B$700,0)),0))</f>
        <v/>
      </c>
    </row>
    <row r="1849" customFormat="false" ht="15" hidden="false" customHeight="false" outlineLevel="0" collapsed="false">
      <c r="A1849" s="102"/>
      <c r="E1849" s="103" t="str">
        <f aca="false">IF($C1849="","",IFERROR(INDEX(المنيو!$C$2:$C$500,MATCH($C1849,المنيو!$B$2:$B$500,0)),0))</f>
        <v/>
      </c>
      <c r="F1849" s="103" t="str">
        <f aca="false">IF($C1849="","",$D1849*$E1849)</f>
        <v/>
      </c>
      <c r="G1849" s="103" t="str">
        <f aca="false">IF($C1849="","",$D1849*IFERROR(INDEX('تحليل التكلفة والسعر'!$C$2:$C$700,MATCH($C1849,'تحليل التكلفة والسعر'!$B$2:$B$700,0)),0))</f>
        <v/>
      </c>
    </row>
    <row r="1850" customFormat="false" ht="15" hidden="false" customHeight="false" outlineLevel="0" collapsed="false">
      <c r="A1850" s="102"/>
      <c r="E1850" s="103" t="str">
        <f aca="false">IF($C1850="","",IFERROR(INDEX(المنيو!$C$2:$C$500,MATCH($C1850,المنيو!$B$2:$B$500,0)),0))</f>
        <v/>
      </c>
      <c r="F1850" s="103" t="str">
        <f aca="false">IF($C1850="","",$D1850*$E1850)</f>
        <v/>
      </c>
      <c r="G1850" s="103" t="str">
        <f aca="false">IF($C1850="","",$D1850*IFERROR(INDEX('تحليل التكلفة والسعر'!$C$2:$C$700,MATCH($C1850,'تحليل التكلفة والسعر'!$B$2:$B$700,0)),0))</f>
        <v/>
      </c>
    </row>
    <row r="1851" customFormat="false" ht="15" hidden="false" customHeight="false" outlineLevel="0" collapsed="false">
      <c r="A1851" s="102"/>
      <c r="E1851" s="103" t="str">
        <f aca="false">IF($C1851="","",IFERROR(INDEX(المنيو!$C$2:$C$500,MATCH($C1851,المنيو!$B$2:$B$500,0)),0))</f>
        <v/>
      </c>
      <c r="F1851" s="103" t="str">
        <f aca="false">IF($C1851="","",$D1851*$E1851)</f>
        <v/>
      </c>
      <c r="G1851" s="103" t="str">
        <f aca="false">IF($C1851="","",$D1851*IFERROR(INDEX('تحليل التكلفة والسعر'!$C$2:$C$700,MATCH($C1851,'تحليل التكلفة والسعر'!$B$2:$B$700,0)),0))</f>
        <v/>
      </c>
    </row>
    <row r="1852" customFormat="false" ht="15" hidden="false" customHeight="false" outlineLevel="0" collapsed="false">
      <c r="A1852" s="102"/>
      <c r="E1852" s="103" t="str">
        <f aca="false">IF($C1852="","",IFERROR(INDEX(المنيو!$C$2:$C$500,MATCH($C1852,المنيو!$B$2:$B$500,0)),0))</f>
        <v/>
      </c>
      <c r="F1852" s="103" t="str">
        <f aca="false">IF($C1852="","",$D1852*$E1852)</f>
        <v/>
      </c>
      <c r="G1852" s="103" t="str">
        <f aca="false">IF($C1852="","",$D1852*IFERROR(INDEX('تحليل التكلفة والسعر'!$C$2:$C$700,MATCH($C1852,'تحليل التكلفة والسعر'!$B$2:$B$700,0)),0))</f>
        <v/>
      </c>
    </row>
    <row r="1853" customFormat="false" ht="15" hidden="false" customHeight="false" outlineLevel="0" collapsed="false">
      <c r="A1853" s="102"/>
      <c r="E1853" s="103" t="str">
        <f aca="false">IF($C1853="","",IFERROR(INDEX(المنيو!$C$2:$C$500,MATCH($C1853,المنيو!$B$2:$B$500,0)),0))</f>
        <v/>
      </c>
      <c r="F1853" s="103" t="str">
        <f aca="false">IF($C1853="","",$D1853*$E1853)</f>
        <v/>
      </c>
      <c r="G1853" s="103" t="str">
        <f aca="false">IF($C1853="","",$D1853*IFERROR(INDEX('تحليل التكلفة والسعر'!$C$2:$C$700,MATCH($C1853,'تحليل التكلفة والسعر'!$B$2:$B$700,0)),0))</f>
        <v/>
      </c>
    </row>
    <row r="1854" customFormat="false" ht="15" hidden="false" customHeight="false" outlineLevel="0" collapsed="false">
      <c r="A1854" s="102"/>
      <c r="E1854" s="103" t="str">
        <f aca="false">IF($C1854="","",IFERROR(INDEX(المنيو!$C$2:$C$500,MATCH($C1854,المنيو!$B$2:$B$500,0)),0))</f>
        <v/>
      </c>
      <c r="F1854" s="103" t="str">
        <f aca="false">IF($C1854="","",$D1854*$E1854)</f>
        <v/>
      </c>
      <c r="G1854" s="103" t="str">
        <f aca="false">IF($C1854="","",$D1854*IFERROR(INDEX('تحليل التكلفة والسعر'!$C$2:$C$700,MATCH($C1854,'تحليل التكلفة والسعر'!$B$2:$B$700,0)),0))</f>
        <v/>
      </c>
    </row>
    <row r="1855" customFormat="false" ht="15" hidden="false" customHeight="false" outlineLevel="0" collapsed="false">
      <c r="A1855" s="102"/>
      <c r="E1855" s="103" t="str">
        <f aca="false">IF($C1855="","",IFERROR(INDEX(المنيو!$C$2:$C$500,MATCH($C1855,المنيو!$B$2:$B$500,0)),0))</f>
        <v/>
      </c>
      <c r="F1855" s="103" t="str">
        <f aca="false">IF($C1855="","",$D1855*$E1855)</f>
        <v/>
      </c>
      <c r="G1855" s="103" t="str">
        <f aca="false">IF($C1855="","",$D1855*IFERROR(INDEX('تحليل التكلفة والسعر'!$C$2:$C$700,MATCH($C1855,'تحليل التكلفة والسعر'!$B$2:$B$700,0)),0))</f>
        <v/>
      </c>
    </row>
    <row r="1856" customFormat="false" ht="15" hidden="false" customHeight="false" outlineLevel="0" collapsed="false">
      <c r="A1856" s="102"/>
      <c r="E1856" s="103" t="str">
        <f aca="false">IF($C1856="","",IFERROR(INDEX(المنيو!$C$2:$C$500,MATCH($C1856,المنيو!$B$2:$B$500,0)),0))</f>
        <v/>
      </c>
      <c r="F1856" s="103" t="str">
        <f aca="false">IF($C1856="","",$D1856*$E1856)</f>
        <v/>
      </c>
      <c r="G1856" s="103" t="str">
        <f aca="false">IF($C1856="","",$D1856*IFERROR(INDEX('تحليل التكلفة والسعر'!$C$2:$C$700,MATCH($C1856,'تحليل التكلفة والسعر'!$B$2:$B$700,0)),0))</f>
        <v/>
      </c>
    </row>
    <row r="1857" customFormat="false" ht="15" hidden="false" customHeight="false" outlineLevel="0" collapsed="false">
      <c r="A1857" s="102"/>
      <c r="E1857" s="103" t="str">
        <f aca="false">IF($C1857="","",IFERROR(INDEX(المنيو!$C$2:$C$500,MATCH($C1857,المنيو!$B$2:$B$500,0)),0))</f>
        <v/>
      </c>
      <c r="F1857" s="103" t="str">
        <f aca="false">IF($C1857="","",$D1857*$E1857)</f>
        <v/>
      </c>
      <c r="G1857" s="103" t="str">
        <f aca="false">IF($C1857="","",$D1857*IFERROR(INDEX('تحليل التكلفة والسعر'!$C$2:$C$700,MATCH($C1857,'تحليل التكلفة والسعر'!$B$2:$B$700,0)),0))</f>
        <v/>
      </c>
    </row>
    <row r="1858" customFormat="false" ht="15" hidden="false" customHeight="false" outlineLevel="0" collapsed="false">
      <c r="A1858" s="102"/>
      <c r="E1858" s="103" t="str">
        <f aca="false">IF($C1858="","",IFERROR(INDEX(المنيو!$C$2:$C$500,MATCH($C1858,المنيو!$B$2:$B$500,0)),0))</f>
        <v/>
      </c>
      <c r="F1858" s="103" t="str">
        <f aca="false">IF($C1858="","",$D1858*$E1858)</f>
        <v/>
      </c>
      <c r="G1858" s="103" t="str">
        <f aca="false">IF($C1858="","",$D1858*IFERROR(INDEX('تحليل التكلفة والسعر'!$C$2:$C$700,MATCH($C1858,'تحليل التكلفة والسعر'!$B$2:$B$700,0)),0))</f>
        <v/>
      </c>
    </row>
    <row r="1859" customFormat="false" ht="15" hidden="false" customHeight="false" outlineLevel="0" collapsed="false">
      <c r="A1859" s="102"/>
      <c r="E1859" s="103" t="str">
        <f aca="false">IF($C1859="","",IFERROR(INDEX(المنيو!$C$2:$C$500,MATCH($C1859,المنيو!$B$2:$B$500,0)),0))</f>
        <v/>
      </c>
      <c r="F1859" s="103" t="str">
        <f aca="false">IF($C1859="","",$D1859*$E1859)</f>
        <v/>
      </c>
      <c r="G1859" s="103" t="str">
        <f aca="false">IF($C1859="","",$D1859*IFERROR(INDEX('تحليل التكلفة والسعر'!$C$2:$C$700,MATCH($C1859,'تحليل التكلفة والسعر'!$B$2:$B$700,0)),0))</f>
        <v/>
      </c>
    </row>
    <row r="1860" customFormat="false" ht="15" hidden="false" customHeight="false" outlineLevel="0" collapsed="false">
      <c r="A1860" s="102"/>
      <c r="E1860" s="103" t="str">
        <f aca="false">IF($C1860="","",IFERROR(INDEX(المنيو!$C$2:$C$500,MATCH($C1860,المنيو!$B$2:$B$500,0)),0))</f>
        <v/>
      </c>
      <c r="F1860" s="103" t="str">
        <f aca="false">IF($C1860="","",$D1860*$E1860)</f>
        <v/>
      </c>
      <c r="G1860" s="103" t="str">
        <f aca="false">IF($C1860="","",$D1860*IFERROR(INDEX('تحليل التكلفة والسعر'!$C$2:$C$700,MATCH($C1860,'تحليل التكلفة والسعر'!$B$2:$B$700,0)),0))</f>
        <v/>
      </c>
    </row>
    <row r="1861" customFormat="false" ht="15" hidden="false" customHeight="false" outlineLevel="0" collapsed="false">
      <c r="A1861" s="102"/>
      <c r="E1861" s="103" t="str">
        <f aca="false">IF($C1861="","",IFERROR(INDEX(المنيو!$C$2:$C$500,MATCH($C1861,المنيو!$B$2:$B$500,0)),0))</f>
        <v/>
      </c>
      <c r="F1861" s="103" t="str">
        <f aca="false">IF($C1861="","",$D1861*$E1861)</f>
        <v/>
      </c>
      <c r="G1861" s="103" t="str">
        <f aca="false">IF($C1861="","",$D1861*IFERROR(INDEX('تحليل التكلفة والسعر'!$C$2:$C$700,MATCH($C1861,'تحليل التكلفة والسعر'!$B$2:$B$700,0)),0))</f>
        <v/>
      </c>
    </row>
    <row r="1862" customFormat="false" ht="15" hidden="false" customHeight="false" outlineLevel="0" collapsed="false">
      <c r="A1862" s="102"/>
      <c r="E1862" s="103" t="str">
        <f aca="false">IF($C1862="","",IFERROR(INDEX(المنيو!$C$2:$C$500,MATCH($C1862,المنيو!$B$2:$B$500,0)),0))</f>
        <v/>
      </c>
      <c r="F1862" s="103" t="str">
        <f aca="false">IF($C1862="","",$D1862*$E1862)</f>
        <v/>
      </c>
      <c r="G1862" s="103" t="str">
        <f aca="false">IF($C1862="","",$D1862*IFERROR(INDEX('تحليل التكلفة والسعر'!$C$2:$C$700,MATCH($C1862,'تحليل التكلفة والسعر'!$B$2:$B$700,0)),0))</f>
        <v/>
      </c>
    </row>
    <row r="1863" customFormat="false" ht="15" hidden="false" customHeight="false" outlineLevel="0" collapsed="false">
      <c r="A1863" s="102"/>
      <c r="E1863" s="103" t="str">
        <f aca="false">IF($C1863="","",IFERROR(INDEX(المنيو!$C$2:$C$500,MATCH($C1863,المنيو!$B$2:$B$500,0)),0))</f>
        <v/>
      </c>
      <c r="F1863" s="103" t="str">
        <f aca="false">IF($C1863="","",$D1863*$E1863)</f>
        <v/>
      </c>
      <c r="G1863" s="103" t="str">
        <f aca="false">IF($C1863="","",$D1863*IFERROR(INDEX('تحليل التكلفة والسعر'!$C$2:$C$700,MATCH($C1863,'تحليل التكلفة والسعر'!$B$2:$B$700,0)),0))</f>
        <v/>
      </c>
    </row>
    <row r="1864" customFormat="false" ht="15" hidden="false" customHeight="false" outlineLevel="0" collapsed="false">
      <c r="A1864" s="102"/>
      <c r="E1864" s="103" t="str">
        <f aca="false">IF($C1864="","",IFERROR(INDEX(المنيو!$C$2:$C$500,MATCH($C1864,المنيو!$B$2:$B$500,0)),0))</f>
        <v/>
      </c>
      <c r="F1864" s="103" t="str">
        <f aca="false">IF($C1864="","",$D1864*$E1864)</f>
        <v/>
      </c>
      <c r="G1864" s="103" t="str">
        <f aca="false">IF($C1864="","",$D1864*IFERROR(INDEX('تحليل التكلفة والسعر'!$C$2:$C$700,MATCH($C1864,'تحليل التكلفة والسعر'!$B$2:$B$700,0)),0))</f>
        <v/>
      </c>
    </row>
    <row r="1865" customFormat="false" ht="15" hidden="false" customHeight="false" outlineLevel="0" collapsed="false">
      <c r="A1865" s="102"/>
      <c r="E1865" s="103" t="str">
        <f aca="false">IF($C1865="","",IFERROR(INDEX(المنيو!$C$2:$C$500,MATCH($C1865,المنيو!$B$2:$B$500,0)),0))</f>
        <v/>
      </c>
      <c r="F1865" s="103" t="str">
        <f aca="false">IF($C1865="","",$D1865*$E1865)</f>
        <v/>
      </c>
      <c r="G1865" s="103" t="str">
        <f aca="false">IF($C1865="","",$D1865*IFERROR(INDEX('تحليل التكلفة والسعر'!$C$2:$C$700,MATCH($C1865,'تحليل التكلفة والسعر'!$B$2:$B$700,0)),0))</f>
        <v/>
      </c>
    </row>
    <row r="1866" customFormat="false" ht="15" hidden="false" customHeight="false" outlineLevel="0" collapsed="false">
      <c r="A1866" s="102"/>
      <c r="E1866" s="103" t="str">
        <f aca="false">IF($C1866="","",IFERROR(INDEX(المنيو!$C$2:$C$500,MATCH($C1866,المنيو!$B$2:$B$500,0)),0))</f>
        <v/>
      </c>
      <c r="F1866" s="103" t="str">
        <f aca="false">IF($C1866="","",$D1866*$E1866)</f>
        <v/>
      </c>
      <c r="G1866" s="103" t="str">
        <f aca="false">IF($C1866="","",$D1866*IFERROR(INDEX('تحليل التكلفة والسعر'!$C$2:$C$700,MATCH($C1866,'تحليل التكلفة والسعر'!$B$2:$B$700,0)),0))</f>
        <v/>
      </c>
    </row>
    <row r="1867" customFormat="false" ht="15" hidden="false" customHeight="false" outlineLevel="0" collapsed="false">
      <c r="A1867" s="102"/>
      <c r="E1867" s="103" t="str">
        <f aca="false">IF($C1867="","",IFERROR(INDEX(المنيو!$C$2:$C$500,MATCH($C1867,المنيو!$B$2:$B$500,0)),0))</f>
        <v/>
      </c>
      <c r="F1867" s="103" t="str">
        <f aca="false">IF($C1867="","",$D1867*$E1867)</f>
        <v/>
      </c>
      <c r="G1867" s="103" t="str">
        <f aca="false">IF($C1867="","",$D1867*IFERROR(INDEX('تحليل التكلفة والسعر'!$C$2:$C$700,MATCH($C1867,'تحليل التكلفة والسعر'!$B$2:$B$700,0)),0))</f>
        <v/>
      </c>
    </row>
    <row r="1868" customFormat="false" ht="15" hidden="false" customHeight="false" outlineLevel="0" collapsed="false">
      <c r="A1868" s="102"/>
      <c r="E1868" s="103" t="str">
        <f aca="false">IF($C1868="","",IFERROR(INDEX(المنيو!$C$2:$C$500,MATCH($C1868,المنيو!$B$2:$B$500,0)),0))</f>
        <v/>
      </c>
      <c r="F1868" s="103" t="str">
        <f aca="false">IF($C1868="","",$D1868*$E1868)</f>
        <v/>
      </c>
      <c r="G1868" s="103" t="str">
        <f aca="false">IF($C1868="","",$D1868*IFERROR(INDEX('تحليل التكلفة والسعر'!$C$2:$C$700,MATCH($C1868,'تحليل التكلفة والسعر'!$B$2:$B$700,0)),0))</f>
        <v/>
      </c>
    </row>
    <row r="1869" customFormat="false" ht="15" hidden="false" customHeight="false" outlineLevel="0" collapsed="false">
      <c r="A1869" s="102"/>
      <c r="E1869" s="103" t="str">
        <f aca="false">IF($C1869="","",IFERROR(INDEX(المنيو!$C$2:$C$500,MATCH($C1869,المنيو!$B$2:$B$500,0)),0))</f>
        <v/>
      </c>
      <c r="F1869" s="103" t="str">
        <f aca="false">IF($C1869="","",$D1869*$E1869)</f>
        <v/>
      </c>
      <c r="G1869" s="103" t="str">
        <f aca="false">IF($C1869="","",$D1869*IFERROR(INDEX('تحليل التكلفة والسعر'!$C$2:$C$700,MATCH($C1869,'تحليل التكلفة والسعر'!$B$2:$B$700,0)),0))</f>
        <v/>
      </c>
    </row>
    <row r="1870" customFormat="false" ht="15" hidden="false" customHeight="false" outlineLevel="0" collapsed="false">
      <c r="A1870" s="102"/>
      <c r="E1870" s="103" t="str">
        <f aca="false">IF($C1870="","",IFERROR(INDEX(المنيو!$C$2:$C$500,MATCH($C1870,المنيو!$B$2:$B$500,0)),0))</f>
        <v/>
      </c>
      <c r="F1870" s="103" t="str">
        <f aca="false">IF($C1870="","",$D1870*$E1870)</f>
        <v/>
      </c>
      <c r="G1870" s="103" t="str">
        <f aca="false">IF($C1870="","",$D1870*IFERROR(INDEX('تحليل التكلفة والسعر'!$C$2:$C$700,MATCH($C1870,'تحليل التكلفة والسعر'!$B$2:$B$700,0)),0))</f>
        <v/>
      </c>
    </row>
    <row r="1871" customFormat="false" ht="15" hidden="false" customHeight="false" outlineLevel="0" collapsed="false">
      <c r="A1871" s="102"/>
      <c r="E1871" s="103" t="str">
        <f aca="false">IF($C1871="","",IFERROR(INDEX(المنيو!$C$2:$C$500,MATCH($C1871,المنيو!$B$2:$B$500,0)),0))</f>
        <v/>
      </c>
      <c r="F1871" s="103" t="str">
        <f aca="false">IF($C1871="","",$D1871*$E1871)</f>
        <v/>
      </c>
      <c r="G1871" s="103" t="str">
        <f aca="false">IF($C1871="","",$D1871*IFERROR(INDEX('تحليل التكلفة والسعر'!$C$2:$C$700,MATCH($C1871,'تحليل التكلفة والسعر'!$B$2:$B$700,0)),0))</f>
        <v/>
      </c>
    </row>
    <row r="1872" customFormat="false" ht="15" hidden="false" customHeight="false" outlineLevel="0" collapsed="false">
      <c r="A1872" s="102"/>
      <c r="E1872" s="103" t="str">
        <f aca="false">IF($C1872="","",IFERROR(INDEX(المنيو!$C$2:$C$500,MATCH($C1872,المنيو!$B$2:$B$500,0)),0))</f>
        <v/>
      </c>
      <c r="F1872" s="103" t="str">
        <f aca="false">IF($C1872="","",$D1872*$E1872)</f>
        <v/>
      </c>
      <c r="G1872" s="103" t="str">
        <f aca="false">IF($C1872="","",$D1872*IFERROR(INDEX('تحليل التكلفة والسعر'!$C$2:$C$700,MATCH($C1872,'تحليل التكلفة والسعر'!$B$2:$B$700,0)),0))</f>
        <v/>
      </c>
    </row>
    <row r="1873" customFormat="false" ht="15" hidden="false" customHeight="false" outlineLevel="0" collapsed="false">
      <c r="A1873" s="102"/>
      <c r="E1873" s="103" t="str">
        <f aca="false">IF($C1873="","",IFERROR(INDEX(المنيو!$C$2:$C$500,MATCH($C1873,المنيو!$B$2:$B$500,0)),0))</f>
        <v/>
      </c>
      <c r="F1873" s="103" t="str">
        <f aca="false">IF($C1873="","",$D1873*$E1873)</f>
        <v/>
      </c>
      <c r="G1873" s="103" t="str">
        <f aca="false">IF($C1873="","",$D1873*IFERROR(INDEX('تحليل التكلفة والسعر'!$C$2:$C$700,MATCH($C1873,'تحليل التكلفة والسعر'!$B$2:$B$700,0)),0))</f>
        <v/>
      </c>
    </row>
    <row r="1874" customFormat="false" ht="15" hidden="false" customHeight="false" outlineLevel="0" collapsed="false">
      <c r="A1874" s="102"/>
      <c r="E1874" s="103" t="str">
        <f aca="false">IF($C1874="","",IFERROR(INDEX(المنيو!$C$2:$C$500,MATCH($C1874,المنيو!$B$2:$B$500,0)),0))</f>
        <v/>
      </c>
      <c r="F1874" s="103" t="str">
        <f aca="false">IF($C1874="","",$D1874*$E1874)</f>
        <v/>
      </c>
      <c r="G1874" s="103" t="str">
        <f aca="false">IF($C1874="","",$D1874*IFERROR(INDEX('تحليل التكلفة والسعر'!$C$2:$C$700,MATCH($C1874,'تحليل التكلفة والسعر'!$B$2:$B$700,0)),0))</f>
        <v/>
      </c>
    </row>
    <row r="1875" customFormat="false" ht="15" hidden="false" customHeight="false" outlineLevel="0" collapsed="false">
      <c r="A1875" s="102"/>
      <c r="E1875" s="103" t="str">
        <f aca="false">IF($C1875="","",IFERROR(INDEX(المنيو!$C$2:$C$500,MATCH($C1875,المنيو!$B$2:$B$500,0)),0))</f>
        <v/>
      </c>
      <c r="F1875" s="103" t="str">
        <f aca="false">IF($C1875="","",$D1875*$E1875)</f>
        <v/>
      </c>
      <c r="G1875" s="103" t="str">
        <f aca="false">IF($C1875="","",$D1875*IFERROR(INDEX('تحليل التكلفة والسعر'!$C$2:$C$700,MATCH($C1875,'تحليل التكلفة والسعر'!$B$2:$B$700,0)),0))</f>
        <v/>
      </c>
    </row>
    <row r="1876" customFormat="false" ht="15" hidden="false" customHeight="false" outlineLevel="0" collapsed="false">
      <c r="A1876" s="102"/>
      <c r="E1876" s="103" t="str">
        <f aca="false">IF($C1876="","",IFERROR(INDEX(المنيو!$C$2:$C$500,MATCH($C1876,المنيو!$B$2:$B$500,0)),0))</f>
        <v/>
      </c>
      <c r="F1876" s="103" t="str">
        <f aca="false">IF($C1876="","",$D1876*$E1876)</f>
        <v/>
      </c>
      <c r="G1876" s="103" t="str">
        <f aca="false">IF($C1876="","",$D1876*IFERROR(INDEX('تحليل التكلفة والسعر'!$C$2:$C$700,MATCH($C1876,'تحليل التكلفة والسعر'!$B$2:$B$700,0)),0))</f>
        <v/>
      </c>
    </row>
    <row r="1877" customFormat="false" ht="15" hidden="false" customHeight="false" outlineLevel="0" collapsed="false">
      <c r="A1877" s="102"/>
      <c r="E1877" s="103" t="str">
        <f aca="false">IF($C1877="","",IFERROR(INDEX(المنيو!$C$2:$C$500,MATCH($C1877,المنيو!$B$2:$B$500,0)),0))</f>
        <v/>
      </c>
      <c r="F1877" s="103" t="str">
        <f aca="false">IF($C1877="","",$D1877*$E1877)</f>
        <v/>
      </c>
      <c r="G1877" s="103" t="str">
        <f aca="false">IF($C1877="","",$D1877*IFERROR(INDEX('تحليل التكلفة والسعر'!$C$2:$C$700,MATCH($C1877,'تحليل التكلفة والسعر'!$B$2:$B$700,0)),0))</f>
        <v/>
      </c>
    </row>
    <row r="1878" customFormat="false" ht="15" hidden="false" customHeight="false" outlineLevel="0" collapsed="false">
      <c r="A1878" s="102"/>
      <c r="E1878" s="103" t="str">
        <f aca="false">IF($C1878="","",IFERROR(INDEX(المنيو!$C$2:$C$500,MATCH($C1878,المنيو!$B$2:$B$500,0)),0))</f>
        <v/>
      </c>
      <c r="F1878" s="103" t="str">
        <f aca="false">IF($C1878="","",$D1878*$E1878)</f>
        <v/>
      </c>
      <c r="G1878" s="103" t="str">
        <f aca="false">IF($C1878="","",$D1878*IFERROR(INDEX('تحليل التكلفة والسعر'!$C$2:$C$700,MATCH($C1878,'تحليل التكلفة والسعر'!$B$2:$B$700,0)),0))</f>
        <v/>
      </c>
    </row>
    <row r="1879" customFormat="false" ht="15" hidden="false" customHeight="false" outlineLevel="0" collapsed="false">
      <c r="A1879" s="102"/>
      <c r="E1879" s="103" t="str">
        <f aca="false">IF($C1879="","",IFERROR(INDEX(المنيو!$C$2:$C$500,MATCH($C1879,المنيو!$B$2:$B$500,0)),0))</f>
        <v/>
      </c>
      <c r="F1879" s="103" t="str">
        <f aca="false">IF($C1879="","",$D1879*$E1879)</f>
        <v/>
      </c>
      <c r="G1879" s="103" t="str">
        <f aca="false">IF($C1879="","",$D1879*IFERROR(INDEX('تحليل التكلفة والسعر'!$C$2:$C$700,MATCH($C1879,'تحليل التكلفة والسعر'!$B$2:$B$700,0)),0))</f>
        <v/>
      </c>
    </row>
    <row r="1880" customFormat="false" ht="15" hidden="false" customHeight="false" outlineLevel="0" collapsed="false">
      <c r="A1880" s="102"/>
      <c r="E1880" s="103" t="str">
        <f aca="false">IF($C1880="","",IFERROR(INDEX(المنيو!$C$2:$C$500,MATCH($C1880,المنيو!$B$2:$B$500,0)),0))</f>
        <v/>
      </c>
      <c r="F1880" s="103" t="str">
        <f aca="false">IF($C1880="","",$D1880*$E1880)</f>
        <v/>
      </c>
      <c r="G1880" s="103" t="str">
        <f aca="false">IF($C1880="","",$D1880*IFERROR(INDEX('تحليل التكلفة والسعر'!$C$2:$C$700,MATCH($C1880,'تحليل التكلفة والسعر'!$B$2:$B$700,0)),0))</f>
        <v/>
      </c>
    </row>
    <row r="1881" customFormat="false" ht="15" hidden="false" customHeight="false" outlineLevel="0" collapsed="false">
      <c r="A1881" s="102"/>
      <c r="E1881" s="103" t="str">
        <f aca="false">IF($C1881="","",IFERROR(INDEX(المنيو!$C$2:$C$500,MATCH($C1881,المنيو!$B$2:$B$500,0)),0))</f>
        <v/>
      </c>
      <c r="F1881" s="103" t="str">
        <f aca="false">IF($C1881="","",$D1881*$E1881)</f>
        <v/>
      </c>
      <c r="G1881" s="103" t="str">
        <f aca="false">IF($C1881="","",$D1881*IFERROR(INDEX('تحليل التكلفة والسعر'!$C$2:$C$700,MATCH($C1881,'تحليل التكلفة والسعر'!$B$2:$B$700,0)),0))</f>
        <v/>
      </c>
    </row>
    <row r="1882" customFormat="false" ht="15" hidden="false" customHeight="false" outlineLevel="0" collapsed="false">
      <c r="A1882" s="102"/>
      <c r="E1882" s="103" t="str">
        <f aca="false">IF($C1882="","",IFERROR(INDEX(المنيو!$C$2:$C$500,MATCH($C1882,المنيو!$B$2:$B$500,0)),0))</f>
        <v/>
      </c>
      <c r="F1882" s="103" t="str">
        <f aca="false">IF($C1882="","",$D1882*$E1882)</f>
        <v/>
      </c>
      <c r="G1882" s="103" t="str">
        <f aca="false">IF($C1882="","",$D1882*IFERROR(INDEX('تحليل التكلفة والسعر'!$C$2:$C$700,MATCH($C1882,'تحليل التكلفة والسعر'!$B$2:$B$700,0)),0))</f>
        <v/>
      </c>
    </row>
    <row r="1883" customFormat="false" ht="15" hidden="false" customHeight="false" outlineLevel="0" collapsed="false">
      <c r="A1883" s="102"/>
      <c r="E1883" s="103" t="str">
        <f aca="false">IF($C1883="","",IFERROR(INDEX(المنيو!$C$2:$C$500,MATCH($C1883,المنيو!$B$2:$B$500,0)),0))</f>
        <v/>
      </c>
      <c r="F1883" s="103" t="str">
        <f aca="false">IF($C1883="","",$D1883*$E1883)</f>
        <v/>
      </c>
      <c r="G1883" s="103" t="str">
        <f aca="false">IF($C1883="","",$D1883*IFERROR(INDEX('تحليل التكلفة والسعر'!$C$2:$C$700,MATCH($C1883,'تحليل التكلفة والسعر'!$B$2:$B$700,0)),0))</f>
        <v/>
      </c>
    </row>
    <row r="1884" customFormat="false" ht="15" hidden="false" customHeight="false" outlineLevel="0" collapsed="false">
      <c r="A1884" s="102"/>
      <c r="E1884" s="103" t="str">
        <f aca="false">IF($C1884="","",IFERROR(INDEX(المنيو!$C$2:$C$500,MATCH($C1884,المنيو!$B$2:$B$500,0)),0))</f>
        <v/>
      </c>
      <c r="F1884" s="103" t="str">
        <f aca="false">IF($C1884="","",$D1884*$E1884)</f>
        <v/>
      </c>
      <c r="G1884" s="103" t="str">
        <f aca="false">IF($C1884="","",$D1884*IFERROR(INDEX('تحليل التكلفة والسعر'!$C$2:$C$700,MATCH($C1884,'تحليل التكلفة والسعر'!$B$2:$B$700,0)),0))</f>
        <v/>
      </c>
    </row>
    <row r="1885" customFormat="false" ht="15" hidden="false" customHeight="false" outlineLevel="0" collapsed="false">
      <c r="A1885" s="102"/>
      <c r="E1885" s="103" t="str">
        <f aca="false">IF($C1885="","",IFERROR(INDEX(المنيو!$C$2:$C$500,MATCH($C1885,المنيو!$B$2:$B$500,0)),0))</f>
        <v/>
      </c>
      <c r="F1885" s="103" t="str">
        <f aca="false">IF($C1885="","",$D1885*$E1885)</f>
        <v/>
      </c>
      <c r="G1885" s="103" t="str">
        <f aca="false">IF($C1885="","",$D1885*IFERROR(INDEX('تحليل التكلفة والسعر'!$C$2:$C$700,MATCH($C1885,'تحليل التكلفة والسعر'!$B$2:$B$700,0)),0))</f>
        <v/>
      </c>
    </row>
    <row r="1886" customFormat="false" ht="15" hidden="false" customHeight="false" outlineLevel="0" collapsed="false">
      <c r="A1886" s="102"/>
      <c r="E1886" s="103" t="str">
        <f aca="false">IF($C1886="","",IFERROR(INDEX(المنيو!$C$2:$C$500,MATCH($C1886,المنيو!$B$2:$B$500,0)),0))</f>
        <v/>
      </c>
      <c r="F1886" s="103" t="str">
        <f aca="false">IF($C1886="","",$D1886*$E1886)</f>
        <v/>
      </c>
      <c r="G1886" s="103" t="str">
        <f aca="false">IF($C1886="","",$D1886*IFERROR(INDEX('تحليل التكلفة والسعر'!$C$2:$C$700,MATCH($C1886,'تحليل التكلفة والسعر'!$B$2:$B$700,0)),0))</f>
        <v/>
      </c>
    </row>
    <row r="1887" customFormat="false" ht="15" hidden="false" customHeight="false" outlineLevel="0" collapsed="false">
      <c r="A1887" s="102"/>
      <c r="E1887" s="103" t="str">
        <f aca="false">IF($C1887="","",IFERROR(INDEX(المنيو!$C$2:$C$500,MATCH($C1887,المنيو!$B$2:$B$500,0)),0))</f>
        <v/>
      </c>
      <c r="F1887" s="103" t="str">
        <f aca="false">IF($C1887="","",$D1887*$E1887)</f>
        <v/>
      </c>
      <c r="G1887" s="103" t="str">
        <f aca="false">IF($C1887="","",$D1887*IFERROR(INDEX('تحليل التكلفة والسعر'!$C$2:$C$700,MATCH($C1887,'تحليل التكلفة والسعر'!$B$2:$B$700,0)),0))</f>
        <v/>
      </c>
    </row>
    <row r="1888" customFormat="false" ht="15" hidden="false" customHeight="false" outlineLevel="0" collapsed="false">
      <c r="A1888" s="102"/>
      <c r="E1888" s="103" t="str">
        <f aca="false">IF($C1888="","",IFERROR(INDEX(المنيو!$C$2:$C$500,MATCH($C1888,المنيو!$B$2:$B$500,0)),0))</f>
        <v/>
      </c>
      <c r="F1888" s="103" t="str">
        <f aca="false">IF($C1888="","",$D1888*$E1888)</f>
        <v/>
      </c>
      <c r="G1888" s="103" t="str">
        <f aca="false">IF($C1888="","",$D1888*IFERROR(INDEX('تحليل التكلفة والسعر'!$C$2:$C$700,MATCH($C1888,'تحليل التكلفة والسعر'!$B$2:$B$700,0)),0))</f>
        <v/>
      </c>
    </row>
    <row r="1889" customFormat="false" ht="15" hidden="false" customHeight="false" outlineLevel="0" collapsed="false">
      <c r="A1889" s="102"/>
      <c r="E1889" s="103" t="str">
        <f aca="false">IF($C1889="","",IFERROR(INDEX(المنيو!$C$2:$C$500,MATCH($C1889,المنيو!$B$2:$B$500,0)),0))</f>
        <v/>
      </c>
      <c r="F1889" s="103" t="str">
        <f aca="false">IF($C1889="","",$D1889*$E1889)</f>
        <v/>
      </c>
      <c r="G1889" s="103" t="str">
        <f aca="false">IF($C1889="","",$D1889*IFERROR(INDEX('تحليل التكلفة والسعر'!$C$2:$C$700,MATCH($C1889,'تحليل التكلفة والسعر'!$B$2:$B$700,0)),0))</f>
        <v/>
      </c>
    </row>
    <row r="1890" customFormat="false" ht="15" hidden="false" customHeight="false" outlineLevel="0" collapsed="false">
      <c r="A1890" s="102"/>
      <c r="E1890" s="103" t="str">
        <f aca="false">IF($C1890="","",IFERROR(INDEX(المنيو!$C$2:$C$500,MATCH($C1890,المنيو!$B$2:$B$500,0)),0))</f>
        <v/>
      </c>
      <c r="F1890" s="103" t="str">
        <f aca="false">IF($C1890="","",$D1890*$E1890)</f>
        <v/>
      </c>
      <c r="G1890" s="103" t="str">
        <f aca="false">IF($C1890="","",$D1890*IFERROR(INDEX('تحليل التكلفة والسعر'!$C$2:$C$700,MATCH($C1890,'تحليل التكلفة والسعر'!$B$2:$B$700,0)),0))</f>
        <v/>
      </c>
    </row>
    <row r="1891" customFormat="false" ht="15" hidden="false" customHeight="false" outlineLevel="0" collapsed="false">
      <c r="A1891" s="102"/>
      <c r="E1891" s="103" t="str">
        <f aca="false">IF($C1891="","",IFERROR(INDEX(المنيو!$C$2:$C$500,MATCH($C1891,المنيو!$B$2:$B$500,0)),0))</f>
        <v/>
      </c>
      <c r="F1891" s="103" t="str">
        <f aca="false">IF($C1891="","",$D1891*$E1891)</f>
        <v/>
      </c>
      <c r="G1891" s="103" t="str">
        <f aca="false">IF($C1891="","",$D1891*IFERROR(INDEX('تحليل التكلفة والسعر'!$C$2:$C$700,MATCH($C1891,'تحليل التكلفة والسعر'!$B$2:$B$700,0)),0))</f>
        <v/>
      </c>
    </row>
    <row r="1892" customFormat="false" ht="15" hidden="false" customHeight="false" outlineLevel="0" collapsed="false">
      <c r="A1892" s="102"/>
      <c r="E1892" s="103" t="str">
        <f aca="false">IF($C1892="","",IFERROR(INDEX(المنيو!$C$2:$C$500,MATCH($C1892,المنيو!$B$2:$B$500,0)),0))</f>
        <v/>
      </c>
      <c r="F1892" s="103" t="str">
        <f aca="false">IF($C1892="","",$D1892*$E1892)</f>
        <v/>
      </c>
      <c r="G1892" s="103" t="str">
        <f aca="false">IF($C1892="","",$D1892*IFERROR(INDEX('تحليل التكلفة والسعر'!$C$2:$C$700,MATCH($C1892,'تحليل التكلفة والسعر'!$B$2:$B$700,0)),0))</f>
        <v/>
      </c>
    </row>
    <row r="1893" customFormat="false" ht="15" hidden="false" customHeight="false" outlineLevel="0" collapsed="false">
      <c r="A1893" s="102"/>
      <c r="E1893" s="103" t="str">
        <f aca="false">IF($C1893="","",IFERROR(INDEX(المنيو!$C$2:$C$500,MATCH($C1893,المنيو!$B$2:$B$500,0)),0))</f>
        <v/>
      </c>
      <c r="F1893" s="103" t="str">
        <f aca="false">IF($C1893="","",$D1893*$E1893)</f>
        <v/>
      </c>
      <c r="G1893" s="103" t="str">
        <f aca="false">IF($C1893="","",$D1893*IFERROR(INDEX('تحليل التكلفة والسعر'!$C$2:$C$700,MATCH($C1893,'تحليل التكلفة والسعر'!$B$2:$B$700,0)),0))</f>
        <v/>
      </c>
    </row>
    <row r="1894" customFormat="false" ht="15" hidden="false" customHeight="false" outlineLevel="0" collapsed="false">
      <c r="A1894" s="102"/>
      <c r="E1894" s="103" t="str">
        <f aca="false">IF($C1894="","",IFERROR(INDEX(المنيو!$C$2:$C$500,MATCH($C1894,المنيو!$B$2:$B$500,0)),0))</f>
        <v/>
      </c>
      <c r="F1894" s="103" t="str">
        <f aca="false">IF($C1894="","",$D1894*$E1894)</f>
        <v/>
      </c>
      <c r="G1894" s="103" t="str">
        <f aca="false">IF($C1894="","",$D1894*IFERROR(INDEX('تحليل التكلفة والسعر'!$C$2:$C$700,MATCH($C1894,'تحليل التكلفة والسعر'!$B$2:$B$700,0)),0))</f>
        <v/>
      </c>
    </row>
    <row r="1895" customFormat="false" ht="15" hidden="false" customHeight="false" outlineLevel="0" collapsed="false">
      <c r="A1895" s="102"/>
      <c r="E1895" s="103" t="str">
        <f aca="false">IF($C1895="","",IFERROR(INDEX(المنيو!$C$2:$C$500,MATCH($C1895,المنيو!$B$2:$B$500,0)),0))</f>
        <v/>
      </c>
      <c r="F1895" s="103" t="str">
        <f aca="false">IF($C1895="","",$D1895*$E1895)</f>
        <v/>
      </c>
      <c r="G1895" s="103" t="str">
        <f aca="false">IF($C1895="","",$D1895*IFERROR(INDEX('تحليل التكلفة والسعر'!$C$2:$C$700,MATCH($C1895,'تحليل التكلفة والسعر'!$B$2:$B$700,0)),0))</f>
        <v/>
      </c>
    </row>
    <row r="1896" customFormat="false" ht="15" hidden="false" customHeight="false" outlineLevel="0" collapsed="false">
      <c r="A1896" s="102"/>
      <c r="E1896" s="103" t="str">
        <f aca="false">IF($C1896="","",IFERROR(INDEX(المنيو!$C$2:$C$500,MATCH($C1896,المنيو!$B$2:$B$500,0)),0))</f>
        <v/>
      </c>
      <c r="F1896" s="103" t="str">
        <f aca="false">IF($C1896="","",$D1896*$E1896)</f>
        <v/>
      </c>
      <c r="G1896" s="103" t="str">
        <f aca="false">IF($C1896="","",$D1896*IFERROR(INDEX('تحليل التكلفة والسعر'!$C$2:$C$700,MATCH($C1896,'تحليل التكلفة والسعر'!$B$2:$B$700,0)),0))</f>
        <v/>
      </c>
    </row>
    <row r="1897" customFormat="false" ht="15" hidden="false" customHeight="false" outlineLevel="0" collapsed="false">
      <c r="A1897" s="102"/>
      <c r="E1897" s="103" t="str">
        <f aca="false">IF($C1897="","",IFERROR(INDEX(المنيو!$C$2:$C$500,MATCH($C1897,المنيو!$B$2:$B$500,0)),0))</f>
        <v/>
      </c>
      <c r="F1897" s="103" t="str">
        <f aca="false">IF($C1897="","",$D1897*$E1897)</f>
        <v/>
      </c>
      <c r="G1897" s="103" t="str">
        <f aca="false">IF($C1897="","",$D1897*IFERROR(INDEX('تحليل التكلفة والسعر'!$C$2:$C$700,MATCH($C1897,'تحليل التكلفة والسعر'!$B$2:$B$700,0)),0))</f>
        <v/>
      </c>
    </row>
    <row r="1898" customFormat="false" ht="15" hidden="false" customHeight="false" outlineLevel="0" collapsed="false">
      <c r="A1898" s="102"/>
      <c r="E1898" s="103" t="str">
        <f aca="false">IF($C1898="","",IFERROR(INDEX(المنيو!$C$2:$C$500,MATCH($C1898,المنيو!$B$2:$B$500,0)),0))</f>
        <v/>
      </c>
      <c r="F1898" s="103" t="str">
        <f aca="false">IF($C1898="","",$D1898*$E1898)</f>
        <v/>
      </c>
      <c r="G1898" s="103" t="str">
        <f aca="false">IF($C1898="","",$D1898*IFERROR(INDEX('تحليل التكلفة والسعر'!$C$2:$C$700,MATCH($C1898,'تحليل التكلفة والسعر'!$B$2:$B$700,0)),0))</f>
        <v/>
      </c>
    </row>
    <row r="1899" customFormat="false" ht="15" hidden="false" customHeight="false" outlineLevel="0" collapsed="false">
      <c r="A1899" s="102"/>
      <c r="E1899" s="103" t="str">
        <f aca="false">IF($C1899="","",IFERROR(INDEX(المنيو!$C$2:$C$500,MATCH($C1899,المنيو!$B$2:$B$500,0)),0))</f>
        <v/>
      </c>
      <c r="F1899" s="103" t="str">
        <f aca="false">IF($C1899="","",$D1899*$E1899)</f>
        <v/>
      </c>
      <c r="G1899" s="103" t="str">
        <f aca="false">IF($C1899="","",$D1899*IFERROR(INDEX('تحليل التكلفة والسعر'!$C$2:$C$700,MATCH($C1899,'تحليل التكلفة والسعر'!$B$2:$B$700,0)),0))</f>
        <v/>
      </c>
    </row>
    <row r="1900" customFormat="false" ht="15" hidden="false" customHeight="false" outlineLevel="0" collapsed="false">
      <c r="A1900" s="102"/>
      <c r="E1900" s="103" t="str">
        <f aca="false">IF($C1900="","",IFERROR(INDEX(المنيو!$C$2:$C$500,MATCH($C1900,المنيو!$B$2:$B$500,0)),0))</f>
        <v/>
      </c>
      <c r="F1900" s="103" t="str">
        <f aca="false">IF($C1900="","",$D1900*$E1900)</f>
        <v/>
      </c>
      <c r="G1900" s="103" t="str">
        <f aca="false">IF($C1900="","",$D1900*IFERROR(INDEX('تحليل التكلفة والسعر'!$C$2:$C$700,MATCH($C1900,'تحليل التكلفة والسعر'!$B$2:$B$700,0)),0))</f>
        <v/>
      </c>
    </row>
    <row r="1901" customFormat="false" ht="15" hidden="false" customHeight="false" outlineLevel="0" collapsed="false">
      <c r="A1901" s="102"/>
      <c r="E1901" s="103" t="str">
        <f aca="false">IF($C1901="","",IFERROR(INDEX(المنيو!$C$2:$C$500,MATCH($C1901,المنيو!$B$2:$B$500,0)),0))</f>
        <v/>
      </c>
      <c r="F1901" s="103" t="str">
        <f aca="false">IF($C1901="","",$D1901*$E1901)</f>
        <v/>
      </c>
      <c r="G1901" s="103" t="str">
        <f aca="false">IF($C1901="","",$D1901*IFERROR(INDEX('تحليل التكلفة والسعر'!$C$2:$C$700,MATCH($C1901,'تحليل التكلفة والسعر'!$B$2:$B$700,0)),0))</f>
        <v/>
      </c>
    </row>
    <row r="1902" customFormat="false" ht="15" hidden="false" customHeight="false" outlineLevel="0" collapsed="false">
      <c r="A1902" s="102"/>
      <c r="E1902" s="103" t="str">
        <f aca="false">IF($C1902="","",IFERROR(INDEX(المنيو!$C$2:$C$500,MATCH($C1902,المنيو!$B$2:$B$500,0)),0))</f>
        <v/>
      </c>
      <c r="F1902" s="103" t="str">
        <f aca="false">IF($C1902="","",$D1902*$E1902)</f>
        <v/>
      </c>
      <c r="G1902" s="103" t="str">
        <f aca="false">IF($C1902="","",$D1902*IFERROR(INDEX('تحليل التكلفة والسعر'!$C$2:$C$700,MATCH($C1902,'تحليل التكلفة والسعر'!$B$2:$B$700,0)),0))</f>
        <v/>
      </c>
    </row>
    <row r="1903" customFormat="false" ht="15" hidden="false" customHeight="false" outlineLevel="0" collapsed="false">
      <c r="A1903" s="102"/>
      <c r="E1903" s="103" t="str">
        <f aca="false">IF($C1903="","",IFERROR(INDEX(المنيو!$C$2:$C$500,MATCH($C1903,المنيو!$B$2:$B$500,0)),0))</f>
        <v/>
      </c>
      <c r="F1903" s="103" t="str">
        <f aca="false">IF($C1903="","",$D1903*$E1903)</f>
        <v/>
      </c>
      <c r="G1903" s="103" t="str">
        <f aca="false">IF($C1903="","",$D1903*IFERROR(INDEX('تحليل التكلفة والسعر'!$C$2:$C$700,MATCH($C1903,'تحليل التكلفة والسعر'!$B$2:$B$700,0)),0))</f>
        <v/>
      </c>
    </row>
    <row r="1904" customFormat="false" ht="15" hidden="false" customHeight="false" outlineLevel="0" collapsed="false">
      <c r="A1904" s="102"/>
      <c r="E1904" s="103" t="str">
        <f aca="false">IF($C1904="","",IFERROR(INDEX(المنيو!$C$2:$C$500,MATCH($C1904,المنيو!$B$2:$B$500,0)),0))</f>
        <v/>
      </c>
      <c r="F1904" s="103" t="str">
        <f aca="false">IF($C1904="","",$D1904*$E1904)</f>
        <v/>
      </c>
      <c r="G1904" s="103" t="str">
        <f aca="false">IF($C1904="","",$D1904*IFERROR(INDEX('تحليل التكلفة والسعر'!$C$2:$C$700,MATCH($C1904,'تحليل التكلفة والسعر'!$B$2:$B$700,0)),0))</f>
        <v/>
      </c>
    </row>
    <row r="1905" customFormat="false" ht="15" hidden="false" customHeight="false" outlineLevel="0" collapsed="false">
      <c r="A1905" s="102"/>
      <c r="E1905" s="103" t="str">
        <f aca="false">IF($C1905="","",IFERROR(INDEX(المنيو!$C$2:$C$500,MATCH($C1905,المنيو!$B$2:$B$500,0)),0))</f>
        <v/>
      </c>
      <c r="F1905" s="103" t="str">
        <f aca="false">IF($C1905="","",$D1905*$E1905)</f>
        <v/>
      </c>
      <c r="G1905" s="103" t="str">
        <f aca="false">IF($C1905="","",$D1905*IFERROR(INDEX('تحليل التكلفة والسعر'!$C$2:$C$700,MATCH($C1905,'تحليل التكلفة والسعر'!$B$2:$B$700,0)),0))</f>
        <v/>
      </c>
    </row>
    <row r="1906" customFormat="false" ht="15" hidden="false" customHeight="false" outlineLevel="0" collapsed="false">
      <c r="A1906" s="102"/>
      <c r="E1906" s="103" t="str">
        <f aca="false">IF($C1906="","",IFERROR(INDEX(المنيو!$C$2:$C$500,MATCH($C1906,المنيو!$B$2:$B$500,0)),0))</f>
        <v/>
      </c>
      <c r="F1906" s="103" t="str">
        <f aca="false">IF($C1906="","",$D1906*$E1906)</f>
        <v/>
      </c>
      <c r="G1906" s="103" t="str">
        <f aca="false">IF($C1906="","",$D1906*IFERROR(INDEX('تحليل التكلفة والسعر'!$C$2:$C$700,MATCH($C1906,'تحليل التكلفة والسعر'!$B$2:$B$700,0)),0))</f>
        <v/>
      </c>
    </row>
    <row r="1907" customFormat="false" ht="15" hidden="false" customHeight="false" outlineLevel="0" collapsed="false">
      <c r="A1907" s="102"/>
      <c r="E1907" s="103" t="str">
        <f aca="false">IF($C1907="","",IFERROR(INDEX(المنيو!$C$2:$C$500,MATCH($C1907,المنيو!$B$2:$B$500,0)),0))</f>
        <v/>
      </c>
      <c r="F1907" s="103" t="str">
        <f aca="false">IF($C1907="","",$D1907*$E1907)</f>
        <v/>
      </c>
      <c r="G1907" s="103" t="str">
        <f aca="false">IF($C1907="","",$D1907*IFERROR(INDEX('تحليل التكلفة والسعر'!$C$2:$C$700,MATCH($C1907,'تحليل التكلفة والسعر'!$B$2:$B$700,0)),0))</f>
        <v/>
      </c>
    </row>
    <row r="1908" customFormat="false" ht="15" hidden="false" customHeight="false" outlineLevel="0" collapsed="false">
      <c r="A1908" s="102"/>
      <c r="E1908" s="103" t="str">
        <f aca="false">IF($C1908="","",IFERROR(INDEX(المنيو!$C$2:$C$500,MATCH($C1908,المنيو!$B$2:$B$500,0)),0))</f>
        <v/>
      </c>
      <c r="F1908" s="103" t="str">
        <f aca="false">IF($C1908="","",$D1908*$E1908)</f>
        <v/>
      </c>
      <c r="G1908" s="103" t="str">
        <f aca="false">IF($C1908="","",$D1908*IFERROR(INDEX('تحليل التكلفة والسعر'!$C$2:$C$700,MATCH($C1908,'تحليل التكلفة والسعر'!$B$2:$B$700,0)),0))</f>
        <v/>
      </c>
    </row>
    <row r="1909" customFormat="false" ht="15" hidden="false" customHeight="false" outlineLevel="0" collapsed="false">
      <c r="A1909" s="102"/>
      <c r="E1909" s="103" t="str">
        <f aca="false">IF($C1909="","",IFERROR(INDEX(المنيو!$C$2:$C$500,MATCH($C1909,المنيو!$B$2:$B$500,0)),0))</f>
        <v/>
      </c>
      <c r="F1909" s="103" t="str">
        <f aca="false">IF($C1909="","",$D1909*$E1909)</f>
        <v/>
      </c>
      <c r="G1909" s="103" t="str">
        <f aca="false">IF($C1909="","",$D1909*IFERROR(INDEX('تحليل التكلفة والسعر'!$C$2:$C$700,MATCH($C1909,'تحليل التكلفة والسعر'!$B$2:$B$700,0)),0))</f>
        <v/>
      </c>
    </row>
    <row r="1910" customFormat="false" ht="15" hidden="false" customHeight="false" outlineLevel="0" collapsed="false">
      <c r="A1910" s="102"/>
      <c r="E1910" s="103" t="str">
        <f aca="false">IF($C1910="","",IFERROR(INDEX(المنيو!$C$2:$C$500,MATCH($C1910,المنيو!$B$2:$B$500,0)),0))</f>
        <v/>
      </c>
      <c r="F1910" s="103" t="str">
        <f aca="false">IF($C1910="","",$D1910*$E1910)</f>
        <v/>
      </c>
      <c r="G1910" s="103" t="str">
        <f aca="false">IF($C1910="","",$D1910*IFERROR(INDEX('تحليل التكلفة والسعر'!$C$2:$C$700,MATCH($C1910,'تحليل التكلفة والسعر'!$B$2:$B$700,0)),0))</f>
        <v/>
      </c>
    </row>
    <row r="1911" customFormat="false" ht="15" hidden="false" customHeight="false" outlineLevel="0" collapsed="false">
      <c r="A1911" s="102"/>
      <c r="E1911" s="103" t="str">
        <f aca="false">IF($C1911="","",IFERROR(INDEX(المنيو!$C$2:$C$500,MATCH($C1911,المنيو!$B$2:$B$500,0)),0))</f>
        <v/>
      </c>
      <c r="F1911" s="103" t="str">
        <f aca="false">IF($C1911="","",$D1911*$E1911)</f>
        <v/>
      </c>
      <c r="G1911" s="103" t="str">
        <f aca="false">IF($C1911="","",$D1911*IFERROR(INDEX('تحليل التكلفة والسعر'!$C$2:$C$700,MATCH($C1911,'تحليل التكلفة والسعر'!$B$2:$B$700,0)),0))</f>
        <v/>
      </c>
    </row>
    <row r="1912" customFormat="false" ht="15" hidden="false" customHeight="false" outlineLevel="0" collapsed="false">
      <c r="A1912" s="102"/>
      <c r="E1912" s="103" t="str">
        <f aca="false">IF($C1912="","",IFERROR(INDEX(المنيو!$C$2:$C$500,MATCH($C1912,المنيو!$B$2:$B$500,0)),0))</f>
        <v/>
      </c>
      <c r="F1912" s="103" t="str">
        <f aca="false">IF($C1912="","",$D1912*$E1912)</f>
        <v/>
      </c>
      <c r="G1912" s="103" t="str">
        <f aca="false">IF($C1912="","",$D1912*IFERROR(INDEX('تحليل التكلفة والسعر'!$C$2:$C$700,MATCH($C1912,'تحليل التكلفة والسعر'!$B$2:$B$700,0)),0))</f>
        <v/>
      </c>
    </row>
    <row r="1913" customFormat="false" ht="15" hidden="false" customHeight="false" outlineLevel="0" collapsed="false">
      <c r="A1913" s="102"/>
      <c r="E1913" s="103" t="str">
        <f aca="false">IF($C1913="","",IFERROR(INDEX(المنيو!$C$2:$C$500,MATCH($C1913,المنيو!$B$2:$B$500,0)),0))</f>
        <v/>
      </c>
      <c r="F1913" s="103" t="str">
        <f aca="false">IF($C1913="","",$D1913*$E1913)</f>
        <v/>
      </c>
      <c r="G1913" s="103" t="str">
        <f aca="false">IF($C1913="","",$D1913*IFERROR(INDEX('تحليل التكلفة والسعر'!$C$2:$C$700,MATCH($C1913,'تحليل التكلفة والسعر'!$B$2:$B$700,0)),0))</f>
        <v/>
      </c>
    </row>
    <row r="1914" customFormat="false" ht="15" hidden="false" customHeight="false" outlineLevel="0" collapsed="false">
      <c r="A1914" s="102"/>
      <c r="E1914" s="103" t="str">
        <f aca="false">IF($C1914="","",IFERROR(INDEX(المنيو!$C$2:$C$500,MATCH($C1914,المنيو!$B$2:$B$500,0)),0))</f>
        <v/>
      </c>
      <c r="F1914" s="103" t="str">
        <f aca="false">IF($C1914="","",$D1914*$E1914)</f>
        <v/>
      </c>
      <c r="G1914" s="103" t="str">
        <f aca="false">IF($C1914="","",$D1914*IFERROR(INDEX('تحليل التكلفة والسعر'!$C$2:$C$700,MATCH($C1914,'تحليل التكلفة والسعر'!$B$2:$B$700,0)),0))</f>
        <v/>
      </c>
    </row>
    <row r="1915" customFormat="false" ht="15" hidden="false" customHeight="false" outlineLevel="0" collapsed="false">
      <c r="A1915" s="102"/>
      <c r="E1915" s="103" t="str">
        <f aca="false">IF($C1915="","",IFERROR(INDEX(المنيو!$C$2:$C$500,MATCH($C1915,المنيو!$B$2:$B$500,0)),0))</f>
        <v/>
      </c>
      <c r="F1915" s="103" t="str">
        <f aca="false">IF($C1915="","",$D1915*$E1915)</f>
        <v/>
      </c>
      <c r="G1915" s="103" t="str">
        <f aca="false">IF($C1915="","",$D1915*IFERROR(INDEX('تحليل التكلفة والسعر'!$C$2:$C$700,MATCH($C1915,'تحليل التكلفة والسعر'!$B$2:$B$700,0)),0))</f>
        <v/>
      </c>
    </row>
    <row r="1916" customFormat="false" ht="15" hidden="false" customHeight="false" outlineLevel="0" collapsed="false">
      <c r="A1916" s="102"/>
      <c r="E1916" s="103" t="str">
        <f aca="false">IF($C1916="","",IFERROR(INDEX(المنيو!$C$2:$C$500,MATCH($C1916,المنيو!$B$2:$B$500,0)),0))</f>
        <v/>
      </c>
      <c r="F1916" s="103" t="str">
        <f aca="false">IF($C1916="","",$D1916*$E1916)</f>
        <v/>
      </c>
      <c r="G1916" s="103" t="str">
        <f aca="false">IF($C1916="","",$D1916*IFERROR(INDEX('تحليل التكلفة والسعر'!$C$2:$C$700,MATCH($C1916,'تحليل التكلفة والسعر'!$B$2:$B$700,0)),0))</f>
        <v/>
      </c>
    </row>
    <row r="1917" customFormat="false" ht="15" hidden="false" customHeight="false" outlineLevel="0" collapsed="false">
      <c r="A1917" s="102"/>
      <c r="E1917" s="103" t="str">
        <f aca="false">IF($C1917="","",IFERROR(INDEX(المنيو!$C$2:$C$500,MATCH($C1917,المنيو!$B$2:$B$500,0)),0))</f>
        <v/>
      </c>
      <c r="F1917" s="103" t="str">
        <f aca="false">IF($C1917="","",$D1917*$E1917)</f>
        <v/>
      </c>
      <c r="G1917" s="103" t="str">
        <f aca="false">IF($C1917="","",$D1917*IFERROR(INDEX('تحليل التكلفة والسعر'!$C$2:$C$700,MATCH($C1917,'تحليل التكلفة والسعر'!$B$2:$B$700,0)),0))</f>
        <v/>
      </c>
    </row>
    <row r="1918" customFormat="false" ht="15" hidden="false" customHeight="false" outlineLevel="0" collapsed="false">
      <c r="A1918" s="102"/>
      <c r="E1918" s="103" t="str">
        <f aca="false">IF($C1918="","",IFERROR(INDEX(المنيو!$C$2:$C$500,MATCH($C1918,المنيو!$B$2:$B$500,0)),0))</f>
        <v/>
      </c>
      <c r="F1918" s="103" t="str">
        <f aca="false">IF($C1918="","",$D1918*$E1918)</f>
        <v/>
      </c>
      <c r="G1918" s="103" t="str">
        <f aca="false">IF($C1918="","",$D1918*IFERROR(INDEX('تحليل التكلفة والسعر'!$C$2:$C$700,MATCH($C1918,'تحليل التكلفة والسعر'!$B$2:$B$700,0)),0))</f>
        <v/>
      </c>
    </row>
    <row r="1919" customFormat="false" ht="15" hidden="false" customHeight="false" outlineLevel="0" collapsed="false">
      <c r="A1919" s="102"/>
      <c r="E1919" s="103" t="str">
        <f aca="false">IF($C1919="","",IFERROR(INDEX(المنيو!$C$2:$C$500,MATCH($C1919,المنيو!$B$2:$B$500,0)),0))</f>
        <v/>
      </c>
      <c r="F1919" s="103" t="str">
        <f aca="false">IF($C1919="","",$D1919*$E1919)</f>
        <v/>
      </c>
      <c r="G1919" s="103" t="str">
        <f aca="false">IF($C1919="","",$D1919*IFERROR(INDEX('تحليل التكلفة والسعر'!$C$2:$C$700,MATCH($C1919,'تحليل التكلفة والسعر'!$B$2:$B$700,0)),0))</f>
        <v/>
      </c>
    </row>
    <row r="1920" customFormat="false" ht="15" hidden="false" customHeight="false" outlineLevel="0" collapsed="false">
      <c r="A1920" s="102"/>
      <c r="E1920" s="103" t="str">
        <f aca="false">IF($C1920="","",IFERROR(INDEX(المنيو!$C$2:$C$500,MATCH($C1920,المنيو!$B$2:$B$500,0)),0))</f>
        <v/>
      </c>
      <c r="F1920" s="103" t="str">
        <f aca="false">IF($C1920="","",$D1920*$E1920)</f>
        <v/>
      </c>
      <c r="G1920" s="103" t="str">
        <f aca="false">IF($C1920="","",$D1920*IFERROR(INDEX('تحليل التكلفة والسعر'!$C$2:$C$700,MATCH($C1920,'تحليل التكلفة والسعر'!$B$2:$B$700,0)),0))</f>
        <v/>
      </c>
    </row>
    <row r="1921" customFormat="false" ht="15" hidden="false" customHeight="false" outlineLevel="0" collapsed="false">
      <c r="A1921" s="102"/>
      <c r="E1921" s="103" t="str">
        <f aca="false">IF($C1921="","",IFERROR(INDEX(المنيو!$C$2:$C$500,MATCH($C1921,المنيو!$B$2:$B$500,0)),0))</f>
        <v/>
      </c>
      <c r="F1921" s="103" t="str">
        <f aca="false">IF($C1921="","",$D1921*$E1921)</f>
        <v/>
      </c>
      <c r="G1921" s="103" t="str">
        <f aca="false">IF($C1921="","",$D1921*IFERROR(INDEX('تحليل التكلفة والسعر'!$C$2:$C$700,MATCH($C1921,'تحليل التكلفة والسعر'!$B$2:$B$700,0)),0))</f>
        <v/>
      </c>
    </row>
    <row r="1922" customFormat="false" ht="15" hidden="false" customHeight="false" outlineLevel="0" collapsed="false">
      <c r="A1922" s="102"/>
      <c r="E1922" s="103" t="str">
        <f aca="false">IF($C1922="","",IFERROR(INDEX(المنيو!$C$2:$C$500,MATCH($C1922,المنيو!$B$2:$B$500,0)),0))</f>
        <v/>
      </c>
      <c r="F1922" s="103" t="str">
        <f aca="false">IF($C1922="","",$D1922*$E1922)</f>
        <v/>
      </c>
      <c r="G1922" s="103" t="str">
        <f aca="false">IF($C1922="","",$D1922*IFERROR(INDEX('تحليل التكلفة والسعر'!$C$2:$C$700,MATCH($C1922,'تحليل التكلفة والسعر'!$B$2:$B$700,0)),0))</f>
        <v/>
      </c>
    </row>
    <row r="1923" customFormat="false" ht="15" hidden="false" customHeight="false" outlineLevel="0" collapsed="false">
      <c r="A1923" s="102"/>
      <c r="E1923" s="103" t="str">
        <f aca="false">IF($C1923="","",IFERROR(INDEX(المنيو!$C$2:$C$500,MATCH($C1923,المنيو!$B$2:$B$500,0)),0))</f>
        <v/>
      </c>
      <c r="F1923" s="103" t="str">
        <f aca="false">IF($C1923="","",$D1923*$E1923)</f>
        <v/>
      </c>
      <c r="G1923" s="103" t="str">
        <f aca="false">IF($C1923="","",$D1923*IFERROR(INDEX('تحليل التكلفة والسعر'!$C$2:$C$700,MATCH($C1923,'تحليل التكلفة والسعر'!$B$2:$B$700,0)),0))</f>
        <v/>
      </c>
    </row>
    <row r="1924" customFormat="false" ht="15" hidden="false" customHeight="false" outlineLevel="0" collapsed="false">
      <c r="A1924" s="102"/>
      <c r="E1924" s="103" t="str">
        <f aca="false">IF($C1924="","",IFERROR(INDEX(المنيو!$C$2:$C$500,MATCH($C1924,المنيو!$B$2:$B$500,0)),0))</f>
        <v/>
      </c>
      <c r="F1924" s="103" t="str">
        <f aca="false">IF($C1924="","",$D1924*$E1924)</f>
        <v/>
      </c>
      <c r="G1924" s="103" t="str">
        <f aca="false">IF($C1924="","",$D1924*IFERROR(INDEX('تحليل التكلفة والسعر'!$C$2:$C$700,MATCH($C1924,'تحليل التكلفة والسعر'!$B$2:$B$700,0)),0))</f>
        <v/>
      </c>
    </row>
    <row r="1925" customFormat="false" ht="15" hidden="false" customHeight="false" outlineLevel="0" collapsed="false">
      <c r="A1925" s="102"/>
      <c r="E1925" s="103" t="str">
        <f aca="false">IF($C1925="","",IFERROR(INDEX(المنيو!$C$2:$C$500,MATCH($C1925,المنيو!$B$2:$B$500,0)),0))</f>
        <v/>
      </c>
      <c r="F1925" s="103" t="str">
        <f aca="false">IF($C1925="","",$D1925*$E1925)</f>
        <v/>
      </c>
      <c r="G1925" s="103" t="str">
        <f aca="false">IF($C1925="","",$D1925*IFERROR(INDEX('تحليل التكلفة والسعر'!$C$2:$C$700,MATCH($C1925,'تحليل التكلفة والسعر'!$B$2:$B$700,0)),0))</f>
        <v/>
      </c>
    </row>
    <row r="1926" customFormat="false" ht="15" hidden="false" customHeight="false" outlineLevel="0" collapsed="false">
      <c r="A1926" s="102"/>
      <c r="E1926" s="103" t="str">
        <f aca="false">IF($C1926="","",IFERROR(INDEX(المنيو!$C$2:$C$500,MATCH($C1926,المنيو!$B$2:$B$500,0)),0))</f>
        <v/>
      </c>
      <c r="F1926" s="103" t="str">
        <f aca="false">IF($C1926="","",$D1926*$E1926)</f>
        <v/>
      </c>
      <c r="G1926" s="103" t="str">
        <f aca="false">IF($C1926="","",$D1926*IFERROR(INDEX('تحليل التكلفة والسعر'!$C$2:$C$700,MATCH($C1926,'تحليل التكلفة والسعر'!$B$2:$B$700,0)),0))</f>
        <v/>
      </c>
    </row>
    <row r="1927" customFormat="false" ht="15" hidden="false" customHeight="false" outlineLevel="0" collapsed="false">
      <c r="A1927" s="102"/>
      <c r="E1927" s="103" t="str">
        <f aca="false">IF($C1927="","",IFERROR(INDEX(المنيو!$C$2:$C$500,MATCH($C1927,المنيو!$B$2:$B$500,0)),0))</f>
        <v/>
      </c>
      <c r="F1927" s="103" t="str">
        <f aca="false">IF($C1927="","",$D1927*$E1927)</f>
        <v/>
      </c>
      <c r="G1927" s="103" t="str">
        <f aca="false">IF($C1927="","",$D1927*IFERROR(INDEX('تحليل التكلفة والسعر'!$C$2:$C$700,MATCH($C1927,'تحليل التكلفة والسعر'!$B$2:$B$700,0)),0))</f>
        <v/>
      </c>
    </row>
    <row r="1928" customFormat="false" ht="15" hidden="false" customHeight="false" outlineLevel="0" collapsed="false">
      <c r="A1928" s="102"/>
      <c r="E1928" s="103" t="str">
        <f aca="false">IF($C1928="","",IFERROR(INDEX(المنيو!$C$2:$C$500,MATCH($C1928,المنيو!$B$2:$B$500,0)),0))</f>
        <v/>
      </c>
      <c r="F1928" s="103" t="str">
        <f aca="false">IF($C1928="","",$D1928*$E1928)</f>
        <v/>
      </c>
      <c r="G1928" s="103" t="str">
        <f aca="false">IF($C1928="","",$D1928*IFERROR(INDEX('تحليل التكلفة والسعر'!$C$2:$C$700,MATCH($C1928,'تحليل التكلفة والسعر'!$B$2:$B$700,0)),0))</f>
        <v/>
      </c>
    </row>
    <row r="1929" customFormat="false" ht="15" hidden="false" customHeight="false" outlineLevel="0" collapsed="false">
      <c r="A1929" s="102"/>
      <c r="E1929" s="103" t="str">
        <f aca="false">IF($C1929="","",IFERROR(INDEX(المنيو!$C$2:$C$500,MATCH($C1929,المنيو!$B$2:$B$500,0)),0))</f>
        <v/>
      </c>
      <c r="F1929" s="103" t="str">
        <f aca="false">IF($C1929="","",$D1929*$E1929)</f>
        <v/>
      </c>
      <c r="G1929" s="103" t="str">
        <f aca="false">IF($C1929="","",$D1929*IFERROR(INDEX('تحليل التكلفة والسعر'!$C$2:$C$700,MATCH($C1929,'تحليل التكلفة والسعر'!$B$2:$B$700,0)),0))</f>
        <v/>
      </c>
    </row>
    <row r="1930" customFormat="false" ht="15" hidden="false" customHeight="false" outlineLevel="0" collapsed="false">
      <c r="A1930" s="102"/>
      <c r="E1930" s="103" t="str">
        <f aca="false">IF($C1930="","",IFERROR(INDEX(المنيو!$C$2:$C$500,MATCH($C1930,المنيو!$B$2:$B$500,0)),0))</f>
        <v/>
      </c>
      <c r="F1930" s="103" t="str">
        <f aca="false">IF($C1930="","",$D1930*$E1930)</f>
        <v/>
      </c>
      <c r="G1930" s="103" t="str">
        <f aca="false">IF($C1930="","",$D1930*IFERROR(INDEX('تحليل التكلفة والسعر'!$C$2:$C$700,MATCH($C1930,'تحليل التكلفة والسعر'!$B$2:$B$700,0)),0))</f>
        <v/>
      </c>
    </row>
    <row r="1931" customFormat="false" ht="15" hidden="false" customHeight="false" outlineLevel="0" collapsed="false">
      <c r="A1931" s="102"/>
      <c r="E1931" s="103" t="str">
        <f aca="false">IF($C1931="","",IFERROR(INDEX(المنيو!$C$2:$C$500,MATCH($C1931,المنيو!$B$2:$B$500,0)),0))</f>
        <v/>
      </c>
      <c r="F1931" s="103" t="str">
        <f aca="false">IF($C1931="","",$D1931*$E1931)</f>
        <v/>
      </c>
      <c r="G1931" s="103" t="str">
        <f aca="false">IF($C1931="","",$D1931*IFERROR(INDEX('تحليل التكلفة والسعر'!$C$2:$C$700,MATCH($C1931,'تحليل التكلفة والسعر'!$B$2:$B$700,0)),0))</f>
        <v/>
      </c>
    </row>
    <row r="1932" customFormat="false" ht="15" hidden="false" customHeight="false" outlineLevel="0" collapsed="false">
      <c r="A1932" s="102"/>
      <c r="E1932" s="103" t="str">
        <f aca="false">IF($C1932="","",IFERROR(INDEX(المنيو!$C$2:$C$500,MATCH($C1932,المنيو!$B$2:$B$500,0)),0))</f>
        <v/>
      </c>
      <c r="F1932" s="103" t="str">
        <f aca="false">IF($C1932="","",$D1932*$E1932)</f>
        <v/>
      </c>
      <c r="G1932" s="103" t="str">
        <f aca="false">IF($C1932="","",$D1932*IFERROR(INDEX('تحليل التكلفة والسعر'!$C$2:$C$700,MATCH($C1932,'تحليل التكلفة والسعر'!$B$2:$B$700,0)),0))</f>
        <v/>
      </c>
    </row>
    <row r="1933" customFormat="false" ht="15" hidden="false" customHeight="false" outlineLevel="0" collapsed="false">
      <c r="A1933" s="102"/>
      <c r="E1933" s="103" t="str">
        <f aca="false">IF($C1933="","",IFERROR(INDEX(المنيو!$C$2:$C$500,MATCH($C1933,المنيو!$B$2:$B$500,0)),0))</f>
        <v/>
      </c>
      <c r="F1933" s="103" t="str">
        <f aca="false">IF($C1933="","",$D1933*$E1933)</f>
        <v/>
      </c>
      <c r="G1933" s="103" t="str">
        <f aca="false">IF($C1933="","",$D1933*IFERROR(INDEX('تحليل التكلفة والسعر'!$C$2:$C$700,MATCH($C1933,'تحليل التكلفة والسعر'!$B$2:$B$700,0)),0))</f>
        <v/>
      </c>
    </row>
    <row r="1934" customFormat="false" ht="15" hidden="false" customHeight="false" outlineLevel="0" collapsed="false">
      <c r="A1934" s="102"/>
      <c r="E1934" s="103" t="str">
        <f aca="false">IF($C1934="","",IFERROR(INDEX(المنيو!$C$2:$C$500,MATCH($C1934,المنيو!$B$2:$B$500,0)),0))</f>
        <v/>
      </c>
      <c r="F1934" s="103" t="str">
        <f aca="false">IF($C1934="","",$D1934*$E1934)</f>
        <v/>
      </c>
      <c r="G1934" s="103" t="str">
        <f aca="false">IF($C1934="","",$D1934*IFERROR(INDEX('تحليل التكلفة والسعر'!$C$2:$C$700,MATCH($C1934,'تحليل التكلفة والسعر'!$B$2:$B$700,0)),0))</f>
        <v/>
      </c>
    </row>
    <row r="1935" customFormat="false" ht="15" hidden="false" customHeight="false" outlineLevel="0" collapsed="false">
      <c r="A1935" s="102"/>
      <c r="E1935" s="103" t="str">
        <f aca="false">IF($C1935="","",IFERROR(INDEX(المنيو!$C$2:$C$500,MATCH($C1935,المنيو!$B$2:$B$500,0)),0))</f>
        <v/>
      </c>
      <c r="F1935" s="103" t="str">
        <f aca="false">IF($C1935="","",$D1935*$E1935)</f>
        <v/>
      </c>
      <c r="G1935" s="103" t="str">
        <f aca="false">IF($C1935="","",$D1935*IFERROR(INDEX('تحليل التكلفة والسعر'!$C$2:$C$700,MATCH($C1935,'تحليل التكلفة والسعر'!$B$2:$B$700,0)),0))</f>
        <v/>
      </c>
    </row>
    <row r="1936" customFormat="false" ht="15" hidden="false" customHeight="false" outlineLevel="0" collapsed="false">
      <c r="A1936" s="102"/>
      <c r="E1936" s="103" t="str">
        <f aca="false">IF($C1936="","",IFERROR(INDEX(المنيو!$C$2:$C$500,MATCH($C1936,المنيو!$B$2:$B$500,0)),0))</f>
        <v/>
      </c>
      <c r="F1936" s="103" t="str">
        <f aca="false">IF($C1936="","",$D1936*$E1936)</f>
        <v/>
      </c>
      <c r="G1936" s="103" t="str">
        <f aca="false">IF($C1936="","",$D1936*IFERROR(INDEX('تحليل التكلفة والسعر'!$C$2:$C$700,MATCH($C1936,'تحليل التكلفة والسعر'!$B$2:$B$700,0)),0))</f>
        <v/>
      </c>
    </row>
    <row r="1937" customFormat="false" ht="15" hidden="false" customHeight="false" outlineLevel="0" collapsed="false">
      <c r="A1937" s="102"/>
      <c r="E1937" s="103" t="str">
        <f aca="false">IF($C1937="","",IFERROR(INDEX(المنيو!$C$2:$C$500,MATCH($C1937,المنيو!$B$2:$B$500,0)),0))</f>
        <v/>
      </c>
      <c r="F1937" s="103" t="str">
        <f aca="false">IF($C1937="","",$D1937*$E1937)</f>
        <v/>
      </c>
      <c r="G1937" s="103" t="str">
        <f aca="false">IF($C1937="","",$D1937*IFERROR(INDEX('تحليل التكلفة والسعر'!$C$2:$C$700,MATCH($C1937,'تحليل التكلفة والسعر'!$B$2:$B$700,0)),0))</f>
        <v/>
      </c>
    </row>
    <row r="1938" customFormat="false" ht="15" hidden="false" customHeight="false" outlineLevel="0" collapsed="false">
      <c r="A1938" s="102"/>
      <c r="E1938" s="103" t="str">
        <f aca="false">IF($C1938="","",IFERROR(INDEX(المنيو!$C$2:$C$500,MATCH($C1938,المنيو!$B$2:$B$500,0)),0))</f>
        <v/>
      </c>
      <c r="F1938" s="103" t="str">
        <f aca="false">IF($C1938="","",$D1938*$E1938)</f>
        <v/>
      </c>
      <c r="G1938" s="103" t="str">
        <f aca="false">IF($C1938="","",$D1938*IFERROR(INDEX('تحليل التكلفة والسعر'!$C$2:$C$700,MATCH($C1938,'تحليل التكلفة والسعر'!$B$2:$B$700,0)),0))</f>
        <v/>
      </c>
    </row>
    <row r="1939" customFormat="false" ht="15" hidden="false" customHeight="false" outlineLevel="0" collapsed="false">
      <c r="A1939" s="102"/>
      <c r="E1939" s="103" t="str">
        <f aca="false">IF($C1939="","",IFERROR(INDEX(المنيو!$C$2:$C$500,MATCH($C1939,المنيو!$B$2:$B$500,0)),0))</f>
        <v/>
      </c>
      <c r="F1939" s="103" t="str">
        <f aca="false">IF($C1939="","",$D1939*$E1939)</f>
        <v/>
      </c>
      <c r="G1939" s="103" t="str">
        <f aca="false">IF($C1939="","",$D1939*IFERROR(INDEX('تحليل التكلفة والسعر'!$C$2:$C$700,MATCH($C1939,'تحليل التكلفة والسعر'!$B$2:$B$700,0)),0))</f>
        <v/>
      </c>
    </row>
    <row r="1940" customFormat="false" ht="15" hidden="false" customHeight="false" outlineLevel="0" collapsed="false">
      <c r="A1940" s="102"/>
      <c r="E1940" s="103" t="str">
        <f aca="false">IF($C1940="","",IFERROR(INDEX(المنيو!$C$2:$C$500,MATCH($C1940,المنيو!$B$2:$B$500,0)),0))</f>
        <v/>
      </c>
      <c r="F1940" s="103" t="str">
        <f aca="false">IF($C1940="","",$D1940*$E1940)</f>
        <v/>
      </c>
      <c r="G1940" s="103" t="str">
        <f aca="false">IF($C1940="","",$D1940*IFERROR(INDEX('تحليل التكلفة والسعر'!$C$2:$C$700,MATCH($C1940,'تحليل التكلفة والسعر'!$B$2:$B$700,0)),0))</f>
        <v/>
      </c>
    </row>
    <row r="1941" customFormat="false" ht="15" hidden="false" customHeight="false" outlineLevel="0" collapsed="false">
      <c r="A1941" s="102"/>
      <c r="E1941" s="103" t="str">
        <f aca="false">IF($C1941="","",IFERROR(INDEX(المنيو!$C$2:$C$500,MATCH($C1941,المنيو!$B$2:$B$500,0)),0))</f>
        <v/>
      </c>
      <c r="F1941" s="103" t="str">
        <f aca="false">IF($C1941="","",$D1941*$E1941)</f>
        <v/>
      </c>
      <c r="G1941" s="103" t="str">
        <f aca="false">IF($C1941="","",$D1941*IFERROR(INDEX('تحليل التكلفة والسعر'!$C$2:$C$700,MATCH($C1941,'تحليل التكلفة والسعر'!$B$2:$B$700,0)),0))</f>
        <v/>
      </c>
    </row>
    <row r="1942" customFormat="false" ht="15" hidden="false" customHeight="false" outlineLevel="0" collapsed="false">
      <c r="A1942" s="102"/>
      <c r="E1942" s="103" t="str">
        <f aca="false">IF($C1942="","",IFERROR(INDEX(المنيو!$C$2:$C$500,MATCH($C1942,المنيو!$B$2:$B$500,0)),0))</f>
        <v/>
      </c>
      <c r="F1942" s="103" t="str">
        <f aca="false">IF($C1942="","",$D1942*$E1942)</f>
        <v/>
      </c>
      <c r="G1942" s="103" t="str">
        <f aca="false">IF($C1942="","",$D1942*IFERROR(INDEX('تحليل التكلفة والسعر'!$C$2:$C$700,MATCH($C1942,'تحليل التكلفة والسعر'!$B$2:$B$700,0)),0))</f>
        <v/>
      </c>
    </row>
    <row r="1943" customFormat="false" ht="15" hidden="false" customHeight="false" outlineLevel="0" collapsed="false">
      <c r="A1943" s="102"/>
      <c r="E1943" s="103" t="str">
        <f aca="false">IF($C1943="","",IFERROR(INDEX(المنيو!$C$2:$C$500,MATCH($C1943,المنيو!$B$2:$B$500,0)),0))</f>
        <v/>
      </c>
      <c r="F1943" s="103" t="str">
        <f aca="false">IF($C1943="","",$D1943*$E1943)</f>
        <v/>
      </c>
      <c r="G1943" s="103" t="str">
        <f aca="false">IF($C1943="","",$D1943*IFERROR(INDEX('تحليل التكلفة والسعر'!$C$2:$C$700,MATCH($C1943,'تحليل التكلفة والسعر'!$B$2:$B$700,0)),0))</f>
        <v/>
      </c>
    </row>
    <row r="1944" customFormat="false" ht="15" hidden="false" customHeight="false" outlineLevel="0" collapsed="false">
      <c r="A1944" s="102"/>
      <c r="E1944" s="103" t="str">
        <f aca="false">IF($C1944="","",IFERROR(INDEX(المنيو!$C$2:$C$500,MATCH($C1944,المنيو!$B$2:$B$500,0)),0))</f>
        <v/>
      </c>
      <c r="F1944" s="103" t="str">
        <f aca="false">IF($C1944="","",$D1944*$E1944)</f>
        <v/>
      </c>
      <c r="G1944" s="103" t="str">
        <f aca="false">IF($C1944="","",$D1944*IFERROR(INDEX('تحليل التكلفة والسعر'!$C$2:$C$700,MATCH($C1944,'تحليل التكلفة والسعر'!$B$2:$B$700,0)),0))</f>
        <v/>
      </c>
    </row>
    <row r="1945" customFormat="false" ht="15" hidden="false" customHeight="false" outlineLevel="0" collapsed="false">
      <c r="A1945" s="102"/>
      <c r="E1945" s="103" t="str">
        <f aca="false">IF($C1945="","",IFERROR(INDEX(المنيو!$C$2:$C$500,MATCH($C1945,المنيو!$B$2:$B$500,0)),0))</f>
        <v/>
      </c>
      <c r="F1945" s="103" t="str">
        <f aca="false">IF($C1945="","",$D1945*$E1945)</f>
        <v/>
      </c>
      <c r="G1945" s="103" t="str">
        <f aca="false">IF($C1945="","",$D1945*IFERROR(INDEX('تحليل التكلفة والسعر'!$C$2:$C$700,MATCH($C1945,'تحليل التكلفة والسعر'!$B$2:$B$700,0)),0))</f>
        <v/>
      </c>
    </row>
    <row r="1946" customFormat="false" ht="15" hidden="false" customHeight="false" outlineLevel="0" collapsed="false">
      <c r="A1946" s="102"/>
      <c r="E1946" s="103" t="str">
        <f aca="false">IF($C1946="","",IFERROR(INDEX(المنيو!$C$2:$C$500,MATCH($C1946,المنيو!$B$2:$B$500,0)),0))</f>
        <v/>
      </c>
      <c r="F1946" s="103" t="str">
        <f aca="false">IF($C1946="","",$D1946*$E1946)</f>
        <v/>
      </c>
      <c r="G1946" s="103" t="str">
        <f aca="false">IF($C1946="","",$D1946*IFERROR(INDEX('تحليل التكلفة والسعر'!$C$2:$C$700,MATCH($C1946,'تحليل التكلفة والسعر'!$B$2:$B$700,0)),0))</f>
        <v/>
      </c>
    </row>
    <row r="1947" customFormat="false" ht="15" hidden="false" customHeight="false" outlineLevel="0" collapsed="false">
      <c r="A1947" s="102"/>
      <c r="E1947" s="103" t="str">
        <f aca="false">IF($C1947="","",IFERROR(INDEX(المنيو!$C$2:$C$500,MATCH($C1947,المنيو!$B$2:$B$500,0)),0))</f>
        <v/>
      </c>
      <c r="F1947" s="103" t="str">
        <f aca="false">IF($C1947="","",$D1947*$E1947)</f>
        <v/>
      </c>
      <c r="G1947" s="103" t="str">
        <f aca="false">IF($C1947="","",$D1947*IFERROR(INDEX('تحليل التكلفة والسعر'!$C$2:$C$700,MATCH($C1947,'تحليل التكلفة والسعر'!$B$2:$B$700,0)),0))</f>
        <v/>
      </c>
    </row>
    <row r="1948" customFormat="false" ht="15" hidden="false" customHeight="false" outlineLevel="0" collapsed="false">
      <c r="A1948" s="102"/>
      <c r="E1948" s="103" t="str">
        <f aca="false">IF($C1948="","",IFERROR(INDEX(المنيو!$C$2:$C$500,MATCH($C1948,المنيو!$B$2:$B$500,0)),0))</f>
        <v/>
      </c>
      <c r="F1948" s="103" t="str">
        <f aca="false">IF($C1948="","",$D1948*$E1948)</f>
        <v/>
      </c>
      <c r="G1948" s="103" t="str">
        <f aca="false">IF($C1948="","",$D1948*IFERROR(INDEX('تحليل التكلفة والسعر'!$C$2:$C$700,MATCH($C1948,'تحليل التكلفة والسعر'!$B$2:$B$700,0)),0))</f>
        <v/>
      </c>
    </row>
    <row r="1949" customFormat="false" ht="15" hidden="false" customHeight="false" outlineLevel="0" collapsed="false">
      <c r="A1949" s="102"/>
      <c r="E1949" s="103" t="str">
        <f aca="false">IF($C1949="","",IFERROR(INDEX(المنيو!$C$2:$C$500,MATCH($C1949,المنيو!$B$2:$B$500,0)),0))</f>
        <v/>
      </c>
      <c r="F1949" s="103" t="str">
        <f aca="false">IF($C1949="","",$D1949*$E1949)</f>
        <v/>
      </c>
      <c r="G1949" s="103" t="str">
        <f aca="false">IF($C1949="","",$D1949*IFERROR(INDEX('تحليل التكلفة والسعر'!$C$2:$C$700,MATCH($C1949,'تحليل التكلفة والسعر'!$B$2:$B$700,0)),0))</f>
        <v/>
      </c>
    </row>
    <row r="1950" customFormat="false" ht="15" hidden="false" customHeight="false" outlineLevel="0" collapsed="false">
      <c r="A1950" s="102"/>
      <c r="E1950" s="103" t="str">
        <f aca="false">IF($C1950="","",IFERROR(INDEX(المنيو!$C$2:$C$500,MATCH($C1950,المنيو!$B$2:$B$500,0)),0))</f>
        <v/>
      </c>
      <c r="F1950" s="103" t="str">
        <f aca="false">IF($C1950="","",$D1950*$E1950)</f>
        <v/>
      </c>
      <c r="G1950" s="103" t="str">
        <f aca="false">IF($C1950="","",$D1950*IFERROR(INDEX('تحليل التكلفة والسعر'!$C$2:$C$700,MATCH($C1950,'تحليل التكلفة والسعر'!$B$2:$B$700,0)),0))</f>
        <v/>
      </c>
    </row>
    <row r="1951" customFormat="false" ht="15" hidden="false" customHeight="false" outlineLevel="0" collapsed="false">
      <c r="A1951" s="102"/>
      <c r="E1951" s="103" t="str">
        <f aca="false">IF($C1951="","",IFERROR(INDEX(المنيو!$C$2:$C$500,MATCH($C1951,المنيو!$B$2:$B$500,0)),0))</f>
        <v/>
      </c>
      <c r="F1951" s="103" t="str">
        <f aca="false">IF($C1951="","",$D1951*$E1951)</f>
        <v/>
      </c>
      <c r="G1951" s="103" t="str">
        <f aca="false">IF($C1951="","",$D1951*IFERROR(INDEX('تحليل التكلفة والسعر'!$C$2:$C$700,MATCH($C1951,'تحليل التكلفة والسعر'!$B$2:$B$700,0)),0))</f>
        <v/>
      </c>
    </row>
    <row r="1952" customFormat="false" ht="15" hidden="false" customHeight="false" outlineLevel="0" collapsed="false">
      <c r="A1952" s="102"/>
      <c r="E1952" s="103" t="str">
        <f aca="false">IF($C1952="","",IFERROR(INDEX(المنيو!$C$2:$C$500,MATCH($C1952,المنيو!$B$2:$B$500,0)),0))</f>
        <v/>
      </c>
      <c r="F1952" s="103" t="str">
        <f aca="false">IF($C1952="","",$D1952*$E1952)</f>
        <v/>
      </c>
      <c r="G1952" s="103" t="str">
        <f aca="false">IF($C1952="","",$D1952*IFERROR(INDEX('تحليل التكلفة والسعر'!$C$2:$C$700,MATCH($C1952,'تحليل التكلفة والسعر'!$B$2:$B$700,0)),0))</f>
        <v/>
      </c>
    </row>
    <row r="1953" customFormat="false" ht="15" hidden="false" customHeight="false" outlineLevel="0" collapsed="false">
      <c r="A1953" s="102"/>
      <c r="E1953" s="103" t="str">
        <f aca="false">IF($C1953="","",IFERROR(INDEX(المنيو!$C$2:$C$500,MATCH($C1953,المنيو!$B$2:$B$500,0)),0))</f>
        <v/>
      </c>
      <c r="F1953" s="103" t="str">
        <f aca="false">IF($C1953="","",$D1953*$E1953)</f>
        <v/>
      </c>
      <c r="G1953" s="103" t="str">
        <f aca="false">IF($C1953="","",$D1953*IFERROR(INDEX('تحليل التكلفة والسعر'!$C$2:$C$700,MATCH($C1953,'تحليل التكلفة والسعر'!$B$2:$B$700,0)),0))</f>
        <v/>
      </c>
    </row>
    <row r="1954" customFormat="false" ht="15" hidden="false" customHeight="false" outlineLevel="0" collapsed="false">
      <c r="A1954" s="102"/>
      <c r="E1954" s="103" t="str">
        <f aca="false">IF($C1954="","",IFERROR(INDEX(المنيو!$C$2:$C$500,MATCH($C1954,المنيو!$B$2:$B$500,0)),0))</f>
        <v/>
      </c>
      <c r="F1954" s="103" t="str">
        <f aca="false">IF($C1954="","",$D1954*$E1954)</f>
        <v/>
      </c>
      <c r="G1954" s="103" t="str">
        <f aca="false">IF($C1954="","",$D1954*IFERROR(INDEX('تحليل التكلفة والسعر'!$C$2:$C$700,MATCH($C1954,'تحليل التكلفة والسعر'!$B$2:$B$700,0)),0))</f>
        <v/>
      </c>
    </row>
    <row r="1955" customFormat="false" ht="15" hidden="false" customHeight="false" outlineLevel="0" collapsed="false">
      <c r="A1955" s="102"/>
      <c r="E1955" s="103" t="str">
        <f aca="false">IF($C1955="","",IFERROR(INDEX(المنيو!$C$2:$C$500,MATCH($C1955,المنيو!$B$2:$B$500,0)),0))</f>
        <v/>
      </c>
      <c r="F1955" s="103" t="str">
        <f aca="false">IF($C1955="","",$D1955*$E1955)</f>
        <v/>
      </c>
      <c r="G1955" s="103" t="str">
        <f aca="false">IF($C1955="","",$D1955*IFERROR(INDEX('تحليل التكلفة والسعر'!$C$2:$C$700,MATCH($C1955,'تحليل التكلفة والسعر'!$B$2:$B$700,0)),0))</f>
        <v/>
      </c>
    </row>
    <row r="1956" customFormat="false" ht="15" hidden="false" customHeight="false" outlineLevel="0" collapsed="false">
      <c r="A1956" s="102"/>
      <c r="E1956" s="103" t="str">
        <f aca="false">IF($C1956="","",IFERROR(INDEX(المنيو!$C$2:$C$500,MATCH($C1956,المنيو!$B$2:$B$500,0)),0))</f>
        <v/>
      </c>
      <c r="F1956" s="103" t="str">
        <f aca="false">IF($C1956="","",$D1956*$E1956)</f>
        <v/>
      </c>
      <c r="G1956" s="103" t="str">
        <f aca="false">IF($C1956="","",$D1956*IFERROR(INDEX('تحليل التكلفة والسعر'!$C$2:$C$700,MATCH($C1956,'تحليل التكلفة والسعر'!$B$2:$B$700,0)),0))</f>
        <v/>
      </c>
    </row>
    <row r="1957" customFormat="false" ht="15" hidden="false" customHeight="false" outlineLevel="0" collapsed="false">
      <c r="A1957" s="102"/>
      <c r="E1957" s="103" t="str">
        <f aca="false">IF($C1957="","",IFERROR(INDEX(المنيو!$C$2:$C$500,MATCH($C1957,المنيو!$B$2:$B$500,0)),0))</f>
        <v/>
      </c>
      <c r="F1957" s="103" t="str">
        <f aca="false">IF($C1957="","",$D1957*$E1957)</f>
        <v/>
      </c>
      <c r="G1957" s="103" t="str">
        <f aca="false">IF($C1957="","",$D1957*IFERROR(INDEX('تحليل التكلفة والسعر'!$C$2:$C$700,MATCH($C1957,'تحليل التكلفة والسعر'!$B$2:$B$700,0)),0))</f>
        <v/>
      </c>
    </row>
    <row r="1958" customFormat="false" ht="15" hidden="false" customHeight="false" outlineLevel="0" collapsed="false">
      <c r="A1958" s="102"/>
      <c r="E1958" s="103" t="str">
        <f aca="false">IF($C1958="","",IFERROR(INDEX(المنيو!$C$2:$C$500,MATCH($C1958,المنيو!$B$2:$B$500,0)),0))</f>
        <v/>
      </c>
      <c r="F1958" s="103" t="str">
        <f aca="false">IF($C1958="","",$D1958*$E1958)</f>
        <v/>
      </c>
      <c r="G1958" s="103" t="str">
        <f aca="false">IF($C1958="","",$D1958*IFERROR(INDEX('تحليل التكلفة والسعر'!$C$2:$C$700,MATCH($C1958,'تحليل التكلفة والسعر'!$B$2:$B$700,0)),0))</f>
        <v/>
      </c>
    </row>
    <row r="1959" customFormat="false" ht="15" hidden="false" customHeight="false" outlineLevel="0" collapsed="false">
      <c r="A1959" s="102"/>
      <c r="E1959" s="103" t="str">
        <f aca="false">IF($C1959="","",IFERROR(INDEX(المنيو!$C$2:$C$500,MATCH($C1959,المنيو!$B$2:$B$500,0)),0))</f>
        <v/>
      </c>
      <c r="F1959" s="103" t="str">
        <f aca="false">IF($C1959="","",$D1959*$E1959)</f>
        <v/>
      </c>
      <c r="G1959" s="103" t="str">
        <f aca="false">IF($C1959="","",$D1959*IFERROR(INDEX('تحليل التكلفة والسعر'!$C$2:$C$700,MATCH($C1959,'تحليل التكلفة والسعر'!$B$2:$B$700,0)),0))</f>
        <v/>
      </c>
    </row>
    <row r="1960" customFormat="false" ht="15" hidden="false" customHeight="false" outlineLevel="0" collapsed="false">
      <c r="A1960" s="102"/>
      <c r="E1960" s="103" t="str">
        <f aca="false">IF($C1960="","",IFERROR(INDEX(المنيو!$C$2:$C$500,MATCH($C1960,المنيو!$B$2:$B$500,0)),0))</f>
        <v/>
      </c>
      <c r="F1960" s="103" t="str">
        <f aca="false">IF($C1960="","",$D1960*$E1960)</f>
        <v/>
      </c>
      <c r="G1960" s="103" t="str">
        <f aca="false">IF($C1960="","",$D1960*IFERROR(INDEX('تحليل التكلفة والسعر'!$C$2:$C$700,MATCH($C1960,'تحليل التكلفة والسعر'!$B$2:$B$700,0)),0))</f>
        <v/>
      </c>
    </row>
    <row r="1961" customFormat="false" ht="15" hidden="false" customHeight="false" outlineLevel="0" collapsed="false">
      <c r="A1961" s="102"/>
      <c r="E1961" s="103" t="str">
        <f aca="false">IF($C1961="","",IFERROR(INDEX(المنيو!$C$2:$C$500,MATCH($C1961,المنيو!$B$2:$B$500,0)),0))</f>
        <v/>
      </c>
      <c r="F1961" s="103" t="str">
        <f aca="false">IF($C1961="","",$D1961*$E1961)</f>
        <v/>
      </c>
      <c r="G1961" s="103" t="str">
        <f aca="false">IF($C1961="","",$D1961*IFERROR(INDEX('تحليل التكلفة والسعر'!$C$2:$C$700,MATCH($C1961,'تحليل التكلفة والسعر'!$B$2:$B$700,0)),0))</f>
        <v/>
      </c>
    </row>
    <row r="1962" customFormat="false" ht="15" hidden="false" customHeight="false" outlineLevel="0" collapsed="false">
      <c r="A1962" s="102"/>
      <c r="E1962" s="103" t="str">
        <f aca="false">IF($C1962="","",IFERROR(INDEX(المنيو!$C$2:$C$500,MATCH($C1962,المنيو!$B$2:$B$500,0)),0))</f>
        <v/>
      </c>
      <c r="F1962" s="103" t="str">
        <f aca="false">IF($C1962="","",$D1962*$E1962)</f>
        <v/>
      </c>
      <c r="G1962" s="103" t="str">
        <f aca="false">IF($C1962="","",$D1962*IFERROR(INDEX('تحليل التكلفة والسعر'!$C$2:$C$700,MATCH($C1962,'تحليل التكلفة والسعر'!$B$2:$B$700,0)),0))</f>
        <v/>
      </c>
    </row>
    <row r="1963" customFormat="false" ht="15" hidden="false" customHeight="false" outlineLevel="0" collapsed="false">
      <c r="A1963" s="102"/>
      <c r="E1963" s="103" t="str">
        <f aca="false">IF($C1963="","",IFERROR(INDEX(المنيو!$C$2:$C$500,MATCH($C1963,المنيو!$B$2:$B$500,0)),0))</f>
        <v/>
      </c>
      <c r="F1963" s="103" t="str">
        <f aca="false">IF($C1963="","",$D1963*$E1963)</f>
        <v/>
      </c>
      <c r="G1963" s="103" t="str">
        <f aca="false">IF($C1963="","",$D1963*IFERROR(INDEX('تحليل التكلفة والسعر'!$C$2:$C$700,MATCH($C1963,'تحليل التكلفة والسعر'!$B$2:$B$700,0)),0))</f>
        <v/>
      </c>
    </row>
    <row r="1964" customFormat="false" ht="15" hidden="false" customHeight="false" outlineLevel="0" collapsed="false">
      <c r="A1964" s="102"/>
      <c r="E1964" s="103" t="str">
        <f aca="false">IF($C1964="","",IFERROR(INDEX(المنيو!$C$2:$C$500,MATCH($C1964,المنيو!$B$2:$B$500,0)),0))</f>
        <v/>
      </c>
      <c r="F1964" s="103" t="str">
        <f aca="false">IF($C1964="","",$D1964*$E1964)</f>
        <v/>
      </c>
      <c r="G1964" s="103" t="str">
        <f aca="false">IF($C1964="","",$D1964*IFERROR(INDEX('تحليل التكلفة والسعر'!$C$2:$C$700,MATCH($C1964,'تحليل التكلفة والسعر'!$B$2:$B$700,0)),0))</f>
        <v/>
      </c>
    </row>
    <row r="1965" customFormat="false" ht="15" hidden="false" customHeight="false" outlineLevel="0" collapsed="false">
      <c r="A1965" s="102"/>
      <c r="E1965" s="103" t="str">
        <f aca="false">IF($C1965="","",IFERROR(INDEX(المنيو!$C$2:$C$500,MATCH($C1965,المنيو!$B$2:$B$500,0)),0))</f>
        <v/>
      </c>
      <c r="F1965" s="103" t="str">
        <f aca="false">IF($C1965="","",$D1965*$E1965)</f>
        <v/>
      </c>
      <c r="G1965" s="103" t="str">
        <f aca="false">IF($C1965="","",$D1965*IFERROR(INDEX('تحليل التكلفة والسعر'!$C$2:$C$700,MATCH($C1965,'تحليل التكلفة والسعر'!$B$2:$B$700,0)),0))</f>
        <v/>
      </c>
    </row>
    <row r="1966" customFormat="false" ht="15" hidden="false" customHeight="false" outlineLevel="0" collapsed="false">
      <c r="A1966" s="102"/>
      <c r="E1966" s="103" t="str">
        <f aca="false">IF($C1966="","",IFERROR(INDEX(المنيو!$C$2:$C$500,MATCH($C1966,المنيو!$B$2:$B$500,0)),0))</f>
        <v/>
      </c>
      <c r="F1966" s="103" t="str">
        <f aca="false">IF($C1966="","",$D1966*$E1966)</f>
        <v/>
      </c>
      <c r="G1966" s="103" t="str">
        <f aca="false">IF($C1966="","",$D1966*IFERROR(INDEX('تحليل التكلفة والسعر'!$C$2:$C$700,MATCH($C1966,'تحليل التكلفة والسعر'!$B$2:$B$700,0)),0))</f>
        <v/>
      </c>
    </row>
    <row r="1967" customFormat="false" ht="15" hidden="false" customHeight="false" outlineLevel="0" collapsed="false">
      <c r="A1967" s="102"/>
      <c r="E1967" s="103" t="str">
        <f aca="false">IF($C1967="","",IFERROR(INDEX(المنيو!$C$2:$C$500,MATCH($C1967,المنيو!$B$2:$B$500,0)),0))</f>
        <v/>
      </c>
      <c r="F1967" s="103" t="str">
        <f aca="false">IF($C1967="","",$D1967*$E1967)</f>
        <v/>
      </c>
      <c r="G1967" s="103" t="str">
        <f aca="false">IF($C1967="","",$D1967*IFERROR(INDEX('تحليل التكلفة والسعر'!$C$2:$C$700,MATCH($C1967,'تحليل التكلفة والسعر'!$B$2:$B$700,0)),0))</f>
        <v/>
      </c>
    </row>
    <row r="1968" customFormat="false" ht="15" hidden="false" customHeight="false" outlineLevel="0" collapsed="false">
      <c r="A1968" s="102"/>
      <c r="E1968" s="103" t="str">
        <f aca="false">IF($C1968="","",IFERROR(INDEX(المنيو!$C$2:$C$500,MATCH($C1968,المنيو!$B$2:$B$500,0)),0))</f>
        <v/>
      </c>
      <c r="F1968" s="103" t="str">
        <f aca="false">IF($C1968="","",$D1968*$E1968)</f>
        <v/>
      </c>
      <c r="G1968" s="103" t="str">
        <f aca="false">IF($C1968="","",$D1968*IFERROR(INDEX('تحليل التكلفة والسعر'!$C$2:$C$700,MATCH($C1968,'تحليل التكلفة والسعر'!$B$2:$B$700,0)),0))</f>
        <v/>
      </c>
    </row>
    <row r="1969" customFormat="false" ht="15" hidden="false" customHeight="false" outlineLevel="0" collapsed="false">
      <c r="A1969" s="102"/>
      <c r="E1969" s="103" t="str">
        <f aca="false">IF($C1969="","",IFERROR(INDEX(المنيو!$C$2:$C$500,MATCH($C1969,المنيو!$B$2:$B$500,0)),0))</f>
        <v/>
      </c>
      <c r="F1969" s="103" t="str">
        <f aca="false">IF($C1969="","",$D1969*$E1969)</f>
        <v/>
      </c>
      <c r="G1969" s="103" t="str">
        <f aca="false">IF($C1969="","",$D1969*IFERROR(INDEX('تحليل التكلفة والسعر'!$C$2:$C$700,MATCH($C1969,'تحليل التكلفة والسعر'!$B$2:$B$700,0)),0))</f>
        <v/>
      </c>
    </row>
    <row r="1970" customFormat="false" ht="15" hidden="false" customHeight="false" outlineLevel="0" collapsed="false">
      <c r="A1970" s="102"/>
      <c r="E1970" s="103" t="str">
        <f aca="false">IF($C1970="","",IFERROR(INDEX(المنيو!$C$2:$C$500,MATCH($C1970,المنيو!$B$2:$B$500,0)),0))</f>
        <v/>
      </c>
      <c r="F1970" s="103" t="str">
        <f aca="false">IF($C1970="","",$D1970*$E1970)</f>
        <v/>
      </c>
      <c r="G1970" s="103" t="str">
        <f aca="false">IF($C1970="","",$D1970*IFERROR(INDEX('تحليل التكلفة والسعر'!$C$2:$C$700,MATCH($C1970,'تحليل التكلفة والسعر'!$B$2:$B$700,0)),0))</f>
        <v/>
      </c>
    </row>
    <row r="1971" customFormat="false" ht="15" hidden="false" customHeight="false" outlineLevel="0" collapsed="false">
      <c r="A1971" s="102"/>
      <c r="E1971" s="103" t="str">
        <f aca="false">IF($C1971="","",IFERROR(INDEX(المنيو!$C$2:$C$500,MATCH($C1971,المنيو!$B$2:$B$500,0)),0))</f>
        <v/>
      </c>
      <c r="F1971" s="103" t="str">
        <f aca="false">IF($C1971="","",$D1971*$E1971)</f>
        <v/>
      </c>
      <c r="G1971" s="103" t="str">
        <f aca="false">IF($C1971="","",$D1971*IFERROR(INDEX('تحليل التكلفة والسعر'!$C$2:$C$700,MATCH($C1971,'تحليل التكلفة والسعر'!$B$2:$B$700,0)),0))</f>
        <v/>
      </c>
    </row>
    <row r="1972" customFormat="false" ht="15" hidden="false" customHeight="false" outlineLevel="0" collapsed="false">
      <c r="A1972" s="102"/>
      <c r="E1972" s="103" t="str">
        <f aca="false">IF($C1972="","",IFERROR(INDEX(المنيو!$C$2:$C$500,MATCH($C1972,المنيو!$B$2:$B$500,0)),0))</f>
        <v/>
      </c>
      <c r="F1972" s="103" t="str">
        <f aca="false">IF($C1972="","",$D1972*$E1972)</f>
        <v/>
      </c>
      <c r="G1972" s="103" t="str">
        <f aca="false">IF($C1972="","",$D1972*IFERROR(INDEX('تحليل التكلفة والسعر'!$C$2:$C$700,MATCH($C1972,'تحليل التكلفة والسعر'!$B$2:$B$700,0)),0))</f>
        <v/>
      </c>
    </row>
    <row r="1973" customFormat="false" ht="15" hidden="false" customHeight="false" outlineLevel="0" collapsed="false">
      <c r="A1973" s="102"/>
      <c r="E1973" s="103" t="str">
        <f aca="false">IF($C1973="","",IFERROR(INDEX(المنيو!$C$2:$C$500,MATCH($C1973,المنيو!$B$2:$B$500,0)),0))</f>
        <v/>
      </c>
      <c r="F1973" s="103" t="str">
        <f aca="false">IF($C1973="","",$D1973*$E1973)</f>
        <v/>
      </c>
      <c r="G1973" s="103" t="str">
        <f aca="false">IF($C1973="","",$D1973*IFERROR(INDEX('تحليل التكلفة والسعر'!$C$2:$C$700,MATCH($C1973,'تحليل التكلفة والسعر'!$B$2:$B$700,0)),0))</f>
        <v/>
      </c>
    </row>
    <row r="1974" customFormat="false" ht="15" hidden="false" customHeight="false" outlineLevel="0" collapsed="false">
      <c r="A1974" s="102"/>
      <c r="E1974" s="103" t="str">
        <f aca="false">IF($C1974="","",IFERROR(INDEX(المنيو!$C$2:$C$500,MATCH($C1974,المنيو!$B$2:$B$500,0)),0))</f>
        <v/>
      </c>
      <c r="F1974" s="103" t="str">
        <f aca="false">IF($C1974="","",$D1974*$E1974)</f>
        <v/>
      </c>
      <c r="G1974" s="103" t="str">
        <f aca="false">IF($C1974="","",$D1974*IFERROR(INDEX('تحليل التكلفة والسعر'!$C$2:$C$700,MATCH($C1974,'تحليل التكلفة والسعر'!$B$2:$B$700,0)),0))</f>
        <v/>
      </c>
    </row>
    <row r="1975" customFormat="false" ht="15" hidden="false" customHeight="false" outlineLevel="0" collapsed="false">
      <c r="A1975" s="102"/>
      <c r="E1975" s="103" t="str">
        <f aca="false">IF($C1975="","",IFERROR(INDEX(المنيو!$C$2:$C$500,MATCH($C1975,المنيو!$B$2:$B$500,0)),0))</f>
        <v/>
      </c>
      <c r="F1975" s="103" t="str">
        <f aca="false">IF($C1975="","",$D1975*$E1975)</f>
        <v/>
      </c>
      <c r="G1975" s="103" t="str">
        <f aca="false">IF($C1975="","",$D1975*IFERROR(INDEX('تحليل التكلفة والسعر'!$C$2:$C$700,MATCH($C1975,'تحليل التكلفة والسعر'!$B$2:$B$700,0)),0))</f>
        <v/>
      </c>
    </row>
    <row r="1976" customFormat="false" ht="15" hidden="false" customHeight="false" outlineLevel="0" collapsed="false">
      <c r="A1976" s="102"/>
      <c r="E1976" s="103" t="str">
        <f aca="false">IF($C1976="","",IFERROR(INDEX(المنيو!$C$2:$C$500,MATCH($C1976,المنيو!$B$2:$B$500,0)),0))</f>
        <v/>
      </c>
      <c r="F1976" s="103" t="str">
        <f aca="false">IF($C1976="","",$D1976*$E1976)</f>
        <v/>
      </c>
      <c r="G1976" s="103" t="str">
        <f aca="false">IF($C1976="","",$D1976*IFERROR(INDEX('تحليل التكلفة والسعر'!$C$2:$C$700,MATCH($C1976,'تحليل التكلفة والسعر'!$B$2:$B$700,0)),0))</f>
        <v/>
      </c>
    </row>
    <row r="1977" customFormat="false" ht="15" hidden="false" customHeight="false" outlineLevel="0" collapsed="false">
      <c r="A1977" s="102"/>
      <c r="E1977" s="103" t="str">
        <f aca="false">IF($C1977="","",IFERROR(INDEX(المنيو!$C$2:$C$500,MATCH($C1977,المنيو!$B$2:$B$500,0)),0))</f>
        <v/>
      </c>
      <c r="F1977" s="103" t="str">
        <f aca="false">IF($C1977="","",$D1977*$E1977)</f>
        <v/>
      </c>
      <c r="G1977" s="103" t="str">
        <f aca="false">IF($C1977="","",$D1977*IFERROR(INDEX('تحليل التكلفة والسعر'!$C$2:$C$700,MATCH($C1977,'تحليل التكلفة والسعر'!$B$2:$B$700,0)),0))</f>
        <v/>
      </c>
    </row>
    <row r="1978" customFormat="false" ht="15" hidden="false" customHeight="false" outlineLevel="0" collapsed="false">
      <c r="A1978" s="102"/>
      <c r="E1978" s="103" t="str">
        <f aca="false">IF($C1978="","",IFERROR(INDEX(المنيو!$C$2:$C$500,MATCH($C1978,المنيو!$B$2:$B$500,0)),0))</f>
        <v/>
      </c>
      <c r="F1978" s="103" t="str">
        <f aca="false">IF($C1978="","",$D1978*$E1978)</f>
        <v/>
      </c>
      <c r="G1978" s="103" t="str">
        <f aca="false">IF($C1978="","",$D1978*IFERROR(INDEX('تحليل التكلفة والسعر'!$C$2:$C$700,MATCH($C1978,'تحليل التكلفة والسعر'!$B$2:$B$700,0)),0))</f>
        <v/>
      </c>
    </row>
    <row r="1979" customFormat="false" ht="15" hidden="false" customHeight="false" outlineLevel="0" collapsed="false">
      <c r="A1979" s="102"/>
      <c r="E1979" s="103" t="str">
        <f aca="false">IF($C1979="","",IFERROR(INDEX(المنيو!$C$2:$C$500,MATCH($C1979,المنيو!$B$2:$B$500,0)),0))</f>
        <v/>
      </c>
      <c r="F1979" s="103" t="str">
        <f aca="false">IF($C1979="","",$D1979*$E1979)</f>
        <v/>
      </c>
      <c r="G1979" s="103" t="str">
        <f aca="false">IF($C1979="","",$D1979*IFERROR(INDEX('تحليل التكلفة والسعر'!$C$2:$C$700,MATCH($C1979,'تحليل التكلفة والسعر'!$B$2:$B$700,0)),0))</f>
        <v/>
      </c>
    </row>
    <row r="1980" customFormat="false" ht="15" hidden="false" customHeight="false" outlineLevel="0" collapsed="false">
      <c r="A1980" s="102"/>
      <c r="E1980" s="103" t="str">
        <f aca="false">IF($C1980="","",IFERROR(INDEX(المنيو!$C$2:$C$500,MATCH($C1980,المنيو!$B$2:$B$500,0)),0))</f>
        <v/>
      </c>
      <c r="F1980" s="103" t="str">
        <f aca="false">IF($C1980="","",$D1980*$E1980)</f>
        <v/>
      </c>
      <c r="G1980" s="103" t="str">
        <f aca="false">IF($C1980="","",$D1980*IFERROR(INDEX('تحليل التكلفة والسعر'!$C$2:$C$700,MATCH($C1980,'تحليل التكلفة والسعر'!$B$2:$B$700,0)),0))</f>
        <v/>
      </c>
    </row>
    <row r="1981" customFormat="false" ht="15" hidden="false" customHeight="false" outlineLevel="0" collapsed="false">
      <c r="A1981" s="102"/>
      <c r="E1981" s="103" t="str">
        <f aca="false">IF($C1981="","",IFERROR(INDEX(المنيو!$C$2:$C$500,MATCH($C1981,المنيو!$B$2:$B$500,0)),0))</f>
        <v/>
      </c>
      <c r="F1981" s="103" t="str">
        <f aca="false">IF($C1981="","",$D1981*$E1981)</f>
        <v/>
      </c>
      <c r="G1981" s="103" t="str">
        <f aca="false">IF($C1981="","",$D1981*IFERROR(INDEX('تحليل التكلفة والسعر'!$C$2:$C$700,MATCH($C1981,'تحليل التكلفة والسعر'!$B$2:$B$700,0)),0))</f>
        <v/>
      </c>
    </row>
    <row r="1982" customFormat="false" ht="15" hidden="false" customHeight="false" outlineLevel="0" collapsed="false">
      <c r="A1982" s="102"/>
      <c r="E1982" s="103" t="str">
        <f aca="false">IF($C1982="","",IFERROR(INDEX(المنيو!$C$2:$C$500,MATCH($C1982,المنيو!$B$2:$B$500,0)),0))</f>
        <v/>
      </c>
      <c r="F1982" s="103" t="str">
        <f aca="false">IF($C1982="","",$D1982*$E1982)</f>
        <v/>
      </c>
      <c r="G1982" s="103" t="str">
        <f aca="false">IF($C1982="","",$D1982*IFERROR(INDEX('تحليل التكلفة والسعر'!$C$2:$C$700,MATCH($C1982,'تحليل التكلفة والسعر'!$B$2:$B$700,0)),0))</f>
        <v/>
      </c>
    </row>
    <row r="1983" customFormat="false" ht="15" hidden="false" customHeight="false" outlineLevel="0" collapsed="false">
      <c r="A1983" s="102"/>
      <c r="E1983" s="103" t="str">
        <f aca="false">IF($C1983="","",IFERROR(INDEX(المنيو!$C$2:$C$500,MATCH($C1983,المنيو!$B$2:$B$500,0)),0))</f>
        <v/>
      </c>
      <c r="F1983" s="103" t="str">
        <f aca="false">IF($C1983="","",$D1983*$E1983)</f>
        <v/>
      </c>
      <c r="G1983" s="103" t="str">
        <f aca="false">IF($C1983="","",$D1983*IFERROR(INDEX('تحليل التكلفة والسعر'!$C$2:$C$700,MATCH($C1983,'تحليل التكلفة والسعر'!$B$2:$B$700,0)),0))</f>
        <v/>
      </c>
    </row>
    <row r="1984" customFormat="false" ht="15" hidden="false" customHeight="false" outlineLevel="0" collapsed="false">
      <c r="A1984" s="102"/>
      <c r="E1984" s="103" t="str">
        <f aca="false">IF($C1984="","",IFERROR(INDEX(المنيو!$C$2:$C$500,MATCH($C1984,المنيو!$B$2:$B$500,0)),0))</f>
        <v/>
      </c>
      <c r="F1984" s="103" t="str">
        <f aca="false">IF($C1984="","",$D1984*$E1984)</f>
        <v/>
      </c>
      <c r="G1984" s="103" t="str">
        <f aca="false">IF($C1984="","",$D1984*IFERROR(INDEX('تحليل التكلفة والسعر'!$C$2:$C$700,MATCH($C1984,'تحليل التكلفة والسعر'!$B$2:$B$700,0)),0))</f>
        <v/>
      </c>
    </row>
    <row r="1985" customFormat="false" ht="15" hidden="false" customHeight="false" outlineLevel="0" collapsed="false">
      <c r="A1985" s="102"/>
      <c r="E1985" s="103" t="str">
        <f aca="false">IF($C1985="","",IFERROR(INDEX(المنيو!$C$2:$C$500,MATCH($C1985,المنيو!$B$2:$B$500,0)),0))</f>
        <v/>
      </c>
      <c r="F1985" s="103" t="str">
        <f aca="false">IF($C1985="","",$D1985*$E1985)</f>
        <v/>
      </c>
      <c r="G1985" s="103" t="str">
        <f aca="false">IF($C1985="","",$D1985*IFERROR(INDEX('تحليل التكلفة والسعر'!$C$2:$C$700,MATCH($C1985,'تحليل التكلفة والسعر'!$B$2:$B$700,0)),0))</f>
        <v/>
      </c>
    </row>
    <row r="1986" customFormat="false" ht="15" hidden="false" customHeight="false" outlineLevel="0" collapsed="false">
      <c r="A1986" s="102"/>
      <c r="E1986" s="103" t="str">
        <f aca="false">IF($C1986="","",IFERROR(INDEX(المنيو!$C$2:$C$500,MATCH($C1986,المنيو!$B$2:$B$500,0)),0))</f>
        <v/>
      </c>
      <c r="F1986" s="103" t="str">
        <f aca="false">IF($C1986="","",$D1986*$E1986)</f>
        <v/>
      </c>
      <c r="G1986" s="103" t="str">
        <f aca="false">IF($C1986="","",$D1986*IFERROR(INDEX('تحليل التكلفة والسعر'!$C$2:$C$700,MATCH($C1986,'تحليل التكلفة والسعر'!$B$2:$B$700,0)),0))</f>
        <v/>
      </c>
    </row>
    <row r="1987" customFormat="false" ht="15" hidden="false" customHeight="false" outlineLevel="0" collapsed="false">
      <c r="A1987" s="102"/>
      <c r="E1987" s="103" t="str">
        <f aca="false">IF($C1987="","",IFERROR(INDEX(المنيو!$C$2:$C$500,MATCH($C1987,المنيو!$B$2:$B$500,0)),0))</f>
        <v/>
      </c>
      <c r="F1987" s="103" t="str">
        <f aca="false">IF($C1987="","",$D1987*$E1987)</f>
        <v/>
      </c>
      <c r="G1987" s="103" t="str">
        <f aca="false">IF($C1987="","",$D1987*IFERROR(INDEX('تحليل التكلفة والسعر'!$C$2:$C$700,MATCH($C1987,'تحليل التكلفة والسعر'!$B$2:$B$700,0)),0))</f>
        <v/>
      </c>
    </row>
    <row r="1988" customFormat="false" ht="15" hidden="false" customHeight="false" outlineLevel="0" collapsed="false">
      <c r="A1988" s="102"/>
      <c r="E1988" s="103" t="str">
        <f aca="false">IF($C1988="","",IFERROR(INDEX(المنيو!$C$2:$C$500,MATCH($C1988,المنيو!$B$2:$B$500,0)),0))</f>
        <v/>
      </c>
      <c r="F1988" s="103" t="str">
        <f aca="false">IF($C1988="","",$D1988*$E1988)</f>
        <v/>
      </c>
      <c r="G1988" s="103" t="str">
        <f aca="false">IF($C1988="","",$D1988*IFERROR(INDEX('تحليل التكلفة والسعر'!$C$2:$C$700,MATCH($C1988,'تحليل التكلفة والسعر'!$B$2:$B$700,0)),0))</f>
        <v/>
      </c>
    </row>
    <row r="1989" customFormat="false" ht="15" hidden="false" customHeight="false" outlineLevel="0" collapsed="false">
      <c r="A1989" s="102"/>
      <c r="E1989" s="103" t="str">
        <f aca="false">IF($C1989="","",IFERROR(INDEX(المنيو!$C$2:$C$500,MATCH($C1989,المنيو!$B$2:$B$500,0)),0))</f>
        <v/>
      </c>
      <c r="F1989" s="103" t="str">
        <f aca="false">IF($C1989="","",$D1989*$E1989)</f>
        <v/>
      </c>
      <c r="G1989" s="103" t="str">
        <f aca="false">IF($C1989="","",$D1989*IFERROR(INDEX('تحليل التكلفة والسعر'!$C$2:$C$700,MATCH($C1989,'تحليل التكلفة والسعر'!$B$2:$B$700,0)),0))</f>
        <v/>
      </c>
    </row>
    <row r="1990" customFormat="false" ht="15" hidden="false" customHeight="false" outlineLevel="0" collapsed="false">
      <c r="A1990" s="102"/>
      <c r="E1990" s="103" t="str">
        <f aca="false">IF($C1990="","",IFERROR(INDEX(المنيو!$C$2:$C$500,MATCH($C1990,المنيو!$B$2:$B$500,0)),0))</f>
        <v/>
      </c>
      <c r="F1990" s="103" t="str">
        <f aca="false">IF($C1990="","",$D1990*$E1990)</f>
        <v/>
      </c>
      <c r="G1990" s="103" t="str">
        <f aca="false">IF($C1990="","",$D1990*IFERROR(INDEX('تحليل التكلفة والسعر'!$C$2:$C$700,MATCH($C1990,'تحليل التكلفة والسعر'!$B$2:$B$700,0)),0))</f>
        <v/>
      </c>
    </row>
    <row r="1991" customFormat="false" ht="15" hidden="false" customHeight="false" outlineLevel="0" collapsed="false">
      <c r="A1991" s="102"/>
      <c r="E1991" s="103" t="str">
        <f aca="false">IF($C1991="","",IFERROR(INDEX(المنيو!$C$2:$C$500,MATCH($C1991,المنيو!$B$2:$B$500,0)),0))</f>
        <v/>
      </c>
      <c r="F1991" s="103" t="str">
        <f aca="false">IF($C1991="","",$D1991*$E1991)</f>
        <v/>
      </c>
      <c r="G1991" s="103" t="str">
        <f aca="false">IF($C1991="","",$D1991*IFERROR(INDEX('تحليل التكلفة والسعر'!$C$2:$C$700,MATCH($C1991,'تحليل التكلفة والسعر'!$B$2:$B$700,0)),0))</f>
        <v/>
      </c>
    </row>
    <row r="1992" customFormat="false" ht="15" hidden="false" customHeight="false" outlineLevel="0" collapsed="false">
      <c r="A1992" s="102"/>
      <c r="E1992" s="103" t="str">
        <f aca="false">IF($C1992="","",IFERROR(INDEX(المنيو!$C$2:$C$500,MATCH($C1992,المنيو!$B$2:$B$500,0)),0))</f>
        <v/>
      </c>
      <c r="F1992" s="103" t="str">
        <f aca="false">IF($C1992="","",$D1992*$E1992)</f>
        <v/>
      </c>
      <c r="G1992" s="103" t="str">
        <f aca="false">IF($C1992="","",$D1992*IFERROR(INDEX('تحليل التكلفة والسعر'!$C$2:$C$700,MATCH($C1992,'تحليل التكلفة والسعر'!$B$2:$B$700,0)),0))</f>
        <v/>
      </c>
    </row>
    <row r="1993" customFormat="false" ht="15" hidden="false" customHeight="false" outlineLevel="0" collapsed="false">
      <c r="A1993" s="102"/>
      <c r="E1993" s="103" t="str">
        <f aca="false">IF($C1993="","",IFERROR(INDEX(المنيو!$C$2:$C$500,MATCH($C1993,المنيو!$B$2:$B$500,0)),0))</f>
        <v/>
      </c>
      <c r="F1993" s="103" t="str">
        <f aca="false">IF($C1993="","",$D1993*$E1993)</f>
        <v/>
      </c>
      <c r="G1993" s="103" t="str">
        <f aca="false">IF($C1993="","",$D1993*IFERROR(INDEX('تحليل التكلفة والسعر'!$C$2:$C$700,MATCH($C1993,'تحليل التكلفة والسعر'!$B$2:$B$700,0)),0))</f>
        <v/>
      </c>
    </row>
    <row r="1994" customFormat="false" ht="15" hidden="false" customHeight="false" outlineLevel="0" collapsed="false">
      <c r="A1994" s="102"/>
      <c r="E1994" s="103" t="str">
        <f aca="false">IF($C1994="","",IFERROR(INDEX(المنيو!$C$2:$C$500,MATCH($C1994,المنيو!$B$2:$B$500,0)),0))</f>
        <v/>
      </c>
      <c r="F1994" s="103" t="str">
        <f aca="false">IF($C1994="","",$D1994*$E1994)</f>
        <v/>
      </c>
      <c r="G1994" s="103" t="str">
        <f aca="false">IF($C1994="","",$D1994*IFERROR(INDEX('تحليل التكلفة والسعر'!$C$2:$C$700,MATCH($C1994,'تحليل التكلفة والسعر'!$B$2:$B$700,0)),0))</f>
        <v/>
      </c>
    </row>
    <row r="1995" customFormat="false" ht="15" hidden="false" customHeight="false" outlineLevel="0" collapsed="false">
      <c r="A1995" s="102"/>
      <c r="E1995" s="103" t="str">
        <f aca="false">IF($C1995="","",IFERROR(INDEX(المنيو!$C$2:$C$500,MATCH($C1995,المنيو!$B$2:$B$500,0)),0))</f>
        <v/>
      </c>
      <c r="F1995" s="103" t="str">
        <f aca="false">IF($C1995="","",$D1995*$E1995)</f>
        <v/>
      </c>
      <c r="G1995" s="103" t="str">
        <f aca="false">IF($C1995="","",$D1995*IFERROR(INDEX('تحليل التكلفة والسعر'!$C$2:$C$700,MATCH($C1995,'تحليل التكلفة والسعر'!$B$2:$B$700,0)),0))</f>
        <v/>
      </c>
    </row>
    <row r="1996" customFormat="false" ht="15" hidden="false" customHeight="false" outlineLevel="0" collapsed="false">
      <c r="A1996" s="102"/>
      <c r="E1996" s="103" t="str">
        <f aca="false">IF($C1996="","",IFERROR(INDEX(المنيو!$C$2:$C$500,MATCH($C1996,المنيو!$B$2:$B$500,0)),0))</f>
        <v/>
      </c>
      <c r="F1996" s="103" t="str">
        <f aca="false">IF($C1996="","",$D1996*$E1996)</f>
        <v/>
      </c>
      <c r="G1996" s="103" t="str">
        <f aca="false">IF($C1996="","",$D1996*IFERROR(INDEX('تحليل التكلفة والسعر'!$C$2:$C$700,MATCH($C1996,'تحليل التكلفة والسعر'!$B$2:$B$700,0)),0))</f>
        <v/>
      </c>
    </row>
    <row r="1997" customFormat="false" ht="15" hidden="false" customHeight="false" outlineLevel="0" collapsed="false">
      <c r="A1997" s="102"/>
      <c r="E1997" s="103" t="str">
        <f aca="false">IF($C1997="","",IFERROR(INDEX(المنيو!$C$2:$C$500,MATCH($C1997,المنيو!$B$2:$B$500,0)),0))</f>
        <v/>
      </c>
      <c r="F1997" s="103" t="str">
        <f aca="false">IF($C1997="","",$D1997*$E1997)</f>
        <v/>
      </c>
      <c r="G1997" s="103" t="str">
        <f aca="false">IF($C1997="","",$D1997*IFERROR(INDEX('تحليل التكلفة والسعر'!$C$2:$C$700,MATCH($C1997,'تحليل التكلفة والسعر'!$B$2:$B$700,0)),0))</f>
        <v/>
      </c>
    </row>
    <row r="1998" customFormat="false" ht="15" hidden="false" customHeight="false" outlineLevel="0" collapsed="false">
      <c r="A1998" s="102"/>
      <c r="E1998" s="103" t="str">
        <f aca="false">IF($C1998="","",IFERROR(INDEX(المنيو!$C$2:$C$500,MATCH($C1998,المنيو!$B$2:$B$500,0)),0))</f>
        <v/>
      </c>
      <c r="F1998" s="103" t="str">
        <f aca="false">IF($C1998="","",$D1998*$E1998)</f>
        <v/>
      </c>
      <c r="G1998" s="103" t="str">
        <f aca="false">IF($C1998="","",$D1998*IFERROR(INDEX('تحليل التكلفة والسعر'!$C$2:$C$700,MATCH($C1998,'تحليل التكلفة والسعر'!$B$2:$B$700,0)),0))</f>
        <v/>
      </c>
    </row>
    <row r="1999" customFormat="false" ht="15" hidden="false" customHeight="false" outlineLevel="0" collapsed="false">
      <c r="A1999" s="102"/>
      <c r="E1999" s="103" t="str">
        <f aca="false">IF($C1999="","",IFERROR(INDEX(المنيو!$C$2:$C$500,MATCH($C1999,المنيو!$B$2:$B$500,0)),0))</f>
        <v/>
      </c>
      <c r="F1999" s="103" t="str">
        <f aca="false">IF($C1999="","",$D1999*$E1999)</f>
        <v/>
      </c>
      <c r="G1999" s="103" t="str">
        <f aca="false">IF($C1999="","",$D1999*IFERROR(INDEX('تحليل التكلفة والسعر'!$C$2:$C$700,MATCH($C1999,'تحليل التكلفة والسعر'!$B$2:$B$700,0)),0))</f>
        <v/>
      </c>
    </row>
    <row r="2000" customFormat="false" ht="15" hidden="false" customHeight="false" outlineLevel="0" collapsed="false">
      <c r="A2000" s="102"/>
      <c r="E2000" s="103" t="str">
        <f aca="false">IF($C2000="","",IFERROR(INDEX(المنيو!$C$2:$C$500,MATCH($C2000,المنيو!$B$2:$B$500,0)),0))</f>
        <v/>
      </c>
      <c r="F2000" s="103" t="str">
        <f aca="false">IF($C2000="","",$D2000*$E2000)</f>
        <v/>
      </c>
      <c r="G2000" s="103" t="str">
        <f aca="false">IF($C2000="","",$D2000*IFERROR(INDEX('تحليل التكلفة والسعر'!$C$2:$C$700,MATCH($C2000,'تحليل التكلفة والسعر'!$B$2:$B$700,0)),0))</f>
        <v/>
      </c>
    </row>
    <row r="2001" customFormat="false" ht="15" hidden="false" customHeight="false" outlineLevel="0" collapsed="false">
      <c r="A2001" s="102"/>
      <c r="E2001" s="103" t="str">
        <f aca="false">IF($C2001="","",IFERROR(INDEX(المنيو!$C$2:$C$500,MATCH($C2001,المنيو!$B$2:$B$500,0)),0))</f>
        <v/>
      </c>
      <c r="F2001" s="103" t="str">
        <f aca="false">IF($C2001="","",$D2001*$E2001)</f>
        <v/>
      </c>
      <c r="G2001" s="103" t="str">
        <f aca="false">IF($C2001="","",$D2001*IFERROR(INDEX('تحليل التكلفة والسعر'!$C$2:$C$700,MATCH($C2001,'تحليل التكلفة والسعر'!$B$2:$B$700,0)),0))</f>
        <v/>
      </c>
    </row>
    <row r="2002" customFormat="false" ht="15" hidden="false" customHeight="false" outlineLevel="0" collapsed="false">
      <c r="A2002" s="102"/>
      <c r="E2002" s="103" t="str">
        <f aca="false">IF($C2002="","",IFERROR(INDEX(المنيو!$C$2:$C$500,MATCH($C2002,المنيو!$B$2:$B$500,0)),0))</f>
        <v/>
      </c>
      <c r="F2002" s="103" t="str">
        <f aca="false">IF($C2002="","",$D2002*$E2002)</f>
        <v/>
      </c>
      <c r="G2002" s="103" t="str">
        <f aca="false">IF($C2002="","",$D2002*IFERROR(INDEX('تحليل التكلفة والسعر'!$C$2:$C$700,MATCH($C2002,'تحليل التكلفة والسعر'!$B$2:$B$700,0)),0))</f>
        <v/>
      </c>
    </row>
    <row r="2003" customFormat="false" ht="15" hidden="false" customHeight="false" outlineLevel="0" collapsed="false">
      <c r="A2003" s="102"/>
      <c r="E2003" s="103" t="str">
        <f aca="false">IF($C2003="","",IFERROR(INDEX(المنيو!$C$2:$C$500,MATCH($C2003,المنيو!$B$2:$B$500,0)),0))</f>
        <v/>
      </c>
      <c r="F2003" s="103" t="str">
        <f aca="false">IF($C2003="","",$D2003*$E2003)</f>
        <v/>
      </c>
      <c r="G2003" s="103" t="str">
        <f aca="false">IF($C2003="","",$D2003*IFERROR(INDEX('تحليل التكلفة والسعر'!$C$2:$C$700,MATCH($C2003,'تحليل التكلفة والسعر'!$B$2:$B$700,0)),0))</f>
        <v/>
      </c>
    </row>
    <row r="2004" customFormat="false" ht="15" hidden="false" customHeight="false" outlineLevel="0" collapsed="false">
      <c r="A2004" s="102"/>
      <c r="E2004" s="103" t="str">
        <f aca="false">IF($C2004="","",IFERROR(INDEX(المنيو!$C$2:$C$500,MATCH($C2004,المنيو!$B$2:$B$500,0)),0))</f>
        <v/>
      </c>
      <c r="F2004" s="103" t="str">
        <f aca="false">IF($C2004="","",$D2004*$E2004)</f>
        <v/>
      </c>
      <c r="G2004" s="103" t="str">
        <f aca="false">IF($C2004="","",$D2004*IFERROR(INDEX('تحليل التكلفة والسعر'!$C$2:$C$700,MATCH($C2004,'تحليل التكلفة والسعر'!$B$2:$B$700,0)),0))</f>
        <v/>
      </c>
    </row>
    <row r="2005" customFormat="false" ht="15" hidden="false" customHeight="false" outlineLevel="0" collapsed="false">
      <c r="A2005" s="102"/>
      <c r="E2005" s="103" t="str">
        <f aca="false">IF($C2005="","",IFERROR(INDEX(المنيو!$C$2:$C$500,MATCH($C2005,المنيو!$B$2:$B$500,0)),0))</f>
        <v/>
      </c>
      <c r="F2005" s="103" t="str">
        <f aca="false">IF($C2005="","",$D2005*$E2005)</f>
        <v/>
      </c>
      <c r="G2005" s="103" t="str">
        <f aca="false">IF($C2005="","",$D2005*IFERROR(INDEX('تحليل التكلفة والسعر'!$C$2:$C$700,MATCH($C2005,'تحليل التكلفة والسعر'!$B$2:$B$700,0)),0))</f>
        <v/>
      </c>
    </row>
    <row r="2006" customFormat="false" ht="15" hidden="false" customHeight="false" outlineLevel="0" collapsed="false">
      <c r="A2006" s="102"/>
      <c r="E2006" s="103" t="str">
        <f aca="false">IF($C2006="","",IFERROR(INDEX(المنيو!$C$2:$C$500,MATCH($C2006,المنيو!$B$2:$B$500,0)),0))</f>
        <v/>
      </c>
      <c r="F2006" s="103" t="str">
        <f aca="false">IF($C2006="","",$D2006*$E2006)</f>
        <v/>
      </c>
      <c r="G2006" s="103" t="str">
        <f aca="false">IF($C2006="","",$D2006*IFERROR(INDEX('تحليل التكلفة والسعر'!$C$2:$C$700,MATCH($C2006,'تحليل التكلفة والسعر'!$B$2:$B$700,0)),0))</f>
        <v/>
      </c>
    </row>
    <row r="2007" customFormat="false" ht="15" hidden="false" customHeight="false" outlineLevel="0" collapsed="false">
      <c r="A2007" s="102"/>
      <c r="E2007" s="103" t="str">
        <f aca="false">IF($C2007="","",IFERROR(INDEX(المنيو!$C$2:$C$500,MATCH($C2007,المنيو!$B$2:$B$500,0)),0))</f>
        <v/>
      </c>
      <c r="F2007" s="103" t="str">
        <f aca="false">IF($C2007="","",$D2007*$E2007)</f>
        <v/>
      </c>
      <c r="G2007" s="103" t="str">
        <f aca="false">IF($C2007="","",$D2007*IFERROR(INDEX('تحليل التكلفة والسعر'!$C$2:$C$700,MATCH($C2007,'تحليل التكلفة والسعر'!$B$2:$B$700,0)),0))</f>
        <v/>
      </c>
    </row>
    <row r="2008" customFormat="false" ht="15" hidden="false" customHeight="false" outlineLevel="0" collapsed="false">
      <c r="A2008" s="102"/>
      <c r="E2008" s="103" t="str">
        <f aca="false">IF($C2008="","",IFERROR(INDEX(المنيو!$C$2:$C$500,MATCH($C2008,المنيو!$B$2:$B$500,0)),0))</f>
        <v/>
      </c>
      <c r="F2008" s="103" t="str">
        <f aca="false">IF($C2008="","",$D2008*$E2008)</f>
        <v/>
      </c>
      <c r="G2008" s="103" t="str">
        <f aca="false">IF($C2008="","",$D2008*IFERROR(INDEX('تحليل التكلفة والسعر'!$C$2:$C$700,MATCH($C2008,'تحليل التكلفة والسعر'!$B$2:$B$700,0)),0))</f>
        <v/>
      </c>
    </row>
    <row r="2009" customFormat="false" ht="15" hidden="false" customHeight="false" outlineLevel="0" collapsed="false">
      <c r="A2009" s="102"/>
      <c r="E2009" s="103" t="str">
        <f aca="false">IF($C2009="","",IFERROR(INDEX(المنيو!$C$2:$C$500,MATCH($C2009,المنيو!$B$2:$B$500,0)),0))</f>
        <v/>
      </c>
      <c r="F2009" s="103" t="str">
        <f aca="false">IF($C2009="","",$D2009*$E2009)</f>
        <v/>
      </c>
      <c r="G2009" s="103" t="str">
        <f aca="false">IF($C2009="","",$D2009*IFERROR(INDEX('تحليل التكلفة والسعر'!$C$2:$C$700,MATCH($C2009,'تحليل التكلفة والسعر'!$B$2:$B$700,0)),0))</f>
        <v/>
      </c>
    </row>
    <row r="2010" customFormat="false" ht="15" hidden="false" customHeight="false" outlineLevel="0" collapsed="false">
      <c r="A2010" s="102"/>
      <c r="E2010" s="103" t="str">
        <f aca="false">IF($C2010="","",IFERROR(INDEX(المنيو!$C$2:$C$500,MATCH($C2010,المنيو!$B$2:$B$500,0)),0))</f>
        <v/>
      </c>
      <c r="F2010" s="103" t="str">
        <f aca="false">IF($C2010="","",$D2010*$E2010)</f>
        <v/>
      </c>
      <c r="G2010" s="103" t="str">
        <f aca="false">IF($C2010="","",$D2010*IFERROR(INDEX('تحليل التكلفة والسعر'!$C$2:$C$700,MATCH($C2010,'تحليل التكلفة والسعر'!$B$2:$B$700,0)),0))</f>
        <v/>
      </c>
    </row>
    <row r="2011" customFormat="false" ht="15" hidden="false" customHeight="false" outlineLevel="0" collapsed="false">
      <c r="A2011" s="102"/>
      <c r="E2011" s="103" t="str">
        <f aca="false">IF($C2011="","",IFERROR(INDEX(المنيو!$C$2:$C$500,MATCH($C2011,المنيو!$B$2:$B$500,0)),0))</f>
        <v/>
      </c>
      <c r="F2011" s="103" t="str">
        <f aca="false">IF($C2011="","",$D2011*$E2011)</f>
        <v/>
      </c>
      <c r="G2011" s="103" t="str">
        <f aca="false">IF($C2011="","",$D2011*IFERROR(INDEX('تحليل التكلفة والسعر'!$C$2:$C$700,MATCH($C2011,'تحليل التكلفة والسعر'!$B$2:$B$700,0)),0))</f>
        <v/>
      </c>
    </row>
    <row r="2012" customFormat="false" ht="15" hidden="false" customHeight="false" outlineLevel="0" collapsed="false">
      <c r="A2012" s="102"/>
      <c r="E2012" s="103" t="str">
        <f aca="false">IF($C2012="","",IFERROR(INDEX(المنيو!$C$2:$C$500,MATCH($C2012,المنيو!$B$2:$B$500,0)),0))</f>
        <v/>
      </c>
      <c r="F2012" s="103" t="str">
        <f aca="false">IF($C2012="","",$D2012*$E2012)</f>
        <v/>
      </c>
      <c r="G2012" s="103" t="str">
        <f aca="false">IF($C2012="","",$D2012*IFERROR(INDEX('تحليل التكلفة والسعر'!$C$2:$C$700,MATCH($C2012,'تحليل التكلفة والسعر'!$B$2:$B$700,0)),0))</f>
        <v/>
      </c>
    </row>
    <row r="2013" customFormat="false" ht="15" hidden="false" customHeight="false" outlineLevel="0" collapsed="false">
      <c r="A2013" s="102"/>
      <c r="E2013" s="103" t="str">
        <f aca="false">IF($C2013="","",IFERROR(INDEX(المنيو!$C$2:$C$500,MATCH($C2013,المنيو!$B$2:$B$500,0)),0))</f>
        <v/>
      </c>
      <c r="F2013" s="103" t="str">
        <f aca="false">IF($C2013="","",$D2013*$E2013)</f>
        <v/>
      </c>
      <c r="G2013" s="103" t="str">
        <f aca="false">IF($C2013="","",$D2013*IFERROR(INDEX('تحليل التكلفة والسعر'!$C$2:$C$700,MATCH($C2013,'تحليل التكلفة والسعر'!$B$2:$B$700,0)),0))</f>
        <v/>
      </c>
    </row>
    <row r="2014" customFormat="false" ht="15" hidden="false" customHeight="false" outlineLevel="0" collapsed="false">
      <c r="A2014" s="102"/>
      <c r="E2014" s="103" t="str">
        <f aca="false">IF($C2014="","",IFERROR(INDEX(المنيو!$C$2:$C$500,MATCH($C2014,المنيو!$B$2:$B$500,0)),0))</f>
        <v/>
      </c>
      <c r="F2014" s="103" t="str">
        <f aca="false">IF($C2014="","",$D2014*$E2014)</f>
        <v/>
      </c>
      <c r="G2014" s="103" t="str">
        <f aca="false">IF($C2014="","",$D2014*IFERROR(INDEX('تحليل التكلفة والسعر'!$C$2:$C$700,MATCH($C2014,'تحليل التكلفة والسعر'!$B$2:$B$700,0)),0))</f>
        <v/>
      </c>
    </row>
    <row r="2015" customFormat="false" ht="15" hidden="false" customHeight="false" outlineLevel="0" collapsed="false">
      <c r="A2015" s="102"/>
      <c r="E2015" s="103" t="str">
        <f aca="false">IF($C2015="","",IFERROR(INDEX(المنيو!$C$2:$C$500,MATCH($C2015,المنيو!$B$2:$B$500,0)),0))</f>
        <v/>
      </c>
      <c r="F2015" s="103" t="str">
        <f aca="false">IF($C2015="","",$D2015*$E2015)</f>
        <v/>
      </c>
      <c r="G2015" s="103" t="str">
        <f aca="false">IF($C2015="","",$D2015*IFERROR(INDEX('تحليل التكلفة والسعر'!$C$2:$C$700,MATCH($C2015,'تحليل التكلفة والسعر'!$B$2:$B$700,0)),0))</f>
        <v/>
      </c>
    </row>
    <row r="2016" customFormat="false" ht="15" hidden="false" customHeight="false" outlineLevel="0" collapsed="false">
      <c r="A2016" s="102"/>
      <c r="E2016" s="103" t="str">
        <f aca="false">IF($C2016="","",IFERROR(INDEX(المنيو!$C$2:$C$500,MATCH($C2016,المنيو!$B$2:$B$500,0)),0))</f>
        <v/>
      </c>
      <c r="F2016" s="103" t="str">
        <f aca="false">IF($C2016="","",$D2016*$E2016)</f>
        <v/>
      </c>
      <c r="G2016" s="103" t="str">
        <f aca="false">IF($C2016="","",$D2016*IFERROR(INDEX('تحليل التكلفة والسعر'!$C$2:$C$700,MATCH($C2016,'تحليل التكلفة والسعر'!$B$2:$B$700,0)),0))</f>
        <v/>
      </c>
    </row>
    <row r="2017" customFormat="false" ht="15" hidden="false" customHeight="false" outlineLevel="0" collapsed="false">
      <c r="A2017" s="102"/>
      <c r="E2017" s="103" t="str">
        <f aca="false">IF($C2017="","",IFERROR(INDEX(المنيو!$C$2:$C$500,MATCH($C2017,المنيو!$B$2:$B$500,0)),0))</f>
        <v/>
      </c>
      <c r="F2017" s="103" t="str">
        <f aca="false">IF($C2017="","",$D2017*$E2017)</f>
        <v/>
      </c>
      <c r="G2017" s="103" t="str">
        <f aca="false">IF($C2017="","",$D2017*IFERROR(INDEX('تحليل التكلفة والسعر'!$C$2:$C$700,MATCH($C2017,'تحليل التكلفة والسعر'!$B$2:$B$700,0)),0))</f>
        <v/>
      </c>
    </row>
    <row r="2018" customFormat="false" ht="15" hidden="false" customHeight="false" outlineLevel="0" collapsed="false">
      <c r="A2018" s="102"/>
      <c r="E2018" s="103" t="str">
        <f aca="false">IF($C2018="","",IFERROR(INDEX(المنيو!$C$2:$C$500,MATCH($C2018,المنيو!$B$2:$B$500,0)),0))</f>
        <v/>
      </c>
      <c r="F2018" s="103" t="str">
        <f aca="false">IF($C2018="","",$D2018*$E2018)</f>
        <v/>
      </c>
      <c r="G2018" s="103" t="str">
        <f aca="false">IF($C2018="","",$D2018*IFERROR(INDEX('تحليل التكلفة والسعر'!$C$2:$C$700,MATCH($C2018,'تحليل التكلفة والسعر'!$B$2:$B$700,0)),0))</f>
        <v/>
      </c>
    </row>
    <row r="2019" customFormat="false" ht="15" hidden="false" customHeight="false" outlineLevel="0" collapsed="false">
      <c r="A2019" s="102"/>
      <c r="E2019" s="103" t="str">
        <f aca="false">IF($C2019="","",IFERROR(INDEX(المنيو!$C$2:$C$500,MATCH($C2019,المنيو!$B$2:$B$500,0)),0))</f>
        <v/>
      </c>
      <c r="F2019" s="103" t="str">
        <f aca="false">IF($C2019="","",$D2019*$E2019)</f>
        <v/>
      </c>
      <c r="G2019" s="103" t="str">
        <f aca="false">IF($C2019="","",$D2019*IFERROR(INDEX('تحليل التكلفة والسعر'!$C$2:$C$700,MATCH($C2019,'تحليل التكلفة والسعر'!$B$2:$B$700,0)),0))</f>
        <v/>
      </c>
    </row>
    <row r="2020" customFormat="false" ht="15" hidden="false" customHeight="false" outlineLevel="0" collapsed="false">
      <c r="A2020" s="102"/>
      <c r="E2020" s="103" t="str">
        <f aca="false">IF($C2020="","",IFERROR(INDEX(المنيو!$C$2:$C$500,MATCH($C2020,المنيو!$B$2:$B$500,0)),0))</f>
        <v/>
      </c>
      <c r="F2020" s="103" t="str">
        <f aca="false">IF($C2020="","",$D2020*$E2020)</f>
        <v/>
      </c>
      <c r="G2020" s="103" t="str">
        <f aca="false">IF($C2020="","",$D2020*IFERROR(INDEX('تحليل التكلفة والسعر'!$C$2:$C$700,MATCH($C2020,'تحليل التكلفة والسعر'!$B$2:$B$700,0)),0))</f>
        <v/>
      </c>
    </row>
    <row r="2021" customFormat="false" ht="15" hidden="false" customHeight="false" outlineLevel="0" collapsed="false">
      <c r="A2021" s="102"/>
      <c r="E2021" s="103" t="str">
        <f aca="false">IF($C2021="","",IFERROR(INDEX(المنيو!$C$2:$C$500,MATCH($C2021,المنيو!$B$2:$B$500,0)),0))</f>
        <v/>
      </c>
      <c r="F2021" s="103" t="str">
        <f aca="false">IF($C2021="","",$D2021*$E2021)</f>
        <v/>
      </c>
      <c r="G2021" s="103" t="str">
        <f aca="false">IF($C2021="","",$D2021*IFERROR(INDEX('تحليل التكلفة والسعر'!$C$2:$C$700,MATCH($C2021,'تحليل التكلفة والسعر'!$B$2:$B$700,0)),0))</f>
        <v/>
      </c>
    </row>
    <row r="2022" customFormat="false" ht="15" hidden="false" customHeight="false" outlineLevel="0" collapsed="false">
      <c r="A2022" s="102"/>
      <c r="E2022" s="103" t="str">
        <f aca="false">IF($C2022="","",IFERROR(INDEX(المنيو!$C$2:$C$500,MATCH($C2022,المنيو!$B$2:$B$500,0)),0))</f>
        <v/>
      </c>
      <c r="F2022" s="103" t="str">
        <f aca="false">IF($C2022="","",$D2022*$E2022)</f>
        <v/>
      </c>
      <c r="G2022" s="103" t="str">
        <f aca="false">IF($C2022="","",$D2022*IFERROR(INDEX('تحليل التكلفة والسعر'!$C$2:$C$700,MATCH($C2022,'تحليل التكلفة والسعر'!$B$2:$B$700,0)),0))</f>
        <v/>
      </c>
    </row>
    <row r="2023" customFormat="false" ht="15" hidden="false" customHeight="false" outlineLevel="0" collapsed="false">
      <c r="A2023" s="102"/>
      <c r="E2023" s="103" t="str">
        <f aca="false">IF($C2023="","",IFERROR(INDEX(المنيو!$C$2:$C$500,MATCH($C2023,المنيو!$B$2:$B$500,0)),0))</f>
        <v/>
      </c>
      <c r="F2023" s="103" t="str">
        <f aca="false">IF($C2023="","",$D2023*$E2023)</f>
        <v/>
      </c>
      <c r="G2023" s="103" t="str">
        <f aca="false">IF($C2023="","",$D2023*IFERROR(INDEX('تحليل التكلفة والسعر'!$C$2:$C$700,MATCH($C2023,'تحليل التكلفة والسعر'!$B$2:$B$700,0)),0))</f>
        <v/>
      </c>
    </row>
    <row r="2024" customFormat="false" ht="15" hidden="false" customHeight="false" outlineLevel="0" collapsed="false">
      <c r="A2024" s="102"/>
      <c r="E2024" s="103" t="str">
        <f aca="false">IF($C2024="","",IFERROR(INDEX(المنيو!$C$2:$C$500,MATCH($C2024,المنيو!$B$2:$B$500,0)),0))</f>
        <v/>
      </c>
      <c r="F2024" s="103" t="str">
        <f aca="false">IF($C2024="","",$D2024*$E2024)</f>
        <v/>
      </c>
      <c r="G2024" s="103" t="str">
        <f aca="false">IF($C2024="","",$D2024*IFERROR(INDEX('تحليل التكلفة والسعر'!$C$2:$C$700,MATCH($C2024,'تحليل التكلفة والسعر'!$B$2:$B$700,0)),0))</f>
        <v/>
      </c>
    </row>
    <row r="2025" customFormat="false" ht="15" hidden="false" customHeight="false" outlineLevel="0" collapsed="false">
      <c r="A2025" s="102"/>
      <c r="E2025" s="103" t="str">
        <f aca="false">IF($C2025="","",IFERROR(INDEX(المنيو!$C$2:$C$500,MATCH($C2025,المنيو!$B$2:$B$500,0)),0))</f>
        <v/>
      </c>
      <c r="F2025" s="103" t="str">
        <f aca="false">IF($C2025="","",$D2025*$E2025)</f>
        <v/>
      </c>
      <c r="G2025" s="103" t="str">
        <f aca="false">IF($C2025="","",$D2025*IFERROR(INDEX('تحليل التكلفة والسعر'!$C$2:$C$700,MATCH($C2025,'تحليل التكلفة والسعر'!$B$2:$B$700,0)),0))</f>
        <v/>
      </c>
    </row>
    <row r="2026" customFormat="false" ht="15" hidden="false" customHeight="false" outlineLevel="0" collapsed="false">
      <c r="A2026" s="102"/>
      <c r="E2026" s="103" t="str">
        <f aca="false">IF($C2026="","",IFERROR(INDEX(المنيو!$C$2:$C$500,MATCH($C2026,المنيو!$B$2:$B$500,0)),0))</f>
        <v/>
      </c>
      <c r="F2026" s="103" t="str">
        <f aca="false">IF($C2026="","",$D2026*$E2026)</f>
        <v/>
      </c>
      <c r="G2026" s="103" t="str">
        <f aca="false">IF($C2026="","",$D2026*IFERROR(INDEX('تحليل التكلفة والسعر'!$C$2:$C$700,MATCH($C2026,'تحليل التكلفة والسعر'!$B$2:$B$700,0)),0))</f>
        <v/>
      </c>
    </row>
    <row r="2027" customFormat="false" ht="15" hidden="false" customHeight="false" outlineLevel="0" collapsed="false">
      <c r="A2027" s="102"/>
      <c r="E2027" s="103" t="str">
        <f aca="false">IF($C2027="","",IFERROR(INDEX(المنيو!$C$2:$C$500,MATCH($C2027,المنيو!$B$2:$B$500,0)),0))</f>
        <v/>
      </c>
      <c r="F2027" s="103" t="str">
        <f aca="false">IF($C2027="","",$D2027*$E2027)</f>
        <v/>
      </c>
      <c r="G2027" s="103" t="str">
        <f aca="false">IF($C2027="","",$D2027*IFERROR(INDEX('تحليل التكلفة والسعر'!$C$2:$C$700,MATCH($C2027,'تحليل التكلفة والسعر'!$B$2:$B$700,0)),0))</f>
        <v/>
      </c>
    </row>
    <row r="2028" customFormat="false" ht="15" hidden="false" customHeight="false" outlineLevel="0" collapsed="false">
      <c r="A2028" s="102"/>
      <c r="E2028" s="103" t="str">
        <f aca="false">IF($C2028="","",IFERROR(INDEX(المنيو!$C$2:$C$500,MATCH($C2028,المنيو!$B$2:$B$500,0)),0))</f>
        <v/>
      </c>
      <c r="F2028" s="103" t="str">
        <f aca="false">IF($C2028="","",$D2028*$E2028)</f>
        <v/>
      </c>
      <c r="G2028" s="103" t="str">
        <f aca="false">IF($C2028="","",$D2028*IFERROR(INDEX('تحليل التكلفة والسعر'!$C$2:$C$700,MATCH($C2028,'تحليل التكلفة والسعر'!$B$2:$B$700,0)),0))</f>
        <v/>
      </c>
    </row>
    <row r="2029" customFormat="false" ht="15" hidden="false" customHeight="false" outlineLevel="0" collapsed="false">
      <c r="A2029" s="102"/>
      <c r="E2029" s="103" t="str">
        <f aca="false">IF($C2029="","",IFERROR(INDEX(المنيو!$C$2:$C$500,MATCH($C2029,المنيو!$B$2:$B$500,0)),0))</f>
        <v/>
      </c>
      <c r="F2029" s="103" t="str">
        <f aca="false">IF($C2029="","",$D2029*$E2029)</f>
        <v/>
      </c>
      <c r="G2029" s="103" t="str">
        <f aca="false">IF($C2029="","",$D2029*IFERROR(INDEX('تحليل التكلفة والسعر'!$C$2:$C$700,MATCH($C2029,'تحليل التكلفة والسعر'!$B$2:$B$700,0)),0))</f>
        <v/>
      </c>
    </row>
    <row r="2030" customFormat="false" ht="15" hidden="false" customHeight="false" outlineLevel="0" collapsed="false">
      <c r="A2030" s="102"/>
      <c r="E2030" s="103" t="str">
        <f aca="false">IF($C2030="","",IFERROR(INDEX(المنيو!$C$2:$C$500,MATCH($C2030,المنيو!$B$2:$B$500,0)),0))</f>
        <v/>
      </c>
      <c r="F2030" s="103" t="str">
        <f aca="false">IF($C2030="","",$D2030*$E2030)</f>
        <v/>
      </c>
      <c r="G2030" s="103" t="str">
        <f aca="false">IF($C2030="","",$D2030*IFERROR(INDEX('تحليل التكلفة والسعر'!$C$2:$C$700,MATCH($C2030,'تحليل التكلفة والسعر'!$B$2:$B$700,0)),0))</f>
        <v/>
      </c>
    </row>
    <row r="2031" customFormat="false" ht="15" hidden="false" customHeight="false" outlineLevel="0" collapsed="false">
      <c r="A2031" s="102"/>
      <c r="E2031" s="103" t="str">
        <f aca="false">IF($C2031="","",IFERROR(INDEX(المنيو!$C$2:$C$500,MATCH($C2031,المنيو!$B$2:$B$500,0)),0))</f>
        <v/>
      </c>
      <c r="F2031" s="103" t="str">
        <f aca="false">IF($C2031="","",$D2031*$E2031)</f>
        <v/>
      </c>
      <c r="G2031" s="103" t="str">
        <f aca="false">IF($C2031="","",$D2031*IFERROR(INDEX('تحليل التكلفة والسعر'!$C$2:$C$700,MATCH($C2031,'تحليل التكلفة والسعر'!$B$2:$B$700,0)),0))</f>
        <v/>
      </c>
    </row>
    <row r="2032" customFormat="false" ht="15" hidden="false" customHeight="false" outlineLevel="0" collapsed="false">
      <c r="A2032" s="102"/>
      <c r="E2032" s="103" t="str">
        <f aca="false">IF($C2032="","",IFERROR(INDEX(المنيو!$C$2:$C$500,MATCH($C2032,المنيو!$B$2:$B$500,0)),0))</f>
        <v/>
      </c>
      <c r="F2032" s="103" t="str">
        <f aca="false">IF($C2032="","",$D2032*$E2032)</f>
        <v/>
      </c>
      <c r="G2032" s="103" t="str">
        <f aca="false">IF($C2032="","",$D2032*IFERROR(INDEX('تحليل التكلفة والسعر'!$C$2:$C$700,MATCH($C2032,'تحليل التكلفة والسعر'!$B$2:$B$700,0)),0))</f>
        <v/>
      </c>
    </row>
    <row r="2033" customFormat="false" ht="15" hidden="false" customHeight="false" outlineLevel="0" collapsed="false">
      <c r="A2033" s="102"/>
      <c r="E2033" s="103" t="str">
        <f aca="false">IF($C2033="","",IFERROR(INDEX(المنيو!$C$2:$C$500,MATCH($C2033,المنيو!$B$2:$B$500,0)),0))</f>
        <v/>
      </c>
      <c r="F2033" s="103" t="str">
        <f aca="false">IF($C2033="","",$D2033*$E2033)</f>
        <v/>
      </c>
      <c r="G2033" s="103" t="str">
        <f aca="false">IF($C2033="","",$D2033*IFERROR(INDEX('تحليل التكلفة والسعر'!$C$2:$C$700,MATCH($C2033,'تحليل التكلفة والسعر'!$B$2:$B$700,0)),0))</f>
        <v/>
      </c>
    </row>
    <row r="2034" customFormat="false" ht="15" hidden="false" customHeight="false" outlineLevel="0" collapsed="false">
      <c r="A2034" s="102"/>
      <c r="E2034" s="103" t="str">
        <f aca="false">IF($C2034="","",IFERROR(INDEX(المنيو!$C$2:$C$500,MATCH($C2034,المنيو!$B$2:$B$500,0)),0))</f>
        <v/>
      </c>
      <c r="F2034" s="103" t="str">
        <f aca="false">IF($C2034="","",$D2034*$E2034)</f>
        <v/>
      </c>
      <c r="G2034" s="103" t="str">
        <f aca="false">IF($C2034="","",$D2034*IFERROR(INDEX('تحليل التكلفة والسعر'!$C$2:$C$700,MATCH($C2034,'تحليل التكلفة والسعر'!$B$2:$B$700,0)),0))</f>
        <v/>
      </c>
    </row>
    <row r="2035" customFormat="false" ht="15" hidden="false" customHeight="false" outlineLevel="0" collapsed="false">
      <c r="A2035" s="102"/>
      <c r="E2035" s="103" t="str">
        <f aca="false">IF($C2035="","",IFERROR(INDEX(المنيو!$C$2:$C$500,MATCH($C2035,المنيو!$B$2:$B$500,0)),0))</f>
        <v/>
      </c>
      <c r="F2035" s="103" t="str">
        <f aca="false">IF($C2035="","",$D2035*$E2035)</f>
        <v/>
      </c>
      <c r="G2035" s="103" t="str">
        <f aca="false">IF($C2035="","",$D2035*IFERROR(INDEX('تحليل التكلفة والسعر'!$C$2:$C$700,MATCH($C2035,'تحليل التكلفة والسعر'!$B$2:$B$700,0)),0))</f>
        <v/>
      </c>
    </row>
    <row r="2036" customFormat="false" ht="15" hidden="false" customHeight="false" outlineLevel="0" collapsed="false">
      <c r="A2036" s="102"/>
      <c r="E2036" s="103" t="str">
        <f aca="false">IF($C2036="","",IFERROR(INDEX(المنيو!$C$2:$C$500,MATCH($C2036,المنيو!$B$2:$B$500,0)),0))</f>
        <v/>
      </c>
      <c r="F2036" s="103" t="str">
        <f aca="false">IF($C2036="","",$D2036*$E2036)</f>
        <v/>
      </c>
      <c r="G2036" s="103" t="str">
        <f aca="false">IF($C2036="","",$D2036*IFERROR(INDEX('تحليل التكلفة والسعر'!$C$2:$C$700,MATCH($C2036,'تحليل التكلفة والسعر'!$B$2:$B$700,0)),0))</f>
        <v/>
      </c>
    </row>
    <row r="2037" customFormat="false" ht="15" hidden="false" customHeight="false" outlineLevel="0" collapsed="false">
      <c r="A2037" s="102"/>
      <c r="E2037" s="103" t="str">
        <f aca="false">IF($C2037="","",IFERROR(INDEX(المنيو!$C$2:$C$500,MATCH($C2037,المنيو!$B$2:$B$500,0)),0))</f>
        <v/>
      </c>
      <c r="F2037" s="103" t="str">
        <f aca="false">IF($C2037="","",$D2037*$E2037)</f>
        <v/>
      </c>
      <c r="G2037" s="103" t="str">
        <f aca="false">IF($C2037="","",$D2037*IFERROR(INDEX('تحليل التكلفة والسعر'!$C$2:$C$700,MATCH($C2037,'تحليل التكلفة والسعر'!$B$2:$B$700,0)),0))</f>
        <v/>
      </c>
    </row>
    <row r="2038" customFormat="false" ht="15" hidden="false" customHeight="false" outlineLevel="0" collapsed="false">
      <c r="A2038" s="102"/>
      <c r="E2038" s="103" t="str">
        <f aca="false">IF($C2038="","",IFERROR(INDEX(المنيو!$C$2:$C$500,MATCH($C2038,المنيو!$B$2:$B$500,0)),0))</f>
        <v/>
      </c>
      <c r="F2038" s="103" t="str">
        <f aca="false">IF($C2038="","",$D2038*$E2038)</f>
        <v/>
      </c>
      <c r="G2038" s="103" t="str">
        <f aca="false">IF($C2038="","",$D2038*IFERROR(INDEX('تحليل التكلفة والسعر'!$C$2:$C$700,MATCH($C2038,'تحليل التكلفة والسعر'!$B$2:$B$700,0)),0))</f>
        <v/>
      </c>
    </row>
    <row r="2039" customFormat="false" ht="15" hidden="false" customHeight="false" outlineLevel="0" collapsed="false">
      <c r="A2039" s="102"/>
      <c r="E2039" s="103" t="str">
        <f aca="false">IF($C2039="","",IFERROR(INDEX(المنيو!$C$2:$C$500,MATCH($C2039,المنيو!$B$2:$B$500,0)),0))</f>
        <v/>
      </c>
      <c r="F2039" s="103" t="str">
        <f aca="false">IF($C2039="","",$D2039*$E2039)</f>
        <v/>
      </c>
      <c r="G2039" s="103" t="str">
        <f aca="false">IF($C2039="","",$D2039*IFERROR(INDEX('تحليل التكلفة والسعر'!$C$2:$C$700,MATCH($C2039,'تحليل التكلفة والسعر'!$B$2:$B$700,0)),0))</f>
        <v/>
      </c>
    </row>
    <row r="2040" customFormat="false" ht="15" hidden="false" customHeight="false" outlineLevel="0" collapsed="false">
      <c r="A2040" s="102"/>
      <c r="E2040" s="103" t="str">
        <f aca="false">IF($C2040="","",IFERROR(INDEX(المنيو!$C$2:$C$500,MATCH($C2040,المنيو!$B$2:$B$500,0)),0))</f>
        <v/>
      </c>
      <c r="F2040" s="103" t="str">
        <f aca="false">IF($C2040="","",$D2040*$E2040)</f>
        <v/>
      </c>
      <c r="G2040" s="103" t="str">
        <f aca="false">IF($C2040="","",$D2040*IFERROR(INDEX('تحليل التكلفة والسعر'!$C$2:$C$700,MATCH($C2040,'تحليل التكلفة والسعر'!$B$2:$B$700,0)),0))</f>
        <v/>
      </c>
    </row>
    <row r="2041" customFormat="false" ht="15" hidden="false" customHeight="false" outlineLevel="0" collapsed="false">
      <c r="A2041" s="102"/>
      <c r="E2041" s="103" t="str">
        <f aca="false">IF($C2041="","",IFERROR(INDEX(المنيو!$C$2:$C$500,MATCH($C2041,المنيو!$B$2:$B$500,0)),0))</f>
        <v/>
      </c>
      <c r="F2041" s="103" t="str">
        <f aca="false">IF($C2041="","",$D2041*$E2041)</f>
        <v/>
      </c>
      <c r="G2041" s="103" t="str">
        <f aca="false">IF($C2041="","",$D2041*IFERROR(INDEX('تحليل التكلفة والسعر'!$C$2:$C$700,MATCH($C2041,'تحليل التكلفة والسعر'!$B$2:$B$700,0)),0))</f>
        <v/>
      </c>
    </row>
    <row r="2042" customFormat="false" ht="15" hidden="false" customHeight="false" outlineLevel="0" collapsed="false">
      <c r="A2042" s="102"/>
      <c r="E2042" s="103" t="str">
        <f aca="false">IF($C2042="","",IFERROR(INDEX(المنيو!$C$2:$C$500,MATCH($C2042,المنيو!$B$2:$B$500,0)),0))</f>
        <v/>
      </c>
      <c r="F2042" s="103" t="str">
        <f aca="false">IF($C2042="","",$D2042*$E2042)</f>
        <v/>
      </c>
      <c r="G2042" s="103" t="str">
        <f aca="false">IF($C2042="","",$D2042*IFERROR(INDEX('تحليل التكلفة والسعر'!$C$2:$C$700,MATCH($C2042,'تحليل التكلفة والسعر'!$B$2:$B$700,0)),0))</f>
        <v/>
      </c>
    </row>
    <row r="2043" customFormat="false" ht="15" hidden="false" customHeight="false" outlineLevel="0" collapsed="false">
      <c r="A2043" s="102"/>
      <c r="E2043" s="103" t="str">
        <f aca="false">IF($C2043="","",IFERROR(INDEX(المنيو!$C$2:$C$500,MATCH($C2043,المنيو!$B$2:$B$500,0)),0))</f>
        <v/>
      </c>
      <c r="F2043" s="103" t="str">
        <f aca="false">IF($C2043="","",$D2043*$E2043)</f>
        <v/>
      </c>
      <c r="G2043" s="103" t="str">
        <f aca="false">IF($C2043="","",$D2043*IFERROR(INDEX('تحليل التكلفة والسعر'!$C$2:$C$700,MATCH($C2043,'تحليل التكلفة والسعر'!$B$2:$B$700,0)),0))</f>
        <v/>
      </c>
    </row>
    <row r="2044" customFormat="false" ht="15" hidden="false" customHeight="false" outlineLevel="0" collapsed="false">
      <c r="A2044" s="102"/>
      <c r="E2044" s="103" t="str">
        <f aca="false">IF($C2044="","",IFERROR(INDEX(المنيو!$C$2:$C$500,MATCH($C2044,المنيو!$B$2:$B$500,0)),0))</f>
        <v/>
      </c>
      <c r="F2044" s="103" t="str">
        <f aca="false">IF($C2044="","",$D2044*$E2044)</f>
        <v/>
      </c>
      <c r="G2044" s="103" t="str">
        <f aca="false">IF($C2044="","",$D2044*IFERROR(INDEX('تحليل التكلفة والسعر'!$C$2:$C$700,MATCH($C2044,'تحليل التكلفة والسعر'!$B$2:$B$700,0)),0))</f>
        <v/>
      </c>
    </row>
    <row r="2045" customFormat="false" ht="15" hidden="false" customHeight="false" outlineLevel="0" collapsed="false">
      <c r="A2045" s="102"/>
      <c r="E2045" s="103" t="str">
        <f aca="false">IF($C2045="","",IFERROR(INDEX(المنيو!$C$2:$C$500,MATCH($C2045,المنيو!$B$2:$B$500,0)),0))</f>
        <v/>
      </c>
      <c r="F2045" s="103" t="str">
        <f aca="false">IF($C2045="","",$D2045*$E2045)</f>
        <v/>
      </c>
      <c r="G2045" s="103" t="str">
        <f aca="false">IF($C2045="","",$D2045*IFERROR(INDEX('تحليل التكلفة والسعر'!$C$2:$C$700,MATCH($C2045,'تحليل التكلفة والسعر'!$B$2:$B$700,0)),0))</f>
        <v/>
      </c>
    </row>
    <row r="2046" customFormat="false" ht="15" hidden="false" customHeight="false" outlineLevel="0" collapsed="false">
      <c r="A2046" s="102"/>
      <c r="E2046" s="103" t="str">
        <f aca="false">IF($C2046="","",IFERROR(INDEX(المنيو!$C$2:$C$500,MATCH($C2046,المنيو!$B$2:$B$500,0)),0))</f>
        <v/>
      </c>
      <c r="F2046" s="103" t="str">
        <f aca="false">IF($C2046="","",$D2046*$E2046)</f>
        <v/>
      </c>
      <c r="G2046" s="103" t="str">
        <f aca="false">IF($C2046="","",$D2046*IFERROR(INDEX('تحليل التكلفة والسعر'!$C$2:$C$700,MATCH($C2046,'تحليل التكلفة والسعر'!$B$2:$B$700,0)),0))</f>
        <v/>
      </c>
    </row>
    <row r="2047" customFormat="false" ht="15" hidden="false" customHeight="false" outlineLevel="0" collapsed="false">
      <c r="A2047" s="102"/>
      <c r="E2047" s="103" t="str">
        <f aca="false">IF($C2047="","",IFERROR(INDEX(المنيو!$C$2:$C$500,MATCH($C2047,المنيو!$B$2:$B$500,0)),0))</f>
        <v/>
      </c>
      <c r="F2047" s="103" t="str">
        <f aca="false">IF($C2047="","",$D2047*$E2047)</f>
        <v/>
      </c>
      <c r="G2047" s="103" t="str">
        <f aca="false">IF($C2047="","",$D2047*IFERROR(INDEX('تحليل التكلفة والسعر'!$C$2:$C$700,MATCH($C2047,'تحليل التكلفة والسعر'!$B$2:$B$700,0)),0))</f>
        <v/>
      </c>
    </row>
    <row r="2048" customFormat="false" ht="15" hidden="false" customHeight="false" outlineLevel="0" collapsed="false">
      <c r="A2048" s="102"/>
      <c r="E2048" s="103" t="str">
        <f aca="false">IF($C2048="","",IFERROR(INDEX(المنيو!$C$2:$C$500,MATCH($C2048,المنيو!$B$2:$B$500,0)),0))</f>
        <v/>
      </c>
      <c r="F2048" s="103" t="str">
        <f aca="false">IF($C2048="","",$D2048*$E2048)</f>
        <v/>
      </c>
      <c r="G2048" s="103" t="str">
        <f aca="false">IF($C2048="","",$D2048*IFERROR(INDEX('تحليل التكلفة والسعر'!$C$2:$C$700,MATCH($C2048,'تحليل التكلفة والسعر'!$B$2:$B$700,0)),0))</f>
        <v/>
      </c>
    </row>
    <row r="2049" customFormat="false" ht="15" hidden="false" customHeight="false" outlineLevel="0" collapsed="false">
      <c r="A2049" s="102"/>
      <c r="E2049" s="103" t="str">
        <f aca="false">IF($C2049="","",IFERROR(INDEX(المنيو!$C$2:$C$500,MATCH($C2049,المنيو!$B$2:$B$500,0)),0))</f>
        <v/>
      </c>
      <c r="F2049" s="103" t="str">
        <f aca="false">IF($C2049="","",$D2049*$E2049)</f>
        <v/>
      </c>
      <c r="G2049" s="103" t="str">
        <f aca="false">IF($C2049="","",$D2049*IFERROR(INDEX('تحليل التكلفة والسعر'!$C$2:$C$700,MATCH($C2049,'تحليل التكلفة والسعر'!$B$2:$B$700,0)),0))</f>
        <v/>
      </c>
    </row>
    <row r="2050" customFormat="false" ht="15" hidden="false" customHeight="false" outlineLevel="0" collapsed="false">
      <c r="A2050" s="102"/>
      <c r="E2050" s="103" t="str">
        <f aca="false">IF($C2050="","",IFERROR(INDEX(المنيو!$C$2:$C$500,MATCH($C2050,المنيو!$B$2:$B$500,0)),0))</f>
        <v/>
      </c>
      <c r="F2050" s="103" t="str">
        <f aca="false">IF($C2050="","",$D2050*$E2050)</f>
        <v/>
      </c>
      <c r="G2050" s="103" t="str">
        <f aca="false">IF($C2050="","",$D2050*IFERROR(INDEX('تحليل التكلفة والسعر'!$C$2:$C$700,MATCH($C2050,'تحليل التكلفة والسعر'!$B$2:$B$700,0)),0))</f>
        <v/>
      </c>
    </row>
    <row r="2051" customFormat="false" ht="15" hidden="false" customHeight="false" outlineLevel="0" collapsed="false">
      <c r="A2051" s="102"/>
      <c r="E2051" s="103" t="str">
        <f aca="false">IF($C2051="","",IFERROR(INDEX(المنيو!$C$2:$C$500,MATCH($C2051,المنيو!$B$2:$B$500,0)),0))</f>
        <v/>
      </c>
      <c r="F2051" s="103" t="str">
        <f aca="false">IF($C2051="","",$D2051*$E2051)</f>
        <v/>
      </c>
      <c r="G2051" s="103" t="str">
        <f aca="false">IF($C2051="","",$D2051*IFERROR(INDEX('تحليل التكلفة والسعر'!$C$2:$C$700,MATCH($C2051,'تحليل التكلفة والسعر'!$B$2:$B$700,0)),0))</f>
        <v/>
      </c>
    </row>
    <row r="2052" customFormat="false" ht="15" hidden="false" customHeight="false" outlineLevel="0" collapsed="false">
      <c r="A2052" s="102"/>
      <c r="E2052" s="103" t="str">
        <f aca="false">IF($C2052="","",IFERROR(INDEX(المنيو!$C$2:$C$500,MATCH($C2052,المنيو!$B$2:$B$500,0)),0))</f>
        <v/>
      </c>
      <c r="F2052" s="103" t="str">
        <f aca="false">IF($C2052="","",$D2052*$E2052)</f>
        <v/>
      </c>
      <c r="G2052" s="103" t="str">
        <f aca="false">IF($C2052="","",$D2052*IFERROR(INDEX('تحليل التكلفة والسعر'!$C$2:$C$700,MATCH($C2052,'تحليل التكلفة والسعر'!$B$2:$B$700,0)),0))</f>
        <v/>
      </c>
    </row>
    <row r="2053" customFormat="false" ht="15" hidden="false" customHeight="false" outlineLevel="0" collapsed="false">
      <c r="A2053" s="102"/>
      <c r="E2053" s="103" t="str">
        <f aca="false">IF($C2053="","",IFERROR(INDEX(المنيو!$C$2:$C$500,MATCH($C2053,المنيو!$B$2:$B$500,0)),0))</f>
        <v/>
      </c>
      <c r="F2053" s="103" t="str">
        <f aca="false">IF($C2053="","",$D2053*$E2053)</f>
        <v/>
      </c>
      <c r="G2053" s="103" t="str">
        <f aca="false">IF($C2053="","",$D2053*IFERROR(INDEX('تحليل التكلفة والسعر'!$C$2:$C$700,MATCH($C2053,'تحليل التكلفة والسعر'!$B$2:$B$700,0)),0))</f>
        <v/>
      </c>
    </row>
    <row r="2054" customFormat="false" ht="15" hidden="false" customHeight="false" outlineLevel="0" collapsed="false">
      <c r="A2054" s="102"/>
      <c r="E2054" s="103" t="str">
        <f aca="false">IF($C2054="","",IFERROR(INDEX(المنيو!$C$2:$C$500,MATCH($C2054,المنيو!$B$2:$B$500,0)),0))</f>
        <v/>
      </c>
      <c r="F2054" s="103" t="str">
        <f aca="false">IF($C2054="","",$D2054*$E2054)</f>
        <v/>
      </c>
      <c r="G2054" s="103" t="str">
        <f aca="false">IF($C2054="","",$D2054*IFERROR(INDEX('تحليل التكلفة والسعر'!$C$2:$C$700,MATCH($C2054,'تحليل التكلفة والسعر'!$B$2:$B$700,0)),0))</f>
        <v/>
      </c>
    </row>
    <row r="2055" customFormat="false" ht="15" hidden="false" customHeight="false" outlineLevel="0" collapsed="false">
      <c r="A2055" s="102"/>
      <c r="E2055" s="103" t="str">
        <f aca="false">IF($C2055="","",IFERROR(INDEX(المنيو!$C$2:$C$500,MATCH($C2055,المنيو!$B$2:$B$500,0)),0))</f>
        <v/>
      </c>
      <c r="F2055" s="103" t="str">
        <f aca="false">IF($C2055="","",$D2055*$E2055)</f>
        <v/>
      </c>
      <c r="G2055" s="103" t="str">
        <f aca="false">IF($C2055="","",$D2055*IFERROR(INDEX('تحليل التكلفة والسعر'!$C$2:$C$700,MATCH($C2055,'تحليل التكلفة والسعر'!$B$2:$B$700,0)),0))</f>
        <v/>
      </c>
    </row>
    <row r="2056" customFormat="false" ht="15" hidden="false" customHeight="false" outlineLevel="0" collapsed="false">
      <c r="A2056" s="102"/>
      <c r="E2056" s="103" t="str">
        <f aca="false">IF($C2056="","",IFERROR(INDEX(المنيو!$C$2:$C$500,MATCH($C2056,المنيو!$B$2:$B$500,0)),0))</f>
        <v/>
      </c>
      <c r="F2056" s="103" t="str">
        <f aca="false">IF($C2056="","",$D2056*$E2056)</f>
        <v/>
      </c>
      <c r="G2056" s="103" t="str">
        <f aca="false">IF($C2056="","",$D2056*IFERROR(INDEX('تحليل التكلفة والسعر'!$C$2:$C$700,MATCH($C2056,'تحليل التكلفة والسعر'!$B$2:$B$700,0)),0))</f>
        <v/>
      </c>
    </row>
    <row r="2057" customFormat="false" ht="15" hidden="false" customHeight="false" outlineLevel="0" collapsed="false">
      <c r="A2057" s="102"/>
      <c r="E2057" s="103" t="str">
        <f aca="false">IF($C2057="","",IFERROR(INDEX(المنيو!$C$2:$C$500,MATCH($C2057,المنيو!$B$2:$B$500,0)),0))</f>
        <v/>
      </c>
      <c r="F2057" s="103" t="str">
        <f aca="false">IF($C2057="","",$D2057*$E2057)</f>
        <v/>
      </c>
      <c r="G2057" s="103" t="str">
        <f aca="false">IF($C2057="","",$D2057*IFERROR(INDEX('تحليل التكلفة والسعر'!$C$2:$C$700,MATCH($C2057,'تحليل التكلفة والسعر'!$B$2:$B$700,0)),0))</f>
        <v/>
      </c>
    </row>
    <row r="2058" customFormat="false" ht="15" hidden="false" customHeight="false" outlineLevel="0" collapsed="false">
      <c r="A2058" s="102"/>
      <c r="E2058" s="103" t="str">
        <f aca="false">IF($C2058="","",IFERROR(INDEX(المنيو!$C$2:$C$500,MATCH($C2058,المنيو!$B$2:$B$500,0)),0))</f>
        <v/>
      </c>
      <c r="F2058" s="103" t="str">
        <f aca="false">IF($C2058="","",$D2058*$E2058)</f>
        <v/>
      </c>
      <c r="G2058" s="103" t="str">
        <f aca="false">IF($C2058="","",$D2058*IFERROR(INDEX('تحليل التكلفة والسعر'!$C$2:$C$700,MATCH($C2058,'تحليل التكلفة والسعر'!$B$2:$B$700,0)),0))</f>
        <v/>
      </c>
    </row>
    <row r="2059" customFormat="false" ht="15" hidden="false" customHeight="false" outlineLevel="0" collapsed="false">
      <c r="A2059" s="102"/>
      <c r="E2059" s="103" t="str">
        <f aca="false">IF($C2059="","",IFERROR(INDEX(المنيو!$C$2:$C$500,MATCH($C2059,المنيو!$B$2:$B$500,0)),0))</f>
        <v/>
      </c>
      <c r="F2059" s="103" t="str">
        <f aca="false">IF($C2059="","",$D2059*$E2059)</f>
        <v/>
      </c>
      <c r="G2059" s="103" t="str">
        <f aca="false">IF($C2059="","",$D2059*IFERROR(INDEX('تحليل التكلفة والسعر'!$C$2:$C$700,MATCH($C2059,'تحليل التكلفة والسعر'!$B$2:$B$700,0)),0))</f>
        <v/>
      </c>
    </row>
    <row r="2060" customFormat="false" ht="15" hidden="false" customHeight="false" outlineLevel="0" collapsed="false">
      <c r="A2060" s="102"/>
      <c r="E2060" s="103" t="str">
        <f aca="false">IF($C2060="","",IFERROR(INDEX(المنيو!$C$2:$C$500,MATCH($C2060,المنيو!$B$2:$B$500,0)),0))</f>
        <v/>
      </c>
      <c r="F2060" s="103" t="str">
        <f aca="false">IF($C2060="","",$D2060*$E2060)</f>
        <v/>
      </c>
      <c r="G2060" s="103" t="str">
        <f aca="false">IF($C2060="","",$D2060*IFERROR(INDEX('تحليل التكلفة والسعر'!$C$2:$C$700,MATCH($C2060,'تحليل التكلفة والسعر'!$B$2:$B$700,0)),0))</f>
        <v/>
      </c>
    </row>
    <row r="2061" customFormat="false" ht="15" hidden="false" customHeight="false" outlineLevel="0" collapsed="false">
      <c r="A2061" s="102"/>
      <c r="E2061" s="103" t="str">
        <f aca="false">IF($C2061="","",IFERROR(INDEX(المنيو!$C$2:$C$500,MATCH($C2061,المنيو!$B$2:$B$500,0)),0))</f>
        <v/>
      </c>
      <c r="F2061" s="103" t="str">
        <f aca="false">IF($C2061="","",$D2061*$E2061)</f>
        <v/>
      </c>
      <c r="G2061" s="103" t="str">
        <f aca="false">IF($C2061="","",$D2061*IFERROR(INDEX('تحليل التكلفة والسعر'!$C$2:$C$700,MATCH($C2061,'تحليل التكلفة والسعر'!$B$2:$B$700,0)),0))</f>
        <v/>
      </c>
    </row>
    <row r="2062" customFormat="false" ht="15" hidden="false" customHeight="false" outlineLevel="0" collapsed="false">
      <c r="A2062" s="102"/>
      <c r="E2062" s="103" t="str">
        <f aca="false">IF($C2062="","",IFERROR(INDEX(المنيو!$C$2:$C$500,MATCH($C2062,المنيو!$B$2:$B$500,0)),0))</f>
        <v/>
      </c>
      <c r="F2062" s="103" t="str">
        <f aca="false">IF($C2062="","",$D2062*$E2062)</f>
        <v/>
      </c>
      <c r="G2062" s="103" t="str">
        <f aca="false">IF($C2062="","",$D2062*IFERROR(INDEX('تحليل التكلفة والسعر'!$C$2:$C$700,MATCH($C2062,'تحليل التكلفة والسعر'!$B$2:$B$700,0)),0))</f>
        <v/>
      </c>
    </row>
    <row r="2063" customFormat="false" ht="15" hidden="false" customHeight="false" outlineLevel="0" collapsed="false">
      <c r="A2063" s="102"/>
      <c r="E2063" s="103" t="str">
        <f aca="false">IF($C2063="","",IFERROR(INDEX(المنيو!$C$2:$C$500,MATCH($C2063,المنيو!$B$2:$B$500,0)),0))</f>
        <v/>
      </c>
      <c r="F2063" s="103" t="str">
        <f aca="false">IF($C2063="","",$D2063*$E2063)</f>
        <v/>
      </c>
      <c r="G2063" s="103" t="str">
        <f aca="false">IF($C2063="","",$D2063*IFERROR(INDEX('تحليل التكلفة والسعر'!$C$2:$C$700,MATCH($C2063,'تحليل التكلفة والسعر'!$B$2:$B$700,0)),0))</f>
        <v/>
      </c>
    </row>
    <row r="2064" customFormat="false" ht="15" hidden="false" customHeight="false" outlineLevel="0" collapsed="false">
      <c r="A2064" s="102"/>
      <c r="E2064" s="103" t="str">
        <f aca="false">IF($C2064="","",IFERROR(INDEX(المنيو!$C$2:$C$500,MATCH($C2064,المنيو!$B$2:$B$500,0)),0))</f>
        <v/>
      </c>
      <c r="F2064" s="103" t="str">
        <f aca="false">IF($C2064="","",$D2064*$E2064)</f>
        <v/>
      </c>
      <c r="G2064" s="103" t="str">
        <f aca="false">IF($C2064="","",$D2064*IFERROR(INDEX('تحليل التكلفة والسعر'!$C$2:$C$700,MATCH($C2064,'تحليل التكلفة والسعر'!$B$2:$B$700,0)),0))</f>
        <v/>
      </c>
    </row>
    <row r="2065" customFormat="false" ht="15" hidden="false" customHeight="false" outlineLevel="0" collapsed="false">
      <c r="A2065" s="102"/>
      <c r="E2065" s="103" t="str">
        <f aca="false">IF($C2065="","",IFERROR(INDEX(المنيو!$C$2:$C$500,MATCH($C2065,المنيو!$B$2:$B$500,0)),0))</f>
        <v/>
      </c>
      <c r="F2065" s="103" t="str">
        <f aca="false">IF($C2065="","",$D2065*$E2065)</f>
        <v/>
      </c>
      <c r="G2065" s="103" t="str">
        <f aca="false">IF($C2065="","",$D2065*IFERROR(INDEX('تحليل التكلفة والسعر'!$C$2:$C$700,MATCH($C2065,'تحليل التكلفة والسعر'!$B$2:$B$700,0)),0))</f>
        <v/>
      </c>
    </row>
    <row r="2066" customFormat="false" ht="15" hidden="false" customHeight="false" outlineLevel="0" collapsed="false">
      <c r="A2066" s="102"/>
      <c r="E2066" s="103" t="str">
        <f aca="false">IF($C2066="","",IFERROR(INDEX(المنيو!$C$2:$C$500,MATCH($C2066,المنيو!$B$2:$B$500,0)),0))</f>
        <v/>
      </c>
      <c r="F2066" s="103" t="str">
        <f aca="false">IF($C2066="","",$D2066*$E2066)</f>
        <v/>
      </c>
      <c r="G2066" s="103" t="str">
        <f aca="false">IF($C2066="","",$D2066*IFERROR(INDEX('تحليل التكلفة والسعر'!$C$2:$C$700,MATCH($C2066,'تحليل التكلفة والسعر'!$B$2:$B$700,0)),0))</f>
        <v/>
      </c>
    </row>
    <row r="2067" customFormat="false" ht="15" hidden="false" customHeight="false" outlineLevel="0" collapsed="false">
      <c r="A2067" s="102"/>
      <c r="E2067" s="103" t="str">
        <f aca="false">IF($C2067="","",IFERROR(INDEX(المنيو!$C$2:$C$500,MATCH($C2067,المنيو!$B$2:$B$500,0)),0))</f>
        <v/>
      </c>
      <c r="F2067" s="103" t="str">
        <f aca="false">IF($C2067="","",$D2067*$E2067)</f>
        <v/>
      </c>
      <c r="G2067" s="103" t="str">
        <f aca="false">IF($C2067="","",$D2067*IFERROR(INDEX('تحليل التكلفة والسعر'!$C$2:$C$700,MATCH($C2067,'تحليل التكلفة والسعر'!$B$2:$B$700,0)),0))</f>
        <v/>
      </c>
    </row>
    <row r="2068" customFormat="false" ht="15" hidden="false" customHeight="false" outlineLevel="0" collapsed="false">
      <c r="A2068" s="102"/>
      <c r="E2068" s="103" t="str">
        <f aca="false">IF($C2068="","",IFERROR(INDEX(المنيو!$C$2:$C$500,MATCH($C2068,المنيو!$B$2:$B$500,0)),0))</f>
        <v/>
      </c>
      <c r="F2068" s="103" t="str">
        <f aca="false">IF($C2068="","",$D2068*$E2068)</f>
        <v/>
      </c>
      <c r="G2068" s="103" t="str">
        <f aca="false">IF($C2068="","",$D2068*IFERROR(INDEX('تحليل التكلفة والسعر'!$C$2:$C$700,MATCH($C2068,'تحليل التكلفة والسعر'!$B$2:$B$700,0)),0))</f>
        <v/>
      </c>
    </row>
    <row r="2069" customFormat="false" ht="15" hidden="false" customHeight="false" outlineLevel="0" collapsed="false">
      <c r="A2069" s="102"/>
      <c r="E2069" s="103" t="str">
        <f aca="false">IF($C2069="","",IFERROR(INDEX(المنيو!$C$2:$C$500,MATCH($C2069,المنيو!$B$2:$B$500,0)),0))</f>
        <v/>
      </c>
      <c r="F2069" s="103" t="str">
        <f aca="false">IF($C2069="","",$D2069*$E2069)</f>
        <v/>
      </c>
      <c r="G2069" s="103" t="str">
        <f aca="false">IF($C2069="","",$D2069*IFERROR(INDEX('تحليل التكلفة والسعر'!$C$2:$C$700,MATCH($C2069,'تحليل التكلفة والسعر'!$B$2:$B$700,0)),0))</f>
        <v/>
      </c>
    </row>
    <row r="2070" customFormat="false" ht="15" hidden="false" customHeight="false" outlineLevel="0" collapsed="false">
      <c r="A2070" s="102"/>
      <c r="E2070" s="103" t="str">
        <f aca="false">IF($C2070="","",IFERROR(INDEX(المنيو!$C$2:$C$500,MATCH($C2070,المنيو!$B$2:$B$500,0)),0))</f>
        <v/>
      </c>
      <c r="F2070" s="103" t="str">
        <f aca="false">IF($C2070="","",$D2070*$E2070)</f>
        <v/>
      </c>
      <c r="G2070" s="103" t="str">
        <f aca="false">IF($C2070="","",$D2070*IFERROR(INDEX('تحليل التكلفة والسعر'!$C$2:$C$700,MATCH($C2070,'تحليل التكلفة والسعر'!$B$2:$B$700,0)),0))</f>
        <v/>
      </c>
    </row>
    <row r="2071" customFormat="false" ht="15" hidden="false" customHeight="false" outlineLevel="0" collapsed="false">
      <c r="A2071" s="102"/>
      <c r="E2071" s="103" t="str">
        <f aca="false">IF($C2071="","",IFERROR(INDEX(المنيو!$C$2:$C$500,MATCH($C2071,المنيو!$B$2:$B$500,0)),0))</f>
        <v/>
      </c>
      <c r="F2071" s="103" t="str">
        <f aca="false">IF($C2071="","",$D2071*$E2071)</f>
        <v/>
      </c>
      <c r="G2071" s="103" t="str">
        <f aca="false">IF($C2071="","",$D2071*IFERROR(INDEX('تحليل التكلفة والسعر'!$C$2:$C$700,MATCH($C2071,'تحليل التكلفة والسعر'!$B$2:$B$700,0)),0))</f>
        <v/>
      </c>
    </row>
    <row r="2072" customFormat="false" ht="15" hidden="false" customHeight="false" outlineLevel="0" collapsed="false">
      <c r="A2072" s="102"/>
      <c r="E2072" s="103" t="str">
        <f aca="false">IF($C2072="","",IFERROR(INDEX(المنيو!$C$2:$C$500,MATCH($C2072,المنيو!$B$2:$B$500,0)),0))</f>
        <v/>
      </c>
      <c r="F2072" s="103" t="str">
        <f aca="false">IF($C2072="","",$D2072*$E2072)</f>
        <v/>
      </c>
      <c r="G2072" s="103" t="str">
        <f aca="false">IF($C2072="","",$D2072*IFERROR(INDEX('تحليل التكلفة والسعر'!$C$2:$C$700,MATCH($C2072,'تحليل التكلفة والسعر'!$B$2:$B$700,0)),0))</f>
        <v/>
      </c>
    </row>
    <row r="2073" customFormat="false" ht="15" hidden="false" customHeight="false" outlineLevel="0" collapsed="false">
      <c r="A2073" s="102"/>
      <c r="E2073" s="103" t="str">
        <f aca="false">IF($C2073="","",IFERROR(INDEX(المنيو!$C$2:$C$500,MATCH($C2073,المنيو!$B$2:$B$500,0)),0))</f>
        <v/>
      </c>
      <c r="F2073" s="103" t="str">
        <f aca="false">IF($C2073="","",$D2073*$E2073)</f>
        <v/>
      </c>
      <c r="G2073" s="103" t="str">
        <f aca="false">IF($C2073="","",$D2073*IFERROR(INDEX('تحليل التكلفة والسعر'!$C$2:$C$700,MATCH($C2073,'تحليل التكلفة والسعر'!$B$2:$B$700,0)),0))</f>
        <v/>
      </c>
    </row>
    <row r="2074" customFormat="false" ht="15" hidden="false" customHeight="false" outlineLevel="0" collapsed="false">
      <c r="A2074" s="102"/>
      <c r="E2074" s="103" t="str">
        <f aca="false">IF($C2074="","",IFERROR(INDEX(المنيو!$C$2:$C$500,MATCH($C2074,المنيو!$B$2:$B$500,0)),0))</f>
        <v/>
      </c>
      <c r="F2074" s="103" t="str">
        <f aca="false">IF($C2074="","",$D2074*$E2074)</f>
        <v/>
      </c>
      <c r="G2074" s="103" t="str">
        <f aca="false">IF($C2074="","",$D2074*IFERROR(INDEX('تحليل التكلفة والسعر'!$C$2:$C$700,MATCH($C2074,'تحليل التكلفة والسعر'!$B$2:$B$700,0)),0))</f>
        <v/>
      </c>
    </row>
    <row r="2075" customFormat="false" ht="15" hidden="false" customHeight="false" outlineLevel="0" collapsed="false">
      <c r="A2075" s="102"/>
      <c r="E2075" s="103" t="str">
        <f aca="false">IF($C2075="","",IFERROR(INDEX(المنيو!$C$2:$C$500,MATCH($C2075,المنيو!$B$2:$B$500,0)),0))</f>
        <v/>
      </c>
      <c r="F2075" s="103" t="str">
        <f aca="false">IF($C2075="","",$D2075*$E2075)</f>
        <v/>
      </c>
      <c r="G2075" s="103" t="str">
        <f aca="false">IF($C2075="","",$D2075*IFERROR(INDEX('تحليل التكلفة والسعر'!$C$2:$C$700,MATCH($C2075,'تحليل التكلفة والسعر'!$B$2:$B$700,0)),0))</f>
        <v/>
      </c>
    </row>
    <row r="2076" customFormat="false" ht="15" hidden="false" customHeight="false" outlineLevel="0" collapsed="false">
      <c r="A2076" s="102"/>
      <c r="E2076" s="103" t="str">
        <f aca="false">IF($C2076="","",IFERROR(INDEX(المنيو!$C$2:$C$500,MATCH($C2076,المنيو!$B$2:$B$500,0)),0))</f>
        <v/>
      </c>
      <c r="F2076" s="103" t="str">
        <f aca="false">IF($C2076="","",$D2076*$E2076)</f>
        <v/>
      </c>
      <c r="G2076" s="103" t="str">
        <f aca="false">IF($C2076="","",$D2076*IFERROR(INDEX('تحليل التكلفة والسعر'!$C$2:$C$700,MATCH($C2076,'تحليل التكلفة والسعر'!$B$2:$B$700,0)),0))</f>
        <v/>
      </c>
    </row>
    <row r="2077" customFormat="false" ht="15" hidden="false" customHeight="false" outlineLevel="0" collapsed="false">
      <c r="A2077" s="102"/>
      <c r="E2077" s="103" t="str">
        <f aca="false">IF($C2077="","",IFERROR(INDEX(المنيو!$C$2:$C$500,MATCH($C2077,المنيو!$B$2:$B$500,0)),0))</f>
        <v/>
      </c>
      <c r="F2077" s="103" t="str">
        <f aca="false">IF($C2077="","",$D2077*$E2077)</f>
        <v/>
      </c>
      <c r="G2077" s="103" t="str">
        <f aca="false">IF($C2077="","",$D2077*IFERROR(INDEX('تحليل التكلفة والسعر'!$C$2:$C$700,MATCH($C2077,'تحليل التكلفة والسعر'!$B$2:$B$700,0)),0))</f>
        <v/>
      </c>
    </row>
    <row r="2078" customFormat="false" ht="15" hidden="false" customHeight="false" outlineLevel="0" collapsed="false">
      <c r="A2078" s="102"/>
      <c r="E2078" s="103" t="str">
        <f aca="false">IF($C2078="","",IFERROR(INDEX(المنيو!$C$2:$C$500,MATCH($C2078,المنيو!$B$2:$B$500,0)),0))</f>
        <v/>
      </c>
      <c r="F2078" s="103" t="str">
        <f aca="false">IF($C2078="","",$D2078*$E2078)</f>
        <v/>
      </c>
      <c r="G2078" s="103" t="str">
        <f aca="false">IF($C2078="","",$D2078*IFERROR(INDEX('تحليل التكلفة والسعر'!$C$2:$C$700,MATCH($C2078,'تحليل التكلفة والسعر'!$B$2:$B$700,0)),0))</f>
        <v/>
      </c>
    </row>
    <row r="2079" customFormat="false" ht="15" hidden="false" customHeight="false" outlineLevel="0" collapsed="false">
      <c r="A2079" s="102"/>
      <c r="E2079" s="103" t="str">
        <f aca="false">IF($C2079="","",IFERROR(INDEX(المنيو!$C$2:$C$500,MATCH($C2079,المنيو!$B$2:$B$500,0)),0))</f>
        <v/>
      </c>
      <c r="F2079" s="103" t="str">
        <f aca="false">IF($C2079="","",$D2079*$E2079)</f>
        <v/>
      </c>
      <c r="G2079" s="103" t="str">
        <f aca="false">IF($C2079="","",$D2079*IFERROR(INDEX('تحليل التكلفة والسعر'!$C$2:$C$700,MATCH($C2079,'تحليل التكلفة والسعر'!$B$2:$B$700,0)),0))</f>
        <v/>
      </c>
    </row>
    <row r="2080" customFormat="false" ht="15" hidden="false" customHeight="false" outlineLevel="0" collapsed="false">
      <c r="A2080" s="102"/>
      <c r="E2080" s="103" t="str">
        <f aca="false">IF($C2080="","",IFERROR(INDEX(المنيو!$C$2:$C$500,MATCH($C2080,المنيو!$B$2:$B$500,0)),0))</f>
        <v/>
      </c>
      <c r="F2080" s="103" t="str">
        <f aca="false">IF($C2080="","",$D2080*$E2080)</f>
        <v/>
      </c>
      <c r="G2080" s="103" t="str">
        <f aca="false">IF($C2080="","",$D2080*IFERROR(INDEX('تحليل التكلفة والسعر'!$C$2:$C$700,MATCH($C2080,'تحليل التكلفة والسعر'!$B$2:$B$700,0)),0))</f>
        <v/>
      </c>
    </row>
    <row r="2081" customFormat="false" ht="15" hidden="false" customHeight="false" outlineLevel="0" collapsed="false">
      <c r="A2081" s="102"/>
      <c r="E2081" s="103" t="str">
        <f aca="false">IF($C2081="","",IFERROR(INDEX(المنيو!$C$2:$C$500,MATCH($C2081,المنيو!$B$2:$B$500,0)),0))</f>
        <v/>
      </c>
      <c r="F2081" s="103" t="str">
        <f aca="false">IF($C2081="","",$D2081*$E2081)</f>
        <v/>
      </c>
      <c r="G2081" s="103" t="str">
        <f aca="false">IF($C2081="","",$D2081*IFERROR(INDEX('تحليل التكلفة والسعر'!$C$2:$C$700,MATCH($C2081,'تحليل التكلفة والسعر'!$B$2:$B$700,0)),0))</f>
        <v/>
      </c>
    </row>
    <row r="2082" customFormat="false" ht="15" hidden="false" customHeight="false" outlineLevel="0" collapsed="false">
      <c r="A2082" s="102"/>
      <c r="E2082" s="103" t="str">
        <f aca="false">IF($C2082="","",IFERROR(INDEX(المنيو!$C$2:$C$500,MATCH($C2082,المنيو!$B$2:$B$500,0)),0))</f>
        <v/>
      </c>
      <c r="F2082" s="103" t="str">
        <f aca="false">IF($C2082="","",$D2082*$E2082)</f>
        <v/>
      </c>
      <c r="G2082" s="103" t="str">
        <f aca="false">IF($C2082="","",$D2082*IFERROR(INDEX('تحليل التكلفة والسعر'!$C$2:$C$700,MATCH($C2082,'تحليل التكلفة والسعر'!$B$2:$B$700,0)),0))</f>
        <v/>
      </c>
    </row>
    <row r="2083" customFormat="false" ht="15" hidden="false" customHeight="false" outlineLevel="0" collapsed="false">
      <c r="A2083" s="102"/>
      <c r="E2083" s="103" t="str">
        <f aca="false">IF($C2083="","",IFERROR(INDEX(المنيو!$C$2:$C$500,MATCH($C2083,المنيو!$B$2:$B$500,0)),0))</f>
        <v/>
      </c>
      <c r="F2083" s="103" t="str">
        <f aca="false">IF($C2083="","",$D2083*$E2083)</f>
        <v/>
      </c>
      <c r="G2083" s="103" t="str">
        <f aca="false">IF($C2083="","",$D2083*IFERROR(INDEX('تحليل التكلفة والسعر'!$C$2:$C$700,MATCH($C2083,'تحليل التكلفة والسعر'!$B$2:$B$700,0)),0))</f>
        <v/>
      </c>
    </row>
    <row r="2084" customFormat="false" ht="15" hidden="false" customHeight="false" outlineLevel="0" collapsed="false">
      <c r="A2084" s="102"/>
      <c r="E2084" s="103" t="str">
        <f aca="false">IF($C2084="","",IFERROR(INDEX(المنيو!$C$2:$C$500,MATCH($C2084,المنيو!$B$2:$B$500,0)),0))</f>
        <v/>
      </c>
      <c r="F2084" s="103" t="str">
        <f aca="false">IF($C2084="","",$D2084*$E2084)</f>
        <v/>
      </c>
      <c r="G2084" s="103" t="str">
        <f aca="false">IF($C2084="","",$D2084*IFERROR(INDEX('تحليل التكلفة والسعر'!$C$2:$C$700,MATCH($C2084,'تحليل التكلفة والسعر'!$B$2:$B$700,0)),0))</f>
        <v/>
      </c>
    </row>
    <row r="2085" customFormat="false" ht="15" hidden="false" customHeight="false" outlineLevel="0" collapsed="false">
      <c r="A2085" s="102"/>
      <c r="E2085" s="103" t="str">
        <f aca="false">IF($C2085="","",IFERROR(INDEX(المنيو!$C$2:$C$500,MATCH($C2085,المنيو!$B$2:$B$500,0)),0))</f>
        <v/>
      </c>
      <c r="F2085" s="103" t="str">
        <f aca="false">IF($C2085="","",$D2085*$E2085)</f>
        <v/>
      </c>
      <c r="G2085" s="103" t="str">
        <f aca="false">IF($C2085="","",$D2085*IFERROR(INDEX('تحليل التكلفة والسعر'!$C$2:$C$700,MATCH($C2085,'تحليل التكلفة والسعر'!$B$2:$B$700,0)),0))</f>
        <v/>
      </c>
    </row>
    <row r="2086" customFormat="false" ht="15" hidden="false" customHeight="false" outlineLevel="0" collapsed="false">
      <c r="A2086" s="102"/>
      <c r="E2086" s="103" t="str">
        <f aca="false">IF($C2086="","",IFERROR(INDEX(المنيو!$C$2:$C$500,MATCH($C2086,المنيو!$B$2:$B$500,0)),0))</f>
        <v/>
      </c>
      <c r="F2086" s="103" t="str">
        <f aca="false">IF($C2086="","",$D2086*$E2086)</f>
        <v/>
      </c>
      <c r="G2086" s="103" t="str">
        <f aca="false">IF($C2086="","",$D2086*IFERROR(INDEX('تحليل التكلفة والسعر'!$C$2:$C$700,MATCH($C2086,'تحليل التكلفة والسعر'!$B$2:$B$700,0)),0))</f>
        <v/>
      </c>
    </row>
    <row r="2087" customFormat="false" ht="15" hidden="false" customHeight="false" outlineLevel="0" collapsed="false">
      <c r="A2087" s="102"/>
      <c r="E2087" s="103" t="str">
        <f aca="false">IF($C2087="","",IFERROR(INDEX(المنيو!$C$2:$C$500,MATCH($C2087,المنيو!$B$2:$B$500,0)),0))</f>
        <v/>
      </c>
      <c r="F2087" s="103" t="str">
        <f aca="false">IF($C2087="","",$D2087*$E2087)</f>
        <v/>
      </c>
      <c r="G2087" s="103" t="str">
        <f aca="false">IF($C2087="","",$D2087*IFERROR(INDEX('تحليل التكلفة والسعر'!$C$2:$C$700,MATCH($C2087,'تحليل التكلفة والسعر'!$B$2:$B$700,0)),0))</f>
        <v/>
      </c>
    </row>
    <row r="2088" customFormat="false" ht="15" hidden="false" customHeight="false" outlineLevel="0" collapsed="false">
      <c r="A2088" s="102"/>
      <c r="E2088" s="103" t="str">
        <f aca="false">IF($C2088="","",IFERROR(INDEX(المنيو!$C$2:$C$500,MATCH($C2088,المنيو!$B$2:$B$500,0)),0))</f>
        <v/>
      </c>
      <c r="F2088" s="103" t="str">
        <f aca="false">IF($C2088="","",$D2088*$E2088)</f>
        <v/>
      </c>
      <c r="G2088" s="103" t="str">
        <f aca="false">IF($C2088="","",$D2088*IFERROR(INDEX('تحليل التكلفة والسعر'!$C$2:$C$700,MATCH($C2088,'تحليل التكلفة والسعر'!$B$2:$B$700,0)),0))</f>
        <v/>
      </c>
    </row>
    <row r="2089" customFormat="false" ht="15" hidden="false" customHeight="false" outlineLevel="0" collapsed="false">
      <c r="A2089" s="102"/>
      <c r="E2089" s="103" t="str">
        <f aca="false">IF($C2089="","",IFERROR(INDEX(المنيو!$C$2:$C$500,MATCH($C2089,المنيو!$B$2:$B$500,0)),0))</f>
        <v/>
      </c>
      <c r="F2089" s="103" t="str">
        <f aca="false">IF($C2089="","",$D2089*$E2089)</f>
        <v/>
      </c>
      <c r="G2089" s="103" t="str">
        <f aca="false">IF($C2089="","",$D2089*IFERROR(INDEX('تحليل التكلفة والسعر'!$C$2:$C$700,MATCH($C2089,'تحليل التكلفة والسعر'!$B$2:$B$700,0)),0))</f>
        <v/>
      </c>
    </row>
    <row r="2090" customFormat="false" ht="15" hidden="false" customHeight="false" outlineLevel="0" collapsed="false">
      <c r="A2090" s="102"/>
      <c r="E2090" s="103" t="str">
        <f aca="false">IF($C2090="","",IFERROR(INDEX(المنيو!$C$2:$C$500,MATCH($C2090,المنيو!$B$2:$B$500,0)),0))</f>
        <v/>
      </c>
      <c r="F2090" s="103" t="str">
        <f aca="false">IF($C2090="","",$D2090*$E2090)</f>
        <v/>
      </c>
      <c r="G2090" s="103" t="str">
        <f aca="false">IF($C2090="","",$D2090*IFERROR(INDEX('تحليل التكلفة والسعر'!$C$2:$C$700,MATCH($C2090,'تحليل التكلفة والسعر'!$B$2:$B$700,0)),0))</f>
        <v/>
      </c>
    </row>
    <row r="2091" customFormat="false" ht="15" hidden="false" customHeight="false" outlineLevel="0" collapsed="false">
      <c r="A2091" s="102"/>
      <c r="E2091" s="103" t="str">
        <f aca="false">IF($C2091="","",IFERROR(INDEX(المنيو!$C$2:$C$500,MATCH($C2091,المنيو!$B$2:$B$500,0)),0))</f>
        <v/>
      </c>
      <c r="F2091" s="103" t="str">
        <f aca="false">IF($C2091="","",$D2091*$E2091)</f>
        <v/>
      </c>
      <c r="G2091" s="103" t="str">
        <f aca="false">IF($C2091="","",$D2091*IFERROR(INDEX('تحليل التكلفة والسعر'!$C$2:$C$700,MATCH($C2091,'تحليل التكلفة والسعر'!$B$2:$B$700,0)),0))</f>
        <v/>
      </c>
    </row>
    <row r="2092" customFormat="false" ht="15" hidden="false" customHeight="false" outlineLevel="0" collapsed="false">
      <c r="A2092" s="102"/>
      <c r="E2092" s="103" t="str">
        <f aca="false">IF($C2092="","",IFERROR(INDEX(المنيو!$C$2:$C$500,MATCH($C2092,المنيو!$B$2:$B$500,0)),0))</f>
        <v/>
      </c>
      <c r="F2092" s="103" t="str">
        <f aca="false">IF($C2092="","",$D2092*$E2092)</f>
        <v/>
      </c>
      <c r="G2092" s="103" t="str">
        <f aca="false">IF($C2092="","",$D2092*IFERROR(INDEX('تحليل التكلفة والسعر'!$C$2:$C$700,MATCH($C2092,'تحليل التكلفة والسعر'!$B$2:$B$700,0)),0))</f>
        <v/>
      </c>
    </row>
    <row r="2093" customFormat="false" ht="15" hidden="false" customHeight="false" outlineLevel="0" collapsed="false">
      <c r="A2093" s="102"/>
      <c r="E2093" s="103" t="str">
        <f aca="false">IF($C2093="","",IFERROR(INDEX(المنيو!$C$2:$C$500,MATCH($C2093,المنيو!$B$2:$B$500,0)),0))</f>
        <v/>
      </c>
      <c r="F2093" s="103" t="str">
        <f aca="false">IF($C2093="","",$D2093*$E2093)</f>
        <v/>
      </c>
      <c r="G2093" s="103" t="str">
        <f aca="false">IF($C2093="","",$D2093*IFERROR(INDEX('تحليل التكلفة والسعر'!$C$2:$C$700,MATCH($C2093,'تحليل التكلفة والسعر'!$B$2:$B$700,0)),0))</f>
        <v/>
      </c>
    </row>
    <row r="2094" customFormat="false" ht="15" hidden="false" customHeight="false" outlineLevel="0" collapsed="false">
      <c r="A2094" s="102"/>
      <c r="E2094" s="103" t="str">
        <f aca="false">IF($C2094="","",IFERROR(INDEX(المنيو!$C$2:$C$500,MATCH($C2094,المنيو!$B$2:$B$500,0)),0))</f>
        <v/>
      </c>
      <c r="F2094" s="103" t="str">
        <f aca="false">IF($C2094="","",$D2094*$E2094)</f>
        <v/>
      </c>
      <c r="G2094" s="103" t="str">
        <f aca="false">IF($C2094="","",$D2094*IFERROR(INDEX('تحليل التكلفة والسعر'!$C$2:$C$700,MATCH($C2094,'تحليل التكلفة والسعر'!$B$2:$B$700,0)),0))</f>
        <v/>
      </c>
    </row>
    <row r="2095" customFormat="false" ht="15" hidden="false" customHeight="false" outlineLevel="0" collapsed="false">
      <c r="A2095" s="102"/>
      <c r="E2095" s="103" t="str">
        <f aca="false">IF($C2095="","",IFERROR(INDEX(المنيو!$C$2:$C$500,MATCH($C2095,المنيو!$B$2:$B$500,0)),0))</f>
        <v/>
      </c>
      <c r="F2095" s="103" t="str">
        <f aca="false">IF($C2095="","",$D2095*$E2095)</f>
        <v/>
      </c>
      <c r="G2095" s="103" t="str">
        <f aca="false">IF($C2095="","",$D2095*IFERROR(INDEX('تحليل التكلفة والسعر'!$C$2:$C$700,MATCH($C2095,'تحليل التكلفة والسعر'!$B$2:$B$700,0)),0))</f>
        <v/>
      </c>
    </row>
    <row r="2096" customFormat="false" ht="15" hidden="false" customHeight="false" outlineLevel="0" collapsed="false">
      <c r="A2096" s="102"/>
      <c r="E2096" s="103" t="str">
        <f aca="false">IF($C2096="","",IFERROR(INDEX(المنيو!$C$2:$C$500,MATCH($C2096,المنيو!$B$2:$B$500,0)),0))</f>
        <v/>
      </c>
      <c r="F2096" s="103" t="str">
        <f aca="false">IF($C2096="","",$D2096*$E2096)</f>
        <v/>
      </c>
      <c r="G2096" s="103" t="str">
        <f aca="false">IF($C2096="","",$D2096*IFERROR(INDEX('تحليل التكلفة والسعر'!$C$2:$C$700,MATCH($C2096,'تحليل التكلفة والسعر'!$B$2:$B$700,0)),0))</f>
        <v/>
      </c>
    </row>
    <row r="2097" customFormat="false" ht="15" hidden="false" customHeight="false" outlineLevel="0" collapsed="false">
      <c r="A2097" s="102"/>
      <c r="E2097" s="103" t="str">
        <f aca="false">IF($C2097="","",IFERROR(INDEX(المنيو!$C$2:$C$500,MATCH($C2097,المنيو!$B$2:$B$500,0)),0))</f>
        <v/>
      </c>
      <c r="F2097" s="103" t="str">
        <f aca="false">IF($C2097="","",$D2097*$E2097)</f>
        <v/>
      </c>
      <c r="G2097" s="103" t="str">
        <f aca="false">IF($C2097="","",$D2097*IFERROR(INDEX('تحليل التكلفة والسعر'!$C$2:$C$700,MATCH($C2097,'تحليل التكلفة والسعر'!$B$2:$B$700,0)),0))</f>
        <v/>
      </c>
    </row>
    <row r="2098" customFormat="false" ht="15" hidden="false" customHeight="false" outlineLevel="0" collapsed="false">
      <c r="A2098" s="102"/>
      <c r="E2098" s="103" t="str">
        <f aca="false">IF($C2098="","",IFERROR(INDEX(المنيو!$C$2:$C$500,MATCH($C2098,المنيو!$B$2:$B$500,0)),0))</f>
        <v/>
      </c>
      <c r="F2098" s="103" t="str">
        <f aca="false">IF($C2098="","",$D2098*$E2098)</f>
        <v/>
      </c>
      <c r="G2098" s="103" t="str">
        <f aca="false">IF($C2098="","",$D2098*IFERROR(INDEX('تحليل التكلفة والسعر'!$C$2:$C$700,MATCH($C2098,'تحليل التكلفة والسعر'!$B$2:$B$700,0)),0))</f>
        <v/>
      </c>
    </row>
    <row r="2099" customFormat="false" ht="15" hidden="false" customHeight="false" outlineLevel="0" collapsed="false">
      <c r="A2099" s="102"/>
      <c r="E2099" s="103" t="str">
        <f aca="false">IF($C2099="","",IFERROR(INDEX(المنيو!$C$2:$C$500,MATCH($C2099,المنيو!$B$2:$B$500,0)),0))</f>
        <v/>
      </c>
      <c r="F2099" s="103" t="str">
        <f aca="false">IF($C2099="","",$D2099*$E2099)</f>
        <v/>
      </c>
      <c r="G2099" s="103" t="str">
        <f aca="false">IF($C2099="","",$D2099*IFERROR(INDEX('تحليل التكلفة والسعر'!$C$2:$C$700,MATCH($C2099,'تحليل التكلفة والسعر'!$B$2:$B$700,0)),0))</f>
        <v/>
      </c>
    </row>
    <row r="2100" customFormat="false" ht="15" hidden="false" customHeight="false" outlineLevel="0" collapsed="false">
      <c r="A2100" s="102"/>
      <c r="E2100" s="103" t="str">
        <f aca="false">IF($C2100="","",IFERROR(INDEX(المنيو!$C$2:$C$500,MATCH($C2100,المنيو!$B$2:$B$500,0)),0))</f>
        <v/>
      </c>
      <c r="F2100" s="103" t="str">
        <f aca="false">IF($C2100="","",$D2100*$E2100)</f>
        <v/>
      </c>
      <c r="G2100" s="103" t="str">
        <f aca="false">IF($C2100="","",$D2100*IFERROR(INDEX('تحليل التكلفة والسعر'!$C$2:$C$700,MATCH($C2100,'تحليل التكلفة والسعر'!$B$2:$B$700,0)),0))</f>
        <v/>
      </c>
    </row>
    <row r="2101" customFormat="false" ht="15" hidden="false" customHeight="false" outlineLevel="0" collapsed="false">
      <c r="A2101" s="102"/>
      <c r="E2101" s="103" t="str">
        <f aca="false">IF($C2101="","",IFERROR(INDEX(المنيو!$C$2:$C$500,MATCH($C2101,المنيو!$B$2:$B$500,0)),0))</f>
        <v/>
      </c>
      <c r="F2101" s="103" t="str">
        <f aca="false">IF($C2101="","",$D2101*$E2101)</f>
        <v/>
      </c>
      <c r="G2101" s="103" t="str">
        <f aca="false">IF($C2101="","",$D2101*IFERROR(INDEX('تحليل التكلفة والسعر'!$C$2:$C$700,MATCH($C2101,'تحليل التكلفة والسعر'!$B$2:$B$700,0)),0))</f>
        <v/>
      </c>
    </row>
    <row r="2102" customFormat="false" ht="15" hidden="false" customHeight="false" outlineLevel="0" collapsed="false">
      <c r="A2102" s="102"/>
      <c r="E2102" s="103" t="str">
        <f aca="false">IF($C2102="","",IFERROR(INDEX(المنيو!$C$2:$C$500,MATCH($C2102,المنيو!$B$2:$B$500,0)),0))</f>
        <v/>
      </c>
      <c r="F2102" s="103" t="str">
        <f aca="false">IF($C2102="","",$D2102*$E2102)</f>
        <v/>
      </c>
      <c r="G2102" s="103" t="str">
        <f aca="false">IF($C2102="","",$D2102*IFERROR(INDEX('تحليل التكلفة والسعر'!$C$2:$C$700,MATCH($C2102,'تحليل التكلفة والسعر'!$B$2:$B$700,0)),0))</f>
        <v/>
      </c>
    </row>
    <row r="2103" customFormat="false" ht="15" hidden="false" customHeight="false" outlineLevel="0" collapsed="false">
      <c r="A2103" s="102"/>
      <c r="E2103" s="103" t="str">
        <f aca="false">IF($C2103="","",IFERROR(INDEX(المنيو!$C$2:$C$500,MATCH($C2103,المنيو!$B$2:$B$500,0)),0))</f>
        <v/>
      </c>
      <c r="F2103" s="103" t="str">
        <f aca="false">IF($C2103="","",$D2103*$E2103)</f>
        <v/>
      </c>
      <c r="G2103" s="103" t="str">
        <f aca="false">IF($C2103="","",$D2103*IFERROR(INDEX('تحليل التكلفة والسعر'!$C$2:$C$700,MATCH($C2103,'تحليل التكلفة والسعر'!$B$2:$B$700,0)),0))</f>
        <v/>
      </c>
    </row>
    <row r="2104" customFormat="false" ht="15" hidden="false" customHeight="false" outlineLevel="0" collapsed="false">
      <c r="A2104" s="102"/>
      <c r="E2104" s="103" t="str">
        <f aca="false">IF($C2104="","",IFERROR(INDEX(المنيو!$C$2:$C$500,MATCH($C2104,المنيو!$B$2:$B$500,0)),0))</f>
        <v/>
      </c>
      <c r="F2104" s="103" t="str">
        <f aca="false">IF($C2104="","",$D2104*$E2104)</f>
        <v/>
      </c>
      <c r="G2104" s="103" t="str">
        <f aca="false">IF($C2104="","",$D2104*IFERROR(INDEX('تحليل التكلفة والسعر'!$C$2:$C$700,MATCH($C2104,'تحليل التكلفة والسعر'!$B$2:$B$700,0)),0))</f>
        <v/>
      </c>
    </row>
    <row r="2105" customFormat="false" ht="15" hidden="false" customHeight="false" outlineLevel="0" collapsed="false">
      <c r="A2105" s="102"/>
      <c r="E2105" s="103" t="str">
        <f aca="false">IF($C2105="","",IFERROR(INDEX(المنيو!$C$2:$C$500,MATCH($C2105,المنيو!$B$2:$B$500,0)),0))</f>
        <v/>
      </c>
      <c r="F2105" s="103" t="str">
        <f aca="false">IF($C2105="","",$D2105*$E2105)</f>
        <v/>
      </c>
      <c r="G2105" s="103" t="str">
        <f aca="false">IF($C2105="","",$D2105*IFERROR(INDEX('تحليل التكلفة والسعر'!$C$2:$C$700,MATCH($C2105,'تحليل التكلفة والسعر'!$B$2:$B$700,0)),0))</f>
        <v/>
      </c>
    </row>
    <row r="2106" customFormat="false" ht="15" hidden="false" customHeight="false" outlineLevel="0" collapsed="false">
      <c r="A2106" s="102"/>
      <c r="E2106" s="103" t="str">
        <f aca="false">IF($C2106="","",IFERROR(INDEX(المنيو!$C$2:$C$500,MATCH($C2106,المنيو!$B$2:$B$500,0)),0))</f>
        <v/>
      </c>
      <c r="F2106" s="103" t="str">
        <f aca="false">IF($C2106="","",$D2106*$E2106)</f>
        <v/>
      </c>
      <c r="G2106" s="103" t="str">
        <f aca="false">IF($C2106="","",$D2106*IFERROR(INDEX('تحليل التكلفة والسعر'!$C$2:$C$700,MATCH($C2106,'تحليل التكلفة والسعر'!$B$2:$B$700,0)),0))</f>
        <v/>
      </c>
    </row>
    <row r="2107" customFormat="false" ht="15" hidden="false" customHeight="false" outlineLevel="0" collapsed="false">
      <c r="A2107" s="102"/>
      <c r="E2107" s="103" t="str">
        <f aca="false">IF($C2107="","",IFERROR(INDEX(المنيو!$C$2:$C$500,MATCH($C2107,المنيو!$B$2:$B$500,0)),0))</f>
        <v/>
      </c>
      <c r="F2107" s="103" t="str">
        <f aca="false">IF($C2107="","",$D2107*$E2107)</f>
        <v/>
      </c>
      <c r="G2107" s="103" t="str">
        <f aca="false">IF($C2107="","",$D2107*IFERROR(INDEX('تحليل التكلفة والسعر'!$C$2:$C$700,MATCH($C2107,'تحليل التكلفة والسعر'!$B$2:$B$700,0)),0))</f>
        <v/>
      </c>
    </row>
    <row r="2108" customFormat="false" ht="15" hidden="false" customHeight="false" outlineLevel="0" collapsed="false">
      <c r="A2108" s="102"/>
      <c r="E2108" s="103" t="str">
        <f aca="false">IF($C2108="","",IFERROR(INDEX(المنيو!$C$2:$C$500,MATCH($C2108,المنيو!$B$2:$B$500,0)),0))</f>
        <v/>
      </c>
      <c r="F2108" s="103" t="str">
        <f aca="false">IF($C2108="","",$D2108*$E2108)</f>
        <v/>
      </c>
      <c r="G2108" s="103" t="str">
        <f aca="false">IF($C2108="","",$D2108*IFERROR(INDEX('تحليل التكلفة والسعر'!$C$2:$C$700,MATCH($C2108,'تحليل التكلفة والسعر'!$B$2:$B$700,0)),0))</f>
        <v/>
      </c>
    </row>
    <row r="2109" customFormat="false" ht="15" hidden="false" customHeight="false" outlineLevel="0" collapsed="false">
      <c r="A2109" s="102"/>
      <c r="E2109" s="103" t="str">
        <f aca="false">IF($C2109="","",IFERROR(INDEX(المنيو!$C$2:$C$500,MATCH($C2109,المنيو!$B$2:$B$500,0)),0))</f>
        <v/>
      </c>
      <c r="F2109" s="103" t="str">
        <f aca="false">IF($C2109="","",$D2109*$E2109)</f>
        <v/>
      </c>
      <c r="G2109" s="103" t="str">
        <f aca="false">IF($C2109="","",$D2109*IFERROR(INDEX('تحليل التكلفة والسعر'!$C$2:$C$700,MATCH($C2109,'تحليل التكلفة والسعر'!$B$2:$B$700,0)),0))</f>
        <v/>
      </c>
    </row>
    <row r="2110" customFormat="false" ht="15" hidden="false" customHeight="false" outlineLevel="0" collapsed="false">
      <c r="A2110" s="102"/>
      <c r="E2110" s="103" t="str">
        <f aca="false">IF($C2110="","",IFERROR(INDEX(المنيو!$C$2:$C$500,MATCH($C2110,المنيو!$B$2:$B$500,0)),0))</f>
        <v/>
      </c>
      <c r="F2110" s="103" t="str">
        <f aca="false">IF($C2110="","",$D2110*$E2110)</f>
        <v/>
      </c>
      <c r="G2110" s="103" t="str">
        <f aca="false">IF($C2110="","",$D2110*IFERROR(INDEX('تحليل التكلفة والسعر'!$C$2:$C$700,MATCH($C2110,'تحليل التكلفة والسعر'!$B$2:$B$700,0)),0))</f>
        <v/>
      </c>
    </row>
    <row r="2111" customFormat="false" ht="15" hidden="false" customHeight="false" outlineLevel="0" collapsed="false">
      <c r="A2111" s="102"/>
      <c r="E2111" s="103" t="str">
        <f aca="false">IF($C2111="","",IFERROR(INDEX(المنيو!$C$2:$C$500,MATCH($C2111,المنيو!$B$2:$B$500,0)),0))</f>
        <v/>
      </c>
      <c r="F2111" s="103" t="str">
        <f aca="false">IF($C2111="","",$D2111*$E2111)</f>
        <v/>
      </c>
      <c r="G2111" s="103" t="str">
        <f aca="false">IF($C2111="","",$D2111*IFERROR(INDEX('تحليل التكلفة والسعر'!$C$2:$C$700,MATCH($C2111,'تحليل التكلفة والسعر'!$B$2:$B$700,0)),0))</f>
        <v/>
      </c>
    </row>
    <row r="2112" customFormat="false" ht="15" hidden="false" customHeight="false" outlineLevel="0" collapsed="false">
      <c r="A2112" s="102"/>
      <c r="E2112" s="103" t="str">
        <f aca="false">IF($C2112="","",IFERROR(INDEX(المنيو!$C$2:$C$500,MATCH($C2112,المنيو!$B$2:$B$500,0)),0))</f>
        <v/>
      </c>
      <c r="F2112" s="103" t="str">
        <f aca="false">IF($C2112="","",$D2112*$E2112)</f>
        <v/>
      </c>
      <c r="G2112" s="103" t="str">
        <f aca="false">IF($C2112="","",$D2112*IFERROR(INDEX('تحليل التكلفة والسعر'!$C$2:$C$700,MATCH($C2112,'تحليل التكلفة والسعر'!$B$2:$B$700,0)),0))</f>
        <v/>
      </c>
    </row>
    <row r="2113" customFormat="false" ht="15" hidden="false" customHeight="false" outlineLevel="0" collapsed="false">
      <c r="A2113" s="102"/>
      <c r="E2113" s="103" t="str">
        <f aca="false">IF($C2113="","",IFERROR(INDEX(المنيو!$C$2:$C$500,MATCH($C2113,المنيو!$B$2:$B$500,0)),0))</f>
        <v/>
      </c>
      <c r="F2113" s="103" t="str">
        <f aca="false">IF($C2113="","",$D2113*$E2113)</f>
        <v/>
      </c>
      <c r="G2113" s="103" t="str">
        <f aca="false">IF($C2113="","",$D2113*IFERROR(INDEX('تحليل التكلفة والسعر'!$C$2:$C$700,MATCH($C2113,'تحليل التكلفة والسعر'!$B$2:$B$700,0)),0))</f>
        <v/>
      </c>
    </row>
    <row r="2114" customFormat="false" ht="15" hidden="false" customHeight="false" outlineLevel="0" collapsed="false">
      <c r="A2114" s="102"/>
      <c r="E2114" s="103" t="str">
        <f aca="false">IF($C2114="","",IFERROR(INDEX(المنيو!$C$2:$C$500,MATCH($C2114,المنيو!$B$2:$B$500,0)),0))</f>
        <v/>
      </c>
      <c r="F2114" s="103" t="str">
        <f aca="false">IF($C2114="","",$D2114*$E2114)</f>
        <v/>
      </c>
      <c r="G2114" s="103" t="str">
        <f aca="false">IF($C2114="","",$D2114*IFERROR(INDEX('تحليل التكلفة والسعر'!$C$2:$C$700,MATCH($C2114,'تحليل التكلفة والسعر'!$B$2:$B$700,0)),0))</f>
        <v/>
      </c>
    </row>
    <row r="2115" customFormat="false" ht="15" hidden="false" customHeight="false" outlineLevel="0" collapsed="false">
      <c r="A2115" s="102"/>
      <c r="E2115" s="103" t="str">
        <f aca="false">IF($C2115="","",IFERROR(INDEX(المنيو!$C$2:$C$500,MATCH($C2115,المنيو!$B$2:$B$500,0)),0))</f>
        <v/>
      </c>
      <c r="F2115" s="103" t="str">
        <f aca="false">IF($C2115="","",$D2115*$E2115)</f>
        <v/>
      </c>
      <c r="G2115" s="103" t="str">
        <f aca="false">IF($C2115="","",$D2115*IFERROR(INDEX('تحليل التكلفة والسعر'!$C$2:$C$700,MATCH($C2115,'تحليل التكلفة والسعر'!$B$2:$B$700,0)),0))</f>
        <v/>
      </c>
    </row>
    <row r="2116" customFormat="false" ht="15" hidden="false" customHeight="false" outlineLevel="0" collapsed="false">
      <c r="A2116" s="102"/>
      <c r="E2116" s="103" t="str">
        <f aca="false">IF($C2116="","",IFERROR(INDEX(المنيو!$C$2:$C$500,MATCH($C2116,المنيو!$B$2:$B$500,0)),0))</f>
        <v/>
      </c>
      <c r="F2116" s="103" t="str">
        <f aca="false">IF($C2116="","",$D2116*$E2116)</f>
        <v/>
      </c>
      <c r="G2116" s="103" t="str">
        <f aca="false">IF($C2116="","",$D2116*IFERROR(INDEX('تحليل التكلفة والسعر'!$C$2:$C$700,MATCH($C2116,'تحليل التكلفة والسعر'!$B$2:$B$700,0)),0))</f>
        <v/>
      </c>
    </row>
    <row r="2117" customFormat="false" ht="15" hidden="false" customHeight="false" outlineLevel="0" collapsed="false">
      <c r="A2117" s="102"/>
      <c r="E2117" s="103" t="str">
        <f aca="false">IF($C2117="","",IFERROR(INDEX(المنيو!$C$2:$C$500,MATCH($C2117,المنيو!$B$2:$B$500,0)),0))</f>
        <v/>
      </c>
      <c r="F2117" s="103" t="str">
        <f aca="false">IF($C2117="","",$D2117*$E2117)</f>
        <v/>
      </c>
      <c r="G2117" s="103" t="str">
        <f aca="false">IF($C2117="","",$D2117*IFERROR(INDEX('تحليل التكلفة والسعر'!$C$2:$C$700,MATCH($C2117,'تحليل التكلفة والسعر'!$B$2:$B$700,0)),0))</f>
        <v/>
      </c>
    </row>
    <row r="2118" customFormat="false" ht="15" hidden="false" customHeight="false" outlineLevel="0" collapsed="false">
      <c r="A2118" s="102"/>
      <c r="E2118" s="103" t="str">
        <f aca="false">IF($C2118="","",IFERROR(INDEX(المنيو!$C$2:$C$500,MATCH($C2118,المنيو!$B$2:$B$500,0)),0))</f>
        <v/>
      </c>
      <c r="F2118" s="103" t="str">
        <f aca="false">IF($C2118="","",$D2118*$E2118)</f>
        <v/>
      </c>
      <c r="G2118" s="103" t="str">
        <f aca="false">IF($C2118="","",$D2118*IFERROR(INDEX('تحليل التكلفة والسعر'!$C$2:$C$700,MATCH($C2118,'تحليل التكلفة والسعر'!$B$2:$B$700,0)),0))</f>
        <v/>
      </c>
    </row>
    <row r="2119" customFormat="false" ht="15" hidden="false" customHeight="false" outlineLevel="0" collapsed="false">
      <c r="A2119" s="102"/>
      <c r="E2119" s="103" t="str">
        <f aca="false">IF($C2119="","",IFERROR(INDEX(المنيو!$C$2:$C$500,MATCH($C2119,المنيو!$B$2:$B$500,0)),0))</f>
        <v/>
      </c>
      <c r="F2119" s="103" t="str">
        <f aca="false">IF($C2119="","",$D2119*$E2119)</f>
        <v/>
      </c>
      <c r="G2119" s="103" t="str">
        <f aca="false">IF($C2119="","",$D2119*IFERROR(INDEX('تحليل التكلفة والسعر'!$C$2:$C$700,MATCH($C2119,'تحليل التكلفة والسعر'!$B$2:$B$700,0)),0))</f>
        <v/>
      </c>
    </row>
    <row r="2120" customFormat="false" ht="15" hidden="false" customHeight="false" outlineLevel="0" collapsed="false">
      <c r="A2120" s="102"/>
      <c r="E2120" s="103" t="str">
        <f aca="false">IF($C2120="","",IFERROR(INDEX(المنيو!$C$2:$C$500,MATCH($C2120,المنيو!$B$2:$B$500,0)),0))</f>
        <v/>
      </c>
      <c r="F2120" s="103" t="str">
        <f aca="false">IF($C2120="","",$D2120*$E2120)</f>
        <v/>
      </c>
      <c r="G2120" s="103" t="str">
        <f aca="false">IF($C2120="","",$D2120*IFERROR(INDEX('تحليل التكلفة والسعر'!$C$2:$C$700,MATCH($C2120,'تحليل التكلفة والسعر'!$B$2:$B$700,0)),0))</f>
        <v/>
      </c>
    </row>
    <row r="2121" customFormat="false" ht="15" hidden="false" customHeight="false" outlineLevel="0" collapsed="false">
      <c r="A2121" s="102"/>
      <c r="E2121" s="103" t="str">
        <f aca="false">IF($C2121="","",IFERROR(INDEX(المنيو!$C$2:$C$500,MATCH($C2121,المنيو!$B$2:$B$500,0)),0))</f>
        <v/>
      </c>
      <c r="F2121" s="103" t="str">
        <f aca="false">IF($C2121="","",$D2121*$E2121)</f>
        <v/>
      </c>
      <c r="G2121" s="103" t="str">
        <f aca="false">IF($C2121="","",$D2121*IFERROR(INDEX('تحليل التكلفة والسعر'!$C$2:$C$700,MATCH($C2121,'تحليل التكلفة والسعر'!$B$2:$B$700,0)),0))</f>
        <v/>
      </c>
    </row>
    <row r="2122" customFormat="false" ht="15" hidden="false" customHeight="false" outlineLevel="0" collapsed="false">
      <c r="A2122" s="102"/>
      <c r="E2122" s="103" t="str">
        <f aca="false">IF($C2122="","",IFERROR(INDEX(المنيو!$C$2:$C$500,MATCH($C2122,المنيو!$B$2:$B$500,0)),0))</f>
        <v/>
      </c>
      <c r="F2122" s="103" t="str">
        <f aca="false">IF($C2122="","",$D2122*$E2122)</f>
        <v/>
      </c>
      <c r="G2122" s="103" t="str">
        <f aca="false">IF($C2122="","",$D2122*IFERROR(INDEX('تحليل التكلفة والسعر'!$C$2:$C$700,MATCH($C2122,'تحليل التكلفة والسعر'!$B$2:$B$700,0)),0))</f>
        <v/>
      </c>
    </row>
    <row r="2123" customFormat="false" ht="15" hidden="false" customHeight="false" outlineLevel="0" collapsed="false">
      <c r="A2123" s="102"/>
      <c r="E2123" s="103" t="str">
        <f aca="false">IF($C2123="","",IFERROR(INDEX(المنيو!$C$2:$C$500,MATCH($C2123,المنيو!$B$2:$B$500,0)),0))</f>
        <v/>
      </c>
      <c r="F2123" s="103" t="str">
        <f aca="false">IF($C2123="","",$D2123*$E2123)</f>
        <v/>
      </c>
      <c r="G2123" s="103" t="str">
        <f aca="false">IF($C2123="","",$D2123*IFERROR(INDEX('تحليل التكلفة والسعر'!$C$2:$C$700,MATCH($C2123,'تحليل التكلفة والسعر'!$B$2:$B$700,0)),0))</f>
        <v/>
      </c>
    </row>
    <row r="2124" customFormat="false" ht="15" hidden="false" customHeight="false" outlineLevel="0" collapsed="false">
      <c r="A2124" s="102"/>
      <c r="E2124" s="103" t="str">
        <f aca="false">IF($C2124="","",IFERROR(INDEX(المنيو!$C$2:$C$500,MATCH($C2124,المنيو!$B$2:$B$500,0)),0))</f>
        <v/>
      </c>
      <c r="F2124" s="103" t="str">
        <f aca="false">IF($C2124="","",$D2124*$E2124)</f>
        <v/>
      </c>
      <c r="G2124" s="103" t="str">
        <f aca="false">IF($C2124="","",$D2124*IFERROR(INDEX('تحليل التكلفة والسعر'!$C$2:$C$700,MATCH($C2124,'تحليل التكلفة والسعر'!$B$2:$B$700,0)),0))</f>
        <v/>
      </c>
    </row>
    <row r="2125" customFormat="false" ht="15" hidden="false" customHeight="false" outlineLevel="0" collapsed="false">
      <c r="A2125" s="102"/>
      <c r="E2125" s="103" t="str">
        <f aca="false">IF($C2125="","",IFERROR(INDEX(المنيو!$C$2:$C$500,MATCH($C2125,المنيو!$B$2:$B$500,0)),0))</f>
        <v/>
      </c>
      <c r="F2125" s="103" t="str">
        <f aca="false">IF($C2125="","",$D2125*$E2125)</f>
        <v/>
      </c>
      <c r="G2125" s="103" t="str">
        <f aca="false">IF($C2125="","",$D2125*IFERROR(INDEX('تحليل التكلفة والسعر'!$C$2:$C$700,MATCH($C2125,'تحليل التكلفة والسعر'!$B$2:$B$700,0)),0))</f>
        <v/>
      </c>
    </row>
    <row r="2126" customFormat="false" ht="15" hidden="false" customHeight="false" outlineLevel="0" collapsed="false">
      <c r="A2126" s="102"/>
      <c r="E2126" s="103" t="str">
        <f aca="false">IF($C2126="","",IFERROR(INDEX(المنيو!$C$2:$C$500,MATCH($C2126,المنيو!$B$2:$B$500,0)),0))</f>
        <v/>
      </c>
      <c r="F2126" s="103" t="str">
        <f aca="false">IF($C2126="","",$D2126*$E2126)</f>
        <v/>
      </c>
      <c r="G2126" s="103" t="str">
        <f aca="false">IF($C2126="","",$D2126*IFERROR(INDEX('تحليل التكلفة والسعر'!$C$2:$C$700,MATCH($C2126,'تحليل التكلفة والسعر'!$B$2:$B$700,0)),0))</f>
        <v/>
      </c>
    </row>
    <row r="2127" customFormat="false" ht="15" hidden="false" customHeight="false" outlineLevel="0" collapsed="false">
      <c r="A2127" s="102"/>
      <c r="E2127" s="103" t="str">
        <f aca="false">IF($C2127="","",IFERROR(INDEX(المنيو!$C$2:$C$500,MATCH($C2127,المنيو!$B$2:$B$500,0)),0))</f>
        <v/>
      </c>
      <c r="F2127" s="103" t="str">
        <f aca="false">IF($C2127="","",$D2127*$E2127)</f>
        <v/>
      </c>
      <c r="G2127" s="103" t="str">
        <f aca="false">IF($C2127="","",$D2127*IFERROR(INDEX('تحليل التكلفة والسعر'!$C$2:$C$700,MATCH($C2127,'تحليل التكلفة والسعر'!$B$2:$B$700,0)),0))</f>
        <v/>
      </c>
    </row>
    <row r="2128" customFormat="false" ht="15" hidden="false" customHeight="false" outlineLevel="0" collapsed="false">
      <c r="A2128" s="102"/>
      <c r="E2128" s="103" t="str">
        <f aca="false">IF($C2128="","",IFERROR(INDEX(المنيو!$C$2:$C$500,MATCH($C2128,المنيو!$B$2:$B$500,0)),0))</f>
        <v/>
      </c>
      <c r="F2128" s="103" t="str">
        <f aca="false">IF($C2128="","",$D2128*$E2128)</f>
        <v/>
      </c>
      <c r="G2128" s="103" t="str">
        <f aca="false">IF($C2128="","",$D2128*IFERROR(INDEX('تحليل التكلفة والسعر'!$C$2:$C$700,MATCH($C2128,'تحليل التكلفة والسعر'!$B$2:$B$700,0)),0))</f>
        <v/>
      </c>
    </row>
    <row r="2129" customFormat="false" ht="15" hidden="false" customHeight="false" outlineLevel="0" collapsed="false">
      <c r="A2129" s="102"/>
      <c r="E2129" s="103" t="str">
        <f aca="false">IF($C2129="","",IFERROR(INDEX(المنيو!$C$2:$C$500,MATCH($C2129,المنيو!$B$2:$B$500,0)),0))</f>
        <v/>
      </c>
      <c r="F2129" s="103" t="str">
        <f aca="false">IF($C2129="","",$D2129*$E2129)</f>
        <v/>
      </c>
      <c r="G2129" s="103" t="str">
        <f aca="false">IF($C2129="","",$D2129*IFERROR(INDEX('تحليل التكلفة والسعر'!$C$2:$C$700,MATCH($C2129,'تحليل التكلفة والسعر'!$B$2:$B$700,0)),0))</f>
        <v/>
      </c>
    </row>
    <row r="2130" customFormat="false" ht="15" hidden="false" customHeight="false" outlineLevel="0" collapsed="false">
      <c r="A2130" s="102"/>
      <c r="E2130" s="103" t="str">
        <f aca="false">IF($C2130="","",IFERROR(INDEX(المنيو!$C$2:$C$500,MATCH($C2130,المنيو!$B$2:$B$500,0)),0))</f>
        <v/>
      </c>
      <c r="F2130" s="103" t="str">
        <f aca="false">IF($C2130="","",$D2130*$E2130)</f>
        <v/>
      </c>
      <c r="G2130" s="103" t="str">
        <f aca="false">IF($C2130="","",$D2130*IFERROR(INDEX('تحليل التكلفة والسعر'!$C$2:$C$700,MATCH($C2130,'تحليل التكلفة والسعر'!$B$2:$B$700,0)),0))</f>
        <v/>
      </c>
    </row>
    <row r="2131" customFormat="false" ht="15" hidden="false" customHeight="false" outlineLevel="0" collapsed="false">
      <c r="A2131" s="102"/>
      <c r="E2131" s="103" t="str">
        <f aca="false">IF($C2131="","",IFERROR(INDEX(المنيو!$C$2:$C$500,MATCH($C2131,المنيو!$B$2:$B$500,0)),0))</f>
        <v/>
      </c>
      <c r="F2131" s="103" t="str">
        <f aca="false">IF($C2131="","",$D2131*$E2131)</f>
        <v/>
      </c>
      <c r="G2131" s="103" t="str">
        <f aca="false">IF($C2131="","",$D2131*IFERROR(INDEX('تحليل التكلفة والسعر'!$C$2:$C$700,MATCH($C2131,'تحليل التكلفة والسعر'!$B$2:$B$700,0)),0))</f>
        <v/>
      </c>
    </row>
    <row r="2132" customFormat="false" ht="15" hidden="false" customHeight="false" outlineLevel="0" collapsed="false">
      <c r="A2132" s="102"/>
      <c r="E2132" s="103" t="str">
        <f aca="false">IF($C2132="","",IFERROR(INDEX(المنيو!$C$2:$C$500,MATCH($C2132,المنيو!$B$2:$B$500,0)),0))</f>
        <v/>
      </c>
      <c r="F2132" s="103" t="str">
        <f aca="false">IF($C2132="","",$D2132*$E2132)</f>
        <v/>
      </c>
      <c r="G2132" s="103" t="str">
        <f aca="false">IF($C2132="","",$D2132*IFERROR(INDEX('تحليل التكلفة والسعر'!$C$2:$C$700,MATCH($C2132,'تحليل التكلفة والسعر'!$B$2:$B$700,0)),0))</f>
        <v/>
      </c>
    </row>
    <row r="2133" customFormat="false" ht="15" hidden="false" customHeight="false" outlineLevel="0" collapsed="false">
      <c r="A2133" s="102"/>
      <c r="E2133" s="103" t="str">
        <f aca="false">IF($C2133="","",IFERROR(INDEX(المنيو!$C$2:$C$500,MATCH($C2133,المنيو!$B$2:$B$500,0)),0))</f>
        <v/>
      </c>
      <c r="F2133" s="103" t="str">
        <f aca="false">IF($C2133="","",$D2133*$E2133)</f>
        <v/>
      </c>
      <c r="G2133" s="103" t="str">
        <f aca="false">IF($C2133="","",$D2133*IFERROR(INDEX('تحليل التكلفة والسعر'!$C$2:$C$700,MATCH($C2133,'تحليل التكلفة والسعر'!$B$2:$B$700,0)),0))</f>
        <v/>
      </c>
    </row>
    <row r="2134" customFormat="false" ht="15" hidden="false" customHeight="false" outlineLevel="0" collapsed="false">
      <c r="A2134" s="102"/>
      <c r="E2134" s="103" t="str">
        <f aca="false">IF($C2134="","",IFERROR(INDEX(المنيو!$C$2:$C$500,MATCH($C2134,المنيو!$B$2:$B$500,0)),0))</f>
        <v/>
      </c>
      <c r="F2134" s="103" t="str">
        <f aca="false">IF($C2134="","",$D2134*$E2134)</f>
        <v/>
      </c>
      <c r="G2134" s="103" t="str">
        <f aca="false">IF($C2134="","",$D2134*IFERROR(INDEX('تحليل التكلفة والسعر'!$C$2:$C$700,MATCH($C2134,'تحليل التكلفة والسعر'!$B$2:$B$700,0)),0))</f>
        <v/>
      </c>
    </row>
    <row r="2135" customFormat="false" ht="15" hidden="false" customHeight="false" outlineLevel="0" collapsed="false">
      <c r="A2135" s="102"/>
      <c r="E2135" s="103" t="str">
        <f aca="false">IF($C2135="","",IFERROR(INDEX(المنيو!$C$2:$C$500,MATCH($C2135,المنيو!$B$2:$B$500,0)),0))</f>
        <v/>
      </c>
      <c r="F2135" s="103" t="str">
        <f aca="false">IF($C2135="","",$D2135*$E2135)</f>
        <v/>
      </c>
      <c r="G2135" s="103" t="str">
        <f aca="false">IF($C2135="","",$D2135*IFERROR(INDEX('تحليل التكلفة والسعر'!$C$2:$C$700,MATCH($C2135,'تحليل التكلفة والسعر'!$B$2:$B$700,0)),0))</f>
        <v/>
      </c>
    </row>
    <row r="2136" customFormat="false" ht="15" hidden="false" customHeight="false" outlineLevel="0" collapsed="false">
      <c r="A2136" s="102"/>
      <c r="E2136" s="103" t="str">
        <f aca="false">IF($C2136="","",IFERROR(INDEX(المنيو!$C$2:$C$500,MATCH($C2136,المنيو!$B$2:$B$500,0)),0))</f>
        <v/>
      </c>
      <c r="F2136" s="103" t="str">
        <f aca="false">IF($C2136="","",$D2136*$E2136)</f>
        <v/>
      </c>
      <c r="G2136" s="103" t="str">
        <f aca="false">IF($C2136="","",$D2136*IFERROR(INDEX('تحليل التكلفة والسعر'!$C$2:$C$700,MATCH($C2136,'تحليل التكلفة والسعر'!$B$2:$B$700,0)),0))</f>
        <v/>
      </c>
    </row>
    <row r="2137" customFormat="false" ht="15" hidden="false" customHeight="false" outlineLevel="0" collapsed="false">
      <c r="A2137" s="102"/>
      <c r="E2137" s="103" t="str">
        <f aca="false">IF($C2137="","",IFERROR(INDEX(المنيو!$C$2:$C$500,MATCH($C2137,المنيو!$B$2:$B$500,0)),0))</f>
        <v/>
      </c>
      <c r="F2137" s="103" t="str">
        <f aca="false">IF($C2137="","",$D2137*$E2137)</f>
        <v/>
      </c>
      <c r="G2137" s="103" t="str">
        <f aca="false">IF($C2137="","",$D2137*IFERROR(INDEX('تحليل التكلفة والسعر'!$C$2:$C$700,MATCH($C2137,'تحليل التكلفة والسعر'!$B$2:$B$700,0)),0))</f>
        <v/>
      </c>
    </row>
    <row r="2138" customFormat="false" ht="15" hidden="false" customHeight="false" outlineLevel="0" collapsed="false">
      <c r="A2138" s="102"/>
      <c r="E2138" s="103" t="str">
        <f aca="false">IF($C2138="","",IFERROR(INDEX(المنيو!$C$2:$C$500,MATCH($C2138,المنيو!$B$2:$B$500,0)),0))</f>
        <v/>
      </c>
      <c r="F2138" s="103" t="str">
        <f aca="false">IF($C2138="","",$D2138*$E2138)</f>
        <v/>
      </c>
      <c r="G2138" s="103" t="str">
        <f aca="false">IF($C2138="","",$D2138*IFERROR(INDEX('تحليل التكلفة والسعر'!$C$2:$C$700,MATCH($C2138,'تحليل التكلفة والسعر'!$B$2:$B$700,0)),0))</f>
        <v/>
      </c>
    </row>
    <row r="2139" customFormat="false" ht="15" hidden="false" customHeight="false" outlineLevel="0" collapsed="false">
      <c r="A2139" s="102"/>
      <c r="E2139" s="103" t="str">
        <f aca="false">IF($C2139="","",IFERROR(INDEX(المنيو!$C$2:$C$500,MATCH($C2139,المنيو!$B$2:$B$500,0)),0))</f>
        <v/>
      </c>
      <c r="F2139" s="103" t="str">
        <f aca="false">IF($C2139="","",$D2139*$E2139)</f>
        <v/>
      </c>
      <c r="G2139" s="103" t="str">
        <f aca="false">IF($C2139="","",$D2139*IFERROR(INDEX('تحليل التكلفة والسعر'!$C$2:$C$700,MATCH($C2139,'تحليل التكلفة والسعر'!$B$2:$B$700,0)),0))</f>
        <v/>
      </c>
    </row>
    <row r="2140" customFormat="false" ht="15" hidden="false" customHeight="false" outlineLevel="0" collapsed="false">
      <c r="A2140" s="102"/>
      <c r="E2140" s="103" t="str">
        <f aca="false">IF($C2140="","",IFERROR(INDEX(المنيو!$C$2:$C$500,MATCH($C2140,المنيو!$B$2:$B$500,0)),0))</f>
        <v/>
      </c>
      <c r="F2140" s="103" t="str">
        <f aca="false">IF($C2140="","",$D2140*$E2140)</f>
        <v/>
      </c>
      <c r="G2140" s="103" t="str">
        <f aca="false">IF($C2140="","",$D2140*IFERROR(INDEX('تحليل التكلفة والسعر'!$C$2:$C$700,MATCH($C2140,'تحليل التكلفة والسعر'!$B$2:$B$700,0)),0))</f>
        <v/>
      </c>
    </row>
    <row r="2141" customFormat="false" ht="15" hidden="false" customHeight="false" outlineLevel="0" collapsed="false">
      <c r="A2141" s="102"/>
      <c r="E2141" s="103" t="str">
        <f aca="false">IF($C2141="","",IFERROR(INDEX(المنيو!$C$2:$C$500,MATCH($C2141,المنيو!$B$2:$B$500,0)),0))</f>
        <v/>
      </c>
      <c r="F2141" s="103" t="str">
        <f aca="false">IF($C2141="","",$D2141*$E2141)</f>
        <v/>
      </c>
      <c r="G2141" s="103" t="str">
        <f aca="false">IF($C2141="","",$D2141*IFERROR(INDEX('تحليل التكلفة والسعر'!$C$2:$C$700,MATCH($C2141,'تحليل التكلفة والسعر'!$B$2:$B$700,0)),0))</f>
        <v/>
      </c>
    </row>
    <row r="2142" customFormat="false" ht="15" hidden="false" customHeight="false" outlineLevel="0" collapsed="false">
      <c r="A2142" s="102"/>
      <c r="E2142" s="103" t="str">
        <f aca="false">IF($C2142="","",IFERROR(INDEX(المنيو!$C$2:$C$500,MATCH($C2142,المنيو!$B$2:$B$500,0)),0))</f>
        <v/>
      </c>
      <c r="F2142" s="103" t="str">
        <f aca="false">IF($C2142="","",$D2142*$E2142)</f>
        <v/>
      </c>
      <c r="G2142" s="103" t="str">
        <f aca="false">IF($C2142="","",$D2142*IFERROR(INDEX('تحليل التكلفة والسعر'!$C$2:$C$700,MATCH($C2142,'تحليل التكلفة والسعر'!$B$2:$B$700,0)),0))</f>
        <v/>
      </c>
    </row>
    <row r="2143" customFormat="false" ht="15" hidden="false" customHeight="false" outlineLevel="0" collapsed="false">
      <c r="A2143" s="102"/>
      <c r="E2143" s="103" t="str">
        <f aca="false">IF($C2143="","",IFERROR(INDEX(المنيو!$C$2:$C$500,MATCH($C2143,المنيو!$B$2:$B$500,0)),0))</f>
        <v/>
      </c>
      <c r="F2143" s="103" t="str">
        <f aca="false">IF($C2143="","",$D2143*$E2143)</f>
        <v/>
      </c>
      <c r="G2143" s="103" t="str">
        <f aca="false">IF($C2143="","",$D2143*IFERROR(INDEX('تحليل التكلفة والسعر'!$C$2:$C$700,MATCH($C2143,'تحليل التكلفة والسعر'!$B$2:$B$700,0)),0))</f>
        <v/>
      </c>
    </row>
    <row r="2144" customFormat="false" ht="15" hidden="false" customHeight="false" outlineLevel="0" collapsed="false">
      <c r="A2144" s="102"/>
      <c r="E2144" s="103" t="str">
        <f aca="false">IF($C2144="","",IFERROR(INDEX(المنيو!$C$2:$C$500,MATCH($C2144,المنيو!$B$2:$B$500,0)),0))</f>
        <v/>
      </c>
      <c r="F2144" s="103" t="str">
        <f aca="false">IF($C2144="","",$D2144*$E2144)</f>
        <v/>
      </c>
      <c r="G2144" s="103" t="str">
        <f aca="false">IF($C2144="","",$D2144*IFERROR(INDEX('تحليل التكلفة والسعر'!$C$2:$C$700,MATCH($C2144,'تحليل التكلفة والسعر'!$B$2:$B$700,0)),0))</f>
        <v/>
      </c>
    </row>
    <row r="2145" customFormat="false" ht="15" hidden="false" customHeight="false" outlineLevel="0" collapsed="false">
      <c r="A2145" s="102"/>
      <c r="E2145" s="103" t="str">
        <f aca="false">IF($C2145="","",IFERROR(INDEX(المنيو!$C$2:$C$500,MATCH($C2145,المنيو!$B$2:$B$500,0)),0))</f>
        <v/>
      </c>
      <c r="F2145" s="103" t="str">
        <f aca="false">IF($C2145="","",$D2145*$E2145)</f>
        <v/>
      </c>
      <c r="G2145" s="103" t="str">
        <f aca="false">IF($C2145="","",$D2145*IFERROR(INDEX('تحليل التكلفة والسعر'!$C$2:$C$700,MATCH($C2145,'تحليل التكلفة والسعر'!$B$2:$B$700,0)),0))</f>
        <v/>
      </c>
    </row>
    <row r="2146" customFormat="false" ht="15" hidden="false" customHeight="false" outlineLevel="0" collapsed="false">
      <c r="A2146" s="102"/>
      <c r="E2146" s="103" t="str">
        <f aca="false">IF($C2146="","",IFERROR(INDEX(المنيو!$C$2:$C$500,MATCH($C2146,المنيو!$B$2:$B$500,0)),0))</f>
        <v/>
      </c>
      <c r="F2146" s="103" t="str">
        <f aca="false">IF($C2146="","",$D2146*$E2146)</f>
        <v/>
      </c>
      <c r="G2146" s="103" t="str">
        <f aca="false">IF($C2146="","",$D2146*IFERROR(INDEX('تحليل التكلفة والسعر'!$C$2:$C$700,MATCH($C2146,'تحليل التكلفة والسعر'!$B$2:$B$700,0)),0))</f>
        <v/>
      </c>
    </row>
    <row r="2147" customFormat="false" ht="15" hidden="false" customHeight="false" outlineLevel="0" collapsed="false">
      <c r="A2147" s="102"/>
      <c r="E2147" s="103" t="str">
        <f aca="false">IF($C2147="","",IFERROR(INDEX(المنيو!$C$2:$C$500,MATCH($C2147,المنيو!$B$2:$B$500,0)),0))</f>
        <v/>
      </c>
      <c r="F2147" s="103" t="str">
        <f aca="false">IF($C2147="","",$D2147*$E2147)</f>
        <v/>
      </c>
      <c r="G2147" s="103" t="str">
        <f aca="false">IF($C2147="","",$D2147*IFERROR(INDEX('تحليل التكلفة والسعر'!$C$2:$C$700,MATCH($C2147,'تحليل التكلفة والسعر'!$B$2:$B$700,0)),0))</f>
        <v/>
      </c>
    </row>
    <row r="2148" customFormat="false" ht="15" hidden="false" customHeight="false" outlineLevel="0" collapsed="false">
      <c r="A2148" s="102"/>
      <c r="E2148" s="103" t="str">
        <f aca="false">IF($C2148="","",IFERROR(INDEX(المنيو!$C$2:$C$500,MATCH($C2148,المنيو!$B$2:$B$500,0)),0))</f>
        <v/>
      </c>
      <c r="F2148" s="103" t="str">
        <f aca="false">IF($C2148="","",$D2148*$E2148)</f>
        <v/>
      </c>
      <c r="G2148" s="103" t="str">
        <f aca="false">IF($C2148="","",$D2148*IFERROR(INDEX('تحليل التكلفة والسعر'!$C$2:$C$700,MATCH($C2148,'تحليل التكلفة والسعر'!$B$2:$B$700,0)),0))</f>
        <v/>
      </c>
    </row>
    <row r="2149" customFormat="false" ht="15" hidden="false" customHeight="false" outlineLevel="0" collapsed="false">
      <c r="A2149" s="102"/>
      <c r="E2149" s="103" t="str">
        <f aca="false">IF($C2149="","",IFERROR(INDEX(المنيو!$C$2:$C$500,MATCH($C2149,المنيو!$B$2:$B$500,0)),0))</f>
        <v/>
      </c>
      <c r="F2149" s="103" t="str">
        <f aca="false">IF($C2149="","",$D2149*$E2149)</f>
        <v/>
      </c>
      <c r="G2149" s="103" t="str">
        <f aca="false">IF($C2149="","",$D2149*IFERROR(INDEX('تحليل التكلفة والسعر'!$C$2:$C$700,MATCH($C2149,'تحليل التكلفة والسعر'!$B$2:$B$700,0)),0))</f>
        <v/>
      </c>
    </row>
    <row r="2150" customFormat="false" ht="15" hidden="false" customHeight="false" outlineLevel="0" collapsed="false">
      <c r="A2150" s="102"/>
      <c r="E2150" s="103" t="str">
        <f aca="false">IF($C2150="","",IFERROR(INDEX(المنيو!$C$2:$C$500,MATCH($C2150,المنيو!$B$2:$B$500,0)),0))</f>
        <v/>
      </c>
      <c r="F2150" s="103" t="str">
        <f aca="false">IF($C2150="","",$D2150*$E2150)</f>
        <v/>
      </c>
      <c r="G2150" s="103" t="str">
        <f aca="false">IF($C2150="","",$D2150*IFERROR(INDEX('تحليل التكلفة والسعر'!$C$2:$C$700,MATCH($C2150,'تحليل التكلفة والسعر'!$B$2:$B$700,0)),0))</f>
        <v/>
      </c>
    </row>
    <row r="2151" customFormat="false" ht="15" hidden="false" customHeight="false" outlineLevel="0" collapsed="false">
      <c r="A2151" s="102"/>
      <c r="E2151" s="103" t="str">
        <f aca="false">IF($C2151="","",IFERROR(INDEX(المنيو!$C$2:$C$500,MATCH($C2151,المنيو!$B$2:$B$500,0)),0))</f>
        <v/>
      </c>
      <c r="F2151" s="103" t="str">
        <f aca="false">IF($C2151="","",$D2151*$E2151)</f>
        <v/>
      </c>
      <c r="G2151" s="103" t="str">
        <f aca="false">IF($C2151="","",$D2151*IFERROR(INDEX('تحليل التكلفة والسعر'!$C$2:$C$700,MATCH($C2151,'تحليل التكلفة والسعر'!$B$2:$B$700,0)),0))</f>
        <v/>
      </c>
    </row>
    <row r="2152" customFormat="false" ht="15" hidden="false" customHeight="false" outlineLevel="0" collapsed="false">
      <c r="A2152" s="102"/>
      <c r="E2152" s="103" t="str">
        <f aca="false">IF($C2152="","",IFERROR(INDEX(المنيو!$C$2:$C$500,MATCH($C2152,المنيو!$B$2:$B$500,0)),0))</f>
        <v/>
      </c>
      <c r="F2152" s="103" t="str">
        <f aca="false">IF($C2152="","",$D2152*$E2152)</f>
        <v/>
      </c>
      <c r="G2152" s="103" t="str">
        <f aca="false">IF($C2152="","",$D2152*IFERROR(INDEX('تحليل التكلفة والسعر'!$C$2:$C$700,MATCH($C2152,'تحليل التكلفة والسعر'!$B$2:$B$700,0)),0))</f>
        <v/>
      </c>
    </row>
    <row r="2153" customFormat="false" ht="15" hidden="false" customHeight="false" outlineLevel="0" collapsed="false">
      <c r="A2153" s="102"/>
      <c r="E2153" s="103" t="str">
        <f aca="false">IF($C2153="","",IFERROR(INDEX(المنيو!$C$2:$C$500,MATCH($C2153,المنيو!$B$2:$B$500,0)),0))</f>
        <v/>
      </c>
      <c r="F2153" s="103" t="str">
        <f aca="false">IF($C2153="","",$D2153*$E2153)</f>
        <v/>
      </c>
      <c r="G2153" s="103" t="str">
        <f aca="false">IF($C2153="","",$D2153*IFERROR(INDEX('تحليل التكلفة والسعر'!$C$2:$C$700,MATCH($C2153,'تحليل التكلفة والسعر'!$B$2:$B$700,0)),0))</f>
        <v/>
      </c>
    </row>
    <row r="2154" customFormat="false" ht="15" hidden="false" customHeight="false" outlineLevel="0" collapsed="false">
      <c r="A2154" s="102"/>
      <c r="E2154" s="103" t="str">
        <f aca="false">IF($C2154="","",IFERROR(INDEX(المنيو!$C$2:$C$500,MATCH($C2154,المنيو!$B$2:$B$500,0)),0))</f>
        <v/>
      </c>
      <c r="F2154" s="103" t="str">
        <f aca="false">IF($C2154="","",$D2154*$E2154)</f>
        <v/>
      </c>
      <c r="G2154" s="103" t="str">
        <f aca="false">IF($C2154="","",$D2154*IFERROR(INDEX('تحليل التكلفة والسعر'!$C$2:$C$700,MATCH($C2154,'تحليل التكلفة والسعر'!$B$2:$B$700,0)),0))</f>
        <v/>
      </c>
    </row>
    <row r="2155" customFormat="false" ht="15" hidden="false" customHeight="false" outlineLevel="0" collapsed="false">
      <c r="A2155" s="102"/>
      <c r="E2155" s="103" t="str">
        <f aca="false">IF($C2155="","",IFERROR(INDEX(المنيو!$C$2:$C$500,MATCH($C2155,المنيو!$B$2:$B$500,0)),0))</f>
        <v/>
      </c>
      <c r="F2155" s="103" t="str">
        <f aca="false">IF($C2155="","",$D2155*$E2155)</f>
        <v/>
      </c>
      <c r="G2155" s="103" t="str">
        <f aca="false">IF($C2155="","",$D2155*IFERROR(INDEX('تحليل التكلفة والسعر'!$C$2:$C$700,MATCH($C2155,'تحليل التكلفة والسعر'!$B$2:$B$700,0)),0))</f>
        <v/>
      </c>
    </row>
    <row r="2156" customFormat="false" ht="15" hidden="false" customHeight="false" outlineLevel="0" collapsed="false">
      <c r="A2156" s="102"/>
      <c r="E2156" s="103" t="str">
        <f aca="false">IF($C2156="","",IFERROR(INDEX(المنيو!$C$2:$C$500,MATCH($C2156,المنيو!$B$2:$B$500,0)),0))</f>
        <v/>
      </c>
      <c r="F2156" s="103" t="str">
        <f aca="false">IF($C2156="","",$D2156*$E2156)</f>
        <v/>
      </c>
      <c r="G2156" s="103" t="str">
        <f aca="false">IF($C2156="","",$D2156*IFERROR(INDEX('تحليل التكلفة والسعر'!$C$2:$C$700,MATCH($C2156,'تحليل التكلفة والسعر'!$B$2:$B$700,0)),0))</f>
        <v/>
      </c>
    </row>
    <row r="2157" customFormat="false" ht="15" hidden="false" customHeight="false" outlineLevel="0" collapsed="false">
      <c r="A2157" s="102"/>
      <c r="E2157" s="103" t="str">
        <f aca="false">IF($C2157="","",IFERROR(INDEX(المنيو!$C$2:$C$500,MATCH($C2157,المنيو!$B$2:$B$500,0)),0))</f>
        <v/>
      </c>
      <c r="F2157" s="103" t="str">
        <f aca="false">IF($C2157="","",$D2157*$E2157)</f>
        <v/>
      </c>
      <c r="G2157" s="103" t="str">
        <f aca="false">IF($C2157="","",$D2157*IFERROR(INDEX('تحليل التكلفة والسعر'!$C$2:$C$700,MATCH($C2157,'تحليل التكلفة والسعر'!$B$2:$B$700,0)),0))</f>
        <v/>
      </c>
    </row>
    <row r="2158" customFormat="false" ht="15" hidden="false" customHeight="false" outlineLevel="0" collapsed="false">
      <c r="A2158" s="102"/>
      <c r="E2158" s="103" t="str">
        <f aca="false">IF($C2158="","",IFERROR(INDEX(المنيو!$C$2:$C$500,MATCH($C2158,المنيو!$B$2:$B$500,0)),0))</f>
        <v/>
      </c>
      <c r="F2158" s="103" t="str">
        <f aca="false">IF($C2158="","",$D2158*$E2158)</f>
        <v/>
      </c>
      <c r="G2158" s="103" t="str">
        <f aca="false">IF($C2158="","",$D2158*IFERROR(INDEX('تحليل التكلفة والسعر'!$C$2:$C$700,MATCH($C2158,'تحليل التكلفة والسعر'!$B$2:$B$700,0)),0))</f>
        <v/>
      </c>
    </row>
    <row r="2159" customFormat="false" ht="15" hidden="false" customHeight="false" outlineLevel="0" collapsed="false">
      <c r="A2159" s="102"/>
      <c r="E2159" s="103" t="str">
        <f aca="false">IF($C2159="","",IFERROR(INDEX(المنيو!$C$2:$C$500,MATCH($C2159,المنيو!$B$2:$B$500,0)),0))</f>
        <v/>
      </c>
      <c r="F2159" s="103" t="str">
        <f aca="false">IF($C2159="","",$D2159*$E2159)</f>
        <v/>
      </c>
      <c r="G2159" s="103" t="str">
        <f aca="false">IF($C2159="","",$D2159*IFERROR(INDEX('تحليل التكلفة والسعر'!$C$2:$C$700,MATCH($C2159,'تحليل التكلفة والسعر'!$B$2:$B$700,0)),0))</f>
        <v/>
      </c>
    </row>
    <row r="2160" customFormat="false" ht="15" hidden="false" customHeight="false" outlineLevel="0" collapsed="false">
      <c r="A2160" s="102"/>
      <c r="E2160" s="103" t="str">
        <f aca="false">IF($C2160="","",IFERROR(INDEX(المنيو!$C$2:$C$500,MATCH($C2160,المنيو!$B$2:$B$500,0)),0))</f>
        <v/>
      </c>
      <c r="F2160" s="103" t="str">
        <f aca="false">IF($C2160="","",$D2160*$E2160)</f>
        <v/>
      </c>
      <c r="G2160" s="103" t="str">
        <f aca="false">IF($C2160="","",$D2160*IFERROR(INDEX('تحليل التكلفة والسعر'!$C$2:$C$700,MATCH($C2160,'تحليل التكلفة والسعر'!$B$2:$B$700,0)),0))</f>
        <v/>
      </c>
    </row>
    <row r="2161" customFormat="false" ht="15" hidden="false" customHeight="false" outlineLevel="0" collapsed="false">
      <c r="A2161" s="102"/>
      <c r="E2161" s="103" t="str">
        <f aca="false">IF($C2161="","",IFERROR(INDEX(المنيو!$C$2:$C$500,MATCH($C2161,المنيو!$B$2:$B$500,0)),0))</f>
        <v/>
      </c>
      <c r="F2161" s="103" t="str">
        <f aca="false">IF($C2161="","",$D2161*$E2161)</f>
        <v/>
      </c>
      <c r="G2161" s="103" t="str">
        <f aca="false">IF($C2161="","",$D2161*IFERROR(INDEX('تحليل التكلفة والسعر'!$C$2:$C$700,MATCH($C2161,'تحليل التكلفة والسعر'!$B$2:$B$700,0)),0))</f>
        <v/>
      </c>
    </row>
    <row r="2162" customFormat="false" ht="15" hidden="false" customHeight="false" outlineLevel="0" collapsed="false">
      <c r="A2162" s="102"/>
      <c r="E2162" s="103" t="str">
        <f aca="false">IF($C2162="","",IFERROR(INDEX(المنيو!$C$2:$C$500,MATCH($C2162,المنيو!$B$2:$B$500,0)),0))</f>
        <v/>
      </c>
      <c r="F2162" s="103" t="str">
        <f aca="false">IF($C2162="","",$D2162*$E2162)</f>
        <v/>
      </c>
      <c r="G2162" s="103" t="str">
        <f aca="false">IF($C2162="","",$D2162*IFERROR(INDEX('تحليل التكلفة والسعر'!$C$2:$C$700,MATCH($C2162,'تحليل التكلفة والسعر'!$B$2:$B$700,0)),0))</f>
        <v/>
      </c>
    </row>
    <row r="2163" customFormat="false" ht="15" hidden="false" customHeight="false" outlineLevel="0" collapsed="false">
      <c r="A2163" s="102"/>
      <c r="E2163" s="103" t="str">
        <f aca="false">IF($C2163="","",IFERROR(INDEX(المنيو!$C$2:$C$500,MATCH($C2163,المنيو!$B$2:$B$500,0)),0))</f>
        <v/>
      </c>
      <c r="F2163" s="103" t="str">
        <f aca="false">IF($C2163="","",$D2163*$E2163)</f>
        <v/>
      </c>
      <c r="G2163" s="103" t="str">
        <f aca="false">IF($C2163="","",$D2163*IFERROR(INDEX('تحليل التكلفة والسعر'!$C$2:$C$700,MATCH($C2163,'تحليل التكلفة والسعر'!$B$2:$B$700,0)),0))</f>
        <v/>
      </c>
    </row>
    <row r="2164" customFormat="false" ht="15" hidden="false" customHeight="false" outlineLevel="0" collapsed="false">
      <c r="A2164" s="102"/>
      <c r="E2164" s="103" t="str">
        <f aca="false">IF($C2164="","",IFERROR(INDEX(المنيو!$C$2:$C$500,MATCH($C2164,المنيو!$B$2:$B$500,0)),0))</f>
        <v/>
      </c>
      <c r="F2164" s="103" t="str">
        <f aca="false">IF($C2164="","",$D2164*$E2164)</f>
        <v/>
      </c>
      <c r="G2164" s="103" t="str">
        <f aca="false">IF($C2164="","",$D2164*IFERROR(INDEX('تحليل التكلفة والسعر'!$C$2:$C$700,MATCH($C2164,'تحليل التكلفة والسعر'!$B$2:$B$700,0)),0))</f>
        <v/>
      </c>
    </row>
    <row r="2165" customFormat="false" ht="15" hidden="false" customHeight="false" outlineLevel="0" collapsed="false">
      <c r="A2165" s="102"/>
      <c r="E2165" s="103" t="str">
        <f aca="false">IF($C2165="","",IFERROR(INDEX(المنيو!$C$2:$C$500,MATCH($C2165,المنيو!$B$2:$B$500,0)),0))</f>
        <v/>
      </c>
      <c r="F2165" s="103" t="str">
        <f aca="false">IF($C2165="","",$D2165*$E2165)</f>
        <v/>
      </c>
      <c r="G2165" s="103" t="str">
        <f aca="false">IF($C2165="","",$D2165*IFERROR(INDEX('تحليل التكلفة والسعر'!$C$2:$C$700,MATCH($C2165,'تحليل التكلفة والسعر'!$B$2:$B$700,0)),0))</f>
        <v/>
      </c>
    </row>
    <row r="2166" customFormat="false" ht="15" hidden="false" customHeight="false" outlineLevel="0" collapsed="false">
      <c r="A2166" s="102"/>
      <c r="E2166" s="103" t="str">
        <f aca="false">IF($C2166="","",IFERROR(INDEX(المنيو!$C$2:$C$500,MATCH($C2166,المنيو!$B$2:$B$500,0)),0))</f>
        <v/>
      </c>
      <c r="F2166" s="103" t="str">
        <f aca="false">IF($C2166="","",$D2166*$E2166)</f>
        <v/>
      </c>
      <c r="G2166" s="103" t="str">
        <f aca="false">IF($C2166="","",$D2166*IFERROR(INDEX('تحليل التكلفة والسعر'!$C$2:$C$700,MATCH($C2166,'تحليل التكلفة والسعر'!$B$2:$B$700,0)),0))</f>
        <v/>
      </c>
    </row>
    <row r="2167" customFormat="false" ht="15" hidden="false" customHeight="false" outlineLevel="0" collapsed="false">
      <c r="A2167" s="102"/>
      <c r="E2167" s="103" t="str">
        <f aca="false">IF($C2167="","",IFERROR(INDEX(المنيو!$C$2:$C$500,MATCH($C2167,المنيو!$B$2:$B$500,0)),0))</f>
        <v/>
      </c>
      <c r="F2167" s="103" t="str">
        <f aca="false">IF($C2167="","",$D2167*$E2167)</f>
        <v/>
      </c>
      <c r="G2167" s="103" t="str">
        <f aca="false">IF($C2167="","",$D2167*IFERROR(INDEX('تحليل التكلفة والسعر'!$C$2:$C$700,MATCH($C2167,'تحليل التكلفة والسعر'!$B$2:$B$700,0)),0))</f>
        <v/>
      </c>
    </row>
    <row r="2168" customFormat="false" ht="15" hidden="false" customHeight="false" outlineLevel="0" collapsed="false">
      <c r="A2168" s="102"/>
      <c r="E2168" s="103" t="str">
        <f aca="false">IF($C2168="","",IFERROR(INDEX(المنيو!$C$2:$C$500,MATCH($C2168,المنيو!$B$2:$B$500,0)),0))</f>
        <v/>
      </c>
      <c r="F2168" s="103" t="str">
        <f aca="false">IF($C2168="","",$D2168*$E2168)</f>
        <v/>
      </c>
      <c r="G2168" s="103" t="str">
        <f aca="false">IF($C2168="","",$D2168*IFERROR(INDEX('تحليل التكلفة والسعر'!$C$2:$C$700,MATCH($C2168,'تحليل التكلفة والسعر'!$B$2:$B$700,0)),0))</f>
        <v/>
      </c>
    </row>
    <row r="2169" customFormat="false" ht="15" hidden="false" customHeight="false" outlineLevel="0" collapsed="false">
      <c r="A2169" s="102"/>
      <c r="E2169" s="103" t="str">
        <f aca="false">IF($C2169="","",IFERROR(INDEX(المنيو!$C$2:$C$500,MATCH($C2169,المنيو!$B$2:$B$500,0)),0))</f>
        <v/>
      </c>
      <c r="F2169" s="103" t="str">
        <f aca="false">IF($C2169="","",$D2169*$E2169)</f>
        <v/>
      </c>
      <c r="G2169" s="103" t="str">
        <f aca="false">IF($C2169="","",$D2169*IFERROR(INDEX('تحليل التكلفة والسعر'!$C$2:$C$700,MATCH($C2169,'تحليل التكلفة والسعر'!$B$2:$B$700,0)),0))</f>
        <v/>
      </c>
    </row>
    <row r="2170" customFormat="false" ht="15" hidden="false" customHeight="false" outlineLevel="0" collapsed="false">
      <c r="A2170" s="102"/>
      <c r="E2170" s="103" t="str">
        <f aca="false">IF($C2170="","",IFERROR(INDEX(المنيو!$C$2:$C$500,MATCH($C2170,المنيو!$B$2:$B$500,0)),0))</f>
        <v/>
      </c>
      <c r="F2170" s="103" t="str">
        <f aca="false">IF($C2170="","",$D2170*$E2170)</f>
        <v/>
      </c>
      <c r="G2170" s="103" t="str">
        <f aca="false">IF($C2170="","",$D2170*IFERROR(INDEX('تحليل التكلفة والسعر'!$C$2:$C$700,MATCH($C2170,'تحليل التكلفة والسعر'!$B$2:$B$700,0)),0))</f>
        <v/>
      </c>
    </row>
    <row r="2171" customFormat="false" ht="15" hidden="false" customHeight="false" outlineLevel="0" collapsed="false">
      <c r="A2171" s="102"/>
      <c r="E2171" s="103" t="str">
        <f aca="false">IF($C2171="","",IFERROR(INDEX(المنيو!$C$2:$C$500,MATCH($C2171,المنيو!$B$2:$B$500,0)),0))</f>
        <v/>
      </c>
      <c r="F2171" s="103" t="str">
        <f aca="false">IF($C2171="","",$D2171*$E2171)</f>
        <v/>
      </c>
      <c r="G2171" s="103" t="str">
        <f aca="false">IF($C2171="","",$D2171*IFERROR(INDEX('تحليل التكلفة والسعر'!$C$2:$C$700,MATCH($C2171,'تحليل التكلفة والسعر'!$B$2:$B$700,0)),0))</f>
        <v/>
      </c>
    </row>
    <row r="2172" customFormat="false" ht="15" hidden="false" customHeight="false" outlineLevel="0" collapsed="false">
      <c r="A2172" s="102"/>
      <c r="E2172" s="103" t="str">
        <f aca="false">IF($C2172="","",IFERROR(INDEX(المنيو!$C$2:$C$500,MATCH($C2172,المنيو!$B$2:$B$500,0)),0))</f>
        <v/>
      </c>
      <c r="F2172" s="103" t="str">
        <f aca="false">IF($C2172="","",$D2172*$E2172)</f>
        <v/>
      </c>
      <c r="G2172" s="103" t="str">
        <f aca="false">IF($C2172="","",$D2172*IFERROR(INDEX('تحليل التكلفة والسعر'!$C$2:$C$700,MATCH($C2172,'تحليل التكلفة والسعر'!$B$2:$B$700,0)),0))</f>
        <v/>
      </c>
    </row>
    <row r="2173" customFormat="false" ht="15" hidden="false" customHeight="false" outlineLevel="0" collapsed="false">
      <c r="A2173" s="102"/>
      <c r="E2173" s="103" t="str">
        <f aca="false">IF($C2173="","",IFERROR(INDEX(المنيو!$C$2:$C$500,MATCH($C2173,المنيو!$B$2:$B$500,0)),0))</f>
        <v/>
      </c>
      <c r="F2173" s="103" t="str">
        <f aca="false">IF($C2173="","",$D2173*$E2173)</f>
        <v/>
      </c>
      <c r="G2173" s="103" t="str">
        <f aca="false">IF($C2173="","",$D2173*IFERROR(INDEX('تحليل التكلفة والسعر'!$C$2:$C$700,MATCH($C2173,'تحليل التكلفة والسعر'!$B$2:$B$700,0)),0))</f>
        <v/>
      </c>
    </row>
    <row r="2174" customFormat="false" ht="15" hidden="false" customHeight="false" outlineLevel="0" collapsed="false">
      <c r="A2174" s="102"/>
      <c r="E2174" s="103" t="str">
        <f aca="false">IF($C2174="","",IFERROR(INDEX(المنيو!$C$2:$C$500,MATCH($C2174,المنيو!$B$2:$B$500,0)),0))</f>
        <v/>
      </c>
      <c r="F2174" s="103" t="str">
        <f aca="false">IF($C2174="","",$D2174*$E2174)</f>
        <v/>
      </c>
      <c r="G2174" s="103" t="str">
        <f aca="false">IF($C2174="","",$D2174*IFERROR(INDEX('تحليل التكلفة والسعر'!$C$2:$C$700,MATCH($C2174,'تحليل التكلفة والسعر'!$B$2:$B$700,0)),0))</f>
        <v/>
      </c>
    </row>
    <row r="2175" customFormat="false" ht="15" hidden="false" customHeight="false" outlineLevel="0" collapsed="false">
      <c r="A2175" s="102"/>
      <c r="E2175" s="103" t="str">
        <f aca="false">IF($C2175="","",IFERROR(INDEX(المنيو!$C$2:$C$500,MATCH($C2175,المنيو!$B$2:$B$500,0)),0))</f>
        <v/>
      </c>
      <c r="F2175" s="103" t="str">
        <f aca="false">IF($C2175="","",$D2175*$E2175)</f>
        <v/>
      </c>
      <c r="G2175" s="103" t="str">
        <f aca="false">IF($C2175="","",$D2175*IFERROR(INDEX('تحليل التكلفة والسعر'!$C$2:$C$700,MATCH($C2175,'تحليل التكلفة والسعر'!$B$2:$B$700,0)),0))</f>
        <v/>
      </c>
    </row>
    <row r="2176" customFormat="false" ht="15" hidden="false" customHeight="false" outlineLevel="0" collapsed="false">
      <c r="A2176" s="102"/>
      <c r="E2176" s="103" t="str">
        <f aca="false">IF($C2176="","",IFERROR(INDEX(المنيو!$C$2:$C$500,MATCH($C2176,المنيو!$B$2:$B$500,0)),0))</f>
        <v/>
      </c>
      <c r="F2176" s="103" t="str">
        <f aca="false">IF($C2176="","",$D2176*$E2176)</f>
        <v/>
      </c>
      <c r="G2176" s="103" t="str">
        <f aca="false">IF($C2176="","",$D2176*IFERROR(INDEX('تحليل التكلفة والسعر'!$C$2:$C$700,MATCH($C2176,'تحليل التكلفة والسعر'!$B$2:$B$700,0)),0))</f>
        <v/>
      </c>
    </row>
    <row r="2177" customFormat="false" ht="15" hidden="false" customHeight="false" outlineLevel="0" collapsed="false">
      <c r="A2177" s="102"/>
      <c r="E2177" s="103" t="str">
        <f aca="false">IF($C2177="","",IFERROR(INDEX(المنيو!$C$2:$C$500,MATCH($C2177,المنيو!$B$2:$B$500,0)),0))</f>
        <v/>
      </c>
      <c r="F2177" s="103" t="str">
        <f aca="false">IF($C2177="","",$D2177*$E2177)</f>
        <v/>
      </c>
      <c r="G2177" s="103" t="str">
        <f aca="false">IF($C2177="","",$D2177*IFERROR(INDEX('تحليل التكلفة والسعر'!$C$2:$C$700,MATCH($C2177,'تحليل التكلفة والسعر'!$B$2:$B$700,0)),0))</f>
        <v/>
      </c>
    </row>
    <row r="2178" customFormat="false" ht="15" hidden="false" customHeight="false" outlineLevel="0" collapsed="false">
      <c r="A2178" s="102"/>
      <c r="E2178" s="103" t="str">
        <f aca="false">IF($C2178="","",IFERROR(INDEX(المنيو!$C$2:$C$500,MATCH($C2178,المنيو!$B$2:$B$500,0)),0))</f>
        <v/>
      </c>
      <c r="F2178" s="103" t="str">
        <f aca="false">IF($C2178="","",$D2178*$E2178)</f>
        <v/>
      </c>
      <c r="G2178" s="103" t="str">
        <f aca="false">IF($C2178="","",$D2178*IFERROR(INDEX('تحليل التكلفة والسعر'!$C$2:$C$700,MATCH($C2178,'تحليل التكلفة والسعر'!$B$2:$B$700,0)),0))</f>
        <v/>
      </c>
    </row>
    <row r="2179" customFormat="false" ht="15" hidden="false" customHeight="false" outlineLevel="0" collapsed="false">
      <c r="A2179" s="102"/>
      <c r="E2179" s="103" t="str">
        <f aca="false">IF($C2179="","",IFERROR(INDEX(المنيو!$C$2:$C$500,MATCH($C2179,المنيو!$B$2:$B$500,0)),0))</f>
        <v/>
      </c>
      <c r="F2179" s="103" t="str">
        <f aca="false">IF($C2179="","",$D2179*$E2179)</f>
        <v/>
      </c>
      <c r="G2179" s="103" t="str">
        <f aca="false">IF($C2179="","",$D2179*IFERROR(INDEX('تحليل التكلفة والسعر'!$C$2:$C$700,MATCH($C2179,'تحليل التكلفة والسعر'!$B$2:$B$700,0)),0))</f>
        <v/>
      </c>
    </row>
    <row r="2180" customFormat="false" ht="15" hidden="false" customHeight="false" outlineLevel="0" collapsed="false">
      <c r="A2180" s="102"/>
      <c r="E2180" s="103" t="str">
        <f aca="false">IF($C2180="","",IFERROR(INDEX(المنيو!$C$2:$C$500,MATCH($C2180,المنيو!$B$2:$B$500,0)),0))</f>
        <v/>
      </c>
      <c r="F2180" s="103" t="str">
        <f aca="false">IF($C2180="","",$D2180*$E2180)</f>
        <v/>
      </c>
      <c r="G2180" s="103" t="str">
        <f aca="false">IF($C2180="","",$D2180*IFERROR(INDEX('تحليل التكلفة والسعر'!$C$2:$C$700,MATCH($C2180,'تحليل التكلفة والسعر'!$B$2:$B$700,0)),0))</f>
        <v/>
      </c>
    </row>
    <row r="2181" customFormat="false" ht="15" hidden="false" customHeight="false" outlineLevel="0" collapsed="false">
      <c r="A2181" s="102"/>
      <c r="E2181" s="103" t="str">
        <f aca="false">IF($C2181="","",IFERROR(INDEX(المنيو!$C$2:$C$500,MATCH($C2181,المنيو!$B$2:$B$500,0)),0))</f>
        <v/>
      </c>
      <c r="F2181" s="103" t="str">
        <f aca="false">IF($C2181="","",$D2181*$E2181)</f>
        <v/>
      </c>
      <c r="G2181" s="103" t="str">
        <f aca="false">IF($C2181="","",$D2181*IFERROR(INDEX('تحليل التكلفة والسعر'!$C$2:$C$700,MATCH($C2181,'تحليل التكلفة والسعر'!$B$2:$B$700,0)),0))</f>
        <v/>
      </c>
    </row>
    <row r="2182" customFormat="false" ht="15" hidden="false" customHeight="false" outlineLevel="0" collapsed="false">
      <c r="A2182" s="102"/>
      <c r="E2182" s="103" t="str">
        <f aca="false">IF($C2182="","",IFERROR(INDEX(المنيو!$C$2:$C$500,MATCH($C2182,المنيو!$B$2:$B$500,0)),0))</f>
        <v/>
      </c>
      <c r="F2182" s="103" t="str">
        <f aca="false">IF($C2182="","",$D2182*$E2182)</f>
        <v/>
      </c>
      <c r="G2182" s="103" t="str">
        <f aca="false">IF($C2182="","",$D2182*IFERROR(INDEX('تحليل التكلفة والسعر'!$C$2:$C$700,MATCH($C2182,'تحليل التكلفة والسعر'!$B$2:$B$700,0)),0))</f>
        <v/>
      </c>
    </row>
    <row r="2183" customFormat="false" ht="15" hidden="false" customHeight="false" outlineLevel="0" collapsed="false">
      <c r="A2183" s="102"/>
      <c r="E2183" s="103" t="str">
        <f aca="false">IF($C2183="","",IFERROR(INDEX(المنيو!$C$2:$C$500,MATCH($C2183,المنيو!$B$2:$B$500,0)),0))</f>
        <v/>
      </c>
      <c r="F2183" s="103" t="str">
        <f aca="false">IF($C2183="","",$D2183*$E2183)</f>
        <v/>
      </c>
      <c r="G2183" s="103" t="str">
        <f aca="false">IF($C2183="","",$D2183*IFERROR(INDEX('تحليل التكلفة والسعر'!$C$2:$C$700,MATCH($C2183,'تحليل التكلفة والسعر'!$B$2:$B$700,0)),0))</f>
        <v/>
      </c>
    </row>
    <row r="2184" customFormat="false" ht="15" hidden="false" customHeight="false" outlineLevel="0" collapsed="false">
      <c r="A2184" s="102"/>
      <c r="E2184" s="103" t="str">
        <f aca="false">IF($C2184="","",IFERROR(INDEX(المنيو!$C$2:$C$500,MATCH($C2184,المنيو!$B$2:$B$500,0)),0))</f>
        <v/>
      </c>
      <c r="F2184" s="103" t="str">
        <f aca="false">IF($C2184="","",$D2184*$E2184)</f>
        <v/>
      </c>
      <c r="G2184" s="103" t="str">
        <f aca="false">IF($C2184="","",$D2184*IFERROR(INDEX('تحليل التكلفة والسعر'!$C$2:$C$700,MATCH($C2184,'تحليل التكلفة والسعر'!$B$2:$B$700,0)),0))</f>
        <v/>
      </c>
    </row>
    <row r="2185" customFormat="false" ht="15" hidden="false" customHeight="false" outlineLevel="0" collapsed="false">
      <c r="A2185" s="102"/>
      <c r="E2185" s="103" t="str">
        <f aca="false">IF($C2185="","",IFERROR(INDEX(المنيو!$C$2:$C$500,MATCH($C2185,المنيو!$B$2:$B$500,0)),0))</f>
        <v/>
      </c>
      <c r="F2185" s="103" t="str">
        <f aca="false">IF($C2185="","",$D2185*$E2185)</f>
        <v/>
      </c>
      <c r="G2185" s="103" t="str">
        <f aca="false">IF($C2185="","",$D2185*IFERROR(INDEX('تحليل التكلفة والسعر'!$C$2:$C$700,MATCH($C2185,'تحليل التكلفة والسعر'!$B$2:$B$700,0)),0))</f>
        <v/>
      </c>
    </row>
    <row r="2186" customFormat="false" ht="15" hidden="false" customHeight="false" outlineLevel="0" collapsed="false">
      <c r="A2186" s="102"/>
      <c r="E2186" s="103" t="str">
        <f aca="false">IF($C2186="","",IFERROR(INDEX(المنيو!$C$2:$C$500,MATCH($C2186,المنيو!$B$2:$B$500,0)),0))</f>
        <v/>
      </c>
      <c r="F2186" s="103" t="str">
        <f aca="false">IF($C2186="","",$D2186*$E2186)</f>
        <v/>
      </c>
      <c r="G2186" s="103" t="str">
        <f aca="false">IF($C2186="","",$D2186*IFERROR(INDEX('تحليل التكلفة والسعر'!$C$2:$C$700,MATCH($C2186,'تحليل التكلفة والسعر'!$B$2:$B$700,0)),0))</f>
        <v/>
      </c>
    </row>
    <row r="2187" customFormat="false" ht="15" hidden="false" customHeight="false" outlineLevel="0" collapsed="false">
      <c r="A2187" s="102"/>
      <c r="E2187" s="103" t="str">
        <f aca="false">IF($C2187="","",IFERROR(INDEX(المنيو!$C$2:$C$500,MATCH($C2187,المنيو!$B$2:$B$500,0)),0))</f>
        <v/>
      </c>
      <c r="F2187" s="103" t="str">
        <f aca="false">IF($C2187="","",$D2187*$E2187)</f>
        <v/>
      </c>
      <c r="G2187" s="103" t="str">
        <f aca="false">IF($C2187="","",$D2187*IFERROR(INDEX('تحليل التكلفة والسعر'!$C$2:$C$700,MATCH($C2187,'تحليل التكلفة والسعر'!$B$2:$B$700,0)),0))</f>
        <v/>
      </c>
    </row>
    <row r="2188" customFormat="false" ht="15" hidden="false" customHeight="false" outlineLevel="0" collapsed="false">
      <c r="A2188" s="102"/>
      <c r="E2188" s="103" t="str">
        <f aca="false">IF($C2188="","",IFERROR(INDEX(المنيو!$C$2:$C$500,MATCH($C2188,المنيو!$B$2:$B$500,0)),0))</f>
        <v/>
      </c>
      <c r="F2188" s="103" t="str">
        <f aca="false">IF($C2188="","",$D2188*$E2188)</f>
        <v/>
      </c>
      <c r="G2188" s="103" t="str">
        <f aca="false">IF($C2188="","",$D2188*IFERROR(INDEX('تحليل التكلفة والسعر'!$C$2:$C$700,MATCH($C2188,'تحليل التكلفة والسعر'!$B$2:$B$700,0)),0))</f>
        <v/>
      </c>
    </row>
    <row r="2189" customFormat="false" ht="15" hidden="false" customHeight="false" outlineLevel="0" collapsed="false">
      <c r="A2189" s="102"/>
      <c r="E2189" s="103" t="str">
        <f aca="false">IF($C2189="","",IFERROR(INDEX(المنيو!$C$2:$C$500,MATCH($C2189,المنيو!$B$2:$B$500,0)),0))</f>
        <v/>
      </c>
      <c r="F2189" s="103" t="str">
        <f aca="false">IF($C2189="","",$D2189*$E2189)</f>
        <v/>
      </c>
      <c r="G2189" s="103" t="str">
        <f aca="false">IF($C2189="","",$D2189*IFERROR(INDEX('تحليل التكلفة والسعر'!$C$2:$C$700,MATCH($C2189,'تحليل التكلفة والسعر'!$B$2:$B$700,0)),0))</f>
        <v/>
      </c>
    </row>
    <row r="2190" customFormat="false" ht="15" hidden="false" customHeight="false" outlineLevel="0" collapsed="false">
      <c r="A2190" s="102"/>
      <c r="E2190" s="103" t="str">
        <f aca="false">IF($C2190="","",IFERROR(INDEX(المنيو!$C$2:$C$500,MATCH($C2190,المنيو!$B$2:$B$500,0)),0))</f>
        <v/>
      </c>
      <c r="F2190" s="103" t="str">
        <f aca="false">IF($C2190="","",$D2190*$E2190)</f>
        <v/>
      </c>
      <c r="G2190" s="103" t="str">
        <f aca="false">IF($C2190="","",$D2190*IFERROR(INDEX('تحليل التكلفة والسعر'!$C$2:$C$700,MATCH($C2190,'تحليل التكلفة والسعر'!$B$2:$B$700,0)),0))</f>
        <v/>
      </c>
    </row>
    <row r="2191" customFormat="false" ht="15" hidden="false" customHeight="false" outlineLevel="0" collapsed="false">
      <c r="A2191" s="102"/>
      <c r="E2191" s="103" t="str">
        <f aca="false">IF($C2191="","",IFERROR(INDEX(المنيو!$C$2:$C$500,MATCH($C2191,المنيو!$B$2:$B$500,0)),0))</f>
        <v/>
      </c>
      <c r="F2191" s="103" t="str">
        <f aca="false">IF($C2191="","",$D2191*$E2191)</f>
        <v/>
      </c>
      <c r="G2191" s="103" t="str">
        <f aca="false">IF($C2191="","",$D2191*IFERROR(INDEX('تحليل التكلفة والسعر'!$C$2:$C$700,MATCH($C2191,'تحليل التكلفة والسعر'!$B$2:$B$700,0)),0))</f>
        <v/>
      </c>
    </row>
    <row r="2192" customFormat="false" ht="15" hidden="false" customHeight="false" outlineLevel="0" collapsed="false">
      <c r="A2192" s="102"/>
      <c r="E2192" s="103" t="str">
        <f aca="false">IF($C2192="","",IFERROR(INDEX(المنيو!$C$2:$C$500,MATCH($C2192,المنيو!$B$2:$B$500,0)),0))</f>
        <v/>
      </c>
      <c r="F2192" s="103" t="str">
        <f aca="false">IF($C2192="","",$D2192*$E2192)</f>
        <v/>
      </c>
      <c r="G2192" s="103" t="str">
        <f aca="false">IF($C2192="","",$D2192*IFERROR(INDEX('تحليل التكلفة والسعر'!$C$2:$C$700,MATCH($C2192,'تحليل التكلفة والسعر'!$B$2:$B$700,0)),0))</f>
        <v/>
      </c>
    </row>
    <row r="2193" customFormat="false" ht="15" hidden="false" customHeight="false" outlineLevel="0" collapsed="false">
      <c r="A2193" s="102"/>
      <c r="E2193" s="103" t="str">
        <f aca="false">IF($C2193="","",IFERROR(INDEX(المنيو!$C$2:$C$500,MATCH($C2193,المنيو!$B$2:$B$500,0)),0))</f>
        <v/>
      </c>
      <c r="F2193" s="103" t="str">
        <f aca="false">IF($C2193="","",$D2193*$E2193)</f>
        <v/>
      </c>
      <c r="G2193" s="103" t="str">
        <f aca="false">IF($C2193="","",$D2193*IFERROR(INDEX('تحليل التكلفة والسعر'!$C$2:$C$700,MATCH($C2193,'تحليل التكلفة والسعر'!$B$2:$B$700,0)),0))</f>
        <v/>
      </c>
    </row>
    <row r="2194" customFormat="false" ht="15" hidden="false" customHeight="false" outlineLevel="0" collapsed="false">
      <c r="A2194" s="102"/>
      <c r="E2194" s="103" t="str">
        <f aca="false">IF($C2194="","",IFERROR(INDEX(المنيو!$C$2:$C$500,MATCH($C2194,المنيو!$B$2:$B$500,0)),0))</f>
        <v/>
      </c>
      <c r="F2194" s="103" t="str">
        <f aca="false">IF($C2194="","",$D2194*$E2194)</f>
        <v/>
      </c>
      <c r="G2194" s="103" t="str">
        <f aca="false">IF($C2194="","",$D2194*IFERROR(INDEX('تحليل التكلفة والسعر'!$C$2:$C$700,MATCH($C2194,'تحليل التكلفة والسعر'!$B$2:$B$700,0)),0))</f>
        <v/>
      </c>
    </row>
    <row r="2195" customFormat="false" ht="15" hidden="false" customHeight="false" outlineLevel="0" collapsed="false">
      <c r="A2195" s="102"/>
      <c r="E2195" s="103" t="str">
        <f aca="false">IF($C2195="","",IFERROR(INDEX(المنيو!$C$2:$C$500,MATCH($C2195,المنيو!$B$2:$B$500,0)),0))</f>
        <v/>
      </c>
      <c r="F2195" s="103" t="str">
        <f aca="false">IF($C2195="","",$D2195*$E2195)</f>
        <v/>
      </c>
      <c r="G2195" s="103" t="str">
        <f aca="false">IF($C2195="","",$D2195*IFERROR(INDEX('تحليل التكلفة والسعر'!$C$2:$C$700,MATCH($C2195,'تحليل التكلفة والسعر'!$B$2:$B$700,0)),0))</f>
        <v/>
      </c>
    </row>
    <row r="2196" customFormat="false" ht="15" hidden="false" customHeight="false" outlineLevel="0" collapsed="false">
      <c r="A2196" s="102"/>
      <c r="E2196" s="103" t="str">
        <f aca="false">IF($C2196="","",IFERROR(INDEX(المنيو!$C$2:$C$500,MATCH($C2196,المنيو!$B$2:$B$500,0)),0))</f>
        <v/>
      </c>
      <c r="F2196" s="103" t="str">
        <f aca="false">IF($C2196="","",$D2196*$E2196)</f>
        <v/>
      </c>
      <c r="G2196" s="103" t="str">
        <f aca="false">IF($C2196="","",$D2196*IFERROR(INDEX('تحليل التكلفة والسعر'!$C$2:$C$700,MATCH($C2196,'تحليل التكلفة والسعر'!$B$2:$B$700,0)),0))</f>
        <v/>
      </c>
    </row>
    <row r="2197" customFormat="false" ht="15" hidden="false" customHeight="false" outlineLevel="0" collapsed="false">
      <c r="A2197" s="102"/>
      <c r="E2197" s="103" t="str">
        <f aca="false">IF($C2197="","",IFERROR(INDEX(المنيو!$C$2:$C$500,MATCH($C2197,المنيو!$B$2:$B$500,0)),0))</f>
        <v/>
      </c>
      <c r="F2197" s="103" t="str">
        <f aca="false">IF($C2197="","",$D2197*$E2197)</f>
        <v/>
      </c>
      <c r="G2197" s="103" t="str">
        <f aca="false">IF($C2197="","",$D2197*IFERROR(INDEX('تحليل التكلفة والسعر'!$C$2:$C$700,MATCH($C2197,'تحليل التكلفة والسعر'!$B$2:$B$700,0)),0))</f>
        <v/>
      </c>
    </row>
    <row r="2198" customFormat="false" ht="15" hidden="false" customHeight="false" outlineLevel="0" collapsed="false">
      <c r="A2198" s="102"/>
      <c r="E2198" s="103" t="str">
        <f aca="false">IF($C2198="","",IFERROR(INDEX(المنيو!$C$2:$C$500,MATCH($C2198,المنيو!$B$2:$B$500,0)),0))</f>
        <v/>
      </c>
      <c r="F2198" s="103" t="str">
        <f aca="false">IF($C2198="","",$D2198*$E2198)</f>
        <v/>
      </c>
      <c r="G2198" s="103" t="str">
        <f aca="false">IF($C2198="","",$D2198*IFERROR(INDEX('تحليل التكلفة والسعر'!$C$2:$C$700,MATCH($C2198,'تحليل التكلفة والسعر'!$B$2:$B$700,0)),0))</f>
        <v/>
      </c>
    </row>
    <row r="2199" customFormat="false" ht="15" hidden="false" customHeight="false" outlineLevel="0" collapsed="false">
      <c r="A2199" s="102"/>
      <c r="E2199" s="103" t="str">
        <f aca="false">IF($C2199="","",IFERROR(INDEX(المنيو!$C$2:$C$500,MATCH($C2199,المنيو!$B$2:$B$500,0)),0))</f>
        <v/>
      </c>
      <c r="F2199" s="103" t="str">
        <f aca="false">IF($C2199="","",$D2199*$E2199)</f>
        <v/>
      </c>
      <c r="G2199" s="103" t="str">
        <f aca="false">IF($C2199="","",$D2199*IFERROR(INDEX('تحليل التكلفة والسعر'!$C$2:$C$700,MATCH($C2199,'تحليل التكلفة والسعر'!$B$2:$B$700,0)),0))</f>
        <v/>
      </c>
    </row>
    <row r="2200" customFormat="false" ht="15" hidden="false" customHeight="false" outlineLevel="0" collapsed="false">
      <c r="A2200" s="102"/>
      <c r="E2200" s="103" t="str">
        <f aca="false">IF($C2200="","",IFERROR(INDEX(المنيو!$C$2:$C$500,MATCH($C2200,المنيو!$B$2:$B$500,0)),0))</f>
        <v/>
      </c>
      <c r="F2200" s="103" t="str">
        <f aca="false">IF($C2200="","",$D2200*$E2200)</f>
        <v/>
      </c>
      <c r="G2200" s="103" t="str">
        <f aca="false">IF($C2200="","",$D2200*IFERROR(INDEX('تحليل التكلفة والسعر'!$C$2:$C$700,MATCH($C2200,'تحليل التكلفة والسعر'!$B$2:$B$700,0)),0))</f>
        <v/>
      </c>
    </row>
    <row r="2201" customFormat="false" ht="15" hidden="false" customHeight="false" outlineLevel="0" collapsed="false">
      <c r="A2201" s="102"/>
      <c r="E2201" s="103" t="str">
        <f aca="false">IF($C2201="","",IFERROR(INDEX(المنيو!$C$2:$C$500,MATCH($C2201,المنيو!$B$2:$B$500,0)),0))</f>
        <v/>
      </c>
      <c r="F2201" s="103" t="str">
        <f aca="false">IF($C2201="","",$D2201*$E2201)</f>
        <v/>
      </c>
      <c r="G2201" s="103" t="str">
        <f aca="false">IF($C2201="","",$D2201*IFERROR(INDEX('تحليل التكلفة والسعر'!$C$2:$C$700,MATCH($C2201,'تحليل التكلفة والسعر'!$B$2:$B$700,0)),0))</f>
        <v/>
      </c>
    </row>
    <row r="2202" customFormat="false" ht="15" hidden="false" customHeight="false" outlineLevel="0" collapsed="false">
      <c r="A2202" s="102"/>
      <c r="E2202" s="103" t="str">
        <f aca="false">IF($C2202="","",IFERROR(INDEX(المنيو!$C$2:$C$500,MATCH($C2202,المنيو!$B$2:$B$500,0)),0))</f>
        <v/>
      </c>
      <c r="F2202" s="103" t="str">
        <f aca="false">IF($C2202="","",$D2202*$E2202)</f>
        <v/>
      </c>
      <c r="G2202" s="103" t="str">
        <f aca="false">IF($C2202="","",$D2202*IFERROR(INDEX('تحليل التكلفة والسعر'!$C$2:$C$700,MATCH($C2202,'تحليل التكلفة والسعر'!$B$2:$B$700,0)),0))</f>
        <v/>
      </c>
    </row>
    <row r="2203" customFormat="false" ht="15" hidden="false" customHeight="false" outlineLevel="0" collapsed="false">
      <c r="A2203" s="102"/>
      <c r="E2203" s="103" t="str">
        <f aca="false">IF($C2203="","",IFERROR(INDEX(المنيو!$C$2:$C$500,MATCH($C2203,المنيو!$B$2:$B$500,0)),0))</f>
        <v/>
      </c>
      <c r="F2203" s="103" t="str">
        <f aca="false">IF($C2203="","",$D2203*$E2203)</f>
        <v/>
      </c>
      <c r="G2203" s="103" t="str">
        <f aca="false">IF($C2203="","",$D2203*IFERROR(INDEX('تحليل التكلفة والسعر'!$C$2:$C$700,MATCH($C2203,'تحليل التكلفة والسعر'!$B$2:$B$700,0)),0))</f>
        <v/>
      </c>
    </row>
    <row r="2204" customFormat="false" ht="15" hidden="false" customHeight="false" outlineLevel="0" collapsed="false">
      <c r="A2204" s="102"/>
      <c r="E2204" s="103" t="str">
        <f aca="false">IF($C2204="","",IFERROR(INDEX(المنيو!$C$2:$C$500,MATCH($C2204,المنيو!$B$2:$B$500,0)),0))</f>
        <v/>
      </c>
      <c r="F2204" s="103" t="str">
        <f aca="false">IF($C2204="","",$D2204*$E2204)</f>
        <v/>
      </c>
      <c r="G2204" s="103" t="str">
        <f aca="false">IF($C2204="","",$D2204*IFERROR(INDEX('تحليل التكلفة والسعر'!$C$2:$C$700,MATCH($C2204,'تحليل التكلفة والسعر'!$B$2:$B$700,0)),0))</f>
        <v/>
      </c>
    </row>
    <row r="2205" customFormat="false" ht="15" hidden="false" customHeight="false" outlineLevel="0" collapsed="false">
      <c r="A2205" s="102"/>
      <c r="E2205" s="103" t="str">
        <f aca="false">IF($C2205="","",IFERROR(INDEX(المنيو!$C$2:$C$500,MATCH($C2205,المنيو!$B$2:$B$500,0)),0))</f>
        <v/>
      </c>
      <c r="F2205" s="103" t="str">
        <f aca="false">IF($C2205="","",$D2205*$E2205)</f>
        <v/>
      </c>
      <c r="G2205" s="103" t="str">
        <f aca="false">IF($C2205="","",$D2205*IFERROR(INDEX('تحليل التكلفة والسعر'!$C$2:$C$700,MATCH($C2205,'تحليل التكلفة والسعر'!$B$2:$B$700,0)),0))</f>
        <v/>
      </c>
    </row>
    <row r="2206" customFormat="false" ht="15" hidden="false" customHeight="false" outlineLevel="0" collapsed="false">
      <c r="A2206" s="102"/>
      <c r="E2206" s="103" t="str">
        <f aca="false">IF($C2206="","",IFERROR(INDEX(المنيو!$C$2:$C$500,MATCH($C2206,المنيو!$B$2:$B$500,0)),0))</f>
        <v/>
      </c>
      <c r="F2206" s="103" t="str">
        <f aca="false">IF($C2206="","",$D2206*$E2206)</f>
        <v/>
      </c>
      <c r="G2206" s="103" t="str">
        <f aca="false">IF($C2206="","",$D2206*IFERROR(INDEX('تحليل التكلفة والسعر'!$C$2:$C$700,MATCH($C2206,'تحليل التكلفة والسعر'!$B$2:$B$700,0)),0))</f>
        <v/>
      </c>
    </row>
    <row r="2207" customFormat="false" ht="15" hidden="false" customHeight="false" outlineLevel="0" collapsed="false">
      <c r="A2207" s="102"/>
      <c r="E2207" s="103" t="str">
        <f aca="false">IF($C2207="","",IFERROR(INDEX(المنيو!$C$2:$C$500,MATCH($C2207,المنيو!$B$2:$B$500,0)),0))</f>
        <v/>
      </c>
      <c r="F2207" s="103" t="str">
        <f aca="false">IF($C2207="","",$D2207*$E2207)</f>
        <v/>
      </c>
      <c r="G2207" s="103" t="str">
        <f aca="false">IF($C2207="","",$D2207*IFERROR(INDEX('تحليل التكلفة والسعر'!$C$2:$C$700,MATCH($C2207,'تحليل التكلفة والسعر'!$B$2:$B$700,0)),0))</f>
        <v/>
      </c>
    </row>
    <row r="2208" customFormat="false" ht="15" hidden="false" customHeight="false" outlineLevel="0" collapsed="false">
      <c r="A2208" s="102"/>
      <c r="E2208" s="103" t="str">
        <f aca="false">IF($C2208="","",IFERROR(INDEX(المنيو!$C$2:$C$500,MATCH($C2208,المنيو!$B$2:$B$500,0)),0))</f>
        <v/>
      </c>
      <c r="F2208" s="103" t="str">
        <f aca="false">IF($C2208="","",$D2208*$E2208)</f>
        <v/>
      </c>
      <c r="G2208" s="103" t="str">
        <f aca="false">IF($C2208="","",$D2208*IFERROR(INDEX('تحليل التكلفة والسعر'!$C$2:$C$700,MATCH($C2208,'تحليل التكلفة والسعر'!$B$2:$B$700,0)),0))</f>
        <v/>
      </c>
    </row>
    <row r="2209" customFormat="false" ht="15" hidden="false" customHeight="false" outlineLevel="0" collapsed="false">
      <c r="A2209" s="102"/>
      <c r="E2209" s="103" t="str">
        <f aca="false">IF($C2209="","",IFERROR(INDEX(المنيو!$C$2:$C$500,MATCH($C2209,المنيو!$B$2:$B$500,0)),0))</f>
        <v/>
      </c>
      <c r="F2209" s="103" t="str">
        <f aca="false">IF($C2209="","",$D2209*$E2209)</f>
        <v/>
      </c>
      <c r="G2209" s="103" t="str">
        <f aca="false">IF($C2209="","",$D2209*IFERROR(INDEX('تحليل التكلفة والسعر'!$C$2:$C$700,MATCH($C2209,'تحليل التكلفة والسعر'!$B$2:$B$700,0)),0))</f>
        <v/>
      </c>
    </row>
    <row r="2210" customFormat="false" ht="15" hidden="false" customHeight="false" outlineLevel="0" collapsed="false">
      <c r="A2210" s="102"/>
      <c r="E2210" s="103" t="str">
        <f aca="false">IF($C2210="","",IFERROR(INDEX(المنيو!$C$2:$C$500,MATCH($C2210,المنيو!$B$2:$B$500,0)),0))</f>
        <v/>
      </c>
      <c r="F2210" s="103" t="str">
        <f aca="false">IF($C2210="","",$D2210*$E2210)</f>
        <v/>
      </c>
      <c r="G2210" s="103" t="str">
        <f aca="false">IF($C2210="","",$D2210*IFERROR(INDEX('تحليل التكلفة والسعر'!$C$2:$C$700,MATCH($C2210,'تحليل التكلفة والسعر'!$B$2:$B$700,0)),0))</f>
        <v/>
      </c>
    </row>
    <row r="2211" customFormat="false" ht="15" hidden="false" customHeight="false" outlineLevel="0" collapsed="false">
      <c r="A2211" s="102"/>
      <c r="E2211" s="103" t="str">
        <f aca="false">IF($C2211="","",IFERROR(INDEX(المنيو!$C$2:$C$500,MATCH($C2211,المنيو!$B$2:$B$500,0)),0))</f>
        <v/>
      </c>
      <c r="F2211" s="103" t="str">
        <f aca="false">IF($C2211="","",$D2211*$E2211)</f>
        <v/>
      </c>
      <c r="G2211" s="103" t="str">
        <f aca="false">IF($C2211="","",$D2211*IFERROR(INDEX('تحليل التكلفة والسعر'!$C$2:$C$700,MATCH($C2211,'تحليل التكلفة والسعر'!$B$2:$B$700,0)),0))</f>
        <v/>
      </c>
    </row>
    <row r="2212" customFormat="false" ht="15" hidden="false" customHeight="false" outlineLevel="0" collapsed="false">
      <c r="A2212" s="102"/>
      <c r="E2212" s="103" t="str">
        <f aca="false">IF($C2212="","",IFERROR(INDEX(المنيو!$C$2:$C$500,MATCH($C2212,المنيو!$B$2:$B$500,0)),0))</f>
        <v/>
      </c>
      <c r="F2212" s="103" t="str">
        <f aca="false">IF($C2212="","",$D2212*$E2212)</f>
        <v/>
      </c>
      <c r="G2212" s="103" t="str">
        <f aca="false">IF($C2212="","",$D2212*IFERROR(INDEX('تحليل التكلفة والسعر'!$C$2:$C$700,MATCH($C2212,'تحليل التكلفة والسعر'!$B$2:$B$700,0)),0))</f>
        <v/>
      </c>
    </row>
    <row r="2213" customFormat="false" ht="15" hidden="false" customHeight="false" outlineLevel="0" collapsed="false">
      <c r="A2213" s="102"/>
      <c r="E2213" s="103" t="str">
        <f aca="false">IF($C2213="","",IFERROR(INDEX(المنيو!$C$2:$C$500,MATCH($C2213,المنيو!$B$2:$B$500,0)),0))</f>
        <v/>
      </c>
      <c r="F2213" s="103" t="str">
        <f aca="false">IF($C2213="","",$D2213*$E2213)</f>
        <v/>
      </c>
      <c r="G2213" s="103" t="str">
        <f aca="false">IF($C2213="","",$D2213*IFERROR(INDEX('تحليل التكلفة والسعر'!$C$2:$C$700,MATCH($C2213,'تحليل التكلفة والسعر'!$B$2:$B$700,0)),0))</f>
        <v/>
      </c>
    </row>
    <row r="2214" customFormat="false" ht="15" hidden="false" customHeight="false" outlineLevel="0" collapsed="false">
      <c r="A2214" s="102"/>
      <c r="E2214" s="103" t="str">
        <f aca="false">IF($C2214="","",IFERROR(INDEX(المنيو!$C$2:$C$500,MATCH($C2214,المنيو!$B$2:$B$500,0)),0))</f>
        <v/>
      </c>
      <c r="F2214" s="103" t="str">
        <f aca="false">IF($C2214="","",$D2214*$E2214)</f>
        <v/>
      </c>
      <c r="G2214" s="103" t="str">
        <f aca="false">IF($C2214="","",$D2214*IFERROR(INDEX('تحليل التكلفة والسعر'!$C$2:$C$700,MATCH($C2214,'تحليل التكلفة والسعر'!$B$2:$B$700,0)),0))</f>
        <v/>
      </c>
    </row>
    <row r="2215" customFormat="false" ht="15" hidden="false" customHeight="false" outlineLevel="0" collapsed="false">
      <c r="A2215" s="102"/>
      <c r="E2215" s="103" t="str">
        <f aca="false">IF($C2215="","",IFERROR(INDEX(المنيو!$C$2:$C$500,MATCH($C2215,المنيو!$B$2:$B$500,0)),0))</f>
        <v/>
      </c>
      <c r="F2215" s="103" t="str">
        <f aca="false">IF($C2215="","",$D2215*$E2215)</f>
        <v/>
      </c>
      <c r="G2215" s="103" t="str">
        <f aca="false">IF($C2215="","",$D2215*IFERROR(INDEX('تحليل التكلفة والسعر'!$C$2:$C$700,MATCH($C2215,'تحليل التكلفة والسعر'!$B$2:$B$700,0)),0))</f>
        <v/>
      </c>
    </row>
    <row r="2216" customFormat="false" ht="15" hidden="false" customHeight="false" outlineLevel="0" collapsed="false">
      <c r="A2216" s="102"/>
      <c r="E2216" s="103" t="str">
        <f aca="false">IF($C2216="","",IFERROR(INDEX(المنيو!$C$2:$C$500,MATCH($C2216,المنيو!$B$2:$B$500,0)),0))</f>
        <v/>
      </c>
      <c r="F2216" s="103" t="str">
        <f aca="false">IF($C2216="","",$D2216*$E2216)</f>
        <v/>
      </c>
      <c r="G2216" s="103" t="str">
        <f aca="false">IF($C2216="","",$D2216*IFERROR(INDEX('تحليل التكلفة والسعر'!$C$2:$C$700,MATCH($C2216,'تحليل التكلفة والسعر'!$B$2:$B$700,0)),0))</f>
        <v/>
      </c>
    </row>
    <row r="2217" customFormat="false" ht="15" hidden="false" customHeight="false" outlineLevel="0" collapsed="false">
      <c r="A2217" s="102"/>
      <c r="E2217" s="103" t="str">
        <f aca="false">IF($C2217="","",IFERROR(INDEX(المنيو!$C$2:$C$500,MATCH($C2217,المنيو!$B$2:$B$500,0)),0))</f>
        <v/>
      </c>
      <c r="F2217" s="103" t="str">
        <f aca="false">IF($C2217="","",$D2217*$E2217)</f>
        <v/>
      </c>
      <c r="G2217" s="103" t="str">
        <f aca="false">IF($C2217="","",$D2217*IFERROR(INDEX('تحليل التكلفة والسعر'!$C$2:$C$700,MATCH($C2217,'تحليل التكلفة والسعر'!$B$2:$B$700,0)),0))</f>
        <v/>
      </c>
    </row>
    <row r="2218" customFormat="false" ht="15" hidden="false" customHeight="false" outlineLevel="0" collapsed="false">
      <c r="A2218" s="102"/>
      <c r="E2218" s="103" t="str">
        <f aca="false">IF($C2218="","",IFERROR(INDEX(المنيو!$C$2:$C$500,MATCH($C2218,المنيو!$B$2:$B$500,0)),0))</f>
        <v/>
      </c>
      <c r="F2218" s="103" t="str">
        <f aca="false">IF($C2218="","",$D2218*$E2218)</f>
        <v/>
      </c>
      <c r="G2218" s="103" t="str">
        <f aca="false">IF($C2218="","",$D2218*IFERROR(INDEX('تحليل التكلفة والسعر'!$C$2:$C$700,MATCH($C2218,'تحليل التكلفة والسعر'!$B$2:$B$700,0)),0))</f>
        <v/>
      </c>
    </row>
    <row r="2219" customFormat="false" ht="15" hidden="false" customHeight="false" outlineLevel="0" collapsed="false">
      <c r="A2219" s="102"/>
      <c r="E2219" s="103" t="str">
        <f aca="false">IF($C2219="","",IFERROR(INDEX(المنيو!$C$2:$C$500,MATCH($C2219,المنيو!$B$2:$B$500,0)),0))</f>
        <v/>
      </c>
      <c r="F2219" s="103" t="str">
        <f aca="false">IF($C2219="","",$D2219*$E2219)</f>
        <v/>
      </c>
      <c r="G2219" s="103" t="str">
        <f aca="false">IF($C2219="","",$D2219*IFERROR(INDEX('تحليل التكلفة والسعر'!$C$2:$C$700,MATCH($C2219,'تحليل التكلفة والسعر'!$B$2:$B$700,0)),0))</f>
        <v/>
      </c>
    </row>
    <row r="2220" customFormat="false" ht="15" hidden="false" customHeight="false" outlineLevel="0" collapsed="false">
      <c r="A2220" s="102"/>
      <c r="E2220" s="103" t="str">
        <f aca="false">IF($C2220="","",IFERROR(INDEX(المنيو!$C$2:$C$500,MATCH($C2220,المنيو!$B$2:$B$500,0)),0))</f>
        <v/>
      </c>
      <c r="F2220" s="103" t="str">
        <f aca="false">IF($C2220="","",$D2220*$E2220)</f>
        <v/>
      </c>
      <c r="G2220" s="103" t="str">
        <f aca="false">IF($C2220="","",$D2220*IFERROR(INDEX('تحليل التكلفة والسعر'!$C$2:$C$700,MATCH($C2220,'تحليل التكلفة والسعر'!$B$2:$B$700,0)),0))</f>
        <v/>
      </c>
    </row>
    <row r="2221" customFormat="false" ht="15" hidden="false" customHeight="false" outlineLevel="0" collapsed="false">
      <c r="A2221" s="102"/>
      <c r="E2221" s="103" t="str">
        <f aca="false">IF($C2221="","",IFERROR(INDEX(المنيو!$C$2:$C$500,MATCH($C2221,المنيو!$B$2:$B$500,0)),0))</f>
        <v/>
      </c>
      <c r="F2221" s="103" t="str">
        <f aca="false">IF($C2221="","",$D2221*$E2221)</f>
        <v/>
      </c>
      <c r="G2221" s="103" t="str">
        <f aca="false">IF($C2221="","",$D2221*IFERROR(INDEX('تحليل التكلفة والسعر'!$C$2:$C$700,MATCH($C2221,'تحليل التكلفة والسعر'!$B$2:$B$700,0)),0))</f>
        <v/>
      </c>
    </row>
    <row r="2222" customFormat="false" ht="15" hidden="false" customHeight="false" outlineLevel="0" collapsed="false">
      <c r="A2222" s="102"/>
      <c r="E2222" s="103" t="str">
        <f aca="false">IF($C2222="","",IFERROR(INDEX(المنيو!$C$2:$C$500,MATCH($C2222,المنيو!$B$2:$B$500,0)),0))</f>
        <v/>
      </c>
      <c r="F2222" s="103" t="str">
        <f aca="false">IF($C2222="","",$D2222*$E2222)</f>
        <v/>
      </c>
      <c r="G2222" s="103" t="str">
        <f aca="false">IF($C2222="","",$D2222*IFERROR(INDEX('تحليل التكلفة والسعر'!$C$2:$C$700,MATCH($C2222,'تحليل التكلفة والسعر'!$B$2:$B$700,0)),0))</f>
        <v/>
      </c>
    </row>
    <row r="2223" customFormat="false" ht="15" hidden="false" customHeight="false" outlineLevel="0" collapsed="false">
      <c r="A2223" s="102"/>
      <c r="E2223" s="103" t="str">
        <f aca="false">IF($C2223="","",IFERROR(INDEX(المنيو!$C$2:$C$500,MATCH($C2223,المنيو!$B$2:$B$500,0)),0))</f>
        <v/>
      </c>
      <c r="F2223" s="103" t="str">
        <f aca="false">IF($C2223="","",$D2223*$E2223)</f>
        <v/>
      </c>
      <c r="G2223" s="103" t="str">
        <f aca="false">IF($C2223="","",$D2223*IFERROR(INDEX('تحليل التكلفة والسعر'!$C$2:$C$700,MATCH($C2223,'تحليل التكلفة والسعر'!$B$2:$B$700,0)),0))</f>
        <v/>
      </c>
    </row>
    <row r="2224" customFormat="false" ht="15" hidden="false" customHeight="false" outlineLevel="0" collapsed="false">
      <c r="A2224" s="102"/>
      <c r="E2224" s="103" t="str">
        <f aca="false">IF($C2224="","",IFERROR(INDEX(المنيو!$C$2:$C$500,MATCH($C2224,المنيو!$B$2:$B$500,0)),0))</f>
        <v/>
      </c>
      <c r="F2224" s="103" t="str">
        <f aca="false">IF($C2224="","",$D2224*$E2224)</f>
        <v/>
      </c>
      <c r="G2224" s="103" t="str">
        <f aca="false">IF($C2224="","",$D2224*IFERROR(INDEX('تحليل التكلفة والسعر'!$C$2:$C$700,MATCH($C2224,'تحليل التكلفة والسعر'!$B$2:$B$700,0)),0))</f>
        <v/>
      </c>
    </row>
    <row r="2225" customFormat="false" ht="15" hidden="false" customHeight="false" outlineLevel="0" collapsed="false">
      <c r="A2225" s="102"/>
      <c r="E2225" s="103" t="str">
        <f aca="false">IF($C2225="","",IFERROR(INDEX(المنيو!$C$2:$C$500,MATCH($C2225,المنيو!$B$2:$B$500,0)),0))</f>
        <v/>
      </c>
      <c r="F2225" s="103" t="str">
        <f aca="false">IF($C2225="","",$D2225*$E2225)</f>
        <v/>
      </c>
      <c r="G2225" s="103" t="str">
        <f aca="false">IF($C2225="","",$D2225*IFERROR(INDEX('تحليل التكلفة والسعر'!$C$2:$C$700,MATCH($C2225,'تحليل التكلفة والسعر'!$B$2:$B$700,0)),0))</f>
        <v/>
      </c>
    </row>
    <row r="2226" customFormat="false" ht="15" hidden="false" customHeight="false" outlineLevel="0" collapsed="false">
      <c r="A2226" s="102"/>
      <c r="E2226" s="103" t="str">
        <f aca="false">IF($C2226="","",IFERROR(INDEX(المنيو!$C$2:$C$500,MATCH($C2226,المنيو!$B$2:$B$500,0)),0))</f>
        <v/>
      </c>
      <c r="F2226" s="103" t="str">
        <f aca="false">IF($C2226="","",$D2226*$E2226)</f>
        <v/>
      </c>
      <c r="G2226" s="103" t="str">
        <f aca="false">IF($C2226="","",$D2226*IFERROR(INDEX('تحليل التكلفة والسعر'!$C$2:$C$700,MATCH($C2226,'تحليل التكلفة والسعر'!$B$2:$B$700,0)),0))</f>
        <v/>
      </c>
    </row>
    <row r="2227" customFormat="false" ht="15" hidden="false" customHeight="false" outlineLevel="0" collapsed="false">
      <c r="A2227" s="102"/>
      <c r="E2227" s="103" t="str">
        <f aca="false">IF($C2227="","",IFERROR(INDEX(المنيو!$C$2:$C$500,MATCH($C2227,المنيو!$B$2:$B$500,0)),0))</f>
        <v/>
      </c>
      <c r="F2227" s="103" t="str">
        <f aca="false">IF($C2227="","",$D2227*$E2227)</f>
        <v/>
      </c>
      <c r="G2227" s="103" t="str">
        <f aca="false">IF($C2227="","",$D2227*IFERROR(INDEX('تحليل التكلفة والسعر'!$C$2:$C$700,MATCH($C2227,'تحليل التكلفة والسعر'!$B$2:$B$700,0)),0))</f>
        <v/>
      </c>
    </row>
    <row r="2228" customFormat="false" ht="15" hidden="false" customHeight="false" outlineLevel="0" collapsed="false">
      <c r="A2228" s="102"/>
      <c r="E2228" s="103" t="str">
        <f aca="false">IF($C2228="","",IFERROR(INDEX(المنيو!$C$2:$C$500,MATCH($C2228,المنيو!$B$2:$B$500,0)),0))</f>
        <v/>
      </c>
      <c r="F2228" s="103" t="str">
        <f aca="false">IF($C2228="","",$D2228*$E2228)</f>
        <v/>
      </c>
      <c r="G2228" s="103" t="str">
        <f aca="false">IF($C2228="","",$D2228*IFERROR(INDEX('تحليل التكلفة والسعر'!$C$2:$C$700,MATCH($C2228,'تحليل التكلفة والسعر'!$B$2:$B$700,0)),0))</f>
        <v/>
      </c>
    </row>
    <row r="2229" customFormat="false" ht="15" hidden="false" customHeight="false" outlineLevel="0" collapsed="false">
      <c r="A2229" s="102"/>
      <c r="E2229" s="103" t="str">
        <f aca="false">IF($C2229="","",IFERROR(INDEX(المنيو!$C$2:$C$500,MATCH($C2229,المنيو!$B$2:$B$500,0)),0))</f>
        <v/>
      </c>
      <c r="F2229" s="103" t="str">
        <f aca="false">IF($C2229="","",$D2229*$E2229)</f>
        <v/>
      </c>
      <c r="G2229" s="103" t="str">
        <f aca="false">IF($C2229="","",$D2229*IFERROR(INDEX('تحليل التكلفة والسعر'!$C$2:$C$700,MATCH($C2229,'تحليل التكلفة والسعر'!$B$2:$B$700,0)),0))</f>
        <v/>
      </c>
    </row>
    <row r="2230" customFormat="false" ht="15" hidden="false" customHeight="false" outlineLevel="0" collapsed="false">
      <c r="A2230" s="102"/>
      <c r="E2230" s="103" t="str">
        <f aca="false">IF($C2230="","",IFERROR(INDEX(المنيو!$C$2:$C$500,MATCH($C2230,المنيو!$B$2:$B$500,0)),0))</f>
        <v/>
      </c>
      <c r="F2230" s="103" t="str">
        <f aca="false">IF($C2230="","",$D2230*$E2230)</f>
        <v/>
      </c>
      <c r="G2230" s="103" t="str">
        <f aca="false">IF($C2230="","",$D2230*IFERROR(INDEX('تحليل التكلفة والسعر'!$C$2:$C$700,MATCH($C2230,'تحليل التكلفة والسعر'!$B$2:$B$700,0)),0))</f>
        <v/>
      </c>
    </row>
    <row r="2231" customFormat="false" ht="15" hidden="false" customHeight="false" outlineLevel="0" collapsed="false">
      <c r="A2231" s="102"/>
      <c r="E2231" s="103" t="str">
        <f aca="false">IF($C2231="","",IFERROR(INDEX(المنيو!$C$2:$C$500,MATCH($C2231,المنيو!$B$2:$B$500,0)),0))</f>
        <v/>
      </c>
      <c r="F2231" s="103" t="str">
        <f aca="false">IF($C2231="","",$D2231*$E2231)</f>
        <v/>
      </c>
      <c r="G2231" s="103" t="str">
        <f aca="false">IF($C2231="","",$D2231*IFERROR(INDEX('تحليل التكلفة والسعر'!$C$2:$C$700,MATCH($C2231,'تحليل التكلفة والسعر'!$B$2:$B$700,0)),0))</f>
        <v/>
      </c>
    </row>
    <row r="2232" customFormat="false" ht="15" hidden="false" customHeight="false" outlineLevel="0" collapsed="false">
      <c r="A2232" s="102"/>
      <c r="E2232" s="103" t="str">
        <f aca="false">IF($C2232="","",IFERROR(INDEX(المنيو!$C$2:$C$500,MATCH($C2232,المنيو!$B$2:$B$500,0)),0))</f>
        <v/>
      </c>
      <c r="F2232" s="103" t="str">
        <f aca="false">IF($C2232="","",$D2232*$E2232)</f>
        <v/>
      </c>
      <c r="G2232" s="103" t="str">
        <f aca="false">IF($C2232="","",$D2232*IFERROR(INDEX('تحليل التكلفة والسعر'!$C$2:$C$700,MATCH($C2232,'تحليل التكلفة والسعر'!$B$2:$B$700,0)),0))</f>
        <v/>
      </c>
    </row>
    <row r="2233" customFormat="false" ht="15" hidden="false" customHeight="false" outlineLevel="0" collapsed="false">
      <c r="A2233" s="102"/>
      <c r="E2233" s="103" t="str">
        <f aca="false">IF($C2233="","",IFERROR(INDEX(المنيو!$C$2:$C$500,MATCH($C2233,المنيو!$B$2:$B$500,0)),0))</f>
        <v/>
      </c>
      <c r="F2233" s="103" t="str">
        <f aca="false">IF($C2233="","",$D2233*$E2233)</f>
        <v/>
      </c>
      <c r="G2233" s="103" t="str">
        <f aca="false">IF($C2233="","",$D2233*IFERROR(INDEX('تحليل التكلفة والسعر'!$C$2:$C$700,MATCH($C2233,'تحليل التكلفة والسعر'!$B$2:$B$700,0)),0))</f>
        <v/>
      </c>
    </row>
    <row r="2234" customFormat="false" ht="15" hidden="false" customHeight="false" outlineLevel="0" collapsed="false">
      <c r="A2234" s="102"/>
      <c r="E2234" s="103" t="str">
        <f aca="false">IF($C2234="","",IFERROR(INDEX(المنيو!$C$2:$C$500,MATCH($C2234,المنيو!$B$2:$B$500,0)),0))</f>
        <v/>
      </c>
      <c r="F2234" s="103" t="str">
        <f aca="false">IF($C2234="","",$D2234*$E2234)</f>
        <v/>
      </c>
      <c r="G2234" s="103" t="str">
        <f aca="false">IF($C2234="","",$D2234*IFERROR(INDEX('تحليل التكلفة والسعر'!$C$2:$C$700,MATCH($C2234,'تحليل التكلفة والسعر'!$B$2:$B$700,0)),0))</f>
        <v/>
      </c>
    </row>
    <row r="2235" customFormat="false" ht="15" hidden="false" customHeight="false" outlineLevel="0" collapsed="false">
      <c r="A2235" s="102"/>
      <c r="E2235" s="103" t="str">
        <f aca="false">IF($C2235="","",IFERROR(INDEX(المنيو!$C$2:$C$500,MATCH($C2235,المنيو!$B$2:$B$500,0)),0))</f>
        <v/>
      </c>
      <c r="F2235" s="103" t="str">
        <f aca="false">IF($C2235="","",$D2235*$E2235)</f>
        <v/>
      </c>
      <c r="G2235" s="103" t="str">
        <f aca="false">IF($C2235="","",$D2235*IFERROR(INDEX('تحليل التكلفة والسعر'!$C$2:$C$700,MATCH($C2235,'تحليل التكلفة والسعر'!$B$2:$B$700,0)),0))</f>
        <v/>
      </c>
    </row>
    <row r="2236" customFormat="false" ht="15" hidden="false" customHeight="false" outlineLevel="0" collapsed="false">
      <c r="A2236" s="102"/>
      <c r="E2236" s="103" t="str">
        <f aca="false">IF($C2236="","",IFERROR(INDEX(المنيو!$C$2:$C$500,MATCH($C2236,المنيو!$B$2:$B$500,0)),0))</f>
        <v/>
      </c>
      <c r="F2236" s="103" t="str">
        <f aca="false">IF($C2236="","",$D2236*$E2236)</f>
        <v/>
      </c>
      <c r="G2236" s="103" t="str">
        <f aca="false">IF($C2236="","",$D2236*IFERROR(INDEX('تحليل التكلفة والسعر'!$C$2:$C$700,MATCH($C2236,'تحليل التكلفة والسعر'!$B$2:$B$700,0)),0))</f>
        <v/>
      </c>
    </row>
    <row r="2237" customFormat="false" ht="15" hidden="false" customHeight="false" outlineLevel="0" collapsed="false">
      <c r="A2237" s="102"/>
      <c r="E2237" s="103" t="str">
        <f aca="false">IF($C2237="","",IFERROR(INDEX(المنيو!$C$2:$C$500,MATCH($C2237,المنيو!$B$2:$B$500,0)),0))</f>
        <v/>
      </c>
      <c r="F2237" s="103" t="str">
        <f aca="false">IF($C2237="","",$D2237*$E2237)</f>
        <v/>
      </c>
      <c r="G2237" s="103" t="str">
        <f aca="false">IF($C2237="","",$D2237*IFERROR(INDEX('تحليل التكلفة والسعر'!$C$2:$C$700,MATCH($C2237,'تحليل التكلفة والسعر'!$B$2:$B$700,0)),0))</f>
        <v/>
      </c>
    </row>
    <row r="2238" customFormat="false" ht="15" hidden="false" customHeight="false" outlineLevel="0" collapsed="false">
      <c r="A2238" s="102"/>
      <c r="E2238" s="103" t="str">
        <f aca="false">IF($C2238="","",IFERROR(INDEX(المنيو!$C$2:$C$500,MATCH($C2238,المنيو!$B$2:$B$500,0)),0))</f>
        <v/>
      </c>
      <c r="F2238" s="103" t="str">
        <f aca="false">IF($C2238="","",$D2238*$E2238)</f>
        <v/>
      </c>
      <c r="G2238" s="103" t="str">
        <f aca="false">IF($C2238="","",$D2238*IFERROR(INDEX('تحليل التكلفة والسعر'!$C$2:$C$700,MATCH($C2238,'تحليل التكلفة والسعر'!$B$2:$B$700,0)),0))</f>
        <v/>
      </c>
    </row>
    <row r="2239" customFormat="false" ht="15" hidden="false" customHeight="false" outlineLevel="0" collapsed="false">
      <c r="A2239" s="102"/>
      <c r="E2239" s="103" t="str">
        <f aca="false">IF($C2239="","",IFERROR(INDEX(المنيو!$C$2:$C$500,MATCH($C2239,المنيو!$B$2:$B$500,0)),0))</f>
        <v/>
      </c>
      <c r="F2239" s="103" t="str">
        <f aca="false">IF($C2239="","",$D2239*$E2239)</f>
        <v/>
      </c>
      <c r="G2239" s="103" t="str">
        <f aca="false">IF($C2239="","",$D2239*IFERROR(INDEX('تحليل التكلفة والسعر'!$C$2:$C$700,MATCH($C2239,'تحليل التكلفة والسعر'!$B$2:$B$700,0)),0))</f>
        <v/>
      </c>
    </row>
    <row r="2240" customFormat="false" ht="15" hidden="false" customHeight="false" outlineLevel="0" collapsed="false">
      <c r="A2240" s="102"/>
      <c r="E2240" s="103" t="str">
        <f aca="false">IF($C2240="","",IFERROR(INDEX(المنيو!$C$2:$C$500,MATCH($C2240,المنيو!$B$2:$B$500,0)),0))</f>
        <v/>
      </c>
      <c r="F2240" s="103" t="str">
        <f aca="false">IF($C2240="","",$D2240*$E2240)</f>
        <v/>
      </c>
      <c r="G2240" s="103" t="str">
        <f aca="false">IF($C2240="","",$D2240*IFERROR(INDEX('تحليل التكلفة والسعر'!$C$2:$C$700,MATCH($C2240,'تحليل التكلفة والسعر'!$B$2:$B$700,0)),0))</f>
        <v/>
      </c>
    </row>
    <row r="2241" customFormat="false" ht="15" hidden="false" customHeight="false" outlineLevel="0" collapsed="false">
      <c r="A2241" s="102"/>
      <c r="E2241" s="103" t="str">
        <f aca="false">IF($C2241="","",IFERROR(INDEX(المنيو!$C$2:$C$500,MATCH($C2241,المنيو!$B$2:$B$500,0)),0))</f>
        <v/>
      </c>
      <c r="F2241" s="103" t="str">
        <f aca="false">IF($C2241="","",$D2241*$E2241)</f>
        <v/>
      </c>
      <c r="G2241" s="103" t="str">
        <f aca="false">IF($C2241="","",$D2241*IFERROR(INDEX('تحليل التكلفة والسعر'!$C$2:$C$700,MATCH($C2241,'تحليل التكلفة والسعر'!$B$2:$B$700,0)),0))</f>
        <v/>
      </c>
    </row>
    <row r="2242" customFormat="false" ht="15" hidden="false" customHeight="false" outlineLevel="0" collapsed="false">
      <c r="A2242" s="102"/>
      <c r="E2242" s="103" t="str">
        <f aca="false">IF($C2242="","",IFERROR(INDEX(المنيو!$C$2:$C$500,MATCH($C2242,المنيو!$B$2:$B$500,0)),0))</f>
        <v/>
      </c>
      <c r="F2242" s="103" t="str">
        <f aca="false">IF($C2242="","",$D2242*$E2242)</f>
        <v/>
      </c>
      <c r="G2242" s="103" t="str">
        <f aca="false">IF($C2242="","",$D2242*IFERROR(INDEX('تحليل التكلفة والسعر'!$C$2:$C$700,MATCH($C2242,'تحليل التكلفة والسعر'!$B$2:$B$700,0)),0))</f>
        <v/>
      </c>
    </row>
    <row r="2243" customFormat="false" ht="15" hidden="false" customHeight="false" outlineLevel="0" collapsed="false">
      <c r="A2243" s="102"/>
      <c r="E2243" s="103" t="str">
        <f aca="false">IF($C2243="","",IFERROR(INDEX(المنيو!$C$2:$C$500,MATCH($C2243,المنيو!$B$2:$B$500,0)),0))</f>
        <v/>
      </c>
      <c r="F2243" s="103" t="str">
        <f aca="false">IF($C2243="","",$D2243*$E2243)</f>
        <v/>
      </c>
      <c r="G2243" s="103" t="str">
        <f aca="false">IF($C2243="","",$D2243*IFERROR(INDEX('تحليل التكلفة والسعر'!$C$2:$C$700,MATCH($C2243,'تحليل التكلفة والسعر'!$B$2:$B$700,0)),0))</f>
        <v/>
      </c>
    </row>
    <row r="2244" customFormat="false" ht="15" hidden="false" customHeight="false" outlineLevel="0" collapsed="false">
      <c r="A2244" s="102"/>
      <c r="E2244" s="103" t="str">
        <f aca="false">IF($C2244="","",IFERROR(INDEX(المنيو!$C$2:$C$500,MATCH($C2244,المنيو!$B$2:$B$500,0)),0))</f>
        <v/>
      </c>
      <c r="F2244" s="103" t="str">
        <f aca="false">IF($C2244="","",$D2244*$E2244)</f>
        <v/>
      </c>
      <c r="G2244" s="103" t="str">
        <f aca="false">IF($C2244="","",$D2244*IFERROR(INDEX('تحليل التكلفة والسعر'!$C$2:$C$700,MATCH($C2244,'تحليل التكلفة والسعر'!$B$2:$B$700,0)),0))</f>
        <v/>
      </c>
    </row>
    <row r="2245" customFormat="false" ht="15" hidden="false" customHeight="false" outlineLevel="0" collapsed="false">
      <c r="A2245" s="102"/>
      <c r="E2245" s="103" t="str">
        <f aca="false">IF($C2245="","",IFERROR(INDEX(المنيو!$C$2:$C$500,MATCH($C2245,المنيو!$B$2:$B$500,0)),0))</f>
        <v/>
      </c>
      <c r="F2245" s="103" t="str">
        <f aca="false">IF($C2245="","",$D2245*$E2245)</f>
        <v/>
      </c>
      <c r="G2245" s="103" t="str">
        <f aca="false">IF($C2245="","",$D2245*IFERROR(INDEX('تحليل التكلفة والسعر'!$C$2:$C$700,MATCH($C2245,'تحليل التكلفة والسعر'!$B$2:$B$700,0)),0))</f>
        <v/>
      </c>
    </row>
    <row r="2246" customFormat="false" ht="15" hidden="false" customHeight="false" outlineLevel="0" collapsed="false">
      <c r="A2246" s="102"/>
      <c r="E2246" s="103" t="str">
        <f aca="false">IF($C2246="","",IFERROR(INDEX(المنيو!$C$2:$C$500,MATCH($C2246,المنيو!$B$2:$B$500,0)),0))</f>
        <v/>
      </c>
      <c r="F2246" s="103" t="str">
        <f aca="false">IF($C2246="","",$D2246*$E2246)</f>
        <v/>
      </c>
      <c r="G2246" s="103" t="str">
        <f aca="false">IF($C2246="","",$D2246*IFERROR(INDEX('تحليل التكلفة والسعر'!$C$2:$C$700,MATCH($C2246,'تحليل التكلفة والسعر'!$B$2:$B$700,0)),0))</f>
        <v/>
      </c>
    </row>
    <row r="2247" customFormat="false" ht="15" hidden="false" customHeight="false" outlineLevel="0" collapsed="false">
      <c r="A2247" s="102"/>
      <c r="E2247" s="103" t="str">
        <f aca="false">IF($C2247="","",IFERROR(INDEX(المنيو!$C$2:$C$500,MATCH($C2247,المنيو!$B$2:$B$500,0)),0))</f>
        <v/>
      </c>
      <c r="F2247" s="103" t="str">
        <f aca="false">IF($C2247="","",$D2247*$E2247)</f>
        <v/>
      </c>
      <c r="G2247" s="103" t="str">
        <f aca="false">IF($C2247="","",$D2247*IFERROR(INDEX('تحليل التكلفة والسعر'!$C$2:$C$700,MATCH($C2247,'تحليل التكلفة والسعر'!$B$2:$B$700,0)),0))</f>
        <v/>
      </c>
    </row>
    <row r="2248" customFormat="false" ht="15" hidden="false" customHeight="false" outlineLevel="0" collapsed="false">
      <c r="A2248" s="102"/>
      <c r="E2248" s="103" t="str">
        <f aca="false">IF($C2248="","",IFERROR(INDEX(المنيو!$C$2:$C$500,MATCH($C2248,المنيو!$B$2:$B$500,0)),0))</f>
        <v/>
      </c>
      <c r="F2248" s="103" t="str">
        <f aca="false">IF($C2248="","",$D2248*$E2248)</f>
        <v/>
      </c>
      <c r="G2248" s="103" t="str">
        <f aca="false">IF($C2248="","",$D2248*IFERROR(INDEX('تحليل التكلفة والسعر'!$C$2:$C$700,MATCH($C2248,'تحليل التكلفة والسعر'!$B$2:$B$700,0)),0))</f>
        <v/>
      </c>
    </row>
    <row r="2249" customFormat="false" ht="15" hidden="false" customHeight="false" outlineLevel="0" collapsed="false">
      <c r="A2249" s="102"/>
      <c r="E2249" s="103" t="str">
        <f aca="false">IF($C2249="","",IFERROR(INDEX(المنيو!$C$2:$C$500,MATCH($C2249,المنيو!$B$2:$B$500,0)),0))</f>
        <v/>
      </c>
      <c r="F2249" s="103" t="str">
        <f aca="false">IF($C2249="","",$D2249*$E2249)</f>
        <v/>
      </c>
      <c r="G2249" s="103" t="str">
        <f aca="false">IF($C2249="","",$D2249*IFERROR(INDEX('تحليل التكلفة والسعر'!$C$2:$C$700,MATCH($C2249,'تحليل التكلفة والسعر'!$B$2:$B$700,0)),0))</f>
        <v/>
      </c>
    </row>
    <row r="2250" customFormat="false" ht="15" hidden="false" customHeight="false" outlineLevel="0" collapsed="false">
      <c r="A2250" s="102"/>
      <c r="E2250" s="103" t="str">
        <f aca="false">IF($C2250="","",IFERROR(INDEX(المنيو!$C$2:$C$500,MATCH($C2250,المنيو!$B$2:$B$500,0)),0))</f>
        <v/>
      </c>
      <c r="F2250" s="103" t="str">
        <f aca="false">IF($C2250="","",$D2250*$E2250)</f>
        <v/>
      </c>
      <c r="G2250" s="103" t="str">
        <f aca="false">IF($C2250="","",$D2250*IFERROR(INDEX('تحليل التكلفة والسعر'!$C$2:$C$700,MATCH($C2250,'تحليل التكلفة والسعر'!$B$2:$B$700,0)),0))</f>
        <v/>
      </c>
    </row>
    <row r="2251" customFormat="false" ht="15" hidden="false" customHeight="false" outlineLevel="0" collapsed="false">
      <c r="A2251" s="102"/>
      <c r="E2251" s="103" t="str">
        <f aca="false">IF($C2251="","",IFERROR(INDEX(المنيو!$C$2:$C$500,MATCH($C2251,المنيو!$B$2:$B$500,0)),0))</f>
        <v/>
      </c>
      <c r="F2251" s="103" t="str">
        <f aca="false">IF($C2251="","",$D2251*$E2251)</f>
        <v/>
      </c>
      <c r="G2251" s="103" t="str">
        <f aca="false">IF($C2251="","",$D2251*IFERROR(INDEX('تحليل التكلفة والسعر'!$C$2:$C$700,MATCH($C2251,'تحليل التكلفة والسعر'!$B$2:$B$700,0)),0))</f>
        <v/>
      </c>
    </row>
    <row r="2252" customFormat="false" ht="15" hidden="false" customHeight="false" outlineLevel="0" collapsed="false">
      <c r="A2252" s="102"/>
      <c r="E2252" s="103" t="str">
        <f aca="false">IF($C2252="","",IFERROR(INDEX(المنيو!$C$2:$C$500,MATCH($C2252,المنيو!$B$2:$B$500,0)),0))</f>
        <v/>
      </c>
      <c r="F2252" s="103" t="str">
        <f aca="false">IF($C2252="","",$D2252*$E2252)</f>
        <v/>
      </c>
      <c r="G2252" s="103" t="str">
        <f aca="false">IF($C2252="","",$D2252*IFERROR(INDEX('تحليل التكلفة والسعر'!$C$2:$C$700,MATCH($C2252,'تحليل التكلفة والسعر'!$B$2:$B$700,0)),0))</f>
        <v/>
      </c>
    </row>
    <row r="2253" customFormat="false" ht="15" hidden="false" customHeight="false" outlineLevel="0" collapsed="false">
      <c r="A2253" s="102"/>
      <c r="E2253" s="103" t="str">
        <f aca="false">IF($C2253="","",IFERROR(INDEX(المنيو!$C$2:$C$500,MATCH($C2253,المنيو!$B$2:$B$500,0)),0))</f>
        <v/>
      </c>
      <c r="F2253" s="103" t="str">
        <f aca="false">IF($C2253="","",$D2253*$E2253)</f>
        <v/>
      </c>
      <c r="G2253" s="103" t="str">
        <f aca="false">IF($C2253="","",$D2253*IFERROR(INDEX('تحليل التكلفة والسعر'!$C$2:$C$700,MATCH($C2253,'تحليل التكلفة والسعر'!$B$2:$B$700,0)),0))</f>
        <v/>
      </c>
    </row>
    <row r="2254" customFormat="false" ht="15" hidden="false" customHeight="false" outlineLevel="0" collapsed="false">
      <c r="A2254" s="102"/>
      <c r="E2254" s="103" t="str">
        <f aca="false">IF($C2254="","",IFERROR(INDEX(المنيو!$C$2:$C$500,MATCH($C2254,المنيو!$B$2:$B$500,0)),0))</f>
        <v/>
      </c>
      <c r="F2254" s="103" t="str">
        <f aca="false">IF($C2254="","",$D2254*$E2254)</f>
        <v/>
      </c>
      <c r="G2254" s="103" t="str">
        <f aca="false">IF($C2254="","",$D2254*IFERROR(INDEX('تحليل التكلفة والسعر'!$C$2:$C$700,MATCH($C2254,'تحليل التكلفة والسعر'!$B$2:$B$700,0)),0))</f>
        <v/>
      </c>
    </row>
    <row r="2255" customFormat="false" ht="15" hidden="false" customHeight="false" outlineLevel="0" collapsed="false">
      <c r="A2255" s="102"/>
      <c r="E2255" s="103" t="str">
        <f aca="false">IF($C2255="","",IFERROR(INDEX(المنيو!$C$2:$C$500,MATCH($C2255,المنيو!$B$2:$B$500,0)),0))</f>
        <v/>
      </c>
      <c r="F2255" s="103" t="str">
        <f aca="false">IF($C2255="","",$D2255*$E2255)</f>
        <v/>
      </c>
      <c r="G2255" s="103" t="str">
        <f aca="false">IF($C2255="","",$D2255*IFERROR(INDEX('تحليل التكلفة والسعر'!$C$2:$C$700,MATCH($C2255,'تحليل التكلفة والسعر'!$B$2:$B$700,0)),0))</f>
        <v/>
      </c>
    </row>
    <row r="2256" customFormat="false" ht="15" hidden="false" customHeight="false" outlineLevel="0" collapsed="false">
      <c r="A2256" s="102"/>
      <c r="E2256" s="103" t="str">
        <f aca="false">IF($C2256="","",IFERROR(INDEX(المنيو!$C$2:$C$500,MATCH($C2256,المنيو!$B$2:$B$500,0)),0))</f>
        <v/>
      </c>
      <c r="F2256" s="103" t="str">
        <f aca="false">IF($C2256="","",$D2256*$E2256)</f>
        <v/>
      </c>
      <c r="G2256" s="103" t="str">
        <f aca="false">IF($C2256="","",$D2256*IFERROR(INDEX('تحليل التكلفة والسعر'!$C$2:$C$700,MATCH($C2256,'تحليل التكلفة والسعر'!$B$2:$B$700,0)),0))</f>
        <v/>
      </c>
    </row>
    <row r="2257" customFormat="false" ht="15" hidden="false" customHeight="false" outlineLevel="0" collapsed="false">
      <c r="A2257" s="102"/>
      <c r="E2257" s="103" t="str">
        <f aca="false">IF($C2257="","",IFERROR(INDEX(المنيو!$C$2:$C$500,MATCH($C2257,المنيو!$B$2:$B$500,0)),0))</f>
        <v/>
      </c>
      <c r="F2257" s="103" t="str">
        <f aca="false">IF($C2257="","",$D2257*$E2257)</f>
        <v/>
      </c>
      <c r="G2257" s="103" t="str">
        <f aca="false">IF($C2257="","",$D2257*IFERROR(INDEX('تحليل التكلفة والسعر'!$C$2:$C$700,MATCH($C2257,'تحليل التكلفة والسعر'!$B$2:$B$700,0)),0))</f>
        <v/>
      </c>
    </row>
    <row r="2258" customFormat="false" ht="15" hidden="false" customHeight="false" outlineLevel="0" collapsed="false">
      <c r="A2258" s="102"/>
      <c r="E2258" s="103" t="str">
        <f aca="false">IF($C2258="","",IFERROR(INDEX(المنيو!$C$2:$C$500,MATCH($C2258,المنيو!$B$2:$B$500,0)),0))</f>
        <v/>
      </c>
      <c r="F2258" s="103" t="str">
        <f aca="false">IF($C2258="","",$D2258*$E2258)</f>
        <v/>
      </c>
      <c r="G2258" s="103" t="str">
        <f aca="false">IF($C2258="","",$D2258*IFERROR(INDEX('تحليل التكلفة والسعر'!$C$2:$C$700,MATCH($C2258,'تحليل التكلفة والسعر'!$B$2:$B$700,0)),0))</f>
        <v/>
      </c>
    </row>
    <row r="2259" customFormat="false" ht="15" hidden="false" customHeight="false" outlineLevel="0" collapsed="false">
      <c r="A2259" s="102"/>
      <c r="E2259" s="103" t="str">
        <f aca="false">IF($C2259="","",IFERROR(INDEX(المنيو!$C$2:$C$500,MATCH($C2259,المنيو!$B$2:$B$500,0)),0))</f>
        <v/>
      </c>
      <c r="F2259" s="103" t="str">
        <f aca="false">IF($C2259="","",$D2259*$E2259)</f>
        <v/>
      </c>
      <c r="G2259" s="103" t="str">
        <f aca="false">IF($C2259="","",$D2259*IFERROR(INDEX('تحليل التكلفة والسعر'!$C$2:$C$700,MATCH($C2259,'تحليل التكلفة والسعر'!$B$2:$B$700,0)),0))</f>
        <v/>
      </c>
    </row>
    <row r="2260" customFormat="false" ht="15" hidden="false" customHeight="false" outlineLevel="0" collapsed="false">
      <c r="A2260" s="102"/>
      <c r="E2260" s="103" t="str">
        <f aca="false">IF($C2260="","",IFERROR(INDEX(المنيو!$C$2:$C$500,MATCH($C2260,المنيو!$B$2:$B$500,0)),0))</f>
        <v/>
      </c>
      <c r="F2260" s="103" t="str">
        <f aca="false">IF($C2260="","",$D2260*$E2260)</f>
        <v/>
      </c>
      <c r="G2260" s="103" t="str">
        <f aca="false">IF($C2260="","",$D2260*IFERROR(INDEX('تحليل التكلفة والسعر'!$C$2:$C$700,MATCH($C2260,'تحليل التكلفة والسعر'!$B$2:$B$700,0)),0))</f>
        <v/>
      </c>
    </row>
    <row r="2261" customFormat="false" ht="15" hidden="false" customHeight="false" outlineLevel="0" collapsed="false">
      <c r="A2261" s="102"/>
      <c r="E2261" s="103" t="str">
        <f aca="false">IF($C2261="","",IFERROR(INDEX(المنيو!$C$2:$C$500,MATCH($C2261,المنيو!$B$2:$B$500,0)),0))</f>
        <v/>
      </c>
      <c r="F2261" s="103" t="str">
        <f aca="false">IF($C2261="","",$D2261*$E2261)</f>
        <v/>
      </c>
      <c r="G2261" s="103" t="str">
        <f aca="false">IF($C2261="","",$D2261*IFERROR(INDEX('تحليل التكلفة والسعر'!$C$2:$C$700,MATCH($C2261,'تحليل التكلفة والسعر'!$B$2:$B$700,0)),0))</f>
        <v/>
      </c>
    </row>
    <row r="2262" customFormat="false" ht="15" hidden="false" customHeight="false" outlineLevel="0" collapsed="false">
      <c r="A2262" s="102"/>
      <c r="E2262" s="103" t="str">
        <f aca="false">IF($C2262="","",IFERROR(INDEX(المنيو!$C$2:$C$500,MATCH($C2262,المنيو!$B$2:$B$500,0)),0))</f>
        <v/>
      </c>
      <c r="F2262" s="103" t="str">
        <f aca="false">IF($C2262="","",$D2262*$E2262)</f>
        <v/>
      </c>
      <c r="G2262" s="103" t="str">
        <f aca="false">IF($C2262="","",$D2262*IFERROR(INDEX('تحليل التكلفة والسعر'!$C$2:$C$700,MATCH($C2262,'تحليل التكلفة والسعر'!$B$2:$B$700,0)),0))</f>
        <v/>
      </c>
    </row>
    <row r="2263" customFormat="false" ht="15" hidden="false" customHeight="false" outlineLevel="0" collapsed="false">
      <c r="A2263" s="102"/>
      <c r="E2263" s="103" t="str">
        <f aca="false">IF($C2263="","",IFERROR(INDEX(المنيو!$C$2:$C$500,MATCH($C2263,المنيو!$B$2:$B$500,0)),0))</f>
        <v/>
      </c>
      <c r="F2263" s="103" t="str">
        <f aca="false">IF($C2263="","",$D2263*$E2263)</f>
        <v/>
      </c>
      <c r="G2263" s="103" t="str">
        <f aca="false">IF($C2263="","",$D2263*IFERROR(INDEX('تحليل التكلفة والسعر'!$C$2:$C$700,MATCH($C2263,'تحليل التكلفة والسعر'!$B$2:$B$700,0)),0))</f>
        <v/>
      </c>
    </row>
    <row r="2264" customFormat="false" ht="15" hidden="false" customHeight="false" outlineLevel="0" collapsed="false">
      <c r="A2264" s="102"/>
      <c r="E2264" s="103" t="str">
        <f aca="false">IF($C2264="","",IFERROR(INDEX(المنيو!$C$2:$C$500,MATCH($C2264,المنيو!$B$2:$B$500,0)),0))</f>
        <v/>
      </c>
      <c r="F2264" s="103" t="str">
        <f aca="false">IF($C2264="","",$D2264*$E2264)</f>
        <v/>
      </c>
      <c r="G2264" s="103" t="str">
        <f aca="false">IF($C2264="","",$D2264*IFERROR(INDEX('تحليل التكلفة والسعر'!$C$2:$C$700,MATCH($C2264,'تحليل التكلفة والسعر'!$B$2:$B$700,0)),0))</f>
        <v/>
      </c>
    </row>
    <row r="2265" customFormat="false" ht="15" hidden="false" customHeight="false" outlineLevel="0" collapsed="false">
      <c r="A2265" s="102"/>
      <c r="E2265" s="103" t="str">
        <f aca="false">IF($C2265="","",IFERROR(INDEX(المنيو!$C$2:$C$500,MATCH($C2265,المنيو!$B$2:$B$500,0)),0))</f>
        <v/>
      </c>
      <c r="F2265" s="103" t="str">
        <f aca="false">IF($C2265="","",$D2265*$E2265)</f>
        <v/>
      </c>
      <c r="G2265" s="103" t="str">
        <f aca="false">IF($C2265="","",$D2265*IFERROR(INDEX('تحليل التكلفة والسعر'!$C$2:$C$700,MATCH($C2265,'تحليل التكلفة والسعر'!$B$2:$B$700,0)),0))</f>
        <v/>
      </c>
    </row>
    <row r="2266" customFormat="false" ht="15" hidden="false" customHeight="false" outlineLevel="0" collapsed="false">
      <c r="A2266" s="102"/>
      <c r="E2266" s="103" t="str">
        <f aca="false">IF($C2266="","",IFERROR(INDEX(المنيو!$C$2:$C$500,MATCH($C2266,المنيو!$B$2:$B$500,0)),0))</f>
        <v/>
      </c>
      <c r="F2266" s="103" t="str">
        <f aca="false">IF($C2266="","",$D2266*$E2266)</f>
        <v/>
      </c>
      <c r="G2266" s="103" t="str">
        <f aca="false">IF($C2266="","",$D2266*IFERROR(INDEX('تحليل التكلفة والسعر'!$C$2:$C$700,MATCH($C2266,'تحليل التكلفة والسعر'!$B$2:$B$700,0)),0))</f>
        <v/>
      </c>
    </row>
    <row r="2267" customFormat="false" ht="15" hidden="false" customHeight="false" outlineLevel="0" collapsed="false">
      <c r="A2267" s="102"/>
      <c r="E2267" s="103" t="str">
        <f aca="false">IF($C2267="","",IFERROR(INDEX(المنيو!$C$2:$C$500,MATCH($C2267,المنيو!$B$2:$B$500,0)),0))</f>
        <v/>
      </c>
      <c r="F2267" s="103" t="str">
        <f aca="false">IF($C2267="","",$D2267*$E2267)</f>
        <v/>
      </c>
      <c r="G2267" s="103" t="str">
        <f aca="false">IF($C2267="","",$D2267*IFERROR(INDEX('تحليل التكلفة والسعر'!$C$2:$C$700,MATCH($C2267,'تحليل التكلفة والسعر'!$B$2:$B$700,0)),0))</f>
        <v/>
      </c>
    </row>
    <row r="2268" customFormat="false" ht="15" hidden="false" customHeight="false" outlineLevel="0" collapsed="false">
      <c r="A2268" s="102"/>
      <c r="E2268" s="103" t="str">
        <f aca="false">IF($C2268="","",IFERROR(INDEX(المنيو!$C$2:$C$500,MATCH($C2268,المنيو!$B$2:$B$500,0)),0))</f>
        <v/>
      </c>
      <c r="F2268" s="103" t="str">
        <f aca="false">IF($C2268="","",$D2268*$E2268)</f>
        <v/>
      </c>
      <c r="G2268" s="103" t="str">
        <f aca="false">IF($C2268="","",$D2268*IFERROR(INDEX('تحليل التكلفة والسعر'!$C$2:$C$700,MATCH($C2268,'تحليل التكلفة والسعر'!$B$2:$B$700,0)),0))</f>
        <v/>
      </c>
    </row>
    <row r="2269" customFormat="false" ht="15" hidden="false" customHeight="false" outlineLevel="0" collapsed="false">
      <c r="A2269" s="102"/>
      <c r="E2269" s="103" t="str">
        <f aca="false">IF($C2269="","",IFERROR(INDEX(المنيو!$C$2:$C$500,MATCH($C2269,المنيو!$B$2:$B$500,0)),0))</f>
        <v/>
      </c>
      <c r="F2269" s="103" t="str">
        <f aca="false">IF($C2269="","",$D2269*$E2269)</f>
        <v/>
      </c>
      <c r="G2269" s="103" t="str">
        <f aca="false">IF($C2269="","",$D2269*IFERROR(INDEX('تحليل التكلفة والسعر'!$C$2:$C$700,MATCH($C2269,'تحليل التكلفة والسعر'!$B$2:$B$700,0)),0))</f>
        <v/>
      </c>
    </row>
    <row r="2270" customFormat="false" ht="15" hidden="false" customHeight="false" outlineLevel="0" collapsed="false">
      <c r="A2270" s="102"/>
      <c r="E2270" s="103" t="str">
        <f aca="false">IF($C2270="","",IFERROR(INDEX(المنيو!$C$2:$C$500,MATCH($C2270,المنيو!$B$2:$B$500,0)),0))</f>
        <v/>
      </c>
      <c r="F2270" s="103" t="str">
        <f aca="false">IF($C2270="","",$D2270*$E2270)</f>
        <v/>
      </c>
      <c r="G2270" s="103" t="str">
        <f aca="false">IF($C2270="","",$D2270*IFERROR(INDEX('تحليل التكلفة والسعر'!$C$2:$C$700,MATCH($C2270,'تحليل التكلفة والسعر'!$B$2:$B$700,0)),0))</f>
        <v/>
      </c>
    </row>
    <row r="2271" customFormat="false" ht="15" hidden="false" customHeight="false" outlineLevel="0" collapsed="false">
      <c r="A2271" s="102"/>
      <c r="E2271" s="103" t="str">
        <f aca="false">IF($C2271="","",IFERROR(INDEX(المنيو!$C$2:$C$500,MATCH($C2271,المنيو!$B$2:$B$500,0)),0))</f>
        <v/>
      </c>
      <c r="F2271" s="103" t="str">
        <f aca="false">IF($C2271="","",$D2271*$E2271)</f>
        <v/>
      </c>
      <c r="G2271" s="103" t="str">
        <f aca="false">IF($C2271="","",$D2271*IFERROR(INDEX('تحليل التكلفة والسعر'!$C$2:$C$700,MATCH($C2271,'تحليل التكلفة والسعر'!$B$2:$B$700,0)),0))</f>
        <v/>
      </c>
    </row>
    <row r="2272" customFormat="false" ht="15" hidden="false" customHeight="false" outlineLevel="0" collapsed="false">
      <c r="A2272" s="102"/>
      <c r="E2272" s="103" t="str">
        <f aca="false">IF($C2272="","",IFERROR(INDEX(المنيو!$C$2:$C$500,MATCH($C2272,المنيو!$B$2:$B$500,0)),0))</f>
        <v/>
      </c>
      <c r="F2272" s="103" t="str">
        <f aca="false">IF($C2272="","",$D2272*$E2272)</f>
        <v/>
      </c>
      <c r="G2272" s="103" t="str">
        <f aca="false">IF($C2272="","",$D2272*IFERROR(INDEX('تحليل التكلفة والسعر'!$C$2:$C$700,MATCH($C2272,'تحليل التكلفة والسعر'!$B$2:$B$700,0)),0))</f>
        <v/>
      </c>
    </row>
    <row r="2273" customFormat="false" ht="15" hidden="false" customHeight="false" outlineLevel="0" collapsed="false">
      <c r="A2273" s="102"/>
      <c r="E2273" s="103" t="str">
        <f aca="false">IF($C2273="","",IFERROR(INDEX(المنيو!$C$2:$C$500,MATCH($C2273,المنيو!$B$2:$B$500,0)),0))</f>
        <v/>
      </c>
      <c r="F2273" s="103" t="str">
        <f aca="false">IF($C2273="","",$D2273*$E2273)</f>
        <v/>
      </c>
      <c r="G2273" s="103" t="str">
        <f aca="false">IF($C2273="","",$D2273*IFERROR(INDEX('تحليل التكلفة والسعر'!$C$2:$C$700,MATCH($C2273,'تحليل التكلفة والسعر'!$B$2:$B$700,0)),0))</f>
        <v/>
      </c>
    </row>
    <row r="2274" customFormat="false" ht="15" hidden="false" customHeight="false" outlineLevel="0" collapsed="false">
      <c r="A2274" s="102"/>
      <c r="E2274" s="103" t="str">
        <f aca="false">IF($C2274="","",IFERROR(INDEX(المنيو!$C$2:$C$500,MATCH($C2274,المنيو!$B$2:$B$500,0)),0))</f>
        <v/>
      </c>
      <c r="F2274" s="103" t="str">
        <f aca="false">IF($C2274="","",$D2274*$E2274)</f>
        <v/>
      </c>
      <c r="G2274" s="103" t="str">
        <f aca="false">IF($C2274="","",$D2274*IFERROR(INDEX('تحليل التكلفة والسعر'!$C$2:$C$700,MATCH($C2274,'تحليل التكلفة والسعر'!$B$2:$B$700,0)),0))</f>
        <v/>
      </c>
    </row>
    <row r="2275" customFormat="false" ht="15" hidden="false" customHeight="false" outlineLevel="0" collapsed="false">
      <c r="A2275" s="102"/>
      <c r="E2275" s="103" t="str">
        <f aca="false">IF($C2275="","",IFERROR(INDEX(المنيو!$C$2:$C$500,MATCH($C2275,المنيو!$B$2:$B$500,0)),0))</f>
        <v/>
      </c>
      <c r="F2275" s="103" t="str">
        <f aca="false">IF($C2275="","",$D2275*$E2275)</f>
        <v/>
      </c>
      <c r="G2275" s="103" t="str">
        <f aca="false">IF($C2275="","",$D2275*IFERROR(INDEX('تحليل التكلفة والسعر'!$C$2:$C$700,MATCH($C2275,'تحليل التكلفة والسعر'!$B$2:$B$700,0)),0))</f>
        <v/>
      </c>
    </row>
    <row r="2276" customFormat="false" ht="15" hidden="false" customHeight="false" outlineLevel="0" collapsed="false">
      <c r="A2276" s="102"/>
      <c r="E2276" s="103" t="str">
        <f aca="false">IF($C2276="","",IFERROR(INDEX(المنيو!$C$2:$C$500,MATCH($C2276,المنيو!$B$2:$B$500,0)),0))</f>
        <v/>
      </c>
      <c r="F2276" s="103" t="str">
        <f aca="false">IF($C2276="","",$D2276*$E2276)</f>
        <v/>
      </c>
      <c r="G2276" s="103" t="str">
        <f aca="false">IF($C2276="","",$D2276*IFERROR(INDEX('تحليل التكلفة والسعر'!$C$2:$C$700,MATCH($C2276,'تحليل التكلفة والسعر'!$B$2:$B$700,0)),0))</f>
        <v/>
      </c>
    </row>
    <row r="2277" customFormat="false" ht="15" hidden="false" customHeight="false" outlineLevel="0" collapsed="false">
      <c r="A2277" s="102"/>
      <c r="E2277" s="103" t="str">
        <f aca="false">IF($C2277="","",IFERROR(INDEX(المنيو!$C$2:$C$500,MATCH($C2277,المنيو!$B$2:$B$500,0)),0))</f>
        <v/>
      </c>
      <c r="F2277" s="103" t="str">
        <f aca="false">IF($C2277="","",$D2277*$E2277)</f>
        <v/>
      </c>
      <c r="G2277" s="103" t="str">
        <f aca="false">IF($C2277="","",$D2277*IFERROR(INDEX('تحليل التكلفة والسعر'!$C$2:$C$700,MATCH($C2277,'تحليل التكلفة والسعر'!$B$2:$B$700,0)),0))</f>
        <v/>
      </c>
    </row>
    <row r="2278" customFormat="false" ht="15" hidden="false" customHeight="false" outlineLevel="0" collapsed="false">
      <c r="A2278" s="102"/>
      <c r="E2278" s="103" t="str">
        <f aca="false">IF($C2278="","",IFERROR(INDEX(المنيو!$C$2:$C$500,MATCH($C2278,المنيو!$B$2:$B$500,0)),0))</f>
        <v/>
      </c>
      <c r="F2278" s="103" t="str">
        <f aca="false">IF($C2278="","",$D2278*$E2278)</f>
        <v/>
      </c>
      <c r="G2278" s="103" t="str">
        <f aca="false">IF($C2278="","",$D2278*IFERROR(INDEX('تحليل التكلفة والسعر'!$C$2:$C$700,MATCH($C2278,'تحليل التكلفة والسعر'!$B$2:$B$700,0)),0))</f>
        <v/>
      </c>
    </row>
    <row r="2279" customFormat="false" ht="15" hidden="false" customHeight="false" outlineLevel="0" collapsed="false">
      <c r="A2279" s="102"/>
      <c r="E2279" s="103" t="str">
        <f aca="false">IF($C2279="","",IFERROR(INDEX(المنيو!$C$2:$C$500,MATCH($C2279,المنيو!$B$2:$B$500,0)),0))</f>
        <v/>
      </c>
      <c r="F2279" s="103" t="str">
        <f aca="false">IF($C2279="","",$D2279*$E2279)</f>
        <v/>
      </c>
      <c r="G2279" s="103" t="str">
        <f aca="false">IF($C2279="","",$D2279*IFERROR(INDEX('تحليل التكلفة والسعر'!$C$2:$C$700,MATCH($C2279,'تحليل التكلفة والسعر'!$B$2:$B$700,0)),0))</f>
        <v/>
      </c>
    </row>
    <row r="2280" customFormat="false" ht="15" hidden="false" customHeight="false" outlineLevel="0" collapsed="false">
      <c r="A2280" s="102"/>
      <c r="E2280" s="103" t="str">
        <f aca="false">IF($C2280="","",IFERROR(INDEX(المنيو!$C$2:$C$500,MATCH($C2280,المنيو!$B$2:$B$500,0)),0))</f>
        <v/>
      </c>
      <c r="F2280" s="103" t="str">
        <f aca="false">IF($C2280="","",$D2280*$E2280)</f>
        <v/>
      </c>
      <c r="G2280" s="103" t="str">
        <f aca="false">IF($C2280="","",$D2280*IFERROR(INDEX('تحليل التكلفة والسعر'!$C$2:$C$700,MATCH($C2280,'تحليل التكلفة والسعر'!$B$2:$B$700,0)),0))</f>
        <v/>
      </c>
    </row>
    <row r="2281" customFormat="false" ht="15" hidden="false" customHeight="false" outlineLevel="0" collapsed="false">
      <c r="A2281" s="102"/>
      <c r="E2281" s="103" t="str">
        <f aca="false">IF($C2281="","",IFERROR(INDEX(المنيو!$C$2:$C$500,MATCH($C2281,المنيو!$B$2:$B$500,0)),0))</f>
        <v/>
      </c>
      <c r="F2281" s="103" t="str">
        <f aca="false">IF($C2281="","",$D2281*$E2281)</f>
        <v/>
      </c>
      <c r="G2281" s="103" t="str">
        <f aca="false">IF($C2281="","",$D2281*IFERROR(INDEX('تحليل التكلفة والسعر'!$C$2:$C$700,MATCH($C2281,'تحليل التكلفة والسعر'!$B$2:$B$700,0)),0))</f>
        <v/>
      </c>
    </row>
    <row r="2282" customFormat="false" ht="15" hidden="false" customHeight="false" outlineLevel="0" collapsed="false">
      <c r="A2282" s="102"/>
      <c r="E2282" s="103" t="str">
        <f aca="false">IF($C2282="","",IFERROR(INDEX(المنيو!$C$2:$C$500,MATCH($C2282,المنيو!$B$2:$B$500,0)),0))</f>
        <v/>
      </c>
      <c r="F2282" s="103" t="str">
        <f aca="false">IF($C2282="","",$D2282*$E2282)</f>
        <v/>
      </c>
      <c r="G2282" s="103" t="str">
        <f aca="false">IF($C2282="","",$D2282*IFERROR(INDEX('تحليل التكلفة والسعر'!$C$2:$C$700,MATCH($C2282,'تحليل التكلفة والسعر'!$B$2:$B$700,0)),0))</f>
        <v/>
      </c>
    </row>
    <row r="2283" customFormat="false" ht="15" hidden="false" customHeight="false" outlineLevel="0" collapsed="false">
      <c r="A2283" s="102"/>
      <c r="E2283" s="103" t="str">
        <f aca="false">IF($C2283="","",IFERROR(INDEX(المنيو!$C$2:$C$500,MATCH($C2283,المنيو!$B$2:$B$500,0)),0))</f>
        <v/>
      </c>
      <c r="F2283" s="103" t="str">
        <f aca="false">IF($C2283="","",$D2283*$E2283)</f>
        <v/>
      </c>
      <c r="G2283" s="103" t="str">
        <f aca="false">IF($C2283="","",$D2283*IFERROR(INDEX('تحليل التكلفة والسعر'!$C$2:$C$700,MATCH($C2283,'تحليل التكلفة والسعر'!$B$2:$B$700,0)),0))</f>
        <v/>
      </c>
    </row>
    <row r="2284" customFormat="false" ht="15" hidden="false" customHeight="false" outlineLevel="0" collapsed="false">
      <c r="A2284" s="102"/>
      <c r="E2284" s="103" t="str">
        <f aca="false">IF($C2284="","",IFERROR(INDEX(المنيو!$C$2:$C$500,MATCH($C2284,المنيو!$B$2:$B$500,0)),0))</f>
        <v/>
      </c>
      <c r="F2284" s="103" t="str">
        <f aca="false">IF($C2284="","",$D2284*$E2284)</f>
        <v/>
      </c>
      <c r="G2284" s="103" t="str">
        <f aca="false">IF($C2284="","",$D2284*IFERROR(INDEX('تحليل التكلفة والسعر'!$C$2:$C$700,MATCH($C2284,'تحليل التكلفة والسعر'!$B$2:$B$700,0)),0))</f>
        <v/>
      </c>
    </row>
    <row r="2285" customFormat="false" ht="15" hidden="false" customHeight="false" outlineLevel="0" collapsed="false">
      <c r="A2285" s="102"/>
      <c r="E2285" s="103" t="str">
        <f aca="false">IF($C2285="","",IFERROR(INDEX(المنيو!$C$2:$C$500,MATCH($C2285,المنيو!$B$2:$B$500,0)),0))</f>
        <v/>
      </c>
      <c r="F2285" s="103" t="str">
        <f aca="false">IF($C2285="","",$D2285*$E2285)</f>
        <v/>
      </c>
      <c r="G2285" s="103" t="str">
        <f aca="false">IF($C2285="","",$D2285*IFERROR(INDEX('تحليل التكلفة والسعر'!$C$2:$C$700,MATCH($C2285,'تحليل التكلفة والسعر'!$B$2:$B$700,0)),0))</f>
        <v/>
      </c>
    </row>
    <row r="2286" customFormat="false" ht="15" hidden="false" customHeight="false" outlineLevel="0" collapsed="false">
      <c r="A2286" s="102"/>
      <c r="E2286" s="103" t="str">
        <f aca="false">IF($C2286="","",IFERROR(INDEX(المنيو!$C$2:$C$500,MATCH($C2286,المنيو!$B$2:$B$500,0)),0))</f>
        <v/>
      </c>
      <c r="F2286" s="103" t="str">
        <f aca="false">IF($C2286="","",$D2286*$E2286)</f>
        <v/>
      </c>
      <c r="G2286" s="103" t="str">
        <f aca="false">IF($C2286="","",$D2286*IFERROR(INDEX('تحليل التكلفة والسعر'!$C$2:$C$700,MATCH($C2286,'تحليل التكلفة والسعر'!$B$2:$B$700,0)),0))</f>
        <v/>
      </c>
    </row>
    <row r="2287" customFormat="false" ht="15" hidden="false" customHeight="false" outlineLevel="0" collapsed="false">
      <c r="A2287" s="102"/>
      <c r="E2287" s="103" t="str">
        <f aca="false">IF($C2287="","",IFERROR(INDEX(المنيو!$C$2:$C$500,MATCH($C2287,المنيو!$B$2:$B$500,0)),0))</f>
        <v/>
      </c>
      <c r="F2287" s="103" t="str">
        <f aca="false">IF($C2287="","",$D2287*$E2287)</f>
        <v/>
      </c>
      <c r="G2287" s="103" t="str">
        <f aca="false">IF($C2287="","",$D2287*IFERROR(INDEX('تحليل التكلفة والسعر'!$C$2:$C$700,MATCH($C2287,'تحليل التكلفة والسعر'!$B$2:$B$700,0)),0))</f>
        <v/>
      </c>
    </row>
    <row r="2288" customFormat="false" ht="15" hidden="false" customHeight="false" outlineLevel="0" collapsed="false">
      <c r="A2288" s="102"/>
      <c r="E2288" s="103" t="str">
        <f aca="false">IF($C2288="","",IFERROR(INDEX(المنيو!$C$2:$C$500,MATCH($C2288,المنيو!$B$2:$B$500,0)),0))</f>
        <v/>
      </c>
      <c r="F2288" s="103" t="str">
        <f aca="false">IF($C2288="","",$D2288*$E2288)</f>
        <v/>
      </c>
      <c r="G2288" s="103" t="str">
        <f aca="false">IF($C2288="","",$D2288*IFERROR(INDEX('تحليل التكلفة والسعر'!$C$2:$C$700,MATCH($C2288,'تحليل التكلفة والسعر'!$B$2:$B$700,0)),0))</f>
        <v/>
      </c>
    </row>
    <row r="2289" customFormat="false" ht="15" hidden="false" customHeight="false" outlineLevel="0" collapsed="false">
      <c r="A2289" s="102"/>
      <c r="E2289" s="103" t="str">
        <f aca="false">IF($C2289="","",IFERROR(INDEX(المنيو!$C$2:$C$500,MATCH($C2289,المنيو!$B$2:$B$500,0)),0))</f>
        <v/>
      </c>
      <c r="F2289" s="103" t="str">
        <f aca="false">IF($C2289="","",$D2289*$E2289)</f>
        <v/>
      </c>
      <c r="G2289" s="103" t="str">
        <f aca="false">IF($C2289="","",$D2289*IFERROR(INDEX('تحليل التكلفة والسعر'!$C$2:$C$700,MATCH($C2289,'تحليل التكلفة والسعر'!$B$2:$B$700,0)),0))</f>
        <v/>
      </c>
    </row>
    <row r="2290" customFormat="false" ht="15" hidden="false" customHeight="false" outlineLevel="0" collapsed="false">
      <c r="A2290" s="102"/>
      <c r="E2290" s="103" t="str">
        <f aca="false">IF($C2290="","",IFERROR(INDEX(المنيو!$C$2:$C$500,MATCH($C2290,المنيو!$B$2:$B$500,0)),0))</f>
        <v/>
      </c>
      <c r="F2290" s="103" t="str">
        <f aca="false">IF($C2290="","",$D2290*$E2290)</f>
        <v/>
      </c>
      <c r="G2290" s="103" t="str">
        <f aca="false">IF($C2290="","",$D2290*IFERROR(INDEX('تحليل التكلفة والسعر'!$C$2:$C$700,MATCH($C2290,'تحليل التكلفة والسعر'!$B$2:$B$700,0)),0))</f>
        <v/>
      </c>
    </row>
    <row r="2291" customFormat="false" ht="15" hidden="false" customHeight="false" outlineLevel="0" collapsed="false">
      <c r="A2291" s="102"/>
      <c r="E2291" s="103" t="str">
        <f aca="false">IF($C2291="","",IFERROR(INDEX(المنيو!$C$2:$C$500,MATCH($C2291,المنيو!$B$2:$B$500,0)),0))</f>
        <v/>
      </c>
      <c r="F2291" s="103" t="str">
        <f aca="false">IF($C2291="","",$D2291*$E2291)</f>
        <v/>
      </c>
      <c r="G2291" s="103" t="str">
        <f aca="false">IF($C2291="","",$D2291*IFERROR(INDEX('تحليل التكلفة والسعر'!$C$2:$C$700,MATCH($C2291,'تحليل التكلفة والسعر'!$B$2:$B$700,0)),0))</f>
        <v/>
      </c>
    </row>
    <row r="2292" customFormat="false" ht="15" hidden="false" customHeight="false" outlineLevel="0" collapsed="false">
      <c r="A2292" s="102"/>
      <c r="E2292" s="103" t="str">
        <f aca="false">IF($C2292="","",IFERROR(INDEX(المنيو!$C$2:$C$500,MATCH($C2292,المنيو!$B$2:$B$500,0)),0))</f>
        <v/>
      </c>
      <c r="F2292" s="103" t="str">
        <f aca="false">IF($C2292="","",$D2292*$E2292)</f>
        <v/>
      </c>
      <c r="G2292" s="103" t="str">
        <f aca="false">IF($C2292="","",$D2292*IFERROR(INDEX('تحليل التكلفة والسعر'!$C$2:$C$700,MATCH($C2292,'تحليل التكلفة والسعر'!$B$2:$B$700,0)),0))</f>
        <v/>
      </c>
    </row>
    <row r="2293" customFormat="false" ht="15" hidden="false" customHeight="false" outlineLevel="0" collapsed="false">
      <c r="A2293" s="102"/>
      <c r="E2293" s="103" t="str">
        <f aca="false">IF($C2293="","",IFERROR(INDEX(المنيو!$C$2:$C$500,MATCH($C2293,المنيو!$B$2:$B$500,0)),0))</f>
        <v/>
      </c>
      <c r="F2293" s="103" t="str">
        <f aca="false">IF($C2293="","",$D2293*$E2293)</f>
        <v/>
      </c>
      <c r="G2293" s="103" t="str">
        <f aca="false">IF($C2293="","",$D2293*IFERROR(INDEX('تحليل التكلفة والسعر'!$C$2:$C$700,MATCH($C2293,'تحليل التكلفة والسعر'!$B$2:$B$700,0)),0))</f>
        <v/>
      </c>
    </row>
    <row r="2294" customFormat="false" ht="15" hidden="false" customHeight="false" outlineLevel="0" collapsed="false">
      <c r="A2294" s="102"/>
      <c r="E2294" s="103" t="str">
        <f aca="false">IF($C2294="","",IFERROR(INDEX(المنيو!$C$2:$C$500,MATCH($C2294,المنيو!$B$2:$B$500,0)),0))</f>
        <v/>
      </c>
      <c r="F2294" s="103" t="str">
        <f aca="false">IF($C2294="","",$D2294*$E2294)</f>
        <v/>
      </c>
      <c r="G2294" s="103" t="str">
        <f aca="false">IF($C2294="","",$D2294*IFERROR(INDEX('تحليل التكلفة والسعر'!$C$2:$C$700,MATCH($C2294,'تحليل التكلفة والسعر'!$B$2:$B$700,0)),0))</f>
        <v/>
      </c>
    </row>
    <row r="2295" customFormat="false" ht="15" hidden="false" customHeight="false" outlineLevel="0" collapsed="false">
      <c r="A2295" s="102"/>
      <c r="E2295" s="103" t="str">
        <f aca="false">IF($C2295="","",IFERROR(INDEX(المنيو!$C$2:$C$500,MATCH($C2295,المنيو!$B$2:$B$500,0)),0))</f>
        <v/>
      </c>
      <c r="F2295" s="103" t="str">
        <f aca="false">IF($C2295="","",$D2295*$E2295)</f>
        <v/>
      </c>
      <c r="G2295" s="103" t="str">
        <f aca="false">IF($C2295="","",$D2295*IFERROR(INDEX('تحليل التكلفة والسعر'!$C$2:$C$700,MATCH($C2295,'تحليل التكلفة والسعر'!$B$2:$B$700,0)),0))</f>
        <v/>
      </c>
    </row>
    <row r="2296" customFormat="false" ht="15" hidden="false" customHeight="false" outlineLevel="0" collapsed="false">
      <c r="A2296" s="102"/>
      <c r="E2296" s="103" t="str">
        <f aca="false">IF($C2296="","",IFERROR(INDEX(المنيو!$C$2:$C$500,MATCH($C2296,المنيو!$B$2:$B$500,0)),0))</f>
        <v/>
      </c>
      <c r="F2296" s="103" t="str">
        <f aca="false">IF($C2296="","",$D2296*$E2296)</f>
        <v/>
      </c>
      <c r="G2296" s="103" t="str">
        <f aca="false">IF($C2296="","",$D2296*IFERROR(INDEX('تحليل التكلفة والسعر'!$C$2:$C$700,MATCH($C2296,'تحليل التكلفة والسعر'!$B$2:$B$700,0)),0))</f>
        <v/>
      </c>
    </row>
    <row r="2297" customFormat="false" ht="15" hidden="false" customHeight="false" outlineLevel="0" collapsed="false">
      <c r="A2297" s="102"/>
      <c r="E2297" s="103" t="str">
        <f aca="false">IF($C2297="","",IFERROR(INDEX(المنيو!$C$2:$C$500,MATCH($C2297,المنيو!$B$2:$B$500,0)),0))</f>
        <v/>
      </c>
      <c r="F2297" s="103" t="str">
        <f aca="false">IF($C2297="","",$D2297*$E2297)</f>
        <v/>
      </c>
      <c r="G2297" s="103" t="str">
        <f aca="false">IF($C2297="","",$D2297*IFERROR(INDEX('تحليل التكلفة والسعر'!$C$2:$C$700,MATCH($C2297,'تحليل التكلفة والسعر'!$B$2:$B$700,0)),0))</f>
        <v/>
      </c>
    </row>
    <row r="2298" customFormat="false" ht="15" hidden="false" customHeight="false" outlineLevel="0" collapsed="false">
      <c r="A2298" s="102"/>
      <c r="E2298" s="103" t="str">
        <f aca="false">IF($C2298="","",IFERROR(INDEX(المنيو!$C$2:$C$500,MATCH($C2298,المنيو!$B$2:$B$500,0)),0))</f>
        <v/>
      </c>
      <c r="F2298" s="103" t="str">
        <f aca="false">IF($C2298="","",$D2298*$E2298)</f>
        <v/>
      </c>
      <c r="G2298" s="103" t="str">
        <f aca="false">IF($C2298="","",$D2298*IFERROR(INDEX('تحليل التكلفة والسعر'!$C$2:$C$700,MATCH($C2298,'تحليل التكلفة والسعر'!$B$2:$B$700,0)),0))</f>
        <v/>
      </c>
    </row>
    <row r="2299" customFormat="false" ht="15" hidden="false" customHeight="false" outlineLevel="0" collapsed="false">
      <c r="A2299" s="102"/>
      <c r="E2299" s="103" t="str">
        <f aca="false">IF($C2299="","",IFERROR(INDEX(المنيو!$C$2:$C$500,MATCH($C2299,المنيو!$B$2:$B$500,0)),0))</f>
        <v/>
      </c>
      <c r="F2299" s="103" t="str">
        <f aca="false">IF($C2299="","",$D2299*$E2299)</f>
        <v/>
      </c>
      <c r="G2299" s="103" t="str">
        <f aca="false">IF($C2299="","",$D2299*IFERROR(INDEX('تحليل التكلفة والسعر'!$C$2:$C$700,MATCH($C2299,'تحليل التكلفة والسعر'!$B$2:$B$700,0)),0))</f>
        <v/>
      </c>
    </row>
    <row r="2300" customFormat="false" ht="15" hidden="false" customHeight="false" outlineLevel="0" collapsed="false">
      <c r="A2300" s="102"/>
      <c r="E2300" s="103" t="str">
        <f aca="false">IF($C2300="","",IFERROR(INDEX(المنيو!$C$2:$C$500,MATCH($C2300,المنيو!$B$2:$B$500,0)),0))</f>
        <v/>
      </c>
      <c r="F2300" s="103" t="str">
        <f aca="false">IF($C2300="","",$D2300*$E2300)</f>
        <v/>
      </c>
      <c r="G2300" s="103" t="str">
        <f aca="false">IF($C2300="","",$D2300*IFERROR(INDEX('تحليل التكلفة والسعر'!$C$2:$C$700,MATCH($C2300,'تحليل التكلفة والسعر'!$B$2:$B$700,0)),0))</f>
        <v/>
      </c>
    </row>
    <row r="2301" customFormat="false" ht="15" hidden="false" customHeight="false" outlineLevel="0" collapsed="false">
      <c r="A2301" s="102"/>
      <c r="E2301" s="103" t="str">
        <f aca="false">IF($C2301="","",IFERROR(INDEX(المنيو!$C$2:$C$500,MATCH($C2301,المنيو!$B$2:$B$500,0)),0))</f>
        <v/>
      </c>
      <c r="F2301" s="103" t="str">
        <f aca="false">IF($C2301="","",$D2301*$E2301)</f>
        <v/>
      </c>
      <c r="G2301" s="103" t="str">
        <f aca="false">IF($C2301="","",$D2301*IFERROR(INDEX('تحليل التكلفة والسعر'!$C$2:$C$700,MATCH($C2301,'تحليل التكلفة والسعر'!$B$2:$B$700,0)),0))</f>
        <v/>
      </c>
    </row>
    <row r="2302" customFormat="false" ht="15" hidden="false" customHeight="false" outlineLevel="0" collapsed="false">
      <c r="A2302" s="102"/>
      <c r="E2302" s="103" t="str">
        <f aca="false">IF($C2302="","",IFERROR(INDEX(المنيو!$C$2:$C$500,MATCH($C2302,المنيو!$B$2:$B$500,0)),0))</f>
        <v/>
      </c>
      <c r="F2302" s="103" t="str">
        <f aca="false">IF($C2302="","",$D2302*$E2302)</f>
        <v/>
      </c>
      <c r="G2302" s="103" t="str">
        <f aca="false">IF($C2302="","",$D2302*IFERROR(INDEX('تحليل التكلفة والسعر'!$C$2:$C$700,MATCH($C2302,'تحليل التكلفة والسعر'!$B$2:$B$700,0)),0))</f>
        <v/>
      </c>
    </row>
    <row r="2303" customFormat="false" ht="15" hidden="false" customHeight="false" outlineLevel="0" collapsed="false">
      <c r="A2303" s="102"/>
      <c r="E2303" s="103" t="str">
        <f aca="false">IF($C2303="","",IFERROR(INDEX(المنيو!$C$2:$C$500,MATCH($C2303,المنيو!$B$2:$B$500,0)),0))</f>
        <v/>
      </c>
      <c r="F2303" s="103" t="str">
        <f aca="false">IF($C2303="","",$D2303*$E2303)</f>
        <v/>
      </c>
      <c r="G2303" s="103" t="str">
        <f aca="false">IF($C2303="","",$D2303*IFERROR(INDEX('تحليل التكلفة والسعر'!$C$2:$C$700,MATCH($C2303,'تحليل التكلفة والسعر'!$B$2:$B$700,0)),0))</f>
        <v/>
      </c>
    </row>
    <row r="2304" customFormat="false" ht="15" hidden="false" customHeight="false" outlineLevel="0" collapsed="false">
      <c r="A2304" s="102"/>
      <c r="E2304" s="103" t="str">
        <f aca="false">IF($C2304="","",IFERROR(INDEX(المنيو!$C$2:$C$500,MATCH($C2304,المنيو!$B$2:$B$500,0)),0))</f>
        <v/>
      </c>
      <c r="F2304" s="103" t="str">
        <f aca="false">IF($C2304="","",$D2304*$E2304)</f>
        <v/>
      </c>
      <c r="G2304" s="103" t="str">
        <f aca="false">IF($C2304="","",$D2304*IFERROR(INDEX('تحليل التكلفة والسعر'!$C$2:$C$700,MATCH($C2304,'تحليل التكلفة والسعر'!$B$2:$B$700,0)),0))</f>
        <v/>
      </c>
    </row>
    <row r="2305" customFormat="false" ht="15" hidden="false" customHeight="false" outlineLevel="0" collapsed="false">
      <c r="A2305" s="102"/>
      <c r="E2305" s="103" t="str">
        <f aca="false">IF($C2305="","",IFERROR(INDEX(المنيو!$C$2:$C$500,MATCH($C2305,المنيو!$B$2:$B$500,0)),0))</f>
        <v/>
      </c>
      <c r="F2305" s="103" t="str">
        <f aca="false">IF($C2305="","",$D2305*$E2305)</f>
        <v/>
      </c>
      <c r="G2305" s="103" t="str">
        <f aca="false">IF($C2305="","",$D2305*IFERROR(INDEX('تحليل التكلفة والسعر'!$C$2:$C$700,MATCH($C2305,'تحليل التكلفة والسعر'!$B$2:$B$700,0)),0))</f>
        <v/>
      </c>
    </row>
    <row r="2306" customFormat="false" ht="15" hidden="false" customHeight="false" outlineLevel="0" collapsed="false">
      <c r="A2306" s="102"/>
      <c r="E2306" s="103" t="str">
        <f aca="false">IF($C2306="","",IFERROR(INDEX(المنيو!$C$2:$C$500,MATCH($C2306,المنيو!$B$2:$B$500,0)),0))</f>
        <v/>
      </c>
      <c r="F2306" s="103" t="str">
        <f aca="false">IF($C2306="","",$D2306*$E2306)</f>
        <v/>
      </c>
      <c r="G2306" s="103" t="str">
        <f aca="false">IF($C2306="","",$D2306*IFERROR(INDEX('تحليل التكلفة والسعر'!$C$2:$C$700,MATCH($C2306,'تحليل التكلفة والسعر'!$B$2:$B$700,0)),0))</f>
        <v/>
      </c>
    </row>
    <row r="2307" customFormat="false" ht="15" hidden="false" customHeight="false" outlineLevel="0" collapsed="false">
      <c r="A2307" s="102"/>
      <c r="E2307" s="103" t="str">
        <f aca="false">IF($C2307="","",IFERROR(INDEX(المنيو!$C$2:$C$500,MATCH($C2307,المنيو!$B$2:$B$500,0)),0))</f>
        <v/>
      </c>
      <c r="F2307" s="103" t="str">
        <f aca="false">IF($C2307="","",$D2307*$E2307)</f>
        <v/>
      </c>
      <c r="G2307" s="103" t="str">
        <f aca="false">IF($C2307="","",$D2307*IFERROR(INDEX('تحليل التكلفة والسعر'!$C$2:$C$700,MATCH($C2307,'تحليل التكلفة والسعر'!$B$2:$B$700,0)),0))</f>
        <v/>
      </c>
    </row>
    <row r="2308" customFormat="false" ht="15" hidden="false" customHeight="false" outlineLevel="0" collapsed="false">
      <c r="A2308" s="102"/>
      <c r="E2308" s="103" t="str">
        <f aca="false">IF($C2308="","",IFERROR(INDEX(المنيو!$C$2:$C$500,MATCH($C2308,المنيو!$B$2:$B$500,0)),0))</f>
        <v/>
      </c>
      <c r="F2308" s="103" t="str">
        <f aca="false">IF($C2308="","",$D2308*$E2308)</f>
        <v/>
      </c>
      <c r="G2308" s="103" t="str">
        <f aca="false">IF($C2308="","",$D2308*IFERROR(INDEX('تحليل التكلفة والسعر'!$C$2:$C$700,MATCH($C2308,'تحليل التكلفة والسعر'!$B$2:$B$700,0)),0))</f>
        <v/>
      </c>
    </row>
    <row r="2309" customFormat="false" ht="15" hidden="false" customHeight="false" outlineLevel="0" collapsed="false">
      <c r="A2309" s="102"/>
      <c r="E2309" s="103" t="str">
        <f aca="false">IF($C2309="","",IFERROR(INDEX(المنيو!$C$2:$C$500,MATCH($C2309,المنيو!$B$2:$B$500,0)),0))</f>
        <v/>
      </c>
      <c r="F2309" s="103" t="str">
        <f aca="false">IF($C2309="","",$D2309*$E2309)</f>
        <v/>
      </c>
      <c r="G2309" s="103" t="str">
        <f aca="false">IF($C2309="","",$D2309*IFERROR(INDEX('تحليل التكلفة والسعر'!$C$2:$C$700,MATCH($C2309,'تحليل التكلفة والسعر'!$B$2:$B$700,0)),0))</f>
        <v/>
      </c>
    </row>
    <row r="2310" customFormat="false" ht="15" hidden="false" customHeight="false" outlineLevel="0" collapsed="false">
      <c r="A2310" s="102"/>
      <c r="E2310" s="103" t="str">
        <f aca="false">IF($C2310="","",IFERROR(INDEX(المنيو!$C$2:$C$500,MATCH($C2310,المنيو!$B$2:$B$500,0)),0))</f>
        <v/>
      </c>
      <c r="F2310" s="103" t="str">
        <f aca="false">IF($C2310="","",$D2310*$E2310)</f>
        <v/>
      </c>
      <c r="G2310" s="103" t="str">
        <f aca="false">IF($C2310="","",$D2310*IFERROR(INDEX('تحليل التكلفة والسعر'!$C$2:$C$700,MATCH($C2310,'تحليل التكلفة والسعر'!$B$2:$B$700,0)),0))</f>
        <v/>
      </c>
    </row>
    <row r="2311" customFormat="false" ht="15" hidden="false" customHeight="false" outlineLevel="0" collapsed="false">
      <c r="A2311" s="102"/>
      <c r="E2311" s="103" t="str">
        <f aca="false">IF($C2311="","",IFERROR(INDEX(المنيو!$C$2:$C$500,MATCH($C2311,المنيو!$B$2:$B$500,0)),0))</f>
        <v/>
      </c>
      <c r="F2311" s="103" t="str">
        <f aca="false">IF($C2311="","",$D2311*$E2311)</f>
        <v/>
      </c>
      <c r="G2311" s="103" t="str">
        <f aca="false">IF($C2311="","",$D2311*IFERROR(INDEX('تحليل التكلفة والسعر'!$C$2:$C$700,MATCH($C2311,'تحليل التكلفة والسعر'!$B$2:$B$700,0)),0))</f>
        <v/>
      </c>
    </row>
    <row r="2312" customFormat="false" ht="15" hidden="false" customHeight="false" outlineLevel="0" collapsed="false">
      <c r="A2312" s="102"/>
      <c r="E2312" s="103" t="str">
        <f aca="false">IF($C2312="","",IFERROR(INDEX(المنيو!$C$2:$C$500,MATCH($C2312,المنيو!$B$2:$B$500,0)),0))</f>
        <v/>
      </c>
      <c r="F2312" s="103" t="str">
        <f aca="false">IF($C2312="","",$D2312*$E2312)</f>
        <v/>
      </c>
      <c r="G2312" s="103" t="str">
        <f aca="false">IF($C2312="","",$D2312*IFERROR(INDEX('تحليل التكلفة والسعر'!$C$2:$C$700,MATCH($C2312,'تحليل التكلفة والسعر'!$B$2:$B$700,0)),0))</f>
        <v/>
      </c>
    </row>
    <row r="2313" customFormat="false" ht="15" hidden="false" customHeight="false" outlineLevel="0" collapsed="false">
      <c r="A2313" s="102"/>
      <c r="E2313" s="103" t="str">
        <f aca="false">IF($C2313="","",IFERROR(INDEX(المنيو!$C$2:$C$500,MATCH($C2313,المنيو!$B$2:$B$500,0)),0))</f>
        <v/>
      </c>
      <c r="F2313" s="103" t="str">
        <f aca="false">IF($C2313="","",$D2313*$E2313)</f>
        <v/>
      </c>
      <c r="G2313" s="103" t="str">
        <f aca="false">IF($C2313="","",$D2313*IFERROR(INDEX('تحليل التكلفة والسعر'!$C$2:$C$700,MATCH($C2313,'تحليل التكلفة والسعر'!$B$2:$B$700,0)),0))</f>
        <v/>
      </c>
    </row>
    <row r="2314" customFormat="false" ht="15" hidden="false" customHeight="false" outlineLevel="0" collapsed="false">
      <c r="A2314" s="102"/>
      <c r="E2314" s="103" t="str">
        <f aca="false">IF($C2314="","",IFERROR(INDEX(المنيو!$C$2:$C$500,MATCH($C2314,المنيو!$B$2:$B$500,0)),0))</f>
        <v/>
      </c>
      <c r="F2314" s="103" t="str">
        <f aca="false">IF($C2314="","",$D2314*$E2314)</f>
        <v/>
      </c>
      <c r="G2314" s="103" t="str">
        <f aca="false">IF($C2314="","",$D2314*IFERROR(INDEX('تحليل التكلفة والسعر'!$C$2:$C$700,MATCH($C2314,'تحليل التكلفة والسعر'!$B$2:$B$700,0)),0))</f>
        <v/>
      </c>
    </row>
    <row r="2315" customFormat="false" ht="15" hidden="false" customHeight="false" outlineLevel="0" collapsed="false">
      <c r="A2315" s="102"/>
      <c r="E2315" s="103" t="str">
        <f aca="false">IF($C2315="","",IFERROR(INDEX(المنيو!$C$2:$C$500,MATCH($C2315,المنيو!$B$2:$B$500,0)),0))</f>
        <v/>
      </c>
      <c r="F2315" s="103" t="str">
        <f aca="false">IF($C2315="","",$D2315*$E2315)</f>
        <v/>
      </c>
      <c r="G2315" s="103" t="str">
        <f aca="false">IF($C2315="","",$D2315*IFERROR(INDEX('تحليل التكلفة والسعر'!$C$2:$C$700,MATCH($C2315,'تحليل التكلفة والسعر'!$B$2:$B$700,0)),0))</f>
        <v/>
      </c>
    </row>
    <row r="2316" customFormat="false" ht="15" hidden="false" customHeight="false" outlineLevel="0" collapsed="false">
      <c r="A2316" s="102"/>
      <c r="E2316" s="103" t="str">
        <f aca="false">IF($C2316="","",IFERROR(INDEX(المنيو!$C$2:$C$500,MATCH($C2316,المنيو!$B$2:$B$500,0)),0))</f>
        <v/>
      </c>
      <c r="F2316" s="103" t="str">
        <f aca="false">IF($C2316="","",$D2316*$E2316)</f>
        <v/>
      </c>
      <c r="G2316" s="103" t="str">
        <f aca="false">IF($C2316="","",$D2316*IFERROR(INDEX('تحليل التكلفة والسعر'!$C$2:$C$700,MATCH($C2316,'تحليل التكلفة والسعر'!$B$2:$B$700,0)),0))</f>
        <v/>
      </c>
    </row>
    <row r="2317" customFormat="false" ht="15" hidden="false" customHeight="false" outlineLevel="0" collapsed="false">
      <c r="A2317" s="102"/>
      <c r="E2317" s="103" t="str">
        <f aca="false">IF($C2317="","",IFERROR(INDEX(المنيو!$C$2:$C$500,MATCH($C2317,المنيو!$B$2:$B$500,0)),0))</f>
        <v/>
      </c>
      <c r="F2317" s="103" t="str">
        <f aca="false">IF($C2317="","",$D2317*$E2317)</f>
        <v/>
      </c>
      <c r="G2317" s="103" t="str">
        <f aca="false">IF($C2317="","",$D2317*IFERROR(INDEX('تحليل التكلفة والسعر'!$C$2:$C$700,MATCH($C2317,'تحليل التكلفة والسعر'!$B$2:$B$700,0)),0))</f>
        <v/>
      </c>
    </row>
    <row r="2318" customFormat="false" ht="15" hidden="false" customHeight="false" outlineLevel="0" collapsed="false">
      <c r="A2318" s="102"/>
      <c r="E2318" s="103" t="str">
        <f aca="false">IF($C2318="","",IFERROR(INDEX(المنيو!$C$2:$C$500,MATCH($C2318,المنيو!$B$2:$B$500,0)),0))</f>
        <v/>
      </c>
      <c r="F2318" s="103" t="str">
        <f aca="false">IF($C2318="","",$D2318*$E2318)</f>
        <v/>
      </c>
      <c r="G2318" s="103" t="str">
        <f aca="false">IF($C2318="","",$D2318*IFERROR(INDEX('تحليل التكلفة والسعر'!$C$2:$C$700,MATCH($C2318,'تحليل التكلفة والسعر'!$B$2:$B$700,0)),0))</f>
        <v/>
      </c>
    </row>
    <row r="2319" customFormat="false" ht="15" hidden="false" customHeight="false" outlineLevel="0" collapsed="false">
      <c r="A2319" s="102"/>
      <c r="E2319" s="103" t="str">
        <f aca="false">IF($C2319="","",IFERROR(INDEX(المنيو!$C$2:$C$500,MATCH($C2319,المنيو!$B$2:$B$500,0)),0))</f>
        <v/>
      </c>
      <c r="F2319" s="103" t="str">
        <f aca="false">IF($C2319="","",$D2319*$E2319)</f>
        <v/>
      </c>
      <c r="G2319" s="103" t="str">
        <f aca="false">IF($C2319="","",$D2319*IFERROR(INDEX('تحليل التكلفة والسعر'!$C$2:$C$700,MATCH($C2319,'تحليل التكلفة والسعر'!$B$2:$B$700,0)),0))</f>
        <v/>
      </c>
    </row>
    <row r="2320" customFormat="false" ht="15" hidden="false" customHeight="false" outlineLevel="0" collapsed="false">
      <c r="A2320" s="102"/>
      <c r="E2320" s="103" t="str">
        <f aca="false">IF($C2320="","",IFERROR(INDEX(المنيو!$C$2:$C$500,MATCH($C2320,المنيو!$B$2:$B$500,0)),0))</f>
        <v/>
      </c>
      <c r="F2320" s="103" t="str">
        <f aca="false">IF($C2320="","",$D2320*$E2320)</f>
        <v/>
      </c>
      <c r="G2320" s="103" t="str">
        <f aca="false">IF($C2320="","",$D2320*IFERROR(INDEX('تحليل التكلفة والسعر'!$C$2:$C$700,MATCH($C2320,'تحليل التكلفة والسعر'!$B$2:$B$700,0)),0))</f>
        <v/>
      </c>
    </row>
    <row r="2321" customFormat="false" ht="15" hidden="false" customHeight="false" outlineLevel="0" collapsed="false">
      <c r="A2321" s="102"/>
      <c r="E2321" s="103" t="str">
        <f aca="false">IF($C2321="","",IFERROR(INDEX(المنيو!$C$2:$C$500,MATCH($C2321,المنيو!$B$2:$B$500,0)),0))</f>
        <v/>
      </c>
      <c r="F2321" s="103" t="str">
        <f aca="false">IF($C2321="","",$D2321*$E2321)</f>
        <v/>
      </c>
      <c r="G2321" s="103" t="str">
        <f aca="false">IF($C2321="","",$D2321*IFERROR(INDEX('تحليل التكلفة والسعر'!$C$2:$C$700,MATCH($C2321,'تحليل التكلفة والسعر'!$B$2:$B$700,0)),0))</f>
        <v/>
      </c>
    </row>
    <row r="2322" customFormat="false" ht="15" hidden="false" customHeight="false" outlineLevel="0" collapsed="false">
      <c r="A2322" s="102"/>
      <c r="E2322" s="103" t="str">
        <f aca="false">IF($C2322="","",IFERROR(INDEX(المنيو!$C$2:$C$500,MATCH($C2322,المنيو!$B$2:$B$500,0)),0))</f>
        <v/>
      </c>
      <c r="F2322" s="103" t="str">
        <f aca="false">IF($C2322="","",$D2322*$E2322)</f>
        <v/>
      </c>
      <c r="G2322" s="103" t="str">
        <f aca="false">IF($C2322="","",$D2322*IFERROR(INDEX('تحليل التكلفة والسعر'!$C$2:$C$700,MATCH($C2322,'تحليل التكلفة والسعر'!$B$2:$B$700,0)),0))</f>
        <v/>
      </c>
    </row>
    <row r="2323" customFormat="false" ht="15" hidden="false" customHeight="false" outlineLevel="0" collapsed="false">
      <c r="A2323" s="102"/>
      <c r="E2323" s="103" t="str">
        <f aca="false">IF($C2323="","",IFERROR(INDEX(المنيو!$C$2:$C$500,MATCH($C2323,المنيو!$B$2:$B$500,0)),0))</f>
        <v/>
      </c>
      <c r="F2323" s="103" t="str">
        <f aca="false">IF($C2323="","",$D2323*$E2323)</f>
        <v/>
      </c>
      <c r="G2323" s="103" t="str">
        <f aca="false">IF($C2323="","",$D2323*IFERROR(INDEX('تحليل التكلفة والسعر'!$C$2:$C$700,MATCH($C2323,'تحليل التكلفة والسعر'!$B$2:$B$700,0)),0))</f>
        <v/>
      </c>
    </row>
    <row r="2324" customFormat="false" ht="15" hidden="false" customHeight="false" outlineLevel="0" collapsed="false">
      <c r="A2324" s="102"/>
      <c r="E2324" s="103" t="str">
        <f aca="false">IF($C2324="","",IFERROR(INDEX(المنيو!$C$2:$C$500,MATCH($C2324,المنيو!$B$2:$B$500,0)),0))</f>
        <v/>
      </c>
      <c r="F2324" s="103" t="str">
        <f aca="false">IF($C2324="","",$D2324*$E2324)</f>
        <v/>
      </c>
      <c r="G2324" s="103" t="str">
        <f aca="false">IF($C2324="","",$D2324*IFERROR(INDEX('تحليل التكلفة والسعر'!$C$2:$C$700,MATCH($C2324,'تحليل التكلفة والسعر'!$B$2:$B$700,0)),0))</f>
        <v/>
      </c>
    </row>
    <row r="2325" customFormat="false" ht="15" hidden="false" customHeight="false" outlineLevel="0" collapsed="false">
      <c r="A2325" s="102"/>
      <c r="E2325" s="103" t="str">
        <f aca="false">IF($C2325="","",IFERROR(INDEX(المنيو!$C$2:$C$500,MATCH($C2325,المنيو!$B$2:$B$500,0)),0))</f>
        <v/>
      </c>
      <c r="F2325" s="103" t="str">
        <f aca="false">IF($C2325="","",$D2325*$E2325)</f>
        <v/>
      </c>
      <c r="G2325" s="103" t="str">
        <f aca="false">IF($C2325="","",$D2325*IFERROR(INDEX('تحليل التكلفة والسعر'!$C$2:$C$700,MATCH($C2325,'تحليل التكلفة والسعر'!$B$2:$B$700,0)),0))</f>
        <v/>
      </c>
    </row>
    <row r="2326" customFormat="false" ht="15" hidden="false" customHeight="false" outlineLevel="0" collapsed="false">
      <c r="A2326" s="102"/>
      <c r="E2326" s="103" t="str">
        <f aca="false">IF($C2326="","",IFERROR(INDEX(المنيو!$C$2:$C$500,MATCH($C2326,المنيو!$B$2:$B$500,0)),0))</f>
        <v/>
      </c>
      <c r="F2326" s="103" t="str">
        <f aca="false">IF($C2326="","",$D2326*$E2326)</f>
        <v/>
      </c>
      <c r="G2326" s="103" t="str">
        <f aca="false">IF($C2326="","",$D2326*IFERROR(INDEX('تحليل التكلفة والسعر'!$C$2:$C$700,MATCH($C2326,'تحليل التكلفة والسعر'!$B$2:$B$700,0)),0))</f>
        <v/>
      </c>
    </row>
    <row r="2327" customFormat="false" ht="15" hidden="false" customHeight="false" outlineLevel="0" collapsed="false">
      <c r="A2327" s="102"/>
      <c r="E2327" s="103" t="str">
        <f aca="false">IF($C2327="","",IFERROR(INDEX(المنيو!$C$2:$C$500,MATCH($C2327,المنيو!$B$2:$B$500,0)),0))</f>
        <v/>
      </c>
      <c r="F2327" s="103" t="str">
        <f aca="false">IF($C2327="","",$D2327*$E2327)</f>
        <v/>
      </c>
      <c r="G2327" s="103" t="str">
        <f aca="false">IF($C2327="","",$D2327*IFERROR(INDEX('تحليل التكلفة والسعر'!$C$2:$C$700,MATCH($C2327,'تحليل التكلفة والسعر'!$B$2:$B$700,0)),0))</f>
        <v/>
      </c>
    </row>
    <row r="2328" customFormat="false" ht="15" hidden="false" customHeight="false" outlineLevel="0" collapsed="false">
      <c r="A2328" s="102"/>
      <c r="E2328" s="103" t="str">
        <f aca="false">IF($C2328="","",IFERROR(INDEX(المنيو!$C$2:$C$500,MATCH($C2328,المنيو!$B$2:$B$500,0)),0))</f>
        <v/>
      </c>
      <c r="F2328" s="103" t="str">
        <f aca="false">IF($C2328="","",$D2328*$E2328)</f>
        <v/>
      </c>
      <c r="G2328" s="103" t="str">
        <f aca="false">IF($C2328="","",$D2328*IFERROR(INDEX('تحليل التكلفة والسعر'!$C$2:$C$700,MATCH($C2328,'تحليل التكلفة والسعر'!$B$2:$B$700,0)),0))</f>
        <v/>
      </c>
    </row>
    <row r="2329" customFormat="false" ht="15" hidden="false" customHeight="false" outlineLevel="0" collapsed="false">
      <c r="A2329" s="102"/>
      <c r="E2329" s="103" t="str">
        <f aca="false">IF($C2329="","",IFERROR(INDEX(المنيو!$C$2:$C$500,MATCH($C2329,المنيو!$B$2:$B$500,0)),0))</f>
        <v/>
      </c>
      <c r="F2329" s="103" t="str">
        <f aca="false">IF($C2329="","",$D2329*$E2329)</f>
        <v/>
      </c>
      <c r="G2329" s="103" t="str">
        <f aca="false">IF($C2329="","",$D2329*IFERROR(INDEX('تحليل التكلفة والسعر'!$C$2:$C$700,MATCH($C2329,'تحليل التكلفة والسعر'!$B$2:$B$700,0)),0))</f>
        <v/>
      </c>
    </row>
    <row r="2330" customFormat="false" ht="15" hidden="false" customHeight="false" outlineLevel="0" collapsed="false">
      <c r="A2330" s="102"/>
      <c r="E2330" s="103" t="str">
        <f aca="false">IF($C2330="","",IFERROR(INDEX(المنيو!$C$2:$C$500,MATCH($C2330,المنيو!$B$2:$B$500,0)),0))</f>
        <v/>
      </c>
      <c r="F2330" s="103" t="str">
        <f aca="false">IF($C2330="","",$D2330*$E2330)</f>
        <v/>
      </c>
      <c r="G2330" s="103" t="str">
        <f aca="false">IF($C2330="","",$D2330*IFERROR(INDEX('تحليل التكلفة والسعر'!$C$2:$C$700,MATCH($C2330,'تحليل التكلفة والسعر'!$B$2:$B$700,0)),0))</f>
        <v/>
      </c>
    </row>
    <row r="2331" customFormat="false" ht="15" hidden="false" customHeight="false" outlineLevel="0" collapsed="false">
      <c r="A2331" s="102"/>
      <c r="E2331" s="103" t="str">
        <f aca="false">IF($C2331="","",IFERROR(INDEX(المنيو!$C$2:$C$500,MATCH($C2331,المنيو!$B$2:$B$500,0)),0))</f>
        <v/>
      </c>
      <c r="F2331" s="103" t="str">
        <f aca="false">IF($C2331="","",$D2331*$E2331)</f>
        <v/>
      </c>
      <c r="G2331" s="103" t="str">
        <f aca="false">IF($C2331="","",$D2331*IFERROR(INDEX('تحليل التكلفة والسعر'!$C$2:$C$700,MATCH($C2331,'تحليل التكلفة والسعر'!$B$2:$B$700,0)),0))</f>
        <v/>
      </c>
    </row>
    <row r="2332" customFormat="false" ht="15" hidden="false" customHeight="false" outlineLevel="0" collapsed="false">
      <c r="A2332" s="102"/>
      <c r="E2332" s="103" t="str">
        <f aca="false">IF($C2332="","",IFERROR(INDEX(المنيو!$C$2:$C$500,MATCH($C2332,المنيو!$B$2:$B$500,0)),0))</f>
        <v/>
      </c>
      <c r="F2332" s="103" t="str">
        <f aca="false">IF($C2332="","",$D2332*$E2332)</f>
        <v/>
      </c>
      <c r="G2332" s="103" t="str">
        <f aca="false">IF($C2332="","",$D2332*IFERROR(INDEX('تحليل التكلفة والسعر'!$C$2:$C$700,MATCH($C2332,'تحليل التكلفة والسعر'!$B$2:$B$700,0)),0))</f>
        <v/>
      </c>
    </row>
    <row r="2333" customFormat="false" ht="15" hidden="false" customHeight="false" outlineLevel="0" collapsed="false">
      <c r="A2333" s="102"/>
      <c r="E2333" s="103" t="str">
        <f aca="false">IF($C2333="","",IFERROR(INDEX(المنيو!$C$2:$C$500,MATCH($C2333,المنيو!$B$2:$B$500,0)),0))</f>
        <v/>
      </c>
      <c r="F2333" s="103" t="str">
        <f aca="false">IF($C2333="","",$D2333*$E2333)</f>
        <v/>
      </c>
      <c r="G2333" s="103" t="str">
        <f aca="false">IF($C2333="","",$D2333*IFERROR(INDEX('تحليل التكلفة والسعر'!$C$2:$C$700,MATCH($C2333,'تحليل التكلفة والسعر'!$B$2:$B$700,0)),0))</f>
        <v/>
      </c>
    </row>
    <row r="2334" customFormat="false" ht="15" hidden="false" customHeight="false" outlineLevel="0" collapsed="false">
      <c r="A2334" s="102"/>
      <c r="E2334" s="103" t="str">
        <f aca="false">IF($C2334="","",IFERROR(INDEX(المنيو!$C$2:$C$500,MATCH($C2334,المنيو!$B$2:$B$500,0)),0))</f>
        <v/>
      </c>
      <c r="F2334" s="103" t="str">
        <f aca="false">IF($C2334="","",$D2334*$E2334)</f>
        <v/>
      </c>
      <c r="G2334" s="103" t="str">
        <f aca="false">IF($C2334="","",$D2334*IFERROR(INDEX('تحليل التكلفة والسعر'!$C$2:$C$700,MATCH($C2334,'تحليل التكلفة والسعر'!$B$2:$B$700,0)),0))</f>
        <v/>
      </c>
    </row>
    <row r="2335" customFormat="false" ht="15" hidden="false" customHeight="false" outlineLevel="0" collapsed="false">
      <c r="A2335" s="102"/>
      <c r="E2335" s="103" t="str">
        <f aca="false">IF($C2335="","",IFERROR(INDEX(المنيو!$C$2:$C$500,MATCH($C2335,المنيو!$B$2:$B$500,0)),0))</f>
        <v/>
      </c>
      <c r="F2335" s="103" t="str">
        <f aca="false">IF($C2335="","",$D2335*$E2335)</f>
        <v/>
      </c>
      <c r="G2335" s="103" t="str">
        <f aca="false">IF($C2335="","",$D2335*IFERROR(INDEX('تحليل التكلفة والسعر'!$C$2:$C$700,MATCH($C2335,'تحليل التكلفة والسعر'!$B$2:$B$700,0)),0))</f>
        <v/>
      </c>
    </row>
    <row r="2336" customFormat="false" ht="15" hidden="false" customHeight="false" outlineLevel="0" collapsed="false">
      <c r="A2336" s="102"/>
      <c r="E2336" s="103" t="str">
        <f aca="false">IF($C2336="","",IFERROR(INDEX(المنيو!$C$2:$C$500,MATCH($C2336,المنيو!$B$2:$B$500,0)),0))</f>
        <v/>
      </c>
      <c r="F2336" s="103" t="str">
        <f aca="false">IF($C2336="","",$D2336*$E2336)</f>
        <v/>
      </c>
      <c r="G2336" s="103" t="str">
        <f aca="false">IF($C2336="","",$D2336*IFERROR(INDEX('تحليل التكلفة والسعر'!$C$2:$C$700,MATCH($C2336,'تحليل التكلفة والسعر'!$B$2:$B$700,0)),0))</f>
        <v/>
      </c>
    </row>
    <row r="2337" customFormat="false" ht="15" hidden="false" customHeight="false" outlineLevel="0" collapsed="false">
      <c r="A2337" s="102"/>
      <c r="E2337" s="103" t="str">
        <f aca="false">IF($C2337="","",IFERROR(INDEX(المنيو!$C$2:$C$500,MATCH($C2337,المنيو!$B$2:$B$500,0)),0))</f>
        <v/>
      </c>
      <c r="F2337" s="103" t="str">
        <f aca="false">IF($C2337="","",$D2337*$E2337)</f>
        <v/>
      </c>
      <c r="G2337" s="103" t="str">
        <f aca="false">IF($C2337="","",$D2337*IFERROR(INDEX('تحليل التكلفة والسعر'!$C$2:$C$700,MATCH($C2337,'تحليل التكلفة والسعر'!$B$2:$B$700,0)),0))</f>
        <v/>
      </c>
    </row>
    <row r="2338" customFormat="false" ht="15" hidden="false" customHeight="false" outlineLevel="0" collapsed="false">
      <c r="A2338" s="102"/>
      <c r="E2338" s="103" t="str">
        <f aca="false">IF($C2338="","",IFERROR(INDEX(المنيو!$C$2:$C$500,MATCH($C2338,المنيو!$B$2:$B$500,0)),0))</f>
        <v/>
      </c>
      <c r="F2338" s="103" t="str">
        <f aca="false">IF($C2338="","",$D2338*$E2338)</f>
        <v/>
      </c>
      <c r="G2338" s="103" t="str">
        <f aca="false">IF($C2338="","",$D2338*IFERROR(INDEX('تحليل التكلفة والسعر'!$C$2:$C$700,MATCH($C2338,'تحليل التكلفة والسعر'!$B$2:$B$700,0)),0))</f>
        <v/>
      </c>
    </row>
    <row r="2339" customFormat="false" ht="15" hidden="false" customHeight="false" outlineLevel="0" collapsed="false">
      <c r="A2339" s="102"/>
      <c r="E2339" s="103" t="str">
        <f aca="false">IF($C2339="","",IFERROR(INDEX(المنيو!$C$2:$C$500,MATCH($C2339,المنيو!$B$2:$B$500,0)),0))</f>
        <v/>
      </c>
      <c r="F2339" s="103" t="str">
        <f aca="false">IF($C2339="","",$D2339*$E2339)</f>
        <v/>
      </c>
      <c r="G2339" s="103" t="str">
        <f aca="false">IF($C2339="","",$D2339*IFERROR(INDEX('تحليل التكلفة والسعر'!$C$2:$C$700,MATCH($C2339,'تحليل التكلفة والسعر'!$B$2:$B$700,0)),0))</f>
        <v/>
      </c>
    </row>
    <row r="2340" customFormat="false" ht="15" hidden="false" customHeight="false" outlineLevel="0" collapsed="false">
      <c r="A2340" s="102"/>
      <c r="E2340" s="103" t="str">
        <f aca="false">IF($C2340="","",IFERROR(INDEX(المنيو!$C$2:$C$500,MATCH($C2340,المنيو!$B$2:$B$500,0)),0))</f>
        <v/>
      </c>
      <c r="F2340" s="103" t="str">
        <f aca="false">IF($C2340="","",$D2340*$E2340)</f>
        <v/>
      </c>
      <c r="G2340" s="103" t="str">
        <f aca="false">IF($C2340="","",$D2340*IFERROR(INDEX('تحليل التكلفة والسعر'!$C$2:$C$700,MATCH($C2340,'تحليل التكلفة والسعر'!$B$2:$B$700,0)),0))</f>
        <v/>
      </c>
    </row>
    <row r="2341" customFormat="false" ht="15" hidden="false" customHeight="false" outlineLevel="0" collapsed="false">
      <c r="A2341" s="102"/>
      <c r="E2341" s="103" t="str">
        <f aca="false">IF($C2341="","",IFERROR(INDEX(المنيو!$C$2:$C$500,MATCH($C2341,المنيو!$B$2:$B$500,0)),0))</f>
        <v/>
      </c>
      <c r="F2341" s="103" t="str">
        <f aca="false">IF($C2341="","",$D2341*$E2341)</f>
        <v/>
      </c>
      <c r="G2341" s="103" t="str">
        <f aca="false">IF($C2341="","",$D2341*IFERROR(INDEX('تحليل التكلفة والسعر'!$C$2:$C$700,MATCH($C2341,'تحليل التكلفة والسعر'!$B$2:$B$700,0)),0))</f>
        <v/>
      </c>
    </row>
    <row r="2342" customFormat="false" ht="15" hidden="false" customHeight="false" outlineLevel="0" collapsed="false">
      <c r="A2342" s="102"/>
      <c r="E2342" s="103" t="str">
        <f aca="false">IF($C2342="","",IFERROR(INDEX(المنيو!$C$2:$C$500,MATCH($C2342,المنيو!$B$2:$B$500,0)),0))</f>
        <v/>
      </c>
      <c r="F2342" s="103" t="str">
        <f aca="false">IF($C2342="","",$D2342*$E2342)</f>
        <v/>
      </c>
      <c r="G2342" s="103" t="str">
        <f aca="false">IF($C2342="","",$D2342*IFERROR(INDEX('تحليل التكلفة والسعر'!$C$2:$C$700,MATCH($C2342,'تحليل التكلفة والسعر'!$B$2:$B$700,0)),0))</f>
        <v/>
      </c>
    </row>
    <row r="2343" customFormat="false" ht="15" hidden="false" customHeight="false" outlineLevel="0" collapsed="false">
      <c r="A2343" s="102"/>
      <c r="E2343" s="103" t="str">
        <f aca="false">IF($C2343="","",IFERROR(INDEX(المنيو!$C$2:$C$500,MATCH($C2343,المنيو!$B$2:$B$500,0)),0))</f>
        <v/>
      </c>
      <c r="F2343" s="103" t="str">
        <f aca="false">IF($C2343="","",$D2343*$E2343)</f>
        <v/>
      </c>
      <c r="G2343" s="103" t="str">
        <f aca="false">IF($C2343="","",$D2343*IFERROR(INDEX('تحليل التكلفة والسعر'!$C$2:$C$700,MATCH($C2343,'تحليل التكلفة والسعر'!$B$2:$B$700,0)),0))</f>
        <v/>
      </c>
    </row>
    <row r="2344" customFormat="false" ht="15" hidden="false" customHeight="false" outlineLevel="0" collapsed="false">
      <c r="A2344" s="102"/>
      <c r="E2344" s="103" t="str">
        <f aca="false">IF($C2344="","",IFERROR(INDEX(المنيو!$C$2:$C$500,MATCH($C2344,المنيو!$B$2:$B$500,0)),0))</f>
        <v/>
      </c>
      <c r="F2344" s="103" t="str">
        <f aca="false">IF($C2344="","",$D2344*$E2344)</f>
        <v/>
      </c>
      <c r="G2344" s="103" t="str">
        <f aca="false">IF($C2344="","",$D2344*IFERROR(INDEX('تحليل التكلفة والسعر'!$C$2:$C$700,MATCH($C2344,'تحليل التكلفة والسعر'!$B$2:$B$700,0)),0))</f>
        <v/>
      </c>
    </row>
    <row r="2345" customFormat="false" ht="15" hidden="false" customHeight="false" outlineLevel="0" collapsed="false">
      <c r="A2345" s="102"/>
      <c r="E2345" s="103" t="str">
        <f aca="false">IF($C2345="","",IFERROR(INDEX(المنيو!$C$2:$C$500,MATCH($C2345,المنيو!$B$2:$B$500,0)),0))</f>
        <v/>
      </c>
      <c r="F2345" s="103" t="str">
        <f aca="false">IF($C2345="","",$D2345*$E2345)</f>
        <v/>
      </c>
      <c r="G2345" s="103" t="str">
        <f aca="false">IF($C2345="","",$D2345*IFERROR(INDEX('تحليل التكلفة والسعر'!$C$2:$C$700,MATCH($C2345,'تحليل التكلفة والسعر'!$B$2:$B$700,0)),0))</f>
        <v/>
      </c>
    </row>
    <row r="2346" customFormat="false" ht="15" hidden="false" customHeight="false" outlineLevel="0" collapsed="false">
      <c r="A2346" s="102"/>
      <c r="E2346" s="103" t="str">
        <f aca="false">IF($C2346="","",IFERROR(INDEX(المنيو!$C$2:$C$500,MATCH($C2346,المنيو!$B$2:$B$500,0)),0))</f>
        <v/>
      </c>
      <c r="F2346" s="103" t="str">
        <f aca="false">IF($C2346="","",$D2346*$E2346)</f>
        <v/>
      </c>
      <c r="G2346" s="103" t="str">
        <f aca="false">IF($C2346="","",$D2346*IFERROR(INDEX('تحليل التكلفة والسعر'!$C$2:$C$700,MATCH($C2346,'تحليل التكلفة والسعر'!$B$2:$B$700,0)),0))</f>
        <v/>
      </c>
    </row>
    <row r="2347" customFormat="false" ht="15" hidden="false" customHeight="false" outlineLevel="0" collapsed="false">
      <c r="A2347" s="102"/>
      <c r="E2347" s="103" t="str">
        <f aca="false">IF($C2347="","",IFERROR(INDEX(المنيو!$C$2:$C$500,MATCH($C2347,المنيو!$B$2:$B$500,0)),0))</f>
        <v/>
      </c>
      <c r="F2347" s="103" t="str">
        <f aca="false">IF($C2347="","",$D2347*$E2347)</f>
        <v/>
      </c>
      <c r="G2347" s="103" t="str">
        <f aca="false">IF($C2347="","",$D2347*IFERROR(INDEX('تحليل التكلفة والسعر'!$C$2:$C$700,MATCH($C2347,'تحليل التكلفة والسعر'!$B$2:$B$700,0)),0))</f>
        <v/>
      </c>
    </row>
    <row r="2348" customFormat="false" ht="15" hidden="false" customHeight="false" outlineLevel="0" collapsed="false">
      <c r="A2348" s="102"/>
      <c r="E2348" s="103" t="str">
        <f aca="false">IF($C2348="","",IFERROR(INDEX(المنيو!$C$2:$C$500,MATCH($C2348,المنيو!$B$2:$B$500,0)),0))</f>
        <v/>
      </c>
      <c r="F2348" s="103" t="str">
        <f aca="false">IF($C2348="","",$D2348*$E2348)</f>
        <v/>
      </c>
      <c r="G2348" s="103" t="str">
        <f aca="false">IF($C2348="","",$D2348*IFERROR(INDEX('تحليل التكلفة والسعر'!$C$2:$C$700,MATCH($C2348,'تحليل التكلفة والسعر'!$B$2:$B$700,0)),0))</f>
        <v/>
      </c>
    </row>
    <row r="2349" customFormat="false" ht="15" hidden="false" customHeight="false" outlineLevel="0" collapsed="false">
      <c r="A2349" s="102"/>
      <c r="E2349" s="103" t="str">
        <f aca="false">IF($C2349="","",IFERROR(INDEX(المنيو!$C$2:$C$500,MATCH($C2349,المنيو!$B$2:$B$500,0)),0))</f>
        <v/>
      </c>
      <c r="F2349" s="103" t="str">
        <f aca="false">IF($C2349="","",$D2349*$E2349)</f>
        <v/>
      </c>
      <c r="G2349" s="103" t="str">
        <f aca="false">IF($C2349="","",$D2349*IFERROR(INDEX('تحليل التكلفة والسعر'!$C$2:$C$700,MATCH($C2349,'تحليل التكلفة والسعر'!$B$2:$B$700,0)),0))</f>
        <v/>
      </c>
    </row>
    <row r="2350" customFormat="false" ht="15" hidden="false" customHeight="false" outlineLevel="0" collapsed="false">
      <c r="A2350" s="102"/>
      <c r="E2350" s="103" t="str">
        <f aca="false">IF($C2350="","",IFERROR(INDEX(المنيو!$C$2:$C$500,MATCH($C2350,المنيو!$B$2:$B$500,0)),0))</f>
        <v/>
      </c>
      <c r="F2350" s="103" t="str">
        <f aca="false">IF($C2350="","",$D2350*$E2350)</f>
        <v/>
      </c>
      <c r="G2350" s="103" t="str">
        <f aca="false">IF($C2350="","",$D2350*IFERROR(INDEX('تحليل التكلفة والسعر'!$C$2:$C$700,MATCH($C2350,'تحليل التكلفة والسعر'!$B$2:$B$700,0)),0))</f>
        <v/>
      </c>
    </row>
    <row r="2351" customFormat="false" ht="15" hidden="false" customHeight="false" outlineLevel="0" collapsed="false">
      <c r="A2351" s="102"/>
      <c r="E2351" s="103" t="str">
        <f aca="false">IF($C2351="","",IFERROR(INDEX(المنيو!$C$2:$C$500,MATCH($C2351,المنيو!$B$2:$B$500,0)),0))</f>
        <v/>
      </c>
      <c r="F2351" s="103" t="str">
        <f aca="false">IF($C2351="","",$D2351*$E2351)</f>
        <v/>
      </c>
      <c r="G2351" s="103" t="str">
        <f aca="false">IF($C2351="","",$D2351*IFERROR(INDEX('تحليل التكلفة والسعر'!$C$2:$C$700,MATCH($C2351,'تحليل التكلفة والسعر'!$B$2:$B$700,0)),0))</f>
        <v/>
      </c>
    </row>
    <row r="2352" customFormat="false" ht="15" hidden="false" customHeight="false" outlineLevel="0" collapsed="false">
      <c r="A2352" s="102"/>
      <c r="E2352" s="103" t="str">
        <f aca="false">IF($C2352="","",IFERROR(INDEX(المنيو!$C$2:$C$500,MATCH($C2352,المنيو!$B$2:$B$500,0)),0))</f>
        <v/>
      </c>
      <c r="F2352" s="103" t="str">
        <f aca="false">IF($C2352="","",$D2352*$E2352)</f>
        <v/>
      </c>
      <c r="G2352" s="103" t="str">
        <f aca="false">IF($C2352="","",$D2352*IFERROR(INDEX('تحليل التكلفة والسعر'!$C$2:$C$700,MATCH($C2352,'تحليل التكلفة والسعر'!$B$2:$B$700,0)),0))</f>
        <v/>
      </c>
    </row>
    <row r="2353" customFormat="false" ht="15" hidden="false" customHeight="false" outlineLevel="0" collapsed="false">
      <c r="A2353" s="102"/>
      <c r="E2353" s="103" t="str">
        <f aca="false">IF($C2353="","",IFERROR(INDEX(المنيو!$C$2:$C$500,MATCH($C2353,المنيو!$B$2:$B$500,0)),0))</f>
        <v/>
      </c>
      <c r="F2353" s="103" t="str">
        <f aca="false">IF($C2353="","",$D2353*$E2353)</f>
        <v/>
      </c>
      <c r="G2353" s="103" t="str">
        <f aca="false">IF($C2353="","",$D2353*IFERROR(INDEX('تحليل التكلفة والسعر'!$C$2:$C$700,MATCH($C2353,'تحليل التكلفة والسعر'!$B$2:$B$700,0)),0))</f>
        <v/>
      </c>
    </row>
    <row r="2354" customFormat="false" ht="15" hidden="false" customHeight="false" outlineLevel="0" collapsed="false">
      <c r="A2354" s="102"/>
      <c r="E2354" s="103" t="str">
        <f aca="false">IF($C2354="","",IFERROR(INDEX(المنيو!$C$2:$C$500,MATCH($C2354,المنيو!$B$2:$B$500,0)),0))</f>
        <v/>
      </c>
      <c r="F2354" s="103" t="str">
        <f aca="false">IF($C2354="","",$D2354*$E2354)</f>
        <v/>
      </c>
      <c r="G2354" s="103" t="str">
        <f aca="false">IF($C2354="","",$D2354*IFERROR(INDEX('تحليل التكلفة والسعر'!$C$2:$C$700,MATCH($C2354,'تحليل التكلفة والسعر'!$B$2:$B$700,0)),0))</f>
        <v/>
      </c>
    </row>
    <row r="2355" customFormat="false" ht="15" hidden="false" customHeight="false" outlineLevel="0" collapsed="false">
      <c r="A2355" s="102"/>
      <c r="E2355" s="103" t="str">
        <f aca="false">IF($C2355="","",IFERROR(INDEX(المنيو!$C$2:$C$500,MATCH($C2355,المنيو!$B$2:$B$500,0)),0))</f>
        <v/>
      </c>
      <c r="F2355" s="103" t="str">
        <f aca="false">IF($C2355="","",$D2355*$E2355)</f>
        <v/>
      </c>
      <c r="G2355" s="103" t="str">
        <f aca="false">IF($C2355="","",$D2355*IFERROR(INDEX('تحليل التكلفة والسعر'!$C$2:$C$700,MATCH($C2355,'تحليل التكلفة والسعر'!$B$2:$B$700,0)),0))</f>
        <v/>
      </c>
    </row>
    <row r="2356" customFormat="false" ht="15" hidden="false" customHeight="false" outlineLevel="0" collapsed="false">
      <c r="A2356" s="102"/>
      <c r="E2356" s="103" t="str">
        <f aca="false">IF($C2356="","",IFERROR(INDEX(المنيو!$C$2:$C$500,MATCH($C2356,المنيو!$B$2:$B$500,0)),0))</f>
        <v/>
      </c>
      <c r="F2356" s="103" t="str">
        <f aca="false">IF($C2356="","",$D2356*$E2356)</f>
        <v/>
      </c>
      <c r="G2356" s="103" t="str">
        <f aca="false">IF($C2356="","",$D2356*IFERROR(INDEX('تحليل التكلفة والسعر'!$C$2:$C$700,MATCH($C2356,'تحليل التكلفة والسعر'!$B$2:$B$700,0)),0))</f>
        <v/>
      </c>
    </row>
    <row r="2357" customFormat="false" ht="15" hidden="false" customHeight="false" outlineLevel="0" collapsed="false">
      <c r="A2357" s="102"/>
      <c r="E2357" s="103" t="str">
        <f aca="false">IF($C2357="","",IFERROR(INDEX(المنيو!$C$2:$C$500,MATCH($C2357,المنيو!$B$2:$B$500,0)),0))</f>
        <v/>
      </c>
      <c r="F2357" s="103" t="str">
        <f aca="false">IF($C2357="","",$D2357*$E2357)</f>
        <v/>
      </c>
      <c r="G2357" s="103" t="str">
        <f aca="false">IF($C2357="","",$D2357*IFERROR(INDEX('تحليل التكلفة والسعر'!$C$2:$C$700,MATCH($C2357,'تحليل التكلفة والسعر'!$B$2:$B$700,0)),0))</f>
        <v/>
      </c>
    </row>
    <row r="2358" customFormat="false" ht="15" hidden="false" customHeight="false" outlineLevel="0" collapsed="false">
      <c r="A2358" s="102"/>
      <c r="E2358" s="103" t="str">
        <f aca="false">IF($C2358="","",IFERROR(INDEX(المنيو!$C$2:$C$500,MATCH($C2358,المنيو!$B$2:$B$500,0)),0))</f>
        <v/>
      </c>
      <c r="F2358" s="103" t="str">
        <f aca="false">IF($C2358="","",$D2358*$E2358)</f>
        <v/>
      </c>
      <c r="G2358" s="103" t="str">
        <f aca="false">IF($C2358="","",$D2358*IFERROR(INDEX('تحليل التكلفة والسعر'!$C$2:$C$700,MATCH($C2358,'تحليل التكلفة والسعر'!$B$2:$B$700,0)),0))</f>
        <v/>
      </c>
    </row>
    <row r="2359" customFormat="false" ht="15" hidden="false" customHeight="false" outlineLevel="0" collapsed="false">
      <c r="A2359" s="102"/>
      <c r="E2359" s="103" t="str">
        <f aca="false">IF($C2359="","",IFERROR(INDEX(المنيو!$C$2:$C$500,MATCH($C2359,المنيو!$B$2:$B$500,0)),0))</f>
        <v/>
      </c>
      <c r="F2359" s="103" t="str">
        <f aca="false">IF($C2359="","",$D2359*$E2359)</f>
        <v/>
      </c>
      <c r="G2359" s="103" t="str">
        <f aca="false">IF($C2359="","",$D2359*IFERROR(INDEX('تحليل التكلفة والسعر'!$C$2:$C$700,MATCH($C2359,'تحليل التكلفة والسعر'!$B$2:$B$700,0)),0))</f>
        <v/>
      </c>
    </row>
    <row r="2360" customFormat="false" ht="15" hidden="false" customHeight="false" outlineLevel="0" collapsed="false">
      <c r="A2360" s="102"/>
      <c r="E2360" s="103" t="str">
        <f aca="false">IF($C2360="","",IFERROR(INDEX(المنيو!$C$2:$C$500,MATCH($C2360,المنيو!$B$2:$B$500,0)),0))</f>
        <v/>
      </c>
      <c r="F2360" s="103" t="str">
        <f aca="false">IF($C2360="","",$D2360*$E2360)</f>
        <v/>
      </c>
      <c r="G2360" s="103" t="str">
        <f aca="false">IF($C2360="","",$D2360*IFERROR(INDEX('تحليل التكلفة والسعر'!$C$2:$C$700,MATCH($C2360,'تحليل التكلفة والسعر'!$B$2:$B$700,0)),0))</f>
        <v/>
      </c>
    </row>
    <row r="2361" customFormat="false" ht="15" hidden="false" customHeight="false" outlineLevel="0" collapsed="false">
      <c r="A2361" s="102"/>
      <c r="E2361" s="103" t="str">
        <f aca="false">IF($C2361="","",IFERROR(INDEX(المنيو!$C$2:$C$500,MATCH($C2361,المنيو!$B$2:$B$500,0)),0))</f>
        <v/>
      </c>
      <c r="F2361" s="103" t="str">
        <f aca="false">IF($C2361="","",$D2361*$E2361)</f>
        <v/>
      </c>
      <c r="G2361" s="103" t="str">
        <f aca="false">IF($C2361="","",$D2361*IFERROR(INDEX('تحليل التكلفة والسعر'!$C$2:$C$700,MATCH($C2361,'تحليل التكلفة والسعر'!$B$2:$B$700,0)),0))</f>
        <v/>
      </c>
    </row>
    <row r="2362" customFormat="false" ht="15" hidden="false" customHeight="false" outlineLevel="0" collapsed="false">
      <c r="A2362" s="102"/>
      <c r="E2362" s="103" t="str">
        <f aca="false">IF($C2362="","",IFERROR(INDEX(المنيو!$C$2:$C$500,MATCH($C2362,المنيو!$B$2:$B$500,0)),0))</f>
        <v/>
      </c>
      <c r="F2362" s="103" t="str">
        <f aca="false">IF($C2362="","",$D2362*$E2362)</f>
        <v/>
      </c>
      <c r="G2362" s="103" t="str">
        <f aca="false">IF($C2362="","",$D2362*IFERROR(INDEX('تحليل التكلفة والسعر'!$C$2:$C$700,MATCH($C2362,'تحليل التكلفة والسعر'!$B$2:$B$700,0)),0))</f>
        <v/>
      </c>
    </row>
    <row r="2363" customFormat="false" ht="15" hidden="false" customHeight="false" outlineLevel="0" collapsed="false">
      <c r="A2363" s="102"/>
      <c r="E2363" s="103" t="str">
        <f aca="false">IF($C2363="","",IFERROR(INDEX(المنيو!$C$2:$C$500,MATCH($C2363,المنيو!$B$2:$B$500,0)),0))</f>
        <v/>
      </c>
      <c r="F2363" s="103" t="str">
        <f aca="false">IF($C2363="","",$D2363*$E2363)</f>
        <v/>
      </c>
      <c r="G2363" s="103" t="str">
        <f aca="false">IF($C2363="","",$D2363*IFERROR(INDEX('تحليل التكلفة والسعر'!$C$2:$C$700,MATCH($C2363,'تحليل التكلفة والسعر'!$B$2:$B$700,0)),0))</f>
        <v/>
      </c>
    </row>
    <row r="2364" customFormat="false" ht="15" hidden="false" customHeight="false" outlineLevel="0" collapsed="false">
      <c r="A2364" s="102"/>
      <c r="E2364" s="103" t="str">
        <f aca="false">IF($C2364="","",IFERROR(INDEX(المنيو!$C$2:$C$500,MATCH($C2364,المنيو!$B$2:$B$500,0)),0))</f>
        <v/>
      </c>
      <c r="F2364" s="103" t="str">
        <f aca="false">IF($C2364="","",$D2364*$E2364)</f>
        <v/>
      </c>
      <c r="G2364" s="103" t="str">
        <f aca="false">IF($C2364="","",$D2364*IFERROR(INDEX('تحليل التكلفة والسعر'!$C$2:$C$700,MATCH($C2364,'تحليل التكلفة والسعر'!$B$2:$B$700,0)),0))</f>
        <v/>
      </c>
    </row>
    <row r="2365" customFormat="false" ht="15" hidden="false" customHeight="false" outlineLevel="0" collapsed="false">
      <c r="A2365" s="102"/>
      <c r="E2365" s="103" t="str">
        <f aca="false">IF($C2365="","",IFERROR(INDEX(المنيو!$C$2:$C$500,MATCH($C2365,المنيو!$B$2:$B$500,0)),0))</f>
        <v/>
      </c>
      <c r="F2365" s="103" t="str">
        <f aca="false">IF($C2365="","",$D2365*$E2365)</f>
        <v/>
      </c>
      <c r="G2365" s="103" t="str">
        <f aca="false">IF($C2365="","",$D2365*IFERROR(INDEX('تحليل التكلفة والسعر'!$C$2:$C$700,MATCH($C2365,'تحليل التكلفة والسعر'!$B$2:$B$700,0)),0))</f>
        <v/>
      </c>
    </row>
    <row r="2366" customFormat="false" ht="15" hidden="false" customHeight="false" outlineLevel="0" collapsed="false">
      <c r="A2366" s="102"/>
      <c r="E2366" s="103" t="str">
        <f aca="false">IF($C2366="","",IFERROR(INDEX(المنيو!$C$2:$C$500,MATCH($C2366,المنيو!$B$2:$B$500,0)),0))</f>
        <v/>
      </c>
      <c r="F2366" s="103" t="str">
        <f aca="false">IF($C2366="","",$D2366*$E2366)</f>
        <v/>
      </c>
      <c r="G2366" s="103" t="str">
        <f aca="false">IF($C2366="","",$D2366*IFERROR(INDEX('تحليل التكلفة والسعر'!$C$2:$C$700,MATCH($C2366,'تحليل التكلفة والسعر'!$B$2:$B$700,0)),0))</f>
        <v/>
      </c>
    </row>
    <row r="2367" customFormat="false" ht="15" hidden="false" customHeight="false" outlineLevel="0" collapsed="false">
      <c r="A2367" s="102"/>
      <c r="E2367" s="103" t="str">
        <f aca="false">IF($C2367="","",IFERROR(INDEX(المنيو!$C$2:$C$500,MATCH($C2367,المنيو!$B$2:$B$500,0)),0))</f>
        <v/>
      </c>
      <c r="F2367" s="103" t="str">
        <f aca="false">IF($C2367="","",$D2367*$E2367)</f>
        <v/>
      </c>
      <c r="G2367" s="103" t="str">
        <f aca="false">IF($C2367="","",$D2367*IFERROR(INDEX('تحليل التكلفة والسعر'!$C$2:$C$700,MATCH($C2367,'تحليل التكلفة والسعر'!$B$2:$B$700,0)),0))</f>
        <v/>
      </c>
    </row>
    <row r="2368" customFormat="false" ht="15" hidden="false" customHeight="false" outlineLevel="0" collapsed="false">
      <c r="A2368" s="102"/>
      <c r="E2368" s="103" t="str">
        <f aca="false">IF($C2368="","",IFERROR(INDEX(المنيو!$C$2:$C$500,MATCH($C2368,المنيو!$B$2:$B$500,0)),0))</f>
        <v/>
      </c>
      <c r="F2368" s="103" t="str">
        <f aca="false">IF($C2368="","",$D2368*$E2368)</f>
        <v/>
      </c>
      <c r="G2368" s="103" t="str">
        <f aca="false">IF($C2368="","",$D2368*IFERROR(INDEX('تحليل التكلفة والسعر'!$C$2:$C$700,MATCH($C2368,'تحليل التكلفة والسعر'!$B$2:$B$700,0)),0))</f>
        <v/>
      </c>
    </row>
    <row r="2369" customFormat="false" ht="15" hidden="false" customHeight="false" outlineLevel="0" collapsed="false">
      <c r="A2369" s="102"/>
      <c r="E2369" s="103" t="str">
        <f aca="false">IF($C2369="","",IFERROR(INDEX(المنيو!$C$2:$C$500,MATCH($C2369,المنيو!$B$2:$B$500,0)),0))</f>
        <v/>
      </c>
      <c r="F2369" s="103" t="str">
        <f aca="false">IF($C2369="","",$D2369*$E2369)</f>
        <v/>
      </c>
      <c r="G2369" s="103" t="str">
        <f aca="false">IF($C2369="","",$D2369*IFERROR(INDEX('تحليل التكلفة والسعر'!$C$2:$C$700,MATCH($C2369,'تحليل التكلفة والسعر'!$B$2:$B$700,0)),0))</f>
        <v/>
      </c>
    </row>
    <row r="2370" customFormat="false" ht="15" hidden="false" customHeight="false" outlineLevel="0" collapsed="false">
      <c r="A2370" s="102"/>
      <c r="E2370" s="103" t="str">
        <f aca="false">IF($C2370="","",IFERROR(INDEX(المنيو!$C$2:$C$500,MATCH($C2370,المنيو!$B$2:$B$500,0)),0))</f>
        <v/>
      </c>
      <c r="F2370" s="103" t="str">
        <f aca="false">IF($C2370="","",$D2370*$E2370)</f>
        <v/>
      </c>
      <c r="G2370" s="103" t="str">
        <f aca="false">IF($C2370="","",$D2370*IFERROR(INDEX('تحليل التكلفة والسعر'!$C$2:$C$700,MATCH($C2370,'تحليل التكلفة والسعر'!$B$2:$B$700,0)),0))</f>
        <v/>
      </c>
    </row>
    <row r="2371" customFormat="false" ht="15" hidden="false" customHeight="false" outlineLevel="0" collapsed="false">
      <c r="A2371" s="102"/>
      <c r="E2371" s="103" t="str">
        <f aca="false">IF($C2371="","",IFERROR(INDEX(المنيو!$C$2:$C$500,MATCH($C2371,المنيو!$B$2:$B$500,0)),0))</f>
        <v/>
      </c>
      <c r="F2371" s="103" t="str">
        <f aca="false">IF($C2371="","",$D2371*$E2371)</f>
        <v/>
      </c>
      <c r="G2371" s="103" t="str">
        <f aca="false">IF($C2371="","",$D2371*IFERROR(INDEX('تحليل التكلفة والسعر'!$C$2:$C$700,MATCH($C2371,'تحليل التكلفة والسعر'!$B$2:$B$700,0)),0))</f>
        <v/>
      </c>
    </row>
    <row r="2372" customFormat="false" ht="15" hidden="false" customHeight="false" outlineLevel="0" collapsed="false">
      <c r="A2372" s="102"/>
      <c r="E2372" s="103" t="str">
        <f aca="false">IF($C2372="","",IFERROR(INDEX(المنيو!$C$2:$C$500,MATCH($C2372,المنيو!$B$2:$B$500,0)),0))</f>
        <v/>
      </c>
      <c r="F2372" s="103" t="str">
        <f aca="false">IF($C2372="","",$D2372*$E2372)</f>
        <v/>
      </c>
      <c r="G2372" s="103" t="str">
        <f aca="false">IF($C2372="","",$D2372*IFERROR(INDEX('تحليل التكلفة والسعر'!$C$2:$C$700,MATCH($C2372,'تحليل التكلفة والسعر'!$B$2:$B$700,0)),0))</f>
        <v/>
      </c>
    </row>
    <row r="2373" customFormat="false" ht="15" hidden="false" customHeight="false" outlineLevel="0" collapsed="false">
      <c r="A2373" s="102"/>
      <c r="E2373" s="103" t="str">
        <f aca="false">IF($C2373="","",IFERROR(INDEX(المنيو!$C$2:$C$500,MATCH($C2373,المنيو!$B$2:$B$500,0)),0))</f>
        <v/>
      </c>
      <c r="F2373" s="103" t="str">
        <f aca="false">IF($C2373="","",$D2373*$E2373)</f>
        <v/>
      </c>
      <c r="G2373" s="103" t="str">
        <f aca="false">IF($C2373="","",$D2373*IFERROR(INDEX('تحليل التكلفة والسعر'!$C$2:$C$700,MATCH($C2373,'تحليل التكلفة والسعر'!$B$2:$B$700,0)),0))</f>
        <v/>
      </c>
    </row>
    <row r="2374" customFormat="false" ht="15" hidden="false" customHeight="false" outlineLevel="0" collapsed="false">
      <c r="A2374" s="102"/>
      <c r="E2374" s="103" t="str">
        <f aca="false">IF($C2374="","",IFERROR(INDEX(المنيو!$C$2:$C$500,MATCH($C2374,المنيو!$B$2:$B$500,0)),0))</f>
        <v/>
      </c>
      <c r="F2374" s="103" t="str">
        <f aca="false">IF($C2374="","",$D2374*$E2374)</f>
        <v/>
      </c>
      <c r="G2374" s="103" t="str">
        <f aca="false">IF($C2374="","",$D2374*IFERROR(INDEX('تحليل التكلفة والسعر'!$C$2:$C$700,MATCH($C2374,'تحليل التكلفة والسعر'!$B$2:$B$700,0)),0))</f>
        <v/>
      </c>
    </row>
    <row r="2375" customFormat="false" ht="15" hidden="false" customHeight="false" outlineLevel="0" collapsed="false">
      <c r="A2375" s="102"/>
      <c r="E2375" s="103" t="str">
        <f aca="false">IF($C2375="","",IFERROR(INDEX(المنيو!$C$2:$C$500,MATCH($C2375,المنيو!$B$2:$B$500,0)),0))</f>
        <v/>
      </c>
      <c r="F2375" s="103" t="str">
        <f aca="false">IF($C2375="","",$D2375*$E2375)</f>
        <v/>
      </c>
      <c r="G2375" s="103" t="str">
        <f aca="false">IF($C2375="","",$D2375*IFERROR(INDEX('تحليل التكلفة والسعر'!$C$2:$C$700,MATCH($C2375,'تحليل التكلفة والسعر'!$B$2:$B$700,0)),0))</f>
        <v/>
      </c>
    </row>
    <row r="2376" customFormat="false" ht="15" hidden="false" customHeight="false" outlineLevel="0" collapsed="false">
      <c r="A2376" s="102"/>
      <c r="E2376" s="103" t="str">
        <f aca="false">IF($C2376="","",IFERROR(INDEX(المنيو!$C$2:$C$500,MATCH($C2376,المنيو!$B$2:$B$500,0)),0))</f>
        <v/>
      </c>
      <c r="F2376" s="103" t="str">
        <f aca="false">IF($C2376="","",$D2376*$E2376)</f>
        <v/>
      </c>
      <c r="G2376" s="103" t="str">
        <f aca="false">IF($C2376="","",$D2376*IFERROR(INDEX('تحليل التكلفة والسعر'!$C$2:$C$700,MATCH($C2376,'تحليل التكلفة والسعر'!$B$2:$B$700,0)),0))</f>
        <v/>
      </c>
    </row>
    <row r="2377" customFormat="false" ht="15" hidden="false" customHeight="false" outlineLevel="0" collapsed="false">
      <c r="A2377" s="102"/>
      <c r="E2377" s="103" t="str">
        <f aca="false">IF($C2377="","",IFERROR(INDEX(المنيو!$C$2:$C$500,MATCH($C2377,المنيو!$B$2:$B$500,0)),0))</f>
        <v/>
      </c>
      <c r="F2377" s="103" t="str">
        <f aca="false">IF($C2377="","",$D2377*$E2377)</f>
        <v/>
      </c>
      <c r="G2377" s="103" t="str">
        <f aca="false">IF($C2377="","",$D2377*IFERROR(INDEX('تحليل التكلفة والسعر'!$C$2:$C$700,MATCH($C2377,'تحليل التكلفة والسعر'!$B$2:$B$700,0)),0))</f>
        <v/>
      </c>
    </row>
    <row r="2378" customFormat="false" ht="15" hidden="false" customHeight="false" outlineLevel="0" collapsed="false">
      <c r="A2378" s="102"/>
      <c r="E2378" s="103" t="str">
        <f aca="false">IF($C2378="","",IFERROR(INDEX(المنيو!$C$2:$C$500,MATCH($C2378,المنيو!$B$2:$B$500,0)),0))</f>
        <v/>
      </c>
      <c r="F2378" s="103" t="str">
        <f aca="false">IF($C2378="","",$D2378*$E2378)</f>
        <v/>
      </c>
      <c r="G2378" s="103" t="str">
        <f aca="false">IF($C2378="","",$D2378*IFERROR(INDEX('تحليل التكلفة والسعر'!$C$2:$C$700,MATCH($C2378,'تحليل التكلفة والسعر'!$B$2:$B$700,0)),0))</f>
        <v/>
      </c>
    </row>
    <row r="2379" customFormat="false" ht="15" hidden="false" customHeight="false" outlineLevel="0" collapsed="false">
      <c r="A2379" s="102"/>
      <c r="E2379" s="103" t="str">
        <f aca="false">IF($C2379="","",IFERROR(INDEX(المنيو!$C$2:$C$500,MATCH($C2379,المنيو!$B$2:$B$500,0)),0))</f>
        <v/>
      </c>
      <c r="F2379" s="103" t="str">
        <f aca="false">IF($C2379="","",$D2379*$E2379)</f>
        <v/>
      </c>
      <c r="G2379" s="103" t="str">
        <f aca="false">IF($C2379="","",$D2379*IFERROR(INDEX('تحليل التكلفة والسعر'!$C$2:$C$700,MATCH($C2379,'تحليل التكلفة والسعر'!$B$2:$B$700,0)),0))</f>
        <v/>
      </c>
    </row>
    <row r="2380" customFormat="false" ht="15" hidden="false" customHeight="false" outlineLevel="0" collapsed="false">
      <c r="A2380" s="102"/>
      <c r="E2380" s="103" t="str">
        <f aca="false">IF($C2380="","",IFERROR(INDEX(المنيو!$C$2:$C$500,MATCH($C2380,المنيو!$B$2:$B$500,0)),0))</f>
        <v/>
      </c>
      <c r="F2380" s="103" t="str">
        <f aca="false">IF($C2380="","",$D2380*$E2380)</f>
        <v/>
      </c>
      <c r="G2380" s="103" t="str">
        <f aca="false">IF($C2380="","",$D2380*IFERROR(INDEX('تحليل التكلفة والسعر'!$C$2:$C$700,MATCH($C2380,'تحليل التكلفة والسعر'!$B$2:$B$700,0)),0))</f>
        <v/>
      </c>
    </row>
    <row r="2381" customFormat="false" ht="15" hidden="false" customHeight="false" outlineLevel="0" collapsed="false">
      <c r="A2381" s="102"/>
      <c r="E2381" s="103" t="str">
        <f aca="false">IF($C2381="","",IFERROR(INDEX(المنيو!$C$2:$C$500,MATCH($C2381,المنيو!$B$2:$B$500,0)),0))</f>
        <v/>
      </c>
      <c r="F2381" s="103" t="str">
        <f aca="false">IF($C2381="","",$D2381*$E2381)</f>
        <v/>
      </c>
      <c r="G2381" s="103" t="str">
        <f aca="false">IF($C2381="","",$D2381*IFERROR(INDEX('تحليل التكلفة والسعر'!$C$2:$C$700,MATCH($C2381,'تحليل التكلفة والسعر'!$B$2:$B$700,0)),0))</f>
        <v/>
      </c>
    </row>
    <row r="2382" customFormat="false" ht="15" hidden="false" customHeight="false" outlineLevel="0" collapsed="false">
      <c r="A2382" s="102"/>
      <c r="E2382" s="103" t="str">
        <f aca="false">IF($C2382="","",IFERROR(INDEX(المنيو!$C$2:$C$500,MATCH($C2382,المنيو!$B$2:$B$500,0)),0))</f>
        <v/>
      </c>
      <c r="F2382" s="103" t="str">
        <f aca="false">IF($C2382="","",$D2382*$E2382)</f>
        <v/>
      </c>
      <c r="G2382" s="103" t="str">
        <f aca="false">IF($C2382="","",$D2382*IFERROR(INDEX('تحليل التكلفة والسعر'!$C$2:$C$700,MATCH($C2382,'تحليل التكلفة والسعر'!$B$2:$B$700,0)),0))</f>
        <v/>
      </c>
    </row>
    <row r="2383" customFormat="false" ht="15" hidden="false" customHeight="false" outlineLevel="0" collapsed="false">
      <c r="A2383" s="102"/>
      <c r="E2383" s="103" t="str">
        <f aca="false">IF($C2383="","",IFERROR(INDEX(المنيو!$C$2:$C$500,MATCH($C2383,المنيو!$B$2:$B$500,0)),0))</f>
        <v/>
      </c>
      <c r="F2383" s="103" t="str">
        <f aca="false">IF($C2383="","",$D2383*$E2383)</f>
        <v/>
      </c>
      <c r="G2383" s="103" t="str">
        <f aca="false">IF($C2383="","",$D2383*IFERROR(INDEX('تحليل التكلفة والسعر'!$C$2:$C$700,MATCH($C2383,'تحليل التكلفة والسعر'!$B$2:$B$700,0)),0))</f>
        <v/>
      </c>
    </row>
    <row r="2384" customFormat="false" ht="15" hidden="false" customHeight="false" outlineLevel="0" collapsed="false">
      <c r="A2384" s="102"/>
      <c r="E2384" s="103" t="str">
        <f aca="false">IF($C2384="","",IFERROR(INDEX(المنيو!$C$2:$C$500,MATCH($C2384,المنيو!$B$2:$B$500,0)),0))</f>
        <v/>
      </c>
      <c r="F2384" s="103" t="str">
        <f aca="false">IF($C2384="","",$D2384*$E2384)</f>
        <v/>
      </c>
      <c r="G2384" s="103" t="str">
        <f aca="false">IF($C2384="","",$D2384*IFERROR(INDEX('تحليل التكلفة والسعر'!$C$2:$C$700,MATCH($C2384,'تحليل التكلفة والسعر'!$B$2:$B$700,0)),0))</f>
        <v/>
      </c>
    </row>
    <row r="2385" customFormat="false" ht="15" hidden="false" customHeight="false" outlineLevel="0" collapsed="false">
      <c r="A2385" s="102"/>
      <c r="E2385" s="103" t="str">
        <f aca="false">IF($C2385="","",IFERROR(INDEX(المنيو!$C$2:$C$500,MATCH($C2385,المنيو!$B$2:$B$500,0)),0))</f>
        <v/>
      </c>
      <c r="F2385" s="103" t="str">
        <f aca="false">IF($C2385="","",$D2385*$E2385)</f>
        <v/>
      </c>
      <c r="G2385" s="103" t="str">
        <f aca="false">IF($C2385="","",$D2385*IFERROR(INDEX('تحليل التكلفة والسعر'!$C$2:$C$700,MATCH($C2385,'تحليل التكلفة والسعر'!$B$2:$B$700,0)),0))</f>
        <v/>
      </c>
    </row>
    <row r="2386" customFormat="false" ht="15" hidden="false" customHeight="false" outlineLevel="0" collapsed="false">
      <c r="A2386" s="102"/>
      <c r="E2386" s="103" t="str">
        <f aca="false">IF($C2386="","",IFERROR(INDEX(المنيو!$C$2:$C$500,MATCH($C2386,المنيو!$B$2:$B$500,0)),0))</f>
        <v/>
      </c>
      <c r="F2386" s="103" t="str">
        <f aca="false">IF($C2386="","",$D2386*$E2386)</f>
        <v/>
      </c>
      <c r="G2386" s="103" t="str">
        <f aca="false">IF($C2386="","",$D2386*IFERROR(INDEX('تحليل التكلفة والسعر'!$C$2:$C$700,MATCH($C2386,'تحليل التكلفة والسعر'!$B$2:$B$700,0)),0))</f>
        <v/>
      </c>
    </row>
    <row r="2387" customFormat="false" ht="15" hidden="false" customHeight="false" outlineLevel="0" collapsed="false">
      <c r="A2387" s="102"/>
      <c r="E2387" s="103" t="str">
        <f aca="false">IF($C2387="","",IFERROR(INDEX(المنيو!$C$2:$C$500,MATCH($C2387,المنيو!$B$2:$B$500,0)),0))</f>
        <v/>
      </c>
      <c r="F2387" s="103" t="str">
        <f aca="false">IF($C2387="","",$D2387*$E2387)</f>
        <v/>
      </c>
      <c r="G2387" s="103" t="str">
        <f aca="false">IF($C2387="","",$D2387*IFERROR(INDEX('تحليل التكلفة والسعر'!$C$2:$C$700,MATCH($C2387,'تحليل التكلفة والسعر'!$B$2:$B$700,0)),0))</f>
        <v/>
      </c>
    </row>
    <row r="2388" customFormat="false" ht="15" hidden="false" customHeight="false" outlineLevel="0" collapsed="false">
      <c r="A2388" s="102"/>
      <c r="E2388" s="103" t="str">
        <f aca="false">IF($C2388="","",IFERROR(INDEX(المنيو!$C$2:$C$500,MATCH($C2388,المنيو!$B$2:$B$500,0)),0))</f>
        <v/>
      </c>
      <c r="F2388" s="103" t="str">
        <f aca="false">IF($C2388="","",$D2388*$E2388)</f>
        <v/>
      </c>
      <c r="G2388" s="103" t="str">
        <f aca="false">IF($C2388="","",$D2388*IFERROR(INDEX('تحليل التكلفة والسعر'!$C$2:$C$700,MATCH($C2388,'تحليل التكلفة والسعر'!$B$2:$B$700,0)),0))</f>
        <v/>
      </c>
    </row>
    <row r="2389" customFormat="false" ht="15" hidden="false" customHeight="false" outlineLevel="0" collapsed="false">
      <c r="A2389" s="102"/>
      <c r="E2389" s="103" t="str">
        <f aca="false">IF($C2389="","",IFERROR(INDEX(المنيو!$C$2:$C$500,MATCH($C2389,المنيو!$B$2:$B$500,0)),0))</f>
        <v/>
      </c>
      <c r="F2389" s="103" t="str">
        <f aca="false">IF($C2389="","",$D2389*$E2389)</f>
        <v/>
      </c>
      <c r="G2389" s="103" t="str">
        <f aca="false">IF($C2389="","",$D2389*IFERROR(INDEX('تحليل التكلفة والسعر'!$C$2:$C$700,MATCH($C2389,'تحليل التكلفة والسعر'!$B$2:$B$700,0)),0))</f>
        <v/>
      </c>
    </row>
    <row r="2390" customFormat="false" ht="15" hidden="false" customHeight="false" outlineLevel="0" collapsed="false">
      <c r="A2390" s="102"/>
      <c r="E2390" s="103" t="str">
        <f aca="false">IF($C2390="","",IFERROR(INDEX(المنيو!$C$2:$C$500,MATCH($C2390,المنيو!$B$2:$B$500,0)),0))</f>
        <v/>
      </c>
      <c r="F2390" s="103" t="str">
        <f aca="false">IF($C2390="","",$D2390*$E2390)</f>
        <v/>
      </c>
      <c r="G2390" s="103" t="str">
        <f aca="false">IF($C2390="","",$D2390*IFERROR(INDEX('تحليل التكلفة والسعر'!$C$2:$C$700,MATCH($C2390,'تحليل التكلفة والسعر'!$B$2:$B$700,0)),0))</f>
        <v/>
      </c>
    </row>
    <row r="2391" customFormat="false" ht="15" hidden="false" customHeight="false" outlineLevel="0" collapsed="false">
      <c r="A2391" s="102"/>
      <c r="E2391" s="103" t="str">
        <f aca="false">IF($C2391="","",IFERROR(INDEX(المنيو!$C$2:$C$500,MATCH($C2391,المنيو!$B$2:$B$500,0)),0))</f>
        <v/>
      </c>
      <c r="F2391" s="103" t="str">
        <f aca="false">IF($C2391="","",$D2391*$E2391)</f>
        <v/>
      </c>
      <c r="G2391" s="103" t="str">
        <f aca="false">IF($C2391="","",$D2391*IFERROR(INDEX('تحليل التكلفة والسعر'!$C$2:$C$700,MATCH($C2391,'تحليل التكلفة والسعر'!$B$2:$B$700,0)),0))</f>
        <v/>
      </c>
    </row>
    <row r="2392" customFormat="false" ht="15" hidden="false" customHeight="false" outlineLevel="0" collapsed="false">
      <c r="A2392" s="102"/>
      <c r="E2392" s="103" t="str">
        <f aca="false">IF($C2392="","",IFERROR(INDEX(المنيو!$C$2:$C$500,MATCH($C2392,المنيو!$B$2:$B$500,0)),0))</f>
        <v/>
      </c>
      <c r="F2392" s="103" t="str">
        <f aca="false">IF($C2392="","",$D2392*$E2392)</f>
        <v/>
      </c>
      <c r="G2392" s="103" t="str">
        <f aca="false">IF($C2392="","",$D2392*IFERROR(INDEX('تحليل التكلفة والسعر'!$C$2:$C$700,MATCH($C2392,'تحليل التكلفة والسعر'!$B$2:$B$700,0)),0))</f>
        <v/>
      </c>
    </row>
    <row r="2393" customFormat="false" ht="15" hidden="false" customHeight="false" outlineLevel="0" collapsed="false">
      <c r="A2393" s="102"/>
      <c r="E2393" s="103" t="str">
        <f aca="false">IF($C2393="","",IFERROR(INDEX(المنيو!$C$2:$C$500,MATCH($C2393,المنيو!$B$2:$B$500,0)),0))</f>
        <v/>
      </c>
      <c r="F2393" s="103" t="str">
        <f aca="false">IF($C2393="","",$D2393*$E2393)</f>
        <v/>
      </c>
      <c r="G2393" s="103" t="str">
        <f aca="false">IF($C2393="","",$D2393*IFERROR(INDEX('تحليل التكلفة والسعر'!$C$2:$C$700,MATCH($C2393,'تحليل التكلفة والسعر'!$B$2:$B$700,0)),0))</f>
        <v/>
      </c>
    </row>
    <row r="2394" customFormat="false" ht="15" hidden="false" customHeight="false" outlineLevel="0" collapsed="false">
      <c r="A2394" s="102"/>
      <c r="E2394" s="103" t="str">
        <f aca="false">IF($C2394="","",IFERROR(INDEX(المنيو!$C$2:$C$500,MATCH($C2394,المنيو!$B$2:$B$500,0)),0))</f>
        <v/>
      </c>
      <c r="F2394" s="103" t="str">
        <f aca="false">IF($C2394="","",$D2394*$E2394)</f>
        <v/>
      </c>
      <c r="G2394" s="103" t="str">
        <f aca="false">IF($C2394="","",$D2394*IFERROR(INDEX('تحليل التكلفة والسعر'!$C$2:$C$700,MATCH($C2394,'تحليل التكلفة والسعر'!$B$2:$B$700,0)),0))</f>
        <v/>
      </c>
    </row>
    <row r="2395" customFormat="false" ht="15" hidden="false" customHeight="false" outlineLevel="0" collapsed="false">
      <c r="A2395" s="102"/>
      <c r="E2395" s="103" t="str">
        <f aca="false">IF($C2395="","",IFERROR(INDEX(المنيو!$C$2:$C$500,MATCH($C2395,المنيو!$B$2:$B$500,0)),0))</f>
        <v/>
      </c>
      <c r="F2395" s="103" t="str">
        <f aca="false">IF($C2395="","",$D2395*$E2395)</f>
        <v/>
      </c>
      <c r="G2395" s="103" t="str">
        <f aca="false">IF($C2395="","",$D2395*IFERROR(INDEX('تحليل التكلفة والسعر'!$C$2:$C$700,MATCH($C2395,'تحليل التكلفة والسعر'!$B$2:$B$700,0)),0))</f>
        <v/>
      </c>
    </row>
    <row r="2396" customFormat="false" ht="15" hidden="false" customHeight="false" outlineLevel="0" collapsed="false">
      <c r="A2396" s="102"/>
      <c r="E2396" s="103" t="str">
        <f aca="false">IF($C2396="","",IFERROR(INDEX(المنيو!$C$2:$C$500,MATCH($C2396,المنيو!$B$2:$B$500,0)),0))</f>
        <v/>
      </c>
      <c r="F2396" s="103" t="str">
        <f aca="false">IF($C2396="","",$D2396*$E2396)</f>
        <v/>
      </c>
      <c r="G2396" s="103" t="str">
        <f aca="false">IF($C2396="","",$D2396*IFERROR(INDEX('تحليل التكلفة والسعر'!$C$2:$C$700,MATCH($C2396,'تحليل التكلفة والسعر'!$B$2:$B$700,0)),0))</f>
        <v/>
      </c>
    </row>
    <row r="2397" customFormat="false" ht="15" hidden="false" customHeight="false" outlineLevel="0" collapsed="false">
      <c r="A2397" s="102"/>
      <c r="E2397" s="103" t="str">
        <f aca="false">IF($C2397="","",IFERROR(INDEX(المنيو!$C$2:$C$500,MATCH($C2397,المنيو!$B$2:$B$500,0)),0))</f>
        <v/>
      </c>
      <c r="F2397" s="103" t="str">
        <f aca="false">IF($C2397="","",$D2397*$E2397)</f>
        <v/>
      </c>
      <c r="G2397" s="103" t="str">
        <f aca="false">IF($C2397="","",$D2397*IFERROR(INDEX('تحليل التكلفة والسعر'!$C$2:$C$700,MATCH($C2397,'تحليل التكلفة والسعر'!$B$2:$B$700,0)),0))</f>
        <v/>
      </c>
    </row>
    <row r="2398" customFormat="false" ht="15" hidden="false" customHeight="false" outlineLevel="0" collapsed="false">
      <c r="A2398" s="102"/>
      <c r="E2398" s="103" t="str">
        <f aca="false">IF($C2398="","",IFERROR(INDEX(المنيو!$C$2:$C$500,MATCH($C2398,المنيو!$B$2:$B$500,0)),0))</f>
        <v/>
      </c>
      <c r="F2398" s="103" t="str">
        <f aca="false">IF($C2398="","",$D2398*$E2398)</f>
        <v/>
      </c>
      <c r="G2398" s="103" t="str">
        <f aca="false">IF($C2398="","",$D2398*IFERROR(INDEX('تحليل التكلفة والسعر'!$C$2:$C$700,MATCH($C2398,'تحليل التكلفة والسعر'!$B$2:$B$700,0)),0))</f>
        <v/>
      </c>
    </row>
    <row r="2399" customFormat="false" ht="15" hidden="false" customHeight="false" outlineLevel="0" collapsed="false">
      <c r="A2399" s="102"/>
      <c r="E2399" s="103" t="str">
        <f aca="false">IF($C2399="","",IFERROR(INDEX(المنيو!$C$2:$C$500,MATCH($C2399,المنيو!$B$2:$B$500,0)),0))</f>
        <v/>
      </c>
      <c r="F2399" s="103" t="str">
        <f aca="false">IF($C2399="","",$D2399*$E2399)</f>
        <v/>
      </c>
      <c r="G2399" s="103" t="str">
        <f aca="false">IF($C2399="","",$D2399*IFERROR(INDEX('تحليل التكلفة والسعر'!$C$2:$C$700,MATCH($C2399,'تحليل التكلفة والسعر'!$B$2:$B$700,0)),0))</f>
        <v/>
      </c>
    </row>
    <row r="2400" customFormat="false" ht="15" hidden="false" customHeight="false" outlineLevel="0" collapsed="false">
      <c r="A2400" s="102"/>
      <c r="E2400" s="103" t="str">
        <f aca="false">IF($C2400="","",IFERROR(INDEX(المنيو!$C$2:$C$500,MATCH($C2400,المنيو!$B$2:$B$500,0)),0))</f>
        <v/>
      </c>
      <c r="F2400" s="103" t="str">
        <f aca="false">IF($C2400="","",$D2400*$E2400)</f>
        <v/>
      </c>
      <c r="G2400" s="103" t="str">
        <f aca="false">IF($C2400="","",$D2400*IFERROR(INDEX('تحليل التكلفة والسعر'!$C$2:$C$700,MATCH($C2400,'تحليل التكلفة والسعر'!$B$2:$B$700,0)),0))</f>
        <v/>
      </c>
    </row>
    <row r="2401" customFormat="false" ht="15" hidden="false" customHeight="false" outlineLevel="0" collapsed="false">
      <c r="A2401" s="102"/>
      <c r="E2401" s="103" t="str">
        <f aca="false">IF($C2401="","",IFERROR(INDEX(المنيو!$C$2:$C$500,MATCH($C2401,المنيو!$B$2:$B$500,0)),0))</f>
        <v/>
      </c>
      <c r="F2401" s="103" t="str">
        <f aca="false">IF($C2401="","",$D2401*$E2401)</f>
        <v/>
      </c>
      <c r="G2401" s="103" t="str">
        <f aca="false">IF($C2401="","",$D2401*IFERROR(INDEX('تحليل التكلفة والسعر'!$C$2:$C$700,MATCH($C2401,'تحليل التكلفة والسعر'!$B$2:$B$700,0)),0))</f>
        <v/>
      </c>
    </row>
    <row r="2402" customFormat="false" ht="15" hidden="false" customHeight="false" outlineLevel="0" collapsed="false">
      <c r="A2402" s="102"/>
      <c r="E2402" s="103" t="str">
        <f aca="false">IF($C2402="","",IFERROR(INDEX(المنيو!$C$2:$C$500,MATCH($C2402,المنيو!$B$2:$B$500,0)),0))</f>
        <v/>
      </c>
      <c r="F2402" s="103" t="str">
        <f aca="false">IF($C2402="","",$D2402*$E2402)</f>
        <v/>
      </c>
      <c r="G2402" s="103" t="str">
        <f aca="false">IF($C2402="","",$D2402*IFERROR(INDEX('تحليل التكلفة والسعر'!$C$2:$C$700,MATCH($C2402,'تحليل التكلفة والسعر'!$B$2:$B$700,0)),0))</f>
        <v/>
      </c>
    </row>
    <row r="2403" customFormat="false" ht="15" hidden="false" customHeight="false" outlineLevel="0" collapsed="false">
      <c r="A2403" s="102"/>
      <c r="E2403" s="103" t="str">
        <f aca="false">IF($C2403="","",IFERROR(INDEX(المنيو!$C$2:$C$500,MATCH($C2403,المنيو!$B$2:$B$500,0)),0))</f>
        <v/>
      </c>
      <c r="F2403" s="103" t="str">
        <f aca="false">IF($C2403="","",$D2403*$E2403)</f>
        <v/>
      </c>
      <c r="G2403" s="103" t="str">
        <f aca="false">IF($C2403="","",$D2403*IFERROR(INDEX('تحليل التكلفة والسعر'!$C$2:$C$700,MATCH($C2403,'تحليل التكلفة والسعر'!$B$2:$B$700,0)),0))</f>
        <v/>
      </c>
    </row>
    <row r="2404" customFormat="false" ht="15" hidden="false" customHeight="false" outlineLevel="0" collapsed="false">
      <c r="A2404" s="102"/>
      <c r="E2404" s="103" t="str">
        <f aca="false">IF($C2404="","",IFERROR(INDEX(المنيو!$C$2:$C$500,MATCH($C2404,المنيو!$B$2:$B$500,0)),0))</f>
        <v/>
      </c>
      <c r="F2404" s="103" t="str">
        <f aca="false">IF($C2404="","",$D2404*$E2404)</f>
        <v/>
      </c>
      <c r="G2404" s="103" t="str">
        <f aca="false">IF($C2404="","",$D2404*IFERROR(INDEX('تحليل التكلفة والسعر'!$C$2:$C$700,MATCH($C2404,'تحليل التكلفة والسعر'!$B$2:$B$700,0)),0))</f>
        <v/>
      </c>
    </row>
    <row r="2405" customFormat="false" ht="15" hidden="false" customHeight="false" outlineLevel="0" collapsed="false">
      <c r="A2405" s="102"/>
      <c r="E2405" s="103" t="str">
        <f aca="false">IF($C2405="","",IFERROR(INDEX(المنيو!$C$2:$C$500,MATCH($C2405,المنيو!$B$2:$B$500,0)),0))</f>
        <v/>
      </c>
      <c r="F2405" s="103" t="str">
        <f aca="false">IF($C2405="","",$D2405*$E2405)</f>
        <v/>
      </c>
      <c r="G2405" s="103" t="str">
        <f aca="false">IF($C2405="","",$D2405*IFERROR(INDEX('تحليل التكلفة والسعر'!$C$2:$C$700,MATCH($C2405,'تحليل التكلفة والسعر'!$B$2:$B$700,0)),0))</f>
        <v/>
      </c>
    </row>
    <row r="2406" customFormat="false" ht="15" hidden="false" customHeight="false" outlineLevel="0" collapsed="false">
      <c r="A2406" s="102"/>
      <c r="E2406" s="103" t="str">
        <f aca="false">IF($C2406="","",IFERROR(INDEX(المنيو!$C$2:$C$500,MATCH($C2406,المنيو!$B$2:$B$500,0)),0))</f>
        <v/>
      </c>
      <c r="F2406" s="103" t="str">
        <f aca="false">IF($C2406="","",$D2406*$E2406)</f>
        <v/>
      </c>
      <c r="G2406" s="103" t="str">
        <f aca="false">IF($C2406="","",$D2406*IFERROR(INDEX('تحليل التكلفة والسعر'!$C$2:$C$700,MATCH($C2406,'تحليل التكلفة والسعر'!$B$2:$B$700,0)),0))</f>
        <v/>
      </c>
    </row>
    <row r="2407" customFormat="false" ht="15" hidden="false" customHeight="false" outlineLevel="0" collapsed="false">
      <c r="A2407" s="102"/>
      <c r="E2407" s="103" t="str">
        <f aca="false">IF($C2407="","",IFERROR(INDEX(المنيو!$C$2:$C$500,MATCH($C2407,المنيو!$B$2:$B$500,0)),0))</f>
        <v/>
      </c>
      <c r="F2407" s="103" t="str">
        <f aca="false">IF($C2407="","",$D2407*$E2407)</f>
        <v/>
      </c>
      <c r="G2407" s="103" t="str">
        <f aca="false">IF($C2407="","",$D2407*IFERROR(INDEX('تحليل التكلفة والسعر'!$C$2:$C$700,MATCH($C2407,'تحليل التكلفة والسعر'!$B$2:$B$700,0)),0))</f>
        <v/>
      </c>
    </row>
    <row r="2408" customFormat="false" ht="15" hidden="false" customHeight="false" outlineLevel="0" collapsed="false">
      <c r="A2408" s="102"/>
      <c r="E2408" s="103" t="str">
        <f aca="false">IF($C2408="","",IFERROR(INDEX(المنيو!$C$2:$C$500,MATCH($C2408,المنيو!$B$2:$B$500,0)),0))</f>
        <v/>
      </c>
      <c r="F2408" s="103" t="str">
        <f aca="false">IF($C2408="","",$D2408*$E2408)</f>
        <v/>
      </c>
      <c r="G2408" s="103" t="str">
        <f aca="false">IF($C2408="","",$D2408*IFERROR(INDEX('تحليل التكلفة والسعر'!$C$2:$C$700,MATCH($C2408,'تحليل التكلفة والسعر'!$B$2:$B$700,0)),0))</f>
        <v/>
      </c>
    </row>
    <row r="2409" customFormat="false" ht="15" hidden="false" customHeight="false" outlineLevel="0" collapsed="false">
      <c r="A2409" s="102"/>
      <c r="E2409" s="103" t="str">
        <f aca="false">IF($C2409="","",IFERROR(INDEX(المنيو!$C$2:$C$500,MATCH($C2409,المنيو!$B$2:$B$500,0)),0))</f>
        <v/>
      </c>
      <c r="F2409" s="103" t="str">
        <f aca="false">IF($C2409="","",$D2409*$E2409)</f>
        <v/>
      </c>
      <c r="G2409" s="103" t="str">
        <f aca="false">IF($C2409="","",$D2409*IFERROR(INDEX('تحليل التكلفة والسعر'!$C$2:$C$700,MATCH($C2409,'تحليل التكلفة والسعر'!$B$2:$B$700,0)),0))</f>
        <v/>
      </c>
    </row>
    <row r="2410" customFormat="false" ht="15" hidden="false" customHeight="false" outlineLevel="0" collapsed="false">
      <c r="A2410" s="102"/>
      <c r="E2410" s="103" t="str">
        <f aca="false">IF($C2410="","",IFERROR(INDEX(المنيو!$C$2:$C$500,MATCH($C2410,المنيو!$B$2:$B$500,0)),0))</f>
        <v/>
      </c>
      <c r="F2410" s="103" t="str">
        <f aca="false">IF($C2410="","",$D2410*$E2410)</f>
        <v/>
      </c>
      <c r="G2410" s="103" t="str">
        <f aca="false">IF($C2410="","",$D2410*IFERROR(INDEX('تحليل التكلفة والسعر'!$C$2:$C$700,MATCH($C2410,'تحليل التكلفة والسعر'!$B$2:$B$700,0)),0))</f>
        <v/>
      </c>
    </row>
    <row r="2411" customFormat="false" ht="15" hidden="false" customHeight="false" outlineLevel="0" collapsed="false">
      <c r="A2411" s="102"/>
      <c r="E2411" s="103" t="str">
        <f aca="false">IF($C2411="","",IFERROR(INDEX(المنيو!$C$2:$C$500,MATCH($C2411,المنيو!$B$2:$B$500,0)),0))</f>
        <v/>
      </c>
      <c r="F2411" s="103" t="str">
        <f aca="false">IF($C2411="","",$D2411*$E2411)</f>
        <v/>
      </c>
      <c r="G2411" s="103" t="str">
        <f aca="false">IF($C2411="","",$D2411*IFERROR(INDEX('تحليل التكلفة والسعر'!$C$2:$C$700,MATCH($C2411,'تحليل التكلفة والسعر'!$B$2:$B$700,0)),0))</f>
        <v/>
      </c>
    </row>
    <row r="2412" customFormat="false" ht="15" hidden="false" customHeight="false" outlineLevel="0" collapsed="false">
      <c r="A2412" s="102"/>
      <c r="E2412" s="103" t="str">
        <f aca="false">IF($C2412="","",IFERROR(INDEX(المنيو!$C$2:$C$500,MATCH($C2412,المنيو!$B$2:$B$500,0)),0))</f>
        <v/>
      </c>
      <c r="F2412" s="103" t="str">
        <f aca="false">IF($C2412="","",$D2412*$E2412)</f>
        <v/>
      </c>
      <c r="G2412" s="103" t="str">
        <f aca="false">IF($C2412="","",$D2412*IFERROR(INDEX('تحليل التكلفة والسعر'!$C$2:$C$700,MATCH($C2412,'تحليل التكلفة والسعر'!$B$2:$B$700,0)),0))</f>
        <v/>
      </c>
    </row>
    <row r="2413" customFormat="false" ht="15" hidden="false" customHeight="false" outlineLevel="0" collapsed="false">
      <c r="A2413" s="102"/>
      <c r="E2413" s="103" t="str">
        <f aca="false">IF($C2413="","",IFERROR(INDEX(المنيو!$C$2:$C$500,MATCH($C2413,المنيو!$B$2:$B$500,0)),0))</f>
        <v/>
      </c>
      <c r="F2413" s="103" t="str">
        <f aca="false">IF($C2413="","",$D2413*$E2413)</f>
        <v/>
      </c>
      <c r="G2413" s="103" t="str">
        <f aca="false">IF($C2413="","",$D2413*IFERROR(INDEX('تحليل التكلفة والسعر'!$C$2:$C$700,MATCH($C2413,'تحليل التكلفة والسعر'!$B$2:$B$700,0)),0))</f>
        <v/>
      </c>
    </row>
    <row r="2414" customFormat="false" ht="15" hidden="false" customHeight="false" outlineLevel="0" collapsed="false">
      <c r="A2414" s="102"/>
      <c r="E2414" s="103" t="str">
        <f aca="false">IF($C2414="","",IFERROR(INDEX(المنيو!$C$2:$C$500,MATCH($C2414,المنيو!$B$2:$B$500,0)),0))</f>
        <v/>
      </c>
      <c r="F2414" s="103" t="str">
        <f aca="false">IF($C2414="","",$D2414*$E2414)</f>
        <v/>
      </c>
      <c r="G2414" s="103" t="str">
        <f aca="false">IF($C2414="","",$D2414*IFERROR(INDEX('تحليل التكلفة والسعر'!$C$2:$C$700,MATCH($C2414,'تحليل التكلفة والسعر'!$B$2:$B$700,0)),0))</f>
        <v/>
      </c>
    </row>
    <row r="2415" customFormat="false" ht="15" hidden="false" customHeight="false" outlineLevel="0" collapsed="false">
      <c r="A2415" s="102"/>
      <c r="E2415" s="103" t="str">
        <f aca="false">IF($C2415="","",IFERROR(INDEX(المنيو!$C$2:$C$500,MATCH($C2415,المنيو!$B$2:$B$500,0)),0))</f>
        <v/>
      </c>
      <c r="F2415" s="103" t="str">
        <f aca="false">IF($C2415="","",$D2415*$E2415)</f>
        <v/>
      </c>
      <c r="G2415" s="103" t="str">
        <f aca="false">IF($C2415="","",$D2415*IFERROR(INDEX('تحليل التكلفة والسعر'!$C$2:$C$700,MATCH($C2415,'تحليل التكلفة والسعر'!$B$2:$B$700,0)),0))</f>
        <v/>
      </c>
    </row>
    <row r="2416" customFormat="false" ht="15" hidden="false" customHeight="false" outlineLevel="0" collapsed="false">
      <c r="A2416" s="102"/>
      <c r="E2416" s="103" t="str">
        <f aca="false">IF($C2416="","",IFERROR(INDEX(المنيو!$C$2:$C$500,MATCH($C2416,المنيو!$B$2:$B$500,0)),0))</f>
        <v/>
      </c>
      <c r="F2416" s="103" t="str">
        <f aca="false">IF($C2416="","",$D2416*$E2416)</f>
        <v/>
      </c>
      <c r="G2416" s="103" t="str">
        <f aca="false">IF($C2416="","",$D2416*IFERROR(INDEX('تحليل التكلفة والسعر'!$C$2:$C$700,MATCH($C2416,'تحليل التكلفة والسعر'!$B$2:$B$700,0)),0))</f>
        <v/>
      </c>
    </row>
    <row r="2417" customFormat="false" ht="15" hidden="false" customHeight="false" outlineLevel="0" collapsed="false">
      <c r="A2417" s="102"/>
      <c r="E2417" s="103" t="str">
        <f aca="false">IF($C2417="","",IFERROR(INDEX(المنيو!$C$2:$C$500,MATCH($C2417,المنيو!$B$2:$B$500,0)),0))</f>
        <v/>
      </c>
      <c r="F2417" s="103" t="str">
        <f aca="false">IF($C2417="","",$D2417*$E2417)</f>
        <v/>
      </c>
      <c r="G2417" s="103" t="str">
        <f aca="false">IF($C2417="","",$D2417*IFERROR(INDEX('تحليل التكلفة والسعر'!$C$2:$C$700,MATCH($C2417,'تحليل التكلفة والسعر'!$B$2:$B$700,0)),0))</f>
        <v/>
      </c>
    </row>
    <row r="2418" customFormat="false" ht="15" hidden="false" customHeight="false" outlineLevel="0" collapsed="false">
      <c r="A2418" s="102"/>
      <c r="E2418" s="103" t="str">
        <f aca="false">IF($C2418="","",IFERROR(INDEX(المنيو!$C$2:$C$500,MATCH($C2418,المنيو!$B$2:$B$500,0)),0))</f>
        <v/>
      </c>
      <c r="F2418" s="103" t="str">
        <f aca="false">IF($C2418="","",$D2418*$E2418)</f>
        <v/>
      </c>
      <c r="G2418" s="103" t="str">
        <f aca="false">IF($C2418="","",$D2418*IFERROR(INDEX('تحليل التكلفة والسعر'!$C$2:$C$700,MATCH($C2418,'تحليل التكلفة والسعر'!$B$2:$B$700,0)),0))</f>
        <v/>
      </c>
    </row>
    <row r="2419" customFormat="false" ht="15" hidden="false" customHeight="false" outlineLevel="0" collapsed="false">
      <c r="A2419" s="102"/>
      <c r="E2419" s="103" t="str">
        <f aca="false">IF($C2419="","",IFERROR(INDEX(المنيو!$C$2:$C$500,MATCH($C2419,المنيو!$B$2:$B$500,0)),0))</f>
        <v/>
      </c>
      <c r="F2419" s="103" t="str">
        <f aca="false">IF($C2419="","",$D2419*$E2419)</f>
        <v/>
      </c>
      <c r="G2419" s="103" t="str">
        <f aca="false">IF($C2419="","",$D2419*IFERROR(INDEX('تحليل التكلفة والسعر'!$C$2:$C$700,MATCH($C2419,'تحليل التكلفة والسعر'!$B$2:$B$700,0)),0))</f>
        <v/>
      </c>
    </row>
    <row r="2420" customFormat="false" ht="15" hidden="false" customHeight="false" outlineLevel="0" collapsed="false">
      <c r="A2420" s="102"/>
      <c r="E2420" s="103" t="str">
        <f aca="false">IF($C2420="","",IFERROR(INDEX(المنيو!$C$2:$C$500,MATCH($C2420,المنيو!$B$2:$B$500,0)),0))</f>
        <v/>
      </c>
      <c r="F2420" s="103" t="str">
        <f aca="false">IF($C2420="","",$D2420*$E2420)</f>
        <v/>
      </c>
      <c r="G2420" s="103" t="str">
        <f aca="false">IF($C2420="","",$D2420*IFERROR(INDEX('تحليل التكلفة والسعر'!$C$2:$C$700,MATCH($C2420,'تحليل التكلفة والسعر'!$B$2:$B$700,0)),0))</f>
        <v/>
      </c>
    </row>
    <row r="2421" customFormat="false" ht="15" hidden="false" customHeight="false" outlineLevel="0" collapsed="false">
      <c r="A2421" s="102"/>
      <c r="E2421" s="103" t="str">
        <f aca="false">IF($C2421="","",IFERROR(INDEX(المنيو!$C$2:$C$500,MATCH($C2421,المنيو!$B$2:$B$500,0)),0))</f>
        <v/>
      </c>
      <c r="F2421" s="103" t="str">
        <f aca="false">IF($C2421="","",$D2421*$E2421)</f>
        <v/>
      </c>
      <c r="G2421" s="103" t="str">
        <f aca="false">IF($C2421="","",$D2421*IFERROR(INDEX('تحليل التكلفة والسعر'!$C$2:$C$700,MATCH($C2421,'تحليل التكلفة والسعر'!$B$2:$B$700,0)),0))</f>
        <v/>
      </c>
    </row>
    <row r="2422" customFormat="false" ht="15" hidden="false" customHeight="false" outlineLevel="0" collapsed="false">
      <c r="A2422" s="102"/>
      <c r="E2422" s="103" t="str">
        <f aca="false">IF($C2422="","",IFERROR(INDEX(المنيو!$C$2:$C$500,MATCH($C2422,المنيو!$B$2:$B$500,0)),0))</f>
        <v/>
      </c>
      <c r="F2422" s="103" t="str">
        <f aca="false">IF($C2422="","",$D2422*$E2422)</f>
        <v/>
      </c>
      <c r="G2422" s="103" t="str">
        <f aca="false">IF($C2422="","",$D2422*IFERROR(INDEX('تحليل التكلفة والسعر'!$C$2:$C$700,MATCH($C2422,'تحليل التكلفة والسعر'!$B$2:$B$700,0)),0))</f>
        <v/>
      </c>
    </row>
    <row r="2423" customFormat="false" ht="15" hidden="false" customHeight="false" outlineLevel="0" collapsed="false">
      <c r="A2423" s="102"/>
      <c r="E2423" s="103" t="str">
        <f aca="false">IF($C2423="","",IFERROR(INDEX(المنيو!$C$2:$C$500,MATCH($C2423,المنيو!$B$2:$B$500,0)),0))</f>
        <v/>
      </c>
      <c r="F2423" s="103" t="str">
        <f aca="false">IF($C2423="","",$D2423*$E2423)</f>
        <v/>
      </c>
      <c r="G2423" s="103" t="str">
        <f aca="false">IF($C2423="","",$D2423*IFERROR(INDEX('تحليل التكلفة والسعر'!$C$2:$C$700,MATCH($C2423,'تحليل التكلفة والسعر'!$B$2:$B$700,0)),0))</f>
        <v/>
      </c>
    </row>
    <row r="2424" customFormat="false" ht="15" hidden="false" customHeight="false" outlineLevel="0" collapsed="false">
      <c r="A2424" s="102"/>
      <c r="E2424" s="103" t="str">
        <f aca="false">IF($C2424="","",IFERROR(INDEX(المنيو!$C$2:$C$500,MATCH($C2424,المنيو!$B$2:$B$500,0)),0))</f>
        <v/>
      </c>
      <c r="F2424" s="103" t="str">
        <f aca="false">IF($C2424="","",$D2424*$E2424)</f>
        <v/>
      </c>
      <c r="G2424" s="103" t="str">
        <f aca="false">IF($C2424="","",$D2424*IFERROR(INDEX('تحليل التكلفة والسعر'!$C$2:$C$700,MATCH($C2424,'تحليل التكلفة والسعر'!$B$2:$B$700,0)),0))</f>
        <v/>
      </c>
    </row>
    <row r="2425" customFormat="false" ht="15" hidden="false" customHeight="false" outlineLevel="0" collapsed="false">
      <c r="A2425" s="102"/>
      <c r="E2425" s="103" t="str">
        <f aca="false">IF($C2425="","",IFERROR(INDEX(المنيو!$C$2:$C$500,MATCH($C2425,المنيو!$B$2:$B$500,0)),0))</f>
        <v/>
      </c>
      <c r="F2425" s="103" t="str">
        <f aca="false">IF($C2425="","",$D2425*$E2425)</f>
        <v/>
      </c>
      <c r="G2425" s="103" t="str">
        <f aca="false">IF($C2425="","",$D2425*IFERROR(INDEX('تحليل التكلفة والسعر'!$C$2:$C$700,MATCH($C2425,'تحليل التكلفة والسعر'!$B$2:$B$700,0)),0))</f>
        <v/>
      </c>
    </row>
    <row r="2426" customFormat="false" ht="15" hidden="false" customHeight="false" outlineLevel="0" collapsed="false">
      <c r="A2426" s="102"/>
      <c r="E2426" s="103" t="str">
        <f aca="false">IF($C2426="","",IFERROR(INDEX(المنيو!$C$2:$C$500,MATCH($C2426,المنيو!$B$2:$B$500,0)),0))</f>
        <v/>
      </c>
      <c r="F2426" s="103" t="str">
        <f aca="false">IF($C2426="","",$D2426*$E2426)</f>
        <v/>
      </c>
      <c r="G2426" s="103" t="str">
        <f aca="false">IF($C2426="","",$D2426*IFERROR(INDEX('تحليل التكلفة والسعر'!$C$2:$C$700,MATCH($C2426,'تحليل التكلفة والسعر'!$B$2:$B$700,0)),0))</f>
        <v/>
      </c>
    </row>
    <row r="2427" customFormat="false" ht="15" hidden="false" customHeight="false" outlineLevel="0" collapsed="false">
      <c r="A2427" s="102"/>
      <c r="E2427" s="103" t="str">
        <f aca="false">IF($C2427="","",IFERROR(INDEX(المنيو!$C$2:$C$500,MATCH($C2427,المنيو!$B$2:$B$500,0)),0))</f>
        <v/>
      </c>
      <c r="F2427" s="103" t="str">
        <f aca="false">IF($C2427="","",$D2427*$E2427)</f>
        <v/>
      </c>
      <c r="G2427" s="103" t="str">
        <f aca="false">IF($C2427="","",$D2427*IFERROR(INDEX('تحليل التكلفة والسعر'!$C$2:$C$700,MATCH($C2427,'تحليل التكلفة والسعر'!$B$2:$B$700,0)),0))</f>
        <v/>
      </c>
    </row>
    <row r="2428" customFormat="false" ht="15" hidden="false" customHeight="false" outlineLevel="0" collapsed="false">
      <c r="A2428" s="102"/>
      <c r="E2428" s="103" t="str">
        <f aca="false">IF($C2428="","",IFERROR(INDEX(المنيو!$C$2:$C$500,MATCH($C2428,المنيو!$B$2:$B$500,0)),0))</f>
        <v/>
      </c>
      <c r="F2428" s="103" t="str">
        <f aca="false">IF($C2428="","",$D2428*$E2428)</f>
        <v/>
      </c>
      <c r="G2428" s="103" t="str">
        <f aca="false">IF($C2428="","",$D2428*IFERROR(INDEX('تحليل التكلفة والسعر'!$C$2:$C$700,MATCH($C2428,'تحليل التكلفة والسعر'!$B$2:$B$700,0)),0))</f>
        <v/>
      </c>
    </row>
    <row r="2429" customFormat="false" ht="15" hidden="false" customHeight="false" outlineLevel="0" collapsed="false">
      <c r="A2429" s="102"/>
      <c r="E2429" s="103" t="str">
        <f aca="false">IF($C2429="","",IFERROR(INDEX(المنيو!$C$2:$C$500,MATCH($C2429,المنيو!$B$2:$B$500,0)),0))</f>
        <v/>
      </c>
      <c r="F2429" s="103" t="str">
        <f aca="false">IF($C2429="","",$D2429*$E2429)</f>
        <v/>
      </c>
      <c r="G2429" s="103" t="str">
        <f aca="false">IF($C2429="","",$D2429*IFERROR(INDEX('تحليل التكلفة والسعر'!$C$2:$C$700,MATCH($C2429,'تحليل التكلفة والسعر'!$B$2:$B$700,0)),0))</f>
        <v/>
      </c>
    </row>
    <row r="2430" customFormat="false" ht="15" hidden="false" customHeight="false" outlineLevel="0" collapsed="false">
      <c r="A2430" s="102"/>
      <c r="E2430" s="103" t="str">
        <f aca="false">IF($C2430="","",IFERROR(INDEX(المنيو!$C$2:$C$500,MATCH($C2430,المنيو!$B$2:$B$500,0)),0))</f>
        <v/>
      </c>
      <c r="F2430" s="103" t="str">
        <f aca="false">IF($C2430="","",$D2430*$E2430)</f>
        <v/>
      </c>
      <c r="G2430" s="103" t="str">
        <f aca="false">IF($C2430="","",$D2430*IFERROR(INDEX('تحليل التكلفة والسعر'!$C$2:$C$700,MATCH($C2430,'تحليل التكلفة والسعر'!$B$2:$B$700,0)),0))</f>
        <v/>
      </c>
    </row>
    <row r="2431" customFormat="false" ht="15" hidden="false" customHeight="false" outlineLevel="0" collapsed="false">
      <c r="A2431" s="102"/>
      <c r="E2431" s="103" t="str">
        <f aca="false">IF($C2431="","",IFERROR(INDEX(المنيو!$C$2:$C$500,MATCH($C2431,المنيو!$B$2:$B$500,0)),0))</f>
        <v/>
      </c>
      <c r="F2431" s="103" t="str">
        <f aca="false">IF($C2431="","",$D2431*$E2431)</f>
        <v/>
      </c>
      <c r="G2431" s="103" t="str">
        <f aca="false">IF($C2431="","",$D2431*IFERROR(INDEX('تحليل التكلفة والسعر'!$C$2:$C$700,MATCH($C2431,'تحليل التكلفة والسعر'!$B$2:$B$700,0)),0))</f>
        <v/>
      </c>
    </row>
    <row r="2432" customFormat="false" ht="15" hidden="false" customHeight="false" outlineLevel="0" collapsed="false">
      <c r="A2432" s="102"/>
      <c r="E2432" s="103" t="str">
        <f aca="false">IF($C2432="","",IFERROR(INDEX(المنيو!$C$2:$C$500,MATCH($C2432,المنيو!$B$2:$B$500,0)),0))</f>
        <v/>
      </c>
      <c r="F2432" s="103" t="str">
        <f aca="false">IF($C2432="","",$D2432*$E2432)</f>
        <v/>
      </c>
      <c r="G2432" s="103" t="str">
        <f aca="false">IF($C2432="","",$D2432*IFERROR(INDEX('تحليل التكلفة والسعر'!$C$2:$C$700,MATCH($C2432,'تحليل التكلفة والسعر'!$B$2:$B$700,0)),0))</f>
        <v/>
      </c>
    </row>
    <row r="2433" customFormat="false" ht="15" hidden="false" customHeight="false" outlineLevel="0" collapsed="false">
      <c r="A2433" s="102"/>
      <c r="E2433" s="103" t="str">
        <f aca="false">IF($C2433="","",IFERROR(INDEX(المنيو!$C$2:$C$500,MATCH($C2433,المنيو!$B$2:$B$500,0)),0))</f>
        <v/>
      </c>
      <c r="F2433" s="103" t="str">
        <f aca="false">IF($C2433="","",$D2433*$E2433)</f>
        <v/>
      </c>
      <c r="G2433" s="103" t="str">
        <f aca="false">IF($C2433="","",$D2433*IFERROR(INDEX('تحليل التكلفة والسعر'!$C$2:$C$700,MATCH($C2433,'تحليل التكلفة والسعر'!$B$2:$B$700,0)),0))</f>
        <v/>
      </c>
    </row>
    <row r="2434" customFormat="false" ht="15" hidden="false" customHeight="false" outlineLevel="0" collapsed="false">
      <c r="A2434" s="102"/>
      <c r="E2434" s="103" t="str">
        <f aca="false">IF($C2434="","",IFERROR(INDEX(المنيو!$C$2:$C$500,MATCH($C2434,المنيو!$B$2:$B$500,0)),0))</f>
        <v/>
      </c>
      <c r="F2434" s="103" t="str">
        <f aca="false">IF($C2434="","",$D2434*$E2434)</f>
        <v/>
      </c>
      <c r="G2434" s="103" t="str">
        <f aca="false">IF($C2434="","",$D2434*IFERROR(INDEX('تحليل التكلفة والسعر'!$C$2:$C$700,MATCH($C2434,'تحليل التكلفة والسعر'!$B$2:$B$700,0)),0))</f>
        <v/>
      </c>
    </row>
    <row r="2435" customFormat="false" ht="15" hidden="false" customHeight="false" outlineLevel="0" collapsed="false">
      <c r="A2435" s="102"/>
      <c r="E2435" s="103" t="str">
        <f aca="false">IF($C2435="","",IFERROR(INDEX(المنيو!$C$2:$C$500,MATCH($C2435,المنيو!$B$2:$B$500,0)),0))</f>
        <v/>
      </c>
      <c r="F2435" s="103" t="str">
        <f aca="false">IF($C2435="","",$D2435*$E2435)</f>
        <v/>
      </c>
      <c r="G2435" s="103" t="str">
        <f aca="false">IF($C2435="","",$D2435*IFERROR(INDEX('تحليل التكلفة والسعر'!$C$2:$C$700,MATCH($C2435,'تحليل التكلفة والسعر'!$B$2:$B$700,0)),0))</f>
        <v/>
      </c>
    </row>
    <row r="2436" customFormat="false" ht="15" hidden="false" customHeight="false" outlineLevel="0" collapsed="false">
      <c r="A2436" s="102"/>
      <c r="E2436" s="103" t="str">
        <f aca="false">IF($C2436="","",IFERROR(INDEX(المنيو!$C$2:$C$500,MATCH($C2436,المنيو!$B$2:$B$500,0)),0))</f>
        <v/>
      </c>
      <c r="F2436" s="103" t="str">
        <f aca="false">IF($C2436="","",$D2436*$E2436)</f>
        <v/>
      </c>
      <c r="G2436" s="103" t="str">
        <f aca="false">IF($C2436="","",$D2436*IFERROR(INDEX('تحليل التكلفة والسعر'!$C$2:$C$700,MATCH($C2436,'تحليل التكلفة والسعر'!$B$2:$B$700,0)),0))</f>
        <v/>
      </c>
    </row>
    <row r="2437" customFormat="false" ht="15" hidden="false" customHeight="false" outlineLevel="0" collapsed="false">
      <c r="A2437" s="102"/>
      <c r="E2437" s="103" t="str">
        <f aca="false">IF($C2437="","",IFERROR(INDEX(المنيو!$C$2:$C$500,MATCH($C2437,المنيو!$B$2:$B$500,0)),0))</f>
        <v/>
      </c>
      <c r="F2437" s="103" t="str">
        <f aca="false">IF($C2437="","",$D2437*$E2437)</f>
        <v/>
      </c>
      <c r="G2437" s="103" t="str">
        <f aca="false">IF($C2437="","",$D2437*IFERROR(INDEX('تحليل التكلفة والسعر'!$C$2:$C$700,MATCH($C2437,'تحليل التكلفة والسعر'!$B$2:$B$700,0)),0))</f>
        <v/>
      </c>
    </row>
    <row r="2438" customFormat="false" ht="15" hidden="false" customHeight="false" outlineLevel="0" collapsed="false">
      <c r="A2438" s="102"/>
      <c r="E2438" s="103" t="str">
        <f aca="false">IF($C2438="","",IFERROR(INDEX(المنيو!$C$2:$C$500,MATCH($C2438,المنيو!$B$2:$B$500,0)),0))</f>
        <v/>
      </c>
      <c r="F2438" s="103" t="str">
        <f aca="false">IF($C2438="","",$D2438*$E2438)</f>
        <v/>
      </c>
      <c r="G2438" s="103" t="str">
        <f aca="false">IF($C2438="","",$D2438*IFERROR(INDEX('تحليل التكلفة والسعر'!$C$2:$C$700,MATCH($C2438,'تحليل التكلفة والسعر'!$B$2:$B$700,0)),0))</f>
        <v/>
      </c>
    </row>
    <row r="2439" customFormat="false" ht="15" hidden="false" customHeight="false" outlineLevel="0" collapsed="false">
      <c r="A2439" s="102"/>
      <c r="E2439" s="103" t="str">
        <f aca="false">IF($C2439="","",IFERROR(INDEX(المنيو!$C$2:$C$500,MATCH($C2439,المنيو!$B$2:$B$500,0)),0))</f>
        <v/>
      </c>
      <c r="F2439" s="103" t="str">
        <f aca="false">IF($C2439="","",$D2439*$E2439)</f>
        <v/>
      </c>
      <c r="G2439" s="103" t="str">
        <f aca="false">IF($C2439="","",$D2439*IFERROR(INDEX('تحليل التكلفة والسعر'!$C$2:$C$700,MATCH($C2439,'تحليل التكلفة والسعر'!$B$2:$B$700,0)),0))</f>
        <v/>
      </c>
    </row>
    <row r="2440" customFormat="false" ht="15" hidden="false" customHeight="false" outlineLevel="0" collapsed="false">
      <c r="A2440" s="102"/>
      <c r="E2440" s="103" t="str">
        <f aca="false">IF($C2440="","",IFERROR(INDEX(المنيو!$C$2:$C$500,MATCH($C2440,المنيو!$B$2:$B$500,0)),0))</f>
        <v/>
      </c>
      <c r="F2440" s="103" t="str">
        <f aca="false">IF($C2440="","",$D2440*$E2440)</f>
        <v/>
      </c>
      <c r="G2440" s="103" t="str">
        <f aca="false">IF($C2440="","",$D2440*IFERROR(INDEX('تحليل التكلفة والسعر'!$C$2:$C$700,MATCH($C2440,'تحليل التكلفة والسعر'!$B$2:$B$700,0)),0))</f>
        <v/>
      </c>
    </row>
    <row r="2441" customFormat="false" ht="15" hidden="false" customHeight="false" outlineLevel="0" collapsed="false">
      <c r="A2441" s="102"/>
      <c r="E2441" s="103" t="str">
        <f aca="false">IF($C2441="","",IFERROR(INDEX(المنيو!$C$2:$C$500,MATCH($C2441,المنيو!$B$2:$B$500,0)),0))</f>
        <v/>
      </c>
      <c r="F2441" s="103" t="str">
        <f aca="false">IF($C2441="","",$D2441*$E2441)</f>
        <v/>
      </c>
      <c r="G2441" s="103" t="str">
        <f aca="false">IF($C2441="","",$D2441*IFERROR(INDEX('تحليل التكلفة والسعر'!$C$2:$C$700,MATCH($C2441,'تحليل التكلفة والسعر'!$B$2:$B$700,0)),0))</f>
        <v/>
      </c>
    </row>
    <row r="2442" customFormat="false" ht="15" hidden="false" customHeight="false" outlineLevel="0" collapsed="false">
      <c r="A2442" s="102"/>
      <c r="E2442" s="103" t="str">
        <f aca="false">IF($C2442="","",IFERROR(INDEX(المنيو!$C$2:$C$500,MATCH($C2442,المنيو!$B$2:$B$500,0)),0))</f>
        <v/>
      </c>
      <c r="F2442" s="103" t="str">
        <f aca="false">IF($C2442="","",$D2442*$E2442)</f>
        <v/>
      </c>
      <c r="G2442" s="103" t="str">
        <f aca="false">IF($C2442="","",$D2442*IFERROR(INDEX('تحليل التكلفة والسعر'!$C$2:$C$700,MATCH($C2442,'تحليل التكلفة والسعر'!$B$2:$B$700,0)),0))</f>
        <v/>
      </c>
    </row>
    <row r="2443" customFormat="false" ht="15" hidden="false" customHeight="false" outlineLevel="0" collapsed="false">
      <c r="A2443" s="102"/>
      <c r="E2443" s="103" t="str">
        <f aca="false">IF($C2443="","",IFERROR(INDEX(المنيو!$C$2:$C$500,MATCH($C2443,المنيو!$B$2:$B$500,0)),0))</f>
        <v/>
      </c>
      <c r="F2443" s="103" t="str">
        <f aca="false">IF($C2443="","",$D2443*$E2443)</f>
        <v/>
      </c>
      <c r="G2443" s="103" t="str">
        <f aca="false">IF($C2443="","",$D2443*IFERROR(INDEX('تحليل التكلفة والسعر'!$C$2:$C$700,MATCH($C2443,'تحليل التكلفة والسعر'!$B$2:$B$700,0)),0))</f>
        <v/>
      </c>
    </row>
    <row r="2444" customFormat="false" ht="15" hidden="false" customHeight="false" outlineLevel="0" collapsed="false">
      <c r="A2444" s="102"/>
      <c r="E2444" s="103" t="str">
        <f aca="false">IF($C2444="","",IFERROR(INDEX(المنيو!$C$2:$C$500,MATCH($C2444,المنيو!$B$2:$B$500,0)),0))</f>
        <v/>
      </c>
      <c r="F2444" s="103" t="str">
        <f aca="false">IF($C2444="","",$D2444*$E2444)</f>
        <v/>
      </c>
      <c r="G2444" s="103" t="str">
        <f aca="false">IF($C2444="","",$D2444*IFERROR(INDEX('تحليل التكلفة والسعر'!$C$2:$C$700,MATCH($C2444,'تحليل التكلفة والسعر'!$B$2:$B$700,0)),0))</f>
        <v/>
      </c>
    </row>
    <row r="2445" customFormat="false" ht="15" hidden="false" customHeight="false" outlineLevel="0" collapsed="false">
      <c r="A2445" s="102"/>
      <c r="E2445" s="103" t="str">
        <f aca="false">IF($C2445="","",IFERROR(INDEX(المنيو!$C$2:$C$500,MATCH($C2445,المنيو!$B$2:$B$500,0)),0))</f>
        <v/>
      </c>
      <c r="F2445" s="103" t="str">
        <f aca="false">IF($C2445="","",$D2445*$E2445)</f>
        <v/>
      </c>
      <c r="G2445" s="103" t="str">
        <f aca="false">IF($C2445="","",$D2445*IFERROR(INDEX('تحليل التكلفة والسعر'!$C$2:$C$700,MATCH($C2445,'تحليل التكلفة والسعر'!$B$2:$B$700,0)),0))</f>
        <v/>
      </c>
    </row>
    <row r="2446" customFormat="false" ht="15" hidden="false" customHeight="false" outlineLevel="0" collapsed="false">
      <c r="A2446" s="102"/>
      <c r="E2446" s="103" t="str">
        <f aca="false">IF($C2446="","",IFERROR(INDEX(المنيو!$C$2:$C$500,MATCH($C2446,المنيو!$B$2:$B$500,0)),0))</f>
        <v/>
      </c>
      <c r="F2446" s="103" t="str">
        <f aca="false">IF($C2446="","",$D2446*$E2446)</f>
        <v/>
      </c>
      <c r="G2446" s="103" t="str">
        <f aca="false">IF($C2446="","",$D2446*IFERROR(INDEX('تحليل التكلفة والسعر'!$C$2:$C$700,MATCH($C2446,'تحليل التكلفة والسعر'!$B$2:$B$700,0)),0))</f>
        <v/>
      </c>
    </row>
    <row r="2447" customFormat="false" ht="15" hidden="false" customHeight="false" outlineLevel="0" collapsed="false">
      <c r="A2447" s="102"/>
      <c r="E2447" s="103" t="str">
        <f aca="false">IF($C2447="","",IFERROR(INDEX(المنيو!$C$2:$C$500,MATCH($C2447,المنيو!$B$2:$B$500,0)),0))</f>
        <v/>
      </c>
      <c r="F2447" s="103" t="str">
        <f aca="false">IF($C2447="","",$D2447*$E2447)</f>
        <v/>
      </c>
      <c r="G2447" s="103" t="str">
        <f aca="false">IF($C2447="","",$D2447*IFERROR(INDEX('تحليل التكلفة والسعر'!$C$2:$C$700,MATCH($C2447,'تحليل التكلفة والسعر'!$B$2:$B$700,0)),0))</f>
        <v/>
      </c>
    </row>
    <row r="2448" customFormat="false" ht="15" hidden="false" customHeight="false" outlineLevel="0" collapsed="false">
      <c r="A2448" s="102"/>
      <c r="E2448" s="103" t="str">
        <f aca="false">IF($C2448="","",IFERROR(INDEX(المنيو!$C$2:$C$500,MATCH($C2448,المنيو!$B$2:$B$500,0)),0))</f>
        <v/>
      </c>
      <c r="F2448" s="103" t="str">
        <f aca="false">IF($C2448="","",$D2448*$E2448)</f>
        <v/>
      </c>
      <c r="G2448" s="103" t="str">
        <f aca="false">IF($C2448="","",$D2448*IFERROR(INDEX('تحليل التكلفة والسعر'!$C$2:$C$700,MATCH($C2448,'تحليل التكلفة والسعر'!$B$2:$B$700,0)),0))</f>
        <v/>
      </c>
    </row>
    <row r="2449" customFormat="false" ht="15" hidden="false" customHeight="false" outlineLevel="0" collapsed="false">
      <c r="A2449" s="102"/>
      <c r="E2449" s="103" t="str">
        <f aca="false">IF($C2449="","",IFERROR(INDEX(المنيو!$C$2:$C$500,MATCH($C2449,المنيو!$B$2:$B$500,0)),0))</f>
        <v/>
      </c>
      <c r="F2449" s="103" t="str">
        <f aca="false">IF($C2449="","",$D2449*$E2449)</f>
        <v/>
      </c>
      <c r="G2449" s="103" t="str">
        <f aca="false">IF($C2449="","",$D2449*IFERROR(INDEX('تحليل التكلفة والسعر'!$C$2:$C$700,MATCH($C2449,'تحليل التكلفة والسعر'!$B$2:$B$700,0)),0))</f>
        <v/>
      </c>
    </row>
    <row r="2450" customFormat="false" ht="15" hidden="false" customHeight="false" outlineLevel="0" collapsed="false">
      <c r="A2450" s="102"/>
      <c r="E2450" s="103" t="str">
        <f aca="false">IF($C2450="","",IFERROR(INDEX(المنيو!$C$2:$C$500,MATCH($C2450,المنيو!$B$2:$B$500,0)),0))</f>
        <v/>
      </c>
      <c r="F2450" s="103" t="str">
        <f aca="false">IF($C2450="","",$D2450*$E2450)</f>
        <v/>
      </c>
      <c r="G2450" s="103" t="str">
        <f aca="false">IF($C2450="","",$D2450*IFERROR(INDEX('تحليل التكلفة والسعر'!$C$2:$C$700,MATCH($C2450,'تحليل التكلفة والسعر'!$B$2:$B$700,0)),0))</f>
        <v/>
      </c>
    </row>
    <row r="2451" customFormat="false" ht="15" hidden="false" customHeight="false" outlineLevel="0" collapsed="false">
      <c r="A2451" s="102"/>
      <c r="E2451" s="103" t="str">
        <f aca="false">IF($C2451="","",IFERROR(INDEX(المنيو!$C$2:$C$500,MATCH($C2451,المنيو!$B$2:$B$500,0)),0))</f>
        <v/>
      </c>
      <c r="F2451" s="103" t="str">
        <f aca="false">IF($C2451="","",$D2451*$E2451)</f>
        <v/>
      </c>
      <c r="G2451" s="103" t="str">
        <f aca="false">IF($C2451="","",$D2451*IFERROR(INDEX('تحليل التكلفة والسعر'!$C$2:$C$700,MATCH($C2451,'تحليل التكلفة والسعر'!$B$2:$B$700,0)),0))</f>
        <v/>
      </c>
    </row>
    <row r="2452" customFormat="false" ht="15" hidden="false" customHeight="false" outlineLevel="0" collapsed="false">
      <c r="A2452" s="102"/>
      <c r="E2452" s="103" t="str">
        <f aca="false">IF($C2452="","",IFERROR(INDEX(المنيو!$C$2:$C$500,MATCH($C2452,المنيو!$B$2:$B$500,0)),0))</f>
        <v/>
      </c>
      <c r="F2452" s="103" t="str">
        <f aca="false">IF($C2452="","",$D2452*$E2452)</f>
        <v/>
      </c>
      <c r="G2452" s="103" t="str">
        <f aca="false">IF($C2452="","",$D2452*IFERROR(INDEX('تحليل التكلفة والسعر'!$C$2:$C$700,MATCH($C2452,'تحليل التكلفة والسعر'!$B$2:$B$700,0)),0))</f>
        <v/>
      </c>
    </row>
    <row r="2453" customFormat="false" ht="15" hidden="false" customHeight="false" outlineLevel="0" collapsed="false">
      <c r="A2453" s="102"/>
      <c r="E2453" s="103" t="str">
        <f aca="false">IF($C2453="","",IFERROR(INDEX(المنيو!$C$2:$C$500,MATCH($C2453,المنيو!$B$2:$B$500,0)),0))</f>
        <v/>
      </c>
      <c r="F2453" s="103" t="str">
        <f aca="false">IF($C2453="","",$D2453*$E2453)</f>
        <v/>
      </c>
      <c r="G2453" s="103" t="str">
        <f aca="false">IF($C2453="","",$D2453*IFERROR(INDEX('تحليل التكلفة والسعر'!$C$2:$C$700,MATCH($C2453,'تحليل التكلفة والسعر'!$B$2:$B$700,0)),0))</f>
        <v/>
      </c>
    </row>
    <row r="2454" customFormat="false" ht="15" hidden="false" customHeight="false" outlineLevel="0" collapsed="false">
      <c r="A2454" s="102"/>
      <c r="E2454" s="103" t="str">
        <f aca="false">IF($C2454="","",IFERROR(INDEX(المنيو!$C$2:$C$500,MATCH($C2454,المنيو!$B$2:$B$500,0)),0))</f>
        <v/>
      </c>
      <c r="F2454" s="103" t="str">
        <f aca="false">IF($C2454="","",$D2454*$E2454)</f>
        <v/>
      </c>
      <c r="G2454" s="103" t="str">
        <f aca="false">IF($C2454="","",$D2454*IFERROR(INDEX('تحليل التكلفة والسعر'!$C$2:$C$700,MATCH($C2454,'تحليل التكلفة والسعر'!$B$2:$B$700,0)),0))</f>
        <v/>
      </c>
    </row>
    <row r="2455" customFormat="false" ht="15" hidden="false" customHeight="false" outlineLevel="0" collapsed="false">
      <c r="A2455" s="102"/>
      <c r="E2455" s="103" t="str">
        <f aca="false">IF($C2455="","",IFERROR(INDEX(المنيو!$C$2:$C$500,MATCH($C2455,المنيو!$B$2:$B$500,0)),0))</f>
        <v/>
      </c>
      <c r="F2455" s="103" t="str">
        <f aca="false">IF($C2455="","",$D2455*$E2455)</f>
        <v/>
      </c>
      <c r="G2455" s="103" t="str">
        <f aca="false">IF($C2455="","",$D2455*IFERROR(INDEX('تحليل التكلفة والسعر'!$C$2:$C$700,MATCH($C2455,'تحليل التكلفة والسعر'!$B$2:$B$700,0)),0))</f>
        <v/>
      </c>
    </row>
    <row r="2456" customFormat="false" ht="15" hidden="false" customHeight="false" outlineLevel="0" collapsed="false">
      <c r="A2456" s="102"/>
      <c r="E2456" s="103" t="str">
        <f aca="false">IF($C2456="","",IFERROR(INDEX(المنيو!$C$2:$C$500,MATCH($C2456,المنيو!$B$2:$B$500,0)),0))</f>
        <v/>
      </c>
      <c r="F2456" s="103" t="str">
        <f aca="false">IF($C2456="","",$D2456*$E2456)</f>
        <v/>
      </c>
      <c r="G2456" s="103" t="str">
        <f aca="false">IF($C2456="","",$D2456*IFERROR(INDEX('تحليل التكلفة والسعر'!$C$2:$C$700,MATCH($C2456,'تحليل التكلفة والسعر'!$B$2:$B$700,0)),0))</f>
        <v/>
      </c>
    </row>
    <row r="2457" customFormat="false" ht="15" hidden="false" customHeight="false" outlineLevel="0" collapsed="false">
      <c r="A2457" s="102"/>
      <c r="E2457" s="103" t="str">
        <f aca="false">IF($C2457="","",IFERROR(INDEX(المنيو!$C$2:$C$500,MATCH($C2457,المنيو!$B$2:$B$500,0)),0))</f>
        <v/>
      </c>
      <c r="F2457" s="103" t="str">
        <f aca="false">IF($C2457="","",$D2457*$E2457)</f>
        <v/>
      </c>
      <c r="G2457" s="103" t="str">
        <f aca="false">IF($C2457="","",$D2457*IFERROR(INDEX('تحليل التكلفة والسعر'!$C$2:$C$700,MATCH($C2457,'تحليل التكلفة والسعر'!$B$2:$B$700,0)),0))</f>
        <v/>
      </c>
    </row>
    <row r="2458" customFormat="false" ht="15" hidden="false" customHeight="false" outlineLevel="0" collapsed="false">
      <c r="A2458" s="102"/>
      <c r="E2458" s="103" t="str">
        <f aca="false">IF($C2458="","",IFERROR(INDEX(المنيو!$C$2:$C$500,MATCH($C2458,المنيو!$B$2:$B$500,0)),0))</f>
        <v/>
      </c>
      <c r="F2458" s="103" t="str">
        <f aca="false">IF($C2458="","",$D2458*$E2458)</f>
        <v/>
      </c>
      <c r="G2458" s="103" t="str">
        <f aca="false">IF($C2458="","",$D2458*IFERROR(INDEX('تحليل التكلفة والسعر'!$C$2:$C$700,MATCH($C2458,'تحليل التكلفة والسعر'!$B$2:$B$700,0)),0))</f>
        <v/>
      </c>
    </row>
    <row r="2459" customFormat="false" ht="15" hidden="false" customHeight="false" outlineLevel="0" collapsed="false">
      <c r="A2459" s="102"/>
      <c r="E2459" s="103" t="str">
        <f aca="false">IF($C2459="","",IFERROR(INDEX(المنيو!$C$2:$C$500,MATCH($C2459,المنيو!$B$2:$B$500,0)),0))</f>
        <v/>
      </c>
      <c r="F2459" s="103" t="str">
        <f aca="false">IF($C2459="","",$D2459*$E2459)</f>
        <v/>
      </c>
      <c r="G2459" s="103" t="str">
        <f aca="false">IF($C2459="","",$D2459*IFERROR(INDEX('تحليل التكلفة والسعر'!$C$2:$C$700,MATCH($C2459,'تحليل التكلفة والسعر'!$B$2:$B$700,0)),0))</f>
        <v/>
      </c>
    </row>
    <row r="2460" customFormat="false" ht="15" hidden="false" customHeight="false" outlineLevel="0" collapsed="false">
      <c r="A2460" s="102"/>
      <c r="E2460" s="103" t="str">
        <f aca="false">IF($C2460="","",IFERROR(INDEX(المنيو!$C$2:$C$500,MATCH($C2460,المنيو!$B$2:$B$500,0)),0))</f>
        <v/>
      </c>
      <c r="F2460" s="103" t="str">
        <f aca="false">IF($C2460="","",$D2460*$E2460)</f>
        <v/>
      </c>
      <c r="G2460" s="103" t="str">
        <f aca="false">IF($C2460="","",$D2460*IFERROR(INDEX('تحليل التكلفة والسعر'!$C$2:$C$700,MATCH($C2460,'تحليل التكلفة والسعر'!$B$2:$B$700,0)),0))</f>
        <v/>
      </c>
    </row>
    <row r="2461" customFormat="false" ht="15" hidden="false" customHeight="false" outlineLevel="0" collapsed="false">
      <c r="A2461" s="102"/>
      <c r="E2461" s="103" t="str">
        <f aca="false">IF($C2461="","",IFERROR(INDEX(المنيو!$C$2:$C$500,MATCH($C2461,المنيو!$B$2:$B$500,0)),0))</f>
        <v/>
      </c>
      <c r="F2461" s="103" t="str">
        <f aca="false">IF($C2461="","",$D2461*$E2461)</f>
        <v/>
      </c>
      <c r="G2461" s="103" t="str">
        <f aca="false">IF($C2461="","",$D2461*IFERROR(INDEX('تحليل التكلفة والسعر'!$C$2:$C$700,MATCH($C2461,'تحليل التكلفة والسعر'!$B$2:$B$700,0)),0))</f>
        <v/>
      </c>
    </row>
    <row r="2462" customFormat="false" ht="15" hidden="false" customHeight="false" outlineLevel="0" collapsed="false">
      <c r="A2462" s="102"/>
      <c r="E2462" s="103" t="str">
        <f aca="false">IF($C2462="","",IFERROR(INDEX(المنيو!$C$2:$C$500,MATCH($C2462,المنيو!$B$2:$B$500,0)),0))</f>
        <v/>
      </c>
      <c r="F2462" s="103" t="str">
        <f aca="false">IF($C2462="","",$D2462*$E2462)</f>
        <v/>
      </c>
      <c r="G2462" s="103" t="str">
        <f aca="false">IF($C2462="","",$D2462*IFERROR(INDEX('تحليل التكلفة والسعر'!$C$2:$C$700,MATCH($C2462,'تحليل التكلفة والسعر'!$B$2:$B$700,0)),0))</f>
        <v/>
      </c>
    </row>
    <row r="2463" customFormat="false" ht="15" hidden="false" customHeight="false" outlineLevel="0" collapsed="false">
      <c r="A2463" s="102"/>
      <c r="E2463" s="103" t="str">
        <f aca="false">IF($C2463="","",IFERROR(INDEX(المنيو!$C$2:$C$500,MATCH($C2463,المنيو!$B$2:$B$500,0)),0))</f>
        <v/>
      </c>
      <c r="F2463" s="103" t="str">
        <f aca="false">IF($C2463="","",$D2463*$E2463)</f>
        <v/>
      </c>
      <c r="G2463" s="103" t="str">
        <f aca="false">IF($C2463="","",$D2463*IFERROR(INDEX('تحليل التكلفة والسعر'!$C$2:$C$700,MATCH($C2463,'تحليل التكلفة والسعر'!$B$2:$B$700,0)),0))</f>
        <v/>
      </c>
    </row>
    <row r="2464" customFormat="false" ht="15" hidden="false" customHeight="false" outlineLevel="0" collapsed="false">
      <c r="A2464" s="102"/>
      <c r="E2464" s="103" t="str">
        <f aca="false">IF($C2464="","",IFERROR(INDEX(المنيو!$C$2:$C$500,MATCH($C2464,المنيو!$B$2:$B$500,0)),0))</f>
        <v/>
      </c>
      <c r="F2464" s="103" t="str">
        <f aca="false">IF($C2464="","",$D2464*$E2464)</f>
        <v/>
      </c>
      <c r="G2464" s="103" t="str">
        <f aca="false">IF($C2464="","",$D2464*IFERROR(INDEX('تحليل التكلفة والسعر'!$C$2:$C$700,MATCH($C2464,'تحليل التكلفة والسعر'!$B$2:$B$700,0)),0))</f>
        <v/>
      </c>
    </row>
    <row r="2465" customFormat="false" ht="15" hidden="false" customHeight="false" outlineLevel="0" collapsed="false">
      <c r="A2465" s="102"/>
      <c r="E2465" s="103" t="str">
        <f aca="false">IF($C2465="","",IFERROR(INDEX(المنيو!$C$2:$C$500,MATCH($C2465,المنيو!$B$2:$B$500,0)),0))</f>
        <v/>
      </c>
      <c r="F2465" s="103" t="str">
        <f aca="false">IF($C2465="","",$D2465*$E2465)</f>
        <v/>
      </c>
      <c r="G2465" s="103" t="str">
        <f aca="false">IF($C2465="","",$D2465*IFERROR(INDEX('تحليل التكلفة والسعر'!$C$2:$C$700,MATCH($C2465,'تحليل التكلفة والسعر'!$B$2:$B$700,0)),0))</f>
        <v/>
      </c>
    </row>
    <row r="2466" customFormat="false" ht="15" hidden="false" customHeight="false" outlineLevel="0" collapsed="false">
      <c r="A2466" s="102"/>
      <c r="E2466" s="103" t="str">
        <f aca="false">IF($C2466="","",IFERROR(INDEX(المنيو!$C$2:$C$500,MATCH($C2466,المنيو!$B$2:$B$500,0)),0))</f>
        <v/>
      </c>
      <c r="F2466" s="103" t="str">
        <f aca="false">IF($C2466="","",$D2466*$E2466)</f>
        <v/>
      </c>
      <c r="G2466" s="103" t="str">
        <f aca="false">IF($C2466="","",$D2466*IFERROR(INDEX('تحليل التكلفة والسعر'!$C$2:$C$700,MATCH($C2466,'تحليل التكلفة والسعر'!$B$2:$B$700,0)),0))</f>
        <v/>
      </c>
    </row>
    <row r="2467" customFormat="false" ht="15" hidden="false" customHeight="false" outlineLevel="0" collapsed="false">
      <c r="A2467" s="102"/>
      <c r="E2467" s="103" t="str">
        <f aca="false">IF($C2467="","",IFERROR(INDEX(المنيو!$C$2:$C$500,MATCH($C2467,المنيو!$B$2:$B$500,0)),0))</f>
        <v/>
      </c>
      <c r="F2467" s="103" t="str">
        <f aca="false">IF($C2467="","",$D2467*$E2467)</f>
        <v/>
      </c>
      <c r="G2467" s="103" t="str">
        <f aca="false">IF($C2467="","",$D2467*IFERROR(INDEX('تحليل التكلفة والسعر'!$C$2:$C$700,MATCH($C2467,'تحليل التكلفة والسعر'!$B$2:$B$700,0)),0))</f>
        <v/>
      </c>
    </row>
    <row r="2468" customFormat="false" ht="15" hidden="false" customHeight="false" outlineLevel="0" collapsed="false">
      <c r="A2468" s="102"/>
      <c r="E2468" s="103" t="str">
        <f aca="false">IF($C2468="","",IFERROR(INDEX(المنيو!$C$2:$C$500,MATCH($C2468,المنيو!$B$2:$B$500,0)),0))</f>
        <v/>
      </c>
      <c r="F2468" s="103" t="str">
        <f aca="false">IF($C2468="","",$D2468*$E2468)</f>
        <v/>
      </c>
      <c r="G2468" s="103" t="str">
        <f aca="false">IF($C2468="","",$D2468*IFERROR(INDEX('تحليل التكلفة والسعر'!$C$2:$C$700,MATCH($C2468,'تحليل التكلفة والسعر'!$B$2:$B$700,0)),0))</f>
        <v/>
      </c>
    </row>
    <row r="2469" customFormat="false" ht="15" hidden="false" customHeight="false" outlineLevel="0" collapsed="false">
      <c r="A2469" s="102"/>
      <c r="E2469" s="103" t="str">
        <f aca="false">IF($C2469="","",IFERROR(INDEX(المنيو!$C$2:$C$500,MATCH($C2469,المنيو!$B$2:$B$500,0)),0))</f>
        <v/>
      </c>
      <c r="F2469" s="103" t="str">
        <f aca="false">IF($C2469="","",$D2469*$E2469)</f>
        <v/>
      </c>
      <c r="G2469" s="103" t="str">
        <f aca="false">IF($C2469="","",$D2469*IFERROR(INDEX('تحليل التكلفة والسعر'!$C$2:$C$700,MATCH($C2469,'تحليل التكلفة والسعر'!$B$2:$B$700,0)),0))</f>
        <v/>
      </c>
    </row>
    <row r="2470" customFormat="false" ht="15" hidden="false" customHeight="false" outlineLevel="0" collapsed="false">
      <c r="A2470" s="102"/>
      <c r="E2470" s="103" t="str">
        <f aca="false">IF($C2470="","",IFERROR(INDEX(المنيو!$C$2:$C$500,MATCH($C2470,المنيو!$B$2:$B$500,0)),0))</f>
        <v/>
      </c>
      <c r="F2470" s="103" t="str">
        <f aca="false">IF($C2470="","",$D2470*$E2470)</f>
        <v/>
      </c>
      <c r="G2470" s="103" t="str">
        <f aca="false">IF($C2470="","",$D2470*IFERROR(INDEX('تحليل التكلفة والسعر'!$C$2:$C$700,MATCH($C2470,'تحليل التكلفة والسعر'!$B$2:$B$700,0)),0))</f>
        <v/>
      </c>
    </row>
    <row r="2471" customFormat="false" ht="15" hidden="false" customHeight="false" outlineLevel="0" collapsed="false">
      <c r="A2471" s="102"/>
      <c r="E2471" s="103" t="str">
        <f aca="false">IF($C2471="","",IFERROR(INDEX(المنيو!$C$2:$C$500,MATCH($C2471,المنيو!$B$2:$B$500,0)),0))</f>
        <v/>
      </c>
      <c r="F2471" s="103" t="str">
        <f aca="false">IF($C2471="","",$D2471*$E2471)</f>
        <v/>
      </c>
      <c r="G2471" s="103" t="str">
        <f aca="false">IF($C2471="","",$D2471*IFERROR(INDEX('تحليل التكلفة والسعر'!$C$2:$C$700,MATCH($C2471,'تحليل التكلفة والسعر'!$B$2:$B$700,0)),0))</f>
        <v/>
      </c>
    </row>
    <row r="2472" customFormat="false" ht="15" hidden="false" customHeight="false" outlineLevel="0" collapsed="false">
      <c r="A2472" s="102"/>
      <c r="E2472" s="103" t="str">
        <f aca="false">IF($C2472="","",IFERROR(INDEX(المنيو!$C$2:$C$500,MATCH($C2472,المنيو!$B$2:$B$500,0)),0))</f>
        <v/>
      </c>
      <c r="F2472" s="103" t="str">
        <f aca="false">IF($C2472="","",$D2472*$E2472)</f>
        <v/>
      </c>
      <c r="G2472" s="103" t="str">
        <f aca="false">IF($C2472="","",$D2472*IFERROR(INDEX('تحليل التكلفة والسعر'!$C$2:$C$700,MATCH($C2472,'تحليل التكلفة والسعر'!$B$2:$B$700,0)),0))</f>
        <v/>
      </c>
    </row>
    <row r="2473" customFormat="false" ht="15" hidden="false" customHeight="false" outlineLevel="0" collapsed="false">
      <c r="A2473" s="102"/>
      <c r="E2473" s="103" t="str">
        <f aca="false">IF($C2473="","",IFERROR(INDEX(المنيو!$C$2:$C$500,MATCH($C2473,المنيو!$B$2:$B$500,0)),0))</f>
        <v/>
      </c>
      <c r="F2473" s="103" t="str">
        <f aca="false">IF($C2473="","",$D2473*$E2473)</f>
        <v/>
      </c>
      <c r="G2473" s="103" t="str">
        <f aca="false">IF($C2473="","",$D2473*IFERROR(INDEX('تحليل التكلفة والسعر'!$C$2:$C$700,MATCH($C2473,'تحليل التكلفة والسعر'!$B$2:$B$700,0)),0))</f>
        <v/>
      </c>
    </row>
    <row r="2474" customFormat="false" ht="15" hidden="false" customHeight="false" outlineLevel="0" collapsed="false">
      <c r="A2474" s="102"/>
      <c r="E2474" s="103" t="str">
        <f aca="false">IF($C2474="","",IFERROR(INDEX(المنيو!$C$2:$C$500,MATCH($C2474,المنيو!$B$2:$B$500,0)),0))</f>
        <v/>
      </c>
      <c r="F2474" s="103" t="str">
        <f aca="false">IF($C2474="","",$D2474*$E2474)</f>
        <v/>
      </c>
      <c r="G2474" s="103" t="str">
        <f aca="false">IF($C2474="","",$D2474*IFERROR(INDEX('تحليل التكلفة والسعر'!$C$2:$C$700,MATCH($C2474,'تحليل التكلفة والسعر'!$B$2:$B$700,0)),0))</f>
        <v/>
      </c>
    </row>
    <row r="2475" customFormat="false" ht="15" hidden="false" customHeight="false" outlineLevel="0" collapsed="false">
      <c r="A2475" s="102"/>
      <c r="E2475" s="103" t="str">
        <f aca="false">IF($C2475="","",IFERROR(INDEX(المنيو!$C$2:$C$500,MATCH($C2475,المنيو!$B$2:$B$500,0)),0))</f>
        <v/>
      </c>
      <c r="F2475" s="103" t="str">
        <f aca="false">IF($C2475="","",$D2475*$E2475)</f>
        <v/>
      </c>
      <c r="G2475" s="103" t="str">
        <f aca="false">IF($C2475="","",$D2475*IFERROR(INDEX('تحليل التكلفة والسعر'!$C$2:$C$700,MATCH($C2475,'تحليل التكلفة والسعر'!$B$2:$B$700,0)),0))</f>
        <v/>
      </c>
    </row>
    <row r="2476" customFormat="false" ht="15" hidden="false" customHeight="false" outlineLevel="0" collapsed="false">
      <c r="A2476" s="102"/>
      <c r="E2476" s="103" t="str">
        <f aca="false">IF($C2476="","",IFERROR(INDEX(المنيو!$C$2:$C$500,MATCH($C2476,المنيو!$B$2:$B$500,0)),0))</f>
        <v/>
      </c>
      <c r="F2476" s="103" t="str">
        <f aca="false">IF($C2476="","",$D2476*$E2476)</f>
        <v/>
      </c>
      <c r="G2476" s="103" t="str">
        <f aca="false">IF($C2476="","",$D2476*IFERROR(INDEX('تحليل التكلفة والسعر'!$C$2:$C$700,MATCH($C2476,'تحليل التكلفة والسعر'!$B$2:$B$700,0)),0))</f>
        <v/>
      </c>
    </row>
    <row r="2477" customFormat="false" ht="15" hidden="false" customHeight="false" outlineLevel="0" collapsed="false">
      <c r="A2477" s="102"/>
      <c r="E2477" s="103" t="str">
        <f aca="false">IF($C2477="","",IFERROR(INDEX(المنيو!$C$2:$C$500,MATCH($C2477,المنيو!$B$2:$B$500,0)),0))</f>
        <v/>
      </c>
      <c r="F2477" s="103" t="str">
        <f aca="false">IF($C2477="","",$D2477*$E2477)</f>
        <v/>
      </c>
      <c r="G2477" s="103" t="str">
        <f aca="false">IF($C2477="","",$D2477*IFERROR(INDEX('تحليل التكلفة والسعر'!$C$2:$C$700,MATCH($C2477,'تحليل التكلفة والسعر'!$B$2:$B$700,0)),0))</f>
        <v/>
      </c>
    </row>
    <row r="2478" customFormat="false" ht="15" hidden="false" customHeight="false" outlineLevel="0" collapsed="false">
      <c r="A2478" s="102"/>
      <c r="E2478" s="103" t="str">
        <f aca="false">IF($C2478="","",IFERROR(INDEX(المنيو!$C$2:$C$500,MATCH($C2478,المنيو!$B$2:$B$500,0)),0))</f>
        <v/>
      </c>
      <c r="F2478" s="103" t="str">
        <f aca="false">IF($C2478="","",$D2478*$E2478)</f>
        <v/>
      </c>
      <c r="G2478" s="103" t="str">
        <f aca="false">IF($C2478="","",$D2478*IFERROR(INDEX('تحليل التكلفة والسعر'!$C$2:$C$700,MATCH($C2478,'تحليل التكلفة والسعر'!$B$2:$B$700,0)),0))</f>
        <v/>
      </c>
    </row>
    <row r="2479" customFormat="false" ht="15" hidden="false" customHeight="false" outlineLevel="0" collapsed="false">
      <c r="A2479" s="102"/>
      <c r="E2479" s="103" t="str">
        <f aca="false">IF($C2479="","",IFERROR(INDEX(المنيو!$C$2:$C$500,MATCH($C2479,المنيو!$B$2:$B$500,0)),0))</f>
        <v/>
      </c>
      <c r="F2479" s="103" t="str">
        <f aca="false">IF($C2479="","",$D2479*$E2479)</f>
        <v/>
      </c>
      <c r="G2479" s="103" t="str">
        <f aca="false">IF($C2479="","",$D2479*IFERROR(INDEX('تحليل التكلفة والسعر'!$C$2:$C$700,MATCH($C2479,'تحليل التكلفة والسعر'!$B$2:$B$700,0)),0))</f>
        <v/>
      </c>
    </row>
    <row r="2480" customFormat="false" ht="15" hidden="false" customHeight="false" outlineLevel="0" collapsed="false">
      <c r="A2480" s="102"/>
      <c r="E2480" s="103" t="str">
        <f aca="false">IF($C2480="","",IFERROR(INDEX(المنيو!$C$2:$C$500,MATCH($C2480,المنيو!$B$2:$B$500,0)),0))</f>
        <v/>
      </c>
      <c r="F2480" s="103" t="str">
        <f aca="false">IF($C2480="","",$D2480*$E2480)</f>
        <v/>
      </c>
      <c r="G2480" s="103" t="str">
        <f aca="false">IF($C2480="","",$D2480*IFERROR(INDEX('تحليل التكلفة والسعر'!$C$2:$C$700,MATCH($C2480,'تحليل التكلفة والسعر'!$B$2:$B$700,0)),0))</f>
        <v/>
      </c>
    </row>
    <row r="2481" customFormat="false" ht="15" hidden="false" customHeight="false" outlineLevel="0" collapsed="false">
      <c r="A2481" s="102"/>
      <c r="E2481" s="103" t="str">
        <f aca="false">IF($C2481="","",IFERROR(INDEX(المنيو!$C$2:$C$500,MATCH($C2481,المنيو!$B$2:$B$500,0)),0))</f>
        <v/>
      </c>
      <c r="F2481" s="103" t="str">
        <f aca="false">IF($C2481="","",$D2481*$E2481)</f>
        <v/>
      </c>
      <c r="G2481" s="103" t="str">
        <f aca="false">IF($C2481="","",$D2481*IFERROR(INDEX('تحليل التكلفة والسعر'!$C$2:$C$700,MATCH($C2481,'تحليل التكلفة والسعر'!$B$2:$B$700,0)),0))</f>
        <v/>
      </c>
    </row>
    <row r="2482" customFormat="false" ht="15" hidden="false" customHeight="false" outlineLevel="0" collapsed="false">
      <c r="A2482" s="102"/>
      <c r="E2482" s="103" t="str">
        <f aca="false">IF($C2482="","",IFERROR(INDEX(المنيو!$C$2:$C$500,MATCH($C2482,المنيو!$B$2:$B$500,0)),0))</f>
        <v/>
      </c>
      <c r="F2482" s="103" t="str">
        <f aca="false">IF($C2482="","",$D2482*$E2482)</f>
        <v/>
      </c>
      <c r="G2482" s="103" t="str">
        <f aca="false">IF($C2482="","",$D2482*IFERROR(INDEX('تحليل التكلفة والسعر'!$C$2:$C$700,MATCH($C2482,'تحليل التكلفة والسعر'!$B$2:$B$700,0)),0))</f>
        <v/>
      </c>
    </row>
    <row r="2483" customFormat="false" ht="15" hidden="false" customHeight="false" outlineLevel="0" collapsed="false">
      <c r="A2483" s="102"/>
      <c r="E2483" s="103" t="str">
        <f aca="false">IF($C2483="","",IFERROR(INDEX(المنيو!$C$2:$C$500,MATCH($C2483,المنيو!$B$2:$B$500,0)),0))</f>
        <v/>
      </c>
      <c r="F2483" s="103" t="str">
        <f aca="false">IF($C2483="","",$D2483*$E2483)</f>
        <v/>
      </c>
      <c r="G2483" s="103" t="str">
        <f aca="false">IF($C2483="","",$D2483*IFERROR(INDEX('تحليل التكلفة والسعر'!$C$2:$C$700,MATCH($C2483,'تحليل التكلفة والسعر'!$B$2:$B$700,0)),0))</f>
        <v/>
      </c>
    </row>
    <row r="2484" customFormat="false" ht="15" hidden="false" customHeight="false" outlineLevel="0" collapsed="false">
      <c r="A2484" s="102"/>
      <c r="E2484" s="103" t="str">
        <f aca="false">IF($C2484="","",IFERROR(INDEX(المنيو!$C$2:$C$500,MATCH($C2484,المنيو!$B$2:$B$500,0)),0))</f>
        <v/>
      </c>
      <c r="F2484" s="103" t="str">
        <f aca="false">IF($C2484="","",$D2484*$E2484)</f>
        <v/>
      </c>
      <c r="G2484" s="103" t="str">
        <f aca="false">IF($C2484="","",$D2484*IFERROR(INDEX('تحليل التكلفة والسعر'!$C$2:$C$700,MATCH($C2484,'تحليل التكلفة والسعر'!$B$2:$B$700,0)),0))</f>
        <v/>
      </c>
    </row>
    <row r="2485" customFormat="false" ht="15" hidden="false" customHeight="false" outlineLevel="0" collapsed="false">
      <c r="A2485" s="102"/>
      <c r="E2485" s="103" t="str">
        <f aca="false">IF($C2485="","",IFERROR(INDEX(المنيو!$C$2:$C$500,MATCH($C2485,المنيو!$B$2:$B$500,0)),0))</f>
        <v/>
      </c>
      <c r="F2485" s="103" t="str">
        <f aca="false">IF($C2485="","",$D2485*$E2485)</f>
        <v/>
      </c>
      <c r="G2485" s="103" t="str">
        <f aca="false">IF($C2485="","",$D2485*IFERROR(INDEX('تحليل التكلفة والسعر'!$C$2:$C$700,MATCH($C2485,'تحليل التكلفة والسعر'!$B$2:$B$700,0)),0))</f>
        <v/>
      </c>
    </row>
    <row r="2486" customFormat="false" ht="15" hidden="false" customHeight="false" outlineLevel="0" collapsed="false">
      <c r="A2486" s="102"/>
      <c r="E2486" s="103" t="str">
        <f aca="false">IF($C2486="","",IFERROR(INDEX(المنيو!$C$2:$C$500,MATCH($C2486,المنيو!$B$2:$B$500,0)),0))</f>
        <v/>
      </c>
      <c r="F2486" s="103" t="str">
        <f aca="false">IF($C2486="","",$D2486*$E2486)</f>
        <v/>
      </c>
      <c r="G2486" s="103" t="str">
        <f aca="false">IF($C2486="","",$D2486*IFERROR(INDEX('تحليل التكلفة والسعر'!$C$2:$C$700,MATCH($C2486,'تحليل التكلفة والسعر'!$B$2:$B$700,0)),0))</f>
        <v/>
      </c>
    </row>
    <row r="2487" customFormat="false" ht="15" hidden="false" customHeight="false" outlineLevel="0" collapsed="false">
      <c r="A2487" s="102"/>
      <c r="E2487" s="103" t="str">
        <f aca="false">IF($C2487="","",IFERROR(INDEX(المنيو!$C$2:$C$500,MATCH($C2487,المنيو!$B$2:$B$500,0)),0))</f>
        <v/>
      </c>
      <c r="F2487" s="103" t="str">
        <f aca="false">IF($C2487="","",$D2487*$E2487)</f>
        <v/>
      </c>
      <c r="G2487" s="103" t="str">
        <f aca="false">IF($C2487="","",$D2487*IFERROR(INDEX('تحليل التكلفة والسعر'!$C$2:$C$700,MATCH($C2487,'تحليل التكلفة والسعر'!$B$2:$B$700,0)),0))</f>
        <v/>
      </c>
    </row>
    <row r="2488" customFormat="false" ht="15" hidden="false" customHeight="false" outlineLevel="0" collapsed="false">
      <c r="A2488" s="102"/>
      <c r="E2488" s="103" t="str">
        <f aca="false">IF($C2488="","",IFERROR(INDEX(المنيو!$C$2:$C$500,MATCH($C2488,المنيو!$B$2:$B$500,0)),0))</f>
        <v/>
      </c>
      <c r="F2488" s="103" t="str">
        <f aca="false">IF($C2488="","",$D2488*$E2488)</f>
        <v/>
      </c>
      <c r="G2488" s="103" t="str">
        <f aca="false">IF($C2488="","",$D2488*IFERROR(INDEX('تحليل التكلفة والسعر'!$C$2:$C$700,MATCH($C2488,'تحليل التكلفة والسعر'!$B$2:$B$700,0)),0))</f>
        <v/>
      </c>
    </row>
    <row r="2489" customFormat="false" ht="15" hidden="false" customHeight="false" outlineLevel="0" collapsed="false">
      <c r="A2489" s="102"/>
      <c r="E2489" s="103" t="str">
        <f aca="false">IF($C2489="","",IFERROR(INDEX(المنيو!$C$2:$C$500,MATCH($C2489,المنيو!$B$2:$B$500,0)),0))</f>
        <v/>
      </c>
      <c r="F2489" s="103" t="str">
        <f aca="false">IF($C2489="","",$D2489*$E2489)</f>
        <v/>
      </c>
      <c r="G2489" s="103" t="str">
        <f aca="false">IF($C2489="","",$D2489*IFERROR(INDEX('تحليل التكلفة والسعر'!$C$2:$C$700,MATCH($C2489,'تحليل التكلفة والسعر'!$B$2:$B$700,0)),0))</f>
        <v/>
      </c>
    </row>
    <row r="2490" customFormat="false" ht="15" hidden="false" customHeight="false" outlineLevel="0" collapsed="false">
      <c r="A2490" s="102"/>
      <c r="E2490" s="103" t="str">
        <f aca="false">IF($C2490="","",IFERROR(INDEX(المنيو!$C$2:$C$500,MATCH($C2490,المنيو!$B$2:$B$500,0)),0))</f>
        <v/>
      </c>
      <c r="F2490" s="103" t="str">
        <f aca="false">IF($C2490="","",$D2490*$E2490)</f>
        <v/>
      </c>
      <c r="G2490" s="103" t="str">
        <f aca="false">IF($C2490="","",$D2490*IFERROR(INDEX('تحليل التكلفة والسعر'!$C$2:$C$700,MATCH($C2490,'تحليل التكلفة والسعر'!$B$2:$B$700,0)),0))</f>
        <v/>
      </c>
    </row>
    <row r="2491" customFormat="false" ht="15" hidden="false" customHeight="false" outlineLevel="0" collapsed="false">
      <c r="A2491" s="102"/>
      <c r="E2491" s="103" t="str">
        <f aca="false">IF($C2491="","",IFERROR(INDEX(المنيو!$C$2:$C$500,MATCH($C2491,المنيو!$B$2:$B$500,0)),0))</f>
        <v/>
      </c>
      <c r="F2491" s="103" t="str">
        <f aca="false">IF($C2491="","",$D2491*$E2491)</f>
        <v/>
      </c>
      <c r="G2491" s="103" t="str">
        <f aca="false">IF($C2491="","",$D2491*IFERROR(INDEX('تحليل التكلفة والسعر'!$C$2:$C$700,MATCH($C2491,'تحليل التكلفة والسعر'!$B$2:$B$700,0)),0))</f>
        <v/>
      </c>
    </row>
    <row r="2492" customFormat="false" ht="15" hidden="false" customHeight="false" outlineLevel="0" collapsed="false">
      <c r="A2492" s="102"/>
      <c r="E2492" s="103" t="str">
        <f aca="false">IF($C2492="","",IFERROR(INDEX(المنيو!$C$2:$C$500,MATCH($C2492,المنيو!$B$2:$B$500,0)),0))</f>
        <v/>
      </c>
      <c r="F2492" s="103" t="str">
        <f aca="false">IF($C2492="","",$D2492*$E2492)</f>
        <v/>
      </c>
      <c r="G2492" s="103" t="str">
        <f aca="false">IF($C2492="","",$D2492*IFERROR(INDEX('تحليل التكلفة والسعر'!$C$2:$C$700,MATCH($C2492,'تحليل التكلفة والسعر'!$B$2:$B$700,0)),0))</f>
        <v/>
      </c>
    </row>
    <row r="2493" customFormat="false" ht="15" hidden="false" customHeight="false" outlineLevel="0" collapsed="false">
      <c r="A2493" s="102"/>
      <c r="E2493" s="103" t="str">
        <f aca="false">IF($C2493="","",IFERROR(INDEX(المنيو!$C$2:$C$500,MATCH($C2493,المنيو!$B$2:$B$500,0)),0))</f>
        <v/>
      </c>
      <c r="F2493" s="103" t="str">
        <f aca="false">IF($C2493="","",$D2493*$E2493)</f>
        <v/>
      </c>
      <c r="G2493" s="103" t="str">
        <f aca="false">IF($C2493="","",$D2493*IFERROR(INDEX('تحليل التكلفة والسعر'!$C$2:$C$700,MATCH($C2493,'تحليل التكلفة والسعر'!$B$2:$B$700,0)),0))</f>
        <v/>
      </c>
    </row>
    <row r="2494" customFormat="false" ht="15" hidden="false" customHeight="false" outlineLevel="0" collapsed="false">
      <c r="A2494" s="102"/>
      <c r="E2494" s="103" t="str">
        <f aca="false">IF($C2494="","",IFERROR(INDEX(المنيو!$C$2:$C$500,MATCH($C2494,المنيو!$B$2:$B$500,0)),0))</f>
        <v/>
      </c>
      <c r="F2494" s="103" t="str">
        <f aca="false">IF($C2494="","",$D2494*$E2494)</f>
        <v/>
      </c>
      <c r="G2494" s="103" t="str">
        <f aca="false">IF($C2494="","",$D2494*IFERROR(INDEX('تحليل التكلفة والسعر'!$C$2:$C$700,MATCH($C2494,'تحليل التكلفة والسعر'!$B$2:$B$700,0)),0))</f>
        <v/>
      </c>
    </row>
    <row r="2495" customFormat="false" ht="15" hidden="false" customHeight="false" outlineLevel="0" collapsed="false">
      <c r="A2495" s="102"/>
      <c r="E2495" s="103" t="str">
        <f aca="false">IF($C2495="","",IFERROR(INDEX(المنيو!$C$2:$C$500,MATCH($C2495,المنيو!$B$2:$B$500,0)),0))</f>
        <v/>
      </c>
      <c r="F2495" s="103" t="str">
        <f aca="false">IF($C2495="","",$D2495*$E2495)</f>
        <v/>
      </c>
      <c r="G2495" s="103" t="str">
        <f aca="false">IF($C2495="","",$D2495*IFERROR(INDEX('تحليل التكلفة والسعر'!$C$2:$C$700,MATCH($C2495,'تحليل التكلفة والسعر'!$B$2:$B$700,0)),0))</f>
        <v/>
      </c>
    </row>
    <row r="2496" customFormat="false" ht="15" hidden="false" customHeight="false" outlineLevel="0" collapsed="false">
      <c r="A2496" s="102"/>
      <c r="E2496" s="103" t="str">
        <f aca="false">IF($C2496="","",IFERROR(INDEX(المنيو!$C$2:$C$500,MATCH($C2496,المنيو!$B$2:$B$500,0)),0))</f>
        <v/>
      </c>
      <c r="F2496" s="103" t="str">
        <f aca="false">IF($C2496="","",$D2496*$E2496)</f>
        <v/>
      </c>
      <c r="G2496" s="103" t="str">
        <f aca="false">IF($C2496="","",$D2496*IFERROR(INDEX('تحليل التكلفة والسعر'!$C$2:$C$700,MATCH($C2496,'تحليل التكلفة والسعر'!$B$2:$B$700,0)),0))</f>
        <v/>
      </c>
    </row>
    <row r="2497" customFormat="false" ht="15" hidden="false" customHeight="false" outlineLevel="0" collapsed="false">
      <c r="A2497" s="102"/>
      <c r="E2497" s="103" t="str">
        <f aca="false">IF($C2497="","",IFERROR(INDEX(المنيو!$C$2:$C$500,MATCH($C2497,المنيو!$B$2:$B$500,0)),0))</f>
        <v/>
      </c>
      <c r="F2497" s="103" t="str">
        <f aca="false">IF($C2497="","",$D2497*$E2497)</f>
        <v/>
      </c>
      <c r="G2497" s="103" t="str">
        <f aca="false">IF($C2497="","",$D2497*IFERROR(INDEX('تحليل التكلفة والسعر'!$C$2:$C$700,MATCH($C2497,'تحليل التكلفة والسعر'!$B$2:$B$700,0)),0))</f>
        <v/>
      </c>
    </row>
    <row r="2498" customFormat="false" ht="15" hidden="false" customHeight="false" outlineLevel="0" collapsed="false">
      <c r="A2498" s="102"/>
      <c r="E2498" s="103" t="str">
        <f aca="false">IF($C2498="","",IFERROR(INDEX(المنيو!$C$2:$C$500,MATCH($C2498,المنيو!$B$2:$B$500,0)),0))</f>
        <v/>
      </c>
      <c r="F2498" s="103" t="str">
        <f aca="false">IF($C2498="","",$D2498*$E2498)</f>
        <v/>
      </c>
      <c r="G2498" s="103" t="str">
        <f aca="false">IF($C2498="","",$D2498*IFERROR(INDEX('تحليل التكلفة والسعر'!$C$2:$C$700,MATCH($C2498,'تحليل التكلفة والسعر'!$B$2:$B$700,0)),0))</f>
        <v/>
      </c>
    </row>
    <row r="2499" customFormat="false" ht="15" hidden="false" customHeight="false" outlineLevel="0" collapsed="false">
      <c r="A2499" s="102"/>
      <c r="E2499" s="103" t="str">
        <f aca="false">IF($C2499="","",IFERROR(INDEX(المنيو!$C$2:$C$500,MATCH($C2499,المنيو!$B$2:$B$500,0)),0))</f>
        <v/>
      </c>
      <c r="F2499" s="103" t="str">
        <f aca="false">IF($C2499="","",$D2499*$E2499)</f>
        <v/>
      </c>
      <c r="G2499" s="103" t="str">
        <f aca="false">IF($C2499="","",$D2499*IFERROR(INDEX('تحليل التكلفة والسعر'!$C$2:$C$700,MATCH($C2499,'تحليل التكلفة والسعر'!$B$2:$B$700,0)),0))</f>
        <v/>
      </c>
    </row>
    <row r="2500" customFormat="false" ht="15" hidden="false" customHeight="false" outlineLevel="0" collapsed="false">
      <c r="A2500" s="102"/>
      <c r="E2500" s="103" t="str">
        <f aca="false">IF($C2500="","",IFERROR(INDEX(المنيو!$C$2:$C$500,MATCH($C2500,المنيو!$B$2:$B$500,0)),0))</f>
        <v/>
      </c>
      <c r="F2500" s="103" t="str">
        <f aca="false">IF($C2500="","",$D2500*$E2500)</f>
        <v/>
      </c>
      <c r="G2500" s="103" t="str">
        <f aca="false">IF($C2500="","",$D2500*IFERROR(INDEX('تحليل التكلفة والسعر'!$C$2:$C$700,MATCH($C2500,'تحليل التكلفة والسعر'!$B$2:$B$700,0)),0))</f>
        <v/>
      </c>
    </row>
    <row r="2501" customFormat="false" ht="15" hidden="false" customHeight="false" outlineLevel="0" collapsed="false">
      <c r="A2501" s="102"/>
      <c r="E2501" s="103" t="str">
        <f aca="false">IF($C2501="","",IFERROR(INDEX(المنيو!$C$2:$C$500,MATCH($C2501,المنيو!$B$2:$B$500,0)),0))</f>
        <v/>
      </c>
      <c r="F2501" s="103" t="str">
        <f aca="false">IF($C2501="","",$D2501*$E2501)</f>
        <v/>
      </c>
      <c r="G2501" s="103" t="str">
        <f aca="false">IF($C2501="","",$D2501*IFERROR(INDEX('تحليل التكلفة والسعر'!$C$2:$C$700,MATCH($C2501,'تحليل التكلفة والسعر'!$B$2:$B$700,0)),0))</f>
        <v/>
      </c>
    </row>
    <row r="2502" customFormat="false" ht="15" hidden="false" customHeight="false" outlineLevel="0" collapsed="false">
      <c r="A2502" s="102"/>
      <c r="E2502" s="103" t="str">
        <f aca="false">IF($C2502="","",IFERROR(INDEX(المنيو!$C$2:$C$500,MATCH($C2502,المنيو!$B$2:$B$500,0)),0))</f>
        <v/>
      </c>
      <c r="F2502" s="103" t="str">
        <f aca="false">IF($C2502="","",$D2502*$E2502)</f>
        <v/>
      </c>
      <c r="G2502" s="103" t="str">
        <f aca="false">IF($C2502="","",$D2502*IFERROR(INDEX('تحليل التكلفة والسعر'!$C$2:$C$700,MATCH($C2502,'تحليل التكلفة والسعر'!$B$2:$B$700,0)),0))</f>
        <v/>
      </c>
    </row>
    <row r="2503" customFormat="false" ht="15" hidden="false" customHeight="false" outlineLevel="0" collapsed="false">
      <c r="A2503" s="102"/>
      <c r="E2503" s="103" t="str">
        <f aca="false">IF($C2503="","",IFERROR(INDEX(المنيو!$C$2:$C$500,MATCH($C2503,المنيو!$B$2:$B$500,0)),0))</f>
        <v/>
      </c>
      <c r="F2503" s="103" t="str">
        <f aca="false">IF($C2503="","",$D2503*$E2503)</f>
        <v/>
      </c>
      <c r="G2503" s="103" t="str">
        <f aca="false">IF($C2503="","",$D2503*IFERROR(INDEX('تحليل التكلفة والسعر'!$C$2:$C$700,MATCH($C2503,'تحليل التكلفة والسعر'!$B$2:$B$700,0)),0))</f>
        <v/>
      </c>
    </row>
    <row r="2504" customFormat="false" ht="15" hidden="false" customHeight="false" outlineLevel="0" collapsed="false">
      <c r="A2504" s="102"/>
      <c r="E2504" s="103" t="str">
        <f aca="false">IF($C2504="","",IFERROR(INDEX(المنيو!$C$2:$C$500,MATCH($C2504,المنيو!$B$2:$B$500,0)),0))</f>
        <v/>
      </c>
      <c r="F2504" s="103" t="str">
        <f aca="false">IF($C2504="","",$D2504*$E2504)</f>
        <v/>
      </c>
      <c r="G2504" s="103" t="str">
        <f aca="false">IF($C2504="","",$D2504*IFERROR(INDEX('تحليل التكلفة والسعر'!$C$2:$C$700,MATCH($C2504,'تحليل التكلفة والسعر'!$B$2:$B$700,0)),0))</f>
        <v/>
      </c>
    </row>
    <row r="2505" customFormat="false" ht="15" hidden="false" customHeight="false" outlineLevel="0" collapsed="false">
      <c r="A2505" s="102"/>
      <c r="E2505" s="103" t="str">
        <f aca="false">IF($C2505="","",IFERROR(INDEX(المنيو!$C$2:$C$500,MATCH($C2505,المنيو!$B$2:$B$500,0)),0))</f>
        <v/>
      </c>
      <c r="F2505" s="103" t="str">
        <f aca="false">IF($C2505="","",$D2505*$E2505)</f>
        <v/>
      </c>
      <c r="G2505" s="103" t="str">
        <f aca="false">IF($C2505="","",$D2505*IFERROR(INDEX('تحليل التكلفة والسعر'!$C$2:$C$700,MATCH($C2505,'تحليل التكلفة والسعر'!$B$2:$B$700,0)),0))</f>
        <v/>
      </c>
    </row>
    <row r="2506" customFormat="false" ht="15" hidden="false" customHeight="false" outlineLevel="0" collapsed="false">
      <c r="A2506" s="102"/>
      <c r="E2506" s="103" t="str">
        <f aca="false">IF($C2506="","",IFERROR(INDEX(المنيو!$C$2:$C$500,MATCH($C2506,المنيو!$B$2:$B$500,0)),0))</f>
        <v/>
      </c>
      <c r="F2506" s="103" t="str">
        <f aca="false">IF($C2506="","",$D2506*$E2506)</f>
        <v/>
      </c>
      <c r="G2506" s="103" t="str">
        <f aca="false">IF($C2506="","",$D2506*IFERROR(INDEX('تحليل التكلفة والسعر'!$C$2:$C$700,MATCH($C2506,'تحليل التكلفة والسعر'!$B$2:$B$700,0)),0))</f>
        <v/>
      </c>
    </row>
    <row r="2507" customFormat="false" ht="15" hidden="false" customHeight="false" outlineLevel="0" collapsed="false">
      <c r="A2507" s="102"/>
      <c r="E2507" s="103" t="str">
        <f aca="false">IF($C2507="","",IFERROR(INDEX(المنيو!$C$2:$C$500,MATCH($C2507,المنيو!$B$2:$B$500,0)),0))</f>
        <v/>
      </c>
      <c r="F2507" s="103" t="str">
        <f aca="false">IF($C2507="","",$D2507*$E2507)</f>
        <v/>
      </c>
      <c r="G2507" s="103" t="str">
        <f aca="false">IF($C2507="","",$D2507*IFERROR(INDEX('تحليل التكلفة والسعر'!$C$2:$C$700,MATCH($C2507,'تحليل التكلفة والسعر'!$B$2:$B$700,0)),0))</f>
        <v/>
      </c>
    </row>
    <row r="2508" customFormat="false" ht="15" hidden="false" customHeight="false" outlineLevel="0" collapsed="false">
      <c r="A2508" s="102"/>
      <c r="E2508" s="103" t="str">
        <f aca="false">IF($C2508="","",IFERROR(INDEX(المنيو!$C$2:$C$500,MATCH($C2508,المنيو!$B$2:$B$500,0)),0))</f>
        <v/>
      </c>
      <c r="F2508" s="103" t="str">
        <f aca="false">IF($C2508="","",$D2508*$E2508)</f>
        <v/>
      </c>
      <c r="G2508" s="103" t="str">
        <f aca="false">IF($C2508="","",$D2508*IFERROR(INDEX('تحليل التكلفة والسعر'!$C$2:$C$700,MATCH($C2508,'تحليل التكلفة والسعر'!$B$2:$B$700,0)),0))</f>
        <v/>
      </c>
    </row>
    <row r="2509" customFormat="false" ht="15" hidden="false" customHeight="false" outlineLevel="0" collapsed="false">
      <c r="A2509" s="102"/>
      <c r="E2509" s="103" t="str">
        <f aca="false">IF($C2509="","",IFERROR(INDEX(المنيو!$C$2:$C$500,MATCH($C2509,المنيو!$B$2:$B$500,0)),0))</f>
        <v/>
      </c>
      <c r="F2509" s="103" t="str">
        <f aca="false">IF($C2509="","",$D2509*$E2509)</f>
        <v/>
      </c>
      <c r="G2509" s="103" t="str">
        <f aca="false">IF($C2509="","",$D2509*IFERROR(INDEX('تحليل التكلفة والسعر'!$C$2:$C$700,MATCH($C2509,'تحليل التكلفة والسعر'!$B$2:$B$700,0)),0))</f>
        <v/>
      </c>
    </row>
    <row r="2510" customFormat="false" ht="15" hidden="false" customHeight="false" outlineLevel="0" collapsed="false">
      <c r="A2510" s="102"/>
      <c r="E2510" s="103" t="str">
        <f aca="false">IF($C2510="","",IFERROR(INDEX(المنيو!$C$2:$C$500,MATCH($C2510,المنيو!$B$2:$B$500,0)),0))</f>
        <v/>
      </c>
      <c r="F2510" s="103" t="str">
        <f aca="false">IF($C2510="","",$D2510*$E2510)</f>
        <v/>
      </c>
      <c r="G2510" s="103" t="str">
        <f aca="false">IF($C2510="","",$D2510*IFERROR(INDEX('تحليل التكلفة والسعر'!$C$2:$C$700,MATCH($C2510,'تحليل التكلفة والسعر'!$B$2:$B$700,0)),0))</f>
        <v/>
      </c>
    </row>
    <row r="2511" customFormat="false" ht="15" hidden="false" customHeight="false" outlineLevel="0" collapsed="false">
      <c r="A2511" s="102"/>
      <c r="E2511" s="103" t="str">
        <f aca="false">IF($C2511="","",IFERROR(INDEX(المنيو!$C$2:$C$500,MATCH($C2511,المنيو!$B$2:$B$500,0)),0))</f>
        <v/>
      </c>
      <c r="F2511" s="103" t="str">
        <f aca="false">IF($C2511="","",$D2511*$E2511)</f>
        <v/>
      </c>
      <c r="G2511" s="103" t="str">
        <f aca="false">IF($C2511="","",$D2511*IFERROR(INDEX('تحليل التكلفة والسعر'!$C$2:$C$700,MATCH($C2511,'تحليل التكلفة والسعر'!$B$2:$B$700,0)),0))</f>
        <v/>
      </c>
    </row>
    <row r="2512" customFormat="false" ht="15" hidden="false" customHeight="false" outlineLevel="0" collapsed="false">
      <c r="A2512" s="102"/>
      <c r="E2512" s="103" t="str">
        <f aca="false">IF($C2512="","",IFERROR(INDEX(المنيو!$C$2:$C$500,MATCH($C2512,المنيو!$B$2:$B$500,0)),0))</f>
        <v/>
      </c>
      <c r="F2512" s="103" t="str">
        <f aca="false">IF($C2512="","",$D2512*$E2512)</f>
        <v/>
      </c>
      <c r="G2512" s="103" t="str">
        <f aca="false">IF($C2512="","",$D2512*IFERROR(INDEX('تحليل التكلفة والسعر'!$C$2:$C$700,MATCH($C2512,'تحليل التكلفة والسعر'!$B$2:$B$700,0)),0))</f>
        <v/>
      </c>
    </row>
    <row r="2513" customFormat="false" ht="15" hidden="false" customHeight="false" outlineLevel="0" collapsed="false">
      <c r="A2513" s="102"/>
      <c r="E2513" s="103" t="str">
        <f aca="false">IF($C2513="","",IFERROR(INDEX(المنيو!$C$2:$C$500,MATCH($C2513,المنيو!$B$2:$B$500,0)),0))</f>
        <v/>
      </c>
      <c r="F2513" s="103" t="str">
        <f aca="false">IF($C2513="","",$D2513*$E2513)</f>
        <v/>
      </c>
      <c r="G2513" s="103" t="str">
        <f aca="false">IF($C2513="","",$D2513*IFERROR(INDEX('تحليل التكلفة والسعر'!$C$2:$C$700,MATCH($C2513,'تحليل التكلفة والسعر'!$B$2:$B$700,0)),0))</f>
        <v/>
      </c>
    </row>
    <row r="2514" customFormat="false" ht="15" hidden="false" customHeight="false" outlineLevel="0" collapsed="false">
      <c r="A2514" s="102"/>
      <c r="E2514" s="103" t="str">
        <f aca="false">IF($C2514="","",IFERROR(INDEX(المنيو!$C$2:$C$500,MATCH($C2514,المنيو!$B$2:$B$500,0)),0))</f>
        <v/>
      </c>
      <c r="F2514" s="103" t="str">
        <f aca="false">IF($C2514="","",$D2514*$E2514)</f>
        <v/>
      </c>
      <c r="G2514" s="103" t="str">
        <f aca="false">IF($C2514="","",$D2514*IFERROR(INDEX('تحليل التكلفة والسعر'!$C$2:$C$700,MATCH($C2514,'تحليل التكلفة والسعر'!$B$2:$B$700,0)),0))</f>
        <v/>
      </c>
    </row>
    <row r="2515" customFormat="false" ht="15" hidden="false" customHeight="false" outlineLevel="0" collapsed="false">
      <c r="A2515" s="102"/>
      <c r="E2515" s="103" t="str">
        <f aca="false">IF($C2515="","",IFERROR(INDEX(المنيو!$C$2:$C$500,MATCH($C2515,المنيو!$B$2:$B$500,0)),0))</f>
        <v/>
      </c>
      <c r="F2515" s="103" t="str">
        <f aca="false">IF($C2515="","",$D2515*$E2515)</f>
        <v/>
      </c>
      <c r="G2515" s="103" t="str">
        <f aca="false">IF($C2515="","",$D2515*IFERROR(INDEX('تحليل التكلفة والسعر'!$C$2:$C$700,MATCH($C2515,'تحليل التكلفة والسعر'!$B$2:$B$700,0)),0))</f>
        <v/>
      </c>
    </row>
    <row r="2516" customFormat="false" ht="15" hidden="false" customHeight="false" outlineLevel="0" collapsed="false">
      <c r="A2516" s="102"/>
      <c r="E2516" s="103" t="str">
        <f aca="false">IF($C2516="","",IFERROR(INDEX(المنيو!$C$2:$C$500,MATCH($C2516,المنيو!$B$2:$B$500,0)),0))</f>
        <v/>
      </c>
      <c r="F2516" s="103" t="str">
        <f aca="false">IF($C2516="","",$D2516*$E2516)</f>
        <v/>
      </c>
      <c r="G2516" s="103" t="str">
        <f aca="false">IF($C2516="","",$D2516*IFERROR(INDEX('تحليل التكلفة والسعر'!$C$2:$C$700,MATCH($C2516,'تحليل التكلفة والسعر'!$B$2:$B$700,0)),0))</f>
        <v/>
      </c>
    </row>
    <row r="2517" customFormat="false" ht="15" hidden="false" customHeight="false" outlineLevel="0" collapsed="false">
      <c r="A2517" s="102"/>
      <c r="E2517" s="103" t="str">
        <f aca="false">IF($C2517="","",IFERROR(INDEX(المنيو!$C$2:$C$500,MATCH($C2517,المنيو!$B$2:$B$500,0)),0))</f>
        <v/>
      </c>
      <c r="F2517" s="103" t="str">
        <f aca="false">IF($C2517="","",$D2517*$E2517)</f>
        <v/>
      </c>
      <c r="G2517" s="103" t="str">
        <f aca="false">IF($C2517="","",$D2517*IFERROR(INDEX('تحليل التكلفة والسعر'!$C$2:$C$700,MATCH($C2517,'تحليل التكلفة والسعر'!$B$2:$B$700,0)),0))</f>
        <v/>
      </c>
    </row>
    <row r="2518" customFormat="false" ht="15" hidden="false" customHeight="false" outlineLevel="0" collapsed="false">
      <c r="A2518" s="102"/>
      <c r="E2518" s="103" t="str">
        <f aca="false">IF($C2518="","",IFERROR(INDEX(المنيو!$C$2:$C$500,MATCH($C2518,المنيو!$B$2:$B$500,0)),0))</f>
        <v/>
      </c>
      <c r="F2518" s="103" t="str">
        <f aca="false">IF($C2518="","",$D2518*$E2518)</f>
        <v/>
      </c>
      <c r="G2518" s="103" t="str">
        <f aca="false">IF($C2518="","",$D2518*IFERROR(INDEX('تحليل التكلفة والسعر'!$C$2:$C$700,MATCH($C2518,'تحليل التكلفة والسعر'!$B$2:$B$700,0)),0))</f>
        <v/>
      </c>
    </row>
    <row r="2519" customFormat="false" ht="15" hidden="false" customHeight="false" outlineLevel="0" collapsed="false">
      <c r="A2519" s="102"/>
      <c r="E2519" s="103" t="str">
        <f aca="false">IF($C2519="","",IFERROR(INDEX(المنيو!$C$2:$C$500,MATCH($C2519,المنيو!$B$2:$B$500,0)),0))</f>
        <v/>
      </c>
      <c r="F2519" s="103" t="str">
        <f aca="false">IF($C2519="","",$D2519*$E2519)</f>
        <v/>
      </c>
      <c r="G2519" s="103" t="str">
        <f aca="false">IF($C2519="","",$D2519*IFERROR(INDEX('تحليل التكلفة والسعر'!$C$2:$C$700,MATCH($C2519,'تحليل التكلفة والسعر'!$B$2:$B$700,0)),0))</f>
        <v/>
      </c>
    </row>
    <row r="2520" customFormat="false" ht="15" hidden="false" customHeight="false" outlineLevel="0" collapsed="false">
      <c r="A2520" s="102"/>
      <c r="E2520" s="103" t="str">
        <f aca="false">IF($C2520="","",IFERROR(INDEX(المنيو!$C$2:$C$500,MATCH($C2520,المنيو!$B$2:$B$500,0)),0))</f>
        <v/>
      </c>
      <c r="F2520" s="103" t="str">
        <f aca="false">IF($C2520="","",$D2520*$E2520)</f>
        <v/>
      </c>
      <c r="G2520" s="103" t="str">
        <f aca="false">IF($C2520="","",$D2520*IFERROR(INDEX('تحليل التكلفة والسعر'!$C$2:$C$700,MATCH($C2520,'تحليل التكلفة والسعر'!$B$2:$B$700,0)),0))</f>
        <v/>
      </c>
    </row>
    <row r="2521" customFormat="false" ht="15" hidden="false" customHeight="false" outlineLevel="0" collapsed="false">
      <c r="A2521" s="102"/>
      <c r="E2521" s="103" t="str">
        <f aca="false">IF($C2521="","",IFERROR(INDEX(المنيو!$C$2:$C$500,MATCH($C2521,المنيو!$B$2:$B$500,0)),0))</f>
        <v/>
      </c>
      <c r="F2521" s="103" t="str">
        <f aca="false">IF($C2521="","",$D2521*$E2521)</f>
        <v/>
      </c>
      <c r="G2521" s="103" t="str">
        <f aca="false">IF($C2521="","",$D2521*IFERROR(INDEX('تحليل التكلفة والسعر'!$C$2:$C$700,MATCH($C2521,'تحليل التكلفة والسعر'!$B$2:$B$700,0)),0))</f>
        <v/>
      </c>
    </row>
    <row r="2522" customFormat="false" ht="15" hidden="false" customHeight="false" outlineLevel="0" collapsed="false">
      <c r="A2522" s="102"/>
      <c r="E2522" s="103" t="str">
        <f aca="false">IF($C2522="","",IFERROR(INDEX(المنيو!$C$2:$C$500,MATCH($C2522,المنيو!$B$2:$B$500,0)),0))</f>
        <v/>
      </c>
      <c r="F2522" s="103" t="str">
        <f aca="false">IF($C2522="","",$D2522*$E2522)</f>
        <v/>
      </c>
      <c r="G2522" s="103" t="str">
        <f aca="false">IF($C2522="","",$D2522*IFERROR(INDEX('تحليل التكلفة والسعر'!$C$2:$C$700,MATCH($C2522,'تحليل التكلفة والسعر'!$B$2:$B$700,0)),0))</f>
        <v/>
      </c>
    </row>
    <row r="2523" customFormat="false" ht="15" hidden="false" customHeight="false" outlineLevel="0" collapsed="false">
      <c r="A2523" s="102"/>
      <c r="E2523" s="103" t="str">
        <f aca="false">IF($C2523="","",IFERROR(INDEX(المنيو!$C$2:$C$500,MATCH($C2523,المنيو!$B$2:$B$500,0)),0))</f>
        <v/>
      </c>
      <c r="F2523" s="103" t="str">
        <f aca="false">IF($C2523="","",$D2523*$E2523)</f>
        <v/>
      </c>
      <c r="G2523" s="103" t="str">
        <f aca="false">IF($C2523="","",$D2523*IFERROR(INDEX('تحليل التكلفة والسعر'!$C$2:$C$700,MATCH($C2523,'تحليل التكلفة والسعر'!$B$2:$B$700,0)),0))</f>
        <v/>
      </c>
    </row>
    <row r="2524" customFormat="false" ht="15" hidden="false" customHeight="false" outlineLevel="0" collapsed="false">
      <c r="A2524" s="102"/>
      <c r="E2524" s="103" t="str">
        <f aca="false">IF($C2524="","",IFERROR(INDEX(المنيو!$C$2:$C$500,MATCH($C2524,المنيو!$B$2:$B$500,0)),0))</f>
        <v/>
      </c>
      <c r="F2524" s="103" t="str">
        <f aca="false">IF($C2524="","",$D2524*$E2524)</f>
        <v/>
      </c>
      <c r="G2524" s="103" t="str">
        <f aca="false">IF($C2524="","",$D2524*IFERROR(INDEX('تحليل التكلفة والسعر'!$C$2:$C$700,MATCH($C2524,'تحليل التكلفة والسعر'!$B$2:$B$700,0)),0))</f>
        <v/>
      </c>
    </row>
    <row r="2525" customFormat="false" ht="15" hidden="false" customHeight="false" outlineLevel="0" collapsed="false">
      <c r="A2525" s="102"/>
      <c r="E2525" s="103" t="str">
        <f aca="false">IF($C2525="","",IFERROR(INDEX(المنيو!$C$2:$C$500,MATCH($C2525,المنيو!$B$2:$B$500,0)),0))</f>
        <v/>
      </c>
      <c r="F2525" s="103" t="str">
        <f aca="false">IF($C2525="","",$D2525*$E2525)</f>
        <v/>
      </c>
      <c r="G2525" s="103" t="str">
        <f aca="false">IF($C2525="","",$D2525*IFERROR(INDEX('تحليل التكلفة والسعر'!$C$2:$C$700,MATCH($C2525,'تحليل التكلفة والسعر'!$B$2:$B$700,0)),0))</f>
        <v/>
      </c>
    </row>
    <row r="2526" customFormat="false" ht="15" hidden="false" customHeight="false" outlineLevel="0" collapsed="false">
      <c r="A2526" s="102"/>
      <c r="E2526" s="103" t="str">
        <f aca="false">IF($C2526="","",IFERROR(INDEX(المنيو!$C$2:$C$500,MATCH($C2526,المنيو!$B$2:$B$500,0)),0))</f>
        <v/>
      </c>
      <c r="F2526" s="103" t="str">
        <f aca="false">IF($C2526="","",$D2526*$E2526)</f>
        <v/>
      </c>
      <c r="G2526" s="103" t="str">
        <f aca="false">IF($C2526="","",$D2526*IFERROR(INDEX('تحليل التكلفة والسعر'!$C$2:$C$700,MATCH($C2526,'تحليل التكلفة والسعر'!$B$2:$B$700,0)),0))</f>
        <v/>
      </c>
    </row>
    <row r="2527" customFormat="false" ht="15" hidden="false" customHeight="false" outlineLevel="0" collapsed="false">
      <c r="A2527" s="102"/>
      <c r="E2527" s="103" t="str">
        <f aca="false">IF($C2527="","",IFERROR(INDEX(المنيو!$C$2:$C$500,MATCH($C2527,المنيو!$B$2:$B$500,0)),0))</f>
        <v/>
      </c>
      <c r="F2527" s="103" t="str">
        <f aca="false">IF($C2527="","",$D2527*$E2527)</f>
        <v/>
      </c>
      <c r="G2527" s="103" t="str">
        <f aca="false">IF($C2527="","",$D2527*IFERROR(INDEX('تحليل التكلفة والسعر'!$C$2:$C$700,MATCH($C2527,'تحليل التكلفة والسعر'!$B$2:$B$700,0)),0))</f>
        <v/>
      </c>
    </row>
    <row r="2528" customFormat="false" ht="15" hidden="false" customHeight="false" outlineLevel="0" collapsed="false">
      <c r="A2528" s="102"/>
      <c r="E2528" s="103" t="str">
        <f aca="false">IF($C2528="","",IFERROR(INDEX(المنيو!$C$2:$C$500,MATCH($C2528,المنيو!$B$2:$B$500,0)),0))</f>
        <v/>
      </c>
      <c r="F2528" s="103" t="str">
        <f aca="false">IF($C2528="","",$D2528*$E2528)</f>
        <v/>
      </c>
      <c r="G2528" s="103" t="str">
        <f aca="false">IF($C2528="","",$D2528*IFERROR(INDEX('تحليل التكلفة والسعر'!$C$2:$C$700,MATCH($C2528,'تحليل التكلفة والسعر'!$B$2:$B$700,0)),0))</f>
        <v/>
      </c>
    </row>
    <row r="2529" customFormat="false" ht="15" hidden="false" customHeight="false" outlineLevel="0" collapsed="false">
      <c r="A2529" s="102"/>
      <c r="E2529" s="103" t="str">
        <f aca="false">IF($C2529="","",IFERROR(INDEX(المنيو!$C$2:$C$500,MATCH($C2529,المنيو!$B$2:$B$500,0)),0))</f>
        <v/>
      </c>
      <c r="F2529" s="103" t="str">
        <f aca="false">IF($C2529="","",$D2529*$E2529)</f>
        <v/>
      </c>
      <c r="G2529" s="103" t="str">
        <f aca="false">IF($C2529="","",$D2529*IFERROR(INDEX('تحليل التكلفة والسعر'!$C$2:$C$700,MATCH($C2529,'تحليل التكلفة والسعر'!$B$2:$B$700,0)),0))</f>
        <v/>
      </c>
    </row>
    <row r="2530" customFormat="false" ht="15" hidden="false" customHeight="false" outlineLevel="0" collapsed="false">
      <c r="A2530" s="102"/>
      <c r="E2530" s="103" t="str">
        <f aca="false">IF($C2530="","",IFERROR(INDEX(المنيو!$C$2:$C$500,MATCH($C2530,المنيو!$B$2:$B$500,0)),0))</f>
        <v/>
      </c>
      <c r="F2530" s="103" t="str">
        <f aca="false">IF($C2530="","",$D2530*$E2530)</f>
        <v/>
      </c>
      <c r="G2530" s="103" t="str">
        <f aca="false">IF($C2530="","",$D2530*IFERROR(INDEX('تحليل التكلفة والسعر'!$C$2:$C$700,MATCH($C2530,'تحليل التكلفة والسعر'!$B$2:$B$700,0)),0))</f>
        <v/>
      </c>
    </row>
    <row r="2531" customFormat="false" ht="15" hidden="false" customHeight="false" outlineLevel="0" collapsed="false">
      <c r="A2531" s="102"/>
      <c r="E2531" s="103" t="str">
        <f aca="false">IF($C2531="","",IFERROR(INDEX(المنيو!$C$2:$C$500,MATCH($C2531,المنيو!$B$2:$B$500,0)),0))</f>
        <v/>
      </c>
      <c r="F2531" s="103" t="str">
        <f aca="false">IF($C2531="","",$D2531*$E2531)</f>
        <v/>
      </c>
      <c r="G2531" s="103" t="str">
        <f aca="false">IF($C2531="","",$D2531*IFERROR(INDEX('تحليل التكلفة والسعر'!$C$2:$C$700,MATCH($C2531,'تحليل التكلفة والسعر'!$B$2:$B$700,0)),0))</f>
        <v/>
      </c>
    </row>
    <row r="2532" customFormat="false" ht="15" hidden="false" customHeight="false" outlineLevel="0" collapsed="false">
      <c r="A2532" s="102"/>
      <c r="E2532" s="103" t="str">
        <f aca="false">IF($C2532="","",IFERROR(INDEX(المنيو!$C$2:$C$500,MATCH($C2532,المنيو!$B$2:$B$500,0)),0))</f>
        <v/>
      </c>
      <c r="F2532" s="103" t="str">
        <f aca="false">IF($C2532="","",$D2532*$E2532)</f>
        <v/>
      </c>
      <c r="G2532" s="103" t="str">
        <f aca="false">IF($C2532="","",$D2532*IFERROR(INDEX('تحليل التكلفة والسعر'!$C$2:$C$700,MATCH($C2532,'تحليل التكلفة والسعر'!$B$2:$B$700,0)),0))</f>
        <v/>
      </c>
    </row>
    <row r="2533" customFormat="false" ht="15" hidden="false" customHeight="false" outlineLevel="0" collapsed="false">
      <c r="A2533" s="102"/>
      <c r="E2533" s="103" t="str">
        <f aca="false">IF($C2533="","",IFERROR(INDEX(المنيو!$C$2:$C$500,MATCH($C2533,المنيو!$B$2:$B$500,0)),0))</f>
        <v/>
      </c>
      <c r="F2533" s="103" t="str">
        <f aca="false">IF($C2533="","",$D2533*$E2533)</f>
        <v/>
      </c>
      <c r="G2533" s="103" t="str">
        <f aca="false">IF($C2533="","",$D2533*IFERROR(INDEX('تحليل التكلفة والسعر'!$C$2:$C$700,MATCH($C2533,'تحليل التكلفة والسعر'!$B$2:$B$700,0)),0))</f>
        <v/>
      </c>
    </row>
    <row r="2534" customFormat="false" ht="15" hidden="false" customHeight="false" outlineLevel="0" collapsed="false">
      <c r="A2534" s="102"/>
      <c r="E2534" s="103" t="str">
        <f aca="false">IF($C2534="","",IFERROR(INDEX(المنيو!$C$2:$C$500,MATCH($C2534,المنيو!$B$2:$B$500,0)),0))</f>
        <v/>
      </c>
      <c r="F2534" s="103" t="str">
        <f aca="false">IF($C2534="","",$D2534*$E2534)</f>
        <v/>
      </c>
      <c r="G2534" s="103" t="str">
        <f aca="false">IF($C2534="","",$D2534*IFERROR(INDEX('تحليل التكلفة والسعر'!$C$2:$C$700,MATCH($C2534,'تحليل التكلفة والسعر'!$B$2:$B$700,0)),0))</f>
        <v/>
      </c>
    </row>
    <row r="2535" customFormat="false" ht="15" hidden="false" customHeight="false" outlineLevel="0" collapsed="false">
      <c r="A2535" s="102"/>
      <c r="E2535" s="103" t="str">
        <f aca="false">IF($C2535="","",IFERROR(INDEX(المنيو!$C$2:$C$500,MATCH($C2535,المنيو!$B$2:$B$500,0)),0))</f>
        <v/>
      </c>
      <c r="F2535" s="103" t="str">
        <f aca="false">IF($C2535="","",$D2535*$E2535)</f>
        <v/>
      </c>
      <c r="G2535" s="103" t="str">
        <f aca="false">IF($C2535="","",$D2535*IFERROR(INDEX('تحليل التكلفة والسعر'!$C$2:$C$700,MATCH($C2535,'تحليل التكلفة والسعر'!$B$2:$B$700,0)),0))</f>
        <v/>
      </c>
    </row>
    <row r="2536" customFormat="false" ht="15" hidden="false" customHeight="false" outlineLevel="0" collapsed="false">
      <c r="A2536" s="102"/>
      <c r="E2536" s="103" t="str">
        <f aca="false">IF($C2536="","",IFERROR(INDEX(المنيو!$C$2:$C$500,MATCH($C2536,المنيو!$B$2:$B$500,0)),0))</f>
        <v/>
      </c>
      <c r="F2536" s="103" t="str">
        <f aca="false">IF($C2536="","",$D2536*$E2536)</f>
        <v/>
      </c>
      <c r="G2536" s="103" t="str">
        <f aca="false">IF($C2536="","",$D2536*IFERROR(INDEX('تحليل التكلفة والسعر'!$C$2:$C$700,MATCH($C2536,'تحليل التكلفة والسعر'!$B$2:$B$700,0)),0))</f>
        <v/>
      </c>
    </row>
    <row r="2537" customFormat="false" ht="15" hidden="false" customHeight="false" outlineLevel="0" collapsed="false">
      <c r="A2537" s="102"/>
      <c r="E2537" s="103" t="str">
        <f aca="false">IF($C2537="","",IFERROR(INDEX(المنيو!$C$2:$C$500,MATCH($C2537,المنيو!$B$2:$B$500,0)),0))</f>
        <v/>
      </c>
      <c r="F2537" s="103" t="str">
        <f aca="false">IF($C2537="","",$D2537*$E2537)</f>
        <v/>
      </c>
      <c r="G2537" s="103" t="str">
        <f aca="false">IF($C2537="","",$D2537*IFERROR(INDEX('تحليل التكلفة والسعر'!$C$2:$C$700,MATCH($C2537,'تحليل التكلفة والسعر'!$B$2:$B$700,0)),0))</f>
        <v/>
      </c>
    </row>
    <row r="2538" customFormat="false" ht="15" hidden="false" customHeight="false" outlineLevel="0" collapsed="false">
      <c r="A2538" s="102"/>
      <c r="E2538" s="103" t="str">
        <f aca="false">IF($C2538="","",IFERROR(INDEX(المنيو!$C$2:$C$500,MATCH($C2538,المنيو!$B$2:$B$500,0)),0))</f>
        <v/>
      </c>
      <c r="F2538" s="103" t="str">
        <f aca="false">IF($C2538="","",$D2538*$E2538)</f>
        <v/>
      </c>
      <c r="G2538" s="103" t="str">
        <f aca="false">IF($C2538="","",$D2538*IFERROR(INDEX('تحليل التكلفة والسعر'!$C$2:$C$700,MATCH($C2538,'تحليل التكلفة والسعر'!$B$2:$B$700,0)),0))</f>
        <v/>
      </c>
    </row>
    <row r="2539" customFormat="false" ht="15" hidden="false" customHeight="false" outlineLevel="0" collapsed="false">
      <c r="A2539" s="102"/>
      <c r="E2539" s="103" t="str">
        <f aca="false">IF($C2539="","",IFERROR(INDEX(المنيو!$C$2:$C$500,MATCH($C2539,المنيو!$B$2:$B$500,0)),0))</f>
        <v/>
      </c>
      <c r="F2539" s="103" t="str">
        <f aca="false">IF($C2539="","",$D2539*$E2539)</f>
        <v/>
      </c>
      <c r="G2539" s="103" t="str">
        <f aca="false">IF($C2539="","",$D2539*IFERROR(INDEX('تحليل التكلفة والسعر'!$C$2:$C$700,MATCH($C2539,'تحليل التكلفة والسعر'!$B$2:$B$700,0)),0))</f>
        <v/>
      </c>
    </row>
    <row r="2540" customFormat="false" ht="15" hidden="false" customHeight="false" outlineLevel="0" collapsed="false">
      <c r="A2540" s="102"/>
      <c r="E2540" s="103" t="str">
        <f aca="false">IF($C2540="","",IFERROR(INDEX(المنيو!$C$2:$C$500,MATCH($C2540,المنيو!$B$2:$B$500,0)),0))</f>
        <v/>
      </c>
      <c r="F2540" s="103" t="str">
        <f aca="false">IF($C2540="","",$D2540*$E2540)</f>
        <v/>
      </c>
      <c r="G2540" s="103" t="str">
        <f aca="false">IF($C2540="","",$D2540*IFERROR(INDEX('تحليل التكلفة والسعر'!$C$2:$C$700,MATCH($C2540,'تحليل التكلفة والسعر'!$B$2:$B$700,0)),0))</f>
        <v/>
      </c>
    </row>
    <row r="2541" customFormat="false" ht="15" hidden="false" customHeight="false" outlineLevel="0" collapsed="false">
      <c r="A2541" s="102"/>
      <c r="E2541" s="103" t="str">
        <f aca="false">IF($C2541="","",IFERROR(INDEX(المنيو!$C$2:$C$500,MATCH($C2541,المنيو!$B$2:$B$500,0)),0))</f>
        <v/>
      </c>
      <c r="F2541" s="103" t="str">
        <f aca="false">IF($C2541="","",$D2541*$E2541)</f>
        <v/>
      </c>
      <c r="G2541" s="103" t="str">
        <f aca="false">IF($C2541="","",$D2541*IFERROR(INDEX('تحليل التكلفة والسعر'!$C$2:$C$700,MATCH($C2541,'تحليل التكلفة والسعر'!$B$2:$B$700,0)),0))</f>
        <v/>
      </c>
    </row>
    <row r="2542" customFormat="false" ht="15" hidden="false" customHeight="false" outlineLevel="0" collapsed="false">
      <c r="A2542" s="102"/>
      <c r="E2542" s="103" t="str">
        <f aca="false">IF($C2542="","",IFERROR(INDEX(المنيو!$C$2:$C$500,MATCH($C2542,المنيو!$B$2:$B$500,0)),0))</f>
        <v/>
      </c>
      <c r="F2542" s="103" t="str">
        <f aca="false">IF($C2542="","",$D2542*$E2542)</f>
        <v/>
      </c>
      <c r="G2542" s="103" t="str">
        <f aca="false">IF($C2542="","",$D2542*IFERROR(INDEX('تحليل التكلفة والسعر'!$C$2:$C$700,MATCH($C2542,'تحليل التكلفة والسعر'!$B$2:$B$700,0)),0))</f>
        <v/>
      </c>
    </row>
    <row r="2543" customFormat="false" ht="15" hidden="false" customHeight="false" outlineLevel="0" collapsed="false">
      <c r="A2543" s="102"/>
      <c r="E2543" s="103" t="str">
        <f aca="false">IF($C2543="","",IFERROR(INDEX(المنيو!$C$2:$C$500,MATCH($C2543,المنيو!$B$2:$B$500,0)),0))</f>
        <v/>
      </c>
      <c r="F2543" s="103" t="str">
        <f aca="false">IF($C2543="","",$D2543*$E2543)</f>
        <v/>
      </c>
      <c r="G2543" s="103" t="str">
        <f aca="false">IF($C2543="","",$D2543*IFERROR(INDEX('تحليل التكلفة والسعر'!$C$2:$C$700,MATCH($C2543,'تحليل التكلفة والسعر'!$B$2:$B$700,0)),0))</f>
        <v/>
      </c>
    </row>
    <row r="2544" customFormat="false" ht="15" hidden="false" customHeight="false" outlineLevel="0" collapsed="false">
      <c r="A2544" s="102"/>
      <c r="E2544" s="103" t="str">
        <f aca="false">IF($C2544="","",IFERROR(INDEX(المنيو!$C$2:$C$500,MATCH($C2544,المنيو!$B$2:$B$500,0)),0))</f>
        <v/>
      </c>
      <c r="F2544" s="103" t="str">
        <f aca="false">IF($C2544="","",$D2544*$E2544)</f>
        <v/>
      </c>
      <c r="G2544" s="103" t="str">
        <f aca="false">IF($C2544="","",$D2544*IFERROR(INDEX('تحليل التكلفة والسعر'!$C$2:$C$700,MATCH($C2544,'تحليل التكلفة والسعر'!$B$2:$B$700,0)),0))</f>
        <v/>
      </c>
    </row>
    <row r="2545" customFormat="false" ht="15" hidden="false" customHeight="false" outlineLevel="0" collapsed="false">
      <c r="A2545" s="102"/>
      <c r="E2545" s="103" t="str">
        <f aca="false">IF($C2545="","",IFERROR(INDEX(المنيو!$C$2:$C$500,MATCH($C2545,المنيو!$B$2:$B$500,0)),0))</f>
        <v/>
      </c>
      <c r="F2545" s="103" t="str">
        <f aca="false">IF($C2545="","",$D2545*$E2545)</f>
        <v/>
      </c>
      <c r="G2545" s="103" t="str">
        <f aca="false">IF($C2545="","",$D2545*IFERROR(INDEX('تحليل التكلفة والسعر'!$C$2:$C$700,MATCH($C2545,'تحليل التكلفة والسعر'!$B$2:$B$700,0)),0))</f>
        <v/>
      </c>
    </row>
    <row r="2546" customFormat="false" ht="15" hidden="false" customHeight="false" outlineLevel="0" collapsed="false">
      <c r="A2546" s="102"/>
      <c r="E2546" s="103" t="str">
        <f aca="false">IF($C2546="","",IFERROR(INDEX(المنيو!$C$2:$C$500,MATCH($C2546,المنيو!$B$2:$B$500,0)),0))</f>
        <v/>
      </c>
      <c r="F2546" s="103" t="str">
        <f aca="false">IF($C2546="","",$D2546*$E2546)</f>
        <v/>
      </c>
      <c r="G2546" s="103" t="str">
        <f aca="false">IF($C2546="","",$D2546*IFERROR(INDEX('تحليل التكلفة والسعر'!$C$2:$C$700,MATCH($C2546,'تحليل التكلفة والسعر'!$B$2:$B$700,0)),0))</f>
        <v/>
      </c>
    </row>
    <row r="2547" customFormat="false" ht="15" hidden="false" customHeight="false" outlineLevel="0" collapsed="false">
      <c r="A2547" s="102"/>
      <c r="E2547" s="103" t="str">
        <f aca="false">IF($C2547="","",IFERROR(INDEX(المنيو!$C$2:$C$500,MATCH($C2547,المنيو!$B$2:$B$500,0)),0))</f>
        <v/>
      </c>
      <c r="F2547" s="103" t="str">
        <f aca="false">IF($C2547="","",$D2547*$E2547)</f>
        <v/>
      </c>
      <c r="G2547" s="103" t="str">
        <f aca="false">IF($C2547="","",$D2547*IFERROR(INDEX('تحليل التكلفة والسعر'!$C$2:$C$700,MATCH($C2547,'تحليل التكلفة والسعر'!$B$2:$B$700,0)),0))</f>
        <v/>
      </c>
    </row>
    <row r="2548" customFormat="false" ht="15" hidden="false" customHeight="false" outlineLevel="0" collapsed="false">
      <c r="A2548" s="102"/>
      <c r="E2548" s="103" t="str">
        <f aca="false">IF($C2548="","",IFERROR(INDEX(المنيو!$C$2:$C$500,MATCH($C2548,المنيو!$B$2:$B$500,0)),0))</f>
        <v/>
      </c>
      <c r="F2548" s="103" t="str">
        <f aca="false">IF($C2548="","",$D2548*$E2548)</f>
        <v/>
      </c>
      <c r="G2548" s="103" t="str">
        <f aca="false">IF($C2548="","",$D2548*IFERROR(INDEX('تحليل التكلفة والسعر'!$C$2:$C$700,MATCH($C2548,'تحليل التكلفة والسعر'!$B$2:$B$700,0)),0))</f>
        <v/>
      </c>
    </row>
    <row r="2549" customFormat="false" ht="15" hidden="false" customHeight="false" outlineLevel="0" collapsed="false">
      <c r="A2549" s="102"/>
      <c r="E2549" s="103" t="str">
        <f aca="false">IF($C2549="","",IFERROR(INDEX(المنيو!$C$2:$C$500,MATCH($C2549,المنيو!$B$2:$B$500,0)),0))</f>
        <v/>
      </c>
      <c r="F2549" s="103" t="str">
        <f aca="false">IF($C2549="","",$D2549*$E2549)</f>
        <v/>
      </c>
      <c r="G2549" s="103" t="str">
        <f aca="false">IF($C2549="","",$D2549*IFERROR(INDEX('تحليل التكلفة والسعر'!$C$2:$C$700,MATCH($C2549,'تحليل التكلفة والسعر'!$B$2:$B$700,0)),0))</f>
        <v/>
      </c>
    </row>
    <row r="2550" customFormat="false" ht="15" hidden="false" customHeight="false" outlineLevel="0" collapsed="false">
      <c r="A2550" s="102"/>
      <c r="E2550" s="103" t="str">
        <f aca="false">IF($C2550="","",IFERROR(INDEX(المنيو!$C$2:$C$500,MATCH($C2550,المنيو!$B$2:$B$500,0)),0))</f>
        <v/>
      </c>
      <c r="F2550" s="103" t="str">
        <f aca="false">IF($C2550="","",$D2550*$E2550)</f>
        <v/>
      </c>
      <c r="G2550" s="103" t="str">
        <f aca="false">IF($C2550="","",$D2550*IFERROR(INDEX('تحليل التكلفة والسعر'!$C$2:$C$700,MATCH($C2550,'تحليل التكلفة والسعر'!$B$2:$B$700,0)),0))</f>
        <v/>
      </c>
    </row>
    <row r="2551" customFormat="false" ht="15" hidden="false" customHeight="false" outlineLevel="0" collapsed="false">
      <c r="A2551" s="102"/>
      <c r="E2551" s="103" t="str">
        <f aca="false">IF($C2551="","",IFERROR(INDEX(المنيو!$C$2:$C$500,MATCH($C2551,المنيو!$B$2:$B$500,0)),0))</f>
        <v/>
      </c>
      <c r="F2551" s="103" t="str">
        <f aca="false">IF($C2551="","",$D2551*$E2551)</f>
        <v/>
      </c>
      <c r="G2551" s="103" t="str">
        <f aca="false">IF($C2551="","",$D2551*IFERROR(INDEX('تحليل التكلفة والسعر'!$C$2:$C$700,MATCH($C2551,'تحليل التكلفة والسعر'!$B$2:$B$700,0)),0))</f>
        <v/>
      </c>
    </row>
    <row r="2552" customFormat="false" ht="15" hidden="false" customHeight="false" outlineLevel="0" collapsed="false">
      <c r="A2552" s="102"/>
      <c r="E2552" s="103" t="str">
        <f aca="false">IF($C2552="","",IFERROR(INDEX(المنيو!$C$2:$C$500,MATCH($C2552,المنيو!$B$2:$B$500,0)),0))</f>
        <v/>
      </c>
      <c r="F2552" s="103" t="str">
        <f aca="false">IF($C2552="","",$D2552*$E2552)</f>
        <v/>
      </c>
      <c r="G2552" s="103" t="str">
        <f aca="false">IF($C2552="","",$D2552*IFERROR(INDEX('تحليل التكلفة والسعر'!$C$2:$C$700,MATCH($C2552,'تحليل التكلفة والسعر'!$B$2:$B$700,0)),0))</f>
        <v/>
      </c>
    </row>
    <row r="2553" customFormat="false" ht="15" hidden="false" customHeight="false" outlineLevel="0" collapsed="false">
      <c r="A2553" s="102"/>
      <c r="E2553" s="103" t="str">
        <f aca="false">IF($C2553="","",IFERROR(INDEX(المنيو!$C$2:$C$500,MATCH($C2553,المنيو!$B$2:$B$500,0)),0))</f>
        <v/>
      </c>
      <c r="F2553" s="103" t="str">
        <f aca="false">IF($C2553="","",$D2553*$E2553)</f>
        <v/>
      </c>
      <c r="G2553" s="103" t="str">
        <f aca="false">IF($C2553="","",$D2553*IFERROR(INDEX('تحليل التكلفة والسعر'!$C$2:$C$700,MATCH($C2553,'تحليل التكلفة والسعر'!$B$2:$B$700,0)),0))</f>
        <v/>
      </c>
    </row>
    <row r="2554" customFormat="false" ht="15" hidden="false" customHeight="false" outlineLevel="0" collapsed="false">
      <c r="A2554" s="102"/>
      <c r="E2554" s="103" t="str">
        <f aca="false">IF($C2554="","",IFERROR(INDEX(المنيو!$C$2:$C$500,MATCH($C2554,المنيو!$B$2:$B$500,0)),0))</f>
        <v/>
      </c>
      <c r="F2554" s="103" t="str">
        <f aca="false">IF($C2554="","",$D2554*$E2554)</f>
        <v/>
      </c>
      <c r="G2554" s="103" t="str">
        <f aca="false">IF($C2554="","",$D2554*IFERROR(INDEX('تحليل التكلفة والسعر'!$C$2:$C$700,MATCH($C2554,'تحليل التكلفة والسعر'!$B$2:$B$700,0)),0))</f>
        <v/>
      </c>
    </row>
    <row r="2555" customFormat="false" ht="15" hidden="false" customHeight="false" outlineLevel="0" collapsed="false">
      <c r="A2555" s="102"/>
      <c r="E2555" s="103" t="str">
        <f aca="false">IF($C2555="","",IFERROR(INDEX(المنيو!$C$2:$C$500,MATCH($C2555,المنيو!$B$2:$B$500,0)),0))</f>
        <v/>
      </c>
      <c r="F2555" s="103" t="str">
        <f aca="false">IF($C2555="","",$D2555*$E2555)</f>
        <v/>
      </c>
      <c r="G2555" s="103" t="str">
        <f aca="false">IF($C2555="","",$D2555*IFERROR(INDEX('تحليل التكلفة والسعر'!$C$2:$C$700,MATCH($C2555,'تحليل التكلفة والسعر'!$B$2:$B$700,0)),0))</f>
        <v/>
      </c>
    </row>
    <row r="2556" customFormat="false" ht="15" hidden="false" customHeight="false" outlineLevel="0" collapsed="false">
      <c r="A2556" s="102"/>
      <c r="E2556" s="103" t="str">
        <f aca="false">IF($C2556="","",IFERROR(INDEX(المنيو!$C$2:$C$500,MATCH($C2556,المنيو!$B$2:$B$500,0)),0))</f>
        <v/>
      </c>
      <c r="F2556" s="103" t="str">
        <f aca="false">IF($C2556="","",$D2556*$E2556)</f>
        <v/>
      </c>
      <c r="G2556" s="103" t="str">
        <f aca="false">IF($C2556="","",$D2556*IFERROR(INDEX('تحليل التكلفة والسعر'!$C$2:$C$700,MATCH($C2556,'تحليل التكلفة والسعر'!$B$2:$B$700,0)),0))</f>
        <v/>
      </c>
    </row>
    <row r="2557" customFormat="false" ht="15" hidden="false" customHeight="false" outlineLevel="0" collapsed="false">
      <c r="A2557" s="102"/>
      <c r="E2557" s="103" t="str">
        <f aca="false">IF($C2557="","",IFERROR(INDEX(المنيو!$C$2:$C$500,MATCH($C2557,المنيو!$B$2:$B$500,0)),0))</f>
        <v/>
      </c>
      <c r="F2557" s="103" t="str">
        <f aca="false">IF($C2557="","",$D2557*$E2557)</f>
        <v/>
      </c>
      <c r="G2557" s="103" t="str">
        <f aca="false">IF($C2557="","",$D2557*IFERROR(INDEX('تحليل التكلفة والسعر'!$C$2:$C$700,MATCH($C2557,'تحليل التكلفة والسعر'!$B$2:$B$700,0)),0))</f>
        <v/>
      </c>
    </row>
    <row r="2558" customFormat="false" ht="15" hidden="false" customHeight="false" outlineLevel="0" collapsed="false">
      <c r="A2558" s="102"/>
      <c r="E2558" s="103" t="str">
        <f aca="false">IF($C2558="","",IFERROR(INDEX(المنيو!$C$2:$C$500,MATCH($C2558,المنيو!$B$2:$B$500,0)),0))</f>
        <v/>
      </c>
      <c r="F2558" s="103" t="str">
        <f aca="false">IF($C2558="","",$D2558*$E2558)</f>
        <v/>
      </c>
      <c r="G2558" s="103" t="str">
        <f aca="false">IF($C2558="","",$D2558*IFERROR(INDEX('تحليل التكلفة والسعر'!$C$2:$C$700,MATCH($C2558,'تحليل التكلفة والسعر'!$B$2:$B$700,0)),0))</f>
        <v/>
      </c>
    </row>
    <row r="2559" customFormat="false" ht="15" hidden="false" customHeight="false" outlineLevel="0" collapsed="false">
      <c r="A2559" s="102"/>
      <c r="E2559" s="103" t="str">
        <f aca="false">IF($C2559="","",IFERROR(INDEX(المنيو!$C$2:$C$500,MATCH($C2559,المنيو!$B$2:$B$500,0)),0))</f>
        <v/>
      </c>
      <c r="F2559" s="103" t="str">
        <f aca="false">IF($C2559="","",$D2559*$E2559)</f>
        <v/>
      </c>
      <c r="G2559" s="103" t="str">
        <f aca="false">IF($C2559="","",$D2559*IFERROR(INDEX('تحليل التكلفة والسعر'!$C$2:$C$700,MATCH($C2559,'تحليل التكلفة والسعر'!$B$2:$B$700,0)),0))</f>
        <v/>
      </c>
    </row>
    <row r="2560" customFormat="false" ht="15" hidden="false" customHeight="false" outlineLevel="0" collapsed="false">
      <c r="A2560" s="102"/>
      <c r="E2560" s="103" t="str">
        <f aca="false">IF($C2560="","",IFERROR(INDEX(المنيو!$C$2:$C$500,MATCH($C2560,المنيو!$B$2:$B$500,0)),0))</f>
        <v/>
      </c>
      <c r="F2560" s="103" t="str">
        <f aca="false">IF($C2560="","",$D2560*$E2560)</f>
        <v/>
      </c>
      <c r="G2560" s="103" t="str">
        <f aca="false">IF($C2560="","",$D2560*IFERROR(INDEX('تحليل التكلفة والسعر'!$C$2:$C$700,MATCH($C2560,'تحليل التكلفة والسعر'!$B$2:$B$700,0)),0))</f>
        <v/>
      </c>
    </row>
    <row r="2561" customFormat="false" ht="15" hidden="false" customHeight="false" outlineLevel="0" collapsed="false">
      <c r="A2561" s="102"/>
      <c r="E2561" s="103" t="str">
        <f aca="false">IF($C2561="","",IFERROR(INDEX(المنيو!$C$2:$C$500,MATCH($C2561,المنيو!$B$2:$B$500,0)),0))</f>
        <v/>
      </c>
      <c r="F2561" s="103" t="str">
        <f aca="false">IF($C2561="","",$D2561*$E2561)</f>
        <v/>
      </c>
      <c r="G2561" s="103" t="str">
        <f aca="false">IF($C2561="","",$D2561*IFERROR(INDEX('تحليل التكلفة والسعر'!$C$2:$C$700,MATCH($C2561,'تحليل التكلفة والسعر'!$B$2:$B$700,0)),0))</f>
        <v/>
      </c>
    </row>
    <row r="2562" customFormat="false" ht="15" hidden="false" customHeight="false" outlineLevel="0" collapsed="false">
      <c r="A2562" s="102"/>
      <c r="E2562" s="103" t="str">
        <f aca="false">IF($C2562="","",IFERROR(INDEX(المنيو!$C$2:$C$500,MATCH($C2562,المنيو!$B$2:$B$500,0)),0))</f>
        <v/>
      </c>
      <c r="F2562" s="103" t="str">
        <f aca="false">IF($C2562="","",$D2562*$E2562)</f>
        <v/>
      </c>
      <c r="G2562" s="103" t="str">
        <f aca="false">IF($C2562="","",$D2562*IFERROR(INDEX('تحليل التكلفة والسعر'!$C$2:$C$700,MATCH($C2562,'تحليل التكلفة والسعر'!$B$2:$B$700,0)),0))</f>
        <v/>
      </c>
    </row>
    <row r="2563" customFormat="false" ht="15" hidden="false" customHeight="false" outlineLevel="0" collapsed="false">
      <c r="A2563" s="102"/>
      <c r="E2563" s="103" t="str">
        <f aca="false">IF($C2563="","",IFERROR(INDEX(المنيو!$C$2:$C$500,MATCH($C2563,المنيو!$B$2:$B$500,0)),0))</f>
        <v/>
      </c>
      <c r="F2563" s="103" t="str">
        <f aca="false">IF($C2563="","",$D2563*$E2563)</f>
        <v/>
      </c>
      <c r="G2563" s="103" t="str">
        <f aca="false">IF($C2563="","",$D2563*IFERROR(INDEX('تحليل التكلفة والسعر'!$C$2:$C$700,MATCH($C2563,'تحليل التكلفة والسعر'!$B$2:$B$700,0)),0))</f>
        <v/>
      </c>
    </row>
    <row r="2564" customFormat="false" ht="15" hidden="false" customHeight="false" outlineLevel="0" collapsed="false">
      <c r="A2564" s="102"/>
      <c r="E2564" s="103" t="str">
        <f aca="false">IF($C2564="","",IFERROR(INDEX(المنيو!$C$2:$C$500,MATCH($C2564,المنيو!$B$2:$B$500,0)),0))</f>
        <v/>
      </c>
      <c r="F2564" s="103" t="str">
        <f aca="false">IF($C2564="","",$D2564*$E2564)</f>
        <v/>
      </c>
      <c r="G2564" s="103" t="str">
        <f aca="false">IF($C2564="","",$D2564*IFERROR(INDEX('تحليل التكلفة والسعر'!$C$2:$C$700,MATCH($C2564,'تحليل التكلفة والسعر'!$B$2:$B$700,0)),0))</f>
        <v/>
      </c>
    </row>
    <row r="2565" customFormat="false" ht="15" hidden="false" customHeight="false" outlineLevel="0" collapsed="false">
      <c r="A2565" s="102"/>
      <c r="E2565" s="103" t="str">
        <f aca="false">IF($C2565="","",IFERROR(INDEX(المنيو!$C$2:$C$500,MATCH($C2565,المنيو!$B$2:$B$500,0)),0))</f>
        <v/>
      </c>
      <c r="F2565" s="103" t="str">
        <f aca="false">IF($C2565="","",$D2565*$E2565)</f>
        <v/>
      </c>
      <c r="G2565" s="103" t="str">
        <f aca="false">IF($C2565="","",$D2565*IFERROR(INDEX('تحليل التكلفة والسعر'!$C$2:$C$700,MATCH($C2565,'تحليل التكلفة والسعر'!$B$2:$B$700,0)),0))</f>
        <v/>
      </c>
    </row>
    <row r="2566" customFormat="false" ht="15" hidden="false" customHeight="false" outlineLevel="0" collapsed="false">
      <c r="A2566" s="102"/>
      <c r="E2566" s="103" t="str">
        <f aca="false">IF($C2566="","",IFERROR(INDEX(المنيو!$C$2:$C$500,MATCH($C2566,المنيو!$B$2:$B$500,0)),0))</f>
        <v/>
      </c>
      <c r="F2566" s="103" t="str">
        <f aca="false">IF($C2566="","",$D2566*$E2566)</f>
        <v/>
      </c>
      <c r="G2566" s="103" t="str">
        <f aca="false">IF($C2566="","",$D2566*IFERROR(INDEX('تحليل التكلفة والسعر'!$C$2:$C$700,MATCH($C2566,'تحليل التكلفة والسعر'!$B$2:$B$700,0)),0))</f>
        <v/>
      </c>
    </row>
    <row r="2567" customFormat="false" ht="15" hidden="false" customHeight="false" outlineLevel="0" collapsed="false">
      <c r="A2567" s="102"/>
      <c r="E2567" s="103" t="str">
        <f aca="false">IF($C2567="","",IFERROR(INDEX(المنيو!$C$2:$C$500,MATCH($C2567,المنيو!$B$2:$B$500,0)),0))</f>
        <v/>
      </c>
      <c r="F2567" s="103" t="str">
        <f aca="false">IF($C2567="","",$D2567*$E2567)</f>
        <v/>
      </c>
      <c r="G2567" s="103" t="str">
        <f aca="false">IF($C2567="","",$D2567*IFERROR(INDEX('تحليل التكلفة والسعر'!$C$2:$C$700,MATCH($C2567,'تحليل التكلفة والسعر'!$B$2:$B$700,0)),0))</f>
        <v/>
      </c>
    </row>
    <row r="2568" customFormat="false" ht="15" hidden="false" customHeight="false" outlineLevel="0" collapsed="false">
      <c r="A2568" s="102"/>
      <c r="E2568" s="103" t="str">
        <f aca="false">IF($C2568="","",IFERROR(INDEX(المنيو!$C$2:$C$500,MATCH($C2568,المنيو!$B$2:$B$500,0)),0))</f>
        <v/>
      </c>
      <c r="F2568" s="103" t="str">
        <f aca="false">IF($C2568="","",$D2568*$E2568)</f>
        <v/>
      </c>
      <c r="G2568" s="103" t="str">
        <f aca="false">IF($C2568="","",$D2568*IFERROR(INDEX('تحليل التكلفة والسعر'!$C$2:$C$700,MATCH($C2568,'تحليل التكلفة والسعر'!$B$2:$B$700,0)),0))</f>
        <v/>
      </c>
    </row>
    <row r="2569" customFormat="false" ht="15" hidden="false" customHeight="false" outlineLevel="0" collapsed="false">
      <c r="A2569" s="102"/>
      <c r="E2569" s="103" t="str">
        <f aca="false">IF($C2569="","",IFERROR(INDEX(المنيو!$C$2:$C$500,MATCH($C2569,المنيو!$B$2:$B$500,0)),0))</f>
        <v/>
      </c>
      <c r="F2569" s="103" t="str">
        <f aca="false">IF($C2569="","",$D2569*$E2569)</f>
        <v/>
      </c>
      <c r="G2569" s="103" t="str">
        <f aca="false">IF($C2569="","",$D2569*IFERROR(INDEX('تحليل التكلفة والسعر'!$C$2:$C$700,MATCH($C2569,'تحليل التكلفة والسعر'!$B$2:$B$700,0)),0))</f>
        <v/>
      </c>
    </row>
    <row r="2570" customFormat="false" ht="15" hidden="false" customHeight="false" outlineLevel="0" collapsed="false">
      <c r="A2570" s="102"/>
      <c r="E2570" s="103" t="str">
        <f aca="false">IF($C2570="","",IFERROR(INDEX(المنيو!$C$2:$C$500,MATCH($C2570,المنيو!$B$2:$B$500,0)),0))</f>
        <v/>
      </c>
      <c r="F2570" s="103" t="str">
        <f aca="false">IF($C2570="","",$D2570*$E2570)</f>
        <v/>
      </c>
      <c r="G2570" s="103" t="str">
        <f aca="false">IF($C2570="","",$D2570*IFERROR(INDEX('تحليل التكلفة والسعر'!$C$2:$C$700,MATCH($C2570,'تحليل التكلفة والسعر'!$B$2:$B$700,0)),0))</f>
        <v/>
      </c>
    </row>
    <row r="2571" customFormat="false" ht="15" hidden="false" customHeight="false" outlineLevel="0" collapsed="false">
      <c r="A2571" s="102"/>
      <c r="E2571" s="103" t="str">
        <f aca="false">IF($C2571="","",IFERROR(INDEX(المنيو!$C$2:$C$500,MATCH($C2571,المنيو!$B$2:$B$500,0)),0))</f>
        <v/>
      </c>
      <c r="F2571" s="103" t="str">
        <f aca="false">IF($C2571="","",$D2571*$E2571)</f>
        <v/>
      </c>
      <c r="G2571" s="103" t="str">
        <f aca="false">IF($C2571="","",$D2571*IFERROR(INDEX('تحليل التكلفة والسعر'!$C$2:$C$700,MATCH($C2571,'تحليل التكلفة والسعر'!$B$2:$B$700,0)),0))</f>
        <v/>
      </c>
    </row>
    <row r="2572" customFormat="false" ht="15" hidden="false" customHeight="false" outlineLevel="0" collapsed="false">
      <c r="A2572" s="102"/>
      <c r="E2572" s="103" t="str">
        <f aca="false">IF($C2572="","",IFERROR(INDEX(المنيو!$C$2:$C$500,MATCH($C2572,المنيو!$B$2:$B$500,0)),0))</f>
        <v/>
      </c>
      <c r="F2572" s="103" t="str">
        <f aca="false">IF($C2572="","",$D2572*$E2572)</f>
        <v/>
      </c>
      <c r="G2572" s="103" t="str">
        <f aca="false">IF($C2572="","",$D2572*IFERROR(INDEX('تحليل التكلفة والسعر'!$C$2:$C$700,MATCH($C2572,'تحليل التكلفة والسعر'!$B$2:$B$700,0)),0))</f>
        <v/>
      </c>
    </row>
    <row r="2573" customFormat="false" ht="15" hidden="false" customHeight="false" outlineLevel="0" collapsed="false">
      <c r="A2573" s="102"/>
      <c r="E2573" s="103" t="str">
        <f aca="false">IF($C2573="","",IFERROR(INDEX(المنيو!$C$2:$C$500,MATCH($C2573,المنيو!$B$2:$B$500,0)),0))</f>
        <v/>
      </c>
      <c r="F2573" s="103" t="str">
        <f aca="false">IF($C2573="","",$D2573*$E2573)</f>
        <v/>
      </c>
      <c r="G2573" s="103" t="str">
        <f aca="false">IF($C2573="","",$D2573*IFERROR(INDEX('تحليل التكلفة والسعر'!$C$2:$C$700,MATCH($C2573,'تحليل التكلفة والسعر'!$B$2:$B$700,0)),0))</f>
        <v/>
      </c>
    </row>
    <row r="2574" customFormat="false" ht="15" hidden="false" customHeight="false" outlineLevel="0" collapsed="false">
      <c r="A2574" s="102"/>
      <c r="E2574" s="103" t="str">
        <f aca="false">IF($C2574="","",IFERROR(INDEX(المنيو!$C$2:$C$500,MATCH($C2574,المنيو!$B$2:$B$500,0)),0))</f>
        <v/>
      </c>
      <c r="F2574" s="103" t="str">
        <f aca="false">IF($C2574="","",$D2574*$E2574)</f>
        <v/>
      </c>
      <c r="G2574" s="103" t="str">
        <f aca="false">IF($C2574="","",$D2574*IFERROR(INDEX('تحليل التكلفة والسعر'!$C$2:$C$700,MATCH($C2574,'تحليل التكلفة والسعر'!$B$2:$B$700,0)),0))</f>
        <v/>
      </c>
    </row>
    <row r="2575" customFormat="false" ht="15" hidden="false" customHeight="false" outlineLevel="0" collapsed="false">
      <c r="A2575" s="102"/>
      <c r="E2575" s="103" t="str">
        <f aca="false">IF($C2575="","",IFERROR(INDEX(المنيو!$C$2:$C$500,MATCH($C2575,المنيو!$B$2:$B$500,0)),0))</f>
        <v/>
      </c>
      <c r="F2575" s="103" t="str">
        <f aca="false">IF($C2575="","",$D2575*$E2575)</f>
        <v/>
      </c>
      <c r="G2575" s="103" t="str">
        <f aca="false">IF($C2575="","",$D2575*IFERROR(INDEX('تحليل التكلفة والسعر'!$C$2:$C$700,MATCH($C2575,'تحليل التكلفة والسعر'!$B$2:$B$700,0)),0))</f>
        <v/>
      </c>
    </row>
    <row r="2576" customFormat="false" ht="15" hidden="false" customHeight="false" outlineLevel="0" collapsed="false">
      <c r="A2576" s="102"/>
      <c r="E2576" s="103" t="str">
        <f aca="false">IF($C2576="","",IFERROR(INDEX(المنيو!$C$2:$C$500,MATCH($C2576,المنيو!$B$2:$B$500,0)),0))</f>
        <v/>
      </c>
      <c r="F2576" s="103" t="str">
        <f aca="false">IF($C2576="","",$D2576*$E2576)</f>
        <v/>
      </c>
      <c r="G2576" s="103" t="str">
        <f aca="false">IF($C2576="","",$D2576*IFERROR(INDEX('تحليل التكلفة والسعر'!$C$2:$C$700,MATCH($C2576,'تحليل التكلفة والسعر'!$B$2:$B$700,0)),0))</f>
        <v/>
      </c>
    </row>
    <row r="2577" customFormat="false" ht="15" hidden="false" customHeight="false" outlineLevel="0" collapsed="false">
      <c r="A2577" s="102"/>
      <c r="E2577" s="103" t="str">
        <f aca="false">IF($C2577="","",IFERROR(INDEX(المنيو!$C$2:$C$500,MATCH($C2577,المنيو!$B$2:$B$500,0)),0))</f>
        <v/>
      </c>
      <c r="F2577" s="103" t="str">
        <f aca="false">IF($C2577="","",$D2577*$E2577)</f>
        <v/>
      </c>
      <c r="G2577" s="103" t="str">
        <f aca="false">IF($C2577="","",$D2577*IFERROR(INDEX('تحليل التكلفة والسعر'!$C$2:$C$700,MATCH($C2577,'تحليل التكلفة والسعر'!$B$2:$B$700,0)),0))</f>
        <v/>
      </c>
    </row>
    <row r="2578" customFormat="false" ht="15" hidden="false" customHeight="false" outlineLevel="0" collapsed="false">
      <c r="A2578" s="102"/>
      <c r="E2578" s="103" t="str">
        <f aca="false">IF($C2578="","",IFERROR(INDEX(المنيو!$C$2:$C$500,MATCH($C2578,المنيو!$B$2:$B$500,0)),0))</f>
        <v/>
      </c>
      <c r="F2578" s="103" t="str">
        <f aca="false">IF($C2578="","",$D2578*$E2578)</f>
        <v/>
      </c>
      <c r="G2578" s="103" t="str">
        <f aca="false">IF($C2578="","",$D2578*IFERROR(INDEX('تحليل التكلفة والسعر'!$C$2:$C$700,MATCH($C2578,'تحليل التكلفة والسعر'!$B$2:$B$700,0)),0))</f>
        <v/>
      </c>
    </row>
    <row r="2579" customFormat="false" ht="15" hidden="false" customHeight="false" outlineLevel="0" collapsed="false">
      <c r="A2579" s="102"/>
      <c r="E2579" s="103" t="str">
        <f aca="false">IF($C2579="","",IFERROR(INDEX(المنيو!$C$2:$C$500,MATCH($C2579,المنيو!$B$2:$B$500,0)),0))</f>
        <v/>
      </c>
      <c r="F2579" s="103" t="str">
        <f aca="false">IF($C2579="","",$D2579*$E2579)</f>
        <v/>
      </c>
      <c r="G2579" s="103" t="str">
        <f aca="false">IF($C2579="","",$D2579*IFERROR(INDEX('تحليل التكلفة والسعر'!$C$2:$C$700,MATCH($C2579,'تحليل التكلفة والسعر'!$B$2:$B$700,0)),0))</f>
        <v/>
      </c>
    </row>
    <row r="2580" customFormat="false" ht="15" hidden="false" customHeight="false" outlineLevel="0" collapsed="false">
      <c r="A2580" s="102"/>
      <c r="E2580" s="103" t="str">
        <f aca="false">IF($C2580="","",IFERROR(INDEX(المنيو!$C$2:$C$500,MATCH($C2580,المنيو!$B$2:$B$500,0)),0))</f>
        <v/>
      </c>
      <c r="F2580" s="103" t="str">
        <f aca="false">IF($C2580="","",$D2580*$E2580)</f>
        <v/>
      </c>
      <c r="G2580" s="103" t="str">
        <f aca="false">IF($C2580="","",$D2580*IFERROR(INDEX('تحليل التكلفة والسعر'!$C$2:$C$700,MATCH($C2580,'تحليل التكلفة والسعر'!$B$2:$B$700,0)),0))</f>
        <v/>
      </c>
    </row>
    <row r="2581" customFormat="false" ht="15" hidden="false" customHeight="false" outlineLevel="0" collapsed="false">
      <c r="A2581" s="102"/>
      <c r="E2581" s="103" t="str">
        <f aca="false">IF($C2581="","",IFERROR(INDEX(المنيو!$C$2:$C$500,MATCH($C2581,المنيو!$B$2:$B$500,0)),0))</f>
        <v/>
      </c>
      <c r="F2581" s="103" t="str">
        <f aca="false">IF($C2581="","",$D2581*$E2581)</f>
        <v/>
      </c>
      <c r="G2581" s="103" t="str">
        <f aca="false">IF($C2581="","",$D2581*IFERROR(INDEX('تحليل التكلفة والسعر'!$C$2:$C$700,MATCH($C2581,'تحليل التكلفة والسعر'!$B$2:$B$700,0)),0))</f>
        <v/>
      </c>
    </row>
    <row r="2582" customFormat="false" ht="15" hidden="false" customHeight="false" outlineLevel="0" collapsed="false">
      <c r="A2582" s="102"/>
      <c r="E2582" s="103" t="str">
        <f aca="false">IF($C2582="","",IFERROR(INDEX(المنيو!$C$2:$C$500,MATCH($C2582,المنيو!$B$2:$B$500,0)),0))</f>
        <v/>
      </c>
      <c r="F2582" s="103" t="str">
        <f aca="false">IF($C2582="","",$D2582*$E2582)</f>
        <v/>
      </c>
      <c r="G2582" s="103" t="str">
        <f aca="false">IF($C2582="","",$D2582*IFERROR(INDEX('تحليل التكلفة والسعر'!$C$2:$C$700,MATCH($C2582,'تحليل التكلفة والسعر'!$B$2:$B$700,0)),0))</f>
        <v/>
      </c>
    </row>
    <row r="2583" customFormat="false" ht="15" hidden="false" customHeight="false" outlineLevel="0" collapsed="false">
      <c r="A2583" s="102"/>
      <c r="E2583" s="103" t="str">
        <f aca="false">IF($C2583="","",IFERROR(INDEX(المنيو!$C$2:$C$500,MATCH($C2583,المنيو!$B$2:$B$500,0)),0))</f>
        <v/>
      </c>
      <c r="F2583" s="103" t="str">
        <f aca="false">IF($C2583="","",$D2583*$E2583)</f>
        <v/>
      </c>
      <c r="G2583" s="103" t="str">
        <f aca="false">IF($C2583="","",$D2583*IFERROR(INDEX('تحليل التكلفة والسعر'!$C$2:$C$700,MATCH($C2583,'تحليل التكلفة والسعر'!$B$2:$B$700,0)),0))</f>
        <v/>
      </c>
    </row>
    <row r="2584" customFormat="false" ht="15" hidden="false" customHeight="false" outlineLevel="0" collapsed="false">
      <c r="A2584" s="102"/>
      <c r="E2584" s="103" t="str">
        <f aca="false">IF($C2584="","",IFERROR(INDEX(المنيو!$C$2:$C$500,MATCH($C2584,المنيو!$B$2:$B$500,0)),0))</f>
        <v/>
      </c>
      <c r="F2584" s="103" t="str">
        <f aca="false">IF($C2584="","",$D2584*$E2584)</f>
        <v/>
      </c>
      <c r="G2584" s="103" t="str">
        <f aca="false">IF($C2584="","",$D2584*IFERROR(INDEX('تحليل التكلفة والسعر'!$C$2:$C$700,MATCH($C2584,'تحليل التكلفة والسعر'!$B$2:$B$700,0)),0))</f>
        <v/>
      </c>
    </row>
    <row r="2585" customFormat="false" ht="15" hidden="false" customHeight="false" outlineLevel="0" collapsed="false">
      <c r="A2585" s="102"/>
      <c r="E2585" s="103" t="str">
        <f aca="false">IF($C2585="","",IFERROR(INDEX(المنيو!$C$2:$C$500,MATCH($C2585,المنيو!$B$2:$B$500,0)),0))</f>
        <v/>
      </c>
      <c r="F2585" s="103" t="str">
        <f aca="false">IF($C2585="","",$D2585*$E2585)</f>
        <v/>
      </c>
      <c r="G2585" s="103" t="str">
        <f aca="false">IF($C2585="","",$D2585*IFERROR(INDEX('تحليل التكلفة والسعر'!$C$2:$C$700,MATCH($C2585,'تحليل التكلفة والسعر'!$B$2:$B$700,0)),0))</f>
        <v/>
      </c>
    </row>
    <row r="2586" customFormat="false" ht="15" hidden="false" customHeight="false" outlineLevel="0" collapsed="false">
      <c r="A2586" s="102"/>
      <c r="E2586" s="103" t="str">
        <f aca="false">IF($C2586="","",IFERROR(INDEX(المنيو!$C$2:$C$500,MATCH($C2586,المنيو!$B$2:$B$500,0)),0))</f>
        <v/>
      </c>
      <c r="F2586" s="103" t="str">
        <f aca="false">IF($C2586="","",$D2586*$E2586)</f>
        <v/>
      </c>
      <c r="G2586" s="103" t="str">
        <f aca="false">IF($C2586="","",$D2586*IFERROR(INDEX('تحليل التكلفة والسعر'!$C$2:$C$700,MATCH($C2586,'تحليل التكلفة والسعر'!$B$2:$B$700,0)),0))</f>
        <v/>
      </c>
    </row>
    <row r="2587" customFormat="false" ht="15" hidden="false" customHeight="false" outlineLevel="0" collapsed="false">
      <c r="A2587" s="102"/>
      <c r="E2587" s="103" t="str">
        <f aca="false">IF($C2587="","",IFERROR(INDEX(المنيو!$C$2:$C$500,MATCH($C2587,المنيو!$B$2:$B$500,0)),0))</f>
        <v/>
      </c>
      <c r="F2587" s="103" t="str">
        <f aca="false">IF($C2587="","",$D2587*$E2587)</f>
        <v/>
      </c>
      <c r="G2587" s="103" t="str">
        <f aca="false">IF($C2587="","",$D2587*IFERROR(INDEX('تحليل التكلفة والسعر'!$C$2:$C$700,MATCH($C2587,'تحليل التكلفة والسعر'!$B$2:$B$700,0)),0))</f>
        <v/>
      </c>
    </row>
    <row r="2588" customFormat="false" ht="15" hidden="false" customHeight="false" outlineLevel="0" collapsed="false">
      <c r="A2588" s="102"/>
      <c r="E2588" s="103" t="str">
        <f aca="false">IF($C2588="","",IFERROR(INDEX(المنيو!$C$2:$C$500,MATCH($C2588,المنيو!$B$2:$B$500,0)),0))</f>
        <v/>
      </c>
      <c r="F2588" s="103" t="str">
        <f aca="false">IF($C2588="","",$D2588*$E2588)</f>
        <v/>
      </c>
      <c r="G2588" s="103" t="str">
        <f aca="false">IF($C2588="","",$D2588*IFERROR(INDEX('تحليل التكلفة والسعر'!$C$2:$C$700,MATCH($C2588,'تحليل التكلفة والسعر'!$B$2:$B$700,0)),0))</f>
        <v/>
      </c>
    </row>
    <row r="2589" customFormat="false" ht="15" hidden="false" customHeight="false" outlineLevel="0" collapsed="false">
      <c r="A2589" s="102"/>
      <c r="E2589" s="103" t="str">
        <f aca="false">IF($C2589="","",IFERROR(INDEX(المنيو!$C$2:$C$500,MATCH($C2589,المنيو!$B$2:$B$500,0)),0))</f>
        <v/>
      </c>
      <c r="F2589" s="103" t="str">
        <f aca="false">IF($C2589="","",$D2589*$E2589)</f>
        <v/>
      </c>
      <c r="G2589" s="103" t="str">
        <f aca="false">IF($C2589="","",$D2589*IFERROR(INDEX('تحليل التكلفة والسعر'!$C$2:$C$700,MATCH($C2589,'تحليل التكلفة والسعر'!$B$2:$B$700,0)),0))</f>
        <v/>
      </c>
    </row>
    <row r="2590" customFormat="false" ht="15" hidden="false" customHeight="false" outlineLevel="0" collapsed="false">
      <c r="A2590" s="102"/>
      <c r="E2590" s="103" t="str">
        <f aca="false">IF($C2590="","",IFERROR(INDEX(المنيو!$C$2:$C$500,MATCH($C2590,المنيو!$B$2:$B$500,0)),0))</f>
        <v/>
      </c>
      <c r="F2590" s="103" t="str">
        <f aca="false">IF($C2590="","",$D2590*$E2590)</f>
        <v/>
      </c>
      <c r="G2590" s="103" t="str">
        <f aca="false">IF($C2590="","",$D2590*IFERROR(INDEX('تحليل التكلفة والسعر'!$C$2:$C$700,MATCH($C2590,'تحليل التكلفة والسعر'!$B$2:$B$700,0)),0))</f>
        <v/>
      </c>
    </row>
    <row r="2591" customFormat="false" ht="15" hidden="false" customHeight="false" outlineLevel="0" collapsed="false">
      <c r="A2591" s="102"/>
      <c r="E2591" s="103" t="str">
        <f aca="false">IF($C2591="","",IFERROR(INDEX(المنيو!$C$2:$C$500,MATCH($C2591,المنيو!$B$2:$B$500,0)),0))</f>
        <v/>
      </c>
      <c r="F2591" s="103" t="str">
        <f aca="false">IF($C2591="","",$D2591*$E2591)</f>
        <v/>
      </c>
      <c r="G2591" s="103" t="str">
        <f aca="false">IF($C2591="","",$D2591*IFERROR(INDEX('تحليل التكلفة والسعر'!$C$2:$C$700,MATCH($C2591,'تحليل التكلفة والسعر'!$B$2:$B$700,0)),0))</f>
        <v/>
      </c>
    </row>
    <row r="2592" customFormat="false" ht="15" hidden="false" customHeight="false" outlineLevel="0" collapsed="false">
      <c r="A2592" s="102"/>
      <c r="E2592" s="103" t="str">
        <f aca="false">IF($C2592="","",IFERROR(INDEX(المنيو!$C$2:$C$500,MATCH($C2592,المنيو!$B$2:$B$500,0)),0))</f>
        <v/>
      </c>
      <c r="F2592" s="103" t="str">
        <f aca="false">IF($C2592="","",$D2592*$E2592)</f>
        <v/>
      </c>
      <c r="G2592" s="103" t="str">
        <f aca="false">IF($C2592="","",$D2592*IFERROR(INDEX('تحليل التكلفة والسعر'!$C$2:$C$700,MATCH($C2592,'تحليل التكلفة والسعر'!$B$2:$B$700,0)),0))</f>
        <v/>
      </c>
    </row>
    <row r="2593" customFormat="false" ht="15" hidden="false" customHeight="false" outlineLevel="0" collapsed="false">
      <c r="A2593" s="102"/>
      <c r="E2593" s="103" t="str">
        <f aca="false">IF($C2593="","",IFERROR(INDEX(المنيو!$C$2:$C$500,MATCH($C2593,المنيو!$B$2:$B$500,0)),0))</f>
        <v/>
      </c>
      <c r="F2593" s="103" t="str">
        <f aca="false">IF($C2593="","",$D2593*$E2593)</f>
        <v/>
      </c>
      <c r="G2593" s="103" t="str">
        <f aca="false">IF($C2593="","",$D2593*IFERROR(INDEX('تحليل التكلفة والسعر'!$C$2:$C$700,MATCH($C2593,'تحليل التكلفة والسعر'!$B$2:$B$700,0)),0))</f>
        <v/>
      </c>
    </row>
    <row r="2594" customFormat="false" ht="15" hidden="false" customHeight="false" outlineLevel="0" collapsed="false">
      <c r="A2594" s="102"/>
      <c r="E2594" s="103" t="str">
        <f aca="false">IF($C2594="","",IFERROR(INDEX(المنيو!$C$2:$C$500,MATCH($C2594,المنيو!$B$2:$B$500,0)),0))</f>
        <v/>
      </c>
      <c r="F2594" s="103" t="str">
        <f aca="false">IF($C2594="","",$D2594*$E2594)</f>
        <v/>
      </c>
      <c r="G2594" s="103" t="str">
        <f aca="false">IF($C2594="","",$D2594*IFERROR(INDEX('تحليل التكلفة والسعر'!$C$2:$C$700,MATCH($C2594,'تحليل التكلفة والسعر'!$B$2:$B$700,0)),0))</f>
        <v/>
      </c>
    </row>
    <row r="2595" customFormat="false" ht="15" hidden="false" customHeight="false" outlineLevel="0" collapsed="false">
      <c r="A2595" s="102"/>
      <c r="E2595" s="103" t="str">
        <f aca="false">IF($C2595="","",IFERROR(INDEX(المنيو!$C$2:$C$500,MATCH($C2595,المنيو!$B$2:$B$500,0)),0))</f>
        <v/>
      </c>
      <c r="F2595" s="103" t="str">
        <f aca="false">IF($C2595="","",$D2595*$E2595)</f>
        <v/>
      </c>
      <c r="G2595" s="103" t="str">
        <f aca="false">IF($C2595="","",$D2595*IFERROR(INDEX('تحليل التكلفة والسعر'!$C$2:$C$700,MATCH($C2595,'تحليل التكلفة والسعر'!$B$2:$B$700,0)),0))</f>
        <v/>
      </c>
    </row>
    <row r="2596" customFormat="false" ht="15" hidden="false" customHeight="false" outlineLevel="0" collapsed="false">
      <c r="A2596" s="102"/>
      <c r="E2596" s="103" t="str">
        <f aca="false">IF($C2596="","",IFERROR(INDEX(المنيو!$C$2:$C$500,MATCH($C2596,المنيو!$B$2:$B$500,0)),0))</f>
        <v/>
      </c>
      <c r="F2596" s="103" t="str">
        <f aca="false">IF($C2596="","",$D2596*$E2596)</f>
        <v/>
      </c>
      <c r="G2596" s="103" t="str">
        <f aca="false">IF($C2596="","",$D2596*IFERROR(INDEX('تحليل التكلفة والسعر'!$C$2:$C$700,MATCH($C2596,'تحليل التكلفة والسعر'!$B$2:$B$700,0)),0))</f>
        <v/>
      </c>
    </row>
    <row r="2597" customFormat="false" ht="15" hidden="false" customHeight="false" outlineLevel="0" collapsed="false">
      <c r="A2597" s="102"/>
      <c r="E2597" s="103" t="str">
        <f aca="false">IF($C2597="","",IFERROR(INDEX(المنيو!$C$2:$C$500,MATCH($C2597,المنيو!$B$2:$B$500,0)),0))</f>
        <v/>
      </c>
      <c r="F2597" s="103" t="str">
        <f aca="false">IF($C2597="","",$D2597*$E2597)</f>
        <v/>
      </c>
      <c r="G2597" s="103" t="str">
        <f aca="false">IF($C2597="","",$D2597*IFERROR(INDEX('تحليل التكلفة والسعر'!$C$2:$C$700,MATCH($C2597,'تحليل التكلفة والسعر'!$B$2:$B$700,0)),0))</f>
        <v/>
      </c>
    </row>
    <row r="2598" customFormat="false" ht="15" hidden="false" customHeight="false" outlineLevel="0" collapsed="false">
      <c r="A2598" s="102"/>
      <c r="E2598" s="103" t="str">
        <f aca="false">IF($C2598="","",IFERROR(INDEX(المنيو!$C$2:$C$500,MATCH($C2598,المنيو!$B$2:$B$500,0)),0))</f>
        <v/>
      </c>
      <c r="F2598" s="103" t="str">
        <f aca="false">IF($C2598="","",$D2598*$E2598)</f>
        <v/>
      </c>
      <c r="G2598" s="103" t="str">
        <f aca="false">IF($C2598="","",$D2598*IFERROR(INDEX('تحليل التكلفة والسعر'!$C$2:$C$700,MATCH($C2598,'تحليل التكلفة والسعر'!$B$2:$B$700,0)),0))</f>
        <v/>
      </c>
    </row>
    <row r="2599" customFormat="false" ht="15" hidden="false" customHeight="false" outlineLevel="0" collapsed="false">
      <c r="A2599" s="102"/>
      <c r="E2599" s="103" t="str">
        <f aca="false">IF($C2599="","",IFERROR(INDEX(المنيو!$C$2:$C$500,MATCH($C2599,المنيو!$B$2:$B$500,0)),0))</f>
        <v/>
      </c>
      <c r="F2599" s="103" t="str">
        <f aca="false">IF($C2599="","",$D2599*$E2599)</f>
        <v/>
      </c>
      <c r="G2599" s="103" t="str">
        <f aca="false">IF($C2599="","",$D2599*IFERROR(INDEX('تحليل التكلفة والسعر'!$C$2:$C$700,MATCH($C2599,'تحليل التكلفة والسعر'!$B$2:$B$700,0)),0))</f>
        <v/>
      </c>
    </row>
    <row r="2600" customFormat="false" ht="15" hidden="false" customHeight="false" outlineLevel="0" collapsed="false">
      <c r="A2600" s="102"/>
      <c r="E2600" s="103" t="str">
        <f aca="false">IF($C2600="","",IFERROR(INDEX(المنيو!$C$2:$C$500,MATCH($C2600,المنيو!$B$2:$B$500,0)),0))</f>
        <v/>
      </c>
      <c r="F2600" s="103" t="str">
        <f aca="false">IF($C2600="","",$D2600*$E2600)</f>
        <v/>
      </c>
      <c r="G2600" s="103" t="str">
        <f aca="false">IF($C2600="","",$D2600*IFERROR(INDEX('تحليل التكلفة والسعر'!$C$2:$C$700,MATCH($C2600,'تحليل التكلفة والسعر'!$B$2:$B$700,0)),0))</f>
        <v/>
      </c>
    </row>
    <row r="2601" customFormat="false" ht="15" hidden="false" customHeight="false" outlineLevel="0" collapsed="false">
      <c r="A2601" s="102"/>
      <c r="E2601" s="103" t="str">
        <f aca="false">IF($C2601="","",IFERROR(INDEX(المنيو!$C$2:$C$500,MATCH($C2601,المنيو!$B$2:$B$500,0)),0))</f>
        <v/>
      </c>
      <c r="F2601" s="103" t="str">
        <f aca="false">IF($C2601="","",$D2601*$E2601)</f>
        <v/>
      </c>
      <c r="G2601" s="103" t="str">
        <f aca="false">IF($C2601="","",$D2601*IFERROR(INDEX('تحليل التكلفة والسعر'!$C$2:$C$700,MATCH($C2601,'تحليل التكلفة والسعر'!$B$2:$B$700,0)),0))</f>
        <v/>
      </c>
    </row>
    <row r="2602" customFormat="false" ht="15" hidden="false" customHeight="false" outlineLevel="0" collapsed="false">
      <c r="A2602" s="102"/>
      <c r="E2602" s="103" t="str">
        <f aca="false">IF($C2602="","",IFERROR(INDEX(المنيو!$C$2:$C$500,MATCH($C2602,المنيو!$B$2:$B$500,0)),0))</f>
        <v/>
      </c>
      <c r="F2602" s="103" t="str">
        <f aca="false">IF($C2602="","",$D2602*$E2602)</f>
        <v/>
      </c>
      <c r="G2602" s="103" t="str">
        <f aca="false">IF($C2602="","",$D2602*IFERROR(INDEX('تحليل التكلفة والسعر'!$C$2:$C$700,MATCH($C2602,'تحليل التكلفة والسعر'!$B$2:$B$700,0)),0))</f>
        <v/>
      </c>
    </row>
    <row r="2603" customFormat="false" ht="15" hidden="false" customHeight="false" outlineLevel="0" collapsed="false">
      <c r="A2603" s="102"/>
      <c r="E2603" s="103" t="str">
        <f aca="false">IF($C2603="","",IFERROR(INDEX(المنيو!$C$2:$C$500,MATCH($C2603,المنيو!$B$2:$B$500,0)),0))</f>
        <v/>
      </c>
      <c r="F2603" s="103" t="str">
        <f aca="false">IF($C2603="","",$D2603*$E2603)</f>
        <v/>
      </c>
      <c r="G2603" s="103" t="str">
        <f aca="false">IF($C2603="","",$D2603*IFERROR(INDEX('تحليل التكلفة والسعر'!$C$2:$C$700,MATCH($C2603,'تحليل التكلفة والسعر'!$B$2:$B$700,0)),0))</f>
        <v/>
      </c>
    </row>
    <row r="2604" customFormat="false" ht="15" hidden="false" customHeight="false" outlineLevel="0" collapsed="false">
      <c r="A2604" s="102"/>
      <c r="E2604" s="103" t="str">
        <f aca="false">IF($C2604="","",IFERROR(INDEX(المنيو!$C$2:$C$500,MATCH($C2604,المنيو!$B$2:$B$500,0)),0))</f>
        <v/>
      </c>
      <c r="F2604" s="103" t="str">
        <f aca="false">IF($C2604="","",$D2604*$E2604)</f>
        <v/>
      </c>
      <c r="G2604" s="103" t="str">
        <f aca="false">IF($C2604="","",$D2604*IFERROR(INDEX('تحليل التكلفة والسعر'!$C$2:$C$700,MATCH($C2604,'تحليل التكلفة والسعر'!$B$2:$B$700,0)),0))</f>
        <v/>
      </c>
    </row>
    <row r="2605" customFormat="false" ht="15" hidden="false" customHeight="false" outlineLevel="0" collapsed="false">
      <c r="A2605" s="102"/>
      <c r="E2605" s="103" t="str">
        <f aca="false">IF($C2605="","",IFERROR(INDEX(المنيو!$C$2:$C$500,MATCH($C2605,المنيو!$B$2:$B$500,0)),0))</f>
        <v/>
      </c>
      <c r="F2605" s="103" t="str">
        <f aca="false">IF($C2605="","",$D2605*$E2605)</f>
        <v/>
      </c>
      <c r="G2605" s="103" t="str">
        <f aca="false">IF($C2605="","",$D2605*IFERROR(INDEX('تحليل التكلفة والسعر'!$C$2:$C$700,MATCH($C2605,'تحليل التكلفة والسعر'!$B$2:$B$700,0)),0))</f>
        <v/>
      </c>
    </row>
    <row r="2606" customFormat="false" ht="15" hidden="false" customHeight="false" outlineLevel="0" collapsed="false">
      <c r="A2606" s="102"/>
      <c r="E2606" s="103" t="str">
        <f aca="false">IF($C2606="","",IFERROR(INDEX(المنيو!$C$2:$C$500,MATCH($C2606,المنيو!$B$2:$B$500,0)),0))</f>
        <v/>
      </c>
      <c r="F2606" s="103" t="str">
        <f aca="false">IF($C2606="","",$D2606*$E2606)</f>
        <v/>
      </c>
      <c r="G2606" s="103" t="str">
        <f aca="false">IF($C2606="","",$D2606*IFERROR(INDEX('تحليل التكلفة والسعر'!$C$2:$C$700,MATCH($C2606,'تحليل التكلفة والسعر'!$B$2:$B$700,0)),0))</f>
        <v/>
      </c>
    </row>
    <row r="2607" customFormat="false" ht="15" hidden="false" customHeight="false" outlineLevel="0" collapsed="false">
      <c r="A2607" s="102"/>
      <c r="E2607" s="103" t="str">
        <f aca="false">IF($C2607="","",IFERROR(INDEX(المنيو!$C$2:$C$500,MATCH($C2607,المنيو!$B$2:$B$500,0)),0))</f>
        <v/>
      </c>
      <c r="F2607" s="103" t="str">
        <f aca="false">IF($C2607="","",$D2607*$E2607)</f>
        <v/>
      </c>
      <c r="G2607" s="103" t="str">
        <f aca="false">IF($C2607="","",$D2607*IFERROR(INDEX('تحليل التكلفة والسعر'!$C$2:$C$700,MATCH($C2607,'تحليل التكلفة والسعر'!$B$2:$B$700,0)),0))</f>
        <v/>
      </c>
    </row>
    <row r="2608" customFormat="false" ht="15" hidden="false" customHeight="false" outlineLevel="0" collapsed="false">
      <c r="A2608" s="102"/>
      <c r="E2608" s="103" t="str">
        <f aca="false">IF($C2608="","",IFERROR(INDEX(المنيو!$C$2:$C$500,MATCH($C2608,المنيو!$B$2:$B$500,0)),0))</f>
        <v/>
      </c>
      <c r="F2608" s="103" t="str">
        <f aca="false">IF($C2608="","",$D2608*$E2608)</f>
        <v/>
      </c>
      <c r="G2608" s="103" t="str">
        <f aca="false">IF($C2608="","",$D2608*IFERROR(INDEX('تحليل التكلفة والسعر'!$C$2:$C$700,MATCH($C2608,'تحليل التكلفة والسعر'!$B$2:$B$700,0)),0))</f>
        <v/>
      </c>
    </row>
    <row r="2609" customFormat="false" ht="15" hidden="false" customHeight="false" outlineLevel="0" collapsed="false">
      <c r="A2609" s="102"/>
      <c r="E2609" s="103" t="str">
        <f aca="false">IF($C2609="","",IFERROR(INDEX(المنيو!$C$2:$C$500,MATCH($C2609,المنيو!$B$2:$B$500,0)),0))</f>
        <v/>
      </c>
      <c r="F2609" s="103" t="str">
        <f aca="false">IF($C2609="","",$D2609*$E2609)</f>
        <v/>
      </c>
      <c r="G2609" s="103" t="str">
        <f aca="false">IF($C2609="","",$D2609*IFERROR(INDEX('تحليل التكلفة والسعر'!$C$2:$C$700,MATCH($C2609,'تحليل التكلفة والسعر'!$B$2:$B$700,0)),0))</f>
        <v/>
      </c>
    </row>
    <row r="2610" customFormat="false" ht="15" hidden="false" customHeight="false" outlineLevel="0" collapsed="false">
      <c r="A2610" s="102"/>
      <c r="E2610" s="103" t="str">
        <f aca="false">IF($C2610="","",IFERROR(INDEX(المنيو!$C$2:$C$500,MATCH($C2610,المنيو!$B$2:$B$500,0)),0))</f>
        <v/>
      </c>
      <c r="F2610" s="103" t="str">
        <f aca="false">IF($C2610="","",$D2610*$E2610)</f>
        <v/>
      </c>
      <c r="G2610" s="103" t="str">
        <f aca="false">IF($C2610="","",$D2610*IFERROR(INDEX('تحليل التكلفة والسعر'!$C$2:$C$700,MATCH($C2610,'تحليل التكلفة والسعر'!$B$2:$B$700,0)),0))</f>
        <v/>
      </c>
    </row>
    <row r="2611" customFormat="false" ht="15" hidden="false" customHeight="false" outlineLevel="0" collapsed="false">
      <c r="A2611" s="102"/>
      <c r="E2611" s="103" t="str">
        <f aca="false">IF($C2611="","",IFERROR(INDEX(المنيو!$C$2:$C$500,MATCH($C2611,المنيو!$B$2:$B$500,0)),0))</f>
        <v/>
      </c>
      <c r="F2611" s="103" t="str">
        <f aca="false">IF($C2611="","",$D2611*$E2611)</f>
        <v/>
      </c>
      <c r="G2611" s="103" t="str">
        <f aca="false">IF($C2611="","",$D2611*IFERROR(INDEX('تحليل التكلفة والسعر'!$C$2:$C$700,MATCH($C2611,'تحليل التكلفة والسعر'!$B$2:$B$700,0)),0))</f>
        <v/>
      </c>
    </row>
    <row r="2612" customFormat="false" ht="15" hidden="false" customHeight="false" outlineLevel="0" collapsed="false">
      <c r="A2612" s="102"/>
      <c r="E2612" s="103" t="str">
        <f aca="false">IF($C2612="","",IFERROR(INDEX(المنيو!$C$2:$C$500,MATCH($C2612,المنيو!$B$2:$B$500,0)),0))</f>
        <v/>
      </c>
      <c r="F2612" s="103" t="str">
        <f aca="false">IF($C2612="","",$D2612*$E2612)</f>
        <v/>
      </c>
      <c r="G2612" s="103" t="str">
        <f aca="false">IF($C2612="","",$D2612*IFERROR(INDEX('تحليل التكلفة والسعر'!$C$2:$C$700,MATCH($C2612,'تحليل التكلفة والسعر'!$B$2:$B$700,0)),0))</f>
        <v/>
      </c>
    </row>
    <row r="2613" customFormat="false" ht="15" hidden="false" customHeight="false" outlineLevel="0" collapsed="false">
      <c r="A2613" s="102"/>
      <c r="E2613" s="103" t="str">
        <f aca="false">IF($C2613="","",IFERROR(INDEX(المنيو!$C$2:$C$500,MATCH($C2613,المنيو!$B$2:$B$500,0)),0))</f>
        <v/>
      </c>
      <c r="F2613" s="103" t="str">
        <f aca="false">IF($C2613="","",$D2613*$E2613)</f>
        <v/>
      </c>
      <c r="G2613" s="103" t="str">
        <f aca="false">IF($C2613="","",$D2613*IFERROR(INDEX('تحليل التكلفة والسعر'!$C$2:$C$700,MATCH($C2613,'تحليل التكلفة والسعر'!$B$2:$B$700,0)),0))</f>
        <v/>
      </c>
    </row>
    <row r="2614" customFormat="false" ht="15" hidden="false" customHeight="false" outlineLevel="0" collapsed="false">
      <c r="A2614" s="102"/>
      <c r="E2614" s="103" t="str">
        <f aca="false">IF($C2614="","",IFERROR(INDEX(المنيو!$C$2:$C$500,MATCH($C2614,المنيو!$B$2:$B$500,0)),0))</f>
        <v/>
      </c>
      <c r="F2614" s="103" t="str">
        <f aca="false">IF($C2614="","",$D2614*$E2614)</f>
        <v/>
      </c>
      <c r="G2614" s="103" t="str">
        <f aca="false">IF($C2614="","",$D2614*IFERROR(INDEX('تحليل التكلفة والسعر'!$C$2:$C$700,MATCH($C2614,'تحليل التكلفة والسعر'!$B$2:$B$700,0)),0))</f>
        <v/>
      </c>
    </row>
    <row r="2615" customFormat="false" ht="15" hidden="false" customHeight="false" outlineLevel="0" collapsed="false">
      <c r="A2615" s="102"/>
      <c r="E2615" s="103" t="str">
        <f aca="false">IF($C2615="","",IFERROR(INDEX(المنيو!$C$2:$C$500,MATCH($C2615,المنيو!$B$2:$B$500,0)),0))</f>
        <v/>
      </c>
      <c r="F2615" s="103" t="str">
        <f aca="false">IF($C2615="","",$D2615*$E2615)</f>
        <v/>
      </c>
      <c r="G2615" s="103" t="str">
        <f aca="false">IF($C2615="","",$D2615*IFERROR(INDEX('تحليل التكلفة والسعر'!$C$2:$C$700,MATCH($C2615,'تحليل التكلفة والسعر'!$B$2:$B$700,0)),0))</f>
        <v/>
      </c>
    </row>
    <row r="2616" customFormat="false" ht="15" hidden="false" customHeight="false" outlineLevel="0" collapsed="false">
      <c r="A2616" s="102"/>
      <c r="E2616" s="103" t="str">
        <f aca="false">IF($C2616="","",IFERROR(INDEX(المنيو!$C$2:$C$500,MATCH($C2616,المنيو!$B$2:$B$500,0)),0))</f>
        <v/>
      </c>
      <c r="F2616" s="103" t="str">
        <f aca="false">IF($C2616="","",$D2616*$E2616)</f>
        <v/>
      </c>
      <c r="G2616" s="103" t="str">
        <f aca="false">IF($C2616="","",$D2616*IFERROR(INDEX('تحليل التكلفة والسعر'!$C$2:$C$700,MATCH($C2616,'تحليل التكلفة والسعر'!$B$2:$B$700,0)),0))</f>
        <v/>
      </c>
    </row>
    <row r="2617" customFormat="false" ht="15" hidden="false" customHeight="false" outlineLevel="0" collapsed="false">
      <c r="A2617" s="102"/>
      <c r="E2617" s="103" t="str">
        <f aca="false">IF($C2617="","",IFERROR(INDEX(المنيو!$C$2:$C$500,MATCH($C2617,المنيو!$B$2:$B$500,0)),0))</f>
        <v/>
      </c>
      <c r="F2617" s="103" t="str">
        <f aca="false">IF($C2617="","",$D2617*$E2617)</f>
        <v/>
      </c>
      <c r="G2617" s="103" t="str">
        <f aca="false">IF($C2617="","",$D2617*IFERROR(INDEX('تحليل التكلفة والسعر'!$C$2:$C$700,MATCH($C2617,'تحليل التكلفة والسعر'!$B$2:$B$700,0)),0))</f>
        <v/>
      </c>
    </row>
    <row r="2618" customFormat="false" ht="15" hidden="false" customHeight="false" outlineLevel="0" collapsed="false">
      <c r="A2618" s="102"/>
      <c r="E2618" s="103" t="str">
        <f aca="false">IF($C2618="","",IFERROR(INDEX(المنيو!$C$2:$C$500,MATCH($C2618,المنيو!$B$2:$B$500,0)),0))</f>
        <v/>
      </c>
      <c r="F2618" s="103" t="str">
        <f aca="false">IF($C2618="","",$D2618*$E2618)</f>
        <v/>
      </c>
      <c r="G2618" s="103" t="str">
        <f aca="false">IF($C2618="","",$D2618*IFERROR(INDEX('تحليل التكلفة والسعر'!$C$2:$C$700,MATCH($C2618,'تحليل التكلفة والسعر'!$B$2:$B$700,0)),0))</f>
        <v/>
      </c>
    </row>
    <row r="2619" customFormat="false" ht="15" hidden="false" customHeight="false" outlineLevel="0" collapsed="false">
      <c r="A2619" s="102"/>
      <c r="E2619" s="103" t="str">
        <f aca="false">IF($C2619="","",IFERROR(INDEX(المنيو!$C$2:$C$500,MATCH($C2619,المنيو!$B$2:$B$500,0)),0))</f>
        <v/>
      </c>
      <c r="F2619" s="103" t="str">
        <f aca="false">IF($C2619="","",$D2619*$E2619)</f>
        <v/>
      </c>
      <c r="G2619" s="103" t="str">
        <f aca="false">IF($C2619="","",$D2619*IFERROR(INDEX('تحليل التكلفة والسعر'!$C$2:$C$700,MATCH($C2619,'تحليل التكلفة والسعر'!$B$2:$B$700,0)),0))</f>
        <v/>
      </c>
    </row>
    <row r="2620" customFormat="false" ht="15" hidden="false" customHeight="false" outlineLevel="0" collapsed="false">
      <c r="A2620" s="102"/>
      <c r="E2620" s="103" t="str">
        <f aca="false">IF($C2620="","",IFERROR(INDEX(المنيو!$C$2:$C$500,MATCH($C2620,المنيو!$B$2:$B$500,0)),0))</f>
        <v/>
      </c>
      <c r="F2620" s="103" t="str">
        <f aca="false">IF($C2620="","",$D2620*$E2620)</f>
        <v/>
      </c>
      <c r="G2620" s="103" t="str">
        <f aca="false">IF($C2620="","",$D2620*IFERROR(INDEX('تحليل التكلفة والسعر'!$C$2:$C$700,MATCH($C2620,'تحليل التكلفة والسعر'!$B$2:$B$700,0)),0))</f>
        <v/>
      </c>
    </row>
    <row r="2621" customFormat="false" ht="15" hidden="false" customHeight="false" outlineLevel="0" collapsed="false">
      <c r="A2621" s="102"/>
      <c r="E2621" s="103" t="str">
        <f aca="false">IF($C2621="","",IFERROR(INDEX(المنيو!$C$2:$C$500,MATCH($C2621,المنيو!$B$2:$B$500,0)),0))</f>
        <v/>
      </c>
      <c r="F2621" s="103" t="str">
        <f aca="false">IF($C2621="","",$D2621*$E2621)</f>
        <v/>
      </c>
      <c r="G2621" s="103" t="str">
        <f aca="false">IF($C2621="","",$D2621*IFERROR(INDEX('تحليل التكلفة والسعر'!$C$2:$C$700,MATCH($C2621,'تحليل التكلفة والسعر'!$B$2:$B$700,0)),0))</f>
        <v/>
      </c>
    </row>
    <row r="2622" customFormat="false" ht="15" hidden="false" customHeight="false" outlineLevel="0" collapsed="false">
      <c r="A2622" s="102"/>
      <c r="E2622" s="103" t="str">
        <f aca="false">IF($C2622="","",IFERROR(INDEX(المنيو!$C$2:$C$500,MATCH($C2622,المنيو!$B$2:$B$500,0)),0))</f>
        <v/>
      </c>
      <c r="F2622" s="103" t="str">
        <f aca="false">IF($C2622="","",$D2622*$E2622)</f>
        <v/>
      </c>
      <c r="G2622" s="103" t="str">
        <f aca="false">IF($C2622="","",$D2622*IFERROR(INDEX('تحليل التكلفة والسعر'!$C$2:$C$700,MATCH($C2622,'تحليل التكلفة والسعر'!$B$2:$B$700,0)),0))</f>
        <v/>
      </c>
    </row>
    <row r="2623" customFormat="false" ht="15" hidden="false" customHeight="false" outlineLevel="0" collapsed="false">
      <c r="A2623" s="102"/>
      <c r="E2623" s="103" t="str">
        <f aca="false">IF($C2623="","",IFERROR(INDEX(المنيو!$C$2:$C$500,MATCH($C2623,المنيو!$B$2:$B$500,0)),0))</f>
        <v/>
      </c>
      <c r="F2623" s="103" t="str">
        <f aca="false">IF($C2623="","",$D2623*$E2623)</f>
        <v/>
      </c>
      <c r="G2623" s="103" t="str">
        <f aca="false">IF($C2623="","",$D2623*IFERROR(INDEX('تحليل التكلفة والسعر'!$C$2:$C$700,MATCH($C2623,'تحليل التكلفة والسعر'!$B$2:$B$700,0)),0))</f>
        <v/>
      </c>
    </row>
    <row r="2624" customFormat="false" ht="15" hidden="false" customHeight="false" outlineLevel="0" collapsed="false">
      <c r="A2624" s="102"/>
      <c r="E2624" s="103" t="str">
        <f aca="false">IF($C2624="","",IFERROR(INDEX(المنيو!$C$2:$C$500,MATCH($C2624,المنيو!$B$2:$B$500,0)),0))</f>
        <v/>
      </c>
      <c r="F2624" s="103" t="str">
        <f aca="false">IF($C2624="","",$D2624*$E2624)</f>
        <v/>
      </c>
      <c r="G2624" s="103" t="str">
        <f aca="false">IF($C2624="","",$D2624*IFERROR(INDEX('تحليل التكلفة والسعر'!$C$2:$C$700,MATCH($C2624,'تحليل التكلفة والسعر'!$B$2:$B$700,0)),0))</f>
        <v/>
      </c>
    </row>
    <row r="2625" customFormat="false" ht="15" hidden="false" customHeight="false" outlineLevel="0" collapsed="false">
      <c r="A2625" s="102"/>
      <c r="E2625" s="103" t="str">
        <f aca="false">IF($C2625="","",IFERROR(INDEX(المنيو!$C$2:$C$500,MATCH($C2625,المنيو!$B$2:$B$500,0)),0))</f>
        <v/>
      </c>
      <c r="F2625" s="103" t="str">
        <f aca="false">IF($C2625="","",$D2625*$E2625)</f>
        <v/>
      </c>
      <c r="G2625" s="103" t="str">
        <f aca="false">IF($C2625="","",$D2625*IFERROR(INDEX('تحليل التكلفة والسعر'!$C$2:$C$700,MATCH($C2625,'تحليل التكلفة والسعر'!$B$2:$B$700,0)),0))</f>
        <v/>
      </c>
    </row>
    <row r="2626" customFormat="false" ht="15" hidden="false" customHeight="false" outlineLevel="0" collapsed="false">
      <c r="A2626" s="102"/>
      <c r="E2626" s="103" t="str">
        <f aca="false">IF($C2626="","",IFERROR(INDEX(المنيو!$C$2:$C$500,MATCH($C2626,المنيو!$B$2:$B$500,0)),0))</f>
        <v/>
      </c>
      <c r="F2626" s="103" t="str">
        <f aca="false">IF($C2626="","",$D2626*$E2626)</f>
        <v/>
      </c>
      <c r="G2626" s="103" t="str">
        <f aca="false">IF($C2626="","",$D2626*IFERROR(INDEX('تحليل التكلفة والسعر'!$C$2:$C$700,MATCH($C2626,'تحليل التكلفة والسعر'!$B$2:$B$700,0)),0))</f>
        <v/>
      </c>
    </row>
    <row r="2627" customFormat="false" ht="15" hidden="false" customHeight="false" outlineLevel="0" collapsed="false">
      <c r="A2627" s="102"/>
      <c r="E2627" s="103" t="str">
        <f aca="false">IF($C2627="","",IFERROR(INDEX(المنيو!$C$2:$C$500,MATCH($C2627,المنيو!$B$2:$B$500,0)),0))</f>
        <v/>
      </c>
      <c r="F2627" s="103" t="str">
        <f aca="false">IF($C2627="","",$D2627*$E2627)</f>
        <v/>
      </c>
      <c r="G2627" s="103" t="str">
        <f aca="false">IF($C2627="","",$D2627*IFERROR(INDEX('تحليل التكلفة والسعر'!$C$2:$C$700,MATCH($C2627,'تحليل التكلفة والسعر'!$B$2:$B$700,0)),0))</f>
        <v/>
      </c>
    </row>
    <row r="2628" customFormat="false" ht="15" hidden="false" customHeight="false" outlineLevel="0" collapsed="false">
      <c r="A2628" s="102"/>
      <c r="E2628" s="103" t="str">
        <f aca="false">IF($C2628="","",IFERROR(INDEX(المنيو!$C$2:$C$500,MATCH($C2628,المنيو!$B$2:$B$500,0)),0))</f>
        <v/>
      </c>
      <c r="F2628" s="103" t="str">
        <f aca="false">IF($C2628="","",$D2628*$E2628)</f>
        <v/>
      </c>
      <c r="G2628" s="103" t="str">
        <f aca="false">IF($C2628="","",$D2628*IFERROR(INDEX('تحليل التكلفة والسعر'!$C$2:$C$700,MATCH($C2628,'تحليل التكلفة والسعر'!$B$2:$B$700,0)),0))</f>
        <v/>
      </c>
    </row>
    <row r="2629" customFormat="false" ht="15" hidden="false" customHeight="false" outlineLevel="0" collapsed="false">
      <c r="A2629" s="102"/>
      <c r="E2629" s="103" t="str">
        <f aca="false">IF($C2629="","",IFERROR(INDEX(المنيو!$C$2:$C$500,MATCH($C2629,المنيو!$B$2:$B$500,0)),0))</f>
        <v/>
      </c>
      <c r="F2629" s="103" t="str">
        <f aca="false">IF($C2629="","",$D2629*$E2629)</f>
        <v/>
      </c>
      <c r="G2629" s="103" t="str">
        <f aca="false">IF($C2629="","",$D2629*IFERROR(INDEX('تحليل التكلفة والسعر'!$C$2:$C$700,MATCH($C2629,'تحليل التكلفة والسعر'!$B$2:$B$700,0)),0))</f>
        <v/>
      </c>
    </row>
    <row r="2630" customFormat="false" ht="15" hidden="false" customHeight="false" outlineLevel="0" collapsed="false">
      <c r="A2630" s="102"/>
      <c r="E2630" s="103" t="str">
        <f aca="false">IF($C2630="","",IFERROR(INDEX(المنيو!$C$2:$C$500,MATCH($C2630,المنيو!$B$2:$B$500,0)),0))</f>
        <v/>
      </c>
      <c r="F2630" s="103" t="str">
        <f aca="false">IF($C2630="","",$D2630*$E2630)</f>
        <v/>
      </c>
      <c r="G2630" s="103" t="str">
        <f aca="false">IF($C2630="","",$D2630*IFERROR(INDEX('تحليل التكلفة والسعر'!$C$2:$C$700,MATCH($C2630,'تحليل التكلفة والسعر'!$B$2:$B$700,0)),0))</f>
        <v/>
      </c>
    </row>
    <row r="2631" customFormat="false" ht="15" hidden="false" customHeight="false" outlineLevel="0" collapsed="false">
      <c r="A2631" s="102"/>
      <c r="E2631" s="103" t="str">
        <f aca="false">IF($C2631="","",IFERROR(INDEX(المنيو!$C$2:$C$500,MATCH($C2631,المنيو!$B$2:$B$500,0)),0))</f>
        <v/>
      </c>
      <c r="F2631" s="103" t="str">
        <f aca="false">IF($C2631="","",$D2631*$E2631)</f>
        <v/>
      </c>
      <c r="G2631" s="103" t="str">
        <f aca="false">IF($C2631="","",$D2631*IFERROR(INDEX('تحليل التكلفة والسعر'!$C$2:$C$700,MATCH($C2631,'تحليل التكلفة والسعر'!$B$2:$B$700,0)),0))</f>
        <v/>
      </c>
    </row>
    <row r="2632" customFormat="false" ht="15" hidden="false" customHeight="false" outlineLevel="0" collapsed="false">
      <c r="A2632" s="102"/>
      <c r="E2632" s="103" t="str">
        <f aca="false">IF($C2632="","",IFERROR(INDEX(المنيو!$C$2:$C$500,MATCH($C2632,المنيو!$B$2:$B$500,0)),0))</f>
        <v/>
      </c>
      <c r="F2632" s="103" t="str">
        <f aca="false">IF($C2632="","",$D2632*$E2632)</f>
        <v/>
      </c>
      <c r="G2632" s="103" t="str">
        <f aca="false">IF($C2632="","",$D2632*IFERROR(INDEX('تحليل التكلفة والسعر'!$C$2:$C$700,MATCH($C2632,'تحليل التكلفة والسعر'!$B$2:$B$700,0)),0))</f>
        <v/>
      </c>
    </row>
    <row r="2633" customFormat="false" ht="15" hidden="false" customHeight="false" outlineLevel="0" collapsed="false">
      <c r="A2633" s="102"/>
      <c r="E2633" s="103" t="str">
        <f aca="false">IF($C2633="","",IFERROR(INDEX(المنيو!$C$2:$C$500,MATCH($C2633,المنيو!$B$2:$B$500,0)),0))</f>
        <v/>
      </c>
      <c r="F2633" s="103" t="str">
        <f aca="false">IF($C2633="","",$D2633*$E2633)</f>
        <v/>
      </c>
      <c r="G2633" s="103" t="str">
        <f aca="false">IF($C2633="","",$D2633*IFERROR(INDEX('تحليل التكلفة والسعر'!$C$2:$C$700,MATCH($C2633,'تحليل التكلفة والسعر'!$B$2:$B$700,0)),0))</f>
        <v/>
      </c>
    </row>
    <row r="2634" customFormat="false" ht="15" hidden="false" customHeight="false" outlineLevel="0" collapsed="false">
      <c r="A2634" s="102"/>
      <c r="E2634" s="103" t="str">
        <f aca="false">IF($C2634="","",IFERROR(INDEX(المنيو!$C$2:$C$500,MATCH($C2634,المنيو!$B$2:$B$500,0)),0))</f>
        <v/>
      </c>
      <c r="F2634" s="103" t="str">
        <f aca="false">IF($C2634="","",$D2634*$E2634)</f>
        <v/>
      </c>
      <c r="G2634" s="103" t="str">
        <f aca="false">IF($C2634="","",$D2634*IFERROR(INDEX('تحليل التكلفة والسعر'!$C$2:$C$700,MATCH($C2634,'تحليل التكلفة والسعر'!$B$2:$B$700,0)),0))</f>
        <v/>
      </c>
    </row>
    <row r="2635" customFormat="false" ht="15" hidden="false" customHeight="false" outlineLevel="0" collapsed="false">
      <c r="A2635" s="102"/>
      <c r="E2635" s="103" t="str">
        <f aca="false">IF($C2635="","",IFERROR(INDEX(المنيو!$C$2:$C$500,MATCH($C2635,المنيو!$B$2:$B$500,0)),0))</f>
        <v/>
      </c>
      <c r="F2635" s="103" t="str">
        <f aca="false">IF($C2635="","",$D2635*$E2635)</f>
        <v/>
      </c>
      <c r="G2635" s="103" t="str">
        <f aca="false">IF($C2635="","",$D2635*IFERROR(INDEX('تحليل التكلفة والسعر'!$C$2:$C$700,MATCH($C2635,'تحليل التكلفة والسعر'!$B$2:$B$700,0)),0))</f>
        <v/>
      </c>
    </row>
    <row r="2636" customFormat="false" ht="15" hidden="false" customHeight="false" outlineLevel="0" collapsed="false">
      <c r="A2636" s="102"/>
      <c r="E2636" s="103" t="str">
        <f aca="false">IF($C2636="","",IFERROR(INDEX(المنيو!$C$2:$C$500,MATCH($C2636,المنيو!$B$2:$B$500,0)),0))</f>
        <v/>
      </c>
      <c r="F2636" s="103" t="str">
        <f aca="false">IF($C2636="","",$D2636*$E2636)</f>
        <v/>
      </c>
      <c r="G2636" s="103" t="str">
        <f aca="false">IF($C2636="","",$D2636*IFERROR(INDEX('تحليل التكلفة والسعر'!$C$2:$C$700,MATCH($C2636,'تحليل التكلفة والسعر'!$B$2:$B$700,0)),0))</f>
        <v/>
      </c>
    </row>
    <row r="2637" customFormat="false" ht="15" hidden="false" customHeight="false" outlineLevel="0" collapsed="false">
      <c r="A2637" s="102"/>
      <c r="E2637" s="103" t="str">
        <f aca="false">IF($C2637="","",IFERROR(INDEX(المنيو!$C$2:$C$500,MATCH($C2637,المنيو!$B$2:$B$500,0)),0))</f>
        <v/>
      </c>
      <c r="F2637" s="103" t="str">
        <f aca="false">IF($C2637="","",$D2637*$E2637)</f>
        <v/>
      </c>
      <c r="G2637" s="103" t="str">
        <f aca="false">IF($C2637="","",$D2637*IFERROR(INDEX('تحليل التكلفة والسعر'!$C$2:$C$700,MATCH($C2637,'تحليل التكلفة والسعر'!$B$2:$B$700,0)),0))</f>
        <v/>
      </c>
    </row>
    <row r="2638" customFormat="false" ht="15" hidden="false" customHeight="false" outlineLevel="0" collapsed="false">
      <c r="A2638" s="102"/>
      <c r="E2638" s="103" t="str">
        <f aca="false">IF($C2638="","",IFERROR(INDEX(المنيو!$C$2:$C$500,MATCH($C2638,المنيو!$B$2:$B$500,0)),0))</f>
        <v/>
      </c>
      <c r="F2638" s="103" t="str">
        <f aca="false">IF($C2638="","",$D2638*$E2638)</f>
        <v/>
      </c>
      <c r="G2638" s="103" t="str">
        <f aca="false">IF($C2638="","",$D2638*IFERROR(INDEX('تحليل التكلفة والسعر'!$C$2:$C$700,MATCH($C2638,'تحليل التكلفة والسعر'!$B$2:$B$700,0)),0))</f>
        <v/>
      </c>
    </row>
    <row r="2639" customFormat="false" ht="15" hidden="false" customHeight="false" outlineLevel="0" collapsed="false">
      <c r="A2639" s="102"/>
      <c r="E2639" s="103" t="str">
        <f aca="false">IF($C2639="","",IFERROR(INDEX(المنيو!$C$2:$C$500,MATCH($C2639,المنيو!$B$2:$B$500,0)),0))</f>
        <v/>
      </c>
      <c r="F2639" s="103" t="str">
        <f aca="false">IF($C2639="","",$D2639*$E2639)</f>
        <v/>
      </c>
      <c r="G2639" s="103" t="str">
        <f aca="false">IF($C2639="","",$D2639*IFERROR(INDEX('تحليل التكلفة والسعر'!$C$2:$C$700,MATCH($C2639,'تحليل التكلفة والسعر'!$B$2:$B$700,0)),0))</f>
        <v/>
      </c>
    </row>
    <row r="2640" customFormat="false" ht="15" hidden="false" customHeight="false" outlineLevel="0" collapsed="false">
      <c r="A2640" s="102"/>
      <c r="E2640" s="103" t="str">
        <f aca="false">IF($C2640="","",IFERROR(INDEX(المنيو!$C$2:$C$500,MATCH($C2640,المنيو!$B$2:$B$500,0)),0))</f>
        <v/>
      </c>
      <c r="F2640" s="103" t="str">
        <f aca="false">IF($C2640="","",$D2640*$E2640)</f>
        <v/>
      </c>
      <c r="G2640" s="103" t="str">
        <f aca="false">IF($C2640="","",$D2640*IFERROR(INDEX('تحليل التكلفة والسعر'!$C$2:$C$700,MATCH($C2640,'تحليل التكلفة والسعر'!$B$2:$B$700,0)),0))</f>
        <v/>
      </c>
    </row>
    <row r="2641" customFormat="false" ht="15" hidden="false" customHeight="false" outlineLevel="0" collapsed="false">
      <c r="A2641" s="102"/>
      <c r="E2641" s="103" t="str">
        <f aca="false">IF($C2641="","",IFERROR(INDEX(المنيو!$C$2:$C$500,MATCH($C2641,المنيو!$B$2:$B$500,0)),0))</f>
        <v/>
      </c>
      <c r="F2641" s="103" t="str">
        <f aca="false">IF($C2641="","",$D2641*$E2641)</f>
        <v/>
      </c>
      <c r="G2641" s="103" t="str">
        <f aca="false">IF($C2641="","",$D2641*IFERROR(INDEX('تحليل التكلفة والسعر'!$C$2:$C$700,MATCH($C2641,'تحليل التكلفة والسعر'!$B$2:$B$700,0)),0))</f>
        <v/>
      </c>
    </row>
    <row r="2642" customFormat="false" ht="15" hidden="false" customHeight="false" outlineLevel="0" collapsed="false">
      <c r="A2642" s="102"/>
      <c r="E2642" s="103" t="str">
        <f aca="false">IF($C2642="","",IFERROR(INDEX(المنيو!$C$2:$C$500,MATCH($C2642,المنيو!$B$2:$B$500,0)),0))</f>
        <v/>
      </c>
      <c r="F2642" s="103" t="str">
        <f aca="false">IF($C2642="","",$D2642*$E2642)</f>
        <v/>
      </c>
      <c r="G2642" s="103" t="str">
        <f aca="false">IF($C2642="","",$D2642*IFERROR(INDEX('تحليل التكلفة والسعر'!$C$2:$C$700,MATCH($C2642,'تحليل التكلفة والسعر'!$B$2:$B$700,0)),0))</f>
        <v/>
      </c>
    </row>
    <row r="2643" customFormat="false" ht="15" hidden="false" customHeight="false" outlineLevel="0" collapsed="false">
      <c r="A2643" s="102"/>
      <c r="E2643" s="103" t="str">
        <f aca="false">IF($C2643="","",IFERROR(INDEX(المنيو!$C$2:$C$500,MATCH($C2643,المنيو!$B$2:$B$500,0)),0))</f>
        <v/>
      </c>
      <c r="F2643" s="103" t="str">
        <f aca="false">IF($C2643="","",$D2643*$E2643)</f>
        <v/>
      </c>
      <c r="G2643" s="103" t="str">
        <f aca="false">IF($C2643="","",$D2643*IFERROR(INDEX('تحليل التكلفة والسعر'!$C$2:$C$700,MATCH($C2643,'تحليل التكلفة والسعر'!$B$2:$B$700,0)),0))</f>
        <v/>
      </c>
    </row>
    <row r="2644" customFormat="false" ht="15" hidden="false" customHeight="false" outlineLevel="0" collapsed="false">
      <c r="A2644" s="102"/>
      <c r="E2644" s="103" t="str">
        <f aca="false">IF($C2644="","",IFERROR(INDEX(المنيو!$C$2:$C$500,MATCH($C2644,المنيو!$B$2:$B$500,0)),0))</f>
        <v/>
      </c>
      <c r="F2644" s="103" t="str">
        <f aca="false">IF($C2644="","",$D2644*$E2644)</f>
        <v/>
      </c>
      <c r="G2644" s="103" t="str">
        <f aca="false">IF($C2644="","",$D2644*IFERROR(INDEX('تحليل التكلفة والسعر'!$C$2:$C$700,MATCH($C2644,'تحليل التكلفة والسعر'!$B$2:$B$700,0)),0))</f>
        <v/>
      </c>
    </row>
    <row r="2645" customFormat="false" ht="15" hidden="false" customHeight="false" outlineLevel="0" collapsed="false">
      <c r="A2645" s="102"/>
      <c r="E2645" s="103" t="str">
        <f aca="false">IF($C2645="","",IFERROR(INDEX(المنيو!$C$2:$C$500,MATCH($C2645,المنيو!$B$2:$B$500,0)),0))</f>
        <v/>
      </c>
      <c r="F2645" s="103" t="str">
        <f aca="false">IF($C2645="","",$D2645*$E2645)</f>
        <v/>
      </c>
      <c r="G2645" s="103" t="str">
        <f aca="false">IF($C2645="","",$D2645*IFERROR(INDEX('تحليل التكلفة والسعر'!$C$2:$C$700,MATCH($C2645,'تحليل التكلفة والسعر'!$B$2:$B$700,0)),0))</f>
        <v/>
      </c>
    </row>
    <row r="2646" customFormat="false" ht="15" hidden="false" customHeight="false" outlineLevel="0" collapsed="false">
      <c r="A2646" s="102"/>
      <c r="E2646" s="103" t="str">
        <f aca="false">IF($C2646="","",IFERROR(INDEX(المنيو!$C$2:$C$500,MATCH($C2646,المنيو!$B$2:$B$500,0)),0))</f>
        <v/>
      </c>
      <c r="F2646" s="103" t="str">
        <f aca="false">IF($C2646="","",$D2646*$E2646)</f>
        <v/>
      </c>
      <c r="G2646" s="103" t="str">
        <f aca="false">IF($C2646="","",$D2646*IFERROR(INDEX('تحليل التكلفة والسعر'!$C$2:$C$700,MATCH($C2646,'تحليل التكلفة والسعر'!$B$2:$B$700,0)),0))</f>
        <v/>
      </c>
    </row>
    <row r="2647" customFormat="false" ht="15" hidden="false" customHeight="false" outlineLevel="0" collapsed="false">
      <c r="A2647" s="102"/>
      <c r="E2647" s="103" t="str">
        <f aca="false">IF($C2647="","",IFERROR(INDEX(المنيو!$C$2:$C$500,MATCH($C2647,المنيو!$B$2:$B$500,0)),0))</f>
        <v/>
      </c>
      <c r="F2647" s="103" t="str">
        <f aca="false">IF($C2647="","",$D2647*$E2647)</f>
        <v/>
      </c>
      <c r="G2647" s="103" t="str">
        <f aca="false">IF($C2647="","",$D2647*IFERROR(INDEX('تحليل التكلفة والسعر'!$C$2:$C$700,MATCH($C2647,'تحليل التكلفة والسعر'!$B$2:$B$700,0)),0))</f>
        <v/>
      </c>
    </row>
    <row r="2648" customFormat="false" ht="15" hidden="false" customHeight="false" outlineLevel="0" collapsed="false">
      <c r="A2648" s="102"/>
      <c r="E2648" s="103" t="str">
        <f aca="false">IF($C2648="","",IFERROR(INDEX(المنيو!$C$2:$C$500,MATCH($C2648,المنيو!$B$2:$B$500,0)),0))</f>
        <v/>
      </c>
      <c r="F2648" s="103" t="str">
        <f aca="false">IF($C2648="","",$D2648*$E2648)</f>
        <v/>
      </c>
      <c r="G2648" s="103" t="str">
        <f aca="false">IF($C2648="","",$D2648*IFERROR(INDEX('تحليل التكلفة والسعر'!$C$2:$C$700,MATCH($C2648,'تحليل التكلفة والسعر'!$B$2:$B$700,0)),0))</f>
        <v/>
      </c>
    </row>
    <row r="2649" customFormat="false" ht="15" hidden="false" customHeight="false" outlineLevel="0" collapsed="false">
      <c r="A2649" s="102"/>
      <c r="E2649" s="103" t="str">
        <f aca="false">IF($C2649="","",IFERROR(INDEX(المنيو!$C$2:$C$500,MATCH($C2649,المنيو!$B$2:$B$500,0)),0))</f>
        <v/>
      </c>
      <c r="F2649" s="103" t="str">
        <f aca="false">IF($C2649="","",$D2649*$E2649)</f>
        <v/>
      </c>
      <c r="G2649" s="103" t="str">
        <f aca="false">IF($C2649="","",$D2649*IFERROR(INDEX('تحليل التكلفة والسعر'!$C$2:$C$700,MATCH($C2649,'تحليل التكلفة والسعر'!$B$2:$B$700,0)),0))</f>
        <v/>
      </c>
    </row>
    <row r="2650" customFormat="false" ht="15" hidden="false" customHeight="false" outlineLevel="0" collapsed="false">
      <c r="A2650" s="102"/>
      <c r="E2650" s="103" t="str">
        <f aca="false">IF($C2650="","",IFERROR(INDEX(المنيو!$C$2:$C$500,MATCH($C2650,المنيو!$B$2:$B$500,0)),0))</f>
        <v/>
      </c>
      <c r="F2650" s="103" t="str">
        <f aca="false">IF($C2650="","",$D2650*$E2650)</f>
        <v/>
      </c>
      <c r="G2650" s="103" t="str">
        <f aca="false">IF($C2650="","",$D2650*IFERROR(INDEX('تحليل التكلفة والسعر'!$C$2:$C$700,MATCH($C2650,'تحليل التكلفة والسعر'!$B$2:$B$700,0)),0))</f>
        <v/>
      </c>
    </row>
    <row r="2651" customFormat="false" ht="15" hidden="false" customHeight="false" outlineLevel="0" collapsed="false">
      <c r="A2651" s="102"/>
      <c r="E2651" s="103" t="str">
        <f aca="false">IF($C2651="","",IFERROR(INDEX(المنيو!$C$2:$C$500,MATCH($C2651,المنيو!$B$2:$B$500,0)),0))</f>
        <v/>
      </c>
      <c r="F2651" s="103" t="str">
        <f aca="false">IF($C2651="","",$D2651*$E2651)</f>
        <v/>
      </c>
      <c r="G2651" s="103" t="str">
        <f aca="false">IF($C2651="","",$D2651*IFERROR(INDEX('تحليل التكلفة والسعر'!$C$2:$C$700,MATCH($C2651,'تحليل التكلفة والسعر'!$B$2:$B$700,0)),0))</f>
        <v/>
      </c>
    </row>
    <row r="2652" customFormat="false" ht="15" hidden="false" customHeight="false" outlineLevel="0" collapsed="false">
      <c r="A2652" s="102"/>
      <c r="E2652" s="103" t="str">
        <f aca="false">IF($C2652="","",IFERROR(INDEX(المنيو!$C$2:$C$500,MATCH($C2652,المنيو!$B$2:$B$500,0)),0))</f>
        <v/>
      </c>
      <c r="F2652" s="103" t="str">
        <f aca="false">IF($C2652="","",$D2652*$E2652)</f>
        <v/>
      </c>
      <c r="G2652" s="103" t="str">
        <f aca="false">IF($C2652="","",$D2652*IFERROR(INDEX('تحليل التكلفة والسعر'!$C$2:$C$700,MATCH($C2652,'تحليل التكلفة والسعر'!$B$2:$B$700,0)),0))</f>
        <v/>
      </c>
    </row>
    <row r="2653" customFormat="false" ht="15" hidden="false" customHeight="false" outlineLevel="0" collapsed="false">
      <c r="A2653" s="102"/>
      <c r="E2653" s="103" t="str">
        <f aca="false">IF($C2653="","",IFERROR(INDEX(المنيو!$C$2:$C$500,MATCH($C2653,المنيو!$B$2:$B$500,0)),0))</f>
        <v/>
      </c>
      <c r="F2653" s="103" t="str">
        <f aca="false">IF($C2653="","",$D2653*$E2653)</f>
        <v/>
      </c>
      <c r="G2653" s="103" t="str">
        <f aca="false">IF($C2653="","",$D2653*IFERROR(INDEX('تحليل التكلفة والسعر'!$C$2:$C$700,MATCH($C2653,'تحليل التكلفة والسعر'!$B$2:$B$700,0)),0))</f>
        <v/>
      </c>
    </row>
    <row r="2654" customFormat="false" ht="15" hidden="false" customHeight="false" outlineLevel="0" collapsed="false">
      <c r="A2654" s="102"/>
      <c r="E2654" s="103" t="str">
        <f aca="false">IF($C2654="","",IFERROR(INDEX(المنيو!$C$2:$C$500,MATCH($C2654,المنيو!$B$2:$B$500,0)),0))</f>
        <v/>
      </c>
      <c r="F2654" s="103" t="str">
        <f aca="false">IF($C2654="","",$D2654*$E2654)</f>
        <v/>
      </c>
      <c r="G2654" s="103" t="str">
        <f aca="false">IF($C2654="","",$D2654*IFERROR(INDEX('تحليل التكلفة والسعر'!$C$2:$C$700,MATCH($C2654,'تحليل التكلفة والسعر'!$B$2:$B$700,0)),0))</f>
        <v/>
      </c>
    </row>
    <row r="2655" customFormat="false" ht="15" hidden="false" customHeight="false" outlineLevel="0" collapsed="false">
      <c r="A2655" s="102"/>
      <c r="E2655" s="103" t="str">
        <f aca="false">IF($C2655="","",IFERROR(INDEX(المنيو!$C$2:$C$500,MATCH($C2655,المنيو!$B$2:$B$500,0)),0))</f>
        <v/>
      </c>
      <c r="F2655" s="103" t="str">
        <f aca="false">IF($C2655="","",$D2655*$E2655)</f>
        <v/>
      </c>
      <c r="G2655" s="103" t="str">
        <f aca="false">IF($C2655="","",$D2655*IFERROR(INDEX('تحليل التكلفة والسعر'!$C$2:$C$700,MATCH($C2655,'تحليل التكلفة والسعر'!$B$2:$B$700,0)),0))</f>
        <v/>
      </c>
    </row>
    <row r="2656" customFormat="false" ht="15" hidden="false" customHeight="false" outlineLevel="0" collapsed="false">
      <c r="A2656" s="102"/>
      <c r="E2656" s="103" t="str">
        <f aca="false">IF($C2656="","",IFERROR(INDEX(المنيو!$C$2:$C$500,MATCH($C2656,المنيو!$B$2:$B$500,0)),0))</f>
        <v/>
      </c>
      <c r="F2656" s="103" t="str">
        <f aca="false">IF($C2656="","",$D2656*$E2656)</f>
        <v/>
      </c>
      <c r="G2656" s="103" t="str">
        <f aca="false">IF($C2656="","",$D2656*IFERROR(INDEX('تحليل التكلفة والسعر'!$C$2:$C$700,MATCH($C2656,'تحليل التكلفة والسعر'!$B$2:$B$700,0)),0))</f>
        <v/>
      </c>
    </row>
    <row r="2657" customFormat="false" ht="15" hidden="false" customHeight="false" outlineLevel="0" collapsed="false">
      <c r="A2657" s="102"/>
      <c r="E2657" s="103" t="str">
        <f aca="false">IF($C2657="","",IFERROR(INDEX(المنيو!$C$2:$C$500,MATCH($C2657,المنيو!$B$2:$B$500,0)),0))</f>
        <v/>
      </c>
      <c r="F2657" s="103" t="str">
        <f aca="false">IF($C2657="","",$D2657*$E2657)</f>
        <v/>
      </c>
      <c r="G2657" s="103" t="str">
        <f aca="false">IF($C2657="","",$D2657*IFERROR(INDEX('تحليل التكلفة والسعر'!$C$2:$C$700,MATCH($C2657,'تحليل التكلفة والسعر'!$B$2:$B$700,0)),0))</f>
        <v/>
      </c>
    </row>
    <row r="2658" customFormat="false" ht="15" hidden="false" customHeight="false" outlineLevel="0" collapsed="false">
      <c r="A2658" s="102"/>
      <c r="E2658" s="103" t="str">
        <f aca="false">IF($C2658="","",IFERROR(INDEX(المنيو!$C$2:$C$500,MATCH($C2658,المنيو!$B$2:$B$500,0)),0))</f>
        <v/>
      </c>
      <c r="F2658" s="103" t="str">
        <f aca="false">IF($C2658="","",$D2658*$E2658)</f>
        <v/>
      </c>
      <c r="G2658" s="103" t="str">
        <f aca="false">IF($C2658="","",$D2658*IFERROR(INDEX('تحليل التكلفة والسعر'!$C$2:$C$700,MATCH($C2658,'تحليل التكلفة والسعر'!$B$2:$B$700,0)),0))</f>
        <v/>
      </c>
    </row>
    <row r="2659" customFormat="false" ht="15" hidden="false" customHeight="false" outlineLevel="0" collapsed="false">
      <c r="A2659" s="102"/>
      <c r="E2659" s="103" t="str">
        <f aca="false">IF($C2659="","",IFERROR(INDEX(المنيو!$C$2:$C$500,MATCH($C2659,المنيو!$B$2:$B$500,0)),0))</f>
        <v/>
      </c>
      <c r="F2659" s="103" t="str">
        <f aca="false">IF($C2659="","",$D2659*$E2659)</f>
        <v/>
      </c>
      <c r="G2659" s="103" t="str">
        <f aca="false">IF($C2659="","",$D2659*IFERROR(INDEX('تحليل التكلفة والسعر'!$C$2:$C$700,MATCH($C2659,'تحليل التكلفة والسعر'!$B$2:$B$700,0)),0))</f>
        <v/>
      </c>
    </row>
    <row r="2660" customFormat="false" ht="15" hidden="false" customHeight="false" outlineLevel="0" collapsed="false">
      <c r="A2660" s="102"/>
      <c r="E2660" s="103" t="str">
        <f aca="false">IF($C2660="","",IFERROR(INDEX(المنيو!$C$2:$C$500,MATCH($C2660,المنيو!$B$2:$B$500,0)),0))</f>
        <v/>
      </c>
      <c r="F2660" s="103" t="str">
        <f aca="false">IF($C2660="","",$D2660*$E2660)</f>
        <v/>
      </c>
      <c r="G2660" s="103" t="str">
        <f aca="false">IF($C2660="","",$D2660*IFERROR(INDEX('تحليل التكلفة والسعر'!$C$2:$C$700,MATCH($C2660,'تحليل التكلفة والسعر'!$B$2:$B$700,0)),0))</f>
        <v/>
      </c>
    </row>
    <row r="2661" customFormat="false" ht="15" hidden="false" customHeight="false" outlineLevel="0" collapsed="false">
      <c r="A2661" s="102"/>
      <c r="E2661" s="103" t="str">
        <f aca="false">IF($C2661="","",IFERROR(INDEX(المنيو!$C$2:$C$500,MATCH($C2661,المنيو!$B$2:$B$500,0)),0))</f>
        <v/>
      </c>
      <c r="F2661" s="103" t="str">
        <f aca="false">IF($C2661="","",$D2661*$E2661)</f>
        <v/>
      </c>
      <c r="G2661" s="103" t="str">
        <f aca="false">IF($C2661="","",$D2661*IFERROR(INDEX('تحليل التكلفة والسعر'!$C$2:$C$700,MATCH($C2661,'تحليل التكلفة والسعر'!$B$2:$B$700,0)),0))</f>
        <v/>
      </c>
    </row>
    <row r="2662" customFormat="false" ht="15" hidden="false" customHeight="false" outlineLevel="0" collapsed="false">
      <c r="A2662" s="102"/>
      <c r="E2662" s="103" t="str">
        <f aca="false">IF($C2662="","",IFERROR(INDEX(المنيو!$C$2:$C$500,MATCH($C2662,المنيو!$B$2:$B$500,0)),0))</f>
        <v/>
      </c>
      <c r="F2662" s="103" t="str">
        <f aca="false">IF($C2662="","",$D2662*$E2662)</f>
        <v/>
      </c>
      <c r="G2662" s="103" t="str">
        <f aca="false">IF($C2662="","",$D2662*IFERROR(INDEX('تحليل التكلفة والسعر'!$C$2:$C$700,MATCH($C2662,'تحليل التكلفة والسعر'!$B$2:$B$700,0)),0))</f>
        <v/>
      </c>
    </row>
    <row r="2663" customFormat="false" ht="15" hidden="false" customHeight="false" outlineLevel="0" collapsed="false">
      <c r="A2663" s="102"/>
      <c r="E2663" s="103" t="str">
        <f aca="false">IF($C2663="","",IFERROR(INDEX(المنيو!$C$2:$C$500,MATCH($C2663,المنيو!$B$2:$B$500,0)),0))</f>
        <v/>
      </c>
      <c r="F2663" s="103" t="str">
        <f aca="false">IF($C2663="","",$D2663*$E2663)</f>
        <v/>
      </c>
      <c r="G2663" s="103" t="str">
        <f aca="false">IF($C2663="","",$D2663*IFERROR(INDEX('تحليل التكلفة والسعر'!$C$2:$C$700,MATCH($C2663,'تحليل التكلفة والسعر'!$B$2:$B$700,0)),0))</f>
        <v/>
      </c>
    </row>
    <row r="2664" customFormat="false" ht="15" hidden="false" customHeight="false" outlineLevel="0" collapsed="false">
      <c r="A2664" s="102"/>
      <c r="E2664" s="103" t="str">
        <f aca="false">IF($C2664="","",IFERROR(INDEX(المنيو!$C$2:$C$500,MATCH($C2664,المنيو!$B$2:$B$500,0)),0))</f>
        <v/>
      </c>
      <c r="F2664" s="103" t="str">
        <f aca="false">IF($C2664="","",$D2664*$E2664)</f>
        <v/>
      </c>
      <c r="G2664" s="103" t="str">
        <f aca="false">IF($C2664="","",$D2664*IFERROR(INDEX('تحليل التكلفة والسعر'!$C$2:$C$700,MATCH($C2664,'تحليل التكلفة والسعر'!$B$2:$B$700,0)),0))</f>
        <v/>
      </c>
    </row>
    <row r="2665" customFormat="false" ht="15" hidden="false" customHeight="false" outlineLevel="0" collapsed="false">
      <c r="A2665" s="102"/>
      <c r="E2665" s="103" t="str">
        <f aca="false">IF($C2665="","",IFERROR(INDEX(المنيو!$C$2:$C$500,MATCH($C2665,المنيو!$B$2:$B$500,0)),0))</f>
        <v/>
      </c>
      <c r="F2665" s="103" t="str">
        <f aca="false">IF($C2665="","",$D2665*$E2665)</f>
        <v/>
      </c>
      <c r="G2665" s="103" t="str">
        <f aca="false">IF($C2665="","",$D2665*IFERROR(INDEX('تحليل التكلفة والسعر'!$C$2:$C$700,MATCH($C2665,'تحليل التكلفة والسعر'!$B$2:$B$700,0)),0))</f>
        <v/>
      </c>
    </row>
    <row r="2666" customFormat="false" ht="15" hidden="false" customHeight="false" outlineLevel="0" collapsed="false">
      <c r="A2666" s="102"/>
      <c r="E2666" s="103" t="str">
        <f aca="false">IF($C2666="","",IFERROR(INDEX(المنيو!$C$2:$C$500,MATCH($C2666,المنيو!$B$2:$B$500,0)),0))</f>
        <v/>
      </c>
      <c r="F2666" s="103" t="str">
        <f aca="false">IF($C2666="","",$D2666*$E2666)</f>
        <v/>
      </c>
      <c r="G2666" s="103" t="str">
        <f aca="false">IF($C2666="","",$D2666*IFERROR(INDEX('تحليل التكلفة والسعر'!$C$2:$C$700,MATCH($C2666,'تحليل التكلفة والسعر'!$B$2:$B$700,0)),0))</f>
        <v/>
      </c>
    </row>
    <row r="2667" customFormat="false" ht="15" hidden="false" customHeight="false" outlineLevel="0" collapsed="false">
      <c r="A2667" s="102"/>
      <c r="E2667" s="103" t="str">
        <f aca="false">IF($C2667="","",IFERROR(INDEX(المنيو!$C$2:$C$500,MATCH($C2667,المنيو!$B$2:$B$500,0)),0))</f>
        <v/>
      </c>
      <c r="F2667" s="103" t="str">
        <f aca="false">IF($C2667="","",$D2667*$E2667)</f>
        <v/>
      </c>
      <c r="G2667" s="103" t="str">
        <f aca="false">IF($C2667="","",$D2667*IFERROR(INDEX('تحليل التكلفة والسعر'!$C$2:$C$700,MATCH($C2667,'تحليل التكلفة والسعر'!$B$2:$B$700,0)),0))</f>
        <v/>
      </c>
    </row>
    <row r="2668" customFormat="false" ht="15" hidden="false" customHeight="false" outlineLevel="0" collapsed="false">
      <c r="A2668" s="102"/>
      <c r="E2668" s="103" t="str">
        <f aca="false">IF($C2668="","",IFERROR(INDEX(المنيو!$C$2:$C$500,MATCH($C2668,المنيو!$B$2:$B$500,0)),0))</f>
        <v/>
      </c>
      <c r="F2668" s="103" t="str">
        <f aca="false">IF($C2668="","",$D2668*$E2668)</f>
        <v/>
      </c>
      <c r="G2668" s="103" t="str">
        <f aca="false">IF($C2668="","",$D2668*IFERROR(INDEX('تحليل التكلفة والسعر'!$C$2:$C$700,MATCH($C2668,'تحليل التكلفة والسعر'!$B$2:$B$700,0)),0))</f>
        <v/>
      </c>
    </row>
    <row r="2669" customFormat="false" ht="15" hidden="false" customHeight="false" outlineLevel="0" collapsed="false">
      <c r="A2669" s="102"/>
      <c r="E2669" s="103" t="str">
        <f aca="false">IF($C2669="","",IFERROR(INDEX(المنيو!$C$2:$C$500,MATCH($C2669,المنيو!$B$2:$B$500,0)),0))</f>
        <v/>
      </c>
      <c r="F2669" s="103" t="str">
        <f aca="false">IF($C2669="","",$D2669*$E2669)</f>
        <v/>
      </c>
      <c r="G2669" s="103" t="str">
        <f aca="false">IF($C2669="","",$D2669*IFERROR(INDEX('تحليل التكلفة والسعر'!$C$2:$C$700,MATCH($C2669,'تحليل التكلفة والسعر'!$B$2:$B$700,0)),0))</f>
        <v/>
      </c>
    </row>
    <row r="2670" customFormat="false" ht="15" hidden="false" customHeight="false" outlineLevel="0" collapsed="false">
      <c r="A2670" s="102"/>
      <c r="E2670" s="103" t="str">
        <f aca="false">IF($C2670="","",IFERROR(INDEX(المنيو!$C$2:$C$500,MATCH($C2670,المنيو!$B$2:$B$500,0)),0))</f>
        <v/>
      </c>
      <c r="F2670" s="103" t="str">
        <f aca="false">IF($C2670="","",$D2670*$E2670)</f>
        <v/>
      </c>
      <c r="G2670" s="103" t="str">
        <f aca="false">IF($C2670="","",$D2670*IFERROR(INDEX('تحليل التكلفة والسعر'!$C$2:$C$700,MATCH($C2670,'تحليل التكلفة والسعر'!$B$2:$B$700,0)),0))</f>
        <v/>
      </c>
    </row>
    <row r="2671" customFormat="false" ht="15" hidden="false" customHeight="false" outlineLevel="0" collapsed="false">
      <c r="A2671" s="102"/>
      <c r="E2671" s="103" t="str">
        <f aca="false">IF($C2671="","",IFERROR(INDEX(المنيو!$C$2:$C$500,MATCH($C2671,المنيو!$B$2:$B$500,0)),0))</f>
        <v/>
      </c>
      <c r="F2671" s="103" t="str">
        <f aca="false">IF($C2671="","",$D2671*$E2671)</f>
        <v/>
      </c>
      <c r="G2671" s="103" t="str">
        <f aca="false">IF($C2671="","",$D2671*IFERROR(INDEX('تحليل التكلفة والسعر'!$C$2:$C$700,MATCH($C2671,'تحليل التكلفة والسعر'!$B$2:$B$700,0)),0))</f>
        <v/>
      </c>
    </row>
    <row r="2672" customFormat="false" ht="15" hidden="false" customHeight="false" outlineLevel="0" collapsed="false">
      <c r="A2672" s="102"/>
      <c r="E2672" s="103" t="str">
        <f aca="false">IF($C2672="","",IFERROR(INDEX(المنيو!$C$2:$C$500,MATCH($C2672,المنيو!$B$2:$B$500,0)),0))</f>
        <v/>
      </c>
      <c r="F2672" s="103" t="str">
        <f aca="false">IF($C2672="","",$D2672*$E2672)</f>
        <v/>
      </c>
      <c r="G2672" s="103" t="str">
        <f aca="false">IF($C2672="","",$D2672*IFERROR(INDEX('تحليل التكلفة والسعر'!$C$2:$C$700,MATCH($C2672,'تحليل التكلفة والسعر'!$B$2:$B$700,0)),0))</f>
        <v/>
      </c>
    </row>
    <row r="2673" customFormat="false" ht="15" hidden="false" customHeight="false" outlineLevel="0" collapsed="false">
      <c r="A2673" s="102"/>
      <c r="E2673" s="103" t="str">
        <f aca="false">IF($C2673="","",IFERROR(INDEX(المنيو!$C$2:$C$500,MATCH($C2673,المنيو!$B$2:$B$500,0)),0))</f>
        <v/>
      </c>
      <c r="F2673" s="103" t="str">
        <f aca="false">IF($C2673="","",$D2673*$E2673)</f>
        <v/>
      </c>
      <c r="G2673" s="103" t="str">
        <f aca="false">IF($C2673="","",$D2673*IFERROR(INDEX('تحليل التكلفة والسعر'!$C$2:$C$700,MATCH($C2673,'تحليل التكلفة والسعر'!$B$2:$B$700,0)),0))</f>
        <v/>
      </c>
    </row>
    <row r="2674" customFormat="false" ht="15" hidden="false" customHeight="false" outlineLevel="0" collapsed="false">
      <c r="A2674" s="102"/>
      <c r="E2674" s="103" t="str">
        <f aca="false">IF($C2674="","",IFERROR(INDEX(المنيو!$C$2:$C$500,MATCH($C2674,المنيو!$B$2:$B$500,0)),0))</f>
        <v/>
      </c>
      <c r="F2674" s="103" t="str">
        <f aca="false">IF($C2674="","",$D2674*$E2674)</f>
        <v/>
      </c>
      <c r="G2674" s="103" t="str">
        <f aca="false">IF($C2674="","",$D2674*IFERROR(INDEX('تحليل التكلفة والسعر'!$C$2:$C$700,MATCH($C2674,'تحليل التكلفة والسعر'!$B$2:$B$700,0)),0))</f>
        <v/>
      </c>
    </row>
    <row r="2675" customFormat="false" ht="15" hidden="false" customHeight="false" outlineLevel="0" collapsed="false">
      <c r="A2675" s="102"/>
      <c r="E2675" s="103" t="str">
        <f aca="false">IF($C2675="","",IFERROR(INDEX(المنيو!$C$2:$C$500,MATCH($C2675,المنيو!$B$2:$B$500,0)),0))</f>
        <v/>
      </c>
      <c r="F2675" s="103" t="str">
        <f aca="false">IF($C2675="","",$D2675*$E2675)</f>
        <v/>
      </c>
      <c r="G2675" s="103" t="str">
        <f aca="false">IF($C2675="","",$D2675*IFERROR(INDEX('تحليل التكلفة والسعر'!$C$2:$C$700,MATCH($C2675,'تحليل التكلفة والسعر'!$B$2:$B$700,0)),0))</f>
        <v/>
      </c>
    </row>
    <row r="2676" customFormat="false" ht="15" hidden="false" customHeight="false" outlineLevel="0" collapsed="false">
      <c r="A2676" s="102"/>
      <c r="E2676" s="103" t="str">
        <f aca="false">IF($C2676="","",IFERROR(INDEX(المنيو!$C$2:$C$500,MATCH($C2676,المنيو!$B$2:$B$500,0)),0))</f>
        <v/>
      </c>
      <c r="F2676" s="103" t="str">
        <f aca="false">IF($C2676="","",$D2676*$E2676)</f>
        <v/>
      </c>
      <c r="G2676" s="103" t="str">
        <f aca="false">IF($C2676="","",$D2676*IFERROR(INDEX('تحليل التكلفة والسعر'!$C$2:$C$700,MATCH($C2676,'تحليل التكلفة والسعر'!$B$2:$B$700,0)),0))</f>
        <v/>
      </c>
    </row>
    <row r="2677" customFormat="false" ht="15" hidden="false" customHeight="false" outlineLevel="0" collapsed="false">
      <c r="A2677" s="102"/>
      <c r="E2677" s="103" t="str">
        <f aca="false">IF($C2677="","",IFERROR(INDEX(المنيو!$C$2:$C$500,MATCH($C2677,المنيو!$B$2:$B$500,0)),0))</f>
        <v/>
      </c>
      <c r="F2677" s="103" t="str">
        <f aca="false">IF($C2677="","",$D2677*$E2677)</f>
        <v/>
      </c>
      <c r="G2677" s="103" t="str">
        <f aca="false">IF($C2677="","",$D2677*IFERROR(INDEX('تحليل التكلفة والسعر'!$C$2:$C$700,MATCH($C2677,'تحليل التكلفة والسعر'!$B$2:$B$700,0)),0))</f>
        <v/>
      </c>
    </row>
    <row r="2678" customFormat="false" ht="15" hidden="false" customHeight="false" outlineLevel="0" collapsed="false">
      <c r="A2678" s="102"/>
      <c r="E2678" s="103" t="str">
        <f aca="false">IF($C2678="","",IFERROR(INDEX(المنيو!$C$2:$C$500,MATCH($C2678,المنيو!$B$2:$B$500,0)),0))</f>
        <v/>
      </c>
      <c r="F2678" s="103" t="str">
        <f aca="false">IF($C2678="","",$D2678*$E2678)</f>
        <v/>
      </c>
      <c r="G2678" s="103" t="str">
        <f aca="false">IF($C2678="","",$D2678*IFERROR(INDEX('تحليل التكلفة والسعر'!$C$2:$C$700,MATCH($C2678,'تحليل التكلفة والسعر'!$B$2:$B$700,0)),0))</f>
        <v/>
      </c>
    </row>
    <row r="2679" customFormat="false" ht="15" hidden="false" customHeight="false" outlineLevel="0" collapsed="false">
      <c r="A2679" s="102"/>
      <c r="E2679" s="103" t="str">
        <f aca="false">IF($C2679="","",IFERROR(INDEX(المنيو!$C$2:$C$500,MATCH($C2679,المنيو!$B$2:$B$500,0)),0))</f>
        <v/>
      </c>
      <c r="F2679" s="103" t="str">
        <f aca="false">IF($C2679="","",$D2679*$E2679)</f>
        <v/>
      </c>
      <c r="G2679" s="103" t="str">
        <f aca="false">IF($C2679="","",$D2679*IFERROR(INDEX('تحليل التكلفة والسعر'!$C$2:$C$700,MATCH($C2679,'تحليل التكلفة والسعر'!$B$2:$B$700,0)),0))</f>
        <v/>
      </c>
    </row>
    <row r="2680" customFormat="false" ht="15" hidden="false" customHeight="false" outlineLevel="0" collapsed="false">
      <c r="A2680" s="102"/>
      <c r="E2680" s="103" t="str">
        <f aca="false">IF($C2680="","",IFERROR(INDEX(المنيو!$C$2:$C$500,MATCH($C2680,المنيو!$B$2:$B$500,0)),0))</f>
        <v/>
      </c>
      <c r="F2680" s="103" t="str">
        <f aca="false">IF($C2680="","",$D2680*$E2680)</f>
        <v/>
      </c>
      <c r="G2680" s="103" t="str">
        <f aca="false">IF($C2680="","",$D2680*IFERROR(INDEX('تحليل التكلفة والسعر'!$C$2:$C$700,MATCH($C2680,'تحليل التكلفة والسعر'!$B$2:$B$700,0)),0))</f>
        <v/>
      </c>
    </row>
    <row r="2681" customFormat="false" ht="15" hidden="false" customHeight="false" outlineLevel="0" collapsed="false">
      <c r="A2681" s="102"/>
      <c r="E2681" s="103" t="str">
        <f aca="false">IF($C2681="","",IFERROR(INDEX(المنيو!$C$2:$C$500,MATCH($C2681,المنيو!$B$2:$B$500,0)),0))</f>
        <v/>
      </c>
      <c r="F2681" s="103" t="str">
        <f aca="false">IF($C2681="","",$D2681*$E2681)</f>
        <v/>
      </c>
      <c r="G2681" s="103" t="str">
        <f aca="false">IF($C2681="","",$D2681*IFERROR(INDEX('تحليل التكلفة والسعر'!$C$2:$C$700,MATCH($C2681,'تحليل التكلفة والسعر'!$B$2:$B$700,0)),0))</f>
        <v/>
      </c>
    </row>
    <row r="2682" customFormat="false" ht="15" hidden="false" customHeight="false" outlineLevel="0" collapsed="false">
      <c r="A2682" s="102"/>
      <c r="E2682" s="103" t="str">
        <f aca="false">IF($C2682="","",IFERROR(INDEX(المنيو!$C$2:$C$500,MATCH($C2682,المنيو!$B$2:$B$500,0)),0))</f>
        <v/>
      </c>
      <c r="F2682" s="103" t="str">
        <f aca="false">IF($C2682="","",$D2682*$E2682)</f>
        <v/>
      </c>
      <c r="G2682" s="103" t="str">
        <f aca="false">IF($C2682="","",$D2682*IFERROR(INDEX('تحليل التكلفة والسعر'!$C$2:$C$700,MATCH($C2682,'تحليل التكلفة والسعر'!$B$2:$B$700,0)),0))</f>
        <v/>
      </c>
    </row>
    <row r="2683" customFormat="false" ht="15" hidden="false" customHeight="false" outlineLevel="0" collapsed="false">
      <c r="A2683" s="102"/>
      <c r="E2683" s="103" t="str">
        <f aca="false">IF($C2683="","",IFERROR(INDEX(المنيو!$C$2:$C$500,MATCH($C2683,المنيو!$B$2:$B$500,0)),0))</f>
        <v/>
      </c>
      <c r="F2683" s="103" t="str">
        <f aca="false">IF($C2683="","",$D2683*$E2683)</f>
        <v/>
      </c>
      <c r="G2683" s="103" t="str">
        <f aca="false">IF($C2683="","",$D2683*IFERROR(INDEX('تحليل التكلفة والسعر'!$C$2:$C$700,MATCH($C2683,'تحليل التكلفة والسعر'!$B$2:$B$700,0)),0))</f>
        <v/>
      </c>
    </row>
    <row r="2684" customFormat="false" ht="15" hidden="false" customHeight="false" outlineLevel="0" collapsed="false">
      <c r="A2684" s="102"/>
      <c r="E2684" s="103" t="str">
        <f aca="false">IF($C2684="","",IFERROR(INDEX(المنيو!$C$2:$C$500,MATCH($C2684,المنيو!$B$2:$B$500,0)),0))</f>
        <v/>
      </c>
      <c r="F2684" s="103" t="str">
        <f aca="false">IF($C2684="","",$D2684*$E2684)</f>
        <v/>
      </c>
      <c r="G2684" s="103" t="str">
        <f aca="false">IF($C2684="","",$D2684*IFERROR(INDEX('تحليل التكلفة والسعر'!$C$2:$C$700,MATCH($C2684,'تحليل التكلفة والسعر'!$B$2:$B$700,0)),0))</f>
        <v/>
      </c>
    </row>
    <row r="2685" customFormat="false" ht="15" hidden="false" customHeight="false" outlineLevel="0" collapsed="false">
      <c r="A2685" s="102"/>
      <c r="E2685" s="103" t="str">
        <f aca="false">IF($C2685="","",IFERROR(INDEX(المنيو!$C$2:$C$500,MATCH($C2685,المنيو!$B$2:$B$500,0)),0))</f>
        <v/>
      </c>
      <c r="F2685" s="103" t="str">
        <f aca="false">IF($C2685="","",$D2685*$E2685)</f>
        <v/>
      </c>
      <c r="G2685" s="103" t="str">
        <f aca="false">IF($C2685="","",$D2685*IFERROR(INDEX('تحليل التكلفة والسعر'!$C$2:$C$700,MATCH($C2685,'تحليل التكلفة والسعر'!$B$2:$B$700,0)),0))</f>
        <v/>
      </c>
    </row>
    <row r="2686" customFormat="false" ht="15" hidden="false" customHeight="false" outlineLevel="0" collapsed="false">
      <c r="A2686" s="102"/>
      <c r="E2686" s="103" t="str">
        <f aca="false">IF($C2686="","",IFERROR(INDEX(المنيو!$C$2:$C$500,MATCH($C2686,المنيو!$B$2:$B$500,0)),0))</f>
        <v/>
      </c>
      <c r="F2686" s="103" t="str">
        <f aca="false">IF($C2686="","",$D2686*$E2686)</f>
        <v/>
      </c>
      <c r="G2686" s="103" t="str">
        <f aca="false">IF($C2686="","",$D2686*IFERROR(INDEX('تحليل التكلفة والسعر'!$C$2:$C$700,MATCH($C2686,'تحليل التكلفة والسعر'!$B$2:$B$700,0)),0))</f>
        <v/>
      </c>
    </row>
    <row r="2687" customFormat="false" ht="15" hidden="false" customHeight="false" outlineLevel="0" collapsed="false">
      <c r="A2687" s="102"/>
      <c r="E2687" s="103" t="str">
        <f aca="false">IF($C2687="","",IFERROR(INDEX(المنيو!$C$2:$C$500,MATCH($C2687,المنيو!$B$2:$B$500,0)),0))</f>
        <v/>
      </c>
      <c r="F2687" s="103" t="str">
        <f aca="false">IF($C2687="","",$D2687*$E2687)</f>
        <v/>
      </c>
      <c r="G2687" s="103" t="str">
        <f aca="false">IF($C2687="","",$D2687*IFERROR(INDEX('تحليل التكلفة والسعر'!$C$2:$C$700,MATCH($C2687,'تحليل التكلفة والسعر'!$B$2:$B$700,0)),0))</f>
        <v/>
      </c>
    </row>
    <row r="2688" customFormat="false" ht="15" hidden="false" customHeight="false" outlineLevel="0" collapsed="false">
      <c r="A2688" s="102"/>
      <c r="E2688" s="103" t="str">
        <f aca="false">IF($C2688="","",IFERROR(INDEX(المنيو!$C$2:$C$500,MATCH($C2688,المنيو!$B$2:$B$500,0)),0))</f>
        <v/>
      </c>
      <c r="F2688" s="103" t="str">
        <f aca="false">IF($C2688="","",$D2688*$E2688)</f>
        <v/>
      </c>
      <c r="G2688" s="103" t="str">
        <f aca="false">IF($C2688="","",$D2688*IFERROR(INDEX('تحليل التكلفة والسعر'!$C$2:$C$700,MATCH($C2688,'تحليل التكلفة والسعر'!$B$2:$B$700,0)),0))</f>
        <v/>
      </c>
    </row>
    <row r="2689" customFormat="false" ht="15" hidden="false" customHeight="false" outlineLevel="0" collapsed="false">
      <c r="A2689" s="102"/>
      <c r="E2689" s="103" t="str">
        <f aca="false">IF($C2689="","",IFERROR(INDEX(المنيو!$C$2:$C$500,MATCH($C2689,المنيو!$B$2:$B$500,0)),0))</f>
        <v/>
      </c>
      <c r="F2689" s="103" t="str">
        <f aca="false">IF($C2689="","",$D2689*$E2689)</f>
        <v/>
      </c>
      <c r="G2689" s="103" t="str">
        <f aca="false">IF($C2689="","",$D2689*IFERROR(INDEX('تحليل التكلفة والسعر'!$C$2:$C$700,MATCH($C2689,'تحليل التكلفة والسعر'!$B$2:$B$700,0)),0))</f>
        <v/>
      </c>
    </row>
    <row r="2690" customFormat="false" ht="15" hidden="false" customHeight="false" outlineLevel="0" collapsed="false">
      <c r="A2690" s="102"/>
      <c r="E2690" s="103" t="str">
        <f aca="false">IF($C2690="","",IFERROR(INDEX(المنيو!$C$2:$C$500,MATCH($C2690,المنيو!$B$2:$B$500,0)),0))</f>
        <v/>
      </c>
      <c r="F2690" s="103" t="str">
        <f aca="false">IF($C2690="","",$D2690*$E2690)</f>
        <v/>
      </c>
      <c r="G2690" s="103" t="str">
        <f aca="false">IF($C2690="","",$D2690*IFERROR(INDEX('تحليل التكلفة والسعر'!$C$2:$C$700,MATCH($C2690,'تحليل التكلفة والسعر'!$B$2:$B$700,0)),0))</f>
        <v/>
      </c>
    </row>
    <row r="2691" customFormat="false" ht="15" hidden="false" customHeight="false" outlineLevel="0" collapsed="false">
      <c r="A2691" s="102"/>
      <c r="E2691" s="103" t="str">
        <f aca="false">IF($C2691="","",IFERROR(INDEX(المنيو!$C$2:$C$500,MATCH($C2691,المنيو!$B$2:$B$500,0)),0))</f>
        <v/>
      </c>
      <c r="F2691" s="103" t="str">
        <f aca="false">IF($C2691="","",$D2691*$E2691)</f>
        <v/>
      </c>
      <c r="G2691" s="103" t="str">
        <f aca="false">IF($C2691="","",$D2691*IFERROR(INDEX('تحليل التكلفة والسعر'!$C$2:$C$700,MATCH($C2691,'تحليل التكلفة والسعر'!$B$2:$B$700,0)),0))</f>
        <v/>
      </c>
    </row>
    <row r="2692" customFormat="false" ht="15" hidden="false" customHeight="false" outlineLevel="0" collapsed="false">
      <c r="A2692" s="102"/>
      <c r="E2692" s="103" t="str">
        <f aca="false">IF($C2692="","",IFERROR(INDEX(المنيو!$C$2:$C$500,MATCH($C2692,المنيو!$B$2:$B$500,0)),0))</f>
        <v/>
      </c>
      <c r="F2692" s="103" t="str">
        <f aca="false">IF($C2692="","",$D2692*$E2692)</f>
        <v/>
      </c>
      <c r="G2692" s="103" t="str">
        <f aca="false">IF($C2692="","",$D2692*IFERROR(INDEX('تحليل التكلفة والسعر'!$C$2:$C$700,MATCH($C2692,'تحليل التكلفة والسعر'!$B$2:$B$700,0)),0))</f>
        <v/>
      </c>
    </row>
    <row r="2693" customFormat="false" ht="15" hidden="false" customHeight="false" outlineLevel="0" collapsed="false">
      <c r="A2693" s="102"/>
      <c r="E2693" s="103" t="str">
        <f aca="false">IF($C2693="","",IFERROR(INDEX(المنيو!$C$2:$C$500,MATCH($C2693,المنيو!$B$2:$B$500,0)),0))</f>
        <v/>
      </c>
      <c r="F2693" s="103" t="str">
        <f aca="false">IF($C2693="","",$D2693*$E2693)</f>
        <v/>
      </c>
      <c r="G2693" s="103" t="str">
        <f aca="false">IF($C2693="","",$D2693*IFERROR(INDEX('تحليل التكلفة والسعر'!$C$2:$C$700,MATCH($C2693,'تحليل التكلفة والسعر'!$B$2:$B$700,0)),0))</f>
        <v/>
      </c>
    </row>
    <row r="2694" customFormat="false" ht="15" hidden="false" customHeight="false" outlineLevel="0" collapsed="false">
      <c r="A2694" s="102"/>
      <c r="E2694" s="103" t="str">
        <f aca="false">IF($C2694="","",IFERROR(INDEX(المنيو!$C$2:$C$500,MATCH($C2694,المنيو!$B$2:$B$500,0)),0))</f>
        <v/>
      </c>
      <c r="F2694" s="103" t="str">
        <f aca="false">IF($C2694="","",$D2694*$E2694)</f>
        <v/>
      </c>
      <c r="G2694" s="103" t="str">
        <f aca="false">IF($C2694="","",$D2694*IFERROR(INDEX('تحليل التكلفة والسعر'!$C$2:$C$700,MATCH($C2694,'تحليل التكلفة والسعر'!$B$2:$B$700,0)),0))</f>
        <v/>
      </c>
    </row>
    <row r="2695" customFormat="false" ht="15" hidden="false" customHeight="false" outlineLevel="0" collapsed="false">
      <c r="A2695" s="102"/>
      <c r="E2695" s="103" t="str">
        <f aca="false">IF($C2695="","",IFERROR(INDEX(المنيو!$C$2:$C$500,MATCH($C2695,المنيو!$B$2:$B$500,0)),0))</f>
        <v/>
      </c>
      <c r="F2695" s="103" t="str">
        <f aca="false">IF($C2695="","",$D2695*$E2695)</f>
        <v/>
      </c>
      <c r="G2695" s="103" t="str">
        <f aca="false">IF($C2695="","",$D2695*IFERROR(INDEX('تحليل التكلفة والسعر'!$C$2:$C$700,MATCH($C2695,'تحليل التكلفة والسعر'!$B$2:$B$700,0)),0))</f>
        <v/>
      </c>
    </row>
    <row r="2696" customFormat="false" ht="15" hidden="false" customHeight="false" outlineLevel="0" collapsed="false">
      <c r="A2696" s="102"/>
      <c r="E2696" s="103" t="str">
        <f aca="false">IF($C2696="","",IFERROR(INDEX(المنيو!$C$2:$C$500,MATCH($C2696,المنيو!$B$2:$B$500,0)),0))</f>
        <v/>
      </c>
      <c r="F2696" s="103" t="str">
        <f aca="false">IF($C2696="","",$D2696*$E2696)</f>
        <v/>
      </c>
      <c r="G2696" s="103" t="str">
        <f aca="false">IF($C2696="","",$D2696*IFERROR(INDEX('تحليل التكلفة والسعر'!$C$2:$C$700,MATCH($C2696,'تحليل التكلفة والسعر'!$B$2:$B$700,0)),0))</f>
        <v/>
      </c>
    </row>
    <row r="2697" customFormat="false" ht="15" hidden="false" customHeight="false" outlineLevel="0" collapsed="false">
      <c r="A2697" s="102"/>
      <c r="E2697" s="103" t="str">
        <f aca="false">IF($C2697="","",IFERROR(INDEX(المنيو!$C$2:$C$500,MATCH($C2697,المنيو!$B$2:$B$500,0)),0))</f>
        <v/>
      </c>
      <c r="F2697" s="103" t="str">
        <f aca="false">IF($C2697="","",$D2697*$E2697)</f>
        <v/>
      </c>
      <c r="G2697" s="103" t="str">
        <f aca="false">IF($C2697="","",$D2697*IFERROR(INDEX('تحليل التكلفة والسعر'!$C$2:$C$700,MATCH($C2697,'تحليل التكلفة والسعر'!$B$2:$B$700,0)),0))</f>
        <v/>
      </c>
    </row>
    <row r="2698" customFormat="false" ht="15" hidden="false" customHeight="false" outlineLevel="0" collapsed="false">
      <c r="A2698" s="102"/>
      <c r="E2698" s="103" t="str">
        <f aca="false">IF($C2698="","",IFERROR(INDEX(المنيو!$C$2:$C$500,MATCH($C2698,المنيو!$B$2:$B$500,0)),0))</f>
        <v/>
      </c>
      <c r="F2698" s="103" t="str">
        <f aca="false">IF($C2698="","",$D2698*$E2698)</f>
        <v/>
      </c>
      <c r="G2698" s="103" t="str">
        <f aca="false">IF($C2698="","",$D2698*IFERROR(INDEX('تحليل التكلفة والسعر'!$C$2:$C$700,MATCH($C2698,'تحليل التكلفة والسعر'!$B$2:$B$700,0)),0))</f>
        <v/>
      </c>
    </row>
    <row r="2699" customFormat="false" ht="15" hidden="false" customHeight="false" outlineLevel="0" collapsed="false">
      <c r="A2699" s="102"/>
      <c r="E2699" s="103" t="str">
        <f aca="false">IF($C2699="","",IFERROR(INDEX(المنيو!$C$2:$C$500,MATCH($C2699,المنيو!$B$2:$B$500,0)),0))</f>
        <v/>
      </c>
      <c r="F2699" s="103" t="str">
        <f aca="false">IF($C2699="","",$D2699*$E2699)</f>
        <v/>
      </c>
      <c r="G2699" s="103" t="str">
        <f aca="false">IF($C2699="","",$D2699*IFERROR(INDEX('تحليل التكلفة والسعر'!$C$2:$C$700,MATCH($C2699,'تحليل التكلفة والسعر'!$B$2:$B$700,0)),0))</f>
        <v/>
      </c>
    </row>
    <row r="2700" customFormat="false" ht="15" hidden="false" customHeight="false" outlineLevel="0" collapsed="false">
      <c r="A2700" s="102"/>
      <c r="E2700" s="103" t="str">
        <f aca="false">IF($C2700="","",IFERROR(INDEX(المنيو!$C$2:$C$500,MATCH($C2700,المنيو!$B$2:$B$500,0)),0))</f>
        <v/>
      </c>
      <c r="F2700" s="103" t="str">
        <f aca="false">IF($C2700="","",$D2700*$E2700)</f>
        <v/>
      </c>
      <c r="G2700" s="103" t="str">
        <f aca="false">IF($C2700="","",$D2700*IFERROR(INDEX('تحليل التكلفة والسعر'!$C$2:$C$700,MATCH($C2700,'تحليل التكلفة والسعر'!$B$2:$B$700,0)),0))</f>
        <v/>
      </c>
    </row>
    <row r="2701" customFormat="false" ht="15" hidden="false" customHeight="false" outlineLevel="0" collapsed="false">
      <c r="A2701" s="102"/>
      <c r="E2701" s="103" t="str">
        <f aca="false">IF($C2701="","",IFERROR(INDEX(المنيو!$C$2:$C$500,MATCH($C2701,المنيو!$B$2:$B$500,0)),0))</f>
        <v/>
      </c>
      <c r="F2701" s="103" t="str">
        <f aca="false">IF($C2701="","",$D2701*$E2701)</f>
        <v/>
      </c>
      <c r="G2701" s="103" t="str">
        <f aca="false">IF($C2701="","",$D2701*IFERROR(INDEX('تحليل التكلفة والسعر'!$C$2:$C$700,MATCH($C2701,'تحليل التكلفة والسعر'!$B$2:$B$700,0)),0))</f>
        <v/>
      </c>
    </row>
    <row r="2702" customFormat="false" ht="15" hidden="false" customHeight="false" outlineLevel="0" collapsed="false">
      <c r="A2702" s="102"/>
      <c r="E2702" s="103" t="str">
        <f aca="false">IF($C2702="","",IFERROR(INDEX(المنيو!$C$2:$C$500,MATCH($C2702,المنيو!$B$2:$B$500,0)),0))</f>
        <v/>
      </c>
      <c r="F2702" s="103" t="str">
        <f aca="false">IF($C2702="","",$D2702*$E2702)</f>
        <v/>
      </c>
      <c r="G2702" s="103" t="str">
        <f aca="false">IF($C2702="","",$D2702*IFERROR(INDEX('تحليل التكلفة والسعر'!$C$2:$C$700,MATCH($C2702,'تحليل التكلفة والسعر'!$B$2:$B$700,0)),0))</f>
        <v/>
      </c>
    </row>
    <row r="2703" customFormat="false" ht="15" hidden="false" customHeight="false" outlineLevel="0" collapsed="false">
      <c r="A2703" s="102"/>
      <c r="E2703" s="103" t="str">
        <f aca="false">IF($C2703="","",IFERROR(INDEX(المنيو!$C$2:$C$500,MATCH($C2703,المنيو!$B$2:$B$500,0)),0))</f>
        <v/>
      </c>
      <c r="F2703" s="103" t="str">
        <f aca="false">IF($C2703="","",$D2703*$E2703)</f>
        <v/>
      </c>
      <c r="G2703" s="103" t="str">
        <f aca="false">IF($C2703="","",$D2703*IFERROR(INDEX('تحليل التكلفة والسعر'!$C$2:$C$700,MATCH($C2703,'تحليل التكلفة والسعر'!$B$2:$B$700,0)),0))</f>
        <v/>
      </c>
    </row>
    <row r="2704" customFormat="false" ht="15" hidden="false" customHeight="false" outlineLevel="0" collapsed="false">
      <c r="A2704" s="102"/>
      <c r="E2704" s="103" t="str">
        <f aca="false">IF($C2704="","",IFERROR(INDEX(المنيو!$C$2:$C$500,MATCH($C2704,المنيو!$B$2:$B$500,0)),0))</f>
        <v/>
      </c>
      <c r="F2704" s="103" t="str">
        <f aca="false">IF($C2704="","",$D2704*$E2704)</f>
        <v/>
      </c>
      <c r="G2704" s="103" t="str">
        <f aca="false">IF($C2704="","",$D2704*IFERROR(INDEX('تحليل التكلفة والسعر'!$C$2:$C$700,MATCH($C2704,'تحليل التكلفة والسعر'!$B$2:$B$700,0)),0))</f>
        <v/>
      </c>
    </row>
    <row r="2705" customFormat="false" ht="15" hidden="false" customHeight="false" outlineLevel="0" collapsed="false">
      <c r="A2705" s="102"/>
      <c r="E2705" s="103" t="str">
        <f aca="false">IF($C2705="","",IFERROR(INDEX(المنيو!$C$2:$C$500,MATCH($C2705,المنيو!$B$2:$B$500,0)),0))</f>
        <v/>
      </c>
      <c r="F2705" s="103" t="str">
        <f aca="false">IF($C2705="","",$D2705*$E2705)</f>
        <v/>
      </c>
      <c r="G2705" s="103" t="str">
        <f aca="false">IF($C2705="","",$D2705*IFERROR(INDEX('تحليل التكلفة والسعر'!$C$2:$C$700,MATCH($C2705,'تحليل التكلفة والسعر'!$B$2:$B$700,0)),0))</f>
        <v/>
      </c>
    </row>
    <row r="2706" customFormat="false" ht="15" hidden="false" customHeight="false" outlineLevel="0" collapsed="false">
      <c r="A2706" s="102"/>
      <c r="E2706" s="103" t="str">
        <f aca="false">IF($C2706="","",IFERROR(INDEX(المنيو!$C$2:$C$500,MATCH($C2706,المنيو!$B$2:$B$500,0)),0))</f>
        <v/>
      </c>
      <c r="F2706" s="103" t="str">
        <f aca="false">IF($C2706="","",$D2706*$E2706)</f>
        <v/>
      </c>
      <c r="G2706" s="103" t="str">
        <f aca="false">IF($C2706="","",$D2706*IFERROR(INDEX('تحليل التكلفة والسعر'!$C$2:$C$700,MATCH($C2706,'تحليل التكلفة والسعر'!$B$2:$B$700,0)),0))</f>
        <v/>
      </c>
    </row>
    <row r="2707" customFormat="false" ht="15" hidden="false" customHeight="false" outlineLevel="0" collapsed="false">
      <c r="A2707" s="102"/>
      <c r="E2707" s="103" t="str">
        <f aca="false">IF($C2707="","",IFERROR(INDEX(المنيو!$C$2:$C$500,MATCH($C2707,المنيو!$B$2:$B$500,0)),0))</f>
        <v/>
      </c>
      <c r="F2707" s="103" t="str">
        <f aca="false">IF($C2707="","",$D2707*$E2707)</f>
        <v/>
      </c>
      <c r="G2707" s="103" t="str">
        <f aca="false">IF($C2707="","",$D2707*IFERROR(INDEX('تحليل التكلفة والسعر'!$C$2:$C$700,MATCH($C2707,'تحليل التكلفة والسعر'!$B$2:$B$700,0)),0))</f>
        <v/>
      </c>
    </row>
    <row r="2708" customFormat="false" ht="15" hidden="false" customHeight="false" outlineLevel="0" collapsed="false">
      <c r="A2708" s="102"/>
      <c r="E2708" s="103" t="str">
        <f aca="false">IF($C2708="","",IFERROR(INDEX(المنيو!$C$2:$C$500,MATCH($C2708,المنيو!$B$2:$B$500,0)),0))</f>
        <v/>
      </c>
      <c r="F2708" s="103" t="str">
        <f aca="false">IF($C2708="","",$D2708*$E2708)</f>
        <v/>
      </c>
      <c r="G2708" s="103" t="str">
        <f aca="false">IF($C2708="","",$D2708*IFERROR(INDEX('تحليل التكلفة والسعر'!$C$2:$C$700,MATCH($C2708,'تحليل التكلفة والسعر'!$B$2:$B$700,0)),0))</f>
        <v/>
      </c>
    </row>
    <row r="2709" customFormat="false" ht="15" hidden="false" customHeight="false" outlineLevel="0" collapsed="false">
      <c r="A2709" s="102"/>
      <c r="E2709" s="103" t="str">
        <f aca="false">IF($C2709="","",IFERROR(INDEX(المنيو!$C$2:$C$500,MATCH($C2709,المنيو!$B$2:$B$500,0)),0))</f>
        <v/>
      </c>
      <c r="F2709" s="103" t="str">
        <f aca="false">IF($C2709="","",$D2709*$E2709)</f>
        <v/>
      </c>
      <c r="G2709" s="103" t="str">
        <f aca="false">IF($C2709="","",$D2709*IFERROR(INDEX('تحليل التكلفة والسعر'!$C$2:$C$700,MATCH($C2709,'تحليل التكلفة والسعر'!$B$2:$B$700,0)),0))</f>
        <v/>
      </c>
    </row>
    <row r="2710" customFormat="false" ht="15" hidden="false" customHeight="false" outlineLevel="0" collapsed="false">
      <c r="A2710" s="102"/>
      <c r="E2710" s="103" t="str">
        <f aca="false">IF($C2710="","",IFERROR(INDEX(المنيو!$C$2:$C$500,MATCH($C2710,المنيو!$B$2:$B$500,0)),0))</f>
        <v/>
      </c>
      <c r="F2710" s="103" t="str">
        <f aca="false">IF($C2710="","",$D2710*$E2710)</f>
        <v/>
      </c>
      <c r="G2710" s="103" t="str">
        <f aca="false">IF($C2710="","",$D2710*IFERROR(INDEX('تحليل التكلفة والسعر'!$C$2:$C$700,MATCH($C2710,'تحليل التكلفة والسعر'!$B$2:$B$700,0)),0))</f>
        <v/>
      </c>
    </row>
    <row r="2711" customFormat="false" ht="15" hidden="false" customHeight="false" outlineLevel="0" collapsed="false">
      <c r="A2711" s="102"/>
      <c r="E2711" s="103" t="str">
        <f aca="false">IF($C2711="","",IFERROR(INDEX(المنيو!$C$2:$C$500,MATCH($C2711,المنيو!$B$2:$B$500,0)),0))</f>
        <v/>
      </c>
      <c r="F2711" s="103" t="str">
        <f aca="false">IF($C2711="","",$D2711*$E2711)</f>
        <v/>
      </c>
      <c r="G2711" s="103" t="str">
        <f aca="false">IF($C2711="","",$D2711*IFERROR(INDEX('تحليل التكلفة والسعر'!$C$2:$C$700,MATCH($C2711,'تحليل التكلفة والسعر'!$B$2:$B$700,0)),0))</f>
        <v/>
      </c>
    </row>
    <row r="2712" customFormat="false" ht="15" hidden="false" customHeight="false" outlineLevel="0" collapsed="false">
      <c r="A2712" s="102"/>
      <c r="E2712" s="103" t="str">
        <f aca="false">IF($C2712="","",IFERROR(INDEX(المنيو!$C$2:$C$500,MATCH($C2712,المنيو!$B$2:$B$500,0)),0))</f>
        <v/>
      </c>
      <c r="F2712" s="103" t="str">
        <f aca="false">IF($C2712="","",$D2712*$E2712)</f>
        <v/>
      </c>
      <c r="G2712" s="103" t="str">
        <f aca="false">IF($C2712="","",$D2712*IFERROR(INDEX('تحليل التكلفة والسعر'!$C$2:$C$700,MATCH($C2712,'تحليل التكلفة والسعر'!$B$2:$B$700,0)),0))</f>
        <v/>
      </c>
    </row>
    <row r="2713" customFormat="false" ht="15" hidden="false" customHeight="false" outlineLevel="0" collapsed="false">
      <c r="A2713" s="102"/>
      <c r="E2713" s="103" t="str">
        <f aca="false">IF($C2713="","",IFERROR(INDEX(المنيو!$C$2:$C$500,MATCH($C2713,المنيو!$B$2:$B$500,0)),0))</f>
        <v/>
      </c>
      <c r="F2713" s="103" t="str">
        <f aca="false">IF($C2713="","",$D2713*$E2713)</f>
        <v/>
      </c>
      <c r="G2713" s="103" t="str">
        <f aca="false">IF($C2713="","",$D2713*IFERROR(INDEX('تحليل التكلفة والسعر'!$C$2:$C$700,MATCH($C2713,'تحليل التكلفة والسعر'!$B$2:$B$700,0)),0))</f>
        <v/>
      </c>
    </row>
    <row r="2714" customFormat="false" ht="15" hidden="false" customHeight="false" outlineLevel="0" collapsed="false">
      <c r="A2714" s="102"/>
      <c r="E2714" s="103" t="str">
        <f aca="false">IF($C2714="","",IFERROR(INDEX(المنيو!$C$2:$C$500,MATCH($C2714,المنيو!$B$2:$B$500,0)),0))</f>
        <v/>
      </c>
      <c r="F2714" s="103" t="str">
        <f aca="false">IF($C2714="","",$D2714*$E2714)</f>
        <v/>
      </c>
      <c r="G2714" s="103" t="str">
        <f aca="false">IF($C2714="","",$D2714*IFERROR(INDEX('تحليل التكلفة والسعر'!$C$2:$C$700,MATCH($C2714,'تحليل التكلفة والسعر'!$B$2:$B$700,0)),0))</f>
        <v/>
      </c>
    </row>
    <row r="2715" customFormat="false" ht="15" hidden="false" customHeight="false" outlineLevel="0" collapsed="false">
      <c r="A2715" s="102"/>
      <c r="E2715" s="103" t="str">
        <f aca="false">IF($C2715="","",IFERROR(INDEX(المنيو!$C$2:$C$500,MATCH($C2715,المنيو!$B$2:$B$500,0)),0))</f>
        <v/>
      </c>
      <c r="F2715" s="103" t="str">
        <f aca="false">IF($C2715="","",$D2715*$E2715)</f>
        <v/>
      </c>
      <c r="G2715" s="103" t="str">
        <f aca="false">IF($C2715="","",$D2715*IFERROR(INDEX('تحليل التكلفة والسعر'!$C$2:$C$700,MATCH($C2715,'تحليل التكلفة والسعر'!$B$2:$B$700,0)),0))</f>
        <v/>
      </c>
    </row>
    <row r="2716" customFormat="false" ht="15" hidden="false" customHeight="false" outlineLevel="0" collapsed="false">
      <c r="A2716" s="102"/>
      <c r="E2716" s="103" t="str">
        <f aca="false">IF($C2716="","",IFERROR(INDEX(المنيو!$C$2:$C$500,MATCH($C2716,المنيو!$B$2:$B$500,0)),0))</f>
        <v/>
      </c>
      <c r="F2716" s="103" t="str">
        <f aca="false">IF($C2716="","",$D2716*$E2716)</f>
        <v/>
      </c>
      <c r="G2716" s="103" t="str">
        <f aca="false">IF($C2716="","",$D2716*IFERROR(INDEX('تحليل التكلفة والسعر'!$C$2:$C$700,MATCH($C2716,'تحليل التكلفة والسعر'!$B$2:$B$700,0)),0))</f>
        <v/>
      </c>
    </row>
    <row r="2717" customFormat="false" ht="15" hidden="false" customHeight="false" outlineLevel="0" collapsed="false">
      <c r="A2717" s="102"/>
      <c r="E2717" s="103" t="str">
        <f aca="false">IF($C2717="","",IFERROR(INDEX(المنيو!$C$2:$C$500,MATCH($C2717,المنيو!$B$2:$B$500,0)),0))</f>
        <v/>
      </c>
      <c r="F2717" s="103" t="str">
        <f aca="false">IF($C2717="","",$D2717*$E2717)</f>
        <v/>
      </c>
      <c r="G2717" s="103" t="str">
        <f aca="false">IF($C2717="","",$D2717*IFERROR(INDEX('تحليل التكلفة والسعر'!$C$2:$C$700,MATCH($C2717,'تحليل التكلفة والسعر'!$B$2:$B$700,0)),0))</f>
        <v/>
      </c>
    </row>
    <row r="2718" customFormat="false" ht="15" hidden="false" customHeight="false" outlineLevel="0" collapsed="false">
      <c r="A2718" s="102"/>
      <c r="E2718" s="103" t="str">
        <f aca="false">IF($C2718="","",IFERROR(INDEX(المنيو!$C$2:$C$500,MATCH($C2718,المنيو!$B$2:$B$500,0)),0))</f>
        <v/>
      </c>
      <c r="F2718" s="103" t="str">
        <f aca="false">IF($C2718="","",$D2718*$E2718)</f>
        <v/>
      </c>
      <c r="G2718" s="103" t="str">
        <f aca="false">IF($C2718="","",$D2718*IFERROR(INDEX('تحليل التكلفة والسعر'!$C$2:$C$700,MATCH($C2718,'تحليل التكلفة والسعر'!$B$2:$B$700,0)),0))</f>
        <v/>
      </c>
    </row>
    <row r="2719" customFormat="false" ht="15" hidden="false" customHeight="false" outlineLevel="0" collapsed="false">
      <c r="A2719" s="102"/>
      <c r="E2719" s="103" t="str">
        <f aca="false">IF($C2719="","",IFERROR(INDEX(المنيو!$C$2:$C$500,MATCH($C2719,المنيو!$B$2:$B$500,0)),0))</f>
        <v/>
      </c>
      <c r="F2719" s="103" t="str">
        <f aca="false">IF($C2719="","",$D2719*$E2719)</f>
        <v/>
      </c>
      <c r="G2719" s="103" t="str">
        <f aca="false">IF($C2719="","",$D2719*IFERROR(INDEX('تحليل التكلفة والسعر'!$C$2:$C$700,MATCH($C2719,'تحليل التكلفة والسعر'!$B$2:$B$700,0)),0))</f>
        <v/>
      </c>
    </row>
    <row r="2720" customFormat="false" ht="15" hidden="false" customHeight="false" outlineLevel="0" collapsed="false">
      <c r="A2720" s="102"/>
      <c r="E2720" s="103" t="str">
        <f aca="false">IF($C2720="","",IFERROR(INDEX(المنيو!$C$2:$C$500,MATCH($C2720,المنيو!$B$2:$B$500,0)),0))</f>
        <v/>
      </c>
      <c r="F2720" s="103" t="str">
        <f aca="false">IF($C2720="","",$D2720*$E2720)</f>
        <v/>
      </c>
      <c r="G2720" s="103" t="str">
        <f aca="false">IF($C2720="","",$D2720*IFERROR(INDEX('تحليل التكلفة والسعر'!$C$2:$C$700,MATCH($C2720,'تحليل التكلفة والسعر'!$B$2:$B$700,0)),0))</f>
        <v/>
      </c>
    </row>
    <row r="2721" customFormat="false" ht="15" hidden="false" customHeight="false" outlineLevel="0" collapsed="false">
      <c r="A2721" s="102"/>
      <c r="E2721" s="103" t="str">
        <f aca="false">IF($C2721="","",IFERROR(INDEX(المنيو!$C$2:$C$500,MATCH($C2721,المنيو!$B$2:$B$500,0)),0))</f>
        <v/>
      </c>
      <c r="F2721" s="103" t="str">
        <f aca="false">IF($C2721="","",$D2721*$E2721)</f>
        <v/>
      </c>
      <c r="G2721" s="103" t="str">
        <f aca="false">IF($C2721="","",$D2721*IFERROR(INDEX('تحليل التكلفة والسعر'!$C$2:$C$700,MATCH($C2721,'تحليل التكلفة والسعر'!$B$2:$B$700,0)),0))</f>
        <v/>
      </c>
    </row>
    <row r="2722" customFormat="false" ht="15" hidden="false" customHeight="false" outlineLevel="0" collapsed="false">
      <c r="A2722" s="102"/>
      <c r="E2722" s="103" t="str">
        <f aca="false">IF($C2722="","",IFERROR(INDEX(المنيو!$C$2:$C$500,MATCH($C2722,المنيو!$B$2:$B$500,0)),0))</f>
        <v/>
      </c>
      <c r="F2722" s="103" t="str">
        <f aca="false">IF($C2722="","",$D2722*$E2722)</f>
        <v/>
      </c>
      <c r="G2722" s="103" t="str">
        <f aca="false">IF($C2722="","",$D2722*IFERROR(INDEX('تحليل التكلفة والسعر'!$C$2:$C$700,MATCH($C2722,'تحليل التكلفة والسعر'!$B$2:$B$700,0)),0))</f>
        <v/>
      </c>
    </row>
    <row r="2723" customFormat="false" ht="15" hidden="false" customHeight="false" outlineLevel="0" collapsed="false">
      <c r="A2723" s="102"/>
      <c r="E2723" s="103" t="str">
        <f aca="false">IF($C2723="","",IFERROR(INDEX(المنيو!$C$2:$C$500,MATCH($C2723,المنيو!$B$2:$B$500,0)),0))</f>
        <v/>
      </c>
      <c r="F2723" s="103" t="str">
        <f aca="false">IF($C2723="","",$D2723*$E2723)</f>
        <v/>
      </c>
      <c r="G2723" s="103" t="str">
        <f aca="false">IF($C2723="","",$D2723*IFERROR(INDEX('تحليل التكلفة والسعر'!$C$2:$C$700,MATCH($C2723,'تحليل التكلفة والسعر'!$B$2:$B$700,0)),0))</f>
        <v/>
      </c>
    </row>
    <row r="2724" customFormat="false" ht="15" hidden="false" customHeight="false" outlineLevel="0" collapsed="false">
      <c r="A2724" s="102"/>
      <c r="E2724" s="103" t="str">
        <f aca="false">IF($C2724="","",IFERROR(INDEX(المنيو!$C$2:$C$500,MATCH($C2724,المنيو!$B$2:$B$500,0)),0))</f>
        <v/>
      </c>
      <c r="F2724" s="103" t="str">
        <f aca="false">IF($C2724="","",$D2724*$E2724)</f>
        <v/>
      </c>
      <c r="G2724" s="103" t="str">
        <f aca="false">IF($C2724="","",$D2724*IFERROR(INDEX('تحليل التكلفة والسعر'!$C$2:$C$700,MATCH($C2724,'تحليل التكلفة والسعر'!$B$2:$B$700,0)),0))</f>
        <v/>
      </c>
    </row>
    <row r="2725" customFormat="false" ht="15" hidden="false" customHeight="false" outlineLevel="0" collapsed="false">
      <c r="A2725" s="102"/>
      <c r="E2725" s="103" t="str">
        <f aca="false">IF($C2725="","",IFERROR(INDEX(المنيو!$C$2:$C$500,MATCH($C2725,المنيو!$B$2:$B$500,0)),0))</f>
        <v/>
      </c>
      <c r="F2725" s="103" t="str">
        <f aca="false">IF($C2725="","",$D2725*$E2725)</f>
        <v/>
      </c>
      <c r="G2725" s="103" t="str">
        <f aca="false">IF($C2725="","",$D2725*IFERROR(INDEX('تحليل التكلفة والسعر'!$C$2:$C$700,MATCH($C2725,'تحليل التكلفة والسعر'!$B$2:$B$700,0)),0))</f>
        <v/>
      </c>
    </row>
    <row r="2726" customFormat="false" ht="15" hidden="false" customHeight="false" outlineLevel="0" collapsed="false">
      <c r="A2726" s="102"/>
      <c r="E2726" s="103" t="str">
        <f aca="false">IF($C2726="","",IFERROR(INDEX(المنيو!$C$2:$C$500,MATCH($C2726,المنيو!$B$2:$B$500,0)),0))</f>
        <v/>
      </c>
      <c r="F2726" s="103" t="str">
        <f aca="false">IF($C2726="","",$D2726*$E2726)</f>
        <v/>
      </c>
      <c r="G2726" s="103" t="str">
        <f aca="false">IF($C2726="","",$D2726*IFERROR(INDEX('تحليل التكلفة والسعر'!$C$2:$C$700,MATCH($C2726,'تحليل التكلفة والسعر'!$B$2:$B$700,0)),0))</f>
        <v/>
      </c>
    </row>
    <row r="2727" customFormat="false" ht="15" hidden="false" customHeight="false" outlineLevel="0" collapsed="false">
      <c r="A2727" s="102"/>
      <c r="E2727" s="103" t="str">
        <f aca="false">IF($C2727="","",IFERROR(INDEX(المنيو!$C$2:$C$500,MATCH($C2727,المنيو!$B$2:$B$500,0)),0))</f>
        <v/>
      </c>
      <c r="F2727" s="103" t="str">
        <f aca="false">IF($C2727="","",$D2727*$E2727)</f>
        <v/>
      </c>
      <c r="G2727" s="103" t="str">
        <f aca="false">IF($C2727="","",$D2727*IFERROR(INDEX('تحليل التكلفة والسعر'!$C$2:$C$700,MATCH($C2727,'تحليل التكلفة والسعر'!$B$2:$B$700,0)),0))</f>
        <v/>
      </c>
    </row>
    <row r="2728" customFormat="false" ht="15" hidden="false" customHeight="false" outlineLevel="0" collapsed="false">
      <c r="A2728" s="102"/>
      <c r="E2728" s="103" t="str">
        <f aca="false">IF($C2728="","",IFERROR(INDEX(المنيو!$C$2:$C$500,MATCH($C2728,المنيو!$B$2:$B$500,0)),0))</f>
        <v/>
      </c>
      <c r="F2728" s="103" t="str">
        <f aca="false">IF($C2728="","",$D2728*$E2728)</f>
        <v/>
      </c>
      <c r="G2728" s="103" t="str">
        <f aca="false">IF($C2728="","",$D2728*IFERROR(INDEX('تحليل التكلفة والسعر'!$C$2:$C$700,MATCH($C2728,'تحليل التكلفة والسعر'!$B$2:$B$700,0)),0))</f>
        <v/>
      </c>
    </row>
    <row r="2729" customFormat="false" ht="15" hidden="false" customHeight="false" outlineLevel="0" collapsed="false">
      <c r="A2729" s="102"/>
      <c r="E2729" s="103" t="str">
        <f aca="false">IF($C2729="","",IFERROR(INDEX(المنيو!$C$2:$C$500,MATCH($C2729,المنيو!$B$2:$B$500,0)),0))</f>
        <v/>
      </c>
      <c r="F2729" s="103" t="str">
        <f aca="false">IF($C2729="","",$D2729*$E2729)</f>
        <v/>
      </c>
      <c r="G2729" s="103" t="str">
        <f aca="false">IF($C2729="","",$D2729*IFERROR(INDEX('تحليل التكلفة والسعر'!$C$2:$C$700,MATCH($C2729,'تحليل التكلفة والسعر'!$B$2:$B$700,0)),0))</f>
        <v/>
      </c>
    </row>
    <row r="2730" customFormat="false" ht="15" hidden="false" customHeight="false" outlineLevel="0" collapsed="false">
      <c r="A2730" s="102"/>
      <c r="E2730" s="103" t="str">
        <f aca="false">IF($C2730="","",IFERROR(INDEX(المنيو!$C$2:$C$500,MATCH($C2730,المنيو!$B$2:$B$500,0)),0))</f>
        <v/>
      </c>
      <c r="F2730" s="103" t="str">
        <f aca="false">IF($C2730="","",$D2730*$E2730)</f>
        <v/>
      </c>
      <c r="G2730" s="103" t="str">
        <f aca="false">IF($C2730="","",$D2730*IFERROR(INDEX('تحليل التكلفة والسعر'!$C$2:$C$700,MATCH($C2730,'تحليل التكلفة والسعر'!$B$2:$B$700,0)),0))</f>
        <v/>
      </c>
    </row>
    <row r="2731" customFormat="false" ht="15" hidden="false" customHeight="false" outlineLevel="0" collapsed="false">
      <c r="A2731" s="102"/>
      <c r="E2731" s="103" t="str">
        <f aca="false">IF($C2731="","",IFERROR(INDEX(المنيو!$C$2:$C$500,MATCH($C2731,المنيو!$B$2:$B$500,0)),0))</f>
        <v/>
      </c>
      <c r="F2731" s="103" t="str">
        <f aca="false">IF($C2731="","",$D2731*$E2731)</f>
        <v/>
      </c>
      <c r="G2731" s="103" t="str">
        <f aca="false">IF($C2731="","",$D2731*IFERROR(INDEX('تحليل التكلفة والسعر'!$C$2:$C$700,MATCH($C2731,'تحليل التكلفة والسعر'!$B$2:$B$700,0)),0))</f>
        <v/>
      </c>
    </row>
    <row r="2732" customFormat="false" ht="15" hidden="false" customHeight="false" outlineLevel="0" collapsed="false">
      <c r="A2732" s="102"/>
      <c r="E2732" s="103" t="str">
        <f aca="false">IF($C2732="","",IFERROR(INDEX(المنيو!$C$2:$C$500,MATCH($C2732,المنيو!$B$2:$B$500,0)),0))</f>
        <v/>
      </c>
      <c r="F2732" s="103" t="str">
        <f aca="false">IF($C2732="","",$D2732*$E2732)</f>
        <v/>
      </c>
      <c r="G2732" s="103" t="str">
        <f aca="false">IF($C2732="","",$D2732*IFERROR(INDEX('تحليل التكلفة والسعر'!$C$2:$C$700,MATCH($C2732,'تحليل التكلفة والسعر'!$B$2:$B$700,0)),0))</f>
        <v/>
      </c>
    </row>
    <row r="2733" customFormat="false" ht="15" hidden="false" customHeight="false" outlineLevel="0" collapsed="false">
      <c r="A2733" s="102"/>
      <c r="E2733" s="103" t="str">
        <f aca="false">IF($C2733="","",IFERROR(INDEX(المنيو!$C$2:$C$500,MATCH($C2733,المنيو!$B$2:$B$500,0)),0))</f>
        <v/>
      </c>
      <c r="F2733" s="103" t="str">
        <f aca="false">IF($C2733="","",$D2733*$E2733)</f>
        <v/>
      </c>
      <c r="G2733" s="103" t="str">
        <f aca="false">IF($C2733="","",$D2733*IFERROR(INDEX('تحليل التكلفة والسعر'!$C$2:$C$700,MATCH($C2733,'تحليل التكلفة والسعر'!$B$2:$B$700,0)),0))</f>
        <v/>
      </c>
    </row>
    <row r="2734" customFormat="false" ht="15" hidden="false" customHeight="false" outlineLevel="0" collapsed="false">
      <c r="A2734" s="102"/>
      <c r="E2734" s="103" t="str">
        <f aca="false">IF($C2734="","",IFERROR(INDEX(المنيو!$C$2:$C$500,MATCH($C2734,المنيو!$B$2:$B$500,0)),0))</f>
        <v/>
      </c>
      <c r="F2734" s="103" t="str">
        <f aca="false">IF($C2734="","",$D2734*$E2734)</f>
        <v/>
      </c>
      <c r="G2734" s="103" t="str">
        <f aca="false">IF($C2734="","",$D2734*IFERROR(INDEX('تحليل التكلفة والسعر'!$C$2:$C$700,MATCH($C2734,'تحليل التكلفة والسعر'!$B$2:$B$700,0)),0))</f>
        <v/>
      </c>
    </row>
    <row r="2735" customFormat="false" ht="15" hidden="false" customHeight="false" outlineLevel="0" collapsed="false">
      <c r="A2735" s="102"/>
      <c r="E2735" s="103" t="str">
        <f aca="false">IF($C2735="","",IFERROR(INDEX(المنيو!$C$2:$C$500,MATCH($C2735,المنيو!$B$2:$B$500,0)),0))</f>
        <v/>
      </c>
      <c r="F2735" s="103" t="str">
        <f aca="false">IF($C2735="","",$D2735*$E2735)</f>
        <v/>
      </c>
      <c r="G2735" s="103" t="str">
        <f aca="false">IF($C2735="","",$D2735*IFERROR(INDEX('تحليل التكلفة والسعر'!$C$2:$C$700,MATCH($C2735,'تحليل التكلفة والسعر'!$B$2:$B$700,0)),0))</f>
        <v/>
      </c>
    </row>
    <row r="2736" customFormat="false" ht="15" hidden="false" customHeight="false" outlineLevel="0" collapsed="false">
      <c r="A2736" s="102"/>
      <c r="E2736" s="103" t="str">
        <f aca="false">IF($C2736="","",IFERROR(INDEX(المنيو!$C$2:$C$500,MATCH($C2736,المنيو!$B$2:$B$500,0)),0))</f>
        <v/>
      </c>
      <c r="F2736" s="103" t="str">
        <f aca="false">IF($C2736="","",$D2736*$E2736)</f>
        <v/>
      </c>
      <c r="G2736" s="103" t="str">
        <f aca="false">IF($C2736="","",$D2736*IFERROR(INDEX('تحليل التكلفة والسعر'!$C$2:$C$700,MATCH($C2736,'تحليل التكلفة والسعر'!$B$2:$B$700,0)),0))</f>
        <v/>
      </c>
    </row>
    <row r="2737" customFormat="false" ht="15" hidden="false" customHeight="false" outlineLevel="0" collapsed="false">
      <c r="A2737" s="102"/>
      <c r="E2737" s="103" t="str">
        <f aca="false">IF($C2737="","",IFERROR(INDEX(المنيو!$C$2:$C$500,MATCH($C2737,المنيو!$B$2:$B$500,0)),0))</f>
        <v/>
      </c>
      <c r="F2737" s="103" t="str">
        <f aca="false">IF($C2737="","",$D2737*$E2737)</f>
        <v/>
      </c>
      <c r="G2737" s="103" t="str">
        <f aca="false">IF($C2737="","",$D2737*IFERROR(INDEX('تحليل التكلفة والسعر'!$C$2:$C$700,MATCH($C2737,'تحليل التكلفة والسعر'!$B$2:$B$700,0)),0))</f>
        <v/>
      </c>
    </row>
    <row r="2738" customFormat="false" ht="15" hidden="false" customHeight="false" outlineLevel="0" collapsed="false">
      <c r="A2738" s="102"/>
      <c r="E2738" s="103" t="str">
        <f aca="false">IF($C2738="","",IFERROR(INDEX(المنيو!$C$2:$C$500,MATCH($C2738,المنيو!$B$2:$B$500,0)),0))</f>
        <v/>
      </c>
      <c r="F2738" s="103" t="str">
        <f aca="false">IF($C2738="","",$D2738*$E2738)</f>
        <v/>
      </c>
      <c r="G2738" s="103" t="str">
        <f aca="false">IF($C2738="","",$D2738*IFERROR(INDEX('تحليل التكلفة والسعر'!$C$2:$C$700,MATCH($C2738,'تحليل التكلفة والسعر'!$B$2:$B$700,0)),0))</f>
        <v/>
      </c>
    </row>
    <row r="2739" customFormat="false" ht="15" hidden="false" customHeight="false" outlineLevel="0" collapsed="false">
      <c r="A2739" s="102"/>
      <c r="E2739" s="103" t="str">
        <f aca="false">IF($C2739="","",IFERROR(INDEX(المنيو!$C$2:$C$500,MATCH($C2739,المنيو!$B$2:$B$500,0)),0))</f>
        <v/>
      </c>
      <c r="F2739" s="103" t="str">
        <f aca="false">IF($C2739="","",$D2739*$E2739)</f>
        <v/>
      </c>
      <c r="G2739" s="103" t="str">
        <f aca="false">IF($C2739="","",$D2739*IFERROR(INDEX('تحليل التكلفة والسعر'!$C$2:$C$700,MATCH($C2739,'تحليل التكلفة والسعر'!$B$2:$B$700,0)),0))</f>
        <v/>
      </c>
    </row>
    <row r="2740" customFormat="false" ht="15" hidden="false" customHeight="false" outlineLevel="0" collapsed="false">
      <c r="A2740" s="102"/>
      <c r="E2740" s="103" t="str">
        <f aca="false">IF($C2740="","",IFERROR(INDEX(المنيو!$C$2:$C$500,MATCH($C2740,المنيو!$B$2:$B$500,0)),0))</f>
        <v/>
      </c>
      <c r="F2740" s="103" t="str">
        <f aca="false">IF($C2740="","",$D2740*$E2740)</f>
        <v/>
      </c>
      <c r="G2740" s="103" t="str">
        <f aca="false">IF($C2740="","",$D2740*IFERROR(INDEX('تحليل التكلفة والسعر'!$C$2:$C$700,MATCH($C2740,'تحليل التكلفة والسعر'!$B$2:$B$700,0)),0))</f>
        <v/>
      </c>
    </row>
    <row r="2741" customFormat="false" ht="15" hidden="false" customHeight="false" outlineLevel="0" collapsed="false">
      <c r="A2741" s="102"/>
      <c r="E2741" s="103" t="str">
        <f aca="false">IF($C2741="","",IFERROR(INDEX(المنيو!$C$2:$C$500,MATCH($C2741,المنيو!$B$2:$B$500,0)),0))</f>
        <v/>
      </c>
      <c r="F2741" s="103" t="str">
        <f aca="false">IF($C2741="","",$D2741*$E2741)</f>
        <v/>
      </c>
      <c r="G2741" s="103" t="str">
        <f aca="false">IF($C2741="","",$D2741*IFERROR(INDEX('تحليل التكلفة والسعر'!$C$2:$C$700,MATCH($C2741,'تحليل التكلفة والسعر'!$B$2:$B$700,0)),0))</f>
        <v/>
      </c>
    </row>
    <row r="2742" customFormat="false" ht="15" hidden="false" customHeight="false" outlineLevel="0" collapsed="false">
      <c r="A2742" s="102"/>
      <c r="E2742" s="103" t="str">
        <f aca="false">IF($C2742="","",IFERROR(INDEX(المنيو!$C$2:$C$500,MATCH($C2742,المنيو!$B$2:$B$500,0)),0))</f>
        <v/>
      </c>
      <c r="F2742" s="103" t="str">
        <f aca="false">IF($C2742="","",$D2742*$E2742)</f>
        <v/>
      </c>
      <c r="G2742" s="103" t="str">
        <f aca="false">IF($C2742="","",$D2742*IFERROR(INDEX('تحليل التكلفة والسعر'!$C$2:$C$700,MATCH($C2742,'تحليل التكلفة والسعر'!$B$2:$B$700,0)),0))</f>
        <v/>
      </c>
    </row>
    <row r="2743" customFormat="false" ht="15" hidden="false" customHeight="false" outlineLevel="0" collapsed="false">
      <c r="A2743" s="102"/>
      <c r="E2743" s="103" t="str">
        <f aca="false">IF($C2743="","",IFERROR(INDEX(المنيو!$C$2:$C$500,MATCH($C2743,المنيو!$B$2:$B$500,0)),0))</f>
        <v/>
      </c>
      <c r="F2743" s="103" t="str">
        <f aca="false">IF($C2743="","",$D2743*$E2743)</f>
        <v/>
      </c>
      <c r="G2743" s="103" t="str">
        <f aca="false">IF($C2743="","",$D2743*IFERROR(INDEX('تحليل التكلفة والسعر'!$C$2:$C$700,MATCH($C2743,'تحليل التكلفة والسعر'!$B$2:$B$700,0)),0))</f>
        <v/>
      </c>
    </row>
    <row r="2744" customFormat="false" ht="15" hidden="false" customHeight="false" outlineLevel="0" collapsed="false">
      <c r="A2744" s="102"/>
      <c r="E2744" s="103" t="str">
        <f aca="false">IF($C2744="","",IFERROR(INDEX(المنيو!$C$2:$C$500,MATCH($C2744,المنيو!$B$2:$B$500,0)),0))</f>
        <v/>
      </c>
      <c r="F2744" s="103" t="str">
        <f aca="false">IF($C2744="","",$D2744*$E2744)</f>
        <v/>
      </c>
      <c r="G2744" s="103" t="str">
        <f aca="false">IF($C2744="","",$D2744*IFERROR(INDEX('تحليل التكلفة والسعر'!$C$2:$C$700,MATCH($C2744,'تحليل التكلفة والسعر'!$B$2:$B$700,0)),0))</f>
        <v/>
      </c>
    </row>
    <row r="2745" customFormat="false" ht="15" hidden="false" customHeight="false" outlineLevel="0" collapsed="false">
      <c r="A2745" s="102"/>
      <c r="E2745" s="103" t="str">
        <f aca="false">IF($C2745="","",IFERROR(INDEX(المنيو!$C$2:$C$500,MATCH($C2745,المنيو!$B$2:$B$500,0)),0))</f>
        <v/>
      </c>
      <c r="F2745" s="103" t="str">
        <f aca="false">IF($C2745="","",$D2745*$E2745)</f>
        <v/>
      </c>
      <c r="G2745" s="103" t="str">
        <f aca="false">IF($C2745="","",$D2745*IFERROR(INDEX('تحليل التكلفة والسعر'!$C$2:$C$700,MATCH($C2745,'تحليل التكلفة والسعر'!$B$2:$B$700,0)),0))</f>
        <v/>
      </c>
    </row>
    <row r="2746" customFormat="false" ht="15" hidden="false" customHeight="false" outlineLevel="0" collapsed="false">
      <c r="A2746" s="102"/>
      <c r="E2746" s="103" t="str">
        <f aca="false">IF($C2746="","",IFERROR(INDEX(المنيو!$C$2:$C$500,MATCH($C2746,المنيو!$B$2:$B$500,0)),0))</f>
        <v/>
      </c>
      <c r="F2746" s="103" t="str">
        <f aca="false">IF($C2746="","",$D2746*$E2746)</f>
        <v/>
      </c>
      <c r="G2746" s="103" t="str">
        <f aca="false">IF($C2746="","",$D2746*IFERROR(INDEX('تحليل التكلفة والسعر'!$C$2:$C$700,MATCH($C2746,'تحليل التكلفة والسعر'!$B$2:$B$700,0)),0))</f>
        <v/>
      </c>
    </row>
    <row r="2747" customFormat="false" ht="15" hidden="false" customHeight="false" outlineLevel="0" collapsed="false">
      <c r="A2747" s="102"/>
      <c r="E2747" s="103" t="str">
        <f aca="false">IF($C2747="","",IFERROR(INDEX(المنيو!$C$2:$C$500,MATCH($C2747,المنيو!$B$2:$B$500,0)),0))</f>
        <v/>
      </c>
      <c r="F2747" s="103" t="str">
        <f aca="false">IF($C2747="","",$D2747*$E2747)</f>
        <v/>
      </c>
      <c r="G2747" s="103" t="str">
        <f aca="false">IF($C2747="","",$D2747*IFERROR(INDEX('تحليل التكلفة والسعر'!$C$2:$C$700,MATCH($C2747,'تحليل التكلفة والسعر'!$B$2:$B$700,0)),0))</f>
        <v/>
      </c>
    </row>
    <row r="2748" customFormat="false" ht="15" hidden="false" customHeight="false" outlineLevel="0" collapsed="false">
      <c r="A2748" s="102"/>
      <c r="E2748" s="103" t="str">
        <f aca="false">IF($C2748="","",IFERROR(INDEX(المنيو!$C$2:$C$500,MATCH($C2748,المنيو!$B$2:$B$500,0)),0))</f>
        <v/>
      </c>
      <c r="F2748" s="103" t="str">
        <f aca="false">IF($C2748="","",$D2748*$E2748)</f>
        <v/>
      </c>
      <c r="G2748" s="103" t="str">
        <f aca="false">IF($C2748="","",$D2748*IFERROR(INDEX('تحليل التكلفة والسعر'!$C$2:$C$700,MATCH($C2748,'تحليل التكلفة والسعر'!$B$2:$B$700,0)),0))</f>
        <v/>
      </c>
    </row>
    <row r="2749" customFormat="false" ht="15" hidden="false" customHeight="false" outlineLevel="0" collapsed="false">
      <c r="A2749" s="102"/>
      <c r="E2749" s="103" t="str">
        <f aca="false">IF($C2749="","",IFERROR(INDEX(المنيو!$C$2:$C$500,MATCH($C2749,المنيو!$B$2:$B$500,0)),0))</f>
        <v/>
      </c>
      <c r="F2749" s="103" t="str">
        <f aca="false">IF($C2749="","",$D2749*$E2749)</f>
        <v/>
      </c>
      <c r="G2749" s="103" t="str">
        <f aca="false">IF($C2749="","",$D2749*IFERROR(INDEX('تحليل التكلفة والسعر'!$C$2:$C$700,MATCH($C2749,'تحليل التكلفة والسعر'!$B$2:$B$700,0)),0))</f>
        <v/>
      </c>
    </row>
    <row r="2750" customFormat="false" ht="15" hidden="false" customHeight="false" outlineLevel="0" collapsed="false">
      <c r="A2750" s="102"/>
      <c r="E2750" s="103" t="str">
        <f aca="false">IF($C2750="","",IFERROR(INDEX(المنيو!$C$2:$C$500,MATCH($C2750,المنيو!$B$2:$B$500,0)),0))</f>
        <v/>
      </c>
      <c r="F2750" s="103" t="str">
        <f aca="false">IF($C2750="","",$D2750*$E2750)</f>
        <v/>
      </c>
      <c r="G2750" s="103" t="str">
        <f aca="false">IF($C2750="","",$D2750*IFERROR(INDEX('تحليل التكلفة والسعر'!$C$2:$C$700,MATCH($C2750,'تحليل التكلفة والسعر'!$B$2:$B$700,0)),0))</f>
        <v/>
      </c>
    </row>
    <row r="2751" customFormat="false" ht="15" hidden="false" customHeight="false" outlineLevel="0" collapsed="false">
      <c r="A2751" s="102"/>
      <c r="E2751" s="103" t="str">
        <f aca="false">IF($C2751="","",IFERROR(INDEX(المنيو!$C$2:$C$500,MATCH($C2751,المنيو!$B$2:$B$500,0)),0))</f>
        <v/>
      </c>
      <c r="F2751" s="103" t="str">
        <f aca="false">IF($C2751="","",$D2751*$E2751)</f>
        <v/>
      </c>
      <c r="G2751" s="103" t="str">
        <f aca="false">IF($C2751="","",$D2751*IFERROR(INDEX('تحليل التكلفة والسعر'!$C$2:$C$700,MATCH($C2751,'تحليل التكلفة والسعر'!$B$2:$B$700,0)),0))</f>
        <v/>
      </c>
    </row>
    <row r="2752" customFormat="false" ht="15" hidden="false" customHeight="false" outlineLevel="0" collapsed="false">
      <c r="A2752" s="102"/>
      <c r="E2752" s="103" t="str">
        <f aca="false">IF($C2752="","",IFERROR(INDEX(المنيو!$C$2:$C$500,MATCH($C2752,المنيو!$B$2:$B$500,0)),0))</f>
        <v/>
      </c>
      <c r="F2752" s="103" t="str">
        <f aca="false">IF($C2752="","",$D2752*$E2752)</f>
        <v/>
      </c>
      <c r="G2752" s="103" t="str">
        <f aca="false">IF($C2752="","",$D2752*IFERROR(INDEX('تحليل التكلفة والسعر'!$C$2:$C$700,MATCH($C2752,'تحليل التكلفة والسعر'!$B$2:$B$700,0)),0))</f>
        <v/>
      </c>
    </row>
    <row r="2753" customFormat="false" ht="15" hidden="false" customHeight="false" outlineLevel="0" collapsed="false">
      <c r="A2753" s="102"/>
      <c r="E2753" s="103" t="str">
        <f aca="false">IF($C2753="","",IFERROR(INDEX(المنيو!$C$2:$C$500,MATCH($C2753,المنيو!$B$2:$B$500,0)),0))</f>
        <v/>
      </c>
      <c r="F2753" s="103" t="str">
        <f aca="false">IF($C2753="","",$D2753*$E2753)</f>
        <v/>
      </c>
      <c r="G2753" s="103" t="str">
        <f aca="false">IF($C2753="","",$D2753*IFERROR(INDEX('تحليل التكلفة والسعر'!$C$2:$C$700,MATCH($C2753,'تحليل التكلفة والسعر'!$B$2:$B$700,0)),0))</f>
        <v/>
      </c>
    </row>
    <row r="2754" customFormat="false" ht="15" hidden="false" customHeight="false" outlineLevel="0" collapsed="false">
      <c r="A2754" s="102"/>
      <c r="E2754" s="103" t="str">
        <f aca="false">IF($C2754="","",IFERROR(INDEX(المنيو!$C$2:$C$500,MATCH($C2754,المنيو!$B$2:$B$500,0)),0))</f>
        <v/>
      </c>
      <c r="F2754" s="103" t="str">
        <f aca="false">IF($C2754="","",$D2754*$E2754)</f>
        <v/>
      </c>
      <c r="G2754" s="103" t="str">
        <f aca="false">IF($C2754="","",$D2754*IFERROR(INDEX('تحليل التكلفة والسعر'!$C$2:$C$700,MATCH($C2754,'تحليل التكلفة والسعر'!$B$2:$B$700,0)),0))</f>
        <v/>
      </c>
    </row>
    <row r="2755" customFormat="false" ht="15" hidden="false" customHeight="false" outlineLevel="0" collapsed="false">
      <c r="A2755" s="102"/>
      <c r="E2755" s="103" t="str">
        <f aca="false">IF($C2755="","",IFERROR(INDEX(المنيو!$C$2:$C$500,MATCH($C2755,المنيو!$B$2:$B$500,0)),0))</f>
        <v/>
      </c>
      <c r="F2755" s="103" t="str">
        <f aca="false">IF($C2755="","",$D2755*$E2755)</f>
        <v/>
      </c>
      <c r="G2755" s="103" t="str">
        <f aca="false">IF($C2755="","",$D2755*IFERROR(INDEX('تحليل التكلفة والسعر'!$C$2:$C$700,MATCH($C2755,'تحليل التكلفة والسعر'!$B$2:$B$700,0)),0))</f>
        <v/>
      </c>
    </row>
    <row r="2756" customFormat="false" ht="15" hidden="false" customHeight="false" outlineLevel="0" collapsed="false">
      <c r="A2756" s="102"/>
      <c r="E2756" s="103" t="str">
        <f aca="false">IF($C2756="","",IFERROR(INDEX(المنيو!$C$2:$C$500,MATCH($C2756,المنيو!$B$2:$B$500,0)),0))</f>
        <v/>
      </c>
      <c r="F2756" s="103" t="str">
        <f aca="false">IF($C2756="","",$D2756*$E2756)</f>
        <v/>
      </c>
      <c r="G2756" s="103" t="str">
        <f aca="false">IF($C2756="","",$D2756*IFERROR(INDEX('تحليل التكلفة والسعر'!$C$2:$C$700,MATCH($C2756,'تحليل التكلفة والسعر'!$B$2:$B$700,0)),0))</f>
        <v/>
      </c>
    </row>
    <row r="2757" customFormat="false" ht="15" hidden="false" customHeight="false" outlineLevel="0" collapsed="false">
      <c r="A2757" s="102"/>
      <c r="E2757" s="103" t="str">
        <f aca="false">IF($C2757="","",IFERROR(INDEX(المنيو!$C$2:$C$500,MATCH($C2757,المنيو!$B$2:$B$500,0)),0))</f>
        <v/>
      </c>
      <c r="F2757" s="103" t="str">
        <f aca="false">IF($C2757="","",$D2757*$E2757)</f>
        <v/>
      </c>
      <c r="G2757" s="103" t="str">
        <f aca="false">IF($C2757="","",$D2757*IFERROR(INDEX('تحليل التكلفة والسعر'!$C$2:$C$700,MATCH($C2757,'تحليل التكلفة والسعر'!$B$2:$B$700,0)),0))</f>
        <v/>
      </c>
    </row>
    <row r="2758" customFormat="false" ht="15" hidden="false" customHeight="false" outlineLevel="0" collapsed="false">
      <c r="A2758" s="102"/>
      <c r="E2758" s="103" t="str">
        <f aca="false">IF($C2758="","",IFERROR(INDEX(المنيو!$C$2:$C$500,MATCH($C2758,المنيو!$B$2:$B$500,0)),0))</f>
        <v/>
      </c>
      <c r="F2758" s="103" t="str">
        <f aca="false">IF($C2758="","",$D2758*$E2758)</f>
        <v/>
      </c>
      <c r="G2758" s="103" t="str">
        <f aca="false">IF($C2758="","",$D2758*IFERROR(INDEX('تحليل التكلفة والسعر'!$C$2:$C$700,MATCH($C2758,'تحليل التكلفة والسعر'!$B$2:$B$700,0)),0))</f>
        <v/>
      </c>
    </row>
    <row r="2759" customFormat="false" ht="15" hidden="false" customHeight="false" outlineLevel="0" collapsed="false">
      <c r="A2759" s="102"/>
      <c r="E2759" s="103" t="str">
        <f aca="false">IF($C2759="","",IFERROR(INDEX(المنيو!$C$2:$C$500,MATCH($C2759,المنيو!$B$2:$B$500,0)),0))</f>
        <v/>
      </c>
      <c r="F2759" s="103" t="str">
        <f aca="false">IF($C2759="","",$D2759*$E2759)</f>
        <v/>
      </c>
      <c r="G2759" s="103" t="str">
        <f aca="false">IF($C2759="","",$D2759*IFERROR(INDEX('تحليل التكلفة والسعر'!$C$2:$C$700,MATCH($C2759,'تحليل التكلفة والسعر'!$B$2:$B$700,0)),0))</f>
        <v/>
      </c>
    </row>
    <row r="2760" customFormat="false" ht="15" hidden="false" customHeight="false" outlineLevel="0" collapsed="false">
      <c r="A2760" s="102"/>
      <c r="E2760" s="103" t="str">
        <f aca="false">IF($C2760="","",IFERROR(INDEX(المنيو!$C$2:$C$500,MATCH($C2760,المنيو!$B$2:$B$500,0)),0))</f>
        <v/>
      </c>
      <c r="F2760" s="103" t="str">
        <f aca="false">IF($C2760="","",$D2760*$E2760)</f>
        <v/>
      </c>
      <c r="G2760" s="103" t="str">
        <f aca="false">IF($C2760="","",$D2760*IFERROR(INDEX('تحليل التكلفة والسعر'!$C$2:$C$700,MATCH($C2760,'تحليل التكلفة والسعر'!$B$2:$B$700,0)),0))</f>
        <v/>
      </c>
    </row>
    <row r="2761" customFormat="false" ht="15" hidden="false" customHeight="false" outlineLevel="0" collapsed="false">
      <c r="A2761" s="102"/>
      <c r="E2761" s="103" t="str">
        <f aca="false">IF($C2761="","",IFERROR(INDEX(المنيو!$C$2:$C$500,MATCH($C2761,المنيو!$B$2:$B$500,0)),0))</f>
        <v/>
      </c>
      <c r="F2761" s="103" t="str">
        <f aca="false">IF($C2761="","",$D2761*$E2761)</f>
        <v/>
      </c>
      <c r="G2761" s="103" t="str">
        <f aca="false">IF($C2761="","",$D2761*IFERROR(INDEX('تحليل التكلفة والسعر'!$C$2:$C$700,MATCH($C2761,'تحليل التكلفة والسعر'!$B$2:$B$700,0)),0))</f>
        <v/>
      </c>
    </row>
    <row r="2762" customFormat="false" ht="15" hidden="false" customHeight="false" outlineLevel="0" collapsed="false">
      <c r="A2762" s="102"/>
      <c r="E2762" s="103" t="str">
        <f aca="false">IF($C2762="","",IFERROR(INDEX(المنيو!$C$2:$C$500,MATCH($C2762,المنيو!$B$2:$B$500,0)),0))</f>
        <v/>
      </c>
      <c r="F2762" s="103" t="str">
        <f aca="false">IF($C2762="","",$D2762*$E2762)</f>
        <v/>
      </c>
      <c r="G2762" s="103" t="str">
        <f aca="false">IF($C2762="","",$D2762*IFERROR(INDEX('تحليل التكلفة والسعر'!$C$2:$C$700,MATCH($C2762,'تحليل التكلفة والسعر'!$B$2:$B$700,0)),0))</f>
        <v/>
      </c>
    </row>
    <row r="2763" customFormat="false" ht="15" hidden="false" customHeight="false" outlineLevel="0" collapsed="false">
      <c r="A2763" s="102"/>
      <c r="E2763" s="103" t="str">
        <f aca="false">IF($C2763="","",IFERROR(INDEX(المنيو!$C$2:$C$500,MATCH($C2763,المنيو!$B$2:$B$500,0)),0))</f>
        <v/>
      </c>
      <c r="F2763" s="103" t="str">
        <f aca="false">IF($C2763="","",$D2763*$E2763)</f>
        <v/>
      </c>
      <c r="G2763" s="103" t="str">
        <f aca="false">IF($C2763="","",$D2763*IFERROR(INDEX('تحليل التكلفة والسعر'!$C$2:$C$700,MATCH($C2763,'تحليل التكلفة والسعر'!$B$2:$B$700,0)),0))</f>
        <v/>
      </c>
    </row>
    <row r="2764" customFormat="false" ht="15" hidden="false" customHeight="false" outlineLevel="0" collapsed="false">
      <c r="A2764" s="102"/>
      <c r="E2764" s="103" t="str">
        <f aca="false">IF($C2764="","",IFERROR(INDEX(المنيو!$C$2:$C$500,MATCH($C2764,المنيو!$B$2:$B$500,0)),0))</f>
        <v/>
      </c>
      <c r="F2764" s="103" t="str">
        <f aca="false">IF($C2764="","",$D2764*$E2764)</f>
        <v/>
      </c>
      <c r="G2764" s="103" t="str">
        <f aca="false">IF($C2764="","",$D2764*IFERROR(INDEX('تحليل التكلفة والسعر'!$C$2:$C$700,MATCH($C2764,'تحليل التكلفة والسعر'!$B$2:$B$700,0)),0))</f>
        <v/>
      </c>
    </row>
    <row r="2765" customFormat="false" ht="15" hidden="false" customHeight="false" outlineLevel="0" collapsed="false">
      <c r="A2765" s="102"/>
      <c r="E2765" s="103" t="str">
        <f aca="false">IF($C2765="","",IFERROR(INDEX(المنيو!$C$2:$C$500,MATCH($C2765,المنيو!$B$2:$B$500,0)),0))</f>
        <v/>
      </c>
      <c r="F2765" s="103" t="str">
        <f aca="false">IF($C2765="","",$D2765*$E2765)</f>
        <v/>
      </c>
      <c r="G2765" s="103" t="str">
        <f aca="false">IF($C2765="","",$D2765*IFERROR(INDEX('تحليل التكلفة والسعر'!$C$2:$C$700,MATCH($C2765,'تحليل التكلفة والسعر'!$B$2:$B$700,0)),0))</f>
        <v/>
      </c>
    </row>
    <row r="2766" customFormat="false" ht="15" hidden="false" customHeight="false" outlineLevel="0" collapsed="false">
      <c r="A2766" s="102"/>
      <c r="E2766" s="103" t="str">
        <f aca="false">IF($C2766="","",IFERROR(INDEX(المنيو!$C$2:$C$500,MATCH($C2766,المنيو!$B$2:$B$500,0)),0))</f>
        <v/>
      </c>
      <c r="F2766" s="103" t="str">
        <f aca="false">IF($C2766="","",$D2766*$E2766)</f>
        <v/>
      </c>
      <c r="G2766" s="103" t="str">
        <f aca="false">IF($C2766="","",$D2766*IFERROR(INDEX('تحليل التكلفة والسعر'!$C$2:$C$700,MATCH($C2766,'تحليل التكلفة والسعر'!$B$2:$B$700,0)),0))</f>
        <v/>
      </c>
    </row>
    <row r="2767" customFormat="false" ht="15" hidden="false" customHeight="false" outlineLevel="0" collapsed="false">
      <c r="A2767" s="102"/>
      <c r="E2767" s="103" t="str">
        <f aca="false">IF($C2767="","",IFERROR(INDEX(المنيو!$C$2:$C$500,MATCH($C2767,المنيو!$B$2:$B$500,0)),0))</f>
        <v/>
      </c>
      <c r="F2767" s="103" t="str">
        <f aca="false">IF($C2767="","",$D2767*$E2767)</f>
        <v/>
      </c>
      <c r="G2767" s="103" t="str">
        <f aca="false">IF($C2767="","",$D2767*IFERROR(INDEX('تحليل التكلفة والسعر'!$C$2:$C$700,MATCH($C2767,'تحليل التكلفة والسعر'!$B$2:$B$700,0)),0))</f>
        <v/>
      </c>
    </row>
    <row r="2768" customFormat="false" ht="15" hidden="false" customHeight="false" outlineLevel="0" collapsed="false">
      <c r="A2768" s="102"/>
      <c r="E2768" s="103" t="str">
        <f aca="false">IF($C2768="","",IFERROR(INDEX(المنيو!$C$2:$C$500,MATCH($C2768,المنيو!$B$2:$B$500,0)),0))</f>
        <v/>
      </c>
      <c r="F2768" s="103" t="str">
        <f aca="false">IF($C2768="","",$D2768*$E2768)</f>
        <v/>
      </c>
      <c r="G2768" s="103" t="str">
        <f aca="false">IF($C2768="","",$D2768*IFERROR(INDEX('تحليل التكلفة والسعر'!$C$2:$C$700,MATCH($C2768,'تحليل التكلفة والسعر'!$B$2:$B$700,0)),0))</f>
        <v/>
      </c>
    </row>
    <row r="2769" customFormat="false" ht="15" hidden="false" customHeight="false" outlineLevel="0" collapsed="false">
      <c r="A2769" s="102"/>
      <c r="E2769" s="103" t="str">
        <f aca="false">IF($C2769="","",IFERROR(INDEX(المنيو!$C$2:$C$500,MATCH($C2769,المنيو!$B$2:$B$500,0)),0))</f>
        <v/>
      </c>
      <c r="F2769" s="103" t="str">
        <f aca="false">IF($C2769="","",$D2769*$E2769)</f>
        <v/>
      </c>
      <c r="G2769" s="103" t="str">
        <f aca="false">IF($C2769="","",$D2769*IFERROR(INDEX('تحليل التكلفة والسعر'!$C$2:$C$700,MATCH($C2769,'تحليل التكلفة والسعر'!$B$2:$B$700,0)),0))</f>
        <v/>
      </c>
    </row>
    <row r="2770" customFormat="false" ht="15" hidden="false" customHeight="false" outlineLevel="0" collapsed="false">
      <c r="A2770" s="102"/>
      <c r="E2770" s="103" t="str">
        <f aca="false">IF($C2770="","",IFERROR(INDEX(المنيو!$C$2:$C$500,MATCH($C2770,المنيو!$B$2:$B$500,0)),0))</f>
        <v/>
      </c>
      <c r="F2770" s="103" t="str">
        <f aca="false">IF($C2770="","",$D2770*$E2770)</f>
        <v/>
      </c>
      <c r="G2770" s="103" t="str">
        <f aca="false">IF($C2770="","",$D2770*IFERROR(INDEX('تحليل التكلفة والسعر'!$C$2:$C$700,MATCH($C2770,'تحليل التكلفة والسعر'!$B$2:$B$700,0)),0))</f>
        <v/>
      </c>
    </row>
    <row r="2771" customFormat="false" ht="15" hidden="false" customHeight="false" outlineLevel="0" collapsed="false">
      <c r="A2771" s="102"/>
      <c r="E2771" s="103" t="str">
        <f aca="false">IF($C2771="","",IFERROR(INDEX(المنيو!$C$2:$C$500,MATCH($C2771,المنيو!$B$2:$B$500,0)),0))</f>
        <v/>
      </c>
      <c r="F2771" s="103" t="str">
        <f aca="false">IF($C2771="","",$D2771*$E2771)</f>
        <v/>
      </c>
      <c r="G2771" s="103" t="str">
        <f aca="false">IF($C2771="","",$D2771*IFERROR(INDEX('تحليل التكلفة والسعر'!$C$2:$C$700,MATCH($C2771,'تحليل التكلفة والسعر'!$B$2:$B$700,0)),0))</f>
        <v/>
      </c>
    </row>
    <row r="2772" customFormat="false" ht="15" hidden="false" customHeight="false" outlineLevel="0" collapsed="false">
      <c r="A2772" s="102"/>
      <c r="E2772" s="103" t="str">
        <f aca="false">IF($C2772="","",IFERROR(INDEX(المنيو!$C$2:$C$500,MATCH($C2772,المنيو!$B$2:$B$500,0)),0))</f>
        <v/>
      </c>
      <c r="F2772" s="103" t="str">
        <f aca="false">IF($C2772="","",$D2772*$E2772)</f>
        <v/>
      </c>
      <c r="G2772" s="103" t="str">
        <f aca="false">IF($C2772="","",$D2772*IFERROR(INDEX('تحليل التكلفة والسعر'!$C$2:$C$700,MATCH($C2772,'تحليل التكلفة والسعر'!$B$2:$B$700,0)),0))</f>
        <v/>
      </c>
    </row>
    <row r="2773" customFormat="false" ht="15" hidden="false" customHeight="false" outlineLevel="0" collapsed="false">
      <c r="A2773" s="102"/>
      <c r="E2773" s="103" t="str">
        <f aca="false">IF($C2773="","",IFERROR(INDEX(المنيو!$C$2:$C$500,MATCH($C2773,المنيو!$B$2:$B$500,0)),0))</f>
        <v/>
      </c>
      <c r="F2773" s="103" t="str">
        <f aca="false">IF($C2773="","",$D2773*$E2773)</f>
        <v/>
      </c>
      <c r="G2773" s="103" t="str">
        <f aca="false">IF($C2773="","",$D2773*IFERROR(INDEX('تحليل التكلفة والسعر'!$C$2:$C$700,MATCH($C2773,'تحليل التكلفة والسعر'!$B$2:$B$700,0)),0))</f>
        <v/>
      </c>
    </row>
    <row r="2774" customFormat="false" ht="15" hidden="false" customHeight="false" outlineLevel="0" collapsed="false">
      <c r="A2774" s="102"/>
      <c r="E2774" s="103" t="str">
        <f aca="false">IF($C2774="","",IFERROR(INDEX(المنيو!$C$2:$C$500,MATCH($C2774,المنيو!$B$2:$B$500,0)),0))</f>
        <v/>
      </c>
      <c r="F2774" s="103" t="str">
        <f aca="false">IF($C2774="","",$D2774*$E2774)</f>
        <v/>
      </c>
      <c r="G2774" s="103" t="str">
        <f aca="false">IF($C2774="","",$D2774*IFERROR(INDEX('تحليل التكلفة والسعر'!$C$2:$C$700,MATCH($C2774,'تحليل التكلفة والسعر'!$B$2:$B$700,0)),0))</f>
        <v/>
      </c>
    </row>
    <row r="2775" customFormat="false" ht="15" hidden="false" customHeight="false" outlineLevel="0" collapsed="false">
      <c r="A2775" s="102"/>
      <c r="E2775" s="103" t="str">
        <f aca="false">IF($C2775="","",IFERROR(INDEX(المنيو!$C$2:$C$500,MATCH($C2775,المنيو!$B$2:$B$500,0)),0))</f>
        <v/>
      </c>
      <c r="F2775" s="103" t="str">
        <f aca="false">IF($C2775="","",$D2775*$E2775)</f>
        <v/>
      </c>
      <c r="G2775" s="103" t="str">
        <f aca="false">IF($C2775="","",$D2775*IFERROR(INDEX('تحليل التكلفة والسعر'!$C$2:$C$700,MATCH($C2775,'تحليل التكلفة والسعر'!$B$2:$B$700,0)),0))</f>
        <v/>
      </c>
    </row>
    <row r="2776" customFormat="false" ht="15" hidden="false" customHeight="false" outlineLevel="0" collapsed="false">
      <c r="A2776" s="102"/>
      <c r="E2776" s="103" t="str">
        <f aca="false">IF($C2776="","",IFERROR(INDEX(المنيو!$C$2:$C$500,MATCH($C2776,المنيو!$B$2:$B$500,0)),0))</f>
        <v/>
      </c>
      <c r="F2776" s="103" t="str">
        <f aca="false">IF($C2776="","",$D2776*$E2776)</f>
        <v/>
      </c>
      <c r="G2776" s="103" t="str">
        <f aca="false">IF($C2776="","",$D2776*IFERROR(INDEX('تحليل التكلفة والسعر'!$C$2:$C$700,MATCH($C2776,'تحليل التكلفة والسعر'!$B$2:$B$700,0)),0))</f>
        <v/>
      </c>
    </row>
    <row r="2777" customFormat="false" ht="15" hidden="false" customHeight="false" outlineLevel="0" collapsed="false">
      <c r="A2777" s="102"/>
      <c r="E2777" s="103" t="str">
        <f aca="false">IF($C2777="","",IFERROR(INDEX(المنيو!$C$2:$C$500,MATCH($C2777,المنيو!$B$2:$B$500,0)),0))</f>
        <v/>
      </c>
      <c r="F2777" s="103" t="str">
        <f aca="false">IF($C2777="","",$D2777*$E2777)</f>
        <v/>
      </c>
      <c r="G2777" s="103" t="str">
        <f aca="false">IF($C2777="","",$D2777*IFERROR(INDEX('تحليل التكلفة والسعر'!$C$2:$C$700,MATCH($C2777,'تحليل التكلفة والسعر'!$B$2:$B$700,0)),0))</f>
        <v/>
      </c>
    </row>
    <row r="2778" customFormat="false" ht="15" hidden="false" customHeight="false" outlineLevel="0" collapsed="false">
      <c r="A2778" s="102"/>
      <c r="E2778" s="103" t="str">
        <f aca="false">IF($C2778="","",IFERROR(INDEX(المنيو!$C$2:$C$500,MATCH($C2778,المنيو!$B$2:$B$500,0)),0))</f>
        <v/>
      </c>
      <c r="F2778" s="103" t="str">
        <f aca="false">IF($C2778="","",$D2778*$E2778)</f>
        <v/>
      </c>
      <c r="G2778" s="103" t="str">
        <f aca="false">IF($C2778="","",$D2778*IFERROR(INDEX('تحليل التكلفة والسعر'!$C$2:$C$700,MATCH($C2778,'تحليل التكلفة والسعر'!$B$2:$B$700,0)),0))</f>
        <v/>
      </c>
    </row>
    <row r="2779" customFormat="false" ht="15" hidden="false" customHeight="false" outlineLevel="0" collapsed="false">
      <c r="A2779" s="102"/>
      <c r="E2779" s="103" t="str">
        <f aca="false">IF($C2779="","",IFERROR(INDEX(المنيو!$C$2:$C$500,MATCH($C2779,المنيو!$B$2:$B$500,0)),0))</f>
        <v/>
      </c>
      <c r="F2779" s="103" t="str">
        <f aca="false">IF($C2779="","",$D2779*$E2779)</f>
        <v/>
      </c>
      <c r="G2779" s="103" t="str">
        <f aca="false">IF($C2779="","",$D2779*IFERROR(INDEX('تحليل التكلفة والسعر'!$C$2:$C$700,MATCH($C2779,'تحليل التكلفة والسعر'!$B$2:$B$700,0)),0))</f>
        <v/>
      </c>
    </row>
    <row r="2780" customFormat="false" ht="15" hidden="false" customHeight="false" outlineLevel="0" collapsed="false">
      <c r="A2780" s="102"/>
      <c r="E2780" s="103" t="str">
        <f aca="false">IF($C2780="","",IFERROR(INDEX(المنيو!$C$2:$C$500,MATCH($C2780,المنيو!$B$2:$B$500,0)),0))</f>
        <v/>
      </c>
      <c r="F2780" s="103" t="str">
        <f aca="false">IF($C2780="","",$D2780*$E2780)</f>
        <v/>
      </c>
      <c r="G2780" s="103" t="str">
        <f aca="false">IF($C2780="","",$D2780*IFERROR(INDEX('تحليل التكلفة والسعر'!$C$2:$C$700,MATCH($C2780,'تحليل التكلفة والسعر'!$B$2:$B$700,0)),0))</f>
        <v/>
      </c>
    </row>
    <row r="2781" customFormat="false" ht="15" hidden="false" customHeight="false" outlineLevel="0" collapsed="false">
      <c r="A2781" s="102"/>
      <c r="E2781" s="103" t="str">
        <f aca="false">IF($C2781="","",IFERROR(INDEX(المنيو!$C$2:$C$500,MATCH($C2781,المنيو!$B$2:$B$500,0)),0))</f>
        <v/>
      </c>
      <c r="F2781" s="103" t="str">
        <f aca="false">IF($C2781="","",$D2781*$E2781)</f>
        <v/>
      </c>
      <c r="G2781" s="103" t="str">
        <f aca="false">IF($C2781="","",$D2781*IFERROR(INDEX('تحليل التكلفة والسعر'!$C$2:$C$700,MATCH($C2781,'تحليل التكلفة والسعر'!$B$2:$B$700,0)),0))</f>
        <v/>
      </c>
    </row>
    <row r="2782" customFormat="false" ht="15" hidden="false" customHeight="false" outlineLevel="0" collapsed="false">
      <c r="A2782" s="102"/>
      <c r="E2782" s="103" t="str">
        <f aca="false">IF($C2782="","",IFERROR(INDEX(المنيو!$C$2:$C$500,MATCH($C2782,المنيو!$B$2:$B$500,0)),0))</f>
        <v/>
      </c>
      <c r="F2782" s="103" t="str">
        <f aca="false">IF($C2782="","",$D2782*$E2782)</f>
        <v/>
      </c>
      <c r="G2782" s="103" t="str">
        <f aca="false">IF($C2782="","",$D2782*IFERROR(INDEX('تحليل التكلفة والسعر'!$C$2:$C$700,MATCH($C2782,'تحليل التكلفة والسعر'!$B$2:$B$700,0)),0))</f>
        <v/>
      </c>
    </row>
    <row r="2783" customFormat="false" ht="15" hidden="false" customHeight="false" outlineLevel="0" collapsed="false">
      <c r="A2783" s="102"/>
      <c r="E2783" s="103" t="str">
        <f aca="false">IF($C2783="","",IFERROR(INDEX(المنيو!$C$2:$C$500,MATCH($C2783,المنيو!$B$2:$B$500,0)),0))</f>
        <v/>
      </c>
      <c r="F2783" s="103" t="str">
        <f aca="false">IF($C2783="","",$D2783*$E2783)</f>
        <v/>
      </c>
      <c r="G2783" s="103" t="str">
        <f aca="false">IF($C2783="","",$D2783*IFERROR(INDEX('تحليل التكلفة والسعر'!$C$2:$C$700,MATCH($C2783,'تحليل التكلفة والسعر'!$B$2:$B$700,0)),0))</f>
        <v/>
      </c>
    </row>
    <row r="2784" customFormat="false" ht="15" hidden="false" customHeight="false" outlineLevel="0" collapsed="false">
      <c r="A2784" s="102"/>
      <c r="E2784" s="103" t="str">
        <f aca="false">IF($C2784="","",IFERROR(INDEX(المنيو!$C$2:$C$500,MATCH($C2784,المنيو!$B$2:$B$500,0)),0))</f>
        <v/>
      </c>
      <c r="F2784" s="103" t="str">
        <f aca="false">IF($C2784="","",$D2784*$E2784)</f>
        <v/>
      </c>
      <c r="G2784" s="103" t="str">
        <f aca="false">IF($C2784="","",$D2784*IFERROR(INDEX('تحليل التكلفة والسعر'!$C$2:$C$700,MATCH($C2784,'تحليل التكلفة والسعر'!$B$2:$B$700,0)),0))</f>
        <v/>
      </c>
    </row>
    <row r="2785" customFormat="false" ht="15" hidden="false" customHeight="false" outlineLevel="0" collapsed="false">
      <c r="A2785" s="102"/>
      <c r="E2785" s="103" t="str">
        <f aca="false">IF($C2785="","",IFERROR(INDEX(المنيو!$C$2:$C$500,MATCH($C2785,المنيو!$B$2:$B$500,0)),0))</f>
        <v/>
      </c>
      <c r="F2785" s="103" t="str">
        <f aca="false">IF($C2785="","",$D2785*$E2785)</f>
        <v/>
      </c>
      <c r="G2785" s="103" t="str">
        <f aca="false">IF($C2785="","",$D2785*IFERROR(INDEX('تحليل التكلفة والسعر'!$C$2:$C$700,MATCH($C2785,'تحليل التكلفة والسعر'!$B$2:$B$700,0)),0))</f>
        <v/>
      </c>
    </row>
    <row r="2786" customFormat="false" ht="15" hidden="false" customHeight="false" outlineLevel="0" collapsed="false">
      <c r="A2786" s="102"/>
      <c r="E2786" s="103" t="str">
        <f aca="false">IF($C2786="","",IFERROR(INDEX(المنيو!$C$2:$C$500,MATCH($C2786,المنيو!$B$2:$B$500,0)),0))</f>
        <v/>
      </c>
      <c r="F2786" s="103" t="str">
        <f aca="false">IF($C2786="","",$D2786*$E2786)</f>
        <v/>
      </c>
      <c r="G2786" s="103" t="str">
        <f aca="false">IF($C2786="","",$D2786*IFERROR(INDEX('تحليل التكلفة والسعر'!$C$2:$C$700,MATCH($C2786,'تحليل التكلفة والسعر'!$B$2:$B$700,0)),0))</f>
        <v/>
      </c>
    </row>
    <row r="2787" customFormat="false" ht="15" hidden="false" customHeight="false" outlineLevel="0" collapsed="false">
      <c r="A2787" s="102"/>
      <c r="E2787" s="103" t="str">
        <f aca="false">IF($C2787="","",IFERROR(INDEX(المنيو!$C$2:$C$500,MATCH($C2787,المنيو!$B$2:$B$500,0)),0))</f>
        <v/>
      </c>
      <c r="F2787" s="103" t="str">
        <f aca="false">IF($C2787="","",$D2787*$E2787)</f>
        <v/>
      </c>
      <c r="G2787" s="103" t="str">
        <f aca="false">IF($C2787="","",$D2787*IFERROR(INDEX('تحليل التكلفة والسعر'!$C$2:$C$700,MATCH($C2787,'تحليل التكلفة والسعر'!$B$2:$B$700,0)),0))</f>
        <v/>
      </c>
    </row>
    <row r="2788" customFormat="false" ht="15" hidden="false" customHeight="false" outlineLevel="0" collapsed="false">
      <c r="A2788" s="102"/>
      <c r="E2788" s="103" t="str">
        <f aca="false">IF($C2788="","",IFERROR(INDEX(المنيو!$C$2:$C$500,MATCH($C2788,المنيو!$B$2:$B$500,0)),0))</f>
        <v/>
      </c>
      <c r="F2788" s="103" t="str">
        <f aca="false">IF($C2788="","",$D2788*$E2788)</f>
        <v/>
      </c>
      <c r="G2788" s="103" t="str">
        <f aca="false">IF($C2788="","",$D2788*IFERROR(INDEX('تحليل التكلفة والسعر'!$C$2:$C$700,MATCH($C2788,'تحليل التكلفة والسعر'!$B$2:$B$700,0)),0))</f>
        <v/>
      </c>
    </row>
    <row r="2789" customFormat="false" ht="15" hidden="false" customHeight="false" outlineLevel="0" collapsed="false">
      <c r="A2789" s="102"/>
      <c r="E2789" s="103" t="str">
        <f aca="false">IF($C2789="","",IFERROR(INDEX(المنيو!$C$2:$C$500,MATCH($C2789,المنيو!$B$2:$B$500,0)),0))</f>
        <v/>
      </c>
      <c r="F2789" s="103" t="str">
        <f aca="false">IF($C2789="","",$D2789*$E2789)</f>
        <v/>
      </c>
      <c r="G2789" s="103" t="str">
        <f aca="false">IF($C2789="","",$D2789*IFERROR(INDEX('تحليل التكلفة والسعر'!$C$2:$C$700,MATCH($C2789,'تحليل التكلفة والسعر'!$B$2:$B$700,0)),0))</f>
        <v/>
      </c>
    </row>
    <row r="2790" customFormat="false" ht="15" hidden="false" customHeight="false" outlineLevel="0" collapsed="false">
      <c r="A2790" s="102"/>
      <c r="E2790" s="103" t="str">
        <f aca="false">IF($C2790="","",IFERROR(INDEX(المنيو!$C$2:$C$500,MATCH($C2790,المنيو!$B$2:$B$500,0)),0))</f>
        <v/>
      </c>
      <c r="F2790" s="103" t="str">
        <f aca="false">IF($C2790="","",$D2790*$E2790)</f>
        <v/>
      </c>
      <c r="G2790" s="103" t="str">
        <f aca="false">IF($C2790="","",$D2790*IFERROR(INDEX('تحليل التكلفة والسعر'!$C$2:$C$700,MATCH($C2790,'تحليل التكلفة والسعر'!$B$2:$B$700,0)),0))</f>
        <v/>
      </c>
    </row>
    <row r="2791" customFormat="false" ht="15" hidden="false" customHeight="false" outlineLevel="0" collapsed="false">
      <c r="A2791" s="102"/>
      <c r="E2791" s="103" t="str">
        <f aca="false">IF($C2791="","",IFERROR(INDEX(المنيو!$C$2:$C$500,MATCH($C2791,المنيو!$B$2:$B$500,0)),0))</f>
        <v/>
      </c>
      <c r="F2791" s="103" t="str">
        <f aca="false">IF($C2791="","",$D2791*$E2791)</f>
        <v/>
      </c>
      <c r="G2791" s="103" t="str">
        <f aca="false">IF($C2791="","",$D2791*IFERROR(INDEX('تحليل التكلفة والسعر'!$C$2:$C$700,MATCH($C2791,'تحليل التكلفة والسعر'!$B$2:$B$700,0)),0))</f>
        <v/>
      </c>
    </row>
    <row r="2792" customFormat="false" ht="15" hidden="false" customHeight="false" outlineLevel="0" collapsed="false">
      <c r="A2792" s="102"/>
      <c r="E2792" s="103" t="str">
        <f aca="false">IF($C2792="","",IFERROR(INDEX(المنيو!$C$2:$C$500,MATCH($C2792,المنيو!$B$2:$B$500,0)),0))</f>
        <v/>
      </c>
      <c r="F2792" s="103" t="str">
        <f aca="false">IF($C2792="","",$D2792*$E2792)</f>
        <v/>
      </c>
      <c r="G2792" s="103" t="str">
        <f aca="false">IF($C2792="","",$D2792*IFERROR(INDEX('تحليل التكلفة والسعر'!$C$2:$C$700,MATCH($C2792,'تحليل التكلفة والسعر'!$B$2:$B$700,0)),0))</f>
        <v/>
      </c>
    </row>
    <row r="2793" customFormat="false" ht="15" hidden="false" customHeight="false" outlineLevel="0" collapsed="false">
      <c r="A2793" s="102"/>
      <c r="E2793" s="103" t="str">
        <f aca="false">IF($C2793="","",IFERROR(INDEX(المنيو!$C$2:$C$500,MATCH($C2793,المنيو!$B$2:$B$500,0)),0))</f>
        <v/>
      </c>
      <c r="F2793" s="103" t="str">
        <f aca="false">IF($C2793="","",$D2793*$E2793)</f>
        <v/>
      </c>
      <c r="G2793" s="103" t="str">
        <f aca="false">IF($C2793="","",$D2793*IFERROR(INDEX('تحليل التكلفة والسعر'!$C$2:$C$700,MATCH($C2793,'تحليل التكلفة والسعر'!$B$2:$B$700,0)),0))</f>
        <v/>
      </c>
    </row>
    <row r="2794" customFormat="false" ht="15" hidden="false" customHeight="false" outlineLevel="0" collapsed="false">
      <c r="A2794" s="102"/>
      <c r="E2794" s="103" t="str">
        <f aca="false">IF($C2794="","",IFERROR(INDEX(المنيو!$C$2:$C$500,MATCH($C2794,المنيو!$B$2:$B$500,0)),0))</f>
        <v/>
      </c>
      <c r="F2794" s="103" t="str">
        <f aca="false">IF($C2794="","",$D2794*$E2794)</f>
        <v/>
      </c>
      <c r="G2794" s="103" t="str">
        <f aca="false">IF($C2794="","",$D2794*IFERROR(INDEX('تحليل التكلفة والسعر'!$C$2:$C$700,MATCH($C2794,'تحليل التكلفة والسعر'!$B$2:$B$700,0)),0))</f>
        <v/>
      </c>
    </row>
    <row r="2795" customFormat="false" ht="15" hidden="false" customHeight="false" outlineLevel="0" collapsed="false">
      <c r="A2795" s="102"/>
      <c r="E2795" s="103" t="str">
        <f aca="false">IF($C2795="","",IFERROR(INDEX(المنيو!$C$2:$C$500,MATCH($C2795,المنيو!$B$2:$B$500,0)),0))</f>
        <v/>
      </c>
      <c r="F2795" s="103" t="str">
        <f aca="false">IF($C2795="","",$D2795*$E2795)</f>
        <v/>
      </c>
      <c r="G2795" s="103" t="str">
        <f aca="false">IF($C2795="","",$D2795*IFERROR(INDEX('تحليل التكلفة والسعر'!$C$2:$C$700,MATCH($C2795,'تحليل التكلفة والسعر'!$B$2:$B$700,0)),0))</f>
        <v/>
      </c>
    </row>
    <row r="2796" customFormat="false" ht="15" hidden="false" customHeight="false" outlineLevel="0" collapsed="false">
      <c r="A2796" s="102"/>
      <c r="E2796" s="103" t="str">
        <f aca="false">IF($C2796="","",IFERROR(INDEX(المنيو!$C$2:$C$500,MATCH($C2796,المنيو!$B$2:$B$500,0)),0))</f>
        <v/>
      </c>
      <c r="F2796" s="103" t="str">
        <f aca="false">IF($C2796="","",$D2796*$E2796)</f>
        <v/>
      </c>
      <c r="G2796" s="103" t="str">
        <f aca="false">IF($C2796="","",$D2796*IFERROR(INDEX('تحليل التكلفة والسعر'!$C$2:$C$700,MATCH($C2796,'تحليل التكلفة والسعر'!$B$2:$B$700,0)),0))</f>
        <v/>
      </c>
    </row>
    <row r="2797" customFormat="false" ht="15" hidden="false" customHeight="false" outlineLevel="0" collapsed="false">
      <c r="A2797" s="102"/>
      <c r="E2797" s="103" t="str">
        <f aca="false">IF($C2797="","",IFERROR(INDEX(المنيو!$C$2:$C$500,MATCH($C2797,المنيو!$B$2:$B$500,0)),0))</f>
        <v/>
      </c>
      <c r="F2797" s="103" t="str">
        <f aca="false">IF($C2797="","",$D2797*$E2797)</f>
        <v/>
      </c>
      <c r="G2797" s="103" t="str">
        <f aca="false">IF($C2797="","",$D2797*IFERROR(INDEX('تحليل التكلفة والسعر'!$C$2:$C$700,MATCH($C2797,'تحليل التكلفة والسعر'!$B$2:$B$700,0)),0))</f>
        <v/>
      </c>
    </row>
    <row r="2798" customFormat="false" ht="15" hidden="false" customHeight="false" outlineLevel="0" collapsed="false">
      <c r="A2798" s="102"/>
      <c r="E2798" s="103" t="str">
        <f aca="false">IF($C2798="","",IFERROR(INDEX(المنيو!$C$2:$C$500,MATCH($C2798,المنيو!$B$2:$B$500,0)),0))</f>
        <v/>
      </c>
      <c r="F2798" s="103" t="str">
        <f aca="false">IF($C2798="","",$D2798*$E2798)</f>
        <v/>
      </c>
      <c r="G2798" s="103" t="str">
        <f aca="false">IF($C2798="","",$D2798*IFERROR(INDEX('تحليل التكلفة والسعر'!$C$2:$C$700,MATCH($C2798,'تحليل التكلفة والسعر'!$B$2:$B$700,0)),0))</f>
        <v/>
      </c>
    </row>
    <row r="2799" customFormat="false" ht="15" hidden="false" customHeight="false" outlineLevel="0" collapsed="false">
      <c r="A2799" s="102"/>
      <c r="E2799" s="103" t="str">
        <f aca="false">IF($C2799="","",IFERROR(INDEX(المنيو!$C$2:$C$500,MATCH($C2799,المنيو!$B$2:$B$500,0)),0))</f>
        <v/>
      </c>
      <c r="F2799" s="103" t="str">
        <f aca="false">IF($C2799="","",$D2799*$E2799)</f>
        <v/>
      </c>
      <c r="G2799" s="103" t="str">
        <f aca="false">IF($C2799="","",$D2799*IFERROR(INDEX('تحليل التكلفة والسعر'!$C$2:$C$700,MATCH($C2799,'تحليل التكلفة والسعر'!$B$2:$B$700,0)),0))</f>
        <v/>
      </c>
    </row>
    <row r="2800" customFormat="false" ht="15" hidden="false" customHeight="false" outlineLevel="0" collapsed="false">
      <c r="A2800" s="102"/>
      <c r="E2800" s="103" t="str">
        <f aca="false">IF($C2800="","",IFERROR(INDEX(المنيو!$C$2:$C$500,MATCH($C2800,المنيو!$B$2:$B$500,0)),0))</f>
        <v/>
      </c>
      <c r="F2800" s="103" t="str">
        <f aca="false">IF($C2800="","",$D2800*$E2800)</f>
        <v/>
      </c>
      <c r="G2800" s="103" t="str">
        <f aca="false">IF($C2800="","",$D2800*IFERROR(INDEX('تحليل التكلفة والسعر'!$C$2:$C$700,MATCH($C2800,'تحليل التكلفة والسعر'!$B$2:$B$700,0)),0))</f>
        <v/>
      </c>
    </row>
    <row r="2801" customFormat="false" ht="15" hidden="false" customHeight="false" outlineLevel="0" collapsed="false">
      <c r="A2801" s="102"/>
      <c r="E2801" s="103" t="str">
        <f aca="false">IF($C2801="","",IFERROR(INDEX(المنيو!$C$2:$C$500,MATCH($C2801,المنيو!$B$2:$B$500,0)),0))</f>
        <v/>
      </c>
      <c r="F2801" s="103" t="str">
        <f aca="false">IF($C2801="","",$D2801*$E2801)</f>
        <v/>
      </c>
      <c r="G2801" s="103" t="str">
        <f aca="false">IF($C2801="","",$D2801*IFERROR(INDEX('تحليل التكلفة والسعر'!$C$2:$C$700,MATCH($C2801,'تحليل التكلفة والسعر'!$B$2:$B$700,0)),0))</f>
        <v/>
      </c>
    </row>
    <row r="2802" customFormat="false" ht="15" hidden="false" customHeight="false" outlineLevel="0" collapsed="false">
      <c r="A2802" s="102"/>
      <c r="E2802" s="103" t="str">
        <f aca="false">IF($C2802="","",IFERROR(INDEX(المنيو!$C$2:$C$500,MATCH($C2802,المنيو!$B$2:$B$500,0)),0))</f>
        <v/>
      </c>
      <c r="F2802" s="103" t="str">
        <f aca="false">IF($C2802="","",$D2802*$E2802)</f>
        <v/>
      </c>
      <c r="G2802" s="103" t="str">
        <f aca="false">IF($C2802="","",$D2802*IFERROR(INDEX('تحليل التكلفة والسعر'!$C$2:$C$700,MATCH($C2802,'تحليل التكلفة والسعر'!$B$2:$B$700,0)),0))</f>
        <v/>
      </c>
    </row>
    <row r="2803" customFormat="false" ht="15" hidden="false" customHeight="false" outlineLevel="0" collapsed="false">
      <c r="A2803" s="102"/>
      <c r="E2803" s="103" t="str">
        <f aca="false">IF($C2803="","",IFERROR(INDEX(المنيو!$C$2:$C$500,MATCH($C2803,المنيو!$B$2:$B$500,0)),0))</f>
        <v/>
      </c>
      <c r="F2803" s="103" t="str">
        <f aca="false">IF($C2803="","",$D2803*$E2803)</f>
        <v/>
      </c>
      <c r="G2803" s="103" t="str">
        <f aca="false">IF($C2803="","",$D2803*IFERROR(INDEX('تحليل التكلفة والسعر'!$C$2:$C$700,MATCH($C2803,'تحليل التكلفة والسعر'!$B$2:$B$700,0)),0))</f>
        <v/>
      </c>
    </row>
    <row r="2804" customFormat="false" ht="15" hidden="false" customHeight="false" outlineLevel="0" collapsed="false">
      <c r="A2804" s="102"/>
      <c r="E2804" s="103" t="str">
        <f aca="false">IF($C2804="","",IFERROR(INDEX(المنيو!$C$2:$C$500,MATCH($C2804,المنيو!$B$2:$B$500,0)),0))</f>
        <v/>
      </c>
      <c r="F2804" s="103" t="str">
        <f aca="false">IF($C2804="","",$D2804*$E2804)</f>
        <v/>
      </c>
      <c r="G2804" s="103" t="str">
        <f aca="false">IF($C2804="","",$D2804*IFERROR(INDEX('تحليل التكلفة والسعر'!$C$2:$C$700,MATCH($C2804,'تحليل التكلفة والسعر'!$B$2:$B$700,0)),0))</f>
        <v/>
      </c>
    </row>
    <row r="2805" customFormat="false" ht="15" hidden="false" customHeight="false" outlineLevel="0" collapsed="false">
      <c r="A2805" s="102"/>
      <c r="E2805" s="103" t="str">
        <f aca="false">IF($C2805="","",IFERROR(INDEX(المنيو!$C$2:$C$500,MATCH($C2805,المنيو!$B$2:$B$500,0)),0))</f>
        <v/>
      </c>
      <c r="F2805" s="103" t="str">
        <f aca="false">IF($C2805="","",$D2805*$E2805)</f>
        <v/>
      </c>
      <c r="G2805" s="103" t="str">
        <f aca="false">IF($C2805="","",$D2805*IFERROR(INDEX('تحليل التكلفة والسعر'!$C$2:$C$700,MATCH($C2805,'تحليل التكلفة والسعر'!$B$2:$B$700,0)),0))</f>
        <v/>
      </c>
    </row>
    <row r="2806" customFormat="false" ht="15" hidden="false" customHeight="false" outlineLevel="0" collapsed="false">
      <c r="A2806" s="102"/>
      <c r="E2806" s="103" t="str">
        <f aca="false">IF($C2806="","",IFERROR(INDEX(المنيو!$C$2:$C$500,MATCH($C2806,المنيو!$B$2:$B$500,0)),0))</f>
        <v/>
      </c>
      <c r="F2806" s="103" t="str">
        <f aca="false">IF($C2806="","",$D2806*$E2806)</f>
        <v/>
      </c>
      <c r="G2806" s="103" t="str">
        <f aca="false">IF($C2806="","",$D2806*IFERROR(INDEX('تحليل التكلفة والسعر'!$C$2:$C$700,MATCH($C2806,'تحليل التكلفة والسعر'!$B$2:$B$700,0)),0))</f>
        <v/>
      </c>
    </row>
    <row r="2807" customFormat="false" ht="15" hidden="false" customHeight="false" outlineLevel="0" collapsed="false">
      <c r="A2807" s="102"/>
      <c r="E2807" s="103" t="str">
        <f aca="false">IF($C2807="","",IFERROR(INDEX(المنيو!$C$2:$C$500,MATCH($C2807,المنيو!$B$2:$B$500,0)),0))</f>
        <v/>
      </c>
      <c r="F2807" s="103" t="str">
        <f aca="false">IF($C2807="","",$D2807*$E2807)</f>
        <v/>
      </c>
      <c r="G2807" s="103" t="str">
        <f aca="false">IF($C2807="","",$D2807*IFERROR(INDEX('تحليل التكلفة والسعر'!$C$2:$C$700,MATCH($C2807,'تحليل التكلفة والسعر'!$B$2:$B$700,0)),0))</f>
        <v/>
      </c>
    </row>
    <row r="2808" customFormat="false" ht="15" hidden="false" customHeight="false" outlineLevel="0" collapsed="false">
      <c r="A2808" s="102"/>
      <c r="E2808" s="103" t="str">
        <f aca="false">IF($C2808="","",IFERROR(INDEX(المنيو!$C$2:$C$500,MATCH($C2808,المنيو!$B$2:$B$500,0)),0))</f>
        <v/>
      </c>
      <c r="F2808" s="103" t="str">
        <f aca="false">IF($C2808="","",$D2808*$E2808)</f>
        <v/>
      </c>
      <c r="G2808" s="103" t="str">
        <f aca="false">IF($C2808="","",$D2808*IFERROR(INDEX('تحليل التكلفة والسعر'!$C$2:$C$700,MATCH($C2808,'تحليل التكلفة والسعر'!$B$2:$B$700,0)),0))</f>
        <v/>
      </c>
    </row>
    <row r="2809" customFormat="false" ht="15" hidden="false" customHeight="false" outlineLevel="0" collapsed="false">
      <c r="A2809" s="102"/>
      <c r="E2809" s="103" t="str">
        <f aca="false">IF($C2809="","",IFERROR(INDEX(المنيو!$C$2:$C$500,MATCH($C2809,المنيو!$B$2:$B$500,0)),0))</f>
        <v/>
      </c>
      <c r="F2809" s="103" t="str">
        <f aca="false">IF($C2809="","",$D2809*$E2809)</f>
        <v/>
      </c>
      <c r="G2809" s="103" t="str">
        <f aca="false">IF($C2809="","",$D2809*IFERROR(INDEX('تحليل التكلفة والسعر'!$C$2:$C$700,MATCH($C2809,'تحليل التكلفة والسعر'!$B$2:$B$700,0)),0))</f>
        <v/>
      </c>
    </row>
    <row r="2810" customFormat="false" ht="15" hidden="false" customHeight="false" outlineLevel="0" collapsed="false">
      <c r="A2810" s="102"/>
      <c r="E2810" s="103" t="str">
        <f aca="false">IF($C2810="","",IFERROR(INDEX(المنيو!$C$2:$C$500,MATCH($C2810,المنيو!$B$2:$B$500,0)),0))</f>
        <v/>
      </c>
      <c r="F2810" s="103" t="str">
        <f aca="false">IF($C2810="","",$D2810*$E2810)</f>
        <v/>
      </c>
      <c r="G2810" s="103" t="str">
        <f aca="false">IF($C2810="","",$D2810*IFERROR(INDEX('تحليل التكلفة والسعر'!$C$2:$C$700,MATCH($C2810,'تحليل التكلفة والسعر'!$B$2:$B$700,0)),0))</f>
        <v/>
      </c>
    </row>
    <row r="2811" customFormat="false" ht="15" hidden="false" customHeight="false" outlineLevel="0" collapsed="false">
      <c r="A2811" s="102"/>
      <c r="E2811" s="103" t="str">
        <f aca="false">IF($C2811="","",IFERROR(INDEX(المنيو!$C$2:$C$500,MATCH($C2811,المنيو!$B$2:$B$500,0)),0))</f>
        <v/>
      </c>
      <c r="F2811" s="103" t="str">
        <f aca="false">IF($C2811="","",$D2811*$E2811)</f>
        <v/>
      </c>
      <c r="G2811" s="103" t="str">
        <f aca="false">IF($C2811="","",$D2811*IFERROR(INDEX('تحليل التكلفة والسعر'!$C$2:$C$700,MATCH($C2811,'تحليل التكلفة والسعر'!$B$2:$B$700,0)),0))</f>
        <v/>
      </c>
    </row>
    <row r="2812" customFormat="false" ht="15" hidden="false" customHeight="false" outlineLevel="0" collapsed="false">
      <c r="A2812" s="102"/>
      <c r="E2812" s="103" t="str">
        <f aca="false">IF($C2812="","",IFERROR(INDEX(المنيو!$C$2:$C$500,MATCH($C2812,المنيو!$B$2:$B$500,0)),0))</f>
        <v/>
      </c>
      <c r="F2812" s="103" t="str">
        <f aca="false">IF($C2812="","",$D2812*$E2812)</f>
        <v/>
      </c>
      <c r="G2812" s="103" t="str">
        <f aca="false">IF($C2812="","",$D2812*IFERROR(INDEX('تحليل التكلفة والسعر'!$C$2:$C$700,MATCH($C2812,'تحليل التكلفة والسعر'!$B$2:$B$700,0)),0))</f>
        <v/>
      </c>
    </row>
    <row r="2813" customFormat="false" ht="15" hidden="false" customHeight="false" outlineLevel="0" collapsed="false">
      <c r="A2813" s="102"/>
      <c r="E2813" s="103" t="str">
        <f aca="false">IF($C2813="","",IFERROR(INDEX(المنيو!$C$2:$C$500,MATCH($C2813,المنيو!$B$2:$B$500,0)),0))</f>
        <v/>
      </c>
      <c r="F2813" s="103" t="str">
        <f aca="false">IF($C2813="","",$D2813*$E2813)</f>
        <v/>
      </c>
      <c r="G2813" s="103" t="str">
        <f aca="false">IF($C2813="","",$D2813*IFERROR(INDEX('تحليل التكلفة والسعر'!$C$2:$C$700,MATCH($C2813,'تحليل التكلفة والسعر'!$B$2:$B$700,0)),0))</f>
        <v/>
      </c>
    </row>
    <row r="2814" customFormat="false" ht="15" hidden="false" customHeight="false" outlineLevel="0" collapsed="false">
      <c r="A2814" s="102"/>
      <c r="E2814" s="103" t="str">
        <f aca="false">IF($C2814="","",IFERROR(INDEX(المنيو!$C$2:$C$500,MATCH($C2814,المنيو!$B$2:$B$500,0)),0))</f>
        <v/>
      </c>
      <c r="F2814" s="103" t="str">
        <f aca="false">IF($C2814="","",$D2814*$E2814)</f>
        <v/>
      </c>
      <c r="G2814" s="103" t="str">
        <f aca="false">IF($C2814="","",$D2814*IFERROR(INDEX('تحليل التكلفة والسعر'!$C$2:$C$700,MATCH($C2814,'تحليل التكلفة والسعر'!$B$2:$B$700,0)),0))</f>
        <v/>
      </c>
    </row>
    <row r="2815" customFormat="false" ht="15" hidden="false" customHeight="false" outlineLevel="0" collapsed="false">
      <c r="A2815" s="102"/>
      <c r="E2815" s="103" t="str">
        <f aca="false">IF($C2815="","",IFERROR(INDEX(المنيو!$C$2:$C$500,MATCH($C2815,المنيو!$B$2:$B$500,0)),0))</f>
        <v/>
      </c>
      <c r="F2815" s="103" t="str">
        <f aca="false">IF($C2815="","",$D2815*$E2815)</f>
        <v/>
      </c>
      <c r="G2815" s="103" t="str">
        <f aca="false">IF($C2815="","",$D2815*IFERROR(INDEX('تحليل التكلفة والسعر'!$C$2:$C$700,MATCH($C2815,'تحليل التكلفة والسعر'!$B$2:$B$700,0)),0))</f>
        <v/>
      </c>
    </row>
    <row r="2816" customFormat="false" ht="15" hidden="false" customHeight="false" outlineLevel="0" collapsed="false">
      <c r="A2816" s="102"/>
      <c r="E2816" s="103" t="str">
        <f aca="false">IF($C2816="","",IFERROR(INDEX(المنيو!$C$2:$C$500,MATCH($C2816,المنيو!$B$2:$B$500,0)),0))</f>
        <v/>
      </c>
      <c r="F2816" s="103" t="str">
        <f aca="false">IF($C2816="","",$D2816*$E2816)</f>
        <v/>
      </c>
      <c r="G2816" s="103" t="str">
        <f aca="false">IF($C2816="","",$D2816*IFERROR(INDEX('تحليل التكلفة والسعر'!$C$2:$C$700,MATCH($C2816,'تحليل التكلفة والسعر'!$B$2:$B$700,0)),0))</f>
        <v/>
      </c>
    </row>
    <row r="2817" customFormat="false" ht="15" hidden="false" customHeight="false" outlineLevel="0" collapsed="false">
      <c r="A2817" s="102"/>
      <c r="E2817" s="103" t="str">
        <f aca="false">IF($C2817="","",IFERROR(INDEX(المنيو!$C$2:$C$500,MATCH($C2817,المنيو!$B$2:$B$500,0)),0))</f>
        <v/>
      </c>
      <c r="F2817" s="103" t="str">
        <f aca="false">IF($C2817="","",$D2817*$E2817)</f>
        <v/>
      </c>
      <c r="G2817" s="103" t="str">
        <f aca="false">IF($C2817="","",$D2817*IFERROR(INDEX('تحليل التكلفة والسعر'!$C$2:$C$700,MATCH($C2817,'تحليل التكلفة والسعر'!$B$2:$B$700,0)),0))</f>
        <v/>
      </c>
    </row>
    <row r="2818" customFormat="false" ht="15" hidden="false" customHeight="false" outlineLevel="0" collapsed="false">
      <c r="A2818" s="102"/>
      <c r="E2818" s="103" t="str">
        <f aca="false">IF($C2818="","",IFERROR(INDEX(المنيو!$C$2:$C$500,MATCH($C2818,المنيو!$B$2:$B$500,0)),0))</f>
        <v/>
      </c>
      <c r="F2818" s="103" t="str">
        <f aca="false">IF($C2818="","",$D2818*$E2818)</f>
        <v/>
      </c>
      <c r="G2818" s="103" t="str">
        <f aca="false">IF($C2818="","",$D2818*IFERROR(INDEX('تحليل التكلفة والسعر'!$C$2:$C$700,MATCH($C2818,'تحليل التكلفة والسعر'!$B$2:$B$700,0)),0))</f>
        <v/>
      </c>
    </row>
    <row r="2819" customFormat="false" ht="15" hidden="false" customHeight="false" outlineLevel="0" collapsed="false">
      <c r="A2819" s="102"/>
      <c r="E2819" s="103" t="str">
        <f aca="false">IF($C2819="","",IFERROR(INDEX(المنيو!$C$2:$C$500,MATCH($C2819,المنيو!$B$2:$B$500,0)),0))</f>
        <v/>
      </c>
      <c r="F2819" s="103" t="str">
        <f aca="false">IF($C2819="","",$D2819*$E2819)</f>
        <v/>
      </c>
      <c r="G2819" s="103" t="str">
        <f aca="false">IF($C2819="","",$D2819*IFERROR(INDEX('تحليل التكلفة والسعر'!$C$2:$C$700,MATCH($C2819,'تحليل التكلفة والسعر'!$B$2:$B$700,0)),0))</f>
        <v/>
      </c>
    </row>
    <row r="2820" customFormat="false" ht="15" hidden="false" customHeight="false" outlineLevel="0" collapsed="false">
      <c r="A2820" s="102"/>
      <c r="E2820" s="103" t="str">
        <f aca="false">IF($C2820="","",IFERROR(INDEX(المنيو!$C$2:$C$500,MATCH($C2820,المنيو!$B$2:$B$500,0)),0))</f>
        <v/>
      </c>
      <c r="F2820" s="103" t="str">
        <f aca="false">IF($C2820="","",$D2820*$E2820)</f>
        <v/>
      </c>
      <c r="G2820" s="103" t="str">
        <f aca="false">IF($C2820="","",$D2820*IFERROR(INDEX('تحليل التكلفة والسعر'!$C$2:$C$700,MATCH($C2820,'تحليل التكلفة والسعر'!$B$2:$B$700,0)),0))</f>
        <v/>
      </c>
    </row>
    <row r="2821" customFormat="false" ht="15" hidden="false" customHeight="false" outlineLevel="0" collapsed="false">
      <c r="A2821" s="102"/>
      <c r="E2821" s="103" t="str">
        <f aca="false">IF($C2821="","",IFERROR(INDEX(المنيو!$C$2:$C$500,MATCH($C2821,المنيو!$B$2:$B$500,0)),0))</f>
        <v/>
      </c>
      <c r="F2821" s="103" t="str">
        <f aca="false">IF($C2821="","",$D2821*$E2821)</f>
        <v/>
      </c>
      <c r="G2821" s="103" t="str">
        <f aca="false">IF($C2821="","",$D2821*IFERROR(INDEX('تحليل التكلفة والسعر'!$C$2:$C$700,MATCH($C2821,'تحليل التكلفة والسعر'!$B$2:$B$700,0)),0))</f>
        <v/>
      </c>
    </row>
    <row r="2822" customFormat="false" ht="15" hidden="false" customHeight="false" outlineLevel="0" collapsed="false">
      <c r="A2822" s="102"/>
      <c r="E2822" s="103" t="str">
        <f aca="false">IF($C2822="","",IFERROR(INDEX(المنيو!$C$2:$C$500,MATCH($C2822,المنيو!$B$2:$B$500,0)),0))</f>
        <v/>
      </c>
      <c r="F2822" s="103" t="str">
        <f aca="false">IF($C2822="","",$D2822*$E2822)</f>
        <v/>
      </c>
      <c r="G2822" s="103" t="str">
        <f aca="false">IF($C2822="","",$D2822*IFERROR(INDEX('تحليل التكلفة والسعر'!$C$2:$C$700,MATCH($C2822,'تحليل التكلفة والسعر'!$B$2:$B$700,0)),0))</f>
        <v/>
      </c>
    </row>
    <row r="2823" customFormat="false" ht="15" hidden="false" customHeight="false" outlineLevel="0" collapsed="false">
      <c r="A2823" s="102"/>
      <c r="E2823" s="103" t="str">
        <f aca="false">IF($C2823="","",IFERROR(INDEX(المنيو!$C$2:$C$500,MATCH($C2823,المنيو!$B$2:$B$500,0)),0))</f>
        <v/>
      </c>
      <c r="F2823" s="103" t="str">
        <f aca="false">IF($C2823="","",$D2823*$E2823)</f>
        <v/>
      </c>
      <c r="G2823" s="103" t="str">
        <f aca="false">IF($C2823="","",$D2823*IFERROR(INDEX('تحليل التكلفة والسعر'!$C$2:$C$700,MATCH($C2823,'تحليل التكلفة والسعر'!$B$2:$B$700,0)),0))</f>
        <v/>
      </c>
    </row>
    <row r="2824" customFormat="false" ht="15" hidden="false" customHeight="false" outlineLevel="0" collapsed="false">
      <c r="A2824" s="102"/>
      <c r="E2824" s="103" t="str">
        <f aca="false">IF($C2824="","",IFERROR(INDEX(المنيو!$C$2:$C$500,MATCH($C2824,المنيو!$B$2:$B$500,0)),0))</f>
        <v/>
      </c>
      <c r="F2824" s="103" t="str">
        <f aca="false">IF($C2824="","",$D2824*$E2824)</f>
        <v/>
      </c>
      <c r="G2824" s="103" t="str">
        <f aca="false">IF($C2824="","",$D2824*IFERROR(INDEX('تحليل التكلفة والسعر'!$C$2:$C$700,MATCH($C2824,'تحليل التكلفة والسعر'!$B$2:$B$700,0)),0))</f>
        <v/>
      </c>
    </row>
    <row r="2825" customFormat="false" ht="15" hidden="false" customHeight="false" outlineLevel="0" collapsed="false">
      <c r="A2825" s="102"/>
      <c r="E2825" s="103" t="str">
        <f aca="false">IF($C2825="","",IFERROR(INDEX(المنيو!$C$2:$C$500,MATCH($C2825,المنيو!$B$2:$B$500,0)),0))</f>
        <v/>
      </c>
      <c r="F2825" s="103" t="str">
        <f aca="false">IF($C2825="","",$D2825*$E2825)</f>
        <v/>
      </c>
      <c r="G2825" s="103" t="str">
        <f aca="false">IF($C2825="","",$D2825*IFERROR(INDEX('تحليل التكلفة والسعر'!$C$2:$C$700,MATCH($C2825,'تحليل التكلفة والسعر'!$B$2:$B$700,0)),0))</f>
        <v/>
      </c>
    </row>
    <row r="2826" customFormat="false" ht="15" hidden="false" customHeight="false" outlineLevel="0" collapsed="false">
      <c r="A2826" s="102"/>
      <c r="E2826" s="103" t="str">
        <f aca="false">IF($C2826="","",IFERROR(INDEX(المنيو!$C$2:$C$500,MATCH($C2826,المنيو!$B$2:$B$500,0)),0))</f>
        <v/>
      </c>
      <c r="F2826" s="103" t="str">
        <f aca="false">IF($C2826="","",$D2826*$E2826)</f>
        <v/>
      </c>
      <c r="G2826" s="103" t="str">
        <f aca="false">IF($C2826="","",$D2826*IFERROR(INDEX('تحليل التكلفة والسعر'!$C$2:$C$700,MATCH($C2826,'تحليل التكلفة والسعر'!$B$2:$B$700,0)),0))</f>
        <v/>
      </c>
    </row>
    <row r="2827" customFormat="false" ht="15" hidden="false" customHeight="false" outlineLevel="0" collapsed="false">
      <c r="A2827" s="102"/>
      <c r="E2827" s="103" t="str">
        <f aca="false">IF($C2827="","",IFERROR(INDEX(المنيو!$C$2:$C$500,MATCH($C2827,المنيو!$B$2:$B$500,0)),0))</f>
        <v/>
      </c>
      <c r="F2827" s="103" t="str">
        <f aca="false">IF($C2827="","",$D2827*$E2827)</f>
        <v/>
      </c>
      <c r="G2827" s="103" t="str">
        <f aca="false">IF($C2827="","",$D2827*IFERROR(INDEX('تحليل التكلفة والسعر'!$C$2:$C$700,MATCH($C2827,'تحليل التكلفة والسعر'!$B$2:$B$700,0)),0))</f>
        <v/>
      </c>
    </row>
    <row r="2828" customFormat="false" ht="15" hidden="false" customHeight="false" outlineLevel="0" collapsed="false">
      <c r="A2828" s="102"/>
      <c r="E2828" s="103" t="str">
        <f aca="false">IF($C2828="","",IFERROR(INDEX(المنيو!$C$2:$C$500,MATCH($C2828,المنيو!$B$2:$B$500,0)),0))</f>
        <v/>
      </c>
      <c r="F2828" s="103" t="str">
        <f aca="false">IF($C2828="","",$D2828*$E2828)</f>
        <v/>
      </c>
      <c r="G2828" s="103" t="str">
        <f aca="false">IF($C2828="","",$D2828*IFERROR(INDEX('تحليل التكلفة والسعر'!$C$2:$C$700,MATCH($C2828,'تحليل التكلفة والسعر'!$B$2:$B$700,0)),0))</f>
        <v/>
      </c>
    </row>
    <row r="2829" customFormat="false" ht="15" hidden="false" customHeight="false" outlineLevel="0" collapsed="false">
      <c r="A2829" s="102"/>
      <c r="E2829" s="103" t="str">
        <f aca="false">IF($C2829="","",IFERROR(INDEX(المنيو!$C$2:$C$500,MATCH($C2829,المنيو!$B$2:$B$500,0)),0))</f>
        <v/>
      </c>
      <c r="F2829" s="103" t="str">
        <f aca="false">IF($C2829="","",$D2829*$E2829)</f>
        <v/>
      </c>
      <c r="G2829" s="103" t="str">
        <f aca="false">IF($C2829="","",$D2829*IFERROR(INDEX('تحليل التكلفة والسعر'!$C$2:$C$700,MATCH($C2829,'تحليل التكلفة والسعر'!$B$2:$B$700,0)),0))</f>
        <v/>
      </c>
    </row>
    <row r="2830" customFormat="false" ht="15" hidden="false" customHeight="false" outlineLevel="0" collapsed="false">
      <c r="A2830" s="102"/>
      <c r="E2830" s="103" t="str">
        <f aca="false">IF($C2830="","",IFERROR(INDEX(المنيو!$C$2:$C$500,MATCH($C2830,المنيو!$B$2:$B$500,0)),0))</f>
        <v/>
      </c>
      <c r="F2830" s="103" t="str">
        <f aca="false">IF($C2830="","",$D2830*$E2830)</f>
        <v/>
      </c>
      <c r="G2830" s="103" t="str">
        <f aca="false">IF($C2830="","",$D2830*IFERROR(INDEX('تحليل التكلفة والسعر'!$C$2:$C$700,MATCH($C2830,'تحليل التكلفة والسعر'!$B$2:$B$700,0)),0))</f>
        <v/>
      </c>
    </row>
    <row r="2831" customFormat="false" ht="15" hidden="false" customHeight="false" outlineLevel="0" collapsed="false">
      <c r="A2831" s="102"/>
      <c r="E2831" s="103" t="str">
        <f aca="false">IF($C2831="","",IFERROR(INDEX(المنيو!$C$2:$C$500,MATCH($C2831,المنيو!$B$2:$B$500,0)),0))</f>
        <v/>
      </c>
      <c r="F2831" s="103" t="str">
        <f aca="false">IF($C2831="","",$D2831*$E2831)</f>
        <v/>
      </c>
      <c r="G2831" s="103" t="str">
        <f aca="false">IF($C2831="","",$D2831*IFERROR(INDEX('تحليل التكلفة والسعر'!$C$2:$C$700,MATCH($C2831,'تحليل التكلفة والسعر'!$B$2:$B$700,0)),0))</f>
        <v/>
      </c>
    </row>
    <row r="2832" customFormat="false" ht="15" hidden="false" customHeight="false" outlineLevel="0" collapsed="false">
      <c r="A2832" s="102"/>
      <c r="E2832" s="103" t="str">
        <f aca="false">IF($C2832="","",IFERROR(INDEX(المنيو!$C$2:$C$500,MATCH($C2832,المنيو!$B$2:$B$500,0)),0))</f>
        <v/>
      </c>
      <c r="F2832" s="103" t="str">
        <f aca="false">IF($C2832="","",$D2832*$E2832)</f>
        <v/>
      </c>
      <c r="G2832" s="103" t="str">
        <f aca="false">IF($C2832="","",$D2832*IFERROR(INDEX('تحليل التكلفة والسعر'!$C$2:$C$700,MATCH($C2832,'تحليل التكلفة والسعر'!$B$2:$B$700,0)),0))</f>
        <v/>
      </c>
    </row>
    <row r="2833" customFormat="false" ht="15" hidden="false" customHeight="false" outlineLevel="0" collapsed="false">
      <c r="A2833" s="102"/>
      <c r="E2833" s="103" t="str">
        <f aca="false">IF($C2833="","",IFERROR(INDEX(المنيو!$C$2:$C$500,MATCH($C2833,المنيو!$B$2:$B$500,0)),0))</f>
        <v/>
      </c>
      <c r="F2833" s="103" t="str">
        <f aca="false">IF($C2833="","",$D2833*$E2833)</f>
        <v/>
      </c>
      <c r="G2833" s="103" t="str">
        <f aca="false">IF($C2833="","",$D2833*IFERROR(INDEX('تحليل التكلفة والسعر'!$C$2:$C$700,MATCH($C2833,'تحليل التكلفة والسعر'!$B$2:$B$700,0)),0))</f>
        <v/>
      </c>
    </row>
    <row r="2834" customFormat="false" ht="15" hidden="false" customHeight="false" outlineLevel="0" collapsed="false">
      <c r="A2834" s="102"/>
      <c r="E2834" s="103" t="str">
        <f aca="false">IF($C2834="","",IFERROR(INDEX(المنيو!$C$2:$C$500,MATCH($C2834,المنيو!$B$2:$B$500,0)),0))</f>
        <v/>
      </c>
      <c r="F2834" s="103" t="str">
        <f aca="false">IF($C2834="","",$D2834*$E2834)</f>
        <v/>
      </c>
      <c r="G2834" s="103" t="str">
        <f aca="false">IF($C2834="","",$D2834*IFERROR(INDEX('تحليل التكلفة والسعر'!$C$2:$C$700,MATCH($C2834,'تحليل التكلفة والسعر'!$B$2:$B$700,0)),0))</f>
        <v/>
      </c>
    </row>
    <row r="2835" customFormat="false" ht="15" hidden="false" customHeight="false" outlineLevel="0" collapsed="false">
      <c r="A2835" s="102"/>
      <c r="E2835" s="103" t="str">
        <f aca="false">IF($C2835="","",IFERROR(INDEX(المنيو!$C$2:$C$500,MATCH($C2835,المنيو!$B$2:$B$500,0)),0))</f>
        <v/>
      </c>
      <c r="F2835" s="103" t="str">
        <f aca="false">IF($C2835="","",$D2835*$E2835)</f>
        <v/>
      </c>
      <c r="G2835" s="103" t="str">
        <f aca="false">IF($C2835="","",$D2835*IFERROR(INDEX('تحليل التكلفة والسعر'!$C$2:$C$700,MATCH($C2835,'تحليل التكلفة والسعر'!$B$2:$B$700,0)),0))</f>
        <v/>
      </c>
    </row>
    <row r="2836" customFormat="false" ht="15" hidden="false" customHeight="false" outlineLevel="0" collapsed="false">
      <c r="A2836" s="102"/>
      <c r="E2836" s="103" t="str">
        <f aca="false">IF($C2836="","",IFERROR(INDEX(المنيو!$C$2:$C$500,MATCH($C2836,المنيو!$B$2:$B$500,0)),0))</f>
        <v/>
      </c>
      <c r="F2836" s="103" t="str">
        <f aca="false">IF($C2836="","",$D2836*$E2836)</f>
        <v/>
      </c>
      <c r="G2836" s="103" t="str">
        <f aca="false">IF($C2836="","",$D2836*IFERROR(INDEX('تحليل التكلفة والسعر'!$C$2:$C$700,MATCH($C2836,'تحليل التكلفة والسعر'!$B$2:$B$700,0)),0))</f>
        <v/>
      </c>
    </row>
    <row r="2837" customFormat="false" ht="15" hidden="false" customHeight="false" outlineLevel="0" collapsed="false">
      <c r="A2837" s="102"/>
      <c r="E2837" s="103" t="str">
        <f aca="false">IF($C2837="","",IFERROR(INDEX(المنيو!$C$2:$C$500,MATCH($C2837,المنيو!$B$2:$B$500,0)),0))</f>
        <v/>
      </c>
      <c r="F2837" s="103" t="str">
        <f aca="false">IF($C2837="","",$D2837*$E2837)</f>
        <v/>
      </c>
      <c r="G2837" s="103" t="str">
        <f aca="false">IF($C2837="","",$D2837*IFERROR(INDEX('تحليل التكلفة والسعر'!$C$2:$C$700,MATCH($C2837,'تحليل التكلفة والسعر'!$B$2:$B$700,0)),0))</f>
        <v/>
      </c>
    </row>
    <row r="2838" customFormat="false" ht="15" hidden="false" customHeight="false" outlineLevel="0" collapsed="false">
      <c r="A2838" s="102"/>
      <c r="E2838" s="103" t="str">
        <f aca="false">IF($C2838="","",IFERROR(INDEX(المنيو!$C$2:$C$500,MATCH($C2838,المنيو!$B$2:$B$500,0)),0))</f>
        <v/>
      </c>
      <c r="F2838" s="103" t="str">
        <f aca="false">IF($C2838="","",$D2838*$E2838)</f>
        <v/>
      </c>
      <c r="G2838" s="103" t="str">
        <f aca="false">IF($C2838="","",$D2838*IFERROR(INDEX('تحليل التكلفة والسعر'!$C$2:$C$700,MATCH($C2838,'تحليل التكلفة والسعر'!$B$2:$B$700,0)),0))</f>
        <v/>
      </c>
    </row>
    <row r="2839" customFormat="false" ht="15" hidden="false" customHeight="false" outlineLevel="0" collapsed="false">
      <c r="A2839" s="102"/>
      <c r="E2839" s="103" t="str">
        <f aca="false">IF($C2839="","",IFERROR(INDEX(المنيو!$C$2:$C$500,MATCH($C2839,المنيو!$B$2:$B$500,0)),0))</f>
        <v/>
      </c>
      <c r="F2839" s="103" t="str">
        <f aca="false">IF($C2839="","",$D2839*$E2839)</f>
        <v/>
      </c>
      <c r="G2839" s="103" t="str">
        <f aca="false">IF($C2839="","",$D2839*IFERROR(INDEX('تحليل التكلفة والسعر'!$C$2:$C$700,MATCH($C2839,'تحليل التكلفة والسعر'!$B$2:$B$700,0)),0))</f>
        <v/>
      </c>
    </row>
    <row r="2840" customFormat="false" ht="15" hidden="false" customHeight="false" outlineLevel="0" collapsed="false">
      <c r="A2840" s="102"/>
      <c r="E2840" s="103" t="str">
        <f aca="false">IF($C2840="","",IFERROR(INDEX(المنيو!$C$2:$C$500,MATCH($C2840,المنيو!$B$2:$B$500,0)),0))</f>
        <v/>
      </c>
      <c r="F2840" s="103" t="str">
        <f aca="false">IF($C2840="","",$D2840*$E2840)</f>
        <v/>
      </c>
      <c r="G2840" s="103" t="str">
        <f aca="false">IF($C2840="","",$D2840*IFERROR(INDEX('تحليل التكلفة والسعر'!$C$2:$C$700,MATCH($C2840,'تحليل التكلفة والسعر'!$B$2:$B$700,0)),0))</f>
        <v/>
      </c>
    </row>
    <row r="2841" customFormat="false" ht="15" hidden="false" customHeight="false" outlineLevel="0" collapsed="false">
      <c r="A2841" s="102"/>
      <c r="E2841" s="103" t="str">
        <f aca="false">IF($C2841="","",IFERROR(INDEX(المنيو!$C$2:$C$500,MATCH($C2841,المنيو!$B$2:$B$500,0)),0))</f>
        <v/>
      </c>
      <c r="F2841" s="103" t="str">
        <f aca="false">IF($C2841="","",$D2841*$E2841)</f>
        <v/>
      </c>
      <c r="G2841" s="103" t="str">
        <f aca="false">IF($C2841="","",$D2841*IFERROR(INDEX('تحليل التكلفة والسعر'!$C$2:$C$700,MATCH($C2841,'تحليل التكلفة والسعر'!$B$2:$B$700,0)),0))</f>
        <v/>
      </c>
    </row>
    <row r="2842" customFormat="false" ht="15" hidden="false" customHeight="false" outlineLevel="0" collapsed="false">
      <c r="A2842" s="102"/>
      <c r="E2842" s="103" t="str">
        <f aca="false">IF($C2842="","",IFERROR(INDEX(المنيو!$C$2:$C$500,MATCH($C2842,المنيو!$B$2:$B$500,0)),0))</f>
        <v/>
      </c>
      <c r="F2842" s="103" t="str">
        <f aca="false">IF($C2842="","",$D2842*$E2842)</f>
        <v/>
      </c>
      <c r="G2842" s="103" t="str">
        <f aca="false">IF($C2842="","",$D2842*IFERROR(INDEX('تحليل التكلفة والسعر'!$C$2:$C$700,MATCH($C2842,'تحليل التكلفة والسعر'!$B$2:$B$700,0)),0))</f>
        <v/>
      </c>
    </row>
    <row r="2843" customFormat="false" ht="15" hidden="false" customHeight="false" outlineLevel="0" collapsed="false">
      <c r="A2843" s="102"/>
      <c r="E2843" s="103" t="str">
        <f aca="false">IF($C2843="","",IFERROR(INDEX(المنيو!$C$2:$C$500,MATCH($C2843,المنيو!$B$2:$B$500,0)),0))</f>
        <v/>
      </c>
      <c r="F2843" s="103" t="str">
        <f aca="false">IF($C2843="","",$D2843*$E2843)</f>
        <v/>
      </c>
      <c r="G2843" s="103" t="str">
        <f aca="false">IF($C2843="","",$D2843*IFERROR(INDEX('تحليل التكلفة والسعر'!$C$2:$C$700,MATCH($C2843,'تحليل التكلفة والسعر'!$B$2:$B$700,0)),0))</f>
        <v/>
      </c>
    </row>
    <row r="2844" customFormat="false" ht="15" hidden="false" customHeight="false" outlineLevel="0" collapsed="false">
      <c r="A2844" s="102"/>
      <c r="E2844" s="103" t="str">
        <f aca="false">IF($C2844="","",IFERROR(INDEX(المنيو!$C$2:$C$500,MATCH($C2844,المنيو!$B$2:$B$500,0)),0))</f>
        <v/>
      </c>
      <c r="F2844" s="103" t="str">
        <f aca="false">IF($C2844="","",$D2844*$E2844)</f>
        <v/>
      </c>
      <c r="G2844" s="103" t="str">
        <f aca="false">IF($C2844="","",$D2844*IFERROR(INDEX('تحليل التكلفة والسعر'!$C$2:$C$700,MATCH($C2844,'تحليل التكلفة والسعر'!$B$2:$B$700,0)),0))</f>
        <v/>
      </c>
    </row>
    <row r="2845" customFormat="false" ht="15" hidden="false" customHeight="false" outlineLevel="0" collapsed="false">
      <c r="A2845" s="102"/>
      <c r="E2845" s="103" t="str">
        <f aca="false">IF($C2845="","",IFERROR(INDEX(المنيو!$C$2:$C$500,MATCH($C2845,المنيو!$B$2:$B$500,0)),0))</f>
        <v/>
      </c>
      <c r="F2845" s="103" t="str">
        <f aca="false">IF($C2845="","",$D2845*$E2845)</f>
        <v/>
      </c>
      <c r="G2845" s="103" t="str">
        <f aca="false">IF($C2845="","",$D2845*IFERROR(INDEX('تحليل التكلفة والسعر'!$C$2:$C$700,MATCH($C2845,'تحليل التكلفة والسعر'!$B$2:$B$700,0)),0))</f>
        <v/>
      </c>
    </row>
    <row r="2846" customFormat="false" ht="15" hidden="false" customHeight="false" outlineLevel="0" collapsed="false">
      <c r="A2846" s="102"/>
      <c r="E2846" s="103" t="str">
        <f aca="false">IF($C2846="","",IFERROR(INDEX(المنيو!$C$2:$C$500,MATCH($C2846,المنيو!$B$2:$B$500,0)),0))</f>
        <v/>
      </c>
      <c r="F2846" s="103" t="str">
        <f aca="false">IF($C2846="","",$D2846*$E2846)</f>
        <v/>
      </c>
      <c r="G2846" s="103" t="str">
        <f aca="false">IF($C2846="","",$D2846*IFERROR(INDEX('تحليل التكلفة والسعر'!$C$2:$C$700,MATCH($C2846,'تحليل التكلفة والسعر'!$B$2:$B$700,0)),0))</f>
        <v/>
      </c>
    </row>
    <row r="2847" customFormat="false" ht="15" hidden="false" customHeight="false" outlineLevel="0" collapsed="false">
      <c r="A2847" s="102"/>
      <c r="E2847" s="103" t="str">
        <f aca="false">IF($C2847="","",IFERROR(INDEX(المنيو!$C$2:$C$500,MATCH($C2847,المنيو!$B$2:$B$500,0)),0))</f>
        <v/>
      </c>
      <c r="F2847" s="103" t="str">
        <f aca="false">IF($C2847="","",$D2847*$E2847)</f>
        <v/>
      </c>
      <c r="G2847" s="103" t="str">
        <f aca="false">IF($C2847="","",$D2847*IFERROR(INDEX('تحليل التكلفة والسعر'!$C$2:$C$700,MATCH($C2847,'تحليل التكلفة والسعر'!$B$2:$B$700,0)),0))</f>
        <v/>
      </c>
    </row>
    <row r="2848" customFormat="false" ht="15" hidden="false" customHeight="false" outlineLevel="0" collapsed="false">
      <c r="A2848" s="102"/>
      <c r="E2848" s="103" t="str">
        <f aca="false">IF($C2848="","",IFERROR(INDEX(المنيو!$C$2:$C$500,MATCH($C2848,المنيو!$B$2:$B$500,0)),0))</f>
        <v/>
      </c>
      <c r="F2848" s="103" t="str">
        <f aca="false">IF($C2848="","",$D2848*$E2848)</f>
        <v/>
      </c>
      <c r="G2848" s="103" t="str">
        <f aca="false">IF($C2848="","",$D2848*IFERROR(INDEX('تحليل التكلفة والسعر'!$C$2:$C$700,MATCH($C2848,'تحليل التكلفة والسعر'!$B$2:$B$700,0)),0))</f>
        <v/>
      </c>
    </row>
    <row r="2849" customFormat="false" ht="15" hidden="false" customHeight="false" outlineLevel="0" collapsed="false">
      <c r="A2849" s="102"/>
      <c r="E2849" s="103" t="str">
        <f aca="false">IF($C2849="","",IFERROR(INDEX(المنيو!$C$2:$C$500,MATCH($C2849,المنيو!$B$2:$B$500,0)),0))</f>
        <v/>
      </c>
      <c r="F2849" s="103" t="str">
        <f aca="false">IF($C2849="","",$D2849*$E2849)</f>
        <v/>
      </c>
      <c r="G2849" s="103" t="str">
        <f aca="false">IF($C2849="","",$D2849*IFERROR(INDEX('تحليل التكلفة والسعر'!$C$2:$C$700,MATCH($C2849,'تحليل التكلفة والسعر'!$B$2:$B$700,0)),0))</f>
        <v/>
      </c>
    </row>
    <row r="2850" customFormat="false" ht="15" hidden="false" customHeight="false" outlineLevel="0" collapsed="false">
      <c r="A2850" s="102"/>
      <c r="E2850" s="103" t="str">
        <f aca="false">IF($C2850="","",IFERROR(INDEX(المنيو!$C$2:$C$500,MATCH($C2850,المنيو!$B$2:$B$500,0)),0))</f>
        <v/>
      </c>
      <c r="F2850" s="103" t="str">
        <f aca="false">IF($C2850="","",$D2850*$E2850)</f>
        <v/>
      </c>
      <c r="G2850" s="103" t="str">
        <f aca="false">IF($C2850="","",$D2850*IFERROR(INDEX('تحليل التكلفة والسعر'!$C$2:$C$700,MATCH($C2850,'تحليل التكلفة والسعر'!$B$2:$B$700,0)),0))</f>
        <v/>
      </c>
    </row>
    <row r="2851" customFormat="false" ht="15" hidden="false" customHeight="false" outlineLevel="0" collapsed="false">
      <c r="A2851" s="102"/>
      <c r="E2851" s="103" t="str">
        <f aca="false">IF($C2851="","",IFERROR(INDEX(المنيو!$C$2:$C$500,MATCH($C2851,المنيو!$B$2:$B$500,0)),0))</f>
        <v/>
      </c>
      <c r="F2851" s="103" t="str">
        <f aca="false">IF($C2851="","",$D2851*$E2851)</f>
        <v/>
      </c>
      <c r="G2851" s="103" t="str">
        <f aca="false">IF($C2851="","",$D2851*IFERROR(INDEX('تحليل التكلفة والسعر'!$C$2:$C$700,MATCH($C2851,'تحليل التكلفة والسعر'!$B$2:$B$700,0)),0))</f>
        <v/>
      </c>
    </row>
    <row r="2852" customFormat="false" ht="15" hidden="false" customHeight="false" outlineLevel="0" collapsed="false">
      <c r="A2852" s="102"/>
      <c r="E2852" s="103" t="str">
        <f aca="false">IF($C2852="","",IFERROR(INDEX(المنيو!$C$2:$C$500,MATCH($C2852,المنيو!$B$2:$B$500,0)),0))</f>
        <v/>
      </c>
      <c r="F2852" s="103" t="str">
        <f aca="false">IF($C2852="","",$D2852*$E2852)</f>
        <v/>
      </c>
      <c r="G2852" s="103" t="str">
        <f aca="false">IF($C2852="","",$D2852*IFERROR(INDEX('تحليل التكلفة والسعر'!$C$2:$C$700,MATCH($C2852,'تحليل التكلفة والسعر'!$B$2:$B$700,0)),0))</f>
        <v/>
      </c>
    </row>
    <row r="2853" customFormat="false" ht="15" hidden="false" customHeight="false" outlineLevel="0" collapsed="false">
      <c r="A2853" s="102"/>
      <c r="E2853" s="103" t="str">
        <f aca="false">IF($C2853="","",IFERROR(INDEX(المنيو!$C$2:$C$500,MATCH($C2853,المنيو!$B$2:$B$500,0)),0))</f>
        <v/>
      </c>
      <c r="F2853" s="103" t="str">
        <f aca="false">IF($C2853="","",$D2853*$E2853)</f>
        <v/>
      </c>
      <c r="G2853" s="103" t="str">
        <f aca="false">IF($C2853="","",$D2853*IFERROR(INDEX('تحليل التكلفة والسعر'!$C$2:$C$700,MATCH($C2853,'تحليل التكلفة والسعر'!$B$2:$B$700,0)),0))</f>
        <v/>
      </c>
    </row>
    <row r="2854" customFormat="false" ht="15" hidden="false" customHeight="false" outlineLevel="0" collapsed="false">
      <c r="A2854" s="102"/>
      <c r="E2854" s="103" t="str">
        <f aca="false">IF($C2854="","",IFERROR(INDEX(المنيو!$C$2:$C$500,MATCH($C2854,المنيو!$B$2:$B$500,0)),0))</f>
        <v/>
      </c>
      <c r="F2854" s="103" t="str">
        <f aca="false">IF($C2854="","",$D2854*$E2854)</f>
        <v/>
      </c>
      <c r="G2854" s="103" t="str">
        <f aca="false">IF($C2854="","",$D2854*IFERROR(INDEX('تحليل التكلفة والسعر'!$C$2:$C$700,MATCH($C2854,'تحليل التكلفة والسعر'!$B$2:$B$700,0)),0))</f>
        <v/>
      </c>
    </row>
    <row r="2855" customFormat="false" ht="15" hidden="false" customHeight="false" outlineLevel="0" collapsed="false">
      <c r="A2855" s="102"/>
      <c r="E2855" s="103" t="str">
        <f aca="false">IF($C2855="","",IFERROR(INDEX(المنيو!$C$2:$C$500,MATCH($C2855,المنيو!$B$2:$B$500,0)),0))</f>
        <v/>
      </c>
      <c r="F2855" s="103" t="str">
        <f aca="false">IF($C2855="","",$D2855*$E2855)</f>
        <v/>
      </c>
      <c r="G2855" s="103" t="str">
        <f aca="false">IF($C2855="","",$D2855*IFERROR(INDEX('تحليل التكلفة والسعر'!$C$2:$C$700,MATCH($C2855,'تحليل التكلفة والسعر'!$B$2:$B$700,0)),0))</f>
        <v/>
      </c>
    </row>
    <row r="2856" customFormat="false" ht="15" hidden="false" customHeight="false" outlineLevel="0" collapsed="false">
      <c r="A2856" s="102"/>
      <c r="E2856" s="103" t="str">
        <f aca="false">IF($C2856="","",IFERROR(INDEX(المنيو!$C$2:$C$500,MATCH($C2856,المنيو!$B$2:$B$500,0)),0))</f>
        <v/>
      </c>
      <c r="F2856" s="103" t="str">
        <f aca="false">IF($C2856="","",$D2856*$E2856)</f>
        <v/>
      </c>
      <c r="G2856" s="103" t="str">
        <f aca="false">IF($C2856="","",$D2856*IFERROR(INDEX('تحليل التكلفة والسعر'!$C$2:$C$700,MATCH($C2856,'تحليل التكلفة والسعر'!$B$2:$B$700,0)),0))</f>
        <v/>
      </c>
    </row>
    <row r="2857" customFormat="false" ht="15" hidden="false" customHeight="false" outlineLevel="0" collapsed="false">
      <c r="A2857" s="102"/>
      <c r="E2857" s="103" t="str">
        <f aca="false">IF($C2857="","",IFERROR(INDEX(المنيو!$C$2:$C$500,MATCH($C2857,المنيو!$B$2:$B$500,0)),0))</f>
        <v/>
      </c>
      <c r="F2857" s="103" t="str">
        <f aca="false">IF($C2857="","",$D2857*$E2857)</f>
        <v/>
      </c>
      <c r="G2857" s="103" t="str">
        <f aca="false">IF($C2857="","",$D2857*IFERROR(INDEX('تحليل التكلفة والسعر'!$C$2:$C$700,MATCH($C2857,'تحليل التكلفة والسعر'!$B$2:$B$700,0)),0))</f>
        <v/>
      </c>
    </row>
    <row r="2858" customFormat="false" ht="15" hidden="false" customHeight="false" outlineLevel="0" collapsed="false">
      <c r="A2858" s="102"/>
      <c r="E2858" s="103" t="str">
        <f aca="false">IF($C2858="","",IFERROR(INDEX(المنيو!$C$2:$C$500,MATCH($C2858,المنيو!$B$2:$B$500,0)),0))</f>
        <v/>
      </c>
      <c r="F2858" s="103" t="str">
        <f aca="false">IF($C2858="","",$D2858*$E2858)</f>
        <v/>
      </c>
      <c r="G2858" s="103" t="str">
        <f aca="false">IF($C2858="","",$D2858*IFERROR(INDEX('تحليل التكلفة والسعر'!$C$2:$C$700,MATCH($C2858,'تحليل التكلفة والسعر'!$B$2:$B$700,0)),0))</f>
        <v/>
      </c>
    </row>
    <row r="2859" customFormat="false" ht="15" hidden="false" customHeight="false" outlineLevel="0" collapsed="false">
      <c r="A2859" s="102"/>
      <c r="E2859" s="103" t="str">
        <f aca="false">IF($C2859="","",IFERROR(INDEX(المنيو!$C$2:$C$500,MATCH($C2859,المنيو!$B$2:$B$500,0)),0))</f>
        <v/>
      </c>
      <c r="F2859" s="103" t="str">
        <f aca="false">IF($C2859="","",$D2859*$E2859)</f>
        <v/>
      </c>
      <c r="G2859" s="103" t="str">
        <f aca="false">IF($C2859="","",$D2859*IFERROR(INDEX('تحليل التكلفة والسعر'!$C$2:$C$700,MATCH($C2859,'تحليل التكلفة والسعر'!$B$2:$B$700,0)),0))</f>
        <v/>
      </c>
    </row>
    <row r="2860" customFormat="false" ht="15" hidden="false" customHeight="false" outlineLevel="0" collapsed="false">
      <c r="A2860" s="102"/>
      <c r="E2860" s="103" t="str">
        <f aca="false">IF($C2860="","",IFERROR(INDEX(المنيو!$C$2:$C$500,MATCH($C2860,المنيو!$B$2:$B$500,0)),0))</f>
        <v/>
      </c>
      <c r="F2860" s="103" t="str">
        <f aca="false">IF($C2860="","",$D2860*$E2860)</f>
        <v/>
      </c>
      <c r="G2860" s="103" t="str">
        <f aca="false">IF($C2860="","",$D2860*IFERROR(INDEX('تحليل التكلفة والسعر'!$C$2:$C$700,MATCH($C2860,'تحليل التكلفة والسعر'!$B$2:$B$700,0)),0))</f>
        <v/>
      </c>
    </row>
    <row r="2861" customFormat="false" ht="15" hidden="false" customHeight="false" outlineLevel="0" collapsed="false">
      <c r="A2861" s="102"/>
      <c r="E2861" s="103" t="str">
        <f aca="false">IF($C2861="","",IFERROR(INDEX(المنيو!$C$2:$C$500,MATCH($C2861,المنيو!$B$2:$B$500,0)),0))</f>
        <v/>
      </c>
      <c r="F2861" s="103" t="str">
        <f aca="false">IF($C2861="","",$D2861*$E2861)</f>
        <v/>
      </c>
      <c r="G2861" s="103" t="str">
        <f aca="false">IF($C2861="","",$D2861*IFERROR(INDEX('تحليل التكلفة والسعر'!$C$2:$C$700,MATCH($C2861,'تحليل التكلفة والسعر'!$B$2:$B$700,0)),0))</f>
        <v/>
      </c>
    </row>
    <row r="2862" customFormat="false" ht="15" hidden="false" customHeight="false" outlineLevel="0" collapsed="false">
      <c r="A2862" s="102"/>
      <c r="E2862" s="103" t="str">
        <f aca="false">IF($C2862="","",IFERROR(INDEX(المنيو!$C$2:$C$500,MATCH($C2862,المنيو!$B$2:$B$500,0)),0))</f>
        <v/>
      </c>
      <c r="F2862" s="103" t="str">
        <f aca="false">IF($C2862="","",$D2862*$E2862)</f>
        <v/>
      </c>
      <c r="G2862" s="103" t="str">
        <f aca="false">IF($C2862="","",$D2862*IFERROR(INDEX('تحليل التكلفة والسعر'!$C$2:$C$700,MATCH($C2862,'تحليل التكلفة والسعر'!$B$2:$B$700,0)),0))</f>
        <v/>
      </c>
    </row>
    <row r="2863" customFormat="false" ht="15" hidden="false" customHeight="false" outlineLevel="0" collapsed="false">
      <c r="A2863" s="102"/>
      <c r="E2863" s="103" t="str">
        <f aca="false">IF($C2863="","",IFERROR(INDEX(المنيو!$C$2:$C$500,MATCH($C2863,المنيو!$B$2:$B$500,0)),0))</f>
        <v/>
      </c>
      <c r="F2863" s="103" t="str">
        <f aca="false">IF($C2863="","",$D2863*$E2863)</f>
        <v/>
      </c>
      <c r="G2863" s="103" t="str">
        <f aca="false">IF($C2863="","",$D2863*IFERROR(INDEX('تحليل التكلفة والسعر'!$C$2:$C$700,MATCH($C2863,'تحليل التكلفة والسعر'!$B$2:$B$700,0)),0))</f>
        <v/>
      </c>
    </row>
    <row r="2864" customFormat="false" ht="15" hidden="false" customHeight="false" outlineLevel="0" collapsed="false">
      <c r="A2864" s="102"/>
      <c r="E2864" s="103" t="str">
        <f aca="false">IF($C2864="","",IFERROR(INDEX(المنيو!$C$2:$C$500,MATCH($C2864,المنيو!$B$2:$B$500,0)),0))</f>
        <v/>
      </c>
      <c r="F2864" s="103" t="str">
        <f aca="false">IF($C2864="","",$D2864*$E2864)</f>
        <v/>
      </c>
      <c r="G2864" s="103" t="str">
        <f aca="false">IF($C2864="","",$D2864*IFERROR(INDEX('تحليل التكلفة والسعر'!$C$2:$C$700,MATCH($C2864,'تحليل التكلفة والسعر'!$B$2:$B$700,0)),0))</f>
        <v/>
      </c>
    </row>
    <row r="2865" customFormat="false" ht="15" hidden="false" customHeight="false" outlineLevel="0" collapsed="false">
      <c r="A2865" s="102"/>
      <c r="E2865" s="103" t="str">
        <f aca="false">IF($C2865="","",IFERROR(INDEX(المنيو!$C$2:$C$500,MATCH($C2865,المنيو!$B$2:$B$500,0)),0))</f>
        <v/>
      </c>
      <c r="F2865" s="103" t="str">
        <f aca="false">IF($C2865="","",$D2865*$E2865)</f>
        <v/>
      </c>
      <c r="G2865" s="103" t="str">
        <f aca="false">IF($C2865="","",$D2865*IFERROR(INDEX('تحليل التكلفة والسعر'!$C$2:$C$700,MATCH($C2865,'تحليل التكلفة والسعر'!$B$2:$B$700,0)),0))</f>
        <v/>
      </c>
    </row>
    <row r="2866" customFormat="false" ht="15" hidden="false" customHeight="false" outlineLevel="0" collapsed="false">
      <c r="A2866" s="102"/>
      <c r="E2866" s="103" t="str">
        <f aca="false">IF($C2866="","",IFERROR(INDEX(المنيو!$C$2:$C$500,MATCH($C2866,المنيو!$B$2:$B$500,0)),0))</f>
        <v/>
      </c>
      <c r="F2866" s="103" t="str">
        <f aca="false">IF($C2866="","",$D2866*$E2866)</f>
        <v/>
      </c>
      <c r="G2866" s="103" t="str">
        <f aca="false">IF($C2866="","",$D2866*IFERROR(INDEX('تحليل التكلفة والسعر'!$C$2:$C$700,MATCH($C2866,'تحليل التكلفة والسعر'!$B$2:$B$700,0)),0))</f>
        <v/>
      </c>
    </row>
    <row r="2867" customFormat="false" ht="15" hidden="false" customHeight="false" outlineLevel="0" collapsed="false">
      <c r="A2867" s="102"/>
      <c r="E2867" s="103" t="str">
        <f aca="false">IF($C2867="","",IFERROR(INDEX(المنيو!$C$2:$C$500,MATCH($C2867,المنيو!$B$2:$B$500,0)),0))</f>
        <v/>
      </c>
      <c r="F2867" s="103" t="str">
        <f aca="false">IF($C2867="","",$D2867*$E2867)</f>
        <v/>
      </c>
      <c r="G2867" s="103" t="str">
        <f aca="false">IF($C2867="","",$D2867*IFERROR(INDEX('تحليل التكلفة والسعر'!$C$2:$C$700,MATCH($C2867,'تحليل التكلفة والسعر'!$B$2:$B$700,0)),0))</f>
        <v/>
      </c>
    </row>
    <row r="2868" customFormat="false" ht="15" hidden="false" customHeight="false" outlineLevel="0" collapsed="false">
      <c r="A2868" s="102"/>
      <c r="E2868" s="103" t="str">
        <f aca="false">IF($C2868="","",IFERROR(INDEX(المنيو!$C$2:$C$500,MATCH($C2868,المنيو!$B$2:$B$500,0)),0))</f>
        <v/>
      </c>
      <c r="F2868" s="103" t="str">
        <f aca="false">IF($C2868="","",$D2868*$E2868)</f>
        <v/>
      </c>
      <c r="G2868" s="103" t="str">
        <f aca="false">IF($C2868="","",$D2868*IFERROR(INDEX('تحليل التكلفة والسعر'!$C$2:$C$700,MATCH($C2868,'تحليل التكلفة والسعر'!$B$2:$B$700,0)),0))</f>
        <v/>
      </c>
    </row>
    <row r="2869" customFormat="false" ht="15" hidden="false" customHeight="false" outlineLevel="0" collapsed="false">
      <c r="A2869" s="102"/>
      <c r="E2869" s="103" t="str">
        <f aca="false">IF($C2869="","",IFERROR(INDEX(المنيو!$C$2:$C$500,MATCH($C2869,المنيو!$B$2:$B$500,0)),0))</f>
        <v/>
      </c>
      <c r="F2869" s="103" t="str">
        <f aca="false">IF($C2869="","",$D2869*$E2869)</f>
        <v/>
      </c>
      <c r="G2869" s="103" t="str">
        <f aca="false">IF($C2869="","",$D2869*IFERROR(INDEX('تحليل التكلفة والسعر'!$C$2:$C$700,MATCH($C2869,'تحليل التكلفة والسعر'!$B$2:$B$700,0)),0))</f>
        <v/>
      </c>
    </row>
    <row r="2870" customFormat="false" ht="15" hidden="false" customHeight="false" outlineLevel="0" collapsed="false">
      <c r="A2870" s="102"/>
      <c r="E2870" s="103" t="str">
        <f aca="false">IF($C2870="","",IFERROR(INDEX(المنيو!$C$2:$C$500,MATCH($C2870,المنيو!$B$2:$B$500,0)),0))</f>
        <v/>
      </c>
      <c r="F2870" s="103" t="str">
        <f aca="false">IF($C2870="","",$D2870*$E2870)</f>
        <v/>
      </c>
      <c r="G2870" s="103" t="str">
        <f aca="false">IF($C2870="","",$D2870*IFERROR(INDEX('تحليل التكلفة والسعر'!$C$2:$C$700,MATCH($C2870,'تحليل التكلفة والسعر'!$B$2:$B$700,0)),0))</f>
        <v/>
      </c>
    </row>
    <row r="2871" customFormat="false" ht="15" hidden="false" customHeight="false" outlineLevel="0" collapsed="false">
      <c r="A2871" s="102"/>
      <c r="E2871" s="103" t="str">
        <f aca="false">IF($C2871="","",IFERROR(INDEX(المنيو!$C$2:$C$500,MATCH($C2871,المنيو!$B$2:$B$500,0)),0))</f>
        <v/>
      </c>
      <c r="F2871" s="103" t="str">
        <f aca="false">IF($C2871="","",$D2871*$E2871)</f>
        <v/>
      </c>
      <c r="G2871" s="103" t="str">
        <f aca="false">IF($C2871="","",$D2871*IFERROR(INDEX('تحليل التكلفة والسعر'!$C$2:$C$700,MATCH($C2871,'تحليل التكلفة والسعر'!$B$2:$B$700,0)),0))</f>
        <v/>
      </c>
    </row>
    <row r="2872" customFormat="false" ht="15" hidden="false" customHeight="false" outlineLevel="0" collapsed="false">
      <c r="A2872" s="102"/>
      <c r="E2872" s="103" t="str">
        <f aca="false">IF($C2872="","",IFERROR(INDEX(المنيو!$C$2:$C$500,MATCH($C2872,المنيو!$B$2:$B$500,0)),0))</f>
        <v/>
      </c>
      <c r="F2872" s="103" t="str">
        <f aca="false">IF($C2872="","",$D2872*$E2872)</f>
        <v/>
      </c>
      <c r="G2872" s="103" t="str">
        <f aca="false">IF($C2872="","",$D2872*IFERROR(INDEX('تحليل التكلفة والسعر'!$C$2:$C$700,MATCH($C2872,'تحليل التكلفة والسعر'!$B$2:$B$700,0)),0))</f>
        <v/>
      </c>
    </row>
    <row r="2873" customFormat="false" ht="15" hidden="false" customHeight="false" outlineLevel="0" collapsed="false">
      <c r="A2873" s="102"/>
      <c r="E2873" s="103" t="str">
        <f aca="false">IF($C2873="","",IFERROR(INDEX(المنيو!$C$2:$C$500,MATCH($C2873,المنيو!$B$2:$B$500,0)),0))</f>
        <v/>
      </c>
      <c r="F2873" s="103" t="str">
        <f aca="false">IF($C2873="","",$D2873*$E2873)</f>
        <v/>
      </c>
      <c r="G2873" s="103" t="str">
        <f aca="false">IF($C2873="","",$D2873*IFERROR(INDEX('تحليل التكلفة والسعر'!$C$2:$C$700,MATCH($C2873,'تحليل التكلفة والسعر'!$B$2:$B$700,0)),0))</f>
        <v/>
      </c>
    </row>
    <row r="2874" customFormat="false" ht="15" hidden="false" customHeight="false" outlineLevel="0" collapsed="false">
      <c r="A2874" s="102"/>
      <c r="E2874" s="103" t="str">
        <f aca="false">IF($C2874="","",IFERROR(INDEX(المنيو!$C$2:$C$500,MATCH($C2874,المنيو!$B$2:$B$500,0)),0))</f>
        <v/>
      </c>
      <c r="F2874" s="103" t="str">
        <f aca="false">IF($C2874="","",$D2874*$E2874)</f>
        <v/>
      </c>
      <c r="G2874" s="103" t="str">
        <f aca="false">IF($C2874="","",$D2874*IFERROR(INDEX('تحليل التكلفة والسعر'!$C$2:$C$700,MATCH($C2874,'تحليل التكلفة والسعر'!$B$2:$B$700,0)),0))</f>
        <v/>
      </c>
    </row>
    <row r="2875" customFormat="false" ht="15" hidden="false" customHeight="false" outlineLevel="0" collapsed="false">
      <c r="A2875" s="102"/>
      <c r="E2875" s="103" t="str">
        <f aca="false">IF($C2875="","",IFERROR(INDEX(المنيو!$C$2:$C$500,MATCH($C2875,المنيو!$B$2:$B$500,0)),0))</f>
        <v/>
      </c>
      <c r="F2875" s="103" t="str">
        <f aca="false">IF($C2875="","",$D2875*$E2875)</f>
        <v/>
      </c>
      <c r="G2875" s="103" t="str">
        <f aca="false">IF($C2875="","",$D2875*IFERROR(INDEX('تحليل التكلفة والسعر'!$C$2:$C$700,MATCH($C2875,'تحليل التكلفة والسعر'!$B$2:$B$700,0)),0))</f>
        <v/>
      </c>
    </row>
    <row r="2876" customFormat="false" ht="15" hidden="false" customHeight="false" outlineLevel="0" collapsed="false">
      <c r="A2876" s="102"/>
      <c r="E2876" s="103" t="str">
        <f aca="false">IF($C2876="","",IFERROR(INDEX(المنيو!$C$2:$C$500,MATCH($C2876,المنيو!$B$2:$B$500,0)),0))</f>
        <v/>
      </c>
      <c r="F2876" s="103" t="str">
        <f aca="false">IF($C2876="","",$D2876*$E2876)</f>
        <v/>
      </c>
      <c r="G2876" s="103" t="str">
        <f aca="false">IF($C2876="","",$D2876*IFERROR(INDEX('تحليل التكلفة والسعر'!$C$2:$C$700,MATCH($C2876,'تحليل التكلفة والسعر'!$B$2:$B$700,0)),0))</f>
        <v/>
      </c>
    </row>
    <row r="2877" customFormat="false" ht="15" hidden="false" customHeight="false" outlineLevel="0" collapsed="false">
      <c r="A2877" s="102"/>
      <c r="E2877" s="103" t="str">
        <f aca="false">IF($C2877="","",IFERROR(INDEX(المنيو!$C$2:$C$500,MATCH($C2877,المنيو!$B$2:$B$500,0)),0))</f>
        <v/>
      </c>
      <c r="F2877" s="103" t="str">
        <f aca="false">IF($C2877="","",$D2877*$E2877)</f>
        <v/>
      </c>
      <c r="G2877" s="103" t="str">
        <f aca="false">IF($C2877="","",$D2877*IFERROR(INDEX('تحليل التكلفة والسعر'!$C$2:$C$700,MATCH($C2877,'تحليل التكلفة والسعر'!$B$2:$B$700,0)),0))</f>
        <v/>
      </c>
    </row>
    <row r="2878" customFormat="false" ht="15" hidden="false" customHeight="false" outlineLevel="0" collapsed="false">
      <c r="A2878" s="102"/>
      <c r="E2878" s="103" t="str">
        <f aca="false">IF($C2878="","",IFERROR(INDEX(المنيو!$C$2:$C$500,MATCH($C2878,المنيو!$B$2:$B$500,0)),0))</f>
        <v/>
      </c>
      <c r="F2878" s="103" t="str">
        <f aca="false">IF($C2878="","",$D2878*$E2878)</f>
        <v/>
      </c>
      <c r="G2878" s="103" t="str">
        <f aca="false">IF($C2878="","",$D2878*IFERROR(INDEX('تحليل التكلفة والسعر'!$C$2:$C$700,MATCH($C2878,'تحليل التكلفة والسعر'!$B$2:$B$700,0)),0))</f>
        <v/>
      </c>
    </row>
    <row r="2879" customFormat="false" ht="15" hidden="false" customHeight="false" outlineLevel="0" collapsed="false">
      <c r="A2879" s="102"/>
      <c r="E2879" s="103" t="str">
        <f aca="false">IF($C2879="","",IFERROR(INDEX(المنيو!$C$2:$C$500,MATCH($C2879,المنيو!$B$2:$B$500,0)),0))</f>
        <v/>
      </c>
      <c r="F2879" s="103" t="str">
        <f aca="false">IF($C2879="","",$D2879*$E2879)</f>
        <v/>
      </c>
      <c r="G2879" s="103" t="str">
        <f aca="false">IF($C2879="","",$D2879*IFERROR(INDEX('تحليل التكلفة والسعر'!$C$2:$C$700,MATCH($C2879,'تحليل التكلفة والسعر'!$B$2:$B$700,0)),0))</f>
        <v/>
      </c>
    </row>
    <row r="2880" customFormat="false" ht="15" hidden="false" customHeight="false" outlineLevel="0" collapsed="false">
      <c r="A2880" s="102"/>
      <c r="E2880" s="103" t="str">
        <f aca="false">IF($C2880="","",IFERROR(INDEX(المنيو!$C$2:$C$500,MATCH($C2880,المنيو!$B$2:$B$500,0)),0))</f>
        <v/>
      </c>
      <c r="F2880" s="103" t="str">
        <f aca="false">IF($C2880="","",$D2880*$E2880)</f>
        <v/>
      </c>
      <c r="G2880" s="103" t="str">
        <f aca="false">IF($C2880="","",$D2880*IFERROR(INDEX('تحليل التكلفة والسعر'!$C$2:$C$700,MATCH($C2880,'تحليل التكلفة والسعر'!$B$2:$B$700,0)),0))</f>
        <v/>
      </c>
    </row>
    <row r="2881" customFormat="false" ht="15" hidden="false" customHeight="false" outlineLevel="0" collapsed="false">
      <c r="A2881" s="102"/>
      <c r="E2881" s="103" t="str">
        <f aca="false">IF($C2881="","",IFERROR(INDEX(المنيو!$C$2:$C$500,MATCH($C2881,المنيو!$B$2:$B$500,0)),0))</f>
        <v/>
      </c>
      <c r="F2881" s="103" t="str">
        <f aca="false">IF($C2881="","",$D2881*$E2881)</f>
        <v/>
      </c>
      <c r="G2881" s="103" t="str">
        <f aca="false">IF($C2881="","",$D2881*IFERROR(INDEX('تحليل التكلفة والسعر'!$C$2:$C$700,MATCH($C2881,'تحليل التكلفة والسعر'!$B$2:$B$700,0)),0))</f>
        <v/>
      </c>
    </row>
    <row r="2882" customFormat="false" ht="15" hidden="false" customHeight="false" outlineLevel="0" collapsed="false">
      <c r="A2882" s="102"/>
      <c r="E2882" s="103" t="str">
        <f aca="false">IF($C2882="","",IFERROR(INDEX(المنيو!$C$2:$C$500,MATCH($C2882,المنيو!$B$2:$B$500,0)),0))</f>
        <v/>
      </c>
      <c r="F2882" s="103" t="str">
        <f aca="false">IF($C2882="","",$D2882*$E2882)</f>
        <v/>
      </c>
      <c r="G2882" s="103" t="str">
        <f aca="false">IF($C2882="","",$D2882*IFERROR(INDEX('تحليل التكلفة والسعر'!$C$2:$C$700,MATCH($C2882,'تحليل التكلفة والسعر'!$B$2:$B$700,0)),0))</f>
        <v/>
      </c>
    </row>
    <row r="2883" customFormat="false" ht="15" hidden="false" customHeight="false" outlineLevel="0" collapsed="false">
      <c r="A2883" s="102"/>
      <c r="E2883" s="103" t="str">
        <f aca="false">IF($C2883="","",IFERROR(INDEX(المنيو!$C$2:$C$500,MATCH($C2883,المنيو!$B$2:$B$500,0)),0))</f>
        <v/>
      </c>
      <c r="F2883" s="103" t="str">
        <f aca="false">IF($C2883="","",$D2883*$E2883)</f>
        <v/>
      </c>
      <c r="G2883" s="103" t="str">
        <f aca="false">IF($C2883="","",$D2883*IFERROR(INDEX('تحليل التكلفة والسعر'!$C$2:$C$700,MATCH($C2883,'تحليل التكلفة والسعر'!$B$2:$B$700,0)),0))</f>
        <v/>
      </c>
    </row>
    <row r="2884" customFormat="false" ht="15" hidden="false" customHeight="false" outlineLevel="0" collapsed="false">
      <c r="A2884" s="102"/>
      <c r="E2884" s="103" t="str">
        <f aca="false">IF($C2884="","",IFERROR(INDEX(المنيو!$C$2:$C$500,MATCH($C2884,المنيو!$B$2:$B$500,0)),0))</f>
        <v/>
      </c>
      <c r="F2884" s="103" t="str">
        <f aca="false">IF($C2884="","",$D2884*$E2884)</f>
        <v/>
      </c>
      <c r="G2884" s="103" t="str">
        <f aca="false">IF($C2884="","",$D2884*IFERROR(INDEX('تحليل التكلفة والسعر'!$C$2:$C$700,MATCH($C2884,'تحليل التكلفة والسعر'!$B$2:$B$700,0)),0))</f>
        <v/>
      </c>
    </row>
    <row r="2885" customFormat="false" ht="15" hidden="false" customHeight="false" outlineLevel="0" collapsed="false">
      <c r="A2885" s="102"/>
      <c r="E2885" s="103" t="str">
        <f aca="false">IF($C2885="","",IFERROR(INDEX(المنيو!$C$2:$C$500,MATCH($C2885,المنيو!$B$2:$B$500,0)),0))</f>
        <v/>
      </c>
      <c r="F2885" s="103" t="str">
        <f aca="false">IF($C2885="","",$D2885*$E2885)</f>
        <v/>
      </c>
      <c r="G2885" s="103" t="str">
        <f aca="false">IF($C2885="","",$D2885*IFERROR(INDEX('تحليل التكلفة والسعر'!$C$2:$C$700,MATCH($C2885,'تحليل التكلفة والسعر'!$B$2:$B$700,0)),0))</f>
        <v/>
      </c>
    </row>
    <row r="2886" customFormat="false" ht="15" hidden="false" customHeight="false" outlineLevel="0" collapsed="false">
      <c r="A2886" s="102"/>
      <c r="E2886" s="103" t="str">
        <f aca="false">IF($C2886="","",IFERROR(INDEX(المنيو!$C$2:$C$500,MATCH($C2886,المنيو!$B$2:$B$500,0)),0))</f>
        <v/>
      </c>
      <c r="F2886" s="103" t="str">
        <f aca="false">IF($C2886="","",$D2886*$E2886)</f>
        <v/>
      </c>
      <c r="G2886" s="103" t="str">
        <f aca="false">IF($C2886="","",$D2886*IFERROR(INDEX('تحليل التكلفة والسعر'!$C$2:$C$700,MATCH($C2886,'تحليل التكلفة والسعر'!$B$2:$B$700,0)),0))</f>
        <v/>
      </c>
    </row>
    <row r="2887" customFormat="false" ht="15" hidden="false" customHeight="false" outlineLevel="0" collapsed="false">
      <c r="A2887" s="102"/>
      <c r="E2887" s="103" t="str">
        <f aca="false">IF($C2887="","",IFERROR(INDEX(المنيو!$C$2:$C$500,MATCH($C2887,المنيو!$B$2:$B$500,0)),0))</f>
        <v/>
      </c>
      <c r="F2887" s="103" t="str">
        <f aca="false">IF($C2887="","",$D2887*$E2887)</f>
        <v/>
      </c>
      <c r="G2887" s="103" t="str">
        <f aca="false">IF($C2887="","",$D2887*IFERROR(INDEX('تحليل التكلفة والسعر'!$C$2:$C$700,MATCH($C2887,'تحليل التكلفة والسعر'!$B$2:$B$700,0)),0))</f>
        <v/>
      </c>
    </row>
    <row r="2888" customFormat="false" ht="15" hidden="false" customHeight="false" outlineLevel="0" collapsed="false">
      <c r="A2888" s="102"/>
      <c r="E2888" s="103" t="str">
        <f aca="false">IF($C2888="","",IFERROR(INDEX(المنيو!$C$2:$C$500,MATCH($C2888,المنيو!$B$2:$B$500,0)),0))</f>
        <v/>
      </c>
      <c r="F2888" s="103" t="str">
        <f aca="false">IF($C2888="","",$D2888*$E2888)</f>
        <v/>
      </c>
      <c r="G2888" s="103" t="str">
        <f aca="false">IF($C2888="","",$D2888*IFERROR(INDEX('تحليل التكلفة والسعر'!$C$2:$C$700,MATCH($C2888,'تحليل التكلفة والسعر'!$B$2:$B$700,0)),0))</f>
        <v/>
      </c>
    </row>
    <row r="2889" customFormat="false" ht="15" hidden="false" customHeight="false" outlineLevel="0" collapsed="false">
      <c r="A2889" s="102"/>
      <c r="E2889" s="103" t="str">
        <f aca="false">IF($C2889="","",IFERROR(INDEX(المنيو!$C$2:$C$500,MATCH($C2889,المنيو!$B$2:$B$500,0)),0))</f>
        <v/>
      </c>
      <c r="F2889" s="103" t="str">
        <f aca="false">IF($C2889="","",$D2889*$E2889)</f>
        <v/>
      </c>
      <c r="G2889" s="103" t="str">
        <f aca="false">IF($C2889="","",$D2889*IFERROR(INDEX('تحليل التكلفة والسعر'!$C$2:$C$700,MATCH($C2889,'تحليل التكلفة والسعر'!$B$2:$B$700,0)),0))</f>
        <v/>
      </c>
    </row>
    <row r="2890" customFormat="false" ht="15" hidden="false" customHeight="false" outlineLevel="0" collapsed="false">
      <c r="A2890" s="102"/>
      <c r="E2890" s="103" t="str">
        <f aca="false">IF($C2890="","",IFERROR(INDEX(المنيو!$C$2:$C$500,MATCH($C2890,المنيو!$B$2:$B$500,0)),0))</f>
        <v/>
      </c>
      <c r="F2890" s="103" t="str">
        <f aca="false">IF($C2890="","",$D2890*$E2890)</f>
        <v/>
      </c>
      <c r="G2890" s="103" t="str">
        <f aca="false">IF($C2890="","",$D2890*IFERROR(INDEX('تحليل التكلفة والسعر'!$C$2:$C$700,MATCH($C2890,'تحليل التكلفة والسعر'!$B$2:$B$700,0)),0))</f>
        <v/>
      </c>
    </row>
    <row r="2891" customFormat="false" ht="15" hidden="false" customHeight="false" outlineLevel="0" collapsed="false">
      <c r="A2891" s="102"/>
      <c r="E2891" s="103" t="str">
        <f aca="false">IF($C2891="","",IFERROR(INDEX(المنيو!$C$2:$C$500,MATCH($C2891,المنيو!$B$2:$B$500,0)),0))</f>
        <v/>
      </c>
      <c r="F2891" s="103" t="str">
        <f aca="false">IF($C2891="","",$D2891*$E2891)</f>
        <v/>
      </c>
      <c r="G2891" s="103" t="str">
        <f aca="false">IF($C2891="","",$D2891*IFERROR(INDEX('تحليل التكلفة والسعر'!$C$2:$C$700,MATCH($C2891,'تحليل التكلفة والسعر'!$B$2:$B$700,0)),0))</f>
        <v/>
      </c>
    </row>
    <row r="2892" customFormat="false" ht="15" hidden="false" customHeight="false" outlineLevel="0" collapsed="false">
      <c r="A2892" s="102"/>
      <c r="E2892" s="103" t="str">
        <f aca="false">IF($C2892="","",IFERROR(INDEX(المنيو!$C$2:$C$500,MATCH($C2892,المنيو!$B$2:$B$500,0)),0))</f>
        <v/>
      </c>
      <c r="F2892" s="103" t="str">
        <f aca="false">IF($C2892="","",$D2892*$E2892)</f>
        <v/>
      </c>
      <c r="G2892" s="103" t="str">
        <f aca="false">IF($C2892="","",$D2892*IFERROR(INDEX('تحليل التكلفة والسعر'!$C$2:$C$700,MATCH($C2892,'تحليل التكلفة والسعر'!$B$2:$B$700,0)),0))</f>
        <v/>
      </c>
    </row>
    <row r="2893" customFormat="false" ht="15" hidden="false" customHeight="false" outlineLevel="0" collapsed="false">
      <c r="A2893" s="102"/>
      <c r="E2893" s="103" t="str">
        <f aca="false">IF($C2893="","",IFERROR(INDEX(المنيو!$C$2:$C$500,MATCH($C2893,المنيو!$B$2:$B$500,0)),0))</f>
        <v/>
      </c>
      <c r="F2893" s="103" t="str">
        <f aca="false">IF($C2893="","",$D2893*$E2893)</f>
        <v/>
      </c>
      <c r="G2893" s="103" t="str">
        <f aca="false">IF($C2893="","",$D2893*IFERROR(INDEX('تحليل التكلفة والسعر'!$C$2:$C$700,MATCH($C2893,'تحليل التكلفة والسعر'!$B$2:$B$700,0)),0))</f>
        <v/>
      </c>
    </row>
    <row r="2894" customFormat="false" ht="15" hidden="false" customHeight="false" outlineLevel="0" collapsed="false">
      <c r="A2894" s="102"/>
      <c r="E2894" s="103" t="str">
        <f aca="false">IF($C2894="","",IFERROR(INDEX(المنيو!$C$2:$C$500,MATCH($C2894,المنيو!$B$2:$B$500,0)),0))</f>
        <v/>
      </c>
      <c r="F2894" s="103" t="str">
        <f aca="false">IF($C2894="","",$D2894*$E2894)</f>
        <v/>
      </c>
      <c r="G2894" s="103" t="str">
        <f aca="false">IF($C2894="","",$D2894*IFERROR(INDEX('تحليل التكلفة والسعر'!$C$2:$C$700,MATCH($C2894,'تحليل التكلفة والسعر'!$B$2:$B$700,0)),0))</f>
        <v/>
      </c>
    </row>
    <row r="2895" customFormat="false" ht="15" hidden="false" customHeight="false" outlineLevel="0" collapsed="false">
      <c r="A2895" s="102"/>
      <c r="E2895" s="103" t="str">
        <f aca="false">IF($C2895="","",IFERROR(INDEX(المنيو!$C$2:$C$500,MATCH($C2895,المنيو!$B$2:$B$500,0)),0))</f>
        <v/>
      </c>
      <c r="F2895" s="103" t="str">
        <f aca="false">IF($C2895="","",$D2895*$E2895)</f>
        <v/>
      </c>
      <c r="G2895" s="103" t="str">
        <f aca="false">IF($C2895="","",$D2895*IFERROR(INDEX('تحليل التكلفة والسعر'!$C$2:$C$700,MATCH($C2895,'تحليل التكلفة والسعر'!$B$2:$B$700,0)),0))</f>
        <v/>
      </c>
    </row>
    <row r="2896" customFormat="false" ht="15" hidden="false" customHeight="false" outlineLevel="0" collapsed="false">
      <c r="A2896" s="102"/>
      <c r="E2896" s="103" t="str">
        <f aca="false">IF($C2896="","",IFERROR(INDEX(المنيو!$C$2:$C$500,MATCH($C2896,المنيو!$B$2:$B$500,0)),0))</f>
        <v/>
      </c>
      <c r="F2896" s="103" t="str">
        <f aca="false">IF($C2896="","",$D2896*$E2896)</f>
        <v/>
      </c>
      <c r="G2896" s="103" t="str">
        <f aca="false">IF($C2896="","",$D2896*IFERROR(INDEX('تحليل التكلفة والسعر'!$C$2:$C$700,MATCH($C2896,'تحليل التكلفة والسعر'!$B$2:$B$700,0)),0))</f>
        <v/>
      </c>
    </row>
    <row r="2897" customFormat="false" ht="15" hidden="false" customHeight="false" outlineLevel="0" collapsed="false">
      <c r="A2897" s="102"/>
      <c r="E2897" s="103" t="str">
        <f aca="false">IF($C2897="","",IFERROR(INDEX(المنيو!$C$2:$C$500,MATCH($C2897,المنيو!$B$2:$B$500,0)),0))</f>
        <v/>
      </c>
      <c r="F2897" s="103" t="str">
        <f aca="false">IF($C2897="","",$D2897*$E2897)</f>
        <v/>
      </c>
      <c r="G2897" s="103" t="str">
        <f aca="false">IF($C2897="","",$D2897*IFERROR(INDEX('تحليل التكلفة والسعر'!$C$2:$C$700,MATCH($C2897,'تحليل التكلفة والسعر'!$B$2:$B$700,0)),0))</f>
        <v/>
      </c>
    </row>
    <row r="2898" customFormat="false" ht="15" hidden="false" customHeight="false" outlineLevel="0" collapsed="false">
      <c r="A2898" s="102"/>
      <c r="E2898" s="103" t="str">
        <f aca="false">IF($C2898="","",IFERROR(INDEX(المنيو!$C$2:$C$500,MATCH($C2898,المنيو!$B$2:$B$500,0)),0))</f>
        <v/>
      </c>
      <c r="F2898" s="103" t="str">
        <f aca="false">IF($C2898="","",$D2898*$E2898)</f>
        <v/>
      </c>
      <c r="G2898" s="103" t="str">
        <f aca="false">IF($C2898="","",$D2898*IFERROR(INDEX('تحليل التكلفة والسعر'!$C$2:$C$700,MATCH($C2898,'تحليل التكلفة والسعر'!$B$2:$B$700,0)),0))</f>
        <v/>
      </c>
    </row>
    <row r="2899" customFormat="false" ht="15" hidden="false" customHeight="false" outlineLevel="0" collapsed="false">
      <c r="A2899" s="102"/>
      <c r="E2899" s="103" t="str">
        <f aca="false">IF($C2899="","",IFERROR(INDEX(المنيو!$C$2:$C$500,MATCH($C2899,المنيو!$B$2:$B$500,0)),0))</f>
        <v/>
      </c>
      <c r="F2899" s="103" t="str">
        <f aca="false">IF($C2899="","",$D2899*$E2899)</f>
        <v/>
      </c>
      <c r="G2899" s="103" t="str">
        <f aca="false">IF($C2899="","",$D2899*IFERROR(INDEX('تحليل التكلفة والسعر'!$C$2:$C$700,MATCH($C2899,'تحليل التكلفة والسعر'!$B$2:$B$700,0)),0))</f>
        <v/>
      </c>
    </row>
    <row r="2900" customFormat="false" ht="15" hidden="false" customHeight="false" outlineLevel="0" collapsed="false">
      <c r="A2900" s="102"/>
      <c r="E2900" s="103" t="str">
        <f aca="false">IF($C2900="","",IFERROR(INDEX(المنيو!$C$2:$C$500,MATCH($C2900,المنيو!$B$2:$B$500,0)),0))</f>
        <v/>
      </c>
      <c r="F2900" s="103" t="str">
        <f aca="false">IF($C2900="","",$D2900*$E2900)</f>
        <v/>
      </c>
      <c r="G2900" s="103" t="str">
        <f aca="false">IF($C2900="","",$D2900*IFERROR(INDEX('تحليل التكلفة والسعر'!$C$2:$C$700,MATCH($C2900,'تحليل التكلفة والسعر'!$B$2:$B$700,0)),0))</f>
        <v/>
      </c>
    </row>
    <row r="2901" customFormat="false" ht="15" hidden="false" customHeight="false" outlineLevel="0" collapsed="false">
      <c r="A2901" s="102"/>
      <c r="E2901" s="103" t="str">
        <f aca="false">IF($C2901="","",IFERROR(INDEX(المنيو!$C$2:$C$500,MATCH($C2901,المنيو!$B$2:$B$500,0)),0))</f>
        <v/>
      </c>
      <c r="F2901" s="103" t="str">
        <f aca="false">IF($C2901="","",$D2901*$E2901)</f>
        <v/>
      </c>
      <c r="G2901" s="103" t="str">
        <f aca="false">IF($C2901="","",$D2901*IFERROR(INDEX('تحليل التكلفة والسعر'!$C$2:$C$700,MATCH($C2901,'تحليل التكلفة والسعر'!$B$2:$B$700,0)),0))</f>
        <v/>
      </c>
    </row>
    <row r="2902" customFormat="false" ht="15" hidden="false" customHeight="false" outlineLevel="0" collapsed="false">
      <c r="A2902" s="102"/>
      <c r="E2902" s="103" t="str">
        <f aca="false">IF($C2902="","",IFERROR(INDEX(المنيو!$C$2:$C$500,MATCH($C2902,المنيو!$B$2:$B$500,0)),0))</f>
        <v/>
      </c>
      <c r="F2902" s="103" t="str">
        <f aca="false">IF($C2902="","",$D2902*$E2902)</f>
        <v/>
      </c>
      <c r="G2902" s="103" t="str">
        <f aca="false">IF($C2902="","",$D2902*IFERROR(INDEX('تحليل التكلفة والسعر'!$C$2:$C$700,MATCH($C2902,'تحليل التكلفة والسعر'!$B$2:$B$700,0)),0))</f>
        <v/>
      </c>
    </row>
    <row r="2903" customFormat="false" ht="15" hidden="false" customHeight="false" outlineLevel="0" collapsed="false">
      <c r="A2903" s="102"/>
      <c r="E2903" s="103" t="str">
        <f aca="false">IF($C2903="","",IFERROR(INDEX(المنيو!$C$2:$C$500,MATCH($C2903,المنيو!$B$2:$B$500,0)),0))</f>
        <v/>
      </c>
      <c r="F2903" s="103" t="str">
        <f aca="false">IF($C2903="","",$D2903*$E2903)</f>
        <v/>
      </c>
      <c r="G2903" s="103" t="str">
        <f aca="false">IF($C2903="","",$D2903*IFERROR(INDEX('تحليل التكلفة والسعر'!$C$2:$C$700,MATCH($C2903,'تحليل التكلفة والسعر'!$B$2:$B$700,0)),0))</f>
        <v/>
      </c>
    </row>
    <row r="2904" customFormat="false" ht="15" hidden="false" customHeight="false" outlineLevel="0" collapsed="false">
      <c r="A2904" s="102"/>
      <c r="E2904" s="103" t="str">
        <f aca="false">IF($C2904="","",IFERROR(INDEX(المنيو!$C$2:$C$500,MATCH($C2904,المنيو!$B$2:$B$500,0)),0))</f>
        <v/>
      </c>
      <c r="F2904" s="103" t="str">
        <f aca="false">IF($C2904="","",$D2904*$E2904)</f>
        <v/>
      </c>
      <c r="G2904" s="103" t="str">
        <f aca="false">IF($C2904="","",$D2904*IFERROR(INDEX('تحليل التكلفة والسعر'!$C$2:$C$700,MATCH($C2904,'تحليل التكلفة والسعر'!$B$2:$B$700,0)),0))</f>
        <v/>
      </c>
    </row>
    <row r="2905" customFormat="false" ht="15" hidden="false" customHeight="false" outlineLevel="0" collapsed="false">
      <c r="A2905" s="102"/>
      <c r="E2905" s="103" t="str">
        <f aca="false">IF($C2905="","",IFERROR(INDEX(المنيو!$C$2:$C$500,MATCH($C2905,المنيو!$B$2:$B$500,0)),0))</f>
        <v/>
      </c>
      <c r="F2905" s="103" t="str">
        <f aca="false">IF($C2905="","",$D2905*$E2905)</f>
        <v/>
      </c>
      <c r="G2905" s="103" t="str">
        <f aca="false">IF($C2905="","",$D2905*IFERROR(INDEX('تحليل التكلفة والسعر'!$C$2:$C$700,MATCH($C2905,'تحليل التكلفة والسعر'!$B$2:$B$700,0)),0))</f>
        <v/>
      </c>
    </row>
    <row r="2906" customFormat="false" ht="15" hidden="false" customHeight="false" outlineLevel="0" collapsed="false">
      <c r="A2906" s="102"/>
      <c r="E2906" s="103" t="str">
        <f aca="false">IF($C2906="","",IFERROR(INDEX(المنيو!$C$2:$C$500,MATCH($C2906,المنيو!$B$2:$B$500,0)),0))</f>
        <v/>
      </c>
      <c r="F2906" s="103" t="str">
        <f aca="false">IF($C2906="","",$D2906*$E2906)</f>
        <v/>
      </c>
      <c r="G2906" s="103" t="str">
        <f aca="false">IF($C2906="","",$D2906*IFERROR(INDEX('تحليل التكلفة والسعر'!$C$2:$C$700,MATCH($C2906,'تحليل التكلفة والسعر'!$B$2:$B$700,0)),0))</f>
        <v/>
      </c>
    </row>
    <row r="2907" customFormat="false" ht="15" hidden="false" customHeight="false" outlineLevel="0" collapsed="false">
      <c r="A2907" s="102"/>
      <c r="E2907" s="103" t="str">
        <f aca="false">IF($C2907="","",IFERROR(INDEX(المنيو!$C$2:$C$500,MATCH($C2907,المنيو!$B$2:$B$500,0)),0))</f>
        <v/>
      </c>
      <c r="F2907" s="103" t="str">
        <f aca="false">IF($C2907="","",$D2907*$E2907)</f>
        <v/>
      </c>
      <c r="G2907" s="103" t="str">
        <f aca="false">IF($C2907="","",$D2907*IFERROR(INDEX('تحليل التكلفة والسعر'!$C$2:$C$700,MATCH($C2907,'تحليل التكلفة والسعر'!$B$2:$B$700,0)),0))</f>
        <v/>
      </c>
    </row>
    <row r="2908" customFormat="false" ht="15" hidden="false" customHeight="false" outlineLevel="0" collapsed="false">
      <c r="A2908" s="102"/>
      <c r="E2908" s="103" t="str">
        <f aca="false">IF($C2908="","",IFERROR(INDEX(المنيو!$C$2:$C$500,MATCH($C2908,المنيو!$B$2:$B$500,0)),0))</f>
        <v/>
      </c>
      <c r="F2908" s="103" t="str">
        <f aca="false">IF($C2908="","",$D2908*$E2908)</f>
        <v/>
      </c>
      <c r="G2908" s="103" t="str">
        <f aca="false">IF($C2908="","",$D2908*IFERROR(INDEX('تحليل التكلفة والسعر'!$C$2:$C$700,MATCH($C2908,'تحليل التكلفة والسعر'!$B$2:$B$700,0)),0))</f>
        <v/>
      </c>
    </row>
    <row r="2909" customFormat="false" ht="15" hidden="false" customHeight="false" outlineLevel="0" collapsed="false">
      <c r="A2909" s="102"/>
      <c r="E2909" s="103" t="str">
        <f aca="false">IF($C2909="","",IFERROR(INDEX(المنيو!$C$2:$C$500,MATCH($C2909,المنيو!$B$2:$B$500,0)),0))</f>
        <v/>
      </c>
      <c r="F2909" s="103" t="str">
        <f aca="false">IF($C2909="","",$D2909*$E2909)</f>
        <v/>
      </c>
      <c r="G2909" s="103" t="str">
        <f aca="false">IF($C2909="","",$D2909*IFERROR(INDEX('تحليل التكلفة والسعر'!$C$2:$C$700,MATCH($C2909,'تحليل التكلفة والسعر'!$B$2:$B$700,0)),0))</f>
        <v/>
      </c>
    </row>
    <row r="2910" customFormat="false" ht="15" hidden="false" customHeight="false" outlineLevel="0" collapsed="false">
      <c r="A2910" s="102"/>
      <c r="E2910" s="103" t="str">
        <f aca="false">IF($C2910="","",IFERROR(INDEX(المنيو!$C$2:$C$500,MATCH($C2910,المنيو!$B$2:$B$500,0)),0))</f>
        <v/>
      </c>
      <c r="F2910" s="103" t="str">
        <f aca="false">IF($C2910="","",$D2910*$E2910)</f>
        <v/>
      </c>
      <c r="G2910" s="103" t="str">
        <f aca="false">IF($C2910="","",$D2910*IFERROR(INDEX('تحليل التكلفة والسعر'!$C$2:$C$700,MATCH($C2910,'تحليل التكلفة والسعر'!$B$2:$B$700,0)),0))</f>
        <v/>
      </c>
    </row>
    <row r="2911" customFormat="false" ht="15" hidden="false" customHeight="false" outlineLevel="0" collapsed="false">
      <c r="A2911" s="102"/>
      <c r="E2911" s="103" t="str">
        <f aca="false">IF($C2911="","",IFERROR(INDEX(المنيو!$C$2:$C$500,MATCH($C2911,المنيو!$B$2:$B$500,0)),0))</f>
        <v/>
      </c>
      <c r="F2911" s="103" t="str">
        <f aca="false">IF($C2911="","",$D2911*$E2911)</f>
        <v/>
      </c>
      <c r="G2911" s="103" t="str">
        <f aca="false">IF($C2911="","",$D2911*IFERROR(INDEX('تحليل التكلفة والسعر'!$C$2:$C$700,MATCH($C2911,'تحليل التكلفة والسعر'!$B$2:$B$700,0)),0))</f>
        <v/>
      </c>
    </row>
    <row r="2912" customFormat="false" ht="15" hidden="false" customHeight="false" outlineLevel="0" collapsed="false">
      <c r="A2912" s="102"/>
      <c r="E2912" s="103" t="str">
        <f aca="false">IF($C2912="","",IFERROR(INDEX(المنيو!$C$2:$C$500,MATCH($C2912,المنيو!$B$2:$B$500,0)),0))</f>
        <v/>
      </c>
      <c r="F2912" s="103" t="str">
        <f aca="false">IF($C2912="","",$D2912*$E2912)</f>
        <v/>
      </c>
      <c r="G2912" s="103" t="str">
        <f aca="false">IF($C2912="","",$D2912*IFERROR(INDEX('تحليل التكلفة والسعر'!$C$2:$C$700,MATCH($C2912,'تحليل التكلفة والسعر'!$B$2:$B$700,0)),0))</f>
        <v/>
      </c>
    </row>
    <row r="2913" customFormat="false" ht="15" hidden="false" customHeight="false" outlineLevel="0" collapsed="false">
      <c r="A2913" s="102"/>
      <c r="E2913" s="103" t="str">
        <f aca="false">IF($C2913="","",IFERROR(INDEX(المنيو!$C$2:$C$500,MATCH($C2913,المنيو!$B$2:$B$500,0)),0))</f>
        <v/>
      </c>
      <c r="F2913" s="103" t="str">
        <f aca="false">IF($C2913="","",$D2913*$E2913)</f>
        <v/>
      </c>
      <c r="G2913" s="103" t="str">
        <f aca="false">IF($C2913="","",$D2913*IFERROR(INDEX('تحليل التكلفة والسعر'!$C$2:$C$700,MATCH($C2913,'تحليل التكلفة والسعر'!$B$2:$B$700,0)),0))</f>
        <v/>
      </c>
    </row>
    <row r="2914" customFormat="false" ht="15" hidden="false" customHeight="false" outlineLevel="0" collapsed="false">
      <c r="A2914" s="102"/>
      <c r="E2914" s="103" t="str">
        <f aca="false">IF($C2914="","",IFERROR(INDEX(المنيو!$C$2:$C$500,MATCH($C2914,المنيو!$B$2:$B$500,0)),0))</f>
        <v/>
      </c>
      <c r="F2914" s="103" t="str">
        <f aca="false">IF($C2914="","",$D2914*$E2914)</f>
        <v/>
      </c>
      <c r="G2914" s="103" t="str">
        <f aca="false">IF($C2914="","",$D2914*IFERROR(INDEX('تحليل التكلفة والسعر'!$C$2:$C$700,MATCH($C2914,'تحليل التكلفة والسعر'!$B$2:$B$700,0)),0))</f>
        <v/>
      </c>
    </row>
    <row r="2915" customFormat="false" ht="15" hidden="false" customHeight="false" outlineLevel="0" collapsed="false">
      <c r="A2915" s="102"/>
      <c r="E2915" s="103" t="str">
        <f aca="false">IF($C2915="","",IFERROR(INDEX(المنيو!$C$2:$C$500,MATCH($C2915,المنيو!$B$2:$B$500,0)),0))</f>
        <v/>
      </c>
      <c r="F2915" s="103" t="str">
        <f aca="false">IF($C2915="","",$D2915*$E2915)</f>
        <v/>
      </c>
      <c r="G2915" s="103" t="str">
        <f aca="false">IF($C2915="","",$D2915*IFERROR(INDEX('تحليل التكلفة والسعر'!$C$2:$C$700,MATCH($C2915,'تحليل التكلفة والسعر'!$B$2:$B$700,0)),0))</f>
        <v/>
      </c>
    </row>
    <row r="2916" customFormat="false" ht="15" hidden="false" customHeight="false" outlineLevel="0" collapsed="false">
      <c r="A2916" s="102"/>
      <c r="E2916" s="103" t="str">
        <f aca="false">IF($C2916="","",IFERROR(INDEX(المنيو!$C$2:$C$500,MATCH($C2916,المنيو!$B$2:$B$500,0)),0))</f>
        <v/>
      </c>
      <c r="F2916" s="103" t="str">
        <f aca="false">IF($C2916="","",$D2916*$E2916)</f>
        <v/>
      </c>
      <c r="G2916" s="103" t="str">
        <f aca="false">IF($C2916="","",$D2916*IFERROR(INDEX('تحليل التكلفة والسعر'!$C$2:$C$700,MATCH($C2916,'تحليل التكلفة والسعر'!$B$2:$B$700,0)),0))</f>
        <v/>
      </c>
    </row>
    <row r="2917" customFormat="false" ht="15" hidden="false" customHeight="false" outlineLevel="0" collapsed="false">
      <c r="A2917" s="102"/>
      <c r="E2917" s="103" t="str">
        <f aca="false">IF($C2917="","",IFERROR(INDEX(المنيو!$C$2:$C$500,MATCH($C2917,المنيو!$B$2:$B$500,0)),0))</f>
        <v/>
      </c>
      <c r="F2917" s="103" t="str">
        <f aca="false">IF($C2917="","",$D2917*$E2917)</f>
        <v/>
      </c>
      <c r="G2917" s="103" t="str">
        <f aca="false">IF($C2917="","",$D2917*IFERROR(INDEX('تحليل التكلفة والسعر'!$C$2:$C$700,MATCH($C2917,'تحليل التكلفة والسعر'!$B$2:$B$700,0)),0))</f>
        <v/>
      </c>
    </row>
    <row r="2918" customFormat="false" ht="15" hidden="false" customHeight="false" outlineLevel="0" collapsed="false">
      <c r="A2918" s="102"/>
      <c r="E2918" s="103" t="str">
        <f aca="false">IF($C2918="","",IFERROR(INDEX(المنيو!$C$2:$C$500,MATCH($C2918,المنيو!$B$2:$B$500,0)),0))</f>
        <v/>
      </c>
      <c r="F2918" s="103" t="str">
        <f aca="false">IF($C2918="","",$D2918*$E2918)</f>
        <v/>
      </c>
      <c r="G2918" s="103" t="str">
        <f aca="false">IF($C2918="","",$D2918*IFERROR(INDEX('تحليل التكلفة والسعر'!$C$2:$C$700,MATCH($C2918,'تحليل التكلفة والسعر'!$B$2:$B$700,0)),0))</f>
        <v/>
      </c>
    </row>
    <row r="2919" customFormat="false" ht="15" hidden="false" customHeight="false" outlineLevel="0" collapsed="false">
      <c r="A2919" s="102"/>
      <c r="E2919" s="103" t="str">
        <f aca="false">IF($C2919="","",IFERROR(INDEX(المنيو!$C$2:$C$500,MATCH($C2919,المنيو!$B$2:$B$500,0)),0))</f>
        <v/>
      </c>
      <c r="F2919" s="103" t="str">
        <f aca="false">IF($C2919="","",$D2919*$E2919)</f>
        <v/>
      </c>
      <c r="G2919" s="103" t="str">
        <f aca="false">IF($C2919="","",$D2919*IFERROR(INDEX('تحليل التكلفة والسعر'!$C$2:$C$700,MATCH($C2919,'تحليل التكلفة والسعر'!$B$2:$B$700,0)),0))</f>
        <v/>
      </c>
    </row>
    <row r="2920" customFormat="false" ht="15" hidden="false" customHeight="false" outlineLevel="0" collapsed="false">
      <c r="A2920" s="102"/>
      <c r="E2920" s="103" t="str">
        <f aca="false">IF($C2920="","",IFERROR(INDEX(المنيو!$C$2:$C$500,MATCH($C2920,المنيو!$B$2:$B$500,0)),0))</f>
        <v/>
      </c>
      <c r="F2920" s="103" t="str">
        <f aca="false">IF($C2920="","",$D2920*$E2920)</f>
        <v/>
      </c>
      <c r="G2920" s="103" t="str">
        <f aca="false">IF($C2920="","",$D2920*IFERROR(INDEX('تحليل التكلفة والسعر'!$C$2:$C$700,MATCH($C2920,'تحليل التكلفة والسعر'!$B$2:$B$700,0)),0))</f>
        <v/>
      </c>
    </row>
    <row r="2921" customFormat="false" ht="15" hidden="false" customHeight="false" outlineLevel="0" collapsed="false">
      <c r="A2921" s="102"/>
      <c r="E2921" s="103" t="str">
        <f aca="false">IF($C2921="","",IFERROR(INDEX(المنيو!$C$2:$C$500,MATCH($C2921,المنيو!$B$2:$B$500,0)),0))</f>
        <v/>
      </c>
      <c r="F2921" s="103" t="str">
        <f aca="false">IF($C2921="","",$D2921*$E2921)</f>
        <v/>
      </c>
      <c r="G2921" s="103" t="str">
        <f aca="false">IF($C2921="","",$D2921*IFERROR(INDEX('تحليل التكلفة والسعر'!$C$2:$C$700,MATCH($C2921,'تحليل التكلفة والسعر'!$B$2:$B$700,0)),0))</f>
        <v/>
      </c>
    </row>
    <row r="2922" customFormat="false" ht="15" hidden="false" customHeight="false" outlineLevel="0" collapsed="false">
      <c r="A2922" s="102"/>
      <c r="E2922" s="103" t="str">
        <f aca="false">IF($C2922="","",IFERROR(INDEX(المنيو!$C$2:$C$500,MATCH($C2922,المنيو!$B$2:$B$500,0)),0))</f>
        <v/>
      </c>
      <c r="F2922" s="103" t="str">
        <f aca="false">IF($C2922="","",$D2922*$E2922)</f>
        <v/>
      </c>
      <c r="G2922" s="103" t="str">
        <f aca="false">IF($C2922="","",$D2922*IFERROR(INDEX('تحليل التكلفة والسعر'!$C$2:$C$700,MATCH($C2922,'تحليل التكلفة والسعر'!$B$2:$B$700,0)),0))</f>
        <v/>
      </c>
    </row>
    <row r="2923" customFormat="false" ht="15" hidden="false" customHeight="false" outlineLevel="0" collapsed="false">
      <c r="A2923" s="102"/>
      <c r="E2923" s="103" t="str">
        <f aca="false">IF($C2923="","",IFERROR(INDEX(المنيو!$C$2:$C$500,MATCH($C2923,المنيو!$B$2:$B$500,0)),0))</f>
        <v/>
      </c>
      <c r="F2923" s="103" t="str">
        <f aca="false">IF($C2923="","",$D2923*$E2923)</f>
        <v/>
      </c>
      <c r="G2923" s="103" t="str">
        <f aca="false">IF($C2923="","",$D2923*IFERROR(INDEX('تحليل التكلفة والسعر'!$C$2:$C$700,MATCH($C2923,'تحليل التكلفة والسعر'!$B$2:$B$700,0)),0))</f>
        <v/>
      </c>
    </row>
    <row r="2924" customFormat="false" ht="15" hidden="false" customHeight="false" outlineLevel="0" collapsed="false">
      <c r="A2924" s="102"/>
      <c r="E2924" s="103" t="str">
        <f aca="false">IF($C2924="","",IFERROR(INDEX(المنيو!$C$2:$C$500,MATCH($C2924,المنيو!$B$2:$B$500,0)),0))</f>
        <v/>
      </c>
      <c r="F2924" s="103" t="str">
        <f aca="false">IF($C2924="","",$D2924*$E2924)</f>
        <v/>
      </c>
      <c r="G2924" s="103" t="str">
        <f aca="false">IF($C2924="","",$D2924*IFERROR(INDEX('تحليل التكلفة والسعر'!$C$2:$C$700,MATCH($C2924,'تحليل التكلفة والسعر'!$B$2:$B$700,0)),0))</f>
        <v/>
      </c>
    </row>
    <row r="2925" customFormat="false" ht="15" hidden="false" customHeight="false" outlineLevel="0" collapsed="false">
      <c r="A2925" s="102"/>
      <c r="E2925" s="103" t="str">
        <f aca="false">IF($C2925="","",IFERROR(INDEX(المنيو!$C$2:$C$500,MATCH($C2925,المنيو!$B$2:$B$500,0)),0))</f>
        <v/>
      </c>
      <c r="F2925" s="103" t="str">
        <f aca="false">IF($C2925="","",$D2925*$E2925)</f>
        <v/>
      </c>
      <c r="G2925" s="103" t="str">
        <f aca="false">IF($C2925="","",$D2925*IFERROR(INDEX('تحليل التكلفة والسعر'!$C$2:$C$700,MATCH($C2925,'تحليل التكلفة والسعر'!$B$2:$B$700,0)),0))</f>
        <v/>
      </c>
    </row>
    <row r="2926" customFormat="false" ht="15" hidden="false" customHeight="false" outlineLevel="0" collapsed="false">
      <c r="A2926" s="102"/>
      <c r="E2926" s="103" t="str">
        <f aca="false">IF($C2926="","",IFERROR(INDEX(المنيو!$C$2:$C$500,MATCH($C2926,المنيو!$B$2:$B$500,0)),0))</f>
        <v/>
      </c>
      <c r="F2926" s="103" t="str">
        <f aca="false">IF($C2926="","",$D2926*$E2926)</f>
        <v/>
      </c>
      <c r="G2926" s="103" t="str">
        <f aca="false">IF($C2926="","",$D2926*IFERROR(INDEX('تحليل التكلفة والسعر'!$C$2:$C$700,MATCH($C2926,'تحليل التكلفة والسعر'!$B$2:$B$700,0)),0))</f>
        <v/>
      </c>
    </row>
    <row r="2927" customFormat="false" ht="15" hidden="false" customHeight="false" outlineLevel="0" collapsed="false">
      <c r="A2927" s="102"/>
      <c r="E2927" s="103" t="str">
        <f aca="false">IF($C2927="","",IFERROR(INDEX(المنيو!$C$2:$C$500,MATCH($C2927,المنيو!$B$2:$B$500,0)),0))</f>
        <v/>
      </c>
      <c r="F2927" s="103" t="str">
        <f aca="false">IF($C2927="","",$D2927*$E2927)</f>
        <v/>
      </c>
      <c r="G2927" s="103" t="str">
        <f aca="false">IF($C2927="","",$D2927*IFERROR(INDEX('تحليل التكلفة والسعر'!$C$2:$C$700,MATCH($C2927,'تحليل التكلفة والسعر'!$B$2:$B$700,0)),0))</f>
        <v/>
      </c>
    </row>
    <row r="2928" customFormat="false" ht="15" hidden="false" customHeight="false" outlineLevel="0" collapsed="false">
      <c r="A2928" s="102"/>
      <c r="E2928" s="103" t="str">
        <f aca="false">IF($C2928="","",IFERROR(INDEX(المنيو!$C$2:$C$500,MATCH($C2928,المنيو!$B$2:$B$500,0)),0))</f>
        <v/>
      </c>
      <c r="F2928" s="103" t="str">
        <f aca="false">IF($C2928="","",$D2928*$E2928)</f>
        <v/>
      </c>
      <c r="G2928" s="103" t="str">
        <f aca="false">IF($C2928="","",$D2928*IFERROR(INDEX('تحليل التكلفة والسعر'!$C$2:$C$700,MATCH($C2928,'تحليل التكلفة والسعر'!$B$2:$B$700,0)),0))</f>
        <v/>
      </c>
    </row>
    <row r="2929" customFormat="false" ht="15" hidden="false" customHeight="false" outlineLevel="0" collapsed="false">
      <c r="A2929" s="102"/>
      <c r="E2929" s="103" t="str">
        <f aca="false">IF($C2929="","",IFERROR(INDEX(المنيو!$C$2:$C$500,MATCH($C2929,المنيو!$B$2:$B$500,0)),0))</f>
        <v/>
      </c>
      <c r="F2929" s="103" t="str">
        <f aca="false">IF($C2929="","",$D2929*$E2929)</f>
        <v/>
      </c>
      <c r="G2929" s="103" t="str">
        <f aca="false">IF($C2929="","",$D2929*IFERROR(INDEX('تحليل التكلفة والسعر'!$C$2:$C$700,MATCH($C2929,'تحليل التكلفة والسعر'!$B$2:$B$700,0)),0))</f>
        <v/>
      </c>
    </row>
    <row r="2930" customFormat="false" ht="15" hidden="false" customHeight="false" outlineLevel="0" collapsed="false">
      <c r="A2930" s="102"/>
      <c r="E2930" s="103" t="str">
        <f aca="false">IF($C2930="","",IFERROR(INDEX(المنيو!$C$2:$C$500,MATCH($C2930,المنيو!$B$2:$B$500,0)),0))</f>
        <v/>
      </c>
      <c r="F2930" s="103" t="str">
        <f aca="false">IF($C2930="","",$D2930*$E2930)</f>
        <v/>
      </c>
      <c r="G2930" s="103" t="str">
        <f aca="false">IF($C2930="","",$D2930*IFERROR(INDEX('تحليل التكلفة والسعر'!$C$2:$C$700,MATCH($C2930,'تحليل التكلفة والسعر'!$B$2:$B$700,0)),0))</f>
        <v/>
      </c>
    </row>
    <row r="2931" customFormat="false" ht="15" hidden="false" customHeight="false" outlineLevel="0" collapsed="false">
      <c r="A2931" s="102"/>
      <c r="E2931" s="103" t="str">
        <f aca="false">IF($C2931="","",IFERROR(INDEX(المنيو!$C$2:$C$500,MATCH($C2931,المنيو!$B$2:$B$500,0)),0))</f>
        <v/>
      </c>
      <c r="F2931" s="103" t="str">
        <f aca="false">IF($C2931="","",$D2931*$E2931)</f>
        <v/>
      </c>
      <c r="G2931" s="103" t="str">
        <f aca="false">IF($C2931="","",$D2931*IFERROR(INDEX('تحليل التكلفة والسعر'!$C$2:$C$700,MATCH($C2931,'تحليل التكلفة والسعر'!$B$2:$B$700,0)),0))</f>
        <v/>
      </c>
    </row>
    <row r="2932" customFormat="false" ht="15" hidden="false" customHeight="false" outlineLevel="0" collapsed="false">
      <c r="A2932" s="102"/>
      <c r="E2932" s="103" t="str">
        <f aca="false">IF($C2932="","",IFERROR(INDEX(المنيو!$C$2:$C$500,MATCH($C2932,المنيو!$B$2:$B$500,0)),0))</f>
        <v/>
      </c>
      <c r="F2932" s="103" t="str">
        <f aca="false">IF($C2932="","",$D2932*$E2932)</f>
        <v/>
      </c>
      <c r="G2932" s="103" t="str">
        <f aca="false">IF($C2932="","",$D2932*IFERROR(INDEX('تحليل التكلفة والسعر'!$C$2:$C$700,MATCH($C2932,'تحليل التكلفة والسعر'!$B$2:$B$700,0)),0))</f>
        <v/>
      </c>
    </row>
    <row r="2933" customFormat="false" ht="15" hidden="false" customHeight="false" outlineLevel="0" collapsed="false">
      <c r="A2933" s="102"/>
      <c r="E2933" s="103" t="str">
        <f aca="false">IF($C2933="","",IFERROR(INDEX(المنيو!$C$2:$C$500,MATCH($C2933,المنيو!$B$2:$B$500,0)),0))</f>
        <v/>
      </c>
      <c r="F2933" s="103" t="str">
        <f aca="false">IF($C2933="","",$D2933*$E2933)</f>
        <v/>
      </c>
      <c r="G2933" s="103" t="str">
        <f aca="false">IF($C2933="","",$D2933*IFERROR(INDEX('تحليل التكلفة والسعر'!$C$2:$C$700,MATCH($C2933,'تحليل التكلفة والسعر'!$B$2:$B$700,0)),0))</f>
        <v/>
      </c>
    </row>
    <row r="2934" customFormat="false" ht="15" hidden="false" customHeight="false" outlineLevel="0" collapsed="false">
      <c r="A2934" s="102"/>
      <c r="E2934" s="103" t="str">
        <f aca="false">IF($C2934="","",IFERROR(INDEX(المنيو!$C$2:$C$500,MATCH($C2934,المنيو!$B$2:$B$500,0)),0))</f>
        <v/>
      </c>
      <c r="F2934" s="103" t="str">
        <f aca="false">IF($C2934="","",$D2934*$E2934)</f>
        <v/>
      </c>
      <c r="G2934" s="103" t="str">
        <f aca="false">IF($C2934="","",$D2934*IFERROR(INDEX('تحليل التكلفة والسعر'!$C$2:$C$700,MATCH($C2934,'تحليل التكلفة والسعر'!$B$2:$B$700,0)),0))</f>
        <v/>
      </c>
    </row>
    <row r="2935" customFormat="false" ht="15" hidden="false" customHeight="false" outlineLevel="0" collapsed="false">
      <c r="A2935" s="102"/>
      <c r="E2935" s="103" t="str">
        <f aca="false">IF($C2935="","",IFERROR(INDEX(المنيو!$C$2:$C$500,MATCH($C2935,المنيو!$B$2:$B$500,0)),0))</f>
        <v/>
      </c>
      <c r="F2935" s="103" t="str">
        <f aca="false">IF($C2935="","",$D2935*$E2935)</f>
        <v/>
      </c>
      <c r="G2935" s="103" t="str">
        <f aca="false">IF($C2935="","",$D2935*IFERROR(INDEX('تحليل التكلفة والسعر'!$C$2:$C$700,MATCH($C2935,'تحليل التكلفة والسعر'!$B$2:$B$700,0)),0))</f>
        <v/>
      </c>
    </row>
    <row r="2936" customFormat="false" ht="15" hidden="false" customHeight="false" outlineLevel="0" collapsed="false">
      <c r="A2936" s="102"/>
      <c r="E2936" s="103" t="str">
        <f aca="false">IF($C2936="","",IFERROR(INDEX(المنيو!$C$2:$C$500,MATCH($C2936,المنيو!$B$2:$B$500,0)),0))</f>
        <v/>
      </c>
      <c r="F2936" s="103" t="str">
        <f aca="false">IF($C2936="","",$D2936*$E2936)</f>
        <v/>
      </c>
      <c r="G2936" s="103" t="str">
        <f aca="false">IF($C2936="","",$D2936*IFERROR(INDEX('تحليل التكلفة والسعر'!$C$2:$C$700,MATCH($C2936,'تحليل التكلفة والسعر'!$B$2:$B$700,0)),0))</f>
        <v/>
      </c>
    </row>
    <row r="2937" customFormat="false" ht="15" hidden="false" customHeight="false" outlineLevel="0" collapsed="false">
      <c r="A2937" s="102"/>
      <c r="E2937" s="103" t="str">
        <f aca="false">IF($C2937="","",IFERROR(INDEX(المنيو!$C$2:$C$500,MATCH($C2937,المنيو!$B$2:$B$500,0)),0))</f>
        <v/>
      </c>
      <c r="F2937" s="103" t="str">
        <f aca="false">IF($C2937="","",$D2937*$E2937)</f>
        <v/>
      </c>
      <c r="G2937" s="103" t="str">
        <f aca="false">IF($C2937="","",$D2937*IFERROR(INDEX('تحليل التكلفة والسعر'!$C$2:$C$700,MATCH($C2937,'تحليل التكلفة والسعر'!$B$2:$B$700,0)),0))</f>
        <v/>
      </c>
    </row>
    <row r="2938" customFormat="false" ht="15" hidden="false" customHeight="false" outlineLevel="0" collapsed="false">
      <c r="A2938" s="102"/>
      <c r="E2938" s="103" t="str">
        <f aca="false">IF($C2938="","",IFERROR(INDEX(المنيو!$C$2:$C$500,MATCH($C2938,المنيو!$B$2:$B$500,0)),0))</f>
        <v/>
      </c>
      <c r="F2938" s="103" t="str">
        <f aca="false">IF($C2938="","",$D2938*$E2938)</f>
        <v/>
      </c>
      <c r="G2938" s="103" t="str">
        <f aca="false">IF($C2938="","",$D2938*IFERROR(INDEX('تحليل التكلفة والسعر'!$C$2:$C$700,MATCH($C2938,'تحليل التكلفة والسعر'!$B$2:$B$700,0)),0))</f>
        <v/>
      </c>
    </row>
    <row r="2939" customFormat="false" ht="15" hidden="false" customHeight="false" outlineLevel="0" collapsed="false">
      <c r="A2939" s="102"/>
      <c r="E2939" s="103" t="str">
        <f aca="false">IF($C2939="","",IFERROR(INDEX(المنيو!$C$2:$C$500,MATCH($C2939,المنيو!$B$2:$B$500,0)),0))</f>
        <v/>
      </c>
      <c r="F2939" s="103" t="str">
        <f aca="false">IF($C2939="","",$D2939*$E2939)</f>
        <v/>
      </c>
      <c r="G2939" s="103" t="str">
        <f aca="false">IF($C2939="","",$D2939*IFERROR(INDEX('تحليل التكلفة والسعر'!$C$2:$C$700,MATCH($C2939,'تحليل التكلفة والسعر'!$B$2:$B$700,0)),0))</f>
        <v/>
      </c>
    </row>
    <row r="2940" customFormat="false" ht="15" hidden="false" customHeight="false" outlineLevel="0" collapsed="false">
      <c r="A2940" s="102"/>
      <c r="E2940" s="103" t="str">
        <f aca="false">IF($C2940="","",IFERROR(INDEX(المنيو!$C$2:$C$500,MATCH($C2940,المنيو!$B$2:$B$500,0)),0))</f>
        <v/>
      </c>
      <c r="F2940" s="103" t="str">
        <f aca="false">IF($C2940="","",$D2940*$E2940)</f>
        <v/>
      </c>
      <c r="G2940" s="103" t="str">
        <f aca="false">IF($C2940="","",$D2940*IFERROR(INDEX('تحليل التكلفة والسعر'!$C$2:$C$700,MATCH($C2940,'تحليل التكلفة والسعر'!$B$2:$B$700,0)),0))</f>
        <v/>
      </c>
    </row>
    <row r="2941" customFormat="false" ht="15" hidden="false" customHeight="false" outlineLevel="0" collapsed="false">
      <c r="A2941" s="102"/>
      <c r="E2941" s="103" t="str">
        <f aca="false">IF($C2941="","",IFERROR(INDEX(المنيو!$C$2:$C$500,MATCH($C2941,المنيو!$B$2:$B$500,0)),0))</f>
        <v/>
      </c>
      <c r="F2941" s="103" t="str">
        <f aca="false">IF($C2941="","",$D2941*$E2941)</f>
        <v/>
      </c>
      <c r="G2941" s="103" t="str">
        <f aca="false">IF($C2941="","",$D2941*IFERROR(INDEX('تحليل التكلفة والسعر'!$C$2:$C$700,MATCH($C2941,'تحليل التكلفة والسعر'!$B$2:$B$700,0)),0))</f>
        <v/>
      </c>
    </row>
    <row r="2942" customFormat="false" ht="15" hidden="false" customHeight="false" outlineLevel="0" collapsed="false">
      <c r="A2942" s="102"/>
      <c r="E2942" s="103" t="str">
        <f aca="false">IF($C2942="","",IFERROR(INDEX(المنيو!$C$2:$C$500,MATCH($C2942,المنيو!$B$2:$B$500,0)),0))</f>
        <v/>
      </c>
      <c r="F2942" s="103" t="str">
        <f aca="false">IF($C2942="","",$D2942*$E2942)</f>
        <v/>
      </c>
      <c r="G2942" s="103" t="str">
        <f aca="false">IF($C2942="","",$D2942*IFERROR(INDEX('تحليل التكلفة والسعر'!$C$2:$C$700,MATCH($C2942,'تحليل التكلفة والسعر'!$B$2:$B$700,0)),0))</f>
        <v/>
      </c>
    </row>
    <row r="2943" customFormat="false" ht="15" hidden="false" customHeight="false" outlineLevel="0" collapsed="false">
      <c r="A2943" s="102"/>
      <c r="E2943" s="103" t="str">
        <f aca="false">IF($C2943="","",IFERROR(INDEX(المنيو!$C$2:$C$500,MATCH($C2943,المنيو!$B$2:$B$500,0)),0))</f>
        <v/>
      </c>
      <c r="F2943" s="103" t="str">
        <f aca="false">IF($C2943="","",$D2943*$E2943)</f>
        <v/>
      </c>
      <c r="G2943" s="103" t="str">
        <f aca="false">IF($C2943="","",$D2943*IFERROR(INDEX('تحليل التكلفة والسعر'!$C$2:$C$700,MATCH($C2943,'تحليل التكلفة والسعر'!$B$2:$B$700,0)),0))</f>
        <v/>
      </c>
    </row>
    <row r="2944" customFormat="false" ht="15" hidden="false" customHeight="false" outlineLevel="0" collapsed="false">
      <c r="A2944" s="102"/>
      <c r="E2944" s="103" t="str">
        <f aca="false">IF($C2944="","",IFERROR(INDEX(المنيو!$C$2:$C$500,MATCH($C2944,المنيو!$B$2:$B$500,0)),0))</f>
        <v/>
      </c>
      <c r="F2944" s="103" t="str">
        <f aca="false">IF($C2944="","",$D2944*$E2944)</f>
        <v/>
      </c>
      <c r="G2944" s="103" t="str">
        <f aca="false">IF($C2944="","",$D2944*IFERROR(INDEX('تحليل التكلفة والسعر'!$C$2:$C$700,MATCH($C2944,'تحليل التكلفة والسعر'!$B$2:$B$700,0)),0))</f>
        <v/>
      </c>
    </row>
    <row r="2945" customFormat="false" ht="15" hidden="false" customHeight="false" outlineLevel="0" collapsed="false">
      <c r="A2945" s="102"/>
      <c r="E2945" s="103" t="str">
        <f aca="false">IF($C2945="","",IFERROR(INDEX(المنيو!$C$2:$C$500,MATCH($C2945,المنيو!$B$2:$B$500,0)),0))</f>
        <v/>
      </c>
      <c r="F2945" s="103" t="str">
        <f aca="false">IF($C2945="","",$D2945*$E2945)</f>
        <v/>
      </c>
      <c r="G2945" s="103" t="str">
        <f aca="false">IF($C2945="","",$D2945*IFERROR(INDEX('تحليل التكلفة والسعر'!$C$2:$C$700,MATCH($C2945,'تحليل التكلفة والسعر'!$B$2:$B$700,0)),0))</f>
        <v/>
      </c>
    </row>
    <row r="2946" customFormat="false" ht="15" hidden="false" customHeight="false" outlineLevel="0" collapsed="false">
      <c r="A2946" s="102"/>
      <c r="E2946" s="103" t="str">
        <f aca="false">IF($C2946="","",IFERROR(INDEX(المنيو!$C$2:$C$500,MATCH($C2946,المنيو!$B$2:$B$500,0)),0))</f>
        <v/>
      </c>
      <c r="F2946" s="103" t="str">
        <f aca="false">IF($C2946="","",$D2946*$E2946)</f>
        <v/>
      </c>
      <c r="G2946" s="103" t="str">
        <f aca="false">IF($C2946="","",$D2946*IFERROR(INDEX('تحليل التكلفة والسعر'!$C$2:$C$700,MATCH($C2946,'تحليل التكلفة والسعر'!$B$2:$B$700,0)),0))</f>
        <v/>
      </c>
    </row>
    <row r="2947" customFormat="false" ht="15" hidden="false" customHeight="false" outlineLevel="0" collapsed="false">
      <c r="A2947" s="102"/>
      <c r="E2947" s="103" t="str">
        <f aca="false">IF($C2947="","",IFERROR(INDEX(المنيو!$C$2:$C$500,MATCH($C2947,المنيو!$B$2:$B$500,0)),0))</f>
        <v/>
      </c>
      <c r="F2947" s="103" t="str">
        <f aca="false">IF($C2947="","",$D2947*$E2947)</f>
        <v/>
      </c>
      <c r="G2947" s="103" t="str">
        <f aca="false">IF($C2947="","",$D2947*IFERROR(INDEX('تحليل التكلفة والسعر'!$C$2:$C$700,MATCH($C2947,'تحليل التكلفة والسعر'!$B$2:$B$700,0)),0))</f>
        <v/>
      </c>
    </row>
    <row r="2948" customFormat="false" ht="15" hidden="false" customHeight="false" outlineLevel="0" collapsed="false">
      <c r="A2948" s="102"/>
      <c r="E2948" s="103" t="str">
        <f aca="false">IF($C2948="","",IFERROR(INDEX(المنيو!$C$2:$C$500,MATCH($C2948,المنيو!$B$2:$B$500,0)),0))</f>
        <v/>
      </c>
      <c r="F2948" s="103" t="str">
        <f aca="false">IF($C2948="","",$D2948*$E2948)</f>
        <v/>
      </c>
      <c r="G2948" s="103" t="str">
        <f aca="false">IF($C2948="","",$D2948*IFERROR(INDEX('تحليل التكلفة والسعر'!$C$2:$C$700,MATCH($C2948,'تحليل التكلفة والسعر'!$B$2:$B$700,0)),0))</f>
        <v/>
      </c>
    </row>
    <row r="2949" customFormat="false" ht="15" hidden="false" customHeight="false" outlineLevel="0" collapsed="false">
      <c r="A2949" s="102"/>
      <c r="E2949" s="103" t="str">
        <f aca="false">IF($C2949="","",IFERROR(INDEX(المنيو!$C$2:$C$500,MATCH($C2949,المنيو!$B$2:$B$500,0)),0))</f>
        <v/>
      </c>
      <c r="F2949" s="103" t="str">
        <f aca="false">IF($C2949="","",$D2949*$E2949)</f>
        <v/>
      </c>
      <c r="G2949" s="103" t="str">
        <f aca="false">IF($C2949="","",$D2949*IFERROR(INDEX('تحليل التكلفة والسعر'!$C$2:$C$700,MATCH($C2949,'تحليل التكلفة والسعر'!$B$2:$B$700,0)),0))</f>
        <v/>
      </c>
    </row>
    <row r="2950" customFormat="false" ht="15" hidden="false" customHeight="false" outlineLevel="0" collapsed="false">
      <c r="A2950" s="102"/>
      <c r="E2950" s="103" t="str">
        <f aca="false">IF($C2950="","",IFERROR(INDEX(المنيو!$C$2:$C$500,MATCH($C2950,المنيو!$B$2:$B$500,0)),0))</f>
        <v/>
      </c>
      <c r="F2950" s="103" t="str">
        <f aca="false">IF($C2950="","",$D2950*$E2950)</f>
        <v/>
      </c>
      <c r="G2950" s="103" t="str">
        <f aca="false">IF($C2950="","",$D2950*IFERROR(INDEX('تحليل التكلفة والسعر'!$C$2:$C$700,MATCH($C2950,'تحليل التكلفة والسعر'!$B$2:$B$700,0)),0))</f>
        <v/>
      </c>
    </row>
    <row r="2951" customFormat="false" ht="15" hidden="false" customHeight="false" outlineLevel="0" collapsed="false">
      <c r="A2951" s="102"/>
      <c r="E2951" s="103" t="str">
        <f aca="false">IF($C2951="","",IFERROR(INDEX(المنيو!$C$2:$C$500,MATCH($C2951,المنيو!$B$2:$B$500,0)),0))</f>
        <v/>
      </c>
      <c r="F2951" s="103" t="str">
        <f aca="false">IF($C2951="","",$D2951*$E2951)</f>
        <v/>
      </c>
      <c r="G2951" s="103" t="str">
        <f aca="false">IF($C2951="","",$D2951*IFERROR(INDEX('تحليل التكلفة والسعر'!$C$2:$C$700,MATCH($C2951,'تحليل التكلفة والسعر'!$B$2:$B$700,0)),0))</f>
        <v/>
      </c>
    </row>
    <row r="2952" customFormat="false" ht="15" hidden="false" customHeight="false" outlineLevel="0" collapsed="false">
      <c r="A2952" s="102"/>
      <c r="E2952" s="103" t="str">
        <f aca="false">IF($C2952="","",IFERROR(INDEX(المنيو!$C$2:$C$500,MATCH($C2952,المنيو!$B$2:$B$500,0)),0))</f>
        <v/>
      </c>
      <c r="F2952" s="103" t="str">
        <f aca="false">IF($C2952="","",$D2952*$E2952)</f>
        <v/>
      </c>
      <c r="G2952" s="103" t="str">
        <f aca="false">IF($C2952="","",$D2952*IFERROR(INDEX('تحليل التكلفة والسعر'!$C$2:$C$700,MATCH($C2952,'تحليل التكلفة والسعر'!$B$2:$B$700,0)),0))</f>
        <v/>
      </c>
    </row>
    <row r="2953" customFormat="false" ht="15" hidden="false" customHeight="false" outlineLevel="0" collapsed="false">
      <c r="A2953" s="102"/>
      <c r="E2953" s="103" t="str">
        <f aca="false">IF($C2953="","",IFERROR(INDEX(المنيو!$C$2:$C$500,MATCH($C2953,المنيو!$B$2:$B$500,0)),0))</f>
        <v/>
      </c>
      <c r="F2953" s="103" t="str">
        <f aca="false">IF($C2953="","",$D2953*$E2953)</f>
        <v/>
      </c>
      <c r="G2953" s="103" t="str">
        <f aca="false">IF($C2953="","",$D2953*IFERROR(INDEX('تحليل التكلفة والسعر'!$C$2:$C$700,MATCH($C2953,'تحليل التكلفة والسعر'!$B$2:$B$700,0)),0))</f>
        <v/>
      </c>
    </row>
    <row r="2954" customFormat="false" ht="15" hidden="false" customHeight="false" outlineLevel="0" collapsed="false">
      <c r="A2954" s="102"/>
      <c r="E2954" s="103" t="str">
        <f aca="false">IF($C2954="","",IFERROR(INDEX(المنيو!$C$2:$C$500,MATCH($C2954,المنيو!$B$2:$B$500,0)),0))</f>
        <v/>
      </c>
      <c r="F2954" s="103" t="str">
        <f aca="false">IF($C2954="","",$D2954*$E2954)</f>
        <v/>
      </c>
      <c r="G2954" s="103" t="str">
        <f aca="false">IF($C2954="","",$D2954*IFERROR(INDEX('تحليل التكلفة والسعر'!$C$2:$C$700,MATCH($C2954,'تحليل التكلفة والسعر'!$B$2:$B$700,0)),0))</f>
        <v/>
      </c>
    </row>
    <row r="2955" customFormat="false" ht="15" hidden="false" customHeight="false" outlineLevel="0" collapsed="false">
      <c r="A2955" s="102"/>
      <c r="E2955" s="103" t="str">
        <f aca="false">IF($C2955="","",IFERROR(INDEX(المنيو!$C$2:$C$500,MATCH($C2955,المنيو!$B$2:$B$500,0)),0))</f>
        <v/>
      </c>
      <c r="F2955" s="103" t="str">
        <f aca="false">IF($C2955="","",$D2955*$E2955)</f>
        <v/>
      </c>
      <c r="G2955" s="103" t="str">
        <f aca="false">IF($C2955="","",$D2955*IFERROR(INDEX('تحليل التكلفة والسعر'!$C$2:$C$700,MATCH($C2955,'تحليل التكلفة والسعر'!$B$2:$B$700,0)),0))</f>
        <v/>
      </c>
    </row>
    <row r="2956" customFormat="false" ht="15" hidden="false" customHeight="false" outlineLevel="0" collapsed="false">
      <c r="A2956" s="102"/>
      <c r="E2956" s="103" t="str">
        <f aca="false">IF($C2956="","",IFERROR(INDEX(المنيو!$C$2:$C$500,MATCH($C2956,المنيو!$B$2:$B$500,0)),0))</f>
        <v/>
      </c>
      <c r="F2956" s="103" t="str">
        <f aca="false">IF($C2956="","",$D2956*$E2956)</f>
        <v/>
      </c>
      <c r="G2956" s="103" t="str">
        <f aca="false">IF($C2956="","",$D2956*IFERROR(INDEX('تحليل التكلفة والسعر'!$C$2:$C$700,MATCH($C2956,'تحليل التكلفة والسعر'!$B$2:$B$700,0)),0))</f>
        <v/>
      </c>
    </row>
    <row r="2957" customFormat="false" ht="15" hidden="false" customHeight="false" outlineLevel="0" collapsed="false">
      <c r="A2957" s="102"/>
      <c r="E2957" s="103" t="str">
        <f aca="false">IF($C2957="","",IFERROR(INDEX(المنيو!$C$2:$C$500,MATCH($C2957,المنيو!$B$2:$B$500,0)),0))</f>
        <v/>
      </c>
      <c r="F2957" s="103" t="str">
        <f aca="false">IF($C2957="","",$D2957*$E2957)</f>
        <v/>
      </c>
      <c r="G2957" s="103" t="str">
        <f aca="false">IF($C2957="","",$D2957*IFERROR(INDEX('تحليل التكلفة والسعر'!$C$2:$C$700,MATCH($C2957,'تحليل التكلفة والسعر'!$B$2:$B$700,0)),0))</f>
        <v/>
      </c>
    </row>
    <row r="2958" customFormat="false" ht="15" hidden="false" customHeight="false" outlineLevel="0" collapsed="false">
      <c r="A2958" s="102"/>
      <c r="E2958" s="103" t="str">
        <f aca="false">IF($C2958="","",IFERROR(INDEX(المنيو!$C$2:$C$500,MATCH($C2958,المنيو!$B$2:$B$500,0)),0))</f>
        <v/>
      </c>
      <c r="F2958" s="103" t="str">
        <f aca="false">IF($C2958="","",$D2958*$E2958)</f>
        <v/>
      </c>
      <c r="G2958" s="103" t="str">
        <f aca="false">IF($C2958="","",$D2958*IFERROR(INDEX('تحليل التكلفة والسعر'!$C$2:$C$700,MATCH($C2958,'تحليل التكلفة والسعر'!$B$2:$B$700,0)),0))</f>
        <v/>
      </c>
    </row>
    <row r="2959" customFormat="false" ht="15" hidden="false" customHeight="false" outlineLevel="0" collapsed="false">
      <c r="A2959" s="102"/>
      <c r="E2959" s="103" t="str">
        <f aca="false">IF($C2959="","",IFERROR(INDEX(المنيو!$C$2:$C$500,MATCH($C2959,المنيو!$B$2:$B$500,0)),0))</f>
        <v/>
      </c>
      <c r="F2959" s="103" t="str">
        <f aca="false">IF($C2959="","",$D2959*$E2959)</f>
        <v/>
      </c>
      <c r="G2959" s="103" t="str">
        <f aca="false">IF($C2959="","",$D2959*IFERROR(INDEX('تحليل التكلفة والسعر'!$C$2:$C$700,MATCH($C2959,'تحليل التكلفة والسعر'!$B$2:$B$700,0)),0))</f>
        <v/>
      </c>
    </row>
    <row r="2960" customFormat="false" ht="15" hidden="false" customHeight="false" outlineLevel="0" collapsed="false">
      <c r="A2960" s="102"/>
      <c r="E2960" s="103" t="str">
        <f aca="false">IF($C2960="","",IFERROR(INDEX(المنيو!$C$2:$C$500,MATCH($C2960,المنيو!$B$2:$B$500,0)),0))</f>
        <v/>
      </c>
      <c r="F2960" s="103" t="str">
        <f aca="false">IF($C2960="","",$D2960*$E2960)</f>
        <v/>
      </c>
      <c r="G2960" s="103" t="str">
        <f aca="false">IF($C2960="","",$D2960*IFERROR(INDEX('تحليل التكلفة والسعر'!$C$2:$C$700,MATCH($C2960,'تحليل التكلفة والسعر'!$B$2:$B$700,0)),0))</f>
        <v/>
      </c>
    </row>
    <row r="2961" customFormat="false" ht="15" hidden="false" customHeight="false" outlineLevel="0" collapsed="false">
      <c r="A2961" s="102"/>
      <c r="E2961" s="103" t="str">
        <f aca="false">IF($C2961="","",IFERROR(INDEX(المنيو!$C$2:$C$500,MATCH($C2961,المنيو!$B$2:$B$500,0)),0))</f>
        <v/>
      </c>
      <c r="F2961" s="103" t="str">
        <f aca="false">IF($C2961="","",$D2961*$E2961)</f>
        <v/>
      </c>
      <c r="G2961" s="103" t="str">
        <f aca="false">IF($C2961="","",$D2961*IFERROR(INDEX('تحليل التكلفة والسعر'!$C$2:$C$700,MATCH($C2961,'تحليل التكلفة والسعر'!$B$2:$B$700,0)),0))</f>
        <v/>
      </c>
    </row>
    <row r="2962" customFormat="false" ht="15" hidden="false" customHeight="false" outlineLevel="0" collapsed="false">
      <c r="A2962" s="102"/>
      <c r="E2962" s="103" t="str">
        <f aca="false">IF($C2962="","",IFERROR(INDEX(المنيو!$C$2:$C$500,MATCH($C2962,المنيو!$B$2:$B$500,0)),0))</f>
        <v/>
      </c>
      <c r="F2962" s="103" t="str">
        <f aca="false">IF($C2962="","",$D2962*$E2962)</f>
        <v/>
      </c>
      <c r="G2962" s="103" t="str">
        <f aca="false">IF($C2962="","",$D2962*IFERROR(INDEX('تحليل التكلفة والسعر'!$C$2:$C$700,MATCH($C2962,'تحليل التكلفة والسعر'!$B$2:$B$700,0)),0))</f>
        <v/>
      </c>
    </row>
    <row r="2963" customFormat="false" ht="15" hidden="false" customHeight="false" outlineLevel="0" collapsed="false">
      <c r="A2963" s="102"/>
      <c r="E2963" s="103" t="str">
        <f aca="false">IF($C2963="","",IFERROR(INDEX(المنيو!$C$2:$C$500,MATCH($C2963,المنيو!$B$2:$B$500,0)),0))</f>
        <v/>
      </c>
      <c r="F2963" s="103" t="str">
        <f aca="false">IF($C2963="","",$D2963*$E2963)</f>
        <v/>
      </c>
      <c r="G2963" s="103" t="str">
        <f aca="false">IF($C2963="","",$D2963*IFERROR(INDEX('تحليل التكلفة والسعر'!$C$2:$C$700,MATCH($C2963,'تحليل التكلفة والسعر'!$B$2:$B$700,0)),0))</f>
        <v/>
      </c>
    </row>
    <row r="2964" customFormat="false" ht="15" hidden="false" customHeight="false" outlineLevel="0" collapsed="false">
      <c r="A2964" s="102"/>
      <c r="E2964" s="103" t="str">
        <f aca="false">IF($C2964="","",IFERROR(INDEX(المنيو!$C$2:$C$500,MATCH($C2964,المنيو!$B$2:$B$500,0)),0))</f>
        <v/>
      </c>
      <c r="F2964" s="103" t="str">
        <f aca="false">IF($C2964="","",$D2964*$E2964)</f>
        <v/>
      </c>
      <c r="G2964" s="103" t="str">
        <f aca="false">IF($C2964="","",$D2964*IFERROR(INDEX('تحليل التكلفة والسعر'!$C$2:$C$700,MATCH($C2964,'تحليل التكلفة والسعر'!$B$2:$B$700,0)),0))</f>
        <v/>
      </c>
    </row>
    <row r="2965" customFormat="false" ht="15" hidden="false" customHeight="false" outlineLevel="0" collapsed="false">
      <c r="A2965" s="102"/>
      <c r="E2965" s="103" t="str">
        <f aca="false">IF($C2965="","",IFERROR(INDEX(المنيو!$C$2:$C$500,MATCH($C2965,المنيو!$B$2:$B$500,0)),0))</f>
        <v/>
      </c>
      <c r="F2965" s="103" t="str">
        <f aca="false">IF($C2965="","",$D2965*$E2965)</f>
        <v/>
      </c>
      <c r="G2965" s="103" t="str">
        <f aca="false">IF($C2965="","",$D2965*IFERROR(INDEX('تحليل التكلفة والسعر'!$C$2:$C$700,MATCH($C2965,'تحليل التكلفة والسعر'!$B$2:$B$700,0)),0))</f>
        <v/>
      </c>
    </row>
    <row r="2966" customFormat="false" ht="15" hidden="false" customHeight="false" outlineLevel="0" collapsed="false">
      <c r="A2966" s="102"/>
      <c r="E2966" s="103" t="str">
        <f aca="false">IF($C2966="","",IFERROR(INDEX(المنيو!$C$2:$C$500,MATCH($C2966,المنيو!$B$2:$B$500,0)),0))</f>
        <v/>
      </c>
      <c r="F2966" s="103" t="str">
        <f aca="false">IF($C2966="","",$D2966*$E2966)</f>
        <v/>
      </c>
      <c r="G2966" s="103" t="str">
        <f aca="false">IF($C2966="","",$D2966*IFERROR(INDEX('تحليل التكلفة والسعر'!$C$2:$C$700,MATCH($C2966,'تحليل التكلفة والسعر'!$B$2:$B$700,0)),0))</f>
        <v/>
      </c>
    </row>
    <row r="2967" customFormat="false" ht="15" hidden="false" customHeight="false" outlineLevel="0" collapsed="false">
      <c r="A2967" s="102"/>
      <c r="E2967" s="103" t="str">
        <f aca="false">IF($C2967="","",IFERROR(INDEX(المنيو!$C$2:$C$500,MATCH($C2967,المنيو!$B$2:$B$500,0)),0))</f>
        <v/>
      </c>
      <c r="F2967" s="103" t="str">
        <f aca="false">IF($C2967="","",$D2967*$E2967)</f>
        <v/>
      </c>
      <c r="G2967" s="103" t="str">
        <f aca="false">IF($C2967="","",$D2967*IFERROR(INDEX('تحليل التكلفة والسعر'!$C$2:$C$700,MATCH($C2967,'تحليل التكلفة والسعر'!$B$2:$B$700,0)),0))</f>
        <v/>
      </c>
    </row>
    <row r="2968" customFormat="false" ht="15" hidden="false" customHeight="false" outlineLevel="0" collapsed="false">
      <c r="A2968" s="102"/>
      <c r="E2968" s="103" t="str">
        <f aca="false">IF($C2968="","",IFERROR(INDEX(المنيو!$C$2:$C$500,MATCH($C2968,المنيو!$B$2:$B$500,0)),0))</f>
        <v/>
      </c>
      <c r="F2968" s="103" t="str">
        <f aca="false">IF($C2968="","",$D2968*$E2968)</f>
        <v/>
      </c>
      <c r="G2968" s="103" t="str">
        <f aca="false">IF($C2968="","",$D2968*IFERROR(INDEX('تحليل التكلفة والسعر'!$C$2:$C$700,MATCH($C2968,'تحليل التكلفة والسعر'!$B$2:$B$700,0)),0))</f>
        <v/>
      </c>
    </row>
    <row r="2969" customFormat="false" ht="15" hidden="false" customHeight="false" outlineLevel="0" collapsed="false">
      <c r="A2969" s="102"/>
      <c r="E2969" s="103" t="str">
        <f aca="false">IF($C2969="","",IFERROR(INDEX(المنيو!$C$2:$C$500,MATCH($C2969,المنيو!$B$2:$B$500,0)),0))</f>
        <v/>
      </c>
      <c r="F2969" s="103" t="str">
        <f aca="false">IF($C2969="","",$D2969*$E2969)</f>
        <v/>
      </c>
      <c r="G2969" s="103" t="str">
        <f aca="false">IF($C2969="","",$D2969*IFERROR(INDEX('تحليل التكلفة والسعر'!$C$2:$C$700,MATCH($C2969,'تحليل التكلفة والسعر'!$B$2:$B$700,0)),0))</f>
        <v/>
      </c>
    </row>
    <row r="2970" customFormat="false" ht="15" hidden="false" customHeight="false" outlineLevel="0" collapsed="false">
      <c r="A2970" s="102"/>
      <c r="E2970" s="103" t="str">
        <f aca="false">IF($C2970="","",IFERROR(INDEX(المنيو!$C$2:$C$500,MATCH($C2970,المنيو!$B$2:$B$500,0)),0))</f>
        <v/>
      </c>
      <c r="F2970" s="103" t="str">
        <f aca="false">IF($C2970="","",$D2970*$E2970)</f>
        <v/>
      </c>
      <c r="G2970" s="103" t="str">
        <f aca="false">IF($C2970="","",$D2970*IFERROR(INDEX('تحليل التكلفة والسعر'!$C$2:$C$700,MATCH($C2970,'تحليل التكلفة والسعر'!$B$2:$B$700,0)),0))</f>
        <v/>
      </c>
    </row>
    <row r="2971" customFormat="false" ht="15" hidden="false" customHeight="false" outlineLevel="0" collapsed="false">
      <c r="A2971" s="102"/>
      <c r="E2971" s="103" t="str">
        <f aca="false">IF($C2971="","",IFERROR(INDEX(المنيو!$C$2:$C$500,MATCH($C2971,المنيو!$B$2:$B$500,0)),0))</f>
        <v/>
      </c>
      <c r="F2971" s="103" t="str">
        <f aca="false">IF($C2971="","",$D2971*$E2971)</f>
        <v/>
      </c>
      <c r="G2971" s="103" t="str">
        <f aca="false">IF($C2971="","",$D2971*IFERROR(INDEX('تحليل التكلفة والسعر'!$C$2:$C$700,MATCH($C2971,'تحليل التكلفة والسعر'!$B$2:$B$700,0)),0))</f>
        <v/>
      </c>
    </row>
    <row r="2972" customFormat="false" ht="15" hidden="false" customHeight="false" outlineLevel="0" collapsed="false">
      <c r="A2972" s="102"/>
      <c r="E2972" s="103" t="str">
        <f aca="false">IF($C2972="","",IFERROR(INDEX(المنيو!$C$2:$C$500,MATCH($C2972,المنيو!$B$2:$B$500,0)),0))</f>
        <v/>
      </c>
      <c r="F2972" s="103" t="str">
        <f aca="false">IF($C2972="","",$D2972*$E2972)</f>
        <v/>
      </c>
      <c r="G2972" s="103" t="str">
        <f aca="false">IF($C2972="","",$D2972*IFERROR(INDEX('تحليل التكلفة والسعر'!$C$2:$C$700,MATCH($C2972,'تحليل التكلفة والسعر'!$B$2:$B$700,0)),0))</f>
        <v/>
      </c>
    </row>
    <row r="2973" customFormat="false" ht="15" hidden="false" customHeight="false" outlineLevel="0" collapsed="false">
      <c r="A2973" s="102"/>
      <c r="E2973" s="103" t="str">
        <f aca="false">IF($C2973="","",IFERROR(INDEX(المنيو!$C$2:$C$500,MATCH($C2973,المنيو!$B$2:$B$500,0)),0))</f>
        <v/>
      </c>
      <c r="F2973" s="103" t="str">
        <f aca="false">IF($C2973="","",$D2973*$E2973)</f>
        <v/>
      </c>
      <c r="G2973" s="103" t="str">
        <f aca="false">IF($C2973="","",$D2973*IFERROR(INDEX('تحليل التكلفة والسعر'!$C$2:$C$700,MATCH($C2973,'تحليل التكلفة والسعر'!$B$2:$B$700,0)),0))</f>
        <v/>
      </c>
    </row>
    <row r="2974" customFormat="false" ht="15" hidden="false" customHeight="false" outlineLevel="0" collapsed="false">
      <c r="A2974" s="102"/>
      <c r="E2974" s="103" t="str">
        <f aca="false">IF($C2974="","",IFERROR(INDEX(المنيو!$C$2:$C$500,MATCH($C2974,المنيو!$B$2:$B$500,0)),0))</f>
        <v/>
      </c>
      <c r="F2974" s="103" t="str">
        <f aca="false">IF($C2974="","",$D2974*$E2974)</f>
        <v/>
      </c>
      <c r="G2974" s="103" t="str">
        <f aca="false">IF($C2974="","",$D2974*IFERROR(INDEX('تحليل التكلفة والسعر'!$C$2:$C$700,MATCH($C2974,'تحليل التكلفة والسعر'!$B$2:$B$700,0)),0))</f>
        <v/>
      </c>
    </row>
    <row r="2975" customFormat="false" ht="15" hidden="false" customHeight="false" outlineLevel="0" collapsed="false">
      <c r="A2975" s="102"/>
      <c r="E2975" s="103" t="str">
        <f aca="false">IF($C2975="","",IFERROR(INDEX(المنيو!$C$2:$C$500,MATCH($C2975,المنيو!$B$2:$B$500,0)),0))</f>
        <v/>
      </c>
      <c r="F2975" s="103" t="str">
        <f aca="false">IF($C2975="","",$D2975*$E2975)</f>
        <v/>
      </c>
      <c r="G2975" s="103" t="str">
        <f aca="false">IF($C2975="","",$D2975*IFERROR(INDEX('تحليل التكلفة والسعر'!$C$2:$C$700,MATCH($C2975,'تحليل التكلفة والسعر'!$B$2:$B$700,0)),0))</f>
        <v/>
      </c>
    </row>
    <row r="2976" customFormat="false" ht="15" hidden="false" customHeight="false" outlineLevel="0" collapsed="false">
      <c r="A2976" s="102"/>
      <c r="E2976" s="103" t="str">
        <f aca="false">IF($C2976="","",IFERROR(INDEX(المنيو!$C$2:$C$500,MATCH($C2976,المنيو!$B$2:$B$500,0)),0))</f>
        <v/>
      </c>
      <c r="F2976" s="103" t="str">
        <f aca="false">IF($C2976="","",$D2976*$E2976)</f>
        <v/>
      </c>
      <c r="G2976" s="103" t="str">
        <f aca="false">IF($C2976="","",$D2976*IFERROR(INDEX('تحليل التكلفة والسعر'!$C$2:$C$700,MATCH($C2976,'تحليل التكلفة والسعر'!$B$2:$B$700,0)),0))</f>
        <v/>
      </c>
    </row>
    <row r="2977" customFormat="false" ht="15" hidden="false" customHeight="false" outlineLevel="0" collapsed="false">
      <c r="A2977" s="102"/>
      <c r="E2977" s="103" t="str">
        <f aca="false">IF($C2977="","",IFERROR(INDEX(المنيو!$C$2:$C$500,MATCH($C2977,المنيو!$B$2:$B$500,0)),0))</f>
        <v/>
      </c>
      <c r="F2977" s="103" t="str">
        <f aca="false">IF($C2977="","",$D2977*$E2977)</f>
        <v/>
      </c>
      <c r="G2977" s="103" t="str">
        <f aca="false">IF($C2977="","",$D2977*IFERROR(INDEX('تحليل التكلفة والسعر'!$C$2:$C$700,MATCH($C2977,'تحليل التكلفة والسعر'!$B$2:$B$700,0)),0))</f>
        <v/>
      </c>
    </row>
    <row r="2978" customFormat="false" ht="15" hidden="false" customHeight="false" outlineLevel="0" collapsed="false">
      <c r="A2978" s="102"/>
      <c r="E2978" s="103" t="str">
        <f aca="false">IF($C2978="","",IFERROR(INDEX(المنيو!$C$2:$C$500,MATCH($C2978,المنيو!$B$2:$B$500,0)),0))</f>
        <v/>
      </c>
      <c r="F2978" s="103" t="str">
        <f aca="false">IF($C2978="","",$D2978*$E2978)</f>
        <v/>
      </c>
      <c r="G2978" s="103" t="str">
        <f aca="false">IF($C2978="","",$D2978*IFERROR(INDEX('تحليل التكلفة والسعر'!$C$2:$C$700,MATCH($C2978,'تحليل التكلفة والسعر'!$B$2:$B$700,0)),0))</f>
        <v/>
      </c>
    </row>
    <row r="2979" customFormat="false" ht="15" hidden="false" customHeight="false" outlineLevel="0" collapsed="false">
      <c r="A2979" s="102"/>
      <c r="E2979" s="103" t="str">
        <f aca="false">IF($C2979="","",IFERROR(INDEX(المنيو!$C$2:$C$500,MATCH($C2979,المنيو!$B$2:$B$500,0)),0))</f>
        <v/>
      </c>
      <c r="F2979" s="103" t="str">
        <f aca="false">IF($C2979="","",$D2979*$E2979)</f>
        <v/>
      </c>
      <c r="G2979" s="103" t="str">
        <f aca="false">IF($C2979="","",$D2979*IFERROR(INDEX('تحليل التكلفة والسعر'!$C$2:$C$700,MATCH($C2979,'تحليل التكلفة والسعر'!$B$2:$B$700,0)),0))</f>
        <v/>
      </c>
    </row>
    <row r="2980" customFormat="false" ht="15" hidden="false" customHeight="false" outlineLevel="0" collapsed="false">
      <c r="A2980" s="102"/>
      <c r="E2980" s="103" t="str">
        <f aca="false">IF($C2980="","",IFERROR(INDEX(المنيو!$C$2:$C$500,MATCH($C2980,المنيو!$B$2:$B$500,0)),0))</f>
        <v/>
      </c>
      <c r="F2980" s="103" t="str">
        <f aca="false">IF($C2980="","",$D2980*$E2980)</f>
        <v/>
      </c>
      <c r="G2980" s="103" t="str">
        <f aca="false">IF($C2980="","",$D2980*IFERROR(INDEX('تحليل التكلفة والسعر'!$C$2:$C$700,MATCH($C2980,'تحليل التكلفة والسعر'!$B$2:$B$700,0)),0))</f>
        <v/>
      </c>
    </row>
    <row r="2981" customFormat="false" ht="15" hidden="false" customHeight="false" outlineLevel="0" collapsed="false">
      <c r="A2981" s="102"/>
      <c r="E2981" s="103" t="str">
        <f aca="false">IF($C2981="","",IFERROR(INDEX(المنيو!$C$2:$C$500,MATCH($C2981,المنيو!$B$2:$B$500,0)),0))</f>
        <v/>
      </c>
      <c r="F2981" s="103" t="str">
        <f aca="false">IF($C2981="","",$D2981*$E2981)</f>
        <v/>
      </c>
      <c r="G2981" s="103" t="str">
        <f aca="false">IF($C2981="","",$D2981*IFERROR(INDEX('تحليل التكلفة والسعر'!$C$2:$C$700,MATCH($C2981,'تحليل التكلفة والسعر'!$B$2:$B$700,0)),0))</f>
        <v/>
      </c>
    </row>
    <row r="2982" customFormat="false" ht="15" hidden="false" customHeight="false" outlineLevel="0" collapsed="false">
      <c r="A2982" s="102"/>
      <c r="E2982" s="103" t="str">
        <f aca="false">IF($C2982="","",IFERROR(INDEX(المنيو!$C$2:$C$500,MATCH($C2982,المنيو!$B$2:$B$500,0)),0))</f>
        <v/>
      </c>
      <c r="F2982" s="103" t="str">
        <f aca="false">IF($C2982="","",$D2982*$E2982)</f>
        <v/>
      </c>
      <c r="G2982" s="103" t="str">
        <f aca="false">IF($C2982="","",$D2982*IFERROR(INDEX('تحليل التكلفة والسعر'!$C$2:$C$700,MATCH($C2982,'تحليل التكلفة والسعر'!$B$2:$B$700,0)),0))</f>
        <v/>
      </c>
    </row>
    <row r="2983" customFormat="false" ht="15" hidden="false" customHeight="false" outlineLevel="0" collapsed="false">
      <c r="A2983" s="102"/>
      <c r="E2983" s="103" t="str">
        <f aca="false">IF($C2983="","",IFERROR(INDEX(المنيو!$C$2:$C$500,MATCH($C2983,المنيو!$B$2:$B$500,0)),0))</f>
        <v/>
      </c>
      <c r="F2983" s="103" t="str">
        <f aca="false">IF($C2983="","",$D2983*$E2983)</f>
        <v/>
      </c>
      <c r="G2983" s="103" t="str">
        <f aca="false">IF($C2983="","",$D2983*IFERROR(INDEX('تحليل التكلفة والسعر'!$C$2:$C$700,MATCH($C2983,'تحليل التكلفة والسعر'!$B$2:$B$700,0)),0))</f>
        <v/>
      </c>
    </row>
    <row r="2984" customFormat="false" ht="15" hidden="false" customHeight="false" outlineLevel="0" collapsed="false">
      <c r="A2984" s="102"/>
      <c r="E2984" s="103" t="str">
        <f aca="false">IF($C2984="","",IFERROR(INDEX(المنيو!$C$2:$C$500,MATCH($C2984,المنيو!$B$2:$B$500,0)),0))</f>
        <v/>
      </c>
      <c r="F2984" s="103" t="str">
        <f aca="false">IF($C2984="","",$D2984*$E2984)</f>
        <v/>
      </c>
      <c r="G2984" s="103" t="str">
        <f aca="false">IF($C2984="","",$D2984*IFERROR(INDEX('تحليل التكلفة والسعر'!$C$2:$C$700,MATCH($C2984,'تحليل التكلفة والسعر'!$B$2:$B$700,0)),0))</f>
        <v/>
      </c>
    </row>
    <row r="2985" customFormat="false" ht="15" hidden="false" customHeight="false" outlineLevel="0" collapsed="false">
      <c r="A2985" s="102"/>
      <c r="E2985" s="103" t="str">
        <f aca="false">IF($C2985="","",IFERROR(INDEX(المنيو!$C$2:$C$500,MATCH($C2985,المنيو!$B$2:$B$500,0)),0))</f>
        <v/>
      </c>
      <c r="F2985" s="103" t="str">
        <f aca="false">IF($C2985="","",$D2985*$E2985)</f>
        <v/>
      </c>
      <c r="G2985" s="103" t="str">
        <f aca="false">IF($C2985="","",$D2985*IFERROR(INDEX('تحليل التكلفة والسعر'!$C$2:$C$700,MATCH($C2985,'تحليل التكلفة والسعر'!$B$2:$B$700,0)),0))</f>
        <v/>
      </c>
    </row>
    <row r="2986" customFormat="false" ht="15" hidden="false" customHeight="false" outlineLevel="0" collapsed="false">
      <c r="A2986" s="102"/>
      <c r="E2986" s="103" t="str">
        <f aca="false">IF($C2986="","",IFERROR(INDEX(المنيو!$C$2:$C$500,MATCH($C2986,المنيو!$B$2:$B$500,0)),0))</f>
        <v/>
      </c>
      <c r="F2986" s="103" t="str">
        <f aca="false">IF($C2986="","",$D2986*$E2986)</f>
        <v/>
      </c>
      <c r="G2986" s="103" t="str">
        <f aca="false">IF($C2986="","",$D2986*IFERROR(INDEX('تحليل التكلفة والسعر'!$C$2:$C$700,MATCH($C2986,'تحليل التكلفة والسعر'!$B$2:$B$700,0)),0))</f>
        <v/>
      </c>
    </row>
    <row r="2987" customFormat="false" ht="15" hidden="false" customHeight="false" outlineLevel="0" collapsed="false">
      <c r="A2987" s="102"/>
      <c r="E2987" s="103" t="str">
        <f aca="false">IF($C2987="","",IFERROR(INDEX(المنيو!$C$2:$C$500,MATCH($C2987,المنيو!$B$2:$B$500,0)),0))</f>
        <v/>
      </c>
      <c r="F2987" s="103" t="str">
        <f aca="false">IF($C2987="","",$D2987*$E2987)</f>
        <v/>
      </c>
      <c r="G2987" s="103" t="str">
        <f aca="false">IF($C2987="","",$D2987*IFERROR(INDEX('تحليل التكلفة والسعر'!$C$2:$C$700,MATCH($C2987,'تحليل التكلفة والسعر'!$B$2:$B$700,0)),0))</f>
        <v/>
      </c>
    </row>
    <row r="2988" customFormat="false" ht="15" hidden="false" customHeight="false" outlineLevel="0" collapsed="false">
      <c r="A2988" s="102"/>
      <c r="E2988" s="103" t="str">
        <f aca="false">IF($C2988="","",IFERROR(INDEX(المنيو!$C$2:$C$500,MATCH($C2988,المنيو!$B$2:$B$500,0)),0))</f>
        <v/>
      </c>
      <c r="F2988" s="103" t="str">
        <f aca="false">IF($C2988="","",$D2988*$E2988)</f>
        <v/>
      </c>
      <c r="G2988" s="103" t="str">
        <f aca="false">IF($C2988="","",$D2988*IFERROR(INDEX('تحليل التكلفة والسعر'!$C$2:$C$700,MATCH($C2988,'تحليل التكلفة والسعر'!$B$2:$B$700,0)),0))</f>
        <v/>
      </c>
    </row>
    <row r="2989" customFormat="false" ht="15" hidden="false" customHeight="false" outlineLevel="0" collapsed="false">
      <c r="A2989" s="102"/>
      <c r="E2989" s="103" t="str">
        <f aca="false">IF($C2989="","",IFERROR(INDEX(المنيو!$C$2:$C$500,MATCH($C2989,المنيو!$B$2:$B$500,0)),0))</f>
        <v/>
      </c>
      <c r="F2989" s="103" t="str">
        <f aca="false">IF($C2989="","",$D2989*$E2989)</f>
        <v/>
      </c>
      <c r="G2989" s="103" t="str">
        <f aca="false">IF($C2989="","",$D2989*IFERROR(INDEX('تحليل التكلفة والسعر'!$C$2:$C$700,MATCH($C2989,'تحليل التكلفة والسعر'!$B$2:$B$700,0)),0))</f>
        <v/>
      </c>
    </row>
    <row r="2990" customFormat="false" ht="15" hidden="false" customHeight="false" outlineLevel="0" collapsed="false">
      <c r="A2990" s="102"/>
      <c r="E2990" s="103" t="str">
        <f aca="false">IF($C2990="","",IFERROR(INDEX(المنيو!$C$2:$C$500,MATCH($C2990,المنيو!$B$2:$B$500,0)),0))</f>
        <v/>
      </c>
      <c r="F2990" s="103" t="str">
        <f aca="false">IF($C2990="","",$D2990*$E2990)</f>
        <v/>
      </c>
      <c r="G2990" s="103" t="str">
        <f aca="false">IF($C2990="","",$D2990*IFERROR(INDEX('تحليل التكلفة والسعر'!$C$2:$C$700,MATCH($C2990,'تحليل التكلفة والسعر'!$B$2:$B$700,0)),0))</f>
        <v/>
      </c>
    </row>
    <row r="2991" customFormat="false" ht="15" hidden="false" customHeight="false" outlineLevel="0" collapsed="false">
      <c r="A2991" s="102"/>
      <c r="E2991" s="103" t="str">
        <f aca="false">IF($C2991="","",IFERROR(INDEX(المنيو!$C$2:$C$500,MATCH($C2991,المنيو!$B$2:$B$500,0)),0))</f>
        <v/>
      </c>
      <c r="F2991" s="103" t="str">
        <f aca="false">IF($C2991="","",$D2991*$E2991)</f>
        <v/>
      </c>
      <c r="G2991" s="103" t="str">
        <f aca="false">IF($C2991="","",$D2991*IFERROR(INDEX('تحليل التكلفة والسعر'!$C$2:$C$700,MATCH($C2991,'تحليل التكلفة والسعر'!$B$2:$B$700,0)),0))</f>
        <v/>
      </c>
    </row>
    <row r="2992" customFormat="false" ht="15" hidden="false" customHeight="false" outlineLevel="0" collapsed="false">
      <c r="A2992" s="102"/>
      <c r="E2992" s="103" t="str">
        <f aca="false">IF($C2992="","",IFERROR(INDEX(المنيو!$C$2:$C$500,MATCH($C2992,المنيو!$B$2:$B$500,0)),0))</f>
        <v/>
      </c>
      <c r="F2992" s="103" t="str">
        <f aca="false">IF($C2992="","",$D2992*$E2992)</f>
        <v/>
      </c>
      <c r="G2992" s="103" t="str">
        <f aca="false">IF($C2992="","",$D2992*IFERROR(INDEX('تحليل التكلفة والسعر'!$C$2:$C$700,MATCH($C2992,'تحليل التكلفة والسعر'!$B$2:$B$700,0)),0))</f>
        <v/>
      </c>
    </row>
    <row r="2993" customFormat="false" ht="15" hidden="false" customHeight="false" outlineLevel="0" collapsed="false">
      <c r="A2993" s="102"/>
      <c r="E2993" s="103" t="str">
        <f aca="false">IF($C2993="","",IFERROR(INDEX(المنيو!$C$2:$C$500,MATCH($C2993,المنيو!$B$2:$B$500,0)),0))</f>
        <v/>
      </c>
      <c r="F2993" s="103" t="str">
        <f aca="false">IF($C2993="","",$D2993*$E2993)</f>
        <v/>
      </c>
      <c r="G2993" s="103" t="str">
        <f aca="false">IF($C2993="","",$D2993*IFERROR(INDEX('تحليل التكلفة والسعر'!$C$2:$C$700,MATCH($C2993,'تحليل التكلفة والسعر'!$B$2:$B$700,0)),0))</f>
        <v/>
      </c>
    </row>
    <row r="2994" customFormat="false" ht="15" hidden="false" customHeight="false" outlineLevel="0" collapsed="false">
      <c r="A2994" s="102"/>
      <c r="E2994" s="103" t="str">
        <f aca="false">IF($C2994="","",IFERROR(INDEX(المنيو!$C$2:$C$500,MATCH($C2994,المنيو!$B$2:$B$500,0)),0))</f>
        <v/>
      </c>
      <c r="F2994" s="103" t="str">
        <f aca="false">IF($C2994="","",$D2994*$E2994)</f>
        <v/>
      </c>
      <c r="G2994" s="103" t="str">
        <f aca="false">IF($C2994="","",$D2994*IFERROR(INDEX('تحليل التكلفة والسعر'!$C$2:$C$700,MATCH($C2994,'تحليل التكلفة والسعر'!$B$2:$B$700,0)),0))</f>
        <v/>
      </c>
    </row>
    <row r="2995" customFormat="false" ht="15" hidden="false" customHeight="false" outlineLevel="0" collapsed="false">
      <c r="A2995" s="102"/>
      <c r="E2995" s="103" t="str">
        <f aca="false">IF($C2995="","",IFERROR(INDEX(المنيو!$C$2:$C$500,MATCH($C2995,المنيو!$B$2:$B$500,0)),0))</f>
        <v/>
      </c>
      <c r="F2995" s="103" t="str">
        <f aca="false">IF($C2995="","",$D2995*$E2995)</f>
        <v/>
      </c>
      <c r="G2995" s="103" t="str">
        <f aca="false">IF($C2995="","",$D2995*IFERROR(INDEX('تحليل التكلفة والسعر'!$C$2:$C$700,MATCH($C2995,'تحليل التكلفة والسعر'!$B$2:$B$700,0)),0))</f>
        <v/>
      </c>
    </row>
    <row r="2996" customFormat="false" ht="15" hidden="false" customHeight="false" outlineLevel="0" collapsed="false">
      <c r="A2996" s="102"/>
      <c r="E2996" s="103" t="str">
        <f aca="false">IF($C2996="","",IFERROR(INDEX(المنيو!$C$2:$C$500,MATCH($C2996,المنيو!$B$2:$B$500,0)),0))</f>
        <v/>
      </c>
      <c r="F2996" s="103" t="str">
        <f aca="false">IF($C2996="","",$D2996*$E2996)</f>
        <v/>
      </c>
      <c r="G2996" s="103" t="str">
        <f aca="false">IF($C2996="","",$D2996*IFERROR(INDEX('تحليل التكلفة والسعر'!$C$2:$C$700,MATCH($C2996,'تحليل التكلفة والسعر'!$B$2:$B$700,0)),0))</f>
        <v/>
      </c>
    </row>
    <row r="2997" customFormat="false" ht="15" hidden="false" customHeight="false" outlineLevel="0" collapsed="false">
      <c r="A2997" s="102"/>
      <c r="E2997" s="103" t="str">
        <f aca="false">IF($C2997="","",IFERROR(INDEX(المنيو!$C$2:$C$500,MATCH($C2997,المنيو!$B$2:$B$500,0)),0))</f>
        <v/>
      </c>
      <c r="F2997" s="103" t="str">
        <f aca="false">IF($C2997="","",$D2997*$E2997)</f>
        <v/>
      </c>
      <c r="G2997" s="103" t="str">
        <f aca="false">IF($C2997="","",$D2997*IFERROR(INDEX('تحليل التكلفة والسعر'!$C$2:$C$700,MATCH($C2997,'تحليل التكلفة والسعر'!$B$2:$B$700,0)),0))</f>
        <v/>
      </c>
    </row>
    <row r="2998" customFormat="false" ht="15" hidden="false" customHeight="false" outlineLevel="0" collapsed="false">
      <c r="A2998" s="102"/>
      <c r="E2998" s="103" t="str">
        <f aca="false">IF($C2998="","",IFERROR(INDEX(المنيو!$C$2:$C$500,MATCH($C2998,المنيو!$B$2:$B$500,0)),0))</f>
        <v/>
      </c>
      <c r="F2998" s="103" t="str">
        <f aca="false">IF($C2998="","",$D2998*$E2998)</f>
        <v/>
      </c>
      <c r="G2998" s="103" t="str">
        <f aca="false">IF($C2998="","",$D2998*IFERROR(INDEX('تحليل التكلفة والسعر'!$C$2:$C$700,MATCH($C2998,'تحليل التكلفة والسعر'!$B$2:$B$700,0)),0))</f>
        <v/>
      </c>
    </row>
    <row r="2999" customFormat="false" ht="15" hidden="false" customHeight="false" outlineLevel="0" collapsed="false">
      <c r="A2999" s="102"/>
      <c r="E2999" s="103" t="str">
        <f aca="false">IF($C2999="","",IFERROR(INDEX(المنيو!$C$2:$C$500,MATCH($C2999,المنيو!$B$2:$B$500,0)),0))</f>
        <v/>
      </c>
      <c r="F2999" s="103" t="str">
        <f aca="false">IF($C2999="","",$D2999*$E2999)</f>
        <v/>
      </c>
      <c r="G2999" s="103" t="str">
        <f aca="false">IF($C2999="","",$D2999*IFERROR(INDEX('تحليل التكلفة والسعر'!$C$2:$C$700,MATCH($C2999,'تحليل التكلفة والسعر'!$B$2:$B$700,0)),0))</f>
        <v/>
      </c>
    </row>
    <row r="3000" customFormat="false" ht="15" hidden="false" customHeight="false" outlineLevel="0" collapsed="false">
      <c r="A3000" s="102"/>
      <c r="E3000" s="103" t="str">
        <f aca="false">IF($C3000="","",IFERROR(INDEX(المنيو!$C$2:$C$500,MATCH($C3000,المنيو!$B$2:$B$500,0)),0))</f>
        <v/>
      </c>
      <c r="F3000" s="103" t="str">
        <f aca="false">IF($C3000="","",$D3000*$E3000)</f>
        <v/>
      </c>
      <c r="G3000" s="103" t="str">
        <f aca="false">IF($C3000="","",$D3000*IFERROR(INDEX('تحليل التكلفة والسعر'!$C$2:$C$700,MATCH($C3000,'تحليل التكلفة والسعر'!$B$2:$B$700,0)),0))</f>
        <v/>
      </c>
    </row>
    <row r="3001" customFormat="false" ht="15" hidden="false" customHeight="false" outlineLevel="0" collapsed="false">
      <c r="A3001" s="102"/>
      <c r="E3001" s="103" t="str">
        <f aca="false">IF($C3001="","",IFERROR(INDEX(المنيو!$C$2:$C$500,MATCH($C3001,المنيو!$B$2:$B$500,0)),0))</f>
        <v/>
      </c>
      <c r="F3001" s="103" t="str">
        <f aca="false">IF($C3001="","",$D3001*$E3001)</f>
        <v/>
      </c>
      <c r="G3001" s="103" t="str">
        <f aca="false">IF($C3001="","",$D3001*IFERROR(INDEX('تحليل التكلفة والسعر'!$C$2:$C$700,MATCH($C3001,'تحليل التكلفة والسعر'!$B$2:$B$700,0)),0))</f>
        <v/>
      </c>
    </row>
    <row r="3002" customFormat="false" ht="15" hidden="false" customHeight="false" outlineLevel="0" collapsed="false">
      <c r="A3002" s="102"/>
      <c r="E3002" s="103" t="str">
        <f aca="false">IF($C3002="","",IFERROR(INDEX(المنيو!$C$2:$C$500,MATCH($C3002,المنيو!$B$2:$B$500,0)),0))</f>
        <v/>
      </c>
      <c r="F3002" s="103" t="str">
        <f aca="false">IF($C3002="","",$D3002*$E3002)</f>
        <v/>
      </c>
      <c r="G3002" s="103" t="str">
        <f aca="false">IF($C3002="","",$D3002*IFERROR(INDEX('تحليل التكلفة والسعر'!$C$2:$C$700,MATCH($C3002,'تحليل التكلفة والسعر'!$B$2:$B$700,0)),0))</f>
        <v/>
      </c>
    </row>
    <row r="3003" customFormat="false" ht="15" hidden="false" customHeight="false" outlineLevel="0" collapsed="false">
      <c r="A3003" s="102"/>
      <c r="E3003" s="103" t="str">
        <f aca="false">IF($C3003="","",IFERROR(INDEX(المنيو!$C$2:$C$500,MATCH($C3003,المنيو!$B$2:$B$500,0)),0))</f>
        <v/>
      </c>
      <c r="F3003" s="103" t="str">
        <f aca="false">IF($C3003="","",$D3003*$E3003)</f>
        <v/>
      </c>
      <c r="G3003" s="103" t="str">
        <f aca="false">IF($C3003="","",$D3003*IFERROR(INDEX('تحليل التكلفة والسعر'!$C$2:$C$700,MATCH($C3003,'تحليل التكلفة والسعر'!$B$2:$B$700,0)),0))</f>
        <v/>
      </c>
    </row>
    <row r="3004" customFormat="false" ht="15" hidden="false" customHeight="false" outlineLevel="0" collapsed="false">
      <c r="A3004" s="102"/>
      <c r="E3004" s="103" t="str">
        <f aca="false">IF($C3004="","",IFERROR(INDEX(المنيو!$C$2:$C$500,MATCH($C3004,المنيو!$B$2:$B$500,0)),0))</f>
        <v/>
      </c>
      <c r="F3004" s="103" t="str">
        <f aca="false">IF($C3004="","",$D3004*$E3004)</f>
        <v/>
      </c>
      <c r="G3004" s="103" t="str">
        <f aca="false">IF($C3004="","",$D3004*IFERROR(INDEX('تحليل التكلفة والسعر'!$C$2:$C$700,MATCH($C3004,'تحليل التكلفة والسعر'!$B$2:$B$700,0)),0))</f>
        <v/>
      </c>
    </row>
    <row r="3005" customFormat="false" ht="15" hidden="false" customHeight="false" outlineLevel="0" collapsed="false">
      <c r="A3005" s="102"/>
      <c r="E3005" s="103" t="str">
        <f aca="false">IF($C3005="","",IFERROR(INDEX(المنيو!$C$2:$C$500,MATCH($C3005,المنيو!$B$2:$B$500,0)),0))</f>
        <v/>
      </c>
      <c r="F3005" s="103" t="str">
        <f aca="false">IF($C3005="","",$D3005*$E3005)</f>
        <v/>
      </c>
      <c r="G3005" s="103" t="str">
        <f aca="false">IF($C3005="","",$D3005*IFERROR(INDEX('تحليل التكلفة والسعر'!$C$2:$C$700,MATCH($C3005,'تحليل التكلفة والسعر'!$B$2:$B$700,0)),0))</f>
        <v/>
      </c>
    </row>
    <row r="3006" customFormat="false" ht="15" hidden="false" customHeight="false" outlineLevel="0" collapsed="false">
      <c r="A3006" s="102"/>
      <c r="E3006" s="103" t="str">
        <f aca="false">IF($C3006="","",IFERROR(INDEX(المنيو!$C$2:$C$500,MATCH($C3006,المنيو!$B$2:$B$500,0)),0))</f>
        <v/>
      </c>
      <c r="F3006" s="103" t="str">
        <f aca="false">IF($C3006="","",$D3006*$E3006)</f>
        <v/>
      </c>
      <c r="G3006" s="103" t="str">
        <f aca="false">IF($C3006="","",$D3006*IFERROR(INDEX('تحليل التكلفة والسعر'!$C$2:$C$700,MATCH($C3006,'تحليل التكلفة والسعر'!$B$2:$B$700,0)),0))</f>
        <v/>
      </c>
    </row>
    <row r="3007" customFormat="false" ht="15" hidden="false" customHeight="false" outlineLevel="0" collapsed="false">
      <c r="A3007" s="102"/>
      <c r="E3007" s="103" t="str">
        <f aca="false">IF($C3007="","",IFERROR(INDEX(المنيو!$C$2:$C$500,MATCH($C3007,المنيو!$B$2:$B$500,0)),0))</f>
        <v/>
      </c>
      <c r="F3007" s="103" t="str">
        <f aca="false">IF($C3007="","",$D3007*$E3007)</f>
        <v/>
      </c>
      <c r="G3007" s="103" t="str">
        <f aca="false">IF($C3007="","",$D3007*IFERROR(INDEX('تحليل التكلفة والسعر'!$C$2:$C$700,MATCH($C3007,'تحليل التكلفة والسعر'!$B$2:$B$700,0)),0))</f>
        <v/>
      </c>
    </row>
    <row r="3008" customFormat="false" ht="15" hidden="false" customHeight="false" outlineLevel="0" collapsed="false">
      <c r="A3008" s="102"/>
      <c r="E3008" s="103" t="str">
        <f aca="false">IF($C3008="","",IFERROR(INDEX(المنيو!$C$2:$C$500,MATCH($C3008,المنيو!$B$2:$B$500,0)),0))</f>
        <v/>
      </c>
      <c r="F3008" s="103" t="str">
        <f aca="false">IF($C3008="","",$D3008*$E3008)</f>
        <v/>
      </c>
      <c r="G3008" s="103" t="str">
        <f aca="false">IF($C3008="","",$D3008*IFERROR(INDEX('تحليل التكلفة والسعر'!$C$2:$C$700,MATCH($C3008,'تحليل التكلفة والسعر'!$B$2:$B$700,0)),0))</f>
        <v/>
      </c>
    </row>
    <row r="3009" customFormat="false" ht="15" hidden="false" customHeight="false" outlineLevel="0" collapsed="false">
      <c r="A3009" s="102"/>
      <c r="E3009" s="103" t="str">
        <f aca="false">IF($C3009="","",IFERROR(INDEX(المنيو!$C$2:$C$500,MATCH($C3009,المنيو!$B$2:$B$500,0)),0))</f>
        <v/>
      </c>
      <c r="F3009" s="103" t="str">
        <f aca="false">IF($C3009="","",$D3009*$E3009)</f>
        <v/>
      </c>
      <c r="G3009" s="103" t="str">
        <f aca="false">IF($C3009="","",$D3009*IFERROR(INDEX('تحليل التكلفة والسعر'!$C$2:$C$700,MATCH($C3009,'تحليل التكلفة والسعر'!$B$2:$B$700,0)),0))</f>
        <v/>
      </c>
    </row>
    <row r="3010" customFormat="false" ht="15" hidden="false" customHeight="false" outlineLevel="0" collapsed="false">
      <c r="A3010" s="102"/>
      <c r="E3010" s="103" t="str">
        <f aca="false">IF($C3010="","",IFERROR(INDEX(المنيو!$C$2:$C$500,MATCH($C3010,المنيو!$B$2:$B$500,0)),0))</f>
        <v/>
      </c>
      <c r="F3010" s="103" t="str">
        <f aca="false">IF($C3010="","",$D3010*$E3010)</f>
        <v/>
      </c>
      <c r="G3010" s="103" t="str">
        <f aca="false">IF($C3010="","",$D3010*IFERROR(INDEX('تحليل التكلفة والسعر'!$C$2:$C$700,MATCH($C3010,'تحليل التكلفة والسعر'!$B$2:$B$700,0)),0))</f>
        <v/>
      </c>
    </row>
    <row r="3011" customFormat="false" ht="15" hidden="false" customHeight="false" outlineLevel="0" collapsed="false">
      <c r="A3011" s="102"/>
      <c r="E3011" s="103" t="str">
        <f aca="false">IF($C3011="","",IFERROR(INDEX(المنيو!$C$2:$C$500,MATCH($C3011,المنيو!$B$2:$B$500,0)),0))</f>
        <v/>
      </c>
      <c r="F3011" s="103" t="str">
        <f aca="false">IF($C3011="","",$D3011*$E3011)</f>
        <v/>
      </c>
      <c r="G3011" s="103" t="str">
        <f aca="false">IF($C3011="","",$D3011*IFERROR(INDEX('تحليل التكلفة والسعر'!$C$2:$C$700,MATCH($C3011,'تحليل التكلفة والسعر'!$B$2:$B$700,0)),0))</f>
        <v/>
      </c>
    </row>
    <row r="3012" customFormat="false" ht="15" hidden="false" customHeight="false" outlineLevel="0" collapsed="false">
      <c r="A3012" s="102"/>
      <c r="E3012" s="103" t="str">
        <f aca="false">IF($C3012="","",IFERROR(INDEX(المنيو!$C$2:$C$500,MATCH($C3012,المنيو!$B$2:$B$500,0)),0))</f>
        <v/>
      </c>
      <c r="F3012" s="103" t="str">
        <f aca="false">IF($C3012="","",$D3012*$E3012)</f>
        <v/>
      </c>
      <c r="G3012" s="103" t="str">
        <f aca="false">IF($C3012="","",$D3012*IFERROR(INDEX('تحليل التكلفة والسعر'!$C$2:$C$700,MATCH($C3012,'تحليل التكلفة والسعر'!$B$2:$B$700,0)),0))</f>
        <v/>
      </c>
    </row>
    <row r="3013" customFormat="false" ht="15" hidden="false" customHeight="false" outlineLevel="0" collapsed="false">
      <c r="A3013" s="102"/>
      <c r="E3013" s="103" t="str">
        <f aca="false">IF($C3013="","",IFERROR(INDEX(المنيو!$C$2:$C$500,MATCH($C3013,المنيو!$B$2:$B$500,0)),0))</f>
        <v/>
      </c>
      <c r="F3013" s="103" t="str">
        <f aca="false">IF($C3013="","",$D3013*$E3013)</f>
        <v/>
      </c>
      <c r="G3013" s="103" t="str">
        <f aca="false">IF($C3013="","",$D3013*IFERROR(INDEX('تحليل التكلفة والسعر'!$C$2:$C$700,MATCH($C3013,'تحليل التكلفة والسعر'!$B$2:$B$700,0)),0))</f>
        <v/>
      </c>
    </row>
    <row r="3014" customFormat="false" ht="15" hidden="false" customHeight="false" outlineLevel="0" collapsed="false">
      <c r="A3014" s="102"/>
      <c r="E3014" s="103" t="str">
        <f aca="false">IF($C3014="","",IFERROR(INDEX(المنيو!$C$2:$C$500,MATCH($C3014,المنيو!$B$2:$B$500,0)),0))</f>
        <v/>
      </c>
      <c r="F3014" s="103" t="str">
        <f aca="false">IF($C3014="","",$D3014*$E3014)</f>
        <v/>
      </c>
      <c r="G3014" s="103" t="str">
        <f aca="false">IF($C3014="","",$D3014*IFERROR(INDEX('تحليل التكلفة والسعر'!$C$2:$C$700,MATCH($C3014,'تحليل التكلفة والسعر'!$B$2:$B$700,0)),0))</f>
        <v/>
      </c>
    </row>
    <row r="3015" customFormat="false" ht="15" hidden="false" customHeight="false" outlineLevel="0" collapsed="false">
      <c r="A3015" s="102"/>
      <c r="E3015" s="103" t="str">
        <f aca="false">IF($C3015="","",IFERROR(INDEX(المنيو!$C$2:$C$500,MATCH($C3015,المنيو!$B$2:$B$500,0)),0))</f>
        <v/>
      </c>
      <c r="F3015" s="103" t="str">
        <f aca="false">IF($C3015="","",$D3015*$E3015)</f>
        <v/>
      </c>
      <c r="G3015" s="103" t="str">
        <f aca="false">IF($C3015="","",$D3015*IFERROR(INDEX('تحليل التكلفة والسعر'!$C$2:$C$700,MATCH($C3015,'تحليل التكلفة والسعر'!$B$2:$B$700,0)),0))</f>
        <v/>
      </c>
    </row>
    <row r="3016" customFormat="false" ht="15" hidden="false" customHeight="false" outlineLevel="0" collapsed="false">
      <c r="A3016" s="102"/>
      <c r="E3016" s="103" t="str">
        <f aca="false">IF($C3016="","",IFERROR(INDEX(المنيو!$C$2:$C$500,MATCH($C3016,المنيو!$B$2:$B$500,0)),0))</f>
        <v/>
      </c>
      <c r="F3016" s="103" t="str">
        <f aca="false">IF($C3016="","",$D3016*$E3016)</f>
        <v/>
      </c>
      <c r="G3016" s="103" t="str">
        <f aca="false">IF($C3016="","",$D3016*IFERROR(INDEX('تحليل التكلفة والسعر'!$C$2:$C$700,MATCH($C3016,'تحليل التكلفة والسعر'!$B$2:$B$700,0)),0))</f>
        <v/>
      </c>
    </row>
    <row r="3017" customFormat="false" ht="15" hidden="false" customHeight="false" outlineLevel="0" collapsed="false">
      <c r="A3017" s="102"/>
      <c r="E3017" s="103" t="str">
        <f aca="false">IF($C3017="","",IFERROR(INDEX(المنيو!$C$2:$C$500,MATCH($C3017,المنيو!$B$2:$B$500,0)),0))</f>
        <v/>
      </c>
      <c r="F3017" s="103" t="str">
        <f aca="false">IF($C3017="","",$D3017*$E3017)</f>
        <v/>
      </c>
      <c r="G3017" s="103" t="str">
        <f aca="false">IF($C3017="","",$D3017*IFERROR(INDEX('تحليل التكلفة والسعر'!$C$2:$C$700,MATCH($C3017,'تحليل التكلفة والسعر'!$B$2:$B$700,0)),0))</f>
        <v/>
      </c>
    </row>
    <row r="3018" customFormat="false" ht="15" hidden="false" customHeight="false" outlineLevel="0" collapsed="false">
      <c r="A3018" s="102"/>
      <c r="E3018" s="103" t="str">
        <f aca="false">IF($C3018="","",IFERROR(INDEX(المنيو!$C$2:$C$500,MATCH($C3018,المنيو!$B$2:$B$500,0)),0))</f>
        <v/>
      </c>
      <c r="F3018" s="103" t="str">
        <f aca="false">IF($C3018="","",$D3018*$E3018)</f>
        <v/>
      </c>
      <c r="G3018" s="103" t="str">
        <f aca="false">IF($C3018="","",$D3018*IFERROR(INDEX('تحليل التكلفة والسعر'!$C$2:$C$700,MATCH($C3018,'تحليل التكلفة والسعر'!$B$2:$B$700,0)),0))</f>
        <v/>
      </c>
    </row>
    <row r="3019" customFormat="false" ht="15" hidden="false" customHeight="false" outlineLevel="0" collapsed="false">
      <c r="A3019" s="102"/>
      <c r="E3019" s="103" t="str">
        <f aca="false">IF($C3019="","",IFERROR(INDEX(المنيو!$C$2:$C$500,MATCH($C3019,المنيو!$B$2:$B$500,0)),0))</f>
        <v/>
      </c>
      <c r="F3019" s="103" t="str">
        <f aca="false">IF($C3019="","",$D3019*$E3019)</f>
        <v/>
      </c>
      <c r="G3019" s="103" t="str">
        <f aca="false">IF($C3019="","",$D3019*IFERROR(INDEX('تحليل التكلفة والسعر'!$C$2:$C$700,MATCH($C3019,'تحليل التكلفة والسعر'!$B$2:$B$700,0)),0))</f>
        <v/>
      </c>
    </row>
    <row r="3020" customFormat="false" ht="15" hidden="false" customHeight="false" outlineLevel="0" collapsed="false">
      <c r="A3020" s="102"/>
      <c r="E3020" s="103" t="str">
        <f aca="false">IF($C3020="","",IFERROR(INDEX(المنيو!$C$2:$C$500,MATCH($C3020,المنيو!$B$2:$B$500,0)),0))</f>
        <v/>
      </c>
      <c r="F3020" s="103" t="str">
        <f aca="false">IF($C3020="","",$D3020*$E3020)</f>
        <v/>
      </c>
      <c r="G3020" s="103" t="str">
        <f aca="false">IF($C3020="","",$D3020*IFERROR(INDEX('تحليل التكلفة والسعر'!$C$2:$C$700,MATCH($C3020,'تحليل التكلفة والسعر'!$B$2:$B$700,0)),0))</f>
        <v/>
      </c>
    </row>
    <row r="3021" customFormat="false" ht="15" hidden="false" customHeight="false" outlineLevel="0" collapsed="false">
      <c r="A3021" s="102"/>
      <c r="E3021" s="103" t="str">
        <f aca="false">IF($C3021="","",IFERROR(INDEX(المنيو!$C$2:$C$500,MATCH($C3021,المنيو!$B$2:$B$500,0)),0))</f>
        <v/>
      </c>
      <c r="F3021" s="103" t="str">
        <f aca="false">IF($C3021="","",$D3021*$E3021)</f>
        <v/>
      </c>
      <c r="G3021" s="103" t="str">
        <f aca="false">IF($C3021="","",$D3021*IFERROR(INDEX('تحليل التكلفة والسعر'!$C$2:$C$700,MATCH($C3021,'تحليل التكلفة والسعر'!$B$2:$B$700,0)),0))</f>
        <v/>
      </c>
    </row>
    <row r="3022" customFormat="false" ht="15" hidden="false" customHeight="false" outlineLevel="0" collapsed="false">
      <c r="A3022" s="102"/>
      <c r="E3022" s="103" t="str">
        <f aca="false">IF($C3022="","",IFERROR(INDEX(المنيو!$C$2:$C$500,MATCH($C3022,المنيو!$B$2:$B$500,0)),0))</f>
        <v/>
      </c>
      <c r="F3022" s="103" t="str">
        <f aca="false">IF($C3022="","",$D3022*$E3022)</f>
        <v/>
      </c>
      <c r="G3022" s="103" t="str">
        <f aca="false">IF($C3022="","",$D3022*IFERROR(INDEX('تحليل التكلفة والسعر'!$C$2:$C$700,MATCH($C3022,'تحليل التكلفة والسعر'!$B$2:$B$700,0)),0))</f>
        <v/>
      </c>
    </row>
    <row r="3023" customFormat="false" ht="15" hidden="false" customHeight="false" outlineLevel="0" collapsed="false">
      <c r="A3023" s="102"/>
      <c r="E3023" s="103" t="str">
        <f aca="false">IF($C3023="","",IFERROR(INDEX(المنيو!$C$2:$C$500,MATCH($C3023,المنيو!$B$2:$B$500,0)),0))</f>
        <v/>
      </c>
      <c r="F3023" s="103" t="str">
        <f aca="false">IF($C3023="","",$D3023*$E3023)</f>
        <v/>
      </c>
      <c r="G3023" s="103" t="str">
        <f aca="false">IF($C3023="","",$D3023*IFERROR(INDEX('تحليل التكلفة والسعر'!$C$2:$C$700,MATCH($C3023,'تحليل التكلفة والسعر'!$B$2:$B$700,0)),0))</f>
        <v/>
      </c>
    </row>
    <row r="3024" customFormat="false" ht="15" hidden="false" customHeight="false" outlineLevel="0" collapsed="false">
      <c r="A3024" s="102"/>
      <c r="E3024" s="103" t="str">
        <f aca="false">IF($C3024="","",IFERROR(INDEX(المنيو!$C$2:$C$500,MATCH($C3024,المنيو!$B$2:$B$500,0)),0))</f>
        <v/>
      </c>
      <c r="F3024" s="103" t="str">
        <f aca="false">IF($C3024="","",$D3024*$E3024)</f>
        <v/>
      </c>
      <c r="G3024" s="103" t="str">
        <f aca="false">IF($C3024="","",$D3024*IFERROR(INDEX('تحليل التكلفة والسعر'!$C$2:$C$700,MATCH($C3024,'تحليل التكلفة والسعر'!$B$2:$B$700,0)),0))</f>
        <v/>
      </c>
    </row>
    <row r="3025" customFormat="false" ht="15" hidden="false" customHeight="false" outlineLevel="0" collapsed="false">
      <c r="A3025" s="102"/>
      <c r="E3025" s="103" t="str">
        <f aca="false">IF($C3025="","",IFERROR(INDEX(المنيو!$C$2:$C$500,MATCH($C3025,المنيو!$B$2:$B$500,0)),0))</f>
        <v/>
      </c>
      <c r="F3025" s="103" t="str">
        <f aca="false">IF($C3025="","",$D3025*$E3025)</f>
        <v/>
      </c>
      <c r="G3025" s="103" t="str">
        <f aca="false">IF($C3025="","",$D3025*IFERROR(INDEX('تحليل التكلفة والسعر'!$C$2:$C$700,MATCH($C3025,'تحليل التكلفة والسعر'!$B$2:$B$700,0)),0))</f>
        <v/>
      </c>
    </row>
    <row r="3026" customFormat="false" ht="15" hidden="false" customHeight="false" outlineLevel="0" collapsed="false">
      <c r="A3026" s="102"/>
      <c r="E3026" s="103" t="str">
        <f aca="false">IF($C3026="","",IFERROR(INDEX(المنيو!$C$2:$C$500,MATCH($C3026,المنيو!$B$2:$B$500,0)),0))</f>
        <v/>
      </c>
      <c r="F3026" s="103" t="str">
        <f aca="false">IF($C3026="","",$D3026*$E3026)</f>
        <v/>
      </c>
      <c r="G3026" s="103" t="str">
        <f aca="false">IF($C3026="","",$D3026*IFERROR(INDEX('تحليل التكلفة والسعر'!$C$2:$C$700,MATCH($C3026,'تحليل التكلفة والسعر'!$B$2:$B$700,0)),0))</f>
        <v/>
      </c>
    </row>
    <row r="3027" customFormat="false" ht="15" hidden="false" customHeight="false" outlineLevel="0" collapsed="false">
      <c r="A3027" s="102"/>
      <c r="E3027" s="103" t="str">
        <f aca="false">IF($C3027="","",IFERROR(INDEX(المنيو!$C$2:$C$500,MATCH($C3027,المنيو!$B$2:$B$500,0)),0))</f>
        <v/>
      </c>
      <c r="F3027" s="103" t="str">
        <f aca="false">IF($C3027="","",$D3027*$E3027)</f>
        <v/>
      </c>
      <c r="G3027" s="103" t="str">
        <f aca="false">IF($C3027="","",$D3027*IFERROR(INDEX('تحليل التكلفة والسعر'!$C$2:$C$700,MATCH($C3027,'تحليل التكلفة والسعر'!$B$2:$B$700,0)),0))</f>
        <v/>
      </c>
    </row>
    <row r="3028" customFormat="false" ht="15" hidden="false" customHeight="false" outlineLevel="0" collapsed="false">
      <c r="A3028" s="102"/>
      <c r="E3028" s="103" t="str">
        <f aca="false">IF($C3028="","",IFERROR(INDEX(المنيو!$C$2:$C$500,MATCH($C3028,المنيو!$B$2:$B$500,0)),0))</f>
        <v/>
      </c>
      <c r="F3028" s="103" t="str">
        <f aca="false">IF($C3028="","",$D3028*$E3028)</f>
        <v/>
      </c>
      <c r="G3028" s="103" t="str">
        <f aca="false">IF($C3028="","",$D3028*IFERROR(INDEX('تحليل التكلفة والسعر'!$C$2:$C$700,MATCH($C3028,'تحليل التكلفة والسعر'!$B$2:$B$700,0)),0))</f>
        <v/>
      </c>
    </row>
    <row r="3029" customFormat="false" ht="15" hidden="false" customHeight="false" outlineLevel="0" collapsed="false">
      <c r="A3029" s="102"/>
      <c r="E3029" s="103" t="str">
        <f aca="false">IF($C3029="","",IFERROR(INDEX(المنيو!$C$2:$C$500,MATCH($C3029,المنيو!$B$2:$B$500,0)),0))</f>
        <v/>
      </c>
      <c r="F3029" s="103" t="str">
        <f aca="false">IF($C3029="","",$D3029*$E3029)</f>
        <v/>
      </c>
      <c r="G3029" s="103" t="str">
        <f aca="false">IF($C3029="","",$D3029*IFERROR(INDEX('تحليل التكلفة والسعر'!$C$2:$C$700,MATCH($C3029,'تحليل التكلفة والسعر'!$B$2:$B$700,0)),0))</f>
        <v/>
      </c>
    </row>
    <row r="3030" customFormat="false" ht="15" hidden="false" customHeight="false" outlineLevel="0" collapsed="false">
      <c r="A3030" s="102"/>
      <c r="E3030" s="103" t="str">
        <f aca="false">IF($C3030="","",IFERROR(INDEX(المنيو!$C$2:$C$500,MATCH($C3030,المنيو!$B$2:$B$500,0)),0))</f>
        <v/>
      </c>
      <c r="F3030" s="103" t="str">
        <f aca="false">IF($C3030="","",$D3030*$E3030)</f>
        <v/>
      </c>
      <c r="G3030" s="103" t="str">
        <f aca="false">IF($C3030="","",$D3030*IFERROR(INDEX('تحليل التكلفة والسعر'!$C$2:$C$700,MATCH($C3030,'تحليل التكلفة والسعر'!$B$2:$B$700,0)),0))</f>
        <v/>
      </c>
    </row>
    <row r="3031" customFormat="false" ht="15" hidden="false" customHeight="false" outlineLevel="0" collapsed="false">
      <c r="A3031" s="102"/>
      <c r="E3031" s="103" t="str">
        <f aca="false">IF($C3031="","",IFERROR(INDEX(المنيو!$C$2:$C$500,MATCH($C3031,المنيو!$B$2:$B$500,0)),0))</f>
        <v/>
      </c>
      <c r="F3031" s="103" t="str">
        <f aca="false">IF($C3031="","",$D3031*$E3031)</f>
        <v/>
      </c>
      <c r="G3031" s="103" t="str">
        <f aca="false">IF($C3031="","",$D3031*IFERROR(INDEX('تحليل التكلفة والسعر'!$C$2:$C$700,MATCH($C3031,'تحليل التكلفة والسعر'!$B$2:$B$700,0)),0))</f>
        <v/>
      </c>
    </row>
    <row r="3032" customFormat="false" ht="15" hidden="false" customHeight="false" outlineLevel="0" collapsed="false">
      <c r="A3032" s="102"/>
      <c r="E3032" s="103" t="str">
        <f aca="false">IF($C3032="","",IFERROR(INDEX(المنيو!$C$2:$C$500,MATCH($C3032,المنيو!$B$2:$B$500,0)),0))</f>
        <v/>
      </c>
      <c r="F3032" s="103" t="str">
        <f aca="false">IF($C3032="","",$D3032*$E3032)</f>
        <v/>
      </c>
      <c r="G3032" s="103" t="str">
        <f aca="false">IF($C3032="","",$D3032*IFERROR(INDEX('تحليل التكلفة والسعر'!$C$2:$C$700,MATCH($C3032,'تحليل التكلفة والسعر'!$B$2:$B$700,0)),0))</f>
        <v/>
      </c>
    </row>
    <row r="3033" customFormat="false" ht="15" hidden="false" customHeight="false" outlineLevel="0" collapsed="false">
      <c r="A3033" s="102"/>
      <c r="E3033" s="103" t="str">
        <f aca="false">IF($C3033="","",IFERROR(INDEX(المنيو!$C$2:$C$500,MATCH($C3033,المنيو!$B$2:$B$500,0)),0))</f>
        <v/>
      </c>
      <c r="F3033" s="103" t="str">
        <f aca="false">IF($C3033="","",$D3033*$E3033)</f>
        <v/>
      </c>
      <c r="G3033" s="103" t="str">
        <f aca="false">IF($C3033="","",$D3033*IFERROR(INDEX('تحليل التكلفة والسعر'!$C$2:$C$700,MATCH($C3033,'تحليل التكلفة والسعر'!$B$2:$B$700,0)),0))</f>
        <v/>
      </c>
    </row>
    <row r="3034" customFormat="false" ht="15" hidden="false" customHeight="false" outlineLevel="0" collapsed="false">
      <c r="A3034" s="102"/>
      <c r="E3034" s="103" t="str">
        <f aca="false">IF($C3034="","",IFERROR(INDEX(المنيو!$C$2:$C$500,MATCH($C3034,المنيو!$B$2:$B$500,0)),0))</f>
        <v/>
      </c>
      <c r="F3034" s="103" t="str">
        <f aca="false">IF($C3034="","",$D3034*$E3034)</f>
        <v/>
      </c>
      <c r="G3034" s="103" t="str">
        <f aca="false">IF($C3034="","",$D3034*IFERROR(INDEX('تحليل التكلفة والسعر'!$C$2:$C$700,MATCH($C3034,'تحليل التكلفة والسعر'!$B$2:$B$700,0)),0))</f>
        <v/>
      </c>
    </row>
    <row r="3035" customFormat="false" ht="15" hidden="false" customHeight="false" outlineLevel="0" collapsed="false">
      <c r="A3035" s="102"/>
      <c r="E3035" s="103" t="str">
        <f aca="false">IF($C3035="","",IFERROR(INDEX(المنيو!$C$2:$C$500,MATCH($C3035,المنيو!$B$2:$B$500,0)),0))</f>
        <v/>
      </c>
      <c r="F3035" s="103" t="str">
        <f aca="false">IF($C3035="","",$D3035*$E3035)</f>
        <v/>
      </c>
      <c r="G3035" s="103" t="str">
        <f aca="false">IF($C3035="","",$D3035*IFERROR(INDEX('تحليل التكلفة والسعر'!$C$2:$C$700,MATCH($C3035,'تحليل التكلفة والسعر'!$B$2:$B$700,0)),0))</f>
        <v/>
      </c>
    </row>
    <row r="3036" customFormat="false" ht="15" hidden="false" customHeight="false" outlineLevel="0" collapsed="false">
      <c r="A3036" s="102"/>
      <c r="E3036" s="103" t="str">
        <f aca="false">IF($C3036="","",IFERROR(INDEX(المنيو!$C$2:$C$500,MATCH($C3036,المنيو!$B$2:$B$500,0)),0))</f>
        <v/>
      </c>
      <c r="F3036" s="103" t="str">
        <f aca="false">IF($C3036="","",$D3036*$E3036)</f>
        <v/>
      </c>
      <c r="G3036" s="103" t="str">
        <f aca="false">IF($C3036="","",$D3036*IFERROR(INDEX('تحليل التكلفة والسعر'!$C$2:$C$700,MATCH($C3036,'تحليل التكلفة والسعر'!$B$2:$B$700,0)),0))</f>
        <v/>
      </c>
    </row>
    <row r="3037" customFormat="false" ht="15" hidden="false" customHeight="false" outlineLevel="0" collapsed="false">
      <c r="A3037" s="102"/>
      <c r="E3037" s="103" t="str">
        <f aca="false">IF($C3037="","",IFERROR(INDEX(المنيو!$C$2:$C$500,MATCH($C3037,المنيو!$B$2:$B$500,0)),0))</f>
        <v/>
      </c>
      <c r="F3037" s="103" t="str">
        <f aca="false">IF($C3037="","",$D3037*$E3037)</f>
        <v/>
      </c>
      <c r="G3037" s="103" t="str">
        <f aca="false">IF($C3037="","",$D3037*IFERROR(INDEX('تحليل التكلفة والسعر'!$C$2:$C$700,MATCH($C3037,'تحليل التكلفة والسعر'!$B$2:$B$700,0)),0))</f>
        <v/>
      </c>
    </row>
    <row r="3038" customFormat="false" ht="15" hidden="false" customHeight="false" outlineLevel="0" collapsed="false">
      <c r="A3038" s="102"/>
      <c r="E3038" s="103" t="str">
        <f aca="false">IF($C3038="","",IFERROR(INDEX(المنيو!$C$2:$C$500,MATCH($C3038,المنيو!$B$2:$B$500,0)),0))</f>
        <v/>
      </c>
      <c r="F3038" s="103" t="str">
        <f aca="false">IF($C3038="","",$D3038*$E3038)</f>
        <v/>
      </c>
      <c r="G3038" s="103" t="str">
        <f aca="false">IF($C3038="","",$D3038*IFERROR(INDEX('تحليل التكلفة والسعر'!$C$2:$C$700,MATCH($C3038,'تحليل التكلفة والسعر'!$B$2:$B$700,0)),0))</f>
        <v/>
      </c>
    </row>
    <row r="3039" customFormat="false" ht="15" hidden="false" customHeight="false" outlineLevel="0" collapsed="false">
      <c r="A3039" s="102"/>
      <c r="E3039" s="103" t="str">
        <f aca="false">IF($C3039="","",IFERROR(INDEX(المنيو!$C$2:$C$500,MATCH($C3039,المنيو!$B$2:$B$500,0)),0))</f>
        <v/>
      </c>
      <c r="F3039" s="103" t="str">
        <f aca="false">IF($C3039="","",$D3039*$E3039)</f>
        <v/>
      </c>
      <c r="G3039" s="103" t="str">
        <f aca="false">IF($C3039="","",$D3039*IFERROR(INDEX('تحليل التكلفة والسعر'!$C$2:$C$700,MATCH($C3039,'تحليل التكلفة والسعر'!$B$2:$B$700,0)),0))</f>
        <v/>
      </c>
    </row>
    <row r="3040" customFormat="false" ht="15" hidden="false" customHeight="false" outlineLevel="0" collapsed="false">
      <c r="A3040" s="102"/>
      <c r="E3040" s="103" t="str">
        <f aca="false">IF($C3040="","",IFERROR(INDEX(المنيو!$C$2:$C$500,MATCH($C3040,المنيو!$B$2:$B$500,0)),0))</f>
        <v/>
      </c>
      <c r="F3040" s="103" t="str">
        <f aca="false">IF($C3040="","",$D3040*$E3040)</f>
        <v/>
      </c>
      <c r="G3040" s="103" t="str">
        <f aca="false">IF($C3040="","",$D3040*IFERROR(INDEX('تحليل التكلفة والسعر'!$C$2:$C$700,MATCH($C3040,'تحليل التكلفة والسعر'!$B$2:$B$700,0)),0))</f>
        <v/>
      </c>
    </row>
    <row r="3041" customFormat="false" ht="15" hidden="false" customHeight="false" outlineLevel="0" collapsed="false">
      <c r="A3041" s="102"/>
      <c r="E3041" s="103" t="str">
        <f aca="false">IF($C3041="","",IFERROR(INDEX(المنيو!$C$2:$C$500,MATCH($C3041,المنيو!$B$2:$B$500,0)),0))</f>
        <v/>
      </c>
      <c r="F3041" s="103" t="str">
        <f aca="false">IF($C3041="","",$D3041*$E3041)</f>
        <v/>
      </c>
      <c r="G3041" s="103" t="str">
        <f aca="false">IF($C3041="","",$D3041*IFERROR(INDEX('تحليل التكلفة والسعر'!$C$2:$C$700,MATCH($C3041,'تحليل التكلفة والسعر'!$B$2:$B$700,0)),0))</f>
        <v/>
      </c>
    </row>
    <row r="3042" customFormat="false" ht="15" hidden="false" customHeight="false" outlineLevel="0" collapsed="false">
      <c r="A3042" s="102"/>
      <c r="E3042" s="103" t="str">
        <f aca="false">IF($C3042="","",IFERROR(INDEX(المنيو!$C$2:$C$500,MATCH($C3042,المنيو!$B$2:$B$500,0)),0))</f>
        <v/>
      </c>
      <c r="F3042" s="103" t="str">
        <f aca="false">IF($C3042="","",$D3042*$E3042)</f>
        <v/>
      </c>
      <c r="G3042" s="103" t="str">
        <f aca="false">IF($C3042="","",$D3042*IFERROR(INDEX('تحليل التكلفة والسعر'!$C$2:$C$700,MATCH($C3042,'تحليل التكلفة والسعر'!$B$2:$B$700,0)),0))</f>
        <v/>
      </c>
    </row>
    <row r="3043" customFormat="false" ht="15" hidden="false" customHeight="false" outlineLevel="0" collapsed="false">
      <c r="A3043" s="102"/>
      <c r="E3043" s="103" t="str">
        <f aca="false">IF($C3043="","",IFERROR(INDEX(المنيو!$C$2:$C$500,MATCH($C3043,المنيو!$B$2:$B$500,0)),0))</f>
        <v/>
      </c>
      <c r="F3043" s="103" t="str">
        <f aca="false">IF($C3043="","",$D3043*$E3043)</f>
        <v/>
      </c>
      <c r="G3043" s="103" t="str">
        <f aca="false">IF($C3043="","",$D3043*IFERROR(INDEX('تحليل التكلفة والسعر'!$C$2:$C$700,MATCH($C3043,'تحليل التكلفة والسعر'!$B$2:$B$700,0)),0))</f>
        <v/>
      </c>
    </row>
    <row r="3044" customFormat="false" ht="15" hidden="false" customHeight="false" outlineLevel="0" collapsed="false">
      <c r="A3044" s="102"/>
      <c r="E3044" s="103" t="str">
        <f aca="false">IF($C3044="","",IFERROR(INDEX(المنيو!$C$2:$C$500,MATCH($C3044,المنيو!$B$2:$B$500,0)),0))</f>
        <v/>
      </c>
      <c r="F3044" s="103" t="str">
        <f aca="false">IF($C3044="","",$D3044*$E3044)</f>
        <v/>
      </c>
      <c r="G3044" s="103" t="str">
        <f aca="false">IF($C3044="","",$D3044*IFERROR(INDEX('تحليل التكلفة والسعر'!$C$2:$C$700,MATCH($C3044,'تحليل التكلفة والسعر'!$B$2:$B$700,0)),0))</f>
        <v/>
      </c>
    </row>
    <row r="3045" customFormat="false" ht="15" hidden="false" customHeight="false" outlineLevel="0" collapsed="false">
      <c r="A3045" s="102"/>
      <c r="E3045" s="103" t="str">
        <f aca="false">IF($C3045="","",IFERROR(INDEX(المنيو!$C$2:$C$500,MATCH($C3045,المنيو!$B$2:$B$500,0)),0))</f>
        <v/>
      </c>
      <c r="F3045" s="103" t="str">
        <f aca="false">IF($C3045="","",$D3045*$E3045)</f>
        <v/>
      </c>
      <c r="G3045" s="103" t="str">
        <f aca="false">IF($C3045="","",$D3045*IFERROR(INDEX('تحليل التكلفة والسعر'!$C$2:$C$700,MATCH($C3045,'تحليل التكلفة والسعر'!$B$2:$B$700,0)),0))</f>
        <v/>
      </c>
    </row>
    <row r="3046" customFormat="false" ht="15" hidden="false" customHeight="false" outlineLevel="0" collapsed="false">
      <c r="A3046" s="102"/>
      <c r="E3046" s="103" t="str">
        <f aca="false">IF($C3046="","",IFERROR(INDEX(المنيو!$C$2:$C$500,MATCH($C3046,المنيو!$B$2:$B$500,0)),0))</f>
        <v/>
      </c>
      <c r="F3046" s="103" t="str">
        <f aca="false">IF($C3046="","",$D3046*$E3046)</f>
        <v/>
      </c>
      <c r="G3046" s="103" t="str">
        <f aca="false">IF($C3046="","",$D3046*IFERROR(INDEX('تحليل التكلفة والسعر'!$C$2:$C$700,MATCH($C3046,'تحليل التكلفة والسعر'!$B$2:$B$700,0)),0))</f>
        <v/>
      </c>
    </row>
    <row r="3047" customFormat="false" ht="15" hidden="false" customHeight="false" outlineLevel="0" collapsed="false">
      <c r="A3047" s="102"/>
      <c r="E3047" s="103" t="str">
        <f aca="false">IF($C3047="","",IFERROR(INDEX(المنيو!$C$2:$C$500,MATCH($C3047,المنيو!$B$2:$B$500,0)),0))</f>
        <v/>
      </c>
      <c r="F3047" s="103" t="str">
        <f aca="false">IF($C3047="","",$D3047*$E3047)</f>
        <v/>
      </c>
      <c r="G3047" s="103" t="str">
        <f aca="false">IF($C3047="","",$D3047*IFERROR(INDEX('تحليل التكلفة والسعر'!$C$2:$C$700,MATCH($C3047,'تحليل التكلفة والسعر'!$B$2:$B$700,0)),0))</f>
        <v/>
      </c>
    </row>
    <row r="3048" customFormat="false" ht="15" hidden="false" customHeight="false" outlineLevel="0" collapsed="false">
      <c r="A3048" s="102"/>
      <c r="E3048" s="103" t="str">
        <f aca="false">IF($C3048="","",IFERROR(INDEX(المنيو!$C$2:$C$500,MATCH($C3048,المنيو!$B$2:$B$500,0)),0))</f>
        <v/>
      </c>
      <c r="F3048" s="103" t="str">
        <f aca="false">IF($C3048="","",$D3048*$E3048)</f>
        <v/>
      </c>
      <c r="G3048" s="103" t="str">
        <f aca="false">IF($C3048="","",$D3048*IFERROR(INDEX('تحليل التكلفة والسعر'!$C$2:$C$700,MATCH($C3048,'تحليل التكلفة والسعر'!$B$2:$B$700,0)),0))</f>
        <v/>
      </c>
    </row>
    <row r="3049" customFormat="false" ht="15" hidden="false" customHeight="false" outlineLevel="0" collapsed="false">
      <c r="A3049" s="102"/>
      <c r="E3049" s="103" t="str">
        <f aca="false">IF($C3049="","",IFERROR(INDEX(المنيو!$C$2:$C$500,MATCH($C3049,المنيو!$B$2:$B$500,0)),0))</f>
        <v/>
      </c>
      <c r="F3049" s="103" t="str">
        <f aca="false">IF($C3049="","",$D3049*$E3049)</f>
        <v/>
      </c>
      <c r="G3049" s="103" t="str">
        <f aca="false">IF($C3049="","",$D3049*IFERROR(INDEX('تحليل التكلفة والسعر'!$C$2:$C$700,MATCH($C3049,'تحليل التكلفة والسعر'!$B$2:$B$700,0)),0))</f>
        <v/>
      </c>
    </row>
    <row r="3050" customFormat="false" ht="15" hidden="false" customHeight="false" outlineLevel="0" collapsed="false">
      <c r="A3050" s="102"/>
      <c r="E3050" s="103" t="str">
        <f aca="false">IF($C3050="","",IFERROR(INDEX(المنيو!$C$2:$C$500,MATCH($C3050,المنيو!$B$2:$B$500,0)),0))</f>
        <v/>
      </c>
      <c r="F3050" s="103" t="str">
        <f aca="false">IF($C3050="","",$D3050*$E3050)</f>
        <v/>
      </c>
      <c r="G3050" s="103" t="str">
        <f aca="false">IF($C3050="","",$D3050*IFERROR(INDEX('تحليل التكلفة والسعر'!$C$2:$C$700,MATCH($C3050,'تحليل التكلفة والسعر'!$B$2:$B$700,0)),0))</f>
        <v/>
      </c>
    </row>
    <row r="3051" customFormat="false" ht="15" hidden="false" customHeight="false" outlineLevel="0" collapsed="false">
      <c r="A3051" s="102"/>
      <c r="E3051" s="103" t="str">
        <f aca="false">IF($C3051="","",IFERROR(INDEX(المنيو!$C$2:$C$500,MATCH($C3051,المنيو!$B$2:$B$500,0)),0))</f>
        <v/>
      </c>
      <c r="F3051" s="103" t="str">
        <f aca="false">IF($C3051="","",$D3051*$E3051)</f>
        <v/>
      </c>
      <c r="G3051" s="103" t="str">
        <f aca="false">IF($C3051="","",$D3051*IFERROR(INDEX('تحليل التكلفة والسعر'!$C$2:$C$700,MATCH($C3051,'تحليل التكلفة والسعر'!$B$2:$B$700,0)),0))</f>
        <v/>
      </c>
    </row>
    <row r="3052" customFormat="false" ht="15" hidden="false" customHeight="false" outlineLevel="0" collapsed="false">
      <c r="A3052" s="102"/>
      <c r="E3052" s="103" t="str">
        <f aca="false">IF($C3052="","",IFERROR(INDEX(المنيو!$C$2:$C$500,MATCH($C3052,المنيو!$B$2:$B$500,0)),0))</f>
        <v/>
      </c>
      <c r="F3052" s="103" t="str">
        <f aca="false">IF($C3052="","",$D3052*$E3052)</f>
        <v/>
      </c>
      <c r="G3052" s="103" t="str">
        <f aca="false">IF($C3052="","",$D3052*IFERROR(INDEX('تحليل التكلفة والسعر'!$C$2:$C$700,MATCH($C3052,'تحليل التكلفة والسعر'!$B$2:$B$700,0)),0))</f>
        <v/>
      </c>
    </row>
    <row r="3053" customFormat="false" ht="15" hidden="false" customHeight="false" outlineLevel="0" collapsed="false">
      <c r="A3053" s="102"/>
      <c r="E3053" s="103" t="str">
        <f aca="false">IF($C3053="","",IFERROR(INDEX(المنيو!$C$2:$C$500,MATCH($C3053,المنيو!$B$2:$B$500,0)),0))</f>
        <v/>
      </c>
      <c r="F3053" s="103" t="str">
        <f aca="false">IF($C3053="","",$D3053*$E3053)</f>
        <v/>
      </c>
      <c r="G3053" s="103" t="str">
        <f aca="false">IF($C3053="","",$D3053*IFERROR(INDEX('تحليل التكلفة والسعر'!$C$2:$C$700,MATCH($C3053,'تحليل التكلفة والسعر'!$B$2:$B$700,0)),0))</f>
        <v/>
      </c>
    </row>
    <row r="3054" customFormat="false" ht="15" hidden="false" customHeight="false" outlineLevel="0" collapsed="false">
      <c r="A3054" s="102"/>
      <c r="E3054" s="103" t="str">
        <f aca="false">IF($C3054="","",IFERROR(INDEX(المنيو!$C$2:$C$500,MATCH($C3054,المنيو!$B$2:$B$500,0)),0))</f>
        <v/>
      </c>
      <c r="F3054" s="103" t="str">
        <f aca="false">IF($C3054="","",$D3054*$E3054)</f>
        <v/>
      </c>
      <c r="G3054" s="103" t="str">
        <f aca="false">IF($C3054="","",$D3054*IFERROR(INDEX('تحليل التكلفة والسعر'!$C$2:$C$700,MATCH($C3054,'تحليل التكلفة والسعر'!$B$2:$B$700,0)),0))</f>
        <v/>
      </c>
    </row>
    <row r="3055" customFormat="false" ht="15" hidden="false" customHeight="false" outlineLevel="0" collapsed="false">
      <c r="A3055" s="102"/>
      <c r="E3055" s="103" t="str">
        <f aca="false">IF($C3055="","",IFERROR(INDEX(المنيو!$C$2:$C$500,MATCH($C3055,المنيو!$B$2:$B$500,0)),0))</f>
        <v/>
      </c>
      <c r="F3055" s="103" t="str">
        <f aca="false">IF($C3055="","",$D3055*$E3055)</f>
        <v/>
      </c>
      <c r="G3055" s="103" t="str">
        <f aca="false">IF($C3055="","",$D3055*IFERROR(INDEX('تحليل التكلفة والسعر'!$C$2:$C$700,MATCH($C3055,'تحليل التكلفة والسعر'!$B$2:$B$700,0)),0))</f>
        <v/>
      </c>
    </row>
    <row r="3056" customFormat="false" ht="15" hidden="false" customHeight="false" outlineLevel="0" collapsed="false">
      <c r="A3056" s="102"/>
      <c r="E3056" s="103" t="str">
        <f aca="false">IF($C3056="","",IFERROR(INDEX(المنيو!$C$2:$C$500,MATCH($C3056,المنيو!$B$2:$B$500,0)),0))</f>
        <v/>
      </c>
      <c r="F3056" s="103" t="str">
        <f aca="false">IF($C3056="","",$D3056*$E3056)</f>
        <v/>
      </c>
      <c r="G3056" s="103" t="str">
        <f aca="false">IF($C3056="","",$D3056*IFERROR(INDEX('تحليل التكلفة والسعر'!$C$2:$C$700,MATCH($C3056,'تحليل التكلفة والسعر'!$B$2:$B$700,0)),0))</f>
        <v/>
      </c>
    </row>
    <row r="3057" customFormat="false" ht="15" hidden="false" customHeight="false" outlineLevel="0" collapsed="false">
      <c r="A3057" s="102"/>
      <c r="E3057" s="103" t="str">
        <f aca="false">IF($C3057="","",IFERROR(INDEX(المنيو!$C$2:$C$500,MATCH($C3057,المنيو!$B$2:$B$500,0)),0))</f>
        <v/>
      </c>
      <c r="F3057" s="103" t="str">
        <f aca="false">IF($C3057="","",$D3057*$E3057)</f>
        <v/>
      </c>
      <c r="G3057" s="103" t="str">
        <f aca="false">IF($C3057="","",$D3057*IFERROR(INDEX('تحليل التكلفة والسعر'!$C$2:$C$700,MATCH($C3057,'تحليل التكلفة والسعر'!$B$2:$B$700,0)),0))</f>
        <v/>
      </c>
    </row>
    <row r="3058" customFormat="false" ht="15" hidden="false" customHeight="false" outlineLevel="0" collapsed="false">
      <c r="A3058" s="102"/>
      <c r="E3058" s="103" t="str">
        <f aca="false">IF($C3058="","",IFERROR(INDEX(المنيو!$C$2:$C$500,MATCH($C3058,المنيو!$B$2:$B$500,0)),0))</f>
        <v/>
      </c>
      <c r="F3058" s="103" t="str">
        <f aca="false">IF($C3058="","",$D3058*$E3058)</f>
        <v/>
      </c>
      <c r="G3058" s="103" t="str">
        <f aca="false">IF($C3058="","",$D3058*IFERROR(INDEX('تحليل التكلفة والسعر'!$C$2:$C$700,MATCH($C3058,'تحليل التكلفة والسعر'!$B$2:$B$700,0)),0))</f>
        <v/>
      </c>
    </row>
    <row r="3059" customFormat="false" ht="15" hidden="false" customHeight="false" outlineLevel="0" collapsed="false">
      <c r="A3059" s="102"/>
      <c r="E3059" s="103" t="str">
        <f aca="false">IF($C3059="","",IFERROR(INDEX(المنيو!$C$2:$C$500,MATCH($C3059,المنيو!$B$2:$B$500,0)),0))</f>
        <v/>
      </c>
      <c r="F3059" s="103" t="str">
        <f aca="false">IF($C3059="","",$D3059*$E3059)</f>
        <v/>
      </c>
      <c r="G3059" s="103" t="str">
        <f aca="false">IF($C3059="","",$D3059*IFERROR(INDEX('تحليل التكلفة والسعر'!$C$2:$C$700,MATCH($C3059,'تحليل التكلفة والسعر'!$B$2:$B$700,0)),0))</f>
        <v/>
      </c>
    </row>
    <row r="3060" customFormat="false" ht="15" hidden="false" customHeight="false" outlineLevel="0" collapsed="false">
      <c r="A3060" s="102"/>
      <c r="E3060" s="103" t="str">
        <f aca="false">IF($C3060="","",IFERROR(INDEX(المنيو!$C$2:$C$500,MATCH($C3060,المنيو!$B$2:$B$500,0)),0))</f>
        <v/>
      </c>
      <c r="F3060" s="103" t="str">
        <f aca="false">IF($C3060="","",$D3060*$E3060)</f>
        <v/>
      </c>
      <c r="G3060" s="103" t="str">
        <f aca="false">IF($C3060="","",$D3060*IFERROR(INDEX('تحليل التكلفة والسعر'!$C$2:$C$700,MATCH($C3060,'تحليل التكلفة والسعر'!$B$2:$B$700,0)),0))</f>
        <v/>
      </c>
    </row>
    <row r="3061" customFormat="false" ht="15" hidden="false" customHeight="false" outlineLevel="0" collapsed="false">
      <c r="A3061" s="102"/>
      <c r="E3061" s="103" t="str">
        <f aca="false">IF($C3061="","",IFERROR(INDEX(المنيو!$C$2:$C$500,MATCH($C3061,المنيو!$B$2:$B$500,0)),0))</f>
        <v/>
      </c>
      <c r="F3061" s="103" t="str">
        <f aca="false">IF($C3061="","",$D3061*$E3061)</f>
        <v/>
      </c>
      <c r="G3061" s="103" t="str">
        <f aca="false">IF($C3061="","",$D3061*IFERROR(INDEX('تحليل التكلفة والسعر'!$C$2:$C$700,MATCH($C3061,'تحليل التكلفة والسعر'!$B$2:$B$700,0)),0))</f>
        <v/>
      </c>
    </row>
    <row r="3062" customFormat="false" ht="15" hidden="false" customHeight="false" outlineLevel="0" collapsed="false">
      <c r="A3062" s="102"/>
      <c r="E3062" s="103" t="str">
        <f aca="false">IF($C3062="","",IFERROR(INDEX(المنيو!$C$2:$C$500,MATCH($C3062,المنيو!$B$2:$B$500,0)),0))</f>
        <v/>
      </c>
      <c r="F3062" s="103" t="str">
        <f aca="false">IF($C3062="","",$D3062*$E3062)</f>
        <v/>
      </c>
      <c r="G3062" s="103" t="str">
        <f aca="false">IF($C3062="","",$D3062*IFERROR(INDEX('تحليل التكلفة والسعر'!$C$2:$C$700,MATCH($C3062,'تحليل التكلفة والسعر'!$B$2:$B$700,0)),0))</f>
        <v/>
      </c>
    </row>
    <row r="3063" customFormat="false" ht="15" hidden="false" customHeight="false" outlineLevel="0" collapsed="false">
      <c r="A3063" s="102"/>
      <c r="E3063" s="103" t="str">
        <f aca="false">IF($C3063="","",IFERROR(INDEX(المنيو!$C$2:$C$500,MATCH($C3063,المنيو!$B$2:$B$500,0)),0))</f>
        <v/>
      </c>
      <c r="F3063" s="103" t="str">
        <f aca="false">IF($C3063="","",$D3063*$E3063)</f>
        <v/>
      </c>
      <c r="G3063" s="103" t="str">
        <f aca="false">IF($C3063="","",$D3063*IFERROR(INDEX('تحليل التكلفة والسعر'!$C$2:$C$700,MATCH($C3063,'تحليل التكلفة والسعر'!$B$2:$B$700,0)),0))</f>
        <v/>
      </c>
    </row>
    <row r="3064" customFormat="false" ht="15" hidden="false" customHeight="false" outlineLevel="0" collapsed="false">
      <c r="A3064" s="102"/>
      <c r="E3064" s="103" t="str">
        <f aca="false">IF($C3064="","",IFERROR(INDEX(المنيو!$C$2:$C$500,MATCH($C3064,المنيو!$B$2:$B$500,0)),0))</f>
        <v/>
      </c>
      <c r="F3064" s="103" t="str">
        <f aca="false">IF($C3064="","",$D3064*$E3064)</f>
        <v/>
      </c>
      <c r="G3064" s="103" t="str">
        <f aca="false">IF($C3064="","",$D3064*IFERROR(INDEX('تحليل التكلفة والسعر'!$C$2:$C$700,MATCH($C3064,'تحليل التكلفة والسعر'!$B$2:$B$700,0)),0))</f>
        <v/>
      </c>
    </row>
    <row r="3065" customFormat="false" ht="15" hidden="false" customHeight="false" outlineLevel="0" collapsed="false">
      <c r="A3065" s="102"/>
      <c r="E3065" s="103" t="str">
        <f aca="false">IF($C3065="","",IFERROR(INDEX(المنيو!$C$2:$C$500,MATCH($C3065,المنيو!$B$2:$B$500,0)),0))</f>
        <v/>
      </c>
      <c r="F3065" s="103" t="str">
        <f aca="false">IF($C3065="","",$D3065*$E3065)</f>
        <v/>
      </c>
      <c r="G3065" s="103" t="str">
        <f aca="false">IF($C3065="","",$D3065*IFERROR(INDEX('تحليل التكلفة والسعر'!$C$2:$C$700,MATCH($C3065,'تحليل التكلفة والسعر'!$B$2:$B$700,0)),0))</f>
        <v/>
      </c>
    </row>
    <row r="3066" customFormat="false" ht="15" hidden="false" customHeight="false" outlineLevel="0" collapsed="false">
      <c r="A3066" s="102"/>
      <c r="E3066" s="103" t="str">
        <f aca="false">IF($C3066="","",IFERROR(INDEX(المنيو!$C$2:$C$500,MATCH($C3066,المنيو!$B$2:$B$500,0)),0))</f>
        <v/>
      </c>
      <c r="F3066" s="103" t="str">
        <f aca="false">IF($C3066="","",$D3066*$E3066)</f>
        <v/>
      </c>
      <c r="G3066" s="103" t="str">
        <f aca="false">IF($C3066="","",$D3066*IFERROR(INDEX('تحليل التكلفة والسعر'!$C$2:$C$700,MATCH($C3066,'تحليل التكلفة والسعر'!$B$2:$B$700,0)),0))</f>
        <v/>
      </c>
    </row>
    <row r="3067" customFormat="false" ht="15" hidden="false" customHeight="false" outlineLevel="0" collapsed="false">
      <c r="A3067" s="102"/>
      <c r="E3067" s="103" t="str">
        <f aca="false">IF($C3067="","",IFERROR(INDEX(المنيو!$C$2:$C$500,MATCH($C3067,المنيو!$B$2:$B$500,0)),0))</f>
        <v/>
      </c>
      <c r="F3067" s="103" t="str">
        <f aca="false">IF($C3067="","",$D3067*$E3067)</f>
        <v/>
      </c>
      <c r="G3067" s="103" t="str">
        <f aca="false">IF($C3067="","",$D3067*IFERROR(INDEX('تحليل التكلفة والسعر'!$C$2:$C$700,MATCH($C3067,'تحليل التكلفة والسعر'!$B$2:$B$700,0)),0))</f>
        <v/>
      </c>
    </row>
    <row r="3068" customFormat="false" ht="15" hidden="false" customHeight="false" outlineLevel="0" collapsed="false">
      <c r="A3068" s="102"/>
      <c r="E3068" s="103" t="str">
        <f aca="false">IF($C3068="","",IFERROR(INDEX(المنيو!$C$2:$C$500,MATCH($C3068,المنيو!$B$2:$B$500,0)),0))</f>
        <v/>
      </c>
      <c r="F3068" s="103" t="str">
        <f aca="false">IF($C3068="","",$D3068*$E3068)</f>
        <v/>
      </c>
      <c r="G3068" s="103" t="str">
        <f aca="false">IF($C3068="","",$D3068*IFERROR(INDEX('تحليل التكلفة والسعر'!$C$2:$C$700,MATCH($C3068,'تحليل التكلفة والسعر'!$B$2:$B$700,0)),0))</f>
        <v/>
      </c>
    </row>
    <row r="3069" customFormat="false" ht="15" hidden="false" customHeight="false" outlineLevel="0" collapsed="false">
      <c r="A3069" s="102"/>
      <c r="E3069" s="103" t="str">
        <f aca="false">IF($C3069="","",IFERROR(INDEX(المنيو!$C$2:$C$500,MATCH($C3069,المنيو!$B$2:$B$500,0)),0))</f>
        <v/>
      </c>
      <c r="F3069" s="103" t="str">
        <f aca="false">IF($C3069="","",$D3069*$E3069)</f>
        <v/>
      </c>
      <c r="G3069" s="103" t="str">
        <f aca="false">IF($C3069="","",$D3069*IFERROR(INDEX('تحليل التكلفة والسعر'!$C$2:$C$700,MATCH($C3069,'تحليل التكلفة والسعر'!$B$2:$B$700,0)),0))</f>
        <v/>
      </c>
    </row>
    <row r="3070" customFormat="false" ht="15" hidden="false" customHeight="false" outlineLevel="0" collapsed="false">
      <c r="A3070" s="102"/>
      <c r="E3070" s="103" t="str">
        <f aca="false">IF($C3070="","",IFERROR(INDEX(المنيو!$C$2:$C$500,MATCH($C3070,المنيو!$B$2:$B$500,0)),0))</f>
        <v/>
      </c>
      <c r="F3070" s="103" t="str">
        <f aca="false">IF($C3070="","",$D3070*$E3070)</f>
        <v/>
      </c>
      <c r="G3070" s="103" t="str">
        <f aca="false">IF($C3070="","",$D3070*IFERROR(INDEX('تحليل التكلفة والسعر'!$C$2:$C$700,MATCH($C3070,'تحليل التكلفة والسعر'!$B$2:$B$700,0)),0))</f>
        <v/>
      </c>
    </row>
    <row r="3071" customFormat="false" ht="15" hidden="false" customHeight="false" outlineLevel="0" collapsed="false">
      <c r="A3071" s="102"/>
      <c r="E3071" s="103" t="str">
        <f aca="false">IF($C3071="","",IFERROR(INDEX(المنيو!$C$2:$C$500,MATCH($C3071,المنيو!$B$2:$B$500,0)),0))</f>
        <v/>
      </c>
      <c r="F3071" s="103" t="str">
        <f aca="false">IF($C3071="","",$D3071*$E3071)</f>
        <v/>
      </c>
      <c r="G3071" s="103" t="str">
        <f aca="false">IF($C3071="","",$D3071*IFERROR(INDEX('تحليل التكلفة والسعر'!$C$2:$C$700,MATCH($C3071,'تحليل التكلفة والسعر'!$B$2:$B$700,0)),0))</f>
        <v/>
      </c>
    </row>
    <row r="3072" customFormat="false" ht="15" hidden="false" customHeight="false" outlineLevel="0" collapsed="false">
      <c r="A3072" s="102"/>
      <c r="E3072" s="103" t="str">
        <f aca="false">IF($C3072="","",IFERROR(INDEX(المنيو!$C$2:$C$500,MATCH($C3072,المنيو!$B$2:$B$500,0)),0))</f>
        <v/>
      </c>
      <c r="F3072" s="103" t="str">
        <f aca="false">IF($C3072="","",$D3072*$E3072)</f>
        <v/>
      </c>
      <c r="G3072" s="103" t="str">
        <f aca="false">IF($C3072="","",$D3072*IFERROR(INDEX('تحليل التكلفة والسعر'!$C$2:$C$700,MATCH($C3072,'تحليل التكلفة والسعر'!$B$2:$B$700,0)),0))</f>
        <v/>
      </c>
    </row>
    <row r="3073" customFormat="false" ht="15" hidden="false" customHeight="false" outlineLevel="0" collapsed="false">
      <c r="A3073" s="102"/>
      <c r="E3073" s="103" t="str">
        <f aca="false">IF($C3073="","",IFERROR(INDEX(المنيو!$C$2:$C$500,MATCH($C3073,المنيو!$B$2:$B$500,0)),0))</f>
        <v/>
      </c>
      <c r="F3073" s="103" t="str">
        <f aca="false">IF($C3073="","",$D3073*$E3073)</f>
        <v/>
      </c>
      <c r="G3073" s="103" t="str">
        <f aca="false">IF($C3073="","",$D3073*IFERROR(INDEX('تحليل التكلفة والسعر'!$C$2:$C$700,MATCH($C3073,'تحليل التكلفة والسعر'!$B$2:$B$700,0)),0))</f>
        <v/>
      </c>
    </row>
    <row r="3074" customFormat="false" ht="15" hidden="false" customHeight="false" outlineLevel="0" collapsed="false">
      <c r="A3074" s="102"/>
      <c r="E3074" s="103" t="str">
        <f aca="false">IF($C3074="","",IFERROR(INDEX(المنيو!$C$2:$C$500,MATCH($C3074,المنيو!$B$2:$B$500,0)),0))</f>
        <v/>
      </c>
      <c r="F3074" s="103" t="str">
        <f aca="false">IF($C3074="","",$D3074*$E3074)</f>
        <v/>
      </c>
      <c r="G3074" s="103" t="str">
        <f aca="false">IF($C3074="","",$D3074*IFERROR(INDEX('تحليل التكلفة والسعر'!$C$2:$C$700,MATCH($C3074,'تحليل التكلفة والسعر'!$B$2:$B$700,0)),0))</f>
        <v/>
      </c>
    </row>
    <row r="3075" customFormat="false" ht="15" hidden="false" customHeight="false" outlineLevel="0" collapsed="false">
      <c r="A3075" s="102"/>
      <c r="E3075" s="103" t="str">
        <f aca="false">IF($C3075="","",IFERROR(INDEX(المنيو!$C$2:$C$500,MATCH($C3075,المنيو!$B$2:$B$500,0)),0))</f>
        <v/>
      </c>
      <c r="F3075" s="103" t="str">
        <f aca="false">IF($C3075="","",$D3075*$E3075)</f>
        <v/>
      </c>
      <c r="G3075" s="103" t="str">
        <f aca="false">IF($C3075="","",$D3075*IFERROR(INDEX('تحليل التكلفة والسعر'!$C$2:$C$700,MATCH($C3075,'تحليل التكلفة والسعر'!$B$2:$B$700,0)),0))</f>
        <v/>
      </c>
    </row>
    <row r="3076" customFormat="false" ht="15" hidden="false" customHeight="false" outlineLevel="0" collapsed="false">
      <c r="A3076" s="102"/>
      <c r="E3076" s="103" t="str">
        <f aca="false">IF($C3076="","",IFERROR(INDEX(المنيو!$C$2:$C$500,MATCH($C3076,المنيو!$B$2:$B$500,0)),0))</f>
        <v/>
      </c>
      <c r="F3076" s="103" t="str">
        <f aca="false">IF($C3076="","",$D3076*$E3076)</f>
        <v/>
      </c>
      <c r="G3076" s="103" t="str">
        <f aca="false">IF($C3076="","",$D3076*IFERROR(INDEX('تحليل التكلفة والسعر'!$C$2:$C$700,MATCH($C3076,'تحليل التكلفة والسعر'!$B$2:$B$700,0)),0))</f>
        <v/>
      </c>
    </row>
    <row r="3077" customFormat="false" ht="15" hidden="false" customHeight="false" outlineLevel="0" collapsed="false">
      <c r="A3077" s="102"/>
      <c r="E3077" s="103" t="str">
        <f aca="false">IF($C3077="","",IFERROR(INDEX(المنيو!$C$2:$C$500,MATCH($C3077,المنيو!$B$2:$B$500,0)),0))</f>
        <v/>
      </c>
      <c r="F3077" s="103" t="str">
        <f aca="false">IF($C3077="","",$D3077*$E3077)</f>
        <v/>
      </c>
      <c r="G3077" s="103" t="str">
        <f aca="false">IF($C3077="","",$D3077*IFERROR(INDEX('تحليل التكلفة والسعر'!$C$2:$C$700,MATCH($C3077,'تحليل التكلفة والسعر'!$B$2:$B$700,0)),0))</f>
        <v/>
      </c>
    </row>
    <row r="3078" customFormat="false" ht="15" hidden="false" customHeight="false" outlineLevel="0" collapsed="false">
      <c r="A3078" s="102"/>
      <c r="E3078" s="103" t="str">
        <f aca="false">IF($C3078="","",IFERROR(INDEX(المنيو!$C$2:$C$500,MATCH($C3078,المنيو!$B$2:$B$500,0)),0))</f>
        <v/>
      </c>
      <c r="F3078" s="103" t="str">
        <f aca="false">IF($C3078="","",$D3078*$E3078)</f>
        <v/>
      </c>
      <c r="G3078" s="103" t="str">
        <f aca="false">IF($C3078="","",$D3078*IFERROR(INDEX('تحليل التكلفة والسعر'!$C$2:$C$700,MATCH($C3078,'تحليل التكلفة والسعر'!$B$2:$B$700,0)),0))</f>
        <v/>
      </c>
    </row>
    <row r="3079" customFormat="false" ht="15" hidden="false" customHeight="false" outlineLevel="0" collapsed="false">
      <c r="A3079" s="102"/>
      <c r="E3079" s="103" t="str">
        <f aca="false">IF($C3079="","",IFERROR(INDEX(المنيو!$C$2:$C$500,MATCH($C3079,المنيو!$B$2:$B$500,0)),0))</f>
        <v/>
      </c>
      <c r="F3079" s="103" t="str">
        <f aca="false">IF($C3079="","",$D3079*$E3079)</f>
        <v/>
      </c>
      <c r="G3079" s="103" t="str">
        <f aca="false">IF($C3079="","",$D3079*IFERROR(INDEX('تحليل التكلفة والسعر'!$C$2:$C$700,MATCH($C3079,'تحليل التكلفة والسعر'!$B$2:$B$700,0)),0))</f>
        <v/>
      </c>
    </row>
    <row r="3080" customFormat="false" ht="15" hidden="false" customHeight="false" outlineLevel="0" collapsed="false">
      <c r="A3080" s="102"/>
      <c r="E3080" s="103" t="str">
        <f aca="false">IF($C3080="","",IFERROR(INDEX(المنيو!$C$2:$C$500,MATCH($C3080,المنيو!$B$2:$B$500,0)),0))</f>
        <v/>
      </c>
      <c r="F3080" s="103" t="str">
        <f aca="false">IF($C3080="","",$D3080*$E3080)</f>
        <v/>
      </c>
      <c r="G3080" s="103" t="str">
        <f aca="false">IF($C3080="","",$D3080*IFERROR(INDEX('تحليل التكلفة والسعر'!$C$2:$C$700,MATCH($C3080,'تحليل التكلفة والسعر'!$B$2:$B$700,0)),0))</f>
        <v/>
      </c>
    </row>
    <row r="3081" customFormat="false" ht="15" hidden="false" customHeight="false" outlineLevel="0" collapsed="false">
      <c r="A3081" s="102"/>
      <c r="E3081" s="103" t="str">
        <f aca="false">IF($C3081="","",IFERROR(INDEX(المنيو!$C$2:$C$500,MATCH($C3081,المنيو!$B$2:$B$500,0)),0))</f>
        <v/>
      </c>
      <c r="F3081" s="103" t="str">
        <f aca="false">IF($C3081="","",$D3081*$E3081)</f>
        <v/>
      </c>
      <c r="G3081" s="103" t="str">
        <f aca="false">IF($C3081="","",$D3081*IFERROR(INDEX('تحليل التكلفة والسعر'!$C$2:$C$700,MATCH($C3081,'تحليل التكلفة والسعر'!$B$2:$B$700,0)),0))</f>
        <v/>
      </c>
    </row>
    <row r="3082" customFormat="false" ht="15" hidden="false" customHeight="false" outlineLevel="0" collapsed="false">
      <c r="A3082" s="102"/>
      <c r="E3082" s="103" t="str">
        <f aca="false">IF($C3082="","",IFERROR(INDEX(المنيو!$C$2:$C$500,MATCH($C3082,المنيو!$B$2:$B$500,0)),0))</f>
        <v/>
      </c>
      <c r="F3082" s="103" t="str">
        <f aca="false">IF($C3082="","",$D3082*$E3082)</f>
        <v/>
      </c>
      <c r="G3082" s="103" t="str">
        <f aca="false">IF($C3082="","",$D3082*IFERROR(INDEX('تحليل التكلفة والسعر'!$C$2:$C$700,MATCH($C3082,'تحليل التكلفة والسعر'!$B$2:$B$700,0)),0))</f>
        <v/>
      </c>
    </row>
    <row r="3083" customFormat="false" ht="15" hidden="false" customHeight="false" outlineLevel="0" collapsed="false">
      <c r="A3083" s="102"/>
      <c r="E3083" s="103" t="str">
        <f aca="false">IF($C3083="","",IFERROR(INDEX(المنيو!$C$2:$C$500,MATCH($C3083,المنيو!$B$2:$B$500,0)),0))</f>
        <v/>
      </c>
      <c r="F3083" s="103" t="str">
        <f aca="false">IF($C3083="","",$D3083*$E3083)</f>
        <v/>
      </c>
      <c r="G3083" s="103" t="str">
        <f aca="false">IF($C3083="","",$D3083*IFERROR(INDEX('تحليل التكلفة والسعر'!$C$2:$C$700,MATCH($C3083,'تحليل التكلفة والسعر'!$B$2:$B$700,0)),0))</f>
        <v/>
      </c>
    </row>
    <row r="3084" customFormat="false" ht="15" hidden="false" customHeight="false" outlineLevel="0" collapsed="false">
      <c r="A3084" s="102"/>
      <c r="E3084" s="103" t="str">
        <f aca="false">IF($C3084="","",IFERROR(INDEX(المنيو!$C$2:$C$500,MATCH($C3084,المنيو!$B$2:$B$500,0)),0))</f>
        <v/>
      </c>
      <c r="F3084" s="103" t="str">
        <f aca="false">IF($C3084="","",$D3084*$E3084)</f>
        <v/>
      </c>
      <c r="G3084" s="103" t="str">
        <f aca="false">IF($C3084="","",$D3084*IFERROR(INDEX('تحليل التكلفة والسعر'!$C$2:$C$700,MATCH($C3084,'تحليل التكلفة والسعر'!$B$2:$B$700,0)),0))</f>
        <v/>
      </c>
    </row>
    <row r="3085" customFormat="false" ht="15" hidden="false" customHeight="false" outlineLevel="0" collapsed="false">
      <c r="A3085" s="102"/>
      <c r="E3085" s="103" t="str">
        <f aca="false">IF($C3085="","",IFERROR(INDEX(المنيو!$C$2:$C$500,MATCH($C3085,المنيو!$B$2:$B$500,0)),0))</f>
        <v/>
      </c>
      <c r="F3085" s="103" t="str">
        <f aca="false">IF($C3085="","",$D3085*$E3085)</f>
        <v/>
      </c>
      <c r="G3085" s="103" t="str">
        <f aca="false">IF($C3085="","",$D3085*IFERROR(INDEX('تحليل التكلفة والسعر'!$C$2:$C$700,MATCH($C3085,'تحليل التكلفة والسعر'!$B$2:$B$700,0)),0))</f>
        <v/>
      </c>
    </row>
    <row r="3086" customFormat="false" ht="15" hidden="false" customHeight="false" outlineLevel="0" collapsed="false">
      <c r="A3086" s="102"/>
      <c r="E3086" s="103" t="str">
        <f aca="false">IF($C3086="","",IFERROR(INDEX(المنيو!$C$2:$C$500,MATCH($C3086,المنيو!$B$2:$B$500,0)),0))</f>
        <v/>
      </c>
      <c r="F3086" s="103" t="str">
        <f aca="false">IF($C3086="","",$D3086*$E3086)</f>
        <v/>
      </c>
      <c r="G3086" s="103" t="str">
        <f aca="false">IF($C3086="","",$D3086*IFERROR(INDEX('تحليل التكلفة والسعر'!$C$2:$C$700,MATCH($C3086,'تحليل التكلفة والسعر'!$B$2:$B$700,0)),0))</f>
        <v/>
      </c>
    </row>
    <row r="3087" customFormat="false" ht="15" hidden="false" customHeight="false" outlineLevel="0" collapsed="false">
      <c r="A3087" s="102"/>
      <c r="E3087" s="103" t="str">
        <f aca="false">IF($C3087="","",IFERROR(INDEX(المنيو!$C$2:$C$500,MATCH($C3087,المنيو!$B$2:$B$500,0)),0))</f>
        <v/>
      </c>
      <c r="F3087" s="103" t="str">
        <f aca="false">IF($C3087="","",$D3087*$E3087)</f>
        <v/>
      </c>
      <c r="G3087" s="103" t="str">
        <f aca="false">IF($C3087="","",$D3087*IFERROR(INDEX('تحليل التكلفة والسعر'!$C$2:$C$700,MATCH($C3087,'تحليل التكلفة والسعر'!$B$2:$B$700,0)),0))</f>
        <v/>
      </c>
    </row>
    <row r="3088" customFormat="false" ht="15" hidden="false" customHeight="false" outlineLevel="0" collapsed="false">
      <c r="A3088" s="102"/>
      <c r="E3088" s="103" t="str">
        <f aca="false">IF($C3088="","",IFERROR(INDEX(المنيو!$C$2:$C$500,MATCH($C3088,المنيو!$B$2:$B$500,0)),0))</f>
        <v/>
      </c>
      <c r="F3088" s="103" t="str">
        <f aca="false">IF($C3088="","",$D3088*$E3088)</f>
        <v/>
      </c>
      <c r="G3088" s="103" t="str">
        <f aca="false">IF($C3088="","",$D3088*IFERROR(INDEX('تحليل التكلفة والسعر'!$C$2:$C$700,MATCH($C3088,'تحليل التكلفة والسعر'!$B$2:$B$700,0)),0))</f>
        <v/>
      </c>
    </row>
    <row r="3089" customFormat="false" ht="15" hidden="false" customHeight="false" outlineLevel="0" collapsed="false">
      <c r="A3089" s="102"/>
      <c r="E3089" s="103" t="str">
        <f aca="false">IF($C3089="","",IFERROR(INDEX(المنيو!$C$2:$C$500,MATCH($C3089,المنيو!$B$2:$B$500,0)),0))</f>
        <v/>
      </c>
      <c r="F3089" s="103" t="str">
        <f aca="false">IF($C3089="","",$D3089*$E3089)</f>
        <v/>
      </c>
      <c r="G3089" s="103" t="str">
        <f aca="false">IF($C3089="","",$D3089*IFERROR(INDEX('تحليل التكلفة والسعر'!$C$2:$C$700,MATCH($C3089,'تحليل التكلفة والسعر'!$B$2:$B$700,0)),0))</f>
        <v/>
      </c>
    </row>
    <row r="3090" customFormat="false" ht="15" hidden="false" customHeight="false" outlineLevel="0" collapsed="false">
      <c r="A3090" s="102"/>
      <c r="E3090" s="103" t="str">
        <f aca="false">IF($C3090="","",IFERROR(INDEX(المنيو!$C$2:$C$500,MATCH($C3090,المنيو!$B$2:$B$500,0)),0))</f>
        <v/>
      </c>
      <c r="F3090" s="103" t="str">
        <f aca="false">IF($C3090="","",$D3090*$E3090)</f>
        <v/>
      </c>
      <c r="G3090" s="103" t="str">
        <f aca="false">IF($C3090="","",$D3090*IFERROR(INDEX('تحليل التكلفة والسعر'!$C$2:$C$700,MATCH($C3090,'تحليل التكلفة والسعر'!$B$2:$B$700,0)),0))</f>
        <v/>
      </c>
    </row>
    <row r="3091" customFormat="false" ht="15" hidden="false" customHeight="false" outlineLevel="0" collapsed="false">
      <c r="A3091" s="102"/>
      <c r="E3091" s="103" t="str">
        <f aca="false">IF($C3091="","",IFERROR(INDEX(المنيو!$C$2:$C$500,MATCH($C3091,المنيو!$B$2:$B$500,0)),0))</f>
        <v/>
      </c>
      <c r="F3091" s="103" t="str">
        <f aca="false">IF($C3091="","",$D3091*$E3091)</f>
        <v/>
      </c>
      <c r="G3091" s="103" t="str">
        <f aca="false">IF($C3091="","",$D3091*IFERROR(INDEX('تحليل التكلفة والسعر'!$C$2:$C$700,MATCH($C3091,'تحليل التكلفة والسعر'!$B$2:$B$700,0)),0))</f>
        <v/>
      </c>
    </row>
    <row r="3092" customFormat="false" ht="15" hidden="false" customHeight="false" outlineLevel="0" collapsed="false">
      <c r="A3092" s="102"/>
      <c r="E3092" s="103" t="str">
        <f aca="false">IF($C3092="","",IFERROR(INDEX(المنيو!$C$2:$C$500,MATCH($C3092,المنيو!$B$2:$B$500,0)),0))</f>
        <v/>
      </c>
      <c r="F3092" s="103" t="str">
        <f aca="false">IF($C3092="","",$D3092*$E3092)</f>
        <v/>
      </c>
      <c r="G3092" s="103" t="str">
        <f aca="false">IF($C3092="","",$D3092*IFERROR(INDEX('تحليل التكلفة والسعر'!$C$2:$C$700,MATCH($C3092,'تحليل التكلفة والسعر'!$B$2:$B$700,0)),0))</f>
        <v/>
      </c>
    </row>
    <row r="3093" customFormat="false" ht="15" hidden="false" customHeight="false" outlineLevel="0" collapsed="false">
      <c r="A3093" s="102"/>
      <c r="E3093" s="103" t="str">
        <f aca="false">IF($C3093="","",IFERROR(INDEX(المنيو!$C$2:$C$500,MATCH($C3093,المنيو!$B$2:$B$500,0)),0))</f>
        <v/>
      </c>
      <c r="F3093" s="103" t="str">
        <f aca="false">IF($C3093="","",$D3093*$E3093)</f>
        <v/>
      </c>
      <c r="G3093" s="103" t="str">
        <f aca="false">IF($C3093="","",$D3093*IFERROR(INDEX('تحليل التكلفة والسعر'!$C$2:$C$700,MATCH($C3093,'تحليل التكلفة والسعر'!$B$2:$B$700,0)),0))</f>
        <v/>
      </c>
    </row>
    <row r="3094" customFormat="false" ht="15" hidden="false" customHeight="false" outlineLevel="0" collapsed="false">
      <c r="A3094" s="102"/>
      <c r="E3094" s="103" t="str">
        <f aca="false">IF($C3094="","",IFERROR(INDEX(المنيو!$C$2:$C$500,MATCH($C3094,المنيو!$B$2:$B$500,0)),0))</f>
        <v/>
      </c>
      <c r="F3094" s="103" t="str">
        <f aca="false">IF($C3094="","",$D3094*$E3094)</f>
        <v/>
      </c>
      <c r="G3094" s="103" t="str">
        <f aca="false">IF($C3094="","",$D3094*IFERROR(INDEX('تحليل التكلفة والسعر'!$C$2:$C$700,MATCH($C3094,'تحليل التكلفة والسعر'!$B$2:$B$700,0)),0))</f>
        <v/>
      </c>
    </row>
    <row r="3095" customFormat="false" ht="15" hidden="false" customHeight="false" outlineLevel="0" collapsed="false">
      <c r="A3095" s="102"/>
      <c r="E3095" s="103" t="str">
        <f aca="false">IF($C3095="","",IFERROR(INDEX(المنيو!$C$2:$C$500,MATCH($C3095,المنيو!$B$2:$B$500,0)),0))</f>
        <v/>
      </c>
      <c r="F3095" s="103" t="str">
        <f aca="false">IF($C3095="","",$D3095*$E3095)</f>
        <v/>
      </c>
      <c r="G3095" s="103" t="str">
        <f aca="false">IF($C3095="","",$D3095*IFERROR(INDEX('تحليل التكلفة والسعر'!$C$2:$C$700,MATCH($C3095,'تحليل التكلفة والسعر'!$B$2:$B$700,0)),0))</f>
        <v/>
      </c>
    </row>
    <row r="3096" customFormat="false" ht="15" hidden="false" customHeight="false" outlineLevel="0" collapsed="false">
      <c r="A3096" s="102"/>
      <c r="E3096" s="103" t="str">
        <f aca="false">IF($C3096="","",IFERROR(INDEX(المنيو!$C$2:$C$500,MATCH($C3096,المنيو!$B$2:$B$500,0)),0))</f>
        <v/>
      </c>
      <c r="F3096" s="103" t="str">
        <f aca="false">IF($C3096="","",$D3096*$E3096)</f>
        <v/>
      </c>
      <c r="G3096" s="103" t="str">
        <f aca="false">IF($C3096="","",$D3096*IFERROR(INDEX('تحليل التكلفة والسعر'!$C$2:$C$700,MATCH($C3096,'تحليل التكلفة والسعر'!$B$2:$B$700,0)),0))</f>
        <v/>
      </c>
    </row>
    <row r="3097" customFormat="false" ht="15" hidden="false" customHeight="false" outlineLevel="0" collapsed="false">
      <c r="A3097" s="102"/>
      <c r="E3097" s="103" t="str">
        <f aca="false">IF($C3097="","",IFERROR(INDEX(المنيو!$C$2:$C$500,MATCH($C3097,المنيو!$B$2:$B$500,0)),0))</f>
        <v/>
      </c>
      <c r="F3097" s="103" t="str">
        <f aca="false">IF($C3097="","",$D3097*$E3097)</f>
        <v/>
      </c>
      <c r="G3097" s="103" t="str">
        <f aca="false">IF($C3097="","",$D3097*IFERROR(INDEX('تحليل التكلفة والسعر'!$C$2:$C$700,MATCH($C3097,'تحليل التكلفة والسعر'!$B$2:$B$700,0)),0))</f>
        <v/>
      </c>
    </row>
    <row r="3098" customFormat="false" ht="15" hidden="false" customHeight="false" outlineLevel="0" collapsed="false">
      <c r="A3098" s="102"/>
      <c r="E3098" s="103" t="str">
        <f aca="false">IF($C3098="","",IFERROR(INDEX(المنيو!$C$2:$C$500,MATCH($C3098,المنيو!$B$2:$B$500,0)),0))</f>
        <v/>
      </c>
      <c r="F3098" s="103" t="str">
        <f aca="false">IF($C3098="","",$D3098*$E3098)</f>
        <v/>
      </c>
      <c r="G3098" s="103" t="str">
        <f aca="false">IF($C3098="","",$D3098*IFERROR(INDEX('تحليل التكلفة والسعر'!$C$2:$C$700,MATCH($C3098,'تحليل التكلفة والسعر'!$B$2:$B$700,0)),0))</f>
        <v/>
      </c>
    </row>
    <row r="3099" customFormat="false" ht="15" hidden="false" customHeight="false" outlineLevel="0" collapsed="false">
      <c r="A3099" s="102"/>
      <c r="E3099" s="103" t="str">
        <f aca="false">IF($C3099="","",IFERROR(INDEX(المنيو!$C$2:$C$500,MATCH($C3099,المنيو!$B$2:$B$500,0)),0))</f>
        <v/>
      </c>
      <c r="F3099" s="103" t="str">
        <f aca="false">IF($C3099="","",$D3099*$E3099)</f>
        <v/>
      </c>
      <c r="G3099" s="103" t="str">
        <f aca="false">IF($C3099="","",$D3099*IFERROR(INDEX('تحليل التكلفة والسعر'!$C$2:$C$700,MATCH($C3099,'تحليل التكلفة والسعر'!$B$2:$B$700,0)),0))</f>
        <v/>
      </c>
    </row>
    <row r="3100" customFormat="false" ht="15" hidden="false" customHeight="false" outlineLevel="0" collapsed="false">
      <c r="A3100" s="102"/>
      <c r="E3100" s="103" t="str">
        <f aca="false">IF($C3100="","",IFERROR(INDEX(المنيو!$C$2:$C$500,MATCH($C3100,المنيو!$B$2:$B$500,0)),0))</f>
        <v/>
      </c>
      <c r="F3100" s="103" t="str">
        <f aca="false">IF($C3100="","",$D3100*$E3100)</f>
        <v/>
      </c>
      <c r="G3100" s="103" t="str">
        <f aca="false">IF($C3100="","",$D3100*IFERROR(INDEX('تحليل التكلفة والسعر'!$C$2:$C$700,MATCH($C3100,'تحليل التكلفة والسعر'!$B$2:$B$700,0)),0))</f>
        <v/>
      </c>
    </row>
    <row r="3101" customFormat="false" ht="15" hidden="false" customHeight="false" outlineLevel="0" collapsed="false">
      <c r="A3101" s="102"/>
      <c r="E3101" s="103" t="str">
        <f aca="false">IF($C3101="","",IFERROR(INDEX(المنيو!$C$2:$C$500,MATCH($C3101,المنيو!$B$2:$B$500,0)),0))</f>
        <v/>
      </c>
      <c r="F3101" s="103" t="str">
        <f aca="false">IF($C3101="","",$D3101*$E3101)</f>
        <v/>
      </c>
      <c r="G3101" s="103" t="str">
        <f aca="false">IF($C3101="","",$D3101*IFERROR(INDEX('تحليل التكلفة والسعر'!$C$2:$C$700,MATCH($C3101,'تحليل التكلفة والسعر'!$B$2:$B$700,0)),0))</f>
        <v/>
      </c>
    </row>
    <row r="3102" customFormat="false" ht="15" hidden="false" customHeight="false" outlineLevel="0" collapsed="false">
      <c r="A3102" s="102"/>
      <c r="E3102" s="103" t="str">
        <f aca="false">IF($C3102="","",IFERROR(INDEX(المنيو!$C$2:$C$500,MATCH($C3102,المنيو!$B$2:$B$500,0)),0))</f>
        <v/>
      </c>
      <c r="F3102" s="103" t="str">
        <f aca="false">IF($C3102="","",$D3102*$E3102)</f>
        <v/>
      </c>
      <c r="G3102" s="103" t="str">
        <f aca="false">IF($C3102="","",$D3102*IFERROR(INDEX('تحليل التكلفة والسعر'!$C$2:$C$700,MATCH($C3102,'تحليل التكلفة والسعر'!$B$2:$B$700,0)),0))</f>
        <v/>
      </c>
    </row>
    <row r="3103" customFormat="false" ht="15" hidden="false" customHeight="false" outlineLevel="0" collapsed="false">
      <c r="A3103" s="102"/>
      <c r="E3103" s="103" t="str">
        <f aca="false">IF($C3103="","",IFERROR(INDEX(المنيو!$C$2:$C$500,MATCH($C3103,المنيو!$B$2:$B$500,0)),0))</f>
        <v/>
      </c>
      <c r="F3103" s="103" t="str">
        <f aca="false">IF($C3103="","",$D3103*$E3103)</f>
        <v/>
      </c>
      <c r="G3103" s="103" t="str">
        <f aca="false">IF($C3103="","",$D3103*IFERROR(INDEX('تحليل التكلفة والسعر'!$C$2:$C$700,MATCH($C3103,'تحليل التكلفة والسعر'!$B$2:$B$700,0)),0))</f>
        <v/>
      </c>
    </row>
    <row r="3104" customFormat="false" ht="15" hidden="false" customHeight="false" outlineLevel="0" collapsed="false">
      <c r="A3104" s="102"/>
      <c r="E3104" s="103" t="str">
        <f aca="false">IF($C3104="","",IFERROR(INDEX(المنيو!$C$2:$C$500,MATCH($C3104,المنيو!$B$2:$B$500,0)),0))</f>
        <v/>
      </c>
      <c r="F3104" s="103" t="str">
        <f aca="false">IF($C3104="","",$D3104*$E3104)</f>
        <v/>
      </c>
      <c r="G3104" s="103" t="str">
        <f aca="false">IF($C3104="","",$D3104*IFERROR(INDEX('تحليل التكلفة والسعر'!$C$2:$C$700,MATCH($C3104,'تحليل التكلفة والسعر'!$B$2:$B$700,0)),0))</f>
        <v/>
      </c>
    </row>
    <row r="3105" customFormat="false" ht="15" hidden="false" customHeight="false" outlineLevel="0" collapsed="false">
      <c r="A3105" s="102"/>
      <c r="E3105" s="103" t="str">
        <f aca="false">IF($C3105="","",IFERROR(INDEX(المنيو!$C$2:$C$500,MATCH($C3105,المنيو!$B$2:$B$500,0)),0))</f>
        <v/>
      </c>
      <c r="F3105" s="103" t="str">
        <f aca="false">IF($C3105="","",$D3105*$E3105)</f>
        <v/>
      </c>
      <c r="G3105" s="103" t="str">
        <f aca="false">IF($C3105="","",$D3105*IFERROR(INDEX('تحليل التكلفة والسعر'!$C$2:$C$700,MATCH($C3105,'تحليل التكلفة والسعر'!$B$2:$B$700,0)),0))</f>
        <v/>
      </c>
    </row>
    <row r="3106" customFormat="false" ht="15" hidden="false" customHeight="false" outlineLevel="0" collapsed="false">
      <c r="A3106" s="102"/>
      <c r="E3106" s="103" t="str">
        <f aca="false">IF($C3106="","",IFERROR(INDEX(المنيو!$C$2:$C$500,MATCH($C3106,المنيو!$B$2:$B$500,0)),0))</f>
        <v/>
      </c>
      <c r="F3106" s="103" t="str">
        <f aca="false">IF($C3106="","",$D3106*$E3106)</f>
        <v/>
      </c>
      <c r="G3106" s="103" t="str">
        <f aca="false">IF($C3106="","",$D3106*IFERROR(INDEX('تحليل التكلفة والسعر'!$C$2:$C$700,MATCH($C3106,'تحليل التكلفة والسعر'!$B$2:$B$700,0)),0))</f>
        <v/>
      </c>
    </row>
    <row r="3107" customFormat="false" ht="15" hidden="false" customHeight="false" outlineLevel="0" collapsed="false">
      <c r="A3107" s="102"/>
      <c r="E3107" s="103" t="str">
        <f aca="false">IF($C3107="","",IFERROR(INDEX(المنيو!$C$2:$C$500,MATCH($C3107,المنيو!$B$2:$B$500,0)),0))</f>
        <v/>
      </c>
      <c r="F3107" s="103" t="str">
        <f aca="false">IF($C3107="","",$D3107*$E3107)</f>
        <v/>
      </c>
      <c r="G3107" s="103" t="str">
        <f aca="false">IF($C3107="","",$D3107*IFERROR(INDEX('تحليل التكلفة والسعر'!$C$2:$C$700,MATCH($C3107,'تحليل التكلفة والسعر'!$B$2:$B$700,0)),0))</f>
        <v/>
      </c>
    </row>
    <row r="3108" customFormat="false" ht="15" hidden="false" customHeight="false" outlineLevel="0" collapsed="false">
      <c r="A3108" s="102"/>
      <c r="E3108" s="103" t="str">
        <f aca="false">IF($C3108="","",IFERROR(INDEX(المنيو!$C$2:$C$500,MATCH($C3108,المنيو!$B$2:$B$500,0)),0))</f>
        <v/>
      </c>
      <c r="F3108" s="103" t="str">
        <f aca="false">IF($C3108="","",$D3108*$E3108)</f>
        <v/>
      </c>
      <c r="G3108" s="103" t="str">
        <f aca="false">IF($C3108="","",$D3108*IFERROR(INDEX('تحليل التكلفة والسعر'!$C$2:$C$700,MATCH($C3108,'تحليل التكلفة والسعر'!$B$2:$B$700,0)),0))</f>
        <v/>
      </c>
    </row>
    <row r="3109" customFormat="false" ht="15" hidden="false" customHeight="false" outlineLevel="0" collapsed="false">
      <c r="A3109" s="102"/>
      <c r="E3109" s="103" t="str">
        <f aca="false">IF($C3109="","",IFERROR(INDEX(المنيو!$C$2:$C$500,MATCH($C3109,المنيو!$B$2:$B$500,0)),0))</f>
        <v/>
      </c>
      <c r="F3109" s="103" t="str">
        <f aca="false">IF($C3109="","",$D3109*$E3109)</f>
        <v/>
      </c>
      <c r="G3109" s="103" t="str">
        <f aca="false">IF($C3109="","",$D3109*IFERROR(INDEX('تحليل التكلفة والسعر'!$C$2:$C$700,MATCH($C3109,'تحليل التكلفة والسعر'!$B$2:$B$700,0)),0))</f>
        <v/>
      </c>
    </row>
    <row r="3110" customFormat="false" ht="15" hidden="false" customHeight="false" outlineLevel="0" collapsed="false">
      <c r="A3110" s="102"/>
      <c r="E3110" s="103" t="str">
        <f aca="false">IF($C3110="","",IFERROR(INDEX(المنيو!$C$2:$C$500,MATCH($C3110,المنيو!$B$2:$B$500,0)),0))</f>
        <v/>
      </c>
      <c r="F3110" s="103" t="str">
        <f aca="false">IF($C3110="","",$D3110*$E3110)</f>
        <v/>
      </c>
      <c r="G3110" s="103" t="str">
        <f aca="false">IF($C3110="","",$D3110*IFERROR(INDEX('تحليل التكلفة والسعر'!$C$2:$C$700,MATCH($C3110,'تحليل التكلفة والسعر'!$B$2:$B$700,0)),0))</f>
        <v/>
      </c>
    </row>
    <row r="3111" customFormat="false" ht="15" hidden="false" customHeight="false" outlineLevel="0" collapsed="false">
      <c r="A3111" s="102"/>
      <c r="E3111" s="103" t="str">
        <f aca="false">IF($C3111="","",IFERROR(INDEX(المنيو!$C$2:$C$500,MATCH($C3111,المنيو!$B$2:$B$500,0)),0))</f>
        <v/>
      </c>
      <c r="F3111" s="103" t="str">
        <f aca="false">IF($C3111="","",$D3111*$E3111)</f>
        <v/>
      </c>
      <c r="G3111" s="103" t="str">
        <f aca="false">IF($C3111="","",$D3111*IFERROR(INDEX('تحليل التكلفة والسعر'!$C$2:$C$700,MATCH($C3111,'تحليل التكلفة والسعر'!$B$2:$B$700,0)),0))</f>
        <v/>
      </c>
    </row>
    <row r="3112" customFormat="false" ht="15" hidden="false" customHeight="false" outlineLevel="0" collapsed="false">
      <c r="A3112" s="102"/>
      <c r="E3112" s="103" t="str">
        <f aca="false">IF($C3112="","",IFERROR(INDEX(المنيو!$C$2:$C$500,MATCH($C3112,المنيو!$B$2:$B$500,0)),0))</f>
        <v/>
      </c>
      <c r="F3112" s="103" t="str">
        <f aca="false">IF($C3112="","",$D3112*$E3112)</f>
        <v/>
      </c>
      <c r="G3112" s="103" t="str">
        <f aca="false">IF($C3112="","",$D3112*IFERROR(INDEX('تحليل التكلفة والسعر'!$C$2:$C$700,MATCH($C3112,'تحليل التكلفة والسعر'!$B$2:$B$700,0)),0))</f>
        <v/>
      </c>
    </row>
    <row r="3113" customFormat="false" ht="15" hidden="false" customHeight="false" outlineLevel="0" collapsed="false">
      <c r="A3113" s="102"/>
      <c r="E3113" s="103" t="str">
        <f aca="false">IF($C3113="","",IFERROR(INDEX(المنيو!$C$2:$C$500,MATCH($C3113,المنيو!$B$2:$B$500,0)),0))</f>
        <v/>
      </c>
      <c r="F3113" s="103" t="str">
        <f aca="false">IF($C3113="","",$D3113*$E3113)</f>
        <v/>
      </c>
      <c r="G3113" s="103" t="str">
        <f aca="false">IF($C3113="","",$D3113*IFERROR(INDEX('تحليل التكلفة والسعر'!$C$2:$C$700,MATCH($C3113,'تحليل التكلفة والسعر'!$B$2:$B$700,0)),0))</f>
        <v/>
      </c>
    </row>
    <row r="3114" customFormat="false" ht="15" hidden="false" customHeight="false" outlineLevel="0" collapsed="false">
      <c r="A3114" s="102"/>
      <c r="E3114" s="103" t="str">
        <f aca="false">IF($C3114="","",IFERROR(INDEX(المنيو!$C$2:$C$500,MATCH($C3114,المنيو!$B$2:$B$500,0)),0))</f>
        <v/>
      </c>
      <c r="F3114" s="103" t="str">
        <f aca="false">IF($C3114="","",$D3114*$E3114)</f>
        <v/>
      </c>
      <c r="G3114" s="103" t="str">
        <f aca="false">IF($C3114="","",$D3114*IFERROR(INDEX('تحليل التكلفة والسعر'!$C$2:$C$700,MATCH($C3114,'تحليل التكلفة والسعر'!$B$2:$B$700,0)),0))</f>
        <v/>
      </c>
    </row>
    <row r="3115" customFormat="false" ht="15" hidden="false" customHeight="false" outlineLevel="0" collapsed="false">
      <c r="A3115" s="102"/>
      <c r="E3115" s="103" t="str">
        <f aca="false">IF($C3115="","",IFERROR(INDEX(المنيو!$C$2:$C$500,MATCH($C3115,المنيو!$B$2:$B$500,0)),0))</f>
        <v/>
      </c>
      <c r="F3115" s="103" t="str">
        <f aca="false">IF($C3115="","",$D3115*$E3115)</f>
        <v/>
      </c>
      <c r="G3115" s="103" t="str">
        <f aca="false">IF($C3115="","",$D3115*IFERROR(INDEX('تحليل التكلفة والسعر'!$C$2:$C$700,MATCH($C3115,'تحليل التكلفة والسعر'!$B$2:$B$700,0)),0))</f>
        <v/>
      </c>
    </row>
    <row r="3116" customFormat="false" ht="15" hidden="false" customHeight="false" outlineLevel="0" collapsed="false">
      <c r="A3116" s="102"/>
      <c r="E3116" s="103" t="str">
        <f aca="false">IF($C3116="","",IFERROR(INDEX(المنيو!$C$2:$C$500,MATCH($C3116,المنيو!$B$2:$B$500,0)),0))</f>
        <v/>
      </c>
      <c r="F3116" s="103" t="str">
        <f aca="false">IF($C3116="","",$D3116*$E3116)</f>
        <v/>
      </c>
      <c r="G3116" s="103" t="str">
        <f aca="false">IF($C3116="","",$D3116*IFERROR(INDEX('تحليل التكلفة والسعر'!$C$2:$C$700,MATCH($C3116,'تحليل التكلفة والسعر'!$B$2:$B$700,0)),0))</f>
        <v/>
      </c>
    </row>
    <row r="3117" customFormat="false" ht="15" hidden="false" customHeight="false" outlineLevel="0" collapsed="false">
      <c r="A3117" s="102"/>
      <c r="E3117" s="103" t="str">
        <f aca="false">IF($C3117="","",IFERROR(INDEX(المنيو!$C$2:$C$500,MATCH($C3117,المنيو!$B$2:$B$500,0)),0))</f>
        <v/>
      </c>
      <c r="F3117" s="103" t="str">
        <f aca="false">IF($C3117="","",$D3117*$E3117)</f>
        <v/>
      </c>
      <c r="G3117" s="103" t="str">
        <f aca="false">IF($C3117="","",$D3117*IFERROR(INDEX('تحليل التكلفة والسعر'!$C$2:$C$700,MATCH($C3117,'تحليل التكلفة والسعر'!$B$2:$B$700,0)),0))</f>
        <v/>
      </c>
    </row>
    <row r="3118" customFormat="false" ht="15" hidden="false" customHeight="false" outlineLevel="0" collapsed="false">
      <c r="A3118" s="102"/>
      <c r="E3118" s="103" t="str">
        <f aca="false">IF($C3118="","",IFERROR(INDEX(المنيو!$C$2:$C$500,MATCH($C3118,المنيو!$B$2:$B$500,0)),0))</f>
        <v/>
      </c>
      <c r="F3118" s="103" t="str">
        <f aca="false">IF($C3118="","",$D3118*$E3118)</f>
        <v/>
      </c>
      <c r="G3118" s="103" t="str">
        <f aca="false">IF($C3118="","",$D3118*IFERROR(INDEX('تحليل التكلفة والسعر'!$C$2:$C$700,MATCH($C3118,'تحليل التكلفة والسعر'!$B$2:$B$700,0)),0))</f>
        <v/>
      </c>
    </row>
    <row r="3119" customFormat="false" ht="15" hidden="false" customHeight="false" outlineLevel="0" collapsed="false">
      <c r="A3119" s="102"/>
      <c r="E3119" s="103" t="str">
        <f aca="false">IF($C3119="","",IFERROR(INDEX(المنيو!$C$2:$C$500,MATCH($C3119,المنيو!$B$2:$B$500,0)),0))</f>
        <v/>
      </c>
      <c r="F3119" s="103" t="str">
        <f aca="false">IF($C3119="","",$D3119*$E3119)</f>
        <v/>
      </c>
      <c r="G3119" s="103" t="str">
        <f aca="false">IF($C3119="","",$D3119*IFERROR(INDEX('تحليل التكلفة والسعر'!$C$2:$C$700,MATCH($C3119,'تحليل التكلفة والسعر'!$B$2:$B$700,0)),0))</f>
        <v/>
      </c>
    </row>
    <row r="3120" customFormat="false" ht="15" hidden="false" customHeight="false" outlineLevel="0" collapsed="false">
      <c r="A3120" s="102"/>
      <c r="E3120" s="103" t="str">
        <f aca="false">IF($C3120="","",IFERROR(INDEX(المنيو!$C$2:$C$500,MATCH($C3120,المنيو!$B$2:$B$500,0)),0))</f>
        <v/>
      </c>
      <c r="F3120" s="103" t="str">
        <f aca="false">IF($C3120="","",$D3120*$E3120)</f>
        <v/>
      </c>
      <c r="G3120" s="103" t="str">
        <f aca="false">IF($C3120="","",$D3120*IFERROR(INDEX('تحليل التكلفة والسعر'!$C$2:$C$700,MATCH($C3120,'تحليل التكلفة والسعر'!$B$2:$B$700,0)),0))</f>
        <v/>
      </c>
    </row>
    <row r="3121" customFormat="false" ht="15" hidden="false" customHeight="false" outlineLevel="0" collapsed="false">
      <c r="A3121" s="102"/>
      <c r="E3121" s="103" t="str">
        <f aca="false">IF($C3121="","",IFERROR(INDEX(المنيو!$C$2:$C$500,MATCH($C3121,المنيو!$B$2:$B$500,0)),0))</f>
        <v/>
      </c>
      <c r="F3121" s="103" t="str">
        <f aca="false">IF($C3121="","",$D3121*$E3121)</f>
        <v/>
      </c>
      <c r="G3121" s="103" t="str">
        <f aca="false">IF($C3121="","",$D3121*IFERROR(INDEX('تحليل التكلفة والسعر'!$C$2:$C$700,MATCH($C3121,'تحليل التكلفة والسعر'!$B$2:$B$700,0)),0))</f>
        <v/>
      </c>
    </row>
    <row r="3122" customFormat="false" ht="15" hidden="false" customHeight="false" outlineLevel="0" collapsed="false">
      <c r="A3122" s="102"/>
      <c r="E3122" s="103" t="str">
        <f aca="false">IF($C3122="","",IFERROR(INDEX(المنيو!$C$2:$C$500,MATCH($C3122,المنيو!$B$2:$B$500,0)),0))</f>
        <v/>
      </c>
      <c r="F3122" s="103" t="str">
        <f aca="false">IF($C3122="","",$D3122*$E3122)</f>
        <v/>
      </c>
      <c r="G3122" s="103" t="str">
        <f aca="false">IF($C3122="","",$D3122*IFERROR(INDEX('تحليل التكلفة والسعر'!$C$2:$C$700,MATCH($C3122,'تحليل التكلفة والسعر'!$B$2:$B$700,0)),0))</f>
        <v/>
      </c>
    </row>
    <row r="3123" customFormat="false" ht="15" hidden="false" customHeight="false" outlineLevel="0" collapsed="false">
      <c r="A3123" s="102"/>
      <c r="E3123" s="103" t="str">
        <f aca="false">IF($C3123="","",IFERROR(INDEX(المنيو!$C$2:$C$500,MATCH($C3123,المنيو!$B$2:$B$500,0)),0))</f>
        <v/>
      </c>
      <c r="F3123" s="103" t="str">
        <f aca="false">IF($C3123="","",$D3123*$E3123)</f>
        <v/>
      </c>
      <c r="G3123" s="103" t="str">
        <f aca="false">IF($C3123="","",$D3123*IFERROR(INDEX('تحليل التكلفة والسعر'!$C$2:$C$700,MATCH($C3123,'تحليل التكلفة والسعر'!$B$2:$B$700,0)),0))</f>
        <v/>
      </c>
    </row>
    <row r="3124" customFormat="false" ht="15" hidden="false" customHeight="false" outlineLevel="0" collapsed="false">
      <c r="A3124" s="102"/>
      <c r="E3124" s="103" t="str">
        <f aca="false">IF($C3124="","",IFERROR(INDEX(المنيو!$C$2:$C$500,MATCH($C3124,المنيو!$B$2:$B$500,0)),0))</f>
        <v/>
      </c>
      <c r="F3124" s="103" t="str">
        <f aca="false">IF($C3124="","",$D3124*$E3124)</f>
        <v/>
      </c>
      <c r="G3124" s="103" t="str">
        <f aca="false">IF($C3124="","",$D3124*IFERROR(INDEX('تحليل التكلفة والسعر'!$C$2:$C$700,MATCH($C3124,'تحليل التكلفة والسعر'!$B$2:$B$700,0)),0))</f>
        <v/>
      </c>
    </row>
    <row r="3125" customFormat="false" ht="15" hidden="false" customHeight="false" outlineLevel="0" collapsed="false">
      <c r="A3125" s="102"/>
      <c r="E3125" s="103" t="str">
        <f aca="false">IF($C3125="","",IFERROR(INDEX(المنيو!$C$2:$C$500,MATCH($C3125,المنيو!$B$2:$B$500,0)),0))</f>
        <v/>
      </c>
      <c r="F3125" s="103" t="str">
        <f aca="false">IF($C3125="","",$D3125*$E3125)</f>
        <v/>
      </c>
      <c r="G3125" s="103" t="str">
        <f aca="false">IF($C3125="","",$D3125*IFERROR(INDEX('تحليل التكلفة والسعر'!$C$2:$C$700,MATCH($C3125,'تحليل التكلفة والسعر'!$B$2:$B$700,0)),0))</f>
        <v/>
      </c>
    </row>
    <row r="3126" customFormat="false" ht="15" hidden="false" customHeight="false" outlineLevel="0" collapsed="false">
      <c r="A3126" s="102"/>
      <c r="E3126" s="103" t="str">
        <f aca="false">IF($C3126="","",IFERROR(INDEX(المنيو!$C$2:$C$500,MATCH($C3126,المنيو!$B$2:$B$500,0)),0))</f>
        <v/>
      </c>
      <c r="F3126" s="103" t="str">
        <f aca="false">IF($C3126="","",$D3126*$E3126)</f>
        <v/>
      </c>
      <c r="G3126" s="103" t="str">
        <f aca="false">IF($C3126="","",$D3126*IFERROR(INDEX('تحليل التكلفة والسعر'!$C$2:$C$700,MATCH($C3126,'تحليل التكلفة والسعر'!$B$2:$B$700,0)),0))</f>
        <v/>
      </c>
    </row>
    <row r="3127" customFormat="false" ht="15" hidden="false" customHeight="false" outlineLevel="0" collapsed="false">
      <c r="A3127" s="102"/>
      <c r="E3127" s="103" t="str">
        <f aca="false">IF($C3127="","",IFERROR(INDEX(المنيو!$C$2:$C$500,MATCH($C3127,المنيو!$B$2:$B$500,0)),0))</f>
        <v/>
      </c>
      <c r="F3127" s="103" t="str">
        <f aca="false">IF($C3127="","",$D3127*$E3127)</f>
        <v/>
      </c>
      <c r="G3127" s="103" t="str">
        <f aca="false">IF($C3127="","",$D3127*IFERROR(INDEX('تحليل التكلفة والسعر'!$C$2:$C$700,MATCH($C3127,'تحليل التكلفة والسعر'!$B$2:$B$700,0)),0))</f>
        <v/>
      </c>
    </row>
    <row r="3128" customFormat="false" ht="15" hidden="false" customHeight="false" outlineLevel="0" collapsed="false">
      <c r="A3128" s="102"/>
      <c r="E3128" s="103" t="str">
        <f aca="false">IF($C3128="","",IFERROR(INDEX(المنيو!$C$2:$C$500,MATCH($C3128,المنيو!$B$2:$B$500,0)),0))</f>
        <v/>
      </c>
      <c r="F3128" s="103" t="str">
        <f aca="false">IF($C3128="","",$D3128*$E3128)</f>
        <v/>
      </c>
      <c r="G3128" s="103" t="str">
        <f aca="false">IF($C3128="","",$D3128*IFERROR(INDEX('تحليل التكلفة والسعر'!$C$2:$C$700,MATCH($C3128,'تحليل التكلفة والسعر'!$B$2:$B$700,0)),0))</f>
        <v/>
      </c>
    </row>
    <row r="3129" customFormat="false" ht="15" hidden="false" customHeight="false" outlineLevel="0" collapsed="false">
      <c r="A3129" s="102"/>
      <c r="E3129" s="103" t="str">
        <f aca="false">IF($C3129="","",IFERROR(INDEX(المنيو!$C$2:$C$500,MATCH($C3129,المنيو!$B$2:$B$500,0)),0))</f>
        <v/>
      </c>
      <c r="F3129" s="103" t="str">
        <f aca="false">IF($C3129="","",$D3129*$E3129)</f>
        <v/>
      </c>
      <c r="G3129" s="103" t="str">
        <f aca="false">IF($C3129="","",$D3129*IFERROR(INDEX('تحليل التكلفة والسعر'!$C$2:$C$700,MATCH($C3129,'تحليل التكلفة والسعر'!$B$2:$B$700,0)),0))</f>
        <v/>
      </c>
    </row>
    <row r="3130" customFormat="false" ht="15" hidden="false" customHeight="false" outlineLevel="0" collapsed="false">
      <c r="A3130" s="102"/>
      <c r="E3130" s="103" t="str">
        <f aca="false">IF($C3130="","",IFERROR(INDEX(المنيو!$C$2:$C$500,MATCH($C3130,المنيو!$B$2:$B$500,0)),0))</f>
        <v/>
      </c>
      <c r="F3130" s="103" t="str">
        <f aca="false">IF($C3130="","",$D3130*$E3130)</f>
        <v/>
      </c>
      <c r="G3130" s="103" t="str">
        <f aca="false">IF($C3130="","",$D3130*IFERROR(INDEX('تحليل التكلفة والسعر'!$C$2:$C$700,MATCH($C3130,'تحليل التكلفة والسعر'!$B$2:$B$700,0)),0))</f>
        <v/>
      </c>
    </row>
    <row r="3131" customFormat="false" ht="15" hidden="false" customHeight="false" outlineLevel="0" collapsed="false">
      <c r="A3131" s="102"/>
      <c r="E3131" s="103" t="str">
        <f aca="false">IF($C3131="","",IFERROR(INDEX(المنيو!$C$2:$C$500,MATCH($C3131,المنيو!$B$2:$B$500,0)),0))</f>
        <v/>
      </c>
      <c r="F3131" s="103" t="str">
        <f aca="false">IF($C3131="","",$D3131*$E3131)</f>
        <v/>
      </c>
      <c r="G3131" s="103" t="str">
        <f aca="false">IF($C3131="","",$D3131*IFERROR(INDEX('تحليل التكلفة والسعر'!$C$2:$C$700,MATCH($C3131,'تحليل التكلفة والسعر'!$B$2:$B$700,0)),0))</f>
        <v/>
      </c>
    </row>
    <row r="3132" customFormat="false" ht="15" hidden="false" customHeight="false" outlineLevel="0" collapsed="false">
      <c r="A3132" s="102"/>
      <c r="E3132" s="103" t="str">
        <f aca="false">IF($C3132="","",IFERROR(INDEX(المنيو!$C$2:$C$500,MATCH($C3132,المنيو!$B$2:$B$500,0)),0))</f>
        <v/>
      </c>
      <c r="F3132" s="103" t="str">
        <f aca="false">IF($C3132="","",$D3132*$E3132)</f>
        <v/>
      </c>
      <c r="G3132" s="103" t="str">
        <f aca="false">IF($C3132="","",$D3132*IFERROR(INDEX('تحليل التكلفة والسعر'!$C$2:$C$700,MATCH($C3132,'تحليل التكلفة والسعر'!$B$2:$B$700,0)),0))</f>
        <v/>
      </c>
    </row>
    <row r="3133" customFormat="false" ht="15" hidden="false" customHeight="false" outlineLevel="0" collapsed="false">
      <c r="A3133" s="102"/>
      <c r="E3133" s="103" t="str">
        <f aca="false">IF($C3133="","",IFERROR(INDEX(المنيو!$C$2:$C$500,MATCH($C3133,المنيو!$B$2:$B$500,0)),0))</f>
        <v/>
      </c>
      <c r="F3133" s="103" t="str">
        <f aca="false">IF($C3133="","",$D3133*$E3133)</f>
        <v/>
      </c>
      <c r="G3133" s="103" t="str">
        <f aca="false">IF($C3133="","",$D3133*IFERROR(INDEX('تحليل التكلفة والسعر'!$C$2:$C$700,MATCH($C3133,'تحليل التكلفة والسعر'!$B$2:$B$700,0)),0))</f>
        <v/>
      </c>
    </row>
    <row r="3134" customFormat="false" ht="15" hidden="false" customHeight="false" outlineLevel="0" collapsed="false">
      <c r="A3134" s="102"/>
      <c r="E3134" s="103" t="str">
        <f aca="false">IF($C3134="","",IFERROR(INDEX(المنيو!$C$2:$C$500,MATCH($C3134,المنيو!$B$2:$B$500,0)),0))</f>
        <v/>
      </c>
      <c r="F3134" s="103" t="str">
        <f aca="false">IF($C3134="","",$D3134*$E3134)</f>
        <v/>
      </c>
      <c r="G3134" s="103" t="str">
        <f aca="false">IF($C3134="","",$D3134*IFERROR(INDEX('تحليل التكلفة والسعر'!$C$2:$C$700,MATCH($C3134,'تحليل التكلفة والسعر'!$B$2:$B$700,0)),0))</f>
        <v/>
      </c>
    </row>
    <row r="3135" customFormat="false" ht="15" hidden="false" customHeight="false" outlineLevel="0" collapsed="false">
      <c r="A3135" s="102"/>
      <c r="E3135" s="103" t="str">
        <f aca="false">IF($C3135="","",IFERROR(INDEX(المنيو!$C$2:$C$500,MATCH($C3135,المنيو!$B$2:$B$500,0)),0))</f>
        <v/>
      </c>
      <c r="F3135" s="103" t="str">
        <f aca="false">IF($C3135="","",$D3135*$E3135)</f>
        <v/>
      </c>
      <c r="G3135" s="103" t="str">
        <f aca="false">IF($C3135="","",$D3135*IFERROR(INDEX('تحليل التكلفة والسعر'!$C$2:$C$700,MATCH($C3135,'تحليل التكلفة والسعر'!$B$2:$B$700,0)),0))</f>
        <v/>
      </c>
    </row>
    <row r="3136" customFormat="false" ht="15" hidden="false" customHeight="false" outlineLevel="0" collapsed="false">
      <c r="A3136" s="102"/>
      <c r="E3136" s="103" t="str">
        <f aca="false">IF($C3136="","",IFERROR(INDEX(المنيو!$C$2:$C$500,MATCH($C3136,المنيو!$B$2:$B$500,0)),0))</f>
        <v/>
      </c>
      <c r="F3136" s="103" t="str">
        <f aca="false">IF($C3136="","",$D3136*$E3136)</f>
        <v/>
      </c>
      <c r="G3136" s="103" t="str">
        <f aca="false">IF($C3136="","",$D3136*IFERROR(INDEX('تحليل التكلفة والسعر'!$C$2:$C$700,MATCH($C3136,'تحليل التكلفة والسعر'!$B$2:$B$700,0)),0))</f>
        <v/>
      </c>
    </row>
    <row r="3137" customFormat="false" ht="15" hidden="false" customHeight="false" outlineLevel="0" collapsed="false">
      <c r="A3137" s="102"/>
      <c r="E3137" s="103" t="str">
        <f aca="false">IF($C3137="","",IFERROR(INDEX(المنيو!$C$2:$C$500,MATCH($C3137,المنيو!$B$2:$B$500,0)),0))</f>
        <v/>
      </c>
      <c r="F3137" s="103" t="str">
        <f aca="false">IF($C3137="","",$D3137*$E3137)</f>
        <v/>
      </c>
      <c r="G3137" s="103" t="str">
        <f aca="false">IF($C3137="","",$D3137*IFERROR(INDEX('تحليل التكلفة والسعر'!$C$2:$C$700,MATCH($C3137,'تحليل التكلفة والسعر'!$B$2:$B$700,0)),0))</f>
        <v/>
      </c>
    </row>
    <row r="3138" customFormat="false" ht="15" hidden="false" customHeight="false" outlineLevel="0" collapsed="false">
      <c r="A3138" s="102"/>
      <c r="E3138" s="103" t="str">
        <f aca="false">IF($C3138="","",IFERROR(INDEX(المنيو!$C$2:$C$500,MATCH($C3138,المنيو!$B$2:$B$500,0)),0))</f>
        <v/>
      </c>
      <c r="F3138" s="103" t="str">
        <f aca="false">IF($C3138="","",$D3138*$E3138)</f>
        <v/>
      </c>
      <c r="G3138" s="103" t="str">
        <f aca="false">IF($C3138="","",$D3138*IFERROR(INDEX('تحليل التكلفة والسعر'!$C$2:$C$700,MATCH($C3138,'تحليل التكلفة والسعر'!$B$2:$B$700,0)),0))</f>
        <v/>
      </c>
    </row>
    <row r="3139" customFormat="false" ht="15" hidden="false" customHeight="false" outlineLevel="0" collapsed="false">
      <c r="A3139" s="102"/>
      <c r="E3139" s="103" t="str">
        <f aca="false">IF($C3139="","",IFERROR(INDEX(المنيو!$C$2:$C$500,MATCH($C3139,المنيو!$B$2:$B$500,0)),0))</f>
        <v/>
      </c>
      <c r="F3139" s="103" t="str">
        <f aca="false">IF($C3139="","",$D3139*$E3139)</f>
        <v/>
      </c>
      <c r="G3139" s="103" t="str">
        <f aca="false">IF($C3139="","",$D3139*IFERROR(INDEX('تحليل التكلفة والسعر'!$C$2:$C$700,MATCH($C3139,'تحليل التكلفة والسعر'!$B$2:$B$700,0)),0))</f>
        <v/>
      </c>
    </row>
    <row r="3140" customFormat="false" ht="15" hidden="false" customHeight="false" outlineLevel="0" collapsed="false">
      <c r="A3140" s="102"/>
      <c r="E3140" s="103" t="str">
        <f aca="false">IF($C3140="","",IFERROR(INDEX(المنيو!$C$2:$C$500,MATCH($C3140,المنيو!$B$2:$B$500,0)),0))</f>
        <v/>
      </c>
      <c r="F3140" s="103" t="str">
        <f aca="false">IF($C3140="","",$D3140*$E3140)</f>
        <v/>
      </c>
      <c r="G3140" s="103" t="str">
        <f aca="false">IF($C3140="","",$D3140*IFERROR(INDEX('تحليل التكلفة والسعر'!$C$2:$C$700,MATCH($C3140,'تحليل التكلفة والسعر'!$B$2:$B$700,0)),0))</f>
        <v/>
      </c>
    </row>
    <row r="3141" customFormat="false" ht="15" hidden="false" customHeight="false" outlineLevel="0" collapsed="false">
      <c r="A3141" s="102"/>
      <c r="E3141" s="103" t="str">
        <f aca="false">IF($C3141="","",IFERROR(INDEX(المنيو!$C$2:$C$500,MATCH($C3141,المنيو!$B$2:$B$500,0)),0))</f>
        <v/>
      </c>
      <c r="F3141" s="103" t="str">
        <f aca="false">IF($C3141="","",$D3141*$E3141)</f>
        <v/>
      </c>
      <c r="G3141" s="103" t="str">
        <f aca="false">IF($C3141="","",$D3141*IFERROR(INDEX('تحليل التكلفة والسعر'!$C$2:$C$700,MATCH($C3141,'تحليل التكلفة والسعر'!$B$2:$B$700,0)),0))</f>
        <v/>
      </c>
    </row>
    <row r="3142" customFormat="false" ht="15" hidden="false" customHeight="false" outlineLevel="0" collapsed="false">
      <c r="A3142" s="102"/>
      <c r="E3142" s="103" t="str">
        <f aca="false">IF($C3142="","",IFERROR(INDEX(المنيو!$C$2:$C$500,MATCH($C3142,المنيو!$B$2:$B$500,0)),0))</f>
        <v/>
      </c>
      <c r="F3142" s="103" t="str">
        <f aca="false">IF($C3142="","",$D3142*$E3142)</f>
        <v/>
      </c>
      <c r="G3142" s="103" t="str">
        <f aca="false">IF($C3142="","",$D3142*IFERROR(INDEX('تحليل التكلفة والسعر'!$C$2:$C$700,MATCH($C3142,'تحليل التكلفة والسعر'!$B$2:$B$700,0)),0))</f>
        <v/>
      </c>
    </row>
    <row r="3143" customFormat="false" ht="15" hidden="false" customHeight="false" outlineLevel="0" collapsed="false">
      <c r="A3143" s="102"/>
      <c r="E3143" s="103" t="str">
        <f aca="false">IF($C3143="","",IFERROR(INDEX(المنيو!$C$2:$C$500,MATCH($C3143,المنيو!$B$2:$B$500,0)),0))</f>
        <v/>
      </c>
      <c r="F3143" s="103" t="str">
        <f aca="false">IF($C3143="","",$D3143*$E3143)</f>
        <v/>
      </c>
      <c r="G3143" s="103" t="str">
        <f aca="false">IF($C3143="","",$D3143*IFERROR(INDEX('تحليل التكلفة والسعر'!$C$2:$C$700,MATCH($C3143,'تحليل التكلفة والسعر'!$B$2:$B$700,0)),0))</f>
        <v/>
      </c>
    </row>
    <row r="3144" customFormat="false" ht="15" hidden="false" customHeight="false" outlineLevel="0" collapsed="false">
      <c r="A3144" s="102"/>
      <c r="E3144" s="103" t="str">
        <f aca="false">IF($C3144="","",IFERROR(INDEX(المنيو!$C$2:$C$500,MATCH($C3144,المنيو!$B$2:$B$500,0)),0))</f>
        <v/>
      </c>
      <c r="F3144" s="103" t="str">
        <f aca="false">IF($C3144="","",$D3144*$E3144)</f>
        <v/>
      </c>
      <c r="G3144" s="103" t="str">
        <f aca="false">IF($C3144="","",$D3144*IFERROR(INDEX('تحليل التكلفة والسعر'!$C$2:$C$700,MATCH($C3144,'تحليل التكلفة والسعر'!$B$2:$B$700,0)),0))</f>
        <v/>
      </c>
    </row>
    <row r="3145" customFormat="false" ht="15" hidden="false" customHeight="false" outlineLevel="0" collapsed="false">
      <c r="A3145" s="102"/>
      <c r="E3145" s="103" t="str">
        <f aca="false">IF($C3145="","",IFERROR(INDEX(المنيو!$C$2:$C$500,MATCH($C3145,المنيو!$B$2:$B$500,0)),0))</f>
        <v/>
      </c>
      <c r="F3145" s="103" t="str">
        <f aca="false">IF($C3145="","",$D3145*$E3145)</f>
        <v/>
      </c>
      <c r="G3145" s="103" t="str">
        <f aca="false">IF($C3145="","",$D3145*IFERROR(INDEX('تحليل التكلفة والسعر'!$C$2:$C$700,MATCH($C3145,'تحليل التكلفة والسعر'!$B$2:$B$700,0)),0))</f>
        <v/>
      </c>
    </row>
    <row r="3146" customFormat="false" ht="15" hidden="false" customHeight="false" outlineLevel="0" collapsed="false">
      <c r="A3146" s="102"/>
      <c r="E3146" s="103" t="str">
        <f aca="false">IF($C3146="","",IFERROR(INDEX(المنيو!$C$2:$C$500,MATCH($C3146,المنيو!$B$2:$B$500,0)),0))</f>
        <v/>
      </c>
      <c r="F3146" s="103" t="str">
        <f aca="false">IF($C3146="","",$D3146*$E3146)</f>
        <v/>
      </c>
      <c r="G3146" s="103" t="str">
        <f aca="false">IF($C3146="","",$D3146*IFERROR(INDEX('تحليل التكلفة والسعر'!$C$2:$C$700,MATCH($C3146,'تحليل التكلفة والسعر'!$B$2:$B$700,0)),0))</f>
        <v/>
      </c>
    </row>
    <row r="3147" customFormat="false" ht="15" hidden="false" customHeight="false" outlineLevel="0" collapsed="false">
      <c r="A3147" s="102"/>
      <c r="E3147" s="103" t="str">
        <f aca="false">IF($C3147="","",IFERROR(INDEX(المنيو!$C$2:$C$500,MATCH($C3147,المنيو!$B$2:$B$500,0)),0))</f>
        <v/>
      </c>
      <c r="F3147" s="103" t="str">
        <f aca="false">IF($C3147="","",$D3147*$E3147)</f>
        <v/>
      </c>
      <c r="G3147" s="103" t="str">
        <f aca="false">IF($C3147="","",$D3147*IFERROR(INDEX('تحليل التكلفة والسعر'!$C$2:$C$700,MATCH($C3147,'تحليل التكلفة والسعر'!$B$2:$B$700,0)),0))</f>
        <v/>
      </c>
    </row>
    <row r="3148" customFormat="false" ht="15" hidden="false" customHeight="false" outlineLevel="0" collapsed="false">
      <c r="A3148" s="102"/>
      <c r="E3148" s="103" t="str">
        <f aca="false">IF($C3148="","",IFERROR(INDEX(المنيو!$C$2:$C$500,MATCH($C3148,المنيو!$B$2:$B$500,0)),0))</f>
        <v/>
      </c>
      <c r="F3148" s="103" t="str">
        <f aca="false">IF($C3148="","",$D3148*$E3148)</f>
        <v/>
      </c>
      <c r="G3148" s="103" t="str">
        <f aca="false">IF($C3148="","",$D3148*IFERROR(INDEX('تحليل التكلفة والسعر'!$C$2:$C$700,MATCH($C3148,'تحليل التكلفة والسعر'!$B$2:$B$700,0)),0))</f>
        <v/>
      </c>
    </row>
    <row r="3149" customFormat="false" ht="15" hidden="false" customHeight="false" outlineLevel="0" collapsed="false">
      <c r="A3149" s="102"/>
      <c r="E3149" s="103" t="str">
        <f aca="false">IF($C3149="","",IFERROR(INDEX(المنيو!$C$2:$C$500,MATCH($C3149,المنيو!$B$2:$B$500,0)),0))</f>
        <v/>
      </c>
      <c r="F3149" s="103" t="str">
        <f aca="false">IF($C3149="","",$D3149*$E3149)</f>
        <v/>
      </c>
      <c r="G3149" s="103" t="str">
        <f aca="false">IF($C3149="","",$D3149*IFERROR(INDEX('تحليل التكلفة والسعر'!$C$2:$C$700,MATCH($C3149,'تحليل التكلفة والسعر'!$B$2:$B$700,0)),0))</f>
        <v/>
      </c>
    </row>
    <row r="3150" customFormat="false" ht="15" hidden="false" customHeight="false" outlineLevel="0" collapsed="false">
      <c r="A3150" s="102"/>
      <c r="E3150" s="103" t="str">
        <f aca="false">IF($C3150="","",IFERROR(INDEX(المنيو!$C$2:$C$500,MATCH($C3150,المنيو!$B$2:$B$500,0)),0))</f>
        <v/>
      </c>
      <c r="F3150" s="103" t="str">
        <f aca="false">IF($C3150="","",$D3150*$E3150)</f>
        <v/>
      </c>
      <c r="G3150" s="103" t="str">
        <f aca="false">IF($C3150="","",$D3150*IFERROR(INDEX('تحليل التكلفة والسعر'!$C$2:$C$700,MATCH($C3150,'تحليل التكلفة والسعر'!$B$2:$B$700,0)),0))</f>
        <v/>
      </c>
    </row>
    <row r="3151" customFormat="false" ht="15" hidden="false" customHeight="false" outlineLevel="0" collapsed="false">
      <c r="A3151" s="102"/>
      <c r="E3151" s="103" t="str">
        <f aca="false">IF($C3151="","",IFERROR(INDEX(المنيو!$C$2:$C$500,MATCH($C3151,المنيو!$B$2:$B$500,0)),0))</f>
        <v/>
      </c>
      <c r="F3151" s="103" t="str">
        <f aca="false">IF($C3151="","",$D3151*$E3151)</f>
        <v/>
      </c>
      <c r="G3151" s="103" t="str">
        <f aca="false">IF($C3151="","",$D3151*IFERROR(INDEX('تحليل التكلفة والسعر'!$C$2:$C$700,MATCH($C3151,'تحليل التكلفة والسعر'!$B$2:$B$700,0)),0))</f>
        <v/>
      </c>
    </row>
    <row r="3152" customFormat="false" ht="15" hidden="false" customHeight="false" outlineLevel="0" collapsed="false">
      <c r="A3152" s="102"/>
      <c r="E3152" s="103" t="str">
        <f aca="false">IF($C3152="","",IFERROR(INDEX(المنيو!$C$2:$C$500,MATCH($C3152,المنيو!$B$2:$B$500,0)),0))</f>
        <v/>
      </c>
      <c r="F3152" s="103" t="str">
        <f aca="false">IF($C3152="","",$D3152*$E3152)</f>
        <v/>
      </c>
      <c r="G3152" s="103" t="str">
        <f aca="false">IF($C3152="","",$D3152*IFERROR(INDEX('تحليل التكلفة والسعر'!$C$2:$C$700,MATCH($C3152,'تحليل التكلفة والسعر'!$B$2:$B$700,0)),0))</f>
        <v/>
      </c>
    </row>
    <row r="3153" customFormat="false" ht="15" hidden="false" customHeight="false" outlineLevel="0" collapsed="false">
      <c r="A3153" s="102"/>
      <c r="E3153" s="103" t="str">
        <f aca="false">IF($C3153="","",IFERROR(INDEX(المنيو!$C$2:$C$500,MATCH($C3153,المنيو!$B$2:$B$500,0)),0))</f>
        <v/>
      </c>
      <c r="F3153" s="103" t="str">
        <f aca="false">IF($C3153="","",$D3153*$E3153)</f>
        <v/>
      </c>
      <c r="G3153" s="103" t="str">
        <f aca="false">IF($C3153="","",$D3153*IFERROR(INDEX('تحليل التكلفة والسعر'!$C$2:$C$700,MATCH($C3153,'تحليل التكلفة والسعر'!$B$2:$B$700,0)),0))</f>
        <v/>
      </c>
    </row>
    <row r="3154" customFormat="false" ht="15" hidden="false" customHeight="false" outlineLevel="0" collapsed="false">
      <c r="A3154" s="102"/>
      <c r="E3154" s="103" t="str">
        <f aca="false">IF($C3154="","",IFERROR(INDEX(المنيو!$C$2:$C$500,MATCH($C3154,المنيو!$B$2:$B$500,0)),0))</f>
        <v/>
      </c>
      <c r="F3154" s="103" t="str">
        <f aca="false">IF($C3154="","",$D3154*$E3154)</f>
        <v/>
      </c>
      <c r="G3154" s="103" t="str">
        <f aca="false">IF($C3154="","",$D3154*IFERROR(INDEX('تحليل التكلفة والسعر'!$C$2:$C$700,MATCH($C3154,'تحليل التكلفة والسعر'!$B$2:$B$700,0)),0))</f>
        <v/>
      </c>
    </row>
    <row r="3155" customFormat="false" ht="15" hidden="false" customHeight="false" outlineLevel="0" collapsed="false">
      <c r="A3155" s="102"/>
      <c r="E3155" s="103" t="str">
        <f aca="false">IF($C3155="","",IFERROR(INDEX(المنيو!$C$2:$C$500,MATCH($C3155,المنيو!$B$2:$B$500,0)),0))</f>
        <v/>
      </c>
      <c r="F3155" s="103" t="str">
        <f aca="false">IF($C3155="","",$D3155*$E3155)</f>
        <v/>
      </c>
      <c r="G3155" s="103" t="str">
        <f aca="false">IF($C3155="","",$D3155*IFERROR(INDEX('تحليل التكلفة والسعر'!$C$2:$C$700,MATCH($C3155,'تحليل التكلفة والسعر'!$B$2:$B$700,0)),0))</f>
        <v/>
      </c>
    </row>
    <row r="3156" customFormat="false" ht="15" hidden="false" customHeight="false" outlineLevel="0" collapsed="false">
      <c r="A3156" s="102"/>
      <c r="E3156" s="103" t="str">
        <f aca="false">IF($C3156="","",IFERROR(INDEX(المنيو!$C$2:$C$500,MATCH($C3156,المنيو!$B$2:$B$500,0)),0))</f>
        <v/>
      </c>
      <c r="F3156" s="103" t="str">
        <f aca="false">IF($C3156="","",$D3156*$E3156)</f>
        <v/>
      </c>
      <c r="G3156" s="103" t="str">
        <f aca="false">IF($C3156="","",$D3156*IFERROR(INDEX('تحليل التكلفة والسعر'!$C$2:$C$700,MATCH($C3156,'تحليل التكلفة والسعر'!$B$2:$B$700,0)),0))</f>
        <v/>
      </c>
    </row>
    <row r="3157" customFormat="false" ht="15" hidden="false" customHeight="false" outlineLevel="0" collapsed="false">
      <c r="A3157" s="102"/>
      <c r="E3157" s="103" t="str">
        <f aca="false">IF($C3157="","",IFERROR(INDEX(المنيو!$C$2:$C$500,MATCH($C3157,المنيو!$B$2:$B$500,0)),0))</f>
        <v/>
      </c>
      <c r="F3157" s="103" t="str">
        <f aca="false">IF($C3157="","",$D3157*$E3157)</f>
        <v/>
      </c>
      <c r="G3157" s="103" t="str">
        <f aca="false">IF($C3157="","",$D3157*IFERROR(INDEX('تحليل التكلفة والسعر'!$C$2:$C$700,MATCH($C3157,'تحليل التكلفة والسعر'!$B$2:$B$700,0)),0))</f>
        <v/>
      </c>
    </row>
    <row r="3158" customFormat="false" ht="15" hidden="false" customHeight="false" outlineLevel="0" collapsed="false">
      <c r="A3158" s="102"/>
      <c r="E3158" s="103" t="str">
        <f aca="false">IF($C3158="","",IFERROR(INDEX(المنيو!$C$2:$C$500,MATCH($C3158,المنيو!$B$2:$B$500,0)),0))</f>
        <v/>
      </c>
      <c r="F3158" s="103" t="str">
        <f aca="false">IF($C3158="","",$D3158*$E3158)</f>
        <v/>
      </c>
      <c r="G3158" s="103" t="str">
        <f aca="false">IF($C3158="","",$D3158*IFERROR(INDEX('تحليل التكلفة والسعر'!$C$2:$C$700,MATCH($C3158,'تحليل التكلفة والسعر'!$B$2:$B$700,0)),0))</f>
        <v/>
      </c>
    </row>
    <row r="3159" customFormat="false" ht="15" hidden="false" customHeight="false" outlineLevel="0" collapsed="false">
      <c r="A3159" s="102"/>
      <c r="E3159" s="103" t="str">
        <f aca="false">IF($C3159="","",IFERROR(INDEX(المنيو!$C$2:$C$500,MATCH($C3159,المنيو!$B$2:$B$500,0)),0))</f>
        <v/>
      </c>
      <c r="F3159" s="103" t="str">
        <f aca="false">IF($C3159="","",$D3159*$E3159)</f>
        <v/>
      </c>
      <c r="G3159" s="103" t="str">
        <f aca="false">IF($C3159="","",$D3159*IFERROR(INDEX('تحليل التكلفة والسعر'!$C$2:$C$700,MATCH($C3159,'تحليل التكلفة والسعر'!$B$2:$B$700,0)),0))</f>
        <v/>
      </c>
    </row>
    <row r="3160" customFormat="false" ht="15" hidden="false" customHeight="false" outlineLevel="0" collapsed="false">
      <c r="A3160" s="102"/>
      <c r="E3160" s="103" t="str">
        <f aca="false">IF($C3160="","",IFERROR(INDEX(المنيو!$C$2:$C$500,MATCH($C3160,المنيو!$B$2:$B$500,0)),0))</f>
        <v/>
      </c>
      <c r="F3160" s="103" t="str">
        <f aca="false">IF($C3160="","",$D3160*$E3160)</f>
        <v/>
      </c>
      <c r="G3160" s="103" t="str">
        <f aca="false">IF($C3160="","",$D3160*IFERROR(INDEX('تحليل التكلفة والسعر'!$C$2:$C$700,MATCH($C3160,'تحليل التكلفة والسعر'!$B$2:$B$700,0)),0))</f>
        <v/>
      </c>
    </row>
    <row r="3161" customFormat="false" ht="15" hidden="false" customHeight="false" outlineLevel="0" collapsed="false">
      <c r="A3161" s="102"/>
      <c r="E3161" s="103" t="str">
        <f aca="false">IF($C3161="","",IFERROR(INDEX(المنيو!$C$2:$C$500,MATCH($C3161,المنيو!$B$2:$B$500,0)),0))</f>
        <v/>
      </c>
      <c r="F3161" s="103" t="str">
        <f aca="false">IF($C3161="","",$D3161*$E3161)</f>
        <v/>
      </c>
      <c r="G3161" s="103" t="str">
        <f aca="false">IF($C3161="","",$D3161*IFERROR(INDEX('تحليل التكلفة والسعر'!$C$2:$C$700,MATCH($C3161,'تحليل التكلفة والسعر'!$B$2:$B$700,0)),0))</f>
        <v/>
      </c>
    </row>
    <row r="3162" customFormat="false" ht="15" hidden="false" customHeight="false" outlineLevel="0" collapsed="false">
      <c r="A3162" s="102"/>
      <c r="E3162" s="103" t="str">
        <f aca="false">IF($C3162="","",IFERROR(INDEX(المنيو!$C$2:$C$500,MATCH($C3162,المنيو!$B$2:$B$500,0)),0))</f>
        <v/>
      </c>
      <c r="F3162" s="103" t="str">
        <f aca="false">IF($C3162="","",$D3162*$E3162)</f>
        <v/>
      </c>
      <c r="G3162" s="103" t="str">
        <f aca="false">IF($C3162="","",$D3162*IFERROR(INDEX('تحليل التكلفة والسعر'!$C$2:$C$700,MATCH($C3162,'تحليل التكلفة والسعر'!$B$2:$B$700,0)),0))</f>
        <v/>
      </c>
    </row>
    <row r="3163" customFormat="false" ht="15" hidden="false" customHeight="false" outlineLevel="0" collapsed="false">
      <c r="A3163" s="102"/>
      <c r="E3163" s="103" t="str">
        <f aca="false">IF($C3163="","",IFERROR(INDEX(المنيو!$C$2:$C$500,MATCH($C3163,المنيو!$B$2:$B$500,0)),0))</f>
        <v/>
      </c>
      <c r="F3163" s="103" t="str">
        <f aca="false">IF($C3163="","",$D3163*$E3163)</f>
        <v/>
      </c>
      <c r="G3163" s="103" t="str">
        <f aca="false">IF($C3163="","",$D3163*IFERROR(INDEX('تحليل التكلفة والسعر'!$C$2:$C$700,MATCH($C3163,'تحليل التكلفة والسعر'!$B$2:$B$700,0)),0))</f>
        <v/>
      </c>
    </row>
    <row r="3164" customFormat="false" ht="15" hidden="false" customHeight="false" outlineLevel="0" collapsed="false">
      <c r="A3164" s="102"/>
      <c r="E3164" s="103" t="str">
        <f aca="false">IF($C3164="","",IFERROR(INDEX(المنيو!$C$2:$C$500,MATCH($C3164,المنيو!$B$2:$B$500,0)),0))</f>
        <v/>
      </c>
      <c r="F3164" s="103" t="str">
        <f aca="false">IF($C3164="","",$D3164*$E3164)</f>
        <v/>
      </c>
      <c r="G3164" s="103" t="str">
        <f aca="false">IF($C3164="","",$D3164*IFERROR(INDEX('تحليل التكلفة والسعر'!$C$2:$C$700,MATCH($C3164,'تحليل التكلفة والسعر'!$B$2:$B$700,0)),0))</f>
        <v/>
      </c>
    </row>
    <row r="3165" customFormat="false" ht="15" hidden="false" customHeight="false" outlineLevel="0" collapsed="false">
      <c r="A3165" s="102"/>
      <c r="E3165" s="103" t="str">
        <f aca="false">IF($C3165="","",IFERROR(INDEX(المنيو!$C$2:$C$500,MATCH($C3165,المنيو!$B$2:$B$500,0)),0))</f>
        <v/>
      </c>
      <c r="F3165" s="103" t="str">
        <f aca="false">IF($C3165="","",$D3165*$E3165)</f>
        <v/>
      </c>
      <c r="G3165" s="103" t="str">
        <f aca="false">IF($C3165="","",$D3165*IFERROR(INDEX('تحليل التكلفة والسعر'!$C$2:$C$700,MATCH($C3165,'تحليل التكلفة والسعر'!$B$2:$B$700,0)),0))</f>
        <v/>
      </c>
    </row>
    <row r="3166" customFormat="false" ht="15" hidden="false" customHeight="false" outlineLevel="0" collapsed="false">
      <c r="A3166" s="102"/>
      <c r="E3166" s="103" t="str">
        <f aca="false">IF($C3166="","",IFERROR(INDEX(المنيو!$C$2:$C$500,MATCH($C3166,المنيو!$B$2:$B$500,0)),0))</f>
        <v/>
      </c>
      <c r="F3166" s="103" t="str">
        <f aca="false">IF($C3166="","",$D3166*$E3166)</f>
        <v/>
      </c>
      <c r="G3166" s="103" t="str">
        <f aca="false">IF($C3166="","",$D3166*IFERROR(INDEX('تحليل التكلفة والسعر'!$C$2:$C$700,MATCH($C3166,'تحليل التكلفة والسعر'!$B$2:$B$700,0)),0))</f>
        <v/>
      </c>
    </row>
    <row r="3167" customFormat="false" ht="15" hidden="false" customHeight="false" outlineLevel="0" collapsed="false">
      <c r="A3167" s="102"/>
      <c r="E3167" s="103" t="str">
        <f aca="false">IF($C3167="","",IFERROR(INDEX(المنيو!$C$2:$C$500,MATCH($C3167,المنيو!$B$2:$B$500,0)),0))</f>
        <v/>
      </c>
      <c r="F3167" s="103" t="str">
        <f aca="false">IF($C3167="","",$D3167*$E3167)</f>
        <v/>
      </c>
      <c r="G3167" s="103" t="str">
        <f aca="false">IF($C3167="","",$D3167*IFERROR(INDEX('تحليل التكلفة والسعر'!$C$2:$C$700,MATCH($C3167,'تحليل التكلفة والسعر'!$B$2:$B$700,0)),0))</f>
        <v/>
      </c>
    </row>
    <row r="3168" customFormat="false" ht="15" hidden="false" customHeight="false" outlineLevel="0" collapsed="false">
      <c r="A3168" s="102"/>
      <c r="E3168" s="103" t="str">
        <f aca="false">IF($C3168="","",IFERROR(INDEX(المنيو!$C$2:$C$500,MATCH($C3168,المنيو!$B$2:$B$500,0)),0))</f>
        <v/>
      </c>
      <c r="F3168" s="103" t="str">
        <f aca="false">IF($C3168="","",$D3168*$E3168)</f>
        <v/>
      </c>
      <c r="G3168" s="103" t="str">
        <f aca="false">IF($C3168="","",$D3168*IFERROR(INDEX('تحليل التكلفة والسعر'!$C$2:$C$700,MATCH($C3168,'تحليل التكلفة والسعر'!$B$2:$B$700,0)),0))</f>
        <v/>
      </c>
    </row>
    <row r="3169" customFormat="false" ht="15" hidden="false" customHeight="false" outlineLevel="0" collapsed="false">
      <c r="A3169" s="102"/>
      <c r="E3169" s="103" t="str">
        <f aca="false">IF($C3169="","",IFERROR(INDEX(المنيو!$C$2:$C$500,MATCH($C3169,المنيو!$B$2:$B$500,0)),0))</f>
        <v/>
      </c>
      <c r="F3169" s="103" t="str">
        <f aca="false">IF($C3169="","",$D3169*$E3169)</f>
        <v/>
      </c>
      <c r="G3169" s="103" t="str">
        <f aca="false">IF($C3169="","",$D3169*IFERROR(INDEX('تحليل التكلفة والسعر'!$C$2:$C$700,MATCH($C3169,'تحليل التكلفة والسعر'!$B$2:$B$700,0)),0))</f>
        <v/>
      </c>
    </row>
    <row r="3170" customFormat="false" ht="15" hidden="false" customHeight="false" outlineLevel="0" collapsed="false">
      <c r="A3170" s="102"/>
      <c r="E3170" s="103" t="str">
        <f aca="false">IF($C3170="","",IFERROR(INDEX(المنيو!$C$2:$C$500,MATCH($C3170,المنيو!$B$2:$B$500,0)),0))</f>
        <v/>
      </c>
      <c r="F3170" s="103" t="str">
        <f aca="false">IF($C3170="","",$D3170*$E3170)</f>
        <v/>
      </c>
      <c r="G3170" s="103" t="str">
        <f aca="false">IF($C3170="","",$D3170*IFERROR(INDEX('تحليل التكلفة والسعر'!$C$2:$C$700,MATCH($C3170,'تحليل التكلفة والسعر'!$B$2:$B$700,0)),0))</f>
        <v/>
      </c>
    </row>
    <row r="3171" customFormat="false" ht="15" hidden="false" customHeight="false" outlineLevel="0" collapsed="false">
      <c r="A3171" s="102"/>
      <c r="E3171" s="103" t="str">
        <f aca="false">IF($C3171="","",IFERROR(INDEX(المنيو!$C$2:$C$500,MATCH($C3171,المنيو!$B$2:$B$500,0)),0))</f>
        <v/>
      </c>
      <c r="F3171" s="103" t="str">
        <f aca="false">IF($C3171="","",$D3171*$E3171)</f>
        <v/>
      </c>
      <c r="G3171" s="103" t="str">
        <f aca="false">IF($C3171="","",$D3171*IFERROR(INDEX('تحليل التكلفة والسعر'!$C$2:$C$700,MATCH($C3171,'تحليل التكلفة والسعر'!$B$2:$B$700,0)),0))</f>
        <v/>
      </c>
    </row>
    <row r="3172" customFormat="false" ht="15" hidden="false" customHeight="false" outlineLevel="0" collapsed="false">
      <c r="A3172" s="102"/>
      <c r="E3172" s="103" t="str">
        <f aca="false">IF($C3172="","",IFERROR(INDEX(المنيو!$C$2:$C$500,MATCH($C3172,المنيو!$B$2:$B$500,0)),0))</f>
        <v/>
      </c>
      <c r="F3172" s="103" t="str">
        <f aca="false">IF($C3172="","",$D3172*$E3172)</f>
        <v/>
      </c>
      <c r="G3172" s="103" t="str">
        <f aca="false">IF($C3172="","",$D3172*IFERROR(INDEX('تحليل التكلفة والسعر'!$C$2:$C$700,MATCH($C3172,'تحليل التكلفة والسعر'!$B$2:$B$700,0)),0))</f>
        <v/>
      </c>
    </row>
    <row r="3173" customFormat="false" ht="15" hidden="false" customHeight="false" outlineLevel="0" collapsed="false">
      <c r="A3173" s="102"/>
      <c r="E3173" s="103" t="str">
        <f aca="false">IF($C3173="","",IFERROR(INDEX(المنيو!$C$2:$C$500,MATCH($C3173,المنيو!$B$2:$B$500,0)),0))</f>
        <v/>
      </c>
      <c r="F3173" s="103" t="str">
        <f aca="false">IF($C3173="","",$D3173*$E3173)</f>
        <v/>
      </c>
      <c r="G3173" s="103" t="str">
        <f aca="false">IF($C3173="","",$D3173*IFERROR(INDEX('تحليل التكلفة والسعر'!$C$2:$C$700,MATCH($C3173,'تحليل التكلفة والسعر'!$B$2:$B$700,0)),0))</f>
        <v/>
      </c>
    </row>
    <row r="3174" customFormat="false" ht="15" hidden="false" customHeight="false" outlineLevel="0" collapsed="false">
      <c r="A3174" s="102"/>
      <c r="E3174" s="103" t="str">
        <f aca="false">IF($C3174="","",IFERROR(INDEX(المنيو!$C$2:$C$500,MATCH($C3174,المنيو!$B$2:$B$500,0)),0))</f>
        <v/>
      </c>
      <c r="F3174" s="103" t="str">
        <f aca="false">IF($C3174="","",$D3174*$E3174)</f>
        <v/>
      </c>
      <c r="G3174" s="103" t="str">
        <f aca="false">IF($C3174="","",$D3174*IFERROR(INDEX('تحليل التكلفة والسعر'!$C$2:$C$700,MATCH($C3174,'تحليل التكلفة والسعر'!$B$2:$B$700,0)),0))</f>
        <v/>
      </c>
    </row>
    <row r="3175" customFormat="false" ht="15" hidden="false" customHeight="false" outlineLevel="0" collapsed="false">
      <c r="A3175" s="102"/>
      <c r="E3175" s="103" t="str">
        <f aca="false">IF($C3175="","",IFERROR(INDEX(المنيو!$C$2:$C$500,MATCH($C3175,المنيو!$B$2:$B$500,0)),0))</f>
        <v/>
      </c>
      <c r="F3175" s="103" t="str">
        <f aca="false">IF($C3175="","",$D3175*$E3175)</f>
        <v/>
      </c>
      <c r="G3175" s="103" t="str">
        <f aca="false">IF($C3175="","",$D3175*IFERROR(INDEX('تحليل التكلفة والسعر'!$C$2:$C$700,MATCH($C3175,'تحليل التكلفة والسعر'!$B$2:$B$700,0)),0))</f>
        <v/>
      </c>
    </row>
    <row r="3176" customFormat="false" ht="15" hidden="false" customHeight="false" outlineLevel="0" collapsed="false">
      <c r="A3176" s="102"/>
      <c r="E3176" s="103" t="str">
        <f aca="false">IF($C3176="","",IFERROR(INDEX(المنيو!$C$2:$C$500,MATCH($C3176,المنيو!$B$2:$B$500,0)),0))</f>
        <v/>
      </c>
      <c r="F3176" s="103" t="str">
        <f aca="false">IF($C3176="","",$D3176*$E3176)</f>
        <v/>
      </c>
      <c r="G3176" s="103" t="str">
        <f aca="false">IF($C3176="","",$D3176*IFERROR(INDEX('تحليل التكلفة والسعر'!$C$2:$C$700,MATCH($C3176,'تحليل التكلفة والسعر'!$B$2:$B$700,0)),0))</f>
        <v/>
      </c>
    </row>
    <row r="3177" customFormat="false" ht="15" hidden="false" customHeight="false" outlineLevel="0" collapsed="false">
      <c r="A3177" s="102"/>
      <c r="E3177" s="103" t="str">
        <f aca="false">IF($C3177="","",IFERROR(INDEX(المنيو!$C$2:$C$500,MATCH($C3177,المنيو!$B$2:$B$500,0)),0))</f>
        <v/>
      </c>
      <c r="F3177" s="103" t="str">
        <f aca="false">IF($C3177="","",$D3177*$E3177)</f>
        <v/>
      </c>
      <c r="G3177" s="103" t="str">
        <f aca="false">IF($C3177="","",$D3177*IFERROR(INDEX('تحليل التكلفة والسعر'!$C$2:$C$700,MATCH($C3177,'تحليل التكلفة والسعر'!$B$2:$B$700,0)),0))</f>
        <v/>
      </c>
    </row>
    <row r="3178" customFormat="false" ht="15" hidden="false" customHeight="false" outlineLevel="0" collapsed="false">
      <c r="A3178" s="102"/>
      <c r="E3178" s="103" t="str">
        <f aca="false">IF($C3178="","",IFERROR(INDEX(المنيو!$C$2:$C$500,MATCH($C3178,المنيو!$B$2:$B$500,0)),0))</f>
        <v/>
      </c>
      <c r="F3178" s="103" t="str">
        <f aca="false">IF($C3178="","",$D3178*$E3178)</f>
        <v/>
      </c>
      <c r="G3178" s="103" t="str">
        <f aca="false">IF($C3178="","",$D3178*IFERROR(INDEX('تحليل التكلفة والسعر'!$C$2:$C$700,MATCH($C3178,'تحليل التكلفة والسعر'!$B$2:$B$700,0)),0))</f>
        <v/>
      </c>
    </row>
    <row r="3179" customFormat="false" ht="15" hidden="false" customHeight="false" outlineLevel="0" collapsed="false">
      <c r="A3179" s="102"/>
      <c r="E3179" s="103" t="str">
        <f aca="false">IF($C3179="","",IFERROR(INDEX(المنيو!$C$2:$C$500,MATCH($C3179,المنيو!$B$2:$B$500,0)),0))</f>
        <v/>
      </c>
      <c r="F3179" s="103" t="str">
        <f aca="false">IF($C3179="","",$D3179*$E3179)</f>
        <v/>
      </c>
      <c r="G3179" s="103" t="str">
        <f aca="false">IF($C3179="","",$D3179*IFERROR(INDEX('تحليل التكلفة والسعر'!$C$2:$C$700,MATCH($C3179,'تحليل التكلفة والسعر'!$B$2:$B$700,0)),0))</f>
        <v/>
      </c>
    </row>
    <row r="3180" customFormat="false" ht="15" hidden="false" customHeight="false" outlineLevel="0" collapsed="false">
      <c r="A3180" s="102"/>
      <c r="E3180" s="103" t="str">
        <f aca="false">IF($C3180="","",IFERROR(INDEX(المنيو!$C$2:$C$500,MATCH($C3180,المنيو!$B$2:$B$500,0)),0))</f>
        <v/>
      </c>
      <c r="F3180" s="103" t="str">
        <f aca="false">IF($C3180="","",$D3180*$E3180)</f>
        <v/>
      </c>
      <c r="G3180" s="103" t="str">
        <f aca="false">IF($C3180="","",$D3180*IFERROR(INDEX('تحليل التكلفة والسعر'!$C$2:$C$700,MATCH($C3180,'تحليل التكلفة والسعر'!$B$2:$B$700,0)),0))</f>
        <v/>
      </c>
    </row>
    <row r="3181" customFormat="false" ht="15" hidden="false" customHeight="false" outlineLevel="0" collapsed="false">
      <c r="A3181" s="102"/>
      <c r="E3181" s="103" t="str">
        <f aca="false">IF($C3181="","",IFERROR(INDEX(المنيو!$C$2:$C$500,MATCH($C3181,المنيو!$B$2:$B$500,0)),0))</f>
        <v/>
      </c>
      <c r="F3181" s="103" t="str">
        <f aca="false">IF($C3181="","",$D3181*$E3181)</f>
        <v/>
      </c>
      <c r="G3181" s="103" t="str">
        <f aca="false">IF($C3181="","",$D3181*IFERROR(INDEX('تحليل التكلفة والسعر'!$C$2:$C$700,MATCH($C3181,'تحليل التكلفة والسعر'!$B$2:$B$700,0)),0))</f>
        <v/>
      </c>
    </row>
    <row r="3182" customFormat="false" ht="15" hidden="false" customHeight="false" outlineLevel="0" collapsed="false">
      <c r="A3182" s="102"/>
      <c r="E3182" s="103" t="str">
        <f aca="false">IF($C3182="","",IFERROR(INDEX(المنيو!$C$2:$C$500,MATCH($C3182,المنيو!$B$2:$B$500,0)),0))</f>
        <v/>
      </c>
      <c r="F3182" s="103" t="str">
        <f aca="false">IF($C3182="","",$D3182*$E3182)</f>
        <v/>
      </c>
      <c r="G3182" s="103" t="str">
        <f aca="false">IF($C3182="","",$D3182*IFERROR(INDEX('تحليل التكلفة والسعر'!$C$2:$C$700,MATCH($C3182,'تحليل التكلفة والسعر'!$B$2:$B$700,0)),0))</f>
        <v/>
      </c>
    </row>
    <row r="3183" customFormat="false" ht="15" hidden="false" customHeight="false" outlineLevel="0" collapsed="false">
      <c r="A3183" s="102"/>
      <c r="E3183" s="103" t="str">
        <f aca="false">IF($C3183="","",IFERROR(INDEX(المنيو!$C$2:$C$500,MATCH($C3183,المنيو!$B$2:$B$500,0)),0))</f>
        <v/>
      </c>
      <c r="F3183" s="103" t="str">
        <f aca="false">IF($C3183="","",$D3183*$E3183)</f>
        <v/>
      </c>
      <c r="G3183" s="103" t="str">
        <f aca="false">IF($C3183="","",$D3183*IFERROR(INDEX('تحليل التكلفة والسعر'!$C$2:$C$700,MATCH($C3183,'تحليل التكلفة والسعر'!$B$2:$B$700,0)),0))</f>
        <v/>
      </c>
    </row>
    <row r="3184" customFormat="false" ht="15" hidden="false" customHeight="false" outlineLevel="0" collapsed="false">
      <c r="A3184" s="102"/>
      <c r="E3184" s="103" t="str">
        <f aca="false">IF($C3184="","",IFERROR(INDEX(المنيو!$C$2:$C$500,MATCH($C3184,المنيو!$B$2:$B$500,0)),0))</f>
        <v/>
      </c>
      <c r="F3184" s="103" t="str">
        <f aca="false">IF($C3184="","",$D3184*$E3184)</f>
        <v/>
      </c>
      <c r="G3184" s="103" t="str">
        <f aca="false">IF($C3184="","",$D3184*IFERROR(INDEX('تحليل التكلفة والسعر'!$C$2:$C$700,MATCH($C3184,'تحليل التكلفة والسعر'!$B$2:$B$700,0)),0))</f>
        <v/>
      </c>
    </row>
    <row r="3185" customFormat="false" ht="15" hidden="false" customHeight="false" outlineLevel="0" collapsed="false">
      <c r="A3185" s="102"/>
      <c r="E3185" s="103" t="str">
        <f aca="false">IF($C3185="","",IFERROR(INDEX(المنيو!$C$2:$C$500,MATCH($C3185,المنيو!$B$2:$B$500,0)),0))</f>
        <v/>
      </c>
      <c r="F3185" s="103" t="str">
        <f aca="false">IF($C3185="","",$D3185*$E3185)</f>
        <v/>
      </c>
      <c r="G3185" s="103" t="str">
        <f aca="false">IF($C3185="","",$D3185*IFERROR(INDEX('تحليل التكلفة والسعر'!$C$2:$C$700,MATCH($C3185,'تحليل التكلفة والسعر'!$B$2:$B$700,0)),0))</f>
        <v/>
      </c>
    </row>
    <row r="3186" customFormat="false" ht="15" hidden="false" customHeight="false" outlineLevel="0" collapsed="false">
      <c r="A3186" s="102"/>
      <c r="E3186" s="103" t="str">
        <f aca="false">IF($C3186="","",IFERROR(INDEX(المنيو!$C$2:$C$500,MATCH($C3186,المنيو!$B$2:$B$500,0)),0))</f>
        <v/>
      </c>
      <c r="F3186" s="103" t="str">
        <f aca="false">IF($C3186="","",$D3186*$E3186)</f>
        <v/>
      </c>
      <c r="G3186" s="103" t="str">
        <f aca="false">IF($C3186="","",$D3186*IFERROR(INDEX('تحليل التكلفة والسعر'!$C$2:$C$700,MATCH($C3186,'تحليل التكلفة والسعر'!$B$2:$B$700,0)),0))</f>
        <v/>
      </c>
    </row>
    <row r="3187" customFormat="false" ht="15" hidden="false" customHeight="false" outlineLevel="0" collapsed="false">
      <c r="A3187" s="102"/>
      <c r="E3187" s="103" t="str">
        <f aca="false">IF($C3187="","",IFERROR(INDEX(المنيو!$C$2:$C$500,MATCH($C3187,المنيو!$B$2:$B$500,0)),0))</f>
        <v/>
      </c>
      <c r="F3187" s="103" t="str">
        <f aca="false">IF($C3187="","",$D3187*$E3187)</f>
        <v/>
      </c>
      <c r="G3187" s="103" t="str">
        <f aca="false">IF($C3187="","",$D3187*IFERROR(INDEX('تحليل التكلفة والسعر'!$C$2:$C$700,MATCH($C3187,'تحليل التكلفة والسعر'!$B$2:$B$700,0)),0))</f>
        <v/>
      </c>
    </row>
    <row r="3188" customFormat="false" ht="15" hidden="false" customHeight="false" outlineLevel="0" collapsed="false">
      <c r="A3188" s="102"/>
      <c r="E3188" s="103" t="str">
        <f aca="false">IF($C3188="","",IFERROR(INDEX(المنيو!$C$2:$C$500,MATCH($C3188,المنيو!$B$2:$B$500,0)),0))</f>
        <v/>
      </c>
      <c r="F3188" s="103" t="str">
        <f aca="false">IF($C3188="","",$D3188*$E3188)</f>
        <v/>
      </c>
      <c r="G3188" s="103" t="str">
        <f aca="false">IF($C3188="","",$D3188*IFERROR(INDEX('تحليل التكلفة والسعر'!$C$2:$C$700,MATCH($C3188,'تحليل التكلفة والسعر'!$B$2:$B$700,0)),0))</f>
        <v/>
      </c>
    </row>
    <row r="3189" customFormat="false" ht="15" hidden="false" customHeight="false" outlineLevel="0" collapsed="false">
      <c r="A3189" s="102"/>
      <c r="E3189" s="103" t="str">
        <f aca="false">IF($C3189="","",IFERROR(INDEX(المنيو!$C$2:$C$500,MATCH($C3189,المنيو!$B$2:$B$500,0)),0))</f>
        <v/>
      </c>
      <c r="F3189" s="103" t="str">
        <f aca="false">IF($C3189="","",$D3189*$E3189)</f>
        <v/>
      </c>
      <c r="G3189" s="103" t="str">
        <f aca="false">IF($C3189="","",$D3189*IFERROR(INDEX('تحليل التكلفة والسعر'!$C$2:$C$700,MATCH($C3189,'تحليل التكلفة والسعر'!$B$2:$B$700,0)),0))</f>
        <v/>
      </c>
    </row>
    <row r="3190" customFormat="false" ht="15" hidden="false" customHeight="false" outlineLevel="0" collapsed="false">
      <c r="A3190" s="102"/>
      <c r="E3190" s="103" t="str">
        <f aca="false">IF($C3190="","",IFERROR(INDEX(المنيو!$C$2:$C$500,MATCH($C3190,المنيو!$B$2:$B$500,0)),0))</f>
        <v/>
      </c>
      <c r="F3190" s="103" t="str">
        <f aca="false">IF($C3190="","",$D3190*$E3190)</f>
        <v/>
      </c>
      <c r="G3190" s="103" t="str">
        <f aca="false">IF($C3190="","",$D3190*IFERROR(INDEX('تحليل التكلفة والسعر'!$C$2:$C$700,MATCH($C3190,'تحليل التكلفة والسعر'!$B$2:$B$700,0)),0))</f>
        <v/>
      </c>
    </row>
    <row r="3191" customFormat="false" ht="15" hidden="false" customHeight="false" outlineLevel="0" collapsed="false">
      <c r="A3191" s="102"/>
      <c r="E3191" s="103" t="str">
        <f aca="false">IF($C3191="","",IFERROR(INDEX(المنيو!$C$2:$C$500,MATCH($C3191,المنيو!$B$2:$B$500,0)),0))</f>
        <v/>
      </c>
      <c r="F3191" s="103" t="str">
        <f aca="false">IF($C3191="","",$D3191*$E3191)</f>
        <v/>
      </c>
      <c r="G3191" s="103" t="str">
        <f aca="false">IF($C3191="","",$D3191*IFERROR(INDEX('تحليل التكلفة والسعر'!$C$2:$C$700,MATCH($C3191,'تحليل التكلفة والسعر'!$B$2:$B$700,0)),0))</f>
        <v/>
      </c>
    </row>
    <row r="3192" customFormat="false" ht="15" hidden="false" customHeight="false" outlineLevel="0" collapsed="false">
      <c r="A3192" s="102"/>
      <c r="E3192" s="103" t="str">
        <f aca="false">IF($C3192="","",IFERROR(INDEX(المنيو!$C$2:$C$500,MATCH($C3192,المنيو!$B$2:$B$500,0)),0))</f>
        <v/>
      </c>
      <c r="F3192" s="103" t="str">
        <f aca="false">IF($C3192="","",$D3192*$E3192)</f>
        <v/>
      </c>
      <c r="G3192" s="103" t="str">
        <f aca="false">IF($C3192="","",$D3192*IFERROR(INDEX('تحليل التكلفة والسعر'!$C$2:$C$700,MATCH($C3192,'تحليل التكلفة والسعر'!$B$2:$B$700,0)),0))</f>
        <v/>
      </c>
    </row>
    <row r="3193" customFormat="false" ht="15" hidden="false" customHeight="false" outlineLevel="0" collapsed="false">
      <c r="A3193" s="102"/>
      <c r="E3193" s="103" t="str">
        <f aca="false">IF($C3193="","",IFERROR(INDEX(المنيو!$C$2:$C$500,MATCH($C3193,المنيو!$B$2:$B$500,0)),0))</f>
        <v/>
      </c>
      <c r="F3193" s="103" t="str">
        <f aca="false">IF($C3193="","",$D3193*$E3193)</f>
        <v/>
      </c>
      <c r="G3193" s="103" t="str">
        <f aca="false">IF($C3193="","",$D3193*IFERROR(INDEX('تحليل التكلفة والسعر'!$C$2:$C$700,MATCH($C3193,'تحليل التكلفة والسعر'!$B$2:$B$700,0)),0))</f>
        <v/>
      </c>
    </row>
    <row r="3194" customFormat="false" ht="15" hidden="false" customHeight="false" outlineLevel="0" collapsed="false">
      <c r="A3194" s="102"/>
      <c r="E3194" s="103" t="str">
        <f aca="false">IF($C3194="","",IFERROR(INDEX(المنيو!$C$2:$C$500,MATCH($C3194,المنيو!$B$2:$B$500,0)),0))</f>
        <v/>
      </c>
      <c r="F3194" s="103" t="str">
        <f aca="false">IF($C3194="","",$D3194*$E3194)</f>
        <v/>
      </c>
      <c r="G3194" s="103" t="str">
        <f aca="false">IF($C3194="","",$D3194*IFERROR(INDEX('تحليل التكلفة والسعر'!$C$2:$C$700,MATCH($C3194,'تحليل التكلفة والسعر'!$B$2:$B$700,0)),0))</f>
        <v/>
      </c>
    </row>
    <row r="3195" customFormat="false" ht="15" hidden="false" customHeight="false" outlineLevel="0" collapsed="false">
      <c r="A3195" s="102"/>
      <c r="E3195" s="103" t="str">
        <f aca="false">IF($C3195="","",IFERROR(INDEX(المنيو!$C$2:$C$500,MATCH($C3195,المنيو!$B$2:$B$500,0)),0))</f>
        <v/>
      </c>
      <c r="F3195" s="103" t="str">
        <f aca="false">IF($C3195="","",$D3195*$E3195)</f>
        <v/>
      </c>
      <c r="G3195" s="103" t="str">
        <f aca="false">IF($C3195="","",$D3195*IFERROR(INDEX('تحليل التكلفة والسعر'!$C$2:$C$700,MATCH($C3195,'تحليل التكلفة والسعر'!$B$2:$B$700,0)),0))</f>
        <v/>
      </c>
    </row>
    <row r="3196" customFormat="false" ht="15" hidden="false" customHeight="false" outlineLevel="0" collapsed="false">
      <c r="A3196" s="102"/>
      <c r="E3196" s="103" t="str">
        <f aca="false">IF($C3196="","",IFERROR(INDEX(المنيو!$C$2:$C$500,MATCH($C3196,المنيو!$B$2:$B$500,0)),0))</f>
        <v/>
      </c>
      <c r="F3196" s="103" t="str">
        <f aca="false">IF($C3196="","",$D3196*$E3196)</f>
        <v/>
      </c>
      <c r="G3196" s="103" t="str">
        <f aca="false">IF($C3196="","",$D3196*IFERROR(INDEX('تحليل التكلفة والسعر'!$C$2:$C$700,MATCH($C3196,'تحليل التكلفة والسعر'!$B$2:$B$700,0)),0))</f>
        <v/>
      </c>
    </row>
    <row r="3197" customFormat="false" ht="15" hidden="false" customHeight="false" outlineLevel="0" collapsed="false">
      <c r="A3197" s="102"/>
      <c r="E3197" s="103" t="str">
        <f aca="false">IF($C3197="","",IFERROR(INDEX(المنيو!$C$2:$C$500,MATCH($C3197,المنيو!$B$2:$B$500,0)),0))</f>
        <v/>
      </c>
      <c r="F3197" s="103" t="str">
        <f aca="false">IF($C3197="","",$D3197*$E3197)</f>
        <v/>
      </c>
      <c r="G3197" s="103" t="str">
        <f aca="false">IF($C3197="","",$D3197*IFERROR(INDEX('تحليل التكلفة والسعر'!$C$2:$C$700,MATCH($C3197,'تحليل التكلفة والسعر'!$B$2:$B$700,0)),0))</f>
        <v/>
      </c>
    </row>
    <row r="3198" customFormat="false" ht="15" hidden="false" customHeight="false" outlineLevel="0" collapsed="false">
      <c r="A3198" s="102"/>
      <c r="E3198" s="103" t="str">
        <f aca="false">IF($C3198="","",IFERROR(INDEX(المنيو!$C$2:$C$500,MATCH($C3198,المنيو!$B$2:$B$500,0)),0))</f>
        <v/>
      </c>
      <c r="F3198" s="103" t="str">
        <f aca="false">IF($C3198="","",$D3198*$E3198)</f>
        <v/>
      </c>
      <c r="G3198" s="103" t="str">
        <f aca="false">IF($C3198="","",$D3198*IFERROR(INDEX('تحليل التكلفة والسعر'!$C$2:$C$700,MATCH($C3198,'تحليل التكلفة والسعر'!$B$2:$B$700,0)),0))</f>
        <v/>
      </c>
    </row>
    <row r="3199" customFormat="false" ht="15" hidden="false" customHeight="false" outlineLevel="0" collapsed="false">
      <c r="A3199" s="102"/>
      <c r="E3199" s="103" t="str">
        <f aca="false">IF($C3199="","",IFERROR(INDEX(المنيو!$C$2:$C$500,MATCH($C3199,المنيو!$B$2:$B$500,0)),0))</f>
        <v/>
      </c>
      <c r="F3199" s="103" t="str">
        <f aca="false">IF($C3199="","",$D3199*$E3199)</f>
        <v/>
      </c>
      <c r="G3199" s="103" t="str">
        <f aca="false">IF($C3199="","",$D3199*IFERROR(INDEX('تحليل التكلفة والسعر'!$C$2:$C$700,MATCH($C3199,'تحليل التكلفة والسعر'!$B$2:$B$700,0)),0))</f>
        <v/>
      </c>
    </row>
    <row r="3200" customFormat="false" ht="15" hidden="false" customHeight="false" outlineLevel="0" collapsed="false">
      <c r="A3200" s="102"/>
      <c r="E3200" s="103" t="str">
        <f aca="false">IF($C3200="","",IFERROR(INDEX(المنيو!$C$2:$C$500,MATCH($C3200,المنيو!$B$2:$B$500,0)),0))</f>
        <v/>
      </c>
      <c r="F3200" s="103" t="str">
        <f aca="false">IF($C3200="","",$D3200*$E3200)</f>
        <v/>
      </c>
      <c r="G3200" s="103" t="str">
        <f aca="false">IF($C3200="","",$D3200*IFERROR(INDEX('تحليل التكلفة والسعر'!$C$2:$C$700,MATCH($C3200,'تحليل التكلفة والسعر'!$B$2:$B$700,0)),0))</f>
        <v/>
      </c>
    </row>
    <row r="3201" customFormat="false" ht="15" hidden="false" customHeight="false" outlineLevel="0" collapsed="false">
      <c r="A3201" s="102"/>
      <c r="E3201" s="103" t="str">
        <f aca="false">IF($C3201="","",IFERROR(INDEX(المنيو!$C$2:$C$500,MATCH($C3201,المنيو!$B$2:$B$500,0)),0))</f>
        <v/>
      </c>
      <c r="F3201" s="103" t="str">
        <f aca="false">IF($C3201="","",$D3201*$E3201)</f>
        <v/>
      </c>
      <c r="G3201" s="103" t="str">
        <f aca="false">IF($C3201="","",$D3201*IFERROR(INDEX('تحليل التكلفة والسعر'!$C$2:$C$700,MATCH($C3201,'تحليل التكلفة والسعر'!$B$2:$B$700,0)),0))</f>
        <v/>
      </c>
    </row>
    <row r="3202" customFormat="false" ht="15" hidden="false" customHeight="false" outlineLevel="0" collapsed="false">
      <c r="A3202" s="102"/>
      <c r="E3202" s="103" t="str">
        <f aca="false">IF($C3202="","",IFERROR(INDEX(المنيو!$C$2:$C$500,MATCH($C3202,المنيو!$B$2:$B$500,0)),0))</f>
        <v/>
      </c>
      <c r="F3202" s="103" t="str">
        <f aca="false">IF($C3202="","",$D3202*$E3202)</f>
        <v/>
      </c>
      <c r="G3202" s="103" t="str">
        <f aca="false">IF($C3202="","",$D3202*IFERROR(INDEX('تحليل التكلفة والسعر'!$C$2:$C$700,MATCH($C3202,'تحليل التكلفة والسعر'!$B$2:$B$700,0)),0))</f>
        <v/>
      </c>
    </row>
    <row r="3203" customFormat="false" ht="15" hidden="false" customHeight="false" outlineLevel="0" collapsed="false">
      <c r="A3203" s="102"/>
      <c r="E3203" s="103" t="str">
        <f aca="false">IF($C3203="","",IFERROR(INDEX(المنيو!$C$2:$C$500,MATCH($C3203,المنيو!$B$2:$B$500,0)),0))</f>
        <v/>
      </c>
      <c r="F3203" s="103" t="str">
        <f aca="false">IF($C3203="","",$D3203*$E3203)</f>
        <v/>
      </c>
      <c r="G3203" s="103" t="str">
        <f aca="false">IF($C3203="","",$D3203*IFERROR(INDEX('تحليل التكلفة والسعر'!$C$2:$C$700,MATCH($C3203,'تحليل التكلفة والسعر'!$B$2:$B$700,0)),0))</f>
        <v/>
      </c>
    </row>
    <row r="3204" customFormat="false" ht="15" hidden="false" customHeight="false" outlineLevel="0" collapsed="false">
      <c r="A3204" s="102"/>
      <c r="E3204" s="103" t="str">
        <f aca="false">IF($C3204="","",IFERROR(INDEX(المنيو!$C$2:$C$500,MATCH($C3204,المنيو!$B$2:$B$500,0)),0))</f>
        <v/>
      </c>
      <c r="F3204" s="103" t="str">
        <f aca="false">IF($C3204="","",$D3204*$E3204)</f>
        <v/>
      </c>
      <c r="G3204" s="103" t="str">
        <f aca="false">IF($C3204="","",$D3204*IFERROR(INDEX('تحليل التكلفة والسعر'!$C$2:$C$700,MATCH($C3204,'تحليل التكلفة والسعر'!$B$2:$B$700,0)),0))</f>
        <v/>
      </c>
    </row>
    <row r="3205" customFormat="false" ht="15" hidden="false" customHeight="false" outlineLevel="0" collapsed="false">
      <c r="A3205" s="102"/>
      <c r="E3205" s="103" t="str">
        <f aca="false">IF($C3205="","",IFERROR(INDEX(المنيو!$C$2:$C$500,MATCH($C3205,المنيو!$B$2:$B$500,0)),0))</f>
        <v/>
      </c>
      <c r="F3205" s="103" t="str">
        <f aca="false">IF($C3205="","",$D3205*$E3205)</f>
        <v/>
      </c>
      <c r="G3205" s="103" t="str">
        <f aca="false">IF($C3205="","",$D3205*IFERROR(INDEX('تحليل التكلفة والسعر'!$C$2:$C$700,MATCH($C3205,'تحليل التكلفة والسعر'!$B$2:$B$700,0)),0))</f>
        <v/>
      </c>
    </row>
    <row r="3206" customFormat="false" ht="15" hidden="false" customHeight="false" outlineLevel="0" collapsed="false">
      <c r="A3206" s="102"/>
      <c r="E3206" s="103" t="str">
        <f aca="false">IF($C3206="","",IFERROR(INDEX(المنيو!$C$2:$C$500,MATCH($C3206,المنيو!$B$2:$B$500,0)),0))</f>
        <v/>
      </c>
      <c r="F3206" s="103" t="str">
        <f aca="false">IF($C3206="","",$D3206*$E3206)</f>
        <v/>
      </c>
      <c r="G3206" s="103" t="str">
        <f aca="false">IF($C3206="","",$D3206*IFERROR(INDEX('تحليل التكلفة والسعر'!$C$2:$C$700,MATCH($C3206,'تحليل التكلفة والسعر'!$B$2:$B$700,0)),0))</f>
        <v/>
      </c>
    </row>
    <row r="3207" customFormat="false" ht="15" hidden="false" customHeight="false" outlineLevel="0" collapsed="false">
      <c r="A3207" s="102"/>
      <c r="E3207" s="103" t="str">
        <f aca="false">IF($C3207="","",IFERROR(INDEX(المنيو!$C$2:$C$500,MATCH($C3207,المنيو!$B$2:$B$500,0)),0))</f>
        <v/>
      </c>
      <c r="F3207" s="103" t="str">
        <f aca="false">IF($C3207="","",$D3207*$E3207)</f>
        <v/>
      </c>
      <c r="G3207" s="103" t="str">
        <f aca="false">IF($C3207="","",$D3207*IFERROR(INDEX('تحليل التكلفة والسعر'!$C$2:$C$700,MATCH($C3207,'تحليل التكلفة والسعر'!$B$2:$B$700,0)),0))</f>
        <v/>
      </c>
    </row>
    <row r="3208" customFormat="false" ht="15" hidden="false" customHeight="false" outlineLevel="0" collapsed="false">
      <c r="A3208" s="102"/>
      <c r="E3208" s="103" t="str">
        <f aca="false">IF($C3208="","",IFERROR(INDEX(المنيو!$C$2:$C$500,MATCH($C3208,المنيو!$B$2:$B$500,0)),0))</f>
        <v/>
      </c>
      <c r="F3208" s="103" t="str">
        <f aca="false">IF($C3208="","",$D3208*$E3208)</f>
        <v/>
      </c>
      <c r="G3208" s="103" t="str">
        <f aca="false">IF($C3208="","",$D3208*IFERROR(INDEX('تحليل التكلفة والسعر'!$C$2:$C$700,MATCH($C3208,'تحليل التكلفة والسعر'!$B$2:$B$700,0)),0))</f>
        <v/>
      </c>
    </row>
    <row r="3209" customFormat="false" ht="15" hidden="false" customHeight="false" outlineLevel="0" collapsed="false">
      <c r="A3209" s="102"/>
      <c r="E3209" s="103" t="str">
        <f aca="false">IF($C3209="","",IFERROR(INDEX(المنيو!$C$2:$C$500,MATCH($C3209,المنيو!$B$2:$B$500,0)),0))</f>
        <v/>
      </c>
      <c r="F3209" s="103" t="str">
        <f aca="false">IF($C3209="","",$D3209*$E3209)</f>
        <v/>
      </c>
      <c r="G3209" s="103" t="str">
        <f aca="false">IF($C3209="","",$D3209*IFERROR(INDEX('تحليل التكلفة والسعر'!$C$2:$C$700,MATCH($C3209,'تحليل التكلفة والسعر'!$B$2:$B$700,0)),0))</f>
        <v/>
      </c>
    </row>
    <row r="3210" customFormat="false" ht="15" hidden="false" customHeight="false" outlineLevel="0" collapsed="false">
      <c r="A3210" s="102"/>
      <c r="E3210" s="103" t="str">
        <f aca="false">IF($C3210="","",IFERROR(INDEX(المنيو!$C$2:$C$500,MATCH($C3210,المنيو!$B$2:$B$500,0)),0))</f>
        <v/>
      </c>
      <c r="F3210" s="103" t="str">
        <f aca="false">IF($C3210="","",$D3210*$E3210)</f>
        <v/>
      </c>
      <c r="G3210" s="103" t="str">
        <f aca="false">IF($C3210="","",$D3210*IFERROR(INDEX('تحليل التكلفة والسعر'!$C$2:$C$700,MATCH($C3210,'تحليل التكلفة والسعر'!$B$2:$B$700,0)),0))</f>
        <v/>
      </c>
    </row>
    <row r="3211" customFormat="false" ht="15" hidden="false" customHeight="false" outlineLevel="0" collapsed="false">
      <c r="A3211" s="102"/>
      <c r="E3211" s="103" t="str">
        <f aca="false">IF($C3211="","",IFERROR(INDEX(المنيو!$C$2:$C$500,MATCH($C3211,المنيو!$B$2:$B$500,0)),0))</f>
        <v/>
      </c>
      <c r="F3211" s="103" t="str">
        <f aca="false">IF($C3211="","",$D3211*$E3211)</f>
        <v/>
      </c>
      <c r="G3211" s="103" t="str">
        <f aca="false">IF($C3211="","",$D3211*IFERROR(INDEX('تحليل التكلفة والسعر'!$C$2:$C$700,MATCH($C3211,'تحليل التكلفة والسعر'!$B$2:$B$700,0)),0))</f>
        <v/>
      </c>
    </row>
    <row r="3212" customFormat="false" ht="15" hidden="false" customHeight="false" outlineLevel="0" collapsed="false">
      <c r="A3212" s="102"/>
      <c r="E3212" s="103" t="str">
        <f aca="false">IF($C3212="","",IFERROR(INDEX(المنيو!$C$2:$C$500,MATCH($C3212,المنيو!$B$2:$B$500,0)),0))</f>
        <v/>
      </c>
      <c r="F3212" s="103" t="str">
        <f aca="false">IF($C3212="","",$D3212*$E3212)</f>
        <v/>
      </c>
      <c r="G3212" s="103" t="str">
        <f aca="false">IF($C3212="","",$D3212*IFERROR(INDEX('تحليل التكلفة والسعر'!$C$2:$C$700,MATCH($C3212,'تحليل التكلفة والسعر'!$B$2:$B$700,0)),0))</f>
        <v/>
      </c>
    </row>
    <row r="3213" customFormat="false" ht="15" hidden="false" customHeight="false" outlineLevel="0" collapsed="false">
      <c r="A3213" s="102"/>
      <c r="E3213" s="103" t="str">
        <f aca="false">IF($C3213="","",IFERROR(INDEX(المنيو!$C$2:$C$500,MATCH($C3213,المنيو!$B$2:$B$500,0)),0))</f>
        <v/>
      </c>
      <c r="F3213" s="103" t="str">
        <f aca="false">IF($C3213="","",$D3213*$E3213)</f>
        <v/>
      </c>
      <c r="G3213" s="103" t="str">
        <f aca="false">IF($C3213="","",$D3213*IFERROR(INDEX('تحليل التكلفة والسعر'!$C$2:$C$700,MATCH($C3213,'تحليل التكلفة والسعر'!$B$2:$B$700,0)),0))</f>
        <v/>
      </c>
    </row>
    <row r="3214" customFormat="false" ht="15" hidden="false" customHeight="false" outlineLevel="0" collapsed="false">
      <c r="A3214" s="102"/>
      <c r="E3214" s="103" t="str">
        <f aca="false">IF($C3214="","",IFERROR(INDEX(المنيو!$C$2:$C$500,MATCH($C3214,المنيو!$B$2:$B$500,0)),0))</f>
        <v/>
      </c>
      <c r="F3214" s="103" t="str">
        <f aca="false">IF($C3214="","",$D3214*$E3214)</f>
        <v/>
      </c>
      <c r="G3214" s="103" t="str">
        <f aca="false">IF($C3214="","",$D3214*IFERROR(INDEX('تحليل التكلفة والسعر'!$C$2:$C$700,MATCH($C3214,'تحليل التكلفة والسعر'!$B$2:$B$700,0)),0))</f>
        <v/>
      </c>
    </row>
    <row r="3215" customFormat="false" ht="15" hidden="false" customHeight="false" outlineLevel="0" collapsed="false">
      <c r="A3215" s="102"/>
      <c r="E3215" s="103" t="str">
        <f aca="false">IF($C3215="","",IFERROR(INDEX(المنيو!$C$2:$C$500,MATCH($C3215,المنيو!$B$2:$B$500,0)),0))</f>
        <v/>
      </c>
      <c r="F3215" s="103" t="str">
        <f aca="false">IF($C3215="","",$D3215*$E3215)</f>
        <v/>
      </c>
      <c r="G3215" s="103" t="str">
        <f aca="false">IF($C3215="","",$D3215*IFERROR(INDEX('تحليل التكلفة والسعر'!$C$2:$C$700,MATCH($C3215,'تحليل التكلفة والسعر'!$B$2:$B$700,0)),0))</f>
        <v/>
      </c>
    </row>
    <row r="3216" customFormat="false" ht="15" hidden="false" customHeight="false" outlineLevel="0" collapsed="false">
      <c r="A3216" s="102"/>
      <c r="E3216" s="103" t="str">
        <f aca="false">IF($C3216="","",IFERROR(INDEX(المنيو!$C$2:$C$500,MATCH($C3216,المنيو!$B$2:$B$500,0)),0))</f>
        <v/>
      </c>
      <c r="F3216" s="103" t="str">
        <f aca="false">IF($C3216="","",$D3216*$E3216)</f>
        <v/>
      </c>
      <c r="G3216" s="103" t="str">
        <f aca="false">IF($C3216="","",$D3216*IFERROR(INDEX('تحليل التكلفة والسعر'!$C$2:$C$700,MATCH($C3216,'تحليل التكلفة والسعر'!$B$2:$B$700,0)),0))</f>
        <v/>
      </c>
    </row>
    <row r="3217" customFormat="false" ht="15" hidden="false" customHeight="false" outlineLevel="0" collapsed="false">
      <c r="A3217" s="102"/>
      <c r="E3217" s="103" t="str">
        <f aca="false">IF($C3217="","",IFERROR(INDEX(المنيو!$C$2:$C$500,MATCH($C3217,المنيو!$B$2:$B$500,0)),0))</f>
        <v/>
      </c>
      <c r="F3217" s="103" t="str">
        <f aca="false">IF($C3217="","",$D3217*$E3217)</f>
        <v/>
      </c>
      <c r="G3217" s="103" t="str">
        <f aca="false">IF($C3217="","",$D3217*IFERROR(INDEX('تحليل التكلفة والسعر'!$C$2:$C$700,MATCH($C3217,'تحليل التكلفة والسعر'!$B$2:$B$700,0)),0))</f>
        <v/>
      </c>
    </row>
    <row r="3218" customFormat="false" ht="15" hidden="false" customHeight="false" outlineLevel="0" collapsed="false">
      <c r="A3218" s="102"/>
      <c r="E3218" s="103" t="str">
        <f aca="false">IF($C3218="","",IFERROR(INDEX(المنيو!$C$2:$C$500,MATCH($C3218,المنيو!$B$2:$B$500,0)),0))</f>
        <v/>
      </c>
      <c r="F3218" s="103" t="str">
        <f aca="false">IF($C3218="","",$D3218*$E3218)</f>
        <v/>
      </c>
      <c r="G3218" s="103" t="str">
        <f aca="false">IF($C3218="","",$D3218*IFERROR(INDEX('تحليل التكلفة والسعر'!$C$2:$C$700,MATCH($C3218,'تحليل التكلفة والسعر'!$B$2:$B$700,0)),0))</f>
        <v/>
      </c>
    </row>
    <row r="3219" customFormat="false" ht="15" hidden="false" customHeight="false" outlineLevel="0" collapsed="false">
      <c r="A3219" s="102"/>
      <c r="E3219" s="103" t="str">
        <f aca="false">IF($C3219="","",IFERROR(INDEX(المنيو!$C$2:$C$500,MATCH($C3219,المنيو!$B$2:$B$500,0)),0))</f>
        <v/>
      </c>
      <c r="F3219" s="103" t="str">
        <f aca="false">IF($C3219="","",$D3219*$E3219)</f>
        <v/>
      </c>
      <c r="G3219" s="103" t="str">
        <f aca="false">IF($C3219="","",$D3219*IFERROR(INDEX('تحليل التكلفة والسعر'!$C$2:$C$700,MATCH($C3219,'تحليل التكلفة والسعر'!$B$2:$B$700,0)),0))</f>
        <v/>
      </c>
    </row>
    <row r="3220" customFormat="false" ht="15" hidden="false" customHeight="false" outlineLevel="0" collapsed="false">
      <c r="A3220" s="102"/>
      <c r="E3220" s="103" t="str">
        <f aca="false">IF($C3220="","",IFERROR(INDEX(المنيو!$C$2:$C$500,MATCH($C3220,المنيو!$B$2:$B$500,0)),0))</f>
        <v/>
      </c>
      <c r="F3220" s="103" t="str">
        <f aca="false">IF($C3220="","",$D3220*$E3220)</f>
        <v/>
      </c>
      <c r="G3220" s="103" t="str">
        <f aca="false">IF($C3220="","",$D3220*IFERROR(INDEX('تحليل التكلفة والسعر'!$C$2:$C$700,MATCH($C3220,'تحليل التكلفة والسعر'!$B$2:$B$700,0)),0))</f>
        <v/>
      </c>
    </row>
    <row r="3221" customFormat="false" ht="15" hidden="false" customHeight="false" outlineLevel="0" collapsed="false">
      <c r="A3221" s="102"/>
      <c r="E3221" s="103" t="str">
        <f aca="false">IF($C3221="","",IFERROR(INDEX(المنيو!$C$2:$C$500,MATCH($C3221,المنيو!$B$2:$B$500,0)),0))</f>
        <v/>
      </c>
      <c r="F3221" s="103" t="str">
        <f aca="false">IF($C3221="","",$D3221*$E3221)</f>
        <v/>
      </c>
      <c r="G3221" s="103" t="str">
        <f aca="false">IF($C3221="","",$D3221*IFERROR(INDEX('تحليل التكلفة والسعر'!$C$2:$C$700,MATCH($C3221,'تحليل التكلفة والسعر'!$B$2:$B$700,0)),0))</f>
        <v/>
      </c>
    </row>
    <row r="3222" customFormat="false" ht="15" hidden="false" customHeight="false" outlineLevel="0" collapsed="false">
      <c r="A3222" s="102"/>
      <c r="E3222" s="103" t="str">
        <f aca="false">IF($C3222="","",IFERROR(INDEX(المنيو!$C$2:$C$500,MATCH($C3222,المنيو!$B$2:$B$500,0)),0))</f>
        <v/>
      </c>
      <c r="F3222" s="103" t="str">
        <f aca="false">IF($C3222="","",$D3222*$E3222)</f>
        <v/>
      </c>
      <c r="G3222" s="103" t="str">
        <f aca="false">IF($C3222="","",$D3222*IFERROR(INDEX('تحليل التكلفة والسعر'!$C$2:$C$700,MATCH($C3222,'تحليل التكلفة والسعر'!$B$2:$B$700,0)),0))</f>
        <v/>
      </c>
    </row>
    <row r="3223" customFormat="false" ht="15" hidden="false" customHeight="false" outlineLevel="0" collapsed="false">
      <c r="A3223" s="102"/>
      <c r="E3223" s="103" t="str">
        <f aca="false">IF($C3223="","",IFERROR(INDEX(المنيو!$C$2:$C$500,MATCH($C3223,المنيو!$B$2:$B$500,0)),0))</f>
        <v/>
      </c>
      <c r="F3223" s="103" t="str">
        <f aca="false">IF($C3223="","",$D3223*$E3223)</f>
        <v/>
      </c>
      <c r="G3223" s="103" t="str">
        <f aca="false">IF($C3223="","",$D3223*IFERROR(INDEX('تحليل التكلفة والسعر'!$C$2:$C$700,MATCH($C3223,'تحليل التكلفة والسعر'!$B$2:$B$700,0)),0))</f>
        <v/>
      </c>
    </row>
    <row r="3224" customFormat="false" ht="15" hidden="false" customHeight="false" outlineLevel="0" collapsed="false">
      <c r="A3224" s="102"/>
      <c r="E3224" s="103" t="str">
        <f aca="false">IF($C3224="","",IFERROR(INDEX(المنيو!$C$2:$C$500,MATCH($C3224,المنيو!$B$2:$B$500,0)),0))</f>
        <v/>
      </c>
      <c r="F3224" s="103" t="str">
        <f aca="false">IF($C3224="","",$D3224*$E3224)</f>
        <v/>
      </c>
      <c r="G3224" s="103" t="str">
        <f aca="false">IF($C3224="","",$D3224*IFERROR(INDEX('تحليل التكلفة والسعر'!$C$2:$C$700,MATCH($C3224,'تحليل التكلفة والسعر'!$B$2:$B$700,0)),0))</f>
        <v/>
      </c>
    </row>
    <row r="3225" customFormat="false" ht="15" hidden="false" customHeight="false" outlineLevel="0" collapsed="false">
      <c r="A3225" s="102"/>
      <c r="E3225" s="103" t="str">
        <f aca="false">IF($C3225="","",IFERROR(INDEX(المنيو!$C$2:$C$500,MATCH($C3225,المنيو!$B$2:$B$500,0)),0))</f>
        <v/>
      </c>
      <c r="F3225" s="103" t="str">
        <f aca="false">IF($C3225="","",$D3225*$E3225)</f>
        <v/>
      </c>
      <c r="G3225" s="103" t="str">
        <f aca="false">IF($C3225="","",$D3225*IFERROR(INDEX('تحليل التكلفة والسعر'!$C$2:$C$700,MATCH($C3225,'تحليل التكلفة والسعر'!$B$2:$B$700,0)),0))</f>
        <v/>
      </c>
    </row>
    <row r="3226" customFormat="false" ht="15" hidden="false" customHeight="false" outlineLevel="0" collapsed="false">
      <c r="A3226" s="102"/>
      <c r="E3226" s="103" t="str">
        <f aca="false">IF($C3226="","",IFERROR(INDEX(المنيو!$C$2:$C$500,MATCH($C3226,المنيو!$B$2:$B$500,0)),0))</f>
        <v/>
      </c>
      <c r="F3226" s="103" t="str">
        <f aca="false">IF($C3226="","",$D3226*$E3226)</f>
        <v/>
      </c>
      <c r="G3226" s="103" t="str">
        <f aca="false">IF($C3226="","",$D3226*IFERROR(INDEX('تحليل التكلفة والسعر'!$C$2:$C$700,MATCH($C3226,'تحليل التكلفة والسعر'!$B$2:$B$700,0)),0))</f>
        <v/>
      </c>
    </row>
    <row r="3227" customFormat="false" ht="15" hidden="false" customHeight="false" outlineLevel="0" collapsed="false">
      <c r="A3227" s="102"/>
      <c r="E3227" s="103" t="str">
        <f aca="false">IF($C3227="","",IFERROR(INDEX(المنيو!$C$2:$C$500,MATCH($C3227,المنيو!$B$2:$B$500,0)),0))</f>
        <v/>
      </c>
      <c r="F3227" s="103" t="str">
        <f aca="false">IF($C3227="","",$D3227*$E3227)</f>
        <v/>
      </c>
      <c r="G3227" s="103" t="str">
        <f aca="false">IF($C3227="","",$D3227*IFERROR(INDEX('تحليل التكلفة والسعر'!$C$2:$C$700,MATCH($C3227,'تحليل التكلفة والسعر'!$B$2:$B$700,0)),0))</f>
        <v/>
      </c>
    </row>
    <row r="3228" customFormat="false" ht="15" hidden="false" customHeight="false" outlineLevel="0" collapsed="false">
      <c r="A3228" s="102"/>
      <c r="E3228" s="103" t="str">
        <f aca="false">IF($C3228="","",IFERROR(INDEX(المنيو!$C$2:$C$500,MATCH($C3228,المنيو!$B$2:$B$500,0)),0))</f>
        <v/>
      </c>
      <c r="F3228" s="103" t="str">
        <f aca="false">IF($C3228="","",$D3228*$E3228)</f>
        <v/>
      </c>
      <c r="G3228" s="103" t="str">
        <f aca="false">IF($C3228="","",$D3228*IFERROR(INDEX('تحليل التكلفة والسعر'!$C$2:$C$700,MATCH($C3228,'تحليل التكلفة والسعر'!$B$2:$B$700,0)),0))</f>
        <v/>
      </c>
    </row>
    <row r="3229" customFormat="false" ht="15" hidden="false" customHeight="false" outlineLevel="0" collapsed="false">
      <c r="A3229" s="102"/>
      <c r="E3229" s="103" t="str">
        <f aca="false">IF($C3229="","",IFERROR(INDEX(المنيو!$C$2:$C$500,MATCH($C3229,المنيو!$B$2:$B$500,0)),0))</f>
        <v/>
      </c>
      <c r="F3229" s="103" t="str">
        <f aca="false">IF($C3229="","",$D3229*$E3229)</f>
        <v/>
      </c>
      <c r="G3229" s="103" t="str">
        <f aca="false">IF($C3229="","",$D3229*IFERROR(INDEX('تحليل التكلفة والسعر'!$C$2:$C$700,MATCH($C3229,'تحليل التكلفة والسعر'!$B$2:$B$700,0)),0))</f>
        <v/>
      </c>
    </row>
    <row r="3230" customFormat="false" ht="15" hidden="false" customHeight="false" outlineLevel="0" collapsed="false">
      <c r="A3230" s="102"/>
      <c r="E3230" s="103" t="str">
        <f aca="false">IF($C3230="","",IFERROR(INDEX(المنيو!$C$2:$C$500,MATCH($C3230,المنيو!$B$2:$B$500,0)),0))</f>
        <v/>
      </c>
      <c r="F3230" s="103" t="str">
        <f aca="false">IF($C3230="","",$D3230*$E3230)</f>
        <v/>
      </c>
      <c r="G3230" s="103" t="str">
        <f aca="false">IF($C3230="","",$D3230*IFERROR(INDEX('تحليل التكلفة والسعر'!$C$2:$C$700,MATCH($C3230,'تحليل التكلفة والسعر'!$B$2:$B$700,0)),0))</f>
        <v/>
      </c>
    </row>
    <row r="3231" customFormat="false" ht="15" hidden="false" customHeight="false" outlineLevel="0" collapsed="false">
      <c r="A3231" s="102"/>
      <c r="E3231" s="103" t="str">
        <f aca="false">IF($C3231="","",IFERROR(INDEX(المنيو!$C$2:$C$500,MATCH($C3231,المنيو!$B$2:$B$500,0)),0))</f>
        <v/>
      </c>
      <c r="F3231" s="103" t="str">
        <f aca="false">IF($C3231="","",$D3231*$E3231)</f>
        <v/>
      </c>
      <c r="G3231" s="103" t="str">
        <f aca="false">IF($C3231="","",$D3231*IFERROR(INDEX('تحليل التكلفة والسعر'!$C$2:$C$700,MATCH($C3231,'تحليل التكلفة والسعر'!$B$2:$B$700,0)),0))</f>
        <v/>
      </c>
    </row>
    <row r="3232" customFormat="false" ht="15" hidden="false" customHeight="false" outlineLevel="0" collapsed="false">
      <c r="A3232" s="102"/>
      <c r="E3232" s="103" t="str">
        <f aca="false">IF($C3232="","",IFERROR(INDEX(المنيو!$C$2:$C$500,MATCH($C3232,المنيو!$B$2:$B$500,0)),0))</f>
        <v/>
      </c>
      <c r="F3232" s="103" t="str">
        <f aca="false">IF($C3232="","",$D3232*$E3232)</f>
        <v/>
      </c>
      <c r="G3232" s="103" t="str">
        <f aca="false">IF($C3232="","",$D3232*IFERROR(INDEX('تحليل التكلفة والسعر'!$C$2:$C$700,MATCH($C3232,'تحليل التكلفة والسعر'!$B$2:$B$700,0)),0))</f>
        <v/>
      </c>
    </row>
    <row r="3233" customFormat="false" ht="15" hidden="false" customHeight="false" outlineLevel="0" collapsed="false">
      <c r="A3233" s="102"/>
      <c r="E3233" s="103" t="str">
        <f aca="false">IF($C3233="","",IFERROR(INDEX(المنيو!$C$2:$C$500,MATCH($C3233,المنيو!$B$2:$B$500,0)),0))</f>
        <v/>
      </c>
      <c r="F3233" s="103" t="str">
        <f aca="false">IF($C3233="","",$D3233*$E3233)</f>
        <v/>
      </c>
      <c r="G3233" s="103" t="str">
        <f aca="false">IF($C3233="","",$D3233*IFERROR(INDEX('تحليل التكلفة والسعر'!$C$2:$C$700,MATCH($C3233,'تحليل التكلفة والسعر'!$B$2:$B$700,0)),0))</f>
        <v/>
      </c>
    </row>
    <row r="3234" customFormat="false" ht="15" hidden="false" customHeight="false" outlineLevel="0" collapsed="false">
      <c r="A3234" s="102"/>
      <c r="E3234" s="103" t="str">
        <f aca="false">IF($C3234="","",IFERROR(INDEX(المنيو!$C$2:$C$500,MATCH($C3234,المنيو!$B$2:$B$500,0)),0))</f>
        <v/>
      </c>
      <c r="F3234" s="103" t="str">
        <f aca="false">IF($C3234="","",$D3234*$E3234)</f>
        <v/>
      </c>
      <c r="G3234" s="103" t="str">
        <f aca="false">IF($C3234="","",$D3234*IFERROR(INDEX('تحليل التكلفة والسعر'!$C$2:$C$700,MATCH($C3234,'تحليل التكلفة والسعر'!$B$2:$B$700,0)),0))</f>
        <v/>
      </c>
    </row>
    <row r="3235" customFormat="false" ht="15" hidden="false" customHeight="false" outlineLevel="0" collapsed="false">
      <c r="A3235" s="102"/>
      <c r="E3235" s="103" t="str">
        <f aca="false">IF($C3235="","",IFERROR(INDEX(المنيو!$C$2:$C$500,MATCH($C3235,المنيو!$B$2:$B$500,0)),0))</f>
        <v/>
      </c>
      <c r="F3235" s="103" t="str">
        <f aca="false">IF($C3235="","",$D3235*$E3235)</f>
        <v/>
      </c>
      <c r="G3235" s="103" t="str">
        <f aca="false">IF($C3235="","",$D3235*IFERROR(INDEX('تحليل التكلفة والسعر'!$C$2:$C$700,MATCH($C3235,'تحليل التكلفة والسعر'!$B$2:$B$700,0)),0))</f>
        <v/>
      </c>
    </row>
    <row r="3236" customFormat="false" ht="15" hidden="false" customHeight="false" outlineLevel="0" collapsed="false">
      <c r="A3236" s="102"/>
      <c r="E3236" s="103" t="str">
        <f aca="false">IF($C3236="","",IFERROR(INDEX(المنيو!$C$2:$C$500,MATCH($C3236,المنيو!$B$2:$B$500,0)),0))</f>
        <v/>
      </c>
      <c r="F3236" s="103" t="str">
        <f aca="false">IF($C3236="","",$D3236*$E3236)</f>
        <v/>
      </c>
      <c r="G3236" s="103" t="str">
        <f aca="false">IF($C3236="","",$D3236*IFERROR(INDEX('تحليل التكلفة والسعر'!$C$2:$C$700,MATCH($C3236,'تحليل التكلفة والسعر'!$B$2:$B$700,0)),0))</f>
        <v/>
      </c>
    </row>
    <row r="3237" customFormat="false" ht="15" hidden="false" customHeight="false" outlineLevel="0" collapsed="false">
      <c r="A3237" s="102"/>
      <c r="E3237" s="103" t="str">
        <f aca="false">IF($C3237="","",IFERROR(INDEX(المنيو!$C$2:$C$500,MATCH($C3237,المنيو!$B$2:$B$500,0)),0))</f>
        <v/>
      </c>
      <c r="F3237" s="103" t="str">
        <f aca="false">IF($C3237="","",$D3237*$E3237)</f>
        <v/>
      </c>
      <c r="G3237" s="103" t="str">
        <f aca="false">IF($C3237="","",$D3237*IFERROR(INDEX('تحليل التكلفة والسعر'!$C$2:$C$700,MATCH($C3237,'تحليل التكلفة والسعر'!$B$2:$B$700,0)),0))</f>
        <v/>
      </c>
    </row>
    <row r="3238" customFormat="false" ht="15" hidden="false" customHeight="false" outlineLevel="0" collapsed="false">
      <c r="A3238" s="102"/>
      <c r="E3238" s="103" t="str">
        <f aca="false">IF($C3238="","",IFERROR(INDEX(المنيو!$C$2:$C$500,MATCH($C3238,المنيو!$B$2:$B$500,0)),0))</f>
        <v/>
      </c>
      <c r="F3238" s="103" t="str">
        <f aca="false">IF($C3238="","",$D3238*$E3238)</f>
        <v/>
      </c>
      <c r="G3238" s="103" t="str">
        <f aca="false">IF($C3238="","",$D3238*IFERROR(INDEX('تحليل التكلفة والسعر'!$C$2:$C$700,MATCH($C3238,'تحليل التكلفة والسعر'!$B$2:$B$700,0)),0))</f>
        <v/>
      </c>
    </row>
    <row r="3239" customFormat="false" ht="15" hidden="false" customHeight="false" outlineLevel="0" collapsed="false">
      <c r="A3239" s="102"/>
      <c r="E3239" s="103" t="str">
        <f aca="false">IF($C3239="","",IFERROR(INDEX(المنيو!$C$2:$C$500,MATCH($C3239,المنيو!$B$2:$B$500,0)),0))</f>
        <v/>
      </c>
      <c r="F3239" s="103" t="str">
        <f aca="false">IF($C3239="","",$D3239*$E3239)</f>
        <v/>
      </c>
      <c r="G3239" s="103" t="str">
        <f aca="false">IF($C3239="","",$D3239*IFERROR(INDEX('تحليل التكلفة والسعر'!$C$2:$C$700,MATCH($C3239,'تحليل التكلفة والسعر'!$B$2:$B$700,0)),0))</f>
        <v/>
      </c>
    </row>
    <row r="3240" customFormat="false" ht="15" hidden="false" customHeight="false" outlineLevel="0" collapsed="false">
      <c r="A3240" s="102"/>
      <c r="E3240" s="103" t="str">
        <f aca="false">IF($C3240="","",IFERROR(INDEX(المنيو!$C$2:$C$500,MATCH($C3240,المنيو!$B$2:$B$500,0)),0))</f>
        <v/>
      </c>
      <c r="F3240" s="103" t="str">
        <f aca="false">IF($C3240="","",$D3240*$E3240)</f>
        <v/>
      </c>
      <c r="G3240" s="103" t="str">
        <f aca="false">IF($C3240="","",$D3240*IFERROR(INDEX('تحليل التكلفة والسعر'!$C$2:$C$700,MATCH($C3240,'تحليل التكلفة والسعر'!$B$2:$B$700,0)),0))</f>
        <v/>
      </c>
    </row>
    <row r="3241" customFormat="false" ht="15" hidden="false" customHeight="false" outlineLevel="0" collapsed="false">
      <c r="A3241" s="102"/>
      <c r="E3241" s="103" t="str">
        <f aca="false">IF($C3241="","",IFERROR(INDEX(المنيو!$C$2:$C$500,MATCH($C3241,المنيو!$B$2:$B$500,0)),0))</f>
        <v/>
      </c>
      <c r="F3241" s="103" t="str">
        <f aca="false">IF($C3241="","",$D3241*$E3241)</f>
        <v/>
      </c>
      <c r="G3241" s="103" t="str">
        <f aca="false">IF($C3241="","",$D3241*IFERROR(INDEX('تحليل التكلفة والسعر'!$C$2:$C$700,MATCH($C3241,'تحليل التكلفة والسعر'!$B$2:$B$700,0)),0))</f>
        <v/>
      </c>
    </row>
    <row r="3242" customFormat="false" ht="15" hidden="false" customHeight="false" outlineLevel="0" collapsed="false">
      <c r="A3242" s="102"/>
      <c r="E3242" s="103" t="str">
        <f aca="false">IF($C3242="","",IFERROR(INDEX(المنيو!$C$2:$C$500,MATCH($C3242,المنيو!$B$2:$B$500,0)),0))</f>
        <v/>
      </c>
      <c r="F3242" s="103" t="str">
        <f aca="false">IF($C3242="","",$D3242*$E3242)</f>
        <v/>
      </c>
      <c r="G3242" s="103" t="str">
        <f aca="false">IF($C3242="","",$D3242*IFERROR(INDEX('تحليل التكلفة والسعر'!$C$2:$C$700,MATCH($C3242,'تحليل التكلفة والسعر'!$B$2:$B$700,0)),0))</f>
        <v/>
      </c>
    </row>
    <row r="3243" customFormat="false" ht="15" hidden="false" customHeight="false" outlineLevel="0" collapsed="false">
      <c r="A3243" s="102"/>
      <c r="E3243" s="103" t="str">
        <f aca="false">IF($C3243="","",IFERROR(INDEX(المنيو!$C$2:$C$500,MATCH($C3243,المنيو!$B$2:$B$500,0)),0))</f>
        <v/>
      </c>
      <c r="F3243" s="103" t="str">
        <f aca="false">IF($C3243="","",$D3243*$E3243)</f>
        <v/>
      </c>
      <c r="G3243" s="103" t="str">
        <f aca="false">IF($C3243="","",$D3243*IFERROR(INDEX('تحليل التكلفة والسعر'!$C$2:$C$700,MATCH($C3243,'تحليل التكلفة والسعر'!$B$2:$B$700,0)),0))</f>
        <v/>
      </c>
    </row>
    <row r="3244" customFormat="false" ht="15" hidden="false" customHeight="false" outlineLevel="0" collapsed="false">
      <c r="A3244" s="102"/>
      <c r="E3244" s="103" t="str">
        <f aca="false">IF($C3244="","",IFERROR(INDEX(المنيو!$C$2:$C$500,MATCH($C3244,المنيو!$B$2:$B$500,0)),0))</f>
        <v/>
      </c>
      <c r="F3244" s="103" t="str">
        <f aca="false">IF($C3244="","",$D3244*$E3244)</f>
        <v/>
      </c>
      <c r="G3244" s="103" t="str">
        <f aca="false">IF($C3244="","",$D3244*IFERROR(INDEX('تحليل التكلفة والسعر'!$C$2:$C$700,MATCH($C3244,'تحليل التكلفة والسعر'!$B$2:$B$700,0)),0))</f>
        <v/>
      </c>
    </row>
    <row r="3245" customFormat="false" ht="15" hidden="false" customHeight="false" outlineLevel="0" collapsed="false">
      <c r="A3245" s="102"/>
      <c r="E3245" s="103" t="str">
        <f aca="false">IF($C3245="","",IFERROR(INDEX(المنيو!$C$2:$C$500,MATCH($C3245,المنيو!$B$2:$B$500,0)),0))</f>
        <v/>
      </c>
      <c r="F3245" s="103" t="str">
        <f aca="false">IF($C3245="","",$D3245*$E3245)</f>
        <v/>
      </c>
      <c r="G3245" s="103" t="str">
        <f aca="false">IF($C3245="","",$D3245*IFERROR(INDEX('تحليل التكلفة والسعر'!$C$2:$C$700,MATCH($C3245,'تحليل التكلفة والسعر'!$B$2:$B$700,0)),0))</f>
        <v/>
      </c>
    </row>
    <row r="3246" customFormat="false" ht="15" hidden="false" customHeight="false" outlineLevel="0" collapsed="false">
      <c r="A3246" s="102"/>
      <c r="E3246" s="103" t="str">
        <f aca="false">IF($C3246="","",IFERROR(INDEX(المنيو!$C$2:$C$500,MATCH($C3246,المنيو!$B$2:$B$500,0)),0))</f>
        <v/>
      </c>
      <c r="F3246" s="103" t="str">
        <f aca="false">IF($C3246="","",$D3246*$E3246)</f>
        <v/>
      </c>
      <c r="G3246" s="103" t="str">
        <f aca="false">IF($C3246="","",$D3246*IFERROR(INDEX('تحليل التكلفة والسعر'!$C$2:$C$700,MATCH($C3246,'تحليل التكلفة والسعر'!$B$2:$B$700,0)),0))</f>
        <v/>
      </c>
    </row>
    <row r="3247" customFormat="false" ht="15" hidden="false" customHeight="false" outlineLevel="0" collapsed="false">
      <c r="A3247" s="102"/>
      <c r="E3247" s="103" t="str">
        <f aca="false">IF($C3247="","",IFERROR(INDEX(المنيو!$C$2:$C$500,MATCH($C3247,المنيو!$B$2:$B$500,0)),0))</f>
        <v/>
      </c>
      <c r="F3247" s="103" t="str">
        <f aca="false">IF($C3247="","",$D3247*$E3247)</f>
        <v/>
      </c>
      <c r="G3247" s="103" t="str">
        <f aca="false">IF($C3247="","",$D3247*IFERROR(INDEX('تحليل التكلفة والسعر'!$C$2:$C$700,MATCH($C3247,'تحليل التكلفة والسعر'!$B$2:$B$700,0)),0))</f>
        <v/>
      </c>
    </row>
    <row r="3248" customFormat="false" ht="15" hidden="false" customHeight="false" outlineLevel="0" collapsed="false">
      <c r="A3248" s="102"/>
      <c r="E3248" s="103" t="str">
        <f aca="false">IF($C3248="","",IFERROR(INDEX(المنيو!$C$2:$C$500,MATCH($C3248,المنيو!$B$2:$B$500,0)),0))</f>
        <v/>
      </c>
      <c r="F3248" s="103" t="str">
        <f aca="false">IF($C3248="","",$D3248*$E3248)</f>
        <v/>
      </c>
      <c r="G3248" s="103" t="str">
        <f aca="false">IF($C3248="","",$D3248*IFERROR(INDEX('تحليل التكلفة والسعر'!$C$2:$C$700,MATCH($C3248,'تحليل التكلفة والسعر'!$B$2:$B$700,0)),0))</f>
        <v/>
      </c>
    </row>
    <row r="3249" customFormat="false" ht="15" hidden="false" customHeight="false" outlineLevel="0" collapsed="false">
      <c r="A3249" s="102"/>
      <c r="E3249" s="103" t="str">
        <f aca="false">IF($C3249="","",IFERROR(INDEX(المنيو!$C$2:$C$500,MATCH($C3249,المنيو!$B$2:$B$500,0)),0))</f>
        <v/>
      </c>
      <c r="F3249" s="103" t="str">
        <f aca="false">IF($C3249="","",$D3249*$E3249)</f>
        <v/>
      </c>
      <c r="G3249" s="103" t="str">
        <f aca="false">IF($C3249="","",$D3249*IFERROR(INDEX('تحليل التكلفة والسعر'!$C$2:$C$700,MATCH($C3249,'تحليل التكلفة والسعر'!$B$2:$B$700,0)),0))</f>
        <v/>
      </c>
    </row>
    <row r="3250" customFormat="false" ht="15" hidden="false" customHeight="false" outlineLevel="0" collapsed="false">
      <c r="A3250" s="102"/>
      <c r="E3250" s="103" t="str">
        <f aca="false">IF($C3250="","",IFERROR(INDEX(المنيو!$C$2:$C$500,MATCH($C3250,المنيو!$B$2:$B$500,0)),0))</f>
        <v/>
      </c>
      <c r="F3250" s="103" t="str">
        <f aca="false">IF($C3250="","",$D3250*$E3250)</f>
        <v/>
      </c>
      <c r="G3250" s="103" t="str">
        <f aca="false">IF($C3250="","",$D3250*IFERROR(INDEX('تحليل التكلفة والسعر'!$C$2:$C$700,MATCH($C3250,'تحليل التكلفة والسعر'!$B$2:$B$700,0)),0))</f>
        <v/>
      </c>
    </row>
    <row r="3251" customFormat="false" ht="15" hidden="false" customHeight="false" outlineLevel="0" collapsed="false">
      <c r="A3251" s="102"/>
      <c r="E3251" s="103" t="str">
        <f aca="false">IF($C3251="","",IFERROR(INDEX(المنيو!$C$2:$C$500,MATCH($C3251,المنيو!$B$2:$B$500,0)),0))</f>
        <v/>
      </c>
      <c r="F3251" s="103" t="str">
        <f aca="false">IF($C3251="","",$D3251*$E3251)</f>
        <v/>
      </c>
      <c r="G3251" s="103" t="str">
        <f aca="false">IF($C3251="","",$D3251*IFERROR(INDEX('تحليل التكلفة والسعر'!$C$2:$C$700,MATCH($C3251,'تحليل التكلفة والسعر'!$B$2:$B$700,0)),0))</f>
        <v/>
      </c>
    </row>
    <row r="3252" customFormat="false" ht="15" hidden="false" customHeight="false" outlineLevel="0" collapsed="false">
      <c r="A3252" s="102"/>
      <c r="E3252" s="103" t="str">
        <f aca="false">IF($C3252="","",IFERROR(INDEX(المنيو!$C$2:$C$500,MATCH($C3252,المنيو!$B$2:$B$500,0)),0))</f>
        <v/>
      </c>
      <c r="F3252" s="103" t="str">
        <f aca="false">IF($C3252="","",$D3252*$E3252)</f>
        <v/>
      </c>
      <c r="G3252" s="103" t="str">
        <f aca="false">IF($C3252="","",$D3252*IFERROR(INDEX('تحليل التكلفة والسعر'!$C$2:$C$700,MATCH($C3252,'تحليل التكلفة والسعر'!$B$2:$B$700,0)),0))</f>
        <v/>
      </c>
    </row>
    <row r="3253" customFormat="false" ht="15" hidden="false" customHeight="false" outlineLevel="0" collapsed="false">
      <c r="A3253" s="102"/>
      <c r="E3253" s="103" t="str">
        <f aca="false">IF($C3253="","",IFERROR(INDEX(المنيو!$C$2:$C$500,MATCH($C3253,المنيو!$B$2:$B$500,0)),0))</f>
        <v/>
      </c>
      <c r="F3253" s="103" t="str">
        <f aca="false">IF($C3253="","",$D3253*$E3253)</f>
        <v/>
      </c>
      <c r="G3253" s="103" t="str">
        <f aca="false">IF($C3253="","",$D3253*IFERROR(INDEX('تحليل التكلفة والسعر'!$C$2:$C$700,MATCH($C3253,'تحليل التكلفة والسعر'!$B$2:$B$700,0)),0))</f>
        <v/>
      </c>
    </row>
    <row r="3254" customFormat="false" ht="15" hidden="false" customHeight="false" outlineLevel="0" collapsed="false">
      <c r="A3254" s="102"/>
      <c r="E3254" s="103" t="str">
        <f aca="false">IF($C3254="","",IFERROR(INDEX(المنيو!$C$2:$C$500,MATCH($C3254,المنيو!$B$2:$B$500,0)),0))</f>
        <v/>
      </c>
      <c r="F3254" s="103" t="str">
        <f aca="false">IF($C3254="","",$D3254*$E3254)</f>
        <v/>
      </c>
      <c r="G3254" s="103" t="str">
        <f aca="false">IF($C3254="","",$D3254*IFERROR(INDEX('تحليل التكلفة والسعر'!$C$2:$C$700,MATCH($C3254,'تحليل التكلفة والسعر'!$B$2:$B$700,0)),0))</f>
        <v/>
      </c>
    </row>
    <row r="3255" customFormat="false" ht="15" hidden="false" customHeight="false" outlineLevel="0" collapsed="false">
      <c r="A3255" s="102"/>
      <c r="E3255" s="103" t="str">
        <f aca="false">IF($C3255="","",IFERROR(INDEX(المنيو!$C$2:$C$500,MATCH($C3255,المنيو!$B$2:$B$500,0)),0))</f>
        <v/>
      </c>
      <c r="F3255" s="103" t="str">
        <f aca="false">IF($C3255="","",$D3255*$E3255)</f>
        <v/>
      </c>
      <c r="G3255" s="103" t="str">
        <f aca="false">IF($C3255="","",$D3255*IFERROR(INDEX('تحليل التكلفة والسعر'!$C$2:$C$700,MATCH($C3255,'تحليل التكلفة والسعر'!$B$2:$B$700,0)),0))</f>
        <v/>
      </c>
    </row>
    <row r="3256" customFormat="false" ht="15" hidden="false" customHeight="false" outlineLevel="0" collapsed="false">
      <c r="A3256" s="102"/>
      <c r="E3256" s="103" t="str">
        <f aca="false">IF($C3256="","",IFERROR(INDEX(المنيو!$C$2:$C$500,MATCH($C3256,المنيو!$B$2:$B$500,0)),0))</f>
        <v/>
      </c>
      <c r="F3256" s="103" t="str">
        <f aca="false">IF($C3256="","",$D3256*$E3256)</f>
        <v/>
      </c>
      <c r="G3256" s="103" t="str">
        <f aca="false">IF($C3256="","",$D3256*IFERROR(INDEX('تحليل التكلفة والسعر'!$C$2:$C$700,MATCH($C3256,'تحليل التكلفة والسعر'!$B$2:$B$700,0)),0))</f>
        <v/>
      </c>
    </row>
    <row r="3257" customFormat="false" ht="15" hidden="false" customHeight="false" outlineLevel="0" collapsed="false">
      <c r="A3257" s="102"/>
      <c r="E3257" s="103" t="str">
        <f aca="false">IF($C3257="","",IFERROR(INDEX(المنيو!$C$2:$C$500,MATCH($C3257,المنيو!$B$2:$B$500,0)),0))</f>
        <v/>
      </c>
      <c r="F3257" s="103" t="str">
        <f aca="false">IF($C3257="","",$D3257*$E3257)</f>
        <v/>
      </c>
      <c r="G3257" s="103" t="str">
        <f aca="false">IF($C3257="","",$D3257*IFERROR(INDEX('تحليل التكلفة والسعر'!$C$2:$C$700,MATCH($C3257,'تحليل التكلفة والسعر'!$B$2:$B$700,0)),0))</f>
        <v/>
      </c>
    </row>
    <row r="3258" customFormat="false" ht="15" hidden="false" customHeight="false" outlineLevel="0" collapsed="false">
      <c r="A3258" s="102"/>
      <c r="E3258" s="103" t="str">
        <f aca="false">IF($C3258="","",IFERROR(INDEX(المنيو!$C$2:$C$500,MATCH($C3258,المنيو!$B$2:$B$500,0)),0))</f>
        <v/>
      </c>
      <c r="F3258" s="103" t="str">
        <f aca="false">IF($C3258="","",$D3258*$E3258)</f>
        <v/>
      </c>
      <c r="G3258" s="103" t="str">
        <f aca="false">IF($C3258="","",$D3258*IFERROR(INDEX('تحليل التكلفة والسعر'!$C$2:$C$700,MATCH($C3258,'تحليل التكلفة والسعر'!$B$2:$B$700,0)),0))</f>
        <v/>
      </c>
    </row>
    <row r="3259" customFormat="false" ht="15" hidden="false" customHeight="false" outlineLevel="0" collapsed="false">
      <c r="A3259" s="102"/>
      <c r="E3259" s="103" t="str">
        <f aca="false">IF($C3259="","",IFERROR(INDEX(المنيو!$C$2:$C$500,MATCH($C3259,المنيو!$B$2:$B$500,0)),0))</f>
        <v/>
      </c>
      <c r="F3259" s="103" t="str">
        <f aca="false">IF($C3259="","",$D3259*$E3259)</f>
        <v/>
      </c>
      <c r="G3259" s="103" t="str">
        <f aca="false">IF($C3259="","",$D3259*IFERROR(INDEX('تحليل التكلفة والسعر'!$C$2:$C$700,MATCH($C3259,'تحليل التكلفة والسعر'!$B$2:$B$700,0)),0))</f>
        <v/>
      </c>
    </row>
    <row r="3260" customFormat="false" ht="15" hidden="false" customHeight="false" outlineLevel="0" collapsed="false">
      <c r="A3260" s="102"/>
      <c r="E3260" s="103" t="str">
        <f aca="false">IF($C3260="","",IFERROR(INDEX(المنيو!$C$2:$C$500,MATCH($C3260,المنيو!$B$2:$B$500,0)),0))</f>
        <v/>
      </c>
      <c r="F3260" s="103" t="str">
        <f aca="false">IF($C3260="","",$D3260*$E3260)</f>
        <v/>
      </c>
      <c r="G3260" s="103" t="str">
        <f aca="false">IF($C3260="","",$D3260*IFERROR(INDEX('تحليل التكلفة والسعر'!$C$2:$C$700,MATCH($C3260,'تحليل التكلفة والسعر'!$B$2:$B$700,0)),0))</f>
        <v/>
      </c>
    </row>
    <row r="3261" customFormat="false" ht="15" hidden="false" customHeight="false" outlineLevel="0" collapsed="false">
      <c r="A3261" s="102"/>
      <c r="E3261" s="103" t="str">
        <f aca="false">IF($C3261="","",IFERROR(INDEX(المنيو!$C$2:$C$500,MATCH($C3261,المنيو!$B$2:$B$500,0)),0))</f>
        <v/>
      </c>
      <c r="F3261" s="103" t="str">
        <f aca="false">IF($C3261="","",$D3261*$E3261)</f>
        <v/>
      </c>
      <c r="G3261" s="103" t="str">
        <f aca="false">IF($C3261="","",$D3261*IFERROR(INDEX('تحليل التكلفة والسعر'!$C$2:$C$700,MATCH($C3261,'تحليل التكلفة والسعر'!$B$2:$B$700,0)),0))</f>
        <v/>
      </c>
    </row>
    <row r="3262" customFormat="false" ht="15" hidden="false" customHeight="false" outlineLevel="0" collapsed="false">
      <c r="A3262" s="102"/>
      <c r="E3262" s="103" t="str">
        <f aca="false">IF($C3262="","",IFERROR(INDEX(المنيو!$C$2:$C$500,MATCH($C3262,المنيو!$B$2:$B$500,0)),0))</f>
        <v/>
      </c>
      <c r="F3262" s="103" t="str">
        <f aca="false">IF($C3262="","",$D3262*$E3262)</f>
        <v/>
      </c>
      <c r="G3262" s="103" t="str">
        <f aca="false">IF($C3262="","",$D3262*IFERROR(INDEX('تحليل التكلفة والسعر'!$C$2:$C$700,MATCH($C3262,'تحليل التكلفة والسعر'!$B$2:$B$700,0)),0))</f>
        <v/>
      </c>
    </row>
    <row r="3263" customFormat="false" ht="15" hidden="false" customHeight="false" outlineLevel="0" collapsed="false">
      <c r="A3263" s="102"/>
      <c r="E3263" s="103" t="str">
        <f aca="false">IF($C3263="","",IFERROR(INDEX(المنيو!$C$2:$C$500,MATCH($C3263,المنيو!$B$2:$B$500,0)),0))</f>
        <v/>
      </c>
      <c r="F3263" s="103" t="str">
        <f aca="false">IF($C3263="","",$D3263*$E3263)</f>
        <v/>
      </c>
      <c r="G3263" s="103" t="str">
        <f aca="false">IF($C3263="","",$D3263*IFERROR(INDEX('تحليل التكلفة والسعر'!$C$2:$C$700,MATCH($C3263,'تحليل التكلفة والسعر'!$B$2:$B$700,0)),0))</f>
        <v/>
      </c>
    </row>
    <row r="3264" customFormat="false" ht="15" hidden="false" customHeight="false" outlineLevel="0" collapsed="false">
      <c r="A3264" s="102"/>
      <c r="E3264" s="103" t="str">
        <f aca="false">IF($C3264="","",IFERROR(INDEX(المنيو!$C$2:$C$500,MATCH($C3264,المنيو!$B$2:$B$500,0)),0))</f>
        <v/>
      </c>
      <c r="F3264" s="103" t="str">
        <f aca="false">IF($C3264="","",$D3264*$E3264)</f>
        <v/>
      </c>
      <c r="G3264" s="103" t="str">
        <f aca="false">IF($C3264="","",$D3264*IFERROR(INDEX('تحليل التكلفة والسعر'!$C$2:$C$700,MATCH($C3264,'تحليل التكلفة والسعر'!$B$2:$B$700,0)),0))</f>
        <v/>
      </c>
    </row>
    <row r="3265" customFormat="false" ht="15" hidden="false" customHeight="false" outlineLevel="0" collapsed="false">
      <c r="A3265" s="102"/>
      <c r="E3265" s="103" t="str">
        <f aca="false">IF($C3265="","",IFERROR(INDEX(المنيو!$C$2:$C$500,MATCH($C3265,المنيو!$B$2:$B$500,0)),0))</f>
        <v/>
      </c>
      <c r="F3265" s="103" t="str">
        <f aca="false">IF($C3265="","",$D3265*$E3265)</f>
        <v/>
      </c>
      <c r="G3265" s="103" t="str">
        <f aca="false">IF($C3265="","",$D3265*IFERROR(INDEX('تحليل التكلفة والسعر'!$C$2:$C$700,MATCH($C3265,'تحليل التكلفة والسعر'!$B$2:$B$700,0)),0))</f>
        <v/>
      </c>
    </row>
    <row r="3266" customFormat="false" ht="15" hidden="false" customHeight="false" outlineLevel="0" collapsed="false">
      <c r="A3266" s="102"/>
      <c r="E3266" s="103" t="str">
        <f aca="false">IF($C3266="","",IFERROR(INDEX(المنيو!$C$2:$C$500,MATCH($C3266,المنيو!$B$2:$B$500,0)),0))</f>
        <v/>
      </c>
      <c r="F3266" s="103" t="str">
        <f aca="false">IF($C3266="","",$D3266*$E3266)</f>
        <v/>
      </c>
      <c r="G3266" s="103" t="str">
        <f aca="false">IF($C3266="","",$D3266*IFERROR(INDEX('تحليل التكلفة والسعر'!$C$2:$C$700,MATCH($C3266,'تحليل التكلفة والسعر'!$B$2:$B$700,0)),0))</f>
        <v/>
      </c>
    </row>
    <row r="3267" customFormat="false" ht="15" hidden="false" customHeight="false" outlineLevel="0" collapsed="false">
      <c r="A3267" s="102"/>
      <c r="E3267" s="103" t="str">
        <f aca="false">IF($C3267="","",IFERROR(INDEX(المنيو!$C$2:$C$500,MATCH($C3267,المنيو!$B$2:$B$500,0)),0))</f>
        <v/>
      </c>
      <c r="F3267" s="103" t="str">
        <f aca="false">IF($C3267="","",$D3267*$E3267)</f>
        <v/>
      </c>
      <c r="G3267" s="103" t="str">
        <f aca="false">IF($C3267="","",$D3267*IFERROR(INDEX('تحليل التكلفة والسعر'!$C$2:$C$700,MATCH($C3267,'تحليل التكلفة والسعر'!$B$2:$B$700,0)),0))</f>
        <v/>
      </c>
    </row>
    <row r="3268" customFormat="false" ht="15" hidden="false" customHeight="false" outlineLevel="0" collapsed="false">
      <c r="A3268" s="102"/>
      <c r="E3268" s="103" t="str">
        <f aca="false">IF($C3268="","",IFERROR(INDEX(المنيو!$C$2:$C$500,MATCH($C3268,المنيو!$B$2:$B$500,0)),0))</f>
        <v/>
      </c>
      <c r="F3268" s="103" t="str">
        <f aca="false">IF($C3268="","",$D3268*$E3268)</f>
        <v/>
      </c>
      <c r="G3268" s="103" t="str">
        <f aca="false">IF($C3268="","",$D3268*IFERROR(INDEX('تحليل التكلفة والسعر'!$C$2:$C$700,MATCH($C3268,'تحليل التكلفة والسعر'!$B$2:$B$700,0)),0))</f>
        <v/>
      </c>
    </row>
    <row r="3269" customFormat="false" ht="15" hidden="false" customHeight="false" outlineLevel="0" collapsed="false">
      <c r="A3269" s="102"/>
      <c r="E3269" s="103" t="str">
        <f aca="false">IF($C3269="","",IFERROR(INDEX(المنيو!$C$2:$C$500,MATCH($C3269,المنيو!$B$2:$B$500,0)),0))</f>
        <v/>
      </c>
      <c r="F3269" s="103" t="str">
        <f aca="false">IF($C3269="","",$D3269*$E3269)</f>
        <v/>
      </c>
      <c r="G3269" s="103" t="str">
        <f aca="false">IF($C3269="","",$D3269*IFERROR(INDEX('تحليل التكلفة والسعر'!$C$2:$C$700,MATCH($C3269,'تحليل التكلفة والسعر'!$B$2:$B$700,0)),0))</f>
        <v/>
      </c>
    </row>
    <row r="3270" customFormat="false" ht="15" hidden="false" customHeight="false" outlineLevel="0" collapsed="false">
      <c r="A3270" s="102"/>
      <c r="E3270" s="103" t="str">
        <f aca="false">IF($C3270="","",IFERROR(INDEX(المنيو!$C$2:$C$500,MATCH($C3270,المنيو!$B$2:$B$500,0)),0))</f>
        <v/>
      </c>
      <c r="F3270" s="103" t="str">
        <f aca="false">IF($C3270="","",$D3270*$E3270)</f>
        <v/>
      </c>
      <c r="G3270" s="103" t="str">
        <f aca="false">IF($C3270="","",$D3270*IFERROR(INDEX('تحليل التكلفة والسعر'!$C$2:$C$700,MATCH($C3270,'تحليل التكلفة والسعر'!$B$2:$B$700,0)),0))</f>
        <v/>
      </c>
    </row>
    <row r="3271" customFormat="false" ht="15" hidden="false" customHeight="false" outlineLevel="0" collapsed="false">
      <c r="A3271" s="102"/>
      <c r="E3271" s="103" t="str">
        <f aca="false">IF($C3271="","",IFERROR(INDEX(المنيو!$C$2:$C$500,MATCH($C3271,المنيو!$B$2:$B$500,0)),0))</f>
        <v/>
      </c>
      <c r="F3271" s="103" t="str">
        <f aca="false">IF($C3271="","",$D3271*$E3271)</f>
        <v/>
      </c>
      <c r="G3271" s="103" t="str">
        <f aca="false">IF($C3271="","",$D3271*IFERROR(INDEX('تحليل التكلفة والسعر'!$C$2:$C$700,MATCH($C3271,'تحليل التكلفة والسعر'!$B$2:$B$700,0)),0))</f>
        <v/>
      </c>
    </row>
    <row r="3272" customFormat="false" ht="15" hidden="false" customHeight="false" outlineLevel="0" collapsed="false">
      <c r="A3272" s="102"/>
      <c r="E3272" s="103" t="str">
        <f aca="false">IF($C3272="","",IFERROR(INDEX(المنيو!$C$2:$C$500,MATCH($C3272,المنيو!$B$2:$B$500,0)),0))</f>
        <v/>
      </c>
      <c r="F3272" s="103" t="str">
        <f aca="false">IF($C3272="","",$D3272*$E3272)</f>
        <v/>
      </c>
      <c r="G3272" s="103" t="str">
        <f aca="false">IF($C3272="","",$D3272*IFERROR(INDEX('تحليل التكلفة والسعر'!$C$2:$C$700,MATCH($C3272,'تحليل التكلفة والسعر'!$B$2:$B$700,0)),0))</f>
        <v/>
      </c>
    </row>
    <row r="3273" customFormat="false" ht="15" hidden="false" customHeight="false" outlineLevel="0" collapsed="false">
      <c r="A3273" s="102"/>
      <c r="E3273" s="103" t="str">
        <f aca="false">IF($C3273="","",IFERROR(INDEX(المنيو!$C$2:$C$500,MATCH($C3273,المنيو!$B$2:$B$500,0)),0))</f>
        <v/>
      </c>
      <c r="F3273" s="103" t="str">
        <f aca="false">IF($C3273="","",$D3273*$E3273)</f>
        <v/>
      </c>
      <c r="G3273" s="103" t="str">
        <f aca="false">IF($C3273="","",$D3273*IFERROR(INDEX('تحليل التكلفة والسعر'!$C$2:$C$700,MATCH($C3273,'تحليل التكلفة والسعر'!$B$2:$B$700,0)),0))</f>
        <v/>
      </c>
    </row>
    <row r="3274" customFormat="false" ht="15" hidden="false" customHeight="false" outlineLevel="0" collapsed="false">
      <c r="A3274" s="102"/>
      <c r="E3274" s="103" t="str">
        <f aca="false">IF($C3274="","",IFERROR(INDEX(المنيو!$C$2:$C$500,MATCH($C3274,المنيو!$B$2:$B$500,0)),0))</f>
        <v/>
      </c>
      <c r="F3274" s="103" t="str">
        <f aca="false">IF($C3274="","",$D3274*$E3274)</f>
        <v/>
      </c>
      <c r="G3274" s="103" t="str">
        <f aca="false">IF($C3274="","",$D3274*IFERROR(INDEX('تحليل التكلفة والسعر'!$C$2:$C$700,MATCH($C3274,'تحليل التكلفة والسعر'!$B$2:$B$700,0)),0))</f>
        <v/>
      </c>
    </row>
    <row r="3275" customFormat="false" ht="15" hidden="false" customHeight="false" outlineLevel="0" collapsed="false">
      <c r="A3275" s="102"/>
      <c r="E3275" s="103" t="str">
        <f aca="false">IF($C3275="","",IFERROR(INDEX(المنيو!$C$2:$C$500,MATCH($C3275,المنيو!$B$2:$B$500,0)),0))</f>
        <v/>
      </c>
      <c r="F3275" s="103" t="str">
        <f aca="false">IF($C3275="","",$D3275*$E3275)</f>
        <v/>
      </c>
      <c r="G3275" s="103" t="str">
        <f aca="false">IF($C3275="","",$D3275*IFERROR(INDEX('تحليل التكلفة والسعر'!$C$2:$C$700,MATCH($C3275,'تحليل التكلفة والسعر'!$B$2:$B$700,0)),0))</f>
        <v/>
      </c>
    </row>
    <row r="3276" customFormat="false" ht="15" hidden="false" customHeight="false" outlineLevel="0" collapsed="false">
      <c r="A3276" s="102"/>
      <c r="E3276" s="103" t="str">
        <f aca="false">IF($C3276="","",IFERROR(INDEX(المنيو!$C$2:$C$500,MATCH($C3276,المنيو!$B$2:$B$500,0)),0))</f>
        <v/>
      </c>
      <c r="F3276" s="103" t="str">
        <f aca="false">IF($C3276="","",$D3276*$E3276)</f>
        <v/>
      </c>
      <c r="G3276" s="103" t="str">
        <f aca="false">IF($C3276="","",$D3276*IFERROR(INDEX('تحليل التكلفة والسعر'!$C$2:$C$700,MATCH($C3276,'تحليل التكلفة والسعر'!$B$2:$B$700,0)),0))</f>
        <v/>
      </c>
    </row>
    <row r="3277" customFormat="false" ht="15" hidden="false" customHeight="false" outlineLevel="0" collapsed="false">
      <c r="A3277" s="102"/>
      <c r="E3277" s="103" t="str">
        <f aca="false">IF($C3277="","",IFERROR(INDEX(المنيو!$C$2:$C$500,MATCH($C3277,المنيو!$B$2:$B$500,0)),0))</f>
        <v/>
      </c>
      <c r="F3277" s="103" t="str">
        <f aca="false">IF($C3277="","",$D3277*$E3277)</f>
        <v/>
      </c>
      <c r="G3277" s="103" t="str">
        <f aca="false">IF($C3277="","",$D3277*IFERROR(INDEX('تحليل التكلفة والسعر'!$C$2:$C$700,MATCH($C3277,'تحليل التكلفة والسعر'!$B$2:$B$700,0)),0))</f>
        <v/>
      </c>
    </row>
    <row r="3278" customFormat="false" ht="15" hidden="false" customHeight="false" outlineLevel="0" collapsed="false">
      <c r="A3278" s="102"/>
      <c r="E3278" s="103" t="str">
        <f aca="false">IF($C3278="","",IFERROR(INDEX(المنيو!$C$2:$C$500,MATCH($C3278,المنيو!$B$2:$B$500,0)),0))</f>
        <v/>
      </c>
      <c r="F3278" s="103" t="str">
        <f aca="false">IF($C3278="","",$D3278*$E3278)</f>
        <v/>
      </c>
      <c r="G3278" s="103" t="str">
        <f aca="false">IF($C3278="","",$D3278*IFERROR(INDEX('تحليل التكلفة والسعر'!$C$2:$C$700,MATCH($C3278,'تحليل التكلفة والسعر'!$B$2:$B$700,0)),0))</f>
        <v/>
      </c>
    </row>
    <row r="3279" customFormat="false" ht="15" hidden="false" customHeight="false" outlineLevel="0" collapsed="false">
      <c r="A3279" s="102"/>
      <c r="E3279" s="103" t="str">
        <f aca="false">IF($C3279="","",IFERROR(INDEX(المنيو!$C$2:$C$500,MATCH($C3279,المنيو!$B$2:$B$500,0)),0))</f>
        <v/>
      </c>
      <c r="F3279" s="103" t="str">
        <f aca="false">IF($C3279="","",$D3279*$E3279)</f>
        <v/>
      </c>
      <c r="G3279" s="103" t="str">
        <f aca="false">IF($C3279="","",$D3279*IFERROR(INDEX('تحليل التكلفة والسعر'!$C$2:$C$700,MATCH($C3279,'تحليل التكلفة والسعر'!$B$2:$B$700,0)),0))</f>
        <v/>
      </c>
    </row>
    <row r="3280" customFormat="false" ht="15" hidden="false" customHeight="false" outlineLevel="0" collapsed="false">
      <c r="A3280" s="102"/>
      <c r="E3280" s="103" t="str">
        <f aca="false">IF($C3280="","",IFERROR(INDEX(المنيو!$C$2:$C$500,MATCH($C3280,المنيو!$B$2:$B$500,0)),0))</f>
        <v/>
      </c>
      <c r="F3280" s="103" t="str">
        <f aca="false">IF($C3280="","",$D3280*$E3280)</f>
        <v/>
      </c>
      <c r="G3280" s="103" t="str">
        <f aca="false">IF($C3280="","",$D3280*IFERROR(INDEX('تحليل التكلفة والسعر'!$C$2:$C$700,MATCH($C3280,'تحليل التكلفة والسعر'!$B$2:$B$700,0)),0))</f>
        <v/>
      </c>
    </row>
    <row r="3281" customFormat="false" ht="15" hidden="false" customHeight="false" outlineLevel="0" collapsed="false">
      <c r="A3281" s="102"/>
      <c r="E3281" s="103" t="str">
        <f aca="false">IF($C3281="","",IFERROR(INDEX(المنيو!$C$2:$C$500,MATCH($C3281,المنيو!$B$2:$B$500,0)),0))</f>
        <v/>
      </c>
      <c r="F3281" s="103" t="str">
        <f aca="false">IF($C3281="","",$D3281*$E3281)</f>
        <v/>
      </c>
      <c r="G3281" s="103" t="str">
        <f aca="false">IF($C3281="","",$D3281*IFERROR(INDEX('تحليل التكلفة والسعر'!$C$2:$C$700,MATCH($C3281,'تحليل التكلفة والسعر'!$B$2:$B$700,0)),0))</f>
        <v/>
      </c>
    </row>
    <row r="3282" customFormat="false" ht="15" hidden="false" customHeight="false" outlineLevel="0" collapsed="false">
      <c r="A3282" s="102"/>
      <c r="E3282" s="103" t="str">
        <f aca="false">IF($C3282="","",IFERROR(INDEX(المنيو!$C$2:$C$500,MATCH($C3282,المنيو!$B$2:$B$500,0)),0))</f>
        <v/>
      </c>
      <c r="F3282" s="103" t="str">
        <f aca="false">IF($C3282="","",$D3282*$E3282)</f>
        <v/>
      </c>
      <c r="G3282" s="103" t="str">
        <f aca="false">IF($C3282="","",$D3282*IFERROR(INDEX('تحليل التكلفة والسعر'!$C$2:$C$700,MATCH($C3282,'تحليل التكلفة والسعر'!$B$2:$B$700,0)),0))</f>
        <v/>
      </c>
    </row>
    <row r="3283" customFormat="false" ht="15" hidden="false" customHeight="false" outlineLevel="0" collapsed="false">
      <c r="A3283" s="102"/>
      <c r="E3283" s="103" t="str">
        <f aca="false">IF($C3283="","",IFERROR(INDEX(المنيو!$C$2:$C$500,MATCH($C3283,المنيو!$B$2:$B$500,0)),0))</f>
        <v/>
      </c>
      <c r="F3283" s="103" t="str">
        <f aca="false">IF($C3283="","",$D3283*$E3283)</f>
        <v/>
      </c>
      <c r="G3283" s="103" t="str">
        <f aca="false">IF($C3283="","",$D3283*IFERROR(INDEX('تحليل التكلفة والسعر'!$C$2:$C$700,MATCH($C3283,'تحليل التكلفة والسعر'!$B$2:$B$700,0)),0))</f>
        <v/>
      </c>
    </row>
    <row r="3284" customFormat="false" ht="15" hidden="false" customHeight="false" outlineLevel="0" collapsed="false">
      <c r="A3284" s="102"/>
      <c r="E3284" s="103" t="str">
        <f aca="false">IF($C3284="","",IFERROR(INDEX(المنيو!$C$2:$C$500,MATCH($C3284,المنيو!$B$2:$B$500,0)),0))</f>
        <v/>
      </c>
      <c r="F3284" s="103" t="str">
        <f aca="false">IF($C3284="","",$D3284*$E3284)</f>
        <v/>
      </c>
      <c r="G3284" s="103" t="str">
        <f aca="false">IF($C3284="","",$D3284*IFERROR(INDEX('تحليل التكلفة والسعر'!$C$2:$C$700,MATCH($C3284,'تحليل التكلفة والسعر'!$B$2:$B$700,0)),0))</f>
        <v/>
      </c>
    </row>
    <row r="3285" customFormat="false" ht="15" hidden="false" customHeight="false" outlineLevel="0" collapsed="false">
      <c r="A3285" s="102"/>
      <c r="E3285" s="103" t="str">
        <f aca="false">IF($C3285="","",IFERROR(INDEX(المنيو!$C$2:$C$500,MATCH($C3285,المنيو!$B$2:$B$500,0)),0))</f>
        <v/>
      </c>
      <c r="F3285" s="103" t="str">
        <f aca="false">IF($C3285="","",$D3285*$E3285)</f>
        <v/>
      </c>
      <c r="G3285" s="103" t="str">
        <f aca="false">IF($C3285="","",$D3285*IFERROR(INDEX('تحليل التكلفة والسعر'!$C$2:$C$700,MATCH($C3285,'تحليل التكلفة والسعر'!$B$2:$B$700,0)),0))</f>
        <v/>
      </c>
    </row>
    <row r="3286" customFormat="false" ht="15" hidden="false" customHeight="false" outlineLevel="0" collapsed="false">
      <c r="A3286" s="102"/>
      <c r="E3286" s="103" t="str">
        <f aca="false">IF($C3286="","",IFERROR(INDEX(المنيو!$C$2:$C$500,MATCH($C3286,المنيو!$B$2:$B$500,0)),0))</f>
        <v/>
      </c>
      <c r="F3286" s="103" t="str">
        <f aca="false">IF($C3286="","",$D3286*$E3286)</f>
        <v/>
      </c>
      <c r="G3286" s="103" t="str">
        <f aca="false">IF($C3286="","",$D3286*IFERROR(INDEX('تحليل التكلفة والسعر'!$C$2:$C$700,MATCH($C3286,'تحليل التكلفة والسعر'!$B$2:$B$700,0)),0))</f>
        <v/>
      </c>
    </row>
    <row r="3287" customFormat="false" ht="15" hidden="false" customHeight="false" outlineLevel="0" collapsed="false">
      <c r="A3287" s="102"/>
      <c r="E3287" s="103" t="str">
        <f aca="false">IF($C3287="","",IFERROR(INDEX(المنيو!$C$2:$C$500,MATCH($C3287,المنيو!$B$2:$B$500,0)),0))</f>
        <v/>
      </c>
      <c r="F3287" s="103" t="str">
        <f aca="false">IF($C3287="","",$D3287*$E3287)</f>
        <v/>
      </c>
      <c r="G3287" s="103" t="str">
        <f aca="false">IF($C3287="","",$D3287*IFERROR(INDEX('تحليل التكلفة والسعر'!$C$2:$C$700,MATCH($C3287,'تحليل التكلفة والسعر'!$B$2:$B$700,0)),0))</f>
        <v/>
      </c>
    </row>
    <row r="3288" customFormat="false" ht="15" hidden="false" customHeight="false" outlineLevel="0" collapsed="false">
      <c r="A3288" s="102"/>
      <c r="E3288" s="103" t="str">
        <f aca="false">IF($C3288="","",IFERROR(INDEX(المنيو!$C$2:$C$500,MATCH($C3288,المنيو!$B$2:$B$500,0)),0))</f>
        <v/>
      </c>
      <c r="F3288" s="103" t="str">
        <f aca="false">IF($C3288="","",$D3288*$E3288)</f>
        <v/>
      </c>
      <c r="G3288" s="103" t="str">
        <f aca="false">IF($C3288="","",$D3288*IFERROR(INDEX('تحليل التكلفة والسعر'!$C$2:$C$700,MATCH($C3288,'تحليل التكلفة والسعر'!$B$2:$B$700,0)),0))</f>
        <v/>
      </c>
    </row>
    <row r="3289" customFormat="false" ht="15" hidden="false" customHeight="false" outlineLevel="0" collapsed="false">
      <c r="A3289" s="102"/>
      <c r="E3289" s="103" t="str">
        <f aca="false">IF($C3289="","",IFERROR(INDEX(المنيو!$C$2:$C$500,MATCH($C3289,المنيو!$B$2:$B$500,0)),0))</f>
        <v/>
      </c>
      <c r="F3289" s="103" t="str">
        <f aca="false">IF($C3289="","",$D3289*$E3289)</f>
        <v/>
      </c>
      <c r="G3289" s="103" t="str">
        <f aca="false">IF($C3289="","",$D3289*IFERROR(INDEX('تحليل التكلفة والسعر'!$C$2:$C$700,MATCH($C3289,'تحليل التكلفة والسعر'!$B$2:$B$700,0)),0))</f>
        <v/>
      </c>
    </row>
    <row r="3290" customFormat="false" ht="15" hidden="false" customHeight="false" outlineLevel="0" collapsed="false">
      <c r="A3290" s="102"/>
      <c r="E3290" s="103" t="str">
        <f aca="false">IF($C3290="","",IFERROR(INDEX(المنيو!$C$2:$C$500,MATCH($C3290,المنيو!$B$2:$B$500,0)),0))</f>
        <v/>
      </c>
      <c r="F3290" s="103" t="str">
        <f aca="false">IF($C3290="","",$D3290*$E3290)</f>
        <v/>
      </c>
      <c r="G3290" s="103" t="str">
        <f aca="false">IF($C3290="","",$D3290*IFERROR(INDEX('تحليل التكلفة والسعر'!$C$2:$C$700,MATCH($C3290,'تحليل التكلفة والسعر'!$B$2:$B$700,0)),0))</f>
        <v/>
      </c>
    </row>
    <row r="3291" customFormat="false" ht="15" hidden="false" customHeight="false" outlineLevel="0" collapsed="false">
      <c r="A3291" s="102"/>
      <c r="E3291" s="103" t="str">
        <f aca="false">IF($C3291="","",IFERROR(INDEX(المنيو!$C$2:$C$500,MATCH($C3291,المنيو!$B$2:$B$500,0)),0))</f>
        <v/>
      </c>
      <c r="F3291" s="103" t="str">
        <f aca="false">IF($C3291="","",$D3291*$E3291)</f>
        <v/>
      </c>
      <c r="G3291" s="103" t="str">
        <f aca="false">IF($C3291="","",$D3291*IFERROR(INDEX('تحليل التكلفة والسعر'!$C$2:$C$700,MATCH($C3291,'تحليل التكلفة والسعر'!$B$2:$B$700,0)),0))</f>
        <v/>
      </c>
    </row>
    <row r="3292" customFormat="false" ht="15" hidden="false" customHeight="false" outlineLevel="0" collapsed="false">
      <c r="A3292" s="102"/>
      <c r="E3292" s="103" t="str">
        <f aca="false">IF($C3292="","",IFERROR(INDEX(المنيو!$C$2:$C$500,MATCH($C3292,المنيو!$B$2:$B$500,0)),0))</f>
        <v/>
      </c>
      <c r="F3292" s="103" t="str">
        <f aca="false">IF($C3292="","",$D3292*$E3292)</f>
        <v/>
      </c>
      <c r="G3292" s="103" t="str">
        <f aca="false">IF($C3292="","",$D3292*IFERROR(INDEX('تحليل التكلفة والسعر'!$C$2:$C$700,MATCH($C3292,'تحليل التكلفة والسعر'!$B$2:$B$700,0)),0))</f>
        <v/>
      </c>
    </row>
    <row r="3293" customFormat="false" ht="15" hidden="false" customHeight="false" outlineLevel="0" collapsed="false">
      <c r="A3293" s="102"/>
      <c r="E3293" s="103" t="str">
        <f aca="false">IF($C3293="","",IFERROR(INDEX(المنيو!$C$2:$C$500,MATCH($C3293,المنيو!$B$2:$B$500,0)),0))</f>
        <v/>
      </c>
      <c r="F3293" s="103" t="str">
        <f aca="false">IF($C3293="","",$D3293*$E3293)</f>
        <v/>
      </c>
      <c r="G3293" s="103" t="str">
        <f aca="false">IF($C3293="","",$D3293*IFERROR(INDEX('تحليل التكلفة والسعر'!$C$2:$C$700,MATCH($C3293,'تحليل التكلفة والسعر'!$B$2:$B$700,0)),0))</f>
        <v/>
      </c>
    </row>
    <row r="3294" customFormat="false" ht="15" hidden="false" customHeight="false" outlineLevel="0" collapsed="false">
      <c r="A3294" s="102"/>
      <c r="E3294" s="103" t="str">
        <f aca="false">IF($C3294="","",IFERROR(INDEX(المنيو!$C$2:$C$500,MATCH($C3294,المنيو!$B$2:$B$500,0)),0))</f>
        <v/>
      </c>
      <c r="F3294" s="103" t="str">
        <f aca="false">IF($C3294="","",$D3294*$E3294)</f>
        <v/>
      </c>
      <c r="G3294" s="103" t="str">
        <f aca="false">IF($C3294="","",$D3294*IFERROR(INDEX('تحليل التكلفة والسعر'!$C$2:$C$700,MATCH($C3294,'تحليل التكلفة والسعر'!$B$2:$B$700,0)),0))</f>
        <v/>
      </c>
    </row>
    <row r="3295" customFormat="false" ht="15" hidden="false" customHeight="false" outlineLevel="0" collapsed="false">
      <c r="A3295" s="102"/>
      <c r="E3295" s="103" t="str">
        <f aca="false">IF($C3295="","",IFERROR(INDEX(المنيو!$C$2:$C$500,MATCH($C3295,المنيو!$B$2:$B$500,0)),0))</f>
        <v/>
      </c>
      <c r="F3295" s="103" t="str">
        <f aca="false">IF($C3295="","",$D3295*$E3295)</f>
        <v/>
      </c>
      <c r="G3295" s="103" t="str">
        <f aca="false">IF($C3295="","",$D3295*IFERROR(INDEX('تحليل التكلفة والسعر'!$C$2:$C$700,MATCH($C3295,'تحليل التكلفة والسعر'!$B$2:$B$700,0)),0))</f>
        <v/>
      </c>
    </row>
    <row r="3296" customFormat="false" ht="15" hidden="false" customHeight="false" outlineLevel="0" collapsed="false">
      <c r="A3296" s="102"/>
      <c r="E3296" s="103" t="str">
        <f aca="false">IF($C3296="","",IFERROR(INDEX(المنيو!$C$2:$C$500,MATCH($C3296,المنيو!$B$2:$B$500,0)),0))</f>
        <v/>
      </c>
      <c r="F3296" s="103" t="str">
        <f aca="false">IF($C3296="","",$D3296*$E3296)</f>
        <v/>
      </c>
      <c r="G3296" s="103" t="str">
        <f aca="false">IF($C3296="","",$D3296*IFERROR(INDEX('تحليل التكلفة والسعر'!$C$2:$C$700,MATCH($C3296,'تحليل التكلفة والسعر'!$B$2:$B$700,0)),0))</f>
        <v/>
      </c>
    </row>
    <row r="3297" customFormat="false" ht="15" hidden="false" customHeight="false" outlineLevel="0" collapsed="false">
      <c r="A3297" s="102"/>
      <c r="E3297" s="103" t="str">
        <f aca="false">IF($C3297="","",IFERROR(INDEX(المنيو!$C$2:$C$500,MATCH($C3297,المنيو!$B$2:$B$500,0)),0))</f>
        <v/>
      </c>
      <c r="F3297" s="103" t="str">
        <f aca="false">IF($C3297="","",$D3297*$E3297)</f>
        <v/>
      </c>
      <c r="G3297" s="103" t="str">
        <f aca="false">IF($C3297="","",$D3297*IFERROR(INDEX('تحليل التكلفة والسعر'!$C$2:$C$700,MATCH($C3297,'تحليل التكلفة والسعر'!$B$2:$B$700,0)),0))</f>
        <v/>
      </c>
    </row>
    <row r="3298" customFormat="false" ht="15" hidden="false" customHeight="false" outlineLevel="0" collapsed="false">
      <c r="A3298" s="102"/>
      <c r="E3298" s="103" t="str">
        <f aca="false">IF($C3298="","",IFERROR(INDEX(المنيو!$C$2:$C$500,MATCH($C3298,المنيو!$B$2:$B$500,0)),0))</f>
        <v/>
      </c>
      <c r="F3298" s="103" t="str">
        <f aca="false">IF($C3298="","",$D3298*$E3298)</f>
        <v/>
      </c>
      <c r="G3298" s="103" t="str">
        <f aca="false">IF($C3298="","",$D3298*IFERROR(INDEX('تحليل التكلفة والسعر'!$C$2:$C$700,MATCH($C3298,'تحليل التكلفة والسعر'!$B$2:$B$700,0)),0))</f>
        <v/>
      </c>
    </row>
    <row r="3299" customFormat="false" ht="15" hidden="false" customHeight="false" outlineLevel="0" collapsed="false">
      <c r="A3299" s="102"/>
      <c r="E3299" s="103" t="str">
        <f aca="false">IF($C3299="","",IFERROR(INDEX(المنيو!$C$2:$C$500,MATCH($C3299,المنيو!$B$2:$B$500,0)),0))</f>
        <v/>
      </c>
      <c r="F3299" s="103" t="str">
        <f aca="false">IF($C3299="","",$D3299*$E3299)</f>
        <v/>
      </c>
      <c r="G3299" s="103" t="str">
        <f aca="false">IF($C3299="","",$D3299*IFERROR(INDEX('تحليل التكلفة والسعر'!$C$2:$C$700,MATCH($C3299,'تحليل التكلفة والسعر'!$B$2:$B$700,0)),0))</f>
        <v/>
      </c>
    </row>
    <row r="3300" customFormat="false" ht="15" hidden="false" customHeight="false" outlineLevel="0" collapsed="false">
      <c r="A3300" s="102"/>
      <c r="E3300" s="103" t="str">
        <f aca="false">IF($C3300="","",IFERROR(INDEX(المنيو!$C$2:$C$500,MATCH($C3300,المنيو!$B$2:$B$500,0)),0))</f>
        <v/>
      </c>
      <c r="F3300" s="103" t="str">
        <f aca="false">IF($C3300="","",$D3300*$E3300)</f>
        <v/>
      </c>
      <c r="G3300" s="103" t="str">
        <f aca="false">IF($C3300="","",$D3300*IFERROR(INDEX('تحليل التكلفة والسعر'!$C$2:$C$700,MATCH($C3300,'تحليل التكلفة والسعر'!$B$2:$B$700,0)),0))</f>
        <v/>
      </c>
    </row>
    <row r="3301" customFormat="false" ht="15" hidden="false" customHeight="false" outlineLevel="0" collapsed="false">
      <c r="A3301" s="102"/>
      <c r="E3301" s="103" t="str">
        <f aca="false">IF($C3301="","",IFERROR(INDEX(المنيو!$C$2:$C$500,MATCH($C3301,المنيو!$B$2:$B$500,0)),0))</f>
        <v/>
      </c>
      <c r="F3301" s="103" t="str">
        <f aca="false">IF($C3301="","",$D3301*$E3301)</f>
        <v/>
      </c>
      <c r="G3301" s="103" t="str">
        <f aca="false">IF($C3301="","",$D3301*IFERROR(INDEX('تحليل التكلفة والسعر'!$C$2:$C$700,MATCH($C3301,'تحليل التكلفة والسعر'!$B$2:$B$700,0)),0))</f>
        <v/>
      </c>
    </row>
    <row r="3302" customFormat="false" ht="15" hidden="false" customHeight="false" outlineLevel="0" collapsed="false">
      <c r="A3302" s="102"/>
      <c r="E3302" s="103" t="str">
        <f aca="false">IF($C3302="","",IFERROR(INDEX(المنيو!$C$2:$C$500,MATCH($C3302,المنيو!$B$2:$B$500,0)),0))</f>
        <v/>
      </c>
      <c r="F3302" s="103" t="str">
        <f aca="false">IF($C3302="","",$D3302*$E3302)</f>
        <v/>
      </c>
      <c r="G3302" s="103" t="str">
        <f aca="false">IF($C3302="","",$D3302*IFERROR(INDEX('تحليل التكلفة والسعر'!$C$2:$C$700,MATCH($C3302,'تحليل التكلفة والسعر'!$B$2:$B$700,0)),0))</f>
        <v/>
      </c>
    </row>
    <row r="3303" customFormat="false" ht="15" hidden="false" customHeight="false" outlineLevel="0" collapsed="false">
      <c r="A3303" s="102"/>
      <c r="E3303" s="103" t="str">
        <f aca="false">IF($C3303="","",IFERROR(INDEX(المنيو!$C$2:$C$500,MATCH($C3303,المنيو!$B$2:$B$500,0)),0))</f>
        <v/>
      </c>
      <c r="F3303" s="103" t="str">
        <f aca="false">IF($C3303="","",$D3303*$E3303)</f>
        <v/>
      </c>
      <c r="G3303" s="103" t="str">
        <f aca="false">IF($C3303="","",$D3303*IFERROR(INDEX('تحليل التكلفة والسعر'!$C$2:$C$700,MATCH($C3303,'تحليل التكلفة والسعر'!$B$2:$B$700,0)),0))</f>
        <v/>
      </c>
    </row>
    <row r="3304" customFormat="false" ht="15" hidden="false" customHeight="false" outlineLevel="0" collapsed="false">
      <c r="A3304" s="102"/>
      <c r="E3304" s="103" t="str">
        <f aca="false">IF($C3304="","",IFERROR(INDEX(المنيو!$C$2:$C$500,MATCH($C3304,المنيو!$B$2:$B$500,0)),0))</f>
        <v/>
      </c>
      <c r="F3304" s="103" t="str">
        <f aca="false">IF($C3304="","",$D3304*$E3304)</f>
        <v/>
      </c>
      <c r="G3304" s="103" t="str">
        <f aca="false">IF($C3304="","",$D3304*IFERROR(INDEX('تحليل التكلفة والسعر'!$C$2:$C$700,MATCH($C3304,'تحليل التكلفة والسعر'!$B$2:$B$700,0)),0))</f>
        <v/>
      </c>
    </row>
    <row r="3305" customFormat="false" ht="15" hidden="false" customHeight="false" outlineLevel="0" collapsed="false">
      <c r="A3305" s="102"/>
      <c r="E3305" s="103" t="str">
        <f aca="false">IF($C3305="","",IFERROR(INDEX(المنيو!$C$2:$C$500,MATCH($C3305,المنيو!$B$2:$B$500,0)),0))</f>
        <v/>
      </c>
      <c r="F3305" s="103" t="str">
        <f aca="false">IF($C3305="","",$D3305*$E3305)</f>
        <v/>
      </c>
      <c r="G3305" s="103" t="str">
        <f aca="false">IF($C3305="","",$D3305*IFERROR(INDEX('تحليل التكلفة والسعر'!$C$2:$C$700,MATCH($C3305,'تحليل التكلفة والسعر'!$B$2:$B$700,0)),0))</f>
        <v/>
      </c>
    </row>
    <row r="3306" customFormat="false" ht="15" hidden="false" customHeight="false" outlineLevel="0" collapsed="false">
      <c r="A3306" s="102"/>
      <c r="E3306" s="103" t="str">
        <f aca="false">IF($C3306="","",IFERROR(INDEX(المنيو!$C$2:$C$500,MATCH($C3306,المنيو!$B$2:$B$500,0)),0))</f>
        <v/>
      </c>
      <c r="F3306" s="103" t="str">
        <f aca="false">IF($C3306="","",$D3306*$E3306)</f>
        <v/>
      </c>
      <c r="G3306" s="103" t="str">
        <f aca="false">IF($C3306="","",$D3306*IFERROR(INDEX('تحليل التكلفة والسعر'!$C$2:$C$700,MATCH($C3306,'تحليل التكلفة والسعر'!$B$2:$B$700,0)),0))</f>
        <v/>
      </c>
    </row>
    <row r="3307" customFormat="false" ht="15" hidden="false" customHeight="false" outlineLevel="0" collapsed="false">
      <c r="A3307" s="102"/>
      <c r="E3307" s="103" t="str">
        <f aca="false">IF($C3307="","",IFERROR(INDEX(المنيو!$C$2:$C$500,MATCH($C3307,المنيو!$B$2:$B$500,0)),0))</f>
        <v/>
      </c>
      <c r="F3307" s="103" t="str">
        <f aca="false">IF($C3307="","",$D3307*$E3307)</f>
        <v/>
      </c>
      <c r="G3307" s="103" t="str">
        <f aca="false">IF($C3307="","",$D3307*IFERROR(INDEX('تحليل التكلفة والسعر'!$C$2:$C$700,MATCH($C3307,'تحليل التكلفة والسعر'!$B$2:$B$700,0)),0))</f>
        <v/>
      </c>
    </row>
    <row r="3308" customFormat="false" ht="15" hidden="false" customHeight="false" outlineLevel="0" collapsed="false">
      <c r="A3308" s="102"/>
      <c r="E3308" s="103" t="str">
        <f aca="false">IF($C3308="","",IFERROR(INDEX(المنيو!$C$2:$C$500,MATCH($C3308,المنيو!$B$2:$B$500,0)),0))</f>
        <v/>
      </c>
      <c r="F3308" s="103" t="str">
        <f aca="false">IF($C3308="","",$D3308*$E3308)</f>
        <v/>
      </c>
      <c r="G3308" s="103" t="str">
        <f aca="false">IF($C3308="","",$D3308*IFERROR(INDEX('تحليل التكلفة والسعر'!$C$2:$C$700,MATCH($C3308,'تحليل التكلفة والسعر'!$B$2:$B$700,0)),0))</f>
        <v/>
      </c>
    </row>
    <row r="3309" customFormat="false" ht="15" hidden="false" customHeight="false" outlineLevel="0" collapsed="false">
      <c r="A3309" s="102"/>
      <c r="E3309" s="103" t="str">
        <f aca="false">IF($C3309="","",IFERROR(INDEX(المنيو!$C$2:$C$500,MATCH($C3309,المنيو!$B$2:$B$500,0)),0))</f>
        <v/>
      </c>
      <c r="F3309" s="103" t="str">
        <f aca="false">IF($C3309="","",$D3309*$E3309)</f>
        <v/>
      </c>
      <c r="G3309" s="103" t="str">
        <f aca="false">IF($C3309="","",$D3309*IFERROR(INDEX('تحليل التكلفة والسعر'!$C$2:$C$700,MATCH($C3309,'تحليل التكلفة والسعر'!$B$2:$B$700,0)),0))</f>
        <v/>
      </c>
    </row>
    <row r="3310" customFormat="false" ht="15" hidden="false" customHeight="false" outlineLevel="0" collapsed="false">
      <c r="A3310" s="102"/>
      <c r="E3310" s="103" t="str">
        <f aca="false">IF($C3310="","",IFERROR(INDEX(المنيو!$C$2:$C$500,MATCH($C3310,المنيو!$B$2:$B$500,0)),0))</f>
        <v/>
      </c>
      <c r="F3310" s="103" t="str">
        <f aca="false">IF($C3310="","",$D3310*$E3310)</f>
        <v/>
      </c>
      <c r="G3310" s="103" t="str">
        <f aca="false">IF($C3310="","",$D3310*IFERROR(INDEX('تحليل التكلفة والسعر'!$C$2:$C$700,MATCH($C3310,'تحليل التكلفة والسعر'!$B$2:$B$700,0)),0))</f>
        <v/>
      </c>
    </row>
    <row r="3311" customFormat="false" ht="15" hidden="false" customHeight="false" outlineLevel="0" collapsed="false">
      <c r="A3311" s="102"/>
      <c r="E3311" s="103" t="str">
        <f aca="false">IF($C3311="","",IFERROR(INDEX(المنيو!$C$2:$C$500,MATCH($C3311,المنيو!$B$2:$B$500,0)),0))</f>
        <v/>
      </c>
      <c r="F3311" s="103" t="str">
        <f aca="false">IF($C3311="","",$D3311*$E3311)</f>
        <v/>
      </c>
      <c r="G3311" s="103" t="str">
        <f aca="false">IF($C3311="","",$D3311*IFERROR(INDEX('تحليل التكلفة والسعر'!$C$2:$C$700,MATCH($C3311,'تحليل التكلفة والسعر'!$B$2:$B$700,0)),0))</f>
        <v/>
      </c>
    </row>
    <row r="3312" customFormat="false" ht="15" hidden="false" customHeight="false" outlineLevel="0" collapsed="false">
      <c r="A3312" s="102"/>
      <c r="E3312" s="103" t="str">
        <f aca="false">IF($C3312="","",IFERROR(INDEX(المنيو!$C$2:$C$500,MATCH($C3312,المنيو!$B$2:$B$500,0)),0))</f>
        <v/>
      </c>
      <c r="F3312" s="103" t="str">
        <f aca="false">IF($C3312="","",$D3312*$E3312)</f>
        <v/>
      </c>
      <c r="G3312" s="103" t="str">
        <f aca="false">IF($C3312="","",$D3312*IFERROR(INDEX('تحليل التكلفة والسعر'!$C$2:$C$700,MATCH($C3312,'تحليل التكلفة والسعر'!$B$2:$B$700,0)),0))</f>
        <v/>
      </c>
    </row>
    <row r="3313" customFormat="false" ht="15" hidden="false" customHeight="false" outlineLevel="0" collapsed="false">
      <c r="A3313" s="102"/>
      <c r="E3313" s="103" t="str">
        <f aca="false">IF($C3313="","",IFERROR(INDEX(المنيو!$C$2:$C$500,MATCH($C3313,المنيو!$B$2:$B$500,0)),0))</f>
        <v/>
      </c>
      <c r="F3313" s="103" t="str">
        <f aca="false">IF($C3313="","",$D3313*$E3313)</f>
        <v/>
      </c>
      <c r="G3313" s="103" t="str">
        <f aca="false">IF($C3313="","",$D3313*IFERROR(INDEX('تحليل التكلفة والسعر'!$C$2:$C$700,MATCH($C3313,'تحليل التكلفة والسعر'!$B$2:$B$700,0)),0))</f>
        <v/>
      </c>
    </row>
    <row r="3314" customFormat="false" ht="15" hidden="false" customHeight="false" outlineLevel="0" collapsed="false">
      <c r="A3314" s="102"/>
      <c r="E3314" s="103" t="str">
        <f aca="false">IF($C3314="","",IFERROR(INDEX(المنيو!$C$2:$C$500,MATCH($C3314,المنيو!$B$2:$B$500,0)),0))</f>
        <v/>
      </c>
      <c r="F3314" s="103" t="str">
        <f aca="false">IF($C3314="","",$D3314*$E3314)</f>
        <v/>
      </c>
      <c r="G3314" s="103" t="str">
        <f aca="false">IF($C3314="","",$D3314*IFERROR(INDEX('تحليل التكلفة والسعر'!$C$2:$C$700,MATCH($C3314,'تحليل التكلفة والسعر'!$B$2:$B$700,0)),0))</f>
        <v/>
      </c>
    </row>
    <row r="3315" customFormat="false" ht="15" hidden="false" customHeight="false" outlineLevel="0" collapsed="false">
      <c r="A3315" s="102"/>
      <c r="E3315" s="103" t="str">
        <f aca="false">IF($C3315="","",IFERROR(INDEX(المنيو!$C$2:$C$500,MATCH($C3315,المنيو!$B$2:$B$500,0)),0))</f>
        <v/>
      </c>
      <c r="F3315" s="103" t="str">
        <f aca="false">IF($C3315="","",$D3315*$E3315)</f>
        <v/>
      </c>
      <c r="G3315" s="103" t="str">
        <f aca="false">IF($C3315="","",$D3315*IFERROR(INDEX('تحليل التكلفة والسعر'!$C$2:$C$700,MATCH($C3315,'تحليل التكلفة والسعر'!$B$2:$B$700,0)),0))</f>
        <v/>
      </c>
    </row>
    <row r="3316" customFormat="false" ht="15" hidden="false" customHeight="false" outlineLevel="0" collapsed="false">
      <c r="A3316" s="102"/>
      <c r="E3316" s="103" t="str">
        <f aca="false">IF($C3316="","",IFERROR(INDEX(المنيو!$C$2:$C$500,MATCH($C3316,المنيو!$B$2:$B$500,0)),0))</f>
        <v/>
      </c>
      <c r="F3316" s="103" t="str">
        <f aca="false">IF($C3316="","",$D3316*$E3316)</f>
        <v/>
      </c>
      <c r="G3316" s="103" t="str">
        <f aca="false">IF($C3316="","",$D3316*IFERROR(INDEX('تحليل التكلفة والسعر'!$C$2:$C$700,MATCH($C3316,'تحليل التكلفة والسعر'!$B$2:$B$700,0)),0))</f>
        <v/>
      </c>
    </row>
    <row r="3317" customFormat="false" ht="15" hidden="false" customHeight="false" outlineLevel="0" collapsed="false">
      <c r="A3317" s="102"/>
      <c r="E3317" s="103" t="str">
        <f aca="false">IF($C3317="","",IFERROR(INDEX(المنيو!$C$2:$C$500,MATCH($C3317,المنيو!$B$2:$B$500,0)),0))</f>
        <v/>
      </c>
      <c r="F3317" s="103" t="str">
        <f aca="false">IF($C3317="","",$D3317*$E3317)</f>
        <v/>
      </c>
      <c r="G3317" s="103" t="str">
        <f aca="false">IF($C3317="","",$D3317*IFERROR(INDEX('تحليل التكلفة والسعر'!$C$2:$C$700,MATCH($C3317,'تحليل التكلفة والسعر'!$B$2:$B$700,0)),0))</f>
        <v/>
      </c>
    </row>
    <row r="3318" customFormat="false" ht="15" hidden="false" customHeight="false" outlineLevel="0" collapsed="false">
      <c r="A3318" s="102"/>
      <c r="E3318" s="103" t="str">
        <f aca="false">IF($C3318="","",IFERROR(INDEX(المنيو!$C$2:$C$500,MATCH($C3318,المنيو!$B$2:$B$500,0)),0))</f>
        <v/>
      </c>
      <c r="F3318" s="103" t="str">
        <f aca="false">IF($C3318="","",$D3318*$E3318)</f>
        <v/>
      </c>
      <c r="G3318" s="103" t="str">
        <f aca="false">IF($C3318="","",$D3318*IFERROR(INDEX('تحليل التكلفة والسعر'!$C$2:$C$700,MATCH($C3318,'تحليل التكلفة والسعر'!$B$2:$B$700,0)),0))</f>
        <v/>
      </c>
    </row>
    <row r="3319" customFormat="false" ht="15" hidden="false" customHeight="false" outlineLevel="0" collapsed="false">
      <c r="A3319" s="102"/>
      <c r="E3319" s="103" t="str">
        <f aca="false">IF($C3319="","",IFERROR(INDEX(المنيو!$C$2:$C$500,MATCH($C3319,المنيو!$B$2:$B$500,0)),0))</f>
        <v/>
      </c>
      <c r="F3319" s="103" t="str">
        <f aca="false">IF($C3319="","",$D3319*$E3319)</f>
        <v/>
      </c>
      <c r="G3319" s="103" t="str">
        <f aca="false">IF($C3319="","",$D3319*IFERROR(INDEX('تحليل التكلفة والسعر'!$C$2:$C$700,MATCH($C3319,'تحليل التكلفة والسعر'!$B$2:$B$700,0)),0))</f>
        <v/>
      </c>
    </row>
    <row r="3320" customFormat="false" ht="15" hidden="false" customHeight="false" outlineLevel="0" collapsed="false">
      <c r="A3320" s="102"/>
      <c r="E3320" s="103" t="str">
        <f aca="false">IF($C3320="","",IFERROR(INDEX(المنيو!$C$2:$C$500,MATCH($C3320,المنيو!$B$2:$B$500,0)),0))</f>
        <v/>
      </c>
      <c r="F3320" s="103" t="str">
        <f aca="false">IF($C3320="","",$D3320*$E3320)</f>
        <v/>
      </c>
      <c r="G3320" s="103" t="str">
        <f aca="false">IF($C3320="","",$D3320*IFERROR(INDEX('تحليل التكلفة والسعر'!$C$2:$C$700,MATCH($C3320,'تحليل التكلفة والسعر'!$B$2:$B$700,0)),0))</f>
        <v/>
      </c>
    </row>
    <row r="3321" customFormat="false" ht="15" hidden="false" customHeight="false" outlineLevel="0" collapsed="false">
      <c r="A3321" s="102"/>
      <c r="E3321" s="103" t="str">
        <f aca="false">IF($C3321="","",IFERROR(INDEX(المنيو!$C$2:$C$500,MATCH($C3321,المنيو!$B$2:$B$500,0)),0))</f>
        <v/>
      </c>
      <c r="F3321" s="103" t="str">
        <f aca="false">IF($C3321="","",$D3321*$E3321)</f>
        <v/>
      </c>
      <c r="G3321" s="103" t="str">
        <f aca="false">IF($C3321="","",$D3321*IFERROR(INDEX('تحليل التكلفة والسعر'!$C$2:$C$700,MATCH($C3321,'تحليل التكلفة والسعر'!$B$2:$B$700,0)),0))</f>
        <v/>
      </c>
    </row>
    <row r="3322" customFormat="false" ht="15" hidden="false" customHeight="false" outlineLevel="0" collapsed="false">
      <c r="A3322" s="102"/>
      <c r="E3322" s="103" t="str">
        <f aca="false">IF($C3322="","",IFERROR(INDEX(المنيو!$C$2:$C$500,MATCH($C3322,المنيو!$B$2:$B$500,0)),0))</f>
        <v/>
      </c>
      <c r="F3322" s="103" t="str">
        <f aca="false">IF($C3322="","",$D3322*$E3322)</f>
        <v/>
      </c>
      <c r="G3322" s="103" t="str">
        <f aca="false">IF($C3322="","",$D3322*IFERROR(INDEX('تحليل التكلفة والسعر'!$C$2:$C$700,MATCH($C3322,'تحليل التكلفة والسعر'!$B$2:$B$700,0)),0))</f>
        <v/>
      </c>
    </row>
    <row r="3323" customFormat="false" ht="15" hidden="false" customHeight="false" outlineLevel="0" collapsed="false">
      <c r="A3323" s="102"/>
      <c r="E3323" s="103" t="str">
        <f aca="false">IF($C3323="","",IFERROR(INDEX(المنيو!$C$2:$C$500,MATCH($C3323,المنيو!$B$2:$B$500,0)),0))</f>
        <v/>
      </c>
      <c r="F3323" s="103" t="str">
        <f aca="false">IF($C3323="","",$D3323*$E3323)</f>
        <v/>
      </c>
      <c r="G3323" s="103" t="str">
        <f aca="false">IF($C3323="","",$D3323*IFERROR(INDEX('تحليل التكلفة والسعر'!$C$2:$C$700,MATCH($C3323,'تحليل التكلفة والسعر'!$B$2:$B$700,0)),0))</f>
        <v/>
      </c>
    </row>
    <row r="3324" customFormat="false" ht="15" hidden="false" customHeight="false" outlineLevel="0" collapsed="false">
      <c r="A3324" s="102"/>
      <c r="E3324" s="103" t="str">
        <f aca="false">IF($C3324="","",IFERROR(INDEX(المنيو!$C$2:$C$500,MATCH($C3324,المنيو!$B$2:$B$500,0)),0))</f>
        <v/>
      </c>
      <c r="F3324" s="103" t="str">
        <f aca="false">IF($C3324="","",$D3324*$E3324)</f>
        <v/>
      </c>
      <c r="G3324" s="103" t="str">
        <f aca="false">IF($C3324="","",$D3324*IFERROR(INDEX('تحليل التكلفة والسعر'!$C$2:$C$700,MATCH($C3324,'تحليل التكلفة والسعر'!$B$2:$B$700,0)),0))</f>
        <v/>
      </c>
    </row>
    <row r="3325" customFormat="false" ht="15" hidden="false" customHeight="false" outlineLevel="0" collapsed="false">
      <c r="A3325" s="102"/>
      <c r="E3325" s="103" t="str">
        <f aca="false">IF($C3325="","",IFERROR(INDEX(المنيو!$C$2:$C$500,MATCH($C3325,المنيو!$B$2:$B$500,0)),0))</f>
        <v/>
      </c>
      <c r="F3325" s="103" t="str">
        <f aca="false">IF($C3325="","",$D3325*$E3325)</f>
        <v/>
      </c>
      <c r="G3325" s="103" t="str">
        <f aca="false">IF($C3325="","",$D3325*IFERROR(INDEX('تحليل التكلفة والسعر'!$C$2:$C$700,MATCH($C3325,'تحليل التكلفة والسعر'!$B$2:$B$700,0)),0))</f>
        <v/>
      </c>
    </row>
    <row r="3326" customFormat="false" ht="15" hidden="false" customHeight="false" outlineLevel="0" collapsed="false">
      <c r="A3326" s="102"/>
      <c r="E3326" s="103" t="str">
        <f aca="false">IF($C3326="","",IFERROR(INDEX(المنيو!$C$2:$C$500,MATCH($C3326,المنيو!$B$2:$B$500,0)),0))</f>
        <v/>
      </c>
      <c r="F3326" s="103" t="str">
        <f aca="false">IF($C3326="","",$D3326*$E3326)</f>
        <v/>
      </c>
      <c r="G3326" s="103" t="str">
        <f aca="false">IF($C3326="","",$D3326*IFERROR(INDEX('تحليل التكلفة والسعر'!$C$2:$C$700,MATCH($C3326,'تحليل التكلفة والسعر'!$B$2:$B$700,0)),0))</f>
        <v/>
      </c>
    </row>
    <row r="3327" customFormat="false" ht="15" hidden="false" customHeight="false" outlineLevel="0" collapsed="false">
      <c r="A3327" s="102"/>
      <c r="E3327" s="103" t="str">
        <f aca="false">IF($C3327="","",IFERROR(INDEX(المنيو!$C$2:$C$500,MATCH($C3327,المنيو!$B$2:$B$500,0)),0))</f>
        <v/>
      </c>
      <c r="F3327" s="103" t="str">
        <f aca="false">IF($C3327="","",$D3327*$E3327)</f>
        <v/>
      </c>
      <c r="G3327" s="103" t="str">
        <f aca="false">IF($C3327="","",$D3327*IFERROR(INDEX('تحليل التكلفة والسعر'!$C$2:$C$700,MATCH($C3327,'تحليل التكلفة والسعر'!$B$2:$B$700,0)),0))</f>
        <v/>
      </c>
    </row>
    <row r="3328" customFormat="false" ht="15" hidden="false" customHeight="false" outlineLevel="0" collapsed="false">
      <c r="A3328" s="102"/>
      <c r="E3328" s="103" t="str">
        <f aca="false">IF($C3328="","",IFERROR(INDEX(المنيو!$C$2:$C$500,MATCH($C3328,المنيو!$B$2:$B$500,0)),0))</f>
        <v/>
      </c>
      <c r="F3328" s="103" t="str">
        <f aca="false">IF($C3328="","",$D3328*$E3328)</f>
        <v/>
      </c>
      <c r="G3328" s="103" t="str">
        <f aca="false">IF($C3328="","",$D3328*IFERROR(INDEX('تحليل التكلفة والسعر'!$C$2:$C$700,MATCH($C3328,'تحليل التكلفة والسعر'!$B$2:$B$700,0)),0))</f>
        <v/>
      </c>
    </row>
    <row r="3329" customFormat="false" ht="15" hidden="false" customHeight="false" outlineLevel="0" collapsed="false">
      <c r="A3329" s="102"/>
      <c r="E3329" s="103" t="str">
        <f aca="false">IF($C3329="","",IFERROR(INDEX(المنيو!$C$2:$C$500,MATCH($C3329,المنيو!$B$2:$B$500,0)),0))</f>
        <v/>
      </c>
      <c r="F3329" s="103" t="str">
        <f aca="false">IF($C3329="","",$D3329*$E3329)</f>
        <v/>
      </c>
      <c r="G3329" s="103" t="str">
        <f aca="false">IF($C3329="","",$D3329*IFERROR(INDEX('تحليل التكلفة والسعر'!$C$2:$C$700,MATCH($C3329,'تحليل التكلفة والسعر'!$B$2:$B$700,0)),0))</f>
        <v/>
      </c>
    </row>
    <row r="3330" customFormat="false" ht="15" hidden="false" customHeight="false" outlineLevel="0" collapsed="false">
      <c r="A3330" s="102"/>
      <c r="E3330" s="103" t="str">
        <f aca="false">IF($C3330="","",IFERROR(INDEX(المنيو!$C$2:$C$500,MATCH($C3330,المنيو!$B$2:$B$500,0)),0))</f>
        <v/>
      </c>
      <c r="F3330" s="103" t="str">
        <f aca="false">IF($C3330="","",$D3330*$E3330)</f>
        <v/>
      </c>
      <c r="G3330" s="103" t="str">
        <f aca="false">IF($C3330="","",$D3330*IFERROR(INDEX('تحليل التكلفة والسعر'!$C$2:$C$700,MATCH($C3330,'تحليل التكلفة والسعر'!$B$2:$B$700,0)),0))</f>
        <v/>
      </c>
    </row>
    <row r="3331" customFormat="false" ht="15" hidden="false" customHeight="false" outlineLevel="0" collapsed="false">
      <c r="A3331" s="102"/>
      <c r="E3331" s="103" t="str">
        <f aca="false">IF($C3331="","",IFERROR(INDEX(المنيو!$C$2:$C$500,MATCH($C3331,المنيو!$B$2:$B$500,0)),0))</f>
        <v/>
      </c>
      <c r="F3331" s="103" t="str">
        <f aca="false">IF($C3331="","",$D3331*$E3331)</f>
        <v/>
      </c>
      <c r="G3331" s="103" t="str">
        <f aca="false">IF($C3331="","",$D3331*IFERROR(INDEX('تحليل التكلفة والسعر'!$C$2:$C$700,MATCH($C3331,'تحليل التكلفة والسعر'!$B$2:$B$700,0)),0))</f>
        <v/>
      </c>
    </row>
    <row r="3332" customFormat="false" ht="15" hidden="false" customHeight="false" outlineLevel="0" collapsed="false">
      <c r="A3332" s="102"/>
      <c r="E3332" s="103" t="str">
        <f aca="false">IF($C3332="","",IFERROR(INDEX(المنيو!$C$2:$C$500,MATCH($C3332,المنيو!$B$2:$B$500,0)),0))</f>
        <v/>
      </c>
      <c r="F3332" s="103" t="str">
        <f aca="false">IF($C3332="","",$D3332*$E3332)</f>
        <v/>
      </c>
      <c r="G3332" s="103" t="str">
        <f aca="false">IF($C3332="","",$D3332*IFERROR(INDEX('تحليل التكلفة والسعر'!$C$2:$C$700,MATCH($C3332,'تحليل التكلفة والسعر'!$B$2:$B$700,0)),0))</f>
        <v/>
      </c>
    </row>
    <row r="3333" customFormat="false" ht="15" hidden="false" customHeight="false" outlineLevel="0" collapsed="false">
      <c r="A3333" s="102"/>
      <c r="E3333" s="103" t="str">
        <f aca="false">IF($C3333="","",IFERROR(INDEX(المنيو!$C$2:$C$500,MATCH($C3333,المنيو!$B$2:$B$500,0)),0))</f>
        <v/>
      </c>
      <c r="F3333" s="103" t="str">
        <f aca="false">IF($C3333="","",$D3333*$E3333)</f>
        <v/>
      </c>
      <c r="G3333" s="103" t="str">
        <f aca="false">IF($C3333="","",$D3333*IFERROR(INDEX('تحليل التكلفة والسعر'!$C$2:$C$700,MATCH($C3333,'تحليل التكلفة والسعر'!$B$2:$B$700,0)),0))</f>
        <v/>
      </c>
    </row>
    <row r="3334" customFormat="false" ht="15" hidden="false" customHeight="false" outlineLevel="0" collapsed="false">
      <c r="A3334" s="102"/>
      <c r="E3334" s="103" t="str">
        <f aca="false">IF($C3334="","",IFERROR(INDEX(المنيو!$C$2:$C$500,MATCH($C3334,المنيو!$B$2:$B$500,0)),0))</f>
        <v/>
      </c>
      <c r="F3334" s="103" t="str">
        <f aca="false">IF($C3334="","",$D3334*$E3334)</f>
        <v/>
      </c>
      <c r="G3334" s="103" t="str">
        <f aca="false">IF($C3334="","",$D3334*IFERROR(INDEX('تحليل التكلفة والسعر'!$C$2:$C$700,MATCH($C3334,'تحليل التكلفة والسعر'!$B$2:$B$700,0)),0))</f>
        <v/>
      </c>
    </row>
    <row r="3335" customFormat="false" ht="15" hidden="false" customHeight="false" outlineLevel="0" collapsed="false">
      <c r="A3335" s="102"/>
      <c r="E3335" s="103" t="str">
        <f aca="false">IF($C3335="","",IFERROR(INDEX(المنيو!$C$2:$C$500,MATCH($C3335,المنيو!$B$2:$B$500,0)),0))</f>
        <v/>
      </c>
      <c r="F3335" s="103" t="str">
        <f aca="false">IF($C3335="","",$D3335*$E3335)</f>
        <v/>
      </c>
      <c r="G3335" s="103" t="str">
        <f aca="false">IF($C3335="","",$D3335*IFERROR(INDEX('تحليل التكلفة والسعر'!$C$2:$C$700,MATCH($C3335,'تحليل التكلفة والسعر'!$B$2:$B$700,0)),0))</f>
        <v/>
      </c>
    </row>
    <row r="3336" customFormat="false" ht="15" hidden="false" customHeight="false" outlineLevel="0" collapsed="false">
      <c r="A3336" s="102"/>
      <c r="E3336" s="103" t="str">
        <f aca="false">IF($C3336="","",IFERROR(INDEX(المنيو!$C$2:$C$500,MATCH($C3336,المنيو!$B$2:$B$500,0)),0))</f>
        <v/>
      </c>
      <c r="F3336" s="103" t="str">
        <f aca="false">IF($C3336="","",$D3336*$E3336)</f>
        <v/>
      </c>
      <c r="G3336" s="103" t="str">
        <f aca="false">IF($C3336="","",$D3336*IFERROR(INDEX('تحليل التكلفة والسعر'!$C$2:$C$700,MATCH($C3336,'تحليل التكلفة والسعر'!$B$2:$B$700,0)),0))</f>
        <v/>
      </c>
    </row>
    <row r="3337" customFormat="false" ht="15" hidden="false" customHeight="false" outlineLevel="0" collapsed="false">
      <c r="A3337" s="102"/>
      <c r="E3337" s="103" t="str">
        <f aca="false">IF($C3337="","",IFERROR(INDEX(المنيو!$C$2:$C$500,MATCH($C3337,المنيو!$B$2:$B$500,0)),0))</f>
        <v/>
      </c>
      <c r="F3337" s="103" t="str">
        <f aca="false">IF($C3337="","",$D3337*$E3337)</f>
        <v/>
      </c>
      <c r="G3337" s="103" t="str">
        <f aca="false">IF($C3337="","",$D3337*IFERROR(INDEX('تحليل التكلفة والسعر'!$C$2:$C$700,MATCH($C3337,'تحليل التكلفة والسعر'!$B$2:$B$700,0)),0))</f>
        <v/>
      </c>
    </row>
    <row r="3338" customFormat="false" ht="15" hidden="false" customHeight="false" outlineLevel="0" collapsed="false">
      <c r="A3338" s="102"/>
      <c r="E3338" s="103" t="str">
        <f aca="false">IF($C3338="","",IFERROR(INDEX(المنيو!$C$2:$C$500,MATCH($C3338,المنيو!$B$2:$B$500,0)),0))</f>
        <v/>
      </c>
      <c r="F3338" s="103" t="str">
        <f aca="false">IF($C3338="","",$D3338*$E3338)</f>
        <v/>
      </c>
      <c r="G3338" s="103" t="str">
        <f aca="false">IF($C3338="","",$D3338*IFERROR(INDEX('تحليل التكلفة والسعر'!$C$2:$C$700,MATCH($C3338,'تحليل التكلفة والسعر'!$B$2:$B$700,0)),0))</f>
        <v/>
      </c>
    </row>
    <row r="3339" customFormat="false" ht="15" hidden="false" customHeight="false" outlineLevel="0" collapsed="false">
      <c r="A3339" s="102"/>
      <c r="E3339" s="103" t="str">
        <f aca="false">IF($C3339="","",IFERROR(INDEX(المنيو!$C$2:$C$500,MATCH($C3339,المنيو!$B$2:$B$500,0)),0))</f>
        <v/>
      </c>
      <c r="F3339" s="103" t="str">
        <f aca="false">IF($C3339="","",$D3339*$E3339)</f>
        <v/>
      </c>
      <c r="G3339" s="103" t="str">
        <f aca="false">IF($C3339="","",$D3339*IFERROR(INDEX('تحليل التكلفة والسعر'!$C$2:$C$700,MATCH($C3339,'تحليل التكلفة والسعر'!$B$2:$B$700,0)),0))</f>
        <v/>
      </c>
    </row>
    <row r="3340" customFormat="false" ht="15" hidden="false" customHeight="false" outlineLevel="0" collapsed="false">
      <c r="A3340" s="102"/>
      <c r="E3340" s="103" t="str">
        <f aca="false">IF($C3340="","",IFERROR(INDEX(المنيو!$C$2:$C$500,MATCH($C3340,المنيو!$B$2:$B$500,0)),0))</f>
        <v/>
      </c>
      <c r="F3340" s="103" t="str">
        <f aca="false">IF($C3340="","",$D3340*$E3340)</f>
        <v/>
      </c>
      <c r="G3340" s="103" t="str">
        <f aca="false">IF($C3340="","",$D3340*IFERROR(INDEX('تحليل التكلفة والسعر'!$C$2:$C$700,MATCH($C3340,'تحليل التكلفة والسعر'!$B$2:$B$700,0)),0))</f>
        <v/>
      </c>
    </row>
    <row r="3341" customFormat="false" ht="15" hidden="false" customHeight="false" outlineLevel="0" collapsed="false">
      <c r="A3341" s="102"/>
      <c r="E3341" s="103" t="str">
        <f aca="false">IF($C3341="","",IFERROR(INDEX(المنيو!$C$2:$C$500,MATCH($C3341,المنيو!$B$2:$B$500,0)),0))</f>
        <v/>
      </c>
      <c r="F3341" s="103" t="str">
        <f aca="false">IF($C3341="","",$D3341*$E3341)</f>
        <v/>
      </c>
      <c r="G3341" s="103" t="str">
        <f aca="false">IF($C3341="","",$D3341*IFERROR(INDEX('تحليل التكلفة والسعر'!$C$2:$C$700,MATCH($C3341,'تحليل التكلفة والسعر'!$B$2:$B$700,0)),0))</f>
        <v/>
      </c>
    </row>
    <row r="3342" customFormat="false" ht="15" hidden="false" customHeight="false" outlineLevel="0" collapsed="false">
      <c r="A3342" s="102"/>
      <c r="E3342" s="103" t="str">
        <f aca="false">IF($C3342="","",IFERROR(INDEX(المنيو!$C$2:$C$500,MATCH($C3342,المنيو!$B$2:$B$500,0)),0))</f>
        <v/>
      </c>
      <c r="F3342" s="103" t="str">
        <f aca="false">IF($C3342="","",$D3342*$E3342)</f>
        <v/>
      </c>
      <c r="G3342" s="103" t="str">
        <f aca="false">IF($C3342="","",$D3342*IFERROR(INDEX('تحليل التكلفة والسعر'!$C$2:$C$700,MATCH($C3342,'تحليل التكلفة والسعر'!$B$2:$B$700,0)),0))</f>
        <v/>
      </c>
    </row>
    <row r="3343" customFormat="false" ht="15" hidden="false" customHeight="false" outlineLevel="0" collapsed="false">
      <c r="A3343" s="102"/>
      <c r="E3343" s="103" t="str">
        <f aca="false">IF($C3343="","",IFERROR(INDEX(المنيو!$C$2:$C$500,MATCH($C3343,المنيو!$B$2:$B$500,0)),0))</f>
        <v/>
      </c>
      <c r="F3343" s="103" t="str">
        <f aca="false">IF($C3343="","",$D3343*$E3343)</f>
        <v/>
      </c>
      <c r="G3343" s="103" t="str">
        <f aca="false">IF($C3343="","",$D3343*IFERROR(INDEX('تحليل التكلفة والسعر'!$C$2:$C$700,MATCH($C3343,'تحليل التكلفة والسعر'!$B$2:$B$700,0)),0))</f>
        <v/>
      </c>
    </row>
    <row r="3344" customFormat="false" ht="15" hidden="false" customHeight="false" outlineLevel="0" collapsed="false">
      <c r="A3344" s="102"/>
      <c r="E3344" s="103" t="str">
        <f aca="false">IF($C3344="","",IFERROR(INDEX(المنيو!$C$2:$C$500,MATCH($C3344,المنيو!$B$2:$B$500,0)),0))</f>
        <v/>
      </c>
      <c r="F3344" s="103" t="str">
        <f aca="false">IF($C3344="","",$D3344*$E3344)</f>
        <v/>
      </c>
      <c r="G3344" s="103" t="str">
        <f aca="false">IF($C3344="","",$D3344*IFERROR(INDEX('تحليل التكلفة والسعر'!$C$2:$C$700,MATCH($C3344,'تحليل التكلفة والسعر'!$B$2:$B$700,0)),0))</f>
        <v/>
      </c>
    </row>
    <row r="3345" customFormat="false" ht="15" hidden="false" customHeight="false" outlineLevel="0" collapsed="false">
      <c r="A3345" s="102"/>
      <c r="E3345" s="103" t="str">
        <f aca="false">IF($C3345="","",IFERROR(INDEX(المنيو!$C$2:$C$500,MATCH($C3345,المنيو!$B$2:$B$500,0)),0))</f>
        <v/>
      </c>
      <c r="F3345" s="103" t="str">
        <f aca="false">IF($C3345="","",$D3345*$E3345)</f>
        <v/>
      </c>
      <c r="G3345" s="103" t="str">
        <f aca="false">IF($C3345="","",$D3345*IFERROR(INDEX('تحليل التكلفة والسعر'!$C$2:$C$700,MATCH($C3345,'تحليل التكلفة والسعر'!$B$2:$B$700,0)),0))</f>
        <v/>
      </c>
    </row>
    <row r="3346" customFormat="false" ht="15" hidden="false" customHeight="false" outlineLevel="0" collapsed="false">
      <c r="A3346" s="102"/>
      <c r="E3346" s="103" t="str">
        <f aca="false">IF($C3346="","",IFERROR(INDEX(المنيو!$C$2:$C$500,MATCH($C3346,المنيو!$B$2:$B$500,0)),0))</f>
        <v/>
      </c>
      <c r="F3346" s="103" t="str">
        <f aca="false">IF($C3346="","",$D3346*$E3346)</f>
        <v/>
      </c>
      <c r="G3346" s="103" t="str">
        <f aca="false">IF($C3346="","",$D3346*IFERROR(INDEX('تحليل التكلفة والسعر'!$C$2:$C$700,MATCH($C3346,'تحليل التكلفة والسعر'!$B$2:$B$700,0)),0))</f>
        <v/>
      </c>
    </row>
    <row r="3347" customFormat="false" ht="15" hidden="false" customHeight="false" outlineLevel="0" collapsed="false">
      <c r="A3347" s="102"/>
      <c r="E3347" s="103" t="str">
        <f aca="false">IF($C3347="","",IFERROR(INDEX(المنيو!$C$2:$C$500,MATCH($C3347,المنيو!$B$2:$B$500,0)),0))</f>
        <v/>
      </c>
      <c r="F3347" s="103" t="str">
        <f aca="false">IF($C3347="","",$D3347*$E3347)</f>
        <v/>
      </c>
      <c r="G3347" s="103" t="str">
        <f aca="false">IF($C3347="","",$D3347*IFERROR(INDEX('تحليل التكلفة والسعر'!$C$2:$C$700,MATCH($C3347,'تحليل التكلفة والسعر'!$B$2:$B$700,0)),0))</f>
        <v/>
      </c>
    </row>
    <row r="3348" customFormat="false" ht="15" hidden="false" customHeight="false" outlineLevel="0" collapsed="false">
      <c r="A3348" s="102"/>
      <c r="E3348" s="103" t="str">
        <f aca="false">IF($C3348="","",IFERROR(INDEX(المنيو!$C$2:$C$500,MATCH($C3348,المنيو!$B$2:$B$500,0)),0))</f>
        <v/>
      </c>
      <c r="F3348" s="103" t="str">
        <f aca="false">IF($C3348="","",$D3348*$E3348)</f>
        <v/>
      </c>
      <c r="G3348" s="103" t="str">
        <f aca="false">IF($C3348="","",$D3348*IFERROR(INDEX('تحليل التكلفة والسعر'!$C$2:$C$700,MATCH($C3348,'تحليل التكلفة والسعر'!$B$2:$B$700,0)),0))</f>
        <v/>
      </c>
    </row>
    <row r="3349" customFormat="false" ht="15" hidden="false" customHeight="false" outlineLevel="0" collapsed="false">
      <c r="A3349" s="102"/>
      <c r="E3349" s="103" t="str">
        <f aca="false">IF($C3349="","",IFERROR(INDEX(المنيو!$C$2:$C$500,MATCH($C3349,المنيو!$B$2:$B$500,0)),0))</f>
        <v/>
      </c>
      <c r="F3349" s="103" t="str">
        <f aca="false">IF($C3349="","",$D3349*$E3349)</f>
        <v/>
      </c>
      <c r="G3349" s="103" t="str">
        <f aca="false">IF($C3349="","",$D3349*IFERROR(INDEX('تحليل التكلفة والسعر'!$C$2:$C$700,MATCH($C3349,'تحليل التكلفة والسعر'!$B$2:$B$700,0)),0))</f>
        <v/>
      </c>
    </row>
    <row r="3350" customFormat="false" ht="15" hidden="false" customHeight="false" outlineLevel="0" collapsed="false">
      <c r="A3350" s="102"/>
      <c r="E3350" s="103" t="str">
        <f aca="false">IF($C3350="","",IFERROR(INDEX(المنيو!$C$2:$C$500,MATCH($C3350,المنيو!$B$2:$B$500,0)),0))</f>
        <v/>
      </c>
      <c r="F3350" s="103" t="str">
        <f aca="false">IF($C3350="","",$D3350*$E3350)</f>
        <v/>
      </c>
      <c r="G3350" s="103" t="str">
        <f aca="false">IF($C3350="","",$D3350*IFERROR(INDEX('تحليل التكلفة والسعر'!$C$2:$C$700,MATCH($C3350,'تحليل التكلفة والسعر'!$B$2:$B$700,0)),0))</f>
        <v/>
      </c>
    </row>
    <row r="3351" customFormat="false" ht="15" hidden="false" customHeight="false" outlineLevel="0" collapsed="false">
      <c r="A3351" s="102"/>
      <c r="E3351" s="103" t="str">
        <f aca="false">IF($C3351="","",IFERROR(INDEX(المنيو!$C$2:$C$500,MATCH($C3351,المنيو!$B$2:$B$500,0)),0))</f>
        <v/>
      </c>
      <c r="F3351" s="103" t="str">
        <f aca="false">IF($C3351="","",$D3351*$E3351)</f>
        <v/>
      </c>
      <c r="G3351" s="103" t="str">
        <f aca="false">IF($C3351="","",$D3351*IFERROR(INDEX('تحليل التكلفة والسعر'!$C$2:$C$700,MATCH($C3351,'تحليل التكلفة والسعر'!$B$2:$B$700,0)),0))</f>
        <v/>
      </c>
    </row>
    <row r="3352" customFormat="false" ht="15" hidden="false" customHeight="false" outlineLevel="0" collapsed="false">
      <c r="A3352" s="102"/>
      <c r="E3352" s="103" t="str">
        <f aca="false">IF($C3352="","",IFERROR(INDEX(المنيو!$C$2:$C$500,MATCH($C3352,المنيو!$B$2:$B$500,0)),0))</f>
        <v/>
      </c>
      <c r="F3352" s="103" t="str">
        <f aca="false">IF($C3352="","",$D3352*$E3352)</f>
        <v/>
      </c>
      <c r="G3352" s="103" t="str">
        <f aca="false">IF($C3352="","",$D3352*IFERROR(INDEX('تحليل التكلفة والسعر'!$C$2:$C$700,MATCH($C3352,'تحليل التكلفة والسعر'!$B$2:$B$700,0)),0))</f>
        <v/>
      </c>
    </row>
    <row r="3353" customFormat="false" ht="15" hidden="false" customHeight="false" outlineLevel="0" collapsed="false">
      <c r="A3353" s="102"/>
      <c r="E3353" s="103" t="str">
        <f aca="false">IF($C3353="","",IFERROR(INDEX(المنيو!$C$2:$C$500,MATCH($C3353,المنيو!$B$2:$B$500,0)),0))</f>
        <v/>
      </c>
      <c r="F3353" s="103" t="str">
        <f aca="false">IF($C3353="","",$D3353*$E3353)</f>
        <v/>
      </c>
      <c r="G3353" s="103" t="str">
        <f aca="false">IF($C3353="","",$D3353*IFERROR(INDEX('تحليل التكلفة والسعر'!$C$2:$C$700,MATCH($C3353,'تحليل التكلفة والسعر'!$B$2:$B$700,0)),0))</f>
        <v/>
      </c>
    </row>
    <row r="3354" customFormat="false" ht="15" hidden="false" customHeight="false" outlineLevel="0" collapsed="false">
      <c r="A3354" s="102"/>
      <c r="E3354" s="103" t="str">
        <f aca="false">IF($C3354="","",IFERROR(INDEX(المنيو!$C$2:$C$500,MATCH($C3354,المنيو!$B$2:$B$500,0)),0))</f>
        <v/>
      </c>
      <c r="F3354" s="103" t="str">
        <f aca="false">IF($C3354="","",$D3354*$E3354)</f>
        <v/>
      </c>
      <c r="G3354" s="103" t="str">
        <f aca="false">IF($C3354="","",$D3354*IFERROR(INDEX('تحليل التكلفة والسعر'!$C$2:$C$700,MATCH($C3354,'تحليل التكلفة والسعر'!$B$2:$B$700,0)),0))</f>
        <v/>
      </c>
    </row>
    <row r="3355" customFormat="false" ht="15" hidden="false" customHeight="false" outlineLevel="0" collapsed="false">
      <c r="A3355" s="102"/>
      <c r="E3355" s="103" t="str">
        <f aca="false">IF($C3355="","",IFERROR(INDEX(المنيو!$C$2:$C$500,MATCH($C3355,المنيو!$B$2:$B$500,0)),0))</f>
        <v/>
      </c>
      <c r="F3355" s="103" t="str">
        <f aca="false">IF($C3355="","",$D3355*$E3355)</f>
        <v/>
      </c>
      <c r="G3355" s="103" t="str">
        <f aca="false">IF($C3355="","",$D3355*IFERROR(INDEX('تحليل التكلفة والسعر'!$C$2:$C$700,MATCH($C3355,'تحليل التكلفة والسعر'!$B$2:$B$700,0)),0))</f>
        <v/>
      </c>
    </row>
    <row r="3356" customFormat="false" ht="15" hidden="false" customHeight="false" outlineLevel="0" collapsed="false">
      <c r="A3356" s="102"/>
      <c r="E3356" s="103" t="str">
        <f aca="false">IF($C3356="","",IFERROR(INDEX(المنيو!$C$2:$C$500,MATCH($C3356,المنيو!$B$2:$B$500,0)),0))</f>
        <v/>
      </c>
      <c r="F3356" s="103" t="str">
        <f aca="false">IF($C3356="","",$D3356*$E3356)</f>
        <v/>
      </c>
      <c r="G3356" s="103" t="str">
        <f aca="false">IF($C3356="","",$D3356*IFERROR(INDEX('تحليل التكلفة والسعر'!$C$2:$C$700,MATCH($C3356,'تحليل التكلفة والسعر'!$B$2:$B$700,0)),0))</f>
        <v/>
      </c>
    </row>
    <row r="3357" customFormat="false" ht="15" hidden="false" customHeight="false" outlineLevel="0" collapsed="false">
      <c r="A3357" s="102"/>
      <c r="E3357" s="103" t="str">
        <f aca="false">IF($C3357="","",IFERROR(INDEX(المنيو!$C$2:$C$500,MATCH($C3357,المنيو!$B$2:$B$500,0)),0))</f>
        <v/>
      </c>
      <c r="F3357" s="103" t="str">
        <f aca="false">IF($C3357="","",$D3357*$E3357)</f>
        <v/>
      </c>
      <c r="G3357" s="103" t="str">
        <f aca="false">IF($C3357="","",$D3357*IFERROR(INDEX('تحليل التكلفة والسعر'!$C$2:$C$700,MATCH($C3357,'تحليل التكلفة والسعر'!$B$2:$B$700,0)),0))</f>
        <v/>
      </c>
    </row>
    <row r="3358" customFormat="false" ht="15" hidden="false" customHeight="false" outlineLevel="0" collapsed="false">
      <c r="A3358" s="102"/>
      <c r="E3358" s="103" t="str">
        <f aca="false">IF($C3358="","",IFERROR(INDEX(المنيو!$C$2:$C$500,MATCH($C3358,المنيو!$B$2:$B$500,0)),0))</f>
        <v/>
      </c>
      <c r="F3358" s="103" t="str">
        <f aca="false">IF($C3358="","",$D3358*$E3358)</f>
        <v/>
      </c>
      <c r="G3358" s="103" t="str">
        <f aca="false">IF($C3358="","",$D3358*IFERROR(INDEX('تحليل التكلفة والسعر'!$C$2:$C$700,MATCH($C3358,'تحليل التكلفة والسعر'!$B$2:$B$700,0)),0))</f>
        <v/>
      </c>
    </row>
    <row r="3359" customFormat="false" ht="15" hidden="false" customHeight="false" outlineLevel="0" collapsed="false">
      <c r="A3359" s="102"/>
      <c r="E3359" s="103" t="str">
        <f aca="false">IF($C3359="","",IFERROR(INDEX(المنيو!$C$2:$C$500,MATCH($C3359,المنيو!$B$2:$B$500,0)),0))</f>
        <v/>
      </c>
      <c r="F3359" s="103" t="str">
        <f aca="false">IF($C3359="","",$D3359*$E3359)</f>
        <v/>
      </c>
      <c r="G3359" s="103" t="str">
        <f aca="false">IF($C3359="","",$D3359*IFERROR(INDEX('تحليل التكلفة والسعر'!$C$2:$C$700,MATCH($C3359,'تحليل التكلفة والسعر'!$B$2:$B$700,0)),0))</f>
        <v/>
      </c>
    </row>
    <row r="3360" customFormat="false" ht="15" hidden="false" customHeight="false" outlineLevel="0" collapsed="false">
      <c r="A3360" s="102"/>
      <c r="E3360" s="103" t="str">
        <f aca="false">IF($C3360="","",IFERROR(INDEX(المنيو!$C$2:$C$500,MATCH($C3360,المنيو!$B$2:$B$500,0)),0))</f>
        <v/>
      </c>
      <c r="F3360" s="103" t="str">
        <f aca="false">IF($C3360="","",$D3360*$E3360)</f>
        <v/>
      </c>
      <c r="G3360" s="103" t="str">
        <f aca="false">IF($C3360="","",$D3360*IFERROR(INDEX('تحليل التكلفة والسعر'!$C$2:$C$700,MATCH($C3360,'تحليل التكلفة والسعر'!$B$2:$B$700,0)),0))</f>
        <v/>
      </c>
    </row>
    <row r="3361" customFormat="false" ht="15" hidden="false" customHeight="false" outlineLevel="0" collapsed="false">
      <c r="A3361" s="102"/>
      <c r="E3361" s="103" t="str">
        <f aca="false">IF($C3361="","",IFERROR(INDEX(المنيو!$C$2:$C$500,MATCH($C3361,المنيو!$B$2:$B$500,0)),0))</f>
        <v/>
      </c>
      <c r="F3361" s="103" t="str">
        <f aca="false">IF($C3361="","",$D3361*$E3361)</f>
        <v/>
      </c>
      <c r="G3361" s="103" t="str">
        <f aca="false">IF($C3361="","",$D3361*IFERROR(INDEX('تحليل التكلفة والسعر'!$C$2:$C$700,MATCH($C3361,'تحليل التكلفة والسعر'!$B$2:$B$700,0)),0))</f>
        <v/>
      </c>
    </row>
    <row r="3362" customFormat="false" ht="15" hidden="false" customHeight="false" outlineLevel="0" collapsed="false">
      <c r="A3362" s="102"/>
      <c r="E3362" s="103" t="str">
        <f aca="false">IF($C3362="","",IFERROR(INDEX(المنيو!$C$2:$C$500,MATCH($C3362,المنيو!$B$2:$B$500,0)),0))</f>
        <v/>
      </c>
      <c r="F3362" s="103" t="str">
        <f aca="false">IF($C3362="","",$D3362*$E3362)</f>
        <v/>
      </c>
      <c r="G3362" s="103" t="str">
        <f aca="false">IF($C3362="","",$D3362*IFERROR(INDEX('تحليل التكلفة والسعر'!$C$2:$C$700,MATCH($C3362,'تحليل التكلفة والسعر'!$B$2:$B$700,0)),0))</f>
        <v/>
      </c>
    </row>
    <row r="3363" customFormat="false" ht="15" hidden="false" customHeight="false" outlineLevel="0" collapsed="false">
      <c r="A3363" s="102"/>
      <c r="E3363" s="103" t="str">
        <f aca="false">IF($C3363="","",IFERROR(INDEX(المنيو!$C$2:$C$500,MATCH($C3363,المنيو!$B$2:$B$500,0)),0))</f>
        <v/>
      </c>
      <c r="F3363" s="103" t="str">
        <f aca="false">IF($C3363="","",$D3363*$E3363)</f>
        <v/>
      </c>
      <c r="G3363" s="103" t="str">
        <f aca="false">IF($C3363="","",$D3363*IFERROR(INDEX('تحليل التكلفة والسعر'!$C$2:$C$700,MATCH($C3363,'تحليل التكلفة والسعر'!$B$2:$B$700,0)),0))</f>
        <v/>
      </c>
    </row>
    <row r="3364" customFormat="false" ht="15" hidden="false" customHeight="false" outlineLevel="0" collapsed="false">
      <c r="A3364" s="102"/>
      <c r="E3364" s="103" t="str">
        <f aca="false">IF($C3364="","",IFERROR(INDEX(المنيو!$C$2:$C$500,MATCH($C3364,المنيو!$B$2:$B$500,0)),0))</f>
        <v/>
      </c>
      <c r="F3364" s="103" t="str">
        <f aca="false">IF($C3364="","",$D3364*$E3364)</f>
        <v/>
      </c>
      <c r="G3364" s="103" t="str">
        <f aca="false">IF($C3364="","",$D3364*IFERROR(INDEX('تحليل التكلفة والسعر'!$C$2:$C$700,MATCH($C3364,'تحليل التكلفة والسعر'!$B$2:$B$700,0)),0))</f>
        <v/>
      </c>
    </row>
    <row r="3365" customFormat="false" ht="15" hidden="false" customHeight="false" outlineLevel="0" collapsed="false">
      <c r="A3365" s="102"/>
      <c r="E3365" s="103" t="str">
        <f aca="false">IF($C3365="","",IFERROR(INDEX(المنيو!$C$2:$C$500,MATCH($C3365,المنيو!$B$2:$B$500,0)),0))</f>
        <v/>
      </c>
      <c r="F3365" s="103" t="str">
        <f aca="false">IF($C3365="","",$D3365*$E3365)</f>
        <v/>
      </c>
      <c r="G3365" s="103" t="str">
        <f aca="false">IF($C3365="","",$D3365*IFERROR(INDEX('تحليل التكلفة والسعر'!$C$2:$C$700,MATCH($C3365,'تحليل التكلفة والسعر'!$B$2:$B$700,0)),0))</f>
        <v/>
      </c>
    </row>
    <row r="3366" customFormat="false" ht="15" hidden="false" customHeight="false" outlineLevel="0" collapsed="false">
      <c r="A3366" s="102"/>
      <c r="E3366" s="103" t="str">
        <f aca="false">IF($C3366="","",IFERROR(INDEX(المنيو!$C$2:$C$500,MATCH($C3366,المنيو!$B$2:$B$500,0)),0))</f>
        <v/>
      </c>
      <c r="F3366" s="103" t="str">
        <f aca="false">IF($C3366="","",$D3366*$E3366)</f>
        <v/>
      </c>
      <c r="G3366" s="103" t="str">
        <f aca="false">IF($C3366="","",$D3366*IFERROR(INDEX('تحليل التكلفة والسعر'!$C$2:$C$700,MATCH($C3366,'تحليل التكلفة والسعر'!$B$2:$B$700,0)),0))</f>
        <v/>
      </c>
    </row>
    <row r="3367" customFormat="false" ht="15" hidden="false" customHeight="false" outlineLevel="0" collapsed="false">
      <c r="A3367" s="102"/>
      <c r="E3367" s="103" t="str">
        <f aca="false">IF($C3367="","",IFERROR(INDEX(المنيو!$C$2:$C$500,MATCH($C3367,المنيو!$B$2:$B$500,0)),0))</f>
        <v/>
      </c>
      <c r="F3367" s="103" t="str">
        <f aca="false">IF($C3367="","",$D3367*$E3367)</f>
        <v/>
      </c>
      <c r="G3367" s="103" t="str">
        <f aca="false">IF($C3367="","",$D3367*IFERROR(INDEX('تحليل التكلفة والسعر'!$C$2:$C$700,MATCH($C3367,'تحليل التكلفة والسعر'!$B$2:$B$700,0)),0))</f>
        <v/>
      </c>
    </row>
    <row r="3368" customFormat="false" ht="15" hidden="false" customHeight="false" outlineLevel="0" collapsed="false">
      <c r="A3368" s="102"/>
      <c r="E3368" s="103" t="str">
        <f aca="false">IF($C3368="","",IFERROR(INDEX(المنيو!$C$2:$C$500,MATCH($C3368,المنيو!$B$2:$B$500,0)),0))</f>
        <v/>
      </c>
      <c r="F3368" s="103" t="str">
        <f aca="false">IF($C3368="","",$D3368*$E3368)</f>
        <v/>
      </c>
      <c r="G3368" s="103" t="str">
        <f aca="false">IF($C3368="","",$D3368*IFERROR(INDEX('تحليل التكلفة والسعر'!$C$2:$C$700,MATCH($C3368,'تحليل التكلفة والسعر'!$B$2:$B$700,0)),0))</f>
        <v/>
      </c>
    </row>
    <row r="3369" customFormat="false" ht="15" hidden="false" customHeight="false" outlineLevel="0" collapsed="false">
      <c r="A3369" s="102"/>
      <c r="E3369" s="103" t="str">
        <f aca="false">IF($C3369="","",IFERROR(INDEX(المنيو!$C$2:$C$500,MATCH($C3369,المنيو!$B$2:$B$500,0)),0))</f>
        <v/>
      </c>
      <c r="F3369" s="103" t="str">
        <f aca="false">IF($C3369="","",$D3369*$E3369)</f>
        <v/>
      </c>
      <c r="G3369" s="103" t="str">
        <f aca="false">IF($C3369="","",$D3369*IFERROR(INDEX('تحليل التكلفة والسعر'!$C$2:$C$700,MATCH($C3369,'تحليل التكلفة والسعر'!$B$2:$B$700,0)),0))</f>
        <v/>
      </c>
    </row>
    <row r="3370" customFormat="false" ht="15" hidden="false" customHeight="false" outlineLevel="0" collapsed="false">
      <c r="A3370" s="102"/>
      <c r="E3370" s="103" t="str">
        <f aca="false">IF($C3370="","",IFERROR(INDEX(المنيو!$C$2:$C$500,MATCH($C3370,المنيو!$B$2:$B$500,0)),0))</f>
        <v/>
      </c>
      <c r="F3370" s="103" t="str">
        <f aca="false">IF($C3370="","",$D3370*$E3370)</f>
        <v/>
      </c>
      <c r="G3370" s="103" t="str">
        <f aca="false">IF($C3370="","",$D3370*IFERROR(INDEX('تحليل التكلفة والسعر'!$C$2:$C$700,MATCH($C3370,'تحليل التكلفة والسعر'!$B$2:$B$700,0)),0))</f>
        <v/>
      </c>
    </row>
    <row r="3371" customFormat="false" ht="15" hidden="false" customHeight="false" outlineLevel="0" collapsed="false">
      <c r="A3371" s="102"/>
      <c r="E3371" s="103" t="str">
        <f aca="false">IF($C3371="","",IFERROR(INDEX(المنيو!$C$2:$C$500,MATCH($C3371,المنيو!$B$2:$B$500,0)),0))</f>
        <v/>
      </c>
      <c r="F3371" s="103" t="str">
        <f aca="false">IF($C3371="","",$D3371*$E3371)</f>
        <v/>
      </c>
      <c r="G3371" s="103" t="str">
        <f aca="false">IF($C3371="","",$D3371*IFERROR(INDEX('تحليل التكلفة والسعر'!$C$2:$C$700,MATCH($C3371,'تحليل التكلفة والسعر'!$B$2:$B$700,0)),0))</f>
        <v/>
      </c>
    </row>
    <row r="3372" customFormat="false" ht="15" hidden="false" customHeight="false" outlineLevel="0" collapsed="false">
      <c r="A3372" s="102"/>
      <c r="E3372" s="103" t="str">
        <f aca="false">IF($C3372="","",IFERROR(INDEX(المنيو!$C$2:$C$500,MATCH($C3372,المنيو!$B$2:$B$500,0)),0))</f>
        <v/>
      </c>
      <c r="F3372" s="103" t="str">
        <f aca="false">IF($C3372="","",$D3372*$E3372)</f>
        <v/>
      </c>
      <c r="G3372" s="103" t="str">
        <f aca="false">IF($C3372="","",$D3372*IFERROR(INDEX('تحليل التكلفة والسعر'!$C$2:$C$700,MATCH($C3372,'تحليل التكلفة والسعر'!$B$2:$B$700,0)),0))</f>
        <v/>
      </c>
    </row>
    <row r="3373" customFormat="false" ht="15" hidden="false" customHeight="false" outlineLevel="0" collapsed="false">
      <c r="A3373" s="102"/>
      <c r="E3373" s="103" t="str">
        <f aca="false">IF($C3373="","",IFERROR(INDEX(المنيو!$C$2:$C$500,MATCH($C3373,المنيو!$B$2:$B$500,0)),0))</f>
        <v/>
      </c>
      <c r="F3373" s="103" t="str">
        <f aca="false">IF($C3373="","",$D3373*$E3373)</f>
        <v/>
      </c>
      <c r="G3373" s="103" t="str">
        <f aca="false">IF($C3373="","",$D3373*IFERROR(INDEX('تحليل التكلفة والسعر'!$C$2:$C$700,MATCH($C3373,'تحليل التكلفة والسعر'!$B$2:$B$700,0)),0))</f>
        <v/>
      </c>
    </row>
    <row r="3374" customFormat="false" ht="15" hidden="false" customHeight="false" outlineLevel="0" collapsed="false">
      <c r="A3374" s="102"/>
      <c r="E3374" s="103" t="str">
        <f aca="false">IF($C3374="","",IFERROR(INDEX(المنيو!$C$2:$C$500,MATCH($C3374,المنيو!$B$2:$B$500,0)),0))</f>
        <v/>
      </c>
      <c r="F3374" s="103" t="str">
        <f aca="false">IF($C3374="","",$D3374*$E3374)</f>
        <v/>
      </c>
      <c r="G3374" s="103" t="str">
        <f aca="false">IF($C3374="","",$D3374*IFERROR(INDEX('تحليل التكلفة والسعر'!$C$2:$C$700,MATCH($C3374,'تحليل التكلفة والسعر'!$B$2:$B$700,0)),0))</f>
        <v/>
      </c>
    </row>
    <row r="3375" customFormat="false" ht="15" hidden="false" customHeight="false" outlineLevel="0" collapsed="false">
      <c r="A3375" s="102"/>
      <c r="E3375" s="103" t="str">
        <f aca="false">IF($C3375="","",IFERROR(INDEX(المنيو!$C$2:$C$500,MATCH($C3375,المنيو!$B$2:$B$500,0)),0))</f>
        <v/>
      </c>
      <c r="F3375" s="103" t="str">
        <f aca="false">IF($C3375="","",$D3375*$E3375)</f>
        <v/>
      </c>
      <c r="G3375" s="103" t="str">
        <f aca="false">IF($C3375="","",$D3375*IFERROR(INDEX('تحليل التكلفة والسعر'!$C$2:$C$700,MATCH($C3375,'تحليل التكلفة والسعر'!$B$2:$B$700,0)),0))</f>
        <v/>
      </c>
    </row>
    <row r="3376" customFormat="false" ht="15" hidden="false" customHeight="false" outlineLevel="0" collapsed="false">
      <c r="A3376" s="102"/>
      <c r="E3376" s="103" t="str">
        <f aca="false">IF($C3376="","",IFERROR(INDEX(المنيو!$C$2:$C$500,MATCH($C3376,المنيو!$B$2:$B$500,0)),0))</f>
        <v/>
      </c>
      <c r="F3376" s="103" t="str">
        <f aca="false">IF($C3376="","",$D3376*$E3376)</f>
        <v/>
      </c>
      <c r="G3376" s="103" t="str">
        <f aca="false">IF($C3376="","",$D3376*IFERROR(INDEX('تحليل التكلفة والسعر'!$C$2:$C$700,MATCH($C3376,'تحليل التكلفة والسعر'!$B$2:$B$700,0)),0))</f>
        <v/>
      </c>
    </row>
    <row r="3377" customFormat="false" ht="15" hidden="false" customHeight="false" outlineLevel="0" collapsed="false">
      <c r="A3377" s="102"/>
      <c r="E3377" s="103" t="str">
        <f aca="false">IF($C3377="","",IFERROR(INDEX(المنيو!$C$2:$C$500,MATCH($C3377,المنيو!$B$2:$B$500,0)),0))</f>
        <v/>
      </c>
      <c r="F3377" s="103" t="str">
        <f aca="false">IF($C3377="","",$D3377*$E3377)</f>
        <v/>
      </c>
      <c r="G3377" s="103" t="str">
        <f aca="false">IF($C3377="","",$D3377*IFERROR(INDEX('تحليل التكلفة والسعر'!$C$2:$C$700,MATCH($C3377,'تحليل التكلفة والسعر'!$B$2:$B$700,0)),0))</f>
        <v/>
      </c>
    </row>
    <row r="3378" customFormat="false" ht="15" hidden="false" customHeight="false" outlineLevel="0" collapsed="false">
      <c r="A3378" s="102"/>
      <c r="E3378" s="103" t="str">
        <f aca="false">IF($C3378="","",IFERROR(INDEX(المنيو!$C$2:$C$500,MATCH($C3378,المنيو!$B$2:$B$500,0)),0))</f>
        <v/>
      </c>
      <c r="F3378" s="103" t="str">
        <f aca="false">IF($C3378="","",$D3378*$E3378)</f>
        <v/>
      </c>
      <c r="G3378" s="103" t="str">
        <f aca="false">IF($C3378="","",$D3378*IFERROR(INDEX('تحليل التكلفة والسعر'!$C$2:$C$700,MATCH($C3378,'تحليل التكلفة والسعر'!$B$2:$B$700,0)),0))</f>
        <v/>
      </c>
    </row>
    <row r="3379" customFormat="false" ht="15" hidden="false" customHeight="false" outlineLevel="0" collapsed="false">
      <c r="A3379" s="102"/>
      <c r="E3379" s="103" t="str">
        <f aca="false">IF($C3379="","",IFERROR(INDEX(المنيو!$C$2:$C$500,MATCH($C3379,المنيو!$B$2:$B$500,0)),0))</f>
        <v/>
      </c>
      <c r="F3379" s="103" t="str">
        <f aca="false">IF($C3379="","",$D3379*$E3379)</f>
        <v/>
      </c>
      <c r="G3379" s="103" t="str">
        <f aca="false">IF($C3379="","",$D3379*IFERROR(INDEX('تحليل التكلفة والسعر'!$C$2:$C$700,MATCH($C3379,'تحليل التكلفة والسعر'!$B$2:$B$700,0)),0))</f>
        <v/>
      </c>
    </row>
    <row r="3380" customFormat="false" ht="15" hidden="false" customHeight="false" outlineLevel="0" collapsed="false">
      <c r="A3380" s="102"/>
      <c r="E3380" s="103" t="str">
        <f aca="false">IF($C3380="","",IFERROR(INDEX(المنيو!$C$2:$C$500,MATCH($C3380,المنيو!$B$2:$B$500,0)),0))</f>
        <v/>
      </c>
      <c r="F3380" s="103" t="str">
        <f aca="false">IF($C3380="","",$D3380*$E3380)</f>
        <v/>
      </c>
      <c r="G3380" s="103" t="str">
        <f aca="false">IF($C3380="","",$D3380*IFERROR(INDEX('تحليل التكلفة والسعر'!$C$2:$C$700,MATCH($C3380,'تحليل التكلفة والسعر'!$B$2:$B$700,0)),0))</f>
        <v/>
      </c>
    </row>
    <row r="3381" customFormat="false" ht="15" hidden="false" customHeight="false" outlineLevel="0" collapsed="false">
      <c r="A3381" s="102"/>
      <c r="E3381" s="103" t="str">
        <f aca="false">IF($C3381="","",IFERROR(INDEX(المنيو!$C$2:$C$500,MATCH($C3381,المنيو!$B$2:$B$500,0)),0))</f>
        <v/>
      </c>
      <c r="F3381" s="103" t="str">
        <f aca="false">IF($C3381="","",$D3381*$E3381)</f>
        <v/>
      </c>
      <c r="G3381" s="103" t="str">
        <f aca="false">IF($C3381="","",$D3381*IFERROR(INDEX('تحليل التكلفة والسعر'!$C$2:$C$700,MATCH($C3381,'تحليل التكلفة والسعر'!$B$2:$B$700,0)),0))</f>
        <v/>
      </c>
    </row>
    <row r="3382" customFormat="false" ht="15" hidden="false" customHeight="false" outlineLevel="0" collapsed="false">
      <c r="A3382" s="102"/>
      <c r="E3382" s="103" t="str">
        <f aca="false">IF($C3382="","",IFERROR(INDEX(المنيو!$C$2:$C$500,MATCH($C3382,المنيو!$B$2:$B$500,0)),0))</f>
        <v/>
      </c>
      <c r="F3382" s="103" t="str">
        <f aca="false">IF($C3382="","",$D3382*$E3382)</f>
        <v/>
      </c>
      <c r="G3382" s="103" t="str">
        <f aca="false">IF($C3382="","",$D3382*IFERROR(INDEX('تحليل التكلفة والسعر'!$C$2:$C$700,MATCH($C3382,'تحليل التكلفة والسعر'!$B$2:$B$700,0)),0))</f>
        <v/>
      </c>
    </row>
    <row r="3383" customFormat="false" ht="15" hidden="false" customHeight="false" outlineLevel="0" collapsed="false">
      <c r="A3383" s="102"/>
      <c r="E3383" s="103" t="str">
        <f aca="false">IF($C3383="","",IFERROR(INDEX(المنيو!$C$2:$C$500,MATCH($C3383,المنيو!$B$2:$B$500,0)),0))</f>
        <v/>
      </c>
      <c r="F3383" s="103" t="str">
        <f aca="false">IF($C3383="","",$D3383*$E3383)</f>
        <v/>
      </c>
      <c r="G3383" s="103" t="str">
        <f aca="false">IF($C3383="","",$D3383*IFERROR(INDEX('تحليل التكلفة والسعر'!$C$2:$C$700,MATCH($C3383,'تحليل التكلفة والسعر'!$B$2:$B$700,0)),0))</f>
        <v/>
      </c>
    </row>
    <row r="3384" customFormat="false" ht="15" hidden="false" customHeight="false" outlineLevel="0" collapsed="false">
      <c r="A3384" s="102"/>
      <c r="E3384" s="103" t="str">
        <f aca="false">IF($C3384="","",IFERROR(INDEX(المنيو!$C$2:$C$500,MATCH($C3384,المنيو!$B$2:$B$500,0)),0))</f>
        <v/>
      </c>
      <c r="F3384" s="103" t="str">
        <f aca="false">IF($C3384="","",$D3384*$E3384)</f>
        <v/>
      </c>
      <c r="G3384" s="103" t="str">
        <f aca="false">IF($C3384="","",$D3384*IFERROR(INDEX('تحليل التكلفة والسعر'!$C$2:$C$700,MATCH($C3384,'تحليل التكلفة والسعر'!$B$2:$B$700,0)),0))</f>
        <v/>
      </c>
    </row>
    <row r="3385" customFormat="false" ht="15" hidden="false" customHeight="false" outlineLevel="0" collapsed="false">
      <c r="A3385" s="102"/>
      <c r="E3385" s="103" t="str">
        <f aca="false">IF($C3385="","",IFERROR(INDEX(المنيو!$C$2:$C$500,MATCH($C3385,المنيو!$B$2:$B$500,0)),0))</f>
        <v/>
      </c>
      <c r="F3385" s="103" t="str">
        <f aca="false">IF($C3385="","",$D3385*$E3385)</f>
        <v/>
      </c>
      <c r="G3385" s="103" t="str">
        <f aca="false">IF($C3385="","",$D3385*IFERROR(INDEX('تحليل التكلفة والسعر'!$C$2:$C$700,MATCH($C3385,'تحليل التكلفة والسعر'!$B$2:$B$700,0)),0))</f>
        <v/>
      </c>
    </row>
    <row r="3386" customFormat="false" ht="15" hidden="false" customHeight="false" outlineLevel="0" collapsed="false">
      <c r="A3386" s="102"/>
      <c r="E3386" s="103" t="str">
        <f aca="false">IF($C3386="","",IFERROR(INDEX(المنيو!$C$2:$C$500,MATCH($C3386,المنيو!$B$2:$B$500,0)),0))</f>
        <v/>
      </c>
      <c r="F3386" s="103" t="str">
        <f aca="false">IF($C3386="","",$D3386*$E3386)</f>
        <v/>
      </c>
      <c r="G3386" s="103" t="str">
        <f aca="false">IF($C3386="","",$D3386*IFERROR(INDEX('تحليل التكلفة والسعر'!$C$2:$C$700,MATCH($C3386,'تحليل التكلفة والسعر'!$B$2:$B$700,0)),0))</f>
        <v/>
      </c>
    </row>
    <row r="3387" customFormat="false" ht="15" hidden="false" customHeight="false" outlineLevel="0" collapsed="false">
      <c r="A3387" s="102"/>
      <c r="E3387" s="103" t="str">
        <f aca="false">IF($C3387="","",IFERROR(INDEX(المنيو!$C$2:$C$500,MATCH($C3387,المنيو!$B$2:$B$500,0)),0))</f>
        <v/>
      </c>
      <c r="F3387" s="103" t="str">
        <f aca="false">IF($C3387="","",$D3387*$E3387)</f>
        <v/>
      </c>
      <c r="G3387" s="103" t="str">
        <f aca="false">IF($C3387="","",$D3387*IFERROR(INDEX('تحليل التكلفة والسعر'!$C$2:$C$700,MATCH($C3387,'تحليل التكلفة والسعر'!$B$2:$B$700,0)),0))</f>
        <v/>
      </c>
    </row>
    <row r="3388" customFormat="false" ht="15" hidden="false" customHeight="false" outlineLevel="0" collapsed="false">
      <c r="A3388" s="102"/>
      <c r="E3388" s="103" t="str">
        <f aca="false">IF($C3388="","",IFERROR(INDEX(المنيو!$C$2:$C$500,MATCH($C3388,المنيو!$B$2:$B$500,0)),0))</f>
        <v/>
      </c>
      <c r="F3388" s="103" t="str">
        <f aca="false">IF($C3388="","",$D3388*$E3388)</f>
        <v/>
      </c>
      <c r="G3388" s="103" t="str">
        <f aca="false">IF($C3388="","",$D3388*IFERROR(INDEX('تحليل التكلفة والسعر'!$C$2:$C$700,MATCH($C3388,'تحليل التكلفة والسعر'!$B$2:$B$700,0)),0))</f>
        <v/>
      </c>
    </row>
    <row r="3389" customFormat="false" ht="15" hidden="false" customHeight="false" outlineLevel="0" collapsed="false">
      <c r="A3389" s="102"/>
      <c r="E3389" s="103" t="str">
        <f aca="false">IF($C3389="","",IFERROR(INDEX(المنيو!$C$2:$C$500,MATCH($C3389,المنيو!$B$2:$B$500,0)),0))</f>
        <v/>
      </c>
      <c r="F3389" s="103" t="str">
        <f aca="false">IF($C3389="","",$D3389*$E3389)</f>
        <v/>
      </c>
      <c r="G3389" s="103" t="str">
        <f aca="false">IF($C3389="","",$D3389*IFERROR(INDEX('تحليل التكلفة والسعر'!$C$2:$C$700,MATCH($C3389,'تحليل التكلفة والسعر'!$B$2:$B$700,0)),0))</f>
        <v/>
      </c>
    </row>
    <row r="3390" customFormat="false" ht="15" hidden="false" customHeight="false" outlineLevel="0" collapsed="false">
      <c r="A3390" s="102"/>
      <c r="E3390" s="103" t="str">
        <f aca="false">IF($C3390="","",IFERROR(INDEX(المنيو!$C$2:$C$500,MATCH($C3390,المنيو!$B$2:$B$500,0)),0))</f>
        <v/>
      </c>
      <c r="F3390" s="103" t="str">
        <f aca="false">IF($C3390="","",$D3390*$E3390)</f>
        <v/>
      </c>
      <c r="G3390" s="103" t="str">
        <f aca="false">IF($C3390="","",$D3390*IFERROR(INDEX('تحليل التكلفة والسعر'!$C$2:$C$700,MATCH($C3390,'تحليل التكلفة والسعر'!$B$2:$B$700,0)),0))</f>
        <v/>
      </c>
    </row>
    <row r="3391" customFormat="false" ht="15" hidden="false" customHeight="false" outlineLevel="0" collapsed="false">
      <c r="A3391" s="102"/>
      <c r="E3391" s="103" t="str">
        <f aca="false">IF($C3391="","",IFERROR(INDEX(المنيو!$C$2:$C$500,MATCH($C3391,المنيو!$B$2:$B$500,0)),0))</f>
        <v/>
      </c>
      <c r="F3391" s="103" t="str">
        <f aca="false">IF($C3391="","",$D3391*$E3391)</f>
        <v/>
      </c>
      <c r="G3391" s="103" t="str">
        <f aca="false">IF($C3391="","",$D3391*IFERROR(INDEX('تحليل التكلفة والسعر'!$C$2:$C$700,MATCH($C3391,'تحليل التكلفة والسعر'!$B$2:$B$700,0)),0))</f>
        <v/>
      </c>
    </row>
    <row r="3392" customFormat="false" ht="15" hidden="false" customHeight="false" outlineLevel="0" collapsed="false">
      <c r="A3392" s="102"/>
      <c r="E3392" s="103" t="str">
        <f aca="false">IF($C3392="","",IFERROR(INDEX(المنيو!$C$2:$C$500,MATCH($C3392,المنيو!$B$2:$B$500,0)),0))</f>
        <v/>
      </c>
      <c r="F3392" s="103" t="str">
        <f aca="false">IF($C3392="","",$D3392*$E3392)</f>
        <v/>
      </c>
      <c r="G3392" s="103" t="str">
        <f aca="false">IF($C3392="","",$D3392*IFERROR(INDEX('تحليل التكلفة والسعر'!$C$2:$C$700,MATCH($C3392,'تحليل التكلفة والسعر'!$B$2:$B$700,0)),0))</f>
        <v/>
      </c>
    </row>
    <row r="3393" customFormat="false" ht="15" hidden="false" customHeight="false" outlineLevel="0" collapsed="false">
      <c r="A3393" s="102"/>
      <c r="E3393" s="103" t="str">
        <f aca="false">IF($C3393="","",IFERROR(INDEX(المنيو!$C$2:$C$500,MATCH($C3393,المنيو!$B$2:$B$500,0)),0))</f>
        <v/>
      </c>
      <c r="F3393" s="103" t="str">
        <f aca="false">IF($C3393="","",$D3393*$E3393)</f>
        <v/>
      </c>
      <c r="G3393" s="103" t="str">
        <f aca="false">IF($C3393="","",$D3393*IFERROR(INDEX('تحليل التكلفة والسعر'!$C$2:$C$700,MATCH($C3393,'تحليل التكلفة والسعر'!$B$2:$B$700,0)),0))</f>
        <v/>
      </c>
    </row>
    <row r="3394" customFormat="false" ht="15" hidden="false" customHeight="false" outlineLevel="0" collapsed="false">
      <c r="A3394" s="102"/>
      <c r="E3394" s="103" t="str">
        <f aca="false">IF($C3394="","",IFERROR(INDEX(المنيو!$C$2:$C$500,MATCH($C3394,المنيو!$B$2:$B$500,0)),0))</f>
        <v/>
      </c>
      <c r="F3394" s="103" t="str">
        <f aca="false">IF($C3394="","",$D3394*$E3394)</f>
        <v/>
      </c>
      <c r="G3394" s="103" t="str">
        <f aca="false">IF($C3394="","",$D3394*IFERROR(INDEX('تحليل التكلفة والسعر'!$C$2:$C$700,MATCH($C3394,'تحليل التكلفة والسعر'!$B$2:$B$700,0)),0))</f>
        <v/>
      </c>
    </row>
    <row r="3395" customFormat="false" ht="15" hidden="false" customHeight="false" outlineLevel="0" collapsed="false">
      <c r="A3395" s="102"/>
      <c r="E3395" s="103" t="str">
        <f aca="false">IF($C3395="","",IFERROR(INDEX(المنيو!$C$2:$C$500,MATCH($C3395,المنيو!$B$2:$B$500,0)),0))</f>
        <v/>
      </c>
      <c r="F3395" s="103" t="str">
        <f aca="false">IF($C3395="","",$D3395*$E3395)</f>
        <v/>
      </c>
      <c r="G3395" s="103" t="str">
        <f aca="false">IF($C3395="","",$D3395*IFERROR(INDEX('تحليل التكلفة والسعر'!$C$2:$C$700,MATCH($C3395,'تحليل التكلفة والسعر'!$B$2:$B$700,0)),0))</f>
        <v/>
      </c>
    </row>
    <row r="3396" customFormat="false" ht="15" hidden="false" customHeight="false" outlineLevel="0" collapsed="false">
      <c r="A3396" s="102"/>
      <c r="E3396" s="103" t="str">
        <f aca="false">IF($C3396="","",IFERROR(INDEX(المنيو!$C$2:$C$500,MATCH($C3396,المنيو!$B$2:$B$500,0)),0))</f>
        <v/>
      </c>
      <c r="F3396" s="103" t="str">
        <f aca="false">IF($C3396="","",$D3396*$E3396)</f>
        <v/>
      </c>
      <c r="G3396" s="103" t="str">
        <f aca="false">IF($C3396="","",$D3396*IFERROR(INDEX('تحليل التكلفة والسعر'!$C$2:$C$700,MATCH($C3396,'تحليل التكلفة والسعر'!$B$2:$B$700,0)),0))</f>
        <v/>
      </c>
    </row>
    <row r="3397" customFormat="false" ht="15" hidden="false" customHeight="false" outlineLevel="0" collapsed="false">
      <c r="A3397" s="102"/>
      <c r="E3397" s="103" t="str">
        <f aca="false">IF($C3397="","",IFERROR(INDEX(المنيو!$C$2:$C$500,MATCH($C3397,المنيو!$B$2:$B$500,0)),0))</f>
        <v/>
      </c>
      <c r="F3397" s="103" t="str">
        <f aca="false">IF($C3397="","",$D3397*$E3397)</f>
        <v/>
      </c>
      <c r="G3397" s="103" t="str">
        <f aca="false">IF($C3397="","",$D3397*IFERROR(INDEX('تحليل التكلفة والسعر'!$C$2:$C$700,MATCH($C3397,'تحليل التكلفة والسعر'!$B$2:$B$700,0)),0))</f>
        <v/>
      </c>
    </row>
    <row r="3398" customFormat="false" ht="15" hidden="false" customHeight="false" outlineLevel="0" collapsed="false">
      <c r="A3398" s="102"/>
      <c r="E3398" s="103" t="str">
        <f aca="false">IF($C3398="","",IFERROR(INDEX(المنيو!$C$2:$C$500,MATCH($C3398,المنيو!$B$2:$B$500,0)),0))</f>
        <v/>
      </c>
      <c r="F3398" s="103" t="str">
        <f aca="false">IF($C3398="","",$D3398*$E3398)</f>
        <v/>
      </c>
      <c r="G3398" s="103" t="str">
        <f aca="false">IF($C3398="","",$D3398*IFERROR(INDEX('تحليل التكلفة والسعر'!$C$2:$C$700,MATCH($C3398,'تحليل التكلفة والسعر'!$B$2:$B$700,0)),0))</f>
        <v/>
      </c>
    </row>
    <row r="3399" customFormat="false" ht="15" hidden="false" customHeight="false" outlineLevel="0" collapsed="false">
      <c r="A3399" s="102"/>
      <c r="E3399" s="103" t="str">
        <f aca="false">IF($C3399="","",IFERROR(INDEX(المنيو!$C$2:$C$500,MATCH($C3399,المنيو!$B$2:$B$500,0)),0))</f>
        <v/>
      </c>
      <c r="F3399" s="103" t="str">
        <f aca="false">IF($C3399="","",$D3399*$E3399)</f>
        <v/>
      </c>
      <c r="G3399" s="103" t="str">
        <f aca="false">IF($C3399="","",$D3399*IFERROR(INDEX('تحليل التكلفة والسعر'!$C$2:$C$700,MATCH($C3399,'تحليل التكلفة والسعر'!$B$2:$B$700,0)),0))</f>
        <v/>
      </c>
    </row>
    <row r="3400" customFormat="false" ht="15" hidden="false" customHeight="false" outlineLevel="0" collapsed="false">
      <c r="A3400" s="102"/>
      <c r="E3400" s="103" t="str">
        <f aca="false">IF($C3400="","",IFERROR(INDEX(المنيو!$C$2:$C$500,MATCH($C3400,المنيو!$B$2:$B$500,0)),0))</f>
        <v/>
      </c>
      <c r="F3400" s="103" t="str">
        <f aca="false">IF($C3400="","",$D3400*$E3400)</f>
        <v/>
      </c>
      <c r="G3400" s="103" t="str">
        <f aca="false">IF($C3400="","",$D3400*IFERROR(INDEX('تحليل التكلفة والسعر'!$C$2:$C$700,MATCH($C3400,'تحليل التكلفة والسعر'!$B$2:$B$700,0)),0))</f>
        <v/>
      </c>
    </row>
    <row r="3401" customFormat="false" ht="15" hidden="false" customHeight="false" outlineLevel="0" collapsed="false">
      <c r="A3401" s="102"/>
      <c r="E3401" s="103" t="str">
        <f aca="false">IF($C3401="","",IFERROR(INDEX(المنيو!$C$2:$C$500,MATCH($C3401,المنيو!$B$2:$B$500,0)),0))</f>
        <v/>
      </c>
      <c r="F3401" s="103" t="str">
        <f aca="false">IF($C3401="","",$D3401*$E3401)</f>
        <v/>
      </c>
      <c r="G3401" s="103" t="str">
        <f aca="false">IF($C3401="","",$D3401*IFERROR(INDEX('تحليل التكلفة والسعر'!$C$2:$C$700,MATCH($C3401,'تحليل التكلفة والسعر'!$B$2:$B$700,0)),0))</f>
        <v/>
      </c>
    </row>
    <row r="3402" customFormat="false" ht="15" hidden="false" customHeight="false" outlineLevel="0" collapsed="false">
      <c r="A3402" s="102"/>
      <c r="E3402" s="103" t="str">
        <f aca="false">IF($C3402="","",IFERROR(INDEX(المنيو!$C$2:$C$500,MATCH($C3402,المنيو!$B$2:$B$500,0)),0))</f>
        <v/>
      </c>
      <c r="F3402" s="103" t="str">
        <f aca="false">IF($C3402="","",$D3402*$E3402)</f>
        <v/>
      </c>
      <c r="G3402" s="103" t="str">
        <f aca="false">IF($C3402="","",$D3402*IFERROR(INDEX('تحليل التكلفة والسعر'!$C$2:$C$700,MATCH($C3402,'تحليل التكلفة والسعر'!$B$2:$B$700,0)),0))</f>
        <v/>
      </c>
    </row>
    <row r="3403" customFormat="false" ht="15" hidden="false" customHeight="false" outlineLevel="0" collapsed="false">
      <c r="A3403" s="102"/>
      <c r="E3403" s="103" t="str">
        <f aca="false">IF($C3403="","",IFERROR(INDEX(المنيو!$C$2:$C$500,MATCH($C3403,المنيو!$B$2:$B$500,0)),0))</f>
        <v/>
      </c>
      <c r="F3403" s="103" t="str">
        <f aca="false">IF($C3403="","",$D3403*$E3403)</f>
        <v/>
      </c>
      <c r="G3403" s="103" t="str">
        <f aca="false">IF($C3403="","",$D3403*IFERROR(INDEX('تحليل التكلفة والسعر'!$C$2:$C$700,MATCH($C3403,'تحليل التكلفة والسعر'!$B$2:$B$700,0)),0))</f>
        <v/>
      </c>
    </row>
    <row r="3404" customFormat="false" ht="15" hidden="false" customHeight="false" outlineLevel="0" collapsed="false">
      <c r="A3404" s="102"/>
      <c r="E3404" s="103" t="str">
        <f aca="false">IF($C3404="","",IFERROR(INDEX(المنيو!$C$2:$C$500,MATCH($C3404,المنيو!$B$2:$B$500,0)),0))</f>
        <v/>
      </c>
      <c r="F3404" s="103" t="str">
        <f aca="false">IF($C3404="","",$D3404*$E3404)</f>
        <v/>
      </c>
      <c r="G3404" s="103" t="str">
        <f aca="false">IF($C3404="","",$D3404*IFERROR(INDEX('تحليل التكلفة والسعر'!$C$2:$C$700,MATCH($C3404,'تحليل التكلفة والسعر'!$B$2:$B$700,0)),0))</f>
        <v/>
      </c>
    </row>
    <row r="3405" customFormat="false" ht="15" hidden="false" customHeight="false" outlineLevel="0" collapsed="false">
      <c r="A3405" s="102"/>
      <c r="E3405" s="103" t="str">
        <f aca="false">IF($C3405="","",IFERROR(INDEX(المنيو!$C$2:$C$500,MATCH($C3405,المنيو!$B$2:$B$500,0)),0))</f>
        <v/>
      </c>
      <c r="F3405" s="103" t="str">
        <f aca="false">IF($C3405="","",$D3405*$E3405)</f>
        <v/>
      </c>
      <c r="G3405" s="103" t="str">
        <f aca="false">IF($C3405="","",$D3405*IFERROR(INDEX('تحليل التكلفة والسعر'!$C$2:$C$700,MATCH($C3405,'تحليل التكلفة والسعر'!$B$2:$B$700,0)),0))</f>
        <v/>
      </c>
    </row>
    <row r="3406" customFormat="false" ht="15" hidden="false" customHeight="false" outlineLevel="0" collapsed="false">
      <c r="A3406" s="102"/>
      <c r="E3406" s="103" t="str">
        <f aca="false">IF($C3406="","",IFERROR(INDEX(المنيو!$C$2:$C$500,MATCH($C3406,المنيو!$B$2:$B$500,0)),0))</f>
        <v/>
      </c>
      <c r="F3406" s="103" t="str">
        <f aca="false">IF($C3406="","",$D3406*$E3406)</f>
        <v/>
      </c>
      <c r="G3406" s="103" t="str">
        <f aca="false">IF($C3406="","",$D3406*IFERROR(INDEX('تحليل التكلفة والسعر'!$C$2:$C$700,MATCH($C3406,'تحليل التكلفة والسعر'!$B$2:$B$700,0)),0))</f>
        <v/>
      </c>
    </row>
    <row r="3407" customFormat="false" ht="15" hidden="false" customHeight="false" outlineLevel="0" collapsed="false">
      <c r="A3407" s="102"/>
      <c r="E3407" s="103" t="str">
        <f aca="false">IF($C3407="","",IFERROR(INDEX(المنيو!$C$2:$C$500,MATCH($C3407,المنيو!$B$2:$B$500,0)),0))</f>
        <v/>
      </c>
      <c r="F3407" s="103" t="str">
        <f aca="false">IF($C3407="","",$D3407*$E3407)</f>
        <v/>
      </c>
      <c r="G3407" s="103" t="str">
        <f aca="false">IF($C3407="","",$D3407*IFERROR(INDEX('تحليل التكلفة والسعر'!$C$2:$C$700,MATCH($C3407,'تحليل التكلفة والسعر'!$B$2:$B$700,0)),0))</f>
        <v/>
      </c>
    </row>
    <row r="3408" customFormat="false" ht="15" hidden="false" customHeight="false" outlineLevel="0" collapsed="false">
      <c r="A3408" s="102"/>
      <c r="E3408" s="103" t="str">
        <f aca="false">IF($C3408="","",IFERROR(INDEX(المنيو!$C$2:$C$500,MATCH($C3408,المنيو!$B$2:$B$500,0)),0))</f>
        <v/>
      </c>
      <c r="F3408" s="103" t="str">
        <f aca="false">IF($C3408="","",$D3408*$E3408)</f>
        <v/>
      </c>
      <c r="G3408" s="103" t="str">
        <f aca="false">IF($C3408="","",$D3408*IFERROR(INDEX('تحليل التكلفة والسعر'!$C$2:$C$700,MATCH($C3408,'تحليل التكلفة والسعر'!$B$2:$B$700,0)),0))</f>
        <v/>
      </c>
    </row>
    <row r="3409" customFormat="false" ht="15" hidden="false" customHeight="false" outlineLevel="0" collapsed="false">
      <c r="A3409" s="102"/>
      <c r="E3409" s="103" t="str">
        <f aca="false">IF($C3409="","",IFERROR(INDEX(المنيو!$C$2:$C$500,MATCH($C3409,المنيو!$B$2:$B$500,0)),0))</f>
        <v/>
      </c>
      <c r="F3409" s="103" t="str">
        <f aca="false">IF($C3409="","",$D3409*$E3409)</f>
        <v/>
      </c>
      <c r="G3409" s="103" t="str">
        <f aca="false">IF($C3409="","",$D3409*IFERROR(INDEX('تحليل التكلفة والسعر'!$C$2:$C$700,MATCH($C3409,'تحليل التكلفة والسعر'!$B$2:$B$700,0)),0))</f>
        <v/>
      </c>
    </row>
    <row r="3410" customFormat="false" ht="15" hidden="false" customHeight="false" outlineLevel="0" collapsed="false">
      <c r="A3410" s="102"/>
      <c r="E3410" s="103" t="str">
        <f aca="false">IF($C3410="","",IFERROR(INDEX(المنيو!$C$2:$C$500,MATCH($C3410,المنيو!$B$2:$B$500,0)),0))</f>
        <v/>
      </c>
      <c r="F3410" s="103" t="str">
        <f aca="false">IF($C3410="","",$D3410*$E3410)</f>
        <v/>
      </c>
      <c r="G3410" s="103" t="str">
        <f aca="false">IF($C3410="","",$D3410*IFERROR(INDEX('تحليل التكلفة والسعر'!$C$2:$C$700,MATCH($C3410,'تحليل التكلفة والسعر'!$B$2:$B$700,0)),0))</f>
        <v/>
      </c>
    </row>
    <row r="3411" customFormat="false" ht="15" hidden="false" customHeight="false" outlineLevel="0" collapsed="false">
      <c r="A3411" s="102"/>
      <c r="E3411" s="103" t="str">
        <f aca="false">IF($C3411="","",IFERROR(INDEX(المنيو!$C$2:$C$500,MATCH($C3411,المنيو!$B$2:$B$500,0)),0))</f>
        <v/>
      </c>
      <c r="F3411" s="103" t="str">
        <f aca="false">IF($C3411="","",$D3411*$E3411)</f>
        <v/>
      </c>
      <c r="G3411" s="103" t="str">
        <f aca="false">IF($C3411="","",$D3411*IFERROR(INDEX('تحليل التكلفة والسعر'!$C$2:$C$700,MATCH($C3411,'تحليل التكلفة والسعر'!$B$2:$B$700,0)),0))</f>
        <v/>
      </c>
    </row>
    <row r="3412" customFormat="false" ht="15" hidden="false" customHeight="false" outlineLevel="0" collapsed="false">
      <c r="A3412" s="102"/>
      <c r="E3412" s="103" t="str">
        <f aca="false">IF($C3412="","",IFERROR(INDEX(المنيو!$C$2:$C$500,MATCH($C3412,المنيو!$B$2:$B$500,0)),0))</f>
        <v/>
      </c>
      <c r="F3412" s="103" t="str">
        <f aca="false">IF($C3412="","",$D3412*$E3412)</f>
        <v/>
      </c>
      <c r="G3412" s="103" t="str">
        <f aca="false">IF($C3412="","",$D3412*IFERROR(INDEX('تحليل التكلفة والسعر'!$C$2:$C$700,MATCH($C3412,'تحليل التكلفة والسعر'!$B$2:$B$700,0)),0))</f>
        <v/>
      </c>
    </row>
    <row r="3413" customFormat="false" ht="15" hidden="false" customHeight="false" outlineLevel="0" collapsed="false">
      <c r="A3413" s="102"/>
      <c r="E3413" s="103" t="str">
        <f aca="false">IF($C3413="","",IFERROR(INDEX(المنيو!$C$2:$C$500,MATCH($C3413,المنيو!$B$2:$B$500,0)),0))</f>
        <v/>
      </c>
      <c r="F3413" s="103" t="str">
        <f aca="false">IF($C3413="","",$D3413*$E3413)</f>
        <v/>
      </c>
      <c r="G3413" s="103" t="str">
        <f aca="false">IF($C3413="","",$D3413*IFERROR(INDEX('تحليل التكلفة والسعر'!$C$2:$C$700,MATCH($C3413,'تحليل التكلفة والسعر'!$B$2:$B$700,0)),0))</f>
        <v/>
      </c>
    </row>
    <row r="3414" customFormat="false" ht="15" hidden="false" customHeight="false" outlineLevel="0" collapsed="false">
      <c r="A3414" s="102"/>
      <c r="E3414" s="103" t="str">
        <f aca="false">IF($C3414="","",IFERROR(INDEX(المنيو!$C$2:$C$500,MATCH($C3414,المنيو!$B$2:$B$500,0)),0))</f>
        <v/>
      </c>
      <c r="F3414" s="103" t="str">
        <f aca="false">IF($C3414="","",$D3414*$E3414)</f>
        <v/>
      </c>
      <c r="G3414" s="103" t="str">
        <f aca="false">IF($C3414="","",$D3414*IFERROR(INDEX('تحليل التكلفة والسعر'!$C$2:$C$700,MATCH($C3414,'تحليل التكلفة والسعر'!$B$2:$B$700,0)),0))</f>
        <v/>
      </c>
    </row>
    <row r="3415" customFormat="false" ht="15" hidden="false" customHeight="false" outlineLevel="0" collapsed="false">
      <c r="A3415" s="102"/>
      <c r="E3415" s="103" t="str">
        <f aca="false">IF($C3415="","",IFERROR(INDEX(المنيو!$C$2:$C$500,MATCH($C3415,المنيو!$B$2:$B$500,0)),0))</f>
        <v/>
      </c>
      <c r="F3415" s="103" t="str">
        <f aca="false">IF($C3415="","",$D3415*$E3415)</f>
        <v/>
      </c>
      <c r="G3415" s="103" t="str">
        <f aca="false">IF($C3415="","",$D3415*IFERROR(INDEX('تحليل التكلفة والسعر'!$C$2:$C$700,MATCH($C3415,'تحليل التكلفة والسعر'!$B$2:$B$700,0)),0))</f>
        <v/>
      </c>
    </row>
    <row r="3416" customFormat="false" ht="15" hidden="false" customHeight="false" outlineLevel="0" collapsed="false">
      <c r="A3416" s="102"/>
      <c r="E3416" s="103" t="str">
        <f aca="false">IF($C3416="","",IFERROR(INDEX(المنيو!$C$2:$C$500,MATCH($C3416,المنيو!$B$2:$B$500,0)),0))</f>
        <v/>
      </c>
      <c r="F3416" s="103" t="str">
        <f aca="false">IF($C3416="","",$D3416*$E3416)</f>
        <v/>
      </c>
      <c r="G3416" s="103" t="str">
        <f aca="false">IF($C3416="","",$D3416*IFERROR(INDEX('تحليل التكلفة والسعر'!$C$2:$C$700,MATCH($C3416,'تحليل التكلفة والسعر'!$B$2:$B$700,0)),0))</f>
        <v/>
      </c>
    </row>
    <row r="3417" customFormat="false" ht="15" hidden="false" customHeight="false" outlineLevel="0" collapsed="false">
      <c r="A3417" s="102"/>
      <c r="E3417" s="103" t="str">
        <f aca="false">IF($C3417="","",IFERROR(INDEX(المنيو!$C$2:$C$500,MATCH($C3417,المنيو!$B$2:$B$500,0)),0))</f>
        <v/>
      </c>
      <c r="F3417" s="103" t="str">
        <f aca="false">IF($C3417="","",$D3417*$E3417)</f>
        <v/>
      </c>
      <c r="G3417" s="103" t="str">
        <f aca="false">IF($C3417="","",$D3417*IFERROR(INDEX('تحليل التكلفة والسعر'!$C$2:$C$700,MATCH($C3417,'تحليل التكلفة والسعر'!$B$2:$B$700,0)),0))</f>
        <v/>
      </c>
    </row>
    <row r="3418" customFormat="false" ht="15" hidden="false" customHeight="false" outlineLevel="0" collapsed="false">
      <c r="A3418" s="102"/>
      <c r="E3418" s="103" t="str">
        <f aca="false">IF($C3418="","",IFERROR(INDEX(المنيو!$C$2:$C$500,MATCH($C3418,المنيو!$B$2:$B$500,0)),0))</f>
        <v/>
      </c>
      <c r="F3418" s="103" t="str">
        <f aca="false">IF($C3418="","",$D3418*$E3418)</f>
        <v/>
      </c>
      <c r="G3418" s="103" t="str">
        <f aca="false">IF($C3418="","",$D3418*IFERROR(INDEX('تحليل التكلفة والسعر'!$C$2:$C$700,MATCH($C3418,'تحليل التكلفة والسعر'!$B$2:$B$700,0)),0))</f>
        <v/>
      </c>
    </row>
    <row r="3419" customFormat="false" ht="15" hidden="false" customHeight="false" outlineLevel="0" collapsed="false">
      <c r="A3419" s="102"/>
      <c r="E3419" s="103" t="str">
        <f aca="false">IF($C3419="","",IFERROR(INDEX(المنيو!$C$2:$C$500,MATCH($C3419,المنيو!$B$2:$B$500,0)),0))</f>
        <v/>
      </c>
      <c r="F3419" s="103" t="str">
        <f aca="false">IF($C3419="","",$D3419*$E3419)</f>
        <v/>
      </c>
      <c r="G3419" s="103" t="str">
        <f aca="false">IF($C3419="","",$D3419*IFERROR(INDEX('تحليل التكلفة والسعر'!$C$2:$C$700,MATCH($C3419,'تحليل التكلفة والسعر'!$B$2:$B$700,0)),0))</f>
        <v/>
      </c>
    </row>
    <row r="3420" customFormat="false" ht="15" hidden="false" customHeight="false" outlineLevel="0" collapsed="false">
      <c r="A3420" s="102"/>
      <c r="E3420" s="103" t="str">
        <f aca="false">IF($C3420="","",IFERROR(INDEX(المنيو!$C$2:$C$500,MATCH($C3420,المنيو!$B$2:$B$500,0)),0))</f>
        <v/>
      </c>
      <c r="F3420" s="103" t="str">
        <f aca="false">IF($C3420="","",$D3420*$E3420)</f>
        <v/>
      </c>
      <c r="G3420" s="103" t="str">
        <f aca="false">IF($C3420="","",$D3420*IFERROR(INDEX('تحليل التكلفة والسعر'!$C$2:$C$700,MATCH($C3420,'تحليل التكلفة والسعر'!$B$2:$B$700,0)),0))</f>
        <v/>
      </c>
    </row>
    <row r="3421" customFormat="false" ht="15" hidden="false" customHeight="false" outlineLevel="0" collapsed="false">
      <c r="A3421" s="102"/>
      <c r="E3421" s="103" t="str">
        <f aca="false">IF($C3421="","",IFERROR(INDEX(المنيو!$C$2:$C$500,MATCH($C3421,المنيو!$B$2:$B$500,0)),0))</f>
        <v/>
      </c>
      <c r="F3421" s="103" t="str">
        <f aca="false">IF($C3421="","",$D3421*$E3421)</f>
        <v/>
      </c>
      <c r="G3421" s="103" t="str">
        <f aca="false">IF($C3421="","",$D3421*IFERROR(INDEX('تحليل التكلفة والسعر'!$C$2:$C$700,MATCH($C3421,'تحليل التكلفة والسعر'!$B$2:$B$700,0)),0))</f>
        <v/>
      </c>
    </row>
    <row r="3422" customFormat="false" ht="15" hidden="false" customHeight="false" outlineLevel="0" collapsed="false">
      <c r="A3422" s="102"/>
      <c r="E3422" s="103" t="str">
        <f aca="false">IF($C3422="","",IFERROR(INDEX(المنيو!$C$2:$C$500,MATCH($C3422,المنيو!$B$2:$B$500,0)),0))</f>
        <v/>
      </c>
      <c r="F3422" s="103" t="str">
        <f aca="false">IF($C3422="","",$D3422*$E3422)</f>
        <v/>
      </c>
      <c r="G3422" s="103" t="str">
        <f aca="false">IF($C3422="","",$D3422*IFERROR(INDEX('تحليل التكلفة والسعر'!$C$2:$C$700,MATCH($C3422,'تحليل التكلفة والسعر'!$B$2:$B$700,0)),0))</f>
        <v/>
      </c>
    </row>
    <row r="3423" customFormat="false" ht="15" hidden="false" customHeight="false" outlineLevel="0" collapsed="false">
      <c r="A3423" s="102"/>
      <c r="E3423" s="103" t="str">
        <f aca="false">IF($C3423="","",IFERROR(INDEX(المنيو!$C$2:$C$500,MATCH($C3423,المنيو!$B$2:$B$500,0)),0))</f>
        <v/>
      </c>
      <c r="F3423" s="103" t="str">
        <f aca="false">IF($C3423="","",$D3423*$E3423)</f>
        <v/>
      </c>
      <c r="G3423" s="103" t="str">
        <f aca="false">IF($C3423="","",$D3423*IFERROR(INDEX('تحليل التكلفة والسعر'!$C$2:$C$700,MATCH($C3423,'تحليل التكلفة والسعر'!$B$2:$B$700,0)),0))</f>
        <v/>
      </c>
    </row>
    <row r="3424" customFormat="false" ht="15" hidden="false" customHeight="false" outlineLevel="0" collapsed="false">
      <c r="A3424" s="102"/>
      <c r="E3424" s="103" t="str">
        <f aca="false">IF($C3424="","",IFERROR(INDEX(المنيو!$C$2:$C$500,MATCH($C3424,المنيو!$B$2:$B$500,0)),0))</f>
        <v/>
      </c>
      <c r="F3424" s="103" t="str">
        <f aca="false">IF($C3424="","",$D3424*$E3424)</f>
        <v/>
      </c>
      <c r="G3424" s="103" t="str">
        <f aca="false">IF($C3424="","",$D3424*IFERROR(INDEX('تحليل التكلفة والسعر'!$C$2:$C$700,MATCH($C3424,'تحليل التكلفة والسعر'!$B$2:$B$700,0)),0))</f>
        <v/>
      </c>
    </row>
    <row r="3425" customFormat="false" ht="15" hidden="false" customHeight="false" outlineLevel="0" collapsed="false">
      <c r="A3425" s="102"/>
      <c r="E3425" s="103" t="str">
        <f aca="false">IF($C3425="","",IFERROR(INDEX(المنيو!$C$2:$C$500,MATCH($C3425,المنيو!$B$2:$B$500,0)),0))</f>
        <v/>
      </c>
      <c r="F3425" s="103" t="str">
        <f aca="false">IF($C3425="","",$D3425*$E3425)</f>
        <v/>
      </c>
      <c r="G3425" s="103" t="str">
        <f aca="false">IF($C3425="","",$D3425*IFERROR(INDEX('تحليل التكلفة والسعر'!$C$2:$C$700,MATCH($C3425,'تحليل التكلفة والسعر'!$B$2:$B$700,0)),0))</f>
        <v/>
      </c>
    </row>
    <row r="3426" customFormat="false" ht="15" hidden="false" customHeight="false" outlineLevel="0" collapsed="false">
      <c r="A3426" s="102"/>
      <c r="E3426" s="103" t="str">
        <f aca="false">IF($C3426="","",IFERROR(INDEX(المنيو!$C$2:$C$500,MATCH($C3426,المنيو!$B$2:$B$500,0)),0))</f>
        <v/>
      </c>
      <c r="F3426" s="103" t="str">
        <f aca="false">IF($C3426="","",$D3426*$E3426)</f>
        <v/>
      </c>
      <c r="G3426" s="103" t="str">
        <f aca="false">IF($C3426="","",$D3426*IFERROR(INDEX('تحليل التكلفة والسعر'!$C$2:$C$700,MATCH($C3426,'تحليل التكلفة والسعر'!$B$2:$B$700,0)),0))</f>
        <v/>
      </c>
    </row>
    <row r="3427" customFormat="false" ht="15" hidden="false" customHeight="false" outlineLevel="0" collapsed="false">
      <c r="A3427" s="102"/>
      <c r="E3427" s="103" t="str">
        <f aca="false">IF($C3427="","",IFERROR(INDEX(المنيو!$C$2:$C$500,MATCH($C3427,المنيو!$B$2:$B$500,0)),0))</f>
        <v/>
      </c>
      <c r="F3427" s="103" t="str">
        <f aca="false">IF($C3427="","",$D3427*$E3427)</f>
        <v/>
      </c>
      <c r="G3427" s="103" t="str">
        <f aca="false">IF($C3427="","",$D3427*IFERROR(INDEX('تحليل التكلفة والسعر'!$C$2:$C$700,MATCH($C3427,'تحليل التكلفة والسعر'!$B$2:$B$700,0)),0))</f>
        <v/>
      </c>
    </row>
    <row r="3428" customFormat="false" ht="15" hidden="false" customHeight="false" outlineLevel="0" collapsed="false">
      <c r="A3428" s="102"/>
      <c r="E3428" s="103" t="str">
        <f aca="false">IF($C3428="","",IFERROR(INDEX(المنيو!$C$2:$C$500,MATCH($C3428,المنيو!$B$2:$B$500,0)),0))</f>
        <v/>
      </c>
      <c r="F3428" s="103" t="str">
        <f aca="false">IF($C3428="","",$D3428*$E3428)</f>
        <v/>
      </c>
      <c r="G3428" s="103" t="str">
        <f aca="false">IF($C3428="","",$D3428*IFERROR(INDEX('تحليل التكلفة والسعر'!$C$2:$C$700,MATCH($C3428,'تحليل التكلفة والسعر'!$B$2:$B$700,0)),0))</f>
        <v/>
      </c>
    </row>
    <row r="3429" customFormat="false" ht="15" hidden="false" customHeight="false" outlineLevel="0" collapsed="false">
      <c r="A3429" s="102"/>
      <c r="E3429" s="103" t="str">
        <f aca="false">IF($C3429="","",IFERROR(INDEX(المنيو!$C$2:$C$500,MATCH($C3429,المنيو!$B$2:$B$500,0)),0))</f>
        <v/>
      </c>
      <c r="F3429" s="103" t="str">
        <f aca="false">IF($C3429="","",$D3429*$E3429)</f>
        <v/>
      </c>
      <c r="G3429" s="103" t="str">
        <f aca="false">IF($C3429="","",$D3429*IFERROR(INDEX('تحليل التكلفة والسعر'!$C$2:$C$700,MATCH($C3429,'تحليل التكلفة والسعر'!$B$2:$B$700,0)),0))</f>
        <v/>
      </c>
    </row>
    <row r="3430" customFormat="false" ht="15" hidden="false" customHeight="false" outlineLevel="0" collapsed="false">
      <c r="A3430" s="102"/>
      <c r="E3430" s="103" t="str">
        <f aca="false">IF($C3430="","",IFERROR(INDEX(المنيو!$C$2:$C$500,MATCH($C3430,المنيو!$B$2:$B$500,0)),0))</f>
        <v/>
      </c>
      <c r="F3430" s="103" t="str">
        <f aca="false">IF($C3430="","",$D3430*$E3430)</f>
        <v/>
      </c>
      <c r="G3430" s="103" t="str">
        <f aca="false">IF($C3430="","",$D3430*IFERROR(INDEX('تحليل التكلفة والسعر'!$C$2:$C$700,MATCH($C3430,'تحليل التكلفة والسعر'!$B$2:$B$700,0)),0))</f>
        <v/>
      </c>
    </row>
    <row r="3431" customFormat="false" ht="15" hidden="false" customHeight="false" outlineLevel="0" collapsed="false">
      <c r="A3431" s="102"/>
      <c r="E3431" s="103" t="str">
        <f aca="false">IF($C3431="","",IFERROR(INDEX(المنيو!$C$2:$C$500,MATCH($C3431,المنيو!$B$2:$B$500,0)),0))</f>
        <v/>
      </c>
      <c r="F3431" s="103" t="str">
        <f aca="false">IF($C3431="","",$D3431*$E3431)</f>
        <v/>
      </c>
      <c r="G3431" s="103" t="str">
        <f aca="false">IF($C3431="","",$D3431*IFERROR(INDEX('تحليل التكلفة والسعر'!$C$2:$C$700,MATCH($C3431,'تحليل التكلفة والسعر'!$B$2:$B$700,0)),0))</f>
        <v/>
      </c>
    </row>
    <row r="3432" customFormat="false" ht="15" hidden="false" customHeight="false" outlineLevel="0" collapsed="false">
      <c r="A3432" s="102"/>
      <c r="E3432" s="103" t="str">
        <f aca="false">IF($C3432="","",IFERROR(INDEX(المنيو!$C$2:$C$500,MATCH($C3432,المنيو!$B$2:$B$500,0)),0))</f>
        <v/>
      </c>
      <c r="F3432" s="103" t="str">
        <f aca="false">IF($C3432="","",$D3432*$E3432)</f>
        <v/>
      </c>
      <c r="G3432" s="103" t="str">
        <f aca="false">IF($C3432="","",$D3432*IFERROR(INDEX('تحليل التكلفة والسعر'!$C$2:$C$700,MATCH($C3432,'تحليل التكلفة والسعر'!$B$2:$B$700,0)),0))</f>
        <v/>
      </c>
    </row>
    <row r="3433" customFormat="false" ht="15" hidden="false" customHeight="false" outlineLevel="0" collapsed="false">
      <c r="A3433" s="102"/>
      <c r="E3433" s="103" t="str">
        <f aca="false">IF($C3433="","",IFERROR(INDEX(المنيو!$C$2:$C$500,MATCH($C3433,المنيو!$B$2:$B$500,0)),0))</f>
        <v/>
      </c>
      <c r="F3433" s="103" t="str">
        <f aca="false">IF($C3433="","",$D3433*$E3433)</f>
        <v/>
      </c>
      <c r="G3433" s="103" t="str">
        <f aca="false">IF($C3433="","",$D3433*IFERROR(INDEX('تحليل التكلفة والسعر'!$C$2:$C$700,MATCH($C3433,'تحليل التكلفة والسعر'!$B$2:$B$700,0)),0))</f>
        <v/>
      </c>
    </row>
    <row r="3434" customFormat="false" ht="15" hidden="false" customHeight="false" outlineLevel="0" collapsed="false">
      <c r="A3434" s="102"/>
      <c r="E3434" s="103" t="str">
        <f aca="false">IF($C3434="","",IFERROR(INDEX(المنيو!$C$2:$C$500,MATCH($C3434,المنيو!$B$2:$B$500,0)),0))</f>
        <v/>
      </c>
      <c r="F3434" s="103" t="str">
        <f aca="false">IF($C3434="","",$D3434*$E3434)</f>
        <v/>
      </c>
      <c r="G3434" s="103" t="str">
        <f aca="false">IF($C3434="","",$D3434*IFERROR(INDEX('تحليل التكلفة والسعر'!$C$2:$C$700,MATCH($C3434,'تحليل التكلفة والسعر'!$B$2:$B$700,0)),0))</f>
        <v/>
      </c>
    </row>
    <row r="3435" customFormat="false" ht="15" hidden="false" customHeight="false" outlineLevel="0" collapsed="false">
      <c r="A3435" s="102"/>
      <c r="E3435" s="103" t="str">
        <f aca="false">IF($C3435="","",IFERROR(INDEX(المنيو!$C$2:$C$500,MATCH($C3435,المنيو!$B$2:$B$500,0)),0))</f>
        <v/>
      </c>
      <c r="F3435" s="103" t="str">
        <f aca="false">IF($C3435="","",$D3435*$E3435)</f>
        <v/>
      </c>
      <c r="G3435" s="103" t="str">
        <f aca="false">IF($C3435="","",$D3435*IFERROR(INDEX('تحليل التكلفة والسعر'!$C$2:$C$700,MATCH($C3435,'تحليل التكلفة والسعر'!$B$2:$B$700,0)),0))</f>
        <v/>
      </c>
    </row>
    <row r="3436" customFormat="false" ht="15" hidden="false" customHeight="false" outlineLevel="0" collapsed="false">
      <c r="A3436" s="102"/>
      <c r="E3436" s="103" t="str">
        <f aca="false">IF($C3436="","",IFERROR(INDEX(المنيو!$C$2:$C$500,MATCH($C3436,المنيو!$B$2:$B$500,0)),0))</f>
        <v/>
      </c>
      <c r="F3436" s="103" t="str">
        <f aca="false">IF($C3436="","",$D3436*$E3436)</f>
        <v/>
      </c>
      <c r="G3436" s="103" t="str">
        <f aca="false">IF($C3436="","",$D3436*IFERROR(INDEX('تحليل التكلفة والسعر'!$C$2:$C$700,MATCH($C3436,'تحليل التكلفة والسعر'!$B$2:$B$700,0)),0))</f>
        <v/>
      </c>
    </row>
    <row r="3437" customFormat="false" ht="15" hidden="false" customHeight="false" outlineLevel="0" collapsed="false">
      <c r="A3437" s="102"/>
      <c r="E3437" s="103" t="str">
        <f aca="false">IF($C3437="","",IFERROR(INDEX(المنيو!$C$2:$C$500,MATCH($C3437,المنيو!$B$2:$B$500,0)),0))</f>
        <v/>
      </c>
      <c r="F3437" s="103" t="str">
        <f aca="false">IF($C3437="","",$D3437*$E3437)</f>
        <v/>
      </c>
      <c r="G3437" s="103" t="str">
        <f aca="false">IF($C3437="","",$D3437*IFERROR(INDEX('تحليل التكلفة والسعر'!$C$2:$C$700,MATCH($C3437,'تحليل التكلفة والسعر'!$B$2:$B$700,0)),0))</f>
        <v/>
      </c>
    </row>
    <row r="3438" customFormat="false" ht="15" hidden="false" customHeight="false" outlineLevel="0" collapsed="false">
      <c r="A3438" s="102"/>
      <c r="E3438" s="103" t="str">
        <f aca="false">IF($C3438="","",IFERROR(INDEX(المنيو!$C$2:$C$500,MATCH($C3438,المنيو!$B$2:$B$500,0)),0))</f>
        <v/>
      </c>
      <c r="F3438" s="103" t="str">
        <f aca="false">IF($C3438="","",$D3438*$E3438)</f>
        <v/>
      </c>
      <c r="G3438" s="103" t="str">
        <f aca="false">IF($C3438="","",$D3438*IFERROR(INDEX('تحليل التكلفة والسعر'!$C$2:$C$700,MATCH($C3438,'تحليل التكلفة والسعر'!$B$2:$B$700,0)),0))</f>
        <v/>
      </c>
    </row>
    <row r="3439" customFormat="false" ht="15" hidden="false" customHeight="false" outlineLevel="0" collapsed="false">
      <c r="A3439" s="102"/>
      <c r="E3439" s="103" t="str">
        <f aca="false">IF($C3439="","",IFERROR(INDEX(المنيو!$C$2:$C$500,MATCH($C3439,المنيو!$B$2:$B$500,0)),0))</f>
        <v/>
      </c>
      <c r="F3439" s="103" t="str">
        <f aca="false">IF($C3439="","",$D3439*$E3439)</f>
        <v/>
      </c>
      <c r="G3439" s="103" t="str">
        <f aca="false">IF($C3439="","",$D3439*IFERROR(INDEX('تحليل التكلفة والسعر'!$C$2:$C$700,MATCH($C3439,'تحليل التكلفة والسعر'!$B$2:$B$700,0)),0))</f>
        <v/>
      </c>
    </row>
    <row r="3440" customFormat="false" ht="15" hidden="false" customHeight="false" outlineLevel="0" collapsed="false">
      <c r="A3440" s="102"/>
      <c r="E3440" s="103" t="str">
        <f aca="false">IF($C3440="","",IFERROR(INDEX(المنيو!$C$2:$C$500,MATCH($C3440,المنيو!$B$2:$B$500,0)),0))</f>
        <v/>
      </c>
      <c r="F3440" s="103" t="str">
        <f aca="false">IF($C3440="","",$D3440*$E3440)</f>
        <v/>
      </c>
      <c r="G3440" s="103" t="str">
        <f aca="false">IF($C3440="","",$D3440*IFERROR(INDEX('تحليل التكلفة والسعر'!$C$2:$C$700,MATCH($C3440,'تحليل التكلفة والسعر'!$B$2:$B$700,0)),0))</f>
        <v/>
      </c>
    </row>
    <row r="3441" customFormat="false" ht="15" hidden="false" customHeight="false" outlineLevel="0" collapsed="false">
      <c r="A3441" s="102"/>
      <c r="E3441" s="103" t="str">
        <f aca="false">IF($C3441="","",IFERROR(INDEX(المنيو!$C$2:$C$500,MATCH($C3441,المنيو!$B$2:$B$500,0)),0))</f>
        <v/>
      </c>
      <c r="F3441" s="103" t="str">
        <f aca="false">IF($C3441="","",$D3441*$E3441)</f>
        <v/>
      </c>
      <c r="G3441" s="103" t="str">
        <f aca="false">IF($C3441="","",$D3441*IFERROR(INDEX('تحليل التكلفة والسعر'!$C$2:$C$700,MATCH($C3441,'تحليل التكلفة والسعر'!$B$2:$B$700,0)),0))</f>
        <v/>
      </c>
    </row>
    <row r="3442" customFormat="false" ht="15" hidden="false" customHeight="false" outlineLevel="0" collapsed="false">
      <c r="A3442" s="102"/>
      <c r="E3442" s="103" t="str">
        <f aca="false">IF($C3442="","",IFERROR(INDEX(المنيو!$C$2:$C$500,MATCH($C3442,المنيو!$B$2:$B$500,0)),0))</f>
        <v/>
      </c>
      <c r="F3442" s="103" t="str">
        <f aca="false">IF($C3442="","",$D3442*$E3442)</f>
        <v/>
      </c>
      <c r="G3442" s="103" t="str">
        <f aca="false">IF($C3442="","",$D3442*IFERROR(INDEX('تحليل التكلفة والسعر'!$C$2:$C$700,MATCH($C3442,'تحليل التكلفة والسعر'!$B$2:$B$700,0)),0))</f>
        <v/>
      </c>
    </row>
    <row r="3443" customFormat="false" ht="15" hidden="false" customHeight="false" outlineLevel="0" collapsed="false">
      <c r="A3443" s="102"/>
      <c r="E3443" s="103" t="str">
        <f aca="false">IF($C3443="","",IFERROR(INDEX(المنيو!$C$2:$C$500,MATCH($C3443,المنيو!$B$2:$B$500,0)),0))</f>
        <v/>
      </c>
      <c r="F3443" s="103" t="str">
        <f aca="false">IF($C3443="","",$D3443*$E3443)</f>
        <v/>
      </c>
      <c r="G3443" s="103" t="str">
        <f aca="false">IF($C3443="","",$D3443*IFERROR(INDEX('تحليل التكلفة والسعر'!$C$2:$C$700,MATCH($C3443,'تحليل التكلفة والسعر'!$B$2:$B$700,0)),0))</f>
        <v/>
      </c>
    </row>
    <row r="3444" customFormat="false" ht="15" hidden="false" customHeight="false" outlineLevel="0" collapsed="false">
      <c r="A3444" s="102"/>
      <c r="E3444" s="103" t="str">
        <f aca="false">IF($C3444="","",IFERROR(INDEX(المنيو!$C$2:$C$500,MATCH($C3444,المنيو!$B$2:$B$500,0)),0))</f>
        <v/>
      </c>
      <c r="F3444" s="103" t="str">
        <f aca="false">IF($C3444="","",$D3444*$E3444)</f>
        <v/>
      </c>
      <c r="G3444" s="103" t="str">
        <f aca="false">IF($C3444="","",$D3444*IFERROR(INDEX('تحليل التكلفة والسعر'!$C$2:$C$700,MATCH($C3444,'تحليل التكلفة والسعر'!$B$2:$B$700,0)),0))</f>
        <v/>
      </c>
    </row>
    <row r="3445" customFormat="false" ht="15" hidden="false" customHeight="false" outlineLevel="0" collapsed="false">
      <c r="A3445" s="102"/>
      <c r="E3445" s="103" t="str">
        <f aca="false">IF($C3445="","",IFERROR(INDEX(المنيو!$C$2:$C$500,MATCH($C3445,المنيو!$B$2:$B$500,0)),0))</f>
        <v/>
      </c>
      <c r="F3445" s="103" t="str">
        <f aca="false">IF($C3445="","",$D3445*$E3445)</f>
        <v/>
      </c>
      <c r="G3445" s="103" t="str">
        <f aca="false">IF($C3445="","",$D3445*IFERROR(INDEX('تحليل التكلفة والسعر'!$C$2:$C$700,MATCH($C3445,'تحليل التكلفة والسعر'!$B$2:$B$700,0)),0))</f>
        <v/>
      </c>
    </row>
    <row r="3446" customFormat="false" ht="15" hidden="false" customHeight="false" outlineLevel="0" collapsed="false">
      <c r="A3446" s="102"/>
      <c r="E3446" s="103" t="str">
        <f aca="false">IF($C3446="","",IFERROR(INDEX(المنيو!$C$2:$C$500,MATCH($C3446,المنيو!$B$2:$B$500,0)),0))</f>
        <v/>
      </c>
      <c r="F3446" s="103" t="str">
        <f aca="false">IF($C3446="","",$D3446*$E3446)</f>
        <v/>
      </c>
      <c r="G3446" s="103" t="str">
        <f aca="false">IF($C3446="","",$D3446*IFERROR(INDEX('تحليل التكلفة والسعر'!$C$2:$C$700,MATCH($C3446,'تحليل التكلفة والسعر'!$B$2:$B$700,0)),0))</f>
        <v/>
      </c>
    </row>
    <row r="3447" customFormat="false" ht="15" hidden="false" customHeight="false" outlineLevel="0" collapsed="false">
      <c r="A3447" s="102"/>
      <c r="E3447" s="103" t="str">
        <f aca="false">IF($C3447="","",IFERROR(INDEX(المنيو!$C$2:$C$500,MATCH($C3447,المنيو!$B$2:$B$500,0)),0))</f>
        <v/>
      </c>
      <c r="F3447" s="103" t="str">
        <f aca="false">IF($C3447="","",$D3447*$E3447)</f>
        <v/>
      </c>
      <c r="G3447" s="103" t="str">
        <f aca="false">IF($C3447="","",$D3447*IFERROR(INDEX('تحليل التكلفة والسعر'!$C$2:$C$700,MATCH($C3447,'تحليل التكلفة والسعر'!$B$2:$B$700,0)),0))</f>
        <v/>
      </c>
    </row>
    <row r="3448" customFormat="false" ht="15" hidden="false" customHeight="false" outlineLevel="0" collapsed="false">
      <c r="A3448" s="102"/>
      <c r="E3448" s="103" t="str">
        <f aca="false">IF($C3448="","",IFERROR(INDEX(المنيو!$C$2:$C$500,MATCH($C3448,المنيو!$B$2:$B$500,0)),0))</f>
        <v/>
      </c>
      <c r="F3448" s="103" t="str">
        <f aca="false">IF($C3448="","",$D3448*$E3448)</f>
        <v/>
      </c>
      <c r="G3448" s="103" t="str">
        <f aca="false">IF($C3448="","",$D3448*IFERROR(INDEX('تحليل التكلفة والسعر'!$C$2:$C$700,MATCH($C3448,'تحليل التكلفة والسعر'!$B$2:$B$700,0)),0))</f>
        <v/>
      </c>
    </row>
    <row r="3449" customFormat="false" ht="15" hidden="false" customHeight="false" outlineLevel="0" collapsed="false">
      <c r="A3449" s="102"/>
      <c r="E3449" s="103" t="str">
        <f aca="false">IF($C3449="","",IFERROR(INDEX(المنيو!$C$2:$C$500,MATCH($C3449,المنيو!$B$2:$B$500,0)),0))</f>
        <v/>
      </c>
      <c r="F3449" s="103" t="str">
        <f aca="false">IF($C3449="","",$D3449*$E3449)</f>
        <v/>
      </c>
      <c r="G3449" s="103" t="str">
        <f aca="false">IF($C3449="","",$D3449*IFERROR(INDEX('تحليل التكلفة والسعر'!$C$2:$C$700,MATCH($C3449,'تحليل التكلفة والسعر'!$B$2:$B$700,0)),0))</f>
        <v/>
      </c>
    </row>
    <row r="3450" customFormat="false" ht="15" hidden="false" customHeight="false" outlineLevel="0" collapsed="false">
      <c r="A3450" s="102"/>
      <c r="E3450" s="103" t="str">
        <f aca="false">IF($C3450="","",IFERROR(INDEX(المنيو!$C$2:$C$500,MATCH($C3450,المنيو!$B$2:$B$500,0)),0))</f>
        <v/>
      </c>
      <c r="F3450" s="103" t="str">
        <f aca="false">IF($C3450="","",$D3450*$E3450)</f>
        <v/>
      </c>
      <c r="G3450" s="103" t="str">
        <f aca="false">IF($C3450="","",$D3450*IFERROR(INDEX('تحليل التكلفة والسعر'!$C$2:$C$700,MATCH($C3450,'تحليل التكلفة والسعر'!$B$2:$B$700,0)),0))</f>
        <v/>
      </c>
    </row>
    <row r="3451" customFormat="false" ht="15" hidden="false" customHeight="false" outlineLevel="0" collapsed="false">
      <c r="A3451" s="102"/>
      <c r="E3451" s="103" t="str">
        <f aca="false">IF($C3451="","",IFERROR(INDEX(المنيو!$C$2:$C$500,MATCH($C3451,المنيو!$B$2:$B$500,0)),0))</f>
        <v/>
      </c>
      <c r="F3451" s="103" t="str">
        <f aca="false">IF($C3451="","",$D3451*$E3451)</f>
        <v/>
      </c>
      <c r="G3451" s="103" t="str">
        <f aca="false">IF($C3451="","",$D3451*IFERROR(INDEX('تحليل التكلفة والسعر'!$C$2:$C$700,MATCH($C3451,'تحليل التكلفة والسعر'!$B$2:$B$700,0)),0))</f>
        <v/>
      </c>
    </row>
    <row r="3452" customFormat="false" ht="15" hidden="false" customHeight="false" outlineLevel="0" collapsed="false">
      <c r="A3452" s="102"/>
      <c r="E3452" s="103" t="str">
        <f aca="false">IF($C3452="","",IFERROR(INDEX(المنيو!$C$2:$C$500,MATCH($C3452,المنيو!$B$2:$B$500,0)),0))</f>
        <v/>
      </c>
      <c r="F3452" s="103" t="str">
        <f aca="false">IF($C3452="","",$D3452*$E3452)</f>
        <v/>
      </c>
      <c r="G3452" s="103" t="str">
        <f aca="false">IF($C3452="","",$D3452*IFERROR(INDEX('تحليل التكلفة والسعر'!$C$2:$C$700,MATCH($C3452,'تحليل التكلفة والسعر'!$B$2:$B$700,0)),0))</f>
        <v/>
      </c>
    </row>
    <row r="3453" customFormat="false" ht="15" hidden="false" customHeight="false" outlineLevel="0" collapsed="false">
      <c r="A3453" s="102"/>
      <c r="E3453" s="103" t="str">
        <f aca="false">IF($C3453="","",IFERROR(INDEX(المنيو!$C$2:$C$500,MATCH($C3453,المنيو!$B$2:$B$500,0)),0))</f>
        <v/>
      </c>
      <c r="F3453" s="103" t="str">
        <f aca="false">IF($C3453="","",$D3453*$E3453)</f>
        <v/>
      </c>
      <c r="G3453" s="103" t="str">
        <f aca="false">IF($C3453="","",$D3453*IFERROR(INDEX('تحليل التكلفة والسعر'!$C$2:$C$700,MATCH($C3453,'تحليل التكلفة والسعر'!$B$2:$B$700,0)),0))</f>
        <v/>
      </c>
    </row>
    <row r="3454" customFormat="false" ht="15" hidden="false" customHeight="false" outlineLevel="0" collapsed="false">
      <c r="A3454" s="102"/>
      <c r="E3454" s="103" t="str">
        <f aca="false">IF($C3454="","",IFERROR(INDEX(المنيو!$C$2:$C$500,MATCH($C3454,المنيو!$B$2:$B$500,0)),0))</f>
        <v/>
      </c>
      <c r="F3454" s="103" t="str">
        <f aca="false">IF($C3454="","",$D3454*$E3454)</f>
        <v/>
      </c>
      <c r="G3454" s="103" t="str">
        <f aca="false">IF($C3454="","",$D3454*IFERROR(INDEX('تحليل التكلفة والسعر'!$C$2:$C$700,MATCH($C3454,'تحليل التكلفة والسعر'!$B$2:$B$700,0)),0))</f>
        <v/>
      </c>
    </row>
    <row r="3455" customFormat="false" ht="15" hidden="false" customHeight="false" outlineLevel="0" collapsed="false">
      <c r="A3455" s="102"/>
      <c r="E3455" s="103" t="str">
        <f aca="false">IF($C3455="","",IFERROR(INDEX(المنيو!$C$2:$C$500,MATCH($C3455,المنيو!$B$2:$B$500,0)),0))</f>
        <v/>
      </c>
      <c r="F3455" s="103" t="str">
        <f aca="false">IF($C3455="","",$D3455*$E3455)</f>
        <v/>
      </c>
      <c r="G3455" s="103" t="str">
        <f aca="false">IF($C3455="","",$D3455*IFERROR(INDEX('تحليل التكلفة والسعر'!$C$2:$C$700,MATCH($C3455,'تحليل التكلفة والسعر'!$B$2:$B$700,0)),0))</f>
        <v/>
      </c>
    </row>
    <row r="3456" customFormat="false" ht="15" hidden="false" customHeight="false" outlineLevel="0" collapsed="false">
      <c r="A3456" s="102"/>
      <c r="E3456" s="103" t="str">
        <f aca="false">IF($C3456="","",IFERROR(INDEX(المنيو!$C$2:$C$500,MATCH($C3456,المنيو!$B$2:$B$500,0)),0))</f>
        <v/>
      </c>
      <c r="F3456" s="103" t="str">
        <f aca="false">IF($C3456="","",$D3456*$E3456)</f>
        <v/>
      </c>
      <c r="G3456" s="103" t="str">
        <f aca="false">IF($C3456="","",$D3456*IFERROR(INDEX('تحليل التكلفة والسعر'!$C$2:$C$700,MATCH($C3456,'تحليل التكلفة والسعر'!$B$2:$B$700,0)),0))</f>
        <v/>
      </c>
    </row>
    <row r="3457" customFormat="false" ht="15" hidden="false" customHeight="false" outlineLevel="0" collapsed="false">
      <c r="A3457" s="102"/>
      <c r="E3457" s="103" t="str">
        <f aca="false">IF($C3457="","",IFERROR(INDEX(المنيو!$C$2:$C$500,MATCH($C3457,المنيو!$B$2:$B$500,0)),0))</f>
        <v/>
      </c>
      <c r="F3457" s="103" t="str">
        <f aca="false">IF($C3457="","",$D3457*$E3457)</f>
        <v/>
      </c>
      <c r="G3457" s="103" t="str">
        <f aca="false">IF($C3457="","",$D3457*IFERROR(INDEX('تحليل التكلفة والسعر'!$C$2:$C$700,MATCH($C3457,'تحليل التكلفة والسعر'!$B$2:$B$700,0)),0))</f>
        <v/>
      </c>
    </row>
    <row r="3458" customFormat="false" ht="15" hidden="false" customHeight="false" outlineLevel="0" collapsed="false">
      <c r="A3458" s="102"/>
      <c r="E3458" s="103" t="str">
        <f aca="false">IF($C3458="","",IFERROR(INDEX(المنيو!$C$2:$C$500,MATCH($C3458,المنيو!$B$2:$B$500,0)),0))</f>
        <v/>
      </c>
      <c r="F3458" s="103" t="str">
        <f aca="false">IF($C3458="","",$D3458*$E3458)</f>
        <v/>
      </c>
      <c r="G3458" s="103" t="str">
        <f aca="false">IF($C3458="","",$D3458*IFERROR(INDEX('تحليل التكلفة والسعر'!$C$2:$C$700,MATCH($C3458,'تحليل التكلفة والسعر'!$B$2:$B$700,0)),0))</f>
        <v/>
      </c>
    </row>
    <row r="3459" customFormat="false" ht="15" hidden="false" customHeight="false" outlineLevel="0" collapsed="false">
      <c r="A3459" s="102"/>
      <c r="E3459" s="103" t="str">
        <f aca="false">IF($C3459="","",IFERROR(INDEX(المنيو!$C$2:$C$500,MATCH($C3459,المنيو!$B$2:$B$500,0)),0))</f>
        <v/>
      </c>
      <c r="F3459" s="103" t="str">
        <f aca="false">IF($C3459="","",$D3459*$E3459)</f>
        <v/>
      </c>
      <c r="G3459" s="103" t="str">
        <f aca="false">IF($C3459="","",$D3459*IFERROR(INDEX('تحليل التكلفة والسعر'!$C$2:$C$700,MATCH($C3459,'تحليل التكلفة والسعر'!$B$2:$B$700,0)),0))</f>
        <v/>
      </c>
    </row>
    <row r="3460" customFormat="false" ht="15" hidden="false" customHeight="false" outlineLevel="0" collapsed="false">
      <c r="A3460" s="102"/>
      <c r="E3460" s="103" t="str">
        <f aca="false">IF($C3460="","",IFERROR(INDEX(المنيو!$C$2:$C$500,MATCH($C3460,المنيو!$B$2:$B$500,0)),0))</f>
        <v/>
      </c>
      <c r="F3460" s="103" t="str">
        <f aca="false">IF($C3460="","",$D3460*$E3460)</f>
        <v/>
      </c>
      <c r="G3460" s="103" t="str">
        <f aca="false">IF($C3460="","",$D3460*IFERROR(INDEX('تحليل التكلفة والسعر'!$C$2:$C$700,MATCH($C3460,'تحليل التكلفة والسعر'!$B$2:$B$700,0)),0))</f>
        <v/>
      </c>
    </row>
    <row r="3461" customFormat="false" ht="15" hidden="false" customHeight="false" outlineLevel="0" collapsed="false">
      <c r="A3461" s="102"/>
      <c r="E3461" s="103" t="str">
        <f aca="false">IF($C3461="","",IFERROR(INDEX(المنيو!$C$2:$C$500,MATCH($C3461,المنيو!$B$2:$B$500,0)),0))</f>
        <v/>
      </c>
      <c r="F3461" s="103" t="str">
        <f aca="false">IF($C3461="","",$D3461*$E3461)</f>
        <v/>
      </c>
      <c r="G3461" s="103" t="str">
        <f aca="false">IF($C3461="","",$D3461*IFERROR(INDEX('تحليل التكلفة والسعر'!$C$2:$C$700,MATCH($C3461,'تحليل التكلفة والسعر'!$B$2:$B$700,0)),0))</f>
        <v/>
      </c>
    </row>
    <row r="3462" customFormat="false" ht="15" hidden="false" customHeight="false" outlineLevel="0" collapsed="false">
      <c r="A3462" s="102"/>
      <c r="E3462" s="103" t="str">
        <f aca="false">IF($C3462="","",IFERROR(INDEX(المنيو!$C$2:$C$500,MATCH($C3462,المنيو!$B$2:$B$500,0)),0))</f>
        <v/>
      </c>
      <c r="F3462" s="103" t="str">
        <f aca="false">IF($C3462="","",$D3462*$E3462)</f>
        <v/>
      </c>
      <c r="G3462" s="103" t="str">
        <f aca="false">IF($C3462="","",$D3462*IFERROR(INDEX('تحليل التكلفة والسعر'!$C$2:$C$700,MATCH($C3462,'تحليل التكلفة والسعر'!$B$2:$B$700,0)),0))</f>
        <v/>
      </c>
    </row>
    <row r="3463" customFormat="false" ht="15" hidden="false" customHeight="false" outlineLevel="0" collapsed="false">
      <c r="A3463" s="102"/>
      <c r="E3463" s="103" t="str">
        <f aca="false">IF($C3463="","",IFERROR(INDEX(المنيو!$C$2:$C$500,MATCH($C3463,المنيو!$B$2:$B$500,0)),0))</f>
        <v/>
      </c>
      <c r="F3463" s="103" t="str">
        <f aca="false">IF($C3463="","",$D3463*$E3463)</f>
        <v/>
      </c>
      <c r="G3463" s="103" t="str">
        <f aca="false">IF($C3463="","",$D3463*IFERROR(INDEX('تحليل التكلفة والسعر'!$C$2:$C$700,MATCH($C3463,'تحليل التكلفة والسعر'!$B$2:$B$700,0)),0))</f>
        <v/>
      </c>
    </row>
    <row r="3464" customFormat="false" ht="15" hidden="false" customHeight="false" outlineLevel="0" collapsed="false">
      <c r="A3464" s="102"/>
      <c r="E3464" s="103" t="str">
        <f aca="false">IF($C3464="","",IFERROR(INDEX(المنيو!$C$2:$C$500,MATCH($C3464,المنيو!$B$2:$B$500,0)),0))</f>
        <v/>
      </c>
      <c r="F3464" s="103" t="str">
        <f aca="false">IF($C3464="","",$D3464*$E3464)</f>
        <v/>
      </c>
      <c r="G3464" s="103" t="str">
        <f aca="false">IF($C3464="","",$D3464*IFERROR(INDEX('تحليل التكلفة والسعر'!$C$2:$C$700,MATCH($C3464,'تحليل التكلفة والسعر'!$B$2:$B$700,0)),0))</f>
        <v/>
      </c>
    </row>
    <row r="3465" customFormat="false" ht="15" hidden="false" customHeight="false" outlineLevel="0" collapsed="false">
      <c r="A3465" s="102"/>
      <c r="E3465" s="103" t="str">
        <f aca="false">IF($C3465="","",IFERROR(INDEX(المنيو!$C$2:$C$500,MATCH($C3465,المنيو!$B$2:$B$500,0)),0))</f>
        <v/>
      </c>
      <c r="F3465" s="103" t="str">
        <f aca="false">IF($C3465="","",$D3465*$E3465)</f>
        <v/>
      </c>
      <c r="G3465" s="103" t="str">
        <f aca="false">IF($C3465="","",$D3465*IFERROR(INDEX('تحليل التكلفة والسعر'!$C$2:$C$700,MATCH($C3465,'تحليل التكلفة والسعر'!$B$2:$B$700,0)),0))</f>
        <v/>
      </c>
    </row>
    <row r="3466" customFormat="false" ht="15" hidden="false" customHeight="false" outlineLevel="0" collapsed="false">
      <c r="A3466" s="102"/>
      <c r="E3466" s="103" t="str">
        <f aca="false">IF($C3466="","",IFERROR(INDEX(المنيو!$C$2:$C$500,MATCH($C3466,المنيو!$B$2:$B$500,0)),0))</f>
        <v/>
      </c>
      <c r="F3466" s="103" t="str">
        <f aca="false">IF($C3466="","",$D3466*$E3466)</f>
        <v/>
      </c>
      <c r="G3466" s="103" t="str">
        <f aca="false">IF($C3466="","",$D3466*IFERROR(INDEX('تحليل التكلفة والسعر'!$C$2:$C$700,MATCH($C3466,'تحليل التكلفة والسعر'!$B$2:$B$700,0)),0))</f>
        <v/>
      </c>
    </row>
    <row r="3467" customFormat="false" ht="15" hidden="false" customHeight="false" outlineLevel="0" collapsed="false">
      <c r="A3467" s="102"/>
      <c r="E3467" s="103" t="str">
        <f aca="false">IF($C3467="","",IFERROR(INDEX(المنيو!$C$2:$C$500,MATCH($C3467,المنيو!$B$2:$B$500,0)),0))</f>
        <v/>
      </c>
      <c r="F3467" s="103" t="str">
        <f aca="false">IF($C3467="","",$D3467*$E3467)</f>
        <v/>
      </c>
      <c r="G3467" s="103" t="str">
        <f aca="false">IF($C3467="","",$D3467*IFERROR(INDEX('تحليل التكلفة والسعر'!$C$2:$C$700,MATCH($C3467,'تحليل التكلفة والسعر'!$B$2:$B$700,0)),0))</f>
        <v/>
      </c>
    </row>
    <row r="3468" customFormat="false" ht="15" hidden="false" customHeight="false" outlineLevel="0" collapsed="false">
      <c r="A3468" s="102"/>
      <c r="E3468" s="103" t="str">
        <f aca="false">IF($C3468="","",IFERROR(INDEX(المنيو!$C$2:$C$500,MATCH($C3468,المنيو!$B$2:$B$500,0)),0))</f>
        <v/>
      </c>
      <c r="F3468" s="103" t="str">
        <f aca="false">IF($C3468="","",$D3468*$E3468)</f>
        <v/>
      </c>
      <c r="G3468" s="103" t="str">
        <f aca="false">IF($C3468="","",$D3468*IFERROR(INDEX('تحليل التكلفة والسعر'!$C$2:$C$700,MATCH($C3468,'تحليل التكلفة والسعر'!$B$2:$B$700,0)),0))</f>
        <v/>
      </c>
    </row>
    <row r="3469" customFormat="false" ht="15" hidden="false" customHeight="false" outlineLevel="0" collapsed="false">
      <c r="A3469" s="102"/>
      <c r="E3469" s="103" t="str">
        <f aca="false">IF($C3469="","",IFERROR(INDEX(المنيو!$C$2:$C$500,MATCH($C3469,المنيو!$B$2:$B$500,0)),0))</f>
        <v/>
      </c>
      <c r="F3469" s="103" t="str">
        <f aca="false">IF($C3469="","",$D3469*$E3469)</f>
        <v/>
      </c>
      <c r="G3469" s="103" t="str">
        <f aca="false">IF($C3469="","",$D3469*IFERROR(INDEX('تحليل التكلفة والسعر'!$C$2:$C$700,MATCH($C3469,'تحليل التكلفة والسعر'!$B$2:$B$700,0)),0))</f>
        <v/>
      </c>
    </row>
    <row r="3470" customFormat="false" ht="15" hidden="false" customHeight="false" outlineLevel="0" collapsed="false">
      <c r="A3470" s="102"/>
      <c r="E3470" s="103" t="str">
        <f aca="false">IF($C3470="","",IFERROR(INDEX(المنيو!$C$2:$C$500,MATCH($C3470,المنيو!$B$2:$B$500,0)),0))</f>
        <v/>
      </c>
      <c r="F3470" s="103" t="str">
        <f aca="false">IF($C3470="","",$D3470*$E3470)</f>
        <v/>
      </c>
      <c r="G3470" s="103" t="str">
        <f aca="false">IF($C3470="","",$D3470*IFERROR(INDEX('تحليل التكلفة والسعر'!$C$2:$C$700,MATCH($C3470,'تحليل التكلفة والسعر'!$B$2:$B$700,0)),0))</f>
        <v/>
      </c>
    </row>
    <row r="3471" customFormat="false" ht="15" hidden="false" customHeight="false" outlineLevel="0" collapsed="false">
      <c r="A3471" s="102"/>
      <c r="E3471" s="103" t="str">
        <f aca="false">IF($C3471="","",IFERROR(INDEX(المنيو!$C$2:$C$500,MATCH($C3471,المنيو!$B$2:$B$500,0)),0))</f>
        <v/>
      </c>
      <c r="F3471" s="103" t="str">
        <f aca="false">IF($C3471="","",$D3471*$E3471)</f>
        <v/>
      </c>
      <c r="G3471" s="103" t="str">
        <f aca="false">IF($C3471="","",$D3471*IFERROR(INDEX('تحليل التكلفة والسعر'!$C$2:$C$700,MATCH($C3471,'تحليل التكلفة والسعر'!$B$2:$B$700,0)),0))</f>
        <v/>
      </c>
    </row>
    <row r="3472" customFormat="false" ht="15" hidden="false" customHeight="false" outlineLevel="0" collapsed="false">
      <c r="A3472" s="102"/>
      <c r="E3472" s="103" t="str">
        <f aca="false">IF($C3472="","",IFERROR(INDEX(المنيو!$C$2:$C$500,MATCH($C3472,المنيو!$B$2:$B$500,0)),0))</f>
        <v/>
      </c>
      <c r="F3472" s="103" t="str">
        <f aca="false">IF($C3472="","",$D3472*$E3472)</f>
        <v/>
      </c>
      <c r="G3472" s="103" t="str">
        <f aca="false">IF($C3472="","",$D3472*IFERROR(INDEX('تحليل التكلفة والسعر'!$C$2:$C$700,MATCH($C3472,'تحليل التكلفة والسعر'!$B$2:$B$700,0)),0))</f>
        <v/>
      </c>
    </row>
    <row r="3473" customFormat="false" ht="15" hidden="false" customHeight="false" outlineLevel="0" collapsed="false">
      <c r="A3473" s="102"/>
      <c r="E3473" s="103" t="str">
        <f aca="false">IF($C3473="","",IFERROR(INDEX(المنيو!$C$2:$C$500,MATCH($C3473,المنيو!$B$2:$B$500,0)),0))</f>
        <v/>
      </c>
      <c r="F3473" s="103" t="str">
        <f aca="false">IF($C3473="","",$D3473*$E3473)</f>
        <v/>
      </c>
      <c r="G3473" s="103" t="str">
        <f aca="false">IF($C3473="","",$D3473*IFERROR(INDEX('تحليل التكلفة والسعر'!$C$2:$C$700,MATCH($C3473,'تحليل التكلفة والسعر'!$B$2:$B$700,0)),0))</f>
        <v/>
      </c>
    </row>
    <row r="3474" customFormat="false" ht="15" hidden="false" customHeight="false" outlineLevel="0" collapsed="false">
      <c r="A3474" s="102"/>
      <c r="E3474" s="103" t="str">
        <f aca="false">IF($C3474="","",IFERROR(INDEX(المنيو!$C$2:$C$500,MATCH($C3474,المنيو!$B$2:$B$500,0)),0))</f>
        <v/>
      </c>
      <c r="F3474" s="103" t="str">
        <f aca="false">IF($C3474="","",$D3474*$E3474)</f>
        <v/>
      </c>
      <c r="G3474" s="103" t="str">
        <f aca="false">IF($C3474="","",$D3474*IFERROR(INDEX('تحليل التكلفة والسعر'!$C$2:$C$700,MATCH($C3474,'تحليل التكلفة والسعر'!$B$2:$B$700,0)),0))</f>
        <v/>
      </c>
    </row>
    <row r="3475" customFormat="false" ht="15" hidden="false" customHeight="false" outlineLevel="0" collapsed="false">
      <c r="A3475" s="102"/>
      <c r="E3475" s="103" t="str">
        <f aca="false">IF($C3475="","",IFERROR(INDEX(المنيو!$C$2:$C$500,MATCH($C3475,المنيو!$B$2:$B$500,0)),0))</f>
        <v/>
      </c>
      <c r="F3475" s="103" t="str">
        <f aca="false">IF($C3475="","",$D3475*$E3475)</f>
        <v/>
      </c>
      <c r="G3475" s="103" t="str">
        <f aca="false">IF($C3475="","",$D3475*IFERROR(INDEX('تحليل التكلفة والسعر'!$C$2:$C$700,MATCH($C3475,'تحليل التكلفة والسعر'!$B$2:$B$700,0)),0))</f>
        <v/>
      </c>
    </row>
    <row r="3476" customFormat="false" ht="15" hidden="false" customHeight="false" outlineLevel="0" collapsed="false">
      <c r="A3476" s="102"/>
      <c r="E3476" s="103" t="str">
        <f aca="false">IF($C3476="","",IFERROR(INDEX(المنيو!$C$2:$C$500,MATCH($C3476,المنيو!$B$2:$B$500,0)),0))</f>
        <v/>
      </c>
      <c r="F3476" s="103" t="str">
        <f aca="false">IF($C3476="","",$D3476*$E3476)</f>
        <v/>
      </c>
      <c r="G3476" s="103" t="str">
        <f aca="false">IF($C3476="","",$D3476*IFERROR(INDEX('تحليل التكلفة والسعر'!$C$2:$C$700,MATCH($C3476,'تحليل التكلفة والسعر'!$B$2:$B$700,0)),0))</f>
        <v/>
      </c>
    </row>
    <row r="3477" customFormat="false" ht="15" hidden="false" customHeight="false" outlineLevel="0" collapsed="false">
      <c r="A3477" s="102"/>
      <c r="E3477" s="103" t="str">
        <f aca="false">IF($C3477="","",IFERROR(INDEX(المنيو!$C$2:$C$500,MATCH($C3477,المنيو!$B$2:$B$500,0)),0))</f>
        <v/>
      </c>
      <c r="F3477" s="103" t="str">
        <f aca="false">IF($C3477="","",$D3477*$E3477)</f>
        <v/>
      </c>
      <c r="G3477" s="103" t="str">
        <f aca="false">IF($C3477="","",$D3477*IFERROR(INDEX('تحليل التكلفة والسعر'!$C$2:$C$700,MATCH($C3477,'تحليل التكلفة والسعر'!$B$2:$B$700,0)),0))</f>
        <v/>
      </c>
    </row>
    <row r="3478" customFormat="false" ht="15" hidden="false" customHeight="false" outlineLevel="0" collapsed="false">
      <c r="A3478" s="102"/>
      <c r="E3478" s="103" t="str">
        <f aca="false">IF($C3478="","",IFERROR(INDEX(المنيو!$C$2:$C$500,MATCH($C3478,المنيو!$B$2:$B$500,0)),0))</f>
        <v/>
      </c>
      <c r="F3478" s="103" t="str">
        <f aca="false">IF($C3478="","",$D3478*$E3478)</f>
        <v/>
      </c>
      <c r="G3478" s="103" t="str">
        <f aca="false">IF($C3478="","",$D3478*IFERROR(INDEX('تحليل التكلفة والسعر'!$C$2:$C$700,MATCH($C3478,'تحليل التكلفة والسعر'!$B$2:$B$700,0)),0))</f>
        <v/>
      </c>
    </row>
    <row r="3479" customFormat="false" ht="15" hidden="false" customHeight="false" outlineLevel="0" collapsed="false">
      <c r="A3479" s="102"/>
      <c r="E3479" s="103" t="str">
        <f aca="false">IF($C3479="","",IFERROR(INDEX(المنيو!$C$2:$C$500,MATCH($C3479,المنيو!$B$2:$B$500,0)),0))</f>
        <v/>
      </c>
      <c r="F3479" s="103" t="str">
        <f aca="false">IF($C3479="","",$D3479*$E3479)</f>
        <v/>
      </c>
      <c r="G3479" s="103" t="str">
        <f aca="false">IF($C3479="","",$D3479*IFERROR(INDEX('تحليل التكلفة والسعر'!$C$2:$C$700,MATCH($C3479,'تحليل التكلفة والسعر'!$B$2:$B$700,0)),0))</f>
        <v/>
      </c>
    </row>
    <row r="3480" customFormat="false" ht="15" hidden="false" customHeight="false" outlineLevel="0" collapsed="false">
      <c r="A3480" s="102"/>
      <c r="E3480" s="103" t="str">
        <f aca="false">IF($C3480="","",IFERROR(INDEX(المنيو!$C$2:$C$500,MATCH($C3480,المنيو!$B$2:$B$500,0)),0))</f>
        <v/>
      </c>
      <c r="F3480" s="103" t="str">
        <f aca="false">IF($C3480="","",$D3480*$E3480)</f>
        <v/>
      </c>
      <c r="G3480" s="103" t="str">
        <f aca="false">IF($C3480="","",$D3480*IFERROR(INDEX('تحليل التكلفة والسعر'!$C$2:$C$700,MATCH($C3480,'تحليل التكلفة والسعر'!$B$2:$B$700,0)),0))</f>
        <v/>
      </c>
    </row>
    <row r="3481" customFormat="false" ht="15" hidden="false" customHeight="false" outlineLevel="0" collapsed="false">
      <c r="A3481" s="102"/>
      <c r="E3481" s="103" t="str">
        <f aca="false">IF($C3481="","",IFERROR(INDEX(المنيو!$C$2:$C$500,MATCH($C3481,المنيو!$B$2:$B$500,0)),0))</f>
        <v/>
      </c>
      <c r="F3481" s="103" t="str">
        <f aca="false">IF($C3481="","",$D3481*$E3481)</f>
        <v/>
      </c>
      <c r="G3481" s="103" t="str">
        <f aca="false">IF($C3481="","",$D3481*IFERROR(INDEX('تحليل التكلفة والسعر'!$C$2:$C$700,MATCH($C3481,'تحليل التكلفة والسعر'!$B$2:$B$700,0)),0))</f>
        <v/>
      </c>
    </row>
    <row r="3482" customFormat="false" ht="15" hidden="false" customHeight="false" outlineLevel="0" collapsed="false">
      <c r="A3482" s="102"/>
      <c r="E3482" s="103" t="str">
        <f aca="false">IF($C3482="","",IFERROR(INDEX(المنيو!$C$2:$C$500,MATCH($C3482,المنيو!$B$2:$B$500,0)),0))</f>
        <v/>
      </c>
      <c r="F3482" s="103" t="str">
        <f aca="false">IF($C3482="","",$D3482*$E3482)</f>
        <v/>
      </c>
      <c r="G3482" s="103" t="str">
        <f aca="false">IF($C3482="","",$D3482*IFERROR(INDEX('تحليل التكلفة والسعر'!$C$2:$C$700,MATCH($C3482,'تحليل التكلفة والسعر'!$B$2:$B$700,0)),0))</f>
        <v/>
      </c>
    </row>
    <row r="3483" customFormat="false" ht="15" hidden="false" customHeight="false" outlineLevel="0" collapsed="false">
      <c r="A3483" s="102"/>
      <c r="E3483" s="103" t="str">
        <f aca="false">IF($C3483="","",IFERROR(INDEX(المنيو!$C$2:$C$500,MATCH($C3483,المنيو!$B$2:$B$500,0)),0))</f>
        <v/>
      </c>
      <c r="F3483" s="103" t="str">
        <f aca="false">IF($C3483="","",$D3483*$E3483)</f>
        <v/>
      </c>
      <c r="G3483" s="103" t="str">
        <f aca="false">IF($C3483="","",$D3483*IFERROR(INDEX('تحليل التكلفة والسعر'!$C$2:$C$700,MATCH($C3483,'تحليل التكلفة والسعر'!$B$2:$B$700,0)),0))</f>
        <v/>
      </c>
    </row>
    <row r="3484" customFormat="false" ht="15" hidden="false" customHeight="false" outlineLevel="0" collapsed="false">
      <c r="A3484" s="102"/>
      <c r="E3484" s="103" t="str">
        <f aca="false">IF($C3484="","",IFERROR(INDEX(المنيو!$C$2:$C$500,MATCH($C3484,المنيو!$B$2:$B$500,0)),0))</f>
        <v/>
      </c>
      <c r="F3484" s="103" t="str">
        <f aca="false">IF($C3484="","",$D3484*$E3484)</f>
        <v/>
      </c>
      <c r="G3484" s="103" t="str">
        <f aca="false">IF($C3484="","",$D3484*IFERROR(INDEX('تحليل التكلفة والسعر'!$C$2:$C$700,MATCH($C3484,'تحليل التكلفة والسعر'!$B$2:$B$700,0)),0))</f>
        <v/>
      </c>
    </row>
    <row r="3485" customFormat="false" ht="15" hidden="false" customHeight="false" outlineLevel="0" collapsed="false">
      <c r="A3485" s="102"/>
      <c r="E3485" s="103" t="str">
        <f aca="false">IF($C3485="","",IFERROR(INDEX(المنيو!$C$2:$C$500,MATCH($C3485,المنيو!$B$2:$B$500,0)),0))</f>
        <v/>
      </c>
      <c r="F3485" s="103" t="str">
        <f aca="false">IF($C3485="","",$D3485*$E3485)</f>
        <v/>
      </c>
      <c r="G3485" s="103" t="str">
        <f aca="false">IF($C3485="","",$D3485*IFERROR(INDEX('تحليل التكلفة والسعر'!$C$2:$C$700,MATCH($C3485,'تحليل التكلفة والسعر'!$B$2:$B$700,0)),0))</f>
        <v/>
      </c>
    </row>
    <row r="3486" customFormat="false" ht="15" hidden="false" customHeight="false" outlineLevel="0" collapsed="false">
      <c r="A3486" s="102"/>
      <c r="E3486" s="103" t="str">
        <f aca="false">IF($C3486="","",IFERROR(INDEX(المنيو!$C$2:$C$500,MATCH($C3486,المنيو!$B$2:$B$500,0)),0))</f>
        <v/>
      </c>
      <c r="F3486" s="103" t="str">
        <f aca="false">IF($C3486="","",$D3486*$E3486)</f>
        <v/>
      </c>
      <c r="G3486" s="103" t="str">
        <f aca="false">IF($C3486="","",$D3486*IFERROR(INDEX('تحليل التكلفة والسعر'!$C$2:$C$700,MATCH($C3486,'تحليل التكلفة والسعر'!$B$2:$B$700,0)),0))</f>
        <v/>
      </c>
    </row>
    <row r="3487" customFormat="false" ht="15" hidden="false" customHeight="false" outlineLevel="0" collapsed="false">
      <c r="A3487" s="102"/>
      <c r="E3487" s="103" t="str">
        <f aca="false">IF($C3487="","",IFERROR(INDEX(المنيو!$C$2:$C$500,MATCH($C3487,المنيو!$B$2:$B$500,0)),0))</f>
        <v/>
      </c>
      <c r="F3487" s="103" t="str">
        <f aca="false">IF($C3487="","",$D3487*$E3487)</f>
        <v/>
      </c>
      <c r="G3487" s="103" t="str">
        <f aca="false">IF($C3487="","",$D3487*IFERROR(INDEX('تحليل التكلفة والسعر'!$C$2:$C$700,MATCH($C3487,'تحليل التكلفة والسعر'!$B$2:$B$700,0)),0))</f>
        <v/>
      </c>
    </row>
    <row r="3488" customFormat="false" ht="15" hidden="false" customHeight="false" outlineLevel="0" collapsed="false">
      <c r="A3488" s="102"/>
      <c r="E3488" s="103" t="str">
        <f aca="false">IF($C3488="","",IFERROR(INDEX(المنيو!$C$2:$C$500,MATCH($C3488,المنيو!$B$2:$B$500,0)),0))</f>
        <v/>
      </c>
      <c r="F3488" s="103" t="str">
        <f aca="false">IF($C3488="","",$D3488*$E3488)</f>
        <v/>
      </c>
      <c r="G3488" s="103" t="str">
        <f aca="false">IF($C3488="","",$D3488*IFERROR(INDEX('تحليل التكلفة والسعر'!$C$2:$C$700,MATCH($C3488,'تحليل التكلفة والسعر'!$B$2:$B$700,0)),0))</f>
        <v/>
      </c>
    </row>
    <row r="3489" customFormat="false" ht="15" hidden="false" customHeight="false" outlineLevel="0" collapsed="false">
      <c r="A3489" s="102"/>
      <c r="E3489" s="103" t="str">
        <f aca="false">IF($C3489="","",IFERROR(INDEX(المنيو!$C$2:$C$500,MATCH($C3489,المنيو!$B$2:$B$500,0)),0))</f>
        <v/>
      </c>
      <c r="F3489" s="103" t="str">
        <f aca="false">IF($C3489="","",$D3489*$E3489)</f>
        <v/>
      </c>
      <c r="G3489" s="103" t="str">
        <f aca="false">IF($C3489="","",$D3489*IFERROR(INDEX('تحليل التكلفة والسعر'!$C$2:$C$700,MATCH($C3489,'تحليل التكلفة والسعر'!$B$2:$B$700,0)),0))</f>
        <v/>
      </c>
    </row>
    <row r="3490" customFormat="false" ht="15" hidden="false" customHeight="false" outlineLevel="0" collapsed="false">
      <c r="A3490" s="102"/>
      <c r="E3490" s="103" t="str">
        <f aca="false">IF($C3490="","",IFERROR(INDEX(المنيو!$C$2:$C$500,MATCH($C3490,المنيو!$B$2:$B$500,0)),0))</f>
        <v/>
      </c>
      <c r="F3490" s="103" t="str">
        <f aca="false">IF($C3490="","",$D3490*$E3490)</f>
        <v/>
      </c>
      <c r="G3490" s="103" t="str">
        <f aca="false">IF($C3490="","",$D3490*IFERROR(INDEX('تحليل التكلفة والسعر'!$C$2:$C$700,MATCH($C3490,'تحليل التكلفة والسعر'!$B$2:$B$700,0)),0))</f>
        <v/>
      </c>
    </row>
    <row r="3491" customFormat="false" ht="15" hidden="false" customHeight="false" outlineLevel="0" collapsed="false">
      <c r="A3491" s="102"/>
      <c r="E3491" s="103" t="str">
        <f aca="false">IF($C3491="","",IFERROR(INDEX(المنيو!$C$2:$C$500,MATCH($C3491,المنيو!$B$2:$B$500,0)),0))</f>
        <v/>
      </c>
      <c r="F3491" s="103" t="str">
        <f aca="false">IF($C3491="","",$D3491*$E3491)</f>
        <v/>
      </c>
      <c r="G3491" s="103" t="str">
        <f aca="false">IF($C3491="","",$D3491*IFERROR(INDEX('تحليل التكلفة والسعر'!$C$2:$C$700,MATCH($C3491,'تحليل التكلفة والسعر'!$B$2:$B$700,0)),0))</f>
        <v/>
      </c>
    </row>
    <row r="3492" customFormat="false" ht="15" hidden="false" customHeight="false" outlineLevel="0" collapsed="false">
      <c r="A3492" s="102"/>
      <c r="E3492" s="103" t="str">
        <f aca="false">IF($C3492="","",IFERROR(INDEX(المنيو!$C$2:$C$500,MATCH($C3492,المنيو!$B$2:$B$500,0)),0))</f>
        <v/>
      </c>
      <c r="F3492" s="103" t="str">
        <f aca="false">IF($C3492="","",$D3492*$E3492)</f>
        <v/>
      </c>
      <c r="G3492" s="103" t="str">
        <f aca="false">IF($C3492="","",$D3492*IFERROR(INDEX('تحليل التكلفة والسعر'!$C$2:$C$700,MATCH($C3492,'تحليل التكلفة والسعر'!$B$2:$B$700,0)),0))</f>
        <v/>
      </c>
    </row>
    <row r="3493" customFormat="false" ht="15" hidden="false" customHeight="false" outlineLevel="0" collapsed="false">
      <c r="A3493" s="102"/>
      <c r="E3493" s="103" t="str">
        <f aca="false">IF($C3493="","",IFERROR(INDEX(المنيو!$C$2:$C$500,MATCH($C3493,المنيو!$B$2:$B$500,0)),0))</f>
        <v/>
      </c>
      <c r="F3493" s="103" t="str">
        <f aca="false">IF($C3493="","",$D3493*$E3493)</f>
        <v/>
      </c>
      <c r="G3493" s="103" t="str">
        <f aca="false">IF($C3493="","",$D3493*IFERROR(INDEX('تحليل التكلفة والسعر'!$C$2:$C$700,MATCH($C3493,'تحليل التكلفة والسعر'!$B$2:$B$700,0)),0))</f>
        <v/>
      </c>
    </row>
    <row r="3494" customFormat="false" ht="15" hidden="false" customHeight="false" outlineLevel="0" collapsed="false">
      <c r="A3494" s="102"/>
      <c r="E3494" s="103" t="str">
        <f aca="false">IF($C3494="","",IFERROR(INDEX(المنيو!$C$2:$C$500,MATCH($C3494,المنيو!$B$2:$B$500,0)),0))</f>
        <v/>
      </c>
      <c r="F3494" s="103" t="str">
        <f aca="false">IF($C3494="","",$D3494*$E3494)</f>
        <v/>
      </c>
      <c r="G3494" s="103" t="str">
        <f aca="false">IF($C3494="","",$D3494*IFERROR(INDEX('تحليل التكلفة والسعر'!$C$2:$C$700,MATCH($C3494,'تحليل التكلفة والسعر'!$B$2:$B$700,0)),0))</f>
        <v/>
      </c>
    </row>
    <row r="3495" customFormat="false" ht="15" hidden="false" customHeight="false" outlineLevel="0" collapsed="false">
      <c r="A3495" s="102"/>
      <c r="E3495" s="103" t="str">
        <f aca="false">IF($C3495="","",IFERROR(INDEX(المنيو!$C$2:$C$500,MATCH($C3495,المنيو!$B$2:$B$500,0)),0))</f>
        <v/>
      </c>
      <c r="F3495" s="103" t="str">
        <f aca="false">IF($C3495="","",$D3495*$E3495)</f>
        <v/>
      </c>
      <c r="G3495" s="103" t="str">
        <f aca="false">IF($C3495="","",$D3495*IFERROR(INDEX('تحليل التكلفة والسعر'!$C$2:$C$700,MATCH($C3495,'تحليل التكلفة والسعر'!$B$2:$B$700,0)),0))</f>
        <v/>
      </c>
    </row>
    <row r="3496" customFormat="false" ht="15" hidden="false" customHeight="false" outlineLevel="0" collapsed="false">
      <c r="A3496" s="102"/>
      <c r="E3496" s="103" t="str">
        <f aca="false">IF($C3496="","",IFERROR(INDEX(المنيو!$C$2:$C$500,MATCH($C3496,المنيو!$B$2:$B$500,0)),0))</f>
        <v/>
      </c>
      <c r="F3496" s="103" t="str">
        <f aca="false">IF($C3496="","",$D3496*$E3496)</f>
        <v/>
      </c>
      <c r="G3496" s="103" t="str">
        <f aca="false">IF($C3496="","",$D3496*IFERROR(INDEX('تحليل التكلفة والسعر'!$C$2:$C$700,MATCH($C3496,'تحليل التكلفة والسعر'!$B$2:$B$700,0)),0))</f>
        <v/>
      </c>
    </row>
    <row r="3497" customFormat="false" ht="15" hidden="false" customHeight="false" outlineLevel="0" collapsed="false">
      <c r="A3497" s="102"/>
      <c r="E3497" s="103" t="str">
        <f aca="false">IF($C3497="","",IFERROR(INDEX(المنيو!$C$2:$C$500,MATCH($C3497,المنيو!$B$2:$B$500,0)),0))</f>
        <v/>
      </c>
      <c r="F3497" s="103" t="str">
        <f aca="false">IF($C3497="","",$D3497*$E3497)</f>
        <v/>
      </c>
      <c r="G3497" s="103" t="str">
        <f aca="false">IF($C3497="","",$D3497*IFERROR(INDEX('تحليل التكلفة والسعر'!$C$2:$C$700,MATCH($C3497,'تحليل التكلفة والسعر'!$B$2:$B$700,0)),0))</f>
        <v/>
      </c>
    </row>
    <row r="3498" customFormat="false" ht="15" hidden="false" customHeight="false" outlineLevel="0" collapsed="false">
      <c r="A3498" s="102"/>
      <c r="E3498" s="103" t="str">
        <f aca="false">IF($C3498="","",IFERROR(INDEX(المنيو!$C$2:$C$500,MATCH($C3498,المنيو!$B$2:$B$500,0)),0))</f>
        <v/>
      </c>
      <c r="F3498" s="103" t="str">
        <f aca="false">IF($C3498="","",$D3498*$E3498)</f>
        <v/>
      </c>
      <c r="G3498" s="103" t="str">
        <f aca="false">IF($C3498="","",$D3498*IFERROR(INDEX('تحليل التكلفة والسعر'!$C$2:$C$700,MATCH($C3498,'تحليل التكلفة والسعر'!$B$2:$B$700,0)),0))</f>
        <v/>
      </c>
    </row>
    <row r="3499" customFormat="false" ht="15" hidden="false" customHeight="false" outlineLevel="0" collapsed="false">
      <c r="A3499" s="102"/>
      <c r="E3499" s="103" t="str">
        <f aca="false">IF($C3499="","",IFERROR(INDEX(المنيو!$C$2:$C$500,MATCH($C3499,المنيو!$B$2:$B$500,0)),0))</f>
        <v/>
      </c>
      <c r="F3499" s="103" t="str">
        <f aca="false">IF($C3499="","",$D3499*$E3499)</f>
        <v/>
      </c>
      <c r="G3499" s="103" t="str">
        <f aca="false">IF($C3499="","",$D3499*IFERROR(INDEX('تحليل التكلفة والسعر'!$C$2:$C$700,MATCH($C3499,'تحليل التكلفة والسعر'!$B$2:$B$700,0)),0))</f>
        <v/>
      </c>
    </row>
    <row r="3500" customFormat="false" ht="15" hidden="false" customHeight="false" outlineLevel="0" collapsed="false">
      <c r="A3500" s="102"/>
      <c r="E3500" s="103" t="str">
        <f aca="false">IF($C3500="","",IFERROR(INDEX(المنيو!$C$2:$C$500,MATCH($C3500,المنيو!$B$2:$B$500,0)),0))</f>
        <v/>
      </c>
      <c r="F3500" s="103" t="str">
        <f aca="false">IF($C3500="","",$D3500*$E3500)</f>
        <v/>
      </c>
      <c r="G3500" s="103" t="str">
        <f aca="false">IF($C3500="","",$D3500*IFERROR(INDEX('تحليل التكلفة والسعر'!$C$2:$C$700,MATCH($C3500,'تحليل التكلفة والسعر'!$B$2:$B$700,0)),0))</f>
        <v/>
      </c>
    </row>
    <row r="3501" customFormat="false" ht="15" hidden="false" customHeight="false" outlineLevel="0" collapsed="false">
      <c r="A3501" s="102"/>
      <c r="E3501" s="103" t="str">
        <f aca="false">IF($C3501="","",IFERROR(INDEX(المنيو!$C$2:$C$500,MATCH($C3501,المنيو!$B$2:$B$500,0)),0))</f>
        <v/>
      </c>
      <c r="F3501" s="103" t="str">
        <f aca="false">IF($C3501="","",$D3501*$E3501)</f>
        <v/>
      </c>
      <c r="G3501" s="103" t="str">
        <f aca="false">IF($C3501="","",$D3501*IFERROR(INDEX('تحليل التكلفة والسعر'!$C$2:$C$700,MATCH($C3501,'تحليل التكلفة والسعر'!$B$2:$B$700,0)),0))</f>
        <v/>
      </c>
    </row>
    <row r="3502" customFormat="false" ht="15" hidden="false" customHeight="false" outlineLevel="0" collapsed="false">
      <c r="A3502" s="102"/>
      <c r="E3502" s="103" t="str">
        <f aca="false">IF($C3502="","",IFERROR(INDEX(المنيو!$C$2:$C$500,MATCH($C3502,المنيو!$B$2:$B$500,0)),0))</f>
        <v/>
      </c>
      <c r="F3502" s="103" t="str">
        <f aca="false">IF($C3502="","",$D3502*$E3502)</f>
        <v/>
      </c>
      <c r="G3502" s="103" t="str">
        <f aca="false">IF($C3502="","",$D3502*IFERROR(INDEX('تحليل التكلفة والسعر'!$C$2:$C$700,MATCH($C3502,'تحليل التكلفة والسعر'!$B$2:$B$700,0)),0))</f>
        <v/>
      </c>
    </row>
    <row r="3503" customFormat="false" ht="15" hidden="false" customHeight="false" outlineLevel="0" collapsed="false">
      <c r="A3503" s="102"/>
      <c r="E3503" s="103" t="str">
        <f aca="false">IF($C3503="","",IFERROR(INDEX(المنيو!$C$2:$C$500,MATCH($C3503,المنيو!$B$2:$B$500,0)),0))</f>
        <v/>
      </c>
      <c r="F3503" s="103" t="str">
        <f aca="false">IF($C3503="","",$D3503*$E3503)</f>
        <v/>
      </c>
      <c r="G3503" s="103" t="str">
        <f aca="false">IF($C3503="","",$D3503*IFERROR(INDEX('تحليل التكلفة والسعر'!$C$2:$C$700,MATCH($C3503,'تحليل التكلفة والسعر'!$B$2:$B$700,0)),0))</f>
        <v/>
      </c>
    </row>
    <row r="3504" customFormat="false" ht="15" hidden="false" customHeight="false" outlineLevel="0" collapsed="false">
      <c r="A3504" s="102"/>
      <c r="E3504" s="103" t="str">
        <f aca="false">IF($C3504="","",IFERROR(INDEX(المنيو!$C$2:$C$500,MATCH($C3504,المنيو!$B$2:$B$500,0)),0))</f>
        <v/>
      </c>
      <c r="F3504" s="103" t="str">
        <f aca="false">IF($C3504="","",$D3504*$E3504)</f>
        <v/>
      </c>
      <c r="G3504" s="103" t="str">
        <f aca="false">IF($C3504="","",$D3504*IFERROR(INDEX('تحليل التكلفة والسعر'!$C$2:$C$700,MATCH($C3504,'تحليل التكلفة والسعر'!$B$2:$B$700,0)),0))</f>
        <v/>
      </c>
    </row>
    <row r="3505" customFormat="false" ht="15" hidden="false" customHeight="false" outlineLevel="0" collapsed="false">
      <c r="A3505" s="102"/>
      <c r="E3505" s="103" t="str">
        <f aca="false">IF($C3505="","",IFERROR(INDEX(المنيو!$C$2:$C$500,MATCH($C3505,المنيو!$B$2:$B$500,0)),0))</f>
        <v/>
      </c>
      <c r="F3505" s="103" t="str">
        <f aca="false">IF($C3505="","",$D3505*$E3505)</f>
        <v/>
      </c>
      <c r="G3505" s="103" t="str">
        <f aca="false">IF($C3505="","",$D3505*IFERROR(INDEX('تحليل التكلفة والسعر'!$C$2:$C$700,MATCH($C3505,'تحليل التكلفة والسعر'!$B$2:$B$700,0)),0))</f>
        <v/>
      </c>
    </row>
    <row r="3506" customFormat="false" ht="15" hidden="false" customHeight="false" outlineLevel="0" collapsed="false">
      <c r="A3506" s="102"/>
      <c r="E3506" s="103" t="str">
        <f aca="false">IF($C3506="","",IFERROR(INDEX(المنيو!$C$2:$C$500,MATCH($C3506,المنيو!$B$2:$B$500,0)),0))</f>
        <v/>
      </c>
      <c r="F3506" s="103" t="str">
        <f aca="false">IF($C3506="","",$D3506*$E3506)</f>
        <v/>
      </c>
      <c r="G3506" s="103" t="str">
        <f aca="false">IF($C3506="","",$D3506*IFERROR(INDEX('تحليل التكلفة والسعر'!$C$2:$C$700,MATCH($C3506,'تحليل التكلفة والسعر'!$B$2:$B$700,0)),0))</f>
        <v/>
      </c>
    </row>
    <row r="3507" customFormat="false" ht="15" hidden="false" customHeight="false" outlineLevel="0" collapsed="false">
      <c r="A3507" s="102"/>
      <c r="E3507" s="103" t="str">
        <f aca="false">IF($C3507="","",IFERROR(INDEX(المنيو!$C$2:$C$500,MATCH($C3507,المنيو!$B$2:$B$500,0)),0))</f>
        <v/>
      </c>
      <c r="F3507" s="103" t="str">
        <f aca="false">IF($C3507="","",$D3507*$E3507)</f>
        <v/>
      </c>
      <c r="G3507" s="103" t="str">
        <f aca="false">IF($C3507="","",$D3507*IFERROR(INDEX('تحليل التكلفة والسعر'!$C$2:$C$700,MATCH($C3507,'تحليل التكلفة والسعر'!$B$2:$B$700,0)),0))</f>
        <v/>
      </c>
    </row>
    <row r="3508" customFormat="false" ht="15" hidden="false" customHeight="false" outlineLevel="0" collapsed="false">
      <c r="A3508" s="102"/>
      <c r="E3508" s="103" t="str">
        <f aca="false">IF($C3508="","",IFERROR(INDEX(المنيو!$C$2:$C$500,MATCH($C3508,المنيو!$B$2:$B$500,0)),0))</f>
        <v/>
      </c>
      <c r="F3508" s="103" t="str">
        <f aca="false">IF($C3508="","",$D3508*$E3508)</f>
        <v/>
      </c>
      <c r="G3508" s="103" t="str">
        <f aca="false">IF($C3508="","",$D3508*IFERROR(INDEX('تحليل التكلفة والسعر'!$C$2:$C$700,MATCH($C3508,'تحليل التكلفة والسعر'!$B$2:$B$700,0)),0))</f>
        <v/>
      </c>
    </row>
    <row r="3509" customFormat="false" ht="15" hidden="false" customHeight="false" outlineLevel="0" collapsed="false">
      <c r="A3509" s="102"/>
      <c r="E3509" s="103" t="str">
        <f aca="false">IF($C3509="","",IFERROR(INDEX(المنيو!$C$2:$C$500,MATCH($C3509,المنيو!$B$2:$B$500,0)),0))</f>
        <v/>
      </c>
      <c r="F3509" s="103" t="str">
        <f aca="false">IF($C3509="","",$D3509*$E3509)</f>
        <v/>
      </c>
      <c r="G3509" s="103" t="str">
        <f aca="false">IF($C3509="","",$D3509*IFERROR(INDEX('تحليل التكلفة والسعر'!$C$2:$C$700,MATCH($C3509,'تحليل التكلفة والسعر'!$B$2:$B$700,0)),0))</f>
        <v/>
      </c>
    </row>
    <row r="3510" customFormat="false" ht="15" hidden="false" customHeight="false" outlineLevel="0" collapsed="false">
      <c r="A3510" s="102"/>
      <c r="E3510" s="103" t="str">
        <f aca="false">IF($C3510="","",IFERROR(INDEX(المنيو!$C$2:$C$500,MATCH($C3510,المنيو!$B$2:$B$500,0)),0))</f>
        <v/>
      </c>
      <c r="F3510" s="103" t="str">
        <f aca="false">IF($C3510="","",$D3510*$E3510)</f>
        <v/>
      </c>
      <c r="G3510" s="103" t="str">
        <f aca="false">IF($C3510="","",$D3510*IFERROR(INDEX('تحليل التكلفة والسعر'!$C$2:$C$700,MATCH($C3510,'تحليل التكلفة والسعر'!$B$2:$B$700,0)),0))</f>
        <v/>
      </c>
    </row>
    <row r="3511" customFormat="false" ht="15" hidden="false" customHeight="false" outlineLevel="0" collapsed="false">
      <c r="A3511" s="102"/>
      <c r="E3511" s="103" t="str">
        <f aca="false">IF($C3511="","",IFERROR(INDEX(المنيو!$C$2:$C$500,MATCH($C3511,المنيو!$B$2:$B$500,0)),0))</f>
        <v/>
      </c>
      <c r="F3511" s="103" t="str">
        <f aca="false">IF($C3511="","",$D3511*$E3511)</f>
        <v/>
      </c>
      <c r="G3511" s="103" t="str">
        <f aca="false">IF($C3511="","",$D3511*IFERROR(INDEX('تحليل التكلفة والسعر'!$C$2:$C$700,MATCH($C3511,'تحليل التكلفة والسعر'!$B$2:$B$700,0)),0))</f>
        <v/>
      </c>
    </row>
    <row r="3512" customFormat="false" ht="15" hidden="false" customHeight="false" outlineLevel="0" collapsed="false">
      <c r="A3512" s="102"/>
      <c r="E3512" s="103" t="str">
        <f aca="false">IF($C3512="","",IFERROR(INDEX(المنيو!$C$2:$C$500,MATCH($C3512,المنيو!$B$2:$B$500,0)),0))</f>
        <v/>
      </c>
      <c r="F3512" s="103" t="str">
        <f aca="false">IF($C3512="","",$D3512*$E3512)</f>
        <v/>
      </c>
      <c r="G3512" s="103" t="str">
        <f aca="false">IF($C3512="","",$D3512*IFERROR(INDEX('تحليل التكلفة والسعر'!$C$2:$C$700,MATCH($C3512,'تحليل التكلفة والسعر'!$B$2:$B$700,0)),0))</f>
        <v/>
      </c>
    </row>
    <row r="3513" customFormat="false" ht="15" hidden="false" customHeight="false" outlineLevel="0" collapsed="false">
      <c r="A3513" s="102"/>
      <c r="E3513" s="103" t="str">
        <f aca="false">IF($C3513="","",IFERROR(INDEX(المنيو!$C$2:$C$500,MATCH($C3513,المنيو!$B$2:$B$500,0)),0))</f>
        <v/>
      </c>
      <c r="F3513" s="103" t="str">
        <f aca="false">IF($C3513="","",$D3513*$E3513)</f>
        <v/>
      </c>
      <c r="G3513" s="103" t="str">
        <f aca="false">IF($C3513="","",$D3513*IFERROR(INDEX('تحليل التكلفة والسعر'!$C$2:$C$700,MATCH($C3513,'تحليل التكلفة والسعر'!$B$2:$B$700,0)),0))</f>
        <v/>
      </c>
    </row>
    <row r="3514" customFormat="false" ht="15" hidden="false" customHeight="false" outlineLevel="0" collapsed="false">
      <c r="A3514" s="102"/>
      <c r="E3514" s="103" t="str">
        <f aca="false">IF($C3514="","",IFERROR(INDEX(المنيو!$C$2:$C$500,MATCH($C3514,المنيو!$B$2:$B$500,0)),0))</f>
        <v/>
      </c>
      <c r="F3514" s="103" t="str">
        <f aca="false">IF($C3514="","",$D3514*$E3514)</f>
        <v/>
      </c>
      <c r="G3514" s="103" t="str">
        <f aca="false">IF($C3514="","",$D3514*IFERROR(INDEX('تحليل التكلفة والسعر'!$C$2:$C$700,MATCH($C3514,'تحليل التكلفة والسعر'!$B$2:$B$700,0)),0))</f>
        <v/>
      </c>
    </row>
    <row r="3515" customFormat="false" ht="15" hidden="false" customHeight="false" outlineLevel="0" collapsed="false">
      <c r="A3515" s="102"/>
      <c r="E3515" s="103" t="str">
        <f aca="false">IF($C3515="","",IFERROR(INDEX(المنيو!$C$2:$C$500,MATCH($C3515,المنيو!$B$2:$B$500,0)),0))</f>
        <v/>
      </c>
      <c r="F3515" s="103" t="str">
        <f aca="false">IF($C3515="","",$D3515*$E3515)</f>
        <v/>
      </c>
      <c r="G3515" s="103" t="str">
        <f aca="false">IF($C3515="","",$D3515*IFERROR(INDEX('تحليل التكلفة والسعر'!$C$2:$C$700,MATCH($C3515,'تحليل التكلفة والسعر'!$B$2:$B$700,0)),0))</f>
        <v/>
      </c>
    </row>
    <row r="3516" customFormat="false" ht="15" hidden="false" customHeight="false" outlineLevel="0" collapsed="false">
      <c r="A3516" s="102"/>
      <c r="E3516" s="103" t="str">
        <f aca="false">IF($C3516="","",IFERROR(INDEX(المنيو!$C$2:$C$500,MATCH($C3516,المنيو!$B$2:$B$500,0)),0))</f>
        <v/>
      </c>
      <c r="F3516" s="103" t="str">
        <f aca="false">IF($C3516="","",$D3516*$E3516)</f>
        <v/>
      </c>
      <c r="G3516" s="103" t="str">
        <f aca="false">IF($C3516="","",$D3516*IFERROR(INDEX('تحليل التكلفة والسعر'!$C$2:$C$700,MATCH($C3516,'تحليل التكلفة والسعر'!$B$2:$B$700,0)),0))</f>
        <v/>
      </c>
    </row>
    <row r="3517" customFormat="false" ht="15" hidden="false" customHeight="false" outlineLevel="0" collapsed="false">
      <c r="A3517" s="102"/>
      <c r="E3517" s="103" t="str">
        <f aca="false">IF($C3517="","",IFERROR(INDEX(المنيو!$C$2:$C$500,MATCH($C3517,المنيو!$B$2:$B$500,0)),0))</f>
        <v/>
      </c>
      <c r="F3517" s="103" t="str">
        <f aca="false">IF($C3517="","",$D3517*$E3517)</f>
        <v/>
      </c>
      <c r="G3517" s="103" t="str">
        <f aca="false">IF($C3517="","",$D3517*IFERROR(INDEX('تحليل التكلفة والسعر'!$C$2:$C$700,MATCH($C3517,'تحليل التكلفة والسعر'!$B$2:$B$700,0)),0))</f>
        <v/>
      </c>
    </row>
    <row r="3518" customFormat="false" ht="15" hidden="false" customHeight="false" outlineLevel="0" collapsed="false">
      <c r="A3518" s="102"/>
      <c r="E3518" s="103" t="str">
        <f aca="false">IF($C3518="","",IFERROR(INDEX(المنيو!$C$2:$C$500,MATCH($C3518,المنيو!$B$2:$B$500,0)),0))</f>
        <v/>
      </c>
      <c r="F3518" s="103" t="str">
        <f aca="false">IF($C3518="","",$D3518*$E3518)</f>
        <v/>
      </c>
      <c r="G3518" s="103" t="str">
        <f aca="false">IF($C3518="","",$D3518*IFERROR(INDEX('تحليل التكلفة والسعر'!$C$2:$C$700,MATCH($C3518,'تحليل التكلفة والسعر'!$B$2:$B$700,0)),0))</f>
        <v/>
      </c>
    </row>
    <row r="3519" customFormat="false" ht="15" hidden="false" customHeight="false" outlineLevel="0" collapsed="false">
      <c r="A3519" s="102"/>
      <c r="E3519" s="103" t="str">
        <f aca="false">IF($C3519="","",IFERROR(INDEX(المنيو!$C$2:$C$500,MATCH($C3519,المنيو!$B$2:$B$500,0)),0))</f>
        <v/>
      </c>
      <c r="F3519" s="103" t="str">
        <f aca="false">IF($C3519="","",$D3519*$E3519)</f>
        <v/>
      </c>
      <c r="G3519" s="103" t="str">
        <f aca="false">IF($C3519="","",$D3519*IFERROR(INDEX('تحليل التكلفة والسعر'!$C$2:$C$700,MATCH($C3519,'تحليل التكلفة والسعر'!$B$2:$B$700,0)),0))</f>
        <v/>
      </c>
    </row>
    <row r="3520" customFormat="false" ht="15" hidden="false" customHeight="false" outlineLevel="0" collapsed="false">
      <c r="A3520" s="102"/>
      <c r="E3520" s="103" t="str">
        <f aca="false">IF($C3520="","",IFERROR(INDEX(المنيو!$C$2:$C$500,MATCH($C3520,المنيو!$B$2:$B$500,0)),0))</f>
        <v/>
      </c>
      <c r="F3520" s="103" t="str">
        <f aca="false">IF($C3520="","",$D3520*$E3520)</f>
        <v/>
      </c>
      <c r="G3520" s="103" t="str">
        <f aca="false">IF($C3520="","",$D3520*IFERROR(INDEX('تحليل التكلفة والسعر'!$C$2:$C$700,MATCH($C3520,'تحليل التكلفة والسعر'!$B$2:$B$700,0)),0))</f>
        <v/>
      </c>
    </row>
    <row r="3521" customFormat="false" ht="15" hidden="false" customHeight="false" outlineLevel="0" collapsed="false">
      <c r="A3521" s="102"/>
      <c r="E3521" s="103" t="str">
        <f aca="false">IF($C3521="","",IFERROR(INDEX(المنيو!$C$2:$C$500,MATCH($C3521,المنيو!$B$2:$B$500,0)),0))</f>
        <v/>
      </c>
      <c r="F3521" s="103" t="str">
        <f aca="false">IF($C3521="","",$D3521*$E3521)</f>
        <v/>
      </c>
      <c r="G3521" s="103" t="str">
        <f aca="false">IF($C3521="","",$D3521*IFERROR(INDEX('تحليل التكلفة والسعر'!$C$2:$C$700,MATCH($C3521,'تحليل التكلفة والسعر'!$B$2:$B$700,0)),0))</f>
        <v/>
      </c>
    </row>
    <row r="3522" customFormat="false" ht="15" hidden="false" customHeight="false" outlineLevel="0" collapsed="false">
      <c r="A3522" s="102"/>
      <c r="E3522" s="103" t="str">
        <f aca="false">IF($C3522="","",IFERROR(INDEX(المنيو!$C$2:$C$500,MATCH($C3522,المنيو!$B$2:$B$500,0)),0))</f>
        <v/>
      </c>
      <c r="F3522" s="103" t="str">
        <f aca="false">IF($C3522="","",$D3522*$E3522)</f>
        <v/>
      </c>
      <c r="G3522" s="103" t="str">
        <f aca="false">IF($C3522="","",$D3522*IFERROR(INDEX('تحليل التكلفة والسعر'!$C$2:$C$700,MATCH($C3522,'تحليل التكلفة والسعر'!$B$2:$B$700,0)),0))</f>
        <v/>
      </c>
    </row>
    <row r="3523" customFormat="false" ht="15" hidden="false" customHeight="false" outlineLevel="0" collapsed="false">
      <c r="A3523" s="102"/>
      <c r="E3523" s="103" t="str">
        <f aca="false">IF($C3523="","",IFERROR(INDEX(المنيو!$C$2:$C$500,MATCH($C3523,المنيو!$B$2:$B$500,0)),0))</f>
        <v/>
      </c>
      <c r="F3523" s="103" t="str">
        <f aca="false">IF($C3523="","",$D3523*$E3523)</f>
        <v/>
      </c>
      <c r="G3523" s="103" t="str">
        <f aca="false">IF($C3523="","",$D3523*IFERROR(INDEX('تحليل التكلفة والسعر'!$C$2:$C$700,MATCH($C3523,'تحليل التكلفة والسعر'!$B$2:$B$700,0)),0))</f>
        <v/>
      </c>
    </row>
    <row r="3524" customFormat="false" ht="15" hidden="false" customHeight="false" outlineLevel="0" collapsed="false">
      <c r="A3524" s="102"/>
      <c r="E3524" s="103" t="str">
        <f aca="false">IF($C3524="","",IFERROR(INDEX(المنيو!$C$2:$C$500,MATCH($C3524,المنيو!$B$2:$B$500,0)),0))</f>
        <v/>
      </c>
      <c r="F3524" s="103" t="str">
        <f aca="false">IF($C3524="","",$D3524*$E3524)</f>
        <v/>
      </c>
      <c r="G3524" s="103" t="str">
        <f aca="false">IF($C3524="","",$D3524*IFERROR(INDEX('تحليل التكلفة والسعر'!$C$2:$C$700,MATCH($C3524,'تحليل التكلفة والسعر'!$B$2:$B$700,0)),0))</f>
        <v/>
      </c>
    </row>
    <row r="3525" customFormat="false" ht="15" hidden="false" customHeight="false" outlineLevel="0" collapsed="false">
      <c r="A3525" s="102"/>
      <c r="E3525" s="103" t="str">
        <f aca="false">IF($C3525="","",IFERROR(INDEX(المنيو!$C$2:$C$500,MATCH($C3525,المنيو!$B$2:$B$500,0)),0))</f>
        <v/>
      </c>
      <c r="F3525" s="103" t="str">
        <f aca="false">IF($C3525="","",$D3525*$E3525)</f>
        <v/>
      </c>
      <c r="G3525" s="103" t="str">
        <f aca="false">IF($C3525="","",$D3525*IFERROR(INDEX('تحليل التكلفة والسعر'!$C$2:$C$700,MATCH($C3525,'تحليل التكلفة والسعر'!$B$2:$B$700,0)),0))</f>
        <v/>
      </c>
    </row>
    <row r="3526" customFormat="false" ht="15" hidden="false" customHeight="false" outlineLevel="0" collapsed="false">
      <c r="A3526" s="102"/>
      <c r="E3526" s="103" t="str">
        <f aca="false">IF($C3526="","",IFERROR(INDEX(المنيو!$C$2:$C$500,MATCH($C3526,المنيو!$B$2:$B$500,0)),0))</f>
        <v/>
      </c>
      <c r="F3526" s="103" t="str">
        <f aca="false">IF($C3526="","",$D3526*$E3526)</f>
        <v/>
      </c>
      <c r="G3526" s="103" t="str">
        <f aca="false">IF($C3526="","",$D3526*IFERROR(INDEX('تحليل التكلفة والسعر'!$C$2:$C$700,MATCH($C3526,'تحليل التكلفة والسعر'!$B$2:$B$700,0)),0))</f>
        <v/>
      </c>
    </row>
    <row r="3527" customFormat="false" ht="15" hidden="false" customHeight="false" outlineLevel="0" collapsed="false">
      <c r="A3527" s="102"/>
      <c r="E3527" s="103" t="str">
        <f aca="false">IF($C3527="","",IFERROR(INDEX(المنيو!$C$2:$C$500,MATCH($C3527,المنيو!$B$2:$B$500,0)),0))</f>
        <v/>
      </c>
      <c r="F3527" s="103" t="str">
        <f aca="false">IF($C3527="","",$D3527*$E3527)</f>
        <v/>
      </c>
      <c r="G3527" s="103" t="str">
        <f aca="false">IF($C3527="","",$D3527*IFERROR(INDEX('تحليل التكلفة والسعر'!$C$2:$C$700,MATCH($C3527,'تحليل التكلفة والسعر'!$B$2:$B$700,0)),0))</f>
        <v/>
      </c>
    </row>
    <row r="3528" customFormat="false" ht="15" hidden="false" customHeight="false" outlineLevel="0" collapsed="false">
      <c r="A3528" s="102"/>
      <c r="E3528" s="103" t="str">
        <f aca="false">IF($C3528="","",IFERROR(INDEX(المنيو!$C$2:$C$500,MATCH($C3528,المنيو!$B$2:$B$500,0)),0))</f>
        <v/>
      </c>
      <c r="F3528" s="103" t="str">
        <f aca="false">IF($C3528="","",$D3528*$E3528)</f>
        <v/>
      </c>
      <c r="G3528" s="103" t="str">
        <f aca="false">IF($C3528="","",$D3528*IFERROR(INDEX('تحليل التكلفة والسعر'!$C$2:$C$700,MATCH($C3528,'تحليل التكلفة والسعر'!$B$2:$B$700,0)),0))</f>
        <v/>
      </c>
    </row>
    <row r="3529" customFormat="false" ht="15" hidden="false" customHeight="false" outlineLevel="0" collapsed="false">
      <c r="A3529" s="102"/>
      <c r="E3529" s="103" t="str">
        <f aca="false">IF($C3529="","",IFERROR(INDEX(المنيو!$C$2:$C$500,MATCH($C3529,المنيو!$B$2:$B$500,0)),0))</f>
        <v/>
      </c>
      <c r="F3529" s="103" t="str">
        <f aca="false">IF($C3529="","",$D3529*$E3529)</f>
        <v/>
      </c>
      <c r="G3529" s="103" t="str">
        <f aca="false">IF($C3529="","",$D3529*IFERROR(INDEX('تحليل التكلفة والسعر'!$C$2:$C$700,MATCH($C3529,'تحليل التكلفة والسعر'!$B$2:$B$700,0)),0))</f>
        <v/>
      </c>
    </row>
    <row r="3530" customFormat="false" ht="15" hidden="false" customHeight="false" outlineLevel="0" collapsed="false">
      <c r="A3530" s="102"/>
      <c r="E3530" s="103" t="str">
        <f aca="false">IF($C3530="","",IFERROR(INDEX(المنيو!$C$2:$C$500,MATCH($C3530,المنيو!$B$2:$B$500,0)),0))</f>
        <v/>
      </c>
      <c r="F3530" s="103" t="str">
        <f aca="false">IF($C3530="","",$D3530*$E3530)</f>
        <v/>
      </c>
      <c r="G3530" s="103" t="str">
        <f aca="false">IF($C3530="","",$D3530*IFERROR(INDEX('تحليل التكلفة والسعر'!$C$2:$C$700,MATCH($C3530,'تحليل التكلفة والسعر'!$B$2:$B$700,0)),0))</f>
        <v/>
      </c>
    </row>
    <row r="3531" customFormat="false" ht="15" hidden="false" customHeight="false" outlineLevel="0" collapsed="false">
      <c r="A3531" s="102"/>
      <c r="E3531" s="103" t="str">
        <f aca="false">IF($C3531="","",IFERROR(INDEX(المنيو!$C$2:$C$500,MATCH($C3531,المنيو!$B$2:$B$500,0)),0))</f>
        <v/>
      </c>
      <c r="F3531" s="103" t="str">
        <f aca="false">IF($C3531="","",$D3531*$E3531)</f>
        <v/>
      </c>
      <c r="G3531" s="103" t="str">
        <f aca="false">IF($C3531="","",$D3531*IFERROR(INDEX('تحليل التكلفة والسعر'!$C$2:$C$700,MATCH($C3531,'تحليل التكلفة والسعر'!$B$2:$B$700,0)),0))</f>
        <v/>
      </c>
    </row>
    <row r="3532" customFormat="false" ht="15" hidden="false" customHeight="false" outlineLevel="0" collapsed="false">
      <c r="A3532" s="102"/>
      <c r="E3532" s="103" t="str">
        <f aca="false">IF($C3532="","",IFERROR(INDEX(المنيو!$C$2:$C$500,MATCH($C3532,المنيو!$B$2:$B$500,0)),0))</f>
        <v/>
      </c>
      <c r="F3532" s="103" t="str">
        <f aca="false">IF($C3532="","",$D3532*$E3532)</f>
        <v/>
      </c>
      <c r="G3532" s="103" t="str">
        <f aca="false">IF($C3532="","",$D3532*IFERROR(INDEX('تحليل التكلفة والسعر'!$C$2:$C$700,MATCH($C3532,'تحليل التكلفة والسعر'!$B$2:$B$700,0)),0))</f>
        <v/>
      </c>
    </row>
    <row r="3533" customFormat="false" ht="15" hidden="false" customHeight="false" outlineLevel="0" collapsed="false">
      <c r="A3533" s="102"/>
      <c r="E3533" s="103" t="str">
        <f aca="false">IF($C3533="","",IFERROR(INDEX(المنيو!$C$2:$C$500,MATCH($C3533,المنيو!$B$2:$B$500,0)),0))</f>
        <v/>
      </c>
      <c r="F3533" s="103" t="str">
        <f aca="false">IF($C3533="","",$D3533*$E3533)</f>
        <v/>
      </c>
      <c r="G3533" s="103" t="str">
        <f aca="false">IF($C3533="","",$D3533*IFERROR(INDEX('تحليل التكلفة والسعر'!$C$2:$C$700,MATCH($C3533,'تحليل التكلفة والسعر'!$B$2:$B$700,0)),0))</f>
        <v/>
      </c>
    </row>
    <row r="3534" customFormat="false" ht="15" hidden="false" customHeight="false" outlineLevel="0" collapsed="false">
      <c r="A3534" s="102"/>
      <c r="E3534" s="103" t="str">
        <f aca="false">IF($C3534="","",IFERROR(INDEX(المنيو!$C$2:$C$500,MATCH($C3534,المنيو!$B$2:$B$500,0)),0))</f>
        <v/>
      </c>
      <c r="F3534" s="103" t="str">
        <f aca="false">IF($C3534="","",$D3534*$E3534)</f>
        <v/>
      </c>
      <c r="G3534" s="103" t="str">
        <f aca="false">IF($C3534="","",$D3534*IFERROR(INDEX('تحليل التكلفة والسعر'!$C$2:$C$700,MATCH($C3534,'تحليل التكلفة والسعر'!$B$2:$B$700,0)),0))</f>
        <v/>
      </c>
    </row>
    <row r="3535" customFormat="false" ht="15" hidden="false" customHeight="false" outlineLevel="0" collapsed="false">
      <c r="A3535" s="102"/>
      <c r="E3535" s="103" t="str">
        <f aca="false">IF($C3535="","",IFERROR(INDEX(المنيو!$C$2:$C$500,MATCH($C3535,المنيو!$B$2:$B$500,0)),0))</f>
        <v/>
      </c>
      <c r="F3535" s="103" t="str">
        <f aca="false">IF($C3535="","",$D3535*$E3535)</f>
        <v/>
      </c>
      <c r="G3535" s="103" t="str">
        <f aca="false">IF($C3535="","",$D3535*IFERROR(INDEX('تحليل التكلفة والسعر'!$C$2:$C$700,MATCH($C3535,'تحليل التكلفة والسعر'!$B$2:$B$700,0)),0))</f>
        <v/>
      </c>
    </row>
    <row r="3536" customFormat="false" ht="15" hidden="false" customHeight="false" outlineLevel="0" collapsed="false">
      <c r="A3536" s="102"/>
      <c r="E3536" s="103" t="str">
        <f aca="false">IF($C3536="","",IFERROR(INDEX(المنيو!$C$2:$C$500,MATCH($C3536,المنيو!$B$2:$B$500,0)),0))</f>
        <v/>
      </c>
      <c r="F3536" s="103" t="str">
        <f aca="false">IF($C3536="","",$D3536*$E3536)</f>
        <v/>
      </c>
      <c r="G3536" s="103" t="str">
        <f aca="false">IF($C3536="","",$D3536*IFERROR(INDEX('تحليل التكلفة والسعر'!$C$2:$C$700,MATCH($C3536,'تحليل التكلفة والسعر'!$B$2:$B$700,0)),0))</f>
        <v/>
      </c>
    </row>
    <row r="3537" customFormat="false" ht="15" hidden="false" customHeight="false" outlineLevel="0" collapsed="false">
      <c r="A3537" s="102"/>
      <c r="E3537" s="103" t="str">
        <f aca="false">IF($C3537="","",IFERROR(INDEX(المنيو!$C$2:$C$500,MATCH($C3537,المنيو!$B$2:$B$500,0)),0))</f>
        <v/>
      </c>
      <c r="F3537" s="103" t="str">
        <f aca="false">IF($C3537="","",$D3537*$E3537)</f>
        <v/>
      </c>
      <c r="G3537" s="103" t="str">
        <f aca="false">IF($C3537="","",$D3537*IFERROR(INDEX('تحليل التكلفة والسعر'!$C$2:$C$700,MATCH($C3537,'تحليل التكلفة والسعر'!$B$2:$B$700,0)),0))</f>
        <v/>
      </c>
    </row>
    <row r="3538" customFormat="false" ht="15" hidden="false" customHeight="false" outlineLevel="0" collapsed="false">
      <c r="A3538" s="102"/>
      <c r="E3538" s="103" t="str">
        <f aca="false">IF($C3538="","",IFERROR(INDEX(المنيو!$C$2:$C$500,MATCH($C3538,المنيو!$B$2:$B$500,0)),0))</f>
        <v/>
      </c>
      <c r="F3538" s="103" t="str">
        <f aca="false">IF($C3538="","",$D3538*$E3538)</f>
        <v/>
      </c>
      <c r="G3538" s="103" t="str">
        <f aca="false">IF($C3538="","",$D3538*IFERROR(INDEX('تحليل التكلفة والسعر'!$C$2:$C$700,MATCH($C3538,'تحليل التكلفة والسعر'!$B$2:$B$700,0)),0))</f>
        <v/>
      </c>
    </row>
    <row r="3539" customFormat="false" ht="15" hidden="false" customHeight="false" outlineLevel="0" collapsed="false">
      <c r="A3539" s="102"/>
      <c r="E3539" s="103" t="str">
        <f aca="false">IF($C3539="","",IFERROR(INDEX(المنيو!$C$2:$C$500,MATCH($C3539,المنيو!$B$2:$B$500,0)),0))</f>
        <v/>
      </c>
      <c r="F3539" s="103" t="str">
        <f aca="false">IF($C3539="","",$D3539*$E3539)</f>
        <v/>
      </c>
      <c r="G3539" s="103" t="str">
        <f aca="false">IF($C3539="","",$D3539*IFERROR(INDEX('تحليل التكلفة والسعر'!$C$2:$C$700,MATCH($C3539,'تحليل التكلفة والسعر'!$B$2:$B$700,0)),0))</f>
        <v/>
      </c>
    </row>
    <row r="3540" customFormat="false" ht="15" hidden="false" customHeight="false" outlineLevel="0" collapsed="false">
      <c r="A3540" s="102"/>
      <c r="E3540" s="103" t="str">
        <f aca="false">IF($C3540="","",IFERROR(INDEX(المنيو!$C$2:$C$500,MATCH($C3540,المنيو!$B$2:$B$500,0)),0))</f>
        <v/>
      </c>
      <c r="F3540" s="103" t="str">
        <f aca="false">IF($C3540="","",$D3540*$E3540)</f>
        <v/>
      </c>
      <c r="G3540" s="103" t="str">
        <f aca="false">IF($C3540="","",$D3540*IFERROR(INDEX('تحليل التكلفة والسعر'!$C$2:$C$700,MATCH($C3540,'تحليل التكلفة والسعر'!$B$2:$B$700,0)),0))</f>
        <v/>
      </c>
    </row>
    <row r="3541" customFormat="false" ht="15" hidden="false" customHeight="false" outlineLevel="0" collapsed="false">
      <c r="A3541" s="102"/>
      <c r="E3541" s="103" t="str">
        <f aca="false">IF($C3541="","",IFERROR(INDEX(المنيو!$C$2:$C$500,MATCH($C3541,المنيو!$B$2:$B$500,0)),0))</f>
        <v/>
      </c>
      <c r="F3541" s="103" t="str">
        <f aca="false">IF($C3541="","",$D3541*$E3541)</f>
        <v/>
      </c>
      <c r="G3541" s="103" t="str">
        <f aca="false">IF($C3541="","",$D3541*IFERROR(INDEX('تحليل التكلفة والسعر'!$C$2:$C$700,MATCH($C3541,'تحليل التكلفة والسعر'!$B$2:$B$700,0)),0))</f>
        <v/>
      </c>
    </row>
    <row r="3542" customFormat="false" ht="15" hidden="false" customHeight="false" outlineLevel="0" collapsed="false">
      <c r="A3542" s="102"/>
      <c r="E3542" s="103" t="str">
        <f aca="false">IF($C3542="","",IFERROR(INDEX(المنيو!$C$2:$C$500,MATCH($C3542,المنيو!$B$2:$B$500,0)),0))</f>
        <v/>
      </c>
      <c r="F3542" s="103" t="str">
        <f aca="false">IF($C3542="","",$D3542*$E3542)</f>
        <v/>
      </c>
      <c r="G3542" s="103" t="str">
        <f aca="false">IF($C3542="","",$D3542*IFERROR(INDEX('تحليل التكلفة والسعر'!$C$2:$C$700,MATCH($C3542,'تحليل التكلفة والسعر'!$B$2:$B$700,0)),0))</f>
        <v/>
      </c>
    </row>
    <row r="3543" customFormat="false" ht="15" hidden="false" customHeight="false" outlineLevel="0" collapsed="false">
      <c r="A3543" s="102"/>
      <c r="E3543" s="103" t="str">
        <f aca="false">IF($C3543="","",IFERROR(INDEX(المنيو!$C$2:$C$500,MATCH($C3543,المنيو!$B$2:$B$500,0)),0))</f>
        <v/>
      </c>
      <c r="F3543" s="103" t="str">
        <f aca="false">IF($C3543="","",$D3543*$E3543)</f>
        <v/>
      </c>
      <c r="G3543" s="103" t="str">
        <f aca="false">IF($C3543="","",$D3543*IFERROR(INDEX('تحليل التكلفة والسعر'!$C$2:$C$700,MATCH($C3543,'تحليل التكلفة والسعر'!$B$2:$B$700,0)),0))</f>
        <v/>
      </c>
    </row>
    <row r="3544" customFormat="false" ht="15" hidden="false" customHeight="false" outlineLevel="0" collapsed="false">
      <c r="A3544" s="102"/>
      <c r="E3544" s="103" t="str">
        <f aca="false">IF($C3544="","",IFERROR(INDEX(المنيو!$C$2:$C$500,MATCH($C3544,المنيو!$B$2:$B$500,0)),0))</f>
        <v/>
      </c>
      <c r="F3544" s="103" t="str">
        <f aca="false">IF($C3544="","",$D3544*$E3544)</f>
        <v/>
      </c>
      <c r="G3544" s="103" t="str">
        <f aca="false">IF($C3544="","",$D3544*IFERROR(INDEX('تحليل التكلفة والسعر'!$C$2:$C$700,MATCH($C3544,'تحليل التكلفة والسعر'!$B$2:$B$700,0)),0))</f>
        <v/>
      </c>
    </row>
    <row r="3545" customFormat="false" ht="15" hidden="false" customHeight="false" outlineLevel="0" collapsed="false">
      <c r="A3545" s="102"/>
      <c r="E3545" s="103" t="str">
        <f aca="false">IF($C3545="","",IFERROR(INDEX(المنيو!$C$2:$C$500,MATCH($C3545,المنيو!$B$2:$B$500,0)),0))</f>
        <v/>
      </c>
      <c r="F3545" s="103" t="str">
        <f aca="false">IF($C3545="","",$D3545*$E3545)</f>
        <v/>
      </c>
      <c r="G3545" s="103" t="str">
        <f aca="false">IF($C3545="","",$D3545*IFERROR(INDEX('تحليل التكلفة والسعر'!$C$2:$C$700,MATCH($C3545,'تحليل التكلفة والسعر'!$B$2:$B$700,0)),0))</f>
        <v/>
      </c>
    </row>
    <row r="3546" customFormat="false" ht="15" hidden="false" customHeight="false" outlineLevel="0" collapsed="false">
      <c r="A3546" s="102"/>
      <c r="E3546" s="103" t="str">
        <f aca="false">IF($C3546="","",IFERROR(INDEX(المنيو!$C$2:$C$500,MATCH($C3546,المنيو!$B$2:$B$500,0)),0))</f>
        <v/>
      </c>
      <c r="F3546" s="103" t="str">
        <f aca="false">IF($C3546="","",$D3546*$E3546)</f>
        <v/>
      </c>
      <c r="G3546" s="103" t="str">
        <f aca="false">IF($C3546="","",$D3546*IFERROR(INDEX('تحليل التكلفة والسعر'!$C$2:$C$700,MATCH($C3546,'تحليل التكلفة والسعر'!$B$2:$B$700,0)),0))</f>
        <v/>
      </c>
    </row>
    <row r="3547" customFormat="false" ht="15" hidden="false" customHeight="false" outlineLevel="0" collapsed="false">
      <c r="A3547" s="102"/>
      <c r="E3547" s="103" t="str">
        <f aca="false">IF($C3547="","",IFERROR(INDEX(المنيو!$C$2:$C$500,MATCH($C3547,المنيو!$B$2:$B$500,0)),0))</f>
        <v/>
      </c>
      <c r="F3547" s="103" t="str">
        <f aca="false">IF($C3547="","",$D3547*$E3547)</f>
        <v/>
      </c>
      <c r="G3547" s="103" t="str">
        <f aca="false">IF($C3547="","",$D3547*IFERROR(INDEX('تحليل التكلفة والسعر'!$C$2:$C$700,MATCH($C3547,'تحليل التكلفة والسعر'!$B$2:$B$700,0)),0))</f>
        <v/>
      </c>
    </row>
    <row r="3548" customFormat="false" ht="15" hidden="false" customHeight="false" outlineLevel="0" collapsed="false">
      <c r="A3548" s="102"/>
      <c r="E3548" s="103" t="str">
        <f aca="false">IF($C3548="","",IFERROR(INDEX(المنيو!$C$2:$C$500,MATCH($C3548,المنيو!$B$2:$B$500,0)),0))</f>
        <v/>
      </c>
      <c r="F3548" s="103" t="str">
        <f aca="false">IF($C3548="","",$D3548*$E3548)</f>
        <v/>
      </c>
      <c r="G3548" s="103" t="str">
        <f aca="false">IF($C3548="","",$D3548*IFERROR(INDEX('تحليل التكلفة والسعر'!$C$2:$C$700,MATCH($C3548,'تحليل التكلفة والسعر'!$B$2:$B$700,0)),0))</f>
        <v/>
      </c>
    </row>
    <row r="3549" customFormat="false" ht="15" hidden="false" customHeight="false" outlineLevel="0" collapsed="false">
      <c r="A3549" s="102"/>
      <c r="E3549" s="103" t="str">
        <f aca="false">IF($C3549="","",IFERROR(INDEX(المنيو!$C$2:$C$500,MATCH($C3549,المنيو!$B$2:$B$500,0)),0))</f>
        <v/>
      </c>
      <c r="F3549" s="103" t="str">
        <f aca="false">IF($C3549="","",$D3549*$E3549)</f>
        <v/>
      </c>
      <c r="G3549" s="103" t="str">
        <f aca="false">IF($C3549="","",$D3549*IFERROR(INDEX('تحليل التكلفة والسعر'!$C$2:$C$700,MATCH($C3549,'تحليل التكلفة والسعر'!$B$2:$B$700,0)),0))</f>
        <v/>
      </c>
    </row>
    <row r="3550" customFormat="false" ht="15" hidden="false" customHeight="false" outlineLevel="0" collapsed="false">
      <c r="A3550" s="102"/>
      <c r="E3550" s="103" t="str">
        <f aca="false">IF($C3550="","",IFERROR(INDEX(المنيو!$C$2:$C$500,MATCH($C3550,المنيو!$B$2:$B$500,0)),0))</f>
        <v/>
      </c>
      <c r="F3550" s="103" t="str">
        <f aca="false">IF($C3550="","",$D3550*$E3550)</f>
        <v/>
      </c>
      <c r="G3550" s="103" t="str">
        <f aca="false">IF($C3550="","",$D3550*IFERROR(INDEX('تحليل التكلفة والسعر'!$C$2:$C$700,MATCH($C3550,'تحليل التكلفة والسعر'!$B$2:$B$700,0)),0))</f>
        <v/>
      </c>
    </row>
    <row r="3551" customFormat="false" ht="15" hidden="false" customHeight="false" outlineLevel="0" collapsed="false">
      <c r="A3551" s="102"/>
      <c r="E3551" s="103" t="str">
        <f aca="false">IF($C3551="","",IFERROR(INDEX(المنيو!$C$2:$C$500,MATCH($C3551,المنيو!$B$2:$B$500,0)),0))</f>
        <v/>
      </c>
      <c r="F3551" s="103" t="str">
        <f aca="false">IF($C3551="","",$D3551*$E3551)</f>
        <v/>
      </c>
      <c r="G3551" s="103" t="str">
        <f aca="false">IF($C3551="","",$D3551*IFERROR(INDEX('تحليل التكلفة والسعر'!$C$2:$C$700,MATCH($C3551,'تحليل التكلفة والسعر'!$B$2:$B$700,0)),0))</f>
        <v/>
      </c>
    </row>
    <row r="3552" customFormat="false" ht="15" hidden="false" customHeight="false" outlineLevel="0" collapsed="false">
      <c r="A3552" s="102"/>
      <c r="E3552" s="103" t="str">
        <f aca="false">IF($C3552="","",IFERROR(INDEX(المنيو!$C$2:$C$500,MATCH($C3552,المنيو!$B$2:$B$500,0)),0))</f>
        <v/>
      </c>
      <c r="F3552" s="103" t="str">
        <f aca="false">IF($C3552="","",$D3552*$E3552)</f>
        <v/>
      </c>
      <c r="G3552" s="103" t="str">
        <f aca="false">IF($C3552="","",$D3552*IFERROR(INDEX('تحليل التكلفة والسعر'!$C$2:$C$700,MATCH($C3552,'تحليل التكلفة والسعر'!$B$2:$B$700,0)),0))</f>
        <v/>
      </c>
    </row>
    <row r="3553" customFormat="false" ht="15" hidden="false" customHeight="false" outlineLevel="0" collapsed="false">
      <c r="A3553" s="102"/>
      <c r="E3553" s="103" t="str">
        <f aca="false">IF($C3553="","",IFERROR(INDEX(المنيو!$C$2:$C$500,MATCH($C3553,المنيو!$B$2:$B$500,0)),0))</f>
        <v/>
      </c>
      <c r="F3553" s="103" t="str">
        <f aca="false">IF($C3553="","",$D3553*$E3553)</f>
        <v/>
      </c>
      <c r="G3553" s="103" t="str">
        <f aca="false">IF($C3553="","",$D3553*IFERROR(INDEX('تحليل التكلفة والسعر'!$C$2:$C$700,MATCH($C3553,'تحليل التكلفة والسعر'!$B$2:$B$700,0)),0))</f>
        <v/>
      </c>
    </row>
    <row r="3554" customFormat="false" ht="15" hidden="false" customHeight="false" outlineLevel="0" collapsed="false">
      <c r="A3554" s="102"/>
      <c r="E3554" s="103" t="str">
        <f aca="false">IF($C3554="","",IFERROR(INDEX(المنيو!$C$2:$C$500,MATCH($C3554,المنيو!$B$2:$B$500,0)),0))</f>
        <v/>
      </c>
      <c r="F3554" s="103" t="str">
        <f aca="false">IF($C3554="","",$D3554*$E3554)</f>
        <v/>
      </c>
      <c r="G3554" s="103" t="str">
        <f aca="false">IF($C3554="","",$D3554*IFERROR(INDEX('تحليل التكلفة والسعر'!$C$2:$C$700,MATCH($C3554,'تحليل التكلفة والسعر'!$B$2:$B$700,0)),0))</f>
        <v/>
      </c>
    </row>
    <row r="3555" customFormat="false" ht="15" hidden="false" customHeight="false" outlineLevel="0" collapsed="false">
      <c r="A3555" s="102"/>
      <c r="E3555" s="103" t="str">
        <f aca="false">IF($C3555="","",IFERROR(INDEX(المنيو!$C$2:$C$500,MATCH($C3555,المنيو!$B$2:$B$500,0)),0))</f>
        <v/>
      </c>
      <c r="F3555" s="103" t="str">
        <f aca="false">IF($C3555="","",$D3555*$E3555)</f>
        <v/>
      </c>
      <c r="G3555" s="103" t="str">
        <f aca="false">IF($C3555="","",$D3555*IFERROR(INDEX('تحليل التكلفة والسعر'!$C$2:$C$700,MATCH($C3555,'تحليل التكلفة والسعر'!$B$2:$B$700,0)),0))</f>
        <v/>
      </c>
    </row>
    <row r="3556" customFormat="false" ht="15" hidden="false" customHeight="false" outlineLevel="0" collapsed="false">
      <c r="A3556" s="102"/>
      <c r="E3556" s="103" t="str">
        <f aca="false">IF($C3556="","",IFERROR(INDEX(المنيو!$C$2:$C$500,MATCH($C3556,المنيو!$B$2:$B$500,0)),0))</f>
        <v/>
      </c>
      <c r="F3556" s="103" t="str">
        <f aca="false">IF($C3556="","",$D3556*$E3556)</f>
        <v/>
      </c>
      <c r="G3556" s="103" t="str">
        <f aca="false">IF($C3556="","",$D3556*IFERROR(INDEX('تحليل التكلفة والسعر'!$C$2:$C$700,MATCH($C3556,'تحليل التكلفة والسعر'!$B$2:$B$700,0)),0))</f>
        <v/>
      </c>
    </row>
    <row r="3557" customFormat="false" ht="15" hidden="false" customHeight="false" outlineLevel="0" collapsed="false">
      <c r="A3557" s="102"/>
      <c r="E3557" s="103" t="str">
        <f aca="false">IF($C3557="","",IFERROR(INDEX(المنيو!$C$2:$C$500,MATCH($C3557,المنيو!$B$2:$B$500,0)),0))</f>
        <v/>
      </c>
      <c r="F3557" s="103" t="str">
        <f aca="false">IF($C3557="","",$D3557*$E3557)</f>
        <v/>
      </c>
      <c r="G3557" s="103" t="str">
        <f aca="false">IF($C3557="","",$D3557*IFERROR(INDEX('تحليل التكلفة والسعر'!$C$2:$C$700,MATCH($C3557,'تحليل التكلفة والسعر'!$B$2:$B$700,0)),0))</f>
        <v/>
      </c>
    </row>
    <row r="3558" customFormat="false" ht="15" hidden="false" customHeight="false" outlineLevel="0" collapsed="false">
      <c r="A3558" s="102"/>
      <c r="E3558" s="103" t="str">
        <f aca="false">IF($C3558="","",IFERROR(INDEX(المنيو!$C$2:$C$500,MATCH($C3558,المنيو!$B$2:$B$500,0)),0))</f>
        <v/>
      </c>
      <c r="F3558" s="103" t="str">
        <f aca="false">IF($C3558="","",$D3558*$E3558)</f>
        <v/>
      </c>
      <c r="G3558" s="103" t="str">
        <f aca="false">IF($C3558="","",$D3558*IFERROR(INDEX('تحليل التكلفة والسعر'!$C$2:$C$700,MATCH($C3558,'تحليل التكلفة والسعر'!$B$2:$B$700,0)),0))</f>
        <v/>
      </c>
    </row>
    <row r="3559" customFormat="false" ht="15" hidden="false" customHeight="false" outlineLevel="0" collapsed="false">
      <c r="A3559" s="102"/>
      <c r="E3559" s="103" t="str">
        <f aca="false">IF($C3559="","",IFERROR(INDEX(المنيو!$C$2:$C$500,MATCH($C3559,المنيو!$B$2:$B$500,0)),0))</f>
        <v/>
      </c>
      <c r="F3559" s="103" t="str">
        <f aca="false">IF($C3559="","",$D3559*$E3559)</f>
        <v/>
      </c>
      <c r="G3559" s="103" t="str">
        <f aca="false">IF($C3559="","",$D3559*IFERROR(INDEX('تحليل التكلفة والسعر'!$C$2:$C$700,MATCH($C3559,'تحليل التكلفة والسعر'!$B$2:$B$700,0)),0))</f>
        <v/>
      </c>
    </row>
    <row r="3560" customFormat="false" ht="15" hidden="false" customHeight="false" outlineLevel="0" collapsed="false">
      <c r="A3560" s="102"/>
      <c r="E3560" s="103" t="str">
        <f aca="false">IF($C3560="","",IFERROR(INDEX(المنيو!$C$2:$C$500,MATCH($C3560,المنيو!$B$2:$B$500,0)),0))</f>
        <v/>
      </c>
      <c r="F3560" s="103" t="str">
        <f aca="false">IF($C3560="","",$D3560*$E3560)</f>
        <v/>
      </c>
      <c r="G3560" s="103" t="str">
        <f aca="false">IF($C3560="","",$D3560*IFERROR(INDEX('تحليل التكلفة والسعر'!$C$2:$C$700,MATCH($C3560,'تحليل التكلفة والسعر'!$B$2:$B$700,0)),0))</f>
        <v/>
      </c>
    </row>
    <row r="3561" customFormat="false" ht="15" hidden="false" customHeight="false" outlineLevel="0" collapsed="false">
      <c r="A3561" s="102"/>
      <c r="E3561" s="103" t="str">
        <f aca="false">IF($C3561="","",IFERROR(INDEX(المنيو!$C$2:$C$500,MATCH($C3561,المنيو!$B$2:$B$500,0)),0))</f>
        <v/>
      </c>
      <c r="F3561" s="103" t="str">
        <f aca="false">IF($C3561="","",$D3561*$E3561)</f>
        <v/>
      </c>
      <c r="G3561" s="103" t="str">
        <f aca="false">IF($C3561="","",$D3561*IFERROR(INDEX('تحليل التكلفة والسعر'!$C$2:$C$700,MATCH($C3561,'تحليل التكلفة والسعر'!$B$2:$B$700,0)),0))</f>
        <v/>
      </c>
    </row>
    <row r="3562" customFormat="false" ht="15" hidden="false" customHeight="false" outlineLevel="0" collapsed="false">
      <c r="A3562" s="102"/>
      <c r="E3562" s="103" t="str">
        <f aca="false">IF($C3562="","",IFERROR(INDEX(المنيو!$C$2:$C$500,MATCH($C3562,المنيو!$B$2:$B$500,0)),0))</f>
        <v/>
      </c>
      <c r="F3562" s="103" t="str">
        <f aca="false">IF($C3562="","",$D3562*$E3562)</f>
        <v/>
      </c>
      <c r="G3562" s="103" t="str">
        <f aca="false">IF($C3562="","",$D3562*IFERROR(INDEX('تحليل التكلفة والسعر'!$C$2:$C$700,MATCH($C3562,'تحليل التكلفة والسعر'!$B$2:$B$700,0)),0))</f>
        <v/>
      </c>
    </row>
    <row r="3563" customFormat="false" ht="15" hidden="false" customHeight="false" outlineLevel="0" collapsed="false">
      <c r="A3563" s="102"/>
      <c r="E3563" s="103" t="str">
        <f aca="false">IF($C3563="","",IFERROR(INDEX(المنيو!$C$2:$C$500,MATCH($C3563,المنيو!$B$2:$B$500,0)),0))</f>
        <v/>
      </c>
      <c r="F3563" s="103" t="str">
        <f aca="false">IF($C3563="","",$D3563*$E3563)</f>
        <v/>
      </c>
      <c r="G3563" s="103" t="str">
        <f aca="false">IF($C3563="","",$D3563*IFERROR(INDEX('تحليل التكلفة والسعر'!$C$2:$C$700,MATCH($C3563,'تحليل التكلفة والسعر'!$B$2:$B$700,0)),0))</f>
        <v/>
      </c>
    </row>
    <row r="3564" customFormat="false" ht="15" hidden="false" customHeight="false" outlineLevel="0" collapsed="false">
      <c r="A3564" s="102"/>
      <c r="E3564" s="103" t="str">
        <f aca="false">IF($C3564="","",IFERROR(INDEX(المنيو!$C$2:$C$500,MATCH($C3564,المنيو!$B$2:$B$500,0)),0))</f>
        <v/>
      </c>
      <c r="F3564" s="103" t="str">
        <f aca="false">IF($C3564="","",$D3564*$E3564)</f>
        <v/>
      </c>
      <c r="G3564" s="103" t="str">
        <f aca="false">IF($C3564="","",$D3564*IFERROR(INDEX('تحليل التكلفة والسعر'!$C$2:$C$700,MATCH($C3564,'تحليل التكلفة والسعر'!$B$2:$B$700,0)),0))</f>
        <v/>
      </c>
    </row>
    <row r="3565" customFormat="false" ht="15" hidden="false" customHeight="false" outlineLevel="0" collapsed="false">
      <c r="A3565" s="102"/>
      <c r="E3565" s="103" t="str">
        <f aca="false">IF($C3565="","",IFERROR(INDEX(المنيو!$C$2:$C$500,MATCH($C3565,المنيو!$B$2:$B$500,0)),0))</f>
        <v/>
      </c>
      <c r="F3565" s="103" t="str">
        <f aca="false">IF($C3565="","",$D3565*$E3565)</f>
        <v/>
      </c>
      <c r="G3565" s="103" t="str">
        <f aca="false">IF($C3565="","",$D3565*IFERROR(INDEX('تحليل التكلفة والسعر'!$C$2:$C$700,MATCH($C3565,'تحليل التكلفة والسعر'!$B$2:$B$700,0)),0))</f>
        <v/>
      </c>
    </row>
    <row r="3566" customFormat="false" ht="15" hidden="false" customHeight="false" outlineLevel="0" collapsed="false">
      <c r="A3566" s="102"/>
      <c r="E3566" s="103" t="str">
        <f aca="false">IF($C3566="","",IFERROR(INDEX(المنيو!$C$2:$C$500,MATCH($C3566,المنيو!$B$2:$B$500,0)),0))</f>
        <v/>
      </c>
      <c r="F3566" s="103" t="str">
        <f aca="false">IF($C3566="","",$D3566*$E3566)</f>
        <v/>
      </c>
      <c r="G3566" s="103" t="str">
        <f aca="false">IF($C3566="","",$D3566*IFERROR(INDEX('تحليل التكلفة والسعر'!$C$2:$C$700,MATCH($C3566,'تحليل التكلفة والسعر'!$B$2:$B$700,0)),0))</f>
        <v/>
      </c>
    </row>
    <row r="3567" customFormat="false" ht="15" hidden="false" customHeight="false" outlineLevel="0" collapsed="false">
      <c r="A3567" s="102"/>
      <c r="E3567" s="103" t="str">
        <f aca="false">IF($C3567="","",IFERROR(INDEX(المنيو!$C$2:$C$500,MATCH($C3567,المنيو!$B$2:$B$500,0)),0))</f>
        <v/>
      </c>
      <c r="F3567" s="103" t="str">
        <f aca="false">IF($C3567="","",$D3567*$E3567)</f>
        <v/>
      </c>
      <c r="G3567" s="103" t="str">
        <f aca="false">IF($C3567="","",$D3567*IFERROR(INDEX('تحليل التكلفة والسعر'!$C$2:$C$700,MATCH($C3567,'تحليل التكلفة والسعر'!$B$2:$B$700,0)),0))</f>
        <v/>
      </c>
    </row>
    <row r="3568" customFormat="false" ht="15" hidden="false" customHeight="false" outlineLevel="0" collapsed="false">
      <c r="A3568" s="102"/>
      <c r="E3568" s="103" t="str">
        <f aca="false">IF($C3568="","",IFERROR(INDEX(المنيو!$C$2:$C$500,MATCH($C3568,المنيو!$B$2:$B$500,0)),0))</f>
        <v/>
      </c>
      <c r="F3568" s="103" t="str">
        <f aca="false">IF($C3568="","",$D3568*$E3568)</f>
        <v/>
      </c>
      <c r="G3568" s="103" t="str">
        <f aca="false">IF($C3568="","",$D3568*IFERROR(INDEX('تحليل التكلفة والسعر'!$C$2:$C$700,MATCH($C3568,'تحليل التكلفة والسعر'!$B$2:$B$700,0)),0))</f>
        <v/>
      </c>
    </row>
    <row r="3569" customFormat="false" ht="15" hidden="false" customHeight="false" outlineLevel="0" collapsed="false">
      <c r="A3569" s="102"/>
      <c r="E3569" s="103" t="str">
        <f aca="false">IF($C3569="","",IFERROR(INDEX(المنيو!$C$2:$C$500,MATCH($C3569,المنيو!$B$2:$B$500,0)),0))</f>
        <v/>
      </c>
      <c r="F3569" s="103" t="str">
        <f aca="false">IF($C3569="","",$D3569*$E3569)</f>
        <v/>
      </c>
      <c r="G3569" s="103" t="str">
        <f aca="false">IF($C3569="","",$D3569*IFERROR(INDEX('تحليل التكلفة والسعر'!$C$2:$C$700,MATCH($C3569,'تحليل التكلفة والسعر'!$B$2:$B$700,0)),0))</f>
        <v/>
      </c>
    </row>
    <row r="3570" customFormat="false" ht="15" hidden="false" customHeight="false" outlineLevel="0" collapsed="false">
      <c r="A3570" s="102"/>
      <c r="E3570" s="103" t="str">
        <f aca="false">IF($C3570="","",IFERROR(INDEX(المنيو!$C$2:$C$500,MATCH($C3570,المنيو!$B$2:$B$500,0)),0))</f>
        <v/>
      </c>
      <c r="F3570" s="103" t="str">
        <f aca="false">IF($C3570="","",$D3570*$E3570)</f>
        <v/>
      </c>
      <c r="G3570" s="103" t="str">
        <f aca="false">IF($C3570="","",$D3570*IFERROR(INDEX('تحليل التكلفة والسعر'!$C$2:$C$700,MATCH($C3570,'تحليل التكلفة والسعر'!$B$2:$B$700,0)),0))</f>
        <v/>
      </c>
    </row>
    <row r="3571" customFormat="false" ht="15" hidden="false" customHeight="false" outlineLevel="0" collapsed="false">
      <c r="A3571" s="102"/>
      <c r="E3571" s="103" t="str">
        <f aca="false">IF($C3571="","",IFERROR(INDEX(المنيو!$C$2:$C$500,MATCH($C3571,المنيو!$B$2:$B$500,0)),0))</f>
        <v/>
      </c>
      <c r="F3571" s="103" t="str">
        <f aca="false">IF($C3571="","",$D3571*$E3571)</f>
        <v/>
      </c>
      <c r="G3571" s="103" t="str">
        <f aca="false">IF($C3571="","",$D3571*IFERROR(INDEX('تحليل التكلفة والسعر'!$C$2:$C$700,MATCH($C3571,'تحليل التكلفة والسعر'!$B$2:$B$700,0)),0))</f>
        <v/>
      </c>
    </row>
    <row r="3572" customFormat="false" ht="15" hidden="false" customHeight="false" outlineLevel="0" collapsed="false">
      <c r="A3572" s="102"/>
      <c r="E3572" s="103" t="str">
        <f aca="false">IF($C3572="","",IFERROR(INDEX(المنيو!$C$2:$C$500,MATCH($C3572,المنيو!$B$2:$B$500,0)),0))</f>
        <v/>
      </c>
      <c r="F3572" s="103" t="str">
        <f aca="false">IF($C3572="","",$D3572*$E3572)</f>
        <v/>
      </c>
      <c r="G3572" s="103" t="str">
        <f aca="false">IF($C3572="","",$D3572*IFERROR(INDEX('تحليل التكلفة والسعر'!$C$2:$C$700,MATCH($C3572,'تحليل التكلفة والسعر'!$B$2:$B$700,0)),0))</f>
        <v/>
      </c>
    </row>
    <row r="3573" customFormat="false" ht="15" hidden="false" customHeight="false" outlineLevel="0" collapsed="false">
      <c r="A3573" s="102"/>
      <c r="E3573" s="103" t="str">
        <f aca="false">IF($C3573="","",IFERROR(INDEX(المنيو!$C$2:$C$500,MATCH($C3573,المنيو!$B$2:$B$500,0)),0))</f>
        <v/>
      </c>
      <c r="F3573" s="103" t="str">
        <f aca="false">IF($C3573="","",$D3573*$E3573)</f>
        <v/>
      </c>
      <c r="G3573" s="103" t="str">
        <f aca="false">IF($C3573="","",$D3573*IFERROR(INDEX('تحليل التكلفة والسعر'!$C$2:$C$700,MATCH($C3573,'تحليل التكلفة والسعر'!$B$2:$B$700,0)),0))</f>
        <v/>
      </c>
    </row>
    <row r="3574" customFormat="false" ht="15" hidden="false" customHeight="false" outlineLevel="0" collapsed="false">
      <c r="A3574" s="102"/>
      <c r="E3574" s="103" t="str">
        <f aca="false">IF($C3574="","",IFERROR(INDEX(المنيو!$C$2:$C$500,MATCH($C3574,المنيو!$B$2:$B$500,0)),0))</f>
        <v/>
      </c>
      <c r="F3574" s="103" t="str">
        <f aca="false">IF($C3574="","",$D3574*$E3574)</f>
        <v/>
      </c>
      <c r="G3574" s="103" t="str">
        <f aca="false">IF($C3574="","",$D3574*IFERROR(INDEX('تحليل التكلفة والسعر'!$C$2:$C$700,MATCH($C3574,'تحليل التكلفة والسعر'!$B$2:$B$700,0)),0))</f>
        <v/>
      </c>
    </row>
    <row r="3575" customFormat="false" ht="15" hidden="false" customHeight="false" outlineLevel="0" collapsed="false">
      <c r="A3575" s="102"/>
      <c r="E3575" s="103" t="str">
        <f aca="false">IF($C3575="","",IFERROR(INDEX(المنيو!$C$2:$C$500,MATCH($C3575,المنيو!$B$2:$B$500,0)),0))</f>
        <v/>
      </c>
      <c r="F3575" s="103" t="str">
        <f aca="false">IF($C3575="","",$D3575*$E3575)</f>
        <v/>
      </c>
      <c r="G3575" s="103" t="str">
        <f aca="false">IF($C3575="","",$D3575*IFERROR(INDEX('تحليل التكلفة والسعر'!$C$2:$C$700,MATCH($C3575,'تحليل التكلفة والسعر'!$B$2:$B$700,0)),0))</f>
        <v/>
      </c>
    </row>
    <row r="3576" customFormat="false" ht="15" hidden="false" customHeight="false" outlineLevel="0" collapsed="false">
      <c r="A3576" s="102"/>
      <c r="E3576" s="103" t="str">
        <f aca="false">IF($C3576="","",IFERROR(INDEX(المنيو!$C$2:$C$500,MATCH($C3576,المنيو!$B$2:$B$500,0)),0))</f>
        <v/>
      </c>
      <c r="F3576" s="103" t="str">
        <f aca="false">IF($C3576="","",$D3576*$E3576)</f>
        <v/>
      </c>
      <c r="G3576" s="103" t="str">
        <f aca="false">IF($C3576="","",$D3576*IFERROR(INDEX('تحليل التكلفة والسعر'!$C$2:$C$700,MATCH($C3576,'تحليل التكلفة والسعر'!$B$2:$B$700,0)),0))</f>
        <v/>
      </c>
    </row>
    <row r="3577" customFormat="false" ht="15" hidden="false" customHeight="false" outlineLevel="0" collapsed="false">
      <c r="A3577" s="102"/>
      <c r="E3577" s="103" t="str">
        <f aca="false">IF($C3577="","",IFERROR(INDEX(المنيو!$C$2:$C$500,MATCH($C3577,المنيو!$B$2:$B$500,0)),0))</f>
        <v/>
      </c>
      <c r="F3577" s="103" t="str">
        <f aca="false">IF($C3577="","",$D3577*$E3577)</f>
        <v/>
      </c>
      <c r="G3577" s="103" t="str">
        <f aca="false">IF($C3577="","",$D3577*IFERROR(INDEX('تحليل التكلفة والسعر'!$C$2:$C$700,MATCH($C3577,'تحليل التكلفة والسعر'!$B$2:$B$700,0)),0))</f>
        <v/>
      </c>
    </row>
    <row r="3578" customFormat="false" ht="15" hidden="false" customHeight="false" outlineLevel="0" collapsed="false">
      <c r="A3578" s="102"/>
      <c r="E3578" s="103" t="str">
        <f aca="false">IF($C3578="","",IFERROR(INDEX(المنيو!$C$2:$C$500,MATCH($C3578,المنيو!$B$2:$B$500,0)),0))</f>
        <v/>
      </c>
      <c r="F3578" s="103" t="str">
        <f aca="false">IF($C3578="","",$D3578*$E3578)</f>
        <v/>
      </c>
      <c r="G3578" s="103" t="str">
        <f aca="false">IF($C3578="","",$D3578*IFERROR(INDEX('تحليل التكلفة والسعر'!$C$2:$C$700,MATCH($C3578,'تحليل التكلفة والسعر'!$B$2:$B$700,0)),0))</f>
        <v/>
      </c>
    </row>
    <row r="3579" customFormat="false" ht="15" hidden="false" customHeight="false" outlineLevel="0" collapsed="false">
      <c r="A3579" s="102"/>
      <c r="E3579" s="103" t="str">
        <f aca="false">IF($C3579="","",IFERROR(INDEX(المنيو!$C$2:$C$500,MATCH($C3579,المنيو!$B$2:$B$500,0)),0))</f>
        <v/>
      </c>
      <c r="F3579" s="103" t="str">
        <f aca="false">IF($C3579="","",$D3579*$E3579)</f>
        <v/>
      </c>
      <c r="G3579" s="103" t="str">
        <f aca="false">IF($C3579="","",$D3579*IFERROR(INDEX('تحليل التكلفة والسعر'!$C$2:$C$700,MATCH($C3579,'تحليل التكلفة والسعر'!$B$2:$B$700,0)),0))</f>
        <v/>
      </c>
    </row>
    <row r="3580" customFormat="false" ht="15" hidden="false" customHeight="false" outlineLevel="0" collapsed="false">
      <c r="A3580" s="102"/>
      <c r="E3580" s="103" t="str">
        <f aca="false">IF($C3580="","",IFERROR(INDEX(المنيو!$C$2:$C$500,MATCH($C3580,المنيو!$B$2:$B$500,0)),0))</f>
        <v/>
      </c>
      <c r="F3580" s="103" t="str">
        <f aca="false">IF($C3580="","",$D3580*$E3580)</f>
        <v/>
      </c>
      <c r="G3580" s="103" t="str">
        <f aca="false">IF($C3580="","",$D3580*IFERROR(INDEX('تحليل التكلفة والسعر'!$C$2:$C$700,MATCH($C3580,'تحليل التكلفة والسعر'!$B$2:$B$700,0)),0))</f>
        <v/>
      </c>
    </row>
    <row r="3581" customFormat="false" ht="15" hidden="false" customHeight="false" outlineLevel="0" collapsed="false">
      <c r="A3581" s="102"/>
      <c r="E3581" s="103" t="str">
        <f aca="false">IF($C3581="","",IFERROR(INDEX(المنيو!$C$2:$C$500,MATCH($C3581,المنيو!$B$2:$B$500,0)),0))</f>
        <v/>
      </c>
      <c r="F3581" s="103" t="str">
        <f aca="false">IF($C3581="","",$D3581*$E3581)</f>
        <v/>
      </c>
      <c r="G3581" s="103" t="str">
        <f aca="false">IF($C3581="","",$D3581*IFERROR(INDEX('تحليل التكلفة والسعر'!$C$2:$C$700,MATCH($C3581,'تحليل التكلفة والسعر'!$B$2:$B$700,0)),0))</f>
        <v/>
      </c>
    </row>
    <row r="3582" customFormat="false" ht="15" hidden="false" customHeight="false" outlineLevel="0" collapsed="false">
      <c r="A3582" s="102"/>
      <c r="E3582" s="103" t="str">
        <f aca="false">IF($C3582="","",IFERROR(INDEX(المنيو!$C$2:$C$500,MATCH($C3582,المنيو!$B$2:$B$500,0)),0))</f>
        <v/>
      </c>
      <c r="F3582" s="103" t="str">
        <f aca="false">IF($C3582="","",$D3582*$E3582)</f>
        <v/>
      </c>
      <c r="G3582" s="103" t="str">
        <f aca="false">IF($C3582="","",$D3582*IFERROR(INDEX('تحليل التكلفة والسعر'!$C$2:$C$700,MATCH($C3582,'تحليل التكلفة والسعر'!$B$2:$B$700,0)),0))</f>
        <v/>
      </c>
    </row>
    <row r="3583" customFormat="false" ht="15" hidden="false" customHeight="false" outlineLevel="0" collapsed="false">
      <c r="A3583" s="102"/>
      <c r="E3583" s="103" t="str">
        <f aca="false">IF($C3583="","",IFERROR(INDEX(المنيو!$C$2:$C$500,MATCH($C3583,المنيو!$B$2:$B$500,0)),0))</f>
        <v/>
      </c>
      <c r="F3583" s="103" t="str">
        <f aca="false">IF($C3583="","",$D3583*$E3583)</f>
        <v/>
      </c>
      <c r="G3583" s="103" t="str">
        <f aca="false">IF($C3583="","",$D3583*IFERROR(INDEX('تحليل التكلفة والسعر'!$C$2:$C$700,MATCH($C3583,'تحليل التكلفة والسعر'!$B$2:$B$700,0)),0))</f>
        <v/>
      </c>
    </row>
    <row r="3584" customFormat="false" ht="15" hidden="false" customHeight="false" outlineLevel="0" collapsed="false">
      <c r="A3584" s="102"/>
      <c r="E3584" s="103" t="str">
        <f aca="false">IF($C3584="","",IFERROR(INDEX(المنيو!$C$2:$C$500,MATCH($C3584,المنيو!$B$2:$B$500,0)),0))</f>
        <v/>
      </c>
      <c r="F3584" s="103" t="str">
        <f aca="false">IF($C3584="","",$D3584*$E3584)</f>
        <v/>
      </c>
      <c r="G3584" s="103" t="str">
        <f aca="false">IF($C3584="","",$D3584*IFERROR(INDEX('تحليل التكلفة والسعر'!$C$2:$C$700,MATCH($C3584,'تحليل التكلفة والسعر'!$B$2:$B$700,0)),0))</f>
        <v/>
      </c>
    </row>
    <row r="3585" customFormat="false" ht="15" hidden="false" customHeight="false" outlineLevel="0" collapsed="false">
      <c r="A3585" s="102"/>
      <c r="E3585" s="103" t="str">
        <f aca="false">IF($C3585="","",IFERROR(INDEX(المنيو!$C$2:$C$500,MATCH($C3585,المنيو!$B$2:$B$500,0)),0))</f>
        <v/>
      </c>
      <c r="F3585" s="103" t="str">
        <f aca="false">IF($C3585="","",$D3585*$E3585)</f>
        <v/>
      </c>
      <c r="G3585" s="103" t="str">
        <f aca="false">IF($C3585="","",$D3585*IFERROR(INDEX('تحليل التكلفة والسعر'!$C$2:$C$700,MATCH($C3585,'تحليل التكلفة والسعر'!$B$2:$B$700,0)),0))</f>
        <v/>
      </c>
    </row>
    <row r="3586" customFormat="false" ht="15" hidden="false" customHeight="false" outlineLevel="0" collapsed="false">
      <c r="A3586" s="102"/>
      <c r="E3586" s="103" t="str">
        <f aca="false">IF($C3586="","",IFERROR(INDEX(المنيو!$C$2:$C$500,MATCH($C3586,المنيو!$B$2:$B$500,0)),0))</f>
        <v/>
      </c>
      <c r="F3586" s="103" t="str">
        <f aca="false">IF($C3586="","",$D3586*$E3586)</f>
        <v/>
      </c>
      <c r="G3586" s="103" t="str">
        <f aca="false">IF($C3586="","",$D3586*IFERROR(INDEX('تحليل التكلفة والسعر'!$C$2:$C$700,MATCH($C3586,'تحليل التكلفة والسعر'!$B$2:$B$700,0)),0))</f>
        <v/>
      </c>
    </row>
    <row r="3587" customFormat="false" ht="15" hidden="false" customHeight="false" outlineLevel="0" collapsed="false">
      <c r="A3587" s="102"/>
      <c r="E3587" s="103" t="str">
        <f aca="false">IF($C3587="","",IFERROR(INDEX(المنيو!$C$2:$C$500,MATCH($C3587,المنيو!$B$2:$B$500,0)),0))</f>
        <v/>
      </c>
      <c r="F3587" s="103" t="str">
        <f aca="false">IF($C3587="","",$D3587*$E3587)</f>
        <v/>
      </c>
      <c r="G3587" s="103" t="str">
        <f aca="false">IF($C3587="","",$D3587*IFERROR(INDEX('تحليل التكلفة والسعر'!$C$2:$C$700,MATCH($C3587,'تحليل التكلفة والسعر'!$B$2:$B$700,0)),0))</f>
        <v/>
      </c>
    </row>
    <row r="3588" customFormat="false" ht="15" hidden="false" customHeight="false" outlineLevel="0" collapsed="false">
      <c r="A3588" s="102"/>
      <c r="E3588" s="103" t="str">
        <f aca="false">IF($C3588="","",IFERROR(INDEX(المنيو!$C$2:$C$500,MATCH($C3588,المنيو!$B$2:$B$500,0)),0))</f>
        <v/>
      </c>
      <c r="F3588" s="103" t="str">
        <f aca="false">IF($C3588="","",$D3588*$E3588)</f>
        <v/>
      </c>
      <c r="G3588" s="103" t="str">
        <f aca="false">IF($C3588="","",$D3588*IFERROR(INDEX('تحليل التكلفة والسعر'!$C$2:$C$700,MATCH($C3588,'تحليل التكلفة والسعر'!$B$2:$B$700,0)),0))</f>
        <v/>
      </c>
    </row>
    <row r="3589" customFormat="false" ht="15" hidden="false" customHeight="false" outlineLevel="0" collapsed="false">
      <c r="A3589" s="102"/>
      <c r="E3589" s="103" t="str">
        <f aca="false">IF($C3589="","",IFERROR(INDEX(المنيو!$C$2:$C$500,MATCH($C3589,المنيو!$B$2:$B$500,0)),0))</f>
        <v/>
      </c>
      <c r="F3589" s="103" t="str">
        <f aca="false">IF($C3589="","",$D3589*$E3589)</f>
        <v/>
      </c>
      <c r="G3589" s="103" t="str">
        <f aca="false">IF($C3589="","",$D3589*IFERROR(INDEX('تحليل التكلفة والسعر'!$C$2:$C$700,MATCH($C3589,'تحليل التكلفة والسعر'!$B$2:$B$700,0)),0))</f>
        <v/>
      </c>
    </row>
    <row r="3590" customFormat="false" ht="15" hidden="false" customHeight="false" outlineLevel="0" collapsed="false">
      <c r="A3590" s="102"/>
      <c r="E3590" s="103" t="str">
        <f aca="false">IF($C3590="","",IFERROR(INDEX(المنيو!$C$2:$C$500,MATCH($C3590,المنيو!$B$2:$B$500,0)),0))</f>
        <v/>
      </c>
      <c r="F3590" s="103" t="str">
        <f aca="false">IF($C3590="","",$D3590*$E3590)</f>
        <v/>
      </c>
      <c r="G3590" s="103" t="str">
        <f aca="false">IF($C3590="","",$D3590*IFERROR(INDEX('تحليل التكلفة والسعر'!$C$2:$C$700,MATCH($C3590,'تحليل التكلفة والسعر'!$B$2:$B$700,0)),0))</f>
        <v/>
      </c>
    </row>
    <row r="3591" customFormat="false" ht="15" hidden="false" customHeight="false" outlineLevel="0" collapsed="false">
      <c r="A3591" s="102"/>
      <c r="E3591" s="103" t="str">
        <f aca="false">IF($C3591="","",IFERROR(INDEX(المنيو!$C$2:$C$500,MATCH($C3591,المنيو!$B$2:$B$500,0)),0))</f>
        <v/>
      </c>
      <c r="F3591" s="103" t="str">
        <f aca="false">IF($C3591="","",$D3591*$E3591)</f>
        <v/>
      </c>
      <c r="G3591" s="103" t="str">
        <f aca="false">IF($C3591="","",$D3591*IFERROR(INDEX('تحليل التكلفة والسعر'!$C$2:$C$700,MATCH($C3591,'تحليل التكلفة والسعر'!$B$2:$B$700,0)),0))</f>
        <v/>
      </c>
    </row>
    <row r="3592" customFormat="false" ht="15" hidden="false" customHeight="false" outlineLevel="0" collapsed="false">
      <c r="A3592" s="102"/>
      <c r="E3592" s="103" t="str">
        <f aca="false">IF($C3592="","",IFERROR(INDEX(المنيو!$C$2:$C$500,MATCH($C3592,المنيو!$B$2:$B$500,0)),0))</f>
        <v/>
      </c>
      <c r="F3592" s="103" t="str">
        <f aca="false">IF($C3592="","",$D3592*$E3592)</f>
        <v/>
      </c>
      <c r="G3592" s="103" t="str">
        <f aca="false">IF($C3592="","",$D3592*IFERROR(INDEX('تحليل التكلفة والسعر'!$C$2:$C$700,MATCH($C3592,'تحليل التكلفة والسعر'!$B$2:$B$700,0)),0))</f>
        <v/>
      </c>
    </row>
    <row r="3593" customFormat="false" ht="15" hidden="false" customHeight="false" outlineLevel="0" collapsed="false">
      <c r="A3593" s="102"/>
      <c r="E3593" s="103" t="str">
        <f aca="false">IF($C3593="","",IFERROR(INDEX(المنيو!$C$2:$C$500,MATCH($C3593,المنيو!$B$2:$B$500,0)),0))</f>
        <v/>
      </c>
      <c r="F3593" s="103" t="str">
        <f aca="false">IF($C3593="","",$D3593*$E3593)</f>
        <v/>
      </c>
      <c r="G3593" s="103" t="str">
        <f aca="false">IF($C3593="","",$D3593*IFERROR(INDEX('تحليل التكلفة والسعر'!$C$2:$C$700,MATCH($C3593,'تحليل التكلفة والسعر'!$B$2:$B$700,0)),0))</f>
        <v/>
      </c>
    </row>
    <row r="3594" customFormat="false" ht="15" hidden="false" customHeight="false" outlineLevel="0" collapsed="false">
      <c r="A3594" s="102"/>
      <c r="E3594" s="103" t="str">
        <f aca="false">IF($C3594="","",IFERROR(INDEX(المنيو!$C$2:$C$500,MATCH($C3594,المنيو!$B$2:$B$500,0)),0))</f>
        <v/>
      </c>
      <c r="F3594" s="103" t="str">
        <f aca="false">IF($C3594="","",$D3594*$E3594)</f>
        <v/>
      </c>
      <c r="G3594" s="103" t="str">
        <f aca="false">IF($C3594="","",$D3594*IFERROR(INDEX('تحليل التكلفة والسعر'!$C$2:$C$700,MATCH($C3594,'تحليل التكلفة والسعر'!$B$2:$B$700,0)),0))</f>
        <v/>
      </c>
    </row>
    <row r="3595" customFormat="false" ht="15" hidden="false" customHeight="false" outlineLevel="0" collapsed="false">
      <c r="A3595" s="102"/>
      <c r="E3595" s="103" t="str">
        <f aca="false">IF($C3595="","",IFERROR(INDEX(المنيو!$C$2:$C$500,MATCH($C3595,المنيو!$B$2:$B$500,0)),0))</f>
        <v/>
      </c>
      <c r="F3595" s="103" t="str">
        <f aca="false">IF($C3595="","",$D3595*$E3595)</f>
        <v/>
      </c>
      <c r="G3595" s="103" t="str">
        <f aca="false">IF($C3595="","",$D3595*IFERROR(INDEX('تحليل التكلفة والسعر'!$C$2:$C$700,MATCH($C3595,'تحليل التكلفة والسعر'!$B$2:$B$700,0)),0))</f>
        <v/>
      </c>
    </row>
    <row r="3596" customFormat="false" ht="15" hidden="false" customHeight="false" outlineLevel="0" collapsed="false">
      <c r="A3596" s="102"/>
      <c r="E3596" s="103" t="str">
        <f aca="false">IF($C3596="","",IFERROR(INDEX(المنيو!$C$2:$C$500,MATCH($C3596,المنيو!$B$2:$B$500,0)),0))</f>
        <v/>
      </c>
      <c r="F3596" s="103" t="str">
        <f aca="false">IF($C3596="","",$D3596*$E3596)</f>
        <v/>
      </c>
      <c r="G3596" s="103" t="str">
        <f aca="false">IF($C3596="","",$D3596*IFERROR(INDEX('تحليل التكلفة والسعر'!$C$2:$C$700,MATCH($C3596,'تحليل التكلفة والسعر'!$B$2:$B$700,0)),0))</f>
        <v/>
      </c>
    </row>
    <row r="3597" customFormat="false" ht="15" hidden="false" customHeight="false" outlineLevel="0" collapsed="false">
      <c r="A3597" s="102"/>
      <c r="E3597" s="103" t="str">
        <f aca="false">IF($C3597="","",IFERROR(INDEX(المنيو!$C$2:$C$500,MATCH($C3597,المنيو!$B$2:$B$500,0)),0))</f>
        <v/>
      </c>
      <c r="F3597" s="103" t="str">
        <f aca="false">IF($C3597="","",$D3597*$E3597)</f>
        <v/>
      </c>
      <c r="G3597" s="103" t="str">
        <f aca="false">IF($C3597="","",$D3597*IFERROR(INDEX('تحليل التكلفة والسعر'!$C$2:$C$700,MATCH($C3597,'تحليل التكلفة والسعر'!$B$2:$B$700,0)),0))</f>
        <v/>
      </c>
    </row>
    <row r="3598" customFormat="false" ht="15" hidden="false" customHeight="false" outlineLevel="0" collapsed="false">
      <c r="A3598" s="102"/>
      <c r="E3598" s="103" t="str">
        <f aca="false">IF($C3598="","",IFERROR(INDEX(المنيو!$C$2:$C$500,MATCH($C3598,المنيو!$B$2:$B$500,0)),0))</f>
        <v/>
      </c>
      <c r="F3598" s="103" t="str">
        <f aca="false">IF($C3598="","",$D3598*$E3598)</f>
        <v/>
      </c>
      <c r="G3598" s="103" t="str">
        <f aca="false">IF($C3598="","",$D3598*IFERROR(INDEX('تحليل التكلفة والسعر'!$C$2:$C$700,MATCH($C3598,'تحليل التكلفة والسعر'!$B$2:$B$700,0)),0))</f>
        <v/>
      </c>
    </row>
    <row r="3599" customFormat="false" ht="15" hidden="false" customHeight="false" outlineLevel="0" collapsed="false">
      <c r="A3599" s="102"/>
      <c r="E3599" s="103" t="str">
        <f aca="false">IF($C3599="","",IFERROR(INDEX(المنيو!$C$2:$C$500,MATCH($C3599,المنيو!$B$2:$B$500,0)),0))</f>
        <v/>
      </c>
      <c r="F3599" s="103" t="str">
        <f aca="false">IF($C3599="","",$D3599*$E3599)</f>
        <v/>
      </c>
      <c r="G3599" s="103" t="str">
        <f aca="false">IF($C3599="","",$D3599*IFERROR(INDEX('تحليل التكلفة والسعر'!$C$2:$C$700,MATCH($C3599,'تحليل التكلفة والسعر'!$B$2:$B$700,0)),0))</f>
        <v/>
      </c>
    </row>
    <row r="3600" customFormat="false" ht="15" hidden="false" customHeight="false" outlineLevel="0" collapsed="false">
      <c r="A3600" s="102"/>
      <c r="E3600" s="103" t="str">
        <f aca="false">IF($C3600="","",IFERROR(INDEX(المنيو!$C$2:$C$500,MATCH($C3600,المنيو!$B$2:$B$500,0)),0))</f>
        <v/>
      </c>
      <c r="F3600" s="103" t="str">
        <f aca="false">IF($C3600="","",$D3600*$E3600)</f>
        <v/>
      </c>
      <c r="G3600" s="103" t="str">
        <f aca="false">IF($C3600="","",$D3600*IFERROR(INDEX('تحليل التكلفة والسعر'!$C$2:$C$700,MATCH($C3600,'تحليل التكلفة والسعر'!$B$2:$B$700,0)),0))</f>
        <v/>
      </c>
    </row>
    <row r="3601" customFormat="false" ht="15" hidden="false" customHeight="false" outlineLevel="0" collapsed="false">
      <c r="A3601" s="102"/>
      <c r="E3601" s="103" t="str">
        <f aca="false">IF($C3601="","",IFERROR(INDEX(المنيو!$C$2:$C$500,MATCH($C3601,المنيو!$B$2:$B$500,0)),0))</f>
        <v/>
      </c>
      <c r="F3601" s="103" t="str">
        <f aca="false">IF($C3601="","",$D3601*$E3601)</f>
        <v/>
      </c>
      <c r="G3601" s="103" t="str">
        <f aca="false">IF($C3601="","",$D3601*IFERROR(INDEX('تحليل التكلفة والسعر'!$C$2:$C$700,MATCH($C3601,'تحليل التكلفة والسعر'!$B$2:$B$700,0)),0))</f>
        <v/>
      </c>
    </row>
    <row r="3602" customFormat="false" ht="15" hidden="false" customHeight="false" outlineLevel="0" collapsed="false">
      <c r="A3602" s="102"/>
      <c r="E3602" s="103" t="str">
        <f aca="false">IF($C3602="","",IFERROR(INDEX(المنيو!$C$2:$C$500,MATCH($C3602,المنيو!$B$2:$B$500,0)),0))</f>
        <v/>
      </c>
      <c r="F3602" s="103" t="str">
        <f aca="false">IF($C3602="","",$D3602*$E3602)</f>
        <v/>
      </c>
      <c r="G3602" s="103" t="str">
        <f aca="false">IF($C3602="","",$D3602*IFERROR(INDEX('تحليل التكلفة والسعر'!$C$2:$C$700,MATCH($C3602,'تحليل التكلفة والسعر'!$B$2:$B$700,0)),0))</f>
        <v/>
      </c>
    </row>
    <row r="3603" customFormat="false" ht="15" hidden="false" customHeight="false" outlineLevel="0" collapsed="false">
      <c r="A3603" s="102"/>
      <c r="E3603" s="103" t="str">
        <f aca="false">IF($C3603="","",IFERROR(INDEX(المنيو!$C$2:$C$500,MATCH($C3603,المنيو!$B$2:$B$500,0)),0))</f>
        <v/>
      </c>
      <c r="F3603" s="103" t="str">
        <f aca="false">IF($C3603="","",$D3603*$E3603)</f>
        <v/>
      </c>
      <c r="G3603" s="103" t="str">
        <f aca="false">IF($C3603="","",$D3603*IFERROR(INDEX('تحليل التكلفة والسعر'!$C$2:$C$700,MATCH($C3603,'تحليل التكلفة والسعر'!$B$2:$B$700,0)),0))</f>
        <v/>
      </c>
    </row>
    <row r="3604" customFormat="false" ht="15" hidden="false" customHeight="false" outlineLevel="0" collapsed="false">
      <c r="A3604" s="102"/>
      <c r="E3604" s="103" t="str">
        <f aca="false">IF($C3604="","",IFERROR(INDEX(المنيو!$C$2:$C$500,MATCH($C3604,المنيو!$B$2:$B$500,0)),0))</f>
        <v/>
      </c>
      <c r="F3604" s="103" t="str">
        <f aca="false">IF($C3604="","",$D3604*$E3604)</f>
        <v/>
      </c>
      <c r="G3604" s="103" t="str">
        <f aca="false">IF($C3604="","",$D3604*IFERROR(INDEX('تحليل التكلفة والسعر'!$C$2:$C$700,MATCH($C3604,'تحليل التكلفة والسعر'!$B$2:$B$700,0)),0))</f>
        <v/>
      </c>
    </row>
    <row r="3605" customFormat="false" ht="15" hidden="false" customHeight="false" outlineLevel="0" collapsed="false">
      <c r="A3605" s="102"/>
      <c r="E3605" s="103" t="str">
        <f aca="false">IF($C3605="","",IFERROR(INDEX(المنيو!$C$2:$C$500,MATCH($C3605,المنيو!$B$2:$B$500,0)),0))</f>
        <v/>
      </c>
      <c r="F3605" s="103" t="str">
        <f aca="false">IF($C3605="","",$D3605*$E3605)</f>
        <v/>
      </c>
      <c r="G3605" s="103" t="str">
        <f aca="false">IF($C3605="","",$D3605*IFERROR(INDEX('تحليل التكلفة والسعر'!$C$2:$C$700,MATCH($C3605,'تحليل التكلفة والسعر'!$B$2:$B$700,0)),0))</f>
        <v/>
      </c>
    </row>
    <row r="3606" customFormat="false" ht="15" hidden="false" customHeight="false" outlineLevel="0" collapsed="false">
      <c r="A3606" s="102"/>
      <c r="E3606" s="103" t="str">
        <f aca="false">IF($C3606="","",IFERROR(INDEX(المنيو!$C$2:$C$500,MATCH($C3606,المنيو!$B$2:$B$500,0)),0))</f>
        <v/>
      </c>
      <c r="F3606" s="103" t="str">
        <f aca="false">IF($C3606="","",$D3606*$E3606)</f>
        <v/>
      </c>
      <c r="G3606" s="103" t="str">
        <f aca="false">IF($C3606="","",$D3606*IFERROR(INDEX('تحليل التكلفة والسعر'!$C$2:$C$700,MATCH($C3606,'تحليل التكلفة والسعر'!$B$2:$B$700,0)),0))</f>
        <v/>
      </c>
    </row>
    <row r="3607" customFormat="false" ht="15" hidden="false" customHeight="false" outlineLevel="0" collapsed="false">
      <c r="A3607" s="102"/>
      <c r="E3607" s="103" t="str">
        <f aca="false">IF($C3607="","",IFERROR(INDEX(المنيو!$C$2:$C$500,MATCH($C3607,المنيو!$B$2:$B$500,0)),0))</f>
        <v/>
      </c>
      <c r="F3607" s="103" t="str">
        <f aca="false">IF($C3607="","",$D3607*$E3607)</f>
        <v/>
      </c>
      <c r="G3607" s="103" t="str">
        <f aca="false">IF($C3607="","",$D3607*IFERROR(INDEX('تحليل التكلفة والسعر'!$C$2:$C$700,MATCH($C3607,'تحليل التكلفة والسعر'!$B$2:$B$700,0)),0))</f>
        <v/>
      </c>
    </row>
    <row r="3608" customFormat="false" ht="15" hidden="false" customHeight="false" outlineLevel="0" collapsed="false">
      <c r="A3608" s="102"/>
      <c r="E3608" s="103" t="str">
        <f aca="false">IF($C3608="","",IFERROR(INDEX(المنيو!$C$2:$C$500,MATCH($C3608,المنيو!$B$2:$B$500,0)),0))</f>
        <v/>
      </c>
      <c r="F3608" s="103" t="str">
        <f aca="false">IF($C3608="","",$D3608*$E3608)</f>
        <v/>
      </c>
      <c r="G3608" s="103" t="str">
        <f aca="false">IF($C3608="","",$D3608*IFERROR(INDEX('تحليل التكلفة والسعر'!$C$2:$C$700,MATCH($C3608,'تحليل التكلفة والسعر'!$B$2:$B$700,0)),0))</f>
        <v/>
      </c>
    </row>
    <row r="3609" customFormat="false" ht="15" hidden="false" customHeight="false" outlineLevel="0" collapsed="false">
      <c r="A3609" s="102"/>
      <c r="E3609" s="103" t="str">
        <f aca="false">IF($C3609="","",IFERROR(INDEX(المنيو!$C$2:$C$500,MATCH($C3609,المنيو!$B$2:$B$500,0)),0))</f>
        <v/>
      </c>
      <c r="F3609" s="103" t="str">
        <f aca="false">IF($C3609="","",$D3609*$E3609)</f>
        <v/>
      </c>
      <c r="G3609" s="103" t="str">
        <f aca="false">IF($C3609="","",$D3609*IFERROR(INDEX('تحليل التكلفة والسعر'!$C$2:$C$700,MATCH($C3609,'تحليل التكلفة والسعر'!$B$2:$B$700,0)),0))</f>
        <v/>
      </c>
    </row>
    <row r="3610" customFormat="false" ht="15" hidden="false" customHeight="false" outlineLevel="0" collapsed="false">
      <c r="A3610" s="102"/>
      <c r="E3610" s="103" t="str">
        <f aca="false">IF($C3610="","",IFERROR(INDEX(المنيو!$C$2:$C$500,MATCH($C3610,المنيو!$B$2:$B$500,0)),0))</f>
        <v/>
      </c>
      <c r="F3610" s="103" t="str">
        <f aca="false">IF($C3610="","",$D3610*$E3610)</f>
        <v/>
      </c>
      <c r="G3610" s="103" t="str">
        <f aca="false">IF($C3610="","",$D3610*IFERROR(INDEX('تحليل التكلفة والسعر'!$C$2:$C$700,MATCH($C3610,'تحليل التكلفة والسعر'!$B$2:$B$700,0)),0))</f>
        <v/>
      </c>
    </row>
    <row r="3611" customFormat="false" ht="15" hidden="false" customHeight="false" outlineLevel="0" collapsed="false">
      <c r="A3611" s="102"/>
      <c r="E3611" s="103" t="str">
        <f aca="false">IF($C3611="","",IFERROR(INDEX(المنيو!$C$2:$C$500,MATCH($C3611,المنيو!$B$2:$B$500,0)),0))</f>
        <v/>
      </c>
      <c r="F3611" s="103" t="str">
        <f aca="false">IF($C3611="","",$D3611*$E3611)</f>
        <v/>
      </c>
      <c r="G3611" s="103" t="str">
        <f aca="false">IF($C3611="","",$D3611*IFERROR(INDEX('تحليل التكلفة والسعر'!$C$2:$C$700,MATCH($C3611,'تحليل التكلفة والسعر'!$B$2:$B$700,0)),0))</f>
        <v/>
      </c>
    </row>
    <row r="3612" customFormat="false" ht="15" hidden="false" customHeight="false" outlineLevel="0" collapsed="false">
      <c r="A3612" s="102"/>
      <c r="E3612" s="103" t="str">
        <f aca="false">IF($C3612="","",IFERROR(INDEX(المنيو!$C$2:$C$500,MATCH($C3612,المنيو!$B$2:$B$500,0)),0))</f>
        <v/>
      </c>
      <c r="F3612" s="103" t="str">
        <f aca="false">IF($C3612="","",$D3612*$E3612)</f>
        <v/>
      </c>
      <c r="G3612" s="103" t="str">
        <f aca="false">IF($C3612="","",$D3612*IFERROR(INDEX('تحليل التكلفة والسعر'!$C$2:$C$700,MATCH($C3612,'تحليل التكلفة والسعر'!$B$2:$B$700,0)),0))</f>
        <v/>
      </c>
    </row>
    <row r="3613" customFormat="false" ht="15" hidden="false" customHeight="false" outlineLevel="0" collapsed="false">
      <c r="A3613" s="102"/>
      <c r="E3613" s="103" t="str">
        <f aca="false">IF($C3613="","",IFERROR(INDEX(المنيو!$C$2:$C$500,MATCH($C3613,المنيو!$B$2:$B$500,0)),0))</f>
        <v/>
      </c>
      <c r="F3613" s="103" t="str">
        <f aca="false">IF($C3613="","",$D3613*$E3613)</f>
        <v/>
      </c>
      <c r="G3613" s="103" t="str">
        <f aca="false">IF($C3613="","",$D3613*IFERROR(INDEX('تحليل التكلفة والسعر'!$C$2:$C$700,MATCH($C3613,'تحليل التكلفة والسعر'!$B$2:$B$700,0)),0))</f>
        <v/>
      </c>
    </row>
    <row r="3614" customFormat="false" ht="15" hidden="false" customHeight="false" outlineLevel="0" collapsed="false">
      <c r="A3614" s="102"/>
      <c r="E3614" s="103" t="str">
        <f aca="false">IF($C3614="","",IFERROR(INDEX(المنيو!$C$2:$C$500,MATCH($C3614,المنيو!$B$2:$B$500,0)),0))</f>
        <v/>
      </c>
      <c r="F3614" s="103" t="str">
        <f aca="false">IF($C3614="","",$D3614*$E3614)</f>
        <v/>
      </c>
      <c r="G3614" s="103" t="str">
        <f aca="false">IF($C3614="","",$D3614*IFERROR(INDEX('تحليل التكلفة والسعر'!$C$2:$C$700,MATCH($C3614,'تحليل التكلفة والسعر'!$B$2:$B$700,0)),0))</f>
        <v/>
      </c>
    </row>
    <row r="3615" customFormat="false" ht="15" hidden="false" customHeight="false" outlineLevel="0" collapsed="false">
      <c r="A3615" s="102"/>
      <c r="E3615" s="103" t="str">
        <f aca="false">IF($C3615="","",IFERROR(INDEX(المنيو!$C$2:$C$500,MATCH($C3615,المنيو!$B$2:$B$500,0)),0))</f>
        <v/>
      </c>
      <c r="F3615" s="103" t="str">
        <f aca="false">IF($C3615="","",$D3615*$E3615)</f>
        <v/>
      </c>
      <c r="G3615" s="103" t="str">
        <f aca="false">IF($C3615="","",$D3615*IFERROR(INDEX('تحليل التكلفة والسعر'!$C$2:$C$700,MATCH($C3615,'تحليل التكلفة والسعر'!$B$2:$B$700,0)),0))</f>
        <v/>
      </c>
    </row>
    <row r="3616" customFormat="false" ht="15" hidden="false" customHeight="false" outlineLevel="0" collapsed="false">
      <c r="A3616" s="102"/>
      <c r="E3616" s="103" t="str">
        <f aca="false">IF($C3616="","",IFERROR(INDEX(المنيو!$C$2:$C$500,MATCH($C3616,المنيو!$B$2:$B$500,0)),0))</f>
        <v/>
      </c>
      <c r="F3616" s="103" t="str">
        <f aca="false">IF($C3616="","",$D3616*$E3616)</f>
        <v/>
      </c>
      <c r="G3616" s="103" t="str">
        <f aca="false">IF($C3616="","",$D3616*IFERROR(INDEX('تحليل التكلفة والسعر'!$C$2:$C$700,MATCH($C3616,'تحليل التكلفة والسعر'!$B$2:$B$700,0)),0))</f>
        <v/>
      </c>
    </row>
    <row r="3617" customFormat="false" ht="15" hidden="false" customHeight="false" outlineLevel="0" collapsed="false">
      <c r="A3617" s="102"/>
      <c r="E3617" s="103" t="str">
        <f aca="false">IF($C3617="","",IFERROR(INDEX(المنيو!$C$2:$C$500,MATCH($C3617,المنيو!$B$2:$B$500,0)),0))</f>
        <v/>
      </c>
      <c r="F3617" s="103" t="str">
        <f aca="false">IF($C3617="","",$D3617*$E3617)</f>
        <v/>
      </c>
      <c r="G3617" s="103" t="str">
        <f aca="false">IF($C3617="","",$D3617*IFERROR(INDEX('تحليل التكلفة والسعر'!$C$2:$C$700,MATCH($C3617,'تحليل التكلفة والسعر'!$B$2:$B$700,0)),0))</f>
        <v/>
      </c>
    </row>
    <row r="3618" customFormat="false" ht="15" hidden="false" customHeight="false" outlineLevel="0" collapsed="false">
      <c r="A3618" s="102"/>
      <c r="E3618" s="103" t="str">
        <f aca="false">IF($C3618="","",IFERROR(INDEX(المنيو!$C$2:$C$500,MATCH($C3618,المنيو!$B$2:$B$500,0)),0))</f>
        <v/>
      </c>
      <c r="F3618" s="103" t="str">
        <f aca="false">IF($C3618="","",$D3618*$E3618)</f>
        <v/>
      </c>
      <c r="G3618" s="103" t="str">
        <f aca="false">IF($C3618="","",$D3618*IFERROR(INDEX('تحليل التكلفة والسعر'!$C$2:$C$700,MATCH($C3618,'تحليل التكلفة والسعر'!$B$2:$B$700,0)),0))</f>
        <v/>
      </c>
    </row>
    <row r="3619" customFormat="false" ht="15" hidden="false" customHeight="false" outlineLevel="0" collapsed="false">
      <c r="A3619" s="102"/>
      <c r="E3619" s="103" t="str">
        <f aca="false">IF($C3619="","",IFERROR(INDEX(المنيو!$C$2:$C$500,MATCH($C3619,المنيو!$B$2:$B$500,0)),0))</f>
        <v/>
      </c>
      <c r="F3619" s="103" t="str">
        <f aca="false">IF($C3619="","",$D3619*$E3619)</f>
        <v/>
      </c>
      <c r="G3619" s="103" t="str">
        <f aca="false">IF($C3619="","",$D3619*IFERROR(INDEX('تحليل التكلفة والسعر'!$C$2:$C$700,MATCH($C3619,'تحليل التكلفة والسعر'!$B$2:$B$700,0)),0))</f>
        <v/>
      </c>
    </row>
    <row r="3620" customFormat="false" ht="15" hidden="false" customHeight="false" outlineLevel="0" collapsed="false">
      <c r="A3620" s="102"/>
      <c r="E3620" s="103" t="str">
        <f aca="false">IF($C3620="","",IFERROR(INDEX(المنيو!$C$2:$C$500,MATCH($C3620,المنيو!$B$2:$B$500,0)),0))</f>
        <v/>
      </c>
      <c r="F3620" s="103" t="str">
        <f aca="false">IF($C3620="","",$D3620*$E3620)</f>
        <v/>
      </c>
      <c r="G3620" s="103" t="str">
        <f aca="false">IF($C3620="","",$D3620*IFERROR(INDEX('تحليل التكلفة والسعر'!$C$2:$C$700,MATCH($C3620,'تحليل التكلفة والسعر'!$B$2:$B$700,0)),0))</f>
        <v/>
      </c>
    </row>
    <row r="3621" customFormat="false" ht="15" hidden="false" customHeight="false" outlineLevel="0" collapsed="false">
      <c r="A3621" s="102"/>
      <c r="E3621" s="103" t="str">
        <f aca="false">IF($C3621="","",IFERROR(INDEX(المنيو!$C$2:$C$500,MATCH($C3621,المنيو!$B$2:$B$500,0)),0))</f>
        <v/>
      </c>
      <c r="F3621" s="103" t="str">
        <f aca="false">IF($C3621="","",$D3621*$E3621)</f>
        <v/>
      </c>
      <c r="G3621" s="103" t="str">
        <f aca="false">IF($C3621="","",$D3621*IFERROR(INDEX('تحليل التكلفة والسعر'!$C$2:$C$700,MATCH($C3621,'تحليل التكلفة والسعر'!$B$2:$B$700,0)),0))</f>
        <v/>
      </c>
    </row>
    <row r="3622" customFormat="false" ht="15" hidden="false" customHeight="false" outlineLevel="0" collapsed="false">
      <c r="A3622" s="102"/>
      <c r="E3622" s="103" t="str">
        <f aca="false">IF($C3622="","",IFERROR(INDEX(المنيو!$C$2:$C$500,MATCH($C3622,المنيو!$B$2:$B$500,0)),0))</f>
        <v/>
      </c>
      <c r="F3622" s="103" t="str">
        <f aca="false">IF($C3622="","",$D3622*$E3622)</f>
        <v/>
      </c>
      <c r="G3622" s="103" t="str">
        <f aca="false">IF($C3622="","",$D3622*IFERROR(INDEX('تحليل التكلفة والسعر'!$C$2:$C$700,MATCH($C3622,'تحليل التكلفة والسعر'!$B$2:$B$700,0)),0))</f>
        <v/>
      </c>
    </row>
    <row r="3623" customFormat="false" ht="15" hidden="false" customHeight="false" outlineLevel="0" collapsed="false">
      <c r="A3623" s="102"/>
      <c r="E3623" s="103" t="str">
        <f aca="false">IF($C3623="","",IFERROR(INDEX(المنيو!$C$2:$C$500,MATCH($C3623,المنيو!$B$2:$B$500,0)),0))</f>
        <v/>
      </c>
      <c r="F3623" s="103" t="str">
        <f aca="false">IF($C3623="","",$D3623*$E3623)</f>
        <v/>
      </c>
      <c r="G3623" s="103" t="str">
        <f aca="false">IF($C3623="","",$D3623*IFERROR(INDEX('تحليل التكلفة والسعر'!$C$2:$C$700,MATCH($C3623,'تحليل التكلفة والسعر'!$B$2:$B$700,0)),0))</f>
        <v/>
      </c>
    </row>
    <row r="3624" customFormat="false" ht="15" hidden="false" customHeight="false" outlineLevel="0" collapsed="false">
      <c r="A3624" s="102"/>
      <c r="E3624" s="103" t="str">
        <f aca="false">IF($C3624="","",IFERROR(INDEX(المنيو!$C$2:$C$500,MATCH($C3624,المنيو!$B$2:$B$500,0)),0))</f>
        <v/>
      </c>
      <c r="F3624" s="103" t="str">
        <f aca="false">IF($C3624="","",$D3624*$E3624)</f>
        <v/>
      </c>
      <c r="G3624" s="103" t="str">
        <f aca="false">IF($C3624="","",$D3624*IFERROR(INDEX('تحليل التكلفة والسعر'!$C$2:$C$700,MATCH($C3624,'تحليل التكلفة والسعر'!$B$2:$B$700,0)),0))</f>
        <v/>
      </c>
    </row>
    <row r="3625" customFormat="false" ht="15" hidden="false" customHeight="false" outlineLevel="0" collapsed="false">
      <c r="A3625" s="102"/>
      <c r="E3625" s="103" t="str">
        <f aca="false">IF($C3625="","",IFERROR(INDEX(المنيو!$C$2:$C$500,MATCH($C3625,المنيو!$B$2:$B$500,0)),0))</f>
        <v/>
      </c>
      <c r="F3625" s="103" t="str">
        <f aca="false">IF($C3625="","",$D3625*$E3625)</f>
        <v/>
      </c>
      <c r="G3625" s="103" t="str">
        <f aca="false">IF($C3625="","",$D3625*IFERROR(INDEX('تحليل التكلفة والسعر'!$C$2:$C$700,MATCH($C3625,'تحليل التكلفة والسعر'!$B$2:$B$700,0)),0))</f>
        <v/>
      </c>
    </row>
    <row r="3626" customFormat="false" ht="15" hidden="false" customHeight="false" outlineLevel="0" collapsed="false">
      <c r="A3626" s="102"/>
      <c r="E3626" s="103" t="str">
        <f aca="false">IF($C3626="","",IFERROR(INDEX(المنيو!$C$2:$C$500,MATCH($C3626,المنيو!$B$2:$B$500,0)),0))</f>
        <v/>
      </c>
      <c r="F3626" s="103" t="str">
        <f aca="false">IF($C3626="","",$D3626*$E3626)</f>
        <v/>
      </c>
      <c r="G3626" s="103" t="str">
        <f aca="false">IF($C3626="","",$D3626*IFERROR(INDEX('تحليل التكلفة والسعر'!$C$2:$C$700,MATCH($C3626,'تحليل التكلفة والسعر'!$B$2:$B$700,0)),0))</f>
        <v/>
      </c>
    </row>
    <row r="3627" customFormat="false" ht="15" hidden="false" customHeight="false" outlineLevel="0" collapsed="false">
      <c r="A3627" s="102"/>
      <c r="E3627" s="103" t="str">
        <f aca="false">IF($C3627="","",IFERROR(INDEX(المنيو!$C$2:$C$500,MATCH($C3627,المنيو!$B$2:$B$500,0)),0))</f>
        <v/>
      </c>
      <c r="F3627" s="103" t="str">
        <f aca="false">IF($C3627="","",$D3627*$E3627)</f>
        <v/>
      </c>
      <c r="G3627" s="103" t="str">
        <f aca="false">IF($C3627="","",$D3627*IFERROR(INDEX('تحليل التكلفة والسعر'!$C$2:$C$700,MATCH($C3627,'تحليل التكلفة والسعر'!$B$2:$B$700,0)),0))</f>
        <v/>
      </c>
    </row>
    <row r="3628" customFormat="false" ht="15" hidden="false" customHeight="false" outlineLevel="0" collapsed="false">
      <c r="A3628" s="102"/>
      <c r="E3628" s="103" t="str">
        <f aca="false">IF($C3628="","",IFERROR(INDEX(المنيو!$C$2:$C$500,MATCH($C3628,المنيو!$B$2:$B$500,0)),0))</f>
        <v/>
      </c>
      <c r="F3628" s="103" t="str">
        <f aca="false">IF($C3628="","",$D3628*$E3628)</f>
        <v/>
      </c>
      <c r="G3628" s="103" t="str">
        <f aca="false">IF($C3628="","",$D3628*IFERROR(INDEX('تحليل التكلفة والسعر'!$C$2:$C$700,MATCH($C3628,'تحليل التكلفة والسعر'!$B$2:$B$700,0)),0))</f>
        <v/>
      </c>
    </row>
    <row r="3629" customFormat="false" ht="15" hidden="false" customHeight="false" outlineLevel="0" collapsed="false">
      <c r="A3629" s="102"/>
      <c r="E3629" s="103" t="str">
        <f aca="false">IF($C3629="","",IFERROR(INDEX(المنيو!$C$2:$C$500,MATCH($C3629,المنيو!$B$2:$B$500,0)),0))</f>
        <v/>
      </c>
      <c r="F3629" s="103" t="str">
        <f aca="false">IF($C3629="","",$D3629*$E3629)</f>
        <v/>
      </c>
      <c r="G3629" s="103" t="str">
        <f aca="false">IF($C3629="","",$D3629*IFERROR(INDEX('تحليل التكلفة والسعر'!$C$2:$C$700,MATCH($C3629,'تحليل التكلفة والسعر'!$B$2:$B$700,0)),0))</f>
        <v/>
      </c>
    </row>
    <row r="3630" customFormat="false" ht="15" hidden="false" customHeight="false" outlineLevel="0" collapsed="false">
      <c r="A3630" s="102"/>
      <c r="E3630" s="103" t="str">
        <f aca="false">IF($C3630="","",IFERROR(INDEX(المنيو!$C$2:$C$500,MATCH($C3630,المنيو!$B$2:$B$500,0)),0))</f>
        <v/>
      </c>
      <c r="F3630" s="103" t="str">
        <f aca="false">IF($C3630="","",$D3630*$E3630)</f>
        <v/>
      </c>
      <c r="G3630" s="103" t="str">
        <f aca="false">IF($C3630="","",$D3630*IFERROR(INDEX('تحليل التكلفة والسعر'!$C$2:$C$700,MATCH($C3630,'تحليل التكلفة والسعر'!$B$2:$B$700,0)),0))</f>
        <v/>
      </c>
    </row>
    <row r="3631" customFormat="false" ht="15" hidden="false" customHeight="false" outlineLevel="0" collapsed="false">
      <c r="A3631" s="102"/>
      <c r="E3631" s="103" t="str">
        <f aca="false">IF($C3631="","",IFERROR(INDEX(المنيو!$C$2:$C$500,MATCH($C3631,المنيو!$B$2:$B$500,0)),0))</f>
        <v/>
      </c>
      <c r="F3631" s="103" t="str">
        <f aca="false">IF($C3631="","",$D3631*$E3631)</f>
        <v/>
      </c>
      <c r="G3631" s="103" t="str">
        <f aca="false">IF($C3631="","",$D3631*IFERROR(INDEX('تحليل التكلفة والسعر'!$C$2:$C$700,MATCH($C3631,'تحليل التكلفة والسعر'!$B$2:$B$700,0)),0))</f>
        <v/>
      </c>
    </row>
    <row r="3632" customFormat="false" ht="15" hidden="false" customHeight="false" outlineLevel="0" collapsed="false">
      <c r="A3632" s="102"/>
      <c r="E3632" s="103" t="str">
        <f aca="false">IF($C3632="","",IFERROR(INDEX(المنيو!$C$2:$C$500,MATCH($C3632,المنيو!$B$2:$B$500,0)),0))</f>
        <v/>
      </c>
      <c r="F3632" s="103" t="str">
        <f aca="false">IF($C3632="","",$D3632*$E3632)</f>
        <v/>
      </c>
      <c r="G3632" s="103" t="str">
        <f aca="false">IF($C3632="","",$D3632*IFERROR(INDEX('تحليل التكلفة والسعر'!$C$2:$C$700,MATCH($C3632,'تحليل التكلفة والسعر'!$B$2:$B$700,0)),0))</f>
        <v/>
      </c>
    </row>
    <row r="3633" customFormat="false" ht="15" hidden="false" customHeight="false" outlineLevel="0" collapsed="false">
      <c r="A3633" s="102"/>
      <c r="E3633" s="103" t="str">
        <f aca="false">IF($C3633="","",IFERROR(INDEX(المنيو!$C$2:$C$500,MATCH($C3633,المنيو!$B$2:$B$500,0)),0))</f>
        <v/>
      </c>
      <c r="F3633" s="103" t="str">
        <f aca="false">IF($C3633="","",$D3633*$E3633)</f>
        <v/>
      </c>
      <c r="G3633" s="103" t="str">
        <f aca="false">IF($C3633="","",$D3633*IFERROR(INDEX('تحليل التكلفة والسعر'!$C$2:$C$700,MATCH($C3633,'تحليل التكلفة والسعر'!$B$2:$B$700,0)),0))</f>
        <v/>
      </c>
    </row>
    <row r="3634" customFormat="false" ht="15" hidden="false" customHeight="false" outlineLevel="0" collapsed="false">
      <c r="A3634" s="102"/>
      <c r="E3634" s="103" t="str">
        <f aca="false">IF($C3634="","",IFERROR(INDEX(المنيو!$C$2:$C$500,MATCH($C3634,المنيو!$B$2:$B$500,0)),0))</f>
        <v/>
      </c>
      <c r="F3634" s="103" t="str">
        <f aca="false">IF($C3634="","",$D3634*$E3634)</f>
        <v/>
      </c>
      <c r="G3634" s="103" t="str">
        <f aca="false">IF($C3634="","",$D3634*IFERROR(INDEX('تحليل التكلفة والسعر'!$C$2:$C$700,MATCH($C3634,'تحليل التكلفة والسعر'!$B$2:$B$700,0)),0))</f>
        <v/>
      </c>
    </row>
    <row r="3635" customFormat="false" ht="15" hidden="false" customHeight="false" outlineLevel="0" collapsed="false">
      <c r="A3635" s="102"/>
      <c r="E3635" s="103" t="str">
        <f aca="false">IF($C3635="","",IFERROR(INDEX(المنيو!$C$2:$C$500,MATCH($C3635,المنيو!$B$2:$B$500,0)),0))</f>
        <v/>
      </c>
      <c r="F3635" s="103" t="str">
        <f aca="false">IF($C3635="","",$D3635*$E3635)</f>
        <v/>
      </c>
      <c r="G3635" s="103" t="str">
        <f aca="false">IF($C3635="","",$D3635*IFERROR(INDEX('تحليل التكلفة والسعر'!$C$2:$C$700,MATCH($C3635,'تحليل التكلفة والسعر'!$B$2:$B$700,0)),0))</f>
        <v/>
      </c>
    </row>
    <row r="3636" customFormat="false" ht="15" hidden="false" customHeight="false" outlineLevel="0" collapsed="false">
      <c r="A3636" s="102"/>
      <c r="E3636" s="103" t="str">
        <f aca="false">IF($C3636="","",IFERROR(INDEX(المنيو!$C$2:$C$500,MATCH($C3636,المنيو!$B$2:$B$500,0)),0))</f>
        <v/>
      </c>
      <c r="F3636" s="103" t="str">
        <f aca="false">IF($C3636="","",$D3636*$E3636)</f>
        <v/>
      </c>
      <c r="G3636" s="103" t="str">
        <f aca="false">IF($C3636="","",$D3636*IFERROR(INDEX('تحليل التكلفة والسعر'!$C$2:$C$700,MATCH($C3636,'تحليل التكلفة والسعر'!$B$2:$B$700,0)),0))</f>
        <v/>
      </c>
    </row>
    <row r="3637" customFormat="false" ht="15" hidden="false" customHeight="false" outlineLevel="0" collapsed="false">
      <c r="A3637" s="102"/>
      <c r="E3637" s="103" t="str">
        <f aca="false">IF($C3637="","",IFERROR(INDEX(المنيو!$C$2:$C$500,MATCH($C3637,المنيو!$B$2:$B$500,0)),0))</f>
        <v/>
      </c>
      <c r="F3637" s="103" t="str">
        <f aca="false">IF($C3637="","",$D3637*$E3637)</f>
        <v/>
      </c>
      <c r="G3637" s="103" t="str">
        <f aca="false">IF($C3637="","",$D3637*IFERROR(INDEX('تحليل التكلفة والسعر'!$C$2:$C$700,MATCH($C3637,'تحليل التكلفة والسعر'!$B$2:$B$700,0)),0))</f>
        <v/>
      </c>
    </row>
    <row r="3638" customFormat="false" ht="15" hidden="false" customHeight="false" outlineLevel="0" collapsed="false">
      <c r="A3638" s="102"/>
      <c r="E3638" s="103" t="str">
        <f aca="false">IF($C3638="","",IFERROR(INDEX(المنيو!$C$2:$C$500,MATCH($C3638,المنيو!$B$2:$B$500,0)),0))</f>
        <v/>
      </c>
      <c r="F3638" s="103" t="str">
        <f aca="false">IF($C3638="","",$D3638*$E3638)</f>
        <v/>
      </c>
      <c r="G3638" s="103" t="str">
        <f aca="false">IF($C3638="","",$D3638*IFERROR(INDEX('تحليل التكلفة والسعر'!$C$2:$C$700,MATCH($C3638,'تحليل التكلفة والسعر'!$B$2:$B$700,0)),0))</f>
        <v/>
      </c>
    </row>
    <row r="3639" customFormat="false" ht="15" hidden="false" customHeight="false" outlineLevel="0" collapsed="false">
      <c r="A3639" s="102"/>
      <c r="E3639" s="103" t="str">
        <f aca="false">IF($C3639="","",IFERROR(INDEX(المنيو!$C$2:$C$500,MATCH($C3639,المنيو!$B$2:$B$500,0)),0))</f>
        <v/>
      </c>
      <c r="F3639" s="103" t="str">
        <f aca="false">IF($C3639="","",$D3639*$E3639)</f>
        <v/>
      </c>
      <c r="G3639" s="103" t="str">
        <f aca="false">IF($C3639="","",$D3639*IFERROR(INDEX('تحليل التكلفة والسعر'!$C$2:$C$700,MATCH($C3639,'تحليل التكلفة والسعر'!$B$2:$B$700,0)),0))</f>
        <v/>
      </c>
    </row>
    <row r="3640" customFormat="false" ht="15" hidden="false" customHeight="false" outlineLevel="0" collapsed="false">
      <c r="A3640" s="102"/>
      <c r="E3640" s="103" t="str">
        <f aca="false">IF($C3640="","",IFERROR(INDEX(المنيو!$C$2:$C$500,MATCH($C3640,المنيو!$B$2:$B$500,0)),0))</f>
        <v/>
      </c>
      <c r="F3640" s="103" t="str">
        <f aca="false">IF($C3640="","",$D3640*$E3640)</f>
        <v/>
      </c>
      <c r="G3640" s="103" t="str">
        <f aca="false">IF($C3640="","",$D3640*IFERROR(INDEX('تحليل التكلفة والسعر'!$C$2:$C$700,MATCH($C3640,'تحليل التكلفة والسعر'!$B$2:$B$700,0)),0))</f>
        <v/>
      </c>
    </row>
    <row r="3641" customFormat="false" ht="15" hidden="false" customHeight="false" outlineLevel="0" collapsed="false">
      <c r="A3641" s="102"/>
      <c r="E3641" s="103" t="str">
        <f aca="false">IF($C3641="","",IFERROR(INDEX(المنيو!$C$2:$C$500,MATCH($C3641,المنيو!$B$2:$B$500,0)),0))</f>
        <v/>
      </c>
      <c r="F3641" s="103" t="str">
        <f aca="false">IF($C3641="","",$D3641*$E3641)</f>
        <v/>
      </c>
      <c r="G3641" s="103" t="str">
        <f aca="false">IF($C3641="","",$D3641*IFERROR(INDEX('تحليل التكلفة والسعر'!$C$2:$C$700,MATCH($C3641,'تحليل التكلفة والسعر'!$B$2:$B$700,0)),0))</f>
        <v/>
      </c>
    </row>
    <row r="3642" customFormat="false" ht="15" hidden="false" customHeight="false" outlineLevel="0" collapsed="false">
      <c r="A3642" s="102"/>
      <c r="E3642" s="103" t="str">
        <f aca="false">IF($C3642="","",IFERROR(INDEX(المنيو!$C$2:$C$500,MATCH($C3642,المنيو!$B$2:$B$500,0)),0))</f>
        <v/>
      </c>
      <c r="F3642" s="103" t="str">
        <f aca="false">IF($C3642="","",$D3642*$E3642)</f>
        <v/>
      </c>
      <c r="G3642" s="103" t="str">
        <f aca="false">IF($C3642="","",$D3642*IFERROR(INDEX('تحليل التكلفة والسعر'!$C$2:$C$700,MATCH($C3642,'تحليل التكلفة والسعر'!$B$2:$B$700,0)),0))</f>
        <v/>
      </c>
    </row>
    <row r="3643" customFormat="false" ht="15" hidden="false" customHeight="false" outlineLevel="0" collapsed="false">
      <c r="A3643" s="102"/>
      <c r="E3643" s="103" t="str">
        <f aca="false">IF($C3643="","",IFERROR(INDEX(المنيو!$C$2:$C$500,MATCH($C3643,المنيو!$B$2:$B$500,0)),0))</f>
        <v/>
      </c>
      <c r="F3643" s="103" t="str">
        <f aca="false">IF($C3643="","",$D3643*$E3643)</f>
        <v/>
      </c>
      <c r="G3643" s="103" t="str">
        <f aca="false">IF($C3643="","",$D3643*IFERROR(INDEX('تحليل التكلفة والسعر'!$C$2:$C$700,MATCH($C3643,'تحليل التكلفة والسعر'!$B$2:$B$700,0)),0))</f>
        <v/>
      </c>
    </row>
    <row r="3644" customFormat="false" ht="15" hidden="false" customHeight="false" outlineLevel="0" collapsed="false">
      <c r="A3644" s="102"/>
      <c r="E3644" s="103" t="str">
        <f aca="false">IF($C3644="","",IFERROR(INDEX(المنيو!$C$2:$C$500,MATCH($C3644,المنيو!$B$2:$B$500,0)),0))</f>
        <v/>
      </c>
      <c r="F3644" s="103" t="str">
        <f aca="false">IF($C3644="","",$D3644*$E3644)</f>
        <v/>
      </c>
      <c r="G3644" s="103" t="str">
        <f aca="false">IF($C3644="","",$D3644*IFERROR(INDEX('تحليل التكلفة والسعر'!$C$2:$C$700,MATCH($C3644,'تحليل التكلفة والسعر'!$B$2:$B$700,0)),0))</f>
        <v/>
      </c>
    </row>
    <row r="3645" customFormat="false" ht="15" hidden="false" customHeight="false" outlineLevel="0" collapsed="false">
      <c r="A3645" s="102"/>
      <c r="E3645" s="103" t="str">
        <f aca="false">IF($C3645="","",IFERROR(INDEX(المنيو!$C$2:$C$500,MATCH($C3645,المنيو!$B$2:$B$500,0)),0))</f>
        <v/>
      </c>
      <c r="F3645" s="103" t="str">
        <f aca="false">IF($C3645="","",$D3645*$E3645)</f>
        <v/>
      </c>
      <c r="G3645" s="103" t="str">
        <f aca="false">IF($C3645="","",$D3645*IFERROR(INDEX('تحليل التكلفة والسعر'!$C$2:$C$700,MATCH($C3645,'تحليل التكلفة والسعر'!$B$2:$B$700,0)),0))</f>
        <v/>
      </c>
    </row>
    <row r="3646" customFormat="false" ht="15" hidden="false" customHeight="false" outlineLevel="0" collapsed="false">
      <c r="A3646" s="102"/>
      <c r="E3646" s="103" t="str">
        <f aca="false">IF($C3646="","",IFERROR(INDEX(المنيو!$C$2:$C$500,MATCH($C3646,المنيو!$B$2:$B$500,0)),0))</f>
        <v/>
      </c>
      <c r="F3646" s="103" t="str">
        <f aca="false">IF($C3646="","",$D3646*$E3646)</f>
        <v/>
      </c>
      <c r="G3646" s="103" t="str">
        <f aca="false">IF($C3646="","",$D3646*IFERROR(INDEX('تحليل التكلفة والسعر'!$C$2:$C$700,MATCH($C3646,'تحليل التكلفة والسعر'!$B$2:$B$700,0)),0))</f>
        <v/>
      </c>
    </row>
    <row r="3647" customFormat="false" ht="15" hidden="false" customHeight="false" outlineLevel="0" collapsed="false">
      <c r="A3647" s="102"/>
      <c r="E3647" s="103" t="str">
        <f aca="false">IF($C3647="","",IFERROR(INDEX(المنيو!$C$2:$C$500,MATCH($C3647,المنيو!$B$2:$B$500,0)),0))</f>
        <v/>
      </c>
      <c r="F3647" s="103" t="str">
        <f aca="false">IF($C3647="","",$D3647*$E3647)</f>
        <v/>
      </c>
      <c r="G3647" s="103" t="str">
        <f aca="false">IF($C3647="","",$D3647*IFERROR(INDEX('تحليل التكلفة والسعر'!$C$2:$C$700,MATCH($C3647,'تحليل التكلفة والسعر'!$B$2:$B$700,0)),0))</f>
        <v/>
      </c>
    </row>
    <row r="3648" customFormat="false" ht="15" hidden="false" customHeight="false" outlineLevel="0" collapsed="false">
      <c r="A3648" s="102"/>
      <c r="E3648" s="103" t="str">
        <f aca="false">IF($C3648="","",IFERROR(INDEX(المنيو!$C$2:$C$500,MATCH($C3648,المنيو!$B$2:$B$500,0)),0))</f>
        <v/>
      </c>
      <c r="F3648" s="103" t="str">
        <f aca="false">IF($C3648="","",$D3648*$E3648)</f>
        <v/>
      </c>
      <c r="G3648" s="103" t="str">
        <f aca="false">IF($C3648="","",$D3648*IFERROR(INDEX('تحليل التكلفة والسعر'!$C$2:$C$700,MATCH($C3648,'تحليل التكلفة والسعر'!$B$2:$B$700,0)),0))</f>
        <v/>
      </c>
    </row>
    <row r="3649" customFormat="false" ht="15" hidden="false" customHeight="false" outlineLevel="0" collapsed="false">
      <c r="A3649" s="102"/>
      <c r="E3649" s="103" t="str">
        <f aca="false">IF($C3649="","",IFERROR(INDEX(المنيو!$C$2:$C$500,MATCH($C3649,المنيو!$B$2:$B$500,0)),0))</f>
        <v/>
      </c>
      <c r="F3649" s="103" t="str">
        <f aca="false">IF($C3649="","",$D3649*$E3649)</f>
        <v/>
      </c>
      <c r="G3649" s="103" t="str">
        <f aca="false">IF($C3649="","",$D3649*IFERROR(INDEX('تحليل التكلفة والسعر'!$C$2:$C$700,MATCH($C3649,'تحليل التكلفة والسعر'!$B$2:$B$700,0)),0))</f>
        <v/>
      </c>
    </row>
    <row r="3650" customFormat="false" ht="15" hidden="false" customHeight="false" outlineLevel="0" collapsed="false">
      <c r="A3650" s="102"/>
      <c r="E3650" s="103" t="str">
        <f aca="false">IF($C3650="","",IFERROR(INDEX(المنيو!$C$2:$C$500,MATCH($C3650,المنيو!$B$2:$B$500,0)),0))</f>
        <v/>
      </c>
      <c r="F3650" s="103" t="str">
        <f aca="false">IF($C3650="","",$D3650*$E3650)</f>
        <v/>
      </c>
      <c r="G3650" s="103" t="str">
        <f aca="false">IF($C3650="","",$D3650*IFERROR(INDEX('تحليل التكلفة والسعر'!$C$2:$C$700,MATCH($C3650,'تحليل التكلفة والسعر'!$B$2:$B$700,0)),0))</f>
        <v/>
      </c>
    </row>
    <row r="3651" customFormat="false" ht="15" hidden="false" customHeight="false" outlineLevel="0" collapsed="false">
      <c r="A3651" s="102"/>
      <c r="E3651" s="103" t="str">
        <f aca="false">IF($C3651="","",IFERROR(INDEX(المنيو!$C$2:$C$500,MATCH($C3651,المنيو!$B$2:$B$500,0)),0))</f>
        <v/>
      </c>
      <c r="F3651" s="103" t="str">
        <f aca="false">IF($C3651="","",$D3651*$E3651)</f>
        <v/>
      </c>
      <c r="G3651" s="103" t="str">
        <f aca="false">IF($C3651="","",$D3651*IFERROR(INDEX('تحليل التكلفة والسعر'!$C$2:$C$700,MATCH($C3651,'تحليل التكلفة والسعر'!$B$2:$B$700,0)),0))</f>
        <v/>
      </c>
    </row>
    <row r="3652" customFormat="false" ht="15" hidden="false" customHeight="false" outlineLevel="0" collapsed="false">
      <c r="A3652" s="102"/>
      <c r="E3652" s="103" t="str">
        <f aca="false">IF($C3652="","",IFERROR(INDEX(المنيو!$C$2:$C$500,MATCH($C3652,المنيو!$B$2:$B$500,0)),0))</f>
        <v/>
      </c>
      <c r="F3652" s="103" t="str">
        <f aca="false">IF($C3652="","",$D3652*$E3652)</f>
        <v/>
      </c>
      <c r="G3652" s="103" t="str">
        <f aca="false">IF($C3652="","",$D3652*IFERROR(INDEX('تحليل التكلفة والسعر'!$C$2:$C$700,MATCH($C3652,'تحليل التكلفة والسعر'!$B$2:$B$700,0)),0))</f>
        <v/>
      </c>
    </row>
    <row r="3653" customFormat="false" ht="15" hidden="false" customHeight="false" outlineLevel="0" collapsed="false">
      <c r="A3653" s="102"/>
      <c r="E3653" s="103" t="str">
        <f aca="false">IF($C3653="","",IFERROR(INDEX(المنيو!$C$2:$C$500,MATCH($C3653,المنيو!$B$2:$B$500,0)),0))</f>
        <v/>
      </c>
      <c r="F3653" s="103" t="str">
        <f aca="false">IF($C3653="","",$D3653*$E3653)</f>
        <v/>
      </c>
      <c r="G3653" s="103" t="str">
        <f aca="false">IF($C3653="","",$D3653*IFERROR(INDEX('تحليل التكلفة والسعر'!$C$2:$C$700,MATCH($C3653,'تحليل التكلفة والسعر'!$B$2:$B$700,0)),0))</f>
        <v/>
      </c>
    </row>
    <row r="3654" customFormat="false" ht="15" hidden="false" customHeight="false" outlineLevel="0" collapsed="false">
      <c r="A3654" s="102"/>
      <c r="E3654" s="103" t="str">
        <f aca="false">IF($C3654="","",IFERROR(INDEX(المنيو!$C$2:$C$500,MATCH($C3654,المنيو!$B$2:$B$500,0)),0))</f>
        <v/>
      </c>
      <c r="F3654" s="103" t="str">
        <f aca="false">IF($C3654="","",$D3654*$E3654)</f>
        <v/>
      </c>
      <c r="G3654" s="103" t="str">
        <f aca="false">IF($C3654="","",$D3654*IFERROR(INDEX('تحليل التكلفة والسعر'!$C$2:$C$700,MATCH($C3654,'تحليل التكلفة والسعر'!$B$2:$B$700,0)),0))</f>
        <v/>
      </c>
    </row>
    <row r="3655" customFormat="false" ht="15" hidden="false" customHeight="false" outlineLevel="0" collapsed="false">
      <c r="A3655" s="102"/>
      <c r="E3655" s="103" t="str">
        <f aca="false">IF($C3655="","",IFERROR(INDEX(المنيو!$C$2:$C$500,MATCH($C3655,المنيو!$B$2:$B$500,0)),0))</f>
        <v/>
      </c>
      <c r="F3655" s="103" t="str">
        <f aca="false">IF($C3655="","",$D3655*$E3655)</f>
        <v/>
      </c>
      <c r="G3655" s="103" t="str">
        <f aca="false">IF($C3655="","",$D3655*IFERROR(INDEX('تحليل التكلفة والسعر'!$C$2:$C$700,MATCH($C3655,'تحليل التكلفة والسعر'!$B$2:$B$700,0)),0))</f>
        <v/>
      </c>
    </row>
    <row r="3656" customFormat="false" ht="15" hidden="false" customHeight="false" outlineLevel="0" collapsed="false">
      <c r="A3656" s="102"/>
      <c r="E3656" s="103" t="str">
        <f aca="false">IF($C3656="","",IFERROR(INDEX(المنيو!$C$2:$C$500,MATCH($C3656,المنيو!$B$2:$B$500,0)),0))</f>
        <v/>
      </c>
      <c r="F3656" s="103" t="str">
        <f aca="false">IF($C3656="","",$D3656*$E3656)</f>
        <v/>
      </c>
      <c r="G3656" s="103" t="str">
        <f aca="false">IF($C3656="","",$D3656*IFERROR(INDEX('تحليل التكلفة والسعر'!$C$2:$C$700,MATCH($C3656,'تحليل التكلفة والسعر'!$B$2:$B$700,0)),0))</f>
        <v/>
      </c>
    </row>
    <row r="3657" customFormat="false" ht="15" hidden="false" customHeight="false" outlineLevel="0" collapsed="false">
      <c r="A3657" s="102"/>
      <c r="E3657" s="103" t="str">
        <f aca="false">IF($C3657="","",IFERROR(INDEX(المنيو!$C$2:$C$500,MATCH($C3657,المنيو!$B$2:$B$500,0)),0))</f>
        <v/>
      </c>
      <c r="F3657" s="103" t="str">
        <f aca="false">IF($C3657="","",$D3657*$E3657)</f>
        <v/>
      </c>
      <c r="G3657" s="103" t="str">
        <f aca="false">IF($C3657="","",$D3657*IFERROR(INDEX('تحليل التكلفة والسعر'!$C$2:$C$700,MATCH($C3657,'تحليل التكلفة والسعر'!$B$2:$B$700,0)),0))</f>
        <v/>
      </c>
    </row>
    <row r="3658" customFormat="false" ht="15" hidden="false" customHeight="false" outlineLevel="0" collapsed="false">
      <c r="A3658" s="102"/>
      <c r="E3658" s="103" t="str">
        <f aca="false">IF($C3658="","",IFERROR(INDEX(المنيو!$C$2:$C$500,MATCH($C3658,المنيو!$B$2:$B$500,0)),0))</f>
        <v/>
      </c>
      <c r="F3658" s="103" t="str">
        <f aca="false">IF($C3658="","",$D3658*$E3658)</f>
        <v/>
      </c>
      <c r="G3658" s="103" t="str">
        <f aca="false">IF($C3658="","",$D3658*IFERROR(INDEX('تحليل التكلفة والسعر'!$C$2:$C$700,MATCH($C3658,'تحليل التكلفة والسعر'!$B$2:$B$700,0)),0))</f>
        <v/>
      </c>
    </row>
    <row r="3659" customFormat="false" ht="15" hidden="false" customHeight="false" outlineLevel="0" collapsed="false">
      <c r="A3659" s="102"/>
      <c r="E3659" s="103" t="str">
        <f aca="false">IF($C3659="","",IFERROR(INDEX(المنيو!$C$2:$C$500,MATCH($C3659,المنيو!$B$2:$B$500,0)),0))</f>
        <v/>
      </c>
      <c r="F3659" s="103" t="str">
        <f aca="false">IF($C3659="","",$D3659*$E3659)</f>
        <v/>
      </c>
      <c r="G3659" s="103" t="str">
        <f aca="false">IF($C3659="","",$D3659*IFERROR(INDEX('تحليل التكلفة والسعر'!$C$2:$C$700,MATCH($C3659,'تحليل التكلفة والسعر'!$B$2:$B$700,0)),0))</f>
        <v/>
      </c>
    </row>
    <row r="3660" customFormat="false" ht="15" hidden="false" customHeight="false" outlineLevel="0" collapsed="false">
      <c r="A3660" s="102"/>
      <c r="E3660" s="103" t="str">
        <f aca="false">IF($C3660="","",IFERROR(INDEX(المنيو!$C$2:$C$500,MATCH($C3660,المنيو!$B$2:$B$500,0)),0))</f>
        <v/>
      </c>
      <c r="F3660" s="103" t="str">
        <f aca="false">IF($C3660="","",$D3660*$E3660)</f>
        <v/>
      </c>
      <c r="G3660" s="103" t="str">
        <f aca="false">IF($C3660="","",$D3660*IFERROR(INDEX('تحليل التكلفة والسعر'!$C$2:$C$700,MATCH($C3660,'تحليل التكلفة والسعر'!$B$2:$B$700,0)),0))</f>
        <v/>
      </c>
    </row>
    <row r="3661" customFormat="false" ht="15" hidden="false" customHeight="false" outlineLevel="0" collapsed="false">
      <c r="A3661" s="102"/>
      <c r="E3661" s="103" t="str">
        <f aca="false">IF($C3661="","",IFERROR(INDEX(المنيو!$C$2:$C$500,MATCH($C3661,المنيو!$B$2:$B$500,0)),0))</f>
        <v/>
      </c>
      <c r="F3661" s="103" t="str">
        <f aca="false">IF($C3661="","",$D3661*$E3661)</f>
        <v/>
      </c>
      <c r="G3661" s="103" t="str">
        <f aca="false">IF($C3661="","",$D3661*IFERROR(INDEX('تحليل التكلفة والسعر'!$C$2:$C$700,MATCH($C3661,'تحليل التكلفة والسعر'!$B$2:$B$700,0)),0))</f>
        <v/>
      </c>
    </row>
    <row r="3662" customFormat="false" ht="15" hidden="false" customHeight="false" outlineLevel="0" collapsed="false">
      <c r="A3662" s="102"/>
      <c r="E3662" s="103" t="str">
        <f aca="false">IF($C3662="","",IFERROR(INDEX(المنيو!$C$2:$C$500,MATCH($C3662,المنيو!$B$2:$B$500,0)),0))</f>
        <v/>
      </c>
      <c r="F3662" s="103" t="str">
        <f aca="false">IF($C3662="","",$D3662*$E3662)</f>
        <v/>
      </c>
      <c r="G3662" s="103" t="str">
        <f aca="false">IF($C3662="","",$D3662*IFERROR(INDEX('تحليل التكلفة والسعر'!$C$2:$C$700,MATCH($C3662,'تحليل التكلفة والسعر'!$B$2:$B$700,0)),0))</f>
        <v/>
      </c>
    </row>
    <row r="3663" customFormat="false" ht="15" hidden="false" customHeight="false" outlineLevel="0" collapsed="false">
      <c r="A3663" s="102"/>
      <c r="E3663" s="103" t="str">
        <f aca="false">IF($C3663="","",IFERROR(INDEX(المنيو!$C$2:$C$500,MATCH($C3663,المنيو!$B$2:$B$500,0)),0))</f>
        <v/>
      </c>
      <c r="F3663" s="103" t="str">
        <f aca="false">IF($C3663="","",$D3663*$E3663)</f>
        <v/>
      </c>
      <c r="G3663" s="103" t="str">
        <f aca="false">IF($C3663="","",$D3663*IFERROR(INDEX('تحليل التكلفة والسعر'!$C$2:$C$700,MATCH($C3663,'تحليل التكلفة والسعر'!$B$2:$B$700,0)),0))</f>
        <v/>
      </c>
    </row>
    <row r="3664" customFormat="false" ht="15" hidden="false" customHeight="false" outlineLevel="0" collapsed="false">
      <c r="A3664" s="102"/>
      <c r="E3664" s="103" t="str">
        <f aca="false">IF($C3664="","",IFERROR(INDEX(المنيو!$C$2:$C$500,MATCH($C3664,المنيو!$B$2:$B$500,0)),0))</f>
        <v/>
      </c>
      <c r="F3664" s="103" t="str">
        <f aca="false">IF($C3664="","",$D3664*$E3664)</f>
        <v/>
      </c>
      <c r="G3664" s="103" t="str">
        <f aca="false">IF($C3664="","",$D3664*IFERROR(INDEX('تحليل التكلفة والسعر'!$C$2:$C$700,MATCH($C3664,'تحليل التكلفة والسعر'!$B$2:$B$700,0)),0))</f>
        <v/>
      </c>
    </row>
    <row r="3665" customFormat="false" ht="15" hidden="false" customHeight="false" outlineLevel="0" collapsed="false">
      <c r="A3665" s="102"/>
      <c r="E3665" s="103" t="str">
        <f aca="false">IF($C3665="","",IFERROR(INDEX(المنيو!$C$2:$C$500,MATCH($C3665,المنيو!$B$2:$B$500,0)),0))</f>
        <v/>
      </c>
      <c r="F3665" s="103" t="str">
        <f aca="false">IF($C3665="","",$D3665*$E3665)</f>
        <v/>
      </c>
      <c r="G3665" s="103" t="str">
        <f aca="false">IF($C3665="","",$D3665*IFERROR(INDEX('تحليل التكلفة والسعر'!$C$2:$C$700,MATCH($C3665,'تحليل التكلفة والسعر'!$B$2:$B$700,0)),0))</f>
        <v/>
      </c>
    </row>
    <row r="3666" customFormat="false" ht="15" hidden="false" customHeight="false" outlineLevel="0" collapsed="false">
      <c r="A3666" s="102"/>
      <c r="E3666" s="103" t="str">
        <f aca="false">IF($C3666="","",IFERROR(INDEX(المنيو!$C$2:$C$500,MATCH($C3666,المنيو!$B$2:$B$500,0)),0))</f>
        <v/>
      </c>
      <c r="F3666" s="103" t="str">
        <f aca="false">IF($C3666="","",$D3666*$E3666)</f>
        <v/>
      </c>
      <c r="G3666" s="103" t="str">
        <f aca="false">IF($C3666="","",$D3666*IFERROR(INDEX('تحليل التكلفة والسعر'!$C$2:$C$700,MATCH($C3666,'تحليل التكلفة والسعر'!$B$2:$B$700,0)),0))</f>
        <v/>
      </c>
    </row>
    <row r="3667" customFormat="false" ht="15" hidden="false" customHeight="false" outlineLevel="0" collapsed="false">
      <c r="A3667" s="102"/>
      <c r="E3667" s="103" t="str">
        <f aca="false">IF($C3667="","",IFERROR(INDEX(المنيو!$C$2:$C$500,MATCH($C3667,المنيو!$B$2:$B$500,0)),0))</f>
        <v/>
      </c>
      <c r="F3667" s="103" t="str">
        <f aca="false">IF($C3667="","",$D3667*$E3667)</f>
        <v/>
      </c>
      <c r="G3667" s="103" t="str">
        <f aca="false">IF($C3667="","",$D3667*IFERROR(INDEX('تحليل التكلفة والسعر'!$C$2:$C$700,MATCH($C3667,'تحليل التكلفة والسعر'!$B$2:$B$700,0)),0))</f>
        <v/>
      </c>
    </row>
    <row r="3668" customFormat="false" ht="15" hidden="false" customHeight="false" outlineLevel="0" collapsed="false">
      <c r="A3668" s="102"/>
      <c r="E3668" s="103" t="str">
        <f aca="false">IF($C3668="","",IFERROR(INDEX(المنيو!$C$2:$C$500,MATCH($C3668,المنيو!$B$2:$B$500,0)),0))</f>
        <v/>
      </c>
      <c r="F3668" s="103" t="str">
        <f aca="false">IF($C3668="","",$D3668*$E3668)</f>
        <v/>
      </c>
      <c r="G3668" s="103" t="str">
        <f aca="false">IF($C3668="","",$D3668*IFERROR(INDEX('تحليل التكلفة والسعر'!$C$2:$C$700,MATCH($C3668,'تحليل التكلفة والسعر'!$B$2:$B$700,0)),0))</f>
        <v/>
      </c>
    </row>
    <row r="3669" customFormat="false" ht="15" hidden="false" customHeight="false" outlineLevel="0" collapsed="false">
      <c r="A3669" s="102"/>
      <c r="E3669" s="103" t="str">
        <f aca="false">IF($C3669="","",IFERROR(INDEX(المنيو!$C$2:$C$500,MATCH($C3669,المنيو!$B$2:$B$500,0)),0))</f>
        <v/>
      </c>
      <c r="F3669" s="103" t="str">
        <f aca="false">IF($C3669="","",$D3669*$E3669)</f>
        <v/>
      </c>
      <c r="G3669" s="103" t="str">
        <f aca="false">IF($C3669="","",$D3669*IFERROR(INDEX('تحليل التكلفة والسعر'!$C$2:$C$700,MATCH($C3669,'تحليل التكلفة والسعر'!$B$2:$B$700,0)),0))</f>
        <v/>
      </c>
    </row>
    <row r="3670" customFormat="false" ht="15" hidden="false" customHeight="false" outlineLevel="0" collapsed="false">
      <c r="A3670" s="102"/>
      <c r="E3670" s="103" t="str">
        <f aca="false">IF($C3670="","",IFERROR(INDEX(المنيو!$C$2:$C$500,MATCH($C3670,المنيو!$B$2:$B$500,0)),0))</f>
        <v/>
      </c>
      <c r="F3670" s="103" t="str">
        <f aca="false">IF($C3670="","",$D3670*$E3670)</f>
        <v/>
      </c>
      <c r="G3670" s="103" t="str">
        <f aca="false">IF($C3670="","",$D3670*IFERROR(INDEX('تحليل التكلفة والسعر'!$C$2:$C$700,MATCH($C3670,'تحليل التكلفة والسعر'!$B$2:$B$700,0)),0))</f>
        <v/>
      </c>
    </row>
    <row r="3671" customFormat="false" ht="15" hidden="false" customHeight="false" outlineLevel="0" collapsed="false">
      <c r="A3671" s="102"/>
      <c r="E3671" s="103" t="str">
        <f aca="false">IF($C3671="","",IFERROR(INDEX(المنيو!$C$2:$C$500,MATCH($C3671,المنيو!$B$2:$B$500,0)),0))</f>
        <v/>
      </c>
      <c r="F3671" s="103" t="str">
        <f aca="false">IF($C3671="","",$D3671*$E3671)</f>
        <v/>
      </c>
      <c r="G3671" s="103" t="str">
        <f aca="false">IF($C3671="","",$D3671*IFERROR(INDEX('تحليل التكلفة والسعر'!$C$2:$C$700,MATCH($C3671,'تحليل التكلفة والسعر'!$B$2:$B$700,0)),0))</f>
        <v/>
      </c>
    </row>
    <row r="3672" customFormat="false" ht="15" hidden="false" customHeight="false" outlineLevel="0" collapsed="false">
      <c r="A3672" s="102"/>
      <c r="E3672" s="103" t="str">
        <f aca="false">IF($C3672="","",IFERROR(INDEX(المنيو!$C$2:$C$500,MATCH($C3672,المنيو!$B$2:$B$500,0)),0))</f>
        <v/>
      </c>
      <c r="F3672" s="103" t="str">
        <f aca="false">IF($C3672="","",$D3672*$E3672)</f>
        <v/>
      </c>
      <c r="G3672" s="103" t="str">
        <f aca="false">IF($C3672="","",$D3672*IFERROR(INDEX('تحليل التكلفة والسعر'!$C$2:$C$700,MATCH($C3672,'تحليل التكلفة والسعر'!$B$2:$B$700,0)),0))</f>
        <v/>
      </c>
    </row>
    <row r="3673" customFormat="false" ht="15" hidden="false" customHeight="false" outlineLevel="0" collapsed="false">
      <c r="A3673" s="102"/>
      <c r="E3673" s="103" t="str">
        <f aca="false">IF($C3673="","",IFERROR(INDEX(المنيو!$C$2:$C$500,MATCH($C3673,المنيو!$B$2:$B$500,0)),0))</f>
        <v/>
      </c>
      <c r="F3673" s="103" t="str">
        <f aca="false">IF($C3673="","",$D3673*$E3673)</f>
        <v/>
      </c>
      <c r="G3673" s="103" t="str">
        <f aca="false">IF($C3673="","",$D3673*IFERROR(INDEX('تحليل التكلفة والسعر'!$C$2:$C$700,MATCH($C3673,'تحليل التكلفة والسعر'!$B$2:$B$700,0)),0))</f>
        <v/>
      </c>
    </row>
    <row r="3674" customFormat="false" ht="15" hidden="false" customHeight="false" outlineLevel="0" collapsed="false">
      <c r="A3674" s="102"/>
      <c r="E3674" s="103" t="str">
        <f aca="false">IF($C3674="","",IFERROR(INDEX(المنيو!$C$2:$C$500,MATCH($C3674,المنيو!$B$2:$B$500,0)),0))</f>
        <v/>
      </c>
      <c r="F3674" s="103" t="str">
        <f aca="false">IF($C3674="","",$D3674*$E3674)</f>
        <v/>
      </c>
      <c r="G3674" s="103" t="str">
        <f aca="false">IF($C3674="","",$D3674*IFERROR(INDEX('تحليل التكلفة والسعر'!$C$2:$C$700,MATCH($C3674,'تحليل التكلفة والسعر'!$B$2:$B$700,0)),0))</f>
        <v/>
      </c>
    </row>
    <row r="3675" customFormat="false" ht="15" hidden="false" customHeight="false" outlineLevel="0" collapsed="false">
      <c r="A3675" s="102"/>
      <c r="E3675" s="103" t="str">
        <f aca="false">IF($C3675="","",IFERROR(INDEX(المنيو!$C$2:$C$500,MATCH($C3675,المنيو!$B$2:$B$500,0)),0))</f>
        <v/>
      </c>
      <c r="F3675" s="103" t="str">
        <f aca="false">IF($C3675="","",$D3675*$E3675)</f>
        <v/>
      </c>
      <c r="G3675" s="103" t="str">
        <f aca="false">IF($C3675="","",$D3675*IFERROR(INDEX('تحليل التكلفة والسعر'!$C$2:$C$700,MATCH($C3675,'تحليل التكلفة والسعر'!$B$2:$B$700,0)),0))</f>
        <v/>
      </c>
    </row>
    <row r="3676" customFormat="false" ht="15" hidden="false" customHeight="false" outlineLevel="0" collapsed="false">
      <c r="A3676" s="102"/>
      <c r="E3676" s="103" t="str">
        <f aca="false">IF($C3676="","",IFERROR(INDEX(المنيو!$C$2:$C$500,MATCH($C3676,المنيو!$B$2:$B$500,0)),0))</f>
        <v/>
      </c>
      <c r="F3676" s="103" t="str">
        <f aca="false">IF($C3676="","",$D3676*$E3676)</f>
        <v/>
      </c>
      <c r="G3676" s="103" t="str">
        <f aca="false">IF($C3676="","",$D3676*IFERROR(INDEX('تحليل التكلفة والسعر'!$C$2:$C$700,MATCH($C3676,'تحليل التكلفة والسعر'!$B$2:$B$700,0)),0))</f>
        <v/>
      </c>
    </row>
    <row r="3677" customFormat="false" ht="15" hidden="false" customHeight="false" outlineLevel="0" collapsed="false">
      <c r="A3677" s="102"/>
      <c r="E3677" s="103" t="str">
        <f aca="false">IF($C3677="","",IFERROR(INDEX(المنيو!$C$2:$C$500,MATCH($C3677,المنيو!$B$2:$B$500,0)),0))</f>
        <v/>
      </c>
      <c r="F3677" s="103" t="str">
        <f aca="false">IF($C3677="","",$D3677*$E3677)</f>
        <v/>
      </c>
      <c r="G3677" s="103" t="str">
        <f aca="false">IF($C3677="","",$D3677*IFERROR(INDEX('تحليل التكلفة والسعر'!$C$2:$C$700,MATCH($C3677,'تحليل التكلفة والسعر'!$B$2:$B$700,0)),0))</f>
        <v/>
      </c>
    </row>
    <row r="3678" customFormat="false" ht="15" hidden="false" customHeight="false" outlineLevel="0" collapsed="false">
      <c r="A3678" s="102"/>
      <c r="E3678" s="103" t="str">
        <f aca="false">IF($C3678="","",IFERROR(INDEX(المنيو!$C$2:$C$500,MATCH($C3678,المنيو!$B$2:$B$500,0)),0))</f>
        <v/>
      </c>
      <c r="F3678" s="103" t="str">
        <f aca="false">IF($C3678="","",$D3678*$E3678)</f>
        <v/>
      </c>
      <c r="G3678" s="103" t="str">
        <f aca="false">IF($C3678="","",$D3678*IFERROR(INDEX('تحليل التكلفة والسعر'!$C$2:$C$700,MATCH($C3678,'تحليل التكلفة والسعر'!$B$2:$B$700,0)),0))</f>
        <v/>
      </c>
    </row>
    <row r="3679" customFormat="false" ht="15" hidden="false" customHeight="false" outlineLevel="0" collapsed="false">
      <c r="A3679" s="102"/>
      <c r="E3679" s="103" t="str">
        <f aca="false">IF($C3679="","",IFERROR(INDEX(المنيو!$C$2:$C$500,MATCH($C3679,المنيو!$B$2:$B$500,0)),0))</f>
        <v/>
      </c>
      <c r="F3679" s="103" t="str">
        <f aca="false">IF($C3679="","",$D3679*$E3679)</f>
        <v/>
      </c>
      <c r="G3679" s="103" t="str">
        <f aca="false">IF($C3679="","",$D3679*IFERROR(INDEX('تحليل التكلفة والسعر'!$C$2:$C$700,MATCH($C3679,'تحليل التكلفة والسعر'!$B$2:$B$700,0)),0))</f>
        <v/>
      </c>
    </row>
    <row r="3680" customFormat="false" ht="15" hidden="false" customHeight="false" outlineLevel="0" collapsed="false">
      <c r="A3680" s="102"/>
      <c r="E3680" s="103" t="str">
        <f aca="false">IF($C3680="","",IFERROR(INDEX(المنيو!$C$2:$C$500,MATCH($C3680,المنيو!$B$2:$B$500,0)),0))</f>
        <v/>
      </c>
      <c r="F3680" s="103" t="str">
        <f aca="false">IF($C3680="","",$D3680*$E3680)</f>
        <v/>
      </c>
      <c r="G3680" s="103" t="str">
        <f aca="false">IF($C3680="","",$D3680*IFERROR(INDEX('تحليل التكلفة والسعر'!$C$2:$C$700,MATCH($C3680,'تحليل التكلفة والسعر'!$B$2:$B$700,0)),0))</f>
        <v/>
      </c>
    </row>
    <row r="3681" customFormat="false" ht="15" hidden="false" customHeight="false" outlineLevel="0" collapsed="false">
      <c r="A3681" s="102"/>
      <c r="E3681" s="103" t="str">
        <f aca="false">IF($C3681="","",IFERROR(INDEX(المنيو!$C$2:$C$500,MATCH($C3681,المنيو!$B$2:$B$500,0)),0))</f>
        <v/>
      </c>
      <c r="F3681" s="103" t="str">
        <f aca="false">IF($C3681="","",$D3681*$E3681)</f>
        <v/>
      </c>
      <c r="G3681" s="103" t="str">
        <f aca="false">IF($C3681="","",$D3681*IFERROR(INDEX('تحليل التكلفة والسعر'!$C$2:$C$700,MATCH($C3681,'تحليل التكلفة والسعر'!$B$2:$B$700,0)),0))</f>
        <v/>
      </c>
    </row>
    <row r="3682" customFormat="false" ht="15" hidden="false" customHeight="false" outlineLevel="0" collapsed="false">
      <c r="A3682" s="102"/>
      <c r="E3682" s="103" t="str">
        <f aca="false">IF($C3682="","",IFERROR(INDEX(المنيو!$C$2:$C$500,MATCH($C3682,المنيو!$B$2:$B$500,0)),0))</f>
        <v/>
      </c>
      <c r="F3682" s="103" t="str">
        <f aca="false">IF($C3682="","",$D3682*$E3682)</f>
        <v/>
      </c>
      <c r="G3682" s="103" t="str">
        <f aca="false">IF($C3682="","",$D3682*IFERROR(INDEX('تحليل التكلفة والسعر'!$C$2:$C$700,MATCH($C3682,'تحليل التكلفة والسعر'!$B$2:$B$700,0)),0))</f>
        <v/>
      </c>
    </row>
    <row r="3683" customFormat="false" ht="15" hidden="false" customHeight="false" outlineLevel="0" collapsed="false">
      <c r="A3683" s="102"/>
      <c r="E3683" s="103" t="str">
        <f aca="false">IF($C3683="","",IFERROR(INDEX(المنيو!$C$2:$C$500,MATCH($C3683,المنيو!$B$2:$B$500,0)),0))</f>
        <v/>
      </c>
      <c r="F3683" s="103" t="str">
        <f aca="false">IF($C3683="","",$D3683*$E3683)</f>
        <v/>
      </c>
      <c r="G3683" s="103" t="str">
        <f aca="false">IF($C3683="","",$D3683*IFERROR(INDEX('تحليل التكلفة والسعر'!$C$2:$C$700,MATCH($C3683,'تحليل التكلفة والسعر'!$B$2:$B$700,0)),0))</f>
        <v/>
      </c>
    </row>
    <row r="3684" customFormat="false" ht="15" hidden="false" customHeight="false" outlineLevel="0" collapsed="false">
      <c r="A3684" s="102"/>
      <c r="E3684" s="103" t="str">
        <f aca="false">IF($C3684="","",IFERROR(INDEX(المنيو!$C$2:$C$500,MATCH($C3684,المنيو!$B$2:$B$500,0)),0))</f>
        <v/>
      </c>
      <c r="F3684" s="103" t="str">
        <f aca="false">IF($C3684="","",$D3684*$E3684)</f>
        <v/>
      </c>
      <c r="G3684" s="103" t="str">
        <f aca="false">IF($C3684="","",$D3684*IFERROR(INDEX('تحليل التكلفة والسعر'!$C$2:$C$700,MATCH($C3684,'تحليل التكلفة والسعر'!$B$2:$B$700,0)),0))</f>
        <v/>
      </c>
    </row>
    <row r="3685" customFormat="false" ht="15" hidden="false" customHeight="false" outlineLevel="0" collapsed="false">
      <c r="A3685" s="102"/>
      <c r="E3685" s="103" t="str">
        <f aca="false">IF($C3685="","",IFERROR(INDEX(المنيو!$C$2:$C$500,MATCH($C3685,المنيو!$B$2:$B$500,0)),0))</f>
        <v/>
      </c>
      <c r="F3685" s="103" t="str">
        <f aca="false">IF($C3685="","",$D3685*$E3685)</f>
        <v/>
      </c>
      <c r="G3685" s="103" t="str">
        <f aca="false">IF($C3685="","",$D3685*IFERROR(INDEX('تحليل التكلفة والسعر'!$C$2:$C$700,MATCH($C3685,'تحليل التكلفة والسعر'!$B$2:$B$700,0)),0))</f>
        <v/>
      </c>
    </row>
    <row r="3686" customFormat="false" ht="15" hidden="false" customHeight="false" outlineLevel="0" collapsed="false">
      <c r="A3686" s="102"/>
      <c r="E3686" s="103" t="str">
        <f aca="false">IF($C3686="","",IFERROR(INDEX(المنيو!$C$2:$C$500,MATCH($C3686,المنيو!$B$2:$B$500,0)),0))</f>
        <v/>
      </c>
      <c r="F3686" s="103" t="str">
        <f aca="false">IF($C3686="","",$D3686*$E3686)</f>
        <v/>
      </c>
      <c r="G3686" s="103" t="str">
        <f aca="false">IF($C3686="","",$D3686*IFERROR(INDEX('تحليل التكلفة والسعر'!$C$2:$C$700,MATCH($C3686,'تحليل التكلفة والسعر'!$B$2:$B$700,0)),0))</f>
        <v/>
      </c>
    </row>
    <row r="3687" customFormat="false" ht="15" hidden="false" customHeight="false" outlineLevel="0" collapsed="false">
      <c r="A3687" s="102"/>
      <c r="E3687" s="103" t="str">
        <f aca="false">IF($C3687="","",IFERROR(INDEX(المنيو!$C$2:$C$500,MATCH($C3687,المنيو!$B$2:$B$500,0)),0))</f>
        <v/>
      </c>
      <c r="F3687" s="103" t="str">
        <f aca="false">IF($C3687="","",$D3687*$E3687)</f>
        <v/>
      </c>
      <c r="G3687" s="103" t="str">
        <f aca="false">IF($C3687="","",$D3687*IFERROR(INDEX('تحليل التكلفة والسعر'!$C$2:$C$700,MATCH($C3687,'تحليل التكلفة والسعر'!$B$2:$B$700,0)),0))</f>
        <v/>
      </c>
    </row>
    <row r="3688" customFormat="false" ht="15" hidden="false" customHeight="false" outlineLevel="0" collapsed="false">
      <c r="A3688" s="102"/>
      <c r="E3688" s="103" t="str">
        <f aca="false">IF($C3688="","",IFERROR(INDEX(المنيو!$C$2:$C$500,MATCH($C3688,المنيو!$B$2:$B$500,0)),0))</f>
        <v/>
      </c>
      <c r="F3688" s="103" t="str">
        <f aca="false">IF($C3688="","",$D3688*$E3688)</f>
        <v/>
      </c>
      <c r="G3688" s="103" t="str">
        <f aca="false">IF($C3688="","",$D3688*IFERROR(INDEX('تحليل التكلفة والسعر'!$C$2:$C$700,MATCH($C3688,'تحليل التكلفة والسعر'!$B$2:$B$700,0)),0))</f>
        <v/>
      </c>
    </row>
    <row r="3689" customFormat="false" ht="15" hidden="false" customHeight="false" outlineLevel="0" collapsed="false">
      <c r="A3689" s="102"/>
      <c r="E3689" s="103" t="str">
        <f aca="false">IF($C3689="","",IFERROR(INDEX(المنيو!$C$2:$C$500,MATCH($C3689,المنيو!$B$2:$B$500,0)),0))</f>
        <v/>
      </c>
      <c r="F3689" s="103" t="str">
        <f aca="false">IF($C3689="","",$D3689*$E3689)</f>
        <v/>
      </c>
      <c r="G3689" s="103" t="str">
        <f aca="false">IF($C3689="","",$D3689*IFERROR(INDEX('تحليل التكلفة والسعر'!$C$2:$C$700,MATCH($C3689,'تحليل التكلفة والسعر'!$B$2:$B$700,0)),0))</f>
        <v/>
      </c>
    </row>
    <row r="3690" customFormat="false" ht="15" hidden="false" customHeight="false" outlineLevel="0" collapsed="false">
      <c r="A3690" s="102"/>
      <c r="E3690" s="103" t="str">
        <f aca="false">IF($C3690="","",IFERROR(INDEX(المنيو!$C$2:$C$500,MATCH($C3690,المنيو!$B$2:$B$500,0)),0))</f>
        <v/>
      </c>
      <c r="F3690" s="103" t="str">
        <f aca="false">IF($C3690="","",$D3690*$E3690)</f>
        <v/>
      </c>
      <c r="G3690" s="103" t="str">
        <f aca="false">IF($C3690="","",$D3690*IFERROR(INDEX('تحليل التكلفة والسعر'!$C$2:$C$700,MATCH($C3690,'تحليل التكلفة والسعر'!$B$2:$B$700,0)),0))</f>
        <v/>
      </c>
    </row>
    <row r="3691" customFormat="false" ht="15" hidden="false" customHeight="false" outlineLevel="0" collapsed="false">
      <c r="A3691" s="102"/>
      <c r="E3691" s="103" t="str">
        <f aca="false">IF($C3691="","",IFERROR(INDEX(المنيو!$C$2:$C$500,MATCH($C3691,المنيو!$B$2:$B$500,0)),0))</f>
        <v/>
      </c>
      <c r="F3691" s="103" t="str">
        <f aca="false">IF($C3691="","",$D3691*$E3691)</f>
        <v/>
      </c>
      <c r="G3691" s="103" t="str">
        <f aca="false">IF($C3691="","",$D3691*IFERROR(INDEX('تحليل التكلفة والسعر'!$C$2:$C$700,MATCH($C3691,'تحليل التكلفة والسعر'!$B$2:$B$700,0)),0))</f>
        <v/>
      </c>
    </row>
    <row r="3692" customFormat="false" ht="15" hidden="false" customHeight="false" outlineLevel="0" collapsed="false">
      <c r="A3692" s="102"/>
      <c r="E3692" s="103" t="str">
        <f aca="false">IF($C3692="","",IFERROR(INDEX(المنيو!$C$2:$C$500,MATCH($C3692,المنيو!$B$2:$B$500,0)),0))</f>
        <v/>
      </c>
      <c r="F3692" s="103" t="str">
        <f aca="false">IF($C3692="","",$D3692*$E3692)</f>
        <v/>
      </c>
      <c r="G3692" s="103" t="str">
        <f aca="false">IF($C3692="","",$D3692*IFERROR(INDEX('تحليل التكلفة والسعر'!$C$2:$C$700,MATCH($C3692,'تحليل التكلفة والسعر'!$B$2:$B$700,0)),0))</f>
        <v/>
      </c>
    </row>
    <row r="3693" customFormat="false" ht="15" hidden="false" customHeight="false" outlineLevel="0" collapsed="false">
      <c r="A3693" s="102"/>
      <c r="E3693" s="103" t="str">
        <f aca="false">IF($C3693="","",IFERROR(INDEX(المنيو!$C$2:$C$500,MATCH($C3693,المنيو!$B$2:$B$500,0)),0))</f>
        <v/>
      </c>
      <c r="F3693" s="103" t="str">
        <f aca="false">IF($C3693="","",$D3693*$E3693)</f>
        <v/>
      </c>
      <c r="G3693" s="103" t="str">
        <f aca="false">IF($C3693="","",$D3693*IFERROR(INDEX('تحليل التكلفة والسعر'!$C$2:$C$700,MATCH($C3693,'تحليل التكلفة والسعر'!$B$2:$B$700,0)),0))</f>
        <v/>
      </c>
    </row>
    <row r="3694" customFormat="false" ht="15" hidden="false" customHeight="false" outlineLevel="0" collapsed="false">
      <c r="A3694" s="102"/>
      <c r="E3694" s="103" t="str">
        <f aca="false">IF($C3694="","",IFERROR(INDEX(المنيو!$C$2:$C$500,MATCH($C3694,المنيو!$B$2:$B$500,0)),0))</f>
        <v/>
      </c>
      <c r="F3694" s="103" t="str">
        <f aca="false">IF($C3694="","",$D3694*$E3694)</f>
        <v/>
      </c>
      <c r="G3694" s="103" t="str">
        <f aca="false">IF($C3694="","",$D3694*IFERROR(INDEX('تحليل التكلفة والسعر'!$C$2:$C$700,MATCH($C3694,'تحليل التكلفة والسعر'!$B$2:$B$700,0)),0))</f>
        <v/>
      </c>
    </row>
    <row r="3695" customFormat="false" ht="15" hidden="false" customHeight="false" outlineLevel="0" collapsed="false">
      <c r="A3695" s="102"/>
      <c r="E3695" s="103" t="str">
        <f aca="false">IF($C3695="","",IFERROR(INDEX(المنيو!$C$2:$C$500,MATCH($C3695,المنيو!$B$2:$B$500,0)),0))</f>
        <v/>
      </c>
      <c r="F3695" s="103" t="str">
        <f aca="false">IF($C3695="","",$D3695*$E3695)</f>
        <v/>
      </c>
      <c r="G3695" s="103" t="str">
        <f aca="false">IF($C3695="","",$D3695*IFERROR(INDEX('تحليل التكلفة والسعر'!$C$2:$C$700,MATCH($C3695,'تحليل التكلفة والسعر'!$B$2:$B$700,0)),0))</f>
        <v/>
      </c>
    </row>
    <row r="3696" customFormat="false" ht="15" hidden="false" customHeight="false" outlineLevel="0" collapsed="false">
      <c r="A3696" s="102"/>
      <c r="E3696" s="103" t="str">
        <f aca="false">IF($C3696="","",IFERROR(INDEX(المنيو!$C$2:$C$500,MATCH($C3696,المنيو!$B$2:$B$500,0)),0))</f>
        <v/>
      </c>
      <c r="F3696" s="103" t="str">
        <f aca="false">IF($C3696="","",$D3696*$E3696)</f>
        <v/>
      </c>
      <c r="G3696" s="103" t="str">
        <f aca="false">IF($C3696="","",$D3696*IFERROR(INDEX('تحليل التكلفة والسعر'!$C$2:$C$700,MATCH($C3696,'تحليل التكلفة والسعر'!$B$2:$B$700,0)),0))</f>
        <v/>
      </c>
    </row>
    <row r="3697" customFormat="false" ht="15" hidden="false" customHeight="false" outlineLevel="0" collapsed="false">
      <c r="A3697" s="102"/>
      <c r="E3697" s="103" t="str">
        <f aca="false">IF($C3697="","",IFERROR(INDEX(المنيو!$C$2:$C$500,MATCH($C3697,المنيو!$B$2:$B$500,0)),0))</f>
        <v/>
      </c>
      <c r="F3697" s="103" t="str">
        <f aca="false">IF($C3697="","",$D3697*$E3697)</f>
        <v/>
      </c>
      <c r="G3697" s="103" t="str">
        <f aca="false">IF($C3697="","",$D3697*IFERROR(INDEX('تحليل التكلفة والسعر'!$C$2:$C$700,MATCH($C3697,'تحليل التكلفة والسعر'!$B$2:$B$700,0)),0))</f>
        <v/>
      </c>
    </row>
    <row r="3698" customFormat="false" ht="15" hidden="false" customHeight="false" outlineLevel="0" collapsed="false">
      <c r="A3698" s="102"/>
      <c r="E3698" s="103" t="str">
        <f aca="false">IF($C3698="","",IFERROR(INDEX(المنيو!$C$2:$C$500,MATCH($C3698,المنيو!$B$2:$B$500,0)),0))</f>
        <v/>
      </c>
      <c r="F3698" s="103" t="str">
        <f aca="false">IF($C3698="","",$D3698*$E3698)</f>
        <v/>
      </c>
      <c r="G3698" s="103" t="str">
        <f aca="false">IF($C3698="","",$D3698*IFERROR(INDEX('تحليل التكلفة والسعر'!$C$2:$C$700,MATCH($C3698,'تحليل التكلفة والسعر'!$B$2:$B$700,0)),0))</f>
        <v/>
      </c>
    </row>
    <row r="3699" customFormat="false" ht="15" hidden="false" customHeight="false" outlineLevel="0" collapsed="false">
      <c r="A3699" s="102"/>
      <c r="E3699" s="103" t="str">
        <f aca="false">IF($C3699="","",IFERROR(INDEX(المنيو!$C$2:$C$500,MATCH($C3699,المنيو!$B$2:$B$500,0)),0))</f>
        <v/>
      </c>
      <c r="F3699" s="103" t="str">
        <f aca="false">IF($C3699="","",$D3699*$E3699)</f>
        <v/>
      </c>
      <c r="G3699" s="103" t="str">
        <f aca="false">IF($C3699="","",$D3699*IFERROR(INDEX('تحليل التكلفة والسعر'!$C$2:$C$700,MATCH($C3699,'تحليل التكلفة والسعر'!$B$2:$B$700,0)),0))</f>
        <v/>
      </c>
    </row>
    <row r="3700" customFormat="false" ht="15" hidden="false" customHeight="false" outlineLevel="0" collapsed="false">
      <c r="A3700" s="102"/>
      <c r="E3700" s="103" t="str">
        <f aca="false">IF($C3700="","",IFERROR(INDEX(المنيو!$C$2:$C$500,MATCH($C3700,المنيو!$B$2:$B$500,0)),0))</f>
        <v/>
      </c>
      <c r="F3700" s="103" t="str">
        <f aca="false">IF($C3700="","",$D3700*$E3700)</f>
        <v/>
      </c>
      <c r="G3700" s="103" t="str">
        <f aca="false">IF($C3700="","",$D3700*IFERROR(INDEX('تحليل التكلفة والسعر'!$C$2:$C$700,MATCH($C3700,'تحليل التكلفة والسعر'!$B$2:$B$700,0)),0))</f>
        <v/>
      </c>
    </row>
    <row r="3701" customFormat="false" ht="15" hidden="false" customHeight="false" outlineLevel="0" collapsed="false">
      <c r="A3701" s="102"/>
      <c r="E3701" s="103" t="str">
        <f aca="false">IF($C3701="","",IFERROR(INDEX(المنيو!$C$2:$C$500,MATCH($C3701,المنيو!$B$2:$B$500,0)),0))</f>
        <v/>
      </c>
      <c r="F3701" s="103" t="str">
        <f aca="false">IF($C3701="","",$D3701*$E3701)</f>
        <v/>
      </c>
      <c r="G3701" s="103" t="str">
        <f aca="false">IF($C3701="","",$D3701*IFERROR(INDEX('تحليل التكلفة والسعر'!$C$2:$C$700,MATCH($C3701,'تحليل التكلفة والسعر'!$B$2:$B$700,0)),0))</f>
        <v/>
      </c>
    </row>
    <row r="3702" customFormat="false" ht="15" hidden="false" customHeight="false" outlineLevel="0" collapsed="false">
      <c r="A3702" s="102"/>
      <c r="E3702" s="103" t="str">
        <f aca="false">IF($C3702="","",IFERROR(INDEX(المنيو!$C$2:$C$500,MATCH($C3702,المنيو!$B$2:$B$500,0)),0))</f>
        <v/>
      </c>
      <c r="F3702" s="103" t="str">
        <f aca="false">IF($C3702="","",$D3702*$E3702)</f>
        <v/>
      </c>
      <c r="G3702" s="103" t="str">
        <f aca="false">IF($C3702="","",$D3702*IFERROR(INDEX('تحليل التكلفة والسعر'!$C$2:$C$700,MATCH($C3702,'تحليل التكلفة والسعر'!$B$2:$B$700,0)),0))</f>
        <v/>
      </c>
    </row>
    <row r="3703" customFormat="false" ht="15" hidden="false" customHeight="false" outlineLevel="0" collapsed="false">
      <c r="A3703" s="102"/>
      <c r="E3703" s="103" t="str">
        <f aca="false">IF($C3703="","",IFERROR(INDEX(المنيو!$C$2:$C$500,MATCH($C3703,المنيو!$B$2:$B$500,0)),0))</f>
        <v/>
      </c>
      <c r="F3703" s="103" t="str">
        <f aca="false">IF($C3703="","",$D3703*$E3703)</f>
        <v/>
      </c>
      <c r="G3703" s="103" t="str">
        <f aca="false">IF($C3703="","",$D3703*IFERROR(INDEX('تحليل التكلفة والسعر'!$C$2:$C$700,MATCH($C3703,'تحليل التكلفة والسعر'!$B$2:$B$700,0)),0))</f>
        <v/>
      </c>
    </row>
    <row r="3704" customFormat="false" ht="15" hidden="false" customHeight="false" outlineLevel="0" collapsed="false">
      <c r="A3704" s="102"/>
      <c r="E3704" s="103" t="str">
        <f aca="false">IF($C3704="","",IFERROR(INDEX(المنيو!$C$2:$C$500,MATCH($C3704,المنيو!$B$2:$B$500,0)),0))</f>
        <v/>
      </c>
      <c r="F3704" s="103" t="str">
        <f aca="false">IF($C3704="","",$D3704*$E3704)</f>
        <v/>
      </c>
      <c r="G3704" s="103" t="str">
        <f aca="false">IF($C3704="","",$D3704*IFERROR(INDEX('تحليل التكلفة والسعر'!$C$2:$C$700,MATCH($C3704,'تحليل التكلفة والسعر'!$B$2:$B$700,0)),0))</f>
        <v/>
      </c>
    </row>
    <row r="3705" customFormat="false" ht="15" hidden="false" customHeight="false" outlineLevel="0" collapsed="false">
      <c r="A3705" s="102"/>
      <c r="E3705" s="103" t="str">
        <f aca="false">IF($C3705="","",IFERROR(INDEX(المنيو!$C$2:$C$500,MATCH($C3705,المنيو!$B$2:$B$500,0)),0))</f>
        <v/>
      </c>
      <c r="F3705" s="103" t="str">
        <f aca="false">IF($C3705="","",$D3705*$E3705)</f>
        <v/>
      </c>
      <c r="G3705" s="103" t="str">
        <f aca="false">IF($C3705="","",$D3705*IFERROR(INDEX('تحليل التكلفة والسعر'!$C$2:$C$700,MATCH($C3705,'تحليل التكلفة والسعر'!$B$2:$B$700,0)),0))</f>
        <v/>
      </c>
    </row>
    <row r="3706" customFormat="false" ht="15" hidden="false" customHeight="false" outlineLevel="0" collapsed="false">
      <c r="A3706" s="102"/>
      <c r="E3706" s="103" t="str">
        <f aca="false">IF($C3706="","",IFERROR(INDEX(المنيو!$C$2:$C$500,MATCH($C3706,المنيو!$B$2:$B$500,0)),0))</f>
        <v/>
      </c>
      <c r="F3706" s="103" t="str">
        <f aca="false">IF($C3706="","",$D3706*$E3706)</f>
        <v/>
      </c>
      <c r="G3706" s="103" t="str">
        <f aca="false">IF($C3706="","",$D3706*IFERROR(INDEX('تحليل التكلفة والسعر'!$C$2:$C$700,MATCH($C3706,'تحليل التكلفة والسعر'!$B$2:$B$700,0)),0))</f>
        <v/>
      </c>
    </row>
    <row r="3707" customFormat="false" ht="15" hidden="false" customHeight="false" outlineLevel="0" collapsed="false">
      <c r="A3707" s="102"/>
      <c r="E3707" s="103" t="str">
        <f aca="false">IF($C3707="","",IFERROR(INDEX(المنيو!$C$2:$C$500,MATCH($C3707,المنيو!$B$2:$B$500,0)),0))</f>
        <v/>
      </c>
      <c r="F3707" s="103" t="str">
        <f aca="false">IF($C3707="","",$D3707*$E3707)</f>
        <v/>
      </c>
      <c r="G3707" s="103" t="str">
        <f aca="false">IF($C3707="","",$D3707*IFERROR(INDEX('تحليل التكلفة والسعر'!$C$2:$C$700,MATCH($C3707,'تحليل التكلفة والسعر'!$B$2:$B$700,0)),0))</f>
        <v/>
      </c>
    </row>
    <row r="3708" customFormat="false" ht="15" hidden="false" customHeight="false" outlineLevel="0" collapsed="false">
      <c r="A3708" s="102"/>
      <c r="E3708" s="103" t="str">
        <f aca="false">IF($C3708="","",IFERROR(INDEX(المنيو!$C$2:$C$500,MATCH($C3708,المنيو!$B$2:$B$500,0)),0))</f>
        <v/>
      </c>
      <c r="F3708" s="103" t="str">
        <f aca="false">IF($C3708="","",$D3708*$E3708)</f>
        <v/>
      </c>
      <c r="G3708" s="103" t="str">
        <f aca="false">IF($C3708="","",$D3708*IFERROR(INDEX('تحليل التكلفة والسعر'!$C$2:$C$700,MATCH($C3708,'تحليل التكلفة والسعر'!$B$2:$B$700,0)),0))</f>
        <v/>
      </c>
    </row>
    <row r="3709" customFormat="false" ht="15" hidden="false" customHeight="false" outlineLevel="0" collapsed="false">
      <c r="A3709" s="102"/>
      <c r="E3709" s="103" t="str">
        <f aca="false">IF($C3709="","",IFERROR(INDEX(المنيو!$C$2:$C$500,MATCH($C3709,المنيو!$B$2:$B$500,0)),0))</f>
        <v/>
      </c>
      <c r="F3709" s="103" t="str">
        <f aca="false">IF($C3709="","",$D3709*$E3709)</f>
        <v/>
      </c>
      <c r="G3709" s="103" t="str">
        <f aca="false">IF($C3709="","",$D3709*IFERROR(INDEX('تحليل التكلفة والسعر'!$C$2:$C$700,MATCH($C3709,'تحليل التكلفة والسعر'!$B$2:$B$700,0)),0))</f>
        <v/>
      </c>
    </row>
    <row r="3710" customFormat="false" ht="15" hidden="false" customHeight="false" outlineLevel="0" collapsed="false">
      <c r="A3710" s="102"/>
      <c r="E3710" s="103" t="str">
        <f aca="false">IF($C3710="","",IFERROR(INDEX(المنيو!$C$2:$C$500,MATCH($C3710,المنيو!$B$2:$B$500,0)),0))</f>
        <v/>
      </c>
      <c r="F3710" s="103" t="str">
        <f aca="false">IF($C3710="","",$D3710*$E3710)</f>
        <v/>
      </c>
      <c r="G3710" s="103" t="str">
        <f aca="false">IF($C3710="","",$D3710*IFERROR(INDEX('تحليل التكلفة والسعر'!$C$2:$C$700,MATCH($C3710,'تحليل التكلفة والسعر'!$B$2:$B$700,0)),0))</f>
        <v/>
      </c>
    </row>
    <row r="3711" customFormat="false" ht="15" hidden="false" customHeight="false" outlineLevel="0" collapsed="false">
      <c r="A3711" s="102"/>
      <c r="E3711" s="103" t="str">
        <f aca="false">IF($C3711="","",IFERROR(INDEX(المنيو!$C$2:$C$500,MATCH($C3711,المنيو!$B$2:$B$500,0)),0))</f>
        <v/>
      </c>
      <c r="F3711" s="103" t="str">
        <f aca="false">IF($C3711="","",$D3711*$E3711)</f>
        <v/>
      </c>
      <c r="G3711" s="103" t="str">
        <f aca="false">IF($C3711="","",$D3711*IFERROR(INDEX('تحليل التكلفة والسعر'!$C$2:$C$700,MATCH($C3711,'تحليل التكلفة والسعر'!$B$2:$B$700,0)),0))</f>
        <v/>
      </c>
    </row>
    <row r="3712" customFormat="false" ht="15" hidden="false" customHeight="false" outlineLevel="0" collapsed="false">
      <c r="A3712" s="102"/>
      <c r="E3712" s="103" t="str">
        <f aca="false">IF($C3712="","",IFERROR(INDEX(المنيو!$C$2:$C$500,MATCH($C3712,المنيو!$B$2:$B$500,0)),0))</f>
        <v/>
      </c>
      <c r="F3712" s="103" t="str">
        <f aca="false">IF($C3712="","",$D3712*$E3712)</f>
        <v/>
      </c>
      <c r="G3712" s="103" t="str">
        <f aca="false">IF($C3712="","",$D3712*IFERROR(INDEX('تحليل التكلفة والسعر'!$C$2:$C$700,MATCH($C3712,'تحليل التكلفة والسعر'!$B$2:$B$700,0)),0))</f>
        <v/>
      </c>
    </row>
    <row r="3713" customFormat="false" ht="15" hidden="false" customHeight="false" outlineLevel="0" collapsed="false">
      <c r="A3713" s="102"/>
      <c r="E3713" s="103" t="str">
        <f aca="false">IF($C3713="","",IFERROR(INDEX(المنيو!$C$2:$C$500,MATCH($C3713,المنيو!$B$2:$B$500,0)),0))</f>
        <v/>
      </c>
      <c r="F3713" s="103" t="str">
        <f aca="false">IF($C3713="","",$D3713*$E3713)</f>
        <v/>
      </c>
      <c r="G3713" s="103" t="str">
        <f aca="false">IF($C3713="","",$D3713*IFERROR(INDEX('تحليل التكلفة والسعر'!$C$2:$C$700,MATCH($C3713,'تحليل التكلفة والسعر'!$B$2:$B$700,0)),0))</f>
        <v/>
      </c>
    </row>
    <row r="3714" customFormat="false" ht="15" hidden="false" customHeight="false" outlineLevel="0" collapsed="false">
      <c r="A3714" s="102"/>
      <c r="E3714" s="103" t="str">
        <f aca="false">IF($C3714="","",IFERROR(INDEX(المنيو!$C$2:$C$500,MATCH($C3714,المنيو!$B$2:$B$500,0)),0))</f>
        <v/>
      </c>
      <c r="F3714" s="103" t="str">
        <f aca="false">IF($C3714="","",$D3714*$E3714)</f>
        <v/>
      </c>
      <c r="G3714" s="103" t="str">
        <f aca="false">IF($C3714="","",$D3714*IFERROR(INDEX('تحليل التكلفة والسعر'!$C$2:$C$700,MATCH($C3714,'تحليل التكلفة والسعر'!$B$2:$B$700,0)),0))</f>
        <v/>
      </c>
    </row>
    <row r="3715" customFormat="false" ht="15" hidden="false" customHeight="false" outlineLevel="0" collapsed="false">
      <c r="A3715" s="102"/>
      <c r="E3715" s="103" t="str">
        <f aca="false">IF($C3715="","",IFERROR(INDEX(المنيو!$C$2:$C$500,MATCH($C3715,المنيو!$B$2:$B$500,0)),0))</f>
        <v/>
      </c>
      <c r="F3715" s="103" t="str">
        <f aca="false">IF($C3715="","",$D3715*$E3715)</f>
        <v/>
      </c>
      <c r="G3715" s="103" t="str">
        <f aca="false">IF($C3715="","",$D3715*IFERROR(INDEX('تحليل التكلفة والسعر'!$C$2:$C$700,MATCH($C3715,'تحليل التكلفة والسعر'!$B$2:$B$700,0)),0))</f>
        <v/>
      </c>
    </row>
    <row r="3716" customFormat="false" ht="15" hidden="false" customHeight="false" outlineLevel="0" collapsed="false">
      <c r="A3716" s="102"/>
      <c r="E3716" s="103" t="str">
        <f aca="false">IF($C3716="","",IFERROR(INDEX(المنيو!$C$2:$C$500,MATCH($C3716,المنيو!$B$2:$B$500,0)),0))</f>
        <v/>
      </c>
      <c r="F3716" s="103" t="str">
        <f aca="false">IF($C3716="","",$D3716*$E3716)</f>
        <v/>
      </c>
      <c r="G3716" s="103" t="str">
        <f aca="false">IF($C3716="","",$D3716*IFERROR(INDEX('تحليل التكلفة والسعر'!$C$2:$C$700,MATCH($C3716,'تحليل التكلفة والسعر'!$B$2:$B$700,0)),0))</f>
        <v/>
      </c>
    </row>
    <row r="3717" customFormat="false" ht="15" hidden="false" customHeight="false" outlineLevel="0" collapsed="false">
      <c r="A3717" s="102"/>
      <c r="E3717" s="103" t="str">
        <f aca="false">IF($C3717="","",IFERROR(INDEX(المنيو!$C$2:$C$500,MATCH($C3717,المنيو!$B$2:$B$500,0)),0))</f>
        <v/>
      </c>
      <c r="F3717" s="103" t="str">
        <f aca="false">IF($C3717="","",$D3717*$E3717)</f>
        <v/>
      </c>
      <c r="G3717" s="103" t="str">
        <f aca="false">IF($C3717="","",$D3717*IFERROR(INDEX('تحليل التكلفة والسعر'!$C$2:$C$700,MATCH($C3717,'تحليل التكلفة والسعر'!$B$2:$B$700,0)),0))</f>
        <v/>
      </c>
    </row>
    <row r="3718" customFormat="false" ht="15" hidden="false" customHeight="false" outlineLevel="0" collapsed="false">
      <c r="A3718" s="102"/>
      <c r="E3718" s="103" t="str">
        <f aca="false">IF($C3718="","",IFERROR(INDEX(المنيو!$C$2:$C$500,MATCH($C3718,المنيو!$B$2:$B$500,0)),0))</f>
        <v/>
      </c>
      <c r="F3718" s="103" t="str">
        <f aca="false">IF($C3718="","",$D3718*$E3718)</f>
        <v/>
      </c>
      <c r="G3718" s="103" t="str">
        <f aca="false">IF($C3718="","",$D3718*IFERROR(INDEX('تحليل التكلفة والسعر'!$C$2:$C$700,MATCH($C3718,'تحليل التكلفة والسعر'!$B$2:$B$700,0)),0))</f>
        <v/>
      </c>
    </row>
    <row r="3719" customFormat="false" ht="15" hidden="false" customHeight="false" outlineLevel="0" collapsed="false">
      <c r="A3719" s="102"/>
      <c r="E3719" s="103" t="str">
        <f aca="false">IF($C3719="","",IFERROR(INDEX(المنيو!$C$2:$C$500,MATCH($C3719,المنيو!$B$2:$B$500,0)),0))</f>
        <v/>
      </c>
      <c r="F3719" s="103" t="str">
        <f aca="false">IF($C3719="","",$D3719*$E3719)</f>
        <v/>
      </c>
      <c r="G3719" s="103" t="str">
        <f aca="false">IF($C3719="","",$D3719*IFERROR(INDEX('تحليل التكلفة والسعر'!$C$2:$C$700,MATCH($C3719,'تحليل التكلفة والسعر'!$B$2:$B$700,0)),0))</f>
        <v/>
      </c>
    </row>
    <row r="3720" customFormat="false" ht="15" hidden="false" customHeight="false" outlineLevel="0" collapsed="false">
      <c r="A3720" s="102"/>
      <c r="E3720" s="103" t="str">
        <f aca="false">IF($C3720="","",IFERROR(INDEX(المنيو!$C$2:$C$500,MATCH($C3720,المنيو!$B$2:$B$500,0)),0))</f>
        <v/>
      </c>
      <c r="F3720" s="103" t="str">
        <f aca="false">IF($C3720="","",$D3720*$E3720)</f>
        <v/>
      </c>
      <c r="G3720" s="103" t="str">
        <f aca="false">IF($C3720="","",$D3720*IFERROR(INDEX('تحليل التكلفة والسعر'!$C$2:$C$700,MATCH($C3720,'تحليل التكلفة والسعر'!$B$2:$B$700,0)),0))</f>
        <v/>
      </c>
    </row>
    <row r="3721" customFormat="false" ht="15" hidden="false" customHeight="false" outlineLevel="0" collapsed="false">
      <c r="A3721" s="102"/>
      <c r="E3721" s="103" t="str">
        <f aca="false">IF($C3721="","",IFERROR(INDEX(المنيو!$C$2:$C$500,MATCH($C3721,المنيو!$B$2:$B$500,0)),0))</f>
        <v/>
      </c>
      <c r="F3721" s="103" t="str">
        <f aca="false">IF($C3721="","",$D3721*$E3721)</f>
        <v/>
      </c>
      <c r="G3721" s="103" t="str">
        <f aca="false">IF($C3721="","",$D3721*IFERROR(INDEX('تحليل التكلفة والسعر'!$C$2:$C$700,MATCH($C3721,'تحليل التكلفة والسعر'!$B$2:$B$700,0)),0))</f>
        <v/>
      </c>
    </row>
    <row r="3722" customFormat="false" ht="15" hidden="false" customHeight="false" outlineLevel="0" collapsed="false">
      <c r="A3722" s="102"/>
      <c r="E3722" s="103" t="str">
        <f aca="false">IF($C3722="","",IFERROR(INDEX(المنيو!$C$2:$C$500,MATCH($C3722,المنيو!$B$2:$B$500,0)),0))</f>
        <v/>
      </c>
      <c r="F3722" s="103" t="str">
        <f aca="false">IF($C3722="","",$D3722*$E3722)</f>
        <v/>
      </c>
      <c r="G3722" s="103" t="str">
        <f aca="false">IF($C3722="","",$D3722*IFERROR(INDEX('تحليل التكلفة والسعر'!$C$2:$C$700,MATCH($C3722,'تحليل التكلفة والسعر'!$B$2:$B$700,0)),0))</f>
        <v/>
      </c>
    </row>
    <row r="3723" customFormat="false" ht="15" hidden="false" customHeight="false" outlineLevel="0" collapsed="false">
      <c r="A3723" s="102"/>
      <c r="E3723" s="103" t="str">
        <f aca="false">IF($C3723="","",IFERROR(INDEX(المنيو!$C$2:$C$500,MATCH($C3723,المنيو!$B$2:$B$500,0)),0))</f>
        <v/>
      </c>
      <c r="F3723" s="103" t="str">
        <f aca="false">IF($C3723="","",$D3723*$E3723)</f>
        <v/>
      </c>
      <c r="G3723" s="103" t="str">
        <f aca="false">IF($C3723="","",$D3723*IFERROR(INDEX('تحليل التكلفة والسعر'!$C$2:$C$700,MATCH($C3723,'تحليل التكلفة والسعر'!$B$2:$B$700,0)),0))</f>
        <v/>
      </c>
    </row>
    <row r="3724" customFormat="false" ht="15" hidden="false" customHeight="false" outlineLevel="0" collapsed="false">
      <c r="A3724" s="102"/>
      <c r="E3724" s="103" t="str">
        <f aca="false">IF($C3724="","",IFERROR(INDEX(المنيو!$C$2:$C$500,MATCH($C3724,المنيو!$B$2:$B$500,0)),0))</f>
        <v/>
      </c>
      <c r="F3724" s="103" t="str">
        <f aca="false">IF($C3724="","",$D3724*$E3724)</f>
        <v/>
      </c>
      <c r="G3724" s="103" t="str">
        <f aca="false">IF($C3724="","",$D3724*IFERROR(INDEX('تحليل التكلفة والسعر'!$C$2:$C$700,MATCH($C3724,'تحليل التكلفة والسعر'!$B$2:$B$700,0)),0))</f>
        <v/>
      </c>
    </row>
    <row r="3725" customFormat="false" ht="15" hidden="false" customHeight="false" outlineLevel="0" collapsed="false">
      <c r="A3725" s="102"/>
      <c r="E3725" s="103" t="str">
        <f aca="false">IF($C3725="","",IFERROR(INDEX(المنيو!$C$2:$C$500,MATCH($C3725,المنيو!$B$2:$B$500,0)),0))</f>
        <v/>
      </c>
      <c r="F3725" s="103" t="str">
        <f aca="false">IF($C3725="","",$D3725*$E3725)</f>
        <v/>
      </c>
      <c r="G3725" s="103" t="str">
        <f aca="false">IF($C3725="","",$D3725*IFERROR(INDEX('تحليل التكلفة والسعر'!$C$2:$C$700,MATCH($C3725,'تحليل التكلفة والسعر'!$B$2:$B$700,0)),0))</f>
        <v/>
      </c>
    </row>
    <row r="3726" customFormat="false" ht="15" hidden="false" customHeight="false" outlineLevel="0" collapsed="false">
      <c r="A3726" s="102"/>
      <c r="E3726" s="103" t="str">
        <f aca="false">IF($C3726="","",IFERROR(INDEX(المنيو!$C$2:$C$500,MATCH($C3726,المنيو!$B$2:$B$500,0)),0))</f>
        <v/>
      </c>
      <c r="F3726" s="103" t="str">
        <f aca="false">IF($C3726="","",$D3726*$E3726)</f>
        <v/>
      </c>
      <c r="G3726" s="103" t="str">
        <f aca="false">IF($C3726="","",$D3726*IFERROR(INDEX('تحليل التكلفة والسعر'!$C$2:$C$700,MATCH($C3726,'تحليل التكلفة والسعر'!$B$2:$B$700,0)),0))</f>
        <v/>
      </c>
    </row>
    <row r="3727" customFormat="false" ht="15" hidden="false" customHeight="false" outlineLevel="0" collapsed="false">
      <c r="A3727" s="102"/>
      <c r="E3727" s="103" t="str">
        <f aca="false">IF($C3727="","",IFERROR(INDEX(المنيو!$C$2:$C$500,MATCH($C3727,المنيو!$B$2:$B$500,0)),0))</f>
        <v/>
      </c>
      <c r="F3727" s="103" t="str">
        <f aca="false">IF($C3727="","",$D3727*$E3727)</f>
        <v/>
      </c>
      <c r="G3727" s="103" t="str">
        <f aca="false">IF($C3727="","",$D3727*IFERROR(INDEX('تحليل التكلفة والسعر'!$C$2:$C$700,MATCH($C3727,'تحليل التكلفة والسعر'!$B$2:$B$700,0)),0))</f>
        <v/>
      </c>
    </row>
    <row r="3728" customFormat="false" ht="15" hidden="false" customHeight="false" outlineLevel="0" collapsed="false">
      <c r="A3728" s="102"/>
      <c r="E3728" s="103" t="str">
        <f aca="false">IF($C3728="","",IFERROR(INDEX(المنيو!$C$2:$C$500,MATCH($C3728,المنيو!$B$2:$B$500,0)),0))</f>
        <v/>
      </c>
      <c r="F3728" s="103" t="str">
        <f aca="false">IF($C3728="","",$D3728*$E3728)</f>
        <v/>
      </c>
      <c r="G3728" s="103" t="str">
        <f aca="false">IF($C3728="","",$D3728*IFERROR(INDEX('تحليل التكلفة والسعر'!$C$2:$C$700,MATCH($C3728,'تحليل التكلفة والسعر'!$B$2:$B$700,0)),0))</f>
        <v/>
      </c>
    </row>
    <row r="3729" customFormat="false" ht="15" hidden="false" customHeight="false" outlineLevel="0" collapsed="false">
      <c r="A3729" s="102"/>
      <c r="E3729" s="103" t="str">
        <f aca="false">IF($C3729="","",IFERROR(INDEX(المنيو!$C$2:$C$500,MATCH($C3729,المنيو!$B$2:$B$500,0)),0))</f>
        <v/>
      </c>
      <c r="F3729" s="103" t="str">
        <f aca="false">IF($C3729="","",$D3729*$E3729)</f>
        <v/>
      </c>
      <c r="G3729" s="103" t="str">
        <f aca="false">IF($C3729="","",$D3729*IFERROR(INDEX('تحليل التكلفة والسعر'!$C$2:$C$700,MATCH($C3729,'تحليل التكلفة والسعر'!$B$2:$B$700,0)),0))</f>
        <v/>
      </c>
    </row>
    <row r="3730" customFormat="false" ht="15" hidden="false" customHeight="false" outlineLevel="0" collapsed="false">
      <c r="A3730" s="102"/>
      <c r="E3730" s="103" t="str">
        <f aca="false">IF($C3730="","",IFERROR(INDEX(المنيو!$C$2:$C$500,MATCH($C3730,المنيو!$B$2:$B$500,0)),0))</f>
        <v/>
      </c>
      <c r="F3730" s="103" t="str">
        <f aca="false">IF($C3730="","",$D3730*$E3730)</f>
        <v/>
      </c>
      <c r="G3730" s="103" t="str">
        <f aca="false">IF($C3730="","",$D3730*IFERROR(INDEX('تحليل التكلفة والسعر'!$C$2:$C$700,MATCH($C3730,'تحليل التكلفة والسعر'!$B$2:$B$700,0)),0))</f>
        <v/>
      </c>
    </row>
    <row r="3731" customFormat="false" ht="15" hidden="false" customHeight="false" outlineLevel="0" collapsed="false">
      <c r="A3731" s="102"/>
      <c r="E3731" s="103" t="str">
        <f aca="false">IF($C3731="","",IFERROR(INDEX(المنيو!$C$2:$C$500,MATCH($C3731,المنيو!$B$2:$B$500,0)),0))</f>
        <v/>
      </c>
      <c r="F3731" s="103" t="str">
        <f aca="false">IF($C3731="","",$D3731*$E3731)</f>
        <v/>
      </c>
      <c r="G3731" s="103" t="str">
        <f aca="false">IF($C3731="","",$D3731*IFERROR(INDEX('تحليل التكلفة والسعر'!$C$2:$C$700,MATCH($C3731,'تحليل التكلفة والسعر'!$B$2:$B$700,0)),0))</f>
        <v/>
      </c>
    </row>
    <row r="3732" customFormat="false" ht="15" hidden="false" customHeight="false" outlineLevel="0" collapsed="false">
      <c r="A3732" s="102"/>
      <c r="E3732" s="103" t="str">
        <f aca="false">IF($C3732="","",IFERROR(INDEX(المنيو!$C$2:$C$500,MATCH($C3732,المنيو!$B$2:$B$500,0)),0))</f>
        <v/>
      </c>
      <c r="F3732" s="103" t="str">
        <f aca="false">IF($C3732="","",$D3732*$E3732)</f>
        <v/>
      </c>
      <c r="G3732" s="103" t="str">
        <f aca="false">IF($C3732="","",$D3732*IFERROR(INDEX('تحليل التكلفة والسعر'!$C$2:$C$700,MATCH($C3732,'تحليل التكلفة والسعر'!$B$2:$B$700,0)),0))</f>
        <v/>
      </c>
    </row>
    <row r="3733" customFormat="false" ht="15" hidden="false" customHeight="false" outlineLevel="0" collapsed="false">
      <c r="A3733" s="102"/>
      <c r="E3733" s="103" t="str">
        <f aca="false">IF($C3733="","",IFERROR(INDEX(المنيو!$C$2:$C$500,MATCH($C3733,المنيو!$B$2:$B$500,0)),0))</f>
        <v/>
      </c>
      <c r="F3733" s="103" t="str">
        <f aca="false">IF($C3733="","",$D3733*$E3733)</f>
        <v/>
      </c>
      <c r="G3733" s="103" t="str">
        <f aca="false">IF($C3733="","",$D3733*IFERROR(INDEX('تحليل التكلفة والسعر'!$C$2:$C$700,MATCH($C3733,'تحليل التكلفة والسعر'!$B$2:$B$700,0)),0))</f>
        <v/>
      </c>
    </row>
    <row r="3734" customFormat="false" ht="15" hidden="false" customHeight="false" outlineLevel="0" collapsed="false">
      <c r="A3734" s="102"/>
      <c r="E3734" s="103" t="str">
        <f aca="false">IF($C3734="","",IFERROR(INDEX(المنيو!$C$2:$C$500,MATCH($C3734,المنيو!$B$2:$B$500,0)),0))</f>
        <v/>
      </c>
      <c r="F3734" s="103" t="str">
        <f aca="false">IF($C3734="","",$D3734*$E3734)</f>
        <v/>
      </c>
      <c r="G3734" s="103" t="str">
        <f aca="false">IF($C3734="","",$D3734*IFERROR(INDEX('تحليل التكلفة والسعر'!$C$2:$C$700,MATCH($C3734,'تحليل التكلفة والسعر'!$B$2:$B$700,0)),0))</f>
        <v/>
      </c>
    </row>
    <row r="3735" customFormat="false" ht="15" hidden="false" customHeight="false" outlineLevel="0" collapsed="false">
      <c r="A3735" s="102"/>
      <c r="E3735" s="103" t="str">
        <f aca="false">IF($C3735="","",IFERROR(INDEX(المنيو!$C$2:$C$500,MATCH($C3735,المنيو!$B$2:$B$500,0)),0))</f>
        <v/>
      </c>
      <c r="F3735" s="103" t="str">
        <f aca="false">IF($C3735="","",$D3735*$E3735)</f>
        <v/>
      </c>
      <c r="G3735" s="103" t="str">
        <f aca="false">IF($C3735="","",$D3735*IFERROR(INDEX('تحليل التكلفة والسعر'!$C$2:$C$700,MATCH($C3735,'تحليل التكلفة والسعر'!$B$2:$B$700,0)),0))</f>
        <v/>
      </c>
    </row>
    <row r="3736" customFormat="false" ht="15" hidden="false" customHeight="false" outlineLevel="0" collapsed="false">
      <c r="A3736" s="102"/>
      <c r="E3736" s="103" t="str">
        <f aca="false">IF($C3736="","",IFERROR(INDEX(المنيو!$C$2:$C$500,MATCH($C3736,المنيو!$B$2:$B$500,0)),0))</f>
        <v/>
      </c>
      <c r="F3736" s="103" t="str">
        <f aca="false">IF($C3736="","",$D3736*$E3736)</f>
        <v/>
      </c>
      <c r="G3736" s="103" t="str">
        <f aca="false">IF($C3736="","",$D3736*IFERROR(INDEX('تحليل التكلفة والسعر'!$C$2:$C$700,MATCH($C3736,'تحليل التكلفة والسعر'!$B$2:$B$700,0)),0))</f>
        <v/>
      </c>
    </row>
    <row r="3737" customFormat="false" ht="15" hidden="false" customHeight="false" outlineLevel="0" collapsed="false">
      <c r="A3737" s="102"/>
      <c r="E3737" s="103" t="str">
        <f aca="false">IF($C3737="","",IFERROR(INDEX(المنيو!$C$2:$C$500,MATCH($C3737,المنيو!$B$2:$B$500,0)),0))</f>
        <v/>
      </c>
      <c r="F3737" s="103" t="str">
        <f aca="false">IF($C3737="","",$D3737*$E3737)</f>
        <v/>
      </c>
      <c r="G3737" s="103" t="str">
        <f aca="false">IF($C3737="","",$D3737*IFERROR(INDEX('تحليل التكلفة والسعر'!$C$2:$C$700,MATCH($C3737,'تحليل التكلفة والسعر'!$B$2:$B$700,0)),0))</f>
        <v/>
      </c>
    </row>
    <row r="3738" customFormat="false" ht="15" hidden="false" customHeight="false" outlineLevel="0" collapsed="false">
      <c r="A3738" s="102"/>
      <c r="E3738" s="103" t="str">
        <f aca="false">IF($C3738="","",IFERROR(INDEX(المنيو!$C$2:$C$500,MATCH($C3738,المنيو!$B$2:$B$500,0)),0))</f>
        <v/>
      </c>
      <c r="F3738" s="103" t="str">
        <f aca="false">IF($C3738="","",$D3738*$E3738)</f>
        <v/>
      </c>
      <c r="G3738" s="103" t="str">
        <f aca="false">IF($C3738="","",$D3738*IFERROR(INDEX('تحليل التكلفة والسعر'!$C$2:$C$700,MATCH($C3738,'تحليل التكلفة والسعر'!$B$2:$B$700,0)),0))</f>
        <v/>
      </c>
    </row>
    <row r="3739" customFormat="false" ht="15" hidden="false" customHeight="false" outlineLevel="0" collapsed="false">
      <c r="A3739" s="102"/>
      <c r="E3739" s="103" t="str">
        <f aca="false">IF($C3739="","",IFERROR(INDEX(المنيو!$C$2:$C$500,MATCH($C3739,المنيو!$B$2:$B$500,0)),0))</f>
        <v/>
      </c>
      <c r="F3739" s="103" t="str">
        <f aca="false">IF($C3739="","",$D3739*$E3739)</f>
        <v/>
      </c>
      <c r="G3739" s="103" t="str">
        <f aca="false">IF($C3739="","",$D3739*IFERROR(INDEX('تحليل التكلفة والسعر'!$C$2:$C$700,MATCH($C3739,'تحليل التكلفة والسعر'!$B$2:$B$700,0)),0))</f>
        <v/>
      </c>
    </row>
    <row r="3740" customFormat="false" ht="15" hidden="false" customHeight="false" outlineLevel="0" collapsed="false">
      <c r="A3740" s="102"/>
      <c r="E3740" s="103" t="str">
        <f aca="false">IF($C3740="","",IFERROR(INDEX(المنيو!$C$2:$C$500,MATCH($C3740,المنيو!$B$2:$B$500,0)),0))</f>
        <v/>
      </c>
      <c r="F3740" s="103" t="str">
        <f aca="false">IF($C3740="","",$D3740*$E3740)</f>
        <v/>
      </c>
      <c r="G3740" s="103" t="str">
        <f aca="false">IF($C3740="","",$D3740*IFERROR(INDEX('تحليل التكلفة والسعر'!$C$2:$C$700,MATCH($C3740,'تحليل التكلفة والسعر'!$B$2:$B$700,0)),0))</f>
        <v/>
      </c>
    </row>
    <row r="3741" customFormat="false" ht="15" hidden="false" customHeight="false" outlineLevel="0" collapsed="false">
      <c r="A3741" s="102"/>
      <c r="E3741" s="103" t="str">
        <f aca="false">IF($C3741="","",IFERROR(INDEX(المنيو!$C$2:$C$500,MATCH($C3741,المنيو!$B$2:$B$500,0)),0))</f>
        <v/>
      </c>
      <c r="F3741" s="103" t="str">
        <f aca="false">IF($C3741="","",$D3741*$E3741)</f>
        <v/>
      </c>
      <c r="G3741" s="103" t="str">
        <f aca="false">IF($C3741="","",$D3741*IFERROR(INDEX('تحليل التكلفة والسعر'!$C$2:$C$700,MATCH($C3741,'تحليل التكلفة والسعر'!$B$2:$B$700,0)),0))</f>
        <v/>
      </c>
    </row>
    <row r="3742" customFormat="false" ht="15" hidden="false" customHeight="false" outlineLevel="0" collapsed="false">
      <c r="A3742" s="102"/>
      <c r="E3742" s="103" t="str">
        <f aca="false">IF($C3742="","",IFERROR(INDEX(المنيو!$C$2:$C$500,MATCH($C3742,المنيو!$B$2:$B$500,0)),0))</f>
        <v/>
      </c>
      <c r="F3742" s="103" t="str">
        <f aca="false">IF($C3742="","",$D3742*$E3742)</f>
        <v/>
      </c>
      <c r="G3742" s="103" t="str">
        <f aca="false">IF($C3742="","",$D3742*IFERROR(INDEX('تحليل التكلفة والسعر'!$C$2:$C$700,MATCH($C3742,'تحليل التكلفة والسعر'!$B$2:$B$700,0)),0))</f>
        <v/>
      </c>
    </row>
    <row r="3743" customFormat="false" ht="15" hidden="false" customHeight="false" outlineLevel="0" collapsed="false">
      <c r="A3743" s="102"/>
      <c r="E3743" s="103" t="str">
        <f aca="false">IF($C3743="","",IFERROR(INDEX(المنيو!$C$2:$C$500,MATCH($C3743,المنيو!$B$2:$B$500,0)),0))</f>
        <v/>
      </c>
      <c r="F3743" s="103" t="str">
        <f aca="false">IF($C3743="","",$D3743*$E3743)</f>
        <v/>
      </c>
      <c r="G3743" s="103" t="str">
        <f aca="false">IF($C3743="","",$D3743*IFERROR(INDEX('تحليل التكلفة والسعر'!$C$2:$C$700,MATCH($C3743,'تحليل التكلفة والسعر'!$B$2:$B$700,0)),0))</f>
        <v/>
      </c>
    </row>
    <row r="3744" customFormat="false" ht="15" hidden="false" customHeight="false" outlineLevel="0" collapsed="false">
      <c r="A3744" s="102"/>
      <c r="E3744" s="103" t="str">
        <f aca="false">IF($C3744="","",IFERROR(INDEX(المنيو!$C$2:$C$500,MATCH($C3744,المنيو!$B$2:$B$500,0)),0))</f>
        <v/>
      </c>
      <c r="F3744" s="103" t="str">
        <f aca="false">IF($C3744="","",$D3744*$E3744)</f>
        <v/>
      </c>
      <c r="G3744" s="103" t="str">
        <f aca="false">IF($C3744="","",$D3744*IFERROR(INDEX('تحليل التكلفة والسعر'!$C$2:$C$700,MATCH($C3744,'تحليل التكلفة والسعر'!$B$2:$B$700,0)),0))</f>
        <v/>
      </c>
    </row>
    <row r="3745" customFormat="false" ht="15" hidden="false" customHeight="false" outlineLevel="0" collapsed="false">
      <c r="A3745" s="102"/>
      <c r="E3745" s="103" t="str">
        <f aca="false">IF($C3745="","",IFERROR(INDEX(المنيو!$C$2:$C$500,MATCH($C3745,المنيو!$B$2:$B$500,0)),0))</f>
        <v/>
      </c>
      <c r="F3745" s="103" t="str">
        <f aca="false">IF($C3745="","",$D3745*$E3745)</f>
        <v/>
      </c>
      <c r="G3745" s="103" t="str">
        <f aca="false">IF($C3745="","",$D3745*IFERROR(INDEX('تحليل التكلفة والسعر'!$C$2:$C$700,MATCH($C3745,'تحليل التكلفة والسعر'!$B$2:$B$700,0)),0))</f>
        <v/>
      </c>
    </row>
    <row r="3746" customFormat="false" ht="15" hidden="false" customHeight="false" outlineLevel="0" collapsed="false">
      <c r="A3746" s="102"/>
      <c r="E3746" s="103" t="str">
        <f aca="false">IF($C3746="","",IFERROR(INDEX(المنيو!$C$2:$C$500,MATCH($C3746,المنيو!$B$2:$B$500,0)),0))</f>
        <v/>
      </c>
      <c r="F3746" s="103" t="str">
        <f aca="false">IF($C3746="","",$D3746*$E3746)</f>
        <v/>
      </c>
      <c r="G3746" s="103" t="str">
        <f aca="false">IF($C3746="","",$D3746*IFERROR(INDEX('تحليل التكلفة والسعر'!$C$2:$C$700,MATCH($C3746,'تحليل التكلفة والسعر'!$B$2:$B$700,0)),0))</f>
        <v/>
      </c>
    </row>
    <row r="3747" customFormat="false" ht="15" hidden="false" customHeight="false" outlineLevel="0" collapsed="false">
      <c r="A3747" s="102"/>
      <c r="E3747" s="103" t="str">
        <f aca="false">IF($C3747="","",IFERROR(INDEX(المنيو!$C$2:$C$500,MATCH($C3747,المنيو!$B$2:$B$500,0)),0))</f>
        <v/>
      </c>
      <c r="F3747" s="103" t="str">
        <f aca="false">IF($C3747="","",$D3747*$E3747)</f>
        <v/>
      </c>
      <c r="G3747" s="103" t="str">
        <f aca="false">IF($C3747="","",$D3747*IFERROR(INDEX('تحليل التكلفة والسعر'!$C$2:$C$700,MATCH($C3747,'تحليل التكلفة والسعر'!$B$2:$B$700,0)),0))</f>
        <v/>
      </c>
    </row>
    <row r="3748" customFormat="false" ht="15" hidden="false" customHeight="false" outlineLevel="0" collapsed="false">
      <c r="A3748" s="102"/>
      <c r="E3748" s="103" t="str">
        <f aca="false">IF($C3748="","",IFERROR(INDEX(المنيو!$C$2:$C$500,MATCH($C3748,المنيو!$B$2:$B$500,0)),0))</f>
        <v/>
      </c>
      <c r="F3748" s="103" t="str">
        <f aca="false">IF($C3748="","",$D3748*$E3748)</f>
        <v/>
      </c>
      <c r="G3748" s="103" t="str">
        <f aca="false">IF($C3748="","",$D3748*IFERROR(INDEX('تحليل التكلفة والسعر'!$C$2:$C$700,MATCH($C3748,'تحليل التكلفة والسعر'!$B$2:$B$700,0)),0))</f>
        <v/>
      </c>
    </row>
    <row r="3749" customFormat="false" ht="15" hidden="false" customHeight="false" outlineLevel="0" collapsed="false">
      <c r="A3749" s="102"/>
      <c r="E3749" s="103" t="str">
        <f aca="false">IF($C3749="","",IFERROR(INDEX(المنيو!$C$2:$C$500,MATCH($C3749,المنيو!$B$2:$B$500,0)),0))</f>
        <v/>
      </c>
      <c r="F3749" s="103" t="str">
        <f aca="false">IF($C3749="","",$D3749*$E3749)</f>
        <v/>
      </c>
      <c r="G3749" s="103" t="str">
        <f aca="false">IF($C3749="","",$D3749*IFERROR(INDEX('تحليل التكلفة والسعر'!$C$2:$C$700,MATCH($C3749,'تحليل التكلفة والسعر'!$B$2:$B$700,0)),0))</f>
        <v/>
      </c>
    </row>
    <row r="3750" customFormat="false" ht="15" hidden="false" customHeight="false" outlineLevel="0" collapsed="false">
      <c r="A3750" s="102"/>
      <c r="E3750" s="103" t="str">
        <f aca="false">IF($C3750="","",IFERROR(INDEX(المنيو!$C$2:$C$500,MATCH($C3750,المنيو!$B$2:$B$500,0)),0))</f>
        <v/>
      </c>
      <c r="F3750" s="103" t="str">
        <f aca="false">IF($C3750="","",$D3750*$E3750)</f>
        <v/>
      </c>
      <c r="G3750" s="103" t="str">
        <f aca="false">IF($C3750="","",$D3750*IFERROR(INDEX('تحليل التكلفة والسعر'!$C$2:$C$700,MATCH($C3750,'تحليل التكلفة والسعر'!$B$2:$B$700,0)),0))</f>
        <v/>
      </c>
    </row>
    <row r="3751" customFormat="false" ht="15" hidden="false" customHeight="false" outlineLevel="0" collapsed="false">
      <c r="A3751" s="102"/>
      <c r="E3751" s="103" t="str">
        <f aca="false">IF($C3751="","",IFERROR(INDEX(المنيو!$C$2:$C$500,MATCH($C3751,المنيو!$B$2:$B$500,0)),0))</f>
        <v/>
      </c>
      <c r="F3751" s="103" t="str">
        <f aca="false">IF($C3751="","",$D3751*$E3751)</f>
        <v/>
      </c>
      <c r="G3751" s="103" t="str">
        <f aca="false">IF($C3751="","",$D3751*IFERROR(INDEX('تحليل التكلفة والسعر'!$C$2:$C$700,MATCH($C3751,'تحليل التكلفة والسعر'!$B$2:$B$700,0)),0))</f>
        <v/>
      </c>
    </row>
    <row r="3752" customFormat="false" ht="15" hidden="false" customHeight="false" outlineLevel="0" collapsed="false">
      <c r="A3752" s="102"/>
      <c r="E3752" s="103" t="str">
        <f aca="false">IF($C3752="","",IFERROR(INDEX(المنيو!$C$2:$C$500,MATCH($C3752,المنيو!$B$2:$B$500,0)),0))</f>
        <v/>
      </c>
      <c r="F3752" s="103" t="str">
        <f aca="false">IF($C3752="","",$D3752*$E3752)</f>
        <v/>
      </c>
      <c r="G3752" s="103" t="str">
        <f aca="false">IF($C3752="","",$D3752*IFERROR(INDEX('تحليل التكلفة والسعر'!$C$2:$C$700,MATCH($C3752,'تحليل التكلفة والسعر'!$B$2:$B$700,0)),0))</f>
        <v/>
      </c>
    </row>
    <row r="3753" customFormat="false" ht="15" hidden="false" customHeight="false" outlineLevel="0" collapsed="false">
      <c r="A3753" s="102"/>
      <c r="E3753" s="103" t="str">
        <f aca="false">IF($C3753="","",IFERROR(INDEX(المنيو!$C$2:$C$500,MATCH($C3753,المنيو!$B$2:$B$500,0)),0))</f>
        <v/>
      </c>
      <c r="F3753" s="103" t="str">
        <f aca="false">IF($C3753="","",$D3753*$E3753)</f>
        <v/>
      </c>
      <c r="G3753" s="103" t="str">
        <f aca="false">IF($C3753="","",$D3753*IFERROR(INDEX('تحليل التكلفة والسعر'!$C$2:$C$700,MATCH($C3753,'تحليل التكلفة والسعر'!$B$2:$B$700,0)),0))</f>
        <v/>
      </c>
    </row>
    <row r="3754" customFormat="false" ht="15" hidden="false" customHeight="false" outlineLevel="0" collapsed="false">
      <c r="A3754" s="102"/>
      <c r="E3754" s="103" t="str">
        <f aca="false">IF($C3754="","",IFERROR(INDEX(المنيو!$C$2:$C$500,MATCH($C3754,المنيو!$B$2:$B$500,0)),0))</f>
        <v/>
      </c>
      <c r="F3754" s="103" t="str">
        <f aca="false">IF($C3754="","",$D3754*$E3754)</f>
        <v/>
      </c>
      <c r="G3754" s="103" t="str">
        <f aca="false">IF($C3754="","",$D3754*IFERROR(INDEX('تحليل التكلفة والسعر'!$C$2:$C$700,MATCH($C3754,'تحليل التكلفة والسعر'!$B$2:$B$700,0)),0))</f>
        <v/>
      </c>
    </row>
    <row r="3755" customFormat="false" ht="15" hidden="false" customHeight="false" outlineLevel="0" collapsed="false">
      <c r="A3755" s="102"/>
      <c r="E3755" s="103" t="str">
        <f aca="false">IF($C3755="","",IFERROR(INDEX(المنيو!$C$2:$C$500,MATCH($C3755,المنيو!$B$2:$B$500,0)),0))</f>
        <v/>
      </c>
      <c r="F3755" s="103" t="str">
        <f aca="false">IF($C3755="","",$D3755*$E3755)</f>
        <v/>
      </c>
      <c r="G3755" s="103" t="str">
        <f aca="false">IF($C3755="","",$D3755*IFERROR(INDEX('تحليل التكلفة والسعر'!$C$2:$C$700,MATCH($C3755,'تحليل التكلفة والسعر'!$B$2:$B$700,0)),0))</f>
        <v/>
      </c>
    </row>
    <row r="3756" customFormat="false" ht="15" hidden="false" customHeight="false" outlineLevel="0" collapsed="false">
      <c r="A3756" s="102"/>
      <c r="E3756" s="103" t="str">
        <f aca="false">IF($C3756="","",IFERROR(INDEX(المنيو!$C$2:$C$500,MATCH($C3756,المنيو!$B$2:$B$500,0)),0))</f>
        <v/>
      </c>
      <c r="F3756" s="103" t="str">
        <f aca="false">IF($C3756="","",$D3756*$E3756)</f>
        <v/>
      </c>
      <c r="G3756" s="103" t="str">
        <f aca="false">IF($C3756="","",$D3756*IFERROR(INDEX('تحليل التكلفة والسعر'!$C$2:$C$700,MATCH($C3756,'تحليل التكلفة والسعر'!$B$2:$B$700,0)),0))</f>
        <v/>
      </c>
    </row>
    <row r="3757" customFormat="false" ht="15" hidden="false" customHeight="false" outlineLevel="0" collapsed="false">
      <c r="A3757" s="102"/>
      <c r="E3757" s="103" t="str">
        <f aca="false">IF($C3757="","",IFERROR(INDEX(المنيو!$C$2:$C$500,MATCH($C3757,المنيو!$B$2:$B$500,0)),0))</f>
        <v/>
      </c>
      <c r="F3757" s="103" t="str">
        <f aca="false">IF($C3757="","",$D3757*$E3757)</f>
        <v/>
      </c>
      <c r="G3757" s="103" t="str">
        <f aca="false">IF($C3757="","",$D3757*IFERROR(INDEX('تحليل التكلفة والسعر'!$C$2:$C$700,MATCH($C3757,'تحليل التكلفة والسعر'!$B$2:$B$700,0)),0))</f>
        <v/>
      </c>
    </row>
    <row r="3758" customFormat="false" ht="15" hidden="false" customHeight="false" outlineLevel="0" collapsed="false">
      <c r="A3758" s="102"/>
      <c r="E3758" s="103" t="str">
        <f aca="false">IF($C3758="","",IFERROR(INDEX(المنيو!$C$2:$C$500,MATCH($C3758,المنيو!$B$2:$B$500,0)),0))</f>
        <v/>
      </c>
      <c r="F3758" s="103" t="str">
        <f aca="false">IF($C3758="","",$D3758*$E3758)</f>
        <v/>
      </c>
      <c r="G3758" s="103" t="str">
        <f aca="false">IF($C3758="","",$D3758*IFERROR(INDEX('تحليل التكلفة والسعر'!$C$2:$C$700,MATCH($C3758,'تحليل التكلفة والسعر'!$B$2:$B$700,0)),0))</f>
        <v/>
      </c>
    </row>
    <row r="3759" customFormat="false" ht="15" hidden="false" customHeight="false" outlineLevel="0" collapsed="false">
      <c r="A3759" s="102"/>
      <c r="E3759" s="103" t="str">
        <f aca="false">IF($C3759="","",IFERROR(INDEX(المنيو!$C$2:$C$500,MATCH($C3759,المنيو!$B$2:$B$500,0)),0))</f>
        <v/>
      </c>
      <c r="F3759" s="103" t="str">
        <f aca="false">IF($C3759="","",$D3759*$E3759)</f>
        <v/>
      </c>
      <c r="G3759" s="103" t="str">
        <f aca="false">IF($C3759="","",$D3759*IFERROR(INDEX('تحليل التكلفة والسعر'!$C$2:$C$700,MATCH($C3759,'تحليل التكلفة والسعر'!$B$2:$B$700,0)),0))</f>
        <v/>
      </c>
    </row>
    <row r="3760" customFormat="false" ht="15" hidden="false" customHeight="false" outlineLevel="0" collapsed="false">
      <c r="A3760" s="102"/>
      <c r="E3760" s="103" t="str">
        <f aca="false">IF($C3760="","",IFERROR(INDEX(المنيو!$C$2:$C$500,MATCH($C3760,المنيو!$B$2:$B$500,0)),0))</f>
        <v/>
      </c>
      <c r="F3760" s="103" t="str">
        <f aca="false">IF($C3760="","",$D3760*$E3760)</f>
        <v/>
      </c>
      <c r="G3760" s="103" t="str">
        <f aca="false">IF($C3760="","",$D3760*IFERROR(INDEX('تحليل التكلفة والسعر'!$C$2:$C$700,MATCH($C3760,'تحليل التكلفة والسعر'!$B$2:$B$700,0)),0))</f>
        <v/>
      </c>
    </row>
    <row r="3761" customFormat="false" ht="15" hidden="false" customHeight="false" outlineLevel="0" collapsed="false">
      <c r="A3761" s="102"/>
      <c r="E3761" s="103" t="str">
        <f aca="false">IF($C3761="","",IFERROR(INDEX(المنيو!$C$2:$C$500,MATCH($C3761,المنيو!$B$2:$B$500,0)),0))</f>
        <v/>
      </c>
      <c r="F3761" s="103" t="str">
        <f aca="false">IF($C3761="","",$D3761*$E3761)</f>
        <v/>
      </c>
      <c r="G3761" s="103" t="str">
        <f aca="false">IF($C3761="","",$D3761*IFERROR(INDEX('تحليل التكلفة والسعر'!$C$2:$C$700,MATCH($C3761,'تحليل التكلفة والسعر'!$B$2:$B$700,0)),0))</f>
        <v/>
      </c>
    </row>
    <row r="3762" customFormat="false" ht="15" hidden="false" customHeight="false" outlineLevel="0" collapsed="false">
      <c r="A3762" s="102"/>
      <c r="E3762" s="103" t="str">
        <f aca="false">IF($C3762="","",IFERROR(INDEX(المنيو!$C$2:$C$500,MATCH($C3762,المنيو!$B$2:$B$500,0)),0))</f>
        <v/>
      </c>
      <c r="F3762" s="103" t="str">
        <f aca="false">IF($C3762="","",$D3762*$E3762)</f>
        <v/>
      </c>
      <c r="G3762" s="103" t="str">
        <f aca="false">IF($C3762="","",$D3762*IFERROR(INDEX('تحليل التكلفة والسعر'!$C$2:$C$700,MATCH($C3762,'تحليل التكلفة والسعر'!$B$2:$B$700,0)),0))</f>
        <v/>
      </c>
    </row>
    <row r="3763" customFormat="false" ht="15" hidden="false" customHeight="false" outlineLevel="0" collapsed="false">
      <c r="A3763" s="102"/>
      <c r="E3763" s="103" t="str">
        <f aca="false">IF($C3763="","",IFERROR(INDEX(المنيو!$C$2:$C$500,MATCH($C3763,المنيو!$B$2:$B$500,0)),0))</f>
        <v/>
      </c>
      <c r="F3763" s="103" t="str">
        <f aca="false">IF($C3763="","",$D3763*$E3763)</f>
        <v/>
      </c>
      <c r="G3763" s="103" t="str">
        <f aca="false">IF($C3763="","",$D3763*IFERROR(INDEX('تحليل التكلفة والسعر'!$C$2:$C$700,MATCH($C3763,'تحليل التكلفة والسعر'!$B$2:$B$700,0)),0))</f>
        <v/>
      </c>
    </row>
    <row r="3764" customFormat="false" ht="15" hidden="false" customHeight="false" outlineLevel="0" collapsed="false">
      <c r="A3764" s="102"/>
      <c r="E3764" s="103" t="str">
        <f aca="false">IF($C3764="","",IFERROR(INDEX(المنيو!$C$2:$C$500,MATCH($C3764,المنيو!$B$2:$B$500,0)),0))</f>
        <v/>
      </c>
      <c r="F3764" s="103" t="str">
        <f aca="false">IF($C3764="","",$D3764*$E3764)</f>
        <v/>
      </c>
      <c r="G3764" s="103" t="str">
        <f aca="false">IF($C3764="","",$D3764*IFERROR(INDEX('تحليل التكلفة والسعر'!$C$2:$C$700,MATCH($C3764,'تحليل التكلفة والسعر'!$B$2:$B$700,0)),0))</f>
        <v/>
      </c>
    </row>
    <row r="3765" customFormat="false" ht="15" hidden="false" customHeight="false" outlineLevel="0" collapsed="false">
      <c r="A3765" s="102"/>
      <c r="E3765" s="103" t="str">
        <f aca="false">IF($C3765="","",IFERROR(INDEX(المنيو!$C$2:$C$500,MATCH($C3765,المنيو!$B$2:$B$500,0)),0))</f>
        <v/>
      </c>
      <c r="F3765" s="103" t="str">
        <f aca="false">IF($C3765="","",$D3765*$E3765)</f>
        <v/>
      </c>
      <c r="G3765" s="103" t="str">
        <f aca="false">IF($C3765="","",$D3765*IFERROR(INDEX('تحليل التكلفة والسعر'!$C$2:$C$700,MATCH($C3765,'تحليل التكلفة والسعر'!$B$2:$B$700,0)),0))</f>
        <v/>
      </c>
    </row>
    <row r="3766" customFormat="false" ht="15" hidden="false" customHeight="false" outlineLevel="0" collapsed="false">
      <c r="A3766" s="102"/>
      <c r="E3766" s="103" t="str">
        <f aca="false">IF($C3766="","",IFERROR(INDEX(المنيو!$C$2:$C$500,MATCH($C3766,المنيو!$B$2:$B$500,0)),0))</f>
        <v/>
      </c>
      <c r="F3766" s="103" t="str">
        <f aca="false">IF($C3766="","",$D3766*$E3766)</f>
        <v/>
      </c>
      <c r="G3766" s="103" t="str">
        <f aca="false">IF($C3766="","",$D3766*IFERROR(INDEX('تحليل التكلفة والسعر'!$C$2:$C$700,MATCH($C3766,'تحليل التكلفة والسعر'!$B$2:$B$700,0)),0))</f>
        <v/>
      </c>
    </row>
    <row r="3767" customFormat="false" ht="15" hidden="false" customHeight="false" outlineLevel="0" collapsed="false">
      <c r="A3767" s="102"/>
      <c r="E3767" s="103" t="str">
        <f aca="false">IF($C3767="","",IFERROR(INDEX(المنيو!$C$2:$C$500,MATCH($C3767,المنيو!$B$2:$B$500,0)),0))</f>
        <v/>
      </c>
      <c r="F3767" s="103" t="str">
        <f aca="false">IF($C3767="","",$D3767*$E3767)</f>
        <v/>
      </c>
      <c r="G3767" s="103" t="str">
        <f aca="false">IF($C3767="","",$D3767*IFERROR(INDEX('تحليل التكلفة والسعر'!$C$2:$C$700,MATCH($C3767,'تحليل التكلفة والسعر'!$B$2:$B$700,0)),0))</f>
        <v/>
      </c>
    </row>
    <row r="3768" customFormat="false" ht="15" hidden="false" customHeight="false" outlineLevel="0" collapsed="false">
      <c r="A3768" s="102"/>
      <c r="E3768" s="103" t="str">
        <f aca="false">IF($C3768="","",IFERROR(INDEX(المنيو!$C$2:$C$500,MATCH($C3768,المنيو!$B$2:$B$500,0)),0))</f>
        <v/>
      </c>
      <c r="F3768" s="103" t="str">
        <f aca="false">IF($C3768="","",$D3768*$E3768)</f>
        <v/>
      </c>
      <c r="G3768" s="103" t="str">
        <f aca="false">IF($C3768="","",$D3768*IFERROR(INDEX('تحليل التكلفة والسعر'!$C$2:$C$700,MATCH($C3768,'تحليل التكلفة والسعر'!$B$2:$B$700,0)),0))</f>
        <v/>
      </c>
    </row>
    <row r="3769" customFormat="false" ht="15" hidden="false" customHeight="false" outlineLevel="0" collapsed="false">
      <c r="A3769" s="102"/>
      <c r="E3769" s="103" t="str">
        <f aca="false">IF($C3769="","",IFERROR(INDEX(المنيو!$C$2:$C$500,MATCH($C3769,المنيو!$B$2:$B$500,0)),0))</f>
        <v/>
      </c>
      <c r="F3769" s="103" t="str">
        <f aca="false">IF($C3769="","",$D3769*$E3769)</f>
        <v/>
      </c>
      <c r="G3769" s="103" t="str">
        <f aca="false">IF($C3769="","",$D3769*IFERROR(INDEX('تحليل التكلفة والسعر'!$C$2:$C$700,MATCH($C3769,'تحليل التكلفة والسعر'!$B$2:$B$700,0)),0))</f>
        <v/>
      </c>
    </row>
    <row r="3770" customFormat="false" ht="15" hidden="false" customHeight="false" outlineLevel="0" collapsed="false">
      <c r="A3770" s="102"/>
      <c r="E3770" s="103" t="str">
        <f aca="false">IF($C3770="","",IFERROR(INDEX(المنيو!$C$2:$C$500,MATCH($C3770,المنيو!$B$2:$B$500,0)),0))</f>
        <v/>
      </c>
      <c r="F3770" s="103" t="str">
        <f aca="false">IF($C3770="","",$D3770*$E3770)</f>
        <v/>
      </c>
      <c r="G3770" s="103" t="str">
        <f aca="false">IF($C3770="","",$D3770*IFERROR(INDEX('تحليل التكلفة والسعر'!$C$2:$C$700,MATCH($C3770,'تحليل التكلفة والسعر'!$B$2:$B$700,0)),0))</f>
        <v/>
      </c>
    </row>
    <row r="3771" customFormat="false" ht="15" hidden="false" customHeight="false" outlineLevel="0" collapsed="false">
      <c r="A3771" s="102"/>
      <c r="E3771" s="103" t="str">
        <f aca="false">IF($C3771="","",IFERROR(INDEX(المنيو!$C$2:$C$500,MATCH($C3771,المنيو!$B$2:$B$500,0)),0))</f>
        <v/>
      </c>
      <c r="F3771" s="103" t="str">
        <f aca="false">IF($C3771="","",$D3771*$E3771)</f>
        <v/>
      </c>
      <c r="G3771" s="103" t="str">
        <f aca="false">IF($C3771="","",$D3771*IFERROR(INDEX('تحليل التكلفة والسعر'!$C$2:$C$700,MATCH($C3771,'تحليل التكلفة والسعر'!$B$2:$B$700,0)),0))</f>
        <v/>
      </c>
    </row>
    <row r="3772" customFormat="false" ht="15" hidden="false" customHeight="false" outlineLevel="0" collapsed="false">
      <c r="A3772" s="102"/>
      <c r="E3772" s="103" t="str">
        <f aca="false">IF($C3772="","",IFERROR(INDEX(المنيو!$C$2:$C$500,MATCH($C3772,المنيو!$B$2:$B$500,0)),0))</f>
        <v/>
      </c>
      <c r="F3772" s="103" t="str">
        <f aca="false">IF($C3772="","",$D3772*$E3772)</f>
        <v/>
      </c>
      <c r="G3772" s="103" t="str">
        <f aca="false">IF($C3772="","",$D3772*IFERROR(INDEX('تحليل التكلفة والسعر'!$C$2:$C$700,MATCH($C3772,'تحليل التكلفة والسعر'!$B$2:$B$700,0)),0))</f>
        <v/>
      </c>
    </row>
    <row r="3773" customFormat="false" ht="15" hidden="false" customHeight="false" outlineLevel="0" collapsed="false">
      <c r="A3773" s="102"/>
      <c r="E3773" s="103" t="str">
        <f aca="false">IF($C3773="","",IFERROR(INDEX(المنيو!$C$2:$C$500,MATCH($C3773,المنيو!$B$2:$B$500,0)),0))</f>
        <v/>
      </c>
      <c r="F3773" s="103" t="str">
        <f aca="false">IF($C3773="","",$D3773*$E3773)</f>
        <v/>
      </c>
      <c r="G3773" s="103" t="str">
        <f aca="false">IF($C3773="","",$D3773*IFERROR(INDEX('تحليل التكلفة والسعر'!$C$2:$C$700,MATCH($C3773,'تحليل التكلفة والسعر'!$B$2:$B$700,0)),0))</f>
        <v/>
      </c>
    </row>
    <row r="3774" customFormat="false" ht="15" hidden="false" customHeight="false" outlineLevel="0" collapsed="false">
      <c r="A3774" s="102"/>
      <c r="E3774" s="103" t="str">
        <f aca="false">IF($C3774="","",IFERROR(INDEX(المنيو!$C$2:$C$500,MATCH($C3774,المنيو!$B$2:$B$500,0)),0))</f>
        <v/>
      </c>
      <c r="F3774" s="103" t="str">
        <f aca="false">IF($C3774="","",$D3774*$E3774)</f>
        <v/>
      </c>
      <c r="G3774" s="103" t="str">
        <f aca="false">IF($C3774="","",$D3774*IFERROR(INDEX('تحليل التكلفة والسعر'!$C$2:$C$700,MATCH($C3774,'تحليل التكلفة والسعر'!$B$2:$B$700,0)),0))</f>
        <v/>
      </c>
    </row>
    <row r="3775" customFormat="false" ht="15" hidden="false" customHeight="false" outlineLevel="0" collapsed="false">
      <c r="A3775" s="102"/>
      <c r="E3775" s="103" t="str">
        <f aca="false">IF($C3775="","",IFERROR(INDEX(المنيو!$C$2:$C$500,MATCH($C3775,المنيو!$B$2:$B$500,0)),0))</f>
        <v/>
      </c>
      <c r="F3775" s="103" t="str">
        <f aca="false">IF($C3775="","",$D3775*$E3775)</f>
        <v/>
      </c>
      <c r="G3775" s="103" t="str">
        <f aca="false">IF($C3775="","",$D3775*IFERROR(INDEX('تحليل التكلفة والسعر'!$C$2:$C$700,MATCH($C3775,'تحليل التكلفة والسعر'!$B$2:$B$700,0)),0))</f>
        <v/>
      </c>
    </row>
    <row r="3776" customFormat="false" ht="15" hidden="false" customHeight="false" outlineLevel="0" collapsed="false">
      <c r="A3776" s="102"/>
      <c r="E3776" s="103" t="str">
        <f aca="false">IF($C3776="","",IFERROR(INDEX(المنيو!$C$2:$C$500,MATCH($C3776,المنيو!$B$2:$B$500,0)),0))</f>
        <v/>
      </c>
      <c r="F3776" s="103" t="str">
        <f aca="false">IF($C3776="","",$D3776*$E3776)</f>
        <v/>
      </c>
      <c r="G3776" s="103" t="str">
        <f aca="false">IF($C3776="","",$D3776*IFERROR(INDEX('تحليل التكلفة والسعر'!$C$2:$C$700,MATCH($C3776,'تحليل التكلفة والسعر'!$B$2:$B$700,0)),0))</f>
        <v/>
      </c>
    </row>
    <row r="3777" customFormat="false" ht="15" hidden="false" customHeight="false" outlineLevel="0" collapsed="false">
      <c r="A3777" s="102"/>
      <c r="E3777" s="103" t="str">
        <f aca="false">IF($C3777="","",IFERROR(INDEX(المنيو!$C$2:$C$500,MATCH($C3777,المنيو!$B$2:$B$500,0)),0))</f>
        <v/>
      </c>
      <c r="F3777" s="103" t="str">
        <f aca="false">IF($C3777="","",$D3777*$E3777)</f>
        <v/>
      </c>
      <c r="G3777" s="103" t="str">
        <f aca="false">IF($C3777="","",$D3777*IFERROR(INDEX('تحليل التكلفة والسعر'!$C$2:$C$700,MATCH($C3777,'تحليل التكلفة والسعر'!$B$2:$B$700,0)),0))</f>
        <v/>
      </c>
    </row>
    <row r="3778" customFormat="false" ht="15" hidden="false" customHeight="false" outlineLevel="0" collapsed="false">
      <c r="A3778" s="102"/>
      <c r="E3778" s="103" t="str">
        <f aca="false">IF($C3778="","",IFERROR(INDEX(المنيو!$C$2:$C$500,MATCH($C3778,المنيو!$B$2:$B$500,0)),0))</f>
        <v/>
      </c>
      <c r="F3778" s="103" t="str">
        <f aca="false">IF($C3778="","",$D3778*$E3778)</f>
        <v/>
      </c>
      <c r="G3778" s="103" t="str">
        <f aca="false">IF($C3778="","",$D3778*IFERROR(INDEX('تحليل التكلفة والسعر'!$C$2:$C$700,MATCH($C3778,'تحليل التكلفة والسعر'!$B$2:$B$700,0)),0))</f>
        <v/>
      </c>
    </row>
    <row r="3779" customFormat="false" ht="15" hidden="false" customHeight="false" outlineLevel="0" collapsed="false">
      <c r="A3779" s="102"/>
      <c r="E3779" s="103" t="str">
        <f aca="false">IF($C3779="","",IFERROR(INDEX(المنيو!$C$2:$C$500,MATCH($C3779,المنيو!$B$2:$B$500,0)),0))</f>
        <v/>
      </c>
      <c r="F3779" s="103" t="str">
        <f aca="false">IF($C3779="","",$D3779*$E3779)</f>
        <v/>
      </c>
      <c r="G3779" s="103" t="str">
        <f aca="false">IF($C3779="","",$D3779*IFERROR(INDEX('تحليل التكلفة والسعر'!$C$2:$C$700,MATCH($C3779,'تحليل التكلفة والسعر'!$B$2:$B$700,0)),0))</f>
        <v/>
      </c>
    </row>
    <row r="3780" customFormat="false" ht="15" hidden="false" customHeight="false" outlineLevel="0" collapsed="false">
      <c r="A3780" s="102"/>
      <c r="E3780" s="103" t="str">
        <f aca="false">IF($C3780="","",IFERROR(INDEX(المنيو!$C$2:$C$500,MATCH($C3780,المنيو!$B$2:$B$500,0)),0))</f>
        <v/>
      </c>
      <c r="F3780" s="103" t="str">
        <f aca="false">IF($C3780="","",$D3780*$E3780)</f>
        <v/>
      </c>
      <c r="G3780" s="103" t="str">
        <f aca="false">IF($C3780="","",$D3780*IFERROR(INDEX('تحليل التكلفة والسعر'!$C$2:$C$700,MATCH($C3780,'تحليل التكلفة والسعر'!$B$2:$B$700,0)),0))</f>
        <v/>
      </c>
    </row>
    <row r="3781" customFormat="false" ht="15" hidden="false" customHeight="false" outlineLevel="0" collapsed="false">
      <c r="A3781" s="102"/>
      <c r="E3781" s="103" t="str">
        <f aca="false">IF($C3781="","",IFERROR(INDEX(المنيو!$C$2:$C$500,MATCH($C3781,المنيو!$B$2:$B$500,0)),0))</f>
        <v/>
      </c>
      <c r="F3781" s="103" t="str">
        <f aca="false">IF($C3781="","",$D3781*$E3781)</f>
        <v/>
      </c>
      <c r="G3781" s="103" t="str">
        <f aca="false">IF($C3781="","",$D3781*IFERROR(INDEX('تحليل التكلفة والسعر'!$C$2:$C$700,MATCH($C3781,'تحليل التكلفة والسعر'!$B$2:$B$700,0)),0))</f>
        <v/>
      </c>
    </row>
    <row r="3782" customFormat="false" ht="15" hidden="false" customHeight="false" outlineLevel="0" collapsed="false">
      <c r="A3782" s="102"/>
      <c r="E3782" s="103" t="str">
        <f aca="false">IF($C3782="","",IFERROR(INDEX(المنيو!$C$2:$C$500,MATCH($C3782,المنيو!$B$2:$B$500,0)),0))</f>
        <v/>
      </c>
      <c r="F3782" s="103" t="str">
        <f aca="false">IF($C3782="","",$D3782*$E3782)</f>
        <v/>
      </c>
      <c r="G3782" s="103" t="str">
        <f aca="false">IF($C3782="","",$D3782*IFERROR(INDEX('تحليل التكلفة والسعر'!$C$2:$C$700,MATCH($C3782,'تحليل التكلفة والسعر'!$B$2:$B$700,0)),0))</f>
        <v/>
      </c>
    </row>
    <row r="3783" customFormat="false" ht="15" hidden="false" customHeight="false" outlineLevel="0" collapsed="false">
      <c r="A3783" s="102"/>
      <c r="E3783" s="103" t="str">
        <f aca="false">IF($C3783="","",IFERROR(INDEX(المنيو!$C$2:$C$500,MATCH($C3783,المنيو!$B$2:$B$500,0)),0))</f>
        <v/>
      </c>
      <c r="F3783" s="103" t="str">
        <f aca="false">IF($C3783="","",$D3783*$E3783)</f>
        <v/>
      </c>
      <c r="G3783" s="103" t="str">
        <f aca="false">IF($C3783="","",$D3783*IFERROR(INDEX('تحليل التكلفة والسعر'!$C$2:$C$700,MATCH($C3783,'تحليل التكلفة والسعر'!$B$2:$B$700,0)),0))</f>
        <v/>
      </c>
    </row>
    <row r="3784" customFormat="false" ht="15" hidden="false" customHeight="false" outlineLevel="0" collapsed="false">
      <c r="A3784" s="102"/>
      <c r="E3784" s="103" t="str">
        <f aca="false">IF($C3784="","",IFERROR(INDEX(المنيو!$C$2:$C$500,MATCH($C3784,المنيو!$B$2:$B$500,0)),0))</f>
        <v/>
      </c>
      <c r="F3784" s="103" t="str">
        <f aca="false">IF($C3784="","",$D3784*$E3784)</f>
        <v/>
      </c>
      <c r="G3784" s="103" t="str">
        <f aca="false">IF($C3784="","",$D3784*IFERROR(INDEX('تحليل التكلفة والسعر'!$C$2:$C$700,MATCH($C3784,'تحليل التكلفة والسعر'!$B$2:$B$700,0)),0))</f>
        <v/>
      </c>
    </row>
    <row r="3785" customFormat="false" ht="15" hidden="false" customHeight="false" outlineLevel="0" collapsed="false">
      <c r="A3785" s="102"/>
      <c r="E3785" s="103" t="str">
        <f aca="false">IF($C3785="","",IFERROR(INDEX(المنيو!$C$2:$C$500,MATCH($C3785,المنيو!$B$2:$B$500,0)),0))</f>
        <v/>
      </c>
      <c r="F3785" s="103" t="str">
        <f aca="false">IF($C3785="","",$D3785*$E3785)</f>
        <v/>
      </c>
      <c r="G3785" s="103" t="str">
        <f aca="false">IF($C3785="","",$D3785*IFERROR(INDEX('تحليل التكلفة والسعر'!$C$2:$C$700,MATCH($C3785,'تحليل التكلفة والسعر'!$B$2:$B$700,0)),0))</f>
        <v/>
      </c>
    </row>
    <row r="3786" customFormat="false" ht="15" hidden="false" customHeight="false" outlineLevel="0" collapsed="false">
      <c r="A3786" s="102"/>
      <c r="E3786" s="103" t="str">
        <f aca="false">IF($C3786="","",IFERROR(INDEX(المنيو!$C$2:$C$500,MATCH($C3786,المنيو!$B$2:$B$500,0)),0))</f>
        <v/>
      </c>
      <c r="F3786" s="103" t="str">
        <f aca="false">IF($C3786="","",$D3786*$E3786)</f>
        <v/>
      </c>
      <c r="G3786" s="103" t="str">
        <f aca="false">IF($C3786="","",$D3786*IFERROR(INDEX('تحليل التكلفة والسعر'!$C$2:$C$700,MATCH($C3786,'تحليل التكلفة والسعر'!$B$2:$B$700,0)),0))</f>
        <v/>
      </c>
    </row>
    <row r="3787" customFormat="false" ht="15" hidden="false" customHeight="false" outlineLevel="0" collapsed="false">
      <c r="A3787" s="102"/>
      <c r="E3787" s="103" t="str">
        <f aca="false">IF($C3787="","",IFERROR(INDEX(المنيو!$C$2:$C$500,MATCH($C3787,المنيو!$B$2:$B$500,0)),0))</f>
        <v/>
      </c>
      <c r="F3787" s="103" t="str">
        <f aca="false">IF($C3787="","",$D3787*$E3787)</f>
        <v/>
      </c>
      <c r="G3787" s="103" t="str">
        <f aca="false">IF($C3787="","",$D3787*IFERROR(INDEX('تحليل التكلفة والسعر'!$C$2:$C$700,MATCH($C3787,'تحليل التكلفة والسعر'!$B$2:$B$700,0)),0))</f>
        <v/>
      </c>
    </row>
    <row r="3788" customFormat="false" ht="15" hidden="false" customHeight="false" outlineLevel="0" collapsed="false">
      <c r="A3788" s="102"/>
      <c r="E3788" s="103" t="str">
        <f aca="false">IF($C3788="","",IFERROR(INDEX(المنيو!$C$2:$C$500,MATCH($C3788,المنيو!$B$2:$B$500,0)),0))</f>
        <v/>
      </c>
      <c r="F3788" s="103" t="str">
        <f aca="false">IF($C3788="","",$D3788*$E3788)</f>
        <v/>
      </c>
      <c r="G3788" s="103" t="str">
        <f aca="false">IF($C3788="","",$D3788*IFERROR(INDEX('تحليل التكلفة والسعر'!$C$2:$C$700,MATCH($C3788,'تحليل التكلفة والسعر'!$B$2:$B$700,0)),0))</f>
        <v/>
      </c>
    </row>
    <row r="3789" customFormat="false" ht="15" hidden="false" customHeight="false" outlineLevel="0" collapsed="false">
      <c r="A3789" s="102"/>
      <c r="E3789" s="103" t="str">
        <f aca="false">IF($C3789="","",IFERROR(INDEX(المنيو!$C$2:$C$500,MATCH($C3789,المنيو!$B$2:$B$500,0)),0))</f>
        <v/>
      </c>
      <c r="F3789" s="103" t="str">
        <f aca="false">IF($C3789="","",$D3789*$E3789)</f>
        <v/>
      </c>
      <c r="G3789" s="103" t="str">
        <f aca="false">IF($C3789="","",$D3789*IFERROR(INDEX('تحليل التكلفة والسعر'!$C$2:$C$700,MATCH($C3789,'تحليل التكلفة والسعر'!$B$2:$B$700,0)),0))</f>
        <v/>
      </c>
    </row>
    <row r="3790" customFormat="false" ht="15" hidden="false" customHeight="false" outlineLevel="0" collapsed="false">
      <c r="A3790" s="102"/>
      <c r="E3790" s="103" t="str">
        <f aca="false">IF($C3790="","",IFERROR(INDEX(المنيو!$C$2:$C$500,MATCH($C3790,المنيو!$B$2:$B$500,0)),0))</f>
        <v/>
      </c>
      <c r="F3790" s="103" t="str">
        <f aca="false">IF($C3790="","",$D3790*$E3790)</f>
        <v/>
      </c>
      <c r="G3790" s="103" t="str">
        <f aca="false">IF($C3790="","",$D3790*IFERROR(INDEX('تحليل التكلفة والسعر'!$C$2:$C$700,MATCH($C3790,'تحليل التكلفة والسعر'!$B$2:$B$700,0)),0))</f>
        <v/>
      </c>
    </row>
    <row r="3791" customFormat="false" ht="15" hidden="false" customHeight="false" outlineLevel="0" collapsed="false">
      <c r="A3791" s="102"/>
      <c r="E3791" s="103" t="str">
        <f aca="false">IF($C3791="","",IFERROR(INDEX(المنيو!$C$2:$C$500,MATCH($C3791,المنيو!$B$2:$B$500,0)),0))</f>
        <v/>
      </c>
      <c r="F3791" s="103" t="str">
        <f aca="false">IF($C3791="","",$D3791*$E3791)</f>
        <v/>
      </c>
      <c r="G3791" s="103" t="str">
        <f aca="false">IF($C3791="","",$D3791*IFERROR(INDEX('تحليل التكلفة والسعر'!$C$2:$C$700,MATCH($C3791,'تحليل التكلفة والسعر'!$B$2:$B$700,0)),0))</f>
        <v/>
      </c>
    </row>
    <row r="3792" customFormat="false" ht="15" hidden="false" customHeight="false" outlineLevel="0" collapsed="false">
      <c r="A3792" s="102"/>
      <c r="E3792" s="103" t="str">
        <f aca="false">IF($C3792="","",IFERROR(INDEX(المنيو!$C$2:$C$500,MATCH($C3792,المنيو!$B$2:$B$500,0)),0))</f>
        <v/>
      </c>
      <c r="F3792" s="103" t="str">
        <f aca="false">IF($C3792="","",$D3792*$E3792)</f>
        <v/>
      </c>
      <c r="G3792" s="103" t="str">
        <f aca="false">IF($C3792="","",$D3792*IFERROR(INDEX('تحليل التكلفة والسعر'!$C$2:$C$700,MATCH($C3792,'تحليل التكلفة والسعر'!$B$2:$B$700,0)),0))</f>
        <v/>
      </c>
    </row>
    <row r="3793" customFormat="false" ht="15" hidden="false" customHeight="false" outlineLevel="0" collapsed="false">
      <c r="A3793" s="102"/>
      <c r="E3793" s="103" t="str">
        <f aca="false">IF($C3793="","",IFERROR(INDEX(المنيو!$C$2:$C$500,MATCH($C3793,المنيو!$B$2:$B$500,0)),0))</f>
        <v/>
      </c>
      <c r="F3793" s="103" t="str">
        <f aca="false">IF($C3793="","",$D3793*$E3793)</f>
        <v/>
      </c>
      <c r="G3793" s="103" t="str">
        <f aca="false">IF($C3793="","",$D3793*IFERROR(INDEX('تحليل التكلفة والسعر'!$C$2:$C$700,MATCH($C3793,'تحليل التكلفة والسعر'!$B$2:$B$700,0)),0))</f>
        <v/>
      </c>
    </row>
    <row r="3794" customFormat="false" ht="15" hidden="false" customHeight="false" outlineLevel="0" collapsed="false">
      <c r="A3794" s="102"/>
      <c r="E3794" s="103" t="str">
        <f aca="false">IF($C3794="","",IFERROR(INDEX(المنيو!$C$2:$C$500,MATCH($C3794,المنيو!$B$2:$B$500,0)),0))</f>
        <v/>
      </c>
      <c r="F3794" s="103" t="str">
        <f aca="false">IF($C3794="","",$D3794*$E3794)</f>
        <v/>
      </c>
      <c r="G3794" s="103" t="str">
        <f aca="false">IF($C3794="","",$D3794*IFERROR(INDEX('تحليل التكلفة والسعر'!$C$2:$C$700,MATCH($C3794,'تحليل التكلفة والسعر'!$B$2:$B$700,0)),0))</f>
        <v/>
      </c>
    </row>
    <row r="3795" customFormat="false" ht="15" hidden="false" customHeight="false" outlineLevel="0" collapsed="false">
      <c r="A3795" s="102"/>
      <c r="E3795" s="103" t="str">
        <f aca="false">IF($C3795="","",IFERROR(INDEX(المنيو!$C$2:$C$500,MATCH($C3795,المنيو!$B$2:$B$500,0)),0))</f>
        <v/>
      </c>
      <c r="F3795" s="103" t="str">
        <f aca="false">IF($C3795="","",$D3795*$E3795)</f>
        <v/>
      </c>
      <c r="G3795" s="103" t="str">
        <f aca="false">IF($C3795="","",$D3795*IFERROR(INDEX('تحليل التكلفة والسعر'!$C$2:$C$700,MATCH($C3795,'تحليل التكلفة والسعر'!$B$2:$B$700,0)),0))</f>
        <v/>
      </c>
    </row>
    <row r="3796" customFormat="false" ht="15" hidden="false" customHeight="false" outlineLevel="0" collapsed="false">
      <c r="A3796" s="102"/>
      <c r="E3796" s="103" t="str">
        <f aca="false">IF($C3796="","",IFERROR(INDEX(المنيو!$C$2:$C$500,MATCH($C3796,المنيو!$B$2:$B$500,0)),0))</f>
        <v/>
      </c>
      <c r="F3796" s="103" t="str">
        <f aca="false">IF($C3796="","",$D3796*$E3796)</f>
        <v/>
      </c>
      <c r="G3796" s="103" t="str">
        <f aca="false">IF($C3796="","",$D3796*IFERROR(INDEX('تحليل التكلفة والسعر'!$C$2:$C$700,MATCH($C3796,'تحليل التكلفة والسعر'!$B$2:$B$700,0)),0))</f>
        <v/>
      </c>
    </row>
    <row r="3797" customFormat="false" ht="15" hidden="false" customHeight="false" outlineLevel="0" collapsed="false">
      <c r="A3797" s="102"/>
      <c r="E3797" s="103" t="str">
        <f aca="false">IF($C3797="","",IFERROR(INDEX(المنيو!$C$2:$C$500,MATCH($C3797,المنيو!$B$2:$B$500,0)),0))</f>
        <v/>
      </c>
      <c r="F3797" s="103" t="str">
        <f aca="false">IF($C3797="","",$D3797*$E3797)</f>
        <v/>
      </c>
      <c r="G3797" s="103" t="str">
        <f aca="false">IF($C3797="","",$D3797*IFERROR(INDEX('تحليل التكلفة والسعر'!$C$2:$C$700,MATCH($C3797,'تحليل التكلفة والسعر'!$B$2:$B$700,0)),0))</f>
        <v/>
      </c>
    </row>
    <row r="3798" customFormat="false" ht="15" hidden="false" customHeight="false" outlineLevel="0" collapsed="false">
      <c r="A3798" s="102"/>
      <c r="E3798" s="103" t="str">
        <f aca="false">IF($C3798="","",IFERROR(INDEX(المنيو!$C$2:$C$500,MATCH($C3798,المنيو!$B$2:$B$500,0)),0))</f>
        <v/>
      </c>
      <c r="F3798" s="103" t="str">
        <f aca="false">IF($C3798="","",$D3798*$E3798)</f>
        <v/>
      </c>
      <c r="G3798" s="103" t="str">
        <f aca="false">IF($C3798="","",$D3798*IFERROR(INDEX('تحليل التكلفة والسعر'!$C$2:$C$700,MATCH($C3798,'تحليل التكلفة والسعر'!$B$2:$B$700,0)),0))</f>
        <v/>
      </c>
    </row>
    <row r="3799" customFormat="false" ht="15" hidden="false" customHeight="false" outlineLevel="0" collapsed="false">
      <c r="A3799" s="102"/>
      <c r="E3799" s="103" t="str">
        <f aca="false">IF($C3799="","",IFERROR(INDEX(المنيو!$C$2:$C$500,MATCH($C3799,المنيو!$B$2:$B$500,0)),0))</f>
        <v/>
      </c>
      <c r="F3799" s="103" t="str">
        <f aca="false">IF($C3799="","",$D3799*$E3799)</f>
        <v/>
      </c>
      <c r="G3799" s="103" t="str">
        <f aca="false">IF($C3799="","",$D3799*IFERROR(INDEX('تحليل التكلفة والسعر'!$C$2:$C$700,MATCH($C3799,'تحليل التكلفة والسعر'!$B$2:$B$700,0)),0))</f>
        <v/>
      </c>
    </row>
    <row r="3800" customFormat="false" ht="15" hidden="false" customHeight="false" outlineLevel="0" collapsed="false">
      <c r="A3800" s="102"/>
      <c r="E3800" s="103" t="str">
        <f aca="false">IF($C3800="","",IFERROR(INDEX(المنيو!$C$2:$C$500,MATCH($C3800,المنيو!$B$2:$B$500,0)),0))</f>
        <v/>
      </c>
      <c r="F3800" s="103" t="str">
        <f aca="false">IF($C3800="","",$D3800*$E3800)</f>
        <v/>
      </c>
      <c r="G3800" s="103" t="str">
        <f aca="false">IF($C3800="","",$D3800*IFERROR(INDEX('تحليل التكلفة والسعر'!$C$2:$C$700,MATCH($C3800,'تحليل التكلفة والسعر'!$B$2:$B$700,0)),0))</f>
        <v/>
      </c>
    </row>
    <row r="3801" customFormat="false" ht="15" hidden="false" customHeight="false" outlineLevel="0" collapsed="false">
      <c r="A3801" s="102"/>
      <c r="E3801" s="103" t="str">
        <f aca="false">IF($C3801="","",IFERROR(INDEX(المنيو!$C$2:$C$500,MATCH($C3801,المنيو!$B$2:$B$500,0)),0))</f>
        <v/>
      </c>
      <c r="F3801" s="103" t="str">
        <f aca="false">IF($C3801="","",$D3801*$E3801)</f>
        <v/>
      </c>
      <c r="G3801" s="103" t="str">
        <f aca="false">IF($C3801="","",$D3801*IFERROR(INDEX('تحليل التكلفة والسعر'!$C$2:$C$700,MATCH($C3801,'تحليل التكلفة والسعر'!$B$2:$B$700,0)),0))</f>
        <v/>
      </c>
    </row>
    <row r="3802" customFormat="false" ht="15" hidden="false" customHeight="false" outlineLevel="0" collapsed="false">
      <c r="A3802" s="102"/>
      <c r="E3802" s="103" t="str">
        <f aca="false">IF($C3802="","",IFERROR(INDEX(المنيو!$C$2:$C$500,MATCH($C3802,المنيو!$B$2:$B$500,0)),0))</f>
        <v/>
      </c>
      <c r="F3802" s="103" t="str">
        <f aca="false">IF($C3802="","",$D3802*$E3802)</f>
        <v/>
      </c>
      <c r="G3802" s="103" t="str">
        <f aca="false">IF($C3802="","",$D3802*IFERROR(INDEX('تحليل التكلفة والسعر'!$C$2:$C$700,MATCH($C3802,'تحليل التكلفة والسعر'!$B$2:$B$700,0)),0))</f>
        <v/>
      </c>
    </row>
    <row r="3803" customFormat="false" ht="15" hidden="false" customHeight="false" outlineLevel="0" collapsed="false">
      <c r="A3803" s="102"/>
      <c r="E3803" s="103" t="str">
        <f aca="false">IF($C3803="","",IFERROR(INDEX(المنيو!$C$2:$C$500,MATCH($C3803,المنيو!$B$2:$B$500,0)),0))</f>
        <v/>
      </c>
      <c r="F3803" s="103" t="str">
        <f aca="false">IF($C3803="","",$D3803*$E3803)</f>
        <v/>
      </c>
      <c r="G3803" s="103" t="str">
        <f aca="false">IF($C3803="","",$D3803*IFERROR(INDEX('تحليل التكلفة والسعر'!$C$2:$C$700,MATCH($C3803,'تحليل التكلفة والسعر'!$B$2:$B$700,0)),0))</f>
        <v/>
      </c>
    </row>
    <row r="3804" customFormat="false" ht="15" hidden="false" customHeight="false" outlineLevel="0" collapsed="false">
      <c r="A3804" s="102"/>
      <c r="E3804" s="103" t="str">
        <f aca="false">IF($C3804="","",IFERROR(INDEX(المنيو!$C$2:$C$500,MATCH($C3804,المنيو!$B$2:$B$500,0)),0))</f>
        <v/>
      </c>
      <c r="F3804" s="103" t="str">
        <f aca="false">IF($C3804="","",$D3804*$E3804)</f>
        <v/>
      </c>
      <c r="G3804" s="103" t="str">
        <f aca="false">IF($C3804="","",$D3804*IFERROR(INDEX('تحليل التكلفة والسعر'!$C$2:$C$700,MATCH($C3804,'تحليل التكلفة والسعر'!$B$2:$B$700,0)),0))</f>
        <v/>
      </c>
    </row>
    <row r="3805" customFormat="false" ht="15" hidden="false" customHeight="false" outlineLevel="0" collapsed="false">
      <c r="A3805" s="102"/>
      <c r="E3805" s="103" t="str">
        <f aca="false">IF($C3805="","",IFERROR(INDEX(المنيو!$C$2:$C$500,MATCH($C3805,المنيو!$B$2:$B$500,0)),0))</f>
        <v/>
      </c>
      <c r="F3805" s="103" t="str">
        <f aca="false">IF($C3805="","",$D3805*$E3805)</f>
        <v/>
      </c>
      <c r="G3805" s="103" t="str">
        <f aca="false">IF($C3805="","",$D3805*IFERROR(INDEX('تحليل التكلفة والسعر'!$C$2:$C$700,MATCH($C3805,'تحليل التكلفة والسعر'!$B$2:$B$700,0)),0))</f>
        <v/>
      </c>
    </row>
    <row r="3806" customFormat="false" ht="15" hidden="false" customHeight="false" outlineLevel="0" collapsed="false">
      <c r="A3806" s="102"/>
      <c r="E3806" s="103" t="str">
        <f aca="false">IF($C3806="","",IFERROR(INDEX(المنيو!$C$2:$C$500,MATCH($C3806,المنيو!$B$2:$B$500,0)),0))</f>
        <v/>
      </c>
      <c r="F3806" s="103" t="str">
        <f aca="false">IF($C3806="","",$D3806*$E3806)</f>
        <v/>
      </c>
      <c r="G3806" s="103" t="str">
        <f aca="false">IF($C3806="","",$D3806*IFERROR(INDEX('تحليل التكلفة والسعر'!$C$2:$C$700,MATCH($C3806,'تحليل التكلفة والسعر'!$B$2:$B$700,0)),0))</f>
        <v/>
      </c>
    </row>
    <row r="3807" customFormat="false" ht="15" hidden="false" customHeight="false" outlineLevel="0" collapsed="false">
      <c r="A3807" s="102"/>
      <c r="E3807" s="103" t="str">
        <f aca="false">IF($C3807="","",IFERROR(INDEX(المنيو!$C$2:$C$500,MATCH($C3807,المنيو!$B$2:$B$500,0)),0))</f>
        <v/>
      </c>
      <c r="F3807" s="103" t="str">
        <f aca="false">IF($C3807="","",$D3807*$E3807)</f>
        <v/>
      </c>
      <c r="G3807" s="103" t="str">
        <f aca="false">IF($C3807="","",$D3807*IFERROR(INDEX('تحليل التكلفة والسعر'!$C$2:$C$700,MATCH($C3807,'تحليل التكلفة والسعر'!$B$2:$B$700,0)),0))</f>
        <v/>
      </c>
    </row>
    <row r="3808" customFormat="false" ht="15" hidden="false" customHeight="false" outlineLevel="0" collapsed="false">
      <c r="A3808" s="102"/>
      <c r="E3808" s="103" t="str">
        <f aca="false">IF($C3808="","",IFERROR(INDEX(المنيو!$C$2:$C$500,MATCH($C3808,المنيو!$B$2:$B$500,0)),0))</f>
        <v/>
      </c>
      <c r="F3808" s="103" t="str">
        <f aca="false">IF($C3808="","",$D3808*$E3808)</f>
        <v/>
      </c>
      <c r="G3808" s="103" t="str">
        <f aca="false">IF($C3808="","",$D3808*IFERROR(INDEX('تحليل التكلفة والسعر'!$C$2:$C$700,MATCH($C3808,'تحليل التكلفة والسعر'!$B$2:$B$700,0)),0))</f>
        <v/>
      </c>
    </row>
    <row r="3809" customFormat="false" ht="15" hidden="false" customHeight="false" outlineLevel="0" collapsed="false">
      <c r="A3809" s="102"/>
      <c r="E3809" s="103" t="str">
        <f aca="false">IF($C3809="","",IFERROR(INDEX(المنيو!$C$2:$C$500,MATCH($C3809,المنيو!$B$2:$B$500,0)),0))</f>
        <v/>
      </c>
      <c r="F3809" s="103" t="str">
        <f aca="false">IF($C3809="","",$D3809*$E3809)</f>
        <v/>
      </c>
      <c r="G3809" s="103" t="str">
        <f aca="false">IF($C3809="","",$D3809*IFERROR(INDEX('تحليل التكلفة والسعر'!$C$2:$C$700,MATCH($C3809,'تحليل التكلفة والسعر'!$B$2:$B$700,0)),0))</f>
        <v/>
      </c>
    </row>
    <row r="3810" customFormat="false" ht="15" hidden="false" customHeight="false" outlineLevel="0" collapsed="false">
      <c r="A3810" s="102"/>
      <c r="E3810" s="103" t="str">
        <f aca="false">IF($C3810="","",IFERROR(INDEX(المنيو!$C$2:$C$500,MATCH($C3810,المنيو!$B$2:$B$500,0)),0))</f>
        <v/>
      </c>
      <c r="F3810" s="103" t="str">
        <f aca="false">IF($C3810="","",$D3810*$E3810)</f>
        <v/>
      </c>
      <c r="G3810" s="103" t="str">
        <f aca="false">IF($C3810="","",$D3810*IFERROR(INDEX('تحليل التكلفة والسعر'!$C$2:$C$700,MATCH($C3810,'تحليل التكلفة والسعر'!$B$2:$B$700,0)),0))</f>
        <v/>
      </c>
    </row>
    <row r="3811" customFormat="false" ht="15" hidden="false" customHeight="false" outlineLevel="0" collapsed="false">
      <c r="A3811" s="102"/>
      <c r="E3811" s="103" t="str">
        <f aca="false">IF($C3811="","",IFERROR(INDEX(المنيو!$C$2:$C$500,MATCH($C3811,المنيو!$B$2:$B$500,0)),0))</f>
        <v/>
      </c>
      <c r="F3811" s="103" t="str">
        <f aca="false">IF($C3811="","",$D3811*$E3811)</f>
        <v/>
      </c>
      <c r="G3811" s="103" t="str">
        <f aca="false">IF($C3811="","",$D3811*IFERROR(INDEX('تحليل التكلفة والسعر'!$C$2:$C$700,MATCH($C3811,'تحليل التكلفة والسعر'!$B$2:$B$700,0)),0))</f>
        <v/>
      </c>
    </row>
    <row r="3812" customFormat="false" ht="15" hidden="false" customHeight="false" outlineLevel="0" collapsed="false">
      <c r="A3812" s="102"/>
      <c r="E3812" s="103" t="str">
        <f aca="false">IF($C3812="","",IFERROR(INDEX(المنيو!$C$2:$C$500,MATCH($C3812,المنيو!$B$2:$B$500,0)),0))</f>
        <v/>
      </c>
      <c r="F3812" s="103" t="str">
        <f aca="false">IF($C3812="","",$D3812*$E3812)</f>
        <v/>
      </c>
      <c r="G3812" s="103" t="str">
        <f aca="false">IF($C3812="","",$D3812*IFERROR(INDEX('تحليل التكلفة والسعر'!$C$2:$C$700,MATCH($C3812,'تحليل التكلفة والسعر'!$B$2:$B$700,0)),0))</f>
        <v/>
      </c>
    </row>
    <row r="3813" customFormat="false" ht="15" hidden="false" customHeight="false" outlineLevel="0" collapsed="false">
      <c r="A3813" s="102"/>
      <c r="E3813" s="103" t="str">
        <f aca="false">IF($C3813="","",IFERROR(INDEX(المنيو!$C$2:$C$500,MATCH($C3813,المنيو!$B$2:$B$500,0)),0))</f>
        <v/>
      </c>
      <c r="F3813" s="103" t="str">
        <f aca="false">IF($C3813="","",$D3813*$E3813)</f>
        <v/>
      </c>
      <c r="G3813" s="103" t="str">
        <f aca="false">IF($C3813="","",$D3813*IFERROR(INDEX('تحليل التكلفة والسعر'!$C$2:$C$700,MATCH($C3813,'تحليل التكلفة والسعر'!$B$2:$B$700,0)),0))</f>
        <v/>
      </c>
    </row>
    <row r="3814" customFormat="false" ht="15" hidden="false" customHeight="false" outlineLevel="0" collapsed="false">
      <c r="A3814" s="102"/>
      <c r="E3814" s="103" t="str">
        <f aca="false">IF($C3814="","",IFERROR(INDEX(المنيو!$C$2:$C$500,MATCH($C3814,المنيو!$B$2:$B$500,0)),0))</f>
        <v/>
      </c>
      <c r="F3814" s="103" t="str">
        <f aca="false">IF($C3814="","",$D3814*$E3814)</f>
        <v/>
      </c>
      <c r="G3814" s="103" t="str">
        <f aca="false">IF($C3814="","",$D3814*IFERROR(INDEX('تحليل التكلفة والسعر'!$C$2:$C$700,MATCH($C3814,'تحليل التكلفة والسعر'!$B$2:$B$700,0)),0))</f>
        <v/>
      </c>
    </row>
    <row r="3815" customFormat="false" ht="15" hidden="false" customHeight="false" outlineLevel="0" collapsed="false">
      <c r="A3815" s="102"/>
      <c r="E3815" s="103" t="str">
        <f aca="false">IF($C3815="","",IFERROR(INDEX(المنيو!$C$2:$C$500,MATCH($C3815,المنيو!$B$2:$B$500,0)),0))</f>
        <v/>
      </c>
      <c r="F3815" s="103" t="str">
        <f aca="false">IF($C3815="","",$D3815*$E3815)</f>
        <v/>
      </c>
      <c r="G3815" s="103" t="str">
        <f aca="false">IF($C3815="","",$D3815*IFERROR(INDEX('تحليل التكلفة والسعر'!$C$2:$C$700,MATCH($C3815,'تحليل التكلفة والسعر'!$B$2:$B$700,0)),0))</f>
        <v/>
      </c>
    </row>
    <row r="3816" customFormat="false" ht="15" hidden="false" customHeight="false" outlineLevel="0" collapsed="false">
      <c r="A3816" s="102"/>
      <c r="E3816" s="103" t="str">
        <f aca="false">IF($C3816="","",IFERROR(INDEX(المنيو!$C$2:$C$500,MATCH($C3816,المنيو!$B$2:$B$500,0)),0))</f>
        <v/>
      </c>
      <c r="F3816" s="103" t="str">
        <f aca="false">IF($C3816="","",$D3816*$E3816)</f>
        <v/>
      </c>
      <c r="G3816" s="103" t="str">
        <f aca="false">IF($C3816="","",$D3816*IFERROR(INDEX('تحليل التكلفة والسعر'!$C$2:$C$700,MATCH($C3816,'تحليل التكلفة والسعر'!$B$2:$B$700,0)),0))</f>
        <v/>
      </c>
    </row>
    <row r="3817" customFormat="false" ht="15" hidden="false" customHeight="false" outlineLevel="0" collapsed="false">
      <c r="A3817" s="102"/>
      <c r="E3817" s="103" t="str">
        <f aca="false">IF($C3817="","",IFERROR(INDEX(المنيو!$C$2:$C$500,MATCH($C3817,المنيو!$B$2:$B$500,0)),0))</f>
        <v/>
      </c>
      <c r="F3817" s="103" t="str">
        <f aca="false">IF($C3817="","",$D3817*$E3817)</f>
        <v/>
      </c>
      <c r="G3817" s="103" t="str">
        <f aca="false">IF($C3817="","",$D3817*IFERROR(INDEX('تحليل التكلفة والسعر'!$C$2:$C$700,MATCH($C3817,'تحليل التكلفة والسعر'!$B$2:$B$700,0)),0))</f>
        <v/>
      </c>
    </row>
    <row r="3818" customFormat="false" ht="15" hidden="false" customHeight="false" outlineLevel="0" collapsed="false">
      <c r="A3818" s="102"/>
      <c r="E3818" s="103" t="str">
        <f aca="false">IF($C3818="","",IFERROR(INDEX(المنيو!$C$2:$C$500,MATCH($C3818,المنيو!$B$2:$B$500,0)),0))</f>
        <v/>
      </c>
      <c r="F3818" s="103" t="str">
        <f aca="false">IF($C3818="","",$D3818*$E3818)</f>
        <v/>
      </c>
      <c r="G3818" s="103" t="str">
        <f aca="false">IF($C3818="","",$D3818*IFERROR(INDEX('تحليل التكلفة والسعر'!$C$2:$C$700,MATCH($C3818,'تحليل التكلفة والسعر'!$B$2:$B$700,0)),0))</f>
        <v/>
      </c>
    </row>
    <row r="3819" customFormat="false" ht="15" hidden="false" customHeight="false" outlineLevel="0" collapsed="false">
      <c r="A3819" s="102"/>
      <c r="E3819" s="103" t="str">
        <f aca="false">IF($C3819="","",IFERROR(INDEX(المنيو!$C$2:$C$500,MATCH($C3819,المنيو!$B$2:$B$500,0)),0))</f>
        <v/>
      </c>
      <c r="F3819" s="103" t="str">
        <f aca="false">IF($C3819="","",$D3819*$E3819)</f>
        <v/>
      </c>
      <c r="G3819" s="103" t="str">
        <f aca="false">IF($C3819="","",$D3819*IFERROR(INDEX('تحليل التكلفة والسعر'!$C$2:$C$700,MATCH($C3819,'تحليل التكلفة والسعر'!$B$2:$B$700,0)),0))</f>
        <v/>
      </c>
    </row>
    <row r="3820" customFormat="false" ht="15" hidden="false" customHeight="false" outlineLevel="0" collapsed="false">
      <c r="A3820" s="102"/>
      <c r="E3820" s="103" t="str">
        <f aca="false">IF($C3820="","",IFERROR(INDEX(المنيو!$C$2:$C$500,MATCH($C3820,المنيو!$B$2:$B$500,0)),0))</f>
        <v/>
      </c>
      <c r="F3820" s="103" t="str">
        <f aca="false">IF($C3820="","",$D3820*$E3820)</f>
        <v/>
      </c>
      <c r="G3820" s="103" t="str">
        <f aca="false">IF($C3820="","",$D3820*IFERROR(INDEX('تحليل التكلفة والسعر'!$C$2:$C$700,MATCH($C3820,'تحليل التكلفة والسعر'!$B$2:$B$700,0)),0))</f>
        <v/>
      </c>
    </row>
    <row r="3821" customFormat="false" ht="15" hidden="false" customHeight="false" outlineLevel="0" collapsed="false">
      <c r="A3821" s="102"/>
      <c r="E3821" s="103" t="str">
        <f aca="false">IF($C3821="","",IFERROR(INDEX(المنيو!$C$2:$C$500,MATCH($C3821,المنيو!$B$2:$B$500,0)),0))</f>
        <v/>
      </c>
      <c r="F3821" s="103" t="str">
        <f aca="false">IF($C3821="","",$D3821*$E3821)</f>
        <v/>
      </c>
      <c r="G3821" s="103" t="str">
        <f aca="false">IF($C3821="","",$D3821*IFERROR(INDEX('تحليل التكلفة والسعر'!$C$2:$C$700,MATCH($C3821,'تحليل التكلفة والسعر'!$B$2:$B$700,0)),0))</f>
        <v/>
      </c>
    </row>
    <row r="3822" customFormat="false" ht="15" hidden="false" customHeight="false" outlineLevel="0" collapsed="false">
      <c r="A3822" s="102"/>
      <c r="E3822" s="103" t="str">
        <f aca="false">IF($C3822="","",IFERROR(INDEX(المنيو!$C$2:$C$500,MATCH($C3822,المنيو!$B$2:$B$500,0)),0))</f>
        <v/>
      </c>
      <c r="F3822" s="103" t="str">
        <f aca="false">IF($C3822="","",$D3822*$E3822)</f>
        <v/>
      </c>
      <c r="G3822" s="103" t="str">
        <f aca="false">IF($C3822="","",$D3822*IFERROR(INDEX('تحليل التكلفة والسعر'!$C$2:$C$700,MATCH($C3822,'تحليل التكلفة والسعر'!$B$2:$B$700,0)),0))</f>
        <v/>
      </c>
    </row>
    <row r="3823" customFormat="false" ht="15" hidden="false" customHeight="false" outlineLevel="0" collapsed="false">
      <c r="A3823" s="102"/>
      <c r="E3823" s="103" t="str">
        <f aca="false">IF($C3823="","",IFERROR(INDEX(المنيو!$C$2:$C$500,MATCH($C3823,المنيو!$B$2:$B$500,0)),0))</f>
        <v/>
      </c>
      <c r="F3823" s="103" t="str">
        <f aca="false">IF($C3823="","",$D3823*$E3823)</f>
        <v/>
      </c>
      <c r="G3823" s="103" t="str">
        <f aca="false">IF($C3823="","",$D3823*IFERROR(INDEX('تحليل التكلفة والسعر'!$C$2:$C$700,MATCH($C3823,'تحليل التكلفة والسعر'!$B$2:$B$700,0)),0))</f>
        <v/>
      </c>
    </row>
    <row r="3824" customFormat="false" ht="15" hidden="false" customHeight="false" outlineLevel="0" collapsed="false">
      <c r="A3824" s="102"/>
      <c r="E3824" s="103" t="str">
        <f aca="false">IF($C3824="","",IFERROR(INDEX(المنيو!$C$2:$C$500,MATCH($C3824,المنيو!$B$2:$B$500,0)),0))</f>
        <v/>
      </c>
      <c r="F3824" s="103" t="str">
        <f aca="false">IF($C3824="","",$D3824*$E3824)</f>
        <v/>
      </c>
      <c r="G3824" s="103" t="str">
        <f aca="false">IF($C3824="","",$D3824*IFERROR(INDEX('تحليل التكلفة والسعر'!$C$2:$C$700,MATCH($C3824,'تحليل التكلفة والسعر'!$B$2:$B$700,0)),0))</f>
        <v/>
      </c>
    </row>
    <row r="3825" customFormat="false" ht="15" hidden="false" customHeight="false" outlineLevel="0" collapsed="false">
      <c r="A3825" s="102"/>
      <c r="E3825" s="103" t="str">
        <f aca="false">IF($C3825="","",IFERROR(INDEX(المنيو!$C$2:$C$500,MATCH($C3825,المنيو!$B$2:$B$500,0)),0))</f>
        <v/>
      </c>
      <c r="F3825" s="103" t="str">
        <f aca="false">IF($C3825="","",$D3825*$E3825)</f>
        <v/>
      </c>
      <c r="G3825" s="103" t="str">
        <f aca="false">IF($C3825="","",$D3825*IFERROR(INDEX('تحليل التكلفة والسعر'!$C$2:$C$700,MATCH($C3825,'تحليل التكلفة والسعر'!$B$2:$B$700,0)),0))</f>
        <v/>
      </c>
    </row>
    <row r="3826" customFormat="false" ht="15" hidden="false" customHeight="false" outlineLevel="0" collapsed="false">
      <c r="A3826" s="102"/>
      <c r="E3826" s="103" t="str">
        <f aca="false">IF($C3826="","",IFERROR(INDEX(المنيو!$C$2:$C$500,MATCH($C3826,المنيو!$B$2:$B$500,0)),0))</f>
        <v/>
      </c>
      <c r="F3826" s="103" t="str">
        <f aca="false">IF($C3826="","",$D3826*$E3826)</f>
        <v/>
      </c>
      <c r="G3826" s="103" t="str">
        <f aca="false">IF($C3826="","",$D3826*IFERROR(INDEX('تحليل التكلفة والسعر'!$C$2:$C$700,MATCH($C3826,'تحليل التكلفة والسعر'!$B$2:$B$700,0)),0))</f>
        <v/>
      </c>
    </row>
    <row r="3827" customFormat="false" ht="15" hidden="false" customHeight="false" outlineLevel="0" collapsed="false">
      <c r="A3827" s="102"/>
      <c r="E3827" s="103" t="str">
        <f aca="false">IF($C3827="","",IFERROR(INDEX(المنيو!$C$2:$C$500,MATCH($C3827,المنيو!$B$2:$B$500,0)),0))</f>
        <v/>
      </c>
      <c r="F3827" s="103" t="str">
        <f aca="false">IF($C3827="","",$D3827*$E3827)</f>
        <v/>
      </c>
      <c r="G3827" s="103" t="str">
        <f aca="false">IF($C3827="","",$D3827*IFERROR(INDEX('تحليل التكلفة والسعر'!$C$2:$C$700,MATCH($C3827,'تحليل التكلفة والسعر'!$B$2:$B$700,0)),0))</f>
        <v/>
      </c>
    </row>
    <row r="3828" customFormat="false" ht="15" hidden="false" customHeight="false" outlineLevel="0" collapsed="false">
      <c r="A3828" s="102"/>
      <c r="E3828" s="103" t="str">
        <f aca="false">IF($C3828="","",IFERROR(INDEX(المنيو!$C$2:$C$500,MATCH($C3828,المنيو!$B$2:$B$500,0)),0))</f>
        <v/>
      </c>
      <c r="F3828" s="103" t="str">
        <f aca="false">IF($C3828="","",$D3828*$E3828)</f>
        <v/>
      </c>
      <c r="G3828" s="103" t="str">
        <f aca="false">IF($C3828="","",$D3828*IFERROR(INDEX('تحليل التكلفة والسعر'!$C$2:$C$700,MATCH($C3828,'تحليل التكلفة والسعر'!$B$2:$B$700,0)),0))</f>
        <v/>
      </c>
    </row>
    <row r="3829" customFormat="false" ht="15" hidden="false" customHeight="false" outlineLevel="0" collapsed="false">
      <c r="A3829" s="102"/>
      <c r="E3829" s="103" t="str">
        <f aca="false">IF($C3829="","",IFERROR(INDEX(المنيو!$C$2:$C$500,MATCH($C3829,المنيو!$B$2:$B$500,0)),0))</f>
        <v/>
      </c>
      <c r="F3829" s="103" t="str">
        <f aca="false">IF($C3829="","",$D3829*$E3829)</f>
        <v/>
      </c>
      <c r="G3829" s="103" t="str">
        <f aca="false">IF($C3829="","",$D3829*IFERROR(INDEX('تحليل التكلفة والسعر'!$C$2:$C$700,MATCH($C3829,'تحليل التكلفة والسعر'!$B$2:$B$700,0)),0))</f>
        <v/>
      </c>
    </row>
    <row r="3830" customFormat="false" ht="15" hidden="false" customHeight="false" outlineLevel="0" collapsed="false">
      <c r="A3830" s="102"/>
      <c r="E3830" s="103" t="str">
        <f aca="false">IF($C3830="","",IFERROR(INDEX(المنيو!$C$2:$C$500,MATCH($C3830,المنيو!$B$2:$B$500,0)),0))</f>
        <v/>
      </c>
      <c r="F3830" s="103" t="str">
        <f aca="false">IF($C3830="","",$D3830*$E3830)</f>
        <v/>
      </c>
      <c r="G3830" s="103" t="str">
        <f aca="false">IF($C3830="","",$D3830*IFERROR(INDEX('تحليل التكلفة والسعر'!$C$2:$C$700,MATCH($C3830,'تحليل التكلفة والسعر'!$B$2:$B$700,0)),0))</f>
        <v/>
      </c>
    </row>
    <row r="3831" customFormat="false" ht="15" hidden="false" customHeight="false" outlineLevel="0" collapsed="false">
      <c r="A3831" s="102"/>
      <c r="E3831" s="103" t="str">
        <f aca="false">IF($C3831="","",IFERROR(INDEX(المنيو!$C$2:$C$500,MATCH($C3831,المنيو!$B$2:$B$500,0)),0))</f>
        <v/>
      </c>
      <c r="F3831" s="103" t="str">
        <f aca="false">IF($C3831="","",$D3831*$E3831)</f>
        <v/>
      </c>
      <c r="G3831" s="103" t="str">
        <f aca="false">IF($C3831="","",$D3831*IFERROR(INDEX('تحليل التكلفة والسعر'!$C$2:$C$700,MATCH($C3831,'تحليل التكلفة والسعر'!$B$2:$B$700,0)),0))</f>
        <v/>
      </c>
    </row>
    <row r="3832" customFormat="false" ht="15" hidden="false" customHeight="false" outlineLevel="0" collapsed="false">
      <c r="A3832" s="102"/>
      <c r="E3832" s="103" t="str">
        <f aca="false">IF($C3832="","",IFERROR(INDEX(المنيو!$C$2:$C$500,MATCH($C3832,المنيو!$B$2:$B$500,0)),0))</f>
        <v/>
      </c>
      <c r="F3832" s="103" t="str">
        <f aca="false">IF($C3832="","",$D3832*$E3832)</f>
        <v/>
      </c>
      <c r="G3832" s="103" t="str">
        <f aca="false">IF($C3832="","",$D3832*IFERROR(INDEX('تحليل التكلفة والسعر'!$C$2:$C$700,MATCH($C3832,'تحليل التكلفة والسعر'!$B$2:$B$700,0)),0))</f>
        <v/>
      </c>
    </row>
    <row r="3833" customFormat="false" ht="15" hidden="false" customHeight="false" outlineLevel="0" collapsed="false">
      <c r="A3833" s="102"/>
      <c r="E3833" s="103" t="str">
        <f aca="false">IF($C3833="","",IFERROR(INDEX(المنيو!$C$2:$C$500,MATCH($C3833,المنيو!$B$2:$B$500,0)),0))</f>
        <v/>
      </c>
      <c r="F3833" s="103" t="str">
        <f aca="false">IF($C3833="","",$D3833*$E3833)</f>
        <v/>
      </c>
      <c r="G3833" s="103" t="str">
        <f aca="false">IF($C3833="","",$D3833*IFERROR(INDEX('تحليل التكلفة والسعر'!$C$2:$C$700,MATCH($C3833,'تحليل التكلفة والسعر'!$B$2:$B$700,0)),0))</f>
        <v/>
      </c>
    </row>
    <row r="3834" customFormat="false" ht="15" hidden="false" customHeight="false" outlineLevel="0" collapsed="false">
      <c r="A3834" s="102"/>
      <c r="E3834" s="103" t="str">
        <f aca="false">IF($C3834="","",IFERROR(INDEX(المنيو!$C$2:$C$500,MATCH($C3834,المنيو!$B$2:$B$500,0)),0))</f>
        <v/>
      </c>
      <c r="F3834" s="103" t="str">
        <f aca="false">IF($C3834="","",$D3834*$E3834)</f>
        <v/>
      </c>
      <c r="G3834" s="103" t="str">
        <f aca="false">IF($C3834="","",$D3834*IFERROR(INDEX('تحليل التكلفة والسعر'!$C$2:$C$700,MATCH($C3834,'تحليل التكلفة والسعر'!$B$2:$B$700,0)),0))</f>
        <v/>
      </c>
    </row>
    <row r="3835" customFormat="false" ht="15" hidden="false" customHeight="false" outlineLevel="0" collapsed="false">
      <c r="A3835" s="102"/>
      <c r="E3835" s="103" t="str">
        <f aca="false">IF($C3835="","",IFERROR(INDEX(المنيو!$C$2:$C$500,MATCH($C3835,المنيو!$B$2:$B$500,0)),0))</f>
        <v/>
      </c>
      <c r="F3835" s="103" t="str">
        <f aca="false">IF($C3835="","",$D3835*$E3835)</f>
        <v/>
      </c>
      <c r="G3835" s="103" t="str">
        <f aca="false">IF($C3835="","",$D3835*IFERROR(INDEX('تحليل التكلفة والسعر'!$C$2:$C$700,MATCH($C3835,'تحليل التكلفة والسعر'!$B$2:$B$700,0)),0))</f>
        <v/>
      </c>
    </row>
    <row r="3836" customFormat="false" ht="15" hidden="false" customHeight="false" outlineLevel="0" collapsed="false">
      <c r="A3836" s="102"/>
      <c r="E3836" s="103" t="str">
        <f aca="false">IF($C3836="","",IFERROR(INDEX(المنيو!$C$2:$C$500,MATCH($C3836,المنيو!$B$2:$B$500,0)),0))</f>
        <v/>
      </c>
      <c r="F3836" s="103" t="str">
        <f aca="false">IF($C3836="","",$D3836*$E3836)</f>
        <v/>
      </c>
      <c r="G3836" s="103" t="str">
        <f aca="false">IF($C3836="","",$D3836*IFERROR(INDEX('تحليل التكلفة والسعر'!$C$2:$C$700,MATCH($C3836,'تحليل التكلفة والسعر'!$B$2:$B$700,0)),0))</f>
        <v/>
      </c>
    </row>
    <row r="3837" customFormat="false" ht="15" hidden="false" customHeight="false" outlineLevel="0" collapsed="false">
      <c r="A3837" s="102"/>
      <c r="E3837" s="103" t="str">
        <f aca="false">IF($C3837="","",IFERROR(INDEX(المنيو!$C$2:$C$500,MATCH($C3837,المنيو!$B$2:$B$500,0)),0))</f>
        <v/>
      </c>
      <c r="F3837" s="103" t="str">
        <f aca="false">IF($C3837="","",$D3837*$E3837)</f>
        <v/>
      </c>
      <c r="G3837" s="103" t="str">
        <f aca="false">IF($C3837="","",$D3837*IFERROR(INDEX('تحليل التكلفة والسعر'!$C$2:$C$700,MATCH($C3837,'تحليل التكلفة والسعر'!$B$2:$B$700,0)),0))</f>
        <v/>
      </c>
    </row>
    <row r="3838" customFormat="false" ht="15" hidden="false" customHeight="false" outlineLevel="0" collapsed="false">
      <c r="A3838" s="102"/>
      <c r="E3838" s="103" t="str">
        <f aca="false">IF($C3838="","",IFERROR(INDEX(المنيو!$C$2:$C$500,MATCH($C3838,المنيو!$B$2:$B$500,0)),0))</f>
        <v/>
      </c>
      <c r="F3838" s="103" t="str">
        <f aca="false">IF($C3838="","",$D3838*$E3838)</f>
        <v/>
      </c>
      <c r="G3838" s="103" t="str">
        <f aca="false">IF($C3838="","",$D3838*IFERROR(INDEX('تحليل التكلفة والسعر'!$C$2:$C$700,MATCH($C3838,'تحليل التكلفة والسعر'!$B$2:$B$700,0)),0))</f>
        <v/>
      </c>
    </row>
    <row r="3839" customFormat="false" ht="15" hidden="false" customHeight="false" outlineLevel="0" collapsed="false">
      <c r="A3839" s="102"/>
      <c r="E3839" s="103" t="str">
        <f aca="false">IF($C3839="","",IFERROR(INDEX(المنيو!$C$2:$C$500,MATCH($C3839,المنيو!$B$2:$B$500,0)),0))</f>
        <v/>
      </c>
      <c r="F3839" s="103" t="str">
        <f aca="false">IF($C3839="","",$D3839*$E3839)</f>
        <v/>
      </c>
      <c r="G3839" s="103" t="str">
        <f aca="false">IF($C3839="","",$D3839*IFERROR(INDEX('تحليل التكلفة والسعر'!$C$2:$C$700,MATCH($C3839,'تحليل التكلفة والسعر'!$B$2:$B$700,0)),0))</f>
        <v/>
      </c>
    </row>
    <row r="3840" customFormat="false" ht="15" hidden="false" customHeight="false" outlineLevel="0" collapsed="false">
      <c r="A3840" s="102"/>
      <c r="E3840" s="103" t="str">
        <f aca="false">IF($C3840="","",IFERROR(INDEX(المنيو!$C$2:$C$500,MATCH($C3840,المنيو!$B$2:$B$500,0)),0))</f>
        <v/>
      </c>
      <c r="F3840" s="103" t="str">
        <f aca="false">IF($C3840="","",$D3840*$E3840)</f>
        <v/>
      </c>
      <c r="G3840" s="103" t="str">
        <f aca="false">IF($C3840="","",$D3840*IFERROR(INDEX('تحليل التكلفة والسعر'!$C$2:$C$700,MATCH($C3840,'تحليل التكلفة والسعر'!$B$2:$B$700,0)),0))</f>
        <v/>
      </c>
    </row>
    <row r="3841" customFormat="false" ht="15" hidden="false" customHeight="false" outlineLevel="0" collapsed="false">
      <c r="A3841" s="102"/>
      <c r="E3841" s="103" t="str">
        <f aca="false">IF($C3841="","",IFERROR(INDEX(المنيو!$C$2:$C$500,MATCH($C3841,المنيو!$B$2:$B$500,0)),0))</f>
        <v/>
      </c>
      <c r="F3841" s="103" t="str">
        <f aca="false">IF($C3841="","",$D3841*$E3841)</f>
        <v/>
      </c>
      <c r="G3841" s="103" t="str">
        <f aca="false">IF($C3841="","",$D3841*IFERROR(INDEX('تحليل التكلفة والسعر'!$C$2:$C$700,MATCH($C3841,'تحليل التكلفة والسعر'!$B$2:$B$700,0)),0))</f>
        <v/>
      </c>
    </row>
    <row r="3842" customFormat="false" ht="15" hidden="false" customHeight="false" outlineLevel="0" collapsed="false">
      <c r="A3842" s="102"/>
      <c r="E3842" s="103" t="str">
        <f aca="false">IF($C3842="","",IFERROR(INDEX(المنيو!$C$2:$C$500,MATCH($C3842,المنيو!$B$2:$B$500,0)),0))</f>
        <v/>
      </c>
      <c r="F3842" s="103" t="str">
        <f aca="false">IF($C3842="","",$D3842*$E3842)</f>
        <v/>
      </c>
      <c r="G3842" s="103" t="str">
        <f aca="false">IF($C3842="","",$D3842*IFERROR(INDEX('تحليل التكلفة والسعر'!$C$2:$C$700,MATCH($C3842,'تحليل التكلفة والسعر'!$B$2:$B$700,0)),0))</f>
        <v/>
      </c>
    </row>
    <row r="3843" customFormat="false" ht="15" hidden="false" customHeight="false" outlineLevel="0" collapsed="false">
      <c r="A3843" s="102"/>
      <c r="E3843" s="103" t="str">
        <f aca="false">IF($C3843="","",IFERROR(INDEX(المنيو!$C$2:$C$500,MATCH($C3843,المنيو!$B$2:$B$500,0)),0))</f>
        <v/>
      </c>
      <c r="F3843" s="103" t="str">
        <f aca="false">IF($C3843="","",$D3843*$E3843)</f>
        <v/>
      </c>
      <c r="G3843" s="103" t="str">
        <f aca="false">IF($C3843="","",$D3843*IFERROR(INDEX('تحليل التكلفة والسعر'!$C$2:$C$700,MATCH($C3843,'تحليل التكلفة والسعر'!$B$2:$B$700,0)),0))</f>
        <v/>
      </c>
    </row>
    <row r="3844" customFormat="false" ht="15" hidden="false" customHeight="false" outlineLevel="0" collapsed="false">
      <c r="A3844" s="102"/>
      <c r="E3844" s="103" t="str">
        <f aca="false">IF($C3844="","",IFERROR(INDEX(المنيو!$C$2:$C$500,MATCH($C3844,المنيو!$B$2:$B$500,0)),0))</f>
        <v/>
      </c>
      <c r="F3844" s="103" t="str">
        <f aca="false">IF($C3844="","",$D3844*$E3844)</f>
        <v/>
      </c>
      <c r="G3844" s="103" t="str">
        <f aca="false">IF($C3844="","",$D3844*IFERROR(INDEX('تحليل التكلفة والسعر'!$C$2:$C$700,MATCH($C3844,'تحليل التكلفة والسعر'!$B$2:$B$700,0)),0))</f>
        <v/>
      </c>
    </row>
    <row r="3845" customFormat="false" ht="15" hidden="false" customHeight="false" outlineLevel="0" collapsed="false">
      <c r="A3845" s="102"/>
      <c r="E3845" s="103" t="str">
        <f aca="false">IF($C3845="","",IFERROR(INDEX(المنيو!$C$2:$C$500,MATCH($C3845,المنيو!$B$2:$B$500,0)),0))</f>
        <v/>
      </c>
      <c r="F3845" s="103" t="str">
        <f aca="false">IF($C3845="","",$D3845*$E3845)</f>
        <v/>
      </c>
      <c r="G3845" s="103" t="str">
        <f aca="false">IF($C3845="","",$D3845*IFERROR(INDEX('تحليل التكلفة والسعر'!$C$2:$C$700,MATCH($C3845,'تحليل التكلفة والسعر'!$B$2:$B$700,0)),0))</f>
        <v/>
      </c>
    </row>
    <row r="3846" customFormat="false" ht="15" hidden="false" customHeight="false" outlineLevel="0" collapsed="false">
      <c r="A3846" s="102"/>
      <c r="E3846" s="103" t="str">
        <f aca="false">IF($C3846="","",IFERROR(INDEX(المنيو!$C$2:$C$500,MATCH($C3846,المنيو!$B$2:$B$500,0)),0))</f>
        <v/>
      </c>
      <c r="F3846" s="103" t="str">
        <f aca="false">IF($C3846="","",$D3846*$E3846)</f>
        <v/>
      </c>
      <c r="G3846" s="103" t="str">
        <f aca="false">IF($C3846="","",$D3846*IFERROR(INDEX('تحليل التكلفة والسعر'!$C$2:$C$700,MATCH($C3846,'تحليل التكلفة والسعر'!$B$2:$B$700,0)),0))</f>
        <v/>
      </c>
    </row>
    <row r="3847" customFormat="false" ht="15" hidden="false" customHeight="false" outlineLevel="0" collapsed="false">
      <c r="A3847" s="102"/>
      <c r="E3847" s="103" t="str">
        <f aca="false">IF($C3847="","",IFERROR(INDEX(المنيو!$C$2:$C$500,MATCH($C3847,المنيو!$B$2:$B$500,0)),0))</f>
        <v/>
      </c>
      <c r="F3847" s="103" t="str">
        <f aca="false">IF($C3847="","",$D3847*$E3847)</f>
        <v/>
      </c>
      <c r="G3847" s="103" t="str">
        <f aca="false">IF($C3847="","",$D3847*IFERROR(INDEX('تحليل التكلفة والسعر'!$C$2:$C$700,MATCH($C3847,'تحليل التكلفة والسعر'!$B$2:$B$700,0)),0))</f>
        <v/>
      </c>
    </row>
    <row r="3848" customFormat="false" ht="15" hidden="false" customHeight="false" outlineLevel="0" collapsed="false">
      <c r="A3848" s="102"/>
      <c r="E3848" s="103" t="str">
        <f aca="false">IF($C3848="","",IFERROR(INDEX(المنيو!$C$2:$C$500,MATCH($C3848,المنيو!$B$2:$B$500,0)),0))</f>
        <v/>
      </c>
      <c r="F3848" s="103" t="str">
        <f aca="false">IF($C3848="","",$D3848*$E3848)</f>
        <v/>
      </c>
      <c r="G3848" s="103" t="str">
        <f aca="false">IF($C3848="","",$D3848*IFERROR(INDEX('تحليل التكلفة والسعر'!$C$2:$C$700,MATCH($C3848,'تحليل التكلفة والسعر'!$B$2:$B$700,0)),0))</f>
        <v/>
      </c>
    </row>
    <row r="3849" customFormat="false" ht="15" hidden="false" customHeight="false" outlineLevel="0" collapsed="false">
      <c r="A3849" s="102"/>
      <c r="E3849" s="103" t="str">
        <f aca="false">IF($C3849="","",IFERROR(INDEX(المنيو!$C$2:$C$500,MATCH($C3849,المنيو!$B$2:$B$500,0)),0))</f>
        <v/>
      </c>
      <c r="F3849" s="103" t="str">
        <f aca="false">IF($C3849="","",$D3849*$E3849)</f>
        <v/>
      </c>
      <c r="G3849" s="103" t="str">
        <f aca="false">IF($C3849="","",$D3849*IFERROR(INDEX('تحليل التكلفة والسعر'!$C$2:$C$700,MATCH($C3849,'تحليل التكلفة والسعر'!$B$2:$B$700,0)),0))</f>
        <v/>
      </c>
    </row>
    <row r="3850" customFormat="false" ht="15" hidden="false" customHeight="false" outlineLevel="0" collapsed="false">
      <c r="A3850" s="102"/>
      <c r="E3850" s="103" t="str">
        <f aca="false">IF($C3850="","",IFERROR(INDEX(المنيو!$C$2:$C$500,MATCH($C3850,المنيو!$B$2:$B$500,0)),0))</f>
        <v/>
      </c>
      <c r="F3850" s="103" t="str">
        <f aca="false">IF($C3850="","",$D3850*$E3850)</f>
        <v/>
      </c>
      <c r="G3850" s="103" t="str">
        <f aca="false">IF($C3850="","",$D3850*IFERROR(INDEX('تحليل التكلفة والسعر'!$C$2:$C$700,MATCH($C3850,'تحليل التكلفة والسعر'!$B$2:$B$700,0)),0))</f>
        <v/>
      </c>
    </row>
    <row r="3851" customFormat="false" ht="15" hidden="false" customHeight="false" outlineLevel="0" collapsed="false">
      <c r="A3851" s="102"/>
      <c r="E3851" s="103" t="str">
        <f aca="false">IF($C3851="","",IFERROR(INDEX(المنيو!$C$2:$C$500,MATCH($C3851,المنيو!$B$2:$B$500,0)),0))</f>
        <v/>
      </c>
      <c r="F3851" s="103" t="str">
        <f aca="false">IF($C3851="","",$D3851*$E3851)</f>
        <v/>
      </c>
      <c r="G3851" s="103" t="str">
        <f aca="false">IF($C3851="","",$D3851*IFERROR(INDEX('تحليل التكلفة والسعر'!$C$2:$C$700,MATCH($C3851,'تحليل التكلفة والسعر'!$B$2:$B$700,0)),0))</f>
        <v/>
      </c>
    </row>
    <row r="3852" customFormat="false" ht="15" hidden="false" customHeight="false" outlineLevel="0" collapsed="false">
      <c r="A3852" s="102"/>
      <c r="E3852" s="103" t="str">
        <f aca="false">IF($C3852="","",IFERROR(INDEX(المنيو!$C$2:$C$500,MATCH($C3852,المنيو!$B$2:$B$500,0)),0))</f>
        <v/>
      </c>
      <c r="F3852" s="103" t="str">
        <f aca="false">IF($C3852="","",$D3852*$E3852)</f>
        <v/>
      </c>
      <c r="G3852" s="103" t="str">
        <f aca="false">IF($C3852="","",$D3852*IFERROR(INDEX('تحليل التكلفة والسعر'!$C$2:$C$700,MATCH($C3852,'تحليل التكلفة والسعر'!$B$2:$B$700,0)),0))</f>
        <v/>
      </c>
    </row>
    <row r="3853" customFormat="false" ht="15" hidden="false" customHeight="false" outlineLevel="0" collapsed="false">
      <c r="A3853" s="102"/>
      <c r="E3853" s="103" t="str">
        <f aca="false">IF($C3853="","",IFERROR(INDEX(المنيو!$C$2:$C$500,MATCH($C3853,المنيو!$B$2:$B$500,0)),0))</f>
        <v/>
      </c>
      <c r="F3853" s="103" t="str">
        <f aca="false">IF($C3853="","",$D3853*$E3853)</f>
        <v/>
      </c>
      <c r="G3853" s="103" t="str">
        <f aca="false">IF($C3853="","",$D3853*IFERROR(INDEX('تحليل التكلفة والسعر'!$C$2:$C$700,MATCH($C3853,'تحليل التكلفة والسعر'!$B$2:$B$700,0)),0))</f>
        <v/>
      </c>
    </row>
    <row r="3854" customFormat="false" ht="15" hidden="false" customHeight="false" outlineLevel="0" collapsed="false">
      <c r="A3854" s="102"/>
      <c r="E3854" s="103" t="str">
        <f aca="false">IF($C3854="","",IFERROR(INDEX(المنيو!$C$2:$C$500,MATCH($C3854,المنيو!$B$2:$B$500,0)),0))</f>
        <v/>
      </c>
      <c r="F3854" s="103" t="str">
        <f aca="false">IF($C3854="","",$D3854*$E3854)</f>
        <v/>
      </c>
      <c r="G3854" s="103" t="str">
        <f aca="false">IF($C3854="","",$D3854*IFERROR(INDEX('تحليل التكلفة والسعر'!$C$2:$C$700,MATCH($C3854,'تحليل التكلفة والسعر'!$B$2:$B$700,0)),0))</f>
        <v/>
      </c>
    </row>
    <row r="3855" customFormat="false" ht="15" hidden="false" customHeight="false" outlineLevel="0" collapsed="false">
      <c r="A3855" s="102"/>
      <c r="E3855" s="103" t="str">
        <f aca="false">IF($C3855="","",IFERROR(INDEX(المنيو!$C$2:$C$500,MATCH($C3855,المنيو!$B$2:$B$500,0)),0))</f>
        <v/>
      </c>
      <c r="F3855" s="103" t="str">
        <f aca="false">IF($C3855="","",$D3855*$E3855)</f>
        <v/>
      </c>
      <c r="G3855" s="103" t="str">
        <f aca="false">IF($C3855="","",$D3855*IFERROR(INDEX('تحليل التكلفة والسعر'!$C$2:$C$700,MATCH($C3855,'تحليل التكلفة والسعر'!$B$2:$B$700,0)),0))</f>
        <v/>
      </c>
    </row>
    <row r="3856" customFormat="false" ht="15" hidden="false" customHeight="false" outlineLevel="0" collapsed="false">
      <c r="A3856" s="102"/>
      <c r="E3856" s="103" t="str">
        <f aca="false">IF($C3856="","",IFERROR(INDEX(المنيو!$C$2:$C$500,MATCH($C3856,المنيو!$B$2:$B$500,0)),0))</f>
        <v/>
      </c>
      <c r="F3856" s="103" t="str">
        <f aca="false">IF($C3856="","",$D3856*$E3856)</f>
        <v/>
      </c>
      <c r="G3856" s="103" t="str">
        <f aca="false">IF($C3856="","",$D3856*IFERROR(INDEX('تحليل التكلفة والسعر'!$C$2:$C$700,MATCH($C3856,'تحليل التكلفة والسعر'!$B$2:$B$700,0)),0))</f>
        <v/>
      </c>
    </row>
    <row r="3857" customFormat="false" ht="15" hidden="false" customHeight="false" outlineLevel="0" collapsed="false">
      <c r="A3857" s="102"/>
      <c r="E3857" s="103" t="str">
        <f aca="false">IF($C3857="","",IFERROR(INDEX(المنيو!$C$2:$C$500,MATCH($C3857,المنيو!$B$2:$B$500,0)),0))</f>
        <v/>
      </c>
      <c r="F3857" s="103" t="str">
        <f aca="false">IF($C3857="","",$D3857*$E3857)</f>
        <v/>
      </c>
      <c r="G3857" s="103" t="str">
        <f aca="false">IF($C3857="","",$D3857*IFERROR(INDEX('تحليل التكلفة والسعر'!$C$2:$C$700,MATCH($C3857,'تحليل التكلفة والسعر'!$B$2:$B$700,0)),0))</f>
        <v/>
      </c>
    </row>
    <row r="3858" customFormat="false" ht="15" hidden="false" customHeight="false" outlineLevel="0" collapsed="false">
      <c r="A3858" s="102"/>
      <c r="E3858" s="103" t="str">
        <f aca="false">IF($C3858="","",IFERROR(INDEX(المنيو!$C$2:$C$500,MATCH($C3858,المنيو!$B$2:$B$500,0)),0))</f>
        <v/>
      </c>
      <c r="F3858" s="103" t="str">
        <f aca="false">IF($C3858="","",$D3858*$E3858)</f>
        <v/>
      </c>
      <c r="G3858" s="103" t="str">
        <f aca="false">IF($C3858="","",$D3858*IFERROR(INDEX('تحليل التكلفة والسعر'!$C$2:$C$700,MATCH($C3858,'تحليل التكلفة والسعر'!$B$2:$B$700,0)),0))</f>
        <v/>
      </c>
    </row>
    <row r="3859" customFormat="false" ht="15" hidden="false" customHeight="false" outlineLevel="0" collapsed="false">
      <c r="A3859" s="102"/>
      <c r="E3859" s="103" t="str">
        <f aca="false">IF($C3859="","",IFERROR(INDEX(المنيو!$C$2:$C$500,MATCH($C3859,المنيو!$B$2:$B$500,0)),0))</f>
        <v/>
      </c>
      <c r="F3859" s="103" t="str">
        <f aca="false">IF($C3859="","",$D3859*$E3859)</f>
        <v/>
      </c>
      <c r="G3859" s="103" t="str">
        <f aca="false">IF($C3859="","",$D3859*IFERROR(INDEX('تحليل التكلفة والسعر'!$C$2:$C$700,MATCH($C3859,'تحليل التكلفة والسعر'!$B$2:$B$700,0)),0))</f>
        <v/>
      </c>
    </row>
    <row r="3860" customFormat="false" ht="15" hidden="false" customHeight="false" outlineLevel="0" collapsed="false">
      <c r="A3860" s="102"/>
      <c r="E3860" s="103" t="str">
        <f aca="false">IF($C3860="","",IFERROR(INDEX(المنيو!$C$2:$C$500,MATCH($C3860,المنيو!$B$2:$B$500,0)),0))</f>
        <v/>
      </c>
      <c r="F3860" s="103" t="str">
        <f aca="false">IF($C3860="","",$D3860*$E3860)</f>
        <v/>
      </c>
      <c r="G3860" s="103" t="str">
        <f aca="false">IF($C3860="","",$D3860*IFERROR(INDEX('تحليل التكلفة والسعر'!$C$2:$C$700,MATCH($C3860,'تحليل التكلفة والسعر'!$B$2:$B$700,0)),0))</f>
        <v/>
      </c>
    </row>
    <row r="3861" customFormat="false" ht="15" hidden="false" customHeight="false" outlineLevel="0" collapsed="false">
      <c r="A3861" s="102"/>
      <c r="E3861" s="103" t="str">
        <f aca="false">IF($C3861="","",IFERROR(INDEX(المنيو!$C$2:$C$500,MATCH($C3861,المنيو!$B$2:$B$500,0)),0))</f>
        <v/>
      </c>
      <c r="F3861" s="103" t="str">
        <f aca="false">IF($C3861="","",$D3861*$E3861)</f>
        <v/>
      </c>
      <c r="G3861" s="103" t="str">
        <f aca="false">IF($C3861="","",$D3861*IFERROR(INDEX('تحليل التكلفة والسعر'!$C$2:$C$700,MATCH($C3861,'تحليل التكلفة والسعر'!$B$2:$B$700,0)),0))</f>
        <v/>
      </c>
    </row>
    <row r="3862" customFormat="false" ht="15" hidden="false" customHeight="false" outlineLevel="0" collapsed="false">
      <c r="A3862" s="102"/>
      <c r="E3862" s="103" t="str">
        <f aca="false">IF($C3862="","",IFERROR(INDEX(المنيو!$C$2:$C$500,MATCH($C3862,المنيو!$B$2:$B$500,0)),0))</f>
        <v/>
      </c>
      <c r="F3862" s="103" t="str">
        <f aca="false">IF($C3862="","",$D3862*$E3862)</f>
        <v/>
      </c>
      <c r="G3862" s="103" t="str">
        <f aca="false">IF($C3862="","",$D3862*IFERROR(INDEX('تحليل التكلفة والسعر'!$C$2:$C$700,MATCH($C3862,'تحليل التكلفة والسعر'!$B$2:$B$700,0)),0))</f>
        <v/>
      </c>
    </row>
    <row r="3863" customFormat="false" ht="15" hidden="false" customHeight="false" outlineLevel="0" collapsed="false">
      <c r="A3863" s="102"/>
      <c r="E3863" s="103" t="str">
        <f aca="false">IF($C3863="","",IFERROR(INDEX(المنيو!$C$2:$C$500,MATCH($C3863,المنيو!$B$2:$B$500,0)),0))</f>
        <v/>
      </c>
      <c r="F3863" s="103" t="str">
        <f aca="false">IF($C3863="","",$D3863*$E3863)</f>
        <v/>
      </c>
      <c r="G3863" s="103" t="str">
        <f aca="false">IF($C3863="","",$D3863*IFERROR(INDEX('تحليل التكلفة والسعر'!$C$2:$C$700,MATCH($C3863,'تحليل التكلفة والسعر'!$B$2:$B$700,0)),0))</f>
        <v/>
      </c>
    </row>
    <row r="3864" customFormat="false" ht="15" hidden="false" customHeight="false" outlineLevel="0" collapsed="false">
      <c r="A3864" s="102"/>
      <c r="E3864" s="103" t="str">
        <f aca="false">IF($C3864="","",IFERROR(INDEX(المنيو!$C$2:$C$500,MATCH($C3864,المنيو!$B$2:$B$500,0)),0))</f>
        <v/>
      </c>
      <c r="F3864" s="103" t="str">
        <f aca="false">IF($C3864="","",$D3864*$E3864)</f>
        <v/>
      </c>
      <c r="G3864" s="103" t="str">
        <f aca="false">IF($C3864="","",$D3864*IFERROR(INDEX('تحليل التكلفة والسعر'!$C$2:$C$700,MATCH($C3864,'تحليل التكلفة والسعر'!$B$2:$B$700,0)),0))</f>
        <v/>
      </c>
    </row>
    <row r="3865" customFormat="false" ht="15" hidden="false" customHeight="false" outlineLevel="0" collapsed="false">
      <c r="A3865" s="102"/>
      <c r="E3865" s="103" t="str">
        <f aca="false">IF($C3865="","",IFERROR(INDEX(المنيو!$C$2:$C$500,MATCH($C3865,المنيو!$B$2:$B$500,0)),0))</f>
        <v/>
      </c>
      <c r="F3865" s="103" t="str">
        <f aca="false">IF($C3865="","",$D3865*$E3865)</f>
        <v/>
      </c>
      <c r="G3865" s="103" t="str">
        <f aca="false">IF($C3865="","",$D3865*IFERROR(INDEX('تحليل التكلفة والسعر'!$C$2:$C$700,MATCH($C3865,'تحليل التكلفة والسعر'!$B$2:$B$700,0)),0))</f>
        <v/>
      </c>
    </row>
    <row r="3866" customFormat="false" ht="15" hidden="false" customHeight="false" outlineLevel="0" collapsed="false">
      <c r="A3866" s="102"/>
      <c r="E3866" s="103" t="str">
        <f aca="false">IF($C3866="","",IFERROR(INDEX(المنيو!$C$2:$C$500,MATCH($C3866,المنيو!$B$2:$B$500,0)),0))</f>
        <v/>
      </c>
      <c r="F3866" s="103" t="str">
        <f aca="false">IF($C3866="","",$D3866*$E3866)</f>
        <v/>
      </c>
      <c r="G3866" s="103" t="str">
        <f aca="false">IF($C3866="","",$D3866*IFERROR(INDEX('تحليل التكلفة والسعر'!$C$2:$C$700,MATCH($C3866,'تحليل التكلفة والسعر'!$B$2:$B$700,0)),0))</f>
        <v/>
      </c>
    </row>
    <row r="3867" customFormat="false" ht="15" hidden="false" customHeight="false" outlineLevel="0" collapsed="false">
      <c r="A3867" s="102"/>
      <c r="E3867" s="103" t="str">
        <f aca="false">IF($C3867="","",IFERROR(INDEX(المنيو!$C$2:$C$500,MATCH($C3867,المنيو!$B$2:$B$500,0)),0))</f>
        <v/>
      </c>
      <c r="F3867" s="103" t="str">
        <f aca="false">IF($C3867="","",$D3867*$E3867)</f>
        <v/>
      </c>
      <c r="G3867" s="103" t="str">
        <f aca="false">IF($C3867="","",$D3867*IFERROR(INDEX('تحليل التكلفة والسعر'!$C$2:$C$700,MATCH($C3867,'تحليل التكلفة والسعر'!$B$2:$B$700,0)),0))</f>
        <v/>
      </c>
    </row>
    <row r="3868" customFormat="false" ht="15" hidden="false" customHeight="false" outlineLevel="0" collapsed="false">
      <c r="A3868" s="102"/>
      <c r="E3868" s="103" t="str">
        <f aca="false">IF($C3868="","",IFERROR(INDEX(المنيو!$C$2:$C$500,MATCH($C3868,المنيو!$B$2:$B$500,0)),0))</f>
        <v/>
      </c>
      <c r="F3868" s="103" t="str">
        <f aca="false">IF($C3868="","",$D3868*$E3868)</f>
        <v/>
      </c>
      <c r="G3868" s="103" t="str">
        <f aca="false">IF($C3868="","",$D3868*IFERROR(INDEX('تحليل التكلفة والسعر'!$C$2:$C$700,MATCH($C3868,'تحليل التكلفة والسعر'!$B$2:$B$700,0)),0))</f>
        <v/>
      </c>
    </row>
    <row r="3869" customFormat="false" ht="15" hidden="false" customHeight="false" outlineLevel="0" collapsed="false">
      <c r="A3869" s="102"/>
      <c r="E3869" s="103" t="str">
        <f aca="false">IF($C3869="","",IFERROR(INDEX(المنيو!$C$2:$C$500,MATCH($C3869,المنيو!$B$2:$B$500,0)),0))</f>
        <v/>
      </c>
      <c r="F3869" s="103" t="str">
        <f aca="false">IF($C3869="","",$D3869*$E3869)</f>
        <v/>
      </c>
      <c r="G3869" s="103" t="str">
        <f aca="false">IF($C3869="","",$D3869*IFERROR(INDEX('تحليل التكلفة والسعر'!$C$2:$C$700,MATCH($C3869,'تحليل التكلفة والسعر'!$B$2:$B$700,0)),0))</f>
        <v/>
      </c>
    </row>
    <row r="3870" customFormat="false" ht="15" hidden="false" customHeight="false" outlineLevel="0" collapsed="false">
      <c r="A3870" s="102"/>
      <c r="E3870" s="103" t="str">
        <f aca="false">IF($C3870="","",IFERROR(INDEX(المنيو!$C$2:$C$500,MATCH($C3870,المنيو!$B$2:$B$500,0)),0))</f>
        <v/>
      </c>
      <c r="F3870" s="103" t="str">
        <f aca="false">IF($C3870="","",$D3870*$E3870)</f>
        <v/>
      </c>
      <c r="G3870" s="103" t="str">
        <f aca="false">IF($C3870="","",$D3870*IFERROR(INDEX('تحليل التكلفة والسعر'!$C$2:$C$700,MATCH($C3870,'تحليل التكلفة والسعر'!$B$2:$B$700,0)),0))</f>
        <v/>
      </c>
    </row>
    <row r="3871" customFormat="false" ht="15" hidden="false" customHeight="false" outlineLevel="0" collapsed="false">
      <c r="A3871" s="102"/>
      <c r="E3871" s="103" t="str">
        <f aca="false">IF($C3871="","",IFERROR(INDEX(المنيو!$C$2:$C$500,MATCH($C3871,المنيو!$B$2:$B$500,0)),0))</f>
        <v/>
      </c>
      <c r="F3871" s="103" t="str">
        <f aca="false">IF($C3871="","",$D3871*$E3871)</f>
        <v/>
      </c>
      <c r="G3871" s="103" t="str">
        <f aca="false">IF($C3871="","",$D3871*IFERROR(INDEX('تحليل التكلفة والسعر'!$C$2:$C$700,MATCH($C3871,'تحليل التكلفة والسعر'!$B$2:$B$700,0)),0))</f>
        <v/>
      </c>
    </row>
    <row r="3872" customFormat="false" ht="15" hidden="false" customHeight="false" outlineLevel="0" collapsed="false">
      <c r="A3872" s="102"/>
      <c r="E3872" s="103" t="str">
        <f aca="false">IF($C3872="","",IFERROR(INDEX(المنيو!$C$2:$C$500,MATCH($C3872,المنيو!$B$2:$B$500,0)),0))</f>
        <v/>
      </c>
      <c r="F3872" s="103" t="str">
        <f aca="false">IF($C3872="","",$D3872*$E3872)</f>
        <v/>
      </c>
      <c r="G3872" s="103" t="str">
        <f aca="false">IF($C3872="","",$D3872*IFERROR(INDEX('تحليل التكلفة والسعر'!$C$2:$C$700,MATCH($C3872,'تحليل التكلفة والسعر'!$B$2:$B$700,0)),0))</f>
        <v/>
      </c>
    </row>
    <row r="3873" customFormat="false" ht="15" hidden="false" customHeight="false" outlineLevel="0" collapsed="false">
      <c r="A3873" s="102"/>
      <c r="E3873" s="103" t="str">
        <f aca="false">IF($C3873="","",IFERROR(INDEX(المنيو!$C$2:$C$500,MATCH($C3873,المنيو!$B$2:$B$500,0)),0))</f>
        <v/>
      </c>
      <c r="F3873" s="103" t="str">
        <f aca="false">IF($C3873="","",$D3873*$E3873)</f>
        <v/>
      </c>
      <c r="G3873" s="103" t="str">
        <f aca="false">IF($C3873="","",$D3873*IFERROR(INDEX('تحليل التكلفة والسعر'!$C$2:$C$700,MATCH($C3873,'تحليل التكلفة والسعر'!$B$2:$B$700,0)),0))</f>
        <v/>
      </c>
    </row>
    <row r="3874" customFormat="false" ht="15" hidden="false" customHeight="false" outlineLevel="0" collapsed="false">
      <c r="A3874" s="102"/>
      <c r="E3874" s="103" t="str">
        <f aca="false">IF($C3874="","",IFERROR(INDEX(المنيو!$C$2:$C$500,MATCH($C3874,المنيو!$B$2:$B$500,0)),0))</f>
        <v/>
      </c>
      <c r="F3874" s="103" t="str">
        <f aca="false">IF($C3874="","",$D3874*$E3874)</f>
        <v/>
      </c>
      <c r="G3874" s="103" t="str">
        <f aca="false">IF($C3874="","",$D3874*IFERROR(INDEX('تحليل التكلفة والسعر'!$C$2:$C$700,MATCH($C3874,'تحليل التكلفة والسعر'!$B$2:$B$700,0)),0))</f>
        <v/>
      </c>
    </row>
    <row r="3875" customFormat="false" ht="15" hidden="false" customHeight="false" outlineLevel="0" collapsed="false">
      <c r="A3875" s="102"/>
      <c r="E3875" s="103" t="str">
        <f aca="false">IF($C3875="","",IFERROR(INDEX(المنيو!$C$2:$C$500,MATCH($C3875,المنيو!$B$2:$B$500,0)),0))</f>
        <v/>
      </c>
      <c r="F3875" s="103" t="str">
        <f aca="false">IF($C3875="","",$D3875*$E3875)</f>
        <v/>
      </c>
      <c r="G3875" s="103" t="str">
        <f aca="false">IF($C3875="","",$D3875*IFERROR(INDEX('تحليل التكلفة والسعر'!$C$2:$C$700,MATCH($C3875,'تحليل التكلفة والسعر'!$B$2:$B$700,0)),0))</f>
        <v/>
      </c>
    </row>
    <row r="3876" customFormat="false" ht="15" hidden="false" customHeight="false" outlineLevel="0" collapsed="false">
      <c r="A3876" s="102"/>
      <c r="E3876" s="103" t="str">
        <f aca="false">IF($C3876="","",IFERROR(INDEX(المنيو!$C$2:$C$500,MATCH($C3876,المنيو!$B$2:$B$500,0)),0))</f>
        <v/>
      </c>
      <c r="F3876" s="103" t="str">
        <f aca="false">IF($C3876="","",$D3876*$E3876)</f>
        <v/>
      </c>
      <c r="G3876" s="103" t="str">
        <f aca="false">IF($C3876="","",$D3876*IFERROR(INDEX('تحليل التكلفة والسعر'!$C$2:$C$700,MATCH($C3876,'تحليل التكلفة والسعر'!$B$2:$B$700,0)),0))</f>
        <v/>
      </c>
    </row>
    <row r="3877" customFormat="false" ht="15" hidden="false" customHeight="false" outlineLevel="0" collapsed="false">
      <c r="A3877" s="102"/>
      <c r="E3877" s="103" t="str">
        <f aca="false">IF($C3877="","",IFERROR(INDEX(المنيو!$C$2:$C$500,MATCH($C3877,المنيو!$B$2:$B$500,0)),0))</f>
        <v/>
      </c>
      <c r="F3877" s="103" t="str">
        <f aca="false">IF($C3877="","",$D3877*$E3877)</f>
        <v/>
      </c>
      <c r="G3877" s="103" t="str">
        <f aca="false">IF($C3877="","",$D3877*IFERROR(INDEX('تحليل التكلفة والسعر'!$C$2:$C$700,MATCH($C3877,'تحليل التكلفة والسعر'!$B$2:$B$700,0)),0))</f>
        <v/>
      </c>
    </row>
    <row r="3878" customFormat="false" ht="15" hidden="false" customHeight="false" outlineLevel="0" collapsed="false">
      <c r="A3878" s="102"/>
      <c r="E3878" s="103" t="str">
        <f aca="false">IF($C3878="","",IFERROR(INDEX(المنيو!$C$2:$C$500,MATCH($C3878,المنيو!$B$2:$B$500,0)),0))</f>
        <v/>
      </c>
      <c r="F3878" s="103" t="str">
        <f aca="false">IF($C3878="","",$D3878*$E3878)</f>
        <v/>
      </c>
      <c r="G3878" s="103" t="str">
        <f aca="false">IF($C3878="","",$D3878*IFERROR(INDEX('تحليل التكلفة والسعر'!$C$2:$C$700,MATCH($C3878,'تحليل التكلفة والسعر'!$B$2:$B$700,0)),0))</f>
        <v/>
      </c>
    </row>
    <row r="3879" customFormat="false" ht="15" hidden="false" customHeight="false" outlineLevel="0" collapsed="false">
      <c r="A3879" s="102"/>
      <c r="E3879" s="103" t="str">
        <f aca="false">IF($C3879="","",IFERROR(INDEX(المنيو!$C$2:$C$500,MATCH($C3879,المنيو!$B$2:$B$500,0)),0))</f>
        <v/>
      </c>
      <c r="F3879" s="103" t="str">
        <f aca="false">IF($C3879="","",$D3879*$E3879)</f>
        <v/>
      </c>
      <c r="G3879" s="103" t="str">
        <f aca="false">IF($C3879="","",$D3879*IFERROR(INDEX('تحليل التكلفة والسعر'!$C$2:$C$700,MATCH($C3879,'تحليل التكلفة والسعر'!$B$2:$B$700,0)),0))</f>
        <v/>
      </c>
    </row>
    <row r="3880" customFormat="false" ht="15" hidden="false" customHeight="false" outlineLevel="0" collapsed="false">
      <c r="A3880" s="102"/>
      <c r="E3880" s="103" t="str">
        <f aca="false">IF($C3880="","",IFERROR(INDEX(المنيو!$C$2:$C$500,MATCH($C3880,المنيو!$B$2:$B$500,0)),0))</f>
        <v/>
      </c>
      <c r="F3880" s="103" t="str">
        <f aca="false">IF($C3880="","",$D3880*$E3880)</f>
        <v/>
      </c>
      <c r="G3880" s="103" t="str">
        <f aca="false">IF($C3880="","",$D3880*IFERROR(INDEX('تحليل التكلفة والسعر'!$C$2:$C$700,MATCH($C3880,'تحليل التكلفة والسعر'!$B$2:$B$700,0)),0))</f>
        <v/>
      </c>
    </row>
    <row r="3881" customFormat="false" ht="15" hidden="false" customHeight="false" outlineLevel="0" collapsed="false">
      <c r="A3881" s="102"/>
      <c r="E3881" s="103" t="str">
        <f aca="false">IF($C3881="","",IFERROR(INDEX(المنيو!$C$2:$C$500,MATCH($C3881,المنيو!$B$2:$B$500,0)),0))</f>
        <v/>
      </c>
      <c r="F3881" s="103" t="str">
        <f aca="false">IF($C3881="","",$D3881*$E3881)</f>
        <v/>
      </c>
      <c r="G3881" s="103" t="str">
        <f aca="false">IF($C3881="","",$D3881*IFERROR(INDEX('تحليل التكلفة والسعر'!$C$2:$C$700,MATCH($C3881,'تحليل التكلفة والسعر'!$B$2:$B$700,0)),0))</f>
        <v/>
      </c>
    </row>
    <row r="3882" customFormat="false" ht="15" hidden="false" customHeight="false" outlineLevel="0" collapsed="false">
      <c r="A3882" s="102"/>
      <c r="E3882" s="103" t="str">
        <f aca="false">IF($C3882="","",IFERROR(INDEX(المنيو!$C$2:$C$500,MATCH($C3882,المنيو!$B$2:$B$500,0)),0))</f>
        <v/>
      </c>
      <c r="F3882" s="103" t="str">
        <f aca="false">IF($C3882="","",$D3882*$E3882)</f>
        <v/>
      </c>
      <c r="G3882" s="103" t="str">
        <f aca="false">IF($C3882="","",$D3882*IFERROR(INDEX('تحليل التكلفة والسعر'!$C$2:$C$700,MATCH($C3882,'تحليل التكلفة والسعر'!$B$2:$B$700,0)),0))</f>
        <v/>
      </c>
    </row>
    <row r="3883" customFormat="false" ht="15" hidden="false" customHeight="false" outlineLevel="0" collapsed="false">
      <c r="A3883" s="102"/>
      <c r="E3883" s="103" t="str">
        <f aca="false">IF($C3883="","",IFERROR(INDEX(المنيو!$C$2:$C$500,MATCH($C3883,المنيو!$B$2:$B$500,0)),0))</f>
        <v/>
      </c>
      <c r="F3883" s="103" t="str">
        <f aca="false">IF($C3883="","",$D3883*$E3883)</f>
        <v/>
      </c>
      <c r="G3883" s="103" t="str">
        <f aca="false">IF($C3883="","",$D3883*IFERROR(INDEX('تحليل التكلفة والسعر'!$C$2:$C$700,MATCH($C3883,'تحليل التكلفة والسعر'!$B$2:$B$700,0)),0))</f>
        <v/>
      </c>
    </row>
    <row r="3884" customFormat="false" ht="15" hidden="false" customHeight="false" outlineLevel="0" collapsed="false">
      <c r="A3884" s="102"/>
      <c r="E3884" s="103" t="str">
        <f aca="false">IF($C3884="","",IFERROR(INDEX(المنيو!$C$2:$C$500,MATCH($C3884,المنيو!$B$2:$B$500,0)),0))</f>
        <v/>
      </c>
      <c r="F3884" s="103" t="str">
        <f aca="false">IF($C3884="","",$D3884*$E3884)</f>
        <v/>
      </c>
      <c r="G3884" s="103" t="str">
        <f aca="false">IF($C3884="","",$D3884*IFERROR(INDEX('تحليل التكلفة والسعر'!$C$2:$C$700,MATCH($C3884,'تحليل التكلفة والسعر'!$B$2:$B$700,0)),0))</f>
        <v/>
      </c>
    </row>
    <row r="3885" customFormat="false" ht="15" hidden="false" customHeight="false" outlineLevel="0" collapsed="false">
      <c r="A3885" s="102"/>
      <c r="E3885" s="103" t="str">
        <f aca="false">IF($C3885="","",IFERROR(INDEX(المنيو!$C$2:$C$500,MATCH($C3885,المنيو!$B$2:$B$500,0)),0))</f>
        <v/>
      </c>
      <c r="F3885" s="103" t="str">
        <f aca="false">IF($C3885="","",$D3885*$E3885)</f>
        <v/>
      </c>
      <c r="G3885" s="103" t="str">
        <f aca="false">IF($C3885="","",$D3885*IFERROR(INDEX('تحليل التكلفة والسعر'!$C$2:$C$700,MATCH($C3885,'تحليل التكلفة والسعر'!$B$2:$B$700,0)),0))</f>
        <v/>
      </c>
    </row>
    <row r="3886" customFormat="false" ht="15" hidden="false" customHeight="false" outlineLevel="0" collapsed="false">
      <c r="A3886" s="102"/>
      <c r="E3886" s="103" t="str">
        <f aca="false">IF($C3886="","",IFERROR(INDEX(المنيو!$C$2:$C$500,MATCH($C3886,المنيو!$B$2:$B$500,0)),0))</f>
        <v/>
      </c>
      <c r="F3886" s="103" t="str">
        <f aca="false">IF($C3886="","",$D3886*$E3886)</f>
        <v/>
      </c>
      <c r="G3886" s="103" t="str">
        <f aca="false">IF($C3886="","",$D3886*IFERROR(INDEX('تحليل التكلفة والسعر'!$C$2:$C$700,MATCH($C3886,'تحليل التكلفة والسعر'!$B$2:$B$700,0)),0))</f>
        <v/>
      </c>
    </row>
    <row r="3887" customFormat="false" ht="15" hidden="false" customHeight="false" outlineLevel="0" collapsed="false">
      <c r="A3887" s="102"/>
      <c r="E3887" s="103" t="str">
        <f aca="false">IF($C3887="","",IFERROR(INDEX(المنيو!$C$2:$C$500,MATCH($C3887,المنيو!$B$2:$B$500,0)),0))</f>
        <v/>
      </c>
      <c r="F3887" s="103" t="str">
        <f aca="false">IF($C3887="","",$D3887*$E3887)</f>
        <v/>
      </c>
      <c r="G3887" s="103" t="str">
        <f aca="false">IF($C3887="","",$D3887*IFERROR(INDEX('تحليل التكلفة والسعر'!$C$2:$C$700,MATCH($C3887,'تحليل التكلفة والسعر'!$B$2:$B$700,0)),0))</f>
        <v/>
      </c>
    </row>
    <row r="3888" customFormat="false" ht="15" hidden="false" customHeight="false" outlineLevel="0" collapsed="false">
      <c r="A3888" s="102"/>
      <c r="E3888" s="103" t="str">
        <f aca="false">IF($C3888="","",IFERROR(INDEX(المنيو!$C$2:$C$500,MATCH($C3888,المنيو!$B$2:$B$500,0)),0))</f>
        <v/>
      </c>
      <c r="F3888" s="103" t="str">
        <f aca="false">IF($C3888="","",$D3888*$E3888)</f>
        <v/>
      </c>
      <c r="G3888" s="103" t="str">
        <f aca="false">IF($C3888="","",$D3888*IFERROR(INDEX('تحليل التكلفة والسعر'!$C$2:$C$700,MATCH($C3888,'تحليل التكلفة والسعر'!$B$2:$B$700,0)),0))</f>
        <v/>
      </c>
    </row>
    <row r="3889" customFormat="false" ht="15" hidden="false" customHeight="false" outlineLevel="0" collapsed="false">
      <c r="A3889" s="102"/>
      <c r="E3889" s="103" t="str">
        <f aca="false">IF($C3889="","",IFERROR(INDEX(المنيو!$C$2:$C$500,MATCH($C3889,المنيو!$B$2:$B$500,0)),0))</f>
        <v/>
      </c>
      <c r="F3889" s="103" t="str">
        <f aca="false">IF($C3889="","",$D3889*$E3889)</f>
        <v/>
      </c>
      <c r="G3889" s="103" t="str">
        <f aca="false">IF($C3889="","",$D3889*IFERROR(INDEX('تحليل التكلفة والسعر'!$C$2:$C$700,MATCH($C3889,'تحليل التكلفة والسعر'!$B$2:$B$700,0)),0))</f>
        <v/>
      </c>
    </row>
    <row r="3890" customFormat="false" ht="15" hidden="false" customHeight="false" outlineLevel="0" collapsed="false">
      <c r="A3890" s="102"/>
      <c r="E3890" s="103" t="str">
        <f aca="false">IF($C3890="","",IFERROR(INDEX(المنيو!$C$2:$C$500,MATCH($C3890,المنيو!$B$2:$B$500,0)),0))</f>
        <v/>
      </c>
      <c r="F3890" s="103" t="str">
        <f aca="false">IF($C3890="","",$D3890*$E3890)</f>
        <v/>
      </c>
      <c r="G3890" s="103" t="str">
        <f aca="false">IF($C3890="","",$D3890*IFERROR(INDEX('تحليل التكلفة والسعر'!$C$2:$C$700,MATCH($C3890,'تحليل التكلفة والسعر'!$B$2:$B$700,0)),0))</f>
        <v/>
      </c>
    </row>
    <row r="3891" customFormat="false" ht="15" hidden="false" customHeight="false" outlineLevel="0" collapsed="false">
      <c r="A3891" s="102"/>
      <c r="E3891" s="103" t="str">
        <f aca="false">IF($C3891="","",IFERROR(INDEX(المنيو!$C$2:$C$500,MATCH($C3891,المنيو!$B$2:$B$500,0)),0))</f>
        <v/>
      </c>
      <c r="F3891" s="103" t="str">
        <f aca="false">IF($C3891="","",$D3891*$E3891)</f>
        <v/>
      </c>
      <c r="G3891" s="103" t="str">
        <f aca="false">IF($C3891="","",$D3891*IFERROR(INDEX('تحليل التكلفة والسعر'!$C$2:$C$700,MATCH($C3891,'تحليل التكلفة والسعر'!$B$2:$B$700,0)),0))</f>
        <v/>
      </c>
    </row>
    <row r="3892" customFormat="false" ht="15" hidden="false" customHeight="false" outlineLevel="0" collapsed="false">
      <c r="A3892" s="102"/>
      <c r="E3892" s="103" t="str">
        <f aca="false">IF($C3892="","",IFERROR(INDEX(المنيو!$C$2:$C$500,MATCH($C3892,المنيو!$B$2:$B$500,0)),0))</f>
        <v/>
      </c>
      <c r="F3892" s="103" t="str">
        <f aca="false">IF($C3892="","",$D3892*$E3892)</f>
        <v/>
      </c>
      <c r="G3892" s="103" t="str">
        <f aca="false">IF($C3892="","",$D3892*IFERROR(INDEX('تحليل التكلفة والسعر'!$C$2:$C$700,MATCH($C3892,'تحليل التكلفة والسعر'!$B$2:$B$700,0)),0))</f>
        <v/>
      </c>
    </row>
    <row r="3893" customFormat="false" ht="15" hidden="false" customHeight="false" outlineLevel="0" collapsed="false">
      <c r="A3893" s="102"/>
      <c r="E3893" s="103" t="str">
        <f aca="false">IF($C3893="","",IFERROR(INDEX(المنيو!$C$2:$C$500,MATCH($C3893,المنيو!$B$2:$B$500,0)),0))</f>
        <v/>
      </c>
      <c r="F3893" s="103" t="str">
        <f aca="false">IF($C3893="","",$D3893*$E3893)</f>
        <v/>
      </c>
      <c r="G3893" s="103" t="str">
        <f aca="false">IF($C3893="","",$D3893*IFERROR(INDEX('تحليل التكلفة والسعر'!$C$2:$C$700,MATCH($C3893,'تحليل التكلفة والسعر'!$B$2:$B$700,0)),0))</f>
        <v/>
      </c>
    </row>
    <row r="3894" customFormat="false" ht="15" hidden="false" customHeight="false" outlineLevel="0" collapsed="false">
      <c r="A3894" s="102"/>
      <c r="E3894" s="103" t="str">
        <f aca="false">IF($C3894="","",IFERROR(INDEX(المنيو!$C$2:$C$500,MATCH($C3894,المنيو!$B$2:$B$500,0)),0))</f>
        <v/>
      </c>
      <c r="F3894" s="103" t="str">
        <f aca="false">IF($C3894="","",$D3894*$E3894)</f>
        <v/>
      </c>
      <c r="G3894" s="103" t="str">
        <f aca="false">IF($C3894="","",$D3894*IFERROR(INDEX('تحليل التكلفة والسعر'!$C$2:$C$700,MATCH($C3894,'تحليل التكلفة والسعر'!$B$2:$B$700,0)),0))</f>
        <v/>
      </c>
    </row>
    <row r="3895" customFormat="false" ht="15" hidden="false" customHeight="false" outlineLevel="0" collapsed="false">
      <c r="A3895" s="102"/>
      <c r="E3895" s="103" t="str">
        <f aca="false">IF($C3895="","",IFERROR(INDEX(المنيو!$C$2:$C$500,MATCH($C3895,المنيو!$B$2:$B$500,0)),0))</f>
        <v/>
      </c>
      <c r="F3895" s="103" t="str">
        <f aca="false">IF($C3895="","",$D3895*$E3895)</f>
        <v/>
      </c>
      <c r="G3895" s="103" t="str">
        <f aca="false">IF($C3895="","",$D3895*IFERROR(INDEX('تحليل التكلفة والسعر'!$C$2:$C$700,MATCH($C3895,'تحليل التكلفة والسعر'!$B$2:$B$700,0)),0))</f>
        <v/>
      </c>
    </row>
    <row r="3896" customFormat="false" ht="15" hidden="false" customHeight="false" outlineLevel="0" collapsed="false">
      <c r="A3896" s="102"/>
      <c r="E3896" s="103" t="str">
        <f aca="false">IF($C3896="","",IFERROR(INDEX(المنيو!$C$2:$C$500,MATCH($C3896,المنيو!$B$2:$B$500,0)),0))</f>
        <v/>
      </c>
      <c r="F3896" s="103" t="str">
        <f aca="false">IF($C3896="","",$D3896*$E3896)</f>
        <v/>
      </c>
      <c r="G3896" s="103" t="str">
        <f aca="false">IF($C3896="","",$D3896*IFERROR(INDEX('تحليل التكلفة والسعر'!$C$2:$C$700,MATCH($C3896,'تحليل التكلفة والسعر'!$B$2:$B$700,0)),0))</f>
        <v/>
      </c>
    </row>
    <row r="3897" customFormat="false" ht="15" hidden="false" customHeight="false" outlineLevel="0" collapsed="false">
      <c r="A3897" s="102"/>
      <c r="E3897" s="103" t="str">
        <f aca="false">IF($C3897="","",IFERROR(INDEX(المنيو!$C$2:$C$500,MATCH($C3897,المنيو!$B$2:$B$500,0)),0))</f>
        <v/>
      </c>
      <c r="F3897" s="103" t="str">
        <f aca="false">IF($C3897="","",$D3897*$E3897)</f>
        <v/>
      </c>
      <c r="G3897" s="103" t="str">
        <f aca="false">IF($C3897="","",$D3897*IFERROR(INDEX('تحليل التكلفة والسعر'!$C$2:$C$700,MATCH($C3897,'تحليل التكلفة والسعر'!$B$2:$B$700,0)),0))</f>
        <v/>
      </c>
    </row>
    <row r="3898" customFormat="false" ht="15" hidden="false" customHeight="false" outlineLevel="0" collapsed="false">
      <c r="A3898" s="102"/>
      <c r="E3898" s="103" t="str">
        <f aca="false">IF($C3898="","",IFERROR(INDEX(المنيو!$C$2:$C$500,MATCH($C3898,المنيو!$B$2:$B$500,0)),0))</f>
        <v/>
      </c>
      <c r="F3898" s="103" t="str">
        <f aca="false">IF($C3898="","",$D3898*$E3898)</f>
        <v/>
      </c>
      <c r="G3898" s="103" t="str">
        <f aca="false">IF($C3898="","",$D3898*IFERROR(INDEX('تحليل التكلفة والسعر'!$C$2:$C$700,MATCH($C3898,'تحليل التكلفة والسعر'!$B$2:$B$700,0)),0))</f>
        <v/>
      </c>
    </row>
    <row r="3899" customFormat="false" ht="15" hidden="false" customHeight="false" outlineLevel="0" collapsed="false">
      <c r="A3899" s="102"/>
      <c r="E3899" s="103" t="str">
        <f aca="false">IF($C3899="","",IFERROR(INDEX(المنيو!$C$2:$C$500,MATCH($C3899,المنيو!$B$2:$B$500,0)),0))</f>
        <v/>
      </c>
      <c r="F3899" s="103" t="str">
        <f aca="false">IF($C3899="","",$D3899*$E3899)</f>
        <v/>
      </c>
      <c r="G3899" s="103" t="str">
        <f aca="false">IF($C3899="","",$D3899*IFERROR(INDEX('تحليل التكلفة والسعر'!$C$2:$C$700,MATCH($C3899,'تحليل التكلفة والسعر'!$B$2:$B$700,0)),0))</f>
        <v/>
      </c>
    </row>
    <row r="3900" customFormat="false" ht="15" hidden="false" customHeight="false" outlineLevel="0" collapsed="false">
      <c r="A3900" s="102"/>
      <c r="E3900" s="103" t="str">
        <f aca="false">IF($C3900="","",IFERROR(INDEX(المنيو!$C$2:$C$500,MATCH($C3900,المنيو!$B$2:$B$500,0)),0))</f>
        <v/>
      </c>
      <c r="F3900" s="103" t="str">
        <f aca="false">IF($C3900="","",$D3900*$E3900)</f>
        <v/>
      </c>
      <c r="G3900" s="103" t="str">
        <f aca="false">IF($C3900="","",$D3900*IFERROR(INDEX('تحليل التكلفة والسعر'!$C$2:$C$700,MATCH($C3900,'تحليل التكلفة والسعر'!$B$2:$B$700,0)),0))</f>
        <v/>
      </c>
    </row>
    <row r="3901" customFormat="false" ht="15" hidden="false" customHeight="false" outlineLevel="0" collapsed="false">
      <c r="A3901" s="102"/>
      <c r="E3901" s="103" t="str">
        <f aca="false">IF($C3901="","",IFERROR(INDEX(المنيو!$C$2:$C$500,MATCH($C3901,المنيو!$B$2:$B$500,0)),0))</f>
        <v/>
      </c>
      <c r="F3901" s="103" t="str">
        <f aca="false">IF($C3901="","",$D3901*$E3901)</f>
        <v/>
      </c>
      <c r="G3901" s="103" t="str">
        <f aca="false">IF($C3901="","",$D3901*IFERROR(INDEX('تحليل التكلفة والسعر'!$C$2:$C$700,MATCH($C3901,'تحليل التكلفة والسعر'!$B$2:$B$700,0)),0))</f>
        <v/>
      </c>
    </row>
    <row r="3902" customFormat="false" ht="15" hidden="false" customHeight="false" outlineLevel="0" collapsed="false">
      <c r="A3902" s="102"/>
      <c r="E3902" s="103" t="str">
        <f aca="false">IF($C3902="","",IFERROR(INDEX(المنيو!$C$2:$C$500,MATCH($C3902,المنيو!$B$2:$B$500,0)),0))</f>
        <v/>
      </c>
      <c r="F3902" s="103" t="str">
        <f aca="false">IF($C3902="","",$D3902*$E3902)</f>
        <v/>
      </c>
      <c r="G3902" s="103" t="str">
        <f aca="false">IF($C3902="","",$D3902*IFERROR(INDEX('تحليل التكلفة والسعر'!$C$2:$C$700,MATCH($C3902,'تحليل التكلفة والسعر'!$B$2:$B$700,0)),0))</f>
        <v/>
      </c>
    </row>
    <row r="3903" customFormat="false" ht="15" hidden="false" customHeight="false" outlineLevel="0" collapsed="false">
      <c r="A3903" s="102"/>
      <c r="E3903" s="103" t="str">
        <f aca="false">IF($C3903="","",IFERROR(INDEX(المنيو!$C$2:$C$500,MATCH($C3903,المنيو!$B$2:$B$500,0)),0))</f>
        <v/>
      </c>
      <c r="F3903" s="103" t="str">
        <f aca="false">IF($C3903="","",$D3903*$E3903)</f>
        <v/>
      </c>
      <c r="G3903" s="103" t="str">
        <f aca="false">IF($C3903="","",$D3903*IFERROR(INDEX('تحليل التكلفة والسعر'!$C$2:$C$700,MATCH($C3903,'تحليل التكلفة والسعر'!$B$2:$B$700,0)),0))</f>
        <v/>
      </c>
    </row>
    <row r="3904" customFormat="false" ht="15" hidden="false" customHeight="false" outlineLevel="0" collapsed="false">
      <c r="A3904" s="102"/>
      <c r="E3904" s="103" t="str">
        <f aca="false">IF($C3904="","",IFERROR(INDEX(المنيو!$C$2:$C$500,MATCH($C3904,المنيو!$B$2:$B$500,0)),0))</f>
        <v/>
      </c>
      <c r="F3904" s="103" t="str">
        <f aca="false">IF($C3904="","",$D3904*$E3904)</f>
        <v/>
      </c>
      <c r="G3904" s="103" t="str">
        <f aca="false">IF($C3904="","",$D3904*IFERROR(INDEX('تحليل التكلفة والسعر'!$C$2:$C$700,MATCH($C3904,'تحليل التكلفة والسعر'!$B$2:$B$700,0)),0))</f>
        <v/>
      </c>
    </row>
    <row r="3905" customFormat="false" ht="15" hidden="false" customHeight="false" outlineLevel="0" collapsed="false">
      <c r="A3905" s="102"/>
      <c r="E3905" s="103" t="str">
        <f aca="false">IF($C3905="","",IFERROR(INDEX(المنيو!$C$2:$C$500,MATCH($C3905,المنيو!$B$2:$B$500,0)),0))</f>
        <v/>
      </c>
      <c r="F3905" s="103" t="str">
        <f aca="false">IF($C3905="","",$D3905*$E3905)</f>
        <v/>
      </c>
      <c r="G3905" s="103" t="str">
        <f aca="false">IF($C3905="","",$D3905*IFERROR(INDEX('تحليل التكلفة والسعر'!$C$2:$C$700,MATCH($C3905,'تحليل التكلفة والسعر'!$B$2:$B$700,0)),0))</f>
        <v/>
      </c>
    </row>
    <row r="3906" customFormat="false" ht="15" hidden="false" customHeight="false" outlineLevel="0" collapsed="false">
      <c r="A3906" s="102"/>
      <c r="E3906" s="103" t="str">
        <f aca="false">IF($C3906="","",IFERROR(INDEX(المنيو!$C$2:$C$500,MATCH($C3906,المنيو!$B$2:$B$500,0)),0))</f>
        <v/>
      </c>
      <c r="F3906" s="103" t="str">
        <f aca="false">IF($C3906="","",$D3906*$E3906)</f>
        <v/>
      </c>
      <c r="G3906" s="103" t="str">
        <f aca="false">IF($C3906="","",$D3906*IFERROR(INDEX('تحليل التكلفة والسعر'!$C$2:$C$700,MATCH($C3906,'تحليل التكلفة والسعر'!$B$2:$B$700,0)),0))</f>
        <v/>
      </c>
    </row>
    <row r="3907" customFormat="false" ht="15" hidden="false" customHeight="false" outlineLevel="0" collapsed="false">
      <c r="A3907" s="102"/>
      <c r="E3907" s="103" t="str">
        <f aca="false">IF($C3907="","",IFERROR(INDEX(المنيو!$C$2:$C$500,MATCH($C3907,المنيو!$B$2:$B$500,0)),0))</f>
        <v/>
      </c>
      <c r="F3907" s="103" t="str">
        <f aca="false">IF($C3907="","",$D3907*$E3907)</f>
        <v/>
      </c>
      <c r="G3907" s="103" t="str">
        <f aca="false">IF($C3907="","",$D3907*IFERROR(INDEX('تحليل التكلفة والسعر'!$C$2:$C$700,MATCH($C3907,'تحليل التكلفة والسعر'!$B$2:$B$700,0)),0))</f>
        <v/>
      </c>
    </row>
    <row r="3908" customFormat="false" ht="15" hidden="false" customHeight="false" outlineLevel="0" collapsed="false">
      <c r="A3908" s="102"/>
      <c r="E3908" s="103" t="str">
        <f aca="false">IF($C3908="","",IFERROR(INDEX(المنيو!$C$2:$C$500,MATCH($C3908,المنيو!$B$2:$B$500,0)),0))</f>
        <v/>
      </c>
      <c r="F3908" s="103" t="str">
        <f aca="false">IF($C3908="","",$D3908*$E3908)</f>
        <v/>
      </c>
      <c r="G3908" s="103" t="str">
        <f aca="false">IF($C3908="","",$D3908*IFERROR(INDEX('تحليل التكلفة والسعر'!$C$2:$C$700,MATCH($C3908,'تحليل التكلفة والسعر'!$B$2:$B$700,0)),0))</f>
        <v/>
      </c>
    </row>
    <row r="3909" customFormat="false" ht="15" hidden="false" customHeight="false" outlineLevel="0" collapsed="false">
      <c r="A3909" s="102"/>
      <c r="E3909" s="103" t="str">
        <f aca="false">IF($C3909="","",IFERROR(INDEX(المنيو!$C$2:$C$500,MATCH($C3909,المنيو!$B$2:$B$500,0)),0))</f>
        <v/>
      </c>
      <c r="F3909" s="103" t="str">
        <f aca="false">IF($C3909="","",$D3909*$E3909)</f>
        <v/>
      </c>
      <c r="G3909" s="103" t="str">
        <f aca="false">IF($C3909="","",$D3909*IFERROR(INDEX('تحليل التكلفة والسعر'!$C$2:$C$700,MATCH($C3909,'تحليل التكلفة والسعر'!$B$2:$B$700,0)),0))</f>
        <v/>
      </c>
    </row>
    <row r="3910" customFormat="false" ht="15" hidden="false" customHeight="false" outlineLevel="0" collapsed="false">
      <c r="A3910" s="102"/>
      <c r="E3910" s="103" t="str">
        <f aca="false">IF($C3910="","",IFERROR(INDEX(المنيو!$C$2:$C$500,MATCH($C3910,المنيو!$B$2:$B$500,0)),0))</f>
        <v/>
      </c>
      <c r="F3910" s="103" t="str">
        <f aca="false">IF($C3910="","",$D3910*$E3910)</f>
        <v/>
      </c>
      <c r="G3910" s="103" t="str">
        <f aca="false">IF($C3910="","",$D3910*IFERROR(INDEX('تحليل التكلفة والسعر'!$C$2:$C$700,MATCH($C3910,'تحليل التكلفة والسعر'!$B$2:$B$700,0)),0))</f>
        <v/>
      </c>
    </row>
    <row r="3911" customFormat="false" ht="15" hidden="false" customHeight="false" outlineLevel="0" collapsed="false">
      <c r="A3911" s="102"/>
      <c r="E3911" s="103" t="str">
        <f aca="false">IF($C3911="","",IFERROR(INDEX(المنيو!$C$2:$C$500,MATCH($C3911,المنيو!$B$2:$B$500,0)),0))</f>
        <v/>
      </c>
      <c r="F3911" s="103" t="str">
        <f aca="false">IF($C3911="","",$D3911*$E3911)</f>
        <v/>
      </c>
      <c r="G3911" s="103" t="str">
        <f aca="false">IF($C3911="","",$D3911*IFERROR(INDEX('تحليل التكلفة والسعر'!$C$2:$C$700,MATCH($C3911,'تحليل التكلفة والسعر'!$B$2:$B$700,0)),0))</f>
        <v/>
      </c>
    </row>
    <row r="3912" customFormat="false" ht="15" hidden="false" customHeight="false" outlineLevel="0" collapsed="false">
      <c r="A3912" s="102"/>
      <c r="E3912" s="103" t="str">
        <f aca="false">IF($C3912="","",IFERROR(INDEX(المنيو!$C$2:$C$500,MATCH($C3912,المنيو!$B$2:$B$500,0)),0))</f>
        <v/>
      </c>
      <c r="F3912" s="103" t="str">
        <f aca="false">IF($C3912="","",$D3912*$E3912)</f>
        <v/>
      </c>
      <c r="G3912" s="103" t="str">
        <f aca="false">IF($C3912="","",$D3912*IFERROR(INDEX('تحليل التكلفة والسعر'!$C$2:$C$700,MATCH($C3912,'تحليل التكلفة والسعر'!$B$2:$B$700,0)),0))</f>
        <v/>
      </c>
    </row>
    <row r="3913" customFormat="false" ht="15" hidden="false" customHeight="false" outlineLevel="0" collapsed="false">
      <c r="A3913" s="102"/>
      <c r="E3913" s="103" t="str">
        <f aca="false">IF($C3913="","",IFERROR(INDEX(المنيو!$C$2:$C$500,MATCH($C3913,المنيو!$B$2:$B$500,0)),0))</f>
        <v/>
      </c>
      <c r="F3913" s="103" t="str">
        <f aca="false">IF($C3913="","",$D3913*$E3913)</f>
        <v/>
      </c>
      <c r="G3913" s="103" t="str">
        <f aca="false">IF($C3913="","",$D3913*IFERROR(INDEX('تحليل التكلفة والسعر'!$C$2:$C$700,MATCH($C3913,'تحليل التكلفة والسعر'!$B$2:$B$700,0)),0))</f>
        <v/>
      </c>
    </row>
    <row r="3914" customFormat="false" ht="15" hidden="false" customHeight="false" outlineLevel="0" collapsed="false">
      <c r="A3914" s="102"/>
      <c r="E3914" s="103" t="str">
        <f aca="false">IF($C3914="","",IFERROR(INDEX(المنيو!$C$2:$C$500,MATCH($C3914,المنيو!$B$2:$B$500,0)),0))</f>
        <v/>
      </c>
      <c r="F3914" s="103" t="str">
        <f aca="false">IF($C3914="","",$D3914*$E3914)</f>
        <v/>
      </c>
      <c r="G3914" s="103" t="str">
        <f aca="false">IF($C3914="","",$D3914*IFERROR(INDEX('تحليل التكلفة والسعر'!$C$2:$C$700,MATCH($C3914,'تحليل التكلفة والسعر'!$B$2:$B$700,0)),0))</f>
        <v/>
      </c>
    </row>
    <row r="3915" customFormat="false" ht="15" hidden="false" customHeight="false" outlineLevel="0" collapsed="false">
      <c r="A3915" s="102"/>
      <c r="E3915" s="103" t="str">
        <f aca="false">IF($C3915="","",IFERROR(INDEX(المنيو!$C$2:$C$500,MATCH($C3915,المنيو!$B$2:$B$500,0)),0))</f>
        <v/>
      </c>
      <c r="F3915" s="103" t="str">
        <f aca="false">IF($C3915="","",$D3915*$E3915)</f>
        <v/>
      </c>
      <c r="G3915" s="103" t="str">
        <f aca="false">IF($C3915="","",$D3915*IFERROR(INDEX('تحليل التكلفة والسعر'!$C$2:$C$700,MATCH($C3915,'تحليل التكلفة والسعر'!$B$2:$B$700,0)),0))</f>
        <v/>
      </c>
    </row>
    <row r="3916" customFormat="false" ht="15" hidden="false" customHeight="false" outlineLevel="0" collapsed="false">
      <c r="A3916" s="102"/>
      <c r="E3916" s="103" t="str">
        <f aca="false">IF($C3916="","",IFERROR(INDEX(المنيو!$C$2:$C$500,MATCH($C3916,المنيو!$B$2:$B$500,0)),0))</f>
        <v/>
      </c>
      <c r="F3916" s="103" t="str">
        <f aca="false">IF($C3916="","",$D3916*$E3916)</f>
        <v/>
      </c>
      <c r="G3916" s="103" t="str">
        <f aca="false">IF($C3916="","",$D3916*IFERROR(INDEX('تحليل التكلفة والسعر'!$C$2:$C$700,MATCH($C3916,'تحليل التكلفة والسعر'!$B$2:$B$700,0)),0))</f>
        <v/>
      </c>
    </row>
    <row r="3917" customFormat="false" ht="15" hidden="false" customHeight="false" outlineLevel="0" collapsed="false">
      <c r="A3917" s="102"/>
      <c r="E3917" s="103" t="str">
        <f aca="false">IF($C3917="","",IFERROR(INDEX(المنيو!$C$2:$C$500,MATCH($C3917,المنيو!$B$2:$B$500,0)),0))</f>
        <v/>
      </c>
      <c r="F3917" s="103" t="str">
        <f aca="false">IF($C3917="","",$D3917*$E3917)</f>
        <v/>
      </c>
      <c r="G3917" s="103" t="str">
        <f aca="false">IF($C3917="","",$D3917*IFERROR(INDEX('تحليل التكلفة والسعر'!$C$2:$C$700,MATCH($C3917,'تحليل التكلفة والسعر'!$B$2:$B$700,0)),0))</f>
        <v/>
      </c>
    </row>
    <row r="3918" customFormat="false" ht="15" hidden="false" customHeight="false" outlineLevel="0" collapsed="false">
      <c r="A3918" s="102"/>
      <c r="E3918" s="103" t="str">
        <f aca="false">IF($C3918="","",IFERROR(INDEX(المنيو!$C$2:$C$500,MATCH($C3918,المنيو!$B$2:$B$500,0)),0))</f>
        <v/>
      </c>
      <c r="F3918" s="103" t="str">
        <f aca="false">IF($C3918="","",$D3918*$E3918)</f>
        <v/>
      </c>
      <c r="G3918" s="103" t="str">
        <f aca="false">IF($C3918="","",$D3918*IFERROR(INDEX('تحليل التكلفة والسعر'!$C$2:$C$700,MATCH($C3918,'تحليل التكلفة والسعر'!$B$2:$B$700,0)),0))</f>
        <v/>
      </c>
    </row>
    <row r="3919" customFormat="false" ht="15" hidden="false" customHeight="false" outlineLevel="0" collapsed="false">
      <c r="A3919" s="102"/>
      <c r="E3919" s="103" t="str">
        <f aca="false">IF($C3919="","",IFERROR(INDEX(المنيو!$C$2:$C$500,MATCH($C3919,المنيو!$B$2:$B$500,0)),0))</f>
        <v/>
      </c>
      <c r="F3919" s="103" t="str">
        <f aca="false">IF($C3919="","",$D3919*$E3919)</f>
        <v/>
      </c>
      <c r="G3919" s="103" t="str">
        <f aca="false">IF($C3919="","",$D3919*IFERROR(INDEX('تحليل التكلفة والسعر'!$C$2:$C$700,MATCH($C3919,'تحليل التكلفة والسعر'!$B$2:$B$700,0)),0))</f>
        <v/>
      </c>
    </row>
    <row r="3920" customFormat="false" ht="15" hidden="false" customHeight="false" outlineLevel="0" collapsed="false">
      <c r="A3920" s="102"/>
      <c r="E3920" s="103" t="str">
        <f aca="false">IF($C3920="","",IFERROR(INDEX(المنيو!$C$2:$C$500,MATCH($C3920,المنيو!$B$2:$B$500,0)),0))</f>
        <v/>
      </c>
      <c r="F3920" s="103" t="str">
        <f aca="false">IF($C3920="","",$D3920*$E3920)</f>
        <v/>
      </c>
      <c r="G3920" s="103" t="str">
        <f aca="false">IF($C3920="","",$D3920*IFERROR(INDEX('تحليل التكلفة والسعر'!$C$2:$C$700,MATCH($C3920,'تحليل التكلفة والسعر'!$B$2:$B$700,0)),0))</f>
        <v/>
      </c>
    </row>
    <row r="3921" customFormat="false" ht="15" hidden="false" customHeight="false" outlineLevel="0" collapsed="false">
      <c r="A3921" s="102"/>
      <c r="E3921" s="103" t="str">
        <f aca="false">IF($C3921="","",IFERROR(INDEX(المنيو!$C$2:$C$500,MATCH($C3921,المنيو!$B$2:$B$500,0)),0))</f>
        <v/>
      </c>
      <c r="F3921" s="103" t="str">
        <f aca="false">IF($C3921="","",$D3921*$E3921)</f>
        <v/>
      </c>
      <c r="G3921" s="103" t="str">
        <f aca="false">IF($C3921="","",$D3921*IFERROR(INDEX('تحليل التكلفة والسعر'!$C$2:$C$700,MATCH($C3921,'تحليل التكلفة والسعر'!$B$2:$B$700,0)),0))</f>
        <v/>
      </c>
    </row>
    <row r="3922" customFormat="false" ht="15" hidden="false" customHeight="false" outlineLevel="0" collapsed="false">
      <c r="A3922" s="102"/>
      <c r="E3922" s="103" t="str">
        <f aca="false">IF($C3922="","",IFERROR(INDEX(المنيو!$C$2:$C$500,MATCH($C3922,المنيو!$B$2:$B$500,0)),0))</f>
        <v/>
      </c>
      <c r="F3922" s="103" t="str">
        <f aca="false">IF($C3922="","",$D3922*$E3922)</f>
        <v/>
      </c>
      <c r="G3922" s="103" t="str">
        <f aca="false">IF($C3922="","",$D3922*IFERROR(INDEX('تحليل التكلفة والسعر'!$C$2:$C$700,MATCH($C3922,'تحليل التكلفة والسعر'!$B$2:$B$700,0)),0))</f>
        <v/>
      </c>
    </row>
    <row r="3923" customFormat="false" ht="15" hidden="false" customHeight="false" outlineLevel="0" collapsed="false">
      <c r="A3923" s="102"/>
      <c r="E3923" s="103" t="str">
        <f aca="false">IF($C3923="","",IFERROR(INDEX(المنيو!$C$2:$C$500,MATCH($C3923,المنيو!$B$2:$B$500,0)),0))</f>
        <v/>
      </c>
      <c r="F3923" s="103" t="str">
        <f aca="false">IF($C3923="","",$D3923*$E3923)</f>
        <v/>
      </c>
      <c r="G3923" s="103" t="str">
        <f aca="false">IF($C3923="","",$D3923*IFERROR(INDEX('تحليل التكلفة والسعر'!$C$2:$C$700,MATCH($C3923,'تحليل التكلفة والسعر'!$B$2:$B$700,0)),0))</f>
        <v/>
      </c>
    </row>
    <row r="3924" customFormat="false" ht="15" hidden="false" customHeight="false" outlineLevel="0" collapsed="false">
      <c r="A3924" s="102"/>
      <c r="E3924" s="103" t="str">
        <f aca="false">IF($C3924="","",IFERROR(INDEX(المنيو!$C$2:$C$500,MATCH($C3924,المنيو!$B$2:$B$500,0)),0))</f>
        <v/>
      </c>
      <c r="F3924" s="103" t="str">
        <f aca="false">IF($C3924="","",$D3924*$E3924)</f>
        <v/>
      </c>
      <c r="G3924" s="103" t="str">
        <f aca="false">IF($C3924="","",$D3924*IFERROR(INDEX('تحليل التكلفة والسعر'!$C$2:$C$700,MATCH($C3924,'تحليل التكلفة والسعر'!$B$2:$B$700,0)),0))</f>
        <v/>
      </c>
    </row>
    <row r="3925" customFormat="false" ht="15" hidden="false" customHeight="false" outlineLevel="0" collapsed="false">
      <c r="A3925" s="102"/>
      <c r="E3925" s="103" t="str">
        <f aca="false">IF($C3925="","",IFERROR(INDEX(المنيو!$C$2:$C$500,MATCH($C3925,المنيو!$B$2:$B$500,0)),0))</f>
        <v/>
      </c>
      <c r="F3925" s="103" t="str">
        <f aca="false">IF($C3925="","",$D3925*$E3925)</f>
        <v/>
      </c>
      <c r="G3925" s="103" t="str">
        <f aca="false">IF($C3925="","",$D3925*IFERROR(INDEX('تحليل التكلفة والسعر'!$C$2:$C$700,MATCH($C3925,'تحليل التكلفة والسعر'!$B$2:$B$700,0)),0))</f>
        <v/>
      </c>
    </row>
    <row r="3926" customFormat="false" ht="15" hidden="false" customHeight="false" outlineLevel="0" collapsed="false">
      <c r="A3926" s="102"/>
      <c r="E3926" s="103" t="str">
        <f aca="false">IF($C3926="","",IFERROR(INDEX(المنيو!$C$2:$C$500,MATCH($C3926,المنيو!$B$2:$B$500,0)),0))</f>
        <v/>
      </c>
      <c r="F3926" s="103" t="str">
        <f aca="false">IF($C3926="","",$D3926*$E3926)</f>
        <v/>
      </c>
      <c r="G3926" s="103" t="str">
        <f aca="false">IF($C3926="","",$D3926*IFERROR(INDEX('تحليل التكلفة والسعر'!$C$2:$C$700,MATCH($C3926,'تحليل التكلفة والسعر'!$B$2:$B$700,0)),0))</f>
        <v/>
      </c>
    </row>
    <row r="3927" customFormat="false" ht="15" hidden="false" customHeight="false" outlineLevel="0" collapsed="false">
      <c r="A3927" s="102"/>
      <c r="E3927" s="103" t="str">
        <f aca="false">IF($C3927="","",IFERROR(INDEX(المنيو!$C$2:$C$500,MATCH($C3927,المنيو!$B$2:$B$500,0)),0))</f>
        <v/>
      </c>
      <c r="F3927" s="103" t="str">
        <f aca="false">IF($C3927="","",$D3927*$E3927)</f>
        <v/>
      </c>
      <c r="G3927" s="103" t="str">
        <f aca="false">IF($C3927="","",$D3927*IFERROR(INDEX('تحليل التكلفة والسعر'!$C$2:$C$700,MATCH($C3927,'تحليل التكلفة والسعر'!$B$2:$B$700,0)),0))</f>
        <v/>
      </c>
    </row>
    <row r="3928" customFormat="false" ht="15" hidden="false" customHeight="false" outlineLevel="0" collapsed="false">
      <c r="A3928" s="102"/>
      <c r="E3928" s="103" t="str">
        <f aca="false">IF($C3928="","",IFERROR(INDEX(المنيو!$C$2:$C$500,MATCH($C3928,المنيو!$B$2:$B$500,0)),0))</f>
        <v/>
      </c>
      <c r="F3928" s="103" t="str">
        <f aca="false">IF($C3928="","",$D3928*$E3928)</f>
        <v/>
      </c>
      <c r="G3928" s="103" t="str">
        <f aca="false">IF($C3928="","",$D3928*IFERROR(INDEX('تحليل التكلفة والسعر'!$C$2:$C$700,MATCH($C3928,'تحليل التكلفة والسعر'!$B$2:$B$700,0)),0))</f>
        <v/>
      </c>
    </row>
    <row r="3929" customFormat="false" ht="15" hidden="false" customHeight="false" outlineLevel="0" collapsed="false">
      <c r="A3929" s="102"/>
      <c r="E3929" s="103" t="str">
        <f aca="false">IF($C3929="","",IFERROR(INDEX(المنيو!$C$2:$C$500,MATCH($C3929,المنيو!$B$2:$B$500,0)),0))</f>
        <v/>
      </c>
      <c r="F3929" s="103" t="str">
        <f aca="false">IF($C3929="","",$D3929*$E3929)</f>
        <v/>
      </c>
      <c r="G3929" s="103" t="str">
        <f aca="false">IF($C3929="","",$D3929*IFERROR(INDEX('تحليل التكلفة والسعر'!$C$2:$C$700,MATCH($C3929,'تحليل التكلفة والسعر'!$B$2:$B$700,0)),0))</f>
        <v/>
      </c>
    </row>
    <row r="3930" customFormat="false" ht="15" hidden="false" customHeight="false" outlineLevel="0" collapsed="false">
      <c r="A3930" s="102"/>
      <c r="E3930" s="103" t="str">
        <f aca="false">IF($C3930="","",IFERROR(INDEX(المنيو!$C$2:$C$500,MATCH($C3930,المنيو!$B$2:$B$500,0)),0))</f>
        <v/>
      </c>
      <c r="F3930" s="103" t="str">
        <f aca="false">IF($C3930="","",$D3930*$E3930)</f>
        <v/>
      </c>
      <c r="G3930" s="103" t="str">
        <f aca="false">IF($C3930="","",$D3930*IFERROR(INDEX('تحليل التكلفة والسعر'!$C$2:$C$700,MATCH($C3930,'تحليل التكلفة والسعر'!$B$2:$B$700,0)),0))</f>
        <v/>
      </c>
    </row>
    <row r="3931" customFormat="false" ht="15" hidden="false" customHeight="false" outlineLevel="0" collapsed="false">
      <c r="A3931" s="102"/>
      <c r="E3931" s="103" t="str">
        <f aca="false">IF($C3931="","",IFERROR(INDEX(المنيو!$C$2:$C$500,MATCH($C3931,المنيو!$B$2:$B$500,0)),0))</f>
        <v/>
      </c>
      <c r="F3931" s="103" t="str">
        <f aca="false">IF($C3931="","",$D3931*$E3931)</f>
        <v/>
      </c>
      <c r="G3931" s="103" t="str">
        <f aca="false">IF($C3931="","",$D3931*IFERROR(INDEX('تحليل التكلفة والسعر'!$C$2:$C$700,MATCH($C3931,'تحليل التكلفة والسعر'!$B$2:$B$700,0)),0))</f>
        <v/>
      </c>
    </row>
    <row r="3932" customFormat="false" ht="15" hidden="false" customHeight="false" outlineLevel="0" collapsed="false">
      <c r="A3932" s="102"/>
      <c r="E3932" s="103" t="str">
        <f aca="false">IF($C3932="","",IFERROR(INDEX(المنيو!$C$2:$C$500,MATCH($C3932,المنيو!$B$2:$B$500,0)),0))</f>
        <v/>
      </c>
      <c r="F3932" s="103" t="str">
        <f aca="false">IF($C3932="","",$D3932*$E3932)</f>
        <v/>
      </c>
      <c r="G3932" s="103" t="str">
        <f aca="false">IF($C3932="","",$D3932*IFERROR(INDEX('تحليل التكلفة والسعر'!$C$2:$C$700,MATCH($C3932,'تحليل التكلفة والسعر'!$B$2:$B$700,0)),0))</f>
        <v/>
      </c>
    </row>
    <row r="3933" customFormat="false" ht="15" hidden="false" customHeight="false" outlineLevel="0" collapsed="false">
      <c r="A3933" s="102"/>
      <c r="E3933" s="103" t="str">
        <f aca="false">IF($C3933="","",IFERROR(INDEX(المنيو!$C$2:$C$500,MATCH($C3933,المنيو!$B$2:$B$500,0)),0))</f>
        <v/>
      </c>
      <c r="F3933" s="103" t="str">
        <f aca="false">IF($C3933="","",$D3933*$E3933)</f>
        <v/>
      </c>
      <c r="G3933" s="103" t="str">
        <f aca="false">IF($C3933="","",$D3933*IFERROR(INDEX('تحليل التكلفة والسعر'!$C$2:$C$700,MATCH($C3933,'تحليل التكلفة والسعر'!$B$2:$B$700,0)),0))</f>
        <v/>
      </c>
    </row>
    <row r="3934" customFormat="false" ht="15" hidden="false" customHeight="false" outlineLevel="0" collapsed="false">
      <c r="A3934" s="102"/>
      <c r="E3934" s="103" t="str">
        <f aca="false">IF($C3934="","",IFERROR(INDEX(المنيو!$C$2:$C$500,MATCH($C3934,المنيو!$B$2:$B$500,0)),0))</f>
        <v/>
      </c>
      <c r="F3934" s="103" t="str">
        <f aca="false">IF($C3934="","",$D3934*$E3934)</f>
        <v/>
      </c>
      <c r="G3934" s="103" t="str">
        <f aca="false">IF($C3934="","",$D3934*IFERROR(INDEX('تحليل التكلفة والسعر'!$C$2:$C$700,MATCH($C3934,'تحليل التكلفة والسعر'!$B$2:$B$700,0)),0))</f>
        <v/>
      </c>
    </row>
    <row r="3935" customFormat="false" ht="15" hidden="false" customHeight="false" outlineLevel="0" collapsed="false">
      <c r="A3935" s="102"/>
      <c r="E3935" s="103" t="str">
        <f aca="false">IF($C3935="","",IFERROR(INDEX(المنيو!$C$2:$C$500,MATCH($C3935,المنيو!$B$2:$B$500,0)),0))</f>
        <v/>
      </c>
      <c r="F3935" s="103" t="str">
        <f aca="false">IF($C3935="","",$D3935*$E3935)</f>
        <v/>
      </c>
      <c r="G3935" s="103" t="str">
        <f aca="false">IF($C3935="","",$D3935*IFERROR(INDEX('تحليل التكلفة والسعر'!$C$2:$C$700,MATCH($C3935,'تحليل التكلفة والسعر'!$B$2:$B$700,0)),0))</f>
        <v/>
      </c>
    </row>
    <row r="3936" customFormat="false" ht="15" hidden="false" customHeight="false" outlineLevel="0" collapsed="false">
      <c r="A3936" s="102"/>
      <c r="E3936" s="103" t="str">
        <f aca="false">IF($C3936="","",IFERROR(INDEX(المنيو!$C$2:$C$500,MATCH($C3936,المنيو!$B$2:$B$500,0)),0))</f>
        <v/>
      </c>
      <c r="F3936" s="103" t="str">
        <f aca="false">IF($C3936="","",$D3936*$E3936)</f>
        <v/>
      </c>
      <c r="G3936" s="103" t="str">
        <f aca="false">IF($C3936="","",$D3936*IFERROR(INDEX('تحليل التكلفة والسعر'!$C$2:$C$700,MATCH($C3936,'تحليل التكلفة والسعر'!$B$2:$B$700,0)),0))</f>
        <v/>
      </c>
    </row>
    <row r="3937" customFormat="false" ht="15" hidden="false" customHeight="false" outlineLevel="0" collapsed="false">
      <c r="A3937" s="102"/>
      <c r="E3937" s="103" t="str">
        <f aca="false">IF($C3937="","",IFERROR(INDEX(المنيو!$C$2:$C$500,MATCH($C3937,المنيو!$B$2:$B$500,0)),0))</f>
        <v/>
      </c>
      <c r="F3937" s="103" t="str">
        <f aca="false">IF($C3937="","",$D3937*$E3937)</f>
        <v/>
      </c>
      <c r="G3937" s="103" t="str">
        <f aca="false">IF($C3937="","",$D3937*IFERROR(INDEX('تحليل التكلفة والسعر'!$C$2:$C$700,MATCH($C3937,'تحليل التكلفة والسعر'!$B$2:$B$700,0)),0))</f>
        <v/>
      </c>
    </row>
    <row r="3938" customFormat="false" ht="15" hidden="false" customHeight="false" outlineLevel="0" collapsed="false">
      <c r="A3938" s="102"/>
      <c r="E3938" s="103" t="str">
        <f aca="false">IF($C3938="","",IFERROR(INDEX(المنيو!$C$2:$C$500,MATCH($C3938,المنيو!$B$2:$B$500,0)),0))</f>
        <v/>
      </c>
      <c r="F3938" s="103" t="str">
        <f aca="false">IF($C3938="","",$D3938*$E3938)</f>
        <v/>
      </c>
      <c r="G3938" s="103" t="str">
        <f aca="false">IF($C3938="","",$D3938*IFERROR(INDEX('تحليل التكلفة والسعر'!$C$2:$C$700,MATCH($C3938,'تحليل التكلفة والسعر'!$B$2:$B$700,0)),0))</f>
        <v/>
      </c>
    </row>
    <row r="3939" customFormat="false" ht="15" hidden="false" customHeight="false" outlineLevel="0" collapsed="false">
      <c r="A3939" s="102"/>
      <c r="E3939" s="103" t="str">
        <f aca="false">IF($C3939="","",IFERROR(INDEX(المنيو!$C$2:$C$500,MATCH($C3939,المنيو!$B$2:$B$500,0)),0))</f>
        <v/>
      </c>
      <c r="F3939" s="103" t="str">
        <f aca="false">IF($C3939="","",$D3939*$E3939)</f>
        <v/>
      </c>
      <c r="G3939" s="103" t="str">
        <f aca="false">IF($C3939="","",$D3939*IFERROR(INDEX('تحليل التكلفة والسعر'!$C$2:$C$700,MATCH($C3939,'تحليل التكلفة والسعر'!$B$2:$B$700,0)),0))</f>
        <v/>
      </c>
    </row>
    <row r="3940" customFormat="false" ht="15" hidden="false" customHeight="false" outlineLevel="0" collapsed="false">
      <c r="A3940" s="102"/>
      <c r="E3940" s="103" t="str">
        <f aca="false">IF($C3940="","",IFERROR(INDEX(المنيو!$C$2:$C$500,MATCH($C3940,المنيو!$B$2:$B$500,0)),0))</f>
        <v/>
      </c>
      <c r="F3940" s="103" t="str">
        <f aca="false">IF($C3940="","",$D3940*$E3940)</f>
        <v/>
      </c>
      <c r="G3940" s="103" t="str">
        <f aca="false">IF($C3940="","",$D3940*IFERROR(INDEX('تحليل التكلفة والسعر'!$C$2:$C$700,MATCH($C3940,'تحليل التكلفة والسعر'!$B$2:$B$700,0)),0))</f>
        <v/>
      </c>
    </row>
    <row r="3941" customFormat="false" ht="15" hidden="false" customHeight="false" outlineLevel="0" collapsed="false">
      <c r="A3941" s="102"/>
      <c r="E3941" s="103" t="str">
        <f aca="false">IF($C3941="","",IFERROR(INDEX(المنيو!$C$2:$C$500,MATCH($C3941,المنيو!$B$2:$B$500,0)),0))</f>
        <v/>
      </c>
      <c r="F3941" s="103" t="str">
        <f aca="false">IF($C3941="","",$D3941*$E3941)</f>
        <v/>
      </c>
      <c r="G3941" s="103" t="str">
        <f aca="false">IF($C3941="","",$D3941*IFERROR(INDEX('تحليل التكلفة والسعر'!$C$2:$C$700,MATCH($C3941,'تحليل التكلفة والسعر'!$B$2:$B$700,0)),0))</f>
        <v/>
      </c>
    </row>
    <row r="3942" customFormat="false" ht="15" hidden="false" customHeight="false" outlineLevel="0" collapsed="false">
      <c r="A3942" s="102"/>
      <c r="E3942" s="103" t="str">
        <f aca="false">IF($C3942="","",IFERROR(INDEX(المنيو!$C$2:$C$500,MATCH($C3942,المنيو!$B$2:$B$500,0)),0))</f>
        <v/>
      </c>
      <c r="F3942" s="103" t="str">
        <f aca="false">IF($C3942="","",$D3942*$E3942)</f>
        <v/>
      </c>
      <c r="G3942" s="103" t="str">
        <f aca="false">IF($C3942="","",$D3942*IFERROR(INDEX('تحليل التكلفة والسعر'!$C$2:$C$700,MATCH($C3942,'تحليل التكلفة والسعر'!$B$2:$B$700,0)),0))</f>
        <v/>
      </c>
    </row>
    <row r="3943" customFormat="false" ht="15" hidden="false" customHeight="false" outlineLevel="0" collapsed="false">
      <c r="A3943" s="102"/>
      <c r="E3943" s="103" t="str">
        <f aca="false">IF($C3943="","",IFERROR(INDEX(المنيو!$C$2:$C$500,MATCH($C3943,المنيو!$B$2:$B$500,0)),0))</f>
        <v/>
      </c>
      <c r="F3943" s="103" t="str">
        <f aca="false">IF($C3943="","",$D3943*$E3943)</f>
        <v/>
      </c>
      <c r="G3943" s="103" t="str">
        <f aca="false">IF($C3943="","",$D3943*IFERROR(INDEX('تحليل التكلفة والسعر'!$C$2:$C$700,MATCH($C3943,'تحليل التكلفة والسعر'!$B$2:$B$700,0)),0))</f>
        <v/>
      </c>
    </row>
    <row r="3944" customFormat="false" ht="15" hidden="false" customHeight="false" outlineLevel="0" collapsed="false">
      <c r="A3944" s="102"/>
      <c r="E3944" s="103" t="str">
        <f aca="false">IF($C3944="","",IFERROR(INDEX(المنيو!$C$2:$C$500,MATCH($C3944,المنيو!$B$2:$B$500,0)),0))</f>
        <v/>
      </c>
      <c r="F3944" s="103" t="str">
        <f aca="false">IF($C3944="","",$D3944*$E3944)</f>
        <v/>
      </c>
      <c r="G3944" s="103" t="str">
        <f aca="false">IF($C3944="","",$D3944*IFERROR(INDEX('تحليل التكلفة والسعر'!$C$2:$C$700,MATCH($C3944,'تحليل التكلفة والسعر'!$B$2:$B$700,0)),0))</f>
        <v/>
      </c>
    </row>
    <row r="3945" customFormat="false" ht="15" hidden="false" customHeight="false" outlineLevel="0" collapsed="false">
      <c r="A3945" s="102"/>
      <c r="E3945" s="103" t="str">
        <f aca="false">IF($C3945="","",IFERROR(INDEX(المنيو!$C$2:$C$500,MATCH($C3945,المنيو!$B$2:$B$500,0)),0))</f>
        <v/>
      </c>
      <c r="F3945" s="103" t="str">
        <f aca="false">IF($C3945="","",$D3945*$E3945)</f>
        <v/>
      </c>
      <c r="G3945" s="103" t="str">
        <f aca="false">IF($C3945="","",$D3945*IFERROR(INDEX('تحليل التكلفة والسعر'!$C$2:$C$700,MATCH($C3945,'تحليل التكلفة والسعر'!$B$2:$B$700,0)),0))</f>
        <v/>
      </c>
    </row>
    <row r="3946" customFormat="false" ht="15" hidden="false" customHeight="false" outlineLevel="0" collapsed="false">
      <c r="A3946" s="102"/>
      <c r="E3946" s="103" t="str">
        <f aca="false">IF($C3946="","",IFERROR(INDEX(المنيو!$C$2:$C$500,MATCH($C3946,المنيو!$B$2:$B$500,0)),0))</f>
        <v/>
      </c>
      <c r="F3946" s="103" t="str">
        <f aca="false">IF($C3946="","",$D3946*$E3946)</f>
        <v/>
      </c>
      <c r="G3946" s="103" t="str">
        <f aca="false">IF($C3946="","",$D3946*IFERROR(INDEX('تحليل التكلفة والسعر'!$C$2:$C$700,MATCH($C3946,'تحليل التكلفة والسعر'!$B$2:$B$700,0)),0))</f>
        <v/>
      </c>
    </row>
    <row r="3947" customFormat="false" ht="15" hidden="false" customHeight="false" outlineLevel="0" collapsed="false">
      <c r="A3947" s="102"/>
      <c r="E3947" s="103" t="str">
        <f aca="false">IF($C3947="","",IFERROR(INDEX(المنيو!$C$2:$C$500,MATCH($C3947,المنيو!$B$2:$B$500,0)),0))</f>
        <v/>
      </c>
      <c r="F3947" s="103" t="str">
        <f aca="false">IF($C3947="","",$D3947*$E3947)</f>
        <v/>
      </c>
      <c r="G3947" s="103" t="str">
        <f aca="false">IF($C3947="","",$D3947*IFERROR(INDEX('تحليل التكلفة والسعر'!$C$2:$C$700,MATCH($C3947,'تحليل التكلفة والسعر'!$B$2:$B$700,0)),0))</f>
        <v/>
      </c>
    </row>
    <row r="3948" customFormat="false" ht="15" hidden="false" customHeight="false" outlineLevel="0" collapsed="false">
      <c r="A3948" s="102"/>
      <c r="E3948" s="103" t="str">
        <f aca="false">IF($C3948="","",IFERROR(INDEX(المنيو!$C$2:$C$500,MATCH($C3948,المنيو!$B$2:$B$500,0)),0))</f>
        <v/>
      </c>
      <c r="F3948" s="103" t="str">
        <f aca="false">IF($C3948="","",$D3948*$E3948)</f>
        <v/>
      </c>
      <c r="G3948" s="103" t="str">
        <f aca="false">IF($C3948="","",$D3948*IFERROR(INDEX('تحليل التكلفة والسعر'!$C$2:$C$700,MATCH($C3948,'تحليل التكلفة والسعر'!$B$2:$B$700,0)),0))</f>
        <v/>
      </c>
    </row>
    <row r="3949" customFormat="false" ht="15" hidden="false" customHeight="false" outlineLevel="0" collapsed="false">
      <c r="A3949" s="102"/>
      <c r="E3949" s="103" t="str">
        <f aca="false">IF($C3949="","",IFERROR(INDEX(المنيو!$C$2:$C$500,MATCH($C3949,المنيو!$B$2:$B$500,0)),0))</f>
        <v/>
      </c>
      <c r="F3949" s="103" t="str">
        <f aca="false">IF($C3949="","",$D3949*$E3949)</f>
        <v/>
      </c>
      <c r="G3949" s="103" t="str">
        <f aca="false">IF($C3949="","",$D3949*IFERROR(INDEX('تحليل التكلفة والسعر'!$C$2:$C$700,MATCH($C3949,'تحليل التكلفة والسعر'!$B$2:$B$700,0)),0))</f>
        <v/>
      </c>
    </row>
    <row r="3950" customFormat="false" ht="15" hidden="false" customHeight="false" outlineLevel="0" collapsed="false">
      <c r="A3950" s="102"/>
      <c r="E3950" s="103" t="str">
        <f aca="false">IF($C3950="","",IFERROR(INDEX(المنيو!$C$2:$C$500,MATCH($C3950,المنيو!$B$2:$B$500,0)),0))</f>
        <v/>
      </c>
      <c r="F3950" s="103" t="str">
        <f aca="false">IF($C3950="","",$D3950*$E3950)</f>
        <v/>
      </c>
      <c r="G3950" s="103" t="str">
        <f aca="false">IF($C3950="","",$D3950*IFERROR(INDEX('تحليل التكلفة والسعر'!$C$2:$C$700,MATCH($C3950,'تحليل التكلفة والسعر'!$B$2:$B$700,0)),0))</f>
        <v/>
      </c>
    </row>
    <row r="3951" customFormat="false" ht="15" hidden="false" customHeight="false" outlineLevel="0" collapsed="false">
      <c r="A3951" s="102"/>
      <c r="E3951" s="103" t="str">
        <f aca="false">IF($C3951="","",IFERROR(INDEX(المنيو!$C$2:$C$500,MATCH($C3951,المنيو!$B$2:$B$500,0)),0))</f>
        <v/>
      </c>
      <c r="F3951" s="103" t="str">
        <f aca="false">IF($C3951="","",$D3951*$E3951)</f>
        <v/>
      </c>
      <c r="G3951" s="103" t="str">
        <f aca="false">IF($C3951="","",$D3951*IFERROR(INDEX('تحليل التكلفة والسعر'!$C$2:$C$700,MATCH($C3951,'تحليل التكلفة والسعر'!$B$2:$B$700,0)),0))</f>
        <v/>
      </c>
    </row>
    <row r="3952" customFormat="false" ht="15" hidden="false" customHeight="false" outlineLevel="0" collapsed="false">
      <c r="A3952" s="102"/>
      <c r="E3952" s="103" t="str">
        <f aca="false">IF($C3952="","",IFERROR(INDEX(المنيو!$C$2:$C$500,MATCH($C3952,المنيو!$B$2:$B$500,0)),0))</f>
        <v/>
      </c>
      <c r="F3952" s="103" t="str">
        <f aca="false">IF($C3952="","",$D3952*$E3952)</f>
        <v/>
      </c>
      <c r="G3952" s="103" t="str">
        <f aca="false">IF($C3952="","",$D3952*IFERROR(INDEX('تحليل التكلفة والسعر'!$C$2:$C$700,MATCH($C3952,'تحليل التكلفة والسعر'!$B$2:$B$700,0)),0))</f>
        <v/>
      </c>
    </row>
    <row r="3953" customFormat="false" ht="15" hidden="false" customHeight="false" outlineLevel="0" collapsed="false">
      <c r="A3953" s="102"/>
      <c r="E3953" s="103" t="str">
        <f aca="false">IF($C3953="","",IFERROR(INDEX(المنيو!$C$2:$C$500,MATCH($C3953,المنيو!$B$2:$B$500,0)),0))</f>
        <v/>
      </c>
      <c r="F3953" s="103" t="str">
        <f aca="false">IF($C3953="","",$D3953*$E3953)</f>
        <v/>
      </c>
      <c r="G3953" s="103" t="str">
        <f aca="false">IF($C3953="","",$D3953*IFERROR(INDEX('تحليل التكلفة والسعر'!$C$2:$C$700,MATCH($C3953,'تحليل التكلفة والسعر'!$B$2:$B$700,0)),0))</f>
        <v/>
      </c>
    </row>
    <row r="3954" customFormat="false" ht="15" hidden="false" customHeight="false" outlineLevel="0" collapsed="false">
      <c r="A3954" s="102"/>
      <c r="E3954" s="103" t="str">
        <f aca="false">IF($C3954="","",IFERROR(INDEX(المنيو!$C$2:$C$500,MATCH($C3954,المنيو!$B$2:$B$500,0)),0))</f>
        <v/>
      </c>
      <c r="F3954" s="103" t="str">
        <f aca="false">IF($C3954="","",$D3954*$E3954)</f>
        <v/>
      </c>
      <c r="G3954" s="103" t="str">
        <f aca="false">IF($C3954="","",$D3954*IFERROR(INDEX('تحليل التكلفة والسعر'!$C$2:$C$700,MATCH($C3954,'تحليل التكلفة والسعر'!$B$2:$B$700,0)),0))</f>
        <v/>
      </c>
    </row>
    <row r="3955" customFormat="false" ht="15" hidden="false" customHeight="false" outlineLevel="0" collapsed="false">
      <c r="A3955" s="102"/>
      <c r="E3955" s="103" t="str">
        <f aca="false">IF($C3955="","",IFERROR(INDEX(المنيو!$C$2:$C$500,MATCH($C3955,المنيو!$B$2:$B$500,0)),0))</f>
        <v/>
      </c>
      <c r="F3955" s="103" t="str">
        <f aca="false">IF($C3955="","",$D3955*$E3955)</f>
        <v/>
      </c>
      <c r="G3955" s="103" t="str">
        <f aca="false">IF($C3955="","",$D3955*IFERROR(INDEX('تحليل التكلفة والسعر'!$C$2:$C$700,MATCH($C3955,'تحليل التكلفة والسعر'!$B$2:$B$700,0)),0))</f>
        <v/>
      </c>
    </row>
    <row r="3956" customFormat="false" ht="15" hidden="false" customHeight="false" outlineLevel="0" collapsed="false">
      <c r="A3956" s="102"/>
      <c r="E3956" s="103" t="str">
        <f aca="false">IF($C3956="","",IFERROR(INDEX(المنيو!$C$2:$C$500,MATCH($C3956,المنيو!$B$2:$B$500,0)),0))</f>
        <v/>
      </c>
      <c r="F3956" s="103" t="str">
        <f aca="false">IF($C3956="","",$D3956*$E3956)</f>
        <v/>
      </c>
      <c r="G3956" s="103" t="str">
        <f aca="false">IF($C3956="","",$D3956*IFERROR(INDEX('تحليل التكلفة والسعر'!$C$2:$C$700,MATCH($C3956,'تحليل التكلفة والسعر'!$B$2:$B$700,0)),0))</f>
        <v/>
      </c>
    </row>
    <row r="3957" customFormat="false" ht="15" hidden="false" customHeight="false" outlineLevel="0" collapsed="false">
      <c r="A3957" s="102"/>
      <c r="E3957" s="103" t="str">
        <f aca="false">IF($C3957="","",IFERROR(INDEX(المنيو!$C$2:$C$500,MATCH($C3957,المنيو!$B$2:$B$500,0)),0))</f>
        <v/>
      </c>
      <c r="F3957" s="103" t="str">
        <f aca="false">IF($C3957="","",$D3957*$E3957)</f>
        <v/>
      </c>
      <c r="G3957" s="103" t="str">
        <f aca="false">IF($C3957="","",$D3957*IFERROR(INDEX('تحليل التكلفة والسعر'!$C$2:$C$700,MATCH($C3957,'تحليل التكلفة والسعر'!$B$2:$B$700,0)),0))</f>
        <v/>
      </c>
    </row>
    <row r="3958" customFormat="false" ht="15" hidden="false" customHeight="false" outlineLevel="0" collapsed="false">
      <c r="A3958" s="102"/>
      <c r="E3958" s="103" t="str">
        <f aca="false">IF($C3958="","",IFERROR(INDEX(المنيو!$C$2:$C$500,MATCH($C3958,المنيو!$B$2:$B$500,0)),0))</f>
        <v/>
      </c>
      <c r="F3958" s="103" t="str">
        <f aca="false">IF($C3958="","",$D3958*$E3958)</f>
        <v/>
      </c>
      <c r="G3958" s="103" t="str">
        <f aca="false">IF($C3958="","",$D3958*IFERROR(INDEX('تحليل التكلفة والسعر'!$C$2:$C$700,MATCH($C3958,'تحليل التكلفة والسعر'!$B$2:$B$700,0)),0))</f>
        <v/>
      </c>
    </row>
    <row r="3959" customFormat="false" ht="15" hidden="false" customHeight="false" outlineLevel="0" collapsed="false">
      <c r="A3959" s="102"/>
      <c r="E3959" s="103" t="str">
        <f aca="false">IF($C3959="","",IFERROR(INDEX(المنيو!$C$2:$C$500,MATCH($C3959,المنيو!$B$2:$B$500,0)),0))</f>
        <v/>
      </c>
      <c r="F3959" s="103" t="str">
        <f aca="false">IF($C3959="","",$D3959*$E3959)</f>
        <v/>
      </c>
      <c r="G3959" s="103" t="str">
        <f aca="false">IF($C3959="","",$D3959*IFERROR(INDEX('تحليل التكلفة والسعر'!$C$2:$C$700,MATCH($C3959,'تحليل التكلفة والسعر'!$B$2:$B$700,0)),0))</f>
        <v/>
      </c>
    </row>
    <row r="3960" customFormat="false" ht="15" hidden="false" customHeight="false" outlineLevel="0" collapsed="false">
      <c r="A3960" s="102"/>
      <c r="E3960" s="103" t="str">
        <f aca="false">IF($C3960="","",IFERROR(INDEX(المنيو!$C$2:$C$500,MATCH($C3960,المنيو!$B$2:$B$500,0)),0))</f>
        <v/>
      </c>
      <c r="F3960" s="103" t="str">
        <f aca="false">IF($C3960="","",$D3960*$E3960)</f>
        <v/>
      </c>
      <c r="G3960" s="103" t="str">
        <f aca="false">IF($C3960="","",$D3960*IFERROR(INDEX('تحليل التكلفة والسعر'!$C$2:$C$700,MATCH($C3960,'تحليل التكلفة والسعر'!$B$2:$B$700,0)),0))</f>
        <v/>
      </c>
    </row>
    <row r="3961" customFormat="false" ht="15" hidden="false" customHeight="false" outlineLevel="0" collapsed="false">
      <c r="A3961" s="102"/>
      <c r="E3961" s="103" t="str">
        <f aca="false">IF($C3961="","",IFERROR(INDEX(المنيو!$C$2:$C$500,MATCH($C3961,المنيو!$B$2:$B$500,0)),0))</f>
        <v/>
      </c>
      <c r="F3961" s="103" t="str">
        <f aca="false">IF($C3961="","",$D3961*$E3961)</f>
        <v/>
      </c>
      <c r="G3961" s="103" t="str">
        <f aca="false">IF($C3961="","",$D3961*IFERROR(INDEX('تحليل التكلفة والسعر'!$C$2:$C$700,MATCH($C3961,'تحليل التكلفة والسعر'!$B$2:$B$700,0)),0))</f>
        <v/>
      </c>
    </row>
    <row r="3962" customFormat="false" ht="15" hidden="false" customHeight="false" outlineLevel="0" collapsed="false">
      <c r="A3962" s="102"/>
      <c r="E3962" s="103" t="str">
        <f aca="false">IF($C3962="","",IFERROR(INDEX(المنيو!$C$2:$C$500,MATCH($C3962,المنيو!$B$2:$B$500,0)),0))</f>
        <v/>
      </c>
      <c r="F3962" s="103" t="str">
        <f aca="false">IF($C3962="","",$D3962*$E3962)</f>
        <v/>
      </c>
      <c r="G3962" s="103" t="str">
        <f aca="false">IF($C3962="","",$D3962*IFERROR(INDEX('تحليل التكلفة والسعر'!$C$2:$C$700,MATCH($C3962,'تحليل التكلفة والسعر'!$B$2:$B$700,0)),0))</f>
        <v/>
      </c>
    </row>
    <row r="3963" customFormat="false" ht="15" hidden="false" customHeight="false" outlineLevel="0" collapsed="false">
      <c r="A3963" s="102"/>
      <c r="E3963" s="103" t="str">
        <f aca="false">IF($C3963="","",IFERROR(INDEX(المنيو!$C$2:$C$500,MATCH($C3963,المنيو!$B$2:$B$500,0)),0))</f>
        <v/>
      </c>
      <c r="F3963" s="103" t="str">
        <f aca="false">IF($C3963="","",$D3963*$E3963)</f>
        <v/>
      </c>
      <c r="G3963" s="103" t="str">
        <f aca="false">IF($C3963="","",$D3963*IFERROR(INDEX('تحليل التكلفة والسعر'!$C$2:$C$700,MATCH($C3963,'تحليل التكلفة والسعر'!$B$2:$B$700,0)),0))</f>
        <v/>
      </c>
    </row>
    <row r="3964" customFormat="false" ht="15" hidden="false" customHeight="false" outlineLevel="0" collapsed="false">
      <c r="A3964" s="102"/>
      <c r="E3964" s="103" t="str">
        <f aca="false">IF($C3964="","",IFERROR(INDEX(المنيو!$C$2:$C$500,MATCH($C3964,المنيو!$B$2:$B$500,0)),0))</f>
        <v/>
      </c>
      <c r="F3964" s="103" t="str">
        <f aca="false">IF($C3964="","",$D3964*$E3964)</f>
        <v/>
      </c>
      <c r="G3964" s="103" t="str">
        <f aca="false">IF($C3964="","",$D3964*IFERROR(INDEX('تحليل التكلفة والسعر'!$C$2:$C$700,MATCH($C3964,'تحليل التكلفة والسعر'!$B$2:$B$700,0)),0))</f>
        <v/>
      </c>
    </row>
    <row r="3965" customFormat="false" ht="15" hidden="false" customHeight="false" outlineLevel="0" collapsed="false">
      <c r="A3965" s="102"/>
      <c r="E3965" s="103" t="str">
        <f aca="false">IF($C3965="","",IFERROR(INDEX(المنيو!$C$2:$C$500,MATCH($C3965,المنيو!$B$2:$B$500,0)),0))</f>
        <v/>
      </c>
      <c r="F3965" s="103" t="str">
        <f aca="false">IF($C3965="","",$D3965*$E3965)</f>
        <v/>
      </c>
      <c r="G3965" s="103" t="str">
        <f aca="false">IF($C3965="","",$D3965*IFERROR(INDEX('تحليل التكلفة والسعر'!$C$2:$C$700,MATCH($C3965,'تحليل التكلفة والسعر'!$B$2:$B$700,0)),0))</f>
        <v/>
      </c>
    </row>
    <row r="3966" customFormat="false" ht="15" hidden="false" customHeight="false" outlineLevel="0" collapsed="false">
      <c r="A3966" s="102"/>
      <c r="E3966" s="103" t="str">
        <f aca="false">IF($C3966="","",IFERROR(INDEX(المنيو!$C$2:$C$500,MATCH($C3966,المنيو!$B$2:$B$500,0)),0))</f>
        <v/>
      </c>
      <c r="F3966" s="103" t="str">
        <f aca="false">IF($C3966="","",$D3966*$E3966)</f>
        <v/>
      </c>
      <c r="G3966" s="103" t="str">
        <f aca="false">IF($C3966="","",$D3966*IFERROR(INDEX('تحليل التكلفة والسعر'!$C$2:$C$700,MATCH($C3966,'تحليل التكلفة والسعر'!$B$2:$B$700,0)),0))</f>
        <v/>
      </c>
    </row>
    <row r="3967" customFormat="false" ht="15" hidden="false" customHeight="false" outlineLevel="0" collapsed="false">
      <c r="A3967" s="102"/>
      <c r="E3967" s="103" t="str">
        <f aca="false">IF($C3967="","",IFERROR(INDEX(المنيو!$C$2:$C$500,MATCH($C3967,المنيو!$B$2:$B$500,0)),0))</f>
        <v/>
      </c>
      <c r="F3967" s="103" t="str">
        <f aca="false">IF($C3967="","",$D3967*$E3967)</f>
        <v/>
      </c>
      <c r="G3967" s="103" t="str">
        <f aca="false">IF($C3967="","",$D3967*IFERROR(INDEX('تحليل التكلفة والسعر'!$C$2:$C$700,MATCH($C3967,'تحليل التكلفة والسعر'!$B$2:$B$700,0)),0))</f>
        <v/>
      </c>
    </row>
    <row r="3968" customFormat="false" ht="15" hidden="false" customHeight="false" outlineLevel="0" collapsed="false">
      <c r="A3968" s="102"/>
      <c r="E3968" s="103" t="str">
        <f aca="false">IF($C3968="","",IFERROR(INDEX(المنيو!$C$2:$C$500,MATCH($C3968,المنيو!$B$2:$B$500,0)),0))</f>
        <v/>
      </c>
      <c r="F3968" s="103" t="str">
        <f aca="false">IF($C3968="","",$D3968*$E3968)</f>
        <v/>
      </c>
      <c r="G3968" s="103" t="str">
        <f aca="false">IF($C3968="","",$D3968*IFERROR(INDEX('تحليل التكلفة والسعر'!$C$2:$C$700,MATCH($C3968,'تحليل التكلفة والسعر'!$B$2:$B$700,0)),0))</f>
        <v/>
      </c>
    </row>
    <row r="3969" customFormat="false" ht="15" hidden="false" customHeight="false" outlineLevel="0" collapsed="false">
      <c r="A3969" s="102"/>
      <c r="E3969" s="103" t="str">
        <f aca="false">IF($C3969="","",IFERROR(INDEX(المنيو!$C$2:$C$500,MATCH($C3969,المنيو!$B$2:$B$500,0)),0))</f>
        <v/>
      </c>
      <c r="F3969" s="103" t="str">
        <f aca="false">IF($C3969="","",$D3969*$E3969)</f>
        <v/>
      </c>
      <c r="G3969" s="103" t="str">
        <f aca="false">IF($C3969="","",$D3969*IFERROR(INDEX('تحليل التكلفة والسعر'!$C$2:$C$700,MATCH($C3969,'تحليل التكلفة والسعر'!$B$2:$B$700,0)),0))</f>
        <v/>
      </c>
    </row>
    <row r="3970" customFormat="false" ht="15" hidden="false" customHeight="false" outlineLevel="0" collapsed="false">
      <c r="A3970" s="102"/>
      <c r="E3970" s="103" t="str">
        <f aca="false">IF($C3970="","",IFERROR(INDEX(المنيو!$C$2:$C$500,MATCH($C3970,المنيو!$B$2:$B$500,0)),0))</f>
        <v/>
      </c>
      <c r="F3970" s="103" t="str">
        <f aca="false">IF($C3970="","",$D3970*$E3970)</f>
        <v/>
      </c>
      <c r="G3970" s="103" t="str">
        <f aca="false">IF($C3970="","",$D3970*IFERROR(INDEX('تحليل التكلفة والسعر'!$C$2:$C$700,MATCH($C3970,'تحليل التكلفة والسعر'!$B$2:$B$700,0)),0))</f>
        <v/>
      </c>
    </row>
    <row r="3971" customFormat="false" ht="15" hidden="false" customHeight="false" outlineLevel="0" collapsed="false">
      <c r="A3971" s="102"/>
      <c r="E3971" s="103" t="str">
        <f aca="false">IF($C3971="","",IFERROR(INDEX(المنيو!$C$2:$C$500,MATCH($C3971,المنيو!$B$2:$B$500,0)),0))</f>
        <v/>
      </c>
      <c r="F3971" s="103" t="str">
        <f aca="false">IF($C3971="","",$D3971*$E3971)</f>
        <v/>
      </c>
      <c r="G3971" s="103" t="str">
        <f aca="false">IF($C3971="","",$D3971*IFERROR(INDEX('تحليل التكلفة والسعر'!$C$2:$C$700,MATCH($C3971,'تحليل التكلفة والسعر'!$B$2:$B$700,0)),0))</f>
        <v/>
      </c>
    </row>
    <row r="3972" customFormat="false" ht="15" hidden="false" customHeight="false" outlineLevel="0" collapsed="false">
      <c r="A3972" s="102"/>
      <c r="E3972" s="103" t="str">
        <f aca="false">IF($C3972="","",IFERROR(INDEX(المنيو!$C$2:$C$500,MATCH($C3972,المنيو!$B$2:$B$500,0)),0))</f>
        <v/>
      </c>
      <c r="F3972" s="103" t="str">
        <f aca="false">IF($C3972="","",$D3972*$E3972)</f>
        <v/>
      </c>
      <c r="G3972" s="103" t="str">
        <f aca="false">IF($C3972="","",$D3972*IFERROR(INDEX('تحليل التكلفة والسعر'!$C$2:$C$700,MATCH($C3972,'تحليل التكلفة والسعر'!$B$2:$B$700,0)),0))</f>
        <v/>
      </c>
    </row>
    <row r="3973" customFormat="false" ht="15" hidden="false" customHeight="false" outlineLevel="0" collapsed="false">
      <c r="A3973" s="102"/>
      <c r="E3973" s="103" t="str">
        <f aca="false">IF($C3973="","",IFERROR(INDEX(المنيو!$C$2:$C$500,MATCH($C3973,المنيو!$B$2:$B$500,0)),0))</f>
        <v/>
      </c>
      <c r="F3973" s="103" t="str">
        <f aca="false">IF($C3973="","",$D3973*$E3973)</f>
        <v/>
      </c>
      <c r="G3973" s="103" t="str">
        <f aca="false">IF($C3973="","",$D3973*IFERROR(INDEX('تحليل التكلفة والسعر'!$C$2:$C$700,MATCH($C3973,'تحليل التكلفة والسعر'!$B$2:$B$700,0)),0))</f>
        <v/>
      </c>
    </row>
    <row r="3974" customFormat="false" ht="15" hidden="false" customHeight="false" outlineLevel="0" collapsed="false">
      <c r="A3974" s="102"/>
      <c r="E3974" s="103" t="str">
        <f aca="false">IF($C3974="","",IFERROR(INDEX(المنيو!$C$2:$C$500,MATCH($C3974,المنيو!$B$2:$B$500,0)),0))</f>
        <v/>
      </c>
      <c r="F3974" s="103" t="str">
        <f aca="false">IF($C3974="","",$D3974*$E3974)</f>
        <v/>
      </c>
      <c r="G3974" s="103" t="str">
        <f aca="false">IF($C3974="","",$D3974*IFERROR(INDEX('تحليل التكلفة والسعر'!$C$2:$C$700,MATCH($C3974,'تحليل التكلفة والسعر'!$B$2:$B$700,0)),0))</f>
        <v/>
      </c>
    </row>
    <row r="3975" customFormat="false" ht="15" hidden="false" customHeight="false" outlineLevel="0" collapsed="false">
      <c r="A3975" s="102"/>
      <c r="E3975" s="103" t="str">
        <f aca="false">IF($C3975="","",IFERROR(INDEX(المنيو!$C$2:$C$500,MATCH($C3975,المنيو!$B$2:$B$500,0)),0))</f>
        <v/>
      </c>
      <c r="F3975" s="103" t="str">
        <f aca="false">IF($C3975="","",$D3975*$E3975)</f>
        <v/>
      </c>
      <c r="G3975" s="103" t="str">
        <f aca="false">IF($C3975="","",$D3975*IFERROR(INDEX('تحليل التكلفة والسعر'!$C$2:$C$700,MATCH($C3975,'تحليل التكلفة والسعر'!$B$2:$B$700,0)),0))</f>
        <v/>
      </c>
    </row>
    <row r="3976" customFormat="false" ht="15" hidden="false" customHeight="false" outlineLevel="0" collapsed="false">
      <c r="A3976" s="102"/>
      <c r="E3976" s="103" t="str">
        <f aca="false">IF($C3976="","",IFERROR(INDEX(المنيو!$C$2:$C$500,MATCH($C3976,المنيو!$B$2:$B$500,0)),0))</f>
        <v/>
      </c>
      <c r="F3976" s="103" t="str">
        <f aca="false">IF($C3976="","",$D3976*$E3976)</f>
        <v/>
      </c>
      <c r="G3976" s="103" t="str">
        <f aca="false">IF($C3976="","",$D3976*IFERROR(INDEX('تحليل التكلفة والسعر'!$C$2:$C$700,MATCH($C3976,'تحليل التكلفة والسعر'!$B$2:$B$700,0)),0))</f>
        <v/>
      </c>
    </row>
    <row r="3977" customFormat="false" ht="15" hidden="false" customHeight="false" outlineLevel="0" collapsed="false">
      <c r="A3977" s="102"/>
      <c r="E3977" s="103" t="str">
        <f aca="false">IF($C3977="","",IFERROR(INDEX(المنيو!$C$2:$C$500,MATCH($C3977,المنيو!$B$2:$B$500,0)),0))</f>
        <v/>
      </c>
      <c r="F3977" s="103" t="str">
        <f aca="false">IF($C3977="","",$D3977*$E3977)</f>
        <v/>
      </c>
      <c r="G3977" s="103" t="str">
        <f aca="false">IF($C3977="","",$D3977*IFERROR(INDEX('تحليل التكلفة والسعر'!$C$2:$C$700,MATCH($C3977,'تحليل التكلفة والسعر'!$B$2:$B$700,0)),0))</f>
        <v/>
      </c>
    </row>
    <row r="3978" customFormat="false" ht="15" hidden="false" customHeight="false" outlineLevel="0" collapsed="false">
      <c r="A3978" s="102"/>
      <c r="E3978" s="103" t="str">
        <f aca="false">IF($C3978="","",IFERROR(INDEX(المنيو!$C$2:$C$500,MATCH($C3978,المنيو!$B$2:$B$500,0)),0))</f>
        <v/>
      </c>
      <c r="F3978" s="103" t="str">
        <f aca="false">IF($C3978="","",$D3978*$E3978)</f>
        <v/>
      </c>
      <c r="G3978" s="103" t="str">
        <f aca="false">IF($C3978="","",$D3978*IFERROR(INDEX('تحليل التكلفة والسعر'!$C$2:$C$700,MATCH($C3978,'تحليل التكلفة والسعر'!$B$2:$B$700,0)),0))</f>
        <v/>
      </c>
    </row>
    <row r="3979" customFormat="false" ht="15" hidden="false" customHeight="false" outlineLevel="0" collapsed="false">
      <c r="A3979" s="102"/>
      <c r="E3979" s="103" t="str">
        <f aca="false">IF($C3979="","",IFERROR(INDEX(المنيو!$C$2:$C$500,MATCH($C3979,المنيو!$B$2:$B$500,0)),0))</f>
        <v/>
      </c>
      <c r="F3979" s="103" t="str">
        <f aca="false">IF($C3979="","",$D3979*$E3979)</f>
        <v/>
      </c>
      <c r="G3979" s="103" t="str">
        <f aca="false">IF($C3979="","",$D3979*IFERROR(INDEX('تحليل التكلفة والسعر'!$C$2:$C$700,MATCH($C3979,'تحليل التكلفة والسعر'!$B$2:$B$700,0)),0))</f>
        <v/>
      </c>
    </row>
    <row r="3980" customFormat="false" ht="15" hidden="false" customHeight="false" outlineLevel="0" collapsed="false">
      <c r="A3980" s="102"/>
      <c r="E3980" s="103" t="str">
        <f aca="false">IF($C3980="","",IFERROR(INDEX(المنيو!$C$2:$C$500,MATCH($C3980,المنيو!$B$2:$B$500,0)),0))</f>
        <v/>
      </c>
      <c r="F3980" s="103" t="str">
        <f aca="false">IF($C3980="","",$D3980*$E3980)</f>
        <v/>
      </c>
      <c r="G3980" s="103" t="str">
        <f aca="false">IF($C3980="","",$D3980*IFERROR(INDEX('تحليل التكلفة والسعر'!$C$2:$C$700,MATCH($C3980,'تحليل التكلفة والسعر'!$B$2:$B$700,0)),0))</f>
        <v/>
      </c>
    </row>
    <row r="3981" customFormat="false" ht="15" hidden="false" customHeight="false" outlineLevel="0" collapsed="false">
      <c r="A3981" s="102"/>
      <c r="E3981" s="103" t="str">
        <f aca="false">IF($C3981="","",IFERROR(INDEX(المنيو!$C$2:$C$500,MATCH($C3981,المنيو!$B$2:$B$500,0)),0))</f>
        <v/>
      </c>
      <c r="F3981" s="103" t="str">
        <f aca="false">IF($C3981="","",$D3981*$E3981)</f>
        <v/>
      </c>
      <c r="G3981" s="103" t="str">
        <f aca="false">IF($C3981="","",$D3981*IFERROR(INDEX('تحليل التكلفة والسعر'!$C$2:$C$700,MATCH($C3981,'تحليل التكلفة والسعر'!$B$2:$B$700,0)),0))</f>
        <v/>
      </c>
    </row>
    <row r="3982" customFormat="false" ht="15" hidden="false" customHeight="false" outlineLevel="0" collapsed="false">
      <c r="A3982" s="102"/>
      <c r="E3982" s="103" t="str">
        <f aca="false">IF($C3982="","",IFERROR(INDEX(المنيو!$C$2:$C$500,MATCH($C3982,المنيو!$B$2:$B$500,0)),0))</f>
        <v/>
      </c>
      <c r="F3982" s="103" t="str">
        <f aca="false">IF($C3982="","",$D3982*$E3982)</f>
        <v/>
      </c>
      <c r="G3982" s="103" t="str">
        <f aca="false">IF($C3982="","",$D3982*IFERROR(INDEX('تحليل التكلفة والسعر'!$C$2:$C$700,MATCH($C3982,'تحليل التكلفة والسعر'!$B$2:$B$700,0)),0))</f>
        <v/>
      </c>
    </row>
    <row r="3983" customFormat="false" ht="15" hidden="false" customHeight="false" outlineLevel="0" collapsed="false">
      <c r="A3983" s="102"/>
      <c r="E3983" s="103" t="str">
        <f aca="false">IF($C3983="","",IFERROR(INDEX(المنيو!$C$2:$C$500,MATCH($C3983,المنيو!$B$2:$B$500,0)),0))</f>
        <v/>
      </c>
      <c r="F3983" s="103" t="str">
        <f aca="false">IF($C3983="","",$D3983*$E3983)</f>
        <v/>
      </c>
      <c r="G3983" s="103" t="str">
        <f aca="false">IF($C3983="","",$D3983*IFERROR(INDEX('تحليل التكلفة والسعر'!$C$2:$C$700,MATCH($C3983,'تحليل التكلفة والسعر'!$B$2:$B$700,0)),0))</f>
        <v/>
      </c>
    </row>
    <row r="3984" customFormat="false" ht="15" hidden="false" customHeight="false" outlineLevel="0" collapsed="false">
      <c r="A3984" s="102"/>
      <c r="E3984" s="103" t="str">
        <f aca="false">IF($C3984="","",IFERROR(INDEX(المنيو!$C$2:$C$500,MATCH($C3984,المنيو!$B$2:$B$500,0)),0))</f>
        <v/>
      </c>
      <c r="F3984" s="103" t="str">
        <f aca="false">IF($C3984="","",$D3984*$E3984)</f>
        <v/>
      </c>
      <c r="G3984" s="103" t="str">
        <f aca="false">IF($C3984="","",$D3984*IFERROR(INDEX('تحليل التكلفة والسعر'!$C$2:$C$700,MATCH($C3984,'تحليل التكلفة والسعر'!$B$2:$B$700,0)),0))</f>
        <v/>
      </c>
    </row>
    <row r="3985" customFormat="false" ht="15" hidden="false" customHeight="false" outlineLevel="0" collapsed="false">
      <c r="A3985" s="102"/>
      <c r="E3985" s="103" t="str">
        <f aca="false">IF($C3985="","",IFERROR(INDEX(المنيو!$C$2:$C$500,MATCH($C3985,المنيو!$B$2:$B$500,0)),0))</f>
        <v/>
      </c>
      <c r="F3985" s="103" t="str">
        <f aca="false">IF($C3985="","",$D3985*$E3985)</f>
        <v/>
      </c>
      <c r="G3985" s="103" t="str">
        <f aca="false">IF($C3985="","",$D3985*IFERROR(INDEX('تحليل التكلفة والسعر'!$C$2:$C$700,MATCH($C3985,'تحليل التكلفة والسعر'!$B$2:$B$700,0)),0))</f>
        <v/>
      </c>
    </row>
    <row r="3986" customFormat="false" ht="15" hidden="false" customHeight="false" outlineLevel="0" collapsed="false">
      <c r="A3986" s="102"/>
      <c r="E3986" s="103" t="str">
        <f aca="false">IF($C3986="","",IFERROR(INDEX(المنيو!$C$2:$C$500,MATCH($C3986,المنيو!$B$2:$B$500,0)),0))</f>
        <v/>
      </c>
      <c r="F3986" s="103" t="str">
        <f aca="false">IF($C3986="","",$D3986*$E3986)</f>
        <v/>
      </c>
      <c r="G3986" s="103" t="str">
        <f aca="false">IF($C3986="","",$D3986*IFERROR(INDEX('تحليل التكلفة والسعر'!$C$2:$C$700,MATCH($C3986,'تحليل التكلفة والسعر'!$B$2:$B$700,0)),0))</f>
        <v/>
      </c>
    </row>
    <row r="3987" customFormat="false" ht="15" hidden="false" customHeight="false" outlineLevel="0" collapsed="false">
      <c r="A3987" s="102"/>
      <c r="E3987" s="103" t="str">
        <f aca="false">IF($C3987="","",IFERROR(INDEX(المنيو!$C$2:$C$500,MATCH($C3987,المنيو!$B$2:$B$500,0)),0))</f>
        <v/>
      </c>
      <c r="F3987" s="103" t="str">
        <f aca="false">IF($C3987="","",$D3987*$E3987)</f>
        <v/>
      </c>
      <c r="G3987" s="103" t="str">
        <f aca="false">IF($C3987="","",$D3987*IFERROR(INDEX('تحليل التكلفة والسعر'!$C$2:$C$700,MATCH($C3987,'تحليل التكلفة والسعر'!$B$2:$B$700,0)),0))</f>
        <v/>
      </c>
    </row>
    <row r="3988" customFormat="false" ht="15" hidden="false" customHeight="false" outlineLevel="0" collapsed="false">
      <c r="A3988" s="102"/>
      <c r="E3988" s="103" t="str">
        <f aca="false">IF($C3988="","",IFERROR(INDEX(المنيو!$C$2:$C$500,MATCH($C3988,المنيو!$B$2:$B$500,0)),0))</f>
        <v/>
      </c>
      <c r="F3988" s="103" t="str">
        <f aca="false">IF($C3988="","",$D3988*$E3988)</f>
        <v/>
      </c>
      <c r="G3988" s="103" t="str">
        <f aca="false">IF($C3988="","",$D3988*IFERROR(INDEX('تحليل التكلفة والسعر'!$C$2:$C$700,MATCH($C3988,'تحليل التكلفة والسعر'!$B$2:$B$700,0)),0))</f>
        <v/>
      </c>
    </row>
    <row r="3989" customFormat="false" ht="15" hidden="false" customHeight="false" outlineLevel="0" collapsed="false">
      <c r="A3989" s="102"/>
      <c r="E3989" s="103" t="str">
        <f aca="false">IF($C3989="","",IFERROR(INDEX(المنيو!$C$2:$C$500,MATCH($C3989,المنيو!$B$2:$B$500,0)),0))</f>
        <v/>
      </c>
      <c r="F3989" s="103" t="str">
        <f aca="false">IF($C3989="","",$D3989*$E3989)</f>
        <v/>
      </c>
      <c r="G3989" s="103" t="str">
        <f aca="false">IF($C3989="","",$D3989*IFERROR(INDEX('تحليل التكلفة والسعر'!$C$2:$C$700,MATCH($C3989,'تحليل التكلفة والسعر'!$B$2:$B$700,0)),0))</f>
        <v/>
      </c>
    </row>
    <row r="3990" customFormat="false" ht="15" hidden="false" customHeight="false" outlineLevel="0" collapsed="false">
      <c r="A3990" s="102"/>
      <c r="E3990" s="103" t="str">
        <f aca="false">IF($C3990="","",IFERROR(INDEX(المنيو!$C$2:$C$500,MATCH($C3990,المنيو!$B$2:$B$500,0)),0))</f>
        <v/>
      </c>
      <c r="F3990" s="103" t="str">
        <f aca="false">IF($C3990="","",$D3990*$E3990)</f>
        <v/>
      </c>
      <c r="G3990" s="103" t="str">
        <f aca="false">IF($C3990="","",$D3990*IFERROR(INDEX('تحليل التكلفة والسعر'!$C$2:$C$700,MATCH($C3990,'تحليل التكلفة والسعر'!$B$2:$B$700,0)),0))</f>
        <v/>
      </c>
    </row>
    <row r="3991" customFormat="false" ht="15" hidden="false" customHeight="false" outlineLevel="0" collapsed="false">
      <c r="A3991" s="102"/>
      <c r="E3991" s="103" t="str">
        <f aca="false">IF($C3991="","",IFERROR(INDEX(المنيو!$C$2:$C$500,MATCH($C3991,المنيو!$B$2:$B$500,0)),0))</f>
        <v/>
      </c>
      <c r="F3991" s="103" t="str">
        <f aca="false">IF($C3991="","",$D3991*$E3991)</f>
        <v/>
      </c>
      <c r="G3991" s="103" t="str">
        <f aca="false">IF($C3991="","",$D3991*IFERROR(INDEX('تحليل التكلفة والسعر'!$C$2:$C$700,MATCH($C3991,'تحليل التكلفة والسعر'!$B$2:$B$700,0)),0))</f>
        <v/>
      </c>
    </row>
    <row r="3992" customFormat="false" ht="15" hidden="false" customHeight="false" outlineLevel="0" collapsed="false">
      <c r="A3992" s="102"/>
      <c r="E3992" s="103" t="str">
        <f aca="false">IF($C3992="","",IFERROR(INDEX(المنيو!$C$2:$C$500,MATCH($C3992,المنيو!$B$2:$B$500,0)),0))</f>
        <v/>
      </c>
      <c r="F3992" s="103" t="str">
        <f aca="false">IF($C3992="","",$D3992*$E3992)</f>
        <v/>
      </c>
      <c r="G3992" s="103" t="str">
        <f aca="false">IF($C3992="","",$D3992*IFERROR(INDEX('تحليل التكلفة والسعر'!$C$2:$C$700,MATCH($C3992,'تحليل التكلفة والسعر'!$B$2:$B$700,0)),0))</f>
        <v/>
      </c>
    </row>
    <row r="3993" customFormat="false" ht="15" hidden="false" customHeight="false" outlineLevel="0" collapsed="false">
      <c r="A3993" s="102"/>
      <c r="E3993" s="103" t="str">
        <f aca="false">IF($C3993="","",IFERROR(INDEX(المنيو!$C$2:$C$500,MATCH($C3993,المنيو!$B$2:$B$500,0)),0))</f>
        <v/>
      </c>
      <c r="F3993" s="103" t="str">
        <f aca="false">IF($C3993="","",$D3993*$E3993)</f>
        <v/>
      </c>
      <c r="G3993" s="103" t="str">
        <f aca="false">IF($C3993="","",$D3993*IFERROR(INDEX('تحليل التكلفة والسعر'!$C$2:$C$700,MATCH($C3993,'تحليل التكلفة والسعر'!$B$2:$B$700,0)),0))</f>
        <v/>
      </c>
    </row>
    <row r="3994" customFormat="false" ht="15" hidden="false" customHeight="false" outlineLevel="0" collapsed="false">
      <c r="A3994" s="102"/>
      <c r="E3994" s="103" t="str">
        <f aca="false">IF($C3994="","",IFERROR(INDEX(المنيو!$C$2:$C$500,MATCH($C3994,المنيو!$B$2:$B$500,0)),0))</f>
        <v/>
      </c>
      <c r="F3994" s="103" t="str">
        <f aca="false">IF($C3994="","",$D3994*$E3994)</f>
        <v/>
      </c>
      <c r="G3994" s="103" t="str">
        <f aca="false">IF($C3994="","",$D3994*IFERROR(INDEX('تحليل التكلفة والسعر'!$C$2:$C$700,MATCH($C3994,'تحليل التكلفة والسعر'!$B$2:$B$700,0)),0))</f>
        <v/>
      </c>
    </row>
    <row r="3995" customFormat="false" ht="15" hidden="false" customHeight="false" outlineLevel="0" collapsed="false">
      <c r="A3995" s="102"/>
      <c r="E3995" s="103" t="str">
        <f aca="false">IF($C3995="","",IFERROR(INDEX(المنيو!$C$2:$C$500,MATCH($C3995,المنيو!$B$2:$B$500,0)),0))</f>
        <v/>
      </c>
      <c r="F3995" s="103" t="str">
        <f aca="false">IF($C3995="","",$D3995*$E3995)</f>
        <v/>
      </c>
      <c r="G3995" s="103" t="str">
        <f aca="false">IF($C3995="","",$D3995*IFERROR(INDEX('تحليل التكلفة والسعر'!$C$2:$C$700,MATCH($C3995,'تحليل التكلفة والسعر'!$B$2:$B$700,0)),0))</f>
        <v/>
      </c>
    </row>
    <row r="3996" customFormat="false" ht="15" hidden="false" customHeight="false" outlineLevel="0" collapsed="false">
      <c r="A3996" s="102"/>
      <c r="E3996" s="103" t="str">
        <f aca="false">IF($C3996="","",IFERROR(INDEX(المنيو!$C$2:$C$500,MATCH($C3996,المنيو!$B$2:$B$500,0)),0))</f>
        <v/>
      </c>
      <c r="F3996" s="103" t="str">
        <f aca="false">IF($C3996="","",$D3996*$E3996)</f>
        <v/>
      </c>
      <c r="G3996" s="103" t="str">
        <f aca="false">IF($C3996="","",$D3996*IFERROR(INDEX('تحليل التكلفة والسعر'!$C$2:$C$700,MATCH($C3996,'تحليل التكلفة والسعر'!$B$2:$B$700,0)),0))</f>
        <v/>
      </c>
    </row>
    <row r="3997" customFormat="false" ht="15" hidden="false" customHeight="false" outlineLevel="0" collapsed="false">
      <c r="A3997" s="102"/>
      <c r="E3997" s="103" t="str">
        <f aca="false">IF($C3997="","",IFERROR(INDEX(المنيو!$C$2:$C$500,MATCH($C3997,المنيو!$B$2:$B$500,0)),0))</f>
        <v/>
      </c>
      <c r="F3997" s="103" t="str">
        <f aca="false">IF($C3997="","",$D3997*$E3997)</f>
        <v/>
      </c>
      <c r="G3997" s="103" t="str">
        <f aca="false">IF($C3997="","",$D3997*IFERROR(INDEX('تحليل التكلفة والسعر'!$C$2:$C$700,MATCH($C3997,'تحليل التكلفة والسعر'!$B$2:$B$700,0)),0))</f>
        <v/>
      </c>
    </row>
    <row r="3998" customFormat="false" ht="15" hidden="false" customHeight="false" outlineLevel="0" collapsed="false">
      <c r="A3998" s="102"/>
      <c r="E3998" s="103" t="str">
        <f aca="false">IF($C3998="","",IFERROR(INDEX(المنيو!$C$2:$C$500,MATCH($C3998,المنيو!$B$2:$B$500,0)),0))</f>
        <v/>
      </c>
      <c r="F3998" s="103" t="str">
        <f aca="false">IF($C3998="","",$D3998*$E3998)</f>
        <v/>
      </c>
      <c r="G3998" s="103" t="str">
        <f aca="false">IF($C3998="","",$D3998*IFERROR(INDEX('تحليل التكلفة والسعر'!$C$2:$C$700,MATCH($C3998,'تحليل التكلفة والسعر'!$B$2:$B$700,0)),0))</f>
        <v/>
      </c>
    </row>
    <row r="3999" customFormat="false" ht="15" hidden="false" customHeight="false" outlineLevel="0" collapsed="false">
      <c r="A3999" s="102"/>
      <c r="E3999" s="103" t="str">
        <f aca="false">IF($C3999="","",IFERROR(INDEX(المنيو!$C$2:$C$500,MATCH($C3999,المنيو!$B$2:$B$500,0)),0))</f>
        <v/>
      </c>
      <c r="F3999" s="103" t="str">
        <f aca="false">IF($C3999="","",$D3999*$E3999)</f>
        <v/>
      </c>
      <c r="G3999" s="103" t="str">
        <f aca="false">IF($C3999="","",$D3999*IFERROR(INDEX('تحليل التكلفة والسعر'!$C$2:$C$700,MATCH($C3999,'تحليل التكلفة والسعر'!$B$2:$B$700,0)),0))</f>
        <v/>
      </c>
    </row>
    <row r="4000" customFormat="false" ht="15" hidden="false" customHeight="false" outlineLevel="0" collapsed="false">
      <c r="A4000" s="102"/>
      <c r="E4000" s="103" t="str">
        <f aca="false">IF($C4000="","",IFERROR(INDEX(المنيو!$C$2:$C$500,MATCH($C4000,المنيو!$B$2:$B$500,0)),0))</f>
        <v/>
      </c>
      <c r="F4000" s="103" t="str">
        <f aca="false">IF($C4000="","",$D4000*$E4000)</f>
        <v/>
      </c>
      <c r="G4000" s="103" t="str">
        <f aca="false">IF($C4000="","",$D4000*IFERROR(INDEX('تحليل التكلفة والسعر'!$C$2:$C$700,MATCH($C4000,'تحليل التكلفة والسعر'!$B$2:$B$700,0)),0))</f>
        <v/>
      </c>
    </row>
    <row r="4001" customFormat="false" ht="15" hidden="false" customHeight="false" outlineLevel="0" collapsed="false">
      <c r="A4001" s="102"/>
      <c r="E4001" s="103" t="str">
        <f aca="false">IF($C4001="","",IFERROR(INDEX(المنيو!$C$2:$C$500,MATCH($C4001,المنيو!$B$2:$B$500,0)),0))</f>
        <v/>
      </c>
      <c r="F4001" s="103" t="str">
        <f aca="false">IF($C4001="","",$D4001*$E4001)</f>
        <v/>
      </c>
      <c r="G4001" s="103" t="str">
        <f aca="false">IF($C4001="","",$D4001*IFERROR(INDEX('تحليل التكلفة والسعر'!$C$2:$C$700,MATCH($C4001,'تحليل التكلفة والسعر'!$B$2:$B$700,0)),0))</f>
        <v/>
      </c>
    </row>
    <row r="4002" customFormat="false" ht="15" hidden="false" customHeight="false" outlineLevel="0" collapsed="false">
      <c r="A4002" s="102"/>
      <c r="E4002" s="103" t="str">
        <f aca="false">IF($C4002="","",IFERROR(INDEX(المنيو!$C$2:$C$500,MATCH($C4002,المنيو!$B$2:$B$500,0)),0))</f>
        <v/>
      </c>
      <c r="F4002" s="103" t="str">
        <f aca="false">IF($C4002="","",$D4002*$E4002)</f>
        <v/>
      </c>
      <c r="G4002" s="103" t="str">
        <f aca="false">IF($C4002="","",$D4002*IFERROR(INDEX('تحليل التكلفة والسعر'!$C$2:$C$700,MATCH($C4002,'تحليل التكلفة والسعر'!$B$2:$B$700,0)),0))</f>
        <v/>
      </c>
    </row>
    <row r="4003" customFormat="false" ht="15" hidden="false" customHeight="false" outlineLevel="0" collapsed="false">
      <c r="A4003" s="102"/>
      <c r="E4003" s="103" t="str">
        <f aca="false">IF($C4003="","",IFERROR(INDEX(المنيو!$C$2:$C$500,MATCH($C4003,المنيو!$B$2:$B$500,0)),0))</f>
        <v/>
      </c>
      <c r="F4003" s="103" t="str">
        <f aca="false">IF($C4003="","",$D4003*$E4003)</f>
        <v/>
      </c>
      <c r="G4003" s="103" t="str">
        <f aca="false">IF($C4003="","",$D4003*IFERROR(INDEX('تحليل التكلفة والسعر'!$C$2:$C$700,MATCH($C4003,'تحليل التكلفة والسعر'!$B$2:$B$700,0)),0))</f>
        <v/>
      </c>
    </row>
    <row r="4004" customFormat="false" ht="15" hidden="false" customHeight="false" outlineLevel="0" collapsed="false">
      <c r="A4004" s="102"/>
      <c r="E4004" s="103" t="str">
        <f aca="false">IF($C4004="","",IFERROR(INDEX(المنيو!$C$2:$C$500,MATCH($C4004,المنيو!$B$2:$B$500,0)),0))</f>
        <v/>
      </c>
      <c r="F4004" s="103" t="str">
        <f aca="false">IF($C4004="","",$D4004*$E4004)</f>
        <v/>
      </c>
      <c r="G4004" s="103" t="str">
        <f aca="false">IF($C4004="","",$D4004*IFERROR(INDEX('تحليل التكلفة والسعر'!$C$2:$C$700,MATCH($C4004,'تحليل التكلفة والسعر'!$B$2:$B$700,0)),0))</f>
        <v/>
      </c>
    </row>
    <row r="4005" customFormat="false" ht="15" hidden="false" customHeight="false" outlineLevel="0" collapsed="false">
      <c r="A4005" s="102"/>
      <c r="E4005" s="103" t="str">
        <f aca="false">IF($C4005="","",IFERROR(INDEX(المنيو!$C$2:$C$500,MATCH($C4005,المنيو!$B$2:$B$500,0)),0))</f>
        <v/>
      </c>
      <c r="F4005" s="103" t="str">
        <f aca="false">IF($C4005="","",$D4005*$E4005)</f>
        <v/>
      </c>
      <c r="G4005" s="103" t="str">
        <f aca="false">IF($C4005="","",$D4005*IFERROR(INDEX('تحليل التكلفة والسعر'!$C$2:$C$700,MATCH($C4005,'تحليل التكلفة والسعر'!$B$2:$B$700,0)),0))</f>
        <v/>
      </c>
    </row>
    <row r="4006" customFormat="false" ht="15" hidden="false" customHeight="false" outlineLevel="0" collapsed="false">
      <c r="A4006" s="102"/>
      <c r="E4006" s="103" t="str">
        <f aca="false">IF($C4006="","",IFERROR(INDEX(المنيو!$C$2:$C$500,MATCH($C4006,المنيو!$B$2:$B$500,0)),0))</f>
        <v/>
      </c>
      <c r="F4006" s="103" t="str">
        <f aca="false">IF($C4006="","",$D4006*$E4006)</f>
        <v/>
      </c>
      <c r="G4006" s="103" t="str">
        <f aca="false">IF($C4006="","",$D4006*IFERROR(INDEX('تحليل التكلفة والسعر'!$C$2:$C$700,MATCH($C4006,'تحليل التكلفة والسعر'!$B$2:$B$700,0)),0))</f>
        <v/>
      </c>
    </row>
    <row r="4007" customFormat="false" ht="15" hidden="false" customHeight="false" outlineLevel="0" collapsed="false">
      <c r="A4007" s="102"/>
      <c r="E4007" s="103" t="str">
        <f aca="false">IF($C4007="","",IFERROR(INDEX(المنيو!$C$2:$C$500,MATCH($C4007,المنيو!$B$2:$B$500,0)),0))</f>
        <v/>
      </c>
      <c r="F4007" s="103" t="str">
        <f aca="false">IF($C4007="","",$D4007*$E4007)</f>
        <v/>
      </c>
      <c r="G4007" s="103" t="str">
        <f aca="false">IF($C4007="","",$D4007*IFERROR(INDEX('تحليل التكلفة والسعر'!$C$2:$C$700,MATCH($C4007,'تحليل التكلفة والسعر'!$B$2:$B$700,0)),0))</f>
        <v/>
      </c>
    </row>
    <row r="4008" customFormat="false" ht="15" hidden="false" customHeight="false" outlineLevel="0" collapsed="false">
      <c r="A4008" s="102"/>
      <c r="E4008" s="103" t="str">
        <f aca="false">IF($C4008="","",IFERROR(INDEX(المنيو!$C$2:$C$500,MATCH($C4008,المنيو!$B$2:$B$500,0)),0))</f>
        <v/>
      </c>
      <c r="F4008" s="103" t="str">
        <f aca="false">IF($C4008="","",$D4008*$E4008)</f>
        <v/>
      </c>
      <c r="G4008" s="103" t="str">
        <f aca="false">IF($C4008="","",$D4008*IFERROR(INDEX('تحليل التكلفة والسعر'!$C$2:$C$700,MATCH($C4008,'تحليل التكلفة والسعر'!$B$2:$B$700,0)),0))</f>
        <v/>
      </c>
    </row>
    <row r="4009" customFormat="false" ht="15" hidden="false" customHeight="false" outlineLevel="0" collapsed="false">
      <c r="A4009" s="102"/>
      <c r="E4009" s="103" t="str">
        <f aca="false">IF($C4009="","",IFERROR(INDEX(المنيو!$C$2:$C$500,MATCH($C4009,المنيو!$B$2:$B$500,0)),0))</f>
        <v/>
      </c>
      <c r="F4009" s="103" t="str">
        <f aca="false">IF($C4009="","",$D4009*$E4009)</f>
        <v/>
      </c>
      <c r="G4009" s="103" t="str">
        <f aca="false">IF($C4009="","",$D4009*IFERROR(INDEX('تحليل التكلفة والسعر'!$C$2:$C$700,MATCH($C4009,'تحليل التكلفة والسعر'!$B$2:$B$700,0)),0))</f>
        <v/>
      </c>
    </row>
    <row r="4010" customFormat="false" ht="15" hidden="false" customHeight="false" outlineLevel="0" collapsed="false">
      <c r="A4010" s="102"/>
      <c r="E4010" s="103" t="str">
        <f aca="false">IF($C4010="","",IFERROR(INDEX(المنيو!$C$2:$C$500,MATCH($C4010,المنيو!$B$2:$B$500,0)),0))</f>
        <v/>
      </c>
      <c r="F4010" s="103" t="str">
        <f aca="false">IF($C4010="","",$D4010*$E4010)</f>
        <v/>
      </c>
      <c r="G4010" s="103" t="str">
        <f aca="false">IF($C4010="","",$D4010*IFERROR(INDEX('تحليل التكلفة والسعر'!$C$2:$C$700,MATCH($C4010,'تحليل التكلفة والسعر'!$B$2:$B$700,0)),0))</f>
        <v/>
      </c>
    </row>
    <row r="4011" customFormat="false" ht="15" hidden="false" customHeight="false" outlineLevel="0" collapsed="false">
      <c r="A4011" s="102"/>
      <c r="E4011" s="103" t="str">
        <f aca="false">IF($C4011="","",IFERROR(INDEX(المنيو!$C$2:$C$500,MATCH($C4011,المنيو!$B$2:$B$500,0)),0))</f>
        <v/>
      </c>
      <c r="F4011" s="103" t="str">
        <f aca="false">IF($C4011="","",$D4011*$E4011)</f>
        <v/>
      </c>
      <c r="G4011" s="103" t="str">
        <f aca="false">IF($C4011="","",$D4011*IFERROR(INDEX('تحليل التكلفة والسعر'!$C$2:$C$700,MATCH($C4011,'تحليل التكلفة والسعر'!$B$2:$B$700,0)),0))</f>
        <v/>
      </c>
    </row>
    <row r="4012" customFormat="false" ht="15" hidden="false" customHeight="false" outlineLevel="0" collapsed="false">
      <c r="A4012" s="102"/>
      <c r="E4012" s="103" t="str">
        <f aca="false">IF($C4012="","",IFERROR(INDEX(المنيو!$C$2:$C$500,MATCH($C4012,المنيو!$B$2:$B$500,0)),0))</f>
        <v/>
      </c>
      <c r="F4012" s="103" t="str">
        <f aca="false">IF($C4012="","",$D4012*$E4012)</f>
        <v/>
      </c>
      <c r="G4012" s="103" t="str">
        <f aca="false">IF($C4012="","",$D4012*IFERROR(INDEX('تحليل التكلفة والسعر'!$C$2:$C$700,MATCH($C4012,'تحليل التكلفة والسعر'!$B$2:$B$700,0)),0))</f>
        <v/>
      </c>
    </row>
    <row r="4013" customFormat="false" ht="15" hidden="false" customHeight="false" outlineLevel="0" collapsed="false">
      <c r="A4013" s="102"/>
      <c r="E4013" s="103" t="str">
        <f aca="false">IF($C4013="","",IFERROR(INDEX(المنيو!$C$2:$C$500,MATCH($C4013,المنيو!$B$2:$B$500,0)),0))</f>
        <v/>
      </c>
      <c r="F4013" s="103" t="str">
        <f aca="false">IF($C4013="","",$D4013*$E4013)</f>
        <v/>
      </c>
      <c r="G4013" s="103" t="str">
        <f aca="false">IF($C4013="","",$D4013*IFERROR(INDEX('تحليل التكلفة والسعر'!$C$2:$C$700,MATCH($C4013,'تحليل التكلفة والسعر'!$B$2:$B$700,0)),0))</f>
        <v/>
      </c>
    </row>
    <row r="4014" customFormat="false" ht="15" hidden="false" customHeight="false" outlineLevel="0" collapsed="false">
      <c r="A4014" s="102"/>
      <c r="E4014" s="103" t="str">
        <f aca="false">IF($C4014="","",IFERROR(INDEX(المنيو!$C$2:$C$500,MATCH($C4014,المنيو!$B$2:$B$500,0)),0))</f>
        <v/>
      </c>
      <c r="F4014" s="103" t="str">
        <f aca="false">IF($C4014="","",$D4014*$E4014)</f>
        <v/>
      </c>
      <c r="G4014" s="103" t="str">
        <f aca="false">IF($C4014="","",$D4014*IFERROR(INDEX('تحليل التكلفة والسعر'!$C$2:$C$700,MATCH($C4014,'تحليل التكلفة والسعر'!$B$2:$B$700,0)),0))</f>
        <v/>
      </c>
    </row>
    <row r="4015" customFormat="false" ht="15" hidden="false" customHeight="false" outlineLevel="0" collapsed="false">
      <c r="A4015" s="102"/>
      <c r="E4015" s="103" t="str">
        <f aca="false">IF($C4015="","",IFERROR(INDEX(المنيو!$C$2:$C$500,MATCH($C4015,المنيو!$B$2:$B$500,0)),0))</f>
        <v/>
      </c>
      <c r="F4015" s="103" t="str">
        <f aca="false">IF($C4015="","",$D4015*$E4015)</f>
        <v/>
      </c>
      <c r="G4015" s="103" t="str">
        <f aca="false">IF($C4015="","",$D4015*IFERROR(INDEX('تحليل التكلفة والسعر'!$C$2:$C$700,MATCH($C4015,'تحليل التكلفة والسعر'!$B$2:$B$700,0)),0))</f>
        <v/>
      </c>
    </row>
    <row r="4016" customFormat="false" ht="15" hidden="false" customHeight="false" outlineLevel="0" collapsed="false">
      <c r="A4016" s="102"/>
      <c r="E4016" s="103" t="str">
        <f aca="false">IF($C4016="","",IFERROR(INDEX(المنيو!$C$2:$C$500,MATCH($C4016,المنيو!$B$2:$B$500,0)),0))</f>
        <v/>
      </c>
      <c r="F4016" s="103" t="str">
        <f aca="false">IF($C4016="","",$D4016*$E4016)</f>
        <v/>
      </c>
      <c r="G4016" s="103" t="str">
        <f aca="false">IF($C4016="","",$D4016*IFERROR(INDEX('تحليل التكلفة والسعر'!$C$2:$C$700,MATCH($C4016,'تحليل التكلفة والسعر'!$B$2:$B$700,0)),0))</f>
        <v/>
      </c>
    </row>
    <row r="4017" customFormat="false" ht="15" hidden="false" customHeight="false" outlineLevel="0" collapsed="false">
      <c r="A4017" s="102"/>
      <c r="E4017" s="103" t="str">
        <f aca="false">IF($C4017="","",IFERROR(INDEX(المنيو!$C$2:$C$500,MATCH($C4017,المنيو!$B$2:$B$500,0)),0))</f>
        <v/>
      </c>
      <c r="F4017" s="103" t="str">
        <f aca="false">IF($C4017="","",$D4017*$E4017)</f>
        <v/>
      </c>
      <c r="G4017" s="103" t="str">
        <f aca="false">IF($C4017="","",$D4017*IFERROR(INDEX('تحليل التكلفة والسعر'!$C$2:$C$700,MATCH($C4017,'تحليل التكلفة والسعر'!$B$2:$B$700,0)),0))</f>
        <v/>
      </c>
    </row>
    <row r="4018" customFormat="false" ht="15" hidden="false" customHeight="false" outlineLevel="0" collapsed="false">
      <c r="A4018" s="102"/>
      <c r="E4018" s="103" t="str">
        <f aca="false">IF($C4018="","",IFERROR(INDEX(المنيو!$C$2:$C$500,MATCH($C4018,المنيو!$B$2:$B$500,0)),0))</f>
        <v/>
      </c>
      <c r="F4018" s="103" t="str">
        <f aca="false">IF($C4018="","",$D4018*$E4018)</f>
        <v/>
      </c>
      <c r="G4018" s="103" t="str">
        <f aca="false">IF($C4018="","",$D4018*IFERROR(INDEX('تحليل التكلفة والسعر'!$C$2:$C$700,MATCH($C4018,'تحليل التكلفة والسعر'!$B$2:$B$700,0)),0))</f>
        <v/>
      </c>
    </row>
    <row r="4019" customFormat="false" ht="15" hidden="false" customHeight="false" outlineLevel="0" collapsed="false">
      <c r="A4019" s="102"/>
      <c r="E4019" s="103" t="str">
        <f aca="false">IF($C4019="","",IFERROR(INDEX(المنيو!$C$2:$C$500,MATCH($C4019,المنيو!$B$2:$B$500,0)),0))</f>
        <v/>
      </c>
      <c r="F4019" s="103" t="str">
        <f aca="false">IF($C4019="","",$D4019*$E4019)</f>
        <v/>
      </c>
      <c r="G4019" s="103" t="str">
        <f aca="false">IF($C4019="","",$D4019*IFERROR(INDEX('تحليل التكلفة والسعر'!$C$2:$C$700,MATCH($C4019,'تحليل التكلفة والسعر'!$B$2:$B$700,0)),0))</f>
        <v/>
      </c>
    </row>
    <row r="4020" customFormat="false" ht="15" hidden="false" customHeight="false" outlineLevel="0" collapsed="false">
      <c r="A4020" s="102"/>
      <c r="E4020" s="103" t="str">
        <f aca="false">IF($C4020="","",IFERROR(INDEX(المنيو!$C$2:$C$500,MATCH($C4020,المنيو!$B$2:$B$500,0)),0))</f>
        <v/>
      </c>
      <c r="F4020" s="103" t="str">
        <f aca="false">IF($C4020="","",$D4020*$E4020)</f>
        <v/>
      </c>
      <c r="G4020" s="103" t="str">
        <f aca="false">IF($C4020="","",$D4020*IFERROR(INDEX('تحليل التكلفة والسعر'!$C$2:$C$700,MATCH($C4020,'تحليل التكلفة والسعر'!$B$2:$B$700,0)),0))</f>
        <v/>
      </c>
    </row>
    <row r="4021" customFormat="false" ht="15" hidden="false" customHeight="false" outlineLevel="0" collapsed="false">
      <c r="A4021" s="102"/>
      <c r="E4021" s="103" t="str">
        <f aca="false">IF($C4021="","",IFERROR(INDEX(المنيو!$C$2:$C$500,MATCH($C4021,المنيو!$B$2:$B$500,0)),0))</f>
        <v/>
      </c>
      <c r="F4021" s="103" t="str">
        <f aca="false">IF($C4021="","",$D4021*$E4021)</f>
        <v/>
      </c>
      <c r="G4021" s="103" t="str">
        <f aca="false">IF($C4021="","",$D4021*IFERROR(INDEX('تحليل التكلفة والسعر'!$C$2:$C$700,MATCH($C4021,'تحليل التكلفة والسعر'!$B$2:$B$700,0)),0))</f>
        <v/>
      </c>
    </row>
    <row r="4022" customFormat="false" ht="15" hidden="false" customHeight="false" outlineLevel="0" collapsed="false">
      <c r="A4022" s="102"/>
      <c r="E4022" s="103" t="str">
        <f aca="false">IF($C4022="","",IFERROR(INDEX(المنيو!$C$2:$C$500,MATCH($C4022,المنيو!$B$2:$B$500,0)),0))</f>
        <v/>
      </c>
      <c r="F4022" s="103" t="str">
        <f aca="false">IF($C4022="","",$D4022*$E4022)</f>
        <v/>
      </c>
      <c r="G4022" s="103" t="str">
        <f aca="false">IF($C4022="","",$D4022*IFERROR(INDEX('تحليل التكلفة والسعر'!$C$2:$C$700,MATCH($C4022,'تحليل التكلفة والسعر'!$B$2:$B$700,0)),0))</f>
        <v/>
      </c>
    </row>
    <row r="4023" customFormat="false" ht="15" hidden="false" customHeight="false" outlineLevel="0" collapsed="false">
      <c r="A4023" s="102"/>
      <c r="E4023" s="103" t="str">
        <f aca="false">IF($C4023="","",IFERROR(INDEX(المنيو!$C$2:$C$500,MATCH($C4023,المنيو!$B$2:$B$500,0)),0))</f>
        <v/>
      </c>
      <c r="F4023" s="103" t="str">
        <f aca="false">IF($C4023="","",$D4023*$E4023)</f>
        <v/>
      </c>
      <c r="G4023" s="103" t="str">
        <f aca="false">IF($C4023="","",$D4023*IFERROR(INDEX('تحليل التكلفة والسعر'!$C$2:$C$700,MATCH($C4023,'تحليل التكلفة والسعر'!$B$2:$B$700,0)),0))</f>
        <v/>
      </c>
    </row>
    <row r="4024" customFormat="false" ht="15" hidden="false" customHeight="false" outlineLevel="0" collapsed="false">
      <c r="A4024" s="102"/>
      <c r="E4024" s="103" t="str">
        <f aca="false">IF($C4024="","",IFERROR(INDEX(المنيو!$C$2:$C$500,MATCH($C4024,المنيو!$B$2:$B$500,0)),0))</f>
        <v/>
      </c>
      <c r="F4024" s="103" t="str">
        <f aca="false">IF($C4024="","",$D4024*$E4024)</f>
        <v/>
      </c>
      <c r="G4024" s="103" t="str">
        <f aca="false">IF($C4024="","",$D4024*IFERROR(INDEX('تحليل التكلفة والسعر'!$C$2:$C$700,MATCH($C4024,'تحليل التكلفة والسعر'!$B$2:$B$700,0)),0))</f>
        <v/>
      </c>
    </row>
    <row r="4025" customFormat="false" ht="15" hidden="false" customHeight="false" outlineLevel="0" collapsed="false">
      <c r="A4025" s="102"/>
      <c r="E4025" s="103" t="str">
        <f aca="false">IF($C4025="","",IFERROR(INDEX(المنيو!$C$2:$C$500,MATCH($C4025,المنيو!$B$2:$B$500,0)),0))</f>
        <v/>
      </c>
      <c r="F4025" s="103" t="str">
        <f aca="false">IF($C4025="","",$D4025*$E4025)</f>
        <v/>
      </c>
      <c r="G4025" s="103" t="str">
        <f aca="false">IF($C4025="","",$D4025*IFERROR(INDEX('تحليل التكلفة والسعر'!$C$2:$C$700,MATCH($C4025,'تحليل التكلفة والسعر'!$B$2:$B$700,0)),0))</f>
        <v/>
      </c>
    </row>
    <row r="4026" customFormat="false" ht="15" hidden="false" customHeight="false" outlineLevel="0" collapsed="false">
      <c r="A4026" s="102"/>
      <c r="E4026" s="103" t="str">
        <f aca="false">IF($C4026="","",IFERROR(INDEX(المنيو!$C$2:$C$500,MATCH($C4026,المنيو!$B$2:$B$500,0)),0))</f>
        <v/>
      </c>
      <c r="F4026" s="103" t="str">
        <f aca="false">IF($C4026="","",$D4026*$E4026)</f>
        <v/>
      </c>
      <c r="G4026" s="103" t="str">
        <f aca="false">IF($C4026="","",$D4026*IFERROR(INDEX('تحليل التكلفة والسعر'!$C$2:$C$700,MATCH($C4026,'تحليل التكلفة والسعر'!$B$2:$B$700,0)),0))</f>
        <v/>
      </c>
    </row>
    <row r="4027" customFormat="false" ht="15" hidden="false" customHeight="false" outlineLevel="0" collapsed="false">
      <c r="A4027" s="102"/>
      <c r="E4027" s="103" t="str">
        <f aca="false">IF($C4027="","",IFERROR(INDEX(المنيو!$C$2:$C$500,MATCH($C4027,المنيو!$B$2:$B$500,0)),0))</f>
        <v/>
      </c>
      <c r="F4027" s="103" t="str">
        <f aca="false">IF($C4027="","",$D4027*$E4027)</f>
        <v/>
      </c>
      <c r="G4027" s="103" t="str">
        <f aca="false">IF($C4027="","",$D4027*IFERROR(INDEX('تحليل التكلفة والسعر'!$C$2:$C$700,MATCH($C4027,'تحليل التكلفة والسعر'!$B$2:$B$700,0)),0))</f>
        <v/>
      </c>
    </row>
    <row r="4028" customFormat="false" ht="15" hidden="false" customHeight="false" outlineLevel="0" collapsed="false">
      <c r="A4028" s="102"/>
      <c r="E4028" s="103" t="str">
        <f aca="false">IF($C4028="","",IFERROR(INDEX(المنيو!$C$2:$C$500,MATCH($C4028,المنيو!$B$2:$B$500,0)),0))</f>
        <v/>
      </c>
      <c r="F4028" s="103" t="str">
        <f aca="false">IF($C4028="","",$D4028*$E4028)</f>
        <v/>
      </c>
      <c r="G4028" s="103" t="str">
        <f aca="false">IF($C4028="","",$D4028*IFERROR(INDEX('تحليل التكلفة والسعر'!$C$2:$C$700,MATCH($C4028,'تحليل التكلفة والسعر'!$B$2:$B$700,0)),0))</f>
        <v/>
      </c>
    </row>
    <row r="4029" customFormat="false" ht="15" hidden="false" customHeight="false" outlineLevel="0" collapsed="false">
      <c r="A4029" s="102"/>
      <c r="E4029" s="103" t="str">
        <f aca="false">IF($C4029="","",IFERROR(INDEX(المنيو!$C$2:$C$500,MATCH($C4029,المنيو!$B$2:$B$500,0)),0))</f>
        <v/>
      </c>
      <c r="F4029" s="103" t="str">
        <f aca="false">IF($C4029="","",$D4029*$E4029)</f>
        <v/>
      </c>
      <c r="G4029" s="103" t="str">
        <f aca="false">IF($C4029="","",$D4029*IFERROR(INDEX('تحليل التكلفة والسعر'!$C$2:$C$700,MATCH($C4029,'تحليل التكلفة والسعر'!$B$2:$B$700,0)),0))</f>
        <v/>
      </c>
    </row>
    <row r="4030" customFormat="false" ht="15" hidden="false" customHeight="false" outlineLevel="0" collapsed="false">
      <c r="A4030" s="102"/>
      <c r="E4030" s="103" t="str">
        <f aca="false">IF($C4030="","",IFERROR(INDEX(المنيو!$C$2:$C$500,MATCH($C4030,المنيو!$B$2:$B$500,0)),0))</f>
        <v/>
      </c>
      <c r="F4030" s="103" t="str">
        <f aca="false">IF($C4030="","",$D4030*$E4030)</f>
        <v/>
      </c>
      <c r="G4030" s="103" t="str">
        <f aca="false">IF($C4030="","",$D4030*IFERROR(INDEX('تحليل التكلفة والسعر'!$C$2:$C$700,MATCH($C4030,'تحليل التكلفة والسعر'!$B$2:$B$700,0)),0))</f>
        <v/>
      </c>
    </row>
    <row r="4031" customFormat="false" ht="15" hidden="false" customHeight="false" outlineLevel="0" collapsed="false">
      <c r="A4031" s="102"/>
      <c r="E4031" s="103" t="str">
        <f aca="false">IF($C4031="","",IFERROR(INDEX(المنيو!$C$2:$C$500,MATCH($C4031,المنيو!$B$2:$B$500,0)),0))</f>
        <v/>
      </c>
      <c r="F4031" s="103" t="str">
        <f aca="false">IF($C4031="","",$D4031*$E4031)</f>
        <v/>
      </c>
      <c r="G4031" s="103" t="str">
        <f aca="false">IF($C4031="","",$D4031*IFERROR(INDEX('تحليل التكلفة والسعر'!$C$2:$C$700,MATCH($C4031,'تحليل التكلفة والسعر'!$B$2:$B$700,0)),0))</f>
        <v/>
      </c>
    </row>
    <row r="4032" customFormat="false" ht="15" hidden="false" customHeight="false" outlineLevel="0" collapsed="false">
      <c r="A4032" s="102"/>
      <c r="E4032" s="103" t="str">
        <f aca="false">IF($C4032="","",IFERROR(INDEX(المنيو!$C$2:$C$500,MATCH($C4032,المنيو!$B$2:$B$500,0)),0))</f>
        <v/>
      </c>
      <c r="F4032" s="103" t="str">
        <f aca="false">IF($C4032="","",$D4032*$E4032)</f>
        <v/>
      </c>
      <c r="G4032" s="103" t="str">
        <f aca="false">IF($C4032="","",$D4032*IFERROR(INDEX('تحليل التكلفة والسعر'!$C$2:$C$700,MATCH($C4032,'تحليل التكلفة والسعر'!$B$2:$B$700,0)),0))</f>
        <v/>
      </c>
    </row>
    <row r="4033" customFormat="false" ht="15" hidden="false" customHeight="false" outlineLevel="0" collapsed="false">
      <c r="A4033" s="102"/>
      <c r="E4033" s="103" t="str">
        <f aca="false">IF($C4033="","",IFERROR(INDEX(المنيو!$C$2:$C$500,MATCH($C4033,المنيو!$B$2:$B$500,0)),0))</f>
        <v/>
      </c>
      <c r="F4033" s="103" t="str">
        <f aca="false">IF($C4033="","",$D4033*$E4033)</f>
        <v/>
      </c>
      <c r="G4033" s="103" t="str">
        <f aca="false">IF($C4033="","",$D4033*IFERROR(INDEX('تحليل التكلفة والسعر'!$C$2:$C$700,MATCH($C4033,'تحليل التكلفة والسعر'!$B$2:$B$700,0)),0))</f>
        <v/>
      </c>
    </row>
    <row r="4034" customFormat="false" ht="15" hidden="false" customHeight="false" outlineLevel="0" collapsed="false">
      <c r="A4034" s="102"/>
      <c r="E4034" s="103" t="str">
        <f aca="false">IF($C4034="","",IFERROR(INDEX(المنيو!$C$2:$C$500,MATCH($C4034,المنيو!$B$2:$B$500,0)),0))</f>
        <v/>
      </c>
      <c r="F4034" s="103" t="str">
        <f aca="false">IF($C4034="","",$D4034*$E4034)</f>
        <v/>
      </c>
      <c r="G4034" s="103" t="str">
        <f aca="false">IF($C4034="","",$D4034*IFERROR(INDEX('تحليل التكلفة والسعر'!$C$2:$C$700,MATCH($C4034,'تحليل التكلفة والسعر'!$B$2:$B$700,0)),0))</f>
        <v/>
      </c>
    </row>
    <row r="4035" customFormat="false" ht="15" hidden="false" customHeight="false" outlineLevel="0" collapsed="false">
      <c r="A4035" s="102"/>
      <c r="E4035" s="103" t="str">
        <f aca="false">IF($C4035="","",IFERROR(INDEX(المنيو!$C$2:$C$500,MATCH($C4035,المنيو!$B$2:$B$500,0)),0))</f>
        <v/>
      </c>
      <c r="F4035" s="103" t="str">
        <f aca="false">IF($C4035="","",$D4035*$E4035)</f>
        <v/>
      </c>
      <c r="G4035" s="103" t="str">
        <f aca="false">IF($C4035="","",$D4035*IFERROR(INDEX('تحليل التكلفة والسعر'!$C$2:$C$700,MATCH($C4035,'تحليل التكلفة والسعر'!$B$2:$B$700,0)),0))</f>
        <v/>
      </c>
    </row>
    <row r="4036" customFormat="false" ht="15" hidden="false" customHeight="false" outlineLevel="0" collapsed="false">
      <c r="A4036" s="102"/>
      <c r="E4036" s="103" t="str">
        <f aca="false">IF($C4036="","",IFERROR(INDEX(المنيو!$C$2:$C$500,MATCH($C4036,المنيو!$B$2:$B$500,0)),0))</f>
        <v/>
      </c>
      <c r="F4036" s="103" t="str">
        <f aca="false">IF($C4036="","",$D4036*$E4036)</f>
        <v/>
      </c>
      <c r="G4036" s="103" t="str">
        <f aca="false">IF($C4036="","",$D4036*IFERROR(INDEX('تحليل التكلفة والسعر'!$C$2:$C$700,MATCH($C4036,'تحليل التكلفة والسعر'!$B$2:$B$700,0)),0))</f>
        <v/>
      </c>
    </row>
    <row r="4037" customFormat="false" ht="15" hidden="false" customHeight="false" outlineLevel="0" collapsed="false">
      <c r="A4037" s="102"/>
      <c r="E4037" s="103" t="str">
        <f aca="false">IF($C4037="","",IFERROR(INDEX(المنيو!$C$2:$C$500,MATCH($C4037,المنيو!$B$2:$B$500,0)),0))</f>
        <v/>
      </c>
      <c r="F4037" s="103" t="str">
        <f aca="false">IF($C4037="","",$D4037*$E4037)</f>
        <v/>
      </c>
      <c r="G4037" s="103" t="str">
        <f aca="false">IF($C4037="","",$D4037*IFERROR(INDEX('تحليل التكلفة والسعر'!$C$2:$C$700,MATCH($C4037,'تحليل التكلفة والسعر'!$B$2:$B$700,0)),0))</f>
        <v/>
      </c>
    </row>
    <row r="4038" customFormat="false" ht="15" hidden="false" customHeight="false" outlineLevel="0" collapsed="false">
      <c r="A4038" s="102"/>
      <c r="E4038" s="103" t="str">
        <f aca="false">IF($C4038="","",IFERROR(INDEX(المنيو!$C$2:$C$500,MATCH($C4038,المنيو!$B$2:$B$500,0)),0))</f>
        <v/>
      </c>
      <c r="F4038" s="103" t="str">
        <f aca="false">IF($C4038="","",$D4038*$E4038)</f>
        <v/>
      </c>
      <c r="G4038" s="103" t="str">
        <f aca="false">IF($C4038="","",$D4038*IFERROR(INDEX('تحليل التكلفة والسعر'!$C$2:$C$700,MATCH($C4038,'تحليل التكلفة والسعر'!$B$2:$B$700,0)),0))</f>
        <v/>
      </c>
    </row>
    <row r="4039" customFormat="false" ht="15" hidden="false" customHeight="false" outlineLevel="0" collapsed="false">
      <c r="A4039" s="102"/>
      <c r="E4039" s="103" t="str">
        <f aca="false">IF($C4039="","",IFERROR(INDEX(المنيو!$C$2:$C$500,MATCH($C4039,المنيو!$B$2:$B$500,0)),0))</f>
        <v/>
      </c>
      <c r="F4039" s="103" t="str">
        <f aca="false">IF($C4039="","",$D4039*$E4039)</f>
        <v/>
      </c>
      <c r="G4039" s="103" t="str">
        <f aca="false">IF($C4039="","",$D4039*IFERROR(INDEX('تحليل التكلفة والسعر'!$C$2:$C$700,MATCH($C4039,'تحليل التكلفة والسعر'!$B$2:$B$700,0)),0))</f>
        <v/>
      </c>
    </row>
    <row r="4040" customFormat="false" ht="15" hidden="false" customHeight="false" outlineLevel="0" collapsed="false">
      <c r="A4040" s="102"/>
      <c r="E4040" s="103" t="str">
        <f aca="false">IF($C4040="","",IFERROR(INDEX(المنيو!$C$2:$C$500,MATCH($C4040,المنيو!$B$2:$B$500,0)),0))</f>
        <v/>
      </c>
      <c r="F4040" s="103" t="str">
        <f aca="false">IF($C4040="","",$D4040*$E4040)</f>
        <v/>
      </c>
      <c r="G4040" s="103" t="str">
        <f aca="false">IF($C4040="","",$D4040*IFERROR(INDEX('تحليل التكلفة والسعر'!$C$2:$C$700,MATCH($C4040,'تحليل التكلفة والسعر'!$B$2:$B$700,0)),0))</f>
        <v/>
      </c>
    </row>
    <row r="4041" customFormat="false" ht="15" hidden="false" customHeight="false" outlineLevel="0" collapsed="false">
      <c r="A4041" s="102"/>
      <c r="E4041" s="103" t="str">
        <f aca="false">IF($C4041="","",IFERROR(INDEX(المنيو!$C$2:$C$500,MATCH($C4041,المنيو!$B$2:$B$500,0)),0))</f>
        <v/>
      </c>
      <c r="F4041" s="103" t="str">
        <f aca="false">IF($C4041="","",$D4041*$E4041)</f>
        <v/>
      </c>
      <c r="G4041" s="103" t="str">
        <f aca="false">IF($C4041="","",$D4041*IFERROR(INDEX('تحليل التكلفة والسعر'!$C$2:$C$700,MATCH($C4041,'تحليل التكلفة والسعر'!$B$2:$B$700,0)),0))</f>
        <v/>
      </c>
    </row>
    <row r="4042" customFormat="false" ht="15" hidden="false" customHeight="false" outlineLevel="0" collapsed="false">
      <c r="A4042" s="102"/>
      <c r="E4042" s="103" t="str">
        <f aca="false">IF($C4042="","",IFERROR(INDEX(المنيو!$C$2:$C$500,MATCH($C4042,المنيو!$B$2:$B$500,0)),0))</f>
        <v/>
      </c>
      <c r="F4042" s="103" t="str">
        <f aca="false">IF($C4042="","",$D4042*$E4042)</f>
        <v/>
      </c>
      <c r="G4042" s="103" t="str">
        <f aca="false">IF($C4042="","",$D4042*IFERROR(INDEX('تحليل التكلفة والسعر'!$C$2:$C$700,MATCH($C4042,'تحليل التكلفة والسعر'!$B$2:$B$700,0)),0))</f>
        <v/>
      </c>
    </row>
    <row r="4043" customFormat="false" ht="15" hidden="false" customHeight="false" outlineLevel="0" collapsed="false">
      <c r="A4043" s="102"/>
      <c r="E4043" s="103" t="str">
        <f aca="false">IF($C4043="","",IFERROR(INDEX(المنيو!$C$2:$C$500,MATCH($C4043,المنيو!$B$2:$B$500,0)),0))</f>
        <v/>
      </c>
      <c r="F4043" s="103" t="str">
        <f aca="false">IF($C4043="","",$D4043*$E4043)</f>
        <v/>
      </c>
      <c r="G4043" s="103" t="str">
        <f aca="false">IF($C4043="","",$D4043*IFERROR(INDEX('تحليل التكلفة والسعر'!$C$2:$C$700,MATCH($C4043,'تحليل التكلفة والسعر'!$B$2:$B$700,0)),0))</f>
        <v/>
      </c>
    </row>
    <row r="4044" customFormat="false" ht="15" hidden="false" customHeight="false" outlineLevel="0" collapsed="false">
      <c r="A4044" s="102"/>
      <c r="E4044" s="103" t="str">
        <f aca="false">IF($C4044="","",IFERROR(INDEX(المنيو!$C$2:$C$500,MATCH($C4044,المنيو!$B$2:$B$500,0)),0))</f>
        <v/>
      </c>
      <c r="F4044" s="103" t="str">
        <f aca="false">IF($C4044="","",$D4044*$E4044)</f>
        <v/>
      </c>
      <c r="G4044" s="103" t="str">
        <f aca="false">IF($C4044="","",$D4044*IFERROR(INDEX('تحليل التكلفة والسعر'!$C$2:$C$700,MATCH($C4044,'تحليل التكلفة والسعر'!$B$2:$B$700,0)),0))</f>
        <v/>
      </c>
    </row>
    <row r="4045" customFormat="false" ht="15" hidden="false" customHeight="false" outlineLevel="0" collapsed="false">
      <c r="A4045" s="102"/>
      <c r="E4045" s="103" t="str">
        <f aca="false">IF($C4045="","",IFERROR(INDEX(المنيو!$C$2:$C$500,MATCH($C4045,المنيو!$B$2:$B$500,0)),0))</f>
        <v/>
      </c>
      <c r="F4045" s="103" t="str">
        <f aca="false">IF($C4045="","",$D4045*$E4045)</f>
        <v/>
      </c>
      <c r="G4045" s="103" t="str">
        <f aca="false">IF($C4045="","",$D4045*IFERROR(INDEX('تحليل التكلفة والسعر'!$C$2:$C$700,MATCH($C4045,'تحليل التكلفة والسعر'!$B$2:$B$700,0)),0))</f>
        <v/>
      </c>
    </row>
    <row r="4046" customFormat="false" ht="15" hidden="false" customHeight="false" outlineLevel="0" collapsed="false">
      <c r="A4046" s="102"/>
      <c r="E4046" s="103" t="str">
        <f aca="false">IF($C4046="","",IFERROR(INDEX(المنيو!$C$2:$C$500,MATCH($C4046,المنيو!$B$2:$B$500,0)),0))</f>
        <v/>
      </c>
      <c r="F4046" s="103" t="str">
        <f aca="false">IF($C4046="","",$D4046*$E4046)</f>
        <v/>
      </c>
      <c r="G4046" s="103" t="str">
        <f aca="false">IF($C4046="","",$D4046*IFERROR(INDEX('تحليل التكلفة والسعر'!$C$2:$C$700,MATCH($C4046,'تحليل التكلفة والسعر'!$B$2:$B$700,0)),0))</f>
        <v/>
      </c>
    </row>
    <row r="4047" customFormat="false" ht="15" hidden="false" customHeight="false" outlineLevel="0" collapsed="false">
      <c r="A4047" s="102"/>
      <c r="E4047" s="103" t="str">
        <f aca="false">IF($C4047="","",IFERROR(INDEX(المنيو!$C$2:$C$500,MATCH($C4047,المنيو!$B$2:$B$500,0)),0))</f>
        <v/>
      </c>
      <c r="F4047" s="103" t="str">
        <f aca="false">IF($C4047="","",$D4047*$E4047)</f>
        <v/>
      </c>
      <c r="G4047" s="103" t="str">
        <f aca="false">IF($C4047="","",$D4047*IFERROR(INDEX('تحليل التكلفة والسعر'!$C$2:$C$700,MATCH($C4047,'تحليل التكلفة والسعر'!$B$2:$B$700,0)),0))</f>
        <v/>
      </c>
    </row>
    <row r="4048" customFormat="false" ht="15" hidden="false" customHeight="false" outlineLevel="0" collapsed="false">
      <c r="A4048" s="102"/>
      <c r="E4048" s="103" t="str">
        <f aca="false">IF($C4048="","",IFERROR(INDEX(المنيو!$C$2:$C$500,MATCH($C4048,المنيو!$B$2:$B$500,0)),0))</f>
        <v/>
      </c>
      <c r="F4048" s="103" t="str">
        <f aca="false">IF($C4048="","",$D4048*$E4048)</f>
        <v/>
      </c>
      <c r="G4048" s="103" t="str">
        <f aca="false">IF($C4048="","",$D4048*IFERROR(INDEX('تحليل التكلفة والسعر'!$C$2:$C$700,MATCH($C4048,'تحليل التكلفة والسعر'!$B$2:$B$700,0)),0))</f>
        <v/>
      </c>
    </row>
    <row r="4049" customFormat="false" ht="15" hidden="false" customHeight="false" outlineLevel="0" collapsed="false">
      <c r="A4049" s="102"/>
      <c r="E4049" s="103" t="str">
        <f aca="false">IF($C4049="","",IFERROR(INDEX(المنيو!$C$2:$C$500,MATCH($C4049,المنيو!$B$2:$B$500,0)),0))</f>
        <v/>
      </c>
      <c r="F4049" s="103" t="str">
        <f aca="false">IF($C4049="","",$D4049*$E4049)</f>
        <v/>
      </c>
      <c r="G4049" s="103" t="str">
        <f aca="false">IF($C4049="","",$D4049*IFERROR(INDEX('تحليل التكلفة والسعر'!$C$2:$C$700,MATCH($C4049,'تحليل التكلفة والسعر'!$B$2:$B$700,0)),0))</f>
        <v/>
      </c>
    </row>
    <row r="4050" customFormat="false" ht="15" hidden="false" customHeight="false" outlineLevel="0" collapsed="false">
      <c r="A4050" s="102"/>
      <c r="E4050" s="103" t="str">
        <f aca="false">IF($C4050="","",IFERROR(INDEX(المنيو!$C$2:$C$500,MATCH($C4050,المنيو!$B$2:$B$500,0)),0))</f>
        <v/>
      </c>
      <c r="F4050" s="103" t="str">
        <f aca="false">IF($C4050="","",$D4050*$E4050)</f>
        <v/>
      </c>
      <c r="G4050" s="103" t="str">
        <f aca="false">IF($C4050="","",$D4050*IFERROR(INDEX('تحليل التكلفة والسعر'!$C$2:$C$700,MATCH($C4050,'تحليل التكلفة والسعر'!$B$2:$B$700,0)),0))</f>
        <v/>
      </c>
    </row>
    <row r="4051" customFormat="false" ht="15" hidden="false" customHeight="false" outlineLevel="0" collapsed="false">
      <c r="A4051" s="102"/>
      <c r="E4051" s="103" t="str">
        <f aca="false">IF($C4051="","",IFERROR(INDEX(المنيو!$C$2:$C$500,MATCH($C4051,المنيو!$B$2:$B$500,0)),0))</f>
        <v/>
      </c>
      <c r="F4051" s="103" t="str">
        <f aca="false">IF($C4051="","",$D4051*$E4051)</f>
        <v/>
      </c>
      <c r="G4051" s="103" t="str">
        <f aca="false">IF($C4051="","",$D4051*IFERROR(INDEX('تحليل التكلفة والسعر'!$C$2:$C$700,MATCH($C4051,'تحليل التكلفة والسعر'!$B$2:$B$700,0)),0))</f>
        <v/>
      </c>
    </row>
    <row r="4052" customFormat="false" ht="15" hidden="false" customHeight="false" outlineLevel="0" collapsed="false">
      <c r="A4052" s="102"/>
      <c r="E4052" s="103" t="str">
        <f aca="false">IF($C4052="","",IFERROR(INDEX(المنيو!$C$2:$C$500,MATCH($C4052,المنيو!$B$2:$B$500,0)),0))</f>
        <v/>
      </c>
      <c r="F4052" s="103" t="str">
        <f aca="false">IF($C4052="","",$D4052*$E4052)</f>
        <v/>
      </c>
      <c r="G4052" s="103" t="str">
        <f aca="false">IF($C4052="","",$D4052*IFERROR(INDEX('تحليل التكلفة والسعر'!$C$2:$C$700,MATCH($C4052,'تحليل التكلفة والسعر'!$B$2:$B$700,0)),0))</f>
        <v/>
      </c>
    </row>
    <row r="4053" customFormat="false" ht="15" hidden="false" customHeight="false" outlineLevel="0" collapsed="false">
      <c r="A4053" s="102"/>
      <c r="E4053" s="103" t="str">
        <f aca="false">IF($C4053="","",IFERROR(INDEX(المنيو!$C$2:$C$500,MATCH($C4053,المنيو!$B$2:$B$500,0)),0))</f>
        <v/>
      </c>
      <c r="F4053" s="103" t="str">
        <f aca="false">IF($C4053="","",$D4053*$E4053)</f>
        <v/>
      </c>
      <c r="G4053" s="103" t="str">
        <f aca="false">IF($C4053="","",$D4053*IFERROR(INDEX('تحليل التكلفة والسعر'!$C$2:$C$700,MATCH($C4053,'تحليل التكلفة والسعر'!$B$2:$B$700,0)),0))</f>
        <v/>
      </c>
    </row>
    <row r="4054" customFormat="false" ht="15" hidden="false" customHeight="false" outlineLevel="0" collapsed="false">
      <c r="A4054" s="102"/>
      <c r="E4054" s="103" t="str">
        <f aca="false">IF($C4054="","",IFERROR(INDEX(المنيو!$C$2:$C$500,MATCH($C4054,المنيو!$B$2:$B$500,0)),0))</f>
        <v/>
      </c>
      <c r="F4054" s="103" t="str">
        <f aca="false">IF($C4054="","",$D4054*$E4054)</f>
        <v/>
      </c>
      <c r="G4054" s="103" t="str">
        <f aca="false">IF($C4054="","",$D4054*IFERROR(INDEX('تحليل التكلفة والسعر'!$C$2:$C$700,MATCH($C4054,'تحليل التكلفة والسعر'!$B$2:$B$700,0)),0))</f>
        <v/>
      </c>
    </row>
    <row r="4055" customFormat="false" ht="15" hidden="false" customHeight="false" outlineLevel="0" collapsed="false">
      <c r="A4055" s="102"/>
      <c r="E4055" s="103" t="str">
        <f aca="false">IF($C4055="","",IFERROR(INDEX(المنيو!$C$2:$C$500,MATCH($C4055,المنيو!$B$2:$B$500,0)),0))</f>
        <v/>
      </c>
      <c r="F4055" s="103" t="str">
        <f aca="false">IF($C4055="","",$D4055*$E4055)</f>
        <v/>
      </c>
      <c r="G4055" s="103" t="str">
        <f aca="false">IF($C4055="","",$D4055*IFERROR(INDEX('تحليل التكلفة والسعر'!$C$2:$C$700,MATCH($C4055,'تحليل التكلفة والسعر'!$B$2:$B$700,0)),0))</f>
        <v/>
      </c>
    </row>
    <row r="4056" customFormat="false" ht="15" hidden="false" customHeight="false" outlineLevel="0" collapsed="false">
      <c r="A4056" s="102"/>
      <c r="E4056" s="103" t="str">
        <f aca="false">IF($C4056="","",IFERROR(INDEX(المنيو!$C$2:$C$500,MATCH($C4056,المنيو!$B$2:$B$500,0)),0))</f>
        <v/>
      </c>
      <c r="F4056" s="103" t="str">
        <f aca="false">IF($C4056="","",$D4056*$E4056)</f>
        <v/>
      </c>
      <c r="G4056" s="103" t="str">
        <f aca="false">IF($C4056="","",$D4056*IFERROR(INDEX('تحليل التكلفة والسعر'!$C$2:$C$700,MATCH($C4056,'تحليل التكلفة والسعر'!$B$2:$B$700,0)),0))</f>
        <v/>
      </c>
    </row>
    <row r="4057" customFormat="false" ht="15" hidden="false" customHeight="false" outlineLevel="0" collapsed="false">
      <c r="A4057" s="102"/>
      <c r="E4057" s="103" t="str">
        <f aca="false">IF($C4057="","",IFERROR(INDEX(المنيو!$C$2:$C$500,MATCH($C4057,المنيو!$B$2:$B$500,0)),0))</f>
        <v/>
      </c>
      <c r="F4057" s="103" t="str">
        <f aca="false">IF($C4057="","",$D4057*$E4057)</f>
        <v/>
      </c>
      <c r="G4057" s="103" t="str">
        <f aca="false">IF($C4057="","",$D4057*IFERROR(INDEX('تحليل التكلفة والسعر'!$C$2:$C$700,MATCH($C4057,'تحليل التكلفة والسعر'!$B$2:$B$700,0)),0))</f>
        <v/>
      </c>
    </row>
    <row r="4058" customFormat="false" ht="15" hidden="false" customHeight="false" outlineLevel="0" collapsed="false">
      <c r="A4058" s="102"/>
      <c r="E4058" s="103" t="str">
        <f aca="false">IF($C4058="","",IFERROR(INDEX(المنيو!$C$2:$C$500,MATCH($C4058,المنيو!$B$2:$B$500,0)),0))</f>
        <v/>
      </c>
      <c r="F4058" s="103" t="str">
        <f aca="false">IF($C4058="","",$D4058*$E4058)</f>
        <v/>
      </c>
      <c r="G4058" s="103" t="str">
        <f aca="false">IF($C4058="","",$D4058*IFERROR(INDEX('تحليل التكلفة والسعر'!$C$2:$C$700,MATCH($C4058,'تحليل التكلفة والسعر'!$B$2:$B$700,0)),0))</f>
        <v/>
      </c>
    </row>
    <row r="4059" customFormat="false" ht="15" hidden="false" customHeight="false" outlineLevel="0" collapsed="false">
      <c r="A4059" s="102"/>
      <c r="E4059" s="103" t="str">
        <f aca="false">IF($C4059="","",IFERROR(INDEX(المنيو!$C$2:$C$500,MATCH($C4059,المنيو!$B$2:$B$500,0)),0))</f>
        <v/>
      </c>
      <c r="F4059" s="103" t="str">
        <f aca="false">IF($C4059="","",$D4059*$E4059)</f>
        <v/>
      </c>
      <c r="G4059" s="103" t="str">
        <f aca="false">IF($C4059="","",$D4059*IFERROR(INDEX('تحليل التكلفة والسعر'!$C$2:$C$700,MATCH($C4059,'تحليل التكلفة والسعر'!$B$2:$B$700,0)),0))</f>
        <v/>
      </c>
    </row>
    <row r="4060" customFormat="false" ht="15" hidden="false" customHeight="false" outlineLevel="0" collapsed="false">
      <c r="A4060" s="102"/>
      <c r="E4060" s="103" t="str">
        <f aca="false">IF($C4060="","",IFERROR(INDEX(المنيو!$C$2:$C$500,MATCH($C4060,المنيو!$B$2:$B$500,0)),0))</f>
        <v/>
      </c>
      <c r="F4060" s="103" t="str">
        <f aca="false">IF($C4060="","",$D4060*$E4060)</f>
        <v/>
      </c>
      <c r="G4060" s="103" t="str">
        <f aca="false">IF($C4060="","",$D4060*IFERROR(INDEX('تحليل التكلفة والسعر'!$C$2:$C$700,MATCH($C4060,'تحليل التكلفة والسعر'!$B$2:$B$700,0)),0))</f>
        <v/>
      </c>
    </row>
    <row r="4061" customFormat="false" ht="15" hidden="false" customHeight="false" outlineLevel="0" collapsed="false">
      <c r="A4061" s="102"/>
      <c r="E4061" s="103" t="str">
        <f aca="false">IF($C4061="","",IFERROR(INDEX(المنيو!$C$2:$C$500,MATCH($C4061,المنيو!$B$2:$B$500,0)),0))</f>
        <v/>
      </c>
      <c r="F4061" s="103" t="str">
        <f aca="false">IF($C4061="","",$D4061*$E4061)</f>
        <v/>
      </c>
      <c r="G4061" s="103" t="str">
        <f aca="false">IF($C4061="","",$D4061*IFERROR(INDEX('تحليل التكلفة والسعر'!$C$2:$C$700,MATCH($C4061,'تحليل التكلفة والسعر'!$B$2:$B$700,0)),0))</f>
        <v/>
      </c>
    </row>
    <row r="4062" customFormat="false" ht="15" hidden="false" customHeight="false" outlineLevel="0" collapsed="false">
      <c r="A4062" s="102"/>
      <c r="E4062" s="103" t="str">
        <f aca="false">IF($C4062="","",IFERROR(INDEX(المنيو!$C$2:$C$500,MATCH($C4062,المنيو!$B$2:$B$500,0)),0))</f>
        <v/>
      </c>
      <c r="F4062" s="103" t="str">
        <f aca="false">IF($C4062="","",$D4062*$E4062)</f>
        <v/>
      </c>
      <c r="G4062" s="103" t="str">
        <f aca="false">IF($C4062="","",$D4062*IFERROR(INDEX('تحليل التكلفة والسعر'!$C$2:$C$700,MATCH($C4062,'تحليل التكلفة والسعر'!$B$2:$B$700,0)),0))</f>
        <v/>
      </c>
    </row>
    <row r="4063" customFormat="false" ht="15" hidden="false" customHeight="false" outlineLevel="0" collapsed="false">
      <c r="A4063" s="102"/>
      <c r="E4063" s="103" t="str">
        <f aca="false">IF($C4063="","",IFERROR(INDEX(المنيو!$C$2:$C$500,MATCH($C4063,المنيو!$B$2:$B$500,0)),0))</f>
        <v/>
      </c>
      <c r="F4063" s="103" t="str">
        <f aca="false">IF($C4063="","",$D4063*$E4063)</f>
        <v/>
      </c>
      <c r="G4063" s="103" t="str">
        <f aca="false">IF($C4063="","",$D4063*IFERROR(INDEX('تحليل التكلفة والسعر'!$C$2:$C$700,MATCH($C4063,'تحليل التكلفة والسعر'!$B$2:$B$700,0)),0))</f>
        <v/>
      </c>
    </row>
    <row r="4064" customFormat="false" ht="15" hidden="false" customHeight="false" outlineLevel="0" collapsed="false">
      <c r="A4064" s="102"/>
      <c r="E4064" s="103" t="str">
        <f aca="false">IF($C4064="","",IFERROR(INDEX(المنيو!$C$2:$C$500,MATCH($C4064,المنيو!$B$2:$B$500,0)),0))</f>
        <v/>
      </c>
      <c r="F4064" s="103" t="str">
        <f aca="false">IF($C4064="","",$D4064*$E4064)</f>
        <v/>
      </c>
      <c r="G4064" s="103" t="str">
        <f aca="false">IF($C4064="","",$D4064*IFERROR(INDEX('تحليل التكلفة والسعر'!$C$2:$C$700,MATCH($C4064,'تحليل التكلفة والسعر'!$B$2:$B$700,0)),0))</f>
        <v/>
      </c>
    </row>
    <row r="4065" customFormat="false" ht="15" hidden="false" customHeight="false" outlineLevel="0" collapsed="false">
      <c r="A4065" s="102"/>
      <c r="E4065" s="103" t="str">
        <f aca="false">IF($C4065="","",IFERROR(INDEX(المنيو!$C$2:$C$500,MATCH($C4065,المنيو!$B$2:$B$500,0)),0))</f>
        <v/>
      </c>
      <c r="F4065" s="103" t="str">
        <f aca="false">IF($C4065="","",$D4065*$E4065)</f>
        <v/>
      </c>
      <c r="G4065" s="103" t="str">
        <f aca="false">IF($C4065="","",$D4065*IFERROR(INDEX('تحليل التكلفة والسعر'!$C$2:$C$700,MATCH($C4065,'تحليل التكلفة والسعر'!$B$2:$B$700,0)),0))</f>
        <v/>
      </c>
    </row>
    <row r="4066" customFormat="false" ht="15" hidden="false" customHeight="false" outlineLevel="0" collapsed="false">
      <c r="A4066" s="102"/>
      <c r="E4066" s="103" t="str">
        <f aca="false">IF($C4066="","",IFERROR(INDEX(المنيو!$C$2:$C$500,MATCH($C4066,المنيو!$B$2:$B$500,0)),0))</f>
        <v/>
      </c>
      <c r="F4066" s="103" t="str">
        <f aca="false">IF($C4066="","",$D4066*$E4066)</f>
        <v/>
      </c>
      <c r="G4066" s="103" t="str">
        <f aca="false">IF($C4066="","",$D4066*IFERROR(INDEX('تحليل التكلفة والسعر'!$C$2:$C$700,MATCH($C4066,'تحليل التكلفة والسعر'!$B$2:$B$700,0)),0))</f>
        <v/>
      </c>
    </row>
    <row r="4067" customFormat="false" ht="15" hidden="false" customHeight="false" outlineLevel="0" collapsed="false">
      <c r="A4067" s="102"/>
      <c r="E4067" s="103" t="str">
        <f aca="false">IF($C4067="","",IFERROR(INDEX(المنيو!$C$2:$C$500,MATCH($C4067,المنيو!$B$2:$B$500,0)),0))</f>
        <v/>
      </c>
      <c r="F4067" s="103" t="str">
        <f aca="false">IF($C4067="","",$D4067*$E4067)</f>
        <v/>
      </c>
      <c r="G4067" s="103" t="str">
        <f aca="false">IF($C4067="","",$D4067*IFERROR(INDEX('تحليل التكلفة والسعر'!$C$2:$C$700,MATCH($C4067,'تحليل التكلفة والسعر'!$B$2:$B$700,0)),0))</f>
        <v/>
      </c>
    </row>
    <row r="4068" customFormat="false" ht="15" hidden="false" customHeight="false" outlineLevel="0" collapsed="false">
      <c r="A4068" s="102"/>
      <c r="E4068" s="103" t="str">
        <f aca="false">IF($C4068="","",IFERROR(INDEX(المنيو!$C$2:$C$500,MATCH($C4068,المنيو!$B$2:$B$500,0)),0))</f>
        <v/>
      </c>
      <c r="F4068" s="103" t="str">
        <f aca="false">IF($C4068="","",$D4068*$E4068)</f>
        <v/>
      </c>
      <c r="G4068" s="103" t="str">
        <f aca="false">IF($C4068="","",$D4068*IFERROR(INDEX('تحليل التكلفة والسعر'!$C$2:$C$700,MATCH($C4068,'تحليل التكلفة والسعر'!$B$2:$B$700,0)),0))</f>
        <v/>
      </c>
    </row>
    <row r="4069" customFormat="false" ht="15" hidden="false" customHeight="false" outlineLevel="0" collapsed="false">
      <c r="A4069" s="102"/>
      <c r="E4069" s="103" t="str">
        <f aca="false">IF($C4069="","",IFERROR(INDEX(المنيو!$C$2:$C$500,MATCH($C4069,المنيو!$B$2:$B$500,0)),0))</f>
        <v/>
      </c>
      <c r="F4069" s="103" t="str">
        <f aca="false">IF($C4069="","",$D4069*$E4069)</f>
        <v/>
      </c>
      <c r="G4069" s="103" t="str">
        <f aca="false">IF($C4069="","",$D4069*IFERROR(INDEX('تحليل التكلفة والسعر'!$C$2:$C$700,MATCH($C4069,'تحليل التكلفة والسعر'!$B$2:$B$700,0)),0))</f>
        <v/>
      </c>
    </row>
    <row r="4070" customFormat="false" ht="15" hidden="false" customHeight="false" outlineLevel="0" collapsed="false">
      <c r="A4070" s="102"/>
      <c r="E4070" s="103" t="str">
        <f aca="false">IF($C4070="","",IFERROR(INDEX(المنيو!$C$2:$C$500,MATCH($C4070,المنيو!$B$2:$B$500,0)),0))</f>
        <v/>
      </c>
      <c r="F4070" s="103" t="str">
        <f aca="false">IF($C4070="","",$D4070*$E4070)</f>
        <v/>
      </c>
      <c r="G4070" s="103" t="str">
        <f aca="false">IF($C4070="","",$D4070*IFERROR(INDEX('تحليل التكلفة والسعر'!$C$2:$C$700,MATCH($C4070,'تحليل التكلفة والسعر'!$B$2:$B$700,0)),0))</f>
        <v/>
      </c>
    </row>
    <row r="4071" customFormat="false" ht="15" hidden="false" customHeight="false" outlineLevel="0" collapsed="false">
      <c r="A4071" s="102"/>
      <c r="E4071" s="103" t="str">
        <f aca="false">IF($C4071="","",IFERROR(INDEX(المنيو!$C$2:$C$500,MATCH($C4071,المنيو!$B$2:$B$500,0)),0))</f>
        <v/>
      </c>
      <c r="F4071" s="103" t="str">
        <f aca="false">IF($C4071="","",$D4071*$E4071)</f>
        <v/>
      </c>
      <c r="G4071" s="103" t="str">
        <f aca="false">IF($C4071="","",$D4071*IFERROR(INDEX('تحليل التكلفة والسعر'!$C$2:$C$700,MATCH($C4071,'تحليل التكلفة والسعر'!$B$2:$B$700,0)),0))</f>
        <v/>
      </c>
    </row>
    <row r="4072" customFormat="false" ht="15" hidden="false" customHeight="false" outlineLevel="0" collapsed="false">
      <c r="A4072" s="102"/>
      <c r="E4072" s="103" t="str">
        <f aca="false">IF($C4072="","",IFERROR(INDEX(المنيو!$C$2:$C$500,MATCH($C4072,المنيو!$B$2:$B$500,0)),0))</f>
        <v/>
      </c>
      <c r="F4072" s="103" t="str">
        <f aca="false">IF($C4072="","",$D4072*$E4072)</f>
        <v/>
      </c>
      <c r="G4072" s="103" t="str">
        <f aca="false">IF($C4072="","",$D4072*IFERROR(INDEX('تحليل التكلفة والسعر'!$C$2:$C$700,MATCH($C4072,'تحليل التكلفة والسعر'!$B$2:$B$700,0)),0))</f>
        <v/>
      </c>
    </row>
    <row r="4073" customFormat="false" ht="15" hidden="false" customHeight="false" outlineLevel="0" collapsed="false">
      <c r="A4073" s="102"/>
      <c r="E4073" s="103" t="str">
        <f aca="false">IF($C4073="","",IFERROR(INDEX(المنيو!$C$2:$C$500,MATCH($C4073,المنيو!$B$2:$B$500,0)),0))</f>
        <v/>
      </c>
      <c r="F4073" s="103" t="str">
        <f aca="false">IF($C4073="","",$D4073*$E4073)</f>
        <v/>
      </c>
      <c r="G4073" s="103" t="str">
        <f aca="false">IF($C4073="","",$D4073*IFERROR(INDEX('تحليل التكلفة والسعر'!$C$2:$C$700,MATCH($C4073,'تحليل التكلفة والسعر'!$B$2:$B$700,0)),0))</f>
        <v/>
      </c>
    </row>
    <row r="4074" customFormat="false" ht="15" hidden="false" customHeight="false" outlineLevel="0" collapsed="false">
      <c r="A4074" s="102"/>
      <c r="E4074" s="103" t="str">
        <f aca="false">IF($C4074="","",IFERROR(INDEX(المنيو!$C$2:$C$500,MATCH($C4074,المنيو!$B$2:$B$500,0)),0))</f>
        <v/>
      </c>
      <c r="F4074" s="103" t="str">
        <f aca="false">IF($C4074="","",$D4074*$E4074)</f>
        <v/>
      </c>
      <c r="G4074" s="103" t="str">
        <f aca="false">IF($C4074="","",$D4074*IFERROR(INDEX('تحليل التكلفة والسعر'!$C$2:$C$700,MATCH($C4074,'تحليل التكلفة والسعر'!$B$2:$B$700,0)),0))</f>
        <v/>
      </c>
    </row>
    <row r="4075" customFormat="false" ht="15" hidden="false" customHeight="false" outlineLevel="0" collapsed="false">
      <c r="A4075" s="102"/>
      <c r="E4075" s="103" t="str">
        <f aca="false">IF($C4075="","",IFERROR(INDEX(المنيو!$C$2:$C$500,MATCH($C4075,المنيو!$B$2:$B$500,0)),0))</f>
        <v/>
      </c>
      <c r="F4075" s="103" t="str">
        <f aca="false">IF($C4075="","",$D4075*$E4075)</f>
        <v/>
      </c>
      <c r="G4075" s="103" t="str">
        <f aca="false">IF($C4075="","",$D4075*IFERROR(INDEX('تحليل التكلفة والسعر'!$C$2:$C$700,MATCH($C4075,'تحليل التكلفة والسعر'!$B$2:$B$700,0)),0))</f>
        <v/>
      </c>
    </row>
    <row r="4076" customFormat="false" ht="15" hidden="false" customHeight="false" outlineLevel="0" collapsed="false">
      <c r="A4076" s="102"/>
      <c r="E4076" s="103" t="str">
        <f aca="false">IF($C4076="","",IFERROR(INDEX(المنيو!$C$2:$C$500,MATCH($C4076,المنيو!$B$2:$B$500,0)),0))</f>
        <v/>
      </c>
      <c r="F4076" s="103" t="str">
        <f aca="false">IF($C4076="","",$D4076*$E4076)</f>
        <v/>
      </c>
      <c r="G4076" s="103" t="str">
        <f aca="false">IF($C4076="","",$D4076*IFERROR(INDEX('تحليل التكلفة والسعر'!$C$2:$C$700,MATCH($C4076,'تحليل التكلفة والسعر'!$B$2:$B$700,0)),0))</f>
        <v/>
      </c>
    </row>
    <row r="4077" customFormat="false" ht="15" hidden="false" customHeight="false" outlineLevel="0" collapsed="false">
      <c r="A4077" s="102"/>
      <c r="E4077" s="103" t="str">
        <f aca="false">IF($C4077="","",IFERROR(INDEX(المنيو!$C$2:$C$500,MATCH($C4077,المنيو!$B$2:$B$500,0)),0))</f>
        <v/>
      </c>
      <c r="F4077" s="103" t="str">
        <f aca="false">IF($C4077="","",$D4077*$E4077)</f>
        <v/>
      </c>
      <c r="G4077" s="103" t="str">
        <f aca="false">IF($C4077="","",$D4077*IFERROR(INDEX('تحليل التكلفة والسعر'!$C$2:$C$700,MATCH($C4077,'تحليل التكلفة والسعر'!$B$2:$B$700,0)),0))</f>
        <v/>
      </c>
    </row>
    <row r="4078" customFormat="false" ht="15" hidden="false" customHeight="false" outlineLevel="0" collapsed="false">
      <c r="A4078" s="102"/>
      <c r="E4078" s="103" t="str">
        <f aca="false">IF($C4078="","",IFERROR(INDEX(المنيو!$C$2:$C$500,MATCH($C4078,المنيو!$B$2:$B$500,0)),0))</f>
        <v/>
      </c>
      <c r="F4078" s="103" t="str">
        <f aca="false">IF($C4078="","",$D4078*$E4078)</f>
        <v/>
      </c>
      <c r="G4078" s="103" t="str">
        <f aca="false">IF($C4078="","",$D4078*IFERROR(INDEX('تحليل التكلفة والسعر'!$C$2:$C$700,MATCH($C4078,'تحليل التكلفة والسعر'!$B$2:$B$700,0)),0))</f>
        <v/>
      </c>
    </row>
    <row r="4079" customFormat="false" ht="15" hidden="false" customHeight="false" outlineLevel="0" collapsed="false">
      <c r="A4079" s="102"/>
      <c r="E4079" s="103" t="str">
        <f aca="false">IF($C4079="","",IFERROR(INDEX(المنيو!$C$2:$C$500,MATCH($C4079,المنيو!$B$2:$B$500,0)),0))</f>
        <v/>
      </c>
      <c r="F4079" s="103" t="str">
        <f aca="false">IF($C4079="","",$D4079*$E4079)</f>
        <v/>
      </c>
      <c r="G4079" s="103" t="str">
        <f aca="false">IF($C4079="","",$D4079*IFERROR(INDEX('تحليل التكلفة والسعر'!$C$2:$C$700,MATCH($C4079,'تحليل التكلفة والسعر'!$B$2:$B$700,0)),0))</f>
        <v/>
      </c>
    </row>
    <row r="4080" customFormat="false" ht="15" hidden="false" customHeight="false" outlineLevel="0" collapsed="false">
      <c r="A4080" s="102"/>
      <c r="E4080" s="103" t="str">
        <f aca="false">IF($C4080="","",IFERROR(INDEX(المنيو!$C$2:$C$500,MATCH($C4080,المنيو!$B$2:$B$500,0)),0))</f>
        <v/>
      </c>
      <c r="F4080" s="103" t="str">
        <f aca="false">IF($C4080="","",$D4080*$E4080)</f>
        <v/>
      </c>
      <c r="G4080" s="103" t="str">
        <f aca="false">IF($C4080="","",$D4080*IFERROR(INDEX('تحليل التكلفة والسعر'!$C$2:$C$700,MATCH($C4080,'تحليل التكلفة والسعر'!$B$2:$B$700,0)),0))</f>
        <v/>
      </c>
    </row>
    <row r="4081" customFormat="false" ht="15" hidden="false" customHeight="false" outlineLevel="0" collapsed="false">
      <c r="A4081" s="102"/>
      <c r="E4081" s="103" t="str">
        <f aca="false">IF($C4081="","",IFERROR(INDEX(المنيو!$C$2:$C$500,MATCH($C4081,المنيو!$B$2:$B$500,0)),0))</f>
        <v/>
      </c>
      <c r="F4081" s="103" t="str">
        <f aca="false">IF($C4081="","",$D4081*$E4081)</f>
        <v/>
      </c>
      <c r="G4081" s="103" t="str">
        <f aca="false">IF($C4081="","",$D4081*IFERROR(INDEX('تحليل التكلفة والسعر'!$C$2:$C$700,MATCH($C4081,'تحليل التكلفة والسعر'!$B$2:$B$700,0)),0))</f>
        <v/>
      </c>
    </row>
    <row r="4082" customFormat="false" ht="15" hidden="false" customHeight="false" outlineLevel="0" collapsed="false">
      <c r="A4082" s="102"/>
      <c r="E4082" s="103" t="str">
        <f aca="false">IF($C4082="","",IFERROR(INDEX(المنيو!$C$2:$C$500,MATCH($C4082,المنيو!$B$2:$B$500,0)),0))</f>
        <v/>
      </c>
      <c r="F4082" s="103" t="str">
        <f aca="false">IF($C4082="","",$D4082*$E4082)</f>
        <v/>
      </c>
      <c r="G4082" s="103" t="str">
        <f aca="false">IF($C4082="","",$D4082*IFERROR(INDEX('تحليل التكلفة والسعر'!$C$2:$C$700,MATCH($C4082,'تحليل التكلفة والسعر'!$B$2:$B$700,0)),0))</f>
        <v/>
      </c>
    </row>
    <row r="4083" customFormat="false" ht="15" hidden="false" customHeight="false" outlineLevel="0" collapsed="false">
      <c r="A4083" s="102"/>
      <c r="E4083" s="103" t="str">
        <f aca="false">IF($C4083="","",IFERROR(INDEX(المنيو!$C$2:$C$500,MATCH($C4083,المنيو!$B$2:$B$500,0)),0))</f>
        <v/>
      </c>
      <c r="F4083" s="103" t="str">
        <f aca="false">IF($C4083="","",$D4083*$E4083)</f>
        <v/>
      </c>
      <c r="G4083" s="103" t="str">
        <f aca="false">IF($C4083="","",$D4083*IFERROR(INDEX('تحليل التكلفة والسعر'!$C$2:$C$700,MATCH($C4083,'تحليل التكلفة والسعر'!$B$2:$B$700,0)),0))</f>
        <v/>
      </c>
    </row>
    <row r="4084" customFormat="false" ht="15" hidden="false" customHeight="false" outlineLevel="0" collapsed="false">
      <c r="A4084" s="102"/>
      <c r="E4084" s="103" t="str">
        <f aca="false">IF($C4084="","",IFERROR(INDEX(المنيو!$C$2:$C$500,MATCH($C4084,المنيو!$B$2:$B$500,0)),0))</f>
        <v/>
      </c>
      <c r="F4084" s="103" t="str">
        <f aca="false">IF($C4084="","",$D4084*$E4084)</f>
        <v/>
      </c>
      <c r="G4084" s="103" t="str">
        <f aca="false">IF($C4084="","",$D4084*IFERROR(INDEX('تحليل التكلفة والسعر'!$C$2:$C$700,MATCH($C4084,'تحليل التكلفة والسعر'!$B$2:$B$700,0)),0))</f>
        <v/>
      </c>
    </row>
    <row r="4085" customFormat="false" ht="15" hidden="false" customHeight="false" outlineLevel="0" collapsed="false">
      <c r="A4085" s="102"/>
      <c r="E4085" s="103" t="str">
        <f aca="false">IF($C4085="","",IFERROR(INDEX(المنيو!$C$2:$C$500,MATCH($C4085,المنيو!$B$2:$B$500,0)),0))</f>
        <v/>
      </c>
      <c r="F4085" s="103" t="str">
        <f aca="false">IF($C4085="","",$D4085*$E4085)</f>
        <v/>
      </c>
      <c r="G4085" s="103" t="str">
        <f aca="false">IF($C4085="","",$D4085*IFERROR(INDEX('تحليل التكلفة والسعر'!$C$2:$C$700,MATCH($C4085,'تحليل التكلفة والسعر'!$B$2:$B$700,0)),0))</f>
        <v/>
      </c>
    </row>
    <row r="4086" customFormat="false" ht="15" hidden="false" customHeight="false" outlineLevel="0" collapsed="false">
      <c r="A4086" s="102"/>
      <c r="E4086" s="103" t="str">
        <f aca="false">IF($C4086="","",IFERROR(INDEX(المنيو!$C$2:$C$500,MATCH($C4086,المنيو!$B$2:$B$500,0)),0))</f>
        <v/>
      </c>
      <c r="F4086" s="103" t="str">
        <f aca="false">IF($C4086="","",$D4086*$E4086)</f>
        <v/>
      </c>
      <c r="G4086" s="103" t="str">
        <f aca="false">IF($C4086="","",$D4086*IFERROR(INDEX('تحليل التكلفة والسعر'!$C$2:$C$700,MATCH($C4086,'تحليل التكلفة والسعر'!$B$2:$B$700,0)),0))</f>
        <v/>
      </c>
    </row>
    <row r="4087" customFormat="false" ht="15" hidden="false" customHeight="false" outlineLevel="0" collapsed="false">
      <c r="A4087" s="102"/>
      <c r="E4087" s="103" t="str">
        <f aca="false">IF($C4087="","",IFERROR(INDEX(المنيو!$C$2:$C$500,MATCH($C4087,المنيو!$B$2:$B$500,0)),0))</f>
        <v/>
      </c>
      <c r="F4087" s="103" t="str">
        <f aca="false">IF($C4087="","",$D4087*$E4087)</f>
        <v/>
      </c>
      <c r="G4087" s="103" t="str">
        <f aca="false">IF($C4087="","",$D4087*IFERROR(INDEX('تحليل التكلفة والسعر'!$C$2:$C$700,MATCH($C4087,'تحليل التكلفة والسعر'!$B$2:$B$700,0)),0))</f>
        <v/>
      </c>
    </row>
    <row r="4088" customFormat="false" ht="15" hidden="false" customHeight="false" outlineLevel="0" collapsed="false">
      <c r="A4088" s="102"/>
      <c r="E4088" s="103" t="str">
        <f aca="false">IF($C4088="","",IFERROR(INDEX(المنيو!$C$2:$C$500,MATCH($C4088,المنيو!$B$2:$B$500,0)),0))</f>
        <v/>
      </c>
      <c r="F4088" s="103" t="str">
        <f aca="false">IF($C4088="","",$D4088*$E4088)</f>
        <v/>
      </c>
      <c r="G4088" s="103" t="str">
        <f aca="false">IF($C4088="","",$D4088*IFERROR(INDEX('تحليل التكلفة والسعر'!$C$2:$C$700,MATCH($C4088,'تحليل التكلفة والسعر'!$B$2:$B$700,0)),0))</f>
        <v/>
      </c>
    </row>
    <row r="4089" customFormat="false" ht="15" hidden="false" customHeight="false" outlineLevel="0" collapsed="false">
      <c r="A4089" s="102"/>
      <c r="E4089" s="103" t="str">
        <f aca="false">IF($C4089="","",IFERROR(INDEX(المنيو!$C$2:$C$500,MATCH($C4089,المنيو!$B$2:$B$500,0)),0))</f>
        <v/>
      </c>
      <c r="F4089" s="103" t="str">
        <f aca="false">IF($C4089="","",$D4089*$E4089)</f>
        <v/>
      </c>
      <c r="G4089" s="103" t="str">
        <f aca="false">IF($C4089="","",$D4089*IFERROR(INDEX('تحليل التكلفة والسعر'!$C$2:$C$700,MATCH($C4089,'تحليل التكلفة والسعر'!$B$2:$B$700,0)),0))</f>
        <v/>
      </c>
    </row>
    <row r="4090" customFormat="false" ht="15" hidden="false" customHeight="false" outlineLevel="0" collapsed="false">
      <c r="A4090" s="102"/>
      <c r="E4090" s="103" t="str">
        <f aca="false">IF($C4090="","",IFERROR(INDEX(المنيو!$C$2:$C$500,MATCH($C4090,المنيو!$B$2:$B$500,0)),0))</f>
        <v/>
      </c>
      <c r="F4090" s="103" t="str">
        <f aca="false">IF($C4090="","",$D4090*$E4090)</f>
        <v/>
      </c>
      <c r="G4090" s="103" t="str">
        <f aca="false">IF($C4090="","",$D4090*IFERROR(INDEX('تحليل التكلفة والسعر'!$C$2:$C$700,MATCH($C4090,'تحليل التكلفة والسعر'!$B$2:$B$700,0)),0))</f>
        <v/>
      </c>
    </row>
    <row r="4091" customFormat="false" ht="15" hidden="false" customHeight="false" outlineLevel="0" collapsed="false">
      <c r="A4091" s="102"/>
      <c r="E4091" s="103" t="str">
        <f aca="false">IF($C4091="","",IFERROR(INDEX(المنيو!$C$2:$C$500,MATCH($C4091,المنيو!$B$2:$B$500,0)),0))</f>
        <v/>
      </c>
      <c r="F4091" s="103" t="str">
        <f aca="false">IF($C4091="","",$D4091*$E4091)</f>
        <v/>
      </c>
      <c r="G4091" s="103" t="str">
        <f aca="false">IF($C4091="","",$D4091*IFERROR(INDEX('تحليل التكلفة والسعر'!$C$2:$C$700,MATCH($C4091,'تحليل التكلفة والسعر'!$B$2:$B$700,0)),0))</f>
        <v/>
      </c>
    </row>
    <row r="4092" customFormat="false" ht="15" hidden="false" customHeight="false" outlineLevel="0" collapsed="false">
      <c r="A4092" s="102"/>
      <c r="E4092" s="103" t="str">
        <f aca="false">IF($C4092="","",IFERROR(INDEX(المنيو!$C$2:$C$500,MATCH($C4092,المنيو!$B$2:$B$500,0)),0))</f>
        <v/>
      </c>
      <c r="F4092" s="103" t="str">
        <f aca="false">IF($C4092="","",$D4092*$E4092)</f>
        <v/>
      </c>
      <c r="G4092" s="103" t="str">
        <f aca="false">IF($C4092="","",$D4092*IFERROR(INDEX('تحليل التكلفة والسعر'!$C$2:$C$700,MATCH($C4092,'تحليل التكلفة والسعر'!$B$2:$B$700,0)),0))</f>
        <v/>
      </c>
    </row>
    <row r="4093" customFormat="false" ht="15" hidden="false" customHeight="false" outlineLevel="0" collapsed="false">
      <c r="A4093" s="102"/>
      <c r="E4093" s="103" t="str">
        <f aca="false">IF($C4093="","",IFERROR(INDEX(المنيو!$C$2:$C$500,MATCH($C4093,المنيو!$B$2:$B$500,0)),0))</f>
        <v/>
      </c>
      <c r="F4093" s="103" t="str">
        <f aca="false">IF($C4093="","",$D4093*$E4093)</f>
        <v/>
      </c>
      <c r="G4093" s="103" t="str">
        <f aca="false">IF($C4093="","",$D4093*IFERROR(INDEX('تحليل التكلفة والسعر'!$C$2:$C$700,MATCH($C4093,'تحليل التكلفة والسعر'!$B$2:$B$700,0)),0))</f>
        <v/>
      </c>
    </row>
    <row r="4094" customFormat="false" ht="15" hidden="false" customHeight="false" outlineLevel="0" collapsed="false">
      <c r="A4094" s="102"/>
      <c r="E4094" s="103" t="str">
        <f aca="false">IF($C4094="","",IFERROR(INDEX(المنيو!$C$2:$C$500,MATCH($C4094,المنيو!$B$2:$B$500,0)),0))</f>
        <v/>
      </c>
      <c r="F4094" s="103" t="str">
        <f aca="false">IF($C4094="","",$D4094*$E4094)</f>
        <v/>
      </c>
      <c r="G4094" s="103" t="str">
        <f aca="false">IF($C4094="","",$D4094*IFERROR(INDEX('تحليل التكلفة والسعر'!$C$2:$C$700,MATCH($C4094,'تحليل التكلفة والسعر'!$B$2:$B$700,0)),0))</f>
        <v/>
      </c>
    </row>
    <row r="4095" customFormat="false" ht="15" hidden="false" customHeight="false" outlineLevel="0" collapsed="false">
      <c r="A4095" s="102"/>
      <c r="E4095" s="103" t="str">
        <f aca="false">IF($C4095="","",IFERROR(INDEX(المنيو!$C$2:$C$500,MATCH($C4095,المنيو!$B$2:$B$500,0)),0))</f>
        <v/>
      </c>
      <c r="F4095" s="103" t="str">
        <f aca="false">IF($C4095="","",$D4095*$E4095)</f>
        <v/>
      </c>
      <c r="G4095" s="103" t="str">
        <f aca="false">IF($C4095="","",$D4095*IFERROR(INDEX('تحليل التكلفة والسعر'!$C$2:$C$700,MATCH($C4095,'تحليل التكلفة والسعر'!$B$2:$B$700,0)),0))</f>
        <v/>
      </c>
    </row>
    <row r="4096" customFormat="false" ht="15" hidden="false" customHeight="false" outlineLevel="0" collapsed="false">
      <c r="A4096" s="102"/>
      <c r="E4096" s="103" t="str">
        <f aca="false">IF($C4096="","",IFERROR(INDEX(المنيو!$C$2:$C$500,MATCH($C4096,المنيو!$B$2:$B$500,0)),0))</f>
        <v/>
      </c>
      <c r="F4096" s="103" t="str">
        <f aca="false">IF($C4096="","",$D4096*$E4096)</f>
        <v/>
      </c>
      <c r="G4096" s="103" t="str">
        <f aca="false">IF($C4096="","",$D4096*IFERROR(INDEX('تحليل التكلفة والسعر'!$C$2:$C$700,MATCH($C4096,'تحليل التكلفة والسعر'!$B$2:$B$700,0)),0))</f>
        <v/>
      </c>
    </row>
    <row r="4097" customFormat="false" ht="15" hidden="false" customHeight="false" outlineLevel="0" collapsed="false">
      <c r="A4097" s="102"/>
      <c r="E4097" s="103" t="str">
        <f aca="false">IF($C4097="","",IFERROR(INDEX(المنيو!$C$2:$C$500,MATCH($C4097,المنيو!$B$2:$B$500,0)),0))</f>
        <v/>
      </c>
      <c r="F4097" s="103" t="str">
        <f aca="false">IF($C4097="","",$D4097*$E4097)</f>
        <v/>
      </c>
      <c r="G4097" s="103" t="str">
        <f aca="false">IF($C4097="","",$D4097*IFERROR(INDEX('تحليل التكلفة والسعر'!$C$2:$C$700,MATCH($C4097,'تحليل التكلفة والسعر'!$B$2:$B$700,0)),0))</f>
        <v/>
      </c>
    </row>
    <row r="4098" customFormat="false" ht="15" hidden="false" customHeight="false" outlineLevel="0" collapsed="false">
      <c r="A4098" s="102"/>
      <c r="E4098" s="103" t="str">
        <f aca="false">IF($C4098="","",IFERROR(INDEX(المنيو!$C$2:$C$500,MATCH($C4098,المنيو!$B$2:$B$500,0)),0))</f>
        <v/>
      </c>
      <c r="F4098" s="103" t="str">
        <f aca="false">IF($C4098="","",$D4098*$E4098)</f>
        <v/>
      </c>
      <c r="G4098" s="103" t="str">
        <f aca="false">IF($C4098="","",$D4098*IFERROR(INDEX('تحليل التكلفة والسعر'!$C$2:$C$700,MATCH($C4098,'تحليل التكلفة والسعر'!$B$2:$B$700,0)),0))</f>
        <v/>
      </c>
    </row>
    <row r="4099" customFormat="false" ht="15" hidden="false" customHeight="false" outlineLevel="0" collapsed="false">
      <c r="A4099" s="102"/>
      <c r="E4099" s="103" t="str">
        <f aca="false">IF($C4099="","",IFERROR(INDEX(المنيو!$C$2:$C$500,MATCH($C4099,المنيو!$B$2:$B$500,0)),0))</f>
        <v/>
      </c>
      <c r="F4099" s="103" t="str">
        <f aca="false">IF($C4099="","",$D4099*$E4099)</f>
        <v/>
      </c>
      <c r="G4099" s="103" t="str">
        <f aca="false">IF($C4099="","",$D4099*IFERROR(INDEX('تحليل التكلفة والسعر'!$C$2:$C$700,MATCH($C4099,'تحليل التكلفة والسعر'!$B$2:$B$700,0)),0))</f>
        <v/>
      </c>
    </row>
    <row r="4100" customFormat="false" ht="15" hidden="false" customHeight="false" outlineLevel="0" collapsed="false">
      <c r="A4100" s="102"/>
      <c r="E4100" s="103" t="str">
        <f aca="false">IF($C4100="","",IFERROR(INDEX(المنيو!$C$2:$C$500,MATCH($C4100,المنيو!$B$2:$B$500,0)),0))</f>
        <v/>
      </c>
      <c r="F4100" s="103" t="str">
        <f aca="false">IF($C4100="","",$D4100*$E4100)</f>
        <v/>
      </c>
      <c r="G4100" s="103" t="str">
        <f aca="false">IF($C4100="","",$D4100*IFERROR(INDEX('تحليل التكلفة والسعر'!$C$2:$C$700,MATCH($C4100,'تحليل التكلفة والسعر'!$B$2:$B$700,0)),0))</f>
        <v/>
      </c>
    </row>
    <row r="4101" customFormat="false" ht="15" hidden="false" customHeight="false" outlineLevel="0" collapsed="false">
      <c r="A4101" s="102"/>
      <c r="E4101" s="103" t="str">
        <f aca="false">IF($C4101="","",IFERROR(INDEX(المنيو!$C$2:$C$500,MATCH($C4101,المنيو!$B$2:$B$500,0)),0))</f>
        <v/>
      </c>
      <c r="F4101" s="103" t="str">
        <f aca="false">IF($C4101="","",$D4101*$E4101)</f>
        <v/>
      </c>
      <c r="G4101" s="103" t="str">
        <f aca="false">IF($C4101="","",$D4101*IFERROR(INDEX('تحليل التكلفة والسعر'!$C$2:$C$700,MATCH($C4101,'تحليل التكلفة والسعر'!$B$2:$B$700,0)),0))</f>
        <v/>
      </c>
    </row>
    <row r="4102" customFormat="false" ht="15" hidden="false" customHeight="false" outlineLevel="0" collapsed="false">
      <c r="A4102" s="102"/>
      <c r="E4102" s="103" t="str">
        <f aca="false">IF($C4102="","",IFERROR(INDEX(المنيو!$C$2:$C$500,MATCH($C4102,المنيو!$B$2:$B$500,0)),0))</f>
        <v/>
      </c>
      <c r="F4102" s="103" t="str">
        <f aca="false">IF($C4102="","",$D4102*$E4102)</f>
        <v/>
      </c>
      <c r="G4102" s="103" t="str">
        <f aca="false">IF($C4102="","",$D4102*IFERROR(INDEX('تحليل التكلفة والسعر'!$C$2:$C$700,MATCH($C4102,'تحليل التكلفة والسعر'!$B$2:$B$700,0)),0))</f>
        <v/>
      </c>
    </row>
    <row r="4103" customFormat="false" ht="15" hidden="false" customHeight="false" outlineLevel="0" collapsed="false">
      <c r="A4103" s="102"/>
      <c r="E4103" s="103" t="str">
        <f aca="false">IF($C4103="","",IFERROR(INDEX(المنيو!$C$2:$C$500,MATCH($C4103,المنيو!$B$2:$B$500,0)),0))</f>
        <v/>
      </c>
      <c r="F4103" s="103" t="str">
        <f aca="false">IF($C4103="","",$D4103*$E4103)</f>
        <v/>
      </c>
      <c r="G4103" s="103" t="str">
        <f aca="false">IF($C4103="","",$D4103*IFERROR(INDEX('تحليل التكلفة والسعر'!$C$2:$C$700,MATCH($C4103,'تحليل التكلفة والسعر'!$B$2:$B$700,0)),0))</f>
        <v/>
      </c>
    </row>
    <row r="4104" customFormat="false" ht="15" hidden="false" customHeight="false" outlineLevel="0" collapsed="false">
      <c r="A4104" s="102"/>
      <c r="E4104" s="103" t="str">
        <f aca="false">IF($C4104="","",IFERROR(INDEX(المنيو!$C$2:$C$500,MATCH($C4104,المنيو!$B$2:$B$500,0)),0))</f>
        <v/>
      </c>
      <c r="F4104" s="103" t="str">
        <f aca="false">IF($C4104="","",$D4104*$E4104)</f>
        <v/>
      </c>
      <c r="G4104" s="103" t="str">
        <f aca="false">IF($C4104="","",$D4104*IFERROR(INDEX('تحليل التكلفة والسعر'!$C$2:$C$700,MATCH($C4104,'تحليل التكلفة والسعر'!$B$2:$B$700,0)),0))</f>
        <v/>
      </c>
    </row>
    <row r="4105" customFormat="false" ht="15" hidden="false" customHeight="false" outlineLevel="0" collapsed="false">
      <c r="A4105" s="102"/>
      <c r="E4105" s="103" t="str">
        <f aca="false">IF($C4105="","",IFERROR(INDEX(المنيو!$C$2:$C$500,MATCH($C4105,المنيو!$B$2:$B$500,0)),0))</f>
        <v/>
      </c>
      <c r="F4105" s="103" t="str">
        <f aca="false">IF($C4105="","",$D4105*$E4105)</f>
        <v/>
      </c>
      <c r="G4105" s="103" t="str">
        <f aca="false">IF($C4105="","",$D4105*IFERROR(INDEX('تحليل التكلفة والسعر'!$C$2:$C$700,MATCH($C4105,'تحليل التكلفة والسعر'!$B$2:$B$700,0)),0))</f>
        <v/>
      </c>
    </row>
    <row r="4106" customFormat="false" ht="15" hidden="false" customHeight="false" outlineLevel="0" collapsed="false">
      <c r="A4106" s="102"/>
      <c r="E4106" s="103" t="str">
        <f aca="false">IF($C4106="","",IFERROR(INDEX(المنيو!$C$2:$C$500,MATCH($C4106,المنيو!$B$2:$B$500,0)),0))</f>
        <v/>
      </c>
      <c r="F4106" s="103" t="str">
        <f aca="false">IF($C4106="","",$D4106*$E4106)</f>
        <v/>
      </c>
      <c r="G4106" s="103" t="str">
        <f aca="false">IF($C4106="","",$D4106*IFERROR(INDEX('تحليل التكلفة والسعر'!$C$2:$C$700,MATCH($C4106,'تحليل التكلفة والسعر'!$B$2:$B$700,0)),0))</f>
        <v/>
      </c>
    </row>
    <row r="4107" customFormat="false" ht="15" hidden="false" customHeight="false" outlineLevel="0" collapsed="false">
      <c r="A4107" s="102"/>
      <c r="E4107" s="103" t="str">
        <f aca="false">IF($C4107="","",IFERROR(INDEX(المنيو!$C$2:$C$500,MATCH($C4107,المنيو!$B$2:$B$500,0)),0))</f>
        <v/>
      </c>
      <c r="F4107" s="103" t="str">
        <f aca="false">IF($C4107="","",$D4107*$E4107)</f>
        <v/>
      </c>
      <c r="G4107" s="103" t="str">
        <f aca="false">IF($C4107="","",$D4107*IFERROR(INDEX('تحليل التكلفة والسعر'!$C$2:$C$700,MATCH($C4107,'تحليل التكلفة والسعر'!$B$2:$B$700,0)),0))</f>
        <v/>
      </c>
    </row>
    <row r="4108" customFormat="false" ht="15" hidden="false" customHeight="false" outlineLevel="0" collapsed="false">
      <c r="A4108" s="102"/>
      <c r="E4108" s="103" t="str">
        <f aca="false">IF($C4108="","",IFERROR(INDEX(المنيو!$C$2:$C$500,MATCH($C4108,المنيو!$B$2:$B$500,0)),0))</f>
        <v/>
      </c>
      <c r="F4108" s="103" t="str">
        <f aca="false">IF($C4108="","",$D4108*$E4108)</f>
        <v/>
      </c>
      <c r="G4108" s="103" t="str">
        <f aca="false">IF($C4108="","",$D4108*IFERROR(INDEX('تحليل التكلفة والسعر'!$C$2:$C$700,MATCH($C4108,'تحليل التكلفة والسعر'!$B$2:$B$700,0)),0))</f>
        <v/>
      </c>
    </row>
    <row r="4109" customFormat="false" ht="15" hidden="false" customHeight="false" outlineLevel="0" collapsed="false">
      <c r="A4109" s="102"/>
      <c r="E4109" s="103" t="str">
        <f aca="false">IF($C4109="","",IFERROR(INDEX(المنيو!$C$2:$C$500,MATCH($C4109,المنيو!$B$2:$B$500,0)),0))</f>
        <v/>
      </c>
      <c r="F4109" s="103" t="str">
        <f aca="false">IF($C4109="","",$D4109*$E4109)</f>
        <v/>
      </c>
      <c r="G4109" s="103" t="str">
        <f aca="false">IF($C4109="","",$D4109*IFERROR(INDEX('تحليل التكلفة والسعر'!$C$2:$C$700,MATCH($C4109,'تحليل التكلفة والسعر'!$B$2:$B$700,0)),0))</f>
        <v/>
      </c>
    </row>
    <row r="4110" customFormat="false" ht="15" hidden="false" customHeight="false" outlineLevel="0" collapsed="false">
      <c r="A4110" s="102"/>
      <c r="E4110" s="103" t="str">
        <f aca="false">IF($C4110="","",IFERROR(INDEX(المنيو!$C$2:$C$500,MATCH($C4110,المنيو!$B$2:$B$500,0)),0))</f>
        <v/>
      </c>
      <c r="F4110" s="103" t="str">
        <f aca="false">IF($C4110="","",$D4110*$E4110)</f>
        <v/>
      </c>
      <c r="G4110" s="103" t="str">
        <f aca="false">IF($C4110="","",$D4110*IFERROR(INDEX('تحليل التكلفة والسعر'!$C$2:$C$700,MATCH($C4110,'تحليل التكلفة والسعر'!$B$2:$B$700,0)),0))</f>
        <v/>
      </c>
    </row>
    <row r="4111" customFormat="false" ht="15" hidden="false" customHeight="false" outlineLevel="0" collapsed="false">
      <c r="A4111" s="102"/>
      <c r="E4111" s="103" t="str">
        <f aca="false">IF($C4111="","",IFERROR(INDEX(المنيو!$C$2:$C$500,MATCH($C4111,المنيو!$B$2:$B$500,0)),0))</f>
        <v/>
      </c>
      <c r="F4111" s="103" t="str">
        <f aca="false">IF($C4111="","",$D4111*$E4111)</f>
        <v/>
      </c>
      <c r="G4111" s="103" t="str">
        <f aca="false">IF($C4111="","",$D4111*IFERROR(INDEX('تحليل التكلفة والسعر'!$C$2:$C$700,MATCH($C4111,'تحليل التكلفة والسعر'!$B$2:$B$700,0)),0))</f>
        <v/>
      </c>
    </row>
    <row r="4112" customFormat="false" ht="15" hidden="false" customHeight="false" outlineLevel="0" collapsed="false">
      <c r="A4112" s="102"/>
      <c r="E4112" s="103" t="str">
        <f aca="false">IF($C4112="","",IFERROR(INDEX(المنيو!$C$2:$C$500,MATCH($C4112,المنيو!$B$2:$B$500,0)),0))</f>
        <v/>
      </c>
      <c r="F4112" s="103" t="str">
        <f aca="false">IF($C4112="","",$D4112*$E4112)</f>
        <v/>
      </c>
      <c r="G4112" s="103" t="str">
        <f aca="false">IF($C4112="","",$D4112*IFERROR(INDEX('تحليل التكلفة والسعر'!$C$2:$C$700,MATCH($C4112,'تحليل التكلفة والسعر'!$B$2:$B$700,0)),0))</f>
        <v/>
      </c>
    </row>
    <row r="4113" customFormat="false" ht="15" hidden="false" customHeight="false" outlineLevel="0" collapsed="false">
      <c r="A4113" s="102"/>
      <c r="E4113" s="103" t="str">
        <f aca="false">IF($C4113="","",IFERROR(INDEX(المنيو!$C$2:$C$500,MATCH($C4113,المنيو!$B$2:$B$500,0)),0))</f>
        <v/>
      </c>
      <c r="F4113" s="103" t="str">
        <f aca="false">IF($C4113="","",$D4113*$E4113)</f>
        <v/>
      </c>
      <c r="G4113" s="103" t="str">
        <f aca="false">IF($C4113="","",$D4113*IFERROR(INDEX('تحليل التكلفة والسعر'!$C$2:$C$700,MATCH($C4113,'تحليل التكلفة والسعر'!$B$2:$B$700,0)),0))</f>
        <v/>
      </c>
    </row>
    <row r="4114" customFormat="false" ht="15" hidden="false" customHeight="false" outlineLevel="0" collapsed="false">
      <c r="A4114" s="102"/>
      <c r="E4114" s="103" t="str">
        <f aca="false">IF($C4114="","",IFERROR(INDEX(المنيو!$C$2:$C$500,MATCH($C4114,المنيو!$B$2:$B$500,0)),0))</f>
        <v/>
      </c>
      <c r="F4114" s="103" t="str">
        <f aca="false">IF($C4114="","",$D4114*$E4114)</f>
        <v/>
      </c>
      <c r="G4114" s="103" t="str">
        <f aca="false">IF($C4114="","",$D4114*IFERROR(INDEX('تحليل التكلفة والسعر'!$C$2:$C$700,MATCH($C4114,'تحليل التكلفة والسعر'!$B$2:$B$700,0)),0))</f>
        <v/>
      </c>
    </row>
    <row r="4115" customFormat="false" ht="15" hidden="false" customHeight="false" outlineLevel="0" collapsed="false">
      <c r="A4115" s="102"/>
      <c r="E4115" s="103" t="str">
        <f aca="false">IF($C4115="","",IFERROR(INDEX(المنيو!$C$2:$C$500,MATCH($C4115,المنيو!$B$2:$B$500,0)),0))</f>
        <v/>
      </c>
      <c r="F4115" s="103" t="str">
        <f aca="false">IF($C4115="","",$D4115*$E4115)</f>
        <v/>
      </c>
      <c r="G4115" s="103" t="str">
        <f aca="false">IF($C4115="","",$D4115*IFERROR(INDEX('تحليل التكلفة والسعر'!$C$2:$C$700,MATCH($C4115,'تحليل التكلفة والسعر'!$B$2:$B$700,0)),0))</f>
        <v/>
      </c>
    </row>
    <row r="4116" customFormat="false" ht="15" hidden="false" customHeight="false" outlineLevel="0" collapsed="false">
      <c r="A4116" s="102"/>
      <c r="E4116" s="103" t="str">
        <f aca="false">IF($C4116="","",IFERROR(INDEX(المنيو!$C$2:$C$500,MATCH($C4116,المنيو!$B$2:$B$500,0)),0))</f>
        <v/>
      </c>
      <c r="F4116" s="103" t="str">
        <f aca="false">IF($C4116="","",$D4116*$E4116)</f>
        <v/>
      </c>
      <c r="G4116" s="103" t="str">
        <f aca="false">IF($C4116="","",$D4116*IFERROR(INDEX('تحليل التكلفة والسعر'!$C$2:$C$700,MATCH($C4116,'تحليل التكلفة والسعر'!$B$2:$B$700,0)),0))</f>
        <v/>
      </c>
    </row>
    <row r="4117" customFormat="false" ht="15" hidden="false" customHeight="false" outlineLevel="0" collapsed="false">
      <c r="A4117" s="102"/>
      <c r="E4117" s="103" t="str">
        <f aca="false">IF($C4117="","",IFERROR(INDEX(المنيو!$C$2:$C$500,MATCH($C4117,المنيو!$B$2:$B$500,0)),0))</f>
        <v/>
      </c>
      <c r="F4117" s="103" t="str">
        <f aca="false">IF($C4117="","",$D4117*$E4117)</f>
        <v/>
      </c>
      <c r="G4117" s="103" t="str">
        <f aca="false">IF($C4117="","",$D4117*IFERROR(INDEX('تحليل التكلفة والسعر'!$C$2:$C$700,MATCH($C4117,'تحليل التكلفة والسعر'!$B$2:$B$700,0)),0))</f>
        <v/>
      </c>
    </row>
    <row r="4118" customFormat="false" ht="15" hidden="false" customHeight="false" outlineLevel="0" collapsed="false">
      <c r="A4118" s="102"/>
      <c r="E4118" s="103" t="str">
        <f aca="false">IF($C4118="","",IFERROR(INDEX(المنيو!$C$2:$C$500,MATCH($C4118,المنيو!$B$2:$B$500,0)),0))</f>
        <v/>
      </c>
      <c r="F4118" s="103" t="str">
        <f aca="false">IF($C4118="","",$D4118*$E4118)</f>
        <v/>
      </c>
      <c r="G4118" s="103" t="str">
        <f aca="false">IF($C4118="","",$D4118*IFERROR(INDEX('تحليل التكلفة والسعر'!$C$2:$C$700,MATCH($C4118,'تحليل التكلفة والسعر'!$B$2:$B$700,0)),0))</f>
        <v/>
      </c>
    </row>
    <row r="4119" customFormat="false" ht="15" hidden="false" customHeight="false" outlineLevel="0" collapsed="false">
      <c r="A4119" s="102"/>
      <c r="E4119" s="103" t="str">
        <f aca="false">IF($C4119="","",IFERROR(INDEX(المنيو!$C$2:$C$500,MATCH($C4119,المنيو!$B$2:$B$500,0)),0))</f>
        <v/>
      </c>
      <c r="F4119" s="103" t="str">
        <f aca="false">IF($C4119="","",$D4119*$E4119)</f>
        <v/>
      </c>
      <c r="G4119" s="103" t="str">
        <f aca="false">IF($C4119="","",$D4119*IFERROR(INDEX('تحليل التكلفة والسعر'!$C$2:$C$700,MATCH($C4119,'تحليل التكلفة والسعر'!$B$2:$B$700,0)),0))</f>
        <v/>
      </c>
    </row>
    <row r="4120" customFormat="false" ht="15" hidden="false" customHeight="false" outlineLevel="0" collapsed="false">
      <c r="A4120" s="102"/>
      <c r="E4120" s="103" t="str">
        <f aca="false">IF($C4120="","",IFERROR(INDEX(المنيو!$C$2:$C$500,MATCH($C4120,المنيو!$B$2:$B$500,0)),0))</f>
        <v/>
      </c>
      <c r="F4120" s="103" t="str">
        <f aca="false">IF($C4120="","",$D4120*$E4120)</f>
        <v/>
      </c>
      <c r="G4120" s="103" t="str">
        <f aca="false">IF($C4120="","",$D4120*IFERROR(INDEX('تحليل التكلفة والسعر'!$C$2:$C$700,MATCH($C4120,'تحليل التكلفة والسعر'!$B$2:$B$700,0)),0))</f>
        <v/>
      </c>
    </row>
    <row r="4121" customFormat="false" ht="15" hidden="false" customHeight="false" outlineLevel="0" collapsed="false">
      <c r="A4121" s="102"/>
      <c r="E4121" s="103" t="str">
        <f aca="false">IF($C4121="","",IFERROR(INDEX(المنيو!$C$2:$C$500,MATCH($C4121,المنيو!$B$2:$B$500,0)),0))</f>
        <v/>
      </c>
      <c r="F4121" s="103" t="str">
        <f aca="false">IF($C4121="","",$D4121*$E4121)</f>
        <v/>
      </c>
      <c r="G4121" s="103" t="str">
        <f aca="false">IF($C4121="","",$D4121*IFERROR(INDEX('تحليل التكلفة والسعر'!$C$2:$C$700,MATCH($C4121,'تحليل التكلفة والسعر'!$B$2:$B$700,0)),0))</f>
        <v/>
      </c>
    </row>
    <row r="4122" customFormat="false" ht="15" hidden="false" customHeight="false" outlineLevel="0" collapsed="false">
      <c r="A4122" s="102"/>
      <c r="E4122" s="103" t="str">
        <f aca="false">IF($C4122="","",IFERROR(INDEX(المنيو!$C$2:$C$500,MATCH($C4122,المنيو!$B$2:$B$500,0)),0))</f>
        <v/>
      </c>
      <c r="F4122" s="103" t="str">
        <f aca="false">IF($C4122="","",$D4122*$E4122)</f>
        <v/>
      </c>
      <c r="G4122" s="103" t="str">
        <f aca="false">IF($C4122="","",$D4122*IFERROR(INDEX('تحليل التكلفة والسعر'!$C$2:$C$700,MATCH($C4122,'تحليل التكلفة والسعر'!$B$2:$B$700,0)),0))</f>
        <v/>
      </c>
    </row>
    <row r="4123" customFormat="false" ht="15" hidden="false" customHeight="false" outlineLevel="0" collapsed="false">
      <c r="A4123" s="102"/>
      <c r="E4123" s="103" t="str">
        <f aca="false">IF($C4123="","",IFERROR(INDEX(المنيو!$C$2:$C$500,MATCH($C4123,المنيو!$B$2:$B$500,0)),0))</f>
        <v/>
      </c>
      <c r="F4123" s="103" t="str">
        <f aca="false">IF($C4123="","",$D4123*$E4123)</f>
        <v/>
      </c>
      <c r="G4123" s="103" t="str">
        <f aca="false">IF($C4123="","",$D4123*IFERROR(INDEX('تحليل التكلفة والسعر'!$C$2:$C$700,MATCH($C4123,'تحليل التكلفة والسعر'!$B$2:$B$700,0)),0))</f>
        <v/>
      </c>
    </row>
    <row r="4124" customFormat="false" ht="15" hidden="false" customHeight="false" outlineLevel="0" collapsed="false">
      <c r="A4124" s="102"/>
      <c r="E4124" s="103" t="str">
        <f aca="false">IF($C4124="","",IFERROR(INDEX(المنيو!$C$2:$C$500,MATCH($C4124,المنيو!$B$2:$B$500,0)),0))</f>
        <v/>
      </c>
      <c r="F4124" s="103" t="str">
        <f aca="false">IF($C4124="","",$D4124*$E4124)</f>
        <v/>
      </c>
      <c r="G4124" s="103" t="str">
        <f aca="false">IF($C4124="","",$D4124*IFERROR(INDEX('تحليل التكلفة والسعر'!$C$2:$C$700,MATCH($C4124,'تحليل التكلفة والسعر'!$B$2:$B$700,0)),0))</f>
        <v/>
      </c>
    </row>
    <row r="4125" customFormat="false" ht="15" hidden="false" customHeight="false" outlineLevel="0" collapsed="false">
      <c r="A4125" s="102"/>
      <c r="E4125" s="103" t="str">
        <f aca="false">IF($C4125="","",IFERROR(INDEX(المنيو!$C$2:$C$500,MATCH($C4125,المنيو!$B$2:$B$500,0)),0))</f>
        <v/>
      </c>
      <c r="F4125" s="103" t="str">
        <f aca="false">IF($C4125="","",$D4125*$E4125)</f>
        <v/>
      </c>
      <c r="G4125" s="103" t="str">
        <f aca="false">IF($C4125="","",$D4125*IFERROR(INDEX('تحليل التكلفة والسعر'!$C$2:$C$700,MATCH($C4125,'تحليل التكلفة والسعر'!$B$2:$B$700,0)),0))</f>
        <v/>
      </c>
    </row>
    <row r="4126" customFormat="false" ht="15" hidden="false" customHeight="false" outlineLevel="0" collapsed="false">
      <c r="A4126" s="102"/>
      <c r="E4126" s="103" t="str">
        <f aca="false">IF($C4126="","",IFERROR(INDEX(المنيو!$C$2:$C$500,MATCH($C4126,المنيو!$B$2:$B$500,0)),0))</f>
        <v/>
      </c>
      <c r="F4126" s="103" t="str">
        <f aca="false">IF($C4126="","",$D4126*$E4126)</f>
        <v/>
      </c>
      <c r="G4126" s="103" t="str">
        <f aca="false">IF($C4126="","",$D4126*IFERROR(INDEX('تحليل التكلفة والسعر'!$C$2:$C$700,MATCH($C4126,'تحليل التكلفة والسعر'!$B$2:$B$700,0)),0))</f>
        <v/>
      </c>
    </row>
    <row r="4127" customFormat="false" ht="15" hidden="false" customHeight="false" outlineLevel="0" collapsed="false">
      <c r="A4127" s="102"/>
      <c r="E4127" s="103" t="str">
        <f aca="false">IF($C4127="","",IFERROR(INDEX(المنيو!$C$2:$C$500,MATCH($C4127,المنيو!$B$2:$B$500,0)),0))</f>
        <v/>
      </c>
      <c r="F4127" s="103" t="str">
        <f aca="false">IF($C4127="","",$D4127*$E4127)</f>
        <v/>
      </c>
      <c r="G4127" s="103" t="str">
        <f aca="false">IF($C4127="","",$D4127*IFERROR(INDEX('تحليل التكلفة والسعر'!$C$2:$C$700,MATCH($C4127,'تحليل التكلفة والسعر'!$B$2:$B$700,0)),0))</f>
        <v/>
      </c>
    </row>
    <row r="4128" customFormat="false" ht="15" hidden="false" customHeight="false" outlineLevel="0" collapsed="false">
      <c r="A4128" s="102"/>
      <c r="E4128" s="103" t="str">
        <f aca="false">IF($C4128="","",IFERROR(INDEX(المنيو!$C$2:$C$500,MATCH($C4128,المنيو!$B$2:$B$500,0)),0))</f>
        <v/>
      </c>
      <c r="F4128" s="103" t="str">
        <f aca="false">IF($C4128="","",$D4128*$E4128)</f>
        <v/>
      </c>
      <c r="G4128" s="103" t="str">
        <f aca="false">IF($C4128="","",$D4128*IFERROR(INDEX('تحليل التكلفة والسعر'!$C$2:$C$700,MATCH($C4128,'تحليل التكلفة والسعر'!$B$2:$B$700,0)),0))</f>
        <v/>
      </c>
    </row>
    <row r="4129" customFormat="false" ht="15" hidden="false" customHeight="false" outlineLevel="0" collapsed="false">
      <c r="A4129" s="102"/>
      <c r="E4129" s="103" t="str">
        <f aca="false">IF($C4129="","",IFERROR(INDEX(المنيو!$C$2:$C$500,MATCH($C4129,المنيو!$B$2:$B$500,0)),0))</f>
        <v/>
      </c>
      <c r="F4129" s="103" t="str">
        <f aca="false">IF($C4129="","",$D4129*$E4129)</f>
        <v/>
      </c>
      <c r="G4129" s="103" t="str">
        <f aca="false">IF($C4129="","",$D4129*IFERROR(INDEX('تحليل التكلفة والسعر'!$C$2:$C$700,MATCH($C4129,'تحليل التكلفة والسعر'!$B$2:$B$700,0)),0))</f>
        <v/>
      </c>
    </row>
    <row r="4130" customFormat="false" ht="15" hidden="false" customHeight="false" outlineLevel="0" collapsed="false">
      <c r="A4130" s="102"/>
      <c r="E4130" s="103" t="str">
        <f aca="false">IF($C4130="","",IFERROR(INDEX(المنيو!$C$2:$C$500,MATCH($C4130,المنيو!$B$2:$B$500,0)),0))</f>
        <v/>
      </c>
      <c r="F4130" s="103" t="str">
        <f aca="false">IF($C4130="","",$D4130*$E4130)</f>
        <v/>
      </c>
      <c r="G4130" s="103" t="str">
        <f aca="false">IF($C4130="","",$D4130*IFERROR(INDEX('تحليل التكلفة والسعر'!$C$2:$C$700,MATCH($C4130,'تحليل التكلفة والسعر'!$B$2:$B$700,0)),0))</f>
        <v/>
      </c>
    </row>
    <row r="4131" customFormat="false" ht="15" hidden="false" customHeight="false" outlineLevel="0" collapsed="false">
      <c r="A4131" s="102"/>
      <c r="E4131" s="103" t="str">
        <f aca="false">IF($C4131="","",IFERROR(INDEX(المنيو!$C$2:$C$500,MATCH($C4131,المنيو!$B$2:$B$500,0)),0))</f>
        <v/>
      </c>
      <c r="F4131" s="103" t="str">
        <f aca="false">IF($C4131="","",$D4131*$E4131)</f>
        <v/>
      </c>
      <c r="G4131" s="103" t="str">
        <f aca="false">IF($C4131="","",$D4131*IFERROR(INDEX('تحليل التكلفة والسعر'!$C$2:$C$700,MATCH($C4131,'تحليل التكلفة والسعر'!$B$2:$B$700,0)),0))</f>
        <v/>
      </c>
    </row>
    <row r="4132" customFormat="false" ht="15" hidden="false" customHeight="false" outlineLevel="0" collapsed="false">
      <c r="A4132" s="102"/>
      <c r="E4132" s="103" t="str">
        <f aca="false">IF($C4132="","",IFERROR(INDEX(المنيو!$C$2:$C$500,MATCH($C4132,المنيو!$B$2:$B$500,0)),0))</f>
        <v/>
      </c>
      <c r="F4132" s="103" t="str">
        <f aca="false">IF($C4132="","",$D4132*$E4132)</f>
        <v/>
      </c>
      <c r="G4132" s="103" t="str">
        <f aca="false">IF($C4132="","",$D4132*IFERROR(INDEX('تحليل التكلفة والسعر'!$C$2:$C$700,MATCH($C4132,'تحليل التكلفة والسعر'!$B$2:$B$700,0)),0))</f>
        <v/>
      </c>
    </row>
    <row r="4133" customFormat="false" ht="15" hidden="false" customHeight="false" outlineLevel="0" collapsed="false">
      <c r="A4133" s="102"/>
      <c r="E4133" s="103" t="str">
        <f aca="false">IF($C4133="","",IFERROR(INDEX(المنيو!$C$2:$C$500,MATCH($C4133,المنيو!$B$2:$B$500,0)),0))</f>
        <v/>
      </c>
      <c r="F4133" s="103" t="str">
        <f aca="false">IF($C4133="","",$D4133*$E4133)</f>
        <v/>
      </c>
      <c r="G4133" s="103" t="str">
        <f aca="false">IF($C4133="","",$D4133*IFERROR(INDEX('تحليل التكلفة والسعر'!$C$2:$C$700,MATCH($C4133,'تحليل التكلفة والسعر'!$B$2:$B$700,0)),0))</f>
        <v/>
      </c>
    </row>
    <row r="4134" customFormat="false" ht="15" hidden="false" customHeight="false" outlineLevel="0" collapsed="false">
      <c r="A4134" s="102"/>
      <c r="E4134" s="103" t="str">
        <f aca="false">IF($C4134="","",IFERROR(INDEX(المنيو!$C$2:$C$500,MATCH($C4134,المنيو!$B$2:$B$500,0)),0))</f>
        <v/>
      </c>
      <c r="F4134" s="103" t="str">
        <f aca="false">IF($C4134="","",$D4134*$E4134)</f>
        <v/>
      </c>
      <c r="G4134" s="103" t="str">
        <f aca="false">IF($C4134="","",$D4134*IFERROR(INDEX('تحليل التكلفة والسعر'!$C$2:$C$700,MATCH($C4134,'تحليل التكلفة والسعر'!$B$2:$B$700,0)),0))</f>
        <v/>
      </c>
    </row>
    <row r="4135" customFormat="false" ht="15" hidden="false" customHeight="false" outlineLevel="0" collapsed="false">
      <c r="A4135" s="102"/>
      <c r="E4135" s="103" t="str">
        <f aca="false">IF($C4135="","",IFERROR(INDEX(المنيو!$C$2:$C$500,MATCH($C4135,المنيو!$B$2:$B$500,0)),0))</f>
        <v/>
      </c>
      <c r="F4135" s="103" t="str">
        <f aca="false">IF($C4135="","",$D4135*$E4135)</f>
        <v/>
      </c>
      <c r="G4135" s="103" t="str">
        <f aca="false">IF($C4135="","",$D4135*IFERROR(INDEX('تحليل التكلفة والسعر'!$C$2:$C$700,MATCH($C4135,'تحليل التكلفة والسعر'!$B$2:$B$700,0)),0))</f>
        <v/>
      </c>
    </row>
    <row r="4136" customFormat="false" ht="15" hidden="false" customHeight="false" outlineLevel="0" collapsed="false">
      <c r="A4136" s="102"/>
      <c r="E4136" s="103" t="str">
        <f aca="false">IF($C4136="","",IFERROR(INDEX(المنيو!$C$2:$C$500,MATCH($C4136,المنيو!$B$2:$B$500,0)),0))</f>
        <v/>
      </c>
      <c r="F4136" s="103" t="str">
        <f aca="false">IF($C4136="","",$D4136*$E4136)</f>
        <v/>
      </c>
      <c r="G4136" s="103" t="str">
        <f aca="false">IF($C4136="","",$D4136*IFERROR(INDEX('تحليل التكلفة والسعر'!$C$2:$C$700,MATCH($C4136,'تحليل التكلفة والسعر'!$B$2:$B$700,0)),0))</f>
        <v/>
      </c>
    </row>
    <row r="4137" customFormat="false" ht="15" hidden="false" customHeight="false" outlineLevel="0" collapsed="false">
      <c r="A4137" s="102"/>
      <c r="E4137" s="103" t="str">
        <f aca="false">IF($C4137="","",IFERROR(INDEX(المنيو!$C$2:$C$500,MATCH($C4137,المنيو!$B$2:$B$500,0)),0))</f>
        <v/>
      </c>
      <c r="F4137" s="103" t="str">
        <f aca="false">IF($C4137="","",$D4137*$E4137)</f>
        <v/>
      </c>
      <c r="G4137" s="103" t="str">
        <f aca="false">IF($C4137="","",$D4137*IFERROR(INDEX('تحليل التكلفة والسعر'!$C$2:$C$700,MATCH($C4137,'تحليل التكلفة والسعر'!$B$2:$B$700,0)),0))</f>
        <v/>
      </c>
    </row>
    <row r="4138" customFormat="false" ht="15" hidden="false" customHeight="false" outlineLevel="0" collapsed="false">
      <c r="A4138" s="102"/>
      <c r="E4138" s="103" t="str">
        <f aca="false">IF($C4138="","",IFERROR(INDEX(المنيو!$C$2:$C$500,MATCH($C4138,المنيو!$B$2:$B$500,0)),0))</f>
        <v/>
      </c>
      <c r="F4138" s="103" t="str">
        <f aca="false">IF($C4138="","",$D4138*$E4138)</f>
        <v/>
      </c>
      <c r="G4138" s="103" t="str">
        <f aca="false">IF($C4138="","",$D4138*IFERROR(INDEX('تحليل التكلفة والسعر'!$C$2:$C$700,MATCH($C4138,'تحليل التكلفة والسعر'!$B$2:$B$700,0)),0))</f>
        <v/>
      </c>
    </row>
    <row r="4139" customFormat="false" ht="15" hidden="false" customHeight="false" outlineLevel="0" collapsed="false">
      <c r="A4139" s="102"/>
      <c r="E4139" s="103" t="str">
        <f aca="false">IF($C4139="","",IFERROR(INDEX(المنيو!$C$2:$C$500,MATCH($C4139,المنيو!$B$2:$B$500,0)),0))</f>
        <v/>
      </c>
      <c r="F4139" s="103" t="str">
        <f aca="false">IF($C4139="","",$D4139*$E4139)</f>
        <v/>
      </c>
      <c r="G4139" s="103" t="str">
        <f aca="false">IF($C4139="","",$D4139*IFERROR(INDEX('تحليل التكلفة والسعر'!$C$2:$C$700,MATCH($C4139,'تحليل التكلفة والسعر'!$B$2:$B$700,0)),0))</f>
        <v/>
      </c>
    </row>
    <row r="4140" customFormat="false" ht="15" hidden="false" customHeight="false" outlineLevel="0" collapsed="false">
      <c r="A4140" s="102"/>
      <c r="E4140" s="103" t="str">
        <f aca="false">IF($C4140="","",IFERROR(INDEX(المنيو!$C$2:$C$500,MATCH($C4140,المنيو!$B$2:$B$500,0)),0))</f>
        <v/>
      </c>
      <c r="F4140" s="103" t="str">
        <f aca="false">IF($C4140="","",$D4140*$E4140)</f>
        <v/>
      </c>
      <c r="G4140" s="103" t="str">
        <f aca="false">IF($C4140="","",$D4140*IFERROR(INDEX('تحليل التكلفة والسعر'!$C$2:$C$700,MATCH($C4140,'تحليل التكلفة والسعر'!$B$2:$B$700,0)),0))</f>
        <v/>
      </c>
    </row>
    <row r="4141" customFormat="false" ht="15" hidden="false" customHeight="false" outlineLevel="0" collapsed="false">
      <c r="A4141" s="102"/>
      <c r="E4141" s="103" t="str">
        <f aca="false">IF($C4141="","",IFERROR(INDEX(المنيو!$C$2:$C$500,MATCH($C4141,المنيو!$B$2:$B$500,0)),0))</f>
        <v/>
      </c>
      <c r="F4141" s="103" t="str">
        <f aca="false">IF($C4141="","",$D4141*$E4141)</f>
        <v/>
      </c>
      <c r="G4141" s="103" t="str">
        <f aca="false">IF($C4141="","",$D4141*IFERROR(INDEX('تحليل التكلفة والسعر'!$C$2:$C$700,MATCH($C4141,'تحليل التكلفة والسعر'!$B$2:$B$700,0)),0))</f>
        <v/>
      </c>
    </row>
    <row r="4142" customFormat="false" ht="15" hidden="false" customHeight="false" outlineLevel="0" collapsed="false">
      <c r="A4142" s="102"/>
      <c r="E4142" s="103" t="str">
        <f aca="false">IF($C4142="","",IFERROR(INDEX(المنيو!$C$2:$C$500,MATCH($C4142,المنيو!$B$2:$B$500,0)),0))</f>
        <v/>
      </c>
      <c r="F4142" s="103" t="str">
        <f aca="false">IF($C4142="","",$D4142*$E4142)</f>
        <v/>
      </c>
      <c r="G4142" s="103" t="str">
        <f aca="false">IF($C4142="","",$D4142*IFERROR(INDEX('تحليل التكلفة والسعر'!$C$2:$C$700,MATCH($C4142,'تحليل التكلفة والسعر'!$B$2:$B$700,0)),0))</f>
        <v/>
      </c>
    </row>
    <row r="4143" customFormat="false" ht="15" hidden="false" customHeight="false" outlineLevel="0" collapsed="false">
      <c r="A4143" s="102"/>
      <c r="E4143" s="103" t="str">
        <f aca="false">IF($C4143="","",IFERROR(INDEX(المنيو!$C$2:$C$500,MATCH($C4143,المنيو!$B$2:$B$500,0)),0))</f>
        <v/>
      </c>
      <c r="F4143" s="103" t="str">
        <f aca="false">IF($C4143="","",$D4143*$E4143)</f>
        <v/>
      </c>
      <c r="G4143" s="103" t="str">
        <f aca="false">IF($C4143="","",$D4143*IFERROR(INDEX('تحليل التكلفة والسعر'!$C$2:$C$700,MATCH($C4143,'تحليل التكلفة والسعر'!$B$2:$B$700,0)),0))</f>
        <v/>
      </c>
    </row>
    <row r="4144" customFormat="false" ht="15" hidden="false" customHeight="false" outlineLevel="0" collapsed="false">
      <c r="A4144" s="102"/>
      <c r="E4144" s="103" t="str">
        <f aca="false">IF($C4144="","",IFERROR(INDEX(المنيو!$C$2:$C$500,MATCH($C4144,المنيو!$B$2:$B$500,0)),0))</f>
        <v/>
      </c>
      <c r="F4144" s="103" t="str">
        <f aca="false">IF($C4144="","",$D4144*$E4144)</f>
        <v/>
      </c>
      <c r="G4144" s="103" t="str">
        <f aca="false">IF($C4144="","",$D4144*IFERROR(INDEX('تحليل التكلفة والسعر'!$C$2:$C$700,MATCH($C4144,'تحليل التكلفة والسعر'!$B$2:$B$700,0)),0))</f>
        <v/>
      </c>
    </row>
    <row r="4145" customFormat="false" ht="15" hidden="false" customHeight="false" outlineLevel="0" collapsed="false">
      <c r="A4145" s="102"/>
      <c r="E4145" s="103" t="str">
        <f aca="false">IF($C4145="","",IFERROR(INDEX(المنيو!$C$2:$C$500,MATCH($C4145,المنيو!$B$2:$B$500,0)),0))</f>
        <v/>
      </c>
      <c r="F4145" s="103" t="str">
        <f aca="false">IF($C4145="","",$D4145*$E4145)</f>
        <v/>
      </c>
      <c r="G4145" s="103" t="str">
        <f aca="false">IF($C4145="","",$D4145*IFERROR(INDEX('تحليل التكلفة والسعر'!$C$2:$C$700,MATCH($C4145,'تحليل التكلفة والسعر'!$B$2:$B$700,0)),0))</f>
        <v/>
      </c>
    </row>
    <row r="4146" customFormat="false" ht="15" hidden="false" customHeight="false" outlineLevel="0" collapsed="false">
      <c r="A4146" s="102"/>
      <c r="E4146" s="103" t="str">
        <f aca="false">IF($C4146="","",IFERROR(INDEX(المنيو!$C$2:$C$500,MATCH($C4146,المنيو!$B$2:$B$500,0)),0))</f>
        <v/>
      </c>
      <c r="F4146" s="103" t="str">
        <f aca="false">IF($C4146="","",$D4146*$E4146)</f>
        <v/>
      </c>
      <c r="G4146" s="103" t="str">
        <f aca="false">IF($C4146="","",$D4146*IFERROR(INDEX('تحليل التكلفة والسعر'!$C$2:$C$700,MATCH($C4146,'تحليل التكلفة والسعر'!$B$2:$B$700,0)),0))</f>
        <v/>
      </c>
    </row>
    <row r="4147" customFormat="false" ht="15" hidden="false" customHeight="false" outlineLevel="0" collapsed="false">
      <c r="A4147" s="102"/>
      <c r="E4147" s="103" t="str">
        <f aca="false">IF($C4147="","",IFERROR(INDEX(المنيو!$C$2:$C$500,MATCH($C4147,المنيو!$B$2:$B$500,0)),0))</f>
        <v/>
      </c>
      <c r="F4147" s="103" t="str">
        <f aca="false">IF($C4147="","",$D4147*$E4147)</f>
        <v/>
      </c>
      <c r="G4147" s="103" t="str">
        <f aca="false">IF($C4147="","",$D4147*IFERROR(INDEX('تحليل التكلفة والسعر'!$C$2:$C$700,MATCH($C4147,'تحليل التكلفة والسعر'!$B$2:$B$700,0)),0))</f>
        <v/>
      </c>
    </row>
    <row r="4148" customFormat="false" ht="15" hidden="false" customHeight="false" outlineLevel="0" collapsed="false">
      <c r="A4148" s="102"/>
      <c r="E4148" s="103" t="str">
        <f aca="false">IF($C4148="","",IFERROR(INDEX(المنيو!$C$2:$C$500,MATCH($C4148,المنيو!$B$2:$B$500,0)),0))</f>
        <v/>
      </c>
      <c r="F4148" s="103" t="str">
        <f aca="false">IF($C4148="","",$D4148*$E4148)</f>
        <v/>
      </c>
      <c r="G4148" s="103" t="str">
        <f aca="false">IF($C4148="","",$D4148*IFERROR(INDEX('تحليل التكلفة والسعر'!$C$2:$C$700,MATCH($C4148,'تحليل التكلفة والسعر'!$B$2:$B$700,0)),0))</f>
        <v/>
      </c>
    </row>
    <row r="4149" customFormat="false" ht="15" hidden="false" customHeight="false" outlineLevel="0" collapsed="false">
      <c r="A4149" s="102"/>
      <c r="E4149" s="103" t="str">
        <f aca="false">IF($C4149="","",IFERROR(INDEX(المنيو!$C$2:$C$500,MATCH($C4149,المنيو!$B$2:$B$500,0)),0))</f>
        <v/>
      </c>
      <c r="F4149" s="103" t="str">
        <f aca="false">IF($C4149="","",$D4149*$E4149)</f>
        <v/>
      </c>
      <c r="G4149" s="103" t="str">
        <f aca="false">IF($C4149="","",$D4149*IFERROR(INDEX('تحليل التكلفة والسعر'!$C$2:$C$700,MATCH($C4149,'تحليل التكلفة والسعر'!$B$2:$B$700,0)),0))</f>
        <v/>
      </c>
    </row>
    <row r="4150" customFormat="false" ht="15" hidden="false" customHeight="false" outlineLevel="0" collapsed="false">
      <c r="A4150" s="102"/>
      <c r="E4150" s="103" t="str">
        <f aca="false">IF($C4150="","",IFERROR(INDEX(المنيو!$C$2:$C$500,MATCH($C4150,المنيو!$B$2:$B$500,0)),0))</f>
        <v/>
      </c>
      <c r="F4150" s="103" t="str">
        <f aca="false">IF($C4150="","",$D4150*$E4150)</f>
        <v/>
      </c>
      <c r="G4150" s="103" t="str">
        <f aca="false">IF($C4150="","",$D4150*IFERROR(INDEX('تحليل التكلفة والسعر'!$C$2:$C$700,MATCH($C4150,'تحليل التكلفة والسعر'!$B$2:$B$700,0)),0))</f>
        <v/>
      </c>
    </row>
    <row r="4151" customFormat="false" ht="15" hidden="false" customHeight="false" outlineLevel="0" collapsed="false">
      <c r="A4151" s="102"/>
      <c r="E4151" s="103" t="str">
        <f aca="false">IF($C4151="","",IFERROR(INDEX(المنيو!$C$2:$C$500,MATCH($C4151,المنيو!$B$2:$B$500,0)),0))</f>
        <v/>
      </c>
      <c r="F4151" s="103" t="str">
        <f aca="false">IF($C4151="","",$D4151*$E4151)</f>
        <v/>
      </c>
      <c r="G4151" s="103" t="str">
        <f aca="false">IF($C4151="","",$D4151*IFERROR(INDEX('تحليل التكلفة والسعر'!$C$2:$C$700,MATCH($C4151,'تحليل التكلفة والسعر'!$B$2:$B$700,0)),0))</f>
        <v/>
      </c>
    </row>
    <row r="4152" customFormat="false" ht="15" hidden="false" customHeight="false" outlineLevel="0" collapsed="false">
      <c r="A4152" s="102"/>
      <c r="E4152" s="103" t="str">
        <f aca="false">IF($C4152="","",IFERROR(INDEX(المنيو!$C$2:$C$500,MATCH($C4152,المنيو!$B$2:$B$500,0)),0))</f>
        <v/>
      </c>
      <c r="F4152" s="103" t="str">
        <f aca="false">IF($C4152="","",$D4152*$E4152)</f>
        <v/>
      </c>
      <c r="G4152" s="103" t="str">
        <f aca="false">IF($C4152="","",$D4152*IFERROR(INDEX('تحليل التكلفة والسعر'!$C$2:$C$700,MATCH($C4152,'تحليل التكلفة والسعر'!$B$2:$B$700,0)),0))</f>
        <v/>
      </c>
    </row>
    <row r="4153" customFormat="false" ht="15" hidden="false" customHeight="false" outlineLevel="0" collapsed="false">
      <c r="A4153" s="102"/>
      <c r="E4153" s="103" t="str">
        <f aca="false">IF($C4153="","",IFERROR(INDEX(المنيو!$C$2:$C$500,MATCH($C4153,المنيو!$B$2:$B$500,0)),0))</f>
        <v/>
      </c>
      <c r="F4153" s="103" t="str">
        <f aca="false">IF($C4153="","",$D4153*$E4153)</f>
        <v/>
      </c>
      <c r="G4153" s="103" t="str">
        <f aca="false">IF($C4153="","",$D4153*IFERROR(INDEX('تحليل التكلفة والسعر'!$C$2:$C$700,MATCH($C4153,'تحليل التكلفة والسعر'!$B$2:$B$700,0)),0))</f>
        <v/>
      </c>
    </row>
    <row r="4154" customFormat="false" ht="15" hidden="false" customHeight="false" outlineLevel="0" collapsed="false">
      <c r="A4154" s="102"/>
      <c r="E4154" s="103" t="str">
        <f aca="false">IF($C4154="","",IFERROR(INDEX(المنيو!$C$2:$C$500,MATCH($C4154,المنيو!$B$2:$B$500,0)),0))</f>
        <v/>
      </c>
      <c r="F4154" s="103" t="str">
        <f aca="false">IF($C4154="","",$D4154*$E4154)</f>
        <v/>
      </c>
      <c r="G4154" s="103" t="str">
        <f aca="false">IF($C4154="","",$D4154*IFERROR(INDEX('تحليل التكلفة والسعر'!$C$2:$C$700,MATCH($C4154,'تحليل التكلفة والسعر'!$B$2:$B$700,0)),0))</f>
        <v/>
      </c>
    </row>
    <row r="4155" customFormat="false" ht="15" hidden="false" customHeight="false" outlineLevel="0" collapsed="false">
      <c r="A4155" s="102"/>
      <c r="E4155" s="103" t="str">
        <f aca="false">IF($C4155="","",IFERROR(INDEX(المنيو!$C$2:$C$500,MATCH($C4155,المنيو!$B$2:$B$500,0)),0))</f>
        <v/>
      </c>
      <c r="F4155" s="103" t="str">
        <f aca="false">IF($C4155="","",$D4155*$E4155)</f>
        <v/>
      </c>
      <c r="G4155" s="103" t="str">
        <f aca="false">IF($C4155="","",$D4155*IFERROR(INDEX('تحليل التكلفة والسعر'!$C$2:$C$700,MATCH($C4155,'تحليل التكلفة والسعر'!$B$2:$B$700,0)),0))</f>
        <v/>
      </c>
    </row>
    <row r="4156" customFormat="false" ht="15" hidden="false" customHeight="false" outlineLevel="0" collapsed="false">
      <c r="A4156" s="102"/>
      <c r="E4156" s="103" t="str">
        <f aca="false">IF($C4156="","",IFERROR(INDEX(المنيو!$C$2:$C$500,MATCH($C4156,المنيو!$B$2:$B$500,0)),0))</f>
        <v/>
      </c>
      <c r="F4156" s="103" t="str">
        <f aca="false">IF($C4156="","",$D4156*$E4156)</f>
        <v/>
      </c>
      <c r="G4156" s="103" t="str">
        <f aca="false">IF($C4156="","",$D4156*IFERROR(INDEX('تحليل التكلفة والسعر'!$C$2:$C$700,MATCH($C4156,'تحليل التكلفة والسعر'!$B$2:$B$700,0)),0))</f>
        <v/>
      </c>
    </row>
    <row r="4157" customFormat="false" ht="15" hidden="false" customHeight="false" outlineLevel="0" collapsed="false">
      <c r="A4157" s="102"/>
      <c r="E4157" s="103" t="str">
        <f aca="false">IF($C4157="","",IFERROR(INDEX(المنيو!$C$2:$C$500,MATCH($C4157,المنيو!$B$2:$B$500,0)),0))</f>
        <v/>
      </c>
      <c r="F4157" s="103" t="str">
        <f aca="false">IF($C4157="","",$D4157*$E4157)</f>
        <v/>
      </c>
      <c r="G4157" s="103" t="str">
        <f aca="false">IF($C4157="","",$D4157*IFERROR(INDEX('تحليل التكلفة والسعر'!$C$2:$C$700,MATCH($C4157,'تحليل التكلفة والسعر'!$B$2:$B$700,0)),0))</f>
        <v/>
      </c>
    </row>
    <row r="4158" customFormat="false" ht="15" hidden="false" customHeight="false" outlineLevel="0" collapsed="false">
      <c r="A4158" s="102"/>
      <c r="E4158" s="103" t="str">
        <f aca="false">IF($C4158="","",IFERROR(INDEX(المنيو!$C$2:$C$500,MATCH($C4158,المنيو!$B$2:$B$500,0)),0))</f>
        <v/>
      </c>
      <c r="F4158" s="103" t="str">
        <f aca="false">IF($C4158="","",$D4158*$E4158)</f>
        <v/>
      </c>
      <c r="G4158" s="103" t="str">
        <f aca="false">IF($C4158="","",$D4158*IFERROR(INDEX('تحليل التكلفة والسعر'!$C$2:$C$700,MATCH($C4158,'تحليل التكلفة والسعر'!$B$2:$B$700,0)),0))</f>
        <v/>
      </c>
    </row>
    <row r="4159" customFormat="false" ht="15" hidden="false" customHeight="false" outlineLevel="0" collapsed="false">
      <c r="A4159" s="102"/>
      <c r="E4159" s="103" t="str">
        <f aca="false">IF($C4159="","",IFERROR(INDEX(المنيو!$C$2:$C$500,MATCH($C4159,المنيو!$B$2:$B$500,0)),0))</f>
        <v/>
      </c>
      <c r="F4159" s="103" t="str">
        <f aca="false">IF($C4159="","",$D4159*$E4159)</f>
        <v/>
      </c>
      <c r="G4159" s="103" t="str">
        <f aca="false">IF($C4159="","",$D4159*IFERROR(INDEX('تحليل التكلفة والسعر'!$C$2:$C$700,MATCH($C4159,'تحليل التكلفة والسعر'!$B$2:$B$700,0)),0))</f>
        <v/>
      </c>
    </row>
    <row r="4160" customFormat="false" ht="15" hidden="false" customHeight="false" outlineLevel="0" collapsed="false">
      <c r="A4160" s="102"/>
      <c r="E4160" s="103" t="str">
        <f aca="false">IF($C4160="","",IFERROR(INDEX(المنيو!$C$2:$C$500,MATCH($C4160,المنيو!$B$2:$B$500,0)),0))</f>
        <v/>
      </c>
      <c r="F4160" s="103" t="str">
        <f aca="false">IF($C4160="","",$D4160*$E4160)</f>
        <v/>
      </c>
      <c r="G4160" s="103" t="str">
        <f aca="false">IF($C4160="","",$D4160*IFERROR(INDEX('تحليل التكلفة والسعر'!$C$2:$C$700,MATCH($C4160,'تحليل التكلفة والسعر'!$B$2:$B$700,0)),0))</f>
        <v/>
      </c>
    </row>
    <row r="4161" customFormat="false" ht="15" hidden="false" customHeight="false" outlineLevel="0" collapsed="false">
      <c r="A4161" s="102"/>
      <c r="E4161" s="103" t="str">
        <f aca="false">IF($C4161="","",IFERROR(INDEX(المنيو!$C$2:$C$500,MATCH($C4161,المنيو!$B$2:$B$500,0)),0))</f>
        <v/>
      </c>
      <c r="F4161" s="103" t="str">
        <f aca="false">IF($C4161="","",$D4161*$E4161)</f>
        <v/>
      </c>
      <c r="G4161" s="103" t="str">
        <f aca="false">IF($C4161="","",$D4161*IFERROR(INDEX('تحليل التكلفة والسعر'!$C$2:$C$700,MATCH($C4161,'تحليل التكلفة والسعر'!$B$2:$B$700,0)),0))</f>
        <v/>
      </c>
    </row>
    <row r="4162" customFormat="false" ht="15" hidden="false" customHeight="false" outlineLevel="0" collapsed="false">
      <c r="A4162" s="102"/>
      <c r="E4162" s="103" t="str">
        <f aca="false">IF($C4162="","",IFERROR(INDEX(المنيو!$C$2:$C$500,MATCH($C4162,المنيو!$B$2:$B$500,0)),0))</f>
        <v/>
      </c>
      <c r="F4162" s="103" t="str">
        <f aca="false">IF($C4162="","",$D4162*$E4162)</f>
        <v/>
      </c>
      <c r="G4162" s="103" t="str">
        <f aca="false">IF($C4162="","",$D4162*IFERROR(INDEX('تحليل التكلفة والسعر'!$C$2:$C$700,MATCH($C4162,'تحليل التكلفة والسعر'!$B$2:$B$700,0)),0))</f>
        <v/>
      </c>
    </row>
    <row r="4163" customFormat="false" ht="15" hidden="false" customHeight="false" outlineLevel="0" collapsed="false">
      <c r="A4163" s="102"/>
      <c r="E4163" s="103" t="str">
        <f aca="false">IF($C4163="","",IFERROR(INDEX(المنيو!$C$2:$C$500,MATCH($C4163,المنيو!$B$2:$B$500,0)),0))</f>
        <v/>
      </c>
      <c r="F4163" s="103" t="str">
        <f aca="false">IF($C4163="","",$D4163*$E4163)</f>
        <v/>
      </c>
      <c r="G4163" s="103" t="str">
        <f aca="false">IF($C4163="","",$D4163*IFERROR(INDEX('تحليل التكلفة والسعر'!$C$2:$C$700,MATCH($C4163,'تحليل التكلفة والسعر'!$B$2:$B$700,0)),0))</f>
        <v/>
      </c>
    </row>
    <row r="4164" customFormat="false" ht="15" hidden="false" customHeight="false" outlineLevel="0" collapsed="false">
      <c r="A4164" s="102"/>
      <c r="E4164" s="103" t="str">
        <f aca="false">IF($C4164="","",IFERROR(INDEX(المنيو!$C$2:$C$500,MATCH($C4164,المنيو!$B$2:$B$500,0)),0))</f>
        <v/>
      </c>
      <c r="F4164" s="103" t="str">
        <f aca="false">IF($C4164="","",$D4164*$E4164)</f>
        <v/>
      </c>
      <c r="G4164" s="103" t="str">
        <f aca="false">IF($C4164="","",$D4164*IFERROR(INDEX('تحليل التكلفة والسعر'!$C$2:$C$700,MATCH($C4164,'تحليل التكلفة والسعر'!$B$2:$B$700,0)),0))</f>
        <v/>
      </c>
    </row>
    <row r="4165" customFormat="false" ht="15" hidden="false" customHeight="false" outlineLevel="0" collapsed="false">
      <c r="A4165" s="102"/>
      <c r="E4165" s="103" t="str">
        <f aca="false">IF($C4165="","",IFERROR(INDEX(المنيو!$C$2:$C$500,MATCH($C4165,المنيو!$B$2:$B$500,0)),0))</f>
        <v/>
      </c>
      <c r="F4165" s="103" t="str">
        <f aca="false">IF($C4165="","",$D4165*$E4165)</f>
        <v/>
      </c>
      <c r="G4165" s="103" t="str">
        <f aca="false">IF($C4165="","",$D4165*IFERROR(INDEX('تحليل التكلفة والسعر'!$C$2:$C$700,MATCH($C4165,'تحليل التكلفة والسعر'!$B$2:$B$700,0)),0))</f>
        <v/>
      </c>
    </row>
    <row r="4166" customFormat="false" ht="15" hidden="false" customHeight="false" outlineLevel="0" collapsed="false">
      <c r="A4166" s="102"/>
      <c r="E4166" s="103" t="str">
        <f aca="false">IF($C4166="","",IFERROR(INDEX(المنيو!$C$2:$C$500,MATCH($C4166,المنيو!$B$2:$B$500,0)),0))</f>
        <v/>
      </c>
      <c r="F4166" s="103" t="str">
        <f aca="false">IF($C4166="","",$D4166*$E4166)</f>
        <v/>
      </c>
      <c r="G4166" s="103" t="str">
        <f aca="false">IF($C4166="","",$D4166*IFERROR(INDEX('تحليل التكلفة والسعر'!$C$2:$C$700,MATCH($C4166,'تحليل التكلفة والسعر'!$B$2:$B$700,0)),0))</f>
        <v/>
      </c>
    </row>
    <row r="4167" customFormat="false" ht="15" hidden="false" customHeight="false" outlineLevel="0" collapsed="false">
      <c r="A4167" s="102"/>
      <c r="E4167" s="103" t="str">
        <f aca="false">IF($C4167="","",IFERROR(INDEX(المنيو!$C$2:$C$500,MATCH($C4167,المنيو!$B$2:$B$500,0)),0))</f>
        <v/>
      </c>
      <c r="F4167" s="103" t="str">
        <f aca="false">IF($C4167="","",$D4167*$E4167)</f>
        <v/>
      </c>
      <c r="G4167" s="103" t="str">
        <f aca="false">IF($C4167="","",$D4167*IFERROR(INDEX('تحليل التكلفة والسعر'!$C$2:$C$700,MATCH($C4167,'تحليل التكلفة والسعر'!$B$2:$B$700,0)),0))</f>
        <v/>
      </c>
    </row>
    <row r="4168" customFormat="false" ht="15" hidden="false" customHeight="false" outlineLevel="0" collapsed="false">
      <c r="A4168" s="102"/>
      <c r="E4168" s="103" t="str">
        <f aca="false">IF($C4168="","",IFERROR(INDEX(المنيو!$C$2:$C$500,MATCH($C4168,المنيو!$B$2:$B$500,0)),0))</f>
        <v/>
      </c>
      <c r="F4168" s="103" t="str">
        <f aca="false">IF($C4168="","",$D4168*$E4168)</f>
        <v/>
      </c>
      <c r="G4168" s="103" t="str">
        <f aca="false">IF($C4168="","",$D4168*IFERROR(INDEX('تحليل التكلفة والسعر'!$C$2:$C$700,MATCH($C4168,'تحليل التكلفة والسعر'!$B$2:$B$700,0)),0))</f>
        <v/>
      </c>
    </row>
    <row r="4169" customFormat="false" ht="15" hidden="false" customHeight="false" outlineLevel="0" collapsed="false">
      <c r="A4169" s="102"/>
      <c r="E4169" s="103" t="str">
        <f aca="false">IF($C4169="","",IFERROR(INDEX(المنيو!$C$2:$C$500,MATCH($C4169,المنيو!$B$2:$B$500,0)),0))</f>
        <v/>
      </c>
      <c r="F4169" s="103" t="str">
        <f aca="false">IF($C4169="","",$D4169*$E4169)</f>
        <v/>
      </c>
      <c r="G4169" s="103" t="str">
        <f aca="false">IF($C4169="","",$D4169*IFERROR(INDEX('تحليل التكلفة والسعر'!$C$2:$C$700,MATCH($C4169,'تحليل التكلفة والسعر'!$B$2:$B$700,0)),0))</f>
        <v/>
      </c>
    </row>
    <row r="4170" customFormat="false" ht="15" hidden="false" customHeight="false" outlineLevel="0" collapsed="false">
      <c r="A4170" s="102"/>
      <c r="E4170" s="103" t="str">
        <f aca="false">IF($C4170="","",IFERROR(INDEX(المنيو!$C$2:$C$500,MATCH($C4170,المنيو!$B$2:$B$500,0)),0))</f>
        <v/>
      </c>
      <c r="F4170" s="103" t="str">
        <f aca="false">IF($C4170="","",$D4170*$E4170)</f>
        <v/>
      </c>
      <c r="G4170" s="103" t="str">
        <f aca="false">IF($C4170="","",$D4170*IFERROR(INDEX('تحليل التكلفة والسعر'!$C$2:$C$700,MATCH($C4170,'تحليل التكلفة والسعر'!$B$2:$B$700,0)),0))</f>
        <v/>
      </c>
    </row>
    <row r="4171" customFormat="false" ht="15" hidden="false" customHeight="false" outlineLevel="0" collapsed="false">
      <c r="A4171" s="102"/>
      <c r="E4171" s="103" t="str">
        <f aca="false">IF($C4171="","",IFERROR(INDEX(المنيو!$C$2:$C$500,MATCH($C4171,المنيو!$B$2:$B$500,0)),0))</f>
        <v/>
      </c>
      <c r="F4171" s="103" t="str">
        <f aca="false">IF($C4171="","",$D4171*$E4171)</f>
        <v/>
      </c>
      <c r="G4171" s="103" t="str">
        <f aca="false">IF($C4171="","",$D4171*IFERROR(INDEX('تحليل التكلفة والسعر'!$C$2:$C$700,MATCH($C4171,'تحليل التكلفة والسعر'!$B$2:$B$700,0)),0))</f>
        <v/>
      </c>
    </row>
    <row r="4172" customFormat="false" ht="15" hidden="false" customHeight="false" outlineLevel="0" collapsed="false">
      <c r="A4172" s="102"/>
      <c r="E4172" s="103" t="str">
        <f aca="false">IF($C4172="","",IFERROR(INDEX(المنيو!$C$2:$C$500,MATCH($C4172,المنيو!$B$2:$B$500,0)),0))</f>
        <v/>
      </c>
      <c r="F4172" s="103" t="str">
        <f aca="false">IF($C4172="","",$D4172*$E4172)</f>
        <v/>
      </c>
      <c r="G4172" s="103" t="str">
        <f aca="false">IF($C4172="","",$D4172*IFERROR(INDEX('تحليل التكلفة والسعر'!$C$2:$C$700,MATCH($C4172,'تحليل التكلفة والسعر'!$B$2:$B$700,0)),0))</f>
        <v/>
      </c>
    </row>
    <row r="4173" customFormat="false" ht="15" hidden="false" customHeight="false" outlineLevel="0" collapsed="false">
      <c r="A4173" s="102"/>
      <c r="E4173" s="103" t="str">
        <f aca="false">IF($C4173="","",IFERROR(INDEX(المنيو!$C$2:$C$500,MATCH($C4173,المنيو!$B$2:$B$500,0)),0))</f>
        <v/>
      </c>
      <c r="F4173" s="103" t="str">
        <f aca="false">IF($C4173="","",$D4173*$E4173)</f>
        <v/>
      </c>
      <c r="G4173" s="103" t="str">
        <f aca="false">IF($C4173="","",$D4173*IFERROR(INDEX('تحليل التكلفة والسعر'!$C$2:$C$700,MATCH($C4173,'تحليل التكلفة والسعر'!$B$2:$B$700,0)),0))</f>
        <v/>
      </c>
    </row>
    <row r="4174" customFormat="false" ht="15" hidden="false" customHeight="false" outlineLevel="0" collapsed="false">
      <c r="A4174" s="102"/>
      <c r="E4174" s="103" t="str">
        <f aca="false">IF($C4174="","",IFERROR(INDEX(المنيو!$C$2:$C$500,MATCH($C4174,المنيو!$B$2:$B$500,0)),0))</f>
        <v/>
      </c>
      <c r="F4174" s="103" t="str">
        <f aca="false">IF($C4174="","",$D4174*$E4174)</f>
        <v/>
      </c>
      <c r="G4174" s="103" t="str">
        <f aca="false">IF($C4174="","",$D4174*IFERROR(INDEX('تحليل التكلفة والسعر'!$C$2:$C$700,MATCH($C4174,'تحليل التكلفة والسعر'!$B$2:$B$700,0)),0))</f>
        <v/>
      </c>
    </row>
    <row r="4175" customFormat="false" ht="15" hidden="false" customHeight="false" outlineLevel="0" collapsed="false">
      <c r="A4175" s="102"/>
      <c r="E4175" s="103" t="str">
        <f aca="false">IF($C4175="","",IFERROR(INDEX(المنيو!$C$2:$C$500,MATCH($C4175,المنيو!$B$2:$B$500,0)),0))</f>
        <v/>
      </c>
      <c r="F4175" s="103" t="str">
        <f aca="false">IF($C4175="","",$D4175*$E4175)</f>
        <v/>
      </c>
      <c r="G4175" s="103" t="str">
        <f aca="false">IF($C4175="","",$D4175*IFERROR(INDEX('تحليل التكلفة والسعر'!$C$2:$C$700,MATCH($C4175,'تحليل التكلفة والسعر'!$B$2:$B$700,0)),0))</f>
        <v/>
      </c>
    </row>
    <row r="4176" customFormat="false" ht="15" hidden="false" customHeight="false" outlineLevel="0" collapsed="false">
      <c r="A4176" s="102"/>
      <c r="E4176" s="103" t="str">
        <f aca="false">IF($C4176="","",IFERROR(INDEX(المنيو!$C$2:$C$500,MATCH($C4176,المنيو!$B$2:$B$500,0)),0))</f>
        <v/>
      </c>
      <c r="F4176" s="103" t="str">
        <f aca="false">IF($C4176="","",$D4176*$E4176)</f>
        <v/>
      </c>
      <c r="G4176" s="103" t="str">
        <f aca="false">IF($C4176="","",$D4176*IFERROR(INDEX('تحليل التكلفة والسعر'!$C$2:$C$700,MATCH($C4176,'تحليل التكلفة والسعر'!$B$2:$B$700,0)),0))</f>
        <v/>
      </c>
    </row>
    <row r="4177" customFormat="false" ht="15" hidden="false" customHeight="false" outlineLevel="0" collapsed="false">
      <c r="A4177" s="102"/>
      <c r="E4177" s="103" t="str">
        <f aca="false">IF($C4177="","",IFERROR(INDEX(المنيو!$C$2:$C$500,MATCH($C4177,المنيو!$B$2:$B$500,0)),0))</f>
        <v/>
      </c>
      <c r="F4177" s="103" t="str">
        <f aca="false">IF($C4177="","",$D4177*$E4177)</f>
        <v/>
      </c>
      <c r="G4177" s="103" t="str">
        <f aca="false">IF($C4177="","",$D4177*IFERROR(INDEX('تحليل التكلفة والسعر'!$C$2:$C$700,MATCH($C4177,'تحليل التكلفة والسعر'!$B$2:$B$700,0)),0))</f>
        <v/>
      </c>
    </row>
    <row r="4178" customFormat="false" ht="15" hidden="false" customHeight="false" outlineLevel="0" collapsed="false">
      <c r="A4178" s="102"/>
      <c r="E4178" s="103" t="str">
        <f aca="false">IF($C4178="","",IFERROR(INDEX(المنيو!$C$2:$C$500,MATCH($C4178,المنيو!$B$2:$B$500,0)),0))</f>
        <v/>
      </c>
      <c r="F4178" s="103" t="str">
        <f aca="false">IF($C4178="","",$D4178*$E4178)</f>
        <v/>
      </c>
      <c r="G4178" s="103" t="str">
        <f aca="false">IF($C4178="","",$D4178*IFERROR(INDEX('تحليل التكلفة والسعر'!$C$2:$C$700,MATCH($C4178,'تحليل التكلفة والسعر'!$B$2:$B$700,0)),0))</f>
        <v/>
      </c>
    </row>
    <row r="4179" customFormat="false" ht="15" hidden="false" customHeight="false" outlineLevel="0" collapsed="false">
      <c r="A4179" s="102"/>
      <c r="E4179" s="103" t="str">
        <f aca="false">IF($C4179="","",IFERROR(INDEX(المنيو!$C$2:$C$500,MATCH($C4179,المنيو!$B$2:$B$500,0)),0))</f>
        <v/>
      </c>
      <c r="F4179" s="103" t="str">
        <f aca="false">IF($C4179="","",$D4179*$E4179)</f>
        <v/>
      </c>
      <c r="G4179" s="103" t="str">
        <f aca="false">IF($C4179="","",$D4179*IFERROR(INDEX('تحليل التكلفة والسعر'!$C$2:$C$700,MATCH($C4179,'تحليل التكلفة والسعر'!$B$2:$B$700,0)),0))</f>
        <v/>
      </c>
    </row>
    <row r="4180" customFormat="false" ht="15" hidden="false" customHeight="false" outlineLevel="0" collapsed="false">
      <c r="A4180" s="102"/>
      <c r="E4180" s="103" t="str">
        <f aca="false">IF($C4180="","",IFERROR(INDEX(المنيو!$C$2:$C$500,MATCH($C4180,المنيو!$B$2:$B$500,0)),0))</f>
        <v/>
      </c>
      <c r="F4180" s="103" t="str">
        <f aca="false">IF($C4180="","",$D4180*$E4180)</f>
        <v/>
      </c>
      <c r="G4180" s="103" t="str">
        <f aca="false">IF($C4180="","",$D4180*IFERROR(INDEX('تحليل التكلفة والسعر'!$C$2:$C$700,MATCH($C4180,'تحليل التكلفة والسعر'!$B$2:$B$700,0)),0))</f>
        <v/>
      </c>
    </row>
    <row r="4181" customFormat="false" ht="15" hidden="false" customHeight="false" outlineLevel="0" collapsed="false">
      <c r="A4181" s="102"/>
      <c r="E4181" s="103" t="str">
        <f aca="false">IF($C4181="","",IFERROR(INDEX(المنيو!$C$2:$C$500,MATCH($C4181,المنيو!$B$2:$B$500,0)),0))</f>
        <v/>
      </c>
      <c r="F4181" s="103" t="str">
        <f aca="false">IF($C4181="","",$D4181*$E4181)</f>
        <v/>
      </c>
      <c r="G4181" s="103" t="str">
        <f aca="false">IF($C4181="","",$D4181*IFERROR(INDEX('تحليل التكلفة والسعر'!$C$2:$C$700,MATCH($C4181,'تحليل التكلفة والسعر'!$B$2:$B$700,0)),0))</f>
        <v/>
      </c>
    </row>
    <row r="4182" customFormat="false" ht="15" hidden="false" customHeight="false" outlineLevel="0" collapsed="false">
      <c r="A4182" s="102"/>
      <c r="E4182" s="103" t="str">
        <f aca="false">IF($C4182="","",IFERROR(INDEX(المنيو!$C$2:$C$500,MATCH($C4182,المنيو!$B$2:$B$500,0)),0))</f>
        <v/>
      </c>
      <c r="F4182" s="103" t="str">
        <f aca="false">IF($C4182="","",$D4182*$E4182)</f>
        <v/>
      </c>
      <c r="G4182" s="103" t="str">
        <f aca="false">IF($C4182="","",$D4182*IFERROR(INDEX('تحليل التكلفة والسعر'!$C$2:$C$700,MATCH($C4182,'تحليل التكلفة والسعر'!$B$2:$B$700,0)),0))</f>
        <v/>
      </c>
    </row>
    <row r="4183" customFormat="false" ht="15" hidden="false" customHeight="false" outlineLevel="0" collapsed="false">
      <c r="A4183" s="102"/>
      <c r="E4183" s="103" t="str">
        <f aca="false">IF($C4183="","",IFERROR(INDEX(المنيو!$C$2:$C$500,MATCH($C4183,المنيو!$B$2:$B$500,0)),0))</f>
        <v/>
      </c>
      <c r="F4183" s="103" t="str">
        <f aca="false">IF($C4183="","",$D4183*$E4183)</f>
        <v/>
      </c>
      <c r="G4183" s="103" t="str">
        <f aca="false">IF($C4183="","",$D4183*IFERROR(INDEX('تحليل التكلفة والسعر'!$C$2:$C$700,MATCH($C4183,'تحليل التكلفة والسعر'!$B$2:$B$700,0)),0))</f>
        <v/>
      </c>
    </row>
    <row r="4184" customFormat="false" ht="15" hidden="false" customHeight="false" outlineLevel="0" collapsed="false">
      <c r="A4184" s="102"/>
      <c r="E4184" s="103" t="str">
        <f aca="false">IF($C4184="","",IFERROR(INDEX(المنيو!$C$2:$C$500,MATCH($C4184,المنيو!$B$2:$B$500,0)),0))</f>
        <v/>
      </c>
      <c r="F4184" s="103" t="str">
        <f aca="false">IF($C4184="","",$D4184*$E4184)</f>
        <v/>
      </c>
      <c r="G4184" s="103" t="str">
        <f aca="false">IF($C4184="","",$D4184*IFERROR(INDEX('تحليل التكلفة والسعر'!$C$2:$C$700,MATCH($C4184,'تحليل التكلفة والسعر'!$B$2:$B$700,0)),0))</f>
        <v/>
      </c>
    </row>
    <row r="4185" customFormat="false" ht="15" hidden="false" customHeight="false" outlineLevel="0" collapsed="false">
      <c r="A4185" s="102"/>
      <c r="E4185" s="103" t="str">
        <f aca="false">IF($C4185="","",IFERROR(INDEX(المنيو!$C$2:$C$500,MATCH($C4185,المنيو!$B$2:$B$500,0)),0))</f>
        <v/>
      </c>
      <c r="F4185" s="103" t="str">
        <f aca="false">IF($C4185="","",$D4185*$E4185)</f>
        <v/>
      </c>
      <c r="G4185" s="103" t="str">
        <f aca="false">IF($C4185="","",$D4185*IFERROR(INDEX('تحليل التكلفة والسعر'!$C$2:$C$700,MATCH($C4185,'تحليل التكلفة والسعر'!$B$2:$B$700,0)),0))</f>
        <v/>
      </c>
    </row>
    <row r="4186" customFormat="false" ht="15" hidden="false" customHeight="false" outlineLevel="0" collapsed="false">
      <c r="A4186" s="102"/>
      <c r="E4186" s="103" t="str">
        <f aca="false">IF($C4186="","",IFERROR(INDEX(المنيو!$C$2:$C$500,MATCH($C4186,المنيو!$B$2:$B$500,0)),0))</f>
        <v/>
      </c>
      <c r="F4186" s="103" t="str">
        <f aca="false">IF($C4186="","",$D4186*$E4186)</f>
        <v/>
      </c>
      <c r="G4186" s="103" t="str">
        <f aca="false">IF($C4186="","",$D4186*IFERROR(INDEX('تحليل التكلفة والسعر'!$C$2:$C$700,MATCH($C4186,'تحليل التكلفة والسعر'!$B$2:$B$700,0)),0))</f>
        <v/>
      </c>
    </row>
    <row r="4187" customFormat="false" ht="15" hidden="false" customHeight="false" outlineLevel="0" collapsed="false">
      <c r="A4187" s="102"/>
      <c r="E4187" s="103" t="str">
        <f aca="false">IF($C4187="","",IFERROR(INDEX(المنيو!$C$2:$C$500,MATCH($C4187,المنيو!$B$2:$B$500,0)),0))</f>
        <v/>
      </c>
      <c r="F4187" s="103" t="str">
        <f aca="false">IF($C4187="","",$D4187*$E4187)</f>
        <v/>
      </c>
      <c r="G4187" s="103" t="str">
        <f aca="false">IF($C4187="","",$D4187*IFERROR(INDEX('تحليل التكلفة والسعر'!$C$2:$C$700,MATCH($C4187,'تحليل التكلفة والسعر'!$B$2:$B$700,0)),0))</f>
        <v/>
      </c>
    </row>
    <row r="4188" customFormat="false" ht="15" hidden="false" customHeight="false" outlineLevel="0" collapsed="false">
      <c r="A4188" s="102"/>
      <c r="E4188" s="103" t="str">
        <f aca="false">IF($C4188="","",IFERROR(INDEX(المنيو!$C$2:$C$500,MATCH($C4188,المنيو!$B$2:$B$500,0)),0))</f>
        <v/>
      </c>
      <c r="F4188" s="103" t="str">
        <f aca="false">IF($C4188="","",$D4188*$E4188)</f>
        <v/>
      </c>
      <c r="G4188" s="103" t="str">
        <f aca="false">IF($C4188="","",$D4188*IFERROR(INDEX('تحليل التكلفة والسعر'!$C$2:$C$700,MATCH($C4188,'تحليل التكلفة والسعر'!$B$2:$B$700,0)),0))</f>
        <v/>
      </c>
    </row>
    <row r="4189" customFormat="false" ht="15" hidden="false" customHeight="false" outlineLevel="0" collapsed="false">
      <c r="A4189" s="102"/>
      <c r="E4189" s="103" t="str">
        <f aca="false">IF($C4189="","",IFERROR(INDEX(المنيو!$C$2:$C$500,MATCH($C4189,المنيو!$B$2:$B$500,0)),0))</f>
        <v/>
      </c>
      <c r="F4189" s="103" t="str">
        <f aca="false">IF($C4189="","",$D4189*$E4189)</f>
        <v/>
      </c>
      <c r="G4189" s="103" t="str">
        <f aca="false">IF($C4189="","",$D4189*IFERROR(INDEX('تحليل التكلفة والسعر'!$C$2:$C$700,MATCH($C4189,'تحليل التكلفة والسعر'!$B$2:$B$700,0)),0))</f>
        <v/>
      </c>
    </row>
    <row r="4190" customFormat="false" ht="15" hidden="false" customHeight="false" outlineLevel="0" collapsed="false">
      <c r="A4190" s="102"/>
      <c r="E4190" s="103" t="str">
        <f aca="false">IF($C4190="","",IFERROR(INDEX(المنيو!$C$2:$C$500,MATCH($C4190,المنيو!$B$2:$B$500,0)),0))</f>
        <v/>
      </c>
      <c r="F4190" s="103" t="str">
        <f aca="false">IF($C4190="","",$D4190*$E4190)</f>
        <v/>
      </c>
      <c r="G4190" s="103" t="str">
        <f aca="false">IF($C4190="","",$D4190*IFERROR(INDEX('تحليل التكلفة والسعر'!$C$2:$C$700,MATCH($C4190,'تحليل التكلفة والسعر'!$B$2:$B$700,0)),0))</f>
        <v/>
      </c>
    </row>
    <row r="4191" customFormat="false" ht="15" hidden="false" customHeight="false" outlineLevel="0" collapsed="false">
      <c r="A4191" s="102"/>
      <c r="E4191" s="103" t="str">
        <f aca="false">IF($C4191="","",IFERROR(INDEX(المنيو!$C$2:$C$500,MATCH($C4191,المنيو!$B$2:$B$500,0)),0))</f>
        <v/>
      </c>
      <c r="F4191" s="103" t="str">
        <f aca="false">IF($C4191="","",$D4191*$E4191)</f>
        <v/>
      </c>
      <c r="G4191" s="103" t="str">
        <f aca="false">IF($C4191="","",$D4191*IFERROR(INDEX('تحليل التكلفة والسعر'!$C$2:$C$700,MATCH($C4191,'تحليل التكلفة والسعر'!$B$2:$B$700,0)),0))</f>
        <v/>
      </c>
    </row>
    <row r="4192" customFormat="false" ht="15" hidden="false" customHeight="false" outlineLevel="0" collapsed="false">
      <c r="A4192" s="102"/>
      <c r="E4192" s="103" t="str">
        <f aca="false">IF($C4192="","",IFERROR(INDEX(المنيو!$C$2:$C$500,MATCH($C4192,المنيو!$B$2:$B$500,0)),0))</f>
        <v/>
      </c>
      <c r="F4192" s="103" t="str">
        <f aca="false">IF($C4192="","",$D4192*$E4192)</f>
        <v/>
      </c>
      <c r="G4192" s="103" t="str">
        <f aca="false">IF($C4192="","",$D4192*IFERROR(INDEX('تحليل التكلفة والسعر'!$C$2:$C$700,MATCH($C4192,'تحليل التكلفة والسعر'!$B$2:$B$700,0)),0))</f>
        <v/>
      </c>
    </row>
    <row r="4193" customFormat="false" ht="15" hidden="false" customHeight="false" outlineLevel="0" collapsed="false">
      <c r="A4193" s="102"/>
      <c r="E4193" s="103" t="str">
        <f aca="false">IF($C4193="","",IFERROR(INDEX(المنيو!$C$2:$C$500,MATCH($C4193,المنيو!$B$2:$B$500,0)),0))</f>
        <v/>
      </c>
      <c r="F4193" s="103" t="str">
        <f aca="false">IF($C4193="","",$D4193*$E4193)</f>
        <v/>
      </c>
      <c r="G4193" s="103" t="str">
        <f aca="false">IF($C4193="","",$D4193*IFERROR(INDEX('تحليل التكلفة والسعر'!$C$2:$C$700,MATCH($C4193,'تحليل التكلفة والسعر'!$B$2:$B$700,0)),0))</f>
        <v/>
      </c>
    </row>
    <row r="4194" customFormat="false" ht="15" hidden="false" customHeight="false" outlineLevel="0" collapsed="false">
      <c r="A4194" s="102"/>
      <c r="E4194" s="103" t="str">
        <f aca="false">IF($C4194="","",IFERROR(INDEX(المنيو!$C$2:$C$500,MATCH($C4194,المنيو!$B$2:$B$500,0)),0))</f>
        <v/>
      </c>
      <c r="F4194" s="103" t="str">
        <f aca="false">IF($C4194="","",$D4194*$E4194)</f>
        <v/>
      </c>
      <c r="G4194" s="103" t="str">
        <f aca="false">IF($C4194="","",$D4194*IFERROR(INDEX('تحليل التكلفة والسعر'!$C$2:$C$700,MATCH($C4194,'تحليل التكلفة والسعر'!$B$2:$B$700,0)),0))</f>
        <v/>
      </c>
    </row>
    <row r="4195" customFormat="false" ht="15" hidden="false" customHeight="false" outlineLevel="0" collapsed="false">
      <c r="A4195" s="102"/>
      <c r="E4195" s="103" t="str">
        <f aca="false">IF($C4195="","",IFERROR(INDEX(المنيو!$C$2:$C$500,MATCH($C4195,المنيو!$B$2:$B$500,0)),0))</f>
        <v/>
      </c>
      <c r="F4195" s="103" t="str">
        <f aca="false">IF($C4195="","",$D4195*$E4195)</f>
        <v/>
      </c>
      <c r="G4195" s="103" t="str">
        <f aca="false">IF($C4195="","",$D4195*IFERROR(INDEX('تحليل التكلفة والسعر'!$C$2:$C$700,MATCH($C4195,'تحليل التكلفة والسعر'!$B$2:$B$700,0)),0))</f>
        <v/>
      </c>
    </row>
    <row r="4196" customFormat="false" ht="15" hidden="false" customHeight="false" outlineLevel="0" collapsed="false">
      <c r="A4196" s="102"/>
      <c r="E4196" s="103" t="str">
        <f aca="false">IF($C4196="","",IFERROR(INDEX(المنيو!$C$2:$C$500,MATCH($C4196,المنيو!$B$2:$B$500,0)),0))</f>
        <v/>
      </c>
      <c r="F4196" s="103" t="str">
        <f aca="false">IF($C4196="","",$D4196*$E4196)</f>
        <v/>
      </c>
      <c r="G4196" s="103" t="str">
        <f aca="false">IF($C4196="","",$D4196*IFERROR(INDEX('تحليل التكلفة والسعر'!$C$2:$C$700,MATCH($C4196,'تحليل التكلفة والسعر'!$B$2:$B$700,0)),0))</f>
        <v/>
      </c>
    </row>
    <row r="4197" customFormat="false" ht="15" hidden="false" customHeight="false" outlineLevel="0" collapsed="false">
      <c r="A4197" s="102"/>
      <c r="E4197" s="103" t="str">
        <f aca="false">IF($C4197="","",IFERROR(INDEX(المنيو!$C$2:$C$500,MATCH($C4197,المنيو!$B$2:$B$500,0)),0))</f>
        <v/>
      </c>
      <c r="F4197" s="103" t="str">
        <f aca="false">IF($C4197="","",$D4197*$E4197)</f>
        <v/>
      </c>
      <c r="G4197" s="103" t="str">
        <f aca="false">IF($C4197="","",$D4197*IFERROR(INDEX('تحليل التكلفة والسعر'!$C$2:$C$700,MATCH($C4197,'تحليل التكلفة والسعر'!$B$2:$B$700,0)),0))</f>
        <v/>
      </c>
    </row>
    <row r="4198" customFormat="false" ht="15" hidden="false" customHeight="false" outlineLevel="0" collapsed="false">
      <c r="A4198" s="102"/>
      <c r="E4198" s="103" t="str">
        <f aca="false">IF($C4198="","",IFERROR(INDEX(المنيو!$C$2:$C$500,MATCH($C4198,المنيو!$B$2:$B$500,0)),0))</f>
        <v/>
      </c>
      <c r="F4198" s="103" t="str">
        <f aca="false">IF($C4198="","",$D4198*$E4198)</f>
        <v/>
      </c>
      <c r="G4198" s="103" t="str">
        <f aca="false">IF($C4198="","",$D4198*IFERROR(INDEX('تحليل التكلفة والسعر'!$C$2:$C$700,MATCH($C4198,'تحليل التكلفة والسعر'!$B$2:$B$700,0)),0))</f>
        <v/>
      </c>
    </row>
    <row r="4199" customFormat="false" ht="15" hidden="false" customHeight="false" outlineLevel="0" collapsed="false">
      <c r="A4199" s="102"/>
      <c r="E4199" s="103" t="str">
        <f aca="false">IF($C4199="","",IFERROR(INDEX(المنيو!$C$2:$C$500,MATCH($C4199,المنيو!$B$2:$B$500,0)),0))</f>
        <v/>
      </c>
      <c r="F4199" s="103" t="str">
        <f aca="false">IF($C4199="","",$D4199*$E4199)</f>
        <v/>
      </c>
      <c r="G4199" s="103" t="str">
        <f aca="false">IF($C4199="","",$D4199*IFERROR(INDEX('تحليل التكلفة والسعر'!$C$2:$C$700,MATCH($C4199,'تحليل التكلفة والسعر'!$B$2:$B$700,0)),0))</f>
        <v/>
      </c>
    </row>
    <row r="4200" customFormat="false" ht="15" hidden="false" customHeight="false" outlineLevel="0" collapsed="false">
      <c r="A4200" s="102"/>
      <c r="E4200" s="103" t="str">
        <f aca="false">IF($C4200="","",IFERROR(INDEX(المنيو!$C$2:$C$500,MATCH($C4200,المنيو!$B$2:$B$500,0)),0))</f>
        <v/>
      </c>
      <c r="F4200" s="103" t="str">
        <f aca="false">IF($C4200="","",$D4200*$E4200)</f>
        <v/>
      </c>
      <c r="G4200" s="103" t="str">
        <f aca="false">IF($C4200="","",$D4200*IFERROR(INDEX('تحليل التكلفة والسعر'!$C$2:$C$700,MATCH($C4200,'تحليل التكلفة والسعر'!$B$2:$B$700,0)),0))</f>
        <v/>
      </c>
    </row>
    <row r="4201" customFormat="false" ht="15" hidden="false" customHeight="false" outlineLevel="0" collapsed="false">
      <c r="A4201" s="102"/>
      <c r="E4201" s="103" t="str">
        <f aca="false">IF($C4201="","",IFERROR(INDEX(المنيو!$C$2:$C$500,MATCH($C4201,المنيو!$B$2:$B$500,0)),0))</f>
        <v/>
      </c>
      <c r="F4201" s="103" t="str">
        <f aca="false">IF($C4201="","",$D4201*$E4201)</f>
        <v/>
      </c>
      <c r="G4201" s="103" t="str">
        <f aca="false">IF($C4201="","",$D4201*IFERROR(INDEX('تحليل التكلفة والسعر'!$C$2:$C$700,MATCH($C4201,'تحليل التكلفة والسعر'!$B$2:$B$700,0)),0))</f>
        <v/>
      </c>
    </row>
    <row r="4202" customFormat="false" ht="15" hidden="false" customHeight="false" outlineLevel="0" collapsed="false">
      <c r="A4202" s="102"/>
      <c r="E4202" s="103" t="str">
        <f aca="false">IF($C4202="","",IFERROR(INDEX(المنيو!$C$2:$C$500,MATCH($C4202,المنيو!$B$2:$B$500,0)),0))</f>
        <v/>
      </c>
      <c r="F4202" s="103" t="str">
        <f aca="false">IF($C4202="","",$D4202*$E4202)</f>
        <v/>
      </c>
      <c r="G4202" s="103" t="str">
        <f aca="false">IF($C4202="","",$D4202*IFERROR(INDEX('تحليل التكلفة والسعر'!$C$2:$C$700,MATCH($C4202,'تحليل التكلفة والسعر'!$B$2:$B$700,0)),0))</f>
        <v/>
      </c>
    </row>
    <row r="4203" customFormat="false" ht="15" hidden="false" customHeight="false" outlineLevel="0" collapsed="false">
      <c r="A4203" s="102"/>
      <c r="E4203" s="103" t="str">
        <f aca="false">IF($C4203="","",IFERROR(INDEX(المنيو!$C$2:$C$500,MATCH($C4203,المنيو!$B$2:$B$500,0)),0))</f>
        <v/>
      </c>
      <c r="F4203" s="103" t="str">
        <f aca="false">IF($C4203="","",$D4203*$E4203)</f>
        <v/>
      </c>
      <c r="G4203" s="103" t="str">
        <f aca="false">IF($C4203="","",$D4203*IFERROR(INDEX('تحليل التكلفة والسعر'!$C$2:$C$700,MATCH($C4203,'تحليل التكلفة والسعر'!$B$2:$B$700,0)),0))</f>
        <v/>
      </c>
    </row>
    <row r="4204" customFormat="false" ht="15" hidden="false" customHeight="false" outlineLevel="0" collapsed="false">
      <c r="A4204" s="102"/>
      <c r="E4204" s="103" t="str">
        <f aca="false">IF($C4204="","",IFERROR(INDEX(المنيو!$C$2:$C$500,MATCH($C4204,المنيو!$B$2:$B$500,0)),0))</f>
        <v/>
      </c>
      <c r="F4204" s="103" t="str">
        <f aca="false">IF($C4204="","",$D4204*$E4204)</f>
        <v/>
      </c>
      <c r="G4204" s="103" t="str">
        <f aca="false">IF($C4204="","",$D4204*IFERROR(INDEX('تحليل التكلفة والسعر'!$C$2:$C$700,MATCH($C4204,'تحليل التكلفة والسعر'!$B$2:$B$700,0)),0))</f>
        <v/>
      </c>
    </row>
    <row r="4205" customFormat="false" ht="15" hidden="false" customHeight="false" outlineLevel="0" collapsed="false">
      <c r="A4205" s="102"/>
      <c r="E4205" s="103" t="str">
        <f aca="false">IF($C4205="","",IFERROR(INDEX(المنيو!$C$2:$C$500,MATCH($C4205,المنيو!$B$2:$B$500,0)),0))</f>
        <v/>
      </c>
      <c r="F4205" s="103" t="str">
        <f aca="false">IF($C4205="","",$D4205*$E4205)</f>
        <v/>
      </c>
      <c r="G4205" s="103" t="str">
        <f aca="false">IF($C4205="","",$D4205*IFERROR(INDEX('تحليل التكلفة والسعر'!$C$2:$C$700,MATCH($C4205,'تحليل التكلفة والسعر'!$B$2:$B$700,0)),0))</f>
        <v/>
      </c>
    </row>
    <row r="4206" customFormat="false" ht="15" hidden="false" customHeight="false" outlineLevel="0" collapsed="false">
      <c r="A4206" s="102"/>
      <c r="E4206" s="103" t="str">
        <f aca="false">IF($C4206="","",IFERROR(INDEX(المنيو!$C$2:$C$500,MATCH($C4206,المنيو!$B$2:$B$500,0)),0))</f>
        <v/>
      </c>
      <c r="F4206" s="103" t="str">
        <f aca="false">IF($C4206="","",$D4206*$E4206)</f>
        <v/>
      </c>
      <c r="G4206" s="103" t="str">
        <f aca="false">IF($C4206="","",$D4206*IFERROR(INDEX('تحليل التكلفة والسعر'!$C$2:$C$700,MATCH($C4206,'تحليل التكلفة والسعر'!$B$2:$B$700,0)),0))</f>
        <v/>
      </c>
    </row>
    <row r="4207" customFormat="false" ht="15" hidden="false" customHeight="false" outlineLevel="0" collapsed="false">
      <c r="A4207" s="102"/>
      <c r="E4207" s="103" t="str">
        <f aca="false">IF($C4207="","",IFERROR(INDEX(المنيو!$C$2:$C$500,MATCH($C4207,المنيو!$B$2:$B$500,0)),0))</f>
        <v/>
      </c>
      <c r="F4207" s="103" t="str">
        <f aca="false">IF($C4207="","",$D4207*$E4207)</f>
        <v/>
      </c>
      <c r="G4207" s="103" t="str">
        <f aca="false">IF($C4207="","",$D4207*IFERROR(INDEX('تحليل التكلفة والسعر'!$C$2:$C$700,MATCH($C4207,'تحليل التكلفة والسعر'!$B$2:$B$700,0)),0))</f>
        <v/>
      </c>
    </row>
    <row r="4208" customFormat="false" ht="15" hidden="false" customHeight="false" outlineLevel="0" collapsed="false">
      <c r="A4208" s="102"/>
      <c r="E4208" s="103" t="str">
        <f aca="false">IF($C4208="","",IFERROR(INDEX(المنيو!$C$2:$C$500,MATCH($C4208,المنيو!$B$2:$B$500,0)),0))</f>
        <v/>
      </c>
      <c r="F4208" s="103" t="str">
        <f aca="false">IF($C4208="","",$D4208*$E4208)</f>
        <v/>
      </c>
      <c r="G4208" s="103" t="str">
        <f aca="false">IF($C4208="","",$D4208*IFERROR(INDEX('تحليل التكلفة والسعر'!$C$2:$C$700,MATCH($C4208,'تحليل التكلفة والسعر'!$B$2:$B$700,0)),0))</f>
        <v/>
      </c>
    </row>
    <row r="4209" customFormat="false" ht="15" hidden="false" customHeight="false" outlineLevel="0" collapsed="false">
      <c r="A4209" s="102"/>
      <c r="E4209" s="103" t="str">
        <f aca="false">IF($C4209="","",IFERROR(INDEX(المنيو!$C$2:$C$500,MATCH($C4209,المنيو!$B$2:$B$500,0)),0))</f>
        <v/>
      </c>
      <c r="F4209" s="103" t="str">
        <f aca="false">IF($C4209="","",$D4209*$E4209)</f>
        <v/>
      </c>
      <c r="G4209" s="103" t="str">
        <f aca="false">IF($C4209="","",$D4209*IFERROR(INDEX('تحليل التكلفة والسعر'!$C$2:$C$700,MATCH($C4209,'تحليل التكلفة والسعر'!$B$2:$B$700,0)),0))</f>
        <v/>
      </c>
    </row>
    <row r="4210" customFormat="false" ht="15" hidden="false" customHeight="false" outlineLevel="0" collapsed="false">
      <c r="A4210" s="102"/>
      <c r="E4210" s="103" t="str">
        <f aca="false">IF($C4210="","",IFERROR(INDEX(المنيو!$C$2:$C$500,MATCH($C4210,المنيو!$B$2:$B$500,0)),0))</f>
        <v/>
      </c>
      <c r="F4210" s="103" t="str">
        <f aca="false">IF($C4210="","",$D4210*$E4210)</f>
        <v/>
      </c>
      <c r="G4210" s="103" t="str">
        <f aca="false">IF($C4210="","",$D4210*IFERROR(INDEX('تحليل التكلفة والسعر'!$C$2:$C$700,MATCH($C4210,'تحليل التكلفة والسعر'!$B$2:$B$700,0)),0))</f>
        <v/>
      </c>
    </row>
    <row r="4211" customFormat="false" ht="15" hidden="false" customHeight="false" outlineLevel="0" collapsed="false">
      <c r="A4211" s="102"/>
      <c r="E4211" s="103" t="str">
        <f aca="false">IF($C4211="","",IFERROR(INDEX(المنيو!$C$2:$C$500,MATCH($C4211,المنيو!$B$2:$B$500,0)),0))</f>
        <v/>
      </c>
      <c r="F4211" s="103" t="str">
        <f aca="false">IF($C4211="","",$D4211*$E4211)</f>
        <v/>
      </c>
      <c r="G4211" s="103" t="str">
        <f aca="false">IF($C4211="","",$D4211*IFERROR(INDEX('تحليل التكلفة والسعر'!$C$2:$C$700,MATCH($C4211,'تحليل التكلفة والسعر'!$B$2:$B$700,0)),0))</f>
        <v/>
      </c>
    </row>
    <row r="4212" customFormat="false" ht="15" hidden="false" customHeight="false" outlineLevel="0" collapsed="false">
      <c r="A4212" s="102"/>
      <c r="E4212" s="103" t="str">
        <f aca="false">IF($C4212="","",IFERROR(INDEX(المنيو!$C$2:$C$500,MATCH($C4212,المنيو!$B$2:$B$500,0)),0))</f>
        <v/>
      </c>
      <c r="F4212" s="103" t="str">
        <f aca="false">IF($C4212="","",$D4212*$E4212)</f>
        <v/>
      </c>
      <c r="G4212" s="103" t="str">
        <f aca="false">IF($C4212="","",$D4212*IFERROR(INDEX('تحليل التكلفة والسعر'!$C$2:$C$700,MATCH($C4212,'تحليل التكلفة والسعر'!$B$2:$B$700,0)),0))</f>
        <v/>
      </c>
    </row>
    <row r="4213" customFormat="false" ht="15" hidden="false" customHeight="false" outlineLevel="0" collapsed="false">
      <c r="A4213" s="102"/>
      <c r="E4213" s="103" t="str">
        <f aca="false">IF($C4213="","",IFERROR(INDEX(المنيو!$C$2:$C$500,MATCH($C4213,المنيو!$B$2:$B$500,0)),0))</f>
        <v/>
      </c>
      <c r="F4213" s="103" t="str">
        <f aca="false">IF($C4213="","",$D4213*$E4213)</f>
        <v/>
      </c>
      <c r="G4213" s="103" t="str">
        <f aca="false">IF($C4213="","",$D4213*IFERROR(INDEX('تحليل التكلفة والسعر'!$C$2:$C$700,MATCH($C4213,'تحليل التكلفة والسعر'!$B$2:$B$700,0)),0))</f>
        <v/>
      </c>
    </row>
    <row r="4214" customFormat="false" ht="15" hidden="false" customHeight="false" outlineLevel="0" collapsed="false">
      <c r="A4214" s="102"/>
      <c r="E4214" s="103" t="str">
        <f aca="false">IF($C4214="","",IFERROR(INDEX(المنيو!$C$2:$C$500,MATCH($C4214,المنيو!$B$2:$B$500,0)),0))</f>
        <v/>
      </c>
      <c r="F4214" s="103" t="str">
        <f aca="false">IF($C4214="","",$D4214*$E4214)</f>
        <v/>
      </c>
      <c r="G4214" s="103" t="str">
        <f aca="false">IF($C4214="","",$D4214*IFERROR(INDEX('تحليل التكلفة والسعر'!$C$2:$C$700,MATCH($C4214,'تحليل التكلفة والسعر'!$B$2:$B$700,0)),0))</f>
        <v/>
      </c>
    </row>
    <row r="4215" customFormat="false" ht="15" hidden="false" customHeight="false" outlineLevel="0" collapsed="false">
      <c r="A4215" s="102"/>
      <c r="E4215" s="103" t="str">
        <f aca="false">IF($C4215="","",IFERROR(INDEX(المنيو!$C$2:$C$500,MATCH($C4215,المنيو!$B$2:$B$500,0)),0))</f>
        <v/>
      </c>
      <c r="F4215" s="103" t="str">
        <f aca="false">IF($C4215="","",$D4215*$E4215)</f>
        <v/>
      </c>
      <c r="G4215" s="103" t="str">
        <f aca="false">IF($C4215="","",$D4215*IFERROR(INDEX('تحليل التكلفة والسعر'!$C$2:$C$700,MATCH($C4215,'تحليل التكلفة والسعر'!$B$2:$B$700,0)),0))</f>
        <v/>
      </c>
    </row>
    <row r="4216" customFormat="false" ht="15" hidden="false" customHeight="false" outlineLevel="0" collapsed="false">
      <c r="A4216" s="102"/>
      <c r="E4216" s="103" t="str">
        <f aca="false">IF($C4216="","",IFERROR(INDEX(المنيو!$C$2:$C$500,MATCH($C4216,المنيو!$B$2:$B$500,0)),0))</f>
        <v/>
      </c>
      <c r="F4216" s="103" t="str">
        <f aca="false">IF($C4216="","",$D4216*$E4216)</f>
        <v/>
      </c>
      <c r="G4216" s="103" t="str">
        <f aca="false">IF($C4216="","",$D4216*IFERROR(INDEX('تحليل التكلفة والسعر'!$C$2:$C$700,MATCH($C4216,'تحليل التكلفة والسعر'!$B$2:$B$700,0)),0))</f>
        <v/>
      </c>
    </row>
    <row r="4217" customFormat="false" ht="15" hidden="false" customHeight="false" outlineLevel="0" collapsed="false">
      <c r="A4217" s="102"/>
      <c r="E4217" s="103" t="str">
        <f aca="false">IF($C4217="","",IFERROR(INDEX(المنيو!$C$2:$C$500,MATCH($C4217,المنيو!$B$2:$B$500,0)),0))</f>
        <v/>
      </c>
      <c r="F4217" s="103" t="str">
        <f aca="false">IF($C4217="","",$D4217*$E4217)</f>
        <v/>
      </c>
      <c r="G4217" s="103" t="str">
        <f aca="false">IF($C4217="","",$D4217*IFERROR(INDEX('تحليل التكلفة والسعر'!$C$2:$C$700,MATCH($C4217,'تحليل التكلفة والسعر'!$B$2:$B$700,0)),0))</f>
        <v/>
      </c>
    </row>
    <row r="4218" customFormat="false" ht="15" hidden="false" customHeight="false" outlineLevel="0" collapsed="false">
      <c r="A4218" s="102"/>
      <c r="E4218" s="103" t="str">
        <f aca="false">IF($C4218="","",IFERROR(INDEX(المنيو!$C$2:$C$500,MATCH($C4218,المنيو!$B$2:$B$500,0)),0))</f>
        <v/>
      </c>
      <c r="F4218" s="103" t="str">
        <f aca="false">IF($C4218="","",$D4218*$E4218)</f>
        <v/>
      </c>
      <c r="G4218" s="103" t="str">
        <f aca="false">IF($C4218="","",$D4218*IFERROR(INDEX('تحليل التكلفة والسعر'!$C$2:$C$700,MATCH($C4218,'تحليل التكلفة والسعر'!$B$2:$B$700,0)),0))</f>
        <v/>
      </c>
    </row>
    <row r="4219" customFormat="false" ht="15" hidden="false" customHeight="false" outlineLevel="0" collapsed="false">
      <c r="A4219" s="102"/>
      <c r="E4219" s="103" t="str">
        <f aca="false">IF($C4219="","",IFERROR(INDEX(المنيو!$C$2:$C$500,MATCH($C4219,المنيو!$B$2:$B$500,0)),0))</f>
        <v/>
      </c>
      <c r="F4219" s="103" t="str">
        <f aca="false">IF($C4219="","",$D4219*$E4219)</f>
        <v/>
      </c>
      <c r="G4219" s="103" t="str">
        <f aca="false">IF($C4219="","",$D4219*IFERROR(INDEX('تحليل التكلفة والسعر'!$C$2:$C$700,MATCH($C4219,'تحليل التكلفة والسعر'!$B$2:$B$700,0)),0))</f>
        <v/>
      </c>
    </row>
    <row r="4220" customFormat="false" ht="15" hidden="false" customHeight="false" outlineLevel="0" collapsed="false">
      <c r="A4220" s="102"/>
      <c r="E4220" s="103" t="str">
        <f aca="false">IF($C4220="","",IFERROR(INDEX(المنيو!$C$2:$C$500,MATCH($C4220,المنيو!$B$2:$B$500,0)),0))</f>
        <v/>
      </c>
      <c r="F4220" s="103" t="str">
        <f aca="false">IF($C4220="","",$D4220*$E4220)</f>
        <v/>
      </c>
      <c r="G4220" s="103" t="str">
        <f aca="false">IF($C4220="","",$D4220*IFERROR(INDEX('تحليل التكلفة والسعر'!$C$2:$C$700,MATCH($C4220,'تحليل التكلفة والسعر'!$B$2:$B$700,0)),0))</f>
        <v/>
      </c>
    </row>
    <row r="4221" customFormat="false" ht="15" hidden="false" customHeight="false" outlineLevel="0" collapsed="false">
      <c r="A4221" s="102"/>
      <c r="E4221" s="103" t="str">
        <f aca="false">IF($C4221="","",IFERROR(INDEX(المنيو!$C$2:$C$500,MATCH($C4221,المنيو!$B$2:$B$500,0)),0))</f>
        <v/>
      </c>
      <c r="F4221" s="103" t="str">
        <f aca="false">IF($C4221="","",$D4221*$E4221)</f>
        <v/>
      </c>
      <c r="G4221" s="103" t="str">
        <f aca="false">IF($C4221="","",$D4221*IFERROR(INDEX('تحليل التكلفة والسعر'!$C$2:$C$700,MATCH($C4221,'تحليل التكلفة والسعر'!$B$2:$B$700,0)),0))</f>
        <v/>
      </c>
    </row>
    <row r="4222" customFormat="false" ht="15" hidden="false" customHeight="false" outlineLevel="0" collapsed="false">
      <c r="A4222" s="102"/>
      <c r="E4222" s="103" t="str">
        <f aca="false">IF($C4222="","",IFERROR(INDEX(المنيو!$C$2:$C$500,MATCH($C4222,المنيو!$B$2:$B$500,0)),0))</f>
        <v/>
      </c>
      <c r="F4222" s="103" t="str">
        <f aca="false">IF($C4222="","",$D4222*$E4222)</f>
        <v/>
      </c>
      <c r="G4222" s="103" t="str">
        <f aca="false">IF($C4222="","",$D4222*IFERROR(INDEX('تحليل التكلفة والسعر'!$C$2:$C$700,MATCH($C4222,'تحليل التكلفة والسعر'!$B$2:$B$700,0)),0))</f>
        <v/>
      </c>
    </row>
    <row r="4223" customFormat="false" ht="15" hidden="false" customHeight="false" outlineLevel="0" collapsed="false">
      <c r="A4223" s="102"/>
      <c r="E4223" s="103" t="str">
        <f aca="false">IF($C4223="","",IFERROR(INDEX(المنيو!$C$2:$C$500,MATCH($C4223,المنيو!$B$2:$B$500,0)),0))</f>
        <v/>
      </c>
      <c r="F4223" s="103" t="str">
        <f aca="false">IF($C4223="","",$D4223*$E4223)</f>
        <v/>
      </c>
      <c r="G4223" s="103" t="str">
        <f aca="false">IF($C4223="","",$D4223*IFERROR(INDEX('تحليل التكلفة والسعر'!$C$2:$C$700,MATCH($C4223,'تحليل التكلفة والسعر'!$B$2:$B$700,0)),0))</f>
        <v/>
      </c>
    </row>
    <row r="4224" customFormat="false" ht="15" hidden="false" customHeight="false" outlineLevel="0" collapsed="false">
      <c r="A4224" s="102"/>
      <c r="E4224" s="103" t="str">
        <f aca="false">IF($C4224="","",IFERROR(INDEX(المنيو!$C$2:$C$500,MATCH($C4224,المنيو!$B$2:$B$500,0)),0))</f>
        <v/>
      </c>
      <c r="F4224" s="103" t="str">
        <f aca="false">IF($C4224="","",$D4224*$E4224)</f>
        <v/>
      </c>
      <c r="G4224" s="103" t="str">
        <f aca="false">IF($C4224="","",$D4224*IFERROR(INDEX('تحليل التكلفة والسعر'!$C$2:$C$700,MATCH($C4224,'تحليل التكلفة والسعر'!$B$2:$B$700,0)),0))</f>
        <v/>
      </c>
    </row>
    <row r="4225" customFormat="false" ht="15" hidden="false" customHeight="false" outlineLevel="0" collapsed="false">
      <c r="A4225" s="102"/>
      <c r="E4225" s="103" t="str">
        <f aca="false">IF($C4225="","",IFERROR(INDEX(المنيو!$C$2:$C$500,MATCH($C4225,المنيو!$B$2:$B$500,0)),0))</f>
        <v/>
      </c>
      <c r="F4225" s="103" t="str">
        <f aca="false">IF($C4225="","",$D4225*$E4225)</f>
        <v/>
      </c>
      <c r="G4225" s="103" t="str">
        <f aca="false">IF($C4225="","",$D4225*IFERROR(INDEX('تحليل التكلفة والسعر'!$C$2:$C$700,MATCH($C4225,'تحليل التكلفة والسعر'!$B$2:$B$700,0)),0))</f>
        <v/>
      </c>
    </row>
    <row r="4226" customFormat="false" ht="15" hidden="false" customHeight="false" outlineLevel="0" collapsed="false">
      <c r="A4226" s="102"/>
      <c r="E4226" s="103" t="str">
        <f aca="false">IF($C4226="","",IFERROR(INDEX(المنيو!$C$2:$C$500,MATCH($C4226,المنيو!$B$2:$B$500,0)),0))</f>
        <v/>
      </c>
      <c r="F4226" s="103" t="str">
        <f aca="false">IF($C4226="","",$D4226*$E4226)</f>
        <v/>
      </c>
      <c r="G4226" s="103" t="str">
        <f aca="false">IF($C4226="","",$D4226*IFERROR(INDEX('تحليل التكلفة والسعر'!$C$2:$C$700,MATCH($C4226,'تحليل التكلفة والسعر'!$B$2:$B$700,0)),0))</f>
        <v/>
      </c>
    </row>
    <row r="4227" customFormat="false" ht="15" hidden="false" customHeight="false" outlineLevel="0" collapsed="false">
      <c r="A4227" s="102"/>
      <c r="E4227" s="103" t="str">
        <f aca="false">IF($C4227="","",IFERROR(INDEX(المنيو!$C$2:$C$500,MATCH($C4227,المنيو!$B$2:$B$500,0)),0))</f>
        <v/>
      </c>
      <c r="F4227" s="103" t="str">
        <f aca="false">IF($C4227="","",$D4227*$E4227)</f>
        <v/>
      </c>
      <c r="G4227" s="103" t="str">
        <f aca="false">IF($C4227="","",$D4227*IFERROR(INDEX('تحليل التكلفة والسعر'!$C$2:$C$700,MATCH($C4227,'تحليل التكلفة والسعر'!$B$2:$B$700,0)),0))</f>
        <v/>
      </c>
    </row>
    <row r="4228" customFormat="false" ht="15" hidden="false" customHeight="false" outlineLevel="0" collapsed="false">
      <c r="A4228" s="102"/>
      <c r="E4228" s="103" t="str">
        <f aca="false">IF($C4228="","",IFERROR(INDEX(المنيو!$C$2:$C$500,MATCH($C4228,المنيو!$B$2:$B$500,0)),0))</f>
        <v/>
      </c>
      <c r="F4228" s="103" t="str">
        <f aca="false">IF($C4228="","",$D4228*$E4228)</f>
        <v/>
      </c>
      <c r="G4228" s="103" t="str">
        <f aca="false">IF($C4228="","",$D4228*IFERROR(INDEX('تحليل التكلفة والسعر'!$C$2:$C$700,MATCH($C4228,'تحليل التكلفة والسعر'!$B$2:$B$700,0)),0))</f>
        <v/>
      </c>
    </row>
    <row r="4229" customFormat="false" ht="15" hidden="false" customHeight="false" outlineLevel="0" collapsed="false">
      <c r="A4229" s="102"/>
      <c r="E4229" s="103" t="str">
        <f aca="false">IF($C4229="","",IFERROR(INDEX(المنيو!$C$2:$C$500,MATCH($C4229,المنيو!$B$2:$B$500,0)),0))</f>
        <v/>
      </c>
      <c r="F4229" s="103" t="str">
        <f aca="false">IF($C4229="","",$D4229*$E4229)</f>
        <v/>
      </c>
      <c r="G4229" s="103" t="str">
        <f aca="false">IF($C4229="","",$D4229*IFERROR(INDEX('تحليل التكلفة والسعر'!$C$2:$C$700,MATCH($C4229,'تحليل التكلفة والسعر'!$B$2:$B$700,0)),0))</f>
        <v/>
      </c>
    </row>
    <row r="4230" customFormat="false" ht="15" hidden="false" customHeight="false" outlineLevel="0" collapsed="false">
      <c r="A4230" s="102"/>
      <c r="E4230" s="103" t="str">
        <f aca="false">IF($C4230="","",IFERROR(INDEX(المنيو!$C$2:$C$500,MATCH($C4230,المنيو!$B$2:$B$500,0)),0))</f>
        <v/>
      </c>
      <c r="F4230" s="103" t="str">
        <f aca="false">IF($C4230="","",$D4230*$E4230)</f>
        <v/>
      </c>
      <c r="G4230" s="103" t="str">
        <f aca="false">IF($C4230="","",$D4230*IFERROR(INDEX('تحليل التكلفة والسعر'!$C$2:$C$700,MATCH($C4230,'تحليل التكلفة والسعر'!$B$2:$B$700,0)),0))</f>
        <v/>
      </c>
    </row>
    <row r="4231" customFormat="false" ht="15" hidden="false" customHeight="false" outlineLevel="0" collapsed="false">
      <c r="A4231" s="102"/>
      <c r="E4231" s="103" t="str">
        <f aca="false">IF($C4231="","",IFERROR(INDEX(المنيو!$C$2:$C$500,MATCH($C4231,المنيو!$B$2:$B$500,0)),0))</f>
        <v/>
      </c>
      <c r="F4231" s="103" t="str">
        <f aca="false">IF($C4231="","",$D4231*$E4231)</f>
        <v/>
      </c>
      <c r="G4231" s="103" t="str">
        <f aca="false">IF($C4231="","",$D4231*IFERROR(INDEX('تحليل التكلفة والسعر'!$C$2:$C$700,MATCH($C4231,'تحليل التكلفة والسعر'!$B$2:$B$700,0)),0))</f>
        <v/>
      </c>
    </row>
    <row r="4232" customFormat="false" ht="15" hidden="false" customHeight="false" outlineLevel="0" collapsed="false">
      <c r="A4232" s="102"/>
      <c r="E4232" s="103" t="str">
        <f aca="false">IF($C4232="","",IFERROR(INDEX(المنيو!$C$2:$C$500,MATCH($C4232,المنيو!$B$2:$B$500,0)),0))</f>
        <v/>
      </c>
      <c r="F4232" s="103" t="str">
        <f aca="false">IF($C4232="","",$D4232*$E4232)</f>
        <v/>
      </c>
      <c r="G4232" s="103" t="str">
        <f aca="false">IF($C4232="","",$D4232*IFERROR(INDEX('تحليل التكلفة والسعر'!$C$2:$C$700,MATCH($C4232,'تحليل التكلفة والسعر'!$B$2:$B$700,0)),0))</f>
        <v/>
      </c>
    </row>
    <row r="4233" customFormat="false" ht="15" hidden="false" customHeight="false" outlineLevel="0" collapsed="false">
      <c r="A4233" s="102"/>
      <c r="E4233" s="103" t="str">
        <f aca="false">IF($C4233="","",IFERROR(INDEX(المنيو!$C$2:$C$500,MATCH($C4233,المنيو!$B$2:$B$500,0)),0))</f>
        <v/>
      </c>
      <c r="F4233" s="103" t="str">
        <f aca="false">IF($C4233="","",$D4233*$E4233)</f>
        <v/>
      </c>
      <c r="G4233" s="103" t="str">
        <f aca="false">IF($C4233="","",$D4233*IFERROR(INDEX('تحليل التكلفة والسعر'!$C$2:$C$700,MATCH($C4233,'تحليل التكلفة والسعر'!$B$2:$B$700,0)),0))</f>
        <v/>
      </c>
    </row>
    <row r="4234" customFormat="false" ht="15" hidden="false" customHeight="false" outlineLevel="0" collapsed="false">
      <c r="A4234" s="102"/>
      <c r="E4234" s="103" t="str">
        <f aca="false">IF($C4234="","",IFERROR(INDEX(المنيو!$C$2:$C$500,MATCH($C4234,المنيو!$B$2:$B$500,0)),0))</f>
        <v/>
      </c>
      <c r="F4234" s="103" t="str">
        <f aca="false">IF($C4234="","",$D4234*$E4234)</f>
        <v/>
      </c>
      <c r="G4234" s="103" t="str">
        <f aca="false">IF($C4234="","",$D4234*IFERROR(INDEX('تحليل التكلفة والسعر'!$C$2:$C$700,MATCH($C4234,'تحليل التكلفة والسعر'!$B$2:$B$700,0)),0))</f>
        <v/>
      </c>
    </row>
    <row r="4235" customFormat="false" ht="15" hidden="false" customHeight="false" outlineLevel="0" collapsed="false">
      <c r="A4235" s="102"/>
      <c r="E4235" s="103" t="str">
        <f aca="false">IF($C4235="","",IFERROR(INDEX(المنيو!$C$2:$C$500,MATCH($C4235,المنيو!$B$2:$B$500,0)),0))</f>
        <v/>
      </c>
      <c r="F4235" s="103" t="str">
        <f aca="false">IF($C4235="","",$D4235*$E4235)</f>
        <v/>
      </c>
      <c r="G4235" s="103" t="str">
        <f aca="false">IF($C4235="","",$D4235*IFERROR(INDEX('تحليل التكلفة والسعر'!$C$2:$C$700,MATCH($C4235,'تحليل التكلفة والسعر'!$B$2:$B$700,0)),0))</f>
        <v/>
      </c>
    </row>
    <row r="4236" customFormat="false" ht="15" hidden="false" customHeight="false" outlineLevel="0" collapsed="false">
      <c r="A4236" s="102"/>
      <c r="E4236" s="103" t="str">
        <f aca="false">IF($C4236="","",IFERROR(INDEX(المنيو!$C$2:$C$500,MATCH($C4236,المنيو!$B$2:$B$500,0)),0))</f>
        <v/>
      </c>
      <c r="F4236" s="103" t="str">
        <f aca="false">IF($C4236="","",$D4236*$E4236)</f>
        <v/>
      </c>
      <c r="G4236" s="103" t="str">
        <f aca="false">IF($C4236="","",$D4236*IFERROR(INDEX('تحليل التكلفة والسعر'!$C$2:$C$700,MATCH($C4236,'تحليل التكلفة والسعر'!$B$2:$B$700,0)),0))</f>
        <v/>
      </c>
    </row>
    <row r="4237" customFormat="false" ht="15" hidden="false" customHeight="false" outlineLevel="0" collapsed="false">
      <c r="A4237" s="102"/>
      <c r="E4237" s="103" t="str">
        <f aca="false">IF($C4237="","",IFERROR(INDEX(المنيو!$C$2:$C$500,MATCH($C4237,المنيو!$B$2:$B$500,0)),0))</f>
        <v/>
      </c>
      <c r="F4237" s="103" t="str">
        <f aca="false">IF($C4237="","",$D4237*$E4237)</f>
        <v/>
      </c>
      <c r="G4237" s="103" t="str">
        <f aca="false">IF($C4237="","",$D4237*IFERROR(INDEX('تحليل التكلفة والسعر'!$C$2:$C$700,MATCH($C4237,'تحليل التكلفة والسعر'!$B$2:$B$700,0)),0))</f>
        <v/>
      </c>
    </row>
    <row r="4238" customFormat="false" ht="15" hidden="false" customHeight="false" outlineLevel="0" collapsed="false">
      <c r="A4238" s="102"/>
      <c r="E4238" s="103" t="str">
        <f aca="false">IF($C4238="","",IFERROR(INDEX(المنيو!$C$2:$C$500,MATCH($C4238,المنيو!$B$2:$B$500,0)),0))</f>
        <v/>
      </c>
      <c r="F4238" s="103" t="str">
        <f aca="false">IF($C4238="","",$D4238*$E4238)</f>
        <v/>
      </c>
      <c r="G4238" s="103" t="str">
        <f aca="false">IF($C4238="","",$D4238*IFERROR(INDEX('تحليل التكلفة والسعر'!$C$2:$C$700,MATCH($C4238,'تحليل التكلفة والسعر'!$B$2:$B$700,0)),0))</f>
        <v/>
      </c>
    </row>
    <row r="4239" customFormat="false" ht="15" hidden="false" customHeight="false" outlineLevel="0" collapsed="false">
      <c r="A4239" s="102"/>
      <c r="E4239" s="103" t="str">
        <f aca="false">IF($C4239="","",IFERROR(INDEX(المنيو!$C$2:$C$500,MATCH($C4239,المنيو!$B$2:$B$500,0)),0))</f>
        <v/>
      </c>
      <c r="F4239" s="103" t="str">
        <f aca="false">IF($C4239="","",$D4239*$E4239)</f>
        <v/>
      </c>
      <c r="G4239" s="103" t="str">
        <f aca="false">IF($C4239="","",$D4239*IFERROR(INDEX('تحليل التكلفة والسعر'!$C$2:$C$700,MATCH($C4239,'تحليل التكلفة والسعر'!$B$2:$B$700,0)),0))</f>
        <v/>
      </c>
    </row>
    <row r="4240" customFormat="false" ht="15" hidden="false" customHeight="false" outlineLevel="0" collapsed="false">
      <c r="A4240" s="102"/>
      <c r="E4240" s="103" t="str">
        <f aca="false">IF($C4240="","",IFERROR(INDEX(المنيو!$C$2:$C$500,MATCH($C4240,المنيو!$B$2:$B$500,0)),0))</f>
        <v/>
      </c>
      <c r="F4240" s="103" t="str">
        <f aca="false">IF($C4240="","",$D4240*$E4240)</f>
        <v/>
      </c>
      <c r="G4240" s="103" t="str">
        <f aca="false">IF($C4240="","",$D4240*IFERROR(INDEX('تحليل التكلفة والسعر'!$C$2:$C$700,MATCH($C4240,'تحليل التكلفة والسعر'!$B$2:$B$700,0)),0))</f>
        <v/>
      </c>
    </row>
    <row r="4241" customFormat="false" ht="15" hidden="false" customHeight="false" outlineLevel="0" collapsed="false">
      <c r="A4241" s="102"/>
      <c r="E4241" s="103" t="str">
        <f aca="false">IF($C4241="","",IFERROR(INDEX(المنيو!$C$2:$C$500,MATCH($C4241,المنيو!$B$2:$B$500,0)),0))</f>
        <v/>
      </c>
      <c r="F4241" s="103" t="str">
        <f aca="false">IF($C4241="","",$D4241*$E4241)</f>
        <v/>
      </c>
      <c r="G4241" s="103" t="str">
        <f aca="false">IF($C4241="","",$D4241*IFERROR(INDEX('تحليل التكلفة والسعر'!$C$2:$C$700,MATCH($C4241,'تحليل التكلفة والسعر'!$B$2:$B$700,0)),0))</f>
        <v/>
      </c>
    </row>
    <row r="4242" customFormat="false" ht="15" hidden="false" customHeight="false" outlineLevel="0" collapsed="false">
      <c r="A4242" s="102"/>
      <c r="E4242" s="103" t="str">
        <f aca="false">IF($C4242="","",IFERROR(INDEX(المنيو!$C$2:$C$500,MATCH($C4242,المنيو!$B$2:$B$500,0)),0))</f>
        <v/>
      </c>
      <c r="F4242" s="103" t="str">
        <f aca="false">IF($C4242="","",$D4242*$E4242)</f>
        <v/>
      </c>
      <c r="G4242" s="103" t="str">
        <f aca="false">IF($C4242="","",$D4242*IFERROR(INDEX('تحليل التكلفة والسعر'!$C$2:$C$700,MATCH($C4242,'تحليل التكلفة والسعر'!$B$2:$B$700,0)),0))</f>
        <v/>
      </c>
    </row>
    <row r="4243" customFormat="false" ht="15" hidden="false" customHeight="false" outlineLevel="0" collapsed="false">
      <c r="A4243" s="102"/>
      <c r="E4243" s="103" t="str">
        <f aca="false">IF($C4243="","",IFERROR(INDEX(المنيو!$C$2:$C$500,MATCH($C4243,المنيو!$B$2:$B$500,0)),0))</f>
        <v/>
      </c>
      <c r="F4243" s="103" t="str">
        <f aca="false">IF($C4243="","",$D4243*$E4243)</f>
        <v/>
      </c>
      <c r="G4243" s="103" t="str">
        <f aca="false">IF($C4243="","",$D4243*IFERROR(INDEX('تحليل التكلفة والسعر'!$C$2:$C$700,MATCH($C4243,'تحليل التكلفة والسعر'!$B$2:$B$700,0)),0))</f>
        <v/>
      </c>
    </row>
    <row r="4244" customFormat="false" ht="15" hidden="false" customHeight="false" outlineLevel="0" collapsed="false">
      <c r="A4244" s="102"/>
      <c r="E4244" s="103" t="str">
        <f aca="false">IF($C4244="","",IFERROR(INDEX(المنيو!$C$2:$C$500,MATCH($C4244,المنيو!$B$2:$B$500,0)),0))</f>
        <v/>
      </c>
      <c r="F4244" s="103" t="str">
        <f aca="false">IF($C4244="","",$D4244*$E4244)</f>
        <v/>
      </c>
      <c r="G4244" s="103" t="str">
        <f aca="false">IF($C4244="","",$D4244*IFERROR(INDEX('تحليل التكلفة والسعر'!$C$2:$C$700,MATCH($C4244,'تحليل التكلفة والسعر'!$B$2:$B$700,0)),0))</f>
        <v/>
      </c>
    </row>
    <row r="4245" customFormat="false" ht="15" hidden="false" customHeight="false" outlineLevel="0" collapsed="false">
      <c r="A4245" s="102"/>
      <c r="E4245" s="103" t="str">
        <f aca="false">IF($C4245="","",IFERROR(INDEX(المنيو!$C$2:$C$500,MATCH($C4245,المنيو!$B$2:$B$500,0)),0))</f>
        <v/>
      </c>
      <c r="F4245" s="103" t="str">
        <f aca="false">IF($C4245="","",$D4245*$E4245)</f>
        <v/>
      </c>
      <c r="G4245" s="103" t="str">
        <f aca="false">IF($C4245="","",$D4245*IFERROR(INDEX('تحليل التكلفة والسعر'!$C$2:$C$700,MATCH($C4245,'تحليل التكلفة والسعر'!$B$2:$B$700,0)),0))</f>
        <v/>
      </c>
    </row>
    <row r="4246" customFormat="false" ht="15" hidden="false" customHeight="false" outlineLevel="0" collapsed="false">
      <c r="A4246" s="102"/>
      <c r="E4246" s="103" t="str">
        <f aca="false">IF($C4246="","",IFERROR(INDEX(المنيو!$C$2:$C$500,MATCH($C4246,المنيو!$B$2:$B$500,0)),0))</f>
        <v/>
      </c>
      <c r="F4246" s="103" t="str">
        <f aca="false">IF($C4246="","",$D4246*$E4246)</f>
        <v/>
      </c>
      <c r="G4246" s="103" t="str">
        <f aca="false">IF($C4246="","",$D4246*IFERROR(INDEX('تحليل التكلفة والسعر'!$C$2:$C$700,MATCH($C4246,'تحليل التكلفة والسعر'!$B$2:$B$700,0)),0))</f>
        <v/>
      </c>
    </row>
    <row r="4247" customFormat="false" ht="15" hidden="false" customHeight="false" outlineLevel="0" collapsed="false">
      <c r="A4247" s="102"/>
      <c r="E4247" s="103" t="str">
        <f aca="false">IF($C4247="","",IFERROR(INDEX(المنيو!$C$2:$C$500,MATCH($C4247,المنيو!$B$2:$B$500,0)),0))</f>
        <v/>
      </c>
      <c r="F4247" s="103" t="str">
        <f aca="false">IF($C4247="","",$D4247*$E4247)</f>
        <v/>
      </c>
      <c r="G4247" s="103" t="str">
        <f aca="false">IF($C4247="","",$D4247*IFERROR(INDEX('تحليل التكلفة والسعر'!$C$2:$C$700,MATCH($C4247,'تحليل التكلفة والسعر'!$B$2:$B$700,0)),0))</f>
        <v/>
      </c>
    </row>
    <row r="4248" customFormat="false" ht="15" hidden="false" customHeight="false" outlineLevel="0" collapsed="false">
      <c r="A4248" s="102"/>
      <c r="E4248" s="103" t="str">
        <f aca="false">IF($C4248="","",IFERROR(INDEX(المنيو!$C$2:$C$500,MATCH($C4248,المنيو!$B$2:$B$500,0)),0))</f>
        <v/>
      </c>
      <c r="F4248" s="103" t="str">
        <f aca="false">IF($C4248="","",$D4248*$E4248)</f>
        <v/>
      </c>
      <c r="G4248" s="103" t="str">
        <f aca="false">IF($C4248="","",$D4248*IFERROR(INDEX('تحليل التكلفة والسعر'!$C$2:$C$700,MATCH($C4248,'تحليل التكلفة والسعر'!$B$2:$B$700,0)),0))</f>
        <v/>
      </c>
    </row>
    <row r="4249" customFormat="false" ht="15" hidden="false" customHeight="false" outlineLevel="0" collapsed="false">
      <c r="A4249" s="102"/>
      <c r="E4249" s="103" t="str">
        <f aca="false">IF($C4249="","",IFERROR(INDEX(المنيو!$C$2:$C$500,MATCH($C4249,المنيو!$B$2:$B$500,0)),0))</f>
        <v/>
      </c>
      <c r="F4249" s="103" t="str">
        <f aca="false">IF($C4249="","",$D4249*$E4249)</f>
        <v/>
      </c>
      <c r="G4249" s="103" t="str">
        <f aca="false">IF($C4249="","",$D4249*IFERROR(INDEX('تحليل التكلفة والسعر'!$C$2:$C$700,MATCH($C4249,'تحليل التكلفة والسعر'!$B$2:$B$700,0)),0))</f>
        <v/>
      </c>
    </row>
    <row r="4250" customFormat="false" ht="15" hidden="false" customHeight="false" outlineLevel="0" collapsed="false">
      <c r="A4250" s="102"/>
      <c r="E4250" s="103" t="str">
        <f aca="false">IF($C4250="","",IFERROR(INDEX(المنيو!$C$2:$C$500,MATCH($C4250,المنيو!$B$2:$B$500,0)),0))</f>
        <v/>
      </c>
      <c r="F4250" s="103" t="str">
        <f aca="false">IF($C4250="","",$D4250*$E4250)</f>
        <v/>
      </c>
      <c r="G4250" s="103" t="str">
        <f aca="false">IF($C4250="","",$D4250*IFERROR(INDEX('تحليل التكلفة والسعر'!$C$2:$C$700,MATCH($C4250,'تحليل التكلفة والسعر'!$B$2:$B$700,0)),0))</f>
        <v/>
      </c>
    </row>
    <row r="4251" customFormat="false" ht="15" hidden="false" customHeight="false" outlineLevel="0" collapsed="false">
      <c r="A4251" s="102"/>
      <c r="E4251" s="103" t="str">
        <f aca="false">IF($C4251="","",IFERROR(INDEX(المنيو!$C$2:$C$500,MATCH($C4251,المنيو!$B$2:$B$500,0)),0))</f>
        <v/>
      </c>
      <c r="F4251" s="103" t="str">
        <f aca="false">IF($C4251="","",$D4251*$E4251)</f>
        <v/>
      </c>
      <c r="G4251" s="103" t="str">
        <f aca="false">IF($C4251="","",$D4251*IFERROR(INDEX('تحليل التكلفة والسعر'!$C$2:$C$700,MATCH($C4251,'تحليل التكلفة والسعر'!$B$2:$B$700,0)),0))</f>
        <v/>
      </c>
    </row>
    <row r="4252" customFormat="false" ht="15" hidden="false" customHeight="false" outlineLevel="0" collapsed="false">
      <c r="A4252" s="102"/>
      <c r="E4252" s="103" t="str">
        <f aca="false">IF($C4252="","",IFERROR(INDEX(المنيو!$C$2:$C$500,MATCH($C4252,المنيو!$B$2:$B$500,0)),0))</f>
        <v/>
      </c>
      <c r="F4252" s="103" t="str">
        <f aca="false">IF($C4252="","",$D4252*$E4252)</f>
        <v/>
      </c>
      <c r="G4252" s="103" t="str">
        <f aca="false">IF($C4252="","",$D4252*IFERROR(INDEX('تحليل التكلفة والسعر'!$C$2:$C$700,MATCH($C4252,'تحليل التكلفة والسعر'!$B$2:$B$700,0)),0))</f>
        <v/>
      </c>
    </row>
    <row r="4253" customFormat="false" ht="15" hidden="false" customHeight="false" outlineLevel="0" collapsed="false">
      <c r="A4253" s="102"/>
      <c r="E4253" s="103" t="str">
        <f aca="false">IF($C4253="","",IFERROR(INDEX(المنيو!$C$2:$C$500,MATCH($C4253,المنيو!$B$2:$B$500,0)),0))</f>
        <v/>
      </c>
      <c r="F4253" s="103" t="str">
        <f aca="false">IF($C4253="","",$D4253*$E4253)</f>
        <v/>
      </c>
      <c r="G4253" s="103" t="str">
        <f aca="false">IF($C4253="","",$D4253*IFERROR(INDEX('تحليل التكلفة والسعر'!$C$2:$C$700,MATCH($C4253,'تحليل التكلفة والسعر'!$B$2:$B$700,0)),0))</f>
        <v/>
      </c>
    </row>
    <row r="4254" customFormat="false" ht="15" hidden="false" customHeight="false" outlineLevel="0" collapsed="false">
      <c r="A4254" s="102"/>
      <c r="E4254" s="103" t="str">
        <f aca="false">IF($C4254="","",IFERROR(INDEX(المنيو!$C$2:$C$500,MATCH($C4254,المنيو!$B$2:$B$500,0)),0))</f>
        <v/>
      </c>
      <c r="F4254" s="103" t="str">
        <f aca="false">IF($C4254="","",$D4254*$E4254)</f>
        <v/>
      </c>
      <c r="G4254" s="103" t="str">
        <f aca="false">IF($C4254="","",$D4254*IFERROR(INDEX('تحليل التكلفة والسعر'!$C$2:$C$700,MATCH($C4254,'تحليل التكلفة والسعر'!$B$2:$B$700,0)),0))</f>
        <v/>
      </c>
    </row>
    <row r="4255" customFormat="false" ht="15" hidden="false" customHeight="false" outlineLevel="0" collapsed="false">
      <c r="A4255" s="102"/>
      <c r="E4255" s="103" t="str">
        <f aca="false">IF($C4255="","",IFERROR(INDEX(المنيو!$C$2:$C$500,MATCH($C4255,المنيو!$B$2:$B$500,0)),0))</f>
        <v/>
      </c>
      <c r="F4255" s="103" t="str">
        <f aca="false">IF($C4255="","",$D4255*$E4255)</f>
        <v/>
      </c>
      <c r="G4255" s="103" t="str">
        <f aca="false">IF($C4255="","",$D4255*IFERROR(INDEX('تحليل التكلفة والسعر'!$C$2:$C$700,MATCH($C4255,'تحليل التكلفة والسعر'!$B$2:$B$700,0)),0))</f>
        <v/>
      </c>
    </row>
    <row r="4256" customFormat="false" ht="15" hidden="false" customHeight="false" outlineLevel="0" collapsed="false">
      <c r="A4256" s="102"/>
      <c r="E4256" s="103" t="str">
        <f aca="false">IF($C4256="","",IFERROR(INDEX(المنيو!$C$2:$C$500,MATCH($C4256,المنيو!$B$2:$B$500,0)),0))</f>
        <v/>
      </c>
      <c r="F4256" s="103" t="str">
        <f aca="false">IF($C4256="","",$D4256*$E4256)</f>
        <v/>
      </c>
      <c r="G4256" s="103" t="str">
        <f aca="false">IF($C4256="","",$D4256*IFERROR(INDEX('تحليل التكلفة والسعر'!$C$2:$C$700,MATCH($C4256,'تحليل التكلفة والسعر'!$B$2:$B$700,0)),0))</f>
        <v/>
      </c>
    </row>
    <row r="4257" customFormat="false" ht="15" hidden="false" customHeight="false" outlineLevel="0" collapsed="false">
      <c r="A4257" s="102"/>
      <c r="E4257" s="103" t="str">
        <f aca="false">IF($C4257="","",IFERROR(INDEX(المنيو!$C$2:$C$500,MATCH($C4257,المنيو!$B$2:$B$500,0)),0))</f>
        <v/>
      </c>
      <c r="F4257" s="103" t="str">
        <f aca="false">IF($C4257="","",$D4257*$E4257)</f>
        <v/>
      </c>
      <c r="G4257" s="103" t="str">
        <f aca="false">IF($C4257="","",$D4257*IFERROR(INDEX('تحليل التكلفة والسعر'!$C$2:$C$700,MATCH($C4257,'تحليل التكلفة والسعر'!$B$2:$B$700,0)),0))</f>
        <v/>
      </c>
    </row>
    <row r="4258" customFormat="false" ht="15" hidden="false" customHeight="false" outlineLevel="0" collapsed="false">
      <c r="A4258" s="102"/>
      <c r="E4258" s="103" t="str">
        <f aca="false">IF($C4258="","",IFERROR(INDEX(المنيو!$C$2:$C$500,MATCH($C4258,المنيو!$B$2:$B$500,0)),0))</f>
        <v/>
      </c>
      <c r="F4258" s="103" t="str">
        <f aca="false">IF($C4258="","",$D4258*$E4258)</f>
        <v/>
      </c>
      <c r="G4258" s="103" t="str">
        <f aca="false">IF($C4258="","",$D4258*IFERROR(INDEX('تحليل التكلفة والسعر'!$C$2:$C$700,MATCH($C4258,'تحليل التكلفة والسعر'!$B$2:$B$700,0)),0))</f>
        <v/>
      </c>
    </row>
    <row r="4259" customFormat="false" ht="15" hidden="false" customHeight="false" outlineLevel="0" collapsed="false">
      <c r="A4259" s="102"/>
      <c r="E4259" s="103" t="str">
        <f aca="false">IF($C4259="","",IFERROR(INDEX(المنيو!$C$2:$C$500,MATCH($C4259,المنيو!$B$2:$B$500,0)),0))</f>
        <v/>
      </c>
      <c r="F4259" s="103" t="str">
        <f aca="false">IF($C4259="","",$D4259*$E4259)</f>
        <v/>
      </c>
      <c r="G4259" s="103" t="str">
        <f aca="false">IF($C4259="","",$D4259*IFERROR(INDEX('تحليل التكلفة والسعر'!$C$2:$C$700,MATCH($C4259,'تحليل التكلفة والسعر'!$B$2:$B$700,0)),0))</f>
        <v/>
      </c>
    </row>
    <row r="4260" customFormat="false" ht="15" hidden="false" customHeight="false" outlineLevel="0" collapsed="false">
      <c r="A4260" s="102"/>
      <c r="E4260" s="103" t="str">
        <f aca="false">IF($C4260="","",IFERROR(INDEX(المنيو!$C$2:$C$500,MATCH($C4260,المنيو!$B$2:$B$500,0)),0))</f>
        <v/>
      </c>
      <c r="F4260" s="103" t="str">
        <f aca="false">IF($C4260="","",$D4260*$E4260)</f>
        <v/>
      </c>
      <c r="G4260" s="103" t="str">
        <f aca="false">IF($C4260="","",$D4260*IFERROR(INDEX('تحليل التكلفة والسعر'!$C$2:$C$700,MATCH($C4260,'تحليل التكلفة والسعر'!$B$2:$B$700,0)),0))</f>
        <v/>
      </c>
    </row>
    <row r="4261" customFormat="false" ht="15" hidden="false" customHeight="false" outlineLevel="0" collapsed="false">
      <c r="A4261" s="102"/>
      <c r="E4261" s="103" t="str">
        <f aca="false">IF($C4261="","",IFERROR(INDEX(المنيو!$C$2:$C$500,MATCH($C4261,المنيو!$B$2:$B$500,0)),0))</f>
        <v/>
      </c>
      <c r="F4261" s="103" t="str">
        <f aca="false">IF($C4261="","",$D4261*$E4261)</f>
        <v/>
      </c>
      <c r="G4261" s="103" t="str">
        <f aca="false">IF($C4261="","",$D4261*IFERROR(INDEX('تحليل التكلفة والسعر'!$C$2:$C$700,MATCH($C4261,'تحليل التكلفة والسعر'!$B$2:$B$700,0)),0))</f>
        <v/>
      </c>
    </row>
    <row r="4262" customFormat="false" ht="15" hidden="false" customHeight="false" outlineLevel="0" collapsed="false">
      <c r="A4262" s="102"/>
      <c r="E4262" s="103" t="str">
        <f aca="false">IF($C4262="","",IFERROR(INDEX(المنيو!$C$2:$C$500,MATCH($C4262,المنيو!$B$2:$B$500,0)),0))</f>
        <v/>
      </c>
      <c r="F4262" s="103" t="str">
        <f aca="false">IF($C4262="","",$D4262*$E4262)</f>
        <v/>
      </c>
      <c r="G4262" s="103" t="str">
        <f aca="false">IF($C4262="","",$D4262*IFERROR(INDEX('تحليل التكلفة والسعر'!$C$2:$C$700,MATCH($C4262,'تحليل التكلفة والسعر'!$B$2:$B$700,0)),0))</f>
        <v/>
      </c>
    </row>
    <row r="4263" customFormat="false" ht="15" hidden="false" customHeight="false" outlineLevel="0" collapsed="false">
      <c r="A4263" s="102"/>
      <c r="E4263" s="103" t="str">
        <f aca="false">IF($C4263="","",IFERROR(INDEX(المنيو!$C$2:$C$500,MATCH($C4263,المنيو!$B$2:$B$500,0)),0))</f>
        <v/>
      </c>
      <c r="F4263" s="103" t="str">
        <f aca="false">IF($C4263="","",$D4263*$E4263)</f>
        <v/>
      </c>
      <c r="G4263" s="103" t="str">
        <f aca="false">IF($C4263="","",$D4263*IFERROR(INDEX('تحليل التكلفة والسعر'!$C$2:$C$700,MATCH($C4263,'تحليل التكلفة والسعر'!$B$2:$B$700,0)),0))</f>
        <v/>
      </c>
    </row>
    <row r="4264" customFormat="false" ht="15" hidden="false" customHeight="false" outlineLevel="0" collapsed="false">
      <c r="A4264" s="102"/>
      <c r="E4264" s="103" t="str">
        <f aca="false">IF($C4264="","",IFERROR(INDEX(المنيو!$C$2:$C$500,MATCH($C4264,المنيو!$B$2:$B$500,0)),0))</f>
        <v/>
      </c>
      <c r="F4264" s="103" t="str">
        <f aca="false">IF($C4264="","",$D4264*$E4264)</f>
        <v/>
      </c>
      <c r="G4264" s="103" t="str">
        <f aca="false">IF($C4264="","",$D4264*IFERROR(INDEX('تحليل التكلفة والسعر'!$C$2:$C$700,MATCH($C4264,'تحليل التكلفة والسعر'!$B$2:$B$700,0)),0))</f>
        <v/>
      </c>
    </row>
    <row r="4265" customFormat="false" ht="15" hidden="false" customHeight="false" outlineLevel="0" collapsed="false">
      <c r="A4265" s="102"/>
      <c r="E4265" s="103" t="str">
        <f aca="false">IF($C4265="","",IFERROR(INDEX(المنيو!$C$2:$C$500,MATCH($C4265,المنيو!$B$2:$B$500,0)),0))</f>
        <v/>
      </c>
      <c r="F4265" s="103" t="str">
        <f aca="false">IF($C4265="","",$D4265*$E4265)</f>
        <v/>
      </c>
      <c r="G4265" s="103" t="str">
        <f aca="false">IF($C4265="","",$D4265*IFERROR(INDEX('تحليل التكلفة والسعر'!$C$2:$C$700,MATCH($C4265,'تحليل التكلفة والسعر'!$B$2:$B$700,0)),0))</f>
        <v/>
      </c>
    </row>
    <row r="4266" customFormat="false" ht="15" hidden="false" customHeight="false" outlineLevel="0" collapsed="false">
      <c r="A4266" s="102"/>
      <c r="E4266" s="103" t="str">
        <f aca="false">IF($C4266="","",IFERROR(INDEX(المنيو!$C$2:$C$500,MATCH($C4266,المنيو!$B$2:$B$500,0)),0))</f>
        <v/>
      </c>
      <c r="F4266" s="103" t="str">
        <f aca="false">IF($C4266="","",$D4266*$E4266)</f>
        <v/>
      </c>
      <c r="G4266" s="103" t="str">
        <f aca="false">IF($C4266="","",$D4266*IFERROR(INDEX('تحليل التكلفة والسعر'!$C$2:$C$700,MATCH($C4266,'تحليل التكلفة والسعر'!$B$2:$B$700,0)),0))</f>
        <v/>
      </c>
    </row>
    <row r="4267" customFormat="false" ht="15" hidden="false" customHeight="false" outlineLevel="0" collapsed="false">
      <c r="A4267" s="102"/>
      <c r="E4267" s="103" t="str">
        <f aca="false">IF($C4267="","",IFERROR(INDEX(المنيو!$C$2:$C$500,MATCH($C4267,المنيو!$B$2:$B$500,0)),0))</f>
        <v/>
      </c>
      <c r="F4267" s="103" t="str">
        <f aca="false">IF($C4267="","",$D4267*$E4267)</f>
        <v/>
      </c>
      <c r="G4267" s="103" t="str">
        <f aca="false">IF($C4267="","",$D4267*IFERROR(INDEX('تحليل التكلفة والسعر'!$C$2:$C$700,MATCH($C4267,'تحليل التكلفة والسعر'!$B$2:$B$700,0)),0))</f>
        <v/>
      </c>
    </row>
    <row r="4268" customFormat="false" ht="15" hidden="false" customHeight="false" outlineLevel="0" collapsed="false">
      <c r="A4268" s="102"/>
      <c r="E4268" s="103" t="str">
        <f aca="false">IF($C4268="","",IFERROR(INDEX(المنيو!$C$2:$C$500,MATCH($C4268,المنيو!$B$2:$B$500,0)),0))</f>
        <v/>
      </c>
      <c r="F4268" s="103" t="str">
        <f aca="false">IF($C4268="","",$D4268*$E4268)</f>
        <v/>
      </c>
      <c r="G4268" s="103" t="str">
        <f aca="false">IF($C4268="","",$D4268*IFERROR(INDEX('تحليل التكلفة والسعر'!$C$2:$C$700,MATCH($C4268,'تحليل التكلفة والسعر'!$B$2:$B$700,0)),0))</f>
        <v/>
      </c>
    </row>
    <row r="4269" customFormat="false" ht="15" hidden="false" customHeight="false" outlineLevel="0" collapsed="false">
      <c r="A4269" s="102"/>
      <c r="E4269" s="103" t="str">
        <f aca="false">IF($C4269="","",IFERROR(INDEX(المنيو!$C$2:$C$500,MATCH($C4269,المنيو!$B$2:$B$500,0)),0))</f>
        <v/>
      </c>
      <c r="F4269" s="103" t="str">
        <f aca="false">IF($C4269="","",$D4269*$E4269)</f>
        <v/>
      </c>
      <c r="G4269" s="103" t="str">
        <f aca="false">IF($C4269="","",$D4269*IFERROR(INDEX('تحليل التكلفة والسعر'!$C$2:$C$700,MATCH($C4269,'تحليل التكلفة والسعر'!$B$2:$B$700,0)),0))</f>
        <v/>
      </c>
    </row>
    <row r="4270" customFormat="false" ht="15" hidden="false" customHeight="false" outlineLevel="0" collapsed="false">
      <c r="A4270" s="102"/>
      <c r="E4270" s="103" t="str">
        <f aca="false">IF($C4270="","",IFERROR(INDEX(المنيو!$C$2:$C$500,MATCH($C4270,المنيو!$B$2:$B$500,0)),0))</f>
        <v/>
      </c>
      <c r="F4270" s="103" t="str">
        <f aca="false">IF($C4270="","",$D4270*$E4270)</f>
        <v/>
      </c>
      <c r="G4270" s="103" t="str">
        <f aca="false">IF($C4270="","",$D4270*IFERROR(INDEX('تحليل التكلفة والسعر'!$C$2:$C$700,MATCH($C4270,'تحليل التكلفة والسعر'!$B$2:$B$700,0)),0))</f>
        <v/>
      </c>
    </row>
    <row r="4271" customFormat="false" ht="15" hidden="false" customHeight="false" outlineLevel="0" collapsed="false">
      <c r="A4271" s="102"/>
      <c r="E4271" s="103" t="str">
        <f aca="false">IF($C4271="","",IFERROR(INDEX(المنيو!$C$2:$C$500,MATCH($C4271,المنيو!$B$2:$B$500,0)),0))</f>
        <v/>
      </c>
      <c r="F4271" s="103" t="str">
        <f aca="false">IF($C4271="","",$D4271*$E4271)</f>
        <v/>
      </c>
      <c r="G4271" s="103" t="str">
        <f aca="false">IF($C4271="","",$D4271*IFERROR(INDEX('تحليل التكلفة والسعر'!$C$2:$C$700,MATCH($C4271,'تحليل التكلفة والسعر'!$B$2:$B$700,0)),0))</f>
        <v/>
      </c>
    </row>
    <row r="4272" customFormat="false" ht="15" hidden="false" customHeight="false" outlineLevel="0" collapsed="false">
      <c r="A4272" s="102"/>
      <c r="E4272" s="103" t="str">
        <f aca="false">IF($C4272="","",IFERROR(INDEX(المنيو!$C$2:$C$500,MATCH($C4272,المنيو!$B$2:$B$500,0)),0))</f>
        <v/>
      </c>
      <c r="F4272" s="103" t="str">
        <f aca="false">IF($C4272="","",$D4272*$E4272)</f>
        <v/>
      </c>
      <c r="G4272" s="103" t="str">
        <f aca="false">IF($C4272="","",$D4272*IFERROR(INDEX('تحليل التكلفة والسعر'!$C$2:$C$700,MATCH($C4272,'تحليل التكلفة والسعر'!$B$2:$B$700,0)),0))</f>
        <v/>
      </c>
    </row>
    <row r="4273" customFormat="false" ht="15" hidden="false" customHeight="false" outlineLevel="0" collapsed="false">
      <c r="A4273" s="102"/>
      <c r="E4273" s="103" t="str">
        <f aca="false">IF($C4273="","",IFERROR(INDEX(المنيو!$C$2:$C$500,MATCH($C4273,المنيو!$B$2:$B$500,0)),0))</f>
        <v/>
      </c>
      <c r="F4273" s="103" t="str">
        <f aca="false">IF($C4273="","",$D4273*$E4273)</f>
        <v/>
      </c>
      <c r="G4273" s="103" t="str">
        <f aca="false">IF($C4273="","",$D4273*IFERROR(INDEX('تحليل التكلفة والسعر'!$C$2:$C$700,MATCH($C4273,'تحليل التكلفة والسعر'!$B$2:$B$700,0)),0))</f>
        <v/>
      </c>
    </row>
    <row r="4274" customFormat="false" ht="15" hidden="false" customHeight="false" outlineLevel="0" collapsed="false">
      <c r="A4274" s="102"/>
      <c r="E4274" s="103" t="str">
        <f aca="false">IF($C4274="","",IFERROR(INDEX(المنيو!$C$2:$C$500,MATCH($C4274,المنيو!$B$2:$B$500,0)),0))</f>
        <v/>
      </c>
      <c r="F4274" s="103" t="str">
        <f aca="false">IF($C4274="","",$D4274*$E4274)</f>
        <v/>
      </c>
      <c r="G4274" s="103" t="str">
        <f aca="false">IF($C4274="","",$D4274*IFERROR(INDEX('تحليل التكلفة والسعر'!$C$2:$C$700,MATCH($C4274,'تحليل التكلفة والسعر'!$B$2:$B$700,0)),0))</f>
        <v/>
      </c>
    </row>
    <row r="4275" customFormat="false" ht="15" hidden="false" customHeight="false" outlineLevel="0" collapsed="false">
      <c r="A4275" s="102"/>
      <c r="E4275" s="103" t="str">
        <f aca="false">IF($C4275="","",IFERROR(INDEX(المنيو!$C$2:$C$500,MATCH($C4275,المنيو!$B$2:$B$500,0)),0))</f>
        <v/>
      </c>
      <c r="F4275" s="103" t="str">
        <f aca="false">IF($C4275="","",$D4275*$E4275)</f>
        <v/>
      </c>
      <c r="G4275" s="103" t="str">
        <f aca="false">IF($C4275="","",$D4275*IFERROR(INDEX('تحليل التكلفة والسعر'!$C$2:$C$700,MATCH($C4275,'تحليل التكلفة والسعر'!$B$2:$B$700,0)),0))</f>
        <v/>
      </c>
    </row>
    <row r="4276" customFormat="false" ht="15" hidden="false" customHeight="false" outlineLevel="0" collapsed="false">
      <c r="A4276" s="102"/>
      <c r="E4276" s="103" t="str">
        <f aca="false">IF($C4276="","",IFERROR(INDEX(المنيو!$C$2:$C$500,MATCH($C4276,المنيو!$B$2:$B$500,0)),0))</f>
        <v/>
      </c>
      <c r="F4276" s="103" t="str">
        <f aca="false">IF($C4276="","",$D4276*$E4276)</f>
        <v/>
      </c>
      <c r="G4276" s="103" t="str">
        <f aca="false">IF($C4276="","",$D4276*IFERROR(INDEX('تحليل التكلفة والسعر'!$C$2:$C$700,MATCH($C4276,'تحليل التكلفة والسعر'!$B$2:$B$700,0)),0))</f>
        <v/>
      </c>
    </row>
    <row r="4277" customFormat="false" ht="15" hidden="false" customHeight="false" outlineLevel="0" collapsed="false">
      <c r="A4277" s="102"/>
      <c r="E4277" s="103" t="str">
        <f aca="false">IF($C4277="","",IFERROR(INDEX(المنيو!$C$2:$C$500,MATCH($C4277,المنيو!$B$2:$B$500,0)),0))</f>
        <v/>
      </c>
      <c r="F4277" s="103" t="str">
        <f aca="false">IF($C4277="","",$D4277*$E4277)</f>
        <v/>
      </c>
      <c r="G4277" s="103" t="str">
        <f aca="false">IF($C4277="","",$D4277*IFERROR(INDEX('تحليل التكلفة والسعر'!$C$2:$C$700,MATCH($C4277,'تحليل التكلفة والسعر'!$B$2:$B$700,0)),0))</f>
        <v/>
      </c>
    </row>
    <row r="4278" customFormat="false" ht="15" hidden="false" customHeight="false" outlineLevel="0" collapsed="false">
      <c r="A4278" s="102"/>
      <c r="E4278" s="103" t="str">
        <f aca="false">IF($C4278="","",IFERROR(INDEX(المنيو!$C$2:$C$500,MATCH($C4278,المنيو!$B$2:$B$500,0)),0))</f>
        <v/>
      </c>
      <c r="F4278" s="103" t="str">
        <f aca="false">IF($C4278="","",$D4278*$E4278)</f>
        <v/>
      </c>
      <c r="G4278" s="103" t="str">
        <f aca="false">IF($C4278="","",$D4278*IFERROR(INDEX('تحليل التكلفة والسعر'!$C$2:$C$700,MATCH($C4278,'تحليل التكلفة والسعر'!$B$2:$B$700,0)),0))</f>
        <v/>
      </c>
    </row>
    <row r="4279" customFormat="false" ht="15" hidden="false" customHeight="false" outlineLevel="0" collapsed="false">
      <c r="A4279" s="102"/>
      <c r="E4279" s="103" t="str">
        <f aca="false">IF($C4279="","",IFERROR(INDEX(المنيو!$C$2:$C$500,MATCH($C4279,المنيو!$B$2:$B$500,0)),0))</f>
        <v/>
      </c>
      <c r="F4279" s="103" t="str">
        <f aca="false">IF($C4279="","",$D4279*$E4279)</f>
        <v/>
      </c>
      <c r="G4279" s="103" t="str">
        <f aca="false">IF($C4279="","",$D4279*IFERROR(INDEX('تحليل التكلفة والسعر'!$C$2:$C$700,MATCH($C4279,'تحليل التكلفة والسعر'!$B$2:$B$700,0)),0))</f>
        <v/>
      </c>
    </row>
    <row r="4280" customFormat="false" ht="15" hidden="false" customHeight="false" outlineLevel="0" collapsed="false">
      <c r="A4280" s="102"/>
      <c r="E4280" s="103" t="str">
        <f aca="false">IF($C4280="","",IFERROR(INDEX(المنيو!$C$2:$C$500,MATCH($C4280,المنيو!$B$2:$B$500,0)),0))</f>
        <v/>
      </c>
      <c r="F4280" s="103" t="str">
        <f aca="false">IF($C4280="","",$D4280*$E4280)</f>
        <v/>
      </c>
      <c r="G4280" s="103" t="str">
        <f aca="false">IF($C4280="","",$D4280*IFERROR(INDEX('تحليل التكلفة والسعر'!$C$2:$C$700,MATCH($C4280,'تحليل التكلفة والسعر'!$B$2:$B$700,0)),0))</f>
        <v/>
      </c>
    </row>
    <row r="4281" customFormat="false" ht="15" hidden="false" customHeight="false" outlineLevel="0" collapsed="false">
      <c r="A4281" s="102"/>
      <c r="E4281" s="103" t="str">
        <f aca="false">IF($C4281="","",IFERROR(INDEX(المنيو!$C$2:$C$500,MATCH($C4281,المنيو!$B$2:$B$500,0)),0))</f>
        <v/>
      </c>
      <c r="F4281" s="103" t="str">
        <f aca="false">IF($C4281="","",$D4281*$E4281)</f>
        <v/>
      </c>
      <c r="G4281" s="103" t="str">
        <f aca="false">IF($C4281="","",$D4281*IFERROR(INDEX('تحليل التكلفة والسعر'!$C$2:$C$700,MATCH($C4281,'تحليل التكلفة والسعر'!$B$2:$B$700,0)),0))</f>
        <v/>
      </c>
    </row>
    <row r="4282" customFormat="false" ht="15" hidden="false" customHeight="false" outlineLevel="0" collapsed="false">
      <c r="A4282" s="102"/>
      <c r="E4282" s="103" t="str">
        <f aca="false">IF($C4282="","",IFERROR(INDEX(المنيو!$C$2:$C$500,MATCH($C4282,المنيو!$B$2:$B$500,0)),0))</f>
        <v/>
      </c>
      <c r="F4282" s="103" t="str">
        <f aca="false">IF($C4282="","",$D4282*$E4282)</f>
        <v/>
      </c>
      <c r="G4282" s="103" t="str">
        <f aca="false">IF($C4282="","",$D4282*IFERROR(INDEX('تحليل التكلفة والسعر'!$C$2:$C$700,MATCH($C4282,'تحليل التكلفة والسعر'!$B$2:$B$700,0)),0))</f>
        <v/>
      </c>
    </row>
    <row r="4283" customFormat="false" ht="15" hidden="false" customHeight="false" outlineLevel="0" collapsed="false">
      <c r="A4283" s="102"/>
      <c r="E4283" s="103" t="str">
        <f aca="false">IF($C4283="","",IFERROR(INDEX(المنيو!$C$2:$C$500,MATCH($C4283,المنيو!$B$2:$B$500,0)),0))</f>
        <v/>
      </c>
      <c r="F4283" s="103" t="str">
        <f aca="false">IF($C4283="","",$D4283*$E4283)</f>
        <v/>
      </c>
      <c r="G4283" s="103" t="str">
        <f aca="false">IF($C4283="","",$D4283*IFERROR(INDEX('تحليل التكلفة والسعر'!$C$2:$C$700,MATCH($C4283,'تحليل التكلفة والسعر'!$B$2:$B$700,0)),0))</f>
        <v/>
      </c>
    </row>
    <row r="4284" customFormat="false" ht="15" hidden="false" customHeight="false" outlineLevel="0" collapsed="false">
      <c r="A4284" s="102"/>
      <c r="E4284" s="103" t="str">
        <f aca="false">IF($C4284="","",IFERROR(INDEX(المنيو!$C$2:$C$500,MATCH($C4284,المنيو!$B$2:$B$500,0)),0))</f>
        <v/>
      </c>
      <c r="F4284" s="103" t="str">
        <f aca="false">IF($C4284="","",$D4284*$E4284)</f>
        <v/>
      </c>
      <c r="G4284" s="103" t="str">
        <f aca="false">IF($C4284="","",$D4284*IFERROR(INDEX('تحليل التكلفة والسعر'!$C$2:$C$700,MATCH($C4284,'تحليل التكلفة والسعر'!$B$2:$B$700,0)),0))</f>
        <v/>
      </c>
    </row>
    <row r="4285" customFormat="false" ht="15" hidden="false" customHeight="false" outlineLevel="0" collapsed="false">
      <c r="A4285" s="102"/>
      <c r="E4285" s="103" t="str">
        <f aca="false">IF($C4285="","",IFERROR(INDEX(المنيو!$C$2:$C$500,MATCH($C4285,المنيو!$B$2:$B$500,0)),0))</f>
        <v/>
      </c>
      <c r="F4285" s="103" t="str">
        <f aca="false">IF($C4285="","",$D4285*$E4285)</f>
        <v/>
      </c>
      <c r="G4285" s="103" t="str">
        <f aca="false">IF($C4285="","",$D4285*IFERROR(INDEX('تحليل التكلفة والسعر'!$C$2:$C$700,MATCH($C4285,'تحليل التكلفة والسعر'!$B$2:$B$700,0)),0))</f>
        <v/>
      </c>
    </row>
    <row r="4286" customFormat="false" ht="15" hidden="false" customHeight="false" outlineLevel="0" collapsed="false">
      <c r="A4286" s="102"/>
      <c r="E4286" s="103" t="str">
        <f aca="false">IF($C4286="","",IFERROR(INDEX(المنيو!$C$2:$C$500,MATCH($C4286,المنيو!$B$2:$B$500,0)),0))</f>
        <v/>
      </c>
      <c r="F4286" s="103" t="str">
        <f aca="false">IF($C4286="","",$D4286*$E4286)</f>
        <v/>
      </c>
      <c r="G4286" s="103" t="str">
        <f aca="false">IF($C4286="","",$D4286*IFERROR(INDEX('تحليل التكلفة والسعر'!$C$2:$C$700,MATCH($C4286,'تحليل التكلفة والسعر'!$B$2:$B$700,0)),0))</f>
        <v/>
      </c>
    </row>
    <row r="4287" customFormat="false" ht="15" hidden="false" customHeight="false" outlineLevel="0" collapsed="false">
      <c r="A4287" s="102"/>
      <c r="E4287" s="103" t="str">
        <f aca="false">IF($C4287="","",IFERROR(INDEX(المنيو!$C$2:$C$500,MATCH($C4287,المنيو!$B$2:$B$500,0)),0))</f>
        <v/>
      </c>
      <c r="F4287" s="103" t="str">
        <f aca="false">IF($C4287="","",$D4287*$E4287)</f>
        <v/>
      </c>
      <c r="G4287" s="103" t="str">
        <f aca="false">IF($C4287="","",$D4287*IFERROR(INDEX('تحليل التكلفة والسعر'!$C$2:$C$700,MATCH($C4287,'تحليل التكلفة والسعر'!$B$2:$B$700,0)),0))</f>
        <v/>
      </c>
    </row>
    <row r="4288" customFormat="false" ht="15" hidden="false" customHeight="false" outlineLevel="0" collapsed="false">
      <c r="A4288" s="102"/>
      <c r="E4288" s="103" t="str">
        <f aca="false">IF($C4288="","",IFERROR(INDEX(المنيو!$C$2:$C$500,MATCH($C4288,المنيو!$B$2:$B$500,0)),0))</f>
        <v/>
      </c>
      <c r="F4288" s="103" t="str">
        <f aca="false">IF($C4288="","",$D4288*$E4288)</f>
        <v/>
      </c>
      <c r="G4288" s="103" t="str">
        <f aca="false">IF($C4288="","",$D4288*IFERROR(INDEX('تحليل التكلفة والسعر'!$C$2:$C$700,MATCH($C4288,'تحليل التكلفة والسعر'!$B$2:$B$700,0)),0))</f>
        <v/>
      </c>
    </row>
    <row r="4289" customFormat="false" ht="15" hidden="false" customHeight="false" outlineLevel="0" collapsed="false">
      <c r="A4289" s="102"/>
      <c r="E4289" s="103" t="str">
        <f aca="false">IF($C4289="","",IFERROR(INDEX(المنيو!$C$2:$C$500,MATCH($C4289,المنيو!$B$2:$B$500,0)),0))</f>
        <v/>
      </c>
      <c r="F4289" s="103" t="str">
        <f aca="false">IF($C4289="","",$D4289*$E4289)</f>
        <v/>
      </c>
      <c r="G4289" s="103" t="str">
        <f aca="false">IF($C4289="","",$D4289*IFERROR(INDEX('تحليل التكلفة والسعر'!$C$2:$C$700,MATCH($C4289,'تحليل التكلفة والسعر'!$B$2:$B$700,0)),0))</f>
        <v/>
      </c>
    </row>
    <row r="4290" customFormat="false" ht="15" hidden="false" customHeight="false" outlineLevel="0" collapsed="false">
      <c r="A4290" s="102"/>
      <c r="E4290" s="103" t="str">
        <f aca="false">IF($C4290="","",IFERROR(INDEX(المنيو!$C$2:$C$500,MATCH($C4290,المنيو!$B$2:$B$500,0)),0))</f>
        <v/>
      </c>
      <c r="F4290" s="103" t="str">
        <f aca="false">IF($C4290="","",$D4290*$E4290)</f>
        <v/>
      </c>
      <c r="G4290" s="103" t="str">
        <f aca="false">IF($C4290="","",$D4290*IFERROR(INDEX('تحليل التكلفة والسعر'!$C$2:$C$700,MATCH($C4290,'تحليل التكلفة والسعر'!$B$2:$B$700,0)),0))</f>
        <v/>
      </c>
    </row>
    <row r="4291" customFormat="false" ht="15" hidden="false" customHeight="false" outlineLevel="0" collapsed="false">
      <c r="A4291" s="102"/>
      <c r="E4291" s="103" t="str">
        <f aca="false">IF($C4291="","",IFERROR(INDEX(المنيو!$C$2:$C$500,MATCH($C4291,المنيو!$B$2:$B$500,0)),0))</f>
        <v/>
      </c>
      <c r="F4291" s="103" t="str">
        <f aca="false">IF($C4291="","",$D4291*$E4291)</f>
        <v/>
      </c>
      <c r="G4291" s="103" t="str">
        <f aca="false">IF($C4291="","",$D4291*IFERROR(INDEX('تحليل التكلفة والسعر'!$C$2:$C$700,MATCH($C4291,'تحليل التكلفة والسعر'!$B$2:$B$700,0)),0))</f>
        <v/>
      </c>
    </row>
    <row r="4292" customFormat="false" ht="15" hidden="false" customHeight="false" outlineLevel="0" collapsed="false">
      <c r="A4292" s="102"/>
      <c r="E4292" s="103" t="str">
        <f aca="false">IF($C4292="","",IFERROR(INDEX(المنيو!$C$2:$C$500,MATCH($C4292,المنيو!$B$2:$B$500,0)),0))</f>
        <v/>
      </c>
      <c r="F4292" s="103" t="str">
        <f aca="false">IF($C4292="","",$D4292*$E4292)</f>
        <v/>
      </c>
      <c r="G4292" s="103" t="str">
        <f aca="false">IF($C4292="","",$D4292*IFERROR(INDEX('تحليل التكلفة والسعر'!$C$2:$C$700,MATCH($C4292,'تحليل التكلفة والسعر'!$B$2:$B$700,0)),0))</f>
        <v/>
      </c>
    </row>
    <row r="4293" customFormat="false" ht="15" hidden="false" customHeight="false" outlineLevel="0" collapsed="false">
      <c r="A4293" s="102"/>
      <c r="E4293" s="103" t="str">
        <f aca="false">IF($C4293="","",IFERROR(INDEX(المنيو!$C$2:$C$500,MATCH($C4293,المنيو!$B$2:$B$500,0)),0))</f>
        <v/>
      </c>
      <c r="F4293" s="103" t="str">
        <f aca="false">IF($C4293="","",$D4293*$E4293)</f>
        <v/>
      </c>
      <c r="G4293" s="103" t="str">
        <f aca="false">IF($C4293="","",$D4293*IFERROR(INDEX('تحليل التكلفة والسعر'!$C$2:$C$700,MATCH($C4293,'تحليل التكلفة والسعر'!$B$2:$B$700,0)),0))</f>
        <v/>
      </c>
    </row>
    <row r="4294" customFormat="false" ht="15" hidden="false" customHeight="false" outlineLevel="0" collapsed="false">
      <c r="A4294" s="102"/>
      <c r="E4294" s="103" t="str">
        <f aca="false">IF($C4294="","",IFERROR(INDEX(المنيو!$C$2:$C$500,MATCH($C4294,المنيو!$B$2:$B$500,0)),0))</f>
        <v/>
      </c>
      <c r="F4294" s="103" t="str">
        <f aca="false">IF($C4294="","",$D4294*$E4294)</f>
        <v/>
      </c>
      <c r="G4294" s="103" t="str">
        <f aca="false">IF($C4294="","",$D4294*IFERROR(INDEX('تحليل التكلفة والسعر'!$C$2:$C$700,MATCH($C4294,'تحليل التكلفة والسعر'!$B$2:$B$700,0)),0))</f>
        <v/>
      </c>
    </row>
    <row r="4295" customFormat="false" ht="15" hidden="false" customHeight="false" outlineLevel="0" collapsed="false">
      <c r="A4295" s="102"/>
      <c r="E4295" s="103" t="str">
        <f aca="false">IF($C4295="","",IFERROR(INDEX(المنيو!$C$2:$C$500,MATCH($C4295,المنيو!$B$2:$B$500,0)),0))</f>
        <v/>
      </c>
      <c r="F4295" s="103" t="str">
        <f aca="false">IF($C4295="","",$D4295*$E4295)</f>
        <v/>
      </c>
      <c r="G4295" s="103" t="str">
        <f aca="false">IF($C4295="","",$D4295*IFERROR(INDEX('تحليل التكلفة والسعر'!$C$2:$C$700,MATCH($C4295,'تحليل التكلفة والسعر'!$B$2:$B$700,0)),0))</f>
        <v/>
      </c>
    </row>
    <row r="4296" customFormat="false" ht="15" hidden="false" customHeight="false" outlineLevel="0" collapsed="false">
      <c r="A4296" s="102"/>
      <c r="E4296" s="103" t="str">
        <f aca="false">IF($C4296="","",IFERROR(INDEX(المنيو!$C$2:$C$500,MATCH($C4296,المنيو!$B$2:$B$500,0)),0))</f>
        <v/>
      </c>
      <c r="F4296" s="103" t="str">
        <f aca="false">IF($C4296="","",$D4296*$E4296)</f>
        <v/>
      </c>
      <c r="G4296" s="103" t="str">
        <f aca="false">IF($C4296="","",$D4296*IFERROR(INDEX('تحليل التكلفة والسعر'!$C$2:$C$700,MATCH($C4296,'تحليل التكلفة والسعر'!$B$2:$B$700,0)),0))</f>
        <v/>
      </c>
    </row>
    <row r="4297" customFormat="false" ht="15" hidden="false" customHeight="false" outlineLevel="0" collapsed="false">
      <c r="A4297" s="102"/>
      <c r="E4297" s="103" t="str">
        <f aca="false">IF($C4297="","",IFERROR(INDEX(المنيو!$C$2:$C$500,MATCH($C4297,المنيو!$B$2:$B$500,0)),0))</f>
        <v/>
      </c>
      <c r="F4297" s="103" t="str">
        <f aca="false">IF($C4297="","",$D4297*$E4297)</f>
        <v/>
      </c>
      <c r="G4297" s="103" t="str">
        <f aca="false">IF($C4297="","",$D4297*IFERROR(INDEX('تحليل التكلفة والسعر'!$C$2:$C$700,MATCH($C4297,'تحليل التكلفة والسعر'!$B$2:$B$700,0)),0))</f>
        <v/>
      </c>
    </row>
    <row r="4298" customFormat="false" ht="15" hidden="false" customHeight="false" outlineLevel="0" collapsed="false">
      <c r="A4298" s="102"/>
      <c r="E4298" s="103" t="str">
        <f aca="false">IF($C4298="","",IFERROR(INDEX(المنيو!$C$2:$C$500,MATCH($C4298,المنيو!$B$2:$B$500,0)),0))</f>
        <v/>
      </c>
      <c r="F4298" s="103" t="str">
        <f aca="false">IF($C4298="","",$D4298*$E4298)</f>
        <v/>
      </c>
      <c r="G4298" s="103" t="str">
        <f aca="false">IF($C4298="","",$D4298*IFERROR(INDEX('تحليل التكلفة والسعر'!$C$2:$C$700,MATCH($C4298,'تحليل التكلفة والسعر'!$B$2:$B$700,0)),0))</f>
        <v/>
      </c>
    </row>
    <row r="4299" customFormat="false" ht="15" hidden="false" customHeight="false" outlineLevel="0" collapsed="false">
      <c r="A4299" s="102"/>
      <c r="E4299" s="103" t="str">
        <f aca="false">IF($C4299="","",IFERROR(INDEX(المنيو!$C$2:$C$500,MATCH($C4299,المنيو!$B$2:$B$500,0)),0))</f>
        <v/>
      </c>
      <c r="F4299" s="103" t="str">
        <f aca="false">IF($C4299="","",$D4299*$E4299)</f>
        <v/>
      </c>
      <c r="G4299" s="103" t="str">
        <f aca="false">IF($C4299="","",$D4299*IFERROR(INDEX('تحليل التكلفة والسعر'!$C$2:$C$700,MATCH($C4299,'تحليل التكلفة والسعر'!$B$2:$B$700,0)),0))</f>
        <v/>
      </c>
    </row>
    <row r="4300" customFormat="false" ht="15" hidden="false" customHeight="false" outlineLevel="0" collapsed="false">
      <c r="A4300" s="102"/>
      <c r="E4300" s="103" t="str">
        <f aca="false">IF($C4300="","",IFERROR(INDEX(المنيو!$C$2:$C$500,MATCH($C4300,المنيو!$B$2:$B$500,0)),0))</f>
        <v/>
      </c>
      <c r="F4300" s="103" t="str">
        <f aca="false">IF($C4300="","",$D4300*$E4300)</f>
        <v/>
      </c>
      <c r="G4300" s="103" t="str">
        <f aca="false">IF($C4300="","",$D4300*IFERROR(INDEX('تحليل التكلفة والسعر'!$C$2:$C$700,MATCH($C4300,'تحليل التكلفة والسعر'!$B$2:$B$700,0)),0))</f>
        <v/>
      </c>
    </row>
    <row r="4301" customFormat="false" ht="15" hidden="false" customHeight="false" outlineLevel="0" collapsed="false">
      <c r="A4301" s="102"/>
      <c r="E4301" s="103" t="str">
        <f aca="false">IF($C4301="","",IFERROR(INDEX(المنيو!$C$2:$C$500,MATCH($C4301,المنيو!$B$2:$B$500,0)),0))</f>
        <v/>
      </c>
      <c r="F4301" s="103" t="str">
        <f aca="false">IF($C4301="","",$D4301*$E4301)</f>
        <v/>
      </c>
      <c r="G4301" s="103" t="str">
        <f aca="false">IF($C4301="","",$D4301*IFERROR(INDEX('تحليل التكلفة والسعر'!$C$2:$C$700,MATCH($C4301,'تحليل التكلفة والسعر'!$B$2:$B$700,0)),0))</f>
        <v/>
      </c>
    </row>
    <row r="4302" customFormat="false" ht="15" hidden="false" customHeight="false" outlineLevel="0" collapsed="false">
      <c r="A4302" s="102"/>
      <c r="E4302" s="103" t="str">
        <f aca="false">IF($C4302="","",IFERROR(INDEX(المنيو!$C$2:$C$500,MATCH($C4302,المنيو!$B$2:$B$500,0)),0))</f>
        <v/>
      </c>
      <c r="F4302" s="103" t="str">
        <f aca="false">IF($C4302="","",$D4302*$E4302)</f>
        <v/>
      </c>
      <c r="G4302" s="103" t="str">
        <f aca="false">IF($C4302="","",$D4302*IFERROR(INDEX('تحليل التكلفة والسعر'!$C$2:$C$700,MATCH($C4302,'تحليل التكلفة والسعر'!$B$2:$B$700,0)),0))</f>
        <v/>
      </c>
    </row>
    <row r="4303" customFormat="false" ht="15" hidden="false" customHeight="false" outlineLevel="0" collapsed="false">
      <c r="A4303" s="102"/>
      <c r="E4303" s="103" t="str">
        <f aca="false">IF($C4303="","",IFERROR(INDEX(المنيو!$C$2:$C$500,MATCH($C4303,المنيو!$B$2:$B$500,0)),0))</f>
        <v/>
      </c>
      <c r="F4303" s="103" t="str">
        <f aca="false">IF($C4303="","",$D4303*$E4303)</f>
        <v/>
      </c>
      <c r="G4303" s="103" t="str">
        <f aca="false">IF($C4303="","",$D4303*IFERROR(INDEX('تحليل التكلفة والسعر'!$C$2:$C$700,MATCH($C4303,'تحليل التكلفة والسعر'!$B$2:$B$700,0)),0))</f>
        <v/>
      </c>
    </row>
    <row r="4304" customFormat="false" ht="15" hidden="false" customHeight="false" outlineLevel="0" collapsed="false">
      <c r="A4304" s="102"/>
      <c r="E4304" s="103" t="str">
        <f aca="false">IF($C4304="","",IFERROR(INDEX(المنيو!$C$2:$C$500,MATCH($C4304,المنيو!$B$2:$B$500,0)),0))</f>
        <v/>
      </c>
      <c r="F4304" s="103" t="str">
        <f aca="false">IF($C4304="","",$D4304*$E4304)</f>
        <v/>
      </c>
      <c r="G4304" s="103" t="str">
        <f aca="false">IF($C4304="","",$D4304*IFERROR(INDEX('تحليل التكلفة والسعر'!$C$2:$C$700,MATCH($C4304,'تحليل التكلفة والسعر'!$B$2:$B$700,0)),0))</f>
        <v/>
      </c>
    </row>
    <row r="4305" customFormat="false" ht="15" hidden="false" customHeight="false" outlineLevel="0" collapsed="false">
      <c r="A4305" s="102"/>
      <c r="E4305" s="103" t="str">
        <f aca="false">IF($C4305="","",IFERROR(INDEX(المنيو!$C$2:$C$500,MATCH($C4305,المنيو!$B$2:$B$500,0)),0))</f>
        <v/>
      </c>
      <c r="F4305" s="103" t="str">
        <f aca="false">IF($C4305="","",$D4305*$E4305)</f>
        <v/>
      </c>
      <c r="G4305" s="103" t="str">
        <f aca="false">IF($C4305="","",$D4305*IFERROR(INDEX('تحليل التكلفة والسعر'!$C$2:$C$700,MATCH($C4305,'تحليل التكلفة والسعر'!$B$2:$B$700,0)),0))</f>
        <v/>
      </c>
    </row>
    <row r="4306" customFormat="false" ht="15" hidden="false" customHeight="false" outlineLevel="0" collapsed="false">
      <c r="A4306" s="102"/>
      <c r="E4306" s="103" t="str">
        <f aca="false">IF($C4306="","",IFERROR(INDEX(المنيو!$C$2:$C$500,MATCH($C4306,المنيو!$B$2:$B$500,0)),0))</f>
        <v/>
      </c>
      <c r="F4306" s="103" t="str">
        <f aca="false">IF($C4306="","",$D4306*$E4306)</f>
        <v/>
      </c>
      <c r="G4306" s="103" t="str">
        <f aca="false">IF($C4306="","",$D4306*IFERROR(INDEX('تحليل التكلفة والسعر'!$C$2:$C$700,MATCH($C4306,'تحليل التكلفة والسعر'!$B$2:$B$700,0)),0))</f>
        <v/>
      </c>
    </row>
    <row r="4307" customFormat="false" ht="15" hidden="false" customHeight="false" outlineLevel="0" collapsed="false">
      <c r="A4307" s="102"/>
      <c r="E4307" s="103" t="str">
        <f aca="false">IF($C4307="","",IFERROR(INDEX(المنيو!$C$2:$C$500,MATCH($C4307,المنيو!$B$2:$B$500,0)),0))</f>
        <v/>
      </c>
      <c r="F4307" s="103" t="str">
        <f aca="false">IF($C4307="","",$D4307*$E4307)</f>
        <v/>
      </c>
      <c r="G4307" s="103" t="str">
        <f aca="false">IF($C4307="","",$D4307*IFERROR(INDEX('تحليل التكلفة والسعر'!$C$2:$C$700,MATCH($C4307,'تحليل التكلفة والسعر'!$B$2:$B$700,0)),0))</f>
        <v/>
      </c>
    </row>
    <row r="4308" customFormat="false" ht="15" hidden="false" customHeight="false" outlineLevel="0" collapsed="false">
      <c r="A4308" s="102"/>
      <c r="E4308" s="103" t="str">
        <f aca="false">IF($C4308="","",IFERROR(INDEX(المنيو!$C$2:$C$500,MATCH($C4308,المنيو!$B$2:$B$500,0)),0))</f>
        <v/>
      </c>
      <c r="F4308" s="103" t="str">
        <f aca="false">IF($C4308="","",$D4308*$E4308)</f>
        <v/>
      </c>
      <c r="G4308" s="103" t="str">
        <f aca="false">IF($C4308="","",$D4308*IFERROR(INDEX('تحليل التكلفة والسعر'!$C$2:$C$700,MATCH($C4308,'تحليل التكلفة والسعر'!$B$2:$B$700,0)),0))</f>
        <v/>
      </c>
    </row>
    <row r="4309" customFormat="false" ht="15" hidden="false" customHeight="false" outlineLevel="0" collapsed="false">
      <c r="A4309" s="102"/>
      <c r="E4309" s="103" t="str">
        <f aca="false">IF($C4309="","",IFERROR(INDEX(المنيو!$C$2:$C$500,MATCH($C4309,المنيو!$B$2:$B$500,0)),0))</f>
        <v/>
      </c>
      <c r="F4309" s="103" t="str">
        <f aca="false">IF($C4309="","",$D4309*$E4309)</f>
        <v/>
      </c>
      <c r="G4309" s="103" t="str">
        <f aca="false">IF($C4309="","",$D4309*IFERROR(INDEX('تحليل التكلفة والسعر'!$C$2:$C$700,MATCH($C4309,'تحليل التكلفة والسعر'!$B$2:$B$700,0)),0))</f>
        <v/>
      </c>
    </row>
    <row r="4310" customFormat="false" ht="15" hidden="false" customHeight="false" outlineLevel="0" collapsed="false">
      <c r="A4310" s="102"/>
      <c r="E4310" s="103" t="str">
        <f aca="false">IF($C4310="","",IFERROR(INDEX(المنيو!$C$2:$C$500,MATCH($C4310,المنيو!$B$2:$B$500,0)),0))</f>
        <v/>
      </c>
      <c r="F4310" s="103" t="str">
        <f aca="false">IF($C4310="","",$D4310*$E4310)</f>
        <v/>
      </c>
      <c r="G4310" s="103" t="str">
        <f aca="false">IF($C4310="","",$D4310*IFERROR(INDEX('تحليل التكلفة والسعر'!$C$2:$C$700,MATCH($C4310,'تحليل التكلفة والسعر'!$B$2:$B$700,0)),0))</f>
        <v/>
      </c>
    </row>
    <row r="4311" customFormat="false" ht="15" hidden="false" customHeight="false" outlineLevel="0" collapsed="false">
      <c r="A4311" s="102"/>
      <c r="E4311" s="103" t="str">
        <f aca="false">IF($C4311="","",IFERROR(INDEX(المنيو!$C$2:$C$500,MATCH($C4311,المنيو!$B$2:$B$500,0)),0))</f>
        <v/>
      </c>
      <c r="F4311" s="103" t="str">
        <f aca="false">IF($C4311="","",$D4311*$E4311)</f>
        <v/>
      </c>
      <c r="G4311" s="103" t="str">
        <f aca="false">IF($C4311="","",$D4311*IFERROR(INDEX('تحليل التكلفة والسعر'!$C$2:$C$700,MATCH($C4311,'تحليل التكلفة والسعر'!$B$2:$B$700,0)),0))</f>
        <v/>
      </c>
    </row>
    <row r="4312" customFormat="false" ht="15" hidden="false" customHeight="false" outlineLevel="0" collapsed="false">
      <c r="A4312" s="102"/>
      <c r="E4312" s="103" t="str">
        <f aca="false">IF($C4312="","",IFERROR(INDEX(المنيو!$C$2:$C$500,MATCH($C4312,المنيو!$B$2:$B$500,0)),0))</f>
        <v/>
      </c>
      <c r="F4312" s="103" t="str">
        <f aca="false">IF($C4312="","",$D4312*$E4312)</f>
        <v/>
      </c>
      <c r="G4312" s="103" t="str">
        <f aca="false">IF($C4312="","",$D4312*IFERROR(INDEX('تحليل التكلفة والسعر'!$C$2:$C$700,MATCH($C4312,'تحليل التكلفة والسعر'!$B$2:$B$700,0)),0))</f>
        <v/>
      </c>
    </row>
    <row r="4313" customFormat="false" ht="15" hidden="false" customHeight="false" outlineLevel="0" collapsed="false">
      <c r="A4313" s="102"/>
      <c r="E4313" s="103" t="str">
        <f aca="false">IF($C4313="","",IFERROR(INDEX(المنيو!$C$2:$C$500,MATCH($C4313,المنيو!$B$2:$B$500,0)),0))</f>
        <v/>
      </c>
      <c r="F4313" s="103" t="str">
        <f aca="false">IF($C4313="","",$D4313*$E4313)</f>
        <v/>
      </c>
      <c r="G4313" s="103" t="str">
        <f aca="false">IF($C4313="","",$D4313*IFERROR(INDEX('تحليل التكلفة والسعر'!$C$2:$C$700,MATCH($C4313,'تحليل التكلفة والسعر'!$B$2:$B$700,0)),0))</f>
        <v/>
      </c>
    </row>
    <row r="4314" customFormat="false" ht="15" hidden="false" customHeight="false" outlineLevel="0" collapsed="false">
      <c r="A4314" s="102"/>
      <c r="E4314" s="103" t="str">
        <f aca="false">IF($C4314="","",IFERROR(INDEX(المنيو!$C$2:$C$500,MATCH($C4314,المنيو!$B$2:$B$500,0)),0))</f>
        <v/>
      </c>
      <c r="F4314" s="103" t="str">
        <f aca="false">IF($C4314="","",$D4314*$E4314)</f>
        <v/>
      </c>
      <c r="G4314" s="103" t="str">
        <f aca="false">IF($C4314="","",$D4314*IFERROR(INDEX('تحليل التكلفة والسعر'!$C$2:$C$700,MATCH($C4314,'تحليل التكلفة والسعر'!$B$2:$B$700,0)),0))</f>
        <v/>
      </c>
    </row>
    <row r="4315" customFormat="false" ht="15" hidden="false" customHeight="false" outlineLevel="0" collapsed="false">
      <c r="A4315" s="102"/>
      <c r="E4315" s="103" t="str">
        <f aca="false">IF($C4315="","",IFERROR(INDEX(المنيو!$C$2:$C$500,MATCH($C4315,المنيو!$B$2:$B$500,0)),0))</f>
        <v/>
      </c>
      <c r="F4315" s="103" t="str">
        <f aca="false">IF($C4315="","",$D4315*$E4315)</f>
        <v/>
      </c>
      <c r="G4315" s="103" t="str">
        <f aca="false">IF($C4315="","",$D4315*IFERROR(INDEX('تحليل التكلفة والسعر'!$C$2:$C$700,MATCH($C4315,'تحليل التكلفة والسعر'!$B$2:$B$700,0)),0))</f>
        <v/>
      </c>
    </row>
    <row r="4316" customFormat="false" ht="15" hidden="false" customHeight="false" outlineLevel="0" collapsed="false">
      <c r="A4316" s="102"/>
      <c r="E4316" s="103" t="str">
        <f aca="false">IF($C4316="","",IFERROR(INDEX(المنيو!$C$2:$C$500,MATCH($C4316,المنيو!$B$2:$B$500,0)),0))</f>
        <v/>
      </c>
      <c r="F4316" s="103" t="str">
        <f aca="false">IF($C4316="","",$D4316*$E4316)</f>
        <v/>
      </c>
      <c r="G4316" s="103" t="str">
        <f aca="false">IF($C4316="","",$D4316*IFERROR(INDEX('تحليل التكلفة والسعر'!$C$2:$C$700,MATCH($C4316,'تحليل التكلفة والسعر'!$B$2:$B$700,0)),0))</f>
        <v/>
      </c>
    </row>
    <row r="4317" customFormat="false" ht="15" hidden="false" customHeight="false" outlineLevel="0" collapsed="false">
      <c r="A4317" s="102"/>
      <c r="E4317" s="103" t="str">
        <f aca="false">IF($C4317="","",IFERROR(INDEX(المنيو!$C$2:$C$500,MATCH($C4317,المنيو!$B$2:$B$500,0)),0))</f>
        <v/>
      </c>
      <c r="F4317" s="103" t="str">
        <f aca="false">IF($C4317="","",$D4317*$E4317)</f>
        <v/>
      </c>
      <c r="G4317" s="103" t="str">
        <f aca="false">IF($C4317="","",$D4317*IFERROR(INDEX('تحليل التكلفة والسعر'!$C$2:$C$700,MATCH($C4317,'تحليل التكلفة والسعر'!$B$2:$B$700,0)),0))</f>
        <v/>
      </c>
    </row>
    <row r="4318" customFormat="false" ht="15" hidden="false" customHeight="false" outlineLevel="0" collapsed="false">
      <c r="A4318" s="102"/>
      <c r="E4318" s="103" t="str">
        <f aca="false">IF($C4318="","",IFERROR(INDEX(المنيو!$C$2:$C$500,MATCH($C4318,المنيو!$B$2:$B$500,0)),0))</f>
        <v/>
      </c>
      <c r="F4318" s="103" t="str">
        <f aca="false">IF($C4318="","",$D4318*$E4318)</f>
        <v/>
      </c>
      <c r="G4318" s="103" t="str">
        <f aca="false">IF($C4318="","",$D4318*IFERROR(INDEX('تحليل التكلفة والسعر'!$C$2:$C$700,MATCH($C4318,'تحليل التكلفة والسعر'!$B$2:$B$700,0)),0))</f>
        <v/>
      </c>
    </row>
    <row r="4319" customFormat="false" ht="15" hidden="false" customHeight="false" outlineLevel="0" collapsed="false">
      <c r="A4319" s="102"/>
      <c r="E4319" s="103" t="str">
        <f aca="false">IF($C4319="","",IFERROR(INDEX(المنيو!$C$2:$C$500,MATCH($C4319,المنيو!$B$2:$B$500,0)),0))</f>
        <v/>
      </c>
      <c r="F4319" s="103" t="str">
        <f aca="false">IF($C4319="","",$D4319*$E4319)</f>
        <v/>
      </c>
      <c r="G4319" s="103" t="str">
        <f aca="false">IF($C4319="","",$D4319*IFERROR(INDEX('تحليل التكلفة والسعر'!$C$2:$C$700,MATCH($C4319,'تحليل التكلفة والسعر'!$B$2:$B$700,0)),0))</f>
        <v/>
      </c>
    </row>
    <row r="4320" customFormat="false" ht="15" hidden="false" customHeight="false" outlineLevel="0" collapsed="false">
      <c r="A4320" s="102"/>
      <c r="E4320" s="103" t="str">
        <f aca="false">IF($C4320="","",IFERROR(INDEX(المنيو!$C$2:$C$500,MATCH($C4320,المنيو!$B$2:$B$500,0)),0))</f>
        <v/>
      </c>
      <c r="F4320" s="103" t="str">
        <f aca="false">IF($C4320="","",$D4320*$E4320)</f>
        <v/>
      </c>
      <c r="G4320" s="103" t="str">
        <f aca="false">IF($C4320="","",$D4320*IFERROR(INDEX('تحليل التكلفة والسعر'!$C$2:$C$700,MATCH($C4320,'تحليل التكلفة والسعر'!$B$2:$B$700,0)),0))</f>
        <v/>
      </c>
    </row>
    <row r="4321" customFormat="false" ht="15" hidden="false" customHeight="false" outlineLevel="0" collapsed="false">
      <c r="A4321" s="102"/>
      <c r="E4321" s="103" t="str">
        <f aca="false">IF($C4321="","",IFERROR(INDEX(المنيو!$C$2:$C$500,MATCH($C4321,المنيو!$B$2:$B$500,0)),0))</f>
        <v/>
      </c>
      <c r="F4321" s="103" t="str">
        <f aca="false">IF($C4321="","",$D4321*$E4321)</f>
        <v/>
      </c>
      <c r="G4321" s="103" t="str">
        <f aca="false">IF($C4321="","",$D4321*IFERROR(INDEX('تحليل التكلفة والسعر'!$C$2:$C$700,MATCH($C4321,'تحليل التكلفة والسعر'!$B$2:$B$700,0)),0))</f>
        <v/>
      </c>
    </row>
    <row r="4322" customFormat="false" ht="15" hidden="false" customHeight="false" outlineLevel="0" collapsed="false">
      <c r="A4322" s="102"/>
      <c r="E4322" s="103" t="str">
        <f aca="false">IF($C4322="","",IFERROR(INDEX(المنيو!$C$2:$C$500,MATCH($C4322,المنيو!$B$2:$B$500,0)),0))</f>
        <v/>
      </c>
      <c r="F4322" s="103" t="str">
        <f aca="false">IF($C4322="","",$D4322*$E4322)</f>
        <v/>
      </c>
      <c r="G4322" s="103" t="str">
        <f aca="false">IF($C4322="","",$D4322*IFERROR(INDEX('تحليل التكلفة والسعر'!$C$2:$C$700,MATCH($C4322,'تحليل التكلفة والسعر'!$B$2:$B$700,0)),0))</f>
        <v/>
      </c>
    </row>
    <row r="4323" customFormat="false" ht="15" hidden="false" customHeight="false" outlineLevel="0" collapsed="false">
      <c r="A4323" s="102"/>
      <c r="E4323" s="103" t="str">
        <f aca="false">IF($C4323="","",IFERROR(INDEX(المنيو!$C$2:$C$500,MATCH($C4323,المنيو!$B$2:$B$500,0)),0))</f>
        <v/>
      </c>
      <c r="F4323" s="103" t="str">
        <f aca="false">IF($C4323="","",$D4323*$E4323)</f>
        <v/>
      </c>
      <c r="G4323" s="103" t="str">
        <f aca="false">IF($C4323="","",$D4323*IFERROR(INDEX('تحليل التكلفة والسعر'!$C$2:$C$700,MATCH($C4323,'تحليل التكلفة والسعر'!$B$2:$B$700,0)),0))</f>
        <v/>
      </c>
    </row>
    <row r="4324" customFormat="false" ht="15" hidden="false" customHeight="false" outlineLevel="0" collapsed="false">
      <c r="A4324" s="102"/>
      <c r="E4324" s="103" t="str">
        <f aca="false">IF($C4324="","",IFERROR(INDEX(المنيو!$C$2:$C$500,MATCH($C4324,المنيو!$B$2:$B$500,0)),0))</f>
        <v/>
      </c>
      <c r="F4324" s="103" t="str">
        <f aca="false">IF($C4324="","",$D4324*$E4324)</f>
        <v/>
      </c>
      <c r="G4324" s="103" t="str">
        <f aca="false">IF($C4324="","",$D4324*IFERROR(INDEX('تحليل التكلفة والسعر'!$C$2:$C$700,MATCH($C4324,'تحليل التكلفة والسعر'!$B$2:$B$700,0)),0))</f>
        <v/>
      </c>
    </row>
    <row r="4325" customFormat="false" ht="15" hidden="false" customHeight="false" outlineLevel="0" collapsed="false">
      <c r="A4325" s="102"/>
      <c r="E4325" s="103" t="str">
        <f aca="false">IF($C4325="","",IFERROR(INDEX(المنيو!$C$2:$C$500,MATCH($C4325,المنيو!$B$2:$B$500,0)),0))</f>
        <v/>
      </c>
      <c r="F4325" s="103" t="str">
        <f aca="false">IF($C4325="","",$D4325*$E4325)</f>
        <v/>
      </c>
      <c r="G4325" s="103" t="str">
        <f aca="false">IF($C4325="","",$D4325*IFERROR(INDEX('تحليل التكلفة والسعر'!$C$2:$C$700,MATCH($C4325,'تحليل التكلفة والسعر'!$B$2:$B$700,0)),0))</f>
        <v/>
      </c>
    </row>
    <row r="4326" customFormat="false" ht="15" hidden="false" customHeight="false" outlineLevel="0" collapsed="false">
      <c r="A4326" s="102"/>
      <c r="E4326" s="103" t="str">
        <f aca="false">IF($C4326="","",IFERROR(INDEX(المنيو!$C$2:$C$500,MATCH($C4326,المنيو!$B$2:$B$500,0)),0))</f>
        <v/>
      </c>
      <c r="F4326" s="103" t="str">
        <f aca="false">IF($C4326="","",$D4326*$E4326)</f>
        <v/>
      </c>
      <c r="G4326" s="103" t="str">
        <f aca="false">IF($C4326="","",$D4326*IFERROR(INDEX('تحليل التكلفة والسعر'!$C$2:$C$700,MATCH($C4326,'تحليل التكلفة والسعر'!$B$2:$B$700,0)),0))</f>
        <v/>
      </c>
    </row>
    <row r="4327" customFormat="false" ht="15" hidden="false" customHeight="false" outlineLevel="0" collapsed="false">
      <c r="A4327" s="102"/>
      <c r="E4327" s="103" t="str">
        <f aca="false">IF($C4327="","",IFERROR(INDEX(المنيو!$C$2:$C$500,MATCH($C4327,المنيو!$B$2:$B$500,0)),0))</f>
        <v/>
      </c>
      <c r="F4327" s="103" t="str">
        <f aca="false">IF($C4327="","",$D4327*$E4327)</f>
        <v/>
      </c>
      <c r="G4327" s="103" t="str">
        <f aca="false">IF($C4327="","",$D4327*IFERROR(INDEX('تحليل التكلفة والسعر'!$C$2:$C$700,MATCH($C4327,'تحليل التكلفة والسعر'!$B$2:$B$700,0)),0))</f>
        <v/>
      </c>
    </row>
    <row r="4328" customFormat="false" ht="15" hidden="false" customHeight="false" outlineLevel="0" collapsed="false">
      <c r="A4328" s="102"/>
      <c r="E4328" s="103" t="str">
        <f aca="false">IF($C4328="","",IFERROR(INDEX(المنيو!$C$2:$C$500,MATCH($C4328,المنيو!$B$2:$B$500,0)),0))</f>
        <v/>
      </c>
      <c r="F4328" s="103" t="str">
        <f aca="false">IF($C4328="","",$D4328*$E4328)</f>
        <v/>
      </c>
      <c r="G4328" s="103" t="str">
        <f aca="false">IF($C4328="","",$D4328*IFERROR(INDEX('تحليل التكلفة والسعر'!$C$2:$C$700,MATCH($C4328,'تحليل التكلفة والسعر'!$B$2:$B$700,0)),0))</f>
        <v/>
      </c>
    </row>
    <row r="4329" customFormat="false" ht="15" hidden="false" customHeight="false" outlineLevel="0" collapsed="false">
      <c r="A4329" s="102"/>
      <c r="E4329" s="103" t="str">
        <f aca="false">IF($C4329="","",IFERROR(INDEX(المنيو!$C$2:$C$500,MATCH($C4329,المنيو!$B$2:$B$500,0)),0))</f>
        <v/>
      </c>
      <c r="F4329" s="103" t="str">
        <f aca="false">IF($C4329="","",$D4329*$E4329)</f>
        <v/>
      </c>
      <c r="G4329" s="103" t="str">
        <f aca="false">IF($C4329="","",$D4329*IFERROR(INDEX('تحليل التكلفة والسعر'!$C$2:$C$700,MATCH($C4329,'تحليل التكلفة والسعر'!$B$2:$B$700,0)),0))</f>
        <v/>
      </c>
    </row>
    <row r="4330" customFormat="false" ht="15" hidden="false" customHeight="false" outlineLevel="0" collapsed="false">
      <c r="A4330" s="102"/>
      <c r="E4330" s="103" t="str">
        <f aca="false">IF($C4330="","",IFERROR(INDEX(المنيو!$C$2:$C$500,MATCH($C4330,المنيو!$B$2:$B$500,0)),0))</f>
        <v/>
      </c>
      <c r="F4330" s="103" t="str">
        <f aca="false">IF($C4330="","",$D4330*$E4330)</f>
        <v/>
      </c>
      <c r="G4330" s="103" t="str">
        <f aca="false">IF($C4330="","",$D4330*IFERROR(INDEX('تحليل التكلفة والسعر'!$C$2:$C$700,MATCH($C4330,'تحليل التكلفة والسعر'!$B$2:$B$700,0)),0))</f>
        <v/>
      </c>
    </row>
    <row r="4331" customFormat="false" ht="15" hidden="false" customHeight="false" outlineLevel="0" collapsed="false">
      <c r="A4331" s="102"/>
      <c r="E4331" s="103" t="str">
        <f aca="false">IF($C4331="","",IFERROR(INDEX(المنيو!$C$2:$C$500,MATCH($C4331,المنيو!$B$2:$B$500,0)),0))</f>
        <v/>
      </c>
      <c r="F4331" s="103" t="str">
        <f aca="false">IF($C4331="","",$D4331*$E4331)</f>
        <v/>
      </c>
      <c r="G4331" s="103" t="str">
        <f aca="false">IF($C4331="","",$D4331*IFERROR(INDEX('تحليل التكلفة والسعر'!$C$2:$C$700,MATCH($C4331,'تحليل التكلفة والسعر'!$B$2:$B$700,0)),0))</f>
        <v/>
      </c>
    </row>
    <row r="4332" customFormat="false" ht="15" hidden="false" customHeight="false" outlineLevel="0" collapsed="false">
      <c r="A4332" s="102"/>
      <c r="E4332" s="103" t="str">
        <f aca="false">IF($C4332="","",IFERROR(INDEX(المنيو!$C$2:$C$500,MATCH($C4332,المنيو!$B$2:$B$500,0)),0))</f>
        <v/>
      </c>
      <c r="F4332" s="103" t="str">
        <f aca="false">IF($C4332="","",$D4332*$E4332)</f>
        <v/>
      </c>
      <c r="G4332" s="103" t="str">
        <f aca="false">IF($C4332="","",$D4332*IFERROR(INDEX('تحليل التكلفة والسعر'!$C$2:$C$700,MATCH($C4332,'تحليل التكلفة والسعر'!$B$2:$B$700,0)),0))</f>
        <v/>
      </c>
    </row>
    <row r="4333" customFormat="false" ht="15" hidden="false" customHeight="false" outlineLevel="0" collapsed="false">
      <c r="A4333" s="102"/>
      <c r="E4333" s="103" t="str">
        <f aca="false">IF($C4333="","",IFERROR(INDEX(المنيو!$C$2:$C$500,MATCH($C4333,المنيو!$B$2:$B$500,0)),0))</f>
        <v/>
      </c>
      <c r="F4333" s="103" t="str">
        <f aca="false">IF($C4333="","",$D4333*$E4333)</f>
        <v/>
      </c>
      <c r="G4333" s="103" t="str">
        <f aca="false">IF($C4333="","",$D4333*IFERROR(INDEX('تحليل التكلفة والسعر'!$C$2:$C$700,MATCH($C4333,'تحليل التكلفة والسعر'!$B$2:$B$700,0)),0))</f>
        <v/>
      </c>
    </row>
    <row r="4334" customFormat="false" ht="15" hidden="false" customHeight="false" outlineLevel="0" collapsed="false">
      <c r="A4334" s="102"/>
      <c r="E4334" s="103" t="str">
        <f aca="false">IF($C4334="","",IFERROR(INDEX(المنيو!$C$2:$C$500,MATCH($C4334,المنيو!$B$2:$B$500,0)),0))</f>
        <v/>
      </c>
      <c r="F4334" s="103" t="str">
        <f aca="false">IF($C4334="","",$D4334*$E4334)</f>
        <v/>
      </c>
      <c r="G4334" s="103" t="str">
        <f aca="false">IF($C4334="","",$D4334*IFERROR(INDEX('تحليل التكلفة والسعر'!$C$2:$C$700,MATCH($C4334,'تحليل التكلفة والسعر'!$B$2:$B$700,0)),0))</f>
        <v/>
      </c>
    </row>
    <row r="4335" customFormat="false" ht="15" hidden="false" customHeight="false" outlineLevel="0" collapsed="false">
      <c r="A4335" s="102"/>
      <c r="E4335" s="103" t="str">
        <f aca="false">IF($C4335="","",IFERROR(INDEX(المنيو!$C$2:$C$500,MATCH($C4335,المنيو!$B$2:$B$500,0)),0))</f>
        <v/>
      </c>
      <c r="F4335" s="103" t="str">
        <f aca="false">IF($C4335="","",$D4335*$E4335)</f>
        <v/>
      </c>
      <c r="G4335" s="103" t="str">
        <f aca="false">IF($C4335="","",$D4335*IFERROR(INDEX('تحليل التكلفة والسعر'!$C$2:$C$700,MATCH($C4335,'تحليل التكلفة والسعر'!$B$2:$B$700,0)),0))</f>
        <v/>
      </c>
    </row>
    <row r="4336" customFormat="false" ht="15" hidden="false" customHeight="false" outlineLevel="0" collapsed="false">
      <c r="A4336" s="102"/>
      <c r="E4336" s="103" t="str">
        <f aca="false">IF($C4336="","",IFERROR(INDEX(المنيو!$C$2:$C$500,MATCH($C4336,المنيو!$B$2:$B$500,0)),0))</f>
        <v/>
      </c>
      <c r="F4336" s="103" t="str">
        <f aca="false">IF($C4336="","",$D4336*$E4336)</f>
        <v/>
      </c>
      <c r="G4336" s="103" t="str">
        <f aca="false">IF($C4336="","",$D4336*IFERROR(INDEX('تحليل التكلفة والسعر'!$C$2:$C$700,MATCH($C4336,'تحليل التكلفة والسعر'!$B$2:$B$700,0)),0))</f>
        <v/>
      </c>
    </row>
    <row r="4337" customFormat="false" ht="15" hidden="false" customHeight="false" outlineLevel="0" collapsed="false">
      <c r="A4337" s="102"/>
      <c r="E4337" s="103" t="str">
        <f aca="false">IF($C4337="","",IFERROR(INDEX(المنيو!$C$2:$C$500,MATCH($C4337,المنيو!$B$2:$B$500,0)),0))</f>
        <v/>
      </c>
      <c r="F4337" s="103" t="str">
        <f aca="false">IF($C4337="","",$D4337*$E4337)</f>
        <v/>
      </c>
      <c r="G4337" s="103" t="str">
        <f aca="false">IF($C4337="","",$D4337*IFERROR(INDEX('تحليل التكلفة والسعر'!$C$2:$C$700,MATCH($C4337,'تحليل التكلفة والسعر'!$B$2:$B$700,0)),0))</f>
        <v/>
      </c>
    </row>
    <row r="4338" customFormat="false" ht="15" hidden="false" customHeight="false" outlineLevel="0" collapsed="false">
      <c r="A4338" s="102"/>
      <c r="E4338" s="103" t="str">
        <f aca="false">IF($C4338="","",IFERROR(INDEX(المنيو!$C$2:$C$500,MATCH($C4338,المنيو!$B$2:$B$500,0)),0))</f>
        <v/>
      </c>
      <c r="F4338" s="103" t="str">
        <f aca="false">IF($C4338="","",$D4338*$E4338)</f>
        <v/>
      </c>
      <c r="G4338" s="103" t="str">
        <f aca="false">IF($C4338="","",$D4338*IFERROR(INDEX('تحليل التكلفة والسعر'!$C$2:$C$700,MATCH($C4338,'تحليل التكلفة والسعر'!$B$2:$B$700,0)),0))</f>
        <v/>
      </c>
    </row>
    <row r="4339" customFormat="false" ht="15" hidden="false" customHeight="false" outlineLevel="0" collapsed="false">
      <c r="A4339" s="102"/>
      <c r="E4339" s="103" t="str">
        <f aca="false">IF($C4339="","",IFERROR(INDEX(المنيو!$C$2:$C$500,MATCH($C4339,المنيو!$B$2:$B$500,0)),0))</f>
        <v/>
      </c>
      <c r="F4339" s="103" t="str">
        <f aca="false">IF($C4339="","",$D4339*$E4339)</f>
        <v/>
      </c>
      <c r="G4339" s="103" t="str">
        <f aca="false">IF($C4339="","",$D4339*IFERROR(INDEX('تحليل التكلفة والسعر'!$C$2:$C$700,MATCH($C4339,'تحليل التكلفة والسعر'!$B$2:$B$700,0)),0))</f>
        <v/>
      </c>
    </row>
    <row r="4340" customFormat="false" ht="15" hidden="false" customHeight="false" outlineLevel="0" collapsed="false">
      <c r="A4340" s="102"/>
      <c r="E4340" s="103" t="str">
        <f aca="false">IF($C4340="","",IFERROR(INDEX(المنيو!$C$2:$C$500,MATCH($C4340,المنيو!$B$2:$B$500,0)),0))</f>
        <v/>
      </c>
      <c r="F4340" s="103" t="str">
        <f aca="false">IF($C4340="","",$D4340*$E4340)</f>
        <v/>
      </c>
      <c r="G4340" s="103" t="str">
        <f aca="false">IF($C4340="","",$D4340*IFERROR(INDEX('تحليل التكلفة والسعر'!$C$2:$C$700,MATCH($C4340,'تحليل التكلفة والسعر'!$B$2:$B$700,0)),0))</f>
        <v/>
      </c>
    </row>
    <row r="4341" customFormat="false" ht="15" hidden="false" customHeight="false" outlineLevel="0" collapsed="false">
      <c r="A4341" s="102"/>
      <c r="E4341" s="103" t="str">
        <f aca="false">IF($C4341="","",IFERROR(INDEX(المنيو!$C$2:$C$500,MATCH($C4341,المنيو!$B$2:$B$500,0)),0))</f>
        <v/>
      </c>
      <c r="F4341" s="103" t="str">
        <f aca="false">IF($C4341="","",$D4341*$E4341)</f>
        <v/>
      </c>
      <c r="G4341" s="103" t="str">
        <f aca="false">IF($C4341="","",$D4341*IFERROR(INDEX('تحليل التكلفة والسعر'!$C$2:$C$700,MATCH($C4341,'تحليل التكلفة والسعر'!$B$2:$B$700,0)),0))</f>
        <v/>
      </c>
    </row>
    <row r="4342" customFormat="false" ht="15" hidden="false" customHeight="false" outlineLevel="0" collapsed="false">
      <c r="A4342" s="102"/>
      <c r="E4342" s="103" t="str">
        <f aca="false">IF($C4342="","",IFERROR(INDEX(المنيو!$C$2:$C$500,MATCH($C4342,المنيو!$B$2:$B$500,0)),0))</f>
        <v/>
      </c>
      <c r="F4342" s="103" t="str">
        <f aca="false">IF($C4342="","",$D4342*$E4342)</f>
        <v/>
      </c>
      <c r="G4342" s="103" t="str">
        <f aca="false">IF($C4342="","",$D4342*IFERROR(INDEX('تحليل التكلفة والسعر'!$C$2:$C$700,MATCH($C4342,'تحليل التكلفة والسعر'!$B$2:$B$700,0)),0))</f>
        <v/>
      </c>
    </row>
    <row r="4343" customFormat="false" ht="15" hidden="false" customHeight="false" outlineLevel="0" collapsed="false">
      <c r="A4343" s="102"/>
      <c r="E4343" s="103" t="str">
        <f aca="false">IF($C4343="","",IFERROR(INDEX(المنيو!$C$2:$C$500,MATCH($C4343,المنيو!$B$2:$B$500,0)),0))</f>
        <v/>
      </c>
      <c r="F4343" s="103" t="str">
        <f aca="false">IF($C4343="","",$D4343*$E4343)</f>
        <v/>
      </c>
      <c r="G4343" s="103" t="str">
        <f aca="false">IF($C4343="","",$D4343*IFERROR(INDEX('تحليل التكلفة والسعر'!$C$2:$C$700,MATCH($C4343,'تحليل التكلفة والسعر'!$B$2:$B$700,0)),0))</f>
        <v/>
      </c>
    </row>
    <row r="4344" customFormat="false" ht="15" hidden="false" customHeight="false" outlineLevel="0" collapsed="false">
      <c r="A4344" s="102"/>
      <c r="E4344" s="103" t="str">
        <f aca="false">IF($C4344="","",IFERROR(INDEX(المنيو!$C$2:$C$500,MATCH($C4344,المنيو!$B$2:$B$500,0)),0))</f>
        <v/>
      </c>
      <c r="F4344" s="103" t="str">
        <f aca="false">IF($C4344="","",$D4344*$E4344)</f>
        <v/>
      </c>
      <c r="G4344" s="103" t="str">
        <f aca="false">IF($C4344="","",$D4344*IFERROR(INDEX('تحليل التكلفة والسعر'!$C$2:$C$700,MATCH($C4344,'تحليل التكلفة والسعر'!$B$2:$B$700,0)),0))</f>
        <v/>
      </c>
    </row>
    <row r="4345" customFormat="false" ht="15" hidden="false" customHeight="false" outlineLevel="0" collapsed="false">
      <c r="A4345" s="102"/>
      <c r="E4345" s="103" t="str">
        <f aca="false">IF($C4345="","",IFERROR(INDEX(المنيو!$C$2:$C$500,MATCH($C4345,المنيو!$B$2:$B$500,0)),0))</f>
        <v/>
      </c>
      <c r="F4345" s="103" t="str">
        <f aca="false">IF($C4345="","",$D4345*$E4345)</f>
        <v/>
      </c>
      <c r="G4345" s="103" t="str">
        <f aca="false">IF($C4345="","",$D4345*IFERROR(INDEX('تحليل التكلفة والسعر'!$C$2:$C$700,MATCH($C4345,'تحليل التكلفة والسعر'!$B$2:$B$700,0)),0))</f>
        <v/>
      </c>
    </row>
    <row r="4346" customFormat="false" ht="15" hidden="false" customHeight="false" outlineLevel="0" collapsed="false">
      <c r="A4346" s="102"/>
      <c r="E4346" s="103" t="str">
        <f aca="false">IF($C4346="","",IFERROR(INDEX(المنيو!$C$2:$C$500,MATCH($C4346,المنيو!$B$2:$B$500,0)),0))</f>
        <v/>
      </c>
      <c r="F4346" s="103" t="str">
        <f aca="false">IF($C4346="","",$D4346*$E4346)</f>
        <v/>
      </c>
      <c r="G4346" s="103" t="str">
        <f aca="false">IF($C4346="","",$D4346*IFERROR(INDEX('تحليل التكلفة والسعر'!$C$2:$C$700,MATCH($C4346,'تحليل التكلفة والسعر'!$B$2:$B$700,0)),0))</f>
        <v/>
      </c>
    </row>
    <row r="4347" customFormat="false" ht="15" hidden="false" customHeight="false" outlineLevel="0" collapsed="false">
      <c r="A4347" s="102"/>
      <c r="E4347" s="103" t="str">
        <f aca="false">IF($C4347="","",IFERROR(INDEX(المنيو!$C$2:$C$500,MATCH($C4347,المنيو!$B$2:$B$500,0)),0))</f>
        <v/>
      </c>
      <c r="F4347" s="103" t="str">
        <f aca="false">IF($C4347="","",$D4347*$E4347)</f>
        <v/>
      </c>
      <c r="G4347" s="103" t="str">
        <f aca="false">IF($C4347="","",$D4347*IFERROR(INDEX('تحليل التكلفة والسعر'!$C$2:$C$700,MATCH($C4347,'تحليل التكلفة والسعر'!$B$2:$B$700,0)),0))</f>
        <v/>
      </c>
    </row>
    <row r="4348" customFormat="false" ht="15" hidden="false" customHeight="false" outlineLevel="0" collapsed="false">
      <c r="A4348" s="102"/>
      <c r="E4348" s="103" t="str">
        <f aca="false">IF($C4348="","",IFERROR(INDEX(المنيو!$C$2:$C$500,MATCH($C4348,المنيو!$B$2:$B$500,0)),0))</f>
        <v/>
      </c>
      <c r="F4348" s="103" t="str">
        <f aca="false">IF($C4348="","",$D4348*$E4348)</f>
        <v/>
      </c>
      <c r="G4348" s="103" t="str">
        <f aca="false">IF($C4348="","",$D4348*IFERROR(INDEX('تحليل التكلفة والسعر'!$C$2:$C$700,MATCH($C4348,'تحليل التكلفة والسعر'!$B$2:$B$700,0)),0))</f>
        <v/>
      </c>
    </row>
    <row r="4349" customFormat="false" ht="15" hidden="false" customHeight="false" outlineLevel="0" collapsed="false">
      <c r="A4349" s="102"/>
      <c r="E4349" s="103" t="str">
        <f aca="false">IF($C4349="","",IFERROR(INDEX(المنيو!$C$2:$C$500,MATCH($C4349,المنيو!$B$2:$B$500,0)),0))</f>
        <v/>
      </c>
      <c r="F4349" s="103" t="str">
        <f aca="false">IF($C4349="","",$D4349*$E4349)</f>
        <v/>
      </c>
      <c r="G4349" s="103" t="str">
        <f aca="false">IF($C4349="","",$D4349*IFERROR(INDEX('تحليل التكلفة والسعر'!$C$2:$C$700,MATCH($C4349,'تحليل التكلفة والسعر'!$B$2:$B$700,0)),0))</f>
        <v/>
      </c>
    </row>
    <row r="4350" customFormat="false" ht="15" hidden="false" customHeight="false" outlineLevel="0" collapsed="false">
      <c r="A4350" s="102"/>
      <c r="E4350" s="103" t="str">
        <f aca="false">IF($C4350="","",IFERROR(INDEX(المنيو!$C$2:$C$500,MATCH($C4350,المنيو!$B$2:$B$500,0)),0))</f>
        <v/>
      </c>
      <c r="F4350" s="103" t="str">
        <f aca="false">IF($C4350="","",$D4350*$E4350)</f>
        <v/>
      </c>
      <c r="G4350" s="103" t="str">
        <f aca="false">IF($C4350="","",$D4350*IFERROR(INDEX('تحليل التكلفة والسعر'!$C$2:$C$700,MATCH($C4350,'تحليل التكلفة والسعر'!$B$2:$B$700,0)),0))</f>
        <v/>
      </c>
    </row>
    <row r="4351" customFormat="false" ht="15" hidden="false" customHeight="false" outlineLevel="0" collapsed="false">
      <c r="A4351" s="102"/>
      <c r="E4351" s="103" t="str">
        <f aca="false">IF($C4351="","",IFERROR(INDEX(المنيو!$C$2:$C$500,MATCH($C4351,المنيو!$B$2:$B$500,0)),0))</f>
        <v/>
      </c>
      <c r="F4351" s="103" t="str">
        <f aca="false">IF($C4351="","",$D4351*$E4351)</f>
        <v/>
      </c>
      <c r="G4351" s="103" t="str">
        <f aca="false">IF($C4351="","",$D4351*IFERROR(INDEX('تحليل التكلفة والسعر'!$C$2:$C$700,MATCH($C4351,'تحليل التكلفة والسعر'!$B$2:$B$700,0)),0))</f>
        <v/>
      </c>
    </row>
    <row r="4352" customFormat="false" ht="15" hidden="false" customHeight="false" outlineLevel="0" collapsed="false">
      <c r="A4352" s="102"/>
      <c r="E4352" s="103" t="str">
        <f aca="false">IF($C4352="","",IFERROR(INDEX(المنيو!$C$2:$C$500,MATCH($C4352,المنيو!$B$2:$B$500,0)),0))</f>
        <v/>
      </c>
      <c r="F4352" s="103" t="str">
        <f aca="false">IF($C4352="","",$D4352*$E4352)</f>
        <v/>
      </c>
      <c r="G4352" s="103" t="str">
        <f aca="false">IF($C4352="","",$D4352*IFERROR(INDEX('تحليل التكلفة والسعر'!$C$2:$C$700,MATCH($C4352,'تحليل التكلفة والسعر'!$B$2:$B$700,0)),0))</f>
        <v/>
      </c>
    </row>
    <row r="4353" customFormat="false" ht="15" hidden="false" customHeight="false" outlineLevel="0" collapsed="false">
      <c r="A4353" s="102"/>
      <c r="E4353" s="103" t="str">
        <f aca="false">IF($C4353="","",IFERROR(INDEX(المنيو!$C$2:$C$500,MATCH($C4353,المنيو!$B$2:$B$500,0)),0))</f>
        <v/>
      </c>
      <c r="F4353" s="103" t="str">
        <f aca="false">IF($C4353="","",$D4353*$E4353)</f>
        <v/>
      </c>
      <c r="G4353" s="103" t="str">
        <f aca="false">IF($C4353="","",$D4353*IFERROR(INDEX('تحليل التكلفة والسعر'!$C$2:$C$700,MATCH($C4353,'تحليل التكلفة والسعر'!$B$2:$B$700,0)),0))</f>
        <v/>
      </c>
    </row>
    <row r="4354" customFormat="false" ht="15" hidden="false" customHeight="false" outlineLevel="0" collapsed="false">
      <c r="A4354" s="102"/>
      <c r="E4354" s="103" t="str">
        <f aca="false">IF($C4354="","",IFERROR(INDEX(المنيو!$C$2:$C$500,MATCH($C4354,المنيو!$B$2:$B$500,0)),0))</f>
        <v/>
      </c>
      <c r="F4354" s="103" t="str">
        <f aca="false">IF($C4354="","",$D4354*$E4354)</f>
        <v/>
      </c>
      <c r="G4354" s="103" t="str">
        <f aca="false">IF($C4354="","",$D4354*IFERROR(INDEX('تحليل التكلفة والسعر'!$C$2:$C$700,MATCH($C4354,'تحليل التكلفة والسعر'!$B$2:$B$700,0)),0))</f>
        <v/>
      </c>
    </row>
    <row r="4355" customFormat="false" ht="15" hidden="false" customHeight="false" outlineLevel="0" collapsed="false">
      <c r="A4355" s="102"/>
      <c r="E4355" s="103" t="str">
        <f aca="false">IF($C4355="","",IFERROR(INDEX(المنيو!$C$2:$C$500,MATCH($C4355,المنيو!$B$2:$B$500,0)),0))</f>
        <v/>
      </c>
      <c r="F4355" s="103" t="str">
        <f aca="false">IF($C4355="","",$D4355*$E4355)</f>
        <v/>
      </c>
      <c r="G4355" s="103" t="str">
        <f aca="false">IF($C4355="","",$D4355*IFERROR(INDEX('تحليل التكلفة والسعر'!$C$2:$C$700,MATCH($C4355,'تحليل التكلفة والسعر'!$B$2:$B$700,0)),0))</f>
        <v/>
      </c>
    </row>
    <row r="4356" customFormat="false" ht="15" hidden="false" customHeight="false" outlineLevel="0" collapsed="false">
      <c r="A4356" s="102"/>
      <c r="E4356" s="103" t="str">
        <f aca="false">IF($C4356="","",IFERROR(INDEX(المنيو!$C$2:$C$500,MATCH($C4356,المنيو!$B$2:$B$500,0)),0))</f>
        <v/>
      </c>
      <c r="F4356" s="103" t="str">
        <f aca="false">IF($C4356="","",$D4356*$E4356)</f>
        <v/>
      </c>
      <c r="G4356" s="103" t="str">
        <f aca="false">IF($C4356="","",$D4356*IFERROR(INDEX('تحليل التكلفة والسعر'!$C$2:$C$700,MATCH($C4356,'تحليل التكلفة والسعر'!$B$2:$B$700,0)),0))</f>
        <v/>
      </c>
    </row>
    <row r="4357" customFormat="false" ht="15" hidden="false" customHeight="false" outlineLevel="0" collapsed="false">
      <c r="A4357" s="102"/>
      <c r="E4357" s="103" t="str">
        <f aca="false">IF($C4357="","",IFERROR(INDEX(المنيو!$C$2:$C$500,MATCH($C4357,المنيو!$B$2:$B$500,0)),0))</f>
        <v/>
      </c>
      <c r="F4357" s="103" t="str">
        <f aca="false">IF($C4357="","",$D4357*$E4357)</f>
        <v/>
      </c>
      <c r="G4357" s="103" t="str">
        <f aca="false">IF($C4357="","",$D4357*IFERROR(INDEX('تحليل التكلفة والسعر'!$C$2:$C$700,MATCH($C4357,'تحليل التكلفة والسعر'!$B$2:$B$700,0)),0))</f>
        <v/>
      </c>
    </row>
    <row r="4358" customFormat="false" ht="15" hidden="false" customHeight="false" outlineLevel="0" collapsed="false">
      <c r="A4358" s="102"/>
      <c r="E4358" s="103" t="str">
        <f aca="false">IF($C4358="","",IFERROR(INDEX(المنيو!$C$2:$C$500,MATCH($C4358,المنيو!$B$2:$B$500,0)),0))</f>
        <v/>
      </c>
      <c r="F4358" s="103" t="str">
        <f aca="false">IF($C4358="","",$D4358*$E4358)</f>
        <v/>
      </c>
      <c r="G4358" s="103" t="str">
        <f aca="false">IF($C4358="","",$D4358*IFERROR(INDEX('تحليل التكلفة والسعر'!$C$2:$C$700,MATCH($C4358,'تحليل التكلفة والسعر'!$B$2:$B$700,0)),0))</f>
        <v/>
      </c>
    </row>
    <row r="4359" customFormat="false" ht="15" hidden="false" customHeight="false" outlineLevel="0" collapsed="false">
      <c r="A4359" s="102"/>
      <c r="E4359" s="103" t="str">
        <f aca="false">IF($C4359="","",IFERROR(INDEX(المنيو!$C$2:$C$500,MATCH($C4359,المنيو!$B$2:$B$500,0)),0))</f>
        <v/>
      </c>
      <c r="F4359" s="103" t="str">
        <f aca="false">IF($C4359="","",$D4359*$E4359)</f>
        <v/>
      </c>
      <c r="G4359" s="103" t="str">
        <f aca="false">IF($C4359="","",$D4359*IFERROR(INDEX('تحليل التكلفة والسعر'!$C$2:$C$700,MATCH($C4359,'تحليل التكلفة والسعر'!$B$2:$B$700,0)),0))</f>
        <v/>
      </c>
    </row>
    <row r="4360" customFormat="false" ht="15" hidden="false" customHeight="false" outlineLevel="0" collapsed="false">
      <c r="A4360" s="102"/>
      <c r="E4360" s="103" t="str">
        <f aca="false">IF($C4360="","",IFERROR(INDEX(المنيو!$C$2:$C$500,MATCH($C4360,المنيو!$B$2:$B$500,0)),0))</f>
        <v/>
      </c>
      <c r="F4360" s="103" t="str">
        <f aca="false">IF($C4360="","",$D4360*$E4360)</f>
        <v/>
      </c>
      <c r="G4360" s="103" t="str">
        <f aca="false">IF($C4360="","",$D4360*IFERROR(INDEX('تحليل التكلفة والسعر'!$C$2:$C$700,MATCH($C4360,'تحليل التكلفة والسعر'!$B$2:$B$700,0)),0))</f>
        <v/>
      </c>
    </row>
    <row r="4361" customFormat="false" ht="15" hidden="false" customHeight="false" outlineLevel="0" collapsed="false">
      <c r="A4361" s="102"/>
      <c r="E4361" s="103" t="str">
        <f aca="false">IF($C4361="","",IFERROR(INDEX(المنيو!$C$2:$C$500,MATCH($C4361,المنيو!$B$2:$B$500,0)),0))</f>
        <v/>
      </c>
      <c r="F4361" s="103" t="str">
        <f aca="false">IF($C4361="","",$D4361*$E4361)</f>
        <v/>
      </c>
      <c r="G4361" s="103" t="str">
        <f aca="false">IF($C4361="","",$D4361*IFERROR(INDEX('تحليل التكلفة والسعر'!$C$2:$C$700,MATCH($C4361,'تحليل التكلفة والسعر'!$B$2:$B$700,0)),0))</f>
        <v/>
      </c>
    </row>
    <row r="4362" customFormat="false" ht="15" hidden="false" customHeight="false" outlineLevel="0" collapsed="false">
      <c r="A4362" s="102"/>
      <c r="E4362" s="103" t="str">
        <f aca="false">IF($C4362="","",IFERROR(INDEX(المنيو!$C$2:$C$500,MATCH($C4362,المنيو!$B$2:$B$500,0)),0))</f>
        <v/>
      </c>
      <c r="F4362" s="103" t="str">
        <f aca="false">IF($C4362="","",$D4362*$E4362)</f>
        <v/>
      </c>
      <c r="G4362" s="103" t="str">
        <f aca="false">IF($C4362="","",$D4362*IFERROR(INDEX('تحليل التكلفة والسعر'!$C$2:$C$700,MATCH($C4362,'تحليل التكلفة والسعر'!$B$2:$B$700,0)),0))</f>
        <v/>
      </c>
    </row>
    <row r="4363" customFormat="false" ht="15" hidden="false" customHeight="false" outlineLevel="0" collapsed="false">
      <c r="A4363" s="102"/>
      <c r="E4363" s="103" t="str">
        <f aca="false">IF($C4363="","",IFERROR(INDEX(المنيو!$C$2:$C$500,MATCH($C4363,المنيو!$B$2:$B$500,0)),0))</f>
        <v/>
      </c>
      <c r="F4363" s="103" t="str">
        <f aca="false">IF($C4363="","",$D4363*$E4363)</f>
        <v/>
      </c>
      <c r="G4363" s="103" t="str">
        <f aca="false">IF($C4363="","",$D4363*IFERROR(INDEX('تحليل التكلفة والسعر'!$C$2:$C$700,MATCH($C4363,'تحليل التكلفة والسعر'!$B$2:$B$700,0)),0))</f>
        <v/>
      </c>
    </row>
    <row r="4364" customFormat="false" ht="15" hidden="false" customHeight="false" outlineLevel="0" collapsed="false">
      <c r="A4364" s="102"/>
      <c r="E4364" s="103" t="str">
        <f aca="false">IF($C4364="","",IFERROR(INDEX(المنيو!$C$2:$C$500,MATCH($C4364,المنيو!$B$2:$B$500,0)),0))</f>
        <v/>
      </c>
      <c r="F4364" s="103" t="str">
        <f aca="false">IF($C4364="","",$D4364*$E4364)</f>
        <v/>
      </c>
      <c r="G4364" s="103" t="str">
        <f aca="false">IF($C4364="","",$D4364*IFERROR(INDEX('تحليل التكلفة والسعر'!$C$2:$C$700,MATCH($C4364,'تحليل التكلفة والسعر'!$B$2:$B$700,0)),0))</f>
        <v/>
      </c>
    </row>
    <row r="4365" customFormat="false" ht="15" hidden="false" customHeight="false" outlineLevel="0" collapsed="false">
      <c r="A4365" s="102"/>
      <c r="E4365" s="103" t="str">
        <f aca="false">IF($C4365="","",IFERROR(INDEX(المنيو!$C$2:$C$500,MATCH($C4365,المنيو!$B$2:$B$500,0)),0))</f>
        <v/>
      </c>
      <c r="F4365" s="103" t="str">
        <f aca="false">IF($C4365="","",$D4365*$E4365)</f>
        <v/>
      </c>
      <c r="G4365" s="103" t="str">
        <f aca="false">IF($C4365="","",$D4365*IFERROR(INDEX('تحليل التكلفة والسعر'!$C$2:$C$700,MATCH($C4365,'تحليل التكلفة والسعر'!$B$2:$B$700,0)),0))</f>
        <v/>
      </c>
    </row>
    <row r="4366" customFormat="false" ht="15" hidden="false" customHeight="false" outlineLevel="0" collapsed="false">
      <c r="A4366" s="102"/>
      <c r="E4366" s="103" t="str">
        <f aca="false">IF($C4366="","",IFERROR(INDEX(المنيو!$C$2:$C$500,MATCH($C4366,المنيو!$B$2:$B$500,0)),0))</f>
        <v/>
      </c>
      <c r="F4366" s="103" t="str">
        <f aca="false">IF($C4366="","",$D4366*$E4366)</f>
        <v/>
      </c>
      <c r="G4366" s="103" t="str">
        <f aca="false">IF($C4366="","",$D4366*IFERROR(INDEX('تحليل التكلفة والسعر'!$C$2:$C$700,MATCH($C4366,'تحليل التكلفة والسعر'!$B$2:$B$700,0)),0))</f>
        <v/>
      </c>
    </row>
    <row r="4367" customFormat="false" ht="15" hidden="false" customHeight="false" outlineLevel="0" collapsed="false">
      <c r="A4367" s="102"/>
      <c r="E4367" s="103" t="str">
        <f aca="false">IF($C4367="","",IFERROR(INDEX(المنيو!$C$2:$C$500,MATCH($C4367,المنيو!$B$2:$B$500,0)),0))</f>
        <v/>
      </c>
      <c r="F4367" s="103" t="str">
        <f aca="false">IF($C4367="","",$D4367*$E4367)</f>
        <v/>
      </c>
      <c r="G4367" s="103" t="str">
        <f aca="false">IF($C4367="","",$D4367*IFERROR(INDEX('تحليل التكلفة والسعر'!$C$2:$C$700,MATCH($C4367,'تحليل التكلفة والسعر'!$B$2:$B$700,0)),0))</f>
        <v/>
      </c>
    </row>
    <row r="4368" customFormat="false" ht="15" hidden="false" customHeight="false" outlineLevel="0" collapsed="false">
      <c r="A4368" s="102"/>
      <c r="E4368" s="103" t="str">
        <f aca="false">IF($C4368="","",IFERROR(INDEX(المنيو!$C$2:$C$500,MATCH($C4368,المنيو!$B$2:$B$500,0)),0))</f>
        <v/>
      </c>
      <c r="F4368" s="103" t="str">
        <f aca="false">IF($C4368="","",$D4368*$E4368)</f>
        <v/>
      </c>
      <c r="G4368" s="103" t="str">
        <f aca="false">IF($C4368="","",$D4368*IFERROR(INDEX('تحليل التكلفة والسعر'!$C$2:$C$700,MATCH($C4368,'تحليل التكلفة والسعر'!$B$2:$B$700,0)),0))</f>
        <v/>
      </c>
    </row>
    <row r="4369" customFormat="false" ht="15" hidden="false" customHeight="false" outlineLevel="0" collapsed="false">
      <c r="A4369" s="102"/>
      <c r="E4369" s="103" t="str">
        <f aca="false">IF($C4369="","",IFERROR(INDEX(المنيو!$C$2:$C$500,MATCH($C4369,المنيو!$B$2:$B$500,0)),0))</f>
        <v/>
      </c>
      <c r="F4369" s="103" t="str">
        <f aca="false">IF($C4369="","",$D4369*$E4369)</f>
        <v/>
      </c>
      <c r="G4369" s="103" t="str">
        <f aca="false">IF($C4369="","",$D4369*IFERROR(INDEX('تحليل التكلفة والسعر'!$C$2:$C$700,MATCH($C4369,'تحليل التكلفة والسعر'!$B$2:$B$700,0)),0))</f>
        <v/>
      </c>
    </row>
    <row r="4370" customFormat="false" ht="15" hidden="false" customHeight="false" outlineLevel="0" collapsed="false">
      <c r="A4370" s="102"/>
      <c r="E4370" s="103" t="str">
        <f aca="false">IF($C4370="","",IFERROR(INDEX(المنيو!$C$2:$C$500,MATCH($C4370,المنيو!$B$2:$B$500,0)),0))</f>
        <v/>
      </c>
      <c r="F4370" s="103" t="str">
        <f aca="false">IF($C4370="","",$D4370*$E4370)</f>
        <v/>
      </c>
      <c r="G4370" s="103" t="str">
        <f aca="false">IF($C4370="","",$D4370*IFERROR(INDEX('تحليل التكلفة والسعر'!$C$2:$C$700,MATCH($C4370,'تحليل التكلفة والسعر'!$B$2:$B$700,0)),0))</f>
        <v/>
      </c>
    </row>
    <row r="4371" customFormat="false" ht="15" hidden="false" customHeight="false" outlineLevel="0" collapsed="false">
      <c r="A4371" s="102"/>
      <c r="E4371" s="103" t="str">
        <f aca="false">IF($C4371="","",IFERROR(INDEX(المنيو!$C$2:$C$500,MATCH($C4371,المنيو!$B$2:$B$500,0)),0))</f>
        <v/>
      </c>
      <c r="F4371" s="103" t="str">
        <f aca="false">IF($C4371="","",$D4371*$E4371)</f>
        <v/>
      </c>
      <c r="G4371" s="103" t="str">
        <f aca="false">IF($C4371="","",$D4371*IFERROR(INDEX('تحليل التكلفة والسعر'!$C$2:$C$700,MATCH($C4371,'تحليل التكلفة والسعر'!$B$2:$B$700,0)),0))</f>
        <v/>
      </c>
    </row>
    <row r="4372" customFormat="false" ht="15" hidden="false" customHeight="false" outlineLevel="0" collapsed="false">
      <c r="A4372" s="102"/>
      <c r="E4372" s="103" t="str">
        <f aca="false">IF($C4372="","",IFERROR(INDEX(المنيو!$C$2:$C$500,MATCH($C4372,المنيو!$B$2:$B$500,0)),0))</f>
        <v/>
      </c>
      <c r="F4372" s="103" t="str">
        <f aca="false">IF($C4372="","",$D4372*$E4372)</f>
        <v/>
      </c>
      <c r="G4372" s="103" t="str">
        <f aca="false">IF($C4372="","",$D4372*IFERROR(INDEX('تحليل التكلفة والسعر'!$C$2:$C$700,MATCH($C4372,'تحليل التكلفة والسعر'!$B$2:$B$700,0)),0))</f>
        <v/>
      </c>
    </row>
    <row r="4373" customFormat="false" ht="15" hidden="false" customHeight="false" outlineLevel="0" collapsed="false">
      <c r="A4373" s="102"/>
      <c r="E4373" s="103" t="str">
        <f aca="false">IF($C4373="","",IFERROR(INDEX(المنيو!$C$2:$C$500,MATCH($C4373,المنيو!$B$2:$B$500,0)),0))</f>
        <v/>
      </c>
      <c r="F4373" s="103" t="str">
        <f aca="false">IF($C4373="","",$D4373*$E4373)</f>
        <v/>
      </c>
      <c r="G4373" s="103" t="str">
        <f aca="false">IF($C4373="","",$D4373*IFERROR(INDEX('تحليل التكلفة والسعر'!$C$2:$C$700,MATCH($C4373,'تحليل التكلفة والسعر'!$B$2:$B$700,0)),0))</f>
        <v/>
      </c>
    </row>
    <row r="4374" customFormat="false" ht="15" hidden="false" customHeight="false" outlineLevel="0" collapsed="false">
      <c r="A4374" s="102"/>
      <c r="E4374" s="103" t="str">
        <f aca="false">IF($C4374="","",IFERROR(INDEX(المنيو!$C$2:$C$500,MATCH($C4374,المنيو!$B$2:$B$500,0)),0))</f>
        <v/>
      </c>
      <c r="F4374" s="103" t="str">
        <f aca="false">IF($C4374="","",$D4374*$E4374)</f>
        <v/>
      </c>
      <c r="G4374" s="103" t="str">
        <f aca="false">IF($C4374="","",$D4374*IFERROR(INDEX('تحليل التكلفة والسعر'!$C$2:$C$700,MATCH($C4374,'تحليل التكلفة والسعر'!$B$2:$B$700,0)),0))</f>
        <v/>
      </c>
    </row>
    <row r="4375" customFormat="false" ht="15" hidden="false" customHeight="false" outlineLevel="0" collapsed="false">
      <c r="A4375" s="102"/>
      <c r="E4375" s="103" t="str">
        <f aca="false">IF($C4375="","",IFERROR(INDEX(المنيو!$C$2:$C$500,MATCH($C4375,المنيو!$B$2:$B$500,0)),0))</f>
        <v/>
      </c>
      <c r="F4375" s="103" t="str">
        <f aca="false">IF($C4375="","",$D4375*$E4375)</f>
        <v/>
      </c>
      <c r="G4375" s="103" t="str">
        <f aca="false">IF($C4375="","",$D4375*IFERROR(INDEX('تحليل التكلفة والسعر'!$C$2:$C$700,MATCH($C4375,'تحليل التكلفة والسعر'!$B$2:$B$700,0)),0))</f>
        <v/>
      </c>
    </row>
    <row r="4376" customFormat="false" ht="15" hidden="false" customHeight="false" outlineLevel="0" collapsed="false">
      <c r="A4376" s="102"/>
      <c r="E4376" s="103" t="str">
        <f aca="false">IF($C4376="","",IFERROR(INDEX(المنيو!$C$2:$C$500,MATCH($C4376,المنيو!$B$2:$B$500,0)),0))</f>
        <v/>
      </c>
      <c r="F4376" s="103" t="str">
        <f aca="false">IF($C4376="","",$D4376*$E4376)</f>
        <v/>
      </c>
      <c r="G4376" s="103" t="str">
        <f aca="false">IF($C4376="","",$D4376*IFERROR(INDEX('تحليل التكلفة والسعر'!$C$2:$C$700,MATCH($C4376,'تحليل التكلفة والسعر'!$B$2:$B$700,0)),0))</f>
        <v/>
      </c>
    </row>
    <row r="4377" customFormat="false" ht="15" hidden="false" customHeight="false" outlineLevel="0" collapsed="false">
      <c r="A4377" s="102"/>
      <c r="E4377" s="103" t="str">
        <f aca="false">IF($C4377="","",IFERROR(INDEX(المنيو!$C$2:$C$500,MATCH($C4377,المنيو!$B$2:$B$500,0)),0))</f>
        <v/>
      </c>
      <c r="F4377" s="103" t="str">
        <f aca="false">IF($C4377="","",$D4377*$E4377)</f>
        <v/>
      </c>
      <c r="G4377" s="103" t="str">
        <f aca="false">IF($C4377="","",$D4377*IFERROR(INDEX('تحليل التكلفة والسعر'!$C$2:$C$700,MATCH($C4377,'تحليل التكلفة والسعر'!$B$2:$B$700,0)),0))</f>
        <v/>
      </c>
    </row>
    <row r="4378" customFormat="false" ht="15" hidden="false" customHeight="false" outlineLevel="0" collapsed="false">
      <c r="A4378" s="102"/>
      <c r="E4378" s="103" t="str">
        <f aca="false">IF($C4378="","",IFERROR(INDEX(المنيو!$C$2:$C$500,MATCH($C4378,المنيو!$B$2:$B$500,0)),0))</f>
        <v/>
      </c>
      <c r="F4378" s="103" t="str">
        <f aca="false">IF($C4378="","",$D4378*$E4378)</f>
        <v/>
      </c>
      <c r="G4378" s="103" t="str">
        <f aca="false">IF($C4378="","",$D4378*IFERROR(INDEX('تحليل التكلفة والسعر'!$C$2:$C$700,MATCH($C4378,'تحليل التكلفة والسعر'!$B$2:$B$700,0)),0))</f>
        <v/>
      </c>
    </row>
    <row r="4379" customFormat="false" ht="15" hidden="false" customHeight="false" outlineLevel="0" collapsed="false">
      <c r="A4379" s="102"/>
      <c r="E4379" s="103" t="str">
        <f aca="false">IF($C4379="","",IFERROR(INDEX(المنيو!$C$2:$C$500,MATCH($C4379,المنيو!$B$2:$B$500,0)),0))</f>
        <v/>
      </c>
      <c r="F4379" s="103" t="str">
        <f aca="false">IF($C4379="","",$D4379*$E4379)</f>
        <v/>
      </c>
      <c r="G4379" s="103" t="str">
        <f aca="false">IF($C4379="","",$D4379*IFERROR(INDEX('تحليل التكلفة والسعر'!$C$2:$C$700,MATCH($C4379,'تحليل التكلفة والسعر'!$B$2:$B$700,0)),0))</f>
        <v/>
      </c>
    </row>
    <row r="4380" customFormat="false" ht="15" hidden="false" customHeight="false" outlineLevel="0" collapsed="false">
      <c r="A4380" s="102"/>
      <c r="E4380" s="103" t="str">
        <f aca="false">IF($C4380="","",IFERROR(INDEX(المنيو!$C$2:$C$500,MATCH($C4380,المنيو!$B$2:$B$500,0)),0))</f>
        <v/>
      </c>
      <c r="F4380" s="103" t="str">
        <f aca="false">IF($C4380="","",$D4380*$E4380)</f>
        <v/>
      </c>
      <c r="G4380" s="103" t="str">
        <f aca="false">IF($C4380="","",$D4380*IFERROR(INDEX('تحليل التكلفة والسعر'!$C$2:$C$700,MATCH($C4380,'تحليل التكلفة والسعر'!$B$2:$B$700,0)),0))</f>
        <v/>
      </c>
    </row>
    <row r="4381" customFormat="false" ht="15" hidden="false" customHeight="false" outlineLevel="0" collapsed="false">
      <c r="A4381" s="102"/>
      <c r="E4381" s="103" t="str">
        <f aca="false">IF($C4381="","",IFERROR(INDEX(المنيو!$C$2:$C$500,MATCH($C4381,المنيو!$B$2:$B$500,0)),0))</f>
        <v/>
      </c>
      <c r="F4381" s="103" t="str">
        <f aca="false">IF($C4381="","",$D4381*$E4381)</f>
        <v/>
      </c>
      <c r="G4381" s="103" t="str">
        <f aca="false">IF($C4381="","",$D4381*IFERROR(INDEX('تحليل التكلفة والسعر'!$C$2:$C$700,MATCH($C4381,'تحليل التكلفة والسعر'!$B$2:$B$700,0)),0))</f>
        <v/>
      </c>
    </row>
    <row r="4382" customFormat="false" ht="15" hidden="false" customHeight="false" outlineLevel="0" collapsed="false">
      <c r="A4382" s="102"/>
      <c r="E4382" s="103" t="str">
        <f aca="false">IF($C4382="","",IFERROR(INDEX(المنيو!$C$2:$C$500,MATCH($C4382,المنيو!$B$2:$B$500,0)),0))</f>
        <v/>
      </c>
      <c r="F4382" s="103" t="str">
        <f aca="false">IF($C4382="","",$D4382*$E4382)</f>
        <v/>
      </c>
      <c r="G4382" s="103" t="str">
        <f aca="false">IF($C4382="","",$D4382*IFERROR(INDEX('تحليل التكلفة والسعر'!$C$2:$C$700,MATCH($C4382,'تحليل التكلفة والسعر'!$B$2:$B$700,0)),0))</f>
        <v/>
      </c>
    </row>
    <row r="4383" customFormat="false" ht="15" hidden="false" customHeight="false" outlineLevel="0" collapsed="false">
      <c r="A4383" s="102"/>
      <c r="E4383" s="103" t="str">
        <f aca="false">IF($C4383="","",IFERROR(INDEX(المنيو!$C$2:$C$500,MATCH($C4383,المنيو!$B$2:$B$500,0)),0))</f>
        <v/>
      </c>
      <c r="F4383" s="103" t="str">
        <f aca="false">IF($C4383="","",$D4383*$E4383)</f>
        <v/>
      </c>
      <c r="G4383" s="103" t="str">
        <f aca="false">IF($C4383="","",$D4383*IFERROR(INDEX('تحليل التكلفة والسعر'!$C$2:$C$700,MATCH($C4383,'تحليل التكلفة والسعر'!$B$2:$B$700,0)),0))</f>
        <v/>
      </c>
    </row>
    <row r="4384" customFormat="false" ht="15" hidden="false" customHeight="false" outlineLevel="0" collapsed="false">
      <c r="A4384" s="102"/>
      <c r="E4384" s="103" t="str">
        <f aca="false">IF($C4384="","",IFERROR(INDEX(المنيو!$C$2:$C$500,MATCH($C4384,المنيو!$B$2:$B$500,0)),0))</f>
        <v/>
      </c>
      <c r="F4384" s="103" t="str">
        <f aca="false">IF($C4384="","",$D4384*$E4384)</f>
        <v/>
      </c>
      <c r="G4384" s="103" t="str">
        <f aca="false">IF($C4384="","",$D4384*IFERROR(INDEX('تحليل التكلفة والسعر'!$C$2:$C$700,MATCH($C4384,'تحليل التكلفة والسعر'!$B$2:$B$700,0)),0))</f>
        <v/>
      </c>
    </row>
    <row r="4385" customFormat="false" ht="15" hidden="false" customHeight="false" outlineLevel="0" collapsed="false">
      <c r="A4385" s="102"/>
      <c r="E4385" s="103" t="str">
        <f aca="false">IF($C4385="","",IFERROR(INDEX(المنيو!$C$2:$C$500,MATCH($C4385,المنيو!$B$2:$B$500,0)),0))</f>
        <v/>
      </c>
      <c r="F4385" s="103" t="str">
        <f aca="false">IF($C4385="","",$D4385*$E4385)</f>
        <v/>
      </c>
      <c r="G4385" s="103" t="str">
        <f aca="false">IF($C4385="","",$D4385*IFERROR(INDEX('تحليل التكلفة والسعر'!$C$2:$C$700,MATCH($C4385,'تحليل التكلفة والسعر'!$B$2:$B$700,0)),0))</f>
        <v/>
      </c>
    </row>
    <row r="4386" customFormat="false" ht="15" hidden="false" customHeight="false" outlineLevel="0" collapsed="false">
      <c r="A4386" s="102"/>
      <c r="E4386" s="103" t="str">
        <f aca="false">IF($C4386="","",IFERROR(INDEX(المنيو!$C$2:$C$500,MATCH($C4386,المنيو!$B$2:$B$500,0)),0))</f>
        <v/>
      </c>
      <c r="F4386" s="103" t="str">
        <f aca="false">IF($C4386="","",$D4386*$E4386)</f>
        <v/>
      </c>
      <c r="G4386" s="103" t="str">
        <f aca="false">IF($C4386="","",$D4386*IFERROR(INDEX('تحليل التكلفة والسعر'!$C$2:$C$700,MATCH($C4386,'تحليل التكلفة والسعر'!$B$2:$B$700,0)),0))</f>
        <v/>
      </c>
    </row>
    <row r="4387" customFormat="false" ht="15" hidden="false" customHeight="false" outlineLevel="0" collapsed="false">
      <c r="A4387" s="102"/>
      <c r="E4387" s="103" t="str">
        <f aca="false">IF($C4387="","",IFERROR(INDEX(المنيو!$C$2:$C$500,MATCH($C4387,المنيو!$B$2:$B$500,0)),0))</f>
        <v/>
      </c>
      <c r="F4387" s="103" t="str">
        <f aca="false">IF($C4387="","",$D4387*$E4387)</f>
        <v/>
      </c>
      <c r="G4387" s="103" t="str">
        <f aca="false">IF($C4387="","",$D4387*IFERROR(INDEX('تحليل التكلفة والسعر'!$C$2:$C$700,MATCH($C4387,'تحليل التكلفة والسعر'!$B$2:$B$700,0)),0))</f>
        <v/>
      </c>
    </row>
    <row r="4388" customFormat="false" ht="15" hidden="false" customHeight="false" outlineLevel="0" collapsed="false">
      <c r="A4388" s="102"/>
      <c r="E4388" s="103" t="str">
        <f aca="false">IF($C4388="","",IFERROR(INDEX(المنيو!$C$2:$C$500,MATCH($C4388,المنيو!$B$2:$B$500,0)),0))</f>
        <v/>
      </c>
      <c r="F4388" s="103" t="str">
        <f aca="false">IF($C4388="","",$D4388*$E4388)</f>
        <v/>
      </c>
      <c r="G4388" s="103" t="str">
        <f aca="false">IF($C4388="","",$D4388*IFERROR(INDEX('تحليل التكلفة والسعر'!$C$2:$C$700,MATCH($C4388,'تحليل التكلفة والسعر'!$B$2:$B$700,0)),0))</f>
        <v/>
      </c>
    </row>
    <row r="4389" customFormat="false" ht="15" hidden="false" customHeight="false" outlineLevel="0" collapsed="false">
      <c r="A4389" s="102"/>
      <c r="E4389" s="103" t="str">
        <f aca="false">IF($C4389="","",IFERROR(INDEX(المنيو!$C$2:$C$500,MATCH($C4389,المنيو!$B$2:$B$500,0)),0))</f>
        <v/>
      </c>
      <c r="F4389" s="103" t="str">
        <f aca="false">IF($C4389="","",$D4389*$E4389)</f>
        <v/>
      </c>
      <c r="G4389" s="103" t="str">
        <f aca="false">IF($C4389="","",$D4389*IFERROR(INDEX('تحليل التكلفة والسعر'!$C$2:$C$700,MATCH($C4389,'تحليل التكلفة والسعر'!$B$2:$B$700,0)),0))</f>
        <v/>
      </c>
    </row>
    <row r="4390" customFormat="false" ht="15" hidden="false" customHeight="false" outlineLevel="0" collapsed="false">
      <c r="A4390" s="102"/>
      <c r="E4390" s="103" t="str">
        <f aca="false">IF($C4390="","",IFERROR(INDEX(المنيو!$C$2:$C$500,MATCH($C4390,المنيو!$B$2:$B$500,0)),0))</f>
        <v/>
      </c>
      <c r="F4390" s="103" t="str">
        <f aca="false">IF($C4390="","",$D4390*$E4390)</f>
        <v/>
      </c>
      <c r="G4390" s="103" t="str">
        <f aca="false">IF($C4390="","",$D4390*IFERROR(INDEX('تحليل التكلفة والسعر'!$C$2:$C$700,MATCH($C4390,'تحليل التكلفة والسعر'!$B$2:$B$700,0)),0))</f>
        <v/>
      </c>
    </row>
    <row r="4391" customFormat="false" ht="15" hidden="false" customHeight="false" outlineLevel="0" collapsed="false">
      <c r="A4391" s="102"/>
      <c r="E4391" s="103" t="str">
        <f aca="false">IF($C4391="","",IFERROR(INDEX(المنيو!$C$2:$C$500,MATCH($C4391,المنيو!$B$2:$B$500,0)),0))</f>
        <v/>
      </c>
      <c r="F4391" s="103" t="str">
        <f aca="false">IF($C4391="","",$D4391*$E4391)</f>
        <v/>
      </c>
      <c r="G4391" s="103" t="str">
        <f aca="false">IF($C4391="","",$D4391*IFERROR(INDEX('تحليل التكلفة والسعر'!$C$2:$C$700,MATCH($C4391,'تحليل التكلفة والسعر'!$B$2:$B$700,0)),0))</f>
        <v/>
      </c>
    </row>
    <row r="4392" customFormat="false" ht="15" hidden="false" customHeight="false" outlineLevel="0" collapsed="false">
      <c r="A4392" s="102"/>
      <c r="E4392" s="103" t="str">
        <f aca="false">IF($C4392="","",IFERROR(INDEX(المنيو!$C$2:$C$500,MATCH($C4392,المنيو!$B$2:$B$500,0)),0))</f>
        <v/>
      </c>
      <c r="F4392" s="103" t="str">
        <f aca="false">IF($C4392="","",$D4392*$E4392)</f>
        <v/>
      </c>
      <c r="G4392" s="103" t="str">
        <f aca="false">IF($C4392="","",$D4392*IFERROR(INDEX('تحليل التكلفة والسعر'!$C$2:$C$700,MATCH($C4392,'تحليل التكلفة والسعر'!$B$2:$B$700,0)),0))</f>
        <v/>
      </c>
    </row>
    <row r="4393" customFormat="false" ht="15" hidden="false" customHeight="false" outlineLevel="0" collapsed="false">
      <c r="A4393" s="102"/>
      <c r="E4393" s="103" t="str">
        <f aca="false">IF($C4393="","",IFERROR(INDEX(المنيو!$C$2:$C$500,MATCH($C4393,المنيو!$B$2:$B$500,0)),0))</f>
        <v/>
      </c>
      <c r="F4393" s="103" t="str">
        <f aca="false">IF($C4393="","",$D4393*$E4393)</f>
        <v/>
      </c>
      <c r="G4393" s="103" t="str">
        <f aca="false">IF($C4393="","",$D4393*IFERROR(INDEX('تحليل التكلفة والسعر'!$C$2:$C$700,MATCH($C4393,'تحليل التكلفة والسعر'!$B$2:$B$700,0)),0))</f>
        <v/>
      </c>
    </row>
    <row r="4394" customFormat="false" ht="15" hidden="false" customHeight="false" outlineLevel="0" collapsed="false">
      <c r="A4394" s="102"/>
      <c r="E4394" s="103" t="str">
        <f aca="false">IF($C4394="","",IFERROR(INDEX(المنيو!$C$2:$C$500,MATCH($C4394,المنيو!$B$2:$B$500,0)),0))</f>
        <v/>
      </c>
      <c r="F4394" s="103" t="str">
        <f aca="false">IF($C4394="","",$D4394*$E4394)</f>
        <v/>
      </c>
      <c r="G4394" s="103" t="str">
        <f aca="false">IF($C4394="","",$D4394*IFERROR(INDEX('تحليل التكلفة والسعر'!$C$2:$C$700,MATCH($C4394,'تحليل التكلفة والسعر'!$B$2:$B$700,0)),0))</f>
        <v/>
      </c>
    </row>
    <row r="4395" customFormat="false" ht="15" hidden="false" customHeight="false" outlineLevel="0" collapsed="false">
      <c r="A4395" s="102"/>
      <c r="E4395" s="103" t="str">
        <f aca="false">IF($C4395="","",IFERROR(INDEX(المنيو!$C$2:$C$500,MATCH($C4395,المنيو!$B$2:$B$500,0)),0))</f>
        <v/>
      </c>
      <c r="F4395" s="103" t="str">
        <f aca="false">IF($C4395="","",$D4395*$E4395)</f>
        <v/>
      </c>
      <c r="G4395" s="103" t="str">
        <f aca="false">IF($C4395="","",$D4395*IFERROR(INDEX('تحليل التكلفة والسعر'!$C$2:$C$700,MATCH($C4395,'تحليل التكلفة والسعر'!$B$2:$B$700,0)),0))</f>
        <v/>
      </c>
    </row>
    <row r="4396" customFormat="false" ht="15" hidden="false" customHeight="false" outlineLevel="0" collapsed="false">
      <c r="A4396" s="102"/>
      <c r="E4396" s="103" t="str">
        <f aca="false">IF($C4396="","",IFERROR(INDEX(المنيو!$C$2:$C$500,MATCH($C4396,المنيو!$B$2:$B$500,0)),0))</f>
        <v/>
      </c>
      <c r="F4396" s="103" t="str">
        <f aca="false">IF($C4396="","",$D4396*$E4396)</f>
        <v/>
      </c>
      <c r="G4396" s="103" t="str">
        <f aca="false">IF($C4396="","",$D4396*IFERROR(INDEX('تحليل التكلفة والسعر'!$C$2:$C$700,MATCH($C4396,'تحليل التكلفة والسعر'!$B$2:$B$700,0)),0))</f>
        <v/>
      </c>
    </row>
    <row r="4397" customFormat="false" ht="15" hidden="false" customHeight="false" outlineLevel="0" collapsed="false">
      <c r="A4397" s="102"/>
      <c r="E4397" s="103" t="str">
        <f aca="false">IF($C4397="","",IFERROR(INDEX(المنيو!$C$2:$C$500,MATCH($C4397,المنيو!$B$2:$B$500,0)),0))</f>
        <v/>
      </c>
      <c r="F4397" s="103" t="str">
        <f aca="false">IF($C4397="","",$D4397*$E4397)</f>
        <v/>
      </c>
      <c r="G4397" s="103" t="str">
        <f aca="false">IF($C4397="","",$D4397*IFERROR(INDEX('تحليل التكلفة والسعر'!$C$2:$C$700,MATCH($C4397,'تحليل التكلفة والسعر'!$B$2:$B$700,0)),0))</f>
        <v/>
      </c>
    </row>
    <row r="4398" customFormat="false" ht="15" hidden="false" customHeight="false" outlineLevel="0" collapsed="false">
      <c r="A4398" s="102"/>
      <c r="E4398" s="103" t="str">
        <f aca="false">IF($C4398="","",IFERROR(INDEX(المنيو!$C$2:$C$500,MATCH($C4398,المنيو!$B$2:$B$500,0)),0))</f>
        <v/>
      </c>
      <c r="F4398" s="103" t="str">
        <f aca="false">IF($C4398="","",$D4398*$E4398)</f>
        <v/>
      </c>
      <c r="G4398" s="103" t="str">
        <f aca="false">IF($C4398="","",$D4398*IFERROR(INDEX('تحليل التكلفة والسعر'!$C$2:$C$700,MATCH($C4398,'تحليل التكلفة والسعر'!$B$2:$B$700,0)),0))</f>
        <v/>
      </c>
    </row>
    <row r="4399" customFormat="false" ht="15" hidden="false" customHeight="false" outlineLevel="0" collapsed="false">
      <c r="A4399" s="102"/>
      <c r="E4399" s="103" t="str">
        <f aca="false">IF($C4399="","",IFERROR(INDEX(المنيو!$C$2:$C$500,MATCH($C4399,المنيو!$B$2:$B$500,0)),0))</f>
        <v/>
      </c>
      <c r="F4399" s="103" t="str">
        <f aca="false">IF($C4399="","",$D4399*$E4399)</f>
        <v/>
      </c>
      <c r="G4399" s="103" t="str">
        <f aca="false">IF($C4399="","",$D4399*IFERROR(INDEX('تحليل التكلفة والسعر'!$C$2:$C$700,MATCH($C4399,'تحليل التكلفة والسعر'!$B$2:$B$700,0)),0))</f>
        <v/>
      </c>
    </row>
    <row r="4400" customFormat="false" ht="15" hidden="false" customHeight="false" outlineLevel="0" collapsed="false">
      <c r="A4400" s="102"/>
      <c r="E4400" s="103" t="str">
        <f aca="false">IF($C4400="","",IFERROR(INDEX(المنيو!$C$2:$C$500,MATCH($C4400,المنيو!$B$2:$B$500,0)),0))</f>
        <v/>
      </c>
      <c r="F4400" s="103" t="str">
        <f aca="false">IF($C4400="","",$D4400*$E4400)</f>
        <v/>
      </c>
      <c r="G4400" s="103" t="str">
        <f aca="false">IF($C4400="","",$D4400*IFERROR(INDEX('تحليل التكلفة والسعر'!$C$2:$C$700,MATCH($C4400,'تحليل التكلفة والسعر'!$B$2:$B$700,0)),0))</f>
        <v/>
      </c>
    </row>
    <row r="4401" customFormat="false" ht="15" hidden="false" customHeight="false" outlineLevel="0" collapsed="false">
      <c r="A4401" s="102"/>
      <c r="E4401" s="103" t="str">
        <f aca="false">IF($C4401="","",IFERROR(INDEX(المنيو!$C$2:$C$500,MATCH($C4401,المنيو!$B$2:$B$500,0)),0))</f>
        <v/>
      </c>
      <c r="F4401" s="103" t="str">
        <f aca="false">IF($C4401="","",$D4401*$E4401)</f>
        <v/>
      </c>
      <c r="G4401" s="103" t="str">
        <f aca="false">IF($C4401="","",$D4401*IFERROR(INDEX('تحليل التكلفة والسعر'!$C$2:$C$700,MATCH($C4401,'تحليل التكلفة والسعر'!$B$2:$B$700,0)),0))</f>
        <v/>
      </c>
    </row>
    <row r="4402" customFormat="false" ht="15" hidden="false" customHeight="false" outlineLevel="0" collapsed="false">
      <c r="A4402" s="102"/>
      <c r="E4402" s="103" t="str">
        <f aca="false">IF($C4402="","",IFERROR(INDEX(المنيو!$C$2:$C$500,MATCH($C4402,المنيو!$B$2:$B$500,0)),0))</f>
        <v/>
      </c>
      <c r="F4402" s="103" t="str">
        <f aca="false">IF($C4402="","",$D4402*$E4402)</f>
        <v/>
      </c>
      <c r="G4402" s="103" t="str">
        <f aca="false">IF($C4402="","",$D4402*IFERROR(INDEX('تحليل التكلفة والسعر'!$C$2:$C$700,MATCH($C4402,'تحليل التكلفة والسعر'!$B$2:$B$700,0)),0))</f>
        <v/>
      </c>
    </row>
    <row r="4403" customFormat="false" ht="15" hidden="false" customHeight="false" outlineLevel="0" collapsed="false">
      <c r="A4403" s="102"/>
      <c r="E4403" s="103" t="str">
        <f aca="false">IF($C4403="","",IFERROR(INDEX(المنيو!$C$2:$C$500,MATCH($C4403,المنيو!$B$2:$B$500,0)),0))</f>
        <v/>
      </c>
      <c r="F4403" s="103" t="str">
        <f aca="false">IF($C4403="","",$D4403*$E4403)</f>
        <v/>
      </c>
      <c r="G4403" s="103" t="str">
        <f aca="false">IF($C4403="","",$D4403*IFERROR(INDEX('تحليل التكلفة والسعر'!$C$2:$C$700,MATCH($C4403,'تحليل التكلفة والسعر'!$B$2:$B$700,0)),0))</f>
        <v/>
      </c>
    </row>
    <row r="4404" customFormat="false" ht="15" hidden="false" customHeight="false" outlineLevel="0" collapsed="false">
      <c r="A4404" s="102"/>
      <c r="E4404" s="103" t="str">
        <f aca="false">IF($C4404="","",IFERROR(INDEX(المنيو!$C$2:$C$500,MATCH($C4404,المنيو!$B$2:$B$500,0)),0))</f>
        <v/>
      </c>
      <c r="F4404" s="103" t="str">
        <f aca="false">IF($C4404="","",$D4404*$E4404)</f>
        <v/>
      </c>
      <c r="G4404" s="103" t="str">
        <f aca="false">IF($C4404="","",$D4404*IFERROR(INDEX('تحليل التكلفة والسعر'!$C$2:$C$700,MATCH($C4404,'تحليل التكلفة والسعر'!$B$2:$B$700,0)),0))</f>
        <v/>
      </c>
    </row>
    <row r="4405" customFormat="false" ht="15" hidden="false" customHeight="false" outlineLevel="0" collapsed="false">
      <c r="A4405" s="102"/>
      <c r="E4405" s="103" t="str">
        <f aca="false">IF($C4405="","",IFERROR(INDEX(المنيو!$C$2:$C$500,MATCH($C4405,المنيو!$B$2:$B$500,0)),0))</f>
        <v/>
      </c>
      <c r="F4405" s="103" t="str">
        <f aca="false">IF($C4405="","",$D4405*$E4405)</f>
        <v/>
      </c>
      <c r="G4405" s="103" t="str">
        <f aca="false">IF($C4405="","",$D4405*IFERROR(INDEX('تحليل التكلفة والسعر'!$C$2:$C$700,MATCH($C4405,'تحليل التكلفة والسعر'!$B$2:$B$700,0)),0))</f>
        <v/>
      </c>
    </row>
    <row r="4406" customFormat="false" ht="15" hidden="false" customHeight="false" outlineLevel="0" collapsed="false">
      <c r="A4406" s="102"/>
      <c r="E4406" s="103" t="str">
        <f aca="false">IF($C4406="","",IFERROR(INDEX(المنيو!$C$2:$C$500,MATCH($C4406,المنيو!$B$2:$B$500,0)),0))</f>
        <v/>
      </c>
      <c r="F4406" s="103" t="str">
        <f aca="false">IF($C4406="","",$D4406*$E4406)</f>
        <v/>
      </c>
      <c r="G4406" s="103" t="str">
        <f aca="false">IF($C4406="","",$D4406*IFERROR(INDEX('تحليل التكلفة والسعر'!$C$2:$C$700,MATCH($C4406,'تحليل التكلفة والسعر'!$B$2:$B$700,0)),0))</f>
        <v/>
      </c>
    </row>
    <row r="4407" customFormat="false" ht="15" hidden="false" customHeight="false" outlineLevel="0" collapsed="false">
      <c r="A4407" s="102"/>
      <c r="E4407" s="103" t="str">
        <f aca="false">IF($C4407="","",IFERROR(INDEX(المنيو!$C$2:$C$500,MATCH($C4407,المنيو!$B$2:$B$500,0)),0))</f>
        <v/>
      </c>
      <c r="F4407" s="103" t="str">
        <f aca="false">IF($C4407="","",$D4407*$E4407)</f>
        <v/>
      </c>
      <c r="G4407" s="103" t="str">
        <f aca="false">IF($C4407="","",$D4407*IFERROR(INDEX('تحليل التكلفة والسعر'!$C$2:$C$700,MATCH($C4407,'تحليل التكلفة والسعر'!$B$2:$B$700,0)),0))</f>
        <v/>
      </c>
    </row>
    <row r="4408" customFormat="false" ht="15" hidden="false" customHeight="false" outlineLevel="0" collapsed="false">
      <c r="A4408" s="102"/>
      <c r="E4408" s="103" t="str">
        <f aca="false">IF($C4408="","",IFERROR(INDEX(المنيو!$C$2:$C$500,MATCH($C4408,المنيو!$B$2:$B$500,0)),0))</f>
        <v/>
      </c>
      <c r="F4408" s="103" t="str">
        <f aca="false">IF($C4408="","",$D4408*$E4408)</f>
        <v/>
      </c>
      <c r="G4408" s="103" t="str">
        <f aca="false">IF($C4408="","",$D4408*IFERROR(INDEX('تحليل التكلفة والسعر'!$C$2:$C$700,MATCH($C4408,'تحليل التكلفة والسعر'!$B$2:$B$700,0)),0))</f>
        <v/>
      </c>
    </row>
    <row r="4409" customFormat="false" ht="15" hidden="false" customHeight="false" outlineLevel="0" collapsed="false">
      <c r="A4409" s="102"/>
      <c r="E4409" s="103" t="str">
        <f aca="false">IF($C4409="","",IFERROR(INDEX(المنيو!$C$2:$C$500,MATCH($C4409,المنيو!$B$2:$B$500,0)),0))</f>
        <v/>
      </c>
      <c r="F4409" s="103" t="str">
        <f aca="false">IF($C4409="","",$D4409*$E4409)</f>
        <v/>
      </c>
      <c r="G4409" s="103" t="str">
        <f aca="false">IF($C4409="","",$D4409*IFERROR(INDEX('تحليل التكلفة والسعر'!$C$2:$C$700,MATCH($C4409,'تحليل التكلفة والسعر'!$B$2:$B$700,0)),0))</f>
        <v/>
      </c>
    </row>
    <row r="4410" customFormat="false" ht="15" hidden="false" customHeight="false" outlineLevel="0" collapsed="false">
      <c r="A4410" s="102"/>
      <c r="E4410" s="103" t="str">
        <f aca="false">IF($C4410="","",IFERROR(INDEX(المنيو!$C$2:$C$500,MATCH($C4410,المنيو!$B$2:$B$500,0)),0))</f>
        <v/>
      </c>
      <c r="F4410" s="103" t="str">
        <f aca="false">IF($C4410="","",$D4410*$E4410)</f>
        <v/>
      </c>
      <c r="G4410" s="103" t="str">
        <f aca="false">IF($C4410="","",$D4410*IFERROR(INDEX('تحليل التكلفة والسعر'!$C$2:$C$700,MATCH($C4410,'تحليل التكلفة والسعر'!$B$2:$B$700,0)),0))</f>
        <v/>
      </c>
    </row>
    <row r="4411" customFormat="false" ht="15" hidden="false" customHeight="false" outlineLevel="0" collapsed="false">
      <c r="A4411" s="102"/>
      <c r="E4411" s="103" t="str">
        <f aca="false">IF($C4411="","",IFERROR(INDEX(المنيو!$C$2:$C$500,MATCH($C4411,المنيو!$B$2:$B$500,0)),0))</f>
        <v/>
      </c>
      <c r="F4411" s="103" t="str">
        <f aca="false">IF($C4411="","",$D4411*$E4411)</f>
        <v/>
      </c>
      <c r="G4411" s="103" t="str">
        <f aca="false">IF($C4411="","",$D4411*IFERROR(INDEX('تحليل التكلفة والسعر'!$C$2:$C$700,MATCH($C4411,'تحليل التكلفة والسعر'!$B$2:$B$700,0)),0))</f>
        <v/>
      </c>
    </row>
    <row r="4412" customFormat="false" ht="15" hidden="false" customHeight="false" outlineLevel="0" collapsed="false">
      <c r="A4412" s="102"/>
      <c r="E4412" s="103" t="str">
        <f aca="false">IF($C4412="","",IFERROR(INDEX(المنيو!$C$2:$C$500,MATCH($C4412,المنيو!$B$2:$B$500,0)),0))</f>
        <v/>
      </c>
      <c r="F4412" s="103" t="str">
        <f aca="false">IF($C4412="","",$D4412*$E4412)</f>
        <v/>
      </c>
      <c r="G4412" s="103" t="str">
        <f aca="false">IF($C4412="","",$D4412*IFERROR(INDEX('تحليل التكلفة والسعر'!$C$2:$C$700,MATCH($C4412,'تحليل التكلفة والسعر'!$B$2:$B$700,0)),0))</f>
        <v/>
      </c>
    </row>
    <row r="4413" customFormat="false" ht="15" hidden="false" customHeight="false" outlineLevel="0" collapsed="false">
      <c r="A4413" s="102"/>
      <c r="E4413" s="103" t="str">
        <f aca="false">IF($C4413="","",IFERROR(INDEX(المنيو!$C$2:$C$500,MATCH($C4413,المنيو!$B$2:$B$500,0)),0))</f>
        <v/>
      </c>
      <c r="F4413" s="103" t="str">
        <f aca="false">IF($C4413="","",$D4413*$E4413)</f>
        <v/>
      </c>
      <c r="G4413" s="103" t="str">
        <f aca="false">IF($C4413="","",$D4413*IFERROR(INDEX('تحليل التكلفة والسعر'!$C$2:$C$700,MATCH($C4413,'تحليل التكلفة والسعر'!$B$2:$B$700,0)),0))</f>
        <v/>
      </c>
    </row>
    <row r="4414" customFormat="false" ht="15" hidden="false" customHeight="false" outlineLevel="0" collapsed="false">
      <c r="A4414" s="102"/>
      <c r="E4414" s="103" t="str">
        <f aca="false">IF($C4414="","",IFERROR(INDEX(المنيو!$C$2:$C$500,MATCH($C4414,المنيو!$B$2:$B$500,0)),0))</f>
        <v/>
      </c>
      <c r="F4414" s="103" t="str">
        <f aca="false">IF($C4414="","",$D4414*$E4414)</f>
        <v/>
      </c>
      <c r="G4414" s="103" t="str">
        <f aca="false">IF($C4414="","",$D4414*IFERROR(INDEX('تحليل التكلفة والسعر'!$C$2:$C$700,MATCH($C4414,'تحليل التكلفة والسعر'!$B$2:$B$700,0)),0))</f>
        <v/>
      </c>
    </row>
    <row r="4415" customFormat="false" ht="15" hidden="false" customHeight="false" outlineLevel="0" collapsed="false">
      <c r="A4415" s="102"/>
      <c r="E4415" s="103" t="str">
        <f aca="false">IF($C4415="","",IFERROR(INDEX(المنيو!$C$2:$C$500,MATCH($C4415,المنيو!$B$2:$B$500,0)),0))</f>
        <v/>
      </c>
      <c r="F4415" s="103" t="str">
        <f aca="false">IF($C4415="","",$D4415*$E4415)</f>
        <v/>
      </c>
      <c r="G4415" s="103" t="str">
        <f aca="false">IF($C4415="","",$D4415*IFERROR(INDEX('تحليل التكلفة والسعر'!$C$2:$C$700,MATCH($C4415,'تحليل التكلفة والسعر'!$B$2:$B$700,0)),0))</f>
        <v/>
      </c>
    </row>
    <row r="4416" customFormat="false" ht="15" hidden="false" customHeight="false" outlineLevel="0" collapsed="false">
      <c r="A4416" s="102"/>
      <c r="E4416" s="103" t="str">
        <f aca="false">IF($C4416="","",IFERROR(INDEX(المنيو!$C$2:$C$500,MATCH($C4416,المنيو!$B$2:$B$500,0)),0))</f>
        <v/>
      </c>
      <c r="F4416" s="103" t="str">
        <f aca="false">IF($C4416="","",$D4416*$E4416)</f>
        <v/>
      </c>
      <c r="G4416" s="103" t="str">
        <f aca="false">IF($C4416="","",$D4416*IFERROR(INDEX('تحليل التكلفة والسعر'!$C$2:$C$700,MATCH($C4416,'تحليل التكلفة والسعر'!$B$2:$B$700,0)),0))</f>
        <v/>
      </c>
    </row>
    <row r="4417" customFormat="false" ht="15" hidden="false" customHeight="false" outlineLevel="0" collapsed="false">
      <c r="A4417" s="102"/>
      <c r="E4417" s="103" t="str">
        <f aca="false">IF($C4417="","",IFERROR(INDEX(المنيو!$C$2:$C$500,MATCH($C4417,المنيو!$B$2:$B$500,0)),0))</f>
        <v/>
      </c>
      <c r="F4417" s="103" t="str">
        <f aca="false">IF($C4417="","",$D4417*$E4417)</f>
        <v/>
      </c>
      <c r="G4417" s="103" t="str">
        <f aca="false">IF($C4417="","",$D4417*IFERROR(INDEX('تحليل التكلفة والسعر'!$C$2:$C$700,MATCH($C4417,'تحليل التكلفة والسعر'!$B$2:$B$700,0)),0))</f>
        <v/>
      </c>
    </row>
    <row r="4418" customFormat="false" ht="15" hidden="false" customHeight="false" outlineLevel="0" collapsed="false">
      <c r="A4418" s="102"/>
      <c r="E4418" s="103" t="str">
        <f aca="false">IF($C4418="","",IFERROR(INDEX(المنيو!$C$2:$C$500,MATCH($C4418,المنيو!$B$2:$B$500,0)),0))</f>
        <v/>
      </c>
      <c r="F4418" s="103" t="str">
        <f aca="false">IF($C4418="","",$D4418*$E4418)</f>
        <v/>
      </c>
      <c r="G4418" s="103" t="str">
        <f aca="false">IF($C4418="","",$D4418*IFERROR(INDEX('تحليل التكلفة والسعر'!$C$2:$C$700,MATCH($C4418,'تحليل التكلفة والسعر'!$B$2:$B$700,0)),0))</f>
        <v/>
      </c>
    </row>
    <row r="4419" customFormat="false" ht="15" hidden="false" customHeight="false" outlineLevel="0" collapsed="false">
      <c r="A4419" s="102"/>
      <c r="E4419" s="103" t="str">
        <f aca="false">IF($C4419="","",IFERROR(INDEX(المنيو!$C$2:$C$500,MATCH($C4419,المنيو!$B$2:$B$500,0)),0))</f>
        <v/>
      </c>
      <c r="F4419" s="103" t="str">
        <f aca="false">IF($C4419="","",$D4419*$E4419)</f>
        <v/>
      </c>
      <c r="G4419" s="103" t="str">
        <f aca="false">IF($C4419="","",$D4419*IFERROR(INDEX('تحليل التكلفة والسعر'!$C$2:$C$700,MATCH($C4419,'تحليل التكلفة والسعر'!$B$2:$B$700,0)),0))</f>
        <v/>
      </c>
    </row>
    <row r="4420" customFormat="false" ht="15" hidden="false" customHeight="false" outlineLevel="0" collapsed="false">
      <c r="A4420" s="102"/>
      <c r="E4420" s="103" t="str">
        <f aca="false">IF($C4420="","",IFERROR(INDEX(المنيو!$C$2:$C$500,MATCH($C4420,المنيو!$B$2:$B$500,0)),0))</f>
        <v/>
      </c>
      <c r="F4420" s="103" t="str">
        <f aca="false">IF($C4420="","",$D4420*$E4420)</f>
        <v/>
      </c>
      <c r="G4420" s="103" t="str">
        <f aca="false">IF($C4420="","",$D4420*IFERROR(INDEX('تحليل التكلفة والسعر'!$C$2:$C$700,MATCH($C4420,'تحليل التكلفة والسعر'!$B$2:$B$700,0)),0))</f>
        <v/>
      </c>
    </row>
    <row r="4421" customFormat="false" ht="15" hidden="false" customHeight="false" outlineLevel="0" collapsed="false">
      <c r="A4421" s="102"/>
      <c r="E4421" s="103" t="str">
        <f aca="false">IF($C4421="","",IFERROR(INDEX(المنيو!$C$2:$C$500,MATCH($C4421,المنيو!$B$2:$B$500,0)),0))</f>
        <v/>
      </c>
      <c r="F4421" s="103" t="str">
        <f aca="false">IF($C4421="","",$D4421*$E4421)</f>
        <v/>
      </c>
      <c r="G4421" s="103" t="str">
        <f aca="false">IF($C4421="","",$D4421*IFERROR(INDEX('تحليل التكلفة والسعر'!$C$2:$C$700,MATCH($C4421,'تحليل التكلفة والسعر'!$B$2:$B$700,0)),0))</f>
        <v/>
      </c>
    </row>
    <row r="4422" customFormat="false" ht="15" hidden="false" customHeight="false" outlineLevel="0" collapsed="false">
      <c r="A4422" s="102"/>
      <c r="E4422" s="103" t="str">
        <f aca="false">IF($C4422="","",IFERROR(INDEX(المنيو!$C$2:$C$500,MATCH($C4422,المنيو!$B$2:$B$500,0)),0))</f>
        <v/>
      </c>
      <c r="F4422" s="103" t="str">
        <f aca="false">IF($C4422="","",$D4422*$E4422)</f>
        <v/>
      </c>
      <c r="G4422" s="103" t="str">
        <f aca="false">IF($C4422="","",$D4422*IFERROR(INDEX('تحليل التكلفة والسعر'!$C$2:$C$700,MATCH($C4422,'تحليل التكلفة والسعر'!$B$2:$B$700,0)),0))</f>
        <v/>
      </c>
    </row>
    <row r="4423" customFormat="false" ht="15" hidden="false" customHeight="false" outlineLevel="0" collapsed="false">
      <c r="A4423" s="102"/>
      <c r="E4423" s="103" t="str">
        <f aca="false">IF($C4423="","",IFERROR(INDEX(المنيو!$C$2:$C$500,MATCH($C4423,المنيو!$B$2:$B$500,0)),0))</f>
        <v/>
      </c>
      <c r="F4423" s="103" t="str">
        <f aca="false">IF($C4423="","",$D4423*$E4423)</f>
        <v/>
      </c>
      <c r="G4423" s="103" t="str">
        <f aca="false">IF($C4423="","",$D4423*IFERROR(INDEX('تحليل التكلفة والسعر'!$C$2:$C$700,MATCH($C4423,'تحليل التكلفة والسعر'!$B$2:$B$700,0)),0))</f>
        <v/>
      </c>
    </row>
    <row r="4424" customFormat="false" ht="15" hidden="false" customHeight="false" outlineLevel="0" collapsed="false">
      <c r="A4424" s="102"/>
      <c r="E4424" s="103" t="str">
        <f aca="false">IF($C4424="","",IFERROR(INDEX(المنيو!$C$2:$C$500,MATCH($C4424,المنيو!$B$2:$B$500,0)),0))</f>
        <v/>
      </c>
      <c r="F4424" s="103" t="str">
        <f aca="false">IF($C4424="","",$D4424*$E4424)</f>
        <v/>
      </c>
      <c r="G4424" s="103" t="str">
        <f aca="false">IF($C4424="","",$D4424*IFERROR(INDEX('تحليل التكلفة والسعر'!$C$2:$C$700,MATCH($C4424,'تحليل التكلفة والسعر'!$B$2:$B$700,0)),0))</f>
        <v/>
      </c>
    </row>
    <row r="4425" customFormat="false" ht="15" hidden="false" customHeight="false" outlineLevel="0" collapsed="false">
      <c r="A4425" s="102"/>
      <c r="E4425" s="103" t="str">
        <f aca="false">IF($C4425="","",IFERROR(INDEX(المنيو!$C$2:$C$500,MATCH($C4425,المنيو!$B$2:$B$500,0)),0))</f>
        <v/>
      </c>
      <c r="F4425" s="103" t="str">
        <f aca="false">IF($C4425="","",$D4425*$E4425)</f>
        <v/>
      </c>
      <c r="G4425" s="103" t="str">
        <f aca="false">IF($C4425="","",$D4425*IFERROR(INDEX('تحليل التكلفة والسعر'!$C$2:$C$700,MATCH($C4425,'تحليل التكلفة والسعر'!$B$2:$B$700,0)),0))</f>
        <v/>
      </c>
    </row>
    <row r="4426" customFormat="false" ht="15" hidden="false" customHeight="false" outlineLevel="0" collapsed="false">
      <c r="A4426" s="102"/>
      <c r="E4426" s="103" t="str">
        <f aca="false">IF($C4426="","",IFERROR(INDEX(المنيو!$C$2:$C$500,MATCH($C4426,المنيو!$B$2:$B$500,0)),0))</f>
        <v/>
      </c>
      <c r="F4426" s="103" t="str">
        <f aca="false">IF($C4426="","",$D4426*$E4426)</f>
        <v/>
      </c>
      <c r="G4426" s="103" t="str">
        <f aca="false">IF($C4426="","",$D4426*IFERROR(INDEX('تحليل التكلفة والسعر'!$C$2:$C$700,MATCH($C4426,'تحليل التكلفة والسعر'!$B$2:$B$700,0)),0))</f>
        <v/>
      </c>
    </row>
    <row r="4427" customFormat="false" ht="15" hidden="false" customHeight="false" outlineLevel="0" collapsed="false">
      <c r="A4427" s="102"/>
      <c r="E4427" s="103" t="str">
        <f aca="false">IF($C4427="","",IFERROR(INDEX(المنيو!$C$2:$C$500,MATCH($C4427,المنيو!$B$2:$B$500,0)),0))</f>
        <v/>
      </c>
      <c r="F4427" s="103" t="str">
        <f aca="false">IF($C4427="","",$D4427*$E4427)</f>
        <v/>
      </c>
      <c r="G4427" s="103" t="str">
        <f aca="false">IF($C4427="","",$D4427*IFERROR(INDEX('تحليل التكلفة والسعر'!$C$2:$C$700,MATCH($C4427,'تحليل التكلفة والسعر'!$B$2:$B$700,0)),0))</f>
        <v/>
      </c>
    </row>
    <row r="4428" customFormat="false" ht="15" hidden="false" customHeight="false" outlineLevel="0" collapsed="false">
      <c r="A4428" s="102"/>
      <c r="E4428" s="103" t="str">
        <f aca="false">IF($C4428="","",IFERROR(INDEX(المنيو!$C$2:$C$500,MATCH($C4428,المنيو!$B$2:$B$500,0)),0))</f>
        <v/>
      </c>
      <c r="F4428" s="103" t="str">
        <f aca="false">IF($C4428="","",$D4428*$E4428)</f>
        <v/>
      </c>
      <c r="G4428" s="103" t="str">
        <f aca="false">IF($C4428="","",$D4428*IFERROR(INDEX('تحليل التكلفة والسعر'!$C$2:$C$700,MATCH($C4428,'تحليل التكلفة والسعر'!$B$2:$B$700,0)),0))</f>
        <v/>
      </c>
    </row>
    <row r="4429" customFormat="false" ht="15" hidden="false" customHeight="false" outlineLevel="0" collapsed="false">
      <c r="A4429" s="102"/>
      <c r="E4429" s="103" t="str">
        <f aca="false">IF($C4429="","",IFERROR(INDEX(المنيو!$C$2:$C$500,MATCH($C4429,المنيو!$B$2:$B$500,0)),0))</f>
        <v/>
      </c>
      <c r="F4429" s="103" t="str">
        <f aca="false">IF($C4429="","",$D4429*$E4429)</f>
        <v/>
      </c>
      <c r="G4429" s="103" t="str">
        <f aca="false">IF($C4429="","",$D4429*IFERROR(INDEX('تحليل التكلفة والسعر'!$C$2:$C$700,MATCH($C4429,'تحليل التكلفة والسعر'!$B$2:$B$700,0)),0))</f>
        <v/>
      </c>
    </row>
    <row r="4430" customFormat="false" ht="15" hidden="false" customHeight="false" outlineLevel="0" collapsed="false">
      <c r="A4430" s="102"/>
      <c r="E4430" s="103" t="str">
        <f aca="false">IF($C4430="","",IFERROR(INDEX(المنيو!$C$2:$C$500,MATCH($C4430,المنيو!$B$2:$B$500,0)),0))</f>
        <v/>
      </c>
      <c r="F4430" s="103" t="str">
        <f aca="false">IF($C4430="","",$D4430*$E4430)</f>
        <v/>
      </c>
      <c r="G4430" s="103" t="str">
        <f aca="false">IF($C4430="","",$D4430*IFERROR(INDEX('تحليل التكلفة والسعر'!$C$2:$C$700,MATCH($C4430,'تحليل التكلفة والسعر'!$B$2:$B$700,0)),0))</f>
        <v/>
      </c>
    </row>
    <row r="4431" customFormat="false" ht="15" hidden="false" customHeight="false" outlineLevel="0" collapsed="false">
      <c r="A4431" s="102"/>
      <c r="E4431" s="103" t="str">
        <f aca="false">IF($C4431="","",IFERROR(INDEX(المنيو!$C$2:$C$500,MATCH($C4431,المنيو!$B$2:$B$500,0)),0))</f>
        <v/>
      </c>
      <c r="F4431" s="103" t="str">
        <f aca="false">IF($C4431="","",$D4431*$E4431)</f>
        <v/>
      </c>
      <c r="G4431" s="103" t="str">
        <f aca="false">IF($C4431="","",$D4431*IFERROR(INDEX('تحليل التكلفة والسعر'!$C$2:$C$700,MATCH($C4431,'تحليل التكلفة والسعر'!$B$2:$B$700,0)),0))</f>
        <v/>
      </c>
    </row>
    <row r="4432" customFormat="false" ht="15" hidden="false" customHeight="false" outlineLevel="0" collapsed="false">
      <c r="A4432" s="102"/>
      <c r="E4432" s="103" t="str">
        <f aca="false">IF($C4432="","",IFERROR(INDEX(المنيو!$C$2:$C$500,MATCH($C4432,المنيو!$B$2:$B$500,0)),0))</f>
        <v/>
      </c>
      <c r="F4432" s="103" t="str">
        <f aca="false">IF($C4432="","",$D4432*$E4432)</f>
        <v/>
      </c>
      <c r="G4432" s="103" t="str">
        <f aca="false">IF($C4432="","",$D4432*IFERROR(INDEX('تحليل التكلفة والسعر'!$C$2:$C$700,MATCH($C4432,'تحليل التكلفة والسعر'!$B$2:$B$700,0)),0))</f>
        <v/>
      </c>
    </row>
    <row r="4433" customFormat="false" ht="15" hidden="false" customHeight="false" outlineLevel="0" collapsed="false">
      <c r="A4433" s="102"/>
      <c r="E4433" s="103" t="str">
        <f aca="false">IF($C4433="","",IFERROR(INDEX(المنيو!$C$2:$C$500,MATCH($C4433,المنيو!$B$2:$B$500,0)),0))</f>
        <v/>
      </c>
      <c r="F4433" s="103" t="str">
        <f aca="false">IF($C4433="","",$D4433*$E4433)</f>
        <v/>
      </c>
      <c r="G4433" s="103" t="str">
        <f aca="false">IF($C4433="","",$D4433*IFERROR(INDEX('تحليل التكلفة والسعر'!$C$2:$C$700,MATCH($C4433,'تحليل التكلفة والسعر'!$B$2:$B$700,0)),0))</f>
        <v/>
      </c>
    </row>
    <row r="4434" customFormat="false" ht="15" hidden="false" customHeight="false" outlineLevel="0" collapsed="false">
      <c r="A4434" s="102"/>
      <c r="E4434" s="103" t="str">
        <f aca="false">IF($C4434="","",IFERROR(INDEX(المنيو!$C$2:$C$500,MATCH($C4434,المنيو!$B$2:$B$500,0)),0))</f>
        <v/>
      </c>
      <c r="F4434" s="103" t="str">
        <f aca="false">IF($C4434="","",$D4434*$E4434)</f>
        <v/>
      </c>
      <c r="G4434" s="103" t="str">
        <f aca="false">IF($C4434="","",$D4434*IFERROR(INDEX('تحليل التكلفة والسعر'!$C$2:$C$700,MATCH($C4434,'تحليل التكلفة والسعر'!$B$2:$B$700,0)),0))</f>
        <v/>
      </c>
    </row>
    <row r="4435" customFormat="false" ht="15" hidden="false" customHeight="false" outlineLevel="0" collapsed="false">
      <c r="A4435" s="102"/>
      <c r="E4435" s="103" t="str">
        <f aca="false">IF($C4435="","",IFERROR(INDEX(المنيو!$C$2:$C$500,MATCH($C4435,المنيو!$B$2:$B$500,0)),0))</f>
        <v/>
      </c>
      <c r="F4435" s="103" t="str">
        <f aca="false">IF($C4435="","",$D4435*$E4435)</f>
        <v/>
      </c>
      <c r="G4435" s="103" t="str">
        <f aca="false">IF($C4435="","",$D4435*IFERROR(INDEX('تحليل التكلفة والسعر'!$C$2:$C$700,MATCH($C4435,'تحليل التكلفة والسعر'!$B$2:$B$700,0)),0))</f>
        <v/>
      </c>
    </row>
    <row r="4436" customFormat="false" ht="15" hidden="false" customHeight="false" outlineLevel="0" collapsed="false">
      <c r="A4436" s="102"/>
      <c r="E4436" s="103" t="str">
        <f aca="false">IF($C4436="","",IFERROR(INDEX(المنيو!$C$2:$C$500,MATCH($C4436,المنيو!$B$2:$B$500,0)),0))</f>
        <v/>
      </c>
      <c r="F4436" s="103" t="str">
        <f aca="false">IF($C4436="","",$D4436*$E4436)</f>
        <v/>
      </c>
      <c r="G4436" s="103" t="str">
        <f aca="false">IF($C4436="","",$D4436*IFERROR(INDEX('تحليل التكلفة والسعر'!$C$2:$C$700,MATCH($C4436,'تحليل التكلفة والسعر'!$B$2:$B$700,0)),0))</f>
        <v/>
      </c>
    </row>
    <row r="4437" customFormat="false" ht="15" hidden="false" customHeight="false" outlineLevel="0" collapsed="false">
      <c r="A4437" s="102"/>
      <c r="E4437" s="103" t="str">
        <f aca="false">IF($C4437="","",IFERROR(INDEX(المنيو!$C$2:$C$500,MATCH($C4437,المنيو!$B$2:$B$500,0)),0))</f>
        <v/>
      </c>
      <c r="F4437" s="103" t="str">
        <f aca="false">IF($C4437="","",$D4437*$E4437)</f>
        <v/>
      </c>
      <c r="G4437" s="103" t="str">
        <f aca="false">IF($C4437="","",$D4437*IFERROR(INDEX('تحليل التكلفة والسعر'!$C$2:$C$700,MATCH($C4437,'تحليل التكلفة والسعر'!$B$2:$B$700,0)),0))</f>
        <v/>
      </c>
    </row>
    <row r="4438" customFormat="false" ht="15" hidden="false" customHeight="false" outlineLevel="0" collapsed="false">
      <c r="A4438" s="102"/>
      <c r="E4438" s="103" t="str">
        <f aca="false">IF($C4438="","",IFERROR(INDEX(المنيو!$C$2:$C$500,MATCH($C4438,المنيو!$B$2:$B$500,0)),0))</f>
        <v/>
      </c>
      <c r="F4438" s="103" t="str">
        <f aca="false">IF($C4438="","",$D4438*$E4438)</f>
        <v/>
      </c>
      <c r="G4438" s="103" t="str">
        <f aca="false">IF($C4438="","",$D4438*IFERROR(INDEX('تحليل التكلفة والسعر'!$C$2:$C$700,MATCH($C4438,'تحليل التكلفة والسعر'!$B$2:$B$700,0)),0))</f>
        <v/>
      </c>
    </row>
    <row r="4439" customFormat="false" ht="15" hidden="false" customHeight="false" outlineLevel="0" collapsed="false">
      <c r="A4439" s="102"/>
      <c r="E4439" s="103" t="str">
        <f aca="false">IF($C4439="","",IFERROR(INDEX(المنيو!$C$2:$C$500,MATCH($C4439,المنيو!$B$2:$B$500,0)),0))</f>
        <v/>
      </c>
      <c r="F4439" s="103" t="str">
        <f aca="false">IF($C4439="","",$D4439*$E4439)</f>
        <v/>
      </c>
      <c r="G4439" s="103" t="str">
        <f aca="false">IF($C4439="","",$D4439*IFERROR(INDEX('تحليل التكلفة والسعر'!$C$2:$C$700,MATCH($C4439,'تحليل التكلفة والسعر'!$B$2:$B$700,0)),0))</f>
        <v/>
      </c>
    </row>
    <row r="4440" customFormat="false" ht="15" hidden="false" customHeight="false" outlineLevel="0" collapsed="false">
      <c r="A4440" s="102"/>
      <c r="E4440" s="103" t="str">
        <f aca="false">IF($C4440="","",IFERROR(INDEX(المنيو!$C$2:$C$500,MATCH($C4440,المنيو!$B$2:$B$500,0)),0))</f>
        <v/>
      </c>
      <c r="F4440" s="103" t="str">
        <f aca="false">IF($C4440="","",$D4440*$E4440)</f>
        <v/>
      </c>
      <c r="G4440" s="103" t="str">
        <f aca="false">IF($C4440="","",$D4440*IFERROR(INDEX('تحليل التكلفة والسعر'!$C$2:$C$700,MATCH($C4440,'تحليل التكلفة والسعر'!$B$2:$B$700,0)),0))</f>
        <v/>
      </c>
    </row>
    <row r="4441" customFormat="false" ht="15" hidden="false" customHeight="false" outlineLevel="0" collapsed="false">
      <c r="A4441" s="102"/>
      <c r="E4441" s="103" t="str">
        <f aca="false">IF($C4441="","",IFERROR(INDEX(المنيو!$C$2:$C$500,MATCH($C4441,المنيو!$B$2:$B$500,0)),0))</f>
        <v/>
      </c>
      <c r="F4441" s="103" t="str">
        <f aca="false">IF($C4441="","",$D4441*$E4441)</f>
        <v/>
      </c>
      <c r="G4441" s="103" t="str">
        <f aca="false">IF($C4441="","",$D4441*IFERROR(INDEX('تحليل التكلفة والسعر'!$C$2:$C$700,MATCH($C4441,'تحليل التكلفة والسعر'!$B$2:$B$700,0)),0))</f>
        <v/>
      </c>
    </row>
    <row r="4442" customFormat="false" ht="15" hidden="false" customHeight="false" outlineLevel="0" collapsed="false">
      <c r="A4442" s="102"/>
      <c r="E4442" s="103" t="str">
        <f aca="false">IF($C4442="","",IFERROR(INDEX(المنيو!$C$2:$C$500,MATCH($C4442,المنيو!$B$2:$B$500,0)),0))</f>
        <v/>
      </c>
      <c r="F4442" s="103" t="str">
        <f aca="false">IF($C4442="","",$D4442*$E4442)</f>
        <v/>
      </c>
      <c r="G4442" s="103" t="str">
        <f aca="false">IF($C4442="","",$D4442*IFERROR(INDEX('تحليل التكلفة والسعر'!$C$2:$C$700,MATCH($C4442,'تحليل التكلفة والسعر'!$B$2:$B$700,0)),0))</f>
        <v/>
      </c>
    </row>
    <row r="4443" customFormat="false" ht="15" hidden="false" customHeight="false" outlineLevel="0" collapsed="false">
      <c r="A4443" s="102"/>
      <c r="E4443" s="103" t="str">
        <f aca="false">IF($C4443="","",IFERROR(INDEX(المنيو!$C$2:$C$500,MATCH($C4443,المنيو!$B$2:$B$500,0)),0))</f>
        <v/>
      </c>
      <c r="F4443" s="103" t="str">
        <f aca="false">IF($C4443="","",$D4443*$E4443)</f>
        <v/>
      </c>
      <c r="G4443" s="103" t="str">
        <f aca="false">IF($C4443="","",$D4443*IFERROR(INDEX('تحليل التكلفة والسعر'!$C$2:$C$700,MATCH($C4443,'تحليل التكلفة والسعر'!$B$2:$B$700,0)),0))</f>
        <v/>
      </c>
    </row>
    <row r="4444" customFormat="false" ht="15" hidden="false" customHeight="false" outlineLevel="0" collapsed="false">
      <c r="A4444" s="102"/>
      <c r="E4444" s="103" t="str">
        <f aca="false">IF($C4444="","",IFERROR(INDEX(المنيو!$C$2:$C$500,MATCH($C4444,المنيو!$B$2:$B$500,0)),0))</f>
        <v/>
      </c>
      <c r="F4444" s="103" t="str">
        <f aca="false">IF($C4444="","",$D4444*$E4444)</f>
        <v/>
      </c>
      <c r="G4444" s="103" t="str">
        <f aca="false">IF($C4444="","",$D4444*IFERROR(INDEX('تحليل التكلفة والسعر'!$C$2:$C$700,MATCH($C4444,'تحليل التكلفة والسعر'!$B$2:$B$700,0)),0))</f>
        <v/>
      </c>
    </row>
    <row r="4445" customFormat="false" ht="15" hidden="false" customHeight="false" outlineLevel="0" collapsed="false">
      <c r="A4445" s="102"/>
      <c r="E4445" s="103" t="str">
        <f aca="false">IF($C4445="","",IFERROR(INDEX(المنيو!$C$2:$C$500,MATCH($C4445,المنيو!$B$2:$B$500,0)),0))</f>
        <v/>
      </c>
      <c r="F4445" s="103" t="str">
        <f aca="false">IF($C4445="","",$D4445*$E4445)</f>
        <v/>
      </c>
      <c r="G4445" s="103" t="str">
        <f aca="false">IF($C4445="","",$D4445*IFERROR(INDEX('تحليل التكلفة والسعر'!$C$2:$C$700,MATCH($C4445,'تحليل التكلفة والسعر'!$B$2:$B$700,0)),0))</f>
        <v/>
      </c>
    </row>
    <row r="4446" customFormat="false" ht="15" hidden="false" customHeight="false" outlineLevel="0" collapsed="false">
      <c r="A4446" s="102"/>
      <c r="E4446" s="103" t="str">
        <f aca="false">IF($C4446="","",IFERROR(INDEX(المنيو!$C$2:$C$500,MATCH($C4446,المنيو!$B$2:$B$500,0)),0))</f>
        <v/>
      </c>
      <c r="F4446" s="103" t="str">
        <f aca="false">IF($C4446="","",$D4446*$E4446)</f>
        <v/>
      </c>
      <c r="G4446" s="103" t="str">
        <f aca="false">IF($C4446="","",$D4446*IFERROR(INDEX('تحليل التكلفة والسعر'!$C$2:$C$700,MATCH($C4446,'تحليل التكلفة والسعر'!$B$2:$B$700,0)),0))</f>
        <v/>
      </c>
    </row>
    <row r="4447" customFormat="false" ht="15" hidden="false" customHeight="false" outlineLevel="0" collapsed="false">
      <c r="A4447" s="102"/>
      <c r="E4447" s="103" t="str">
        <f aca="false">IF($C4447="","",IFERROR(INDEX(المنيو!$C$2:$C$500,MATCH($C4447,المنيو!$B$2:$B$500,0)),0))</f>
        <v/>
      </c>
      <c r="F4447" s="103" t="str">
        <f aca="false">IF($C4447="","",$D4447*$E4447)</f>
        <v/>
      </c>
      <c r="G4447" s="103" t="str">
        <f aca="false">IF($C4447="","",$D4447*IFERROR(INDEX('تحليل التكلفة والسعر'!$C$2:$C$700,MATCH($C4447,'تحليل التكلفة والسعر'!$B$2:$B$700,0)),0))</f>
        <v/>
      </c>
    </row>
    <row r="4448" customFormat="false" ht="15" hidden="false" customHeight="false" outlineLevel="0" collapsed="false">
      <c r="A4448" s="102"/>
      <c r="E4448" s="103" t="str">
        <f aca="false">IF($C4448="","",IFERROR(INDEX(المنيو!$C$2:$C$500,MATCH($C4448,المنيو!$B$2:$B$500,0)),0))</f>
        <v/>
      </c>
      <c r="F4448" s="103" t="str">
        <f aca="false">IF($C4448="","",$D4448*$E4448)</f>
        <v/>
      </c>
      <c r="G4448" s="103" t="str">
        <f aca="false">IF($C4448="","",$D4448*IFERROR(INDEX('تحليل التكلفة والسعر'!$C$2:$C$700,MATCH($C4448,'تحليل التكلفة والسعر'!$B$2:$B$700,0)),0))</f>
        <v/>
      </c>
    </row>
    <row r="4449" customFormat="false" ht="15" hidden="false" customHeight="false" outlineLevel="0" collapsed="false">
      <c r="A4449" s="102"/>
      <c r="E4449" s="103" t="str">
        <f aca="false">IF($C4449="","",IFERROR(INDEX(المنيو!$C$2:$C$500,MATCH($C4449,المنيو!$B$2:$B$500,0)),0))</f>
        <v/>
      </c>
      <c r="F4449" s="103" t="str">
        <f aca="false">IF($C4449="","",$D4449*$E4449)</f>
        <v/>
      </c>
      <c r="G4449" s="103" t="str">
        <f aca="false">IF($C4449="","",$D4449*IFERROR(INDEX('تحليل التكلفة والسعر'!$C$2:$C$700,MATCH($C4449,'تحليل التكلفة والسعر'!$B$2:$B$700,0)),0))</f>
        <v/>
      </c>
    </row>
    <row r="4450" customFormat="false" ht="15" hidden="false" customHeight="false" outlineLevel="0" collapsed="false">
      <c r="A4450" s="102"/>
      <c r="E4450" s="103" t="str">
        <f aca="false">IF($C4450="","",IFERROR(INDEX(المنيو!$C$2:$C$500,MATCH($C4450,المنيو!$B$2:$B$500,0)),0))</f>
        <v/>
      </c>
      <c r="F4450" s="103" t="str">
        <f aca="false">IF($C4450="","",$D4450*$E4450)</f>
        <v/>
      </c>
      <c r="G4450" s="103" t="str">
        <f aca="false">IF($C4450="","",$D4450*IFERROR(INDEX('تحليل التكلفة والسعر'!$C$2:$C$700,MATCH($C4450,'تحليل التكلفة والسعر'!$B$2:$B$700,0)),0))</f>
        <v/>
      </c>
    </row>
    <row r="4451" customFormat="false" ht="15" hidden="false" customHeight="false" outlineLevel="0" collapsed="false">
      <c r="A4451" s="102"/>
      <c r="E4451" s="103" t="str">
        <f aca="false">IF($C4451="","",IFERROR(INDEX(المنيو!$C$2:$C$500,MATCH($C4451,المنيو!$B$2:$B$500,0)),0))</f>
        <v/>
      </c>
      <c r="F4451" s="103" t="str">
        <f aca="false">IF($C4451="","",$D4451*$E4451)</f>
        <v/>
      </c>
      <c r="G4451" s="103" t="str">
        <f aca="false">IF($C4451="","",$D4451*IFERROR(INDEX('تحليل التكلفة والسعر'!$C$2:$C$700,MATCH($C4451,'تحليل التكلفة والسعر'!$B$2:$B$700,0)),0))</f>
        <v/>
      </c>
    </row>
    <row r="4452" customFormat="false" ht="15" hidden="false" customHeight="false" outlineLevel="0" collapsed="false">
      <c r="A4452" s="102"/>
      <c r="E4452" s="103" t="str">
        <f aca="false">IF($C4452="","",IFERROR(INDEX(المنيو!$C$2:$C$500,MATCH($C4452,المنيو!$B$2:$B$500,0)),0))</f>
        <v/>
      </c>
      <c r="F4452" s="103" t="str">
        <f aca="false">IF($C4452="","",$D4452*$E4452)</f>
        <v/>
      </c>
      <c r="G4452" s="103" t="str">
        <f aca="false">IF($C4452="","",$D4452*IFERROR(INDEX('تحليل التكلفة والسعر'!$C$2:$C$700,MATCH($C4452,'تحليل التكلفة والسعر'!$B$2:$B$700,0)),0))</f>
        <v/>
      </c>
    </row>
    <row r="4453" customFormat="false" ht="15" hidden="false" customHeight="false" outlineLevel="0" collapsed="false">
      <c r="A4453" s="102"/>
      <c r="E4453" s="103" t="str">
        <f aca="false">IF($C4453="","",IFERROR(INDEX(المنيو!$C$2:$C$500,MATCH($C4453,المنيو!$B$2:$B$500,0)),0))</f>
        <v/>
      </c>
      <c r="F4453" s="103" t="str">
        <f aca="false">IF($C4453="","",$D4453*$E4453)</f>
        <v/>
      </c>
      <c r="G4453" s="103" t="str">
        <f aca="false">IF($C4453="","",$D4453*IFERROR(INDEX('تحليل التكلفة والسعر'!$C$2:$C$700,MATCH($C4453,'تحليل التكلفة والسعر'!$B$2:$B$700,0)),0))</f>
        <v/>
      </c>
    </row>
    <row r="4454" customFormat="false" ht="15" hidden="false" customHeight="false" outlineLevel="0" collapsed="false">
      <c r="A4454" s="102"/>
      <c r="E4454" s="103" t="str">
        <f aca="false">IF($C4454="","",IFERROR(INDEX(المنيو!$C$2:$C$500,MATCH($C4454,المنيو!$B$2:$B$500,0)),0))</f>
        <v/>
      </c>
      <c r="F4454" s="103" t="str">
        <f aca="false">IF($C4454="","",$D4454*$E4454)</f>
        <v/>
      </c>
      <c r="G4454" s="103" t="str">
        <f aca="false">IF($C4454="","",$D4454*IFERROR(INDEX('تحليل التكلفة والسعر'!$C$2:$C$700,MATCH($C4454,'تحليل التكلفة والسعر'!$B$2:$B$700,0)),0))</f>
        <v/>
      </c>
    </row>
    <row r="4455" customFormat="false" ht="15" hidden="false" customHeight="false" outlineLevel="0" collapsed="false">
      <c r="A4455" s="102"/>
      <c r="E4455" s="103" t="str">
        <f aca="false">IF($C4455="","",IFERROR(INDEX(المنيو!$C$2:$C$500,MATCH($C4455,المنيو!$B$2:$B$500,0)),0))</f>
        <v/>
      </c>
      <c r="F4455" s="103" t="str">
        <f aca="false">IF($C4455="","",$D4455*$E4455)</f>
        <v/>
      </c>
      <c r="G4455" s="103" t="str">
        <f aca="false">IF($C4455="","",$D4455*IFERROR(INDEX('تحليل التكلفة والسعر'!$C$2:$C$700,MATCH($C4455,'تحليل التكلفة والسعر'!$B$2:$B$700,0)),0))</f>
        <v/>
      </c>
    </row>
    <row r="4456" customFormat="false" ht="15" hidden="false" customHeight="false" outlineLevel="0" collapsed="false">
      <c r="A4456" s="102"/>
      <c r="E4456" s="103" t="str">
        <f aca="false">IF($C4456="","",IFERROR(INDEX(المنيو!$C$2:$C$500,MATCH($C4456,المنيو!$B$2:$B$500,0)),0))</f>
        <v/>
      </c>
      <c r="F4456" s="103" t="str">
        <f aca="false">IF($C4456="","",$D4456*$E4456)</f>
        <v/>
      </c>
      <c r="G4456" s="103" t="str">
        <f aca="false">IF($C4456="","",$D4456*IFERROR(INDEX('تحليل التكلفة والسعر'!$C$2:$C$700,MATCH($C4456,'تحليل التكلفة والسعر'!$B$2:$B$700,0)),0))</f>
        <v/>
      </c>
    </row>
    <row r="4457" customFormat="false" ht="15" hidden="false" customHeight="false" outlineLevel="0" collapsed="false">
      <c r="A4457" s="102"/>
      <c r="E4457" s="103" t="str">
        <f aca="false">IF($C4457="","",IFERROR(INDEX(المنيو!$C$2:$C$500,MATCH($C4457,المنيو!$B$2:$B$500,0)),0))</f>
        <v/>
      </c>
      <c r="F4457" s="103" t="str">
        <f aca="false">IF($C4457="","",$D4457*$E4457)</f>
        <v/>
      </c>
      <c r="G4457" s="103" t="str">
        <f aca="false">IF($C4457="","",$D4457*IFERROR(INDEX('تحليل التكلفة والسعر'!$C$2:$C$700,MATCH($C4457,'تحليل التكلفة والسعر'!$B$2:$B$700,0)),0))</f>
        <v/>
      </c>
    </row>
    <row r="4458" customFormat="false" ht="15" hidden="false" customHeight="false" outlineLevel="0" collapsed="false">
      <c r="A4458" s="102"/>
      <c r="E4458" s="103" t="str">
        <f aca="false">IF($C4458="","",IFERROR(INDEX(المنيو!$C$2:$C$500,MATCH($C4458,المنيو!$B$2:$B$500,0)),0))</f>
        <v/>
      </c>
      <c r="F4458" s="103" t="str">
        <f aca="false">IF($C4458="","",$D4458*$E4458)</f>
        <v/>
      </c>
      <c r="G4458" s="103" t="str">
        <f aca="false">IF($C4458="","",$D4458*IFERROR(INDEX('تحليل التكلفة والسعر'!$C$2:$C$700,MATCH($C4458,'تحليل التكلفة والسعر'!$B$2:$B$700,0)),0))</f>
        <v/>
      </c>
    </row>
    <row r="4459" customFormat="false" ht="15" hidden="false" customHeight="false" outlineLevel="0" collapsed="false">
      <c r="A4459" s="102"/>
      <c r="E4459" s="103" t="str">
        <f aca="false">IF($C4459="","",IFERROR(INDEX(المنيو!$C$2:$C$500,MATCH($C4459,المنيو!$B$2:$B$500,0)),0))</f>
        <v/>
      </c>
      <c r="F4459" s="103" t="str">
        <f aca="false">IF($C4459="","",$D4459*$E4459)</f>
        <v/>
      </c>
      <c r="G4459" s="103" t="str">
        <f aca="false">IF($C4459="","",$D4459*IFERROR(INDEX('تحليل التكلفة والسعر'!$C$2:$C$700,MATCH($C4459,'تحليل التكلفة والسعر'!$B$2:$B$700,0)),0))</f>
        <v/>
      </c>
    </row>
    <row r="4460" customFormat="false" ht="15" hidden="false" customHeight="false" outlineLevel="0" collapsed="false">
      <c r="A4460" s="102"/>
      <c r="E4460" s="103" t="str">
        <f aca="false">IF($C4460="","",IFERROR(INDEX(المنيو!$C$2:$C$500,MATCH($C4460,المنيو!$B$2:$B$500,0)),0))</f>
        <v/>
      </c>
      <c r="F4460" s="103" t="str">
        <f aca="false">IF($C4460="","",$D4460*$E4460)</f>
        <v/>
      </c>
      <c r="G4460" s="103" t="str">
        <f aca="false">IF($C4460="","",$D4460*IFERROR(INDEX('تحليل التكلفة والسعر'!$C$2:$C$700,MATCH($C4460,'تحليل التكلفة والسعر'!$B$2:$B$700,0)),0))</f>
        <v/>
      </c>
    </row>
    <row r="4461" customFormat="false" ht="15" hidden="false" customHeight="false" outlineLevel="0" collapsed="false">
      <c r="A4461" s="102"/>
      <c r="E4461" s="103" t="str">
        <f aca="false">IF($C4461="","",IFERROR(INDEX(المنيو!$C$2:$C$500,MATCH($C4461,المنيو!$B$2:$B$500,0)),0))</f>
        <v/>
      </c>
      <c r="F4461" s="103" t="str">
        <f aca="false">IF($C4461="","",$D4461*$E4461)</f>
        <v/>
      </c>
      <c r="G4461" s="103" t="str">
        <f aca="false">IF($C4461="","",$D4461*IFERROR(INDEX('تحليل التكلفة والسعر'!$C$2:$C$700,MATCH($C4461,'تحليل التكلفة والسعر'!$B$2:$B$700,0)),0))</f>
        <v/>
      </c>
    </row>
    <row r="4462" customFormat="false" ht="15" hidden="false" customHeight="false" outlineLevel="0" collapsed="false">
      <c r="A4462" s="102"/>
      <c r="E4462" s="103" t="str">
        <f aca="false">IF($C4462="","",IFERROR(INDEX(المنيو!$C$2:$C$500,MATCH($C4462,المنيو!$B$2:$B$500,0)),0))</f>
        <v/>
      </c>
      <c r="F4462" s="103" t="str">
        <f aca="false">IF($C4462="","",$D4462*$E4462)</f>
        <v/>
      </c>
      <c r="G4462" s="103" t="str">
        <f aca="false">IF($C4462="","",$D4462*IFERROR(INDEX('تحليل التكلفة والسعر'!$C$2:$C$700,MATCH($C4462,'تحليل التكلفة والسعر'!$B$2:$B$700,0)),0))</f>
        <v/>
      </c>
    </row>
    <row r="4463" customFormat="false" ht="15" hidden="false" customHeight="false" outlineLevel="0" collapsed="false">
      <c r="A4463" s="102"/>
      <c r="E4463" s="103" t="str">
        <f aca="false">IF($C4463="","",IFERROR(INDEX(المنيو!$C$2:$C$500,MATCH($C4463,المنيو!$B$2:$B$500,0)),0))</f>
        <v/>
      </c>
      <c r="F4463" s="103" t="str">
        <f aca="false">IF($C4463="","",$D4463*$E4463)</f>
        <v/>
      </c>
      <c r="G4463" s="103" t="str">
        <f aca="false">IF($C4463="","",$D4463*IFERROR(INDEX('تحليل التكلفة والسعر'!$C$2:$C$700,MATCH($C4463,'تحليل التكلفة والسعر'!$B$2:$B$700,0)),0))</f>
        <v/>
      </c>
    </row>
    <row r="4464" customFormat="false" ht="15" hidden="false" customHeight="false" outlineLevel="0" collapsed="false">
      <c r="A4464" s="102"/>
      <c r="E4464" s="103" t="str">
        <f aca="false">IF($C4464="","",IFERROR(INDEX(المنيو!$C$2:$C$500,MATCH($C4464,المنيو!$B$2:$B$500,0)),0))</f>
        <v/>
      </c>
      <c r="F4464" s="103" t="str">
        <f aca="false">IF($C4464="","",$D4464*$E4464)</f>
        <v/>
      </c>
      <c r="G4464" s="103" t="str">
        <f aca="false">IF($C4464="","",$D4464*IFERROR(INDEX('تحليل التكلفة والسعر'!$C$2:$C$700,MATCH($C4464,'تحليل التكلفة والسعر'!$B$2:$B$700,0)),0))</f>
        <v/>
      </c>
    </row>
    <row r="4465" customFormat="false" ht="15" hidden="false" customHeight="false" outlineLevel="0" collapsed="false">
      <c r="A4465" s="102"/>
      <c r="E4465" s="103" t="str">
        <f aca="false">IF($C4465="","",IFERROR(INDEX(المنيو!$C$2:$C$500,MATCH($C4465,المنيو!$B$2:$B$500,0)),0))</f>
        <v/>
      </c>
      <c r="F4465" s="103" t="str">
        <f aca="false">IF($C4465="","",$D4465*$E4465)</f>
        <v/>
      </c>
      <c r="G4465" s="103" t="str">
        <f aca="false">IF($C4465="","",$D4465*IFERROR(INDEX('تحليل التكلفة والسعر'!$C$2:$C$700,MATCH($C4465,'تحليل التكلفة والسعر'!$B$2:$B$700,0)),0))</f>
        <v/>
      </c>
    </row>
    <row r="4466" customFormat="false" ht="15" hidden="false" customHeight="false" outlineLevel="0" collapsed="false">
      <c r="A4466" s="102"/>
      <c r="E4466" s="103" t="str">
        <f aca="false">IF($C4466="","",IFERROR(INDEX(المنيو!$C$2:$C$500,MATCH($C4466,المنيو!$B$2:$B$500,0)),0))</f>
        <v/>
      </c>
      <c r="F4466" s="103" t="str">
        <f aca="false">IF($C4466="","",$D4466*$E4466)</f>
        <v/>
      </c>
      <c r="G4466" s="103" t="str">
        <f aca="false">IF($C4466="","",$D4466*IFERROR(INDEX('تحليل التكلفة والسعر'!$C$2:$C$700,MATCH($C4466,'تحليل التكلفة والسعر'!$B$2:$B$700,0)),0))</f>
        <v/>
      </c>
    </row>
    <row r="4467" customFormat="false" ht="15" hidden="false" customHeight="false" outlineLevel="0" collapsed="false">
      <c r="A4467" s="102"/>
      <c r="E4467" s="103" t="str">
        <f aca="false">IF($C4467="","",IFERROR(INDEX(المنيو!$C$2:$C$500,MATCH($C4467,المنيو!$B$2:$B$500,0)),0))</f>
        <v/>
      </c>
      <c r="F4467" s="103" t="str">
        <f aca="false">IF($C4467="","",$D4467*$E4467)</f>
        <v/>
      </c>
      <c r="G4467" s="103" t="str">
        <f aca="false">IF($C4467="","",$D4467*IFERROR(INDEX('تحليل التكلفة والسعر'!$C$2:$C$700,MATCH($C4467,'تحليل التكلفة والسعر'!$B$2:$B$700,0)),0))</f>
        <v/>
      </c>
    </row>
    <row r="4468" customFormat="false" ht="15" hidden="false" customHeight="false" outlineLevel="0" collapsed="false">
      <c r="A4468" s="102"/>
      <c r="E4468" s="103" t="str">
        <f aca="false">IF($C4468="","",IFERROR(INDEX(المنيو!$C$2:$C$500,MATCH($C4468,المنيو!$B$2:$B$500,0)),0))</f>
        <v/>
      </c>
      <c r="F4468" s="103" t="str">
        <f aca="false">IF($C4468="","",$D4468*$E4468)</f>
        <v/>
      </c>
      <c r="G4468" s="103" t="str">
        <f aca="false">IF($C4468="","",$D4468*IFERROR(INDEX('تحليل التكلفة والسعر'!$C$2:$C$700,MATCH($C4468,'تحليل التكلفة والسعر'!$B$2:$B$700,0)),0))</f>
        <v/>
      </c>
    </row>
    <row r="4469" customFormat="false" ht="15" hidden="false" customHeight="false" outlineLevel="0" collapsed="false">
      <c r="A4469" s="102"/>
      <c r="E4469" s="103" t="str">
        <f aca="false">IF($C4469="","",IFERROR(INDEX(المنيو!$C$2:$C$500,MATCH($C4469,المنيو!$B$2:$B$500,0)),0))</f>
        <v/>
      </c>
      <c r="F4469" s="103" t="str">
        <f aca="false">IF($C4469="","",$D4469*$E4469)</f>
        <v/>
      </c>
      <c r="G4469" s="103" t="str">
        <f aca="false">IF($C4469="","",$D4469*IFERROR(INDEX('تحليل التكلفة والسعر'!$C$2:$C$700,MATCH($C4469,'تحليل التكلفة والسعر'!$B$2:$B$700,0)),0))</f>
        <v/>
      </c>
    </row>
    <row r="4470" customFormat="false" ht="15" hidden="false" customHeight="false" outlineLevel="0" collapsed="false">
      <c r="A4470" s="102"/>
      <c r="E4470" s="103" t="str">
        <f aca="false">IF($C4470="","",IFERROR(INDEX(المنيو!$C$2:$C$500,MATCH($C4470,المنيو!$B$2:$B$500,0)),0))</f>
        <v/>
      </c>
      <c r="F4470" s="103" t="str">
        <f aca="false">IF($C4470="","",$D4470*$E4470)</f>
        <v/>
      </c>
      <c r="G4470" s="103" t="str">
        <f aca="false">IF($C4470="","",$D4470*IFERROR(INDEX('تحليل التكلفة والسعر'!$C$2:$C$700,MATCH($C4470,'تحليل التكلفة والسعر'!$B$2:$B$700,0)),0))</f>
        <v/>
      </c>
    </row>
    <row r="4471" customFormat="false" ht="15" hidden="false" customHeight="false" outlineLevel="0" collapsed="false">
      <c r="A4471" s="102"/>
      <c r="E4471" s="103" t="str">
        <f aca="false">IF($C4471="","",IFERROR(INDEX(المنيو!$C$2:$C$500,MATCH($C4471,المنيو!$B$2:$B$500,0)),0))</f>
        <v/>
      </c>
      <c r="F4471" s="103" t="str">
        <f aca="false">IF($C4471="","",$D4471*$E4471)</f>
        <v/>
      </c>
      <c r="G4471" s="103" t="str">
        <f aca="false">IF($C4471="","",$D4471*IFERROR(INDEX('تحليل التكلفة والسعر'!$C$2:$C$700,MATCH($C4471,'تحليل التكلفة والسعر'!$B$2:$B$700,0)),0))</f>
        <v/>
      </c>
    </row>
    <row r="4472" customFormat="false" ht="15" hidden="false" customHeight="false" outlineLevel="0" collapsed="false">
      <c r="A4472" s="102"/>
      <c r="E4472" s="103" t="str">
        <f aca="false">IF($C4472="","",IFERROR(INDEX(المنيو!$C$2:$C$500,MATCH($C4472,المنيو!$B$2:$B$500,0)),0))</f>
        <v/>
      </c>
      <c r="F4472" s="103" t="str">
        <f aca="false">IF($C4472="","",$D4472*$E4472)</f>
        <v/>
      </c>
      <c r="G4472" s="103" t="str">
        <f aca="false">IF($C4472="","",$D4472*IFERROR(INDEX('تحليل التكلفة والسعر'!$C$2:$C$700,MATCH($C4472,'تحليل التكلفة والسعر'!$B$2:$B$700,0)),0))</f>
        <v/>
      </c>
    </row>
    <row r="4473" customFormat="false" ht="15" hidden="false" customHeight="false" outlineLevel="0" collapsed="false">
      <c r="A4473" s="102"/>
      <c r="E4473" s="103" t="str">
        <f aca="false">IF($C4473="","",IFERROR(INDEX(المنيو!$C$2:$C$500,MATCH($C4473,المنيو!$B$2:$B$500,0)),0))</f>
        <v/>
      </c>
      <c r="F4473" s="103" t="str">
        <f aca="false">IF($C4473="","",$D4473*$E4473)</f>
        <v/>
      </c>
      <c r="G4473" s="103" t="str">
        <f aca="false">IF($C4473="","",$D4473*IFERROR(INDEX('تحليل التكلفة والسعر'!$C$2:$C$700,MATCH($C4473,'تحليل التكلفة والسعر'!$B$2:$B$700,0)),0))</f>
        <v/>
      </c>
    </row>
    <row r="4474" customFormat="false" ht="15" hidden="false" customHeight="false" outlineLevel="0" collapsed="false">
      <c r="A4474" s="102"/>
      <c r="E4474" s="103" t="str">
        <f aca="false">IF($C4474="","",IFERROR(INDEX(المنيو!$C$2:$C$500,MATCH($C4474,المنيو!$B$2:$B$500,0)),0))</f>
        <v/>
      </c>
      <c r="F4474" s="103" t="str">
        <f aca="false">IF($C4474="","",$D4474*$E4474)</f>
        <v/>
      </c>
      <c r="G4474" s="103" t="str">
        <f aca="false">IF($C4474="","",$D4474*IFERROR(INDEX('تحليل التكلفة والسعر'!$C$2:$C$700,MATCH($C4474,'تحليل التكلفة والسعر'!$B$2:$B$700,0)),0))</f>
        <v/>
      </c>
    </row>
    <row r="4475" customFormat="false" ht="15" hidden="false" customHeight="false" outlineLevel="0" collapsed="false">
      <c r="A4475" s="102"/>
      <c r="E4475" s="103" t="str">
        <f aca="false">IF($C4475="","",IFERROR(INDEX(المنيو!$C$2:$C$500,MATCH($C4475,المنيو!$B$2:$B$500,0)),0))</f>
        <v/>
      </c>
      <c r="F4475" s="103" t="str">
        <f aca="false">IF($C4475="","",$D4475*$E4475)</f>
        <v/>
      </c>
      <c r="G4475" s="103" t="str">
        <f aca="false">IF($C4475="","",$D4475*IFERROR(INDEX('تحليل التكلفة والسعر'!$C$2:$C$700,MATCH($C4475,'تحليل التكلفة والسعر'!$B$2:$B$700,0)),0))</f>
        <v/>
      </c>
    </row>
    <row r="4476" customFormat="false" ht="15" hidden="false" customHeight="false" outlineLevel="0" collapsed="false">
      <c r="A4476" s="102"/>
      <c r="E4476" s="103" t="str">
        <f aca="false">IF($C4476="","",IFERROR(INDEX(المنيو!$C$2:$C$500,MATCH($C4476,المنيو!$B$2:$B$500,0)),0))</f>
        <v/>
      </c>
      <c r="F4476" s="103" t="str">
        <f aca="false">IF($C4476="","",$D4476*$E4476)</f>
        <v/>
      </c>
      <c r="G4476" s="103" t="str">
        <f aca="false">IF($C4476="","",$D4476*IFERROR(INDEX('تحليل التكلفة والسعر'!$C$2:$C$700,MATCH($C4476,'تحليل التكلفة والسعر'!$B$2:$B$700,0)),0))</f>
        <v/>
      </c>
    </row>
    <row r="4477" customFormat="false" ht="15" hidden="false" customHeight="false" outlineLevel="0" collapsed="false">
      <c r="A4477" s="102"/>
      <c r="E4477" s="103" t="str">
        <f aca="false">IF($C4477="","",IFERROR(INDEX(المنيو!$C$2:$C$500,MATCH($C4477,المنيو!$B$2:$B$500,0)),0))</f>
        <v/>
      </c>
      <c r="F4477" s="103" t="str">
        <f aca="false">IF($C4477="","",$D4477*$E4477)</f>
        <v/>
      </c>
      <c r="G4477" s="103" t="str">
        <f aca="false">IF($C4477="","",$D4477*IFERROR(INDEX('تحليل التكلفة والسعر'!$C$2:$C$700,MATCH($C4477,'تحليل التكلفة والسعر'!$B$2:$B$700,0)),0))</f>
        <v/>
      </c>
    </row>
    <row r="4478" customFormat="false" ht="15" hidden="false" customHeight="false" outlineLevel="0" collapsed="false">
      <c r="A4478" s="102"/>
      <c r="E4478" s="103" t="str">
        <f aca="false">IF($C4478="","",IFERROR(INDEX(المنيو!$C$2:$C$500,MATCH($C4478,المنيو!$B$2:$B$500,0)),0))</f>
        <v/>
      </c>
      <c r="F4478" s="103" t="str">
        <f aca="false">IF($C4478="","",$D4478*$E4478)</f>
        <v/>
      </c>
      <c r="G4478" s="103" t="str">
        <f aca="false">IF($C4478="","",$D4478*IFERROR(INDEX('تحليل التكلفة والسعر'!$C$2:$C$700,MATCH($C4478,'تحليل التكلفة والسعر'!$B$2:$B$700,0)),0))</f>
        <v/>
      </c>
    </row>
    <row r="4479" customFormat="false" ht="15" hidden="false" customHeight="false" outlineLevel="0" collapsed="false">
      <c r="A4479" s="102"/>
      <c r="E4479" s="103" t="str">
        <f aca="false">IF($C4479="","",IFERROR(INDEX(المنيو!$C$2:$C$500,MATCH($C4479,المنيو!$B$2:$B$500,0)),0))</f>
        <v/>
      </c>
      <c r="F4479" s="103" t="str">
        <f aca="false">IF($C4479="","",$D4479*$E4479)</f>
        <v/>
      </c>
      <c r="G4479" s="103" t="str">
        <f aca="false">IF($C4479="","",$D4479*IFERROR(INDEX('تحليل التكلفة والسعر'!$C$2:$C$700,MATCH($C4479,'تحليل التكلفة والسعر'!$B$2:$B$700,0)),0))</f>
        <v/>
      </c>
    </row>
    <row r="4480" customFormat="false" ht="15" hidden="false" customHeight="false" outlineLevel="0" collapsed="false">
      <c r="A4480" s="102"/>
      <c r="E4480" s="103" t="str">
        <f aca="false">IF($C4480="","",IFERROR(INDEX(المنيو!$C$2:$C$500,MATCH($C4480,المنيو!$B$2:$B$500,0)),0))</f>
        <v/>
      </c>
      <c r="F4480" s="103" t="str">
        <f aca="false">IF($C4480="","",$D4480*$E4480)</f>
        <v/>
      </c>
      <c r="G4480" s="103" t="str">
        <f aca="false">IF($C4480="","",$D4480*IFERROR(INDEX('تحليل التكلفة والسعر'!$C$2:$C$700,MATCH($C4480,'تحليل التكلفة والسعر'!$B$2:$B$700,0)),0))</f>
        <v/>
      </c>
    </row>
    <row r="4481" customFormat="false" ht="15" hidden="false" customHeight="false" outlineLevel="0" collapsed="false">
      <c r="A4481" s="102"/>
      <c r="E4481" s="103" t="str">
        <f aca="false">IF($C4481="","",IFERROR(INDEX(المنيو!$C$2:$C$500,MATCH($C4481,المنيو!$B$2:$B$500,0)),0))</f>
        <v/>
      </c>
      <c r="F4481" s="103" t="str">
        <f aca="false">IF($C4481="","",$D4481*$E4481)</f>
        <v/>
      </c>
      <c r="G4481" s="103" t="str">
        <f aca="false">IF($C4481="","",$D4481*IFERROR(INDEX('تحليل التكلفة والسعر'!$C$2:$C$700,MATCH($C4481,'تحليل التكلفة والسعر'!$B$2:$B$700,0)),0))</f>
        <v/>
      </c>
    </row>
    <row r="4482" customFormat="false" ht="15" hidden="false" customHeight="false" outlineLevel="0" collapsed="false">
      <c r="A4482" s="102"/>
      <c r="E4482" s="103" t="str">
        <f aca="false">IF($C4482="","",IFERROR(INDEX(المنيو!$C$2:$C$500,MATCH($C4482,المنيو!$B$2:$B$500,0)),0))</f>
        <v/>
      </c>
      <c r="F4482" s="103" t="str">
        <f aca="false">IF($C4482="","",$D4482*$E4482)</f>
        <v/>
      </c>
      <c r="G4482" s="103" t="str">
        <f aca="false">IF($C4482="","",$D4482*IFERROR(INDEX('تحليل التكلفة والسعر'!$C$2:$C$700,MATCH($C4482,'تحليل التكلفة والسعر'!$B$2:$B$700,0)),0))</f>
        <v/>
      </c>
    </row>
    <row r="4483" customFormat="false" ht="15" hidden="false" customHeight="false" outlineLevel="0" collapsed="false">
      <c r="A4483" s="102"/>
      <c r="E4483" s="103" t="str">
        <f aca="false">IF($C4483="","",IFERROR(INDEX(المنيو!$C$2:$C$500,MATCH($C4483,المنيو!$B$2:$B$500,0)),0))</f>
        <v/>
      </c>
      <c r="F4483" s="103" t="str">
        <f aca="false">IF($C4483="","",$D4483*$E4483)</f>
        <v/>
      </c>
      <c r="G4483" s="103" t="str">
        <f aca="false">IF($C4483="","",$D4483*IFERROR(INDEX('تحليل التكلفة والسعر'!$C$2:$C$700,MATCH($C4483,'تحليل التكلفة والسعر'!$B$2:$B$700,0)),0))</f>
        <v/>
      </c>
    </row>
    <row r="4484" customFormat="false" ht="15" hidden="false" customHeight="false" outlineLevel="0" collapsed="false">
      <c r="A4484" s="102"/>
      <c r="E4484" s="103" t="str">
        <f aca="false">IF($C4484="","",IFERROR(INDEX(المنيو!$C$2:$C$500,MATCH($C4484,المنيو!$B$2:$B$500,0)),0))</f>
        <v/>
      </c>
      <c r="F4484" s="103" t="str">
        <f aca="false">IF($C4484="","",$D4484*$E4484)</f>
        <v/>
      </c>
      <c r="G4484" s="103" t="str">
        <f aca="false">IF($C4484="","",$D4484*IFERROR(INDEX('تحليل التكلفة والسعر'!$C$2:$C$700,MATCH($C4484,'تحليل التكلفة والسعر'!$B$2:$B$700,0)),0))</f>
        <v/>
      </c>
    </row>
    <row r="4485" customFormat="false" ht="15" hidden="false" customHeight="false" outlineLevel="0" collapsed="false">
      <c r="A4485" s="102"/>
      <c r="E4485" s="103" t="str">
        <f aca="false">IF($C4485="","",IFERROR(INDEX(المنيو!$C$2:$C$500,MATCH($C4485,المنيو!$B$2:$B$500,0)),0))</f>
        <v/>
      </c>
      <c r="F4485" s="103" t="str">
        <f aca="false">IF($C4485="","",$D4485*$E4485)</f>
        <v/>
      </c>
      <c r="G4485" s="103" t="str">
        <f aca="false">IF($C4485="","",$D4485*IFERROR(INDEX('تحليل التكلفة والسعر'!$C$2:$C$700,MATCH($C4485,'تحليل التكلفة والسعر'!$B$2:$B$700,0)),0))</f>
        <v/>
      </c>
    </row>
    <row r="4486" customFormat="false" ht="15" hidden="false" customHeight="false" outlineLevel="0" collapsed="false">
      <c r="A4486" s="102"/>
      <c r="E4486" s="103" t="str">
        <f aca="false">IF($C4486="","",IFERROR(INDEX(المنيو!$C$2:$C$500,MATCH($C4486,المنيو!$B$2:$B$500,0)),0))</f>
        <v/>
      </c>
      <c r="F4486" s="103" t="str">
        <f aca="false">IF($C4486="","",$D4486*$E4486)</f>
        <v/>
      </c>
      <c r="G4486" s="103" t="str">
        <f aca="false">IF($C4486="","",$D4486*IFERROR(INDEX('تحليل التكلفة والسعر'!$C$2:$C$700,MATCH($C4486,'تحليل التكلفة والسعر'!$B$2:$B$700,0)),0))</f>
        <v/>
      </c>
    </row>
    <row r="4487" customFormat="false" ht="15" hidden="false" customHeight="false" outlineLevel="0" collapsed="false">
      <c r="A4487" s="102"/>
      <c r="E4487" s="103" t="str">
        <f aca="false">IF($C4487="","",IFERROR(INDEX(المنيو!$C$2:$C$500,MATCH($C4487,المنيو!$B$2:$B$500,0)),0))</f>
        <v/>
      </c>
      <c r="F4487" s="103" t="str">
        <f aca="false">IF($C4487="","",$D4487*$E4487)</f>
        <v/>
      </c>
      <c r="G4487" s="103" t="str">
        <f aca="false">IF($C4487="","",$D4487*IFERROR(INDEX('تحليل التكلفة والسعر'!$C$2:$C$700,MATCH($C4487,'تحليل التكلفة والسعر'!$B$2:$B$700,0)),0))</f>
        <v/>
      </c>
    </row>
    <row r="4488" customFormat="false" ht="15" hidden="false" customHeight="false" outlineLevel="0" collapsed="false">
      <c r="A4488" s="102"/>
      <c r="E4488" s="103" t="str">
        <f aca="false">IF($C4488="","",IFERROR(INDEX(المنيو!$C$2:$C$500,MATCH($C4488,المنيو!$B$2:$B$500,0)),0))</f>
        <v/>
      </c>
      <c r="F4488" s="103" t="str">
        <f aca="false">IF($C4488="","",$D4488*$E4488)</f>
        <v/>
      </c>
      <c r="G4488" s="103" t="str">
        <f aca="false">IF($C4488="","",$D4488*IFERROR(INDEX('تحليل التكلفة والسعر'!$C$2:$C$700,MATCH($C4488,'تحليل التكلفة والسعر'!$B$2:$B$700,0)),0))</f>
        <v/>
      </c>
    </row>
    <row r="4489" customFormat="false" ht="15" hidden="false" customHeight="false" outlineLevel="0" collapsed="false">
      <c r="A4489" s="102"/>
      <c r="E4489" s="103" t="str">
        <f aca="false">IF($C4489="","",IFERROR(INDEX(المنيو!$C$2:$C$500,MATCH($C4489,المنيو!$B$2:$B$500,0)),0))</f>
        <v/>
      </c>
      <c r="F4489" s="103" t="str">
        <f aca="false">IF($C4489="","",$D4489*$E4489)</f>
        <v/>
      </c>
      <c r="G4489" s="103" t="str">
        <f aca="false">IF($C4489="","",$D4489*IFERROR(INDEX('تحليل التكلفة والسعر'!$C$2:$C$700,MATCH($C4489,'تحليل التكلفة والسعر'!$B$2:$B$700,0)),0))</f>
        <v/>
      </c>
    </row>
    <row r="4490" customFormat="false" ht="15" hidden="false" customHeight="false" outlineLevel="0" collapsed="false">
      <c r="A4490" s="102"/>
      <c r="E4490" s="103" t="str">
        <f aca="false">IF($C4490="","",IFERROR(INDEX(المنيو!$C$2:$C$500,MATCH($C4490,المنيو!$B$2:$B$500,0)),0))</f>
        <v/>
      </c>
      <c r="F4490" s="103" t="str">
        <f aca="false">IF($C4490="","",$D4490*$E4490)</f>
        <v/>
      </c>
      <c r="G4490" s="103" t="str">
        <f aca="false">IF($C4490="","",$D4490*IFERROR(INDEX('تحليل التكلفة والسعر'!$C$2:$C$700,MATCH($C4490,'تحليل التكلفة والسعر'!$B$2:$B$700,0)),0))</f>
        <v/>
      </c>
    </row>
    <row r="4491" customFormat="false" ht="15" hidden="false" customHeight="false" outlineLevel="0" collapsed="false">
      <c r="A4491" s="102"/>
      <c r="E4491" s="103" t="str">
        <f aca="false">IF($C4491="","",IFERROR(INDEX(المنيو!$C$2:$C$500,MATCH($C4491,المنيو!$B$2:$B$500,0)),0))</f>
        <v/>
      </c>
      <c r="F4491" s="103" t="str">
        <f aca="false">IF($C4491="","",$D4491*$E4491)</f>
        <v/>
      </c>
      <c r="G4491" s="103" t="str">
        <f aca="false">IF($C4491="","",$D4491*IFERROR(INDEX('تحليل التكلفة والسعر'!$C$2:$C$700,MATCH($C4491,'تحليل التكلفة والسعر'!$B$2:$B$700,0)),0))</f>
        <v/>
      </c>
    </row>
    <row r="4492" customFormat="false" ht="15" hidden="false" customHeight="false" outlineLevel="0" collapsed="false">
      <c r="A4492" s="102"/>
      <c r="E4492" s="103" t="str">
        <f aca="false">IF($C4492="","",IFERROR(INDEX(المنيو!$C$2:$C$500,MATCH($C4492,المنيو!$B$2:$B$500,0)),0))</f>
        <v/>
      </c>
      <c r="F4492" s="103" t="str">
        <f aca="false">IF($C4492="","",$D4492*$E4492)</f>
        <v/>
      </c>
      <c r="G4492" s="103" t="str">
        <f aca="false">IF($C4492="","",$D4492*IFERROR(INDEX('تحليل التكلفة والسعر'!$C$2:$C$700,MATCH($C4492,'تحليل التكلفة والسعر'!$B$2:$B$700,0)),0))</f>
        <v/>
      </c>
    </row>
    <row r="4493" customFormat="false" ht="15" hidden="false" customHeight="false" outlineLevel="0" collapsed="false">
      <c r="A4493" s="102"/>
      <c r="E4493" s="103" t="str">
        <f aca="false">IF($C4493="","",IFERROR(INDEX(المنيو!$C$2:$C$500,MATCH($C4493,المنيو!$B$2:$B$500,0)),0))</f>
        <v/>
      </c>
      <c r="F4493" s="103" t="str">
        <f aca="false">IF($C4493="","",$D4493*$E4493)</f>
        <v/>
      </c>
      <c r="G4493" s="103" t="str">
        <f aca="false">IF($C4493="","",$D4493*IFERROR(INDEX('تحليل التكلفة والسعر'!$C$2:$C$700,MATCH($C4493,'تحليل التكلفة والسعر'!$B$2:$B$700,0)),0))</f>
        <v/>
      </c>
    </row>
    <row r="4494" customFormat="false" ht="15" hidden="false" customHeight="false" outlineLevel="0" collapsed="false">
      <c r="A4494" s="102"/>
      <c r="E4494" s="103" t="str">
        <f aca="false">IF($C4494="","",IFERROR(INDEX(المنيو!$C$2:$C$500,MATCH($C4494,المنيو!$B$2:$B$500,0)),0))</f>
        <v/>
      </c>
      <c r="F4494" s="103" t="str">
        <f aca="false">IF($C4494="","",$D4494*$E4494)</f>
        <v/>
      </c>
      <c r="G4494" s="103" t="str">
        <f aca="false">IF($C4494="","",$D4494*IFERROR(INDEX('تحليل التكلفة والسعر'!$C$2:$C$700,MATCH($C4494,'تحليل التكلفة والسعر'!$B$2:$B$700,0)),0))</f>
        <v/>
      </c>
    </row>
    <row r="4495" customFormat="false" ht="15" hidden="false" customHeight="false" outlineLevel="0" collapsed="false">
      <c r="A4495" s="102"/>
      <c r="E4495" s="103" t="str">
        <f aca="false">IF($C4495="","",IFERROR(INDEX(المنيو!$C$2:$C$500,MATCH($C4495,المنيو!$B$2:$B$500,0)),0))</f>
        <v/>
      </c>
      <c r="F4495" s="103" t="str">
        <f aca="false">IF($C4495="","",$D4495*$E4495)</f>
        <v/>
      </c>
      <c r="G4495" s="103" t="str">
        <f aca="false">IF($C4495="","",$D4495*IFERROR(INDEX('تحليل التكلفة والسعر'!$C$2:$C$700,MATCH($C4495,'تحليل التكلفة والسعر'!$B$2:$B$700,0)),0))</f>
        <v/>
      </c>
    </row>
    <row r="4496" customFormat="false" ht="15" hidden="false" customHeight="false" outlineLevel="0" collapsed="false">
      <c r="A4496" s="102"/>
      <c r="E4496" s="103" t="str">
        <f aca="false">IF($C4496="","",IFERROR(INDEX(المنيو!$C$2:$C$500,MATCH($C4496,المنيو!$B$2:$B$500,0)),0))</f>
        <v/>
      </c>
      <c r="F4496" s="103" t="str">
        <f aca="false">IF($C4496="","",$D4496*$E4496)</f>
        <v/>
      </c>
      <c r="G4496" s="103" t="str">
        <f aca="false">IF($C4496="","",$D4496*IFERROR(INDEX('تحليل التكلفة والسعر'!$C$2:$C$700,MATCH($C4496,'تحليل التكلفة والسعر'!$B$2:$B$700,0)),0))</f>
        <v/>
      </c>
    </row>
    <row r="4497" customFormat="false" ht="15" hidden="false" customHeight="false" outlineLevel="0" collapsed="false">
      <c r="A4497" s="102"/>
      <c r="E4497" s="103" t="str">
        <f aca="false">IF($C4497="","",IFERROR(INDEX(المنيو!$C$2:$C$500,MATCH($C4497,المنيو!$B$2:$B$500,0)),0))</f>
        <v/>
      </c>
      <c r="F4497" s="103" t="str">
        <f aca="false">IF($C4497="","",$D4497*$E4497)</f>
        <v/>
      </c>
      <c r="G4497" s="103" t="str">
        <f aca="false">IF($C4497="","",$D4497*IFERROR(INDEX('تحليل التكلفة والسعر'!$C$2:$C$700,MATCH($C4497,'تحليل التكلفة والسعر'!$B$2:$B$700,0)),0))</f>
        <v/>
      </c>
    </row>
    <row r="4498" customFormat="false" ht="15" hidden="false" customHeight="false" outlineLevel="0" collapsed="false">
      <c r="A4498" s="102"/>
      <c r="E4498" s="103" t="str">
        <f aca="false">IF($C4498="","",IFERROR(INDEX(المنيو!$C$2:$C$500,MATCH($C4498,المنيو!$B$2:$B$500,0)),0))</f>
        <v/>
      </c>
      <c r="F4498" s="103" t="str">
        <f aca="false">IF($C4498="","",$D4498*$E4498)</f>
        <v/>
      </c>
      <c r="G4498" s="103" t="str">
        <f aca="false">IF($C4498="","",$D4498*IFERROR(INDEX('تحليل التكلفة والسعر'!$C$2:$C$700,MATCH($C4498,'تحليل التكلفة والسعر'!$B$2:$B$700,0)),0))</f>
        <v/>
      </c>
    </row>
    <row r="4499" customFormat="false" ht="15" hidden="false" customHeight="false" outlineLevel="0" collapsed="false">
      <c r="A4499" s="102"/>
      <c r="E4499" s="103" t="str">
        <f aca="false">IF($C4499="","",IFERROR(INDEX(المنيو!$C$2:$C$500,MATCH($C4499,المنيو!$B$2:$B$500,0)),0))</f>
        <v/>
      </c>
      <c r="F4499" s="103" t="str">
        <f aca="false">IF($C4499="","",$D4499*$E4499)</f>
        <v/>
      </c>
      <c r="G4499" s="103" t="str">
        <f aca="false">IF($C4499="","",$D4499*IFERROR(INDEX('تحليل التكلفة والسعر'!$C$2:$C$700,MATCH($C4499,'تحليل التكلفة والسعر'!$B$2:$B$700,0)),0))</f>
        <v/>
      </c>
    </row>
    <row r="4500" customFormat="false" ht="15" hidden="false" customHeight="false" outlineLevel="0" collapsed="false">
      <c r="A4500" s="102"/>
      <c r="E4500" s="103" t="str">
        <f aca="false">IF($C4500="","",IFERROR(INDEX(المنيو!$C$2:$C$500,MATCH($C4500,المنيو!$B$2:$B$500,0)),0))</f>
        <v/>
      </c>
      <c r="F4500" s="103" t="str">
        <f aca="false">IF($C4500="","",$D4500*$E4500)</f>
        <v/>
      </c>
      <c r="G4500" s="103" t="str">
        <f aca="false">IF($C4500="","",$D4500*IFERROR(INDEX('تحليل التكلفة والسعر'!$C$2:$C$700,MATCH($C4500,'تحليل التكلفة والسعر'!$B$2:$B$700,0)),0))</f>
        <v/>
      </c>
    </row>
    <row r="4501" customFormat="false" ht="15" hidden="false" customHeight="false" outlineLevel="0" collapsed="false">
      <c r="A4501" s="102"/>
      <c r="E4501" s="103" t="str">
        <f aca="false">IF($C4501="","",IFERROR(INDEX(المنيو!$C$2:$C$500,MATCH($C4501,المنيو!$B$2:$B$500,0)),0))</f>
        <v/>
      </c>
      <c r="F4501" s="103" t="str">
        <f aca="false">IF($C4501="","",$D4501*$E4501)</f>
        <v/>
      </c>
      <c r="G4501" s="103" t="str">
        <f aca="false">IF($C4501="","",$D4501*IFERROR(INDEX('تحليل التكلفة والسعر'!$C$2:$C$700,MATCH($C4501,'تحليل التكلفة والسعر'!$B$2:$B$700,0)),0))</f>
        <v/>
      </c>
    </row>
    <row r="4502" customFormat="false" ht="15" hidden="false" customHeight="false" outlineLevel="0" collapsed="false">
      <c r="A4502" s="102"/>
      <c r="E4502" s="103" t="str">
        <f aca="false">IF($C4502="","",IFERROR(INDEX(المنيو!$C$2:$C$500,MATCH($C4502,المنيو!$B$2:$B$500,0)),0))</f>
        <v/>
      </c>
      <c r="F4502" s="103" t="str">
        <f aca="false">IF($C4502="","",$D4502*$E4502)</f>
        <v/>
      </c>
      <c r="G4502" s="103" t="str">
        <f aca="false">IF($C4502="","",$D4502*IFERROR(INDEX('تحليل التكلفة والسعر'!$C$2:$C$700,MATCH($C4502,'تحليل التكلفة والسعر'!$B$2:$B$700,0)),0))</f>
        <v/>
      </c>
    </row>
    <row r="4503" customFormat="false" ht="15" hidden="false" customHeight="false" outlineLevel="0" collapsed="false">
      <c r="A4503" s="102"/>
      <c r="E4503" s="103" t="str">
        <f aca="false">IF($C4503="","",IFERROR(INDEX(المنيو!$C$2:$C$500,MATCH($C4503,المنيو!$B$2:$B$500,0)),0))</f>
        <v/>
      </c>
      <c r="F4503" s="103" t="str">
        <f aca="false">IF($C4503="","",$D4503*$E4503)</f>
        <v/>
      </c>
      <c r="G4503" s="103" t="str">
        <f aca="false">IF($C4503="","",$D4503*IFERROR(INDEX('تحليل التكلفة والسعر'!$C$2:$C$700,MATCH($C4503,'تحليل التكلفة والسعر'!$B$2:$B$700,0)),0))</f>
        <v/>
      </c>
    </row>
    <row r="4504" customFormat="false" ht="15" hidden="false" customHeight="false" outlineLevel="0" collapsed="false">
      <c r="A4504" s="102"/>
      <c r="E4504" s="103" t="str">
        <f aca="false">IF($C4504="","",IFERROR(INDEX(المنيو!$C$2:$C$500,MATCH($C4504,المنيو!$B$2:$B$500,0)),0))</f>
        <v/>
      </c>
      <c r="F4504" s="103" t="str">
        <f aca="false">IF($C4504="","",$D4504*$E4504)</f>
        <v/>
      </c>
      <c r="G4504" s="103" t="str">
        <f aca="false">IF($C4504="","",$D4504*IFERROR(INDEX('تحليل التكلفة والسعر'!$C$2:$C$700,MATCH($C4504,'تحليل التكلفة والسعر'!$B$2:$B$700,0)),0))</f>
        <v/>
      </c>
    </row>
    <row r="4505" customFormat="false" ht="15" hidden="false" customHeight="false" outlineLevel="0" collapsed="false">
      <c r="A4505" s="102"/>
      <c r="E4505" s="103" t="str">
        <f aca="false">IF($C4505="","",IFERROR(INDEX(المنيو!$C$2:$C$500,MATCH($C4505,المنيو!$B$2:$B$500,0)),0))</f>
        <v/>
      </c>
      <c r="F4505" s="103" t="str">
        <f aca="false">IF($C4505="","",$D4505*$E4505)</f>
        <v/>
      </c>
      <c r="G4505" s="103" t="str">
        <f aca="false">IF($C4505="","",$D4505*IFERROR(INDEX('تحليل التكلفة والسعر'!$C$2:$C$700,MATCH($C4505,'تحليل التكلفة والسعر'!$B$2:$B$700,0)),0))</f>
        <v/>
      </c>
    </row>
    <row r="4506" customFormat="false" ht="15" hidden="false" customHeight="false" outlineLevel="0" collapsed="false">
      <c r="A4506" s="102"/>
      <c r="E4506" s="103" t="str">
        <f aca="false">IF($C4506="","",IFERROR(INDEX(المنيو!$C$2:$C$500,MATCH($C4506,المنيو!$B$2:$B$500,0)),0))</f>
        <v/>
      </c>
      <c r="F4506" s="103" t="str">
        <f aca="false">IF($C4506="","",$D4506*$E4506)</f>
        <v/>
      </c>
      <c r="G4506" s="103" t="str">
        <f aca="false">IF($C4506="","",$D4506*IFERROR(INDEX('تحليل التكلفة والسعر'!$C$2:$C$700,MATCH($C4506,'تحليل التكلفة والسعر'!$B$2:$B$700,0)),0))</f>
        <v/>
      </c>
    </row>
    <row r="4507" customFormat="false" ht="15" hidden="false" customHeight="false" outlineLevel="0" collapsed="false">
      <c r="A4507" s="102"/>
      <c r="E4507" s="103" t="str">
        <f aca="false">IF($C4507="","",IFERROR(INDEX(المنيو!$C$2:$C$500,MATCH($C4507,المنيو!$B$2:$B$500,0)),0))</f>
        <v/>
      </c>
      <c r="F4507" s="103" t="str">
        <f aca="false">IF($C4507="","",$D4507*$E4507)</f>
        <v/>
      </c>
      <c r="G4507" s="103" t="str">
        <f aca="false">IF($C4507="","",$D4507*IFERROR(INDEX('تحليل التكلفة والسعر'!$C$2:$C$700,MATCH($C4507,'تحليل التكلفة والسعر'!$B$2:$B$700,0)),0))</f>
        <v/>
      </c>
    </row>
    <row r="4508" customFormat="false" ht="15" hidden="false" customHeight="false" outlineLevel="0" collapsed="false">
      <c r="A4508" s="102"/>
      <c r="E4508" s="103" t="str">
        <f aca="false">IF($C4508="","",IFERROR(INDEX(المنيو!$C$2:$C$500,MATCH($C4508,المنيو!$B$2:$B$500,0)),0))</f>
        <v/>
      </c>
      <c r="F4508" s="103" t="str">
        <f aca="false">IF($C4508="","",$D4508*$E4508)</f>
        <v/>
      </c>
      <c r="G4508" s="103" t="str">
        <f aca="false">IF($C4508="","",$D4508*IFERROR(INDEX('تحليل التكلفة والسعر'!$C$2:$C$700,MATCH($C4508,'تحليل التكلفة والسعر'!$B$2:$B$700,0)),0))</f>
        <v/>
      </c>
    </row>
    <row r="4509" customFormat="false" ht="15" hidden="false" customHeight="false" outlineLevel="0" collapsed="false">
      <c r="A4509" s="102"/>
      <c r="E4509" s="103" t="str">
        <f aca="false">IF($C4509="","",IFERROR(INDEX(المنيو!$C$2:$C$500,MATCH($C4509,المنيو!$B$2:$B$500,0)),0))</f>
        <v/>
      </c>
      <c r="F4509" s="103" t="str">
        <f aca="false">IF($C4509="","",$D4509*$E4509)</f>
        <v/>
      </c>
      <c r="G4509" s="103" t="str">
        <f aca="false">IF($C4509="","",$D4509*IFERROR(INDEX('تحليل التكلفة والسعر'!$C$2:$C$700,MATCH($C4509,'تحليل التكلفة والسعر'!$B$2:$B$700,0)),0))</f>
        <v/>
      </c>
    </row>
    <row r="4510" customFormat="false" ht="15" hidden="false" customHeight="false" outlineLevel="0" collapsed="false">
      <c r="A4510" s="102"/>
      <c r="E4510" s="103" t="str">
        <f aca="false">IF($C4510="","",IFERROR(INDEX(المنيو!$C$2:$C$500,MATCH($C4510,المنيو!$B$2:$B$500,0)),0))</f>
        <v/>
      </c>
      <c r="F4510" s="103" t="str">
        <f aca="false">IF($C4510="","",$D4510*$E4510)</f>
        <v/>
      </c>
      <c r="G4510" s="103" t="str">
        <f aca="false">IF($C4510="","",$D4510*IFERROR(INDEX('تحليل التكلفة والسعر'!$C$2:$C$700,MATCH($C4510,'تحليل التكلفة والسعر'!$B$2:$B$700,0)),0))</f>
        <v/>
      </c>
    </row>
    <row r="4511" customFormat="false" ht="15" hidden="false" customHeight="false" outlineLevel="0" collapsed="false">
      <c r="A4511" s="102"/>
      <c r="E4511" s="103" t="str">
        <f aca="false">IF($C4511="","",IFERROR(INDEX(المنيو!$C$2:$C$500,MATCH($C4511,المنيو!$B$2:$B$500,0)),0))</f>
        <v/>
      </c>
      <c r="F4511" s="103" t="str">
        <f aca="false">IF($C4511="","",$D4511*$E4511)</f>
        <v/>
      </c>
      <c r="G4511" s="103" t="str">
        <f aca="false">IF($C4511="","",$D4511*IFERROR(INDEX('تحليل التكلفة والسعر'!$C$2:$C$700,MATCH($C4511,'تحليل التكلفة والسعر'!$B$2:$B$700,0)),0))</f>
        <v/>
      </c>
    </row>
    <row r="4512" customFormat="false" ht="15" hidden="false" customHeight="false" outlineLevel="0" collapsed="false">
      <c r="A4512" s="102"/>
      <c r="E4512" s="103" t="str">
        <f aca="false">IF($C4512="","",IFERROR(INDEX(المنيو!$C$2:$C$500,MATCH($C4512,المنيو!$B$2:$B$500,0)),0))</f>
        <v/>
      </c>
      <c r="F4512" s="103" t="str">
        <f aca="false">IF($C4512="","",$D4512*$E4512)</f>
        <v/>
      </c>
      <c r="G4512" s="103" t="str">
        <f aca="false">IF($C4512="","",$D4512*IFERROR(INDEX('تحليل التكلفة والسعر'!$C$2:$C$700,MATCH($C4512,'تحليل التكلفة والسعر'!$B$2:$B$700,0)),0))</f>
        <v/>
      </c>
    </row>
    <row r="4513" customFormat="false" ht="15" hidden="false" customHeight="false" outlineLevel="0" collapsed="false">
      <c r="A4513" s="102"/>
      <c r="E4513" s="103" t="str">
        <f aca="false">IF($C4513="","",IFERROR(INDEX(المنيو!$C$2:$C$500,MATCH($C4513,المنيو!$B$2:$B$500,0)),0))</f>
        <v/>
      </c>
      <c r="F4513" s="103" t="str">
        <f aca="false">IF($C4513="","",$D4513*$E4513)</f>
        <v/>
      </c>
      <c r="G4513" s="103" t="str">
        <f aca="false">IF($C4513="","",$D4513*IFERROR(INDEX('تحليل التكلفة والسعر'!$C$2:$C$700,MATCH($C4513,'تحليل التكلفة والسعر'!$B$2:$B$700,0)),0))</f>
        <v/>
      </c>
    </row>
    <row r="4514" customFormat="false" ht="15" hidden="false" customHeight="false" outlineLevel="0" collapsed="false">
      <c r="A4514" s="102"/>
      <c r="E4514" s="103" t="str">
        <f aca="false">IF($C4514="","",IFERROR(INDEX(المنيو!$C$2:$C$500,MATCH($C4514,المنيو!$B$2:$B$500,0)),0))</f>
        <v/>
      </c>
      <c r="F4514" s="103" t="str">
        <f aca="false">IF($C4514="","",$D4514*$E4514)</f>
        <v/>
      </c>
      <c r="G4514" s="103" t="str">
        <f aca="false">IF($C4514="","",$D4514*IFERROR(INDEX('تحليل التكلفة والسعر'!$C$2:$C$700,MATCH($C4514,'تحليل التكلفة والسعر'!$B$2:$B$700,0)),0))</f>
        <v/>
      </c>
    </row>
    <row r="4515" customFormat="false" ht="15" hidden="false" customHeight="false" outlineLevel="0" collapsed="false">
      <c r="A4515" s="102"/>
      <c r="E4515" s="103" t="str">
        <f aca="false">IF($C4515="","",IFERROR(INDEX(المنيو!$C$2:$C$500,MATCH($C4515,المنيو!$B$2:$B$500,0)),0))</f>
        <v/>
      </c>
      <c r="F4515" s="103" t="str">
        <f aca="false">IF($C4515="","",$D4515*$E4515)</f>
        <v/>
      </c>
      <c r="G4515" s="103" t="str">
        <f aca="false">IF($C4515="","",$D4515*IFERROR(INDEX('تحليل التكلفة والسعر'!$C$2:$C$700,MATCH($C4515,'تحليل التكلفة والسعر'!$B$2:$B$700,0)),0))</f>
        <v/>
      </c>
    </row>
    <row r="4516" customFormat="false" ht="15" hidden="false" customHeight="false" outlineLevel="0" collapsed="false">
      <c r="A4516" s="102"/>
      <c r="E4516" s="103" t="str">
        <f aca="false">IF($C4516="","",IFERROR(INDEX(المنيو!$C$2:$C$500,MATCH($C4516,المنيو!$B$2:$B$500,0)),0))</f>
        <v/>
      </c>
      <c r="F4516" s="103" t="str">
        <f aca="false">IF($C4516="","",$D4516*$E4516)</f>
        <v/>
      </c>
      <c r="G4516" s="103" t="str">
        <f aca="false">IF($C4516="","",$D4516*IFERROR(INDEX('تحليل التكلفة والسعر'!$C$2:$C$700,MATCH($C4516,'تحليل التكلفة والسعر'!$B$2:$B$700,0)),0))</f>
        <v/>
      </c>
    </row>
    <row r="4517" customFormat="false" ht="15" hidden="false" customHeight="false" outlineLevel="0" collapsed="false">
      <c r="A4517" s="102"/>
      <c r="E4517" s="103" t="str">
        <f aca="false">IF($C4517="","",IFERROR(INDEX(المنيو!$C$2:$C$500,MATCH($C4517,المنيو!$B$2:$B$500,0)),0))</f>
        <v/>
      </c>
      <c r="F4517" s="103" t="str">
        <f aca="false">IF($C4517="","",$D4517*$E4517)</f>
        <v/>
      </c>
      <c r="G4517" s="103" t="str">
        <f aca="false">IF($C4517="","",$D4517*IFERROR(INDEX('تحليل التكلفة والسعر'!$C$2:$C$700,MATCH($C4517,'تحليل التكلفة والسعر'!$B$2:$B$700,0)),0))</f>
        <v/>
      </c>
    </row>
    <row r="4518" customFormat="false" ht="15" hidden="false" customHeight="false" outlineLevel="0" collapsed="false">
      <c r="A4518" s="102"/>
      <c r="E4518" s="103" t="str">
        <f aca="false">IF($C4518="","",IFERROR(INDEX(المنيو!$C$2:$C$500,MATCH($C4518,المنيو!$B$2:$B$500,0)),0))</f>
        <v/>
      </c>
      <c r="F4518" s="103" t="str">
        <f aca="false">IF($C4518="","",$D4518*$E4518)</f>
        <v/>
      </c>
      <c r="G4518" s="103" t="str">
        <f aca="false">IF($C4518="","",$D4518*IFERROR(INDEX('تحليل التكلفة والسعر'!$C$2:$C$700,MATCH($C4518,'تحليل التكلفة والسعر'!$B$2:$B$700,0)),0))</f>
        <v/>
      </c>
    </row>
    <row r="4519" customFormat="false" ht="15" hidden="false" customHeight="false" outlineLevel="0" collapsed="false">
      <c r="A4519" s="102"/>
      <c r="E4519" s="103" t="str">
        <f aca="false">IF($C4519="","",IFERROR(INDEX(المنيو!$C$2:$C$500,MATCH($C4519,المنيو!$B$2:$B$500,0)),0))</f>
        <v/>
      </c>
      <c r="F4519" s="103" t="str">
        <f aca="false">IF($C4519="","",$D4519*$E4519)</f>
        <v/>
      </c>
      <c r="G4519" s="103" t="str">
        <f aca="false">IF($C4519="","",$D4519*IFERROR(INDEX('تحليل التكلفة والسعر'!$C$2:$C$700,MATCH($C4519,'تحليل التكلفة والسعر'!$B$2:$B$700,0)),0))</f>
        <v/>
      </c>
    </row>
    <row r="4520" customFormat="false" ht="15" hidden="false" customHeight="false" outlineLevel="0" collapsed="false">
      <c r="A4520" s="102"/>
      <c r="E4520" s="103" t="str">
        <f aca="false">IF($C4520="","",IFERROR(INDEX(المنيو!$C$2:$C$500,MATCH($C4520,المنيو!$B$2:$B$500,0)),0))</f>
        <v/>
      </c>
      <c r="F4520" s="103" t="str">
        <f aca="false">IF($C4520="","",$D4520*$E4520)</f>
        <v/>
      </c>
      <c r="G4520" s="103" t="str">
        <f aca="false">IF($C4520="","",$D4520*IFERROR(INDEX('تحليل التكلفة والسعر'!$C$2:$C$700,MATCH($C4520,'تحليل التكلفة والسعر'!$B$2:$B$700,0)),0))</f>
        <v/>
      </c>
    </row>
    <row r="4521" customFormat="false" ht="15" hidden="false" customHeight="false" outlineLevel="0" collapsed="false">
      <c r="A4521" s="102"/>
      <c r="E4521" s="103" t="str">
        <f aca="false">IF($C4521="","",IFERROR(INDEX(المنيو!$C$2:$C$500,MATCH($C4521,المنيو!$B$2:$B$500,0)),0))</f>
        <v/>
      </c>
      <c r="F4521" s="103" t="str">
        <f aca="false">IF($C4521="","",$D4521*$E4521)</f>
        <v/>
      </c>
      <c r="G4521" s="103" t="str">
        <f aca="false">IF($C4521="","",$D4521*IFERROR(INDEX('تحليل التكلفة والسعر'!$C$2:$C$700,MATCH($C4521,'تحليل التكلفة والسعر'!$B$2:$B$700,0)),0))</f>
        <v/>
      </c>
    </row>
    <row r="4522" customFormat="false" ht="15" hidden="false" customHeight="false" outlineLevel="0" collapsed="false">
      <c r="A4522" s="102"/>
      <c r="E4522" s="103" t="str">
        <f aca="false">IF($C4522="","",IFERROR(INDEX(المنيو!$C$2:$C$500,MATCH($C4522,المنيو!$B$2:$B$500,0)),0))</f>
        <v/>
      </c>
      <c r="F4522" s="103" t="str">
        <f aca="false">IF($C4522="","",$D4522*$E4522)</f>
        <v/>
      </c>
      <c r="G4522" s="103" t="str">
        <f aca="false">IF($C4522="","",$D4522*IFERROR(INDEX('تحليل التكلفة والسعر'!$C$2:$C$700,MATCH($C4522,'تحليل التكلفة والسعر'!$B$2:$B$700,0)),0))</f>
        <v/>
      </c>
    </row>
    <row r="4523" customFormat="false" ht="15" hidden="false" customHeight="false" outlineLevel="0" collapsed="false">
      <c r="A4523" s="102"/>
      <c r="E4523" s="103" t="str">
        <f aca="false">IF($C4523="","",IFERROR(INDEX(المنيو!$C$2:$C$500,MATCH($C4523,المنيو!$B$2:$B$500,0)),0))</f>
        <v/>
      </c>
      <c r="F4523" s="103" t="str">
        <f aca="false">IF($C4523="","",$D4523*$E4523)</f>
        <v/>
      </c>
      <c r="G4523" s="103" t="str">
        <f aca="false">IF($C4523="","",$D4523*IFERROR(INDEX('تحليل التكلفة والسعر'!$C$2:$C$700,MATCH($C4523,'تحليل التكلفة والسعر'!$B$2:$B$700,0)),0))</f>
        <v/>
      </c>
    </row>
    <row r="4524" customFormat="false" ht="15" hidden="false" customHeight="false" outlineLevel="0" collapsed="false">
      <c r="A4524" s="102"/>
      <c r="E4524" s="103" t="str">
        <f aca="false">IF($C4524="","",IFERROR(INDEX(المنيو!$C$2:$C$500,MATCH($C4524,المنيو!$B$2:$B$500,0)),0))</f>
        <v/>
      </c>
      <c r="F4524" s="103" t="str">
        <f aca="false">IF($C4524="","",$D4524*$E4524)</f>
        <v/>
      </c>
      <c r="G4524" s="103" t="str">
        <f aca="false">IF($C4524="","",$D4524*IFERROR(INDEX('تحليل التكلفة والسعر'!$C$2:$C$700,MATCH($C4524,'تحليل التكلفة والسعر'!$B$2:$B$700,0)),0))</f>
        <v/>
      </c>
    </row>
    <row r="4525" customFormat="false" ht="15" hidden="false" customHeight="false" outlineLevel="0" collapsed="false">
      <c r="A4525" s="102"/>
      <c r="E4525" s="103" t="str">
        <f aca="false">IF($C4525="","",IFERROR(INDEX(المنيو!$C$2:$C$500,MATCH($C4525,المنيو!$B$2:$B$500,0)),0))</f>
        <v/>
      </c>
      <c r="F4525" s="103" t="str">
        <f aca="false">IF($C4525="","",$D4525*$E4525)</f>
        <v/>
      </c>
      <c r="G4525" s="103" t="str">
        <f aca="false">IF($C4525="","",$D4525*IFERROR(INDEX('تحليل التكلفة والسعر'!$C$2:$C$700,MATCH($C4525,'تحليل التكلفة والسعر'!$B$2:$B$700,0)),0))</f>
        <v/>
      </c>
    </row>
    <row r="4526" customFormat="false" ht="15" hidden="false" customHeight="false" outlineLevel="0" collapsed="false">
      <c r="A4526" s="102"/>
      <c r="E4526" s="103" t="str">
        <f aca="false">IF($C4526="","",IFERROR(INDEX(المنيو!$C$2:$C$500,MATCH($C4526,المنيو!$B$2:$B$500,0)),0))</f>
        <v/>
      </c>
      <c r="F4526" s="103" t="str">
        <f aca="false">IF($C4526="","",$D4526*$E4526)</f>
        <v/>
      </c>
      <c r="G4526" s="103" t="str">
        <f aca="false">IF($C4526="","",$D4526*IFERROR(INDEX('تحليل التكلفة والسعر'!$C$2:$C$700,MATCH($C4526,'تحليل التكلفة والسعر'!$B$2:$B$700,0)),0))</f>
        <v/>
      </c>
    </row>
    <row r="4527" customFormat="false" ht="15" hidden="false" customHeight="false" outlineLevel="0" collapsed="false">
      <c r="A4527" s="102"/>
      <c r="E4527" s="103" t="str">
        <f aca="false">IF($C4527="","",IFERROR(INDEX(المنيو!$C$2:$C$500,MATCH($C4527,المنيو!$B$2:$B$500,0)),0))</f>
        <v/>
      </c>
      <c r="F4527" s="103" t="str">
        <f aca="false">IF($C4527="","",$D4527*$E4527)</f>
        <v/>
      </c>
      <c r="G4527" s="103" t="str">
        <f aca="false">IF($C4527="","",$D4527*IFERROR(INDEX('تحليل التكلفة والسعر'!$C$2:$C$700,MATCH($C4527,'تحليل التكلفة والسعر'!$B$2:$B$700,0)),0))</f>
        <v/>
      </c>
    </row>
    <row r="4528" customFormat="false" ht="15" hidden="false" customHeight="false" outlineLevel="0" collapsed="false">
      <c r="A4528" s="102"/>
      <c r="E4528" s="103" t="str">
        <f aca="false">IF($C4528="","",IFERROR(INDEX(المنيو!$C$2:$C$500,MATCH($C4528,المنيو!$B$2:$B$500,0)),0))</f>
        <v/>
      </c>
      <c r="F4528" s="103" t="str">
        <f aca="false">IF($C4528="","",$D4528*$E4528)</f>
        <v/>
      </c>
      <c r="G4528" s="103" t="str">
        <f aca="false">IF($C4528="","",$D4528*IFERROR(INDEX('تحليل التكلفة والسعر'!$C$2:$C$700,MATCH($C4528,'تحليل التكلفة والسعر'!$B$2:$B$700,0)),0))</f>
        <v/>
      </c>
    </row>
    <row r="4529" customFormat="false" ht="15" hidden="false" customHeight="false" outlineLevel="0" collapsed="false">
      <c r="A4529" s="102"/>
      <c r="E4529" s="103" t="str">
        <f aca="false">IF($C4529="","",IFERROR(INDEX(المنيو!$C$2:$C$500,MATCH($C4529,المنيو!$B$2:$B$500,0)),0))</f>
        <v/>
      </c>
      <c r="F4529" s="103" t="str">
        <f aca="false">IF($C4529="","",$D4529*$E4529)</f>
        <v/>
      </c>
      <c r="G4529" s="103" t="str">
        <f aca="false">IF($C4529="","",$D4529*IFERROR(INDEX('تحليل التكلفة والسعر'!$C$2:$C$700,MATCH($C4529,'تحليل التكلفة والسعر'!$B$2:$B$700,0)),0))</f>
        <v/>
      </c>
    </row>
    <row r="4530" customFormat="false" ht="15" hidden="false" customHeight="false" outlineLevel="0" collapsed="false">
      <c r="A4530" s="102"/>
      <c r="E4530" s="103" t="str">
        <f aca="false">IF($C4530="","",IFERROR(INDEX(المنيو!$C$2:$C$500,MATCH($C4530,المنيو!$B$2:$B$500,0)),0))</f>
        <v/>
      </c>
      <c r="F4530" s="103" t="str">
        <f aca="false">IF($C4530="","",$D4530*$E4530)</f>
        <v/>
      </c>
      <c r="G4530" s="103" t="str">
        <f aca="false">IF($C4530="","",$D4530*IFERROR(INDEX('تحليل التكلفة والسعر'!$C$2:$C$700,MATCH($C4530,'تحليل التكلفة والسعر'!$B$2:$B$700,0)),0))</f>
        <v/>
      </c>
    </row>
    <row r="4531" customFormat="false" ht="15" hidden="false" customHeight="false" outlineLevel="0" collapsed="false">
      <c r="A4531" s="102"/>
      <c r="E4531" s="103" t="str">
        <f aca="false">IF($C4531="","",IFERROR(INDEX(المنيو!$C$2:$C$500,MATCH($C4531,المنيو!$B$2:$B$500,0)),0))</f>
        <v/>
      </c>
      <c r="F4531" s="103" t="str">
        <f aca="false">IF($C4531="","",$D4531*$E4531)</f>
        <v/>
      </c>
      <c r="G4531" s="103" t="str">
        <f aca="false">IF($C4531="","",$D4531*IFERROR(INDEX('تحليل التكلفة والسعر'!$C$2:$C$700,MATCH($C4531,'تحليل التكلفة والسعر'!$B$2:$B$700,0)),0))</f>
        <v/>
      </c>
    </row>
    <row r="4532" customFormat="false" ht="15" hidden="false" customHeight="false" outlineLevel="0" collapsed="false">
      <c r="A4532" s="102"/>
      <c r="E4532" s="103" t="str">
        <f aca="false">IF($C4532="","",IFERROR(INDEX(المنيو!$C$2:$C$500,MATCH($C4532,المنيو!$B$2:$B$500,0)),0))</f>
        <v/>
      </c>
      <c r="F4532" s="103" t="str">
        <f aca="false">IF($C4532="","",$D4532*$E4532)</f>
        <v/>
      </c>
      <c r="G4532" s="103" t="str">
        <f aca="false">IF($C4532="","",$D4532*IFERROR(INDEX('تحليل التكلفة والسعر'!$C$2:$C$700,MATCH($C4532,'تحليل التكلفة والسعر'!$B$2:$B$700,0)),0))</f>
        <v/>
      </c>
    </row>
    <row r="4533" customFormat="false" ht="15" hidden="false" customHeight="false" outlineLevel="0" collapsed="false">
      <c r="A4533" s="102"/>
      <c r="E4533" s="103" t="str">
        <f aca="false">IF($C4533="","",IFERROR(INDEX(المنيو!$C$2:$C$500,MATCH($C4533,المنيو!$B$2:$B$500,0)),0))</f>
        <v/>
      </c>
      <c r="F4533" s="103" t="str">
        <f aca="false">IF($C4533="","",$D4533*$E4533)</f>
        <v/>
      </c>
      <c r="G4533" s="103" t="str">
        <f aca="false">IF($C4533="","",$D4533*IFERROR(INDEX('تحليل التكلفة والسعر'!$C$2:$C$700,MATCH($C4533,'تحليل التكلفة والسعر'!$B$2:$B$700,0)),0))</f>
        <v/>
      </c>
    </row>
    <row r="4534" customFormat="false" ht="15" hidden="false" customHeight="false" outlineLevel="0" collapsed="false">
      <c r="A4534" s="102"/>
      <c r="E4534" s="103" t="str">
        <f aca="false">IF($C4534="","",IFERROR(INDEX(المنيو!$C$2:$C$500,MATCH($C4534,المنيو!$B$2:$B$500,0)),0))</f>
        <v/>
      </c>
      <c r="F4534" s="103" t="str">
        <f aca="false">IF($C4534="","",$D4534*$E4534)</f>
        <v/>
      </c>
      <c r="G4534" s="103" t="str">
        <f aca="false">IF($C4534="","",$D4534*IFERROR(INDEX('تحليل التكلفة والسعر'!$C$2:$C$700,MATCH($C4534,'تحليل التكلفة والسعر'!$B$2:$B$700,0)),0))</f>
        <v/>
      </c>
    </row>
    <row r="4535" customFormat="false" ht="15" hidden="false" customHeight="false" outlineLevel="0" collapsed="false">
      <c r="A4535" s="102"/>
      <c r="E4535" s="103" t="str">
        <f aca="false">IF($C4535="","",IFERROR(INDEX(المنيو!$C$2:$C$500,MATCH($C4535,المنيو!$B$2:$B$500,0)),0))</f>
        <v/>
      </c>
      <c r="F4535" s="103" t="str">
        <f aca="false">IF($C4535="","",$D4535*$E4535)</f>
        <v/>
      </c>
      <c r="G4535" s="103" t="str">
        <f aca="false">IF($C4535="","",$D4535*IFERROR(INDEX('تحليل التكلفة والسعر'!$C$2:$C$700,MATCH($C4535,'تحليل التكلفة والسعر'!$B$2:$B$700,0)),0))</f>
        <v/>
      </c>
    </row>
    <row r="4536" customFormat="false" ht="15" hidden="false" customHeight="false" outlineLevel="0" collapsed="false">
      <c r="A4536" s="102"/>
      <c r="E4536" s="103" t="str">
        <f aca="false">IF($C4536="","",IFERROR(INDEX(المنيو!$C$2:$C$500,MATCH($C4536,المنيو!$B$2:$B$500,0)),0))</f>
        <v/>
      </c>
      <c r="F4536" s="103" t="str">
        <f aca="false">IF($C4536="","",$D4536*$E4536)</f>
        <v/>
      </c>
      <c r="G4536" s="103" t="str">
        <f aca="false">IF($C4536="","",$D4536*IFERROR(INDEX('تحليل التكلفة والسعر'!$C$2:$C$700,MATCH($C4536,'تحليل التكلفة والسعر'!$B$2:$B$700,0)),0))</f>
        <v/>
      </c>
    </row>
    <row r="4537" customFormat="false" ht="15" hidden="false" customHeight="false" outlineLevel="0" collapsed="false">
      <c r="A4537" s="102"/>
      <c r="E4537" s="103" t="str">
        <f aca="false">IF($C4537="","",IFERROR(INDEX(المنيو!$C$2:$C$500,MATCH($C4537,المنيو!$B$2:$B$500,0)),0))</f>
        <v/>
      </c>
      <c r="F4537" s="103" t="str">
        <f aca="false">IF($C4537="","",$D4537*$E4537)</f>
        <v/>
      </c>
      <c r="G4537" s="103" t="str">
        <f aca="false">IF($C4537="","",$D4537*IFERROR(INDEX('تحليل التكلفة والسعر'!$C$2:$C$700,MATCH($C4537,'تحليل التكلفة والسعر'!$B$2:$B$700,0)),0))</f>
        <v/>
      </c>
    </row>
    <row r="4538" customFormat="false" ht="15" hidden="false" customHeight="false" outlineLevel="0" collapsed="false">
      <c r="A4538" s="102"/>
      <c r="E4538" s="103" t="str">
        <f aca="false">IF($C4538="","",IFERROR(INDEX(المنيو!$C$2:$C$500,MATCH($C4538,المنيو!$B$2:$B$500,0)),0))</f>
        <v/>
      </c>
      <c r="F4538" s="103" t="str">
        <f aca="false">IF($C4538="","",$D4538*$E4538)</f>
        <v/>
      </c>
      <c r="G4538" s="103" t="str">
        <f aca="false">IF($C4538="","",$D4538*IFERROR(INDEX('تحليل التكلفة والسعر'!$C$2:$C$700,MATCH($C4538,'تحليل التكلفة والسعر'!$B$2:$B$700,0)),0))</f>
        <v/>
      </c>
    </row>
    <row r="4539" customFormat="false" ht="15" hidden="false" customHeight="false" outlineLevel="0" collapsed="false">
      <c r="A4539" s="102"/>
      <c r="E4539" s="103" t="str">
        <f aca="false">IF($C4539="","",IFERROR(INDEX(المنيو!$C$2:$C$500,MATCH($C4539,المنيو!$B$2:$B$500,0)),0))</f>
        <v/>
      </c>
      <c r="F4539" s="103" t="str">
        <f aca="false">IF($C4539="","",$D4539*$E4539)</f>
        <v/>
      </c>
      <c r="G4539" s="103" t="str">
        <f aca="false">IF($C4539="","",$D4539*IFERROR(INDEX('تحليل التكلفة والسعر'!$C$2:$C$700,MATCH($C4539,'تحليل التكلفة والسعر'!$B$2:$B$700,0)),0))</f>
        <v/>
      </c>
    </row>
    <row r="4540" customFormat="false" ht="15" hidden="false" customHeight="false" outlineLevel="0" collapsed="false">
      <c r="A4540" s="102"/>
      <c r="E4540" s="103" t="str">
        <f aca="false">IF($C4540="","",IFERROR(INDEX(المنيو!$C$2:$C$500,MATCH($C4540,المنيو!$B$2:$B$500,0)),0))</f>
        <v/>
      </c>
      <c r="F4540" s="103" t="str">
        <f aca="false">IF($C4540="","",$D4540*$E4540)</f>
        <v/>
      </c>
      <c r="G4540" s="103" t="str">
        <f aca="false">IF($C4540="","",$D4540*IFERROR(INDEX('تحليل التكلفة والسعر'!$C$2:$C$700,MATCH($C4540,'تحليل التكلفة والسعر'!$B$2:$B$700,0)),0))</f>
        <v/>
      </c>
    </row>
    <row r="4541" customFormat="false" ht="15" hidden="false" customHeight="false" outlineLevel="0" collapsed="false">
      <c r="A4541" s="102"/>
      <c r="E4541" s="103" t="str">
        <f aca="false">IF($C4541="","",IFERROR(INDEX(المنيو!$C$2:$C$500,MATCH($C4541,المنيو!$B$2:$B$500,0)),0))</f>
        <v/>
      </c>
      <c r="F4541" s="103" t="str">
        <f aca="false">IF($C4541="","",$D4541*$E4541)</f>
        <v/>
      </c>
      <c r="G4541" s="103" t="str">
        <f aca="false">IF($C4541="","",$D4541*IFERROR(INDEX('تحليل التكلفة والسعر'!$C$2:$C$700,MATCH($C4541,'تحليل التكلفة والسعر'!$B$2:$B$700,0)),0))</f>
        <v/>
      </c>
    </row>
    <row r="4542" customFormat="false" ht="15" hidden="false" customHeight="false" outlineLevel="0" collapsed="false">
      <c r="A4542" s="102"/>
      <c r="E4542" s="103" t="str">
        <f aca="false">IF($C4542="","",IFERROR(INDEX(المنيو!$C$2:$C$500,MATCH($C4542,المنيو!$B$2:$B$500,0)),0))</f>
        <v/>
      </c>
      <c r="F4542" s="103" t="str">
        <f aca="false">IF($C4542="","",$D4542*$E4542)</f>
        <v/>
      </c>
      <c r="G4542" s="103" t="str">
        <f aca="false">IF($C4542="","",$D4542*IFERROR(INDEX('تحليل التكلفة والسعر'!$C$2:$C$700,MATCH($C4542,'تحليل التكلفة والسعر'!$B$2:$B$700,0)),0))</f>
        <v/>
      </c>
    </row>
    <row r="4543" customFormat="false" ht="15" hidden="false" customHeight="false" outlineLevel="0" collapsed="false">
      <c r="A4543" s="102"/>
      <c r="E4543" s="103" t="str">
        <f aca="false">IF($C4543="","",IFERROR(INDEX(المنيو!$C$2:$C$500,MATCH($C4543,المنيو!$B$2:$B$500,0)),0))</f>
        <v/>
      </c>
      <c r="F4543" s="103" t="str">
        <f aca="false">IF($C4543="","",$D4543*$E4543)</f>
        <v/>
      </c>
      <c r="G4543" s="103" t="str">
        <f aca="false">IF($C4543="","",$D4543*IFERROR(INDEX('تحليل التكلفة والسعر'!$C$2:$C$700,MATCH($C4543,'تحليل التكلفة والسعر'!$B$2:$B$700,0)),0))</f>
        <v/>
      </c>
    </row>
    <row r="4544" customFormat="false" ht="15" hidden="false" customHeight="false" outlineLevel="0" collapsed="false">
      <c r="A4544" s="102"/>
      <c r="E4544" s="103" t="str">
        <f aca="false">IF($C4544="","",IFERROR(INDEX(المنيو!$C$2:$C$500,MATCH($C4544,المنيو!$B$2:$B$500,0)),0))</f>
        <v/>
      </c>
      <c r="F4544" s="103" t="str">
        <f aca="false">IF($C4544="","",$D4544*$E4544)</f>
        <v/>
      </c>
      <c r="G4544" s="103" t="str">
        <f aca="false">IF($C4544="","",$D4544*IFERROR(INDEX('تحليل التكلفة والسعر'!$C$2:$C$700,MATCH($C4544,'تحليل التكلفة والسعر'!$B$2:$B$700,0)),0))</f>
        <v/>
      </c>
    </row>
    <row r="4545" customFormat="false" ht="15" hidden="false" customHeight="false" outlineLevel="0" collapsed="false">
      <c r="A4545" s="102"/>
      <c r="E4545" s="103" t="str">
        <f aca="false">IF($C4545="","",IFERROR(INDEX(المنيو!$C$2:$C$500,MATCH($C4545,المنيو!$B$2:$B$500,0)),0))</f>
        <v/>
      </c>
      <c r="F4545" s="103" t="str">
        <f aca="false">IF($C4545="","",$D4545*$E4545)</f>
        <v/>
      </c>
      <c r="G4545" s="103" t="str">
        <f aca="false">IF($C4545="","",$D4545*IFERROR(INDEX('تحليل التكلفة والسعر'!$C$2:$C$700,MATCH($C4545,'تحليل التكلفة والسعر'!$B$2:$B$700,0)),0))</f>
        <v/>
      </c>
    </row>
    <row r="4546" customFormat="false" ht="15" hidden="false" customHeight="false" outlineLevel="0" collapsed="false">
      <c r="A4546" s="102"/>
      <c r="E4546" s="103" t="str">
        <f aca="false">IF($C4546="","",IFERROR(INDEX(المنيو!$C$2:$C$500,MATCH($C4546,المنيو!$B$2:$B$500,0)),0))</f>
        <v/>
      </c>
      <c r="F4546" s="103" t="str">
        <f aca="false">IF($C4546="","",$D4546*$E4546)</f>
        <v/>
      </c>
      <c r="G4546" s="103" t="str">
        <f aca="false">IF($C4546="","",$D4546*IFERROR(INDEX('تحليل التكلفة والسعر'!$C$2:$C$700,MATCH($C4546,'تحليل التكلفة والسعر'!$B$2:$B$700,0)),0))</f>
        <v/>
      </c>
    </row>
    <row r="4547" customFormat="false" ht="15" hidden="false" customHeight="false" outlineLevel="0" collapsed="false">
      <c r="A4547" s="102"/>
      <c r="E4547" s="103" t="str">
        <f aca="false">IF($C4547="","",IFERROR(INDEX(المنيو!$C$2:$C$500,MATCH($C4547,المنيو!$B$2:$B$500,0)),0))</f>
        <v/>
      </c>
      <c r="F4547" s="103" t="str">
        <f aca="false">IF($C4547="","",$D4547*$E4547)</f>
        <v/>
      </c>
      <c r="G4547" s="103" t="str">
        <f aca="false">IF($C4547="","",$D4547*IFERROR(INDEX('تحليل التكلفة والسعر'!$C$2:$C$700,MATCH($C4547,'تحليل التكلفة والسعر'!$B$2:$B$700,0)),0))</f>
        <v/>
      </c>
    </row>
    <row r="4548" customFormat="false" ht="15" hidden="false" customHeight="false" outlineLevel="0" collapsed="false">
      <c r="A4548" s="102"/>
      <c r="E4548" s="103" t="str">
        <f aca="false">IF($C4548="","",IFERROR(INDEX(المنيو!$C$2:$C$500,MATCH($C4548,المنيو!$B$2:$B$500,0)),0))</f>
        <v/>
      </c>
      <c r="F4548" s="103" t="str">
        <f aca="false">IF($C4548="","",$D4548*$E4548)</f>
        <v/>
      </c>
      <c r="G4548" s="103" t="str">
        <f aca="false">IF($C4548="","",$D4548*IFERROR(INDEX('تحليل التكلفة والسعر'!$C$2:$C$700,MATCH($C4548,'تحليل التكلفة والسعر'!$B$2:$B$700,0)),0))</f>
        <v/>
      </c>
    </row>
    <row r="4549" customFormat="false" ht="15" hidden="false" customHeight="false" outlineLevel="0" collapsed="false">
      <c r="A4549" s="102"/>
      <c r="E4549" s="103" t="str">
        <f aca="false">IF($C4549="","",IFERROR(INDEX(المنيو!$C$2:$C$500,MATCH($C4549,المنيو!$B$2:$B$500,0)),0))</f>
        <v/>
      </c>
      <c r="F4549" s="103" t="str">
        <f aca="false">IF($C4549="","",$D4549*$E4549)</f>
        <v/>
      </c>
      <c r="G4549" s="103" t="str">
        <f aca="false">IF($C4549="","",$D4549*IFERROR(INDEX('تحليل التكلفة والسعر'!$C$2:$C$700,MATCH($C4549,'تحليل التكلفة والسعر'!$B$2:$B$700,0)),0))</f>
        <v/>
      </c>
    </row>
    <row r="4550" customFormat="false" ht="15" hidden="false" customHeight="false" outlineLevel="0" collapsed="false">
      <c r="A4550" s="102"/>
      <c r="E4550" s="103" t="str">
        <f aca="false">IF($C4550="","",IFERROR(INDEX(المنيو!$C$2:$C$500,MATCH($C4550,المنيو!$B$2:$B$500,0)),0))</f>
        <v/>
      </c>
      <c r="F4550" s="103" t="str">
        <f aca="false">IF($C4550="","",$D4550*$E4550)</f>
        <v/>
      </c>
      <c r="G4550" s="103" t="str">
        <f aca="false">IF($C4550="","",$D4550*IFERROR(INDEX('تحليل التكلفة والسعر'!$C$2:$C$700,MATCH($C4550,'تحليل التكلفة والسعر'!$B$2:$B$700,0)),0))</f>
        <v/>
      </c>
    </row>
    <row r="4551" customFormat="false" ht="15" hidden="false" customHeight="false" outlineLevel="0" collapsed="false">
      <c r="A4551" s="102"/>
      <c r="E4551" s="103" t="str">
        <f aca="false">IF($C4551="","",IFERROR(INDEX(المنيو!$C$2:$C$500,MATCH($C4551,المنيو!$B$2:$B$500,0)),0))</f>
        <v/>
      </c>
      <c r="F4551" s="103" t="str">
        <f aca="false">IF($C4551="","",$D4551*$E4551)</f>
        <v/>
      </c>
      <c r="G4551" s="103" t="str">
        <f aca="false">IF($C4551="","",$D4551*IFERROR(INDEX('تحليل التكلفة والسعر'!$C$2:$C$700,MATCH($C4551,'تحليل التكلفة والسعر'!$B$2:$B$700,0)),0))</f>
        <v/>
      </c>
    </row>
    <row r="4552" customFormat="false" ht="15" hidden="false" customHeight="false" outlineLevel="0" collapsed="false">
      <c r="A4552" s="102"/>
      <c r="E4552" s="103" t="str">
        <f aca="false">IF($C4552="","",IFERROR(INDEX(المنيو!$C$2:$C$500,MATCH($C4552,المنيو!$B$2:$B$500,0)),0))</f>
        <v/>
      </c>
      <c r="F4552" s="103" t="str">
        <f aca="false">IF($C4552="","",$D4552*$E4552)</f>
        <v/>
      </c>
      <c r="G4552" s="103" t="str">
        <f aca="false">IF($C4552="","",$D4552*IFERROR(INDEX('تحليل التكلفة والسعر'!$C$2:$C$700,MATCH($C4552,'تحليل التكلفة والسعر'!$B$2:$B$700,0)),0))</f>
        <v/>
      </c>
    </row>
    <row r="4553" customFormat="false" ht="15" hidden="false" customHeight="false" outlineLevel="0" collapsed="false">
      <c r="A4553" s="102"/>
      <c r="E4553" s="103" t="str">
        <f aca="false">IF($C4553="","",IFERROR(INDEX(المنيو!$C$2:$C$500,MATCH($C4553,المنيو!$B$2:$B$500,0)),0))</f>
        <v/>
      </c>
      <c r="F4553" s="103" t="str">
        <f aca="false">IF($C4553="","",$D4553*$E4553)</f>
        <v/>
      </c>
      <c r="G4553" s="103" t="str">
        <f aca="false">IF($C4553="","",$D4553*IFERROR(INDEX('تحليل التكلفة والسعر'!$C$2:$C$700,MATCH($C4553,'تحليل التكلفة والسعر'!$B$2:$B$700,0)),0))</f>
        <v/>
      </c>
    </row>
    <row r="4554" customFormat="false" ht="15" hidden="false" customHeight="false" outlineLevel="0" collapsed="false">
      <c r="A4554" s="102"/>
      <c r="E4554" s="103" t="str">
        <f aca="false">IF($C4554="","",IFERROR(INDEX(المنيو!$C$2:$C$500,MATCH($C4554,المنيو!$B$2:$B$500,0)),0))</f>
        <v/>
      </c>
      <c r="F4554" s="103" t="str">
        <f aca="false">IF($C4554="","",$D4554*$E4554)</f>
        <v/>
      </c>
      <c r="G4554" s="103" t="str">
        <f aca="false">IF($C4554="","",$D4554*IFERROR(INDEX('تحليل التكلفة والسعر'!$C$2:$C$700,MATCH($C4554,'تحليل التكلفة والسعر'!$B$2:$B$700,0)),0))</f>
        <v/>
      </c>
    </row>
    <row r="4555" customFormat="false" ht="15" hidden="false" customHeight="false" outlineLevel="0" collapsed="false">
      <c r="A4555" s="102"/>
      <c r="E4555" s="103" t="str">
        <f aca="false">IF($C4555="","",IFERROR(INDEX(المنيو!$C$2:$C$500,MATCH($C4555,المنيو!$B$2:$B$500,0)),0))</f>
        <v/>
      </c>
      <c r="F4555" s="103" t="str">
        <f aca="false">IF($C4555="","",$D4555*$E4555)</f>
        <v/>
      </c>
      <c r="G4555" s="103" t="str">
        <f aca="false">IF($C4555="","",$D4555*IFERROR(INDEX('تحليل التكلفة والسعر'!$C$2:$C$700,MATCH($C4555,'تحليل التكلفة والسعر'!$B$2:$B$700,0)),0))</f>
        <v/>
      </c>
    </row>
    <row r="4556" customFormat="false" ht="15" hidden="false" customHeight="false" outlineLevel="0" collapsed="false">
      <c r="A4556" s="102"/>
      <c r="E4556" s="103" t="str">
        <f aca="false">IF($C4556="","",IFERROR(INDEX(المنيو!$C$2:$C$500,MATCH($C4556,المنيو!$B$2:$B$500,0)),0))</f>
        <v/>
      </c>
      <c r="F4556" s="103" t="str">
        <f aca="false">IF($C4556="","",$D4556*$E4556)</f>
        <v/>
      </c>
      <c r="G4556" s="103" t="str">
        <f aca="false">IF($C4556="","",$D4556*IFERROR(INDEX('تحليل التكلفة والسعر'!$C$2:$C$700,MATCH($C4556,'تحليل التكلفة والسعر'!$B$2:$B$700,0)),0))</f>
        <v/>
      </c>
    </row>
    <row r="4557" customFormat="false" ht="15" hidden="false" customHeight="false" outlineLevel="0" collapsed="false">
      <c r="A4557" s="102"/>
      <c r="E4557" s="103" t="str">
        <f aca="false">IF($C4557="","",IFERROR(INDEX(المنيو!$C$2:$C$500,MATCH($C4557,المنيو!$B$2:$B$500,0)),0))</f>
        <v/>
      </c>
      <c r="F4557" s="103" t="str">
        <f aca="false">IF($C4557="","",$D4557*$E4557)</f>
        <v/>
      </c>
      <c r="G4557" s="103" t="str">
        <f aca="false">IF($C4557="","",$D4557*IFERROR(INDEX('تحليل التكلفة والسعر'!$C$2:$C$700,MATCH($C4557,'تحليل التكلفة والسعر'!$B$2:$B$700,0)),0))</f>
        <v/>
      </c>
    </row>
    <row r="4558" customFormat="false" ht="15" hidden="false" customHeight="false" outlineLevel="0" collapsed="false">
      <c r="A4558" s="102"/>
      <c r="E4558" s="103" t="str">
        <f aca="false">IF($C4558="","",IFERROR(INDEX(المنيو!$C$2:$C$500,MATCH($C4558,المنيو!$B$2:$B$500,0)),0))</f>
        <v/>
      </c>
      <c r="F4558" s="103" t="str">
        <f aca="false">IF($C4558="","",$D4558*$E4558)</f>
        <v/>
      </c>
      <c r="G4558" s="103" t="str">
        <f aca="false">IF($C4558="","",$D4558*IFERROR(INDEX('تحليل التكلفة والسعر'!$C$2:$C$700,MATCH($C4558,'تحليل التكلفة والسعر'!$B$2:$B$700,0)),0))</f>
        <v/>
      </c>
    </row>
    <row r="4559" customFormat="false" ht="15" hidden="false" customHeight="false" outlineLevel="0" collapsed="false">
      <c r="A4559" s="102"/>
      <c r="E4559" s="103" t="str">
        <f aca="false">IF($C4559="","",IFERROR(INDEX(المنيو!$C$2:$C$500,MATCH($C4559,المنيو!$B$2:$B$500,0)),0))</f>
        <v/>
      </c>
      <c r="F4559" s="103" t="str">
        <f aca="false">IF($C4559="","",$D4559*$E4559)</f>
        <v/>
      </c>
      <c r="G4559" s="103" t="str">
        <f aca="false">IF($C4559="","",$D4559*IFERROR(INDEX('تحليل التكلفة والسعر'!$C$2:$C$700,MATCH($C4559,'تحليل التكلفة والسعر'!$B$2:$B$700,0)),0))</f>
        <v/>
      </c>
    </row>
    <row r="4560" customFormat="false" ht="15" hidden="false" customHeight="false" outlineLevel="0" collapsed="false">
      <c r="A4560" s="102"/>
      <c r="E4560" s="103" t="str">
        <f aca="false">IF($C4560="","",IFERROR(INDEX(المنيو!$C$2:$C$500,MATCH($C4560,المنيو!$B$2:$B$500,0)),0))</f>
        <v/>
      </c>
      <c r="F4560" s="103" t="str">
        <f aca="false">IF($C4560="","",$D4560*$E4560)</f>
        <v/>
      </c>
      <c r="G4560" s="103" t="str">
        <f aca="false">IF($C4560="","",$D4560*IFERROR(INDEX('تحليل التكلفة والسعر'!$C$2:$C$700,MATCH($C4560,'تحليل التكلفة والسعر'!$B$2:$B$700,0)),0))</f>
        <v/>
      </c>
    </row>
    <row r="4561" customFormat="false" ht="15" hidden="false" customHeight="false" outlineLevel="0" collapsed="false">
      <c r="A4561" s="102"/>
      <c r="E4561" s="103" t="str">
        <f aca="false">IF($C4561="","",IFERROR(INDEX(المنيو!$C$2:$C$500,MATCH($C4561,المنيو!$B$2:$B$500,0)),0))</f>
        <v/>
      </c>
      <c r="F4561" s="103" t="str">
        <f aca="false">IF($C4561="","",$D4561*$E4561)</f>
        <v/>
      </c>
      <c r="G4561" s="103" t="str">
        <f aca="false">IF($C4561="","",$D4561*IFERROR(INDEX('تحليل التكلفة والسعر'!$C$2:$C$700,MATCH($C4561,'تحليل التكلفة والسعر'!$B$2:$B$700,0)),0))</f>
        <v/>
      </c>
    </row>
    <row r="4562" customFormat="false" ht="15" hidden="false" customHeight="false" outlineLevel="0" collapsed="false">
      <c r="A4562" s="102"/>
      <c r="E4562" s="103" t="str">
        <f aca="false">IF($C4562="","",IFERROR(INDEX(المنيو!$C$2:$C$500,MATCH($C4562,المنيو!$B$2:$B$500,0)),0))</f>
        <v/>
      </c>
      <c r="F4562" s="103" t="str">
        <f aca="false">IF($C4562="","",$D4562*$E4562)</f>
        <v/>
      </c>
      <c r="G4562" s="103" t="str">
        <f aca="false">IF($C4562="","",$D4562*IFERROR(INDEX('تحليل التكلفة والسعر'!$C$2:$C$700,MATCH($C4562,'تحليل التكلفة والسعر'!$B$2:$B$700,0)),0))</f>
        <v/>
      </c>
    </row>
    <row r="4563" customFormat="false" ht="15" hidden="false" customHeight="false" outlineLevel="0" collapsed="false">
      <c r="A4563" s="102"/>
      <c r="E4563" s="103" t="str">
        <f aca="false">IF($C4563="","",IFERROR(INDEX(المنيو!$C$2:$C$500,MATCH($C4563,المنيو!$B$2:$B$500,0)),0))</f>
        <v/>
      </c>
      <c r="F4563" s="103" t="str">
        <f aca="false">IF($C4563="","",$D4563*$E4563)</f>
        <v/>
      </c>
      <c r="G4563" s="103" t="str">
        <f aca="false">IF($C4563="","",$D4563*IFERROR(INDEX('تحليل التكلفة والسعر'!$C$2:$C$700,MATCH($C4563,'تحليل التكلفة والسعر'!$B$2:$B$700,0)),0))</f>
        <v/>
      </c>
    </row>
    <row r="4564" customFormat="false" ht="15" hidden="false" customHeight="false" outlineLevel="0" collapsed="false">
      <c r="A4564" s="102"/>
      <c r="E4564" s="103" t="str">
        <f aca="false">IF($C4564="","",IFERROR(INDEX(المنيو!$C$2:$C$500,MATCH($C4564,المنيو!$B$2:$B$500,0)),0))</f>
        <v/>
      </c>
      <c r="F4564" s="103" t="str">
        <f aca="false">IF($C4564="","",$D4564*$E4564)</f>
        <v/>
      </c>
      <c r="G4564" s="103" t="str">
        <f aca="false">IF($C4564="","",$D4564*IFERROR(INDEX('تحليل التكلفة والسعر'!$C$2:$C$700,MATCH($C4564,'تحليل التكلفة والسعر'!$B$2:$B$700,0)),0))</f>
        <v/>
      </c>
    </row>
    <row r="4565" customFormat="false" ht="15" hidden="false" customHeight="false" outlineLevel="0" collapsed="false">
      <c r="A4565" s="102"/>
      <c r="E4565" s="103" t="str">
        <f aca="false">IF($C4565="","",IFERROR(INDEX(المنيو!$C$2:$C$500,MATCH($C4565,المنيو!$B$2:$B$500,0)),0))</f>
        <v/>
      </c>
      <c r="F4565" s="103" t="str">
        <f aca="false">IF($C4565="","",$D4565*$E4565)</f>
        <v/>
      </c>
      <c r="G4565" s="103" t="str">
        <f aca="false">IF($C4565="","",$D4565*IFERROR(INDEX('تحليل التكلفة والسعر'!$C$2:$C$700,MATCH($C4565,'تحليل التكلفة والسعر'!$B$2:$B$700,0)),0))</f>
        <v/>
      </c>
    </row>
    <row r="4566" customFormat="false" ht="15" hidden="false" customHeight="false" outlineLevel="0" collapsed="false">
      <c r="A4566" s="102"/>
      <c r="E4566" s="103" t="str">
        <f aca="false">IF($C4566="","",IFERROR(INDEX(المنيو!$C$2:$C$500,MATCH($C4566,المنيو!$B$2:$B$500,0)),0))</f>
        <v/>
      </c>
      <c r="F4566" s="103" t="str">
        <f aca="false">IF($C4566="","",$D4566*$E4566)</f>
        <v/>
      </c>
      <c r="G4566" s="103" t="str">
        <f aca="false">IF($C4566="","",$D4566*IFERROR(INDEX('تحليل التكلفة والسعر'!$C$2:$C$700,MATCH($C4566,'تحليل التكلفة والسعر'!$B$2:$B$700,0)),0))</f>
        <v/>
      </c>
    </row>
    <row r="4567" customFormat="false" ht="15" hidden="false" customHeight="false" outlineLevel="0" collapsed="false">
      <c r="A4567" s="102"/>
      <c r="E4567" s="103" t="str">
        <f aca="false">IF($C4567="","",IFERROR(INDEX(المنيو!$C$2:$C$500,MATCH($C4567,المنيو!$B$2:$B$500,0)),0))</f>
        <v/>
      </c>
      <c r="F4567" s="103" t="str">
        <f aca="false">IF($C4567="","",$D4567*$E4567)</f>
        <v/>
      </c>
      <c r="G4567" s="103" t="str">
        <f aca="false">IF($C4567="","",$D4567*IFERROR(INDEX('تحليل التكلفة والسعر'!$C$2:$C$700,MATCH($C4567,'تحليل التكلفة والسعر'!$B$2:$B$700,0)),0))</f>
        <v/>
      </c>
    </row>
    <row r="4568" customFormat="false" ht="15" hidden="false" customHeight="false" outlineLevel="0" collapsed="false">
      <c r="A4568" s="102"/>
      <c r="E4568" s="103" t="str">
        <f aca="false">IF($C4568="","",IFERROR(INDEX(المنيو!$C$2:$C$500,MATCH($C4568,المنيو!$B$2:$B$500,0)),0))</f>
        <v/>
      </c>
      <c r="F4568" s="103" t="str">
        <f aca="false">IF($C4568="","",$D4568*$E4568)</f>
        <v/>
      </c>
      <c r="G4568" s="103" t="str">
        <f aca="false">IF($C4568="","",$D4568*IFERROR(INDEX('تحليل التكلفة والسعر'!$C$2:$C$700,MATCH($C4568,'تحليل التكلفة والسعر'!$B$2:$B$700,0)),0))</f>
        <v/>
      </c>
    </row>
    <row r="4569" customFormat="false" ht="15" hidden="false" customHeight="false" outlineLevel="0" collapsed="false">
      <c r="A4569" s="102"/>
      <c r="E4569" s="103" t="str">
        <f aca="false">IF($C4569="","",IFERROR(INDEX(المنيو!$C$2:$C$500,MATCH($C4569,المنيو!$B$2:$B$500,0)),0))</f>
        <v/>
      </c>
      <c r="F4569" s="103" t="str">
        <f aca="false">IF($C4569="","",$D4569*$E4569)</f>
        <v/>
      </c>
      <c r="G4569" s="103" t="str">
        <f aca="false">IF($C4569="","",$D4569*IFERROR(INDEX('تحليل التكلفة والسعر'!$C$2:$C$700,MATCH($C4569,'تحليل التكلفة والسعر'!$B$2:$B$700,0)),0))</f>
        <v/>
      </c>
    </row>
    <row r="4570" customFormat="false" ht="15" hidden="false" customHeight="false" outlineLevel="0" collapsed="false">
      <c r="A4570" s="102"/>
      <c r="E4570" s="103" t="str">
        <f aca="false">IF($C4570="","",IFERROR(INDEX(المنيو!$C$2:$C$500,MATCH($C4570,المنيو!$B$2:$B$500,0)),0))</f>
        <v/>
      </c>
      <c r="F4570" s="103" t="str">
        <f aca="false">IF($C4570="","",$D4570*$E4570)</f>
        <v/>
      </c>
      <c r="G4570" s="103" t="str">
        <f aca="false">IF($C4570="","",$D4570*IFERROR(INDEX('تحليل التكلفة والسعر'!$C$2:$C$700,MATCH($C4570,'تحليل التكلفة والسعر'!$B$2:$B$700,0)),0))</f>
        <v/>
      </c>
    </row>
    <row r="4571" customFormat="false" ht="15" hidden="false" customHeight="false" outlineLevel="0" collapsed="false">
      <c r="A4571" s="102"/>
      <c r="E4571" s="103" t="str">
        <f aca="false">IF($C4571="","",IFERROR(INDEX(المنيو!$C$2:$C$500,MATCH($C4571,المنيو!$B$2:$B$500,0)),0))</f>
        <v/>
      </c>
      <c r="F4571" s="103" t="str">
        <f aca="false">IF($C4571="","",$D4571*$E4571)</f>
        <v/>
      </c>
      <c r="G4571" s="103" t="str">
        <f aca="false">IF($C4571="","",$D4571*IFERROR(INDEX('تحليل التكلفة والسعر'!$C$2:$C$700,MATCH($C4571,'تحليل التكلفة والسعر'!$B$2:$B$700,0)),0))</f>
        <v/>
      </c>
    </row>
    <row r="4572" customFormat="false" ht="15" hidden="false" customHeight="false" outlineLevel="0" collapsed="false">
      <c r="A4572" s="102"/>
      <c r="E4572" s="103" t="str">
        <f aca="false">IF($C4572="","",IFERROR(INDEX(المنيو!$C$2:$C$500,MATCH($C4572,المنيو!$B$2:$B$500,0)),0))</f>
        <v/>
      </c>
      <c r="F4572" s="103" t="str">
        <f aca="false">IF($C4572="","",$D4572*$E4572)</f>
        <v/>
      </c>
      <c r="G4572" s="103" t="str">
        <f aca="false">IF($C4572="","",$D4572*IFERROR(INDEX('تحليل التكلفة والسعر'!$C$2:$C$700,MATCH($C4572,'تحليل التكلفة والسعر'!$B$2:$B$700,0)),0))</f>
        <v/>
      </c>
    </row>
    <row r="4573" customFormat="false" ht="15" hidden="false" customHeight="false" outlineLevel="0" collapsed="false">
      <c r="A4573" s="102"/>
      <c r="E4573" s="103" t="str">
        <f aca="false">IF($C4573="","",IFERROR(INDEX(المنيو!$C$2:$C$500,MATCH($C4573,المنيو!$B$2:$B$500,0)),0))</f>
        <v/>
      </c>
      <c r="F4573" s="103" t="str">
        <f aca="false">IF($C4573="","",$D4573*$E4573)</f>
        <v/>
      </c>
      <c r="G4573" s="103" t="str">
        <f aca="false">IF($C4573="","",$D4573*IFERROR(INDEX('تحليل التكلفة والسعر'!$C$2:$C$700,MATCH($C4573,'تحليل التكلفة والسعر'!$B$2:$B$700,0)),0))</f>
        <v/>
      </c>
    </row>
    <row r="4574" customFormat="false" ht="15" hidden="false" customHeight="false" outlineLevel="0" collapsed="false">
      <c r="A4574" s="102"/>
      <c r="E4574" s="103" t="str">
        <f aca="false">IF($C4574="","",IFERROR(INDEX(المنيو!$C$2:$C$500,MATCH($C4574,المنيو!$B$2:$B$500,0)),0))</f>
        <v/>
      </c>
      <c r="F4574" s="103" t="str">
        <f aca="false">IF($C4574="","",$D4574*$E4574)</f>
        <v/>
      </c>
      <c r="G4574" s="103" t="str">
        <f aca="false">IF($C4574="","",$D4574*IFERROR(INDEX('تحليل التكلفة والسعر'!$C$2:$C$700,MATCH($C4574,'تحليل التكلفة والسعر'!$B$2:$B$700,0)),0))</f>
        <v/>
      </c>
    </row>
    <row r="4575" customFormat="false" ht="15" hidden="false" customHeight="false" outlineLevel="0" collapsed="false">
      <c r="A4575" s="102"/>
      <c r="E4575" s="103" t="str">
        <f aca="false">IF($C4575="","",IFERROR(INDEX(المنيو!$C$2:$C$500,MATCH($C4575,المنيو!$B$2:$B$500,0)),0))</f>
        <v/>
      </c>
      <c r="F4575" s="103" t="str">
        <f aca="false">IF($C4575="","",$D4575*$E4575)</f>
        <v/>
      </c>
      <c r="G4575" s="103" t="str">
        <f aca="false">IF($C4575="","",$D4575*IFERROR(INDEX('تحليل التكلفة والسعر'!$C$2:$C$700,MATCH($C4575,'تحليل التكلفة والسعر'!$B$2:$B$700,0)),0))</f>
        <v/>
      </c>
    </row>
    <row r="4576" customFormat="false" ht="15" hidden="false" customHeight="false" outlineLevel="0" collapsed="false">
      <c r="A4576" s="102"/>
      <c r="E4576" s="103" t="str">
        <f aca="false">IF($C4576="","",IFERROR(INDEX(المنيو!$C$2:$C$500,MATCH($C4576,المنيو!$B$2:$B$500,0)),0))</f>
        <v/>
      </c>
      <c r="F4576" s="103" t="str">
        <f aca="false">IF($C4576="","",$D4576*$E4576)</f>
        <v/>
      </c>
      <c r="G4576" s="103" t="str">
        <f aca="false">IF($C4576="","",$D4576*IFERROR(INDEX('تحليل التكلفة والسعر'!$C$2:$C$700,MATCH($C4576,'تحليل التكلفة والسعر'!$B$2:$B$700,0)),0))</f>
        <v/>
      </c>
    </row>
    <row r="4577" customFormat="false" ht="15" hidden="false" customHeight="false" outlineLevel="0" collapsed="false">
      <c r="A4577" s="102"/>
      <c r="E4577" s="103" t="str">
        <f aca="false">IF($C4577="","",IFERROR(INDEX(المنيو!$C$2:$C$500,MATCH($C4577,المنيو!$B$2:$B$500,0)),0))</f>
        <v/>
      </c>
      <c r="F4577" s="103" t="str">
        <f aca="false">IF($C4577="","",$D4577*$E4577)</f>
        <v/>
      </c>
      <c r="G4577" s="103" t="str">
        <f aca="false">IF($C4577="","",$D4577*IFERROR(INDEX('تحليل التكلفة والسعر'!$C$2:$C$700,MATCH($C4577,'تحليل التكلفة والسعر'!$B$2:$B$700,0)),0))</f>
        <v/>
      </c>
    </row>
    <row r="4578" customFormat="false" ht="15" hidden="false" customHeight="false" outlineLevel="0" collapsed="false">
      <c r="A4578" s="102"/>
      <c r="E4578" s="103" t="str">
        <f aca="false">IF($C4578="","",IFERROR(INDEX(المنيو!$C$2:$C$500,MATCH($C4578,المنيو!$B$2:$B$500,0)),0))</f>
        <v/>
      </c>
      <c r="F4578" s="103" t="str">
        <f aca="false">IF($C4578="","",$D4578*$E4578)</f>
        <v/>
      </c>
      <c r="G4578" s="103" t="str">
        <f aca="false">IF($C4578="","",$D4578*IFERROR(INDEX('تحليل التكلفة والسعر'!$C$2:$C$700,MATCH($C4578,'تحليل التكلفة والسعر'!$B$2:$B$700,0)),0))</f>
        <v/>
      </c>
    </row>
    <row r="4579" customFormat="false" ht="15" hidden="false" customHeight="false" outlineLevel="0" collapsed="false">
      <c r="A4579" s="102"/>
      <c r="E4579" s="103" t="str">
        <f aca="false">IF($C4579="","",IFERROR(INDEX(المنيو!$C$2:$C$500,MATCH($C4579,المنيو!$B$2:$B$500,0)),0))</f>
        <v/>
      </c>
      <c r="F4579" s="103" t="str">
        <f aca="false">IF($C4579="","",$D4579*$E4579)</f>
        <v/>
      </c>
      <c r="G4579" s="103" t="str">
        <f aca="false">IF($C4579="","",$D4579*IFERROR(INDEX('تحليل التكلفة والسعر'!$C$2:$C$700,MATCH($C4579,'تحليل التكلفة والسعر'!$B$2:$B$700,0)),0))</f>
        <v/>
      </c>
    </row>
    <row r="4580" customFormat="false" ht="15" hidden="false" customHeight="false" outlineLevel="0" collapsed="false">
      <c r="A4580" s="102"/>
      <c r="E4580" s="103" t="str">
        <f aca="false">IF($C4580="","",IFERROR(INDEX(المنيو!$C$2:$C$500,MATCH($C4580,المنيو!$B$2:$B$500,0)),0))</f>
        <v/>
      </c>
      <c r="F4580" s="103" t="str">
        <f aca="false">IF($C4580="","",$D4580*$E4580)</f>
        <v/>
      </c>
      <c r="G4580" s="103" t="str">
        <f aca="false">IF($C4580="","",$D4580*IFERROR(INDEX('تحليل التكلفة والسعر'!$C$2:$C$700,MATCH($C4580,'تحليل التكلفة والسعر'!$B$2:$B$700,0)),0))</f>
        <v/>
      </c>
    </row>
    <row r="4581" customFormat="false" ht="15" hidden="false" customHeight="false" outlineLevel="0" collapsed="false">
      <c r="A4581" s="102"/>
      <c r="E4581" s="103" t="str">
        <f aca="false">IF($C4581="","",IFERROR(INDEX(المنيو!$C$2:$C$500,MATCH($C4581,المنيو!$B$2:$B$500,0)),0))</f>
        <v/>
      </c>
      <c r="F4581" s="103" t="str">
        <f aca="false">IF($C4581="","",$D4581*$E4581)</f>
        <v/>
      </c>
      <c r="G4581" s="103" t="str">
        <f aca="false">IF($C4581="","",$D4581*IFERROR(INDEX('تحليل التكلفة والسعر'!$C$2:$C$700,MATCH($C4581,'تحليل التكلفة والسعر'!$B$2:$B$700,0)),0))</f>
        <v/>
      </c>
    </row>
    <row r="4582" customFormat="false" ht="15" hidden="false" customHeight="false" outlineLevel="0" collapsed="false">
      <c r="A4582" s="102"/>
      <c r="E4582" s="103" t="str">
        <f aca="false">IF($C4582="","",IFERROR(INDEX(المنيو!$C$2:$C$500,MATCH($C4582,المنيو!$B$2:$B$500,0)),0))</f>
        <v/>
      </c>
      <c r="F4582" s="103" t="str">
        <f aca="false">IF($C4582="","",$D4582*$E4582)</f>
        <v/>
      </c>
      <c r="G4582" s="103" t="str">
        <f aca="false">IF($C4582="","",$D4582*IFERROR(INDEX('تحليل التكلفة والسعر'!$C$2:$C$700,MATCH($C4582,'تحليل التكلفة والسعر'!$B$2:$B$700,0)),0))</f>
        <v/>
      </c>
    </row>
    <row r="4583" customFormat="false" ht="15" hidden="false" customHeight="false" outlineLevel="0" collapsed="false">
      <c r="A4583" s="102"/>
      <c r="E4583" s="103" t="str">
        <f aca="false">IF($C4583="","",IFERROR(INDEX(المنيو!$C$2:$C$500,MATCH($C4583,المنيو!$B$2:$B$500,0)),0))</f>
        <v/>
      </c>
      <c r="F4583" s="103" t="str">
        <f aca="false">IF($C4583="","",$D4583*$E4583)</f>
        <v/>
      </c>
      <c r="G4583" s="103" t="str">
        <f aca="false">IF($C4583="","",$D4583*IFERROR(INDEX('تحليل التكلفة والسعر'!$C$2:$C$700,MATCH($C4583,'تحليل التكلفة والسعر'!$B$2:$B$700,0)),0))</f>
        <v/>
      </c>
    </row>
    <row r="4584" customFormat="false" ht="15" hidden="false" customHeight="false" outlineLevel="0" collapsed="false">
      <c r="A4584" s="102"/>
      <c r="E4584" s="103" t="str">
        <f aca="false">IF($C4584="","",IFERROR(INDEX(المنيو!$C$2:$C$500,MATCH($C4584,المنيو!$B$2:$B$500,0)),0))</f>
        <v/>
      </c>
      <c r="F4584" s="103" t="str">
        <f aca="false">IF($C4584="","",$D4584*$E4584)</f>
        <v/>
      </c>
      <c r="G4584" s="103" t="str">
        <f aca="false">IF($C4584="","",$D4584*IFERROR(INDEX('تحليل التكلفة والسعر'!$C$2:$C$700,MATCH($C4584,'تحليل التكلفة والسعر'!$B$2:$B$700,0)),0))</f>
        <v/>
      </c>
    </row>
    <row r="4585" customFormat="false" ht="15" hidden="false" customHeight="false" outlineLevel="0" collapsed="false">
      <c r="A4585" s="102"/>
      <c r="E4585" s="103" t="str">
        <f aca="false">IF($C4585="","",IFERROR(INDEX(المنيو!$C$2:$C$500,MATCH($C4585,المنيو!$B$2:$B$500,0)),0))</f>
        <v/>
      </c>
      <c r="F4585" s="103" t="str">
        <f aca="false">IF($C4585="","",$D4585*$E4585)</f>
        <v/>
      </c>
      <c r="G4585" s="103" t="str">
        <f aca="false">IF($C4585="","",$D4585*IFERROR(INDEX('تحليل التكلفة والسعر'!$C$2:$C$700,MATCH($C4585,'تحليل التكلفة والسعر'!$B$2:$B$700,0)),0))</f>
        <v/>
      </c>
    </row>
    <row r="4586" customFormat="false" ht="15" hidden="false" customHeight="false" outlineLevel="0" collapsed="false">
      <c r="A4586" s="102"/>
      <c r="E4586" s="103" t="str">
        <f aca="false">IF($C4586="","",IFERROR(INDEX(المنيو!$C$2:$C$500,MATCH($C4586,المنيو!$B$2:$B$500,0)),0))</f>
        <v/>
      </c>
      <c r="F4586" s="103" t="str">
        <f aca="false">IF($C4586="","",$D4586*$E4586)</f>
        <v/>
      </c>
      <c r="G4586" s="103" t="str">
        <f aca="false">IF($C4586="","",$D4586*IFERROR(INDEX('تحليل التكلفة والسعر'!$C$2:$C$700,MATCH($C4586,'تحليل التكلفة والسعر'!$B$2:$B$700,0)),0))</f>
        <v/>
      </c>
    </row>
    <row r="4587" customFormat="false" ht="15" hidden="false" customHeight="false" outlineLevel="0" collapsed="false">
      <c r="A4587" s="102"/>
      <c r="E4587" s="103" t="str">
        <f aca="false">IF($C4587="","",IFERROR(INDEX(المنيو!$C$2:$C$500,MATCH($C4587,المنيو!$B$2:$B$500,0)),0))</f>
        <v/>
      </c>
      <c r="F4587" s="103" t="str">
        <f aca="false">IF($C4587="","",$D4587*$E4587)</f>
        <v/>
      </c>
      <c r="G4587" s="103" t="str">
        <f aca="false">IF($C4587="","",$D4587*IFERROR(INDEX('تحليل التكلفة والسعر'!$C$2:$C$700,MATCH($C4587,'تحليل التكلفة والسعر'!$B$2:$B$700,0)),0))</f>
        <v/>
      </c>
    </row>
    <row r="4588" customFormat="false" ht="15" hidden="false" customHeight="false" outlineLevel="0" collapsed="false">
      <c r="A4588" s="102"/>
      <c r="E4588" s="103" t="str">
        <f aca="false">IF($C4588="","",IFERROR(INDEX(المنيو!$C$2:$C$500,MATCH($C4588,المنيو!$B$2:$B$500,0)),0))</f>
        <v/>
      </c>
      <c r="F4588" s="103" t="str">
        <f aca="false">IF($C4588="","",$D4588*$E4588)</f>
        <v/>
      </c>
      <c r="G4588" s="103" t="str">
        <f aca="false">IF($C4588="","",$D4588*IFERROR(INDEX('تحليل التكلفة والسعر'!$C$2:$C$700,MATCH($C4588,'تحليل التكلفة والسعر'!$B$2:$B$700,0)),0))</f>
        <v/>
      </c>
    </row>
    <row r="4589" customFormat="false" ht="15" hidden="false" customHeight="false" outlineLevel="0" collapsed="false">
      <c r="A4589" s="102"/>
      <c r="E4589" s="103" t="str">
        <f aca="false">IF($C4589="","",IFERROR(INDEX(المنيو!$C$2:$C$500,MATCH($C4589,المنيو!$B$2:$B$500,0)),0))</f>
        <v/>
      </c>
      <c r="F4589" s="103" t="str">
        <f aca="false">IF($C4589="","",$D4589*$E4589)</f>
        <v/>
      </c>
      <c r="G4589" s="103" t="str">
        <f aca="false">IF($C4589="","",$D4589*IFERROR(INDEX('تحليل التكلفة والسعر'!$C$2:$C$700,MATCH($C4589,'تحليل التكلفة والسعر'!$B$2:$B$700,0)),0))</f>
        <v/>
      </c>
    </row>
    <row r="4590" customFormat="false" ht="15" hidden="false" customHeight="false" outlineLevel="0" collapsed="false">
      <c r="A4590" s="102"/>
      <c r="E4590" s="103" t="str">
        <f aca="false">IF($C4590="","",IFERROR(INDEX(المنيو!$C$2:$C$500,MATCH($C4590,المنيو!$B$2:$B$500,0)),0))</f>
        <v/>
      </c>
      <c r="F4590" s="103" t="str">
        <f aca="false">IF($C4590="","",$D4590*$E4590)</f>
        <v/>
      </c>
      <c r="G4590" s="103" t="str">
        <f aca="false">IF($C4590="","",$D4590*IFERROR(INDEX('تحليل التكلفة والسعر'!$C$2:$C$700,MATCH($C4590,'تحليل التكلفة والسعر'!$B$2:$B$700,0)),0))</f>
        <v/>
      </c>
    </row>
    <row r="4591" customFormat="false" ht="15" hidden="false" customHeight="false" outlineLevel="0" collapsed="false">
      <c r="A4591" s="102"/>
      <c r="E4591" s="103" t="str">
        <f aca="false">IF($C4591="","",IFERROR(INDEX(المنيو!$C$2:$C$500,MATCH($C4591,المنيو!$B$2:$B$500,0)),0))</f>
        <v/>
      </c>
      <c r="F4591" s="103" t="str">
        <f aca="false">IF($C4591="","",$D4591*$E4591)</f>
        <v/>
      </c>
      <c r="G4591" s="103" t="str">
        <f aca="false">IF($C4591="","",$D4591*IFERROR(INDEX('تحليل التكلفة والسعر'!$C$2:$C$700,MATCH($C4591,'تحليل التكلفة والسعر'!$B$2:$B$700,0)),0))</f>
        <v/>
      </c>
    </row>
    <row r="4592" customFormat="false" ht="15" hidden="false" customHeight="false" outlineLevel="0" collapsed="false">
      <c r="A4592" s="102"/>
      <c r="E4592" s="103" t="str">
        <f aca="false">IF($C4592="","",IFERROR(INDEX(المنيو!$C$2:$C$500,MATCH($C4592,المنيو!$B$2:$B$500,0)),0))</f>
        <v/>
      </c>
      <c r="F4592" s="103" t="str">
        <f aca="false">IF($C4592="","",$D4592*$E4592)</f>
        <v/>
      </c>
      <c r="G4592" s="103" t="str">
        <f aca="false">IF($C4592="","",$D4592*IFERROR(INDEX('تحليل التكلفة والسعر'!$C$2:$C$700,MATCH($C4592,'تحليل التكلفة والسعر'!$B$2:$B$700,0)),0))</f>
        <v/>
      </c>
    </row>
    <row r="4593" customFormat="false" ht="15" hidden="false" customHeight="false" outlineLevel="0" collapsed="false">
      <c r="A4593" s="102"/>
      <c r="E4593" s="103" t="str">
        <f aca="false">IF($C4593="","",IFERROR(INDEX(المنيو!$C$2:$C$500,MATCH($C4593,المنيو!$B$2:$B$500,0)),0))</f>
        <v/>
      </c>
      <c r="F4593" s="103" t="str">
        <f aca="false">IF($C4593="","",$D4593*$E4593)</f>
        <v/>
      </c>
      <c r="G4593" s="103" t="str">
        <f aca="false">IF($C4593="","",$D4593*IFERROR(INDEX('تحليل التكلفة والسعر'!$C$2:$C$700,MATCH($C4593,'تحليل التكلفة والسعر'!$B$2:$B$700,0)),0))</f>
        <v/>
      </c>
    </row>
    <row r="4594" customFormat="false" ht="15" hidden="false" customHeight="false" outlineLevel="0" collapsed="false">
      <c r="A4594" s="102"/>
      <c r="E4594" s="103" t="str">
        <f aca="false">IF($C4594="","",IFERROR(INDEX(المنيو!$C$2:$C$500,MATCH($C4594,المنيو!$B$2:$B$500,0)),0))</f>
        <v/>
      </c>
      <c r="F4594" s="103" t="str">
        <f aca="false">IF($C4594="","",$D4594*$E4594)</f>
        <v/>
      </c>
      <c r="G4594" s="103" t="str">
        <f aca="false">IF($C4594="","",$D4594*IFERROR(INDEX('تحليل التكلفة والسعر'!$C$2:$C$700,MATCH($C4594,'تحليل التكلفة والسعر'!$B$2:$B$700,0)),0))</f>
        <v/>
      </c>
    </row>
    <row r="4595" customFormat="false" ht="15" hidden="false" customHeight="false" outlineLevel="0" collapsed="false">
      <c r="A4595" s="102"/>
      <c r="E4595" s="103" t="str">
        <f aca="false">IF($C4595="","",IFERROR(INDEX(المنيو!$C$2:$C$500,MATCH($C4595,المنيو!$B$2:$B$500,0)),0))</f>
        <v/>
      </c>
      <c r="F4595" s="103" t="str">
        <f aca="false">IF($C4595="","",$D4595*$E4595)</f>
        <v/>
      </c>
      <c r="G4595" s="103" t="str">
        <f aca="false">IF($C4595="","",$D4595*IFERROR(INDEX('تحليل التكلفة والسعر'!$C$2:$C$700,MATCH($C4595,'تحليل التكلفة والسعر'!$B$2:$B$700,0)),0))</f>
        <v/>
      </c>
    </row>
    <row r="4596" customFormat="false" ht="15" hidden="false" customHeight="false" outlineLevel="0" collapsed="false">
      <c r="A4596" s="102"/>
      <c r="E4596" s="103" t="str">
        <f aca="false">IF($C4596="","",IFERROR(INDEX(المنيو!$C$2:$C$500,MATCH($C4596,المنيو!$B$2:$B$500,0)),0))</f>
        <v/>
      </c>
      <c r="F4596" s="103" t="str">
        <f aca="false">IF($C4596="","",$D4596*$E4596)</f>
        <v/>
      </c>
      <c r="G4596" s="103" t="str">
        <f aca="false">IF($C4596="","",$D4596*IFERROR(INDEX('تحليل التكلفة والسعر'!$C$2:$C$700,MATCH($C4596,'تحليل التكلفة والسعر'!$B$2:$B$700,0)),0))</f>
        <v/>
      </c>
    </row>
    <row r="4597" customFormat="false" ht="15" hidden="false" customHeight="false" outlineLevel="0" collapsed="false">
      <c r="A4597" s="102"/>
      <c r="E4597" s="103" t="str">
        <f aca="false">IF($C4597="","",IFERROR(INDEX(المنيو!$C$2:$C$500,MATCH($C4597,المنيو!$B$2:$B$500,0)),0))</f>
        <v/>
      </c>
      <c r="F4597" s="103" t="str">
        <f aca="false">IF($C4597="","",$D4597*$E4597)</f>
        <v/>
      </c>
      <c r="G4597" s="103" t="str">
        <f aca="false">IF($C4597="","",$D4597*IFERROR(INDEX('تحليل التكلفة والسعر'!$C$2:$C$700,MATCH($C4597,'تحليل التكلفة والسعر'!$B$2:$B$700,0)),0))</f>
        <v/>
      </c>
    </row>
    <row r="4598" customFormat="false" ht="15" hidden="false" customHeight="false" outlineLevel="0" collapsed="false">
      <c r="A4598" s="102"/>
      <c r="E4598" s="103" t="str">
        <f aca="false">IF($C4598="","",IFERROR(INDEX(المنيو!$C$2:$C$500,MATCH($C4598,المنيو!$B$2:$B$500,0)),0))</f>
        <v/>
      </c>
      <c r="F4598" s="103" t="str">
        <f aca="false">IF($C4598="","",$D4598*$E4598)</f>
        <v/>
      </c>
      <c r="G4598" s="103" t="str">
        <f aca="false">IF($C4598="","",$D4598*IFERROR(INDEX('تحليل التكلفة والسعر'!$C$2:$C$700,MATCH($C4598,'تحليل التكلفة والسعر'!$B$2:$B$700,0)),0))</f>
        <v/>
      </c>
    </row>
    <row r="4599" customFormat="false" ht="15" hidden="false" customHeight="false" outlineLevel="0" collapsed="false">
      <c r="A4599" s="102"/>
      <c r="E4599" s="103" t="str">
        <f aca="false">IF($C4599="","",IFERROR(INDEX(المنيو!$C$2:$C$500,MATCH($C4599,المنيو!$B$2:$B$500,0)),0))</f>
        <v/>
      </c>
      <c r="F4599" s="103" t="str">
        <f aca="false">IF($C4599="","",$D4599*$E4599)</f>
        <v/>
      </c>
      <c r="G4599" s="103" t="str">
        <f aca="false">IF($C4599="","",$D4599*IFERROR(INDEX('تحليل التكلفة والسعر'!$C$2:$C$700,MATCH($C4599,'تحليل التكلفة والسعر'!$B$2:$B$700,0)),0))</f>
        <v/>
      </c>
    </row>
    <row r="4600" customFormat="false" ht="15" hidden="false" customHeight="false" outlineLevel="0" collapsed="false">
      <c r="A4600" s="102"/>
      <c r="E4600" s="103" t="str">
        <f aca="false">IF($C4600="","",IFERROR(INDEX(المنيو!$C$2:$C$500,MATCH($C4600,المنيو!$B$2:$B$500,0)),0))</f>
        <v/>
      </c>
      <c r="F4600" s="103" t="str">
        <f aca="false">IF($C4600="","",$D4600*$E4600)</f>
        <v/>
      </c>
      <c r="G4600" s="103" t="str">
        <f aca="false">IF($C4600="","",$D4600*IFERROR(INDEX('تحليل التكلفة والسعر'!$C$2:$C$700,MATCH($C4600,'تحليل التكلفة والسعر'!$B$2:$B$700,0)),0))</f>
        <v/>
      </c>
    </row>
    <row r="4601" customFormat="false" ht="15" hidden="false" customHeight="false" outlineLevel="0" collapsed="false">
      <c r="A4601" s="102"/>
      <c r="E4601" s="103" t="str">
        <f aca="false">IF($C4601="","",IFERROR(INDEX(المنيو!$C$2:$C$500,MATCH($C4601,المنيو!$B$2:$B$500,0)),0))</f>
        <v/>
      </c>
      <c r="F4601" s="103" t="str">
        <f aca="false">IF($C4601="","",$D4601*$E4601)</f>
        <v/>
      </c>
      <c r="G4601" s="103" t="str">
        <f aca="false">IF($C4601="","",$D4601*IFERROR(INDEX('تحليل التكلفة والسعر'!$C$2:$C$700,MATCH($C4601,'تحليل التكلفة والسعر'!$B$2:$B$700,0)),0))</f>
        <v/>
      </c>
    </row>
    <row r="4602" customFormat="false" ht="15" hidden="false" customHeight="false" outlineLevel="0" collapsed="false">
      <c r="A4602" s="102"/>
      <c r="E4602" s="103" t="str">
        <f aca="false">IF($C4602="","",IFERROR(INDEX(المنيو!$C$2:$C$500,MATCH($C4602,المنيو!$B$2:$B$500,0)),0))</f>
        <v/>
      </c>
      <c r="F4602" s="103" t="str">
        <f aca="false">IF($C4602="","",$D4602*$E4602)</f>
        <v/>
      </c>
      <c r="G4602" s="103" t="str">
        <f aca="false">IF($C4602="","",$D4602*IFERROR(INDEX('تحليل التكلفة والسعر'!$C$2:$C$700,MATCH($C4602,'تحليل التكلفة والسعر'!$B$2:$B$700,0)),0))</f>
        <v/>
      </c>
    </row>
    <row r="4603" customFormat="false" ht="15" hidden="false" customHeight="false" outlineLevel="0" collapsed="false">
      <c r="A4603" s="102"/>
      <c r="E4603" s="103" t="str">
        <f aca="false">IF($C4603="","",IFERROR(INDEX(المنيو!$C$2:$C$500,MATCH($C4603,المنيو!$B$2:$B$500,0)),0))</f>
        <v/>
      </c>
      <c r="F4603" s="103" t="str">
        <f aca="false">IF($C4603="","",$D4603*$E4603)</f>
        <v/>
      </c>
      <c r="G4603" s="103" t="str">
        <f aca="false">IF($C4603="","",$D4603*IFERROR(INDEX('تحليل التكلفة والسعر'!$C$2:$C$700,MATCH($C4603,'تحليل التكلفة والسعر'!$B$2:$B$700,0)),0))</f>
        <v/>
      </c>
    </row>
    <row r="4604" customFormat="false" ht="15" hidden="false" customHeight="false" outlineLevel="0" collapsed="false">
      <c r="A4604" s="102"/>
      <c r="E4604" s="103" t="str">
        <f aca="false">IF($C4604="","",IFERROR(INDEX(المنيو!$C$2:$C$500,MATCH($C4604,المنيو!$B$2:$B$500,0)),0))</f>
        <v/>
      </c>
      <c r="F4604" s="103" t="str">
        <f aca="false">IF($C4604="","",$D4604*$E4604)</f>
        <v/>
      </c>
      <c r="G4604" s="103" t="str">
        <f aca="false">IF($C4604="","",$D4604*IFERROR(INDEX('تحليل التكلفة والسعر'!$C$2:$C$700,MATCH($C4604,'تحليل التكلفة والسعر'!$B$2:$B$700,0)),0))</f>
        <v/>
      </c>
    </row>
    <row r="4605" customFormat="false" ht="15" hidden="false" customHeight="false" outlineLevel="0" collapsed="false">
      <c r="A4605" s="102"/>
      <c r="E4605" s="103" t="str">
        <f aca="false">IF($C4605="","",IFERROR(INDEX(المنيو!$C$2:$C$500,MATCH($C4605,المنيو!$B$2:$B$500,0)),0))</f>
        <v/>
      </c>
      <c r="F4605" s="103" t="str">
        <f aca="false">IF($C4605="","",$D4605*$E4605)</f>
        <v/>
      </c>
      <c r="G4605" s="103" t="str">
        <f aca="false">IF($C4605="","",$D4605*IFERROR(INDEX('تحليل التكلفة والسعر'!$C$2:$C$700,MATCH($C4605,'تحليل التكلفة والسعر'!$B$2:$B$700,0)),0))</f>
        <v/>
      </c>
    </row>
    <row r="4606" customFormat="false" ht="15" hidden="false" customHeight="false" outlineLevel="0" collapsed="false">
      <c r="A4606" s="102"/>
      <c r="E4606" s="103" t="str">
        <f aca="false">IF($C4606="","",IFERROR(INDEX(المنيو!$C$2:$C$500,MATCH($C4606,المنيو!$B$2:$B$500,0)),0))</f>
        <v/>
      </c>
      <c r="F4606" s="103" t="str">
        <f aca="false">IF($C4606="","",$D4606*$E4606)</f>
        <v/>
      </c>
      <c r="G4606" s="103" t="str">
        <f aca="false">IF($C4606="","",$D4606*IFERROR(INDEX('تحليل التكلفة والسعر'!$C$2:$C$700,MATCH($C4606,'تحليل التكلفة والسعر'!$B$2:$B$700,0)),0))</f>
        <v/>
      </c>
    </row>
    <row r="4607" customFormat="false" ht="15" hidden="false" customHeight="false" outlineLevel="0" collapsed="false">
      <c r="A4607" s="102"/>
      <c r="E4607" s="103" t="str">
        <f aca="false">IF($C4607="","",IFERROR(INDEX(المنيو!$C$2:$C$500,MATCH($C4607,المنيو!$B$2:$B$500,0)),0))</f>
        <v/>
      </c>
      <c r="F4607" s="103" t="str">
        <f aca="false">IF($C4607="","",$D4607*$E4607)</f>
        <v/>
      </c>
      <c r="G4607" s="103" t="str">
        <f aca="false">IF($C4607="","",$D4607*IFERROR(INDEX('تحليل التكلفة والسعر'!$C$2:$C$700,MATCH($C4607,'تحليل التكلفة والسعر'!$B$2:$B$700,0)),0))</f>
        <v/>
      </c>
    </row>
    <row r="4608" customFormat="false" ht="15" hidden="false" customHeight="false" outlineLevel="0" collapsed="false">
      <c r="A4608" s="102"/>
      <c r="E4608" s="103" t="str">
        <f aca="false">IF($C4608="","",IFERROR(INDEX(المنيو!$C$2:$C$500,MATCH($C4608,المنيو!$B$2:$B$500,0)),0))</f>
        <v/>
      </c>
      <c r="F4608" s="103" t="str">
        <f aca="false">IF($C4608="","",$D4608*$E4608)</f>
        <v/>
      </c>
      <c r="G4608" s="103" t="str">
        <f aca="false">IF($C4608="","",$D4608*IFERROR(INDEX('تحليل التكلفة والسعر'!$C$2:$C$700,MATCH($C4608,'تحليل التكلفة والسعر'!$B$2:$B$700,0)),0))</f>
        <v/>
      </c>
    </row>
    <row r="4609" customFormat="false" ht="15" hidden="false" customHeight="false" outlineLevel="0" collapsed="false">
      <c r="A4609" s="102"/>
      <c r="E4609" s="103" t="str">
        <f aca="false">IF($C4609="","",IFERROR(INDEX(المنيو!$C$2:$C$500,MATCH($C4609,المنيو!$B$2:$B$500,0)),0))</f>
        <v/>
      </c>
      <c r="F4609" s="103" t="str">
        <f aca="false">IF($C4609="","",$D4609*$E4609)</f>
        <v/>
      </c>
      <c r="G4609" s="103" t="str">
        <f aca="false">IF($C4609="","",$D4609*IFERROR(INDEX('تحليل التكلفة والسعر'!$C$2:$C$700,MATCH($C4609,'تحليل التكلفة والسعر'!$B$2:$B$700,0)),0))</f>
        <v/>
      </c>
    </row>
    <row r="4610" customFormat="false" ht="15" hidden="false" customHeight="false" outlineLevel="0" collapsed="false">
      <c r="A4610" s="102"/>
      <c r="E4610" s="103" t="str">
        <f aca="false">IF($C4610="","",IFERROR(INDEX(المنيو!$C$2:$C$500,MATCH($C4610,المنيو!$B$2:$B$500,0)),0))</f>
        <v/>
      </c>
      <c r="F4610" s="103" t="str">
        <f aca="false">IF($C4610="","",$D4610*$E4610)</f>
        <v/>
      </c>
      <c r="G4610" s="103" t="str">
        <f aca="false">IF($C4610="","",$D4610*IFERROR(INDEX('تحليل التكلفة والسعر'!$C$2:$C$700,MATCH($C4610,'تحليل التكلفة والسعر'!$B$2:$B$700,0)),0))</f>
        <v/>
      </c>
    </row>
    <row r="4611" customFormat="false" ht="15" hidden="false" customHeight="false" outlineLevel="0" collapsed="false">
      <c r="A4611" s="102"/>
      <c r="E4611" s="103" t="str">
        <f aca="false">IF($C4611="","",IFERROR(INDEX(المنيو!$C$2:$C$500,MATCH($C4611,المنيو!$B$2:$B$500,0)),0))</f>
        <v/>
      </c>
      <c r="F4611" s="103" t="str">
        <f aca="false">IF($C4611="","",$D4611*$E4611)</f>
        <v/>
      </c>
      <c r="G4611" s="103" t="str">
        <f aca="false">IF($C4611="","",$D4611*IFERROR(INDEX('تحليل التكلفة والسعر'!$C$2:$C$700,MATCH($C4611,'تحليل التكلفة والسعر'!$B$2:$B$700,0)),0))</f>
        <v/>
      </c>
    </row>
    <row r="4612" customFormat="false" ht="15" hidden="false" customHeight="false" outlineLevel="0" collapsed="false">
      <c r="A4612" s="102"/>
      <c r="E4612" s="103" t="str">
        <f aca="false">IF($C4612="","",IFERROR(INDEX(المنيو!$C$2:$C$500,MATCH($C4612,المنيو!$B$2:$B$500,0)),0))</f>
        <v/>
      </c>
      <c r="F4612" s="103" t="str">
        <f aca="false">IF($C4612="","",$D4612*$E4612)</f>
        <v/>
      </c>
      <c r="G4612" s="103" t="str">
        <f aca="false">IF($C4612="","",$D4612*IFERROR(INDEX('تحليل التكلفة والسعر'!$C$2:$C$700,MATCH($C4612,'تحليل التكلفة والسعر'!$B$2:$B$700,0)),0))</f>
        <v/>
      </c>
    </row>
    <row r="4613" customFormat="false" ht="15" hidden="false" customHeight="false" outlineLevel="0" collapsed="false">
      <c r="A4613" s="102"/>
      <c r="E4613" s="103" t="str">
        <f aca="false">IF($C4613="","",IFERROR(INDEX(المنيو!$C$2:$C$500,MATCH($C4613,المنيو!$B$2:$B$500,0)),0))</f>
        <v/>
      </c>
      <c r="F4613" s="103" t="str">
        <f aca="false">IF($C4613="","",$D4613*$E4613)</f>
        <v/>
      </c>
      <c r="G4613" s="103" t="str">
        <f aca="false">IF($C4613="","",$D4613*IFERROR(INDEX('تحليل التكلفة والسعر'!$C$2:$C$700,MATCH($C4613,'تحليل التكلفة والسعر'!$B$2:$B$700,0)),0))</f>
        <v/>
      </c>
    </row>
    <row r="4614" customFormat="false" ht="15" hidden="false" customHeight="false" outlineLevel="0" collapsed="false">
      <c r="A4614" s="102"/>
      <c r="E4614" s="103" t="str">
        <f aca="false">IF($C4614="","",IFERROR(INDEX(المنيو!$C$2:$C$500,MATCH($C4614,المنيو!$B$2:$B$500,0)),0))</f>
        <v/>
      </c>
      <c r="F4614" s="103" t="str">
        <f aca="false">IF($C4614="","",$D4614*$E4614)</f>
        <v/>
      </c>
      <c r="G4614" s="103" t="str">
        <f aca="false">IF($C4614="","",$D4614*IFERROR(INDEX('تحليل التكلفة والسعر'!$C$2:$C$700,MATCH($C4614,'تحليل التكلفة والسعر'!$B$2:$B$700,0)),0))</f>
        <v/>
      </c>
    </row>
    <row r="4615" customFormat="false" ht="15" hidden="false" customHeight="false" outlineLevel="0" collapsed="false">
      <c r="A4615" s="102"/>
      <c r="E4615" s="103" t="str">
        <f aca="false">IF($C4615="","",IFERROR(INDEX(المنيو!$C$2:$C$500,MATCH($C4615,المنيو!$B$2:$B$500,0)),0))</f>
        <v/>
      </c>
      <c r="F4615" s="103" t="str">
        <f aca="false">IF($C4615="","",$D4615*$E4615)</f>
        <v/>
      </c>
      <c r="G4615" s="103" t="str">
        <f aca="false">IF($C4615="","",$D4615*IFERROR(INDEX('تحليل التكلفة والسعر'!$C$2:$C$700,MATCH($C4615,'تحليل التكلفة والسعر'!$B$2:$B$700,0)),0))</f>
        <v/>
      </c>
    </row>
    <row r="4616" customFormat="false" ht="15" hidden="false" customHeight="false" outlineLevel="0" collapsed="false">
      <c r="A4616" s="102"/>
      <c r="E4616" s="103" t="str">
        <f aca="false">IF($C4616="","",IFERROR(INDEX(المنيو!$C$2:$C$500,MATCH($C4616,المنيو!$B$2:$B$500,0)),0))</f>
        <v/>
      </c>
      <c r="F4616" s="103" t="str">
        <f aca="false">IF($C4616="","",$D4616*$E4616)</f>
        <v/>
      </c>
      <c r="G4616" s="103" t="str">
        <f aca="false">IF($C4616="","",$D4616*IFERROR(INDEX('تحليل التكلفة والسعر'!$C$2:$C$700,MATCH($C4616,'تحليل التكلفة والسعر'!$B$2:$B$700,0)),0))</f>
        <v/>
      </c>
    </row>
    <row r="4617" customFormat="false" ht="15" hidden="false" customHeight="false" outlineLevel="0" collapsed="false">
      <c r="A4617" s="102"/>
      <c r="E4617" s="103" t="str">
        <f aca="false">IF($C4617="","",IFERROR(INDEX(المنيو!$C$2:$C$500,MATCH($C4617,المنيو!$B$2:$B$500,0)),0))</f>
        <v/>
      </c>
      <c r="F4617" s="103" t="str">
        <f aca="false">IF($C4617="","",$D4617*$E4617)</f>
        <v/>
      </c>
      <c r="G4617" s="103" t="str">
        <f aca="false">IF($C4617="","",$D4617*IFERROR(INDEX('تحليل التكلفة والسعر'!$C$2:$C$700,MATCH($C4617,'تحليل التكلفة والسعر'!$B$2:$B$700,0)),0))</f>
        <v/>
      </c>
    </row>
    <row r="4618" customFormat="false" ht="15" hidden="false" customHeight="false" outlineLevel="0" collapsed="false">
      <c r="A4618" s="102"/>
      <c r="E4618" s="103" t="str">
        <f aca="false">IF($C4618="","",IFERROR(INDEX(المنيو!$C$2:$C$500,MATCH($C4618,المنيو!$B$2:$B$500,0)),0))</f>
        <v/>
      </c>
      <c r="F4618" s="103" t="str">
        <f aca="false">IF($C4618="","",$D4618*$E4618)</f>
        <v/>
      </c>
      <c r="G4618" s="103" t="str">
        <f aca="false">IF($C4618="","",$D4618*IFERROR(INDEX('تحليل التكلفة والسعر'!$C$2:$C$700,MATCH($C4618,'تحليل التكلفة والسعر'!$B$2:$B$700,0)),0))</f>
        <v/>
      </c>
    </row>
    <row r="4619" customFormat="false" ht="15" hidden="false" customHeight="false" outlineLevel="0" collapsed="false">
      <c r="A4619" s="102"/>
      <c r="E4619" s="103" t="str">
        <f aca="false">IF($C4619="","",IFERROR(INDEX(المنيو!$C$2:$C$500,MATCH($C4619,المنيو!$B$2:$B$500,0)),0))</f>
        <v/>
      </c>
      <c r="F4619" s="103" t="str">
        <f aca="false">IF($C4619="","",$D4619*$E4619)</f>
        <v/>
      </c>
      <c r="G4619" s="103" t="str">
        <f aca="false">IF($C4619="","",$D4619*IFERROR(INDEX('تحليل التكلفة والسعر'!$C$2:$C$700,MATCH($C4619,'تحليل التكلفة والسعر'!$B$2:$B$700,0)),0))</f>
        <v/>
      </c>
    </row>
    <row r="4620" customFormat="false" ht="15" hidden="false" customHeight="false" outlineLevel="0" collapsed="false">
      <c r="A4620" s="102"/>
      <c r="E4620" s="103" t="str">
        <f aca="false">IF($C4620="","",IFERROR(INDEX(المنيو!$C$2:$C$500,MATCH($C4620,المنيو!$B$2:$B$500,0)),0))</f>
        <v/>
      </c>
      <c r="F4620" s="103" t="str">
        <f aca="false">IF($C4620="","",$D4620*$E4620)</f>
        <v/>
      </c>
      <c r="G4620" s="103" t="str">
        <f aca="false">IF($C4620="","",$D4620*IFERROR(INDEX('تحليل التكلفة والسعر'!$C$2:$C$700,MATCH($C4620,'تحليل التكلفة والسعر'!$B$2:$B$700,0)),0))</f>
        <v/>
      </c>
    </row>
    <row r="4621" customFormat="false" ht="15" hidden="false" customHeight="false" outlineLevel="0" collapsed="false">
      <c r="A4621" s="102"/>
      <c r="E4621" s="103" t="str">
        <f aca="false">IF($C4621="","",IFERROR(INDEX(المنيو!$C$2:$C$500,MATCH($C4621,المنيو!$B$2:$B$500,0)),0))</f>
        <v/>
      </c>
      <c r="F4621" s="103" t="str">
        <f aca="false">IF($C4621="","",$D4621*$E4621)</f>
        <v/>
      </c>
      <c r="G4621" s="103" t="str">
        <f aca="false">IF($C4621="","",$D4621*IFERROR(INDEX('تحليل التكلفة والسعر'!$C$2:$C$700,MATCH($C4621,'تحليل التكلفة والسعر'!$B$2:$B$700,0)),0))</f>
        <v/>
      </c>
    </row>
    <row r="4622" customFormat="false" ht="15" hidden="false" customHeight="false" outlineLevel="0" collapsed="false">
      <c r="A4622" s="102"/>
      <c r="E4622" s="103" t="str">
        <f aca="false">IF($C4622="","",IFERROR(INDEX(المنيو!$C$2:$C$500,MATCH($C4622,المنيو!$B$2:$B$500,0)),0))</f>
        <v/>
      </c>
      <c r="F4622" s="103" t="str">
        <f aca="false">IF($C4622="","",$D4622*$E4622)</f>
        <v/>
      </c>
      <c r="G4622" s="103" t="str">
        <f aca="false">IF($C4622="","",$D4622*IFERROR(INDEX('تحليل التكلفة والسعر'!$C$2:$C$700,MATCH($C4622,'تحليل التكلفة والسعر'!$B$2:$B$700,0)),0))</f>
        <v/>
      </c>
    </row>
    <row r="4623" customFormat="false" ht="15" hidden="false" customHeight="false" outlineLevel="0" collapsed="false">
      <c r="A4623" s="102"/>
      <c r="E4623" s="103" t="str">
        <f aca="false">IF($C4623="","",IFERROR(INDEX(المنيو!$C$2:$C$500,MATCH($C4623,المنيو!$B$2:$B$500,0)),0))</f>
        <v/>
      </c>
      <c r="F4623" s="103" t="str">
        <f aca="false">IF($C4623="","",$D4623*$E4623)</f>
        <v/>
      </c>
      <c r="G4623" s="103" t="str">
        <f aca="false">IF($C4623="","",$D4623*IFERROR(INDEX('تحليل التكلفة والسعر'!$C$2:$C$700,MATCH($C4623,'تحليل التكلفة والسعر'!$B$2:$B$700,0)),0))</f>
        <v/>
      </c>
    </row>
    <row r="4624" customFormat="false" ht="15" hidden="false" customHeight="false" outlineLevel="0" collapsed="false">
      <c r="A4624" s="102"/>
      <c r="E4624" s="103" t="str">
        <f aca="false">IF($C4624="","",IFERROR(INDEX(المنيو!$C$2:$C$500,MATCH($C4624,المنيو!$B$2:$B$500,0)),0))</f>
        <v/>
      </c>
      <c r="F4624" s="103" t="str">
        <f aca="false">IF($C4624="","",$D4624*$E4624)</f>
        <v/>
      </c>
      <c r="G4624" s="103" t="str">
        <f aca="false">IF($C4624="","",$D4624*IFERROR(INDEX('تحليل التكلفة والسعر'!$C$2:$C$700,MATCH($C4624,'تحليل التكلفة والسعر'!$B$2:$B$700,0)),0))</f>
        <v/>
      </c>
    </row>
    <row r="4625" customFormat="false" ht="15" hidden="false" customHeight="false" outlineLevel="0" collapsed="false">
      <c r="A4625" s="102"/>
      <c r="E4625" s="103" t="str">
        <f aca="false">IF($C4625="","",IFERROR(INDEX(المنيو!$C$2:$C$500,MATCH($C4625,المنيو!$B$2:$B$500,0)),0))</f>
        <v/>
      </c>
      <c r="F4625" s="103" t="str">
        <f aca="false">IF($C4625="","",$D4625*$E4625)</f>
        <v/>
      </c>
      <c r="G4625" s="103" t="str">
        <f aca="false">IF($C4625="","",$D4625*IFERROR(INDEX('تحليل التكلفة والسعر'!$C$2:$C$700,MATCH($C4625,'تحليل التكلفة والسعر'!$B$2:$B$700,0)),0))</f>
        <v/>
      </c>
    </row>
    <row r="4626" customFormat="false" ht="15" hidden="false" customHeight="false" outlineLevel="0" collapsed="false">
      <c r="A4626" s="102"/>
      <c r="E4626" s="103" t="str">
        <f aca="false">IF($C4626="","",IFERROR(INDEX(المنيو!$C$2:$C$500,MATCH($C4626,المنيو!$B$2:$B$500,0)),0))</f>
        <v/>
      </c>
      <c r="F4626" s="103" t="str">
        <f aca="false">IF($C4626="","",$D4626*$E4626)</f>
        <v/>
      </c>
      <c r="G4626" s="103" t="str">
        <f aca="false">IF($C4626="","",$D4626*IFERROR(INDEX('تحليل التكلفة والسعر'!$C$2:$C$700,MATCH($C4626,'تحليل التكلفة والسعر'!$B$2:$B$700,0)),0))</f>
        <v/>
      </c>
    </row>
    <row r="4627" customFormat="false" ht="15" hidden="false" customHeight="false" outlineLevel="0" collapsed="false">
      <c r="A4627" s="102"/>
      <c r="E4627" s="103" t="str">
        <f aca="false">IF($C4627="","",IFERROR(INDEX(المنيو!$C$2:$C$500,MATCH($C4627,المنيو!$B$2:$B$500,0)),0))</f>
        <v/>
      </c>
      <c r="F4627" s="103" t="str">
        <f aca="false">IF($C4627="","",$D4627*$E4627)</f>
        <v/>
      </c>
      <c r="G4627" s="103" t="str">
        <f aca="false">IF($C4627="","",$D4627*IFERROR(INDEX('تحليل التكلفة والسعر'!$C$2:$C$700,MATCH($C4627,'تحليل التكلفة والسعر'!$B$2:$B$700,0)),0))</f>
        <v/>
      </c>
    </row>
    <row r="4628" customFormat="false" ht="15" hidden="false" customHeight="false" outlineLevel="0" collapsed="false">
      <c r="A4628" s="102"/>
      <c r="E4628" s="103" t="str">
        <f aca="false">IF($C4628="","",IFERROR(INDEX(المنيو!$C$2:$C$500,MATCH($C4628,المنيو!$B$2:$B$500,0)),0))</f>
        <v/>
      </c>
      <c r="F4628" s="103" t="str">
        <f aca="false">IF($C4628="","",$D4628*$E4628)</f>
        <v/>
      </c>
      <c r="G4628" s="103" t="str">
        <f aca="false">IF($C4628="","",$D4628*IFERROR(INDEX('تحليل التكلفة والسعر'!$C$2:$C$700,MATCH($C4628,'تحليل التكلفة والسعر'!$B$2:$B$700,0)),0))</f>
        <v/>
      </c>
    </row>
    <row r="4629" customFormat="false" ht="15" hidden="false" customHeight="false" outlineLevel="0" collapsed="false">
      <c r="A4629" s="102"/>
      <c r="E4629" s="103" t="str">
        <f aca="false">IF($C4629="","",IFERROR(INDEX(المنيو!$C$2:$C$500,MATCH($C4629,المنيو!$B$2:$B$500,0)),0))</f>
        <v/>
      </c>
      <c r="F4629" s="103" t="str">
        <f aca="false">IF($C4629="","",$D4629*$E4629)</f>
        <v/>
      </c>
      <c r="G4629" s="103" t="str">
        <f aca="false">IF($C4629="","",$D4629*IFERROR(INDEX('تحليل التكلفة والسعر'!$C$2:$C$700,MATCH($C4629,'تحليل التكلفة والسعر'!$B$2:$B$700,0)),0))</f>
        <v/>
      </c>
    </row>
    <row r="4630" customFormat="false" ht="15" hidden="false" customHeight="false" outlineLevel="0" collapsed="false">
      <c r="A4630" s="102"/>
      <c r="E4630" s="103" t="str">
        <f aca="false">IF($C4630="","",IFERROR(INDEX(المنيو!$C$2:$C$500,MATCH($C4630,المنيو!$B$2:$B$500,0)),0))</f>
        <v/>
      </c>
      <c r="F4630" s="103" t="str">
        <f aca="false">IF($C4630="","",$D4630*$E4630)</f>
        <v/>
      </c>
      <c r="G4630" s="103" t="str">
        <f aca="false">IF($C4630="","",$D4630*IFERROR(INDEX('تحليل التكلفة والسعر'!$C$2:$C$700,MATCH($C4630,'تحليل التكلفة والسعر'!$B$2:$B$700,0)),0))</f>
        <v/>
      </c>
    </row>
    <row r="4631" customFormat="false" ht="15" hidden="false" customHeight="false" outlineLevel="0" collapsed="false">
      <c r="A4631" s="102"/>
      <c r="E4631" s="103" t="str">
        <f aca="false">IF($C4631="","",IFERROR(INDEX(المنيو!$C$2:$C$500,MATCH($C4631,المنيو!$B$2:$B$500,0)),0))</f>
        <v/>
      </c>
      <c r="F4631" s="103" t="str">
        <f aca="false">IF($C4631="","",$D4631*$E4631)</f>
        <v/>
      </c>
      <c r="G4631" s="103" t="str">
        <f aca="false">IF($C4631="","",$D4631*IFERROR(INDEX('تحليل التكلفة والسعر'!$C$2:$C$700,MATCH($C4631,'تحليل التكلفة والسعر'!$B$2:$B$700,0)),0))</f>
        <v/>
      </c>
    </row>
    <row r="4632" customFormat="false" ht="15" hidden="false" customHeight="false" outlineLevel="0" collapsed="false">
      <c r="A4632" s="102"/>
      <c r="E4632" s="103" t="str">
        <f aca="false">IF($C4632="","",IFERROR(INDEX(المنيو!$C$2:$C$500,MATCH($C4632,المنيو!$B$2:$B$500,0)),0))</f>
        <v/>
      </c>
      <c r="F4632" s="103" t="str">
        <f aca="false">IF($C4632="","",$D4632*$E4632)</f>
        <v/>
      </c>
      <c r="G4632" s="103" t="str">
        <f aca="false">IF($C4632="","",$D4632*IFERROR(INDEX('تحليل التكلفة والسعر'!$C$2:$C$700,MATCH($C4632,'تحليل التكلفة والسعر'!$B$2:$B$700,0)),0))</f>
        <v/>
      </c>
    </row>
    <row r="4633" customFormat="false" ht="15" hidden="false" customHeight="false" outlineLevel="0" collapsed="false">
      <c r="A4633" s="102"/>
      <c r="E4633" s="103" t="str">
        <f aca="false">IF($C4633="","",IFERROR(INDEX(المنيو!$C$2:$C$500,MATCH($C4633,المنيو!$B$2:$B$500,0)),0))</f>
        <v/>
      </c>
      <c r="F4633" s="103" t="str">
        <f aca="false">IF($C4633="","",$D4633*$E4633)</f>
        <v/>
      </c>
      <c r="G4633" s="103" t="str">
        <f aca="false">IF($C4633="","",$D4633*IFERROR(INDEX('تحليل التكلفة والسعر'!$C$2:$C$700,MATCH($C4633,'تحليل التكلفة والسعر'!$B$2:$B$700,0)),0))</f>
        <v/>
      </c>
    </row>
    <row r="4634" customFormat="false" ht="15" hidden="false" customHeight="false" outlineLevel="0" collapsed="false">
      <c r="A4634" s="102"/>
      <c r="E4634" s="103" t="str">
        <f aca="false">IF($C4634="","",IFERROR(INDEX(المنيو!$C$2:$C$500,MATCH($C4634,المنيو!$B$2:$B$500,0)),0))</f>
        <v/>
      </c>
      <c r="F4634" s="103" t="str">
        <f aca="false">IF($C4634="","",$D4634*$E4634)</f>
        <v/>
      </c>
      <c r="G4634" s="103" t="str">
        <f aca="false">IF($C4634="","",$D4634*IFERROR(INDEX('تحليل التكلفة والسعر'!$C$2:$C$700,MATCH($C4634,'تحليل التكلفة والسعر'!$B$2:$B$700,0)),0))</f>
        <v/>
      </c>
    </row>
    <row r="4635" customFormat="false" ht="15" hidden="false" customHeight="false" outlineLevel="0" collapsed="false">
      <c r="A4635" s="102"/>
      <c r="E4635" s="103" t="str">
        <f aca="false">IF($C4635="","",IFERROR(INDEX(المنيو!$C$2:$C$500,MATCH($C4635,المنيو!$B$2:$B$500,0)),0))</f>
        <v/>
      </c>
      <c r="F4635" s="103" t="str">
        <f aca="false">IF($C4635="","",$D4635*$E4635)</f>
        <v/>
      </c>
      <c r="G4635" s="103" t="str">
        <f aca="false">IF($C4635="","",$D4635*IFERROR(INDEX('تحليل التكلفة والسعر'!$C$2:$C$700,MATCH($C4635,'تحليل التكلفة والسعر'!$B$2:$B$700,0)),0))</f>
        <v/>
      </c>
    </row>
    <row r="4636" customFormat="false" ht="15" hidden="false" customHeight="false" outlineLevel="0" collapsed="false">
      <c r="A4636" s="102"/>
      <c r="E4636" s="103" t="str">
        <f aca="false">IF($C4636="","",IFERROR(INDEX(المنيو!$C$2:$C$500,MATCH($C4636,المنيو!$B$2:$B$500,0)),0))</f>
        <v/>
      </c>
      <c r="F4636" s="103" t="str">
        <f aca="false">IF($C4636="","",$D4636*$E4636)</f>
        <v/>
      </c>
      <c r="G4636" s="103" t="str">
        <f aca="false">IF($C4636="","",$D4636*IFERROR(INDEX('تحليل التكلفة والسعر'!$C$2:$C$700,MATCH($C4636,'تحليل التكلفة والسعر'!$B$2:$B$700,0)),0))</f>
        <v/>
      </c>
    </row>
    <row r="4637" customFormat="false" ht="15" hidden="false" customHeight="false" outlineLevel="0" collapsed="false">
      <c r="A4637" s="102"/>
      <c r="E4637" s="103" t="str">
        <f aca="false">IF($C4637="","",IFERROR(INDEX(المنيو!$C$2:$C$500,MATCH($C4637,المنيو!$B$2:$B$500,0)),0))</f>
        <v/>
      </c>
      <c r="F4637" s="103" t="str">
        <f aca="false">IF($C4637="","",$D4637*$E4637)</f>
        <v/>
      </c>
      <c r="G4637" s="103" t="str">
        <f aca="false">IF($C4637="","",$D4637*IFERROR(INDEX('تحليل التكلفة والسعر'!$C$2:$C$700,MATCH($C4637,'تحليل التكلفة والسعر'!$B$2:$B$700,0)),0))</f>
        <v/>
      </c>
    </row>
    <row r="4638" customFormat="false" ht="15" hidden="false" customHeight="false" outlineLevel="0" collapsed="false">
      <c r="A4638" s="102"/>
      <c r="E4638" s="103" t="str">
        <f aca="false">IF($C4638="","",IFERROR(INDEX(المنيو!$C$2:$C$500,MATCH($C4638,المنيو!$B$2:$B$500,0)),0))</f>
        <v/>
      </c>
      <c r="F4638" s="103" t="str">
        <f aca="false">IF($C4638="","",$D4638*$E4638)</f>
        <v/>
      </c>
      <c r="G4638" s="103" t="str">
        <f aca="false">IF($C4638="","",$D4638*IFERROR(INDEX('تحليل التكلفة والسعر'!$C$2:$C$700,MATCH($C4638,'تحليل التكلفة والسعر'!$B$2:$B$700,0)),0))</f>
        <v/>
      </c>
    </row>
    <row r="4639" customFormat="false" ht="15" hidden="false" customHeight="false" outlineLevel="0" collapsed="false">
      <c r="A4639" s="102"/>
      <c r="E4639" s="103" t="str">
        <f aca="false">IF($C4639="","",IFERROR(INDEX(المنيو!$C$2:$C$500,MATCH($C4639,المنيو!$B$2:$B$500,0)),0))</f>
        <v/>
      </c>
      <c r="F4639" s="103" t="str">
        <f aca="false">IF($C4639="","",$D4639*$E4639)</f>
        <v/>
      </c>
      <c r="G4639" s="103" t="str">
        <f aca="false">IF($C4639="","",$D4639*IFERROR(INDEX('تحليل التكلفة والسعر'!$C$2:$C$700,MATCH($C4639,'تحليل التكلفة والسعر'!$B$2:$B$700,0)),0))</f>
        <v/>
      </c>
    </row>
    <row r="4640" customFormat="false" ht="15" hidden="false" customHeight="false" outlineLevel="0" collapsed="false">
      <c r="A4640" s="102"/>
      <c r="E4640" s="103" t="str">
        <f aca="false">IF($C4640="","",IFERROR(INDEX(المنيو!$C$2:$C$500,MATCH($C4640,المنيو!$B$2:$B$500,0)),0))</f>
        <v/>
      </c>
      <c r="F4640" s="103" t="str">
        <f aca="false">IF($C4640="","",$D4640*$E4640)</f>
        <v/>
      </c>
      <c r="G4640" s="103" t="str">
        <f aca="false">IF($C4640="","",$D4640*IFERROR(INDEX('تحليل التكلفة والسعر'!$C$2:$C$700,MATCH($C4640,'تحليل التكلفة والسعر'!$B$2:$B$700,0)),0))</f>
        <v/>
      </c>
    </row>
    <row r="4641" customFormat="false" ht="15" hidden="false" customHeight="false" outlineLevel="0" collapsed="false">
      <c r="A4641" s="102"/>
      <c r="E4641" s="103" t="str">
        <f aca="false">IF($C4641="","",IFERROR(INDEX(المنيو!$C$2:$C$500,MATCH($C4641,المنيو!$B$2:$B$500,0)),0))</f>
        <v/>
      </c>
      <c r="F4641" s="103" t="str">
        <f aca="false">IF($C4641="","",$D4641*$E4641)</f>
        <v/>
      </c>
      <c r="G4641" s="103" t="str">
        <f aca="false">IF($C4641="","",$D4641*IFERROR(INDEX('تحليل التكلفة والسعر'!$C$2:$C$700,MATCH($C4641,'تحليل التكلفة والسعر'!$B$2:$B$700,0)),0))</f>
        <v/>
      </c>
    </row>
    <row r="4642" customFormat="false" ht="15" hidden="false" customHeight="false" outlineLevel="0" collapsed="false">
      <c r="A4642" s="102"/>
      <c r="E4642" s="103" t="str">
        <f aca="false">IF($C4642="","",IFERROR(INDEX(المنيو!$C$2:$C$500,MATCH($C4642,المنيو!$B$2:$B$500,0)),0))</f>
        <v/>
      </c>
      <c r="F4642" s="103" t="str">
        <f aca="false">IF($C4642="","",$D4642*$E4642)</f>
        <v/>
      </c>
      <c r="G4642" s="103" t="str">
        <f aca="false">IF($C4642="","",$D4642*IFERROR(INDEX('تحليل التكلفة والسعر'!$C$2:$C$700,MATCH($C4642,'تحليل التكلفة والسعر'!$B$2:$B$700,0)),0))</f>
        <v/>
      </c>
    </row>
    <row r="4643" customFormat="false" ht="15" hidden="false" customHeight="false" outlineLevel="0" collapsed="false">
      <c r="A4643" s="102"/>
      <c r="E4643" s="103" t="str">
        <f aca="false">IF($C4643="","",IFERROR(INDEX(المنيو!$C$2:$C$500,MATCH($C4643,المنيو!$B$2:$B$500,0)),0))</f>
        <v/>
      </c>
      <c r="F4643" s="103" t="str">
        <f aca="false">IF($C4643="","",$D4643*$E4643)</f>
        <v/>
      </c>
      <c r="G4643" s="103" t="str">
        <f aca="false">IF($C4643="","",$D4643*IFERROR(INDEX('تحليل التكلفة والسعر'!$C$2:$C$700,MATCH($C4643,'تحليل التكلفة والسعر'!$B$2:$B$700,0)),0))</f>
        <v/>
      </c>
    </row>
    <row r="4644" customFormat="false" ht="15" hidden="false" customHeight="false" outlineLevel="0" collapsed="false">
      <c r="A4644" s="102"/>
      <c r="E4644" s="103" t="str">
        <f aca="false">IF($C4644="","",IFERROR(INDEX(المنيو!$C$2:$C$500,MATCH($C4644,المنيو!$B$2:$B$500,0)),0))</f>
        <v/>
      </c>
      <c r="F4644" s="103" t="str">
        <f aca="false">IF($C4644="","",$D4644*$E4644)</f>
        <v/>
      </c>
      <c r="G4644" s="103" t="str">
        <f aca="false">IF($C4644="","",$D4644*IFERROR(INDEX('تحليل التكلفة والسعر'!$C$2:$C$700,MATCH($C4644,'تحليل التكلفة والسعر'!$B$2:$B$700,0)),0))</f>
        <v/>
      </c>
    </row>
    <row r="4645" customFormat="false" ht="15" hidden="false" customHeight="false" outlineLevel="0" collapsed="false">
      <c r="A4645" s="102"/>
      <c r="E4645" s="103" t="str">
        <f aca="false">IF($C4645="","",IFERROR(INDEX(المنيو!$C$2:$C$500,MATCH($C4645,المنيو!$B$2:$B$500,0)),0))</f>
        <v/>
      </c>
      <c r="F4645" s="103" t="str">
        <f aca="false">IF($C4645="","",$D4645*$E4645)</f>
        <v/>
      </c>
      <c r="G4645" s="103" t="str">
        <f aca="false">IF($C4645="","",$D4645*IFERROR(INDEX('تحليل التكلفة والسعر'!$C$2:$C$700,MATCH($C4645,'تحليل التكلفة والسعر'!$B$2:$B$700,0)),0))</f>
        <v/>
      </c>
    </row>
    <row r="4646" customFormat="false" ht="15" hidden="false" customHeight="false" outlineLevel="0" collapsed="false">
      <c r="A4646" s="102"/>
      <c r="E4646" s="103" t="str">
        <f aca="false">IF($C4646="","",IFERROR(INDEX(المنيو!$C$2:$C$500,MATCH($C4646,المنيو!$B$2:$B$500,0)),0))</f>
        <v/>
      </c>
      <c r="F4646" s="103" t="str">
        <f aca="false">IF($C4646="","",$D4646*$E4646)</f>
        <v/>
      </c>
      <c r="G4646" s="103" t="str">
        <f aca="false">IF($C4646="","",$D4646*IFERROR(INDEX('تحليل التكلفة والسعر'!$C$2:$C$700,MATCH($C4646,'تحليل التكلفة والسعر'!$B$2:$B$700,0)),0))</f>
        <v/>
      </c>
    </row>
    <row r="4647" customFormat="false" ht="15" hidden="false" customHeight="false" outlineLevel="0" collapsed="false">
      <c r="A4647" s="102"/>
      <c r="E4647" s="103" t="str">
        <f aca="false">IF($C4647="","",IFERROR(INDEX(المنيو!$C$2:$C$500,MATCH($C4647,المنيو!$B$2:$B$500,0)),0))</f>
        <v/>
      </c>
      <c r="F4647" s="103" t="str">
        <f aca="false">IF($C4647="","",$D4647*$E4647)</f>
        <v/>
      </c>
      <c r="G4647" s="103" t="str">
        <f aca="false">IF($C4647="","",$D4647*IFERROR(INDEX('تحليل التكلفة والسعر'!$C$2:$C$700,MATCH($C4647,'تحليل التكلفة والسعر'!$B$2:$B$700,0)),0))</f>
        <v/>
      </c>
    </row>
    <row r="4648" customFormat="false" ht="15" hidden="false" customHeight="false" outlineLevel="0" collapsed="false">
      <c r="A4648" s="102"/>
      <c r="E4648" s="103" t="str">
        <f aca="false">IF($C4648="","",IFERROR(INDEX(المنيو!$C$2:$C$500,MATCH($C4648,المنيو!$B$2:$B$500,0)),0))</f>
        <v/>
      </c>
      <c r="F4648" s="103" t="str">
        <f aca="false">IF($C4648="","",$D4648*$E4648)</f>
        <v/>
      </c>
      <c r="G4648" s="103" t="str">
        <f aca="false">IF($C4648="","",$D4648*IFERROR(INDEX('تحليل التكلفة والسعر'!$C$2:$C$700,MATCH($C4648,'تحليل التكلفة والسعر'!$B$2:$B$700,0)),0))</f>
        <v/>
      </c>
    </row>
    <row r="4649" customFormat="false" ht="15" hidden="false" customHeight="false" outlineLevel="0" collapsed="false">
      <c r="A4649" s="102"/>
      <c r="E4649" s="103" t="str">
        <f aca="false">IF($C4649="","",IFERROR(INDEX(المنيو!$C$2:$C$500,MATCH($C4649,المنيو!$B$2:$B$500,0)),0))</f>
        <v/>
      </c>
      <c r="F4649" s="103" t="str">
        <f aca="false">IF($C4649="","",$D4649*$E4649)</f>
        <v/>
      </c>
      <c r="G4649" s="103" t="str">
        <f aca="false">IF($C4649="","",$D4649*IFERROR(INDEX('تحليل التكلفة والسعر'!$C$2:$C$700,MATCH($C4649,'تحليل التكلفة والسعر'!$B$2:$B$700,0)),0))</f>
        <v/>
      </c>
    </row>
    <row r="4650" customFormat="false" ht="15" hidden="false" customHeight="false" outlineLevel="0" collapsed="false">
      <c r="A4650" s="102"/>
      <c r="E4650" s="103" t="str">
        <f aca="false">IF($C4650="","",IFERROR(INDEX(المنيو!$C$2:$C$500,MATCH($C4650,المنيو!$B$2:$B$500,0)),0))</f>
        <v/>
      </c>
      <c r="F4650" s="103" t="str">
        <f aca="false">IF($C4650="","",$D4650*$E4650)</f>
        <v/>
      </c>
      <c r="G4650" s="103" t="str">
        <f aca="false">IF($C4650="","",$D4650*IFERROR(INDEX('تحليل التكلفة والسعر'!$C$2:$C$700,MATCH($C4650,'تحليل التكلفة والسعر'!$B$2:$B$700,0)),0))</f>
        <v/>
      </c>
    </row>
    <row r="4651" customFormat="false" ht="15" hidden="false" customHeight="false" outlineLevel="0" collapsed="false">
      <c r="A4651" s="102"/>
      <c r="E4651" s="103" t="str">
        <f aca="false">IF($C4651="","",IFERROR(INDEX(المنيو!$C$2:$C$500,MATCH($C4651,المنيو!$B$2:$B$500,0)),0))</f>
        <v/>
      </c>
      <c r="F4651" s="103" t="str">
        <f aca="false">IF($C4651="","",$D4651*$E4651)</f>
        <v/>
      </c>
      <c r="G4651" s="103" t="str">
        <f aca="false">IF($C4651="","",$D4651*IFERROR(INDEX('تحليل التكلفة والسعر'!$C$2:$C$700,MATCH($C4651,'تحليل التكلفة والسعر'!$B$2:$B$700,0)),0))</f>
        <v/>
      </c>
    </row>
    <row r="4652" customFormat="false" ht="15" hidden="false" customHeight="false" outlineLevel="0" collapsed="false">
      <c r="A4652" s="102"/>
      <c r="E4652" s="103" t="str">
        <f aca="false">IF($C4652="","",IFERROR(INDEX(المنيو!$C$2:$C$500,MATCH($C4652,المنيو!$B$2:$B$500,0)),0))</f>
        <v/>
      </c>
      <c r="F4652" s="103" t="str">
        <f aca="false">IF($C4652="","",$D4652*$E4652)</f>
        <v/>
      </c>
      <c r="G4652" s="103" t="str">
        <f aca="false">IF($C4652="","",$D4652*IFERROR(INDEX('تحليل التكلفة والسعر'!$C$2:$C$700,MATCH($C4652,'تحليل التكلفة والسعر'!$B$2:$B$700,0)),0))</f>
        <v/>
      </c>
    </row>
    <row r="4653" customFormat="false" ht="15" hidden="false" customHeight="false" outlineLevel="0" collapsed="false">
      <c r="A4653" s="102"/>
      <c r="E4653" s="103" t="str">
        <f aca="false">IF($C4653="","",IFERROR(INDEX(المنيو!$C$2:$C$500,MATCH($C4653,المنيو!$B$2:$B$500,0)),0))</f>
        <v/>
      </c>
      <c r="F4653" s="103" t="str">
        <f aca="false">IF($C4653="","",$D4653*$E4653)</f>
        <v/>
      </c>
      <c r="G4653" s="103" t="str">
        <f aca="false">IF($C4653="","",$D4653*IFERROR(INDEX('تحليل التكلفة والسعر'!$C$2:$C$700,MATCH($C4653,'تحليل التكلفة والسعر'!$B$2:$B$700,0)),0))</f>
        <v/>
      </c>
    </row>
    <row r="4654" customFormat="false" ht="15" hidden="false" customHeight="false" outlineLevel="0" collapsed="false">
      <c r="A4654" s="102"/>
      <c r="E4654" s="103" t="str">
        <f aca="false">IF($C4654="","",IFERROR(INDEX(المنيو!$C$2:$C$500,MATCH($C4654,المنيو!$B$2:$B$500,0)),0))</f>
        <v/>
      </c>
      <c r="F4654" s="103" t="str">
        <f aca="false">IF($C4654="","",$D4654*$E4654)</f>
        <v/>
      </c>
      <c r="G4654" s="103" t="str">
        <f aca="false">IF($C4654="","",$D4654*IFERROR(INDEX('تحليل التكلفة والسعر'!$C$2:$C$700,MATCH($C4654,'تحليل التكلفة والسعر'!$B$2:$B$700,0)),0))</f>
        <v/>
      </c>
    </row>
    <row r="4655" customFormat="false" ht="15" hidden="false" customHeight="false" outlineLevel="0" collapsed="false">
      <c r="A4655" s="102"/>
      <c r="E4655" s="103" t="str">
        <f aca="false">IF($C4655="","",IFERROR(INDEX(المنيو!$C$2:$C$500,MATCH($C4655,المنيو!$B$2:$B$500,0)),0))</f>
        <v/>
      </c>
      <c r="F4655" s="103" t="str">
        <f aca="false">IF($C4655="","",$D4655*$E4655)</f>
        <v/>
      </c>
      <c r="G4655" s="103" t="str">
        <f aca="false">IF($C4655="","",$D4655*IFERROR(INDEX('تحليل التكلفة والسعر'!$C$2:$C$700,MATCH($C4655,'تحليل التكلفة والسعر'!$B$2:$B$700,0)),0))</f>
        <v/>
      </c>
    </row>
    <row r="4656" customFormat="false" ht="15" hidden="false" customHeight="false" outlineLevel="0" collapsed="false">
      <c r="A4656" s="102"/>
      <c r="E4656" s="103" t="str">
        <f aca="false">IF($C4656="","",IFERROR(INDEX(المنيو!$C$2:$C$500,MATCH($C4656,المنيو!$B$2:$B$500,0)),0))</f>
        <v/>
      </c>
      <c r="F4656" s="103" t="str">
        <f aca="false">IF($C4656="","",$D4656*$E4656)</f>
        <v/>
      </c>
      <c r="G4656" s="103" t="str">
        <f aca="false">IF($C4656="","",$D4656*IFERROR(INDEX('تحليل التكلفة والسعر'!$C$2:$C$700,MATCH($C4656,'تحليل التكلفة والسعر'!$B$2:$B$700,0)),0))</f>
        <v/>
      </c>
    </row>
    <row r="4657" customFormat="false" ht="15" hidden="false" customHeight="false" outlineLevel="0" collapsed="false">
      <c r="A4657" s="102"/>
      <c r="E4657" s="103" t="str">
        <f aca="false">IF($C4657="","",IFERROR(INDEX(المنيو!$C$2:$C$500,MATCH($C4657,المنيو!$B$2:$B$500,0)),0))</f>
        <v/>
      </c>
      <c r="F4657" s="103" t="str">
        <f aca="false">IF($C4657="","",$D4657*$E4657)</f>
        <v/>
      </c>
      <c r="G4657" s="103" t="str">
        <f aca="false">IF($C4657="","",$D4657*IFERROR(INDEX('تحليل التكلفة والسعر'!$C$2:$C$700,MATCH($C4657,'تحليل التكلفة والسعر'!$B$2:$B$700,0)),0))</f>
        <v/>
      </c>
    </row>
    <row r="4658" customFormat="false" ht="15" hidden="false" customHeight="false" outlineLevel="0" collapsed="false">
      <c r="A4658" s="102"/>
      <c r="E4658" s="103" t="str">
        <f aca="false">IF($C4658="","",IFERROR(INDEX(المنيو!$C$2:$C$500,MATCH($C4658,المنيو!$B$2:$B$500,0)),0))</f>
        <v/>
      </c>
      <c r="F4658" s="103" t="str">
        <f aca="false">IF($C4658="","",$D4658*$E4658)</f>
        <v/>
      </c>
      <c r="G4658" s="103" t="str">
        <f aca="false">IF($C4658="","",$D4658*IFERROR(INDEX('تحليل التكلفة والسعر'!$C$2:$C$700,MATCH($C4658,'تحليل التكلفة والسعر'!$B$2:$B$700,0)),0))</f>
        <v/>
      </c>
    </row>
    <row r="4659" customFormat="false" ht="15" hidden="false" customHeight="false" outlineLevel="0" collapsed="false">
      <c r="A4659" s="102"/>
      <c r="E4659" s="103" t="str">
        <f aca="false">IF($C4659="","",IFERROR(INDEX(المنيو!$C$2:$C$500,MATCH($C4659,المنيو!$B$2:$B$500,0)),0))</f>
        <v/>
      </c>
      <c r="F4659" s="103" t="str">
        <f aca="false">IF($C4659="","",$D4659*$E4659)</f>
        <v/>
      </c>
      <c r="G4659" s="103" t="str">
        <f aca="false">IF($C4659="","",$D4659*IFERROR(INDEX('تحليل التكلفة والسعر'!$C$2:$C$700,MATCH($C4659,'تحليل التكلفة والسعر'!$B$2:$B$700,0)),0))</f>
        <v/>
      </c>
    </row>
    <row r="4660" customFormat="false" ht="15" hidden="false" customHeight="false" outlineLevel="0" collapsed="false">
      <c r="A4660" s="102"/>
      <c r="E4660" s="103" t="str">
        <f aca="false">IF($C4660="","",IFERROR(INDEX(المنيو!$C$2:$C$500,MATCH($C4660,المنيو!$B$2:$B$500,0)),0))</f>
        <v/>
      </c>
      <c r="F4660" s="103" t="str">
        <f aca="false">IF($C4660="","",$D4660*$E4660)</f>
        <v/>
      </c>
      <c r="G4660" s="103" t="str">
        <f aca="false">IF($C4660="","",$D4660*IFERROR(INDEX('تحليل التكلفة والسعر'!$C$2:$C$700,MATCH($C4660,'تحليل التكلفة والسعر'!$B$2:$B$700,0)),0))</f>
        <v/>
      </c>
    </row>
    <row r="4661" customFormat="false" ht="15" hidden="false" customHeight="false" outlineLevel="0" collapsed="false">
      <c r="A4661" s="102"/>
      <c r="E4661" s="103" t="str">
        <f aca="false">IF($C4661="","",IFERROR(INDEX(المنيو!$C$2:$C$500,MATCH($C4661,المنيو!$B$2:$B$500,0)),0))</f>
        <v/>
      </c>
      <c r="F4661" s="103" t="str">
        <f aca="false">IF($C4661="","",$D4661*$E4661)</f>
        <v/>
      </c>
      <c r="G4661" s="103" t="str">
        <f aca="false">IF($C4661="","",$D4661*IFERROR(INDEX('تحليل التكلفة والسعر'!$C$2:$C$700,MATCH($C4661,'تحليل التكلفة والسعر'!$B$2:$B$700,0)),0))</f>
        <v/>
      </c>
    </row>
    <row r="4662" customFormat="false" ht="15" hidden="false" customHeight="false" outlineLevel="0" collapsed="false">
      <c r="A4662" s="102"/>
      <c r="E4662" s="103" t="str">
        <f aca="false">IF($C4662="","",IFERROR(INDEX(المنيو!$C$2:$C$500,MATCH($C4662,المنيو!$B$2:$B$500,0)),0))</f>
        <v/>
      </c>
      <c r="F4662" s="103" t="str">
        <f aca="false">IF($C4662="","",$D4662*$E4662)</f>
        <v/>
      </c>
      <c r="G4662" s="103" t="str">
        <f aca="false">IF($C4662="","",$D4662*IFERROR(INDEX('تحليل التكلفة والسعر'!$C$2:$C$700,MATCH($C4662,'تحليل التكلفة والسعر'!$B$2:$B$700,0)),0))</f>
        <v/>
      </c>
    </row>
    <row r="4663" customFormat="false" ht="15" hidden="false" customHeight="false" outlineLevel="0" collapsed="false">
      <c r="A4663" s="102"/>
      <c r="E4663" s="103" t="str">
        <f aca="false">IF($C4663="","",IFERROR(INDEX(المنيو!$C$2:$C$500,MATCH($C4663,المنيو!$B$2:$B$500,0)),0))</f>
        <v/>
      </c>
      <c r="F4663" s="103" t="str">
        <f aca="false">IF($C4663="","",$D4663*$E4663)</f>
        <v/>
      </c>
      <c r="G4663" s="103" t="str">
        <f aca="false">IF($C4663="","",$D4663*IFERROR(INDEX('تحليل التكلفة والسعر'!$C$2:$C$700,MATCH($C4663,'تحليل التكلفة والسعر'!$B$2:$B$700,0)),0))</f>
        <v/>
      </c>
    </row>
    <row r="4664" customFormat="false" ht="15" hidden="false" customHeight="false" outlineLevel="0" collapsed="false">
      <c r="A4664" s="102"/>
      <c r="E4664" s="103" t="str">
        <f aca="false">IF($C4664="","",IFERROR(INDEX(المنيو!$C$2:$C$500,MATCH($C4664,المنيو!$B$2:$B$500,0)),0))</f>
        <v/>
      </c>
      <c r="F4664" s="103" t="str">
        <f aca="false">IF($C4664="","",$D4664*$E4664)</f>
        <v/>
      </c>
      <c r="G4664" s="103" t="str">
        <f aca="false">IF($C4664="","",$D4664*IFERROR(INDEX('تحليل التكلفة والسعر'!$C$2:$C$700,MATCH($C4664,'تحليل التكلفة والسعر'!$B$2:$B$700,0)),0))</f>
        <v/>
      </c>
    </row>
    <row r="4665" customFormat="false" ht="15" hidden="false" customHeight="false" outlineLevel="0" collapsed="false">
      <c r="A4665" s="102"/>
      <c r="E4665" s="103" t="str">
        <f aca="false">IF($C4665="","",IFERROR(INDEX(المنيو!$C$2:$C$500,MATCH($C4665,المنيو!$B$2:$B$500,0)),0))</f>
        <v/>
      </c>
      <c r="F4665" s="103" t="str">
        <f aca="false">IF($C4665="","",$D4665*$E4665)</f>
        <v/>
      </c>
      <c r="G4665" s="103" t="str">
        <f aca="false">IF($C4665="","",$D4665*IFERROR(INDEX('تحليل التكلفة والسعر'!$C$2:$C$700,MATCH($C4665,'تحليل التكلفة والسعر'!$B$2:$B$700,0)),0))</f>
        <v/>
      </c>
    </row>
    <row r="4666" customFormat="false" ht="15" hidden="false" customHeight="false" outlineLevel="0" collapsed="false">
      <c r="A4666" s="102"/>
      <c r="E4666" s="103" t="str">
        <f aca="false">IF($C4666="","",IFERROR(INDEX(المنيو!$C$2:$C$500,MATCH($C4666,المنيو!$B$2:$B$500,0)),0))</f>
        <v/>
      </c>
      <c r="F4666" s="103" t="str">
        <f aca="false">IF($C4666="","",$D4666*$E4666)</f>
        <v/>
      </c>
      <c r="G4666" s="103" t="str">
        <f aca="false">IF($C4666="","",$D4666*IFERROR(INDEX('تحليل التكلفة والسعر'!$C$2:$C$700,MATCH($C4666,'تحليل التكلفة والسعر'!$B$2:$B$700,0)),0))</f>
        <v/>
      </c>
    </row>
    <row r="4667" customFormat="false" ht="15" hidden="false" customHeight="false" outlineLevel="0" collapsed="false">
      <c r="A4667" s="102"/>
      <c r="E4667" s="103" t="str">
        <f aca="false">IF($C4667="","",IFERROR(INDEX(المنيو!$C$2:$C$500,MATCH($C4667,المنيو!$B$2:$B$500,0)),0))</f>
        <v/>
      </c>
      <c r="F4667" s="103" t="str">
        <f aca="false">IF($C4667="","",$D4667*$E4667)</f>
        <v/>
      </c>
      <c r="G4667" s="103" t="str">
        <f aca="false">IF($C4667="","",$D4667*IFERROR(INDEX('تحليل التكلفة والسعر'!$C$2:$C$700,MATCH($C4667,'تحليل التكلفة والسعر'!$B$2:$B$700,0)),0))</f>
        <v/>
      </c>
    </row>
    <row r="4668" customFormat="false" ht="15" hidden="false" customHeight="false" outlineLevel="0" collapsed="false">
      <c r="A4668" s="102"/>
      <c r="E4668" s="103" t="str">
        <f aca="false">IF($C4668="","",IFERROR(INDEX(المنيو!$C$2:$C$500,MATCH($C4668,المنيو!$B$2:$B$500,0)),0))</f>
        <v/>
      </c>
      <c r="F4668" s="103" t="str">
        <f aca="false">IF($C4668="","",$D4668*$E4668)</f>
        <v/>
      </c>
      <c r="G4668" s="103" t="str">
        <f aca="false">IF($C4668="","",$D4668*IFERROR(INDEX('تحليل التكلفة والسعر'!$C$2:$C$700,MATCH($C4668,'تحليل التكلفة والسعر'!$B$2:$B$700,0)),0))</f>
        <v/>
      </c>
    </row>
    <row r="4669" customFormat="false" ht="15" hidden="false" customHeight="false" outlineLevel="0" collapsed="false">
      <c r="A4669" s="102"/>
      <c r="E4669" s="103" t="str">
        <f aca="false">IF($C4669="","",IFERROR(INDEX(المنيو!$C$2:$C$500,MATCH($C4669,المنيو!$B$2:$B$500,0)),0))</f>
        <v/>
      </c>
      <c r="F4669" s="103" t="str">
        <f aca="false">IF($C4669="","",$D4669*$E4669)</f>
        <v/>
      </c>
      <c r="G4669" s="103" t="str">
        <f aca="false">IF($C4669="","",$D4669*IFERROR(INDEX('تحليل التكلفة والسعر'!$C$2:$C$700,MATCH($C4669,'تحليل التكلفة والسعر'!$B$2:$B$700,0)),0))</f>
        <v/>
      </c>
    </row>
    <row r="4670" customFormat="false" ht="15" hidden="false" customHeight="false" outlineLevel="0" collapsed="false">
      <c r="A4670" s="102"/>
      <c r="E4670" s="103" t="str">
        <f aca="false">IF($C4670="","",IFERROR(INDEX(المنيو!$C$2:$C$500,MATCH($C4670,المنيو!$B$2:$B$500,0)),0))</f>
        <v/>
      </c>
      <c r="F4670" s="103" t="str">
        <f aca="false">IF($C4670="","",$D4670*$E4670)</f>
        <v/>
      </c>
      <c r="G4670" s="103" t="str">
        <f aca="false">IF($C4670="","",$D4670*IFERROR(INDEX('تحليل التكلفة والسعر'!$C$2:$C$700,MATCH($C4670,'تحليل التكلفة والسعر'!$B$2:$B$700,0)),0))</f>
        <v/>
      </c>
    </row>
    <row r="4671" customFormat="false" ht="15" hidden="false" customHeight="false" outlineLevel="0" collapsed="false">
      <c r="A4671" s="102"/>
      <c r="E4671" s="103" t="str">
        <f aca="false">IF($C4671="","",IFERROR(INDEX(المنيو!$C$2:$C$500,MATCH($C4671,المنيو!$B$2:$B$500,0)),0))</f>
        <v/>
      </c>
      <c r="F4671" s="103" t="str">
        <f aca="false">IF($C4671="","",$D4671*$E4671)</f>
        <v/>
      </c>
      <c r="G4671" s="103" t="str">
        <f aca="false">IF($C4671="","",$D4671*IFERROR(INDEX('تحليل التكلفة والسعر'!$C$2:$C$700,MATCH($C4671,'تحليل التكلفة والسعر'!$B$2:$B$700,0)),0))</f>
        <v/>
      </c>
    </row>
    <row r="4672" customFormat="false" ht="15" hidden="false" customHeight="false" outlineLevel="0" collapsed="false">
      <c r="A4672" s="102"/>
      <c r="E4672" s="103" t="str">
        <f aca="false">IF($C4672="","",IFERROR(INDEX(المنيو!$C$2:$C$500,MATCH($C4672,المنيو!$B$2:$B$500,0)),0))</f>
        <v/>
      </c>
      <c r="F4672" s="103" t="str">
        <f aca="false">IF($C4672="","",$D4672*$E4672)</f>
        <v/>
      </c>
      <c r="G4672" s="103" t="str">
        <f aca="false">IF($C4672="","",$D4672*IFERROR(INDEX('تحليل التكلفة والسعر'!$C$2:$C$700,MATCH($C4672,'تحليل التكلفة والسعر'!$B$2:$B$700,0)),0))</f>
        <v/>
      </c>
    </row>
    <row r="4673" customFormat="false" ht="15" hidden="false" customHeight="false" outlineLevel="0" collapsed="false">
      <c r="A4673" s="102"/>
      <c r="E4673" s="103" t="str">
        <f aca="false">IF($C4673="","",IFERROR(INDEX(المنيو!$C$2:$C$500,MATCH($C4673,المنيو!$B$2:$B$500,0)),0))</f>
        <v/>
      </c>
      <c r="F4673" s="103" t="str">
        <f aca="false">IF($C4673="","",$D4673*$E4673)</f>
        <v/>
      </c>
      <c r="G4673" s="103" t="str">
        <f aca="false">IF($C4673="","",$D4673*IFERROR(INDEX('تحليل التكلفة والسعر'!$C$2:$C$700,MATCH($C4673,'تحليل التكلفة والسعر'!$B$2:$B$700,0)),0))</f>
        <v/>
      </c>
    </row>
    <row r="4674" customFormat="false" ht="15" hidden="false" customHeight="false" outlineLevel="0" collapsed="false">
      <c r="A4674" s="102"/>
      <c r="E4674" s="103" t="str">
        <f aca="false">IF($C4674="","",IFERROR(INDEX(المنيو!$C$2:$C$500,MATCH($C4674,المنيو!$B$2:$B$500,0)),0))</f>
        <v/>
      </c>
      <c r="F4674" s="103" t="str">
        <f aca="false">IF($C4674="","",$D4674*$E4674)</f>
        <v/>
      </c>
      <c r="G4674" s="103" t="str">
        <f aca="false">IF($C4674="","",$D4674*IFERROR(INDEX('تحليل التكلفة والسعر'!$C$2:$C$700,MATCH($C4674,'تحليل التكلفة والسعر'!$B$2:$B$700,0)),0))</f>
        <v/>
      </c>
    </row>
    <row r="4675" customFormat="false" ht="15" hidden="false" customHeight="false" outlineLevel="0" collapsed="false">
      <c r="A4675" s="102"/>
      <c r="E4675" s="103" t="str">
        <f aca="false">IF($C4675="","",IFERROR(INDEX(المنيو!$C$2:$C$500,MATCH($C4675,المنيو!$B$2:$B$500,0)),0))</f>
        <v/>
      </c>
      <c r="F4675" s="103" t="str">
        <f aca="false">IF($C4675="","",$D4675*$E4675)</f>
        <v/>
      </c>
      <c r="G4675" s="103" t="str">
        <f aca="false">IF($C4675="","",$D4675*IFERROR(INDEX('تحليل التكلفة والسعر'!$C$2:$C$700,MATCH($C4675,'تحليل التكلفة والسعر'!$B$2:$B$700,0)),0))</f>
        <v/>
      </c>
    </row>
    <row r="4676" customFormat="false" ht="15" hidden="false" customHeight="false" outlineLevel="0" collapsed="false">
      <c r="A4676" s="102"/>
      <c r="E4676" s="103" t="str">
        <f aca="false">IF($C4676="","",IFERROR(INDEX(المنيو!$C$2:$C$500,MATCH($C4676,المنيو!$B$2:$B$500,0)),0))</f>
        <v/>
      </c>
      <c r="F4676" s="103" t="str">
        <f aca="false">IF($C4676="","",$D4676*$E4676)</f>
        <v/>
      </c>
      <c r="G4676" s="103" t="str">
        <f aca="false">IF($C4676="","",$D4676*IFERROR(INDEX('تحليل التكلفة والسعر'!$C$2:$C$700,MATCH($C4676,'تحليل التكلفة والسعر'!$B$2:$B$700,0)),0))</f>
        <v/>
      </c>
    </row>
    <row r="4677" customFormat="false" ht="15" hidden="false" customHeight="false" outlineLevel="0" collapsed="false">
      <c r="A4677" s="102"/>
      <c r="E4677" s="103" t="str">
        <f aca="false">IF($C4677="","",IFERROR(INDEX(المنيو!$C$2:$C$500,MATCH($C4677,المنيو!$B$2:$B$500,0)),0))</f>
        <v/>
      </c>
      <c r="F4677" s="103" t="str">
        <f aca="false">IF($C4677="","",$D4677*$E4677)</f>
        <v/>
      </c>
      <c r="G4677" s="103" t="str">
        <f aca="false">IF($C4677="","",$D4677*IFERROR(INDEX('تحليل التكلفة والسعر'!$C$2:$C$700,MATCH($C4677,'تحليل التكلفة والسعر'!$B$2:$B$700,0)),0))</f>
        <v/>
      </c>
    </row>
    <row r="4678" customFormat="false" ht="15" hidden="false" customHeight="false" outlineLevel="0" collapsed="false">
      <c r="A4678" s="102"/>
      <c r="E4678" s="103" t="str">
        <f aca="false">IF($C4678="","",IFERROR(INDEX(المنيو!$C$2:$C$500,MATCH($C4678,المنيو!$B$2:$B$500,0)),0))</f>
        <v/>
      </c>
      <c r="F4678" s="103" t="str">
        <f aca="false">IF($C4678="","",$D4678*$E4678)</f>
        <v/>
      </c>
      <c r="G4678" s="103" t="str">
        <f aca="false">IF($C4678="","",$D4678*IFERROR(INDEX('تحليل التكلفة والسعر'!$C$2:$C$700,MATCH($C4678,'تحليل التكلفة والسعر'!$B$2:$B$700,0)),0))</f>
        <v/>
      </c>
    </row>
    <row r="4679" customFormat="false" ht="15" hidden="false" customHeight="false" outlineLevel="0" collapsed="false">
      <c r="A4679" s="102"/>
      <c r="E4679" s="103" t="str">
        <f aca="false">IF($C4679="","",IFERROR(INDEX(المنيو!$C$2:$C$500,MATCH($C4679,المنيو!$B$2:$B$500,0)),0))</f>
        <v/>
      </c>
      <c r="F4679" s="103" t="str">
        <f aca="false">IF($C4679="","",$D4679*$E4679)</f>
        <v/>
      </c>
      <c r="G4679" s="103" t="str">
        <f aca="false">IF($C4679="","",$D4679*IFERROR(INDEX('تحليل التكلفة والسعر'!$C$2:$C$700,MATCH($C4679,'تحليل التكلفة والسعر'!$B$2:$B$700,0)),0))</f>
        <v/>
      </c>
    </row>
    <row r="4680" customFormat="false" ht="15" hidden="false" customHeight="false" outlineLevel="0" collapsed="false">
      <c r="A4680" s="102"/>
      <c r="E4680" s="103" t="str">
        <f aca="false">IF($C4680="","",IFERROR(INDEX(المنيو!$C$2:$C$500,MATCH($C4680,المنيو!$B$2:$B$500,0)),0))</f>
        <v/>
      </c>
      <c r="F4680" s="103" t="str">
        <f aca="false">IF($C4680="","",$D4680*$E4680)</f>
        <v/>
      </c>
      <c r="G4680" s="103" t="str">
        <f aca="false">IF($C4680="","",$D4680*IFERROR(INDEX('تحليل التكلفة والسعر'!$C$2:$C$700,MATCH($C4680,'تحليل التكلفة والسعر'!$B$2:$B$700,0)),0))</f>
        <v/>
      </c>
    </row>
    <row r="4681" customFormat="false" ht="15" hidden="false" customHeight="false" outlineLevel="0" collapsed="false">
      <c r="A4681" s="102"/>
      <c r="E4681" s="103" t="str">
        <f aca="false">IF($C4681="","",IFERROR(INDEX(المنيو!$C$2:$C$500,MATCH($C4681,المنيو!$B$2:$B$500,0)),0))</f>
        <v/>
      </c>
      <c r="F4681" s="103" t="str">
        <f aca="false">IF($C4681="","",$D4681*$E4681)</f>
        <v/>
      </c>
      <c r="G4681" s="103" t="str">
        <f aca="false">IF($C4681="","",$D4681*IFERROR(INDEX('تحليل التكلفة والسعر'!$C$2:$C$700,MATCH($C4681,'تحليل التكلفة والسعر'!$B$2:$B$700,0)),0))</f>
        <v/>
      </c>
    </row>
    <row r="4682" customFormat="false" ht="15" hidden="false" customHeight="false" outlineLevel="0" collapsed="false">
      <c r="A4682" s="102"/>
      <c r="E4682" s="103" t="str">
        <f aca="false">IF($C4682="","",IFERROR(INDEX(المنيو!$C$2:$C$500,MATCH($C4682,المنيو!$B$2:$B$500,0)),0))</f>
        <v/>
      </c>
      <c r="F4682" s="103" t="str">
        <f aca="false">IF($C4682="","",$D4682*$E4682)</f>
        <v/>
      </c>
      <c r="G4682" s="103" t="str">
        <f aca="false">IF($C4682="","",$D4682*IFERROR(INDEX('تحليل التكلفة والسعر'!$C$2:$C$700,MATCH($C4682,'تحليل التكلفة والسعر'!$B$2:$B$700,0)),0))</f>
        <v/>
      </c>
    </row>
    <row r="4683" customFormat="false" ht="15" hidden="false" customHeight="false" outlineLevel="0" collapsed="false">
      <c r="A4683" s="102"/>
      <c r="E4683" s="103" t="str">
        <f aca="false">IF($C4683="","",IFERROR(INDEX(المنيو!$C$2:$C$500,MATCH($C4683,المنيو!$B$2:$B$500,0)),0))</f>
        <v/>
      </c>
      <c r="F4683" s="103" t="str">
        <f aca="false">IF($C4683="","",$D4683*$E4683)</f>
        <v/>
      </c>
      <c r="G4683" s="103" t="str">
        <f aca="false">IF($C4683="","",$D4683*IFERROR(INDEX('تحليل التكلفة والسعر'!$C$2:$C$700,MATCH($C4683,'تحليل التكلفة والسعر'!$B$2:$B$700,0)),0))</f>
        <v/>
      </c>
    </row>
    <row r="4684" customFormat="false" ht="15" hidden="false" customHeight="false" outlineLevel="0" collapsed="false">
      <c r="A4684" s="102"/>
      <c r="E4684" s="103" t="str">
        <f aca="false">IF($C4684="","",IFERROR(INDEX(المنيو!$C$2:$C$500,MATCH($C4684,المنيو!$B$2:$B$500,0)),0))</f>
        <v/>
      </c>
      <c r="F4684" s="103" t="str">
        <f aca="false">IF($C4684="","",$D4684*$E4684)</f>
        <v/>
      </c>
      <c r="G4684" s="103" t="str">
        <f aca="false">IF($C4684="","",$D4684*IFERROR(INDEX('تحليل التكلفة والسعر'!$C$2:$C$700,MATCH($C4684,'تحليل التكلفة والسعر'!$B$2:$B$700,0)),0))</f>
        <v/>
      </c>
    </row>
    <row r="4685" customFormat="false" ht="15" hidden="false" customHeight="false" outlineLevel="0" collapsed="false">
      <c r="A4685" s="102"/>
      <c r="E4685" s="103" t="str">
        <f aca="false">IF($C4685="","",IFERROR(INDEX(المنيو!$C$2:$C$500,MATCH($C4685,المنيو!$B$2:$B$500,0)),0))</f>
        <v/>
      </c>
      <c r="F4685" s="103" t="str">
        <f aca="false">IF($C4685="","",$D4685*$E4685)</f>
        <v/>
      </c>
      <c r="G4685" s="103" t="str">
        <f aca="false">IF($C4685="","",$D4685*IFERROR(INDEX('تحليل التكلفة والسعر'!$C$2:$C$700,MATCH($C4685,'تحليل التكلفة والسعر'!$B$2:$B$700,0)),0))</f>
        <v/>
      </c>
    </row>
    <row r="4686" customFormat="false" ht="15" hidden="false" customHeight="false" outlineLevel="0" collapsed="false">
      <c r="A4686" s="102"/>
      <c r="E4686" s="103" t="str">
        <f aca="false">IF($C4686="","",IFERROR(INDEX(المنيو!$C$2:$C$500,MATCH($C4686,المنيو!$B$2:$B$500,0)),0))</f>
        <v/>
      </c>
      <c r="F4686" s="103" t="str">
        <f aca="false">IF($C4686="","",$D4686*$E4686)</f>
        <v/>
      </c>
      <c r="G4686" s="103" t="str">
        <f aca="false">IF($C4686="","",$D4686*IFERROR(INDEX('تحليل التكلفة والسعر'!$C$2:$C$700,MATCH($C4686,'تحليل التكلفة والسعر'!$B$2:$B$700,0)),0))</f>
        <v/>
      </c>
    </row>
    <row r="4687" customFormat="false" ht="15" hidden="false" customHeight="false" outlineLevel="0" collapsed="false">
      <c r="A4687" s="102"/>
      <c r="E4687" s="103" t="str">
        <f aca="false">IF($C4687="","",IFERROR(INDEX(المنيو!$C$2:$C$500,MATCH($C4687,المنيو!$B$2:$B$500,0)),0))</f>
        <v/>
      </c>
      <c r="F4687" s="103" t="str">
        <f aca="false">IF($C4687="","",$D4687*$E4687)</f>
        <v/>
      </c>
      <c r="G4687" s="103" t="str">
        <f aca="false">IF($C4687="","",$D4687*IFERROR(INDEX('تحليل التكلفة والسعر'!$C$2:$C$700,MATCH($C4687,'تحليل التكلفة والسعر'!$B$2:$B$700,0)),0))</f>
        <v/>
      </c>
    </row>
    <row r="4688" customFormat="false" ht="15" hidden="false" customHeight="false" outlineLevel="0" collapsed="false">
      <c r="A4688" s="102"/>
      <c r="E4688" s="103" t="str">
        <f aca="false">IF($C4688="","",IFERROR(INDEX(المنيو!$C$2:$C$500,MATCH($C4688,المنيو!$B$2:$B$500,0)),0))</f>
        <v/>
      </c>
      <c r="F4688" s="103" t="str">
        <f aca="false">IF($C4688="","",$D4688*$E4688)</f>
        <v/>
      </c>
      <c r="G4688" s="103" t="str">
        <f aca="false">IF($C4688="","",$D4688*IFERROR(INDEX('تحليل التكلفة والسعر'!$C$2:$C$700,MATCH($C4688,'تحليل التكلفة والسعر'!$B$2:$B$700,0)),0))</f>
        <v/>
      </c>
    </row>
    <row r="4689" customFormat="false" ht="15" hidden="false" customHeight="false" outlineLevel="0" collapsed="false">
      <c r="A4689" s="102"/>
      <c r="E4689" s="103" t="str">
        <f aca="false">IF($C4689="","",IFERROR(INDEX(المنيو!$C$2:$C$500,MATCH($C4689,المنيو!$B$2:$B$500,0)),0))</f>
        <v/>
      </c>
      <c r="F4689" s="103" t="str">
        <f aca="false">IF($C4689="","",$D4689*$E4689)</f>
        <v/>
      </c>
      <c r="G4689" s="103" t="str">
        <f aca="false">IF($C4689="","",$D4689*IFERROR(INDEX('تحليل التكلفة والسعر'!$C$2:$C$700,MATCH($C4689,'تحليل التكلفة والسعر'!$B$2:$B$700,0)),0))</f>
        <v/>
      </c>
    </row>
    <row r="4690" customFormat="false" ht="15" hidden="false" customHeight="false" outlineLevel="0" collapsed="false">
      <c r="A4690" s="102"/>
      <c r="E4690" s="103" t="str">
        <f aca="false">IF($C4690="","",IFERROR(INDEX(المنيو!$C$2:$C$500,MATCH($C4690,المنيو!$B$2:$B$500,0)),0))</f>
        <v/>
      </c>
      <c r="F4690" s="103" t="str">
        <f aca="false">IF($C4690="","",$D4690*$E4690)</f>
        <v/>
      </c>
      <c r="G4690" s="103" t="str">
        <f aca="false">IF($C4690="","",$D4690*IFERROR(INDEX('تحليل التكلفة والسعر'!$C$2:$C$700,MATCH($C4690,'تحليل التكلفة والسعر'!$B$2:$B$700,0)),0))</f>
        <v/>
      </c>
    </row>
    <row r="4691" customFormat="false" ht="15" hidden="false" customHeight="false" outlineLevel="0" collapsed="false">
      <c r="A4691" s="102"/>
      <c r="E4691" s="103" t="str">
        <f aca="false">IF($C4691="","",IFERROR(INDEX(المنيو!$C$2:$C$500,MATCH($C4691,المنيو!$B$2:$B$500,0)),0))</f>
        <v/>
      </c>
      <c r="F4691" s="103" t="str">
        <f aca="false">IF($C4691="","",$D4691*$E4691)</f>
        <v/>
      </c>
      <c r="G4691" s="103" t="str">
        <f aca="false">IF($C4691="","",$D4691*IFERROR(INDEX('تحليل التكلفة والسعر'!$C$2:$C$700,MATCH($C4691,'تحليل التكلفة والسعر'!$B$2:$B$700,0)),0))</f>
        <v/>
      </c>
    </row>
    <row r="4692" customFormat="false" ht="15" hidden="false" customHeight="false" outlineLevel="0" collapsed="false">
      <c r="A4692" s="102"/>
      <c r="E4692" s="103" t="str">
        <f aca="false">IF($C4692="","",IFERROR(INDEX(المنيو!$C$2:$C$500,MATCH($C4692,المنيو!$B$2:$B$500,0)),0))</f>
        <v/>
      </c>
      <c r="F4692" s="103" t="str">
        <f aca="false">IF($C4692="","",$D4692*$E4692)</f>
        <v/>
      </c>
      <c r="G4692" s="103" t="str">
        <f aca="false">IF($C4692="","",$D4692*IFERROR(INDEX('تحليل التكلفة والسعر'!$C$2:$C$700,MATCH($C4692,'تحليل التكلفة والسعر'!$B$2:$B$700,0)),0))</f>
        <v/>
      </c>
    </row>
    <row r="4693" customFormat="false" ht="15" hidden="false" customHeight="false" outlineLevel="0" collapsed="false">
      <c r="A4693" s="102"/>
      <c r="E4693" s="103" t="str">
        <f aca="false">IF($C4693="","",IFERROR(INDEX(المنيو!$C$2:$C$500,MATCH($C4693,المنيو!$B$2:$B$500,0)),0))</f>
        <v/>
      </c>
      <c r="F4693" s="103" t="str">
        <f aca="false">IF($C4693="","",$D4693*$E4693)</f>
        <v/>
      </c>
      <c r="G4693" s="103" t="str">
        <f aca="false">IF($C4693="","",$D4693*IFERROR(INDEX('تحليل التكلفة والسعر'!$C$2:$C$700,MATCH($C4693,'تحليل التكلفة والسعر'!$B$2:$B$700,0)),0))</f>
        <v/>
      </c>
    </row>
    <row r="4694" customFormat="false" ht="15" hidden="false" customHeight="false" outlineLevel="0" collapsed="false">
      <c r="A4694" s="102"/>
      <c r="E4694" s="103" t="str">
        <f aca="false">IF($C4694="","",IFERROR(INDEX(المنيو!$C$2:$C$500,MATCH($C4694,المنيو!$B$2:$B$500,0)),0))</f>
        <v/>
      </c>
      <c r="F4694" s="103" t="str">
        <f aca="false">IF($C4694="","",$D4694*$E4694)</f>
        <v/>
      </c>
      <c r="G4694" s="103" t="str">
        <f aca="false">IF($C4694="","",$D4694*IFERROR(INDEX('تحليل التكلفة والسعر'!$C$2:$C$700,MATCH($C4694,'تحليل التكلفة والسعر'!$B$2:$B$700,0)),0))</f>
        <v/>
      </c>
    </row>
    <row r="4695" customFormat="false" ht="15" hidden="false" customHeight="false" outlineLevel="0" collapsed="false">
      <c r="A4695" s="102"/>
      <c r="E4695" s="103" t="str">
        <f aca="false">IF($C4695="","",IFERROR(INDEX(المنيو!$C$2:$C$500,MATCH($C4695,المنيو!$B$2:$B$500,0)),0))</f>
        <v/>
      </c>
      <c r="F4695" s="103" t="str">
        <f aca="false">IF($C4695="","",$D4695*$E4695)</f>
        <v/>
      </c>
      <c r="G4695" s="103" t="str">
        <f aca="false">IF($C4695="","",$D4695*IFERROR(INDEX('تحليل التكلفة والسعر'!$C$2:$C$700,MATCH($C4695,'تحليل التكلفة والسعر'!$B$2:$B$700,0)),0))</f>
        <v/>
      </c>
    </row>
    <row r="4696" customFormat="false" ht="15" hidden="false" customHeight="false" outlineLevel="0" collapsed="false">
      <c r="A4696" s="102"/>
      <c r="E4696" s="103" t="str">
        <f aca="false">IF($C4696="","",IFERROR(INDEX(المنيو!$C$2:$C$500,MATCH($C4696,المنيو!$B$2:$B$500,0)),0))</f>
        <v/>
      </c>
      <c r="F4696" s="103" t="str">
        <f aca="false">IF($C4696="","",$D4696*$E4696)</f>
        <v/>
      </c>
      <c r="G4696" s="103" t="str">
        <f aca="false">IF($C4696="","",$D4696*IFERROR(INDEX('تحليل التكلفة والسعر'!$C$2:$C$700,MATCH($C4696,'تحليل التكلفة والسعر'!$B$2:$B$700,0)),0))</f>
        <v/>
      </c>
    </row>
    <row r="4697" customFormat="false" ht="15" hidden="false" customHeight="false" outlineLevel="0" collapsed="false">
      <c r="A4697" s="102"/>
      <c r="E4697" s="103" t="str">
        <f aca="false">IF($C4697="","",IFERROR(INDEX(المنيو!$C$2:$C$500,MATCH($C4697,المنيو!$B$2:$B$500,0)),0))</f>
        <v/>
      </c>
      <c r="F4697" s="103" t="str">
        <f aca="false">IF($C4697="","",$D4697*$E4697)</f>
        <v/>
      </c>
      <c r="G4697" s="103" t="str">
        <f aca="false">IF($C4697="","",$D4697*IFERROR(INDEX('تحليل التكلفة والسعر'!$C$2:$C$700,MATCH($C4697,'تحليل التكلفة والسعر'!$B$2:$B$700,0)),0))</f>
        <v/>
      </c>
    </row>
    <row r="4698" customFormat="false" ht="15" hidden="false" customHeight="false" outlineLevel="0" collapsed="false">
      <c r="A4698" s="102"/>
      <c r="E4698" s="103" t="str">
        <f aca="false">IF($C4698="","",IFERROR(INDEX(المنيو!$C$2:$C$500,MATCH($C4698,المنيو!$B$2:$B$500,0)),0))</f>
        <v/>
      </c>
      <c r="F4698" s="103" t="str">
        <f aca="false">IF($C4698="","",$D4698*$E4698)</f>
        <v/>
      </c>
      <c r="G4698" s="103" t="str">
        <f aca="false">IF($C4698="","",$D4698*IFERROR(INDEX('تحليل التكلفة والسعر'!$C$2:$C$700,MATCH($C4698,'تحليل التكلفة والسعر'!$B$2:$B$700,0)),0))</f>
        <v/>
      </c>
    </row>
    <row r="4699" customFormat="false" ht="15" hidden="false" customHeight="false" outlineLevel="0" collapsed="false">
      <c r="A4699" s="102"/>
      <c r="E4699" s="103" t="str">
        <f aca="false">IF($C4699="","",IFERROR(INDEX(المنيو!$C$2:$C$500,MATCH($C4699,المنيو!$B$2:$B$500,0)),0))</f>
        <v/>
      </c>
      <c r="F4699" s="103" t="str">
        <f aca="false">IF($C4699="","",$D4699*$E4699)</f>
        <v/>
      </c>
      <c r="G4699" s="103" t="str">
        <f aca="false">IF($C4699="","",$D4699*IFERROR(INDEX('تحليل التكلفة والسعر'!$C$2:$C$700,MATCH($C4699,'تحليل التكلفة والسعر'!$B$2:$B$700,0)),0))</f>
        <v/>
      </c>
    </row>
    <row r="4700" customFormat="false" ht="15" hidden="false" customHeight="false" outlineLevel="0" collapsed="false">
      <c r="A4700" s="102"/>
      <c r="E4700" s="103" t="str">
        <f aca="false">IF($C4700="","",IFERROR(INDEX(المنيو!$C$2:$C$500,MATCH($C4700,المنيو!$B$2:$B$500,0)),0))</f>
        <v/>
      </c>
      <c r="F4700" s="103" t="str">
        <f aca="false">IF($C4700="","",$D4700*$E4700)</f>
        <v/>
      </c>
      <c r="G4700" s="103" t="str">
        <f aca="false">IF($C4700="","",$D4700*IFERROR(INDEX('تحليل التكلفة والسعر'!$C$2:$C$700,MATCH($C4700,'تحليل التكلفة والسعر'!$B$2:$B$700,0)),0))</f>
        <v/>
      </c>
    </row>
    <row r="4701" customFormat="false" ht="15" hidden="false" customHeight="false" outlineLevel="0" collapsed="false">
      <c r="A4701" s="102"/>
      <c r="E4701" s="103" t="str">
        <f aca="false">IF($C4701="","",IFERROR(INDEX(المنيو!$C$2:$C$500,MATCH($C4701,المنيو!$B$2:$B$500,0)),0))</f>
        <v/>
      </c>
      <c r="F4701" s="103" t="str">
        <f aca="false">IF($C4701="","",$D4701*$E4701)</f>
        <v/>
      </c>
      <c r="G4701" s="103" t="str">
        <f aca="false">IF($C4701="","",$D4701*IFERROR(INDEX('تحليل التكلفة والسعر'!$C$2:$C$700,MATCH($C4701,'تحليل التكلفة والسعر'!$B$2:$B$700,0)),0))</f>
        <v/>
      </c>
    </row>
    <row r="4702" customFormat="false" ht="15" hidden="false" customHeight="false" outlineLevel="0" collapsed="false">
      <c r="A4702" s="102"/>
      <c r="E4702" s="103" t="str">
        <f aca="false">IF($C4702="","",IFERROR(INDEX(المنيو!$C$2:$C$500,MATCH($C4702,المنيو!$B$2:$B$500,0)),0))</f>
        <v/>
      </c>
      <c r="F4702" s="103" t="str">
        <f aca="false">IF($C4702="","",$D4702*$E4702)</f>
        <v/>
      </c>
      <c r="G4702" s="103" t="str">
        <f aca="false">IF($C4702="","",$D4702*IFERROR(INDEX('تحليل التكلفة والسعر'!$C$2:$C$700,MATCH($C4702,'تحليل التكلفة والسعر'!$B$2:$B$700,0)),0))</f>
        <v/>
      </c>
    </row>
    <row r="4703" customFormat="false" ht="15" hidden="false" customHeight="false" outlineLevel="0" collapsed="false">
      <c r="A4703" s="102"/>
      <c r="E4703" s="103" t="str">
        <f aca="false">IF($C4703="","",IFERROR(INDEX(المنيو!$C$2:$C$500,MATCH($C4703,المنيو!$B$2:$B$500,0)),0))</f>
        <v/>
      </c>
      <c r="F4703" s="103" t="str">
        <f aca="false">IF($C4703="","",$D4703*$E4703)</f>
        <v/>
      </c>
      <c r="G4703" s="103" t="str">
        <f aca="false">IF($C4703="","",$D4703*IFERROR(INDEX('تحليل التكلفة والسعر'!$C$2:$C$700,MATCH($C4703,'تحليل التكلفة والسعر'!$B$2:$B$700,0)),0))</f>
        <v/>
      </c>
    </row>
    <row r="4704" customFormat="false" ht="15" hidden="false" customHeight="false" outlineLevel="0" collapsed="false">
      <c r="A4704" s="102"/>
      <c r="E4704" s="103" t="str">
        <f aca="false">IF($C4704="","",IFERROR(INDEX(المنيو!$C$2:$C$500,MATCH($C4704,المنيو!$B$2:$B$500,0)),0))</f>
        <v/>
      </c>
      <c r="F4704" s="103" t="str">
        <f aca="false">IF($C4704="","",$D4704*$E4704)</f>
        <v/>
      </c>
      <c r="G4704" s="103" t="str">
        <f aca="false">IF($C4704="","",$D4704*IFERROR(INDEX('تحليل التكلفة والسعر'!$C$2:$C$700,MATCH($C4704,'تحليل التكلفة والسعر'!$B$2:$B$700,0)),0))</f>
        <v/>
      </c>
    </row>
    <row r="4705" customFormat="false" ht="15" hidden="false" customHeight="false" outlineLevel="0" collapsed="false">
      <c r="A4705" s="102"/>
      <c r="E4705" s="103" t="str">
        <f aca="false">IF($C4705="","",IFERROR(INDEX(المنيو!$C$2:$C$500,MATCH($C4705,المنيو!$B$2:$B$500,0)),0))</f>
        <v/>
      </c>
      <c r="F4705" s="103" t="str">
        <f aca="false">IF($C4705="","",$D4705*$E4705)</f>
        <v/>
      </c>
      <c r="G4705" s="103" t="str">
        <f aca="false">IF($C4705="","",$D4705*IFERROR(INDEX('تحليل التكلفة والسعر'!$C$2:$C$700,MATCH($C4705,'تحليل التكلفة والسعر'!$B$2:$B$700,0)),0))</f>
        <v/>
      </c>
    </row>
    <row r="4706" customFormat="false" ht="15" hidden="false" customHeight="false" outlineLevel="0" collapsed="false">
      <c r="A4706" s="102"/>
      <c r="E4706" s="103" t="str">
        <f aca="false">IF($C4706="","",IFERROR(INDEX(المنيو!$C$2:$C$500,MATCH($C4706,المنيو!$B$2:$B$500,0)),0))</f>
        <v/>
      </c>
      <c r="F4706" s="103" t="str">
        <f aca="false">IF($C4706="","",$D4706*$E4706)</f>
        <v/>
      </c>
      <c r="G4706" s="103" t="str">
        <f aca="false">IF($C4706="","",$D4706*IFERROR(INDEX('تحليل التكلفة والسعر'!$C$2:$C$700,MATCH($C4706,'تحليل التكلفة والسعر'!$B$2:$B$700,0)),0))</f>
        <v/>
      </c>
    </row>
    <row r="4707" customFormat="false" ht="15" hidden="false" customHeight="false" outlineLevel="0" collapsed="false">
      <c r="A4707" s="102"/>
      <c r="E4707" s="103" t="str">
        <f aca="false">IF($C4707="","",IFERROR(INDEX(المنيو!$C$2:$C$500,MATCH($C4707,المنيو!$B$2:$B$500,0)),0))</f>
        <v/>
      </c>
      <c r="F4707" s="103" t="str">
        <f aca="false">IF($C4707="","",$D4707*$E4707)</f>
        <v/>
      </c>
      <c r="G4707" s="103" t="str">
        <f aca="false">IF($C4707="","",$D4707*IFERROR(INDEX('تحليل التكلفة والسعر'!$C$2:$C$700,MATCH($C4707,'تحليل التكلفة والسعر'!$B$2:$B$700,0)),0))</f>
        <v/>
      </c>
    </row>
    <row r="4708" customFormat="false" ht="15" hidden="false" customHeight="false" outlineLevel="0" collapsed="false">
      <c r="A4708" s="102"/>
      <c r="E4708" s="103" t="str">
        <f aca="false">IF($C4708="","",IFERROR(INDEX(المنيو!$C$2:$C$500,MATCH($C4708,المنيو!$B$2:$B$500,0)),0))</f>
        <v/>
      </c>
      <c r="F4708" s="103" t="str">
        <f aca="false">IF($C4708="","",$D4708*$E4708)</f>
        <v/>
      </c>
      <c r="G4708" s="103" t="str">
        <f aca="false">IF($C4708="","",$D4708*IFERROR(INDEX('تحليل التكلفة والسعر'!$C$2:$C$700,MATCH($C4708,'تحليل التكلفة والسعر'!$B$2:$B$700,0)),0))</f>
        <v/>
      </c>
    </row>
    <row r="4709" customFormat="false" ht="15" hidden="false" customHeight="false" outlineLevel="0" collapsed="false">
      <c r="A4709" s="102"/>
      <c r="E4709" s="103" t="str">
        <f aca="false">IF($C4709="","",IFERROR(INDEX(المنيو!$C$2:$C$500,MATCH($C4709,المنيو!$B$2:$B$500,0)),0))</f>
        <v/>
      </c>
      <c r="F4709" s="103" t="str">
        <f aca="false">IF($C4709="","",$D4709*$E4709)</f>
        <v/>
      </c>
      <c r="G4709" s="103" t="str">
        <f aca="false">IF($C4709="","",$D4709*IFERROR(INDEX('تحليل التكلفة والسعر'!$C$2:$C$700,MATCH($C4709,'تحليل التكلفة والسعر'!$B$2:$B$700,0)),0))</f>
        <v/>
      </c>
    </row>
    <row r="4710" customFormat="false" ht="15" hidden="false" customHeight="false" outlineLevel="0" collapsed="false">
      <c r="A4710" s="102"/>
      <c r="E4710" s="103" t="str">
        <f aca="false">IF($C4710="","",IFERROR(INDEX(المنيو!$C$2:$C$500,MATCH($C4710,المنيو!$B$2:$B$500,0)),0))</f>
        <v/>
      </c>
      <c r="F4710" s="103" t="str">
        <f aca="false">IF($C4710="","",$D4710*$E4710)</f>
        <v/>
      </c>
      <c r="G4710" s="103" t="str">
        <f aca="false">IF($C4710="","",$D4710*IFERROR(INDEX('تحليل التكلفة والسعر'!$C$2:$C$700,MATCH($C4710,'تحليل التكلفة والسعر'!$B$2:$B$700,0)),0))</f>
        <v/>
      </c>
    </row>
    <row r="4711" customFormat="false" ht="15" hidden="false" customHeight="false" outlineLevel="0" collapsed="false">
      <c r="A4711" s="102"/>
      <c r="E4711" s="103" t="str">
        <f aca="false">IF($C4711="","",IFERROR(INDEX(المنيو!$C$2:$C$500,MATCH($C4711,المنيو!$B$2:$B$500,0)),0))</f>
        <v/>
      </c>
      <c r="F4711" s="103" t="str">
        <f aca="false">IF($C4711="","",$D4711*$E4711)</f>
        <v/>
      </c>
      <c r="G4711" s="103" t="str">
        <f aca="false">IF($C4711="","",$D4711*IFERROR(INDEX('تحليل التكلفة والسعر'!$C$2:$C$700,MATCH($C4711,'تحليل التكلفة والسعر'!$B$2:$B$700,0)),0))</f>
        <v/>
      </c>
    </row>
    <row r="4712" customFormat="false" ht="15" hidden="false" customHeight="false" outlineLevel="0" collapsed="false">
      <c r="A4712" s="102"/>
      <c r="E4712" s="103" t="str">
        <f aca="false">IF($C4712="","",IFERROR(INDEX(المنيو!$C$2:$C$500,MATCH($C4712,المنيو!$B$2:$B$500,0)),0))</f>
        <v/>
      </c>
      <c r="F4712" s="103" t="str">
        <f aca="false">IF($C4712="","",$D4712*$E4712)</f>
        <v/>
      </c>
      <c r="G4712" s="103" t="str">
        <f aca="false">IF($C4712="","",$D4712*IFERROR(INDEX('تحليل التكلفة والسعر'!$C$2:$C$700,MATCH($C4712,'تحليل التكلفة والسعر'!$B$2:$B$700,0)),0))</f>
        <v/>
      </c>
    </row>
    <row r="4713" customFormat="false" ht="15" hidden="false" customHeight="false" outlineLevel="0" collapsed="false">
      <c r="A4713" s="102"/>
      <c r="E4713" s="103" t="str">
        <f aca="false">IF($C4713="","",IFERROR(INDEX(المنيو!$C$2:$C$500,MATCH($C4713,المنيو!$B$2:$B$500,0)),0))</f>
        <v/>
      </c>
      <c r="F4713" s="103" t="str">
        <f aca="false">IF($C4713="","",$D4713*$E4713)</f>
        <v/>
      </c>
      <c r="G4713" s="103" t="str">
        <f aca="false">IF($C4713="","",$D4713*IFERROR(INDEX('تحليل التكلفة والسعر'!$C$2:$C$700,MATCH($C4713,'تحليل التكلفة والسعر'!$B$2:$B$700,0)),0))</f>
        <v/>
      </c>
    </row>
    <row r="4714" customFormat="false" ht="15" hidden="false" customHeight="false" outlineLevel="0" collapsed="false">
      <c r="A4714" s="102"/>
      <c r="E4714" s="103" t="str">
        <f aca="false">IF($C4714="","",IFERROR(INDEX(المنيو!$C$2:$C$500,MATCH($C4714,المنيو!$B$2:$B$500,0)),0))</f>
        <v/>
      </c>
      <c r="F4714" s="103" t="str">
        <f aca="false">IF($C4714="","",$D4714*$E4714)</f>
        <v/>
      </c>
      <c r="G4714" s="103" t="str">
        <f aca="false">IF($C4714="","",$D4714*IFERROR(INDEX('تحليل التكلفة والسعر'!$C$2:$C$700,MATCH($C4714,'تحليل التكلفة والسعر'!$B$2:$B$700,0)),0))</f>
        <v/>
      </c>
    </row>
    <row r="4715" customFormat="false" ht="15" hidden="false" customHeight="false" outlineLevel="0" collapsed="false">
      <c r="A4715" s="102"/>
      <c r="E4715" s="103" t="str">
        <f aca="false">IF($C4715="","",IFERROR(INDEX(المنيو!$C$2:$C$500,MATCH($C4715,المنيو!$B$2:$B$500,0)),0))</f>
        <v/>
      </c>
      <c r="F4715" s="103" t="str">
        <f aca="false">IF($C4715="","",$D4715*$E4715)</f>
        <v/>
      </c>
      <c r="G4715" s="103" t="str">
        <f aca="false">IF($C4715="","",$D4715*IFERROR(INDEX('تحليل التكلفة والسعر'!$C$2:$C$700,MATCH($C4715,'تحليل التكلفة والسعر'!$B$2:$B$700,0)),0))</f>
        <v/>
      </c>
    </row>
    <row r="4716" customFormat="false" ht="15" hidden="false" customHeight="false" outlineLevel="0" collapsed="false">
      <c r="A4716" s="102"/>
      <c r="E4716" s="103" t="str">
        <f aca="false">IF($C4716="","",IFERROR(INDEX(المنيو!$C$2:$C$500,MATCH($C4716,المنيو!$B$2:$B$500,0)),0))</f>
        <v/>
      </c>
      <c r="F4716" s="103" t="str">
        <f aca="false">IF($C4716="","",$D4716*$E4716)</f>
        <v/>
      </c>
      <c r="G4716" s="103" t="str">
        <f aca="false">IF($C4716="","",$D4716*IFERROR(INDEX('تحليل التكلفة والسعر'!$C$2:$C$700,MATCH($C4716,'تحليل التكلفة والسعر'!$B$2:$B$700,0)),0))</f>
        <v/>
      </c>
    </row>
    <row r="4717" customFormat="false" ht="15" hidden="false" customHeight="false" outlineLevel="0" collapsed="false">
      <c r="A4717" s="102"/>
      <c r="E4717" s="103" t="str">
        <f aca="false">IF($C4717="","",IFERROR(INDEX(المنيو!$C$2:$C$500,MATCH($C4717,المنيو!$B$2:$B$500,0)),0))</f>
        <v/>
      </c>
      <c r="F4717" s="103" t="str">
        <f aca="false">IF($C4717="","",$D4717*$E4717)</f>
        <v/>
      </c>
      <c r="G4717" s="103" t="str">
        <f aca="false">IF($C4717="","",$D4717*IFERROR(INDEX('تحليل التكلفة والسعر'!$C$2:$C$700,MATCH($C4717,'تحليل التكلفة والسعر'!$B$2:$B$700,0)),0))</f>
        <v/>
      </c>
    </row>
    <row r="4718" customFormat="false" ht="15" hidden="false" customHeight="false" outlineLevel="0" collapsed="false">
      <c r="A4718" s="102"/>
      <c r="E4718" s="103" t="str">
        <f aca="false">IF($C4718="","",IFERROR(INDEX(المنيو!$C$2:$C$500,MATCH($C4718,المنيو!$B$2:$B$500,0)),0))</f>
        <v/>
      </c>
      <c r="F4718" s="103" t="str">
        <f aca="false">IF($C4718="","",$D4718*$E4718)</f>
        <v/>
      </c>
      <c r="G4718" s="103" t="str">
        <f aca="false">IF($C4718="","",$D4718*IFERROR(INDEX('تحليل التكلفة والسعر'!$C$2:$C$700,MATCH($C4718,'تحليل التكلفة والسعر'!$B$2:$B$700,0)),0))</f>
        <v/>
      </c>
    </row>
    <row r="4719" customFormat="false" ht="15" hidden="false" customHeight="false" outlineLevel="0" collapsed="false">
      <c r="A4719" s="102"/>
      <c r="E4719" s="103" t="str">
        <f aca="false">IF($C4719="","",IFERROR(INDEX(المنيو!$C$2:$C$500,MATCH($C4719,المنيو!$B$2:$B$500,0)),0))</f>
        <v/>
      </c>
      <c r="F4719" s="103" t="str">
        <f aca="false">IF($C4719="","",$D4719*$E4719)</f>
        <v/>
      </c>
      <c r="G4719" s="103" t="str">
        <f aca="false">IF($C4719="","",$D4719*IFERROR(INDEX('تحليل التكلفة والسعر'!$C$2:$C$700,MATCH($C4719,'تحليل التكلفة والسعر'!$B$2:$B$700,0)),0))</f>
        <v/>
      </c>
    </row>
    <row r="4720" customFormat="false" ht="15" hidden="false" customHeight="false" outlineLevel="0" collapsed="false">
      <c r="A4720" s="102"/>
      <c r="E4720" s="103" t="str">
        <f aca="false">IF($C4720="","",IFERROR(INDEX(المنيو!$C$2:$C$500,MATCH($C4720,المنيو!$B$2:$B$500,0)),0))</f>
        <v/>
      </c>
      <c r="F4720" s="103" t="str">
        <f aca="false">IF($C4720="","",$D4720*$E4720)</f>
        <v/>
      </c>
      <c r="G4720" s="103" t="str">
        <f aca="false">IF($C4720="","",$D4720*IFERROR(INDEX('تحليل التكلفة والسعر'!$C$2:$C$700,MATCH($C4720,'تحليل التكلفة والسعر'!$B$2:$B$700,0)),0))</f>
        <v/>
      </c>
    </row>
    <row r="4721" customFormat="false" ht="15" hidden="false" customHeight="false" outlineLevel="0" collapsed="false">
      <c r="A4721" s="102"/>
      <c r="E4721" s="103" t="str">
        <f aca="false">IF($C4721="","",IFERROR(INDEX(المنيو!$C$2:$C$500,MATCH($C4721,المنيو!$B$2:$B$500,0)),0))</f>
        <v/>
      </c>
      <c r="F4721" s="103" t="str">
        <f aca="false">IF($C4721="","",$D4721*$E4721)</f>
        <v/>
      </c>
      <c r="G4721" s="103" t="str">
        <f aca="false">IF($C4721="","",$D4721*IFERROR(INDEX('تحليل التكلفة والسعر'!$C$2:$C$700,MATCH($C4721,'تحليل التكلفة والسعر'!$B$2:$B$700,0)),0))</f>
        <v/>
      </c>
    </row>
    <row r="4722" customFormat="false" ht="15" hidden="false" customHeight="false" outlineLevel="0" collapsed="false">
      <c r="A4722" s="102"/>
      <c r="E4722" s="103" t="str">
        <f aca="false">IF($C4722="","",IFERROR(INDEX(المنيو!$C$2:$C$500,MATCH($C4722,المنيو!$B$2:$B$500,0)),0))</f>
        <v/>
      </c>
      <c r="F4722" s="103" t="str">
        <f aca="false">IF($C4722="","",$D4722*$E4722)</f>
        <v/>
      </c>
      <c r="G4722" s="103" t="str">
        <f aca="false">IF($C4722="","",$D4722*IFERROR(INDEX('تحليل التكلفة والسعر'!$C$2:$C$700,MATCH($C4722,'تحليل التكلفة والسعر'!$B$2:$B$700,0)),0))</f>
        <v/>
      </c>
    </row>
    <row r="4723" customFormat="false" ht="15" hidden="false" customHeight="false" outlineLevel="0" collapsed="false">
      <c r="A4723" s="102"/>
      <c r="E4723" s="103" t="str">
        <f aca="false">IF($C4723="","",IFERROR(INDEX(المنيو!$C$2:$C$500,MATCH($C4723,المنيو!$B$2:$B$500,0)),0))</f>
        <v/>
      </c>
      <c r="F4723" s="103" t="str">
        <f aca="false">IF($C4723="","",$D4723*$E4723)</f>
        <v/>
      </c>
      <c r="G4723" s="103" t="str">
        <f aca="false">IF($C4723="","",$D4723*IFERROR(INDEX('تحليل التكلفة والسعر'!$C$2:$C$700,MATCH($C4723,'تحليل التكلفة والسعر'!$B$2:$B$700,0)),0))</f>
        <v/>
      </c>
    </row>
    <row r="4724" customFormat="false" ht="15" hidden="false" customHeight="false" outlineLevel="0" collapsed="false">
      <c r="A4724" s="102"/>
      <c r="E4724" s="103" t="str">
        <f aca="false">IF($C4724="","",IFERROR(INDEX(المنيو!$C$2:$C$500,MATCH($C4724,المنيو!$B$2:$B$500,0)),0))</f>
        <v/>
      </c>
      <c r="F4724" s="103" t="str">
        <f aca="false">IF($C4724="","",$D4724*$E4724)</f>
        <v/>
      </c>
      <c r="G4724" s="103" t="str">
        <f aca="false">IF($C4724="","",$D4724*IFERROR(INDEX('تحليل التكلفة والسعر'!$C$2:$C$700,MATCH($C4724,'تحليل التكلفة والسعر'!$B$2:$B$700,0)),0))</f>
        <v/>
      </c>
    </row>
    <row r="4725" customFormat="false" ht="15" hidden="false" customHeight="false" outlineLevel="0" collapsed="false">
      <c r="A4725" s="102"/>
      <c r="E4725" s="103" t="str">
        <f aca="false">IF($C4725="","",IFERROR(INDEX(المنيو!$C$2:$C$500,MATCH($C4725,المنيو!$B$2:$B$500,0)),0))</f>
        <v/>
      </c>
      <c r="F4725" s="103" t="str">
        <f aca="false">IF($C4725="","",$D4725*$E4725)</f>
        <v/>
      </c>
      <c r="G4725" s="103" t="str">
        <f aca="false">IF($C4725="","",$D4725*IFERROR(INDEX('تحليل التكلفة والسعر'!$C$2:$C$700,MATCH($C4725,'تحليل التكلفة والسعر'!$B$2:$B$700,0)),0))</f>
        <v/>
      </c>
    </row>
    <row r="4726" customFormat="false" ht="15" hidden="false" customHeight="false" outlineLevel="0" collapsed="false">
      <c r="A4726" s="102"/>
      <c r="E4726" s="103" t="str">
        <f aca="false">IF($C4726="","",IFERROR(INDEX(المنيو!$C$2:$C$500,MATCH($C4726,المنيو!$B$2:$B$500,0)),0))</f>
        <v/>
      </c>
      <c r="F4726" s="103" t="str">
        <f aca="false">IF($C4726="","",$D4726*$E4726)</f>
        <v/>
      </c>
      <c r="G4726" s="103" t="str">
        <f aca="false">IF($C4726="","",$D4726*IFERROR(INDEX('تحليل التكلفة والسعر'!$C$2:$C$700,MATCH($C4726,'تحليل التكلفة والسعر'!$B$2:$B$700,0)),0))</f>
        <v/>
      </c>
    </row>
    <row r="4727" customFormat="false" ht="15" hidden="false" customHeight="false" outlineLevel="0" collapsed="false">
      <c r="A4727" s="102"/>
      <c r="E4727" s="103" t="str">
        <f aca="false">IF($C4727="","",IFERROR(INDEX(المنيو!$C$2:$C$500,MATCH($C4727,المنيو!$B$2:$B$500,0)),0))</f>
        <v/>
      </c>
      <c r="F4727" s="103" t="str">
        <f aca="false">IF($C4727="","",$D4727*$E4727)</f>
        <v/>
      </c>
      <c r="G4727" s="103" t="str">
        <f aca="false">IF($C4727="","",$D4727*IFERROR(INDEX('تحليل التكلفة والسعر'!$C$2:$C$700,MATCH($C4727,'تحليل التكلفة والسعر'!$B$2:$B$700,0)),0))</f>
        <v/>
      </c>
    </row>
    <row r="4728" customFormat="false" ht="15" hidden="false" customHeight="false" outlineLevel="0" collapsed="false">
      <c r="A4728" s="102"/>
      <c r="E4728" s="103" t="str">
        <f aca="false">IF($C4728="","",IFERROR(INDEX(المنيو!$C$2:$C$500,MATCH($C4728,المنيو!$B$2:$B$500,0)),0))</f>
        <v/>
      </c>
      <c r="F4728" s="103" t="str">
        <f aca="false">IF($C4728="","",$D4728*$E4728)</f>
        <v/>
      </c>
      <c r="G4728" s="103" t="str">
        <f aca="false">IF($C4728="","",$D4728*IFERROR(INDEX('تحليل التكلفة والسعر'!$C$2:$C$700,MATCH($C4728,'تحليل التكلفة والسعر'!$B$2:$B$700,0)),0))</f>
        <v/>
      </c>
    </row>
    <row r="4729" customFormat="false" ht="15" hidden="false" customHeight="false" outlineLevel="0" collapsed="false">
      <c r="A4729" s="102"/>
      <c r="E4729" s="103" t="str">
        <f aca="false">IF($C4729="","",IFERROR(INDEX(المنيو!$C$2:$C$500,MATCH($C4729,المنيو!$B$2:$B$500,0)),0))</f>
        <v/>
      </c>
      <c r="F4729" s="103" t="str">
        <f aca="false">IF($C4729="","",$D4729*$E4729)</f>
        <v/>
      </c>
      <c r="G4729" s="103" t="str">
        <f aca="false">IF($C4729="","",$D4729*IFERROR(INDEX('تحليل التكلفة والسعر'!$C$2:$C$700,MATCH($C4729,'تحليل التكلفة والسعر'!$B$2:$B$700,0)),0))</f>
        <v/>
      </c>
    </row>
    <row r="4730" customFormat="false" ht="15" hidden="false" customHeight="false" outlineLevel="0" collapsed="false">
      <c r="A4730" s="102"/>
      <c r="E4730" s="103" t="str">
        <f aca="false">IF($C4730="","",IFERROR(INDEX(المنيو!$C$2:$C$500,MATCH($C4730,المنيو!$B$2:$B$500,0)),0))</f>
        <v/>
      </c>
      <c r="F4730" s="103" t="str">
        <f aca="false">IF($C4730="","",$D4730*$E4730)</f>
        <v/>
      </c>
      <c r="G4730" s="103" t="str">
        <f aca="false">IF($C4730="","",$D4730*IFERROR(INDEX('تحليل التكلفة والسعر'!$C$2:$C$700,MATCH($C4730,'تحليل التكلفة والسعر'!$B$2:$B$700,0)),0))</f>
        <v/>
      </c>
    </row>
    <row r="4731" customFormat="false" ht="15" hidden="false" customHeight="false" outlineLevel="0" collapsed="false">
      <c r="A4731" s="102"/>
      <c r="E4731" s="103" t="str">
        <f aca="false">IF($C4731="","",IFERROR(INDEX(المنيو!$C$2:$C$500,MATCH($C4731,المنيو!$B$2:$B$500,0)),0))</f>
        <v/>
      </c>
      <c r="F4731" s="103" t="str">
        <f aca="false">IF($C4731="","",$D4731*$E4731)</f>
        <v/>
      </c>
      <c r="G4731" s="103" t="str">
        <f aca="false">IF($C4731="","",$D4731*IFERROR(INDEX('تحليل التكلفة والسعر'!$C$2:$C$700,MATCH($C4731,'تحليل التكلفة والسعر'!$B$2:$B$700,0)),0))</f>
        <v/>
      </c>
    </row>
    <row r="4732" customFormat="false" ht="15" hidden="false" customHeight="false" outlineLevel="0" collapsed="false">
      <c r="A4732" s="102"/>
      <c r="E4732" s="103" t="str">
        <f aca="false">IF($C4732="","",IFERROR(INDEX(المنيو!$C$2:$C$500,MATCH($C4732,المنيو!$B$2:$B$500,0)),0))</f>
        <v/>
      </c>
      <c r="F4732" s="103" t="str">
        <f aca="false">IF($C4732="","",$D4732*$E4732)</f>
        <v/>
      </c>
      <c r="G4732" s="103" t="str">
        <f aca="false">IF($C4732="","",$D4732*IFERROR(INDEX('تحليل التكلفة والسعر'!$C$2:$C$700,MATCH($C4732,'تحليل التكلفة والسعر'!$B$2:$B$700,0)),0))</f>
        <v/>
      </c>
    </row>
    <row r="4733" customFormat="false" ht="15" hidden="false" customHeight="false" outlineLevel="0" collapsed="false">
      <c r="A4733" s="102"/>
      <c r="E4733" s="103" t="str">
        <f aca="false">IF($C4733="","",IFERROR(INDEX(المنيو!$C$2:$C$500,MATCH($C4733,المنيو!$B$2:$B$500,0)),0))</f>
        <v/>
      </c>
      <c r="F4733" s="103" t="str">
        <f aca="false">IF($C4733="","",$D4733*$E4733)</f>
        <v/>
      </c>
      <c r="G4733" s="103" t="str">
        <f aca="false">IF($C4733="","",$D4733*IFERROR(INDEX('تحليل التكلفة والسعر'!$C$2:$C$700,MATCH($C4733,'تحليل التكلفة والسعر'!$B$2:$B$700,0)),0))</f>
        <v/>
      </c>
    </row>
    <row r="4734" customFormat="false" ht="15" hidden="false" customHeight="false" outlineLevel="0" collapsed="false">
      <c r="A4734" s="102"/>
      <c r="E4734" s="103" t="str">
        <f aca="false">IF($C4734="","",IFERROR(INDEX(المنيو!$C$2:$C$500,MATCH($C4734,المنيو!$B$2:$B$500,0)),0))</f>
        <v/>
      </c>
      <c r="F4734" s="103" t="str">
        <f aca="false">IF($C4734="","",$D4734*$E4734)</f>
        <v/>
      </c>
      <c r="G4734" s="103" t="str">
        <f aca="false">IF($C4734="","",$D4734*IFERROR(INDEX('تحليل التكلفة والسعر'!$C$2:$C$700,MATCH($C4734,'تحليل التكلفة والسعر'!$B$2:$B$700,0)),0))</f>
        <v/>
      </c>
    </row>
    <row r="4735" customFormat="false" ht="15" hidden="false" customHeight="false" outlineLevel="0" collapsed="false">
      <c r="A4735" s="102"/>
      <c r="E4735" s="103" t="str">
        <f aca="false">IF($C4735="","",IFERROR(INDEX(المنيو!$C$2:$C$500,MATCH($C4735,المنيو!$B$2:$B$500,0)),0))</f>
        <v/>
      </c>
      <c r="F4735" s="103" t="str">
        <f aca="false">IF($C4735="","",$D4735*$E4735)</f>
        <v/>
      </c>
      <c r="G4735" s="103" t="str">
        <f aca="false">IF($C4735="","",$D4735*IFERROR(INDEX('تحليل التكلفة والسعر'!$C$2:$C$700,MATCH($C4735,'تحليل التكلفة والسعر'!$B$2:$B$700,0)),0))</f>
        <v/>
      </c>
    </row>
    <row r="4736" customFormat="false" ht="15" hidden="false" customHeight="false" outlineLevel="0" collapsed="false">
      <c r="A4736" s="102"/>
      <c r="E4736" s="103" t="str">
        <f aca="false">IF($C4736="","",IFERROR(INDEX(المنيو!$C$2:$C$500,MATCH($C4736,المنيو!$B$2:$B$500,0)),0))</f>
        <v/>
      </c>
      <c r="F4736" s="103" t="str">
        <f aca="false">IF($C4736="","",$D4736*$E4736)</f>
        <v/>
      </c>
      <c r="G4736" s="103" t="str">
        <f aca="false">IF($C4736="","",$D4736*IFERROR(INDEX('تحليل التكلفة والسعر'!$C$2:$C$700,MATCH($C4736,'تحليل التكلفة والسعر'!$B$2:$B$700,0)),0))</f>
        <v/>
      </c>
    </row>
    <row r="4737" customFormat="false" ht="15" hidden="false" customHeight="false" outlineLevel="0" collapsed="false">
      <c r="A4737" s="102"/>
      <c r="E4737" s="103" t="str">
        <f aca="false">IF($C4737="","",IFERROR(INDEX(المنيو!$C$2:$C$500,MATCH($C4737,المنيو!$B$2:$B$500,0)),0))</f>
        <v/>
      </c>
      <c r="F4737" s="103" t="str">
        <f aca="false">IF($C4737="","",$D4737*$E4737)</f>
        <v/>
      </c>
      <c r="G4737" s="103" t="str">
        <f aca="false">IF($C4737="","",$D4737*IFERROR(INDEX('تحليل التكلفة والسعر'!$C$2:$C$700,MATCH($C4737,'تحليل التكلفة والسعر'!$B$2:$B$700,0)),0))</f>
        <v/>
      </c>
    </row>
    <row r="4738" customFormat="false" ht="15" hidden="false" customHeight="false" outlineLevel="0" collapsed="false">
      <c r="A4738" s="102"/>
      <c r="E4738" s="103" t="str">
        <f aca="false">IF($C4738="","",IFERROR(INDEX(المنيو!$C$2:$C$500,MATCH($C4738,المنيو!$B$2:$B$500,0)),0))</f>
        <v/>
      </c>
      <c r="F4738" s="103" t="str">
        <f aca="false">IF($C4738="","",$D4738*$E4738)</f>
        <v/>
      </c>
      <c r="G4738" s="103" t="str">
        <f aca="false">IF($C4738="","",$D4738*IFERROR(INDEX('تحليل التكلفة والسعر'!$C$2:$C$700,MATCH($C4738,'تحليل التكلفة والسعر'!$B$2:$B$700,0)),0))</f>
        <v/>
      </c>
    </row>
    <row r="4739" customFormat="false" ht="15" hidden="false" customHeight="false" outlineLevel="0" collapsed="false">
      <c r="A4739" s="102"/>
      <c r="E4739" s="103" t="str">
        <f aca="false">IF($C4739="","",IFERROR(INDEX(المنيو!$C$2:$C$500,MATCH($C4739,المنيو!$B$2:$B$500,0)),0))</f>
        <v/>
      </c>
      <c r="F4739" s="103" t="str">
        <f aca="false">IF($C4739="","",$D4739*$E4739)</f>
        <v/>
      </c>
      <c r="G4739" s="103" t="str">
        <f aca="false">IF($C4739="","",$D4739*IFERROR(INDEX('تحليل التكلفة والسعر'!$C$2:$C$700,MATCH($C4739,'تحليل التكلفة والسعر'!$B$2:$B$700,0)),0))</f>
        <v/>
      </c>
    </row>
    <row r="4740" customFormat="false" ht="15" hidden="false" customHeight="false" outlineLevel="0" collapsed="false">
      <c r="A4740" s="102"/>
      <c r="E4740" s="103" t="str">
        <f aca="false">IF($C4740="","",IFERROR(INDEX(المنيو!$C$2:$C$500,MATCH($C4740,المنيو!$B$2:$B$500,0)),0))</f>
        <v/>
      </c>
      <c r="F4740" s="103" t="str">
        <f aca="false">IF($C4740="","",$D4740*$E4740)</f>
        <v/>
      </c>
      <c r="G4740" s="103" t="str">
        <f aca="false">IF($C4740="","",$D4740*IFERROR(INDEX('تحليل التكلفة والسعر'!$C$2:$C$700,MATCH($C4740,'تحليل التكلفة والسعر'!$B$2:$B$700,0)),0))</f>
        <v/>
      </c>
    </row>
    <row r="4741" customFormat="false" ht="15" hidden="false" customHeight="false" outlineLevel="0" collapsed="false">
      <c r="A4741" s="102"/>
      <c r="E4741" s="103" t="str">
        <f aca="false">IF($C4741="","",IFERROR(INDEX(المنيو!$C$2:$C$500,MATCH($C4741,المنيو!$B$2:$B$500,0)),0))</f>
        <v/>
      </c>
      <c r="F4741" s="103" t="str">
        <f aca="false">IF($C4741="","",$D4741*$E4741)</f>
        <v/>
      </c>
      <c r="G4741" s="103" t="str">
        <f aca="false">IF($C4741="","",$D4741*IFERROR(INDEX('تحليل التكلفة والسعر'!$C$2:$C$700,MATCH($C4741,'تحليل التكلفة والسعر'!$B$2:$B$700,0)),0))</f>
        <v/>
      </c>
    </row>
    <row r="4742" customFormat="false" ht="15" hidden="false" customHeight="false" outlineLevel="0" collapsed="false">
      <c r="A4742" s="102"/>
      <c r="E4742" s="103" t="str">
        <f aca="false">IF($C4742="","",IFERROR(INDEX(المنيو!$C$2:$C$500,MATCH($C4742,المنيو!$B$2:$B$500,0)),0))</f>
        <v/>
      </c>
      <c r="F4742" s="103" t="str">
        <f aca="false">IF($C4742="","",$D4742*$E4742)</f>
        <v/>
      </c>
      <c r="G4742" s="103" t="str">
        <f aca="false">IF($C4742="","",$D4742*IFERROR(INDEX('تحليل التكلفة والسعر'!$C$2:$C$700,MATCH($C4742,'تحليل التكلفة والسعر'!$B$2:$B$700,0)),0))</f>
        <v/>
      </c>
    </row>
    <row r="4743" customFormat="false" ht="15" hidden="false" customHeight="false" outlineLevel="0" collapsed="false">
      <c r="A4743" s="102"/>
      <c r="E4743" s="103" t="str">
        <f aca="false">IF($C4743="","",IFERROR(INDEX(المنيو!$C$2:$C$500,MATCH($C4743,المنيو!$B$2:$B$500,0)),0))</f>
        <v/>
      </c>
      <c r="F4743" s="103" t="str">
        <f aca="false">IF($C4743="","",$D4743*$E4743)</f>
        <v/>
      </c>
      <c r="G4743" s="103" t="str">
        <f aca="false">IF($C4743="","",$D4743*IFERROR(INDEX('تحليل التكلفة والسعر'!$C$2:$C$700,MATCH($C4743,'تحليل التكلفة والسعر'!$B$2:$B$700,0)),0))</f>
        <v/>
      </c>
    </row>
    <row r="4744" customFormat="false" ht="15" hidden="false" customHeight="false" outlineLevel="0" collapsed="false">
      <c r="A4744" s="102"/>
      <c r="E4744" s="103" t="str">
        <f aca="false">IF($C4744="","",IFERROR(INDEX(المنيو!$C$2:$C$500,MATCH($C4744,المنيو!$B$2:$B$500,0)),0))</f>
        <v/>
      </c>
      <c r="F4744" s="103" t="str">
        <f aca="false">IF($C4744="","",$D4744*$E4744)</f>
        <v/>
      </c>
      <c r="G4744" s="103" t="str">
        <f aca="false">IF($C4744="","",$D4744*IFERROR(INDEX('تحليل التكلفة والسعر'!$C$2:$C$700,MATCH($C4744,'تحليل التكلفة والسعر'!$B$2:$B$700,0)),0))</f>
        <v/>
      </c>
    </row>
    <row r="4745" customFormat="false" ht="15" hidden="false" customHeight="false" outlineLevel="0" collapsed="false">
      <c r="A4745" s="102"/>
      <c r="E4745" s="103" t="str">
        <f aca="false">IF($C4745="","",IFERROR(INDEX(المنيو!$C$2:$C$500,MATCH($C4745,المنيو!$B$2:$B$500,0)),0))</f>
        <v/>
      </c>
      <c r="F4745" s="103" t="str">
        <f aca="false">IF($C4745="","",$D4745*$E4745)</f>
        <v/>
      </c>
      <c r="G4745" s="103" t="str">
        <f aca="false">IF($C4745="","",$D4745*IFERROR(INDEX('تحليل التكلفة والسعر'!$C$2:$C$700,MATCH($C4745,'تحليل التكلفة والسعر'!$B$2:$B$700,0)),0))</f>
        <v/>
      </c>
    </row>
    <row r="4746" customFormat="false" ht="15" hidden="false" customHeight="false" outlineLevel="0" collapsed="false">
      <c r="A4746" s="102"/>
      <c r="E4746" s="103" t="str">
        <f aca="false">IF($C4746="","",IFERROR(INDEX(المنيو!$C$2:$C$500,MATCH($C4746,المنيو!$B$2:$B$500,0)),0))</f>
        <v/>
      </c>
      <c r="F4746" s="103" t="str">
        <f aca="false">IF($C4746="","",$D4746*$E4746)</f>
        <v/>
      </c>
      <c r="G4746" s="103" t="str">
        <f aca="false">IF($C4746="","",$D4746*IFERROR(INDEX('تحليل التكلفة والسعر'!$C$2:$C$700,MATCH($C4746,'تحليل التكلفة والسعر'!$B$2:$B$700,0)),0))</f>
        <v/>
      </c>
    </row>
    <row r="4747" customFormat="false" ht="15" hidden="false" customHeight="false" outlineLevel="0" collapsed="false">
      <c r="A4747" s="102"/>
      <c r="E4747" s="103" t="str">
        <f aca="false">IF($C4747="","",IFERROR(INDEX(المنيو!$C$2:$C$500,MATCH($C4747,المنيو!$B$2:$B$500,0)),0))</f>
        <v/>
      </c>
      <c r="F4747" s="103" t="str">
        <f aca="false">IF($C4747="","",$D4747*$E4747)</f>
        <v/>
      </c>
      <c r="G4747" s="103" t="str">
        <f aca="false">IF($C4747="","",$D4747*IFERROR(INDEX('تحليل التكلفة والسعر'!$C$2:$C$700,MATCH($C4747,'تحليل التكلفة والسعر'!$B$2:$B$700,0)),0))</f>
        <v/>
      </c>
    </row>
    <row r="4748" customFormat="false" ht="15" hidden="false" customHeight="false" outlineLevel="0" collapsed="false">
      <c r="A4748" s="102"/>
      <c r="E4748" s="103" t="str">
        <f aca="false">IF($C4748="","",IFERROR(INDEX(المنيو!$C$2:$C$500,MATCH($C4748,المنيو!$B$2:$B$500,0)),0))</f>
        <v/>
      </c>
      <c r="F4748" s="103" t="str">
        <f aca="false">IF($C4748="","",$D4748*$E4748)</f>
        <v/>
      </c>
      <c r="G4748" s="103" t="str">
        <f aca="false">IF($C4748="","",$D4748*IFERROR(INDEX('تحليل التكلفة والسعر'!$C$2:$C$700,MATCH($C4748,'تحليل التكلفة والسعر'!$B$2:$B$700,0)),0))</f>
        <v/>
      </c>
    </row>
    <row r="4749" customFormat="false" ht="15" hidden="false" customHeight="false" outlineLevel="0" collapsed="false">
      <c r="A4749" s="102"/>
      <c r="E4749" s="103" t="str">
        <f aca="false">IF($C4749="","",IFERROR(INDEX(المنيو!$C$2:$C$500,MATCH($C4749,المنيو!$B$2:$B$500,0)),0))</f>
        <v/>
      </c>
      <c r="F4749" s="103" t="str">
        <f aca="false">IF($C4749="","",$D4749*$E4749)</f>
        <v/>
      </c>
      <c r="G4749" s="103" t="str">
        <f aca="false">IF($C4749="","",$D4749*IFERROR(INDEX('تحليل التكلفة والسعر'!$C$2:$C$700,MATCH($C4749,'تحليل التكلفة والسعر'!$B$2:$B$700,0)),0))</f>
        <v/>
      </c>
    </row>
    <row r="4750" customFormat="false" ht="15" hidden="false" customHeight="false" outlineLevel="0" collapsed="false">
      <c r="A4750" s="102"/>
      <c r="E4750" s="103" t="str">
        <f aca="false">IF($C4750="","",IFERROR(INDEX(المنيو!$C$2:$C$500,MATCH($C4750,المنيو!$B$2:$B$500,0)),0))</f>
        <v/>
      </c>
      <c r="F4750" s="103" t="str">
        <f aca="false">IF($C4750="","",$D4750*$E4750)</f>
        <v/>
      </c>
      <c r="G4750" s="103" t="str">
        <f aca="false">IF($C4750="","",$D4750*IFERROR(INDEX('تحليل التكلفة والسعر'!$C$2:$C$700,MATCH($C4750,'تحليل التكلفة والسعر'!$B$2:$B$700,0)),0))</f>
        <v/>
      </c>
    </row>
    <row r="4751" customFormat="false" ht="15" hidden="false" customHeight="false" outlineLevel="0" collapsed="false">
      <c r="A4751" s="102"/>
      <c r="E4751" s="103" t="str">
        <f aca="false">IF($C4751="","",IFERROR(INDEX(المنيو!$C$2:$C$500,MATCH($C4751,المنيو!$B$2:$B$500,0)),0))</f>
        <v/>
      </c>
      <c r="F4751" s="103" t="str">
        <f aca="false">IF($C4751="","",$D4751*$E4751)</f>
        <v/>
      </c>
      <c r="G4751" s="103" t="str">
        <f aca="false">IF($C4751="","",$D4751*IFERROR(INDEX('تحليل التكلفة والسعر'!$C$2:$C$700,MATCH($C4751,'تحليل التكلفة والسعر'!$B$2:$B$700,0)),0))</f>
        <v/>
      </c>
    </row>
    <row r="4752" customFormat="false" ht="15" hidden="false" customHeight="false" outlineLevel="0" collapsed="false">
      <c r="A4752" s="102"/>
      <c r="E4752" s="103" t="str">
        <f aca="false">IF($C4752="","",IFERROR(INDEX(المنيو!$C$2:$C$500,MATCH($C4752,المنيو!$B$2:$B$500,0)),0))</f>
        <v/>
      </c>
      <c r="F4752" s="103" t="str">
        <f aca="false">IF($C4752="","",$D4752*$E4752)</f>
        <v/>
      </c>
      <c r="G4752" s="103" t="str">
        <f aca="false">IF($C4752="","",$D4752*IFERROR(INDEX('تحليل التكلفة والسعر'!$C$2:$C$700,MATCH($C4752,'تحليل التكلفة والسعر'!$B$2:$B$700,0)),0))</f>
        <v/>
      </c>
    </row>
    <row r="4753" customFormat="false" ht="15" hidden="false" customHeight="false" outlineLevel="0" collapsed="false">
      <c r="A4753" s="102"/>
      <c r="E4753" s="103" t="str">
        <f aca="false">IF($C4753="","",IFERROR(INDEX(المنيو!$C$2:$C$500,MATCH($C4753,المنيو!$B$2:$B$500,0)),0))</f>
        <v/>
      </c>
      <c r="F4753" s="103" t="str">
        <f aca="false">IF($C4753="","",$D4753*$E4753)</f>
        <v/>
      </c>
      <c r="G4753" s="103" t="str">
        <f aca="false">IF($C4753="","",$D4753*IFERROR(INDEX('تحليل التكلفة والسعر'!$C$2:$C$700,MATCH($C4753,'تحليل التكلفة والسعر'!$B$2:$B$700,0)),0))</f>
        <v/>
      </c>
    </row>
    <row r="4754" customFormat="false" ht="15" hidden="false" customHeight="false" outlineLevel="0" collapsed="false">
      <c r="A4754" s="102"/>
      <c r="E4754" s="103" t="str">
        <f aca="false">IF($C4754="","",IFERROR(INDEX(المنيو!$C$2:$C$500,MATCH($C4754,المنيو!$B$2:$B$500,0)),0))</f>
        <v/>
      </c>
      <c r="F4754" s="103" t="str">
        <f aca="false">IF($C4754="","",$D4754*$E4754)</f>
        <v/>
      </c>
      <c r="G4754" s="103" t="str">
        <f aca="false">IF($C4754="","",$D4754*IFERROR(INDEX('تحليل التكلفة والسعر'!$C$2:$C$700,MATCH($C4754,'تحليل التكلفة والسعر'!$B$2:$B$700,0)),0))</f>
        <v/>
      </c>
    </row>
    <row r="4755" customFormat="false" ht="15" hidden="false" customHeight="false" outlineLevel="0" collapsed="false">
      <c r="A4755" s="102"/>
      <c r="E4755" s="103" t="str">
        <f aca="false">IF($C4755="","",IFERROR(INDEX(المنيو!$C$2:$C$500,MATCH($C4755,المنيو!$B$2:$B$500,0)),0))</f>
        <v/>
      </c>
      <c r="F4755" s="103" t="str">
        <f aca="false">IF($C4755="","",$D4755*$E4755)</f>
        <v/>
      </c>
      <c r="G4755" s="103" t="str">
        <f aca="false">IF($C4755="","",$D4755*IFERROR(INDEX('تحليل التكلفة والسعر'!$C$2:$C$700,MATCH($C4755,'تحليل التكلفة والسعر'!$B$2:$B$700,0)),0))</f>
        <v/>
      </c>
    </row>
    <row r="4756" customFormat="false" ht="15" hidden="false" customHeight="false" outlineLevel="0" collapsed="false">
      <c r="A4756" s="102"/>
      <c r="E4756" s="103" t="str">
        <f aca="false">IF($C4756="","",IFERROR(INDEX(المنيو!$C$2:$C$500,MATCH($C4756,المنيو!$B$2:$B$500,0)),0))</f>
        <v/>
      </c>
      <c r="F4756" s="103" t="str">
        <f aca="false">IF($C4756="","",$D4756*$E4756)</f>
        <v/>
      </c>
      <c r="G4756" s="103" t="str">
        <f aca="false">IF($C4756="","",$D4756*IFERROR(INDEX('تحليل التكلفة والسعر'!$C$2:$C$700,MATCH($C4756,'تحليل التكلفة والسعر'!$B$2:$B$700,0)),0))</f>
        <v/>
      </c>
    </row>
    <row r="4757" customFormat="false" ht="15" hidden="false" customHeight="false" outlineLevel="0" collapsed="false">
      <c r="A4757" s="102"/>
      <c r="E4757" s="103" t="str">
        <f aca="false">IF($C4757="","",IFERROR(INDEX(المنيو!$C$2:$C$500,MATCH($C4757,المنيو!$B$2:$B$500,0)),0))</f>
        <v/>
      </c>
      <c r="F4757" s="103" t="str">
        <f aca="false">IF($C4757="","",$D4757*$E4757)</f>
        <v/>
      </c>
      <c r="G4757" s="103" t="str">
        <f aca="false">IF($C4757="","",$D4757*IFERROR(INDEX('تحليل التكلفة والسعر'!$C$2:$C$700,MATCH($C4757,'تحليل التكلفة والسعر'!$B$2:$B$700,0)),0))</f>
        <v/>
      </c>
    </row>
    <row r="4758" customFormat="false" ht="15" hidden="false" customHeight="false" outlineLevel="0" collapsed="false">
      <c r="A4758" s="102"/>
      <c r="E4758" s="103" t="str">
        <f aca="false">IF($C4758="","",IFERROR(INDEX(المنيو!$C$2:$C$500,MATCH($C4758,المنيو!$B$2:$B$500,0)),0))</f>
        <v/>
      </c>
      <c r="F4758" s="103" t="str">
        <f aca="false">IF($C4758="","",$D4758*$E4758)</f>
        <v/>
      </c>
      <c r="G4758" s="103" t="str">
        <f aca="false">IF($C4758="","",$D4758*IFERROR(INDEX('تحليل التكلفة والسعر'!$C$2:$C$700,MATCH($C4758,'تحليل التكلفة والسعر'!$B$2:$B$700,0)),0))</f>
        <v/>
      </c>
    </row>
    <row r="4759" customFormat="false" ht="15" hidden="false" customHeight="false" outlineLevel="0" collapsed="false">
      <c r="A4759" s="102"/>
      <c r="E4759" s="103" t="str">
        <f aca="false">IF($C4759="","",IFERROR(INDEX(المنيو!$C$2:$C$500,MATCH($C4759,المنيو!$B$2:$B$500,0)),0))</f>
        <v/>
      </c>
      <c r="F4759" s="103" t="str">
        <f aca="false">IF($C4759="","",$D4759*$E4759)</f>
        <v/>
      </c>
      <c r="G4759" s="103" t="str">
        <f aca="false">IF($C4759="","",$D4759*IFERROR(INDEX('تحليل التكلفة والسعر'!$C$2:$C$700,MATCH($C4759,'تحليل التكلفة والسعر'!$B$2:$B$700,0)),0))</f>
        <v/>
      </c>
    </row>
    <row r="4760" customFormat="false" ht="15" hidden="false" customHeight="false" outlineLevel="0" collapsed="false">
      <c r="A4760" s="102"/>
      <c r="E4760" s="103" t="str">
        <f aca="false">IF($C4760="","",IFERROR(INDEX(المنيو!$C$2:$C$500,MATCH($C4760,المنيو!$B$2:$B$500,0)),0))</f>
        <v/>
      </c>
      <c r="F4760" s="103" t="str">
        <f aca="false">IF($C4760="","",$D4760*$E4760)</f>
        <v/>
      </c>
      <c r="G4760" s="103" t="str">
        <f aca="false">IF($C4760="","",$D4760*IFERROR(INDEX('تحليل التكلفة والسعر'!$C$2:$C$700,MATCH($C4760,'تحليل التكلفة والسعر'!$B$2:$B$700,0)),0))</f>
        <v/>
      </c>
    </row>
    <row r="4761" customFormat="false" ht="15" hidden="false" customHeight="false" outlineLevel="0" collapsed="false">
      <c r="A4761" s="102"/>
      <c r="E4761" s="103" t="str">
        <f aca="false">IF($C4761="","",IFERROR(INDEX(المنيو!$C$2:$C$500,MATCH($C4761,المنيو!$B$2:$B$500,0)),0))</f>
        <v/>
      </c>
      <c r="F4761" s="103" t="str">
        <f aca="false">IF($C4761="","",$D4761*$E4761)</f>
        <v/>
      </c>
      <c r="G4761" s="103" t="str">
        <f aca="false">IF($C4761="","",$D4761*IFERROR(INDEX('تحليل التكلفة والسعر'!$C$2:$C$700,MATCH($C4761,'تحليل التكلفة والسعر'!$B$2:$B$700,0)),0))</f>
        <v/>
      </c>
    </row>
    <row r="4762" customFormat="false" ht="15" hidden="false" customHeight="false" outlineLevel="0" collapsed="false">
      <c r="A4762" s="102"/>
      <c r="E4762" s="103" t="str">
        <f aca="false">IF($C4762="","",IFERROR(INDEX(المنيو!$C$2:$C$500,MATCH($C4762,المنيو!$B$2:$B$500,0)),0))</f>
        <v/>
      </c>
      <c r="F4762" s="103" t="str">
        <f aca="false">IF($C4762="","",$D4762*$E4762)</f>
        <v/>
      </c>
      <c r="G4762" s="103" t="str">
        <f aca="false">IF($C4762="","",$D4762*IFERROR(INDEX('تحليل التكلفة والسعر'!$C$2:$C$700,MATCH($C4762,'تحليل التكلفة والسعر'!$B$2:$B$700,0)),0))</f>
        <v/>
      </c>
    </row>
    <row r="4763" customFormat="false" ht="15" hidden="false" customHeight="false" outlineLevel="0" collapsed="false">
      <c r="A4763" s="102"/>
      <c r="E4763" s="103" t="str">
        <f aca="false">IF($C4763="","",IFERROR(INDEX(المنيو!$C$2:$C$500,MATCH($C4763,المنيو!$B$2:$B$500,0)),0))</f>
        <v/>
      </c>
      <c r="F4763" s="103" t="str">
        <f aca="false">IF($C4763="","",$D4763*$E4763)</f>
        <v/>
      </c>
      <c r="G4763" s="103" t="str">
        <f aca="false">IF($C4763="","",$D4763*IFERROR(INDEX('تحليل التكلفة والسعر'!$C$2:$C$700,MATCH($C4763,'تحليل التكلفة والسعر'!$B$2:$B$700,0)),0))</f>
        <v/>
      </c>
    </row>
    <row r="4764" customFormat="false" ht="15" hidden="false" customHeight="false" outlineLevel="0" collapsed="false">
      <c r="A4764" s="102"/>
      <c r="E4764" s="103" t="str">
        <f aca="false">IF($C4764="","",IFERROR(INDEX(المنيو!$C$2:$C$500,MATCH($C4764,المنيو!$B$2:$B$500,0)),0))</f>
        <v/>
      </c>
      <c r="F4764" s="103" t="str">
        <f aca="false">IF($C4764="","",$D4764*$E4764)</f>
        <v/>
      </c>
      <c r="G4764" s="103" t="str">
        <f aca="false">IF($C4764="","",$D4764*IFERROR(INDEX('تحليل التكلفة والسعر'!$C$2:$C$700,MATCH($C4764,'تحليل التكلفة والسعر'!$B$2:$B$700,0)),0))</f>
        <v/>
      </c>
    </row>
    <row r="4765" customFormat="false" ht="15" hidden="false" customHeight="false" outlineLevel="0" collapsed="false">
      <c r="A4765" s="102"/>
      <c r="E4765" s="103" t="str">
        <f aca="false">IF($C4765="","",IFERROR(INDEX(المنيو!$C$2:$C$500,MATCH($C4765,المنيو!$B$2:$B$500,0)),0))</f>
        <v/>
      </c>
      <c r="F4765" s="103" t="str">
        <f aca="false">IF($C4765="","",$D4765*$E4765)</f>
        <v/>
      </c>
      <c r="G4765" s="103" t="str">
        <f aca="false">IF($C4765="","",$D4765*IFERROR(INDEX('تحليل التكلفة والسعر'!$C$2:$C$700,MATCH($C4765,'تحليل التكلفة والسعر'!$B$2:$B$700,0)),0))</f>
        <v/>
      </c>
    </row>
    <row r="4766" customFormat="false" ht="15" hidden="false" customHeight="false" outlineLevel="0" collapsed="false">
      <c r="A4766" s="102"/>
      <c r="E4766" s="103" t="str">
        <f aca="false">IF($C4766="","",IFERROR(INDEX(المنيو!$C$2:$C$500,MATCH($C4766,المنيو!$B$2:$B$500,0)),0))</f>
        <v/>
      </c>
      <c r="F4766" s="103" t="str">
        <f aca="false">IF($C4766="","",$D4766*$E4766)</f>
        <v/>
      </c>
      <c r="G4766" s="103" t="str">
        <f aca="false">IF($C4766="","",$D4766*IFERROR(INDEX('تحليل التكلفة والسعر'!$C$2:$C$700,MATCH($C4766,'تحليل التكلفة والسعر'!$B$2:$B$700,0)),0))</f>
        <v/>
      </c>
    </row>
    <row r="4767" customFormat="false" ht="15" hidden="false" customHeight="false" outlineLevel="0" collapsed="false">
      <c r="A4767" s="102"/>
      <c r="E4767" s="103" t="str">
        <f aca="false">IF($C4767="","",IFERROR(INDEX(المنيو!$C$2:$C$500,MATCH($C4767,المنيو!$B$2:$B$500,0)),0))</f>
        <v/>
      </c>
      <c r="F4767" s="103" t="str">
        <f aca="false">IF($C4767="","",$D4767*$E4767)</f>
        <v/>
      </c>
      <c r="G4767" s="103" t="str">
        <f aca="false">IF($C4767="","",$D4767*IFERROR(INDEX('تحليل التكلفة والسعر'!$C$2:$C$700,MATCH($C4767,'تحليل التكلفة والسعر'!$B$2:$B$700,0)),0))</f>
        <v/>
      </c>
    </row>
    <row r="4768" customFormat="false" ht="15" hidden="false" customHeight="false" outlineLevel="0" collapsed="false">
      <c r="A4768" s="102"/>
      <c r="E4768" s="103" t="str">
        <f aca="false">IF($C4768="","",IFERROR(INDEX(المنيو!$C$2:$C$500,MATCH($C4768,المنيو!$B$2:$B$500,0)),0))</f>
        <v/>
      </c>
      <c r="F4768" s="103" t="str">
        <f aca="false">IF($C4768="","",$D4768*$E4768)</f>
        <v/>
      </c>
      <c r="G4768" s="103" t="str">
        <f aca="false">IF($C4768="","",$D4768*IFERROR(INDEX('تحليل التكلفة والسعر'!$C$2:$C$700,MATCH($C4768,'تحليل التكلفة والسعر'!$B$2:$B$700,0)),0))</f>
        <v/>
      </c>
    </row>
    <row r="4769" customFormat="false" ht="15" hidden="false" customHeight="false" outlineLevel="0" collapsed="false">
      <c r="A4769" s="102"/>
      <c r="E4769" s="103" t="str">
        <f aca="false">IF($C4769="","",IFERROR(INDEX(المنيو!$C$2:$C$500,MATCH($C4769,المنيو!$B$2:$B$500,0)),0))</f>
        <v/>
      </c>
      <c r="F4769" s="103" t="str">
        <f aca="false">IF($C4769="","",$D4769*$E4769)</f>
        <v/>
      </c>
      <c r="G4769" s="103" t="str">
        <f aca="false">IF($C4769="","",$D4769*IFERROR(INDEX('تحليل التكلفة والسعر'!$C$2:$C$700,MATCH($C4769,'تحليل التكلفة والسعر'!$B$2:$B$700,0)),0))</f>
        <v/>
      </c>
    </row>
    <row r="4770" customFormat="false" ht="15" hidden="false" customHeight="false" outlineLevel="0" collapsed="false">
      <c r="A4770" s="102"/>
      <c r="E4770" s="103" t="str">
        <f aca="false">IF($C4770="","",IFERROR(INDEX(المنيو!$C$2:$C$500,MATCH($C4770,المنيو!$B$2:$B$500,0)),0))</f>
        <v/>
      </c>
      <c r="F4770" s="103" t="str">
        <f aca="false">IF($C4770="","",$D4770*$E4770)</f>
        <v/>
      </c>
      <c r="G4770" s="103" t="str">
        <f aca="false">IF($C4770="","",$D4770*IFERROR(INDEX('تحليل التكلفة والسعر'!$C$2:$C$700,MATCH($C4770,'تحليل التكلفة والسعر'!$B$2:$B$700,0)),0))</f>
        <v/>
      </c>
    </row>
    <row r="4771" customFormat="false" ht="15" hidden="false" customHeight="false" outlineLevel="0" collapsed="false">
      <c r="A4771" s="102"/>
      <c r="E4771" s="103" t="str">
        <f aca="false">IF($C4771="","",IFERROR(INDEX(المنيو!$C$2:$C$500,MATCH($C4771,المنيو!$B$2:$B$500,0)),0))</f>
        <v/>
      </c>
      <c r="F4771" s="103" t="str">
        <f aca="false">IF($C4771="","",$D4771*$E4771)</f>
        <v/>
      </c>
      <c r="G4771" s="103" t="str">
        <f aca="false">IF($C4771="","",$D4771*IFERROR(INDEX('تحليل التكلفة والسعر'!$C$2:$C$700,MATCH($C4771,'تحليل التكلفة والسعر'!$B$2:$B$700,0)),0))</f>
        <v/>
      </c>
    </row>
    <row r="4772" customFormat="false" ht="15" hidden="false" customHeight="false" outlineLevel="0" collapsed="false">
      <c r="A4772" s="102"/>
      <c r="E4772" s="103" t="str">
        <f aca="false">IF($C4772="","",IFERROR(INDEX(المنيو!$C$2:$C$500,MATCH($C4772,المنيو!$B$2:$B$500,0)),0))</f>
        <v/>
      </c>
      <c r="F4772" s="103" t="str">
        <f aca="false">IF($C4772="","",$D4772*$E4772)</f>
        <v/>
      </c>
      <c r="G4772" s="103" t="str">
        <f aca="false">IF($C4772="","",$D4772*IFERROR(INDEX('تحليل التكلفة والسعر'!$C$2:$C$700,MATCH($C4772,'تحليل التكلفة والسعر'!$B$2:$B$700,0)),0))</f>
        <v/>
      </c>
    </row>
    <row r="4773" customFormat="false" ht="15" hidden="false" customHeight="false" outlineLevel="0" collapsed="false">
      <c r="A4773" s="102"/>
      <c r="E4773" s="103" t="str">
        <f aca="false">IF($C4773="","",IFERROR(INDEX(المنيو!$C$2:$C$500,MATCH($C4773,المنيو!$B$2:$B$500,0)),0))</f>
        <v/>
      </c>
      <c r="F4773" s="103" t="str">
        <f aca="false">IF($C4773="","",$D4773*$E4773)</f>
        <v/>
      </c>
      <c r="G4773" s="103" t="str">
        <f aca="false">IF($C4773="","",$D4773*IFERROR(INDEX('تحليل التكلفة والسعر'!$C$2:$C$700,MATCH($C4773,'تحليل التكلفة والسعر'!$B$2:$B$700,0)),0))</f>
        <v/>
      </c>
    </row>
    <row r="4774" customFormat="false" ht="15" hidden="false" customHeight="false" outlineLevel="0" collapsed="false">
      <c r="A4774" s="102"/>
      <c r="E4774" s="103" t="str">
        <f aca="false">IF($C4774="","",IFERROR(INDEX(المنيو!$C$2:$C$500,MATCH($C4774,المنيو!$B$2:$B$500,0)),0))</f>
        <v/>
      </c>
      <c r="F4774" s="103" t="str">
        <f aca="false">IF($C4774="","",$D4774*$E4774)</f>
        <v/>
      </c>
      <c r="G4774" s="103" t="str">
        <f aca="false">IF($C4774="","",$D4774*IFERROR(INDEX('تحليل التكلفة والسعر'!$C$2:$C$700,MATCH($C4774,'تحليل التكلفة والسعر'!$B$2:$B$700,0)),0))</f>
        <v/>
      </c>
    </row>
    <row r="4775" customFormat="false" ht="15" hidden="false" customHeight="false" outlineLevel="0" collapsed="false">
      <c r="A4775" s="102"/>
      <c r="E4775" s="103" t="str">
        <f aca="false">IF($C4775="","",IFERROR(INDEX(المنيو!$C$2:$C$500,MATCH($C4775,المنيو!$B$2:$B$500,0)),0))</f>
        <v/>
      </c>
      <c r="F4775" s="103" t="str">
        <f aca="false">IF($C4775="","",$D4775*$E4775)</f>
        <v/>
      </c>
      <c r="G4775" s="103" t="str">
        <f aca="false">IF($C4775="","",$D4775*IFERROR(INDEX('تحليل التكلفة والسعر'!$C$2:$C$700,MATCH($C4775,'تحليل التكلفة والسعر'!$B$2:$B$700,0)),0))</f>
        <v/>
      </c>
    </row>
    <row r="4776" customFormat="false" ht="15" hidden="false" customHeight="false" outlineLevel="0" collapsed="false">
      <c r="A4776" s="102"/>
      <c r="E4776" s="103" t="str">
        <f aca="false">IF($C4776="","",IFERROR(INDEX(المنيو!$C$2:$C$500,MATCH($C4776,المنيو!$B$2:$B$500,0)),0))</f>
        <v/>
      </c>
      <c r="F4776" s="103" t="str">
        <f aca="false">IF($C4776="","",$D4776*$E4776)</f>
        <v/>
      </c>
      <c r="G4776" s="103" t="str">
        <f aca="false">IF($C4776="","",$D4776*IFERROR(INDEX('تحليل التكلفة والسعر'!$C$2:$C$700,MATCH($C4776,'تحليل التكلفة والسعر'!$B$2:$B$700,0)),0))</f>
        <v/>
      </c>
    </row>
    <row r="4777" customFormat="false" ht="15" hidden="false" customHeight="false" outlineLevel="0" collapsed="false">
      <c r="A4777" s="102"/>
      <c r="E4777" s="103" t="str">
        <f aca="false">IF($C4777="","",IFERROR(INDEX(المنيو!$C$2:$C$500,MATCH($C4777,المنيو!$B$2:$B$500,0)),0))</f>
        <v/>
      </c>
      <c r="F4777" s="103" t="str">
        <f aca="false">IF($C4777="","",$D4777*$E4777)</f>
        <v/>
      </c>
      <c r="G4777" s="103" t="str">
        <f aca="false">IF($C4777="","",$D4777*IFERROR(INDEX('تحليل التكلفة والسعر'!$C$2:$C$700,MATCH($C4777,'تحليل التكلفة والسعر'!$B$2:$B$700,0)),0))</f>
        <v/>
      </c>
    </row>
    <row r="4778" customFormat="false" ht="15" hidden="false" customHeight="false" outlineLevel="0" collapsed="false">
      <c r="A4778" s="102"/>
      <c r="E4778" s="103" t="str">
        <f aca="false">IF($C4778="","",IFERROR(INDEX(المنيو!$C$2:$C$500,MATCH($C4778,المنيو!$B$2:$B$500,0)),0))</f>
        <v/>
      </c>
      <c r="F4778" s="103" t="str">
        <f aca="false">IF($C4778="","",$D4778*$E4778)</f>
        <v/>
      </c>
      <c r="G4778" s="103" t="str">
        <f aca="false">IF($C4778="","",$D4778*IFERROR(INDEX('تحليل التكلفة والسعر'!$C$2:$C$700,MATCH($C4778,'تحليل التكلفة والسعر'!$B$2:$B$700,0)),0))</f>
        <v/>
      </c>
    </row>
    <row r="4779" customFormat="false" ht="15" hidden="false" customHeight="false" outlineLevel="0" collapsed="false">
      <c r="A4779" s="102"/>
      <c r="E4779" s="103" t="str">
        <f aca="false">IF($C4779="","",IFERROR(INDEX(المنيو!$C$2:$C$500,MATCH($C4779,المنيو!$B$2:$B$500,0)),0))</f>
        <v/>
      </c>
      <c r="F4779" s="103" t="str">
        <f aca="false">IF($C4779="","",$D4779*$E4779)</f>
        <v/>
      </c>
      <c r="G4779" s="103" t="str">
        <f aca="false">IF($C4779="","",$D4779*IFERROR(INDEX('تحليل التكلفة والسعر'!$C$2:$C$700,MATCH($C4779,'تحليل التكلفة والسعر'!$B$2:$B$700,0)),0))</f>
        <v/>
      </c>
    </row>
    <row r="4780" customFormat="false" ht="15" hidden="false" customHeight="false" outlineLevel="0" collapsed="false">
      <c r="A4780" s="102"/>
      <c r="E4780" s="103" t="str">
        <f aca="false">IF($C4780="","",IFERROR(INDEX(المنيو!$C$2:$C$500,MATCH($C4780,المنيو!$B$2:$B$500,0)),0))</f>
        <v/>
      </c>
      <c r="F4780" s="103" t="str">
        <f aca="false">IF($C4780="","",$D4780*$E4780)</f>
        <v/>
      </c>
      <c r="G4780" s="103" t="str">
        <f aca="false">IF($C4780="","",$D4780*IFERROR(INDEX('تحليل التكلفة والسعر'!$C$2:$C$700,MATCH($C4780,'تحليل التكلفة والسعر'!$B$2:$B$700,0)),0))</f>
        <v/>
      </c>
    </row>
    <row r="4781" customFormat="false" ht="15" hidden="false" customHeight="false" outlineLevel="0" collapsed="false">
      <c r="A4781" s="102"/>
      <c r="E4781" s="103" t="str">
        <f aca="false">IF($C4781="","",IFERROR(INDEX(المنيو!$C$2:$C$500,MATCH($C4781,المنيو!$B$2:$B$500,0)),0))</f>
        <v/>
      </c>
      <c r="F4781" s="103" t="str">
        <f aca="false">IF($C4781="","",$D4781*$E4781)</f>
        <v/>
      </c>
      <c r="G4781" s="103" t="str">
        <f aca="false">IF($C4781="","",$D4781*IFERROR(INDEX('تحليل التكلفة والسعر'!$C$2:$C$700,MATCH($C4781,'تحليل التكلفة والسعر'!$B$2:$B$700,0)),0))</f>
        <v/>
      </c>
    </row>
    <row r="4782" customFormat="false" ht="15" hidden="false" customHeight="false" outlineLevel="0" collapsed="false">
      <c r="A4782" s="102"/>
      <c r="E4782" s="103" t="str">
        <f aca="false">IF($C4782="","",IFERROR(INDEX(المنيو!$C$2:$C$500,MATCH($C4782,المنيو!$B$2:$B$500,0)),0))</f>
        <v/>
      </c>
      <c r="F4782" s="103" t="str">
        <f aca="false">IF($C4782="","",$D4782*$E4782)</f>
        <v/>
      </c>
      <c r="G4782" s="103" t="str">
        <f aca="false">IF($C4782="","",$D4782*IFERROR(INDEX('تحليل التكلفة والسعر'!$C$2:$C$700,MATCH($C4782,'تحليل التكلفة والسعر'!$B$2:$B$700,0)),0))</f>
        <v/>
      </c>
    </row>
    <row r="4783" customFormat="false" ht="15" hidden="false" customHeight="false" outlineLevel="0" collapsed="false">
      <c r="A4783" s="102"/>
      <c r="E4783" s="103" t="str">
        <f aca="false">IF($C4783="","",IFERROR(INDEX(المنيو!$C$2:$C$500,MATCH($C4783,المنيو!$B$2:$B$500,0)),0))</f>
        <v/>
      </c>
      <c r="F4783" s="103" t="str">
        <f aca="false">IF($C4783="","",$D4783*$E4783)</f>
        <v/>
      </c>
      <c r="G4783" s="103" t="str">
        <f aca="false">IF($C4783="","",$D4783*IFERROR(INDEX('تحليل التكلفة والسعر'!$C$2:$C$700,MATCH($C4783,'تحليل التكلفة والسعر'!$B$2:$B$700,0)),0))</f>
        <v/>
      </c>
    </row>
    <row r="4784" customFormat="false" ht="15" hidden="false" customHeight="false" outlineLevel="0" collapsed="false">
      <c r="A4784" s="102"/>
      <c r="E4784" s="103" t="str">
        <f aca="false">IF($C4784="","",IFERROR(INDEX(المنيو!$C$2:$C$500,MATCH($C4784,المنيو!$B$2:$B$500,0)),0))</f>
        <v/>
      </c>
      <c r="F4784" s="103" t="str">
        <f aca="false">IF($C4784="","",$D4784*$E4784)</f>
        <v/>
      </c>
      <c r="G4784" s="103" t="str">
        <f aca="false">IF($C4784="","",$D4784*IFERROR(INDEX('تحليل التكلفة والسعر'!$C$2:$C$700,MATCH($C4784,'تحليل التكلفة والسعر'!$B$2:$B$700,0)),0))</f>
        <v/>
      </c>
    </row>
    <row r="4785" customFormat="false" ht="15" hidden="false" customHeight="false" outlineLevel="0" collapsed="false">
      <c r="A4785" s="102"/>
      <c r="E4785" s="103" t="str">
        <f aca="false">IF($C4785="","",IFERROR(INDEX(المنيو!$C$2:$C$500,MATCH($C4785,المنيو!$B$2:$B$500,0)),0))</f>
        <v/>
      </c>
      <c r="F4785" s="103" t="str">
        <f aca="false">IF($C4785="","",$D4785*$E4785)</f>
        <v/>
      </c>
      <c r="G4785" s="103" t="str">
        <f aca="false">IF($C4785="","",$D4785*IFERROR(INDEX('تحليل التكلفة والسعر'!$C$2:$C$700,MATCH($C4785,'تحليل التكلفة والسعر'!$B$2:$B$700,0)),0))</f>
        <v/>
      </c>
    </row>
    <row r="4786" customFormat="false" ht="15" hidden="false" customHeight="false" outlineLevel="0" collapsed="false">
      <c r="A4786" s="102"/>
      <c r="E4786" s="103" t="str">
        <f aca="false">IF($C4786="","",IFERROR(INDEX(المنيو!$C$2:$C$500,MATCH($C4786,المنيو!$B$2:$B$500,0)),0))</f>
        <v/>
      </c>
      <c r="F4786" s="103" t="str">
        <f aca="false">IF($C4786="","",$D4786*$E4786)</f>
        <v/>
      </c>
      <c r="G4786" s="103" t="str">
        <f aca="false">IF($C4786="","",$D4786*IFERROR(INDEX('تحليل التكلفة والسعر'!$C$2:$C$700,MATCH($C4786,'تحليل التكلفة والسعر'!$B$2:$B$700,0)),0))</f>
        <v/>
      </c>
    </row>
    <row r="4787" customFormat="false" ht="15" hidden="false" customHeight="false" outlineLevel="0" collapsed="false">
      <c r="A4787" s="102"/>
      <c r="E4787" s="103" t="str">
        <f aca="false">IF($C4787="","",IFERROR(INDEX(المنيو!$C$2:$C$500,MATCH($C4787,المنيو!$B$2:$B$500,0)),0))</f>
        <v/>
      </c>
      <c r="F4787" s="103" t="str">
        <f aca="false">IF($C4787="","",$D4787*$E4787)</f>
        <v/>
      </c>
      <c r="G4787" s="103" t="str">
        <f aca="false">IF($C4787="","",$D4787*IFERROR(INDEX('تحليل التكلفة والسعر'!$C$2:$C$700,MATCH($C4787,'تحليل التكلفة والسعر'!$B$2:$B$700,0)),0))</f>
        <v/>
      </c>
    </row>
    <row r="4788" customFormat="false" ht="15" hidden="false" customHeight="false" outlineLevel="0" collapsed="false">
      <c r="A4788" s="102"/>
      <c r="E4788" s="103" t="str">
        <f aca="false">IF($C4788="","",IFERROR(INDEX(المنيو!$C$2:$C$500,MATCH($C4788,المنيو!$B$2:$B$500,0)),0))</f>
        <v/>
      </c>
      <c r="F4788" s="103" t="str">
        <f aca="false">IF($C4788="","",$D4788*$E4788)</f>
        <v/>
      </c>
      <c r="G4788" s="103" t="str">
        <f aca="false">IF($C4788="","",$D4788*IFERROR(INDEX('تحليل التكلفة والسعر'!$C$2:$C$700,MATCH($C4788,'تحليل التكلفة والسعر'!$B$2:$B$700,0)),0))</f>
        <v/>
      </c>
    </row>
    <row r="4789" customFormat="false" ht="15" hidden="false" customHeight="false" outlineLevel="0" collapsed="false">
      <c r="A4789" s="102"/>
      <c r="E4789" s="103" t="str">
        <f aca="false">IF($C4789="","",IFERROR(INDEX(المنيو!$C$2:$C$500,MATCH($C4789,المنيو!$B$2:$B$500,0)),0))</f>
        <v/>
      </c>
      <c r="F4789" s="103" t="str">
        <f aca="false">IF($C4789="","",$D4789*$E4789)</f>
        <v/>
      </c>
      <c r="G4789" s="103" t="str">
        <f aca="false">IF($C4789="","",$D4789*IFERROR(INDEX('تحليل التكلفة والسعر'!$C$2:$C$700,MATCH($C4789,'تحليل التكلفة والسعر'!$B$2:$B$700,0)),0))</f>
        <v/>
      </c>
    </row>
    <row r="4790" customFormat="false" ht="15" hidden="false" customHeight="false" outlineLevel="0" collapsed="false">
      <c r="A4790" s="102"/>
      <c r="E4790" s="103" t="str">
        <f aca="false">IF($C4790="","",IFERROR(INDEX(المنيو!$C$2:$C$500,MATCH($C4790,المنيو!$B$2:$B$500,0)),0))</f>
        <v/>
      </c>
      <c r="F4790" s="103" t="str">
        <f aca="false">IF($C4790="","",$D4790*$E4790)</f>
        <v/>
      </c>
      <c r="G4790" s="103" t="str">
        <f aca="false">IF($C4790="","",$D4790*IFERROR(INDEX('تحليل التكلفة والسعر'!$C$2:$C$700,MATCH($C4790,'تحليل التكلفة والسعر'!$B$2:$B$700,0)),0))</f>
        <v/>
      </c>
    </row>
    <row r="4791" customFormat="false" ht="15" hidden="false" customHeight="false" outlineLevel="0" collapsed="false">
      <c r="A4791" s="102"/>
      <c r="E4791" s="103" t="str">
        <f aca="false">IF($C4791="","",IFERROR(INDEX(المنيو!$C$2:$C$500,MATCH($C4791,المنيو!$B$2:$B$500,0)),0))</f>
        <v/>
      </c>
      <c r="F4791" s="103" t="str">
        <f aca="false">IF($C4791="","",$D4791*$E4791)</f>
        <v/>
      </c>
      <c r="G4791" s="103" t="str">
        <f aca="false">IF($C4791="","",$D4791*IFERROR(INDEX('تحليل التكلفة والسعر'!$C$2:$C$700,MATCH($C4791,'تحليل التكلفة والسعر'!$B$2:$B$700,0)),0))</f>
        <v/>
      </c>
    </row>
    <row r="4792" customFormat="false" ht="15" hidden="false" customHeight="false" outlineLevel="0" collapsed="false">
      <c r="A4792" s="102"/>
      <c r="E4792" s="103" t="str">
        <f aca="false">IF($C4792="","",IFERROR(INDEX(المنيو!$C$2:$C$500,MATCH($C4792,المنيو!$B$2:$B$500,0)),0))</f>
        <v/>
      </c>
      <c r="F4792" s="103" t="str">
        <f aca="false">IF($C4792="","",$D4792*$E4792)</f>
        <v/>
      </c>
      <c r="G4792" s="103" t="str">
        <f aca="false">IF($C4792="","",$D4792*IFERROR(INDEX('تحليل التكلفة والسعر'!$C$2:$C$700,MATCH($C4792,'تحليل التكلفة والسعر'!$B$2:$B$700,0)),0))</f>
        <v/>
      </c>
    </row>
    <row r="4793" customFormat="false" ht="15" hidden="false" customHeight="false" outlineLevel="0" collapsed="false">
      <c r="A4793" s="102"/>
      <c r="E4793" s="103" t="str">
        <f aca="false">IF($C4793="","",IFERROR(INDEX(المنيو!$C$2:$C$500,MATCH($C4793,المنيو!$B$2:$B$500,0)),0))</f>
        <v/>
      </c>
      <c r="F4793" s="103" t="str">
        <f aca="false">IF($C4793="","",$D4793*$E4793)</f>
        <v/>
      </c>
      <c r="G4793" s="103" t="str">
        <f aca="false">IF($C4793="","",$D4793*IFERROR(INDEX('تحليل التكلفة والسعر'!$C$2:$C$700,MATCH($C4793,'تحليل التكلفة والسعر'!$B$2:$B$700,0)),0))</f>
        <v/>
      </c>
    </row>
    <row r="4794" customFormat="false" ht="15" hidden="false" customHeight="false" outlineLevel="0" collapsed="false">
      <c r="A4794" s="102"/>
      <c r="E4794" s="103" t="str">
        <f aca="false">IF($C4794="","",IFERROR(INDEX(المنيو!$C$2:$C$500,MATCH($C4794,المنيو!$B$2:$B$500,0)),0))</f>
        <v/>
      </c>
      <c r="F4794" s="103" t="str">
        <f aca="false">IF($C4794="","",$D4794*$E4794)</f>
        <v/>
      </c>
      <c r="G4794" s="103" t="str">
        <f aca="false">IF($C4794="","",$D4794*IFERROR(INDEX('تحليل التكلفة والسعر'!$C$2:$C$700,MATCH($C4794,'تحليل التكلفة والسعر'!$B$2:$B$700,0)),0))</f>
        <v/>
      </c>
    </row>
    <row r="4795" customFormat="false" ht="15" hidden="false" customHeight="false" outlineLevel="0" collapsed="false">
      <c r="A4795" s="102"/>
      <c r="E4795" s="103" t="str">
        <f aca="false">IF($C4795="","",IFERROR(INDEX(المنيو!$C$2:$C$500,MATCH($C4795,المنيو!$B$2:$B$500,0)),0))</f>
        <v/>
      </c>
      <c r="F4795" s="103" t="str">
        <f aca="false">IF($C4795="","",$D4795*$E4795)</f>
        <v/>
      </c>
      <c r="G4795" s="103" t="str">
        <f aca="false">IF($C4795="","",$D4795*IFERROR(INDEX('تحليل التكلفة والسعر'!$C$2:$C$700,MATCH($C4795,'تحليل التكلفة والسعر'!$B$2:$B$700,0)),0))</f>
        <v/>
      </c>
    </row>
    <row r="4796" customFormat="false" ht="15" hidden="false" customHeight="false" outlineLevel="0" collapsed="false">
      <c r="A4796" s="102"/>
      <c r="E4796" s="103" t="str">
        <f aca="false">IF($C4796="","",IFERROR(INDEX(المنيو!$C$2:$C$500,MATCH($C4796,المنيو!$B$2:$B$500,0)),0))</f>
        <v/>
      </c>
      <c r="F4796" s="103" t="str">
        <f aca="false">IF($C4796="","",$D4796*$E4796)</f>
        <v/>
      </c>
      <c r="G4796" s="103" t="str">
        <f aca="false">IF($C4796="","",$D4796*IFERROR(INDEX('تحليل التكلفة والسعر'!$C$2:$C$700,MATCH($C4796,'تحليل التكلفة والسعر'!$B$2:$B$700,0)),0))</f>
        <v/>
      </c>
    </row>
    <row r="4797" customFormat="false" ht="15" hidden="false" customHeight="false" outlineLevel="0" collapsed="false">
      <c r="A4797" s="102"/>
      <c r="E4797" s="103" t="str">
        <f aca="false">IF($C4797="","",IFERROR(INDEX(المنيو!$C$2:$C$500,MATCH($C4797,المنيو!$B$2:$B$500,0)),0))</f>
        <v/>
      </c>
      <c r="F4797" s="103" t="str">
        <f aca="false">IF($C4797="","",$D4797*$E4797)</f>
        <v/>
      </c>
      <c r="G4797" s="103" t="str">
        <f aca="false">IF($C4797="","",$D4797*IFERROR(INDEX('تحليل التكلفة والسعر'!$C$2:$C$700,MATCH($C4797,'تحليل التكلفة والسعر'!$B$2:$B$700,0)),0))</f>
        <v/>
      </c>
    </row>
    <row r="4798" customFormat="false" ht="15" hidden="false" customHeight="false" outlineLevel="0" collapsed="false">
      <c r="A4798" s="102"/>
      <c r="E4798" s="103" t="str">
        <f aca="false">IF($C4798="","",IFERROR(INDEX(المنيو!$C$2:$C$500,MATCH($C4798,المنيو!$B$2:$B$500,0)),0))</f>
        <v/>
      </c>
      <c r="F4798" s="103" t="str">
        <f aca="false">IF($C4798="","",$D4798*$E4798)</f>
        <v/>
      </c>
      <c r="G4798" s="103" t="str">
        <f aca="false">IF($C4798="","",$D4798*IFERROR(INDEX('تحليل التكلفة والسعر'!$C$2:$C$700,MATCH($C4798,'تحليل التكلفة والسعر'!$B$2:$B$700,0)),0))</f>
        <v/>
      </c>
    </row>
    <row r="4799" customFormat="false" ht="15" hidden="false" customHeight="false" outlineLevel="0" collapsed="false">
      <c r="A4799" s="102"/>
      <c r="E4799" s="103" t="str">
        <f aca="false">IF($C4799="","",IFERROR(INDEX(المنيو!$C$2:$C$500,MATCH($C4799,المنيو!$B$2:$B$500,0)),0))</f>
        <v/>
      </c>
      <c r="F4799" s="103" t="str">
        <f aca="false">IF($C4799="","",$D4799*$E4799)</f>
        <v/>
      </c>
      <c r="G4799" s="103" t="str">
        <f aca="false">IF($C4799="","",$D4799*IFERROR(INDEX('تحليل التكلفة والسعر'!$C$2:$C$700,MATCH($C4799,'تحليل التكلفة والسعر'!$B$2:$B$700,0)),0))</f>
        <v/>
      </c>
    </row>
    <row r="4800" customFormat="false" ht="15" hidden="false" customHeight="false" outlineLevel="0" collapsed="false">
      <c r="A4800" s="102"/>
      <c r="E4800" s="103" t="str">
        <f aca="false">IF($C4800="","",IFERROR(INDEX(المنيو!$C$2:$C$500,MATCH($C4800,المنيو!$B$2:$B$500,0)),0))</f>
        <v/>
      </c>
      <c r="F4800" s="103" t="str">
        <f aca="false">IF($C4800="","",$D4800*$E4800)</f>
        <v/>
      </c>
      <c r="G4800" s="103" t="str">
        <f aca="false">IF($C4800="","",$D4800*IFERROR(INDEX('تحليل التكلفة والسعر'!$C$2:$C$700,MATCH($C4800,'تحليل التكلفة والسعر'!$B$2:$B$700,0)),0))</f>
        <v/>
      </c>
    </row>
    <row r="4801" customFormat="false" ht="15" hidden="false" customHeight="false" outlineLevel="0" collapsed="false">
      <c r="A4801" s="102"/>
      <c r="E4801" s="103" t="str">
        <f aca="false">IF($C4801="","",IFERROR(INDEX(المنيو!$C$2:$C$500,MATCH($C4801,المنيو!$B$2:$B$500,0)),0))</f>
        <v/>
      </c>
      <c r="F4801" s="103" t="str">
        <f aca="false">IF($C4801="","",$D4801*$E4801)</f>
        <v/>
      </c>
      <c r="G4801" s="103" t="str">
        <f aca="false">IF($C4801="","",$D4801*IFERROR(INDEX('تحليل التكلفة والسعر'!$C$2:$C$700,MATCH($C4801,'تحليل التكلفة والسعر'!$B$2:$B$700,0)),0))</f>
        <v/>
      </c>
    </row>
    <row r="4802" customFormat="false" ht="15" hidden="false" customHeight="false" outlineLevel="0" collapsed="false">
      <c r="A4802" s="102"/>
      <c r="E4802" s="103" t="str">
        <f aca="false">IF($C4802="","",IFERROR(INDEX(المنيو!$C$2:$C$500,MATCH($C4802,المنيو!$B$2:$B$500,0)),0))</f>
        <v/>
      </c>
      <c r="F4802" s="103" t="str">
        <f aca="false">IF($C4802="","",$D4802*$E4802)</f>
        <v/>
      </c>
      <c r="G4802" s="103" t="str">
        <f aca="false">IF($C4802="","",$D4802*IFERROR(INDEX('تحليل التكلفة والسعر'!$C$2:$C$700,MATCH($C4802,'تحليل التكلفة والسعر'!$B$2:$B$700,0)),0))</f>
        <v/>
      </c>
    </row>
    <row r="4803" customFormat="false" ht="15" hidden="false" customHeight="false" outlineLevel="0" collapsed="false">
      <c r="A4803" s="102"/>
      <c r="E4803" s="103" t="str">
        <f aca="false">IF($C4803="","",IFERROR(INDEX(المنيو!$C$2:$C$500,MATCH($C4803,المنيو!$B$2:$B$500,0)),0))</f>
        <v/>
      </c>
      <c r="F4803" s="103" t="str">
        <f aca="false">IF($C4803="","",$D4803*$E4803)</f>
        <v/>
      </c>
      <c r="G4803" s="103" t="str">
        <f aca="false">IF($C4803="","",$D4803*IFERROR(INDEX('تحليل التكلفة والسعر'!$C$2:$C$700,MATCH($C4803,'تحليل التكلفة والسعر'!$B$2:$B$700,0)),0))</f>
        <v/>
      </c>
    </row>
    <row r="4804" customFormat="false" ht="15" hidden="false" customHeight="false" outlineLevel="0" collapsed="false">
      <c r="A4804" s="102"/>
      <c r="E4804" s="103" t="str">
        <f aca="false">IF($C4804="","",IFERROR(INDEX(المنيو!$C$2:$C$500,MATCH($C4804,المنيو!$B$2:$B$500,0)),0))</f>
        <v/>
      </c>
      <c r="F4804" s="103" t="str">
        <f aca="false">IF($C4804="","",$D4804*$E4804)</f>
        <v/>
      </c>
      <c r="G4804" s="103" t="str">
        <f aca="false">IF($C4804="","",$D4804*IFERROR(INDEX('تحليل التكلفة والسعر'!$C$2:$C$700,MATCH($C4804,'تحليل التكلفة والسعر'!$B$2:$B$700,0)),0))</f>
        <v/>
      </c>
    </row>
    <row r="4805" customFormat="false" ht="15" hidden="false" customHeight="false" outlineLevel="0" collapsed="false">
      <c r="A4805" s="102"/>
      <c r="E4805" s="103" t="str">
        <f aca="false">IF($C4805="","",IFERROR(INDEX(المنيو!$C$2:$C$500,MATCH($C4805,المنيو!$B$2:$B$500,0)),0))</f>
        <v/>
      </c>
      <c r="F4805" s="103" t="str">
        <f aca="false">IF($C4805="","",$D4805*$E4805)</f>
        <v/>
      </c>
      <c r="G4805" s="103" t="str">
        <f aca="false">IF($C4805="","",$D4805*IFERROR(INDEX('تحليل التكلفة والسعر'!$C$2:$C$700,MATCH($C4805,'تحليل التكلفة والسعر'!$B$2:$B$700,0)),0))</f>
        <v/>
      </c>
    </row>
    <row r="4806" customFormat="false" ht="15" hidden="false" customHeight="false" outlineLevel="0" collapsed="false">
      <c r="A4806" s="102"/>
      <c r="E4806" s="103" t="str">
        <f aca="false">IF($C4806="","",IFERROR(INDEX(المنيو!$C$2:$C$500,MATCH($C4806,المنيو!$B$2:$B$500,0)),0))</f>
        <v/>
      </c>
      <c r="F4806" s="103" t="str">
        <f aca="false">IF($C4806="","",$D4806*$E4806)</f>
        <v/>
      </c>
      <c r="G4806" s="103" t="str">
        <f aca="false">IF($C4806="","",$D4806*IFERROR(INDEX('تحليل التكلفة والسعر'!$C$2:$C$700,MATCH($C4806,'تحليل التكلفة والسعر'!$B$2:$B$700,0)),0))</f>
        <v/>
      </c>
    </row>
    <row r="4807" customFormat="false" ht="15" hidden="false" customHeight="false" outlineLevel="0" collapsed="false">
      <c r="A4807" s="102"/>
      <c r="E4807" s="103" t="str">
        <f aca="false">IF($C4807="","",IFERROR(INDEX(المنيو!$C$2:$C$500,MATCH($C4807,المنيو!$B$2:$B$500,0)),0))</f>
        <v/>
      </c>
      <c r="F4807" s="103" t="str">
        <f aca="false">IF($C4807="","",$D4807*$E4807)</f>
        <v/>
      </c>
      <c r="G4807" s="103" t="str">
        <f aca="false">IF($C4807="","",$D4807*IFERROR(INDEX('تحليل التكلفة والسعر'!$C$2:$C$700,MATCH($C4807,'تحليل التكلفة والسعر'!$B$2:$B$700,0)),0))</f>
        <v/>
      </c>
    </row>
    <row r="4808" customFormat="false" ht="15" hidden="false" customHeight="false" outlineLevel="0" collapsed="false">
      <c r="A4808" s="102"/>
      <c r="E4808" s="103" t="str">
        <f aca="false">IF($C4808="","",IFERROR(INDEX(المنيو!$C$2:$C$500,MATCH($C4808,المنيو!$B$2:$B$500,0)),0))</f>
        <v/>
      </c>
      <c r="F4808" s="103" t="str">
        <f aca="false">IF($C4808="","",$D4808*$E4808)</f>
        <v/>
      </c>
      <c r="G4808" s="103" t="str">
        <f aca="false">IF($C4808="","",$D4808*IFERROR(INDEX('تحليل التكلفة والسعر'!$C$2:$C$700,MATCH($C4808,'تحليل التكلفة والسعر'!$B$2:$B$700,0)),0))</f>
        <v/>
      </c>
    </row>
    <row r="4809" customFormat="false" ht="15" hidden="false" customHeight="false" outlineLevel="0" collapsed="false">
      <c r="A4809" s="102"/>
      <c r="E4809" s="103" t="str">
        <f aca="false">IF($C4809="","",IFERROR(INDEX(المنيو!$C$2:$C$500,MATCH($C4809,المنيو!$B$2:$B$500,0)),0))</f>
        <v/>
      </c>
      <c r="F4809" s="103" t="str">
        <f aca="false">IF($C4809="","",$D4809*$E4809)</f>
        <v/>
      </c>
      <c r="G4809" s="103" t="str">
        <f aca="false">IF($C4809="","",$D4809*IFERROR(INDEX('تحليل التكلفة والسعر'!$C$2:$C$700,MATCH($C4809,'تحليل التكلفة والسعر'!$B$2:$B$700,0)),0))</f>
        <v/>
      </c>
    </row>
    <row r="4810" customFormat="false" ht="15" hidden="false" customHeight="false" outlineLevel="0" collapsed="false">
      <c r="A4810" s="102"/>
      <c r="E4810" s="103" t="str">
        <f aca="false">IF($C4810="","",IFERROR(INDEX(المنيو!$C$2:$C$500,MATCH($C4810,المنيو!$B$2:$B$500,0)),0))</f>
        <v/>
      </c>
      <c r="F4810" s="103" t="str">
        <f aca="false">IF($C4810="","",$D4810*$E4810)</f>
        <v/>
      </c>
      <c r="G4810" s="103" t="str">
        <f aca="false">IF($C4810="","",$D4810*IFERROR(INDEX('تحليل التكلفة والسعر'!$C$2:$C$700,MATCH($C4810,'تحليل التكلفة والسعر'!$B$2:$B$700,0)),0))</f>
        <v/>
      </c>
    </row>
    <row r="4811" customFormat="false" ht="15" hidden="false" customHeight="false" outlineLevel="0" collapsed="false">
      <c r="A4811" s="102"/>
      <c r="E4811" s="103" t="str">
        <f aca="false">IF($C4811="","",IFERROR(INDEX(المنيو!$C$2:$C$500,MATCH($C4811,المنيو!$B$2:$B$500,0)),0))</f>
        <v/>
      </c>
      <c r="F4811" s="103" t="str">
        <f aca="false">IF($C4811="","",$D4811*$E4811)</f>
        <v/>
      </c>
      <c r="G4811" s="103" t="str">
        <f aca="false">IF($C4811="","",$D4811*IFERROR(INDEX('تحليل التكلفة والسعر'!$C$2:$C$700,MATCH($C4811,'تحليل التكلفة والسعر'!$B$2:$B$700,0)),0))</f>
        <v/>
      </c>
    </row>
    <row r="4812" customFormat="false" ht="15" hidden="false" customHeight="false" outlineLevel="0" collapsed="false">
      <c r="A4812" s="102"/>
      <c r="E4812" s="103" t="str">
        <f aca="false">IF($C4812="","",IFERROR(INDEX(المنيو!$C$2:$C$500,MATCH($C4812,المنيو!$B$2:$B$500,0)),0))</f>
        <v/>
      </c>
      <c r="F4812" s="103" t="str">
        <f aca="false">IF($C4812="","",$D4812*$E4812)</f>
        <v/>
      </c>
      <c r="G4812" s="103" t="str">
        <f aca="false">IF($C4812="","",$D4812*IFERROR(INDEX('تحليل التكلفة والسعر'!$C$2:$C$700,MATCH($C4812,'تحليل التكلفة والسعر'!$B$2:$B$700,0)),0))</f>
        <v/>
      </c>
    </row>
    <row r="4813" customFormat="false" ht="15" hidden="false" customHeight="false" outlineLevel="0" collapsed="false">
      <c r="A4813" s="102"/>
      <c r="E4813" s="103" t="str">
        <f aca="false">IF($C4813="","",IFERROR(INDEX(المنيو!$C$2:$C$500,MATCH($C4813,المنيو!$B$2:$B$500,0)),0))</f>
        <v/>
      </c>
      <c r="F4813" s="103" t="str">
        <f aca="false">IF($C4813="","",$D4813*$E4813)</f>
        <v/>
      </c>
      <c r="G4813" s="103" t="str">
        <f aca="false">IF($C4813="","",$D4813*IFERROR(INDEX('تحليل التكلفة والسعر'!$C$2:$C$700,MATCH($C4813,'تحليل التكلفة والسعر'!$B$2:$B$700,0)),0))</f>
        <v/>
      </c>
    </row>
    <row r="4814" customFormat="false" ht="15" hidden="false" customHeight="false" outlineLevel="0" collapsed="false">
      <c r="A4814" s="102"/>
      <c r="E4814" s="103" t="str">
        <f aca="false">IF($C4814="","",IFERROR(INDEX(المنيو!$C$2:$C$500,MATCH($C4814,المنيو!$B$2:$B$500,0)),0))</f>
        <v/>
      </c>
      <c r="F4814" s="103" t="str">
        <f aca="false">IF($C4814="","",$D4814*$E4814)</f>
        <v/>
      </c>
      <c r="G4814" s="103" t="str">
        <f aca="false">IF($C4814="","",$D4814*IFERROR(INDEX('تحليل التكلفة والسعر'!$C$2:$C$700,MATCH($C4814,'تحليل التكلفة والسعر'!$B$2:$B$700,0)),0))</f>
        <v/>
      </c>
    </row>
    <row r="4815" customFormat="false" ht="15" hidden="false" customHeight="false" outlineLevel="0" collapsed="false">
      <c r="A4815" s="102"/>
      <c r="E4815" s="103" t="str">
        <f aca="false">IF($C4815="","",IFERROR(INDEX(المنيو!$C$2:$C$500,MATCH($C4815,المنيو!$B$2:$B$500,0)),0))</f>
        <v/>
      </c>
      <c r="F4815" s="103" t="str">
        <f aca="false">IF($C4815="","",$D4815*$E4815)</f>
        <v/>
      </c>
      <c r="G4815" s="103" t="str">
        <f aca="false">IF($C4815="","",$D4815*IFERROR(INDEX('تحليل التكلفة والسعر'!$C$2:$C$700,MATCH($C4815,'تحليل التكلفة والسعر'!$B$2:$B$700,0)),0))</f>
        <v/>
      </c>
    </row>
    <row r="4816" customFormat="false" ht="15" hidden="false" customHeight="false" outlineLevel="0" collapsed="false">
      <c r="A4816" s="102"/>
      <c r="E4816" s="103" t="str">
        <f aca="false">IF($C4816="","",IFERROR(INDEX(المنيو!$C$2:$C$500,MATCH($C4816,المنيو!$B$2:$B$500,0)),0))</f>
        <v/>
      </c>
      <c r="F4816" s="103" t="str">
        <f aca="false">IF($C4816="","",$D4816*$E4816)</f>
        <v/>
      </c>
      <c r="G4816" s="103" t="str">
        <f aca="false">IF($C4816="","",$D4816*IFERROR(INDEX('تحليل التكلفة والسعر'!$C$2:$C$700,MATCH($C4816,'تحليل التكلفة والسعر'!$B$2:$B$700,0)),0))</f>
        <v/>
      </c>
    </row>
    <row r="4817" customFormat="false" ht="15" hidden="false" customHeight="false" outlineLevel="0" collapsed="false">
      <c r="A4817" s="102"/>
      <c r="E4817" s="103" t="str">
        <f aca="false">IF($C4817="","",IFERROR(INDEX(المنيو!$C$2:$C$500,MATCH($C4817,المنيو!$B$2:$B$500,0)),0))</f>
        <v/>
      </c>
      <c r="F4817" s="103" t="str">
        <f aca="false">IF($C4817="","",$D4817*$E4817)</f>
        <v/>
      </c>
      <c r="G4817" s="103" t="str">
        <f aca="false">IF($C4817="","",$D4817*IFERROR(INDEX('تحليل التكلفة والسعر'!$C$2:$C$700,MATCH($C4817,'تحليل التكلفة والسعر'!$B$2:$B$700,0)),0))</f>
        <v/>
      </c>
    </row>
    <row r="4818" customFormat="false" ht="15" hidden="false" customHeight="false" outlineLevel="0" collapsed="false">
      <c r="A4818" s="102"/>
      <c r="E4818" s="103" t="str">
        <f aca="false">IF($C4818="","",IFERROR(INDEX(المنيو!$C$2:$C$500,MATCH($C4818,المنيو!$B$2:$B$500,0)),0))</f>
        <v/>
      </c>
      <c r="F4818" s="103" t="str">
        <f aca="false">IF($C4818="","",$D4818*$E4818)</f>
        <v/>
      </c>
      <c r="G4818" s="103" t="str">
        <f aca="false">IF($C4818="","",$D4818*IFERROR(INDEX('تحليل التكلفة والسعر'!$C$2:$C$700,MATCH($C4818,'تحليل التكلفة والسعر'!$B$2:$B$700,0)),0))</f>
        <v/>
      </c>
    </row>
    <row r="4819" customFormat="false" ht="15" hidden="false" customHeight="false" outlineLevel="0" collapsed="false">
      <c r="A4819" s="102"/>
      <c r="E4819" s="103" t="str">
        <f aca="false">IF($C4819="","",IFERROR(INDEX(المنيو!$C$2:$C$500,MATCH($C4819,المنيو!$B$2:$B$500,0)),0))</f>
        <v/>
      </c>
      <c r="F4819" s="103" t="str">
        <f aca="false">IF($C4819="","",$D4819*$E4819)</f>
        <v/>
      </c>
      <c r="G4819" s="103" t="str">
        <f aca="false">IF($C4819="","",$D4819*IFERROR(INDEX('تحليل التكلفة والسعر'!$C$2:$C$700,MATCH($C4819,'تحليل التكلفة والسعر'!$B$2:$B$700,0)),0))</f>
        <v/>
      </c>
    </row>
    <row r="4820" customFormat="false" ht="15" hidden="false" customHeight="false" outlineLevel="0" collapsed="false">
      <c r="A4820" s="102"/>
      <c r="E4820" s="103" t="str">
        <f aca="false">IF($C4820="","",IFERROR(INDEX(المنيو!$C$2:$C$500,MATCH($C4820,المنيو!$B$2:$B$500,0)),0))</f>
        <v/>
      </c>
      <c r="F4820" s="103" t="str">
        <f aca="false">IF($C4820="","",$D4820*$E4820)</f>
        <v/>
      </c>
      <c r="G4820" s="103" t="str">
        <f aca="false">IF($C4820="","",$D4820*IFERROR(INDEX('تحليل التكلفة والسعر'!$C$2:$C$700,MATCH($C4820,'تحليل التكلفة والسعر'!$B$2:$B$700,0)),0))</f>
        <v/>
      </c>
    </row>
    <row r="4821" customFormat="false" ht="15" hidden="false" customHeight="false" outlineLevel="0" collapsed="false">
      <c r="A4821" s="102"/>
      <c r="E4821" s="103" t="str">
        <f aca="false">IF($C4821="","",IFERROR(INDEX(المنيو!$C$2:$C$500,MATCH($C4821,المنيو!$B$2:$B$500,0)),0))</f>
        <v/>
      </c>
      <c r="F4821" s="103" t="str">
        <f aca="false">IF($C4821="","",$D4821*$E4821)</f>
        <v/>
      </c>
      <c r="G4821" s="103" t="str">
        <f aca="false">IF($C4821="","",$D4821*IFERROR(INDEX('تحليل التكلفة والسعر'!$C$2:$C$700,MATCH($C4821,'تحليل التكلفة والسعر'!$B$2:$B$700,0)),0))</f>
        <v/>
      </c>
    </row>
    <row r="4822" customFormat="false" ht="15" hidden="false" customHeight="false" outlineLevel="0" collapsed="false">
      <c r="A4822" s="102"/>
      <c r="E4822" s="103" t="str">
        <f aca="false">IF($C4822="","",IFERROR(INDEX(المنيو!$C$2:$C$500,MATCH($C4822,المنيو!$B$2:$B$500,0)),0))</f>
        <v/>
      </c>
      <c r="F4822" s="103" t="str">
        <f aca="false">IF($C4822="","",$D4822*$E4822)</f>
        <v/>
      </c>
      <c r="G4822" s="103" t="str">
        <f aca="false">IF($C4822="","",$D4822*IFERROR(INDEX('تحليل التكلفة والسعر'!$C$2:$C$700,MATCH($C4822,'تحليل التكلفة والسعر'!$B$2:$B$700,0)),0))</f>
        <v/>
      </c>
    </row>
    <row r="4823" customFormat="false" ht="15" hidden="false" customHeight="false" outlineLevel="0" collapsed="false">
      <c r="A4823" s="102"/>
      <c r="E4823" s="103" t="str">
        <f aca="false">IF($C4823="","",IFERROR(INDEX(المنيو!$C$2:$C$500,MATCH($C4823,المنيو!$B$2:$B$500,0)),0))</f>
        <v/>
      </c>
      <c r="F4823" s="103" t="str">
        <f aca="false">IF($C4823="","",$D4823*$E4823)</f>
        <v/>
      </c>
      <c r="G4823" s="103" t="str">
        <f aca="false">IF($C4823="","",$D4823*IFERROR(INDEX('تحليل التكلفة والسعر'!$C$2:$C$700,MATCH($C4823,'تحليل التكلفة والسعر'!$B$2:$B$700,0)),0))</f>
        <v/>
      </c>
    </row>
    <row r="4824" customFormat="false" ht="15" hidden="false" customHeight="false" outlineLevel="0" collapsed="false">
      <c r="A4824" s="102"/>
      <c r="E4824" s="103" t="str">
        <f aca="false">IF($C4824="","",IFERROR(INDEX(المنيو!$C$2:$C$500,MATCH($C4824,المنيو!$B$2:$B$500,0)),0))</f>
        <v/>
      </c>
      <c r="F4824" s="103" t="str">
        <f aca="false">IF($C4824="","",$D4824*$E4824)</f>
        <v/>
      </c>
      <c r="G4824" s="103" t="str">
        <f aca="false">IF($C4824="","",$D4824*IFERROR(INDEX('تحليل التكلفة والسعر'!$C$2:$C$700,MATCH($C4824,'تحليل التكلفة والسعر'!$B$2:$B$700,0)),0))</f>
        <v/>
      </c>
    </row>
    <row r="4825" customFormat="false" ht="15" hidden="false" customHeight="false" outlineLevel="0" collapsed="false">
      <c r="A4825" s="102"/>
      <c r="E4825" s="103" t="str">
        <f aca="false">IF($C4825="","",IFERROR(INDEX(المنيو!$C$2:$C$500,MATCH($C4825,المنيو!$B$2:$B$500,0)),0))</f>
        <v/>
      </c>
      <c r="F4825" s="103" t="str">
        <f aca="false">IF($C4825="","",$D4825*$E4825)</f>
        <v/>
      </c>
      <c r="G4825" s="103" t="str">
        <f aca="false">IF($C4825="","",$D4825*IFERROR(INDEX('تحليل التكلفة والسعر'!$C$2:$C$700,MATCH($C4825,'تحليل التكلفة والسعر'!$B$2:$B$700,0)),0))</f>
        <v/>
      </c>
    </row>
    <row r="4826" customFormat="false" ht="15" hidden="false" customHeight="false" outlineLevel="0" collapsed="false">
      <c r="A4826" s="102"/>
      <c r="E4826" s="103" t="str">
        <f aca="false">IF($C4826="","",IFERROR(INDEX(المنيو!$C$2:$C$500,MATCH($C4826,المنيو!$B$2:$B$500,0)),0))</f>
        <v/>
      </c>
      <c r="F4826" s="103" t="str">
        <f aca="false">IF($C4826="","",$D4826*$E4826)</f>
        <v/>
      </c>
      <c r="G4826" s="103" t="str">
        <f aca="false">IF($C4826="","",$D4826*IFERROR(INDEX('تحليل التكلفة والسعر'!$C$2:$C$700,MATCH($C4826,'تحليل التكلفة والسعر'!$B$2:$B$700,0)),0))</f>
        <v/>
      </c>
    </row>
    <row r="4827" customFormat="false" ht="15" hidden="false" customHeight="false" outlineLevel="0" collapsed="false">
      <c r="A4827" s="102"/>
      <c r="E4827" s="103" t="str">
        <f aca="false">IF($C4827="","",IFERROR(INDEX(المنيو!$C$2:$C$500,MATCH($C4827,المنيو!$B$2:$B$500,0)),0))</f>
        <v/>
      </c>
      <c r="F4827" s="103" t="str">
        <f aca="false">IF($C4827="","",$D4827*$E4827)</f>
        <v/>
      </c>
      <c r="G4827" s="103" t="str">
        <f aca="false">IF($C4827="","",$D4827*IFERROR(INDEX('تحليل التكلفة والسعر'!$C$2:$C$700,MATCH($C4827,'تحليل التكلفة والسعر'!$B$2:$B$700,0)),0))</f>
        <v/>
      </c>
    </row>
    <row r="4828" customFormat="false" ht="15" hidden="false" customHeight="false" outlineLevel="0" collapsed="false">
      <c r="A4828" s="102"/>
      <c r="E4828" s="103" t="str">
        <f aca="false">IF($C4828="","",IFERROR(INDEX(المنيو!$C$2:$C$500,MATCH($C4828,المنيو!$B$2:$B$500,0)),0))</f>
        <v/>
      </c>
      <c r="F4828" s="103" t="str">
        <f aca="false">IF($C4828="","",$D4828*$E4828)</f>
        <v/>
      </c>
      <c r="G4828" s="103" t="str">
        <f aca="false">IF($C4828="","",$D4828*IFERROR(INDEX('تحليل التكلفة والسعر'!$C$2:$C$700,MATCH($C4828,'تحليل التكلفة والسعر'!$B$2:$B$700,0)),0))</f>
        <v/>
      </c>
    </row>
    <row r="4829" customFormat="false" ht="15" hidden="false" customHeight="false" outlineLevel="0" collapsed="false">
      <c r="A4829" s="102"/>
      <c r="E4829" s="103" t="str">
        <f aca="false">IF($C4829="","",IFERROR(INDEX(المنيو!$C$2:$C$500,MATCH($C4829,المنيو!$B$2:$B$500,0)),0))</f>
        <v/>
      </c>
      <c r="F4829" s="103" t="str">
        <f aca="false">IF($C4829="","",$D4829*$E4829)</f>
        <v/>
      </c>
      <c r="G4829" s="103" t="str">
        <f aca="false">IF($C4829="","",$D4829*IFERROR(INDEX('تحليل التكلفة والسعر'!$C$2:$C$700,MATCH($C4829,'تحليل التكلفة والسعر'!$B$2:$B$700,0)),0))</f>
        <v/>
      </c>
    </row>
    <row r="4830" customFormat="false" ht="15" hidden="false" customHeight="false" outlineLevel="0" collapsed="false">
      <c r="A4830" s="102"/>
      <c r="E4830" s="103" t="str">
        <f aca="false">IF($C4830="","",IFERROR(INDEX(المنيو!$C$2:$C$500,MATCH($C4830,المنيو!$B$2:$B$500,0)),0))</f>
        <v/>
      </c>
      <c r="F4830" s="103" t="str">
        <f aca="false">IF($C4830="","",$D4830*$E4830)</f>
        <v/>
      </c>
      <c r="G4830" s="103" t="str">
        <f aca="false">IF($C4830="","",$D4830*IFERROR(INDEX('تحليل التكلفة والسعر'!$C$2:$C$700,MATCH($C4830,'تحليل التكلفة والسعر'!$B$2:$B$700,0)),0))</f>
        <v/>
      </c>
    </row>
    <row r="4831" customFormat="false" ht="15" hidden="false" customHeight="false" outlineLevel="0" collapsed="false">
      <c r="A4831" s="102"/>
      <c r="E4831" s="103" t="str">
        <f aca="false">IF($C4831="","",IFERROR(INDEX(المنيو!$C$2:$C$500,MATCH($C4831,المنيو!$B$2:$B$500,0)),0))</f>
        <v/>
      </c>
      <c r="F4831" s="103" t="str">
        <f aca="false">IF($C4831="","",$D4831*$E4831)</f>
        <v/>
      </c>
      <c r="G4831" s="103" t="str">
        <f aca="false">IF($C4831="","",$D4831*IFERROR(INDEX('تحليل التكلفة والسعر'!$C$2:$C$700,MATCH($C4831,'تحليل التكلفة والسعر'!$B$2:$B$700,0)),0))</f>
        <v/>
      </c>
    </row>
    <row r="4832" customFormat="false" ht="15" hidden="false" customHeight="false" outlineLevel="0" collapsed="false">
      <c r="A4832" s="102"/>
      <c r="E4832" s="103" t="str">
        <f aca="false">IF($C4832="","",IFERROR(INDEX(المنيو!$C$2:$C$500,MATCH($C4832,المنيو!$B$2:$B$500,0)),0))</f>
        <v/>
      </c>
      <c r="F4832" s="103" t="str">
        <f aca="false">IF($C4832="","",$D4832*$E4832)</f>
        <v/>
      </c>
      <c r="G4832" s="103" t="str">
        <f aca="false">IF($C4832="","",$D4832*IFERROR(INDEX('تحليل التكلفة والسعر'!$C$2:$C$700,MATCH($C4832,'تحليل التكلفة والسعر'!$B$2:$B$700,0)),0))</f>
        <v/>
      </c>
    </row>
    <row r="4833" customFormat="false" ht="15" hidden="false" customHeight="false" outlineLevel="0" collapsed="false">
      <c r="A4833" s="102"/>
      <c r="E4833" s="103" t="str">
        <f aca="false">IF($C4833="","",IFERROR(INDEX(المنيو!$C$2:$C$500,MATCH($C4833,المنيو!$B$2:$B$500,0)),0))</f>
        <v/>
      </c>
      <c r="F4833" s="103" t="str">
        <f aca="false">IF($C4833="","",$D4833*$E4833)</f>
        <v/>
      </c>
      <c r="G4833" s="103" t="str">
        <f aca="false">IF($C4833="","",$D4833*IFERROR(INDEX('تحليل التكلفة والسعر'!$C$2:$C$700,MATCH($C4833,'تحليل التكلفة والسعر'!$B$2:$B$700,0)),0))</f>
        <v/>
      </c>
    </row>
    <row r="4834" customFormat="false" ht="15" hidden="false" customHeight="false" outlineLevel="0" collapsed="false">
      <c r="A4834" s="102"/>
      <c r="E4834" s="103" t="str">
        <f aca="false">IF($C4834="","",IFERROR(INDEX(المنيو!$C$2:$C$500,MATCH($C4834,المنيو!$B$2:$B$500,0)),0))</f>
        <v/>
      </c>
      <c r="F4834" s="103" t="str">
        <f aca="false">IF($C4834="","",$D4834*$E4834)</f>
        <v/>
      </c>
      <c r="G4834" s="103" t="str">
        <f aca="false">IF($C4834="","",$D4834*IFERROR(INDEX('تحليل التكلفة والسعر'!$C$2:$C$700,MATCH($C4834,'تحليل التكلفة والسعر'!$B$2:$B$700,0)),0))</f>
        <v/>
      </c>
    </row>
    <row r="4835" customFormat="false" ht="15" hidden="false" customHeight="false" outlineLevel="0" collapsed="false">
      <c r="A4835" s="102"/>
      <c r="E4835" s="103" t="str">
        <f aca="false">IF($C4835="","",IFERROR(INDEX(المنيو!$C$2:$C$500,MATCH($C4835,المنيو!$B$2:$B$500,0)),0))</f>
        <v/>
      </c>
      <c r="F4835" s="103" t="str">
        <f aca="false">IF($C4835="","",$D4835*$E4835)</f>
        <v/>
      </c>
      <c r="G4835" s="103" t="str">
        <f aca="false">IF($C4835="","",$D4835*IFERROR(INDEX('تحليل التكلفة والسعر'!$C$2:$C$700,MATCH($C4835,'تحليل التكلفة والسعر'!$B$2:$B$700,0)),0))</f>
        <v/>
      </c>
    </row>
    <row r="4836" customFormat="false" ht="15" hidden="false" customHeight="false" outlineLevel="0" collapsed="false">
      <c r="A4836" s="102"/>
      <c r="E4836" s="103" t="str">
        <f aca="false">IF($C4836="","",IFERROR(INDEX(المنيو!$C$2:$C$500,MATCH($C4836,المنيو!$B$2:$B$500,0)),0))</f>
        <v/>
      </c>
      <c r="F4836" s="103" t="str">
        <f aca="false">IF($C4836="","",$D4836*$E4836)</f>
        <v/>
      </c>
      <c r="G4836" s="103" t="str">
        <f aca="false">IF($C4836="","",$D4836*IFERROR(INDEX('تحليل التكلفة والسعر'!$C$2:$C$700,MATCH($C4836,'تحليل التكلفة والسعر'!$B$2:$B$700,0)),0))</f>
        <v/>
      </c>
    </row>
    <row r="4837" customFormat="false" ht="15" hidden="false" customHeight="false" outlineLevel="0" collapsed="false">
      <c r="A4837" s="102"/>
      <c r="E4837" s="103" t="str">
        <f aca="false">IF($C4837="","",IFERROR(INDEX(المنيو!$C$2:$C$500,MATCH($C4837,المنيو!$B$2:$B$500,0)),0))</f>
        <v/>
      </c>
      <c r="F4837" s="103" t="str">
        <f aca="false">IF($C4837="","",$D4837*$E4837)</f>
        <v/>
      </c>
      <c r="G4837" s="103" t="str">
        <f aca="false">IF($C4837="","",$D4837*IFERROR(INDEX('تحليل التكلفة والسعر'!$C$2:$C$700,MATCH($C4837,'تحليل التكلفة والسعر'!$B$2:$B$700,0)),0))</f>
        <v/>
      </c>
    </row>
    <row r="4838" customFormat="false" ht="15" hidden="false" customHeight="false" outlineLevel="0" collapsed="false">
      <c r="A4838" s="102"/>
      <c r="E4838" s="103" t="str">
        <f aca="false">IF($C4838="","",IFERROR(INDEX(المنيو!$C$2:$C$500,MATCH($C4838,المنيو!$B$2:$B$500,0)),0))</f>
        <v/>
      </c>
      <c r="F4838" s="103" t="str">
        <f aca="false">IF($C4838="","",$D4838*$E4838)</f>
        <v/>
      </c>
      <c r="G4838" s="103" t="str">
        <f aca="false">IF($C4838="","",$D4838*IFERROR(INDEX('تحليل التكلفة والسعر'!$C$2:$C$700,MATCH($C4838,'تحليل التكلفة والسعر'!$B$2:$B$700,0)),0))</f>
        <v/>
      </c>
    </row>
    <row r="4839" customFormat="false" ht="15" hidden="false" customHeight="false" outlineLevel="0" collapsed="false">
      <c r="A4839" s="102"/>
      <c r="E4839" s="103" t="str">
        <f aca="false">IF($C4839="","",IFERROR(INDEX(المنيو!$C$2:$C$500,MATCH($C4839,المنيو!$B$2:$B$500,0)),0))</f>
        <v/>
      </c>
      <c r="F4839" s="103" t="str">
        <f aca="false">IF($C4839="","",$D4839*$E4839)</f>
        <v/>
      </c>
      <c r="G4839" s="103" t="str">
        <f aca="false">IF($C4839="","",$D4839*IFERROR(INDEX('تحليل التكلفة والسعر'!$C$2:$C$700,MATCH($C4839,'تحليل التكلفة والسعر'!$B$2:$B$700,0)),0))</f>
        <v/>
      </c>
    </row>
    <row r="4840" customFormat="false" ht="15" hidden="false" customHeight="false" outlineLevel="0" collapsed="false">
      <c r="A4840" s="102"/>
      <c r="E4840" s="103" t="str">
        <f aca="false">IF($C4840="","",IFERROR(INDEX(المنيو!$C$2:$C$500,MATCH($C4840,المنيو!$B$2:$B$500,0)),0))</f>
        <v/>
      </c>
      <c r="F4840" s="103" t="str">
        <f aca="false">IF($C4840="","",$D4840*$E4840)</f>
        <v/>
      </c>
      <c r="G4840" s="103" t="str">
        <f aca="false">IF($C4840="","",$D4840*IFERROR(INDEX('تحليل التكلفة والسعر'!$C$2:$C$700,MATCH($C4840,'تحليل التكلفة والسعر'!$B$2:$B$700,0)),0))</f>
        <v/>
      </c>
    </row>
    <row r="4841" customFormat="false" ht="15" hidden="false" customHeight="false" outlineLevel="0" collapsed="false">
      <c r="A4841" s="102"/>
      <c r="E4841" s="103" t="str">
        <f aca="false">IF($C4841="","",IFERROR(INDEX(المنيو!$C$2:$C$500,MATCH($C4841,المنيو!$B$2:$B$500,0)),0))</f>
        <v/>
      </c>
      <c r="F4841" s="103" t="str">
        <f aca="false">IF($C4841="","",$D4841*$E4841)</f>
        <v/>
      </c>
      <c r="G4841" s="103" t="str">
        <f aca="false">IF($C4841="","",$D4841*IFERROR(INDEX('تحليل التكلفة والسعر'!$C$2:$C$700,MATCH($C4841,'تحليل التكلفة والسعر'!$B$2:$B$700,0)),0))</f>
        <v/>
      </c>
    </row>
    <row r="4842" customFormat="false" ht="15" hidden="false" customHeight="false" outlineLevel="0" collapsed="false">
      <c r="A4842" s="102"/>
      <c r="E4842" s="103" t="str">
        <f aca="false">IF($C4842="","",IFERROR(INDEX(المنيو!$C$2:$C$500,MATCH($C4842,المنيو!$B$2:$B$500,0)),0))</f>
        <v/>
      </c>
      <c r="F4842" s="103" t="str">
        <f aca="false">IF($C4842="","",$D4842*$E4842)</f>
        <v/>
      </c>
      <c r="G4842" s="103" t="str">
        <f aca="false">IF($C4842="","",$D4842*IFERROR(INDEX('تحليل التكلفة والسعر'!$C$2:$C$700,MATCH($C4842,'تحليل التكلفة والسعر'!$B$2:$B$700,0)),0))</f>
        <v/>
      </c>
    </row>
    <row r="4843" customFormat="false" ht="15" hidden="false" customHeight="false" outlineLevel="0" collapsed="false">
      <c r="A4843" s="102"/>
      <c r="E4843" s="103" t="str">
        <f aca="false">IF($C4843="","",IFERROR(INDEX(المنيو!$C$2:$C$500,MATCH($C4843,المنيو!$B$2:$B$500,0)),0))</f>
        <v/>
      </c>
      <c r="F4843" s="103" t="str">
        <f aca="false">IF($C4843="","",$D4843*$E4843)</f>
        <v/>
      </c>
      <c r="G4843" s="103" t="str">
        <f aca="false">IF($C4843="","",$D4843*IFERROR(INDEX('تحليل التكلفة والسعر'!$C$2:$C$700,MATCH($C4843,'تحليل التكلفة والسعر'!$B$2:$B$700,0)),0))</f>
        <v/>
      </c>
    </row>
    <row r="4844" customFormat="false" ht="15" hidden="false" customHeight="false" outlineLevel="0" collapsed="false">
      <c r="A4844" s="102"/>
      <c r="E4844" s="103" t="str">
        <f aca="false">IF($C4844="","",IFERROR(INDEX(المنيو!$C$2:$C$500,MATCH($C4844,المنيو!$B$2:$B$500,0)),0))</f>
        <v/>
      </c>
      <c r="F4844" s="103" t="str">
        <f aca="false">IF($C4844="","",$D4844*$E4844)</f>
        <v/>
      </c>
      <c r="G4844" s="103" t="str">
        <f aca="false">IF($C4844="","",$D4844*IFERROR(INDEX('تحليل التكلفة والسعر'!$C$2:$C$700,MATCH($C4844,'تحليل التكلفة والسعر'!$B$2:$B$700,0)),0))</f>
        <v/>
      </c>
    </row>
    <row r="4845" customFormat="false" ht="15" hidden="false" customHeight="false" outlineLevel="0" collapsed="false">
      <c r="A4845" s="102"/>
      <c r="E4845" s="103" t="str">
        <f aca="false">IF($C4845="","",IFERROR(INDEX(المنيو!$C$2:$C$500,MATCH($C4845,المنيو!$B$2:$B$500,0)),0))</f>
        <v/>
      </c>
      <c r="F4845" s="103" t="str">
        <f aca="false">IF($C4845="","",$D4845*$E4845)</f>
        <v/>
      </c>
      <c r="G4845" s="103" t="str">
        <f aca="false">IF($C4845="","",$D4845*IFERROR(INDEX('تحليل التكلفة والسعر'!$C$2:$C$700,MATCH($C4845,'تحليل التكلفة والسعر'!$B$2:$B$700,0)),0))</f>
        <v/>
      </c>
    </row>
    <row r="4846" customFormat="false" ht="15" hidden="false" customHeight="false" outlineLevel="0" collapsed="false">
      <c r="A4846" s="102"/>
      <c r="E4846" s="103" t="str">
        <f aca="false">IF($C4846="","",IFERROR(INDEX(المنيو!$C$2:$C$500,MATCH($C4846,المنيو!$B$2:$B$500,0)),0))</f>
        <v/>
      </c>
      <c r="F4846" s="103" t="str">
        <f aca="false">IF($C4846="","",$D4846*$E4846)</f>
        <v/>
      </c>
      <c r="G4846" s="103" t="str">
        <f aca="false">IF($C4846="","",$D4846*IFERROR(INDEX('تحليل التكلفة والسعر'!$C$2:$C$700,MATCH($C4846,'تحليل التكلفة والسعر'!$B$2:$B$700,0)),0))</f>
        <v/>
      </c>
    </row>
    <row r="4847" customFormat="false" ht="15" hidden="false" customHeight="false" outlineLevel="0" collapsed="false">
      <c r="A4847" s="102"/>
      <c r="E4847" s="103" t="str">
        <f aca="false">IF($C4847="","",IFERROR(INDEX(المنيو!$C$2:$C$500,MATCH($C4847,المنيو!$B$2:$B$500,0)),0))</f>
        <v/>
      </c>
      <c r="F4847" s="103" t="str">
        <f aca="false">IF($C4847="","",$D4847*$E4847)</f>
        <v/>
      </c>
      <c r="G4847" s="103" t="str">
        <f aca="false">IF($C4847="","",$D4847*IFERROR(INDEX('تحليل التكلفة والسعر'!$C$2:$C$700,MATCH($C4847,'تحليل التكلفة والسعر'!$B$2:$B$700,0)),0))</f>
        <v/>
      </c>
    </row>
    <row r="4848" customFormat="false" ht="15" hidden="false" customHeight="false" outlineLevel="0" collapsed="false">
      <c r="A4848" s="102"/>
      <c r="E4848" s="103" t="str">
        <f aca="false">IF($C4848="","",IFERROR(INDEX(المنيو!$C$2:$C$500,MATCH($C4848,المنيو!$B$2:$B$500,0)),0))</f>
        <v/>
      </c>
      <c r="F4848" s="103" t="str">
        <f aca="false">IF($C4848="","",$D4848*$E4848)</f>
        <v/>
      </c>
      <c r="G4848" s="103" t="str">
        <f aca="false">IF($C4848="","",$D4848*IFERROR(INDEX('تحليل التكلفة والسعر'!$C$2:$C$700,MATCH($C4848,'تحليل التكلفة والسعر'!$B$2:$B$700,0)),0))</f>
        <v/>
      </c>
    </row>
    <row r="4849" customFormat="false" ht="15" hidden="false" customHeight="false" outlineLevel="0" collapsed="false">
      <c r="A4849" s="102"/>
      <c r="E4849" s="103" t="str">
        <f aca="false">IF($C4849="","",IFERROR(INDEX(المنيو!$C$2:$C$500,MATCH($C4849,المنيو!$B$2:$B$500,0)),0))</f>
        <v/>
      </c>
      <c r="F4849" s="103" t="str">
        <f aca="false">IF($C4849="","",$D4849*$E4849)</f>
        <v/>
      </c>
      <c r="G4849" s="103" t="str">
        <f aca="false">IF($C4849="","",$D4849*IFERROR(INDEX('تحليل التكلفة والسعر'!$C$2:$C$700,MATCH($C4849,'تحليل التكلفة والسعر'!$B$2:$B$700,0)),0))</f>
        <v/>
      </c>
    </row>
    <row r="4850" customFormat="false" ht="15" hidden="false" customHeight="false" outlineLevel="0" collapsed="false">
      <c r="A4850" s="102"/>
      <c r="E4850" s="103" t="str">
        <f aca="false">IF($C4850="","",IFERROR(INDEX(المنيو!$C$2:$C$500,MATCH($C4850,المنيو!$B$2:$B$500,0)),0))</f>
        <v/>
      </c>
      <c r="F4850" s="103" t="str">
        <f aca="false">IF($C4850="","",$D4850*$E4850)</f>
        <v/>
      </c>
      <c r="G4850" s="103" t="str">
        <f aca="false">IF($C4850="","",$D4850*IFERROR(INDEX('تحليل التكلفة والسعر'!$C$2:$C$700,MATCH($C4850,'تحليل التكلفة والسعر'!$B$2:$B$700,0)),0))</f>
        <v/>
      </c>
    </row>
    <row r="4851" customFormat="false" ht="15" hidden="false" customHeight="false" outlineLevel="0" collapsed="false">
      <c r="A4851" s="102"/>
      <c r="E4851" s="103" t="str">
        <f aca="false">IF($C4851="","",IFERROR(INDEX(المنيو!$C$2:$C$500,MATCH($C4851,المنيو!$B$2:$B$500,0)),0))</f>
        <v/>
      </c>
      <c r="F4851" s="103" t="str">
        <f aca="false">IF($C4851="","",$D4851*$E4851)</f>
        <v/>
      </c>
      <c r="G4851" s="103" t="str">
        <f aca="false">IF($C4851="","",$D4851*IFERROR(INDEX('تحليل التكلفة والسعر'!$C$2:$C$700,MATCH($C4851,'تحليل التكلفة والسعر'!$B$2:$B$700,0)),0))</f>
        <v/>
      </c>
    </row>
    <row r="4852" customFormat="false" ht="15" hidden="false" customHeight="false" outlineLevel="0" collapsed="false">
      <c r="A4852" s="102"/>
      <c r="E4852" s="103" t="str">
        <f aca="false">IF($C4852="","",IFERROR(INDEX(المنيو!$C$2:$C$500,MATCH($C4852,المنيو!$B$2:$B$500,0)),0))</f>
        <v/>
      </c>
      <c r="F4852" s="103" t="str">
        <f aca="false">IF($C4852="","",$D4852*$E4852)</f>
        <v/>
      </c>
      <c r="G4852" s="103" t="str">
        <f aca="false">IF($C4852="","",$D4852*IFERROR(INDEX('تحليل التكلفة والسعر'!$C$2:$C$700,MATCH($C4852,'تحليل التكلفة والسعر'!$B$2:$B$700,0)),0))</f>
        <v/>
      </c>
    </row>
    <row r="4853" customFormat="false" ht="15" hidden="false" customHeight="false" outlineLevel="0" collapsed="false">
      <c r="A4853" s="102"/>
      <c r="E4853" s="103" t="str">
        <f aca="false">IF($C4853="","",IFERROR(INDEX(المنيو!$C$2:$C$500,MATCH($C4853,المنيو!$B$2:$B$500,0)),0))</f>
        <v/>
      </c>
      <c r="F4853" s="103" t="str">
        <f aca="false">IF($C4853="","",$D4853*$E4853)</f>
        <v/>
      </c>
      <c r="G4853" s="103" t="str">
        <f aca="false">IF($C4853="","",$D4853*IFERROR(INDEX('تحليل التكلفة والسعر'!$C$2:$C$700,MATCH($C4853,'تحليل التكلفة والسعر'!$B$2:$B$700,0)),0))</f>
        <v/>
      </c>
    </row>
    <row r="4854" customFormat="false" ht="15" hidden="false" customHeight="false" outlineLevel="0" collapsed="false">
      <c r="A4854" s="102"/>
      <c r="E4854" s="103" t="str">
        <f aca="false">IF($C4854="","",IFERROR(INDEX(المنيو!$C$2:$C$500,MATCH($C4854,المنيو!$B$2:$B$500,0)),0))</f>
        <v/>
      </c>
      <c r="F4854" s="103" t="str">
        <f aca="false">IF($C4854="","",$D4854*$E4854)</f>
        <v/>
      </c>
      <c r="G4854" s="103" t="str">
        <f aca="false">IF($C4854="","",$D4854*IFERROR(INDEX('تحليل التكلفة والسعر'!$C$2:$C$700,MATCH($C4854,'تحليل التكلفة والسعر'!$B$2:$B$700,0)),0))</f>
        <v/>
      </c>
    </row>
    <row r="4855" customFormat="false" ht="15" hidden="false" customHeight="false" outlineLevel="0" collapsed="false">
      <c r="A4855" s="102"/>
      <c r="E4855" s="103" t="str">
        <f aca="false">IF($C4855="","",IFERROR(INDEX(المنيو!$C$2:$C$500,MATCH($C4855,المنيو!$B$2:$B$500,0)),0))</f>
        <v/>
      </c>
      <c r="F4855" s="103" t="str">
        <f aca="false">IF($C4855="","",$D4855*$E4855)</f>
        <v/>
      </c>
      <c r="G4855" s="103" t="str">
        <f aca="false">IF($C4855="","",$D4855*IFERROR(INDEX('تحليل التكلفة والسعر'!$C$2:$C$700,MATCH($C4855,'تحليل التكلفة والسعر'!$B$2:$B$700,0)),0))</f>
        <v/>
      </c>
    </row>
    <row r="4856" customFormat="false" ht="15" hidden="false" customHeight="false" outlineLevel="0" collapsed="false">
      <c r="A4856" s="102"/>
      <c r="E4856" s="103" t="str">
        <f aca="false">IF($C4856="","",IFERROR(INDEX(المنيو!$C$2:$C$500,MATCH($C4856,المنيو!$B$2:$B$500,0)),0))</f>
        <v/>
      </c>
      <c r="F4856" s="103" t="str">
        <f aca="false">IF($C4856="","",$D4856*$E4856)</f>
        <v/>
      </c>
      <c r="G4856" s="103" t="str">
        <f aca="false">IF($C4856="","",$D4856*IFERROR(INDEX('تحليل التكلفة والسعر'!$C$2:$C$700,MATCH($C4856,'تحليل التكلفة والسعر'!$B$2:$B$700,0)),0))</f>
        <v/>
      </c>
    </row>
    <row r="4857" customFormat="false" ht="15" hidden="false" customHeight="false" outlineLevel="0" collapsed="false">
      <c r="A4857" s="102"/>
      <c r="E4857" s="103" t="str">
        <f aca="false">IF($C4857="","",IFERROR(INDEX(المنيو!$C$2:$C$500,MATCH($C4857,المنيو!$B$2:$B$500,0)),0))</f>
        <v/>
      </c>
      <c r="F4857" s="103" t="str">
        <f aca="false">IF($C4857="","",$D4857*$E4857)</f>
        <v/>
      </c>
      <c r="G4857" s="103" t="str">
        <f aca="false">IF($C4857="","",$D4857*IFERROR(INDEX('تحليل التكلفة والسعر'!$C$2:$C$700,MATCH($C4857,'تحليل التكلفة والسعر'!$B$2:$B$700,0)),0))</f>
        <v/>
      </c>
    </row>
    <row r="4858" customFormat="false" ht="15" hidden="false" customHeight="false" outlineLevel="0" collapsed="false">
      <c r="A4858" s="102"/>
      <c r="E4858" s="103" t="str">
        <f aca="false">IF($C4858="","",IFERROR(INDEX(المنيو!$C$2:$C$500,MATCH($C4858,المنيو!$B$2:$B$500,0)),0))</f>
        <v/>
      </c>
      <c r="F4858" s="103" t="str">
        <f aca="false">IF($C4858="","",$D4858*$E4858)</f>
        <v/>
      </c>
      <c r="G4858" s="103" t="str">
        <f aca="false">IF($C4858="","",$D4858*IFERROR(INDEX('تحليل التكلفة والسعر'!$C$2:$C$700,MATCH($C4858,'تحليل التكلفة والسعر'!$B$2:$B$700,0)),0))</f>
        <v/>
      </c>
    </row>
    <row r="4859" customFormat="false" ht="15" hidden="false" customHeight="false" outlineLevel="0" collapsed="false">
      <c r="A4859" s="102"/>
      <c r="E4859" s="103" t="str">
        <f aca="false">IF($C4859="","",IFERROR(INDEX(المنيو!$C$2:$C$500,MATCH($C4859,المنيو!$B$2:$B$500,0)),0))</f>
        <v/>
      </c>
      <c r="F4859" s="103" t="str">
        <f aca="false">IF($C4859="","",$D4859*$E4859)</f>
        <v/>
      </c>
      <c r="G4859" s="103" t="str">
        <f aca="false">IF($C4859="","",$D4859*IFERROR(INDEX('تحليل التكلفة والسعر'!$C$2:$C$700,MATCH($C4859,'تحليل التكلفة والسعر'!$B$2:$B$700,0)),0))</f>
        <v/>
      </c>
    </row>
    <row r="4860" customFormat="false" ht="15" hidden="false" customHeight="false" outlineLevel="0" collapsed="false">
      <c r="A4860" s="102"/>
      <c r="E4860" s="103" t="str">
        <f aca="false">IF($C4860="","",IFERROR(INDEX(المنيو!$C$2:$C$500,MATCH($C4860,المنيو!$B$2:$B$500,0)),0))</f>
        <v/>
      </c>
      <c r="F4860" s="103" t="str">
        <f aca="false">IF($C4860="","",$D4860*$E4860)</f>
        <v/>
      </c>
      <c r="G4860" s="103" t="str">
        <f aca="false">IF($C4860="","",$D4860*IFERROR(INDEX('تحليل التكلفة والسعر'!$C$2:$C$700,MATCH($C4860,'تحليل التكلفة والسعر'!$B$2:$B$700,0)),0))</f>
        <v/>
      </c>
    </row>
    <row r="4861" customFormat="false" ht="15" hidden="false" customHeight="false" outlineLevel="0" collapsed="false">
      <c r="A4861" s="102"/>
      <c r="E4861" s="103" t="str">
        <f aca="false">IF($C4861="","",IFERROR(INDEX(المنيو!$C$2:$C$500,MATCH($C4861,المنيو!$B$2:$B$500,0)),0))</f>
        <v/>
      </c>
      <c r="F4861" s="103" t="str">
        <f aca="false">IF($C4861="","",$D4861*$E4861)</f>
        <v/>
      </c>
      <c r="G4861" s="103" t="str">
        <f aca="false">IF($C4861="","",$D4861*IFERROR(INDEX('تحليل التكلفة والسعر'!$C$2:$C$700,MATCH($C4861,'تحليل التكلفة والسعر'!$B$2:$B$700,0)),0))</f>
        <v/>
      </c>
    </row>
    <row r="4862" customFormat="false" ht="15" hidden="false" customHeight="false" outlineLevel="0" collapsed="false">
      <c r="A4862" s="102"/>
      <c r="E4862" s="103" t="str">
        <f aca="false">IF($C4862="","",IFERROR(INDEX(المنيو!$C$2:$C$500,MATCH($C4862,المنيو!$B$2:$B$500,0)),0))</f>
        <v/>
      </c>
      <c r="F4862" s="103" t="str">
        <f aca="false">IF($C4862="","",$D4862*$E4862)</f>
        <v/>
      </c>
      <c r="G4862" s="103" t="str">
        <f aca="false">IF($C4862="","",$D4862*IFERROR(INDEX('تحليل التكلفة والسعر'!$C$2:$C$700,MATCH($C4862,'تحليل التكلفة والسعر'!$B$2:$B$700,0)),0))</f>
        <v/>
      </c>
    </row>
    <row r="4863" customFormat="false" ht="15" hidden="false" customHeight="false" outlineLevel="0" collapsed="false">
      <c r="A4863" s="102"/>
      <c r="E4863" s="103" t="str">
        <f aca="false">IF($C4863="","",IFERROR(INDEX(المنيو!$C$2:$C$500,MATCH($C4863,المنيو!$B$2:$B$500,0)),0))</f>
        <v/>
      </c>
      <c r="F4863" s="103" t="str">
        <f aca="false">IF($C4863="","",$D4863*$E4863)</f>
        <v/>
      </c>
      <c r="G4863" s="103" t="str">
        <f aca="false">IF($C4863="","",$D4863*IFERROR(INDEX('تحليل التكلفة والسعر'!$C$2:$C$700,MATCH($C4863,'تحليل التكلفة والسعر'!$B$2:$B$700,0)),0))</f>
        <v/>
      </c>
    </row>
    <row r="4864" customFormat="false" ht="15" hidden="false" customHeight="false" outlineLevel="0" collapsed="false">
      <c r="A4864" s="102"/>
      <c r="E4864" s="103" t="str">
        <f aca="false">IF($C4864="","",IFERROR(INDEX(المنيو!$C$2:$C$500,MATCH($C4864,المنيو!$B$2:$B$500,0)),0))</f>
        <v/>
      </c>
      <c r="F4864" s="103" t="str">
        <f aca="false">IF($C4864="","",$D4864*$E4864)</f>
        <v/>
      </c>
      <c r="G4864" s="103" t="str">
        <f aca="false">IF($C4864="","",$D4864*IFERROR(INDEX('تحليل التكلفة والسعر'!$C$2:$C$700,MATCH($C4864,'تحليل التكلفة والسعر'!$B$2:$B$700,0)),0))</f>
        <v/>
      </c>
    </row>
    <row r="4865" customFormat="false" ht="15" hidden="false" customHeight="false" outlineLevel="0" collapsed="false">
      <c r="A4865" s="102"/>
      <c r="E4865" s="103" t="str">
        <f aca="false">IF($C4865="","",IFERROR(INDEX(المنيو!$C$2:$C$500,MATCH($C4865,المنيو!$B$2:$B$500,0)),0))</f>
        <v/>
      </c>
      <c r="F4865" s="103" t="str">
        <f aca="false">IF($C4865="","",$D4865*$E4865)</f>
        <v/>
      </c>
      <c r="G4865" s="103" t="str">
        <f aca="false">IF($C4865="","",$D4865*IFERROR(INDEX('تحليل التكلفة والسعر'!$C$2:$C$700,MATCH($C4865,'تحليل التكلفة والسعر'!$B$2:$B$700,0)),0))</f>
        <v/>
      </c>
    </row>
    <row r="4866" customFormat="false" ht="15" hidden="false" customHeight="false" outlineLevel="0" collapsed="false">
      <c r="A4866" s="102"/>
      <c r="E4866" s="103" t="str">
        <f aca="false">IF($C4866="","",IFERROR(INDEX(المنيو!$C$2:$C$500,MATCH($C4866,المنيو!$B$2:$B$500,0)),0))</f>
        <v/>
      </c>
      <c r="F4866" s="103" t="str">
        <f aca="false">IF($C4866="","",$D4866*$E4866)</f>
        <v/>
      </c>
      <c r="G4866" s="103" t="str">
        <f aca="false">IF($C4866="","",$D4866*IFERROR(INDEX('تحليل التكلفة والسعر'!$C$2:$C$700,MATCH($C4866,'تحليل التكلفة والسعر'!$B$2:$B$700,0)),0))</f>
        <v/>
      </c>
    </row>
    <row r="4867" customFormat="false" ht="15" hidden="false" customHeight="false" outlineLevel="0" collapsed="false">
      <c r="A4867" s="102"/>
      <c r="E4867" s="103" t="str">
        <f aca="false">IF($C4867="","",IFERROR(INDEX(المنيو!$C$2:$C$500,MATCH($C4867,المنيو!$B$2:$B$500,0)),0))</f>
        <v/>
      </c>
      <c r="F4867" s="103" t="str">
        <f aca="false">IF($C4867="","",$D4867*$E4867)</f>
        <v/>
      </c>
      <c r="G4867" s="103" t="str">
        <f aca="false">IF($C4867="","",$D4867*IFERROR(INDEX('تحليل التكلفة والسعر'!$C$2:$C$700,MATCH($C4867,'تحليل التكلفة والسعر'!$B$2:$B$700,0)),0))</f>
        <v/>
      </c>
    </row>
    <row r="4868" customFormat="false" ht="15" hidden="false" customHeight="false" outlineLevel="0" collapsed="false">
      <c r="A4868" s="102"/>
      <c r="E4868" s="103" t="str">
        <f aca="false">IF($C4868="","",IFERROR(INDEX(المنيو!$C$2:$C$500,MATCH($C4868,المنيو!$B$2:$B$500,0)),0))</f>
        <v/>
      </c>
      <c r="F4868" s="103" t="str">
        <f aca="false">IF($C4868="","",$D4868*$E4868)</f>
        <v/>
      </c>
      <c r="G4868" s="103" t="str">
        <f aca="false">IF($C4868="","",$D4868*IFERROR(INDEX('تحليل التكلفة والسعر'!$C$2:$C$700,MATCH($C4868,'تحليل التكلفة والسعر'!$B$2:$B$700,0)),0))</f>
        <v/>
      </c>
    </row>
    <row r="4869" customFormat="false" ht="15" hidden="false" customHeight="false" outlineLevel="0" collapsed="false">
      <c r="A4869" s="102"/>
      <c r="E4869" s="103" t="str">
        <f aca="false">IF($C4869="","",IFERROR(INDEX(المنيو!$C$2:$C$500,MATCH($C4869,المنيو!$B$2:$B$500,0)),0))</f>
        <v/>
      </c>
      <c r="F4869" s="103" t="str">
        <f aca="false">IF($C4869="","",$D4869*$E4869)</f>
        <v/>
      </c>
      <c r="G4869" s="103" t="str">
        <f aca="false">IF($C4869="","",$D4869*IFERROR(INDEX('تحليل التكلفة والسعر'!$C$2:$C$700,MATCH($C4869,'تحليل التكلفة والسعر'!$B$2:$B$700,0)),0))</f>
        <v/>
      </c>
    </row>
    <row r="4870" customFormat="false" ht="15" hidden="false" customHeight="false" outlineLevel="0" collapsed="false">
      <c r="A4870" s="102"/>
      <c r="E4870" s="103" t="str">
        <f aca="false">IF($C4870="","",IFERROR(INDEX(المنيو!$C$2:$C$500,MATCH($C4870,المنيو!$B$2:$B$500,0)),0))</f>
        <v/>
      </c>
      <c r="F4870" s="103" t="str">
        <f aca="false">IF($C4870="","",$D4870*$E4870)</f>
        <v/>
      </c>
      <c r="G4870" s="103" t="str">
        <f aca="false">IF($C4870="","",$D4870*IFERROR(INDEX('تحليل التكلفة والسعر'!$C$2:$C$700,MATCH($C4870,'تحليل التكلفة والسعر'!$B$2:$B$700,0)),0))</f>
        <v/>
      </c>
    </row>
    <row r="4871" customFormat="false" ht="15" hidden="false" customHeight="false" outlineLevel="0" collapsed="false">
      <c r="A4871" s="102"/>
      <c r="E4871" s="103" t="str">
        <f aca="false">IF($C4871="","",IFERROR(INDEX(المنيو!$C$2:$C$500,MATCH($C4871,المنيو!$B$2:$B$500,0)),0))</f>
        <v/>
      </c>
      <c r="F4871" s="103" t="str">
        <f aca="false">IF($C4871="","",$D4871*$E4871)</f>
        <v/>
      </c>
      <c r="G4871" s="103" t="str">
        <f aca="false">IF($C4871="","",$D4871*IFERROR(INDEX('تحليل التكلفة والسعر'!$C$2:$C$700,MATCH($C4871,'تحليل التكلفة والسعر'!$B$2:$B$700,0)),0))</f>
        <v/>
      </c>
    </row>
    <row r="4872" customFormat="false" ht="15" hidden="false" customHeight="false" outlineLevel="0" collapsed="false">
      <c r="A4872" s="102"/>
      <c r="E4872" s="103" t="str">
        <f aca="false">IF($C4872="","",IFERROR(INDEX(المنيو!$C$2:$C$500,MATCH($C4872,المنيو!$B$2:$B$500,0)),0))</f>
        <v/>
      </c>
      <c r="F4872" s="103" t="str">
        <f aca="false">IF($C4872="","",$D4872*$E4872)</f>
        <v/>
      </c>
      <c r="G4872" s="103" t="str">
        <f aca="false">IF($C4872="","",$D4872*IFERROR(INDEX('تحليل التكلفة والسعر'!$C$2:$C$700,MATCH($C4872,'تحليل التكلفة والسعر'!$B$2:$B$700,0)),0))</f>
        <v/>
      </c>
    </row>
    <row r="4873" customFormat="false" ht="15" hidden="false" customHeight="false" outlineLevel="0" collapsed="false">
      <c r="A4873" s="102"/>
      <c r="E4873" s="103" t="str">
        <f aca="false">IF($C4873="","",IFERROR(INDEX(المنيو!$C$2:$C$500,MATCH($C4873,المنيو!$B$2:$B$500,0)),0))</f>
        <v/>
      </c>
      <c r="F4873" s="103" t="str">
        <f aca="false">IF($C4873="","",$D4873*$E4873)</f>
        <v/>
      </c>
      <c r="G4873" s="103" t="str">
        <f aca="false">IF($C4873="","",$D4873*IFERROR(INDEX('تحليل التكلفة والسعر'!$C$2:$C$700,MATCH($C4873,'تحليل التكلفة والسعر'!$B$2:$B$700,0)),0))</f>
        <v/>
      </c>
    </row>
    <row r="4874" customFormat="false" ht="15" hidden="false" customHeight="false" outlineLevel="0" collapsed="false">
      <c r="A4874" s="102"/>
      <c r="E4874" s="103" t="str">
        <f aca="false">IF($C4874="","",IFERROR(INDEX(المنيو!$C$2:$C$500,MATCH($C4874,المنيو!$B$2:$B$500,0)),0))</f>
        <v/>
      </c>
      <c r="F4874" s="103" t="str">
        <f aca="false">IF($C4874="","",$D4874*$E4874)</f>
        <v/>
      </c>
      <c r="G4874" s="103" t="str">
        <f aca="false">IF($C4874="","",$D4874*IFERROR(INDEX('تحليل التكلفة والسعر'!$C$2:$C$700,MATCH($C4874,'تحليل التكلفة والسعر'!$B$2:$B$700,0)),0))</f>
        <v/>
      </c>
    </row>
    <row r="4875" customFormat="false" ht="15" hidden="false" customHeight="false" outlineLevel="0" collapsed="false">
      <c r="A4875" s="102"/>
      <c r="E4875" s="103" t="str">
        <f aca="false">IF($C4875="","",IFERROR(INDEX(المنيو!$C$2:$C$500,MATCH($C4875,المنيو!$B$2:$B$500,0)),0))</f>
        <v/>
      </c>
      <c r="F4875" s="103" t="str">
        <f aca="false">IF($C4875="","",$D4875*$E4875)</f>
        <v/>
      </c>
      <c r="G4875" s="103" t="str">
        <f aca="false">IF($C4875="","",$D4875*IFERROR(INDEX('تحليل التكلفة والسعر'!$C$2:$C$700,MATCH($C4875,'تحليل التكلفة والسعر'!$B$2:$B$700,0)),0))</f>
        <v/>
      </c>
    </row>
    <row r="4876" customFormat="false" ht="15" hidden="false" customHeight="false" outlineLevel="0" collapsed="false">
      <c r="A4876" s="102"/>
      <c r="E4876" s="103" t="str">
        <f aca="false">IF($C4876="","",IFERROR(INDEX(المنيو!$C$2:$C$500,MATCH($C4876,المنيو!$B$2:$B$500,0)),0))</f>
        <v/>
      </c>
      <c r="F4876" s="103" t="str">
        <f aca="false">IF($C4876="","",$D4876*$E4876)</f>
        <v/>
      </c>
      <c r="G4876" s="103" t="str">
        <f aca="false">IF($C4876="","",$D4876*IFERROR(INDEX('تحليل التكلفة والسعر'!$C$2:$C$700,MATCH($C4876,'تحليل التكلفة والسعر'!$B$2:$B$700,0)),0))</f>
        <v/>
      </c>
    </row>
    <row r="4877" customFormat="false" ht="15" hidden="false" customHeight="false" outlineLevel="0" collapsed="false">
      <c r="A4877" s="102"/>
      <c r="E4877" s="103" t="str">
        <f aca="false">IF($C4877="","",IFERROR(INDEX(المنيو!$C$2:$C$500,MATCH($C4877,المنيو!$B$2:$B$500,0)),0))</f>
        <v/>
      </c>
      <c r="F4877" s="103" t="str">
        <f aca="false">IF($C4877="","",$D4877*$E4877)</f>
        <v/>
      </c>
      <c r="G4877" s="103" t="str">
        <f aca="false">IF($C4877="","",$D4877*IFERROR(INDEX('تحليل التكلفة والسعر'!$C$2:$C$700,MATCH($C4877,'تحليل التكلفة والسعر'!$B$2:$B$700,0)),0))</f>
        <v/>
      </c>
    </row>
    <row r="4878" customFormat="false" ht="15" hidden="false" customHeight="false" outlineLevel="0" collapsed="false">
      <c r="A4878" s="102"/>
      <c r="E4878" s="103" t="str">
        <f aca="false">IF($C4878="","",IFERROR(INDEX(المنيو!$C$2:$C$500,MATCH($C4878,المنيو!$B$2:$B$500,0)),0))</f>
        <v/>
      </c>
      <c r="F4878" s="103" t="str">
        <f aca="false">IF($C4878="","",$D4878*$E4878)</f>
        <v/>
      </c>
      <c r="G4878" s="103" t="str">
        <f aca="false">IF($C4878="","",$D4878*IFERROR(INDEX('تحليل التكلفة والسعر'!$C$2:$C$700,MATCH($C4878,'تحليل التكلفة والسعر'!$B$2:$B$700,0)),0))</f>
        <v/>
      </c>
    </row>
    <row r="4879" customFormat="false" ht="15" hidden="false" customHeight="false" outlineLevel="0" collapsed="false">
      <c r="A4879" s="102"/>
      <c r="E4879" s="103" t="str">
        <f aca="false">IF($C4879="","",IFERROR(INDEX(المنيو!$C$2:$C$500,MATCH($C4879,المنيو!$B$2:$B$500,0)),0))</f>
        <v/>
      </c>
      <c r="F4879" s="103" t="str">
        <f aca="false">IF($C4879="","",$D4879*$E4879)</f>
        <v/>
      </c>
      <c r="G4879" s="103" t="str">
        <f aca="false">IF($C4879="","",$D4879*IFERROR(INDEX('تحليل التكلفة والسعر'!$C$2:$C$700,MATCH($C4879,'تحليل التكلفة والسعر'!$B$2:$B$700,0)),0))</f>
        <v/>
      </c>
    </row>
    <row r="4880" customFormat="false" ht="15" hidden="false" customHeight="false" outlineLevel="0" collapsed="false">
      <c r="A4880" s="102"/>
      <c r="E4880" s="103" t="str">
        <f aca="false">IF($C4880="","",IFERROR(INDEX(المنيو!$C$2:$C$500,MATCH($C4880,المنيو!$B$2:$B$500,0)),0))</f>
        <v/>
      </c>
      <c r="F4880" s="103" t="str">
        <f aca="false">IF($C4880="","",$D4880*$E4880)</f>
        <v/>
      </c>
      <c r="G4880" s="103" t="str">
        <f aca="false">IF($C4880="","",$D4880*IFERROR(INDEX('تحليل التكلفة والسعر'!$C$2:$C$700,MATCH($C4880,'تحليل التكلفة والسعر'!$B$2:$B$700,0)),0))</f>
        <v/>
      </c>
    </row>
    <row r="4881" customFormat="false" ht="15" hidden="false" customHeight="false" outlineLevel="0" collapsed="false">
      <c r="A4881" s="102"/>
      <c r="E4881" s="103" t="str">
        <f aca="false">IF($C4881="","",IFERROR(INDEX(المنيو!$C$2:$C$500,MATCH($C4881,المنيو!$B$2:$B$500,0)),0))</f>
        <v/>
      </c>
      <c r="F4881" s="103" t="str">
        <f aca="false">IF($C4881="","",$D4881*$E4881)</f>
        <v/>
      </c>
      <c r="G4881" s="103" t="str">
        <f aca="false">IF($C4881="","",$D4881*IFERROR(INDEX('تحليل التكلفة والسعر'!$C$2:$C$700,MATCH($C4881,'تحليل التكلفة والسعر'!$B$2:$B$700,0)),0))</f>
        <v/>
      </c>
    </row>
    <row r="4882" customFormat="false" ht="15" hidden="false" customHeight="false" outlineLevel="0" collapsed="false">
      <c r="A4882" s="102"/>
      <c r="E4882" s="103" t="str">
        <f aca="false">IF($C4882="","",IFERROR(INDEX(المنيو!$C$2:$C$500,MATCH($C4882,المنيو!$B$2:$B$500,0)),0))</f>
        <v/>
      </c>
      <c r="F4882" s="103" t="str">
        <f aca="false">IF($C4882="","",$D4882*$E4882)</f>
        <v/>
      </c>
      <c r="G4882" s="103" t="str">
        <f aca="false">IF($C4882="","",$D4882*IFERROR(INDEX('تحليل التكلفة والسعر'!$C$2:$C$700,MATCH($C4882,'تحليل التكلفة والسعر'!$B$2:$B$700,0)),0))</f>
        <v/>
      </c>
    </row>
    <row r="4883" customFormat="false" ht="15" hidden="false" customHeight="false" outlineLevel="0" collapsed="false">
      <c r="A4883" s="102"/>
      <c r="E4883" s="103" t="str">
        <f aca="false">IF($C4883="","",IFERROR(INDEX(المنيو!$C$2:$C$500,MATCH($C4883,المنيو!$B$2:$B$500,0)),0))</f>
        <v/>
      </c>
      <c r="F4883" s="103" t="str">
        <f aca="false">IF($C4883="","",$D4883*$E4883)</f>
        <v/>
      </c>
      <c r="G4883" s="103" t="str">
        <f aca="false">IF($C4883="","",$D4883*IFERROR(INDEX('تحليل التكلفة والسعر'!$C$2:$C$700,MATCH($C4883,'تحليل التكلفة والسعر'!$B$2:$B$700,0)),0))</f>
        <v/>
      </c>
    </row>
    <row r="4884" customFormat="false" ht="15" hidden="false" customHeight="false" outlineLevel="0" collapsed="false">
      <c r="A4884" s="102"/>
      <c r="E4884" s="103" t="str">
        <f aca="false">IF($C4884="","",IFERROR(INDEX(المنيو!$C$2:$C$500,MATCH($C4884,المنيو!$B$2:$B$500,0)),0))</f>
        <v/>
      </c>
      <c r="F4884" s="103" t="str">
        <f aca="false">IF($C4884="","",$D4884*$E4884)</f>
        <v/>
      </c>
      <c r="G4884" s="103" t="str">
        <f aca="false">IF($C4884="","",$D4884*IFERROR(INDEX('تحليل التكلفة والسعر'!$C$2:$C$700,MATCH($C4884,'تحليل التكلفة والسعر'!$B$2:$B$700,0)),0))</f>
        <v/>
      </c>
    </row>
    <row r="4885" customFormat="false" ht="15" hidden="false" customHeight="false" outlineLevel="0" collapsed="false">
      <c r="A4885" s="102"/>
      <c r="E4885" s="103" t="str">
        <f aca="false">IF($C4885="","",IFERROR(INDEX(المنيو!$C$2:$C$500,MATCH($C4885,المنيو!$B$2:$B$500,0)),0))</f>
        <v/>
      </c>
      <c r="F4885" s="103" t="str">
        <f aca="false">IF($C4885="","",$D4885*$E4885)</f>
        <v/>
      </c>
      <c r="G4885" s="103" t="str">
        <f aca="false">IF($C4885="","",$D4885*IFERROR(INDEX('تحليل التكلفة والسعر'!$C$2:$C$700,MATCH($C4885,'تحليل التكلفة والسعر'!$B$2:$B$700,0)),0))</f>
        <v/>
      </c>
    </row>
    <row r="4886" customFormat="false" ht="15" hidden="false" customHeight="false" outlineLevel="0" collapsed="false">
      <c r="A4886" s="102"/>
      <c r="E4886" s="103" t="str">
        <f aca="false">IF($C4886="","",IFERROR(INDEX(المنيو!$C$2:$C$500,MATCH($C4886,المنيو!$B$2:$B$500,0)),0))</f>
        <v/>
      </c>
      <c r="F4886" s="103" t="str">
        <f aca="false">IF($C4886="","",$D4886*$E4886)</f>
        <v/>
      </c>
      <c r="G4886" s="103" t="str">
        <f aca="false">IF($C4886="","",$D4886*IFERROR(INDEX('تحليل التكلفة والسعر'!$C$2:$C$700,MATCH($C4886,'تحليل التكلفة والسعر'!$B$2:$B$700,0)),0))</f>
        <v/>
      </c>
    </row>
    <row r="4887" customFormat="false" ht="15" hidden="false" customHeight="false" outlineLevel="0" collapsed="false">
      <c r="A4887" s="102"/>
      <c r="E4887" s="103" t="str">
        <f aca="false">IF($C4887="","",IFERROR(INDEX(المنيو!$C$2:$C$500,MATCH($C4887,المنيو!$B$2:$B$500,0)),0))</f>
        <v/>
      </c>
      <c r="F4887" s="103" t="str">
        <f aca="false">IF($C4887="","",$D4887*$E4887)</f>
        <v/>
      </c>
      <c r="G4887" s="103" t="str">
        <f aca="false">IF($C4887="","",$D4887*IFERROR(INDEX('تحليل التكلفة والسعر'!$C$2:$C$700,MATCH($C4887,'تحليل التكلفة والسعر'!$B$2:$B$700,0)),0))</f>
        <v/>
      </c>
    </row>
    <row r="4888" customFormat="false" ht="15" hidden="false" customHeight="false" outlineLevel="0" collapsed="false">
      <c r="A4888" s="102"/>
      <c r="E4888" s="103" t="str">
        <f aca="false">IF($C4888="","",IFERROR(INDEX(المنيو!$C$2:$C$500,MATCH($C4888,المنيو!$B$2:$B$500,0)),0))</f>
        <v/>
      </c>
      <c r="F4888" s="103" t="str">
        <f aca="false">IF($C4888="","",$D4888*$E4888)</f>
        <v/>
      </c>
      <c r="G4888" s="103" t="str">
        <f aca="false">IF($C4888="","",$D4888*IFERROR(INDEX('تحليل التكلفة والسعر'!$C$2:$C$700,MATCH($C4888,'تحليل التكلفة والسعر'!$B$2:$B$700,0)),0))</f>
        <v/>
      </c>
    </row>
    <row r="4889" customFormat="false" ht="15" hidden="false" customHeight="false" outlineLevel="0" collapsed="false">
      <c r="A4889" s="102"/>
      <c r="E4889" s="103" t="str">
        <f aca="false">IF($C4889="","",IFERROR(INDEX(المنيو!$C$2:$C$500,MATCH($C4889,المنيو!$B$2:$B$500,0)),0))</f>
        <v/>
      </c>
      <c r="F4889" s="103" t="str">
        <f aca="false">IF($C4889="","",$D4889*$E4889)</f>
        <v/>
      </c>
      <c r="G4889" s="103" t="str">
        <f aca="false">IF($C4889="","",$D4889*IFERROR(INDEX('تحليل التكلفة والسعر'!$C$2:$C$700,MATCH($C4889,'تحليل التكلفة والسعر'!$B$2:$B$700,0)),0))</f>
        <v/>
      </c>
    </row>
    <row r="4890" customFormat="false" ht="15" hidden="false" customHeight="false" outlineLevel="0" collapsed="false">
      <c r="A4890" s="102"/>
      <c r="E4890" s="103" t="str">
        <f aca="false">IF($C4890="","",IFERROR(INDEX(المنيو!$C$2:$C$500,MATCH($C4890,المنيو!$B$2:$B$500,0)),0))</f>
        <v/>
      </c>
      <c r="F4890" s="103" t="str">
        <f aca="false">IF($C4890="","",$D4890*$E4890)</f>
        <v/>
      </c>
      <c r="G4890" s="103" t="str">
        <f aca="false">IF($C4890="","",$D4890*IFERROR(INDEX('تحليل التكلفة والسعر'!$C$2:$C$700,MATCH($C4890,'تحليل التكلفة والسعر'!$B$2:$B$700,0)),0))</f>
        <v/>
      </c>
    </row>
    <row r="4891" customFormat="false" ht="15" hidden="false" customHeight="false" outlineLevel="0" collapsed="false">
      <c r="A4891" s="102"/>
      <c r="E4891" s="103" t="str">
        <f aca="false">IF($C4891="","",IFERROR(INDEX(المنيو!$C$2:$C$500,MATCH($C4891,المنيو!$B$2:$B$500,0)),0))</f>
        <v/>
      </c>
      <c r="F4891" s="103" t="str">
        <f aca="false">IF($C4891="","",$D4891*$E4891)</f>
        <v/>
      </c>
      <c r="G4891" s="103" t="str">
        <f aca="false">IF($C4891="","",$D4891*IFERROR(INDEX('تحليل التكلفة والسعر'!$C$2:$C$700,MATCH($C4891,'تحليل التكلفة والسعر'!$B$2:$B$700,0)),0))</f>
        <v/>
      </c>
    </row>
    <row r="4892" customFormat="false" ht="15" hidden="false" customHeight="false" outlineLevel="0" collapsed="false">
      <c r="A4892" s="102"/>
      <c r="E4892" s="103" t="str">
        <f aca="false">IF($C4892="","",IFERROR(INDEX(المنيو!$C$2:$C$500,MATCH($C4892,المنيو!$B$2:$B$500,0)),0))</f>
        <v/>
      </c>
      <c r="F4892" s="103" t="str">
        <f aca="false">IF($C4892="","",$D4892*$E4892)</f>
        <v/>
      </c>
      <c r="G4892" s="103" t="str">
        <f aca="false">IF($C4892="","",$D4892*IFERROR(INDEX('تحليل التكلفة والسعر'!$C$2:$C$700,MATCH($C4892,'تحليل التكلفة والسعر'!$B$2:$B$700,0)),0))</f>
        <v/>
      </c>
    </row>
    <row r="4893" customFormat="false" ht="15" hidden="false" customHeight="false" outlineLevel="0" collapsed="false">
      <c r="A4893" s="102"/>
      <c r="E4893" s="103" t="str">
        <f aca="false">IF($C4893="","",IFERROR(INDEX(المنيو!$C$2:$C$500,MATCH($C4893,المنيو!$B$2:$B$500,0)),0))</f>
        <v/>
      </c>
      <c r="F4893" s="103" t="str">
        <f aca="false">IF($C4893="","",$D4893*$E4893)</f>
        <v/>
      </c>
      <c r="G4893" s="103" t="str">
        <f aca="false">IF($C4893="","",$D4893*IFERROR(INDEX('تحليل التكلفة والسعر'!$C$2:$C$700,MATCH($C4893,'تحليل التكلفة والسعر'!$B$2:$B$700,0)),0))</f>
        <v/>
      </c>
    </row>
    <row r="4894" customFormat="false" ht="15" hidden="false" customHeight="false" outlineLevel="0" collapsed="false">
      <c r="A4894" s="102"/>
      <c r="E4894" s="103" t="str">
        <f aca="false">IF($C4894="","",IFERROR(INDEX(المنيو!$C$2:$C$500,MATCH($C4894,المنيو!$B$2:$B$500,0)),0))</f>
        <v/>
      </c>
      <c r="F4894" s="103" t="str">
        <f aca="false">IF($C4894="","",$D4894*$E4894)</f>
        <v/>
      </c>
      <c r="G4894" s="103" t="str">
        <f aca="false">IF($C4894="","",$D4894*IFERROR(INDEX('تحليل التكلفة والسعر'!$C$2:$C$700,MATCH($C4894,'تحليل التكلفة والسعر'!$B$2:$B$700,0)),0))</f>
        <v/>
      </c>
    </row>
    <row r="4895" customFormat="false" ht="15" hidden="false" customHeight="false" outlineLevel="0" collapsed="false">
      <c r="A4895" s="102"/>
      <c r="E4895" s="103" t="str">
        <f aca="false">IF($C4895="","",IFERROR(INDEX(المنيو!$C$2:$C$500,MATCH($C4895,المنيو!$B$2:$B$500,0)),0))</f>
        <v/>
      </c>
      <c r="F4895" s="103" t="str">
        <f aca="false">IF($C4895="","",$D4895*$E4895)</f>
        <v/>
      </c>
      <c r="G4895" s="103" t="str">
        <f aca="false">IF($C4895="","",$D4895*IFERROR(INDEX('تحليل التكلفة والسعر'!$C$2:$C$700,MATCH($C4895,'تحليل التكلفة والسعر'!$B$2:$B$700,0)),0))</f>
        <v/>
      </c>
    </row>
    <row r="4896" customFormat="false" ht="15" hidden="false" customHeight="false" outlineLevel="0" collapsed="false">
      <c r="A4896" s="102"/>
      <c r="E4896" s="103" t="str">
        <f aca="false">IF($C4896="","",IFERROR(INDEX(المنيو!$C$2:$C$500,MATCH($C4896,المنيو!$B$2:$B$500,0)),0))</f>
        <v/>
      </c>
      <c r="F4896" s="103" t="str">
        <f aca="false">IF($C4896="","",$D4896*$E4896)</f>
        <v/>
      </c>
      <c r="G4896" s="103" t="str">
        <f aca="false">IF($C4896="","",$D4896*IFERROR(INDEX('تحليل التكلفة والسعر'!$C$2:$C$700,MATCH($C4896,'تحليل التكلفة والسعر'!$B$2:$B$700,0)),0))</f>
        <v/>
      </c>
    </row>
    <row r="4897" customFormat="false" ht="15" hidden="false" customHeight="false" outlineLevel="0" collapsed="false">
      <c r="A4897" s="102"/>
      <c r="E4897" s="103" t="str">
        <f aca="false">IF($C4897="","",IFERROR(INDEX(المنيو!$C$2:$C$500,MATCH($C4897,المنيو!$B$2:$B$500,0)),0))</f>
        <v/>
      </c>
      <c r="F4897" s="103" t="str">
        <f aca="false">IF($C4897="","",$D4897*$E4897)</f>
        <v/>
      </c>
      <c r="G4897" s="103" t="str">
        <f aca="false">IF($C4897="","",$D4897*IFERROR(INDEX('تحليل التكلفة والسعر'!$C$2:$C$700,MATCH($C4897,'تحليل التكلفة والسعر'!$B$2:$B$700,0)),0))</f>
        <v/>
      </c>
    </row>
    <row r="4898" customFormat="false" ht="15" hidden="false" customHeight="false" outlineLevel="0" collapsed="false">
      <c r="A4898" s="102"/>
      <c r="E4898" s="103" t="str">
        <f aca="false">IF($C4898="","",IFERROR(INDEX(المنيو!$C$2:$C$500,MATCH($C4898,المنيو!$B$2:$B$500,0)),0))</f>
        <v/>
      </c>
      <c r="F4898" s="103" t="str">
        <f aca="false">IF($C4898="","",$D4898*$E4898)</f>
        <v/>
      </c>
      <c r="G4898" s="103" t="str">
        <f aca="false">IF($C4898="","",$D4898*IFERROR(INDEX('تحليل التكلفة والسعر'!$C$2:$C$700,MATCH($C4898,'تحليل التكلفة والسعر'!$B$2:$B$700,0)),0))</f>
        <v/>
      </c>
    </row>
    <row r="4899" customFormat="false" ht="15" hidden="false" customHeight="false" outlineLevel="0" collapsed="false">
      <c r="A4899" s="102"/>
      <c r="E4899" s="103" t="str">
        <f aca="false">IF($C4899="","",IFERROR(INDEX(المنيو!$C$2:$C$500,MATCH($C4899,المنيو!$B$2:$B$500,0)),0))</f>
        <v/>
      </c>
      <c r="F4899" s="103" t="str">
        <f aca="false">IF($C4899="","",$D4899*$E4899)</f>
        <v/>
      </c>
      <c r="G4899" s="103" t="str">
        <f aca="false">IF($C4899="","",$D4899*IFERROR(INDEX('تحليل التكلفة والسعر'!$C$2:$C$700,MATCH($C4899,'تحليل التكلفة والسعر'!$B$2:$B$700,0)),0))</f>
        <v/>
      </c>
    </row>
    <row r="4900" customFormat="false" ht="15" hidden="false" customHeight="false" outlineLevel="0" collapsed="false">
      <c r="A4900" s="102"/>
      <c r="E4900" s="103" t="str">
        <f aca="false">IF($C4900="","",IFERROR(INDEX(المنيو!$C$2:$C$500,MATCH($C4900,المنيو!$B$2:$B$500,0)),0))</f>
        <v/>
      </c>
      <c r="F4900" s="103" t="str">
        <f aca="false">IF($C4900="","",$D4900*$E4900)</f>
        <v/>
      </c>
      <c r="G4900" s="103" t="str">
        <f aca="false">IF($C4900="","",$D4900*IFERROR(INDEX('تحليل التكلفة والسعر'!$C$2:$C$700,MATCH($C4900,'تحليل التكلفة والسعر'!$B$2:$B$700,0)),0))</f>
        <v/>
      </c>
    </row>
    <row r="4901" customFormat="false" ht="15" hidden="false" customHeight="false" outlineLevel="0" collapsed="false">
      <c r="A4901" s="102"/>
      <c r="E4901" s="103" t="str">
        <f aca="false">IF($C4901="","",IFERROR(INDEX(المنيو!$C$2:$C$500,MATCH($C4901,المنيو!$B$2:$B$500,0)),0))</f>
        <v/>
      </c>
      <c r="F4901" s="103" t="str">
        <f aca="false">IF($C4901="","",$D4901*$E4901)</f>
        <v/>
      </c>
      <c r="G4901" s="103" t="str">
        <f aca="false">IF($C4901="","",$D4901*IFERROR(INDEX('تحليل التكلفة والسعر'!$C$2:$C$700,MATCH($C4901,'تحليل التكلفة والسعر'!$B$2:$B$700,0)),0))</f>
        <v/>
      </c>
    </row>
    <row r="4902" customFormat="false" ht="15" hidden="false" customHeight="false" outlineLevel="0" collapsed="false">
      <c r="A4902" s="102"/>
      <c r="E4902" s="103" t="str">
        <f aca="false">IF($C4902="","",IFERROR(INDEX(المنيو!$C$2:$C$500,MATCH($C4902,المنيو!$B$2:$B$500,0)),0))</f>
        <v/>
      </c>
      <c r="F4902" s="103" t="str">
        <f aca="false">IF($C4902="","",$D4902*$E4902)</f>
        <v/>
      </c>
      <c r="G4902" s="103" t="str">
        <f aca="false">IF($C4902="","",$D4902*IFERROR(INDEX('تحليل التكلفة والسعر'!$C$2:$C$700,MATCH($C4902,'تحليل التكلفة والسعر'!$B$2:$B$700,0)),0))</f>
        <v/>
      </c>
    </row>
    <row r="4903" customFormat="false" ht="15" hidden="false" customHeight="false" outlineLevel="0" collapsed="false">
      <c r="A4903" s="102"/>
      <c r="E4903" s="103" t="str">
        <f aca="false">IF($C4903="","",IFERROR(INDEX(المنيو!$C$2:$C$500,MATCH($C4903,المنيو!$B$2:$B$500,0)),0))</f>
        <v/>
      </c>
      <c r="F4903" s="103" t="str">
        <f aca="false">IF($C4903="","",$D4903*$E4903)</f>
        <v/>
      </c>
      <c r="G4903" s="103" t="str">
        <f aca="false">IF($C4903="","",$D4903*IFERROR(INDEX('تحليل التكلفة والسعر'!$C$2:$C$700,MATCH($C4903,'تحليل التكلفة والسعر'!$B$2:$B$700,0)),0))</f>
        <v/>
      </c>
    </row>
    <row r="4904" customFormat="false" ht="15" hidden="false" customHeight="false" outlineLevel="0" collapsed="false">
      <c r="A4904" s="102"/>
      <c r="E4904" s="103" t="str">
        <f aca="false">IF($C4904="","",IFERROR(INDEX(المنيو!$C$2:$C$500,MATCH($C4904,المنيو!$B$2:$B$500,0)),0))</f>
        <v/>
      </c>
      <c r="F4904" s="103" t="str">
        <f aca="false">IF($C4904="","",$D4904*$E4904)</f>
        <v/>
      </c>
      <c r="G4904" s="103" t="str">
        <f aca="false">IF($C4904="","",$D4904*IFERROR(INDEX('تحليل التكلفة والسعر'!$C$2:$C$700,MATCH($C4904,'تحليل التكلفة والسعر'!$B$2:$B$700,0)),0))</f>
        <v/>
      </c>
    </row>
    <row r="4905" customFormat="false" ht="15" hidden="false" customHeight="false" outlineLevel="0" collapsed="false">
      <c r="A4905" s="102"/>
      <c r="E4905" s="103" t="str">
        <f aca="false">IF($C4905="","",IFERROR(INDEX(المنيو!$C$2:$C$500,MATCH($C4905,المنيو!$B$2:$B$500,0)),0))</f>
        <v/>
      </c>
      <c r="F4905" s="103" t="str">
        <f aca="false">IF($C4905="","",$D4905*$E4905)</f>
        <v/>
      </c>
      <c r="G4905" s="103" t="str">
        <f aca="false">IF($C4905="","",$D4905*IFERROR(INDEX('تحليل التكلفة والسعر'!$C$2:$C$700,MATCH($C4905,'تحليل التكلفة والسعر'!$B$2:$B$700,0)),0))</f>
        <v/>
      </c>
    </row>
    <row r="4906" customFormat="false" ht="15" hidden="false" customHeight="false" outlineLevel="0" collapsed="false">
      <c r="A4906" s="102"/>
      <c r="E4906" s="103" t="str">
        <f aca="false">IF($C4906="","",IFERROR(INDEX(المنيو!$C$2:$C$500,MATCH($C4906,المنيو!$B$2:$B$500,0)),0))</f>
        <v/>
      </c>
      <c r="F4906" s="103" t="str">
        <f aca="false">IF($C4906="","",$D4906*$E4906)</f>
        <v/>
      </c>
      <c r="G4906" s="103" t="str">
        <f aca="false">IF($C4906="","",$D4906*IFERROR(INDEX('تحليل التكلفة والسعر'!$C$2:$C$700,MATCH($C4906,'تحليل التكلفة والسعر'!$B$2:$B$700,0)),0))</f>
        <v/>
      </c>
    </row>
    <row r="4907" customFormat="false" ht="15" hidden="false" customHeight="false" outlineLevel="0" collapsed="false">
      <c r="A4907" s="102"/>
      <c r="E4907" s="103" t="str">
        <f aca="false">IF($C4907="","",IFERROR(INDEX(المنيو!$C$2:$C$500,MATCH($C4907,المنيو!$B$2:$B$500,0)),0))</f>
        <v/>
      </c>
      <c r="F4907" s="103" t="str">
        <f aca="false">IF($C4907="","",$D4907*$E4907)</f>
        <v/>
      </c>
      <c r="G4907" s="103" t="str">
        <f aca="false">IF($C4907="","",$D4907*IFERROR(INDEX('تحليل التكلفة والسعر'!$C$2:$C$700,MATCH($C4907,'تحليل التكلفة والسعر'!$B$2:$B$700,0)),0))</f>
        <v/>
      </c>
    </row>
    <row r="4908" customFormat="false" ht="15" hidden="false" customHeight="false" outlineLevel="0" collapsed="false">
      <c r="A4908" s="102"/>
      <c r="E4908" s="103" t="str">
        <f aca="false">IF($C4908="","",IFERROR(INDEX(المنيو!$C$2:$C$500,MATCH($C4908,المنيو!$B$2:$B$500,0)),0))</f>
        <v/>
      </c>
      <c r="F4908" s="103" t="str">
        <f aca="false">IF($C4908="","",$D4908*$E4908)</f>
        <v/>
      </c>
      <c r="G4908" s="103" t="str">
        <f aca="false">IF($C4908="","",$D4908*IFERROR(INDEX('تحليل التكلفة والسعر'!$C$2:$C$700,MATCH($C4908,'تحليل التكلفة والسعر'!$B$2:$B$700,0)),0))</f>
        <v/>
      </c>
    </row>
    <row r="4909" customFormat="false" ht="15" hidden="false" customHeight="false" outlineLevel="0" collapsed="false">
      <c r="A4909" s="102"/>
      <c r="E4909" s="103" t="str">
        <f aca="false">IF($C4909="","",IFERROR(INDEX(المنيو!$C$2:$C$500,MATCH($C4909,المنيو!$B$2:$B$500,0)),0))</f>
        <v/>
      </c>
      <c r="F4909" s="103" t="str">
        <f aca="false">IF($C4909="","",$D4909*$E4909)</f>
        <v/>
      </c>
      <c r="G4909" s="103" t="str">
        <f aca="false">IF($C4909="","",$D4909*IFERROR(INDEX('تحليل التكلفة والسعر'!$C$2:$C$700,MATCH($C4909,'تحليل التكلفة والسعر'!$B$2:$B$700,0)),0))</f>
        <v/>
      </c>
    </row>
    <row r="4910" customFormat="false" ht="15" hidden="false" customHeight="false" outlineLevel="0" collapsed="false">
      <c r="A4910" s="102"/>
      <c r="E4910" s="103" t="str">
        <f aca="false">IF($C4910="","",IFERROR(INDEX(المنيو!$C$2:$C$500,MATCH($C4910,المنيو!$B$2:$B$500,0)),0))</f>
        <v/>
      </c>
      <c r="F4910" s="103" t="str">
        <f aca="false">IF($C4910="","",$D4910*$E4910)</f>
        <v/>
      </c>
      <c r="G4910" s="103" t="str">
        <f aca="false">IF($C4910="","",$D4910*IFERROR(INDEX('تحليل التكلفة والسعر'!$C$2:$C$700,MATCH($C4910,'تحليل التكلفة والسعر'!$B$2:$B$700,0)),0))</f>
        <v/>
      </c>
    </row>
    <row r="4911" customFormat="false" ht="15" hidden="false" customHeight="false" outlineLevel="0" collapsed="false">
      <c r="A4911" s="102"/>
      <c r="E4911" s="103" t="str">
        <f aca="false">IF($C4911="","",IFERROR(INDEX(المنيو!$C$2:$C$500,MATCH($C4911,المنيو!$B$2:$B$500,0)),0))</f>
        <v/>
      </c>
      <c r="F4911" s="103" t="str">
        <f aca="false">IF($C4911="","",$D4911*$E4911)</f>
        <v/>
      </c>
      <c r="G4911" s="103" t="str">
        <f aca="false">IF($C4911="","",$D4911*IFERROR(INDEX('تحليل التكلفة والسعر'!$C$2:$C$700,MATCH($C4911,'تحليل التكلفة والسعر'!$B$2:$B$700,0)),0))</f>
        <v/>
      </c>
    </row>
    <row r="4912" customFormat="false" ht="15" hidden="false" customHeight="false" outlineLevel="0" collapsed="false">
      <c r="A4912" s="102"/>
      <c r="E4912" s="103" t="str">
        <f aca="false">IF($C4912="","",IFERROR(INDEX(المنيو!$C$2:$C$500,MATCH($C4912,المنيو!$B$2:$B$500,0)),0))</f>
        <v/>
      </c>
      <c r="F4912" s="103" t="str">
        <f aca="false">IF($C4912="","",$D4912*$E4912)</f>
        <v/>
      </c>
      <c r="G4912" s="103" t="str">
        <f aca="false">IF($C4912="","",$D4912*IFERROR(INDEX('تحليل التكلفة والسعر'!$C$2:$C$700,MATCH($C4912,'تحليل التكلفة والسعر'!$B$2:$B$700,0)),0))</f>
        <v/>
      </c>
    </row>
    <row r="4913" customFormat="false" ht="15" hidden="false" customHeight="false" outlineLevel="0" collapsed="false">
      <c r="A4913" s="102"/>
      <c r="E4913" s="103" t="str">
        <f aca="false">IF($C4913="","",IFERROR(INDEX(المنيو!$C$2:$C$500,MATCH($C4913,المنيو!$B$2:$B$500,0)),0))</f>
        <v/>
      </c>
      <c r="F4913" s="103" t="str">
        <f aca="false">IF($C4913="","",$D4913*$E4913)</f>
        <v/>
      </c>
      <c r="G4913" s="103" t="str">
        <f aca="false">IF($C4913="","",$D4913*IFERROR(INDEX('تحليل التكلفة والسعر'!$C$2:$C$700,MATCH($C4913,'تحليل التكلفة والسعر'!$B$2:$B$700,0)),0))</f>
        <v/>
      </c>
    </row>
    <row r="4914" customFormat="false" ht="15" hidden="false" customHeight="false" outlineLevel="0" collapsed="false">
      <c r="A4914" s="102"/>
      <c r="E4914" s="103" t="str">
        <f aca="false">IF($C4914="","",IFERROR(INDEX(المنيو!$C$2:$C$500,MATCH($C4914,المنيو!$B$2:$B$500,0)),0))</f>
        <v/>
      </c>
      <c r="F4914" s="103" t="str">
        <f aca="false">IF($C4914="","",$D4914*$E4914)</f>
        <v/>
      </c>
      <c r="G4914" s="103" t="str">
        <f aca="false">IF($C4914="","",$D4914*IFERROR(INDEX('تحليل التكلفة والسعر'!$C$2:$C$700,MATCH($C4914,'تحليل التكلفة والسعر'!$B$2:$B$700,0)),0))</f>
        <v/>
      </c>
    </row>
    <row r="4915" customFormat="false" ht="15" hidden="false" customHeight="false" outlineLevel="0" collapsed="false">
      <c r="A4915" s="102"/>
      <c r="E4915" s="103" t="str">
        <f aca="false">IF($C4915="","",IFERROR(INDEX(المنيو!$C$2:$C$500,MATCH($C4915,المنيو!$B$2:$B$500,0)),0))</f>
        <v/>
      </c>
      <c r="F4915" s="103" t="str">
        <f aca="false">IF($C4915="","",$D4915*$E4915)</f>
        <v/>
      </c>
      <c r="G4915" s="103" t="str">
        <f aca="false">IF($C4915="","",$D4915*IFERROR(INDEX('تحليل التكلفة والسعر'!$C$2:$C$700,MATCH($C4915,'تحليل التكلفة والسعر'!$B$2:$B$700,0)),0))</f>
        <v/>
      </c>
    </row>
    <row r="4916" customFormat="false" ht="15" hidden="false" customHeight="false" outlineLevel="0" collapsed="false">
      <c r="A4916" s="102"/>
      <c r="E4916" s="103" t="str">
        <f aca="false">IF($C4916="","",IFERROR(INDEX(المنيو!$C$2:$C$500,MATCH($C4916,المنيو!$B$2:$B$500,0)),0))</f>
        <v/>
      </c>
      <c r="F4916" s="103" t="str">
        <f aca="false">IF($C4916="","",$D4916*$E4916)</f>
        <v/>
      </c>
      <c r="G4916" s="103" t="str">
        <f aca="false">IF($C4916="","",$D4916*IFERROR(INDEX('تحليل التكلفة والسعر'!$C$2:$C$700,MATCH($C4916,'تحليل التكلفة والسعر'!$B$2:$B$700,0)),0))</f>
        <v/>
      </c>
    </row>
    <row r="4917" customFormat="false" ht="15" hidden="false" customHeight="false" outlineLevel="0" collapsed="false">
      <c r="A4917" s="102"/>
      <c r="E4917" s="103" t="str">
        <f aca="false">IF($C4917="","",IFERROR(INDEX(المنيو!$C$2:$C$500,MATCH($C4917,المنيو!$B$2:$B$500,0)),0))</f>
        <v/>
      </c>
      <c r="F4917" s="103" t="str">
        <f aca="false">IF($C4917="","",$D4917*$E4917)</f>
        <v/>
      </c>
      <c r="G4917" s="103" t="str">
        <f aca="false">IF($C4917="","",$D4917*IFERROR(INDEX('تحليل التكلفة والسعر'!$C$2:$C$700,MATCH($C4917,'تحليل التكلفة والسعر'!$B$2:$B$700,0)),0))</f>
        <v/>
      </c>
    </row>
    <row r="4918" customFormat="false" ht="15" hidden="false" customHeight="false" outlineLevel="0" collapsed="false">
      <c r="A4918" s="102"/>
      <c r="E4918" s="103" t="str">
        <f aca="false">IF($C4918="","",IFERROR(INDEX(المنيو!$C$2:$C$500,MATCH($C4918,المنيو!$B$2:$B$500,0)),0))</f>
        <v/>
      </c>
      <c r="F4918" s="103" t="str">
        <f aca="false">IF($C4918="","",$D4918*$E4918)</f>
        <v/>
      </c>
      <c r="G4918" s="103" t="str">
        <f aca="false">IF($C4918="","",$D4918*IFERROR(INDEX('تحليل التكلفة والسعر'!$C$2:$C$700,MATCH($C4918,'تحليل التكلفة والسعر'!$B$2:$B$700,0)),0))</f>
        <v/>
      </c>
    </row>
    <row r="4919" customFormat="false" ht="15" hidden="false" customHeight="false" outlineLevel="0" collapsed="false">
      <c r="A4919" s="102"/>
      <c r="E4919" s="103" t="str">
        <f aca="false">IF($C4919="","",IFERROR(INDEX(المنيو!$C$2:$C$500,MATCH($C4919,المنيو!$B$2:$B$500,0)),0))</f>
        <v/>
      </c>
      <c r="F4919" s="103" t="str">
        <f aca="false">IF($C4919="","",$D4919*$E4919)</f>
        <v/>
      </c>
      <c r="G4919" s="103" t="str">
        <f aca="false">IF($C4919="","",$D4919*IFERROR(INDEX('تحليل التكلفة والسعر'!$C$2:$C$700,MATCH($C4919,'تحليل التكلفة والسعر'!$B$2:$B$700,0)),0))</f>
        <v/>
      </c>
    </row>
    <row r="4920" customFormat="false" ht="15" hidden="false" customHeight="false" outlineLevel="0" collapsed="false">
      <c r="A4920" s="102"/>
      <c r="E4920" s="103" t="str">
        <f aca="false">IF($C4920="","",IFERROR(INDEX(المنيو!$C$2:$C$500,MATCH($C4920,المنيو!$B$2:$B$500,0)),0))</f>
        <v/>
      </c>
      <c r="F4920" s="103" t="str">
        <f aca="false">IF($C4920="","",$D4920*$E4920)</f>
        <v/>
      </c>
      <c r="G4920" s="103" t="str">
        <f aca="false">IF($C4920="","",$D4920*IFERROR(INDEX('تحليل التكلفة والسعر'!$C$2:$C$700,MATCH($C4920,'تحليل التكلفة والسعر'!$B$2:$B$700,0)),0))</f>
        <v/>
      </c>
    </row>
    <row r="4921" customFormat="false" ht="15" hidden="false" customHeight="false" outlineLevel="0" collapsed="false">
      <c r="A4921" s="102"/>
      <c r="E4921" s="103" t="str">
        <f aca="false">IF($C4921="","",IFERROR(INDEX(المنيو!$C$2:$C$500,MATCH($C4921,المنيو!$B$2:$B$500,0)),0))</f>
        <v/>
      </c>
      <c r="F4921" s="103" t="str">
        <f aca="false">IF($C4921="","",$D4921*$E4921)</f>
        <v/>
      </c>
      <c r="G4921" s="103" t="str">
        <f aca="false">IF($C4921="","",$D4921*IFERROR(INDEX('تحليل التكلفة والسعر'!$C$2:$C$700,MATCH($C4921,'تحليل التكلفة والسعر'!$B$2:$B$700,0)),0))</f>
        <v/>
      </c>
    </row>
    <row r="4922" customFormat="false" ht="15" hidden="false" customHeight="false" outlineLevel="0" collapsed="false">
      <c r="A4922" s="102"/>
      <c r="E4922" s="103" t="str">
        <f aca="false">IF($C4922="","",IFERROR(INDEX(المنيو!$C$2:$C$500,MATCH($C4922,المنيو!$B$2:$B$500,0)),0))</f>
        <v/>
      </c>
      <c r="F4922" s="103" t="str">
        <f aca="false">IF($C4922="","",$D4922*$E4922)</f>
        <v/>
      </c>
      <c r="G4922" s="103" t="str">
        <f aca="false">IF($C4922="","",$D4922*IFERROR(INDEX('تحليل التكلفة والسعر'!$C$2:$C$700,MATCH($C4922,'تحليل التكلفة والسعر'!$B$2:$B$700,0)),0))</f>
        <v/>
      </c>
    </row>
    <row r="4923" customFormat="false" ht="15" hidden="false" customHeight="false" outlineLevel="0" collapsed="false">
      <c r="A4923" s="102"/>
      <c r="E4923" s="103" t="str">
        <f aca="false">IF($C4923="","",IFERROR(INDEX(المنيو!$C$2:$C$500,MATCH($C4923,المنيو!$B$2:$B$500,0)),0))</f>
        <v/>
      </c>
      <c r="F4923" s="103" t="str">
        <f aca="false">IF($C4923="","",$D4923*$E4923)</f>
        <v/>
      </c>
      <c r="G4923" s="103" t="str">
        <f aca="false">IF($C4923="","",$D4923*IFERROR(INDEX('تحليل التكلفة والسعر'!$C$2:$C$700,MATCH($C4923,'تحليل التكلفة والسعر'!$B$2:$B$700,0)),0))</f>
        <v/>
      </c>
    </row>
    <row r="4924" customFormat="false" ht="15" hidden="false" customHeight="false" outlineLevel="0" collapsed="false">
      <c r="A4924" s="102"/>
      <c r="E4924" s="103" t="str">
        <f aca="false">IF($C4924="","",IFERROR(INDEX(المنيو!$C$2:$C$500,MATCH($C4924,المنيو!$B$2:$B$500,0)),0))</f>
        <v/>
      </c>
      <c r="F4924" s="103" t="str">
        <f aca="false">IF($C4924="","",$D4924*$E4924)</f>
        <v/>
      </c>
      <c r="G4924" s="103" t="str">
        <f aca="false">IF($C4924="","",$D4924*IFERROR(INDEX('تحليل التكلفة والسعر'!$C$2:$C$700,MATCH($C4924,'تحليل التكلفة والسعر'!$B$2:$B$700,0)),0))</f>
        <v/>
      </c>
    </row>
    <row r="4925" customFormat="false" ht="15" hidden="false" customHeight="false" outlineLevel="0" collapsed="false">
      <c r="A4925" s="102"/>
      <c r="E4925" s="103" t="str">
        <f aca="false">IF($C4925="","",IFERROR(INDEX(المنيو!$C$2:$C$500,MATCH($C4925,المنيو!$B$2:$B$500,0)),0))</f>
        <v/>
      </c>
      <c r="F4925" s="103" t="str">
        <f aca="false">IF($C4925="","",$D4925*$E4925)</f>
        <v/>
      </c>
      <c r="G4925" s="103" t="str">
        <f aca="false">IF($C4925="","",$D4925*IFERROR(INDEX('تحليل التكلفة والسعر'!$C$2:$C$700,MATCH($C4925,'تحليل التكلفة والسعر'!$B$2:$B$700,0)),0))</f>
        <v/>
      </c>
    </row>
    <row r="4926" customFormat="false" ht="15" hidden="false" customHeight="false" outlineLevel="0" collapsed="false">
      <c r="A4926" s="102"/>
      <c r="E4926" s="103" t="str">
        <f aca="false">IF($C4926="","",IFERROR(INDEX(المنيو!$C$2:$C$500,MATCH($C4926,المنيو!$B$2:$B$500,0)),0))</f>
        <v/>
      </c>
      <c r="F4926" s="103" t="str">
        <f aca="false">IF($C4926="","",$D4926*$E4926)</f>
        <v/>
      </c>
      <c r="G4926" s="103" t="str">
        <f aca="false">IF($C4926="","",$D4926*IFERROR(INDEX('تحليل التكلفة والسعر'!$C$2:$C$700,MATCH($C4926,'تحليل التكلفة والسعر'!$B$2:$B$700,0)),0))</f>
        <v/>
      </c>
    </row>
    <row r="4927" customFormat="false" ht="15" hidden="false" customHeight="false" outlineLevel="0" collapsed="false">
      <c r="A4927" s="102"/>
      <c r="E4927" s="103" t="str">
        <f aca="false">IF($C4927="","",IFERROR(INDEX(المنيو!$C$2:$C$500,MATCH($C4927,المنيو!$B$2:$B$500,0)),0))</f>
        <v/>
      </c>
      <c r="F4927" s="103" t="str">
        <f aca="false">IF($C4927="","",$D4927*$E4927)</f>
        <v/>
      </c>
      <c r="G4927" s="103" t="str">
        <f aca="false">IF($C4927="","",$D4927*IFERROR(INDEX('تحليل التكلفة والسعر'!$C$2:$C$700,MATCH($C4927,'تحليل التكلفة والسعر'!$B$2:$B$700,0)),0))</f>
        <v/>
      </c>
    </row>
    <row r="4928" customFormat="false" ht="15" hidden="false" customHeight="false" outlineLevel="0" collapsed="false">
      <c r="A4928" s="102"/>
      <c r="E4928" s="103" t="str">
        <f aca="false">IF($C4928="","",IFERROR(INDEX(المنيو!$C$2:$C$500,MATCH($C4928,المنيو!$B$2:$B$500,0)),0))</f>
        <v/>
      </c>
      <c r="F4928" s="103" t="str">
        <f aca="false">IF($C4928="","",$D4928*$E4928)</f>
        <v/>
      </c>
      <c r="G4928" s="103" t="str">
        <f aca="false">IF($C4928="","",$D4928*IFERROR(INDEX('تحليل التكلفة والسعر'!$C$2:$C$700,MATCH($C4928,'تحليل التكلفة والسعر'!$B$2:$B$700,0)),0))</f>
        <v/>
      </c>
    </row>
    <row r="4929" customFormat="false" ht="15" hidden="false" customHeight="false" outlineLevel="0" collapsed="false">
      <c r="A4929" s="102"/>
      <c r="E4929" s="103" t="str">
        <f aca="false">IF($C4929="","",IFERROR(INDEX(المنيو!$C$2:$C$500,MATCH($C4929,المنيو!$B$2:$B$500,0)),0))</f>
        <v/>
      </c>
      <c r="F4929" s="103" t="str">
        <f aca="false">IF($C4929="","",$D4929*$E4929)</f>
        <v/>
      </c>
      <c r="G4929" s="103" t="str">
        <f aca="false">IF($C4929="","",$D4929*IFERROR(INDEX('تحليل التكلفة والسعر'!$C$2:$C$700,MATCH($C4929,'تحليل التكلفة والسعر'!$B$2:$B$700,0)),0))</f>
        <v/>
      </c>
    </row>
    <row r="4930" customFormat="false" ht="15" hidden="false" customHeight="false" outlineLevel="0" collapsed="false">
      <c r="A4930" s="102"/>
      <c r="E4930" s="103" t="str">
        <f aca="false">IF($C4930="","",IFERROR(INDEX(المنيو!$C$2:$C$500,MATCH($C4930,المنيو!$B$2:$B$500,0)),0))</f>
        <v/>
      </c>
      <c r="F4930" s="103" t="str">
        <f aca="false">IF($C4930="","",$D4930*$E4930)</f>
        <v/>
      </c>
      <c r="G4930" s="103" t="str">
        <f aca="false">IF($C4930="","",$D4930*IFERROR(INDEX('تحليل التكلفة والسعر'!$C$2:$C$700,MATCH($C4930,'تحليل التكلفة والسعر'!$B$2:$B$700,0)),0))</f>
        <v/>
      </c>
    </row>
    <row r="4931" customFormat="false" ht="15" hidden="false" customHeight="false" outlineLevel="0" collapsed="false">
      <c r="A4931" s="102"/>
      <c r="E4931" s="103" t="str">
        <f aca="false">IF($C4931="","",IFERROR(INDEX(المنيو!$C$2:$C$500,MATCH($C4931,المنيو!$B$2:$B$500,0)),0))</f>
        <v/>
      </c>
      <c r="F4931" s="103" t="str">
        <f aca="false">IF($C4931="","",$D4931*$E4931)</f>
        <v/>
      </c>
      <c r="G4931" s="103" t="str">
        <f aca="false">IF($C4931="","",$D4931*IFERROR(INDEX('تحليل التكلفة والسعر'!$C$2:$C$700,MATCH($C4931,'تحليل التكلفة والسعر'!$B$2:$B$700,0)),0))</f>
        <v/>
      </c>
    </row>
    <row r="4932" customFormat="false" ht="15" hidden="false" customHeight="false" outlineLevel="0" collapsed="false">
      <c r="A4932" s="102"/>
      <c r="E4932" s="103" t="str">
        <f aca="false">IF($C4932="","",IFERROR(INDEX(المنيو!$C$2:$C$500,MATCH($C4932,المنيو!$B$2:$B$500,0)),0))</f>
        <v/>
      </c>
      <c r="F4932" s="103" t="str">
        <f aca="false">IF($C4932="","",$D4932*$E4932)</f>
        <v/>
      </c>
      <c r="G4932" s="103" t="str">
        <f aca="false">IF($C4932="","",$D4932*IFERROR(INDEX('تحليل التكلفة والسعر'!$C$2:$C$700,MATCH($C4932,'تحليل التكلفة والسعر'!$B$2:$B$700,0)),0))</f>
        <v/>
      </c>
    </row>
    <row r="4933" customFormat="false" ht="15" hidden="false" customHeight="false" outlineLevel="0" collapsed="false">
      <c r="A4933" s="102"/>
      <c r="E4933" s="103" t="str">
        <f aca="false">IF($C4933="","",IFERROR(INDEX(المنيو!$C$2:$C$500,MATCH($C4933,المنيو!$B$2:$B$500,0)),0))</f>
        <v/>
      </c>
      <c r="F4933" s="103" t="str">
        <f aca="false">IF($C4933="","",$D4933*$E4933)</f>
        <v/>
      </c>
      <c r="G4933" s="103" t="str">
        <f aca="false">IF($C4933="","",$D4933*IFERROR(INDEX('تحليل التكلفة والسعر'!$C$2:$C$700,MATCH($C4933,'تحليل التكلفة والسعر'!$B$2:$B$700,0)),0))</f>
        <v/>
      </c>
    </row>
    <row r="4934" customFormat="false" ht="15" hidden="false" customHeight="false" outlineLevel="0" collapsed="false">
      <c r="A4934" s="102"/>
      <c r="E4934" s="103" t="str">
        <f aca="false">IF($C4934="","",IFERROR(INDEX(المنيو!$C$2:$C$500,MATCH($C4934,المنيو!$B$2:$B$500,0)),0))</f>
        <v/>
      </c>
      <c r="F4934" s="103" t="str">
        <f aca="false">IF($C4934="","",$D4934*$E4934)</f>
        <v/>
      </c>
      <c r="G4934" s="103" t="str">
        <f aca="false">IF($C4934="","",$D4934*IFERROR(INDEX('تحليل التكلفة والسعر'!$C$2:$C$700,MATCH($C4934,'تحليل التكلفة والسعر'!$B$2:$B$700,0)),0))</f>
        <v/>
      </c>
    </row>
    <row r="4935" customFormat="false" ht="15" hidden="false" customHeight="false" outlineLevel="0" collapsed="false">
      <c r="A4935" s="102"/>
      <c r="E4935" s="103" t="str">
        <f aca="false">IF($C4935="","",IFERROR(INDEX(المنيو!$C$2:$C$500,MATCH($C4935,المنيو!$B$2:$B$500,0)),0))</f>
        <v/>
      </c>
      <c r="F4935" s="103" t="str">
        <f aca="false">IF($C4935="","",$D4935*$E4935)</f>
        <v/>
      </c>
      <c r="G4935" s="103" t="str">
        <f aca="false">IF($C4935="","",$D4935*IFERROR(INDEX('تحليل التكلفة والسعر'!$C$2:$C$700,MATCH($C4935,'تحليل التكلفة والسعر'!$B$2:$B$700,0)),0))</f>
        <v/>
      </c>
    </row>
    <row r="4936" customFormat="false" ht="15" hidden="false" customHeight="false" outlineLevel="0" collapsed="false">
      <c r="A4936" s="102"/>
      <c r="E4936" s="103" t="str">
        <f aca="false">IF($C4936="","",IFERROR(INDEX(المنيو!$C$2:$C$500,MATCH($C4936,المنيو!$B$2:$B$500,0)),0))</f>
        <v/>
      </c>
      <c r="F4936" s="103" t="str">
        <f aca="false">IF($C4936="","",$D4936*$E4936)</f>
        <v/>
      </c>
      <c r="G4936" s="103" t="str">
        <f aca="false">IF($C4936="","",$D4936*IFERROR(INDEX('تحليل التكلفة والسعر'!$C$2:$C$700,MATCH($C4936,'تحليل التكلفة والسعر'!$B$2:$B$700,0)),0))</f>
        <v/>
      </c>
    </row>
    <row r="4937" customFormat="false" ht="15" hidden="false" customHeight="false" outlineLevel="0" collapsed="false">
      <c r="A4937" s="102"/>
      <c r="E4937" s="103" t="str">
        <f aca="false">IF($C4937="","",IFERROR(INDEX(المنيو!$C$2:$C$500,MATCH($C4937,المنيو!$B$2:$B$500,0)),0))</f>
        <v/>
      </c>
      <c r="F4937" s="103" t="str">
        <f aca="false">IF($C4937="","",$D4937*$E4937)</f>
        <v/>
      </c>
      <c r="G4937" s="103" t="str">
        <f aca="false">IF($C4937="","",$D4937*IFERROR(INDEX('تحليل التكلفة والسعر'!$C$2:$C$700,MATCH($C4937,'تحليل التكلفة والسعر'!$B$2:$B$700,0)),0))</f>
        <v/>
      </c>
    </row>
    <row r="4938" customFormat="false" ht="15" hidden="false" customHeight="false" outlineLevel="0" collapsed="false">
      <c r="A4938" s="102"/>
      <c r="E4938" s="103" t="str">
        <f aca="false">IF($C4938="","",IFERROR(INDEX(المنيو!$C$2:$C$500,MATCH($C4938,المنيو!$B$2:$B$500,0)),0))</f>
        <v/>
      </c>
      <c r="F4938" s="103" t="str">
        <f aca="false">IF($C4938="","",$D4938*$E4938)</f>
        <v/>
      </c>
      <c r="G4938" s="103" t="str">
        <f aca="false">IF($C4938="","",$D4938*IFERROR(INDEX('تحليل التكلفة والسعر'!$C$2:$C$700,MATCH($C4938,'تحليل التكلفة والسعر'!$B$2:$B$700,0)),0))</f>
        <v/>
      </c>
    </row>
    <row r="4939" customFormat="false" ht="15" hidden="false" customHeight="false" outlineLevel="0" collapsed="false">
      <c r="A4939" s="102"/>
      <c r="E4939" s="103" t="str">
        <f aca="false">IF($C4939="","",IFERROR(INDEX(المنيو!$C$2:$C$500,MATCH($C4939,المنيو!$B$2:$B$500,0)),0))</f>
        <v/>
      </c>
      <c r="F4939" s="103" t="str">
        <f aca="false">IF($C4939="","",$D4939*$E4939)</f>
        <v/>
      </c>
      <c r="G4939" s="103" t="str">
        <f aca="false">IF($C4939="","",$D4939*IFERROR(INDEX('تحليل التكلفة والسعر'!$C$2:$C$700,MATCH($C4939,'تحليل التكلفة والسعر'!$B$2:$B$700,0)),0))</f>
        <v/>
      </c>
    </row>
    <row r="4940" customFormat="false" ht="15" hidden="false" customHeight="false" outlineLevel="0" collapsed="false">
      <c r="A4940" s="102"/>
      <c r="E4940" s="103" t="str">
        <f aca="false">IF($C4940="","",IFERROR(INDEX(المنيو!$C$2:$C$500,MATCH($C4940,المنيو!$B$2:$B$500,0)),0))</f>
        <v/>
      </c>
      <c r="F4940" s="103" t="str">
        <f aca="false">IF($C4940="","",$D4940*$E4940)</f>
        <v/>
      </c>
      <c r="G4940" s="103" t="str">
        <f aca="false">IF($C4940="","",$D4940*IFERROR(INDEX('تحليل التكلفة والسعر'!$C$2:$C$700,MATCH($C4940,'تحليل التكلفة والسعر'!$B$2:$B$700,0)),0))</f>
        <v/>
      </c>
    </row>
    <row r="4941" customFormat="false" ht="15" hidden="false" customHeight="false" outlineLevel="0" collapsed="false">
      <c r="A4941" s="102"/>
      <c r="E4941" s="103" t="str">
        <f aca="false">IF($C4941="","",IFERROR(INDEX(المنيو!$C$2:$C$500,MATCH($C4941,المنيو!$B$2:$B$500,0)),0))</f>
        <v/>
      </c>
      <c r="F4941" s="103" t="str">
        <f aca="false">IF($C4941="","",$D4941*$E4941)</f>
        <v/>
      </c>
      <c r="G4941" s="103" t="str">
        <f aca="false">IF($C4941="","",$D4941*IFERROR(INDEX('تحليل التكلفة والسعر'!$C$2:$C$700,MATCH($C4941,'تحليل التكلفة والسعر'!$B$2:$B$700,0)),0))</f>
        <v/>
      </c>
    </row>
    <row r="4942" customFormat="false" ht="15" hidden="false" customHeight="false" outlineLevel="0" collapsed="false">
      <c r="A4942" s="102"/>
      <c r="E4942" s="103" t="str">
        <f aca="false">IF($C4942="","",IFERROR(INDEX(المنيو!$C$2:$C$500,MATCH($C4942,المنيو!$B$2:$B$500,0)),0))</f>
        <v/>
      </c>
      <c r="F4942" s="103" t="str">
        <f aca="false">IF($C4942="","",$D4942*$E4942)</f>
        <v/>
      </c>
      <c r="G4942" s="103" t="str">
        <f aca="false">IF($C4942="","",$D4942*IFERROR(INDEX('تحليل التكلفة والسعر'!$C$2:$C$700,MATCH($C4942,'تحليل التكلفة والسعر'!$B$2:$B$700,0)),0))</f>
        <v/>
      </c>
    </row>
    <row r="4943" customFormat="false" ht="15" hidden="false" customHeight="false" outlineLevel="0" collapsed="false">
      <c r="A4943" s="102"/>
      <c r="E4943" s="103" t="str">
        <f aca="false">IF($C4943="","",IFERROR(INDEX(المنيو!$C$2:$C$500,MATCH($C4943,المنيو!$B$2:$B$500,0)),0))</f>
        <v/>
      </c>
      <c r="F4943" s="103" t="str">
        <f aca="false">IF($C4943="","",$D4943*$E4943)</f>
        <v/>
      </c>
      <c r="G4943" s="103" t="str">
        <f aca="false">IF($C4943="","",$D4943*IFERROR(INDEX('تحليل التكلفة والسعر'!$C$2:$C$700,MATCH($C4943,'تحليل التكلفة والسعر'!$B$2:$B$700,0)),0))</f>
        <v/>
      </c>
    </row>
    <row r="4944" customFormat="false" ht="15" hidden="false" customHeight="false" outlineLevel="0" collapsed="false">
      <c r="A4944" s="102"/>
      <c r="E4944" s="103" t="str">
        <f aca="false">IF($C4944="","",IFERROR(INDEX(المنيو!$C$2:$C$500,MATCH($C4944,المنيو!$B$2:$B$500,0)),0))</f>
        <v/>
      </c>
      <c r="F4944" s="103" t="str">
        <f aca="false">IF($C4944="","",$D4944*$E4944)</f>
        <v/>
      </c>
      <c r="G4944" s="103" t="str">
        <f aca="false">IF($C4944="","",$D4944*IFERROR(INDEX('تحليل التكلفة والسعر'!$C$2:$C$700,MATCH($C4944,'تحليل التكلفة والسعر'!$B$2:$B$700,0)),0))</f>
        <v/>
      </c>
    </row>
    <row r="4945" customFormat="false" ht="15" hidden="false" customHeight="false" outlineLevel="0" collapsed="false">
      <c r="A4945" s="102"/>
      <c r="E4945" s="103" t="str">
        <f aca="false">IF($C4945="","",IFERROR(INDEX(المنيو!$C$2:$C$500,MATCH($C4945,المنيو!$B$2:$B$500,0)),0))</f>
        <v/>
      </c>
      <c r="F4945" s="103" t="str">
        <f aca="false">IF($C4945="","",$D4945*$E4945)</f>
        <v/>
      </c>
      <c r="G4945" s="103" t="str">
        <f aca="false">IF($C4945="","",$D4945*IFERROR(INDEX('تحليل التكلفة والسعر'!$C$2:$C$700,MATCH($C4945,'تحليل التكلفة والسعر'!$B$2:$B$700,0)),0))</f>
        <v/>
      </c>
    </row>
    <row r="4946" customFormat="false" ht="15" hidden="false" customHeight="false" outlineLevel="0" collapsed="false">
      <c r="A4946" s="102"/>
      <c r="E4946" s="103" t="str">
        <f aca="false">IF($C4946="","",IFERROR(INDEX(المنيو!$C$2:$C$500,MATCH($C4946,المنيو!$B$2:$B$500,0)),0))</f>
        <v/>
      </c>
      <c r="F4946" s="103" t="str">
        <f aca="false">IF($C4946="","",$D4946*$E4946)</f>
        <v/>
      </c>
      <c r="G4946" s="103" t="str">
        <f aca="false">IF($C4946="","",$D4946*IFERROR(INDEX('تحليل التكلفة والسعر'!$C$2:$C$700,MATCH($C4946,'تحليل التكلفة والسعر'!$B$2:$B$700,0)),0))</f>
        <v/>
      </c>
    </row>
    <row r="4947" customFormat="false" ht="15" hidden="false" customHeight="false" outlineLevel="0" collapsed="false">
      <c r="A4947" s="102"/>
      <c r="E4947" s="103" t="str">
        <f aca="false">IF($C4947="","",IFERROR(INDEX(المنيو!$C$2:$C$500,MATCH($C4947,المنيو!$B$2:$B$500,0)),0))</f>
        <v/>
      </c>
      <c r="F4947" s="103" t="str">
        <f aca="false">IF($C4947="","",$D4947*$E4947)</f>
        <v/>
      </c>
      <c r="G4947" s="103" t="str">
        <f aca="false">IF($C4947="","",$D4947*IFERROR(INDEX('تحليل التكلفة والسعر'!$C$2:$C$700,MATCH($C4947,'تحليل التكلفة والسعر'!$B$2:$B$700,0)),0))</f>
        <v/>
      </c>
    </row>
    <row r="4948" customFormat="false" ht="15" hidden="false" customHeight="false" outlineLevel="0" collapsed="false">
      <c r="A4948" s="102"/>
      <c r="E4948" s="103" t="str">
        <f aca="false">IF($C4948="","",IFERROR(INDEX(المنيو!$C$2:$C$500,MATCH($C4948,المنيو!$B$2:$B$500,0)),0))</f>
        <v/>
      </c>
      <c r="F4948" s="103" t="str">
        <f aca="false">IF($C4948="","",$D4948*$E4948)</f>
        <v/>
      </c>
      <c r="G4948" s="103" t="str">
        <f aca="false">IF($C4948="","",$D4948*IFERROR(INDEX('تحليل التكلفة والسعر'!$C$2:$C$700,MATCH($C4948,'تحليل التكلفة والسعر'!$B$2:$B$700,0)),0))</f>
        <v/>
      </c>
    </row>
    <row r="4949" customFormat="false" ht="15" hidden="false" customHeight="false" outlineLevel="0" collapsed="false">
      <c r="A4949" s="102"/>
      <c r="E4949" s="103" t="str">
        <f aca="false">IF($C4949="","",IFERROR(INDEX(المنيو!$C$2:$C$500,MATCH($C4949,المنيو!$B$2:$B$500,0)),0))</f>
        <v/>
      </c>
      <c r="F4949" s="103" t="str">
        <f aca="false">IF($C4949="","",$D4949*$E4949)</f>
        <v/>
      </c>
      <c r="G4949" s="103" t="str">
        <f aca="false">IF($C4949="","",$D4949*IFERROR(INDEX('تحليل التكلفة والسعر'!$C$2:$C$700,MATCH($C4949,'تحليل التكلفة والسعر'!$B$2:$B$700,0)),0))</f>
        <v/>
      </c>
    </row>
    <row r="4950" customFormat="false" ht="15" hidden="false" customHeight="false" outlineLevel="0" collapsed="false">
      <c r="A4950" s="102"/>
      <c r="E4950" s="103" t="str">
        <f aca="false">IF($C4950="","",IFERROR(INDEX(المنيو!$C$2:$C$500,MATCH($C4950,المنيو!$B$2:$B$500,0)),0))</f>
        <v/>
      </c>
      <c r="F4950" s="103" t="str">
        <f aca="false">IF($C4950="","",$D4950*$E4950)</f>
        <v/>
      </c>
      <c r="G4950" s="103" t="str">
        <f aca="false">IF($C4950="","",$D4950*IFERROR(INDEX('تحليل التكلفة والسعر'!$C$2:$C$700,MATCH($C4950,'تحليل التكلفة والسعر'!$B$2:$B$700,0)),0))</f>
        <v/>
      </c>
    </row>
    <row r="4951" customFormat="false" ht="15" hidden="false" customHeight="false" outlineLevel="0" collapsed="false">
      <c r="A4951" s="102"/>
      <c r="E4951" s="103" t="str">
        <f aca="false">IF($C4951="","",IFERROR(INDEX(المنيو!$C$2:$C$500,MATCH($C4951,المنيو!$B$2:$B$500,0)),0))</f>
        <v/>
      </c>
      <c r="F4951" s="103" t="str">
        <f aca="false">IF($C4951="","",$D4951*$E4951)</f>
        <v/>
      </c>
      <c r="G4951" s="103" t="str">
        <f aca="false">IF($C4951="","",$D4951*IFERROR(INDEX('تحليل التكلفة والسعر'!$C$2:$C$700,MATCH($C4951,'تحليل التكلفة والسعر'!$B$2:$B$700,0)),0))</f>
        <v/>
      </c>
    </row>
    <row r="4952" customFormat="false" ht="15" hidden="false" customHeight="false" outlineLevel="0" collapsed="false">
      <c r="A4952" s="102"/>
      <c r="E4952" s="103" t="str">
        <f aca="false">IF($C4952="","",IFERROR(INDEX(المنيو!$C$2:$C$500,MATCH($C4952,المنيو!$B$2:$B$500,0)),0))</f>
        <v/>
      </c>
      <c r="F4952" s="103" t="str">
        <f aca="false">IF($C4952="","",$D4952*$E4952)</f>
        <v/>
      </c>
      <c r="G4952" s="103" t="str">
        <f aca="false">IF($C4952="","",$D4952*IFERROR(INDEX('تحليل التكلفة والسعر'!$C$2:$C$700,MATCH($C4952,'تحليل التكلفة والسعر'!$B$2:$B$700,0)),0))</f>
        <v/>
      </c>
    </row>
    <row r="4953" customFormat="false" ht="15" hidden="false" customHeight="false" outlineLevel="0" collapsed="false">
      <c r="A4953" s="102"/>
      <c r="E4953" s="103" t="str">
        <f aca="false">IF($C4953="","",IFERROR(INDEX(المنيو!$C$2:$C$500,MATCH($C4953,المنيو!$B$2:$B$500,0)),0))</f>
        <v/>
      </c>
      <c r="F4953" s="103" t="str">
        <f aca="false">IF($C4953="","",$D4953*$E4953)</f>
        <v/>
      </c>
      <c r="G4953" s="103" t="str">
        <f aca="false">IF($C4953="","",$D4953*IFERROR(INDEX('تحليل التكلفة والسعر'!$C$2:$C$700,MATCH($C4953,'تحليل التكلفة والسعر'!$B$2:$B$700,0)),0))</f>
        <v/>
      </c>
    </row>
    <row r="4954" customFormat="false" ht="15" hidden="false" customHeight="false" outlineLevel="0" collapsed="false">
      <c r="A4954" s="102"/>
      <c r="E4954" s="103" t="str">
        <f aca="false">IF($C4954="","",IFERROR(INDEX(المنيو!$C$2:$C$500,MATCH($C4954,المنيو!$B$2:$B$500,0)),0))</f>
        <v/>
      </c>
      <c r="F4954" s="103" t="str">
        <f aca="false">IF($C4954="","",$D4954*$E4954)</f>
        <v/>
      </c>
      <c r="G4954" s="103" t="str">
        <f aca="false">IF($C4954="","",$D4954*IFERROR(INDEX('تحليل التكلفة والسعر'!$C$2:$C$700,MATCH($C4954,'تحليل التكلفة والسعر'!$B$2:$B$700,0)),0))</f>
        <v/>
      </c>
    </row>
    <row r="4955" customFormat="false" ht="15" hidden="false" customHeight="false" outlineLevel="0" collapsed="false">
      <c r="A4955" s="102"/>
      <c r="E4955" s="103" t="str">
        <f aca="false">IF($C4955="","",IFERROR(INDEX(المنيو!$C$2:$C$500,MATCH($C4955,المنيو!$B$2:$B$500,0)),0))</f>
        <v/>
      </c>
      <c r="F4955" s="103" t="str">
        <f aca="false">IF($C4955="","",$D4955*$E4955)</f>
        <v/>
      </c>
      <c r="G4955" s="103" t="str">
        <f aca="false">IF($C4955="","",$D4955*IFERROR(INDEX('تحليل التكلفة والسعر'!$C$2:$C$700,MATCH($C4955,'تحليل التكلفة والسعر'!$B$2:$B$700,0)),0))</f>
        <v/>
      </c>
    </row>
    <row r="4956" customFormat="false" ht="15" hidden="false" customHeight="false" outlineLevel="0" collapsed="false">
      <c r="A4956" s="102"/>
      <c r="E4956" s="103" t="str">
        <f aca="false">IF($C4956="","",IFERROR(INDEX(المنيو!$C$2:$C$500,MATCH($C4956,المنيو!$B$2:$B$500,0)),0))</f>
        <v/>
      </c>
      <c r="F4956" s="103" t="str">
        <f aca="false">IF($C4956="","",$D4956*$E4956)</f>
        <v/>
      </c>
      <c r="G4956" s="103" t="str">
        <f aca="false">IF($C4956="","",$D4956*IFERROR(INDEX('تحليل التكلفة والسعر'!$C$2:$C$700,MATCH($C4956,'تحليل التكلفة والسعر'!$B$2:$B$700,0)),0))</f>
        <v/>
      </c>
    </row>
    <row r="4957" customFormat="false" ht="15" hidden="false" customHeight="false" outlineLevel="0" collapsed="false">
      <c r="A4957" s="102"/>
      <c r="E4957" s="103" t="str">
        <f aca="false">IF($C4957="","",IFERROR(INDEX(المنيو!$C$2:$C$500,MATCH($C4957,المنيو!$B$2:$B$500,0)),0))</f>
        <v/>
      </c>
      <c r="F4957" s="103" t="str">
        <f aca="false">IF($C4957="","",$D4957*$E4957)</f>
        <v/>
      </c>
      <c r="G4957" s="103" t="str">
        <f aca="false">IF($C4957="","",$D4957*IFERROR(INDEX('تحليل التكلفة والسعر'!$C$2:$C$700,MATCH($C4957,'تحليل التكلفة والسعر'!$B$2:$B$700,0)),0))</f>
        <v/>
      </c>
    </row>
    <row r="4958" customFormat="false" ht="15" hidden="false" customHeight="false" outlineLevel="0" collapsed="false">
      <c r="A4958" s="102"/>
      <c r="E4958" s="103" t="str">
        <f aca="false">IF($C4958="","",IFERROR(INDEX(المنيو!$C$2:$C$500,MATCH($C4958,المنيو!$B$2:$B$500,0)),0))</f>
        <v/>
      </c>
      <c r="F4958" s="103" t="str">
        <f aca="false">IF($C4958="","",$D4958*$E4958)</f>
        <v/>
      </c>
      <c r="G4958" s="103" t="str">
        <f aca="false">IF($C4958="","",$D4958*IFERROR(INDEX('تحليل التكلفة والسعر'!$C$2:$C$700,MATCH($C4958,'تحليل التكلفة والسعر'!$B$2:$B$700,0)),0))</f>
        <v/>
      </c>
    </row>
    <row r="4959" customFormat="false" ht="15" hidden="false" customHeight="false" outlineLevel="0" collapsed="false">
      <c r="A4959" s="102"/>
      <c r="E4959" s="103" t="str">
        <f aca="false">IF($C4959="","",IFERROR(INDEX(المنيو!$C$2:$C$500,MATCH($C4959,المنيو!$B$2:$B$500,0)),0))</f>
        <v/>
      </c>
      <c r="F4959" s="103" t="str">
        <f aca="false">IF($C4959="","",$D4959*$E4959)</f>
        <v/>
      </c>
      <c r="G4959" s="103" t="str">
        <f aca="false">IF($C4959="","",$D4959*IFERROR(INDEX('تحليل التكلفة والسعر'!$C$2:$C$700,MATCH($C4959,'تحليل التكلفة والسعر'!$B$2:$B$700,0)),0))</f>
        <v/>
      </c>
    </row>
    <row r="4960" customFormat="false" ht="15" hidden="false" customHeight="false" outlineLevel="0" collapsed="false">
      <c r="A4960" s="102"/>
      <c r="E4960" s="103" t="str">
        <f aca="false">IF($C4960="","",IFERROR(INDEX(المنيو!$C$2:$C$500,MATCH($C4960,المنيو!$B$2:$B$500,0)),0))</f>
        <v/>
      </c>
      <c r="F4960" s="103" t="str">
        <f aca="false">IF($C4960="","",$D4960*$E4960)</f>
        <v/>
      </c>
      <c r="G4960" s="103" t="str">
        <f aca="false">IF($C4960="","",$D4960*IFERROR(INDEX('تحليل التكلفة والسعر'!$C$2:$C$700,MATCH($C4960,'تحليل التكلفة والسعر'!$B$2:$B$700,0)),0))</f>
        <v/>
      </c>
    </row>
    <row r="4961" customFormat="false" ht="15" hidden="false" customHeight="false" outlineLevel="0" collapsed="false">
      <c r="A4961" s="102"/>
      <c r="E4961" s="103" t="str">
        <f aca="false">IF($C4961="","",IFERROR(INDEX(المنيو!$C$2:$C$500,MATCH($C4961,المنيو!$B$2:$B$500,0)),0))</f>
        <v/>
      </c>
      <c r="F4961" s="103" t="str">
        <f aca="false">IF($C4961="","",$D4961*$E4961)</f>
        <v/>
      </c>
      <c r="G4961" s="103" t="str">
        <f aca="false">IF($C4961="","",$D4961*IFERROR(INDEX('تحليل التكلفة والسعر'!$C$2:$C$700,MATCH($C4961,'تحليل التكلفة والسعر'!$B$2:$B$700,0)),0))</f>
        <v/>
      </c>
    </row>
    <row r="4962" customFormat="false" ht="15" hidden="false" customHeight="false" outlineLevel="0" collapsed="false">
      <c r="A4962" s="102"/>
      <c r="E4962" s="103" t="str">
        <f aca="false">IF($C4962="","",IFERROR(INDEX(المنيو!$C$2:$C$500,MATCH($C4962,المنيو!$B$2:$B$500,0)),0))</f>
        <v/>
      </c>
      <c r="F4962" s="103" t="str">
        <f aca="false">IF($C4962="","",$D4962*$E4962)</f>
        <v/>
      </c>
      <c r="G4962" s="103" t="str">
        <f aca="false">IF($C4962="","",$D4962*IFERROR(INDEX('تحليل التكلفة والسعر'!$C$2:$C$700,MATCH($C4962,'تحليل التكلفة والسعر'!$B$2:$B$700,0)),0))</f>
        <v/>
      </c>
    </row>
    <row r="4963" customFormat="false" ht="15" hidden="false" customHeight="false" outlineLevel="0" collapsed="false">
      <c r="A4963" s="102"/>
      <c r="E4963" s="103" t="str">
        <f aca="false">IF($C4963="","",IFERROR(INDEX(المنيو!$C$2:$C$500,MATCH($C4963,المنيو!$B$2:$B$500,0)),0))</f>
        <v/>
      </c>
      <c r="F4963" s="103" t="str">
        <f aca="false">IF($C4963="","",$D4963*$E4963)</f>
        <v/>
      </c>
      <c r="G4963" s="103" t="str">
        <f aca="false">IF($C4963="","",$D4963*IFERROR(INDEX('تحليل التكلفة والسعر'!$C$2:$C$700,MATCH($C4963,'تحليل التكلفة والسعر'!$B$2:$B$700,0)),0))</f>
        <v/>
      </c>
    </row>
    <row r="4964" customFormat="false" ht="15" hidden="false" customHeight="false" outlineLevel="0" collapsed="false">
      <c r="A4964" s="102"/>
      <c r="E4964" s="103" t="str">
        <f aca="false">IF($C4964="","",IFERROR(INDEX(المنيو!$C$2:$C$500,MATCH($C4964,المنيو!$B$2:$B$500,0)),0))</f>
        <v/>
      </c>
      <c r="F4964" s="103" t="str">
        <f aca="false">IF($C4964="","",$D4964*$E4964)</f>
        <v/>
      </c>
      <c r="G4964" s="103" t="str">
        <f aca="false">IF($C4964="","",$D4964*IFERROR(INDEX('تحليل التكلفة والسعر'!$C$2:$C$700,MATCH($C4964,'تحليل التكلفة والسعر'!$B$2:$B$700,0)),0))</f>
        <v/>
      </c>
    </row>
    <row r="4965" customFormat="false" ht="15" hidden="false" customHeight="false" outlineLevel="0" collapsed="false">
      <c r="A4965" s="102"/>
      <c r="E4965" s="103" t="str">
        <f aca="false">IF($C4965="","",IFERROR(INDEX(المنيو!$C$2:$C$500,MATCH($C4965,المنيو!$B$2:$B$500,0)),0))</f>
        <v/>
      </c>
      <c r="F4965" s="103" t="str">
        <f aca="false">IF($C4965="","",$D4965*$E4965)</f>
        <v/>
      </c>
      <c r="G4965" s="103" t="str">
        <f aca="false">IF($C4965="","",$D4965*IFERROR(INDEX('تحليل التكلفة والسعر'!$C$2:$C$700,MATCH($C4965,'تحليل التكلفة والسعر'!$B$2:$B$700,0)),0))</f>
        <v/>
      </c>
    </row>
    <row r="4966" customFormat="false" ht="15" hidden="false" customHeight="false" outlineLevel="0" collapsed="false">
      <c r="A4966" s="102"/>
      <c r="E4966" s="103" t="str">
        <f aca="false">IF($C4966="","",IFERROR(INDEX(المنيو!$C$2:$C$500,MATCH($C4966,المنيو!$B$2:$B$500,0)),0))</f>
        <v/>
      </c>
      <c r="F4966" s="103" t="str">
        <f aca="false">IF($C4966="","",$D4966*$E4966)</f>
        <v/>
      </c>
      <c r="G4966" s="103" t="str">
        <f aca="false">IF($C4966="","",$D4966*IFERROR(INDEX('تحليل التكلفة والسعر'!$C$2:$C$700,MATCH($C4966,'تحليل التكلفة والسعر'!$B$2:$B$700,0)),0))</f>
        <v/>
      </c>
    </row>
    <row r="4967" customFormat="false" ht="15" hidden="false" customHeight="false" outlineLevel="0" collapsed="false">
      <c r="A4967" s="102"/>
      <c r="E4967" s="103" t="str">
        <f aca="false">IF($C4967="","",IFERROR(INDEX(المنيو!$C$2:$C$500,MATCH($C4967,المنيو!$B$2:$B$500,0)),0))</f>
        <v/>
      </c>
      <c r="F4967" s="103" t="str">
        <f aca="false">IF($C4967="","",$D4967*$E4967)</f>
        <v/>
      </c>
      <c r="G4967" s="103" t="str">
        <f aca="false">IF($C4967="","",$D4967*IFERROR(INDEX('تحليل التكلفة والسعر'!$C$2:$C$700,MATCH($C4967,'تحليل التكلفة والسعر'!$B$2:$B$700,0)),0))</f>
        <v/>
      </c>
    </row>
    <row r="4968" customFormat="false" ht="15" hidden="false" customHeight="false" outlineLevel="0" collapsed="false">
      <c r="A4968" s="102"/>
      <c r="E4968" s="103" t="str">
        <f aca="false">IF($C4968="","",IFERROR(INDEX(المنيو!$C$2:$C$500,MATCH($C4968,المنيو!$B$2:$B$500,0)),0))</f>
        <v/>
      </c>
      <c r="F4968" s="103" t="str">
        <f aca="false">IF($C4968="","",$D4968*$E4968)</f>
        <v/>
      </c>
      <c r="G4968" s="103" t="str">
        <f aca="false">IF($C4968="","",$D4968*IFERROR(INDEX('تحليل التكلفة والسعر'!$C$2:$C$700,MATCH($C4968,'تحليل التكلفة والسعر'!$B$2:$B$700,0)),0))</f>
        <v/>
      </c>
    </row>
    <row r="4969" customFormat="false" ht="15" hidden="false" customHeight="false" outlineLevel="0" collapsed="false">
      <c r="A4969" s="102"/>
      <c r="E4969" s="103" t="str">
        <f aca="false">IF($C4969="","",IFERROR(INDEX(المنيو!$C$2:$C$500,MATCH($C4969,المنيو!$B$2:$B$500,0)),0))</f>
        <v/>
      </c>
      <c r="F4969" s="103" t="str">
        <f aca="false">IF($C4969="","",$D4969*$E4969)</f>
        <v/>
      </c>
      <c r="G4969" s="103" t="str">
        <f aca="false">IF($C4969="","",$D4969*IFERROR(INDEX('تحليل التكلفة والسعر'!$C$2:$C$700,MATCH($C4969,'تحليل التكلفة والسعر'!$B$2:$B$700,0)),0))</f>
        <v/>
      </c>
    </row>
    <row r="4970" customFormat="false" ht="15" hidden="false" customHeight="false" outlineLevel="0" collapsed="false">
      <c r="A4970" s="102"/>
      <c r="E4970" s="103" t="str">
        <f aca="false">IF($C4970="","",IFERROR(INDEX(المنيو!$C$2:$C$500,MATCH($C4970,المنيو!$B$2:$B$500,0)),0))</f>
        <v/>
      </c>
      <c r="F4970" s="103" t="str">
        <f aca="false">IF($C4970="","",$D4970*$E4970)</f>
        <v/>
      </c>
      <c r="G4970" s="103" t="str">
        <f aca="false">IF($C4970="","",$D4970*IFERROR(INDEX('تحليل التكلفة والسعر'!$C$2:$C$700,MATCH($C4970,'تحليل التكلفة والسعر'!$B$2:$B$700,0)),0))</f>
        <v/>
      </c>
    </row>
    <row r="4971" customFormat="false" ht="15" hidden="false" customHeight="false" outlineLevel="0" collapsed="false">
      <c r="A4971" s="102"/>
      <c r="E4971" s="103" t="str">
        <f aca="false">IF($C4971="","",IFERROR(INDEX(المنيو!$C$2:$C$500,MATCH($C4971,المنيو!$B$2:$B$500,0)),0))</f>
        <v/>
      </c>
      <c r="F4971" s="103" t="str">
        <f aca="false">IF($C4971="","",$D4971*$E4971)</f>
        <v/>
      </c>
      <c r="G4971" s="103" t="str">
        <f aca="false">IF($C4971="","",$D4971*IFERROR(INDEX('تحليل التكلفة والسعر'!$C$2:$C$700,MATCH($C4971,'تحليل التكلفة والسعر'!$B$2:$B$700,0)),0))</f>
        <v/>
      </c>
    </row>
    <row r="4972" customFormat="false" ht="15" hidden="false" customHeight="false" outlineLevel="0" collapsed="false">
      <c r="A4972" s="102"/>
      <c r="E4972" s="103" t="str">
        <f aca="false">IF($C4972="","",IFERROR(INDEX(المنيو!$C$2:$C$500,MATCH($C4972,المنيو!$B$2:$B$500,0)),0))</f>
        <v/>
      </c>
      <c r="F4972" s="103" t="str">
        <f aca="false">IF($C4972="","",$D4972*$E4972)</f>
        <v/>
      </c>
      <c r="G4972" s="103" t="str">
        <f aca="false">IF($C4972="","",$D4972*IFERROR(INDEX('تحليل التكلفة والسعر'!$C$2:$C$700,MATCH($C4972,'تحليل التكلفة والسعر'!$B$2:$B$700,0)),0))</f>
        <v/>
      </c>
    </row>
    <row r="4973" customFormat="false" ht="15" hidden="false" customHeight="false" outlineLevel="0" collapsed="false">
      <c r="A4973" s="102"/>
      <c r="E4973" s="103" t="str">
        <f aca="false">IF($C4973="","",IFERROR(INDEX(المنيو!$C$2:$C$500,MATCH($C4973,المنيو!$B$2:$B$500,0)),0))</f>
        <v/>
      </c>
      <c r="F4973" s="103" t="str">
        <f aca="false">IF($C4973="","",$D4973*$E4973)</f>
        <v/>
      </c>
      <c r="G4973" s="103" t="str">
        <f aca="false">IF($C4973="","",$D4973*IFERROR(INDEX('تحليل التكلفة والسعر'!$C$2:$C$700,MATCH($C4973,'تحليل التكلفة والسعر'!$B$2:$B$700,0)),0))</f>
        <v/>
      </c>
    </row>
    <row r="4974" customFormat="false" ht="15" hidden="false" customHeight="false" outlineLevel="0" collapsed="false">
      <c r="A4974" s="102"/>
      <c r="E4974" s="103" t="str">
        <f aca="false">IF($C4974="","",IFERROR(INDEX(المنيو!$C$2:$C$500,MATCH($C4974,المنيو!$B$2:$B$500,0)),0))</f>
        <v/>
      </c>
      <c r="F4974" s="103" t="str">
        <f aca="false">IF($C4974="","",$D4974*$E4974)</f>
        <v/>
      </c>
      <c r="G4974" s="103" t="str">
        <f aca="false">IF($C4974="","",$D4974*IFERROR(INDEX('تحليل التكلفة والسعر'!$C$2:$C$700,MATCH($C4974,'تحليل التكلفة والسعر'!$B$2:$B$700,0)),0))</f>
        <v/>
      </c>
    </row>
    <row r="4975" customFormat="false" ht="15" hidden="false" customHeight="false" outlineLevel="0" collapsed="false">
      <c r="A4975" s="102"/>
      <c r="E4975" s="103" t="str">
        <f aca="false">IF($C4975="","",IFERROR(INDEX(المنيو!$C$2:$C$500,MATCH($C4975,المنيو!$B$2:$B$500,0)),0))</f>
        <v/>
      </c>
      <c r="F4975" s="103" t="str">
        <f aca="false">IF($C4975="","",$D4975*$E4975)</f>
        <v/>
      </c>
      <c r="G4975" s="103" t="str">
        <f aca="false">IF($C4975="","",$D4975*IFERROR(INDEX('تحليل التكلفة والسعر'!$C$2:$C$700,MATCH($C4975,'تحليل التكلفة والسعر'!$B$2:$B$700,0)),0))</f>
        <v/>
      </c>
    </row>
    <row r="4976" customFormat="false" ht="15" hidden="false" customHeight="false" outlineLevel="0" collapsed="false">
      <c r="A4976" s="102"/>
      <c r="E4976" s="103" t="str">
        <f aca="false">IF($C4976="","",IFERROR(INDEX(المنيو!$C$2:$C$500,MATCH($C4976,المنيو!$B$2:$B$500,0)),0))</f>
        <v/>
      </c>
      <c r="F4976" s="103" t="str">
        <f aca="false">IF($C4976="","",$D4976*$E4976)</f>
        <v/>
      </c>
      <c r="G4976" s="103" t="str">
        <f aca="false">IF($C4976="","",$D4976*IFERROR(INDEX('تحليل التكلفة والسعر'!$C$2:$C$700,MATCH($C4976,'تحليل التكلفة والسعر'!$B$2:$B$700,0)),0))</f>
        <v/>
      </c>
    </row>
    <row r="4977" customFormat="false" ht="15" hidden="false" customHeight="false" outlineLevel="0" collapsed="false">
      <c r="A4977" s="102"/>
      <c r="E4977" s="103" t="str">
        <f aca="false">IF($C4977="","",IFERROR(INDEX(المنيو!$C$2:$C$500,MATCH($C4977,المنيو!$B$2:$B$500,0)),0))</f>
        <v/>
      </c>
      <c r="F4977" s="103" t="str">
        <f aca="false">IF($C4977="","",$D4977*$E4977)</f>
        <v/>
      </c>
      <c r="G4977" s="103" t="str">
        <f aca="false">IF($C4977="","",$D4977*IFERROR(INDEX('تحليل التكلفة والسعر'!$C$2:$C$700,MATCH($C4977,'تحليل التكلفة والسعر'!$B$2:$B$700,0)),0))</f>
        <v/>
      </c>
    </row>
    <row r="4978" customFormat="false" ht="15" hidden="false" customHeight="false" outlineLevel="0" collapsed="false">
      <c r="A4978" s="102"/>
      <c r="E4978" s="103" t="str">
        <f aca="false">IF($C4978="","",IFERROR(INDEX(المنيو!$C$2:$C$500,MATCH($C4978,المنيو!$B$2:$B$500,0)),0))</f>
        <v/>
      </c>
      <c r="F4978" s="103" t="str">
        <f aca="false">IF($C4978="","",$D4978*$E4978)</f>
        <v/>
      </c>
      <c r="G4978" s="103" t="str">
        <f aca="false">IF($C4978="","",$D4978*IFERROR(INDEX('تحليل التكلفة والسعر'!$C$2:$C$700,MATCH($C4978,'تحليل التكلفة والسعر'!$B$2:$B$700,0)),0))</f>
        <v/>
      </c>
    </row>
    <row r="4979" customFormat="false" ht="15" hidden="false" customHeight="false" outlineLevel="0" collapsed="false">
      <c r="A4979" s="102"/>
      <c r="E4979" s="103" t="str">
        <f aca="false">IF($C4979="","",IFERROR(INDEX(المنيو!$C$2:$C$500,MATCH($C4979,المنيو!$B$2:$B$500,0)),0))</f>
        <v/>
      </c>
      <c r="F4979" s="103" t="str">
        <f aca="false">IF($C4979="","",$D4979*$E4979)</f>
        <v/>
      </c>
      <c r="G4979" s="103" t="str">
        <f aca="false">IF($C4979="","",$D4979*IFERROR(INDEX('تحليل التكلفة والسعر'!$C$2:$C$700,MATCH($C4979,'تحليل التكلفة والسعر'!$B$2:$B$700,0)),0))</f>
        <v/>
      </c>
    </row>
    <row r="4980" customFormat="false" ht="15" hidden="false" customHeight="false" outlineLevel="0" collapsed="false">
      <c r="A4980" s="102"/>
      <c r="E4980" s="103" t="str">
        <f aca="false">IF($C4980="","",IFERROR(INDEX(المنيو!$C$2:$C$500,MATCH($C4980,المنيو!$B$2:$B$500,0)),0))</f>
        <v/>
      </c>
      <c r="F4980" s="103" t="str">
        <f aca="false">IF($C4980="","",$D4980*$E4980)</f>
        <v/>
      </c>
      <c r="G4980" s="103" t="str">
        <f aca="false">IF($C4980="","",$D4980*IFERROR(INDEX('تحليل التكلفة والسعر'!$C$2:$C$700,MATCH($C4980,'تحليل التكلفة والسعر'!$B$2:$B$700,0)),0))</f>
        <v/>
      </c>
    </row>
    <row r="4981" customFormat="false" ht="15" hidden="false" customHeight="false" outlineLevel="0" collapsed="false">
      <c r="A4981" s="102"/>
      <c r="E4981" s="103" t="str">
        <f aca="false">IF($C4981="","",IFERROR(INDEX(المنيو!$C$2:$C$500,MATCH($C4981,المنيو!$B$2:$B$500,0)),0))</f>
        <v/>
      </c>
      <c r="F4981" s="103" t="str">
        <f aca="false">IF($C4981="","",$D4981*$E4981)</f>
        <v/>
      </c>
      <c r="G4981" s="103" t="str">
        <f aca="false">IF($C4981="","",$D4981*IFERROR(INDEX('تحليل التكلفة والسعر'!$C$2:$C$700,MATCH($C4981,'تحليل التكلفة والسعر'!$B$2:$B$700,0)),0))</f>
        <v/>
      </c>
    </row>
    <row r="4982" customFormat="false" ht="15" hidden="false" customHeight="false" outlineLevel="0" collapsed="false">
      <c r="A4982" s="102"/>
      <c r="E4982" s="103" t="str">
        <f aca="false">IF($C4982="","",IFERROR(INDEX(المنيو!$C$2:$C$500,MATCH($C4982,المنيو!$B$2:$B$500,0)),0))</f>
        <v/>
      </c>
      <c r="F4982" s="103" t="str">
        <f aca="false">IF($C4982="","",$D4982*$E4982)</f>
        <v/>
      </c>
      <c r="G4982" s="103" t="str">
        <f aca="false">IF($C4982="","",$D4982*IFERROR(INDEX('تحليل التكلفة والسعر'!$C$2:$C$700,MATCH($C4982,'تحليل التكلفة والسعر'!$B$2:$B$700,0)),0))</f>
        <v/>
      </c>
    </row>
    <row r="4983" customFormat="false" ht="15" hidden="false" customHeight="false" outlineLevel="0" collapsed="false">
      <c r="A4983" s="102"/>
      <c r="E4983" s="103" t="str">
        <f aca="false">IF($C4983="","",IFERROR(INDEX(المنيو!$C$2:$C$500,MATCH($C4983,المنيو!$B$2:$B$500,0)),0))</f>
        <v/>
      </c>
      <c r="F4983" s="103" t="str">
        <f aca="false">IF($C4983="","",$D4983*$E4983)</f>
        <v/>
      </c>
      <c r="G4983" s="103" t="str">
        <f aca="false">IF($C4983="","",$D4983*IFERROR(INDEX('تحليل التكلفة والسعر'!$C$2:$C$700,MATCH($C4983,'تحليل التكلفة والسعر'!$B$2:$B$700,0)),0))</f>
        <v/>
      </c>
    </row>
    <row r="4984" customFormat="false" ht="15" hidden="false" customHeight="false" outlineLevel="0" collapsed="false">
      <c r="A4984" s="102"/>
      <c r="E4984" s="103" t="str">
        <f aca="false">IF($C4984="","",IFERROR(INDEX(المنيو!$C$2:$C$500,MATCH($C4984,المنيو!$B$2:$B$500,0)),0))</f>
        <v/>
      </c>
      <c r="F4984" s="103" t="str">
        <f aca="false">IF($C4984="","",$D4984*$E4984)</f>
        <v/>
      </c>
      <c r="G4984" s="103" t="str">
        <f aca="false">IF($C4984="","",$D4984*IFERROR(INDEX('تحليل التكلفة والسعر'!$C$2:$C$700,MATCH($C4984,'تحليل التكلفة والسعر'!$B$2:$B$700,0)),0))</f>
        <v/>
      </c>
    </row>
    <row r="4985" customFormat="false" ht="15" hidden="false" customHeight="false" outlineLevel="0" collapsed="false">
      <c r="A4985" s="102"/>
      <c r="E4985" s="103" t="str">
        <f aca="false">IF($C4985="","",IFERROR(INDEX(المنيو!$C$2:$C$500,MATCH($C4985,المنيو!$B$2:$B$500,0)),0))</f>
        <v/>
      </c>
      <c r="F4985" s="103" t="str">
        <f aca="false">IF($C4985="","",$D4985*$E4985)</f>
        <v/>
      </c>
      <c r="G4985" s="103" t="str">
        <f aca="false">IF($C4985="","",$D4985*IFERROR(INDEX('تحليل التكلفة والسعر'!$C$2:$C$700,MATCH($C4985,'تحليل التكلفة والسعر'!$B$2:$B$700,0)),0))</f>
        <v/>
      </c>
    </row>
    <row r="4986" customFormat="false" ht="15" hidden="false" customHeight="false" outlineLevel="0" collapsed="false">
      <c r="A4986" s="102"/>
      <c r="E4986" s="103" t="str">
        <f aca="false">IF($C4986="","",IFERROR(INDEX(المنيو!$C$2:$C$500,MATCH($C4986,المنيو!$B$2:$B$500,0)),0))</f>
        <v/>
      </c>
      <c r="F4986" s="103" t="str">
        <f aca="false">IF($C4986="","",$D4986*$E4986)</f>
        <v/>
      </c>
      <c r="G4986" s="103" t="str">
        <f aca="false">IF($C4986="","",$D4986*IFERROR(INDEX('تحليل التكلفة والسعر'!$C$2:$C$700,MATCH($C4986,'تحليل التكلفة والسعر'!$B$2:$B$700,0)),0))</f>
        <v/>
      </c>
    </row>
    <row r="4987" customFormat="false" ht="15" hidden="false" customHeight="false" outlineLevel="0" collapsed="false">
      <c r="A4987" s="102"/>
      <c r="E4987" s="103" t="str">
        <f aca="false">IF($C4987="","",IFERROR(INDEX(المنيو!$C$2:$C$500,MATCH($C4987,المنيو!$B$2:$B$500,0)),0))</f>
        <v/>
      </c>
      <c r="F4987" s="103" t="str">
        <f aca="false">IF($C4987="","",$D4987*$E4987)</f>
        <v/>
      </c>
      <c r="G4987" s="103" t="str">
        <f aca="false">IF($C4987="","",$D4987*IFERROR(INDEX('تحليل التكلفة والسعر'!$C$2:$C$700,MATCH($C4987,'تحليل التكلفة والسعر'!$B$2:$B$700,0)),0))</f>
        <v/>
      </c>
    </row>
    <row r="4988" customFormat="false" ht="15" hidden="false" customHeight="false" outlineLevel="0" collapsed="false">
      <c r="A4988" s="102"/>
      <c r="E4988" s="103" t="str">
        <f aca="false">IF($C4988="","",IFERROR(INDEX(المنيو!$C$2:$C$500,MATCH($C4988,المنيو!$B$2:$B$500,0)),0))</f>
        <v/>
      </c>
      <c r="F4988" s="103" t="str">
        <f aca="false">IF($C4988="","",$D4988*$E4988)</f>
        <v/>
      </c>
      <c r="G4988" s="103" t="str">
        <f aca="false">IF($C4988="","",$D4988*IFERROR(INDEX('تحليل التكلفة والسعر'!$C$2:$C$700,MATCH($C4988,'تحليل التكلفة والسعر'!$B$2:$B$700,0)),0))</f>
        <v/>
      </c>
    </row>
    <row r="4989" customFormat="false" ht="15" hidden="false" customHeight="false" outlineLevel="0" collapsed="false">
      <c r="A4989" s="102"/>
      <c r="E4989" s="103" t="str">
        <f aca="false">IF($C4989="","",IFERROR(INDEX(المنيو!$C$2:$C$500,MATCH($C4989,المنيو!$B$2:$B$500,0)),0))</f>
        <v/>
      </c>
      <c r="F4989" s="103" t="str">
        <f aca="false">IF($C4989="","",$D4989*$E4989)</f>
        <v/>
      </c>
      <c r="G4989" s="103" t="str">
        <f aca="false">IF($C4989="","",$D4989*IFERROR(INDEX('تحليل التكلفة والسعر'!$C$2:$C$700,MATCH($C4989,'تحليل التكلفة والسعر'!$B$2:$B$700,0)),0))</f>
        <v/>
      </c>
    </row>
    <row r="4990" customFormat="false" ht="15" hidden="false" customHeight="false" outlineLevel="0" collapsed="false">
      <c r="A4990" s="102"/>
      <c r="E4990" s="103" t="str">
        <f aca="false">IF($C4990="","",IFERROR(INDEX(المنيو!$C$2:$C$500,MATCH($C4990,المنيو!$B$2:$B$500,0)),0))</f>
        <v/>
      </c>
      <c r="F4990" s="103" t="str">
        <f aca="false">IF($C4990="","",$D4990*$E4990)</f>
        <v/>
      </c>
      <c r="G4990" s="103" t="str">
        <f aca="false">IF($C4990="","",$D4990*IFERROR(INDEX('تحليل التكلفة والسعر'!$C$2:$C$700,MATCH($C4990,'تحليل التكلفة والسعر'!$B$2:$B$700,0)),0))</f>
        <v/>
      </c>
    </row>
    <row r="4991" customFormat="false" ht="15" hidden="false" customHeight="false" outlineLevel="0" collapsed="false">
      <c r="A4991" s="102"/>
      <c r="E4991" s="103" t="str">
        <f aca="false">IF($C4991="","",IFERROR(INDEX(المنيو!$C$2:$C$500,MATCH($C4991,المنيو!$B$2:$B$500,0)),0))</f>
        <v/>
      </c>
      <c r="F4991" s="103" t="str">
        <f aca="false">IF($C4991="","",$D4991*$E4991)</f>
        <v/>
      </c>
      <c r="G4991" s="103" t="str">
        <f aca="false">IF($C4991="","",$D4991*IFERROR(INDEX('تحليل التكلفة والسعر'!$C$2:$C$700,MATCH($C4991,'تحليل التكلفة والسعر'!$B$2:$B$700,0)),0))</f>
        <v/>
      </c>
    </row>
    <row r="4992" customFormat="false" ht="15" hidden="false" customHeight="false" outlineLevel="0" collapsed="false">
      <c r="A4992" s="102"/>
      <c r="E4992" s="103" t="str">
        <f aca="false">IF($C4992="","",IFERROR(INDEX(المنيو!$C$2:$C$500,MATCH($C4992,المنيو!$B$2:$B$500,0)),0))</f>
        <v/>
      </c>
      <c r="F4992" s="103" t="str">
        <f aca="false">IF($C4992="","",$D4992*$E4992)</f>
        <v/>
      </c>
      <c r="G4992" s="103" t="str">
        <f aca="false">IF($C4992="","",$D4992*IFERROR(INDEX('تحليل التكلفة والسعر'!$C$2:$C$700,MATCH($C4992,'تحليل التكلفة والسعر'!$B$2:$B$700,0)),0))</f>
        <v/>
      </c>
    </row>
    <row r="4993" customFormat="false" ht="15" hidden="false" customHeight="false" outlineLevel="0" collapsed="false">
      <c r="A4993" s="102"/>
      <c r="E4993" s="103" t="str">
        <f aca="false">IF($C4993="","",IFERROR(INDEX(المنيو!$C$2:$C$500,MATCH($C4993,المنيو!$B$2:$B$500,0)),0))</f>
        <v/>
      </c>
      <c r="F4993" s="103" t="str">
        <f aca="false">IF($C4993="","",$D4993*$E4993)</f>
        <v/>
      </c>
      <c r="G4993" s="103" t="str">
        <f aca="false">IF($C4993="","",$D4993*IFERROR(INDEX('تحليل التكلفة والسعر'!$C$2:$C$700,MATCH($C4993,'تحليل التكلفة والسعر'!$B$2:$B$700,0)),0))</f>
        <v/>
      </c>
    </row>
    <row r="4994" customFormat="false" ht="15" hidden="false" customHeight="false" outlineLevel="0" collapsed="false">
      <c r="A4994" s="102"/>
      <c r="E4994" s="103" t="str">
        <f aca="false">IF($C4994="","",IFERROR(INDEX(المنيو!$C$2:$C$500,MATCH($C4994,المنيو!$B$2:$B$500,0)),0))</f>
        <v/>
      </c>
      <c r="F4994" s="103" t="str">
        <f aca="false">IF($C4994="","",$D4994*$E4994)</f>
        <v/>
      </c>
      <c r="G4994" s="103" t="str">
        <f aca="false">IF($C4994="","",$D4994*IFERROR(INDEX('تحليل التكلفة والسعر'!$C$2:$C$700,MATCH($C4994,'تحليل التكلفة والسعر'!$B$2:$B$700,0)),0))</f>
        <v/>
      </c>
    </row>
    <row r="4995" customFormat="false" ht="15" hidden="false" customHeight="false" outlineLevel="0" collapsed="false">
      <c r="A4995" s="102"/>
      <c r="E4995" s="103" t="str">
        <f aca="false">IF($C4995="","",IFERROR(INDEX(المنيو!$C$2:$C$500,MATCH($C4995,المنيو!$B$2:$B$500,0)),0))</f>
        <v/>
      </c>
      <c r="F4995" s="103" t="str">
        <f aca="false">IF($C4995="","",$D4995*$E4995)</f>
        <v/>
      </c>
      <c r="G4995" s="103" t="str">
        <f aca="false">IF($C4995="","",$D4995*IFERROR(INDEX('تحليل التكلفة والسعر'!$C$2:$C$700,MATCH($C4995,'تحليل التكلفة والسعر'!$B$2:$B$700,0)),0))</f>
        <v/>
      </c>
    </row>
    <row r="4996" customFormat="false" ht="15" hidden="false" customHeight="false" outlineLevel="0" collapsed="false">
      <c r="A4996" s="102"/>
      <c r="E4996" s="103" t="str">
        <f aca="false">IF($C4996="","",IFERROR(INDEX(المنيو!$C$2:$C$500,MATCH($C4996,المنيو!$B$2:$B$500,0)),0))</f>
        <v/>
      </c>
      <c r="F4996" s="103" t="str">
        <f aca="false">IF($C4996="","",$D4996*$E4996)</f>
        <v/>
      </c>
      <c r="G4996" s="103" t="str">
        <f aca="false">IF($C4996="","",$D4996*IFERROR(INDEX('تحليل التكلفة والسعر'!$C$2:$C$700,MATCH($C4996,'تحليل التكلفة والسعر'!$B$2:$B$700,0)),0))</f>
        <v/>
      </c>
    </row>
    <row r="4997" customFormat="false" ht="15" hidden="false" customHeight="false" outlineLevel="0" collapsed="false">
      <c r="A4997" s="102"/>
      <c r="E4997" s="103" t="str">
        <f aca="false">IF($C4997="","",IFERROR(INDEX(المنيو!$C$2:$C$500,MATCH($C4997,المنيو!$B$2:$B$500,0)),0))</f>
        <v/>
      </c>
      <c r="F4997" s="103" t="str">
        <f aca="false">IF($C4997="","",$D4997*$E4997)</f>
        <v/>
      </c>
      <c r="G4997" s="103" t="str">
        <f aca="false">IF($C4997="","",$D4997*IFERROR(INDEX('تحليل التكلفة والسعر'!$C$2:$C$700,MATCH($C4997,'تحليل التكلفة والسعر'!$B$2:$B$700,0)),0))</f>
        <v/>
      </c>
    </row>
    <row r="4998" customFormat="false" ht="15" hidden="false" customHeight="false" outlineLevel="0" collapsed="false">
      <c r="A4998" s="102"/>
      <c r="E4998" s="103" t="str">
        <f aca="false">IF($C4998="","",IFERROR(INDEX(المنيو!$C$2:$C$500,MATCH($C4998,المنيو!$B$2:$B$500,0)),0))</f>
        <v/>
      </c>
      <c r="F4998" s="103" t="str">
        <f aca="false">IF($C4998="","",$D4998*$E4998)</f>
        <v/>
      </c>
      <c r="G4998" s="103" t="str">
        <f aca="false">IF($C4998="","",$D4998*IFERROR(INDEX('تحليل التكلفة والسعر'!$C$2:$C$700,MATCH($C4998,'تحليل التكلفة والسعر'!$B$2:$B$700,0)),0))</f>
        <v/>
      </c>
    </row>
    <row r="4999" customFormat="false" ht="15" hidden="false" customHeight="false" outlineLevel="0" collapsed="false">
      <c r="A4999" s="102"/>
      <c r="E4999" s="103" t="str">
        <f aca="false">IF($C4999="","",IFERROR(INDEX(المنيو!$C$2:$C$500,MATCH($C4999,المنيو!$B$2:$B$500,0)),0))</f>
        <v/>
      </c>
      <c r="F4999" s="103" t="str">
        <f aca="false">IF($C4999="","",$D4999*$E4999)</f>
        <v/>
      </c>
      <c r="G4999" s="103" t="str">
        <f aca="false">IF($C4999="","",$D4999*IFERROR(INDEX('تحليل التكلفة والسعر'!$C$2:$C$700,MATCH($C4999,'تحليل التكلفة والسعر'!$B$2:$B$700,0)),0))</f>
        <v/>
      </c>
    </row>
    <row r="5000" customFormat="false" ht="15" hidden="false" customHeight="false" outlineLevel="0" collapsed="false">
      <c r="A5000" s="102"/>
      <c r="E5000" s="103" t="str">
        <f aca="false">IF($C5000="","",IFERROR(INDEX(المنيو!$C$2:$C$500,MATCH($C5000,المنيو!$B$2:$B$500,0)),0))</f>
        <v/>
      </c>
      <c r="F5000" s="103" t="str">
        <f aca="false">IF($C5000="","",$D5000*$E5000)</f>
        <v/>
      </c>
      <c r="G5000" s="103" t="str">
        <f aca="false">IF($C5000="","",$D5000*IFERROR(INDEX('تحليل التكلفة والسعر'!$C$2:$C$700,MATCH($C5000,'تحليل التكلفة والسعر'!$B$2:$B$700,0)),0))</f>
        <v/>
      </c>
    </row>
    <row r="5001" customFormat="false" ht="15" hidden="false" customHeight="false" outlineLevel="0" collapsed="false">
      <c r="A5001" s="102"/>
      <c r="E5001" s="103" t="str">
        <f aca="false">IF($C5001="","",IFERROR(INDEX(المنيو!$C$2:$C$500,MATCH($C5001,المنيو!$B$2:$B$500,0)),0))</f>
        <v/>
      </c>
      <c r="F5001" s="103" t="str">
        <f aca="false">IF($C5001="","",$D5001*$E5001)</f>
        <v/>
      </c>
      <c r="G5001" s="103" t="str">
        <f aca="false">IF($C5001="","",$D5001*IFERROR(INDEX('تحليل التكلفة والسعر'!$C$2:$C$700,MATCH($C5001,'تحليل التكلفة والسعر'!$B$2:$B$700,0)),0))</f>
        <v/>
      </c>
    </row>
    <row r="5002" customFormat="false" ht="15" hidden="false" customHeight="false" outlineLevel="0" collapsed="false">
      <c r="A5002" s="102"/>
      <c r="E5002" s="103" t="str">
        <f aca="false">IF($C5002="","",IFERROR(INDEX(المنيو!$C$2:$C$500,MATCH($C5002,المنيو!$B$2:$B$500,0)),0))</f>
        <v/>
      </c>
      <c r="F5002" s="103" t="str">
        <f aca="false">IF($C5002="","",$D5002*$E5002)</f>
        <v/>
      </c>
      <c r="G5002" s="103" t="str">
        <f aca="false">IF($C5002="","",$D5002*IFERROR(INDEX('تحليل التكلفة والسعر'!$C$2:$C$700,MATCH($C5002,'تحليل التكلفة والسعر'!$B$2:$B$700,0)),0))</f>
        <v/>
      </c>
    </row>
    <row r="5003" customFormat="false" ht="15" hidden="false" customHeight="false" outlineLevel="0" collapsed="false">
      <c r="A5003" s="102"/>
      <c r="E5003" s="103" t="str">
        <f aca="false">IF($C5003="","",IFERROR(INDEX(المنيو!$C$2:$C$500,MATCH($C5003,المنيو!$B$2:$B$500,0)),0))</f>
        <v/>
      </c>
      <c r="F5003" s="103" t="str">
        <f aca="false">IF($C5003="","",$D5003*$E5003)</f>
        <v/>
      </c>
      <c r="G5003" s="103" t="str">
        <f aca="false">IF($C5003="","",$D5003*IFERROR(INDEX('تحليل التكلفة والسعر'!$C$2:$C$700,MATCH($C5003,'تحليل التكلفة والسعر'!$B$2:$B$700,0)),0))</f>
        <v/>
      </c>
    </row>
    <row r="5004" customFormat="false" ht="15" hidden="false" customHeight="false" outlineLevel="0" collapsed="false">
      <c r="A5004" s="102"/>
      <c r="E5004" s="103" t="str">
        <f aca="false">IF($C5004="","",IFERROR(INDEX(المنيو!$C$2:$C$500,MATCH($C5004,المنيو!$B$2:$B$500,0)),0))</f>
        <v/>
      </c>
      <c r="F5004" s="103" t="str">
        <f aca="false">IF($C5004="","",$D5004*$E5004)</f>
        <v/>
      </c>
      <c r="G5004" s="103" t="str">
        <f aca="false">IF($C5004="","",$D5004*IFERROR(INDEX('تحليل التكلفة والسعر'!$C$2:$C$700,MATCH($C5004,'تحليل التكلفة والسعر'!$B$2:$B$700,0)),0))</f>
        <v/>
      </c>
    </row>
    <row r="5005" customFormat="false" ht="15" hidden="false" customHeight="false" outlineLevel="0" collapsed="false">
      <c r="A5005" s="102"/>
      <c r="E5005" s="103" t="str">
        <f aca="false">IF($C5005="","",IFERROR(INDEX(المنيو!$C$2:$C$500,MATCH($C5005,المنيو!$B$2:$B$500,0)),0))</f>
        <v/>
      </c>
      <c r="F5005" s="103" t="str">
        <f aca="false">IF($C5005="","",$D5005*$E5005)</f>
        <v/>
      </c>
      <c r="G5005" s="103" t="str">
        <f aca="false">IF($C5005="","",$D5005*IFERROR(INDEX('تحليل التكلفة والسعر'!$C$2:$C$700,MATCH($C5005,'تحليل التكلفة والسعر'!$B$2:$B$700,0)),0))</f>
        <v/>
      </c>
    </row>
    <row r="5006" customFormat="false" ht="15" hidden="false" customHeight="false" outlineLevel="0" collapsed="false">
      <c r="A5006" s="102"/>
      <c r="E5006" s="103" t="str">
        <f aca="false">IF($C5006="","",IFERROR(INDEX(المنيو!$C$2:$C$500,MATCH($C5006,المنيو!$B$2:$B$500,0)),0))</f>
        <v/>
      </c>
      <c r="F5006" s="103" t="str">
        <f aca="false">IF($C5006="","",$D5006*$E5006)</f>
        <v/>
      </c>
      <c r="G5006" s="103" t="str">
        <f aca="false">IF($C5006="","",$D5006*IFERROR(INDEX('تحليل التكلفة والسعر'!$C$2:$C$700,MATCH($C5006,'تحليل التكلفة والسعر'!$B$2:$B$700,0)),0))</f>
        <v/>
      </c>
    </row>
    <row r="5007" customFormat="false" ht="15" hidden="false" customHeight="false" outlineLevel="0" collapsed="false">
      <c r="A5007" s="102"/>
      <c r="E5007" s="103" t="str">
        <f aca="false">IF($C5007="","",IFERROR(INDEX(المنيو!$C$2:$C$500,MATCH($C5007,المنيو!$B$2:$B$500,0)),0))</f>
        <v/>
      </c>
      <c r="F5007" s="103" t="str">
        <f aca="false">IF($C5007="","",$D5007*$E5007)</f>
        <v/>
      </c>
      <c r="G5007" s="103" t="str">
        <f aca="false">IF($C5007="","",$D5007*IFERROR(INDEX('تحليل التكلفة والسعر'!$C$2:$C$700,MATCH($C5007,'تحليل التكلفة والسعر'!$B$2:$B$700,0)),0))</f>
        <v/>
      </c>
    </row>
    <row r="5008" customFormat="false" ht="15" hidden="false" customHeight="false" outlineLevel="0" collapsed="false">
      <c r="A5008" s="102"/>
      <c r="E5008" s="103" t="str">
        <f aca="false">IF($C5008="","",IFERROR(INDEX(المنيو!$C$2:$C$500,MATCH($C5008,المنيو!$B$2:$B$500,0)),0))</f>
        <v/>
      </c>
      <c r="F5008" s="103" t="str">
        <f aca="false">IF($C5008="","",$D5008*$E5008)</f>
        <v/>
      </c>
      <c r="G5008" s="103" t="str">
        <f aca="false">IF($C5008="","",$D5008*IFERROR(INDEX('تحليل التكلفة والسعر'!$C$2:$C$700,MATCH($C5008,'تحليل التكلفة والسعر'!$B$2:$B$700,0)),0))</f>
        <v/>
      </c>
    </row>
    <row r="5009" customFormat="false" ht="15" hidden="false" customHeight="false" outlineLevel="0" collapsed="false">
      <c r="A5009" s="102"/>
      <c r="E5009" s="103" t="str">
        <f aca="false">IF($C5009="","",IFERROR(INDEX(المنيو!$C$2:$C$500,MATCH($C5009,المنيو!$B$2:$B$500,0)),0))</f>
        <v/>
      </c>
      <c r="F5009" s="103" t="str">
        <f aca="false">IF($C5009="","",$D5009*$E5009)</f>
        <v/>
      </c>
      <c r="G5009" s="103" t="str">
        <f aca="false">IF($C5009="","",$D5009*IFERROR(INDEX('تحليل التكلفة والسعر'!$C$2:$C$700,MATCH($C5009,'تحليل التكلفة والسعر'!$B$2:$B$700,0)),0))</f>
        <v/>
      </c>
    </row>
    <row r="5010" customFormat="false" ht="15" hidden="false" customHeight="false" outlineLevel="0" collapsed="false">
      <c r="A5010" s="102"/>
      <c r="E5010" s="103" t="str">
        <f aca="false">IF($C5010="","",IFERROR(INDEX(المنيو!$C$2:$C$500,MATCH($C5010,المنيو!$B$2:$B$500,0)),0))</f>
        <v/>
      </c>
      <c r="F5010" s="103" t="str">
        <f aca="false">IF($C5010="","",$D5010*$E5010)</f>
        <v/>
      </c>
      <c r="G5010" s="103" t="str">
        <f aca="false">IF($C5010="","",$D5010*IFERROR(INDEX('تحليل التكلفة والسعر'!$C$2:$C$700,MATCH($C5010,'تحليل التكلفة والسعر'!$B$2:$B$700,0)),0))</f>
        <v/>
      </c>
    </row>
    <row r="5011" customFormat="false" ht="15" hidden="false" customHeight="false" outlineLevel="0" collapsed="false">
      <c r="A5011" s="102"/>
      <c r="E5011" s="103" t="str">
        <f aca="false">IF($C5011="","",IFERROR(INDEX(المنيو!$C$2:$C$500,MATCH($C5011,المنيو!$B$2:$B$500,0)),0))</f>
        <v/>
      </c>
      <c r="F5011" s="103" t="str">
        <f aca="false">IF($C5011="","",$D5011*$E5011)</f>
        <v/>
      </c>
      <c r="G5011" s="103" t="str">
        <f aca="false">IF($C5011="","",$D5011*IFERROR(INDEX('تحليل التكلفة والسعر'!$C$2:$C$700,MATCH($C5011,'تحليل التكلفة والسعر'!$B$2:$B$700,0)),0))</f>
        <v/>
      </c>
    </row>
    <row r="5012" customFormat="false" ht="15" hidden="false" customHeight="false" outlineLevel="0" collapsed="false">
      <c r="A5012" s="102"/>
      <c r="E5012" s="103" t="str">
        <f aca="false">IF($C5012="","",IFERROR(INDEX(المنيو!$C$2:$C$500,MATCH($C5012,المنيو!$B$2:$B$500,0)),0))</f>
        <v/>
      </c>
      <c r="F5012" s="103" t="str">
        <f aca="false">IF($C5012="","",$D5012*$E5012)</f>
        <v/>
      </c>
      <c r="G5012" s="103" t="str">
        <f aca="false">IF($C5012="","",$D5012*IFERROR(INDEX('تحليل التكلفة والسعر'!$C$2:$C$700,MATCH($C5012,'تحليل التكلفة والسعر'!$B$2:$B$700,0)),0))</f>
        <v/>
      </c>
    </row>
    <row r="5013" customFormat="false" ht="15" hidden="false" customHeight="false" outlineLevel="0" collapsed="false">
      <c r="A5013" s="102"/>
      <c r="E5013" s="103" t="str">
        <f aca="false">IF($C5013="","",IFERROR(INDEX(المنيو!$C$2:$C$500,MATCH($C5013,المنيو!$B$2:$B$500,0)),0))</f>
        <v/>
      </c>
      <c r="F5013" s="103" t="str">
        <f aca="false">IF($C5013="","",$D5013*$E5013)</f>
        <v/>
      </c>
      <c r="G5013" s="103" t="str">
        <f aca="false">IF($C5013="","",$D5013*IFERROR(INDEX('تحليل التكلفة والسعر'!$C$2:$C$700,MATCH($C5013,'تحليل التكلفة والسعر'!$B$2:$B$700,0)),0))</f>
        <v/>
      </c>
    </row>
    <row r="5014" customFormat="false" ht="15" hidden="false" customHeight="false" outlineLevel="0" collapsed="false">
      <c r="A5014" s="102"/>
      <c r="E5014" s="103" t="str">
        <f aca="false">IF($C5014="","",IFERROR(INDEX(المنيو!$C$2:$C$500,MATCH($C5014,المنيو!$B$2:$B$500,0)),0))</f>
        <v/>
      </c>
      <c r="F5014" s="103" t="str">
        <f aca="false">IF($C5014="","",$D5014*$E5014)</f>
        <v/>
      </c>
      <c r="G5014" s="103" t="str">
        <f aca="false">IF($C5014="","",$D5014*IFERROR(INDEX('تحليل التكلفة والسعر'!$C$2:$C$700,MATCH($C5014,'تحليل التكلفة والسعر'!$B$2:$B$700,0)),0))</f>
        <v/>
      </c>
    </row>
    <row r="5015" customFormat="false" ht="15" hidden="false" customHeight="false" outlineLevel="0" collapsed="false">
      <c r="A5015" s="102"/>
      <c r="E5015" s="103" t="str">
        <f aca="false">IF($C5015="","",IFERROR(INDEX(المنيو!$C$2:$C$500,MATCH($C5015,المنيو!$B$2:$B$500,0)),0))</f>
        <v/>
      </c>
      <c r="F5015" s="103" t="str">
        <f aca="false">IF($C5015="","",$D5015*$E5015)</f>
        <v/>
      </c>
      <c r="G5015" s="103" t="str">
        <f aca="false">IF($C5015="","",$D5015*IFERROR(INDEX('تحليل التكلفة والسعر'!$C$2:$C$700,MATCH($C5015,'تحليل التكلفة والسعر'!$B$2:$B$700,0)),0))</f>
        <v/>
      </c>
    </row>
    <row r="5016" customFormat="false" ht="15" hidden="false" customHeight="false" outlineLevel="0" collapsed="false">
      <c r="A5016" s="102"/>
      <c r="E5016" s="103" t="str">
        <f aca="false">IF($C5016="","",IFERROR(INDEX(المنيو!$C$2:$C$500,MATCH($C5016,المنيو!$B$2:$B$500,0)),0))</f>
        <v/>
      </c>
      <c r="F5016" s="103" t="str">
        <f aca="false">IF($C5016="","",$D5016*$E5016)</f>
        <v/>
      </c>
      <c r="G5016" s="103" t="str">
        <f aca="false">IF($C5016="","",$D5016*IFERROR(INDEX('تحليل التكلفة والسعر'!$C$2:$C$700,MATCH($C5016,'تحليل التكلفة والسعر'!$B$2:$B$700,0)),0))</f>
        <v/>
      </c>
    </row>
    <row r="5017" customFormat="false" ht="15" hidden="false" customHeight="false" outlineLevel="0" collapsed="false">
      <c r="A5017" s="102"/>
      <c r="E5017" s="103" t="str">
        <f aca="false">IF($C5017="","",IFERROR(INDEX(المنيو!$C$2:$C$500,MATCH($C5017,المنيو!$B$2:$B$500,0)),0))</f>
        <v/>
      </c>
      <c r="F5017" s="103" t="str">
        <f aca="false">IF($C5017="","",$D5017*$E5017)</f>
        <v/>
      </c>
      <c r="G5017" s="103" t="str">
        <f aca="false">IF($C5017="","",$D5017*IFERROR(INDEX('تحليل التكلفة والسعر'!$C$2:$C$700,MATCH($C5017,'تحليل التكلفة والسعر'!$B$2:$B$700,0)),0))</f>
        <v/>
      </c>
    </row>
    <row r="5018" customFormat="false" ht="15" hidden="false" customHeight="false" outlineLevel="0" collapsed="false">
      <c r="A5018" s="102"/>
      <c r="E5018" s="103" t="str">
        <f aca="false">IF($C5018="","",IFERROR(INDEX(المنيو!$C$2:$C$500,MATCH($C5018,المنيو!$B$2:$B$500,0)),0))</f>
        <v/>
      </c>
      <c r="F5018" s="103" t="str">
        <f aca="false">IF($C5018="","",$D5018*$E5018)</f>
        <v/>
      </c>
      <c r="G5018" s="103" t="str">
        <f aca="false">IF($C5018="","",$D5018*IFERROR(INDEX('تحليل التكلفة والسعر'!$C$2:$C$700,MATCH($C5018,'تحليل التكلفة والسعر'!$B$2:$B$700,0)),0))</f>
        <v/>
      </c>
    </row>
    <row r="5019" customFormat="false" ht="15" hidden="false" customHeight="false" outlineLevel="0" collapsed="false">
      <c r="A5019" s="102"/>
      <c r="E5019" s="103" t="str">
        <f aca="false">IF($C5019="","",IFERROR(INDEX(المنيو!$C$2:$C$500,MATCH($C5019,المنيو!$B$2:$B$500,0)),0))</f>
        <v/>
      </c>
      <c r="F5019" s="103" t="str">
        <f aca="false">IF($C5019="","",$D5019*$E5019)</f>
        <v/>
      </c>
      <c r="G5019" s="103" t="str">
        <f aca="false">IF($C5019="","",$D5019*IFERROR(INDEX('تحليل التكلفة والسعر'!$C$2:$C$700,MATCH($C5019,'تحليل التكلفة والسعر'!$B$2:$B$700,0)),0))</f>
        <v/>
      </c>
    </row>
    <row r="5020" customFormat="false" ht="15" hidden="false" customHeight="false" outlineLevel="0" collapsed="false">
      <c r="A5020" s="102"/>
      <c r="E5020" s="103" t="str">
        <f aca="false">IF($C5020="","",IFERROR(INDEX(المنيو!$C$2:$C$500,MATCH($C5020,المنيو!$B$2:$B$500,0)),0))</f>
        <v/>
      </c>
      <c r="F5020" s="103" t="str">
        <f aca="false">IF($C5020="","",$D5020*$E5020)</f>
        <v/>
      </c>
      <c r="G5020" s="103" t="str">
        <f aca="false">IF($C5020="","",$D5020*IFERROR(INDEX('تحليل التكلفة والسعر'!$C$2:$C$700,MATCH($C5020,'تحليل التكلفة والسعر'!$B$2:$B$700,0)),0))</f>
        <v/>
      </c>
    </row>
    <row r="5021" customFormat="false" ht="15" hidden="false" customHeight="false" outlineLevel="0" collapsed="false">
      <c r="A5021" s="102"/>
      <c r="E5021" s="103" t="str">
        <f aca="false">IF($C5021="","",IFERROR(INDEX(المنيو!$C$2:$C$500,MATCH($C5021,المنيو!$B$2:$B$500,0)),0))</f>
        <v/>
      </c>
      <c r="F5021" s="103" t="str">
        <f aca="false">IF($C5021="","",$D5021*$E5021)</f>
        <v/>
      </c>
      <c r="G5021" s="103" t="str">
        <f aca="false">IF($C5021="","",$D5021*IFERROR(INDEX('تحليل التكلفة والسعر'!$C$2:$C$700,MATCH($C5021,'تحليل التكلفة والسعر'!$B$2:$B$700,0)),0))</f>
        <v/>
      </c>
    </row>
    <row r="5022" customFormat="false" ht="15" hidden="false" customHeight="false" outlineLevel="0" collapsed="false">
      <c r="A5022" s="102"/>
      <c r="E5022" s="103" t="str">
        <f aca="false">IF($C5022="","",IFERROR(INDEX(المنيو!$C$2:$C$500,MATCH($C5022,المنيو!$B$2:$B$500,0)),0))</f>
        <v/>
      </c>
      <c r="F5022" s="103" t="str">
        <f aca="false">IF($C5022="","",$D5022*$E5022)</f>
        <v/>
      </c>
      <c r="G5022" s="103" t="str">
        <f aca="false">IF($C5022="","",$D5022*IFERROR(INDEX('تحليل التكلفة والسعر'!$C$2:$C$700,MATCH($C5022,'تحليل التكلفة والسعر'!$B$2:$B$700,0)),0))</f>
        <v/>
      </c>
    </row>
    <row r="5023" customFormat="false" ht="15" hidden="false" customHeight="false" outlineLevel="0" collapsed="false">
      <c r="A5023" s="102"/>
      <c r="E5023" s="103" t="str">
        <f aca="false">IF($C5023="","",IFERROR(INDEX(المنيو!$C$2:$C$500,MATCH($C5023,المنيو!$B$2:$B$500,0)),0))</f>
        <v/>
      </c>
      <c r="F5023" s="103" t="str">
        <f aca="false">IF($C5023="","",$D5023*$E5023)</f>
        <v/>
      </c>
      <c r="G5023" s="103" t="str">
        <f aca="false">IF($C5023="","",$D5023*IFERROR(INDEX('تحليل التكلفة والسعر'!$C$2:$C$700,MATCH($C5023,'تحليل التكلفة والسعر'!$B$2:$B$700,0)),0))</f>
        <v/>
      </c>
    </row>
    <row r="5024" customFormat="false" ht="15" hidden="false" customHeight="false" outlineLevel="0" collapsed="false">
      <c r="A5024" s="102"/>
      <c r="E5024" s="103" t="str">
        <f aca="false">IF($C5024="","",IFERROR(INDEX(المنيو!$C$2:$C$500,MATCH($C5024,المنيو!$B$2:$B$500,0)),0))</f>
        <v/>
      </c>
      <c r="F5024" s="103" t="str">
        <f aca="false">IF($C5024="","",$D5024*$E5024)</f>
        <v/>
      </c>
      <c r="G5024" s="103" t="str">
        <f aca="false">IF($C5024="","",$D5024*IFERROR(INDEX('تحليل التكلفة والسعر'!$C$2:$C$700,MATCH($C5024,'تحليل التكلفة والسعر'!$B$2:$B$700,0)),0))</f>
        <v/>
      </c>
    </row>
    <row r="5025" customFormat="false" ht="15" hidden="false" customHeight="false" outlineLevel="0" collapsed="false">
      <c r="A5025" s="102"/>
      <c r="E5025" s="103" t="str">
        <f aca="false">IF($C5025="","",IFERROR(INDEX(المنيو!$C$2:$C$500,MATCH($C5025,المنيو!$B$2:$B$500,0)),0))</f>
        <v/>
      </c>
      <c r="F5025" s="103" t="str">
        <f aca="false">IF($C5025="","",$D5025*$E5025)</f>
        <v/>
      </c>
      <c r="G5025" s="103" t="str">
        <f aca="false">IF($C5025="","",$D5025*IFERROR(INDEX('تحليل التكلفة والسعر'!$C$2:$C$700,MATCH($C5025,'تحليل التكلفة والسعر'!$B$2:$B$700,0)),0))</f>
        <v/>
      </c>
    </row>
    <row r="5026" customFormat="false" ht="15" hidden="false" customHeight="false" outlineLevel="0" collapsed="false">
      <c r="A5026" s="102"/>
      <c r="E5026" s="103" t="str">
        <f aca="false">IF($C5026="","",IFERROR(INDEX(المنيو!$C$2:$C$500,MATCH($C5026,المنيو!$B$2:$B$500,0)),0))</f>
        <v/>
      </c>
      <c r="F5026" s="103" t="str">
        <f aca="false">IF($C5026="","",$D5026*$E5026)</f>
        <v/>
      </c>
      <c r="G5026" s="103" t="str">
        <f aca="false">IF($C5026="","",$D5026*IFERROR(INDEX('تحليل التكلفة والسعر'!$C$2:$C$700,MATCH($C5026,'تحليل التكلفة والسعر'!$B$2:$B$700,0)),0))</f>
        <v/>
      </c>
    </row>
    <row r="5027" customFormat="false" ht="15" hidden="false" customHeight="false" outlineLevel="0" collapsed="false">
      <c r="A5027" s="102"/>
      <c r="E5027" s="103" t="str">
        <f aca="false">IF($C5027="","",IFERROR(INDEX(المنيو!$C$2:$C$500,MATCH($C5027,المنيو!$B$2:$B$500,0)),0))</f>
        <v/>
      </c>
      <c r="F5027" s="103" t="str">
        <f aca="false">IF($C5027="","",$D5027*$E5027)</f>
        <v/>
      </c>
      <c r="G5027" s="103" t="str">
        <f aca="false">IF($C5027="","",$D5027*IFERROR(INDEX('تحليل التكلفة والسعر'!$C$2:$C$700,MATCH($C5027,'تحليل التكلفة والسعر'!$B$2:$B$700,0)),0))</f>
        <v/>
      </c>
    </row>
    <row r="5028" customFormat="false" ht="15" hidden="false" customHeight="false" outlineLevel="0" collapsed="false">
      <c r="A5028" s="102"/>
      <c r="E5028" s="103" t="str">
        <f aca="false">IF($C5028="","",IFERROR(INDEX(المنيو!$C$2:$C$500,MATCH($C5028,المنيو!$B$2:$B$500,0)),0))</f>
        <v/>
      </c>
      <c r="F5028" s="103" t="str">
        <f aca="false">IF($C5028="","",$D5028*$E5028)</f>
        <v/>
      </c>
      <c r="G5028" s="103" t="str">
        <f aca="false">IF($C5028="","",$D5028*IFERROR(INDEX('تحليل التكلفة والسعر'!$C$2:$C$700,MATCH($C5028,'تحليل التكلفة والسعر'!$B$2:$B$700,0)),0))</f>
        <v/>
      </c>
    </row>
    <row r="5029" customFormat="false" ht="15" hidden="false" customHeight="false" outlineLevel="0" collapsed="false">
      <c r="A5029" s="102"/>
      <c r="E5029" s="103" t="str">
        <f aca="false">IF($C5029="","",IFERROR(INDEX(المنيو!$C$2:$C$500,MATCH($C5029,المنيو!$B$2:$B$500,0)),0))</f>
        <v/>
      </c>
      <c r="F5029" s="103" t="str">
        <f aca="false">IF($C5029="","",$D5029*$E5029)</f>
        <v/>
      </c>
      <c r="G5029" s="103" t="str">
        <f aca="false">IF($C5029="","",$D5029*IFERROR(INDEX('تحليل التكلفة والسعر'!$C$2:$C$700,MATCH($C5029,'تحليل التكلفة والسعر'!$B$2:$B$700,0)),0))</f>
        <v/>
      </c>
    </row>
    <row r="5030" customFormat="false" ht="15" hidden="false" customHeight="false" outlineLevel="0" collapsed="false">
      <c r="A5030" s="102"/>
      <c r="E5030" s="103" t="str">
        <f aca="false">IF($C5030="","",IFERROR(INDEX(المنيو!$C$2:$C$500,MATCH($C5030,المنيو!$B$2:$B$500,0)),0))</f>
        <v/>
      </c>
      <c r="F5030" s="103" t="str">
        <f aca="false">IF($C5030="","",$D5030*$E5030)</f>
        <v/>
      </c>
      <c r="G5030" s="103" t="str">
        <f aca="false">IF($C5030="","",$D5030*IFERROR(INDEX('تحليل التكلفة والسعر'!$C$2:$C$700,MATCH($C5030,'تحليل التكلفة والسعر'!$B$2:$B$700,0)),0))</f>
        <v/>
      </c>
    </row>
    <row r="5031" customFormat="false" ht="15" hidden="false" customHeight="false" outlineLevel="0" collapsed="false">
      <c r="A5031" s="102"/>
      <c r="E5031" s="103" t="str">
        <f aca="false">IF($C5031="","",IFERROR(INDEX(المنيو!$C$2:$C$500,MATCH($C5031,المنيو!$B$2:$B$500,0)),0))</f>
        <v/>
      </c>
      <c r="F5031" s="103" t="str">
        <f aca="false">IF($C5031="","",$D5031*$E5031)</f>
        <v/>
      </c>
      <c r="G5031" s="103" t="str">
        <f aca="false">IF($C5031="","",$D5031*IFERROR(INDEX('تحليل التكلفة والسعر'!$C$2:$C$700,MATCH($C5031,'تحليل التكلفة والسعر'!$B$2:$B$700,0)),0))</f>
        <v/>
      </c>
    </row>
    <row r="5032" customFormat="false" ht="15" hidden="false" customHeight="false" outlineLevel="0" collapsed="false">
      <c r="A5032" s="102"/>
      <c r="E5032" s="103" t="str">
        <f aca="false">IF($C5032="","",IFERROR(INDEX(المنيو!$C$2:$C$500,MATCH($C5032,المنيو!$B$2:$B$500,0)),0))</f>
        <v/>
      </c>
      <c r="F5032" s="103" t="str">
        <f aca="false">IF($C5032="","",$D5032*$E5032)</f>
        <v/>
      </c>
      <c r="G5032" s="103" t="str">
        <f aca="false">IF($C5032="","",$D5032*IFERROR(INDEX('تحليل التكلفة والسعر'!$C$2:$C$700,MATCH($C5032,'تحليل التكلفة والسعر'!$B$2:$B$700,0)),0))</f>
        <v/>
      </c>
    </row>
    <row r="5033" customFormat="false" ht="15" hidden="false" customHeight="false" outlineLevel="0" collapsed="false">
      <c r="A5033" s="102"/>
      <c r="E5033" s="103" t="str">
        <f aca="false">IF($C5033="","",IFERROR(INDEX(المنيو!$C$2:$C$500,MATCH($C5033,المنيو!$B$2:$B$500,0)),0))</f>
        <v/>
      </c>
      <c r="F5033" s="103" t="str">
        <f aca="false">IF($C5033="","",$D5033*$E5033)</f>
        <v/>
      </c>
      <c r="G5033" s="103" t="str">
        <f aca="false">IF($C5033="","",$D5033*IFERROR(INDEX('تحليل التكلفة والسعر'!$C$2:$C$700,MATCH($C5033,'تحليل التكلفة والسعر'!$B$2:$B$700,0)),0))</f>
        <v/>
      </c>
    </row>
    <row r="5034" customFormat="false" ht="15" hidden="false" customHeight="false" outlineLevel="0" collapsed="false">
      <c r="A5034" s="102"/>
      <c r="E5034" s="103" t="str">
        <f aca="false">IF($C5034="","",IFERROR(INDEX(المنيو!$C$2:$C$500,MATCH($C5034,المنيو!$B$2:$B$500,0)),0))</f>
        <v/>
      </c>
      <c r="F5034" s="103" t="str">
        <f aca="false">IF($C5034="","",$D5034*$E5034)</f>
        <v/>
      </c>
      <c r="G5034" s="103" t="str">
        <f aca="false">IF($C5034="","",$D5034*IFERROR(INDEX('تحليل التكلفة والسعر'!$C$2:$C$700,MATCH($C5034,'تحليل التكلفة والسعر'!$B$2:$B$700,0)),0))</f>
        <v/>
      </c>
    </row>
    <row r="5035" customFormat="false" ht="15" hidden="false" customHeight="false" outlineLevel="0" collapsed="false">
      <c r="A5035" s="102"/>
      <c r="E5035" s="103" t="str">
        <f aca="false">IF($C5035="","",IFERROR(INDEX(المنيو!$C$2:$C$500,MATCH($C5035,المنيو!$B$2:$B$500,0)),0))</f>
        <v/>
      </c>
      <c r="F5035" s="103" t="str">
        <f aca="false">IF($C5035="","",$D5035*$E5035)</f>
        <v/>
      </c>
      <c r="G5035" s="103" t="str">
        <f aca="false">IF($C5035="","",$D5035*IFERROR(INDEX('تحليل التكلفة والسعر'!$C$2:$C$700,MATCH($C5035,'تحليل التكلفة والسعر'!$B$2:$B$700,0)),0))</f>
        <v/>
      </c>
    </row>
    <row r="5036" customFormat="false" ht="15" hidden="false" customHeight="false" outlineLevel="0" collapsed="false">
      <c r="A5036" s="102"/>
      <c r="E5036" s="103" t="str">
        <f aca="false">IF($C5036="","",IFERROR(INDEX(المنيو!$C$2:$C$500,MATCH($C5036,المنيو!$B$2:$B$500,0)),0))</f>
        <v/>
      </c>
      <c r="F5036" s="103" t="str">
        <f aca="false">IF($C5036="","",$D5036*$E5036)</f>
        <v/>
      </c>
      <c r="G5036" s="103" t="str">
        <f aca="false">IF($C5036="","",$D5036*IFERROR(INDEX('تحليل التكلفة والسعر'!$C$2:$C$700,MATCH($C5036,'تحليل التكلفة والسعر'!$B$2:$B$700,0)),0))</f>
        <v/>
      </c>
    </row>
    <row r="5037" customFormat="false" ht="15" hidden="false" customHeight="false" outlineLevel="0" collapsed="false">
      <c r="A5037" s="102"/>
      <c r="E5037" s="103" t="str">
        <f aca="false">IF($C5037="","",IFERROR(INDEX(المنيو!$C$2:$C$500,MATCH($C5037,المنيو!$B$2:$B$500,0)),0))</f>
        <v/>
      </c>
      <c r="F5037" s="103" t="str">
        <f aca="false">IF($C5037="","",$D5037*$E5037)</f>
        <v/>
      </c>
      <c r="G5037" s="103" t="str">
        <f aca="false">IF($C5037="","",$D5037*IFERROR(INDEX('تحليل التكلفة والسعر'!$C$2:$C$700,MATCH($C5037,'تحليل التكلفة والسعر'!$B$2:$B$700,0)),0))</f>
        <v/>
      </c>
    </row>
    <row r="5038" customFormat="false" ht="15" hidden="false" customHeight="false" outlineLevel="0" collapsed="false">
      <c r="A5038" s="102"/>
      <c r="E5038" s="103" t="str">
        <f aca="false">IF($C5038="","",IFERROR(INDEX(المنيو!$C$2:$C$500,MATCH($C5038,المنيو!$B$2:$B$500,0)),0))</f>
        <v/>
      </c>
      <c r="F5038" s="103" t="str">
        <f aca="false">IF($C5038="","",$D5038*$E5038)</f>
        <v/>
      </c>
      <c r="G5038" s="103" t="str">
        <f aca="false">IF($C5038="","",$D5038*IFERROR(INDEX('تحليل التكلفة والسعر'!$C$2:$C$700,MATCH($C5038,'تحليل التكلفة والسعر'!$B$2:$B$700,0)),0))</f>
        <v/>
      </c>
    </row>
    <row r="5039" customFormat="false" ht="15" hidden="false" customHeight="false" outlineLevel="0" collapsed="false">
      <c r="A5039" s="102"/>
      <c r="E5039" s="103" t="str">
        <f aca="false">IF($C5039="","",IFERROR(INDEX(المنيو!$C$2:$C$500,MATCH($C5039,المنيو!$B$2:$B$500,0)),0))</f>
        <v/>
      </c>
      <c r="F5039" s="103" t="str">
        <f aca="false">IF($C5039="","",$D5039*$E5039)</f>
        <v/>
      </c>
      <c r="G5039" s="103" t="str">
        <f aca="false">IF($C5039="","",$D5039*IFERROR(INDEX('تحليل التكلفة والسعر'!$C$2:$C$700,MATCH($C5039,'تحليل التكلفة والسعر'!$B$2:$B$700,0)),0))</f>
        <v/>
      </c>
    </row>
    <row r="5040" customFormat="false" ht="15" hidden="false" customHeight="false" outlineLevel="0" collapsed="false">
      <c r="A5040" s="102"/>
      <c r="E5040" s="103" t="str">
        <f aca="false">IF($C5040="","",IFERROR(INDEX(المنيو!$C$2:$C$500,MATCH($C5040,المنيو!$B$2:$B$500,0)),0))</f>
        <v/>
      </c>
      <c r="F5040" s="103" t="str">
        <f aca="false">IF($C5040="","",$D5040*$E5040)</f>
        <v/>
      </c>
      <c r="G5040" s="103" t="str">
        <f aca="false">IF($C5040="","",$D5040*IFERROR(INDEX('تحليل التكلفة والسعر'!$C$2:$C$700,MATCH($C5040,'تحليل التكلفة والسعر'!$B$2:$B$700,0)),0))</f>
        <v/>
      </c>
    </row>
    <row r="5041" customFormat="false" ht="15" hidden="false" customHeight="false" outlineLevel="0" collapsed="false">
      <c r="A5041" s="102"/>
      <c r="E5041" s="103" t="str">
        <f aca="false">IF($C5041="","",IFERROR(INDEX(المنيو!$C$2:$C$500,MATCH($C5041,المنيو!$B$2:$B$500,0)),0))</f>
        <v/>
      </c>
      <c r="F5041" s="103" t="str">
        <f aca="false">IF($C5041="","",$D5041*$E5041)</f>
        <v/>
      </c>
      <c r="G5041" s="103" t="str">
        <f aca="false">IF($C5041="","",$D5041*IFERROR(INDEX('تحليل التكلفة والسعر'!$C$2:$C$700,MATCH($C5041,'تحليل التكلفة والسعر'!$B$2:$B$700,0)),0))</f>
        <v/>
      </c>
    </row>
    <row r="5042" customFormat="false" ht="15" hidden="false" customHeight="false" outlineLevel="0" collapsed="false">
      <c r="A5042" s="102"/>
      <c r="E5042" s="103" t="str">
        <f aca="false">IF($C5042="","",IFERROR(INDEX(المنيو!$C$2:$C$500,MATCH($C5042,المنيو!$B$2:$B$500,0)),0))</f>
        <v/>
      </c>
      <c r="F5042" s="103" t="str">
        <f aca="false">IF($C5042="","",$D5042*$E5042)</f>
        <v/>
      </c>
      <c r="G5042" s="103" t="str">
        <f aca="false">IF($C5042="","",$D5042*IFERROR(INDEX('تحليل التكلفة والسعر'!$C$2:$C$700,MATCH($C5042,'تحليل التكلفة والسعر'!$B$2:$B$700,0)),0))</f>
        <v/>
      </c>
    </row>
    <row r="5043" customFormat="false" ht="15" hidden="false" customHeight="false" outlineLevel="0" collapsed="false">
      <c r="A5043" s="102"/>
      <c r="E5043" s="103" t="str">
        <f aca="false">IF($C5043="","",IFERROR(INDEX(المنيو!$C$2:$C$500,MATCH($C5043,المنيو!$B$2:$B$500,0)),0))</f>
        <v/>
      </c>
      <c r="F5043" s="103" t="str">
        <f aca="false">IF($C5043="","",$D5043*$E5043)</f>
        <v/>
      </c>
      <c r="G5043" s="103" t="str">
        <f aca="false">IF($C5043="","",$D5043*IFERROR(INDEX('تحليل التكلفة والسعر'!$C$2:$C$700,MATCH($C5043,'تحليل التكلفة والسعر'!$B$2:$B$700,0)),0))</f>
        <v/>
      </c>
    </row>
    <row r="5044" customFormat="false" ht="15" hidden="false" customHeight="false" outlineLevel="0" collapsed="false">
      <c r="A5044" s="102"/>
      <c r="E5044" s="103" t="str">
        <f aca="false">IF($C5044="","",IFERROR(INDEX(المنيو!$C$2:$C$500,MATCH($C5044,المنيو!$B$2:$B$500,0)),0))</f>
        <v/>
      </c>
      <c r="F5044" s="103" t="str">
        <f aca="false">IF($C5044="","",$D5044*$E5044)</f>
        <v/>
      </c>
      <c r="G5044" s="103" t="str">
        <f aca="false">IF($C5044="","",$D5044*IFERROR(INDEX('تحليل التكلفة والسعر'!$C$2:$C$700,MATCH($C5044,'تحليل التكلفة والسعر'!$B$2:$B$700,0)),0))</f>
        <v/>
      </c>
    </row>
    <row r="5045" customFormat="false" ht="15" hidden="false" customHeight="false" outlineLevel="0" collapsed="false">
      <c r="A5045" s="102"/>
      <c r="E5045" s="103" t="str">
        <f aca="false">IF($C5045="","",IFERROR(INDEX(المنيو!$C$2:$C$500,MATCH($C5045,المنيو!$B$2:$B$500,0)),0))</f>
        <v/>
      </c>
      <c r="F5045" s="103" t="str">
        <f aca="false">IF($C5045="","",$D5045*$E5045)</f>
        <v/>
      </c>
      <c r="G5045" s="103" t="str">
        <f aca="false">IF($C5045="","",$D5045*IFERROR(INDEX('تحليل التكلفة والسعر'!$C$2:$C$700,MATCH($C5045,'تحليل التكلفة والسعر'!$B$2:$B$700,0)),0))</f>
        <v/>
      </c>
    </row>
    <row r="5046" customFormat="false" ht="15" hidden="false" customHeight="false" outlineLevel="0" collapsed="false">
      <c r="A5046" s="102"/>
      <c r="E5046" s="103" t="str">
        <f aca="false">IF($C5046="","",IFERROR(INDEX(المنيو!$C$2:$C$500,MATCH($C5046,المنيو!$B$2:$B$500,0)),0))</f>
        <v/>
      </c>
      <c r="F5046" s="103" t="str">
        <f aca="false">IF($C5046="","",$D5046*$E5046)</f>
        <v/>
      </c>
      <c r="G5046" s="103" t="str">
        <f aca="false">IF($C5046="","",$D5046*IFERROR(INDEX('تحليل التكلفة والسعر'!$C$2:$C$700,MATCH($C5046,'تحليل التكلفة والسعر'!$B$2:$B$700,0)),0))</f>
        <v/>
      </c>
    </row>
    <row r="5047" customFormat="false" ht="15" hidden="false" customHeight="false" outlineLevel="0" collapsed="false">
      <c r="A5047" s="102"/>
      <c r="E5047" s="103" t="str">
        <f aca="false">IF($C5047="","",IFERROR(INDEX(المنيو!$C$2:$C$500,MATCH($C5047,المنيو!$B$2:$B$500,0)),0))</f>
        <v/>
      </c>
      <c r="F5047" s="103" t="str">
        <f aca="false">IF($C5047="","",$D5047*$E5047)</f>
        <v/>
      </c>
      <c r="G5047" s="103" t="str">
        <f aca="false">IF($C5047="","",$D5047*IFERROR(INDEX('تحليل التكلفة والسعر'!$C$2:$C$700,MATCH($C5047,'تحليل التكلفة والسعر'!$B$2:$B$700,0)),0))</f>
        <v/>
      </c>
    </row>
    <row r="5048" customFormat="false" ht="15" hidden="false" customHeight="false" outlineLevel="0" collapsed="false">
      <c r="A5048" s="102"/>
      <c r="E5048" s="103" t="str">
        <f aca="false">IF($C5048="","",IFERROR(INDEX(المنيو!$C$2:$C$500,MATCH($C5048,المنيو!$B$2:$B$500,0)),0))</f>
        <v/>
      </c>
      <c r="F5048" s="103" t="str">
        <f aca="false">IF($C5048="","",$D5048*$E5048)</f>
        <v/>
      </c>
      <c r="G5048" s="103" t="str">
        <f aca="false">IF($C5048="","",$D5048*IFERROR(INDEX('تحليل التكلفة والسعر'!$C$2:$C$700,MATCH($C5048,'تحليل التكلفة والسعر'!$B$2:$B$700,0)),0))</f>
        <v/>
      </c>
    </row>
    <row r="5049" customFormat="false" ht="15" hidden="false" customHeight="false" outlineLevel="0" collapsed="false">
      <c r="A5049" s="102"/>
      <c r="E5049" s="103" t="str">
        <f aca="false">IF($C5049="","",IFERROR(INDEX(المنيو!$C$2:$C$500,MATCH($C5049,المنيو!$B$2:$B$500,0)),0))</f>
        <v/>
      </c>
      <c r="F5049" s="103" t="str">
        <f aca="false">IF($C5049="","",$D5049*$E5049)</f>
        <v/>
      </c>
      <c r="G5049" s="103" t="str">
        <f aca="false">IF($C5049="","",$D5049*IFERROR(INDEX('تحليل التكلفة والسعر'!$C$2:$C$700,MATCH($C5049,'تحليل التكلفة والسعر'!$B$2:$B$700,0)),0))</f>
        <v/>
      </c>
    </row>
    <row r="5050" customFormat="false" ht="15" hidden="false" customHeight="false" outlineLevel="0" collapsed="false">
      <c r="A5050" s="102"/>
      <c r="E5050" s="103" t="str">
        <f aca="false">IF($C5050="","",IFERROR(INDEX(المنيو!$C$2:$C$500,MATCH($C5050,المنيو!$B$2:$B$500,0)),0))</f>
        <v/>
      </c>
      <c r="F5050" s="103" t="str">
        <f aca="false">IF($C5050="","",$D5050*$E5050)</f>
        <v/>
      </c>
      <c r="G5050" s="103" t="str">
        <f aca="false">IF($C5050="","",$D5050*IFERROR(INDEX('تحليل التكلفة والسعر'!$C$2:$C$700,MATCH($C5050,'تحليل التكلفة والسعر'!$B$2:$B$700,0)),0))</f>
        <v/>
      </c>
    </row>
    <row r="5051" customFormat="false" ht="15" hidden="false" customHeight="false" outlineLevel="0" collapsed="false">
      <c r="A5051" s="102"/>
      <c r="E5051" s="103" t="str">
        <f aca="false">IF($C5051="","",IFERROR(INDEX(المنيو!$C$2:$C$500,MATCH($C5051,المنيو!$B$2:$B$500,0)),0))</f>
        <v/>
      </c>
      <c r="F5051" s="103" t="str">
        <f aca="false">IF($C5051="","",$D5051*$E5051)</f>
        <v/>
      </c>
      <c r="G5051" s="103" t="str">
        <f aca="false">IF($C5051="","",$D5051*IFERROR(INDEX('تحليل التكلفة والسعر'!$C$2:$C$700,MATCH($C5051,'تحليل التكلفة والسعر'!$B$2:$B$700,0)),0))</f>
        <v/>
      </c>
    </row>
    <row r="5052" customFormat="false" ht="15" hidden="false" customHeight="false" outlineLevel="0" collapsed="false">
      <c r="A5052" s="102"/>
      <c r="E5052" s="103" t="str">
        <f aca="false">IF($C5052="","",IFERROR(INDEX(المنيو!$C$2:$C$500,MATCH($C5052,المنيو!$B$2:$B$500,0)),0))</f>
        <v/>
      </c>
      <c r="F5052" s="103" t="str">
        <f aca="false">IF($C5052="","",$D5052*$E5052)</f>
        <v/>
      </c>
      <c r="G5052" s="103" t="str">
        <f aca="false">IF($C5052="","",$D5052*IFERROR(INDEX('تحليل التكلفة والسعر'!$C$2:$C$700,MATCH($C5052,'تحليل التكلفة والسعر'!$B$2:$B$700,0)),0))</f>
        <v/>
      </c>
    </row>
    <row r="5053" customFormat="false" ht="15" hidden="false" customHeight="false" outlineLevel="0" collapsed="false">
      <c r="A5053" s="102"/>
      <c r="E5053" s="103" t="str">
        <f aca="false">IF($C5053="","",IFERROR(INDEX(المنيو!$C$2:$C$500,MATCH($C5053,المنيو!$B$2:$B$500,0)),0))</f>
        <v/>
      </c>
      <c r="F5053" s="103" t="str">
        <f aca="false">IF($C5053="","",$D5053*$E5053)</f>
        <v/>
      </c>
      <c r="G5053" s="103" t="str">
        <f aca="false">IF($C5053="","",$D5053*IFERROR(INDEX('تحليل التكلفة والسعر'!$C$2:$C$700,MATCH($C5053,'تحليل التكلفة والسعر'!$B$2:$B$700,0)),0))</f>
        <v/>
      </c>
    </row>
    <row r="5054" customFormat="false" ht="15" hidden="false" customHeight="false" outlineLevel="0" collapsed="false">
      <c r="A5054" s="102"/>
      <c r="E5054" s="103" t="str">
        <f aca="false">IF($C5054="","",IFERROR(INDEX(المنيو!$C$2:$C$500,MATCH($C5054,المنيو!$B$2:$B$500,0)),0))</f>
        <v/>
      </c>
      <c r="F5054" s="103" t="str">
        <f aca="false">IF($C5054="","",$D5054*$E5054)</f>
        <v/>
      </c>
      <c r="G5054" s="103" t="str">
        <f aca="false">IF($C5054="","",$D5054*IFERROR(INDEX('تحليل التكلفة والسعر'!$C$2:$C$700,MATCH($C5054,'تحليل التكلفة والسعر'!$B$2:$B$700,0)),0))</f>
        <v/>
      </c>
    </row>
    <row r="5055" customFormat="false" ht="15" hidden="false" customHeight="false" outlineLevel="0" collapsed="false">
      <c r="A5055" s="102"/>
      <c r="E5055" s="103" t="str">
        <f aca="false">IF($C5055="","",IFERROR(INDEX(المنيو!$C$2:$C$500,MATCH($C5055,المنيو!$B$2:$B$500,0)),0))</f>
        <v/>
      </c>
      <c r="F5055" s="103" t="str">
        <f aca="false">IF($C5055="","",$D5055*$E5055)</f>
        <v/>
      </c>
      <c r="G5055" s="103" t="str">
        <f aca="false">IF($C5055="","",$D5055*IFERROR(INDEX('تحليل التكلفة والسعر'!$C$2:$C$700,MATCH($C5055,'تحليل التكلفة والسعر'!$B$2:$B$700,0)),0))</f>
        <v/>
      </c>
    </row>
    <row r="5056" customFormat="false" ht="15" hidden="false" customHeight="false" outlineLevel="0" collapsed="false">
      <c r="A5056" s="102"/>
      <c r="E5056" s="103" t="str">
        <f aca="false">IF($C5056="","",IFERROR(INDEX(المنيو!$C$2:$C$500,MATCH($C5056,المنيو!$B$2:$B$500,0)),0))</f>
        <v/>
      </c>
      <c r="F5056" s="103" t="str">
        <f aca="false">IF($C5056="","",$D5056*$E5056)</f>
        <v/>
      </c>
      <c r="G5056" s="103" t="str">
        <f aca="false">IF($C5056="","",$D5056*IFERROR(INDEX('تحليل التكلفة والسعر'!$C$2:$C$700,MATCH($C5056,'تحليل التكلفة والسعر'!$B$2:$B$700,0)),0))</f>
        <v/>
      </c>
    </row>
    <row r="5057" customFormat="false" ht="15" hidden="false" customHeight="false" outlineLevel="0" collapsed="false">
      <c r="A5057" s="102"/>
      <c r="E5057" s="103" t="str">
        <f aca="false">IF($C5057="","",IFERROR(INDEX(المنيو!$C$2:$C$500,MATCH($C5057,المنيو!$B$2:$B$500,0)),0))</f>
        <v/>
      </c>
      <c r="F5057" s="103" t="str">
        <f aca="false">IF($C5057="","",$D5057*$E5057)</f>
        <v/>
      </c>
      <c r="G5057" s="103" t="str">
        <f aca="false">IF($C5057="","",$D5057*IFERROR(INDEX('تحليل التكلفة والسعر'!$C$2:$C$700,MATCH($C5057,'تحليل التكلفة والسعر'!$B$2:$B$700,0)),0))</f>
        <v/>
      </c>
    </row>
    <row r="5058" customFormat="false" ht="15" hidden="false" customHeight="false" outlineLevel="0" collapsed="false">
      <c r="A5058" s="102"/>
      <c r="E5058" s="103" t="str">
        <f aca="false">IF($C5058="","",IFERROR(INDEX(المنيو!$C$2:$C$500,MATCH($C5058,المنيو!$B$2:$B$500,0)),0))</f>
        <v/>
      </c>
      <c r="F5058" s="103" t="str">
        <f aca="false">IF($C5058="","",$D5058*$E5058)</f>
        <v/>
      </c>
      <c r="G5058" s="103" t="str">
        <f aca="false">IF($C5058="","",$D5058*IFERROR(INDEX('تحليل التكلفة والسعر'!$C$2:$C$700,MATCH($C5058,'تحليل التكلفة والسعر'!$B$2:$B$700,0)),0))</f>
        <v/>
      </c>
    </row>
    <row r="5059" customFormat="false" ht="15" hidden="false" customHeight="false" outlineLevel="0" collapsed="false">
      <c r="A5059" s="102"/>
      <c r="E5059" s="103" t="str">
        <f aca="false">IF($C5059="","",IFERROR(INDEX(المنيو!$C$2:$C$500,MATCH($C5059,المنيو!$B$2:$B$500,0)),0))</f>
        <v/>
      </c>
      <c r="F5059" s="103" t="str">
        <f aca="false">IF($C5059="","",$D5059*$E5059)</f>
        <v/>
      </c>
      <c r="G5059" s="103" t="str">
        <f aca="false">IF($C5059="","",$D5059*IFERROR(INDEX('تحليل التكلفة والسعر'!$C$2:$C$700,MATCH($C5059,'تحليل التكلفة والسعر'!$B$2:$B$700,0)),0))</f>
        <v/>
      </c>
    </row>
    <row r="5060" customFormat="false" ht="15" hidden="false" customHeight="false" outlineLevel="0" collapsed="false">
      <c r="A5060" s="102"/>
      <c r="E5060" s="103" t="str">
        <f aca="false">IF($C5060="","",IFERROR(INDEX(المنيو!$C$2:$C$500,MATCH($C5060,المنيو!$B$2:$B$500,0)),0))</f>
        <v/>
      </c>
      <c r="F5060" s="103" t="str">
        <f aca="false">IF($C5060="","",$D5060*$E5060)</f>
        <v/>
      </c>
      <c r="G5060" s="103" t="str">
        <f aca="false">IF($C5060="","",$D5060*IFERROR(INDEX('تحليل التكلفة والسعر'!$C$2:$C$700,MATCH($C5060,'تحليل التكلفة والسعر'!$B$2:$B$700,0)),0))</f>
        <v/>
      </c>
    </row>
    <row r="5061" customFormat="false" ht="15" hidden="false" customHeight="false" outlineLevel="0" collapsed="false">
      <c r="A5061" s="102"/>
      <c r="E5061" s="103" t="str">
        <f aca="false">IF($C5061="","",IFERROR(INDEX(المنيو!$C$2:$C$500,MATCH($C5061,المنيو!$B$2:$B$500,0)),0))</f>
        <v/>
      </c>
      <c r="F5061" s="103" t="str">
        <f aca="false">IF($C5061="","",$D5061*$E5061)</f>
        <v/>
      </c>
      <c r="G5061" s="103" t="str">
        <f aca="false">IF($C5061="","",$D5061*IFERROR(INDEX('تحليل التكلفة والسعر'!$C$2:$C$700,MATCH($C5061,'تحليل التكلفة والسعر'!$B$2:$B$700,0)),0))</f>
        <v/>
      </c>
    </row>
    <row r="5062" customFormat="false" ht="15" hidden="false" customHeight="false" outlineLevel="0" collapsed="false">
      <c r="A5062" s="102"/>
      <c r="E5062" s="103" t="str">
        <f aca="false">IF($C5062="","",IFERROR(INDEX(المنيو!$C$2:$C$500,MATCH($C5062,المنيو!$B$2:$B$500,0)),0))</f>
        <v/>
      </c>
      <c r="F5062" s="103" t="str">
        <f aca="false">IF($C5062="","",$D5062*$E5062)</f>
        <v/>
      </c>
      <c r="G5062" s="103" t="str">
        <f aca="false">IF($C5062="","",$D5062*IFERROR(INDEX('تحليل التكلفة والسعر'!$C$2:$C$700,MATCH($C5062,'تحليل التكلفة والسعر'!$B$2:$B$700,0)),0))</f>
        <v/>
      </c>
    </row>
    <row r="5063" customFormat="false" ht="15" hidden="false" customHeight="false" outlineLevel="0" collapsed="false">
      <c r="A5063" s="102"/>
      <c r="E5063" s="103" t="str">
        <f aca="false">IF($C5063="","",IFERROR(INDEX(المنيو!$C$2:$C$500,MATCH($C5063,المنيو!$B$2:$B$500,0)),0))</f>
        <v/>
      </c>
      <c r="F5063" s="103" t="str">
        <f aca="false">IF($C5063="","",$D5063*$E5063)</f>
        <v/>
      </c>
      <c r="G5063" s="103" t="str">
        <f aca="false">IF($C5063="","",$D5063*IFERROR(INDEX('تحليل التكلفة والسعر'!$C$2:$C$700,MATCH($C5063,'تحليل التكلفة والسعر'!$B$2:$B$700,0)),0))</f>
        <v/>
      </c>
    </row>
    <row r="5064" customFormat="false" ht="15" hidden="false" customHeight="false" outlineLevel="0" collapsed="false">
      <c r="A5064" s="102"/>
      <c r="E5064" s="103" t="str">
        <f aca="false">IF($C5064="","",IFERROR(INDEX(المنيو!$C$2:$C$500,MATCH($C5064,المنيو!$B$2:$B$500,0)),0))</f>
        <v/>
      </c>
      <c r="F5064" s="103" t="str">
        <f aca="false">IF($C5064="","",$D5064*$E5064)</f>
        <v/>
      </c>
      <c r="G5064" s="103" t="str">
        <f aca="false">IF($C5064="","",$D5064*IFERROR(INDEX('تحليل التكلفة والسعر'!$C$2:$C$700,MATCH($C5064,'تحليل التكلفة والسعر'!$B$2:$B$700,0)),0))</f>
        <v/>
      </c>
    </row>
    <row r="5065" customFormat="false" ht="15" hidden="false" customHeight="false" outlineLevel="0" collapsed="false">
      <c r="A5065" s="102"/>
      <c r="E5065" s="103" t="str">
        <f aca="false">IF($C5065="","",IFERROR(INDEX(المنيو!$C$2:$C$500,MATCH($C5065,المنيو!$B$2:$B$500,0)),0))</f>
        <v/>
      </c>
      <c r="F5065" s="103" t="str">
        <f aca="false">IF($C5065="","",$D5065*$E5065)</f>
        <v/>
      </c>
      <c r="G5065" s="103" t="str">
        <f aca="false">IF($C5065="","",$D5065*IFERROR(INDEX('تحليل التكلفة والسعر'!$C$2:$C$700,MATCH($C5065,'تحليل التكلفة والسعر'!$B$2:$B$700,0)),0))</f>
        <v/>
      </c>
    </row>
    <row r="5066" customFormat="false" ht="15" hidden="false" customHeight="false" outlineLevel="0" collapsed="false">
      <c r="A5066" s="102"/>
      <c r="E5066" s="103" t="str">
        <f aca="false">IF($C5066="","",IFERROR(INDEX(المنيو!$C$2:$C$500,MATCH($C5066,المنيو!$B$2:$B$500,0)),0))</f>
        <v/>
      </c>
      <c r="F5066" s="103" t="str">
        <f aca="false">IF($C5066="","",$D5066*$E5066)</f>
        <v/>
      </c>
      <c r="G5066" s="103" t="str">
        <f aca="false">IF($C5066="","",$D5066*IFERROR(INDEX('تحليل التكلفة والسعر'!$C$2:$C$700,MATCH($C5066,'تحليل التكلفة والسعر'!$B$2:$B$700,0)),0))</f>
        <v/>
      </c>
    </row>
    <row r="5067" customFormat="false" ht="15" hidden="false" customHeight="false" outlineLevel="0" collapsed="false">
      <c r="A5067" s="102"/>
      <c r="E5067" s="103" t="str">
        <f aca="false">IF($C5067="","",IFERROR(INDEX(المنيو!$C$2:$C$500,MATCH($C5067,المنيو!$B$2:$B$500,0)),0))</f>
        <v/>
      </c>
      <c r="F5067" s="103" t="str">
        <f aca="false">IF($C5067="","",$D5067*$E5067)</f>
        <v/>
      </c>
      <c r="G5067" s="103" t="str">
        <f aca="false">IF($C5067="","",$D5067*IFERROR(INDEX('تحليل التكلفة والسعر'!$C$2:$C$700,MATCH($C5067,'تحليل التكلفة والسعر'!$B$2:$B$700,0)),0))</f>
        <v/>
      </c>
    </row>
    <row r="5068" customFormat="false" ht="15" hidden="false" customHeight="false" outlineLevel="0" collapsed="false">
      <c r="A5068" s="102"/>
      <c r="E5068" s="103" t="str">
        <f aca="false">IF($C5068="","",IFERROR(INDEX(المنيو!$C$2:$C$500,MATCH($C5068,المنيو!$B$2:$B$500,0)),0))</f>
        <v/>
      </c>
      <c r="F5068" s="103" t="str">
        <f aca="false">IF($C5068="","",$D5068*$E5068)</f>
        <v/>
      </c>
      <c r="G5068" s="103" t="str">
        <f aca="false">IF($C5068="","",$D5068*IFERROR(INDEX('تحليل التكلفة والسعر'!$C$2:$C$700,MATCH($C5068,'تحليل التكلفة والسعر'!$B$2:$B$700,0)),0))</f>
        <v/>
      </c>
    </row>
    <row r="5069" customFormat="false" ht="15" hidden="false" customHeight="false" outlineLevel="0" collapsed="false">
      <c r="A5069" s="102"/>
      <c r="E5069" s="103" t="str">
        <f aca="false">IF($C5069="","",IFERROR(INDEX(المنيو!$C$2:$C$500,MATCH($C5069,المنيو!$B$2:$B$500,0)),0))</f>
        <v/>
      </c>
      <c r="F5069" s="103" t="str">
        <f aca="false">IF($C5069="","",$D5069*$E5069)</f>
        <v/>
      </c>
      <c r="G5069" s="103" t="str">
        <f aca="false">IF($C5069="","",$D5069*IFERROR(INDEX('تحليل التكلفة والسعر'!$C$2:$C$700,MATCH($C5069,'تحليل التكلفة والسعر'!$B$2:$B$700,0)),0))</f>
        <v/>
      </c>
    </row>
    <row r="5070" customFormat="false" ht="15" hidden="false" customHeight="false" outlineLevel="0" collapsed="false">
      <c r="A5070" s="102"/>
      <c r="E5070" s="103" t="str">
        <f aca="false">IF($C5070="","",IFERROR(INDEX(المنيو!$C$2:$C$500,MATCH($C5070,المنيو!$B$2:$B$500,0)),0))</f>
        <v/>
      </c>
      <c r="F5070" s="103" t="str">
        <f aca="false">IF($C5070="","",$D5070*$E5070)</f>
        <v/>
      </c>
      <c r="G5070" s="103" t="str">
        <f aca="false">IF($C5070="","",$D5070*IFERROR(INDEX('تحليل التكلفة والسعر'!$C$2:$C$700,MATCH($C5070,'تحليل التكلفة والسعر'!$B$2:$B$700,0)),0))</f>
        <v/>
      </c>
    </row>
    <row r="5071" customFormat="false" ht="15" hidden="false" customHeight="false" outlineLevel="0" collapsed="false">
      <c r="A5071" s="102"/>
      <c r="E5071" s="103" t="str">
        <f aca="false">IF($C5071="","",IFERROR(INDEX(المنيو!$C$2:$C$500,MATCH($C5071,المنيو!$B$2:$B$500,0)),0))</f>
        <v/>
      </c>
      <c r="F5071" s="103" t="str">
        <f aca="false">IF($C5071="","",$D5071*$E5071)</f>
        <v/>
      </c>
      <c r="G5071" s="103" t="str">
        <f aca="false">IF($C5071="","",$D5071*IFERROR(INDEX('تحليل التكلفة والسعر'!$C$2:$C$700,MATCH($C5071,'تحليل التكلفة والسعر'!$B$2:$B$700,0)),0))</f>
        <v/>
      </c>
    </row>
    <row r="5072" customFormat="false" ht="15" hidden="false" customHeight="false" outlineLevel="0" collapsed="false">
      <c r="A5072" s="102"/>
      <c r="E5072" s="103" t="str">
        <f aca="false">IF($C5072="","",IFERROR(INDEX(المنيو!$C$2:$C$500,MATCH($C5072,المنيو!$B$2:$B$500,0)),0))</f>
        <v/>
      </c>
      <c r="F5072" s="103" t="str">
        <f aca="false">IF($C5072="","",$D5072*$E5072)</f>
        <v/>
      </c>
      <c r="G5072" s="103" t="str">
        <f aca="false">IF($C5072="","",$D5072*IFERROR(INDEX('تحليل التكلفة والسعر'!$C$2:$C$700,MATCH($C5072,'تحليل التكلفة والسعر'!$B$2:$B$700,0)),0))</f>
        <v/>
      </c>
    </row>
    <row r="5073" customFormat="false" ht="15" hidden="false" customHeight="false" outlineLevel="0" collapsed="false">
      <c r="A5073" s="102"/>
      <c r="E5073" s="103" t="str">
        <f aca="false">IF($C5073="","",IFERROR(INDEX(المنيو!$C$2:$C$500,MATCH($C5073,المنيو!$B$2:$B$500,0)),0))</f>
        <v/>
      </c>
      <c r="F5073" s="103" t="str">
        <f aca="false">IF($C5073="","",$D5073*$E5073)</f>
        <v/>
      </c>
      <c r="G5073" s="103" t="str">
        <f aca="false">IF($C5073="","",$D5073*IFERROR(INDEX('تحليل التكلفة والسعر'!$C$2:$C$700,MATCH($C5073,'تحليل التكلفة والسعر'!$B$2:$B$700,0)),0))</f>
        <v/>
      </c>
    </row>
    <row r="5074" customFormat="false" ht="15" hidden="false" customHeight="false" outlineLevel="0" collapsed="false">
      <c r="A5074" s="102"/>
      <c r="E5074" s="103" t="str">
        <f aca="false">IF($C5074="","",IFERROR(INDEX(المنيو!$C$2:$C$500,MATCH($C5074,المنيو!$B$2:$B$500,0)),0))</f>
        <v/>
      </c>
      <c r="F5074" s="103" t="str">
        <f aca="false">IF($C5074="","",$D5074*$E5074)</f>
        <v/>
      </c>
      <c r="G5074" s="103" t="str">
        <f aca="false">IF($C5074="","",$D5074*IFERROR(INDEX('تحليل التكلفة والسعر'!$C$2:$C$700,MATCH($C5074,'تحليل التكلفة والسعر'!$B$2:$B$700,0)),0))</f>
        <v/>
      </c>
    </row>
    <row r="5075" customFormat="false" ht="15" hidden="false" customHeight="false" outlineLevel="0" collapsed="false">
      <c r="A5075" s="102"/>
      <c r="E5075" s="103" t="str">
        <f aca="false">IF($C5075="","",IFERROR(INDEX(المنيو!$C$2:$C$500,MATCH($C5075,المنيو!$B$2:$B$500,0)),0))</f>
        <v/>
      </c>
      <c r="F5075" s="103" t="str">
        <f aca="false">IF($C5075="","",$D5075*$E5075)</f>
        <v/>
      </c>
      <c r="G5075" s="103" t="str">
        <f aca="false">IF($C5075="","",$D5075*IFERROR(INDEX('تحليل التكلفة والسعر'!$C$2:$C$700,MATCH($C5075,'تحليل التكلفة والسعر'!$B$2:$B$700,0)),0))</f>
        <v/>
      </c>
    </row>
    <row r="5076" customFormat="false" ht="15" hidden="false" customHeight="false" outlineLevel="0" collapsed="false">
      <c r="A5076" s="102"/>
      <c r="E5076" s="103" t="str">
        <f aca="false">IF($C5076="","",IFERROR(INDEX(المنيو!$C$2:$C$500,MATCH($C5076,المنيو!$B$2:$B$500,0)),0))</f>
        <v/>
      </c>
      <c r="F5076" s="103" t="str">
        <f aca="false">IF($C5076="","",$D5076*$E5076)</f>
        <v/>
      </c>
      <c r="G5076" s="103" t="str">
        <f aca="false">IF($C5076="","",$D5076*IFERROR(INDEX('تحليل التكلفة والسعر'!$C$2:$C$700,MATCH($C5076,'تحليل التكلفة والسعر'!$B$2:$B$700,0)),0))</f>
        <v/>
      </c>
    </row>
    <row r="5077" customFormat="false" ht="15" hidden="false" customHeight="false" outlineLevel="0" collapsed="false">
      <c r="A5077" s="102"/>
      <c r="E5077" s="103" t="str">
        <f aca="false">IF($C5077="","",IFERROR(INDEX(المنيو!$C$2:$C$500,MATCH($C5077,المنيو!$B$2:$B$500,0)),0))</f>
        <v/>
      </c>
      <c r="F5077" s="103" t="str">
        <f aca="false">IF($C5077="","",$D5077*$E5077)</f>
        <v/>
      </c>
      <c r="G5077" s="103" t="str">
        <f aca="false">IF($C5077="","",$D5077*IFERROR(INDEX('تحليل التكلفة والسعر'!$C$2:$C$700,MATCH($C5077,'تحليل التكلفة والسعر'!$B$2:$B$700,0)),0))</f>
        <v/>
      </c>
    </row>
    <row r="5078" customFormat="false" ht="15" hidden="false" customHeight="false" outlineLevel="0" collapsed="false">
      <c r="A5078" s="102"/>
      <c r="E5078" s="103" t="str">
        <f aca="false">IF($C5078="","",IFERROR(INDEX(المنيو!$C$2:$C$500,MATCH($C5078,المنيو!$B$2:$B$500,0)),0))</f>
        <v/>
      </c>
      <c r="F5078" s="103" t="str">
        <f aca="false">IF($C5078="","",$D5078*$E5078)</f>
        <v/>
      </c>
      <c r="G5078" s="103" t="str">
        <f aca="false">IF($C5078="","",$D5078*IFERROR(INDEX('تحليل التكلفة والسعر'!$C$2:$C$700,MATCH($C5078,'تحليل التكلفة والسعر'!$B$2:$B$700,0)),0))</f>
        <v/>
      </c>
    </row>
    <row r="5079" customFormat="false" ht="15" hidden="false" customHeight="false" outlineLevel="0" collapsed="false">
      <c r="A5079" s="102"/>
      <c r="E5079" s="103" t="str">
        <f aca="false">IF($C5079="","",IFERROR(INDEX(المنيو!$C$2:$C$500,MATCH($C5079,المنيو!$B$2:$B$500,0)),0))</f>
        <v/>
      </c>
      <c r="F5079" s="103" t="str">
        <f aca="false">IF($C5079="","",$D5079*$E5079)</f>
        <v/>
      </c>
      <c r="G5079" s="103" t="str">
        <f aca="false">IF($C5079="","",$D5079*IFERROR(INDEX('تحليل التكلفة والسعر'!$C$2:$C$700,MATCH($C5079,'تحليل التكلفة والسعر'!$B$2:$B$700,0)),0))</f>
        <v/>
      </c>
    </row>
    <row r="5080" customFormat="false" ht="15" hidden="false" customHeight="false" outlineLevel="0" collapsed="false">
      <c r="A5080" s="102"/>
      <c r="E5080" s="103" t="str">
        <f aca="false">IF($C5080="","",IFERROR(INDEX(المنيو!$C$2:$C$500,MATCH($C5080,المنيو!$B$2:$B$500,0)),0))</f>
        <v/>
      </c>
      <c r="F5080" s="103" t="str">
        <f aca="false">IF($C5080="","",$D5080*$E5080)</f>
        <v/>
      </c>
      <c r="G5080" s="103" t="str">
        <f aca="false">IF($C5080="","",$D5080*IFERROR(INDEX('تحليل التكلفة والسعر'!$C$2:$C$700,MATCH($C5080,'تحليل التكلفة والسعر'!$B$2:$B$700,0)),0))</f>
        <v/>
      </c>
    </row>
    <row r="5081" customFormat="false" ht="15" hidden="false" customHeight="false" outlineLevel="0" collapsed="false">
      <c r="A5081" s="102"/>
      <c r="E5081" s="103" t="str">
        <f aca="false">IF($C5081="","",IFERROR(INDEX(المنيو!$C$2:$C$500,MATCH($C5081,المنيو!$B$2:$B$500,0)),0))</f>
        <v/>
      </c>
      <c r="F5081" s="103" t="str">
        <f aca="false">IF($C5081="","",$D5081*$E5081)</f>
        <v/>
      </c>
      <c r="G5081" s="103" t="str">
        <f aca="false">IF($C5081="","",$D5081*IFERROR(INDEX('تحليل التكلفة والسعر'!$C$2:$C$700,MATCH($C5081,'تحليل التكلفة والسعر'!$B$2:$B$700,0)),0))</f>
        <v/>
      </c>
    </row>
    <row r="5082" customFormat="false" ht="15" hidden="false" customHeight="false" outlineLevel="0" collapsed="false">
      <c r="A5082" s="102"/>
      <c r="E5082" s="103" t="str">
        <f aca="false">IF($C5082="","",IFERROR(INDEX(المنيو!$C$2:$C$500,MATCH($C5082,المنيو!$B$2:$B$500,0)),0))</f>
        <v/>
      </c>
      <c r="F5082" s="103" t="str">
        <f aca="false">IF($C5082="","",$D5082*$E5082)</f>
        <v/>
      </c>
      <c r="G5082" s="103" t="str">
        <f aca="false">IF($C5082="","",$D5082*IFERROR(INDEX('تحليل التكلفة والسعر'!$C$2:$C$700,MATCH($C5082,'تحليل التكلفة والسعر'!$B$2:$B$700,0)),0))</f>
        <v/>
      </c>
    </row>
    <row r="5083" customFormat="false" ht="15" hidden="false" customHeight="false" outlineLevel="0" collapsed="false">
      <c r="A5083" s="102"/>
      <c r="E5083" s="103" t="str">
        <f aca="false">IF($C5083="","",IFERROR(INDEX(المنيو!$C$2:$C$500,MATCH($C5083,المنيو!$B$2:$B$500,0)),0))</f>
        <v/>
      </c>
      <c r="F5083" s="103" t="str">
        <f aca="false">IF($C5083="","",$D5083*$E5083)</f>
        <v/>
      </c>
      <c r="G5083" s="103" t="str">
        <f aca="false">IF($C5083="","",$D5083*IFERROR(INDEX('تحليل التكلفة والسعر'!$C$2:$C$700,MATCH($C5083,'تحليل التكلفة والسعر'!$B$2:$B$700,0)),0))</f>
        <v/>
      </c>
    </row>
    <row r="5084" customFormat="false" ht="15" hidden="false" customHeight="false" outlineLevel="0" collapsed="false">
      <c r="A5084" s="102"/>
      <c r="E5084" s="103" t="str">
        <f aca="false">IF($C5084="","",IFERROR(INDEX(المنيو!$C$2:$C$500,MATCH($C5084,المنيو!$B$2:$B$500,0)),0))</f>
        <v/>
      </c>
      <c r="F5084" s="103" t="str">
        <f aca="false">IF($C5084="","",$D5084*$E5084)</f>
        <v/>
      </c>
      <c r="G5084" s="103" t="str">
        <f aca="false">IF($C5084="","",$D5084*IFERROR(INDEX('تحليل التكلفة والسعر'!$C$2:$C$700,MATCH($C5084,'تحليل التكلفة والسعر'!$B$2:$B$700,0)),0))</f>
        <v/>
      </c>
    </row>
    <row r="5085" customFormat="false" ht="15" hidden="false" customHeight="false" outlineLevel="0" collapsed="false">
      <c r="A5085" s="102"/>
      <c r="E5085" s="103" t="str">
        <f aca="false">IF($C5085="","",IFERROR(INDEX(المنيو!$C$2:$C$500,MATCH($C5085,المنيو!$B$2:$B$500,0)),0))</f>
        <v/>
      </c>
      <c r="F5085" s="103" t="str">
        <f aca="false">IF($C5085="","",$D5085*$E5085)</f>
        <v/>
      </c>
      <c r="G5085" s="103" t="str">
        <f aca="false">IF($C5085="","",$D5085*IFERROR(INDEX('تحليل التكلفة والسعر'!$C$2:$C$700,MATCH($C5085,'تحليل التكلفة والسعر'!$B$2:$B$700,0)),0))</f>
        <v/>
      </c>
    </row>
    <row r="5086" customFormat="false" ht="15" hidden="false" customHeight="false" outlineLevel="0" collapsed="false">
      <c r="A5086" s="102"/>
      <c r="E5086" s="103" t="str">
        <f aca="false">IF($C5086="","",IFERROR(INDEX(المنيو!$C$2:$C$500,MATCH($C5086,المنيو!$B$2:$B$500,0)),0))</f>
        <v/>
      </c>
      <c r="F5086" s="103" t="str">
        <f aca="false">IF($C5086="","",$D5086*$E5086)</f>
        <v/>
      </c>
      <c r="G5086" s="103" t="str">
        <f aca="false">IF($C5086="","",$D5086*IFERROR(INDEX('تحليل التكلفة والسعر'!$C$2:$C$700,MATCH($C5086,'تحليل التكلفة والسعر'!$B$2:$B$700,0)),0))</f>
        <v/>
      </c>
    </row>
    <row r="5087" customFormat="false" ht="15" hidden="false" customHeight="false" outlineLevel="0" collapsed="false">
      <c r="A5087" s="102"/>
      <c r="E5087" s="103" t="str">
        <f aca="false">IF($C5087="","",IFERROR(INDEX(المنيو!$C$2:$C$500,MATCH($C5087,المنيو!$B$2:$B$500,0)),0))</f>
        <v/>
      </c>
      <c r="F5087" s="103" t="str">
        <f aca="false">IF($C5087="","",$D5087*$E5087)</f>
        <v/>
      </c>
      <c r="G5087" s="103" t="str">
        <f aca="false">IF($C5087="","",$D5087*IFERROR(INDEX('تحليل التكلفة والسعر'!$C$2:$C$700,MATCH($C5087,'تحليل التكلفة والسعر'!$B$2:$B$700,0)),0))</f>
        <v/>
      </c>
    </row>
    <row r="5088" customFormat="false" ht="15" hidden="false" customHeight="false" outlineLevel="0" collapsed="false">
      <c r="A5088" s="102"/>
      <c r="E5088" s="103" t="str">
        <f aca="false">IF($C5088="","",IFERROR(INDEX(المنيو!$C$2:$C$500,MATCH($C5088,المنيو!$B$2:$B$500,0)),0))</f>
        <v/>
      </c>
      <c r="F5088" s="103" t="str">
        <f aca="false">IF($C5088="","",$D5088*$E5088)</f>
        <v/>
      </c>
      <c r="G5088" s="103" t="str">
        <f aca="false">IF($C5088="","",$D5088*IFERROR(INDEX('تحليل التكلفة والسعر'!$C$2:$C$700,MATCH($C5088,'تحليل التكلفة والسعر'!$B$2:$B$700,0)),0))</f>
        <v/>
      </c>
    </row>
    <row r="5089" customFormat="false" ht="15" hidden="false" customHeight="false" outlineLevel="0" collapsed="false">
      <c r="A5089" s="102"/>
      <c r="E5089" s="103" t="str">
        <f aca="false">IF($C5089="","",IFERROR(INDEX(المنيو!$C$2:$C$500,MATCH($C5089,المنيو!$B$2:$B$500,0)),0))</f>
        <v/>
      </c>
      <c r="F5089" s="103" t="str">
        <f aca="false">IF($C5089="","",$D5089*$E5089)</f>
        <v/>
      </c>
      <c r="G5089" s="103" t="str">
        <f aca="false">IF($C5089="","",$D5089*IFERROR(INDEX('تحليل التكلفة والسعر'!$C$2:$C$700,MATCH($C5089,'تحليل التكلفة والسعر'!$B$2:$B$700,0)),0))</f>
        <v/>
      </c>
    </row>
    <row r="5090" customFormat="false" ht="15" hidden="false" customHeight="false" outlineLevel="0" collapsed="false">
      <c r="A5090" s="102"/>
      <c r="E5090" s="103" t="str">
        <f aca="false">IF($C5090="","",IFERROR(INDEX(المنيو!$C$2:$C$500,MATCH($C5090,المنيو!$B$2:$B$500,0)),0))</f>
        <v/>
      </c>
      <c r="F5090" s="103" t="str">
        <f aca="false">IF($C5090="","",$D5090*$E5090)</f>
        <v/>
      </c>
      <c r="G5090" s="103" t="str">
        <f aca="false">IF($C5090="","",$D5090*IFERROR(INDEX('تحليل التكلفة والسعر'!$C$2:$C$700,MATCH($C5090,'تحليل التكلفة والسعر'!$B$2:$B$700,0)),0))</f>
        <v/>
      </c>
    </row>
    <row r="5091" customFormat="false" ht="15" hidden="false" customHeight="false" outlineLevel="0" collapsed="false">
      <c r="A5091" s="102"/>
      <c r="E5091" s="103" t="str">
        <f aca="false">IF($C5091="","",IFERROR(INDEX(المنيو!$C$2:$C$500,MATCH($C5091,المنيو!$B$2:$B$500,0)),0))</f>
        <v/>
      </c>
      <c r="F5091" s="103" t="str">
        <f aca="false">IF($C5091="","",$D5091*$E5091)</f>
        <v/>
      </c>
      <c r="G5091" s="103" t="str">
        <f aca="false">IF($C5091="","",$D5091*IFERROR(INDEX('تحليل التكلفة والسعر'!$C$2:$C$700,MATCH($C5091,'تحليل التكلفة والسعر'!$B$2:$B$700,0)),0))</f>
        <v/>
      </c>
    </row>
    <row r="5092" customFormat="false" ht="15" hidden="false" customHeight="false" outlineLevel="0" collapsed="false">
      <c r="A5092" s="102"/>
      <c r="E5092" s="103" t="str">
        <f aca="false">IF($C5092="","",IFERROR(INDEX(المنيو!$C$2:$C$500,MATCH($C5092,المنيو!$B$2:$B$500,0)),0))</f>
        <v/>
      </c>
      <c r="F5092" s="103" t="str">
        <f aca="false">IF($C5092="","",$D5092*$E5092)</f>
        <v/>
      </c>
      <c r="G5092" s="103" t="str">
        <f aca="false">IF($C5092="","",$D5092*IFERROR(INDEX('تحليل التكلفة والسعر'!$C$2:$C$700,MATCH($C5092,'تحليل التكلفة والسعر'!$B$2:$B$700,0)),0))</f>
        <v/>
      </c>
    </row>
    <row r="5093" customFormat="false" ht="15" hidden="false" customHeight="false" outlineLevel="0" collapsed="false">
      <c r="A5093" s="102"/>
      <c r="E5093" s="103" t="str">
        <f aca="false">IF($C5093="","",IFERROR(INDEX(المنيو!$C$2:$C$500,MATCH($C5093,المنيو!$B$2:$B$500,0)),0))</f>
        <v/>
      </c>
      <c r="F5093" s="103" t="str">
        <f aca="false">IF($C5093="","",$D5093*$E5093)</f>
        <v/>
      </c>
      <c r="G5093" s="103" t="str">
        <f aca="false">IF($C5093="","",$D5093*IFERROR(INDEX('تحليل التكلفة والسعر'!$C$2:$C$700,MATCH($C5093,'تحليل التكلفة والسعر'!$B$2:$B$700,0)),0))</f>
        <v/>
      </c>
    </row>
    <row r="5094" customFormat="false" ht="15" hidden="false" customHeight="false" outlineLevel="0" collapsed="false">
      <c r="A5094" s="102"/>
      <c r="E5094" s="103" t="str">
        <f aca="false">IF($C5094="","",IFERROR(INDEX(المنيو!$C$2:$C$500,MATCH($C5094,المنيو!$B$2:$B$500,0)),0))</f>
        <v/>
      </c>
      <c r="F5094" s="103" t="str">
        <f aca="false">IF($C5094="","",$D5094*$E5094)</f>
        <v/>
      </c>
      <c r="G5094" s="103" t="str">
        <f aca="false">IF($C5094="","",$D5094*IFERROR(INDEX('تحليل التكلفة والسعر'!$C$2:$C$700,MATCH($C5094,'تحليل التكلفة والسعر'!$B$2:$B$700,0)),0))</f>
        <v/>
      </c>
    </row>
    <row r="5095" customFormat="false" ht="15" hidden="false" customHeight="false" outlineLevel="0" collapsed="false">
      <c r="A5095" s="102"/>
      <c r="E5095" s="103" t="str">
        <f aca="false">IF($C5095="","",IFERROR(INDEX(المنيو!$C$2:$C$500,MATCH($C5095,المنيو!$B$2:$B$500,0)),0))</f>
        <v/>
      </c>
      <c r="F5095" s="103" t="str">
        <f aca="false">IF($C5095="","",$D5095*$E5095)</f>
        <v/>
      </c>
      <c r="G5095" s="103" t="str">
        <f aca="false">IF($C5095="","",$D5095*IFERROR(INDEX('تحليل التكلفة والسعر'!$C$2:$C$700,MATCH($C5095,'تحليل التكلفة والسعر'!$B$2:$B$700,0)),0))</f>
        <v/>
      </c>
    </row>
    <row r="5096" customFormat="false" ht="15" hidden="false" customHeight="false" outlineLevel="0" collapsed="false">
      <c r="A5096" s="102"/>
      <c r="E5096" s="103" t="str">
        <f aca="false">IF($C5096="","",IFERROR(INDEX(المنيو!$C$2:$C$500,MATCH($C5096,المنيو!$B$2:$B$500,0)),0))</f>
        <v/>
      </c>
      <c r="F5096" s="103" t="str">
        <f aca="false">IF($C5096="","",$D5096*$E5096)</f>
        <v/>
      </c>
      <c r="G5096" s="103" t="str">
        <f aca="false">IF($C5096="","",$D5096*IFERROR(INDEX('تحليل التكلفة والسعر'!$C$2:$C$700,MATCH($C5096,'تحليل التكلفة والسعر'!$B$2:$B$700,0)),0))</f>
        <v/>
      </c>
    </row>
    <row r="5097" customFormat="false" ht="15" hidden="false" customHeight="false" outlineLevel="0" collapsed="false">
      <c r="A5097" s="102"/>
      <c r="E5097" s="103" t="str">
        <f aca="false">IF($C5097="","",IFERROR(INDEX(المنيو!$C$2:$C$500,MATCH($C5097,المنيو!$B$2:$B$500,0)),0))</f>
        <v/>
      </c>
      <c r="F5097" s="103" t="str">
        <f aca="false">IF($C5097="","",$D5097*$E5097)</f>
        <v/>
      </c>
      <c r="G5097" s="103" t="str">
        <f aca="false">IF($C5097="","",$D5097*IFERROR(INDEX('تحليل التكلفة والسعر'!$C$2:$C$700,MATCH($C5097,'تحليل التكلفة والسعر'!$B$2:$B$700,0)),0))</f>
        <v/>
      </c>
    </row>
    <row r="5098" customFormat="false" ht="15" hidden="false" customHeight="false" outlineLevel="0" collapsed="false">
      <c r="A5098" s="102"/>
      <c r="E5098" s="103" t="str">
        <f aca="false">IF($C5098="","",IFERROR(INDEX(المنيو!$C$2:$C$500,MATCH($C5098,المنيو!$B$2:$B$500,0)),0))</f>
        <v/>
      </c>
      <c r="F5098" s="103" t="str">
        <f aca="false">IF($C5098="","",$D5098*$E5098)</f>
        <v/>
      </c>
      <c r="G5098" s="103" t="str">
        <f aca="false">IF($C5098="","",$D5098*IFERROR(INDEX('تحليل التكلفة والسعر'!$C$2:$C$700,MATCH($C5098,'تحليل التكلفة والسعر'!$B$2:$B$700,0)),0))</f>
        <v/>
      </c>
    </row>
    <row r="5099" customFormat="false" ht="15" hidden="false" customHeight="false" outlineLevel="0" collapsed="false">
      <c r="A5099" s="102"/>
      <c r="E5099" s="103" t="str">
        <f aca="false">IF($C5099="","",IFERROR(INDEX(المنيو!$C$2:$C$500,MATCH($C5099,المنيو!$B$2:$B$500,0)),0))</f>
        <v/>
      </c>
      <c r="F5099" s="103" t="str">
        <f aca="false">IF($C5099="","",$D5099*$E5099)</f>
        <v/>
      </c>
      <c r="G5099" s="103" t="str">
        <f aca="false">IF($C5099="","",$D5099*IFERROR(INDEX('تحليل التكلفة والسعر'!$C$2:$C$700,MATCH($C5099,'تحليل التكلفة والسعر'!$B$2:$B$700,0)),0))</f>
        <v/>
      </c>
    </row>
    <row r="5100" customFormat="false" ht="15" hidden="false" customHeight="false" outlineLevel="0" collapsed="false">
      <c r="A5100" s="102"/>
      <c r="E5100" s="103" t="str">
        <f aca="false">IF($C5100="","",IFERROR(INDEX(المنيو!$C$2:$C$500,MATCH($C5100,المنيو!$B$2:$B$500,0)),0))</f>
        <v/>
      </c>
      <c r="F5100" s="103" t="str">
        <f aca="false">IF($C5100="","",$D5100*$E5100)</f>
        <v/>
      </c>
      <c r="G5100" s="103" t="str">
        <f aca="false">IF($C5100="","",$D5100*IFERROR(INDEX('تحليل التكلفة والسعر'!$C$2:$C$700,MATCH($C5100,'تحليل التكلفة والسعر'!$B$2:$B$700,0)),0))</f>
        <v/>
      </c>
    </row>
    <row r="5101" customFormat="false" ht="15" hidden="false" customHeight="false" outlineLevel="0" collapsed="false">
      <c r="A5101" s="102"/>
      <c r="E5101" s="103" t="str">
        <f aca="false">IF($C5101="","",IFERROR(INDEX(المنيو!$C$2:$C$500,MATCH($C5101,المنيو!$B$2:$B$500,0)),0))</f>
        <v/>
      </c>
      <c r="F5101" s="103" t="str">
        <f aca="false">IF($C5101="","",$D5101*$E5101)</f>
        <v/>
      </c>
      <c r="G5101" s="103" t="str">
        <f aca="false">IF($C5101="","",$D5101*IFERROR(INDEX('تحليل التكلفة والسعر'!$C$2:$C$700,MATCH($C5101,'تحليل التكلفة والسعر'!$B$2:$B$700,0)),0))</f>
        <v/>
      </c>
    </row>
    <row r="5102" customFormat="false" ht="15" hidden="false" customHeight="false" outlineLevel="0" collapsed="false">
      <c r="A5102" s="102"/>
      <c r="E5102" s="103" t="str">
        <f aca="false">IF($C5102="","",IFERROR(INDEX(المنيو!$C$2:$C$500,MATCH($C5102,المنيو!$B$2:$B$500,0)),0))</f>
        <v/>
      </c>
      <c r="F5102" s="103" t="str">
        <f aca="false">IF($C5102="","",$D5102*$E5102)</f>
        <v/>
      </c>
      <c r="G5102" s="103" t="str">
        <f aca="false">IF($C5102="","",$D5102*IFERROR(INDEX('تحليل التكلفة والسعر'!$C$2:$C$700,MATCH($C5102,'تحليل التكلفة والسعر'!$B$2:$B$700,0)),0))</f>
        <v/>
      </c>
    </row>
    <row r="5103" customFormat="false" ht="15" hidden="false" customHeight="false" outlineLevel="0" collapsed="false">
      <c r="A5103" s="102"/>
      <c r="E5103" s="103" t="str">
        <f aca="false">IF($C5103="","",IFERROR(INDEX(المنيو!$C$2:$C$500,MATCH($C5103,المنيو!$B$2:$B$500,0)),0))</f>
        <v/>
      </c>
      <c r="F5103" s="103" t="str">
        <f aca="false">IF($C5103="","",$D5103*$E5103)</f>
        <v/>
      </c>
      <c r="G5103" s="103" t="str">
        <f aca="false">IF($C5103="","",$D5103*IFERROR(INDEX('تحليل التكلفة والسعر'!$C$2:$C$700,MATCH($C5103,'تحليل التكلفة والسعر'!$B$2:$B$700,0)),0))</f>
        <v/>
      </c>
    </row>
    <row r="5104" customFormat="false" ht="15" hidden="false" customHeight="false" outlineLevel="0" collapsed="false">
      <c r="A5104" s="102"/>
      <c r="E5104" s="103" t="str">
        <f aca="false">IF($C5104="","",IFERROR(INDEX(المنيو!$C$2:$C$500,MATCH($C5104,المنيو!$B$2:$B$500,0)),0))</f>
        <v/>
      </c>
      <c r="F5104" s="103" t="str">
        <f aca="false">IF($C5104="","",$D5104*$E5104)</f>
        <v/>
      </c>
      <c r="G5104" s="103" t="str">
        <f aca="false">IF($C5104="","",$D5104*IFERROR(INDEX('تحليل التكلفة والسعر'!$C$2:$C$700,MATCH($C5104,'تحليل التكلفة والسعر'!$B$2:$B$700,0)),0))</f>
        <v/>
      </c>
    </row>
    <row r="5105" customFormat="false" ht="15" hidden="false" customHeight="false" outlineLevel="0" collapsed="false">
      <c r="A5105" s="102"/>
      <c r="E5105" s="103" t="str">
        <f aca="false">IF($C5105="","",IFERROR(INDEX(المنيو!$C$2:$C$500,MATCH($C5105,المنيو!$B$2:$B$500,0)),0))</f>
        <v/>
      </c>
      <c r="F5105" s="103" t="str">
        <f aca="false">IF($C5105="","",$D5105*$E5105)</f>
        <v/>
      </c>
      <c r="G5105" s="103" t="str">
        <f aca="false">IF($C5105="","",$D5105*IFERROR(INDEX('تحليل التكلفة والسعر'!$C$2:$C$700,MATCH($C5105,'تحليل التكلفة والسعر'!$B$2:$B$700,0)),0))</f>
        <v/>
      </c>
    </row>
    <row r="5106" customFormat="false" ht="15" hidden="false" customHeight="false" outlineLevel="0" collapsed="false">
      <c r="A5106" s="102"/>
      <c r="E5106" s="103" t="str">
        <f aca="false">IF($C5106="","",IFERROR(INDEX(المنيو!$C$2:$C$500,MATCH($C5106,المنيو!$B$2:$B$500,0)),0))</f>
        <v/>
      </c>
      <c r="F5106" s="103" t="str">
        <f aca="false">IF($C5106="","",$D5106*$E5106)</f>
        <v/>
      </c>
      <c r="G5106" s="103" t="str">
        <f aca="false">IF($C5106="","",$D5106*IFERROR(INDEX('تحليل التكلفة والسعر'!$C$2:$C$700,MATCH($C5106,'تحليل التكلفة والسعر'!$B$2:$B$700,0)),0))</f>
        <v/>
      </c>
    </row>
    <row r="5107" customFormat="false" ht="15" hidden="false" customHeight="false" outlineLevel="0" collapsed="false">
      <c r="A5107" s="102"/>
      <c r="E5107" s="103" t="str">
        <f aca="false">IF($C5107="","",IFERROR(INDEX(المنيو!$C$2:$C$500,MATCH($C5107,المنيو!$B$2:$B$500,0)),0))</f>
        <v/>
      </c>
      <c r="F5107" s="103" t="str">
        <f aca="false">IF($C5107="","",$D5107*$E5107)</f>
        <v/>
      </c>
      <c r="G5107" s="103" t="str">
        <f aca="false">IF($C5107="","",$D5107*IFERROR(INDEX('تحليل التكلفة والسعر'!$C$2:$C$700,MATCH($C5107,'تحليل التكلفة والسعر'!$B$2:$B$700,0)),0))</f>
        <v/>
      </c>
    </row>
    <row r="5108" customFormat="false" ht="15" hidden="false" customHeight="false" outlineLevel="0" collapsed="false">
      <c r="A5108" s="102"/>
      <c r="E5108" s="103" t="str">
        <f aca="false">IF($C5108="","",IFERROR(INDEX(المنيو!$C$2:$C$500,MATCH($C5108,المنيو!$B$2:$B$500,0)),0))</f>
        <v/>
      </c>
      <c r="F5108" s="103" t="str">
        <f aca="false">IF($C5108="","",$D5108*$E5108)</f>
        <v/>
      </c>
      <c r="G5108" s="103" t="str">
        <f aca="false">IF($C5108="","",$D5108*IFERROR(INDEX('تحليل التكلفة والسعر'!$C$2:$C$700,MATCH($C5108,'تحليل التكلفة والسعر'!$B$2:$B$700,0)),0))</f>
        <v/>
      </c>
    </row>
    <row r="5109" customFormat="false" ht="15" hidden="false" customHeight="false" outlineLevel="0" collapsed="false">
      <c r="A5109" s="102"/>
      <c r="E5109" s="103" t="str">
        <f aca="false">IF($C5109="","",IFERROR(INDEX(المنيو!$C$2:$C$500,MATCH($C5109,المنيو!$B$2:$B$500,0)),0))</f>
        <v/>
      </c>
      <c r="F5109" s="103" t="str">
        <f aca="false">IF($C5109="","",$D5109*$E5109)</f>
        <v/>
      </c>
      <c r="G5109" s="103" t="str">
        <f aca="false">IF($C5109="","",$D5109*IFERROR(INDEX('تحليل التكلفة والسعر'!$C$2:$C$700,MATCH($C5109,'تحليل التكلفة والسعر'!$B$2:$B$700,0)),0))</f>
        <v/>
      </c>
    </row>
    <row r="5110" customFormat="false" ht="15" hidden="false" customHeight="false" outlineLevel="0" collapsed="false">
      <c r="A5110" s="102"/>
      <c r="E5110" s="103" t="str">
        <f aca="false">IF($C5110="","",IFERROR(INDEX(المنيو!$C$2:$C$500,MATCH($C5110,المنيو!$B$2:$B$500,0)),0))</f>
        <v/>
      </c>
      <c r="F5110" s="103" t="str">
        <f aca="false">IF($C5110="","",$D5110*$E5110)</f>
        <v/>
      </c>
      <c r="G5110" s="103" t="str">
        <f aca="false">IF($C5110="","",$D5110*IFERROR(INDEX('تحليل التكلفة والسعر'!$C$2:$C$700,MATCH($C5110,'تحليل التكلفة والسعر'!$B$2:$B$700,0)),0))</f>
        <v/>
      </c>
    </row>
    <row r="5111" customFormat="false" ht="15" hidden="false" customHeight="false" outlineLevel="0" collapsed="false">
      <c r="A5111" s="102"/>
      <c r="E5111" s="103" t="str">
        <f aca="false">IF($C5111="","",IFERROR(INDEX(المنيو!$C$2:$C$500,MATCH($C5111,المنيو!$B$2:$B$500,0)),0))</f>
        <v/>
      </c>
      <c r="F5111" s="103" t="str">
        <f aca="false">IF($C5111="","",$D5111*$E5111)</f>
        <v/>
      </c>
      <c r="G5111" s="103" t="str">
        <f aca="false">IF($C5111="","",$D5111*IFERROR(INDEX('تحليل التكلفة والسعر'!$C$2:$C$700,MATCH($C5111,'تحليل التكلفة والسعر'!$B$2:$B$700,0)),0))</f>
        <v/>
      </c>
    </row>
    <row r="5112" customFormat="false" ht="15" hidden="false" customHeight="false" outlineLevel="0" collapsed="false">
      <c r="A5112" s="102"/>
      <c r="E5112" s="103" t="str">
        <f aca="false">IF($C5112="","",IFERROR(INDEX(المنيو!$C$2:$C$500,MATCH($C5112,المنيو!$B$2:$B$500,0)),0))</f>
        <v/>
      </c>
      <c r="F5112" s="103" t="str">
        <f aca="false">IF($C5112="","",$D5112*$E5112)</f>
        <v/>
      </c>
      <c r="G5112" s="103" t="str">
        <f aca="false">IF($C5112="","",$D5112*IFERROR(INDEX('تحليل التكلفة والسعر'!$C$2:$C$700,MATCH($C5112,'تحليل التكلفة والسعر'!$B$2:$B$700,0)),0))</f>
        <v/>
      </c>
    </row>
    <row r="5113" customFormat="false" ht="15" hidden="false" customHeight="false" outlineLevel="0" collapsed="false">
      <c r="A5113" s="102"/>
      <c r="E5113" s="103" t="str">
        <f aca="false">IF($C5113="","",IFERROR(INDEX(المنيو!$C$2:$C$500,MATCH($C5113,المنيو!$B$2:$B$500,0)),0))</f>
        <v/>
      </c>
      <c r="F5113" s="103" t="str">
        <f aca="false">IF($C5113="","",$D5113*$E5113)</f>
        <v/>
      </c>
      <c r="G5113" s="103" t="str">
        <f aca="false">IF($C5113="","",$D5113*IFERROR(INDEX('تحليل التكلفة والسعر'!$C$2:$C$700,MATCH($C5113,'تحليل التكلفة والسعر'!$B$2:$B$700,0)),0))</f>
        <v/>
      </c>
    </row>
    <row r="5114" customFormat="false" ht="15" hidden="false" customHeight="false" outlineLevel="0" collapsed="false">
      <c r="A5114" s="102"/>
      <c r="E5114" s="103" t="str">
        <f aca="false">IF($C5114="","",IFERROR(INDEX(المنيو!$C$2:$C$500,MATCH($C5114,المنيو!$B$2:$B$500,0)),0))</f>
        <v/>
      </c>
      <c r="F5114" s="103" t="str">
        <f aca="false">IF($C5114="","",$D5114*$E5114)</f>
        <v/>
      </c>
      <c r="G5114" s="103" t="str">
        <f aca="false">IF($C5114="","",$D5114*IFERROR(INDEX('تحليل التكلفة والسعر'!$C$2:$C$700,MATCH($C5114,'تحليل التكلفة والسعر'!$B$2:$B$700,0)),0))</f>
        <v/>
      </c>
    </row>
    <row r="5115" customFormat="false" ht="15" hidden="false" customHeight="false" outlineLevel="0" collapsed="false">
      <c r="A5115" s="102"/>
      <c r="E5115" s="103" t="str">
        <f aca="false">IF($C5115="","",IFERROR(INDEX(المنيو!$C$2:$C$500,MATCH($C5115,المنيو!$B$2:$B$500,0)),0))</f>
        <v/>
      </c>
      <c r="F5115" s="103" t="str">
        <f aca="false">IF($C5115="","",$D5115*$E5115)</f>
        <v/>
      </c>
      <c r="G5115" s="103" t="str">
        <f aca="false">IF($C5115="","",$D5115*IFERROR(INDEX('تحليل التكلفة والسعر'!$C$2:$C$700,MATCH($C5115,'تحليل التكلفة والسعر'!$B$2:$B$700,0)),0))</f>
        <v/>
      </c>
    </row>
    <row r="5116" customFormat="false" ht="15" hidden="false" customHeight="false" outlineLevel="0" collapsed="false">
      <c r="A5116" s="102"/>
      <c r="E5116" s="103" t="str">
        <f aca="false">IF($C5116="","",IFERROR(INDEX(المنيو!$C$2:$C$500,MATCH($C5116,المنيو!$B$2:$B$500,0)),0))</f>
        <v/>
      </c>
      <c r="F5116" s="103" t="str">
        <f aca="false">IF($C5116="","",$D5116*$E5116)</f>
        <v/>
      </c>
      <c r="G5116" s="103" t="str">
        <f aca="false">IF($C5116="","",$D5116*IFERROR(INDEX('تحليل التكلفة والسعر'!$C$2:$C$700,MATCH($C5116,'تحليل التكلفة والسعر'!$B$2:$B$700,0)),0))</f>
        <v/>
      </c>
    </row>
    <row r="5117" customFormat="false" ht="15" hidden="false" customHeight="false" outlineLevel="0" collapsed="false">
      <c r="A5117" s="102"/>
      <c r="E5117" s="103" t="str">
        <f aca="false">IF($C5117="","",IFERROR(INDEX(المنيو!$C$2:$C$500,MATCH($C5117,المنيو!$B$2:$B$500,0)),0))</f>
        <v/>
      </c>
      <c r="F5117" s="103" t="str">
        <f aca="false">IF($C5117="","",$D5117*$E5117)</f>
        <v/>
      </c>
      <c r="G5117" s="103" t="str">
        <f aca="false">IF($C5117="","",$D5117*IFERROR(INDEX('تحليل التكلفة والسعر'!$C$2:$C$700,MATCH($C5117,'تحليل التكلفة والسعر'!$B$2:$B$700,0)),0))</f>
        <v/>
      </c>
    </row>
    <row r="5118" customFormat="false" ht="15" hidden="false" customHeight="false" outlineLevel="0" collapsed="false">
      <c r="A5118" s="102"/>
      <c r="E5118" s="103" t="str">
        <f aca="false">IF($C5118="","",IFERROR(INDEX(المنيو!$C$2:$C$500,MATCH($C5118,المنيو!$B$2:$B$500,0)),0))</f>
        <v/>
      </c>
      <c r="F5118" s="103" t="str">
        <f aca="false">IF($C5118="","",$D5118*$E5118)</f>
        <v/>
      </c>
      <c r="G5118" s="103" t="str">
        <f aca="false">IF($C5118="","",$D5118*IFERROR(INDEX('تحليل التكلفة والسعر'!$C$2:$C$700,MATCH($C5118,'تحليل التكلفة والسعر'!$B$2:$B$700,0)),0))</f>
        <v/>
      </c>
    </row>
    <row r="5119" customFormat="false" ht="15" hidden="false" customHeight="false" outlineLevel="0" collapsed="false">
      <c r="A5119" s="102"/>
      <c r="E5119" s="103" t="str">
        <f aca="false">IF($C5119="","",IFERROR(INDEX(المنيو!$C$2:$C$500,MATCH($C5119,المنيو!$B$2:$B$500,0)),0))</f>
        <v/>
      </c>
      <c r="F5119" s="103" t="str">
        <f aca="false">IF($C5119="","",$D5119*$E5119)</f>
        <v/>
      </c>
      <c r="G5119" s="103" t="str">
        <f aca="false">IF($C5119="","",$D5119*IFERROR(INDEX('تحليل التكلفة والسعر'!$C$2:$C$700,MATCH($C5119,'تحليل التكلفة والسعر'!$B$2:$B$700,0)),0))</f>
        <v/>
      </c>
    </row>
    <row r="5120" customFormat="false" ht="15" hidden="false" customHeight="false" outlineLevel="0" collapsed="false">
      <c r="A5120" s="102"/>
      <c r="E5120" s="103" t="str">
        <f aca="false">IF($C5120="","",IFERROR(INDEX(المنيو!$C$2:$C$500,MATCH($C5120,المنيو!$B$2:$B$500,0)),0))</f>
        <v/>
      </c>
      <c r="F5120" s="103" t="str">
        <f aca="false">IF($C5120="","",$D5120*$E5120)</f>
        <v/>
      </c>
      <c r="G5120" s="103" t="str">
        <f aca="false">IF($C5120="","",$D5120*IFERROR(INDEX('تحليل التكلفة والسعر'!$C$2:$C$700,MATCH($C5120,'تحليل التكلفة والسعر'!$B$2:$B$700,0)),0))</f>
        <v/>
      </c>
    </row>
    <row r="5121" customFormat="false" ht="15" hidden="false" customHeight="false" outlineLevel="0" collapsed="false">
      <c r="A5121" s="102"/>
      <c r="E5121" s="103" t="str">
        <f aca="false">IF($C5121="","",IFERROR(INDEX(المنيو!$C$2:$C$500,MATCH($C5121,المنيو!$B$2:$B$500,0)),0))</f>
        <v/>
      </c>
      <c r="F5121" s="103" t="str">
        <f aca="false">IF($C5121="","",$D5121*$E5121)</f>
        <v/>
      </c>
      <c r="G5121" s="103" t="str">
        <f aca="false">IF($C5121="","",$D5121*IFERROR(INDEX('تحليل التكلفة والسعر'!$C$2:$C$700,MATCH($C5121,'تحليل التكلفة والسعر'!$B$2:$B$700,0)),0))</f>
        <v/>
      </c>
    </row>
    <row r="5122" customFormat="false" ht="15" hidden="false" customHeight="false" outlineLevel="0" collapsed="false">
      <c r="A5122" s="102"/>
      <c r="E5122" s="103" t="str">
        <f aca="false">IF($C5122="","",IFERROR(INDEX(المنيو!$C$2:$C$500,MATCH($C5122,المنيو!$B$2:$B$500,0)),0))</f>
        <v/>
      </c>
      <c r="F5122" s="103" t="str">
        <f aca="false">IF($C5122="","",$D5122*$E5122)</f>
        <v/>
      </c>
      <c r="G5122" s="103" t="str">
        <f aca="false">IF($C5122="","",$D5122*IFERROR(INDEX('تحليل التكلفة والسعر'!$C$2:$C$700,MATCH($C5122,'تحليل التكلفة والسعر'!$B$2:$B$700,0)),0))</f>
        <v/>
      </c>
    </row>
    <row r="5123" customFormat="false" ht="15" hidden="false" customHeight="false" outlineLevel="0" collapsed="false">
      <c r="A5123" s="102"/>
      <c r="E5123" s="103" t="str">
        <f aca="false">IF($C5123="","",IFERROR(INDEX(المنيو!$C$2:$C$500,MATCH($C5123,المنيو!$B$2:$B$500,0)),0))</f>
        <v/>
      </c>
      <c r="F5123" s="103" t="str">
        <f aca="false">IF($C5123="","",$D5123*$E5123)</f>
        <v/>
      </c>
      <c r="G5123" s="103" t="str">
        <f aca="false">IF($C5123="","",$D5123*IFERROR(INDEX('تحليل التكلفة والسعر'!$C$2:$C$700,MATCH($C5123,'تحليل التكلفة والسعر'!$B$2:$B$700,0)),0))</f>
        <v/>
      </c>
    </row>
    <row r="5124" customFormat="false" ht="15" hidden="false" customHeight="false" outlineLevel="0" collapsed="false">
      <c r="A5124" s="102"/>
      <c r="E5124" s="103" t="str">
        <f aca="false">IF($C5124="","",IFERROR(INDEX(المنيو!$C$2:$C$500,MATCH($C5124,المنيو!$B$2:$B$500,0)),0))</f>
        <v/>
      </c>
      <c r="F5124" s="103" t="str">
        <f aca="false">IF($C5124="","",$D5124*$E5124)</f>
        <v/>
      </c>
      <c r="G5124" s="103" t="str">
        <f aca="false">IF($C5124="","",$D5124*IFERROR(INDEX('تحليل التكلفة والسعر'!$C$2:$C$700,MATCH($C5124,'تحليل التكلفة والسعر'!$B$2:$B$700,0)),0))</f>
        <v/>
      </c>
    </row>
    <row r="5125" customFormat="false" ht="15" hidden="false" customHeight="false" outlineLevel="0" collapsed="false">
      <c r="A5125" s="102"/>
      <c r="E5125" s="103" t="str">
        <f aca="false">IF($C5125="","",IFERROR(INDEX(المنيو!$C$2:$C$500,MATCH($C5125,المنيو!$B$2:$B$500,0)),0))</f>
        <v/>
      </c>
      <c r="F5125" s="103" t="str">
        <f aca="false">IF($C5125="","",$D5125*$E5125)</f>
        <v/>
      </c>
      <c r="G5125" s="103" t="str">
        <f aca="false">IF($C5125="","",$D5125*IFERROR(INDEX('تحليل التكلفة والسعر'!$C$2:$C$700,MATCH($C5125,'تحليل التكلفة والسعر'!$B$2:$B$700,0)),0))</f>
        <v/>
      </c>
    </row>
    <row r="5126" customFormat="false" ht="15" hidden="false" customHeight="false" outlineLevel="0" collapsed="false">
      <c r="A5126" s="102"/>
      <c r="E5126" s="103" t="str">
        <f aca="false">IF($C5126="","",IFERROR(INDEX(المنيو!$C$2:$C$500,MATCH($C5126,المنيو!$B$2:$B$500,0)),0))</f>
        <v/>
      </c>
      <c r="F5126" s="103" t="str">
        <f aca="false">IF($C5126="","",$D5126*$E5126)</f>
        <v/>
      </c>
      <c r="G5126" s="103" t="str">
        <f aca="false">IF($C5126="","",$D5126*IFERROR(INDEX('تحليل التكلفة والسعر'!$C$2:$C$700,MATCH($C5126,'تحليل التكلفة والسعر'!$B$2:$B$700,0)),0))</f>
        <v/>
      </c>
    </row>
    <row r="5127" customFormat="false" ht="15" hidden="false" customHeight="false" outlineLevel="0" collapsed="false">
      <c r="A5127" s="102"/>
      <c r="E5127" s="103" t="str">
        <f aca="false">IF($C5127="","",IFERROR(INDEX(المنيو!$C$2:$C$500,MATCH($C5127,المنيو!$B$2:$B$500,0)),0))</f>
        <v/>
      </c>
      <c r="F5127" s="103" t="str">
        <f aca="false">IF($C5127="","",$D5127*$E5127)</f>
        <v/>
      </c>
      <c r="G5127" s="103" t="str">
        <f aca="false">IF($C5127="","",$D5127*IFERROR(INDEX('تحليل التكلفة والسعر'!$C$2:$C$700,MATCH($C5127,'تحليل التكلفة والسعر'!$B$2:$B$700,0)),0))</f>
        <v/>
      </c>
    </row>
    <row r="5128" customFormat="false" ht="15" hidden="false" customHeight="false" outlineLevel="0" collapsed="false">
      <c r="A5128" s="102"/>
      <c r="E5128" s="103" t="str">
        <f aca="false">IF($C5128="","",IFERROR(INDEX(المنيو!$C$2:$C$500,MATCH($C5128,المنيو!$B$2:$B$500,0)),0))</f>
        <v/>
      </c>
      <c r="F5128" s="103" t="str">
        <f aca="false">IF($C5128="","",$D5128*$E5128)</f>
        <v/>
      </c>
      <c r="G5128" s="103" t="str">
        <f aca="false">IF($C5128="","",$D5128*IFERROR(INDEX('تحليل التكلفة والسعر'!$C$2:$C$700,MATCH($C5128,'تحليل التكلفة والسعر'!$B$2:$B$700,0)),0))</f>
        <v/>
      </c>
    </row>
    <row r="5129" customFormat="false" ht="15" hidden="false" customHeight="false" outlineLevel="0" collapsed="false">
      <c r="A5129" s="102"/>
      <c r="E5129" s="103" t="str">
        <f aca="false">IF($C5129="","",IFERROR(INDEX(المنيو!$C$2:$C$500,MATCH($C5129,المنيو!$B$2:$B$500,0)),0))</f>
        <v/>
      </c>
      <c r="F5129" s="103" t="str">
        <f aca="false">IF($C5129="","",$D5129*$E5129)</f>
        <v/>
      </c>
      <c r="G5129" s="103" t="str">
        <f aca="false">IF($C5129="","",$D5129*IFERROR(INDEX('تحليل التكلفة والسعر'!$C$2:$C$700,MATCH($C5129,'تحليل التكلفة والسعر'!$B$2:$B$700,0)),0))</f>
        <v/>
      </c>
    </row>
    <row r="5130" customFormat="false" ht="15" hidden="false" customHeight="false" outlineLevel="0" collapsed="false">
      <c r="A5130" s="102"/>
      <c r="E5130" s="103" t="str">
        <f aca="false">IF($C5130="","",IFERROR(INDEX(المنيو!$C$2:$C$500,MATCH($C5130,المنيو!$B$2:$B$500,0)),0))</f>
        <v/>
      </c>
      <c r="F5130" s="103" t="str">
        <f aca="false">IF($C5130="","",$D5130*$E5130)</f>
        <v/>
      </c>
      <c r="G5130" s="103" t="str">
        <f aca="false">IF($C5130="","",$D5130*IFERROR(INDEX('تحليل التكلفة والسعر'!$C$2:$C$700,MATCH($C5130,'تحليل التكلفة والسعر'!$B$2:$B$700,0)),0))</f>
        <v/>
      </c>
    </row>
    <row r="5131" customFormat="false" ht="15" hidden="false" customHeight="false" outlineLevel="0" collapsed="false">
      <c r="A5131" s="102"/>
      <c r="E5131" s="103" t="str">
        <f aca="false">IF($C5131="","",IFERROR(INDEX(المنيو!$C$2:$C$500,MATCH($C5131,المنيو!$B$2:$B$500,0)),0))</f>
        <v/>
      </c>
      <c r="F5131" s="103" t="str">
        <f aca="false">IF($C5131="","",$D5131*$E5131)</f>
        <v/>
      </c>
      <c r="G5131" s="103" t="str">
        <f aca="false">IF($C5131="","",$D5131*IFERROR(INDEX('تحليل التكلفة والسعر'!$C$2:$C$700,MATCH($C5131,'تحليل التكلفة والسعر'!$B$2:$B$700,0)),0))</f>
        <v/>
      </c>
    </row>
    <row r="5132" customFormat="false" ht="15" hidden="false" customHeight="false" outlineLevel="0" collapsed="false">
      <c r="A5132" s="102"/>
      <c r="E5132" s="103" t="str">
        <f aca="false">IF($C5132="","",IFERROR(INDEX(المنيو!$C$2:$C$500,MATCH($C5132,المنيو!$B$2:$B$500,0)),0))</f>
        <v/>
      </c>
      <c r="F5132" s="103" t="str">
        <f aca="false">IF($C5132="","",$D5132*$E5132)</f>
        <v/>
      </c>
      <c r="G5132" s="103" t="str">
        <f aca="false">IF($C5132="","",$D5132*IFERROR(INDEX('تحليل التكلفة والسعر'!$C$2:$C$700,MATCH($C5132,'تحليل التكلفة والسعر'!$B$2:$B$700,0)),0))</f>
        <v/>
      </c>
    </row>
    <row r="5133" customFormat="false" ht="15" hidden="false" customHeight="false" outlineLevel="0" collapsed="false">
      <c r="A5133" s="102"/>
      <c r="E5133" s="103" t="str">
        <f aca="false">IF($C5133="","",IFERROR(INDEX(المنيو!$C$2:$C$500,MATCH($C5133,المنيو!$B$2:$B$500,0)),0))</f>
        <v/>
      </c>
      <c r="F5133" s="103" t="str">
        <f aca="false">IF($C5133="","",$D5133*$E5133)</f>
        <v/>
      </c>
      <c r="G5133" s="103" t="str">
        <f aca="false">IF($C5133="","",$D5133*IFERROR(INDEX('تحليل التكلفة والسعر'!$C$2:$C$700,MATCH($C5133,'تحليل التكلفة والسعر'!$B$2:$B$700,0)),0))</f>
        <v/>
      </c>
    </row>
    <row r="5134" customFormat="false" ht="15" hidden="false" customHeight="false" outlineLevel="0" collapsed="false">
      <c r="A5134" s="102"/>
      <c r="E5134" s="103" t="str">
        <f aca="false">IF($C5134="","",IFERROR(INDEX(المنيو!$C$2:$C$500,MATCH($C5134,المنيو!$B$2:$B$500,0)),0))</f>
        <v/>
      </c>
      <c r="F5134" s="103" t="str">
        <f aca="false">IF($C5134="","",$D5134*$E5134)</f>
        <v/>
      </c>
      <c r="G5134" s="103" t="str">
        <f aca="false">IF($C5134="","",$D5134*IFERROR(INDEX('تحليل التكلفة والسعر'!$C$2:$C$700,MATCH($C5134,'تحليل التكلفة والسعر'!$B$2:$B$700,0)),0))</f>
        <v/>
      </c>
    </row>
    <row r="5135" customFormat="false" ht="15" hidden="false" customHeight="false" outlineLevel="0" collapsed="false">
      <c r="A5135" s="102"/>
      <c r="E5135" s="103" t="str">
        <f aca="false">IF($C5135="","",IFERROR(INDEX(المنيو!$C$2:$C$500,MATCH($C5135,المنيو!$B$2:$B$500,0)),0))</f>
        <v/>
      </c>
      <c r="F5135" s="103" t="str">
        <f aca="false">IF($C5135="","",$D5135*$E5135)</f>
        <v/>
      </c>
      <c r="G5135" s="103" t="str">
        <f aca="false">IF($C5135="","",$D5135*IFERROR(INDEX('تحليل التكلفة والسعر'!$C$2:$C$700,MATCH($C5135,'تحليل التكلفة والسعر'!$B$2:$B$700,0)),0))</f>
        <v/>
      </c>
    </row>
    <row r="5136" customFormat="false" ht="15" hidden="false" customHeight="false" outlineLevel="0" collapsed="false">
      <c r="A5136" s="102"/>
      <c r="E5136" s="103" t="str">
        <f aca="false">IF($C5136="","",IFERROR(INDEX(المنيو!$C$2:$C$500,MATCH($C5136,المنيو!$B$2:$B$500,0)),0))</f>
        <v/>
      </c>
      <c r="F5136" s="103" t="str">
        <f aca="false">IF($C5136="","",$D5136*$E5136)</f>
        <v/>
      </c>
      <c r="G5136" s="103" t="str">
        <f aca="false">IF($C5136="","",$D5136*IFERROR(INDEX('تحليل التكلفة والسعر'!$C$2:$C$700,MATCH($C5136,'تحليل التكلفة والسعر'!$B$2:$B$700,0)),0))</f>
        <v/>
      </c>
    </row>
    <row r="5137" customFormat="false" ht="15" hidden="false" customHeight="false" outlineLevel="0" collapsed="false">
      <c r="A5137" s="102"/>
      <c r="E5137" s="103" t="str">
        <f aca="false">IF($C5137="","",IFERROR(INDEX(المنيو!$C$2:$C$500,MATCH($C5137,المنيو!$B$2:$B$500,0)),0))</f>
        <v/>
      </c>
      <c r="F5137" s="103" t="str">
        <f aca="false">IF($C5137="","",$D5137*$E5137)</f>
        <v/>
      </c>
      <c r="G5137" s="103" t="str">
        <f aca="false">IF($C5137="","",$D5137*IFERROR(INDEX('تحليل التكلفة والسعر'!$C$2:$C$700,MATCH($C5137,'تحليل التكلفة والسعر'!$B$2:$B$700,0)),0))</f>
        <v/>
      </c>
    </row>
    <row r="5138" customFormat="false" ht="15" hidden="false" customHeight="false" outlineLevel="0" collapsed="false">
      <c r="A5138" s="102"/>
      <c r="E5138" s="103" t="str">
        <f aca="false">IF($C5138="","",IFERROR(INDEX(المنيو!$C$2:$C$500,MATCH($C5138,المنيو!$B$2:$B$500,0)),0))</f>
        <v/>
      </c>
      <c r="F5138" s="103" t="str">
        <f aca="false">IF($C5138="","",$D5138*$E5138)</f>
        <v/>
      </c>
      <c r="G5138" s="103" t="str">
        <f aca="false">IF($C5138="","",$D5138*IFERROR(INDEX('تحليل التكلفة والسعر'!$C$2:$C$700,MATCH($C5138,'تحليل التكلفة والسعر'!$B$2:$B$700,0)),0))</f>
        <v/>
      </c>
    </row>
    <row r="5139" customFormat="false" ht="15" hidden="false" customHeight="false" outlineLevel="0" collapsed="false">
      <c r="A5139" s="102"/>
      <c r="E5139" s="103" t="str">
        <f aca="false">IF($C5139="","",IFERROR(INDEX(المنيو!$C$2:$C$500,MATCH($C5139,المنيو!$B$2:$B$500,0)),0))</f>
        <v/>
      </c>
      <c r="F5139" s="103" t="str">
        <f aca="false">IF($C5139="","",$D5139*$E5139)</f>
        <v/>
      </c>
      <c r="G5139" s="103" t="str">
        <f aca="false">IF($C5139="","",$D5139*IFERROR(INDEX('تحليل التكلفة والسعر'!$C$2:$C$700,MATCH($C5139,'تحليل التكلفة والسعر'!$B$2:$B$700,0)),0))</f>
        <v/>
      </c>
    </row>
    <row r="5140" customFormat="false" ht="15" hidden="false" customHeight="false" outlineLevel="0" collapsed="false">
      <c r="A5140" s="102"/>
      <c r="E5140" s="103" t="str">
        <f aca="false">IF($C5140="","",IFERROR(INDEX(المنيو!$C$2:$C$500,MATCH($C5140,المنيو!$B$2:$B$500,0)),0))</f>
        <v/>
      </c>
      <c r="F5140" s="103" t="str">
        <f aca="false">IF($C5140="","",$D5140*$E5140)</f>
        <v/>
      </c>
      <c r="G5140" s="103" t="str">
        <f aca="false">IF($C5140="","",$D5140*IFERROR(INDEX('تحليل التكلفة والسعر'!$C$2:$C$700,MATCH($C5140,'تحليل التكلفة والسعر'!$B$2:$B$700,0)),0))</f>
        <v/>
      </c>
    </row>
    <row r="5141" customFormat="false" ht="15" hidden="false" customHeight="false" outlineLevel="0" collapsed="false">
      <c r="A5141" s="102"/>
      <c r="E5141" s="103" t="str">
        <f aca="false">IF($C5141="","",IFERROR(INDEX(المنيو!$C$2:$C$500,MATCH($C5141,المنيو!$B$2:$B$500,0)),0))</f>
        <v/>
      </c>
      <c r="F5141" s="103" t="str">
        <f aca="false">IF($C5141="","",$D5141*$E5141)</f>
        <v/>
      </c>
      <c r="G5141" s="103" t="str">
        <f aca="false">IF($C5141="","",$D5141*IFERROR(INDEX('تحليل التكلفة والسعر'!$C$2:$C$700,MATCH($C5141,'تحليل التكلفة والسعر'!$B$2:$B$700,0)),0))</f>
        <v/>
      </c>
    </row>
    <row r="5142" customFormat="false" ht="15" hidden="false" customHeight="false" outlineLevel="0" collapsed="false">
      <c r="A5142" s="102"/>
      <c r="E5142" s="103" t="str">
        <f aca="false">IF($C5142="","",IFERROR(INDEX(المنيو!$C$2:$C$500,MATCH($C5142,المنيو!$B$2:$B$500,0)),0))</f>
        <v/>
      </c>
      <c r="F5142" s="103" t="str">
        <f aca="false">IF($C5142="","",$D5142*$E5142)</f>
        <v/>
      </c>
      <c r="G5142" s="103" t="str">
        <f aca="false">IF($C5142="","",$D5142*IFERROR(INDEX('تحليل التكلفة والسعر'!$C$2:$C$700,MATCH($C5142,'تحليل التكلفة والسعر'!$B$2:$B$700,0)),0))</f>
        <v/>
      </c>
    </row>
    <row r="5143" customFormat="false" ht="15" hidden="false" customHeight="false" outlineLevel="0" collapsed="false">
      <c r="A5143" s="102"/>
      <c r="E5143" s="103" t="str">
        <f aca="false">IF($C5143="","",IFERROR(INDEX(المنيو!$C$2:$C$500,MATCH($C5143,المنيو!$B$2:$B$500,0)),0))</f>
        <v/>
      </c>
      <c r="F5143" s="103" t="str">
        <f aca="false">IF($C5143="","",$D5143*$E5143)</f>
        <v/>
      </c>
      <c r="G5143" s="103" t="str">
        <f aca="false">IF($C5143="","",$D5143*IFERROR(INDEX('تحليل التكلفة والسعر'!$C$2:$C$700,MATCH($C5143,'تحليل التكلفة والسعر'!$B$2:$B$700,0)),0))</f>
        <v/>
      </c>
    </row>
    <row r="5144" customFormat="false" ht="15" hidden="false" customHeight="false" outlineLevel="0" collapsed="false">
      <c r="A5144" s="102"/>
      <c r="E5144" s="103" t="str">
        <f aca="false">IF($C5144="","",IFERROR(INDEX(المنيو!$C$2:$C$500,MATCH($C5144,المنيو!$B$2:$B$500,0)),0))</f>
        <v/>
      </c>
      <c r="F5144" s="103" t="str">
        <f aca="false">IF($C5144="","",$D5144*$E5144)</f>
        <v/>
      </c>
      <c r="G5144" s="103" t="str">
        <f aca="false">IF($C5144="","",$D5144*IFERROR(INDEX('تحليل التكلفة والسعر'!$C$2:$C$700,MATCH($C5144,'تحليل التكلفة والسعر'!$B$2:$B$700,0)),0))</f>
        <v/>
      </c>
    </row>
    <row r="5145" customFormat="false" ht="15" hidden="false" customHeight="false" outlineLevel="0" collapsed="false">
      <c r="A5145" s="102"/>
      <c r="E5145" s="103" t="str">
        <f aca="false">IF($C5145="","",IFERROR(INDEX(المنيو!$C$2:$C$500,MATCH($C5145,المنيو!$B$2:$B$500,0)),0))</f>
        <v/>
      </c>
      <c r="F5145" s="103" t="str">
        <f aca="false">IF($C5145="","",$D5145*$E5145)</f>
        <v/>
      </c>
      <c r="G5145" s="103" t="str">
        <f aca="false">IF($C5145="","",$D5145*IFERROR(INDEX('تحليل التكلفة والسعر'!$C$2:$C$700,MATCH($C5145,'تحليل التكلفة والسعر'!$B$2:$B$700,0)),0))</f>
        <v/>
      </c>
    </row>
    <row r="5146" customFormat="false" ht="15" hidden="false" customHeight="false" outlineLevel="0" collapsed="false">
      <c r="A5146" s="102"/>
      <c r="E5146" s="103" t="str">
        <f aca="false">IF($C5146="","",IFERROR(INDEX(المنيو!$C$2:$C$500,MATCH($C5146,المنيو!$B$2:$B$500,0)),0))</f>
        <v/>
      </c>
      <c r="F5146" s="103" t="str">
        <f aca="false">IF($C5146="","",$D5146*$E5146)</f>
        <v/>
      </c>
      <c r="G5146" s="103" t="str">
        <f aca="false">IF($C5146="","",$D5146*IFERROR(INDEX('تحليل التكلفة والسعر'!$C$2:$C$700,MATCH($C5146,'تحليل التكلفة والسعر'!$B$2:$B$700,0)),0))</f>
        <v/>
      </c>
    </row>
    <row r="5147" customFormat="false" ht="15" hidden="false" customHeight="false" outlineLevel="0" collapsed="false">
      <c r="A5147" s="102"/>
      <c r="E5147" s="103" t="str">
        <f aca="false">IF($C5147="","",IFERROR(INDEX(المنيو!$C$2:$C$500,MATCH($C5147,المنيو!$B$2:$B$500,0)),0))</f>
        <v/>
      </c>
      <c r="F5147" s="103" t="str">
        <f aca="false">IF($C5147="","",$D5147*$E5147)</f>
        <v/>
      </c>
      <c r="G5147" s="103" t="str">
        <f aca="false">IF($C5147="","",$D5147*IFERROR(INDEX('تحليل التكلفة والسعر'!$C$2:$C$700,MATCH($C5147,'تحليل التكلفة والسعر'!$B$2:$B$700,0)),0))</f>
        <v/>
      </c>
    </row>
    <row r="5148" customFormat="false" ht="15" hidden="false" customHeight="false" outlineLevel="0" collapsed="false">
      <c r="A5148" s="102"/>
      <c r="E5148" s="103" t="str">
        <f aca="false">IF($C5148="","",IFERROR(INDEX(المنيو!$C$2:$C$500,MATCH($C5148,المنيو!$B$2:$B$500,0)),0))</f>
        <v/>
      </c>
      <c r="F5148" s="103" t="str">
        <f aca="false">IF($C5148="","",$D5148*$E5148)</f>
        <v/>
      </c>
      <c r="G5148" s="103" t="str">
        <f aca="false">IF($C5148="","",$D5148*IFERROR(INDEX('تحليل التكلفة والسعر'!$C$2:$C$700,MATCH($C5148,'تحليل التكلفة والسعر'!$B$2:$B$700,0)),0))</f>
        <v/>
      </c>
    </row>
    <row r="5149" customFormat="false" ht="15" hidden="false" customHeight="false" outlineLevel="0" collapsed="false">
      <c r="A5149" s="102"/>
      <c r="E5149" s="103" t="str">
        <f aca="false">IF($C5149="","",IFERROR(INDEX(المنيو!$C$2:$C$500,MATCH($C5149,المنيو!$B$2:$B$500,0)),0))</f>
        <v/>
      </c>
      <c r="F5149" s="103" t="str">
        <f aca="false">IF($C5149="","",$D5149*$E5149)</f>
        <v/>
      </c>
      <c r="G5149" s="103" t="str">
        <f aca="false">IF($C5149="","",$D5149*IFERROR(INDEX('تحليل التكلفة والسعر'!$C$2:$C$700,MATCH($C5149,'تحليل التكلفة والسعر'!$B$2:$B$700,0)),0))</f>
        <v/>
      </c>
    </row>
    <row r="5150" customFormat="false" ht="15" hidden="false" customHeight="false" outlineLevel="0" collapsed="false">
      <c r="A5150" s="102"/>
      <c r="E5150" s="103" t="str">
        <f aca="false">IF($C5150="","",IFERROR(INDEX(المنيو!$C$2:$C$500,MATCH($C5150,المنيو!$B$2:$B$500,0)),0))</f>
        <v/>
      </c>
      <c r="F5150" s="103" t="str">
        <f aca="false">IF($C5150="","",$D5150*$E5150)</f>
        <v/>
      </c>
      <c r="G5150" s="103" t="str">
        <f aca="false">IF($C5150="","",$D5150*IFERROR(INDEX('تحليل التكلفة والسعر'!$C$2:$C$700,MATCH($C5150,'تحليل التكلفة والسعر'!$B$2:$B$700,0)),0))</f>
        <v/>
      </c>
    </row>
    <row r="5151" customFormat="false" ht="15" hidden="false" customHeight="false" outlineLevel="0" collapsed="false">
      <c r="A5151" s="102"/>
      <c r="E5151" s="103" t="str">
        <f aca="false">IF($C5151="","",IFERROR(INDEX(المنيو!$C$2:$C$500,MATCH($C5151,المنيو!$B$2:$B$500,0)),0))</f>
        <v/>
      </c>
      <c r="F5151" s="103" t="str">
        <f aca="false">IF($C5151="","",$D5151*$E5151)</f>
        <v/>
      </c>
      <c r="G5151" s="103" t="str">
        <f aca="false">IF($C5151="","",$D5151*IFERROR(INDEX('تحليل التكلفة والسعر'!$C$2:$C$700,MATCH($C5151,'تحليل التكلفة والسعر'!$B$2:$B$700,0)),0))</f>
        <v/>
      </c>
    </row>
    <row r="5152" customFormat="false" ht="15" hidden="false" customHeight="false" outlineLevel="0" collapsed="false">
      <c r="A5152" s="102"/>
      <c r="E5152" s="103" t="str">
        <f aca="false">IF($C5152="","",IFERROR(INDEX(المنيو!$C$2:$C$500,MATCH($C5152,المنيو!$B$2:$B$500,0)),0))</f>
        <v/>
      </c>
      <c r="F5152" s="103" t="str">
        <f aca="false">IF($C5152="","",$D5152*$E5152)</f>
        <v/>
      </c>
      <c r="G5152" s="103" t="str">
        <f aca="false">IF($C5152="","",$D5152*IFERROR(INDEX('تحليل التكلفة والسعر'!$C$2:$C$700,MATCH($C5152,'تحليل التكلفة والسعر'!$B$2:$B$700,0)),0))</f>
        <v/>
      </c>
    </row>
    <row r="5153" customFormat="false" ht="15" hidden="false" customHeight="false" outlineLevel="0" collapsed="false">
      <c r="A5153" s="102"/>
      <c r="E5153" s="103" t="str">
        <f aca="false">IF($C5153="","",IFERROR(INDEX(المنيو!$C$2:$C$500,MATCH($C5153,المنيو!$B$2:$B$500,0)),0))</f>
        <v/>
      </c>
      <c r="F5153" s="103" t="str">
        <f aca="false">IF($C5153="","",$D5153*$E5153)</f>
        <v/>
      </c>
      <c r="G5153" s="103" t="str">
        <f aca="false">IF($C5153="","",$D5153*IFERROR(INDEX('تحليل التكلفة والسعر'!$C$2:$C$700,MATCH($C5153,'تحليل التكلفة والسعر'!$B$2:$B$700,0)),0))</f>
        <v/>
      </c>
    </row>
    <row r="5154" customFormat="false" ht="15" hidden="false" customHeight="false" outlineLevel="0" collapsed="false">
      <c r="A5154" s="102"/>
      <c r="E5154" s="103" t="str">
        <f aca="false">IF($C5154="","",IFERROR(INDEX(المنيو!$C$2:$C$500,MATCH($C5154,المنيو!$B$2:$B$500,0)),0))</f>
        <v/>
      </c>
      <c r="F5154" s="103" t="str">
        <f aca="false">IF($C5154="","",$D5154*$E5154)</f>
        <v/>
      </c>
      <c r="G5154" s="103" t="str">
        <f aca="false">IF($C5154="","",$D5154*IFERROR(INDEX('تحليل التكلفة والسعر'!$C$2:$C$700,MATCH($C5154,'تحليل التكلفة والسعر'!$B$2:$B$700,0)),0))</f>
        <v/>
      </c>
    </row>
    <row r="5155" customFormat="false" ht="15" hidden="false" customHeight="false" outlineLevel="0" collapsed="false">
      <c r="A5155" s="102"/>
      <c r="E5155" s="103" t="str">
        <f aca="false">IF($C5155="","",IFERROR(INDEX(المنيو!$C$2:$C$500,MATCH($C5155,المنيو!$B$2:$B$500,0)),0))</f>
        <v/>
      </c>
      <c r="F5155" s="103" t="str">
        <f aca="false">IF($C5155="","",$D5155*$E5155)</f>
        <v/>
      </c>
      <c r="G5155" s="103" t="str">
        <f aca="false">IF($C5155="","",$D5155*IFERROR(INDEX('تحليل التكلفة والسعر'!$C$2:$C$700,MATCH($C5155,'تحليل التكلفة والسعر'!$B$2:$B$700,0)),0))</f>
        <v/>
      </c>
    </row>
    <row r="5156" customFormat="false" ht="15" hidden="false" customHeight="false" outlineLevel="0" collapsed="false">
      <c r="A5156" s="102"/>
      <c r="E5156" s="103" t="str">
        <f aca="false">IF($C5156="","",IFERROR(INDEX(المنيو!$C$2:$C$500,MATCH($C5156,المنيو!$B$2:$B$500,0)),0))</f>
        <v/>
      </c>
      <c r="F5156" s="103" t="str">
        <f aca="false">IF($C5156="","",$D5156*$E5156)</f>
        <v/>
      </c>
      <c r="G5156" s="103" t="str">
        <f aca="false">IF($C5156="","",$D5156*IFERROR(INDEX('تحليل التكلفة والسعر'!$C$2:$C$700,MATCH($C5156,'تحليل التكلفة والسعر'!$B$2:$B$700,0)),0))</f>
        <v/>
      </c>
    </row>
    <row r="5157" customFormat="false" ht="15" hidden="false" customHeight="false" outlineLevel="0" collapsed="false">
      <c r="A5157" s="102"/>
      <c r="E5157" s="103" t="str">
        <f aca="false">IF($C5157="","",IFERROR(INDEX(المنيو!$C$2:$C$500,MATCH($C5157,المنيو!$B$2:$B$500,0)),0))</f>
        <v/>
      </c>
      <c r="F5157" s="103" t="str">
        <f aca="false">IF($C5157="","",$D5157*$E5157)</f>
        <v/>
      </c>
      <c r="G5157" s="103" t="str">
        <f aca="false">IF($C5157="","",$D5157*IFERROR(INDEX('تحليل التكلفة والسعر'!$C$2:$C$700,MATCH($C5157,'تحليل التكلفة والسعر'!$B$2:$B$700,0)),0))</f>
        <v/>
      </c>
    </row>
    <row r="5158" customFormat="false" ht="15" hidden="false" customHeight="false" outlineLevel="0" collapsed="false">
      <c r="A5158" s="102"/>
      <c r="E5158" s="103" t="str">
        <f aca="false">IF($C5158="","",IFERROR(INDEX(المنيو!$C$2:$C$500,MATCH($C5158,المنيو!$B$2:$B$500,0)),0))</f>
        <v/>
      </c>
      <c r="F5158" s="103" t="str">
        <f aca="false">IF($C5158="","",$D5158*$E5158)</f>
        <v/>
      </c>
      <c r="G5158" s="103" t="str">
        <f aca="false">IF($C5158="","",$D5158*IFERROR(INDEX('تحليل التكلفة والسعر'!$C$2:$C$700,MATCH($C5158,'تحليل التكلفة والسعر'!$B$2:$B$700,0)),0))</f>
        <v/>
      </c>
    </row>
    <row r="5159" customFormat="false" ht="15" hidden="false" customHeight="false" outlineLevel="0" collapsed="false">
      <c r="A5159" s="102"/>
      <c r="E5159" s="103" t="str">
        <f aca="false">IF($C5159="","",IFERROR(INDEX(المنيو!$C$2:$C$500,MATCH($C5159,المنيو!$B$2:$B$500,0)),0))</f>
        <v/>
      </c>
      <c r="F5159" s="103" t="str">
        <f aca="false">IF($C5159="","",$D5159*$E5159)</f>
        <v/>
      </c>
      <c r="G5159" s="103" t="str">
        <f aca="false">IF($C5159="","",$D5159*IFERROR(INDEX('تحليل التكلفة والسعر'!$C$2:$C$700,MATCH($C5159,'تحليل التكلفة والسعر'!$B$2:$B$700,0)),0))</f>
        <v/>
      </c>
    </row>
    <row r="5160" customFormat="false" ht="15" hidden="false" customHeight="false" outlineLevel="0" collapsed="false">
      <c r="A5160" s="102"/>
      <c r="E5160" s="103" t="str">
        <f aca="false">IF($C5160="","",IFERROR(INDEX(المنيو!$C$2:$C$500,MATCH($C5160,المنيو!$B$2:$B$500,0)),0))</f>
        <v/>
      </c>
      <c r="F5160" s="103" t="str">
        <f aca="false">IF($C5160="","",$D5160*$E5160)</f>
        <v/>
      </c>
      <c r="G5160" s="103" t="str">
        <f aca="false">IF($C5160="","",$D5160*IFERROR(INDEX('تحليل التكلفة والسعر'!$C$2:$C$700,MATCH($C5160,'تحليل التكلفة والسعر'!$B$2:$B$700,0)),0))</f>
        <v/>
      </c>
    </row>
    <row r="5161" customFormat="false" ht="15" hidden="false" customHeight="false" outlineLevel="0" collapsed="false">
      <c r="A5161" s="102"/>
      <c r="E5161" s="103" t="str">
        <f aca="false">IF($C5161="","",IFERROR(INDEX(المنيو!$C$2:$C$500,MATCH($C5161,المنيو!$B$2:$B$500,0)),0))</f>
        <v/>
      </c>
      <c r="F5161" s="103" t="str">
        <f aca="false">IF($C5161="","",$D5161*$E5161)</f>
        <v/>
      </c>
      <c r="G5161" s="103" t="str">
        <f aca="false">IF($C5161="","",$D5161*IFERROR(INDEX('تحليل التكلفة والسعر'!$C$2:$C$700,MATCH($C5161,'تحليل التكلفة والسعر'!$B$2:$B$700,0)),0))</f>
        <v/>
      </c>
    </row>
    <row r="5162" customFormat="false" ht="15" hidden="false" customHeight="false" outlineLevel="0" collapsed="false">
      <c r="A5162" s="102"/>
      <c r="E5162" s="103" t="str">
        <f aca="false">IF($C5162="","",IFERROR(INDEX(المنيو!$C$2:$C$500,MATCH($C5162,المنيو!$B$2:$B$500,0)),0))</f>
        <v/>
      </c>
      <c r="F5162" s="103" t="str">
        <f aca="false">IF($C5162="","",$D5162*$E5162)</f>
        <v/>
      </c>
      <c r="G5162" s="103" t="str">
        <f aca="false">IF($C5162="","",$D5162*IFERROR(INDEX('تحليل التكلفة والسعر'!$C$2:$C$700,MATCH($C5162,'تحليل التكلفة والسعر'!$B$2:$B$700,0)),0))</f>
        <v/>
      </c>
    </row>
    <row r="5163" customFormat="false" ht="15" hidden="false" customHeight="false" outlineLevel="0" collapsed="false">
      <c r="A5163" s="102"/>
      <c r="E5163" s="103" t="str">
        <f aca="false">IF($C5163="","",IFERROR(INDEX(المنيو!$C$2:$C$500,MATCH($C5163,المنيو!$B$2:$B$500,0)),0))</f>
        <v/>
      </c>
      <c r="F5163" s="103" t="str">
        <f aca="false">IF($C5163="","",$D5163*$E5163)</f>
        <v/>
      </c>
      <c r="G5163" s="103" t="str">
        <f aca="false">IF($C5163="","",$D5163*IFERROR(INDEX('تحليل التكلفة والسعر'!$C$2:$C$700,MATCH($C5163,'تحليل التكلفة والسعر'!$B$2:$B$700,0)),0))</f>
        <v/>
      </c>
    </row>
    <row r="5164" customFormat="false" ht="15" hidden="false" customHeight="false" outlineLevel="0" collapsed="false">
      <c r="A5164" s="102"/>
      <c r="E5164" s="103" t="str">
        <f aca="false">IF($C5164="","",IFERROR(INDEX(المنيو!$C$2:$C$500,MATCH($C5164,المنيو!$B$2:$B$500,0)),0))</f>
        <v/>
      </c>
      <c r="F5164" s="103" t="str">
        <f aca="false">IF($C5164="","",$D5164*$E5164)</f>
        <v/>
      </c>
      <c r="G5164" s="103" t="str">
        <f aca="false">IF($C5164="","",$D5164*IFERROR(INDEX('تحليل التكلفة والسعر'!$C$2:$C$700,MATCH($C5164,'تحليل التكلفة والسعر'!$B$2:$B$700,0)),0))</f>
        <v/>
      </c>
    </row>
    <row r="5165" customFormat="false" ht="15" hidden="false" customHeight="false" outlineLevel="0" collapsed="false">
      <c r="A5165" s="102"/>
      <c r="E5165" s="103" t="str">
        <f aca="false">IF($C5165="","",IFERROR(INDEX(المنيو!$C$2:$C$500,MATCH($C5165,المنيو!$B$2:$B$500,0)),0))</f>
        <v/>
      </c>
      <c r="F5165" s="103" t="str">
        <f aca="false">IF($C5165="","",$D5165*$E5165)</f>
        <v/>
      </c>
      <c r="G5165" s="103" t="str">
        <f aca="false">IF($C5165="","",$D5165*IFERROR(INDEX('تحليل التكلفة والسعر'!$C$2:$C$700,MATCH($C5165,'تحليل التكلفة والسعر'!$B$2:$B$700,0)),0))</f>
        <v/>
      </c>
    </row>
    <row r="5166" customFormat="false" ht="15" hidden="false" customHeight="false" outlineLevel="0" collapsed="false">
      <c r="A5166" s="102"/>
      <c r="E5166" s="103" t="str">
        <f aca="false">IF($C5166="","",IFERROR(INDEX(المنيو!$C$2:$C$500,MATCH($C5166,المنيو!$B$2:$B$500,0)),0))</f>
        <v/>
      </c>
      <c r="F5166" s="103" t="str">
        <f aca="false">IF($C5166="","",$D5166*$E5166)</f>
        <v/>
      </c>
      <c r="G5166" s="103" t="str">
        <f aca="false">IF($C5166="","",$D5166*IFERROR(INDEX('تحليل التكلفة والسعر'!$C$2:$C$700,MATCH($C5166,'تحليل التكلفة والسعر'!$B$2:$B$700,0)),0))</f>
        <v/>
      </c>
    </row>
    <row r="5167" customFormat="false" ht="15" hidden="false" customHeight="false" outlineLevel="0" collapsed="false">
      <c r="A5167" s="102"/>
      <c r="E5167" s="103" t="str">
        <f aca="false">IF($C5167="","",IFERROR(INDEX(المنيو!$C$2:$C$500,MATCH($C5167,المنيو!$B$2:$B$500,0)),0))</f>
        <v/>
      </c>
      <c r="F5167" s="103" t="str">
        <f aca="false">IF($C5167="","",$D5167*$E5167)</f>
        <v/>
      </c>
      <c r="G5167" s="103" t="str">
        <f aca="false">IF($C5167="","",$D5167*IFERROR(INDEX('تحليل التكلفة والسعر'!$C$2:$C$700,MATCH($C5167,'تحليل التكلفة والسعر'!$B$2:$B$700,0)),0))</f>
        <v/>
      </c>
    </row>
    <row r="5168" customFormat="false" ht="15" hidden="false" customHeight="false" outlineLevel="0" collapsed="false">
      <c r="A5168" s="102"/>
      <c r="E5168" s="103" t="str">
        <f aca="false">IF($C5168="","",IFERROR(INDEX(المنيو!$C$2:$C$500,MATCH($C5168,المنيو!$B$2:$B$500,0)),0))</f>
        <v/>
      </c>
      <c r="F5168" s="103" t="str">
        <f aca="false">IF($C5168="","",$D5168*$E5168)</f>
        <v/>
      </c>
      <c r="G5168" s="103" t="str">
        <f aca="false">IF($C5168="","",$D5168*IFERROR(INDEX('تحليل التكلفة والسعر'!$C$2:$C$700,MATCH($C5168,'تحليل التكلفة والسعر'!$B$2:$B$700,0)),0))</f>
        <v/>
      </c>
    </row>
    <row r="5169" customFormat="false" ht="15" hidden="false" customHeight="false" outlineLevel="0" collapsed="false">
      <c r="A5169" s="102"/>
      <c r="E5169" s="103" t="str">
        <f aca="false">IF($C5169="","",IFERROR(INDEX(المنيو!$C$2:$C$500,MATCH($C5169,المنيو!$B$2:$B$500,0)),0))</f>
        <v/>
      </c>
      <c r="F5169" s="103" t="str">
        <f aca="false">IF($C5169="","",$D5169*$E5169)</f>
        <v/>
      </c>
      <c r="G5169" s="103" t="str">
        <f aca="false">IF($C5169="","",$D5169*IFERROR(INDEX('تحليل التكلفة والسعر'!$C$2:$C$700,MATCH($C5169,'تحليل التكلفة والسعر'!$B$2:$B$700,0)),0))</f>
        <v/>
      </c>
    </row>
    <row r="5170" customFormat="false" ht="15" hidden="false" customHeight="false" outlineLevel="0" collapsed="false">
      <c r="A5170" s="102"/>
      <c r="E5170" s="103" t="str">
        <f aca="false">IF($C5170="","",IFERROR(INDEX(المنيو!$C$2:$C$500,MATCH($C5170,المنيو!$B$2:$B$500,0)),0))</f>
        <v/>
      </c>
      <c r="F5170" s="103" t="str">
        <f aca="false">IF($C5170="","",$D5170*$E5170)</f>
        <v/>
      </c>
      <c r="G5170" s="103" t="str">
        <f aca="false">IF($C5170="","",$D5170*IFERROR(INDEX('تحليل التكلفة والسعر'!$C$2:$C$700,MATCH($C5170,'تحليل التكلفة والسعر'!$B$2:$B$700,0)),0))</f>
        <v/>
      </c>
    </row>
    <row r="5171" customFormat="false" ht="15" hidden="false" customHeight="false" outlineLevel="0" collapsed="false">
      <c r="A5171" s="102"/>
      <c r="E5171" s="103" t="str">
        <f aca="false">IF($C5171="","",IFERROR(INDEX(المنيو!$C$2:$C$500,MATCH($C5171,المنيو!$B$2:$B$500,0)),0))</f>
        <v/>
      </c>
      <c r="F5171" s="103" t="str">
        <f aca="false">IF($C5171="","",$D5171*$E5171)</f>
        <v/>
      </c>
      <c r="G5171" s="103" t="str">
        <f aca="false">IF($C5171="","",$D5171*IFERROR(INDEX('تحليل التكلفة والسعر'!$C$2:$C$700,MATCH($C5171,'تحليل التكلفة والسعر'!$B$2:$B$700,0)),0))</f>
        <v/>
      </c>
    </row>
    <row r="5172" customFormat="false" ht="15" hidden="false" customHeight="false" outlineLevel="0" collapsed="false">
      <c r="A5172" s="102"/>
      <c r="E5172" s="103" t="str">
        <f aca="false">IF($C5172="","",IFERROR(INDEX(المنيو!$C$2:$C$500,MATCH($C5172,المنيو!$B$2:$B$500,0)),0))</f>
        <v/>
      </c>
      <c r="F5172" s="103" t="str">
        <f aca="false">IF($C5172="","",$D5172*$E5172)</f>
        <v/>
      </c>
      <c r="G5172" s="103" t="str">
        <f aca="false">IF($C5172="","",$D5172*IFERROR(INDEX('تحليل التكلفة والسعر'!$C$2:$C$700,MATCH($C5172,'تحليل التكلفة والسعر'!$B$2:$B$700,0)),0))</f>
        <v/>
      </c>
    </row>
    <row r="5173" customFormat="false" ht="15" hidden="false" customHeight="false" outlineLevel="0" collapsed="false">
      <c r="A5173" s="102"/>
      <c r="E5173" s="103" t="str">
        <f aca="false">IF($C5173="","",IFERROR(INDEX(المنيو!$C$2:$C$500,MATCH($C5173,المنيو!$B$2:$B$500,0)),0))</f>
        <v/>
      </c>
      <c r="F5173" s="103" t="str">
        <f aca="false">IF($C5173="","",$D5173*$E5173)</f>
        <v/>
      </c>
      <c r="G5173" s="103" t="str">
        <f aca="false">IF($C5173="","",$D5173*IFERROR(INDEX('تحليل التكلفة والسعر'!$C$2:$C$700,MATCH($C5173,'تحليل التكلفة والسعر'!$B$2:$B$700,0)),0))</f>
        <v/>
      </c>
    </row>
    <row r="5174" customFormat="false" ht="15" hidden="false" customHeight="false" outlineLevel="0" collapsed="false">
      <c r="A5174" s="102"/>
      <c r="E5174" s="103" t="str">
        <f aca="false">IF($C5174="","",IFERROR(INDEX(المنيو!$C$2:$C$500,MATCH($C5174,المنيو!$B$2:$B$500,0)),0))</f>
        <v/>
      </c>
      <c r="F5174" s="103" t="str">
        <f aca="false">IF($C5174="","",$D5174*$E5174)</f>
        <v/>
      </c>
      <c r="G5174" s="103" t="str">
        <f aca="false">IF($C5174="","",$D5174*IFERROR(INDEX('تحليل التكلفة والسعر'!$C$2:$C$700,MATCH($C5174,'تحليل التكلفة والسعر'!$B$2:$B$700,0)),0))</f>
        <v/>
      </c>
    </row>
    <row r="5175" customFormat="false" ht="15" hidden="false" customHeight="false" outlineLevel="0" collapsed="false">
      <c r="A5175" s="102"/>
      <c r="E5175" s="103" t="str">
        <f aca="false">IF($C5175="","",IFERROR(INDEX(المنيو!$C$2:$C$500,MATCH($C5175,المنيو!$B$2:$B$500,0)),0))</f>
        <v/>
      </c>
      <c r="F5175" s="103" t="str">
        <f aca="false">IF($C5175="","",$D5175*$E5175)</f>
        <v/>
      </c>
      <c r="G5175" s="103" t="str">
        <f aca="false">IF($C5175="","",$D5175*IFERROR(INDEX('تحليل التكلفة والسعر'!$C$2:$C$700,MATCH($C5175,'تحليل التكلفة والسعر'!$B$2:$B$700,0)),0))</f>
        <v/>
      </c>
    </row>
    <row r="5176" customFormat="false" ht="15" hidden="false" customHeight="false" outlineLevel="0" collapsed="false">
      <c r="A5176" s="102"/>
      <c r="E5176" s="103" t="str">
        <f aca="false">IF($C5176="","",IFERROR(INDEX(المنيو!$C$2:$C$500,MATCH($C5176,المنيو!$B$2:$B$500,0)),0))</f>
        <v/>
      </c>
      <c r="F5176" s="103" t="str">
        <f aca="false">IF($C5176="","",$D5176*$E5176)</f>
        <v/>
      </c>
      <c r="G5176" s="103" t="str">
        <f aca="false">IF($C5176="","",$D5176*IFERROR(INDEX('تحليل التكلفة والسعر'!$C$2:$C$700,MATCH($C5176,'تحليل التكلفة والسعر'!$B$2:$B$700,0)),0))</f>
        <v/>
      </c>
    </row>
    <row r="5177" customFormat="false" ht="15" hidden="false" customHeight="false" outlineLevel="0" collapsed="false">
      <c r="A5177" s="102"/>
      <c r="E5177" s="103" t="str">
        <f aca="false">IF($C5177="","",IFERROR(INDEX(المنيو!$C$2:$C$500,MATCH($C5177,المنيو!$B$2:$B$500,0)),0))</f>
        <v/>
      </c>
      <c r="F5177" s="103" t="str">
        <f aca="false">IF($C5177="","",$D5177*$E5177)</f>
        <v/>
      </c>
      <c r="G5177" s="103" t="str">
        <f aca="false">IF($C5177="","",$D5177*IFERROR(INDEX('تحليل التكلفة والسعر'!$C$2:$C$700,MATCH($C5177,'تحليل التكلفة والسعر'!$B$2:$B$700,0)),0))</f>
        <v/>
      </c>
    </row>
    <row r="5178" customFormat="false" ht="15" hidden="false" customHeight="false" outlineLevel="0" collapsed="false">
      <c r="A5178" s="102"/>
      <c r="E5178" s="103" t="str">
        <f aca="false">IF($C5178="","",IFERROR(INDEX(المنيو!$C$2:$C$500,MATCH($C5178,المنيو!$B$2:$B$500,0)),0))</f>
        <v/>
      </c>
      <c r="F5178" s="103" t="str">
        <f aca="false">IF($C5178="","",$D5178*$E5178)</f>
        <v/>
      </c>
      <c r="G5178" s="103" t="str">
        <f aca="false">IF($C5178="","",$D5178*IFERROR(INDEX('تحليل التكلفة والسعر'!$C$2:$C$700,MATCH($C5178,'تحليل التكلفة والسعر'!$B$2:$B$700,0)),0))</f>
        <v/>
      </c>
    </row>
    <row r="5179" customFormat="false" ht="15" hidden="false" customHeight="false" outlineLevel="0" collapsed="false">
      <c r="A5179" s="102"/>
      <c r="E5179" s="103" t="str">
        <f aca="false">IF($C5179="","",IFERROR(INDEX(المنيو!$C$2:$C$500,MATCH($C5179,المنيو!$B$2:$B$500,0)),0))</f>
        <v/>
      </c>
      <c r="F5179" s="103" t="str">
        <f aca="false">IF($C5179="","",$D5179*$E5179)</f>
        <v/>
      </c>
      <c r="G5179" s="103" t="str">
        <f aca="false">IF($C5179="","",$D5179*IFERROR(INDEX('تحليل التكلفة والسعر'!$C$2:$C$700,MATCH($C5179,'تحليل التكلفة والسعر'!$B$2:$B$700,0)),0))</f>
        <v/>
      </c>
    </row>
    <row r="5180" customFormat="false" ht="15" hidden="false" customHeight="false" outlineLevel="0" collapsed="false">
      <c r="A5180" s="102"/>
      <c r="E5180" s="103" t="str">
        <f aca="false">IF($C5180="","",IFERROR(INDEX(المنيو!$C$2:$C$500,MATCH($C5180,المنيو!$B$2:$B$500,0)),0))</f>
        <v/>
      </c>
      <c r="F5180" s="103" t="str">
        <f aca="false">IF($C5180="","",$D5180*$E5180)</f>
        <v/>
      </c>
      <c r="G5180" s="103" t="str">
        <f aca="false">IF($C5180="","",$D5180*IFERROR(INDEX('تحليل التكلفة والسعر'!$C$2:$C$700,MATCH($C5180,'تحليل التكلفة والسعر'!$B$2:$B$700,0)),0))</f>
        <v/>
      </c>
    </row>
    <row r="5181" customFormat="false" ht="15" hidden="false" customHeight="false" outlineLevel="0" collapsed="false">
      <c r="A5181" s="102"/>
      <c r="E5181" s="103" t="str">
        <f aca="false">IF($C5181="","",IFERROR(INDEX(المنيو!$C$2:$C$500,MATCH($C5181,المنيو!$B$2:$B$500,0)),0))</f>
        <v/>
      </c>
      <c r="F5181" s="103" t="str">
        <f aca="false">IF($C5181="","",$D5181*$E5181)</f>
        <v/>
      </c>
      <c r="G5181" s="103" t="str">
        <f aca="false">IF($C5181="","",$D5181*IFERROR(INDEX('تحليل التكلفة والسعر'!$C$2:$C$700,MATCH($C5181,'تحليل التكلفة والسعر'!$B$2:$B$700,0)),0))</f>
        <v/>
      </c>
    </row>
    <row r="5182" customFormat="false" ht="15" hidden="false" customHeight="false" outlineLevel="0" collapsed="false">
      <c r="A5182" s="102"/>
      <c r="E5182" s="103" t="str">
        <f aca="false">IF($C5182="","",IFERROR(INDEX(المنيو!$C$2:$C$500,MATCH($C5182,المنيو!$B$2:$B$500,0)),0))</f>
        <v/>
      </c>
      <c r="F5182" s="103" t="str">
        <f aca="false">IF($C5182="","",$D5182*$E5182)</f>
        <v/>
      </c>
      <c r="G5182" s="103" t="str">
        <f aca="false">IF($C5182="","",$D5182*IFERROR(INDEX('تحليل التكلفة والسعر'!$C$2:$C$700,MATCH($C5182,'تحليل التكلفة والسعر'!$B$2:$B$700,0)),0))</f>
        <v/>
      </c>
    </row>
    <row r="5183" customFormat="false" ht="15" hidden="false" customHeight="false" outlineLevel="0" collapsed="false">
      <c r="A5183" s="102"/>
      <c r="E5183" s="103" t="str">
        <f aca="false">IF($C5183="","",IFERROR(INDEX(المنيو!$C$2:$C$500,MATCH($C5183,المنيو!$B$2:$B$500,0)),0))</f>
        <v/>
      </c>
      <c r="F5183" s="103" t="str">
        <f aca="false">IF($C5183="","",$D5183*$E5183)</f>
        <v/>
      </c>
      <c r="G5183" s="103" t="str">
        <f aca="false">IF($C5183="","",$D5183*IFERROR(INDEX('تحليل التكلفة والسعر'!$C$2:$C$700,MATCH($C5183,'تحليل التكلفة والسعر'!$B$2:$B$700,0)),0))</f>
        <v/>
      </c>
    </row>
    <row r="5184" customFormat="false" ht="15" hidden="false" customHeight="false" outlineLevel="0" collapsed="false">
      <c r="A5184" s="102"/>
      <c r="E5184" s="103" t="str">
        <f aca="false">IF($C5184="","",IFERROR(INDEX(المنيو!$C$2:$C$500,MATCH($C5184,المنيو!$B$2:$B$500,0)),0))</f>
        <v/>
      </c>
      <c r="F5184" s="103" t="str">
        <f aca="false">IF($C5184="","",$D5184*$E5184)</f>
        <v/>
      </c>
      <c r="G5184" s="103" t="str">
        <f aca="false">IF($C5184="","",$D5184*IFERROR(INDEX('تحليل التكلفة والسعر'!$C$2:$C$700,MATCH($C5184,'تحليل التكلفة والسعر'!$B$2:$B$700,0)),0))</f>
        <v/>
      </c>
    </row>
    <row r="5185" customFormat="false" ht="15" hidden="false" customHeight="false" outlineLevel="0" collapsed="false">
      <c r="A5185" s="102"/>
      <c r="E5185" s="103" t="str">
        <f aca="false">IF($C5185="","",IFERROR(INDEX(المنيو!$C$2:$C$500,MATCH($C5185,المنيو!$B$2:$B$500,0)),0))</f>
        <v/>
      </c>
      <c r="F5185" s="103" t="str">
        <f aca="false">IF($C5185="","",$D5185*$E5185)</f>
        <v/>
      </c>
      <c r="G5185" s="103" t="str">
        <f aca="false">IF($C5185="","",$D5185*IFERROR(INDEX('تحليل التكلفة والسعر'!$C$2:$C$700,MATCH($C5185,'تحليل التكلفة والسعر'!$B$2:$B$700,0)),0))</f>
        <v/>
      </c>
    </row>
    <row r="5186" customFormat="false" ht="15" hidden="false" customHeight="false" outlineLevel="0" collapsed="false">
      <c r="A5186" s="102"/>
      <c r="E5186" s="103" t="str">
        <f aca="false">IF($C5186="","",IFERROR(INDEX(المنيو!$C$2:$C$500,MATCH($C5186,المنيو!$B$2:$B$500,0)),0))</f>
        <v/>
      </c>
      <c r="F5186" s="103" t="str">
        <f aca="false">IF($C5186="","",$D5186*$E5186)</f>
        <v/>
      </c>
      <c r="G5186" s="103" t="str">
        <f aca="false">IF($C5186="","",$D5186*IFERROR(INDEX('تحليل التكلفة والسعر'!$C$2:$C$700,MATCH($C5186,'تحليل التكلفة والسعر'!$B$2:$B$700,0)),0))</f>
        <v/>
      </c>
    </row>
    <row r="5187" customFormat="false" ht="15" hidden="false" customHeight="false" outlineLevel="0" collapsed="false">
      <c r="A5187" s="102"/>
      <c r="E5187" s="103" t="str">
        <f aca="false">IF($C5187="","",IFERROR(INDEX(المنيو!$C$2:$C$500,MATCH($C5187,المنيو!$B$2:$B$500,0)),0))</f>
        <v/>
      </c>
      <c r="F5187" s="103" t="str">
        <f aca="false">IF($C5187="","",$D5187*$E5187)</f>
        <v/>
      </c>
      <c r="G5187" s="103" t="str">
        <f aca="false">IF($C5187="","",$D5187*IFERROR(INDEX('تحليل التكلفة والسعر'!$C$2:$C$700,MATCH($C5187,'تحليل التكلفة والسعر'!$B$2:$B$700,0)),0))</f>
        <v/>
      </c>
    </row>
    <row r="5188" customFormat="false" ht="15" hidden="false" customHeight="false" outlineLevel="0" collapsed="false">
      <c r="A5188" s="102"/>
      <c r="E5188" s="103" t="str">
        <f aca="false">IF($C5188="","",IFERROR(INDEX(المنيو!$C$2:$C$500,MATCH($C5188,المنيو!$B$2:$B$500,0)),0))</f>
        <v/>
      </c>
      <c r="F5188" s="103" t="str">
        <f aca="false">IF($C5188="","",$D5188*$E5188)</f>
        <v/>
      </c>
      <c r="G5188" s="103" t="str">
        <f aca="false">IF($C5188="","",$D5188*IFERROR(INDEX('تحليل التكلفة والسعر'!$C$2:$C$700,MATCH($C5188,'تحليل التكلفة والسعر'!$B$2:$B$700,0)),0))</f>
        <v/>
      </c>
    </row>
    <row r="5189" customFormat="false" ht="15" hidden="false" customHeight="false" outlineLevel="0" collapsed="false">
      <c r="A5189" s="102"/>
      <c r="E5189" s="103" t="str">
        <f aca="false">IF($C5189="","",IFERROR(INDEX(المنيو!$C$2:$C$500,MATCH($C5189,المنيو!$B$2:$B$500,0)),0))</f>
        <v/>
      </c>
      <c r="F5189" s="103" t="str">
        <f aca="false">IF($C5189="","",$D5189*$E5189)</f>
        <v/>
      </c>
      <c r="G5189" s="103" t="str">
        <f aca="false">IF($C5189="","",$D5189*IFERROR(INDEX('تحليل التكلفة والسعر'!$C$2:$C$700,MATCH($C5189,'تحليل التكلفة والسعر'!$B$2:$B$700,0)),0))</f>
        <v/>
      </c>
    </row>
    <row r="5190" customFormat="false" ht="15" hidden="false" customHeight="false" outlineLevel="0" collapsed="false">
      <c r="A5190" s="102"/>
      <c r="E5190" s="103" t="str">
        <f aca="false">IF($C5190="","",IFERROR(INDEX(المنيو!$C$2:$C$500,MATCH($C5190,المنيو!$B$2:$B$500,0)),0))</f>
        <v/>
      </c>
      <c r="F5190" s="103" t="str">
        <f aca="false">IF($C5190="","",$D5190*$E5190)</f>
        <v/>
      </c>
      <c r="G5190" s="103" t="str">
        <f aca="false">IF($C5190="","",$D5190*IFERROR(INDEX('تحليل التكلفة والسعر'!$C$2:$C$700,MATCH($C5190,'تحليل التكلفة والسعر'!$B$2:$B$700,0)),0))</f>
        <v/>
      </c>
    </row>
    <row r="5191" customFormat="false" ht="15" hidden="false" customHeight="false" outlineLevel="0" collapsed="false">
      <c r="A5191" s="102"/>
      <c r="E5191" s="103" t="str">
        <f aca="false">IF($C5191="","",IFERROR(INDEX(المنيو!$C$2:$C$500,MATCH($C5191,المنيو!$B$2:$B$500,0)),0))</f>
        <v/>
      </c>
      <c r="F5191" s="103" t="str">
        <f aca="false">IF($C5191="","",$D5191*$E5191)</f>
        <v/>
      </c>
      <c r="G5191" s="103" t="str">
        <f aca="false">IF($C5191="","",$D5191*IFERROR(INDEX('تحليل التكلفة والسعر'!$C$2:$C$700,MATCH($C5191,'تحليل التكلفة والسعر'!$B$2:$B$700,0)),0))</f>
        <v/>
      </c>
    </row>
    <row r="5192" customFormat="false" ht="15" hidden="false" customHeight="false" outlineLevel="0" collapsed="false">
      <c r="A5192" s="102"/>
      <c r="E5192" s="103" t="str">
        <f aca="false">IF($C5192="","",IFERROR(INDEX(المنيو!$C$2:$C$500,MATCH($C5192,المنيو!$B$2:$B$500,0)),0))</f>
        <v/>
      </c>
      <c r="F5192" s="103" t="str">
        <f aca="false">IF($C5192="","",$D5192*$E5192)</f>
        <v/>
      </c>
      <c r="G5192" s="103" t="str">
        <f aca="false">IF($C5192="","",$D5192*IFERROR(INDEX('تحليل التكلفة والسعر'!$C$2:$C$700,MATCH($C5192,'تحليل التكلفة والسعر'!$B$2:$B$700,0)),0))</f>
        <v/>
      </c>
    </row>
    <row r="5193" customFormat="false" ht="15" hidden="false" customHeight="false" outlineLevel="0" collapsed="false">
      <c r="A5193" s="102"/>
      <c r="E5193" s="103" t="str">
        <f aca="false">IF($C5193="","",IFERROR(INDEX(المنيو!$C$2:$C$500,MATCH($C5193,المنيو!$B$2:$B$500,0)),0))</f>
        <v/>
      </c>
      <c r="F5193" s="103" t="str">
        <f aca="false">IF($C5193="","",$D5193*$E5193)</f>
        <v/>
      </c>
      <c r="G5193" s="103" t="str">
        <f aca="false">IF($C5193="","",$D5193*IFERROR(INDEX('تحليل التكلفة والسعر'!$C$2:$C$700,MATCH($C5193,'تحليل التكلفة والسعر'!$B$2:$B$700,0)),0))</f>
        <v/>
      </c>
    </row>
    <row r="5194" customFormat="false" ht="15" hidden="false" customHeight="false" outlineLevel="0" collapsed="false">
      <c r="A5194" s="102"/>
      <c r="E5194" s="103" t="str">
        <f aca="false">IF($C5194="","",IFERROR(INDEX(المنيو!$C$2:$C$500,MATCH($C5194,المنيو!$B$2:$B$500,0)),0))</f>
        <v/>
      </c>
      <c r="F5194" s="103" t="str">
        <f aca="false">IF($C5194="","",$D5194*$E5194)</f>
        <v/>
      </c>
      <c r="G5194" s="103" t="str">
        <f aca="false">IF($C5194="","",$D5194*IFERROR(INDEX('تحليل التكلفة والسعر'!$C$2:$C$700,MATCH($C5194,'تحليل التكلفة والسعر'!$B$2:$B$700,0)),0))</f>
        <v/>
      </c>
    </row>
    <row r="5195" customFormat="false" ht="15" hidden="false" customHeight="false" outlineLevel="0" collapsed="false">
      <c r="A5195" s="102"/>
      <c r="E5195" s="103" t="str">
        <f aca="false">IF($C5195="","",IFERROR(INDEX(المنيو!$C$2:$C$500,MATCH($C5195,المنيو!$B$2:$B$500,0)),0))</f>
        <v/>
      </c>
      <c r="F5195" s="103" t="str">
        <f aca="false">IF($C5195="","",$D5195*$E5195)</f>
        <v/>
      </c>
      <c r="G5195" s="103" t="str">
        <f aca="false">IF($C5195="","",$D5195*IFERROR(INDEX('تحليل التكلفة والسعر'!$C$2:$C$700,MATCH($C5195,'تحليل التكلفة والسعر'!$B$2:$B$700,0)),0))</f>
        <v/>
      </c>
    </row>
    <row r="5196" customFormat="false" ht="15" hidden="false" customHeight="false" outlineLevel="0" collapsed="false">
      <c r="A5196" s="102"/>
      <c r="E5196" s="103" t="str">
        <f aca="false">IF($C5196="","",IFERROR(INDEX(المنيو!$C$2:$C$500,MATCH($C5196,المنيو!$B$2:$B$500,0)),0))</f>
        <v/>
      </c>
      <c r="F5196" s="103" t="str">
        <f aca="false">IF($C5196="","",$D5196*$E5196)</f>
        <v/>
      </c>
      <c r="G5196" s="103" t="str">
        <f aca="false">IF($C5196="","",$D5196*IFERROR(INDEX('تحليل التكلفة والسعر'!$C$2:$C$700,MATCH($C5196,'تحليل التكلفة والسعر'!$B$2:$B$700,0)),0))</f>
        <v/>
      </c>
    </row>
    <row r="5197" customFormat="false" ht="15" hidden="false" customHeight="false" outlineLevel="0" collapsed="false">
      <c r="A5197" s="102"/>
      <c r="E5197" s="103" t="str">
        <f aca="false">IF($C5197="","",IFERROR(INDEX(المنيو!$C$2:$C$500,MATCH($C5197,المنيو!$B$2:$B$500,0)),0))</f>
        <v/>
      </c>
      <c r="F5197" s="103" t="str">
        <f aca="false">IF($C5197="","",$D5197*$E5197)</f>
        <v/>
      </c>
      <c r="G5197" s="103" t="str">
        <f aca="false">IF($C5197="","",$D5197*IFERROR(INDEX('تحليل التكلفة والسعر'!$C$2:$C$700,MATCH($C5197,'تحليل التكلفة والسعر'!$B$2:$B$700,0)),0))</f>
        <v/>
      </c>
    </row>
    <row r="5198" customFormat="false" ht="15" hidden="false" customHeight="false" outlineLevel="0" collapsed="false">
      <c r="A5198" s="102"/>
      <c r="E5198" s="103" t="str">
        <f aca="false">IF($C5198="","",IFERROR(INDEX(المنيو!$C$2:$C$500,MATCH($C5198,المنيو!$B$2:$B$500,0)),0))</f>
        <v/>
      </c>
      <c r="F5198" s="103" t="str">
        <f aca="false">IF($C5198="","",$D5198*$E5198)</f>
        <v/>
      </c>
      <c r="G5198" s="103" t="str">
        <f aca="false">IF($C5198="","",$D5198*IFERROR(INDEX('تحليل التكلفة والسعر'!$C$2:$C$700,MATCH($C5198,'تحليل التكلفة والسعر'!$B$2:$B$700,0)),0))</f>
        <v/>
      </c>
    </row>
    <row r="5199" customFormat="false" ht="15" hidden="false" customHeight="false" outlineLevel="0" collapsed="false">
      <c r="A5199" s="102"/>
      <c r="E5199" s="103" t="str">
        <f aca="false">IF($C5199="","",IFERROR(INDEX(المنيو!$C$2:$C$500,MATCH($C5199,المنيو!$B$2:$B$500,0)),0))</f>
        <v/>
      </c>
      <c r="F5199" s="103" t="str">
        <f aca="false">IF($C5199="","",$D5199*$E5199)</f>
        <v/>
      </c>
      <c r="G5199" s="103" t="str">
        <f aca="false">IF($C5199="","",$D5199*IFERROR(INDEX('تحليل التكلفة والسعر'!$C$2:$C$700,MATCH($C5199,'تحليل التكلفة والسعر'!$B$2:$B$700,0)),0))</f>
        <v/>
      </c>
    </row>
    <row r="5200" customFormat="false" ht="15" hidden="false" customHeight="false" outlineLevel="0" collapsed="false">
      <c r="A5200" s="102"/>
      <c r="E5200" s="103" t="str">
        <f aca="false">IF($C5200="","",IFERROR(INDEX(المنيو!$C$2:$C$500,MATCH($C5200,المنيو!$B$2:$B$500,0)),0))</f>
        <v/>
      </c>
      <c r="F5200" s="103" t="str">
        <f aca="false">IF($C5200="","",$D5200*$E5200)</f>
        <v/>
      </c>
      <c r="G5200" s="103" t="str">
        <f aca="false">IF($C5200="","",$D5200*IFERROR(INDEX('تحليل التكلفة والسعر'!$C$2:$C$700,MATCH($C5200,'تحليل التكلفة والسعر'!$B$2:$B$700,0)),0))</f>
        <v/>
      </c>
    </row>
    <row r="5201" customFormat="false" ht="15" hidden="false" customHeight="false" outlineLevel="0" collapsed="false">
      <c r="A5201" s="102"/>
      <c r="E5201" s="103" t="str">
        <f aca="false">IF($C5201="","",IFERROR(INDEX(المنيو!$C$2:$C$500,MATCH($C5201,المنيو!$B$2:$B$500,0)),0))</f>
        <v/>
      </c>
      <c r="F5201" s="103" t="str">
        <f aca="false">IF($C5201="","",$D5201*$E5201)</f>
        <v/>
      </c>
      <c r="G5201" s="103" t="str">
        <f aca="false">IF($C5201="","",$D5201*IFERROR(INDEX('تحليل التكلفة والسعر'!$C$2:$C$700,MATCH($C5201,'تحليل التكلفة والسعر'!$B$2:$B$700,0)),0))</f>
        <v/>
      </c>
    </row>
    <row r="5202" customFormat="false" ht="15" hidden="false" customHeight="false" outlineLevel="0" collapsed="false">
      <c r="A5202" s="102"/>
      <c r="E5202" s="103" t="str">
        <f aca="false">IF($C5202="","",IFERROR(INDEX(المنيو!$C$2:$C$500,MATCH($C5202,المنيو!$B$2:$B$500,0)),0))</f>
        <v/>
      </c>
      <c r="F5202" s="103" t="str">
        <f aca="false">IF($C5202="","",$D5202*$E5202)</f>
        <v/>
      </c>
      <c r="G5202" s="103" t="str">
        <f aca="false">IF($C5202="","",$D5202*IFERROR(INDEX('تحليل التكلفة والسعر'!$C$2:$C$700,MATCH($C5202,'تحليل التكلفة والسعر'!$B$2:$B$700,0)),0))</f>
        <v/>
      </c>
    </row>
    <row r="5203" customFormat="false" ht="15" hidden="false" customHeight="false" outlineLevel="0" collapsed="false">
      <c r="A5203" s="102"/>
      <c r="E5203" s="103" t="str">
        <f aca="false">IF($C5203="","",IFERROR(INDEX(المنيو!$C$2:$C$500,MATCH($C5203,المنيو!$B$2:$B$500,0)),0))</f>
        <v/>
      </c>
      <c r="F5203" s="103" t="str">
        <f aca="false">IF($C5203="","",$D5203*$E5203)</f>
        <v/>
      </c>
      <c r="G5203" s="103" t="str">
        <f aca="false">IF($C5203="","",$D5203*IFERROR(INDEX('تحليل التكلفة والسعر'!$C$2:$C$700,MATCH($C5203,'تحليل التكلفة والسعر'!$B$2:$B$700,0)),0))</f>
        <v/>
      </c>
    </row>
    <row r="5204" customFormat="false" ht="15" hidden="false" customHeight="false" outlineLevel="0" collapsed="false">
      <c r="A5204" s="102"/>
      <c r="E5204" s="103" t="str">
        <f aca="false">IF($C5204="","",IFERROR(INDEX(المنيو!$C$2:$C$500,MATCH($C5204,المنيو!$B$2:$B$500,0)),0))</f>
        <v/>
      </c>
      <c r="F5204" s="103" t="str">
        <f aca="false">IF($C5204="","",$D5204*$E5204)</f>
        <v/>
      </c>
      <c r="G5204" s="103" t="str">
        <f aca="false">IF($C5204="","",$D5204*IFERROR(INDEX('تحليل التكلفة والسعر'!$C$2:$C$700,MATCH($C5204,'تحليل التكلفة والسعر'!$B$2:$B$700,0)),0))</f>
        <v/>
      </c>
    </row>
    <row r="5205" customFormat="false" ht="15" hidden="false" customHeight="false" outlineLevel="0" collapsed="false">
      <c r="A5205" s="102"/>
      <c r="E5205" s="103" t="str">
        <f aca="false">IF($C5205="","",IFERROR(INDEX(المنيو!$C$2:$C$500,MATCH($C5205,المنيو!$B$2:$B$500,0)),0))</f>
        <v/>
      </c>
      <c r="F5205" s="103" t="str">
        <f aca="false">IF($C5205="","",$D5205*$E5205)</f>
        <v/>
      </c>
      <c r="G5205" s="103" t="str">
        <f aca="false">IF($C5205="","",$D5205*IFERROR(INDEX('تحليل التكلفة والسعر'!$C$2:$C$700,MATCH($C5205,'تحليل التكلفة والسعر'!$B$2:$B$700,0)),0))</f>
        <v/>
      </c>
    </row>
    <row r="5206" customFormat="false" ht="15" hidden="false" customHeight="false" outlineLevel="0" collapsed="false">
      <c r="A5206" s="102"/>
      <c r="E5206" s="103" t="str">
        <f aca="false">IF($C5206="","",IFERROR(INDEX(المنيو!$C$2:$C$500,MATCH($C5206,المنيو!$B$2:$B$500,0)),0))</f>
        <v/>
      </c>
      <c r="F5206" s="103" t="str">
        <f aca="false">IF($C5206="","",$D5206*$E5206)</f>
        <v/>
      </c>
      <c r="G5206" s="103" t="str">
        <f aca="false">IF($C5206="","",$D5206*IFERROR(INDEX('تحليل التكلفة والسعر'!$C$2:$C$700,MATCH($C5206,'تحليل التكلفة والسعر'!$B$2:$B$700,0)),0))</f>
        <v/>
      </c>
    </row>
    <row r="5207" customFormat="false" ht="15" hidden="false" customHeight="false" outlineLevel="0" collapsed="false">
      <c r="A5207" s="102"/>
      <c r="E5207" s="103" t="str">
        <f aca="false">IF($C5207="","",IFERROR(INDEX(المنيو!$C$2:$C$500,MATCH($C5207,المنيو!$B$2:$B$500,0)),0))</f>
        <v/>
      </c>
      <c r="F5207" s="103" t="str">
        <f aca="false">IF($C5207="","",$D5207*$E5207)</f>
        <v/>
      </c>
      <c r="G5207" s="103" t="str">
        <f aca="false">IF($C5207="","",$D5207*IFERROR(INDEX('تحليل التكلفة والسعر'!$C$2:$C$700,MATCH($C5207,'تحليل التكلفة والسعر'!$B$2:$B$700,0)),0))</f>
        <v/>
      </c>
    </row>
    <row r="5208" customFormat="false" ht="15" hidden="false" customHeight="false" outlineLevel="0" collapsed="false">
      <c r="A5208" s="102"/>
      <c r="E5208" s="103" t="str">
        <f aca="false">IF($C5208="","",IFERROR(INDEX(المنيو!$C$2:$C$500,MATCH($C5208,المنيو!$B$2:$B$500,0)),0))</f>
        <v/>
      </c>
      <c r="F5208" s="103" t="str">
        <f aca="false">IF($C5208="","",$D5208*$E5208)</f>
        <v/>
      </c>
      <c r="G5208" s="103" t="str">
        <f aca="false">IF($C5208="","",$D5208*IFERROR(INDEX('تحليل التكلفة والسعر'!$C$2:$C$700,MATCH($C5208,'تحليل التكلفة والسعر'!$B$2:$B$700,0)),0))</f>
        <v/>
      </c>
    </row>
    <row r="5209" customFormat="false" ht="15" hidden="false" customHeight="false" outlineLevel="0" collapsed="false">
      <c r="A5209" s="102"/>
      <c r="E5209" s="103" t="str">
        <f aca="false">IF($C5209="","",IFERROR(INDEX(المنيو!$C$2:$C$500,MATCH($C5209,المنيو!$B$2:$B$500,0)),0))</f>
        <v/>
      </c>
      <c r="F5209" s="103" t="str">
        <f aca="false">IF($C5209="","",$D5209*$E5209)</f>
        <v/>
      </c>
      <c r="G5209" s="103" t="str">
        <f aca="false">IF($C5209="","",$D5209*IFERROR(INDEX('تحليل التكلفة والسعر'!$C$2:$C$700,MATCH($C5209,'تحليل التكلفة والسعر'!$B$2:$B$700,0)),0))</f>
        <v/>
      </c>
    </row>
    <row r="5210" customFormat="false" ht="15" hidden="false" customHeight="false" outlineLevel="0" collapsed="false">
      <c r="A5210" s="102"/>
      <c r="E5210" s="103" t="str">
        <f aca="false">IF($C5210="","",IFERROR(INDEX(المنيو!$C$2:$C$500,MATCH($C5210,المنيو!$B$2:$B$500,0)),0))</f>
        <v/>
      </c>
      <c r="F5210" s="103" t="str">
        <f aca="false">IF($C5210="","",$D5210*$E5210)</f>
        <v/>
      </c>
      <c r="G5210" s="103" t="str">
        <f aca="false">IF($C5210="","",$D5210*IFERROR(INDEX('تحليل التكلفة والسعر'!$C$2:$C$700,MATCH($C5210,'تحليل التكلفة والسعر'!$B$2:$B$700,0)),0))</f>
        <v/>
      </c>
    </row>
    <row r="5211" customFormat="false" ht="15" hidden="false" customHeight="false" outlineLevel="0" collapsed="false">
      <c r="A5211" s="102"/>
      <c r="E5211" s="103" t="str">
        <f aca="false">IF($C5211="","",IFERROR(INDEX(المنيو!$C$2:$C$500,MATCH($C5211,المنيو!$B$2:$B$500,0)),0))</f>
        <v/>
      </c>
      <c r="F5211" s="103" t="str">
        <f aca="false">IF($C5211="","",$D5211*$E5211)</f>
        <v/>
      </c>
      <c r="G5211" s="103" t="str">
        <f aca="false">IF($C5211="","",$D5211*IFERROR(INDEX('تحليل التكلفة والسعر'!$C$2:$C$700,MATCH($C5211,'تحليل التكلفة والسعر'!$B$2:$B$700,0)),0))</f>
        <v/>
      </c>
    </row>
    <row r="5212" customFormat="false" ht="15" hidden="false" customHeight="false" outlineLevel="0" collapsed="false">
      <c r="A5212" s="102"/>
      <c r="E5212" s="103" t="str">
        <f aca="false">IF($C5212="","",IFERROR(INDEX(المنيو!$C$2:$C$500,MATCH($C5212,المنيو!$B$2:$B$500,0)),0))</f>
        <v/>
      </c>
      <c r="F5212" s="103" t="str">
        <f aca="false">IF($C5212="","",$D5212*$E5212)</f>
        <v/>
      </c>
      <c r="G5212" s="103" t="str">
        <f aca="false">IF($C5212="","",$D5212*IFERROR(INDEX('تحليل التكلفة والسعر'!$C$2:$C$700,MATCH($C5212,'تحليل التكلفة والسعر'!$B$2:$B$700,0)),0))</f>
        <v/>
      </c>
    </row>
    <row r="5213" customFormat="false" ht="15" hidden="false" customHeight="false" outlineLevel="0" collapsed="false">
      <c r="A5213" s="102"/>
      <c r="E5213" s="103" t="str">
        <f aca="false">IF($C5213="","",IFERROR(INDEX(المنيو!$C$2:$C$500,MATCH($C5213,المنيو!$B$2:$B$500,0)),0))</f>
        <v/>
      </c>
      <c r="F5213" s="103" t="str">
        <f aca="false">IF($C5213="","",$D5213*$E5213)</f>
        <v/>
      </c>
      <c r="G5213" s="103" t="str">
        <f aca="false">IF($C5213="","",$D5213*IFERROR(INDEX('تحليل التكلفة والسعر'!$C$2:$C$700,MATCH($C5213,'تحليل التكلفة والسعر'!$B$2:$B$700,0)),0))</f>
        <v/>
      </c>
    </row>
    <row r="5214" customFormat="false" ht="15" hidden="false" customHeight="false" outlineLevel="0" collapsed="false">
      <c r="A5214" s="102"/>
      <c r="E5214" s="103" t="str">
        <f aca="false">IF($C5214="","",IFERROR(INDEX(المنيو!$C$2:$C$500,MATCH($C5214,المنيو!$B$2:$B$500,0)),0))</f>
        <v/>
      </c>
      <c r="F5214" s="103" t="str">
        <f aca="false">IF($C5214="","",$D5214*$E5214)</f>
        <v/>
      </c>
      <c r="G5214" s="103" t="str">
        <f aca="false">IF($C5214="","",$D5214*IFERROR(INDEX('تحليل التكلفة والسعر'!$C$2:$C$700,MATCH($C5214,'تحليل التكلفة والسعر'!$B$2:$B$700,0)),0))</f>
        <v/>
      </c>
    </row>
    <row r="5215" customFormat="false" ht="15" hidden="false" customHeight="false" outlineLevel="0" collapsed="false">
      <c r="A5215" s="102"/>
      <c r="E5215" s="103" t="str">
        <f aca="false">IF($C5215="","",IFERROR(INDEX(المنيو!$C$2:$C$500,MATCH($C5215,المنيو!$B$2:$B$500,0)),0))</f>
        <v/>
      </c>
      <c r="F5215" s="103" t="str">
        <f aca="false">IF($C5215="","",$D5215*$E5215)</f>
        <v/>
      </c>
      <c r="G5215" s="103" t="str">
        <f aca="false">IF($C5215="","",$D5215*IFERROR(INDEX('تحليل التكلفة والسعر'!$C$2:$C$700,MATCH($C5215,'تحليل التكلفة والسعر'!$B$2:$B$700,0)),0))</f>
        <v/>
      </c>
    </row>
    <row r="5216" customFormat="false" ht="15" hidden="false" customHeight="false" outlineLevel="0" collapsed="false">
      <c r="A5216" s="102"/>
      <c r="E5216" s="103" t="str">
        <f aca="false">IF($C5216="","",IFERROR(INDEX(المنيو!$C$2:$C$500,MATCH($C5216,المنيو!$B$2:$B$500,0)),0))</f>
        <v/>
      </c>
      <c r="F5216" s="103" t="str">
        <f aca="false">IF($C5216="","",$D5216*$E5216)</f>
        <v/>
      </c>
      <c r="G5216" s="103" t="str">
        <f aca="false">IF($C5216="","",$D5216*IFERROR(INDEX('تحليل التكلفة والسعر'!$C$2:$C$700,MATCH($C5216,'تحليل التكلفة والسعر'!$B$2:$B$700,0)),0))</f>
        <v/>
      </c>
    </row>
    <row r="5217" customFormat="false" ht="15" hidden="false" customHeight="false" outlineLevel="0" collapsed="false">
      <c r="A5217" s="102"/>
      <c r="E5217" s="103" t="str">
        <f aca="false">IF($C5217="","",IFERROR(INDEX(المنيو!$C$2:$C$500,MATCH($C5217,المنيو!$B$2:$B$500,0)),0))</f>
        <v/>
      </c>
      <c r="F5217" s="103" t="str">
        <f aca="false">IF($C5217="","",$D5217*$E5217)</f>
        <v/>
      </c>
      <c r="G5217" s="103" t="str">
        <f aca="false">IF($C5217="","",$D5217*IFERROR(INDEX('تحليل التكلفة والسعر'!$C$2:$C$700,MATCH($C5217,'تحليل التكلفة والسعر'!$B$2:$B$700,0)),0))</f>
        <v/>
      </c>
    </row>
    <row r="5218" customFormat="false" ht="15" hidden="false" customHeight="false" outlineLevel="0" collapsed="false">
      <c r="A5218" s="102"/>
      <c r="E5218" s="103" t="str">
        <f aca="false">IF($C5218="","",IFERROR(INDEX(المنيو!$C$2:$C$500,MATCH($C5218,المنيو!$B$2:$B$500,0)),0))</f>
        <v/>
      </c>
      <c r="F5218" s="103" t="str">
        <f aca="false">IF($C5218="","",$D5218*$E5218)</f>
        <v/>
      </c>
      <c r="G5218" s="103" t="str">
        <f aca="false">IF($C5218="","",$D5218*IFERROR(INDEX('تحليل التكلفة والسعر'!$C$2:$C$700,MATCH($C5218,'تحليل التكلفة والسعر'!$B$2:$B$700,0)),0))</f>
        <v/>
      </c>
    </row>
    <row r="5219" customFormat="false" ht="15" hidden="false" customHeight="false" outlineLevel="0" collapsed="false">
      <c r="A5219" s="102"/>
      <c r="E5219" s="103" t="str">
        <f aca="false">IF($C5219="","",IFERROR(INDEX(المنيو!$C$2:$C$500,MATCH($C5219,المنيو!$B$2:$B$500,0)),0))</f>
        <v/>
      </c>
      <c r="F5219" s="103" t="str">
        <f aca="false">IF($C5219="","",$D5219*$E5219)</f>
        <v/>
      </c>
      <c r="G5219" s="103" t="str">
        <f aca="false">IF($C5219="","",$D5219*IFERROR(INDEX('تحليل التكلفة والسعر'!$C$2:$C$700,MATCH($C5219,'تحليل التكلفة والسعر'!$B$2:$B$700,0)),0))</f>
        <v/>
      </c>
    </row>
    <row r="5220" customFormat="false" ht="15" hidden="false" customHeight="false" outlineLevel="0" collapsed="false">
      <c r="A5220" s="102"/>
      <c r="E5220" s="103" t="str">
        <f aca="false">IF($C5220="","",IFERROR(INDEX(المنيو!$C$2:$C$500,MATCH($C5220,المنيو!$B$2:$B$500,0)),0))</f>
        <v/>
      </c>
      <c r="F5220" s="103" t="str">
        <f aca="false">IF($C5220="","",$D5220*$E5220)</f>
        <v/>
      </c>
      <c r="G5220" s="103" t="str">
        <f aca="false">IF($C5220="","",$D5220*IFERROR(INDEX('تحليل التكلفة والسعر'!$C$2:$C$700,MATCH($C5220,'تحليل التكلفة والسعر'!$B$2:$B$700,0)),0))</f>
        <v/>
      </c>
    </row>
    <row r="5221" customFormat="false" ht="15" hidden="false" customHeight="false" outlineLevel="0" collapsed="false">
      <c r="A5221" s="102"/>
      <c r="E5221" s="103" t="str">
        <f aca="false">IF($C5221="","",IFERROR(INDEX(المنيو!$C$2:$C$500,MATCH($C5221,المنيو!$B$2:$B$500,0)),0))</f>
        <v/>
      </c>
      <c r="F5221" s="103" t="str">
        <f aca="false">IF($C5221="","",$D5221*$E5221)</f>
        <v/>
      </c>
      <c r="G5221" s="103" t="str">
        <f aca="false">IF($C5221="","",$D5221*IFERROR(INDEX('تحليل التكلفة والسعر'!$C$2:$C$700,MATCH($C5221,'تحليل التكلفة والسعر'!$B$2:$B$700,0)),0))</f>
        <v/>
      </c>
    </row>
    <row r="5222" customFormat="false" ht="15" hidden="false" customHeight="false" outlineLevel="0" collapsed="false">
      <c r="A5222" s="102"/>
      <c r="E5222" s="103" t="str">
        <f aca="false">IF($C5222="","",IFERROR(INDEX(المنيو!$C$2:$C$500,MATCH($C5222,المنيو!$B$2:$B$500,0)),0))</f>
        <v/>
      </c>
      <c r="F5222" s="103" t="str">
        <f aca="false">IF($C5222="","",$D5222*$E5222)</f>
        <v/>
      </c>
      <c r="G5222" s="103" t="str">
        <f aca="false">IF($C5222="","",$D5222*IFERROR(INDEX('تحليل التكلفة والسعر'!$C$2:$C$700,MATCH($C5222,'تحليل التكلفة والسعر'!$B$2:$B$700,0)),0))</f>
        <v/>
      </c>
    </row>
    <row r="5223" customFormat="false" ht="15" hidden="false" customHeight="false" outlineLevel="0" collapsed="false">
      <c r="A5223" s="102"/>
      <c r="E5223" s="103" t="str">
        <f aca="false">IF($C5223="","",IFERROR(INDEX(المنيو!$C$2:$C$500,MATCH($C5223,المنيو!$B$2:$B$500,0)),0))</f>
        <v/>
      </c>
      <c r="F5223" s="103" t="str">
        <f aca="false">IF($C5223="","",$D5223*$E5223)</f>
        <v/>
      </c>
      <c r="G5223" s="103" t="str">
        <f aca="false">IF($C5223="","",$D5223*IFERROR(INDEX('تحليل التكلفة والسعر'!$C$2:$C$700,MATCH($C5223,'تحليل التكلفة والسعر'!$B$2:$B$700,0)),0))</f>
        <v/>
      </c>
    </row>
    <row r="5224" customFormat="false" ht="15" hidden="false" customHeight="false" outlineLevel="0" collapsed="false">
      <c r="A5224" s="102"/>
      <c r="E5224" s="103" t="str">
        <f aca="false">IF($C5224="","",IFERROR(INDEX(المنيو!$C$2:$C$500,MATCH($C5224,المنيو!$B$2:$B$500,0)),0))</f>
        <v/>
      </c>
      <c r="F5224" s="103" t="str">
        <f aca="false">IF($C5224="","",$D5224*$E5224)</f>
        <v/>
      </c>
      <c r="G5224" s="103" t="str">
        <f aca="false">IF($C5224="","",$D5224*IFERROR(INDEX('تحليل التكلفة والسعر'!$C$2:$C$700,MATCH($C5224,'تحليل التكلفة والسعر'!$B$2:$B$700,0)),0))</f>
        <v/>
      </c>
    </row>
    <row r="5225" customFormat="false" ht="15" hidden="false" customHeight="false" outlineLevel="0" collapsed="false">
      <c r="A5225" s="102"/>
      <c r="E5225" s="103" t="str">
        <f aca="false">IF($C5225="","",IFERROR(INDEX(المنيو!$C$2:$C$500,MATCH($C5225,المنيو!$B$2:$B$500,0)),0))</f>
        <v/>
      </c>
      <c r="F5225" s="103" t="str">
        <f aca="false">IF($C5225="","",$D5225*$E5225)</f>
        <v/>
      </c>
      <c r="G5225" s="103" t="str">
        <f aca="false">IF($C5225="","",$D5225*IFERROR(INDEX('تحليل التكلفة والسعر'!$C$2:$C$700,MATCH($C5225,'تحليل التكلفة والسعر'!$B$2:$B$700,0)),0))</f>
        <v/>
      </c>
    </row>
    <row r="5226" customFormat="false" ht="15" hidden="false" customHeight="false" outlineLevel="0" collapsed="false">
      <c r="A5226" s="102"/>
      <c r="E5226" s="103" t="str">
        <f aca="false">IF($C5226="","",IFERROR(INDEX(المنيو!$C$2:$C$500,MATCH($C5226,المنيو!$B$2:$B$500,0)),0))</f>
        <v/>
      </c>
      <c r="F5226" s="103" t="str">
        <f aca="false">IF($C5226="","",$D5226*$E5226)</f>
        <v/>
      </c>
      <c r="G5226" s="103" t="str">
        <f aca="false">IF($C5226="","",$D5226*IFERROR(INDEX('تحليل التكلفة والسعر'!$C$2:$C$700,MATCH($C5226,'تحليل التكلفة والسعر'!$B$2:$B$700,0)),0))</f>
        <v/>
      </c>
    </row>
    <row r="5227" customFormat="false" ht="15" hidden="false" customHeight="false" outlineLevel="0" collapsed="false">
      <c r="A5227" s="102"/>
      <c r="E5227" s="103" t="str">
        <f aca="false">IF($C5227="","",IFERROR(INDEX(المنيو!$C$2:$C$500,MATCH($C5227,المنيو!$B$2:$B$500,0)),0))</f>
        <v/>
      </c>
      <c r="F5227" s="103" t="str">
        <f aca="false">IF($C5227="","",$D5227*$E5227)</f>
        <v/>
      </c>
      <c r="G5227" s="103" t="str">
        <f aca="false">IF($C5227="","",$D5227*IFERROR(INDEX('تحليل التكلفة والسعر'!$C$2:$C$700,MATCH($C5227,'تحليل التكلفة والسعر'!$B$2:$B$700,0)),0))</f>
        <v/>
      </c>
    </row>
    <row r="5228" customFormat="false" ht="15" hidden="false" customHeight="false" outlineLevel="0" collapsed="false">
      <c r="A5228" s="102"/>
      <c r="E5228" s="103" t="str">
        <f aca="false">IF($C5228="","",IFERROR(INDEX(المنيو!$C$2:$C$500,MATCH($C5228,المنيو!$B$2:$B$500,0)),0))</f>
        <v/>
      </c>
      <c r="F5228" s="103" t="str">
        <f aca="false">IF($C5228="","",$D5228*$E5228)</f>
        <v/>
      </c>
      <c r="G5228" s="103" t="str">
        <f aca="false">IF($C5228="","",$D5228*IFERROR(INDEX('تحليل التكلفة والسعر'!$C$2:$C$700,MATCH($C5228,'تحليل التكلفة والسعر'!$B$2:$B$700,0)),0))</f>
        <v/>
      </c>
    </row>
    <row r="5229" customFormat="false" ht="15" hidden="false" customHeight="false" outlineLevel="0" collapsed="false">
      <c r="A5229" s="102"/>
      <c r="E5229" s="103" t="str">
        <f aca="false">IF($C5229="","",IFERROR(INDEX(المنيو!$C$2:$C$500,MATCH($C5229,المنيو!$B$2:$B$500,0)),0))</f>
        <v/>
      </c>
      <c r="F5229" s="103" t="str">
        <f aca="false">IF($C5229="","",$D5229*$E5229)</f>
        <v/>
      </c>
      <c r="G5229" s="103" t="str">
        <f aca="false">IF($C5229="","",$D5229*IFERROR(INDEX('تحليل التكلفة والسعر'!$C$2:$C$700,MATCH($C5229,'تحليل التكلفة والسعر'!$B$2:$B$700,0)),0))</f>
        <v/>
      </c>
    </row>
    <row r="5230" customFormat="false" ht="15" hidden="false" customHeight="false" outlineLevel="0" collapsed="false">
      <c r="A5230" s="102"/>
      <c r="E5230" s="103" t="str">
        <f aca="false">IF($C5230="","",IFERROR(INDEX(المنيو!$C$2:$C$500,MATCH($C5230,المنيو!$B$2:$B$500,0)),0))</f>
        <v/>
      </c>
      <c r="F5230" s="103" t="str">
        <f aca="false">IF($C5230="","",$D5230*$E5230)</f>
        <v/>
      </c>
      <c r="G5230" s="103" t="str">
        <f aca="false">IF($C5230="","",$D5230*IFERROR(INDEX('تحليل التكلفة والسعر'!$C$2:$C$700,MATCH($C5230,'تحليل التكلفة والسعر'!$B$2:$B$700,0)),0))</f>
        <v/>
      </c>
    </row>
    <row r="5231" customFormat="false" ht="15" hidden="false" customHeight="false" outlineLevel="0" collapsed="false">
      <c r="A5231" s="102"/>
      <c r="E5231" s="103" t="str">
        <f aca="false">IF($C5231="","",IFERROR(INDEX(المنيو!$C$2:$C$500,MATCH($C5231,المنيو!$B$2:$B$500,0)),0))</f>
        <v/>
      </c>
      <c r="F5231" s="103" t="str">
        <f aca="false">IF($C5231="","",$D5231*$E5231)</f>
        <v/>
      </c>
      <c r="G5231" s="103" t="str">
        <f aca="false">IF($C5231="","",$D5231*IFERROR(INDEX('تحليل التكلفة والسعر'!$C$2:$C$700,MATCH($C5231,'تحليل التكلفة والسعر'!$B$2:$B$700,0)),0))</f>
        <v/>
      </c>
    </row>
    <row r="5232" customFormat="false" ht="15" hidden="false" customHeight="false" outlineLevel="0" collapsed="false">
      <c r="A5232" s="102"/>
      <c r="E5232" s="103" t="str">
        <f aca="false">IF($C5232="","",IFERROR(INDEX(المنيو!$C$2:$C$500,MATCH($C5232,المنيو!$B$2:$B$500,0)),0))</f>
        <v/>
      </c>
      <c r="F5232" s="103" t="str">
        <f aca="false">IF($C5232="","",$D5232*$E5232)</f>
        <v/>
      </c>
      <c r="G5232" s="103" t="str">
        <f aca="false">IF($C5232="","",$D5232*IFERROR(INDEX('تحليل التكلفة والسعر'!$C$2:$C$700,MATCH($C5232,'تحليل التكلفة والسعر'!$B$2:$B$700,0)),0))</f>
        <v/>
      </c>
    </row>
    <row r="5233" customFormat="false" ht="15" hidden="false" customHeight="false" outlineLevel="0" collapsed="false">
      <c r="A5233" s="102"/>
      <c r="E5233" s="103" t="str">
        <f aca="false">IF($C5233="","",IFERROR(INDEX(المنيو!$C$2:$C$500,MATCH($C5233,المنيو!$B$2:$B$500,0)),0))</f>
        <v/>
      </c>
      <c r="F5233" s="103" t="str">
        <f aca="false">IF($C5233="","",$D5233*$E5233)</f>
        <v/>
      </c>
      <c r="G5233" s="103" t="str">
        <f aca="false">IF($C5233="","",$D5233*IFERROR(INDEX('تحليل التكلفة والسعر'!$C$2:$C$700,MATCH($C5233,'تحليل التكلفة والسعر'!$B$2:$B$700,0)),0))</f>
        <v/>
      </c>
    </row>
    <row r="5234" customFormat="false" ht="15" hidden="false" customHeight="false" outlineLevel="0" collapsed="false">
      <c r="A5234" s="102"/>
      <c r="E5234" s="103" t="str">
        <f aca="false">IF($C5234="","",IFERROR(INDEX(المنيو!$C$2:$C$500,MATCH($C5234,المنيو!$B$2:$B$500,0)),0))</f>
        <v/>
      </c>
      <c r="F5234" s="103" t="str">
        <f aca="false">IF($C5234="","",$D5234*$E5234)</f>
        <v/>
      </c>
      <c r="G5234" s="103" t="str">
        <f aca="false">IF($C5234="","",$D5234*IFERROR(INDEX('تحليل التكلفة والسعر'!$C$2:$C$700,MATCH($C5234,'تحليل التكلفة والسعر'!$B$2:$B$700,0)),0))</f>
        <v/>
      </c>
    </row>
    <row r="5235" customFormat="false" ht="15" hidden="false" customHeight="false" outlineLevel="0" collapsed="false">
      <c r="A5235" s="102"/>
      <c r="E5235" s="103" t="str">
        <f aca="false">IF($C5235="","",IFERROR(INDEX(المنيو!$C$2:$C$500,MATCH($C5235,المنيو!$B$2:$B$500,0)),0))</f>
        <v/>
      </c>
      <c r="F5235" s="103" t="str">
        <f aca="false">IF($C5235="","",$D5235*$E5235)</f>
        <v/>
      </c>
      <c r="G5235" s="103" t="str">
        <f aca="false">IF($C5235="","",$D5235*IFERROR(INDEX('تحليل التكلفة والسعر'!$C$2:$C$700,MATCH($C5235,'تحليل التكلفة والسعر'!$B$2:$B$700,0)),0))</f>
        <v/>
      </c>
    </row>
    <row r="5236" customFormat="false" ht="15" hidden="false" customHeight="false" outlineLevel="0" collapsed="false">
      <c r="A5236" s="102"/>
      <c r="E5236" s="103" t="str">
        <f aca="false">IF($C5236="","",IFERROR(INDEX(المنيو!$C$2:$C$500,MATCH($C5236,المنيو!$B$2:$B$500,0)),0))</f>
        <v/>
      </c>
      <c r="F5236" s="103" t="str">
        <f aca="false">IF($C5236="","",$D5236*$E5236)</f>
        <v/>
      </c>
      <c r="G5236" s="103" t="str">
        <f aca="false">IF($C5236="","",$D5236*IFERROR(INDEX('تحليل التكلفة والسعر'!$C$2:$C$700,MATCH($C5236,'تحليل التكلفة والسعر'!$B$2:$B$700,0)),0))</f>
        <v/>
      </c>
    </row>
    <row r="5237" customFormat="false" ht="15" hidden="false" customHeight="false" outlineLevel="0" collapsed="false">
      <c r="A5237" s="102"/>
      <c r="E5237" s="103" t="str">
        <f aca="false">IF($C5237="","",IFERROR(INDEX(المنيو!$C$2:$C$500,MATCH($C5237,المنيو!$B$2:$B$500,0)),0))</f>
        <v/>
      </c>
      <c r="F5237" s="103" t="str">
        <f aca="false">IF($C5237="","",$D5237*$E5237)</f>
        <v/>
      </c>
      <c r="G5237" s="103" t="str">
        <f aca="false">IF($C5237="","",$D5237*IFERROR(INDEX('تحليل التكلفة والسعر'!$C$2:$C$700,MATCH($C5237,'تحليل التكلفة والسعر'!$B$2:$B$700,0)),0))</f>
        <v/>
      </c>
    </row>
    <row r="5238" customFormat="false" ht="15" hidden="false" customHeight="false" outlineLevel="0" collapsed="false">
      <c r="A5238" s="102"/>
      <c r="E5238" s="103" t="str">
        <f aca="false">IF($C5238="","",IFERROR(INDEX(المنيو!$C$2:$C$500,MATCH($C5238,المنيو!$B$2:$B$500,0)),0))</f>
        <v/>
      </c>
      <c r="F5238" s="103" t="str">
        <f aca="false">IF($C5238="","",$D5238*$E5238)</f>
        <v/>
      </c>
      <c r="G5238" s="103" t="str">
        <f aca="false">IF($C5238="","",$D5238*IFERROR(INDEX('تحليل التكلفة والسعر'!$C$2:$C$700,MATCH($C5238,'تحليل التكلفة والسعر'!$B$2:$B$700,0)),0))</f>
        <v/>
      </c>
    </row>
    <row r="5239" customFormat="false" ht="15" hidden="false" customHeight="false" outlineLevel="0" collapsed="false">
      <c r="A5239" s="102"/>
      <c r="E5239" s="103" t="str">
        <f aca="false">IF($C5239="","",IFERROR(INDEX(المنيو!$C$2:$C$500,MATCH($C5239,المنيو!$B$2:$B$500,0)),0))</f>
        <v/>
      </c>
      <c r="F5239" s="103" t="str">
        <f aca="false">IF($C5239="","",$D5239*$E5239)</f>
        <v/>
      </c>
      <c r="G5239" s="103" t="str">
        <f aca="false">IF($C5239="","",$D5239*IFERROR(INDEX('تحليل التكلفة والسعر'!$C$2:$C$700,MATCH($C5239,'تحليل التكلفة والسعر'!$B$2:$B$700,0)),0))</f>
        <v/>
      </c>
    </row>
    <row r="5240" customFormat="false" ht="15" hidden="false" customHeight="false" outlineLevel="0" collapsed="false">
      <c r="A5240" s="102"/>
      <c r="E5240" s="103" t="str">
        <f aca="false">IF($C5240="","",IFERROR(INDEX(المنيو!$C$2:$C$500,MATCH($C5240,المنيو!$B$2:$B$500,0)),0))</f>
        <v/>
      </c>
      <c r="F5240" s="103" t="str">
        <f aca="false">IF($C5240="","",$D5240*$E5240)</f>
        <v/>
      </c>
      <c r="G5240" s="103" t="str">
        <f aca="false">IF($C5240="","",$D5240*IFERROR(INDEX('تحليل التكلفة والسعر'!$C$2:$C$700,MATCH($C5240,'تحليل التكلفة والسعر'!$B$2:$B$700,0)),0))</f>
        <v/>
      </c>
    </row>
    <row r="5241" customFormat="false" ht="15" hidden="false" customHeight="false" outlineLevel="0" collapsed="false">
      <c r="A5241" s="102"/>
      <c r="E5241" s="103" t="str">
        <f aca="false">IF($C5241="","",IFERROR(INDEX(المنيو!$C$2:$C$500,MATCH($C5241,المنيو!$B$2:$B$500,0)),0))</f>
        <v/>
      </c>
      <c r="F5241" s="103" t="str">
        <f aca="false">IF($C5241="","",$D5241*$E5241)</f>
        <v/>
      </c>
      <c r="G5241" s="103" t="str">
        <f aca="false">IF($C5241="","",$D5241*IFERROR(INDEX('تحليل التكلفة والسعر'!$C$2:$C$700,MATCH($C5241,'تحليل التكلفة والسعر'!$B$2:$B$700,0)),0))</f>
        <v/>
      </c>
    </row>
    <row r="5242" customFormat="false" ht="15" hidden="false" customHeight="false" outlineLevel="0" collapsed="false">
      <c r="A5242" s="102"/>
      <c r="E5242" s="103" t="str">
        <f aca="false">IF($C5242="","",IFERROR(INDEX(المنيو!$C$2:$C$500,MATCH($C5242,المنيو!$B$2:$B$500,0)),0))</f>
        <v/>
      </c>
      <c r="F5242" s="103" t="str">
        <f aca="false">IF($C5242="","",$D5242*$E5242)</f>
        <v/>
      </c>
      <c r="G5242" s="103" t="str">
        <f aca="false">IF($C5242="","",$D5242*IFERROR(INDEX('تحليل التكلفة والسعر'!$C$2:$C$700,MATCH($C5242,'تحليل التكلفة والسعر'!$B$2:$B$700,0)),0))</f>
        <v/>
      </c>
    </row>
    <row r="5243" customFormat="false" ht="15" hidden="false" customHeight="false" outlineLevel="0" collapsed="false">
      <c r="A5243" s="102"/>
      <c r="E5243" s="103" t="str">
        <f aca="false">IF($C5243="","",IFERROR(INDEX(المنيو!$C$2:$C$500,MATCH($C5243,المنيو!$B$2:$B$500,0)),0))</f>
        <v/>
      </c>
      <c r="F5243" s="103" t="str">
        <f aca="false">IF($C5243="","",$D5243*$E5243)</f>
        <v/>
      </c>
      <c r="G5243" s="103" t="str">
        <f aca="false">IF($C5243="","",$D5243*IFERROR(INDEX('تحليل التكلفة والسعر'!$C$2:$C$700,MATCH($C5243,'تحليل التكلفة والسعر'!$B$2:$B$700,0)),0))</f>
        <v/>
      </c>
    </row>
    <row r="5244" customFormat="false" ht="15" hidden="false" customHeight="false" outlineLevel="0" collapsed="false">
      <c r="A5244" s="102"/>
      <c r="E5244" s="103" t="str">
        <f aca="false">IF($C5244="","",IFERROR(INDEX(المنيو!$C$2:$C$500,MATCH($C5244,المنيو!$B$2:$B$500,0)),0))</f>
        <v/>
      </c>
      <c r="F5244" s="103" t="str">
        <f aca="false">IF($C5244="","",$D5244*$E5244)</f>
        <v/>
      </c>
      <c r="G5244" s="103" t="str">
        <f aca="false">IF($C5244="","",$D5244*IFERROR(INDEX('تحليل التكلفة والسعر'!$C$2:$C$700,MATCH($C5244,'تحليل التكلفة والسعر'!$B$2:$B$700,0)),0))</f>
        <v/>
      </c>
    </row>
    <row r="5245" customFormat="false" ht="15" hidden="false" customHeight="false" outlineLevel="0" collapsed="false">
      <c r="A5245" s="102"/>
      <c r="E5245" s="103" t="str">
        <f aca="false">IF($C5245="","",IFERROR(INDEX(المنيو!$C$2:$C$500,MATCH($C5245,المنيو!$B$2:$B$500,0)),0))</f>
        <v/>
      </c>
      <c r="F5245" s="103" t="str">
        <f aca="false">IF($C5245="","",$D5245*$E5245)</f>
        <v/>
      </c>
      <c r="G5245" s="103" t="str">
        <f aca="false">IF($C5245="","",$D5245*IFERROR(INDEX('تحليل التكلفة والسعر'!$C$2:$C$700,MATCH($C5245,'تحليل التكلفة والسعر'!$B$2:$B$700,0)),0))</f>
        <v/>
      </c>
    </row>
    <row r="5246" customFormat="false" ht="15" hidden="false" customHeight="false" outlineLevel="0" collapsed="false">
      <c r="A5246" s="102"/>
      <c r="E5246" s="103" t="str">
        <f aca="false">IF($C5246="","",IFERROR(INDEX(المنيو!$C$2:$C$500,MATCH($C5246,المنيو!$B$2:$B$500,0)),0))</f>
        <v/>
      </c>
      <c r="F5246" s="103" t="str">
        <f aca="false">IF($C5246="","",$D5246*$E5246)</f>
        <v/>
      </c>
      <c r="G5246" s="103" t="str">
        <f aca="false">IF($C5246="","",$D5246*IFERROR(INDEX('تحليل التكلفة والسعر'!$C$2:$C$700,MATCH($C5246,'تحليل التكلفة والسعر'!$B$2:$B$700,0)),0))</f>
        <v/>
      </c>
    </row>
    <row r="5247" customFormat="false" ht="15" hidden="false" customHeight="false" outlineLevel="0" collapsed="false">
      <c r="A5247" s="102"/>
      <c r="E5247" s="103" t="str">
        <f aca="false">IF($C5247="","",IFERROR(INDEX(المنيو!$C$2:$C$500,MATCH($C5247,المنيو!$B$2:$B$500,0)),0))</f>
        <v/>
      </c>
      <c r="F5247" s="103" t="str">
        <f aca="false">IF($C5247="","",$D5247*$E5247)</f>
        <v/>
      </c>
      <c r="G5247" s="103" t="str">
        <f aca="false">IF($C5247="","",$D5247*IFERROR(INDEX('تحليل التكلفة والسعر'!$C$2:$C$700,MATCH($C5247,'تحليل التكلفة والسعر'!$B$2:$B$700,0)),0))</f>
        <v/>
      </c>
    </row>
    <row r="5248" customFormat="false" ht="15" hidden="false" customHeight="false" outlineLevel="0" collapsed="false">
      <c r="A5248" s="102"/>
      <c r="E5248" s="103" t="str">
        <f aca="false">IF($C5248="","",IFERROR(INDEX(المنيو!$C$2:$C$500,MATCH($C5248,المنيو!$B$2:$B$500,0)),0))</f>
        <v/>
      </c>
      <c r="F5248" s="103" t="str">
        <f aca="false">IF($C5248="","",$D5248*$E5248)</f>
        <v/>
      </c>
      <c r="G5248" s="103" t="str">
        <f aca="false">IF($C5248="","",$D5248*IFERROR(INDEX('تحليل التكلفة والسعر'!$C$2:$C$700,MATCH($C5248,'تحليل التكلفة والسعر'!$B$2:$B$700,0)),0))</f>
        <v/>
      </c>
    </row>
    <row r="5249" customFormat="false" ht="15" hidden="false" customHeight="false" outlineLevel="0" collapsed="false">
      <c r="A5249" s="102"/>
      <c r="E5249" s="103" t="str">
        <f aca="false">IF($C5249="","",IFERROR(INDEX(المنيو!$C$2:$C$500,MATCH($C5249,المنيو!$B$2:$B$500,0)),0))</f>
        <v/>
      </c>
      <c r="F5249" s="103" t="str">
        <f aca="false">IF($C5249="","",$D5249*$E5249)</f>
        <v/>
      </c>
      <c r="G5249" s="103" t="str">
        <f aca="false">IF($C5249="","",$D5249*IFERROR(INDEX('تحليل التكلفة والسعر'!$C$2:$C$700,MATCH($C5249,'تحليل التكلفة والسعر'!$B$2:$B$700,0)),0))</f>
        <v/>
      </c>
    </row>
    <row r="5250" customFormat="false" ht="15" hidden="false" customHeight="false" outlineLevel="0" collapsed="false">
      <c r="A5250" s="102"/>
      <c r="E5250" s="103" t="str">
        <f aca="false">IF($C5250="","",IFERROR(INDEX(المنيو!$C$2:$C$500,MATCH($C5250,المنيو!$B$2:$B$500,0)),0))</f>
        <v/>
      </c>
      <c r="F5250" s="103" t="str">
        <f aca="false">IF($C5250="","",$D5250*$E5250)</f>
        <v/>
      </c>
      <c r="G5250" s="103" t="str">
        <f aca="false">IF($C5250="","",$D5250*IFERROR(INDEX('تحليل التكلفة والسعر'!$C$2:$C$700,MATCH($C5250,'تحليل التكلفة والسعر'!$B$2:$B$700,0)),0))</f>
        <v/>
      </c>
    </row>
    <row r="5251" customFormat="false" ht="15" hidden="false" customHeight="false" outlineLevel="0" collapsed="false">
      <c r="A5251" s="102"/>
      <c r="E5251" s="103" t="str">
        <f aca="false">IF($C5251="","",IFERROR(INDEX(المنيو!$C$2:$C$500,MATCH($C5251,المنيو!$B$2:$B$500,0)),0))</f>
        <v/>
      </c>
      <c r="F5251" s="103" t="str">
        <f aca="false">IF($C5251="","",$D5251*$E5251)</f>
        <v/>
      </c>
      <c r="G5251" s="103" t="str">
        <f aca="false">IF($C5251="","",$D5251*IFERROR(INDEX('تحليل التكلفة والسعر'!$C$2:$C$700,MATCH($C5251,'تحليل التكلفة والسعر'!$B$2:$B$700,0)),0))</f>
        <v/>
      </c>
    </row>
    <row r="5252" customFormat="false" ht="15" hidden="false" customHeight="false" outlineLevel="0" collapsed="false">
      <c r="A5252" s="102"/>
      <c r="E5252" s="103" t="str">
        <f aca="false">IF($C5252="","",IFERROR(INDEX(المنيو!$C$2:$C$500,MATCH($C5252,المنيو!$B$2:$B$500,0)),0))</f>
        <v/>
      </c>
      <c r="F5252" s="103" t="str">
        <f aca="false">IF($C5252="","",$D5252*$E5252)</f>
        <v/>
      </c>
      <c r="G5252" s="103" t="str">
        <f aca="false">IF($C5252="","",$D5252*IFERROR(INDEX('تحليل التكلفة والسعر'!$C$2:$C$700,MATCH($C5252,'تحليل التكلفة والسعر'!$B$2:$B$700,0)),0))</f>
        <v/>
      </c>
    </row>
    <row r="5253" customFormat="false" ht="15" hidden="false" customHeight="false" outlineLevel="0" collapsed="false">
      <c r="A5253" s="102"/>
      <c r="E5253" s="103" t="str">
        <f aca="false">IF($C5253="","",IFERROR(INDEX(المنيو!$C$2:$C$500,MATCH($C5253,المنيو!$B$2:$B$500,0)),0))</f>
        <v/>
      </c>
      <c r="F5253" s="103" t="str">
        <f aca="false">IF($C5253="","",$D5253*$E5253)</f>
        <v/>
      </c>
      <c r="G5253" s="103" t="str">
        <f aca="false">IF($C5253="","",$D5253*IFERROR(INDEX('تحليل التكلفة والسعر'!$C$2:$C$700,MATCH($C5253,'تحليل التكلفة والسعر'!$B$2:$B$700,0)),0))</f>
        <v/>
      </c>
    </row>
    <row r="5254" customFormat="false" ht="15" hidden="false" customHeight="false" outlineLevel="0" collapsed="false">
      <c r="A5254" s="102"/>
      <c r="E5254" s="103" t="str">
        <f aca="false">IF($C5254="","",IFERROR(INDEX(المنيو!$C$2:$C$500,MATCH($C5254,المنيو!$B$2:$B$500,0)),0))</f>
        <v/>
      </c>
      <c r="F5254" s="103" t="str">
        <f aca="false">IF($C5254="","",$D5254*$E5254)</f>
        <v/>
      </c>
      <c r="G5254" s="103" t="str">
        <f aca="false">IF($C5254="","",$D5254*IFERROR(INDEX('تحليل التكلفة والسعر'!$C$2:$C$700,MATCH($C5254,'تحليل التكلفة والسعر'!$B$2:$B$700,0)),0))</f>
        <v/>
      </c>
    </row>
    <row r="5255" customFormat="false" ht="15" hidden="false" customHeight="false" outlineLevel="0" collapsed="false">
      <c r="A5255" s="102"/>
      <c r="E5255" s="103" t="str">
        <f aca="false">IF($C5255="","",IFERROR(INDEX(المنيو!$C$2:$C$500,MATCH($C5255,المنيو!$B$2:$B$500,0)),0))</f>
        <v/>
      </c>
      <c r="F5255" s="103" t="str">
        <f aca="false">IF($C5255="","",$D5255*$E5255)</f>
        <v/>
      </c>
      <c r="G5255" s="103" t="str">
        <f aca="false">IF($C5255="","",$D5255*IFERROR(INDEX('تحليل التكلفة والسعر'!$C$2:$C$700,MATCH($C5255,'تحليل التكلفة والسعر'!$B$2:$B$700,0)),0))</f>
        <v/>
      </c>
    </row>
    <row r="5256" customFormat="false" ht="15" hidden="false" customHeight="false" outlineLevel="0" collapsed="false">
      <c r="A5256" s="102"/>
      <c r="E5256" s="103" t="str">
        <f aca="false">IF($C5256="","",IFERROR(INDEX(المنيو!$C$2:$C$500,MATCH($C5256,المنيو!$B$2:$B$500,0)),0))</f>
        <v/>
      </c>
      <c r="F5256" s="103" t="str">
        <f aca="false">IF($C5256="","",$D5256*$E5256)</f>
        <v/>
      </c>
      <c r="G5256" s="103" t="str">
        <f aca="false">IF($C5256="","",$D5256*IFERROR(INDEX('تحليل التكلفة والسعر'!$C$2:$C$700,MATCH($C5256,'تحليل التكلفة والسعر'!$B$2:$B$700,0)),0))</f>
        <v/>
      </c>
    </row>
    <row r="5257" customFormat="false" ht="15" hidden="false" customHeight="false" outlineLevel="0" collapsed="false">
      <c r="A5257" s="102"/>
      <c r="E5257" s="103" t="str">
        <f aca="false">IF($C5257="","",IFERROR(INDEX(المنيو!$C$2:$C$500,MATCH($C5257,المنيو!$B$2:$B$500,0)),0))</f>
        <v/>
      </c>
      <c r="F5257" s="103" t="str">
        <f aca="false">IF($C5257="","",$D5257*$E5257)</f>
        <v/>
      </c>
      <c r="G5257" s="103" t="str">
        <f aca="false">IF($C5257="","",$D5257*IFERROR(INDEX('تحليل التكلفة والسعر'!$C$2:$C$700,MATCH($C5257,'تحليل التكلفة والسعر'!$B$2:$B$700,0)),0))</f>
        <v/>
      </c>
    </row>
    <row r="5258" customFormat="false" ht="15" hidden="false" customHeight="false" outlineLevel="0" collapsed="false">
      <c r="A5258" s="102"/>
      <c r="E5258" s="103" t="str">
        <f aca="false">IF($C5258="","",IFERROR(INDEX(المنيو!$C$2:$C$500,MATCH($C5258,المنيو!$B$2:$B$500,0)),0))</f>
        <v/>
      </c>
      <c r="F5258" s="103" t="str">
        <f aca="false">IF($C5258="","",$D5258*$E5258)</f>
        <v/>
      </c>
      <c r="G5258" s="103" t="str">
        <f aca="false">IF($C5258="","",$D5258*IFERROR(INDEX('تحليل التكلفة والسعر'!$C$2:$C$700,MATCH($C5258,'تحليل التكلفة والسعر'!$B$2:$B$700,0)),0))</f>
        <v/>
      </c>
    </row>
    <row r="5259" customFormat="false" ht="15" hidden="false" customHeight="false" outlineLevel="0" collapsed="false">
      <c r="A5259" s="102"/>
      <c r="E5259" s="103" t="str">
        <f aca="false">IF($C5259="","",IFERROR(INDEX(المنيو!$C$2:$C$500,MATCH($C5259,المنيو!$B$2:$B$500,0)),0))</f>
        <v/>
      </c>
      <c r="F5259" s="103" t="str">
        <f aca="false">IF($C5259="","",$D5259*$E5259)</f>
        <v/>
      </c>
      <c r="G5259" s="103" t="str">
        <f aca="false">IF($C5259="","",$D5259*IFERROR(INDEX('تحليل التكلفة والسعر'!$C$2:$C$700,MATCH($C5259,'تحليل التكلفة والسعر'!$B$2:$B$700,0)),0))</f>
        <v/>
      </c>
    </row>
    <row r="5260" customFormat="false" ht="15" hidden="false" customHeight="false" outlineLevel="0" collapsed="false">
      <c r="A5260" s="102"/>
      <c r="E5260" s="103" t="str">
        <f aca="false">IF($C5260="","",IFERROR(INDEX(المنيو!$C$2:$C$500,MATCH($C5260,المنيو!$B$2:$B$500,0)),0))</f>
        <v/>
      </c>
      <c r="F5260" s="103" t="str">
        <f aca="false">IF($C5260="","",$D5260*$E5260)</f>
        <v/>
      </c>
      <c r="G5260" s="103" t="str">
        <f aca="false">IF($C5260="","",$D5260*IFERROR(INDEX('تحليل التكلفة والسعر'!$C$2:$C$700,MATCH($C5260,'تحليل التكلفة والسعر'!$B$2:$B$700,0)),0))</f>
        <v/>
      </c>
    </row>
    <row r="5261" customFormat="false" ht="15" hidden="false" customHeight="false" outlineLevel="0" collapsed="false">
      <c r="A5261" s="102"/>
      <c r="E5261" s="103" t="str">
        <f aca="false">IF($C5261="","",IFERROR(INDEX(المنيو!$C$2:$C$500,MATCH($C5261,المنيو!$B$2:$B$500,0)),0))</f>
        <v/>
      </c>
      <c r="F5261" s="103" t="str">
        <f aca="false">IF($C5261="","",$D5261*$E5261)</f>
        <v/>
      </c>
      <c r="G5261" s="103" t="str">
        <f aca="false">IF($C5261="","",$D5261*IFERROR(INDEX('تحليل التكلفة والسعر'!$C$2:$C$700,MATCH($C5261,'تحليل التكلفة والسعر'!$B$2:$B$700,0)),0))</f>
        <v/>
      </c>
    </row>
    <row r="5262" customFormat="false" ht="15" hidden="false" customHeight="false" outlineLevel="0" collapsed="false">
      <c r="A5262" s="102"/>
      <c r="E5262" s="103" t="str">
        <f aca="false">IF($C5262="","",IFERROR(INDEX(المنيو!$C$2:$C$500,MATCH($C5262,المنيو!$B$2:$B$500,0)),0))</f>
        <v/>
      </c>
      <c r="F5262" s="103" t="str">
        <f aca="false">IF($C5262="","",$D5262*$E5262)</f>
        <v/>
      </c>
      <c r="G5262" s="103" t="str">
        <f aca="false">IF($C5262="","",$D5262*IFERROR(INDEX('تحليل التكلفة والسعر'!$C$2:$C$700,MATCH($C5262,'تحليل التكلفة والسعر'!$B$2:$B$700,0)),0))</f>
        <v/>
      </c>
    </row>
    <row r="5263" customFormat="false" ht="15" hidden="false" customHeight="false" outlineLevel="0" collapsed="false">
      <c r="A5263" s="102"/>
      <c r="E5263" s="103" t="str">
        <f aca="false">IF($C5263="","",IFERROR(INDEX(المنيو!$C$2:$C$500,MATCH($C5263,المنيو!$B$2:$B$500,0)),0))</f>
        <v/>
      </c>
      <c r="F5263" s="103" t="str">
        <f aca="false">IF($C5263="","",$D5263*$E5263)</f>
        <v/>
      </c>
      <c r="G5263" s="103" t="str">
        <f aca="false">IF($C5263="","",$D5263*IFERROR(INDEX('تحليل التكلفة والسعر'!$C$2:$C$700,MATCH($C5263,'تحليل التكلفة والسعر'!$B$2:$B$700,0)),0))</f>
        <v/>
      </c>
    </row>
    <row r="5264" customFormat="false" ht="15" hidden="false" customHeight="false" outlineLevel="0" collapsed="false">
      <c r="A5264" s="102"/>
      <c r="E5264" s="103" t="str">
        <f aca="false">IF($C5264="","",IFERROR(INDEX(المنيو!$C$2:$C$500,MATCH($C5264,المنيو!$B$2:$B$500,0)),0))</f>
        <v/>
      </c>
      <c r="F5264" s="103" t="str">
        <f aca="false">IF($C5264="","",$D5264*$E5264)</f>
        <v/>
      </c>
      <c r="G5264" s="103" t="str">
        <f aca="false">IF($C5264="","",$D5264*IFERROR(INDEX('تحليل التكلفة والسعر'!$C$2:$C$700,MATCH($C5264,'تحليل التكلفة والسعر'!$B$2:$B$700,0)),0))</f>
        <v/>
      </c>
    </row>
    <row r="5265" customFormat="false" ht="15" hidden="false" customHeight="false" outlineLevel="0" collapsed="false">
      <c r="A5265" s="102"/>
      <c r="E5265" s="103" t="str">
        <f aca="false">IF($C5265="","",IFERROR(INDEX(المنيو!$C$2:$C$500,MATCH($C5265,المنيو!$B$2:$B$500,0)),0))</f>
        <v/>
      </c>
      <c r="F5265" s="103" t="str">
        <f aca="false">IF($C5265="","",$D5265*$E5265)</f>
        <v/>
      </c>
      <c r="G5265" s="103" t="str">
        <f aca="false">IF($C5265="","",$D5265*IFERROR(INDEX('تحليل التكلفة والسعر'!$C$2:$C$700,MATCH($C5265,'تحليل التكلفة والسعر'!$B$2:$B$700,0)),0))</f>
        <v/>
      </c>
    </row>
    <row r="5266" customFormat="false" ht="15" hidden="false" customHeight="false" outlineLevel="0" collapsed="false">
      <c r="A5266" s="102"/>
      <c r="E5266" s="103" t="str">
        <f aca="false">IF($C5266="","",IFERROR(INDEX(المنيو!$C$2:$C$500,MATCH($C5266,المنيو!$B$2:$B$500,0)),0))</f>
        <v/>
      </c>
      <c r="F5266" s="103" t="str">
        <f aca="false">IF($C5266="","",$D5266*$E5266)</f>
        <v/>
      </c>
      <c r="G5266" s="103" t="str">
        <f aca="false">IF($C5266="","",$D5266*IFERROR(INDEX('تحليل التكلفة والسعر'!$C$2:$C$700,MATCH($C5266,'تحليل التكلفة والسعر'!$B$2:$B$700,0)),0))</f>
        <v/>
      </c>
    </row>
    <row r="5267" customFormat="false" ht="15" hidden="false" customHeight="false" outlineLevel="0" collapsed="false">
      <c r="A5267" s="102"/>
      <c r="E5267" s="103" t="str">
        <f aca="false">IF($C5267="","",IFERROR(INDEX(المنيو!$C$2:$C$500,MATCH($C5267,المنيو!$B$2:$B$500,0)),0))</f>
        <v/>
      </c>
      <c r="F5267" s="103" t="str">
        <f aca="false">IF($C5267="","",$D5267*$E5267)</f>
        <v/>
      </c>
      <c r="G5267" s="103" t="str">
        <f aca="false">IF($C5267="","",$D5267*IFERROR(INDEX('تحليل التكلفة والسعر'!$C$2:$C$700,MATCH($C5267,'تحليل التكلفة والسعر'!$B$2:$B$700,0)),0))</f>
        <v/>
      </c>
    </row>
    <row r="5268" customFormat="false" ht="15" hidden="false" customHeight="false" outlineLevel="0" collapsed="false">
      <c r="A5268" s="102"/>
      <c r="E5268" s="103" t="str">
        <f aca="false">IF($C5268="","",IFERROR(INDEX(المنيو!$C$2:$C$500,MATCH($C5268,المنيو!$B$2:$B$500,0)),0))</f>
        <v/>
      </c>
      <c r="F5268" s="103" t="str">
        <f aca="false">IF($C5268="","",$D5268*$E5268)</f>
        <v/>
      </c>
      <c r="G5268" s="103" t="str">
        <f aca="false">IF($C5268="","",$D5268*IFERROR(INDEX('تحليل التكلفة والسعر'!$C$2:$C$700,MATCH($C5268,'تحليل التكلفة والسعر'!$B$2:$B$700,0)),0))</f>
        <v/>
      </c>
    </row>
    <row r="5269" customFormat="false" ht="15" hidden="false" customHeight="false" outlineLevel="0" collapsed="false">
      <c r="A5269" s="102"/>
      <c r="E5269" s="103" t="str">
        <f aca="false">IF($C5269="","",IFERROR(INDEX(المنيو!$C$2:$C$500,MATCH($C5269,المنيو!$B$2:$B$500,0)),0))</f>
        <v/>
      </c>
      <c r="F5269" s="103" t="str">
        <f aca="false">IF($C5269="","",$D5269*$E5269)</f>
        <v/>
      </c>
      <c r="G5269" s="103" t="str">
        <f aca="false">IF($C5269="","",$D5269*IFERROR(INDEX('تحليل التكلفة والسعر'!$C$2:$C$700,MATCH($C5269,'تحليل التكلفة والسعر'!$B$2:$B$700,0)),0))</f>
        <v/>
      </c>
    </row>
    <row r="5270" customFormat="false" ht="15" hidden="false" customHeight="false" outlineLevel="0" collapsed="false">
      <c r="A5270" s="102"/>
      <c r="E5270" s="103" t="str">
        <f aca="false">IF($C5270="","",IFERROR(INDEX(المنيو!$C$2:$C$500,MATCH($C5270,المنيو!$B$2:$B$500,0)),0))</f>
        <v/>
      </c>
      <c r="F5270" s="103" t="str">
        <f aca="false">IF($C5270="","",$D5270*$E5270)</f>
        <v/>
      </c>
      <c r="G5270" s="103" t="str">
        <f aca="false">IF($C5270="","",$D5270*IFERROR(INDEX('تحليل التكلفة والسعر'!$C$2:$C$700,MATCH($C5270,'تحليل التكلفة والسعر'!$B$2:$B$700,0)),0))</f>
        <v/>
      </c>
    </row>
    <row r="5271" customFormat="false" ht="15" hidden="false" customHeight="false" outlineLevel="0" collapsed="false">
      <c r="A5271" s="102"/>
      <c r="E5271" s="103" t="str">
        <f aca="false">IF($C5271="","",IFERROR(INDEX(المنيو!$C$2:$C$500,MATCH($C5271,المنيو!$B$2:$B$500,0)),0))</f>
        <v/>
      </c>
      <c r="F5271" s="103" t="str">
        <f aca="false">IF($C5271="","",$D5271*$E5271)</f>
        <v/>
      </c>
      <c r="G5271" s="103" t="str">
        <f aca="false">IF($C5271="","",$D5271*IFERROR(INDEX('تحليل التكلفة والسعر'!$C$2:$C$700,MATCH($C5271,'تحليل التكلفة والسعر'!$B$2:$B$700,0)),0))</f>
        <v/>
      </c>
    </row>
    <row r="5272" customFormat="false" ht="15" hidden="false" customHeight="false" outlineLevel="0" collapsed="false">
      <c r="A5272" s="102"/>
      <c r="E5272" s="103" t="str">
        <f aca="false">IF($C5272="","",IFERROR(INDEX(المنيو!$C$2:$C$500,MATCH($C5272,المنيو!$B$2:$B$500,0)),0))</f>
        <v/>
      </c>
      <c r="F5272" s="103" t="str">
        <f aca="false">IF($C5272="","",$D5272*$E5272)</f>
        <v/>
      </c>
      <c r="G5272" s="103" t="str">
        <f aca="false">IF($C5272="","",$D5272*IFERROR(INDEX('تحليل التكلفة والسعر'!$C$2:$C$700,MATCH($C5272,'تحليل التكلفة والسعر'!$B$2:$B$700,0)),0))</f>
        <v/>
      </c>
    </row>
    <row r="5273" customFormat="false" ht="15" hidden="false" customHeight="false" outlineLevel="0" collapsed="false">
      <c r="A5273" s="102"/>
      <c r="E5273" s="103" t="str">
        <f aca="false">IF($C5273="","",IFERROR(INDEX(المنيو!$C$2:$C$500,MATCH($C5273,المنيو!$B$2:$B$500,0)),0))</f>
        <v/>
      </c>
      <c r="F5273" s="103" t="str">
        <f aca="false">IF($C5273="","",$D5273*$E5273)</f>
        <v/>
      </c>
      <c r="G5273" s="103" t="str">
        <f aca="false">IF($C5273="","",$D5273*IFERROR(INDEX('تحليل التكلفة والسعر'!$C$2:$C$700,MATCH($C5273,'تحليل التكلفة والسعر'!$B$2:$B$700,0)),0))</f>
        <v/>
      </c>
    </row>
    <row r="5274" customFormat="false" ht="15" hidden="false" customHeight="false" outlineLevel="0" collapsed="false">
      <c r="A5274" s="102"/>
      <c r="E5274" s="103" t="str">
        <f aca="false">IF($C5274="","",IFERROR(INDEX(المنيو!$C$2:$C$500,MATCH($C5274,المنيو!$B$2:$B$500,0)),0))</f>
        <v/>
      </c>
      <c r="F5274" s="103" t="str">
        <f aca="false">IF($C5274="","",$D5274*$E5274)</f>
        <v/>
      </c>
      <c r="G5274" s="103" t="str">
        <f aca="false">IF($C5274="","",$D5274*IFERROR(INDEX('تحليل التكلفة والسعر'!$C$2:$C$700,MATCH($C5274,'تحليل التكلفة والسعر'!$B$2:$B$700,0)),0))</f>
        <v/>
      </c>
    </row>
    <row r="5275" customFormat="false" ht="15" hidden="false" customHeight="false" outlineLevel="0" collapsed="false">
      <c r="A5275" s="102"/>
      <c r="E5275" s="103" t="str">
        <f aca="false">IF($C5275="","",IFERROR(INDEX(المنيو!$C$2:$C$500,MATCH($C5275,المنيو!$B$2:$B$500,0)),0))</f>
        <v/>
      </c>
      <c r="F5275" s="103" t="str">
        <f aca="false">IF($C5275="","",$D5275*$E5275)</f>
        <v/>
      </c>
      <c r="G5275" s="103" t="str">
        <f aca="false">IF($C5275="","",$D5275*IFERROR(INDEX('تحليل التكلفة والسعر'!$C$2:$C$700,MATCH($C5275,'تحليل التكلفة والسعر'!$B$2:$B$700,0)),0))</f>
        <v/>
      </c>
    </row>
    <row r="5276" customFormat="false" ht="15" hidden="false" customHeight="false" outlineLevel="0" collapsed="false">
      <c r="A5276" s="102"/>
      <c r="E5276" s="103" t="str">
        <f aca="false">IF($C5276="","",IFERROR(INDEX(المنيو!$C$2:$C$500,MATCH($C5276,المنيو!$B$2:$B$500,0)),0))</f>
        <v/>
      </c>
      <c r="F5276" s="103" t="str">
        <f aca="false">IF($C5276="","",$D5276*$E5276)</f>
        <v/>
      </c>
      <c r="G5276" s="103" t="str">
        <f aca="false">IF($C5276="","",$D5276*IFERROR(INDEX('تحليل التكلفة والسعر'!$C$2:$C$700,MATCH($C5276,'تحليل التكلفة والسعر'!$B$2:$B$700,0)),0))</f>
        <v/>
      </c>
    </row>
    <row r="5277" customFormat="false" ht="15" hidden="false" customHeight="false" outlineLevel="0" collapsed="false">
      <c r="A5277" s="102"/>
      <c r="E5277" s="103" t="str">
        <f aca="false">IF($C5277="","",IFERROR(INDEX(المنيو!$C$2:$C$500,MATCH($C5277,المنيو!$B$2:$B$500,0)),0))</f>
        <v/>
      </c>
      <c r="F5277" s="103" t="str">
        <f aca="false">IF($C5277="","",$D5277*$E5277)</f>
        <v/>
      </c>
      <c r="G5277" s="103" t="str">
        <f aca="false">IF($C5277="","",$D5277*IFERROR(INDEX('تحليل التكلفة والسعر'!$C$2:$C$700,MATCH($C5277,'تحليل التكلفة والسعر'!$B$2:$B$700,0)),0))</f>
        <v/>
      </c>
    </row>
    <row r="5278" customFormat="false" ht="15" hidden="false" customHeight="false" outlineLevel="0" collapsed="false">
      <c r="A5278" s="102"/>
      <c r="E5278" s="103" t="str">
        <f aca="false">IF($C5278="","",IFERROR(INDEX(المنيو!$C$2:$C$500,MATCH($C5278,المنيو!$B$2:$B$500,0)),0))</f>
        <v/>
      </c>
      <c r="F5278" s="103" t="str">
        <f aca="false">IF($C5278="","",$D5278*$E5278)</f>
        <v/>
      </c>
      <c r="G5278" s="103" t="str">
        <f aca="false">IF($C5278="","",$D5278*IFERROR(INDEX('تحليل التكلفة والسعر'!$C$2:$C$700,MATCH($C5278,'تحليل التكلفة والسعر'!$B$2:$B$700,0)),0))</f>
        <v/>
      </c>
    </row>
    <row r="5279" customFormat="false" ht="15" hidden="false" customHeight="false" outlineLevel="0" collapsed="false">
      <c r="A5279" s="102"/>
      <c r="E5279" s="103" t="str">
        <f aca="false">IF($C5279="","",IFERROR(INDEX(المنيو!$C$2:$C$500,MATCH($C5279,المنيو!$B$2:$B$500,0)),0))</f>
        <v/>
      </c>
      <c r="F5279" s="103" t="str">
        <f aca="false">IF($C5279="","",$D5279*$E5279)</f>
        <v/>
      </c>
      <c r="G5279" s="103" t="str">
        <f aca="false">IF($C5279="","",$D5279*IFERROR(INDEX('تحليل التكلفة والسعر'!$C$2:$C$700,MATCH($C5279,'تحليل التكلفة والسعر'!$B$2:$B$700,0)),0))</f>
        <v/>
      </c>
    </row>
    <row r="5280" customFormat="false" ht="15" hidden="false" customHeight="false" outlineLevel="0" collapsed="false">
      <c r="A5280" s="102"/>
      <c r="E5280" s="103" t="str">
        <f aca="false">IF($C5280="","",IFERROR(INDEX(المنيو!$C$2:$C$500,MATCH($C5280,المنيو!$B$2:$B$500,0)),0))</f>
        <v/>
      </c>
      <c r="F5280" s="103" t="str">
        <f aca="false">IF($C5280="","",$D5280*$E5280)</f>
        <v/>
      </c>
      <c r="G5280" s="103" t="str">
        <f aca="false">IF($C5280="","",$D5280*IFERROR(INDEX('تحليل التكلفة والسعر'!$C$2:$C$700,MATCH($C5280,'تحليل التكلفة والسعر'!$B$2:$B$700,0)),0))</f>
        <v/>
      </c>
    </row>
    <row r="5281" customFormat="false" ht="15" hidden="false" customHeight="false" outlineLevel="0" collapsed="false">
      <c r="A5281" s="102"/>
      <c r="E5281" s="103" t="str">
        <f aca="false">IF($C5281="","",IFERROR(INDEX(المنيو!$C$2:$C$500,MATCH($C5281,المنيو!$B$2:$B$500,0)),0))</f>
        <v/>
      </c>
      <c r="F5281" s="103" t="str">
        <f aca="false">IF($C5281="","",$D5281*$E5281)</f>
        <v/>
      </c>
      <c r="G5281" s="103" t="str">
        <f aca="false">IF($C5281="","",$D5281*IFERROR(INDEX('تحليل التكلفة والسعر'!$C$2:$C$700,MATCH($C5281,'تحليل التكلفة والسعر'!$B$2:$B$700,0)),0))</f>
        <v/>
      </c>
    </row>
    <row r="5282" customFormat="false" ht="15" hidden="false" customHeight="false" outlineLevel="0" collapsed="false">
      <c r="A5282" s="102"/>
      <c r="E5282" s="103" t="str">
        <f aca="false">IF($C5282="","",IFERROR(INDEX(المنيو!$C$2:$C$500,MATCH($C5282,المنيو!$B$2:$B$500,0)),0))</f>
        <v/>
      </c>
      <c r="F5282" s="103" t="str">
        <f aca="false">IF($C5282="","",$D5282*$E5282)</f>
        <v/>
      </c>
      <c r="G5282" s="103" t="str">
        <f aca="false">IF($C5282="","",$D5282*IFERROR(INDEX('تحليل التكلفة والسعر'!$C$2:$C$700,MATCH($C5282,'تحليل التكلفة والسعر'!$B$2:$B$700,0)),0))</f>
        <v/>
      </c>
    </row>
    <row r="5283" customFormat="false" ht="15" hidden="false" customHeight="false" outlineLevel="0" collapsed="false">
      <c r="A5283" s="102"/>
      <c r="E5283" s="103" t="str">
        <f aca="false">IF($C5283="","",IFERROR(INDEX(المنيو!$C$2:$C$500,MATCH($C5283,المنيو!$B$2:$B$500,0)),0))</f>
        <v/>
      </c>
      <c r="F5283" s="103" t="str">
        <f aca="false">IF($C5283="","",$D5283*$E5283)</f>
        <v/>
      </c>
      <c r="G5283" s="103" t="str">
        <f aca="false">IF($C5283="","",$D5283*IFERROR(INDEX('تحليل التكلفة والسعر'!$C$2:$C$700,MATCH($C5283,'تحليل التكلفة والسعر'!$B$2:$B$700,0)),0))</f>
        <v/>
      </c>
    </row>
    <row r="5284" customFormat="false" ht="15" hidden="false" customHeight="false" outlineLevel="0" collapsed="false">
      <c r="A5284" s="102"/>
      <c r="E5284" s="103" t="str">
        <f aca="false">IF($C5284="","",IFERROR(INDEX(المنيو!$C$2:$C$500,MATCH($C5284,المنيو!$B$2:$B$500,0)),0))</f>
        <v/>
      </c>
      <c r="F5284" s="103" t="str">
        <f aca="false">IF($C5284="","",$D5284*$E5284)</f>
        <v/>
      </c>
      <c r="G5284" s="103" t="str">
        <f aca="false">IF($C5284="","",$D5284*IFERROR(INDEX('تحليل التكلفة والسعر'!$C$2:$C$700,MATCH($C5284,'تحليل التكلفة والسعر'!$B$2:$B$700,0)),0))</f>
        <v/>
      </c>
    </row>
    <row r="5285" customFormat="false" ht="15" hidden="false" customHeight="false" outlineLevel="0" collapsed="false">
      <c r="A5285" s="102"/>
      <c r="E5285" s="103" t="str">
        <f aca="false">IF($C5285="","",IFERROR(INDEX(المنيو!$C$2:$C$500,MATCH($C5285,المنيو!$B$2:$B$500,0)),0))</f>
        <v/>
      </c>
      <c r="F5285" s="103" t="str">
        <f aca="false">IF($C5285="","",$D5285*$E5285)</f>
        <v/>
      </c>
      <c r="G5285" s="103" t="str">
        <f aca="false">IF($C5285="","",$D5285*IFERROR(INDEX('تحليل التكلفة والسعر'!$C$2:$C$700,MATCH($C5285,'تحليل التكلفة والسعر'!$B$2:$B$700,0)),0))</f>
        <v/>
      </c>
    </row>
    <row r="5286" customFormat="false" ht="15" hidden="false" customHeight="false" outlineLevel="0" collapsed="false">
      <c r="A5286" s="102"/>
      <c r="E5286" s="103" t="str">
        <f aca="false">IF($C5286="","",IFERROR(INDEX(المنيو!$C$2:$C$500,MATCH($C5286,المنيو!$B$2:$B$500,0)),0))</f>
        <v/>
      </c>
      <c r="F5286" s="103" t="str">
        <f aca="false">IF($C5286="","",$D5286*$E5286)</f>
        <v/>
      </c>
      <c r="G5286" s="103" t="str">
        <f aca="false">IF($C5286="","",$D5286*IFERROR(INDEX('تحليل التكلفة والسعر'!$C$2:$C$700,MATCH($C5286,'تحليل التكلفة والسعر'!$B$2:$B$700,0)),0))</f>
        <v/>
      </c>
    </row>
    <row r="5287" customFormat="false" ht="15" hidden="false" customHeight="false" outlineLevel="0" collapsed="false">
      <c r="A5287" s="102"/>
      <c r="E5287" s="103" t="str">
        <f aca="false">IF($C5287="","",IFERROR(INDEX(المنيو!$C$2:$C$500,MATCH($C5287,المنيو!$B$2:$B$500,0)),0))</f>
        <v/>
      </c>
      <c r="F5287" s="103" t="str">
        <f aca="false">IF($C5287="","",$D5287*$E5287)</f>
        <v/>
      </c>
      <c r="G5287" s="103" t="str">
        <f aca="false">IF($C5287="","",$D5287*IFERROR(INDEX('تحليل التكلفة والسعر'!$C$2:$C$700,MATCH($C5287,'تحليل التكلفة والسعر'!$B$2:$B$700,0)),0))</f>
        <v/>
      </c>
    </row>
    <row r="5288" customFormat="false" ht="15" hidden="false" customHeight="false" outlineLevel="0" collapsed="false">
      <c r="A5288" s="102"/>
      <c r="E5288" s="103" t="str">
        <f aca="false">IF($C5288="","",IFERROR(INDEX(المنيو!$C$2:$C$500,MATCH($C5288,المنيو!$B$2:$B$500,0)),0))</f>
        <v/>
      </c>
      <c r="F5288" s="103" t="str">
        <f aca="false">IF($C5288="","",$D5288*$E5288)</f>
        <v/>
      </c>
      <c r="G5288" s="103" t="str">
        <f aca="false">IF($C5288="","",$D5288*IFERROR(INDEX('تحليل التكلفة والسعر'!$C$2:$C$700,MATCH($C5288,'تحليل التكلفة والسعر'!$B$2:$B$700,0)),0))</f>
        <v/>
      </c>
    </row>
    <row r="5289" customFormat="false" ht="15" hidden="false" customHeight="false" outlineLevel="0" collapsed="false">
      <c r="A5289" s="102"/>
      <c r="E5289" s="103" t="str">
        <f aca="false">IF($C5289="","",IFERROR(INDEX(المنيو!$C$2:$C$500,MATCH($C5289,المنيو!$B$2:$B$500,0)),0))</f>
        <v/>
      </c>
      <c r="F5289" s="103" t="str">
        <f aca="false">IF($C5289="","",$D5289*$E5289)</f>
        <v/>
      </c>
      <c r="G5289" s="103" t="str">
        <f aca="false">IF($C5289="","",$D5289*IFERROR(INDEX('تحليل التكلفة والسعر'!$C$2:$C$700,MATCH($C5289,'تحليل التكلفة والسعر'!$B$2:$B$700,0)),0))</f>
        <v/>
      </c>
    </row>
    <row r="5290" customFormat="false" ht="15" hidden="false" customHeight="false" outlineLevel="0" collapsed="false">
      <c r="A5290" s="102"/>
      <c r="E5290" s="103" t="str">
        <f aca="false">IF($C5290="","",IFERROR(INDEX(المنيو!$C$2:$C$500,MATCH($C5290,المنيو!$B$2:$B$500,0)),0))</f>
        <v/>
      </c>
      <c r="F5290" s="103" t="str">
        <f aca="false">IF($C5290="","",$D5290*$E5290)</f>
        <v/>
      </c>
      <c r="G5290" s="103" t="str">
        <f aca="false">IF($C5290="","",$D5290*IFERROR(INDEX('تحليل التكلفة والسعر'!$C$2:$C$700,MATCH($C5290,'تحليل التكلفة والسعر'!$B$2:$B$700,0)),0))</f>
        <v/>
      </c>
    </row>
    <row r="5291" customFormat="false" ht="15" hidden="false" customHeight="false" outlineLevel="0" collapsed="false">
      <c r="A5291" s="102"/>
      <c r="E5291" s="103" t="str">
        <f aca="false">IF($C5291="","",IFERROR(INDEX(المنيو!$C$2:$C$500,MATCH($C5291,المنيو!$B$2:$B$500,0)),0))</f>
        <v/>
      </c>
      <c r="F5291" s="103" t="str">
        <f aca="false">IF($C5291="","",$D5291*$E5291)</f>
        <v/>
      </c>
      <c r="G5291" s="103" t="str">
        <f aca="false">IF($C5291="","",$D5291*IFERROR(INDEX('تحليل التكلفة والسعر'!$C$2:$C$700,MATCH($C5291,'تحليل التكلفة والسعر'!$B$2:$B$700,0)),0))</f>
        <v/>
      </c>
    </row>
    <row r="5292" customFormat="false" ht="15" hidden="false" customHeight="false" outlineLevel="0" collapsed="false">
      <c r="A5292" s="102"/>
      <c r="E5292" s="103" t="str">
        <f aca="false">IF($C5292="","",IFERROR(INDEX(المنيو!$C$2:$C$500,MATCH($C5292,المنيو!$B$2:$B$500,0)),0))</f>
        <v/>
      </c>
      <c r="F5292" s="103" t="str">
        <f aca="false">IF($C5292="","",$D5292*$E5292)</f>
        <v/>
      </c>
      <c r="G5292" s="103" t="str">
        <f aca="false">IF($C5292="","",$D5292*IFERROR(INDEX('تحليل التكلفة والسعر'!$C$2:$C$700,MATCH($C5292,'تحليل التكلفة والسعر'!$B$2:$B$700,0)),0))</f>
        <v/>
      </c>
    </row>
    <row r="5293" customFormat="false" ht="15" hidden="false" customHeight="false" outlineLevel="0" collapsed="false">
      <c r="A5293" s="102"/>
      <c r="E5293" s="103" t="str">
        <f aca="false">IF($C5293="","",IFERROR(INDEX(المنيو!$C$2:$C$500,MATCH($C5293,المنيو!$B$2:$B$500,0)),0))</f>
        <v/>
      </c>
      <c r="F5293" s="103" t="str">
        <f aca="false">IF($C5293="","",$D5293*$E5293)</f>
        <v/>
      </c>
      <c r="G5293" s="103" t="str">
        <f aca="false">IF($C5293="","",$D5293*IFERROR(INDEX('تحليل التكلفة والسعر'!$C$2:$C$700,MATCH($C5293,'تحليل التكلفة والسعر'!$B$2:$B$700,0)),0))</f>
        <v/>
      </c>
    </row>
    <row r="5294" customFormat="false" ht="15" hidden="false" customHeight="false" outlineLevel="0" collapsed="false">
      <c r="A5294" s="102"/>
      <c r="E5294" s="103" t="str">
        <f aca="false">IF($C5294="","",IFERROR(INDEX(المنيو!$C$2:$C$500,MATCH($C5294,المنيو!$B$2:$B$500,0)),0))</f>
        <v/>
      </c>
      <c r="F5294" s="103" t="str">
        <f aca="false">IF($C5294="","",$D5294*$E5294)</f>
        <v/>
      </c>
      <c r="G5294" s="103" t="str">
        <f aca="false">IF($C5294="","",$D5294*IFERROR(INDEX('تحليل التكلفة والسعر'!$C$2:$C$700,MATCH($C5294,'تحليل التكلفة والسعر'!$B$2:$B$700,0)),0))</f>
        <v/>
      </c>
    </row>
    <row r="5295" customFormat="false" ht="15" hidden="false" customHeight="false" outlineLevel="0" collapsed="false">
      <c r="A5295" s="102"/>
      <c r="E5295" s="103" t="str">
        <f aca="false">IF($C5295="","",IFERROR(INDEX(المنيو!$C$2:$C$500,MATCH($C5295,المنيو!$B$2:$B$500,0)),0))</f>
        <v/>
      </c>
      <c r="F5295" s="103" t="str">
        <f aca="false">IF($C5295="","",$D5295*$E5295)</f>
        <v/>
      </c>
      <c r="G5295" s="103" t="str">
        <f aca="false">IF($C5295="","",$D5295*IFERROR(INDEX('تحليل التكلفة والسعر'!$C$2:$C$700,MATCH($C5295,'تحليل التكلفة والسعر'!$B$2:$B$700,0)),0))</f>
        <v/>
      </c>
    </row>
    <row r="5296" customFormat="false" ht="15" hidden="false" customHeight="false" outlineLevel="0" collapsed="false">
      <c r="A5296" s="102"/>
      <c r="E5296" s="103" t="str">
        <f aca="false">IF($C5296="","",IFERROR(INDEX(المنيو!$C$2:$C$500,MATCH($C5296,المنيو!$B$2:$B$500,0)),0))</f>
        <v/>
      </c>
      <c r="F5296" s="103" t="str">
        <f aca="false">IF($C5296="","",$D5296*$E5296)</f>
        <v/>
      </c>
      <c r="G5296" s="103" t="str">
        <f aca="false">IF($C5296="","",$D5296*IFERROR(INDEX('تحليل التكلفة والسعر'!$C$2:$C$700,MATCH($C5296,'تحليل التكلفة والسعر'!$B$2:$B$700,0)),0))</f>
        <v/>
      </c>
    </row>
    <row r="5297" customFormat="false" ht="15" hidden="false" customHeight="false" outlineLevel="0" collapsed="false">
      <c r="A5297" s="102"/>
      <c r="E5297" s="103" t="str">
        <f aca="false">IF($C5297="","",IFERROR(INDEX(المنيو!$C$2:$C$500,MATCH($C5297,المنيو!$B$2:$B$500,0)),0))</f>
        <v/>
      </c>
      <c r="F5297" s="103" t="str">
        <f aca="false">IF($C5297="","",$D5297*$E5297)</f>
        <v/>
      </c>
      <c r="G5297" s="103" t="str">
        <f aca="false">IF($C5297="","",$D5297*IFERROR(INDEX('تحليل التكلفة والسعر'!$C$2:$C$700,MATCH($C5297,'تحليل التكلفة والسعر'!$B$2:$B$700,0)),0))</f>
        <v/>
      </c>
    </row>
    <row r="5298" customFormat="false" ht="15" hidden="false" customHeight="false" outlineLevel="0" collapsed="false">
      <c r="A5298" s="102"/>
      <c r="E5298" s="103" t="str">
        <f aca="false">IF($C5298="","",IFERROR(INDEX(المنيو!$C$2:$C$500,MATCH($C5298,المنيو!$B$2:$B$500,0)),0))</f>
        <v/>
      </c>
      <c r="F5298" s="103" t="str">
        <f aca="false">IF($C5298="","",$D5298*$E5298)</f>
        <v/>
      </c>
      <c r="G5298" s="103" t="str">
        <f aca="false">IF($C5298="","",$D5298*IFERROR(INDEX('تحليل التكلفة والسعر'!$C$2:$C$700,MATCH($C5298,'تحليل التكلفة والسعر'!$B$2:$B$700,0)),0))</f>
        <v/>
      </c>
    </row>
    <row r="5299" customFormat="false" ht="15" hidden="false" customHeight="false" outlineLevel="0" collapsed="false">
      <c r="A5299" s="102"/>
      <c r="E5299" s="103" t="str">
        <f aca="false">IF($C5299="","",IFERROR(INDEX(المنيو!$C$2:$C$500,MATCH($C5299,المنيو!$B$2:$B$500,0)),0))</f>
        <v/>
      </c>
      <c r="F5299" s="103" t="str">
        <f aca="false">IF($C5299="","",$D5299*$E5299)</f>
        <v/>
      </c>
      <c r="G5299" s="103" t="str">
        <f aca="false">IF($C5299="","",$D5299*IFERROR(INDEX('تحليل التكلفة والسعر'!$C$2:$C$700,MATCH($C5299,'تحليل التكلفة والسعر'!$B$2:$B$700,0)),0))</f>
        <v/>
      </c>
    </row>
    <row r="5300" customFormat="false" ht="15" hidden="false" customHeight="false" outlineLevel="0" collapsed="false">
      <c r="A5300" s="102"/>
      <c r="E5300" s="103" t="str">
        <f aca="false">IF($C5300="","",IFERROR(INDEX(المنيو!$C$2:$C$500,MATCH($C5300,المنيو!$B$2:$B$500,0)),0))</f>
        <v/>
      </c>
      <c r="F5300" s="103" t="str">
        <f aca="false">IF($C5300="","",$D5300*$E5300)</f>
        <v/>
      </c>
      <c r="G5300" s="103" t="str">
        <f aca="false">IF($C5300="","",$D5300*IFERROR(INDEX('تحليل التكلفة والسعر'!$C$2:$C$700,MATCH($C5300,'تحليل التكلفة والسعر'!$B$2:$B$700,0)),0))</f>
        <v/>
      </c>
    </row>
    <row r="5301" customFormat="false" ht="15" hidden="false" customHeight="false" outlineLevel="0" collapsed="false">
      <c r="A5301" s="102"/>
      <c r="E5301" s="103" t="str">
        <f aca="false">IF($C5301="","",IFERROR(INDEX(المنيو!$C$2:$C$500,MATCH($C5301,المنيو!$B$2:$B$500,0)),0))</f>
        <v/>
      </c>
      <c r="F5301" s="103" t="str">
        <f aca="false">IF($C5301="","",$D5301*$E5301)</f>
        <v/>
      </c>
      <c r="G5301" s="103" t="str">
        <f aca="false">IF($C5301="","",$D5301*IFERROR(INDEX('تحليل التكلفة والسعر'!$C$2:$C$700,MATCH($C5301,'تحليل التكلفة والسعر'!$B$2:$B$700,0)),0))</f>
        <v/>
      </c>
    </row>
    <row r="5302" customFormat="false" ht="15" hidden="false" customHeight="false" outlineLevel="0" collapsed="false">
      <c r="A5302" s="102"/>
      <c r="E5302" s="103" t="str">
        <f aca="false">IF($C5302="","",IFERROR(INDEX(المنيو!$C$2:$C$500,MATCH($C5302,المنيو!$B$2:$B$500,0)),0))</f>
        <v/>
      </c>
      <c r="F5302" s="103" t="str">
        <f aca="false">IF($C5302="","",$D5302*$E5302)</f>
        <v/>
      </c>
      <c r="G5302" s="103" t="str">
        <f aca="false">IF($C5302="","",$D5302*IFERROR(INDEX('تحليل التكلفة والسعر'!$C$2:$C$700,MATCH($C5302,'تحليل التكلفة والسعر'!$B$2:$B$700,0)),0))</f>
        <v/>
      </c>
    </row>
    <row r="5303" customFormat="false" ht="15" hidden="false" customHeight="false" outlineLevel="0" collapsed="false">
      <c r="A5303" s="102"/>
      <c r="E5303" s="103" t="str">
        <f aca="false">IF($C5303="","",IFERROR(INDEX(المنيو!$C$2:$C$500,MATCH($C5303,المنيو!$B$2:$B$500,0)),0))</f>
        <v/>
      </c>
      <c r="F5303" s="103" t="str">
        <f aca="false">IF($C5303="","",$D5303*$E5303)</f>
        <v/>
      </c>
      <c r="G5303" s="103" t="str">
        <f aca="false">IF($C5303="","",$D5303*IFERROR(INDEX('تحليل التكلفة والسعر'!$C$2:$C$700,MATCH($C5303,'تحليل التكلفة والسعر'!$B$2:$B$700,0)),0))</f>
        <v/>
      </c>
    </row>
    <row r="5304" customFormat="false" ht="15" hidden="false" customHeight="false" outlineLevel="0" collapsed="false">
      <c r="A5304" s="102"/>
      <c r="E5304" s="103" t="str">
        <f aca="false">IF($C5304="","",IFERROR(INDEX(المنيو!$C$2:$C$500,MATCH($C5304,المنيو!$B$2:$B$500,0)),0))</f>
        <v/>
      </c>
      <c r="F5304" s="103" t="str">
        <f aca="false">IF($C5304="","",$D5304*$E5304)</f>
        <v/>
      </c>
      <c r="G5304" s="103" t="str">
        <f aca="false">IF($C5304="","",$D5304*IFERROR(INDEX('تحليل التكلفة والسعر'!$C$2:$C$700,MATCH($C5304,'تحليل التكلفة والسعر'!$B$2:$B$700,0)),0))</f>
        <v/>
      </c>
    </row>
    <row r="5305" customFormat="false" ht="15" hidden="false" customHeight="false" outlineLevel="0" collapsed="false">
      <c r="A5305" s="102"/>
      <c r="E5305" s="103" t="str">
        <f aca="false">IF($C5305="","",IFERROR(INDEX(المنيو!$C$2:$C$500,MATCH($C5305,المنيو!$B$2:$B$500,0)),0))</f>
        <v/>
      </c>
      <c r="F5305" s="103" t="str">
        <f aca="false">IF($C5305="","",$D5305*$E5305)</f>
        <v/>
      </c>
      <c r="G5305" s="103" t="str">
        <f aca="false">IF($C5305="","",$D5305*IFERROR(INDEX('تحليل التكلفة والسعر'!$C$2:$C$700,MATCH($C5305,'تحليل التكلفة والسعر'!$B$2:$B$700,0)),0))</f>
        <v/>
      </c>
    </row>
    <row r="5306" customFormat="false" ht="15" hidden="false" customHeight="false" outlineLevel="0" collapsed="false">
      <c r="A5306" s="102"/>
      <c r="E5306" s="103" t="str">
        <f aca="false">IF($C5306="","",IFERROR(INDEX(المنيو!$C$2:$C$500,MATCH($C5306,المنيو!$B$2:$B$500,0)),0))</f>
        <v/>
      </c>
      <c r="F5306" s="103" t="str">
        <f aca="false">IF($C5306="","",$D5306*$E5306)</f>
        <v/>
      </c>
      <c r="G5306" s="103" t="str">
        <f aca="false">IF($C5306="","",$D5306*IFERROR(INDEX('تحليل التكلفة والسعر'!$C$2:$C$700,MATCH($C5306,'تحليل التكلفة والسعر'!$B$2:$B$700,0)),0))</f>
        <v/>
      </c>
    </row>
    <row r="5307" customFormat="false" ht="15" hidden="false" customHeight="false" outlineLevel="0" collapsed="false">
      <c r="A5307" s="102"/>
      <c r="E5307" s="103" t="str">
        <f aca="false">IF($C5307="","",IFERROR(INDEX(المنيو!$C$2:$C$500,MATCH($C5307,المنيو!$B$2:$B$500,0)),0))</f>
        <v/>
      </c>
      <c r="F5307" s="103" t="str">
        <f aca="false">IF($C5307="","",$D5307*$E5307)</f>
        <v/>
      </c>
      <c r="G5307" s="103" t="str">
        <f aca="false">IF($C5307="","",$D5307*IFERROR(INDEX('تحليل التكلفة والسعر'!$C$2:$C$700,MATCH($C5307,'تحليل التكلفة والسعر'!$B$2:$B$700,0)),0))</f>
        <v/>
      </c>
    </row>
    <row r="5308" customFormat="false" ht="15" hidden="false" customHeight="false" outlineLevel="0" collapsed="false">
      <c r="A5308" s="102"/>
      <c r="E5308" s="103" t="str">
        <f aca="false">IF($C5308="","",IFERROR(INDEX(المنيو!$C$2:$C$500,MATCH($C5308,المنيو!$B$2:$B$500,0)),0))</f>
        <v/>
      </c>
      <c r="F5308" s="103" t="str">
        <f aca="false">IF($C5308="","",$D5308*$E5308)</f>
        <v/>
      </c>
      <c r="G5308" s="103" t="str">
        <f aca="false">IF($C5308="","",$D5308*IFERROR(INDEX('تحليل التكلفة والسعر'!$C$2:$C$700,MATCH($C5308,'تحليل التكلفة والسعر'!$B$2:$B$700,0)),0))</f>
        <v/>
      </c>
    </row>
    <row r="5309" customFormat="false" ht="15" hidden="false" customHeight="false" outlineLevel="0" collapsed="false">
      <c r="A5309" s="102"/>
      <c r="E5309" s="103" t="str">
        <f aca="false">IF($C5309="","",IFERROR(INDEX(المنيو!$C$2:$C$500,MATCH($C5309,المنيو!$B$2:$B$500,0)),0))</f>
        <v/>
      </c>
      <c r="F5309" s="103" t="str">
        <f aca="false">IF($C5309="","",$D5309*$E5309)</f>
        <v/>
      </c>
      <c r="G5309" s="103" t="str">
        <f aca="false">IF($C5309="","",$D5309*IFERROR(INDEX('تحليل التكلفة والسعر'!$C$2:$C$700,MATCH($C5309,'تحليل التكلفة والسعر'!$B$2:$B$700,0)),0))</f>
        <v/>
      </c>
    </row>
    <row r="5310" customFormat="false" ht="15" hidden="false" customHeight="false" outlineLevel="0" collapsed="false">
      <c r="A5310" s="102"/>
      <c r="E5310" s="103" t="str">
        <f aca="false">IF($C5310="","",IFERROR(INDEX(المنيو!$C$2:$C$500,MATCH($C5310,المنيو!$B$2:$B$500,0)),0))</f>
        <v/>
      </c>
      <c r="F5310" s="103" t="str">
        <f aca="false">IF($C5310="","",$D5310*$E5310)</f>
        <v/>
      </c>
      <c r="G5310" s="103" t="str">
        <f aca="false">IF($C5310="","",$D5310*IFERROR(INDEX('تحليل التكلفة والسعر'!$C$2:$C$700,MATCH($C5310,'تحليل التكلفة والسعر'!$B$2:$B$700,0)),0))</f>
        <v/>
      </c>
    </row>
    <row r="5311" customFormat="false" ht="15" hidden="false" customHeight="false" outlineLevel="0" collapsed="false">
      <c r="A5311" s="102"/>
      <c r="E5311" s="103" t="str">
        <f aca="false">IF($C5311="","",IFERROR(INDEX(المنيو!$C$2:$C$500,MATCH($C5311,المنيو!$B$2:$B$500,0)),0))</f>
        <v/>
      </c>
      <c r="F5311" s="103" t="str">
        <f aca="false">IF($C5311="","",$D5311*$E5311)</f>
        <v/>
      </c>
      <c r="G5311" s="103" t="str">
        <f aca="false">IF($C5311="","",$D5311*IFERROR(INDEX('تحليل التكلفة والسعر'!$C$2:$C$700,MATCH($C5311,'تحليل التكلفة والسعر'!$B$2:$B$700,0)),0))</f>
        <v/>
      </c>
    </row>
    <row r="5312" customFormat="false" ht="15" hidden="false" customHeight="false" outlineLevel="0" collapsed="false">
      <c r="A5312" s="102"/>
      <c r="E5312" s="103" t="str">
        <f aca="false">IF($C5312="","",IFERROR(INDEX(المنيو!$C$2:$C$500,MATCH($C5312,المنيو!$B$2:$B$500,0)),0))</f>
        <v/>
      </c>
      <c r="F5312" s="103" t="str">
        <f aca="false">IF($C5312="","",$D5312*$E5312)</f>
        <v/>
      </c>
      <c r="G5312" s="103" t="str">
        <f aca="false">IF($C5312="","",$D5312*IFERROR(INDEX('تحليل التكلفة والسعر'!$C$2:$C$700,MATCH($C5312,'تحليل التكلفة والسعر'!$B$2:$B$700,0)),0))</f>
        <v/>
      </c>
    </row>
    <row r="5313" customFormat="false" ht="15" hidden="false" customHeight="false" outlineLevel="0" collapsed="false">
      <c r="A5313" s="102"/>
      <c r="E5313" s="103" t="str">
        <f aca="false">IF($C5313="","",IFERROR(INDEX(المنيو!$C$2:$C$500,MATCH($C5313,المنيو!$B$2:$B$500,0)),0))</f>
        <v/>
      </c>
      <c r="F5313" s="103" t="str">
        <f aca="false">IF($C5313="","",$D5313*$E5313)</f>
        <v/>
      </c>
      <c r="G5313" s="103" t="str">
        <f aca="false">IF($C5313="","",$D5313*IFERROR(INDEX('تحليل التكلفة والسعر'!$C$2:$C$700,MATCH($C5313,'تحليل التكلفة والسعر'!$B$2:$B$700,0)),0))</f>
        <v/>
      </c>
    </row>
    <row r="5314" customFormat="false" ht="15" hidden="false" customHeight="false" outlineLevel="0" collapsed="false">
      <c r="A5314" s="102"/>
      <c r="E5314" s="103" t="str">
        <f aca="false">IF($C5314="","",IFERROR(INDEX(المنيو!$C$2:$C$500,MATCH($C5314,المنيو!$B$2:$B$500,0)),0))</f>
        <v/>
      </c>
      <c r="F5314" s="103" t="str">
        <f aca="false">IF($C5314="","",$D5314*$E5314)</f>
        <v/>
      </c>
      <c r="G5314" s="103" t="str">
        <f aca="false">IF($C5314="","",$D5314*IFERROR(INDEX('تحليل التكلفة والسعر'!$C$2:$C$700,MATCH($C5314,'تحليل التكلفة والسعر'!$B$2:$B$700,0)),0))</f>
        <v/>
      </c>
    </row>
    <row r="5315" customFormat="false" ht="15" hidden="false" customHeight="false" outlineLevel="0" collapsed="false">
      <c r="A5315" s="102"/>
      <c r="E5315" s="103" t="str">
        <f aca="false">IF($C5315="","",IFERROR(INDEX(المنيو!$C$2:$C$500,MATCH($C5315,المنيو!$B$2:$B$500,0)),0))</f>
        <v/>
      </c>
      <c r="F5315" s="103" t="str">
        <f aca="false">IF($C5315="","",$D5315*$E5315)</f>
        <v/>
      </c>
      <c r="G5315" s="103" t="str">
        <f aca="false">IF($C5315="","",$D5315*IFERROR(INDEX('تحليل التكلفة والسعر'!$C$2:$C$700,MATCH($C5315,'تحليل التكلفة والسعر'!$B$2:$B$700,0)),0))</f>
        <v/>
      </c>
    </row>
    <row r="5316" customFormat="false" ht="15" hidden="false" customHeight="false" outlineLevel="0" collapsed="false">
      <c r="A5316" s="102"/>
      <c r="E5316" s="103" t="str">
        <f aca="false">IF($C5316="","",IFERROR(INDEX(المنيو!$C$2:$C$500,MATCH($C5316,المنيو!$B$2:$B$500,0)),0))</f>
        <v/>
      </c>
      <c r="F5316" s="103" t="str">
        <f aca="false">IF($C5316="","",$D5316*$E5316)</f>
        <v/>
      </c>
      <c r="G5316" s="103" t="str">
        <f aca="false">IF($C5316="","",$D5316*IFERROR(INDEX('تحليل التكلفة والسعر'!$C$2:$C$700,MATCH($C5316,'تحليل التكلفة والسعر'!$B$2:$B$700,0)),0))</f>
        <v/>
      </c>
    </row>
    <row r="5317" customFormat="false" ht="15" hidden="false" customHeight="false" outlineLevel="0" collapsed="false">
      <c r="A5317" s="102"/>
      <c r="E5317" s="103" t="str">
        <f aca="false">IF($C5317="","",IFERROR(INDEX(المنيو!$C$2:$C$500,MATCH($C5317,المنيو!$B$2:$B$500,0)),0))</f>
        <v/>
      </c>
      <c r="F5317" s="103" t="str">
        <f aca="false">IF($C5317="","",$D5317*$E5317)</f>
        <v/>
      </c>
      <c r="G5317" s="103" t="str">
        <f aca="false">IF($C5317="","",$D5317*IFERROR(INDEX('تحليل التكلفة والسعر'!$C$2:$C$700,MATCH($C5317,'تحليل التكلفة والسعر'!$B$2:$B$700,0)),0))</f>
        <v/>
      </c>
    </row>
    <row r="5318" customFormat="false" ht="15" hidden="false" customHeight="false" outlineLevel="0" collapsed="false">
      <c r="A5318" s="102"/>
      <c r="E5318" s="103" t="str">
        <f aca="false">IF($C5318="","",IFERROR(INDEX(المنيو!$C$2:$C$500,MATCH($C5318,المنيو!$B$2:$B$500,0)),0))</f>
        <v/>
      </c>
      <c r="F5318" s="103" t="str">
        <f aca="false">IF($C5318="","",$D5318*$E5318)</f>
        <v/>
      </c>
      <c r="G5318" s="103" t="str">
        <f aca="false">IF($C5318="","",$D5318*IFERROR(INDEX('تحليل التكلفة والسعر'!$C$2:$C$700,MATCH($C5318,'تحليل التكلفة والسعر'!$B$2:$B$700,0)),0))</f>
        <v/>
      </c>
    </row>
    <row r="5319" customFormat="false" ht="15" hidden="false" customHeight="false" outlineLevel="0" collapsed="false">
      <c r="A5319" s="102"/>
      <c r="E5319" s="103" t="str">
        <f aca="false">IF($C5319="","",IFERROR(INDEX(المنيو!$C$2:$C$500,MATCH($C5319,المنيو!$B$2:$B$500,0)),0))</f>
        <v/>
      </c>
      <c r="F5319" s="103" t="str">
        <f aca="false">IF($C5319="","",$D5319*$E5319)</f>
        <v/>
      </c>
      <c r="G5319" s="103" t="str">
        <f aca="false">IF($C5319="","",$D5319*IFERROR(INDEX('تحليل التكلفة والسعر'!$C$2:$C$700,MATCH($C5319,'تحليل التكلفة والسعر'!$B$2:$B$700,0)),0))</f>
        <v/>
      </c>
    </row>
    <row r="5320" customFormat="false" ht="15" hidden="false" customHeight="false" outlineLevel="0" collapsed="false">
      <c r="A5320" s="102"/>
      <c r="E5320" s="103" t="str">
        <f aca="false">IF($C5320="","",IFERROR(INDEX(المنيو!$C$2:$C$500,MATCH($C5320,المنيو!$B$2:$B$500,0)),0))</f>
        <v/>
      </c>
      <c r="F5320" s="103" t="str">
        <f aca="false">IF($C5320="","",$D5320*$E5320)</f>
        <v/>
      </c>
      <c r="G5320" s="103" t="str">
        <f aca="false">IF($C5320="","",$D5320*IFERROR(INDEX('تحليل التكلفة والسعر'!$C$2:$C$700,MATCH($C5320,'تحليل التكلفة والسعر'!$B$2:$B$700,0)),0))</f>
        <v/>
      </c>
    </row>
    <row r="5321" customFormat="false" ht="15" hidden="false" customHeight="false" outlineLevel="0" collapsed="false">
      <c r="A5321" s="102"/>
      <c r="E5321" s="103" t="str">
        <f aca="false">IF($C5321="","",IFERROR(INDEX(المنيو!$C$2:$C$500,MATCH($C5321,المنيو!$B$2:$B$500,0)),0))</f>
        <v/>
      </c>
      <c r="F5321" s="103" t="str">
        <f aca="false">IF($C5321="","",$D5321*$E5321)</f>
        <v/>
      </c>
      <c r="G5321" s="103" t="str">
        <f aca="false">IF($C5321="","",$D5321*IFERROR(INDEX('تحليل التكلفة والسعر'!$C$2:$C$700,MATCH($C5321,'تحليل التكلفة والسعر'!$B$2:$B$700,0)),0))</f>
        <v/>
      </c>
    </row>
    <row r="5322" customFormat="false" ht="15" hidden="false" customHeight="false" outlineLevel="0" collapsed="false">
      <c r="A5322" s="102"/>
      <c r="E5322" s="103" t="str">
        <f aca="false">IF($C5322="","",IFERROR(INDEX(المنيو!$C$2:$C$500,MATCH($C5322,المنيو!$B$2:$B$500,0)),0))</f>
        <v/>
      </c>
      <c r="F5322" s="103" t="str">
        <f aca="false">IF($C5322="","",$D5322*$E5322)</f>
        <v/>
      </c>
      <c r="G5322" s="103" t="str">
        <f aca="false">IF($C5322="","",$D5322*IFERROR(INDEX('تحليل التكلفة والسعر'!$C$2:$C$700,MATCH($C5322,'تحليل التكلفة والسعر'!$B$2:$B$700,0)),0))</f>
        <v/>
      </c>
    </row>
    <row r="5323" customFormat="false" ht="15" hidden="false" customHeight="false" outlineLevel="0" collapsed="false">
      <c r="A5323" s="102"/>
      <c r="E5323" s="103" t="str">
        <f aca="false">IF($C5323="","",IFERROR(INDEX(المنيو!$C$2:$C$500,MATCH($C5323,المنيو!$B$2:$B$500,0)),0))</f>
        <v/>
      </c>
      <c r="F5323" s="103" t="str">
        <f aca="false">IF($C5323="","",$D5323*$E5323)</f>
        <v/>
      </c>
      <c r="G5323" s="103" t="str">
        <f aca="false">IF($C5323="","",$D5323*IFERROR(INDEX('تحليل التكلفة والسعر'!$C$2:$C$700,MATCH($C5323,'تحليل التكلفة والسعر'!$B$2:$B$700,0)),0))</f>
        <v/>
      </c>
    </row>
    <row r="5324" customFormat="false" ht="15" hidden="false" customHeight="false" outlineLevel="0" collapsed="false">
      <c r="A5324" s="102"/>
      <c r="E5324" s="103" t="str">
        <f aca="false">IF($C5324="","",IFERROR(INDEX(المنيو!$C$2:$C$500,MATCH($C5324,المنيو!$B$2:$B$500,0)),0))</f>
        <v/>
      </c>
      <c r="F5324" s="103" t="str">
        <f aca="false">IF($C5324="","",$D5324*$E5324)</f>
        <v/>
      </c>
      <c r="G5324" s="103" t="str">
        <f aca="false">IF($C5324="","",$D5324*IFERROR(INDEX('تحليل التكلفة والسعر'!$C$2:$C$700,MATCH($C5324,'تحليل التكلفة والسعر'!$B$2:$B$700,0)),0))</f>
        <v/>
      </c>
    </row>
    <row r="5325" customFormat="false" ht="15" hidden="false" customHeight="false" outlineLevel="0" collapsed="false">
      <c r="A5325" s="102"/>
      <c r="E5325" s="103" t="str">
        <f aca="false">IF($C5325="","",IFERROR(INDEX(المنيو!$C$2:$C$500,MATCH($C5325,المنيو!$B$2:$B$500,0)),0))</f>
        <v/>
      </c>
      <c r="F5325" s="103" t="str">
        <f aca="false">IF($C5325="","",$D5325*$E5325)</f>
        <v/>
      </c>
      <c r="G5325" s="103" t="str">
        <f aca="false">IF($C5325="","",$D5325*IFERROR(INDEX('تحليل التكلفة والسعر'!$C$2:$C$700,MATCH($C5325,'تحليل التكلفة والسعر'!$B$2:$B$700,0)),0))</f>
        <v/>
      </c>
    </row>
    <row r="5326" customFormat="false" ht="15" hidden="false" customHeight="false" outlineLevel="0" collapsed="false">
      <c r="A5326" s="102"/>
      <c r="E5326" s="103" t="str">
        <f aca="false">IF($C5326="","",IFERROR(INDEX(المنيو!$C$2:$C$500,MATCH($C5326,المنيو!$B$2:$B$500,0)),0))</f>
        <v/>
      </c>
      <c r="F5326" s="103" t="str">
        <f aca="false">IF($C5326="","",$D5326*$E5326)</f>
        <v/>
      </c>
      <c r="G5326" s="103" t="str">
        <f aca="false">IF($C5326="","",$D5326*IFERROR(INDEX('تحليل التكلفة والسعر'!$C$2:$C$700,MATCH($C5326,'تحليل التكلفة والسعر'!$B$2:$B$700,0)),0))</f>
        <v/>
      </c>
    </row>
    <row r="5327" customFormat="false" ht="15" hidden="false" customHeight="false" outlineLevel="0" collapsed="false">
      <c r="A5327" s="102"/>
      <c r="E5327" s="103" t="str">
        <f aca="false">IF($C5327="","",IFERROR(INDEX(المنيو!$C$2:$C$500,MATCH($C5327,المنيو!$B$2:$B$500,0)),0))</f>
        <v/>
      </c>
      <c r="F5327" s="103" t="str">
        <f aca="false">IF($C5327="","",$D5327*$E5327)</f>
        <v/>
      </c>
      <c r="G5327" s="103" t="str">
        <f aca="false">IF($C5327="","",$D5327*IFERROR(INDEX('تحليل التكلفة والسعر'!$C$2:$C$700,MATCH($C5327,'تحليل التكلفة والسعر'!$B$2:$B$700,0)),0))</f>
        <v/>
      </c>
    </row>
    <row r="5328" customFormat="false" ht="15" hidden="false" customHeight="false" outlineLevel="0" collapsed="false">
      <c r="A5328" s="102"/>
      <c r="E5328" s="103" t="str">
        <f aca="false">IF($C5328="","",IFERROR(INDEX(المنيو!$C$2:$C$500,MATCH($C5328,المنيو!$B$2:$B$500,0)),0))</f>
        <v/>
      </c>
      <c r="F5328" s="103" t="str">
        <f aca="false">IF($C5328="","",$D5328*$E5328)</f>
        <v/>
      </c>
      <c r="G5328" s="103" t="str">
        <f aca="false">IF($C5328="","",$D5328*IFERROR(INDEX('تحليل التكلفة والسعر'!$C$2:$C$700,MATCH($C5328,'تحليل التكلفة والسعر'!$B$2:$B$700,0)),0))</f>
        <v/>
      </c>
    </row>
    <row r="5329" customFormat="false" ht="15" hidden="false" customHeight="false" outlineLevel="0" collapsed="false">
      <c r="A5329" s="102"/>
      <c r="E5329" s="103" t="str">
        <f aca="false">IF($C5329="","",IFERROR(INDEX(المنيو!$C$2:$C$500,MATCH($C5329,المنيو!$B$2:$B$500,0)),0))</f>
        <v/>
      </c>
      <c r="F5329" s="103" t="str">
        <f aca="false">IF($C5329="","",$D5329*$E5329)</f>
        <v/>
      </c>
      <c r="G5329" s="103" t="str">
        <f aca="false">IF($C5329="","",$D5329*IFERROR(INDEX('تحليل التكلفة والسعر'!$C$2:$C$700,MATCH($C5329,'تحليل التكلفة والسعر'!$B$2:$B$700,0)),0))</f>
        <v/>
      </c>
    </row>
    <row r="5330" customFormat="false" ht="15" hidden="false" customHeight="false" outlineLevel="0" collapsed="false">
      <c r="A5330" s="102"/>
      <c r="E5330" s="103" t="str">
        <f aca="false">IF($C5330="","",IFERROR(INDEX(المنيو!$C$2:$C$500,MATCH($C5330,المنيو!$B$2:$B$500,0)),0))</f>
        <v/>
      </c>
      <c r="F5330" s="103" t="str">
        <f aca="false">IF($C5330="","",$D5330*$E5330)</f>
        <v/>
      </c>
      <c r="G5330" s="103" t="str">
        <f aca="false">IF($C5330="","",$D5330*IFERROR(INDEX('تحليل التكلفة والسعر'!$C$2:$C$700,MATCH($C5330,'تحليل التكلفة والسعر'!$B$2:$B$700,0)),0))</f>
        <v/>
      </c>
    </row>
    <row r="5331" customFormat="false" ht="15" hidden="false" customHeight="false" outlineLevel="0" collapsed="false">
      <c r="A5331" s="102"/>
      <c r="E5331" s="103" t="str">
        <f aca="false">IF($C5331="","",IFERROR(INDEX(المنيو!$C$2:$C$500,MATCH($C5331,المنيو!$B$2:$B$500,0)),0))</f>
        <v/>
      </c>
      <c r="F5331" s="103" t="str">
        <f aca="false">IF($C5331="","",$D5331*$E5331)</f>
        <v/>
      </c>
      <c r="G5331" s="103" t="str">
        <f aca="false">IF($C5331="","",$D5331*IFERROR(INDEX('تحليل التكلفة والسعر'!$C$2:$C$700,MATCH($C5331,'تحليل التكلفة والسعر'!$B$2:$B$700,0)),0))</f>
        <v/>
      </c>
    </row>
    <row r="5332" customFormat="false" ht="15" hidden="false" customHeight="false" outlineLevel="0" collapsed="false">
      <c r="A5332" s="102"/>
      <c r="E5332" s="103" t="str">
        <f aca="false">IF($C5332="","",IFERROR(INDEX(المنيو!$C$2:$C$500,MATCH($C5332,المنيو!$B$2:$B$500,0)),0))</f>
        <v/>
      </c>
      <c r="F5332" s="103" t="str">
        <f aca="false">IF($C5332="","",$D5332*$E5332)</f>
        <v/>
      </c>
      <c r="G5332" s="103" t="str">
        <f aca="false">IF($C5332="","",$D5332*IFERROR(INDEX('تحليل التكلفة والسعر'!$C$2:$C$700,MATCH($C5332,'تحليل التكلفة والسعر'!$B$2:$B$700,0)),0))</f>
        <v/>
      </c>
    </row>
    <row r="5333" customFormat="false" ht="15" hidden="false" customHeight="false" outlineLevel="0" collapsed="false">
      <c r="A5333" s="102"/>
      <c r="E5333" s="103" t="str">
        <f aca="false">IF($C5333="","",IFERROR(INDEX(المنيو!$C$2:$C$500,MATCH($C5333,المنيو!$B$2:$B$500,0)),0))</f>
        <v/>
      </c>
      <c r="F5333" s="103" t="str">
        <f aca="false">IF($C5333="","",$D5333*$E5333)</f>
        <v/>
      </c>
      <c r="G5333" s="103" t="str">
        <f aca="false">IF($C5333="","",$D5333*IFERROR(INDEX('تحليل التكلفة والسعر'!$C$2:$C$700,MATCH($C5333,'تحليل التكلفة والسعر'!$B$2:$B$700,0)),0))</f>
        <v/>
      </c>
    </row>
    <row r="5334" customFormat="false" ht="15" hidden="false" customHeight="false" outlineLevel="0" collapsed="false">
      <c r="A5334" s="102"/>
      <c r="E5334" s="103" t="str">
        <f aca="false">IF($C5334="","",IFERROR(INDEX(المنيو!$C$2:$C$500,MATCH($C5334,المنيو!$B$2:$B$500,0)),0))</f>
        <v/>
      </c>
      <c r="F5334" s="103" t="str">
        <f aca="false">IF($C5334="","",$D5334*$E5334)</f>
        <v/>
      </c>
      <c r="G5334" s="103" t="str">
        <f aca="false">IF($C5334="","",$D5334*IFERROR(INDEX('تحليل التكلفة والسعر'!$C$2:$C$700,MATCH($C5334,'تحليل التكلفة والسعر'!$B$2:$B$700,0)),0))</f>
        <v/>
      </c>
    </row>
    <row r="5335" customFormat="false" ht="15" hidden="false" customHeight="false" outlineLevel="0" collapsed="false">
      <c r="A5335" s="102"/>
      <c r="E5335" s="103" t="str">
        <f aca="false">IF($C5335="","",IFERROR(INDEX(المنيو!$C$2:$C$500,MATCH($C5335,المنيو!$B$2:$B$500,0)),0))</f>
        <v/>
      </c>
      <c r="F5335" s="103" t="str">
        <f aca="false">IF($C5335="","",$D5335*$E5335)</f>
        <v/>
      </c>
      <c r="G5335" s="103" t="str">
        <f aca="false">IF($C5335="","",$D5335*IFERROR(INDEX('تحليل التكلفة والسعر'!$C$2:$C$700,MATCH($C5335,'تحليل التكلفة والسعر'!$B$2:$B$700,0)),0))</f>
        <v/>
      </c>
    </row>
    <row r="5336" customFormat="false" ht="15" hidden="false" customHeight="false" outlineLevel="0" collapsed="false">
      <c r="A5336" s="102"/>
      <c r="E5336" s="103" t="str">
        <f aca="false">IF($C5336="","",IFERROR(INDEX(المنيو!$C$2:$C$500,MATCH($C5336,المنيو!$B$2:$B$500,0)),0))</f>
        <v/>
      </c>
      <c r="F5336" s="103" t="str">
        <f aca="false">IF($C5336="","",$D5336*$E5336)</f>
        <v/>
      </c>
      <c r="G5336" s="103" t="str">
        <f aca="false">IF($C5336="","",$D5336*IFERROR(INDEX('تحليل التكلفة والسعر'!$C$2:$C$700,MATCH($C5336,'تحليل التكلفة والسعر'!$B$2:$B$700,0)),0))</f>
        <v/>
      </c>
    </row>
    <row r="5337" customFormat="false" ht="15" hidden="false" customHeight="false" outlineLevel="0" collapsed="false">
      <c r="A5337" s="102"/>
      <c r="E5337" s="103" t="str">
        <f aca="false">IF($C5337="","",IFERROR(INDEX(المنيو!$C$2:$C$500,MATCH($C5337,المنيو!$B$2:$B$500,0)),0))</f>
        <v/>
      </c>
      <c r="F5337" s="103" t="str">
        <f aca="false">IF($C5337="","",$D5337*$E5337)</f>
        <v/>
      </c>
      <c r="G5337" s="103" t="str">
        <f aca="false">IF($C5337="","",$D5337*IFERROR(INDEX('تحليل التكلفة والسعر'!$C$2:$C$700,MATCH($C5337,'تحليل التكلفة والسعر'!$B$2:$B$700,0)),0))</f>
        <v/>
      </c>
    </row>
    <row r="5338" customFormat="false" ht="15" hidden="false" customHeight="false" outlineLevel="0" collapsed="false">
      <c r="A5338" s="102"/>
      <c r="E5338" s="103" t="str">
        <f aca="false">IF($C5338="","",IFERROR(INDEX(المنيو!$C$2:$C$500,MATCH($C5338,المنيو!$B$2:$B$500,0)),0))</f>
        <v/>
      </c>
      <c r="F5338" s="103" t="str">
        <f aca="false">IF($C5338="","",$D5338*$E5338)</f>
        <v/>
      </c>
      <c r="G5338" s="103" t="str">
        <f aca="false">IF($C5338="","",$D5338*IFERROR(INDEX('تحليل التكلفة والسعر'!$C$2:$C$700,MATCH($C5338,'تحليل التكلفة والسعر'!$B$2:$B$700,0)),0))</f>
        <v/>
      </c>
    </row>
    <row r="5339" customFormat="false" ht="15" hidden="false" customHeight="false" outlineLevel="0" collapsed="false">
      <c r="A5339" s="102"/>
      <c r="E5339" s="103" t="str">
        <f aca="false">IF($C5339="","",IFERROR(INDEX(المنيو!$C$2:$C$500,MATCH($C5339,المنيو!$B$2:$B$500,0)),0))</f>
        <v/>
      </c>
      <c r="F5339" s="103" t="str">
        <f aca="false">IF($C5339="","",$D5339*$E5339)</f>
        <v/>
      </c>
      <c r="G5339" s="103" t="str">
        <f aca="false">IF($C5339="","",$D5339*IFERROR(INDEX('تحليل التكلفة والسعر'!$C$2:$C$700,MATCH($C5339,'تحليل التكلفة والسعر'!$B$2:$B$700,0)),0))</f>
        <v/>
      </c>
    </row>
    <row r="5340" customFormat="false" ht="15" hidden="false" customHeight="false" outlineLevel="0" collapsed="false">
      <c r="A5340" s="102"/>
      <c r="E5340" s="103" t="str">
        <f aca="false">IF($C5340="","",IFERROR(INDEX(المنيو!$C$2:$C$500,MATCH($C5340,المنيو!$B$2:$B$500,0)),0))</f>
        <v/>
      </c>
      <c r="F5340" s="103" t="str">
        <f aca="false">IF($C5340="","",$D5340*$E5340)</f>
        <v/>
      </c>
      <c r="G5340" s="103" t="str">
        <f aca="false">IF($C5340="","",$D5340*IFERROR(INDEX('تحليل التكلفة والسعر'!$C$2:$C$700,MATCH($C5340,'تحليل التكلفة والسعر'!$B$2:$B$700,0)),0))</f>
        <v/>
      </c>
    </row>
    <row r="5341" customFormat="false" ht="15" hidden="false" customHeight="false" outlineLevel="0" collapsed="false">
      <c r="A5341" s="102"/>
      <c r="E5341" s="103" t="str">
        <f aca="false">IF($C5341="","",IFERROR(INDEX(المنيو!$C$2:$C$500,MATCH($C5341,المنيو!$B$2:$B$500,0)),0))</f>
        <v/>
      </c>
      <c r="F5341" s="103" t="str">
        <f aca="false">IF($C5341="","",$D5341*$E5341)</f>
        <v/>
      </c>
      <c r="G5341" s="103" t="str">
        <f aca="false">IF($C5341="","",$D5341*IFERROR(INDEX('تحليل التكلفة والسعر'!$C$2:$C$700,MATCH($C5341,'تحليل التكلفة والسعر'!$B$2:$B$700,0)),0))</f>
        <v/>
      </c>
    </row>
    <row r="5342" customFormat="false" ht="15" hidden="false" customHeight="false" outlineLevel="0" collapsed="false">
      <c r="A5342" s="102"/>
      <c r="E5342" s="103" t="str">
        <f aca="false">IF($C5342="","",IFERROR(INDEX(المنيو!$C$2:$C$500,MATCH($C5342,المنيو!$B$2:$B$500,0)),0))</f>
        <v/>
      </c>
      <c r="F5342" s="103" t="str">
        <f aca="false">IF($C5342="","",$D5342*$E5342)</f>
        <v/>
      </c>
      <c r="G5342" s="103" t="str">
        <f aca="false">IF($C5342="","",$D5342*IFERROR(INDEX('تحليل التكلفة والسعر'!$C$2:$C$700,MATCH($C5342,'تحليل التكلفة والسعر'!$B$2:$B$700,0)),0))</f>
        <v/>
      </c>
    </row>
    <row r="5343" customFormat="false" ht="15" hidden="false" customHeight="false" outlineLevel="0" collapsed="false">
      <c r="A5343" s="102"/>
      <c r="E5343" s="103" t="str">
        <f aca="false">IF($C5343="","",IFERROR(INDEX(المنيو!$C$2:$C$500,MATCH($C5343,المنيو!$B$2:$B$500,0)),0))</f>
        <v/>
      </c>
      <c r="F5343" s="103" t="str">
        <f aca="false">IF($C5343="","",$D5343*$E5343)</f>
        <v/>
      </c>
      <c r="G5343" s="103" t="str">
        <f aca="false">IF($C5343="","",$D5343*IFERROR(INDEX('تحليل التكلفة والسعر'!$C$2:$C$700,MATCH($C5343,'تحليل التكلفة والسعر'!$B$2:$B$700,0)),0))</f>
        <v/>
      </c>
    </row>
    <row r="5344" customFormat="false" ht="15" hidden="false" customHeight="false" outlineLevel="0" collapsed="false">
      <c r="A5344" s="102"/>
      <c r="E5344" s="103" t="str">
        <f aca="false">IF($C5344="","",IFERROR(INDEX(المنيو!$C$2:$C$500,MATCH($C5344,المنيو!$B$2:$B$500,0)),0))</f>
        <v/>
      </c>
      <c r="F5344" s="103" t="str">
        <f aca="false">IF($C5344="","",$D5344*$E5344)</f>
        <v/>
      </c>
      <c r="G5344" s="103" t="str">
        <f aca="false">IF($C5344="","",$D5344*IFERROR(INDEX('تحليل التكلفة والسعر'!$C$2:$C$700,MATCH($C5344,'تحليل التكلفة والسعر'!$B$2:$B$700,0)),0))</f>
        <v/>
      </c>
    </row>
    <row r="5345" customFormat="false" ht="15" hidden="false" customHeight="false" outlineLevel="0" collapsed="false">
      <c r="A5345" s="102"/>
      <c r="E5345" s="103" t="str">
        <f aca="false">IF($C5345="","",IFERROR(INDEX(المنيو!$C$2:$C$500,MATCH($C5345,المنيو!$B$2:$B$500,0)),0))</f>
        <v/>
      </c>
      <c r="F5345" s="103" t="str">
        <f aca="false">IF($C5345="","",$D5345*$E5345)</f>
        <v/>
      </c>
      <c r="G5345" s="103" t="str">
        <f aca="false">IF($C5345="","",$D5345*IFERROR(INDEX('تحليل التكلفة والسعر'!$C$2:$C$700,MATCH($C5345,'تحليل التكلفة والسعر'!$B$2:$B$700,0)),0))</f>
        <v/>
      </c>
    </row>
    <row r="5346" customFormat="false" ht="15" hidden="false" customHeight="false" outlineLevel="0" collapsed="false">
      <c r="A5346" s="102"/>
      <c r="E5346" s="103" t="str">
        <f aca="false">IF($C5346="","",IFERROR(INDEX(المنيو!$C$2:$C$500,MATCH($C5346,المنيو!$B$2:$B$500,0)),0))</f>
        <v/>
      </c>
      <c r="F5346" s="103" t="str">
        <f aca="false">IF($C5346="","",$D5346*$E5346)</f>
        <v/>
      </c>
      <c r="G5346" s="103" t="str">
        <f aca="false">IF($C5346="","",$D5346*IFERROR(INDEX('تحليل التكلفة والسعر'!$C$2:$C$700,MATCH($C5346,'تحليل التكلفة والسعر'!$B$2:$B$700,0)),0))</f>
        <v/>
      </c>
    </row>
    <row r="5347" customFormat="false" ht="15" hidden="false" customHeight="false" outlineLevel="0" collapsed="false">
      <c r="A5347" s="102"/>
      <c r="E5347" s="103" t="str">
        <f aca="false">IF($C5347="","",IFERROR(INDEX(المنيو!$C$2:$C$500,MATCH($C5347,المنيو!$B$2:$B$500,0)),0))</f>
        <v/>
      </c>
      <c r="F5347" s="103" t="str">
        <f aca="false">IF($C5347="","",$D5347*$E5347)</f>
        <v/>
      </c>
      <c r="G5347" s="103" t="str">
        <f aca="false">IF($C5347="","",$D5347*IFERROR(INDEX('تحليل التكلفة والسعر'!$C$2:$C$700,MATCH($C5347,'تحليل التكلفة والسعر'!$B$2:$B$700,0)),0))</f>
        <v/>
      </c>
    </row>
    <row r="5348" customFormat="false" ht="15" hidden="false" customHeight="false" outlineLevel="0" collapsed="false">
      <c r="A5348" s="102"/>
      <c r="E5348" s="103" t="str">
        <f aca="false">IF($C5348="","",IFERROR(INDEX(المنيو!$C$2:$C$500,MATCH($C5348,المنيو!$B$2:$B$500,0)),0))</f>
        <v/>
      </c>
      <c r="F5348" s="103" t="str">
        <f aca="false">IF($C5348="","",$D5348*$E5348)</f>
        <v/>
      </c>
      <c r="G5348" s="103" t="str">
        <f aca="false">IF($C5348="","",$D5348*IFERROR(INDEX('تحليل التكلفة والسعر'!$C$2:$C$700,MATCH($C5348,'تحليل التكلفة والسعر'!$B$2:$B$700,0)),0))</f>
        <v/>
      </c>
    </row>
    <row r="5349" customFormat="false" ht="15" hidden="false" customHeight="false" outlineLevel="0" collapsed="false">
      <c r="A5349" s="102"/>
      <c r="E5349" s="103" t="str">
        <f aca="false">IF($C5349="","",IFERROR(INDEX(المنيو!$C$2:$C$500,MATCH($C5349,المنيو!$B$2:$B$500,0)),0))</f>
        <v/>
      </c>
      <c r="F5349" s="103" t="str">
        <f aca="false">IF($C5349="","",$D5349*$E5349)</f>
        <v/>
      </c>
      <c r="G5349" s="103" t="str">
        <f aca="false">IF($C5349="","",$D5349*IFERROR(INDEX('تحليل التكلفة والسعر'!$C$2:$C$700,MATCH($C5349,'تحليل التكلفة والسعر'!$B$2:$B$700,0)),0))</f>
        <v/>
      </c>
    </row>
    <row r="5350" customFormat="false" ht="15" hidden="false" customHeight="false" outlineLevel="0" collapsed="false">
      <c r="A5350" s="102"/>
      <c r="E5350" s="103" t="str">
        <f aca="false">IF($C5350="","",IFERROR(INDEX(المنيو!$C$2:$C$500,MATCH($C5350,المنيو!$B$2:$B$500,0)),0))</f>
        <v/>
      </c>
      <c r="F5350" s="103" t="str">
        <f aca="false">IF($C5350="","",$D5350*$E5350)</f>
        <v/>
      </c>
      <c r="G5350" s="103" t="str">
        <f aca="false">IF($C5350="","",$D5350*IFERROR(INDEX('تحليل التكلفة والسعر'!$C$2:$C$700,MATCH($C5350,'تحليل التكلفة والسعر'!$B$2:$B$700,0)),0))</f>
        <v/>
      </c>
    </row>
    <row r="5351" customFormat="false" ht="15" hidden="false" customHeight="false" outlineLevel="0" collapsed="false">
      <c r="A5351" s="102"/>
      <c r="E5351" s="103" t="str">
        <f aca="false">IF($C5351="","",IFERROR(INDEX(المنيو!$C$2:$C$500,MATCH($C5351,المنيو!$B$2:$B$500,0)),0))</f>
        <v/>
      </c>
      <c r="F5351" s="103" t="str">
        <f aca="false">IF($C5351="","",$D5351*$E5351)</f>
        <v/>
      </c>
      <c r="G5351" s="103" t="str">
        <f aca="false">IF($C5351="","",$D5351*IFERROR(INDEX('تحليل التكلفة والسعر'!$C$2:$C$700,MATCH($C5351,'تحليل التكلفة والسعر'!$B$2:$B$700,0)),0))</f>
        <v/>
      </c>
    </row>
    <row r="5352" customFormat="false" ht="15" hidden="false" customHeight="false" outlineLevel="0" collapsed="false">
      <c r="A5352" s="102"/>
      <c r="E5352" s="103" t="str">
        <f aca="false">IF($C5352="","",IFERROR(INDEX(المنيو!$C$2:$C$500,MATCH($C5352,المنيو!$B$2:$B$500,0)),0))</f>
        <v/>
      </c>
      <c r="F5352" s="103" t="str">
        <f aca="false">IF($C5352="","",$D5352*$E5352)</f>
        <v/>
      </c>
      <c r="G5352" s="103" t="str">
        <f aca="false">IF($C5352="","",$D5352*IFERROR(INDEX('تحليل التكلفة والسعر'!$C$2:$C$700,MATCH($C5352,'تحليل التكلفة والسعر'!$B$2:$B$700,0)),0))</f>
        <v/>
      </c>
    </row>
    <row r="5353" customFormat="false" ht="15" hidden="false" customHeight="false" outlineLevel="0" collapsed="false">
      <c r="A5353" s="102"/>
      <c r="E5353" s="103" t="str">
        <f aca="false">IF($C5353="","",IFERROR(INDEX(المنيو!$C$2:$C$500,MATCH($C5353,المنيو!$B$2:$B$500,0)),0))</f>
        <v/>
      </c>
      <c r="F5353" s="103" t="str">
        <f aca="false">IF($C5353="","",$D5353*$E5353)</f>
        <v/>
      </c>
      <c r="G5353" s="103" t="str">
        <f aca="false">IF($C5353="","",$D5353*IFERROR(INDEX('تحليل التكلفة والسعر'!$C$2:$C$700,MATCH($C5353,'تحليل التكلفة والسعر'!$B$2:$B$700,0)),0))</f>
        <v/>
      </c>
    </row>
    <row r="5354" customFormat="false" ht="15" hidden="false" customHeight="false" outlineLevel="0" collapsed="false">
      <c r="A5354" s="102"/>
      <c r="E5354" s="103" t="str">
        <f aca="false">IF($C5354="","",IFERROR(INDEX(المنيو!$C$2:$C$500,MATCH($C5354,المنيو!$B$2:$B$500,0)),0))</f>
        <v/>
      </c>
      <c r="F5354" s="103" t="str">
        <f aca="false">IF($C5354="","",$D5354*$E5354)</f>
        <v/>
      </c>
      <c r="G5354" s="103" t="str">
        <f aca="false">IF($C5354="","",$D5354*IFERROR(INDEX('تحليل التكلفة والسعر'!$C$2:$C$700,MATCH($C5354,'تحليل التكلفة والسعر'!$B$2:$B$700,0)),0))</f>
        <v/>
      </c>
    </row>
    <row r="5355" customFormat="false" ht="15" hidden="false" customHeight="false" outlineLevel="0" collapsed="false">
      <c r="A5355" s="102"/>
      <c r="E5355" s="103" t="str">
        <f aca="false">IF($C5355="","",IFERROR(INDEX(المنيو!$C$2:$C$500,MATCH($C5355,المنيو!$B$2:$B$500,0)),0))</f>
        <v/>
      </c>
      <c r="F5355" s="103" t="str">
        <f aca="false">IF($C5355="","",$D5355*$E5355)</f>
        <v/>
      </c>
      <c r="G5355" s="103" t="str">
        <f aca="false">IF($C5355="","",$D5355*IFERROR(INDEX('تحليل التكلفة والسعر'!$C$2:$C$700,MATCH($C5355,'تحليل التكلفة والسعر'!$B$2:$B$700,0)),0))</f>
        <v/>
      </c>
    </row>
    <row r="5356" customFormat="false" ht="15" hidden="false" customHeight="false" outlineLevel="0" collapsed="false">
      <c r="A5356" s="102"/>
      <c r="E5356" s="103" t="str">
        <f aca="false">IF($C5356="","",IFERROR(INDEX(المنيو!$C$2:$C$500,MATCH($C5356,المنيو!$B$2:$B$500,0)),0))</f>
        <v/>
      </c>
      <c r="F5356" s="103" t="str">
        <f aca="false">IF($C5356="","",$D5356*$E5356)</f>
        <v/>
      </c>
      <c r="G5356" s="103" t="str">
        <f aca="false">IF($C5356="","",$D5356*IFERROR(INDEX('تحليل التكلفة والسعر'!$C$2:$C$700,MATCH($C5356,'تحليل التكلفة والسعر'!$B$2:$B$700,0)),0))</f>
        <v/>
      </c>
    </row>
    <row r="5357" customFormat="false" ht="15" hidden="false" customHeight="false" outlineLevel="0" collapsed="false">
      <c r="A5357" s="102"/>
      <c r="E5357" s="103" t="str">
        <f aca="false">IF($C5357="","",IFERROR(INDEX(المنيو!$C$2:$C$500,MATCH($C5357,المنيو!$B$2:$B$500,0)),0))</f>
        <v/>
      </c>
      <c r="F5357" s="103" t="str">
        <f aca="false">IF($C5357="","",$D5357*$E5357)</f>
        <v/>
      </c>
      <c r="G5357" s="103" t="str">
        <f aca="false">IF($C5357="","",$D5357*IFERROR(INDEX('تحليل التكلفة والسعر'!$C$2:$C$700,MATCH($C5357,'تحليل التكلفة والسعر'!$B$2:$B$700,0)),0))</f>
        <v/>
      </c>
    </row>
    <row r="5358" customFormat="false" ht="15" hidden="false" customHeight="false" outlineLevel="0" collapsed="false">
      <c r="A5358" s="102"/>
      <c r="E5358" s="103" t="str">
        <f aca="false">IF($C5358="","",IFERROR(INDEX(المنيو!$C$2:$C$500,MATCH($C5358,المنيو!$B$2:$B$500,0)),0))</f>
        <v/>
      </c>
      <c r="F5358" s="103" t="str">
        <f aca="false">IF($C5358="","",$D5358*$E5358)</f>
        <v/>
      </c>
      <c r="G5358" s="103" t="str">
        <f aca="false">IF($C5358="","",$D5358*IFERROR(INDEX('تحليل التكلفة والسعر'!$C$2:$C$700,MATCH($C5358,'تحليل التكلفة والسعر'!$B$2:$B$700,0)),0))</f>
        <v/>
      </c>
    </row>
    <row r="5359" customFormat="false" ht="15" hidden="false" customHeight="false" outlineLevel="0" collapsed="false">
      <c r="A5359" s="102"/>
      <c r="E5359" s="103" t="str">
        <f aca="false">IF($C5359="","",IFERROR(INDEX(المنيو!$C$2:$C$500,MATCH($C5359,المنيو!$B$2:$B$500,0)),0))</f>
        <v/>
      </c>
      <c r="F5359" s="103" t="str">
        <f aca="false">IF($C5359="","",$D5359*$E5359)</f>
        <v/>
      </c>
      <c r="G5359" s="103" t="str">
        <f aca="false">IF($C5359="","",$D5359*IFERROR(INDEX('تحليل التكلفة والسعر'!$C$2:$C$700,MATCH($C5359,'تحليل التكلفة والسعر'!$B$2:$B$700,0)),0))</f>
        <v/>
      </c>
    </row>
    <row r="5360" customFormat="false" ht="15" hidden="false" customHeight="false" outlineLevel="0" collapsed="false">
      <c r="A5360" s="102"/>
      <c r="E5360" s="103" t="str">
        <f aca="false">IF($C5360="","",IFERROR(INDEX(المنيو!$C$2:$C$500,MATCH($C5360,المنيو!$B$2:$B$500,0)),0))</f>
        <v/>
      </c>
      <c r="F5360" s="103" t="str">
        <f aca="false">IF($C5360="","",$D5360*$E5360)</f>
        <v/>
      </c>
      <c r="G5360" s="103" t="str">
        <f aca="false">IF($C5360="","",$D5360*IFERROR(INDEX('تحليل التكلفة والسعر'!$C$2:$C$700,MATCH($C5360,'تحليل التكلفة والسعر'!$B$2:$B$700,0)),0))</f>
        <v/>
      </c>
    </row>
    <row r="5361" customFormat="false" ht="15" hidden="false" customHeight="false" outlineLevel="0" collapsed="false">
      <c r="A5361" s="102"/>
      <c r="E5361" s="103" t="str">
        <f aca="false">IF($C5361="","",IFERROR(INDEX(المنيو!$C$2:$C$500,MATCH($C5361,المنيو!$B$2:$B$500,0)),0))</f>
        <v/>
      </c>
      <c r="F5361" s="103" t="str">
        <f aca="false">IF($C5361="","",$D5361*$E5361)</f>
        <v/>
      </c>
      <c r="G5361" s="103" t="str">
        <f aca="false">IF($C5361="","",$D5361*IFERROR(INDEX('تحليل التكلفة والسعر'!$C$2:$C$700,MATCH($C5361,'تحليل التكلفة والسعر'!$B$2:$B$700,0)),0))</f>
        <v/>
      </c>
    </row>
    <row r="5362" customFormat="false" ht="15" hidden="false" customHeight="false" outlineLevel="0" collapsed="false">
      <c r="A5362" s="102"/>
      <c r="E5362" s="103" t="str">
        <f aca="false">IF($C5362="","",IFERROR(INDEX(المنيو!$C$2:$C$500,MATCH($C5362,المنيو!$B$2:$B$500,0)),0))</f>
        <v/>
      </c>
      <c r="F5362" s="103" t="str">
        <f aca="false">IF($C5362="","",$D5362*$E5362)</f>
        <v/>
      </c>
      <c r="G5362" s="103" t="str">
        <f aca="false">IF($C5362="","",$D5362*IFERROR(INDEX('تحليل التكلفة والسعر'!$C$2:$C$700,MATCH($C5362,'تحليل التكلفة والسعر'!$B$2:$B$700,0)),0))</f>
        <v/>
      </c>
    </row>
    <row r="5363" customFormat="false" ht="15" hidden="false" customHeight="false" outlineLevel="0" collapsed="false">
      <c r="A5363" s="102"/>
      <c r="E5363" s="103" t="str">
        <f aca="false">IF($C5363="","",IFERROR(INDEX(المنيو!$C$2:$C$500,MATCH($C5363,المنيو!$B$2:$B$500,0)),0))</f>
        <v/>
      </c>
      <c r="F5363" s="103" t="str">
        <f aca="false">IF($C5363="","",$D5363*$E5363)</f>
        <v/>
      </c>
      <c r="G5363" s="103" t="str">
        <f aca="false">IF($C5363="","",$D5363*IFERROR(INDEX('تحليل التكلفة والسعر'!$C$2:$C$700,MATCH($C5363,'تحليل التكلفة والسعر'!$B$2:$B$700,0)),0))</f>
        <v/>
      </c>
    </row>
    <row r="5364" customFormat="false" ht="15" hidden="false" customHeight="false" outlineLevel="0" collapsed="false">
      <c r="A5364" s="102"/>
      <c r="E5364" s="103" t="str">
        <f aca="false">IF($C5364="","",IFERROR(INDEX(المنيو!$C$2:$C$500,MATCH($C5364,المنيو!$B$2:$B$500,0)),0))</f>
        <v/>
      </c>
      <c r="F5364" s="103" t="str">
        <f aca="false">IF($C5364="","",$D5364*$E5364)</f>
        <v/>
      </c>
      <c r="G5364" s="103" t="str">
        <f aca="false">IF($C5364="","",$D5364*IFERROR(INDEX('تحليل التكلفة والسعر'!$C$2:$C$700,MATCH($C5364,'تحليل التكلفة والسعر'!$B$2:$B$700,0)),0))</f>
        <v/>
      </c>
    </row>
    <row r="5365" customFormat="false" ht="15" hidden="false" customHeight="false" outlineLevel="0" collapsed="false">
      <c r="A5365" s="102"/>
      <c r="E5365" s="103" t="str">
        <f aca="false">IF($C5365="","",IFERROR(INDEX(المنيو!$C$2:$C$500,MATCH($C5365,المنيو!$B$2:$B$500,0)),0))</f>
        <v/>
      </c>
      <c r="F5365" s="103" t="str">
        <f aca="false">IF($C5365="","",$D5365*$E5365)</f>
        <v/>
      </c>
      <c r="G5365" s="103" t="str">
        <f aca="false">IF($C5365="","",$D5365*IFERROR(INDEX('تحليل التكلفة والسعر'!$C$2:$C$700,MATCH($C5365,'تحليل التكلفة والسعر'!$B$2:$B$700,0)),0))</f>
        <v/>
      </c>
    </row>
    <row r="5366" customFormat="false" ht="15" hidden="false" customHeight="false" outlineLevel="0" collapsed="false">
      <c r="A5366" s="102"/>
      <c r="E5366" s="103" t="str">
        <f aca="false">IF($C5366="","",IFERROR(INDEX(المنيو!$C$2:$C$500,MATCH($C5366,المنيو!$B$2:$B$500,0)),0))</f>
        <v/>
      </c>
      <c r="F5366" s="103" t="str">
        <f aca="false">IF($C5366="","",$D5366*$E5366)</f>
        <v/>
      </c>
      <c r="G5366" s="103" t="str">
        <f aca="false">IF($C5366="","",$D5366*IFERROR(INDEX('تحليل التكلفة والسعر'!$C$2:$C$700,MATCH($C5366,'تحليل التكلفة والسعر'!$B$2:$B$700,0)),0))</f>
        <v/>
      </c>
    </row>
    <row r="5367" customFormat="false" ht="15" hidden="false" customHeight="false" outlineLevel="0" collapsed="false">
      <c r="A5367" s="102"/>
      <c r="E5367" s="103" t="str">
        <f aca="false">IF($C5367="","",IFERROR(INDEX(المنيو!$C$2:$C$500,MATCH($C5367,المنيو!$B$2:$B$500,0)),0))</f>
        <v/>
      </c>
      <c r="F5367" s="103" t="str">
        <f aca="false">IF($C5367="","",$D5367*$E5367)</f>
        <v/>
      </c>
      <c r="G5367" s="103" t="str">
        <f aca="false">IF($C5367="","",$D5367*IFERROR(INDEX('تحليل التكلفة والسعر'!$C$2:$C$700,MATCH($C5367,'تحليل التكلفة والسعر'!$B$2:$B$700,0)),0))</f>
        <v/>
      </c>
    </row>
    <row r="5368" customFormat="false" ht="15" hidden="false" customHeight="false" outlineLevel="0" collapsed="false">
      <c r="A5368" s="102"/>
      <c r="E5368" s="103" t="str">
        <f aca="false">IF($C5368="","",IFERROR(INDEX(المنيو!$C$2:$C$500,MATCH($C5368,المنيو!$B$2:$B$500,0)),0))</f>
        <v/>
      </c>
      <c r="F5368" s="103" t="str">
        <f aca="false">IF($C5368="","",$D5368*$E5368)</f>
        <v/>
      </c>
      <c r="G5368" s="103" t="str">
        <f aca="false">IF($C5368="","",$D5368*IFERROR(INDEX('تحليل التكلفة والسعر'!$C$2:$C$700,MATCH($C5368,'تحليل التكلفة والسعر'!$B$2:$B$700,0)),0))</f>
        <v/>
      </c>
    </row>
    <row r="5369" customFormat="false" ht="15" hidden="false" customHeight="false" outlineLevel="0" collapsed="false">
      <c r="A5369" s="102"/>
      <c r="E5369" s="103" t="str">
        <f aca="false">IF($C5369="","",IFERROR(INDEX(المنيو!$C$2:$C$500,MATCH($C5369,المنيو!$B$2:$B$500,0)),0))</f>
        <v/>
      </c>
      <c r="F5369" s="103" t="str">
        <f aca="false">IF($C5369="","",$D5369*$E5369)</f>
        <v/>
      </c>
      <c r="G5369" s="103" t="str">
        <f aca="false">IF($C5369="","",$D5369*IFERROR(INDEX('تحليل التكلفة والسعر'!$C$2:$C$700,MATCH($C5369,'تحليل التكلفة والسعر'!$B$2:$B$700,0)),0))</f>
        <v/>
      </c>
    </row>
    <row r="5370" customFormat="false" ht="15" hidden="false" customHeight="false" outlineLevel="0" collapsed="false">
      <c r="A5370" s="102"/>
      <c r="E5370" s="103" t="str">
        <f aca="false">IF($C5370="","",IFERROR(INDEX(المنيو!$C$2:$C$500,MATCH($C5370,المنيو!$B$2:$B$500,0)),0))</f>
        <v/>
      </c>
      <c r="F5370" s="103" t="str">
        <f aca="false">IF($C5370="","",$D5370*$E5370)</f>
        <v/>
      </c>
      <c r="G5370" s="103" t="str">
        <f aca="false">IF($C5370="","",$D5370*IFERROR(INDEX('تحليل التكلفة والسعر'!$C$2:$C$700,MATCH($C5370,'تحليل التكلفة والسعر'!$B$2:$B$700,0)),0))</f>
        <v/>
      </c>
    </row>
    <row r="5371" customFormat="false" ht="15" hidden="false" customHeight="false" outlineLevel="0" collapsed="false">
      <c r="A5371" s="102"/>
      <c r="E5371" s="103" t="str">
        <f aca="false">IF($C5371="","",IFERROR(INDEX(المنيو!$C$2:$C$500,MATCH($C5371,المنيو!$B$2:$B$500,0)),0))</f>
        <v/>
      </c>
      <c r="F5371" s="103" t="str">
        <f aca="false">IF($C5371="","",$D5371*$E5371)</f>
        <v/>
      </c>
      <c r="G5371" s="103" t="str">
        <f aca="false">IF($C5371="","",$D5371*IFERROR(INDEX('تحليل التكلفة والسعر'!$C$2:$C$700,MATCH($C5371,'تحليل التكلفة والسعر'!$B$2:$B$700,0)),0))</f>
        <v/>
      </c>
    </row>
    <row r="5372" customFormat="false" ht="15" hidden="false" customHeight="false" outlineLevel="0" collapsed="false">
      <c r="A5372" s="102"/>
      <c r="E5372" s="103" t="str">
        <f aca="false">IF($C5372="","",IFERROR(INDEX(المنيو!$C$2:$C$500,MATCH($C5372,المنيو!$B$2:$B$500,0)),0))</f>
        <v/>
      </c>
      <c r="F5372" s="103" t="str">
        <f aca="false">IF($C5372="","",$D5372*$E5372)</f>
        <v/>
      </c>
      <c r="G5372" s="103" t="str">
        <f aca="false">IF($C5372="","",$D5372*IFERROR(INDEX('تحليل التكلفة والسعر'!$C$2:$C$700,MATCH($C5372,'تحليل التكلفة والسعر'!$B$2:$B$700,0)),0))</f>
        <v/>
      </c>
    </row>
    <row r="5373" customFormat="false" ht="15" hidden="false" customHeight="false" outlineLevel="0" collapsed="false">
      <c r="A5373" s="102"/>
      <c r="E5373" s="103" t="str">
        <f aca="false">IF($C5373="","",IFERROR(INDEX(المنيو!$C$2:$C$500,MATCH($C5373,المنيو!$B$2:$B$500,0)),0))</f>
        <v/>
      </c>
      <c r="F5373" s="103" t="str">
        <f aca="false">IF($C5373="","",$D5373*$E5373)</f>
        <v/>
      </c>
      <c r="G5373" s="103" t="str">
        <f aca="false">IF($C5373="","",$D5373*IFERROR(INDEX('تحليل التكلفة والسعر'!$C$2:$C$700,MATCH($C5373,'تحليل التكلفة والسعر'!$B$2:$B$700,0)),0))</f>
        <v/>
      </c>
    </row>
    <row r="5374" customFormat="false" ht="15" hidden="false" customHeight="false" outlineLevel="0" collapsed="false">
      <c r="A5374" s="102"/>
      <c r="E5374" s="103" t="str">
        <f aca="false">IF($C5374="","",IFERROR(INDEX(المنيو!$C$2:$C$500,MATCH($C5374,المنيو!$B$2:$B$500,0)),0))</f>
        <v/>
      </c>
      <c r="F5374" s="103" t="str">
        <f aca="false">IF($C5374="","",$D5374*$E5374)</f>
        <v/>
      </c>
      <c r="G5374" s="103" t="str">
        <f aca="false">IF($C5374="","",$D5374*IFERROR(INDEX('تحليل التكلفة والسعر'!$C$2:$C$700,MATCH($C5374,'تحليل التكلفة والسعر'!$B$2:$B$700,0)),0))</f>
        <v/>
      </c>
    </row>
    <row r="5375" customFormat="false" ht="15" hidden="false" customHeight="false" outlineLevel="0" collapsed="false">
      <c r="A5375" s="102"/>
      <c r="E5375" s="103" t="str">
        <f aca="false">IF($C5375="","",IFERROR(INDEX(المنيو!$C$2:$C$500,MATCH($C5375,المنيو!$B$2:$B$500,0)),0))</f>
        <v/>
      </c>
      <c r="F5375" s="103" t="str">
        <f aca="false">IF($C5375="","",$D5375*$E5375)</f>
        <v/>
      </c>
      <c r="G5375" s="103" t="str">
        <f aca="false">IF($C5375="","",$D5375*IFERROR(INDEX('تحليل التكلفة والسعر'!$C$2:$C$700,MATCH($C5375,'تحليل التكلفة والسعر'!$B$2:$B$700,0)),0))</f>
        <v/>
      </c>
    </row>
    <row r="5376" customFormat="false" ht="15" hidden="false" customHeight="false" outlineLevel="0" collapsed="false">
      <c r="A5376" s="102"/>
      <c r="E5376" s="103" t="str">
        <f aca="false">IF($C5376="","",IFERROR(INDEX(المنيو!$C$2:$C$500,MATCH($C5376,المنيو!$B$2:$B$500,0)),0))</f>
        <v/>
      </c>
      <c r="F5376" s="103" t="str">
        <f aca="false">IF($C5376="","",$D5376*$E5376)</f>
        <v/>
      </c>
      <c r="G5376" s="103" t="str">
        <f aca="false">IF($C5376="","",$D5376*IFERROR(INDEX('تحليل التكلفة والسعر'!$C$2:$C$700,MATCH($C5376,'تحليل التكلفة والسعر'!$B$2:$B$700,0)),0))</f>
        <v/>
      </c>
    </row>
    <row r="5377" customFormat="false" ht="15" hidden="false" customHeight="false" outlineLevel="0" collapsed="false">
      <c r="A5377" s="102"/>
      <c r="E5377" s="103" t="str">
        <f aca="false">IF($C5377="","",IFERROR(INDEX(المنيو!$C$2:$C$500,MATCH($C5377,المنيو!$B$2:$B$500,0)),0))</f>
        <v/>
      </c>
      <c r="F5377" s="103" t="str">
        <f aca="false">IF($C5377="","",$D5377*$E5377)</f>
        <v/>
      </c>
      <c r="G5377" s="103" t="str">
        <f aca="false">IF($C5377="","",$D5377*IFERROR(INDEX('تحليل التكلفة والسعر'!$C$2:$C$700,MATCH($C5377,'تحليل التكلفة والسعر'!$B$2:$B$700,0)),0))</f>
        <v/>
      </c>
    </row>
    <row r="5378" customFormat="false" ht="15" hidden="false" customHeight="false" outlineLevel="0" collapsed="false">
      <c r="A5378" s="102"/>
      <c r="E5378" s="103" t="str">
        <f aca="false">IF($C5378="","",IFERROR(INDEX(المنيو!$C$2:$C$500,MATCH($C5378,المنيو!$B$2:$B$500,0)),0))</f>
        <v/>
      </c>
      <c r="F5378" s="103" t="str">
        <f aca="false">IF($C5378="","",$D5378*$E5378)</f>
        <v/>
      </c>
      <c r="G5378" s="103" t="str">
        <f aca="false">IF($C5378="","",$D5378*IFERROR(INDEX('تحليل التكلفة والسعر'!$C$2:$C$700,MATCH($C5378,'تحليل التكلفة والسعر'!$B$2:$B$700,0)),0))</f>
        <v/>
      </c>
    </row>
    <row r="5379" customFormat="false" ht="15" hidden="false" customHeight="false" outlineLevel="0" collapsed="false">
      <c r="A5379" s="102"/>
      <c r="E5379" s="103" t="str">
        <f aca="false">IF($C5379="","",IFERROR(INDEX(المنيو!$C$2:$C$500,MATCH($C5379,المنيو!$B$2:$B$500,0)),0))</f>
        <v/>
      </c>
      <c r="F5379" s="103" t="str">
        <f aca="false">IF($C5379="","",$D5379*$E5379)</f>
        <v/>
      </c>
      <c r="G5379" s="103" t="str">
        <f aca="false">IF($C5379="","",$D5379*IFERROR(INDEX('تحليل التكلفة والسعر'!$C$2:$C$700,MATCH($C5379,'تحليل التكلفة والسعر'!$B$2:$B$700,0)),0))</f>
        <v/>
      </c>
    </row>
    <row r="5380" customFormat="false" ht="15" hidden="false" customHeight="false" outlineLevel="0" collapsed="false">
      <c r="A5380" s="102"/>
      <c r="E5380" s="103" t="str">
        <f aca="false">IF($C5380="","",IFERROR(INDEX(المنيو!$C$2:$C$500,MATCH($C5380,المنيو!$B$2:$B$500,0)),0))</f>
        <v/>
      </c>
      <c r="F5380" s="103" t="str">
        <f aca="false">IF($C5380="","",$D5380*$E5380)</f>
        <v/>
      </c>
      <c r="G5380" s="103" t="str">
        <f aca="false">IF($C5380="","",$D5380*IFERROR(INDEX('تحليل التكلفة والسعر'!$C$2:$C$700,MATCH($C5380,'تحليل التكلفة والسعر'!$B$2:$B$700,0)),0))</f>
        <v/>
      </c>
    </row>
    <row r="5381" customFormat="false" ht="15" hidden="false" customHeight="false" outlineLevel="0" collapsed="false">
      <c r="A5381" s="102"/>
      <c r="E5381" s="103" t="str">
        <f aca="false">IF($C5381="","",IFERROR(INDEX(المنيو!$C$2:$C$500,MATCH($C5381,المنيو!$B$2:$B$500,0)),0))</f>
        <v/>
      </c>
      <c r="F5381" s="103" t="str">
        <f aca="false">IF($C5381="","",$D5381*$E5381)</f>
        <v/>
      </c>
      <c r="G5381" s="103" t="str">
        <f aca="false">IF($C5381="","",$D5381*IFERROR(INDEX('تحليل التكلفة والسعر'!$C$2:$C$700,MATCH($C5381,'تحليل التكلفة والسعر'!$B$2:$B$700,0)),0))</f>
        <v/>
      </c>
    </row>
    <row r="5382" customFormat="false" ht="15" hidden="false" customHeight="false" outlineLevel="0" collapsed="false">
      <c r="A5382" s="102"/>
      <c r="E5382" s="103" t="str">
        <f aca="false">IF($C5382="","",IFERROR(INDEX(المنيو!$C$2:$C$500,MATCH($C5382,المنيو!$B$2:$B$500,0)),0))</f>
        <v/>
      </c>
      <c r="F5382" s="103" t="str">
        <f aca="false">IF($C5382="","",$D5382*$E5382)</f>
        <v/>
      </c>
      <c r="G5382" s="103" t="str">
        <f aca="false">IF($C5382="","",$D5382*IFERROR(INDEX('تحليل التكلفة والسعر'!$C$2:$C$700,MATCH($C5382,'تحليل التكلفة والسعر'!$B$2:$B$700,0)),0))</f>
        <v/>
      </c>
    </row>
    <row r="5383" customFormat="false" ht="15" hidden="false" customHeight="false" outlineLevel="0" collapsed="false">
      <c r="A5383" s="102"/>
      <c r="E5383" s="103" t="str">
        <f aca="false">IF($C5383="","",IFERROR(INDEX(المنيو!$C$2:$C$500,MATCH($C5383,المنيو!$B$2:$B$500,0)),0))</f>
        <v/>
      </c>
      <c r="F5383" s="103" t="str">
        <f aca="false">IF($C5383="","",$D5383*$E5383)</f>
        <v/>
      </c>
      <c r="G5383" s="103" t="str">
        <f aca="false">IF($C5383="","",$D5383*IFERROR(INDEX('تحليل التكلفة والسعر'!$C$2:$C$700,MATCH($C5383,'تحليل التكلفة والسعر'!$B$2:$B$700,0)),0))</f>
        <v/>
      </c>
    </row>
    <row r="5384" customFormat="false" ht="15" hidden="false" customHeight="false" outlineLevel="0" collapsed="false">
      <c r="A5384" s="102"/>
      <c r="E5384" s="103" t="str">
        <f aca="false">IF($C5384="","",IFERROR(INDEX(المنيو!$C$2:$C$500,MATCH($C5384,المنيو!$B$2:$B$500,0)),0))</f>
        <v/>
      </c>
      <c r="F5384" s="103" t="str">
        <f aca="false">IF($C5384="","",$D5384*$E5384)</f>
        <v/>
      </c>
      <c r="G5384" s="103" t="str">
        <f aca="false">IF($C5384="","",$D5384*IFERROR(INDEX('تحليل التكلفة والسعر'!$C$2:$C$700,MATCH($C5384,'تحليل التكلفة والسعر'!$B$2:$B$700,0)),0))</f>
        <v/>
      </c>
    </row>
    <row r="5385" customFormat="false" ht="15" hidden="false" customHeight="false" outlineLevel="0" collapsed="false">
      <c r="A5385" s="102"/>
      <c r="E5385" s="103" t="str">
        <f aca="false">IF($C5385="","",IFERROR(INDEX(المنيو!$C$2:$C$500,MATCH($C5385,المنيو!$B$2:$B$500,0)),0))</f>
        <v/>
      </c>
      <c r="F5385" s="103" t="str">
        <f aca="false">IF($C5385="","",$D5385*$E5385)</f>
        <v/>
      </c>
      <c r="G5385" s="103" t="str">
        <f aca="false">IF($C5385="","",$D5385*IFERROR(INDEX('تحليل التكلفة والسعر'!$C$2:$C$700,MATCH($C5385,'تحليل التكلفة والسعر'!$B$2:$B$700,0)),0))</f>
        <v/>
      </c>
    </row>
    <row r="5386" customFormat="false" ht="15" hidden="false" customHeight="false" outlineLevel="0" collapsed="false">
      <c r="A5386" s="102"/>
      <c r="E5386" s="103" t="str">
        <f aca="false">IF($C5386="","",IFERROR(INDEX(المنيو!$C$2:$C$500,MATCH($C5386,المنيو!$B$2:$B$500,0)),0))</f>
        <v/>
      </c>
      <c r="F5386" s="103" t="str">
        <f aca="false">IF($C5386="","",$D5386*$E5386)</f>
        <v/>
      </c>
      <c r="G5386" s="103" t="str">
        <f aca="false">IF($C5386="","",$D5386*IFERROR(INDEX('تحليل التكلفة والسعر'!$C$2:$C$700,MATCH($C5386,'تحليل التكلفة والسعر'!$B$2:$B$700,0)),0))</f>
        <v/>
      </c>
    </row>
    <row r="5387" customFormat="false" ht="15" hidden="false" customHeight="false" outlineLevel="0" collapsed="false">
      <c r="A5387" s="102"/>
      <c r="E5387" s="103" t="str">
        <f aca="false">IF($C5387="","",IFERROR(INDEX(المنيو!$C$2:$C$500,MATCH($C5387,المنيو!$B$2:$B$500,0)),0))</f>
        <v/>
      </c>
      <c r="F5387" s="103" t="str">
        <f aca="false">IF($C5387="","",$D5387*$E5387)</f>
        <v/>
      </c>
      <c r="G5387" s="103" t="str">
        <f aca="false">IF($C5387="","",$D5387*IFERROR(INDEX('تحليل التكلفة والسعر'!$C$2:$C$700,MATCH($C5387,'تحليل التكلفة والسعر'!$B$2:$B$700,0)),0))</f>
        <v/>
      </c>
    </row>
    <row r="5388" customFormat="false" ht="15" hidden="false" customHeight="false" outlineLevel="0" collapsed="false">
      <c r="A5388" s="102"/>
      <c r="E5388" s="103" t="str">
        <f aca="false">IF($C5388="","",IFERROR(INDEX(المنيو!$C$2:$C$500,MATCH($C5388,المنيو!$B$2:$B$500,0)),0))</f>
        <v/>
      </c>
      <c r="F5388" s="103" t="str">
        <f aca="false">IF($C5388="","",$D5388*$E5388)</f>
        <v/>
      </c>
      <c r="G5388" s="103" t="str">
        <f aca="false">IF($C5388="","",$D5388*IFERROR(INDEX('تحليل التكلفة والسعر'!$C$2:$C$700,MATCH($C5388,'تحليل التكلفة والسعر'!$B$2:$B$700,0)),0))</f>
        <v/>
      </c>
    </row>
    <row r="5389" customFormat="false" ht="15" hidden="false" customHeight="false" outlineLevel="0" collapsed="false">
      <c r="A5389" s="102"/>
      <c r="E5389" s="103" t="str">
        <f aca="false">IF($C5389="","",IFERROR(INDEX(المنيو!$C$2:$C$500,MATCH($C5389,المنيو!$B$2:$B$500,0)),0))</f>
        <v/>
      </c>
      <c r="F5389" s="103" t="str">
        <f aca="false">IF($C5389="","",$D5389*$E5389)</f>
        <v/>
      </c>
      <c r="G5389" s="103" t="str">
        <f aca="false">IF($C5389="","",$D5389*IFERROR(INDEX('تحليل التكلفة والسعر'!$C$2:$C$700,MATCH($C5389,'تحليل التكلفة والسعر'!$B$2:$B$700,0)),0))</f>
        <v/>
      </c>
    </row>
    <row r="5390" customFormat="false" ht="15" hidden="false" customHeight="false" outlineLevel="0" collapsed="false">
      <c r="A5390" s="102"/>
      <c r="E5390" s="103" t="str">
        <f aca="false">IF($C5390="","",IFERROR(INDEX(المنيو!$C$2:$C$500,MATCH($C5390,المنيو!$B$2:$B$500,0)),0))</f>
        <v/>
      </c>
      <c r="F5390" s="103" t="str">
        <f aca="false">IF($C5390="","",$D5390*$E5390)</f>
        <v/>
      </c>
      <c r="G5390" s="103" t="str">
        <f aca="false">IF($C5390="","",$D5390*IFERROR(INDEX('تحليل التكلفة والسعر'!$C$2:$C$700,MATCH($C5390,'تحليل التكلفة والسعر'!$B$2:$B$700,0)),0))</f>
        <v/>
      </c>
    </row>
    <row r="5391" customFormat="false" ht="15" hidden="false" customHeight="false" outlineLevel="0" collapsed="false">
      <c r="A5391" s="102"/>
      <c r="E5391" s="103" t="str">
        <f aca="false">IF($C5391="","",IFERROR(INDEX(المنيو!$C$2:$C$500,MATCH($C5391,المنيو!$B$2:$B$500,0)),0))</f>
        <v/>
      </c>
      <c r="F5391" s="103" t="str">
        <f aca="false">IF($C5391="","",$D5391*$E5391)</f>
        <v/>
      </c>
      <c r="G5391" s="103" t="str">
        <f aca="false">IF($C5391="","",$D5391*IFERROR(INDEX('تحليل التكلفة والسعر'!$C$2:$C$700,MATCH($C5391,'تحليل التكلفة والسعر'!$B$2:$B$700,0)),0))</f>
        <v/>
      </c>
    </row>
    <row r="5392" customFormat="false" ht="15" hidden="false" customHeight="false" outlineLevel="0" collapsed="false">
      <c r="A5392" s="102"/>
      <c r="E5392" s="103" t="str">
        <f aca="false">IF($C5392="","",IFERROR(INDEX(المنيو!$C$2:$C$500,MATCH($C5392,المنيو!$B$2:$B$500,0)),0))</f>
        <v/>
      </c>
      <c r="F5392" s="103" t="str">
        <f aca="false">IF($C5392="","",$D5392*$E5392)</f>
        <v/>
      </c>
      <c r="G5392" s="103" t="str">
        <f aca="false">IF($C5392="","",$D5392*IFERROR(INDEX('تحليل التكلفة والسعر'!$C$2:$C$700,MATCH($C5392,'تحليل التكلفة والسعر'!$B$2:$B$700,0)),0))</f>
        <v/>
      </c>
    </row>
    <row r="5393" customFormat="false" ht="15" hidden="false" customHeight="false" outlineLevel="0" collapsed="false">
      <c r="A5393" s="102"/>
      <c r="E5393" s="103" t="str">
        <f aca="false">IF($C5393="","",IFERROR(INDEX(المنيو!$C$2:$C$500,MATCH($C5393,المنيو!$B$2:$B$500,0)),0))</f>
        <v/>
      </c>
      <c r="F5393" s="103" t="str">
        <f aca="false">IF($C5393="","",$D5393*$E5393)</f>
        <v/>
      </c>
      <c r="G5393" s="103" t="str">
        <f aca="false">IF($C5393="","",$D5393*IFERROR(INDEX('تحليل التكلفة والسعر'!$C$2:$C$700,MATCH($C5393,'تحليل التكلفة والسعر'!$B$2:$B$700,0)),0))</f>
        <v/>
      </c>
    </row>
    <row r="5394" customFormat="false" ht="15" hidden="false" customHeight="false" outlineLevel="0" collapsed="false">
      <c r="A5394" s="102"/>
      <c r="E5394" s="103" t="str">
        <f aca="false">IF($C5394="","",IFERROR(INDEX(المنيو!$C$2:$C$500,MATCH($C5394,المنيو!$B$2:$B$500,0)),0))</f>
        <v/>
      </c>
      <c r="F5394" s="103" t="str">
        <f aca="false">IF($C5394="","",$D5394*$E5394)</f>
        <v/>
      </c>
      <c r="G5394" s="103" t="str">
        <f aca="false">IF($C5394="","",$D5394*IFERROR(INDEX('تحليل التكلفة والسعر'!$C$2:$C$700,MATCH($C5394,'تحليل التكلفة والسعر'!$B$2:$B$700,0)),0))</f>
        <v/>
      </c>
    </row>
    <row r="5395" customFormat="false" ht="15" hidden="false" customHeight="false" outlineLevel="0" collapsed="false">
      <c r="A5395" s="102"/>
      <c r="E5395" s="103" t="str">
        <f aca="false">IF($C5395="","",IFERROR(INDEX(المنيو!$C$2:$C$500,MATCH($C5395,المنيو!$B$2:$B$500,0)),0))</f>
        <v/>
      </c>
      <c r="F5395" s="103" t="str">
        <f aca="false">IF($C5395="","",$D5395*$E5395)</f>
        <v/>
      </c>
      <c r="G5395" s="103" t="str">
        <f aca="false">IF($C5395="","",$D5395*IFERROR(INDEX('تحليل التكلفة والسعر'!$C$2:$C$700,MATCH($C5395,'تحليل التكلفة والسعر'!$B$2:$B$700,0)),0))</f>
        <v/>
      </c>
    </row>
    <row r="5396" customFormat="false" ht="15" hidden="false" customHeight="false" outlineLevel="0" collapsed="false">
      <c r="A5396" s="102"/>
      <c r="E5396" s="103" t="str">
        <f aca="false">IF($C5396="","",IFERROR(INDEX(المنيو!$C$2:$C$500,MATCH($C5396,المنيو!$B$2:$B$500,0)),0))</f>
        <v/>
      </c>
      <c r="F5396" s="103" t="str">
        <f aca="false">IF($C5396="","",$D5396*$E5396)</f>
        <v/>
      </c>
      <c r="G5396" s="103" t="str">
        <f aca="false">IF($C5396="","",$D5396*IFERROR(INDEX('تحليل التكلفة والسعر'!$C$2:$C$700,MATCH($C5396,'تحليل التكلفة والسعر'!$B$2:$B$700,0)),0))</f>
        <v/>
      </c>
    </row>
    <row r="5397" customFormat="false" ht="15" hidden="false" customHeight="false" outlineLevel="0" collapsed="false">
      <c r="A5397" s="102"/>
      <c r="E5397" s="103" t="str">
        <f aca="false">IF($C5397="","",IFERROR(INDEX(المنيو!$C$2:$C$500,MATCH($C5397,المنيو!$B$2:$B$500,0)),0))</f>
        <v/>
      </c>
      <c r="F5397" s="103" t="str">
        <f aca="false">IF($C5397="","",$D5397*$E5397)</f>
        <v/>
      </c>
      <c r="G5397" s="103" t="str">
        <f aca="false">IF($C5397="","",$D5397*IFERROR(INDEX('تحليل التكلفة والسعر'!$C$2:$C$700,MATCH($C5397,'تحليل التكلفة والسعر'!$B$2:$B$700,0)),0))</f>
        <v/>
      </c>
    </row>
    <row r="5398" customFormat="false" ht="15" hidden="false" customHeight="false" outlineLevel="0" collapsed="false">
      <c r="A5398" s="102"/>
      <c r="E5398" s="103" t="str">
        <f aca="false">IF($C5398="","",IFERROR(INDEX(المنيو!$C$2:$C$500,MATCH($C5398,المنيو!$B$2:$B$500,0)),0))</f>
        <v/>
      </c>
      <c r="F5398" s="103" t="str">
        <f aca="false">IF($C5398="","",$D5398*$E5398)</f>
        <v/>
      </c>
      <c r="G5398" s="103" t="str">
        <f aca="false">IF($C5398="","",$D5398*IFERROR(INDEX('تحليل التكلفة والسعر'!$C$2:$C$700,MATCH($C5398,'تحليل التكلفة والسعر'!$B$2:$B$700,0)),0))</f>
        <v/>
      </c>
    </row>
    <row r="5399" customFormat="false" ht="15" hidden="false" customHeight="false" outlineLevel="0" collapsed="false">
      <c r="A5399" s="102"/>
      <c r="E5399" s="103" t="str">
        <f aca="false">IF($C5399="","",IFERROR(INDEX(المنيو!$C$2:$C$500,MATCH($C5399,المنيو!$B$2:$B$500,0)),0))</f>
        <v/>
      </c>
      <c r="F5399" s="103" t="str">
        <f aca="false">IF($C5399="","",$D5399*$E5399)</f>
        <v/>
      </c>
      <c r="G5399" s="103" t="str">
        <f aca="false">IF($C5399="","",$D5399*IFERROR(INDEX('تحليل التكلفة والسعر'!$C$2:$C$700,MATCH($C5399,'تحليل التكلفة والسعر'!$B$2:$B$700,0)),0))</f>
        <v/>
      </c>
    </row>
    <row r="5400" customFormat="false" ht="15" hidden="false" customHeight="false" outlineLevel="0" collapsed="false">
      <c r="A5400" s="102"/>
      <c r="E5400" s="103" t="str">
        <f aca="false">IF($C5400="","",IFERROR(INDEX(المنيو!$C$2:$C$500,MATCH($C5400,المنيو!$B$2:$B$500,0)),0))</f>
        <v/>
      </c>
      <c r="F5400" s="103" t="str">
        <f aca="false">IF($C5400="","",$D5400*$E5400)</f>
        <v/>
      </c>
      <c r="G5400" s="103" t="str">
        <f aca="false">IF($C5400="","",$D5400*IFERROR(INDEX('تحليل التكلفة والسعر'!$C$2:$C$700,MATCH($C5400,'تحليل التكلفة والسعر'!$B$2:$B$700,0)),0))</f>
        <v/>
      </c>
    </row>
    <row r="5401" customFormat="false" ht="15" hidden="false" customHeight="false" outlineLevel="0" collapsed="false">
      <c r="A5401" s="102"/>
      <c r="E5401" s="103" t="str">
        <f aca="false">IF($C5401="","",IFERROR(INDEX(المنيو!$C$2:$C$500,MATCH($C5401,المنيو!$B$2:$B$500,0)),0))</f>
        <v/>
      </c>
      <c r="F5401" s="103" t="str">
        <f aca="false">IF($C5401="","",$D5401*$E5401)</f>
        <v/>
      </c>
      <c r="G5401" s="103" t="str">
        <f aca="false">IF($C5401="","",$D5401*IFERROR(INDEX('تحليل التكلفة والسعر'!$C$2:$C$700,MATCH($C5401,'تحليل التكلفة والسعر'!$B$2:$B$700,0)),0))</f>
        <v/>
      </c>
    </row>
    <row r="5402" customFormat="false" ht="15" hidden="false" customHeight="false" outlineLevel="0" collapsed="false">
      <c r="A5402" s="102"/>
      <c r="E5402" s="103" t="str">
        <f aca="false">IF($C5402="","",IFERROR(INDEX(المنيو!$C$2:$C$500,MATCH($C5402,المنيو!$B$2:$B$500,0)),0))</f>
        <v/>
      </c>
      <c r="F5402" s="103" t="str">
        <f aca="false">IF($C5402="","",$D5402*$E5402)</f>
        <v/>
      </c>
      <c r="G5402" s="103" t="str">
        <f aca="false">IF($C5402="","",$D5402*IFERROR(INDEX('تحليل التكلفة والسعر'!$C$2:$C$700,MATCH($C5402,'تحليل التكلفة والسعر'!$B$2:$B$700,0)),0))</f>
        <v/>
      </c>
    </row>
    <row r="5403" customFormat="false" ht="15" hidden="false" customHeight="false" outlineLevel="0" collapsed="false">
      <c r="A5403" s="102"/>
      <c r="E5403" s="103" t="str">
        <f aca="false">IF($C5403="","",IFERROR(INDEX(المنيو!$C$2:$C$500,MATCH($C5403,المنيو!$B$2:$B$500,0)),0))</f>
        <v/>
      </c>
      <c r="F5403" s="103" t="str">
        <f aca="false">IF($C5403="","",$D5403*$E5403)</f>
        <v/>
      </c>
      <c r="G5403" s="103" t="str">
        <f aca="false">IF($C5403="","",$D5403*IFERROR(INDEX('تحليل التكلفة والسعر'!$C$2:$C$700,MATCH($C5403,'تحليل التكلفة والسعر'!$B$2:$B$700,0)),0))</f>
        <v/>
      </c>
    </row>
    <row r="5404" customFormat="false" ht="15" hidden="false" customHeight="false" outlineLevel="0" collapsed="false">
      <c r="A5404" s="102"/>
      <c r="E5404" s="103" t="str">
        <f aca="false">IF($C5404="","",IFERROR(INDEX(المنيو!$C$2:$C$500,MATCH($C5404,المنيو!$B$2:$B$500,0)),0))</f>
        <v/>
      </c>
      <c r="F5404" s="103" t="str">
        <f aca="false">IF($C5404="","",$D5404*$E5404)</f>
        <v/>
      </c>
      <c r="G5404" s="103" t="str">
        <f aca="false">IF($C5404="","",$D5404*IFERROR(INDEX('تحليل التكلفة والسعر'!$C$2:$C$700,MATCH($C5404,'تحليل التكلفة والسعر'!$B$2:$B$700,0)),0))</f>
        <v/>
      </c>
    </row>
    <row r="5405" customFormat="false" ht="15" hidden="false" customHeight="false" outlineLevel="0" collapsed="false">
      <c r="A5405" s="102"/>
      <c r="E5405" s="103" t="str">
        <f aca="false">IF($C5405="","",IFERROR(INDEX(المنيو!$C$2:$C$500,MATCH($C5405,المنيو!$B$2:$B$500,0)),0))</f>
        <v/>
      </c>
      <c r="F5405" s="103" t="str">
        <f aca="false">IF($C5405="","",$D5405*$E5405)</f>
        <v/>
      </c>
      <c r="G5405" s="103" t="str">
        <f aca="false">IF($C5405="","",$D5405*IFERROR(INDEX('تحليل التكلفة والسعر'!$C$2:$C$700,MATCH($C5405,'تحليل التكلفة والسعر'!$B$2:$B$700,0)),0))</f>
        <v/>
      </c>
    </row>
    <row r="5406" customFormat="false" ht="15" hidden="false" customHeight="false" outlineLevel="0" collapsed="false">
      <c r="A5406" s="102"/>
      <c r="E5406" s="103" t="str">
        <f aca="false">IF($C5406="","",IFERROR(INDEX(المنيو!$C$2:$C$500,MATCH($C5406,المنيو!$B$2:$B$500,0)),0))</f>
        <v/>
      </c>
      <c r="F5406" s="103" t="str">
        <f aca="false">IF($C5406="","",$D5406*$E5406)</f>
        <v/>
      </c>
      <c r="G5406" s="103" t="str">
        <f aca="false">IF($C5406="","",$D5406*IFERROR(INDEX('تحليل التكلفة والسعر'!$C$2:$C$700,MATCH($C5406,'تحليل التكلفة والسعر'!$B$2:$B$700,0)),0))</f>
        <v/>
      </c>
    </row>
    <row r="5407" customFormat="false" ht="15" hidden="false" customHeight="false" outlineLevel="0" collapsed="false">
      <c r="A5407" s="102"/>
      <c r="E5407" s="103" t="str">
        <f aca="false">IF($C5407="","",IFERROR(INDEX(المنيو!$C$2:$C$500,MATCH($C5407,المنيو!$B$2:$B$500,0)),0))</f>
        <v/>
      </c>
      <c r="F5407" s="103" t="str">
        <f aca="false">IF($C5407="","",$D5407*$E5407)</f>
        <v/>
      </c>
      <c r="G5407" s="103" t="str">
        <f aca="false">IF($C5407="","",$D5407*IFERROR(INDEX('تحليل التكلفة والسعر'!$C$2:$C$700,MATCH($C5407,'تحليل التكلفة والسعر'!$B$2:$B$700,0)),0))</f>
        <v/>
      </c>
    </row>
    <row r="5408" customFormat="false" ht="15" hidden="false" customHeight="false" outlineLevel="0" collapsed="false">
      <c r="A5408" s="102"/>
      <c r="E5408" s="103" t="str">
        <f aca="false">IF($C5408="","",IFERROR(INDEX(المنيو!$C$2:$C$500,MATCH($C5408,المنيو!$B$2:$B$500,0)),0))</f>
        <v/>
      </c>
      <c r="F5408" s="103" t="str">
        <f aca="false">IF($C5408="","",$D5408*$E5408)</f>
        <v/>
      </c>
      <c r="G5408" s="103" t="str">
        <f aca="false">IF($C5408="","",$D5408*IFERROR(INDEX('تحليل التكلفة والسعر'!$C$2:$C$700,MATCH($C5408,'تحليل التكلفة والسعر'!$B$2:$B$700,0)),0))</f>
        <v/>
      </c>
    </row>
    <row r="5409" customFormat="false" ht="15" hidden="false" customHeight="false" outlineLevel="0" collapsed="false">
      <c r="A5409" s="102"/>
      <c r="E5409" s="103" t="str">
        <f aca="false">IF($C5409="","",IFERROR(INDEX(المنيو!$C$2:$C$500,MATCH($C5409,المنيو!$B$2:$B$500,0)),0))</f>
        <v/>
      </c>
      <c r="F5409" s="103" t="str">
        <f aca="false">IF($C5409="","",$D5409*$E5409)</f>
        <v/>
      </c>
      <c r="G5409" s="103" t="str">
        <f aca="false">IF($C5409="","",$D5409*IFERROR(INDEX('تحليل التكلفة والسعر'!$C$2:$C$700,MATCH($C5409,'تحليل التكلفة والسعر'!$B$2:$B$700,0)),0))</f>
        <v/>
      </c>
    </row>
    <row r="5410" customFormat="false" ht="15" hidden="false" customHeight="false" outlineLevel="0" collapsed="false">
      <c r="A5410" s="102"/>
      <c r="E5410" s="103" t="str">
        <f aca="false">IF($C5410="","",IFERROR(INDEX(المنيو!$C$2:$C$500,MATCH($C5410,المنيو!$B$2:$B$500,0)),0))</f>
        <v/>
      </c>
      <c r="F5410" s="103" t="str">
        <f aca="false">IF($C5410="","",$D5410*$E5410)</f>
        <v/>
      </c>
      <c r="G5410" s="103" t="str">
        <f aca="false">IF($C5410="","",$D5410*IFERROR(INDEX('تحليل التكلفة والسعر'!$C$2:$C$700,MATCH($C5410,'تحليل التكلفة والسعر'!$B$2:$B$700,0)),0))</f>
        <v/>
      </c>
    </row>
    <row r="5411" customFormat="false" ht="15" hidden="false" customHeight="false" outlineLevel="0" collapsed="false">
      <c r="A5411" s="102"/>
      <c r="E5411" s="103" t="str">
        <f aca="false">IF($C5411="","",IFERROR(INDEX(المنيو!$C$2:$C$500,MATCH($C5411,المنيو!$B$2:$B$500,0)),0))</f>
        <v/>
      </c>
      <c r="F5411" s="103" t="str">
        <f aca="false">IF($C5411="","",$D5411*$E5411)</f>
        <v/>
      </c>
      <c r="G5411" s="103" t="str">
        <f aca="false">IF($C5411="","",$D5411*IFERROR(INDEX('تحليل التكلفة والسعر'!$C$2:$C$700,MATCH($C5411,'تحليل التكلفة والسعر'!$B$2:$B$700,0)),0))</f>
        <v/>
      </c>
    </row>
    <row r="5412" customFormat="false" ht="15" hidden="false" customHeight="false" outlineLevel="0" collapsed="false">
      <c r="A5412" s="102"/>
      <c r="E5412" s="103" t="str">
        <f aca="false">IF($C5412="","",IFERROR(INDEX(المنيو!$C$2:$C$500,MATCH($C5412,المنيو!$B$2:$B$500,0)),0))</f>
        <v/>
      </c>
      <c r="F5412" s="103" t="str">
        <f aca="false">IF($C5412="","",$D5412*$E5412)</f>
        <v/>
      </c>
      <c r="G5412" s="103" t="str">
        <f aca="false">IF($C5412="","",$D5412*IFERROR(INDEX('تحليل التكلفة والسعر'!$C$2:$C$700,MATCH($C5412,'تحليل التكلفة والسعر'!$B$2:$B$700,0)),0))</f>
        <v/>
      </c>
    </row>
    <row r="5413" customFormat="false" ht="15" hidden="false" customHeight="false" outlineLevel="0" collapsed="false">
      <c r="A5413" s="102"/>
      <c r="E5413" s="103" t="str">
        <f aca="false">IF($C5413="","",IFERROR(INDEX(المنيو!$C$2:$C$500,MATCH($C5413,المنيو!$B$2:$B$500,0)),0))</f>
        <v/>
      </c>
      <c r="F5413" s="103" t="str">
        <f aca="false">IF($C5413="","",$D5413*$E5413)</f>
        <v/>
      </c>
      <c r="G5413" s="103" t="str">
        <f aca="false">IF($C5413="","",$D5413*IFERROR(INDEX('تحليل التكلفة والسعر'!$C$2:$C$700,MATCH($C5413,'تحليل التكلفة والسعر'!$B$2:$B$700,0)),0))</f>
        <v/>
      </c>
    </row>
    <row r="5414" customFormat="false" ht="15" hidden="false" customHeight="false" outlineLevel="0" collapsed="false">
      <c r="A5414" s="102"/>
      <c r="E5414" s="103" t="str">
        <f aca="false">IF($C5414="","",IFERROR(INDEX(المنيو!$C$2:$C$500,MATCH($C5414,المنيو!$B$2:$B$500,0)),0))</f>
        <v/>
      </c>
      <c r="F5414" s="103" t="str">
        <f aca="false">IF($C5414="","",$D5414*$E5414)</f>
        <v/>
      </c>
      <c r="G5414" s="103" t="str">
        <f aca="false">IF($C5414="","",$D5414*IFERROR(INDEX('تحليل التكلفة والسعر'!$C$2:$C$700,MATCH($C5414,'تحليل التكلفة والسعر'!$B$2:$B$700,0)),0))</f>
        <v/>
      </c>
    </row>
    <row r="5415" customFormat="false" ht="15" hidden="false" customHeight="false" outlineLevel="0" collapsed="false">
      <c r="A5415" s="102"/>
      <c r="E5415" s="103" t="str">
        <f aca="false">IF($C5415="","",IFERROR(INDEX(المنيو!$C$2:$C$500,MATCH($C5415,المنيو!$B$2:$B$500,0)),0))</f>
        <v/>
      </c>
      <c r="F5415" s="103" t="str">
        <f aca="false">IF($C5415="","",$D5415*$E5415)</f>
        <v/>
      </c>
      <c r="G5415" s="103" t="str">
        <f aca="false">IF($C5415="","",$D5415*IFERROR(INDEX('تحليل التكلفة والسعر'!$C$2:$C$700,MATCH($C5415,'تحليل التكلفة والسعر'!$B$2:$B$700,0)),0))</f>
        <v/>
      </c>
    </row>
    <row r="5416" customFormat="false" ht="15" hidden="false" customHeight="false" outlineLevel="0" collapsed="false">
      <c r="A5416" s="102"/>
      <c r="E5416" s="103" t="str">
        <f aca="false">IF($C5416="","",IFERROR(INDEX(المنيو!$C$2:$C$500,MATCH($C5416,المنيو!$B$2:$B$500,0)),0))</f>
        <v/>
      </c>
      <c r="F5416" s="103" t="str">
        <f aca="false">IF($C5416="","",$D5416*$E5416)</f>
        <v/>
      </c>
      <c r="G5416" s="103" t="str">
        <f aca="false">IF($C5416="","",$D5416*IFERROR(INDEX('تحليل التكلفة والسعر'!$C$2:$C$700,MATCH($C5416,'تحليل التكلفة والسعر'!$B$2:$B$700,0)),0))</f>
        <v/>
      </c>
    </row>
    <row r="5417" customFormat="false" ht="15" hidden="false" customHeight="false" outlineLevel="0" collapsed="false">
      <c r="A5417" s="102"/>
      <c r="E5417" s="103" t="str">
        <f aca="false">IF($C5417="","",IFERROR(INDEX(المنيو!$C$2:$C$500,MATCH($C5417,المنيو!$B$2:$B$500,0)),0))</f>
        <v/>
      </c>
      <c r="F5417" s="103" t="str">
        <f aca="false">IF($C5417="","",$D5417*$E5417)</f>
        <v/>
      </c>
      <c r="G5417" s="103" t="str">
        <f aca="false">IF($C5417="","",$D5417*IFERROR(INDEX('تحليل التكلفة والسعر'!$C$2:$C$700,MATCH($C5417,'تحليل التكلفة والسعر'!$B$2:$B$700,0)),0))</f>
        <v/>
      </c>
    </row>
    <row r="5418" customFormat="false" ht="15" hidden="false" customHeight="false" outlineLevel="0" collapsed="false">
      <c r="A5418" s="102"/>
      <c r="E5418" s="103" t="str">
        <f aca="false">IF($C5418="","",IFERROR(INDEX(المنيو!$C$2:$C$500,MATCH($C5418,المنيو!$B$2:$B$500,0)),0))</f>
        <v/>
      </c>
      <c r="F5418" s="103" t="str">
        <f aca="false">IF($C5418="","",$D5418*$E5418)</f>
        <v/>
      </c>
      <c r="G5418" s="103" t="str">
        <f aca="false">IF($C5418="","",$D5418*IFERROR(INDEX('تحليل التكلفة والسعر'!$C$2:$C$700,MATCH($C5418,'تحليل التكلفة والسعر'!$B$2:$B$700,0)),0))</f>
        <v/>
      </c>
    </row>
    <row r="5419" customFormat="false" ht="15" hidden="false" customHeight="false" outlineLevel="0" collapsed="false">
      <c r="A5419" s="102"/>
      <c r="E5419" s="103" t="str">
        <f aca="false">IF($C5419="","",IFERROR(INDEX(المنيو!$C$2:$C$500,MATCH($C5419,المنيو!$B$2:$B$500,0)),0))</f>
        <v/>
      </c>
      <c r="F5419" s="103" t="str">
        <f aca="false">IF($C5419="","",$D5419*$E5419)</f>
        <v/>
      </c>
      <c r="G5419" s="103" t="str">
        <f aca="false">IF($C5419="","",$D5419*IFERROR(INDEX('تحليل التكلفة والسعر'!$C$2:$C$700,MATCH($C5419,'تحليل التكلفة والسعر'!$B$2:$B$700,0)),0))</f>
        <v/>
      </c>
    </row>
    <row r="5420" customFormat="false" ht="15" hidden="false" customHeight="false" outlineLevel="0" collapsed="false">
      <c r="A5420" s="102"/>
      <c r="E5420" s="103" t="str">
        <f aca="false">IF($C5420="","",IFERROR(INDEX(المنيو!$C$2:$C$500,MATCH($C5420,المنيو!$B$2:$B$500,0)),0))</f>
        <v/>
      </c>
      <c r="F5420" s="103" t="str">
        <f aca="false">IF($C5420="","",$D5420*$E5420)</f>
        <v/>
      </c>
      <c r="G5420" s="103" t="str">
        <f aca="false">IF($C5420="","",$D5420*IFERROR(INDEX('تحليل التكلفة والسعر'!$C$2:$C$700,MATCH($C5420,'تحليل التكلفة والسعر'!$B$2:$B$700,0)),0))</f>
        <v/>
      </c>
    </row>
    <row r="5421" customFormat="false" ht="15" hidden="false" customHeight="false" outlineLevel="0" collapsed="false">
      <c r="A5421" s="102"/>
      <c r="E5421" s="103" t="str">
        <f aca="false">IF($C5421="","",IFERROR(INDEX(المنيو!$C$2:$C$500,MATCH($C5421,المنيو!$B$2:$B$500,0)),0))</f>
        <v/>
      </c>
      <c r="F5421" s="103" t="str">
        <f aca="false">IF($C5421="","",$D5421*$E5421)</f>
        <v/>
      </c>
      <c r="G5421" s="103" t="str">
        <f aca="false">IF($C5421="","",$D5421*IFERROR(INDEX('تحليل التكلفة والسعر'!$C$2:$C$700,MATCH($C5421,'تحليل التكلفة والسعر'!$B$2:$B$700,0)),0))</f>
        <v/>
      </c>
    </row>
    <row r="5422" customFormat="false" ht="15" hidden="false" customHeight="false" outlineLevel="0" collapsed="false">
      <c r="A5422" s="102"/>
      <c r="E5422" s="103" t="str">
        <f aca="false">IF($C5422="","",IFERROR(INDEX(المنيو!$C$2:$C$500,MATCH($C5422,المنيو!$B$2:$B$500,0)),0))</f>
        <v/>
      </c>
      <c r="F5422" s="103" t="str">
        <f aca="false">IF($C5422="","",$D5422*$E5422)</f>
        <v/>
      </c>
      <c r="G5422" s="103" t="str">
        <f aca="false">IF($C5422="","",$D5422*IFERROR(INDEX('تحليل التكلفة والسعر'!$C$2:$C$700,MATCH($C5422,'تحليل التكلفة والسعر'!$B$2:$B$700,0)),0))</f>
        <v/>
      </c>
    </row>
    <row r="5423" customFormat="false" ht="15" hidden="false" customHeight="false" outlineLevel="0" collapsed="false">
      <c r="A5423" s="102"/>
      <c r="E5423" s="103" t="str">
        <f aca="false">IF($C5423="","",IFERROR(INDEX(المنيو!$C$2:$C$500,MATCH($C5423,المنيو!$B$2:$B$500,0)),0))</f>
        <v/>
      </c>
      <c r="F5423" s="103" t="str">
        <f aca="false">IF($C5423="","",$D5423*$E5423)</f>
        <v/>
      </c>
      <c r="G5423" s="103" t="str">
        <f aca="false">IF($C5423="","",$D5423*IFERROR(INDEX('تحليل التكلفة والسعر'!$C$2:$C$700,MATCH($C5423,'تحليل التكلفة والسعر'!$B$2:$B$700,0)),0))</f>
        <v/>
      </c>
    </row>
    <row r="5424" customFormat="false" ht="15" hidden="false" customHeight="false" outlineLevel="0" collapsed="false">
      <c r="A5424" s="102"/>
      <c r="E5424" s="103" t="str">
        <f aca="false">IF($C5424="","",IFERROR(INDEX(المنيو!$C$2:$C$500,MATCH($C5424,المنيو!$B$2:$B$500,0)),0))</f>
        <v/>
      </c>
      <c r="F5424" s="103" t="str">
        <f aca="false">IF($C5424="","",$D5424*$E5424)</f>
        <v/>
      </c>
      <c r="G5424" s="103" t="str">
        <f aca="false">IF($C5424="","",$D5424*IFERROR(INDEX('تحليل التكلفة والسعر'!$C$2:$C$700,MATCH($C5424,'تحليل التكلفة والسعر'!$B$2:$B$700,0)),0))</f>
        <v/>
      </c>
    </row>
    <row r="5425" customFormat="false" ht="15" hidden="false" customHeight="false" outlineLevel="0" collapsed="false">
      <c r="A5425" s="102"/>
      <c r="E5425" s="103" t="str">
        <f aca="false">IF($C5425="","",IFERROR(INDEX(المنيو!$C$2:$C$500,MATCH($C5425,المنيو!$B$2:$B$500,0)),0))</f>
        <v/>
      </c>
      <c r="F5425" s="103" t="str">
        <f aca="false">IF($C5425="","",$D5425*$E5425)</f>
        <v/>
      </c>
      <c r="G5425" s="103" t="str">
        <f aca="false">IF($C5425="","",$D5425*IFERROR(INDEX('تحليل التكلفة والسعر'!$C$2:$C$700,MATCH($C5425,'تحليل التكلفة والسعر'!$B$2:$B$700,0)),0))</f>
        <v/>
      </c>
    </row>
    <row r="5426" customFormat="false" ht="15" hidden="false" customHeight="false" outlineLevel="0" collapsed="false">
      <c r="A5426" s="102"/>
      <c r="E5426" s="103" t="str">
        <f aca="false">IF($C5426="","",IFERROR(INDEX(المنيو!$C$2:$C$500,MATCH($C5426,المنيو!$B$2:$B$500,0)),0))</f>
        <v/>
      </c>
      <c r="F5426" s="103" t="str">
        <f aca="false">IF($C5426="","",$D5426*$E5426)</f>
        <v/>
      </c>
      <c r="G5426" s="103" t="str">
        <f aca="false">IF($C5426="","",$D5426*IFERROR(INDEX('تحليل التكلفة والسعر'!$C$2:$C$700,MATCH($C5426,'تحليل التكلفة والسعر'!$B$2:$B$700,0)),0))</f>
        <v/>
      </c>
    </row>
    <row r="5427" customFormat="false" ht="15" hidden="false" customHeight="false" outlineLevel="0" collapsed="false">
      <c r="A5427" s="102"/>
      <c r="E5427" s="103" t="str">
        <f aca="false">IF($C5427="","",IFERROR(INDEX(المنيو!$C$2:$C$500,MATCH($C5427,المنيو!$B$2:$B$500,0)),0))</f>
        <v/>
      </c>
      <c r="F5427" s="103" t="str">
        <f aca="false">IF($C5427="","",$D5427*$E5427)</f>
        <v/>
      </c>
      <c r="G5427" s="103" t="str">
        <f aca="false">IF($C5427="","",$D5427*IFERROR(INDEX('تحليل التكلفة والسعر'!$C$2:$C$700,MATCH($C5427,'تحليل التكلفة والسعر'!$B$2:$B$700,0)),0))</f>
        <v/>
      </c>
    </row>
    <row r="5428" customFormat="false" ht="15" hidden="false" customHeight="false" outlineLevel="0" collapsed="false">
      <c r="A5428" s="102"/>
      <c r="E5428" s="103" t="str">
        <f aca="false">IF($C5428="","",IFERROR(INDEX(المنيو!$C$2:$C$500,MATCH($C5428,المنيو!$B$2:$B$500,0)),0))</f>
        <v/>
      </c>
      <c r="F5428" s="103" t="str">
        <f aca="false">IF($C5428="","",$D5428*$E5428)</f>
        <v/>
      </c>
      <c r="G5428" s="103" t="str">
        <f aca="false">IF($C5428="","",$D5428*IFERROR(INDEX('تحليل التكلفة والسعر'!$C$2:$C$700,MATCH($C5428,'تحليل التكلفة والسعر'!$B$2:$B$700,0)),0))</f>
        <v/>
      </c>
    </row>
    <row r="5429" customFormat="false" ht="15" hidden="false" customHeight="false" outlineLevel="0" collapsed="false">
      <c r="A5429" s="102"/>
      <c r="E5429" s="103" t="str">
        <f aca="false">IF($C5429="","",IFERROR(INDEX(المنيو!$C$2:$C$500,MATCH($C5429,المنيو!$B$2:$B$500,0)),0))</f>
        <v/>
      </c>
      <c r="F5429" s="103" t="str">
        <f aca="false">IF($C5429="","",$D5429*$E5429)</f>
        <v/>
      </c>
      <c r="G5429" s="103" t="str">
        <f aca="false">IF($C5429="","",$D5429*IFERROR(INDEX('تحليل التكلفة والسعر'!$C$2:$C$700,MATCH($C5429,'تحليل التكلفة والسعر'!$B$2:$B$700,0)),0))</f>
        <v/>
      </c>
    </row>
    <row r="5430" customFormat="false" ht="15" hidden="false" customHeight="false" outlineLevel="0" collapsed="false">
      <c r="A5430" s="102"/>
      <c r="E5430" s="103" t="str">
        <f aca="false">IF($C5430="","",IFERROR(INDEX(المنيو!$C$2:$C$500,MATCH($C5430,المنيو!$B$2:$B$500,0)),0))</f>
        <v/>
      </c>
      <c r="F5430" s="103" t="str">
        <f aca="false">IF($C5430="","",$D5430*$E5430)</f>
        <v/>
      </c>
      <c r="G5430" s="103" t="str">
        <f aca="false">IF($C5430="","",$D5430*IFERROR(INDEX('تحليل التكلفة والسعر'!$C$2:$C$700,MATCH($C5430,'تحليل التكلفة والسعر'!$B$2:$B$700,0)),0))</f>
        <v/>
      </c>
    </row>
    <row r="5431" customFormat="false" ht="15" hidden="false" customHeight="false" outlineLevel="0" collapsed="false">
      <c r="A5431" s="102"/>
      <c r="E5431" s="103" t="str">
        <f aca="false">IF($C5431="","",IFERROR(INDEX(المنيو!$C$2:$C$500,MATCH($C5431,المنيو!$B$2:$B$500,0)),0))</f>
        <v/>
      </c>
      <c r="F5431" s="103" t="str">
        <f aca="false">IF($C5431="","",$D5431*$E5431)</f>
        <v/>
      </c>
      <c r="G5431" s="103" t="str">
        <f aca="false">IF($C5431="","",$D5431*IFERROR(INDEX('تحليل التكلفة والسعر'!$C$2:$C$700,MATCH($C5431,'تحليل التكلفة والسعر'!$B$2:$B$700,0)),0))</f>
        <v/>
      </c>
    </row>
    <row r="5432" customFormat="false" ht="15" hidden="false" customHeight="false" outlineLevel="0" collapsed="false">
      <c r="A5432" s="102"/>
      <c r="E5432" s="103" t="str">
        <f aca="false">IF($C5432="","",IFERROR(INDEX(المنيو!$C$2:$C$500,MATCH($C5432,المنيو!$B$2:$B$500,0)),0))</f>
        <v/>
      </c>
      <c r="F5432" s="103" t="str">
        <f aca="false">IF($C5432="","",$D5432*$E5432)</f>
        <v/>
      </c>
      <c r="G5432" s="103" t="str">
        <f aca="false">IF($C5432="","",$D5432*IFERROR(INDEX('تحليل التكلفة والسعر'!$C$2:$C$700,MATCH($C5432,'تحليل التكلفة والسعر'!$B$2:$B$700,0)),0))</f>
        <v/>
      </c>
    </row>
    <row r="5433" customFormat="false" ht="15" hidden="false" customHeight="false" outlineLevel="0" collapsed="false">
      <c r="A5433" s="102"/>
      <c r="E5433" s="103" t="str">
        <f aca="false">IF($C5433="","",IFERROR(INDEX(المنيو!$C$2:$C$500,MATCH($C5433,المنيو!$B$2:$B$500,0)),0))</f>
        <v/>
      </c>
      <c r="F5433" s="103" t="str">
        <f aca="false">IF($C5433="","",$D5433*$E5433)</f>
        <v/>
      </c>
      <c r="G5433" s="103" t="str">
        <f aca="false">IF($C5433="","",$D5433*IFERROR(INDEX('تحليل التكلفة والسعر'!$C$2:$C$700,MATCH($C5433,'تحليل التكلفة والسعر'!$B$2:$B$700,0)),0))</f>
        <v/>
      </c>
    </row>
    <row r="5434" customFormat="false" ht="15" hidden="false" customHeight="false" outlineLevel="0" collapsed="false">
      <c r="A5434" s="102"/>
      <c r="E5434" s="103" t="str">
        <f aca="false">IF($C5434="","",IFERROR(INDEX(المنيو!$C$2:$C$500,MATCH($C5434,المنيو!$B$2:$B$500,0)),0))</f>
        <v/>
      </c>
      <c r="F5434" s="103" t="str">
        <f aca="false">IF($C5434="","",$D5434*$E5434)</f>
        <v/>
      </c>
      <c r="G5434" s="103" t="str">
        <f aca="false">IF($C5434="","",$D5434*IFERROR(INDEX('تحليل التكلفة والسعر'!$C$2:$C$700,MATCH($C5434,'تحليل التكلفة والسعر'!$B$2:$B$700,0)),0))</f>
        <v/>
      </c>
    </row>
    <row r="5435" customFormat="false" ht="15" hidden="false" customHeight="false" outlineLevel="0" collapsed="false">
      <c r="A5435" s="102"/>
      <c r="E5435" s="103" t="str">
        <f aca="false">IF($C5435="","",IFERROR(INDEX(المنيو!$C$2:$C$500,MATCH($C5435,المنيو!$B$2:$B$500,0)),0))</f>
        <v/>
      </c>
      <c r="F5435" s="103" t="str">
        <f aca="false">IF($C5435="","",$D5435*$E5435)</f>
        <v/>
      </c>
      <c r="G5435" s="103" t="str">
        <f aca="false">IF($C5435="","",$D5435*IFERROR(INDEX('تحليل التكلفة والسعر'!$C$2:$C$700,MATCH($C5435,'تحليل التكلفة والسعر'!$B$2:$B$700,0)),0))</f>
        <v/>
      </c>
    </row>
    <row r="5436" customFormat="false" ht="15" hidden="false" customHeight="false" outlineLevel="0" collapsed="false">
      <c r="A5436" s="102"/>
      <c r="E5436" s="103" t="str">
        <f aca="false">IF($C5436="","",IFERROR(INDEX(المنيو!$C$2:$C$500,MATCH($C5436,المنيو!$B$2:$B$500,0)),0))</f>
        <v/>
      </c>
      <c r="F5436" s="103" t="str">
        <f aca="false">IF($C5436="","",$D5436*$E5436)</f>
        <v/>
      </c>
      <c r="G5436" s="103" t="str">
        <f aca="false">IF($C5436="","",$D5436*IFERROR(INDEX('تحليل التكلفة والسعر'!$C$2:$C$700,MATCH($C5436,'تحليل التكلفة والسعر'!$B$2:$B$700,0)),0))</f>
        <v/>
      </c>
    </row>
    <row r="5437" customFormat="false" ht="15" hidden="false" customHeight="false" outlineLevel="0" collapsed="false">
      <c r="A5437" s="102"/>
      <c r="E5437" s="103" t="str">
        <f aca="false">IF($C5437="","",IFERROR(INDEX(المنيو!$C$2:$C$500,MATCH($C5437,المنيو!$B$2:$B$500,0)),0))</f>
        <v/>
      </c>
      <c r="F5437" s="103" t="str">
        <f aca="false">IF($C5437="","",$D5437*$E5437)</f>
        <v/>
      </c>
      <c r="G5437" s="103" t="str">
        <f aca="false">IF($C5437="","",$D5437*IFERROR(INDEX('تحليل التكلفة والسعر'!$C$2:$C$700,MATCH($C5437,'تحليل التكلفة والسعر'!$B$2:$B$700,0)),0))</f>
        <v/>
      </c>
    </row>
    <row r="5438" customFormat="false" ht="15" hidden="false" customHeight="false" outlineLevel="0" collapsed="false">
      <c r="A5438" s="102"/>
      <c r="E5438" s="103" t="str">
        <f aca="false">IF($C5438="","",IFERROR(INDEX(المنيو!$C$2:$C$500,MATCH($C5438,المنيو!$B$2:$B$500,0)),0))</f>
        <v/>
      </c>
      <c r="F5438" s="103" t="str">
        <f aca="false">IF($C5438="","",$D5438*$E5438)</f>
        <v/>
      </c>
      <c r="G5438" s="103" t="str">
        <f aca="false">IF($C5438="","",$D5438*IFERROR(INDEX('تحليل التكلفة والسعر'!$C$2:$C$700,MATCH($C5438,'تحليل التكلفة والسعر'!$B$2:$B$700,0)),0))</f>
        <v/>
      </c>
    </row>
    <row r="5439" customFormat="false" ht="15" hidden="false" customHeight="false" outlineLevel="0" collapsed="false">
      <c r="A5439" s="102"/>
      <c r="E5439" s="103" t="str">
        <f aca="false">IF($C5439="","",IFERROR(INDEX(المنيو!$C$2:$C$500,MATCH($C5439,المنيو!$B$2:$B$500,0)),0))</f>
        <v/>
      </c>
      <c r="F5439" s="103" t="str">
        <f aca="false">IF($C5439="","",$D5439*$E5439)</f>
        <v/>
      </c>
      <c r="G5439" s="103" t="str">
        <f aca="false">IF($C5439="","",$D5439*IFERROR(INDEX('تحليل التكلفة والسعر'!$C$2:$C$700,MATCH($C5439,'تحليل التكلفة والسعر'!$B$2:$B$700,0)),0))</f>
        <v/>
      </c>
    </row>
    <row r="5440" customFormat="false" ht="15" hidden="false" customHeight="false" outlineLevel="0" collapsed="false">
      <c r="A5440" s="102"/>
      <c r="E5440" s="103" t="str">
        <f aca="false">IF($C5440="","",IFERROR(INDEX(المنيو!$C$2:$C$500,MATCH($C5440,المنيو!$B$2:$B$500,0)),0))</f>
        <v/>
      </c>
      <c r="F5440" s="103" t="str">
        <f aca="false">IF($C5440="","",$D5440*$E5440)</f>
        <v/>
      </c>
      <c r="G5440" s="103" t="str">
        <f aca="false">IF($C5440="","",$D5440*IFERROR(INDEX('تحليل التكلفة والسعر'!$C$2:$C$700,MATCH($C5440,'تحليل التكلفة والسعر'!$B$2:$B$700,0)),0))</f>
        <v/>
      </c>
    </row>
    <row r="5441" customFormat="false" ht="15" hidden="false" customHeight="false" outlineLevel="0" collapsed="false">
      <c r="A5441" s="102"/>
      <c r="E5441" s="103" t="str">
        <f aca="false">IF($C5441="","",IFERROR(INDEX(المنيو!$C$2:$C$500,MATCH($C5441,المنيو!$B$2:$B$500,0)),0))</f>
        <v/>
      </c>
      <c r="F5441" s="103" t="str">
        <f aca="false">IF($C5441="","",$D5441*$E5441)</f>
        <v/>
      </c>
      <c r="G5441" s="103" t="str">
        <f aca="false">IF($C5441="","",$D5441*IFERROR(INDEX('تحليل التكلفة والسعر'!$C$2:$C$700,MATCH($C5441,'تحليل التكلفة والسعر'!$B$2:$B$700,0)),0))</f>
        <v/>
      </c>
    </row>
    <row r="5442" customFormat="false" ht="15" hidden="false" customHeight="false" outlineLevel="0" collapsed="false">
      <c r="A5442" s="102"/>
      <c r="E5442" s="103" t="str">
        <f aca="false">IF($C5442="","",IFERROR(INDEX(المنيو!$C$2:$C$500,MATCH($C5442,المنيو!$B$2:$B$500,0)),0))</f>
        <v/>
      </c>
      <c r="F5442" s="103" t="str">
        <f aca="false">IF($C5442="","",$D5442*$E5442)</f>
        <v/>
      </c>
      <c r="G5442" s="103" t="str">
        <f aca="false">IF($C5442="","",$D5442*IFERROR(INDEX('تحليل التكلفة والسعر'!$C$2:$C$700,MATCH($C5442,'تحليل التكلفة والسعر'!$B$2:$B$700,0)),0))</f>
        <v/>
      </c>
    </row>
    <row r="5443" customFormat="false" ht="15" hidden="false" customHeight="false" outlineLevel="0" collapsed="false">
      <c r="A5443" s="102"/>
      <c r="E5443" s="103" t="str">
        <f aca="false">IF($C5443="","",IFERROR(INDEX(المنيو!$C$2:$C$500,MATCH($C5443,المنيو!$B$2:$B$500,0)),0))</f>
        <v/>
      </c>
      <c r="F5443" s="103" t="str">
        <f aca="false">IF($C5443="","",$D5443*$E5443)</f>
        <v/>
      </c>
      <c r="G5443" s="103" t="str">
        <f aca="false">IF($C5443="","",$D5443*IFERROR(INDEX('تحليل التكلفة والسعر'!$C$2:$C$700,MATCH($C5443,'تحليل التكلفة والسعر'!$B$2:$B$700,0)),0))</f>
        <v/>
      </c>
    </row>
    <row r="5444" customFormat="false" ht="15" hidden="false" customHeight="false" outlineLevel="0" collapsed="false">
      <c r="A5444" s="102"/>
      <c r="E5444" s="103" t="str">
        <f aca="false">IF($C5444="","",IFERROR(INDEX(المنيو!$C$2:$C$500,MATCH($C5444,المنيو!$B$2:$B$500,0)),0))</f>
        <v/>
      </c>
      <c r="F5444" s="103" t="str">
        <f aca="false">IF($C5444="","",$D5444*$E5444)</f>
        <v/>
      </c>
      <c r="G5444" s="103" t="str">
        <f aca="false">IF($C5444="","",$D5444*IFERROR(INDEX('تحليل التكلفة والسعر'!$C$2:$C$700,MATCH($C5444,'تحليل التكلفة والسعر'!$B$2:$B$700,0)),0))</f>
        <v/>
      </c>
    </row>
    <row r="5445" customFormat="false" ht="15" hidden="false" customHeight="false" outlineLevel="0" collapsed="false">
      <c r="A5445" s="102"/>
      <c r="E5445" s="103" t="str">
        <f aca="false">IF($C5445="","",IFERROR(INDEX(المنيو!$C$2:$C$500,MATCH($C5445,المنيو!$B$2:$B$500,0)),0))</f>
        <v/>
      </c>
      <c r="F5445" s="103" t="str">
        <f aca="false">IF($C5445="","",$D5445*$E5445)</f>
        <v/>
      </c>
      <c r="G5445" s="103" t="str">
        <f aca="false">IF($C5445="","",$D5445*IFERROR(INDEX('تحليل التكلفة والسعر'!$C$2:$C$700,MATCH($C5445,'تحليل التكلفة والسعر'!$B$2:$B$700,0)),0))</f>
        <v/>
      </c>
    </row>
    <row r="5446" customFormat="false" ht="15" hidden="false" customHeight="false" outlineLevel="0" collapsed="false">
      <c r="A5446" s="102"/>
      <c r="E5446" s="103" t="str">
        <f aca="false">IF($C5446="","",IFERROR(INDEX(المنيو!$C$2:$C$500,MATCH($C5446,المنيو!$B$2:$B$500,0)),0))</f>
        <v/>
      </c>
      <c r="F5446" s="103" t="str">
        <f aca="false">IF($C5446="","",$D5446*$E5446)</f>
        <v/>
      </c>
      <c r="G5446" s="103" t="str">
        <f aca="false">IF($C5446="","",$D5446*IFERROR(INDEX('تحليل التكلفة والسعر'!$C$2:$C$700,MATCH($C5446,'تحليل التكلفة والسعر'!$B$2:$B$700,0)),0))</f>
        <v/>
      </c>
    </row>
    <row r="5447" customFormat="false" ht="15" hidden="false" customHeight="false" outlineLevel="0" collapsed="false">
      <c r="A5447" s="102"/>
      <c r="E5447" s="103" t="str">
        <f aca="false">IF($C5447="","",IFERROR(INDEX(المنيو!$C$2:$C$500,MATCH($C5447,المنيو!$B$2:$B$500,0)),0))</f>
        <v/>
      </c>
      <c r="F5447" s="103" t="str">
        <f aca="false">IF($C5447="","",$D5447*$E5447)</f>
        <v/>
      </c>
      <c r="G5447" s="103" t="str">
        <f aca="false">IF($C5447="","",$D5447*IFERROR(INDEX('تحليل التكلفة والسعر'!$C$2:$C$700,MATCH($C5447,'تحليل التكلفة والسعر'!$B$2:$B$700,0)),0))</f>
        <v/>
      </c>
    </row>
    <row r="5448" customFormat="false" ht="15" hidden="false" customHeight="false" outlineLevel="0" collapsed="false">
      <c r="A5448" s="102"/>
      <c r="E5448" s="103" t="str">
        <f aca="false">IF($C5448="","",IFERROR(INDEX(المنيو!$C$2:$C$500,MATCH($C5448,المنيو!$B$2:$B$500,0)),0))</f>
        <v/>
      </c>
      <c r="F5448" s="103" t="str">
        <f aca="false">IF($C5448="","",$D5448*$E5448)</f>
        <v/>
      </c>
      <c r="G5448" s="103" t="str">
        <f aca="false">IF($C5448="","",$D5448*IFERROR(INDEX('تحليل التكلفة والسعر'!$C$2:$C$700,MATCH($C5448,'تحليل التكلفة والسعر'!$B$2:$B$700,0)),0))</f>
        <v/>
      </c>
    </row>
    <row r="5449" customFormat="false" ht="15" hidden="false" customHeight="false" outlineLevel="0" collapsed="false">
      <c r="A5449" s="102"/>
      <c r="E5449" s="103" t="str">
        <f aca="false">IF($C5449="","",IFERROR(INDEX(المنيو!$C$2:$C$500,MATCH($C5449,المنيو!$B$2:$B$500,0)),0))</f>
        <v/>
      </c>
      <c r="F5449" s="103" t="str">
        <f aca="false">IF($C5449="","",$D5449*$E5449)</f>
        <v/>
      </c>
      <c r="G5449" s="103" t="str">
        <f aca="false">IF($C5449="","",$D5449*IFERROR(INDEX('تحليل التكلفة والسعر'!$C$2:$C$700,MATCH($C5449,'تحليل التكلفة والسعر'!$B$2:$B$700,0)),0))</f>
        <v/>
      </c>
    </row>
    <row r="5450" customFormat="false" ht="15" hidden="false" customHeight="false" outlineLevel="0" collapsed="false">
      <c r="A5450" s="102"/>
      <c r="E5450" s="103" t="str">
        <f aca="false">IF($C5450="","",IFERROR(INDEX(المنيو!$C$2:$C$500,MATCH($C5450,المنيو!$B$2:$B$500,0)),0))</f>
        <v/>
      </c>
      <c r="F5450" s="103" t="str">
        <f aca="false">IF($C5450="","",$D5450*$E5450)</f>
        <v/>
      </c>
      <c r="G5450" s="103" t="str">
        <f aca="false">IF($C5450="","",$D5450*IFERROR(INDEX('تحليل التكلفة والسعر'!$C$2:$C$700,MATCH($C5450,'تحليل التكلفة والسعر'!$B$2:$B$700,0)),0))</f>
        <v/>
      </c>
    </row>
    <row r="5451" customFormat="false" ht="15" hidden="false" customHeight="false" outlineLevel="0" collapsed="false">
      <c r="A5451" s="102"/>
      <c r="E5451" s="103" t="str">
        <f aca="false">IF($C5451="","",IFERROR(INDEX(المنيو!$C$2:$C$500,MATCH($C5451,المنيو!$B$2:$B$500,0)),0))</f>
        <v/>
      </c>
      <c r="F5451" s="103" t="str">
        <f aca="false">IF($C5451="","",$D5451*$E5451)</f>
        <v/>
      </c>
      <c r="G5451" s="103" t="str">
        <f aca="false">IF($C5451="","",$D5451*IFERROR(INDEX('تحليل التكلفة والسعر'!$C$2:$C$700,MATCH($C5451,'تحليل التكلفة والسعر'!$B$2:$B$700,0)),0))</f>
        <v/>
      </c>
    </row>
    <row r="5452" customFormat="false" ht="15" hidden="false" customHeight="false" outlineLevel="0" collapsed="false">
      <c r="A5452" s="102"/>
      <c r="E5452" s="103" t="str">
        <f aca="false">IF($C5452="","",IFERROR(INDEX(المنيو!$C$2:$C$500,MATCH($C5452,المنيو!$B$2:$B$500,0)),0))</f>
        <v/>
      </c>
      <c r="F5452" s="103" t="str">
        <f aca="false">IF($C5452="","",$D5452*$E5452)</f>
        <v/>
      </c>
      <c r="G5452" s="103" t="str">
        <f aca="false">IF($C5452="","",$D5452*IFERROR(INDEX('تحليل التكلفة والسعر'!$C$2:$C$700,MATCH($C5452,'تحليل التكلفة والسعر'!$B$2:$B$700,0)),0))</f>
        <v/>
      </c>
    </row>
    <row r="5453" customFormat="false" ht="15" hidden="false" customHeight="false" outlineLevel="0" collapsed="false">
      <c r="A5453" s="102"/>
      <c r="E5453" s="103" t="str">
        <f aca="false">IF($C5453="","",IFERROR(INDEX(المنيو!$C$2:$C$500,MATCH($C5453,المنيو!$B$2:$B$500,0)),0))</f>
        <v/>
      </c>
      <c r="F5453" s="103" t="str">
        <f aca="false">IF($C5453="","",$D5453*$E5453)</f>
        <v/>
      </c>
      <c r="G5453" s="103" t="str">
        <f aca="false">IF($C5453="","",$D5453*IFERROR(INDEX('تحليل التكلفة والسعر'!$C$2:$C$700,MATCH($C5453,'تحليل التكلفة والسعر'!$B$2:$B$700,0)),0))</f>
        <v/>
      </c>
    </row>
    <row r="5454" customFormat="false" ht="15" hidden="false" customHeight="false" outlineLevel="0" collapsed="false">
      <c r="A5454" s="102"/>
      <c r="E5454" s="103" t="str">
        <f aca="false">IF($C5454="","",IFERROR(INDEX(المنيو!$C$2:$C$500,MATCH($C5454,المنيو!$B$2:$B$500,0)),0))</f>
        <v/>
      </c>
      <c r="F5454" s="103" t="str">
        <f aca="false">IF($C5454="","",$D5454*$E5454)</f>
        <v/>
      </c>
      <c r="G5454" s="103" t="str">
        <f aca="false">IF($C5454="","",$D5454*IFERROR(INDEX('تحليل التكلفة والسعر'!$C$2:$C$700,MATCH($C5454,'تحليل التكلفة والسعر'!$B$2:$B$700,0)),0))</f>
        <v/>
      </c>
    </row>
    <row r="5455" customFormat="false" ht="15" hidden="false" customHeight="false" outlineLevel="0" collapsed="false">
      <c r="A5455" s="102"/>
      <c r="E5455" s="103" t="str">
        <f aca="false">IF($C5455="","",IFERROR(INDEX(المنيو!$C$2:$C$500,MATCH($C5455,المنيو!$B$2:$B$500,0)),0))</f>
        <v/>
      </c>
      <c r="F5455" s="103" t="str">
        <f aca="false">IF($C5455="","",$D5455*$E5455)</f>
        <v/>
      </c>
      <c r="G5455" s="103" t="str">
        <f aca="false">IF($C5455="","",$D5455*IFERROR(INDEX('تحليل التكلفة والسعر'!$C$2:$C$700,MATCH($C5455,'تحليل التكلفة والسعر'!$B$2:$B$700,0)),0))</f>
        <v/>
      </c>
    </row>
    <row r="5456" customFormat="false" ht="15" hidden="false" customHeight="false" outlineLevel="0" collapsed="false">
      <c r="A5456" s="102"/>
      <c r="E5456" s="103" t="str">
        <f aca="false">IF($C5456="","",IFERROR(INDEX(المنيو!$C$2:$C$500,MATCH($C5456,المنيو!$B$2:$B$500,0)),0))</f>
        <v/>
      </c>
      <c r="F5456" s="103" t="str">
        <f aca="false">IF($C5456="","",$D5456*$E5456)</f>
        <v/>
      </c>
      <c r="G5456" s="103" t="str">
        <f aca="false">IF($C5456="","",$D5456*IFERROR(INDEX('تحليل التكلفة والسعر'!$C$2:$C$700,MATCH($C5456,'تحليل التكلفة والسعر'!$B$2:$B$700,0)),0))</f>
        <v/>
      </c>
    </row>
    <row r="5457" customFormat="false" ht="15" hidden="false" customHeight="false" outlineLevel="0" collapsed="false">
      <c r="A5457" s="102"/>
      <c r="E5457" s="103" t="str">
        <f aca="false">IF($C5457="","",IFERROR(INDEX(المنيو!$C$2:$C$500,MATCH($C5457,المنيو!$B$2:$B$500,0)),0))</f>
        <v/>
      </c>
      <c r="F5457" s="103" t="str">
        <f aca="false">IF($C5457="","",$D5457*$E5457)</f>
        <v/>
      </c>
      <c r="G5457" s="103" t="str">
        <f aca="false">IF($C5457="","",$D5457*IFERROR(INDEX('تحليل التكلفة والسعر'!$C$2:$C$700,MATCH($C5457,'تحليل التكلفة والسعر'!$B$2:$B$700,0)),0))</f>
        <v/>
      </c>
    </row>
    <row r="5458" customFormat="false" ht="15" hidden="false" customHeight="false" outlineLevel="0" collapsed="false">
      <c r="A5458" s="102"/>
      <c r="E5458" s="103" t="str">
        <f aca="false">IF($C5458="","",IFERROR(INDEX(المنيو!$C$2:$C$500,MATCH($C5458,المنيو!$B$2:$B$500,0)),0))</f>
        <v/>
      </c>
      <c r="F5458" s="103" t="str">
        <f aca="false">IF($C5458="","",$D5458*$E5458)</f>
        <v/>
      </c>
      <c r="G5458" s="103" t="str">
        <f aca="false">IF($C5458="","",$D5458*IFERROR(INDEX('تحليل التكلفة والسعر'!$C$2:$C$700,MATCH($C5458,'تحليل التكلفة والسعر'!$B$2:$B$700,0)),0))</f>
        <v/>
      </c>
    </row>
    <row r="5459" customFormat="false" ht="15" hidden="false" customHeight="false" outlineLevel="0" collapsed="false">
      <c r="A5459" s="102"/>
      <c r="E5459" s="103" t="str">
        <f aca="false">IF($C5459="","",IFERROR(INDEX(المنيو!$C$2:$C$500,MATCH($C5459,المنيو!$B$2:$B$500,0)),0))</f>
        <v/>
      </c>
      <c r="F5459" s="103" t="str">
        <f aca="false">IF($C5459="","",$D5459*$E5459)</f>
        <v/>
      </c>
      <c r="G5459" s="103" t="str">
        <f aca="false">IF($C5459="","",$D5459*IFERROR(INDEX('تحليل التكلفة والسعر'!$C$2:$C$700,MATCH($C5459,'تحليل التكلفة والسعر'!$B$2:$B$700,0)),0))</f>
        <v/>
      </c>
    </row>
    <row r="5460" customFormat="false" ht="15" hidden="false" customHeight="false" outlineLevel="0" collapsed="false">
      <c r="A5460" s="102"/>
      <c r="E5460" s="103" t="str">
        <f aca="false">IF($C5460="","",IFERROR(INDEX(المنيو!$C$2:$C$500,MATCH($C5460,المنيو!$B$2:$B$500,0)),0))</f>
        <v/>
      </c>
      <c r="F5460" s="103" t="str">
        <f aca="false">IF($C5460="","",$D5460*$E5460)</f>
        <v/>
      </c>
      <c r="G5460" s="103" t="str">
        <f aca="false">IF($C5460="","",$D5460*IFERROR(INDEX('تحليل التكلفة والسعر'!$C$2:$C$700,MATCH($C5460,'تحليل التكلفة والسعر'!$B$2:$B$700,0)),0))</f>
        <v/>
      </c>
    </row>
    <row r="5461" customFormat="false" ht="15" hidden="false" customHeight="false" outlineLevel="0" collapsed="false">
      <c r="A5461" s="102"/>
      <c r="E5461" s="103" t="str">
        <f aca="false">IF($C5461="","",IFERROR(INDEX(المنيو!$C$2:$C$500,MATCH($C5461,المنيو!$B$2:$B$500,0)),0))</f>
        <v/>
      </c>
      <c r="F5461" s="103" t="str">
        <f aca="false">IF($C5461="","",$D5461*$E5461)</f>
        <v/>
      </c>
      <c r="G5461" s="103" t="str">
        <f aca="false">IF($C5461="","",$D5461*IFERROR(INDEX('تحليل التكلفة والسعر'!$C$2:$C$700,MATCH($C5461,'تحليل التكلفة والسعر'!$B$2:$B$700,0)),0))</f>
        <v/>
      </c>
    </row>
    <row r="5462" customFormat="false" ht="15" hidden="false" customHeight="false" outlineLevel="0" collapsed="false">
      <c r="A5462" s="102"/>
      <c r="E5462" s="103" t="str">
        <f aca="false">IF($C5462="","",IFERROR(INDEX(المنيو!$C$2:$C$500,MATCH($C5462,المنيو!$B$2:$B$500,0)),0))</f>
        <v/>
      </c>
      <c r="F5462" s="103" t="str">
        <f aca="false">IF($C5462="","",$D5462*$E5462)</f>
        <v/>
      </c>
      <c r="G5462" s="103" t="str">
        <f aca="false">IF($C5462="","",$D5462*IFERROR(INDEX('تحليل التكلفة والسعر'!$C$2:$C$700,MATCH($C5462,'تحليل التكلفة والسعر'!$B$2:$B$700,0)),0))</f>
        <v/>
      </c>
    </row>
    <row r="5463" customFormat="false" ht="15" hidden="false" customHeight="false" outlineLevel="0" collapsed="false">
      <c r="A5463" s="102"/>
      <c r="E5463" s="103" t="str">
        <f aca="false">IF($C5463="","",IFERROR(INDEX(المنيو!$C$2:$C$500,MATCH($C5463,المنيو!$B$2:$B$500,0)),0))</f>
        <v/>
      </c>
      <c r="F5463" s="103" t="str">
        <f aca="false">IF($C5463="","",$D5463*$E5463)</f>
        <v/>
      </c>
      <c r="G5463" s="103" t="str">
        <f aca="false">IF($C5463="","",$D5463*IFERROR(INDEX('تحليل التكلفة والسعر'!$C$2:$C$700,MATCH($C5463,'تحليل التكلفة والسعر'!$B$2:$B$700,0)),0))</f>
        <v/>
      </c>
    </row>
    <row r="5464" customFormat="false" ht="15" hidden="false" customHeight="false" outlineLevel="0" collapsed="false">
      <c r="A5464" s="102"/>
      <c r="E5464" s="103" t="str">
        <f aca="false">IF($C5464="","",IFERROR(INDEX(المنيو!$C$2:$C$500,MATCH($C5464,المنيو!$B$2:$B$500,0)),0))</f>
        <v/>
      </c>
      <c r="F5464" s="103" t="str">
        <f aca="false">IF($C5464="","",$D5464*$E5464)</f>
        <v/>
      </c>
      <c r="G5464" s="103" t="str">
        <f aca="false">IF($C5464="","",$D5464*IFERROR(INDEX('تحليل التكلفة والسعر'!$C$2:$C$700,MATCH($C5464,'تحليل التكلفة والسعر'!$B$2:$B$700,0)),0))</f>
        <v/>
      </c>
    </row>
    <row r="5465" customFormat="false" ht="15" hidden="false" customHeight="false" outlineLevel="0" collapsed="false">
      <c r="A5465" s="102"/>
      <c r="E5465" s="103" t="str">
        <f aca="false">IF($C5465="","",IFERROR(INDEX(المنيو!$C$2:$C$500,MATCH($C5465,المنيو!$B$2:$B$500,0)),0))</f>
        <v/>
      </c>
      <c r="F5465" s="103" t="str">
        <f aca="false">IF($C5465="","",$D5465*$E5465)</f>
        <v/>
      </c>
      <c r="G5465" s="103" t="str">
        <f aca="false">IF($C5465="","",$D5465*IFERROR(INDEX('تحليل التكلفة والسعر'!$C$2:$C$700,MATCH($C5465,'تحليل التكلفة والسعر'!$B$2:$B$700,0)),0))</f>
        <v/>
      </c>
    </row>
    <row r="5466" customFormat="false" ht="15" hidden="false" customHeight="false" outlineLevel="0" collapsed="false">
      <c r="A5466" s="102"/>
      <c r="E5466" s="103" t="str">
        <f aca="false">IF($C5466="","",IFERROR(INDEX(المنيو!$C$2:$C$500,MATCH($C5466,المنيو!$B$2:$B$500,0)),0))</f>
        <v/>
      </c>
      <c r="F5466" s="103" t="str">
        <f aca="false">IF($C5466="","",$D5466*$E5466)</f>
        <v/>
      </c>
      <c r="G5466" s="103" t="str">
        <f aca="false">IF($C5466="","",$D5466*IFERROR(INDEX('تحليل التكلفة والسعر'!$C$2:$C$700,MATCH($C5466,'تحليل التكلفة والسعر'!$B$2:$B$700,0)),0))</f>
        <v/>
      </c>
    </row>
    <row r="5467" customFormat="false" ht="15" hidden="false" customHeight="false" outlineLevel="0" collapsed="false">
      <c r="A5467" s="102"/>
      <c r="E5467" s="103" t="str">
        <f aca="false">IF($C5467="","",IFERROR(INDEX(المنيو!$C$2:$C$500,MATCH($C5467,المنيو!$B$2:$B$500,0)),0))</f>
        <v/>
      </c>
      <c r="F5467" s="103" t="str">
        <f aca="false">IF($C5467="","",$D5467*$E5467)</f>
        <v/>
      </c>
      <c r="G5467" s="103" t="str">
        <f aca="false">IF($C5467="","",$D5467*IFERROR(INDEX('تحليل التكلفة والسعر'!$C$2:$C$700,MATCH($C5467,'تحليل التكلفة والسعر'!$B$2:$B$700,0)),0))</f>
        <v/>
      </c>
    </row>
    <row r="5468" customFormat="false" ht="15" hidden="false" customHeight="false" outlineLevel="0" collapsed="false">
      <c r="A5468" s="102"/>
      <c r="E5468" s="103" t="str">
        <f aca="false">IF($C5468="","",IFERROR(INDEX(المنيو!$C$2:$C$500,MATCH($C5468,المنيو!$B$2:$B$500,0)),0))</f>
        <v/>
      </c>
      <c r="F5468" s="103" t="str">
        <f aca="false">IF($C5468="","",$D5468*$E5468)</f>
        <v/>
      </c>
      <c r="G5468" s="103" t="str">
        <f aca="false">IF($C5468="","",$D5468*IFERROR(INDEX('تحليل التكلفة والسعر'!$C$2:$C$700,MATCH($C5468,'تحليل التكلفة والسعر'!$B$2:$B$700,0)),0))</f>
        <v/>
      </c>
    </row>
    <row r="5469" customFormat="false" ht="15" hidden="false" customHeight="false" outlineLevel="0" collapsed="false">
      <c r="A5469" s="102"/>
      <c r="E5469" s="103" t="str">
        <f aca="false">IF($C5469="","",IFERROR(INDEX(المنيو!$C$2:$C$500,MATCH($C5469,المنيو!$B$2:$B$500,0)),0))</f>
        <v/>
      </c>
      <c r="F5469" s="103" t="str">
        <f aca="false">IF($C5469="","",$D5469*$E5469)</f>
        <v/>
      </c>
      <c r="G5469" s="103" t="str">
        <f aca="false">IF($C5469="","",$D5469*IFERROR(INDEX('تحليل التكلفة والسعر'!$C$2:$C$700,MATCH($C5469,'تحليل التكلفة والسعر'!$B$2:$B$700,0)),0))</f>
        <v/>
      </c>
    </row>
    <row r="5470" customFormat="false" ht="15" hidden="false" customHeight="false" outlineLevel="0" collapsed="false">
      <c r="A5470" s="102"/>
      <c r="E5470" s="103" t="str">
        <f aca="false">IF($C5470="","",IFERROR(INDEX(المنيو!$C$2:$C$500,MATCH($C5470,المنيو!$B$2:$B$500,0)),0))</f>
        <v/>
      </c>
      <c r="F5470" s="103" t="str">
        <f aca="false">IF($C5470="","",$D5470*$E5470)</f>
        <v/>
      </c>
      <c r="G5470" s="103" t="str">
        <f aca="false">IF($C5470="","",$D5470*IFERROR(INDEX('تحليل التكلفة والسعر'!$C$2:$C$700,MATCH($C5470,'تحليل التكلفة والسعر'!$B$2:$B$700,0)),0))</f>
        <v/>
      </c>
    </row>
    <row r="5471" customFormat="false" ht="15" hidden="false" customHeight="false" outlineLevel="0" collapsed="false">
      <c r="A5471" s="102"/>
      <c r="E5471" s="103" t="str">
        <f aca="false">IF($C5471="","",IFERROR(INDEX(المنيو!$C$2:$C$500,MATCH($C5471,المنيو!$B$2:$B$500,0)),0))</f>
        <v/>
      </c>
      <c r="F5471" s="103" t="str">
        <f aca="false">IF($C5471="","",$D5471*$E5471)</f>
        <v/>
      </c>
      <c r="G5471" s="103" t="str">
        <f aca="false">IF($C5471="","",$D5471*IFERROR(INDEX('تحليل التكلفة والسعر'!$C$2:$C$700,MATCH($C5471,'تحليل التكلفة والسعر'!$B$2:$B$700,0)),0))</f>
        <v/>
      </c>
    </row>
    <row r="5472" customFormat="false" ht="15" hidden="false" customHeight="false" outlineLevel="0" collapsed="false">
      <c r="A5472" s="102"/>
      <c r="E5472" s="103" t="str">
        <f aca="false">IF($C5472="","",IFERROR(INDEX(المنيو!$C$2:$C$500,MATCH($C5472,المنيو!$B$2:$B$500,0)),0))</f>
        <v/>
      </c>
      <c r="F5472" s="103" t="str">
        <f aca="false">IF($C5472="","",$D5472*$E5472)</f>
        <v/>
      </c>
      <c r="G5472" s="103" t="str">
        <f aca="false">IF($C5472="","",$D5472*IFERROR(INDEX('تحليل التكلفة والسعر'!$C$2:$C$700,MATCH($C5472,'تحليل التكلفة والسعر'!$B$2:$B$700,0)),0))</f>
        <v/>
      </c>
    </row>
    <row r="5473" customFormat="false" ht="15" hidden="false" customHeight="false" outlineLevel="0" collapsed="false">
      <c r="A5473" s="102"/>
      <c r="E5473" s="103" t="str">
        <f aca="false">IF($C5473="","",IFERROR(INDEX(المنيو!$C$2:$C$500,MATCH($C5473,المنيو!$B$2:$B$500,0)),0))</f>
        <v/>
      </c>
      <c r="F5473" s="103" t="str">
        <f aca="false">IF($C5473="","",$D5473*$E5473)</f>
        <v/>
      </c>
      <c r="G5473" s="103" t="str">
        <f aca="false">IF($C5473="","",$D5473*IFERROR(INDEX('تحليل التكلفة والسعر'!$C$2:$C$700,MATCH($C5473,'تحليل التكلفة والسعر'!$B$2:$B$700,0)),0))</f>
        <v/>
      </c>
    </row>
    <row r="5474" customFormat="false" ht="15" hidden="false" customHeight="false" outlineLevel="0" collapsed="false">
      <c r="A5474" s="102"/>
      <c r="E5474" s="103" t="str">
        <f aca="false">IF($C5474="","",IFERROR(INDEX(المنيو!$C$2:$C$500,MATCH($C5474,المنيو!$B$2:$B$500,0)),0))</f>
        <v/>
      </c>
      <c r="F5474" s="103" t="str">
        <f aca="false">IF($C5474="","",$D5474*$E5474)</f>
        <v/>
      </c>
      <c r="G5474" s="103" t="str">
        <f aca="false">IF($C5474="","",$D5474*IFERROR(INDEX('تحليل التكلفة والسعر'!$C$2:$C$700,MATCH($C5474,'تحليل التكلفة والسعر'!$B$2:$B$700,0)),0))</f>
        <v/>
      </c>
    </row>
    <row r="5475" customFormat="false" ht="15" hidden="false" customHeight="false" outlineLevel="0" collapsed="false">
      <c r="A5475" s="102"/>
      <c r="E5475" s="103" t="str">
        <f aca="false">IF($C5475="","",IFERROR(INDEX(المنيو!$C$2:$C$500,MATCH($C5475,المنيو!$B$2:$B$500,0)),0))</f>
        <v/>
      </c>
      <c r="F5475" s="103" t="str">
        <f aca="false">IF($C5475="","",$D5475*$E5475)</f>
        <v/>
      </c>
      <c r="G5475" s="103" t="str">
        <f aca="false">IF($C5475="","",$D5475*IFERROR(INDEX('تحليل التكلفة والسعر'!$C$2:$C$700,MATCH($C5475,'تحليل التكلفة والسعر'!$B$2:$B$700,0)),0))</f>
        <v/>
      </c>
    </row>
    <row r="5476" customFormat="false" ht="15" hidden="false" customHeight="false" outlineLevel="0" collapsed="false">
      <c r="A5476" s="102"/>
      <c r="E5476" s="103" t="str">
        <f aca="false">IF($C5476="","",IFERROR(INDEX(المنيو!$C$2:$C$500,MATCH($C5476,المنيو!$B$2:$B$500,0)),0))</f>
        <v/>
      </c>
      <c r="F5476" s="103" t="str">
        <f aca="false">IF($C5476="","",$D5476*$E5476)</f>
        <v/>
      </c>
      <c r="G5476" s="103" t="str">
        <f aca="false">IF($C5476="","",$D5476*IFERROR(INDEX('تحليل التكلفة والسعر'!$C$2:$C$700,MATCH($C5476,'تحليل التكلفة والسعر'!$B$2:$B$700,0)),0))</f>
        <v/>
      </c>
    </row>
    <row r="5477" customFormat="false" ht="15" hidden="false" customHeight="false" outlineLevel="0" collapsed="false">
      <c r="A5477" s="102"/>
      <c r="E5477" s="103" t="str">
        <f aca="false">IF($C5477="","",IFERROR(INDEX(المنيو!$C$2:$C$500,MATCH($C5477,المنيو!$B$2:$B$500,0)),0))</f>
        <v/>
      </c>
      <c r="F5477" s="103" t="str">
        <f aca="false">IF($C5477="","",$D5477*$E5477)</f>
        <v/>
      </c>
      <c r="G5477" s="103" t="str">
        <f aca="false">IF($C5477="","",$D5477*IFERROR(INDEX('تحليل التكلفة والسعر'!$C$2:$C$700,MATCH($C5477,'تحليل التكلفة والسعر'!$B$2:$B$700,0)),0))</f>
        <v/>
      </c>
    </row>
    <row r="5478" customFormat="false" ht="15" hidden="false" customHeight="false" outlineLevel="0" collapsed="false">
      <c r="A5478" s="102"/>
      <c r="E5478" s="103" t="str">
        <f aca="false">IF($C5478="","",IFERROR(INDEX(المنيو!$C$2:$C$500,MATCH($C5478,المنيو!$B$2:$B$500,0)),0))</f>
        <v/>
      </c>
      <c r="F5478" s="103" t="str">
        <f aca="false">IF($C5478="","",$D5478*$E5478)</f>
        <v/>
      </c>
      <c r="G5478" s="103" t="str">
        <f aca="false">IF($C5478="","",$D5478*IFERROR(INDEX('تحليل التكلفة والسعر'!$C$2:$C$700,MATCH($C5478,'تحليل التكلفة والسعر'!$B$2:$B$700,0)),0))</f>
        <v/>
      </c>
    </row>
    <row r="5479" customFormat="false" ht="15" hidden="false" customHeight="false" outlineLevel="0" collapsed="false">
      <c r="A5479" s="102"/>
      <c r="E5479" s="103" t="str">
        <f aca="false">IF($C5479="","",IFERROR(INDEX(المنيو!$C$2:$C$500,MATCH($C5479,المنيو!$B$2:$B$500,0)),0))</f>
        <v/>
      </c>
      <c r="F5479" s="103" t="str">
        <f aca="false">IF($C5479="","",$D5479*$E5479)</f>
        <v/>
      </c>
      <c r="G5479" s="103" t="str">
        <f aca="false">IF($C5479="","",$D5479*IFERROR(INDEX('تحليل التكلفة والسعر'!$C$2:$C$700,MATCH($C5479,'تحليل التكلفة والسعر'!$B$2:$B$700,0)),0))</f>
        <v/>
      </c>
    </row>
    <row r="5480" customFormat="false" ht="15" hidden="false" customHeight="false" outlineLevel="0" collapsed="false">
      <c r="A5480" s="102"/>
      <c r="E5480" s="103" t="str">
        <f aca="false">IF($C5480="","",IFERROR(INDEX(المنيو!$C$2:$C$500,MATCH($C5480,المنيو!$B$2:$B$500,0)),0))</f>
        <v/>
      </c>
      <c r="F5480" s="103" t="str">
        <f aca="false">IF($C5480="","",$D5480*$E5480)</f>
        <v/>
      </c>
      <c r="G5480" s="103" t="str">
        <f aca="false">IF($C5480="","",$D5480*IFERROR(INDEX('تحليل التكلفة والسعر'!$C$2:$C$700,MATCH($C5480,'تحليل التكلفة والسعر'!$B$2:$B$700,0)),0))</f>
        <v/>
      </c>
    </row>
    <row r="5481" customFormat="false" ht="15" hidden="false" customHeight="false" outlineLevel="0" collapsed="false">
      <c r="A5481" s="102"/>
      <c r="E5481" s="103" t="str">
        <f aca="false">IF($C5481="","",IFERROR(INDEX(المنيو!$C$2:$C$500,MATCH($C5481,المنيو!$B$2:$B$500,0)),0))</f>
        <v/>
      </c>
      <c r="F5481" s="103" t="str">
        <f aca="false">IF($C5481="","",$D5481*$E5481)</f>
        <v/>
      </c>
      <c r="G5481" s="103" t="str">
        <f aca="false">IF($C5481="","",$D5481*IFERROR(INDEX('تحليل التكلفة والسعر'!$C$2:$C$700,MATCH($C5481,'تحليل التكلفة والسعر'!$B$2:$B$700,0)),0))</f>
        <v/>
      </c>
    </row>
    <row r="5482" customFormat="false" ht="15" hidden="false" customHeight="false" outlineLevel="0" collapsed="false">
      <c r="A5482" s="102"/>
      <c r="E5482" s="103" t="str">
        <f aca="false">IF($C5482="","",IFERROR(INDEX(المنيو!$C$2:$C$500,MATCH($C5482,المنيو!$B$2:$B$500,0)),0))</f>
        <v/>
      </c>
      <c r="F5482" s="103" t="str">
        <f aca="false">IF($C5482="","",$D5482*$E5482)</f>
        <v/>
      </c>
      <c r="G5482" s="103" t="str">
        <f aca="false">IF($C5482="","",$D5482*IFERROR(INDEX('تحليل التكلفة والسعر'!$C$2:$C$700,MATCH($C5482,'تحليل التكلفة والسعر'!$B$2:$B$700,0)),0))</f>
        <v/>
      </c>
    </row>
    <row r="5483" customFormat="false" ht="15" hidden="false" customHeight="false" outlineLevel="0" collapsed="false">
      <c r="A5483" s="102"/>
      <c r="E5483" s="103" t="str">
        <f aca="false">IF($C5483="","",IFERROR(INDEX(المنيو!$C$2:$C$500,MATCH($C5483,المنيو!$B$2:$B$500,0)),0))</f>
        <v/>
      </c>
      <c r="F5483" s="103" t="str">
        <f aca="false">IF($C5483="","",$D5483*$E5483)</f>
        <v/>
      </c>
      <c r="G5483" s="103" t="str">
        <f aca="false">IF($C5483="","",$D5483*IFERROR(INDEX('تحليل التكلفة والسعر'!$C$2:$C$700,MATCH($C5483,'تحليل التكلفة والسعر'!$B$2:$B$700,0)),0))</f>
        <v/>
      </c>
    </row>
    <row r="5484" customFormat="false" ht="15" hidden="false" customHeight="false" outlineLevel="0" collapsed="false">
      <c r="A5484" s="102"/>
      <c r="E5484" s="103" t="str">
        <f aca="false">IF($C5484="","",IFERROR(INDEX(المنيو!$C$2:$C$500,MATCH($C5484,المنيو!$B$2:$B$500,0)),0))</f>
        <v/>
      </c>
      <c r="F5484" s="103" t="str">
        <f aca="false">IF($C5484="","",$D5484*$E5484)</f>
        <v/>
      </c>
      <c r="G5484" s="103" t="str">
        <f aca="false">IF($C5484="","",$D5484*IFERROR(INDEX('تحليل التكلفة والسعر'!$C$2:$C$700,MATCH($C5484,'تحليل التكلفة والسعر'!$B$2:$B$700,0)),0))</f>
        <v/>
      </c>
    </row>
    <row r="5485" customFormat="false" ht="15" hidden="false" customHeight="false" outlineLevel="0" collapsed="false">
      <c r="A5485" s="102"/>
      <c r="E5485" s="103" t="str">
        <f aca="false">IF($C5485="","",IFERROR(INDEX(المنيو!$C$2:$C$500,MATCH($C5485,المنيو!$B$2:$B$500,0)),0))</f>
        <v/>
      </c>
      <c r="F5485" s="103" t="str">
        <f aca="false">IF($C5485="","",$D5485*$E5485)</f>
        <v/>
      </c>
      <c r="G5485" s="103" t="str">
        <f aca="false">IF($C5485="","",$D5485*IFERROR(INDEX('تحليل التكلفة والسعر'!$C$2:$C$700,MATCH($C5485,'تحليل التكلفة والسعر'!$B$2:$B$700,0)),0))</f>
        <v/>
      </c>
    </row>
    <row r="5486" customFormat="false" ht="15" hidden="false" customHeight="false" outlineLevel="0" collapsed="false">
      <c r="A5486" s="102"/>
      <c r="E5486" s="103" t="str">
        <f aca="false">IF($C5486="","",IFERROR(INDEX(المنيو!$C$2:$C$500,MATCH($C5486,المنيو!$B$2:$B$500,0)),0))</f>
        <v/>
      </c>
      <c r="F5486" s="103" t="str">
        <f aca="false">IF($C5486="","",$D5486*$E5486)</f>
        <v/>
      </c>
      <c r="G5486" s="103" t="str">
        <f aca="false">IF($C5486="","",$D5486*IFERROR(INDEX('تحليل التكلفة والسعر'!$C$2:$C$700,MATCH($C5486,'تحليل التكلفة والسعر'!$B$2:$B$700,0)),0))</f>
        <v/>
      </c>
    </row>
    <row r="5487" customFormat="false" ht="15" hidden="false" customHeight="false" outlineLevel="0" collapsed="false">
      <c r="A5487" s="102"/>
      <c r="E5487" s="103" t="str">
        <f aca="false">IF($C5487="","",IFERROR(INDEX(المنيو!$C$2:$C$500,MATCH($C5487,المنيو!$B$2:$B$500,0)),0))</f>
        <v/>
      </c>
      <c r="F5487" s="103" t="str">
        <f aca="false">IF($C5487="","",$D5487*$E5487)</f>
        <v/>
      </c>
      <c r="G5487" s="103" t="str">
        <f aca="false">IF($C5487="","",$D5487*IFERROR(INDEX('تحليل التكلفة والسعر'!$C$2:$C$700,MATCH($C5487,'تحليل التكلفة والسعر'!$B$2:$B$700,0)),0))</f>
        <v/>
      </c>
    </row>
    <row r="5488" customFormat="false" ht="15" hidden="false" customHeight="false" outlineLevel="0" collapsed="false">
      <c r="A5488" s="102"/>
      <c r="E5488" s="103" t="str">
        <f aca="false">IF($C5488="","",IFERROR(INDEX(المنيو!$C$2:$C$500,MATCH($C5488,المنيو!$B$2:$B$500,0)),0))</f>
        <v/>
      </c>
      <c r="F5488" s="103" t="str">
        <f aca="false">IF($C5488="","",$D5488*$E5488)</f>
        <v/>
      </c>
      <c r="G5488" s="103" t="str">
        <f aca="false">IF($C5488="","",$D5488*IFERROR(INDEX('تحليل التكلفة والسعر'!$C$2:$C$700,MATCH($C5488,'تحليل التكلفة والسعر'!$B$2:$B$700,0)),0))</f>
        <v/>
      </c>
    </row>
    <row r="5489" customFormat="false" ht="15" hidden="false" customHeight="false" outlineLevel="0" collapsed="false">
      <c r="A5489" s="102"/>
      <c r="E5489" s="103" t="str">
        <f aca="false">IF($C5489="","",IFERROR(INDEX(المنيو!$C$2:$C$500,MATCH($C5489,المنيو!$B$2:$B$500,0)),0))</f>
        <v/>
      </c>
      <c r="F5489" s="103" t="str">
        <f aca="false">IF($C5489="","",$D5489*$E5489)</f>
        <v/>
      </c>
      <c r="G5489" s="103" t="str">
        <f aca="false">IF($C5489="","",$D5489*IFERROR(INDEX('تحليل التكلفة والسعر'!$C$2:$C$700,MATCH($C5489,'تحليل التكلفة والسعر'!$B$2:$B$700,0)),0))</f>
        <v/>
      </c>
    </row>
    <row r="5490" customFormat="false" ht="15" hidden="false" customHeight="false" outlineLevel="0" collapsed="false">
      <c r="A5490" s="102"/>
      <c r="E5490" s="103" t="str">
        <f aca="false">IF($C5490="","",IFERROR(INDEX(المنيو!$C$2:$C$500,MATCH($C5490,المنيو!$B$2:$B$500,0)),0))</f>
        <v/>
      </c>
      <c r="F5490" s="103" t="str">
        <f aca="false">IF($C5490="","",$D5490*$E5490)</f>
        <v/>
      </c>
      <c r="G5490" s="103" t="str">
        <f aca="false">IF($C5490="","",$D5490*IFERROR(INDEX('تحليل التكلفة والسعر'!$C$2:$C$700,MATCH($C5490,'تحليل التكلفة والسعر'!$B$2:$B$700,0)),0))</f>
        <v/>
      </c>
    </row>
    <row r="5491" customFormat="false" ht="15" hidden="false" customHeight="false" outlineLevel="0" collapsed="false">
      <c r="A5491" s="102"/>
      <c r="E5491" s="103" t="str">
        <f aca="false">IF($C5491="","",IFERROR(INDEX(المنيو!$C$2:$C$500,MATCH($C5491,المنيو!$B$2:$B$500,0)),0))</f>
        <v/>
      </c>
      <c r="F5491" s="103" t="str">
        <f aca="false">IF($C5491="","",$D5491*$E5491)</f>
        <v/>
      </c>
      <c r="G5491" s="103" t="str">
        <f aca="false">IF($C5491="","",$D5491*IFERROR(INDEX('تحليل التكلفة والسعر'!$C$2:$C$700,MATCH($C5491,'تحليل التكلفة والسعر'!$B$2:$B$700,0)),0))</f>
        <v/>
      </c>
    </row>
    <row r="5492" customFormat="false" ht="15" hidden="false" customHeight="false" outlineLevel="0" collapsed="false">
      <c r="A5492" s="102"/>
      <c r="E5492" s="103" t="str">
        <f aca="false">IF($C5492="","",IFERROR(INDEX(المنيو!$C$2:$C$500,MATCH($C5492,المنيو!$B$2:$B$500,0)),0))</f>
        <v/>
      </c>
      <c r="F5492" s="103" t="str">
        <f aca="false">IF($C5492="","",$D5492*$E5492)</f>
        <v/>
      </c>
      <c r="G5492" s="103" t="str">
        <f aca="false">IF($C5492="","",$D5492*IFERROR(INDEX('تحليل التكلفة والسعر'!$C$2:$C$700,MATCH($C5492,'تحليل التكلفة والسعر'!$B$2:$B$700,0)),0))</f>
        <v/>
      </c>
    </row>
    <row r="5493" customFormat="false" ht="15" hidden="false" customHeight="false" outlineLevel="0" collapsed="false">
      <c r="A5493" s="102"/>
      <c r="E5493" s="103" t="str">
        <f aca="false">IF($C5493="","",IFERROR(INDEX(المنيو!$C$2:$C$500,MATCH($C5493,المنيو!$B$2:$B$500,0)),0))</f>
        <v/>
      </c>
      <c r="F5493" s="103" t="str">
        <f aca="false">IF($C5493="","",$D5493*$E5493)</f>
        <v/>
      </c>
      <c r="G5493" s="103" t="str">
        <f aca="false">IF($C5493="","",$D5493*IFERROR(INDEX('تحليل التكلفة والسعر'!$C$2:$C$700,MATCH($C5493,'تحليل التكلفة والسعر'!$B$2:$B$700,0)),0))</f>
        <v/>
      </c>
    </row>
    <row r="5494" customFormat="false" ht="15" hidden="false" customHeight="false" outlineLevel="0" collapsed="false">
      <c r="A5494" s="102"/>
      <c r="E5494" s="103" t="str">
        <f aca="false">IF($C5494="","",IFERROR(INDEX(المنيو!$C$2:$C$500,MATCH($C5494,المنيو!$B$2:$B$500,0)),0))</f>
        <v/>
      </c>
      <c r="F5494" s="103" t="str">
        <f aca="false">IF($C5494="","",$D5494*$E5494)</f>
        <v/>
      </c>
      <c r="G5494" s="103" t="str">
        <f aca="false">IF($C5494="","",$D5494*IFERROR(INDEX('تحليل التكلفة والسعر'!$C$2:$C$700,MATCH($C5494,'تحليل التكلفة والسعر'!$B$2:$B$700,0)),0))</f>
        <v/>
      </c>
    </row>
    <row r="5495" customFormat="false" ht="15" hidden="false" customHeight="false" outlineLevel="0" collapsed="false">
      <c r="A5495" s="102"/>
      <c r="E5495" s="103" t="str">
        <f aca="false">IF($C5495="","",IFERROR(INDEX(المنيو!$C$2:$C$500,MATCH($C5495,المنيو!$B$2:$B$500,0)),0))</f>
        <v/>
      </c>
      <c r="F5495" s="103" t="str">
        <f aca="false">IF($C5495="","",$D5495*$E5495)</f>
        <v/>
      </c>
      <c r="G5495" s="103" t="str">
        <f aca="false">IF($C5495="","",$D5495*IFERROR(INDEX('تحليل التكلفة والسعر'!$C$2:$C$700,MATCH($C5495,'تحليل التكلفة والسعر'!$B$2:$B$700,0)),0))</f>
        <v/>
      </c>
    </row>
    <row r="5496" customFormat="false" ht="15" hidden="false" customHeight="false" outlineLevel="0" collapsed="false">
      <c r="A5496" s="102"/>
      <c r="E5496" s="103" t="str">
        <f aca="false">IF($C5496="","",IFERROR(INDEX(المنيو!$C$2:$C$500,MATCH($C5496,المنيو!$B$2:$B$500,0)),0))</f>
        <v/>
      </c>
      <c r="F5496" s="103" t="str">
        <f aca="false">IF($C5496="","",$D5496*$E5496)</f>
        <v/>
      </c>
      <c r="G5496" s="103" t="str">
        <f aca="false">IF($C5496="","",$D5496*IFERROR(INDEX('تحليل التكلفة والسعر'!$C$2:$C$700,MATCH($C5496,'تحليل التكلفة والسعر'!$B$2:$B$700,0)),0))</f>
        <v/>
      </c>
    </row>
    <row r="5497" customFormat="false" ht="15" hidden="false" customHeight="false" outlineLevel="0" collapsed="false">
      <c r="A5497" s="102"/>
      <c r="E5497" s="103" t="str">
        <f aca="false">IF($C5497="","",IFERROR(INDEX(المنيو!$C$2:$C$500,MATCH($C5497,المنيو!$B$2:$B$500,0)),0))</f>
        <v/>
      </c>
      <c r="F5497" s="103" t="str">
        <f aca="false">IF($C5497="","",$D5497*$E5497)</f>
        <v/>
      </c>
      <c r="G5497" s="103" t="str">
        <f aca="false">IF($C5497="","",$D5497*IFERROR(INDEX('تحليل التكلفة والسعر'!$C$2:$C$700,MATCH($C5497,'تحليل التكلفة والسعر'!$B$2:$B$700,0)),0))</f>
        <v/>
      </c>
    </row>
    <row r="5498" customFormat="false" ht="15" hidden="false" customHeight="false" outlineLevel="0" collapsed="false">
      <c r="A5498" s="102"/>
      <c r="E5498" s="103" t="str">
        <f aca="false">IF($C5498="","",IFERROR(INDEX(المنيو!$C$2:$C$500,MATCH($C5498,المنيو!$B$2:$B$500,0)),0))</f>
        <v/>
      </c>
      <c r="F5498" s="103" t="str">
        <f aca="false">IF($C5498="","",$D5498*$E5498)</f>
        <v/>
      </c>
      <c r="G5498" s="103" t="str">
        <f aca="false">IF($C5498="","",$D5498*IFERROR(INDEX('تحليل التكلفة والسعر'!$C$2:$C$700,MATCH($C5498,'تحليل التكلفة والسعر'!$B$2:$B$700,0)),0))</f>
        <v/>
      </c>
    </row>
    <row r="5499" customFormat="false" ht="15" hidden="false" customHeight="false" outlineLevel="0" collapsed="false">
      <c r="A5499" s="102"/>
      <c r="E5499" s="103" t="str">
        <f aca="false">IF($C5499="","",IFERROR(INDEX(المنيو!$C$2:$C$500,MATCH($C5499,المنيو!$B$2:$B$500,0)),0))</f>
        <v/>
      </c>
      <c r="F5499" s="103" t="str">
        <f aca="false">IF($C5499="","",$D5499*$E5499)</f>
        <v/>
      </c>
      <c r="G5499" s="103" t="str">
        <f aca="false">IF($C5499="","",$D5499*IFERROR(INDEX('تحليل التكلفة والسعر'!$C$2:$C$700,MATCH($C5499,'تحليل التكلفة والسعر'!$B$2:$B$700,0)),0))</f>
        <v/>
      </c>
    </row>
    <row r="5500" customFormat="false" ht="15" hidden="false" customHeight="false" outlineLevel="0" collapsed="false">
      <c r="A5500" s="102"/>
      <c r="E5500" s="103" t="str">
        <f aca="false">IF($C5500="","",IFERROR(INDEX(المنيو!$C$2:$C$500,MATCH($C5500,المنيو!$B$2:$B$500,0)),0))</f>
        <v/>
      </c>
      <c r="F5500" s="103" t="str">
        <f aca="false">IF($C5500="","",$D5500*$E5500)</f>
        <v/>
      </c>
      <c r="G5500" s="103" t="str">
        <f aca="false">IF($C5500="","",$D5500*IFERROR(INDEX('تحليل التكلفة والسعر'!$C$2:$C$700,MATCH($C5500,'تحليل التكلفة والسعر'!$B$2:$B$700,0)),0))</f>
        <v/>
      </c>
    </row>
    <row r="5501" customFormat="false" ht="15" hidden="false" customHeight="false" outlineLevel="0" collapsed="false">
      <c r="A5501" s="102"/>
      <c r="E5501" s="103" t="str">
        <f aca="false">IF($C5501="","",IFERROR(INDEX(المنيو!$C$2:$C$500,MATCH($C5501,المنيو!$B$2:$B$500,0)),0))</f>
        <v/>
      </c>
      <c r="F5501" s="103" t="str">
        <f aca="false">IF($C5501="","",$D5501*$E5501)</f>
        <v/>
      </c>
      <c r="G5501" s="103" t="str">
        <f aca="false">IF($C5501="","",$D5501*IFERROR(INDEX('تحليل التكلفة والسعر'!$C$2:$C$700,MATCH($C5501,'تحليل التكلفة والسعر'!$B$2:$B$700,0)),0))</f>
        <v/>
      </c>
    </row>
    <row r="5502" customFormat="false" ht="15" hidden="false" customHeight="false" outlineLevel="0" collapsed="false">
      <c r="A5502" s="102"/>
      <c r="E5502" s="103" t="str">
        <f aca="false">IF($C5502="","",IFERROR(INDEX(المنيو!$C$2:$C$500,MATCH($C5502,المنيو!$B$2:$B$500,0)),0))</f>
        <v/>
      </c>
      <c r="F5502" s="103" t="str">
        <f aca="false">IF($C5502="","",$D5502*$E5502)</f>
        <v/>
      </c>
      <c r="G5502" s="103" t="str">
        <f aca="false">IF($C5502="","",$D5502*IFERROR(INDEX('تحليل التكلفة والسعر'!$C$2:$C$700,MATCH($C5502,'تحليل التكلفة والسعر'!$B$2:$B$700,0)),0))</f>
        <v/>
      </c>
    </row>
    <row r="5503" customFormat="false" ht="15" hidden="false" customHeight="false" outlineLevel="0" collapsed="false">
      <c r="A5503" s="102"/>
      <c r="E5503" s="103" t="str">
        <f aca="false">IF($C5503="","",IFERROR(INDEX(المنيو!$C$2:$C$500,MATCH($C5503,المنيو!$B$2:$B$500,0)),0))</f>
        <v/>
      </c>
      <c r="F5503" s="103" t="str">
        <f aca="false">IF($C5503="","",$D5503*$E5503)</f>
        <v/>
      </c>
      <c r="G5503" s="103" t="str">
        <f aca="false">IF($C5503="","",$D5503*IFERROR(INDEX('تحليل التكلفة والسعر'!$C$2:$C$700,MATCH($C5503,'تحليل التكلفة والسعر'!$B$2:$B$700,0)),0))</f>
        <v/>
      </c>
    </row>
    <row r="5504" customFormat="false" ht="15" hidden="false" customHeight="false" outlineLevel="0" collapsed="false">
      <c r="A5504" s="102"/>
      <c r="E5504" s="103" t="str">
        <f aca="false">IF($C5504="","",IFERROR(INDEX(المنيو!$C$2:$C$500,MATCH($C5504,المنيو!$B$2:$B$500,0)),0))</f>
        <v/>
      </c>
      <c r="F5504" s="103" t="str">
        <f aca="false">IF($C5504="","",$D5504*$E5504)</f>
        <v/>
      </c>
      <c r="G5504" s="103" t="str">
        <f aca="false">IF($C5504="","",$D5504*IFERROR(INDEX('تحليل التكلفة والسعر'!$C$2:$C$700,MATCH($C5504,'تحليل التكلفة والسعر'!$B$2:$B$700,0)),0))</f>
        <v/>
      </c>
    </row>
    <row r="5505" customFormat="false" ht="15" hidden="false" customHeight="false" outlineLevel="0" collapsed="false">
      <c r="A5505" s="102"/>
      <c r="E5505" s="103" t="str">
        <f aca="false">IF($C5505="","",IFERROR(INDEX(المنيو!$C$2:$C$500,MATCH($C5505,المنيو!$B$2:$B$500,0)),0))</f>
        <v/>
      </c>
      <c r="F5505" s="103" t="str">
        <f aca="false">IF($C5505="","",$D5505*$E5505)</f>
        <v/>
      </c>
      <c r="G5505" s="103" t="str">
        <f aca="false">IF($C5505="","",$D5505*IFERROR(INDEX('تحليل التكلفة والسعر'!$C$2:$C$700,MATCH($C5505,'تحليل التكلفة والسعر'!$B$2:$B$700,0)),0))</f>
        <v/>
      </c>
    </row>
    <row r="5506" customFormat="false" ht="15" hidden="false" customHeight="false" outlineLevel="0" collapsed="false">
      <c r="A5506" s="102"/>
      <c r="E5506" s="103" t="str">
        <f aca="false">IF($C5506="","",IFERROR(INDEX(المنيو!$C$2:$C$500,MATCH($C5506,المنيو!$B$2:$B$500,0)),0))</f>
        <v/>
      </c>
      <c r="F5506" s="103" t="str">
        <f aca="false">IF($C5506="","",$D5506*$E5506)</f>
        <v/>
      </c>
      <c r="G5506" s="103" t="str">
        <f aca="false">IF($C5506="","",$D5506*IFERROR(INDEX('تحليل التكلفة والسعر'!$C$2:$C$700,MATCH($C5506,'تحليل التكلفة والسعر'!$B$2:$B$700,0)),0))</f>
        <v/>
      </c>
    </row>
    <row r="5507" customFormat="false" ht="15" hidden="false" customHeight="false" outlineLevel="0" collapsed="false">
      <c r="A5507" s="102"/>
      <c r="E5507" s="103" t="str">
        <f aca="false">IF($C5507="","",IFERROR(INDEX(المنيو!$C$2:$C$500,MATCH($C5507,المنيو!$B$2:$B$500,0)),0))</f>
        <v/>
      </c>
      <c r="F5507" s="103" t="str">
        <f aca="false">IF($C5507="","",$D5507*$E5507)</f>
        <v/>
      </c>
      <c r="G5507" s="103" t="str">
        <f aca="false">IF($C5507="","",$D5507*IFERROR(INDEX('تحليل التكلفة والسعر'!$C$2:$C$700,MATCH($C5507,'تحليل التكلفة والسعر'!$B$2:$B$700,0)),0))</f>
        <v/>
      </c>
    </row>
    <row r="5508" customFormat="false" ht="15" hidden="false" customHeight="false" outlineLevel="0" collapsed="false">
      <c r="A5508" s="102"/>
      <c r="E5508" s="103" t="str">
        <f aca="false">IF($C5508="","",IFERROR(INDEX(المنيو!$C$2:$C$500,MATCH($C5508,المنيو!$B$2:$B$500,0)),0))</f>
        <v/>
      </c>
      <c r="F5508" s="103" t="str">
        <f aca="false">IF($C5508="","",$D5508*$E5508)</f>
        <v/>
      </c>
      <c r="G5508" s="103" t="str">
        <f aca="false">IF($C5508="","",$D5508*IFERROR(INDEX('تحليل التكلفة والسعر'!$C$2:$C$700,MATCH($C5508,'تحليل التكلفة والسعر'!$B$2:$B$700,0)),0))</f>
        <v/>
      </c>
    </row>
    <row r="5509" customFormat="false" ht="15" hidden="false" customHeight="false" outlineLevel="0" collapsed="false">
      <c r="A5509" s="102"/>
      <c r="E5509" s="103" t="str">
        <f aca="false">IF($C5509="","",IFERROR(INDEX(المنيو!$C$2:$C$500,MATCH($C5509,المنيو!$B$2:$B$500,0)),0))</f>
        <v/>
      </c>
      <c r="F5509" s="103" t="str">
        <f aca="false">IF($C5509="","",$D5509*$E5509)</f>
        <v/>
      </c>
      <c r="G5509" s="103" t="str">
        <f aca="false">IF($C5509="","",$D5509*IFERROR(INDEX('تحليل التكلفة والسعر'!$C$2:$C$700,MATCH($C5509,'تحليل التكلفة والسعر'!$B$2:$B$700,0)),0))</f>
        <v/>
      </c>
    </row>
    <row r="5510" customFormat="false" ht="15" hidden="false" customHeight="false" outlineLevel="0" collapsed="false">
      <c r="A5510" s="102"/>
      <c r="E5510" s="103" t="str">
        <f aca="false">IF($C5510="","",IFERROR(INDEX(المنيو!$C$2:$C$500,MATCH($C5510,المنيو!$B$2:$B$500,0)),0))</f>
        <v/>
      </c>
      <c r="F5510" s="103" t="str">
        <f aca="false">IF($C5510="","",$D5510*$E5510)</f>
        <v/>
      </c>
      <c r="G5510" s="103" t="str">
        <f aca="false">IF($C5510="","",$D5510*IFERROR(INDEX('تحليل التكلفة والسعر'!$C$2:$C$700,MATCH($C5510,'تحليل التكلفة والسعر'!$B$2:$B$700,0)),0))</f>
        <v/>
      </c>
    </row>
    <row r="5511" customFormat="false" ht="15" hidden="false" customHeight="false" outlineLevel="0" collapsed="false">
      <c r="A5511" s="102"/>
      <c r="E5511" s="103" t="str">
        <f aca="false">IF($C5511="","",IFERROR(INDEX(المنيو!$C$2:$C$500,MATCH($C5511,المنيو!$B$2:$B$500,0)),0))</f>
        <v/>
      </c>
      <c r="F5511" s="103" t="str">
        <f aca="false">IF($C5511="","",$D5511*$E5511)</f>
        <v/>
      </c>
      <c r="G5511" s="103" t="str">
        <f aca="false">IF($C5511="","",$D5511*IFERROR(INDEX('تحليل التكلفة والسعر'!$C$2:$C$700,MATCH($C5511,'تحليل التكلفة والسعر'!$B$2:$B$700,0)),0))</f>
        <v/>
      </c>
    </row>
    <row r="5512" customFormat="false" ht="15" hidden="false" customHeight="false" outlineLevel="0" collapsed="false">
      <c r="A5512" s="102"/>
      <c r="E5512" s="103" t="str">
        <f aca="false">IF($C5512="","",IFERROR(INDEX(المنيو!$C$2:$C$500,MATCH($C5512,المنيو!$B$2:$B$500,0)),0))</f>
        <v/>
      </c>
      <c r="F5512" s="103" t="str">
        <f aca="false">IF($C5512="","",$D5512*$E5512)</f>
        <v/>
      </c>
      <c r="G5512" s="103" t="str">
        <f aca="false">IF($C5512="","",$D5512*IFERROR(INDEX('تحليل التكلفة والسعر'!$C$2:$C$700,MATCH($C5512,'تحليل التكلفة والسعر'!$B$2:$B$700,0)),0))</f>
        <v/>
      </c>
    </row>
    <row r="5513" customFormat="false" ht="15" hidden="false" customHeight="false" outlineLevel="0" collapsed="false">
      <c r="A5513" s="102"/>
      <c r="E5513" s="103" t="str">
        <f aca="false">IF($C5513="","",IFERROR(INDEX(المنيو!$C$2:$C$500,MATCH($C5513,المنيو!$B$2:$B$500,0)),0))</f>
        <v/>
      </c>
      <c r="F5513" s="103" t="str">
        <f aca="false">IF($C5513="","",$D5513*$E5513)</f>
        <v/>
      </c>
      <c r="G5513" s="103" t="str">
        <f aca="false">IF($C5513="","",$D5513*IFERROR(INDEX('تحليل التكلفة والسعر'!$C$2:$C$700,MATCH($C5513,'تحليل التكلفة والسعر'!$B$2:$B$700,0)),0))</f>
        <v/>
      </c>
    </row>
    <row r="5514" customFormat="false" ht="15" hidden="false" customHeight="false" outlineLevel="0" collapsed="false">
      <c r="A5514" s="102"/>
      <c r="E5514" s="103" t="str">
        <f aca="false">IF($C5514="","",IFERROR(INDEX(المنيو!$C$2:$C$500,MATCH($C5514,المنيو!$B$2:$B$500,0)),0))</f>
        <v/>
      </c>
      <c r="F5514" s="103" t="str">
        <f aca="false">IF($C5514="","",$D5514*$E5514)</f>
        <v/>
      </c>
      <c r="G5514" s="103" t="str">
        <f aca="false">IF($C5514="","",$D5514*IFERROR(INDEX('تحليل التكلفة والسعر'!$C$2:$C$700,MATCH($C5514,'تحليل التكلفة والسعر'!$B$2:$B$700,0)),0))</f>
        <v/>
      </c>
    </row>
    <row r="5515" customFormat="false" ht="15" hidden="false" customHeight="false" outlineLevel="0" collapsed="false">
      <c r="A5515" s="102"/>
      <c r="E5515" s="103" t="str">
        <f aca="false">IF($C5515="","",IFERROR(INDEX(المنيو!$C$2:$C$500,MATCH($C5515,المنيو!$B$2:$B$500,0)),0))</f>
        <v/>
      </c>
      <c r="F5515" s="103" t="str">
        <f aca="false">IF($C5515="","",$D5515*$E5515)</f>
        <v/>
      </c>
      <c r="G5515" s="103" t="str">
        <f aca="false">IF($C5515="","",$D5515*IFERROR(INDEX('تحليل التكلفة والسعر'!$C$2:$C$700,MATCH($C5515,'تحليل التكلفة والسعر'!$B$2:$B$700,0)),0))</f>
        <v/>
      </c>
    </row>
    <row r="5516" customFormat="false" ht="15" hidden="false" customHeight="false" outlineLevel="0" collapsed="false">
      <c r="A5516" s="102"/>
      <c r="E5516" s="103" t="str">
        <f aca="false">IF($C5516="","",IFERROR(INDEX(المنيو!$C$2:$C$500,MATCH($C5516,المنيو!$B$2:$B$500,0)),0))</f>
        <v/>
      </c>
      <c r="F5516" s="103" t="str">
        <f aca="false">IF($C5516="","",$D5516*$E5516)</f>
        <v/>
      </c>
      <c r="G5516" s="103" t="str">
        <f aca="false">IF($C5516="","",$D5516*IFERROR(INDEX('تحليل التكلفة والسعر'!$C$2:$C$700,MATCH($C5516,'تحليل التكلفة والسعر'!$B$2:$B$700,0)),0))</f>
        <v/>
      </c>
    </row>
    <row r="5517" customFormat="false" ht="15" hidden="false" customHeight="false" outlineLevel="0" collapsed="false">
      <c r="A5517" s="102"/>
      <c r="E5517" s="103" t="str">
        <f aca="false">IF($C5517="","",IFERROR(INDEX(المنيو!$C$2:$C$500,MATCH($C5517,المنيو!$B$2:$B$500,0)),0))</f>
        <v/>
      </c>
      <c r="F5517" s="103" t="str">
        <f aca="false">IF($C5517="","",$D5517*$E5517)</f>
        <v/>
      </c>
      <c r="G5517" s="103" t="str">
        <f aca="false">IF($C5517="","",$D5517*IFERROR(INDEX('تحليل التكلفة والسعر'!$C$2:$C$700,MATCH($C5517,'تحليل التكلفة والسعر'!$B$2:$B$700,0)),0))</f>
        <v/>
      </c>
    </row>
    <row r="5518" customFormat="false" ht="15" hidden="false" customHeight="false" outlineLevel="0" collapsed="false">
      <c r="A5518" s="102"/>
      <c r="E5518" s="103" t="str">
        <f aca="false">IF($C5518="","",IFERROR(INDEX(المنيو!$C$2:$C$500,MATCH($C5518,المنيو!$B$2:$B$500,0)),0))</f>
        <v/>
      </c>
      <c r="F5518" s="103" t="str">
        <f aca="false">IF($C5518="","",$D5518*$E5518)</f>
        <v/>
      </c>
      <c r="G5518" s="103" t="str">
        <f aca="false">IF($C5518="","",$D5518*IFERROR(INDEX('تحليل التكلفة والسعر'!$C$2:$C$700,MATCH($C5518,'تحليل التكلفة والسعر'!$B$2:$B$700,0)),0))</f>
        <v/>
      </c>
    </row>
    <row r="5519" customFormat="false" ht="15" hidden="false" customHeight="false" outlineLevel="0" collapsed="false">
      <c r="A5519" s="102"/>
      <c r="E5519" s="103" t="str">
        <f aca="false">IF($C5519="","",IFERROR(INDEX(المنيو!$C$2:$C$500,MATCH($C5519,المنيو!$B$2:$B$500,0)),0))</f>
        <v/>
      </c>
      <c r="F5519" s="103" t="str">
        <f aca="false">IF($C5519="","",$D5519*$E5519)</f>
        <v/>
      </c>
      <c r="G5519" s="103" t="str">
        <f aca="false">IF($C5519="","",$D5519*IFERROR(INDEX('تحليل التكلفة والسعر'!$C$2:$C$700,MATCH($C5519,'تحليل التكلفة والسعر'!$B$2:$B$700,0)),0))</f>
        <v/>
      </c>
    </row>
    <row r="5520" customFormat="false" ht="15" hidden="false" customHeight="false" outlineLevel="0" collapsed="false">
      <c r="A5520" s="102"/>
      <c r="E5520" s="103" t="str">
        <f aca="false">IF($C5520="","",IFERROR(INDEX(المنيو!$C$2:$C$500,MATCH($C5520,المنيو!$B$2:$B$500,0)),0))</f>
        <v/>
      </c>
      <c r="F5520" s="103" t="str">
        <f aca="false">IF($C5520="","",$D5520*$E5520)</f>
        <v/>
      </c>
      <c r="G5520" s="103" t="str">
        <f aca="false">IF($C5520="","",$D5520*IFERROR(INDEX('تحليل التكلفة والسعر'!$C$2:$C$700,MATCH($C5520,'تحليل التكلفة والسعر'!$B$2:$B$700,0)),0))</f>
        <v/>
      </c>
    </row>
    <row r="5521" customFormat="false" ht="15" hidden="false" customHeight="false" outlineLevel="0" collapsed="false">
      <c r="A5521" s="102"/>
      <c r="E5521" s="103" t="str">
        <f aca="false">IF($C5521="","",IFERROR(INDEX(المنيو!$C$2:$C$500,MATCH($C5521,المنيو!$B$2:$B$500,0)),0))</f>
        <v/>
      </c>
      <c r="F5521" s="103" t="str">
        <f aca="false">IF($C5521="","",$D5521*$E5521)</f>
        <v/>
      </c>
      <c r="G5521" s="103" t="str">
        <f aca="false">IF($C5521="","",$D5521*IFERROR(INDEX('تحليل التكلفة والسعر'!$C$2:$C$700,MATCH($C5521,'تحليل التكلفة والسعر'!$B$2:$B$700,0)),0))</f>
        <v/>
      </c>
    </row>
    <row r="5522" customFormat="false" ht="15" hidden="false" customHeight="false" outlineLevel="0" collapsed="false">
      <c r="A5522" s="102"/>
      <c r="E5522" s="103" t="str">
        <f aca="false">IF($C5522="","",IFERROR(INDEX(المنيو!$C$2:$C$500,MATCH($C5522,المنيو!$B$2:$B$500,0)),0))</f>
        <v/>
      </c>
      <c r="F5522" s="103" t="str">
        <f aca="false">IF($C5522="","",$D5522*$E5522)</f>
        <v/>
      </c>
      <c r="G5522" s="103" t="str">
        <f aca="false">IF($C5522="","",$D5522*IFERROR(INDEX('تحليل التكلفة والسعر'!$C$2:$C$700,MATCH($C5522,'تحليل التكلفة والسعر'!$B$2:$B$700,0)),0))</f>
        <v/>
      </c>
    </row>
    <row r="5523" customFormat="false" ht="15" hidden="false" customHeight="false" outlineLevel="0" collapsed="false">
      <c r="A5523" s="102"/>
      <c r="E5523" s="103" t="str">
        <f aca="false">IF($C5523="","",IFERROR(INDEX(المنيو!$C$2:$C$500,MATCH($C5523,المنيو!$B$2:$B$500,0)),0))</f>
        <v/>
      </c>
      <c r="F5523" s="103" t="str">
        <f aca="false">IF($C5523="","",$D5523*$E5523)</f>
        <v/>
      </c>
      <c r="G5523" s="103" t="str">
        <f aca="false">IF($C5523="","",$D5523*IFERROR(INDEX('تحليل التكلفة والسعر'!$C$2:$C$700,MATCH($C5523,'تحليل التكلفة والسعر'!$B$2:$B$700,0)),0))</f>
        <v/>
      </c>
    </row>
    <row r="5524" customFormat="false" ht="15" hidden="false" customHeight="false" outlineLevel="0" collapsed="false">
      <c r="A5524" s="102"/>
      <c r="E5524" s="103" t="str">
        <f aca="false">IF($C5524="","",IFERROR(INDEX(المنيو!$C$2:$C$500,MATCH($C5524,المنيو!$B$2:$B$500,0)),0))</f>
        <v/>
      </c>
      <c r="F5524" s="103" t="str">
        <f aca="false">IF($C5524="","",$D5524*$E5524)</f>
        <v/>
      </c>
      <c r="G5524" s="103" t="str">
        <f aca="false">IF($C5524="","",$D5524*IFERROR(INDEX('تحليل التكلفة والسعر'!$C$2:$C$700,MATCH($C5524,'تحليل التكلفة والسعر'!$B$2:$B$700,0)),0))</f>
        <v/>
      </c>
    </row>
    <row r="5525" customFormat="false" ht="15" hidden="false" customHeight="false" outlineLevel="0" collapsed="false">
      <c r="A5525" s="102"/>
      <c r="E5525" s="103" t="str">
        <f aca="false">IF($C5525="","",IFERROR(INDEX(المنيو!$C$2:$C$500,MATCH($C5525,المنيو!$B$2:$B$500,0)),0))</f>
        <v/>
      </c>
      <c r="F5525" s="103" t="str">
        <f aca="false">IF($C5525="","",$D5525*$E5525)</f>
        <v/>
      </c>
      <c r="G5525" s="103" t="str">
        <f aca="false">IF($C5525="","",$D5525*IFERROR(INDEX('تحليل التكلفة والسعر'!$C$2:$C$700,MATCH($C5525,'تحليل التكلفة والسعر'!$B$2:$B$700,0)),0))</f>
        <v/>
      </c>
    </row>
    <row r="5526" customFormat="false" ht="15" hidden="false" customHeight="false" outlineLevel="0" collapsed="false">
      <c r="A5526" s="102"/>
      <c r="E5526" s="103" t="str">
        <f aca="false">IF($C5526="","",IFERROR(INDEX(المنيو!$C$2:$C$500,MATCH($C5526,المنيو!$B$2:$B$500,0)),0))</f>
        <v/>
      </c>
      <c r="F5526" s="103" t="str">
        <f aca="false">IF($C5526="","",$D5526*$E5526)</f>
        <v/>
      </c>
      <c r="G5526" s="103" t="str">
        <f aca="false">IF($C5526="","",$D5526*IFERROR(INDEX('تحليل التكلفة والسعر'!$C$2:$C$700,MATCH($C5526,'تحليل التكلفة والسعر'!$B$2:$B$700,0)),0))</f>
        <v/>
      </c>
    </row>
    <row r="5527" customFormat="false" ht="15" hidden="false" customHeight="false" outlineLevel="0" collapsed="false">
      <c r="A5527" s="102"/>
      <c r="E5527" s="103" t="str">
        <f aca="false">IF($C5527="","",IFERROR(INDEX(المنيو!$C$2:$C$500,MATCH($C5527,المنيو!$B$2:$B$500,0)),0))</f>
        <v/>
      </c>
      <c r="F5527" s="103" t="str">
        <f aca="false">IF($C5527="","",$D5527*$E5527)</f>
        <v/>
      </c>
      <c r="G5527" s="103" t="str">
        <f aca="false">IF($C5527="","",$D5527*IFERROR(INDEX('تحليل التكلفة والسعر'!$C$2:$C$700,MATCH($C5527,'تحليل التكلفة والسعر'!$B$2:$B$700,0)),0))</f>
        <v/>
      </c>
    </row>
    <row r="5528" customFormat="false" ht="15" hidden="false" customHeight="false" outlineLevel="0" collapsed="false">
      <c r="A5528" s="102"/>
      <c r="E5528" s="103" t="str">
        <f aca="false">IF($C5528="","",IFERROR(INDEX(المنيو!$C$2:$C$500,MATCH($C5528,المنيو!$B$2:$B$500,0)),0))</f>
        <v/>
      </c>
      <c r="F5528" s="103" t="str">
        <f aca="false">IF($C5528="","",$D5528*$E5528)</f>
        <v/>
      </c>
      <c r="G5528" s="103" t="str">
        <f aca="false">IF($C5528="","",$D5528*IFERROR(INDEX('تحليل التكلفة والسعر'!$C$2:$C$700,MATCH($C5528,'تحليل التكلفة والسعر'!$B$2:$B$700,0)),0))</f>
        <v/>
      </c>
    </row>
    <row r="5529" customFormat="false" ht="15" hidden="false" customHeight="false" outlineLevel="0" collapsed="false">
      <c r="A5529" s="102"/>
      <c r="E5529" s="103" t="str">
        <f aca="false">IF($C5529="","",IFERROR(INDEX(المنيو!$C$2:$C$500,MATCH($C5529,المنيو!$B$2:$B$500,0)),0))</f>
        <v/>
      </c>
      <c r="F5529" s="103" t="str">
        <f aca="false">IF($C5529="","",$D5529*$E5529)</f>
        <v/>
      </c>
      <c r="G5529" s="103" t="str">
        <f aca="false">IF($C5529="","",$D5529*IFERROR(INDEX('تحليل التكلفة والسعر'!$C$2:$C$700,MATCH($C5529,'تحليل التكلفة والسعر'!$B$2:$B$700,0)),0))</f>
        <v/>
      </c>
    </row>
    <row r="5530" customFormat="false" ht="15" hidden="false" customHeight="false" outlineLevel="0" collapsed="false">
      <c r="A5530" s="102"/>
      <c r="E5530" s="103" t="str">
        <f aca="false">IF($C5530="","",IFERROR(INDEX(المنيو!$C$2:$C$500,MATCH($C5530,المنيو!$B$2:$B$500,0)),0))</f>
        <v/>
      </c>
      <c r="F5530" s="103" t="str">
        <f aca="false">IF($C5530="","",$D5530*$E5530)</f>
        <v/>
      </c>
      <c r="G5530" s="103" t="str">
        <f aca="false">IF($C5530="","",$D5530*IFERROR(INDEX('تحليل التكلفة والسعر'!$C$2:$C$700,MATCH($C5530,'تحليل التكلفة والسعر'!$B$2:$B$700,0)),0))</f>
        <v/>
      </c>
    </row>
    <row r="5531" customFormat="false" ht="15" hidden="false" customHeight="false" outlineLevel="0" collapsed="false">
      <c r="A5531" s="102"/>
      <c r="E5531" s="103" t="str">
        <f aca="false">IF($C5531="","",IFERROR(INDEX(المنيو!$C$2:$C$500,MATCH($C5531,المنيو!$B$2:$B$500,0)),0))</f>
        <v/>
      </c>
      <c r="F5531" s="103" t="str">
        <f aca="false">IF($C5531="","",$D5531*$E5531)</f>
        <v/>
      </c>
      <c r="G5531" s="103" t="str">
        <f aca="false">IF($C5531="","",$D5531*IFERROR(INDEX('تحليل التكلفة والسعر'!$C$2:$C$700,MATCH($C5531,'تحليل التكلفة والسعر'!$B$2:$B$700,0)),0))</f>
        <v/>
      </c>
    </row>
    <row r="5532" customFormat="false" ht="15" hidden="false" customHeight="false" outlineLevel="0" collapsed="false">
      <c r="A5532" s="102"/>
      <c r="E5532" s="103" t="str">
        <f aca="false">IF($C5532="","",IFERROR(INDEX(المنيو!$C$2:$C$500,MATCH($C5532,المنيو!$B$2:$B$500,0)),0))</f>
        <v/>
      </c>
      <c r="F5532" s="103" t="str">
        <f aca="false">IF($C5532="","",$D5532*$E5532)</f>
        <v/>
      </c>
      <c r="G5532" s="103" t="str">
        <f aca="false">IF($C5532="","",$D5532*IFERROR(INDEX('تحليل التكلفة والسعر'!$C$2:$C$700,MATCH($C5532,'تحليل التكلفة والسعر'!$B$2:$B$700,0)),0))</f>
        <v/>
      </c>
    </row>
    <row r="5533" customFormat="false" ht="15" hidden="false" customHeight="false" outlineLevel="0" collapsed="false">
      <c r="A5533" s="102"/>
      <c r="E5533" s="103" t="str">
        <f aca="false">IF($C5533="","",IFERROR(INDEX(المنيو!$C$2:$C$500,MATCH($C5533,المنيو!$B$2:$B$500,0)),0))</f>
        <v/>
      </c>
      <c r="F5533" s="103" t="str">
        <f aca="false">IF($C5533="","",$D5533*$E5533)</f>
        <v/>
      </c>
      <c r="G5533" s="103" t="str">
        <f aca="false">IF($C5533="","",$D5533*IFERROR(INDEX('تحليل التكلفة والسعر'!$C$2:$C$700,MATCH($C5533,'تحليل التكلفة والسعر'!$B$2:$B$700,0)),0))</f>
        <v/>
      </c>
    </row>
    <row r="5534" customFormat="false" ht="15" hidden="false" customHeight="false" outlineLevel="0" collapsed="false">
      <c r="A5534" s="102"/>
      <c r="E5534" s="103" t="str">
        <f aca="false">IF($C5534="","",IFERROR(INDEX(المنيو!$C$2:$C$500,MATCH($C5534,المنيو!$B$2:$B$500,0)),0))</f>
        <v/>
      </c>
      <c r="F5534" s="103" t="str">
        <f aca="false">IF($C5534="","",$D5534*$E5534)</f>
        <v/>
      </c>
      <c r="G5534" s="103" t="str">
        <f aca="false">IF($C5534="","",$D5534*IFERROR(INDEX('تحليل التكلفة والسعر'!$C$2:$C$700,MATCH($C5534,'تحليل التكلفة والسعر'!$B$2:$B$700,0)),0))</f>
        <v/>
      </c>
    </row>
    <row r="5535" customFormat="false" ht="15" hidden="false" customHeight="false" outlineLevel="0" collapsed="false">
      <c r="A5535" s="102"/>
      <c r="E5535" s="103" t="str">
        <f aca="false">IF($C5535="","",IFERROR(INDEX(المنيو!$C$2:$C$500,MATCH($C5535,المنيو!$B$2:$B$500,0)),0))</f>
        <v/>
      </c>
      <c r="F5535" s="103" t="str">
        <f aca="false">IF($C5535="","",$D5535*$E5535)</f>
        <v/>
      </c>
      <c r="G5535" s="103" t="str">
        <f aca="false">IF($C5535="","",$D5535*IFERROR(INDEX('تحليل التكلفة والسعر'!$C$2:$C$700,MATCH($C5535,'تحليل التكلفة والسعر'!$B$2:$B$700,0)),0))</f>
        <v/>
      </c>
    </row>
    <row r="5536" customFormat="false" ht="15" hidden="false" customHeight="false" outlineLevel="0" collapsed="false">
      <c r="A5536" s="102"/>
      <c r="E5536" s="103" t="str">
        <f aca="false">IF($C5536="","",IFERROR(INDEX(المنيو!$C$2:$C$500,MATCH($C5536,المنيو!$B$2:$B$500,0)),0))</f>
        <v/>
      </c>
      <c r="F5536" s="103" t="str">
        <f aca="false">IF($C5536="","",$D5536*$E5536)</f>
        <v/>
      </c>
      <c r="G5536" s="103" t="str">
        <f aca="false">IF($C5536="","",$D5536*IFERROR(INDEX('تحليل التكلفة والسعر'!$C$2:$C$700,MATCH($C5536,'تحليل التكلفة والسعر'!$B$2:$B$700,0)),0))</f>
        <v/>
      </c>
    </row>
    <row r="5537" customFormat="false" ht="15" hidden="false" customHeight="false" outlineLevel="0" collapsed="false">
      <c r="A5537" s="102"/>
      <c r="E5537" s="103" t="str">
        <f aca="false">IF($C5537="","",IFERROR(INDEX(المنيو!$C$2:$C$500,MATCH($C5537,المنيو!$B$2:$B$500,0)),0))</f>
        <v/>
      </c>
      <c r="F5537" s="103" t="str">
        <f aca="false">IF($C5537="","",$D5537*$E5537)</f>
        <v/>
      </c>
      <c r="G5537" s="103" t="str">
        <f aca="false">IF($C5537="","",$D5537*IFERROR(INDEX('تحليل التكلفة والسعر'!$C$2:$C$700,MATCH($C5537,'تحليل التكلفة والسعر'!$B$2:$B$700,0)),0))</f>
        <v/>
      </c>
    </row>
    <row r="5538" customFormat="false" ht="15" hidden="false" customHeight="false" outlineLevel="0" collapsed="false">
      <c r="A5538" s="102"/>
      <c r="E5538" s="103" t="str">
        <f aca="false">IF($C5538="","",IFERROR(INDEX(المنيو!$C$2:$C$500,MATCH($C5538,المنيو!$B$2:$B$500,0)),0))</f>
        <v/>
      </c>
      <c r="F5538" s="103" t="str">
        <f aca="false">IF($C5538="","",$D5538*$E5538)</f>
        <v/>
      </c>
      <c r="G5538" s="103" t="str">
        <f aca="false">IF($C5538="","",$D5538*IFERROR(INDEX('تحليل التكلفة والسعر'!$C$2:$C$700,MATCH($C5538,'تحليل التكلفة والسعر'!$B$2:$B$700,0)),0))</f>
        <v/>
      </c>
    </row>
    <row r="5539" customFormat="false" ht="15" hidden="false" customHeight="false" outlineLevel="0" collapsed="false">
      <c r="A5539" s="102"/>
      <c r="E5539" s="103" t="str">
        <f aca="false">IF($C5539="","",IFERROR(INDEX(المنيو!$C$2:$C$500,MATCH($C5539,المنيو!$B$2:$B$500,0)),0))</f>
        <v/>
      </c>
      <c r="F5539" s="103" t="str">
        <f aca="false">IF($C5539="","",$D5539*$E5539)</f>
        <v/>
      </c>
      <c r="G5539" s="103" t="str">
        <f aca="false">IF($C5539="","",$D5539*IFERROR(INDEX('تحليل التكلفة والسعر'!$C$2:$C$700,MATCH($C5539,'تحليل التكلفة والسعر'!$B$2:$B$700,0)),0))</f>
        <v/>
      </c>
    </row>
    <row r="5540" customFormat="false" ht="15" hidden="false" customHeight="false" outlineLevel="0" collapsed="false">
      <c r="A5540" s="102"/>
      <c r="E5540" s="103" t="str">
        <f aca="false">IF($C5540="","",IFERROR(INDEX(المنيو!$C$2:$C$500,MATCH($C5540,المنيو!$B$2:$B$500,0)),0))</f>
        <v/>
      </c>
      <c r="F5540" s="103" t="str">
        <f aca="false">IF($C5540="","",$D5540*$E5540)</f>
        <v/>
      </c>
      <c r="G5540" s="103" t="str">
        <f aca="false">IF($C5540="","",$D5540*IFERROR(INDEX('تحليل التكلفة والسعر'!$C$2:$C$700,MATCH($C5540,'تحليل التكلفة والسعر'!$B$2:$B$700,0)),0))</f>
        <v/>
      </c>
    </row>
    <row r="5541" customFormat="false" ht="15" hidden="false" customHeight="false" outlineLevel="0" collapsed="false">
      <c r="A5541" s="102"/>
      <c r="E5541" s="103" t="str">
        <f aca="false">IF($C5541="","",IFERROR(INDEX(المنيو!$C$2:$C$500,MATCH($C5541,المنيو!$B$2:$B$500,0)),0))</f>
        <v/>
      </c>
      <c r="F5541" s="103" t="str">
        <f aca="false">IF($C5541="","",$D5541*$E5541)</f>
        <v/>
      </c>
      <c r="G5541" s="103" t="str">
        <f aca="false">IF($C5541="","",$D5541*IFERROR(INDEX('تحليل التكلفة والسعر'!$C$2:$C$700,MATCH($C5541,'تحليل التكلفة والسعر'!$B$2:$B$700,0)),0))</f>
        <v/>
      </c>
    </row>
    <row r="5542" customFormat="false" ht="15" hidden="false" customHeight="false" outlineLevel="0" collapsed="false">
      <c r="A5542" s="102"/>
      <c r="E5542" s="103" t="str">
        <f aca="false">IF($C5542="","",IFERROR(INDEX(المنيو!$C$2:$C$500,MATCH($C5542,المنيو!$B$2:$B$500,0)),0))</f>
        <v/>
      </c>
      <c r="F5542" s="103" t="str">
        <f aca="false">IF($C5542="","",$D5542*$E5542)</f>
        <v/>
      </c>
      <c r="G5542" s="103" t="str">
        <f aca="false">IF($C5542="","",$D5542*IFERROR(INDEX('تحليل التكلفة والسعر'!$C$2:$C$700,MATCH($C5542,'تحليل التكلفة والسعر'!$B$2:$B$700,0)),0))</f>
        <v/>
      </c>
    </row>
    <row r="5543" customFormat="false" ht="15" hidden="false" customHeight="false" outlineLevel="0" collapsed="false">
      <c r="A5543" s="102"/>
      <c r="E5543" s="103" t="str">
        <f aca="false">IF($C5543="","",IFERROR(INDEX(المنيو!$C$2:$C$500,MATCH($C5543,المنيو!$B$2:$B$500,0)),0))</f>
        <v/>
      </c>
      <c r="F5543" s="103" t="str">
        <f aca="false">IF($C5543="","",$D5543*$E5543)</f>
        <v/>
      </c>
      <c r="G5543" s="103" t="str">
        <f aca="false">IF($C5543="","",$D5543*IFERROR(INDEX('تحليل التكلفة والسعر'!$C$2:$C$700,MATCH($C5543,'تحليل التكلفة والسعر'!$B$2:$B$700,0)),0))</f>
        <v/>
      </c>
    </row>
    <row r="5544" customFormat="false" ht="15" hidden="false" customHeight="false" outlineLevel="0" collapsed="false">
      <c r="A5544" s="102"/>
      <c r="E5544" s="103" t="str">
        <f aca="false">IF($C5544="","",IFERROR(INDEX(المنيو!$C$2:$C$500,MATCH($C5544,المنيو!$B$2:$B$500,0)),0))</f>
        <v/>
      </c>
      <c r="F5544" s="103" t="str">
        <f aca="false">IF($C5544="","",$D5544*$E5544)</f>
        <v/>
      </c>
      <c r="G5544" s="103" t="str">
        <f aca="false">IF($C5544="","",$D5544*IFERROR(INDEX('تحليل التكلفة والسعر'!$C$2:$C$700,MATCH($C5544,'تحليل التكلفة والسعر'!$B$2:$B$700,0)),0))</f>
        <v/>
      </c>
    </row>
    <row r="5545" customFormat="false" ht="15" hidden="false" customHeight="false" outlineLevel="0" collapsed="false">
      <c r="A5545" s="102"/>
      <c r="E5545" s="103" t="str">
        <f aca="false">IF($C5545="","",IFERROR(INDEX(المنيو!$C$2:$C$500,MATCH($C5545,المنيو!$B$2:$B$500,0)),0))</f>
        <v/>
      </c>
      <c r="F5545" s="103" t="str">
        <f aca="false">IF($C5545="","",$D5545*$E5545)</f>
        <v/>
      </c>
      <c r="G5545" s="103" t="str">
        <f aca="false">IF($C5545="","",$D5545*IFERROR(INDEX('تحليل التكلفة والسعر'!$C$2:$C$700,MATCH($C5545,'تحليل التكلفة والسعر'!$B$2:$B$700,0)),0))</f>
        <v/>
      </c>
    </row>
    <row r="5546" customFormat="false" ht="15" hidden="false" customHeight="false" outlineLevel="0" collapsed="false">
      <c r="A5546" s="102"/>
      <c r="E5546" s="103" t="str">
        <f aca="false">IF($C5546="","",IFERROR(INDEX(المنيو!$C$2:$C$500,MATCH($C5546,المنيو!$B$2:$B$500,0)),0))</f>
        <v/>
      </c>
      <c r="F5546" s="103" t="str">
        <f aca="false">IF($C5546="","",$D5546*$E5546)</f>
        <v/>
      </c>
      <c r="G5546" s="103" t="str">
        <f aca="false">IF($C5546="","",$D5546*IFERROR(INDEX('تحليل التكلفة والسعر'!$C$2:$C$700,MATCH($C5546,'تحليل التكلفة والسعر'!$B$2:$B$700,0)),0))</f>
        <v/>
      </c>
    </row>
    <row r="5547" customFormat="false" ht="15" hidden="false" customHeight="false" outlineLevel="0" collapsed="false">
      <c r="A5547" s="102"/>
      <c r="E5547" s="103" t="str">
        <f aca="false">IF($C5547="","",IFERROR(INDEX(المنيو!$C$2:$C$500,MATCH($C5547,المنيو!$B$2:$B$500,0)),0))</f>
        <v/>
      </c>
      <c r="F5547" s="103" t="str">
        <f aca="false">IF($C5547="","",$D5547*$E5547)</f>
        <v/>
      </c>
      <c r="G5547" s="103" t="str">
        <f aca="false">IF($C5547="","",$D5547*IFERROR(INDEX('تحليل التكلفة والسعر'!$C$2:$C$700,MATCH($C5547,'تحليل التكلفة والسعر'!$B$2:$B$700,0)),0))</f>
        <v/>
      </c>
    </row>
    <row r="5548" customFormat="false" ht="15" hidden="false" customHeight="false" outlineLevel="0" collapsed="false">
      <c r="A5548" s="102"/>
      <c r="E5548" s="103" t="str">
        <f aca="false">IF($C5548="","",IFERROR(INDEX(المنيو!$C$2:$C$500,MATCH($C5548,المنيو!$B$2:$B$500,0)),0))</f>
        <v/>
      </c>
      <c r="F5548" s="103" t="str">
        <f aca="false">IF($C5548="","",$D5548*$E5548)</f>
        <v/>
      </c>
      <c r="G5548" s="103" t="str">
        <f aca="false">IF($C5548="","",$D5548*IFERROR(INDEX('تحليل التكلفة والسعر'!$C$2:$C$700,MATCH($C5548,'تحليل التكلفة والسعر'!$B$2:$B$700,0)),0))</f>
        <v/>
      </c>
    </row>
    <row r="5549" customFormat="false" ht="15" hidden="false" customHeight="false" outlineLevel="0" collapsed="false">
      <c r="A5549" s="102"/>
      <c r="E5549" s="103" t="str">
        <f aca="false">IF($C5549="","",IFERROR(INDEX(المنيو!$C$2:$C$500,MATCH($C5549,المنيو!$B$2:$B$500,0)),0))</f>
        <v/>
      </c>
      <c r="F5549" s="103" t="str">
        <f aca="false">IF($C5549="","",$D5549*$E5549)</f>
        <v/>
      </c>
      <c r="G5549" s="103" t="str">
        <f aca="false">IF($C5549="","",$D5549*IFERROR(INDEX('تحليل التكلفة والسعر'!$C$2:$C$700,MATCH($C5549,'تحليل التكلفة والسعر'!$B$2:$B$700,0)),0))</f>
        <v/>
      </c>
    </row>
    <row r="5550" customFormat="false" ht="15" hidden="false" customHeight="false" outlineLevel="0" collapsed="false">
      <c r="A5550" s="102"/>
      <c r="E5550" s="103" t="str">
        <f aca="false">IF($C5550="","",IFERROR(INDEX(المنيو!$C$2:$C$500,MATCH($C5550,المنيو!$B$2:$B$500,0)),0))</f>
        <v/>
      </c>
      <c r="F5550" s="103" t="str">
        <f aca="false">IF($C5550="","",$D5550*$E5550)</f>
        <v/>
      </c>
      <c r="G5550" s="103" t="str">
        <f aca="false">IF($C5550="","",$D5550*IFERROR(INDEX('تحليل التكلفة والسعر'!$C$2:$C$700,MATCH($C5550,'تحليل التكلفة والسعر'!$B$2:$B$700,0)),0))</f>
        <v/>
      </c>
    </row>
    <row r="5551" customFormat="false" ht="15" hidden="false" customHeight="false" outlineLevel="0" collapsed="false">
      <c r="A5551" s="102"/>
      <c r="E5551" s="103" t="str">
        <f aca="false">IF($C5551="","",IFERROR(INDEX(المنيو!$C$2:$C$500,MATCH($C5551,المنيو!$B$2:$B$500,0)),0))</f>
        <v/>
      </c>
      <c r="F5551" s="103" t="str">
        <f aca="false">IF($C5551="","",$D5551*$E5551)</f>
        <v/>
      </c>
      <c r="G5551" s="103" t="str">
        <f aca="false">IF($C5551="","",$D5551*IFERROR(INDEX('تحليل التكلفة والسعر'!$C$2:$C$700,MATCH($C5551,'تحليل التكلفة والسعر'!$B$2:$B$700,0)),0))</f>
        <v/>
      </c>
    </row>
    <row r="5552" customFormat="false" ht="15" hidden="false" customHeight="false" outlineLevel="0" collapsed="false">
      <c r="A5552" s="102"/>
      <c r="E5552" s="103" t="str">
        <f aca="false">IF($C5552="","",IFERROR(INDEX(المنيو!$C$2:$C$500,MATCH($C5552,المنيو!$B$2:$B$500,0)),0))</f>
        <v/>
      </c>
      <c r="F5552" s="103" t="str">
        <f aca="false">IF($C5552="","",$D5552*$E5552)</f>
        <v/>
      </c>
      <c r="G5552" s="103" t="str">
        <f aca="false">IF($C5552="","",$D5552*IFERROR(INDEX('تحليل التكلفة والسعر'!$C$2:$C$700,MATCH($C5552,'تحليل التكلفة والسعر'!$B$2:$B$700,0)),0))</f>
        <v/>
      </c>
    </row>
    <row r="5553" customFormat="false" ht="15" hidden="false" customHeight="false" outlineLevel="0" collapsed="false">
      <c r="A5553" s="102"/>
      <c r="E5553" s="103" t="str">
        <f aca="false">IF($C5553="","",IFERROR(INDEX(المنيو!$C$2:$C$500,MATCH($C5553,المنيو!$B$2:$B$500,0)),0))</f>
        <v/>
      </c>
      <c r="F5553" s="103" t="str">
        <f aca="false">IF($C5553="","",$D5553*$E5553)</f>
        <v/>
      </c>
      <c r="G5553" s="103" t="str">
        <f aca="false">IF($C5553="","",$D5553*IFERROR(INDEX('تحليل التكلفة والسعر'!$C$2:$C$700,MATCH($C5553,'تحليل التكلفة والسعر'!$B$2:$B$700,0)),0))</f>
        <v/>
      </c>
    </row>
    <row r="5554" customFormat="false" ht="15" hidden="false" customHeight="false" outlineLevel="0" collapsed="false">
      <c r="A5554" s="102"/>
      <c r="E5554" s="103" t="str">
        <f aca="false">IF($C5554="","",IFERROR(INDEX(المنيو!$C$2:$C$500,MATCH($C5554,المنيو!$B$2:$B$500,0)),0))</f>
        <v/>
      </c>
      <c r="F5554" s="103" t="str">
        <f aca="false">IF($C5554="","",$D5554*$E5554)</f>
        <v/>
      </c>
      <c r="G5554" s="103" t="str">
        <f aca="false">IF($C5554="","",$D5554*IFERROR(INDEX('تحليل التكلفة والسعر'!$C$2:$C$700,MATCH($C5554,'تحليل التكلفة والسعر'!$B$2:$B$700,0)),0))</f>
        <v/>
      </c>
    </row>
    <row r="5555" customFormat="false" ht="15" hidden="false" customHeight="false" outlineLevel="0" collapsed="false">
      <c r="A5555" s="102"/>
      <c r="E5555" s="103" t="str">
        <f aca="false">IF($C5555="","",IFERROR(INDEX(المنيو!$C$2:$C$500,MATCH($C5555,المنيو!$B$2:$B$500,0)),0))</f>
        <v/>
      </c>
      <c r="F5555" s="103" t="str">
        <f aca="false">IF($C5555="","",$D5555*$E5555)</f>
        <v/>
      </c>
      <c r="G5555" s="103" t="str">
        <f aca="false">IF($C5555="","",$D5555*IFERROR(INDEX('تحليل التكلفة والسعر'!$C$2:$C$700,MATCH($C5555,'تحليل التكلفة والسعر'!$B$2:$B$700,0)),0))</f>
        <v/>
      </c>
    </row>
    <row r="5556" customFormat="false" ht="15" hidden="false" customHeight="false" outlineLevel="0" collapsed="false">
      <c r="A5556" s="102"/>
      <c r="E5556" s="103" t="str">
        <f aca="false">IF($C5556="","",IFERROR(INDEX(المنيو!$C$2:$C$500,MATCH($C5556,المنيو!$B$2:$B$500,0)),0))</f>
        <v/>
      </c>
      <c r="F5556" s="103" t="str">
        <f aca="false">IF($C5556="","",$D5556*$E5556)</f>
        <v/>
      </c>
      <c r="G5556" s="103" t="str">
        <f aca="false">IF($C5556="","",$D5556*IFERROR(INDEX('تحليل التكلفة والسعر'!$C$2:$C$700,MATCH($C5556,'تحليل التكلفة والسعر'!$B$2:$B$700,0)),0))</f>
        <v/>
      </c>
    </row>
    <row r="5557" customFormat="false" ht="15" hidden="false" customHeight="false" outlineLevel="0" collapsed="false">
      <c r="A5557" s="102"/>
      <c r="E5557" s="103" t="str">
        <f aca="false">IF($C5557="","",IFERROR(INDEX(المنيو!$C$2:$C$500,MATCH($C5557,المنيو!$B$2:$B$500,0)),0))</f>
        <v/>
      </c>
      <c r="F5557" s="103" t="str">
        <f aca="false">IF($C5557="","",$D5557*$E5557)</f>
        <v/>
      </c>
      <c r="G5557" s="103" t="str">
        <f aca="false">IF($C5557="","",$D5557*IFERROR(INDEX('تحليل التكلفة والسعر'!$C$2:$C$700,MATCH($C5557,'تحليل التكلفة والسعر'!$B$2:$B$700,0)),0))</f>
        <v/>
      </c>
    </row>
    <row r="5558" customFormat="false" ht="15" hidden="false" customHeight="false" outlineLevel="0" collapsed="false">
      <c r="A5558" s="102"/>
      <c r="E5558" s="103" t="str">
        <f aca="false">IF($C5558="","",IFERROR(INDEX(المنيو!$C$2:$C$500,MATCH($C5558,المنيو!$B$2:$B$500,0)),0))</f>
        <v/>
      </c>
      <c r="F5558" s="103" t="str">
        <f aca="false">IF($C5558="","",$D5558*$E5558)</f>
        <v/>
      </c>
      <c r="G5558" s="103" t="str">
        <f aca="false">IF($C5558="","",$D5558*IFERROR(INDEX('تحليل التكلفة والسعر'!$C$2:$C$700,MATCH($C5558,'تحليل التكلفة والسعر'!$B$2:$B$700,0)),0))</f>
        <v/>
      </c>
    </row>
    <row r="5559" customFormat="false" ht="15" hidden="false" customHeight="false" outlineLevel="0" collapsed="false">
      <c r="A5559" s="102"/>
      <c r="E5559" s="103" t="str">
        <f aca="false">IF($C5559="","",IFERROR(INDEX(المنيو!$C$2:$C$500,MATCH($C5559,المنيو!$B$2:$B$500,0)),0))</f>
        <v/>
      </c>
      <c r="F5559" s="103" t="str">
        <f aca="false">IF($C5559="","",$D5559*$E5559)</f>
        <v/>
      </c>
      <c r="G5559" s="103" t="str">
        <f aca="false">IF($C5559="","",$D5559*IFERROR(INDEX('تحليل التكلفة والسعر'!$C$2:$C$700,MATCH($C5559,'تحليل التكلفة والسعر'!$B$2:$B$700,0)),0))</f>
        <v/>
      </c>
    </row>
    <row r="5560" customFormat="false" ht="15" hidden="false" customHeight="false" outlineLevel="0" collapsed="false">
      <c r="A5560" s="102"/>
      <c r="E5560" s="103" t="str">
        <f aca="false">IF($C5560="","",IFERROR(INDEX(المنيو!$C$2:$C$500,MATCH($C5560,المنيو!$B$2:$B$500,0)),0))</f>
        <v/>
      </c>
      <c r="F5560" s="103" t="str">
        <f aca="false">IF($C5560="","",$D5560*$E5560)</f>
        <v/>
      </c>
      <c r="G5560" s="103" t="str">
        <f aca="false">IF($C5560="","",$D5560*IFERROR(INDEX('تحليل التكلفة والسعر'!$C$2:$C$700,MATCH($C5560,'تحليل التكلفة والسعر'!$B$2:$B$700,0)),0))</f>
        <v/>
      </c>
    </row>
    <row r="5561" customFormat="false" ht="15" hidden="false" customHeight="false" outlineLevel="0" collapsed="false">
      <c r="A5561" s="102"/>
      <c r="E5561" s="103" t="str">
        <f aca="false">IF($C5561="","",IFERROR(INDEX(المنيو!$C$2:$C$500,MATCH($C5561,المنيو!$B$2:$B$500,0)),0))</f>
        <v/>
      </c>
      <c r="F5561" s="103" t="str">
        <f aca="false">IF($C5561="","",$D5561*$E5561)</f>
        <v/>
      </c>
      <c r="G5561" s="103" t="str">
        <f aca="false">IF($C5561="","",$D5561*IFERROR(INDEX('تحليل التكلفة والسعر'!$C$2:$C$700,MATCH($C5561,'تحليل التكلفة والسعر'!$B$2:$B$700,0)),0))</f>
        <v/>
      </c>
    </row>
    <row r="5562" customFormat="false" ht="15" hidden="false" customHeight="false" outlineLevel="0" collapsed="false">
      <c r="A5562" s="102"/>
      <c r="E5562" s="103" t="str">
        <f aca="false">IF($C5562="","",IFERROR(INDEX(المنيو!$C$2:$C$500,MATCH($C5562,المنيو!$B$2:$B$500,0)),0))</f>
        <v/>
      </c>
      <c r="F5562" s="103" t="str">
        <f aca="false">IF($C5562="","",$D5562*$E5562)</f>
        <v/>
      </c>
      <c r="G5562" s="103" t="str">
        <f aca="false">IF($C5562="","",$D5562*IFERROR(INDEX('تحليل التكلفة والسعر'!$C$2:$C$700,MATCH($C5562,'تحليل التكلفة والسعر'!$B$2:$B$700,0)),0))</f>
        <v/>
      </c>
    </row>
    <row r="5563" customFormat="false" ht="15" hidden="false" customHeight="false" outlineLevel="0" collapsed="false">
      <c r="A5563" s="102"/>
      <c r="E5563" s="103" t="str">
        <f aca="false">IF($C5563="","",IFERROR(INDEX(المنيو!$C$2:$C$500,MATCH($C5563,المنيو!$B$2:$B$500,0)),0))</f>
        <v/>
      </c>
      <c r="F5563" s="103" t="str">
        <f aca="false">IF($C5563="","",$D5563*$E5563)</f>
        <v/>
      </c>
      <c r="G5563" s="103" t="str">
        <f aca="false">IF($C5563="","",$D5563*IFERROR(INDEX('تحليل التكلفة والسعر'!$C$2:$C$700,MATCH($C5563,'تحليل التكلفة والسعر'!$B$2:$B$700,0)),0))</f>
        <v/>
      </c>
    </row>
    <row r="5564" customFormat="false" ht="15" hidden="false" customHeight="false" outlineLevel="0" collapsed="false">
      <c r="A5564" s="102"/>
      <c r="E5564" s="103" t="str">
        <f aca="false">IF($C5564="","",IFERROR(INDEX(المنيو!$C$2:$C$500,MATCH($C5564,المنيو!$B$2:$B$500,0)),0))</f>
        <v/>
      </c>
      <c r="F5564" s="103" t="str">
        <f aca="false">IF($C5564="","",$D5564*$E5564)</f>
        <v/>
      </c>
      <c r="G5564" s="103" t="str">
        <f aca="false">IF($C5564="","",$D5564*IFERROR(INDEX('تحليل التكلفة والسعر'!$C$2:$C$700,MATCH($C5564,'تحليل التكلفة والسعر'!$B$2:$B$700,0)),0))</f>
        <v/>
      </c>
    </row>
    <row r="5565" customFormat="false" ht="15" hidden="false" customHeight="false" outlineLevel="0" collapsed="false">
      <c r="A5565" s="102"/>
      <c r="E5565" s="103" t="str">
        <f aca="false">IF($C5565="","",IFERROR(INDEX(المنيو!$C$2:$C$500,MATCH($C5565,المنيو!$B$2:$B$500,0)),0))</f>
        <v/>
      </c>
      <c r="F5565" s="103" t="str">
        <f aca="false">IF($C5565="","",$D5565*$E5565)</f>
        <v/>
      </c>
      <c r="G5565" s="103" t="str">
        <f aca="false">IF($C5565="","",$D5565*IFERROR(INDEX('تحليل التكلفة والسعر'!$C$2:$C$700,MATCH($C5565,'تحليل التكلفة والسعر'!$B$2:$B$700,0)),0))</f>
        <v/>
      </c>
    </row>
    <row r="5566" customFormat="false" ht="15" hidden="false" customHeight="false" outlineLevel="0" collapsed="false">
      <c r="A5566" s="102"/>
      <c r="E5566" s="103" t="str">
        <f aca="false">IF($C5566="","",IFERROR(INDEX(المنيو!$C$2:$C$500,MATCH($C5566,المنيو!$B$2:$B$500,0)),0))</f>
        <v/>
      </c>
      <c r="F5566" s="103" t="str">
        <f aca="false">IF($C5566="","",$D5566*$E5566)</f>
        <v/>
      </c>
      <c r="G5566" s="103" t="str">
        <f aca="false">IF($C5566="","",$D5566*IFERROR(INDEX('تحليل التكلفة والسعر'!$C$2:$C$700,MATCH($C5566,'تحليل التكلفة والسعر'!$B$2:$B$700,0)),0))</f>
        <v/>
      </c>
    </row>
    <row r="5567" customFormat="false" ht="15" hidden="false" customHeight="false" outlineLevel="0" collapsed="false">
      <c r="A5567" s="102"/>
      <c r="E5567" s="103" t="str">
        <f aca="false">IF($C5567="","",IFERROR(INDEX(المنيو!$C$2:$C$500,MATCH($C5567,المنيو!$B$2:$B$500,0)),0))</f>
        <v/>
      </c>
      <c r="F5567" s="103" t="str">
        <f aca="false">IF($C5567="","",$D5567*$E5567)</f>
        <v/>
      </c>
      <c r="G5567" s="103" t="str">
        <f aca="false">IF($C5567="","",$D5567*IFERROR(INDEX('تحليل التكلفة والسعر'!$C$2:$C$700,MATCH($C5567,'تحليل التكلفة والسعر'!$B$2:$B$700,0)),0))</f>
        <v/>
      </c>
    </row>
    <row r="5568" customFormat="false" ht="15" hidden="false" customHeight="false" outlineLevel="0" collapsed="false">
      <c r="A5568" s="102"/>
      <c r="E5568" s="103" t="str">
        <f aca="false">IF($C5568="","",IFERROR(INDEX(المنيو!$C$2:$C$500,MATCH($C5568,المنيو!$B$2:$B$500,0)),0))</f>
        <v/>
      </c>
      <c r="F5568" s="103" t="str">
        <f aca="false">IF($C5568="","",$D5568*$E5568)</f>
        <v/>
      </c>
      <c r="G5568" s="103" t="str">
        <f aca="false">IF($C5568="","",$D5568*IFERROR(INDEX('تحليل التكلفة والسعر'!$C$2:$C$700,MATCH($C5568,'تحليل التكلفة والسعر'!$B$2:$B$700,0)),0))</f>
        <v/>
      </c>
    </row>
    <row r="5569" customFormat="false" ht="15" hidden="false" customHeight="false" outlineLevel="0" collapsed="false">
      <c r="A5569" s="102"/>
      <c r="E5569" s="103" t="str">
        <f aca="false">IF($C5569="","",IFERROR(INDEX(المنيو!$C$2:$C$500,MATCH($C5569,المنيو!$B$2:$B$500,0)),0))</f>
        <v/>
      </c>
      <c r="F5569" s="103" t="str">
        <f aca="false">IF($C5569="","",$D5569*$E5569)</f>
        <v/>
      </c>
      <c r="G5569" s="103" t="str">
        <f aca="false">IF($C5569="","",$D5569*IFERROR(INDEX('تحليل التكلفة والسعر'!$C$2:$C$700,MATCH($C5569,'تحليل التكلفة والسعر'!$B$2:$B$700,0)),0))</f>
        <v/>
      </c>
    </row>
    <row r="5570" customFormat="false" ht="15" hidden="false" customHeight="false" outlineLevel="0" collapsed="false">
      <c r="A5570" s="102"/>
      <c r="E5570" s="103" t="str">
        <f aca="false">IF($C5570="","",IFERROR(INDEX(المنيو!$C$2:$C$500,MATCH($C5570,المنيو!$B$2:$B$500,0)),0))</f>
        <v/>
      </c>
      <c r="F5570" s="103" t="str">
        <f aca="false">IF($C5570="","",$D5570*$E5570)</f>
        <v/>
      </c>
      <c r="G5570" s="103" t="str">
        <f aca="false">IF($C5570="","",$D5570*IFERROR(INDEX('تحليل التكلفة والسعر'!$C$2:$C$700,MATCH($C5570,'تحليل التكلفة والسعر'!$B$2:$B$700,0)),0))</f>
        <v/>
      </c>
    </row>
    <row r="5571" customFormat="false" ht="15" hidden="false" customHeight="false" outlineLevel="0" collapsed="false">
      <c r="A5571" s="102"/>
      <c r="E5571" s="103" t="str">
        <f aca="false">IF($C5571="","",IFERROR(INDEX(المنيو!$C$2:$C$500,MATCH($C5571,المنيو!$B$2:$B$500,0)),0))</f>
        <v/>
      </c>
      <c r="F5571" s="103" t="str">
        <f aca="false">IF($C5571="","",$D5571*$E5571)</f>
        <v/>
      </c>
      <c r="G5571" s="103" t="str">
        <f aca="false">IF($C5571="","",$D5571*IFERROR(INDEX('تحليل التكلفة والسعر'!$C$2:$C$700,MATCH($C5571,'تحليل التكلفة والسعر'!$B$2:$B$700,0)),0))</f>
        <v/>
      </c>
    </row>
    <row r="5572" customFormat="false" ht="15" hidden="false" customHeight="false" outlineLevel="0" collapsed="false">
      <c r="A5572" s="102"/>
      <c r="E5572" s="103" t="str">
        <f aca="false">IF($C5572="","",IFERROR(INDEX(المنيو!$C$2:$C$500,MATCH($C5572,المنيو!$B$2:$B$500,0)),0))</f>
        <v/>
      </c>
      <c r="F5572" s="103" t="str">
        <f aca="false">IF($C5572="","",$D5572*$E5572)</f>
        <v/>
      </c>
      <c r="G5572" s="103" t="str">
        <f aca="false">IF($C5572="","",$D5572*IFERROR(INDEX('تحليل التكلفة والسعر'!$C$2:$C$700,MATCH($C5572,'تحليل التكلفة والسعر'!$B$2:$B$700,0)),0))</f>
        <v/>
      </c>
    </row>
    <row r="5573" customFormat="false" ht="15" hidden="false" customHeight="false" outlineLevel="0" collapsed="false">
      <c r="A5573" s="102"/>
      <c r="E5573" s="103" t="str">
        <f aca="false">IF($C5573="","",IFERROR(INDEX(المنيو!$C$2:$C$500,MATCH($C5573,المنيو!$B$2:$B$500,0)),0))</f>
        <v/>
      </c>
      <c r="F5573" s="103" t="str">
        <f aca="false">IF($C5573="","",$D5573*$E5573)</f>
        <v/>
      </c>
      <c r="G5573" s="103" t="str">
        <f aca="false">IF($C5573="","",$D5573*IFERROR(INDEX('تحليل التكلفة والسعر'!$C$2:$C$700,MATCH($C5573,'تحليل التكلفة والسعر'!$B$2:$B$700,0)),0))</f>
        <v/>
      </c>
    </row>
    <row r="5574" customFormat="false" ht="15" hidden="false" customHeight="false" outlineLevel="0" collapsed="false">
      <c r="A5574" s="102"/>
      <c r="E5574" s="103" t="str">
        <f aca="false">IF($C5574="","",IFERROR(INDEX(المنيو!$C$2:$C$500,MATCH($C5574,المنيو!$B$2:$B$500,0)),0))</f>
        <v/>
      </c>
      <c r="F5574" s="103" t="str">
        <f aca="false">IF($C5574="","",$D5574*$E5574)</f>
        <v/>
      </c>
      <c r="G5574" s="103" t="str">
        <f aca="false">IF($C5574="","",$D5574*IFERROR(INDEX('تحليل التكلفة والسعر'!$C$2:$C$700,MATCH($C5574,'تحليل التكلفة والسعر'!$B$2:$B$700,0)),0))</f>
        <v/>
      </c>
    </row>
    <row r="5575" customFormat="false" ht="15" hidden="false" customHeight="false" outlineLevel="0" collapsed="false">
      <c r="A5575" s="102"/>
      <c r="E5575" s="103" t="str">
        <f aca="false">IF($C5575="","",IFERROR(INDEX(المنيو!$C$2:$C$500,MATCH($C5575,المنيو!$B$2:$B$500,0)),0))</f>
        <v/>
      </c>
      <c r="F5575" s="103" t="str">
        <f aca="false">IF($C5575="","",$D5575*$E5575)</f>
        <v/>
      </c>
      <c r="G5575" s="103" t="str">
        <f aca="false">IF($C5575="","",$D5575*IFERROR(INDEX('تحليل التكلفة والسعر'!$C$2:$C$700,MATCH($C5575,'تحليل التكلفة والسعر'!$B$2:$B$700,0)),0))</f>
        <v/>
      </c>
    </row>
    <row r="5576" customFormat="false" ht="15" hidden="false" customHeight="false" outlineLevel="0" collapsed="false">
      <c r="A5576" s="102"/>
      <c r="E5576" s="103" t="str">
        <f aca="false">IF($C5576="","",IFERROR(INDEX(المنيو!$C$2:$C$500,MATCH($C5576,المنيو!$B$2:$B$500,0)),0))</f>
        <v/>
      </c>
      <c r="F5576" s="103" t="str">
        <f aca="false">IF($C5576="","",$D5576*$E5576)</f>
        <v/>
      </c>
      <c r="G5576" s="103" t="str">
        <f aca="false">IF($C5576="","",$D5576*IFERROR(INDEX('تحليل التكلفة والسعر'!$C$2:$C$700,MATCH($C5576,'تحليل التكلفة والسعر'!$B$2:$B$700,0)),0))</f>
        <v/>
      </c>
    </row>
    <row r="5577" customFormat="false" ht="15" hidden="false" customHeight="false" outlineLevel="0" collapsed="false">
      <c r="A5577" s="102"/>
      <c r="E5577" s="103" t="str">
        <f aca="false">IF($C5577="","",IFERROR(INDEX(المنيو!$C$2:$C$500,MATCH($C5577,المنيو!$B$2:$B$500,0)),0))</f>
        <v/>
      </c>
      <c r="F5577" s="103" t="str">
        <f aca="false">IF($C5577="","",$D5577*$E5577)</f>
        <v/>
      </c>
      <c r="G5577" s="103" t="str">
        <f aca="false">IF($C5577="","",$D5577*IFERROR(INDEX('تحليل التكلفة والسعر'!$C$2:$C$700,MATCH($C5577,'تحليل التكلفة والسعر'!$B$2:$B$700,0)),0))</f>
        <v/>
      </c>
    </row>
    <row r="5578" customFormat="false" ht="15" hidden="false" customHeight="false" outlineLevel="0" collapsed="false">
      <c r="A5578" s="102"/>
      <c r="E5578" s="103" t="str">
        <f aca="false">IF($C5578="","",IFERROR(INDEX(المنيو!$C$2:$C$500,MATCH($C5578,المنيو!$B$2:$B$500,0)),0))</f>
        <v/>
      </c>
      <c r="F5578" s="103" t="str">
        <f aca="false">IF($C5578="","",$D5578*$E5578)</f>
        <v/>
      </c>
      <c r="G5578" s="103" t="str">
        <f aca="false">IF($C5578="","",$D5578*IFERROR(INDEX('تحليل التكلفة والسعر'!$C$2:$C$700,MATCH($C5578,'تحليل التكلفة والسعر'!$B$2:$B$700,0)),0))</f>
        <v/>
      </c>
    </row>
    <row r="5579" customFormat="false" ht="15" hidden="false" customHeight="false" outlineLevel="0" collapsed="false">
      <c r="A5579" s="102"/>
      <c r="E5579" s="103" t="str">
        <f aca="false">IF($C5579="","",IFERROR(INDEX(المنيو!$C$2:$C$500,MATCH($C5579,المنيو!$B$2:$B$500,0)),0))</f>
        <v/>
      </c>
      <c r="F5579" s="103" t="str">
        <f aca="false">IF($C5579="","",$D5579*$E5579)</f>
        <v/>
      </c>
      <c r="G5579" s="103" t="str">
        <f aca="false">IF($C5579="","",$D5579*IFERROR(INDEX('تحليل التكلفة والسعر'!$C$2:$C$700,MATCH($C5579,'تحليل التكلفة والسعر'!$B$2:$B$700,0)),0))</f>
        <v/>
      </c>
    </row>
    <row r="5580" customFormat="false" ht="15" hidden="false" customHeight="false" outlineLevel="0" collapsed="false">
      <c r="A5580" s="102"/>
      <c r="E5580" s="103" t="str">
        <f aca="false">IF($C5580="","",IFERROR(INDEX(المنيو!$C$2:$C$500,MATCH($C5580,المنيو!$B$2:$B$500,0)),0))</f>
        <v/>
      </c>
      <c r="F5580" s="103" t="str">
        <f aca="false">IF($C5580="","",$D5580*$E5580)</f>
        <v/>
      </c>
      <c r="G5580" s="103" t="str">
        <f aca="false">IF($C5580="","",$D5580*IFERROR(INDEX('تحليل التكلفة والسعر'!$C$2:$C$700,MATCH($C5580,'تحليل التكلفة والسعر'!$B$2:$B$700,0)),0))</f>
        <v/>
      </c>
    </row>
    <row r="5581" customFormat="false" ht="15" hidden="false" customHeight="false" outlineLevel="0" collapsed="false">
      <c r="A5581" s="102"/>
      <c r="E5581" s="103" t="str">
        <f aca="false">IF($C5581="","",IFERROR(INDEX(المنيو!$C$2:$C$500,MATCH($C5581,المنيو!$B$2:$B$500,0)),0))</f>
        <v/>
      </c>
      <c r="F5581" s="103" t="str">
        <f aca="false">IF($C5581="","",$D5581*$E5581)</f>
        <v/>
      </c>
      <c r="G5581" s="103" t="str">
        <f aca="false">IF($C5581="","",$D5581*IFERROR(INDEX('تحليل التكلفة والسعر'!$C$2:$C$700,MATCH($C5581,'تحليل التكلفة والسعر'!$B$2:$B$700,0)),0))</f>
        <v/>
      </c>
    </row>
    <row r="5582" customFormat="false" ht="15" hidden="false" customHeight="false" outlineLevel="0" collapsed="false">
      <c r="A5582" s="102"/>
      <c r="E5582" s="103" t="str">
        <f aca="false">IF($C5582="","",IFERROR(INDEX(المنيو!$C$2:$C$500,MATCH($C5582,المنيو!$B$2:$B$500,0)),0))</f>
        <v/>
      </c>
      <c r="F5582" s="103" t="str">
        <f aca="false">IF($C5582="","",$D5582*$E5582)</f>
        <v/>
      </c>
      <c r="G5582" s="103" t="str">
        <f aca="false">IF($C5582="","",$D5582*IFERROR(INDEX('تحليل التكلفة والسعر'!$C$2:$C$700,MATCH($C5582,'تحليل التكلفة والسعر'!$B$2:$B$700,0)),0))</f>
        <v/>
      </c>
    </row>
    <row r="5583" customFormat="false" ht="15" hidden="false" customHeight="false" outlineLevel="0" collapsed="false">
      <c r="A5583" s="102"/>
      <c r="E5583" s="103" t="str">
        <f aca="false">IF($C5583="","",IFERROR(INDEX(المنيو!$C$2:$C$500,MATCH($C5583,المنيو!$B$2:$B$500,0)),0))</f>
        <v/>
      </c>
      <c r="F5583" s="103" t="str">
        <f aca="false">IF($C5583="","",$D5583*$E5583)</f>
        <v/>
      </c>
      <c r="G5583" s="103" t="str">
        <f aca="false">IF($C5583="","",$D5583*IFERROR(INDEX('تحليل التكلفة والسعر'!$C$2:$C$700,MATCH($C5583,'تحليل التكلفة والسعر'!$B$2:$B$700,0)),0))</f>
        <v/>
      </c>
    </row>
    <row r="5584" customFormat="false" ht="15" hidden="false" customHeight="false" outlineLevel="0" collapsed="false">
      <c r="A5584" s="102"/>
      <c r="E5584" s="103" t="str">
        <f aca="false">IF($C5584="","",IFERROR(INDEX(المنيو!$C$2:$C$500,MATCH($C5584,المنيو!$B$2:$B$500,0)),0))</f>
        <v/>
      </c>
      <c r="F5584" s="103" t="str">
        <f aca="false">IF($C5584="","",$D5584*$E5584)</f>
        <v/>
      </c>
      <c r="G5584" s="103" t="str">
        <f aca="false">IF($C5584="","",$D5584*IFERROR(INDEX('تحليل التكلفة والسعر'!$C$2:$C$700,MATCH($C5584,'تحليل التكلفة والسعر'!$B$2:$B$700,0)),0))</f>
        <v/>
      </c>
    </row>
    <row r="5585" customFormat="false" ht="15" hidden="false" customHeight="false" outlineLevel="0" collapsed="false">
      <c r="A5585" s="102"/>
      <c r="E5585" s="103" t="str">
        <f aca="false">IF($C5585="","",IFERROR(INDEX(المنيو!$C$2:$C$500,MATCH($C5585,المنيو!$B$2:$B$500,0)),0))</f>
        <v/>
      </c>
      <c r="F5585" s="103" t="str">
        <f aca="false">IF($C5585="","",$D5585*$E5585)</f>
        <v/>
      </c>
      <c r="G5585" s="103" t="str">
        <f aca="false">IF($C5585="","",$D5585*IFERROR(INDEX('تحليل التكلفة والسعر'!$C$2:$C$700,MATCH($C5585,'تحليل التكلفة والسعر'!$B$2:$B$700,0)),0))</f>
        <v/>
      </c>
    </row>
    <row r="5586" customFormat="false" ht="15" hidden="false" customHeight="false" outlineLevel="0" collapsed="false">
      <c r="A5586" s="102"/>
      <c r="E5586" s="103" t="str">
        <f aca="false">IF($C5586="","",IFERROR(INDEX(المنيو!$C$2:$C$500,MATCH($C5586,المنيو!$B$2:$B$500,0)),0))</f>
        <v/>
      </c>
      <c r="F5586" s="103" t="str">
        <f aca="false">IF($C5586="","",$D5586*$E5586)</f>
        <v/>
      </c>
      <c r="G5586" s="103" t="str">
        <f aca="false">IF($C5586="","",$D5586*IFERROR(INDEX('تحليل التكلفة والسعر'!$C$2:$C$700,MATCH($C5586,'تحليل التكلفة والسعر'!$B$2:$B$700,0)),0))</f>
        <v/>
      </c>
    </row>
    <row r="5587" customFormat="false" ht="15" hidden="false" customHeight="false" outlineLevel="0" collapsed="false">
      <c r="A5587" s="102"/>
      <c r="E5587" s="103" t="str">
        <f aca="false">IF($C5587="","",IFERROR(INDEX(المنيو!$C$2:$C$500,MATCH($C5587,المنيو!$B$2:$B$500,0)),0))</f>
        <v/>
      </c>
      <c r="F5587" s="103" t="str">
        <f aca="false">IF($C5587="","",$D5587*$E5587)</f>
        <v/>
      </c>
      <c r="G5587" s="103" t="str">
        <f aca="false">IF($C5587="","",$D5587*IFERROR(INDEX('تحليل التكلفة والسعر'!$C$2:$C$700,MATCH($C5587,'تحليل التكلفة والسعر'!$B$2:$B$700,0)),0))</f>
        <v/>
      </c>
    </row>
    <row r="5588" customFormat="false" ht="15" hidden="false" customHeight="false" outlineLevel="0" collapsed="false">
      <c r="A5588" s="102"/>
      <c r="E5588" s="103" t="str">
        <f aca="false">IF($C5588="","",IFERROR(INDEX(المنيو!$C$2:$C$500,MATCH($C5588,المنيو!$B$2:$B$500,0)),0))</f>
        <v/>
      </c>
      <c r="F5588" s="103" t="str">
        <f aca="false">IF($C5588="","",$D5588*$E5588)</f>
        <v/>
      </c>
      <c r="G5588" s="103" t="str">
        <f aca="false">IF($C5588="","",$D5588*IFERROR(INDEX('تحليل التكلفة والسعر'!$C$2:$C$700,MATCH($C5588,'تحليل التكلفة والسعر'!$B$2:$B$700,0)),0))</f>
        <v/>
      </c>
    </row>
    <row r="5589" customFormat="false" ht="15" hidden="false" customHeight="false" outlineLevel="0" collapsed="false">
      <c r="A5589" s="102"/>
      <c r="E5589" s="103" t="str">
        <f aca="false">IF($C5589="","",IFERROR(INDEX(المنيو!$C$2:$C$500,MATCH($C5589,المنيو!$B$2:$B$500,0)),0))</f>
        <v/>
      </c>
      <c r="F5589" s="103" t="str">
        <f aca="false">IF($C5589="","",$D5589*$E5589)</f>
        <v/>
      </c>
      <c r="G5589" s="103" t="str">
        <f aca="false">IF($C5589="","",$D5589*IFERROR(INDEX('تحليل التكلفة والسعر'!$C$2:$C$700,MATCH($C5589,'تحليل التكلفة والسعر'!$B$2:$B$700,0)),0))</f>
        <v/>
      </c>
    </row>
    <row r="5590" customFormat="false" ht="15" hidden="false" customHeight="false" outlineLevel="0" collapsed="false">
      <c r="A5590" s="102"/>
      <c r="E5590" s="103" t="str">
        <f aca="false">IF($C5590="","",IFERROR(INDEX(المنيو!$C$2:$C$500,MATCH($C5590,المنيو!$B$2:$B$500,0)),0))</f>
        <v/>
      </c>
      <c r="F5590" s="103" t="str">
        <f aca="false">IF($C5590="","",$D5590*$E5590)</f>
        <v/>
      </c>
      <c r="G5590" s="103" t="str">
        <f aca="false">IF($C5590="","",$D5590*IFERROR(INDEX('تحليل التكلفة والسعر'!$C$2:$C$700,MATCH($C5590,'تحليل التكلفة والسعر'!$B$2:$B$700,0)),0))</f>
        <v/>
      </c>
    </row>
    <row r="5591" customFormat="false" ht="15" hidden="false" customHeight="false" outlineLevel="0" collapsed="false">
      <c r="A5591" s="102"/>
      <c r="E5591" s="103" t="str">
        <f aca="false">IF($C5591="","",IFERROR(INDEX(المنيو!$C$2:$C$500,MATCH($C5591,المنيو!$B$2:$B$500,0)),0))</f>
        <v/>
      </c>
      <c r="F5591" s="103" t="str">
        <f aca="false">IF($C5591="","",$D5591*$E5591)</f>
        <v/>
      </c>
      <c r="G5591" s="103" t="str">
        <f aca="false">IF($C5591="","",$D5591*IFERROR(INDEX('تحليل التكلفة والسعر'!$C$2:$C$700,MATCH($C5591,'تحليل التكلفة والسعر'!$B$2:$B$700,0)),0))</f>
        <v/>
      </c>
    </row>
    <row r="5592" customFormat="false" ht="15" hidden="false" customHeight="false" outlineLevel="0" collapsed="false">
      <c r="A5592" s="102"/>
      <c r="E5592" s="103" t="str">
        <f aca="false">IF($C5592="","",IFERROR(INDEX(المنيو!$C$2:$C$500,MATCH($C5592,المنيو!$B$2:$B$500,0)),0))</f>
        <v/>
      </c>
      <c r="F5592" s="103" t="str">
        <f aca="false">IF($C5592="","",$D5592*$E5592)</f>
        <v/>
      </c>
      <c r="G5592" s="103" t="str">
        <f aca="false">IF($C5592="","",$D5592*IFERROR(INDEX('تحليل التكلفة والسعر'!$C$2:$C$700,MATCH($C5592,'تحليل التكلفة والسعر'!$B$2:$B$700,0)),0))</f>
        <v/>
      </c>
    </row>
    <row r="5593" customFormat="false" ht="15" hidden="false" customHeight="false" outlineLevel="0" collapsed="false">
      <c r="A5593" s="102"/>
      <c r="E5593" s="103" t="str">
        <f aca="false">IF($C5593="","",IFERROR(INDEX(المنيو!$C$2:$C$500,MATCH($C5593,المنيو!$B$2:$B$500,0)),0))</f>
        <v/>
      </c>
      <c r="F5593" s="103" t="str">
        <f aca="false">IF($C5593="","",$D5593*$E5593)</f>
        <v/>
      </c>
      <c r="G5593" s="103" t="str">
        <f aca="false">IF($C5593="","",$D5593*IFERROR(INDEX('تحليل التكلفة والسعر'!$C$2:$C$700,MATCH($C5593,'تحليل التكلفة والسعر'!$B$2:$B$700,0)),0))</f>
        <v/>
      </c>
    </row>
    <row r="5594" customFormat="false" ht="15" hidden="false" customHeight="false" outlineLevel="0" collapsed="false">
      <c r="A5594" s="102"/>
      <c r="E5594" s="103" t="str">
        <f aca="false">IF($C5594="","",IFERROR(INDEX(المنيو!$C$2:$C$500,MATCH($C5594,المنيو!$B$2:$B$500,0)),0))</f>
        <v/>
      </c>
      <c r="F5594" s="103" t="str">
        <f aca="false">IF($C5594="","",$D5594*$E5594)</f>
        <v/>
      </c>
      <c r="G5594" s="103" t="str">
        <f aca="false">IF($C5594="","",$D5594*IFERROR(INDEX('تحليل التكلفة والسعر'!$C$2:$C$700,MATCH($C5594,'تحليل التكلفة والسعر'!$B$2:$B$700,0)),0))</f>
        <v/>
      </c>
    </row>
    <row r="5595" customFormat="false" ht="15" hidden="false" customHeight="false" outlineLevel="0" collapsed="false">
      <c r="A5595" s="102"/>
      <c r="E5595" s="103" t="str">
        <f aca="false">IF($C5595="","",IFERROR(INDEX(المنيو!$C$2:$C$500,MATCH($C5595,المنيو!$B$2:$B$500,0)),0))</f>
        <v/>
      </c>
      <c r="F5595" s="103" t="str">
        <f aca="false">IF($C5595="","",$D5595*$E5595)</f>
        <v/>
      </c>
      <c r="G5595" s="103" t="str">
        <f aca="false">IF($C5595="","",$D5595*IFERROR(INDEX('تحليل التكلفة والسعر'!$C$2:$C$700,MATCH($C5595,'تحليل التكلفة والسعر'!$B$2:$B$700,0)),0))</f>
        <v/>
      </c>
    </row>
    <row r="5596" customFormat="false" ht="15" hidden="false" customHeight="false" outlineLevel="0" collapsed="false">
      <c r="A5596" s="102"/>
      <c r="E5596" s="103" t="str">
        <f aca="false">IF($C5596="","",IFERROR(INDEX(المنيو!$C$2:$C$500,MATCH($C5596,المنيو!$B$2:$B$500,0)),0))</f>
        <v/>
      </c>
      <c r="F5596" s="103" t="str">
        <f aca="false">IF($C5596="","",$D5596*$E5596)</f>
        <v/>
      </c>
      <c r="G5596" s="103" t="str">
        <f aca="false">IF($C5596="","",$D5596*IFERROR(INDEX('تحليل التكلفة والسعر'!$C$2:$C$700,MATCH($C5596,'تحليل التكلفة والسعر'!$B$2:$B$700,0)),0))</f>
        <v/>
      </c>
    </row>
    <row r="5597" customFormat="false" ht="15" hidden="false" customHeight="false" outlineLevel="0" collapsed="false">
      <c r="A5597" s="102"/>
      <c r="E5597" s="103" t="str">
        <f aca="false">IF($C5597="","",IFERROR(INDEX(المنيو!$C$2:$C$500,MATCH($C5597,المنيو!$B$2:$B$500,0)),0))</f>
        <v/>
      </c>
      <c r="F5597" s="103" t="str">
        <f aca="false">IF($C5597="","",$D5597*$E5597)</f>
        <v/>
      </c>
      <c r="G5597" s="103" t="str">
        <f aca="false">IF($C5597="","",$D5597*IFERROR(INDEX('تحليل التكلفة والسعر'!$C$2:$C$700,MATCH($C5597,'تحليل التكلفة والسعر'!$B$2:$B$700,0)),0))</f>
        <v/>
      </c>
    </row>
    <row r="5598" customFormat="false" ht="15" hidden="false" customHeight="false" outlineLevel="0" collapsed="false">
      <c r="A5598" s="102"/>
      <c r="E5598" s="103" t="str">
        <f aca="false">IF($C5598="","",IFERROR(INDEX(المنيو!$C$2:$C$500,MATCH($C5598,المنيو!$B$2:$B$500,0)),0))</f>
        <v/>
      </c>
      <c r="F5598" s="103" t="str">
        <f aca="false">IF($C5598="","",$D5598*$E5598)</f>
        <v/>
      </c>
      <c r="G5598" s="103" t="str">
        <f aca="false">IF($C5598="","",$D5598*IFERROR(INDEX('تحليل التكلفة والسعر'!$C$2:$C$700,MATCH($C5598,'تحليل التكلفة والسعر'!$B$2:$B$700,0)),0))</f>
        <v/>
      </c>
    </row>
    <row r="5599" customFormat="false" ht="15" hidden="false" customHeight="false" outlineLevel="0" collapsed="false">
      <c r="A5599" s="102"/>
      <c r="E5599" s="103" t="str">
        <f aca="false">IF($C5599="","",IFERROR(INDEX(المنيو!$C$2:$C$500,MATCH($C5599,المنيو!$B$2:$B$500,0)),0))</f>
        <v/>
      </c>
      <c r="F5599" s="103" t="str">
        <f aca="false">IF($C5599="","",$D5599*$E5599)</f>
        <v/>
      </c>
      <c r="G5599" s="103" t="str">
        <f aca="false">IF($C5599="","",$D5599*IFERROR(INDEX('تحليل التكلفة والسعر'!$C$2:$C$700,MATCH($C5599,'تحليل التكلفة والسعر'!$B$2:$B$700,0)),0))</f>
        <v/>
      </c>
    </row>
    <row r="5600" customFormat="false" ht="15" hidden="false" customHeight="false" outlineLevel="0" collapsed="false">
      <c r="A5600" s="102"/>
      <c r="E5600" s="103" t="str">
        <f aca="false">IF($C5600="","",IFERROR(INDEX(المنيو!$C$2:$C$500,MATCH($C5600,المنيو!$B$2:$B$500,0)),0))</f>
        <v/>
      </c>
      <c r="F5600" s="103" t="str">
        <f aca="false">IF($C5600="","",$D5600*$E5600)</f>
        <v/>
      </c>
      <c r="G5600" s="103" t="str">
        <f aca="false">IF($C5600="","",$D5600*IFERROR(INDEX('تحليل التكلفة والسعر'!$C$2:$C$700,MATCH($C5600,'تحليل التكلفة والسعر'!$B$2:$B$700,0)),0))</f>
        <v/>
      </c>
    </row>
    <row r="5601" customFormat="false" ht="15" hidden="false" customHeight="false" outlineLevel="0" collapsed="false">
      <c r="A5601" s="102"/>
      <c r="E5601" s="103" t="str">
        <f aca="false">IF($C5601="","",IFERROR(INDEX(المنيو!$C$2:$C$500,MATCH($C5601,المنيو!$B$2:$B$500,0)),0))</f>
        <v/>
      </c>
      <c r="F5601" s="103" t="str">
        <f aca="false">IF($C5601="","",$D5601*$E5601)</f>
        <v/>
      </c>
      <c r="G5601" s="103" t="str">
        <f aca="false">IF($C5601="","",$D5601*IFERROR(INDEX('تحليل التكلفة والسعر'!$C$2:$C$700,MATCH($C5601,'تحليل التكلفة والسعر'!$B$2:$B$700,0)),0))</f>
        <v/>
      </c>
    </row>
    <row r="5602" customFormat="false" ht="15" hidden="false" customHeight="false" outlineLevel="0" collapsed="false">
      <c r="A5602" s="102"/>
      <c r="E5602" s="103" t="str">
        <f aca="false">IF($C5602="","",IFERROR(INDEX(المنيو!$C$2:$C$500,MATCH($C5602,المنيو!$B$2:$B$500,0)),0))</f>
        <v/>
      </c>
      <c r="F5602" s="103" t="str">
        <f aca="false">IF($C5602="","",$D5602*$E5602)</f>
        <v/>
      </c>
      <c r="G5602" s="103" t="str">
        <f aca="false">IF($C5602="","",$D5602*IFERROR(INDEX('تحليل التكلفة والسعر'!$C$2:$C$700,MATCH($C5602,'تحليل التكلفة والسعر'!$B$2:$B$700,0)),0))</f>
        <v/>
      </c>
    </row>
    <row r="5603" customFormat="false" ht="15" hidden="false" customHeight="false" outlineLevel="0" collapsed="false">
      <c r="A5603" s="102"/>
      <c r="E5603" s="103" t="str">
        <f aca="false">IF($C5603="","",IFERROR(INDEX(المنيو!$C$2:$C$500,MATCH($C5603,المنيو!$B$2:$B$500,0)),0))</f>
        <v/>
      </c>
      <c r="F5603" s="103" t="str">
        <f aca="false">IF($C5603="","",$D5603*$E5603)</f>
        <v/>
      </c>
      <c r="G5603" s="103" t="str">
        <f aca="false">IF($C5603="","",$D5603*IFERROR(INDEX('تحليل التكلفة والسعر'!$C$2:$C$700,MATCH($C5603,'تحليل التكلفة والسعر'!$B$2:$B$700,0)),0))</f>
        <v/>
      </c>
    </row>
    <row r="5604" customFormat="false" ht="15" hidden="false" customHeight="false" outlineLevel="0" collapsed="false">
      <c r="A5604" s="102"/>
      <c r="E5604" s="103" t="str">
        <f aca="false">IF($C5604="","",IFERROR(INDEX(المنيو!$C$2:$C$500,MATCH($C5604,المنيو!$B$2:$B$500,0)),0))</f>
        <v/>
      </c>
      <c r="F5604" s="103" t="str">
        <f aca="false">IF($C5604="","",$D5604*$E5604)</f>
        <v/>
      </c>
      <c r="G5604" s="103" t="str">
        <f aca="false">IF($C5604="","",$D5604*IFERROR(INDEX('تحليل التكلفة والسعر'!$C$2:$C$700,MATCH($C5604,'تحليل التكلفة والسعر'!$B$2:$B$700,0)),0))</f>
        <v/>
      </c>
    </row>
    <row r="5605" customFormat="false" ht="15" hidden="false" customHeight="false" outlineLevel="0" collapsed="false">
      <c r="A5605" s="102"/>
      <c r="E5605" s="103" t="str">
        <f aca="false">IF($C5605="","",IFERROR(INDEX(المنيو!$C$2:$C$500,MATCH($C5605,المنيو!$B$2:$B$500,0)),0))</f>
        <v/>
      </c>
      <c r="F5605" s="103" t="str">
        <f aca="false">IF($C5605="","",$D5605*$E5605)</f>
        <v/>
      </c>
      <c r="G5605" s="103" t="str">
        <f aca="false">IF($C5605="","",$D5605*IFERROR(INDEX('تحليل التكلفة والسعر'!$C$2:$C$700,MATCH($C5605,'تحليل التكلفة والسعر'!$B$2:$B$700,0)),0))</f>
        <v/>
      </c>
    </row>
    <row r="5606" customFormat="false" ht="15" hidden="false" customHeight="false" outlineLevel="0" collapsed="false">
      <c r="A5606" s="102"/>
      <c r="E5606" s="103" t="str">
        <f aca="false">IF($C5606="","",IFERROR(INDEX(المنيو!$C$2:$C$500,MATCH($C5606,المنيو!$B$2:$B$500,0)),0))</f>
        <v/>
      </c>
      <c r="F5606" s="103" t="str">
        <f aca="false">IF($C5606="","",$D5606*$E5606)</f>
        <v/>
      </c>
      <c r="G5606" s="103" t="str">
        <f aca="false">IF($C5606="","",$D5606*IFERROR(INDEX('تحليل التكلفة والسعر'!$C$2:$C$700,MATCH($C5606,'تحليل التكلفة والسعر'!$B$2:$B$700,0)),0))</f>
        <v/>
      </c>
    </row>
    <row r="5607" customFormat="false" ht="15" hidden="false" customHeight="false" outlineLevel="0" collapsed="false">
      <c r="A5607" s="102"/>
      <c r="E5607" s="103" t="str">
        <f aca="false">IF($C5607="","",IFERROR(INDEX(المنيو!$C$2:$C$500,MATCH($C5607,المنيو!$B$2:$B$500,0)),0))</f>
        <v/>
      </c>
      <c r="F5607" s="103" t="str">
        <f aca="false">IF($C5607="","",$D5607*$E5607)</f>
        <v/>
      </c>
      <c r="G5607" s="103" t="str">
        <f aca="false">IF($C5607="","",$D5607*IFERROR(INDEX('تحليل التكلفة والسعر'!$C$2:$C$700,MATCH($C5607,'تحليل التكلفة والسعر'!$B$2:$B$700,0)),0))</f>
        <v/>
      </c>
    </row>
    <row r="5608" customFormat="false" ht="15" hidden="false" customHeight="false" outlineLevel="0" collapsed="false">
      <c r="A5608" s="102"/>
      <c r="E5608" s="103" t="str">
        <f aca="false">IF($C5608="","",IFERROR(INDEX(المنيو!$C$2:$C$500,MATCH($C5608,المنيو!$B$2:$B$500,0)),0))</f>
        <v/>
      </c>
      <c r="F5608" s="103" t="str">
        <f aca="false">IF($C5608="","",$D5608*$E5608)</f>
        <v/>
      </c>
      <c r="G5608" s="103" t="str">
        <f aca="false">IF($C5608="","",$D5608*IFERROR(INDEX('تحليل التكلفة والسعر'!$C$2:$C$700,MATCH($C5608,'تحليل التكلفة والسعر'!$B$2:$B$700,0)),0))</f>
        <v/>
      </c>
    </row>
    <row r="5609" customFormat="false" ht="15" hidden="false" customHeight="false" outlineLevel="0" collapsed="false">
      <c r="A5609" s="102"/>
      <c r="E5609" s="103" t="str">
        <f aca="false">IF($C5609="","",IFERROR(INDEX(المنيو!$C$2:$C$500,MATCH($C5609,المنيو!$B$2:$B$500,0)),0))</f>
        <v/>
      </c>
      <c r="F5609" s="103" t="str">
        <f aca="false">IF($C5609="","",$D5609*$E5609)</f>
        <v/>
      </c>
      <c r="G5609" s="103" t="str">
        <f aca="false">IF($C5609="","",$D5609*IFERROR(INDEX('تحليل التكلفة والسعر'!$C$2:$C$700,MATCH($C5609,'تحليل التكلفة والسعر'!$B$2:$B$700,0)),0))</f>
        <v/>
      </c>
    </row>
    <row r="5610" customFormat="false" ht="15" hidden="false" customHeight="false" outlineLevel="0" collapsed="false">
      <c r="A5610" s="102"/>
      <c r="E5610" s="103" t="str">
        <f aca="false">IF($C5610="","",IFERROR(INDEX(المنيو!$C$2:$C$500,MATCH($C5610,المنيو!$B$2:$B$500,0)),0))</f>
        <v/>
      </c>
      <c r="F5610" s="103" t="str">
        <f aca="false">IF($C5610="","",$D5610*$E5610)</f>
        <v/>
      </c>
      <c r="G5610" s="103" t="str">
        <f aca="false">IF($C5610="","",$D5610*IFERROR(INDEX('تحليل التكلفة والسعر'!$C$2:$C$700,MATCH($C5610,'تحليل التكلفة والسعر'!$B$2:$B$700,0)),0))</f>
        <v/>
      </c>
    </row>
    <row r="5611" customFormat="false" ht="15" hidden="false" customHeight="false" outlineLevel="0" collapsed="false">
      <c r="A5611" s="102"/>
      <c r="E5611" s="103" t="str">
        <f aca="false">IF($C5611="","",IFERROR(INDEX(المنيو!$C$2:$C$500,MATCH($C5611,المنيو!$B$2:$B$500,0)),0))</f>
        <v/>
      </c>
      <c r="F5611" s="103" t="str">
        <f aca="false">IF($C5611="","",$D5611*$E5611)</f>
        <v/>
      </c>
      <c r="G5611" s="103" t="str">
        <f aca="false">IF($C5611="","",$D5611*IFERROR(INDEX('تحليل التكلفة والسعر'!$C$2:$C$700,MATCH($C5611,'تحليل التكلفة والسعر'!$B$2:$B$700,0)),0))</f>
        <v/>
      </c>
    </row>
    <row r="5612" customFormat="false" ht="15" hidden="false" customHeight="false" outlineLevel="0" collapsed="false">
      <c r="A5612" s="102"/>
      <c r="E5612" s="103" t="str">
        <f aca="false">IF($C5612="","",IFERROR(INDEX(المنيو!$C$2:$C$500,MATCH($C5612,المنيو!$B$2:$B$500,0)),0))</f>
        <v/>
      </c>
      <c r="F5612" s="103" t="str">
        <f aca="false">IF($C5612="","",$D5612*$E5612)</f>
        <v/>
      </c>
      <c r="G5612" s="103" t="str">
        <f aca="false">IF($C5612="","",$D5612*IFERROR(INDEX('تحليل التكلفة والسعر'!$C$2:$C$700,MATCH($C5612,'تحليل التكلفة والسعر'!$B$2:$B$700,0)),0))</f>
        <v/>
      </c>
    </row>
    <row r="5613" customFormat="false" ht="15" hidden="false" customHeight="false" outlineLevel="0" collapsed="false">
      <c r="A5613" s="102"/>
      <c r="E5613" s="103" t="str">
        <f aca="false">IF($C5613="","",IFERROR(INDEX(المنيو!$C$2:$C$500,MATCH($C5613,المنيو!$B$2:$B$500,0)),0))</f>
        <v/>
      </c>
      <c r="F5613" s="103" t="str">
        <f aca="false">IF($C5613="","",$D5613*$E5613)</f>
        <v/>
      </c>
      <c r="G5613" s="103" t="str">
        <f aca="false">IF($C5613="","",$D5613*IFERROR(INDEX('تحليل التكلفة والسعر'!$C$2:$C$700,MATCH($C5613,'تحليل التكلفة والسعر'!$B$2:$B$700,0)),0))</f>
        <v/>
      </c>
    </row>
    <row r="5614" customFormat="false" ht="15" hidden="false" customHeight="false" outlineLevel="0" collapsed="false">
      <c r="A5614" s="102"/>
      <c r="E5614" s="103" t="str">
        <f aca="false">IF($C5614="","",IFERROR(INDEX(المنيو!$C$2:$C$500,MATCH($C5614,المنيو!$B$2:$B$500,0)),0))</f>
        <v/>
      </c>
      <c r="F5614" s="103" t="str">
        <f aca="false">IF($C5614="","",$D5614*$E5614)</f>
        <v/>
      </c>
      <c r="G5614" s="103" t="str">
        <f aca="false">IF($C5614="","",$D5614*IFERROR(INDEX('تحليل التكلفة والسعر'!$C$2:$C$700,MATCH($C5614,'تحليل التكلفة والسعر'!$B$2:$B$700,0)),0))</f>
        <v/>
      </c>
    </row>
    <row r="5615" customFormat="false" ht="15" hidden="false" customHeight="false" outlineLevel="0" collapsed="false">
      <c r="A5615" s="102"/>
      <c r="E5615" s="103" t="str">
        <f aca="false">IF($C5615="","",IFERROR(INDEX(المنيو!$C$2:$C$500,MATCH($C5615,المنيو!$B$2:$B$500,0)),0))</f>
        <v/>
      </c>
      <c r="F5615" s="103" t="str">
        <f aca="false">IF($C5615="","",$D5615*$E5615)</f>
        <v/>
      </c>
      <c r="G5615" s="103" t="str">
        <f aca="false">IF($C5615="","",$D5615*IFERROR(INDEX('تحليل التكلفة والسعر'!$C$2:$C$700,MATCH($C5615,'تحليل التكلفة والسعر'!$B$2:$B$700,0)),0))</f>
        <v/>
      </c>
    </row>
    <row r="5616" customFormat="false" ht="15" hidden="false" customHeight="false" outlineLevel="0" collapsed="false">
      <c r="A5616" s="102"/>
      <c r="E5616" s="103" t="str">
        <f aca="false">IF($C5616="","",IFERROR(INDEX(المنيو!$C$2:$C$500,MATCH($C5616,المنيو!$B$2:$B$500,0)),0))</f>
        <v/>
      </c>
      <c r="F5616" s="103" t="str">
        <f aca="false">IF($C5616="","",$D5616*$E5616)</f>
        <v/>
      </c>
      <c r="G5616" s="103" t="str">
        <f aca="false">IF($C5616="","",$D5616*IFERROR(INDEX('تحليل التكلفة والسعر'!$C$2:$C$700,MATCH($C5616,'تحليل التكلفة والسعر'!$B$2:$B$700,0)),0))</f>
        <v/>
      </c>
    </row>
    <row r="5617" customFormat="false" ht="15" hidden="false" customHeight="false" outlineLevel="0" collapsed="false">
      <c r="A5617" s="102"/>
      <c r="E5617" s="103" t="str">
        <f aca="false">IF($C5617="","",IFERROR(INDEX(المنيو!$C$2:$C$500,MATCH($C5617,المنيو!$B$2:$B$500,0)),0))</f>
        <v/>
      </c>
      <c r="F5617" s="103" t="str">
        <f aca="false">IF($C5617="","",$D5617*$E5617)</f>
        <v/>
      </c>
      <c r="G5617" s="103" t="str">
        <f aca="false">IF($C5617="","",$D5617*IFERROR(INDEX('تحليل التكلفة والسعر'!$C$2:$C$700,MATCH($C5617,'تحليل التكلفة والسعر'!$B$2:$B$700,0)),0))</f>
        <v/>
      </c>
    </row>
    <row r="5618" customFormat="false" ht="15" hidden="false" customHeight="false" outlineLevel="0" collapsed="false">
      <c r="A5618" s="102"/>
      <c r="E5618" s="103" t="str">
        <f aca="false">IF($C5618="","",IFERROR(INDEX(المنيو!$C$2:$C$500,MATCH($C5618,المنيو!$B$2:$B$500,0)),0))</f>
        <v/>
      </c>
      <c r="F5618" s="103" t="str">
        <f aca="false">IF($C5618="","",$D5618*$E5618)</f>
        <v/>
      </c>
      <c r="G5618" s="103" t="str">
        <f aca="false">IF($C5618="","",$D5618*IFERROR(INDEX('تحليل التكلفة والسعر'!$C$2:$C$700,MATCH($C5618,'تحليل التكلفة والسعر'!$B$2:$B$700,0)),0))</f>
        <v/>
      </c>
    </row>
    <row r="5619" customFormat="false" ht="15" hidden="false" customHeight="false" outlineLevel="0" collapsed="false">
      <c r="A5619" s="102"/>
      <c r="E5619" s="103" t="str">
        <f aca="false">IF($C5619="","",IFERROR(INDEX(المنيو!$C$2:$C$500,MATCH($C5619,المنيو!$B$2:$B$500,0)),0))</f>
        <v/>
      </c>
      <c r="F5619" s="103" t="str">
        <f aca="false">IF($C5619="","",$D5619*$E5619)</f>
        <v/>
      </c>
      <c r="G5619" s="103" t="str">
        <f aca="false">IF($C5619="","",$D5619*IFERROR(INDEX('تحليل التكلفة والسعر'!$C$2:$C$700,MATCH($C5619,'تحليل التكلفة والسعر'!$B$2:$B$700,0)),0))</f>
        <v/>
      </c>
    </row>
    <row r="5620" customFormat="false" ht="15" hidden="false" customHeight="false" outlineLevel="0" collapsed="false">
      <c r="A5620" s="102"/>
      <c r="E5620" s="103" t="str">
        <f aca="false">IF($C5620="","",IFERROR(INDEX(المنيو!$C$2:$C$500,MATCH($C5620,المنيو!$B$2:$B$500,0)),0))</f>
        <v/>
      </c>
      <c r="F5620" s="103" t="str">
        <f aca="false">IF($C5620="","",$D5620*$E5620)</f>
        <v/>
      </c>
      <c r="G5620" s="103" t="str">
        <f aca="false">IF($C5620="","",$D5620*IFERROR(INDEX('تحليل التكلفة والسعر'!$C$2:$C$700,MATCH($C5620,'تحليل التكلفة والسعر'!$B$2:$B$700,0)),0))</f>
        <v/>
      </c>
    </row>
    <row r="5621" customFormat="false" ht="15" hidden="false" customHeight="false" outlineLevel="0" collapsed="false">
      <c r="A5621" s="102"/>
      <c r="E5621" s="103" t="str">
        <f aca="false">IF($C5621="","",IFERROR(INDEX(المنيو!$C$2:$C$500,MATCH($C5621,المنيو!$B$2:$B$500,0)),0))</f>
        <v/>
      </c>
      <c r="F5621" s="103" t="str">
        <f aca="false">IF($C5621="","",$D5621*$E5621)</f>
        <v/>
      </c>
      <c r="G5621" s="103" t="str">
        <f aca="false">IF($C5621="","",$D5621*IFERROR(INDEX('تحليل التكلفة والسعر'!$C$2:$C$700,MATCH($C5621,'تحليل التكلفة والسعر'!$B$2:$B$700,0)),0))</f>
        <v/>
      </c>
    </row>
    <row r="5622" customFormat="false" ht="15" hidden="false" customHeight="false" outlineLevel="0" collapsed="false">
      <c r="A5622" s="102"/>
      <c r="E5622" s="103" t="str">
        <f aca="false">IF($C5622="","",IFERROR(INDEX(المنيو!$C$2:$C$500,MATCH($C5622,المنيو!$B$2:$B$500,0)),0))</f>
        <v/>
      </c>
      <c r="F5622" s="103" t="str">
        <f aca="false">IF($C5622="","",$D5622*$E5622)</f>
        <v/>
      </c>
      <c r="G5622" s="103" t="str">
        <f aca="false">IF($C5622="","",$D5622*IFERROR(INDEX('تحليل التكلفة والسعر'!$C$2:$C$700,MATCH($C5622,'تحليل التكلفة والسعر'!$B$2:$B$700,0)),0))</f>
        <v/>
      </c>
    </row>
    <row r="5623" customFormat="false" ht="15" hidden="false" customHeight="false" outlineLevel="0" collapsed="false">
      <c r="A5623" s="102"/>
      <c r="E5623" s="103" t="str">
        <f aca="false">IF($C5623="","",IFERROR(INDEX(المنيو!$C$2:$C$500,MATCH($C5623,المنيو!$B$2:$B$500,0)),0))</f>
        <v/>
      </c>
      <c r="F5623" s="103" t="str">
        <f aca="false">IF($C5623="","",$D5623*$E5623)</f>
        <v/>
      </c>
      <c r="G5623" s="103" t="str">
        <f aca="false">IF($C5623="","",$D5623*IFERROR(INDEX('تحليل التكلفة والسعر'!$C$2:$C$700,MATCH($C5623,'تحليل التكلفة والسعر'!$B$2:$B$700,0)),0))</f>
        <v/>
      </c>
    </row>
    <row r="5624" customFormat="false" ht="15" hidden="false" customHeight="false" outlineLevel="0" collapsed="false">
      <c r="A5624" s="102"/>
      <c r="E5624" s="103" t="str">
        <f aca="false">IF($C5624="","",IFERROR(INDEX(المنيو!$C$2:$C$500,MATCH($C5624,المنيو!$B$2:$B$500,0)),0))</f>
        <v/>
      </c>
      <c r="F5624" s="103" t="str">
        <f aca="false">IF($C5624="","",$D5624*$E5624)</f>
        <v/>
      </c>
      <c r="G5624" s="103" t="str">
        <f aca="false">IF($C5624="","",$D5624*IFERROR(INDEX('تحليل التكلفة والسعر'!$C$2:$C$700,MATCH($C5624,'تحليل التكلفة والسعر'!$B$2:$B$700,0)),0))</f>
        <v/>
      </c>
    </row>
    <row r="5625" customFormat="false" ht="15" hidden="false" customHeight="false" outlineLevel="0" collapsed="false">
      <c r="A5625" s="102"/>
      <c r="E5625" s="103" t="str">
        <f aca="false">IF($C5625="","",IFERROR(INDEX(المنيو!$C$2:$C$500,MATCH($C5625,المنيو!$B$2:$B$500,0)),0))</f>
        <v/>
      </c>
      <c r="F5625" s="103" t="str">
        <f aca="false">IF($C5625="","",$D5625*$E5625)</f>
        <v/>
      </c>
      <c r="G5625" s="103" t="str">
        <f aca="false">IF($C5625="","",$D5625*IFERROR(INDEX('تحليل التكلفة والسعر'!$C$2:$C$700,MATCH($C5625,'تحليل التكلفة والسعر'!$B$2:$B$700,0)),0))</f>
        <v/>
      </c>
    </row>
    <row r="5626" customFormat="false" ht="15" hidden="false" customHeight="false" outlineLevel="0" collapsed="false">
      <c r="A5626" s="102"/>
      <c r="E5626" s="103" t="str">
        <f aca="false">IF($C5626="","",IFERROR(INDEX(المنيو!$C$2:$C$500,MATCH($C5626,المنيو!$B$2:$B$500,0)),0))</f>
        <v/>
      </c>
      <c r="F5626" s="103" t="str">
        <f aca="false">IF($C5626="","",$D5626*$E5626)</f>
        <v/>
      </c>
      <c r="G5626" s="103" t="str">
        <f aca="false">IF($C5626="","",$D5626*IFERROR(INDEX('تحليل التكلفة والسعر'!$C$2:$C$700,MATCH($C5626,'تحليل التكلفة والسعر'!$B$2:$B$700,0)),0))</f>
        <v/>
      </c>
    </row>
    <row r="5627" customFormat="false" ht="15" hidden="false" customHeight="false" outlineLevel="0" collapsed="false">
      <c r="A5627" s="102"/>
      <c r="E5627" s="103" t="str">
        <f aca="false">IF($C5627="","",IFERROR(INDEX(المنيو!$C$2:$C$500,MATCH($C5627,المنيو!$B$2:$B$500,0)),0))</f>
        <v/>
      </c>
      <c r="F5627" s="103" t="str">
        <f aca="false">IF($C5627="","",$D5627*$E5627)</f>
        <v/>
      </c>
      <c r="G5627" s="103" t="str">
        <f aca="false">IF($C5627="","",$D5627*IFERROR(INDEX('تحليل التكلفة والسعر'!$C$2:$C$700,MATCH($C5627,'تحليل التكلفة والسعر'!$B$2:$B$700,0)),0))</f>
        <v/>
      </c>
    </row>
    <row r="5628" customFormat="false" ht="15" hidden="false" customHeight="false" outlineLevel="0" collapsed="false">
      <c r="A5628" s="102"/>
      <c r="E5628" s="103" t="str">
        <f aca="false">IF($C5628="","",IFERROR(INDEX(المنيو!$C$2:$C$500,MATCH($C5628,المنيو!$B$2:$B$500,0)),0))</f>
        <v/>
      </c>
      <c r="F5628" s="103" t="str">
        <f aca="false">IF($C5628="","",$D5628*$E5628)</f>
        <v/>
      </c>
      <c r="G5628" s="103" t="str">
        <f aca="false">IF($C5628="","",$D5628*IFERROR(INDEX('تحليل التكلفة والسعر'!$C$2:$C$700,MATCH($C5628,'تحليل التكلفة والسعر'!$B$2:$B$700,0)),0))</f>
        <v/>
      </c>
    </row>
    <row r="5629" customFormat="false" ht="15" hidden="false" customHeight="false" outlineLevel="0" collapsed="false">
      <c r="A5629" s="102"/>
      <c r="E5629" s="103" t="str">
        <f aca="false">IF($C5629="","",IFERROR(INDEX(المنيو!$C$2:$C$500,MATCH($C5629,المنيو!$B$2:$B$500,0)),0))</f>
        <v/>
      </c>
      <c r="F5629" s="103" t="str">
        <f aca="false">IF($C5629="","",$D5629*$E5629)</f>
        <v/>
      </c>
      <c r="G5629" s="103" t="str">
        <f aca="false">IF($C5629="","",$D5629*IFERROR(INDEX('تحليل التكلفة والسعر'!$C$2:$C$700,MATCH($C5629,'تحليل التكلفة والسعر'!$B$2:$B$700,0)),0))</f>
        <v/>
      </c>
    </row>
    <row r="5630" customFormat="false" ht="15" hidden="false" customHeight="false" outlineLevel="0" collapsed="false">
      <c r="A5630" s="102"/>
      <c r="E5630" s="103" t="str">
        <f aca="false">IF($C5630="","",IFERROR(INDEX(المنيو!$C$2:$C$500,MATCH($C5630,المنيو!$B$2:$B$500,0)),0))</f>
        <v/>
      </c>
      <c r="F5630" s="103" t="str">
        <f aca="false">IF($C5630="","",$D5630*$E5630)</f>
        <v/>
      </c>
      <c r="G5630" s="103" t="str">
        <f aca="false">IF($C5630="","",$D5630*IFERROR(INDEX('تحليل التكلفة والسعر'!$C$2:$C$700,MATCH($C5630,'تحليل التكلفة والسعر'!$B$2:$B$700,0)),0))</f>
        <v/>
      </c>
    </row>
    <row r="5631" customFormat="false" ht="15" hidden="false" customHeight="false" outlineLevel="0" collapsed="false">
      <c r="A5631" s="102"/>
      <c r="E5631" s="103" t="str">
        <f aca="false">IF($C5631="","",IFERROR(INDEX(المنيو!$C$2:$C$500,MATCH($C5631,المنيو!$B$2:$B$500,0)),0))</f>
        <v/>
      </c>
      <c r="F5631" s="103" t="str">
        <f aca="false">IF($C5631="","",$D5631*$E5631)</f>
        <v/>
      </c>
      <c r="G5631" s="103" t="str">
        <f aca="false">IF($C5631="","",$D5631*IFERROR(INDEX('تحليل التكلفة والسعر'!$C$2:$C$700,MATCH($C5631,'تحليل التكلفة والسعر'!$B$2:$B$700,0)),0))</f>
        <v/>
      </c>
    </row>
    <row r="5632" customFormat="false" ht="15" hidden="false" customHeight="false" outlineLevel="0" collapsed="false">
      <c r="A5632" s="102"/>
      <c r="E5632" s="103" t="str">
        <f aca="false">IF($C5632="","",IFERROR(INDEX(المنيو!$C$2:$C$500,MATCH($C5632,المنيو!$B$2:$B$500,0)),0))</f>
        <v/>
      </c>
      <c r="F5632" s="103" t="str">
        <f aca="false">IF($C5632="","",$D5632*$E5632)</f>
        <v/>
      </c>
      <c r="G5632" s="103" t="str">
        <f aca="false">IF($C5632="","",$D5632*IFERROR(INDEX('تحليل التكلفة والسعر'!$C$2:$C$700,MATCH($C5632,'تحليل التكلفة والسعر'!$B$2:$B$700,0)),0))</f>
        <v/>
      </c>
    </row>
    <row r="5633" customFormat="false" ht="15" hidden="false" customHeight="false" outlineLevel="0" collapsed="false">
      <c r="A5633" s="102"/>
      <c r="E5633" s="103" t="str">
        <f aca="false">IF($C5633="","",IFERROR(INDEX(المنيو!$C$2:$C$500,MATCH($C5633,المنيو!$B$2:$B$500,0)),0))</f>
        <v/>
      </c>
      <c r="F5633" s="103" t="str">
        <f aca="false">IF($C5633="","",$D5633*$E5633)</f>
        <v/>
      </c>
      <c r="G5633" s="103" t="str">
        <f aca="false">IF($C5633="","",$D5633*IFERROR(INDEX('تحليل التكلفة والسعر'!$C$2:$C$700,MATCH($C5633,'تحليل التكلفة والسعر'!$B$2:$B$700,0)),0))</f>
        <v/>
      </c>
    </row>
    <row r="5634" customFormat="false" ht="15" hidden="false" customHeight="false" outlineLevel="0" collapsed="false">
      <c r="A5634" s="102"/>
      <c r="E5634" s="103" t="str">
        <f aca="false">IF($C5634="","",IFERROR(INDEX(المنيو!$C$2:$C$500,MATCH($C5634,المنيو!$B$2:$B$500,0)),0))</f>
        <v/>
      </c>
      <c r="F5634" s="103" t="str">
        <f aca="false">IF($C5634="","",$D5634*$E5634)</f>
        <v/>
      </c>
      <c r="G5634" s="103" t="str">
        <f aca="false">IF($C5634="","",$D5634*IFERROR(INDEX('تحليل التكلفة والسعر'!$C$2:$C$700,MATCH($C5634,'تحليل التكلفة والسعر'!$B$2:$B$700,0)),0))</f>
        <v/>
      </c>
    </row>
    <row r="5635" customFormat="false" ht="15" hidden="false" customHeight="false" outlineLevel="0" collapsed="false">
      <c r="A5635" s="102"/>
      <c r="E5635" s="103" t="str">
        <f aca="false">IF($C5635="","",IFERROR(INDEX(المنيو!$C$2:$C$500,MATCH($C5635,المنيو!$B$2:$B$500,0)),0))</f>
        <v/>
      </c>
      <c r="F5635" s="103" t="str">
        <f aca="false">IF($C5635="","",$D5635*$E5635)</f>
        <v/>
      </c>
      <c r="G5635" s="103" t="str">
        <f aca="false">IF($C5635="","",$D5635*IFERROR(INDEX('تحليل التكلفة والسعر'!$C$2:$C$700,MATCH($C5635,'تحليل التكلفة والسعر'!$B$2:$B$700,0)),0))</f>
        <v/>
      </c>
    </row>
    <row r="5636" customFormat="false" ht="15" hidden="false" customHeight="false" outlineLevel="0" collapsed="false">
      <c r="A5636" s="102"/>
      <c r="E5636" s="103" t="str">
        <f aca="false">IF($C5636="","",IFERROR(INDEX(المنيو!$C$2:$C$500,MATCH($C5636,المنيو!$B$2:$B$500,0)),0))</f>
        <v/>
      </c>
      <c r="F5636" s="103" t="str">
        <f aca="false">IF($C5636="","",$D5636*$E5636)</f>
        <v/>
      </c>
      <c r="G5636" s="103" t="str">
        <f aca="false">IF($C5636="","",$D5636*IFERROR(INDEX('تحليل التكلفة والسعر'!$C$2:$C$700,MATCH($C5636,'تحليل التكلفة والسعر'!$B$2:$B$700,0)),0))</f>
        <v/>
      </c>
    </row>
    <row r="5637" customFormat="false" ht="15" hidden="false" customHeight="false" outlineLevel="0" collapsed="false">
      <c r="A5637" s="102"/>
      <c r="E5637" s="103" t="str">
        <f aca="false">IF($C5637="","",IFERROR(INDEX(المنيو!$C$2:$C$500,MATCH($C5637,المنيو!$B$2:$B$500,0)),0))</f>
        <v/>
      </c>
      <c r="F5637" s="103" t="str">
        <f aca="false">IF($C5637="","",$D5637*$E5637)</f>
        <v/>
      </c>
      <c r="G5637" s="103" t="str">
        <f aca="false">IF($C5637="","",$D5637*IFERROR(INDEX('تحليل التكلفة والسعر'!$C$2:$C$700,MATCH($C5637,'تحليل التكلفة والسعر'!$B$2:$B$700,0)),0))</f>
        <v/>
      </c>
    </row>
    <row r="5638" customFormat="false" ht="15" hidden="false" customHeight="false" outlineLevel="0" collapsed="false">
      <c r="A5638" s="102"/>
      <c r="E5638" s="103" t="str">
        <f aca="false">IF($C5638="","",IFERROR(INDEX(المنيو!$C$2:$C$500,MATCH($C5638,المنيو!$B$2:$B$500,0)),0))</f>
        <v/>
      </c>
      <c r="F5638" s="103" t="str">
        <f aca="false">IF($C5638="","",$D5638*$E5638)</f>
        <v/>
      </c>
      <c r="G5638" s="103" t="str">
        <f aca="false">IF($C5638="","",$D5638*IFERROR(INDEX('تحليل التكلفة والسعر'!$C$2:$C$700,MATCH($C5638,'تحليل التكلفة والسعر'!$B$2:$B$700,0)),0))</f>
        <v/>
      </c>
    </row>
    <row r="5639" customFormat="false" ht="15" hidden="false" customHeight="false" outlineLevel="0" collapsed="false">
      <c r="A5639" s="102"/>
      <c r="E5639" s="103" t="str">
        <f aca="false">IF($C5639="","",IFERROR(INDEX(المنيو!$C$2:$C$500,MATCH($C5639,المنيو!$B$2:$B$500,0)),0))</f>
        <v/>
      </c>
      <c r="F5639" s="103" t="str">
        <f aca="false">IF($C5639="","",$D5639*$E5639)</f>
        <v/>
      </c>
      <c r="G5639" s="103" t="str">
        <f aca="false">IF($C5639="","",$D5639*IFERROR(INDEX('تحليل التكلفة والسعر'!$C$2:$C$700,MATCH($C5639,'تحليل التكلفة والسعر'!$B$2:$B$700,0)),0))</f>
        <v/>
      </c>
    </row>
    <row r="5640" customFormat="false" ht="15" hidden="false" customHeight="false" outlineLevel="0" collapsed="false">
      <c r="A5640" s="102"/>
      <c r="E5640" s="103" t="str">
        <f aca="false">IF($C5640="","",IFERROR(INDEX(المنيو!$C$2:$C$500,MATCH($C5640,المنيو!$B$2:$B$500,0)),0))</f>
        <v/>
      </c>
      <c r="F5640" s="103" t="str">
        <f aca="false">IF($C5640="","",$D5640*$E5640)</f>
        <v/>
      </c>
      <c r="G5640" s="103" t="str">
        <f aca="false">IF($C5640="","",$D5640*IFERROR(INDEX('تحليل التكلفة والسعر'!$C$2:$C$700,MATCH($C5640,'تحليل التكلفة والسعر'!$B$2:$B$700,0)),0))</f>
        <v/>
      </c>
    </row>
    <row r="5641" customFormat="false" ht="15" hidden="false" customHeight="false" outlineLevel="0" collapsed="false">
      <c r="A5641" s="102"/>
      <c r="E5641" s="103" t="str">
        <f aca="false">IF($C5641="","",IFERROR(INDEX(المنيو!$C$2:$C$500,MATCH($C5641,المنيو!$B$2:$B$500,0)),0))</f>
        <v/>
      </c>
      <c r="F5641" s="103" t="str">
        <f aca="false">IF($C5641="","",$D5641*$E5641)</f>
        <v/>
      </c>
      <c r="G5641" s="103" t="str">
        <f aca="false">IF($C5641="","",$D5641*IFERROR(INDEX('تحليل التكلفة والسعر'!$C$2:$C$700,MATCH($C5641,'تحليل التكلفة والسعر'!$B$2:$B$700,0)),0))</f>
        <v/>
      </c>
    </row>
    <row r="5642" customFormat="false" ht="15" hidden="false" customHeight="false" outlineLevel="0" collapsed="false">
      <c r="A5642" s="102"/>
      <c r="E5642" s="103" t="str">
        <f aca="false">IF($C5642="","",IFERROR(INDEX(المنيو!$C$2:$C$500,MATCH($C5642,المنيو!$B$2:$B$500,0)),0))</f>
        <v/>
      </c>
      <c r="F5642" s="103" t="str">
        <f aca="false">IF($C5642="","",$D5642*$E5642)</f>
        <v/>
      </c>
      <c r="G5642" s="103" t="str">
        <f aca="false">IF($C5642="","",$D5642*IFERROR(INDEX('تحليل التكلفة والسعر'!$C$2:$C$700,MATCH($C5642,'تحليل التكلفة والسعر'!$B$2:$B$700,0)),0))</f>
        <v/>
      </c>
    </row>
    <row r="5643" customFormat="false" ht="15" hidden="false" customHeight="false" outlineLevel="0" collapsed="false">
      <c r="A5643" s="102"/>
      <c r="E5643" s="103" t="str">
        <f aca="false">IF($C5643="","",IFERROR(INDEX(المنيو!$C$2:$C$500,MATCH($C5643,المنيو!$B$2:$B$500,0)),0))</f>
        <v/>
      </c>
      <c r="F5643" s="103" t="str">
        <f aca="false">IF($C5643="","",$D5643*$E5643)</f>
        <v/>
      </c>
      <c r="G5643" s="103" t="str">
        <f aca="false">IF($C5643="","",$D5643*IFERROR(INDEX('تحليل التكلفة والسعر'!$C$2:$C$700,MATCH($C5643,'تحليل التكلفة والسعر'!$B$2:$B$700,0)),0))</f>
        <v/>
      </c>
    </row>
    <row r="5644" customFormat="false" ht="15" hidden="false" customHeight="false" outlineLevel="0" collapsed="false">
      <c r="A5644" s="102"/>
      <c r="E5644" s="103" t="str">
        <f aca="false">IF($C5644="","",IFERROR(INDEX(المنيو!$C$2:$C$500,MATCH($C5644,المنيو!$B$2:$B$500,0)),0))</f>
        <v/>
      </c>
      <c r="F5644" s="103" t="str">
        <f aca="false">IF($C5644="","",$D5644*$E5644)</f>
        <v/>
      </c>
      <c r="G5644" s="103" t="str">
        <f aca="false">IF($C5644="","",$D5644*IFERROR(INDEX('تحليل التكلفة والسعر'!$C$2:$C$700,MATCH($C5644,'تحليل التكلفة والسعر'!$B$2:$B$700,0)),0))</f>
        <v/>
      </c>
    </row>
    <row r="5645" customFormat="false" ht="15" hidden="false" customHeight="false" outlineLevel="0" collapsed="false">
      <c r="A5645" s="102"/>
      <c r="E5645" s="103" t="str">
        <f aca="false">IF($C5645="","",IFERROR(INDEX(المنيو!$C$2:$C$500,MATCH($C5645,المنيو!$B$2:$B$500,0)),0))</f>
        <v/>
      </c>
      <c r="F5645" s="103" t="str">
        <f aca="false">IF($C5645="","",$D5645*$E5645)</f>
        <v/>
      </c>
      <c r="G5645" s="103" t="str">
        <f aca="false">IF($C5645="","",$D5645*IFERROR(INDEX('تحليل التكلفة والسعر'!$C$2:$C$700,MATCH($C5645,'تحليل التكلفة والسعر'!$B$2:$B$700,0)),0))</f>
        <v/>
      </c>
    </row>
    <row r="5646" customFormat="false" ht="15" hidden="false" customHeight="false" outlineLevel="0" collapsed="false">
      <c r="A5646" s="102"/>
      <c r="E5646" s="103" t="str">
        <f aca="false">IF($C5646="","",IFERROR(INDEX(المنيو!$C$2:$C$500,MATCH($C5646,المنيو!$B$2:$B$500,0)),0))</f>
        <v/>
      </c>
      <c r="F5646" s="103" t="str">
        <f aca="false">IF($C5646="","",$D5646*$E5646)</f>
        <v/>
      </c>
      <c r="G5646" s="103" t="str">
        <f aca="false">IF($C5646="","",$D5646*IFERROR(INDEX('تحليل التكلفة والسعر'!$C$2:$C$700,MATCH($C5646,'تحليل التكلفة والسعر'!$B$2:$B$700,0)),0))</f>
        <v/>
      </c>
    </row>
    <row r="5647" customFormat="false" ht="15" hidden="false" customHeight="false" outlineLevel="0" collapsed="false">
      <c r="A5647" s="102"/>
      <c r="E5647" s="103" t="str">
        <f aca="false">IF($C5647="","",IFERROR(INDEX(المنيو!$C$2:$C$500,MATCH($C5647,المنيو!$B$2:$B$500,0)),0))</f>
        <v/>
      </c>
      <c r="F5647" s="103" t="str">
        <f aca="false">IF($C5647="","",$D5647*$E5647)</f>
        <v/>
      </c>
      <c r="G5647" s="103" t="str">
        <f aca="false">IF($C5647="","",$D5647*IFERROR(INDEX('تحليل التكلفة والسعر'!$C$2:$C$700,MATCH($C5647,'تحليل التكلفة والسعر'!$B$2:$B$700,0)),0))</f>
        <v/>
      </c>
    </row>
    <row r="5648" customFormat="false" ht="15" hidden="false" customHeight="false" outlineLevel="0" collapsed="false">
      <c r="A5648" s="102"/>
      <c r="E5648" s="103" t="str">
        <f aca="false">IF($C5648="","",IFERROR(INDEX(المنيو!$C$2:$C$500,MATCH($C5648,المنيو!$B$2:$B$500,0)),0))</f>
        <v/>
      </c>
      <c r="F5648" s="103" t="str">
        <f aca="false">IF($C5648="","",$D5648*$E5648)</f>
        <v/>
      </c>
      <c r="G5648" s="103" t="str">
        <f aca="false">IF($C5648="","",$D5648*IFERROR(INDEX('تحليل التكلفة والسعر'!$C$2:$C$700,MATCH($C5648,'تحليل التكلفة والسعر'!$B$2:$B$700,0)),0))</f>
        <v/>
      </c>
    </row>
    <row r="5649" customFormat="false" ht="15" hidden="false" customHeight="false" outlineLevel="0" collapsed="false">
      <c r="A5649" s="102"/>
      <c r="E5649" s="103" t="str">
        <f aca="false">IF($C5649="","",IFERROR(INDEX(المنيو!$C$2:$C$500,MATCH($C5649,المنيو!$B$2:$B$500,0)),0))</f>
        <v/>
      </c>
      <c r="F5649" s="103" t="str">
        <f aca="false">IF($C5649="","",$D5649*$E5649)</f>
        <v/>
      </c>
      <c r="G5649" s="103" t="str">
        <f aca="false">IF($C5649="","",$D5649*IFERROR(INDEX('تحليل التكلفة والسعر'!$C$2:$C$700,MATCH($C5649,'تحليل التكلفة والسعر'!$B$2:$B$700,0)),0))</f>
        <v/>
      </c>
    </row>
    <row r="5650" customFormat="false" ht="15" hidden="false" customHeight="false" outlineLevel="0" collapsed="false">
      <c r="A5650" s="102"/>
      <c r="E5650" s="103" t="str">
        <f aca="false">IF($C5650="","",IFERROR(INDEX(المنيو!$C$2:$C$500,MATCH($C5650,المنيو!$B$2:$B$500,0)),0))</f>
        <v/>
      </c>
      <c r="F5650" s="103" t="str">
        <f aca="false">IF($C5650="","",$D5650*$E5650)</f>
        <v/>
      </c>
      <c r="G5650" s="103" t="str">
        <f aca="false">IF($C5650="","",$D5650*IFERROR(INDEX('تحليل التكلفة والسعر'!$C$2:$C$700,MATCH($C5650,'تحليل التكلفة والسعر'!$B$2:$B$700,0)),0))</f>
        <v/>
      </c>
    </row>
    <row r="5651" customFormat="false" ht="15" hidden="false" customHeight="false" outlineLevel="0" collapsed="false">
      <c r="A5651" s="102"/>
      <c r="E5651" s="103" t="str">
        <f aca="false">IF($C5651="","",IFERROR(INDEX(المنيو!$C$2:$C$500,MATCH($C5651,المنيو!$B$2:$B$500,0)),0))</f>
        <v/>
      </c>
      <c r="F5651" s="103" t="str">
        <f aca="false">IF($C5651="","",$D5651*$E5651)</f>
        <v/>
      </c>
      <c r="G5651" s="103" t="str">
        <f aca="false">IF($C5651="","",$D5651*IFERROR(INDEX('تحليل التكلفة والسعر'!$C$2:$C$700,MATCH($C5651,'تحليل التكلفة والسعر'!$B$2:$B$700,0)),0))</f>
        <v/>
      </c>
    </row>
    <row r="5652" customFormat="false" ht="15" hidden="false" customHeight="false" outlineLevel="0" collapsed="false">
      <c r="A5652" s="102"/>
      <c r="E5652" s="103" t="str">
        <f aca="false">IF($C5652="","",IFERROR(INDEX(المنيو!$C$2:$C$500,MATCH($C5652,المنيو!$B$2:$B$500,0)),0))</f>
        <v/>
      </c>
      <c r="F5652" s="103" t="str">
        <f aca="false">IF($C5652="","",$D5652*$E5652)</f>
        <v/>
      </c>
      <c r="G5652" s="103" t="str">
        <f aca="false">IF($C5652="","",$D5652*IFERROR(INDEX('تحليل التكلفة والسعر'!$C$2:$C$700,MATCH($C5652,'تحليل التكلفة والسعر'!$B$2:$B$700,0)),0))</f>
        <v/>
      </c>
    </row>
    <row r="5653" customFormat="false" ht="15" hidden="false" customHeight="false" outlineLevel="0" collapsed="false">
      <c r="A5653" s="102"/>
      <c r="E5653" s="103" t="str">
        <f aca="false">IF($C5653="","",IFERROR(INDEX(المنيو!$C$2:$C$500,MATCH($C5653,المنيو!$B$2:$B$500,0)),0))</f>
        <v/>
      </c>
      <c r="F5653" s="103" t="str">
        <f aca="false">IF($C5653="","",$D5653*$E5653)</f>
        <v/>
      </c>
      <c r="G5653" s="103" t="str">
        <f aca="false">IF($C5653="","",$D5653*IFERROR(INDEX('تحليل التكلفة والسعر'!$C$2:$C$700,MATCH($C5653,'تحليل التكلفة والسعر'!$B$2:$B$700,0)),0))</f>
        <v/>
      </c>
    </row>
    <row r="5654" customFormat="false" ht="15" hidden="false" customHeight="false" outlineLevel="0" collapsed="false">
      <c r="A5654" s="102"/>
      <c r="E5654" s="103" t="str">
        <f aca="false">IF($C5654="","",IFERROR(INDEX(المنيو!$C$2:$C$500,MATCH($C5654,المنيو!$B$2:$B$500,0)),0))</f>
        <v/>
      </c>
      <c r="F5654" s="103" t="str">
        <f aca="false">IF($C5654="","",$D5654*$E5654)</f>
        <v/>
      </c>
      <c r="G5654" s="103" t="str">
        <f aca="false">IF($C5654="","",$D5654*IFERROR(INDEX('تحليل التكلفة والسعر'!$C$2:$C$700,MATCH($C5654,'تحليل التكلفة والسعر'!$B$2:$B$700,0)),0))</f>
        <v/>
      </c>
    </row>
    <row r="5655" customFormat="false" ht="15" hidden="false" customHeight="false" outlineLevel="0" collapsed="false">
      <c r="A5655" s="102"/>
      <c r="E5655" s="103" t="str">
        <f aca="false">IF($C5655="","",IFERROR(INDEX(المنيو!$C$2:$C$500,MATCH($C5655,المنيو!$B$2:$B$500,0)),0))</f>
        <v/>
      </c>
      <c r="F5655" s="103" t="str">
        <f aca="false">IF($C5655="","",$D5655*$E5655)</f>
        <v/>
      </c>
      <c r="G5655" s="103" t="str">
        <f aca="false">IF($C5655="","",$D5655*IFERROR(INDEX('تحليل التكلفة والسعر'!$C$2:$C$700,MATCH($C5655,'تحليل التكلفة والسعر'!$B$2:$B$700,0)),0))</f>
        <v/>
      </c>
    </row>
    <row r="5656" customFormat="false" ht="15" hidden="false" customHeight="false" outlineLevel="0" collapsed="false">
      <c r="A5656" s="102"/>
      <c r="E5656" s="103" t="str">
        <f aca="false">IF($C5656="","",IFERROR(INDEX(المنيو!$C$2:$C$500,MATCH($C5656,المنيو!$B$2:$B$500,0)),0))</f>
        <v/>
      </c>
      <c r="F5656" s="103" t="str">
        <f aca="false">IF($C5656="","",$D5656*$E5656)</f>
        <v/>
      </c>
      <c r="G5656" s="103" t="str">
        <f aca="false">IF($C5656="","",$D5656*IFERROR(INDEX('تحليل التكلفة والسعر'!$C$2:$C$700,MATCH($C5656,'تحليل التكلفة والسعر'!$B$2:$B$700,0)),0))</f>
        <v/>
      </c>
    </row>
    <row r="5657" customFormat="false" ht="15" hidden="false" customHeight="false" outlineLevel="0" collapsed="false">
      <c r="A5657" s="102"/>
      <c r="E5657" s="103" t="str">
        <f aca="false">IF($C5657="","",IFERROR(INDEX(المنيو!$C$2:$C$500,MATCH($C5657,المنيو!$B$2:$B$500,0)),0))</f>
        <v/>
      </c>
      <c r="F5657" s="103" t="str">
        <f aca="false">IF($C5657="","",$D5657*$E5657)</f>
        <v/>
      </c>
      <c r="G5657" s="103" t="str">
        <f aca="false">IF($C5657="","",$D5657*IFERROR(INDEX('تحليل التكلفة والسعر'!$C$2:$C$700,MATCH($C5657,'تحليل التكلفة والسعر'!$B$2:$B$700,0)),0))</f>
        <v/>
      </c>
    </row>
    <row r="5658" customFormat="false" ht="15" hidden="false" customHeight="false" outlineLevel="0" collapsed="false">
      <c r="A5658" s="102"/>
      <c r="E5658" s="103" t="str">
        <f aca="false">IF($C5658="","",IFERROR(INDEX(المنيو!$C$2:$C$500,MATCH($C5658,المنيو!$B$2:$B$500,0)),0))</f>
        <v/>
      </c>
      <c r="F5658" s="103" t="str">
        <f aca="false">IF($C5658="","",$D5658*$E5658)</f>
        <v/>
      </c>
      <c r="G5658" s="103" t="str">
        <f aca="false">IF($C5658="","",$D5658*IFERROR(INDEX('تحليل التكلفة والسعر'!$C$2:$C$700,MATCH($C5658,'تحليل التكلفة والسعر'!$B$2:$B$700,0)),0))</f>
        <v/>
      </c>
    </row>
    <row r="5659" customFormat="false" ht="15" hidden="false" customHeight="false" outlineLevel="0" collapsed="false">
      <c r="A5659" s="102"/>
      <c r="E5659" s="103" t="str">
        <f aca="false">IF($C5659="","",IFERROR(INDEX(المنيو!$C$2:$C$500,MATCH($C5659,المنيو!$B$2:$B$500,0)),0))</f>
        <v/>
      </c>
      <c r="F5659" s="103" t="str">
        <f aca="false">IF($C5659="","",$D5659*$E5659)</f>
        <v/>
      </c>
      <c r="G5659" s="103" t="str">
        <f aca="false">IF($C5659="","",$D5659*IFERROR(INDEX('تحليل التكلفة والسعر'!$C$2:$C$700,MATCH($C5659,'تحليل التكلفة والسعر'!$B$2:$B$700,0)),0))</f>
        <v/>
      </c>
    </row>
    <row r="5660" customFormat="false" ht="15" hidden="false" customHeight="false" outlineLevel="0" collapsed="false">
      <c r="A5660" s="102"/>
      <c r="E5660" s="103" t="str">
        <f aca="false">IF($C5660="","",IFERROR(INDEX(المنيو!$C$2:$C$500,MATCH($C5660,المنيو!$B$2:$B$500,0)),0))</f>
        <v/>
      </c>
      <c r="F5660" s="103" t="str">
        <f aca="false">IF($C5660="","",$D5660*$E5660)</f>
        <v/>
      </c>
      <c r="G5660" s="103" t="str">
        <f aca="false">IF($C5660="","",$D5660*IFERROR(INDEX('تحليل التكلفة والسعر'!$C$2:$C$700,MATCH($C5660,'تحليل التكلفة والسعر'!$B$2:$B$700,0)),0))</f>
        <v/>
      </c>
    </row>
    <row r="5661" customFormat="false" ht="15" hidden="false" customHeight="false" outlineLevel="0" collapsed="false">
      <c r="A5661" s="102"/>
      <c r="E5661" s="103" t="str">
        <f aca="false">IF($C5661="","",IFERROR(INDEX(المنيو!$C$2:$C$500,MATCH($C5661,المنيو!$B$2:$B$500,0)),0))</f>
        <v/>
      </c>
      <c r="F5661" s="103" t="str">
        <f aca="false">IF($C5661="","",$D5661*$E5661)</f>
        <v/>
      </c>
      <c r="G5661" s="103" t="str">
        <f aca="false">IF($C5661="","",$D5661*IFERROR(INDEX('تحليل التكلفة والسعر'!$C$2:$C$700,MATCH($C5661,'تحليل التكلفة والسعر'!$B$2:$B$700,0)),0))</f>
        <v/>
      </c>
    </row>
    <row r="5662" customFormat="false" ht="15" hidden="false" customHeight="false" outlineLevel="0" collapsed="false">
      <c r="A5662" s="102"/>
      <c r="E5662" s="103" t="str">
        <f aca="false">IF($C5662="","",IFERROR(INDEX(المنيو!$C$2:$C$500,MATCH($C5662,المنيو!$B$2:$B$500,0)),0))</f>
        <v/>
      </c>
      <c r="F5662" s="103" t="str">
        <f aca="false">IF($C5662="","",$D5662*$E5662)</f>
        <v/>
      </c>
      <c r="G5662" s="103" t="str">
        <f aca="false">IF($C5662="","",$D5662*IFERROR(INDEX('تحليل التكلفة والسعر'!$C$2:$C$700,MATCH($C5662,'تحليل التكلفة والسعر'!$B$2:$B$700,0)),0))</f>
        <v/>
      </c>
    </row>
    <row r="5663" customFormat="false" ht="15" hidden="false" customHeight="false" outlineLevel="0" collapsed="false">
      <c r="A5663" s="102"/>
      <c r="E5663" s="103" t="str">
        <f aca="false">IF($C5663="","",IFERROR(INDEX(المنيو!$C$2:$C$500,MATCH($C5663,المنيو!$B$2:$B$500,0)),0))</f>
        <v/>
      </c>
      <c r="F5663" s="103" t="str">
        <f aca="false">IF($C5663="","",$D5663*$E5663)</f>
        <v/>
      </c>
      <c r="G5663" s="103" t="str">
        <f aca="false">IF($C5663="","",$D5663*IFERROR(INDEX('تحليل التكلفة والسعر'!$C$2:$C$700,MATCH($C5663,'تحليل التكلفة والسعر'!$B$2:$B$700,0)),0))</f>
        <v/>
      </c>
    </row>
    <row r="5664" customFormat="false" ht="15" hidden="false" customHeight="false" outlineLevel="0" collapsed="false">
      <c r="A5664" s="102"/>
      <c r="E5664" s="103" t="str">
        <f aca="false">IF($C5664="","",IFERROR(INDEX(المنيو!$C$2:$C$500,MATCH($C5664,المنيو!$B$2:$B$500,0)),0))</f>
        <v/>
      </c>
      <c r="F5664" s="103" t="str">
        <f aca="false">IF($C5664="","",$D5664*$E5664)</f>
        <v/>
      </c>
      <c r="G5664" s="103" t="str">
        <f aca="false">IF($C5664="","",$D5664*IFERROR(INDEX('تحليل التكلفة والسعر'!$C$2:$C$700,MATCH($C5664,'تحليل التكلفة والسعر'!$B$2:$B$700,0)),0))</f>
        <v/>
      </c>
    </row>
    <row r="5665" customFormat="false" ht="15" hidden="false" customHeight="false" outlineLevel="0" collapsed="false">
      <c r="A5665" s="102"/>
      <c r="E5665" s="103" t="str">
        <f aca="false">IF($C5665="","",IFERROR(INDEX(المنيو!$C$2:$C$500,MATCH($C5665,المنيو!$B$2:$B$500,0)),0))</f>
        <v/>
      </c>
      <c r="F5665" s="103" t="str">
        <f aca="false">IF($C5665="","",$D5665*$E5665)</f>
        <v/>
      </c>
      <c r="G5665" s="103" t="str">
        <f aca="false">IF($C5665="","",$D5665*IFERROR(INDEX('تحليل التكلفة والسعر'!$C$2:$C$700,MATCH($C5665,'تحليل التكلفة والسعر'!$B$2:$B$700,0)),0))</f>
        <v/>
      </c>
    </row>
    <row r="5666" customFormat="false" ht="15" hidden="false" customHeight="false" outlineLevel="0" collapsed="false">
      <c r="A5666" s="102"/>
      <c r="E5666" s="103" t="str">
        <f aca="false">IF($C5666="","",IFERROR(INDEX(المنيو!$C$2:$C$500,MATCH($C5666,المنيو!$B$2:$B$500,0)),0))</f>
        <v/>
      </c>
      <c r="F5666" s="103" t="str">
        <f aca="false">IF($C5666="","",$D5666*$E5666)</f>
        <v/>
      </c>
      <c r="G5666" s="103" t="str">
        <f aca="false">IF($C5666="","",$D5666*IFERROR(INDEX('تحليل التكلفة والسعر'!$C$2:$C$700,MATCH($C5666,'تحليل التكلفة والسعر'!$B$2:$B$700,0)),0))</f>
        <v/>
      </c>
    </row>
    <row r="5667" customFormat="false" ht="15" hidden="false" customHeight="false" outlineLevel="0" collapsed="false">
      <c r="A5667" s="102"/>
      <c r="E5667" s="103" t="str">
        <f aca="false">IF($C5667="","",IFERROR(INDEX(المنيو!$C$2:$C$500,MATCH($C5667,المنيو!$B$2:$B$500,0)),0))</f>
        <v/>
      </c>
      <c r="F5667" s="103" t="str">
        <f aca="false">IF($C5667="","",$D5667*$E5667)</f>
        <v/>
      </c>
      <c r="G5667" s="103" t="str">
        <f aca="false">IF($C5667="","",$D5667*IFERROR(INDEX('تحليل التكلفة والسعر'!$C$2:$C$700,MATCH($C5667,'تحليل التكلفة والسعر'!$B$2:$B$700,0)),0))</f>
        <v/>
      </c>
    </row>
    <row r="5668" customFormat="false" ht="15" hidden="false" customHeight="false" outlineLevel="0" collapsed="false">
      <c r="A5668" s="102"/>
      <c r="E5668" s="103" t="str">
        <f aca="false">IF($C5668="","",IFERROR(INDEX(المنيو!$C$2:$C$500,MATCH($C5668,المنيو!$B$2:$B$500,0)),0))</f>
        <v/>
      </c>
      <c r="F5668" s="103" t="str">
        <f aca="false">IF($C5668="","",$D5668*$E5668)</f>
        <v/>
      </c>
      <c r="G5668" s="103" t="str">
        <f aca="false">IF($C5668="","",$D5668*IFERROR(INDEX('تحليل التكلفة والسعر'!$C$2:$C$700,MATCH($C5668,'تحليل التكلفة والسعر'!$B$2:$B$700,0)),0))</f>
        <v/>
      </c>
    </row>
    <row r="5669" customFormat="false" ht="15" hidden="false" customHeight="false" outlineLevel="0" collapsed="false">
      <c r="A5669" s="102"/>
      <c r="E5669" s="103" t="str">
        <f aca="false">IF($C5669="","",IFERROR(INDEX(المنيو!$C$2:$C$500,MATCH($C5669,المنيو!$B$2:$B$500,0)),0))</f>
        <v/>
      </c>
      <c r="F5669" s="103" t="str">
        <f aca="false">IF($C5669="","",$D5669*$E5669)</f>
        <v/>
      </c>
      <c r="G5669" s="103" t="str">
        <f aca="false">IF($C5669="","",$D5669*IFERROR(INDEX('تحليل التكلفة والسعر'!$C$2:$C$700,MATCH($C5669,'تحليل التكلفة والسعر'!$B$2:$B$700,0)),0))</f>
        <v/>
      </c>
    </row>
    <row r="5670" customFormat="false" ht="15" hidden="false" customHeight="false" outlineLevel="0" collapsed="false">
      <c r="A5670" s="102"/>
      <c r="E5670" s="103" t="str">
        <f aca="false">IF($C5670="","",IFERROR(INDEX(المنيو!$C$2:$C$500,MATCH($C5670,المنيو!$B$2:$B$500,0)),0))</f>
        <v/>
      </c>
      <c r="F5670" s="103" t="str">
        <f aca="false">IF($C5670="","",$D5670*$E5670)</f>
        <v/>
      </c>
      <c r="G5670" s="103" t="str">
        <f aca="false">IF($C5670="","",$D5670*IFERROR(INDEX('تحليل التكلفة والسعر'!$C$2:$C$700,MATCH($C5670,'تحليل التكلفة والسعر'!$B$2:$B$700,0)),0))</f>
        <v/>
      </c>
    </row>
    <row r="5671" customFormat="false" ht="15" hidden="false" customHeight="false" outlineLevel="0" collapsed="false">
      <c r="A5671" s="102"/>
      <c r="E5671" s="103" t="str">
        <f aca="false">IF($C5671="","",IFERROR(INDEX(المنيو!$C$2:$C$500,MATCH($C5671,المنيو!$B$2:$B$500,0)),0))</f>
        <v/>
      </c>
      <c r="F5671" s="103" t="str">
        <f aca="false">IF($C5671="","",$D5671*$E5671)</f>
        <v/>
      </c>
      <c r="G5671" s="103" t="str">
        <f aca="false">IF($C5671="","",$D5671*IFERROR(INDEX('تحليل التكلفة والسعر'!$C$2:$C$700,MATCH($C5671,'تحليل التكلفة والسعر'!$B$2:$B$700,0)),0))</f>
        <v/>
      </c>
    </row>
    <row r="5672" customFormat="false" ht="15" hidden="false" customHeight="false" outlineLevel="0" collapsed="false">
      <c r="A5672" s="102"/>
      <c r="E5672" s="103" t="str">
        <f aca="false">IF($C5672="","",IFERROR(INDEX(المنيو!$C$2:$C$500,MATCH($C5672,المنيو!$B$2:$B$500,0)),0))</f>
        <v/>
      </c>
      <c r="F5672" s="103" t="str">
        <f aca="false">IF($C5672="","",$D5672*$E5672)</f>
        <v/>
      </c>
      <c r="G5672" s="103" t="str">
        <f aca="false">IF($C5672="","",$D5672*IFERROR(INDEX('تحليل التكلفة والسعر'!$C$2:$C$700,MATCH($C5672,'تحليل التكلفة والسعر'!$B$2:$B$700,0)),0))</f>
        <v/>
      </c>
    </row>
    <row r="5673" customFormat="false" ht="15" hidden="false" customHeight="false" outlineLevel="0" collapsed="false">
      <c r="A5673" s="102"/>
      <c r="E5673" s="103" t="str">
        <f aca="false">IF($C5673="","",IFERROR(INDEX(المنيو!$C$2:$C$500,MATCH($C5673,المنيو!$B$2:$B$500,0)),0))</f>
        <v/>
      </c>
      <c r="F5673" s="103" t="str">
        <f aca="false">IF($C5673="","",$D5673*$E5673)</f>
        <v/>
      </c>
      <c r="G5673" s="103" t="str">
        <f aca="false">IF($C5673="","",$D5673*IFERROR(INDEX('تحليل التكلفة والسعر'!$C$2:$C$700,MATCH($C5673,'تحليل التكلفة والسعر'!$B$2:$B$700,0)),0))</f>
        <v/>
      </c>
    </row>
    <row r="5674" customFormat="false" ht="15" hidden="false" customHeight="false" outlineLevel="0" collapsed="false">
      <c r="A5674" s="102"/>
      <c r="E5674" s="103" t="str">
        <f aca="false">IF($C5674="","",IFERROR(INDEX(المنيو!$C$2:$C$500,MATCH($C5674,المنيو!$B$2:$B$500,0)),0))</f>
        <v/>
      </c>
      <c r="F5674" s="103" t="str">
        <f aca="false">IF($C5674="","",$D5674*$E5674)</f>
        <v/>
      </c>
      <c r="G5674" s="103" t="str">
        <f aca="false">IF($C5674="","",$D5674*IFERROR(INDEX('تحليل التكلفة والسعر'!$C$2:$C$700,MATCH($C5674,'تحليل التكلفة والسعر'!$B$2:$B$700,0)),0))</f>
        <v/>
      </c>
    </row>
    <row r="5675" customFormat="false" ht="15" hidden="false" customHeight="false" outlineLevel="0" collapsed="false">
      <c r="A5675" s="102"/>
      <c r="E5675" s="103" t="str">
        <f aca="false">IF($C5675="","",IFERROR(INDEX(المنيو!$C$2:$C$500,MATCH($C5675,المنيو!$B$2:$B$500,0)),0))</f>
        <v/>
      </c>
      <c r="F5675" s="103" t="str">
        <f aca="false">IF($C5675="","",$D5675*$E5675)</f>
        <v/>
      </c>
      <c r="G5675" s="103" t="str">
        <f aca="false">IF($C5675="","",$D5675*IFERROR(INDEX('تحليل التكلفة والسعر'!$C$2:$C$700,MATCH($C5675,'تحليل التكلفة والسعر'!$B$2:$B$700,0)),0))</f>
        <v/>
      </c>
    </row>
    <row r="5676" customFormat="false" ht="15" hidden="false" customHeight="false" outlineLevel="0" collapsed="false">
      <c r="A5676" s="102"/>
      <c r="E5676" s="103" t="str">
        <f aca="false">IF($C5676="","",IFERROR(INDEX(المنيو!$C$2:$C$500,MATCH($C5676,المنيو!$B$2:$B$500,0)),0))</f>
        <v/>
      </c>
      <c r="F5676" s="103" t="str">
        <f aca="false">IF($C5676="","",$D5676*$E5676)</f>
        <v/>
      </c>
      <c r="G5676" s="103" t="str">
        <f aca="false">IF($C5676="","",$D5676*IFERROR(INDEX('تحليل التكلفة والسعر'!$C$2:$C$700,MATCH($C5676,'تحليل التكلفة والسعر'!$B$2:$B$700,0)),0))</f>
        <v/>
      </c>
    </row>
    <row r="5677" customFormat="false" ht="15" hidden="false" customHeight="false" outlineLevel="0" collapsed="false">
      <c r="A5677" s="102"/>
      <c r="E5677" s="103" t="str">
        <f aca="false">IF($C5677="","",IFERROR(INDEX(المنيو!$C$2:$C$500,MATCH($C5677,المنيو!$B$2:$B$500,0)),0))</f>
        <v/>
      </c>
      <c r="F5677" s="103" t="str">
        <f aca="false">IF($C5677="","",$D5677*$E5677)</f>
        <v/>
      </c>
      <c r="G5677" s="103" t="str">
        <f aca="false">IF($C5677="","",$D5677*IFERROR(INDEX('تحليل التكلفة والسعر'!$C$2:$C$700,MATCH($C5677,'تحليل التكلفة والسعر'!$B$2:$B$700,0)),0))</f>
        <v/>
      </c>
    </row>
    <row r="5678" customFormat="false" ht="15" hidden="false" customHeight="false" outlineLevel="0" collapsed="false">
      <c r="A5678" s="102"/>
      <c r="E5678" s="103" t="str">
        <f aca="false">IF($C5678="","",IFERROR(INDEX(المنيو!$C$2:$C$500,MATCH($C5678,المنيو!$B$2:$B$500,0)),0))</f>
        <v/>
      </c>
      <c r="F5678" s="103" t="str">
        <f aca="false">IF($C5678="","",$D5678*$E5678)</f>
        <v/>
      </c>
      <c r="G5678" s="103" t="str">
        <f aca="false">IF($C5678="","",$D5678*IFERROR(INDEX('تحليل التكلفة والسعر'!$C$2:$C$700,MATCH($C5678,'تحليل التكلفة والسعر'!$B$2:$B$700,0)),0))</f>
        <v/>
      </c>
    </row>
    <row r="5679" customFormat="false" ht="15" hidden="false" customHeight="false" outlineLevel="0" collapsed="false">
      <c r="A5679" s="102"/>
      <c r="E5679" s="103" t="str">
        <f aca="false">IF($C5679="","",IFERROR(INDEX(المنيو!$C$2:$C$500,MATCH($C5679,المنيو!$B$2:$B$500,0)),0))</f>
        <v/>
      </c>
      <c r="F5679" s="103" t="str">
        <f aca="false">IF($C5679="","",$D5679*$E5679)</f>
        <v/>
      </c>
      <c r="G5679" s="103" t="str">
        <f aca="false">IF($C5679="","",$D5679*IFERROR(INDEX('تحليل التكلفة والسعر'!$C$2:$C$700,MATCH($C5679,'تحليل التكلفة والسعر'!$B$2:$B$700,0)),0))</f>
        <v/>
      </c>
    </row>
    <row r="5680" customFormat="false" ht="15" hidden="false" customHeight="false" outlineLevel="0" collapsed="false">
      <c r="A5680" s="102"/>
      <c r="E5680" s="103" t="str">
        <f aca="false">IF($C5680="","",IFERROR(INDEX(المنيو!$C$2:$C$500,MATCH($C5680,المنيو!$B$2:$B$500,0)),0))</f>
        <v/>
      </c>
      <c r="F5680" s="103" t="str">
        <f aca="false">IF($C5680="","",$D5680*$E5680)</f>
        <v/>
      </c>
      <c r="G5680" s="103" t="str">
        <f aca="false">IF($C5680="","",$D5680*IFERROR(INDEX('تحليل التكلفة والسعر'!$C$2:$C$700,MATCH($C5680,'تحليل التكلفة والسعر'!$B$2:$B$700,0)),0))</f>
        <v/>
      </c>
    </row>
    <row r="5681" customFormat="false" ht="15" hidden="false" customHeight="false" outlineLevel="0" collapsed="false">
      <c r="A5681" s="102"/>
      <c r="E5681" s="103" t="str">
        <f aca="false">IF($C5681="","",IFERROR(INDEX(المنيو!$C$2:$C$500,MATCH($C5681,المنيو!$B$2:$B$500,0)),0))</f>
        <v/>
      </c>
      <c r="F5681" s="103" t="str">
        <f aca="false">IF($C5681="","",$D5681*$E5681)</f>
        <v/>
      </c>
      <c r="G5681" s="103" t="str">
        <f aca="false">IF($C5681="","",$D5681*IFERROR(INDEX('تحليل التكلفة والسعر'!$C$2:$C$700,MATCH($C5681,'تحليل التكلفة والسعر'!$B$2:$B$700,0)),0))</f>
        <v/>
      </c>
    </row>
    <row r="5682" customFormat="false" ht="15" hidden="false" customHeight="false" outlineLevel="0" collapsed="false">
      <c r="A5682" s="102"/>
      <c r="E5682" s="103" t="str">
        <f aca="false">IF($C5682="","",IFERROR(INDEX(المنيو!$C$2:$C$500,MATCH($C5682,المنيو!$B$2:$B$500,0)),0))</f>
        <v/>
      </c>
      <c r="F5682" s="103" t="str">
        <f aca="false">IF($C5682="","",$D5682*$E5682)</f>
        <v/>
      </c>
      <c r="G5682" s="103" t="str">
        <f aca="false">IF($C5682="","",$D5682*IFERROR(INDEX('تحليل التكلفة والسعر'!$C$2:$C$700,MATCH($C5682,'تحليل التكلفة والسعر'!$B$2:$B$700,0)),0))</f>
        <v/>
      </c>
    </row>
    <row r="5683" customFormat="false" ht="15" hidden="false" customHeight="false" outlineLevel="0" collapsed="false">
      <c r="A5683" s="102"/>
      <c r="E5683" s="103" t="str">
        <f aca="false">IF($C5683="","",IFERROR(INDEX(المنيو!$C$2:$C$500,MATCH($C5683,المنيو!$B$2:$B$500,0)),0))</f>
        <v/>
      </c>
      <c r="F5683" s="103" t="str">
        <f aca="false">IF($C5683="","",$D5683*$E5683)</f>
        <v/>
      </c>
      <c r="G5683" s="103" t="str">
        <f aca="false">IF($C5683="","",$D5683*IFERROR(INDEX('تحليل التكلفة والسعر'!$C$2:$C$700,MATCH($C5683,'تحليل التكلفة والسعر'!$B$2:$B$700,0)),0))</f>
        <v/>
      </c>
    </row>
    <row r="5684" customFormat="false" ht="15" hidden="false" customHeight="false" outlineLevel="0" collapsed="false">
      <c r="A5684" s="102"/>
      <c r="E5684" s="103" t="str">
        <f aca="false">IF($C5684="","",IFERROR(INDEX(المنيو!$C$2:$C$500,MATCH($C5684,المنيو!$B$2:$B$500,0)),0))</f>
        <v/>
      </c>
      <c r="F5684" s="103" t="str">
        <f aca="false">IF($C5684="","",$D5684*$E5684)</f>
        <v/>
      </c>
      <c r="G5684" s="103" t="str">
        <f aca="false">IF($C5684="","",$D5684*IFERROR(INDEX('تحليل التكلفة والسعر'!$C$2:$C$700,MATCH($C5684,'تحليل التكلفة والسعر'!$B$2:$B$700,0)),0))</f>
        <v/>
      </c>
    </row>
    <row r="5685" customFormat="false" ht="15" hidden="false" customHeight="false" outlineLevel="0" collapsed="false">
      <c r="A5685" s="102"/>
      <c r="E5685" s="103" t="str">
        <f aca="false">IF($C5685="","",IFERROR(INDEX(المنيو!$C$2:$C$500,MATCH($C5685,المنيو!$B$2:$B$500,0)),0))</f>
        <v/>
      </c>
      <c r="F5685" s="103" t="str">
        <f aca="false">IF($C5685="","",$D5685*$E5685)</f>
        <v/>
      </c>
      <c r="G5685" s="103" t="str">
        <f aca="false">IF($C5685="","",$D5685*IFERROR(INDEX('تحليل التكلفة والسعر'!$C$2:$C$700,MATCH($C5685,'تحليل التكلفة والسعر'!$B$2:$B$700,0)),0))</f>
        <v/>
      </c>
    </row>
    <row r="5686" customFormat="false" ht="15" hidden="false" customHeight="false" outlineLevel="0" collapsed="false">
      <c r="A5686" s="102"/>
      <c r="E5686" s="103" t="str">
        <f aca="false">IF($C5686="","",IFERROR(INDEX(المنيو!$C$2:$C$500,MATCH($C5686,المنيو!$B$2:$B$500,0)),0))</f>
        <v/>
      </c>
      <c r="F5686" s="103" t="str">
        <f aca="false">IF($C5686="","",$D5686*$E5686)</f>
        <v/>
      </c>
      <c r="G5686" s="103" t="str">
        <f aca="false">IF($C5686="","",$D5686*IFERROR(INDEX('تحليل التكلفة والسعر'!$C$2:$C$700,MATCH($C5686,'تحليل التكلفة والسعر'!$B$2:$B$700,0)),0))</f>
        <v/>
      </c>
    </row>
    <row r="5687" customFormat="false" ht="15" hidden="false" customHeight="false" outlineLevel="0" collapsed="false">
      <c r="A5687" s="102"/>
      <c r="E5687" s="103" t="str">
        <f aca="false">IF($C5687="","",IFERROR(INDEX(المنيو!$C$2:$C$500,MATCH($C5687,المنيو!$B$2:$B$500,0)),0))</f>
        <v/>
      </c>
      <c r="F5687" s="103" t="str">
        <f aca="false">IF($C5687="","",$D5687*$E5687)</f>
        <v/>
      </c>
      <c r="G5687" s="103" t="str">
        <f aca="false">IF($C5687="","",$D5687*IFERROR(INDEX('تحليل التكلفة والسعر'!$C$2:$C$700,MATCH($C5687,'تحليل التكلفة والسعر'!$B$2:$B$700,0)),0))</f>
        <v/>
      </c>
    </row>
    <row r="5688" customFormat="false" ht="15" hidden="false" customHeight="false" outlineLevel="0" collapsed="false">
      <c r="A5688" s="102"/>
      <c r="E5688" s="103" t="str">
        <f aca="false">IF($C5688="","",IFERROR(INDEX(المنيو!$C$2:$C$500,MATCH($C5688,المنيو!$B$2:$B$500,0)),0))</f>
        <v/>
      </c>
      <c r="F5688" s="103" t="str">
        <f aca="false">IF($C5688="","",$D5688*$E5688)</f>
        <v/>
      </c>
      <c r="G5688" s="103" t="str">
        <f aca="false">IF($C5688="","",$D5688*IFERROR(INDEX('تحليل التكلفة والسعر'!$C$2:$C$700,MATCH($C5688,'تحليل التكلفة والسعر'!$B$2:$B$700,0)),0))</f>
        <v/>
      </c>
    </row>
    <row r="5689" customFormat="false" ht="15" hidden="false" customHeight="false" outlineLevel="0" collapsed="false">
      <c r="A5689" s="102"/>
      <c r="E5689" s="103" t="str">
        <f aca="false">IF($C5689="","",IFERROR(INDEX(المنيو!$C$2:$C$500,MATCH($C5689,المنيو!$B$2:$B$500,0)),0))</f>
        <v/>
      </c>
      <c r="F5689" s="103" t="str">
        <f aca="false">IF($C5689="","",$D5689*$E5689)</f>
        <v/>
      </c>
      <c r="G5689" s="103" t="str">
        <f aca="false">IF($C5689="","",$D5689*IFERROR(INDEX('تحليل التكلفة والسعر'!$C$2:$C$700,MATCH($C5689,'تحليل التكلفة والسعر'!$B$2:$B$700,0)),0))</f>
        <v/>
      </c>
    </row>
    <row r="5690" customFormat="false" ht="15" hidden="false" customHeight="false" outlineLevel="0" collapsed="false">
      <c r="A5690" s="102"/>
      <c r="E5690" s="103" t="str">
        <f aca="false">IF($C5690="","",IFERROR(INDEX(المنيو!$C$2:$C$500,MATCH($C5690,المنيو!$B$2:$B$500,0)),0))</f>
        <v/>
      </c>
      <c r="F5690" s="103" t="str">
        <f aca="false">IF($C5690="","",$D5690*$E5690)</f>
        <v/>
      </c>
      <c r="G5690" s="103" t="str">
        <f aca="false">IF($C5690="","",$D5690*IFERROR(INDEX('تحليل التكلفة والسعر'!$C$2:$C$700,MATCH($C5690,'تحليل التكلفة والسعر'!$B$2:$B$700,0)),0))</f>
        <v/>
      </c>
    </row>
    <row r="5691" customFormat="false" ht="15" hidden="false" customHeight="false" outlineLevel="0" collapsed="false">
      <c r="A5691" s="102"/>
      <c r="E5691" s="103" t="str">
        <f aca="false">IF($C5691="","",IFERROR(INDEX(المنيو!$C$2:$C$500,MATCH($C5691,المنيو!$B$2:$B$500,0)),0))</f>
        <v/>
      </c>
      <c r="F5691" s="103" t="str">
        <f aca="false">IF($C5691="","",$D5691*$E5691)</f>
        <v/>
      </c>
      <c r="G5691" s="103" t="str">
        <f aca="false">IF($C5691="","",$D5691*IFERROR(INDEX('تحليل التكلفة والسعر'!$C$2:$C$700,MATCH($C5691,'تحليل التكلفة والسعر'!$B$2:$B$700,0)),0))</f>
        <v/>
      </c>
    </row>
    <row r="5692" customFormat="false" ht="15" hidden="false" customHeight="false" outlineLevel="0" collapsed="false">
      <c r="A5692" s="102"/>
      <c r="E5692" s="103" t="str">
        <f aca="false">IF($C5692="","",IFERROR(INDEX(المنيو!$C$2:$C$500,MATCH($C5692,المنيو!$B$2:$B$500,0)),0))</f>
        <v/>
      </c>
      <c r="F5692" s="103" t="str">
        <f aca="false">IF($C5692="","",$D5692*$E5692)</f>
        <v/>
      </c>
      <c r="G5692" s="103" t="str">
        <f aca="false">IF($C5692="","",$D5692*IFERROR(INDEX('تحليل التكلفة والسعر'!$C$2:$C$700,MATCH($C5692,'تحليل التكلفة والسعر'!$B$2:$B$700,0)),0))</f>
        <v/>
      </c>
    </row>
    <row r="5693" customFormat="false" ht="15" hidden="false" customHeight="false" outlineLevel="0" collapsed="false">
      <c r="A5693" s="102"/>
      <c r="E5693" s="103" t="str">
        <f aca="false">IF($C5693="","",IFERROR(INDEX(المنيو!$C$2:$C$500,MATCH($C5693,المنيو!$B$2:$B$500,0)),0))</f>
        <v/>
      </c>
      <c r="F5693" s="103" t="str">
        <f aca="false">IF($C5693="","",$D5693*$E5693)</f>
        <v/>
      </c>
      <c r="G5693" s="103" t="str">
        <f aca="false">IF($C5693="","",$D5693*IFERROR(INDEX('تحليل التكلفة والسعر'!$C$2:$C$700,MATCH($C5693,'تحليل التكلفة والسعر'!$B$2:$B$700,0)),0))</f>
        <v/>
      </c>
    </row>
    <row r="5694" customFormat="false" ht="15" hidden="false" customHeight="false" outlineLevel="0" collapsed="false">
      <c r="A5694" s="102"/>
      <c r="E5694" s="103" t="str">
        <f aca="false">IF($C5694="","",IFERROR(INDEX(المنيو!$C$2:$C$500,MATCH($C5694,المنيو!$B$2:$B$500,0)),0))</f>
        <v/>
      </c>
      <c r="F5694" s="103" t="str">
        <f aca="false">IF($C5694="","",$D5694*$E5694)</f>
        <v/>
      </c>
      <c r="G5694" s="103" t="str">
        <f aca="false">IF($C5694="","",$D5694*IFERROR(INDEX('تحليل التكلفة والسعر'!$C$2:$C$700,MATCH($C5694,'تحليل التكلفة والسعر'!$B$2:$B$700,0)),0))</f>
        <v/>
      </c>
    </row>
    <row r="5695" customFormat="false" ht="15" hidden="false" customHeight="false" outlineLevel="0" collapsed="false">
      <c r="A5695" s="102"/>
      <c r="E5695" s="103" t="str">
        <f aca="false">IF($C5695="","",IFERROR(INDEX(المنيو!$C$2:$C$500,MATCH($C5695,المنيو!$B$2:$B$500,0)),0))</f>
        <v/>
      </c>
      <c r="F5695" s="103" t="str">
        <f aca="false">IF($C5695="","",$D5695*$E5695)</f>
        <v/>
      </c>
      <c r="G5695" s="103" t="str">
        <f aca="false">IF($C5695="","",$D5695*IFERROR(INDEX('تحليل التكلفة والسعر'!$C$2:$C$700,MATCH($C5695,'تحليل التكلفة والسعر'!$B$2:$B$700,0)),0))</f>
        <v/>
      </c>
    </row>
    <row r="5696" customFormat="false" ht="15" hidden="false" customHeight="false" outlineLevel="0" collapsed="false">
      <c r="A5696" s="102"/>
      <c r="E5696" s="103" t="str">
        <f aca="false">IF($C5696="","",IFERROR(INDEX(المنيو!$C$2:$C$500,MATCH($C5696,المنيو!$B$2:$B$500,0)),0))</f>
        <v/>
      </c>
      <c r="F5696" s="103" t="str">
        <f aca="false">IF($C5696="","",$D5696*$E5696)</f>
        <v/>
      </c>
      <c r="G5696" s="103" t="str">
        <f aca="false">IF($C5696="","",$D5696*IFERROR(INDEX('تحليل التكلفة والسعر'!$C$2:$C$700,MATCH($C5696,'تحليل التكلفة والسعر'!$B$2:$B$700,0)),0))</f>
        <v/>
      </c>
    </row>
    <row r="5697" customFormat="false" ht="15" hidden="false" customHeight="false" outlineLevel="0" collapsed="false">
      <c r="A5697" s="102"/>
      <c r="E5697" s="103" t="str">
        <f aca="false">IF($C5697="","",IFERROR(INDEX(المنيو!$C$2:$C$500,MATCH($C5697,المنيو!$B$2:$B$500,0)),0))</f>
        <v/>
      </c>
      <c r="F5697" s="103" t="str">
        <f aca="false">IF($C5697="","",$D5697*$E5697)</f>
        <v/>
      </c>
      <c r="G5697" s="103" t="str">
        <f aca="false">IF($C5697="","",$D5697*IFERROR(INDEX('تحليل التكلفة والسعر'!$C$2:$C$700,MATCH($C5697,'تحليل التكلفة والسعر'!$B$2:$B$700,0)),0))</f>
        <v/>
      </c>
    </row>
    <row r="5698" customFormat="false" ht="15" hidden="false" customHeight="false" outlineLevel="0" collapsed="false">
      <c r="A5698" s="102"/>
      <c r="E5698" s="103" t="str">
        <f aca="false">IF($C5698="","",IFERROR(INDEX(المنيو!$C$2:$C$500,MATCH($C5698,المنيو!$B$2:$B$500,0)),0))</f>
        <v/>
      </c>
      <c r="F5698" s="103" t="str">
        <f aca="false">IF($C5698="","",$D5698*$E5698)</f>
        <v/>
      </c>
      <c r="G5698" s="103" t="str">
        <f aca="false">IF($C5698="","",$D5698*IFERROR(INDEX('تحليل التكلفة والسعر'!$C$2:$C$700,MATCH($C5698,'تحليل التكلفة والسعر'!$B$2:$B$700,0)),0))</f>
        <v/>
      </c>
    </row>
    <row r="5699" customFormat="false" ht="15" hidden="false" customHeight="false" outlineLevel="0" collapsed="false">
      <c r="A5699" s="102"/>
      <c r="E5699" s="103" t="str">
        <f aca="false">IF($C5699="","",IFERROR(INDEX(المنيو!$C$2:$C$500,MATCH($C5699,المنيو!$B$2:$B$500,0)),0))</f>
        <v/>
      </c>
      <c r="F5699" s="103" t="str">
        <f aca="false">IF($C5699="","",$D5699*$E5699)</f>
        <v/>
      </c>
      <c r="G5699" s="103" t="str">
        <f aca="false">IF($C5699="","",$D5699*IFERROR(INDEX('تحليل التكلفة والسعر'!$C$2:$C$700,MATCH($C5699,'تحليل التكلفة والسعر'!$B$2:$B$700,0)),0))</f>
        <v/>
      </c>
    </row>
    <row r="5700" customFormat="false" ht="15" hidden="false" customHeight="false" outlineLevel="0" collapsed="false">
      <c r="A5700" s="102"/>
      <c r="E5700" s="103" t="str">
        <f aca="false">IF($C5700="","",IFERROR(INDEX(المنيو!$C$2:$C$500,MATCH($C5700,المنيو!$B$2:$B$500,0)),0))</f>
        <v/>
      </c>
      <c r="F5700" s="103" t="str">
        <f aca="false">IF($C5700="","",$D5700*$E5700)</f>
        <v/>
      </c>
      <c r="G5700" s="103" t="str">
        <f aca="false">IF($C5700="","",$D5700*IFERROR(INDEX('تحليل التكلفة والسعر'!$C$2:$C$700,MATCH($C5700,'تحليل التكلفة والسعر'!$B$2:$B$700,0)),0))</f>
        <v/>
      </c>
    </row>
    <row r="5701" customFormat="false" ht="15" hidden="false" customHeight="false" outlineLevel="0" collapsed="false">
      <c r="A5701" s="102"/>
      <c r="E5701" s="103" t="str">
        <f aca="false">IF($C5701="","",IFERROR(INDEX(المنيو!$C$2:$C$500,MATCH($C5701,المنيو!$B$2:$B$500,0)),0))</f>
        <v/>
      </c>
      <c r="F5701" s="103" t="str">
        <f aca="false">IF($C5701="","",$D5701*$E5701)</f>
        <v/>
      </c>
      <c r="G5701" s="103" t="str">
        <f aca="false">IF($C5701="","",$D5701*IFERROR(INDEX('تحليل التكلفة والسعر'!$C$2:$C$700,MATCH($C5701,'تحليل التكلفة والسعر'!$B$2:$B$700,0)),0))</f>
        <v/>
      </c>
    </row>
    <row r="5702" customFormat="false" ht="15" hidden="false" customHeight="false" outlineLevel="0" collapsed="false">
      <c r="A5702" s="102"/>
      <c r="E5702" s="103" t="str">
        <f aca="false">IF($C5702="","",IFERROR(INDEX(المنيو!$C$2:$C$500,MATCH($C5702,المنيو!$B$2:$B$500,0)),0))</f>
        <v/>
      </c>
      <c r="F5702" s="103" t="str">
        <f aca="false">IF($C5702="","",$D5702*$E5702)</f>
        <v/>
      </c>
      <c r="G5702" s="103" t="str">
        <f aca="false">IF($C5702="","",$D5702*IFERROR(INDEX('تحليل التكلفة والسعر'!$C$2:$C$700,MATCH($C5702,'تحليل التكلفة والسعر'!$B$2:$B$700,0)),0))</f>
        <v/>
      </c>
    </row>
    <row r="5703" customFormat="false" ht="15" hidden="false" customHeight="false" outlineLevel="0" collapsed="false">
      <c r="A5703" s="102"/>
      <c r="E5703" s="103" t="str">
        <f aca="false">IF($C5703="","",IFERROR(INDEX(المنيو!$C$2:$C$500,MATCH($C5703,المنيو!$B$2:$B$500,0)),0))</f>
        <v/>
      </c>
      <c r="F5703" s="103" t="str">
        <f aca="false">IF($C5703="","",$D5703*$E5703)</f>
        <v/>
      </c>
      <c r="G5703" s="103" t="str">
        <f aca="false">IF($C5703="","",$D5703*IFERROR(INDEX('تحليل التكلفة والسعر'!$C$2:$C$700,MATCH($C5703,'تحليل التكلفة والسعر'!$B$2:$B$700,0)),0))</f>
        <v/>
      </c>
    </row>
    <row r="5704" customFormat="false" ht="15" hidden="false" customHeight="false" outlineLevel="0" collapsed="false">
      <c r="A5704" s="102"/>
      <c r="E5704" s="103" t="str">
        <f aca="false">IF($C5704="","",IFERROR(INDEX(المنيو!$C$2:$C$500,MATCH($C5704,المنيو!$B$2:$B$500,0)),0))</f>
        <v/>
      </c>
      <c r="F5704" s="103" t="str">
        <f aca="false">IF($C5704="","",$D5704*$E5704)</f>
        <v/>
      </c>
      <c r="G5704" s="103" t="str">
        <f aca="false">IF($C5704="","",$D5704*IFERROR(INDEX('تحليل التكلفة والسعر'!$C$2:$C$700,MATCH($C5704,'تحليل التكلفة والسعر'!$B$2:$B$700,0)),0))</f>
        <v/>
      </c>
    </row>
    <row r="5705" customFormat="false" ht="15" hidden="false" customHeight="false" outlineLevel="0" collapsed="false">
      <c r="A5705" s="102"/>
      <c r="E5705" s="103" t="str">
        <f aca="false">IF($C5705="","",IFERROR(INDEX(المنيو!$C$2:$C$500,MATCH($C5705,المنيو!$B$2:$B$500,0)),0))</f>
        <v/>
      </c>
      <c r="F5705" s="103" t="str">
        <f aca="false">IF($C5705="","",$D5705*$E5705)</f>
        <v/>
      </c>
      <c r="G5705" s="103" t="str">
        <f aca="false">IF($C5705="","",$D5705*IFERROR(INDEX('تحليل التكلفة والسعر'!$C$2:$C$700,MATCH($C5705,'تحليل التكلفة والسعر'!$B$2:$B$700,0)),0))</f>
        <v/>
      </c>
    </row>
    <row r="5706" customFormat="false" ht="15" hidden="false" customHeight="false" outlineLevel="0" collapsed="false">
      <c r="A5706" s="102"/>
      <c r="E5706" s="103" t="str">
        <f aca="false">IF($C5706="","",IFERROR(INDEX(المنيو!$C$2:$C$500,MATCH($C5706,المنيو!$B$2:$B$500,0)),0))</f>
        <v/>
      </c>
      <c r="F5706" s="103" t="str">
        <f aca="false">IF($C5706="","",$D5706*$E5706)</f>
        <v/>
      </c>
      <c r="G5706" s="103" t="str">
        <f aca="false">IF($C5706="","",$D5706*IFERROR(INDEX('تحليل التكلفة والسعر'!$C$2:$C$700,MATCH($C5706,'تحليل التكلفة والسعر'!$B$2:$B$700,0)),0))</f>
        <v/>
      </c>
    </row>
    <row r="5707" customFormat="false" ht="15" hidden="false" customHeight="false" outlineLevel="0" collapsed="false">
      <c r="A5707" s="102"/>
      <c r="E5707" s="103" t="str">
        <f aca="false">IF($C5707="","",IFERROR(INDEX(المنيو!$C$2:$C$500,MATCH($C5707,المنيو!$B$2:$B$500,0)),0))</f>
        <v/>
      </c>
      <c r="F5707" s="103" t="str">
        <f aca="false">IF($C5707="","",$D5707*$E5707)</f>
        <v/>
      </c>
      <c r="G5707" s="103" t="str">
        <f aca="false">IF($C5707="","",$D5707*IFERROR(INDEX('تحليل التكلفة والسعر'!$C$2:$C$700,MATCH($C5707,'تحليل التكلفة والسعر'!$B$2:$B$700,0)),0))</f>
        <v/>
      </c>
    </row>
    <row r="5708" customFormat="false" ht="15" hidden="false" customHeight="false" outlineLevel="0" collapsed="false">
      <c r="A5708" s="102"/>
      <c r="E5708" s="103" t="str">
        <f aca="false">IF($C5708="","",IFERROR(INDEX(المنيو!$C$2:$C$500,MATCH($C5708,المنيو!$B$2:$B$500,0)),0))</f>
        <v/>
      </c>
      <c r="F5708" s="103" t="str">
        <f aca="false">IF($C5708="","",$D5708*$E5708)</f>
        <v/>
      </c>
      <c r="G5708" s="103" t="str">
        <f aca="false">IF($C5708="","",$D5708*IFERROR(INDEX('تحليل التكلفة والسعر'!$C$2:$C$700,MATCH($C5708,'تحليل التكلفة والسعر'!$B$2:$B$700,0)),0))</f>
        <v/>
      </c>
    </row>
    <row r="5709" customFormat="false" ht="15" hidden="false" customHeight="false" outlineLevel="0" collapsed="false">
      <c r="A5709" s="102"/>
      <c r="E5709" s="103" t="str">
        <f aca="false">IF($C5709="","",IFERROR(INDEX(المنيو!$C$2:$C$500,MATCH($C5709,المنيو!$B$2:$B$500,0)),0))</f>
        <v/>
      </c>
      <c r="F5709" s="103" t="str">
        <f aca="false">IF($C5709="","",$D5709*$E5709)</f>
        <v/>
      </c>
      <c r="G5709" s="103" t="str">
        <f aca="false">IF($C5709="","",$D5709*IFERROR(INDEX('تحليل التكلفة والسعر'!$C$2:$C$700,MATCH($C5709,'تحليل التكلفة والسعر'!$B$2:$B$700,0)),0))</f>
        <v/>
      </c>
    </row>
    <row r="5710" customFormat="false" ht="15" hidden="false" customHeight="false" outlineLevel="0" collapsed="false">
      <c r="A5710" s="102"/>
      <c r="E5710" s="103" t="str">
        <f aca="false">IF($C5710="","",IFERROR(INDEX(المنيو!$C$2:$C$500,MATCH($C5710,المنيو!$B$2:$B$500,0)),0))</f>
        <v/>
      </c>
      <c r="F5710" s="103" t="str">
        <f aca="false">IF($C5710="","",$D5710*$E5710)</f>
        <v/>
      </c>
      <c r="G5710" s="103" t="str">
        <f aca="false">IF($C5710="","",$D5710*IFERROR(INDEX('تحليل التكلفة والسعر'!$C$2:$C$700,MATCH($C5710,'تحليل التكلفة والسعر'!$B$2:$B$700,0)),0))</f>
        <v/>
      </c>
    </row>
    <row r="5711" customFormat="false" ht="15" hidden="false" customHeight="false" outlineLevel="0" collapsed="false">
      <c r="A5711" s="102"/>
      <c r="E5711" s="103" t="str">
        <f aca="false">IF($C5711="","",IFERROR(INDEX(المنيو!$C$2:$C$500,MATCH($C5711,المنيو!$B$2:$B$500,0)),0))</f>
        <v/>
      </c>
      <c r="F5711" s="103" t="str">
        <f aca="false">IF($C5711="","",$D5711*$E5711)</f>
        <v/>
      </c>
      <c r="G5711" s="103" t="str">
        <f aca="false">IF($C5711="","",$D5711*IFERROR(INDEX('تحليل التكلفة والسعر'!$C$2:$C$700,MATCH($C5711,'تحليل التكلفة والسعر'!$B$2:$B$700,0)),0))</f>
        <v/>
      </c>
    </row>
    <row r="5712" customFormat="false" ht="15" hidden="false" customHeight="false" outlineLevel="0" collapsed="false">
      <c r="A5712" s="102"/>
      <c r="E5712" s="103" t="str">
        <f aca="false">IF($C5712="","",IFERROR(INDEX(المنيو!$C$2:$C$500,MATCH($C5712,المنيو!$B$2:$B$500,0)),0))</f>
        <v/>
      </c>
      <c r="F5712" s="103" t="str">
        <f aca="false">IF($C5712="","",$D5712*$E5712)</f>
        <v/>
      </c>
      <c r="G5712" s="103" t="str">
        <f aca="false">IF($C5712="","",$D5712*IFERROR(INDEX('تحليل التكلفة والسعر'!$C$2:$C$700,MATCH($C5712,'تحليل التكلفة والسعر'!$B$2:$B$700,0)),0))</f>
        <v/>
      </c>
    </row>
    <row r="5713" customFormat="false" ht="15" hidden="false" customHeight="false" outlineLevel="0" collapsed="false">
      <c r="A5713" s="102"/>
      <c r="E5713" s="103" t="str">
        <f aca="false">IF($C5713="","",IFERROR(INDEX(المنيو!$C$2:$C$500,MATCH($C5713,المنيو!$B$2:$B$500,0)),0))</f>
        <v/>
      </c>
      <c r="F5713" s="103" t="str">
        <f aca="false">IF($C5713="","",$D5713*$E5713)</f>
        <v/>
      </c>
      <c r="G5713" s="103" t="str">
        <f aca="false">IF($C5713="","",$D5713*IFERROR(INDEX('تحليل التكلفة والسعر'!$C$2:$C$700,MATCH($C5713,'تحليل التكلفة والسعر'!$B$2:$B$700,0)),0))</f>
        <v/>
      </c>
    </row>
    <row r="5714" customFormat="false" ht="15" hidden="false" customHeight="false" outlineLevel="0" collapsed="false">
      <c r="A5714" s="102"/>
      <c r="E5714" s="103" t="str">
        <f aca="false">IF($C5714="","",IFERROR(INDEX(المنيو!$C$2:$C$500,MATCH($C5714,المنيو!$B$2:$B$500,0)),0))</f>
        <v/>
      </c>
      <c r="F5714" s="103" t="str">
        <f aca="false">IF($C5714="","",$D5714*$E5714)</f>
        <v/>
      </c>
      <c r="G5714" s="103" t="str">
        <f aca="false">IF($C5714="","",$D5714*IFERROR(INDEX('تحليل التكلفة والسعر'!$C$2:$C$700,MATCH($C5714,'تحليل التكلفة والسعر'!$B$2:$B$700,0)),0))</f>
        <v/>
      </c>
    </row>
    <row r="5715" customFormat="false" ht="15" hidden="false" customHeight="false" outlineLevel="0" collapsed="false">
      <c r="A5715" s="102"/>
      <c r="E5715" s="103" t="str">
        <f aca="false">IF($C5715="","",IFERROR(INDEX(المنيو!$C$2:$C$500,MATCH($C5715,المنيو!$B$2:$B$500,0)),0))</f>
        <v/>
      </c>
      <c r="F5715" s="103" t="str">
        <f aca="false">IF($C5715="","",$D5715*$E5715)</f>
        <v/>
      </c>
      <c r="G5715" s="103" t="str">
        <f aca="false">IF($C5715="","",$D5715*IFERROR(INDEX('تحليل التكلفة والسعر'!$C$2:$C$700,MATCH($C5715,'تحليل التكلفة والسعر'!$B$2:$B$700,0)),0))</f>
        <v/>
      </c>
    </row>
    <row r="5716" customFormat="false" ht="15" hidden="false" customHeight="false" outlineLevel="0" collapsed="false">
      <c r="A5716" s="102"/>
      <c r="E5716" s="103" t="str">
        <f aca="false">IF($C5716="","",IFERROR(INDEX(المنيو!$C$2:$C$500,MATCH($C5716,المنيو!$B$2:$B$500,0)),0))</f>
        <v/>
      </c>
      <c r="F5716" s="103" t="str">
        <f aca="false">IF($C5716="","",$D5716*$E5716)</f>
        <v/>
      </c>
      <c r="G5716" s="103" t="str">
        <f aca="false">IF($C5716="","",$D5716*IFERROR(INDEX('تحليل التكلفة والسعر'!$C$2:$C$700,MATCH($C5716,'تحليل التكلفة والسعر'!$B$2:$B$700,0)),0))</f>
        <v/>
      </c>
    </row>
    <row r="5717" customFormat="false" ht="15" hidden="false" customHeight="false" outlineLevel="0" collapsed="false">
      <c r="A5717" s="102"/>
      <c r="E5717" s="103" t="str">
        <f aca="false">IF($C5717="","",IFERROR(INDEX(المنيو!$C$2:$C$500,MATCH($C5717,المنيو!$B$2:$B$500,0)),0))</f>
        <v/>
      </c>
      <c r="F5717" s="103" t="str">
        <f aca="false">IF($C5717="","",$D5717*$E5717)</f>
        <v/>
      </c>
      <c r="G5717" s="103" t="str">
        <f aca="false">IF($C5717="","",$D5717*IFERROR(INDEX('تحليل التكلفة والسعر'!$C$2:$C$700,MATCH($C5717,'تحليل التكلفة والسعر'!$B$2:$B$700,0)),0))</f>
        <v/>
      </c>
    </row>
    <row r="5718" customFormat="false" ht="15" hidden="false" customHeight="false" outlineLevel="0" collapsed="false">
      <c r="A5718" s="102"/>
      <c r="E5718" s="103" t="str">
        <f aca="false">IF($C5718="","",IFERROR(INDEX(المنيو!$C$2:$C$500,MATCH($C5718,المنيو!$B$2:$B$500,0)),0))</f>
        <v/>
      </c>
      <c r="F5718" s="103" t="str">
        <f aca="false">IF($C5718="","",$D5718*$E5718)</f>
        <v/>
      </c>
      <c r="G5718" s="103" t="str">
        <f aca="false">IF($C5718="","",$D5718*IFERROR(INDEX('تحليل التكلفة والسعر'!$C$2:$C$700,MATCH($C5718,'تحليل التكلفة والسعر'!$B$2:$B$700,0)),0))</f>
        <v/>
      </c>
    </row>
    <row r="5719" customFormat="false" ht="15" hidden="false" customHeight="false" outlineLevel="0" collapsed="false">
      <c r="A5719" s="102"/>
      <c r="E5719" s="103" t="str">
        <f aca="false">IF($C5719="","",IFERROR(INDEX(المنيو!$C$2:$C$500,MATCH($C5719,المنيو!$B$2:$B$500,0)),0))</f>
        <v/>
      </c>
      <c r="F5719" s="103" t="str">
        <f aca="false">IF($C5719="","",$D5719*$E5719)</f>
        <v/>
      </c>
      <c r="G5719" s="103" t="str">
        <f aca="false">IF($C5719="","",$D5719*IFERROR(INDEX('تحليل التكلفة والسعر'!$C$2:$C$700,MATCH($C5719,'تحليل التكلفة والسعر'!$B$2:$B$700,0)),0))</f>
        <v/>
      </c>
    </row>
    <row r="5720" customFormat="false" ht="15" hidden="false" customHeight="false" outlineLevel="0" collapsed="false">
      <c r="A5720" s="102"/>
      <c r="E5720" s="103" t="str">
        <f aca="false">IF($C5720="","",IFERROR(INDEX(المنيو!$C$2:$C$500,MATCH($C5720,المنيو!$B$2:$B$500,0)),0))</f>
        <v/>
      </c>
      <c r="F5720" s="103" t="str">
        <f aca="false">IF($C5720="","",$D5720*$E5720)</f>
        <v/>
      </c>
      <c r="G5720" s="103" t="str">
        <f aca="false">IF($C5720="","",$D5720*IFERROR(INDEX('تحليل التكلفة والسعر'!$C$2:$C$700,MATCH($C5720,'تحليل التكلفة والسعر'!$B$2:$B$700,0)),0))</f>
        <v/>
      </c>
    </row>
    <row r="5721" customFormat="false" ht="15" hidden="false" customHeight="false" outlineLevel="0" collapsed="false">
      <c r="A5721" s="102"/>
      <c r="E5721" s="103" t="str">
        <f aca="false">IF($C5721="","",IFERROR(INDEX(المنيو!$C$2:$C$500,MATCH($C5721,المنيو!$B$2:$B$500,0)),0))</f>
        <v/>
      </c>
      <c r="F5721" s="103" t="str">
        <f aca="false">IF($C5721="","",$D5721*$E5721)</f>
        <v/>
      </c>
      <c r="G5721" s="103" t="str">
        <f aca="false">IF($C5721="","",$D5721*IFERROR(INDEX('تحليل التكلفة والسعر'!$C$2:$C$700,MATCH($C5721,'تحليل التكلفة والسعر'!$B$2:$B$700,0)),0))</f>
        <v/>
      </c>
    </row>
    <row r="5722" customFormat="false" ht="15" hidden="false" customHeight="false" outlineLevel="0" collapsed="false">
      <c r="A5722" s="102"/>
      <c r="E5722" s="103" t="str">
        <f aca="false">IF($C5722="","",IFERROR(INDEX(المنيو!$C$2:$C$500,MATCH($C5722,المنيو!$B$2:$B$500,0)),0))</f>
        <v/>
      </c>
      <c r="F5722" s="103" t="str">
        <f aca="false">IF($C5722="","",$D5722*$E5722)</f>
        <v/>
      </c>
      <c r="G5722" s="103" t="str">
        <f aca="false">IF($C5722="","",$D5722*IFERROR(INDEX('تحليل التكلفة والسعر'!$C$2:$C$700,MATCH($C5722,'تحليل التكلفة والسعر'!$B$2:$B$700,0)),0))</f>
        <v/>
      </c>
    </row>
    <row r="5723" customFormat="false" ht="15" hidden="false" customHeight="false" outlineLevel="0" collapsed="false">
      <c r="A5723" s="102"/>
      <c r="E5723" s="103" t="str">
        <f aca="false">IF($C5723="","",IFERROR(INDEX(المنيو!$C$2:$C$500,MATCH($C5723,المنيو!$B$2:$B$500,0)),0))</f>
        <v/>
      </c>
      <c r="F5723" s="103" t="str">
        <f aca="false">IF($C5723="","",$D5723*$E5723)</f>
        <v/>
      </c>
      <c r="G5723" s="103" t="str">
        <f aca="false">IF($C5723="","",$D5723*IFERROR(INDEX('تحليل التكلفة والسعر'!$C$2:$C$700,MATCH($C5723,'تحليل التكلفة والسعر'!$B$2:$B$700,0)),0))</f>
        <v/>
      </c>
    </row>
    <row r="5724" customFormat="false" ht="15" hidden="false" customHeight="false" outlineLevel="0" collapsed="false">
      <c r="A5724" s="102"/>
      <c r="E5724" s="103" t="str">
        <f aca="false">IF($C5724="","",IFERROR(INDEX(المنيو!$C$2:$C$500,MATCH($C5724,المنيو!$B$2:$B$500,0)),0))</f>
        <v/>
      </c>
      <c r="F5724" s="103" t="str">
        <f aca="false">IF($C5724="","",$D5724*$E5724)</f>
        <v/>
      </c>
      <c r="G5724" s="103" t="str">
        <f aca="false">IF($C5724="","",$D5724*IFERROR(INDEX('تحليل التكلفة والسعر'!$C$2:$C$700,MATCH($C5724,'تحليل التكلفة والسعر'!$B$2:$B$700,0)),0))</f>
        <v/>
      </c>
    </row>
    <row r="5725" customFormat="false" ht="15" hidden="false" customHeight="false" outlineLevel="0" collapsed="false">
      <c r="A5725" s="102"/>
      <c r="E5725" s="103" t="str">
        <f aca="false">IF($C5725="","",IFERROR(INDEX(المنيو!$C$2:$C$500,MATCH($C5725,المنيو!$B$2:$B$500,0)),0))</f>
        <v/>
      </c>
      <c r="F5725" s="103" t="str">
        <f aca="false">IF($C5725="","",$D5725*$E5725)</f>
        <v/>
      </c>
      <c r="G5725" s="103" t="str">
        <f aca="false">IF($C5725="","",$D5725*IFERROR(INDEX('تحليل التكلفة والسعر'!$C$2:$C$700,MATCH($C5725,'تحليل التكلفة والسعر'!$B$2:$B$700,0)),0))</f>
        <v/>
      </c>
    </row>
    <row r="5726" customFormat="false" ht="15" hidden="false" customHeight="false" outlineLevel="0" collapsed="false">
      <c r="A5726" s="102"/>
      <c r="E5726" s="103" t="str">
        <f aca="false">IF($C5726="","",IFERROR(INDEX(المنيو!$C$2:$C$500,MATCH($C5726,المنيو!$B$2:$B$500,0)),0))</f>
        <v/>
      </c>
      <c r="F5726" s="103" t="str">
        <f aca="false">IF($C5726="","",$D5726*$E5726)</f>
        <v/>
      </c>
      <c r="G5726" s="103" t="str">
        <f aca="false">IF($C5726="","",$D5726*IFERROR(INDEX('تحليل التكلفة والسعر'!$C$2:$C$700,MATCH($C5726,'تحليل التكلفة والسعر'!$B$2:$B$700,0)),0))</f>
        <v/>
      </c>
    </row>
    <row r="5727" customFormat="false" ht="15" hidden="false" customHeight="false" outlineLevel="0" collapsed="false">
      <c r="A5727" s="102"/>
      <c r="E5727" s="103" t="str">
        <f aca="false">IF($C5727="","",IFERROR(INDEX(المنيو!$C$2:$C$500,MATCH($C5727,المنيو!$B$2:$B$500,0)),0))</f>
        <v/>
      </c>
      <c r="F5727" s="103" t="str">
        <f aca="false">IF($C5727="","",$D5727*$E5727)</f>
        <v/>
      </c>
      <c r="G5727" s="103" t="str">
        <f aca="false">IF($C5727="","",$D5727*IFERROR(INDEX('تحليل التكلفة والسعر'!$C$2:$C$700,MATCH($C5727,'تحليل التكلفة والسعر'!$B$2:$B$700,0)),0))</f>
        <v/>
      </c>
    </row>
    <row r="5728" customFormat="false" ht="15" hidden="false" customHeight="false" outlineLevel="0" collapsed="false">
      <c r="A5728" s="102"/>
      <c r="E5728" s="103" t="str">
        <f aca="false">IF($C5728="","",IFERROR(INDEX(المنيو!$C$2:$C$500,MATCH($C5728,المنيو!$B$2:$B$500,0)),0))</f>
        <v/>
      </c>
      <c r="F5728" s="103" t="str">
        <f aca="false">IF($C5728="","",$D5728*$E5728)</f>
        <v/>
      </c>
      <c r="G5728" s="103" t="str">
        <f aca="false">IF($C5728="","",$D5728*IFERROR(INDEX('تحليل التكلفة والسعر'!$C$2:$C$700,MATCH($C5728,'تحليل التكلفة والسعر'!$B$2:$B$700,0)),0))</f>
        <v/>
      </c>
    </row>
    <row r="5729" customFormat="false" ht="15" hidden="false" customHeight="false" outlineLevel="0" collapsed="false">
      <c r="A5729" s="102"/>
      <c r="E5729" s="103" t="str">
        <f aca="false">IF($C5729="","",IFERROR(INDEX(المنيو!$C$2:$C$500,MATCH($C5729,المنيو!$B$2:$B$500,0)),0))</f>
        <v/>
      </c>
      <c r="F5729" s="103" t="str">
        <f aca="false">IF($C5729="","",$D5729*$E5729)</f>
        <v/>
      </c>
      <c r="G5729" s="103" t="str">
        <f aca="false">IF($C5729="","",$D5729*IFERROR(INDEX('تحليل التكلفة والسعر'!$C$2:$C$700,MATCH($C5729,'تحليل التكلفة والسعر'!$B$2:$B$700,0)),0))</f>
        <v/>
      </c>
    </row>
    <row r="5730" customFormat="false" ht="15" hidden="false" customHeight="false" outlineLevel="0" collapsed="false">
      <c r="A5730" s="102"/>
      <c r="E5730" s="103" t="str">
        <f aca="false">IF($C5730="","",IFERROR(INDEX(المنيو!$C$2:$C$500,MATCH($C5730,المنيو!$B$2:$B$500,0)),0))</f>
        <v/>
      </c>
      <c r="F5730" s="103" t="str">
        <f aca="false">IF($C5730="","",$D5730*$E5730)</f>
        <v/>
      </c>
      <c r="G5730" s="103" t="str">
        <f aca="false">IF($C5730="","",$D5730*IFERROR(INDEX('تحليل التكلفة والسعر'!$C$2:$C$700,MATCH($C5730,'تحليل التكلفة والسعر'!$B$2:$B$700,0)),0))</f>
        <v/>
      </c>
    </row>
    <row r="5731" customFormat="false" ht="15" hidden="false" customHeight="false" outlineLevel="0" collapsed="false">
      <c r="A5731" s="102"/>
      <c r="E5731" s="103" t="str">
        <f aca="false">IF($C5731="","",IFERROR(INDEX(المنيو!$C$2:$C$500,MATCH($C5731,المنيو!$B$2:$B$500,0)),0))</f>
        <v/>
      </c>
      <c r="F5731" s="103" t="str">
        <f aca="false">IF($C5731="","",$D5731*$E5731)</f>
        <v/>
      </c>
      <c r="G5731" s="103" t="str">
        <f aca="false">IF($C5731="","",$D5731*IFERROR(INDEX('تحليل التكلفة والسعر'!$C$2:$C$700,MATCH($C5731,'تحليل التكلفة والسعر'!$B$2:$B$700,0)),0))</f>
        <v/>
      </c>
    </row>
    <row r="5732" customFormat="false" ht="15" hidden="false" customHeight="false" outlineLevel="0" collapsed="false">
      <c r="A5732" s="102"/>
      <c r="E5732" s="103" t="str">
        <f aca="false">IF($C5732="","",IFERROR(INDEX(المنيو!$C$2:$C$500,MATCH($C5732,المنيو!$B$2:$B$500,0)),0))</f>
        <v/>
      </c>
      <c r="F5732" s="103" t="str">
        <f aca="false">IF($C5732="","",$D5732*$E5732)</f>
        <v/>
      </c>
      <c r="G5732" s="103" t="str">
        <f aca="false">IF($C5732="","",$D5732*IFERROR(INDEX('تحليل التكلفة والسعر'!$C$2:$C$700,MATCH($C5732,'تحليل التكلفة والسعر'!$B$2:$B$700,0)),0))</f>
        <v/>
      </c>
    </row>
    <row r="5733" customFormat="false" ht="15" hidden="false" customHeight="false" outlineLevel="0" collapsed="false">
      <c r="A5733" s="102"/>
      <c r="E5733" s="103" t="str">
        <f aca="false">IF($C5733="","",IFERROR(INDEX(المنيو!$C$2:$C$500,MATCH($C5733,المنيو!$B$2:$B$500,0)),0))</f>
        <v/>
      </c>
      <c r="F5733" s="103" t="str">
        <f aca="false">IF($C5733="","",$D5733*$E5733)</f>
        <v/>
      </c>
      <c r="G5733" s="103" t="str">
        <f aca="false">IF($C5733="","",$D5733*IFERROR(INDEX('تحليل التكلفة والسعر'!$C$2:$C$700,MATCH($C5733,'تحليل التكلفة والسعر'!$B$2:$B$700,0)),0))</f>
        <v/>
      </c>
    </row>
    <row r="5734" customFormat="false" ht="15" hidden="false" customHeight="false" outlineLevel="0" collapsed="false">
      <c r="A5734" s="102"/>
      <c r="E5734" s="103" t="str">
        <f aca="false">IF($C5734="","",IFERROR(INDEX(المنيو!$C$2:$C$500,MATCH($C5734,المنيو!$B$2:$B$500,0)),0))</f>
        <v/>
      </c>
      <c r="F5734" s="103" t="str">
        <f aca="false">IF($C5734="","",$D5734*$E5734)</f>
        <v/>
      </c>
      <c r="G5734" s="103" t="str">
        <f aca="false">IF($C5734="","",$D5734*IFERROR(INDEX('تحليل التكلفة والسعر'!$C$2:$C$700,MATCH($C5734,'تحليل التكلفة والسعر'!$B$2:$B$700,0)),0))</f>
        <v/>
      </c>
    </row>
    <row r="5735" customFormat="false" ht="15" hidden="false" customHeight="false" outlineLevel="0" collapsed="false">
      <c r="A5735" s="102"/>
      <c r="E5735" s="103" t="str">
        <f aca="false">IF($C5735="","",IFERROR(INDEX(المنيو!$C$2:$C$500,MATCH($C5735,المنيو!$B$2:$B$500,0)),0))</f>
        <v/>
      </c>
      <c r="F5735" s="103" t="str">
        <f aca="false">IF($C5735="","",$D5735*$E5735)</f>
        <v/>
      </c>
      <c r="G5735" s="103" t="str">
        <f aca="false">IF($C5735="","",$D5735*IFERROR(INDEX('تحليل التكلفة والسعر'!$C$2:$C$700,MATCH($C5735,'تحليل التكلفة والسعر'!$B$2:$B$700,0)),0))</f>
        <v/>
      </c>
    </row>
    <row r="5736" customFormat="false" ht="15" hidden="false" customHeight="false" outlineLevel="0" collapsed="false">
      <c r="A5736" s="102"/>
      <c r="E5736" s="103" t="str">
        <f aca="false">IF($C5736="","",IFERROR(INDEX(المنيو!$C$2:$C$500,MATCH($C5736,المنيو!$B$2:$B$500,0)),0))</f>
        <v/>
      </c>
      <c r="F5736" s="103" t="str">
        <f aca="false">IF($C5736="","",$D5736*$E5736)</f>
        <v/>
      </c>
      <c r="G5736" s="103" t="str">
        <f aca="false">IF($C5736="","",$D5736*IFERROR(INDEX('تحليل التكلفة والسعر'!$C$2:$C$700,MATCH($C5736,'تحليل التكلفة والسعر'!$B$2:$B$700,0)),0))</f>
        <v/>
      </c>
    </row>
    <row r="5737" customFormat="false" ht="15" hidden="false" customHeight="false" outlineLevel="0" collapsed="false">
      <c r="A5737" s="102"/>
      <c r="E5737" s="103" t="str">
        <f aca="false">IF($C5737="","",IFERROR(INDEX(المنيو!$C$2:$C$500,MATCH($C5737,المنيو!$B$2:$B$500,0)),0))</f>
        <v/>
      </c>
      <c r="F5737" s="103" t="str">
        <f aca="false">IF($C5737="","",$D5737*$E5737)</f>
        <v/>
      </c>
      <c r="G5737" s="103" t="str">
        <f aca="false">IF($C5737="","",$D5737*IFERROR(INDEX('تحليل التكلفة والسعر'!$C$2:$C$700,MATCH($C5737,'تحليل التكلفة والسعر'!$B$2:$B$700,0)),0))</f>
        <v/>
      </c>
    </row>
    <row r="5738" customFormat="false" ht="15" hidden="false" customHeight="false" outlineLevel="0" collapsed="false">
      <c r="A5738" s="102"/>
      <c r="E5738" s="103" t="str">
        <f aca="false">IF($C5738="","",IFERROR(INDEX(المنيو!$C$2:$C$500,MATCH($C5738,المنيو!$B$2:$B$500,0)),0))</f>
        <v/>
      </c>
      <c r="F5738" s="103" t="str">
        <f aca="false">IF($C5738="","",$D5738*$E5738)</f>
        <v/>
      </c>
      <c r="G5738" s="103" t="str">
        <f aca="false">IF($C5738="","",$D5738*IFERROR(INDEX('تحليل التكلفة والسعر'!$C$2:$C$700,MATCH($C5738,'تحليل التكلفة والسعر'!$B$2:$B$700,0)),0))</f>
        <v/>
      </c>
    </row>
    <row r="5739" customFormat="false" ht="15" hidden="false" customHeight="false" outlineLevel="0" collapsed="false">
      <c r="A5739" s="102"/>
      <c r="E5739" s="103" t="str">
        <f aca="false">IF($C5739="","",IFERROR(INDEX(المنيو!$C$2:$C$500,MATCH($C5739,المنيو!$B$2:$B$500,0)),0))</f>
        <v/>
      </c>
      <c r="F5739" s="103" t="str">
        <f aca="false">IF($C5739="","",$D5739*$E5739)</f>
        <v/>
      </c>
      <c r="G5739" s="103" t="str">
        <f aca="false">IF($C5739="","",$D5739*IFERROR(INDEX('تحليل التكلفة والسعر'!$C$2:$C$700,MATCH($C5739,'تحليل التكلفة والسعر'!$B$2:$B$700,0)),0))</f>
        <v/>
      </c>
    </row>
    <row r="5740" customFormat="false" ht="15" hidden="false" customHeight="false" outlineLevel="0" collapsed="false">
      <c r="A5740" s="102"/>
      <c r="E5740" s="103" t="str">
        <f aca="false">IF($C5740="","",IFERROR(INDEX(المنيو!$C$2:$C$500,MATCH($C5740,المنيو!$B$2:$B$500,0)),0))</f>
        <v/>
      </c>
      <c r="F5740" s="103" t="str">
        <f aca="false">IF($C5740="","",$D5740*$E5740)</f>
        <v/>
      </c>
      <c r="G5740" s="103" t="str">
        <f aca="false">IF($C5740="","",$D5740*IFERROR(INDEX('تحليل التكلفة والسعر'!$C$2:$C$700,MATCH($C5740,'تحليل التكلفة والسعر'!$B$2:$B$700,0)),0))</f>
        <v/>
      </c>
    </row>
    <row r="5741" customFormat="false" ht="15" hidden="false" customHeight="false" outlineLevel="0" collapsed="false">
      <c r="A5741" s="102"/>
      <c r="E5741" s="103" t="str">
        <f aca="false">IF($C5741="","",IFERROR(INDEX(المنيو!$C$2:$C$500,MATCH($C5741,المنيو!$B$2:$B$500,0)),0))</f>
        <v/>
      </c>
      <c r="F5741" s="103" t="str">
        <f aca="false">IF($C5741="","",$D5741*$E5741)</f>
        <v/>
      </c>
      <c r="G5741" s="103" t="str">
        <f aca="false">IF($C5741="","",$D5741*IFERROR(INDEX('تحليل التكلفة والسعر'!$C$2:$C$700,MATCH($C5741,'تحليل التكلفة والسعر'!$B$2:$B$700,0)),0))</f>
        <v/>
      </c>
    </row>
    <row r="5742" customFormat="false" ht="15" hidden="false" customHeight="false" outlineLevel="0" collapsed="false">
      <c r="A5742" s="102"/>
      <c r="E5742" s="103" t="str">
        <f aca="false">IF($C5742="","",IFERROR(INDEX(المنيو!$C$2:$C$500,MATCH($C5742,المنيو!$B$2:$B$500,0)),0))</f>
        <v/>
      </c>
      <c r="F5742" s="103" t="str">
        <f aca="false">IF($C5742="","",$D5742*$E5742)</f>
        <v/>
      </c>
      <c r="G5742" s="103" t="str">
        <f aca="false">IF($C5742="","",$D5742*IFERROR(INDEX('تحليل التكلفة والسعر'!$C$2:$C$700,MATCH($C5742,'تحليل التكلفة والسعر'!$B$2:$B$700,0)),0))</f>
        <v/>
      </c>
    </row>
    <row r="5743" customFormat="false" ht="15" hidden="false" customHeight="false" outlineLevel="0" collapsed="false">
      <c r="A5743" s="102"/>
      <c r="E5743" s="103" t="str">
        <f aca="false">IF($C5743="","",IFERROR(INDEX(المنيو!$C$2:$C$500,MATCH($C5743,المنيو!$B$2:$B$500,0)),0))</f>
        <v/>
      </c>
      <c r="F5743" s="103" t="str">
        <f aca="false">IF($C5743="","",$D5743*$E5743)</f>
        <v/>
      </c>
      <c r="G5743" s="103" t="str">
        <f aca="false">IF($C5743="","",$D5743*IFERROR(INDEX('تحليل التكلفة والسعر'!$C$2:$C$700,MATCH($C5743,'تحليل التكلفة والسعر'!$B$2:$B$700,0)),0))</f>
        <v/>
      </c>
    </row>
    <row r="5744" customFormat="false" ht="15" hidden="false" customHeight="false" outlineLevel="0" collapsed="false">
      <c r="A5744" s="102"/>
      <c r="E5744" s="103" t="str">
        <f aca="false">IF($C5744="","",IFERROR(INDEX(المنيو!$C$2:$C$500,MATCH($C5744,المنيو!$B$2:$B$500,0)),0))</f>
        <v/>
      </c>
      <c r="F5744" s="103" t="str">
        <f aca="false">IF($C5744="","",$D5744*$E5744)</f>
        <v/>
      </c>
      <c r="G5744" s="103" t="str">
        <f aca="false">IF($C5744="","",$D5744*IFERROR(INDEX('تحليل التكلفة والسعر'!$C$2:$C$700,MATCH($C5744,'تحليل التكلفة والسعر'!$B$2:$B$700,0)),0))</f>
        <v/>
      </c>
    </row>
    <row r="5745" customFormat="false" ht="15" hidden="false" customHeight="false" outlineLevel="0" collapsed="false">
      <c r="A5745" s="102"/>
      <c r="E5745" s="103" t="str">
        <f aca="false">IF($C5745="","",IFERROR(INDEX(المنيو!$C$2:$C$500,MATCH($C5745,المنيو!$B$2:$B$500,0)),0))</f>
        <v/>
      </c>
      <c r="F5745" s="103" t="str">
        <f aca="false">IF($C5745="","",$D5745*$E5745)</f>
        <v/>
      </c>
      <c r="G5745" s="103" t="str">
        <f aca="false">IF($C5745="","",$D5745*IFERROR(INDEX('تحليل التكلفة والسعر'!$C$2:$C$700,MATCH($C5745,'تحليل التكلفة والسعر'!$B$2:$B$700,0)),0))</f>
        <v/>
      </c>
    </row>
    <row r="5746" customFormat="false" ht="15" hidden="false" customHeight="false" outlineLevel="0" collapsed="false">
      <c r="A5746" s="102"/>
      <c r="E5746" s="103" t="str">
        <f aca="false">IF($C5746="","",IFERROR(INDEX(المنيو!$C$2:$C$500,MATCH($C5746,المنيو!$B$2:$B$500,0)),0))</f>
        <v/>
      </c>
      <c r="F5746" s="103" t="str">
        <f aca="false">IF($C5746="","",$D5746*$E5746)</f>
        <v/>
      </c>
      <c r="G5746" s="103" t="str">
        <f aca="false">IF($C5746="","",$D5746*IFERROR(INDEX('تحليل التكلفة والسعر'!$C$2:$C$700,MATCH($C5746,'تحليل التكلفة والسعر'!$B$2:$B$700,0)),0))</f>
        <v/>
      </c>
    </row>
    <row r="5747" customFormat="false" ht="15" hidden="false" customHeight="false" outlineLevel="0" collapsed="false">
      <c r="A5747" s="102"/>
      <c r="E5747" s="103" t="str">
        <f aca="false">IF($C5747="","",IFERROR(INDEX(المنيو!$C$2:$C$500,MATCH($C5747,المنيو!$B$2:$B$500,0)),0))</f>
        <v/>
      </c>
      <c r="F5747" s="103" t="str">
        <f aca="false">IF($C5747="","",$D5747*$E5747)</f>
        <v/>
      </c>
      <c r="G5747" s="103" t="str">
        <f aca="false">IF($C5747="","",$D5747*IFERROR(INDEX('تحليل التكلفة والسعر'!$C$2:$C$700,MATCH($C5747,'تحليل التكلفة والسعر'!$B$2:$B$700,0)),0))</f>
        <v/>
      </c>
    </row>
    <row r="5748" customFormat="false" ht="15" hidden="false" customHeight="false" outlineLevel="0" collapsed="false">
      <c r="A5748" s="102"/>
      <c r="E5748" s="103" t="str">
        <f aca="false">IF($C5748="","",IFERROR(INDEX(المنيو!$C$2:$C$500,MATCH($C5748,المنيو!$B$2:$B$500,0)),0))</f>
        <v/>
      </c>
      <c r="F5748" s="103" t="str">
        <f aca="false">IF($C5748="","",$D5748*$E5748)</f>
        <v/>
      </c>
      <c r="G5748" s="103" t="str">
        <f aca="false">IF($C5748="","",$D5748*IFERROR(INDEX('تحليل التكلفة والسعر'!$C$2:$C$700,MATCH($C5748,'تحليل التكلفة والسعر'!$B$2:$B$700,0)),0))</f>
        <v/>
      </c>
    </row>
    <row r="5749" customFormat="false" ht="15" hidden="false" customHeight="false" outlineLevel="0" collapsed="false">
      <c r="A5749" s="102"/>
      <c r="E5749" s="103" t="str">
        <f aca="false">IF($C5749="","",IFERROR(INDEX(المنيو!$C$2:$C$500,MATCH($C5749,المنيو!$B$2:$B$500,0)),0))</f>
        <v/>
      </c>
      <c r="F5749" s="103" t="str">
        <f aca="false">IF($C5749="","",$D5749*$E5749)</f>
        <v/>
      </c>
      <c r="G5749" s="103" t="str">
        <f aca="false">IF($C5749="","",$D5749*IFERROR(INDEX('تحليل التكلفة والسعر'!$C$2:$C$700,MATCH($C5749,'تحليل التكلفة والسعر'!$B$2:$B$700,0)),0))</f>
        <v/>
      </c>
    </row>
    <row r="5750" customFormat="false" ht="15" hidden="false" customHeight="false" outlineLevel="0" collapsed="false">
      <c r="A5750" s="102"/>
      <c r="E5750" s="103" t="str">
        <f aca="false">IF($C5750="","",IFERROR(INDEX(المنيو!$C$2:$C$500,MATCH($C5750,المنيو!$B$2:$B$500,0)),0))</f>
        <v/>
      </c>
      <c r="F5750" s="103" t="str">
        <f aca="false">IF($C5750="","",$D5750*$E5750)</f>
        <v/>
      </c>
      <c r="G5750" s="103" t="str">
        <f aca="false">IF($C5750="","",$D5750*IFERROR(INDEX('تحليل التكلفة والسعر'!$C$2:$C$700,MATCH($C5750,'تحليل التكلفة والسعر'!$B$2:$B$700,0)),0))</f>
        <v/>
      </c>
    </row>
    <row r="5751" customFormat="false" ht="15" hidden="false" customHeight="false" outlineLevel="0" collapsed="false">
      <c r="A5751" s="102"/>
      <c r="E5751" s="103" t="str">
        <f aca="false">IF($C5751="","",IFERROR(INDEX(المنيو!$C$2:$C$500,MATCH($C5751,المنيو!$B$2:$B$500,0)),0))</f>
        <v/>
      </c>
      <c r="F5751" s="103" t="str">
        <f aca="false">IF($C5751="","",$D5751*$E5751)</f>
        <v/>
      </c>
      <c r="G5751" s="103" t="str">
        <f aca="false">IF($C5751="","",$D5751*IFERROR(INDEX('تحليل التكلفة والسعر'!$C$2:$C$700,MATCH($C5751,'تحليل التكلفة والسعر'!$B$2:$B$700,0)),0))</f>
        <v/>
      </c>
    </row>
    <row r="5752" customFormat="false" ht="15" hidden="false" customHeight="false" outlineLevel="0" collapsed="false">
      <c r="A5752" s="102"/>
      <c r="E5752" s="103" t="str">
        <f aca="false">IF($C5752="","",IFERROR(INDEX(المنيو!$C$2:$C$500,MATCH($C5752,المنيو!$B$2:$B$500,0)),0))</f>
        <v/>
      </c>
      <c r="F5752" s="103" t="str">
        <f aca="false">IF($C5752="","",$D5752*$E5752)</f>
        <v/>
      </c>
      <c r="G5752" s="103" t="str">
        <f aca="false">IF($C5752="","",$D5752*IFERROR(INDEX('تحليل التكلفة والسعر'!$C$2:$C$700,MATCH($C5752,'تحليل التكلفة والسعر'!$B$2:$B$700,0)),0))</f>
        <v/>
      </c>
    </row>
    <row r="5753" customFormat="false" ht="15" hidden="false" customHeight="false" outlineLevel="0" collapsed="false">
      <c r="A5753" s="102"/>
      <c r="E5753" s="103" t="str">
        <f aca="false">IF($C5753="","",IFERROR(INDEX(المنيو!$C$2:$C$500,MATCH($C5753,المنيو!$B$2:$B$500,0)),0))</f>
        <v/>
      </c>
      <c r="F5753" s="103" t="str">
        <f aca="false">IF($C5753="","",$D5753*$E5753)</f>
        <v/>
      </c>
      <c r="G5753" s="103" t="str">
        <f aca="false">IF($C5753="","",$D5753*IFERROR(INDEX('تحليل التكلفة والسعر'!$C$2:$C$700,MATCH($C5753,'تحليل التكلفة والسعر'!$B$2:$B$700,0)),0))</f>
        <v/>
      </c>
    </row>
    <row r="5754" customFormat="false" ht="15" hidden="false" customHeight="false" outlineLevel="0" collapsed="false">
      <c r="A5754" s="102"/>
      <c r="E5754" s="103" t="str">
        <f aca="false">IF($C5754="","",IFERROR(INDEX(المنيو!$C$2:$C$500,MATCH($C5754,المنيو!$B$2:$B$500,0)),0))</f>
        <v/>
      </c>
      <c r="F5754" s="103" t="str">
        <f aca="false">IF($C5754="","",$D5754*$E5754)</f>
        <v/>
      </c>
      <c r="G5754" s="103" t="str">
        <f aca="false">IF($C5754="","",$D5754*IFERROR(INDEX('تحليل التكلفة والسعر'!$C$2:$C$700,MATCH($C5754,'تحليل التكلفة والسعر'!$B$2:$B$700,0)),0))</f>
        <v/>
      </c>
    </row>
    <row r="5755" customFormat="false" ht="15" hidden="false" customHeight="false" outlineLevel="0" collapsed="false">
      <c r="A5755" s="102"/>
      <c r="E5755" s="103" t="str">
        <f aca="false">IF($C5755="","",IFERROR(INDEX(المنيو!$C$2:$C$500,MATCH($C5755,المنيو!$B$2:$B$500,0)),0))</f>
        <v/>
      </c>
      <c r="F5755" s="103" t="str">
        <f aca="false">IF($C5755="","",$D5755*$E5755)</f>
        <v/>
      </c>
      <c r="G5755" s="103" t="str">
        <f aca="false">IF($C5755="","",$D5755*IFERROR(INDEX('تحليل التكلفة والسعر'!$C$2:$C$700,MATCH($C5755,'تحليل التكلفة والسعر'!$B$2:$B$700,0)),0))</f>
        <v/>
      </c>
    </row>
    <row r="5756" customFormat="false" ht="15" hidden="false" customHeight="false" outlineLevel="0" collapsed="false">
      <c r="A5756" s="102"/>
      <c r="E5756" s="103" t="str">
        <f aca="false">IF($C5756="","",IFERROR(INDEX(المنيو!$C$2:$C$500,MATCH($C5756,المنيو!$B$2:$B$500,0)),0))</f>
        <v/>
      </c>
      <c r="F5756" s="103" t="str">
        <f aca="false">IF($C5756="","",$D5756*$E5756)</f>
        <v/>
      </c>
      <c r="G5756" s="103" t="str">
        <f aca="false">IF($C5756="","",$D5756*IFERROR(INDEX('تحليل التكلفة والسعر'!$C$2:$C$700,MATCH($C5756,'تحليل التكلفة والسعر'!$B$2:$B$700,0)),0))</f>
        <v/>
      </c>
    </row>
    <row r="5757" customFormat="false" ht="15" hidden="false" customHeight="false" outlineLevel="0" collapsed="false">
      <c r="A5757" s="102"/>
      <c r="E5757" s="103" t="str">
        <f aca="false">IF($C5757="","",IFERROR(INDEX(المنيو!$C$2:$C$500,MATCH($C5757,المنيو!$B$2:$B$500,0)),0))</f>
        <v/>
      </c>
      <c r="F5757" s="103" t="str">
        <f aca="false">IF($C5757="","",$D5757*$E5757)</f>
        <v/>
      </c>
      <c r="G5757" s="103" t="str">
        <f aca="false">IF($C5757="","",$D5757*IFERROR(INDEX('تحليل التكلفة والسعر'!$C$2:$C$700,MATCH($C5757,'تحليل التكلفة والسعر'!$B$2:$B$700,0)),0))</f>
        <v/>
      </c>
    </row>
    <row r="5758" customFormat="false" ht="15" hidden="false" customHeight="false" outlineLevel="0" collapsed="false">
      <c r="A5758" s="102"/>
      <c r="E5758" s="103" t="str">
        <f aca="false">IF($C5758="","",IFERROR(INDEX(المنيو!$C$2:$C$500,MATCH($C5758,المنيو!$B$2:$B$500,0)),0))</f>
        <v/>
      </c>
      <c r="F5758" s="103" t="str">
        <f aca="false">IF($C5758="","",$D5758*$E5758)</f>
        <v/>
      </c>
      <c r="G5758" s="103" t="str">
        <f aca="false">IF($C5758="","",$D5758*IFERROR(INDEX('تحليل التكلفة والسعر'!$C$2:$C$700,MATCH($C5758,'تحليل التكلفة والسعر'!$B$2:$B$700,0)),0))</f>
        <v/>
      </c>
    </row>
    <row r="5759" customFormat="false" ht="15" hidden="false" customHeight="false" outlineLevel="0" collapsed="false">
      <c r="A5759" s="102"/>
      <c r="E5759" s="103" t="str">
        <f aca="false">IF($C5759="","",IFERROR(INDEX(المنيو!$C$2:$C$500,MATCH($C5759,المنيو!$B$2:$B$500,0)),0))</f>
        <v/>
      </c>
      <c r="F5759" s="103" t="str">
        <f aca="false">IF($C5759="","",$D5759*$E5759)</f>
        <v/>
      </c>
      <c r="G5759" s="103" t="str">
        <f aca="false">IF($C5759="","",$D5759*IFERROR(INDEX('تحليل التكلفة والسعر'!$C$2:$C$700,MATCH($C5759,'تحليل التكلفة والسعر'!$B$2:$B$700,0)),0))</f>
        <v/>
      </c>
    </row>
    <row r="5760" customFormat="false" ht="15" hidden="false" customHeight="false" outlineLevel="0" collapsed="false">
      <c r="A5760" s="102"/>
      <c r="E5760" s="103" t="str">
        <f aca="false">IF($C5760="","",IFERROR(INDEX(المنيو!$C$2:$C$500,MATCH($C5760,المنيو!$B$2:$B$500,0)),0))</f>
        <v/>
      </c>
      <c r="F5760" s="103" t="str">
        <f aca="false">IF($C5760="","",$D5760*$E5760)</f>
        <v/>
      </c>
      <c r="G5760" s="103" t="str">
        <f aca="false">IF($C5760="","",$D5760*IFERROR(INDEX('تحليل التكلفة والسعر'!$C$2:$C$700,MATCH($C5760,'تحليل التكلفة والسعر'!$B$2:$B$700,0)),0))</f>
        <v/>
      </c>
    </row>
    <row r="5761" customFormat="false" ht="15" hidden="false" customHeight="false" outlineLevel="0" collapsed="false">
      <c r="A5761" s="102"/>
      <c r="E5761" s="103" t="str">
        <f aca="false">IF($C5761="","",IFERROR(INDEX(المنيو!$C$2:$C$500,MATCH($C5761,المنيو!$B$2:$B$500,0)),0))</f>
        <v/>
      </c>
      <c r="F5761" s="103" t="str">
        <f aca="false">IF($C5761="","",$D5761*$E5761)</f>
        <v/>
      </c>
      <c r="G5761" s="103" t="str">
        <f aca="false">IF($C5761="","",$D5761*IFERROR(INDEX('تحليل التكلفة والسعر'!$C$2:$C$700,MATCH($C5761,'تحليل التكلفة والسعر'!$B$2:$B$700,0)),0))</f>
        <v/>
      </c>
    </row>
    <row r="5762" customFormat="false" ht="15" hidden="false" customHeight="false" outlineLevel="0" collapsed="false">
      <c r="A5762" s="102"/>
      <c r="E5762" s="103" t="str">
        <f aca="false">IF($C5762="","",IFERROR(INDEX(المنيو!$C$2:$C$500,MATCH($C5762,المنيو!$B$2:$B$500,0)),0))</f>
        <v/>
      </c>
      <c r="F5762" s="103" t="str">
        <f aca="false">IF($C5762="","",$D5762*$E5762)</f>
        <v/>
      </c>
      <c r="G5762" s="103" t="str">
        <f aca="false">IF($C5762="","",$D5762*IFERROR(INDEX('تحليل التكلفة والسعر'!$C$2:$C$700,MATCH($C5762,'تحليل التكلفة والسعر'!$B$2:$B$700,0)),0))</f>
        <v/>
      </c>
    </row>
    <row r="5763" customFormat="false" ht="15" hidden="false" customHeight="false" outlineLevel="0" collapsed="false">
      <c r="A5763" s="102"/>
      <c r="E5763" s="103" t="str">
        <f aca="false">IF($C5763="","",IFERROR(INDEX(المنيو!$C$2:$C$500,MATCH($C5763,المنيو!$B$2:$B$500,0)),0))</f>
        <v/>
      </c>
      <c r="F5763" s="103" t="str">
        <f aca="false">IF($C5763="","",$D5763*$E5763)</f>
        <v/>
      </c>
      <c r="G5763" s="103" t="str">
        <f aca="false">IF($C5763="","",$D5763*IFERROR(INDEX('تحليل التكلفة والسعر'!$C$2:$C$700,MATCH($C5763,'تحليل التكلفة والسعر'!$B$2:$B$700,0)),0))</f>
        <v/>
      </c>
    </row>
    <row r="5764" customFormat="false" ht="15" hidden="false" customHeight="false" outlineLevel="0" collapsed="false">
      <c r="A5764" s="102"/>
      <c r="E5764" s="103" t="str">
        <f aca="false">IF($C5764="","",IFERROR(INDEX(المنيو!$C$2:$C$500,MATCH($C5764,المنيو!$B$2:$B$500,0)),0))</f>
        <v/>
      </c>
      <c r="F5764" s="103" t="str">
        <f aca="false">IF($C5764="","",$D5764*$E5764)</f>
        <v/>
      </c>
      <c r="G5764" s="103" t="str">
        <f aca="false">IF($C5764="","",$D5764*IFERROR(INDEX('تحليل التكلفة والسعر'!$C$2:$C$700,MATCH($C5764,'تحليل التكلفة والسعر'!$B$2:$B$700,0)),0))</f>
        <v/>
      </c>
    </row>
    <row r="5765" customFormat="false" ht="15" hidden="false" customHeight="false" outlineLevel="0" collapsed="false">
      <c r="A5765" s="102"/>
      <c r="E5765" s="103" t="str">
        <f aca="false">IF($C5765="","",IFERROR(INDEX(المنيو!$C$2:$C$500,MATCH($C5765,المنيو!$B$2:$B$500,0)),0))</f>
        <v/>
      </c>
      <c r="F5765" s="103" t="str">
        <f aca="false">IF($C5765="","",$D5765*$E5765)</f>
        <v/>
      </c>
      <c r="G5765" s="103" t="str">
        <f aca="false">IF($C5765="","",$D5765*IFERROR(INDEX('تحليل التكلفة والسعر'!$C$2:$C$700,MATCH($C5765,'تحليل التكلفة والسعر'!$B$2:$B$700,0)),0))</f>
        <v/>
      </c>
    </row>
    <row r="5766" customFormat="false" ht="15" hidden="false" customHeight="false" outlineLevel="0" collapsed="false">
      <c r="A5766" s="102"/>
      <c r="E5766" s="103" t="str">
        <f aca="false">IF($C5766="","",IFERROR(INDEX(المنيو!$C$2:$C$500,MATCH($C5766,المنيو!$B$2:$B$500,0)),0))</f>
        <v/>
      </c>
      <c r="F5766" s="103" t="str">
        <f aca="false">IF($C5766="","",$D5766*$E5766)</f>
        <v/>
      </c>
      <c r="G5766" s="103" t="str">
        <f aca="false">IF($C5766="","",$D5766*IFERROR(INDEX('تحليل التكلفة والسعر'!$C$2:$C$700,MATCH($C5766,'تحليل التكلفة والسعر'!$B$2:$B$700,0)),0))</f>
        <v/>
      </c>
    </row>
    <row r="5767" customFormat="false" ht="15" hidden="false" customHeight="false" outlineLevel="0" collapsed="false">
      <c r="A5767" s="102"/>
      <c r="E5767" s="103" t="str">
        <f aca="false">IF($C5767="","",IFERROR(INDEX(المنيو!$C$2:$C$500,MATCH($C5767,المنيو!$B$2:$B$500,0)),0))</f>
        <v/>
      </c>
      <c r="F5767" s="103" t="str">
        <f aca="false">IF($C5767="","",$D5767*$E5767)</f>
        <v/>
      </c>
      <c r="G5767" s="103" t="str">
        <f aca="false">IF($C5767="","",$D5767*IFERROR(INDEX('تحليل التكلفة والسعر'!$C$2:$C$700,MATCH($C5767,'تحليل التكلفة والسعر'!$B$2:$B$700,0)),0))</f>
        <v/>
      </c>
    </row>
    <row r="5768" customFormat="false" ht="15" hidden="false" customHeight="false" outlineLevel="0" collapsed="false">
      <c r="A5768" s="102"/>
      <c r="E5768" s="103" t="str">
        <f aca="false">IF($C5768="","",IFERROR(INDEX(المنيو!$C$2:$C$500,MATCH($C5768,المنيو!$B$2:$B$500,0)),0))</f>
        <v/>
      </c>
      <c r="F5768" s="103" t="str">
        <f aca="false">IF($C5768="","",$D5768*$E5768)</f>
        <v/>
      </c>
      <c r="G5768" s="103" t="str">
        <f aca="false">IF($C5768="","",$D5768*IFERROR(INDEX('تحليل التكلفة والسعر'!$C$2:$C$700,MATCH($C5768,'تحليل التكلفة والسعر'!$B$2:$B$700,0)),0))</f>
        <v/>
      </c>
    </row>
    <row r="5769" customFormat="false" ht="15" hidden="false" customHeight="false" outlineLevel="0" collapsed="false">
      <c r="A5769" s="102"/>
      <c r="E5769" s="103" t="str">
        <f aca="false">IF($C5769="","",IFERROR(INDEX(المنيو!$C$2:$C$500,MATCH($C5769,المنيو!$B$2:$B$500,0)),0))</f>
        <v/>
      </c>
      <c r="F5769" s="103" t="str">
        <f aca="false">IF($C5769="","",$D5769*$E5769)</f>
        <v/>
      </c>
      <c r="G5769" s="103" t="str">
        <f aca="false">IF($C5769="","",$D5769*IFERROR(INDEX('تحليل التكلفة والسعر'!$C$2:$C$700,MATCH($C5769,'تحليل التكلفة والسعر'!$B$2:$B$700,0)),0))</f>
        <v/>
      </c>
    </row>
    <row r="5770" customFormat="false" ht="15" hidden="false" customHeight="false" outlineLevel="0" collapsed="false">
      <c r="A5770" s="102"/>
      <c r="E5770" s="103" t="str">
        <f aca="false">IF($C5770="","",IFERROR(INDEX(المنيو!$C$2:$C$500,MATCH($C5770,المنيو!$B$2:$B$500,0)),0))</f>
        <v/>
      </c>
      <c r="F5770" s="103" t="str">
        <f aca="false">IF($C5770="","",$D5770*$E5770)</f>
        <v/>
      </c>
      <c r="G5770" s="103" t="str">
        <f aca="false">IF($C5770="","",$D5770*IFERROR(INDEX('تحليل التكلفة والسعر'!$C$2:$C$700,MATCH($C5770,'تحليل التكلفة والسعر'!$B$2:$B$700,0)),0))</f>
        <v/>
      </c>
    </row>
    <row r="5771" customFormat="false" ht="15" hidden="false" customHeight="false" outlineLevel="0" collapsed="false">
      <c r="A5771" s="102"/>
      <c r="E5771" s="103" t="str">
        <f aca="false">IF($C5771="","",IFERROR(INDEX(المنيو!$C$2:$C$500,MATCH($C5771,المنيو!$B$2:$B$500,0)),0))</f>
        <v/>
      </c>
      <c r="F5771" s="103" t="str">
        <f aca="false">IF($C5771="","",$D5771*$E5771)</f>
        <v/>
      </c>
      <c r="G5771" s="103" t="str">
        <f aca="false">IF($C5771="","",$D5771*IFERROR(INDEX('تحليل التكلفة والسعر'!$C$2:$C$700,MATCH($C5771,'تحليل التكلفة والسعر'!$B$2:$B$700,0)),0))</f>
        <v/>
      </c>
    </row>
    <row r="5772" customFormat="false" ht="15" hidden="false" customHeight="false" outlineLevel="0" collapsed="false">
      <c r="A5772" s="102"/>
      <c r="E5772" s="103" t="str">
        <f aca="false">IF($C5772="","",IFERROR(INDEX(المنيو!$C$2:$C$500,MATCH($C5772,المنيو!$B$2:$B$500,0)),0))</f>
        <v/>
      </c>
      <c r="F5772" s="103" t="str">
        <f aca="false">IF($C5772="","",$D5772*$E5772)</f>
        <v/>
      </c>
      <c r="G5772" s="103" t="str">
        <f aca="false">IF($C5772="","",$D5772*IFERROR(INDEX('تحليل التكلفة والسعر'!$C$2:$C$700,MATCH($C5772,'تحليل التكلفة والسعر'!$B$2:$B$700,0)),0))</f>
        <v/>
      </c>
    </row>
    <row r="5773" customFormat="false" ht="15" hidden="false" customHeight="false" outlineLevel="0" collapsed="false">
      <c r="A5773" s="102"/>
      <c r="E5773" s="103" t="str">
        <f aca="false">IF($C5773="","",IFERROR(INDEX(المنيو!$C$2:$C$500,MATCH($C5773,المنيو!$B$2:$B$500,0)),0))</f>
        <v/>
      </c>
      <c r="F5773" s="103" t="str">
        <f aca="false">IF($C5773="","",$D5773*$E5773)</f>
        <v/>
      </c>
      <c r="G5773" s="103" t="str">
        <f aca="false">IF($C5773="","",$D5773*IFERROR(INDEX('تحليل التكلفة والسعر'!$C$2:$C$700,MATCH($C5773,'تحليل التكلفة والسعر'!$B$2:$B$700,0)),0))</f>
        <v/>
      </c>
    </row>
    <row r="5774" customFormat="false" ht="15" hidden="false" customHeight="false" outlineLevel="0" collapsed="false">
      <c r="A5774" s="102"/>
      <c r="E5774" s="103" t="str">
        <f aca="false">IF($C5774="","",IFERROR(INDEX(المنيو!$C$2:$C$500,MATCH($C5774,المنيو!$B$2:$B$500,0)),0))</f>
        <v/>
      </c>
      <c r="F5774" s="103" t="str">
        <f aca="false">IF($C5774="","",$D5774*$E5774)</f>
        <v/>
      </c>
      <c r="G5774" s="103" t="str">
        <f aca="false">IF($C5774="","",$D5774*IFERROR(INDEX('تحليل التكلفة والسعر'!$C$2:$C$700,MATCH($C5774,'تحليل التكلفة والسعر'!$B$2:$B$700,0)),0))</f>
        <v/>
      </c>
    </row>
    <row r="5775" customFormat="false" ht="15" hidden="false" customHeight="false" outlineLevel="0" collapsed="false">
      <c r="A5775" s="102"/>
      <c r="E5775" s="103" t="str">
        <f aca="false">IF($C5775="","",IFERROR(INDEX(المنيو!$C$2:$C$500,MATCH($C5775,المنيو!$B$2:$B$500,0)),0))</f>
        <v/>
      </c>
      <c r="F5775" s="103" t="str">
        <f aca="false">IF($C5775="","",$D5775*$E5775)</f>
        <v/>
      </c>
      <c r="G5775" s="103" t="str">
        <f aca="false">IF($C5775="","",$D5775*IFERROR(INDEX('تحليل التكلفة والسعر'!$C$2:$C$700,MATCH($C5775,'تحليل التكلفة والسعر'!$B$2:$B$700,0)),0))</f>
        <v/>
      </c>
    </row>
    <row r="5776" customFormat="false" ht="15" hidden="false" customHeight="false" outlineLevel="0" collapsed="false">
      <c r="A5776" s="102"/>
      <c r="E5776" s="103" t="str">
        <f aca="false">IF($C5776="","",IFERROR(INDEX(المنيو!$C$2:$C$500,MATCH($C5776,المنيو!$B$2:$B$500,0)),0))</f>
        <v/>
      </c>
      <c r="F5776" s="103" t="str">
        <f aca="false">IF($C5776="","",$D5776*$E5776)</f>
        <v/>
      </c>
      <c r="G5776" s="103" t="str">
        <f aca="false">IF($C5776="","",$D5776*IFERROR(INDEX('تحليل التكلفة والسعر'!$C$2:$C$700,MATCH($C5776,'تحليل التكلفة والسعر'!$B$2:$B$700,0)),0))</f>
        <v/>
      </c>
    </row>
    <row r="5777" customFormat="false" ht="15" hidden="false" customHeight="false" outlineLevel="0" collapsed="false">
      <c r="A5777" s="102"/>
      <c r="E5777" s="103" t="str">
        <f aca="false">IF($C5777="","",IFERROR(INDEX(المنيو!$C$2:$C$500,MATCH($C5777,المنيو!$B$2:$B$500,0)),0))</f>
        <v/>
      </c>
      <c r="F5777" s="103" t="str">
        <f aca="false">IF($C5777="","",$D5777*$E5777)</f>
        <v/>
      </c>
      <c r="G5777" s="103" t="str">
        <f aca="false">IF($C5777="","",$D5777*IFERROR(INDEX('تحليل التكلفة والسعر'!$C$2:$C$700,MATCH($C5777,'تحليل التكلفة والسعر'!$B$2:$B$700,0)),0))</f>
        <v/>
      </c>
    </row>
    <row r="5778" customFormat="false" ht="15" hidden="false" customHeight="false" outlineLevel="0" collapsed="false">
      <c r="A5778" s="102"/>
      <c r="E5778" s="103" t="str">
        <f aca="false">IF($C5778="","",IFERROR(INDEX(المنيو!$C$2:$C$500,MATCH($C5778,المنيو!$B$2:$B$500,0)),0))</f>
        <v/>
      </c>
      <c r="F5778" s="103" t="str">
        <f aca="false">IF($C5778="","",$D5778*$E5778)</f>
        <v/>
      </c>
      <c r="G5778" s="103" t="str">
        <f aca="false">IF($C5778="","",$D5778*IFERROR(INDEX('تحليل التكلفة والسعر'!$C$2:$C$700,MATCH($C5778,'تحليل التكلفة والسعر'!$B$2:$B$700,0)),0))</f>
        <v/>
      </c>
    </row>
    <row r="5779" customFormat="false" ht="15" hidden="false" customHeight="false" outlineLevel="0" collapsed="false">
      <c r="A5779" s="102"/>
      <c r="E5779" s="103" t="str">
        <f aca="false">IF($C5779="","",IFERROR(INDEX(المنيو!$C$2:$C$500,MATCH($C5779,المنيو!$B$2:$B$500,0)),0))</f>
        <v/>
      </c>
      <c r="F5779" s="103" t="str">
        <f aca="false">IF($C5779="","",$D5779*$E5779)</f>
        <v/>
      </c>
      <c r="G5779" s="103" t="str">
        <f aca="false">IF($C5779="","",$D5779*IFERROR(INDEX('تحليل التكلفة والسعر'!$C$2:$C$700,MATCH($C5779,'تحليل التكلفة والسعر'!$B$2:$B$700,0)),0))</f>
        <v/>
      </c>
    </row>
    <row r="5780" customFormat="false" ht="15" hidden="false" customHeight="false" outlineLevel="0" collapsed="false">
      <c r="A5780" s="102"/>
      <c r="E5780" s="103" t="str">
        <f aca="false">IF($C5780="","",IFERROR(INDEX(المنيو!$C$2:$C$500,MATCH($C5780,المنيو!$B$2:$B$500,0)),0))</f>
        <v/>
      </c>
      <c r="F5780" s="103" t="str">
        <f aca="false">IF($C5780="","",$D5780*$E5780)</f>
        <v/>
      </c>
      <c r="G5780" s="103" t="str">
        <f aca="false">IF($C5780="","",$D5780*IFERROR(INDEX('تحليل التكلفة والسعر'!$C$2:$C$700,MATCH($C5780,'تحليل التكلفة والسعر'!$B$2:$B$700,0)),0))</f>
        <v/>
      </c>
    </row>
    <row r="5781" customFormat="false" ht="15" hidden="false" customHeight="false" outlineLevel="0" collapsed="false">
      <c r="A5781" s="102"/>
      <c r="E5781" s="103" t="str">
        <f aca="false">IF($C5781="","",IFERROR(INDEX(المنيو!$C$2:$C$500,MATCH($C5781,المنيو!$B$2:$B$500,0)),0))</f>
        <v/>
      </c>
      <c r="F5781" s="103" t="str">
        <f aca="false">IF($C5781="","",$D5781*$E5781)</f>
        <v/>
      </c>
      <c r="G5781" s="103" t="str">
        <f aca="false">IF($C5781="","",$D5781*IFERROR(INDEX('تحليل التكلفة والسعر'!$C$2:$C$700,MATCH($C5781,'تحليل التكلفة والسعر'!$B$2:$B$700,0)),0))</f>
        <v/>
      </c>
    </row>
    <row r="5782" customFormat="false" ht="15" hidden="false" customHeight="false" outlineLevel="0" collapsed="false">
      <c r="A5782" s="102"/>
      <c r="E5782" s="103" t="str">
        <f aca="false">IF($C5782="","",IFERROR(INDEX(المنيو!$C$2:$C$500,MATCH($C5782,المنيو!$B$2:$B$500,0)),0))</f>
        <v/>
      </c>
      <c r="F5782" s="103" t="str">
        <f aca="false">IF($C5782="","",$D5782*$E5782)</f>
        <v/>
      </c>
      <c r="G5782" s="103" t="str">
        <f aca="false">IF($C5782="","",$D5782*IFERROR(INDEX('تحليل التكلفة والسعر'!$C$2:$C$700,MATCH($C5782,'تحليل التكلفة والسعر'!$B$2:$B$700,0)),0))</f>
        <v/>
      </c>
    </row>
    <row r="5783" customFormat="false" ht="15" hidden="false" customHeight="false" outlineLevel="0" collapsed="false">
      <c r="A5783" s="102"/>
      <c r="E5783" s="103" t="str">
        <f aca="false">IF($C5783="","",IFERROR(INDEX(المنيو!$C$2:$C$500,MATCH($C5783,المنيو!$B$2:$B$500,0)),0))</f>
        <v/>
      </c>
      <c r="F5783" s="103" t="str">
        <f aca="false">IF($C5783="","",$D5783*$E5783)</f>
        <v/>
      </c>
      <c r="G5783" s="103" t="str">
        <f aca="false">IF($C5783="","",$D5783*IFERROR(INDEX('تحليل التكلفة والسعر'!$C$2:$C$700,MATCH($C5783,'تحليل التكلفة والسعر'!$B$2:$B$700,0)),0))</f>
        <v/>
      </c>
    </row>
    <row r="5784" customFormat="false" ht="15" hidden="false" customHeight="false" outlineLevel="0" collapsed="false">
      <c r="A5784" s="102"/>
      <c r="E5784" s="103" t="str">
        <f aca="false">IF($C5784="","",IFERROR(INDEX(المنيو!$C$2:$C$500,MATCH($C5784,المنيو!$B$2:$B$500,0)),0))</f>
        <v/>
      </c>
      <c r="F5784" s="103" t="str">
        <f aca="false">IF($C5784="","",$D5784*$E5784)</f>
        <v/>
      </c>
      <c r="G5784" s="103" t="str">
        <f aca="false">IF($C5784="","",$D5784*IFERROR(INDEX('تحليل التكلفة والسعر'!$C$2:$C$700,MATCH($C5784,'تحليل التكلفة والسعر'!$B$2:$B$700,0)),0))</f>
        <v/>
      </c>
    </row>
    <row r="5785" customFormat="false" ht="15" hidden="false" customHeight="false" outlineLevel="0" collapsed="false">
      <c r="A5785" s="102"/>
      <c r="E5785" s="103" t="str">
        <f aca="false">IF($C5785="","",IFERROR(INDEX(المنيو!$C$2:$C$500,MATCH($C5785,المنيو!$B$2:$B$500,0)),0))</f>
        <v/>
      </c>
      <c r="F5785" s="103" t="str">
        <f aca="false">IF($C5785="","",$D5785*$E5785)</f>
        <v/>
      </c>
      <c r="G5785" s="103" t="str">
        <f aca="false">IF($C5785="","",$D5785*IFERROR(INDEX('تحليل التكلفة والسعر'!$C$2:$C$700,MATCH($C5785,'تحليل التكلفة والسعر'!$B$2:$B$700,0)),0))</f>
        <v/>
      </c>
    </row>
    <row r="5786" customFormat="false" ht="15" hidden="false" customHeight="false" outlineLevel="0" collapsed="false">
      <c r="A5786" s="102"/>
      <c r="E5786" s="103" t="str">
        <f aca="false">IF($C5786="","",IFERROR(INDEX(المنيو!$C$2:$C$500,MATCH($C5786,المنيو!$B$2:$B$500,0)),0))</f>
        <v/>
      </c>
      <c r="F5786" s="103" t="str">
        <f aca="false">IF($C5786="","",$D5786*$E5786)</f>
        <v/>
      </c>
      <c r="G5786" s="103" t="str">
        <f aca="false">IF($C5786="","",$D5786*IFERROR(INDEX('تحليل التكلفة والسعر'!$C$2:$C$700,MATCH($C5786,'تحليل التكلفة والسعر'!$B$2:$B$700,0)),0))</f>
        <v/>
      </c>
    </row>
    <row r="5787" customFormat="false" ht="15" hidden="false" customHeight="false" outlineLevel="0" collapsed="false">
      <c r="A5787" s="102"/>
      <c r="E5787" s="103" t="str">
        <f aca="false">IF($C5787="","",IFERROR(INDEX(المنيو!$C$2:$C$500,MATCH($C5787,المنيو!$B$2:$B$500,0)),0))</f>
        <v/>
      </c>
      <c r="F5787" s="103" t="str">
        <f aca="false">IF($C5787="","",$D5787*$E5787)</f>
        <v/>
      </c>
      <c r="G5787" s="103" t="str">
        <f aca="false">IF($C5787="","",$D5787*IFERROR(INDEX('تحليل التكلفة والسعر'!$C$2:$C$700,MATCH($C5787,'تحليل التكلفة والسعر'!$B$2:$B$700,0)),0))</f>
        <v/>
      </c>
    </row>
    <row r="5788" customFormat="false" ht="15" hidden="false" customHeight="false" outlineLevel="0" collapsed="false">
      <c r="A5788" s="102"/>
      <c r="E5788" s="103" t="str">
        <f aca="false">IF($C5788="","",IFERROR(INDEX(المنيو!$C$2:$C$500,MATCH($C5788,المنيو!$B$2:$B$500,0)),0))</f>
        <v/>
      </c>
      <c r="F5788" s="103" t="str">
        <f aca="false">IF($C5788="","",$D5788*$E5788)</f>
        <v/>
      </c>
      <c r="G5788" s="103" t="str">
        <f aca="false">IF($C5788="","",$D5788*IFERROR(INDEX('تحليل التكلفة والسعر'!$C$2:$C$700,MATCH($C5788,'تحليل التكلفة والسعر'!$B$2:$B$700,0)),0))</f>
        <v/>
      </c>
    </row>
    <row r="5789" customFormat="false" ht="15" hidden="false" customHeight="false" outlineLevel="0" collapsed="false">
      <c r="A5789" s="102"/>
      <c r="E5789" s="103" t="str">
        <f aca="false">IF($C5789="","",IFERROR(INDEX(المنيو!$C$2:$C$500,MATCH($C5789,المنيو!$B$2:$B$500,0)),0))</f>
        <v/>
      </c>
      <c r="F5789" s="103" t="str">
        <f aca="false">IF($C5789="","",$D5789*$E5789)</f>
        <v/>
      </c>
      <c r="G5789" s="103" t="str">
        <f aca="false">IF($C5789="","",$D5789*IFERROR(INDEX('تحليل التكلفة والسعر'!$C$2:$C$700,MATCH($C5789,'تحليل التكلفة والسعر'!$B$2:$B$700,0)),0))</f>
        <v/>
      </c>
    </row>
    <row r="5790" customFormat="false" ht="15" hidden="false" customHeight="false" outlineLevel="0" collapsed="false">
      <c r="A5790" s="102"/>
      <c r="E5790" s="103" t="str">
        <f aca="false">IF($C5790="","",IFERROR(INDEX(المنيو!$C$2:$C$500,MATCH($C5790,المنيو!$B$2:$B$500,0)),0))</f>
        <v/>
      </c>
      <c r="F5790" s="103" t="str">
        <f aca="false">IF($C5790="","",$D5790*$E5790)</f>
        <v/>
      </c>
      <c r="G5790" s="103" t="str">
        <f aca="false">IF($C5790="","",$D5790*IFERROR(INDEX('تحليل التكلفة والسعر'!$C$2:$C$700,MATCH($C5790,'تحليل التكلفة والسعر'!$B$2:$B$700,0)),0))</f>
        <v/>
      </c>
    </row>
    <row r="5791" customFormat="false" ht="15" hidden="false" customHeight="false" outlineLevel="0" collapsed="false">
      <c r="A5791" s="102"/>
      <c r="E5791" s="103" t="str">
        <f aca="false">IF($C5791="","",IFERROR(INDEX(المنيو!$C$2:$C$500,MATCH($C5791,المنيو!$B$2:$B$500,0)),0))</f>
        <v/>
      </c>
      <c r="F5791" s="103" t="str">
        <f aca="false">IF($C5791="","",$D5791*$E5791)</f>
        <v/>
      </c>
      <c r="G5791" s="103" t="str">
        <f aca="false">IF($C5791="","",$D5791*IFERROR(INDEX('تحليل التكلفة والسعر'!$C$2:$C$700,MATCH($C5791,'تحليل التكلفة والسعر'!$B$2:$B$700,0)),0))</f>
        <v/>
      </c>
    </row>
    <row r="5792" customFormat="false" ht="15" hidden="false" customHeight="false" outlineLevel="0" collapsed="false">
      <c r="A5792" s="102"/>
      <c r="E5792" s="103" t="str">
        <f aca="false">IF($C5792="","",IFERROR(INDEX(المنيو!$C$2:$C$500,MATCH($C5792,المنيو!$B$2:$B$500,0)),0))</f>
        <v/>
      </c>
      <c r="F5792" s="103" t="str">
        <f aca="false">IF($C5792="","",$D5792*$E5792)</f>
        <v/>
      </c>
      <c r="G5792" s="103" t="str">
        <f aca="false">IF($C5792="","",$D5792*IFERROR(INDEX('تحليل التكلفة والسعر'!$C$2:$C$700,MATCH($C5792,'تحليل التكلفة والسعر'!$B$2:$B$700,0)),0))</f>
        <v/>
      </c>
    </row>
    <row r="5793" customFormat="false" ht="15" hidden="false" customHeight="false" outlineLevel="0" collapsed="false">
      <c r="A5793" s="102"/>
      <c r="E5793" s="103" t="str">
        <f aca="false">IF($C5793="","",IFERROR(INDEX(المنيو!$C$2:$C$500,MATCH($C5793,المنيو!$B$2:$B$500,0)),0))</f>
        <v/>
      </c>
      <c r="F5793" s="103" t="str">
        <f aca="false">IF($C5793="","",$D5793*$E5793)</f>
        <v/>
      </c>
      <c r="G5793" s="103" t="str">
        <f aca="false">IF($C5793="","",$D5793*IFERROR(INDEX('تحليل التكلفة والسعر'!$C$2:$C$700,MATCH($C5793,'تحليل التكلفة والسعر'!$B$2:$B$700,0)),0))</f>
        <v/>
      </c>
    </row>
    <row r="5794" customFormat="false" ht="15" hidden="false" customHeight="false" outlineLevel="0" collapsed="false">
      <c r="A5794" s="102"/>
      <c r="E5794" s="103" t="str">
        <f aca="false">IF($C5794="","",IFERROR(INDEX(المنيو!$C$2:$C$500,MATCH($C5794,المنيو!$B$2:$B$500,0)),0))</f>
        <v/>
      </c>
      <c r="F5794" s="103" t="str">
        <f aca="false">IF($C5794="","",$D5794*$E5794)</f>
        <v/>
      </c>
      <c r="G5794" s="103" t="str">
        <f aca="false">IF($C5794="","",$D5794*IFERROR(INDEX('تحليل التكلفة والسعر'!$C$2:$C$700,MATCH($C5794,'تحليل التكلفة والسعر'!$B$2:$B$700,0)),0))</f>
        <v/>
      </c>
    </row>
    <row r="5795" customFormat="false" ht="15" hidden="false" customHeight="false" outlineLevel="0" collapsed="false">
      <c r="A5795" s="102"/>
      <c r="E5795" s="103" t="str">
        <f aca="false">IF($C5795="","",IFERROR(INDEX(المنيو!$C$2:$C$500,MATCH($C5795,المنيو!$B$2:$B$500,0)),0))</f>
        <v/>
      </c>
      <c r="F5795" s="103" t="str">
        <f aca="false">IF($C5795="","",$D5795*$E5795)</f>
        <v/>
      </c>
      <c r="G5795" s="103" t="str">
        <f aca="false">IF($C5795="","",$D5795*IFERROR(INDEX('تحليل التكلفة والسعر'!$C$2:$C$700,MATCH($C5795,'تحليل التكلفة والسعر'!$B$2:$B$700,0)),0))</f>
        <v/>
      </c>
    </row>
    <row r="5796" customFormat="false" ht="15" hidden="false" customHeight="false" outlineLevel="0" collapsed="false">
      <c r="A5796" s="102"/>
      <c r="E5796" s="103" t="str">
        <f aca="false">IF($C5796="","",IFERROR(INDEX(المنيو!$C$2:$C$500,MATCH($C5796,المنيو!$B$2:$B$500,0)),0))</f>
        <v/>
      </c>
      <c r="F5796" s="103" t="str">
        <f aca="false">IF($C5796="","",$D5796*$E5796)</f>
        <v/>
      </c>
      <c r="G5796" s="103" t="str">
        <f aca="false">IF($C5796="","",$D5796*IFERROR(INDEX('تحليل التكلفة والسعر'!$C$2:$C$700,MATCH($C5796,'تحليل التكلفة والسعر'!$B$2:$B$700,0)),0))</f>
        <v/>
      </c>
    </row>
    <row r="5797" customFormat="false" ht="15" hidden="false" customHeight="false" outlineLevel="0" collapsed="false">
      <c r="A5797" s="102"/>
      <c r="E5797" s="103" t="str">
        <f aca="false">IF($C5797="","",IFERROR(INDEX(المنيو!$C$2:$C$500,MATCH($C5797,المنيو!$B$2:$B$500,0)),0))</f>
        <v/>
      </c>
      <c r="F5797" s="103" t="str">
        <f aca="false">IF($C5797="","",$D5797*$E5797)</f>
        <v/>
      </c>
      <c r="G5797" s="103" t="str">
        <f aca="false">IF($C5797="","",$D5797*IFERROR(INDEX('تحليل التكلفة والسعر'!$C$2:$C$700,MATCH($C5797,'تحليل التكلفة والسعر'!$B$2:$B$700,0)),0))</f>
        <v/>
      </c>
    </row>
    <row r="5798" customFormat="false" ht="15" hidden="false" customHeight="false" outlineLevel="0" collapsed="false">
      <c r="A5798" s="102"/>
      <c r="E5798" s="103" t="str">
        <f aca="false">IF($C5798="","",IFERROR(INDEX(المنيو!$C$2:$C$500,MATCH($C5798,المنيو!$B$2:$B$500,0)),0))</f>
        <v/>
      </c>
      <c r="F5798" s="103" t="str">
        <f aca="false">IF($C5798="","",$D5798*$E5798)</f>
        <v/>
      </c>
      <c r="G5798" s="103" t="str">
        <f aca="false">IF($C5798="","",$D5798*IFERROR(INDEX('تحليل التكلفة والسعر'!$C$2:$C$700,MATCH($C5798,'تحليل التكلفة والسعر'!$B$2:$B$700,0)),0))</f>
        <v/>
      </c>
    </row>
    <row r="5799" customFormat="false" ht="15" hidden="false" customHeight="false" outlineLevel="0" collapsed="false">
      <c r="A5799" s="102"/>
      <c r="E5799" s="103" t="str">
        <f aca="false">IF($C5799="","",IFERROR(INDEX(المنيو!$C$2:$C$500,MATCH($C5799,المنيو!$B$2:$B$500,0)),0))</f>
        <v/>
      </c>
      <c r="F5799" s="103" t="str">
        <f aca="false">IF($C5799="","",$D5799*$E5799)</f>
        <v/>
      </c>
      <c r="G5799" s="103" t="str">
        <f aca="false">IF($C5799="","",$D5799*IFERROR(INDEX('تحليل التكلفة والسعر'!$C$2:$C$700,MATCH($C5799,'تحليل التكلفة والسعر'!$B$2:$B$700,0)),0))</f>
        <v/>
      </c>
    </row>
    <row r="5800" customFormat="false" ht="15" hidden="false" customHeight="false" outlineLevel="0" collapsed="false">
      <c r="A5800" s="102"/>
      <c r="E5800" s="103" t="str">
        <f aca="false">IF($C5800="","",IFERROR(INDEX(المنيو!$C$2:$C$500,MATCH($C5800,المنيو!$B$2:$B$500,0)),0))</f>
        <v/>
      </c>
      <c r="F5800" s="103" t="str">
        <f aca="false">IF($C5800="","",$D5800*$E5800)</f>
        <v/>
      </c>
      <c r="G5800" s="103" t="str">
        <f aca="false">IF($C5800="","",$D5800*IFERROR(INDEX('تحليل التكلفة والسعر'!$C$2:$C$700,MATCH($C5800,'تحليل التكلفة والسعر'!$B$2:$B$700,0)),0))</f>
        <v/>
      </c>
    </row>
    <row r="5801" customFormat="false" ht="15" hidden="false" customHeight="false" outlineLevel="0" collapsed="false">
      <c r="A5801" s="102"/>
      <c r="E5801" s="103" t="str">
        <f aca="false">IF($C5801="","",IFERROR(INDEX(المنيو!$C$2:$C$500,MATCH($C5801,المنيو!$B$2:$B$500,0)),0))</f>
        <v/>
      </c>
      <c r="F5801" s="103" t="str">
        <f aca="false">IF($C5801="","",$D5801*$E5801)</f>
        <v/>
      </c>
      <c r="G5801" s="103" t="str">
        <f aca="false">IF($C5801="","",$D5801*IFERROR(INDEX('تحليل التكلفة والسعر'!$C$2:$C$700,MATCH($C5801,'تحليل التكلفة والسعر'!$B$2:$B$700,0)),0))</f>
        <v/>
      </c>
    </row>
    <row r="5802" customFormat="false" ht="15" hidden="false" customHeight="false" outlineLevel="0" collapsed="false">
      <c r="A5802" s="102"/>
      <c r="E5802" s="103" t="str">
        <f aca="false">IF($C5802="","",IFERROR(INDEX(المنيو!$C$2:$C$500,MATCH($C5802,المنيو!$B$2:$B$500,0)),0))</f>
        <v/>
      </c>
      <c r="F5802" s="103" t="str">
        <f aca="false">IF($C5802="","",$D5802*$E5802)</f>
        <v/>
      </c>
      <c r="G5802" s="103" t="str">
        <f aca="false">IF($C5802="","",$D5802*IFERROR(INDEX('تحليل التكلفة والسعر'!$C$2:$C$700,MATCH($C5802,'تحليل التكلفة والسعر'!$B$2:$B$700,0)),0))</f>
        <v/>
      </c>
    </row>
    <row r="5803" customFormat="false" ht="15" hidden="false" customHeight="false" outlineLevel="0" collapsed="false">
      <c r="A5803" s="102"/>
      <c r="E5803" s="103" t="str">
        <f aca="false">IF($C5803="","",IFERROR(INDEX(المنيو!$C$2:$C$500,MATCH($C5803,المنيو!$B$2:$B$500,0)),0))</f>
        <v/>
      </c>
      <c r="F5803" s="103" t="str">
        <f aca="false">IF($C5803="","",$D5803*$E5803)</f>
        <v/>
      </c>
      <c r="G5803" s="103" t="str">
        <f aca="false">IF($C5803="","",$D5803*IFERROR(INDEX('تحليل التكلفة والسعر'!$C$2:$C$700,MATCH($C5803,'تحليل التكلفة والسعر'!$B$2:$B$700,0)),0))</f>
        <v/>
      </c>
    </row>
    <row r="5804" customFormat="false" ht="15" hidden="false" customHeight="false" outlineLevel="0" collapsed="false">
      <c r="A5804" s="102"/>
      <c r="E5804" s="103" t="str">
        <f aca="false">IF($C5804="","",IFERROR(INDEX(المنيو!$C$2:$C$500,MATCH($C5804,المنيو!$B$2:$B$500,0)),0))</f>
        <v/>
      </c>
      <c r="F5804" s="103" t="str">
        <f aca="false">IF($C5804="","",$D5804*$E5804)</f>
        <v/>
      </c>
      <c r="G5804" s="103" t="str">
        <f aca="false">IF($C5804="","",$D5804*IFERROR(INDEX('تحليل التكلفة والسعر'!$C$2:$C$700,MATCH($C5804,'تحليل التكلفة والسعر'!$B$2:$B$700,0)),0))</f>
        <v/>
      </c>
    </row>
    <row r="5805" customFormat="false" ht="15" hidden="false" customHeight="false" outlineLevel="0" collapsed="false">
      <c r="A5805" s="102"/>
      <c r="E5805" s="103" t="str">
        <f aca="false">IF($C5805="","",IFERROR(INDEX(المنيو!$C$2:$C$500,MATCH($C5805,المنيو!$B$2:$B$500,0)),0))</f>
        <v/>
      </c>
      <c r="F5805" s="103" t="str">
        <f aca="false">IF($C5805="","",$D5805*$E5805)</f>
        <v/>
      </c>
      <c r="G5805" s="103" t="str">
        <f aca="false">IF($C5805="","",$D5805*IFERROR(INDEX('تحليل التكلفة والسعر'!$C$2:$C$700,MATCH($C5805,'تحليل التكلفة والسعر'!$B$2:$B$700,0)),0))</f>
        <v/>
      </c>
    </row>
    <row r="5806" customFormat="false" ht="15" hidden="false" customHeight="false" outlineLevel="0" collapsed="false">
      <c r="A5806" s="102"/>
      <c r="E5806" s="103" t="str">
        <f aca="false">IF($C5806="","",IFERROR(INDEX(المنيو!$C$2:$C$500,MATCH($C5806,المنيو!$B$2:$B$500,0)),0))</f>
        <v/>
      </c>
      <c r="F5806" s="103" t="str">
        <f aca="false">IF($C5806="","",$D5806*$E5806)</f>
        <v/>
      </c>
      <c r="G5806" s="103" t="str">
        <f aca="false">IF($C5806="","",$D5806*IFERROR(INDEX('تحليل التكلفة والسعر'!$C$2:$C$700,MATCH($C5806,'تحليل التكلفة والسعر'!$B$2:$B$700,0)),0))</f>
        <v/>
      </c>
    </row>
    <row r="5807" customFormat="false" ht="15" hidden="false" customHeight="false" outlineLevel="0" collapsed="false">
      <c r="A5807" s="102"/>
      <c r="E5807" s="103" t="str">
        <f aca="false">IF($C5807="","",IFERROR(INDEX(المنيو!$C$2:$C$500,MATCH($C5807,المنيو!$B$2:$B$500,0)),0))</f>
        <v/>
      </c>
      <c r="F5807" s="103" t="str">
        <f aca="false">IF($C5807="","",$D5807*$E5807)</f>
        <v/>
      </c>
      <c r="G5807" s="103" t="str">
        <f aca="false">IF($C5807="","",$D5807*IFERROR(INDEX('تحليل التكلفة والسعر'!$C$2:$C$700,MATCH($C5807,'تحليل التكلفة والسعر'!$B$2:$B$700,0)),0))</f>
        <v/>
      </c>
    </row>
    <row r="5808" customFormat="false" ht="15" hidden="false" customHeight="false" outlineLevel="0" collapsed="false">
      <c r="A5808" s="102"/>
      <c r="E5808" s="103" t="str">
        <f aca="false">IF($C5808="","",IFERROR(INDEX(المنيو!$C$2:$C$500,MATCH($C5808,المنيو!$B$2:$B$500,0)),0))</f>
        <v/>
      </c>
      <c r="F5808" s="103" t="str">
        <f aca="false">IF($C5808="","",$D5808*$E5808)</f>
        <v/>
      </c>
      <c r="G5808" s="103" t="str">
        <f aca="false">IF($C5808="","",$D5808*IFERROR(INDEX('تحليل التكلفة والسعر'!$C$2:$C$700,MATCH($C5808,'تحليل التكلفة والسعر'!$B$2:$B$700,0)),0))</f>
        <v/>
      </c>
    </row>
    <row r="5809" customFormat="false" ht="15" hidden="false" customHeight="false" outlineLevel="0" collapsed="false">
      <c r="A5809" s="102"/>
      <c r="E5809" s="103" t="str">
        <f aca="false">IF($C5809="","",IFERROR(INDEX(المنيو!$C$2:$C$500,MATCH($C5809,المنيو!$B$2:$B$500,0)),0))</f>
        <v/>
      </c>
      <c r="F5809" s="103" t="str">
        <f aca="false">IF($C5809="","",$D5809*$E5809)</f>
        <v/>
      </c>
      <c r="G5809" s="103" t="str">
        <f aca="false">IF($C5809="","",$D5809*IFERROR(INDEX('تحليل التكلفة والسعر'!$C$2:$C$700,MATCH($C5809,'تحليل التكلفة والسعر'!$B$2:$B$700,0)),0))</f>
        <v/>
      </c>
    </row>
    <row r="5810" customFormat="false" ht="15" hidden="false" customHeight="false" outlineLevel="0" collapsed="false">
      <c r="A5810" s="102"/>
      <c r="E5810" s="103" t="str">
        <f aca="false">IF($C5810="","",IFERROR(INDEX(المنيو!$C$2:$C$500,MATCH($C5810,المنيو!$B$2:$B$500,0)),0))</f>
        <v/>
      </c>
      <c r="F5810" s="103" t="str">
        <f aca="false">IF($C5810="","",$D5810*$E5810)</f>
        <v/>
      </c>
      <c r="G5810" s="103" t="str">
        <f aca="false">IF($C5810="","",$D5810*IFERROR(INDEX('تحليل التكلفة والسعر'!$C$2:$C$700,MATCH($C5810,'تحليل التكلفة والسعر'!$B$2:$B$700,0)),0))</f>
        <v/>
      </c>
    </row>
    <row r="5811" customFormat="false" ht="15" hidden="false" customHeight="false" outlineLevel="0" collapsed="false">
      <c r="A5811" s="102"/>
      <c r="E5811" s="103" t="str">
        <f aca="false">IF($C5811="","",IFERROR(INDEX(المنيو!$C$2:$C$500,MATCH($C5811,المنيو!$B$2:$B$500,0)),0))</f>
        <v/>
      </c>
      <c r="F5811" s="103" t="str">
        <f aca="false">IF($C5811="","",$D5811*$E5811)</f>
        <v/>
      </c>
      <c r="G5811" s="103" t="str">
        <f aca="false">IF($C5811="","",$D5811*IFERROR(INDEX('تحليل التكلفة والسعر'!$C$2:$C$700,MATCH($C5811,'تحليل التكلفة والسعر'!$B$2:$B$700,0)),0))</f>
        <v/>
      </c>
    </row>
    <row r="5812" customFormat="false" ht="15" hidden="false" customHeight="false" outlineLevel="0" collapsed="false">
      <c r="A5812" s="102"/>
      <c r="E5812" s="103" t="str">
        <f aca="false">IF($C5812="","",IFERROR(INDEX(المنيو!$C$2:$C$500,MATCH($C5812,المنيو!$B$2:$B$500,0)),0))</f>
        <v/>
      </c>
      <c r="F5812" s="103" t="str">
        <f aca="false">IF($C5812="","",$D5812*$E5812)</f>
        <v/>
      </c>
      <c r="G5812" s="103" t="str">
        <f aca="false">IF($C5812="","",$D5812*IFERROR(INDEX('تحليل التكلفة والسعر'!$C$2:$C$700,MATCH($C5812,'تحليل التكلفة والسعر'!$B$2:$B$700,0)),0))</f>
        <v/>
      </c>
    </row>
    <row r="5813" customFormat="false" ht="15" hidden="false" customHeight="false" outlineLevel="0" collapsed="false">
      <c r="A5813" s="102"/>
      <c r="E5813" s="103" t="str">
        <f aca="false">IF($C5813="","",IFERROR(INDEX(المنيو!$C$2:$C$500,MATCH($C5813,المنيو!$B$2:$B$500,0)),0))</f>
        <v/>
      </c>
      <c r="F5813" s="103" t="str">
        <f aca="false">IF($C5813="","",$D5813*$E5813)</f>
        <v/>
      </c>
      <c r="G5813" s="103" t="str">
        <f aca="false">IF($C5813="","",$D5813*IFERROR(INDEX('تحليل التكلفة والسعر'!$C$2:$C$700,MATCH($C5813,'تحليل التكلفة والسعر'!$B$2:$B$700,0)),0))</f>
        <v/>
      </c>
    </row>
    <row r="5814" customFormat="false" ht="15" hidden="false" customHeight="false" outlineLevel="0" collapsed="false">
      <c r="A5814" s="102"/>
      <c r="E5814" s="103" t="str">
        <f aca="false">IF($C5814="","",IFERROR(INDEX(المنيو!$C$2:$C$500,MATCH($C5814,المنيو!$B$2:$B$500,0)),0))</f>
        <v/>
      </c>
      <c r="F5814" s="103" t="str">
        <f aca="false">IF($C5814="","",$D5814*$E5814)</f>
        <v/>
      </c>
      <c r="G5814" s="103" t="str">
        <f aca="false">IF($C5814="","",$D5814*IFERROR(INDEX('تحليل التكلفة والسعر'!$C$2:$C$700,MATCH($C5814,'تحليل التكلفة والسعر'!$B$2:$B$700,0)),0))</f>
        <v/>
      </c>
    </row>
    <row r="5815" customFormat="false" ht="15" hidden="false" customHeight="false" outlineLevel="0" collapsed="false">
      <c r="A5815" s="102"/>
      <c r="E5815" s="103" t="str">
        <f aca="false">IF($C5815="","",IFERROR(INDEX(المنيو!$C$2:$C$500,MATCH($C5815,المنيو!$B$2:$B$500,0)),0))</f>
        <v/>
      </c>
      <c r="F5815" s="103" t="str">
        <f aca="false">IF($C5815="","",$D5815*$E5815)</f>
        <v/>
      </c>
      <c r="G5815" s="103" t="str">
        <f aca="false">IF($C5815="","",$D5815*IFERROR(INDEX('تحليل التكلفة والسعر'!$C$2:$C$700,MATCH($C5815,'تحليل التكلفة والسعر'!$B$2:$B$700,0)),0))</f>
        <v/>
      </c>
    </row>
    <row r="5816" customFormat="false" ht="15" hidden="false" customHeight="false" outlineLevel="0" collapsed="false">
      <c r="A5816" s="102"/>
      <c r="E5816" s="103" t="str">
        <f aca="false">IF($C5816="","",IFERROR(INDEX(المنيو!$C$2:$C$500,MATCH($C5816,المنيو!$B$2:$B$500,0)),0))</f>
        <v/>
      </c>
      <c r="F5816" s="103" t="str">
        <f aca="false">IF($C5816="","",$D5816*$E5816)</f>
        <v/>
      </c>
      <c r="G5816" s="103" t="str">
        <f aca="false">IF($C5816="","",$D5816*IFERROR(INDEX('تحليل التكلفة والسعر'!$C$2:$C$700,MATCH($C5816,'تحليل التكلفة والسعر'!$B$2:$B$700,0)),0))</f>
        <v/>
      </c>
    </row>
    <row r="5817" customFormat="false" ht="15" hidden="false" customHeight="false" outlineLevel="0" collapsed="false">
      <c r="A5817" s="102"/>
      <c r="E5817" s="103" t="str">
        <f aca="false">IF($C5817="","",IFERROR(INDEX(المنيو!$C$2:$C$500,MATCH($C5817,المنيو!$B$2:$B$500,0)),0))</f>
        <v/>
      </c>
      <c r="F5817" s="103" t="str">
        <f aca="false">IF($C5817="","",$D5817*$E5817)</f>
        <v/>
      </c>
      <c r="G5817" s="103" t="str">
        <f aca="false">IF($C5817="","",$D5817*IFERROR(INDEX('تحليل التكلفة والسعر'!$C$2:$C$700,MATCH($C5817,'تحليل التكلفة والسعر'!$B$2:$B$700,0)),0))</f>
        <v/>
      </c>
    </row>
    <row r="5818" customFormat="false" ht="15" hidden="false" customHeight="false" outlineLevel="0" collapsed="false">
      <c r="A5818" s="102"/>
      <c r="E5818" s="103" t="str">
        <f aca="false">IF($C5818="","",IFERROR(INDEX(المنيو!$C$2:$C$500,MATCH($C5818,المنيو!$B$2:$B$500,0)),0))</f>
        <v/>
      </c>
      <c r="F5818" s="103" t="str">
        <f aca="false">IF($C5818="","",$D5818*$E5818)</f>
        <v/>
      </c>
      <c r="G5818" s="103" t="str">
        <f aca="false">IF($C5818="","",$D5818*IFERROR(INDEX('تحليل التكلفة والسعر'!$C$2:$C$700,MATCH($C5818,'تحليل التكلفة والسعر'!$B$2:$B$700,0)),0))</f>
        <v/>
      </c>
    </row>
    <row r="5819" customFormat="false" ht="15" hidden="false" customHeight="false" outlineLevel="0" collapsed="false">
      <c r="A5819" s="102"/>
      <c r="E5819" s="103" t="str">
        <f aca="false">IF($C5819="","",IFERROR(INDEX(المنيو!$C$2:$C$500,MATCH($C5819,المنيو!$B$2:$B$500,0)),0))</f>
        <v/>
      </c>
      <c r="F5819" s="103" t="str">
        <f aca="false">IF($C5819="","",$D5819*$E5819)</f>
        <v/>
      </c>
      <c r="G5819" s="103" t="str">
        <f aca="false">IF($C5819="","",$D5819*IFERROR(INDEX('تحليل التكلفة والسعر'!$C$2:$C$700,MATCH($C5819,'تحليل التكلفة والسعر'!$B$2:$B$700,0)),0))</f>
        <v/>
      </c>
    </row>
    <row r="5820" customFormat="false" ht="15" hidden="false" customHeight="false" outlineLevel="0" collapsed="false">
      <c r="A5820" s="102"/>
      <c r="E5820" s="103" t="str">
        <f aca="false">IF($C5820="","",IFERROR(INDEX(المنيو!$C$2:$C$500,MATCH($C5820,المنيو!$B$2:$B$500,0)),0))</f>
        <v/>
      </c>
      <c r="F5820" s="103" t="str">
        <f aca="false">IF($C5820="","",$D5820*$E5820)</f>
        <v/>
      </c>
      <c r="G5820" s="103" t="str">
        <f aca="false">IF($C5820="","",$D5820*IFERROR(INDEX('تحليل التكلفة والسعر'!$C$2:$C$700,MATCH($C5820,'تحليل التكلفة والسعر'!$B$2:$B$700,0)),0))</f>
        <v/>
      </c>
    </row>
    <row r="5821" customFormat="false" ht="15" hidden="false" customHeight="false" outlineLevel="0" collapsed="false">
      <c r="A5821" s="102"/>
      <c r="E5821" s="103" t="str">
        <f aca="false">IF($C5821="","",IFERROR(INDEX(المنيو!$C$2:$C$500,MATCH($C5821,المنيو!$B$2:$B$500,0)),0))</f>
        <v/>
      </c>
      <c r="F5821" s="103" t="str">
        <f aca="false">IF($C5821="","",$D5821*$E5821)</f>
        <v/>
      </c>
      <c r="G5821" s="103" t="str">
        <f aca="false">IF($C5821="","",$D5821*IFERROR(INDEX('تحليل التكلفة والسعر'!$C$2:$C$700,MATCH($C5821,'تحليل التكلفة والسعر'!$B$2:$B$700,0)),0))</f>
        <v/>
      </c>
    </row>
    <row r="5822" customFormat="false" ht="15" hidden="false" customHeight="false" outlineLevel="0" collapsed="false">
      <c r="A5822" s="102"/>
      <c r="E5822" s="103" t="str">
        <f aca="false">IF($C5822="","",IFERROR(INDEX(المنيو!$C$2:$C$500,MATCH($C5822,المنيو!$B$2:$B$500,0)),0))</f>
        <v/>
      </c>
      <c r="F5822" s="103" t="str">
        <f aca="false">IF($C5822="","",$D5822*$E5822)</f>
        <v/>
      </c>
      <c r="G5822" s="103" t="str">
        <f aca="false">IF($C5822="","",$D5822*IFERROR(INDEX('تحليل التكلفة والسعر'!$C$2:$C$700,MATCH($C5822,'تحليل التكلفة والسعر'!$B$2:$B$700,0)),0))</f>
        <v/>
      </c>
    </row>
    <row r="5823" customFormat="false" ht="15" hidden="false" customHeight="false" outlineLevel="0" collapsed="false">
      <c r="A5823" s="102"/>
      <c r="E5823" s="103" t="str">
        <f aca="false">IF($C5823="","",IFERROR(INDEX(المنيو!$C$2:$C$500,MATCH($C5823,المنيو!$B$2:$B$500,0)),0))</f>
        <v/>
      </c>
      <c r="F5823" s="103" t="str">
        <f aca="false">IF($C5823="","",$D5823*$E5823)</f>
        <v/>
      </c>
      <c r="G5823" s="103" t="str">
        <f aca="false">IF($C5823="","",$D5823*IFERROR(INDEX('تحليل التكلفة والسعر'!$C$2:$C$700,MATCH($C5823,'تحليل التكلفة والسعر'!$B$2:$B$700,0)),0))</f>
        <v/>
      </c>
    </row>
    <row r="5824" customFormat="false" ht="15" hidden="false" customHeight="false" outlineLevel="0" collapsed="false">
      <c r="A5824" s="102"/>
      <c r="E5824" s="103" t="str">
        <f aca="false">IF($C5824="","",IFERROR(INDEX(المنيو!$C$2:$C$500,MATCH($C5824,المنيو!$B$2:$B$500,0)),0))</f>
        <v/>
      </c>
      <c r="F5824" s="103" t="str">
        <f aca="false">IF($C5824="","",$D5824*$E5824)</f>
        <v/>
      </c>
      <c r="G5824" s="103" t="str">
        <f aca="false">IF($C5824="","",$D5824*IFERROR(INDEX('تحليل التكلفة والسعر'!$C$2:$C$700,MATCH($C5824,'تحليل التكلفة والسعر'!$B$2:$B$700,0)),0))</f>
        <v/>
      </c>
    </row>
    <row r="5825" customFormat="false" ht="15" hidden="false" customHeight="false" outlineLevel="0" collapsed="false">
      <c r="A5825" s="102"/>
      <c r="E5825" s="103" t="str">
        <f aca="false">IF($C5825="","",IFERROR(INDEX(المنيو!$C$2:$C$500,MATCH($C5825,المنيو!$B$2:$B$500,0)),0))</f>
        <v/>
      </c>
      <c r="F5825" s="103" t="str">
        <f aca="false">IF($C5825="","",$D5825*$E5825)</f>
        <v/>
      </c>
      <c r="G5825" s="103" t="str">
        <f aca="false">IF($C5825="","",$D5825*IFERROR(INDEX('تحليل التكلفة والسعر'!$C$2:$C$700,MATCH($C5825,'تحليل التكلفة والسعر'!$B$2:$B$700,0)),0))</f>
        <v/>
      </c>
    </row>
    <row r="5826" customFormat="false" ht="15" hidden="false" customHeight="false" outlineLevel="0" collapsed="false">
      <c r="A5826" s="102"/>
      <c r="E5826" s="103" t="str">
        <f aca="false">IF($C5826="","",IFERROR(INDEX(المنيو!$C$2:$C$500,MATCH($C5826,المنيو!$B$2:$B$500,0)),0))</f>
        <v/>
      </c>
      <c r="F5826" s="103" t="str">
        <f aca="false">IF($C5826="","",$D5826*$E5826)</f>
        <v/>
      </c>
      <c r="G5826" s="103" t="str">
        <f aca="false">IF($C5826="","",$D5826*IFERROR(INDEX('تحليل التكلفة والسعر'!$C$2:$C$700,MATCH($C5826,'تحليل التكلفة والسعر'!$B$2:$B$700,0)),0))</f>
        <v/>
      </c>
    </row>
    <row r="5827" customFormat="false" ht="15" hidden="false" customHeight="false" outlineLevel="0" collapsed="false">
      <c r="A5827" s="102"/>
      <c r="E5827" s="103" t="str">
        <f aca="false">IF($C5827="","",IFERROR(INDEX(المنيو!$C$2:$C$500,MATCH($C5827,المنيو!$B$2:$B$500,0)),0))</f>
        <v/>
      </c>
      <c r="F5827" s="103" t="str">
        <f aca="false">IF($C5827="","",$D5827*$E5827)</f>
        <v/>
      </c>
      <c r="G5827" s="103" t="str">
        <f aca="false">IF($C5827="","",$D5827*IFERROR(INDEX('تحليل التكلفة والسعر'!$C$2:$C$700,MATCH($C5827,'تحليل التكلفة والسعر'!$B$2:$B$700,0)),0))</f>
        <v/>
      </c>
    </row>
    <row r="5828" customFormat="false" ht="15" hidden="false" customHeight="false" outlineLevel="0" collapsed="false">
      <c r="A5828" s="102"/>
      <c r="E5828" s="103" t="str">
        <f aca="false">IF($C5828="","",IFERROR(INDEX(المنيو!$C$2:$C$500,MATCH($C5828,المنيو!$B$2:$B$500,0)),0))</f>
        <v/>
      </c>
      <c r="F5828" s="103" t="str">
        <f aca="false">IF($C5828="","",$D5828*$E5828)</f>
        <v/>
      </c>
      <c r="G5828" s="103" t="str">
        <f aca="false">IF($C5828="","",$D5828*IFERROR(INDEX('تحليل التكلفة والسعر'!$C$2:$C$700,MATCH($C5828,'تحليل التكلفة والسعر'!$B$2:$B$700,0)),0))</f>
        <v/>
      </c>
    </row>
    <row r="5829" customFormat="false" ht="15" hidden="false" customHeight="false" outlineLevel="0" collapsed="false">
      <c r="A5829" s="102"/>
      <c r="E5829" s="103" t="str">
        <f aca="false">IF($C5829="","",IFERROR(INDEX(المنيو!$C$2:$C$500,MATCH($C5829,المنيو!$B$2:$B$500,0)),0))</f>
        <v/>
      </c>
      <c r="F5829" s="103" t="str">
        <f aca="false">IF($C5829="","",$D5829*$E5829)</f>
        <v/>
      </c>
      <c r="G5829" s="103" t="str">
        <f aca="false">IF($C5829="","",$D5829*IFERROR(INDEX('تحليل التكلفة والسعر'!$C$2:$C$700,MATCH($C5829,'تحليل التكلفة والسعر'!$B$2:$B$700,0)),0))</f>
        <v/>
      </c>
    </row>
    <row r="5830" customFormat="false" ht="15" hidden="false" customHeight="false" outlineLevel="0" collapsed="false">
      <c r="A5830" s="102"/>
      <c r="E5830" s="103" t="str">
        <f aca="false">IF($C5830="","",IFERROR(INDEX(المنيو!$C$2:$C$500,MATCH($C5830,المنيو!$B$2:$B$500,0)),0))</f>
        <v/>
      </c>
      <c r="F5830" s="103" t="str">
        <f aca="false">IF($C5830="","",$D5830*$E5830)</f>
        <v/>
      </c>
      <c r="G5830" s="103" t="str">
        <f aca="false">IF($C5830="","",$D5830*IFERROR(INDEX('تحليل التكلفة والسعر'!$C$2:$C$700,MATCH($C5830,'تحليل التكلفة والسعر'!$B$2:$B$700,0)),0))</f>
        <v/>
      </c>
    </row>
    <row r="5831" customFormat="false" ht="15" hidden="false" customHeight="false" outlineLevel="0" collapsed="false">
      <c r="A5831" s="102"/>
      <c r="E5831" s="103" t="str">
        <f aca="false">IF($C5831="","",IFERROR(INDEX(المنيو!$C$2:$C$500,MATCH($C5831,المنيو!$B$2:$B$500,0)),0))</f>
        <v/>
      </c>
      <c r="F5831" s="103" t="str">
        <f aca="false">IF($C5831="","",$D5831*$E5831)</f>
        <v/>
      </c>
      <c r="G5831" s="103" t="str">
        <f aca="false">IF($C5831="","",$D5831*IFERROR(INDEX('تحليل التكلفة والسعر'!$C$2:$C$700,MATCH($C5831,'تحليل التكلفة والسعر'!$B$2:$B$700,0)),0))</f>
        <v/>
      </c>
    </row>
    <row r="5832" customFormat="false" ht="15" hidden="false" customHeight="false" outlineLevel="0" collapsed="false">
      <c r="A5832" s="102"/>
      <c r="E5832" s="103" t="str">
        <f aca="false">IF($C5832="","",IFERROR(INDEX(المنيو!$C$2:$C$500,MATCH($C5832,المنيو!$B$2:$B$500,0)),0))</f>
        <v/>
      </c>
      <c r="F5832" s="103" t="str">
        <f aca="false">IF($C5832="","",$D5832*$E5832)</f>
        <v/>
      </c>
      <c r="G5832" s="103" t="str">
        <f aca="false">IF($C5832="","",$D5832*IFERROR(INDEX('تحليل التكلفة والسعر'!$C$2:$C$700,MATCH($C5832,'تحليل التكلفة والسعر'!$B$2:$B$700,0)),0))</f>
        <v/>
      </c>
    </row>
    <row r="5833" customFormat="false" ht="15" hidden="false" customHeight="false" outlineLevel="0" collapsed="false">
      <c r="A5833" s="102"/>
      <c r="E5833" s="103" t="str">
        <f aca="false">IF($C5833="","",IFERROR(INDEX(المنيو!$C$2:$C$500,MATCH($C5833,المنيو!$B$2:$B$500,0)),0))</f>
        <v/>
      </c>
      <c r="F5833" s="103" t="str">
        <f aca="false">IF($C5833="","",$D5833*$E5833)</f>
        <v/>
      </c>
      <c r="G5833" s="103" t="str">
        <f aca="false">IF($C5833="","",$D5833*IFERROR(INDEX('تحليل التكلفة والسعر'!$C$2:$C$700,MATCH($C5833,'تحليل التكلفة والسعر'!$B$2:$B$700,0)),0))</f>
        <v/>
      </c>
    </row>
    <row r="5834" customFormat="false" ht="15" hidden="false" customHeight="false" outlineLevel="0" collapsed="false">
      <c r="A5834" s="102"/>
      <c r="E5834" s="103" t="str">
        <f aca="false">IF($C5834="","",IFERROR(INDEX(المنيو!$C$2:$C$500,MATCH($C5834,المنيو!$B$2:$B$500,0)),0))</f>
        <v/>
      </c>
      <c r="F5834" s="103" t="str">
        <f aca="false">IF($C5834="","",$D5834*$E5834)</f>
        <v/>
      </c>
      <c r="G5834" s="103" t="str">
        <f aca="false">IF($C5834="","",$D5834*IFERROR(INDEX('تحليل التكلفة والسعر'!$C$2:$C$700,MATCH($C5834,'تحليل التكلفة والسعر'!$B$2:$B$700,0)),0))</f>
        <v/>
      </c>
    </row>
    <row r="5835" customFormat="false" ht="15" hidden="false" customHeight="false" outlineLevel="0" collapsed="false">
      <c r="A5835" s="102"/>
      <c r="E5835" s="103" t="str">
        <f aca="false">IF($C5835="","",IFERROR(INDEX(المنيو!$C$2:$C$500,MATCH($C5835,المنيو!$B$2:$B$500,0)),0))</f>
        <v/>
      </c>
      <c r="F5835" s="103" t="str">
        <f aca="false">IF($C5835="","",$D5835*$E5835)</f>
        <v/>
      </c>
      <c r="G5835" s="103" t="str">
        <f aca="false">IF($C5835="","",$D5835*IFERROR(INDEX('تحليل التكلفة والسعر'!$C$2:$C$700,MATCH($C5835,'تحليل التكلفة والسعر'!$B$2:$B$700,0)),0))</f>
        <v/>
      </c>
    </row>
    <row r="5836" customFormat="false" ht="15" hidden="false" customHeight="false" outlineLevel="0" collapsed="false">
      <c r="A5836" s="102"/>
      <c r="E5836" s="103" t="str">
        <f aca="false">IF($C5836="","",IFERROR(INDEX(المنيو!$C$2:$C$500,MATCH($C5836,المنيو!$B$2:$B$500,0)),0))</f>
        <v/>
      </c>
      <c r="F5836" s="103" t="str">
        <f aca="false">IF($C5836="","",$D5836*$E5836)</f>
        <v/>
      </c>
      <c r="G5836" s="103" t="str">
        <f aca="false">IF($C5836="","",$D5836*IFERROR(INDEX('تحليل التكلفة والسعر'!$C$2:$C$700,MATCH($C5836,'تحليل التكلفة والسعر'!$B$2:$B$700,0)),0))</f>
        <v/>
      </c>
    </row>
    <row r="5837" customFormat="false" ht="15" hidden="false" customHeight="false" outlineLevel="0" collapsed="false">
      <c r="A5837" s="102"/>
      <c r="E5837" s="103" t="str">
        <f aca="false">IF($C5837="","",IFERROR(INDEX(المنيو!$C$2:$C$500,MATCH($C5837,المنيو!$B$2:$B$500,0)),0))</f>
        <v/>
      </c>
      <c r="F5837" s="103" t="str">
        <f aca="false">IF($C5837="","",$D5837*$E5837)</f>
        <v/>
      </c>
      <c r="G5837" s="103" t="str">
        <f aca="false">IF($C5837="","",$D5837*IFERROR(INDEX('تحليل التكلفة والسعر'!$C$2:$C$700,MATCH($C5837,'تحليل التكلفة والسعر'!$B$2:$B$700,0)),0))</f>
        <v/>
      </c>
    </row>
    <row r="5838" customFormat="false" ht="15" hidden="false" customHeight="false" outlineLevel="0" collapsed="false">
      <c r="A5838" s="102"/>
      <c r="E5838" s="103" t="str">
        <f aca="false">IF($C5838="","",IFERROR(INDEX(المنيو!$C$2:$C$500,MATCH($C5838,المنيو!$B$2:$B$500,0)),0))</f>
        <v/>
      </c>
      <c r="F5838" s="103" t="str">
        <f aca="false">IF($C5838="","",$D5838*$E5838)</f>
        <v/>
      </c>
      <c r="G5838" s="103" t="str">
        <f aca="false">IF($C5838="","",$D5838*IFERROR(INDEX('تحليل التكلفة والسعر'!$C$2:$C$700,MATCH($C5838,'تحليل التكلفة والسعر'!$B$2:$B$700,0)),0))</f>
        <v/>
      </c>
    </row>
    <row r="5839" customFormat="false" ht="15" hidden="false" customHeight="false" outlineLevel="0" collapsed="false">
      <c r="A5839" s="102"/>
      <c r="E5839" s="103" t="str">
        <f aca="false">IF($C5839="","",IFERROR(INDEX(المنيو!$C$2:$C$500,MATCH($C5839,المنيو!$B$2:$B$500,0)),0))</f>
        <v/>
      </c>
      <c r="F5839" s="103" t="str">
        <f aca="false">IF($C5839="","",$D5839*$E5839)</f>
        <v/>
      </c>
      <c r="G5839" s="103" t="str">
        <f aca="false">IF($C5839="","",$D5839*IFERROR(INDEX('تحليل التكلفة والسعر'!$C$2:$C$700,MATCH($C5839,'تحليل التكلفة والسعر'!$B$2:$B$700,0)),0))</f>
        <v/>
      </c>
    </row>
    <row r="5840" customFormat="false" ht="15" hidden="false" customHeight="false" outlineLevel="0" collapsed="false">
      <c r="A5840" s="102"/>
      <c r="E5840" s="103" t="str">
        <f aca="false">IF($C5840="","",IFERROR(INDEX(المنيو!$C$2:$C$500,MATCH($C5840,المنيو!$B$2:$B$500,0)),0))</f>
        <v/>
      </c>
      <c r="F5840" s="103" t="str">
        <f aca="false">IF($C5840="","",$D5840*$E5840)</f>
        <v/>
      </c>
      <c r="G5840" s="103" t="str">
        <f aca="false">IF($C5840="","",$D5840*IFERROR(INDEX('تحليل التكلفة والسعر'!$C$2:$C$700,MATCH($C5840,'تحليل التكلفة والسعر'!$B$2:$B$700,0)),0))</f>
        <v/>
      </c>
    </row>
    <row r="5841" customFormat="false" ht="15" hidden="false" customHeight="false" outlineLevel="0" collapsed="false">
      <c r="A5841" s="102"/>
      <c r="E5841" s="103" t="str">
        <f aca="false">IF($C5841="","",IFERROR(INDEX(المنيو!$C$2:$C$500,MATCH($C5841,المنيو!$B$2:$B$500,0)),0))</f>
        <v/>
      </c>
      <c r="F5841" s="103" t="str">
        <f aca="false">IF($C5841="","",$D5841*$E5841)</f>
        <v/>
      </c>
      <c r="G5841" s="103" t="str">
        <f aca="false">IF($C5841="","",$D5841*IFERROR(INDEX('تحليل التكلفة والسعر'!$C$2:$C$700,MATCH($C5841,'تحليل التكلفة والسعر'!$B$2:$B$700,0)),0))</f>
        <v/>
      </c>
    </row>
    <row r="5842" customFormat="false" ht="15" hidden="false" customHeight="false" outlineLevel="0" collapsed="false">
      <c r="A5842" s="102"/>
      <c r="E5842" s="103" t="str">
        <f aca="false">IF($C5842="","",IFERROR(INDEX(المنيو!$C$2:$C$500,MATCH($C5842,المنيو!$B$2:$B$500,0)),0))</f>
        <v/>
      </c>
      <c r="F5842" s="103" t="str">
        <f aca="false">IF($C5842="","",$D5842*$E5842)</f>
        <v/>
      </c>
      <c r="G5842" s="103" t="str">
        <f aca="false">IF($C5842="","",$D5842*IFERROR(INDEX('تحليل التكلفة والسعر'!$C$2:$C$700,MATCH($C5842,'تحليل التكلفة والسعر'!$B$2:$B$700,0)),0))</f>
        <v/>
      </c>
    </row>
    <row r="5843" customFormat="false" ht="15" hidden="false" customHeight="false" outlineLevel="0" collapsed="false">
      <c r="A5843" s="102"/>
      <c r="E5843" s="103" t="str">
        <f aca="false">IF($C5843="","",IFERROR(INDEX(المنيو!$C$2:$C$500,MATCH($C5843,المنيو!$B$2:$B$500,0)),0))</f>
        <v/>
      </c>
      <c r="F5843" s="103" t="str">
        <f aca="false">IF($C5843="","",$D5843*$E5843)</f>
        <v/>
      </c>
      <c r="G5843" s="103" t="str">
        <f aca="false">IF($C5843="","",$D5843*IFERROR(INDEX('تحليل التكلفة والسعر'!$C$2:$C$700,MATCH($C5843,'تحليل التكلفة والسعر'!$B$2:$B$700,0)),0))</f>
        <v/>
      </c>
    </row>
    <row r="5844" customFormat="false" ht="15" hidden="false" customHeight="false" outlineLevel="0" collapsed="false">
      <c r="A5844" s="102"/>
      <c r="E5844" s="103" t="str">
        <f aca="false">IF($C5844="","",IFERROR(INDEX(المنيو!$C$2:$C$500,MATCH($C5844,المنيو!$B$2:$B$500,0)),0))</f>
        <v/>
      </c>
      <c r="F5844" s="103" t="str">
        <f aca="false">IF($C5844="","",$D5844*$E5844)</f>
        <v/>
      </c>
      <c r="G5844" s="103" t="str">
        <f aca="false">IF($C5844="","",$D5844*IFERROR(INDEX('تحليل التكلفة والسعر'!$C$2:$C$700,MATCH($C5844,'تحليل التكلفة والسعر'!$B$2:$B$700,0)),0))</f>
        <v/>
      </c>
    </row>
    <row r="5845" customFormat="false" ht="15" hidden="false" customHeight="false" outlineLevel="0" collapsed="false">
      <c r="A5845" s="102"/>
      <c r="E5845" s="103" t="str">
        <f aca="false">IF($C5845="","",IFERROR(INDEX(المنيو!$C$2:$C$500,MATCH($C5845,المنيو!$B$2:$B$500,0)),0))</f>
        <v/>
      </c>
      <c r="F5845" s="103" t="str">
        <f aca="false">IF($C5845="","",$D5845*$E5845)</f>
        <v/>
      </c>
      <c r="G5845" s="103" t="str">
        <f aca="false">IF($C5845="","",$D5845*IFERROR(INDEX('تحليل التكلفة والسعر'!$C$2:$C$700,MATCH($C5845,'تحليل التكلفة والسعر'!$B$2:$B$700,0)),0))</f>
        <v/>
      </c>
    </row>
    <row r="5846" customFormat="false" ht="15" hidden="false" customHeight="false" outlineLevel="0" collapsed="false">
      <c r="A5846" s="102"/>
      <c r="E5846" s="103" t="str">
        <f aca="false">IF($C5846="","",IFERROR(INDEX(المنيو!$C$2:$C$500,MATCH($C5846,المنيو!$B$2:$B$500,0)),0))</f>
        <v/>
      </c>
      <c r="F5846" s="103" t="str">
        <f aca="false">IF($C5846="","",$D5846*$E5846)</f>
        <v/>
      </c>
      <c r="G5846" s="103" t="str">
        <f aca="false">IF($C5846="","",$D5846*IFERROR(INDEX('تحليل التكلفة والسعر'!$C$2:$C$700,MATCH($C5846,'تحليل التكلفة والسعر'!$B$2:$B$700,0)),0))</f>
        <v/>
      </c>
    </row>
    <row r="5847" customFormat="false" ht="15" hidden="false" customHeight="false" outlineLevel="0" collapsed="false">
      <c r="A5847" s="102"/>
      <c r="E5847" s="103" t="str">
        <f aca="false">IF($C5847="","",IFERROR(INDEX(المنيو!$C$2:$C$500,MATCH($C5847,المنيو!$B$2:$B$500,0)),0))</f>
        <v/>
      </c>
      <c r="F5847" s="103" t="str">
        <f aca="false">IF($C5847="","",$D5847*$E5847)</f>
        <v/>
      </c>
      <c r="G5847" s="103" t="str">
        <f aca="false">IF($C5847="","",$D5847*IFERROR(INDEX('تحليل التكلفة والسعر'!$C$2:$C$700,MATCH($C5847,'تحليل التكلفة والسعر'!$B$2:$B$700,0)),0))</f>
        <v/>
      </c>
    </row>
    <row r="5848" customFormat="false" ht="15" hidden="false" customHeight="false" outlineLevel="0" collapsed="false">
      <c r="A5848" s="102"/>
      <c r="E5848" s="103" t="str">
        <f aca="false">IF($C5848="","",IFERROR(INDEX(المنيو!$C$2:$C$500,MATCH($C5848,المنيو!$B$2:$B$500,0)),0))</f>
        <v/>
      </c>
      <c r="F5848" s="103" t="str">
        <f aca="false">IF($C5848="","",$D5848*$E5848)</f>
        <v/>
      </c>
      <c r="G5848" s="103" t="str">
        <f aca="false">IF($C5848="","",$D5848*IFERROR(INDEX('تحليل التكلفة والسعر'!$C$2:$C$700,MATCH($C5848,'تحليل التكلفة والسعر'!$B$2:$B$700,0)),0))</f>
        <v/>
      </c>
    </row>
    <row r="5849" customFormat="false" ht="15" hidden="false" customHeight="false" outlineLevel="0" collapsed="false">
      <c r="A5849" s="102"/>
      <c r="E5849" s="103" t="str">
        <f aca="false">IF($C5849="","",IFERROR(INDEX(المنيو!$C$2:$C$500,MATCH($C5849,المنيو!$B$2:$B$500,0)),0))</f>
        <v/>
      </c>
      <c r="F5849" s="103" t="str">
        <f aca="false">IF($C5849="","",$D5849*$E5849)</f>
        <v/>
      </c>
      <c r="G5849" s="103" t="str">
        <f aca="false">IF($C5849="","",$D5849*IFERROR(INDEX('تحليل التكلفة والسعر'!$C$2:$C$700,MATCH($C5849,'تحليل التكلفة والسعر'!$B$2:$B$700,0)),0))</f>
        <v/>
      </c>
    </row>
    <row r="5850" customFormat="false" ht="15" hidden="false" customHeight="false" outlineLevel="0" collapsed="false">
      <c r="A5850" s="102"/>
      <c r="E5850" s="103" t="str">
        <f aca="false">IF($C5850="","",IFERROR(INDEX(المنيو!$C$2:$C$500,MATCH($C5850,المنيو!$B$2:$B$500,0)),0))</f>
        <v/>
      </c>
      <c r="F5850" s="103" t="str">
        <f aca="false">IF($C5850="","",$D5850*$E5850)</f>
        <v/>
      </c>
      <c r="G5850" s="103" t="str">
        <f aca="false">IF($C5850="","",$D5850*IFERROR(INDEX('تحليل التكلفة والسعر'!$C$2:$C$700,MATCH($C5850,'تحليل التكلفة والسعر'!$B$2:$B$700,0)),0))</f>
        <v/>
      </c>
    </row>
    <row r="5851" customFormat="false" ht="15" hidden="false" customHeight="false" outlineLevel="0" collapsed="false">
      <c r="A5851" s="102"/>
      <c r="E5851" s="103" t="str">
        <f aca="false">IF($C5851="","",IFERROR(INDEX(المنيو!$C$2:$C$500,MATCH($C5851,المنيو!$B$2:$B$500,0)),0))</f>
        <v/>
      </c>
      <c r="F5851" s="103" t="str">
        <f aca="false">IF($C5851="","",$D5851*$E5851)</f>
        <v/>
      </c>
      <c r="G5851" s="103" t="str">
        <f aca="false">IF($C5851="","",$D5851*IFERROR(INDEX('تحليل التكلفة والسعر'!$C$2:$C$700,MATCH($C5851,'تحليل التكلفة والسعر'!$B$2:$B$700,0)),0))</f>
        <v/>
      </c>
    </row>
    <row r="5852" customFormat="false" ht="15" hidden="false" customHeight="false" outlineLevel="0" collapsed="false">
      <c r="A5852" s="102"/>
      <c r="E5852" s="103" t="str">
        <f aca="false">IF($C5852="","",IFERROR(INDEX(المنيو!$C$2:$C$500,MATCH($C5852,المنيو!$B$2:$B$500,0)),0))</f>
        <v/>
      </c>
      <c r="F5852" s="103" t="str">
        <f aca="false">IF($C5852="","",$D5852*$E5852)</f>
        <v/>
      </c>
      <c r="G5852" s="103" t="str">
        <f aca="false">IF($C5852="","",$D5852*IFERROR(INDEX('تحليل التكلفة والسعر'!$C$2:$C$700,MATCH($C5852,'تحليل التكلفة والسعر'!$B$2:$B$700,0)),0))</f>
        <v/>
      </c>
    </row>
    <row r="5853" customFormat="false" ht="15" hidden="false" customHeight="false" outlineLevel="0" collapsed="false">
      <c r="A5853" s="102"/>
      <c r="E5853" s="103" t="str">
        <f aca="false">IF($C5853="","",IFERROR(INDEX(المنيو!$C$2:$C$500,MATCH($C5853,المنيو!$B$2:$B$500,0)),0))</f>
        <v/>
      </c>
      <c r="F5853" s="103" t="str">
        <f aca="false">IF($C5853="","",$D5853*$E5853)</f>
        <v/>
      </c>
      <c r="G5853" s="103" t="str">
        <f aca="false">IF($C5853="","",$D5853*IFERROR(INDEX('تحليل التكلفة والسعر'!$C$2:$C$700,MATCH($C5853,'تحليل التكلفة والسعر'!$B$2:$B$700,0)),0))</f>
        <v/>
      </c>
    </row>
    <row r="5854" customFormat="false" ht="15" hidden="false" customHeight="false" outlineLevel="0" collapsed="false">
      <c r="A5854" s="102"/>
      <c r="E5854" s="103" t="str">
        <f aca="false">IF($C5854="","",IFERROR(INDEX(المنيو!$C$2:$C$500,MATCH($C5854,المنيو!$B$2:$B$500,0)),0))</f>
        <v/>
      </c>
      <c r="F5854" s="103" t="str">
        <f aca="false">IF($C5854="","",$D5854*$E5854)</f>
        <v/>
      </c>
      <c r="G5854" s="103" t="str">
        <f aca="false">IF($C5854="","",$D5854*IFERROR(INDEX('تحليل التكلفة والسعر'!$C$2:$C$700,MATCH($C5854,'تحليل التكلفة والسعر'!$B$2:$B$700,0)),0))</f>
        <v/>
      </c>
    </row>
    <row r="5855" customFormat="false" ht="15" hidden="false" customHeight="false" outlineLevel="0" collapsed="false">
      <c r="A5855" s="102"/>
      <c r="E5855" s="103" t="str">
        <f aca="false">IF($C5855="","",IFERROR(INDEX(المنيو!$C$2:$C$500,MATCH($C5855,المنيو!$B$2:$B$500,0)),0))</f>
        <v/>
      </c>
      <c r="F5855" s="103" t="str">
        <f aca="false">IF($C5855="","",$D5855*$E5855)</f>
        <v/>
      </c>
      <c r="G5855" s="103" t="str">
        <f aca="false">IF($C5855="","",$D5855*IFERROR(INDEX('تحليل التكلفة والسعر'!$C$2:$C$700,MATCH($C5855,'تحليل التكلفة والسعر'!$B$2:$B$700,0)),0))</f>
        <v/>
      </c>
    </row>
    <row r="5856" customFormat="false" ht="15" hidden="false" customHeight="false" outlineLevel="0" collapsed="false">
      <c r="A5856" s="102"/>
      <c r="E5856" s="103" t="str">
        <f aca="false">IF($C5856="","",IFERROR(INDEX(المنيو!$C$2:$C$500,MATCH($C5856,المنيو!$B$2:$B$500,0)),0))</f>
        <v/>
      </c>
      <c r="F5856" s="103" t="str">
        <f aca="false">IF($C5856="","",$D5856*$E5856)</f>
        <v/>
      </c>
      <c r="G5856" s="103" t="str">
        <f aca="false">IF($C5856="","",$D5856*IFERROR(INDEX('تحليل التكلفة والسعر'!$C$2:$C$700,MATCH($C5856,'تحليل التكلفة والسعر'!$B$2:$B$700,0)),0))</f>
        <v/>
      </c>
    </row>
    <row r="5857" customFormat="false" ht="15" hidden="false" customHeight="false" outlineLevel="0" collapsed="false">
      <c r="A5857" s="102"/>
      <c r="E5857" s="103" t="str">
        <f aca="false">IF($C5857="","",IFERROR(INDEX(المنيو!$C$2:$C$500,MATCH($C5857,المنيو!$B$2:$B$500,0)),0))</f>
        <v/>
      </c>
      <c r="F5857" s="103" t="str">
        <f aca="false">IF($C5857="","",$D5857*$E5857)</f>
        <v/>
      </c>
      <c r="G5857" s="103" t="str">
        <f aca="false">IF($C5857="","",$D5857*IFERROR(INDEX('تحليل التكلفة والسعر'!$C$2:$C$700,MATCH($C5857,'تحليل التكلفة والسعر'!$B$2:$B$700,0)),0))</f>
        <v/>
      </c>
    </row>
    <row r="5858" customFormat="false" ht="15" hidden="false" customHeight="false" outlineLevel="0" collapsed="false">
      <c r="A5858" s="102"/>
      <c r="E5858" s="103" t="str">
        <f aca="false">IF($C5858="","",IFERROR(INDEX(المنيو!$C$2:$C$500,MATCH($C5858,المنيو!$B$2:$B$500,0)),0))</f>
        <v/>
      </c>
      <c r="F5858" s="103" t="str">
        <f aca="false">IF($C5858="","",$D5858*$E5858)</f>
        <v/>
      </c>
      <c r="G5858" s="103" t="str">
        <f aca="false">IF($C5858="","",$D5858*IFERROR(INDEX('تحليل التكلفة والسعر'!$C$2:$C$700,MATCH($C5858,'تحليل التكلفة والسعر'!$B$2:$B$700,0)),0))</f>
        <v/>
      </c>
    </row>
    <row r="5859" customFormat="false" ht="15" hidden="false" customHeight="false" outlineLevel="0" collapsed="false">
      <c r="A5859" s="102"/>
      <c r="E5859" s="103" t="str">
        <f aca="false">IF($C5859="","",IFERROR(INDEX(المنيو!$C$2:$C$500,MATCH($C5859,المنيو!$B$2:$B$500,0)),0))</f>
        <v/>
      </c>
      <c r="F5859" s="103" t="str">
        <f aca="false">IF($C5859="","",$D5859*$E5859)</f>
        <v/>
      </c>
      <c r="G5859" s="103" t="str">
        <f aca="false">IF($C5859="","",$D5859*IFERROR(INDEX('تحليل التكلفة والسعر'!$C$2:$C$700,MATCH($C5859,'تحليل التكلفة والسعر'!$B$2:$B$700,0)),0))</f>
        <v/>
      </c>
    </row>
    <row r="5860" customFormat="false" ht="15" hidden="false" customHeight="false" outlineLevel="0" collapsed="false">
      <c r="A5860" s="102"/>
      <c r="E5860" s="103" t="str">
        <f aca="false">IF($C5860="","",IFERROR(INDEX(المنيو!$C$2:$C$500,MATCH($C5860,المنيو!$B$2:$B$500,0)),0))</f>
        <v/>
      </c>
      <c r="F5860" s="103" t="str">
        <f aca="false">IF($C5860="","",$D5860*$E5860)</f>
        <v/>
      </c>
      <c r="G5860" s="103" t="str">
        <f aca="false">IF($C5860="","",$D5860*IFERROR(INDEX('تحليل التكلفة والسعر'!$C$2:$C$700,MATCH($C5860,'تحليل التكلفة والسعر'!$B$2:$B$700,0)),0))</f>
        <v/>
      </c>
    </row>
    <row r="5861" customFormat="false" ht="15" hidden="false" customHeight="false" outlineLevel="0" collapsed="false">
      <c r="A5861" s="102"/>
      <c r="E5861" s="103" t="str">
        <f aca="false">IF($C5861="","",IFERROR(INDEX(المنيو!$C$2:$C$500,MATCH($C5861,المنيو!$B$2:$B$500,0)),0))</f>
        <v/>
      </c>
      <c r="F5861" s="103" t="str">
        <f aca="false">IF($C5861="","",$D5861*$E5861)</f>
        <v/>
      </c>
      <c r="G5861" s="103" t="str">
        <f aca="false">IF($C5861="","",$D5861*IFERROR(INDEX('تحليل التكلفة والسعر'!$C$2:$C$700,MATCH($C5861,'تحليل التكلفة والسعر'!$B$2:$B$700,0)),0))</f>
        <v/>
      </c>
    </row>
    <row r="5862" customFormat="false" ht="15" hidden="false" customHeight="false" outlineLevel="0" collapsed="false">
      <c r="A5862" s="102"/>
      <c r="E5862" s="103" t="str">
        <f aca="false">IF($C5862="","",IFERROR(INDEX(المنيو!$C$2:$C$500,MATCH($C5862,المنيو!$B$2:$B$500,0)),0))</f>
        <v/>
      </c>
      <c r="F5862" s="103" t="str">
        <f aca="false">IF($C5862="","",$D5862*$E5862)</f>
        <v/>
      </c>
      <c r="G5862" s="103" t="str">
        <f aca="false">IF($C5862="","",$D5862*IFERROR(INDEX('تحليل التكلفة والسعر'!$C$2:$C$700,MATCH($C5862,'تحليل التكلفة والسعر'!$B$2:$B$700,0)),0))</f>
        <v/>
      </c>
    </row>
    <row r="5863" customFormat="false" ht="15" hidden="false" customHeight="false" outlineLevel="0" collapsed="false">
      <c r="A5863" s="102"/>
      <c r="E5863" s="103" t="str">
        <f aca="false">IF($C5863="","",IFERROR(INDEX(المنيو!$C$2:$C$500,MATCH($C5863,المنيو!$B$2:$B$500,0)),0))</f>
        <v/>
      </c>
      <c r="F5863" s="103" t="str">
        <f aca="false">IF($C5863="","",$D5863*$E5863)</f>
        <v/>
      </c>
      <c r="G5863" s="103" t="str">
        <f aca="false">IF($C5863="","",$D5863*IFERROR(INDEX('تحليل التكلفة والسعر'!$C$2:$C$700,MATCH($C5863,'تحليل التكلفة والسعر'!$B$2:$B$700,0)),0))</f>
        <v/>
      </c>
    </row>
    <row r="5864" customFormat="false" ht="15" hidden="false" customHeight="false" outlineLevel="0" collapsed="false">
      <c r="A5864" s="102"/>
      <c r="E5864" s="103" t="str">
        <f aca="false">IF($C5864="","",IFERROR(INDEX(المنيو!$C$2:$C$500,MATCH($C5864,المنيو!$B$2:$B$500,0)),0))</f>
        <v/>
      </c>
      <c r="F5864" s="103" t="str">
        <f aca="false">IF($C5864="","",$D5864*$E5864)</f>
        <v/>
      </c>
      <c r="G5864" s="103" t="str">
        <f aca="false">IF($C5864="","",$D5864*IFERROR(INDEX('تحليل التكلفة والسعر'!$C$2:$C$700,MATCH($C5864,'تحليل التكلفة والسعر'!$B$2:$B$700,0)),0))</f>
        <v/>
      </c>
    </row>
    <row r="5865" customFormat="false" ht="15" hidden="false" customHeight="false" outlineLevel="0" collapsed="false">
      <c r="A5865" s="102"/>
      <c r="E5865" s="103" t="str">
        <f aca="false">IF($C5865="","",IFERROR(INDEX(المنيو!$C$2:$C$500,MATCH($C5865,المنيو!$B$2:$B$500,0)),0))</f>
        <v/>
      </c>
      <c r="F5865" s="103" t="str">
        <f aca="false">IF($C5865="","",$D5865*$E5865)</f>
        <v/>
      </c>
      <c r="G5865" s="103" t="str">
        <f aca="false">IF($C5865="","",$D5865*IFERROR(INDEX('تحليل التكلفة والسعر'!$C$2:$C$700,MATCH($C5865,'تحليل التكلفة والسعر'!$B$2:$B$700,0)),0))</f>
        <v/>
      </c>
    </row>
    <row r="5866" customFormat="false" ht="15" hidden="false" customHeight="false" outlineLevel="0" collapsed="false">
      <c r="A5866" s="102"/>
      <c r="E5866" s="103" t="str">
        <f aca="false">IF($C5866="","",IFERROR(INDEX(المنيو!$C$2:$C$500,MATCH($C5866,المنيو!$B$2:$B$500,0)),0))</f>
        <v/>
      </c>
      <c r="F5866" s="103" t="str">
        <f aca="false">IF($C5866="","",$D5866*$E5866)</f>
        <v/>
      </c>
      <c r="G5866" s="103" t="str">
        <f aca="false">IF($C5866="","",$D5866*IFERROR(INDEX('تحليل التكلفة والسعر'!$C$2:$C$700,MATCH($C5866,'تحليل التكلفة والسعر'!$B$2:$B$700,0)),0))</f>
        <v/>
      </c>
    </row>
    <row r="5867" customFormat="false" ht="15" hidden="false" customHeight="false" outlineLevel="0" collapsed="false">
      <c r="A5867" s="102"/>
      <c r="E5867" s="103" t="str">
        <f aca="false">IF($C5867="","",IFERROR(INDEX(المنيو!$C$2:$C$500,MATCH($C5867,المنيو!$B$2:$B$500,0)),0))</f>
        <v/>
      </c>
      <c r="F5867" s="103" t="str">
        <f aca="false">IF($C5867="","",$D5867*$E5867)</f>
        <v/>
      </c>
      <c r="G5867" s="103" t="str">
        <f aca="false">IF($C5867="","",$D5867*IFERROR(INDEX('تحليل التكلفة والسعر'!$C$2:$C$700,MATCH($C5867,'تحليل التكلفة والسعر'!$B$2:$B$700,0)),0))</f>
        <v/>
      </c>
    </row>
    <row r="5868" customFormat="false" ht="15" hidden="false" customHeight="false" outlineLevel="0" collapsed="false">
      <c r="A5868" s="102"/>
      <c r="E5868" s="103" t="str">
        <f aca="false">IF($C5868="","",IFERROR(INDEX(المنيو!$C$2:$C$500,MATCH($C5868,المنيو!$B$2:$B$500,0)),0))</f>
        <v/>
      </c>
      <c r="F5868" s="103" t="str">
        <f aca="false">IF($C5868="","",$D5868*$E5868)</f>
        <v/>
      </c>
      <c r="G5868" s="103" t="str">
        <f aca="false">IF($C5868="","",$D5868*IFERROR(INDEX('تحليل التكلفة والسعر'!$C$2:$C$700,MATCH($C5868,'تحليل التكلفة والسعر'!$B$2:$B$700,0)),0))</f>
        <v/>
      </c>
    </row>
    <row r="5869" customFormat="false" ht="15" hidden="false" customHeight="false" outlineLevel="0" collapsed="false">
      <c r="A5869" s="102"/>
      <c r="E5869" s="103" t="str">
        <f aca="false">IF($C5869="","",IFERROR(INDEX(المنيو!$C$2:$C$500,MATCH($C5869,المنيو!$B$2:$B$500,0)),0))</f>
        <v/>
      </c>
      <c r="F5869" s="103" t="str">
        <f aca="false">IF($C5869="","",$D5869*$E5869)</f>
        <v/>
      </c>
      <c r="G5869" s="103" t="str">
        <f aca="false">IF($C5869="","",$D5869*IFERROR(INDEX('تحليل التكلفة والسعر'!$C$2:$C$700,MATCH($C5869,'تحليل التكلفة والسعر'!$B$2:$B$700,0)),0))</f>
        <v/>
      </c>
    </row>
    <row r="5870" customFormat="false" ht="15" hidden="false" customHeight="false" outlineLevel="0" collapsed="false">
      <c r="A5870" s="102"/>
      <c r="E5870" s="103" t="str">
        <f aca="false">IF($C5870="","",IFERROR(INDEX(المنيو!$C$2:$C$500,MATCH($C5870,المنيو!$B$2:$B$500,0)),0))</f>
        <v/>
      </c>
      <c r="F5870" s="103" t="str">
        <f aca="false">IF($C5870="","",$D5870*$E5870)</f>
        <v/>
      </c>
      <c r="G5870" s="103" t="str">
        <f aca="false">IF($C5870="","",$D5870*IFERROR(INDEX('تحليل التكلفة والسعر'!$C$2:$C$700,MATCH($C5870,'تحليل التكلفة والسعر'!$B$2:$B$700,0)),0))</f>
        <v/>
      </c>
    </row>
    <row r="5871" customFormat="false" ht="15" hidden="false" customHeight="false" outlineLevel="0" collapsed="false">
      <c r="A5871" s="102"/>
      <c r="E5871" s="103" t="str">
        <f aca="false">IF($C5871="","",IFERROR(INDEX(المنيو!$C$2:$C$500,MATCH($C5871,المنيو!$B$2:$B$500,0)),0))</f>
        <v/>
      </c>
      <c r="F5871" s="103" t="str">
        <f aca="false">IF($C5871="","",$D5871*$E5871)</f>
        <v/>
      </c>
      <c r="G5871" s="103" t="str">
        <f aca="false">IF($C5871="","",$D5871*IFERROR(INDEX('تحليل التكلفة والسعر'!$C$2:$C$700,MATCH($C5871,'تحليل التكلفة والسعر'!$B$2:$B$700,0)),0))</f>
        <v/>
      </c>
    </row>
    <row r="5872" customFormat="false" ht="15" hidden="false" customHeight="false" outlineLevel="0" collapsed="false">
      <c r="A5872" s="102"/>
      <c r="E5872" s="103" t="str">
        <f aca="false">IF($C5872="","",IFERROR(INDEX(المنيو!$C$2:$C$500,MATCH($C5872,المنيو!$B$2:$B$500,0)),0))</f>
        <v/>
      </c>
      <c r="F5872" s="103" t="str">
        <f aca="false">IF($C5872="","",$D5872*$E5872)</f>
        <v/>
      </c>
      <c r="G5872" s="103" t="str">
        <f aca="false">IF($C5872="","",$D5872*IFERROR(INDEX('تحليل التكلفة والسعر'!$C$2:$C$700,MATCH($C5872,'تحليل التكلفة والسعر'!$B$2:$B$700,0)),0))</f>
        <v/>
      </c>
    </row>
    <row r="5873" customFormat="false" ht="15" hidden="false" customHeight="false" outlineLevel="0" collapsed="false">
      <c r="A5873" s="102"/>
      <c r="E5873" s="103" t="str">
        <f aca="false">IF($C5873="","",IFERROR(INDEX(المنيو!$C$2:$C$500,MATCH($C5873,المنيو!$B$2:$B$500,0)),0))</f>
        <v/>
      </c>
      <c r="F5873" s="103" t="str">
        <f aca="false">IF($C5873="","",$D5873*$E5873)</f>
        <v/>
      </c>
      <c r="G5873" s="103" t="str">
        <f aca="false">IF($C5873="","",$D5873*IFERROR(INDEX('تحليل التكلفة والسعر'!$C$2:$C$700,MATCH($C5873,'تحليل التكلفة والسعر'!$B$2:$B$700,0)),0))</f>
        <v/>
      </c>
    </row>
    <row r="5874" customFormat="false" ht="15" hidden="false" customHeight="false" outlineLevel="0" collapsed="false">
      <c r="A5874" s="102"/>
      <c r="E5874" s="103" t="str">
        <f aca="false">IF($C5874="","",IFERROR(INDEX(المنيو!$C$2:$C$500,MATCH($C5874,المنيو!$B$2:$B$500,0)),0))</f>
        <v/>
      </c>
      <c r="F5874" s="103" t="str">
        <f aca="false">IF($C5874="","",$D5874*$E5874)</f>
        <v/>
      </c>
      <c r="G5874" s="103" t="str">
        <f aca="false">IF($C5874="","",$D5874*IFERROR(INDEX('تحليل التكلفة والسعر'!$C$2:$C$700,MATCH($C5874,'تحليل التكلفة والسعر'!$B$2:$B$700,0)),0))</f>
        <v/>
      </c>
    </row>
    <row r="5875" customFormat="false" ht="15" hidden="false" customHeight="false" outlineLevel="0" collapsed="false">
      <c r="A5875" s="102"/>
      <c r="E5875" s="103" t="str">
        <f aca="false">IF($C5875="","",IFERROR(INDEX(المنيو!$C$2:$C$500,MATCH($C5875,المنيو!$B$2:$B$500,0)),0))</f>
        <v/>
      </c>
      <c r="F5875" s="103" t="str">
        <f aca="false">IF($C5875="","",$D5875*$E5875)</f>
        <v/>
      </c>
      <c r="G5875" s="103" t="str">
        <f aca="false">IF($C5875="","",$D5875*IFERROR(INDEX('تحليل التكلفة والسعر'!$C$2:$C$700,MATCH($C5875,'تحليل التكلفة والسعر'!$B$2:$B$700,0)),0))</f>
        <v/>
      </c>
    </row>
    <row r="5876" customFormat="false" ht="15" hidden="false" customHeight="false" outlineLevel="0" collapsed="false">
      <c r="A5876" s="102"/>
      <c r="E5876" s="103" t="str">
        <f aca="false">IF($C5876="","",IFERROR(INDEX(المنيو!$C$2:$C$500,MATCH($C5876,المنيو!$B$2:$B$500,0)),0))</f>
        <v/>
      </c>
      <c r="F5876" s="103" t="str">
        <f aca="false">IF($C5876="","",$D5876*$E5876)</f>
        <v/>
      </c>
      <c r="G5876" s="103" t="str">
        <f aca="false">IF($C5876="","",$D5876*IFERROR(INDEX('تحليل التكلفة والسعر'!$C$2:$C$700,MATCH($C5876,'تحليل التكلفة والسعر'!$B$2:$B$700,0)),0))</f>
        <v/>
      </c>
    </row>
    <row r="5877" customFormat="false" ht="15" hidden="false" customHeight="false" outlineLevel="0" collapsed="false">
      <c r="A5877" s="102"/>
      <c r="E5877" s="103" t="str">
        <f aca="false">IF($C5877="","",IFERROR(INDEX(المنيو!$C$2:$C$500,MATCH($C5877,المنيو!$B$2:$B$500,0)),0))</f>
        <v/>
      </c>
      <c r="F5877" s="103" t="str">
        <f aca="false">IF($C5877="","",$D5877*$E5877)</f>
        <v/>
      </c>
      <c r="G5877" s="103" t="str">
        <f aca="false">IF($C5877="","",$D5877*IFERROR(INDEX('تحليل التكلفة والسعر'!$C$2:$C$700,MATCH($C5877,'تحليل التكلفة والسعر'!$B$2:$B$700,0)),0))</f>
        <v/>
      </c>
    </row>
    <row r="5878" customFormat="false" ht="15" hidden="false" customHeight="false" outlineLevel="0" collapsed="false">
      <c r="A5878" s="102"/>
      <c r="E5878" s="103" t="str">
        <f aca="false">IF($C5878="","",IFERROR(INDEX(المنيو!$C$2:$C$500,MATCH($C5878,المنيو!$B$2:$B$500,0)),0))</f>
        <v/>
      </c>
      <c r="F5878" s="103" t="str">
        <f aca="false">IF($C5878="","",$D5878*$E5878)</f>
        <v/>
      </c>
      <c r="G5878" s="103" t="str">
        <f aca="false">IF($C5878="","",$D5878*IFERROR(INDEX('تحليل التكلفة والسعر'!$C$2:$C$700,MATCH($C5878,'تحليل التكلفة والسعر'!$B$2:$B$700,0)),0))</f>
        <v/>
      </c>
    </row>
    <row r="5879" customFormat="false" ht="15" hidden="false" customHeight="false" outlineLevel="0" collapsed="false">
      <c r="A5879" s="102"/>
      <c r="E5879" s="103" t="str">
        <f aca="false">IF($C5879="","",IFERROR(INDEX(المنيو!$C$2:$C$500,MATCH($C5879,المنيو!$B$2:$B$500,0)),0))</f>
        <v/>
      </c>
      <c r="F5879" s="103" t="str">
        <f aca="false">IF($C5879="","",$D5879*$E5879)</f>
        <v/>
      </c>
      <c r="G5879" s="103" t="str">
        <f aca="false">IF($C5879="","",$D5879*IFERROR(INDEX('تحليل التكلفة والسعر'!$C$2:$C$700,MATCH($C5879,'تحليل التكلفة والسعر'!$B$2:$B$700,0)),0))</f>
        <v/>
      </c>
    </row>
    <row r="5880" customFormat="false" ht="15" hidden="false" customHeight="false" outlineLevel="0" collapsed="false">
      <c r="A5880" s="102"/>
      <c r="E5880" s="103" t="str">
        <f aca="false">IF($C5880="","",IFERROR(INDEX(المنيو!$C$2:$C$500,MATCH($C5880,المنيو!$B$2:$B$500,0)),0))</f>
        <v/>
      </c>
      <c r="F5880" s="103" t="str">
        <f aca="false">IF($C5880="","",$D5880*$E5880)</f>
        <v/>
      </c>
      <c r="G5880" s="103" t="str">
        <f aca="false">IF($C5880="","",$D5880*IFERROR(INDEX('تحليل التكلفة والسعر'!$C$2:$C$700,MATCH($C5880,'تحليل التكلفة والسعر'!$B$2:$B$700,0)),0))</f>
        <v/>
      </c>
    </row>
    <row r="5881" customFormat="false" ht="15" hidden="false" customHeight="false" outlineLevel="0" collapsed="false">
      <c r="A5881" s="102"/>
      <c r="E5881" s="103" t="str">
        <f aca="false">IF($C5881="","",IFERROR(INDEX(المنيو!$C$2:$C$500,MATCH($C5881,المنيو!$B$2:$B$500,0)),0))</f>
        <v/>
      </c>
      <c r="F5881" s="103" t="str">
        <f aca="false">IF($C5881="","",$D5881*$E5881)</f>
        <v/>
      </c>
      <c r="G5881" s="103" t="str">
        <f aca="false">IF($C5881="","",$D5881*IFERROR(INDEX('تحليل التكلفة والسعر'!$C$2:$C$700,MATCH($C5881,'تحليل التكلفة والسعر'!$B$2:$B$700,0)),0))</f>
        <v/>
      </c>
    </row>
    <row r="5882" customFormat="false" ht="15" hidden="false" customHeight="false" outlineLevel="0" collapsed="false">
      <c r="A5882" s="102"/>
      <c r="E5882" s="103" t="str">
        <f aca="false">IF($C5882="","",IFERROR(INDEX(المنيو!$C$2:$C$500,MATCH($C5882,المنيو!$B$2:$B$500,0)),0))</f>
        <v/>
      </c>
      <c r="F5882" s="103" t="str">
        <f aca="false">IF($C5882="","",$D5882*$E5882)</f>
        <v/>
      </c>
      <c r="G5882" s="103" t="str">
        <f aca="false">IF($C5882="","",$D5882*IFERROR(INDEX('تحليل التكلفة والسعر'!$C$2:$C$700,MATCH($C5882,'تحليل التكلفة والسعر'!$B$2:$B$700,0)),0))</f>
        <v/>
      </c>
    </row>
    <row r="5883" customFormat="false" ht="15" hidden="false" customHeight="false" outlineLevel="0" collapsed="false">
      <c r="A5883" s="102"/>
      <c r="E5883" s="103" t="str">
        <f aca="false">IF($C5883="","",IFERROR(INDEX(المنيو!$C$2:$C$500,MATCH($C5883,المنيو!$B$2:$B$500,0)),0))</f>
        <v/>
      </c>
      <c r="F5883" s="103" t="str">
        <f aca="false">IF($C5883="","",$D5883*$E5883)</f>
        <v/>
      </c>
      <c r="G5883" s="103" t="str">
        <f aca="false">IF($C5883="","",$D5883*IFERROR(INDEX('تحليل التكلفة والسعر'!$C$2:$C$700,MATCH($C5883,'تحليل التكلفة والسعر'!$B$2:$B$700,0)),0))</f>
        <v/>
      </c>
    </row>
    <row r="5884" customFormat="false" ht="15" hidden="false" customHeight="false" outlineLevel="0" collapsed="false">
      <c r="A5884" s="102"/>
      <c r="E5884" s="103" t="str">
        <f aca="false">IF($C5884="","",IFERROR(INDEX(المنيو!$C$2:$C$500,MATCH($C5884,المنيو!$B$2:$B$500,0)),0))</f>
        <v/>
      </c>
      <c r="F5884" s="103" t="str">
        <f aca="false">IF($C5884="","",$D5884*$E5884)</f>
        <v/>
      </c>
      <c r="G5884" s="103" t="str">
        <f aca="false">IF($C5884="","",$D5884*IFERROR(INDEX('تحليل التكلفة والسعر'!$C$2:$C$700,MATCH($C5884,'تحليل التكلفة والسعر'!$B$2:$B$700,0)),0))</f>
        <v/>
      </c>
    </row>
    <row r="5885" customFormat="false" ht="15" hidden="false" customHeight="false" outlineLevel="0" collapsed="false">
      <c r="A5885" s="102"/>
      <c r="E5885" s="103" t="str">
        <f aca="false">IF($C5885="","",IFERROR(INDEX(المنيو!$C$2:$C$500,MATCH($C5885,المنيو!$B$2:$B$500,0)),0))</f>
        <v/>
      </c>
      <c r="F5885" s="103" t="str">
        <f aca="false">IF($C5885="","",$D5885*$E5885)</f>
        <v/>
      </c>
      <c r="G5885" s="103" t="str">
        <f aca="false">IF($C5885="","",$D5885*IFERROR(INDEX('تحليل التكلفة والسعر'!$C$2:$C$700,MATCH($C5885,'تحليل التكلفة والسعر'!$B$2:$B$700,0)),0))</f>
        <v/>
      </c>
    </row>
    <row r="5886" customFormat="false" ht="15" hidden="false" customHeight="false" outlineLevel="0" collapsed="false">
      <c r="A5886" s="102"/>
      <c r="E5886" s="103" t="str">
        <f aca="false">IF($C5886="","",IFERROR(INDEX(المنيو!$C$2:$C$500,MATCH($C5886,المنيو!$B$2:$B$500,0)),0))</f>
        <v/>
      </c>
      <c r="F5886" s="103" t="str">
        <f aca="false">IF($C5886="","",$D5886*$E5886)</f>
        <v/>
      </c>
      <c r="G5886" s="103" t="str">
        <f aca="false">IF($C5886="","",$D5886*IFERROR(INDEX('تحليل التكلفة والسعر'!$C$2:$C$700,MATCH($C5886,'تحليل التكلفة والسعر'!$B$2:$B$700,0)),0))</f>
        <v/>
      </c>
    </row>
    <row r="5887" customFormat="false" ht="15" hidden="false" customHeight="false" outlineLevel="0" collapsed="false">
      <c r="A5887" s="102"/>
      <c r="E5887" s="103" t="str">
        <f aca="false">IF($C5887="","",IFERROR(INDEX(المنيو!$C$2:$C$500,MATCH($C5887,المنيو!$B$2:$B$500,0)),0))</f>
        <v/>
      </c>
      <c r="F5887" s="103" t="str">
        <f aca="false">IF($C5887="","",$D5887*$E5887)</f>
        <v/>
      </c>
      <c r="G5887" s="103" t="str">
        <f aca="false">IF($C5887="","",$D5887*IFERROR(INDEX('تحليل التكلفة والسعر'!$C$2:$C$700,MATCH($C5887,'تحليل التكلفة والسعر'!$B$2:$B$700,0)),0))</f>
        <v/>
      </c>
    </row>
    <row r="5888" customFormat="false" ht="15" hidden="false" customHeight="false" outlineLevel="0" collapsed="false">
      <c r="A5888" s="102"/>
      <c r="E5888" s="103" t="str">
        <f aca="false">IF($C5888="","",IFERROR(INDEX(المنيو!$C$2:$C$500,MATCH($C5888,المنيو!$B$2:$B$500,0)),0))</f>
        <v/>
      </c>
      <c r="F5888" s="103" t="str">
        <f aca="false">IF($C5888="","",$D5888*$E5888)</f>
        <v/>
      </c>
      <c r="G5888" s="103" t="str">
        <f aca="false">IF($C5888="","",$D5888*IFERROR(INDEX('تحليل التكلفة والسعر'!$C$2:$C$700,MATCH($C5888,'تحليل التكلفة والسعر'!$B$2:$B$700,0)),0))</f>
        <v/>
      </c>
    </row>
    <row r="5889" customFormat="false" ht="15" hidden="false" customHeight="false" outlineLevel="0" collapsed="false">
      <c r="A5889" s="102"/>
      <c r="E5889" s="103" t="str">
        <f aca="false">IF($C5889="","",IFERROR(INDEX(المنيو!$C$2:$C$500,MATCH($C5889,المنيو!$B$2:$B$500,0)),0))</f>
        <v/>
      </c>
      <c r="F5889" s="103" t="str">
        <f aca="false">IF($C5889="","",$D5889*$E5889)</f>
        <v/>
      </c>
      <c r="G5889" s="103" t="str">
        <f aca="false">IF($C5889="","",$D5889*IFERROR(INDEX('تحليل التكلفة والسعر'!$C$2:$C$700,MATCH($C5889,'تحليل التكلفة والسعر'!$B$2:$B$700,0)),0))</f>
        <v/>
      </c>
    </row>
    <row r="5890" customFormat="false" ht="15" hidden="false" customHeight="false" outlineLevel="0" collapsed="false">
      <c r="A5890" s="102"/>
      <c r="E5890" s="103" t="str">
        <f aca="false">IF($C5890="","",IFERROR(INDEX(المنيو!$C$2:$C$500,MATCH($C5890,المنيو!$B$2:$B$500,0)),0))</f>
        <v/>
      </c>
      <c r="F5890" s="103" t="str">
        <f aca="false">IF($C5890="","",$D5890*$E5890)</f>
        <v/>
      </c>
      <c r="G5890" s="103" t="str">
        <f aca="false">IF($C5890="","",$D5890*IFERROR(INDEX('تحليل التكلفة والسعر'!$C$2:$C$700,MATCH($C5890,'تحليل التكلفة والسعر'!$B$2:$B$700,0)),0))</f>
        <v/>
      </c>
    </row>
    <row r="5891" customFormat="false" ht="15" hidden="false" customHeight="false" outlineLevel="0" collapsed="false">
      <c r="A5891" s="102"/>
      <c r="E5891" s="103" t="str">
        <f aca="false">IF($C5891="","",IFERROR(INDEX(المنيو!$C$2:$C$500,MATCH($C5891,المنيو!$B$2:$B$500,0)),0))</f>
        <v/>
      </c>
      <c r="F5891" s="103" t="str">
        <f aca="false">IF($C5891="","",$D5891*$E5891)</f>
        <v/>
      </c>
      <c r="G5891" s="103" t="str">
        <f aca="false">IF($C5891="","",$D5891*IFERROR(INDEX('تحليل التكلفة والسعر'!$C$2:$C$700,MATCH($C5891,'تحليل التكلفة والسعر'!$B$2:$B$700,0)),0))</f>
        <v/>
      </c>
    </row>
    <row r="5892" customFormat="false" ht="15" hidden="false" customHeight="false" outlineLevel="0" collapsed="false">
      <c r="A5892" s="102"/>
      <c r="E5892" s="103" t="str">
        <f aca="false">IF($C5892="","",IFERROR(INDEX(المنيو!$C$2:$C$500,MATCH($C5892,المنيو!$B$2:$B$500,0)),0))</f>
        <v/>
      </c>
      <c r="F5892" s="103" t="str">
        <f aca="false">IF($C5892="","",$D5892*$E5892)</f>
        <v/>
      </c>
      <c r="G5892" s="103" t="str">
        <f aca="false">IF($C5892="","",$D5892*IFERROR(INDEX('تحليل التكلفة والسعر'!$C$2:$C$700,MATCH($C5892,'تحليل التكلفة والسعر'!$B$2:$B$700,0)),0))</f>
        <v/>
      </c>
    </row>
    <row r="5893" customFormat="false" ht="15" hidden="false" customHeight="false" outlineLevel="0" collapsed="false">
      <c r="A5893" s="102"/>
      <c r="E5893" s="103" t="str">
        <f aca="false">IF($C5893="","",IFERROR(INDEX(المنيو!$C$2:$C$500,MATCH($C5893,المنيو!$B$2:$B$500,0)),0))</f>
        <v/>
      </c>
      <c r="F5893" s="103" t="str">
        <f aca="false">IF($C5893="","",$D5893*$E5893)</f>
        <v/>
      </c>
      <c r="G5893" s="103" t="str">
        <f aca="false">IF($C5893="","",$D5893*IFERROR(INDEX('تحليل التكلفة والسعر'!$C$2:$C$700,MATCH($C5893,'تحليل التكلفة والسعر'!$B$2:$B$700,0)),0))</f>
        <v/>
      </c>
    </row>
    <row r="5894" customFormat="false" ht="15" hidden="false" customHeight="false" outlineLevel="0" collapsed="false">
      <c r="A5894" s="102"/>
      <c r="E5894" s="103" t="str">
        <f aca="false">IF($C5894="","",IFERROR(INDEX(المنيو!$C$2:$C$500,MATCH($C5894,المنيو!$B$2:$B$500,0)),0))</f>
        <v/>
      </c>
      <c r="F5894" s="103" t="str">
        <f aca="false">IF($C5894="","",$D5894*$E5894)</f>
        <v/>
      </c>
      <c r="G5894" s="103" t="str">
        <f aca="false">IF($C5894="","",$D5894*IFERROR(INDEX('تحليل التكلفة والسعر'!$C$2:$C$700,MATCH($C5894,'تحليل التكلفة والسعر'!$B$2:$B$700,0)),0))</f>
        <v/>
      </c>
    </row>
    <row r="5895" customFormat="false" ht="15" hidden="false" customHeight="false" outlineLevel="0" collapsed="false">
      <c r="A5895" s="102"/>
      <c r="E5895" s="103" t="str">
        <f aca="false">IF($C5895="","",IFERROR(INDEX(المنيو!$C$2:$C$500,MATCH($C5895,المنيو!$B$2:$B$500,0)),0))</f>
        <v/>
      </c>
      <c r="F5895" s="103" t="str">
        <f aca="false">IF($C5895="","",$D5895*$E5895)</f>
        <v/>
      </c>
      <c r="G5895" s="103" t="str">
        <f aca="false">IF($C5895="","",$D5895*IFERROR(INDEX('تحليل التكلفة والسعر'!$C$2:$C$700,MATCH($C5895,'تحليل التكلفة والسعر'!$B$2:$B$700,0)),0))</f>
        <v/>
      </c>
    </row>
    <row r="5896" customFormat="false" ht="15" hidden="false" customHeight="false" outlineLevel="0" collapsed="false">
      <c r="A5896" s="102"/>
      <c r="E5896" s="103" t="str">
        <f aca="false">IF($C5896="","",IFERROR(INDEX(المنيو!$C$2:$C$500,MATCH($C5896,المنيو!$B$2:$B$500,0)),0))</f>
        <v/>
      </c>
      <c r="F5896" s="103" t="str">
        <f aca="false">IF($C5896="","",$D5896*$E5896)</f>
        <v/>
      </c>
      <c r="G5896" s="103" t="str">
        <f aca="false">IF($C5896="","",$D5896*IFERROR(INDEX('تحليل التكلفة والسعر'!$C$2:$C$700,MATCH($C5896,'تحليل التكلفة والسعر'!$B$2:$B$700,0)),0))</f>
        <v/>
      </c>
    </row>
    <row r="5897" customFormat="false" ht="15" hidden="false" customHeight="false" outlineLevel="0" collapsed="false">
      <c r="A5897" s="102"/>
      <c r="E5897" s="103" t="str">
        <f aca="false">IF($C5897="","",IFERROR(INDEX(المنيو!$C$2:$C$500,MATCH($C5897,المنيو!$B$2:$B$500,0)),0))</f>
        <v/>
      </c>
      <c r="F5897" s="103" t="str">
        <f aca="false">IF($C5897="","",$D5897*$E5897)</f>
        <v/>
      </c>
      <c r="G5897" s="103" t="str">
        <f aca="false">IF($C5897="","",$D5897*IFERROR(INDEX('تحليل التكلفة والسعر'!$C$2:$C$700,MATCH($C5897,'تحليل التكلفة والسعر'!$B$2:$B$700,0)),0))</f>
        <v/>
      </c>
    </row>
    <row r="5898" customFormat="false" ht="15" hidden="false" customHeight="false" outlineLevel="0" collapsed="false">
      <c r="A5898" s="102"/>
      <c r="E5898" s="103" t="str">
        <f aca="false">IF($C5898="","",IFERROR(INDEX(المنيو!$C$2:$C$500,MATCH($C5898,المنيو!$B$2:$B$500,0)),0))</f>
        <v/>
      </c>
      <c r="F5898" s="103" t="str">
        <f aca="false">IF($C5898="","",$D5898*$E5898)</f>
        <v/>
      </c>
      <c r="G5898" s="103" t="str">
        <f aca="false">IF($C5898="","",$D5898*IFERROR(INDEX('تحليل التكلفة والسعر'!$C$2:$C$700,MATCH($C5898,'تحليل التكلفة والسعر'!$B$2:$B$700,0)),0))</f>
        <v/>
      </c>
    </row>
    <row r="5899" customFormat="false" ht="15" hidden="false" customHeight="false" outlineLevel="0" collapsed="false">
      <c r="A5899" s="102"/>
      <c r="E5899" s="103" t="str">
        <f aca="false">IF($C5899="","",IFERROR(INDEX(المنيو!$C$2:$C$500,MATCH($C5899,المنيو!$B$2:$B$500,0)),0))</f>
        <v/>
      </c>
      <c r="F5899" s="103" t="str">
        <f aca="false">IF($C5899="","",$D5899*$E5899)</f>
        <v/>
      </c>
      <c r="G5899" s="103" t="str">
        <f aca="false">IF($C5899="","",$D5899*IFERROR(INDEX('تحليل التكلفة والسعر'!$C$2:$C$700,MATCH($C5899,'تحليل التكلفة والسعر'!$B$2:$B$700,0)),0))</f>
        <v/>
      </c>
    </row>
    <row r="5900" customFormat="false" ht="15" hidden="false" customHeight="false" outlineLevel="0" collapsed="false">
      <c r="A5900" s="102"/>
      <c r="E5900" s="103" t="str">
        <f aca="false">IF($C5900="","",IFERROR(INDEX(المنيو!$C$2:$C$500,MATCH($C5900,المنيو!$B$2:$B$500,0)),0))</f>
        <v/>
      </c>
      <c r="F5900" s="103" t="str">
        <f aca="false">IF($C5900="","",$D5900*$E5900)</f>
        <v/>
      </c>
      <c r="G5900" s="103" t="str">
        <f aca="false">IF($C5900="","",$D5900*IFERROR(INDEX('تحليل التكلفة والسعر'!$C$2:$C$700,MATCH($C5900,'تحليل التكلفة والسعر'!$B$2:$B$700,0)),0))</f>
        <v/>
      </c>
    </row>
    <row r="5901" customFormat="false" ht="15" hidden="false" customHeight="false" outlineLevel="0" collapsed="false">
      <c r="A5901" s="102"/>
      <c r="E5901" s="103" t="str">
        <f aca="false">IF($C5901="","",IFERROR(INDEX(المنيو!$C$2:$C$500,MATCH($C5901,المنيو!$B$2:$B$500,0)),0))</f>
        <v/>
      </c>
      <c r="F5901" s="103" t="str">
        <f aca="false">IF($C5901="","",$D5901*$E5901)</f>
        <v/>
      </c>
      <c r="G5901" s="103" t="str">
        <f aca="false">IF($C5901="","",$D5901*IFERROR(INDEX('تحليل التكلفة والسعر'!$C$2:$C$700,MATCH($C5901,'تحليل التكلفة والسعر'!$B$2:$B$700,0)),0))</f>
        <v/>
      </c>
    </row>
    <row r="5902" customFormat="false" ht="15" hidden="false" customHeight="false" outlineLevel="0" collapsed="false">
      <c r="A5902" s="102"/>
      <c r="E5902" s="103" t="str">
        <f aca="false">IF($C5902="","",IFERROR(INDEX(المنيو!$C$2:$C$500,MATCH($C5902,المنيو!$B$2:$B$500,0)),0))</f>
        <v/>
      </c>
      <c r="F5902" s="103" t="str">
        <f aca="false">IF($C5902="","",$D5902*$E5902)</f>
        <v/>
      </c>
      <c r="G5902" s="103" t="str">
        <f aca="false">IF($C5902="","",$D5902*IFERROR(INDEX('تحليل التكلفة والسعر'!$C$2:$C$700,MATCH($C5902,'تحليل التكلفة والسعر'!$B$2:$B$700,0)),0))</f>
        <v/>
      </c>
    </row>
    <row r="5903" customFormat="false" ht="15" hidden="false" customHeight="false" outlineLevel="0" collapsed="false">
      <c r="A5903" s="102"/>
      <c r="E5903" s="103" t="str">
        <f aca="false">IF($C5903="","",IFERROR(INDEX(المنيو!$C$2:$C$500,MATCH($C5903,المنيو!$B$2:$B$500,0)),0))</f>
        <v/>
      </c>
      <c r="F5903" s="103" t="str">
        <f aca="false">IF($C5903="","",$D5903*$E5903)</f>
        <v/>
      </c>
      <c r="G5903" s="103" t="str">
        <f aca="false">IF($C5903="","",$D5903*IFERROR(INDEX('تحليل التكلفة والسعر'!$C$2:$C$700,MATCH($C5903,'تحليل التكلفة والسعر'!$B$2:$B$700,0)),0))</f>
        <v/>
      </c>
    </row>
    <row r="5904" customFormat="false" ht="15" hidden="false" customHeight="false" outlineLevel="0" collapsed="false">
      <c r="A5904" s="102"/>
      <c r="E5904" s="103" t="str">
        <f aca="false">IF($C5904="","",IFERROR(INDEX(المنيو!$C$2:$C$500,MATCH($C5904,المنيو!$B$2:$B$500,0)),0))</f>
        <v/>
      </c>
      <c r="F5904" s="103" t="str">
        <f aca="false">IF($C5904="","",$D5904*$E5904)</f>
        <v/>
      </c>
      <c r="G5904" s="103" t="str">
        <f aca="false">IF($C5904="","",$D5904*IFERROR(INDEX('تحليل التكلفة والسعر'!$C$2:$C$700,MATCH($C5904,'تحليل التكلفة والسعر'!$B$2:$B$700,0)),0))</f>
        <v/>
      </c>
    </row>
    <row r="5905" customFormat="false" ht="15" hidden="false" customHeight="false" outlineLevel="0" collapsed="false">
      <c r="A5905" s="102"/>
      <c r="E5905" s="103" t="str">
        <f aca="false">IF($C5905="","",IFERROR(INDEX(المنيو!$C$2:$C$500,MATCH($C5905,المنيو!$B$2:$B$500,0)),0))</f>
        <v/>
      </c>
      <c r="F5905" s="103" t="str">
        <f aca="false">IF($C5905="","",$D5905*$E5905)</f>
        <v/>
      </c>
      <c r="G5905" s="103" t="str">
        <f aca="false">IF($C5905="","",$D5905*IFERROR(INDEX('تحليل التكلفة والسعر'!$C$2:$C$700,MATCH($C5905,'تحليل التكلفة والسعر'!$B$2:$B$700,0)),0))</f>
        <v/>
      </c>
    </row>
    <row r="5906" customFormat="false" ht="15" hidden="false" customHeight="false" outlineLevel="0" collapsed="false">
      <c r="A5906" s="102"/>
      <c r="E5906" s="103" t="str">
        <f aca="false">IF($C5906="","",IFERROR(INDEX(المنيو!$C$2:$C$500,MATCH($C5906,المنيو!$B$2:$B$500,0)),0))</f>
        <v/>
      </c>
      <c r="F5906" s="103" t="str">
        <f aca="false">IF($C5906="","",$D5906*$E5906)</f>
        <v/>
      </c>
      <c r="G5906" s="103" t="str">
        <f aca="false">IF($C5906="","",$D5906*IFERROR(INDEX('تحليل التكلفة والسعر'!$C$2:$C$700,MATCH($C5906,'تحليل التكلفة والسعر'!$B$2:$B$700,0)),0))</f>
        <v/>
      </c>
    </row>
    <row r="5907" customFormat="false" ht="15" hidden="false" customHeight="false" outlineLevel="0" collapsed="false">
      <c r="A5907" s="102"/>
      <c r="E5907" s="103" t="str">
        <f aca="false">IF($C5907="","",IFERROR(INDEX(المنيو!$C$2:$C$500,MATCH($C5907,المنيو!$B$2:$B$500,0)),0))</f>
        <v/>
      </c>
      <c r="F5907" s="103" t="str">
        <f aca="false">IF($C5907="","",$D5907*$E5907)</f>
        <v/>
      </c>
      <c r="G5907" s="103" t="str">
        <f aca="false">IF($C5907="","",$D5907*IFERROR(INDEX('تحليل التكلفة والسعر'!$C$2:$C$700,MATCH($C5907,'تحليل التكلفة والسعر'!$B$2:$B$700,0)),0))</f>
        <v/>
      </c>
    </row>
    <row r="5908" customFormat="false" ht="15" hidden="false" customHeight="false" outlineLevel="0" collapsed="false">
      <c r="A5908" s="102"/>
      <c r="E5908" s="103" t="str">
        <f aca="false">IF($C5908="","",IFERROR(INDEX(المنيو!$C$2:$C$500,MATCH($C5908,المنيو!$B$2:$B$500,0)),0))</f>
        <v/>
      </c>
      <c r="F5908" s="103" t="str">
        <f aca="false">IF($C5908="","",$D5908*$E5908)</f>
        <v/>
      </c>
      <c r="G5908" s="103" t="str">
        <f aca="false">IF($C5908="","",$D5908*IFERROR(INDEX('تحليل التكلفة والسعر'!$C$2:$C$700,MATCH($C5908,'تحليل التكلفة والسعر'!$B$2:$B$700,0)),0))</f>
        <v/>
      </c>
    </row>
    <row r="5909" customFormat="false" ht="15" hidden="false" customHeight="false" outlineLevel="0" collapsed="false">
      <c r="A5909" s="102"/>
      <c r="E5909" s="103" t="str">
        <f aca="false">IF($C5909="","",IFERROR(INDEX(المنيو!$C$2:$C$500,MATCH($C5909,المنيو!$B$2:$B$500,0)),0))</f>
        <v/>
      </c>
      <c r="F5909" s="103" t="str">
        <f aca="false">IF($C5909="","",$D5909*$E5909)</f>
        <v/>
      </c>
      <c r="G5909" s="103" t="str">
        <f aca="false">IF($C5909="","",$D5909*IFERROR(INDEX('تحليل التكلفة والسعر'!$C$2:$C$700,MATCH($C5909,'تحليل التكلفة والسعر'!$B$2:$B$700,0)),0))</f>
        <v/>
      </c>
    </row>
    <row r="5910" customFormat="false" ht="15" hidden="false" customHeight="false" outlineLevel="0" collapsed="false">
      <c r="A5910" s="102"/>
      <c r="E5910" s="103" t="str">
        <f aca="false">IF($C5910="","",IFERROR(INDEX(المنيو!$C$2:$C$500,MATCH($C5910,المنيو!$B$2:$B$500,0)),0))</f>
        <v/>
      </c>
      <c r="F5910" s="103" t="str">
        <f aca="false">IF($C5910="","",$D5910*$E5910)</f>
        <v/>
      </c>
      <c r="G5910" s="103" t="str">
        <f aca="false">IF($C5910="","",$D5910*IFERROR(INDEX('تحليل التكلفة والسعر'!$C$2:$C$700,MATCH($C5910,'تحليل التكلفة والسعر'!$B$2:$B$700,0)),0))</f>
        <v/>
      </c>
    </row>
    <row r="5911" customFormat="false" ht="15" hidden="false" customHeight="false" outlineLevel="0" collapsed="false">
      <c r="A5911" s="102"/>
      <c r="E5911" s="103" t="str">
        <f aca="false">IF($C5911="","",IFERROR(INDEX(المنيو!$C$2:$C$500,MATCH($C5911,المنيو!$B$2:$B$500,0)),0))</f>
        <v/>
      </c>
      <c r="F5911" s="103" t="str">
        <f aca="false">IF($C5911="","",$D5911*$E5911)</f>
        <v/>
      </c>
      <c r="G5911" s="103" t="str">
        <f aca="false">IF($C5911="","",$D5911*IFERROR(INDEX('تحليل التكلفة والسعر'!$C$2:$C$700,MATCH($C5911,'تحليل التكلفة والسعر'!$B$2:$B$700,0)),0))</f>
        <v/>
      </c>
    </row>
    <row r="5912" customFormat="false" ht="15" hidden="false" customHeight="false" outlineLevel="0" collapsed="false">
      <c r="A5912" s="102"/>
      <c r="E5912" s="103" t="str">
        <f aca="false">IF($C5912="","",IFERROR(INDEX(المنيو!$C$2:$C$500,MATCH($C5912,المنيو!$B$2:$B$500,0)),0))</f>
        <v/>
      </c>
      <c r="F5912" s="103" t="str">
        <f aca="false">IF($C5912="","",$D5912*$E5912)</f>
        <v/>
      </c>
      <c r="G5912" s="103" t="str">
        <f aca="false">IF($C5912="","",$D5912*IFERROR(INDEX('تحليل التكلفة والسعر'!$C$2:$C$700,MATCH($C5912,'تحليل التكلفة والسعر'!$B$2:$B$700,0)),0))</f>
        <v/>
      </c>
    </row>
    <row r="5913" customFormat="false" ht="15" hidden="false" customHeight="false" outlineLevel="0" collapsed="false">
      <c r="A5913" s="102"/>
      <c r="E5913" s="103" t="str">
        <f aca="false">IF($C5913="","",IFERROR(INDEX(المنيو!$C$2:$C$500,MATCH($C5913,المنيو!$B$2:$B$500,0)),0))</f>
        <v/>
      </c>
      <c r="F5913" s="103" t="str">
        <f aca="false">IF($C5913="","",$D5913*$E5913)</f>
        <v/>
      </c>
      <c r="G5913" s="103" t="str">
        <f aca="false">IF($C5913="","",$D5913*IFERROR(INDEX('تحليل التكلفة والسعر'!$C$2:$C$700,MATCH($C5913,'تحليل التكلفة والسعر'!$B$2:$B$700,0)),0))</f>
        <v/>
      </c>
    </row>
    <row r="5914" customFormat="false" ht="15" hidden="false" customHeight="false" outlineLevel="0" collapsed="false">
      <c r="A5914" s="102"/>
      <c r="E5914" s="103" t="str">
        <f aca="false">IF($C5914="","",IFERROR(INDEX(المنيو!$C$2:$C$500,MATCH($C5914,المنيو!$B$2:$B$500,0)),0))</f>
        <v/>
      </c>
      <c r="F5914" s="103" t="str">
        <f aca="false">IF($C5914="","",$D5914*$E5914)</f>
        <v/>
      </c>
      <c r="G5914" s="103" t="str">
        <f aca="false">IF($C5914="","",$D5914*IFERROR(INDEX('تحليل التكلفة والسعر'!$C$2:$C$700,MATCH($C5914,'تحليل التكلفة والسعر'!$B$2:$B$700,0)),0))</f>
        <v/>
      </c>
    </row>
    <row r="5915" customFormat="false" ht="15" hidden="false" customHeight="false" outlineLevel="0" collapsed="false">
      <c r="A5915" s="102"/>
      <c r="E5915" s="103" t="str">
        <f aca="false">IF($C5915="","",IFERROR(INDEX(المنيو!$C$2:$C$500,MATCH($C5915,المنيو!$B$2:$B$500,0)),0))</f>
        <v/>
      </c>
      <c r="F5915" s="103" t="str">
        <f aca="false">IF($C5915="","",$D5915*$E5915)</f>
        <v/>
      </c>
      <c r="G5915" s="103" t="str">
        <f aca="false">IF($C5915="","",$D5915*IFERROR(INDEX('تحليل التكلفة والسعر'!$C$2:$C$700,MATCH($C5915,'تحليل التكلفة والسعر'!$B$2:$B$700,0)),0))</f>
        <v/>
      </c>
    </row>
    <row r="5916" customFormat="false" ht="15" hidden="false" customHeight="false" outlineLevel="0" collapsed="false">
      <c r="A5916" s="102"/>
      <c r="E5916" s="103" t="str">
        <f aca="false">IF($C5916="","",IFERROR(INDEX(المنيو!$C$2:$C$500,MATCH($C5916,المنيو!$B$2:$B$500,0)),0))</f>
        <v/>
      </c>
      <c r="F5916" s="103" t="str">
        <f aca="false">IF($C5916="","",$D5916*$E5916)</f>
        <v/>
      </c>
      <c r="G5916" s="103" t="str">
        <f aca="false">IF($C5916="","",$D5916*IFERROR(INDEX('تحليل التكلفة والسعر'!$C$2:$C$700,MATCH($C5916,'تحليل التكلفة والسعر'!$B$2:$B$700,0)),0))</f>
        <v/>
      </c>
    </row>
    <row r="5917" customFormat="false" ht="15" hidden="false" customHeight="false" outlineLevel="0" collapsed="false">
      <c r="A5917" s="102"/>
      <c r="E5917" s="103" t="str">
        <f aca="false">IF($C5917="","",IFERROR(INDEX(المنيو!$C$2:$C$500,MATCH($C5917,المنيو!$B$2:$B$500,0)),0))</f>
        <v/>
      </c>
      <c r="F5917" s="103" t="str">
        <f aca="false">IF($C5917="","",$D5917*$E5917)</f>
        <v/>
      </c>
      <c r="G5917" s="103" t="str">
        <f aca="false">IF($C5917="","",$D5917*IFERROR(INDEX('تحليل التكلفة والسعر'!$C$2:$C$700,MATCH($C5917,'تحليل التكلفة والسعر'!$B$2:$B$700,0)),0))</f>
        <v/>
      </c>
    </row>
    <row r="5918" customFormat="false" ht="15" hidden="false" customHeight="false" outlineLevel="0" collapsed="false">
      <c r="A5918" s="102"/>
      <c r="E5918" s="103" t="str">
        <f aca="false">IF($C5918="","",IFERROR(INDEX(المنيو!$C$2:$C$500,MATCH($C5918,المنيو!$B$2:$B$500,0)),0))</f>
        <v/>
      </c>
      <c r="F5918" s="103" t="str">
        <f aca="false">IF($C5918="","",$D5918*$E5918)</f>
        <v/>
      </c>
      <c r="G5918" s="103" t="str">
        <f aca="false">IF($C5918="","",$D5918*IFERROR(INDEX('تحليل التكلفة والسعر'!$C$2:$C$700,MATCH($C5918,'تحليل التكلفة والسعر'!$B$2:$B$700,0)),0))</f>
        <v/>
      </c>
    </row>
    <row r="5919" customFormat="false" ht="15" hidden="false" customHeight="false" outlineLevel="0" collapsed="false">
      <c r="A5919" s="102"/>
      <c r="E5919" s="103" t="str">
        <f aca="false">IF($C5919="","",IFERROR(INDEX(المنيو!$C$2:$C$500,MATCH($C5919,المنيو!$B$2:$B$500,0)),0))</f>
        <v/>
      </c>
      <c r="F5919" s="103" t="str">
        <f aca="false">IF($C5919="","",$D5919*$E5919)</f>
        <v/>
      </c>
      <c r="G5919" s="103" t="str">
        <f aca="false">IF($C5919="","",$D5919*IFERROR(INDEX('تحليل التكلفة والسعر'!$C$2:$C$700,MATCH($C5919,'تحليل التكلفة والسعر'!$B$2:$B$700,0)),0))</f>
        <v/>
      </c>
    </row>
    <row r="5920" customFormat="false" ht="15" hidden="false" customHeight="false" outlineLevel="0" collapsed="false">
      <c r="A5920" s="102"/>
      <c r="E5920" s="103" t="str">
        <f aca="false">IF($C5920="","",IFERROR(INDEX(المنيو!$C$2:$C$500,MATCH($C5920,المنيو!$B$2:$B$500,0)),0))</f>
        <v/>
      </c>
      <c r="F5920" s="103" t="str">
        <f aca="false">IF($C5920="","",$D5920*$E5920)</f>
        <v/>
      </c>
      <c r="G5920" s="103" t="str">
        <f aca="false">IF($C5920="","",$D5920*IFERROR(INDEX('تحليل التكلفة والسعر'!$C$2:$C$700,MATCH($C5920,'تحليل التكلفة والسعر'!$B$2:$B$700,0)),0))</f>
        <v/>
      </c>
    </row>
    <row r="5921" customFormat="false" ht="15" hidden="false" customHeight="false" outlineLevel="0" collapsed="false">
      <c r="A5921" s="102"/>
      <c r="E5921" s="103" t="str">
        <f aca="false">IF($C5921="","",IFERROR(INDEX(المنيو!$C$2:$C$500,MATCH($C5921,المنيو!$B$2:$B$500,0)),0))</f>
        <v/>
      </c>
      <c r="F5921" s="103" t="str">
        <f aca="false">IF($C5921="","",$D5921*$E5921)</f>
        <v/>
      </c>
      <c r="G5921" s="103" t="str">
        <f aca="false">IF($C5921="","",$D5921*IFERROR(INDEX('تحليل التكلفة والسعر'!$C$2:$C$700,MATCH($C5921,'تحليل التكلفة والسعر'!$B$2:$B$700,0)),0))</f>
        <v/>
      </c>
    </row>
    <row r="5922" customFormat="false" ht="15" hidden="false" customHeight="false" outlineLevel="0" collapsed="false">
      <c r="A5922" s="102"/>
      <c r="E5922" s="103" t="str">
        <f aca="false">IF($C5922="","",IFERROR(INDEX(المنيو!$C$2:$C$500,MATCH($C5922,المنيو!$B$2:$B$500,0)),0))</f>
        <v/>
      </c>
      <c r="F5922" s="103" t="str">
        <f aca="false">IF($C5922="","",$D5922*$E5922)</f>
        <v/>
      </c>
      <c r="G5922" s="103" t="str">
        <f aca="false">IF($C5922="","",$D5922*IFERROR(INDEX('تحليل التكلفة والسعر'!$C$2:$C$700,MATCH($C5922,'تحليل التكلفة والسعر'!$B$2:$B$700,0)),0))</f>
        <v/>
      </c>
    </row>
    <row r="5923" customFormat="false" ht="15" hidden="false" customHeight="false" outlineLevel="0" collapsed="false">
      <c r="A5923" s="102"/>
      <c r="E5923" s="103" t="str">
        <f aca="false">IF($C5923="","",IFERROR(INDEX(المنيو!$C$2:$C$500,MATCH($C5923,المنيو!$B$2:$B$500,0)),0))</f>
        <v/>
      </c>
      <c r="F5923" s="103" t="str">
        <f aca="false">IF($C5923="","",$D5923*$E5923)</f>
        <v/>
      </c>
      <c r="G5923" s="103" t="str">
        <f aca="false">IF($C5923="","",$D5923*IFERROR(INDEX('تحليل التكلفة والسعر'!$C$2:$C$700,MATCH($C5923,'تحليل التكلفة والسعر'!$B$2:$B$700,0)),0))</f>
        <v/>
      </c>
    </row>
    <row r="5924" customFormat="false" ht="15" hidden="false" customHeight="false" outlineLevel="0" collapsed="false">
      <c r="A5924" s="102"/>
      <c r="E5924" s="103" t="str">
        <f aca="false">IF($C5924="","",IFERROR(INDEX(المنيو!$C$2:$C$500,MATCH($C5924,المنيو!$B$2:$B$500,0)),0))</f>
        <v/>
      </c>
      <c r="F5924" s="103" t="str">
        <f aca="false">IF($C5924="","",$D5924*$E5924)</f>
        <v/>
      </c>
      <c r="G5924" s="103" t="str">
        <f aca="false">IF($C5924="","",$D5924*IFERROR(INDEX('تحليل التكلفة والسعر'!$C$2:$C$700,MATCH($C5924,'تحليل التكلفة والسعر'!$B$2:$B$700,0)),0))</f>
        <v/>
      </c>
    </row>
    <row r="5925" customFormat="false" ht="15" hidden="false" customHeight="false" outlineLevel="0" collapsed="false">
      <c r="A5925" s="102"/>
      <c r="E5925" s="103" t="str">
        <f aca="false">IF($C5925="","",IFERROR(INDEX(المنيو!$C$2:$C$500,MATCH($C5925,المنيو!$B$2:$B$500,0)),0))</f>
        <v/>
      </c>
      <c r="F5925" s="103" t="str">
        <f aca="false">IF($C5925="","",$D5925*$E5925)</f>
        <v/>
      </c>
      <c r="G5925" s="103" t="str">
        <f aca="false">IF($C5925="","",$D5925*IFERROR(INDEX('تحليل التكلفة والسعر'!$C$2:$C$700,MATCH($C5925,'تحليل التكلفة والسعر'!$B$2:$B$700,0)),0))</f>
        <v/>
      </c>
    </row>
    <row r="5926" customFormat="false" ht="15" hidden="false" customHeight="false" outlineLevel="0" collapsed="false">
      <c r="A5926" s="102"/>
      <c r="E5926" s="103" t="str">
        <f aca="false">IF($C5926="","",IFERROR(INDEX(المنيو!$C$2:$C$500,MATCH($C5926,المنيو!$B$2:$B$500,0)),0))</f>
        <v/>
      </c>
      <c r="F5926" s="103" t="str">
        <f aca="false">IF($C5926="","",$D5926*$E5926)</f>
        <v/>
      </c>
      <c r="G5926" s="103" t="str">
        <f aca="false">IF($C5926="","",$D5926*IFERROR(INDEX('تحليل التكلفة والسعر'!$C$2:$C$700,MATCH($C5926,'تحليل التكلفة والسعر'!$B$2:$B$700,0)),0))</f>
        <v/>
      </c>
    </row>
    <row r="5927" customFormat="false" ht="15" hidden="false" customHeight="false" outlineLevel="0" collapsed="false">
      <c r="A5927" s="102"/>
      <c r="E5927" s="103" t="str">
        <f aca="false">IF($C5927="","",IFERROR(INDEX(المنيو!$C$2:$C$500,MATCH($C5927,المنيو!$B$2:$B$500,0)),0))</f>
        <v/>
      </c>
      <c r="F5927" s="103" t="str">
        <f aca="false">IF($C5927="","",$D5927*$E5927)</f>
        <v/>
      </c>
      <c r="G5927" s="103" t="str">
        <f aca="false">IF($C5927="","",$D5927*IFERROR(INDEX('تحليل التكلفة والسعر'!$C$2:$C$700,MATCH($C5927,'تحليل التكلفة والسعر'!$B$2:$B$700,0)),0))</f>
        <v/>
      </c>
    </row>
    <row r="5928" customFormat="false" ht="15" hidden="false" customHeight="false" outlineLevel="0" collapsed="false">
      <c r="A5928" s="102"/>
      <c r="E5928" s="103" t="str">
        <f aca="false">IF($C5928="","",IFERROR(INDEX(المنيو!$C$2:$C$500,MATCH($C5928,المنيو!$B$2:$B$500,0)),0))</f>
        <v/>
      </c>
      <c r="F5928" s="103" t="str">
        <f aca="false">IF($C5928="","",$D5928*$E5928)</f>
        <v/>
      </c>
      <c r="G5928" s="103" t="str">
        <f aca="false">IF($C5928="","",$D5928*IFERROR(INDEX('تحليل التكلفة والسعر'!$C$2:$C$700,MATCH($C5928,'تحليل التكلفة والسعر'!$B$2:$B$700,0)),0))</f>
        <v/>
      </c>
    </row>
    <row r="5929" customFormat="false" ht="15" hidden="false" customHeight="false" outlineLevel="0" collapsed="false">
      <c r="A5929" s="102"/>
      <c r="E5929" s="103" t="str">
        <f aca="false">IF($C5929="","",IFERROR(INDEX(المنيو!$C$2:$C$500,MATCH($C5929,المنيو!$B$2:$B$500,0)),0))</f>
        <v/>
      </c>
      <c r="F5929" s="103" t="str">
        <f aca="false">IF($C5929="","",$D5929*$E5929)</f>
        <v/>
      </c>
      <c r="G5929" s="103" t="str">
        <f aca="false">IF($C5929="","",$D5929*IFERROR(INDEX('تحليل التكلفة والسعر'!$C$2:$C$700,MATCH($C5929,'تحليل التكلفة والسعر'!$B$2:$B$700,0)),0))</f>
        <v/>
      </c>
    </row>
    <row r="5930" customFormat="false" ht="15" hidden="false" customHeight="false" outlineLevel="0" collapsed="false">
      <c r="A5930" s="102"/>
      <c r="E5930" s="103" t="str">
        <f aca="false">IF($C5930="","",IFERROR(INDEX(المنيو!$C$2:$C$500,MATCH($C5930,المنيو!$B$2:$B$500,0)),0))</f>
        <v/>
      </c>
      <c r="F5930" s="103" t="str">
        <f aca="false">IF($C5930="","",$D5930*$E5930)</f>
        <v/>
      </c>
      <c r="G5930" s="103" t="str">
        <f aca="false">IF($C5930="","",$D5930*IFERROR(INDEX('تحليل التكلفة والسعر'!$C$2:$C$700,MATCH($C5930,'تحليل التكلفة والسعر'!$B$2:$B$700,0)),0))</f>
        <v/>
      </c>
    </row>
    <row r="5931" customFormat="false" ht="15" hidden="false" customHeight="false" outlineLevel="0" collapsed="false">
      <c r="A5931" s="102"/>
      <c r="E5931" s="103" t="str">
        <f aca="false">IF($C5931="","",IFERROR(INDEX(المنيو!$C$2:$C$500,MATCH($C5931,المنيو!$B$2:$B$500,0)),0))</f>
        <v/>
      </c>
      <c r="F5931" s="103" t="str">
        <f aca="false">IF($C5931="","",$D5931*$E5931)</f>
        <v/>
      </c>
      <c r="G5931" s="103" t="str">
        <f aca="false">IF($C5931="","",$D5931*IFERROR(INDEX('تحليل التكلفة والسعر'!$C$2:$C$700,MATCH($C5931,'تحليل التكلفة والسعر'!$B$2:$B$700,0)),0))</f>
        <v/>
      </c>
    </row>
    <row r="5932" customFormat="false" ht="15" hidden="false" customHeight="false" outlineLevel="0" collapsed="false">
      <c r="A5932" s="102"/>
      <c r="E5932" s="103" t="str">
        <f aca="false">IF($C5932="","",IFERROR(INDEX(المنيو!$C$2:$C$500,MATCH($C5932,المنيو!$B$2:$B$500,0)),0))</f>
        <v/>
      </c>
      <c r="F5932" s="103" t="str">
        <f aca="false">IF($C5932="","",$D5932*$E5932)</f>
        <v/>
      </c>
      <c r="G5932" s="103" t="str">
        <f aca="false">IF($C5932="","",$D5932*IFERROR(INDEX('تحليل التكلفة والسعر'!$C$2:$C$700,MATCH($C5932,'تحليل التكلفة والسعر'!$B$2:$B$700,0)),0))</f>
        <v/>
      </c>
    </row>
    <row r="5933" customFormat="false" ht="15" hidden="false" customHeight="false" outlineLevel="0" collapsed="false">
      <c r="A5933" s="102"/>
      <c r="E5933" s="103" t="str">
        <f aca="false">IF($C5933="","",IFERROR(INDEX(المنيو!$C$2:$C$500,MATCH($C5933,المنيو!$B$2:$B$500,0)),0))</f>
        <v/>
      </c>
      <c r="F5933" s="103" t="str">
        <f aca="false">IF($C5933="","",$D5933*$E5933)</f>
        <v/>
      </c>
      <c r="G5933" s="103" t="str">
        <f aca="false">IF($C5933="","",$D5933*IFERROR(INDEX('تحليل التكلفة والسعر'!$C$2:$C$700,MATCH($C5933,'تحليل التكلفة والسعر'!$B$2:$B$700,0)),0))</f>
        <v/>
      </c>
    </row>
    <row r="5934" customFormat="false" ht="15" hidden="false" customHeight="false" outlineLevel="0" collapsed="false">
      <c r="A5934" s="102"/>
      <c r="E5934" s="103" t="str">
        <f aca="false">IF($C5934="","",IFERROR(INDEX(المنيو!$C$2:$C$500,MATCH($C5934,المنيو!$B$2:$B$500,0)),0))</f>
        <v/>
      </c>
      <c r="F5934" s="103" t="str">
        <f aca="false">IF($C5934="","",$D5934*$E5934)</f>
        <v/>
      </c>
      <c r="G5934" s="103" t="str">
        <f aca="false">IF($C5934="","",$D5934*IFERROR(INDEX('تحليل التكلفة والسعر'!$C$2:$C$700,MATCH($C5934,'تحليل التكلفة والسعر'!$B$2:$B$700,0)),0))</f>
        <v/>
      </c>
    </row>
    <row r="5935" customFormat="false" ht="15" hidden="false" customHeight="false" outlineLevel="0" collapsed="false">
      <c r="A5935" s="102"/>
      <c r="E5935" s="103" t="str">
        <f aca="false">IF($C5935="","",IFERROR(INDEX(المنيو!$C$2:$C$500,MATCH($C5935,المنيو!$B$2:$B$500,0)),0))</f>
        <v/>
      </c>
      <c r="F5935" s="103" t="str">
        <f aca="false">IF($C5935="","",$D5935*$E5935)</f>
        <v/>
      </c>
      <c r="G5935" s="103" t="str">
        <f aca="false">IF($C5935="","",$D5935*IFERROR(INDEX('تحليل التكلفة والسعر'!$C$2:$C$700,MATCH($C5935,'تحليل التكلفة والسعر'!$B$2:$B$700,0)),0))</f>
        <v/>
      </c>
    </row>
    <row r="5936" customFormat="false" ht="15" hidden="false" customHeight="false" outlineLevel="0" collapsed="false">
      <c r="A5936" s="102"/>
      <c r="E5936" s="103" t="str">
        <f aca="false">IF($C5936="","",IFERROR(INDEX(المنيو!$C$2:$C$500,MATCH($C5936,المنيو!$B$2:$B$500,0)),0))</f>
        <v/>
      </c>
      <c r="F5936" s="103" t="str">
        <f aca="false">IF($C5936="","",$D5936*$E5936)</f>
        <v/>
      </c>
      <c r="G5936" s="103" t="str">
        <f aca="false">IF($C5936="","",$D5936*IFERROR(INDEX('تحليل التكلفة والسعر'!$C$2:$C$700,MATCH($C5936,'تحليل التكلفة والسعر'!$B$2:$B$700,0)),0))</f>
        <v/>
      </c>
    </row>
    <row r="5937" customFormat="false" ht="15" hidden="false" customHeight="false" outlineLevel="0" collapsed="false">
      <c r="A5937" s="102"/>
      <c r="E5937" s="103" t="str">
        <f aca="false">IF($C5937="","",IFERROR(INDEX(المنيو!$C$2:$C$500,MATCH($C5937,المنيو!$B$2:$B$500,0)),0))</f>
        <v/>
      </c>
      <c r="F5937" s="103" t="str">
        <f aca="false">IF($C5937="","",$D5937*$E5937)</f>
        <v/>
      </c>
      <c r="G5937" s="103" t="str">
        <f aca="false">IF($C5937="","",$D5937*IFERROR(INDEX('تحليل التكلفة والسعر'!$C$2:$C$700,MATCH($C5937,'تحليل التكلفة والسعر'!$B$2:$B$700,0)),0))</f>
        <v/>
      </c>
    </row>
    <row r="5938" customFormat="false" ht="15" hidden="false" customHeight="false" outlineLevel="0" collapsed="false">
      <c r="A5938" s="102"/>
      <c r="E5938" s="103" t="str">
        <f aca="false">IF($C5938="","",IFERROR(INDEX(المنيو!$C$2:$C$500,MATCH($C5938,المنيو!$B$2:$B$500,0)),0))</f>
        <v/>
      </c>
      <c r="F5938" s="103" t="str">
        <f aca="false">IF($C5938="","",$D5938*$E5938)</f>
        <v/>
      </c>
      <c r="G5938" s="103" t="str">
        <f aca="false">IF($C5938="","",$D5938*IFERROR(INDEX('تحليل التكلفة والسعر'!$C$2:$C$700,MATCH($C5938,'تحليل التكلفة والسعر'!$B$2:$B$700,0)),0))</f>
        <v/>
      </c>
    </row>
    <row r="5939" customFormat="false" ht="15" hidden="false" customHeight="false" outlineLevel="0" collapsed="false">
      <c r="A5939" s="102"/>
      <c r="E5939" s="103" t="str">
        <f aca="false">IF($C5939="","",IFERROR(INDEX(المنيو!$C$2:$C$500,MATCH($C5939,المنيو!$B$2:$B$500,0)),0))</f>
        <v/>
      </c>
      <c r="F5939" s="103" t="str">
        <f aca="false">IF($C5939="","",$D5939*$E5939)</f>
        <v/>
      </c>
      <c r="G5939" s="103" t="str">
        <f aca="false">IF($C5939="","",$D5939*IFERROR(INDEX('تحليل التكلفة والسعر'!$C$2:$C$700,MATCH($C5939,'تحليل التكلفة والسعر'!$B$2:$B$700,0)),0))</f>
        <v/>
      </c>
    </row>
    <row r="5940" customFormat="false" ht="15" hidden="false" customHeight="false" outlineLevel="0" collapsed="false">
      <c r="A5940" s="102"/>
      <c r="E5940" s="103" t="str">
        <f aca="false">IF($C5940="","",IFERROR(INDEX(المنيو!$C$2:$C$500,MATCH($C5940,المنيو!$B$2:$B$500,0)),0))</f>
        <v/>
      </c>
      <c r="F5940" s="103" t="str">
        <f aca="false">IF($C5940="","",$D5940*$E5940)</f>
        <v/>
      </c>
      <c r="G5940" s="103" t="str">
        <f aca="false">IF($C5940="","",$D5940*IFERROR(INDEX('تحليل التكلفة والسعر'!$C$2:$C$700,MATCH($C5940,'تحليل التكلفة والسعر'!$B$2:$B$700,0)),0))</f>
        <v/>
      </c>
    </row>
    <row r="5941" customFormat="false" ht="15" hidden="false" customHeight="false" outlineLevel="0" collapsed="false">
      <c r="A5941" s="102"/>
      <c r="E5941" s="103" t="str">
        <f aca="false">IF($C5941="","",IFERROR(INDEX(المنيو!$C$2:$C$500,MATCH($C5941,المنيو!$B$2:$B$500,0)),0))</f>
        <v/>
      </c>
      <c r="F5941" s="103" t="str">
        <f aca="false">IF($C5941="","",$D5941*$E5941)</f>
        <v/>
      </c>
      <c r="G5941" s="103" t="str">
        <f aca="false">IF($C5941="","",$D5941*IFERROR(INDEX('تحليل التكلفة والسعر'!$C$2:$C$700,MATCH($C5941,'تحليل التكلفة والسعر'!$B$2:$B$700,0)),0))</f>
        <v/>
      </c>
    </row>
    <row r="5942" customFormat="false" ht="15" hidden="false" customHeight="false" outlineLevel="0" collapsed="false">
      <c r="A5942" s="102"/>
      <c r="E5942" s="103" t="str">
        <f aca="false">IF($C5942="","",IFERROR(INDEX(المنيو!$C$2:$C$500,MATCH($C5942,المنيو!$B$2:$B$500,0)),0))</f>
        <v/>
      </c>
      <c r="F5942" s="103" t="str">
        <f aca="false">IF($C5942="","",$D5942*$E5942)</f>
        <v/>
      </c>
      <c r="G5942" s="103" t="str">
        <f aca="false">IF($C5942="","",$D5942*IFERROR(INDEX('تحليل التكلفة والسعر'!$C$2:$C$700,MATCH($C5942,'تحليل التكلفة والسعر'!$B$2:$B$700,0)),0))</f>
        <v/>
      </c>
    </row>
    <row r="5943" customFormat="false" ht="15" hidden="false" customHeight="false" outlineLevel="0" collapsed="false">
      <c r="A5943" s="102"/>
      <c r="E5943" s="103" t="str">
        <f aca="false">IF($C5943="","",IFERROR(INDEX(المنيو!$C$2:$C$500,MATCH($C5943,المنيو!$B$2:$B$500,0)),0))</f>
        <v/>
      </c>
      <c r="F5943" s="103" t="str">
        <f aca="false">IF($C5943="","",$D5943*$E5943)</f>
        <v/>
      </c>
      <c r="G5943" s="103" t="str">
        <f aca="false">IF($C5943="","",$D5943*IFERROR(INDEX('تحليل التكلفة والسعر'!$C$2:$C$700,MATCH($C5943,'تحليل التكلفة والسعر'!$B$2:$B$700,0)),0))</f>
        <v/>
      </c>
    </row>
    <row r="5944" customFormat="false" ht="15" hidden="false" customHeight="false" outlineLevel="0" collapsed="false">
      <c r="A5944" s="102"/>
      <c r="E5944" s="103" t="str">
        <f aca="false">IF($C5944="","",IFERROR(INDEX(المنيو!$C$2:$C$500,MATCH($C5944,المنيو!$B$2:$B$500,0)),0))</f>
        <v/>
      </c>
      <c r="F5944" s="103" t="str">
        <f aca="false">IF($C5944="","",$D5944*$E5944)</f>
        <v/>
      </c>
      <c r="G5944" s="103" t="str">
        <f aca="false">IF($C5944="","",$D5944*IFERROR(INDEX('تحليل التكلفة والسعر'!$C$2:$C$700,MATCH($C5944,'تحليل التكلفة والسعر'!$B$2:$B$700,0)),0))</f>
        <v/>
      </c>
    </row>
    <row r="5945" customFormat="false" ht="15" hidden="false" customHeight="false" outlineLevel="0" collapsed="false">
      <c r="A5945" s="102"/>
      <c r="E5945" s="103" t="str">
        <f aca="false">IF($C5945="","",IFERROR(INDEX(المنيو!$C$2:$C$500,MATCH($C5945,المنيو!$B$2:$B$500,0)),0))</f>
        <v/>
      </c>
      <c r="F5945" s="103" t="str">
        <f aca="false">IF($C5945="","",$D5945*$E5945)</f>
        <v/>
      </c>
      <c r="G5945" s="103" t="str">
        <f aca="false">IF($C5945="","",$D5945*IFERROR(INDEX('تحليل التكلفة والسعر'!$C$2:$C$700,MATCH($C5945,'تحليل التكلفة والسعر'!$B$2:$B$700,0)),0))</f>
        <v/>
      </c>
    </row>
    <row r="5946" customFormat="false" ht="15" hidden="false" customHeight="false" outlineLevel="0" collapsed="false">
      <c r="A5946" s="102"/>
      <c r="E5946" s="103" t="str">
        <f aca="false">IF($C5946="","",IFERROR(INDEX(المنيو!$C$2:$C$500,MATCH($C5946,المنيو!$B$2:$B$500,0)),0))</f>
        <v/>
      </c>
      <c r="F5946" s="103" t="str">
        <f aca="false">IF($C5946="","",$D5946*$E5946)</f>
        <v/>
      </c>
      <c r="G5946" s="103" t="str">
        <f aca="false">IF($C5946="","",$D5946*IFERROR(INDEX('تحليل التكلفة والسعر'!$C$2:$C$700,MATCH($C5946,'تحليل التكلفة والسعر'!$B$2:$B$700,0)),0))</f>
        <v/>
      </c>
    </row>
    <row r="5947" customFormat="false" ht="15" hidden="false" customHeight="false" outlineLevel="0" collapsed="false">
      <c r="A5947" s="102"/>
      <c r="E5947" s="103" t="str">
        <f aca="false">IF($C5947="","",IFERROR(INDEX(المنيو!$C$2:$C$500,MATCH($C5947,المنيو!$B$2:$B$500,0)),0))</f>
        <v/>
      </c>
      <c r="F5947" s="103" t="str">
        <f aca="false">IF($C5947="","",$D5947*$E5947)</f>
        <v/>
      </c>
      <c r="G5947" s="103" t="str">
        <f aca="false">IF($C5947="","",$D5947*IFERROR(INDEX('تحليل التكلفة والسعر'!$C$2:$C$700,MATCH($C5947,'تحليل التكلفة والسعر'!$B$2:$B$700,0)),0))</f>
        <v/>
      </c>
    </row>
    <row r="5948" customFormat="false" ht="15" hidden="false" customHeight="false" outlineLevel="0" collapsed="false">
      <c r="A5948" s="102"/>
      <c r="E5948" s="103" t="str">
        <f aca="false">IF($C5948="","",IFERROR(INDEX(المنيو!$C$2:$C$500,MATCH($C5948,المنيو!$B$2:$B$500,0)),0))</f>
        <v/>
      </c>
      <c r="F5948" s="103" t="str">
        <f aca="false">IF($C5948="","",$D5948*$E5948)</f>
        <v/>
      </c>
      <c r="G5948" s="103" t="str">
        <f aca="false">IF($C5948="","",$D5948*IFERROR(INDEX('تحليل التكلفة والسعر'!$C$2:$C$700,MATCH($C5948,'تحليل التكلفة والسعر'!$B$2:$B$700,0)),0))</f>
        <v/>
      </c>
    </row>
    <row r="5949" customFormat="false" ht="15" hidden="false" customHeight="false" outlineLevel="0" collapsed="false">
      <c r="A5949" s="102"/>
      <c r="E5949" s="103" t="str">
        <f aca="false">IF($C5949="","",IFERROR(INDEX(المنيو!$C$2:$C$500,MATCH($C5949,المنيو!$B$2:$B$500,0)),0))</f>
        <v/>
      </c>
      <c r="F5949" s="103" t="str">
        <f aca="false">IF($C5949="","",$D5949*$E5949)</f>
        <v/>
      </c>
      <c r="G5949" s="103" t="str">
        <f aca="false">IF($C5949="","",$D5949*IFERROR(INDEX('تحليل التكلفة والسعر'!$C$2:$C$700,MATCH($C5949,'تحليل التكلفة والسعر'!$B$2:$B$700,0)),0))</f>
        <v/>
      </c>
    </row>
    <row r="5950" customFormat="false" ht="15" hidden="false" customHeight="false" outlineLevel="0" collapsed="false">
      <c r="A5950" s="102"/>
      <c r="E5950" s="103" t="str">
        <f aca="false">IF($C5950="","",IFERROR(INDEX(المنيو!$C$2:$C$500,MATCH($C5950,المنيو!$B$2:$B$500,0)),0))</f>
        <v/>
      </c>
      <c r="F5950" s="103" t="str">
        <f aca="false">IF($C5950="","",$D5950*$E5950)</f>
        <v/>
      </c>
      <c r="G5950" s="103" t="str">
        <f aca="false">IF($C5950="","",$D5950*IFERROR(INDEX('تحليل التكلفة والسعر'!$C$2:$C$700,MATCH($C5950,'تحليل التكلفة والسعر'!$B$2:$B$700,0)),0))</f>
        <v/>
      </c>
    </row>
    <row r="5951" customFormat="false" ht="15" hidden="false" customHeight="false" outlineLevel="0" collapsed="false">
      <c r="A5951" s="102"/>
      <c r="E5951" s="103" t="str">
        <f aca="false">IF($C5951="","",IFERROR(INDEX(المنيو!$C$2:$C$500,MATCH($C5951,المنيو!$B$2:$B$500,0)),0))</f>
        <v/>
      </c>
      <c r="F5951" s="103" t="str">
        <f aca="false">IF($C5951="","",$D5951*$E5951)</f>
        <v/>
      </c>
      <c r="G5951" s="103" t="str">
        <f aca="false">IF($C5951="","",$D5951*IFERROR(INDEX('تحليل التكلفة والسعر'!$C$2:$C$700,MATCH($C5951,'تحليل التكلفة والسعر'!$B$2:$B$700,0)),0))</f>
        <v/>
      </c>
    </row>
    <row r="5952" customFormat="false" ht="15" hidden="false" customHeight="false" outlineLevel="0" collapsed="false">
      <c r="A5952" s="102"/>
      <c r="E5952" s="103" t="str">
        <f aca="false">IF($C5952="","",IFERROR(INDEX(المنيو!$C$2:$C$500,MATCH($C5952,المنيو!$B$2:$B$500,0)),0))</f>
        <v/>
      </c>
      <c r="F5952" s="103" t="str">
        <f aca="false">IF($C5952="","",$D5952*$E5952)</f>
        <v/>
      </c>
      <c r="G5952" s="103" t="str">
        <f aca="false">IF($C5952="","",$D5952*IFERROR(INDEX('تحليل التكلفة والسعر'!$C$2:$C$700,MATCH($C5952,'تحليل التكلفة والسعر'!$B$2:$B$700,0)),0))</f>
        <v/>
      </c>
    </row>
    <row r="5953" customFormat="false" ht="15" hidden="false" customHeight="false" outlineLevel="0" collapsed="false">
      <c r="A5953" s="102"/>
      <c r="E5953" s="103" t="str">
        <f aca="false">IF($C5953="","",IFERROR(INDEX(المنيو!$C$2:$C$500,MATCH($C5953,المنيو!$B$2:$B$500,0)),0))</f>
        <v/>
      </c>
      <c r="F5953" s="103" t="str">
        <f aca="false">IF($C5953="","",$D5953*$E5953)</f>
        <v/>
      </c>
      <c r="G5953" s="103" t="str">
        <f aca="false">IF($C5953="","",$D5953*IFERROR(INDEX('تحليل التكلفة والسعر'!$C$2:$C$700,MATCH($C5953,'تحليل التكلفة والسعر'!$B$2:$B$700,0)),0))</f>
        <v/>
      </c>
    </row>
    <row r="5954" customFormat="false" ht="15" hidden="false" customHeight="false" outlineLevel="0" collapsed="false">
      <c r="A5954" s="102"/>
      <c r="E5954" s="103" t="str">
        <f aca="false">IF($C5954="","",IFERROR(INDEX(المنيو!$C$2:$C$500,MATCH($C5954,المنيو!$B$2:$B$500,0)),0))</f>
        <v/>
      </c>
      <c r="F5954" s="103" t="str">
        <f aca="false">IF($C5954="","",$D5954*$E5954)</f>
        <v/>
      </c>
      <c r="G5954" s="103" t="str">
        <f aca="false">IF($C5954="","",$D5954*IFERROR(INDEX('تحليل التكلفة والسعر'!$C$2:$C$700,MATCH($C5954,'تحليل التكلفة والسعر'!$B$2:$B$700,0)),0))</f>
        <v/>
      </c>
    </row>
    <row r="5955" customFormat="false" ht="15" hidden="false" customHeight="false" outlineLevel="0" collapsed="false">
      <c r="A5955" s="102"/>
      <c r="E5955" s="103" t="str">
        <f aca="false">IF($C5955="","",IFERROR(INDEX(المنيو!$C$2:$C$500,MATCH($C5955,المنيو!$B$2:$B$500,0)),0))</f>
        <v/>
      </c>
      <c r="F5955" s="103" t="str">
        <f aca="false">IF($C5955="","",$D5955*$E5955)</f>
        <v/>
      </c>
      <c r="G5955" s="103" t="str">
        <f aca="false">IF($C5955="","",$D5955*IFERROR(INDEX('تحليل التكلفة والسعر'!$C$2:$C$700,MATCH($C5955,'تحليل التكلفة والسعر'!$B$2:$B$700,0)),0))</f>
        <v/>
      </c>
    </row>
    <row r="5956" customFormat="false" ht="15" hidden="false" customHeight="false" outlineLevel="0" collapsed="false">
      <c r="A5956" s="102"/>
      <c r="E5956" s="103" t="str">
        <f aca="false">IF($C5956="","",IFERROR(INDEX(المنيو!$C$2:$C$500,MATCH($C5956,المنيو!$B$2:$B$500,0)),0))</f>
        <v/>
      </c>
      <c r="F5956" s="103" t="str">
        <f aca="false">IF($C5956="","",$D5956*$E5956)</f>
        <v/>
      </c>
      <c r="G5956" s="103" t="str">
        <f aca="false">IF($C5956="","",$D5956*IFERROR(INDEX('تحليل التكلفة والسعر'!$C$2:$C$700,MATCH($C5956,'تحليل التكلفة والسعر'!$B$2:$B$700,0)),0))</f>
        <v/>
      </c>
    </row>
    <row r="5957" customFormat="false" ht="15" hidden="false" customHeight="false" outlineLevel="0" collapsed="false">
      <c r="A5957" s="102"/>
      <c r="E5957" s="103" t="str">
        <f aca="false">IF($C5957="","",IFERROR(INDEX(المنيو!$C$2:$C$500,MATCH($C5957,المنيو!$B$2:$B$500,0)),0))</f>
        <v/>
      </c>
      <c r="F5957" s="103" t="str">
        <f aca="false">IF($C5957="","",$D5957*$E5957)</f>
        <v/>
      </c>
      <c r="G5957" s="103" t="str">
        <f aca="false">IF($C5957="","",$D5957*IFERROR(INDEX('تحليل التكلفة والسعر'!$C$2:$C$700,MATCH($C5957,'تحليل التكلفة والسعر'!$B$2:$B$700,0)),0))</f>
        <v/>
      </c>
    </row>
    <row r="5958" customFormat="false" ht="15" hidden="false" customHeight="false" outlineLevel="0" collapsed="false">
      <c r="A5958" s="102"/>
      <c r="E5958" s="103" t="str">
        <f aca="false">IF($C5958="","",IFERROR(INDEX(المنيو!$C$2:$C$500,MATCH($C5958,المنيو!$B$2:$B$500,0)),0))</f>
        <v/>
      </c>
      <c r="F5958" s="103" t="str">
        <f aca="false">IF($C5958="","",$D5958*$E5958)</f>
        <v/>
      </c>
      <c r="G5958" s="103" t="str">
        <f aca="false">IF($C5958="","",$D5958*IFERROR(INDEX('تحليل التكلفة والسعر'!$C$2:$C$700,MATCH($C5958,'تحليل التكلفة والسعر'!$B$2:$B$700,0)),0))</f>
        <v/>
      </c>
    </row>
    <row r="5959" customFormat="false" ht="15" hidden="false" customHeight="false" outlineLevel="0" collapsed="false">
      <c r="A5959" s="102"/>
      <c r="E5959" s="103" t="str">
        <f aca="false">IF($C5959="","",IFERROR(INDEX(المنيو!$C$2:$C$500,MATCH($C5959,المنيو!$B$2:$B$500,0)),0))</f>
        <v/>
      </c>
      <c r="F5959" s="103" t="str">
        <f aca="false">IF($C5959="","",$D5959*$E5959)</f>
        <v/>
      </c>
      <c r="G5959" s="103" t="str">
        <f aca="false">IF($C5959="","",$D5959*IFERROR(INDEX('تحليل التكلفة والسعر'!$C$2:$C$700,MATCH($C5959,'تحليل التكلفة والسعر'!$B$2:$B$700,0)),0))</f>
        <v/>
      </c>
    </row>
    <row r="5960" customFormat="false" ht="15" hidden="false" customHeight="false" outlineLevel="0" collapsed="false">
      <c r="A5960" s="102"/>
      <c r="E5960" s="103" t="str">
        <f aca="false">IF($C5960="","",IFERROR(INDEX(المنيو!$C$2:$C$500,MATCH($C5960,المنيو!$B$2:$B$500,0)),0))</f>
        <v/>
      </c>
      <c r="F5960" s="103" t="str">
        <f aca="false">IF($C5960="","",$D5960*$E5960)</f>
        <v/>
      </c>
      <c r="G5960" s="103" t="str">
        <f aca="false">IF($C5960="","",$D5960*IFERROR(INDEX('تحليل التكلفة والسعر'!$C$2:$C$700,MATCH($C5960,'تحليل التكلفة والسعر'!$B$2:$B$700,0)),0))</f>
        <v/>
      </c>
    </row>
    <row r="5961" customFormat="false" ht="15" hidden="false" customHeight="false" outlineLevel="0" collapsed="false">
      <c r="A5961" s="102"/>
      <c r="E5961" s="103" t="str">
        <f aca="false">IF($C5961="","",IFERROR(INDEX(المنيو!$C$2:$C$500,MATCH($C5961,المنيو!$B$2:$B$500,0)),0))</f>
        <v/>
      </c>
      <c r="F5961" s="103" t="str">
        <f aca="false">IF($C5961="","",$D5961*$E5961)</f>
        <v/>
      </c>
      <c r="G5961" s="103" t="str">
        <f aca="false">IF($C5961="","",$D5961*IFERROR(INDEX('تحليل التكلفة والسعر'!$C$2:$C$700,MATCH($C5961,'تحليل التكلفة والسعر'!$B$2:$B$700,0)),0))</f>
        <v/>
      </c>
    </row>
    <row r="5962" customFormat="false" ht="15" hidden="false" customHeight="false" outlineLevel="0" collapsed="false">
      <c r="A5962" s="102"/>
      <c r="E5962" s="103" t="str">
        <f aca="false">IF($C5962="","",IFERROR(INDEX(المنيو!$C$2:$C$500,MATCH($C5962,المنيو!$B$2:$B$500,0)),0))</f>
        <v/>
      </c>
      <c r="F5962" s="103" t="str">
        <f aca="false">IF($C5962="","",$D5962*$E5962)</f>
        <v/>
      </c>
      <c r="G5962" s="103" t="str">
        <f aca="false">IF($C5962="","",$D5962*IFERROR(INDEX('تحليل التكلفة والسعر'!$C$2:$C$700,MATCH($C5962,'تحليل التكلفة والسعر'!$B$2:$B$700,0)),0))</f>
        <v/>
      </c>
    </row>
    <row r="5963" customFormat="false" ht="15" hidden="false" customHeight="false" outlineLevel="0" collapsed="false">
      <c r="A5963" s="102"/>
      <c r="E5963" s="103" t="str">
        <f aca="false">IF($C5963="","",IFERROR(INDEX(المنيو!$C$2:$C$500,MATCH($C5963,المنيو!$B$2:$B$500,0)),0))</f>
        <v/>
      </c>
      <c r="F5963" s="103" t="str">
        <f aca="false">IF($C5963="","",$D5963*$E5963)</f>
        <v/>
      </c>
      <c r="G5963" s="103" t="str">
        <f aca="false">IF($C5963="","",$D5963*IFERROR(INDEX('تحليل التكلفة والسعر'!$C$2:$C$700,MATCH($C5963,'تحليل التكلفة والسعر'!$B$2:$B$700,0)),0))</f>
        <v/>
      </c>
    </row>
    <row r="5964" customFormat="false" ht="15" hidden="false" customHeight="false" outlineLevel="0" collapsed="false">
      <c r="A5964" s="102"/>
      <c r="E5964" s="103" t="str">
        <f aca="false">IF($C5964="","",IFERROR(INDEX(المنيو!$C$2:$C$500,MATCH($C5964,المنيو!$B$2:$B$500,0)),0))</f>
        <v/>
      </c>
      <c r="F5964" s="103" t="str">
        <f aca="false">IF($C5964="","",$D5964*$E5964)</f>
        <v/>
      </c>
      <c r="G5964" s="103" t="str">
        <f aca="false">IF($C5964="","",$D5964*IFERROR(INDEX('تحليل التكلفة والسعر'!$C$2:$C$700,MATCH($C5964,'تحليل التكلفة والسعر'!$B$2:$B$700,0)),0))</f>
        <v/>
      </c>
    </row>
    <row r="5965" customFormat="false" ht="15" hidden="false" customHeight="false" outlineLevel="0" collapsed="false">
      <c r="A5965" s="102"/>
      <c r="E5965" s="103" t="str">
        <f aca="false">IF($C5965="","",IFERROR(INDEX(المنيو!$C$2:$C$500,MATCH($C5965,المنيو!$B$2:$B$500,0)),0))</f>
        <v/>
      </c>
      <c r="F5965" s="103" t="str">
        <f aca="false">IF($C5965="","",$D5965*$E5965)</f>
        <v/>
      </c>
      <c r="G5965" s="103" t="str">
        <f aca="false">IF($C5965="","",$D5965*IFERROR(INDEX('تحليل التكلفة والسعر'!$C$2:$C$700,MATCH($C5965,'تحليل التكلفة والسعر'!$B$2:$B$700,0)),0))</f>
        <v/>
      </c>
    </row>
    <row r="5966" customFormat="false" ht="15" hidden="false" customHeight="false" outlineLevel="0" collapsed="false">
      <c r="A5966" s="102"/>
      <c r="E5966" s="103" t="str">
        <f aca="false">IF($C5966="","",IFERROR(INDEX(المنيو!$C$2:$C$500,MATCH($C5966,المنيو!$B$2:$B$500,0)),0))</f>
        <v/>
      </c>
      <c r="F5966" s="103" t="str">
        <f aca="false">IF($C5966="","",$D5966*$E5966)</f>
        <v/>
      </c>
      <c r="G5966" s="103" t="str">
        <f aca="false">IF($C5966="","",$D5966*IFERROR(INDEX('تحليل التكلفة والسعر'!$C$2:$C$700,MATCH($C5966,'تحليل التكلفة والسعر'!$B$2:$B$700,0)),0))</f>
        <v/>
      </c>
    </row>
    <row r="5967" customFormat="false" ht="15" hidden="false" customHeight="false" outlineLevel="0" collapsed="false">
      <c r="A5967" s="102"/>
      <c r="E5967" s="103" t="str">
        <f aca="false">IF($C5967="","",IFERROR(INDEX(المنيو!$C$2:$C$500,MATCH($C5967,المنيو!$B$2:$B$500,0)),0))</f>
        <v/>
      </c>
      <c r="F5967" s="103" t="str">
        <f aca="false">IF($C5967="","",$D5967*$E5967)</f>
        <v/>
      </c>
      <c r="G5967" s="103" t="str">
        <f aca="false">IF($C5967="","",$D5967*IFERROR(INDEX('تحليل التكلفة والسعر'!$C$2:$C$700,MATCH($C5967,'تحليل التكلفة والسعر'!$B$2:$B$700,0)),0))</f>
        <v/>
      </c>
    </row>
    <row r="5968" customFormat="false" ht="15" hidden="false" customHeight="false" outlineLevel="0" collapsed="false">
      <c r="A5968" s="102"/>
      <c r="E5968" s="103" t="str">
        <f aca="false">IF($C5968="","",IFERROR(INDEX(المنيو!$C$2:$C$500,MATCH($C5968,المنيو!$B$2:$B$500,0)),0))</f>
        <v/>
      </c>
      <c r="F5968" s="103" t="str">
        <f aca="false">IF($C5968="","",$D5968*$E5968)</f>
        <v/>
      </c>
      <c r="G5968" s="103" t="str">
        <f aca="false">IF($C5968="","",$D5968*IFERROR(INDEX('تحليل التكلفة والسعر'!$C$2:$C$700,MATCH($C5968,'تحليل التكلفة والسعر'!$B$2:$B$700,0)),0))</f>
        <v/>
      </c>
    </row>
    <row r="5969" customFormat="false" ht="15" hidden="false" customHeight="false" outlineLevel="0" collapsed="false">
      <c r="A5969" s="102"/>
      <c r="E5969" s="103" t="str">
        <f aca="false">IF($C5969="","",IFERROR(INDEX(المنيو!$C$2:$C$500,MATCH($C5969,المنيو!$B$2:$B$500,0)),0))</f>
        <v/>
      </c>
      <c r="F5969" s="103" t="str">
        <f aca="false">IF($C5969="","",$D5969*$E5969)</f>
        <v/>
      </c>
      <c r="G5969" s="103" t="str">
        <f aca="false">IF($C5969="","",$D5969*IFERROR(INDEX('تحليل التكلفة والسعر'!$C$2:$C$700,MATCH($C5969,'تحليل التكلفة والسعر'!$B$2:$B$700,0)),0))</f>
        <v/>
      </c>
    </row>
    <row r="5970" customFormat="false" ht="15" hidden="false" customHeight="false" outlineLevel="0" collapsed="false">
      <c r="A5970" s="102"/>
      <c r="E5970" s="103" t="str">
        <f aca="false">IF($C5970="","",IFERROR(INDEX(المنيو!$C$2:$C$500,MATCH($C5970,المنيو!$B$2:$B$500,0)),0))</f>
        <v/>
      </c>
      <c r="F5970" s="103" t="str">
        <f aca="false">IF($C5970="","",$D5970*$E5970)</f>
        <v/>
      </c>
      <c r="G5970" s="103" t="str">
        <f aca="false">IF($C5970="","",$D5970*IFERROR(INDEX('تحليل التكلفة والسعر'!$C$2:$C$700,MATCH($C5970,'تحليل التكلفة والسعر'!$B$2:$B$700,0)),0))</f>
        <v/>
      </c>
    </row>
    <row r="5971" customFormat="false" ht="15" hidden="false" customHeight="false" outlineLevel="0" collapsed="false">
      <c r="A5971" s="102"/>
      <c r="E5971" s="103" t="str">
        <f aca="false">IF($C5971="","",IFERROR(INDEX(المنيو!$C$2:$C$500,MATCH($C5971,المنيو!$B$2:$B$500,0)),0))</f>
        <v/>
      </c>
      <c r="F5971" s="103" t="str">
        <f aca="false">IF($C5971="","",$D5971*$E5971)</f>
        <v/>
      </c>
      <c r="G5971" s="103" t="str">
        <f aca="false">IF($C5971="","",$D5971*IFERROR(INDEX('تحليل التكلفة والسعر'!$C$2:$C$700,MATCH($C5971,'تحليل التكلفة والسعر'!$B$2:$B$700,0)),0))</f>
        <v/>
      </c>
    </row>
    <row r="5972" customFormat="false" ht="15" hidden="false" customHeight="false" outlineLevel="0" collapsed="false">
      <c r="A5972" s="102"/>
      <c r="E5972" s="103" t="str">
        <f aca="false">IF($C5972="","",IFERROR(INDEX(المنيو!$C$2:$C$500,MATCH($C5972,المنيو!$B$2:$B$500,0)),0))</f>
        <v/>
      </c>
      <c r="F5972" s="103" t="str">
        <f aca="false">IF($C5972="","",$D5972*$E5972)</f>
        <v/>
      </c>
      <c r="G5972" s="103" t="str">
        <f aca="false">IF($C5972="","",$D5972*IFERROR(INDEX('تحليل التكلفة والسعر'!$C$2:$C$700,MATCH($C5972,'تحليل التكلفة والسعر'!$B$2:$B$700,0)),0))</f>
        <v/>
      </c>
    </row>
    <row r="5973" customFormat="false" ht="15" hidden="false" customHeight="false" outlineLevel="0" collapsed="false">
      <c r="A5973" s="102"/>
      <c r="E5973" s="103" t="str">
        <f aca="false">IF($C5973="","",IFERROR(INDEX(المنيو!$C$2:$C$500,MATCH($C5973,المنيو!$B$2:$B$500,0)),0))</f>
        <v/>
      </c>
      <c r="F5973" s="103" t="str">
        <f aca="false">IF($C5973="","",$D5973*$E5973)</f>
        <v/>
      </c>
      <c r="G5973" s="103" t="str">
        <f aca="false">IF($C5973="","",$D5973*IFERROR(INDEX('تحليل التكلفة والسعر'!$C$2:$C$700,MATCH($C5973,'تحليل التكلفة والسعر'!$B$2:$B$700,0)),0))</f>
        <v/>
      </c>
    </row>
    <row r="5974" customFormat="false" ht="15" hidden="false" customHeight="false" outlineLevel="0" collapsed="false">
      <c r="A5974" s="102"/>
      <c r="E5974" s="103" t="str">
        <f aca="false">IF($C5974="","",IFERROR(INDEX(المنيو!$C$2:$C$500,MATCH($C5974,المنيو!$B$2:$B$500,0)),0))</f>
        <v/>
      </c>
      <c r="F5974" s="103" t="str">
        <f aca="false">IF($C5974="","",$D5974*$E5974)</f>
        <v/>
      </c>
      <c r="G5974" s="103" t="str">
        <f aca="false">IF($C5974="","",$D5974*IFERROR(INDEX('تحليل التكلفة والسعر'!$C$2:$C$700,MATCH($C5974,'تحليل التكلفة والسعر'!$B$2:$B$700,0)),0))</f>
        <v/>
      </c>
    </row>
    <row r="5975" customFormat="false" ht="15" hidden="false" customHeight="false" outlineLevel="0" collapsed="false">
      <c r="A5975" s="102"/>
      <c r="E5975" s="103" t="str">
        <f aca="false">IF($C5975="","",IFERROR(INDEX(المنيو!$C$2:$C$500,MATCH($C5975,المنيو!$B$2:$B$500,0)),0))</f>
        <v/>
      </c>
      <c r="F5975" s="103" t="str">
        <f aca="false">IF($C5975="","",$D5975*$E5975)</f>
        <v/>
      </c>
      <c r="G5975" s="103" t="str">
        <f aca="false">IF($C5975="","",$D5975*IFERROR(INDEX('تحليل التكلفة والسعر'!$C$2:$C$700,MATCH($C5975,'تحليل التكلفة والسعر'!$B$2:$B$700,0)),0))</f>
        <v/>
      </c>
    </row>
    <row r="5976" customFormat="false" ht="15" hidden="false" customHeight="false" outlineLevel="0" collapsed="false">
      <c r="A5976" s="102"/>
      <c r="E5976" s="103" t="str">
        <f aca="false">IF($C5976="","",IFERROR(INDEX(المنيو!$C$2:$C$500,MATCH($C5976,المنيو!$B$2:$B$500,0)),0))</f>
        <v/>
      </c>
      <c r="F5976" s="103" t="str">
        <f aca="false">IF($C5976="","",$D5976*$E5976)</f>
        <v/>
      </c>
      <c r="G5976" s="103" t="str">
        <f aca="false">IF($C5976="","",$D5976*IFERROR(INDEX('تحليل التكلفة والسعر'!$C$2:$C$700,MATCH($C5976,'تحليل التكلفة والسعر'!$B$2:$B$700,0)),0))</f>
        <v/>
      </c>
    </row>
    <row r="5977" customFormat="false" ht="15" hidden="false" customHeight="false" outlineLevel="0" collapsed="false">
      <c r="A5977" s="102"/>
      <c r="E5977" s="103" t="str">
        <f aca="false">IF($C5977="","",IFERROR(INDEX(المنيو!$C$2:$C$500,MATCH($C5977,المنيو!$B$2:$B$500,0)),0))</f>
        <v/>
      </c>
      <c r="F5977" s="103" t="str">
        <f aca="false">IF($C5977="","",$D5977*$E5977)</f>
        <v/>
      </c>
      <c r="G5977" s="103" t="str">
        <f aca="false">IF($C5977="","",$D5977*IFERROR(INDEX('تحليل التكلفة والسعر'!$C$2:$C$700,MATCH($C5977,'تحليل التكلفة والسعر'!$B$2:$B$700,0)),0))</f>
        <v/>
      </c>
    </row>
    <row r="5978" customFormat="false" ht="15" hidden="false" customHeight="false" outlineLevel="0" collapsed="false">
      <c r="A5978" s="102"/>
      <c r="E5978" s="103" t="str">
        <f aca="false">IF($C5978="","",IFERROR(INDEX(المنيو!$C$2:$C$500,MATCH($C5978,المنيو!$B$2:$B$500,0)),0))</f>
        <v/>
      </c>
      <c r="F5978" s="103" t="str">
        <f aca="false">IF($C5978="","",$D5978*$E5978)</f>
        <v/>
      </c>
      <c r="G5978" s="103" t="str">
        <f aca="false">IF($C5978="","",$D5978*IFERROR(INDEX('تحليل التكلفة والسعر'!$C$2:$C$700,MATCH($C5978,'تحليل التكلفة والسعر'!$B$2:$B$700,0)),0))</f>
        <v/>
      </c>
    </row>
    <row r="5979" customFormat="false" ht="15" hidden="false" customHeight="false" outlineLevel="0" collapsed="false">
      <c r="A5979" s="102"/>
      <c r="E5979" s="103" t="str">
        <f aca="false">IF($C5979="","",IFERROR(INDEX(المنيو!$C$2:$C$500,MATCH($C5979,المنيو!$B$2:$B$500,0)),0))</f>
        <v/>
      </c>
      <c r="F5979" s="103" t="str">
        <f aca="false">IF($C5979="","",$D5979*$E5979)</f>
        <v/>
      </c>
      <c r="G5979" s="103" t="str">
        <f aca="false">IF($C5979="","",$D5979*IFERROR(INDEX('تحليل التكلفة والسعر'!$C$2:$C$700,MATCH($C5979,'تحليل التكلفة والسعر'!$B$2:$B$700,0)),0))</f>
        <v/>
      </c>
    </row>
    <row r="5980" customFormat="false" ht="15" hidden="false" customHeight="false" outlineLevel="0" collapsed="false">
      <c r="A5980" s="102"/>
      <c r="E5980" s="103" t="str">
        <f aca="false">IF($C5980="","",IFERROR(INDEX(المنيو!$C$2:$C$500,MATCH($C5980,المنيو!$B$2:$B$500,0)),0))</f>
        <v/>
      </c>
      <c r="F5980" s="103" t="str">
        <f aca="false">IF($C5980="","",$D5980*$E5980)</f>
        <v/>
      </c>
      <c r="G5980" s="103" t="str">
        <f aca="false">IF($C5980="","",$D5980*IFERROR(INDEX('تحليل التكلفة والسعر'!$C$2:$C$700,MATCH($C5980,'تحليل التكلفة والسعر'!$B$2:$B$700,0)),0))</f>
        <v/>
      </c>
    </row>
    <row r="5981" customFormat="false" ht="15" hidden="false" customHeight="false" outlineLevel="0" collapsed="false">
      <c r="A5981" s="102"/>
      <c r="E5981" s="103" t="str">
        <f aca="false">IF($C5981="","",IFERROR(INDEX(المنيو!$C$2:$C$500,MATCH($C5981,المنيو!$B$2:$B$500,0)),0))</f>
        <v/>
      </c>
      <c r="F5981" s="103" t="str">
        <f aca="false">IF($C5981="","",$D5981*$E5981)</f>
        <v/>
      </c>
      <c r="G5981" s="103" t="str">
        <f aca="false">IF($C5981="","",$D5981*IFERROR(INDEX('تحليل التكلفة والسعر'!$C$2:$C$700,MATCH($C5981,'تحليل التكلفة والسعر'!$B$2:$B$700,0)),0))</f>
        <v/>
      </c>
    </row>
    <row r="5982" customFormat="false" ht="15" hidden="false" customHeight="false" outlineLevel="0" collapsed="false">
      <c r="A5982" s="102"/>
      <c r="E5982" s="103" t="str">
        <f aca="false">IF($C5982="","",IFERROR(INDEX(المنيو!$C$2:$C$500,MATCH($C5982,المنيو!$B$2:$B$500,0)),0))</f>
        <v/>
      </c>
      <c r="F5982" s="103" t="str">
        <f aca="false">IF($C5982="","",$D5982*$E5982)</f>
        <v/>
      </c>
      <c r="G5982" s="103" t="str">
        <f aca="false">IF($C5982="","",$D5982*IFERROR(INDEX('تحليل التكلفة والسعر'!$C$2:$C$700,MATCH($C5982,'تحليل التكلفة والسعر'!$B$2:$B$700,0)),0))</f>
        <v/>
      </c>
    </row>
    <row r="5983" customFormat="false" ht="15" hidden="false" customHeight="false" outlineLevel="0" collapsed="false">
      <c r="A5983" s="102"/>
      <c r="E5983" s="103" t="str">
        <f aca="false">IF($C5983="","",IFERROR(INDEX(المنيو!$C$2:$C$500,MATCH($C5983,المنيو!$B$2:$B$500,0)),0))</f>
        <v/>
      </c>
      <c r="F5983" s="103" t="str">
        <f aca="false">IF($C5983="","",$D5983*$E5983)</f>
        <v/>
      </c>
      <c r="G5983" s="103" t="str">
        <f aca="false">IF($C5983="","",$D5983*IFERROR(INDEX('تحليل التكلفة والسعر'!$C$2:$C$700,MATCH($C5983,'تحليل التكلفة والسعر'!$B$2:$B$700,0)),0))</f>
        <v/>
      </c>
    </row>
    <row r="5984" customFormat="false" ht="15" hidden="false" customHeight="false" outlineLevel="0" collapsed="false">
      <c r="A5984" s="102"/>
      <c r="E5984" s="103" t="str">
        <f aca="false">IF($C5984="","",IFERROR(INDEX(المنيو!$C$2:$C$500,MATCH($C5984,المنيو!$B$2:$B$500,0)),0))</f>
        <v/>
      </c>
      <c r="F5984" s="103" t="str">
        <f aca="false">IF($C5984="","",$D5984*$E5984)</f>
        <v/>
      </c>
      <c r="G5984" s="103" t="str">
        <f aca="false">IF($C5984="","",$D5984*IFERROR(INDEX('تحليل التكلفة والسعر'!$C$2:$C$700,MATCH($C5984,'تحليل التكلفة والسعر'!$B$2:$B$700,0)),0))</f>
        <v/>
      </c>
    </row>
    <row r="5985" customFormat="false" ht="15" hidden="false" customHeight="false" outlineLevel="0" collapsed="false">
      <c r="A5985" s="102"/>
      <c r="E5985" s="103" t="str">
        <f aca="false">IF($C5985="","",IFERROR(INDEX(المنيو!$C$2:$C$500,MATCH($C5985,المنيو!$B$2:$B$500,0)),0))</f>
        <v/>
      </c>
      <c r="F5985" s="103" t="str">
        <f aca="false">IF($C5985="","",$D5985*$E5985)</f>
        <v/>
      </c>
      <c r="G5985" s="103" t="str">
        <f aca="false">IF($C5985="","",$D5985*IFERROR(INDEX('تحليل التكلفة والسعر'!$C$2:$C$700,MATCH($C5985,'تحليل التكلفة والسعر'!$B$2:$B$700,0)),0))</f>
        <v/>
      </c>
    </row>
    <row r="5986" customFormat="false" ht="15" hidden="false" customHeight="false" outlineLevel="0" collapsed="false">
      <c r="A5986" s="102"/>
      <c r="E5986" s="103" t="str">
        <f aca="false">IF($C5986="","",IFERROR(INDEX(المنيو!$C$2:$C$500,MATCH($C5986,المنيو!$B$2:$B$500,0)),0))</f>
        <v/>
      </c>
      <c r="F5986" s="103" t="str">
        <f aca="false">IF($C5986="","",$D5986*$E5986)</f>
        <v/>
      </c>
      <c r="G5986" s="103" t="str">
        <f aca="false">IF($C5986="","",$D5986*IFERROR(INDEX('تحليل التكلفة والسعر'!$C$2:$C$700,MATCH($C5986,'تحليل التكلفة والسعر'!$B$2:$B$700,0)),0))</f>
        <v/>
      </c>
    </row>
    <row r="5987" customFormat="false" ht="15" hidden="false" customHeight="false" outlineLevel="0" collapsed="false">
      <c r="A5987" s="102"/>
      <c r="E5987" s="103" t="str">
        <f aca="false">IF($C5987="","",IFERROR(INDEX(المنيو!$C$2:$C$500,MATCH($C5987,المنيو!$B$2:$B$500,0)),0))</f>
        <v/>
      </c>
      <c r="F5987" s="103" t="str">
        <f aca="false">IF($C5987="","",$D5987*$E5987)</f>
        <v/>
      </c>
      <c r="G5987" s="103" t="str">
        <f aca="false">IF($C5987="","",$D5987*IFERROR(INDEX('تحليل التكلفة والسعر'!$C$2:$C$700,MATCH($C5987,'تحليل التكلفة والسعر'!$B$2:$B$700,0)),0))</f>
        <v/>
      </c>
    </row>
    <row r="5988" customFormat="false" ht="15" hidden="false" customHeight="false" outlineLevel="0" collapsed="false">
      <c r="A5988" s="102"/>
      <c r="E5988" s="103" t="str">
        <f aca="false">IF($C5988="","",IFERROR(INDEX(المنيو!$C$2:$C$500,MATCH($C5988,المنيو!$B$2:$B$500,0)),0))</f>
        <v/>
      </c>
      <c r="F5988" s="103" t="str">
        <f aca="false">IF($C5988="","",$D5988*$E5988)</f>
        <v/>
      </c>
      <c r="G5988" s="103" t="str">
        <f aca="false">IF($C5988="","",$D5988*IFERROR(INDEX('تحليل التكلفة والسعر'!$C$2:$C$700,MATCH($C5988,'تحليل التكلفة والسعر'!$B$2:$B$700,0)),0))</f>
        <v/>
      </c>
    </row>
    <row r="5989" customFormat="false" ht="15" hidden="false" customHeight="false" outlineLevel="0" collapsed="false">
      <c r="A5989" s="102"/>
      <c r="E5989" s="103" t="str">
        <f aca="false">IF($C5989="","",IFERROR(INDEX(المنيو!$C$2:$C$500,MATCH($C5989,المنيو!$B$2:$B$500,0)),0))</f>
        <v/>
      </c>
      <c r="F5989" s="103" t="str">
        <f aca="false">IF($C5989="","",$D5989*$E5989)</f>
        <v/>
      </c>
      <c r="G5989" s="103" t="str">
        <f aca="false">IF($C5989="","",$D5989*IFERROR(INDEX('تحليل التكلفة والسعر'!$C$2:$C$700,MATCH($C5989,'تحليل التكلفة والسعر'!$B$2:$B$700,0)),0))</f>
        <v/>
      </c>
    </row>
    <row r="5990" customFormat="false" ht="15" hidden="false" customHeight="false" outlineLevel="0" collapsed="false">
      <c r="A5990" s="102"/>
      <c r="E5990" s="103" t="str">
        <f aca="false">IF($C5990="","",IFERROR(INDEX(المنيو!$C$2:$C$500,MATCH($C5990,المنيو!$B$2:$B$500,0)),0))</f>
        <v/>
      </c>
      <c r="F5990" s="103" t="str">
        <f aca="false">IF($C5990="","",$D5990*$E5990)</f>
        <v/>
      </c>
      <c r="G5990" s="103" t="str">
        <f aca="false">IF($C5990="","",$D5990*IFERROR(INDEX('تحليل التكلفة والسعر'!$C$2:$C$700,MATCH($C5990,'تحليل التكلفة والسعر'!$B$2:$B$700,0)),0))</f>
        <v/>
      </c>
    </row>
    <row r="5991" customFormat="false" ht="15" hidden="false" customHeight="false" outlineLevel="0" collapsed="false">
      <c r="A5991" s="102"/>
      <c r="E5991" s="103" t="str">
        <f aca="false">IF($C5991="","",IFERROR(INDEX(المنيو!$C$2:$C$500,MATCH($C5991,المنيو!$B$2:$B$500,0)),0))</f>
        <v/>
      </c>
      <c r="F5991" s="103" t="str">
        <f aca="false">IF($C5991="","",$D5991*$E5991)</f>
        <v/>
      </c>
      <c r="G5991" s="103" t="str">
        <f aca="false">IF($C5991="","",$D5991*IFERROR(INDEX('تحليل التكلفة والسعر'!$C$2:$C$700,MATCH($C5991,'تحليل التكلفة والسعر'!$B$2:$B$700,0)),0))</f>
        <v/>
      </c>
    </row>
    <row r="5992" customFormat="false" ht="15" hidden="false" customHeight="false" outlineLevel="0" collapsed="false">
      <c r="A5992" s="102"/>
      <c r="E5992" s="103" t="str">
        <f aca="false">IF($C5992="","",IFERROR(INDEX(المنيو!$C$2:$C$500,MATCH($C5992,المنيو!$B$2:$B$500,0)),0))</f>
        <v/>
      </c>
      <c r="F5992" s="103" t="str">
        <f aca="false">IF($C5992="","",$D5992*$E5992)</f>
        <v/>
      </c>
      <c r="G5992" s="103" t="str">
        <f aca="false">IF($C5992="","",$D5992*IFERROR(INDEX('تحليل التكلفة والسعر'!$C$2:$C$700,MATCH($C5992,'تحليل التكلفة والسعر'!$B$2:$B$700,0)),0))</f>
        <v/>
      </c>
    </row>
    <row r="5993" customFormat="false" ht="15" hidden="false" customHeight="false" outlineLevel="0" collapsed="false">
      <c r="A5993" s="102"/>
      <c r="E5993" s="103" t="str">
        <f aca="false">IF($C5993="","",IFERROR(INDEX(المنيو!$C$2:$C$500,MATCH($C5993,المنيو!$B$2:$B$500,0)),0))</f>
        <v/>
      </c>
      <c r="F5993" s="103" t="str">
        <f aca="false">IF($C5993="","",$D5993*$E5993)</f>
        <v/>
      </c>
      <c r="G5993" s="103" t="str">
        <f aca="false">IF($C5993="","",$D5993*IFERROR(INDEX('تحليل التكلفة والسعر'!$C$2:$C$700,MATCH($C5993,'تحليل التكلفة والسعر'!$B$2:$B$700,0)),0))</f>
        <v/>
      </c>
    </row>
    <row r="5994" customFormat="false" ht="15" hidden="false" customHeight="false" outlineLevel="0" collapsed="false">
      <c r="A5994" s="102"/>
      <c r="E5994" s="103" t="str">
        <f aca="false">IF($C5994="","",IFERROR(INDEX(المنيو!$C$2:$C$500,MATCH($C5994,المنيو!$B$2:$B$500,0)),0))</f>
        <v/>
      </c>
      <c r="F5994" s="103" t="str">
        <f aca="false">IF($C5994="","",$D5994*$E5994)</f>
        <v/>
      </c>
      <c r="G5994" s="103" t="str">
        <f aca="false">IF($C5994="","",$D5994*IFERROR(INDEX('تحليل التكلفة والسعر'!$C$2:$C$700,MATCH($C5994,'تحليل التكلفة والسعر'!$B$2:$B$700,0)),0))</f>
        <v/>
      </c>
    </row>
    <row r="5995" customFormat="false" ht="15" hidden="false" customHeight="false" outlineLevel="0" collapsed="false">
      <c r="A5995" s="102"/>
      <c r="E5995" s="103" t="str">
        <f aca="false">IF($C5995="","",IFERROR(INDEX(المنيو!$C$2:$C$500,MATCH($C5995,المنيو!$B$2:$B$500,0)),0))</f>
        <v/>
      </c>
      <c r="F5995" s="103" t="str">
        <f aca="false">IF($C5995="","",$D5995*$E5995)</f>
        <v/>
      </c>
      <c r="G5995" s="103" t="str">
        <f aca="false">IF($C5995="","",$D5995*IFERROR(INDEX('تحليل التكلفة والسعر'!$C$2:$C$700,MATCH($C5995,'تحليل التكلفة والسعر'!$B$2:$B$700,0)),0))</f>
        <v/>
      </c>
    </row>
    <row r="5996" customFormat="false" ht="15" hidden="false" customHeight="false" outlineLevel="0" collapsed="false">
      <c r="A5996" s="102"/>
      <c r="E5996" s="103" t="str">
        <f aca="false">IF($C5996="","",IFERROR(INDEX(المنيو!$C$2:$C$500,MATCH($C5996,المنيو!$B$2:$B$500,0)),0))</f>
        <v/>
      </c>
      <c r="F5996" s="103" t="str">
        <f aca="false">IF($C5996="","",$D5996*$E5996)</f>
        <v/>
      </c>
      <c r="G5996" s="103" t="str">
        <f aca="false">IF($C5996="","",$D5996*IFERROR(INDEX('تحليل التكلفة والسعر'!$C$2:$C$700,MATCH($C5996,'تحليل التكلفة والسعر'!$B$2:$B$700,0)),0))</f>
        <v/>
      </c>
    </row>
    <row r="5997" customFormat="false" ht="15" hidden="false" customHeight="false" outlineLevel="0" collapsed="false">
      <c r="A5997" s="102"/>
      <c r="E5997" s="103" t="str">
        <f aca="false">IF($C5997="","",IFERROR(INDEX(المنيو!$C$2:$C$500,MATCH($C5997,المنيو!$B$2:$B$500,0)),0))</f>
        <v/>
      </c>
      <c r="F5997" s="103" t="str">
        <f aca="false">IF($C5997="","",$D5997*$E5997)</f>
        <v/>
      </c>
      <c r="G5997" s="103" t="str">
        <f aca="false">IF($C5997="","",$D5997*IFERROR(INDEX('تحليل التكلفة والسعر'!$C$2:$C$700,MATCH($C5997,'تحليل التكلفة والسعر'!$B$2:$B$700,0)),0))</f>
        <v/>
      </c>
    </row>
    <row r="5998" customFormat="false" ht="15" hidden="false" customHeight="false" outlineLevel="0" collapsed="false">
      <c r="A5998" s="102"/>
      <c r="E5998" s="103" t="str">
        <f aca="false">IF($C5998="","",IFERROR(INDEX(المنيو!$C$2:$C$500,MATCH($C5998,المنيو!$B$2:$B$500,0)),0))</f>
        <v/>
      </c>
      <c r="F5998" s="103" t="str">
        <f aca="false">IF($C5998="","",$D5998*$E5998)</f>
        <v/>
      </c>
      <c r="G5998" s="103" t="str">
        <f aca="false">IF($C5998="","",$D5998*IFERROR(INDEX('تحليل التكلفة والسعر'!$C$2:$C$700,MATCH($C5998,'تحليل التكلفة والسعر'!$B$2:$B$700,0)),0))</f>
        <v/>
      </c>
    </row>
    <row r="5999" customFormat="false" ht="15" hidden="false" customHeight="false" outlineLevel="0" collapsed="false">
      <c r="A5999" s="102"/>
      <c r="E5999" s="103" t="str">
        <f aca="false">IF($C5999="","",IFERROR(INDEX(المنيو!$C$2:$C$500,MATCH($C5999,المنيو!$B$2:$B$500,0)),0))</f>
        <v/>
      </c>
      <c r="F5999" s="103" t="str">
        <f aca="false">IF($C5999="","",$D5999*$E5999)</f>
        <v/>
      </c>
      <c r="G5999" s="103" t="str">
        <f aca="false">IF($C5999="","",$D5999*IFERROR(INDEX('تحليل التكلفة والسعر'!$C$2:$C$700,MATCH($C5999,'تحليل التكلفة والسعر'!$B$2:$B$700,0)),0))</f>
        <v/>
      </c>
    </row>
    <row r="6000" customFormat="false" ht="15" hidden="false" customHeight="false" outlineLevel="0" collapsed="false">
      <c r="A6000" s="102"/>
      <c r="E6000" s="103" t="str">
        <f aca="false">IF($C6000="","",IFERROR(INDEX(المنيو!$C$2:$C$500,MATCH($C6000,المنيو!$B$2:$B$500,0)),0))</f>
        <v/>
      </c>
      <c r="F6000" s="103" t="str">
        <f aca="false">IF($C6000="","",$D6000*$E6000)</f>
        <v/>
      </c>
      <c r="G6000" s="103" t="str">
        <f aca="false">IF($C6000="","",$D6000*IFERROR(INDEX('تحليل التكلفة والسعر'!$C$2:$C$700,MATCH($C6000,'تحليل التكلفة والسعر'!$B$2:$B$700,0)),0))</f>
        <v/>
      </c>
    </row>
    <row r="6001" customFormat="false" ht="15" hidden="false" customHeight="false" outlineLevel="0" collapsed="false">
      <c r="A6001" s="102"/>
      <c r="E6001" s="103" t="str">
        <f aca="false">IF($C6001="","",IFERROR(INDEX(المنيو!$C$2:$C$500,MATCH($C6001,المنيو!$B$2:$B$500,0)),0))</f>
        <v/>
      </c>
      <c r="F6001" s="103" t="str">
        <f aca="false">IF($C6001="","",$D6001*$E6001)</f>
        <v/>
      </c>
      <c r="G6001" s="103" t="str">
        <f aca="false">IF($C6001="","",$D6001*IFERROR(INDEX('تحليل التكلفة والسعر'!$C$2:$C$700,MATCH($C6001,'تحليل التكلفة والسعر'!$B$2:$B$700,0)),0))</f>
        <v/>
      </c>
    </row>
    <row r="6002" customFormat="false" ht="15" hidden="false" customHeight="false" outlineLevel="0" collapsed="false">
      <c r="A6002" s="102"/>
      <c r="E6002" s="103" t="str">
        <f aca="false">IF($C6002="","",IFERROR(INDEX(المنيو!$C$2:$C$500,MATCH($C6002,المنيو!$B$2:$B$500,0)),0))</f>
        <v/>
      </c>
      <c r="F6002" s="103" t="str">
        <f aca="false">IF($C6002="","",$D6002*$E6002)</f>
        <v/>
      </c>
      <c r="G6002" s="103" t="str">
        <f aca="false">IF($C6002="","",$D6002*IFERROR(INDEX('تحليل التكلفة والسعر'!$C$2:$C$700,MATCH($C6002,'تحليل التكلفة والسعر'!$B$2:$B$700,0)),0))</f>
        <v/>
      </c>
    </row>
    <row r="6003" customFormat="false" ht="15" hidden="false" customHeight="false" outlineLevel="0" collapsed="false">
      <c r="A6003" s="102"/>
      <c r="E6003" s="103" t="str">
        <f aca="false">IF($C6003="","",IFERROR(INDEX(المنيو!$C$2:$C$500,MATCH($C6003,المنيو!$B$2:$B$500,0)),0))</f>
        <v/>
      </c>
      <c r="F6003" s="103" t="str">
        <f aca="false">IF($C6003="","",$D6003*$E6003)</f>
        <v/>
      </c>
      <c r="G6003" s="103" t="str">
        <f aca="false">IF($C6003="","",$D6003*IFERROR(INDEX('تحليل التكلفة والسعر'!$C$2:$C$700,MATCH($C6003,'تحليل التكلفة والسعر'!$B$2:$B$700,0)),0))</f>
        <v/>
      </c>
    </row>
    <row r="6004" customFormat="false" ht="15" hidden="false" customHeight="false" outlineLevel="0" collapsed="false">
      <c r="A6004" s="102"/>
      <c r="E6004" s="103" t="str">
        <f aca="false">IF($C6004="","",IFERROR(INDEX(المنيو!$C$2:$C$500,MATCH($C6004,المنيو!$B$2:$B$500,0)),0))</f>
        <v/>
      </c>
      <c r="F6004" s="103" t="str">
        <f aca="false">IF($C6004="","",$D6004*$E6004)</f>
        <v/>
      </c>
      <c r="G6004" s="103" t="str">
        <f aca="false">IF($C6004="","",$D6004*IFERROR(INDEX('تحليل التكلفة والسعر'!$C$2:$C$700,MATCH($C6004,'تحليل التكلفة والسعر'!$B$2:$B$700,0)),0))</f>
        <v/>
      </c>
    </row>
    <row r="6005" customFormat="false" ht="15" hidden="false" customHeight="false" outlineLevel="0" collapsed="false">
      <c r="A6005" s="102"/>
      <c r="E6005" s="103" t="str">
        <f aca="false">IF($C6005="","",IFERROR(INDEX(المنيو!$C$2:$C$500,MATCH($C6005,المنيو!$B$2:$B$500,0)),0))</f>
        <v/>
      </c>
      <c r="F6005" s="103" t="str">
        <f aca="false">IF($C6005="","",$D6005*$E6005)</f>
        <v/>
      </c>
      <c r="G6005" s="103" t="str">
        <f aca="false">IF($C6005="","",$D6005*IFERROR(INDEX('تحليل التكلفة والسعر'!$C$2:$C$700,MATCH($C6005,'تحليل التكلفة والسعر'!$B$2:$B$700,0)),0))</f>
        <v/>
      </c>
    </row>
    <row r="6006" customFormat="false" ht="15" hidden="false" customHeight="false" outlineLevel="0" collapsed="false">
      <c r="A6006" s="102"/>
      <c r="E6006" s="103" t="str">
        <f aca="false">IF($C6006="","",IFERROR(INDEX(المنيو!$C$2:$C$500,MATCH($C6006,المنيو!$B$2:$B$500,0)),0))</f>
        <v/>
      </c>
      <c r="F6006" s="103" t="str">
        <f aca="false">IF($C6006="","",$D6006*$E6006)</f>
        <v/>
      </c>
      <c r="G6006" s="103" t="str">
        <f aca="false">IF($C6006="","",$D6006*IFERROR(INDEX('تحليل التكلفة والسعر'!$C$2:$C$700,MATCH($C6006,'تحليل التكلفة والسعر'!$B$2:$B$700,0)),0))</f>
        <v/>
      </c>
    </row>
    <row r="6007" customFormat="false" ht="15" hidden="false" customHeight="false" outlineLevel="0" collapsed="false">
      <c r="A6007" s="102"/>
      <c r="E6007" s="103" t="str">
        <f aca="false">IF($C6007="","",IFERROR(INDEX(المنيو!$C$2:$C$500,MATCH($C6007,المنيو!$B$2:$B$500,0)),0))</f>
        <v/>
      </c>
      <c r="F6007" s="103" t="str">
        <f aca="false">IF($C6007="","",$D6007*$E6007)</f>
        <v/>
      </c>
      <c r="G6007" s="103" t="str">
        <f aca="false">IF($C6007="","",$D6007*IFERROR(INDEX('تحليل التكلفة والسعر'!$C$2:$C$700,MATCH($C6007,'تحليل التكلفة والسعر'!$B$2:$B$700,0)),0))</f>
        <v/>
      </c>
    </row>
    <row r="6008" customFormat="false" ht="15" hidden="false" customHeight="false" outlineLevel="0" collapsed="false">
      <c r="A6008" s="102"/>
      <c r="E6008" s="103" t="str">
        <f aca="false">IF($C6008="","",IFERROR(INDEX(المنيو!$C$2:$C$500,MATCH($C6008,المنيو!$B$2:$B$500,0)),0))</f>
        <v/>
      </c>
      <c r="F6008" s="103" t="str">
        <f aca="false">IF($C6008="","",$D6008*$E6008)</f>
        <v/>
      </c>
      <c r="G6008" s="103" t="str">
        <f aca="false">IF($C6008="","",$D6008*IFERROR(INDEX('تحليل التكلفة والسعر'!$C$2:$C$700,MATCH($C6008,'تحليل التكلفة والسعر'!$B$2:$B$700,0)),0))</f>
        <v/>
      </c>
    </row>
    <row r="6009" customFormat="false" ht="15" hidden="false" customHeight="false" outlineLevel="0" collapsed="false">
      <c r="A6009" s="102"/>
      <c r="E6009" s="103" t="str">
        <f aca="false">IF($C6009="","",IFERROR(INDEX(المنيو!$C$2:$C$500,MATCH($C6009,المنيو!$B$2:$B$500,0)),0))</f>
        <v/>
      </c>
      <c r="F6009" s="103" t="str">
        <f aca="false">IF($C6009="","",$D6009*$E6009)</f>
        <v/>
      </c>
      <c r="G6009" s="103" t="str">
        <f aca="false">IF($C6009="","",$D6009*IFERROR(INDEX('تحليل التكلفة والسعر'!$C$2:$C$700,MATCH($C6009,'تحليل التكلفة والسعر'!$B$2:$B$700,0)),0))</f>
        <v/>
      </c>
    </row>
    <row r="6010" customFormat="false" ht="15" hidden="false" customHeight="false" outlineLevel="0" collapsed="false">
      <c r="A6010" s="102"/>
      <c r="E6010" s="103" t="str">
        <f aca="false">IF($C6010="","",IFERROR(INDEX(المنيو!$C$2:$C$500,MATCH($C6010,المنيو!$B$2:$B$500,0)),0))</f>
        <v/>
      </c>
      <c r="F6010" s="103" t="str">
        <f aca="false">IF($C6010="","",$D6010*$E6010)</f>
        <v/>
      </c>
      <c r="G6010" s="103" t="str">
        <f aca="false">IF($C6010="","",$D6010*IFERROR(INDEX('تحليل التكلفة والسعر'!$C$2:$C$700,MATCH($C6010,'تحليل التكلفة والسعر'!$B$2:$B$700,0)),0))</f>
        <v/>
      </c>
    </row>
    <row r="6011" customFormat="false" ht="15" hidden="false" customHeight="false" outlineLevel="0" collapsed="false">
      <c r="A6011" s="102"/>
      <c r="E6011" s="103" t="str">
        <f aca="false">IF($C6011="","",IFERROR(INDEX(المنيو!$C$2:$C$500,MATCH($C6011,المنيو!$B$2:$B$500,0)),0))</f>
        <v/>
      </c>
      <c r="F6011" s="103" t="str">
        <f aca="false">IF($C6011="","",$D6011*$E6011)</f>
        <v/>
      </c>
      <c r="G6011" s="103" t="str">
        <f aca="false">IF($C6011="","",$D6011*IFERROR(INDEX('تحليل التكلفة والسعر'!$C$2:$C$700,MATCH($C6011,'تحليل التكلفة والسعر'!$B$2:$B$700,0)),0))</f>
        <v/>
      </c>
    </row>
    <row r="6012" customFormat="false" ht="15" hidden="false" customHeight="false" outlineLevel="0" collapsed="false">
      <c r="A6012" s="102"/>
      <c r="E6012" s="103" t="str">
        <f aca="false">IF($C6012="","",IFERROR(INDEX(المنيو!$C$2:$C$500,MATCH($C6012,المنيو!$B$2:$B$500,0)),0))</f>
        <v/>
      </c>
      <c r="F6012" s="103" t="str">
        <f aca="false">IF($C6012="","",$D6012*$E6012)</f>
        <v/>
      </c>
      <c r="G6012" s="103" t="str">
        <f aca="false">IF($C6012="","",$D6012*IFERROR(INDEX('تحليل التكلفة والسعر'!$C$2:$C$700,MATCH($C6012,'تحليل التكلفة والسعر'!$B$2:$B$700,0)),0))</f>
        <v/>
      </c>
    </row>
    <row r="6013" customFormat="false" ht="15" hidden="false" customHeight="false" outlineLevel="0" collapsed="false">
      <c r="A6013" s="102"/>
      <c r="E6013" s="103" t="str">
        <f aca="false">IF($C6013="","",IFERROR(INDEX(المنيو!$C$2:$C$500,MATCH($C6013,المنيو!$B$2:$B$500,0)),0))</f>
        <v/>
      </c>
      <c r="F6013" s="103" t="str">
        <f aca="false">IF($C6013="","",$D6013*$E6013)</f>
        <v/>
      </c>
      <c r="G6013" s="103" t="str">
        <f aca="false">IF($C6013="","",$D6013*IFERROR(INDEX('تحليل التكلفة والسعر'!$C$2:$C$700,MATCH($C6013,'تحليل التكلفة والسعر'!$B$2:$B$700,0)),0))</f>
        <v/>
      </c>
    </row>
    <row r="6014" customFormat="false" ht="15" hidden="false" customHeight="false" outlineLevel="0" collapsed="false">
      <c r="A6014" s="102"/>
      <c r="E6014" s="103" t="str">
        <f aca="false">IF($C6014="","",IFERROR(INDEX(المنيو!$C$2:$C$500,MATCH($C6014,المنيو!$B$2:$B$500,0)),0))</f>
        <v/>
      </c>
      <c r="F6014" s="103" t="str">
        <f aca="false">IF($C6014="","",$D6014*$E6014)</f>
        <v/>
      </c>
      <c r="G6014" s="103" t="str">
        <f aca="false">IF($C6014="","",$D6014*IFERROR(INDEX('تحليل التكلفة والسعر'!$C$2:$C$700,MATCH($C6014,'تحليل التكلفة والسعر'!$B$2:$B$700,0)),0))</f>
        <v/>
      </c>
    </row>
    <row r="6015" customFormat="false" ht="15" hidden="false" customHeight="false" outlineLevel="0" collapsed="false">
      <c r="A6015" s="102"/>
      <c r="E6015" s="103" t="str">
        <f aca="false">IF($C6015="","",IFERROR(INDEX(المنيو!$C$2:$C$500,MATCH($C6015,المنيو!$B$2:$B$500,0)),0))</f>
        <v/>
      </c>
      <c r="F6015" s="103" t="str">
        <f aca="false">IF($C6015="","",$D6015*$E6015)</f>
        <v/>
      </c>
      <c r="G6015" s="103" t="str">
        <f aca="false">IF($C6015="","",$D6015*IFERROR(INDEX('تحليل التكلفة والسعر'!$C$2:$C$700,MATCH($C6015,'تحليل التكلفة والسعر'!$B$2:$B$700,0)),0))</f>
        <v/>
      </c>
    </row>
    <row r="6016" customFormat="false" ht="15" hidden="false" customHeight="false" outlineLevel="0" collapsed="false">
      <c r="A6016" s="102"/>
      <c r="E6016" s="103" t="str">
        <f aca="false">IF($C6016="","",IFERROR(INDEX(المنيو!$C$2:$C$500,MATCH($C6016,المنيو!$B$2:$B$500,0)),0))</f>
        <v/>
      </c>
      <c r="F6016" s="103" t="str">
        <f aca="false">IF($C6016="","",$D6016*$E6016)</f>
        <v/>
      </c>
      <c r="G6016" s="103" t="str">
        <f aca="false">IF($C6016="","",$D6016*IFERROR(INDEX('تحليل التكلفة والسعر'!$C$2:$C$700,MATCH($C6016,'تحليل التكلفة والسعر'!$B$2:$B$700,0)),0))</f>
        <v/>
      </c>
    </row>
    <row r="6017" customFormat="false" ht="15" hidden="false" customHeight="false" outlineLevel="0" collapsed="false">
      <c r="A6017" s="102"/>
      <c r="E6017" s="103" t="str">
        <f aca="false">IF($C6017="","",IFERROR(INDEX(المنيو!$C$2:$C$500,MATCH($C6017,المنيو!$B$2:$B$500,0)),0))</f>
        <v/>
      </c>
      <c r="F6017" s="103" t="str">
        <f aca="false">IF($C6017="","",$D6017*$E6017)</f>
        <v/>
      </c>
      <c r="G6017" s="103" t="str">
        <f aca="false">IF($C6017="","",$D6017*IFERROR(INDEX('تحليل التكلفة والسعر'!$C$2:$C$700,MATCH($C6017,'تحليل التكلفة والسعر'!$B$2:$B$700,0)),0))</f>
        <v/>
      </c>
    </row>
    <row r="6018" customFormat="false" ht="15" hidden="false" customHeight="false" outlineLevel="0" collapsed="false">
      <c r="A6018" s="102"/>
      <c r="E6018" s="103" t="str">
        <f aca="false">IF($C6018="","",IFERROR(INDEX(المنيو!$C$2:$C$500,MATCH($C6018,المنيو!$B$2:$B$500,0)),0))</f>
        <v/>
      </c>
      <c r="F6018" s="103" t="str">
        <f aca="false">IF($C6018="","",$D6018*$E6018)</f>
        <v/>
      </c>
      <c r="G6018" s="103" t="str">
        <f aca="false">IF($C6018="","",$D6018*IFERROR(INDEX('تحليل التكلفة والسعر'!$C$2:$C$700,MATCH($C6018,'تحليل التكلفة والسعر'!$B$2:$B$700,0)),0))</f>
        <v/>
      </c>
    </row>
    <row r="6019" customFormat="false" ht="15" hidden="false" customHeight="false" outlineLevel="0" collapsed="false">
      <c r="A6019" s="102"/>
      <c r="E6019" s="103" t="str">
        <f aca="false">IF($C6019="","",IFERROR(INDEX(المنيو!$C$2:$C$500,MATCH($C6019,المنيو!$B$2:$B$500,0)),0))</f>
        <v/>
      </c>
      <c r="F6019" s="103" t="str">
        <f aca="false">IF($C6019="","",$D6019*$E6019)</f>
        <v/>
      </c>
      <c r="G6019" s="103" t="str">
        <f aca="false">IF($C6019="","",$D6019*IFERROR(INDEX('تحليل التكلفة والسعر'!$C$2:$C$700,MATCH($C6019,'تحليل التكلفة والسعر'!$B$2:$B$700,0)),0))</f>
        <v/>
      </c>
    </row>
    <row r="6020" customFormat="false" ht="15" hidden="false" customHeight="false" outlineLevel="0" collapsed="false">
      <c r="A6020" s="102"/>
      <c r="E6020" s="103" t="str">
        <f aca="false">IF($C6020="","",IFERROR(INDEX(المنيو!$C$2:$C$500,MATCH($C6020,المنيو!$B$2:$B$500,0)),0))</f>
        <v/>
      </c>
      <c r="F6020" s="103" t="str">
        <f aca="false">IF($C6020="","",$D6020*$E6020)</f>
        <v/>
      </c>
      <c r="G6020" s="103" t="str">
        <f aca="false">IF($C6020="","",$D6020*IFERROR(INDEX('تحليل التكلفة والسعر'!$C$2:$C$700,MATCH($C6020,'تحليل التكلفة والسعر'!$B$2:$B$700,0)),0))</f>
        <v/>
      </c>
    </row>
    <row r="6021" customFormat="false" ht="15" hidden="false" customHeight="false" outlineLevel="0" collapsed="false">
      <c r="A6021" s="102"/>
      <c r="E6021" s="103" t="str">
        <f aca="false">IF($C6021="","",IFERROR(INDEX(المنيو!$C$2:$C$500,MATCH($C6021,المنيو!$B$2:$B$500,0)),0))</f>
        <v/>
      </c>
      <c r="F6021" s="103" t="str">
        <f aca="false">IF($C6021="","",$D6021*$E6021)</f>
        <v/>
      </c>
      <c r="G6021" s="103" t="str">
        <f aca="false">IF($C6021="","",$D6021*IFERROR(INDEX('تحليل التكلفة والسعر'!$C$2:$C$700,MATCH($C6021,'تحليل التكلفة والسعر'!$B$2:$B$700,0)),0))</f>
        <v/>
      </c>
    </row>
    <row r="6022" customFormat="false" ht="15" hidden="false" customHeight="false" outlineLevel="0" collapsed="false">
      <c r="A6022" s="102"/>
      <c r="E6022" s="103" t="str">
        <f aca="false">IF($C6022="","",IFERROR(INDEX(المنيو!$C$2:$C$500,MATCH($C6022,المنيو!$B$2:$B$500,0)),0))</f>
        <v/>
      </c>
      <c r="F6022" s="103" t="str">
        <f aca="false">IF($C6022="","",$D6022*$E6022)</f>
        <v/>
      </c>
      <c r="G6022" s="103" t="str">
        <f aca="false">IF($C6022="","",$D6022*IFERROR(INDEX('تحليل التكلفة والسعر'!$C$2:$C$700,MATCH($C6022,'تحليل التكلفة والسعر'!$B$2:$B$700,0)),0))</f>
        <v/>
      </c>
    </row>
    <row r="6023" customFormat="false" ht="15" hidden="false" customHeight="false" outlineLevel="0" collapsed="false">
      <c r="A6023" s="102"/>
      <c r="E6023" s="103" t="str">
        <f aca="false">IF($C6023="","",IFERROR(INDEX(المنيو!$C$2:$C$500,MATCH($C6023,المنيو!$B$2:$B$500,0)),0))</f>
        <v/>
      </c>
      <c r="F6023" s="103" t="str">
        <f aca="false">IF($C6023="","",$D6023*$E6023)</f>
        <v/>
      </c>
      <c r="G6023" s="103" t="str">
        <f aca="false">IF($C6023="","",$D6023*IFERROR(INDEX('تحليل التكلفة والسعر'!$C$2:$C$700,MATCH($C6023,'تحليل التكلفة والسعر'!$B$2:$B$700,0)),0))</f>
        <v/>
      </c>
    </row>
    <row r="6024" customFormat="false" ht="15" hidden="false" customHeight="false" outlineLevel="0" collapsed="false">
      <c r="A6024" s="102"/>
      <c r="E6024" s="103" t="str">
        <f aca="false">IF($C6024="","",IFERROR(INDEX(المنيو!$C$2:$C$500,MATCH($C6024,المنيو!$B$2:$B$500,0)),0))</f>
        <v/>
      </c>
      <c r="F6024" s="103" t="str">
        <f aca="false">IF($C6024="","",$D6024*$E6024)</f>
        <v/>
      </c>
      <c r="G6024" s="103" t="str">
        <f aca="false">IF($C6024="","",$D6024*IFERROR(INDEX('تحليل التكلفة والسعر'!$C$2:$C$700,MATCH($C6024,'تحليل التكلفة والسعر'!$B$2:$B$700,0)),0))</f>
        <v/>
      </c>
    </row>
    <row r="6025" customFormat="false" ht="15" hidden="false" customHeight="false" outlineLevel="0" collapsed="false">
      <c r="A6025" s="102"/>
      <c r="E6025" s="103" t="str">
        <f aca="false">IF($C6025="","",IFERROR(INDEX(المنيو!$C$2:$C$500,MATCH($C6025,المنيو!$B$2:$B$500,0)),0))</f>
        <v/>
      </c>
      <c r="F6025" s="103" t="str">
        <f aca="false">IF($C6025="","",$D6025*$E6025)</f>
        <v/>
      </c>
      <c r="G6025" s="103" t="str">
        <f aca="false">IF($C6025="","",$D6025*IFERROR(INDEX('تحليل التكلفة والسعر'!$C$2:$C$700,MATCH($C6025,'تحليل التكلفة والسعر'!$B$2:$B$700,0)),0))</f>
        <v/>
      </c>
    </row>
    <row r="6026" customFormat="false" ht="15" hidden="false" customHeight="false" outlineLevel="0" collapsed="false">
      <c r="A6026" s="102"/>
      <c r="E6026" s="103" t="str">
        <f aca="false">IF($C6026="","",IFERROR(INDEX(المنيو!$C$2:$C$500,MATCH($C6026,المنيو!$B$2:$B$500,0)),0))</f>
        <v/>
      </c>
      <c r="F6026" s="103" t="str">
        <f aca="false">IF($C6026="","",$D6026*$E6026)</f>
        <v/>
      </c>
      <c r="G6026" s="103" t="str">
        <f aca="false">IF($C6026="","",$D6026*IFERROR(INDEX('تحليل التكلفة والسعر'!$C$2:$C$700,MATCH($C6026,'تحليل التكلفة والسعر'!$B$2:$B$700,0)),0))</f>
        <v/>
      </c>
    </row>
    <row r="6027" customFormat="false" ht="15" hidden="false" customHeight="false" outlineLevel="0" collapsed="false">
      <c r="A6027" s="102"/>
      <c r="E6027" s="103" t="str">
        <f aca="false">IF($C6027="","",IFERROR(INDEX(المنيو!$C$2:$C$500,MATCH($C6027,المنيو!$B$2:$B$500,0)),0))</f>
        <v/>
      </c>
      <c r="F6027" s="103" t="str">
        <f aca="false">IF($C6027="","",$D6027*$E6027)</f>
        <v/>
      </c>
      <c r="G6027" s="103" t="str">
        <f aca="false">IF($C6027="","",$D6027*IFERROR(INDEX('تحليل التكلفة والسعر'!$C$2:$C$700,MATCH($C6027,'تحليل التكلفة والسعر'!$B$2:$B$700,0)),0))</f>
        <v/>
      </c>
    </row>
    <row r="6028" customFormat="false" ht="15" hidden="false" customHeight="false" outlineLevel="0" collapsed="false">
      <c r="A6028" s="102"/>
      <c r="E6028" s="103" t="str">
        <f aca="false">IF($C6028="","",IFERROR(INDEX(المنيو!$C$2:$C$500,MATCH($C6028,المنيو!$B$2:$B$500,0)),0))</f>
        <v/>
      </c>
      <c r="F6028" s="103" t="str">
        <f aca="false">IF($C6028="","",$D6028*$E6028)</f>
        <v/>
      </c>
      <c r="G6028" s="103" t="str">
        <f aca="false">IF($C6028="","",$D6028*IFERROR(INDEX('تحليل التكلفة والسعر'!$C$2:$C$700,MATCH($C6028,'تحليل التكلفة والسعر'!$B$2:$B$700,0)),0))</f>
        <v/>
      </c>
    </row>
    <row r="6029" customFormat="false" ht="15" hidden="false" customHeight="false" outlineLevel="0" collapsed="false">
      <c r="A6029" s="102"/>
      <c r="E6029" s="103" t="str">
        <f aca="false">IF($C6029="","",IFERROR(INDEX(المنيو!$C$2:$C$500,MATCH($C6029,المنيو!$B$2:$B$500,0)),0))</f>
        <v/>
      </c>
      <c r="F6029" s="103" t="str">
        <f aca="false">IF($C6029="","",$D6029*$E6029)</f>
        <v/>
      </c>
      <c r="G6029" s="103" t="str">
        <f aca="false">IF($C6029="","",$D6029*IFERROR(INDEX('تحليل التكلفة والسعر'!$C$2:$C$700,MATCH($C6029,'تحليل التكلفة والسعر'!$B$2:$B$700,0)),0))</f>
        <v/>
      </c>
    </row>
    <row r="6030" customFormat="false" ht="15" hidden="false" customHeight="false" outlineLevel="0" collapsed="false">
      <c r="A6030" s="102"/>
      <c r="E6030" s="103" t="str">
        <f aca="false">IF($C6030="","",IFERROR(INDEX(المنيو!$C$2:$C$500,MATCH($C6030,المنيو!$B$2:$B$500,0)),0))</f>
        <v/>
      </c>
      <c r="F6030" s="103" t="str">
        <f aca="false">IF($C6030="","",$D6030*$E6030)</f>
        <v/>
      </c>
      <c r="G6030" s="103" t="str">
        <f aca="false">IF($C6030="","",$D6030*IFERROR(INDEX('تحليل التكلفة والسعر'!$C$2:$C$700,MATCH($C6030,'تحليل التكلفة والسعر'!$B$2:$B$700,0)),0))</f>
        <v/>
      </c>
    </row>
    <row r="6031" customFormat="false" ht="15" hidden="false" customHeight="false" outlineLevel="0" collapsed="false">
      <c r="A6031" s="102"/>
      <c r="E6031" s="103" t="str">
        <f aca="false">IF($C6031="","",IFERROR(INDEX(المنيو!$C$2:$C$500,MATCH($C6031,المنيو!$B$2:$B$500,0)),0))</f>
        <v/>
      </c>
      <c r="F6031" s="103" t="str">
        <f aca="false">IF($C6031="","",$D6031*$E6031)</f>
        <v/>
      </c>
      <c r="G6031" s="103" t="str">
        <f aca="false">IF($C6031="","",$D6031*IFERROR(INDEX('تحليل التكلفة والسعر'!$C$2:$C$700,MATCH($C6031,'تحليل التكلفة والسعر'!$B$2:$B$700,0)),0))</f>
        <v/>
      </c>
    </row>
    <row r="6032" customFormat="false" ht="15" hidden="false" customHeight="false" outlineLevel="0" collapsed="false">
      <c r="A6032" s="102"/>
      <c r="E6032" s="103" t="str">
        <f aca="false">IF($C6032="","",IFERROR(INDEX(المنيو!$C$2:$C$500,MATCH($C6032,المنيو!$B$2:$B$500,0)),0))</f>
        <v/>
      </c>
      <c r="F6032" s="103" t="str">
        <f aca="false">IF($C6032="","",$D6032*$E6032)</f>
        <v/>
      </c>
      <c r="G6032" s="103" t="str">
        <f aca="false">IF($C6032="","",$D6032*IFERROR(INDEX('تحليل التكلفة والسعر'!$C$2:$C$700,MATCH($C6032,'تحليل التكلفة والسعر'!$B$2:$B$700,0)),0))</f>
        <v/>
      </c>
    </row>
    <row r="6033" customFormat="false" ht="15" hidden="false" customHeight="false" outlineLevel="0" collapsed="false">
      <c r="A6033" s="102"/>
      <c r="E6033" s="103" t="str">
        <f aca="false">IF($C6033="","",IFERROR(INDEX(المنيو!$C$2:$C$500,MATCH($C6033,المنيو!$B$2:$B$500,0)),0))</f>
        <v/>
      </c>
      <c r="F6033" s="103" t="str">
        <f aca="false">IF($C6033="","",$D6033*$E6033)</f>
        <v/>
      </c>
      <c r="G6033" s="103" t="str">
        <f aca="false">IF($C6033="","",$D6033*IFERROR(INDEX('تحليل التكلفة والسعر'!$C$2:$C$700,MATCH($C6033,'تحليل التكلفة والسعر'!$B$2:$B$700,0)),0))</f>
        <v/>
      </c>
    </row>
    <row r="6034" customFormat="false" ht="15" hidden="false" customHeight="false" outlineLevel="0" collapsed="false">
      <c r="A6034" s="102"/>
      <c r="E6034" s="103" t="str">
        <f aca="false">IF($C6034="","",IFERROR(INDEX(المنيو!$C$2:$C$500,MATCH($C6034,المنيو!$B$2:$B$500,0)),0))</f>
        <v/>
      </c>
      <c r="F6034" s="103" t="str">
        <f aca="false">IF($C6034="","",$D6034*$E6034)</f>
        <v/>
      </c>
      <c r="G6034" s="103" t="str">
        <f aca="false">IF($C6034="","",$D6034*IFERROR(INDEX('تحليل التكلفة والسعر'!$C$2:$C$700,MATCH($C6034,'تحليل التكلفة والسعر'!$B$2:$B$700,0)),0))</f>
        <v/>
      </c>
    </row>
    <row r="6035" customFormat="false" ht="15" hidden="false" customHeight="false" outlineLevel="0" collapsed="false">
      <c r="A6035" s="102"/>
      <c r="E6035" s="103" t="str">
        <f aca="false">IF($C6035="","",IFERROR(INDEX(المنيو!$C$2:$C$500,MATCH($C6035,المنيو!$B$2:$B$500,0)),0))</f>
        <v/>
      </c>
      <c r="F6035" s="103" t="str">
        <f aca="false">IF($C6035="","",$D6035*$E6035)</f>
        <v/>
      </c>
      <c r="G6035" s="103" t="str">
        <f aca="false">IF($C6035="","",$D6035*IFERROR(INDEX('تحليل التكلفة والسعر'!$C$2:$C$700,MATCH($C6035,'تحليل التكلفة والسعر'!$B$2:$B$700,0)),0))</f>
        <v/>
      </c>
    </row>
    <row r="6036" customFormat="false" ht="15" hidden="false" customHeight="false" outlineLevel="0" collapsed="false">
      <c r="A6036" s="102"/>
      <c r="E6036" s="103" t="str">
        <f aca="false">IF($C6036="","",IFERROR(INDEX(المنيو!$C$2:$C$500,MATCH($C6036,المنيو!$B$2:$B$500,0)),0))</f>
        <v/>
      </c>
      <c r="F6036" s="103" t="str">
        <f aca="false">IF($C6036="","",$D6036*$E6036)</f>
        <v/>
      </c>
      <c r="G6036" s="103" t="str">
        <f aca="false">IF($C6036="","",$D6036*IFERROR(INDEX('تحليل التكلفة والسعر'!$C$2:$C$700,MATCH($C6036,'تحليل التكلفة والسعر'!$B$2:$B$700,0)),0))</f>
        <v/>
      </c>
    </row>
    <row r="6037" customFormat="false" ht="15" hidden="false" customHeight="false" outlineLevel="0" collapsed="false">
      <c r="A6037" s="102"/>
      <c r="E6037" s="103" t="str">
        <f aca="false">IF($C6037="","",IFERROR(INDEX(المنيو!$C$2:$C$500,MATCH($C6037,المنيو!$B$2:$B$500,0)),0))</f>
        <v/>
      </c>
      <c r="F6037" s="103" t="str">
        <f aca="false">IF($C6037="","",$D6037*$E6037)</f>
        <v/>
      </c>
      <c r="G6037" s="103" t="str">
        <f aca="false">IF($C6037="","",$D6037*IFERROR(INDEX('تحليل التكلفة والسعر'!$C$2:$C$700,MATCH($C6037,'تحليل التكلفة والسعر'!$B$2:$B$700,0)),0))</f>
        <v/>
      </c>
    </row>
    <row r="6038" customFormat="false" ht="15" hidden="false" customHeight="false" outlineLevel="0" collapsed="false">
      <c r="A6038" s="102"/>
      <c r="E6038" s="103" t="str">
        <f aca="false">IF($C6038="","",IFERROR(INDEX(المنيو!$C$2:$C$500,MATCH($C6038,المنيو!$B$2:$B$500,0)),0))</f>
        <v/>
      </c>
      <c r="F6038" s="103" t="str">
        <f aca="false">IF($C6038="","",$D6038*$E6038)</f>
        <v/>
      </c>
      <c r="G6038" s="103" t="str">
        <f aca="false">IF($C6038="","",$D6038*IFERROR(INDEX('تحليل التكلفة والسعر'!$C$2:$C$700,MATCH($C6038,'تحليل التكلفة والسعر'!$B$2:$B$700,0)),0))</f>
        <v/>
      </c>
    </row>
    <row r="6039" customFormat="false" ht="15" hidden="false" customHeight="false" outlineLevel="0" collapsed="false">
      <c r="A6039" s="102"/>
      <c r="E6039" s="103" t="str">
        <f aca="false">IF($C6039="","",IFERROR(INDEX(المنيو!$C$2:$C$500,MATCH($C6039,المنيو!$B$2:$B$500,0)),0))</f>
        <v/>
      </c>
      <c r="F6039" s="103" t="str">
        <f aca="false">IF($C6039="","",$D6039*$E6039)</f>
        <v/>
      </c>
      <c r="G6039" s="103" t="str">
        <f aca="false">IF($C6039="","",$D6039*IFERROR(INDEX('تحليل التكلفة والسعر'!$C$2:$C$700,MATCH($C6039,'تحليل التكلفة والسعر'!$B$2:$B$700,0)),0))</f>
        <v/>
      </c>
    </row>
    <row r="6040" customFormat="false" ht="15" hidden="false" customHeight="false" outlineLevel="0" collapsed="false">
      <c r="A6040" s="102"/>
      <c r="E6040" s="103" t="str">
        <f aca="false">IF($C6040="","",IFERROR(INDEX(المنيو!$C$2:$C$500,MATCH($C6040,المنيو!$B$2:$B$500,0)),0))</f>
        <v/>
      </c>
      <c r="F6040" s="103" t="str">
        <f aca="false">IF($C6040="","",$D6040*$E6040)</f>
        <v/>
      </c>
      <c r="G6040" s="103" t="str">
        <f aca="false">IF($C6040="","",$D6040*IFERROR(INDEX('تحليل التكلفة والسعر'!$C$2:$C$700,MATCH($C6040,'تحليل التكلفة والسعر'!$B$2:$B$700,0)),0))</f>
        <v/>
      </c>
    </row>
    <row r="6041" customFormat="false" ht="15" hidden="false" customHeight="false" outlineLevel="0" collapsed="false">
      <c r="A6041" s="102"/>
      <c r="E6041" s="103" t="str">
        <f aca="false">IF($C6041="","",IFERROR(INDEX(المنيو!$C$2:$C$500,MATCH($C6041,المنيو!$B$2:$B$500,0)),0))</f>
        <v/>
      </c>
      <c r="F6041" s="103" t="str">
        <f aca="false">IF($C6041="","",$D6041*$E6041)</f>
        <v/>
      </c>
      <c r="G6041" s="103" t="str">
        <f aca="false">IF($C6041="","",$D6041*IFERROR(INDEX('تحليل التكلفة والسعر'!$C$2:$C$700,MATCH($C6041,'تحليل التكلفة والسعر'!$B$2:$B$700,0)),0))</f>
        <v/>
      </c>
    </row>
    <row r="6042" customFormat="false" ht="15" hidden="false" customHeight="false" outlineLevel="0" collapsed="false">
      <c r="A6042" s="102"/>
      <c r="E6042" s="103" t="str">
        <f aca="false">IF($C6042="","",IFERROR(INDEX(المنيو!$C$2:$C$500,MATCH($C6042,المنيو!$B$2:$B$500,0)),0))</f>
        <v/>
      </c>
      <c r="F6042" s="103" t="str">
        <f aca="false">IF($C6042="","",$D6042*$E6042)</f>
        <v/>
      </c>
      <c r="G6042" s="103" t="str">
        <f aca="false">IF($C6042="","",$D6042*IFERROR(INDEX('تحليل التكلفة والسعر'!$C$2:$C$700,MATCH($C6042,'تحليل التكلفة والسعر'!$B$2:$B$700,0)),0))</f>
        <v/>
      </c>
    </row>
    <row r="6043" customFormat="false" ht="15" hidden="false" customHeight="false" outlineLevel="0" collapsed="false">
      <c r="A6043" s="102"/>
      <c r="E6043" s="103" t="str">
        <f aca="false">IF($C6043="","",IFERROR(INDEX(المنيو!$C$2:$C$500,MATCH($C6043,المنيو!$B$2:$B$500,0)),0))</f>
        <v/>
      </c>
      <c r="F6043" s="103" t="str">
        <f aca="false">IF($C6043="","",$D6043*$E6043)</f>
        <v/>
      </c>
      <c r="G6043" s="103" t="str">
        <f aca="false">IF($C6043="","",$D6043*IFERROR(INDEX('تحليل التكلفة والسعر'!$C$2:$C$700,MATCH($C6043,'تحليل التكلفة والسعر'!$B$2:$B$700,0)),0))</f>
        <v/>
      </c>
    </row>
    <row r="6044" customFormat="false" ht="15" hidden="false" customHeight="false" outlineLevel="0" collapsed="false">
      <c r="A6044" s="102"/>
      <c r="E6044" s="103" t="str">
        <f aca="false">IF($C6044="","",IFERROR(INDEX(المنيو!$C$2:$C$500,MATCH($C6044,المنيو!$B$2:$B$500,0)),0))</f>
        <v/>
      </c>
      <c r="F6044" s="103" t="str">
        <f aca="false">IF($C6044="","",$D6044*$E6044)</f>
        <v/>
      </c>
      <c r="G6044" s="103" t="str">
        <f aca="false">IF($C6044="","",$D6044*IFERROR(INDEX('تحليل التكلفة والسعر'!$C$2:$C$700,MATCH($C6044,'تحليل التكلفة والسعر'!$B$2:$B$700,0)),0))</f>
        <v/>
      </c>
    </row>
    <row r="6045" customFormat="false" ht="15" hidden="false" customHeight="false" outlineLevel="0" collapsed="false">
      <c r="A6045" s="102"/>
      <c r="E6045" s="103" t="str">
        <f aca="false">IF($C6045="","",IFERROR(INDEX(المنيو!$C$2:$C$500,MATCH($C6045,المنيو!$B$2:$B$500,0)),0))</f>
        <v/>
      </c>
      <c r="F6045" s="103" t="str">
        <f aca="false">IF($C6045="","",$D6045*$E6045)</f>
        <v/>
      </c>
      <c r="G6045" s="103" t="str">
        <f aca="false">IF($C6045="","",$D6045*IFERROR(INDEX('تحليل التكلفة والسعر'!$C$2:$C$700,MATCH($C6045,'تحليل التكلفة والسعر'!$B$2:$B$700,0)),0))</f>
        <v/>
      </c>
    </row>
    <row r="6046" customFormat="false" ht="15" hidden="false" customHeight="false" outlineLevel="0" collapsed="false">
      <c r="A6046" s="102"/>
      <c r="E6046" s="103" t="str">
        <f aca="false">IF($C6046="","",IFERROR(INDEX(المنيو!$C$2:$C$500,MATCH($C6046,المنيو!$B$2:$B$500,0)),0))</f>
        <v/>
      </c>
      <c r="F6046" s="103" t="str">
        <f aca="false">IF($C6046="","",$D6046*$E6046)</f>
        <v/>
      </c>
      <c r="G6046" s="103" t="str">
        <f aca="false">IF($C6046="","",$D6046*IFERROR(INDEX('تحليل التكلفة والسعر'!$C$2:$C$700,MATCH($C6046,'تحليل التكلفة والسعر'!$B$2:$B$700,0)),0))</f>
        <v/>
      </c>
    </row>
    <row r="6047" customFormat="false" ht="15" hidden="false" customHeight="false" outlineLevel="0" collapsed="false">
      <c r="A6047" s="102"/>
      <c r="E6047" s="103" t="str">
        <f aca="false">IF($C6047="","",IFERROR(INDEX(المنيو!$C$2:$C$500,MATCH($C6047,المنيو!$B$2:$B$500,0)),0))</f>
        <v/>
      </c>
      <c r="F6047" s="103" t="str">
        <f aca="false">IF($C6047="","",$D6047*$E6047)</f>
        <v/>
      </c>
      <c r="G6047" s="103" t="str">
        <f aca="false">IF($C6047="","",$D6047*IFERROR(INDEX('تحليل التكلفة والسعر'!$C$2:$C$700,MATCH($C6047,'تحليل التكلفة والسعر'!$B$2:$B$700,0)),0))</f>
        <v/>
      </c>
    </row>
    <row r="6048" customFormat="false" ht="15" hidden="false" customHeight="false" outlineLevel="0" collapsed="false">
      <c r="A6048" s="102"/>
      <c r="E6048" s="103" t="str">
        <f aca="false">IF($C6048="","",IFERROR(INDEX(المنيو!$C$2:$C$500,MATCH($C6048,المنيو!$B$2:$B$500,0)),0))</f>
        <v/>
      </c>
      <c r="F6048" s="103" t="str">
        <f aca="false">IF($C6048="","",$D6048*$E6048)</f>
        <v/>
      </c>
      <c r="G6048" s="103" t="str">
        <f aca="false">IF($C6048="","",$D6048*IFERROR(INDEX('تحليل التكلفة والسعر'!$C$2:$C$700,MATCH($C6048,'تحليل التكلفة والسعر'!$B$2:$B$700,0)),0))</f>
        <v/>
      </c>
    </row>
    <row r="6049" customFormat="false" ht="15" hidden="false" customHeight="false" outlineLevel="0" collapsed="false">
      <c r="A6049" s="102"/>
      <c r="E6049" s="103" t="str">
        <f aca="false">IF($C6049="","",IFERROR(INDEX(المنيو!$C$2:$C$500,MATCH($C6049,المنيو!$B$2:$B$500,0)),0))</f>
        <v/>
      </c>
      <c r="F6049" s="103" t="str">
        <f aca="false">IF($C6049="","",$D6049*$E6049)</f>
        <v/>
      </c>
      <c r="G6049" s="103" t="str">
        <f aca="false">IF($C6049="","",$D6049*IFERROR(INDEX('تحليل التكلفة والسعر'!$C$2:$C$700,MATCH($C6049,'تحليل التكلفة والسعر'!$B$2:$B$700,0)),0))</f>
        <v/>
      </c>
    </row>
    <row r="6050" customFormat="false" ht="15" hidden="false" customHeight="false" outlineLevel="0" collapsed="false">
      <c r="A6050" s="102"/>
      <c r="E6050" s="103" t="str">
        <f aca="false">IF($C6050="","",IFERROR(INDEX(المنيو!$C$2:$C$500,MATCH($C6050,المنيو!$B$2:$B$500,0)),0))</f>
        <v/>
      </c>
      <c r="F6050" s="103" t="str">
        <f aca="false">IF($C6050="","",$D6050*$E6050)</f>
        <v/>
      </c>
      <c r="G6050" s="103" t="str">
        <f aca="false">IF($C6050="","",$D6050*IFERROR(INDEX('تحليل التكلفة والسعر'!$C$2:$C$700,MATCH($C6050,'تحليل التكلفة والسعر'!$B$2:$B$700,0)),0))</f>
        <v/>
      </c>
    </row>
    <row r="6051" customFormat="false" ht="15" hidden="false" customHeight="false" outlineLevel="0" collapsed="false">
      <c r="A6051" s="102"/>
      <c r="E6051" s="103" t="str">
        <f aca="false">IF($C6051="","",IFERROR(INDEX(المنيو!$C$2:$C$500,MATCH($C6051,المنيو!$B$2:$B$500,0)),0))</f>
        <v/>
      </c>
      <c r="F6051" s="103" t="str">
        <f aca="false">IF($C6051="","",$D6051*$E6051)</f>
        <v/>
      </c>
      <c r="G6051" s="103" t="str">
        <f aca="false">IF($C6051="","",$D6051*IFERROR(INDEX('تحليل التكلفة والسعر'!$C$2:$C$700,MATCH($C6051,'تحليل التكلفة والسعر'!$B$2:$B$700,0)),0))</f>
        <v/>
      </c>
    </row>
    <row r="6052" customFormat="false" ht="15" hidden="false" customHeight="false" outlineLevel="0" collapsed="false">
      <c r="A6052" s="102"/>
      <c r="E6052" s="103" t="str">
        <f aca="false">IF($C6052="","",IFERROR(INDEX(المنيو!$C$2:$C$500,MATCH($C6052,المنيو!$B$2:$B$500,0)),0))</f>
        <v/>
      </c>
      <c r="F6052" s="103" t="str">
        <f aca="false">IF($C6052="","",$D6052*$E6052)</f>
        <v/>
      </c>
      <c r="G6052" s="103" t="str">
        <f aca="false">IF($C6052="","",$D6052*IFERROR(INDEX('تحليل التكلفة والسعر'!$C$2:$C$700,MATCH($C6052,'تحليل التكلفة والسعر'!$B$2:$B$700,0)),0))</f>
        <v/>
      </c>
    </row>
    <row r="6053" customFormat="false" ht="15" hidden="false" customHeight="false" outlineLevel="0" collapsed="false">
      <c r="A6053" s="102"/>
      <c r="E6053" s="103" t="str">
        <f aca="false">IF($C6053="","",IFERROR(INDEX(المنيو!$C$2:$C$500,MATCH($C6053,المنيو!$B$2:$B$500,0)),0))</f>
        <v/>
      </c>
      <c r="F6053" s="103" t="str">
        <f aca="false">IF($C6053="","",$D6053*$E6053)</f>
        <v/>
      </c>
      <c r="G6053" s="103" t="str">
        <f aca="false">IF($C6053="","",$D6053*IFERROR(INDEX('تحليل التكلفة والسعر'!$C$2:$C$700,MATCH($C6053,'تحليل التكلفة والسعر'!$B$2:$B$700,0)),0))</f>
        <v/>
      </c>
    </row>
    <row r="6054" customFormat="false" ht="15" hidden="false" customHeight="false" outlineLevel="0" collapsed="false">
      <c r="A6054" s="102"/>
      <c r="E6054" s="103" t="str">
        <f aca="false">IF($C6054="","",IFERROR(INDEX(المنيو!$C$2:$C$500,MATCH($C6054,المنيو!$B$2:$B$500,0)),0))</f>
        <v/>
      </c>
      <c r="F6054" s="103" t="str">
        <f aca="false">IF($C6054="","",$D6054*$E6054)</f>
        <v/>
      </c>
      <c r="G6054" s="103" t="str">
        <f aca="false">IF($C6054="","",$D6054*IFERROR(INDEX('تحليل التكلفة والسعر'!$C$2:$C$700,MATCH($C6054,'تحليل التكلفة والسعر'!$B$2:$B$700,0)),0))</f>
        <v/>
      </c>
    </row>
    <row r="6055" customFormat="false" ht="15" hidden="false" customHeight="false" outlineLevel="0" collapsed="false">
      <c r="A6055" s="102"/>
      <c r="E6055" s="103" t="str">
        <f aca="false">IF($C6055="","",IFERROR(INDEX(المنيو!$C$2:$C$500,MATCH($C6055,المنيو!$B$2:$B$500,0)),0))</f>
        <v/>
      </c>
      <c r="F6055" s="103" t="str">
        <f aca="false">IF($C6055="","",$D6055*$E6055)</f>
        <v/>
      </c>
      <c r="G6055" s="103" t="str">
        <f aca="false">IF($C6055="","",$D6055*IFERROR(INDEX('تحليل التكلفة والسعر'!$C$2:$C$700,MATCH($C6055,'تحليل التكلفة والسعر'!$B$2:$B$700,0)),0))</f>
        <v/>
      </c>
    </row>
    <row r="6056" customFormat="false" ht="15" hidden="false" customHeight="false" outlineLevel="0" collapsed="false">
      <c r="A6056" s="102"/>
      <c r="E6056" s="103" t="str">
        <f aca="false">IF($C6056="","",IFERROR(INDEX(المنيو!$C$2:$C$500,MATCH($C6056,المنيو!$B$2:$B$500,0)),0))</f>
        <v/>
      </c>
      <c r="F6056" s="103" t="str">
        <f aca="false">IF($C6056="","",$D6056*$E6056)</f>
        <v/>
      </c>
      <c r="G6056" s="103" t="str">
        <f aca="false">IF($C6056="","",$D6056*IFERROR(INDEX('تحليل التكلفة والسعر'!$C$2:$C$700,MATCH($C6056,'تحليل التكلفة والسعر'!$B$2:$B$700,0)),0))</f>
        <v/>
      </c>
    </row>
    <row r="6057" customFormat="false" ht="15" hidden="false" customHeight="false" outlineLevel="0" collapsed="false">
      <c r="A6057" s="102"/>
      <c r="E6057" s="103" t="str">
        <f aca="false">IF($C6057="","",IFERROR(INDEX(المنيو!$C$2:$C$500,MATCH($C6057,المنيو!$B$2:$B$500,0)),0))</f>
        <v/>
      </c>
      <c r="F6057" s="103" t="str">
        <f aca="false">IF($C6057="","",$D6057*$E6057)</f>
        <v/>
      </c>
      <c r="G6057" s="103" t="str">
        <f aca="false">IF($C6057="","",$D6057*IFERROR(INDEX('تحليل التكلفة والسعر'!$C$2:$C$700,MATCH($C6057,'تحليل التكلفة والسعر'!$B$2:$B$700,0)),0))</f>
        <v/>
      </c>
    </row>
    <row r="6058" customFormat="false" ht="15" hidden="false" customHeight="false" outlineLevel="0" collapsed="false">
      <c r="A6058" s="102"/>
      <c r="E6058" s="103" t="str">
        <f aca="false">IF($C6058="","",IFERROR(INDEX(المنيو!$C$2:$C$500,MATCH($C6058,المنيو!$B$2:$B$500,0)),0))</f>
        <v/>
      </c>
      <c r="F6058" s="103" t="str">
        <f aca="false">IF($C6058="","",$D6058*$E6058)</f>
        <v/>
      </c>
      <c r="G6058" s="103" t="str">
        <f aca="false">IF($C6058="","",$D6058*IFERROR(INDEX('تحليل التكلفة والسعر'!$C$2:$C$700,MATCH($C6058,'تحليل التكلفة والسعر'!$B$2:$B$700,0)),0))</f>
        <v/>
      </c>
    </row>
    <row r="6059" customFormat="false" ht="15" hidden="false" customHeight="false" outlineLevel="0" collapsed="false">
      <c r="A6059" s="102"/>
      <c r="E6059" s="103" t="str">
        <f aca="false">IF($C6059="","",IFERROR(INDEX(المنيو!$C$2:$C$500,MATCH($C6059,المنيو!$B$2:$B$500,0)),0))</f>
        <v/>
      </c>
      <c r="F6059" s="103" t="str">
        <f aca="false">IF($C6059="","",$D6059*$E6059)</f>
        <v/>
      </c>
      <c r="G6059" s="103" t="str">
        <f aca="false">IF($C6059="","",$D6059*IFERROR(INDEX('تحليل التكلفة والسعر'!$C$2:$C$700,MATCH($C6059,'تحليل التكلفة والسعر'!$B$2:$B$700,0)),0))</f>
        <v/>
      </c>
    </row>
    <row r="6060" customFormat="false" ht="15" hidden="false" customHeight="false" outlineLevel="0" collapsed="false">
      <c r="A6060" s="102"/>
      <c r="E6060" s="103" t="str">
        <f aca="false">IF($C6060="","",IFERROR(INDEX(المنيو!$C$2:$C$500,MATCH($C6060,المنيو!$B$2:$B$500,0)),0))</f>
        <v/>
      </c>
      <c r="F6060" s="103" t="str">
        <f aca="false">IF($C6060="","",$D6060*$E6060)</f>
        <v/>
      </c>
      <c r="G6060" s="103" t="str">
        <f aca="false">IF($C6060="","",$D6060*IFERROR(INDEX('تحليل التكلفة والسعر'!$C$2:$C$700,MATCH($C6060,'تحليل التكلفة والسعر'!$B$2:$B$700,0)),0))</f>
        <v/>
      </c>
    </row>
    <row r="6061" customFormat="false" ht="15" hidden="false" customHeight="false" outlineLevel="0" collapsed="false">
      <c r="A6061" s="102"/>
      <c r="E6061" s="103" t="str">
        <f aca="false">IF($C6061="","",IFERROR(INDEX(المنيو!$C$2:$C$500,MATCH($C6061,المنيو!$B$2:$B$500,0)),0))</f>
        <v/>
      </c>
      <c r="F6061" s="103" t="str">
        <f aca="false">IF($C6061="","",$D6061*$E6061)</f>
        <v/>
      </c>
      <c r="G6061" s="103" t="str">
        <f aca="false">IF($C6061="","",$D6061*IFERROR(INDEX('تحليل التكلفة والسعر'!$C$2:$C$700,MATCH($C6061,'تحليل التكلفة والسعر'!$B$2:$B$700,0)),0))</f>
        <v/>
      </c>
    </row>
    <row r="6062" customFormat="false" ht="15" hidden="false" customHeight="false" outlineLevel="0" collapsed="false">
      <c r="A6062" s="102"/>
      <c r="E6062" s="103" t="str">
        <f aca="false">IF($C6062="","",IFERROR(INDEX(المنيو!$C$2:$C$500,MATCH($C6062,المنيو!$B$2:$B$500,0)),0))</f>
        <v/>
      </c>
      <c r="F6062" s="103" t="str">
        <f aca="false">IF($C6062="","",$D6062*$E6062)</f>
        <v/>
      </c>
      <c r="G6062" s="103" t="str">
        <f aca="false">IF($C6062="","",$D6062*IFERROR(INDEX('تحليل التكلفة والسعر'!$C$2:$C$700,MATCH($C6062,'تحليل التكلفة والسعر'!$B$2:$B$700,0)),0))</f>
        <v/>
      </c>
    </row>
    <row r="6063" customFormat="false" ht="15" hidden="false" customHeight="false" outlineLevel="0" collapsed="false">
      <c r="A6063" s="102"/>
      <c r="E6063" s="103" t="str">
        <f aca="false">IF($C6063="","",IFERROR(INDEX(المنيو!$C$2:$C$500,MATCH($C6063,المنيو!$B$2:$B$500,0)),0))</f>
        <v/>
      </c>
      <c r="F6063" s="103" t="str">
        <f aca="false">IF($C6063="","",$D6063*$E6063)</f>
        <v/>
      </c>
      <c r="G6063" s="103" t="str">
        <f aca="false">IF($C6063="","",$D6063*IFERROR(INDEX('تحليل التكلفة والسعر'!$C$2:$C$700,MATCH($C6063,'تحليل التكلفة والسعر'!$B$2:$B$700,0)),0))</f>
        <v/>
      </c>
    </row>
    <row r="6064" customFormat="false" ht="15" hidden="false" customHeight="false" outlineLevel="0" collapsed="false">
      <c r="A6064" s="102"/>
      <c r="E6064" s="103" t="str">
        <f aca="false">IF($C6064="","",IFERROR(INDEX(المنيو!$C$2:$C$500,MATCH($C6064,المنيو!$B$2:$B$500,0)),0))</f>
        <v/>
      </c>
      <c r="F6064" s="103" t="str">
        <f aca="false">IF($C6064="","",$D6064*$E6064)</f>
        <v/>
      </c>
      <c r="G6064" s="103" t="str">
        <f aca="false">IF($C6064="","",$D6064*IFERROR(INDEX('تحليل التكلفة والسعر'!$C$2:$C$700,MATCH($C6064,'تحليل التكلفة والسعر'!$B$2:$B$700,0)),0))</f>
        <v/>
      </c>
    </row>
    <row r="6065" customFormat="false" ht="15" hidden="false" customHeight="false" outlineLevel="0" collapsed="false">
      <c r="A6065" s="102"/>
      <c r="E6065" s="103" t="str">
        <f aca="false">IF($C6065="","",IFERROR(INDEX(المنيو!$C$2:$C$500,MATCH($C6065,المنيو!$B$2:$B$500,0)),0))</f>
        <v/>
      </c>
      <c r="F6065" s="103" t="str">
        <f aca="false">IF($C6065="","",$D6065*$E6065)</f>
        <v/>
      </c>
      <c r="G6065" s="103" t="str">
        <f aca="false">IF($C6065="","",$D6065*IFERROR(INDEX('تحليل التكلفة والسعر'!$C$2:$C$700,MATCH($C6065,'تحليل التكلفة والسعر'!$B$2:$B$700,0)),0))</f>
        <v/>
      </c>
    </row>
    <row r="6066" customFormat="false" ht="15" hidden="false" customHeight="false" outlineLevel="0" collapsed="false">
      <c r="A6066" s="102"/>
      <c r="E6066" s="103" t="str">
        <f aca="false">IF($C6066="","",IFERROR(INDEX(المنيو!$C$2:$C$500,MATCH($C6066,المنيو!$B$2:$B$500,0)),0))</f>
        <v/>
      </c>
      <c r="F6066" s="103" t="str">
        <f aca="false">IF($C6066="","",$D6066*$E6066)</f>
        <v/>
      </c>
      <c r="G6066" s="103" t="str">
        <f aca="false">IF($C6066="","",$D6066*IFERROR(INDEX('تحليل التكلفة والسعر'!$C$2:$C$700,MATCH($C6066,'تحليل التكلفة والسعر'!$B$2:$B$700,0)),0))</f>
        <v/>
      </c>
    </row>
    <row r="6067" customFormat="false" ht="15" hidden="false" customHeight="false" outlineLevel="0" collapsed="false">
      <c r="A6067" s="102"/>
      <c r="E6067" s="103" t="str">
        <f aca="false">IF($C6067="","",IFERROR(INDEX(المنيو!$C$2:$C$500,MATCH($C6067,المنيو!$B$2:$B$500,0)),0))</f>
        <v/>
      </c>
      <c r="F6067" s="103" t="str">
        <f aca="false">IF($C6067="","",$D6067*$E6067)</f>
        <v/>
      </c>
      <c r="G6067" s="103" t="str">
        <f aca="false">IF($C6067="","",$D6067*IFERROR(INDEX('تحليل التكلفة والسعر'!$C$2:$C$700,MATCH($C6067,'تحليل التكلفة والسعر'!$B$2:$B$700,0)),0))</f>
        <v/>
      </c>
    </row>
    <row r="6068" customFormat="false" ht="15" hidden="false" customHeight="false" outlineLevel="0" collapsed="false">
      <c r="A6068" s="102"/>
      <c r="E6068" s="103" t="str">
        <f aca="false">IF($C6068="","",IFERROR(INDEX(المنيو!$C$2:$C$500,MATCH($C6068,المنيو!$B$2:$B$500,0)),0))</f>
        <v/>
      </c>
      <c r="F6068" s="103" t="str">
        <f aca="false">IF($C6068="","",$D6068*$E6068)</f>
        <v/>
      </c>
      <c r="G6068" s="103" t="str">
        <f aca="false">IF($C6068="","",$D6068*IFERROR(INDEX('تحليل التكلفة والسعر'!$C$2:$C$700,MATCH($C6068,'تحليل التكلفة والسعر'!$B$2:$B$700,0)),0))</f>
        <v/>
      </c>
    </row>
    <row r="6069" customFormat="false" ht="15" hidden="false" customHeight="false" outlineLevel="0" collapsed="false">
      <c r="A6069" s="102"/>
      <c r="E6069" s="103" t="str">
        <f aca="false">IF($C6069="","",IFERROR(INDEX(المنيو!$C$2:$C$500,MATCH($C6069,المنيو!$B$2:$B$500,0)),0))</f>
        <v/>
      </c>
      <c r="F6069" s="103" t="str">
        <f aca="false">IF($C6069="","",$D6069*$E6069)</f>
        <v/>
      </c>
      <c r="G6069" s="103" t="str">
        <f aca="false">IF($C6069="","",$D6069*IFERROR(INDEX('تحليل التكلفة والسعر'!$C$2:$C$700,MATCH($C6069,'تحليل التكلفة والسعر'!$B$2:$B$700,0)),0))</f>
        <v/>
      </c>
    </row>
    <row r="6070" customFormat="false" ht="15" hidden="false" customHeight="false" outlineLevel="0" collapsed="false">
      <c r="A6070" s="102"/>
      <c r="E6070" s="103" t="str">
        <f aca="false">IF($C6070="","",IFERROR(INDEX(المنيو!$C$2:$C$500,MATCH($C6070,المنيو!$B$2:$B$500,0)),0))</f>
        <v/>
      </c>
      <c r="F6070" s="103" t="str">
        <f aca="false">IF($C6070="","",$D6070*$E6070)</f>
        <v/>
      </c>
      <c r="G6070" s="103" t="str">
        <f aca="false">IF($C6070="","",$D6070*IFERROR(INDEX('تحليل التكلفة والسعر'!$C$2:$C$700,MATCH($C6070,'تحليل التكلفة والسعر'!$B$2:$B$700,0)),0))</f>
        <v/>
      </c>
    </row>
    <row r="6071" customFormat="false" ht="15" hidden="false" customHeight="false" outlineLevel="0" collapsed="false">
      <c r="A6071" s="102"/>
      <c r="E6071" s="103" t="str">
        <f aca="false">IF($C6071="","",IFERROR(INDEX(المنيو!$C$2:$C$500,MATCH($C6071,المنيو!$B$2:$B$500,0)),0))</f>
        <v/>
      </c>
      <c r="F6071" s="103" t="str">
        <f aca="false">IF($C6071="","",$D6071*$E6071)</f>
        <v/>
      </c>
      <c r="G6071" s="103" t="str">
        <f aca="false">IF($C6071="","",$D6071*IFERROR(INDEX('تحليل التكلفة والسعر'!$C$2:$C$700,MATCH($C6071,'تحليل التكلفة والسعر'!$B$2:$B$700,0)),0))</f>
        <v/>
      </c>
    </row>
    <row r="6072" customFormat="false" ht="15" hidden="false" customHeight="false" outlineLevel="0" collapsed="false">
      <c r="A6072" s="102"/>
      <c r="E6072" s="103" t="str">
        <f aca="false">IF($C6072="","",IFERROR(INDEX(المنيو!$C$2:$C$500,MATCH($C6072,المنيو!$B$2:$B$500,0)),0))</f>
        <v/>
      </c>
      <c r="F6072" s="103" t="str">
        <f aca="false">IF($C6072="","",$D6072*$E6072)</f>
        <v/>
      </c>
      <c r="G6072" s="103" t="str">
        <f aca="false">IF($C6072="","",$D6072*IFERROR(INDEX('تحليل التكلفة والسعر'!$C$2:$C$700,MATCH($C6072,'تحليل التكلفة والسعر'!$B$2:$B$700,0)),0))</f>
        <v/>
      </c>
    </row>
    <row r="6073" customFormat="false" ht="15" hidden="false" customHeight="false" outlineLevel="0" collapsed="false">
      <c r="A6073" s="102"/>
      <c r="E6073" s="103" t="str">
        <f aca="false">IF($C6073="","",IFERROR(INDEX(المنيو!$C$2:$C$500,MATCH($C6073,المنيو!$B$2:$B$500,0)),0))</f>
        <v/>
      </c>
      <c r="F6073" s="103" t="str">
        <f aca="false">IF($C6073="","",$D6073*$E6073)</f>
        <v/>
      </c>
      <c r="G6073" s="103" t="str">
        <f aca="false">IF($C6073="","",$D6073*IFERROR(INDEX('تحليل التكلفة والسعر'!$C$2:$C$700,MATCH($C6073,'تحليل التكلفة والسعر'!$B$2:$B$700,0)),0))</f>
        <v/>
      </c>
    </row>
    <row r="6074" customFormat="false" ht="15" hidden="false" customHeight="false" outlineLevel="0" collapsed="false">
      <c r="A6074" s="102"/>
      <c r="E6074" s="103" t="str">
        <f aca="false">IF($C6074="","",IFERROR(INDEX(المنيو!$C$2:$C$500,MATCH($C6074,المنيو!$B$2:$B$500,0)),0))</f>
        <v/>
      </c>
      <c r="F6074" s="103" t="str">
        <f aca="false">IF($C6074="","",$D6074*$E6074)</f>
        <v/>
      </c>
      <c r="G6074" s="103" t="str">
        <f aca="false">IF($C6074="","",$D6074*IFERROR(INDEX('تحليل التكلفة والسعر'!$C$2:$C$700,MATCH($C6074,'تحليل التكلفة والسعر'!$B$2:$B$700,0)),0))</f>
        <v/>
      </c>
    </row>
    <row r="6075" customFormat="false" ht="15" hidden="false" customHeight="false" outlineLevel="0" collapsed="false">
      <c r="A6075" s="102"/>
      <c r="E6075" s="103" t="str">
        <f aca="false">IF($C6075="","",IFERROR(INDEX(المنيو!$C$2:$C$500,MATCH($C6075,المنيو!$B$2:$B$500,0)),0))</f>
        <v/>
      </c>
      <c r="F6075" s="103" t="str">
        <f aca="false">IF($C6075="","",$D6075*$E6075)</f>
        <v/>
      </c>
      <c r="G6075" s="103" t="str">
        <f aca="false">IF($C6075="","",$D6075*IFERROR(INDEX('تحليل التكلفة والسعر'!$C$2:$C$700,MATCH($C6075,'تحليل التكلفة والسعر'!$B$2:$B$700,0)),0))</f>
        <v/>
      </c>
    </row>
    <row r="6076" customFormat="false" ht="15" hidden="false" customHeight="false" outlineLevel="0" collapsed="false">
      <c r="A6076" s="102"/>
      <c r="E6076" s="103" t="str">
        <f aca="false">IF($C6076="","",IFERROR(INDEX(المنيو!$C$2:$C$500,MATCH($C6076,المنيو!$B$2:$B$500,0)),0))</f>
        <v/>
      </c>
      <c r="F6076" s="103" t="str">
        <f aca="false">IF($C6076="","",$D6076*$E6076)</f>
        <v/>
      </c>
      <c r="G6076" s="103" t="str">
        <f aca="false">IF($C6076="","",$D6076*IFERROR(INDEX('تحليل التكلفة والسعر'!$C$2:$C$700,MATCH($C6076,'تحليل التكلفة والسعر'!$B$2:$B$700,0)),0))</f>
        <v/>
      </c>
    </row>
    <row r="6077" customFormat="false" ht="15" hidden="false" customHeight="false" outlineLevel="0" collapsed="false">
      <c r="A6077" s="102"/>
      <c r="E6077" s="103" t="str">
        <f aca="false">IF($C6077="","",IFERROR(INDEX(المنيو!$C$2:$C$500,MATCH($C6077,المنيو!$B$2:$B$500,0)),0))</f>
        <v/>
      </c>
      <c r="F6077" s="103" t="str">
        <f aca="false">IF($C6077="","",$D6077*$E6077)</f>
        <v/>
      </c>
      <c r="G6077" s="103" t="str">
        <f aca="false">IF($C6077="","",$D6077*IFERROR(INDEX('تحليل التكلفة والسعر'!$C$2:$C$700,MATCH($C6077,'تحليل التكلفة والسعر'!$B$2:$B$700,0)),0))</f>
        <v/>
      </c>
    </row>
    <row r="6078" customFormat="false" ht="15" hidden="false" customHeight="false" outlineLevel="0" collapsed="false">
      <c r="A6078" s="102"/>
      <c r="E6078" s="103" t="str">
        <f aca="false">IF($C6078="","",IFERROR(INDEX(المنيو!$C$2:$C$500,MATCH($C6078,المنيو!$B$2:$B$500,0)),0))</f>
        <v/>
      </c>
      <c r="F6078" s="103" t="str">
        <f aca="false">IF($C6078="","",$D6078*$E6078)</f>
        <v/>
      </c>
      <c r="G6078" s="103" t="str">
        <f aca="false">IF($C6078="","",$D6078*IFERROR(INDEX('تحليل التكلفة والسعر'!$C$2:$C$700,MATCH($C6078,'تحليل التكلفة والسعر'!$B$2:$B$700,0)),0))</f>
        <v/>
      </c>
    </row>
    <row r="6079" customFormat="false" ht="15" hidden="false" customHeight="false" outlineLevel="0" collapsed="false">
      <c r="A6079" s="102"/>
      <c r="E6079" s="103" t="str">
        <f aca="false">IF($C6079="","",IFERROR(INDEX(المنيو!$C$2:$C$500,MATCH($C6079,المنيو!$B$2:$B$500,0)),0))</f>
        <v/>
      </c>
      <c r="F6079" s="103" t="str">
        <f aca="false">IF($C6079="","",$D6079*$E6079)</f>
        <v/>
      </c>
      <c r="G6079" s="103" t="str">
        <f aca="false">IF($C6079="","",$D6079*IFERROR(INDEX('تحليل التكلفة والسعر'!$C$2:$C$700,MATCH($C6079,'تحليل التكلفة والسعر'!$B$2:$B$700,0)),0))</f>
        <v/>
      </c>
    </row>
    <row r="6080" customFormat="false" ht="15" hidden="false" customHeight="false" outlineLevel="0" collapsed="false">
      <c r="A6080" s="102"/>
      <c r="E6080" s="103" t="str">
        <f aca="false">IF($C6080="","",IFERROR(INDEX(المنيو!$C$2:$C$500,MATCH($C6080,المنيو!$B$2:$B$500,0)),0))</f>
        <v/>
      </c>
      <c r="F6080" s="103" t="str">
        <f aca="false">IF($C6080="","",$D6080*$E6080)</f>
        <v/>
      </c>
      <c r="G6080" s="103" t="str">
        <f aca="false">IF($C6080="","",$D6080*IFERROR(INDEX('تحليل التكلفة والسعر'!$C$2:$C$700,MATCH($C6080,'تحليل التكلفة والسعر'!$B$2:$B$700,0)),0))</f>
        <v/>
      </c>
    </row>
    <row r="6081" customFormat="false" ht="15" hidden="false" customHeight="false" outlineLevel="0" collapsed="false">
      <c r="A6081" s="102"/>
      <c r="E6081" s="103" t="str">
        <f aca="false">IF($C6081="","",IFERROR(INDEX(المنيو!$C$2:$C$500,MATCH($C6081,المنيو!$B$2:$B$500,0)),0))</f>
        <v/>
      </c>
      <c r="F6081" s="103" t="str">
        <f aca="false">IF($C6081="","",$D6081*$E6081)</f>
        <v/>
      </c>
      <c r="G6081" s="103" t="str">
        <f aca="false">IF($C6081="","",$D6081*IFERROR(INDEX('تحليل التكلفة والسعر'!$C$2:$C$700,MATCH($C6081,'تحليل التكلفة والسعر'!$B$2:$B$700,0)),0))</f>
        <v/>
      </c>
    </row>
    <row r="6082" customFormat="false" ht="15" hidden="false" customHeight="false" outlineLevel="0" collapsed="false">
      <c r="A6082" s="102"/>
      <c r="E6082" s="103" t="str">
        <f aca="false">IF($C6082="","",IFERROR(INDEX(المنيو!$C$2:$C$500,MATCH($C6082,المنيو!$B$2:$B$500,0)),0))</f>
        <v/>
      </c>
      <c r="F6082" s="103" t="str">
        <f aca="false">IF($C6082="","",$D6082*$E6082)</f>
        <v/>
      </c>
      <c r="G6082" s="103" t="str">
        <f aca="false">IF($C6082="","",$D6082*IFERROR(INDEX('تحليل التكلفة والسعر'!$C$2:$C$700,MATCH($C6082,'تحليل التكلفة والسعر'!$B$2:$B$700,0)),0))</f>
        <v/>
      </c>
    </row>
    <row r="6083" customFormat="false" ht="15" hidden="false" customHeight="false" outlineLevel="0" collapsed="false">
      <c r="A6083" s="102"/>
      <c r="E6083" s="103" t="str">
        <f aca="false">IF($C6083="","",IFERROR(INDEX(المنيو!$C$2:$C$500,MATCH($C6083,المنيو!$B$2:$B$500,0)),0))</f>
        <v/>
      </c>
      <c r="F6083" s="103" t="str">
        <f aca="false">IF($C6083="","",$D6083*$E6083)</f>
        <v/>
      </c>
      <c r="G6083" s="103" t="str">
        <f aca="false">IF($C6083="","",$D6083*IFERROR(INDEX('تحليل التكلفة والسعر'!$C$2:$C$700,MATCH($C6083,'تحليل التكلفة والسعر'!$B$2:$B$700,0)),0))</f>
        <v/>
      </c>
    </row>
    <row r="6084" customFormat="false" ht="15" hidden="false" customHeight="false" outlineLevel="0" collapsed="false">
      <c r="A6084" s="102"/>
      <c r="E6084" s="103" t="str">
        <f aca="false">IF($C6084="","",IFERROR(INDEX(المنيو!$C$2:$C$500,MATCH($C6084,المنيو!$B$2:$B$500,0)),0))</f>
        <v/>
      </c>
      <c r="F6084" s="103" t="str">
        <f aca="false">IF($C6084="","",$D6084*$E6084)</f>
        <v/>
      </c>
      <c r="G6084" s="103" t="str">
        <f aca="false">IF($C6084="","",$D6084*IFERROR(INDEX('تحليل التكلفة والسعر'!$C$2:$C$700,MATCH($C6084,'تحليل التكلفة والسعر'!$B$2:$B$700,0)),0))</f>
        <v/>
      </c>
    </row>
    <row r="6085" customFormat="false" ht="15" hidden="false" customHeight="false" outlineLevel="0" collapsed="false">
      <c r="A6085" s="102"/>
      <c r="E6085" s="103" t="str">
        <f aca="false">IF($C6085="","",IFERROR(INDEX(المنيو!$C$2:$C$500,MATCH($C6085,المنيو!$B$2:$B$500,0)),0))</f>
        <v/>
      </c>
      <c r="F6085" s="103" t="str">
        <f aca="false">IF($C6085="","",$D6085*$E6085)</f>
        <v/>
      </c>
      <c r="G6085" s="103" t="str">
        <f aca="false">IF($C6085="","",$D6085*IFERROR(INDEX('تحليل التكلفة والسعر'!$C$2:$C$700,MATCH($C6085,'تحليل التكلفة والسعر'!$B$2:$B$700,0)),0))</f>
        <v/>
      </c>
    </row>
    <row r="6086" customFormat="false" ht="15" hidden="false" customHeight="false" outlineLevel="0" collapsed="false">
      <c r="A6086" s="102"/>
      <c r="E6086" s="103" t="str">
        <f aca="false">IF($C6086="","",IFERROR(INDEX(المنيو!$C$2:$C$500,MATCH($C6086,المنيو!$B$2:$B$500,0)),0))</f>
        <v/>
      </c>
      <c r="F6086" s="103" t="str">
        <f aca="false">IF($C6086="","",$D6086*$E6086)</f>
        <v/>
      </c>
      <c r="G6086" s="103" t="str">
        <f aca="false">IF($C6086="","",$D6086*IFERROR(INDEX('تحليل التكلفة والسعر'!$C$2:$C$700,MATCH($C6086,'تحليل التكلفة والسعر'!$B$2:$B$700,0)),0))</f>
        <v/>
      </c>
    </row>
    <row r="6087" customFormat="false" ht="15" hidden="false" customHeight="false" outlineLevel="0" collapsed="false">
      <c r="A6087" s="102"/>
      <c r="E6087" s="103" t="str">
        <f aca="false">IF($C6087="","",IFERROR(INDEX(المنيو!$C$2:$C$500,MATCH($C6087,المنيو!$B$2:$B$500,0)),0))</f>
        <v/>
      </c>
      <c r="F6087" s="103" t="str">
        <f aca="false">IF($C6087="","",$D6087*$E6087)</f>
        <v/>
      </c>
      <c r="G6087" s="103" t="str">
        <f aca="false">IF($C6087="","",$D6087*IFERROR(INDEX('تحليل التكلفة والسعر'!$C$2:$C$700,MATCH($C6087,'تحليل التكلفة والسعر'!$B$2:$B$700,0)),0))</f>
        <v/>
      </c>
    </row>
    <row r="6088" customFormat="false" ht="15" hidden="false" customHeight="false" outlineLevel="0" collapsed="false">
      <c r="A6088" s="102"/>
      <c r="E6088" s="103" t="str">
        <f aca="false">IF($C6088="","",IFERROR(INDEX(المنيو!$C$2:$C$500,MATCH($C6088,المنيو!$B$2:$B$500,0)),0))</f>
        <v/>
      </c>
      <c r="F6088" s="103" t="str">
        <f aca="false">IF($C6088="","",$D6088*$E6088)</f>
        <v/>
      </c>
      <c r="G6088" s="103" t="str">
        <f aca="false">IF($C6088="","",$D6088*IFERROR(INDEX('تحليل التكلفة والسعر'!$C$2:$C$700,MATCH($C6088,'تحليل التكلفة والسعر'!$B$2:$B$700,0)),0))</f>
        <v/>
      </c>
    </row>
    <row r="6089" customFormat="false" ht="15" hidden="false" customHeight="false" outlineLevel="0" collapsed="false">
      <c r="A6089" s="102"/>
      <c r="E6089" s="103" t="str">
        <f aca="false">IF($C6089="","",IFERROR(INDEX(المنيو!$C$2:$C$500,MATCH($C6089,المنيو!$B$2:$B$500,0)),0))</f>
        <v/>
      </c>
      <c r="F6089" s="103" t="str">
        <f aca="false">IF($C6089="","",$D6089*$E6089)</f>
        <v/>
      </c>
      <c r="G6089" s="103" t="str">
        <f aca="false">IF($C6089="","",$D6089*IFERROR(INDEX('تحليل التكلفة والسعر'!$C$2:$C$700,MATCH($C6089,'تحليل التكلفة والسعر'!$B$2:$B$700,0)),0))</f>
        <v/>
      </c>
    </row>
    <row r="6090" customFormat="false" ht="15" hidden="false" customHeight="false" outlineLevel="0" collapsed="false">
      <c r="A6090" s="102"/>
      <c r="E6090" s="103" t="str">
        <f aca="false">IF($C6090="","",IFERROR(INDEX(المنيو!$C$2:$C$500,MATCH($C6090,المنيو!$B$2:$B$500,0)),0))</f>
        <v/>
      </c>
      <c r="F6090" s="103" t="str">
        <f aca="false">IF($C6090="","",$D6090*$E6090)</f>
        <v/>
      </c>
      <c r="G6090" s="103" t="str">
        <f aca="false">IF($C6090="","",$D6090*IFERROR(INDEX('تحليل التكلفة والسعر'!$C$2:$C$700,MATCH($C6090,'تحليل التكلفة والسعر'!$B$2:$B$700,0)),0))</f>
        <v/>
      </c>
    </row>
    <row r="6091" customFormat="false" ht="15" hidden="false" customHeight="false" outlineLevel="0" collapsed="false">
      <c r="A6091" s="102"/>
      <c r="E6091" s="103" t="str">
        <f aca="false">IF($C6091="","",IFERROR(INDEX(المنيو!$C$2:$C$500,MATCH($C6091,المنيو!$B$2:$B$500,0)),0))</f>
        <v/>
      </c>
      <c r="F6091" s="103" t="str">
        <f aca="false">IF($C6091="","",$D6091*$E6091)</f>
        <v/>
      </c>
      <c r="G6091" s="103" t="str">
        <f aca="false">IF($C6091="","",$D6091*IFERROR(INDEX('تحليل التكلفة والسعر'!$C$2:$C$700,MATCH($C6091,'تحليل التكلفة والسعر'!$B$2:$B$700,0)),0))</f>
        <v/>
      </c>
    </row>
    <row r="6092" customFormat="false" ht="15" hidden="false" customHeight="false" outlineLevel="0" collapsed="false">
      <c r="A6092" s="102"/>
      <c r="E6092" s="103" t="str">
        <f aca="false">IF($C6092="","",IFERROR(INDEX(المنيو!$C$2:$C$500,MATCH($C6092,المنيو!$B$2:$B$500,0)),0))</f>
        <v/>
      </c>
      <c r="F6092" s="103" t="str">
        <f aca="false">IF($C6092="","",$D6092*$E6092)</f>
        <v/>
      </c>
      <c r="G6092" s="103" t="str">
        <f aca="false">IF($C6092="","",$D6092*IFERROR(INDEX('تحليل التكلفة والسعر'!$C$2:$C$700,MATCH($C6092,'تحليل التكلفة والسعر'!$B$2:$B$700,0)),0))</f>
        <v/>
      </c>
    </row>
    <row r="6093" customFormat="false" ht="15" hidden="false" customHeight="false" outlineLevel="0" collapsed="false">
      <c r="A6093" s="102"/>
      <c r="E6093" s="103" t="str">
        <f aca="false">IF($C6093="","",IFERROR(INDEX(المنيو!$C$2:$C$500,MATCH($C6093,المنيو!$B$2:$B$500,0)),0))</f>
        <v/>
      </c>
      <c r="F6093" s="103" t="str">
        <f aca="false">IF($C6093="","",$D6093*$E6093)</f>
        <v/>
      </c>
      <c r="G6093" s="103" t="str">
        <f aca="false">IF($C6093="","",$D6093*IFERROR(INDEX('تحليل التكلفة والسعر'!$C$2:$C$700,MATCH($C6093,'تحليل التكلفة والسعر'!$B$2:$B$700,0)),0))</f>
        <v/>
      </c>
    </row>
    <row r="6094" customFormat="false" ht="15" hidden="false" customHeight="false" outlineLevel="0" collapsed="false">
      <c r="A6094" s="102"/>
      <c r="E6094" s="103" t="str">
        <f aca="false">IF($C6094="","",IFERROR(INDEX(المنيو!$C$2:$C$500,MATCH($C6094,المنيو!$B$2:$B$500,0)),0))</f>
        <v/>
      </c>
      <c r="F6094" s="103" t="str">
        <f aca="false">IF($C6094="","",$D6094*$E6094)</f>
        <v/>
      </c>
      <c r="G6094" s="103" t="str">
        <f aca="false">IF($C6094="","",$D6094*IFERROR(INDEX('تحليل التكلفة والسعر'!$C$2:$C$700,MATCH($C6094,'تحليل التكلفة والسعر'!$B$2:$B$700,0)),0))</f>
        <v/>
      </c>
    </row>
    <row r="6095" customFormat="false" ht="15" hidden="false" customHeight="false" outlineLevel="0" collapsed="false">
      <c r="A6095" s="102"/>
      <c r="E6095" s="103" t="str">
        <f aca="false">IF($C6095="","",IFERROR(INDEX(المنيو!$C$2:$C$500,MATCH($C6095,المنيو!$B$2:$B$500,0)),0))</f>
        <v/>
      </c>
      <c r="F6095" s="103" t="str">
        <f aca="false">IF($C6095="","",$D6095*$E6095)</f>
        <v/>
      </c>
      <c r="G6095" s="103" t="str">
        <f aca="false">IF($C6095="","",$D6095*IFERROR(INDEX('تحليل التكلفة والسعر'!$C$2:$C$700,MATCH($C6095,'تحليل التكلفة والسعر'!$B$2:$B$700,0)),0))</f>
        <v/>
      </c>
    </row>
    <row r="6096" customFormat="false" ht="15" hidden="false" customHeight="false" outlineLevel="0" collapsed="false">
      <c r="A6096" s="102"/>
      <c r="E6096" s="103" t="str">
        <f aca="false">IF($C6096="","",IFERROR(INDEX(المنيو!$C$2:$C$500,MATCH($C6096,المنيو!$B$2:$B$500,0)),0))</f>
        <v/>
      </c>
      <c r="F6096" s="103" t="str">
        <f aca="false">IF($C6096="","",$D6096*$E6096)</f>
        <v/>
      </c>
      <c r="G6096" s="103" t="str">
        <f aca="false">IF($C6096="","",$D6096*IFERROR(INDEX('تحليل التكلفة والسعر'!$C$2:$C$700,MATCH($C6096,'تحليل التكلفة والسعر'!$B$2:$B$700,0)),0))</f>
        <v/>
      </c>
    </row>
    <row r="6097" customFormat="false" ht="15" hidden="false" customHeight="false" outlineLevel="0" collapsed="false">
      <c r="A6097" s="102"/>
      <c r="E6097" s="103" t="str">
        <f aca="false">IF($C6097="","",IFERROR(INDEX(المنيو!$C$2:$C$500,MATCH($C6097,المنيو!$B$2:$B$500,0)),0))</f>
        <v/>
      </c>
      <c r="F6097" s="103" t="str">
        <f aca="false">IF($C6097="","",$D6097*$E6097)</f>
        <v/>
      </c>
      <c r="G6097" s="103" t="str">
        <f aca="false">IF($C6097="","",$D6097*IFERROR(INDEX('تحليل التكلفة والسعر'!$C$2:$C$700,MATCH($C6097,'تحليل التكلفة والسعر'!$B$2:$B$700,0)),0))</f>
        <v/>
      </c>
    </row>
    <row r="6098" customFormat="false" ht="15" hidden="false" customHeight="false" outlineLevel="0" collapsed="false">
      <c r="A6098" s="102"/>
      <c r="E6098" s="103" t="str">
        <f aca="false">IF($C6098="","",IFERROR(INDEX(المنيو!$C$2:$C$500,MATCH($C6098,المنيو!$B$2:$B$500,0)),0))</f>
        <v/>
      </c>
      <c r="F6098" s="103" t="str">
        <f aca="false">IF($C6098="","",$D6098*$E6098)</f>
        <v/>
      </c>
      <c r="G6098" s="103" t="str">
        <f aca="false">IF($C6098="","",$D6098*IFERROR(INDEX('تحليل التكلفة والسعر'!$C$2:$C$700,MATCH($C6098,'تحليل التكلفة والسعر'!$B$2:$B$700,0)),0))</f>
        <v/>
      </c>
    </row>
    <row r="6099" customFormat="false" ht="15" hidden="false" customHeight="false" outlineLevel="0" collapsed="false">
      <c r="A6099" s="102"/>
      <c r="E6099" s="103" t="str">
        <f aca="false">IF($C6099="","",IFERROR(INDEX(المنيو!$C$2:$C$500,MATCH($C6099,المنيو!$B$2:$B$500,0)),0))</f>
        <v/>
      </c>
      <c r="F6099" s="103" t="str">
        <f aca="false">IF($C6099="","",$D6099*$E6099)</f>
        <v/>
      </c>
      <c r="G6099" s="103" t="str">
        <f aca="false">IF($C6099="","",$D6099*IFERROR(INDEX('تحليل التكلفة والسعر'!$C$2:$C$700,MATCH($C6099,'تحليل التكلفة والسعر'!$B$2:$B$700,0)),0))</f>
        <v/>
      </c>
    </row>
    <row r="6100" customFormat="false" ht="15" hidden="false" customHeight="false" outlineLevel="0" collapsed="false">
      <c r="A6100" s="102"/>
      <c r="E6100" s="103" t="str">
        <f aca="false">IF($C6100="","",IFERROR(INDEX(المنيو!$C$2:$C$500,MATCH($C6100,المنيو!$B$2:$B$500,0)),0))</f>
        <v/>
      </c>
      <c r="F6100" s="103" t="str">
        <f aca="false">IF($C6100="","",$D6100*$E6100)</f>
        <v/>
      </c>
      <c r="G6100" s="103" t="str">
        <f aca="false">IF($C6100="","",$D6100*IFERROR(INDEX('تحليل التكلفة والسعر'!$C$2:$C$700,MATCH($C6100,'تحليل التكلفة والسعر'!$B$2:$B$700,0)),0))</f>
        <v/>
      </c>
    </row>
    <row r="6101" customFormat="false" ht="15" hidden="false" customHeight="false" outlineLevel="0" collapsed="false">
      <c r="A6101" s="102"/>
      <c r="E6101" s="103" t="str">
        <f aca="false">IF($C6101="","",IFERROR(INDEX(المنيو!$C$2:$C$500,MATCH($C6101,المنيو!$B$2:$B$500,0)),0))</f>
        <v/>
      </c>
      <c r="F6101" s="103" t="str">
        <f aca="false">IF($C6101="","",$D6101*$E6101)</f>
        <v/>
      </c>
      <c r="G6101" s="103" t="str">
        <f aca="false">IF($C6101="","",$D6101*IFERROR(INDEX('تحليل التكلفة والسعر'!$C$2:$C$700,MATCH($C6101,'تحليل التكلفة والسعر'!$B$2:$B$700,0)),0))</f>
        <v/>
      </c>
    </row>
    <row r="6102" customFormat="false" ht="15" hidden="false" customHeight="false" outlineLevel="0" collapsed="false">
      <c r="A6102" s="102"/>
      <c r="E6102" s="103" t="str">
        <f aca="false">IF($C6102="","",IFERROR(INDEX(المنيو!$C$2:$C$500,MATCH($C6102,المنيو!$B$2:$B$500,0)),0))</f>
        <v/>
      </c>
      <c r="F6102" s="103" t="str">
        <f aca="false">IF($C6102="","",$D6102*$E6102)</f>
        <v/>
      </c>
      <c r="G6102" s="103" t="str">
        <f aca="false">IF($C6102="","",$D6102*IFERROR(INDEX('تحليل التكلفة والسعر'!$C$2:$C$700,MATCH($C6102,'تحليل التكلفة والسعر'!$B$2:$B$700,0)),0))</f>
        <v/>
      </c>
    </row>
    <row r="6103" customFormat="false" ht="15" hidden="false" customHeight="false" outlineLevel="0" collapsed="false">
      <c r="A6103" s="102"/>
      <c r="E6103" s="103" t="str">
        <f aca="false">IF($C6103="","",IFERROR(INDEX(المنيو!$C$2:$C$500,MATCH($C6103,المنيو!$B$2:$B$500,0)),0))</f>
        <v/>
      </c>
      <c r="F6103" s="103" t="str">
        <f aca="false">IF($C6103="","",$D6103*$E6103)</f>
        <v/>
      </c>
      <c r="G6103" s="103" t="str">
        <f aca="false">IF($C6103="","",$D6103*IFERROR(INDEX('تحليل التكلفة والسعر'!$C$2:$C$700,MATCH($C6103,'تحليل التكلفة والسعر'!$B$2:$B$700,0)),0))</f>
        <v/>
      </c>
    </row>
    <row r="6104" customFormat="false" ht="15" hidden="false" customHeight="false" outlineLevel="0" collapsed="false">
      <c r="A6104" s="102"/>
      <c r="E6104" s="103" t="str">
        <f aca="false">IF($C6104="","",IFERROR(INDEX(المنيو!$C$2:$C$500,MATCH($C6104,المنيو!$B$2:$B$500,0)),0))</f>
        <v/>
      </c>
      <c r="F6104" s="103" t="str">
        <f aca="false">IF($C6104="","",$D6104*$E6104)</f>
        <v/>
      </c>
      <c r="G6104" s="103" t="str">
        <f aca="false">IF($C6104="","",$D6104*IFERROR(INDEX('تحليل التكلفة والسعر'!$C$2:$C$700,MATCH($C6104,'تحليل التكلفة والسعر'!$B$2:$B$700,0)),0))</f>
        <v/>
      </c>
    </row>
    <row r="6105" customFormat="false" ht="15" hidden="false" customHeight="false" outlineLevel="0" collapsed="false">
      <c r="A6105" s="102"/>
      <c r="E6105" s="103" t="str">
        <f aca="false">IF($C6105="","",IFERROR(INDEX(المنيو!$C$2:$C$500,MATCH($C6105,المنيو!$B$2:$B$500,0)),0))</f>
        <v/>
      </c>
      <c r="F6105" s="103" t="str">
        <f aca="false">IF($C6105="","",$D6105*$E6105)</f>
        <v/>
      </c>
      <c r="G6105" s="103" t="str">
        <f aca="false">IF($C6105="","",$D6105*IFERROR(INDEX('تحليل التكلفة والسعر'!$C$2:$C$700,MATCH($C6105,'تحليل التكلفة والسعر'!$B$2:$B$700,0)),0))</f>
        <v/>
      </c>
    </row>
    <row r="6106" customFormat="false" ht="15" hidden="false" customHeight="false" outlineLevel="0" collapsed="false">
      <c r="A6106" s="102"/>
      <c r="E6106" s="103" t="str">
        <f aca="false">IF($C6106="","",IFERROR(INDEX(المنيو!$C$2:$C$500,MATCH($C6106,المنيو!$B$2:$B$500,0)),0))</f>
        <v/>
      </c>
      <c r="F6106" s="103" t="str">
        <f aca="false">IF($C6106="","",$D6106*$E6106)</f>
        <v/>
      </c>
      <c r="G6106" s="103" t="str">
        <f aca="false">IF($C6106="","",$D6106*IFERROR(INDEX('تحليل التكلفة والسعر'!$C$2:$C$700,MATCH($C6106,'تحليل التكلفة والسعر'!$B$2:$B$700,0)),0))</f>
        <v/>
      </c>
    </row>
    <row r="6107" customFormat="false" ht="15" hidden="false" customHeight="false" outlineLevel="0" collapsed="false">
      <c r="A6107" s="102"/>
      <c r="E6107" s="103" t="str">
        <f aca="false">IF($C6107="","",IFERROR(INDEX(المنيو!$C$2:$C$500,MATCH($C6107,المنيو!$B$2:$B$500,0)),0))</f>
        <v/>
      </c>
      <c r="F6107" s="103" t="str">
        <f aca="false">IF($C6107="","",$D6107*$E6107)</f>
        <v/>
      </c>
      <c r="G6107" s="103" t="str">
        <f aca="false">IF($C6107="","",$D6107*IFERROR(INDEX('تحليل التكلفة والسعر'!$C$2:$C$700,MATCH($C6107,'تحليل التكلفة والسعر'!$B$2:$B$700,0)),0))</f>
        <v/>
      </c>
    </row>
    <row r="6108" customFormat="false" ht="15" hidden="false" customHeight="false" outlineLevel="0" collapsed="false">
      <c r="A6108" s="102"/>
      <c r="E6108" s="103" t="str">
        <f aca="false">IF($C6108="","",IFERROR(INDEX(المنيو!$C$2:$C$500,MATCH($C6108,المنيو!$B$2:$B$500,0)),0))</f>
        <v/>
      </c>
      <c r="F6108" s="103" t="str">
        <f aca="false">IF($C6108="","",$D6108*$E6108)</f>
        <v/>
      </c>
      <c r="G6108" s="103" t="str">
        <f aca="false">IF($C6108="","",$D6108*IFERROR(INDEX('تحليل التكلفة والسعر'!$C$2:$C$700,MATCH($C6108,'تحليل التكلفة والسعر'!$B$2:$B$700,0)),0))</f>
        <v/>
      </c>
    </row>
    <row r="6109" customFormat="false" ht="15" hidden="false" customHeight="false" outlineLevel="0" collapsed="false">
      <c r="A6109" s="102"/>
      <c r="E6109" s="103" t="str">
        <f aca="false">IF($C6109="","",IFERROR(INDEX(المنيو!$C$2:$C$500,MATCH($C6109,المنيو!$B$2:$B$500,0)),0))</f>
        <v/>
      </c>
      <c r="F6109" s="103" t="str">
        <f aca="false">IF($C6109="","",$D6109*$E6109)</f>
        <v/>
      </c>
      <c r="G6109" s="103" t="str">
        <f aca="false">IF($C6109="","",$D6109*IFERROR(INDEX('تحليل التكلفة والسعر'!$C$2:$C$700,MATCH($C6109,'تحليل التكلفة والسعر'!$B$2:$B$700,0)),0))</f>
        <v/>
      </c>
    </row>
    <row r="6110" customFormat="false" ht="15" hidden="false" customHeight="false" outlineLevel="0" collapsed="false">
      <c r="A6110" s="102"/>
      <c r="E6110" s="103" t="str">
        <f aca="false">IF($C6110="","",IFERROR(INDEX(المنيو!$C$2:$C$500,MATCH($C6110,المنيو!$B$2:$B$500,0)),0))</f>
        <v/>
      </c>
      <c r="F6110" s="103" t="str">
        <f aca="false">IF($C6110="","",$D6110*$E6110)</f>
        <v/>
      </c>
      <c r="G6110" s="103" t="str">
        <f aca="false">IF($C6110="","",$D6110*IFERROR(INDEX('تحليل التكلفة والسعر'!$C$2:$C$700,MATCH($C6110,'تحليل التكلفة والسعر'!$B$2:$B$700,0)),0))</f>
        <v/>
      </c>
    </row>
    <row r="6111" customFormat="false" ht="15" hidden="false" customHeight="false" outlineLevel="0" collapsed="false">
      <c r="A6111" s="102"/>
      <c r="E6111" s="103" t="str">
        <f aca="false">IF($C6111="","",IFERROR(INDEX(المنيو!$C$2:$C$500,MATCH($C6111,المنيو!$B$2:$B$500,0)),0))</f>
        <v/>
      </c>
      <c r="F6111" s="103" t="str">
        <f aca="false">IF($C6111="","",$D6111*$E6111)</f>
        <v/>
      </c>
      <c r="G6111" s="103" t="str">
        <f aca="false">IF($C6111="","",$D6111*IFERROR(INDEX('تحليل التكلفة والسعر'!$C$2:$C$700,MATCH($C6111,'تحليل التكلفة والسعر'!$B$2:$B$700,0)),0))</f>
        <v/>
      </c>
    </row>
    <row r="6112" customFormat="false" ht="15" hidden="false" customHeight="false" outlineLevel="0" collapsed="false">
      <c r="A6112" s="102"/>
      <c r="E6112" s="103" t="str">
        <f aca="false">IF($C6112="","",IFERROR(INDEX(المنيو!$C$2:$C$500,MATCH($C6112,المنيو!$B$2:$B$500,0)),0))</f>
        <v/>
      </c>
      <c r="F6112" s="103" t="str">
        <f aca="false">IF($C6112="","",$D6112*$E6112)</f>
        <v/>
      </c>
      <c r="G6112" s="103" t="str">
        <f aca="false">IF($C6112="","",$D6112*IFERROR(INDEX('تحليل التكلفة والسعر'!$C$2:$C$700,MATCH($C6112,'تحليل التكلفة والسعر'!$B$2:$B$700,0)),0))</f>
        <v/>
      </c>
    </row>
    <row r="6113" customFormat="false" ht="15" hidden="false" customHeight="false" outlineLevel="0" collapsed="false">
      <c r="A6113" s="102"/>
      <c r="E6113" s="103" t="str">
        <f aca="false">IF($C6113="","",IFERROR(INDEX(المنيو!$C$2:$C$500,MATCH($C6113,المنيو!$B$2:$B$500,0)),0))</f>
        <v/>
      </c>
      <c r="F6113" s="103" t="str">
        <f aca="false">IF($C6113="","",$D6113*$E6113)</f>
        <v/>
      </c>
      <c r="G6113" s="103" t="str">
        <f aca="false">IF($C6113="","",$D6113*IFERROR(INDEX('تحليل التكلفة والسعر'!$C$2:$C$700,MATCH($C6113,'تحليل التكلفة والسعر'!$B$2:$B$700,0)),0))</f>
        <v/>
      </c>
    </row>
    <row r="6114" customFormat="false" ht="15" hidden="false" customHeight="false" outlineLevel="0" collapsed="false">
      <c r="A6114" s="102"/>
      <c r="E6114" s="103" t="str">
        <f aca="false">IF($C6114="","",IFERROR(INDEX(المنيو!$C$2:$C$500,MATCH($C6114,المنيو!$B$2:$B$500,0)),0))</f>
        <v/>
      </c>
      <c r="F6114" s="103" t="str">
        <f aca="false">IF($C6114="","",$D6114*$E6114)</f>
        <v/>
      </c>
      <c r="G6114" s="103" t="str">
        <f aca="false">IF($C6114="","",$D6114*IFERROR(INDEX('تحليل التكلفة والسعر'!$C$2:$C$700,MATCH($C6114,'تحليل التكلفة والسعر'!$B$2:$B$700,0)),0))</f>
        <v/>
      </c>
    </row>
    <row r="6115" customFormat="false" ht="15" hidden="false" customHeight="false" outlineLevel="0" collapsed="false">
      <c r="A6115" s="102"/>
      <c r="E6115" s="103" t="str">
        <f aca="false">IF($C6115="","",IFERROR(INDEX(المنيو!$C$2:$C$500,MATCH($C6115,المنيو!$B$2:$B$500,0)),0))</f>
        <v/>
      </c>
      <c r="F6115" s="103" t="str">
        <f aca="false">IF($C6115="","",$D6115*$E6115)</f>
        <v/>
      </c>
      <c r="G6115" s="103" t="str">
        <f aca="false">IF($C6115="","",$D6115*IFERROR(INDEX('تحليل التكلفة والسعر'!$C$2:$C$700,MATCH($C6115,'تحليل التكلفة والسعر'!$B$2:$B$700,0)),0))</f>
        <v/>
      </c>
    </row>
    <row r="6116" customFormat="false" ht="15" hidden="false" customHeight="false" outlineLevel="0" collapsed="false">
      <c r="A6116" s="102"/>
      <c r="E6116" s="103" t="str">
        <f aca="false">IF($C6116="","",IFERROR(INDEX(المنيو!$C$2:$C$500,MATCH($C6116,المنيو!$B$2:$B$500,0)),0))</f>
        <v/>
      </c>
      <c r="F6116" s="103" t="str">
        <f aca="false">IF($C6116="","",$D6116*$E6116)</f>
        <v/>
      </c>
      <c r="G6116" s="103" t="str">
        <f aca="false">IF($C6116="","",$D6116*IFERROR(INDEX('تحليل التكلفة والسعر'!$C$2:$C$700,MATCH($C6116,'تحليل التكلفة والسعر'!$B$2:$B$700,0)),0))</f>
        <v/>
      </c>
    </row>
    <row r="6117" customFormat="false" ht="15" hidden="false" customHeight="false" outlineLevel="0" collapsed="false">
      <c r="A6117" s="102"/>
      <c r="E6117" s="103" t="str">
        <f aca="false">IF($C6117="","",IFERROR(INDEX(المنيو!$C$2:$C$500,MATCH($C6117,المنيو!$B$2:$B$500,0)),0))</f>
        <v/>
      </c>
      <c r="F6117" s="103" t="str">
        <f aca="false">IF($C6117="","",$D6117*$E6117)</f>
        <v/>
      </c>
      <c r="G6117" s="103" t="str">
        <f aca="false">IF($C6117="","",$D6117*IFERROR(INDEX('تحليل التكلفة والسعر'!$C$2:$C$700,MATCH($C6117,'تحليل التكلفة والسعر'!$B$2:$B$700,0)),0))</f>
        <v/>
      </c>
    </row>
    <row r="6118" customFormat="false" ht="15" hidden="false" customHeight="false" outlineLevel="0" collapsed="false">
      <c r="A6118" s="102"/>
      <c r="E6118" s="103" t="str">
        <f aca="false">IF($C6118="","",IFERROR(INDEX(المنيو!$C$2:$C$500,MATCH($C6118,المنيو!$B$2:$B$500,0)),0))</f>
        <v/>
      </c>
      <c r="F6118" s="103" t="str">
        <f aca="false">IF($C6118="","",$D6118*$E6118)</f>
        <v/>
      </c>
      <c r="G6118" s="103" t="str">
        <f aca="false">IF($C6118="","",$D6118*IFERROR(INDEX('تحليل التكلفة والسعر'!$C$2:$C$700,MATCH($C6118,'تحليل التكلفة والسعر'!$B$2:$B$700,0)),0))</f>
        <v/>
      </c>
    </row>
    <row r="6119" customFormat="false" ht="15" hidden="false" customHeight="false" outlineLevel="0" collapsed="false">
      <c r="A6119" s="102"/>
      <c r="E6119" s="103" t="str">
        <f aca="false">IF($C6119="","",IFERROR(INDEX(المنيو!$C$2:$C$500,MATCH($C6119,المنيو!$B$2:$B$500,0)),0))</f>
        <v/>
      </c>
      <c r="F6119" s="103" t="str">
        <f aca="false">IF($C6119="","",$D6119*$E6119)</f>
        <v/>
      </c>
      <c r="G6119" s="103" t="str">
        <f aca="false">IF($C6119="","",$D6119*IFERROR(INDEX('تحليل التكلفة والسعر'!$C$2:$C$700,MATCH($C6119,'تحليل التكلفة والسعر'!$B$2:$B$700,0)),0))</f>
        <v/>
      </c>
    </row>
    <row r="6120" customFormat="false" ht="15" hidden="false" customHeight="false" outlineLevel="0" collapsed="false">
      <c r="A6120" s="102"/>
      <c r="E6120" s="103" t="str">
        <f aca="false">IF($C6120="","",IFERROR(INDEX(المنيو!$C$2:$C$500,MATCH($C6120,المنيو!$B$2:$B$500,0)),0))</f>
        <v/>
      </c>
      <c r="F6120" s="103" t="str">
        <f aca="false">IF($C6120="","",$D6120*$E6120)</f>
        <v/>
      </c>
      <c r="G6120" s="103" t="str">
        <f aca="false">IF($C6120="","",$D6120*IFERROR(INDEX('تحليل التكلفة والسعر'!$C$2:$C$700,MATCH($C6120,'تحليل التكلفة والسعر'!$B$2:$B$700,0)),0))</f>
        <v/>
      </c>
    </row>
    <row r="6121" customFormat="false" ht="15" hidden="false" customHeight="false" outlineLevel="0" collapsed="false">
      <c r="A6121" s="102"/>
      <c r="E6121" s="103" t="str">
        <f aca="false">IF($C6121="","",IFERROR(INDEX(المنيو!$C$2:$C$500,MATCH($C6121,المنيو!$B$2:$B$500,0)),0))</f>
        <v/>
      </c>
      <c r="F6121" s="103" t="str">
        <f aca="false">IF($C6121="","",$D6121*$E6121)</f>
        <v/>
      </c>
      <c r="G6121" s="103" t="str">
        <f aca="false">IF($C6121="","",$D6121*IFERROR(INDEX('تحليل التكلفة والسعر'!$C$2:$C$700,MATCH($C6121,'تحليل التكلفة والسعر'!$B$2:$B$700,0)),0))</f>
        <v/>
      </c>
    </row>
    <row r="6122" customFormat="false" ht="15" hidden="false" customHeight="false" outlineLevel="0" collapsed="false">
      <c r="A6122" s="102"/>
      <c r="E6122" s="103" t="str">
        <f aca="false">IF($C6122="","",IFERROR(INDEX(المنيو!$C$2:$C$500,MATCH($C6122,المنيو!$B$2:$B$500,0)),0))</f>
        <v/>
      </c>
      <c r="F6122" s="103" t="str">
        <f aca="false">IF($C6122="","",$D6122*$E6122)</f>
        <v/>
      </c>
      <c r="G6122" s="103" t="str">
        <f aca="false">IF($C6122="","",$D6122*IFERROR(INDEX('تحليل التكلفة والسعر'!$C$2:$C$700,MATCH($C6122,'تحليل التكلفة والسعر'!$B$2:$B$700,0)),0))</f>
        <v/>
      </c>
    </row>
    <row r="6123" customFormat="false" ht="15" hidden="false" customHeight="false" outlineLevel="0" collapsed="false">
      <c r="A6123" s="102"/>
      <c r="E6123" s="103" t="str">
        <f aca="false">IF($C6123="","",IFERROR(INDEX(المنيو!$C$2:$C$500,MATCH($C6123,المنيو!$B$2:$B$500,0)),0))</f>
        <v/>
      </c>
      <c r="F6123" s="103" t="str">
        <f aca="false">IF($C6123="","",$D6123*$E6123)</f>
        <v/>
      </c>
      <c r="G6123" s="103" t="str">
        <f aca="false">IF($C6123="","",$D6123*IFERROR(INDEX('تحليل التكلفة والسعر'!$C$2:$C$700,MATCH($C6123,'تحليل التكلفة والسعر'!$B$2:$B$700,0)),0))</f>
        <v/>
      </c>
    </row>
    <row r="6124" customFormat="false" ht="15" hidden="false" customHeight="false" outlineLevel="0" collapsed="false">
      <c r="A6124" s="102"/>
      <c r="E6124" s="103" t="str">
        <f aca="false">IF($C6124="","",IFERROR(INDEX(المنيو!$C$2:$C$500,MATCH($C6124,المنيو!$B$2:$B$500,0)),0))</f>
        <v/>
      </c>
      <c r="F6124" s="103" t="str">
        <f aca="false">IF($C6124="","",$D6124*$E6124)</f>
        <v/>
      </c>
      <c r="G6124" s="103" t="str">
        <f aca="false">IF($C6124="","",$D6124*IFERROR(INDEX('تحليل التكلفة والسعر'!$C$2:$C$700,MATCH($C6124,'تحليل التكلفة والسعر'!$B$2:$B$700,0)),0))</f>
        <v/>
      </c>
    </row>
    <row r="6125" customFormat="false" ht="15" hidden="false" customHeight="false" outlineLevel="0" collapsed="false">
      <c r="A6125" s="102"/>
      <c r="E6125" s="103" t="str">
        <f aca="false">IF($C6125="","",IFERROR(INDEX(المنيو!$C$2:$C$500,MATCH($C6125,المنيو!$B$2:$B$500,0)),0))</f>
        <v/>
      </c>
      <c r="F6125" s="103" t="str">
        <f aca="false">IF($C6125="","",$D6125*$E6125)</f>
        <v/>
      </c>
      <c r="G6125" s="103" t="str">
        <f aca="false">IF($C6125="","",$D6125*IFERROR(INDEX('تحليل التكلفة والسعر'!$C$2:$C$700,MATCH($C6125,'تحليل التكلفة والسعر'!$B$2:$B$700,0)),0))</f>
        <v/>
      </c>
    </row>
    <row r="6126" customFormat="false" ht="15" hidden="false" customHeight="false" outlineLevel="0" collapsed="false">
      <c r="A6126" s="102"/>
      <c r="E6126" s="103" t="str">
        <f aca="false">IF($C6126="","",IFERROR(INDEX(المنيو!$C$2:$C$500,MATCH($C6126,المنيو!$B$2:$B$500,0)),0))</f>
        <v/>
      </c>
      <c r="F6126" s="103" t="str">
        <f aca="false">IF($C6126="","",$D6126*$E6126)</f>
        <v/>
      </c>
      <c r="G6126" s="103" t="str">
        <f aca="false">IF($C6126="","",$D6126*IFERROR(INDEX('تحليل التكلفة والسعر'!$C$2:$C$700,MATCH($C6126,'تحليل التكلفة والسعر'!$B$2:$B$700,0)),0))</f>
        <v/>
      </c>
    </row>
    <row r="6127" customFormat="false" ht="15" hidden="false" customHeight="false" outlineLevel="0" collapsed="false">
      <c r="A6127" s="102"/>
      <c r="E6127" s="103" t="str">
        <f aca="false">IF($C6127="","",IFERROR(INDEX(المنيو!$C$2:$C$500,MATCH($C6127,المنيو!$B$2:$B$500,0)),0))</f>
        <v/>
      </c>
      <c r="F6127" s="103" t="str">
        <f aca="false">IF($C6127="","",$D6127*$E6127)</f>
        <v/>
      </c>
      <c r="G6127" s="103" t="str">
        <f aca="false">IF($C6127="","",$D6127*IFERROR(INDEX('تحليل التكلفة والسعر'!$C$2:$C$700,MATCH($C6127,'تحليل التكلفة والسعر'!$B$2:$B$700,0)),0))</f>
        <v/>
      </c>
    </row>
    <row r="6128" customFormat="false" ht="15" hidden="false" customHeight="false" outlineLevel="0" collapsed="false">
      <c r="A6128" s="102"/>
      <c r="E6128" s="103" t="str">
        <f aca="false">IF($C6128="","",IFERROR(INDEX(المنيو!$C$2:$C$500,MATCH($C6128,المنيو!$B$2:$B$500,0)),0))</f>
        <v/>
      </c>
      <c r="F6128" s="103" t="str">
        <f aca="false">IF($C6128="","",$D6128*$E6128)</f>
        <v/>
      </c>
      <c r="G6128" s="103" t="str">
        <f aca="false">IF($C6128="","",$D6128*IFERROR(INDEX('تحليل التكلفة والسعر'!$C$2:$C$700,MATCH($C6128,'تحليل التكلفة والسعر'!$B$2:$B$700,0)),0))</f>
        <v/>
      </c>
    </row>
    <row r="6129" customFormat="false" ht="15" hidden="false" customHeight="false" outlineLevel="0" collapsed="false">
      <c r="A6129" s="102"/>
      <c r="E6129" s="103" t="str">
        <f aca="false">IF($C6129="","",IFERROR(INDEX(المنيو!$C$2:$C$500,MATCH($C6129,المنيو!$B$2:$B$500,0)),0))</f>
        <v/>
      </c>
      <c r="F6129" s="103" t="str">
        <f aca="false">IF($C6129="","",$D6129*$E6129)</f>
        <v/>
      </c>
      <c r="G6129" s="103" t="str">
        <f aca="false">IF($C6129="","",$D6129*IFERROR(INDEX('تحليل التكلفة والسعر'!$C$2:$C$700,MATCH($C6129,'تحليل التكلفة والسعر'!$B$2:$B$700,0)),0))</f>
        <v/>
      </c>
    </row>
    <row r="6130" customFormat="false" ht="15" hidden="false" customHeight="false" outlineLevel="0" collapsed="false">
      <c r="A6130" s="102"/>
      <c r="E6130" s="103" t="str">
        <f aca="false">IF($C6130="","",IFERROR(INDEX(المنيو!$C$2:$C$500,MATCH($C6130,المنيو!$B$2:$B$500,0)),0))</f>
        <v/>
      </c>
      <c r="F6130" s="103" t="str">
        <f aca="false">IF($C6130="","",$D6130*$E6130)</f>
        <v/>
      </c>
      <c r="G6130" s="103" t="str">
        <f aca="false">IF($C6130="","",$D6130*IFERROR(INDEX('تحليل التكلفة والسعر'!$C$2:$C$700,MATCH($C6130,'تحليل التكلفة والسعر'!$B$2:$B$700,0)),0))</f>
        <v/>
      </c>
    </row>
    <row r="6131" customFormat="false" ht="15" hidden="false" customHeight="false" outlineLevel="0" collapsed="false">
      <c r="A6131" s="102"/>
      <c r="E6131" s="103" t="str">
        <f aca="false">IF($C6131="","",IFERROR(INDEX(المنيو!$C$2:$C$500,MATCH($C6131,المنيو!$B$2:$B$500,0)),0))</f>
        <v/>
      </c>
      <c r="F6131" s="103" t="str">
        <f aca="false">IF($C6131="","",$D6131*$E6131)</f>
        <v/>
      </c>
      <c r="G6131" s="103" t="str">
        <f aca="false">IF($C6131="","",$D6131*IFERROR(INDEX('تحليل التكلفة والسعر'!$C$2:$C$700,MATCH($C6131,'تحليل التكلفة والسعر'!$B$2:$B$700,0)),0))</f>
        <v/>
      </c>
    </row>
    <row r="6132" customFormat="false" ht="15" hidden="false" customHeight="false" outlineLevel="0" collapsed="false">
      <c r="A6132" s="102"/>
      <c r="E6132" s="103" t="str">
        <f aca="false">IF($C6132="","",IFERROR(INDEX(المنيو!$C$2:$C$500,MATCH($C6132,المنيو!$B$2:$B$500,0)),0))</f>
        <v/>
      </c>
      <c r="F6132" s="103" t="str">
        <f aca="false">IF($C6132="","",$D6132*$E6132)</f>
        <v/>
      </c>
      <c r="G6132" s="103" t="str">
        <f aca="false">IF($C6132="","",$D6132*IFERROR(INDEX('تحليل التكلفة والسعر'!$C$2:$C$700,MATCH($C6132,'تحليل التكلفة والسعر'!$B$2:$B$700,0)),0))</f>
        <v/>
      </c>
    </row>
    <row r="6133" customFormat="false" ht="15" hidden="false" customHeight="false" outlineLevel="0" collapsed="false">
      <c r="A6133" s="102"/>
      <c r="E6133" s="103" t="str">
        <f aca="false">IF($C6133="","",IFERROR(INDEX(المنيو!$C$2:$C$500,MATCH($C6133,المنيو!$B$2:$B$500,0)),0))</f>
        <v/>
      </c>
      <c r="F6133" s="103" t="str">
        <f aca="false">IF($C6133="","",$D6133*$E6133)</f>
        <v/>
      </c>
      <c r="G6133" s="103" t="str">
        <f aca="false">IF($C6133="","",$D6133*IFERROR(INDEX('تحليل التكلفة والسعر'!$C$2:$C$700,MATCH($C6133,'تحليل التكلفة والسعر'!$B$2:$B$700,0)),0))</f>
        <v/>
      </c>
    </row>
    <row r="6134" customFormat="false" ht="15" hidden="false" customHeight="false" outlineLevel="0" collapsed="false">
      <c r="A6134" s="102"/>
      <c r="E6134" s="103" t="str">
        <f aca="false">IF($C6134="","",IFERROR(INDEX(المنيو!$C$2:$C$500,MATCH($C6134,المنيو!$B$2:$B$500,0)),0))</f>
        <v/>
      </c>
      <c r="F6134" s="103" t="str">
        <f aca="false">IF($C6134="","",$D6134*$E6134)</f>
        <v/>
      </c>
      <c r="G6134" s="103" t="str">
        <f aca="false">IF($C6134="","",$D6134*IFERROR(INDEX('تحليل التكلفة والسعر'!$C$2:$C$700,MATCH($C6134,'تحليل التكلفة والسعر'!$B$2:$B$700,0)),0))</f>
        <v/>
      </c>
    </row>
    <row r="6135" customFormat="false" ht="15" hidden="false" customHeight="false" outlineLevel="0" collapsed="false">
      <c r="A6135" s="102"/>
      <c r="E6135" s="103" t="str">
        <f aca="false">IF($C6135="","",IFERROR(INDEX(المنيو!$C$2:$C$500,MATCH($C6135,المنيو!$B$2:$B$500,0)),0))</f>
        <v/>
      </c>
      <c r="F6135" s="103" t="str">
        <f aca="false">IF($C6135="","",$D6135*$E6135)</f>
        <v/>
      </c>
      <c r="G6135" s="103" t="str">
        <f aca="false">IF($C6135="","",$D6135*IFERROR(INDEX('تحليل التكلفة والسعر'!$C$2:$C$700,MATCH($C6135,'تحليل التكلفة والسعر'!$B$2:$B$700,0)),0))</f>
        <v/>
      </c>
    </row>
    <row r="6136" customFormat="false" ht="15" hidden="false" customHeight="false" outlineLevel="0" collapsed="false">
      <c r="A6136" s="102"/>
      <c r="E6136" s="103" t="str">
        <f aca="false">IF($C6136="","",IFERROR(INDEX(المنيو!$C$2:$C$500,MATCH($C6136,المنيو!$B$2:$B$500,0)),0))</f>
        <v/>
      </c>
      <c r="F6136" s="103" t="str">
        <f aca="false">IF($C6136="","",$D6136*$E6136)</f>
        <v/>
      </c>
      <c r="G6136" s="103" t="str">
        <f aca="false">IF($C6136="","",$D6136*IFERROR(INDEX('تحليل التكلفة والسعر'!$C$2:$C$700,MATCH($C6136,'تحليل التكلفة والسعر'!$B$2:$B$700,0)),0))</f>
        <v/>
      </c>
    </row>
    <row r="6137" customFormat="false" ht="15" hidden="false" customHeight="false" outlineLevel="0" collapsed="false">
      <c r="A6137" s="102"/>
      <c r="E6137" s="103" t="str">
        <f aca="false">IF($C6137="","",IFERROR(INDEX(المنيو!$C$2:$C$500,MATCH($C6137,المنيو!$B$2:$B$500,0)),0))</f>
        <v/>
      </c>
      <c r="F6137" s="103" t="str">
        <f aca="false">IF($C6137="","",$D6137*$E6137)</f>
        <v/>
      </c>
      <c r="G6137" s="103" t="str">
        <f aca="false">IF($C6137="","",$D6137*IFERROR(INDEX('تحليل التكلفة والسعر'!$C$2:$C$700,MATCH($C6137,'تحليل التكلفة والسعر'!$B$2:$B$700,0)),0))</f>
        <v/>
      </c>
    </row>
    <row r="6138" customFormat="false" ht="15" hidden="false" customHeight="false" outlineLevel="0" collapsed="false">
      <c r="A6138" s="102"/>
      <c r="E6138" s="103" t="str">
        <f aca="false">IF($C6138="","",IFERROR(INDEX(المنيو!$C$2:$C$500,MATCH($C6138,المنيو!$B$2:$B$500,0)),0))</f>
        <v/>
      </c>
      <c r="F6138" s="103" t="str">
        <f aca="false">IF($C6138="","",$D6138*$E6138)</f>
        <v/>
      </c>
      <c r="G6138" s="103" t="str">
        <f aca="false">IF($C6138="","",$D6138*IFERROR(INDEX('تحليل التكلفة والسعر'!$C$2:$C$700,MATCH($C6138,'تحليل التكلفة والسعر'!$B$2:$B$700,0)),0))</f>
        <v/>
      </c>
    </row>
    <row r="6139" customFormat="false" ht="15" hidden="false" customHeight="false" outlineLevel="0" collapsed="false">
      <c r="A6139" s="102"/>
      <c r="E6139" s="103" t="str">
        <f aca="false">IF($C6139="","",IFERROR(INDEX(المنيو!$C$2:$C$500,MATCH($C6139,المنيو!$B$2:$B$500,0)),0))</f>
        <v/>
      </c>
      <c r="F6139" s="103" t="str">
        <f aca="false">IF($C6139="","",$D6139*$E6139)</f>
        <v/>
      </c>
      <c r="G6139" s="103" t="str">
        <f aca="false">IF($C6139="","",$D6139*IFERROR(INDEX('تحليل التكلفة والسعر'!$C$2:$C$700,MATCH($C6139,'تحليل التكلفة والسعر'!$B$2:$B$700,0)),0))</f>
        <v/>
      </c>
    </row>
    <row r="6140" customFormat="false" ht="15" hidden="false" customHeight="false" outlineLevel="0" collapsed="false">
      <c r="A6140" s="102"/>
      <c r="E6140" s="103" t="str">
        <f aca="false">IF($C6140="","",IFERROR(INDEX(المنيو!$C$2:$C$500,MATCH($C6140,المنيو!$B$2:$B$500,0)),0))</f>
        <v/>
      </c>
      <c r="F6140" s="103" t="str">
        <f aca="false">IF($C6140="","",$D6140*$E6140)</f>
        <v/>
      </c>
      <c r="G6140" s="103" t="str">
        <f aca="false">IF($C6140="","",$D6140*IFERROR(INDEX('تحليل التكلفة والسعر'!$C$2:$C$700,MATCH($C6140,'تحليل التكلفة والسعر'!$B$2:$B$700,0)),0))</f>
        <v/>
      </c>
    </row>
    <row r="6141" customFormat="false" ht="15" hidden="false" customHeight="false" outlineLevel="0" collapsed="false">
      <c r="A6141" s="102"/>
      <c r="E6141" s="103" t="str">
        <f aca="false">IF($C6141="","",IFERROR(INDEX(المنيو!$C$2:$C$500,MATCH($C6141,المنيو!$B$2:$B$500,0)),0))</f>
        <v/>
      </c>
      <c r="F6141" s="103" t="str">
        <f aca="false">IF($C6141="","",$D6141*$E6141)</f>
        <v/>
      </c>
      <c r="G6141" s="103" t="str">
        <f aca="false">IF($C6141="","",$D6141*IFERROR(INDEX('تحليل التكلفة والسعر'!$C$2:$C$700,MATCH($C6141,'تحليل التكلفة والسعر'!$B$2:$B$700,0)),0))</f>
        <v/>
      </c>
    </row>
    <row r="6142" customFormat="false" ht="15" hidden="false" customHeight="false" outlineLevel="0" collapsed="false">
      <c r="A6142" s="102"/>
      <c r="E6142" s="103" t="str">
        <f aca="false">IF($C6142="","",IFERROR(INDEX(المنيو!$C$2:$C$500,MATCH($C6142,المنيو!$B$2:$B$500,0)),0))</f>
        <v/>
      </c>
      <c r="F6142" s="103" t="str">
        <f aca="false">IF($C6142="","",$D6142*$E6142)</f>
        <v/>
      </c>
      <c r="G6142" s="103" t="str">
        <f aca="false">IF($C6142="","",$D6142*IFERROR(INDEX('تحليل التكلفة والسعر'!$C$2:$C$700,MATCH($C6142,'تحليل التكلفة والسعر'!$B$2:$B$700,0)),0))</f>
        <v/>
      </c>
    </row>
    <row r="6143" customFormat="false" ht="15" hidden="false" customHeight="false" outlineLevel="0" collapsed="false">
      <c r="A6143" s="102"/>
      <c r="E6143" s="103" t="str">
        <f aca="false">IF($C6143="","",IFERROR(INDEX(المنيو!$C$2:$C$500,MATCH($C6143,المنيو!$B$2:$B$500,0)),0))</f>
        <v/>
      </c>
      <c r="F6143" s="103" t="str">
        <f aca="false">IF($C6143="","",$D6143*$E6143)</f>
        <v/>
      </c>
      <c r="G6143" s="103" t="str">
        <f aca="false">IF($C6143="","",$D6143*IFERROR(INDEX('تحليل التكلفة والسعر'!$C$2:$C$700,MATCH($C6143,'تحليل التكلفة والسعر'!$B$2:$B$700,0)),0))</f>
        <v/>
      </c>
    </row>
    <row r="6144" customFormat="false" ht="15" hidden="false" customHeight="false" outlineLevel="0" collapsed="false">
      <c r="A6144" s="102"/>
      <c r="E6144" s="103" t="str">
        <f aca="false">IF($C6144="","",IFERROR(INDEX(المنيو!$C$2:$C$500,MATCH($C6144,المنيو!$B$2:$B$500,0)),0))</f>
        <v/>
      </c>
      <c r="F6144" s="103" t="str">
        <f aca="false">IF($C6144="","",$D6144*$E6144)</f>
        <v/>
      </c>
      <c r="G6144" s="103" t="str">
        <f aca="false">IF($C6144="","",$D6144*IFERROR(INDEX('تحليل التكلفة والسعر'!$C$2:$C$700,MATCH($C6144,'تحليل التكلفة والسعر'!$B$2:$B$700,0)),0))</f>
        <v/>
      </c>
    </row>
    <row r="6145" customFormat="false" ht="15" hidden="false" customHeight="false" outlineLevel="0" collapsed="false">
      <c r="A6145" s="102"/>
      <c r="E6145" s="103" t="str">
        <f aca="false">IF($C6145="","",IFERROR(INDEX(المنيو!$C$2:$C$500,MATCH($C6145,المنيو!$B$2:$B$500,0)),0))</f>
        <v/>
      </c>
      <c r="F6145" s="103" t="str">
        <f aca="false">IF($C6145="","",$D6145*$E6145)</f>
        <v/>
      </c>
      <c r="G6145" s="103" t="str">
        <f aca="false">IF($C6145="","",$D6145*IFERROR(INDEX('تحليل التكلفة والسعر'!$C$2:$C$700,MATCH($C6145,'تحليل التكلفة والسعر'!$B$2:$B$700,0)),0))</f>
        <v/>
      </c>
    </row>
    <row r="6146" customFormat="false" ht="15" hidden="false" customHeight="false" outlineLevel="0" collapsed="false">
      <c r="A6146" s="102"/>
      <c r="E6146" s="103" t="str">
        <f aca="false">IF($C6146="","",IFERROR(INDEX(المنيو!$C$2:$C$500,MATCH($C6146,المنيو!$B$2:$B$500,0)),0))</f>
        <v/>
      </c>
      <c r="F6146" s="103" t="str">
        <f aca="false">IF($C6146="","",$D6146*$E6146)</f>
        <v/>
      </c>
      <c r="G6146" s="103" t="str">
        <f aca="false">IF($C6146="","",$D6146*IFERROR(INDEX('تحليل التكلفة والسعر'!$C$2:$C$700,MATCH($C6146,'تحليل التكلفة والسعر'!$B$2:$B$700,0)),0))</f>
        <v/>
      </c>
    </row>
    <row r="6147" customFormat="false" ht="15" hidden="false" customHeight="false" outlineLevel="0" collapsed="false">
      <c r="A6147" s="102"/>
      <c r="E6147" s="103" t="str">
        <f aca="false">IF($C6147="","",IFERROR(INDEX(المنيو!$C$2:$C$500,MATCH($C6147,المنيو!$B$2:$B$500,0)),0))</f>
        <v/>
      </c>
      <c r="F6147" s="103" t="str">
        <f aca="false">IF($C6147="","",$D6147*$E6147)</f>
        <v/>
      </c>
      <c r="G6147" s="103" t="str">
        <f aca="false">IF($C6147="","",$D6147*IFERROR(INDEX('تحليل التكلفة والسعر'!$C$2:$C$700,MATCH($C6147,'تحليل التكلفة والسعر'!$B$2:$B$700,0)),0))</f>
        <v/>
      </c>
    </row>
    <row r="6148" customFormat="false" ht="15" hidden="false" customHeight="false" outlineLevel="0" collapsed="false">
      <c r="A6148" s="102"/>
      <c r="E6148" s="103" t="str">
        <f aca="false">IF($C6148="","",IFERROR(INDEX(المنيو!$C$2:$C$500,MATCH($C6148,المنيو!$B$2:$B$500,0)),0))</f>
        <v/>
      </c>
      <c r="F6148" s="103" t="str">
        <f aca="false">IF($C6148="","",$D6148*$E6148)</f>
        <v/>
      </c>
      <c r="G6148" s="103" t="str">
        <f aca="false">IF($C6148="","",$D6148*IFERROR(INDEX('تحليل التكلفة والسعر'!$C$2:$C$700,MATCH($C6148,'تحليل التكلفة والسعر'!$B$2:$B$700,0)),0))</f>
        <v/>
      </c>
    </row>
    <row r="6149" customFormat="false" ht="15" hidden="false" customHeight="false" outlineLevel="0" collapsed="false">
      <c r="A6149" s="102"/>
      <c r="E6149" s="103" t="str">
        <f aca="false">IF($C6149="","",IFERROR(INDEX(المنيو!$C$2:$C$500,MATCH($C6149,المنيو!$B$2:$B$500,0)),0))</f>
        <v/>
      </c>
      <c r="F6149" s="103" t="str">
        <f aca="false">IF($C6149="","",$D6149*$E6149)</f>
        <v/>
      </c>
      <c r="G6149" s="103" t="str">
        <f aca="false">IF($C6149="","",$D6149*IFERROR(INDEX('تحليل التكلفة والسعر'!$C$2:$C$700,MATCH($C6149,'تحليل التكلفة والسعر'!$B$2:$B$700,0)),0))</f>
        <v/>
      </c>
    </row>
    <row r="6150" customFormat="false" ht="15" hidden="false" customHeight="false" outlineLevel="0" collapsed="false">
      <c r="A6150" s="102"/>
      <c r="E6150" s="103" t="str">
        <f aca="false">IF($C6150="","",IFERROR(INDEX(المنيو!$C$2:$C$500,MATCH($C6150,المنيو!$B$2:$B$500,0)),0))</f>
        <v/>
      </c>
      <c r="F6150" s="103" t="str">
        <f aca="false">IF($C6150="","",$D6150*$E6150)</f>
        <v/>
      </c>
      <c r="G6150" s="103" t="str">
        <f aca="false">IF($C6150="","",$D6150*IFERROR(INDEX('تحليل التكلفة والسعر'!$C$2:$C$700,MATCH($C6150,'تحليل التكلفة والسعر'!$B$2:$B$700,0)),0))</f>
        <v/>
      </c>
    </row>
    <row r="6151" customFormat="false" ht="15" hidden="false" customHeight="false" outlineLevel="0" collapsed="false">
      <c r="A6151" s="102"/>
      <c r="E6151" s="103" t="str">
        <f aca="false">IF($C6151="","",IFERROR(INDEX(المنيو!$C$2:$C$500,MATCH($C6151,المنيو!$B$2:$B$500,0)),0))</f>
        <v/>
      </c>
      <c r="F6151" s="103" t="str">
        <f aca="false">IF($C6151="","",$D6151*$E6151)</f>
        <v/>
      </c>
      <c r="G6151" s="103" t="str">
        <f aca="false">IF($C6151="","",$D6151*IFERROR(INDEX('تحليل التكلفة والسعر'!$C$2:$C$700,MATCH($C6151,'تحليل التكلفة والسعر'!$B$2:$B$700,0)),0))</f>
        <v/>
      </c>
    </row>
    <row r="6152" customFormat="false" ht="15" hidden="false" customHeight="false" outlineLevel="0" collapsed="false">
      <c r="A6152" s="102"/>
      <c r="E6152" s="103" t="str">
        <f aca="false">IF($C6152="","",IFERROR(INDEX(المنيو!$C$2:$C$500,MATCH($C6152,المنيو!$B$2:$B$500,0)),0))</f>
        <v/>
      </c>
      <c r="F6152" s="103" t="str">
        <f aca="false">IF($C6152="","",$D6152*$E6152)</f>
        <v/>
      </c>
      <c r="G6152" s="103" t="str">
        <f aca="false">IF($C6152="","",$D6152*IFERROR(INDEX('تحليل التكلفة والسعر'!$C$2:$C$700,MATCH($C6152,'تحليل التكلفة والسعر'!$B$2:$B$700,0)),0))</f>
        <v/>
      </c>
    </row>
    <row r="6153" customFormat="false" ht="15" hidden="false" customHeight="false" outlineLevel="0" collapsed="false">
      <c r="A6153" s="102"/>
      <c r="E6153" s="103" t="str">
        <f aca="false">IF($C6153="","",IFERROR(INDEX(المنيو!$C$2:$C$500,MATCH($C6153,المنيو!$B$2:$B$500,0)),0))</f>
        <v/>
      </c>
      <c r="F6153" s="103" t="str">
        <f aca="false">IF($C6153="","",$D6153*$E6153)</f>
        <v/>
      </c>
      <c r="G6153" s="103" t="str">
        <f aca="false">IF($C6153="","",$D6153*IFERROR(INDEX('تحليل التكلفة والسعر'!$C$2:$C$700,MATCH($C6153,'تحليل التكلفة والسعر'!$B$2:$B$700,0)),0))</f>
        <v/>
      </c>
    </row>
    <row r="6154" customFormat="false" ht="15" hidden="false" customHeight="false" outlineLevel="0" collapsed="false">
      <c r="A6154" s="102"/>
      <c r="E6154" s="103" t="str">
        <f aca="false">IF($C6154="","",IFERROR(INDEX(المنيو!$C$2:$C$500,MATCH($C6154,المنيو!$B$2:$B$500,0)),0))</f>
        <v/>
      </c>
      <c r="F6154" s="103" t="str">
        <f aca="false">IF($C6154="","",$D6154*$E6154)</f>
        <v/>
      </c>
      <c r="G6154" s="103" t="str">
        <f aca="false">IF($C6154="","",$D6154*IFERROR(INDEX('تحليل التكلفة والسعر'!$C$2:$C$700,MATCH($C6154,'تحليل التكلفة والسعر'!$B$2:$B$700,0)),0))</f>
        <v/>
      </c>
    </row>
    <row r="6155" customFormat="false" ht="15" hidden="false" customHeight="false" outlineLevel="0" collapsed="false">
      <c r="A6155" s="102"/>
      <c r="E6155" s="103" t="str">
        <f aca="false">IF($C6155="","",IFERROR(INDEX(المنيو!$C$2:$C$500,MATCH($C6155,المنيو!$B$2:$B$500,0)),0))</f>
        <v/>
      </c>
      <c r="F6155" s="103" t="str">
        <f aca="false">IF($C6155="","",$D6155*$E6155)</f>
        <v/>
      </c>
      <c r="G6155" s="103" t="str">
        <f aca="false">IF($C6155="","",$D6155*IFERROR(INDEX('تحليل التكلفة والسعر'!$C$2:$C$700,MATCH($C6155,'تحليل التكلفة والسعر'!$B$2:$B$700,0)),0))</f>
        <v/>
      </c>
    </row>
    <row r="6156" customFormat="false" ht="15" hidden="false" customHeight="false" outlineLevel="0" collapsed="false">
      <c r="A6156" s="102"/>
      <c r="E6156" s="103" t="str">
        <f aca="false">IF($C6156="","",IFERROR(INDEX(المنيو!$C$2:$C$500,MATCH($C6156,المنيو!$B$2:$B$500,0)),0))</f>
        <v/>
      </c>
      <c r="F6156" s="103" t="str">
        <f aca="false">IF($C6156="","",$D6156*$E6156)</f>
        <v/>
      </c>
      <c r="G6156" s="103" t="str">
        <f aca="false">IF($C6156="","",$D6156*IFERROR(INDEX('تحليل التكلفة والسعر'!$C$2:$C$700,MATCH($C6156,'تحليل التكلفة والسعر'!$B$2:$B$700,0)),0))</f>
        <v/>
      </c>
    </row>
    <row r="6157" customFormat="false" ht="15" hidden="false" customHeight="false" outlineLevel="0" collapsed="false">
      <c r="A6157" s="102"/>
      <c r="E6157" s="103" t="str">
        <f aca="false">IF($C6157="","",IFERROR(INDEX(المنيو!$C$2:$C$500,MATCH($C6157,المنيو!$B$2:$B$500,0)),0))</f>
        <v/>
      </c>
      <c r="F6157" s="103" t="str">
        <f aca="false">IF($C6157="","",$D6157*$E6157)</f>
        <v/>
      </c>
      <c r="G6157" s="103" t="str">
        <f aca="false">IF($C6157="","",$D6157*IFERROR(INDEX('تحليل التكلفة والسعر'!$C$2:$C$700,MATCH($C6157,'تحليل التكلفة والسعر'!$B$2:$B$700,0)),0))</f>
        <v/>
      </c>
    </row>
    <row r="6158" customFormat="false" ht="15" hidden="false" customHeight="false" outlineLevel="0" collapsed="false">
      <c r="A6158" s="102"/>
      <c r="E6158" s="103" t="str">
        <f aca="false">IF($C6158="","",IFERROR(INDEX(المنيو!$C$2:$C$500,MATCH($C6158,المنيو!$B$2:$B$500,0)),0))</f>
        <v/>
      </c>
      <c r="F6158" s="103" t="str">
        <f aca="false">IF($C6158="","",$D6158*$E6158)</f>
        <v/>
      </c>
      <c r="G6158" s="103" t="str">
        <f aca="false">IF($C6158="","",$D6158*IFERROR(INDEX('تحليل التكلفة والسعر'!$C$2:$C$700,MATCH($C6158,'تحليل التكلفة والسعر'!$B$2:$B$700,0)),0))</f>
        <v/>
      </c>
    </row>
    <row r="6159" customFormat="false" ht="15" hidden="false" customHeight="false" outlineLevel="0" collapsed="false">
      <c r="A6159" s="102"/>
      <c r="E6159" s="103" t="str">
        <f aca="false">IF($C6159="","",IFERROR(INDEX(المنيو!$C$2:$C$500,MATCH($C6159,المنيو!$B$2:$B$500,0)),0))</f>
        <v/>
      </c>
      <c r="F6159" s="103" t="str">
        <f aca="false">IF($C6159="","",$D6159*$E6159)</f>
        <v/>
      </c>
      <c r="G6159" s="103" t="str">
        <f aca="false">IF($C6159="","",$D6159*IFERROR(INDEX('تحليل التكلفة والسعر'!$C$2:$C$700,MATCH($C6159,'تحليل التكلفة والسعر'!$B$2:$B$700,0)),0))</f>
        <v/>
      </c>
    </row>
    <row r="6160" customFormat="false" ht="15" hidden="false" customHeight="false" outlineLevel="0" collapsed="false">
      <c r="A6160" s="102"/>
      <c r="E6160" s="103" t="str">
        <f aca="false">IF($C6160="","",IFERROR(INDEX(المنيو!$C$2:$C$500,MATCH($C6160,المنيو!$B$2:$B$500,0)),0))</f>
        <v/>
      </c>
      <c r="F6160" s="103" t="str">
        <f aca="false">IF($C6160="","",$D6160*$E6160)</f>
        <v/>
      </c>
      <c r="G6160" s="103" t="str">
        <f aca="false">IF($C6160="","",$D6160*IFERROR(INDEX('تحليل التكلفة والسعر'!$C$2:$C$700,MATCH($C6160,'تحليل التكلفة والسعر'!$B$2:$B$700,0)),0))</f>
        <v/>
      </c>
    </row>
    <row r="6161" customFormat="false" ht="15" hidden="false" customHeight="false" outlineLevel="0" collapsed="false">
      <c r="A6161" s="102"/>
      <c r="E6161" s="103" t="str">
        <f aca="false">IF($C6161="","",IFERROR(INDEX(المنيو!$C$2:$C$500,MATCH($C6161,المنيو!$B$2:$B$500,0)),0))</f>
        <v/>
      </c>
      <c r="F6161" s="103" t="str">
        <f aca="false">IF($C6161="","",$D6161*$E6161)</f>
        <v/>
      </c>
      <c r="G6161" s="103" t="str">
        <f aca="false">IF($C6161="","",$D6161*IFERROR(INDEX('تحليل التكلفة والسعر'!$C$2:$C$700,MATCH($C6161,'تحليل التكلفة والسعر'!$B$2:$B$700,0)),0))</f>
        <v/>
      </c>
    </row>
    <row r="6162" customFormat="false" ht="15" hidden="false" customHeight="false" outlineLevel="0" collapsed="false">
      <c r="A6162" s="102"/>
      <c r="E6162" s="103" t="str">
        <f aca="false">IF($C6162="","",IFERROR(INDEX(المنيو!$C$2:$C$500,MATCH($C6162,المنيو!$B$2:$B$500,0)),0))</f>
        <v/>
      </c>
      <c r="F6162" s="103" t="str">
        <f aca="false">IF($C6162="","",$D6162*$E6162)</f>
        <v/>
      </c>
      <c r="G6162" s="103" t="str">
        <f aca="false">IF($C6162="","",$D6162*IFERROR(INDEX('تحليل التكلفة والسعر'!$C$2:$C$700,MATCH($C6162,'تحليل التكلفة والسعر'!$B$2:$B$700,0)),0))</f>
        <v/>
      </c>
    </row>
    <row r="6163" customFormat="false" ht="15" hidden="false" customHeight="false" outlineLevel="0" collapsed="false">
      <c r="A6163" s="102"/>
      <c r="E6163" s="103" t="str">
        <f aca="false">IF($C6163="","",IFERROR(INDEX(المنيو!$C$2:$C$500,MATCH($C6163,المنيو!$B$2:$B$500,0)),0))</f>
        <v/>
      </c>
      <c r="F6163" s="103" t="str">
        <f aca="false">IF($C6163="","",$D6163*$E6163)</f>
        <v/>
      </c>
      <c r="G6163" s="103" t="str">
        <f aca="false">IF($C6163="","",$D6163*IFERROR(INDEX('تحليل التكلفة والسعر'!$C$2:$C$700,MATCH($C6163,'تحليل التكلفة والسعر'!$B$2:$B$700,0)),0))</f>
        <v/>
      </c>
    </row>
    <row r="6164" customFormat="false" ht="15" hidden="false" customHeight="false" outlineLevel="0" collapsed="false">
      <c r="A6164" s="102"/>
      <c r="E6164" s="103" t="str">
        <f aca="false">IF($C6164="","",IFERROR(INDEX(المنيو!$C$2:$C$500,MATCH($C6164,المنيو!$B$2:$B$500,0)),0))</f>
        <v/>
      </c>
      <c r="F6164" s="103" t="str">
        <f aca="false">IF($C6164="","",$D6164*$E6164)</f>
        <v/>
      </c>
      <c r="G6164" s="103" t="str">
        <f aca="false">IF($C6164="","",$D6164*IFERROR(INDEX('تحليل التكلفة والسعر'!$C$2:$C$700,MATCH($C6164,'تحليل التكلفة والسعر'!$B$2:$B$700,0)),0))</f>
        <v/>
      </c>
    </row>
    <row r="6165" customFormat="false" ht="15" hidden="false" customHeight="false" outlineLevel="0" collapsed="false">
      <c r="A6165" s="102"/>
      <c r="E6165" s="103" t="str">
        <f aca="false">IF($C6165="","",IFERROR(INDEX(المنيو!$C$2:$C$500,MATCH($C6165,المنيو!$B$2:$B$500,0)),0))</f>
        <v/>
      </c>
      <c r="F6165" s="103" t="str">
        <f aca="false">IF($C6165="","",$D6165*$E6165)</f>
        <v/>
      </c>
      <c r="G6165" s="103" t="str">
        <f aca="false">IF($C6165="","",$D6165*IFERROR(INDEX('تحليل التكلفة والسعر'!$C$2:$C$700,MATCH($C6165,'تحليل التكلفة والسعر'!$B$2:$B$700,0)),0))</f>
        <v/>
      </c>
    </row>
    <row r="6166" customFormat="false" ht="15" hidden="false" customHeight="false" outlineLevel="0" collapsed="false">
      <c r="A6166" s="102"/>
      <c r="E6166" s="103" t="str">
        <f aca="false">IF($C6166="","",IFERROR(INDEX(المنيو!$C$2:$C$500,MATCH($C6166,المنيو!$B$2:$B$500,0)),0))</f>
        <v/>
      </c>
      <c r="F6166" s="103" t="str">
        <f aca="false">IF($C6166="","",$D6166*$E6166)</f>
        <v/>
      </c>
      <c r="G6166" s="103" t="str">
        <f aca="false">IF($C6166="","",$D6166*IFERROR(INDEX('تحليل التكلفة والسعر'!$C$2:$C$700,MATCH($C6166,'تحليل التكلفة والسعر'!$B$2:$B$700,0)),0))</f>
        <v/>
      </c>
    </row>
    <row r="6167" customFormat="false" ht="15" hidden="false" customHeight="false" outlineLevel="0" collapsed="false">
      <c r="A6167" s="102"/>
      <c r="E6167" s="103" t="str">
        <f aca="false">IF($C6167="","",IFERROR(INDEX(المنيو!$C$2:$C$500,MATCH($C6167,المنيو!$B$2:$B$500,0)),0))</f>
        <v/>
      </c>
      <c r="F6167" s="103" t="str">
        <f aca="false">IF($C6167="","",$D6167*$E6167)</f>
        <v/>
      </c>
      <c r="G6167" s="103" t="str">
        <f aca="false">IF($C6167="","",$D6167*IFERROR(INDEX('تحليل التكلفة والسعر'!$C$2:$C$700,MATCH($C6167,'تحليل التكلفة والسعر'!$B$2:$B$700,0)),0))</f>
        <v/>
      </c>
    </row>
    <row r="6168" customFormat="false" ht="15" hidden="false" customHeight="false" outlineLevel="0" collapsed="false">
      <c r="A6168" s="102"/>
      <c r="E6168" s="103" t="str">
        <f aca="false">IF($C6168="","",IFERROR(INDEX(المنيو!$C$2:$C$500,MATCH($C6168,المنيو!$B$2:$B$500,0)),0))</f>
        <v/>
      </c>
      <c r="F6168" s="103" t="str">
        <f aca="false">IF($C6168="","",$D6168*$E6168)</f>
        <v/>
      </c>
      <c r="G6168" s="103" t="str">
        <f aca="false">IF($C6168="","",$D6168*IFERROR(INDEX('تحليل التكلفة والسعر'!$C$2:$C$700,MATCH($C6168,'تحليل التكلفة والسعر'!$B$2:$B$700,0)),0))</f>
        <v/>
      </c>
    </row>
    <row r="6169" customFormat="false" ht="15" hidden="false" customHeight="false" outlineLevel="0" collapsed="false">
      <c r="A6169" s="102"/>
      <c r="E6169" s="103" t="str">
        <f aca="false">IF($C6169="","",IFERROR(INDEX(المنيو!$C$2:$C$500,MATCH($C6169,المنيو!$B$2:$B$500,0)),0))</f>
        <v/>
      </c>
      <c r="F6169" s="103" t="str">
        <f aca="false">IF($C6169="","",$D6169*$E6169)</f>
        <v/>
      </c>
      <c r="G6169" s="103" t="str">
        <f aca="false">IF($C6169="","",$D6169*IFERROR(INDEX('تحليل التكلفة والسعر'!$C$2:$C$700,MATCH($C6169,'تحليل التكلفة والسعر'!$B$2:$B$700,0)),0))</f>
        <v/>
      </c>
    </row>
    <row r="6170" customFormat="false" ht="15" hidden="false" customHeight="false" outlineLevel="0" collapsed="false">
      <c r="A6170" s="102"/>
      <c r="E6170" s="103" t="str">
        <f aca="false">IF($C6170="","",IFERROR(INDEX(المنيو!$C$2:$C$500,MATCH($C6170,المنيو!$B$2:$B$500,0)),0))</f>
        <v/>
      </c>
      <c r="F6170" s="103" t="str">
        <f aca="false">IF($C6170="","",$D6170*$E6170)</f>
        <v/>
      </c>
      <c r="G6170" s="103" t="str">
        <f aca="false">IF($C6170="","",$D6170*IFERROR(INDEX('تحليل التكلفة والسعر'!$C$2:$C$700,MATCH($C6170,'تحليل التكلفة والسعر'!$B$2:$B$700,0)),0))</f>
        <v/>
      </c>
    </row>
    <row r="6171" customFormat="false" ht="15" hidden="false" customHeight="false" outlineLevel="0" collapsed="false">
      <c r="A6171" s="102"/>
      <c r="E6171" s="103" t="str">
        <f aca="false">IF($C6171="","",IFERROR(INDEX(المنيو!$C$2:$C$500,MATCH($C6171,المنيو!$B$2:$B$500,0)),0))</f>
        <v/>
      </c>
      <c r="F6171" s="103" t="str">
        <f aca="false">IF($C6171="","",$D6171*$E6171)</f>
        <v/>
      </c>
      <c r="G6171" s="103" t="str">
        <f aca="false">IF($C6171="","",$D6171*IFERROR(INDEX('تحليل التكلفة والسعر'!$C$2:$C$700,MATCH($C6171,'تحليل التكلفة والسعر'!$B$2:$B$700,0)),0))</f>
        <v/>
      </c>
    </row>
    <row r="6172" customFormat="false" ht="15" hidden="false" customHeight="false" outlineLevel="0" collapsed="false">
      <c r="A6172" s="102"/>
      <c r="E6172" s="103" t="str">
        <f aca="false">IF($C6172="","",IFERROR(INDEX(المنيو!$C$2:$C$500,MATCH($C6172,المنيو!$B$2:$B$500,0)),0))</f>
        <v/>
      </c>
      <c r="F6172" s="103" t="str">
        <f aca="false">IF($C6172="","",$D6172*$E6172)</f>
        <v/>
      </c>
      <c r="G6172" s="103" t="str">
        <f aca="false">IF($C6172="","",$D6172*IFERROR(INDEX('تحليل التكلفة والسعر'!$C$2:$C$700,MATCH($C6172,'تحليل التكلفة والسعر'!$B$2:$B$700,0)),0))</f>
        <v/>
      </c>
    </row>
    <row r="6173" customFormat="false" ht="15" hidden="false" customHeight="false" outlineLevel="0" collapsed="false">
      <c r="A6173" s="102"/>
      <c r="E6173" s="103" t="str">
        <f aca="false">IF($C6173="","",IFERROR(INDEX(المنيو!$C$2:$C$500,MATCH($C6173,المنيو!$B$2:$B$500,0)),0))</f>
        <v/>
      </c>
      <c r="F6173" s="103" t="str">
        <f aca="false">IF($C6173="","",$D6173*$E6173)</f>
        <v/>
      </c>
      <c r="G6173" s="103" t="str">
        <f aca="false">IF($C6173="","",$D6173*IFERROR(INDEX('تحليل التكلفة والسعر'!$C$2:$C$700,MATCH($C6173,'تحليل التكلفة والسعر'!$B$2:$B$700,0)),0))</f>
        <v/>
      </c>
    </row>
    <row r="6174" customFormat="false" ht="15" hidden="false" customHeight="false" outlineLevel="0" collapsed="false">
      <c r="A6174" s="102"/>
      <c r="E6174" s="103" t="str">
        <f aca="false">IF($C6174="","",IFERROR(INDEX(المنيو!$C$2:$C$500,MATCH($C6174,المنيو!$B$2:$B$500,0)),0))</f>
        <v/>
      </c>
      <c r="F6174" s="103" t="str">
        <f aca="false">IF($C6174="","",$D6174*$E6174)</f>
        <v/>
      </c>
      <c r="G6174" s="103" t="str">
        <f aca="false">IF($C6174="","",$D6174*IFERROR(INDEX('تحليل التكلفة والسعر'!$C$2:$C$700,MATCH($C6174,'تحليل التكلفة والسعر'!$B$2:$B$700,0)),0))</f>
        <v/>
      </c>
    </row>
    <row r="6175" customFormat="false" ht="15" hidden="false" customHeight="false" outlineLevel="0" collapsed="false">
      <c r="A6175" s="102"/>
      <c r="E6175" s="103" t="str">
        <f aca="false">IF($C6175="","",IFERROR(INDEX(المنيو!$C$2:$C$500,MATCH($C6175,المنيو!$B$2:$B$500,0)),0))</f>
        <v/>
      </c>
      <c r="F6175" s="103" t="str">
        <f aca="false">IF($C6175="","",$D6175*$E6175)</f>
        <v/>
      </c>
      <c r="G6175" s="103" t="str">
        <f aca="false">IF($C6175="","",$D6175*IFERROR(INDEX('تحليل التكلفة والسعر'!$C$2:$C$700,MATCH($C6175,'تحليل التكلفة والسعر'!$B$2:$B$700,0)),0))</f>
        <v/>
      </c>
    </row>
    <row r="6176" customFormat="false" ht="15" hidden="false" customHeight="false" outlineLevel="0" collapsed="false">
      <c r="A6176" s="102"/>
      <c r="E6176" s="103" t="str">
        <f aca="false">IF($C6176="","",IFERROR(INDEX(المنيو!$C$2:$C$500,MATCH($C6176,المنيو!$B$2:$B$500,0)),0))</f>
        <v/>
      </c>
      <c r="F6176" s="103" t="str">
        <f aca="false">IF($C6176="","",$D6176*$E6176)</f>
        <v/>
      </c>
      <c r="G6176" s="103" t="str">
        <f aca="false">IF($C6176="","",$D6176*IFERROR(INDEX('تحليل التكلفة والسعر'!$C$2:$C$700,MATCH($C6176,'تحليل التكلفة والسعر'!$B$2:$B$700,0)),0))</f>
        <v/>
      </c>
    </row>
    <row r="6177" customFormat="false" ht="15" hidden="false" customHeight="false" outlineLevel="0" collapsed="false">
      <c r="A6177" s="102"/>
      <c r="E6177" s="103" t="str">
        <f aca="false">IF($C6177="","",IFERROR(INDEX(المنيو!$C$2:$C$500,MATCH($C6177,المنيو!$B$2:$B$500,0)),0))</f>
        <v/>
      </c>
      <c r="F6177" s="103" t="str">
        <f aca="false">IF($C6177="","",$D6177*$E6177)</f>
        <v/>
      </c>
      <c r="G6177" s="103" t="str">
        <f aca="false">IF($C6177="","",$D6177*IFERROR(INDEX('تحليل التكلفة والسعر'!$C$2:$C$700,MATCH($C6177,'تحليل التكلفة والسعر'!$B$2:$B$700,0)),0))</f>
        <v/>
      </c>
    </row>
    <row r="6178" customFormat="false" ht="15" hidden="false" customHeight="false" outlineLevel="0" collapsed="false">
      <c r="A6178" s="102"/>
      <c r="E6178" s="103" t="str">
        <f aca="false">IF($C6178="","",IFERROR(INDEX(المنيو!$C$2:$C$500,MATCH($C6178,المنيو!$B$2:$B$500,0)),0))</f>
        <v/>
      </c>
      <c r="F6178" s="103" t="str">
        <f aca="false">IF($C6178="","",$D6178*$E6178)</f>
        <v/>
      </c>
      <c r="G6178" s="103" t="str">
        <f aca="false">IF($C6178="","",$D6178*IFERROR(INDEX('تحليل التكلفة والسعر'!$C$2:$C$700,MATCH($C6178,'تحليل التكلفة والسعر'!$B$2:$B$700,0)),0))</f>
        <v/>
      </c>
    </row>
    <row r="6179" customFormat="false" ht="15" hidden="false" customHeight="false" outlineLevel="0" collapsed="false">
      <c r="A6179" s="102"/>
      <c r="E6179" s="103" t="str">
        <f aca="false">IF($C6179="","",IFERROR(INDEX(المنيو!$C$2:$C$500,MATCH($C6179,المنيو!$B$2:$B$500,0)),0))</f>
        <v/>
      </c>
      <c r="F6179" s="103" t="str">
        <f aca="false">IF($C6179="","",$D6179*$E6179)</f>
        <v/>
      </c>
      <c r="G6179" s="103" t="str">
        <f aca="false">IF($C6179="","",$D6179*IFERROR(INDEX('تحليل التكلفة والسعر'!$C$2:$C$700,MATCH($C6179,'تحليل التكلفة والسعر'!$B$2:$B$700,0)),0))</f>
        <v/>
      </c>
    </row>
    <row r="6180" customFormat="false" ht="15" hidden="false" customHeight="false" outlineLevel="0" collapsed="false">
      <c r="A6180" s="102"/>
      <c r="E6180" s="103" t="str">
        <f aca="false">IF($C6180="","",IFERROR(INDEX(المنيو!$C$2:$C$500,MATCH($C6180,المنيو!$B$2:$B$500,0)),0))</f>
        <v/>
      </c>
      <c r="F6180" s="103" t="str">
        <f aca="false">IF($C6180="","",$D6180*$E6180)</f>
        <v/>
      </c>
      <c r="G6180" s="103" t="str">
        <f aca="false">IF($C6180="","",$D6180*IFERROR(INDEX('تحليل التكلفة والسعر'!$C$2:$C$700,MATCH($C6180,'تحليل التكلفة والسعر'!$B$2:$B$700,0)),0))</f>
        <v/>
      </c>
    </row>
    <row r="6181" customFormat="false" ht="15" hidden="false" customHeight="false" outlineLevel="0" collapsed="false">
      <c r="A6181" s="102"/>
      <c r="E6181" s="103" t="str">
        <f aca="false">IF($C6181="","",IFERROR(INDEX(المنيو!$C$2:$C$500,MATCH($C6181,المنيو!$B$2:$B$500,0)),0))</f>
        <v/>
      </c>
      <c r="F6181" s="103" t="str">
        <f aca="false">IF($C6181="","",$D6181*$E6181)</f>
        <v/>
      </c>
      <c r="G6181" s="103" t="str">
        <f aca="false">IF($C6181="","",$D6181*IFERROR(INDEX('تحليل التكلفة والسعر'!$C$2:$C$700,MATCH($C6181,'تحليل التكلفة والسعر'!$B$2:$B$700,0)),0))</f>
        <v/>
      </c>
    </row>
    <row r="6182" customFormat="false" ht="15" hidden="false" customHeight="false" outlineLevel="0" collapsed="false">
      <c r="A6182" s="102"/>
      <c r="E6182" s="103" t="str">
        <f aca="false">IF($C6182="","",IFERROR(INDEX(المنيو!$C$2:$C$500,MATCH($C6182,المنيو!$B$2:$B$500,0)),0))</f>
        <v/>
      </c>
      <c r="F6182" s="103" t="str">
        <f aca="false">IF($C6182="","",$D6182*$E6182)</f>
        <v/>
      </c>
      <c r="G6182" s="103" t="str">
        <f aca="false">IF($C6182="","",$D6182*IFERROR(INDEX('تحليل التكلفة والسعر'!$C$2:$C$700,MATCH($C6182,'تحليل التكلفة والسعر'!$B$2:$B$700,0)),0))</f>
        <v/>
      </c>
    </row>
    <row r="6183" customFormat="false" ht="15" hidden="false" customHeight="false" outlineLevel="0" collapsed="false">
      <c r="A6183" s="102"/>
      <c r="E6183" s="103" t="str">
        <f aca="false">IF($C6183="","",IFERROR(INDEX(المنيو!$C$2:$C$500,MATCH($C6183,المنيو!$B$2:$B$500,0)),0))</f>
        <v/>
      </c>
      <c r="F6183" s="103" t="str">
        <f aca="false">IF($C6183="","",$D6183*$E6183)</f>
        <v/>
      </c>
      <c r="G6183" s="103" t="str">
        <f aca="false">IF($C6183="","",$D6183*IFERROR(INDEX('تحليل التكلفة والسعر'!$C$2:$C$700,MATCH($C6183,'تحليل التكلفة والسعر'!$B$2:$B$700,0)),0))</f>
        <v/>
      </c>
    </row>
    <row r="6184" customFormat="false" ht="15" hidden="false" customHeight="false" outlineLevel="0" collapsed="false">
      <c r="A6184" s="102"/>
      <c r="E6184" s="103" t="str">
        <f aca="false">IF($C6184="","",IFERROR(INDEX(المنيو!$C$2:$C$500,MATCH($C6184,المنيو!$B$2:$B$500,0)),0))</f>
        <v/>
      </c>
      <c r="F6184" s="103" t="str">
        <f aca="false">IF($C6184="","",$D6184*$E6184)</f>
        <v/>
      </c>
      <c r="G6184" s="103" t="str">
        <f aca="false">IF($C6184="","",$D6184*IFERROR(INDEX('تحليل التكلفة والسعر'!$C$2:$C$700,MATCH($C6184,'تحليل التكلفة والسعر'!$B$2:$B$700,0)),0))</f>
        <v/>
      </c>
    </row>
    <row r="6185" customFormat="false" ht="15" hidden="false" customHeight="false" outlineLevel="0" collapsed="false">
      <c r="A6185" s="102"/>
      <c r="E6185" s="103" t="str">
        <f aca="false">IF($C6185="","",IFERROR(INDEX(المنيو!$C$2:$C$500,MATCH($C6185,المنيو!$B$2:$B$500,0)),0))</f>
        <v/>
      </c>
      <c r="F6185" s="103" t="str">
        <f aca="false">IF($C6185="","",$D6185*$E6185)</f>
        <v/>
      </c>
      <c r="G6185" s="103" t="str">
        <f aca="false">IF($C6185="","",$D6185*IFERROR(INDEX('تحليل التكلفة والسعر'!$C$2:$C$700,MATCH($C6185,'تحليل التكلفة والسعر'!$B$2:$B$700,0)),0))</f>
        <v/>
      </c>
    </row>
    <row r="6186" customFormat="false" ht="15" hidden="false" customHeight="false" outlineLevel="0" collapsed="false">
      <c r="A6186" s="102"/>
      <c r="E6186" s="103" t="str">
        <f aca="false">IF($C6186="","",IFERROR(INDEX(المنيو!$C$2:$C$500,MATCH($C6186,المنيو!$B$2:$B$500,0)),0))</f>
        <v/>
      </c>
      <c r="F6186" s="103" t="str">
        <f aca="false">IF($C6186="","",$D6186*$E6186)</f>
        <v/>
      </c>
      <c r="G6186" s="103" t="str">
        <f aca="false">IF($C6186="","",$D6186*IFERROR(INDEX('تحليل التكلفة والسعر'!$C$2:$C$700,MATCH($C6186,'تحليل التكلفة والسعر'!$B$2:$B$700,0)),0))</f>
        <v/>
      </c>
    </row>
    <row r="6187" customFormat="false" ht="15" hidden="false" customHeight="false" outlineLevel="0" collapsed="false">
      <c r="A6187" s="102"/>
      <c r="E6187" s="103" t="str">
        <f aca="false">IF($C6187="","",IFERROR(INDEX(المنيو!$C$2:$C$500,MATCH($C6187,المنيو!$B$2:$B$500,0)),0))</f>
        <v/>
      </c>
      <c r="F6187" s="103" t="str">
        <f aca="false">IF($C6187="","",$D6187*$E6187)</f>
        <v/>
      </c>
      <c r="G6187" s="103" t="str">
        <f aca="false">IF($C6187="","",$D6187*IFERROR(INDEX('تحليل التكلفة والسعر'!$C$2:$C$700,MATCH($C6187,'تحليل التكلفة والسعر'!$B$2:$B$700,0)),0))</f>
        <v/>
      </c>
    </row>
    <row r="6188" customFormat="false" ht="15" hidden="false" customHeight="false" outlineLevel="0" collapsed="false">
      <c r="A6188" s="102"/>
      <c r="E6188" s="103" t="str">
        <f aca="false">IF($C6188="","",IFERROR(INDEX(المنيو!$C$2:$C$500,MATCH($C6188,المنيو!$B$2:$B$500,0)),0))</f>
        <v/>
      </c>
      <c r="F6188" s="103" t="str">
        <f aca="false">IF($C6188="","",$D6188*$E6188)</f>
        <v/>
      </c>
      <c r="G6188" s="103" t="str">
        <f aca="false">IF($C6188="","",$D6188*IFERROR(INDEX('تحليل التكلفة والسعر'!$C$2:$C$700,MATCH($C6188,'تحليل التكلفة والسعر'!$B$2:$B$700,0)),0))</f>
        <v/>
      </c>
    </row>
    <row r="6189" customFormat="false" ht="15" hidden="false" customHeight="false" outlineLevel="0" collapsed="false">
      <c r="A6189" s="102"/>
      <c r="E6189" s="103" t="str">
        <f aca="false">IF($C6189="","",IFERROR(INDEX(المنيو!$C$2:$C$500,MATCH($C6189,المنيو!$B$2:$B$500,0)),0))</f>
        <v/>
      </c>
      <c r="F6189" s="103" t="str">
        <f aca="false">IF($C6189="","",$D6189*$E6189)</f>
        <v/>
      </c>
      <c r="G6189" s="103" t="str">
        <f aca="false">IF($C6189="","",$D6189*IFERROR(INDEX('تحليل التكلفة والسعر'!$C$2:$C$700,MATCH($C6189,'تحليل التكلفة والسعر'!$B$2:$B$700,0)),0))</f>
        <v/>
      </c>
    </row>
    <row r="6190" customFormat="false" ht="15" hidden="false" customHeight="false" outlineLevel="0" collapsed="false">
      <c r="A6190" s="102"/>
      <c r="E6190" s="103" t="str">
        <f aca="false">IF($C6190="","",IFERROR(INDEX(المنيو!$C$2:$C$500,MATCH($C6190,المنيو!$B$2:$B$500,0)),0))</f>
        <v/>
      </c>
      <c r="F6190" s="103" t="str">
        <f aca="false">IF($C6190="","",$D6190*$E6190)</f>
        <v/>
      </c>
      <c r="G6190" s="103" t="str">
        <f aca="false">IF($C6190="","",$D6190*IFERROR(INDEX('تحليل التكلفة والسعر'!$C$2:$C$700,MATCH($C6190,'تحليل التكلفة والسعر'!$B$2:$B$700,0)),0))</f>
        <v/>
      </c>
    </row>
    <row r="6191" customFormat="false" ht="15" hidden="false" customHeight="false" outlineLevel="0" collapsed="false">
      <c r="A6191" s="102"/>
      <c r="E6191" s="103" t="str">
        <f aca="false">IF($C6191="","",IFERROR(INDEX(المنيو!$C$2:$C$500,MATCH($C6191,المنيو!$B$2:$B$500,0)),0))</f>
        <v/>
      </c>
      <c r="F6191" s="103" t="str">
        <f aca="false">IF($C6191="","",$D6191*$E6191)</f>
        <v/>
      </c>
      <c r="G6191" s="103" t="str">
        <f aca="false">IF($C6191="","",$D6191*IFERROR(INDEX('تحليل التكلفة والسعر'!$C$2:$C$700,MATCH($C6191,'تحليل التكلفة والسعر'!$B$2:$B$700,0)),0))</f>
        <v/>
      </c>
    </row>
    <row r="6192" customFormat="false" ht="15" hidden="false" customHeight="false" outlineLevel="0" collapsed="false">
      <c r="A6192" s="102"/>
      <c r="E6192" s="103" t="str">
        <f aca="false">IF($C6192="","",IFERROR(INDEX(المنيو!$C$2:$C$500,MATCH($C6192,المنيو!$B$2:$B$500,0)),0))</f>
        <v/>
      </c>
      <c r="F6192" s="103" t="str">
        <f aca="false">IF($C6192="","",$D6192*$E6192)</f>
        <v/>
      </c>
      <c r="G6192" s="103" t="str">
        <f aca="false">IF($C6192="","",$D6192*IFERROR(INDEX('تحليل التكلفة والسعر'!$C$2:$C$700,MATCH($C6192,'تحليل التكلفة والسعر'!$B$2:$B$700,0)),0))</f>
        <v/>
      </c>
    </row>
    <row r="6193" customFormat="false" ht="15" hidden="false" customHeight="false" outlineLevel="0" collapsed="false">
      <c r="A6193" s="102"/>
      <c r="E6193" s="103" t="str">
        <f aca="false">IF($C6193="","",IFERROR(INDEX(المنيو!$C$2:$C$500,MATCH($C6193,المنيو!$B$2:$B$500,0)),0))</f>
        <v/>
      </c>
      <c r="F6193" s="103" t="str">
        <f aca="false">IF($C6193="","",$D6193*$E6193)</f>
        <v/>
      </c>
      <c r="G6193" s="103" t="str">
        <f aca="false">IF($C6193="","",$D6193*IFERROR(INDEX('تحليل التكلفة والسعر'!$C$2:$C$700,MATCH($C6193,'تحليل التكلفة والسعر'!$B$2:$B$700,0)),0))</f>
        <v/>
      </c>
    </row>
    <row r="6194" customFormat="false" ht="15" hidden="false" customHeight="false" outlineLevel="0" collapsed="false">
      <c r="A6194" s="102"/>
      <c r="E6194" s="103" t="str">
        <f aca="false">IF($C6194="","",IFERROR(INDEX(المنيو!$C$2:$C$500,MATCH($C6194,المنيو!$B$2:$B$500,0)),0))</f>
        <v/>
      </c>
      <c r="F6194" s="103" t="str">
        <f aca="false">IF($C6194="","",$D6194*$E6194)</f>
        <v/>
      </c>
      <c r="G6194" s="103" t="str">
        <f aca="false">IF($C6194="","",$D6194*IFERROR(INDEX('تحليل التكلفة والسعر'!$C$2:$C$700,MATCH($C6194,'تحليل التكلفة والسعر'!$B$2:$B$700,0)),0))</f>
        <v/>
      </c>
    </row>
    <row r="6195" customFormat="false" ht="15" hidden="false" customHeight="false" outlineLevel="0" collapsed="false">
      <c r="A6195" s="102"/>
      <c r="E6195" s="103" t="str">
        <f aca="false">IF($C6195="","",IFERROR(INDEX(المنيو!$C$2:$C$500,MATCH($C6195,المنيو!$B$2:$B$500,0)),0))</f>
        <v/>
      </c>
      <c r="F6195" s="103" t="str">
        <f aca="false">IF($C6195="","",$D6195*$E6195)</f>
        <v/>
      </c>
      <c r="G6195" s="103" t="str">
        <f aca="false">IF($C6195="","",$D6195*IFERROR(INDEX('تحليل التكلفة والسعر'!$C$2:$C$700,MATCH($C6195,'تحليل التكلفة والسعر'!$B$2:$B$700,0)),0))</f>
        <v/>
      </c>
    </row>
    <row r="6196" customFormat="false" ht="15" hidden="false" customHeight="false" outlineLevel="0" collapsed="false">
      <c r="A6196" s="102"/>
      <c r="E6196" s="103" t="str">
        <f aca="false">IF($C6196="","",IFERROR(INDEX(المنيو!$C$2:$C$500,MATCH($C6196,المنيو!$B$2:$B$500,0)),0))</f>
        <v/>
      </c>
      <c r="F6196" s="103" t="str">
        <f aca="false">IF($C6196="","",$D6196*$E6196)</f>
        <v/>
      </c>
      <c r="G6196" s="103" t="str">
        <f aca="false">IF($C6196="","",$D6196*IFERROR(INDEX('تحليل التكلفة والسعر'!$C$2:$C$700,MATCH($C6196,'تحليل التكلفة والسعر'!$B$2:$B$700,0)),0))</f>
        <v/>
      </c>
    </row>
    <row r="6197" customFormat="false" ht="15" hidden="false" customHeight="false" outlineLevel="0" collapsed="false">
      <c r="A6197" s="102"/>
      <c r="E6197" s="103" t="str">
        <f aca="false">IF($C6197="","",IFERROR(INDEX(المنيو!$C$2:$C$500,MATCH($C6197,المنيو!$B$2:$B$500,0)),0))</f>
        <v/>
      </c>
      <c r="F6197" s="103" t="str">
        <f aca="false">IF($C6197="","",$D6197*$E6197)</f>
        <v/>
      </c>
      <c r="G6197" s="103" t="str">
        <f aca="false">IF($C6197="","",$D6197*IFERROR(INDEX('تحليل التكلفة والسعر'!$C$2:$C$700,MATCH($C6197,'تحليل التكلفة والسعر'!$B$2:$B$700,0)),0))</f>
        <v/>
      </c>
    </row>
    <row r="6198" customFormat="false" ht="15" hidden="false" customHeight="false" outlineLevel="0" collapsed="false">
      <c r="A6198" s="102"/>
      <c r="E6198" s="103" t="str">
        <f aca="false">IF($C6198="","",IFERROR(INDEX(المنيو!$C$2:$C$500,MATCH($C6198,المنيو!$B$2:$B$500,0)),0))</f>
        <v/>
      </c>
      <c r="F6198" s="103" t="str">
        <f aca="false">IF($C6198="","",$D6198*$E6198)</f>
        <v/>
      </c>
      <c r="G6198" s="103" t="str">
        <f aca="false">IF($C6198="","",$D6198*IFERROR(INDEX('تحليل التكلفة والسعر'!$C$2:$C$700,MATCH($C6198,'تحليل التكلفة والسعر'!$B$2:$B$700,0)),0))</f>
        <v/>
      </c>
    </row>
    <row r="6199" customFormat="false" ht="15" hidden="false" customHeight="false" outlineLevel="0" collapsed="false">
      <c r="A6199" s="102"/>
      <c r="E6199" s="103" t="str">
        <f aca="false">IF($C6199="","",IFERROR(INDEX(المنيو!$C$2:$C$500,MATCH($C6199,المنيو!$B$2:$B$500,0)),0))</f>
        <v/>
      </c>
      <c r="F6199" s="103" t="str">
        <f aca="false">IF($C6199="","",$D6199*$E6199)</f>
        <v/>
      </c>
      <c r="G6199" s="103" t="str">
        <f aca="false">IF($C6199="","",$D6199*IFERROR(INDEX('تحليل التكلفة والسعر'!$C$2:$C$700,MATCH($C6199,'تحليل التكلفة والسعر'!$B$2:$B$700,0)),0))</f>
        <v/>
      </c>
    </row>
    <row r="6200" customFormat="false" ht="15" hidden="false" customHeight="false" outlineLevel="0" collapsed="false">
      <c r="A6200" s="102"/>
      <c r="E6200" s="103" t="str">
        <f aca="false">IF($C6200="","",IFERROR(INDEX(المنيو!$C$2:$C$500,MATCH($C6200,المنيو!$B$2:$B$500,0)),0))</f>
        <v/>
      </c>
      <c r="F6200" s="103" t="str">
        <f aca="false">IF($C6200="","",$D6200*$E6200)</f>
        <v/>
      </c>
      <c r="G6200" s="103" t="str">
        <f aca="false">IF($C6200="","",$D6200*IFERROR(INDEX('تحليل التكلفة والسعر'!$C$2:$C$700,MATCH($C6200,'تحليل التكلفة والسعر'!$B$2:$B$700,0)),0))</f>
        <v/>
      </c>
    </row>
    <row r="6201" customFormat="false" ht="15" hidden="false" customHeight="false" outlineLevel="0" collapsed="false">
      <c r="A6201" s="102"/>
      <c r="E6201" s="103" t="str">
        <f aca="false">IF($C6201="","",IFERROR(INDEX(المنيو!$C$2:$C$500,MATCH($C6201,المنيو!$B$2:$B$500,0)),0))</f>
        <v/>
      </c>
      <c r="F6201" s="103" t="str">
        <f aca="false">IF($C6201="","",$D6201*$E6201)</f>
        <v/>
      </c>
      <c r="G6201" s="103" t="str">
        <f aca="false">IF($C6201="","",$D6201*IFERROR(INDEX('تحليل التكلفة والسعر'!$C$2:$C$700,MATCH($C6201,'تحليل التكلفة والسعر'!$B$2:$B$700,0)),0))</f>
        <v/>
      </c>
    </row>
    <row r="6202" customFormat="false" ht="15" hidden="false" customHeight="false" outlineLevel="0" collapsed="false">
      <c r="A6202" s="102"/>
      <c r="E6202" s="103" t="str">
        <f aca="false">IF($C6202="","",IFERROR(INDEX(المنيو!$C$2:$C$500,MATCH($C6202,المنيو!$B$2:$B$500,0)),0))</f>
        <v/>
      </c>
      <c r="F6202" s="103" t="str">
        <f aca="false">IF($C6202="","",$D6202*$E6202)</f>
        <v/>
      </c>
      <c r="G6202" s="103" t="str">
        <f aca="false">IF($C6202="","",$D6202*IFERROR(INDEX('تحليل التكلفة والسعر'!$C$2:$C$700,MATCH($C6202,'تحليل التكلفة والسعر'!$B$2:$B$700,0)),0))</f>
        <v/>
      </c>
    </row>
    <row r="6203" customFormat="false" ht="15" hidden="false" customHeight="false" outlineLevel="0" collapsed="false">
      <c r="A6203" s="102"/>
      <c r="E6203" s="103" t="str">
        <f aca="false">IF($C6203="","",IFERROR(INDEX(المنيو!$C$2:$C$500,MATCH($C6203,المنيو!$B$2:$B$500,0)),0))</f>
        <v/>
      </c>
      <c r="F6203" s="103" t="str">
        <f aca="false">IF($C6203="","",$D6203*$E6203)</f>
        <v/>
      </c>
      <c r="G6203" s="103" t="str">
        <f aca="false">IF($C6203="","",$D6203*IFERROR(INDEX('تحليل التكلفة والسعر'!$C$2:$C$700,MATCH($C6203,'تحليل التكلفة والسعر'!$B$2:$B$700,0)),0))</f>
        <v/>
      </c>
    </row>
    <row r="6204" customFormat="false" ht="15" hidden="false" customHeight="false" outlineLevel="0" collapsed="false">
      <c r="A6204" s="102"/>
      <c r="E6204" s="103" t="str">
        <f aca="false">IF($C6204="","",IFERROR(INDEX(المنيو!$C$2:$C$500,MATCH($C6204,المنيو!$B$2:$B$500,0)),0))</f>
        <v/>
      </c>
      <c r="F6204" s="103" t="str">
        <f aca="false">IF($C6204="","",$D6204*$E6204)</f>
        <v/>
      </c>
      <c r="G6204" s="103" t="str">
        <f aca="false">IF($C6204="","",$D6204*IFERROR(INDEX('تحليل التكلفة والسعر'!$C$2:$C$700,MATCH($C6204,'تحليل التكلفة والسعر'!$B$2:$B$700,0)),0))</f>
        <v/>
      </c>
    </row>
    <row r="6205" customFormat="false" ht="15" hidden="false" customHeight="false" outlineLevel="0" collapsed="false">
      <c r="A6205" s="102"/>
      <c r="E6205" s="103" t="str">
        <f aca="false">IF($C6205="","",IFERROR(INDEX(المنيو!$C$2:$C$500,MATCH($C6205,المنيو!$B$2:$B$500,0)),0))</f>
        <v/>
      </c>
      <c r="F6205" s="103" t="str">
        <f aca="false">IF($C6205="","",$D6205*$E6205)</f>
        <v/>
      </c>
      <c r="G6205" s="103" t="str">
        <f aca="false">IF($C6205="","",$D6205*IFERROR(INDEX('تحليل التكلفة والسعر'!$C$2:$C$700,MATCH($C6205,'تحليل التكلفة والسعر'!$B$2:$B$700,0)),0))</f>
        <v/>
      </c>
    </row>
    <row r="6206" customFormat="false" ht="15" hidden="false" customHeight="false" outlineLevel="0" collapsed="false">
      <c r="A6206" s="102"/>
      <c r="E6206" s="103" t="str">
        <f aca="false">IF($C6206="","",IFERROR(INDEX(المنيو!$C$2:$C$500,MATCH($C6206,المنيو!$B$2:$B$500,0)),0))</f>
        <v/>
      </c>
      <c r="F6206" s="103" t="str">
        <f aca="false">IF($C6206="","",$D6206*$E6206)</f>
        <v/>
      </c>
      <c r="G6206" s="103" t="str">
        <f aca="false">IF($C6206="","",$D6206*IFERROR(INDEX('تحليل التكلفة والسعر'!$C$2:$C$700,MATCH($C6206,'تحليل التكلفة والسعر'!$B$2:$B$700,0)),0))</f>
        <v/>
      </c>
    </row>
    <row r="6207" customFormat="false" ht="15" hidden="false" customHeight="false" outlineLevel="0" collapsed="false">
      <c r="A6207" s="102"/>
      <c r="E6207" s="103" t="str">
        <f aca="false">IF($C6207="","",IFERROR(INDEX(المنيو!$C$2:$C$500,MATCH($C6207,المنيو!$B$2:$B$500,0)),0))</f>
        <v/>
      </c>
      <c r="F6207" s="103" t="str">
        <f aca="false">IF($C6207="","",$D6207*$E6207)</f>
        <v/>
      </c>
      <c r="G6207" s="103" t="str">
        <f aca="false">IF($C6207="","",$D6207*IFERROR(INDEX('تحليل التكلفة والسعر'!$C$2:$C$700,MATCH($C6207,'تحليل التكلفة والسعر'!$B$2:$B$700,0)),0))</f>
        <v/>
      </c>
    </row>
    <row r="6208" customFormat="false" ht="15" hidden="false" customHeight="false" outlineLevel="0" collapsed="false">
      <c r="A6208" s="102"/>
      <c r="E6208" s="103" t="str">
        <f aca="false">IF($C6208="","",IFERROR(INDEX(المنيو!$C$2:$C$500,MATCH($C6208,المنيو!$B$2:$B$500,0)),0))</f>
        <v/>
      </c>
      <c r="F6208" s="103" t="str">
        <f aca="false">IF($C6208="","",$D6208*$E6208)</f>
        <v/>
      </c>
      <c r="G6208" s="103" t="str">
        <f aca="false">IF($C6208="","",$D6208*IFERROR(INDEX('تحليل التكلفة والسعر'!$C$2:$C$700,MATCH($C6208,'تحليل التكلفة والسعر'!$B$2:$B$700,0)),0))</f>
        <v/>
      </c>
    </row>
    <row r="6209" customFormat="false" ht="15" hidden="false" customHeight="false" outlineLevel="0" collapsed="false">
      <c r="A6209" s="102"/>
      <c r="E6209" s="103" t="str">
        <f aca="false">IF($C6209="","",IFERROR(INDEX(المنيو!$C$2:$C$500,MATCH($C6209,المنيو!$B$2:$B$500,0)),0))</f>
        <v/>
      </c>
      <c r="F6209" s="103" t="str">
        <f aca="false">IF($C6209="","",$D6209*$E6209)</f>
        <v/>
      </c>
      <c r="G6209" s="103" t="str">
        <f aca="false">IF($C6209="","",$D6209*IFERROR(INDEX('تحليل التكلفة والسعر'!$C$2:$C$700,MATCH($C6209,'تحليل التكلفة والسعر'!$B$2:$B$700,0)),0))</f>
        <v/>
      </c>
    </row>
    <row r="6210" customFormat="false" ht="15" hidden="false" customHeight="false" outlineLevel="0" collapsed="false">
      <c r="A6210" s="102"/>
      <c r="E6210" s="103" t="str">
        <f aca="false">IF($C6210="","",IFERROR(INDEX(المنيو!$C$2:$C$500,MATCH($C6210,المنيو!$B$2:$B$500,0)),0))</f>
        <v/>
      </c>
      <c r="F6210" s="103" t="str">
        <f aca="false">IF($C6210="","",$D6210*$E6210)</f>
        <v/>
      </c>
      <c r="G6210" s="103" t="str">
        <f aca="false">IF($C6210="","",$D6210*IFERROR(INDEX('تحليل التكلفة والسعر'!$C$2:$C$700,MATCH($C6210,'تحليل التكلفة والسعر'!$B$2:$B$700,0)),0))</f>
        <v/>
      </c>
    </row>
    <row r="6211" customFormat="false" ht="15" hidden="false" customHeight="false" outlineLevel="0" collapsed="false">
      <c r="A6211" s="102"/>
      <c r="E6211" s="103" t="str">
        <f aca="false">IF($C6211="","",IFERROR(INDEX(المنيو!$C$2:$C$500,MATCH($C6211,المنيو!$B$2:$B$500,0)),0))</f>
        <v/>
      </c>
      <c r="F6211" s="103" t="str">
        <f aca="false">IF($C6211="","",$D6211*$E6211)</f>
        <v/>
      </c>
      <c r="G6211" s="103" t="str">
        <f aca="false">IF($C6211="","",$D6211*IFERROR(INDEX('تحليل التكلفة والسعر'!$C$2:$C$700,MATCH($C6211,'تحليل التكلفة والسعر'!$B$2:$B$700,0)),0))</f>
        <v/>
      </c>
    </row>
    <row r="6212" customFormat="false" ht="15" hidden="false" customHeight="false" outlineLevel="0" collapsed="false">
      <c r="A6212" s="102"/>
      <c r="E6212" s="103" t="str">
        <f aca="false">IF($C6212="","",IFERROR(INDEX(المنيو!$C$2:$C$500,MATCH($C6212,المنيو!$B$2:$B$500,0)),0))</f>
        <v/>
      </c>
      <c r="F6212" s="103" t="str">
        <f aca="false">IF($C6212="","",$D6212*$E6212)</f>
        <v/>
      </c>
      <c r="G6212" s="103" t="str">
        <f aca="false">IF($C6212="","",$D6212*IFERROR(INDEX('تحليل التكلفة والسعر'!$C$2:$C$700,MATCH($C6212,'تحليل التكلفة والسعر'!$B$2:$B$700,0)),0))</f>
        <v/>
      </c>
    </row>
    <row r="6213" customFormat="false" ht="15" hidden="false" customHeight="false" outlineLevel="0" collapsed="false">
      <c r="A6213" s="102"/>
      <c r="E6213" s="103" t="str">
        <f aca="false">IF($C6213="","",IFERROR(INDEX(المنيو!$C$2:$C$500,MATCH($C6213,المنيو!$B$2:$B$500,0)),0))</f>
        <v/>
      </c>
      <c r="F6213" s="103" t="str">
        <f aca="false">IF($C6213="","",$D6213*$E6213)</f>
        <v/>
      </c>
      <c r="G6213" s="103" t="str">
        <f aca="false">IF($C6213="","",$D6213*IFERROR(INDEX('تحليل التكلفة والسعر'!$C$2:$C$700,MATCH($C6213,'تحليل التكلفة والسعر'!$B$2:$B$700,0)),0))</f>
        <v/>
      </c>
    </row>
    <row r="6214" customFormat="false" ht="15" hidden="false" customHeight="false" outlineLevel="0" collapsed="false">
      <c r="A6214" s="102"/>
      <c r="E6214" s="103" t="str">
        <f aca="false">IF($C6214="","",IFERROR(INDEX(المنيو!$C$2:$C$500,MATCH($C6214,المنيو!$B$2:$B$500,0)),0))</f>
        <v/>
      </c>
      <c r="F6214" s="103" t="str">
        <f aca="false">IF($C6214="","",$D6214*$E6214)</f>
        <v/>
      </c>
      <c r="G6214" s="103" t="str">
        <f aca="false">IF($C6214="","",$D6214*IFERROR(INDEX('تحليل التكلفة والسعر'!$C$2:$C$700,MATCH($C6214,'تحليل التكلفة والسعر'!$B$2:$B$700,0)),0))</f>
        <v/>
      </c>
    </row>
    <row r="6215" customFormat="false" ht="15" hidden="false" customHeight="false" outlineLevel="0" collapsed="false">
      <c r="A6215" s="102"/>
      <c r="E6215" s="103" t="str">
        <f aca="false">IF($C6215="","",IFERROR(INDEX(المنيو!$C$2:$C$500,MATCH($C6215,المنيو!$B$2:$B$500,0)),0))</f>
        <v/>
      </c>
      <c r="F6215" s="103" t="str">
        <f aca="false">IF($C6215="","",$D6215*$E6215)</f>
        <v/>
      </c>
      <c r="G6215" s="103" t="str">
        <f aca="false">IF($C6215="","",$D6215*IFERROR(INDEX('تحليل التكلفة والسعر'!$C$2:$C$700,MATCH($C6215,'تحليل التكلفة والسعر'!$B$2:$B$700,0)),0))</f>
        <v/>
      </c>
    </row>
    <row r="6216" customFormat="false" ht="15" hidden="false" customHeight="false" outlineLevel="0" collapsed="false">
      <c r="A6216" s="102"/>
      <c r="E6216" s="103" t="str">
        <f aca="false">IF($C6216="","",IFERROR(INDEX(المنيو!$C$2:$C$500,MATCH($C6216,المنيو!$B$2:$B$500,0)),0))</f>
        <v/>
      </c>
      <c r="F6216" s="103" t="str">
        <f aca="false">IF($C6216="","",$D6216*$E6216)</f>
        <v/>
      </c>
      <c r="G6216" s="103" t="str">
        <f aca="false">IF($C6216="","",$D6216*IFERROR(INDEX('تحليل التكلفة والسعر'!$C$2:$C$700,MATCH($C6216,'تحليل التكلفة والسعر'!$B$2:$B$700,0)),0))</f>
        <v/>
      </c>
    </row>
    <row r="6217" customFormat="false" ht="15" hidden="false" customHeight="false" outlineLevel="0" collapsed="false">
      <c r="A6217" s="102"/>
      <c r="E6217" s="103" t="str">
        <f aca="false">IF($C6217="","",IFERROR(INDEX(المنيو!$C$2:$C$500,MATCH($C6217,المنيو!$B$2:$B$500,0)),0))</f>
        <v/>
      </c>
      <c r="F6217" s="103" t="str">
        <f aca="false">IF($C6217="","",$D6217*$E6217)</f>
        <v/>
      </c>
      <c r="G6217" s="103" t="str">
        <f aca="false">IF($C6217="","",$D6217*IFERROR(INDEX('تحليل التكلفة والسعر'!$C$2:$C$700,MATCH($C6217,'تحليل التكلفة والسعر'!$B$2:$B$700,0)),0))</f>
        <v/>
      </c>
    </row>
    <row r="6218" customFormat="false" ht="15" hidden="false" customHeight="false" outlineLevel="0" collapsed="false">
      <c r="A6218" s="102"/>
      <c r="E6218" s="103" t="str">
        <f aca="false">IF($C6218="","",IFERROR(INDEX(المنيو!$C$2:$C$500,MATCH($C6218,المنيو!$B$2:$B$500,0)),0))</f>
        <v/>
      </c>
      <c r="F6218" s="103" t="str">
        <f aca="false">IF($C6218="","",$D6218*$E6218)</f>
        <v/>
      </c>
      <c r="G6218" s="103" t="str">
        <f aca="false">IF($C6218="","",$D6218*IFERROR(INDEX('تحليل التكلفة والسعر'!$C$2:$C$700,MATCH($C6218,'تحليل التكلفة والسعر'!$B$2:$B$700,0)),0))</f>
        <v/>
      </c>
    </row>
    <row r="6219" customFormat="false" ht="15" hidden="false" customHeight="false" outlineLevel="0" collapsed="false">
      <c r="A6219" s="102"/>
      <c r="E6219" s="103" t="str">
        <f aca="false">IF($C6219="","",IFERROR(INDEX(المنيو!$C$2:$C$500,MATCH($C6219,المنيو!$B$2:$B$500,0)),0))</f>
        <v/>
      </c>
      <c r="F6219" s="103" t="str">
        <f aca="false">IF($C6219="","",$D6219*$E6219)</f>
        <v/>
      </c>
      <c r="G6219" s="103" t="str">
        <f aca="false">IF($C6219="","",$D6219*IFERROR(INDEX('تحليل التكلفة والسعر'!$C$2:$C$700,MATCH($C6219,'تحليل التكلفة والسعر'!$B$2:$B$700,0)),0))</f>
        <v/>
      </c>
    </row>
    <row r="6220" customFormat="false" ht="15" hidden="false" customHeight="false" outlineLevel="0" collapsed="false">
      <c r="A6220" s="102"/>
      <c r="E6220" s="103" t="str">
        <f aca="false">IF($C6220="","",IFERROR(INDEX(المنيو!$C$2:$C$500,MATCH($C6220,المنيو!$B$2:$B$500,0)),0))</f>
        <v/>
      </c>
      <c r="F6220" s="103" t="str">
        <f aca="false">IF($C6220="","",$D6220*$E6220)</f>
        <v/>
      </c>
      <c r="G6220" s="103" t="str">
        <f aca="false">IF($C6220="","",$D6220*IFERROR(INDEX('تحليل التكلفة والسعر'!$C$2:$C$700,MATCH($C6220,'تحليل التكلفة والسعر'!$B$2:$B$700,0)),0))</f>
        <v/>
      </c>
    </row>
    <row r="6221" customFormat="false" ht="15" hidden="false" customHeight="false" outlineLevel="0" collapsed="false">
      <c r="A6221" s="102"/>
      <c r="E6221" s="103" t="str">
        <f aca="false">IF($C6221="","",IFERROR(INDEX(المنيو!$C$2:$C$500,MATCH($C6221,المنيو!$B$2:$B$500,0)),0))</f>
        <v/>
      </c>
      <c r="F6221" s="103" t="str">
        <f aca="false">IF($C6221="","",$D6221*$E6221)</f>
        <v/>
      </c>
      <c r="G6221" s="103" t="str">
        <f aca="false">IF($C6221="","",$D6221*IFERROR(INDEX('تحليل التكلفة والسعر'!$C$2:$C$700,MATCH($C6221,'تحليل التكلفة والسعر'!$B$2:$B$700,0)),0))</f>
        <v/>
      </c>
    </row>
    <row r="6222" customFormat="false" ht="15" hidden="false" customHeight="false" outlineLevel="0" collapsed="false">
      <c r="A6222" s="102"/>
      <c r="E6222" s="103" t="str">
        <f aca="false">IF($C6222="","",IFERROR(INDEX(المنيو!$C$2:$C$500,MATCH($C6222,المنيو!$B$2:$B$500,0)),0))</f>
        <v/>
      </c>
      <c r="F6222" s="103" t="str">
        <f aca="false">IF($C6222="","",$D6222*$E6222)</f>
        <v/>
      </c>
      <c r="G6222" s="103" t="str">
        <f aca="false">IF($C6222="","",$D6222*IFERROR(INDEX('تحليل التكلفة والسعر'!$C$2:$C$700,MATCH($C6222,'تحليل التكلفة والسعر'!$B$2:$B$700,0)),0))</f>
        <v/>
      </c>
    </row>
    <row r="6223" customFormat="false" ht="15" hidden="false" customHeight="false" outlineLevel="0" collapsed="false">
      <c r="A6223" s="102"/>
      <c r="E6223" s="103" t="str">
        <f aca="false">IF($C6223="","",IFERROR(INDEX(المنيو!$C$2:$C$500,MATCH($C6223,المنيو!$B$2:$B$500,0)),0))</f>
        <v/>
      </c>
      <c r="F6223" s="103" t="str">
        <f aca="false">IF($C6223="","",$D6223*$E6223)</f>
        <v/>
      </c>
      <c r="G6223" s="103" t="str">
        <f aca="false">IF($C6223="","",$D6223*IFERROR(INDEX('تحليل التكلفة والسعر'!$C$2:$C$700,MATCH($C6223,'تحليل التكلفة والسعر'!$B$2:$B$700,0)),0))</f>
        <v/>
      </c>
    </row>
    <row r="6224" customFormat="false" ht="15" hidden="false" customHeight="false" outlineLevel="0" collapsed="false">
      <c r="A6224" s="102"/>
      <c r="E6224" s="103" t="str">
        <f aca="false">IF($C6224="","",IFERROR(INDEX(المنيو!$C$2:$C$500,MATCH($C6224,المنيو!$B$2:$B$500,0)),0))</f>
        <v/>
      </c>
      <c r="F6224" s="103" t="str">
        <f aca="false">IF($C6224="","",$D6224*$E6224)</f>
        <v/>
      </c>
      <c r="G6224" s="103" t="str">
        <f aca="false">IF($C6224="","",$D6224*IFERROR(INDEX('تحليل التكلفة والسعر'!$C$2:$C$700,MATCH($C6224,'تحليل التكلفة والسعر'!$B$2:$B$700,0)),0))</f>
        <v/>
      </c>
    </row>
    <row r="6225" customFormat="false" ht="15" hidden="false" customHeight="false" outlineLevel="0" collapsed="false">
      <c r="A6225" s="102"/>
      <c r="E6225" s="103" t="str">
        <f aca="false">IF($C6225="","",IFERROR(INDEX(المنيو!$C$2:$C$500,MATCH($C6225,المنيو!$B$2:$B$500,0)),0))</f>
        <v/>
      </c>
      <c r="F6225" s="103" t="str">
        <f aca="false">IF($C6225="","",$D6225*$E6225)</f>
        <v/>
      </c>
      <c r="G6225" s="103" t="str">
        <f aca="false">IF($C6225="","",$D6225*IFERROR(INDEX('تحليل التكلفة والسعر'!$C$2:$C$700,MATCH($C6225,'تحليل التكلفة والسعر'!$B$2:$B$700,0)),0))</f>
        <v/>
      </c>
    </row>
    <row r="6226" customFormat="false" ht="15" hidden="false" customHeight="false" outlineLevel="0" collapsed="false">
      <c r="A6226" s="102"/>
      <c r="E6226" s="103" t="str">
        <f aca="false">IF($C6226="","",IFERROR(INDEX(المنيو!$C$2:$C$500,MATCH($C6226,المنيو!$B$2:$B$500,0)),0))</f>
        <v/>
      </c>
      <c r="F6226" s="103" t="str">
        <f aca="false">IF($C6226="","",$D6226*$E6226)</f>
        <v/>
      </c>
      <c r="G6226" s="103" t="str">
        <f aca="false">IF($C6226="","",$D6226*IFERROR(INDEX('تحليل التكلفة والسعر'!$C$2:$C$700,MATCH($C6226,'تحليل التكلفة والسعر'!$B$2:$B$700,0)),0))</f>
        <v/>
      </c>
    </row>
    <row r="6227" customFormat="false" ht="15" hidden="false" customHeight="false" outlineLevel="0" collapsed="false">
      <c r="A6227" s="102"/>
      <c r="E6227" s="103" t="str">
        <f aca="false">IF($C6227="","",IFERROR(INDEX(المنيو!$C$2:$C$500,MATCH($C6227,المنيو!$B$2:$B$500,0)),0))</f>
        <v/>
      </c>
      <c r="F6227" s="103" t="str">
        <f aca="false">IF($C6227="","",$D6227*$E6227)</f>
        <v/>
      </c>
      <c r="G6227" s="103" t="str">
        <f aca="false">IF($C6227="","",$D6227*IFERROR(INDEX('تحليل التكلفة والسعر'!$C$2:$C$700,MATCH($C6227,'تحليل التكلفة والسعر'!$B$2:$B$700,0)),0))</f>
        <v/>
      </c>
    </row>
    <row r="6228" customFormat="false" ht="15" hidden="false" customHeight="false" outlineLevel="0" collapsed="false">
      <c r="A6228" s="102"/>
      <c r="E6228" s="103" t="str">
        <f aca="false">IF($C6228="","",IFERROR(INDEX(المنيو!$C$2:$C$500,MATCH($C6228,المنيو!$B$2:$B$500,0)),0))</f>
        <v/>
      </c>
      <c r="F6228" s="103" t="str">
        <f aca="false">IF($C6228="","",$D6228*$E6228)</f>
        <v/>
      </c>
      <c r="G6228" s="103" t="str">
        <f aca="false">IF($C6228="","",$D6228*IFERROR(INDEX('تحليل التكلفة والسعر'!$C$2:$C$700,MATCH($C6228,'تحليل التكلفة والسعر'!$B$2:$B$700,0)),0))</f>
        <v/>
      </c>
    </row>
    <row r="6229" customFormat="false" ht="15" hidden="false" customHeight="false" outlineLevel="0" collapsed="false">
      <c r="A6229" s="102"/>
      <c r="E6229" s="103" t="str">
        <f aca="false">IF($C6229="","",IFERROR(INDEX(المنيو!$C$2:$C$500,MATCH($C6229,المنيو!$B$2:$B$500,0)),0))</f>
        <v/>
      </c>
      <c r="F6229" s="103" t="str">
        <f aca="false">IF($C6229="","",$D6229*$E6229)</f>
        <v/>
      </c>
      <c r="G6229" s="103" t="str">
        <f aca="false">IF($C6229="","",$D6229*IFERROR(INDEX('تحليل التكلفة والسعر'!$C$2:$C$700,MATCH($C6229,'تحليل التكلفة والسعر'!$B$2:$B$700,0)),0))</f>
        <v/>
      </c>
    </row>
    <row r="6230" customFormat="false" ht="15" hidden="false" customHeight="false" outlineLevel="0" collapsed="false">
      <c r="A6230" s="102"/>
      <c r="E6230" s="103" t="str">
        <f aca="false">IF($C6230="","",IFERROR(INDEX(المنيو!$C$2:$C$500,MATCH($C6230,المنيو!$B$2:$B$500,0)),0))</f>
        <v/>
      </c>
      <c r="F6230" s="103" t="str">
        <f aca="false">IF($C6230="","",$D6230*$E6230)</f>
        <v/>
      </c>
      <c r="G6230" s="103" t="str">
        <f aca="false">IF($C6230="","",$D6230*IFERROR(INDEX('تحليل التكلفة والسعر'!$C$2:$C$700,MATCH($C6230,'تحليل التكلفة والسعر'!$B$2:$B$700,0)),0))</f>
        <v/>
      </c>
    </row>
    <row r="6231" customFormat="false" ht="15" hidden="false" customHeight="false" outlineLevel="0" collapsed="false">
      <c r="A6231" s="102"/>
      <c r="E6231" s="103" t="str">
        <f aca="false">IF($C6231="","",IFERROR(INDEX(المنيو!$C$2:$C$500,MATCH($C6231,المنيو!$B$2:$B$500,0)),0))</f>
        <v/>
      </c>
      <c r="F6231" s="103" t="str">
        <f aca="false">IF($C6231="","",$D6231*$E6231)</f>
        <v/>
      </c>
      <c r="G6231" s="103" t="str">
        <f aca="false">IF($C6231="","",$D6231*IFERROR(INDEX('تحليل التكلفة والسعر'!$C$2:$C$700,MATCH($C6231,'تحليل التكلفة والسعر'!$B$2:$B$700,0)),0))</f>
        <v/>
      </c>
    </row>
    <row r="6232" customFormat="false" ht="15" hidden="false" customHeight="false" outlineLevel="0" collapsed="false">
      <c r="A6232" s="102"/>
      <c r="E6232" s="103" t="str">
        <f aca="false">IF($C6232="","",IFERROR(INDEX(المنيو!$C$2:$C$500,MATCH($C6232,المنيو!$B$2:$B$500,0)),0))</f>
        <v/>
      </c>
      <c r="F6232" s="103" t="str">
        <f aca="false">IF($C6232="","",$D6232*$E6232)</f>
        <v/>
      </c>
      <c r="G6232" s="103" t="str">
        <f aca="false">IF($C6232="","",$D6232*IFERROR(INDEX('تحليل التكلفة والسعر'!$C$2:$C$700,MATCH($C6232,'تحليل التكلفة والسعر'!$B$2:$B$700,0)),0))</f>
        <v/>
      </c>
    </row>
    <row r="6233" customFormat="false" ht="15" hidden="false" customHeight="false" outlineLevel="0" collapsed="false">
      <c r="A6233" s="102"/>
      <c r="E6233" s="103" t="str">
        <f aca="false">IF($C6233="","",IFERROR(INDEX(المنيو!$C$2:$C$500,MATCH($C6233,المنيو!$B$2:$B$500,0)),0))</f>
        <v/>
      </c>
      <c r="F6233" s="103" t="str">
        <f aca="false">IF($C6233="","",$D6233*$E6233)</f>
        <v/>
      </c>
      <c r="G6233" s="103" t="str">
        <f aca="false">IF($C6233="","",$D6233*IFERROR(INDEX('تحليل التكلفة والسعر'!$C$2:$C$700,MATCH($C6233,'تحليل التكلفة والسعر'!$B$2:$B$700,0)),0))</f>
        <v/>
      </c>
    </row>
    <row r="6234" customFormat="false" ht="15" hidden="false" customHeight="false" outlineLevel="0" collapsed="false">
      <c r="A6234" s="102"/>
      <c r="E6234" s="103" t="str">
        <f aca="false">IF($C6234="","",IFERROR(INDEX(المنيو!$C$2:$C$500,MATCH($C6234,المنيو!$B$2:$B$500,0)),0))</f>
        <v/>
      </c>
      <c r="F6234" s="103" t="str">
        <f aca="false">IF($C6234="","",$D6234*$E6234)</f>
        <v/>
      </c>
      <c r="G6234" s="103" t="str">
        <f aca="false">IF($C6234="","",$D6234*IFERROR(INDEX('تحليل التكلفة والسعر'!$C$2:$C$700,MATCH($C6234,'تحليل التكلفة والسعر'!$B$2:$B$700,0)),0))</f>
        <v/>
      </c>
    </row>
    <row r="6235" customFormat="false" ht="15" hidden="false" customHeight="false" outlineLevel="0" collapsed="false">
      <c r="A6235" s="102"/>
      <c r="E6235" s="103" t="str">
        <f aca="false">IF($C6235="","",IFERROR(INDEX(المنيو!$C$2:$C$500,MATCH($C6235,المنيو!$B$2:$B$500,0)),0))</f>
        <v/>
      </c>
      <c r="F6235" s="103" t="str">
        <f aca="false">IF($C6235="","",$D6235*$E6235)</f>
        <v/>
      </c>
      <c r="G6235" s="103" t="str">
        <f aca="false">IF($C6235="","",$D6235*IFERROR(INDEX('تحليل التكلفة والسعر'!$C$2:$C$700,MATCH($C6235,'تحليل التكلفة والسعر'!$B$2:$B$700,0)),0))</f>
        <v/>
      </c>
    </row>
    <row r="6236" customFormat="false" ht="15" hidden="false" customHeight="false" outlineLevel="0" collapsed="false">
      <c r="A6236" s="102"/>
      <c r="E6236" s="103" t="str">
        <f aca="false">IF($C6236="","",IFERROR(INDEX(المنيو!$C$2:$C$500,MATCH($C6236,المنيو!$B$2:$B$500,0)),0))</f>
        <v/>
      </c>
      <c r="F6236" s="103" t="str">
        <f aca="false">IF($C6236="","",$D6236*$E6236)</f>
        <v/>
      </c>
      <c r="G6236" s="103" t="str">
        <f aca="false">IF($C6236="","",$D6236*IFERROR(INDEX('تحليل التكلفة والسعر'!$C$2:$C$700,MATCH($C6236,'تحليل التكلفة والسعر'!$B$2:$B$700,0)),0))</f>
        <v/>
      </c>
    </row>
    <row r="6237" customFormat="false" ht="15" hidden="false" customHeight="false" outlineLevel="0" collapsed="false">
      <c r="A6237" s="102"/>
      <c r="E6237" s="103" t="str">
        <f aca="false">IF($C6237="","",IFERROR(INDEX(المنيو!$C$2:$C$500,MATCH($C6237,المنيو!$B$2:$B$500,0)),0))</f>
        <v/>
      </c>
      <c r="F6237" s="103" t="str">
        <f aca="false">IF($C6237="","",$D6237*$E6237)</f>
        <v/>
      </c>
      <c r="G6237" s="103" t="str">
        <f aca="false">IF($C6237="","",$D6237*IFERROR(INDEX('تحليل التكلفة والسعر'!$C$2:$C$700,MATCH($C6237,'تحليل التكلفة والسعر'!$B$2:$B$700,0)),0))</f>
        <v/>
      </c>
    </row>
    <row r="6238" customFormat="false" ht="15" hidden="false" customHeight="false" outlineLevel="0" collapsed="false">
      <c r="A6238" s="102"/>
      <c r="E6238" s="103" t="str">
        <f aca="false">IF($C6238="","",IFERROR(INDEX(المنيو!$C$2:$C$500,MATCH($C6238,المنيو!$B$2:$B$500,0)),0))</f>
        <v/>
      </c>
      <c r="F6238" s="103" t="str">
        <f aca="false">IF($C6238="","",$D6238*$E6238)</f>
        <v/>
      </c>
      <c r="G6238" s="103" t="str">
        <f aca="false">IF($C6238="","",$D6238*IFERROR(INDEX('تحليل التكلفة والسعر'!$C$2:$C$700,MATCH($C6238,'تحليل التكلفة والسعر'!$B$2:$B$700,0)),0))</f>
        <v/>
      </c>
    </row>
    <row r="6239" customFormat="false" ht="15" hidden="false" customHeight="false" outlineLevel="0" collapsed="false">
      <c r="A6239" s="102"/>
      <c r="E6239" s="103" t="str">
        <f aca="false">IF($C6239="","",IFERROR(INDEX(المنيو!$C$2:$C$500,MATCH($C6239,المنيو!$B$2:$B$500,0)),0))</f>
        <v/>
      </c>
      <c r="F6239" s="103" t="str">
        <f aca="false">IF($C6239="","",$D6239*$E6239)</f>
        <v/>
      </c>
      <c r="G6239" s="103" t="str">
        <f aca="false">IF($C6239="","",$D6239*IFERROR(INDEX('تحليل التكلفة والسعر'!$C$2:$C$700,MATCH($C6239,'تحليل التكلفة والسعر'!$B$2:$B$700,0)),0))</f>
        <v/>
      </c>
    </row>
    <row r="6240" customFormat="false" ht="15" hidden="false" customHeight="false" outlineLevel="0" collapsed="false">
      <c r="A6240" s="102"/>
      <c r="E6240" s="103" t="str">
        <f aca="false">IF($C6240="","",IFERROR(INDEX(المنيو!$C$2:$C$500,MATCH($C6240,المنيو!$B$2:$B$500,0)),0))</f>
        <v/>
      </c>
      <c r="F6240" s="103" t="str">
        <f aca="false">IF($C6240="","",$D6240*$E6240)</f>
        <v/>
      </c>
      <c r="G6240" s="103" t="str">
        <f aca="false">IF($C6240="","",$D6240*IFERROR(INDEX('تحليل التكلفة والسعر'!$C$2:$C$700,MATCH($C6240,'تحليل التكلفة والسعر'!$B$2:$B$700,0)),0))</f>
        <v/>
      </c>
    </row>
    <row r="6241" customFormat="false" ht="15" hidden="false" customHeight="false" outlineLevel="0" collapsed="false">
      <c r="A6241" s="102"/>
      <c r="E6241" s="103" t="str">
        <f aca="false">IF($C6241="","",IFERROR(INDEX(المنيو!$C$2:$C$500,MATCH($C6241,المنيو!$B$2:$B$500,0)),0))</f>
        <v/>
      </c>
      <c r="F6241" s="103" t="str">
        <f aca="false">IF($C6241="","",$D6241*$E6241)</f>
        <v/>
      </c>
      <c r="G6241" s="103" t="str">
        <f aca="false">IF($C6241="","",$D6241*IFERROR(INDEX('تحليل التكلفة والسعر'!$C$2:$C$700,MATCH($C6241,'تحليل التكلفة والسعر'!$B$2:$B$700,0)),0))</f>
        <v/>
      </c>
    </row>
    <row r="6242" customFormat="false" ht="15" hidden="false" customHeight="false" outlineLevel="0" collapsed="false">
      <c r="A6242" s="102"/>
      <c r="E6242" s="103" t="str">
        <f aca="false">IF($C6242="","",IFERROR(INDEX(المنيو!$C$2:$C$500,MATCH($C6242,المنيو!$B$2:$B$500,0)),0))</f>
        <v/>
      </c>
      <c r="F6242" s="103" t="str">
        <f aca="false">IF($C6242="","",$D6242*$E6242)</f>
        <v/>
      </c>
      <c r="G6242" s="103" t="str">
        <f aca="false">IF($C6242="","",$D6242*IFERROR(INDEX('تحليل التكلفة والسعر'!$C$2:$C$700,MATCH($C6242,'تحليل التكلفة والسعر'!$B$2:$B$700,0)),0))</f>
        <v/>
      </c>
    </row>
    <row r="6243" customFormat="false" ht="15" hidden="false" customHeight="false" outlineLevel="0" collapsed="false">
      <c r="A6243" s="102"/>
      <c r="E6243" s="103" t="str">
        <f aca="false">IF($C6243="","",IFERROR(INDEX(المنيو!$C$2:$C$500,MATCH($C6243,المنيو!$B$2:$B$500,0)),0))</f>
        <v/>
      </c>
      <c r="F6243" s="103" t="str">
        <f aca="false">IF($C6243="","",$D6243*$E6243)</f>
        <v/>
      </c>
      <c r="G6243" s="103" t="str">
        <f aca="false">IF($C6243="","",$D6243*IFERROR(INDEX('تحليل التكلفة والسعر'!$C$2:$C$700,MATCH($C6243,'تحليل التكلفة والسعر'!$B$2:$B$700,0)),0))</f>
        <v/>
      </c>
    </row>
    <row r="6244" customFormat="false" ht="15" hidden="false" customHeight="false" outlineLevel="0" collapsed="false">
      <c r="A6244" s="102"/>
      <c r="E6244" s="103" t="str">
        <f aca="false">IF($C6244="","",IFERROR(INDEX(المنيو!$C$2:$C$500,MATCH($C6244,المنيو!$B$2:$B$500,0)),0))</f>
        <v/>
      </c>
      <c r="F6244" s="103" t="str">
        <f aca="false">IF($C6244="","",$D6244*$E6244)</f>
        <v/>
      </c>
      <c r="G6244" s="103" t="str">
        <f aca="false">IF($C6244="","",$D6244*IFERROR(INDEX('تحليل التكلفة والسعر'!$C$2:$C$700,MATCH($C6244,'تحليل التكلفة والسعر'!$B$2:$B$700,0)),0))</f>
        <v/>
      </c>
    </row>
    <row r="6245" customFormat="false" ht="15" hidden="false" customHeight="false" outlineLevel="0" collapsed="false">
      <c r="A6245" s="102"/>
      <c r="E6245" s="103" t="str">
        <f aca="false">IF($C6245="","",IFERROR(INDEX(المنيو!$C$2:$C$500,MATCH($C6245,المنيو!$B$2:$B$500,0)),0))</f>
        <v/>
      </c>
      <c r="F6245" s="103" t="str">
        <f aca="false">IF($C6245="","",$D6245*$E6245)</f>
        <v/>
      </c>
      <c r="G6245" s="103" t="str">
        <f aca="false">IF($C6245="","",$D6245*IFERROR(INDEX('تحليل التكلفة والسعر'!$C$2:$C$700,MATCH($C6245,'تحليل التكلفة والسعر'!$B$2:$B$700,0)),0))</f>
        <v/>
      </c>
    </row>
    <row r="6246" customFormat="false" ht="15" hidden="false" customHeight="false" outlineLevel="0" collapsed="false">
      <c r="A6246" s="102"/>
      <c r="E6246" s="103" t="str">
        <f aca="false">IF($C6246="","",IFERROR(INDEX(المنيو!$C$2:$C$500,MATCH($C6246,المنيو!$B$2:$B$500,0)),0))</f>
        <v/>
      </c>
      <c r="F6246" s="103" t="str">
        <f aca="false">IF($C6246="","",$D6246*$E6246)</f>
        <v/>
      </c>
      <c r="G6246" s="103" t="str">
        <f aca="false">IF($C6246="","",$D6246*IFERROR(INDEX('تحليل التكلفة والسعر'!$C$2:$C$700,MATCH($C6246,'تحليل التكلفة والسعر'!$B$2:$B$700,0)),0))</f>
        <v/>
      </c>
    </row>
    <row r="6247" customFormat="false" ht="15" hidden="false" customHeight="false" outlineLevel="0" collapsed="false">
      <c r="A6247" s="102"/>
      <c r="E6247" s="103" t="str">
        <f aca="false">IF($C6247="","",IFERROR(INDEX(المنيو!$C$2:$C$500,MATCH($C6247,المنيو!$B$2:$B$500,0)),0))</f>
        <v/>
      </c>
      <c r="F6247" s="103" t="str">
        <f aca="false">IF($C6247="","",$D6247*$E6247)</f>
        <v/>
      </c>
      <c r="G6247" s="103" t="str">
        <f aca="false">IF($C6247="","",$D6247*IFERROR(INDEX('تحليل التكلفة والسعر'!$C$2:$C$700,MATCH($C6247,'تحليل التكلفة والسعر'!$B$2:$B$700,0)),0))</f>
        <v/>
      </c>
    </row>
    <row r="6248" customFormat="false" ht="15" hidden="false" customHeight="false" outlineLevel="0" collapsed="false">
      <c r="A6248" s="102"/>
      <c r="E6248" s="103" t="str">
        <f aca="false">IF($C6248="","",IFERROR(INDEX(المنيو!$C$2:$C$500,MATCH($C6248,المنيو!$B$2:$B$500,0)),0))</f>
        <v/>
      </c>
      <c r="F6248" s="103" t="str">
        <f aca="false">IF($C6248="","",$D6248*$E6248)</f>
        <v/>
      </c>
      <c r="G6248" s="103" t="str">
        <f aca="false">IF($C6248="","",$D6248*IFERROR(INDEX('تحليل التكلفة والسعر'!$C$2:$C$700,MATCH($C6248,'تحليل التكلفة والسعر'!$B$2:$B$700,0)),0))</f>
        <v/>
      </c>
    </row>
    <row r="6249" customFormat="false" ht="15" hidden="false" customHeight="false" outlineLevel="0" collapsed="false">
      <c r="A6249" s="102"/>
      <c r="E6249" s="103" t="str">
        <f aca="false">IF($C6249="","",IFERROR(INDEX(المنيو!$C$2:$C$500,MATCH($C6249,المنيو!$B$2:$B$500,0)),0))</f>
        <v/>
      </c>
      <c r="F6249" s="103" t="str">
        <f aca="false">IF($C6249="","",$D6249*$E6249)</f>
        <v/>
      </c>
      <c r="G6249" s="103" t="str">
        <f aca="false">IF($C6249="","",$D6249*IFERROR(INDEX('تحليل التكلفة والسعر'!$C$2:$C$700,MATCH($C6249,'تحليل التكلفة والسعر'!$B$2:$B$700,0)),0))</f>
        <v/>
      </c>
    </row>
    <row r="6250" customFormat="false" ht="15" hidden="false" customHeight="false" outlineLevel="0" collapsed="false">
      <c r="A6250" s="102"/>
      <c r="E6250" s="103" t="str">
        <f aca="false">IF($C6250="","",IFERROR(INDEX(المنيو!$C$2:$C$500,MATCH($C6250,المنيو!$B$2:$B$500,0)),0))</f>
        <v/>
      </c>
      <c r="F6250" s="103" t="str">
        <f aca="false">IF($C6250="","",$D6250*$E6250)</f>
        <v/>
      </c>
      <c r="G6250" s="103" t="str">
        <f aca="false">IF($C6250="","",$D6250*IFERROR(INDEX('تحليل التكلفة والسعر'!$C$2:$C$700,MATCH($C6250,'تحليل التكلفة والسعر'!$B$2:$B$700,0)),0))</f>
        <v/>
      </c>
    </row>
    <row r="6251" customFormat="false" ht="15" hidden="false" customHeight="false" outlineLevel="0" collapsed="false">
      <c r="A6251" s="102"/>
      <c r="E6251" s="103" t="str">
        <f aca="false">IF($C6251="","",IFERROR(INDEX(المنيو!$C$2:$C$500,MATCH($C6251,المنيو!$B$2:$B$500,0)),0))</f>
        <v/>
      </c>
      <c r="F6251" s="103" t="str">
        <f aca="false">IF($C6251="","",$D6251*$E6251)</f>
        <v/>
      </c>
      <c r="G6251" s="103" t="str">
        <f aca="false">IF($C6251="","",$D6251*IFERROR(INDEX('تحليل التكلفة والسعر'!$C$2:$C$700,MATCH($C6251,'تحليل التكلفة والسعر'!$B$2:$B$700,0)),0))</f>
        <v/>
      </c>
    </row>
    <row r="6252" customFormat="false" ht="15" hidden="false" customHeight="false" outlineLevel="0" collapsed="false">
      <c r="A6252" s="102"/>
      <c r="E6252" s="103" t="str">
        <f aca="false">IF($C6252="","",IFERROR(INDEX(المنيو!$C$2:$C$500,MATCH($C6252,المنيو!$B$2:$B$500,0)),0))</f>
        <v/>
      </c>
      <c r="F6252" s="103" t="str">
        <f aca="false">IF($C6252="","",$D6252*$E6252)</f>
        <v/>
      </c>
      <c r="G6252" s="103" t="str">
        <f aca="false">IF($C6252="","",$D6252*IFERROR(INDEX('تحليل التكلفة والسعر'!$C$2:$C$700,MATCH($C6252,'تحليل التكلفة والسعر'!$B$2:$B$700,0)),0))</f>
        <v/>
      </c>
    </row>
    <row r="6253" customFormat="false" ht="15" hidden="false" customHeight="false" outlineLevel="0" collapsed="false">
      <c r="A6253" s="102"/>
      <c r="E6253" s="103" t="str">
        <f aca="false">IF($C6253="","",IFERROR(INDEX(المنيو!$C$2:$C$500,MATCH($C6253,المنيو!$B$2:$B$500,0)),0))</f>
        <v/>
      </c>
      <c r="F6253" s="103" t="str">
        <f aca="false">IF($C6253="","",$D6253*$E6253)</f>
        <v/>
      </c>
      <c r="G6253" s="103" t="str">
        <f aca="false">IF($C6253="","",$D6253*IFERROR(INDEX('تحليل التكلفة والسعر'!$C$2:$C$700,MATCH($C6253,'تحليل التكلفة والسعر'!$B$2:$B$700,0)),0))</f>
        <v/>
      </c>
    </row>
    <row r="6254" customFormat="false" ht="15" hidden="false" customHeight="false" outlineLevel="0" collapsed="false">
      <c r="A6254" s="102"/>
      <c r="E6254" s="103" t="str">
        <f aca="false">IF($C6254="","",IFERROR(INDEX(المنيو!$C$2:$C$500,MATCH($C6254,المنيو!$B$2:$B$500,0)),0))</f>
        <v/>
      </c>
      <c r="F6254" s="103" t="str">
        <f aca="false">IF($C6254="","",$D6254*$E6254)</f>
        <v/>
      </c>
      <c r="G6254" s="103" t="str">
        <f aca="false">IF($C6254="","",$D6254*IFERROR(INDEX('تحليل التكلفة والسعر'!$C$2:$C$700,MATCH($C6254,'تحليل التكلفة والسعر'!$B$2:$B$700,0)),0))</f>
        <v/>
      </c>
    </row>
    <row r="6255" customFormat="false" ht="15" hidden="false" customHeight="false" outlineLevel="0" collapsed="false">
      <c r="A6255" s="102"/>
      <c r="E6255" s="103" t="str">
        <f aca="false">IF($C6255="","",IFERROR(INDEX(المنيو!$C$2:$C$500,MATCH($C6255,المنيو!$B$2:$B$500,0)),0))</f>
        <v/>
      </c>
      <c r="F6255" s="103" t="str">
        <f aca="false">IF($C6255="","",$D6255*$E6255)</f>
        <v/>
      </c>
      <c r="G6255" s="103" t="str">
        <f aca="false">IF($C6255="","",$D6255*IFERROR(INDEX('تحليل التكلفة والسعر'!$C$2:$C$700,MATCH($C6255,'تحليل التكلفة والسعر'!$B$2:$B$700,0)),0))</f>
        <v/>
      </c>
    </row>
    <row r="6256" customFormat="false" ht="15" hidden="false" customHeight="false" outlineLevel="0" collapsed="false">
      <c r="A6256" s="102"/>
      <c r="E6256" s="103" t="str">
        <f aca="false">IF($C6256="","",IFERROR(INDEX(المنيو!$C$2:$C$500,MATCH($C6256,المنيو!$B$2:$B$500,0)),0))</f>
        <v/>
      </c>
      <c r="F6256" s="103" t="str">
        <f aca="false">IF($C6256="","",$D6256*$E6256)</f>
        <v/>
      </c>
      <c r="G6256" s="103" t="str">
        <f aca="false">IF($C6256="","",$D6256*IFERROR(INDEX('تحليل التكلفة والسعر'!$C$2:$C$700,MATCH($C6256,'تحليل التكلفة والسعر'!$B$2:$B$700,0)),0))</f>
        <v/>
      </c>
    </row>
    <row r="6257" customFormat="false" ht="15" hidden="false" customHeight="false" outlineLevel="0" collapsed="false">
      <c r="A6257" s="102"/>
      <c r="E6257" s="103" t="str">
        <f aca="false">IF($C6257="","",IFERROR(INDEX(المنيو!$C$2:$C$500,MATCH($C6257,المنيو!$B$2:$B$500,0)),0))</f>
        <v/>
      </c>
      <c r="F6257" s="103" t="str">
        <f aca="false">IF($C6257="","",$D6257*$E6257)</f>
        <v/>
      </c>
      <c r="G6257" s="103" t="str">
        <f aca="false">IF($C6257="","",$D6257*IFERROR(INDEX('تحليل التكلفة والسعر'!$C$2:$C$700,MATCH($C6257,'تحليل التكلفة والسعر'!$B$2:$B$700,0)),0))</f>
        <v/>
      </c>
    </row>
    <row r="6258" customFormat="false" ht="15" hidden="false" customHeight="false" outlineLevel="0" collapsed="false">
      <c r="A6258" s="102"/>
      <c r="E6258" s="103" t="str">
        <f aca="false">IF($C6258="","",IFERROR(INDEX(المنيو!$C$2:$C$500,MATCH($C6258,المنيو!$B$2:$B$500,0)),0))</f>
        <v/>
      </c>
      <c r="F6258" s="103" t="str">
        <f aca="false">IF($C6258="","",$D6258*$E6258)</f>
        <v/>
      </c>
      <c r="G6258" s="103" t="str">
        <f aca="false">IF($C6258="","",$D6258*IFERROR(INDEX('تحليل التكلفة والسعر'!$C$2:$C$700,MATCH($C6258,'تحليل التكلفة والسعر'!$B$2:$B$700,0)),0))</f>
        <v/>
      </c>
    </row>
    <row r="6259" customFormat="false" ht="15" hidden="false" customHeight="false" outlineLevel="0" collapsed="false">
      <c r="A6259" s="102"/>
      <c r="E6259" s="103" t="str">
        <f aca="false">IF($C6259="","",IFERROR(INDEX(المنيو!$C$2:$C$500,MATCH($C6259,المنيو!$B$2:$B$500,0)),0))</f>
        <v/>
      </c>
      <c r="F6259" s="103" t="str">
        <f aca="false">IF($C6259="","",$D6259*$E6259)</f>
        <v/>
      </c>
      <c r="G6259" s="103" t="str">
        <f aca="false">IF($C6259="","",$D6259*IFERROR(INDEX('تحليل التكلفة والسعر'!$C$2:$C$700,MATCH($C6259,'تحليل التكلفة والسعر'!$B$2:$B$700,0)),0))</f>
        <v/>
      </c>
    </row>
    <row r="6260" customFormat="false" ht="15" hidden="false" customHeight="false" outlineLevel="0" collapsed="false">
      <c r="A6260" s="102"/>
      <c r="E6260" s="103" t="str">
        <f aca="false">IF($C6260="","",IFERROR(INDEX(المنيو!$C$2:$C$500,MATCH($C6260,المنيو!$B$2:$B$500,0)),0))</f>
        <v/>
      </c>
      <c r="F6260" s="103" t="str">
        <f aca="false">IF($C6260="","",$D6260*$E6260)</f>
        <v/>
      </c>
      <c r="G6260" s="103" t="str">
        <f aca="false">IF($C6260="","",$D6260*IFERROR(INDEX('تحليل التكلفة والسعر'!$C$2:$C$700,MATCH($C6260,'تحليل التكلفة والسعر'!$B$2:$B$700,0)),0))</f>
        <v/>
      </c>
    </row>
    <row r="6261" customFormat="false" ht="15" hidden="false" customHeight="false" outlineLevel="0" collapsed="false">
      <c r="A6261" s="102"/>
      <c r="E6261" s="103" t="str">
        <f aca="false">IF($C6261="","",IFERROR(INDEX(المنيو!$C$2:$C$500,MATCH($C6261,المنيو!$B$2:$B$500,0)),0))</f>
        <v/>
      </c>
      <c r="F6261" s="103" t="str">
        <f aca="false">IF($C6261="","",$D6261*$E6261)</f>
        <v/>
      </c>
      <c r="G6261" s="103" t="str">
        <f aca="false">IF($C6261="","",$D6261*IFERROR(INDEX('تحليل التكلفة والسعر'!$C$2:$C$700,MATCH($C6261,'تحليل التكلفة والسعر'!$B$2:$B$700,0)),0))</f>
        <v/>
      </c>
    </row>
    <row r="6262" customFormat="false" ht="15" hidden="false" customHeight="false" outlineLevel="0" collapsed="false">
      <c r="A6262" s="102"/>
      <c r="E6262" s="103" t="str">
        <f aca="false">IF($C6262="","",IFERROR(INDEX(المنيو!$C$2:$C$500,MATCH($C6262,المنيو!$B$2:$B$500,0)),0))</f>
        <v/>
      </c>
      <c r="F6262" s="103" t="str">
        <f aca="false">IF($C6262="","",$D6262*$E6262)</f>
        <v/>
      </c>
      <c r="G6262" s="103" t="str">
        <f aca="false">IF($C6262="","",$D6262*IFERROR(INDEX('تحليل التكلفة والسعر'!$C$2:$C$700,MATCH($C6262,'تحليل التكلفة والسعر'!$B$2:$B$700,0)),0))</f>
        <v/>
      </c>
    </row>
    <row r="6263" customFormat="false" ht="15" hidden="false" customHeight="false" outlineLevel="0" collapsed="false">
      <c r="A6263" s="102"/>
      <c r="E6263" s="103" t="str">
        <f aca="false">IF($C6263="","",IFERROR(INDEX(المنيو!$C$2:$C$500,MATCH($C6263,المنيو!$B$2:$B$500,0)),0))</f>
        <v/>
      </c>
      <c r="F6263" s="103" t="str">
        <f aca="false">IF($C6263="","",$D6263*$E6263)</f>
        <v/>
      </c>
      <c r="G6263" s="103" t="str">
        <f aca="false">IF($C6263="","",$D6263*IFERROR(INDEX('تحليل التكلفة والسعر'!$C$2:$C$700,MATCH($C6263,'تحليل التكلفة والسعر'!$B$2:$B$700,0)),0))</f>
        <v/>
      </c>
    </row>
    <row r="6264" customFormat="false" ht="15" hidden="false" customHeight="false" outlineLevel="0" collapsed="false">
      <c r="A6264" s="102"/>
      <c r="E6264" s="103" t="str">
        <f aca="false">IF($C6264="","",IFERROR(INDEX(المنيو!$C$2:$C$500,MATCH($C6264,المنيو!$B$2:$B$500,0)),0))</f>
        <v/>
      </c>
      <c r="F6264" s="103" t="str">
        <f aca="false">IF($C6264="","",$D6264*$E6264)</f>
        <v/>
      </c>
      <c r="G6264" s="103" t="str">
        <f aca="false">IF($C6264="","",$D6264*IFERROR(INDEX('تحليل التكلفة والسعر'!$C$2:$C$700,MATCH($C6264,'تحليل التكلفة والسعر'!$B$2:$B$700,0)),0))</f>
        <v/>
      </c>
    </row>
    <row r="6265" customFormat="false" ht="15" hidden="false" customHeight="false" outlineLevel="0" collapsed="false">
      <c r="A6265" s="102"/>
      <c r="E6265" s="103" t="str">
        <f aca="false">IF($C6265="","",IFERROR(INDEX(المنيو!$C$2:$C$500,MATCH($C6265,المنيو!$B$2:$B$500,0)),0))</f>
        <v/>
      </c>
      <c r="F6265" s="103" t="str">
        <f aca="false">IF($C6265="","",$D6265*$E6265)</f>
        <v/>
      </c>
      <c r="G6265" s="103" t="str">
        <f aca="false">IF($C6265="","",$D6265*IFERROR(INDEX('تحليل التكلفة والسعر'!$C$2:$C$700,MATCH($C6265,'تحليل التكلفة والسعر'!$B$2:$B$700,0)),0))</f>
        <v/>
      </c>
    </row>
    <row r="6266" customFormat="false" ht="15" hidden="false" customHeight="false" outlineLevel="0" collapsed="false">
      <c r="A6266" s="102"/>
      <c r="E6266" s="103" t="str">
        <f aca="false">IF($C6266="","",IFERROR(INDEX(المنيو!$C$2:$C$500,MATCH($C6266,المنيو!$B$2:$B$500,0)),0))</f>
        <v/>
      </c>
      <c r="F6266" s="103" t="str">
        <f aca="false">IF($C6266="","",$D6266*$E6266)</f>
        <v/>
      </c>
      <c r="G6266" s="103" t="str">
        <f aca="false">IF($C6266="","",$D6266*IFERROR(INDEX('تحليل التكلفة والسعر'!$C$2:$C$700,MATCH($C6266,'تحليل التكلفة والسعر'!$B$2:$B$700,0)),0))</f>
        <v/>
      </c>
    </row>
    <row r="6267" customFormat="false" ht="15" hidden="false" customHeight="false" outlineLevel="0" collapsed="false">
      <c r="A6267" s="102"/>
      <c r="E6267" s="103" t="str">
        <f aca="false">IF($C6267="","",IFERROR(INDEX(المنيو!$C$2:$C$500,MATCH($C6267,المنيو!$B$2:$B$500,0)),0))</f>
        <v/>
      </c>
      <c r="F6267" s="103" t="str">
        <f aca="false">IF($C6267="","",$D6267*$E6267)</f>
        <v/>
      </c>
      <c r="G6267" s="103" t="str">
        <f aca="false">IF($C6267="","",$D6267*IFERROR(INDEX('تحليل التكلفة والسعر'!$C$2:$C$700,MATCH($C6267,'تحليل التكلفة والسعر'!$B$2:$B$700,0)),0))</f>
        <v/>
      </c>
    </row>
    <row r="6268" customFormat="false" ht="15" hidden="false" customHeight="false" outlineLevel="0" collapsed="false">
      <c r="A6268" s="102"/>
      <c r="E6268" s="103" t="str">
        <f aca="false">IF($C6268="","",IFERROR(INDEX(المنيو!$C$2:$C$500,MATCH($C6268,المنيو!$B$2:$B$500,0)),0))</f>
        <v/>
      </c>
      <c r="F6268" s="103" t="str">
        <f aca="false">IF($C6268="","",$D6268*$E6268)</f>
        <v/>
      </c>
      <c r="G6268" s="103" t="str">
        <f aca="false">IF($C6268="","",$D6268*IFERROR(INDEX('تحليل التكلفة والسعر'!$C$2:$C$700,MATCH($C6268,'تحليل التكلفة والسعر'!$B$2:$B$700,0)),0))</f>
        <v/>
      </c>
    </row>
    <row r="6269" customFormat="false" ht="15" hidden="false" customHeight="false" outlineLevel="0" collapsed="false">
      <c r="A6269" s="102"/>
      <c r="E6269" s="103" t="str">
        <f aca="false">IF($C6269="","",IFERROR(INDEX(المنيو!$C$2:$C$500,MATCH($C6269,المنيو!$B$2:$B$500,0)),0))</f>
        <v/>
      </c>
      <c r="F6269" s="103" t="str">
        <f aca="false">IF($C6269="","",$D6269*$E6269)</f>
        <v/>
      </c>
      <c r="G6269" s="103" t="str">
        <f aca="false">IF($C6269="","",$D6269*IFERROR(INDEX('تحليل التكلفة والسعر'!$C$2:$C$700,MATCH($C6269,'تحليل التكلفة والسعر'!$B$2:$B$700,0)),0))</f>
        <v/>
      </c>
    </row>
    <row r="6270" customFormat="false" ht="15" hidden="false" customHeight="false" outlineLevel="0" collapsed="false">
      <c r="A6270" s="102"/>
      <c r="E6270" s="103" t="str">
        <f aca="false">IF($C6270="","",IFERROR(INDEX(المنيو!$C$2:$C$500,MATCH($C6270,المنيو!$B$2:$B$500,0)),0))</f>
        <v/>
      </c>
      <c r="F6270" s="103" t="str">
        <f aca="false">IF($C6270="","",$D6270*$E6270)</f>
        <v/>
      </c>
      <c r="G6270" s="103" t="str">
        <f aca="false">IF($C6270="","",$D6270*IFERROR(INDEX('تحليل التكلفة والسعر'!$C$2:$C$700,MATCH($C6270,'تحليل التكلفة والسعر'!$B$2:$B$700,0)),0))</f>
        <v/>
      </c>
    </row>
    <row r="6271" customFormat="false" ht="15" hidden="false" customHeight="false" outlineLevel="0" collapsed="false">
      <c r="A6271" s="102"/>
      <c r="E6271" s="103" t="str">
        <f aca="false">IF($C6271="","",IFERROR(INDEX(المنيو!$C$2:$C$500,MATCH($C6271,المنيو!$B$2:$B$500,0)),0))</f>
        <v/>
      </c>
      <c r="F6271" s="103" t="str">
        <f aca="false">IF($C6271="","",$D6271*$E6271)</f>
        <v/>
      </c>
      <c r="G6271" s="103" t="str">
        <f aca="false">IF($C6271="","",$D6271*IFERROR(INDEX('تحليل التكلفة والسعر'!$C$2:$C$700,MATCH($C6271,'تحليل التكلفة والسعر'!$B$2:$B$700,0)),0))</f>
        <v/>
      </c>
    </row>
    <row r="6272" customFormat="false" ht="15" hidden="false" customHeight="false" outlineLevel="0" collapsed="false">
      <c r="A6272" s="102"/>
      <c r="E6272" s="103" t="str">
        <f aca="false">IF($C6272="","",IFERROR(INDEX(المنيو!$C$2:$C$500,MATCH($C6272,المنيو!$B$2:$B$500,0)),0))</f>
        <v/>
      </c>
      <c r="F6272" s="103" t="str">
        <f aca="false">IF($C6272="","",$D6272*$E6272)</f>
        <v/>
      </c>
      <c r="G6272" s="103" t="str">
        <f aca="false">IF($C6272="","",$D6272*IFERROR(INDEX('تحليل التكلفة والسعر'!$C$2:$C$700,MATCH($C6272,'تحليل التكلفة والسعر'!$B$2:$B$700,0)),0))</f>
        <v/>
      </c>
    </row>
    <row r="6273" customFormat="false" ht="15" hidden="false" customHeight="false" outlineLevel="0" collapsed="false">
      <c r="A6273" s="102"/>
      <c r="E6273" s="103" t="str">
        <f aca="false">IF($C6273="","",IFERROR(INDEX(المنيو!$C$2:$C$500,MATCH($C6273,المنيو!$B$2:$B$500,0)),0))</f>
        <v/>
      </c>
      <c r="F6273" s="103" t="str">
        <f aca="false">IF($C6273="","",$D6273*$E6273)</f>
        <v/>
      </c>
      <c r="G6273" s="103" t="str">
        <f aca="false">IF($C6273="","",$D6273*IFERROR(INDEX('تحليل التكلفة والسعر'!$C$2:$C$700,MATCH($C6273,'تحليل التكلفة والسعر'!$B$2:$B$700,0)),0))</f>
        <v/>
      </c>
    </row>
    <row r="6274" customFormat="false" ht="15" hidden="false" customHeight="false" outlineLevel="0" collapsed="false">
      <c r="A6274" s="102"/>
      <c r="E6274" s="103" t="str">
        <f aca="false">IF($C6274="","",IFERROR(INDEX(المنيو!$C$2:$C$500,MATCH($C6274,المنيو!$B$2:$B$500,0)),0))</f>
        <v/>
      </c>
      <c r="F6274" s="103" t="str">
        <f aca="false">IF($C6274="","",$D6274*$E6274)</f>
        <v/>
      </c>
      <c r="G6274" s="103" t="str">
        <f aca="false">IF($C6274="","",$D6274*IFERROR(INDEX('تحليل التكلفة والسعر'!$C$2:$C$700,MATCH($C6274,'تحليل التكلفة والسعر'!$B$2:$B$700,0)),0))</f>
        <v/>
      </c>
    </row>
    <row r="6275" customFormat="false" ht="15" hidden="false" customHeight="false" outlineLevel="0" collapsed="false">
      <c r="A6275" s="102"/>
      <c r="E6275" s="103" t="str">
        <f aca="false">IF($C6275="","",IFERROR(INDEX(المنيو!$C$2:$C$500,MATCH($C6275,المنيو!$B$2:$B$500,0)),0))</f>
        <v/>
      </c>
      <c r="F6275" s="103" t="str">
        <f aca="false">IF($C6275="","",$D6275*$E6275)</f>
        <v/>
      </c>
      <c r="G6275" s="103" t="str">
        <f aca="false">IF($C6275="","",$D6275*IFERROR(INDEX('تحليل التكلفة والسعر'!$C$2:$C$700,MATCH($C6275,'تحليل التكلفة والسعر'!$B$2:$B$700,0)),0))</f>
        <v/>
      </c>
    </row>
    <row r="6276" customFormat="false" ht="15" hidden="false" customHeight="false" outlineLevel="0" collapsed="false">
      <c r="A6276" s="102"/>
      <c r="E6276" s="103" t="str">
        <f aca="false">IF($C6276="","",IFERROR(INDEX(المنيو!$C$2:$C$500,MATCH($C6276,المنيو!$B$2:$B$500,0)),0))</f>
        <v/>
      </c>
      <c r="F6276" s="103" t="str">
        <f aca="false">IF($C6276="","",$D6276*$E6276)</f>
        <v/>
      </c>
      <c r="G6276" s="103" t="str">
        <f aca="false">IF($C6276="","",$D6276*IFERROR(INDEX('تحليل التكلفة والسعر'!$C$2:$C$700,MATCH($C6276,'تحليل التكلفة والسعر'!$B$2:$B$700,0)),0))</f>
        <v/>
      </c>
    </row>
    <row r="6277" customFormat="false" ht="15" hidden="false" customHeight="false" outlineLevel="0" collapsed="false">
      <c r="A6277" s="102"/>
      <c r="E6277" s="103" t="str">
        <f aca="false">IF($C6277="","",IFERROR(INDEX(المنيو!$C$2:$C$500,MATCH($C6277,المنيو!$B$2:$B$500,0)),0))</f>
        <v/>
      </c>
      <c r="F6277" s="103" t="str">
        <f aca="false">IF($C6277="","",$D6277*$E6277)</f>
        <v/>
      </c>
      <c r="G6277" s="103" t="str">
        <f aca="false">IF($C6277="","",$D6277*IFERROR(INDEX('تحليل التكلفة والسعر'!$C$2:$C$700,MATCH($C6277,'تحليل التكلفة والسعر'!$B$2:$B$700,0)),0))</f>
        <v/>
      </c>
    </row>
    <row r="6278" customFormat="false" ht="15" hidden="false" customHeight="false" outlineLevel="0" collapsed="false">
      <c r="A6278" s="102"/>
      <c r="E6278" s="103" t="str">
        <f aca="false">IF($C6278="","",IFERROR(INDEX(المنيو!$C$2:$C$500,MATCH($C6278,المنيو!$B$2:$B$500,0)),0))</f>
        <v/>
      </c>
      <c r="F6278" s="103" t="str">
        <f aca="false">IF($C6278="","",$D6278*$E6278)</f>
        <v/>
      </c>
      <c r="G6278" s="103" t="str">
        <f aca="false">IF($C6278="","",$D6278*IFERROR(INDEX('تحليل التكلفة والسعر'!$C$2:$C$700,MATCH($C6278,'تحليل التكلفة والسعر'!$B$2:$B$700,0)),0))</f>
        <v/>
      </c>
    </row>
    <row r="6279" customFormat="false" ht="15" hidden="false" customHeight="false" outlineLevel="0" collapsed="false">
      <c r="A6279" s="102"/>
      <c r="E6279" s="103" t="str">
        <f aca="false">IF($C6279="","",IFERROR(INDEX(المنيو!$C$2:$C$500,MATCH($C6279,المنيو!$B$2:$B$500,0)),0))</f>
        <v/>
      </c>
      <c r="F6279" s="103" t="str">
        <f aca="false">IF($C6279="","",$D6279*$E6279)</f>
        <v/>
      </c>
      <c r="G6279" s="103" t="str">
        <f aca="false">IF($C6279="","",$D6279*IFERROR(INDEX('تحليل التكلفة والسعر'!$C$2:$C$700,MATCH($C6279,'تحليل التكلفة والسعر'!$B$2:$B$700,0)),0))</f>
        <v/>
      </c>
    </row>
    <row r="6280" customFormat="false" ht="15" hidden="false" customHeight="false" outlineLevel="0" collapsed="false">
      <c r="A6280" s="102"/>
      <c r="E6280" s="103" t="str">
        <f aca="false">IF($C6280="","",IFERROR(INDEX(المنيو!$C$2:$C$500,MATCH($C6280,المنيو!$B$2:$B$500,0)),0))</f>
        <v/>
      </c>
      <c r="F6280" s="103" t="str">
        <f aca="false">IF($C6280="","",$D6280*$E6280)</f>
        <v/>
      </c>
      <c r="G6280" s="103" t="str">
        <f aca="false">IF($C6280="","",$D6280*IFERROR(INDEX('تحليل التكلفة والسعر'!$C$2:$C$700,MATCH($C6280,'تحليل التكلفة والسعر'!$B$2:$B$700,0)),0))</f>
        <v/>
      </c>
    </row>
    <row r="6281" customFormat="false" ht="15" hidden="false" customHeight="false" outlineLevel="0" collapsed="false">
      <c r="A6281" s="102"/>
      <c r="E6281" s="103" t="str">
        <f aca="false">IF($C6281="","",IFERROR(INDEX(المنيو!$C$2:$C$500,MATCH($C6281,المنيو!$B$2:$B$500,0)),0))</f>
        <v/>
      </c>
      <c r="F6281" s="103" t="str">
        <f aca="false">IF($C6281="","",$D6281*$E6281)</f>
        <v/>
      </c>
      <c r="G6281" s="103" t="str">
        <f aca="false">IF($C6281="","",$D6281*IFERROR(INDEX('تحليل التكلفة والسعر'!$C$2:$C$700,MATCH($C6281,'تحليل التكلفة والسعر'!$B$2:$B$700,0)),0))</f>
        <v/>
      </c>
    </row>
    <row r="6282" customFormat="false" ht="15" hidden="false" customHeight="false" outlineLevel="0" collapsed="false">
      <c r="A6282" s="102"/>
      <c r="E6282" s="103" t="str">
        <f aca="false">IF($C6282="","",IFERROR(INDEX(المنيو!$C$2:$C$500,MATCH($C6282,المنيو!$B$2:$B$500,0)),0))</f>
        <v/>
      </c>
      <c r="F6282" s="103" t="str">
        <f aca="false">IF($C6282="","",$D6282*$E6282)</f>
        <v/>
      </c>
      <c r="G6282" s="103" t="str">
        <f aca="false">IF($C6282="","",$D6282*IFERROR(INDEX('تحليل التكلفة والسعر'!$C$2:$C$700,MATCH($C6282,'تحليل التكلفة والسعر'!$B$2:$B$700,0)),0))</f>
        <v/>
      </c>
    </row>
    <row r="6283" customFormat="false" ht="15" hidden="false" customHeight="false" outlineLevel="0" collapsed="false">
      <c r="A6283" s="102"/>
      <c r="E6283" s="103" t="str">
        <f aca="false">IF($C6283="","",IFERROR(INDEX(المنيو!$C$2:$C$500,MATCH($C6283,المنيو!$B$2:$B$500,0)),0))</f>
        <v/>
      </c>
      <c r="F6283" s="103" t="str">
        <f aca="false">IF($C6283="","",$D6283*$E6283)</f>
        <v/>
      </c>
      <c r="G6283" s="103" t="str">
        <f aca="false">IF($C6283="","",$D6283*IFERROR(INDEX('تحليل التكلفة والسعر'!$C$2:$C$700,MATCH($C6283,'تحليل التكلفة والسعر'!$B$2:$B$700,0)),0))</f>
        <v/>
      </c>
    </row>
    <row r="6284" customFormat="false" ht="15" hidden="false" customHeight="false" outlineLevel="0" collapsed="false">
      <c r="A6284" s="102"/>
      <c r="E6284" s="103" t="str">
        <f aca="false">IF($C6284="","",IFERROR(INDEX(المنيو!$C$2:$C$500,MATCH($C6284,المنيو!$B$2:$B$500,0)),0))</f>
        <v/>
      </c>
      <c r="F6284" s="103" t="str">
        <f aca="false">IF($C6284="","",$D6284*$E6284)</f>
        <v/>
      </c>
      <c r="G6284" s="103" t="str">
        <f aca="false">IF($C6284="","",$D6284*IFERROR(INDEX('تحليل التكلفة والسعر'!$C$2:$C$700,MATCH($C6284,'تحليل التكلفة والسعر'!$B$2:$B$700,0)),0))</f>
        <v/>
      </c>
    </row>
    <row r="6285" customFormat="false" ht="15" hidden="false" customHeight="false" outlineLevel="0" collapsed="false">
      <c r="A6285" s="102"/>
      <c r="E6285" s="103" t="str">
        <f aca="false">IF($C6285="","",IFERROR(INDEX(المنيو!$C$2:$C$500,MATCH($C6285,المنيو!$B$2:$B$500,0)),0))</f>
        <v/>
      </c>
      <c r="F6285" s="103" t="str">
        <f aca="false">IF($C6285="","",$D6285*$E6285)</f>
        <v/>
      </c>
      <c r="G6285" s="103" t="str">
        <f aca="false">IF($C6285="","",$D6285*IFERROR(INDEX('تحليل التكلفة والسعر'!$C$2:$C$700,MATCH($C6285,'تحليل التكلفة والسعر'!$B$2:$B$700,0)),0))</f>
        <v/>
      </c>
    </row>
    <row r="6286" customFormat="false" ht="15" hidden="false" customHeight="false" outlineLevel="0" collapsed="false">
      <c r="A6286" s="102"/>
      <c r="E6286" s="103" t="str">
        <f aca="false">IF($C6286="","",IFERROR(INDEX(المنيو!$C$2:$C$500,MATCH($C6286,المنيو!$B$2:$B$500,0)),0))</f>
        <v/>
      </c>
      <c r="F6286" s="103" t="str">
        <f aca="false">IF($C6286="","",$D6286*$E6286)</f>
        <v/>
      </c>
      <c r="G6286" s="103" t="str">
        <f aca="false">IF($C6286="","",$D6286*IFERROR(INDEX('تحليل التكلفة والسعر'!$C$2:$C$700,MATCH($C6286,'تحليل التكلفة والسعر'!$B$2:$B$700,0)),0))</f>
        <v/>
      </c>
    </row>
    <row r="6287" customFormat="false" ht="15" hidden="false" customHeight="false" outlineLevel="0" collapsed="false">
      <c r="A6287" s="102"/>
      <c r="E6287" s="103" t="str">
        <f aca="false">IF($C6287="","",IFERROR(INDEX(المنيو!$C$2:$C$500,MATCH($C6287,المنيو!$B$2:$B$500,0)),0))</f>
        <v/>
      </c>
      <c r="F6287" s="103" t="str">
        <f aca="false">IF($C6287="","",$D6287*$E6287)</f>
        <v/>
      </c>
      <c r="G6287" s="103" t="str">
        <f aca="false">IF($C6287="","",$D6287*IFERROR(INDEX('تحليل التكلفة والسعر'!$C$2:$C$700,MATCH($C6287,'تحليل التكلفة والسعر'!$B$2:$B$700,0)),0))</f>
        <v/>
      </c>
    </row>
    <row r="6288" customFormat="false" ht="15" hidden="false" customHeight="false" outlineLevel="0" collapsed="false">
      <c r="A6288" s="102"/>
      <c r="E6288" s="103" t="str">
        <f aca="false">IF($C6288="","",IFERROR(INDEX(المنيو!$C$2:$C$500,MATCH($C6288,المنيو!$B$2:$B$500,0)),0))</f>
        <v/>
      </c>
      <c r="F6288" s="103" t="str">
        <f aca="false">IF($C6288="","",$D6288*$E6288)</f>
        <v/>
      </c>
      <c r="G6288" s="103" t="str">
        <f aca="false">IF($C6288="","",$D6288*IFERROR(INDEX('تحليل التكلفة والسعر'!$C$2:$C$700,MATCH($C6288,'تحليل التكلفة والسعر'!$B$2:$B$700,0)),0))</f>
        <v/>
      </c>
    </row>
    <row r="6289" customFormat="false" ht="15" hidden="false" customHeight="false" outlineLevel="0" collapsed="false">
      <c r="A6289" s="102"/>
      <c r="E6289" s="103" t="str">
        <f aca="false">IF($C6289="","",IFERROR(INDEX(المنيو!$C$2:$C$500,MATCH($C6289,المنيو!$B$2:$B$500,0)),0))</f>
        <v/>
      </c>
      <c r="F6289" s="103" t="str">
        <f aca="false">IF($C6289="","",$D6289*$E6289)</f>
        <v/>
      </c>
      <c r="G6289" s="103" t="str">
        <f aca="false">IF($C6289="","",$D6289*IFERROR(INDEX('تحليل التكلفة والسعر'!$C$2:$C$700,MATCH($C6289,'تحليل التكلفة والسعر'!$B$2:$B$700,0)),0))</f>
        <v/>
      </c>
    </row>
    <row r="6290" customFormat="false" ht="15" hidden="false" customHeight="false" outlineLevel="0" collapsed="false">
      <c r="A6290" s="102"/>
      <c r="E6290" s="103" t="str">
        <f aca="false">IF($C6290="","",IFERROR(INDEX(المنيو!$C$2:$C$500,MATCH($C6290,المنيو!$B$2:$B$500,0)),0))</f>
        <v/>
      </c>
      <c r="F6290" s="103" t="str">
        <f aca="false">IF($C6290="","",$D6290*$E6290)</f>
        <v/>
      </c>
      <c r="G6290" s="103" t="str">
        <f aca="false">IF($C6290="","",$D6290*IFERROR(INDEX('تحليل التكلفة والسعر'!$C$2:$C$700,MATCH($C6290,'تحليل التكلفة والسعر'!$B$2:$B$700,0)),0))</f>
        <v/>
      </c>
    </row>
    <row r="6291" customFormat="false" ht="15" hidden="false" customHeight="false" outlineLevel="0" collapsed="false">
      <c r="A6291" s="102"/>
      <c r="E6291" s="103" t="str">
        <f aca="false">IF($C6291="","",IFERROR(INDEX(المنيو!$C$2:$C$500,MATCH($C6291,المنيو!$B$2:$B$500,0)),0))</f>
        <v/>
      </c>
      <c r="F6291" s="103" t="str">
        <f aca="false">IF($C6291="","",$D6291*$E6291)</f>
        <v/>
      </c>
      <c r="G6291" s="103" t="str">
        <f aca="false">IF($C6291="","",$D6291*IFERROR(INDEX('تحليل التكلفة والسعر'!$C$2:$C$700,MATCH($C6291,'تحليل التكلفة والسعر'!$B$2:$B$700,0)),0))</f>
        <v/>
      </c>
    </row>
    <row r="6292" customFormat="false" ht="15" hidden="false" customHeight="false" outlineLevel="0" collapsed="false">
      <c r="A6292" s="102"/>
      <c r="E6292" s="103" t="str">
        <f aca="false">IF($C6292="","",IFERROR(INDEX(المنيو!$C$2:$C$500,MATCH($C6292,المنيو!$B$2:$B$500,0)),0))</f>
        <v/>
      </c>
      <c r="F6292" s="103" t="str">
        <f aca="false">IF($C6292="","",$D6292*$E6292)</f>
        <v/>
      </c>
      <c r="G6292" s="103" t="str">
        <f aca="false">IF($C6292="","",$D6292*IFERROR(INDEX('تحليل التكلفة والسعر'!$C$2:$C$700,MATCH($C6292,'تحليل التكلفة والسعر'!$B$2:$B$700,0)),0))</f>
        <v/>
      </c>
    </row>
    <row r="6293" customFormat="false" ht="15" hidden="false" customHeight="false" outlineLevel="0" collapsed="false">
      <c r="A6293" s="102"/>
      <c r="E6293" s="103" t="str">
        <f aca="false">IF($C6293="","",IFERROR(INDEX(المنيو!$C$2:$C$500,MATCH($C6293,المنيو!$B$2:$B$500,0)),0))</f>
        <v/>
      </c>
      <c r="F6293" s="103" t="str">
        <f aca="false">IF($C6293="","",$D6293*$E6293)</f>
        <v/>
      </c>
      <c r="G6293" s="103" t="str">
        <f aca="false">IF($C6293="","",$D6293*IFERROR(INDEX('تحليل التكلفة والسعر'!$C$2:$C$700,MATCH($C6293,'تحليل التكلفة والسعر'!$B$2:$B$700,0)),0))</f>
        <v/>
      </c>
    </row>
    <row r="6294" customFormat="false" ht="15" hidden="false" customHeight="false" outlineLevel="0" collapsed="false">
      <c r="A6294" s="102"/>
      <c r="E6294" s="103" t="str">
        <f aca="false">IF($C6294="","",IFERROR(INDEX(المنيو!$C$2:$C$500,MATCH($C6294,المنيو!$B$2:$B$500,0)),0))</f>
        <v/>
      </c>
      <c r="F6294" s="103" t="str">
        <f aca="false">IF($C6294="","",$D6294*$E6294)</f>
        <v/>
      </c>
      <c r="G6294" s="103" t="str">
        <f aca="false">IF($C6294="","",$D6294*IFERROR(INDEX('تحليل التكلفة والسعر'!$C$2:$C$700,MATCH($C6294,'تحليل التكلفة والسعر'!$B$2:$B$700,0)),0))</f>
        <v/>
      </c>
    </row>
    <row r="6295" customFormat="false" ht="15" hidden="false" customHeight="false" outlineLevel="0" collapsed="false">
      <c r="A6295" s="102"/>
      <c r="E6295" s="103" t="str">
        <f aca="false">IF($C6295="","",IFERROR(INDEX(المنيو!$C$2:$C$500,MATCH($C6295,المنيو!$B$2:$B$500,0)),0))</f>
        <v/>
      </c>
      <c r="F6295" s="103" t="str">
        <f aca="false">IF($C6295="","",$D6295*$E6295)</f>
        <v/>
      </c>
      <c r="G6295" s="103" t="str">
        <f aca="false">IF($C6295="","",$D6295*IFERROR(INDEX('تحليل التكلفة والسعر'!$C$2:$C$700,MATCH($C6295,'تحليل التكلفة والسعر'!$B$2:$B$700,0)),0))</f>
        <v/>
      </c>
    </row>
    <row r="6296" customFormat="false" ht="15" hidden="false" customHeight="false" outlineLevel="0" collapsed="false">
      <c r="A6296" s="102"/>
      <c r="E6296" s="103" t="str">
        <f aca="false">IF($C6296="","",IFERROR(INDEX(المنيو!$C$2:$C$500,MATCH($C6296,المنيو!$B$2:$B$500,0)),0))</f>
        <v/>
      </c>
      <c r="F6296" s="103" t="str">
        <f aca="false">IF($C6296="","",$D6296*$E6296)</f>
        <v/>
      </c>
      <c r="G6296" s="103" t="str">
        <f aca="false">IF($C6296="","",$D6296*IFERROR(INDEX('تحليل التكلفة والسعر'!$C$2:$C$700,MATCH($C6296,'تحليل التكلفة والسعر'!$B$2:$B$700,0)),0))</f>
        <v/>
      </c>
    </row>
    <row r="6297" customFormat="false" ht="15" hidden="false" customHeight="false" outlineLevel="0" collapsed="false">
      <c r="A6297" s="102"/>
      <c r="E6297" s="103" t="str">
        <f aca="false">IF($C6297="","",IFERROR(INDEX(المنيو!$C$2:$C$500,MATCH($C6297,المنيو!$B$2:$B$500,0)),0))</f>
        <v/>
      </c>
      <c r="F6297" s="103" t="str">
        <f aca="false">IF($C6297="","",$D6297*$E6297)</f>
        <v/>
      </c>
      <c r="G6297" s="103" t="str">
        <f aca="false">IF($C6297="","",$D6297*IFERROR(INDEX('تحليل التكلفة والسعر'!$C$2:$C$700,MATCH($C6297,'تحليل التكلفة والسعر'!$B$2:$B$700,0)),0))</f>
        <v/>
      </c>
    </row>
    <row r="6298" customFormat="false" ht="15" hidden="false" customHeight="false" outlineLevel="0" collapsed="false">
      <c r="A6298" s="102"/>
      <c r="E6298" s="103" t="str">
        <f aca="false">IF($C6298="","",IFERROR(INDEX(المنيو!$C$2:$C$500,MATCH($C6298,المنيو!$B$2:$B$500,0)),0))</f>
        <v/>
      </c>
      <c r="F6298" s="103" t="str">
        <f aca="false">IF($C6298="","",$D6298*$E6298)</f>
        <v/>
      </c>
      <c r="G6298" s="103" t="str">
        <f aca="false">IF($C6298="","",$D6298*IFERROR(INDEX('تحليل التكلفة والسعر'!$C$2:$C$700,MATCH($C6298,'تحليل التكلفة والسعر'!$B$2:$B$700,0)),0))</f>
        <v/>
      </c>
    </row>
    <row r="6299" customFormat="false" ht="15" hidden="false" customHeight="false" outlineLevel="0" collapsed="false">
      <c r="A6299" s="102"/>
      <c r="E6299" s="103" t="str">
        <f aca="false">IF($C6299="","",IFERROR(INDEX(المنيو!$C$2:$C$500,MATCH($C6299,المنيو!$B$2:$B$500,0)),0))</f>
        <v/>
      </c>
      <c r="F6299" s="103" t="str">
        <f aca="false">IF($C6299="","",$D6299*$E6299)</f>
        <v/>
      </c>
      <c r="G6299" s="103" t="str">
        <f aca="false">IF($C6299="","",$D6299*IFERROR(INDEX('تحليل التكلفة والسعر'!$C$2:$C$700,MATCH($C6299,'تحليل التكلفة والسعر'!$B$2:$B$700,0)),0))</f>
        <v/>
      </c>
    </row>
    <row r="6300" customFormat="false" ht="15" hidden="false" customHeight="false" outlineLevel="0" collapsed="false">
      <c r="A6300" s="102"/>
      <c r="E6300" s="103" t="str">
        <f aca="false">IF($C6300="","",IFERROR(INDEX(المنيو!$C$2:$C$500,MATCH($C6300,المنيو!$B$2:$B$500,0)),0))</f>
        <v/>
      </c>
      <c r="F6300" s="103" t="str">
        <f aca="false">IF($C6300="","",$D6300*$E6300)</f>
        <v/>
      </c>
      <c r="G6300" s="103" t="str">
        <f aca="false">IF($C6300="","",$D6300*IFERROR(INDEX('تحليل التكلفة والسعر'!$C$2:$C$700,MATCH($C6300,'تحليل التكلفة والسعر'!$B$2:$B$700,0)),0))</f>
        <v/>
      </c>
    </row>
    <row r="6301" customFormat="false" ht="15" hidden="false" customHeight="false" outlineLevel="0" collapsed="false">
      <c r="A6301" s="102"/>
      <c r="E6301" s="103" t="str">
        <f aca="false">IF($C6301="","",IFERROR(INDEX(المنيو!$C$2:$C$500,MATCH($C6301,المنيو!$B$2:$B$500,0)),0))</f>
        <v/>
      </c>
      <c r="F6301" s="103" t="str">
        <f aca="false">IF($C6301="","",$D6301*$E6301)</f>
        <v/>
      </c>
      <c r="G6301" s="103" t="str">
        <f aca="false">IF($C6301="","",$D6301*IFERROR(INDEX('تحليل التكلفة والسعر'!$C$2:$C$700,MATCH($C6301,'تحليل التكلفة والسعر'!$B$2:$B$700,0)),0))</f>
        <v/>
      </c>
    </row>
    <row r="6302" customFormat="false" ht="15" hidden="false" customHeight="false" outlineLevel="0" collapsed="false">
      <c r="A6302" s="102"/>
      <c r="E6302" s="103" t="str">
        <f aca="false">IF($C6302="","",IFERROR(INDEX(المنيو!$C$2:$C$500,MATCH($C6302,المنيو!$B$2:$B$500,0)),0))</f>
        <v/>
      </c>
      <c r="F6302" s="103" t="str">
        <f aca="false">IF($C6302="","",$D6302*$E6302)</f>
        <v/>
      </c>
      <c r="G6302" s="103" t="str">
        <f aca="false">IF($C6302="","",$D6302*IFERROR(INDEX('تحليل التكلفة والسعر'!$C$2:$C$700,MATCH($C6302,'تحليل التكلفة والسعر'!$B$2:$B$700,0)),0))</f>
        <v/>
      </c>
    </row>
    <row r="6303" customFormat="false" ht="15" hidden="false" customHeight="false" outlineLevel="0" collapsed="false">
      <c r="A6303" s="102"/>
      <c r="E6303" s="103" t="str">
        <f aca="false">IF($C6303="","",IFERROR(INDEX(المنيو!$C$2:$C$500,MATCH($C6303,المنيو!$B$2:$B$500,0)),0))</f>
        <v/>
      </c>
      <c r="F6303" s="103" t="str">
        <f aca="false">IF($C6303="","",$D6303*$E6303)</f>
        <v/>
      </c>
      <c r="G6303" s="103" t="str">
        <f aca="false">IF($C6303="","",$D6303*IFERROR(INDEX('تحليل التكلفة والسعر'!$C$2:$C$700,MATCH($C6303,'تحليل التكلفة والسعر'!$B$2:$B$700,0)),0))</f>
        <v/>
      </c>
    </row>
    <row r="6304" customFormat="false" ht="15" hidden="false" customHeight="false" outlineLevel="0" collapsed="false">
      <c r="A6304" s="102"/>
      <c r="E6304" s="103" t="str">
        <f aca="false">IF($C6304="","",IFERROR(INDEX(المنيو!$C$2:$C$500,MATCH($C6304,المنيو!$B$2:$B$500,0)),0))</f>
        <v/>
      </c>
      <c r="F6304" s="103" t="str">
        <f aca="false">IF($C6304="","",$D6304*$E6304)</f>
        <v/>
      </c>
      <c r="G6304" s="103" t="str">
        <f aca="false">IF($C6304="","",$D6304*IFERROR(INDEX('تحليل التكلفة والسعر'!$C$2:$C$700,MATCH($C6304,'تحليل التكلفة والسعر'!$B$2:$B$700,0)),0))</f>
        <v/>
      </c>
    </row>
    <row r="6305" customFormat="false" ht="15" hidden="false" customHeight="false" outlineLevel="0" collapsed="false">
      <c r="A6305" s="102"/>
      <c r="E6305" s="103" t="str">
        <f aca="false">IF($C6305="","",IFERROR(INDEX(المنيو!$C$2:$C$500,MATCH($C6305,المنيو!$B$2:$B$500,0)),0))</f>
        <v/>
      </c>
      <c r="F6305" s="103" t="str">
        <f aca="false">IF($C6305="","",$D6305*$E6305)</f>
        <v/>
      </c>
      <c r="G6305" s="103" t="str">
        <f aca="false">IF($C6305="","",$D6305*IFERROR(INDEX('تحليل التكلفة والسعر'!$C$2:$C$700,MATCH($C6305,'تحليل التكلفة والسعر'!$B$2:$B$700,0)),0))</f>
        <v/>
      </c>
    </row>
    <row r="6306" customFormat="false" ht="15" hidden="false" customHeight="false" outlineLevel="0" collapsed="false">
      <c r="A6306" s="102"/>
      <c r="E6306" s="103" t="str">
        <f aca="false">IF($C6306="","",IFERROR(INDEX(المنيو!$C$2:$C$500,MATCH($C6306,المنيو!$B$2:$B$500,0)),0))</f>
        <v/>
      </c>
      <c r="F6306" s="103" t="str">
        <f aca="false">IF($C6306="","",$D6306*$E6306)</f>
        <v/>
      </c>
      <c r="G6306" s="103" t="str">
        <f aca="false">IF($C6306="","",$D6306*IFERROR(INDEX('تحليل التكلفة والسعر'!$C$2:$C$700,MATCH($C6306,'تحليل التكلفة والسعر'!$B$2:$B$700,0)),0))</f>
        <v/>
      </c>
    </row>
    <row r="6307" customFormat="false" ht="15" hidden="false" customHeight="false" outlineLevel="0" collapsed="false">
      <c r="A6307" s="102"/>
      <c r="E6307" s="103" t="str">
        <f aca="false">IF($C6307="","",IFERROR(INDEX(المنيو!$C$2:$C$500,MATCH($C6307,المنيو!$B$2:$B$500,0)),0))</f>
        <v/>
      </c>
      <c r="F6307" s="103" t="str">
        <f aca="false">IF($C6307="","",$D6307*$E6307)</f>
        <v/>
      </c>
      <c r="G6307" s="103" t="str">
        <f aca="false">IF($C6307="","",$D6307*IFERROR(INDEX('تحليل التكلفة والسعر'!$C$2:$C$700,MATCH($C6307,'تحليل التكلفة والسعر'!$B$2:$B$700,0)),0))</f>
        <v/>
      </c>
    </row>
    <row r="6308" customFormat="false" ht="15" hidden="false" customHeight="false" outlineLevel="0" collapsed="false">
      <c r="A6308" s="102"/>
      <c r="E6308" s="103" t="str">
        <f aca="false">IF($C6308="","",IFERROR(INDEX(المنيو!$C$2:$C$500,MATCH($C6308,المنيو!$B$2:$B$500,0)),0))</f>
        <v/>
      </c>
      <c r="F6308" s="103" t="str">
        <f aca="false">IF($C6308="","",$D6308*$E6308)</f>
        <v/>
      </c>
      <c r="G6308" s="103" t="str">
        <f aca="false">IF($C6308="","",$D6308*IFERROR(INDEX('تحليل التكلفة والسعر'!$C$2:$C$700,MATCH($C6308,'تحليل التكلفة والسعر'!$B$2:$B$700,0)),0))</f>
        <v/>
      </c>
    </row>
    <row r="6309" customFormat="false" ht="15" hidden="false" customHeight="false" outlineLevel="0" collapsed="false">
      <c r="A6309" s="102"/>
      <c r="E6309" s="103" t="str">
        <f aca="false">IF($C6309="","",IFERROR(INDEX(المنيو!$C$2:$C$500,MATCH($C6309,المنيو!$B$2:$B$500,0)),0))</f>
        <v/>
      </c>
      <c r="F6309" s="103" t="str">
        <f aca="false">IF($C6309="","",$D6309*$E6309)</f>
        <v/>
      </c>
      <c r="G6309" s="103" t="str">
        <f aca="false">IF($C6309="","",$D6309*IFERROR(INDEX('تحليل التكلفة والسعر'!$C$2:$C$700,MATCH($C6309,'تحليل التكلفة والسعر'!$B$2:$B$700,0)),0))</f>
        <v/>
      </c>
    </row>
    <row r="6310" customFormat="false" ht="15" hidden="false" customHeight="false" outlineLevel="0" collapsed="false">
      <c r="A6310" s="102"/>
      <c r="E6310" s="103" t="str">
        <f aca="false">IF($C6310="","",IFERROR(INDEX(المنيو!$C$2:$C$500,MATCH($C6310,المنيو!$B$2:$B$500,0)),0))</f>
        <v/>
      </c>
      <c r="F6310" s="103" t="str">
        <f aca="false">IF($C6310="","",$D6310*$E6310)</f>
        <v/>
      </c>
      <c r="G6310" s="103" t="str">
        <f aca="false">IF($C6310="","",$D6310*IFERROR(INDEX('تحليل التكلفة والسعر'!$C$2:$C$700,MATCH($C6310,'تحليل التكلفة والسعر'!$B$2:$B$700,0)),0))</f>
        <v/>
      </c>
    </row>
    <row r="6311" customFormat="false" ht="15" hidden="false" customHeight="false" outlineLevel="0" collapsed="false">
      <c r="A6311" s="102"/>
      <c r="E6311" s="103" t="str">
        <f aca="false">IF($C6311="","",IFERROR(INDEX(المنيو!$C$2:$C$500,MATCH($C6311,المنيو!$B$2:$B$500,0)),0))</f>
        <v/>
      </c>
      <c r="F6311" s="103" t="str">
        <f aca="false">IF($C6311="","",$D6311*$E6311)</f>
        <v/>
      </c>
      <c r="G6311" s="103" t="str">
        <f aca="false">IF($C6311="","",$D6311*IFERROR(INDEX('تحليل التكلفة والسعر'!$C$2:$C$700,MATCH($C6311,'تحليل التكلفة والسعر'!$B$2:$B$700,0)),0))</f>
        <v/>
      </c>
    </row>
    <row r="6312" customFormat="false" ht="15" hidden="false" customHeight="false" outlineLevel="0" collapsed="false">
      <c r="A6312" s="102"/>
      <c r="E6312" s="103" t="str">
        <f aca="false">IF($C6312="","",IFERROR(INDEX(المنيو!$C$2:$C$500,MATCH($C6312,المنيو!$B$2:$B$500,0)),0))</f>
        <v/>
      </c>
      <c r="F6312" s="103" t="str">
        <f aca="false">IF($C6312="","",$D6312*$E6312)</f>
        <v/>
      </c>
      <c r="G6312" s="103" t="str">
        <f aca="false">IF($C6312="","",$D6312*IFERROR(INDEX('تحليل التكلفة والسعر'!$C$2:$C$700,MATCH($C6312,'تحليل التكلفة والسعر'!$B$2:$B$700,0)),0))</f>
        <v/>
      </c>
    </row>
    <row r="6313" customFormat="false" ht="15" hidden="false" customHeight="false" outlineLevel="0" collapsed="false">
      <c r="A6313" s="102"/>
      <c r="E6313" s="103" t="str">
        <f aca="false">IF($C6313="","",IFERROR(INDEX(المنيو!$C$2:$C$500,MATCH($C6313,المنيو!$B$2:$B$500,0)),0))</f>
        <v/>
      </c>
      <c r="F6313" s="103" t="str">
        <f aca="false">IF($C6313="","",$D6313*$E6313)</f>
        <v/>
      </c>
      <c r="G6313" s="103" t="str">
        <f aca="false">IF($C6313="","",$D6313*IFERROR(INDEX('تحليل التكلفة والسعر'!$C$2:$C$700,MATCH($C6313,'تحليل التكلفة والسعر'!$B$2:$B$700,0)),0))</f>
        <v/>
      </c>
    </row>
    <row r="6314" customFormat="false" ht="15" hidden="false" customHeight="false" outlineLevel="0" collapsed="false">
      <c r="A6314" s="102"/>
      <c r="E6314" s="103" t="str">
        <f aca="false">IF($C6314="","",IFERROR(INDEX(المنيو!$C$2:$C$500,MATCH($C6314,المنيو!$B$2:$B$500,0)),0))</f>
        <v/>
      </c>
      <c r="F6314" s="103" t="str">
        <f aca="false">IF($C6314="","",$D6314*$E6314)</f>
        <v/>
      </c>
      <c r="G6314" s="103" t="str">
        <f aca="false">IF($C6314="","",$D6314*IFERROR(INDEX('تحليل التكلفة والسعر'!$C$2:$C$700,MATCH($C6314,'تحليل التكلفة والسعر'!$B$2:$B$700,0)),0))</f>
        <v/>
      </c>
    </row>
    <row r="6315" customFormat="false" ht="15" hidden="false" customHeight="false" outlineLevel="0" collapsed="false">
      <c r="A6315" s="102"/>
      <c r="E6315" s="103" t="str">
        <f aca="false">IF($C6315="","",IFERROR(INDEX(المنيو!$C$2:$C$500,MATCH($C6315,المنيو!$B$2:$B$500,0)),0))</f>
        <v/>
      </c>
      <c r="F6315" s="103" t="str">
        <f aca="false">IF($C6315="","",$D6315*$E6315)</f>
        <v/>
      </c>
      <c r="G6315" s="103" t="str">
        <f aca="false">IF($C6315="","",$D6315*IFERROR(INDEX('تحليل التكلفة والسعر'!$C$2:$C$700,MATCH($C6315,'تحليل التكلفة والسعر'!$B$2:$B$700,0)),0))</f>
        <v/>
      </c>
    </row>
    <row r="6316" customFormat="false" ht="15" hidden="false" customHeight="false" outlineLevel="0" collapsed="false">
      <c r="A6316" s="102"/>
      <c r="E6316" s="103" t="str">
        <f aca="false">IF($C6316="","",IFERROR(INDEX(المنيو!$C$2:$C$500,MATCH($C6316,المنيو!$B$2:$B$500,0)),0))</f>
        <v/>
      </c>
      <c r="F6316" s="103" t="str">
        <f aca="false">IF($C6316="","",$D6316*$E6316)</f>
        <v/>
      </c>
      <c r="G6316" s="103" t="str">
        <f aca="false">IF($C6316="","",$D6316*IFERROR(INDEX('تحليل التكلفة والسعر'!$C$2:$C$700,MATCH($C6316,'تحليل التكلفة والسعر'!$B$2:$B$700,0)),0))</f>
        <v/>
      </c>
    </row>
    <row r="6317" customFormat="false" ht="15" hidden="false" customHeight="false" outlineLevel="0" collapsed="false">
      <c r="A6317" s="102"/>
      <c r="E6317" s="103" t="str">
        <f aca="false">IF($C6317="","",IFERROR(INDEX(المنيو!$C$2:$C$500,MATCH($C6317,المنيو!$B$2:$B$500,0)),0))</f>
        <v/>
      </c>
      <c r="F6317" s="103" t="str">
        <f aca="false">IF($C6317="","",$D6317*$E6317)</f>
        <v/>
      </c>
      <c r="G6317" s="103" t="str">
        <f aca="false">IF($C6317="","",$D6317*IFERROR(INDEX('تحليل التكلفة والسعر'!$C$2:$C$700,MATCH($C6317,'تحليل التكلفة والسعر'!$B$2:$B$700,0)),0))</f>
        <v/>
      </c>
    </row>
    <row r="6318" customFormat="false" ht="15" hidden="false" customHeight="false" outlineLevel="0" collapsed="false">
      <c r="A6318" s="102"/>
      <c r="E6318" s="103" t="str">
        <f aca="false">IF($C6318="","",IFERROR(INDEX(المنيو!$C$2:$C$500,MATCH($C6318,المنيو!$B$2:$B$500,0)),0))</f>
        <v/>
      </c>
      <c r="F6318" s="103" t="str">
        <f aca="false">IF($C6318="","",$D6318*$E6318)</f>
        <v/>
      </c>
      <c r="G6318" s="103" t="str">
        <f aca="false">IF($C6318="","",$D6318*IFERROR(INDEX('تحليل التكلفة والسعر'!$C$2:$C$700,MATCH($C6318,'تحليل التكلفة والسعر'!$B$2:$B$700,0)),0))</f>
        <v/>
      </c>
    </row>
    <row r="6319" customFormat="false" ht="15" hidden="false" customHeight="false" outlineLevel="0" collapsed="false">
      <c r="A6319" s="102"/>
      <c r="E6319" s="103" t="str">
        <f aca="false">IF($C6319="","",IFERROR(INDEX(المنيو!$C$2:$C$500,MATCH($C6319,المنيو!$B$2:$B$500,0)),0))</f>
        <v/>
      </c>
      <c r="F6319" s="103" t="str">
        <f aca="false">IF($C6319="","",$D6319*$E6319)</f>
        <v/>
      </c>
      <c r="G6319" s="103" t="str">
        <f aca="false">IF($C6319="","",$D6319*IFERROR(INDEX('تحليل التكلفة والسعر'!$C$2:$C$700,MATCH($C6319,'تحليل التكلفة والسعر'!$B$2:$B$700,0)),0))</f>
        <v/>
      </c>
    </row>
    <row r="6320" customFormat="false" ht="15" hidden="false" customHeight="false" outlineLevel="0" collapsed="false">
      <c r="A6320" s="102"/>
      <c r="E6320" s="103" t="str">
        <f aca="false">IF($C6320="","",IFERROR(INDEX(المنيو!$C$2:$C$500,MATCH($C6320,المنيو!$B$2:$B$500,0)),0))</f>
        <v/>
      </c>
      <c r="F6320" s="103" t="str">
        <f aca="false">IF($C6320="","",$D6320*$E6320)</f>
        <v/>
      </c>
      <c r="G6320" s="103" t="str">
        <f aca="false">IF($C6320="","",$D6320*IFERROR(INDEX('تحليل التكلفة والسعر'!$C$2:$C$700,MATCH($C6320,'تحليل التكلفة والسعر'!$B$2:$B$700,0)),0))</f>
        <v/>
      </c>
    </row>
    <row r="6321" customFormat="false" ht="15" hidden="false" customHeight="false" outlineLevel="0" collapsed="false">
      <c r="A6321" s="102"/>
      <c r="E6321" s="103" t="str">
        <f aca="false">IF($C6321="","",IFERROR(INDEX(المنيو!$C$2:$C$500,MATCH($C6321,المنيو!$B$2:$B$500,0)),0))</f>
        <v/>
      </c>
      <c r="F6321" s="103" t="str">
        <f aca="false">IF($C6321="","",$D6321*$E6321)</f>
        <v/>
      </c>
      <c r="G6321" s="103" t="str">
        <f aca="false">IF($C6321="","",$D6321*IFERROR(INDEX('تحليل التكلفة والسعر'!$C$2:$C$700,MATCH($C6321,'تحليل التكلفة والسعر'!$B$2:$B$700,0)),0))</f>
        <v/>
      </c>
    </row>
    <row r="6322" customFormat="false" ht="15" hidden="false" customHeight="false" outlineLevel="0" collapsed="false">
      <c r="A6322" s="102"/>
      <c r="E6322" s="103" t="str">
        <f aca="false">IF($C6322="","",IFERROR(INDEX(المنيو!$C$2:$C$500,MATCH($C6322,المنيو!$B$2:$B$500,0)),0))</f>
        <v/>
      </c>
      <c r="F6322" s="103" t="str">
        <f aca="false">IF($C6322="","",$D6322*$E6322)</f>
        <v/>
      </c>
      <c r="G6322" s="103" t="str">
        <f aca="false">IF($C6322="","",$D6322*IFERROR(INDEX('تحليل التكلفة والسعر'!$C$2:$C$700,MATCH($C6322,'تحليل التكلفة والسعر'!$B$2:$B$700,0)),0))</f>
        <v/>
      </c>
    </row>
    <row r="6323" customFormat="false" ht="15" hidden="false" customHeight="false" outlineLevel="0" collapsed="false">
      <c r="A6323" s="102"/>
      <c r="E6323" s="103" t="str">
        <f aca="false">IF($C6323="","",IFERROR(INDEX(المنيو!$C$2:$C$500,MATCH($C6323,المنيو!$B$2:$B$500,0)),0))</f>
        <v/>
      </c>
      <c r="F6323" s="103" t="str">
        <f aca="false">IF($C6323="","",$D6323*$E6323)</f>
        <v/>
      </c>
      <c r="G6323" s="103" t="str">
        <f aca="false">IF($C6323="","",$D6323*IFERROR(INDEX('تحليل التكلفة والسعر'!$C$2:$C$700,MATCH($C6323,'تحليل التكلفة والسعر'!$B$2:$B$700,0)),0))</f>
        <v/>
      </c>
    </row>
    <row r="6324" customFormat="false" ht="15" hidden="false" customHeight="false" outlineLevel="0" collapsed="false">
      <c r="A6324" s="102"/>
      <c r="E6324" s="103" t="str">
        <f aca="false">IF($C6324="","",IFERROR(INDEX(المنيو!$C$2:$C$500,MATCH($C6324,المنيو!$B$2:$B$500,0)),0))</f>
        <v/>
      </c>
      <c r="F6324" s="103" t="str">
        <f aca="false">IF($C6324="","",$D6324*$E6324)</f>
        <v/>
      </c>
      <c r="G6324" s="103" t="str">
        <f aca="false">IF($C6324="","",$D6324*IFERROR(INDEX('تحليل التكلفة والسعر'!$C$2:$C$700,MATCH($C6324,'تحليل التكلفة والسعر'!$B$2:$B$700,0)),0))</f>
        <v/>
      </c>
    </row>
    <row r="6325" customFormat="false" ht="15" hidden="false" customHeight="false" outlineLevel="0" collapsed="false">
      <c r="A6325" s="102"/>
      <c r="E6325" s="103" t="str">
        <f aca="false">IF($C6325="","",IFERROR(INDEX(المنيو!$C$2:$C$500,MATCH($C6325,المنيو!$B$2:$B$500,0)),0))</f>
        <v/>
      </c>
      <c r="F6325" s="103" t="str">
        <f aca="false">IF($C6325="","",$D6325*$E6325)</f>
        <v/>
      </c>
      <c r="G6325" s="103" t="str">
        <f aca="false">IF($C6325="","",$D6325*IFERROR(INDEX('تحليل التكلفة والسعر'!$C$2:$C$700,MATCH($C6325,'تحليل التكلفة والسعر'!$B$2:$B$700,0)),0))</f>
        <v/>
      </c>
    </row>
    <row r="6326" customFormat="false" ht="15" hidden="false" customHeight="false" outlineLevel="0" collapsed="false">
      <c r="A6326" s="102"/>
      <c r="E6326" s="103" t="str">
        <f aca="false">IF($C6326="","",IFERROR(INDEX(المنيو!$C$2:$C$500,MATCH($C6326,المنيو!$B$2:$B$500,0)),0))</f>
        <v/>
      </c>
      <c r="F6326" s="103" t="str">
        <f aca="false">IF($C6326="","",$D6326*$E6326)</f>
        <v/>
      </c>
      <c r="G6326" s="103" t="str">
        <f aca="false">IF($C6326="","",$D6326*IFERROR(INDEX('تحليل التكلفة والسعر'!$C$2:$C$700,MATCH($C6326,'تحليل التكلفة والسعر'!$B$2:$B$700,0)),0))</f>
        <v/>
      </c>
    </row>
    <row r="6327" customFormat="false" ht="15" hidden="false" customHeight="false" outlineLevel="0" collapsed="false">
      <c r="A6327" s="102"/>
      <c r="E6327" s="103" t="str">
        <f aca="false">IF($C6327="","",IFERROR(INDEX(المنيو!$C$2:$C$500,MATCH($C6327,المنيو!$B$2:$B$500,0)),0))</f>
        <v/>
      </c>
      <c r="F6327" s="103" t="str">
        <f aca="false">IF($C6327="","",$D6327*$E6327)</f>
        <v/>
      </c>
      <c r="G6327" s="103" t="str">
        <f aca="false">IF($C6327="","",$D6327*IFERROR(INDEX('تحليل التكلفة والسعر'!$C$2:$C$700,MATCH($C6327,'تحليل التكلفة والسعر'!$B$2:$B$700,0)),0))</f>
        <v/>
      </c>
    </row>
    <row r="6328" customFormat="false" ht="15" hidden="false" customHeight="false" outlineLevel="0" collapsed="false">
      <c r="A6328" s="102"/>
      <c r="E6328" s="103" t="str">
        <f aca="false">IF($C6328="","",IFERROR(INDEX(المنيو!$C$2:$C$500,MATCH($C6328,المنيو!$B$2:$B$500,0)),0))</f>
        <v/>
      </c>
      <c r="F6328" s="103" t="str">
        <f aca="false">IF($C6328="","",$D6328*$E6328)</f>
        <v/>
      </c>
      <c r="G6328" s="103" t="str">
        <f aca="false">IF($C6328="","",$D6328*IFERROR(INDEX('تحليل التكلفة والسعر'!$C$2:$C$700,MATCH($C6328,'تحليل التكلفة والسعر'!$B$2:$B$700,0)),0))</f>
        <v/>
      </c>
    </row>
    <row r="6329" customFormat="false" ht="15" hidden="false" customHeight="false" outlineLevel="0" collapsed="false">
      <c r="A6329" s="102"/>
      <c r="E6329" s="103" t="str">
        <f aca="false">IF($C6329="","",IFERROR(INDEX(المنيو!$C$2:$C$500,MATCH($C6329,المنيو!$B$2:$B$500,0)),0))</f>
        <v/>
      </c>
      <c r="F6329" s="103" t="str">
        <f aca="false">IF($C6329="","",$D6329*$E6329)</f>
        <v/>
      </c>
      <c r="G6329" s="103" t="str">
        <f aca="false">IF($C6329="","",$D6329*IFERROR(INDEX('تحليل التكلفة والسعر'!$C$2:$C$700,MATCH($C6329,'تحليل التكلفة والسعر'!$B$2:$B$700,0)),0))</f>
        <v/>
      </c>
    </row>
    <row r="6330" customFormat="false" ht="15" hidden="false" customHeight="false" outlineLevel="0" collapsed="false">
      <c r="A6330" s="102"/>
      <c r="E6330" s="103" t="str">
        <f aca="false">IF($C6330="","",IFERROR(INDEX(المنيو!$C$2:$C$500,MATCH($C6330,المنيو!$B$2:$B$500,0)),0))</f>
        <v/>
      </c>
      <c r="F6330" s="103" t="str">
        <f aca="false">IF($C6330="","",$D6330*$E6330)</f>
        <v/>
      </c>
      <c r="G6330" s="103" t="str">
        <f aca="false">IF($C6330="","",$D6330*IFERROR(INDEX('تحليل التكلفة والسعر'!$C$2:$C$700,MATCH($C6330,'تحليل التكلفة والسعر'!$B$2:$B$700,0)),0))</f>
        <v/>
      </c>
    </row>
    <row r="6331" customFormat="false" ht="15" hidden="false" customHeight="false" outlineLevel="0" collapsed="false">
      <c r="A6331" s="102"/>
      <c r="E6331" s="103" t="str">
        <f aca="false">IF($C6331="","",IFERROR(INDEX(المنيو!$C$2:$C$500,MATCH($C6331,المنيو!$B$2:$B$500,0)),0))</f>
        <v/>
      </c>
      <c r="F6331" s="103" t="str">
        <f aca="false">IF($C6331="","",$D6331*$E6331)</f>
        <v/>
      </c>
      <c r="G6331" s="103" t="str">
        <f aca="false">IF($C6331="","",$D6331*IFERROR(INDEX('تحليل التكلفة والسعر'!$C$2:$C$700,MATCH($C6331,'تحليل التكلفة والسعر'!$B$2:$B$700,0)),0))</f>
        <v/>
      </c>
    </row>
    <row r="6332" customFormat="false" ht="15" hidden="false" customHeight="false" outlineLevel="0" collapsed="false">
      <c r="A6332" s="102"/>
      <c r="E6332" s="103" t="str">
        <f aca="false">IF($C6332="","",IFERROR(INDEX(المنيو!$C$2:$C$500,MATCH($C6332,المنيو!$B$2:$B$500,0)),0))</f>
        <v/>
      </c>
      <c r="F6332" s="103" t="str">
        <f aca="false">IF($C6332="","",$D6332*$E6332)</f>
        <v/>
      </c>
      <c r="G6332" s="103" t="str">
        <f aca="false">IF($C6332="","",$D6332*IFERROR(INDEX('تحليل التكلفة والسعر'!$C$2:$C$700,MATCH($C6332,'تحليل التكلفة والسعر'!$B$2:$B$700,0)),0))</f>
        <v/>
      </c>
    </row>
    <row r="6333" customFormat="false" ht="15" hidden="false" customHeight="false" outlineLevel="0" collapsed="false">
      <c r="A6333" s="102"/>
      <c r="E6333" s="103" t="str">
        <f aca="false">IF($C6333="","",IFERROR(INDEX(المنيو!$C$2:$C$500,MATCH($C6333,المنيو!$B$2:$B$500,0)),0))</f>
        <v/>
      </c>
      <c r="F6333" s="103" t="str">
        <f aca="false">IF($C6333="","",$D6333*$E6333)</f>
        <v/>
      </c>
      <c r="G6333" s="103" t="str">
        <f aca="false">IF($C6333="","",$D6333*IFERROR(INDEX('تحليل التكلفة والسعر'!$C$2:$C$700,MATCH($C6333,'تحليل التكلفة والسعر'!$B$2:$B$700,0)),0))</f>
        <v/>
      </c>
    </row>
    <row r="6334" customFormat="false" ht="15" hidden="false" customHeight="false" outlineLevel="0" collapsed="false">
      <c r="A6334" s="102"/>
      <c r="E6334" s="103" t="str">
        <f aca="false">IF($C6334="","",IFERROR(INDEX(المنيو!$C$2:$C$500,MATCH($C6334,المنيو!$B$2:$B$500,0)),0))</f>
        <v/>
      </c>
      <c r="F6334" s="103" t="str">
        <f aca="false">IF($C6334="","",$D6334*$E6334)</f>
        <v/>
      </c>
      <c r="G6334" s="103" t="str">
        <f aca="false">IF($C6334="","",$D6334*IFERROR(INDEX('تحليل التكلفة والسعر'!$C$2:$C$700,MATCH($C6334,'تحليل التكلفة والسعر'!$B$2:$B$700,0)),0))</f>
        <v/>
      </c>
    </row>
    <row r="6335" customFormat="false" ht="15" hidden="false" customHeight="false" outlineLevel="0" collapsed="false">
      <c r="A6335" s="102"/>
      <c r="E6335" s="103" t="str">
        <f aca="false">IF($C6335="","",IFERROR(INDEX(المنيو!$C$2:$C$500,MATCH($C6335,المنيو!$B$2:$B$500,0)),0))</f>
        <v/>
      </c>
      <c r="F6335" s="103" t="str">
        <f aca="false">IF($C6335="","",$D6335*$E6335)</f>
        <v/>
      </c>
      <c r="G6335" s="103" t="str">
        <f aca="false">IF($C6335="","",$D6335*IFERROR(INDEX('تحليل التكلفة والسعر'!$C$2:$C$700,MATCH($C6335,'تحليل التكلفة والسعر'!$B$2:$B$700,0)),0))</f>
        <v/>
      </c>
    </row>
    <row r="6336" customFormat="false" ht="15" hidden="false" customHeight="false" outlineLevel="0" collapsed="false">
      <c r="A6336" s="102"/>
      <c r="E6336" s="103" t="str">
        <f aca="false">IF($C6336="","",IFERROR(INDEX(المنيو!$C$2:$C$500,MATCH($C6336,المنيو!$B$2:$B$500,0)),0))</f>
        <v/>
      </c>
      <c r="F6336" s="103" t="str">
        <f aca="false">IF($C6336="","",$D6336*$E6336)</f>
        <v/>
      </c>
      <c r="G6336" s="103" t="str">
        <f aca="false">IF($C6336="","",$D6336*IFERROR(INDEX('تحليل التكلفة والسعر'!$C$2:$C$700,MATCH($C6336,'تحليل التكلفة والسعر'!$B$2:$B$700,0)),0))</f>
        <v/>
      </c>
    </row>
    <row r="6337" customFormat="false" ht="15" hidden="false" customHeight="false" outlineLevel="0" collapsed="false">
      <c r="A6337" s="102"/>
      <c r="E6337" s="103" t="str">
        <f aca="false">IF($C6337="","",IFERROR(INDEX(المنيو!$C$2:$C$500,MATCH($C6337,المنيو!$B$2:$B$500,0)),0))</f>
        <v/>
      </c>
      <c r="F6337" s="103" t="str">
        <f aca="false">IF($C6337="","",$D6337*$E6337)</f>
        <v/>
      </c>
      <c r="G6337" s="103" t="str">
        <f aca="false">IF($C6337="","",$D6337*IFERROR(INDEX('تحليل التكلفة والسعر'!$C$2:$C$700,MATCH($C6337,'تحليل التكلفة والسعر'!$B$2:$B$700,0)),0))</f>
        <v/>
      </c>
    </row>
    <row r="6338" customFormat="false" ht="15" hidden="false" customHeight="false" outlineLevel="0" collapsed="false">
      <c r="A6338" s="102"/>
      <c r="E6338" s="103" t="str">
        <f aca="false">IF($C6338="","",IFERROR(INDEX(المنيو!$C$2:$C$500,MATCH($C6338,المنيو!$B$2:$B$500,0)),0))</f>
        <v/>
      </c>
      <c r="F6338" s="103" t="str">
        <f aca="false">IF($C6338="","",$D6338*$E6338)</f>
        <v/>
      </c>
      <c r="G6338" s="103" t="str">
        <f aca="false">IF($C6338="","",$D6338*IFERROR(INDEX('تحليل التكلفة والسعر'!$C$2:$C$700,MATCH($C6338,'تحليل التكلفة والسعر'!$B$2:$B$700,0)),0))</f>
        <v/>
      </c>
    </row>
    <row r="6339" customFormat="false" ht="15" hidden="false" customHeight="false" outlineLevel="0" collapsed="false">
      <c r="A6339" s="102"/>
      <c r="E6339" s="103" t="str">
        <f aca="false">IF($C6339="","",IFERROR(INDEX(المنيو!$C$2:$C$500,MATCH($C6339,المنيو!$B$2:$B$500,0)),0))</f>
        <v/>
      </c>
      <c r="F6339" s="103" t="str">
        <f aca="false">IF($C6339="","",$D6339*$E6339)</f>
        <v/>
      </c>
      <c r="G6339" s="103" t="str">
        <f aca="false">IF($C6339="","",$D6339*IFERROR(INDEX('تحليل التكلفة والسعر'!$C$2:$C$700,MATCH($C6339,'تحليل التكلفة والسعر'!$B$2:$B$700,0)),0))</f>
        <v/>
      </c>
    </row>
    <row r="6340" customFormat="false" ht="15" hidden="false" customHeight="false" outlineLevel="0" collapsed="false">
      <c r="A6340" s="102"/>
      <c r="E6340" s="103" t="str">
        <f aca="false">IF($C6340="","",IFERROR(INDEX(المنيو!$C$2:$C$500,MATCH($C6340,المنيو!$B$2:$B$500,0)),0))</f>
        <v/>
      </c>
      <c r="F6340" s="103" t="str">
        <f aca="false">IF($C6340="","",$D6340*$E6340)</f>
        <v/>
      </c>
      <c r="G6340" s="103" t="str">
        <f aca="false">IF($C6340="","",$D6340*IFERROR(INDEX('تحليل التكلفة والسعر'!$C$2:$C$700,MATCH($C6340,'تحليل التكلفة والسعر'!$B$2:$B$700,0)),0))</f>
        <v/>
      </c>
    </row>
    <row r="6341" customFormat="false" ht="15" hidden="false" customHeight="false" outlineLevel="0" collapsed="false">
      <c r="A6341" s="102"/>
      <c r="E6341" s="103" t="str">
        <f aca="false">IF($C6341="","",IFERROR(INDEX(المنيو!$C$2:$C$500,MATCH($C6341,المنيو!$B$2:$B$500,0)),0))</f>
        <v/>
      </c>
      <c r="F6341" s="103" t="str">
        <f aca="false">IF($C6341="","",$D6341*$E6341)</f>
        <v/>
      </c>
      <c r="G6341" s="103" t="str">
        <f aca="false">IF($C6341="","",$D6341*IFERROR(INDEX('تحليل التكلفة والسعر'!$C$2:$C$700,MATCH($C6341,'تحليل التكلفة والسعر'!$B$2:$B$700,0)),0))</f>
        <v/>
      </c>
    </row>
    <row r="6342" customFormat="false" ht="15" hidden="false" customHeight="false" outlineLevel="0" collapsed="false">
      <c r="A6342" s="102"/>
      <c r="E6342" s="103" t="str">
        <f aca="false">IF($C6342="","",IFERROR(INDEX(المنيو!$C$2:$C$500,MATCH($C6342,المنيو!$B$2:$B$500,0)),0))</f>
        <v/>
      </c>
      <c r="F6342" s="103" t="str">
        <f aca="false">IF($C6342="","",$D6342*$E6342)</f>
        <v/>
      </c>
      <c r="G6342" s="103" t="str">
        <f aca="false">IF($C6342="","",$D6342*IFERROR(INDEX('تحليل التكلفة والسعر'!$C$2:$C$700,MATCH($C6342,'تحليل التكلفة والسعر'!$B$2:$B$700,0)),0))</f>
        <v/>
      </c>
    </row>
    <row r="6343" customFormat="false" ht="15" hidden="false" customHeight="false" outlineLevel="0" collapsed="false">
      <c r="A6343" s="102"/>
      <c r="E6343" s="103" t="str">
        <f aca="false">IF($C6343="","",IFERROR(INDEX(المنيو!$C$2:$C$500,MATCH($C6343,المنيو!$B$2:$B$500,0)),0))</f>
        <v/>
      </c>
      <c r="F6343" s="103" t="str">
        <f aca="false">IF($C6343="","",$D6343*$E6343)</f>
        <v/>
      </c>
      <c r="G6343" s="103" t="str">
        <f aca="false">IF($C6343="","",$D6343*IFERROR(INDEX('تحليل التكلفة والسعر'!$C$2:$C$700,MATCH($C6343,'تحليل التكلفة والسعر'!$B$2:$B$700,0)),0))</f>
        <v/>
      </c>
    </row>
    <row r="6344" customFormat="false" ht="15" hidden="false" customHeight="false" outlineLevel="0" collapsed="false">
      <c r="A6344" s="102"/>
      <c r="E6344" s="103" t="str">
        <f aca="false">IF($C6344="","",IFERROR(INDEX(المنيو!$C$2:$C$500,MATCH($C6344,المنيو!$B$2:$B$500,0)),0))</f>
        <v/>
      </c>
      <c r="F6344" s="103" t="str">
        <f aca="false">IF($C6344="","",$D6344*$E6344)</f>
        <v/>
      </c>
      <c r="G6344" s="103" t="str">
        <f aca="false">IF($C6344="","",$D6344*IFERROR(INDEX('تحليل التكلفة والسعر'!$C$2:$C$700,MATCH($C6344,'تحليل التكلفة والسعر'!$B$2:$B$700,0)),0))</f>
        <v/>
      </c>
    </row>
    <row r="6345" customFormat="false" ht="15" hidden="false" customHeight="false" outlineLevel="0" collapsed="false">
      <c r="A6345" s="102"/>
      <c r="E6345" s="103" t="str">
        <f aca="false">IF($C6345="","",IFERROR(INDEX(المنيو!$C$2:$C$500,MATCH($C6345,المنيو!$B$2:$B$500,0)),0))</f>
        <v/>
      </c>
      <c r="F6345" s="103" t="str">
        <f aca="false">IF($C6345="","",$D6345*$E6345)</f>
        <v/>
      </c>
      <c r="G6345" s="103" t="str">
        <f aca="false">IF($C6345="","",$D6345*IFERROR(INDEX('تحليل التكلفة والسعر'!$C$2:$C$700,MATCH($C6345,'تحليل التكلفة والسعر'!$B$2:$B$700,0)),0))</f>
        <v/>
      </c>
    </row>
    <row r="6346" customFormat="false" ht="15" hidden="false" customHeight="false" outlineLevel="0" collapsed="false">
      <c r="A6346" s="102"/>
      <c r="E6346" s="103" t="str">
        <f aca="false">IF($C6346="","",IFERROR(INDEX(المنيو!$C$2:$C$500,MATCH($C6346,المنيو!$B$2:$B$500,0)),0))</f>
        <v/>
      </c>
      <c r="F6346" s="103" t="str">
        <f aca="false">IF($C6346="","",$D6346*$E6346)</f>
        <v/>
      </c>
      <c r="G6346" s="103" t="str">
        <f aca="false">IF($C6346="","",$D6346*IFERROR(INDEX('تحليل التكلفة والسعر'!$C$2:$C$700,MATCH($C6346,'تحليل التكلفة والسعر'!$B$2:$B$700,0)),0))</f>
        <v/>
      </c>
    </row>
    <row r="6347" customFormat="false" ht="15" hidden="false" customHeight="false" outlineLevel="0" collapsed="false">
      <c r="A6347" s="102"/>
      <c r="E6347" s="103" t="str">
        <f aca="false">IF($C6347="","",IFERROR(INDEX(المنيو!$C$2:$C$500,MATCH($C6347,المنيو!$B$2:$B$500,0)),0))</f>
        <v/>
      </c>
      <c r="F6347" s="103" t="str">
        <f aca="false">IF($C6347="","",$D6347*$E6347)</f>
        <v/>
      </c>
      <c r="G6347" s="103" t="str">
        <f aca="false">IF($C6347="","",$D6347*IFERROR(INDEX('تحليل التكلفة والسعر'!$C$2:$C$700,MATCH($C6347,'تحليل التكلفة والسعر'!$B$2:$B$700,0)),0))</f>
        <v/>
      </c>
    </row>
    <row r="6348" customFormat="false" ht="15" hidden="false" customHeight="false" outlineLevel="0" collapsed="false">
      <c r="A6348" s="102"/>
      <c r="E6348" s="103" t="str">
        <f aca="false">IF($C6348="","",IFERROR(INDEX(المنيو!$C$2:$C$500,MATCH($C6348,المنيو!$B$2:$B$500,0)),0))</f>
        <v/>
      </c>
      <c r="F6348" s="103" t="str">
        <f aca="false">IF($C6348="","",$D6348*$E6348)</f>
        <v/>
      </c>
      <c r="G6348" s="103" t="str">
        <f aca="false">IF($C6348="","",$D6348*IFERROR(INDEX('تحليل التكلفة والسعر'!$C$2:$C$700,MATCH($C6348,'تحليل التكلفة والسعر'!$B$2:$B$700,0)),0))</f>
        <v/>
      </c>
    </row>
    <row r="6349" customFormat="false" ht="15" hidden="false" customHeight="false" outlineLevel="0" collapsed="false">
      <c r="A6349" s="102"/>
      <c r="E6349" s="103" t="str">
        <f aca="false">IF($C6349="","",IFERROR(INDEX(المنيو!$C$2:$C$500,MATCH($C6349,المنيو!$B$2:$B$500,0)),0))</f>
        <v/>
      </c>
      <c r="F6349" s="103" t="str">
        <f aca="false">IF($C6349="","",$D6349*$E6349)</f>
        <v/>
      </c>
      <c r="G6349" s="103" t="str">
        <f aca="false">IF($C6349="","",$D6349*IFERROR(INDEX('تحليل التكلفة والسعر'!$C$2:$C$700,MATCH($C6349,'تحليل التكلفة والسعر'!$B$2:$B$700,0)),0))</f>
        <v/>
      </c>
    </row>
    <row r="6350" customFormat="false" ht="15" hidden="false" customHeight="false" outlineLevel="0" collapsed="false">
      <c r="A6350" s="102"/>
      <c r="E6350" s="103" t="str">
        <f aca="false">IF($C6350="","",IFERROR(INDEX(المنيو!$C$2:$C$500,MATCH($C6350,المنيو!$B$2:$B$500,0)),0))</f>
        <v/>
      </c>
      <c r="F6350" s="103" t="str">
        <f aca="false">IF($C6350="","",$D6350*$E6350)</f>
        <v/>
      </c>
      <c r="G6350" s="103" t="str">
        <f aca="false">IF($C6350="","",$D6350*IFERROR(INDEX('تحليل التكلفة والسعر'!$C$2:$C$700,MATCH($C6350,'تحليل التكلفة والسعر'!$B$2:$B$700,0)),0))</f>
        <v/>
      </c>
    </row>
    <row r="6351" customFormat="false" ht="15" hidden="false" customHeight="false" outlineLevel="0" collapsed="false">
      <c r="A6351" s="102"/>
      <c r="E6351" s="103" t="str">
        <f aca="false">IF($C6351="","",IFERROR(INDEX(المنيو!$C$2:$C$500,MATCH($C6351,المنيو!$B$2:$B$500,0)),0))</f>
        <v/>
      </c>
      <c r="F6351" s="103" t="str">
        <f aca="false">IF($C6351="","",$D6351*$E6351)</f>
        <v/>
      </c>
      <c r="G6351" s="103" t="str">
        <f aca="false">IF($C6351="","",$D6351*IFERROR(INDEX('تحليل التكلفة والسعر'!$C$2:$C$700,MATCH($C6351,'تحليل التكلفة والسعر'!$B$2:$B$700,0)),0))</f>
        <v/>
      </c>
    </row>
    <row r="6352" customFormat="false" ht="15" hidden="false" customHeight="false" outlineLevel="0" collapsed="false">
      <c r="A6352" s="102"/>
      <c r="E6352" s="103" t="str">
        <f aca="false">IF($C6352="","",IFERROR(INDEX(المنيو!$C$2:$C$500,MATCH($C6352,المنيو!$B$2:$B$500,0)),0))</f>
        <v/>
      </c>
      <c r="F6352" s="103" t="str">
        <f aca="false">IF($C6352="","",$D6352*$E6352)</f>
        <v/>
      </c>
      <c r="G6352" s="103" t="str">
        <f aca="false">IF($C6352="","",$D6352*IFERROR(INDEX('تحليل التكلفة والسعر'!$C$2:$C$700,MATCH($C6352,'تحليل التكلفة والسعر'!$B$2:$B$700,0)),0))</f>
        <v/>
      </c>
    </row>
    <row r="6353" customFormat="false" ht="15" hidden="false" customHeight="false" outlineLevel="0" collapsed="false">
      <c r="A6353" s="102"/>
      <c r="E6353" s="103" t="str">
        <f aca="false">IF($C6353="","",IFERROR(INDEX(المنيو!$C$2:$C$500,MATCH($C6353,المنيو!$B$2:$B$500,0)),0))</f>
        <v/>
      </c>
      <c r="F6353" s="103" t="str">
        <f aca="false">IF($C6353="","",$D6353*$E6353)</f>
        <v/>
      </c>
      <c r="G6353" s="103" t="str">
        <f aca="false">IF($C6353="","",$D6353*IFERROR(INDEX('تحليل التكلفة والسعر'!$C$2:$C$700,MATCH($C6353,'تحليل التكلفة والسعر'!$B$2:$B$700,0)),0))</f>
        <v/>
      </c>
    </row>
    <row r="6354" customFormat="false" ht="15" hidden="false" customHeight="false" outlineLevel="0" collapsed="false">
      <c r="A6354" s="102"/>
      <c r="E6354" s="103" t="str">
        <f aca="false">IF($C6354="","",IFERROR(INDEX(المنيو!$C$2:$C$500,MATCH($C6354,المنيو!$B$2:$B$500,0)),0))</f>
        <v/>
      </c>
      <c r="F6354" s="103" t="str">
        <f aca="false">IF($C6354="","",$D6354*$E6354)</f>
        <v/>
      </c>
      <c r="G6354" s="103" t="str">
        <f aca="false">IF($C6354="","",$D6354*IFERROR(INDEX('تحليل التكلفة والسعر'!$C$2:$C$700,MATCH($C6354,'تحليل التكلفة والسعر'!$B$2:$B$700,0)),0))</f>
        <v/>
      </c>
    </row>
    <row r="6355" customFormat="false" ht="15" hidden="false" customHeight="false" outlineLevel="0" collapsed="false">
      <c r="A6355" s="102"/>
      <c r="E6355" s="103" t="str">
        <f aca="false">IF($C6355="","",IFERROR(INDEX(المنيو!$C$2:$C$500,MATCH($C6355,المنيو!$B$2:$B$500,0)),0))</f>
        <v/>
      </c>
      <c r="F6355" s="103" t="str">
        <f aca="false">IF($C6355="","",$D6355*$E6355)</f>
        <v/>
      </c>
      <c r="G6355" s="103" t="str">
        <f aca="false">IF($C6355="","",$D6355*IFERROR(INDEX('تحليل التكلفة والسعر'!$C$2:$C$700,MATCH($C6355,'تحليل التكلفة والسعر'!$B$2:$B$700,0)),0))</f>
        <v/>
      </c>
    </row>
    <row r="6356" customFormat="false" ht="15" hidden="false" customHeight="false" outlineLevel="0" collapsed="false">
      <c r="A6356" s="102"/>
      <c r="E6356" s="103" t="str">
        <f aca="false">IF($C6356="","",IFERROR(INDEX(المنيو!$C$2:$C$500,MATCH($C6356,المنيو!$B$2:$B$500,0)),0))</f>
        <v/>
      </c>
      <c r="F6356" s="103" t="str">
        <f aca="false">IF($C6356="","",$D6356*$E6356)</f>
        <v/>
      </c>
      <c r="G6356" s="103" t="str">
        <f aca="false">IF($C6356="","",$D6356*IFERROR(INDEX('تحليل التكلفة والسعر'!$C$2:$C$700,MATCH($C6356,'تحليل التكلفة والسعر'!$B$2:$B$700,0)),0))</f>
        <v/>
      </c>
    </row>
    <row r="6357" customFormat="false" ht="15" hidden="false" customHeight="false" outlineLevel="0" collapsed="false">
      <c r="A6357" s="102"/>
      <c r="E6357" s="103" t="str">
        <f aca="false">IF($C6357="","",IFERROR(INDEX(المنيو!$C$2:$C$500,MATCH($C6357,المنيو!$B$2:$B$500,0)),0))</f>
        <v/>
      </c>
      <c r="F6357" s="103" t="str">
        <f aca="false">IF($C6357="","",$D6357*$E6357)</f>
        <v/>
      </c>
      <c r="G6357" s="103" t="str">
        <f aca="false">IF($C6357="","",$D6357*IFERROR(INDEX('تحليل التكلفة والسعر'!$C$2:$C$700,MATCH($C6357,'تحليل التكلفة والسعر'!$B$2:$B$700,0)),0))</f>
        <v/>
      </c>
    </row>
    <row r="6358" customFormat="false" ht="15" hidden="false" customHeight="false" outlineLevel="0" collapsed="false">
      <c r="A6358" s="102"/>
      <c r="E6358" s="103" t="str">
        <f aca="false">IF($C6358="","",IFERROR(INDEX(المنيو!$C$2:$C$500,MATCH($C6358,المنيو!$B$2:$B$500,0)),0))</f>
        <v/>
      </c>
      <c r="F6358" s="103" t="str">
        <f aca="false">IF($C6358="","",$D6358*$E6358)</f>
        <v/>
      </c>
      <c r="G6358" s="103" t="str">
        <f aca="false">IF($C6358="","",$D6358*IFERROR(INDEX('تحليل التكلفة والسعر'!$C$2:$C$700,MATCH($C6358,'تحليل التكلفة والسعر'!$B$2:$B$700,0)),0))</f>
        <v/>
      </c>
    </row>
    <row r="6359" customFormat="false" ht="15" hidden="false" customHeight="false" outlineLevel="0" collapsed="false">
      <c r="A6359" s="102"/>
      <c r="E6359" s="103" t="str">
        <f aca="false">IF($C6359="","",IFERROR(INDEX(المنيو!$C$2:$C$500,MATCH($C6359,المنيو!$B$2:$B$500,0)),0))</f>
        <v/>
      </c>
      <c r="F6359" s="103" t="str">
        <f aca="false">IF($C6359="","",$D6359*$E6359)</f>
        <v/>
      </c>
      <c r="G6359" s="103" t="str">
        <f aca="false">IF($C6359="","",$D6359*IFERROR(INDEX('تحليل التكلفة والسعر'!$C$2:$C$700,MATCH($C6359,'تحليل التكلفة والسعر'!$B$2:$B$700,0)),0))</f>
        <v/>
      </c>
    </row>
    <row r="6360" customFormat="false" ht="15" hidden="false" customHeight="false" outlineLevel="0" collapsed="false">
      <c r="A6360" s="102"/>
      <c r="E6360" s="103" t="str">
        <f aca="false">IF($C6360="","",IFERROR(INDEX(المنيو!$C$2:$C$500,MATCH($C6360,المنيو!$B$2:$B$500,0)),0))</f>
        <v/>
      </c>
      <c r="F6360" s="103" t="str">
        <f aca="false">IF($C6360="","",$D6360*$E6360)</f>
        <v/>
      </c>
      <c r="G6360" s="103" t="str">
        <f aca="false">IF($C6360="","",$D6360*IFERROR(INDEX('تحليل التكلفة والسعر'!$C$2:$C$700,MATCH($C6360,'تحليل التكلفة والسعر'!$B$2:$B$700,0)),0))</f>
        <v/>
      </c>
    </row>
    <row r="6361" customFormat="false" ht="15" hidden="false" customHeight="false" outlineLevel="0" collapsed="false">
      <c r="A6361" s="102"/>
      <c r="E6361" s="103" t="str">
        <f aca="false">IF($C6361="","",IFERROR(INDEX(المنيو!$C$2:$C$500,MATCH($C6361,المنيو!$B$2:$B$500,0)),0))</f>
        <v/>
      </c>
      <c r="F6361" s="103" t="str">
        <f aca="false">IF($C6361="","",$D6361*$E6361)</f>
        <v/>
      </c>
      <c r="G6361" s="103" t="str">
        <f aca="false">IF($C6361="","",$D6361*IFERROR(INDEX('تحليل التكلفة والسعر'!$C$2:$C$700,MATCH($C6361,'تحليل التكلفة والسعر'!$B$2:$B$700,0)),0))</f>
        <v/>
      </c>
    </row>
    <row r="6362" customFormat="false" ht="15" hidden="false" customHeight="false" outlineLevel="0" collapsed="false">
      <c r="A6362" s="102"/>
      <c r="E6362" s="103" t="str">
        <f aca="false">IF($C6362="","",IFERROR(INDEX(المنيو!$C$2:$C$500,MATCH($C6362,المنيو!$B$2:$B$500,0)),0))</f>
        <v/>
      </c>
      <c r="F6362" s="103" t="str">
        <f aca="false">IF($C6362="","",$D6362*$E6362)</f>
        <v/>
      </c>
      <c r="G6362" s="103" t="str">
        <f aca="false">IF($C6362="","",$D6362*IFERROR(INDEX('تحليل التكلفة والسعر'!$C$2:$C$700,MATCH($C6362,'تحليل التكلفة والسعر'!$B$2:$B$700,0)),0))</f>
        <v/>
      </c>
    </row>
    <row r="6363" customFormat="false" ht="15" hidden="false" customHeight="false" outlineLevel="0" collapsed="false">
      <c r="A6363" s="102"/>
      <c r="E6363" s="103" t="str">
        <f aca="false">IF($C6363="","",IFERROR(INDEX(المنيو!$C$2:$C$500,MATCH($C6363,المنيو!$B$2:$B$500,0)),0))</f>
        <v/>
      </c>
      <c r="F6363" s="103" t="str">
        <f aca="false">IF($C6363="","",$D6363*$E6363)</f>
        <v/>
      </c>
      <c r="G6363" s="103" t="str">
        <f aca="false">IF($C6363="","",$D6363*IFERROR(INDEX('تحليل التكلفة والسعر'!$C$2:$C$700,MATCH($C6363,'تحليل التكلفة والسعر'!$B$2:$B$700,0)),0))</f>
        <v/>
      </c>
    </row>
    <row r="6364" customFormat="false" ht="15" hidden="false" customHeight="false" outlineLevel="0" collapsed="false">
      <c r="A6364" s="102"/>
      <c r="E6364" s="103" t="str">
        <f aca="false">IF($C6364="","",IFERROR(INDEX(المنيو!$C$2:$C$500,MATCH($C6364,المنيو!$B$2:$B$500,0)),0))</f>
        <v/>
      </c>
      <c r="F6364" s="103" t="str">
        <f aca="false">IF($C6364="","",$D6364*$E6364)</f>
        <v/>
      </c>
      <c r="G6364" s="103" t="str">
        <f aca="false">IF($C6364="","",$D6364*IFERROR(INDEX('تحليل التكلفة والسعر'!$C$2:$C$700,MATCH($C6364,'تحليل التكلفة والسعر'!$B$2:$B$700,0)),0))</f>
        <v/>
      </c>
    </row>
    <row r="6365" customFormat="false" ht="15" hidden="false" customHeight="false" outlineLevel="0" collapsed="false">
      <c r="A6365" s="102"/>
      <c r="E6365" s="103" t="str">
        <f aca="false">IF($C6365="","",IFERROR(INDEX(المنيو!$C$2:$C$500,MATCH($C6365,المنيو!$B$2:$B$500,0)),0))</f>
        <v/>
      </c>
      <c r="F6365" s="103" t="str">
        <f aca="false">IF($C6365="","",$D6365*$E6365)</f>
        <v/>
      </c>
      <c r="G6365" s="103" t="str">
        <f aca="false">IF($C6365="","",$D6365*IFERROR(INDEX('تحليل التكلفة والسعر'!$C$2:$C$700,MATCH($C6365,'تحليل التكلفة والسعر'!$B$2:$B$700,0)),0))</f>
        <v/>
      </c>
    </row>
    <row r="6366" customFormat="false" ht="15" hidden="false" customHeight="false" outlineLevel="0" collapsed="false">
      <c r="A6366" s="102"/>
      <c r="E6366" s="103" t="str">
        <f aca="false">IF($C6366="","",IFERROR(INDEX(المنيو!$C$2:$C$500,MATCH($C6366,المنيو!$B$2:$B$500,0)),0))</f>
        <v/>
      </c>
      <c r="F6366" s="103" t="str">
        <f aca="false">IF($C6366="","",$D6366*$E6366)</f>
        <v/>
      </c>
      <c r="G6366" s="103" t="str">
        <f aca="false">IF($C6366="","",$D6366*IFERROR(INDEX('تحليل التكلفة والسعر'!$C$2:$C$700,MATCH($C6366,'تحليل التكلفة والسعر'!$B$2:$B$700,0)),0))</f>
        <v/>
      </c>
    </row>
    <row r="6367" customFormat="false" ht="15" hidden="false" customHeight="false" outlineLevel="0" collapsed="false">
      <c r="A6367" s="102"/>
      <c r="E6367" s="103" t="str">
        <f aca="false">IF($C6367="","",IFERROR(INDEX(المنيو!$C$2:$C$500,MATCH($C6367,المنيو!$B$2:$B$500,0)),0))</f>
        <v/>
      </c>
      <c r="F6367" s="103" t="str">
        <f aca="false">IF($C6367="","",$D6367*$E6367)</f>
        <v/>
      </c>
      <c r="G6367" s="103" t="str">
        <f aca="false">IF($C6367="","",$D6367*IFERROR(INDEX('تحليل التكلفة والسعر'!$C$2:$C$700,MATCH($C6367,'تحليل التكلفة والسعر'!$B$2:$B$700,0)),0))</f>
        <v/>
      </c>
    </row>
    <row r="6368" customFormat="false" ht="15" hidden="false" customHeight="false" outlineLevel="0" collapsed="false">
      <c r="A6368" s="102"/>
      <c r="E6368" s="103" t="str">
        <f aca="false">IF($C6368="","",IFERROR(INDEX(المنيو!$C$2:$C$500,MATCH($C6368,المنيو!$B$2:$B$500,0)),0))</f>
        <v/>
      </c>
      <c r="F6368" s="103" t="str">
        <f aca="false">IF($C6368="","",$D6368*$E6368)</f>
        <v/>
      </c>
      <c r="G6368" s="103" t="str">
        <f aca="false">IF($C6368="","",$D6368*IFERROR(INDEX('تحليل التكلفة والسعر'!$C$2:$C$700,MATCH($C6368,'تحليل التكلفة والسعر'!$B$2:$B$700,0)),0))</f>
        <v/>
      </c>
    </row>
    <row r="6369" customFormat="false" ht="15" hidden="false" customHeight="false" outlineLevel="0" collapsed="false">
      <c r="A6369" s="102"/>
      <c r="E6369" s="103" t="str">
        <f aca="false">IF($C6369="","",IFERROR(INDEX(المنيو!$C$2:$C$500,MATCH($C6369,المنيو!$B$2:$B$500,0)),0))</f>
        <v/>
      </c>
      <c r="F6369" s="103" t="str">
        <f aca="false">IF($C6369="","",$D6369*$E6369)</f>
        <v/>
      </c>
      <c r="G6369" s="103" t="str">
        <f aca="false">IF($C6369="","",$D6369*IFERROR(INDEX('تحليل التكلفة والسعر'!$C$2:$C$700,MATCH($C6369,'تحليل التكلفة والسعر'!$B$2:$B$700,0)),0))</f>
        <v/>
      </c>
    </row>
    <row r="6370" customFormat="false" ht="15" hidden="false" customHeight="false" outlineLevel="0" collapsed="false">
      <c r="A6370" s="102"/>
      <c r="E6370" s="103" t="str">
        <f aca="false">IF($C6370="","",IFERROR(INDEX(المنيو!$C$2:$C$500,MATCH($C6370,المنيو!$B$2:$B$500,0)),0))</f>
        <v/>
      </c>
      <c r="F6370" s="103" t="str">
        <f aca="false">IF($C6370="","",$D6370*$E6370)</f>
        <v/>
      </c>
      <c r="G6370" s="103" t="str">
        <f aca="false">IF($C6370="","",$D6370*IFERROR(INDEX('تحليل التكلفة والسعر'!$C$2:$C$700,MATCH($C6370,'تحليل التكلفة والسعر'!$B$2:$B$700,0)),0))</f>
        <v/>
      </c>
    </row>
    <row r="6371" customFormat="false" ht="15" hidden="false" customHeight="false" outlineLevel="0" collapsed="false">
      <c r="A6371" s="102"/>
      <c r="E6371" s="103" t="str">
        <f aca="false">IF($C6371="","",IFERROR(INDEX(المنيو!$C$2:$C$500,MATCH($C6371,المنيو!$B$2:$B$500,0)),0))</f>
        <v/>
      </c>
      <c r="F6371" s="103" t="str">
        <f aca="false">IF($C6371="","",$D6371*$E6371)</f>
        <v/>
      </c>
      <c r="G6371" s="103" t="str">
        <f aca="false">IF($C6371="","",$D6371*IFERROR(INDEX('تحليل التكلفة والسعر'!$C$2:$C$700,MATCH($C6371,'تحليل التكلفة والسعر'!$B$2:$B$700,0)),0))</f>
        <v/>
      </c>
    </row>
    <row r="6372" customFormat="false" ht="15" hidden="false" customHeight="false" outlineLevel="0" collapsed="false">
      <c r="A6372" s="102"/>
      <c r="E6372" s="103" t="str">
        <f aca="false">IF($C6372="","",IFERROR(INDEX(المنيو!$C$2:$C$500,MATCH($C6372,المنيو!$B$2:$B$500,0)),0))</f>
        <v/>
      </c>
      <c r="F6372" s="103" t="str">
        <f aca="false">IF($C6372="","",$D6372*$E6372)</f>
        <v/>
      </c>
      <c r="G6372" s="103" t="str">
        <f aca="false">IF($C6372="","",$D6372*IFERROR(INDEX('تحليل التكلفة والسعر'!$C$2:$C$700,MATCH($C6372,'تحليل التكلفة والسعر'!$B$2:$B$700,0)),0))</f>
        <v/>
      </c>
    </row>
    <row r="6373" customFormat="false" ht="15" hidden="false" customHeight="false" outlineLevel="0" collapsed="false">
      <c r="A6373" s="102"/>
      <c r="E6373" s="103" t="str">
        <f aca="false">IF($C6373="","",IFERROR(INDEX(المنيو!$C$2:$C$500,MATCH($C6373,المنيو!$B$2:$B$500,0)),0))</f>
        <v/>
      </c>
      <c r="F6373" s="103" t="str">
        <f aca="false">IF($C6373="","",$D6373*$E6373)</f>
        <v/>
      </c>
      <c r="G6373" s="103" t="str">
        <f aca="false">IF($C6373="","",$D6373*IFERROR(INDEX('تحليل التكلفة والسعر'!$C$2:$C$700,MATCH($C6373,'تحليل التكلفة والسعر'!$B$2:$B$700,0)),0))</f>
        <v/>
      </c>
    </row>
    <row r="6374" customFormat="false" ht="15" hidden="false" customHeight="false" outlineLevel="0" collapsed="false">
      <c r="A6374" s="102"/>
      <c r="E6374" s="103" t="str">
        <f aca="false">IF($C6374="","",IFERROR(INDEX(المنيو!$C$2:$C$500,MATCH($C6374,المنيو!$B$2:$B$500,0)),0))</f>
        <v/>
      </c>
      <c r="F6374" s="103" t="str">
        <f aca="false">IF($C6374="","",$D6374*$E6374)</f>
        <v/>
      </c>
      <c r="G6374" s="103" t="str">
        <f aca="false">IF($C6374="","",$D6374*IFERROR(INDEX('تحليل التكلفة والسعر'!$C$2:$C$700,MATCH($C6374,'تحليل التكلفة والسعر'!$B$2:$B$700,0)),0))</f>
        <v/>
      </c>
    </row>
    <row r="6375" customFormat="false" ht="15" hidden="false" customHeight="false" outlineLevel="0" collapsed="false">
      <c r="A6375" s="102"/>
      <c r="E6375" s="103" t="str">
        <f aca="false">IF($C6375="","",IFERROR(INDEX(المنيو!$C$2:$C$500,MATCH($C6375,المنيو!$B$2:$B$500,0)),0))</f>
        <v/>
      </c>
      <c r="F6375" s="103" t="str">
        <f aca="false">IF($C6375="","",$D6375*$E6375)</f>
        <v/>
      </c>
      <c r="G6375" s="103" t="str">
        <f aca="false">IF($C6375="","",$D6375*IFERROR(INDEX('تحليل التكلفة والسعر'!$C$2:$C$700,MATCH($C6375,'تحليل التكلفة والسعر'!$B$2:$B$700,0)),0))</f>
        <v/>
      </c>
    </row>
    <row r="6376" customFormat="false" ht="15" hidden="false" customHeight="false" outlineLevel="0" collapsed="false">
      <c r="A6376" s="102"/>
      <c r="E6376" s="103" t="str">
        <f aca="false">IF($C6376="","",IFERROR(INDEX(المنيو!$C$2:$C$500,MATCH($C6376,المنيو!$B$2:$B$500,0)),0))</f>
        <v/>
      </c>
      <c r="F6376" s="103" t="str">
        <f aca="false">IF($C6376="","",$D6376*$E6376)</f>
        <v/>
      </c>
      <c r="G6376" s="103" t="str">
        <f aca="false">IF($C6376="","",$D6376*IFERROR(INDEX('تحليل التكلفة والسعر'!$C$2:$C$700,MATCH($C6376,'تحليل التكلفة والسعر'!$B$2:$B$700,0)),0))</f>
        <v/>
      </c>
    </row>
    <row r="6377" customFormat="false" ht="15" hidden="false" customHeight="false" outlineLevel="0" collapsed="false">
      <c r="A6377" s="102"/>
      <c r="E6377" s="103" t="str">
        <f aca="false">IF($C6377="","",IFERROR(INDEX(المنيو!$C$2:$C$500,MATCH($C6377,المنيو!$B$2:$B$500,0)),0))</f>
        <v/>
      </c>
      <c r="F6377" s="103" t="str">
        <f aca="false">IF($C6377="","",$D6377*$E6377)</f>
        <v/>
      </c>
      <c r="G6377" s="103" t="str">
        <f aca="false">IF($C6377="","",$D6377*IFERROR(INDEX('تحليل التكلفة والسعر'!$C$2:$C$700,MATCH($C6377,'تحليل التكلفة والسعر'!$B$2:$B$700,0)),0))</f>
        <v/>
      </c>
    </row>
    <row r="6378" customFormat="false" ht="15" hidden="false" customHeight="false" outlineLevel="0" collapsed="false">
      <c r="A6378" s="102"/>
      <c r="E6378" s="103" t="str">
        <f aca="false">IF($C6378="","",IFERROR(INDEX(المنيو!$C$2:$C$500,MATCH($C6378,المنيو!$B$2:$B$500,0)),0))</f>
        <v/>
      </c>
      <c r="F6378" s="103" t="str">
        <f aca="false">IF($C6378="","",$D6378*$E6378)</f>
        <v/>
      </c>
      <c r="G6378" s="103" t="str">
        <f aca="false">IF($C6378="","",$D6378*IFERROR(INDEX('تحليل التكلفة والسعر'!$C$2:$C$700,MATCH($C6378,'تحليل التكلفة والسعر'!$B$2:$B$700,0)),0))</f>
        <v/>
      </c>
    </row>
    <row r="6379" customFormat="false" ht="15" hidden="false" customHeight="false" outlineLevel="0" collapsed="false">
      <c r="A6379" s="102"/>
      <c r="E6379" s="103" t="str">
        <f aca="false">IF($C6379="","",IFERROR(INDEX(المنيو!$C$2:$C$500,MATCH($C6379,المنيو!$B$2:$B$500,0)),0))</f>
        <v/>
      </c>
      <c r="F6379" s="103" t="str">
        <f aca="false">IF($C6379="","",$D6379*$E6379)</f>
        <v/>
      </c>
      <c r="G6379" s="103" t="str">
        <f aca="false">IF($C6379="","",$D6379*IFERROR(INDEX('تحليل التكلفة والسعر'!$C$2:$C$700,MATCH($C6379,'تحليل التكلفة والسعر'!$B$2:$B$700,0)),0))</f>
        <v/>
      </c>
    </row>
    <row r="6380" customFormat="false" ht="15" hidden="false" customHeight="false" outlineLevel="0" collapsed="false">
      <c r="A6380" s="102"/>
      <c r="E6380" s="103" t="str">
        <f aca="false">IF($C6380="","",IFERROR(INDEX(المنيو!$C$2:$C$500,MATCH($C6380,المنيو!$B$2:$B$500,0)),0))</f>
        <v/>
      </c>
      <c r="F6380" s="103" t="str">
        <f aca="false">IF($C6380="","",$D6380*$E6380)</f>
        <v/>
      </c>
      <c r="G6380" s="103" t="str">
        <f aca="false">IF($C6380="","",$D6380*IFERROR(INDEX('تحليل التكلفة والسعر'!$C$2:$C$700,MATCH($C6380,'تحليل التكلفة والسعر'!$B$2:$B$700,0)),0))</f>
        <v/>
      </c>
    </row>
    <row r="6381" customFormat="false" ht="15" hidden="false" customHeight="false" outlineLevel="0" collapsed="false">
      <c r="A6381" s="102"/>
      <c r="E6381" s="103" t="str">
        <f aca="false">IF($C6381="","",IFERROR(INDEX(المنيو!$C$2:$C$500,MATCH($C6381,المنيو!$B$2:$B$500,0)),0))</f>
        <v/>
      </c>
      <c r="F6381" s="103" t="str">
        <f aca="false">IF($C6381="","",$D6381*$E6381)</f>
        <v/>
      </c>
      <c r="G6381" s="103" t="str">
        <f aca="false">IF($C6381="","",$D6381*IFERROR(INDEX('تحليل التكلفة والسعر'!$C$2:$C$700,MATCH($C6381,'تحليل التكلفة والسعر'!$B$2:$B$700,0)),0))</f>
        <v/>
      </c>
    </row>
    <row r="6382" customFormat="false" ht="15" hidden="false" customHeight="false" outlineLevel="0" collapsed="false">
      <c r="A6382" s="102"/>
      <c r="E6382" s="103" t="str">
        <f aca="false">IF($C6382="","",IFERROR(INDEX(المنيو!$C$2:$C$500,MATCH($C6382,المنيو!$B$2:$B$500,0)),0))</f>
        <v/>
      </c>
      <c r="F6382" s="103" t="str">
        <f aca="false">IF($C6382="","",$D6382*$E6382)</f>
        <v/>
      </c>
      <c r="G6382" s="103" t="str">
        <f aca="false">IF($C6382="","",$D6382*IFERROR(INDEX('تحليل التكلفة والسعر'!$C$2:$C$700,MATCH($C6382,'تحليل التكلفة والسعر'!$B$2:$B$700,0)),0))</f>
        <v/>
      </c>
    </row>
    <row r="6383" customFormat="false" ht="15" hidden="false" customHeight="false" outlineLevel="0" collapsed="false">
      <c r="A6383" s="102"/>
      <c r="E6383" s="103" t="str">
        <f aca="false">IF($C6383="","",IFERROR(INDEX(المنيو!$C$2:$C$500,MATCH($C6383,المنيو!$B$2:$B$500,0)),0))</f>
        <v/>
      </c>
      <c r="F6383" s="103" t="str">
        <f aca="false">IF($C6383="","",$D6383*$E6383)</f>
        <v/>
      </c>
      <c r="G6383" s="103" t="str">
        <f aca="false">IF($C6383="","",$D6383*IFERROR(INDEX('تحليل التكلفة والسعر'!$C$2:$C$700,MATCH($C6383,'تحليل التكلفة والسعر'!$B$2:$B$700,0)),0))</f>
        <v/>
      </c>
    </row>
    <row r="6384" customFormat="false" ht="15" hidden="false" customHeight="false" outlineLevel="0" collapsed="false">
      <c r="A6384" s="102"/>
      <c r="E6384" s="103" t="str">
        <f aca="false">IF($C6384="","",IFERROR(INDEX(المنيو!$C$2:$C$500,MATCH($C6384,المنيو!$B$2:$B$500,0)),0))</f>
        <v/>
      </c>
      <c r="F6384" s="103" t="str">
        <f aca="false">IF($C6384="","",$D6384*$E6384)</f>
        <v/>
      </c>
      <c r="G6384" s="103" t="str">
        <f aca="false">IF($C6384="","",$D6384*IFERROR(INDEX('تحليل التكلفة والسعر'!$C$2:$C$700,MATCH($C6384,'تحليل التكلفة والسعر'!$B$2:$B$700,0)),0))</f>
        <v/>
      </c>
    </row>
    <row r="6385" customFormat="false" ht="15" hidden="false" customHeight="false" outlineLevel="0" collapsed="false">
      <c r="A6385" s="102"/>
      <c r="E6385" s="103" t="str">
        <f aca="false">IF($C6385="","",IFERROR(INDEX(المنيو!$C$2:$C$500,MATCH($C6385,المنيو!$B$2:$B$500,0)),0))</f>
        <v/>
      </c>
      <c r="F6385" s="103" t="str">
        <f aca="false">IF($C6385="","",$D6385*$E6385)</f>
        <v/>
      </c>
      <c r="G6385" s="103" t="str">
        <f aca="false">IF($C6385="","",$D6385*IFERROR(INDEX('تحليل التكلفة والسعر'!$C$2:$C$700,MATCH($C6385,'تحليل التكلفة والسعر'!$B$2:$B$700,0)),0))</f>
        <v/>
      </c>
    </row>
    <row r="6386" customFormat="false" ht="15" hidden="false" customHeight="false" outlineLevel="0" collapsed="false">
      <c r="A6386" s="102"/>
      <c r="E6386" s="103" t="str">
        <f aca="false">IF($C6386="","",IFERROR(INDEX(المنيو!$C$2:$C$500,MATCH($C6386,المنيو!$B$2:$B$500,0)),0))</f>
        <v/>
      </c>
      <c r="F6386" s="103" t="str">
        <f aca="false">IF($C6386="","",$D6386*$E6386)</f>
        <v/>
      </c>
      <c r="G6386" s="103" t="str">
        <f aca="false">IF($C6386="","",$D6386*IFERROR(INDEX('تحليل التكلفة والسعر'!$C$2:$C$700,MATCH($C6386,'تحليل التكلفة والسعر'!$B$2:$B$700,0)),0))</f>
        <v/>
      </c>
    </row>
    <row r="6387" customFormat="false" ht="15" hidden="false" customHeight="false" outlineLevel="0" collapsed="false">
      <c r="A6387" s="102"/>
      <c r="E6387" s="103" t="str">
        <f aca="false">IF($C6387="","",IFERROR(INDEX(المنيو!$C$2:$C$500,MATCH($C6387,المنيو!$B$2:$B$500,0)),0))</f>
        <v/>
      </c>
      <c r="F6387" s="103" t="str">
        <f aca="false">IF($C6387="","",$D6387*$E6387)</f>
        <v/>
      </c>
      <c r="G6387" s="103" t="str">
        <f aca="false">IF($C6387="","",$D6387*IFERROR(INDEX('تحليل التكلفة والسعر'!$C$2:$C$700,MATCH($C6387,'تحليل التكلفة والسعر'!$B$2:$B$700,0)),0))</f>
        <v/>
      </c>
    </row>
    <row r="6388" customFormat="false" ht="15" hidden="false" customHeight="false" outlineLevel="0" collapsed="false">
      <c r="A6388" s="102"/>
      <c r="E6388" s="103" t="str">
        <f aca="false">IF($C6388="","",IFERROR(INDEX(المنيو!$C$2:$C$500,MATCH($C6388,المنيو!$B$2:$B$500,0)),0))</f>
        <v/>
      </c>
      <c r="F6388" s="103" t="str">
        <f aca="false">IF($C6388="","",$D6388*$E6388)</f>
        <v/>
      </c>
      <c r="G6388" s="103" t="str">
        <f aca="false">IF($C6388="","",$D6388*IFERROR(INDEX('تحليل التكلفة والسعر'!$C$2:$C$700,MATCH($C6388,'تحليل التكلفة والسعر'!$B$2:$B$700,0)),0))</f>
        <v/>
      </c>
    </row>
    <row r="6389" customFormat="false" ht="15" hidden="false" customHeight="false" outlineLevel="0" collapsed="false">
      <c r="A6389" s="102"/>
      <c r="E6389" s="103" t="str">
        <f aca="false">IF($C6389="","",IFERROR(INDEX(المنيو!$C$2:$C$500,MATCH($C6389,المنيو!$B$2:$B$500,0)),0))</f>
        <v/>
      </c>
      <c r="F6389" s="103" t="str">
        <f aca="false">IF($C6389="","",$D6389*$E6389)</f>
        <v/>
      </c>
      <c r="G6389" s="103" t="str">
        <f aca="false">IF($C6389="","",$D6389*IFERROR(INDEX('تحليل التكلفة والسعر'!$C$2:$C$700,MATCH($C6389,'تحليل التكلفة والسعر'!$B$2:$B$700,0)),0))</f>
        <v/>
      </c>
    </row>
    <row r="6390" customFormat="false" ht="15" hidden="false" customHeight="false" outlineLevel="0" collapsed="false">
      <c r="A6390" s="102"/>
      <c r="E6390" s="103" t="str">
        <f aca="false">IF($C6390="","",IFERROR(INDEX(المنيو!$C$2:$C$500,MATCH($C6390,المنيو!$B$2:$B$500,0)),0))</f>
        <v/>
      </c>
      <c r="F6390" s="103" t="str">
        <f aca="false">IF($C6390="","",$D6390*$E6390)</f>
        <v/>
      </c>
      <c r="G6390" s="103" t="str">
        <f aca="false">IF($C6390="","",$D6390*IFERROR(INDEX('تحليل التكلفة والسعر'!$C$2:$C$700,MATCH($C6390,'تحليل التكلفة والسعر'!$B$2:$B$700,0)),0))</f>
        <v/>
      </c>
    </row>
    <row r="6391" customFormat="false" ht="15" hidden="false" customHeight="false" outlineLevel="0" collapsed="false">
      <c r="A6391" s="102"/>
      <c r="E6391" s="103" t="str">
        <f aca="false">IF($C6391="","",IFERROR(INDEX(المنيو!$C$2:$C$500,MATCH($C6391,المنيو!$B$2:$B$500,0)),0))</f>
        <v/>
      </c>
      <c r="F6391" s="103" t="str">
        <f aca="false">IF($C6391="","",$D6391*$E6391)</f>
        <v/>
      </c>
      <c r="G6391" s="103" t="str">
        <f aca="false">IF($C6391="","",$D6391*IFERROR(INDEX('تحليل التكلفة والسعر'!$C$2:$C$700,MATCH($C6391,'تحليل التكلفة والسعر'!$B$2:$B$700,0)),0))</f>
        <v/>
      </c>
    </row>
    <row r="6392" customFormat="false" ht="15" hidden="false" customHeight="false" outlineLevel="0" collapsed="false">
      <c r="A6392" s="102"/>
      <c r="E6392" s="103" t="str">
        <f aca="false">IF($C6392="","",IFERROR(INDEX(المنيو!$C$2:$C$500,MATCH($C6392,المنيو!$B$2:$B$500,0)),0))</f>
        <v/>
      </c>
      <c r="F6392" s="103" t="str">
        <f aca="false">IF($C6392="","",$D6392*$E6392)</f>
        <v/>
      </c>
      <c r="G6392" s="103" t="str">
        <f aca="false">IF($C6392="","",$D6392*IFERROR(INDEX('تحليل التكلفة والسعر'!$C$2:$C$700,MATCH($C6392,'تحليل التكلفة والسعر'!$B$2:$B$700,0)),0))</f>
        <v/>
      </c>
    </row>
    <row r="6393" customFormat="false" ht="15" hidden="false" customHeight="false" outlineLevel="0" collapsed="false">
      <c r="A6393" s="102"/>
      <c r="E6393" s="103" t="str">
        <f aca="false">IF($C6393="","",IFERROR(INDEX(المنيو!$C$2:$C$500,MATCH($C6393,المنيو!$B$2:$B$500,0)),0))</f>
        <v/>
      </c>
      <c r="F6393" s="103" t="str">
        <f aca="false">IF($C6393="","",$D6393*$E6393)</f>
        <v/>
      </c>
      <c r="G6393" s="103" t="str">
        <f aca="false">IF($C6393="","",$D6393*IFERROR(INDEX('تحليل التكلفة والسعر'!$C$2:$C$700,MATCH($C6393,'تحليل التكلفة والسعر'!$B$2:$B$700,0)),0))</f>
        <v/>
      </c>
    </row>
    <row r="6394" customFormat="false" ht="15" hidden="false" customHeight="false" outlineLevel="0" collapsed="false">
      <c r="A6394" s="102"/>
      <c r="E6394" s="103" t="str">
        <f aca="false">IF($C6394="","",IFERROR(INDEX(المنيو!$C$2:$C$500,MATCH($C6394,المنيو!$B$2:$B$500,0)),0))</f>
        <v/>
      </c>
      <c r="F6394" s="103" t="str">
        <f aca="false">IF($C6394="","",$D6394*$E6394)</f>
        <v/>
      </c>
      <c r="G6394" s="103" t="str">
        <f aca="false">IF($C6394="","",$D6394*IFERROR(INDEX('تحليل التكلفة والسعر'!$C$2:$C$700,MATCH($C6394,'تحليل التكلفة والسعر'!$B$2:$B$700,0)),0))</f>
        <v/>
      </c>
    </row>
    <row r="6395" customFormat="false" ht="15" hidden="false" customHeight="false" outlineLevel="0" collapsed="false">
      <c r="A6395" s="102"/>
      <c r="E6395" s="103" t="str">
        <f aca="false">IF($C6395="","",IFERROR(INDEX(المنيو!$C$2:$C$500,MATCH($C6395,المنيو!$B$2:$B$500,0)),0))</f>
        <v/>
      </c>
      <c r="F6395" s="103" t="str">
        <f aca="false">IF($C6395="","",$D6395*$E6395)</f>
        <v/>
      </c>
      <c r="G6395" s="103" t="str">
        <f aca="false">IF($C6395="","",$D6395*IFERROR(INDEX('تحليل التكلفة والسعر'!$C$2:$C$700,MATCH($C6395,'تحليل التكلفة والسعر'!$B$2:$B$700,0)),0))</f>
        <v/>
      </c>
    </row>
    <row r="6396" customFormat="false" ht="15" hidden="false" customHeight="false" outlineLevel="0" collapsed="false">
      <c r="A6396" s="102"/>
      <c r="E6396" s="103" t="str">
        <f aca="false">IF($C6396="","",IFERROR(INDEX(المنيو!$C$2:$C$500,MATCH($C6396,المنيو!$B$2:$B$500,0)),0))</f>
        <v/>
      </c>
      <c r="F6396" s="103" t="str">
        <f aca="false">IF($C6396="","",$D6396*$E6396)</f>
        <v/>
      </c>
      <c r="G6396" s="103" t="str">
        <f aca="false">IF($C6396="","",$D6396*IFERROR(INDEX('تحليل التكلفة والسعر'!$C$2:$C$700,MATCH($C6396,'تحليل التكلفة والسعر'!$B$2:$B$700,0)),0))</f>
        <v/>
      </c>
    </row>
    <row r="6397" customFormat="false" ht="15" hidden="false" customHeight="false" outlineLevel="0" collapsed="false">
      <c r="A6397" s="102"/>
      <c r="E6397" s="103" t="str">
        <f aca="false">IF($C6397="","",IFERROR(INDEX(المنيو!$C$2:$C$500,MATCH($C6397,المنيو!$B$2:$B$500,0)),0))</f>
        <v/>
      </c>
      <c r="F6397" s="103" t="str">
        <f aca="false">IF($C6397="","",$D6397*$E6397)</f>
        <v/>
      </c>
      <c r="G6397" s="103" t="str">
        <f aca="false">IF($C6397="","",$D6397*IFERROR(INDEX('تحليل التكلفة والسعر'!$C$2:$C$700,MATCH($C6397,'تحليل التكلفة والسعر'!$B$2:$B$700,0)),0))</f>
        <v/>
      </c>
    </row>
    <row r="6398" customFormat="false" ht="15" hidden="false" customHeight="false" outlineLevel="0" collapsed="false">
      <c r="A6398" s="102"/>
      <c r="E6398" s="103" t="str">
        <f aca="false">IF($C6398="","",IFERROR(INDEX(المنيو!$C$2:$C$500,MATCH($C6398,المنيو!$B$2:$B$500,0)),0))</f>
        <v/>
      </c>
      <c r="F6398" s="103" t="str">
        <f aca="false">IF($C6398="","",$D6398*$E6398)</f>
        <v/>
      </c>
      <c r="G6398" s="103" t="str">
        <f aca="false">IF($C6398="","",$D6398*IFERROR(INDEX('تحليل التكلفة والسعر'!$C$2:$C$700,MATCH($C6398,'تحليل التكلفة والسعر'!$B$2:$B$700,0)),0))</f>
        <v/>
      </c>
    </row>
    <row r="6399" customFormat="false" ht="15" hidden="false" customHeight="false" outlineLevel="0" collapsed="false">
      <c r="A6399" s="102"/>
      <c r="E6399" s="103" t="str">
        <f aca="false">IF($C6399="","",IFERROR(INDEX(المنيو!$C$2:$C$500,MATCH($C6399,المنيو!$B$2:$B$500,0)),0))</f>
        <v/>
      </c>
      <c r="F6399" s="103" t="str">
        <f aca="false">IF($C6399="","",$D6399*$E6399)</f>
        <v/>
      </c>
      <c r="G6399" s="103" t="str">
        <f aca="false">IF($C6399="","",$D6399*IFERROR(INDEX('تحليل التكلفة والسعر'!$C$2:$C$700,MATCH($C6399,'تحليل التكلفة والسعر'!$B$2:$B$700,0)),0))</f>
        <v/>
      </c>
    </row>
    <row r="6400" customFormat="false" ht="15" hidden="false" customHeight="false" outlineLevel="0" collapsed="false">
      <c r="A6400" s="102"/>
      <c r="E6400" s="103" t="str">
        <f aca="false">IF($C6400="","",IFERROR(INDEX(المنيو!$C$2:$C$500,MATCH($C6400,المنيو!$B$2:$B$500,0)),0))</f>
        <v/>
      </c>
      <c r="F6400" s="103" t="str">
        <f aca="false">IF($C6400="","",$D6400*$E6400)</f>
        <v/>
      </c>
      <c r="G6400" s="103" t="str">
        <f aca="false">IF($C6400="","",$D6400*IFERROR(INDEX('تحليل التكلفة والسعر'!$C$2:$C$700,MATCH($C6400,'تحليل التكلفة والسعر'!$B$2:$B$700,0)),0))</f>
        <v/>
      </c>
    </row>
    <row r="6401" customFormat="false" ht="15" hidden="false" customHeight="false" outlineLevel="0" collapsed="false">
      <c r="A6401" s="102"/>
      <c r="E6401" s="103" t="str">
        <f aca="false">IF($C6401="","",IFERROR(INDEX(المنيو!$C$2:$C$500,MATCH($C6401,المنيو!$B$2:$B$500,0)),0))</f>
        <v/>
      </c>
      <c r="F6401" s="103" t="str">
        <f aca="false">IF($C6401="","",$D6401*$E6401)</f>
        <v/>
      </c>
      <c r="G6401" s="103" t="str">
        <f aca="false">IF($C6401="","",$D6401*IFERROR(INDEX('تحليل التكلفة والسعر'!$C$2:$C$700,MATCH($C6401,'تحليل التكلفة والسعر'!$B$2:$B$700,0)),0))</f>
        <v/>
      </c>
    </row>
    <row r="6402" customFormat="false" ht="15" hidden="false" customHeight="false" outlineLevel="0" collapsed="false">
      <c r="A6402" s="102"/>
      <c r="E6402" s="103" t="str">
        <f aca="false">IF($C6402="","",IFERROR(INDEX(المنيو!$C$2:$C$500,MATCH($C6402,المنيو!$B$2:$B$500,0)),0))</f>
        <v/>
      </c>
      <c r="F6402" s="103" t="str">
        <f aca="false">IF($C6402="","",$D6402*$E6402)</f>
        <v/>
      </c>
      <c r="G6402" s="103" t="str">
        <f aca="false">IF($C6402="","",$D6402*IFERROR(INDEX('تحليل التكلفة والسعر'!$C$2:$C$700,MATCH($C6402,'تحليل التكلفة والسعر'!$B$2:$B$700,0)),0))</f>
        <v/>
      </c>
    </row>
    <row r="6403" customFormat="false" ht="15" hidden="false" customHeight="false" outlineLevel="0" collapsed="false">
      <c r="A6403" s="102"/>
      <c r="E6403" s="103" t="str">
        <f aca="false">IF($C6403="","",IFERROR(INDEX(المنيو!$C$2:$C$500,MATCH($C6403,المنيو!$B$2:$B$500,0)),0))</f>
        <v/>
      </c>
      <c r="F6403" s="103" t="str">
        <f aca="false">IF($C6403="","",$D6403*$E6403)</f>
        <v/>
      </c>
      <c r="G6403" s="103" t="str">
        <f aca="false">IF($C6403="","",$D6403*IFERROR(INDEX('تحليل التكلفة والسعر'!$C$2:$C$700,MATCH($C6403,'تحليل التكلفة والسعر'!$B$2:$B$700,0)),0))</f>
        <v/>
      </c>
    </row>
    <row r="6404" customFormat="false" ht="15" hidden="false" customHeight="false" outlineLevel="0" collapsed="false">
      <c r="A6404" s="102"/>
      <c r="E6404" s="103" t="str">
        <f aca="false">IF($C6404="","",IFERROR(INDEX(المنيو!$C$2:$C$500,MATCH($C6404,المنيو!$B$2:$B$500,0)),0))</f>
        <v/>
      </c>
      <c r="F6404" s="103" t="str">
        <f aca="false">IF($C6404="","",$D6404*$E6404)</f>
        <v/>
      </c>
      <c r="G6404" s="103" t="str">
        <f aca="false">IF($C6404="","",$D6404*IFERROR(INDEX('تحليل التكلفة والسعر'!$C$2:$C$700,MATCH($C6404,'تحليل التكلفة والسعر'!$B$2:$B$700,0)),0))</f>
        <v/>
      </c>
    </row>
    <row r="6405" customFormat="false" ht="15" hidden="false" customHeight="false" outlineLevel="0" collapsed="false">
      <c r="A6405" s="102"/>
      <c r="E6405" s="103" t="str">
        <f aca="false">IF($C6405="","",IFERROR(INDEX(المنيو!$C$2:$C$500,MATCH($C6405,المنيو!$B$2:$B$500,0)),0))</f>
        <v/>
      </c>
      <c r="F6405" s="103" t="str">
        <f aca="false">IF($C6405="","",$D6405*$E6405)</f>
        <v/>
      </c>
      <c r="G6405" s="103" t="str">
        <f aca="false">IF($C6405="","",$D6405*IFERROR(INDEX('تحليل التكلفة والسعر'!$C$2:$C$700,MATCH($C6405,'تحليل التكلفة والسعر'!$B$2:$B$700,0)),0))</f>
        <v/>
      </c>
    </row>
    <row r="6406" customFormat="false" ht="15" hidden="false" customHeight="false" outlineLevel="0" collapsed="false">
      <c r="A6406" s="102"/>
      <c r="E6406" s="103" t="str">
        <f aca="false">IF($C6406="","",IFERROR(INDEX(المنيو!$C$2:$C$500,MATCH($C6406,المنيو!$B$2:$B$500,0)),0))</f>
        <v/>
      </c>
      <c r="F6406" s="103" t="str">
        <f aca="false">IF($C6406="","",$D6406*$E6406)</f>
        <v/>
      </c>
      <c r="G6406" s="103" t="str">
        <f aca="false">IF($C6406="","",$D6406*IFERROR(INDEX('تحليل التكلفة والسعر'!$C$2:$C$700,MATCH($C6406,'تحليل التكلفة والسعر'!$B$2:$B$700,0)),0))</f>
        <v/>
      </c>
    </row>
    <row r="6407" customFormat="false" ht="15" hidden="false" customHeight="false" outlineLevel="0" collapsed="false">
      <c r="A6407" s="102"/>
      <c r="E6407" s="103" t="str">
        <f aca="false">IF($C6407="","",IFERROR(INDEX(المنيو!$C$2:$C$500,MATCH($C6407,المنيو!$B$2:$B$500,0)),0))</f>
        <v/>
      </c>
      <c r="F6407" s="103" t="str">
        <f aca="false">IF($C6407="","",$D6407*$E6407)</f>
        <v/>
      </c>
      <c r="G6407" s="103" t="str">
        <f aca="false">IF($C6407="","",$D6407*IFERROR(INDEX('تحليل التكلفة والسعر'!$C$2:$C$700,MATCH($C6407,'تحليل التكلفة والسعر'!$B$2:$B$700,0)),0))</f>
        <v/>
      </c>
    </row>
    <row r="6408" customFormat="false" ht="15" hidden="false" customHeight="false" outlineLevel="0" collapsed="false">
      <c r="A6408" s="102"/>
      <c r="E6408" s="103" t="str">
        <f aca="false">IF($C6408="","",IFERROR(INDEX(المنيو!$C$2:$C$500,MATCH($C6408,المنيو!$B$2:$B$500,0)),0))</f>
        <v/>
      </c>
      <c r="F6408" s="103" t="str">
        <f aca="false">IF($C6408="","",$D6408*$E6408)</f>
        <v/>
      </c>
      <c r="G6408" s="103" t="str">
        <f aca="false">IF($C6408="","",$D6408*IFERROR(INDEX('تحليل التكلفة والسعر'!$C$2:$C$700,MATCH($C6408,'تحليل التكلفة والسعر'!$B$2:$B$700,0)),0))</f>
        <v/>
      </c>
    </row>
    <row r="6409" customFormat="false" ht="15" hidden="false" customHeight="false" outlineLevel="0" collapsed="false">
      <c r="A6409" s="102"/>
      <c r="E6409" s="103" t="str">
        <f aca="false">IF($C6409="","",IFERROR(INDEX(المنيو!$C$2:$C$500,MATCH($C6409,المنيو!$B$2:$B$500,0)),0))</f>
        <v/>
      </c>
      <c r="F6409" s="103" t="str">
        <f aca="false">IF($C6409="","",$D6409*$E6409)</f>
        <v/>
      </c>
      <c r="G6409" s="103" t="str">
        <f aca="false">IF($C6409="","",$D6409*IFERROR(INDEX('تحليل التكلفة والسعر'!$C$2:$C$700,MATCH($C6409,'تحليل التكلفة والسعر'!$B$2:$B$700,0)),0))</f>
        <v/>
      </c>
    </row>
    <row r="6410" customFormat="false" ht="15" hidden="false" customHeight="false" outlineLevel="0" collapsed="false">
      <c r="A6410" s="102"/>
      <c r="E6410" s="103" t="str">
        <f aca="false">IF($C6410="","",IFERROR(INDEX(المنيو!$C$2:$C$500,MATCH($C6410,المنيو!$B$2:$B$500,0)),0))</f>
        <v/>
      </c>
      <c r="F6410" s="103" t="str">
        <f aca="false">IF($C6410="","",$D6410*$E6410)</f>
        <v/>
      </c>
      <c r="G6410" s="103" t="str">
        <f aca="false">IF($C6410="","",$D6410*IFERROR(INDEX('تحليل التكلفة والسعر'!$C$2:$C$700,MATCH($C6410,'تحليل التكلفة والسعر'!$B$2:$B$700,0)),0))</f>
        <v/>
      </c>
    </row>
    <row r="6411" customFormat="false" ht="15" hidden="false" customHeight="false" outlineLevel="0" collapsed="false">
      <c r="A6411" s="102"/>
      <c r="E6411" s="103" t="str">
        <f aca="false">IF($C6411="","",IFERROR(INDEX(المنيو!$C$2:$C$500,MATCH($C6411,المنيو!$B$2:$B$500,0)),0))</f>
        <v/>
      </c>
      <c r="F6411" s="103" t="str">
        <f aca="false">IF($C6411="","",$D6411*$E6411)</f>
        <v/>
      </c>
      <c r="G6411" s="103" t="str">
        <f aca="false">IF($C6411="","",$D6411*IFERROR(INDEX('تحليل التكلفة والسعر'!$C$2:$C$700,MATCH($C6411,'تحليل التكلفة والسعر'!$B$2:$B$700,0)),0))</f>
        <v/>
      </c>
    </row>
    <row r="6412" customFormat="false" ht="15" hidden="false" customHeight="false" outlineLevel="0" collapsed="false">
      <c r="A6412" s="102"/>
      <c r="E6412" s="103" t="str">
        <f aca="false">IF($C6412="","",IFERROR(INDEX(المنيو!$C$2:$C$500,MATCH($C6412,المنيو!$B$2:$B$500,0)),0))</f>
        <v/>
      </c>
      <c r="F6412" s="103" t="str">
        <f aca="false">IF($C6412="","",$D6412*$E6412)</f>
        <v/>
      </c>
      <c r="G6412" s="103" t="str">
        <f aca="false">IF($C6412="","",$D6412*IFERROR(INDEX('تحليل التكلفة والسعر'!$C$2:$C$700,MATCH($C6412,'تحليل التكلفة والسعر'!$B$2:$B$700,0)),0))</f>
        <v/>
      </c>
    </row>
    <row r="6413" customFormat="false" ht="15" hidden="false" customHeight="false" outlineLevel="0" collapsed="false">
      <c r="A6413" s="102"/>
      <c r="E6413" s="103" t="str">
        <f aca="false">IF($C6413="","",IFERROR(INDEX(المنيو!$C$2:$C$500,MATCH($C6413,المنيو!$B$2:$B$500,0)),0))</f>
        <v/>
      </c>
      <c r="F6413" s="103" t="str">
        <f aca="false">IF($C6413="","",$D6413*$E6413)</f>
        <v/>
      </c>
      <c r="G6413" s="103" t="str">
        <f aca="false">IF($C6413="","",$D6413*IFERROR(INDEX('تحليل التكلفة والسعر'!$C$2:$C$700,MATCH($C6413,'تحليل التكلفة والسعر'!$B$2:$B$700,0)),0))</f>
        <v/>
      </c>
    </row>
    <row r="6414" customFormat="false" ht="15" hidden="false" customHeight="false" outlineLevel="0" collapsed="false">
      <c r="A6414" s="102"/>
      <c r="E6414" s="103" t="str">
        <f aca="false">IF($C6414="","",IFERROR(INDEX(المنيو!$C$2:$C$500,MATCH($C6414,المنيو!$B$2:$B$500,0)),0))</f>
        <v/>
      </c>
      <c r="F6414" s="103" t="str">
        <f aca="false">IF($C6414="","",$D6414*$E6414)</f>
        <v/>
      </c>
      <c r="G6414" s="103" t="str">
        <f aca="false">IF($C6414="","",$D6414*IFERROR(INDEX('تحليل التكلفة والسعر'!$C$2:$C$700,MATCH($C6414,'تحليل التكلفة والسعر'!$B$2:$B$700,0)),0))</f>
        <v/>
      </c>
    </row>
    <row r="6415" customFormat="false" ht="15" hidden="false" customHeight="false" outlineLevel="0" collapsed="false">
      <c r="A6415" s="102"/>
      <c r="E6415" s="103" t="str">
        <f aca="false">IF($C6415="","",IFERROR(INDEX(المنيو!$C$2:$C$500,MATCH($C6415,المنيو!$B$2:$B$500,0)),0))</f>
        <v/>
      </c>
      <c r="F6415" s="103" t="str">
        <f aca="false">IF($C6415="","",$D6415*$E6415)</f>
        <v/>
      </c>
      <c r="G6415" s="103" t="str">
        <f aca="false">IF($C6415="","",$D6415*IFERROR(INDEX('تحليل التكلفة والسعر'!$C$2:$C$700,MATCH($C6415,'تحليل التكلفة والسعر'!$B$2:$B$700,0)),0))</f>
        <v/>
      </c>
    </row>
    <row r="6416" customFormat="false" ht="15" hidden="false" customHeight="false" outlineLevel="0" collapsed="false">
      <c r="A6416" s="102"/>
      <c r="E6416" s="103" t="str">
        <f aca="false">IF($C6416="","",IFERROR(INDEX(المنيو!$C$2:$C$500,MATCH($C6416,المنيو!$B$2:$B$500,0)),0))</f>
        <v/>
      </c>
      <c r="F6416" s="103" t="str">
        <f aca="false">IF($C6416="","",$D6416*$E6416)</f>
        <v/>
      </c>
      <c r="G6416" s="103" t="str">
        <f aca="false">IF($C6416="","",$D6416*IFERROR(INDEX('تحليل التكلفة والسعر'!$C$2:$C$700,MATCH($C6416,'تحليل التكلفة والسعر'!$B$2:$B$700,0)),0))</f>
        <v/>
      </c>
    </row>
    <row r="6417" customFormat="false" ht="15" hidden="false" customHeight="false" outlineLevel="0" collapsed="false">
      <c r="A6417" s="102"/>
      <c r="E6417" s="103" t="str">
        <f aca="false">IF($C6417="","",IFERROR(INDEX(المنيو!$C$2:$C$500,MATCH($C6417,المنيو!$B$2:$B$500,0)),0))</f>
        <v/>
      </c>
      <c r="F6417" s="103" t="str">
        <f aca="false">IF($C6417="","",$D6417*$E6417)</f>
        <v/>
      </c>
      <c r="G6417" s="103" t="str">
        <f aca="false">IF($C6417="","",$D6417*IFERROR(INDEX('تحليل التكلفة والسعر'!$C$2:$C$700,MATCH($C6417,'تحليل التكلفة والسعر'!$B$2:$B$700,0)),0))</f>
        <v/>
      </c>
    </row>
    <row r="6418" customFormat="false" ht="15" hidden="false" customHeight="false" outlineLevel="0" collapsed="false">
      <c r="A6418" s="102"/>
      <c r="E6418" s="103" t="str">
        <f aca="false">IF($C6418="","",IFERROR(INDEX(المنيو!$C$2:$C$500,MATCH($C6418,المنيو!$B$2:$B$500,0)),0))</f>
        <v/>
      </c>
      <c r="F6418" s="103" t="str">
        <f aca="false">IF($C6418="","",$D6418*$E6418)</f>
        <v/>
      </c>
      <c r="G6418" s="103" t="str">
        <f aca="false">IF($C6418="","",$D6418*IFERROR(INDEX('تحليل التكلفة والسعر'!$C$2:$C$700,MATCH($C6418,'تحليل التكلفة والسعر'!$B$2:$B$700,0)),0))</f>
        <v/>
      </c>
    </row>
    <row r="6419" customFormat="false" ht="15" hidden="false" customHeight="false" outlineLevel="0" collapsed="false">
      <c r="A6419" s="102"/>
      <c r="E6419" s="103" t="str">
        <f aca="false">IF($C6419="","",IFERROR(INDEX(المنيو!$C$2:$C$500,MATCH($C6419,المنيو!$B$2:$B$500,0)),0))</f>
        <v/>
      </c>
      <c r="F6419" s="103" t="str">
        <f aca="false">IF($C6419="","",$D6419*$E6419)</f>
        <v/>
      </c>
      <c r="G6419" s="103" t="str">
        <f aca="false">IF($C6419="","",$D6419*IFERROR(INDEX('تحليل التكلفة والسعر'!$C$2:$C$700,MATCH($C6419,'تحليل التكلفة والسعر'!$B$2:$B$700,0)),0))</f>
        <v/>
      </c>
    </row>
    <row r="6420" customFormat="false" ht="15" hidden="false" customHeight="false" outlineLevel="0" collapsed="false">
      <c r="A6420" s="102"/>
      <c r="E6420" s="103" t="str">
        <f aca="false">IF($C6420="","",IFERROR(INDEX(المنيو!$C$2:$C$500,MATCH($C6420,المنيو!$B$2:$B$500,0)),0))</f>
        <v/>
      </c>
      <c r="F6420" s="103" t="str">
        <f aca="false">IF($C6420="","",$D6420*$E6420)</f>
        <v/>
      </c>
      <c r="G6420" s="103" t="str">
        <f aca="false">IF($C6420="","",$D6420*IFERROR(INDEX('تحليل التكلفة والسعر'!$C$2:$C$700,MATCH($C6420,'تحليل التكلفة والسعر'!$B$2:$B$700,0)),0))</f>
        <v/>
      </c>
    </row>
    <row r="6421" customFormat="false" ht="15" hidden="false" customHeight="false" outlineLevel="0" collapsed="false">
      <c r="A6421" s="102"/>
      <c r="E6421" s="103" t="str">
        <f aca="false">IF($C6421="","",IFERROR(INDEX(المنيو!$C$2:$C$500,MATCH($C6421,المنيو!$B$2:$B$500,0)),0))</f>
        <v/>
      </c>
      <c r="F6421" s="103" t="str">
        <f aca="false">IF($C6421="","",$D6421*$E6421)</f>
        <v/>
      </c>
      <c r="G6421" s="103" t="str">
        <f aca="false">IF($C6421="","",$D6421*IFERROR(INDEX('تحليل التكلفة والسعر'!$C$2:$C$700,MATCH($C6421,'تحليل التكلفة والسعر'!$B$2:$B$700,0)),0))</f>
        <v/>
      </c>
    </row>
    <row r="6422" customFormat="false" ht="15" hidden="false" customHeight="false" outlineLevel="0" collapsed="false">
      <c r="A6422" s="102"/>
      <c r="E6422" s="103" t="str">
        <f aca="false">IF($C6422="","",IFERROR(INDEX(المنيو!$C$2:$C$500,MATCH($C6422,المنيو!$B$2:$B$500,0)),0))</f>
        <v/>
      </c>
      <c r="F6422" s="103" t="str">
        <f aca="false">IF($C6422="","",$D6422*$E6422)</f>
        <v/>
      </c>
      <c r="G6422" s="103" t="str">
        <f aca="false">IF($C6422="","",$D6422*IFERROR(INDEX('تحليل التكلفة والسعر'!$C$2:$C$700,MATCH($C6422,'تحليل التكلفة والسعر'!$B$2:$B$700,0)),0))</f>
        <v/>
      </c>
    </row>
    <row r="6423" customFormat="false" ht="15" hidden="false" customHeight="false" outlineLevel="0" collapsed="false">
      <c r="A6423" s="102"/>
      <c r="E6423" s="103" t="str">
        <f aca="false">IF($C6423="","",IFERROR(INDEX(المنيو!$C$2:$C$500,MATCH($C6423,المنيو!$B$2:$B$500,0)),0))</f>
        <v/>
      </c>
      <c r="F6423" s="103" t="str">
        <f aca="false">IF($C6423="","",$D6423*$E6423)</f>
        <v/>
      </c>
      <c r="G6423" s="103" t="str">
        <f aca="false">IF($C6423="","",$D6423*IFERROR(INDEX('تحليل التكلفة والسعر'!$C$2:$C$700,MATCH($C6423,'تحليل التكلفة والسعر'!$B$2:$B$700,0)),0))</f>
        <v/>
      </c>
    </row>
    <row r="6424" customFormat="false" ht="15" hidden="false" customHeight="false" outlineLevel="0" collapsed="false">
      <c r="A6424" s="102"/>
      <c r="E6424" s="103" t="str">
        <f aca="false">IF($C6424="","",IFERROR(INDEX(المنيو!$C$2:$C$500,MATCH($C6424,المنيو!$B$2:$B$500,0)),0))</f>
        <v/>
      </c>
      <c r="F6424" s="103" t="str">
        <f aca="false">IF($C6424="","",$D6424*$E6424)</f>
        <v/>
      </c>
      <c r="G6424" s="103" t="str">
        <f aca="false">IF($C6424="","",$D6424*IFERROR(INDEX('تحليل التكلفة والسعر'!$C$2:$C$700,MATCH($C6424,'تحليل التكلفة والسعر'!$B$2:$B$700,0)),0))</f>
        <v/>
      </c>
    </row>
    <row r="6425" customFormat="false" ht="15" hidden="false" customHeight="false" outlineLevel="0" collapsed="false">
      <c r="A6425" s="102"/>
      <c r="E6425" s="103" t="str">
        <f aca="false">IF($C6425="","",IFERROR(INDEX(المنيو!$C$2:$C$500,MATCH($C6425,المنيو!$B$2:$B$500,0)),0))</f>
        <v/>
      </c>
      <c r="F6425" s="103" t="str">
        <f aca="false">IF($C6425="","",$D6425*$E6425)</f>
        <v/>
      </c>
      <c r="G6425" s="103" t="str">
        <f aca="false">IF($C6425="","",$D6425*IFERROR(INDEX('تحليل التكلفة والسعر'!$C$2:$C$700,MATCH($C6425,'تحليل التكلفة والسعر'!$B$2:$B$700,0)),0))</f>
        <v/>
      </c>
    </row>
    <row r="6426" customFormat="false" ht="15" hidden="false" customHeight="false" outlineLevel="0" collapsed="false">
      <c r="A6426" s="102"/>
      <c r="E6426" s="103" t="str">
        <f aca="false">IF($C6426="","",IFERROR(INDEX(المنيو!$C$2:$C$500,MATCH($C6426,المنيو!$B$2:$B$500,0)),0))</f>
        <v/>
      </c>
      <c r="F6426" s="103" t="str">
        <f aca="false">IF($C6426="","",$D6426*$E6426)</f>
        <v/>
      </c>
      <c r="G6426" s="103" t="str">
        <f aca="false">IF($C6426="","",$D6426*IFERROR(INDEX('تحليل التكلفة والسعر'!$C$2:$C$700,MATCH($C6426,'تحليل التكلفة والسعر'!$B$2:$B$700,0)),0))</f>
        <v/>
      </c>
    </row>
    <row r="6427" customFormat="false" ht="15" hidden="false" customHeight="false" outlineLevel="0" collapsed="false">
      <c r="A6427" s="102"/>
      <c r="E6427" s="103" t="str">
        <f aca="false">IF($C6427="","",IFERROR(INDEX(المنيو!$C$2:$C$500,MATCH($C6427,المنيو!$B$2:$B$500,0)),0))</f>
        <v/>
      </c>
      <c r="F6427" s="103" t="str">
        <f aca="false">IF($C6427="","",$D6427*$E6427)</f>
        <v/>
      </c>
      <c r="G6427" s="103" t="str">
        <f aca="false">IF($C6427="","",$D6427*IFERROR(INDEX('تحليل التكلفة والسعر'!$C$2:$C$700,MATCH($C6427,'تحليل التكلفة والسعر'!$B$2:$B$700,0)),0))</f>
        <v/>
      </c>
    </row>
    <row r="6428" customFormat="false" ht="15" hidden="false" customHeight="false" outlineLevel="0" collapsed="false">
      <c r="A6428" s="102"/>
      <c r="E6428" s="103" t="str">
        <f aca="false">IF($C6428="","",IFERROR(INDEX(المنيو!$C$2:$C$500,MATCH($C6428,المنيو!$B$2:$B$500,0)),0))</f>
        <v/>
      </c>
      <c r="F6428" s="103" t="str">
        <f aca="false">IF($C6428="","",$D6428*$E6428)</f>
        <v/>
      </c>
      <c r="G6428" s="103" t="str">
        <f aca="false">IF($C6428="","",$D6428*IFERROR(INDEX('تحليل التكلفة والسعر'!$C$2:$C$700,MATCH($C6428,'تحليل التكلفة والسعر'!$B$2:$B$700,0)),0))</f>
        <v/>
      </c>
    </row>
    <row r="6429" customFormat="false" ht="15" hidden="false" customHeight="false" outlineLevel="0" collapsed="false">
      <c r="A6429" s="102"/>
      <c r="E6429" s="103" t="str">
        <f aca="false">IF($C6429="","",IFERROR(INDEX(المنيو!$C$2:$C$500,MATCH($C6429,المنيو!$B$2:$B$500,0)),0))</f>
        <v/>
      </c>
      <c r="F6429" s="103" t="str">
        <f aca="false">IF($C6429="","",$D6429*$E6429)</f>
        <v/>
      </c>
      <c r="G6429" s="103" t="str">
        <f aca="false">IF($C6429="","",$D6429*IFERROR(INDEX('تحليل التكلفة والسعر'!$C$2:$C$700,MATCH($C6429,'تحليل التكلفة والسعر'!$B$2:$B$700,0)),0))</f>
        <v/>
      </c>
    </row>
    <row r="6430" customFormat="false" ht="15" hidden="false" customHeight="false" outlineLevel="0" collapsed="false">
      <c r="A6430" s="102"/>
      <c r="E6430" s="103" t="str">
        <f aca="false">IF($C6430="","",IFERROR(INDEX(المنيو!$C$2:$C$500,MATCH($C6430,المنيو!$B$2:$B$500,0)),0))</f>
        <v/>
      </c>
      <c r="F6430" s="103" t="str">
        <f aca="false">IF($C6430="","",$D6430*$E6430)</f>
        <v/>
      </c>
      <c r="G6430" s="103" t="str">
        <f aca="false">IF($C6430="","",$D6430*IFERROR(INDEX('تحليل التكلفة والسعر'!$C$2:$C$700,MATCH($C6430,'تحليل التكلفة والسعر'!$B$2:$B$700,0)),0))</f>
        <v/>
      </c>
    </row>
    <row r="6431" customFormat="false" ht="15" hidden="false" customHeight="false" outlineLevel="0" collapsed="false">
      <c r="A6431" s="102"/>
      <c r="E6431" s="103" t="str">
        <f aca="false">IF($C6431="","",IFERROR(INDEX(المنيو!$C$2:$C$500,MATCH($C6431,المنيو!$B$2:$B$500,0)),0))</f>
        <v/>
      </c>
      <c r="F6431" s="103" t="str">
        <f aca="false">IF($C6431="","",$D6431*$E6431)</f>
        <v/>
      </c>
      <c r="G6431" s="103" t="str">
        <f aca="false">IF($C6431="","",$D6431*IFERROR(INDEX('تحليل التكلفة والسعر'!$C$2:$C$700,MATCH($C6431,'تحليل التكلفة والسعر'!$B$2:$B$700,0)),0))</f>
        <v/>
      </c>
    </row>
    <row r="6432" customFormat="false" ht="15" hidden="false" customHeight="false" outlineLevel="0" collapsed="false">
      <c r="A6432" s="102"/>
      <c r="E6432" s="103" t="str">
        <f aca="false">IF($C6432="","",IFERROR(INDEX(المنيو!$C$2:$C$500,MATCH($C6432,المنيو!$B$2:$B$500,0)),0))</f>
        <v/>
      </c>
      <c r="F6432" s="103" t="str">
        <f aca="false">IF($C6432="","",$D6432*$E6432)</f>
        <v/>
      </c>
      <c r="G6432" s="103" t="str">
        <f aca="false">IF($C6432="","",$D6432*IFERROR(INDEX('تحليل التكلفة والسعر'!$C$2:$C$700,MATCH($C6432,'تحليل التكلفة والسعر'!$B$2:$B$700,0)),0))</f>
        <v/>
      </c>
    </row>
    <row r="6433" customFormat="false" ht="15" hidden="false" customHeight="false" outlineLevel="0" collapsed="false">
      <c r="A6433" s="102"/>
      <c r="E6433" s="103" t="str">
        <f aca="false">IF($C6433="","",IFERROR(INDEX(المنيو!$C$2:$C$500,MATCH($C6433,المنيو!$B$2:$B$500,0)),0))</f>
        <v/>
      </c>
      <c r="F6433" s="103" t="str">
        <f aca="false">IF($C6433="","",$D6433*$E6433)</f>
        <v/>
      </c>
      <c r="G6433" s="103" t="str">
        <f aca="false">IF($C6433="","",$D6433*IFERROR(INDEX('تحليل التكلفة والسعر'!$C$2:$C$700,MATCH($C6433,'تحليل التكلفة والسعر'!$B$2:$B$700,0)),0))</f>
        <v/>
      </c>
    </row>
    <row r="6434" customFormat="false" ht="15" hidden="false" customHeight="false" outlineLevel="0" collapsed="false">
      <c r="A6434" s="102"/>
      <c r="E6434" s="103" t="str">
        <f aca="false">IF($C6434="","",IFERROR(INDEX(المنيو!$C$2:$C$500,MATCH($C6434,المنيو!$B$2:$B$500,0)),0))</f>
        <v/>
      </c>
      <c r="F6434" s="103" t="str">
        <f aca="false">IF($C6434="","",$D6434*$E6434)</f>
        <v/>
      </c>
      <c r="G6434" s="103" t="str">
        <f aca="false">IF($C6434="","",$D6434*IFERROR(INDEX('تحليل التكلفة والسعر'!$C$2:$C$700,MATCH($C6434,'تحليل التكلفة والسعر'!$B$2:$B$700,0)),0))</f>
        <v/>
      </c>
    </row>
    <row r="6435" customFormat="false" ht="15" hidden="false" customHeight="false" outlineLevel="0" collapsed="false">
      <c r="A6435" s="102"/>
      <c r="E6435" s="103" t="str">
        <f aca="false">IF($C6435="","",IFERROR(INDEX(المنيو!$C$2:$C$500,MATCH($C6435,المنيو!$B$2:$B$500,0)),0))</f>
        <v/>
      </c>
      <c r="F6435" s="103" t="str">
        <f aca="false">IF($C6435="","",$D6435*$E6435)</f>
        <v/>
      </c>
      <c r="G6435" s="103" t="str">
        <f aca="false">IF($C6435="","",$D6435*IFERROR(INDEX('تحليل التكلفة والسعر'!$C$2:$C$700,MATCH($C6435,'تحليل التكلفة والسعر'!$B$2:$B$700,0)),0))</f>
        <v/>
      </c>
    </row>
    <row r="6436" customFormat="false" ht="15" hidden="false" customHeight="false" outlineLevel="0" collapsed="false">
      <c r="A6436" s="102"/>
      <c r="E6436" s="103" t="str">
        <f aca="false">IF($C6436="","",IFERROR(INDEX(المنيو!$C$2:$C$500,MATCH($C6436,المنيو!$B$2:$B$500,0)),0))</f>
        <v/>
      </c>
      <c r="F6436" s="103" t="str">
        <f aca="false">IF($C6436="","",$D6436*$E6436)</f>
        <v/>
      </c>
      <c r="G6436" s="103" t="str">
        <f aca="false">IF($C6436="","",$D6436*IFERROR(INDEX('تحليل التكلفة والسعر'!$C$2:$C$700,MATCH($C6436,'تحليل التكلفة والسعر'!$B$2:$B$700,0)),0))</f>
        <v/>
      </c>
    </row>
    <row r="6437" customFormat="false" ht="15" hidden="false" customHeight="false" outlineLevel="0" collapsed="false">
      <c r="A6437" s="102"/>
      <c r="E6437" s="103" t="str">
        <f aca="false">IF($C6437="","",IFERROR(INDEX(المنيو!$C$2:$C$500,MATCH($C6437,المنيو!$B$2:$B$500,0)),0))</f>
        <v/>
      </c>
      <c r="F6437" s="103" t="str">
        <f aca="false">IF($C6437="","",$D6437*$E6437)</f>
        <v/>
      </c>
      <c r="G6437" s="103" t="str">
        <f aca="false">IF($C6437="","",$D6437*IFERROR(INDEX('تحليل التكلفة والسعر'!$C$2:$C$700,MATCH($C6437,'تحليل التكلفة والسعر'!$B$2:$B$700,0)),0))</f>
        <v/>
      </c>
    </row>
    <row r="6438" customFormat="false" ht="15" hidden="false" customHeight="false" outlineLevel="0" collapsed="false">
      <c r="A6438" s="102"/>
      <c r="E6438" s="103" t="str">
        <f aca="false">IF($C6438="","",IFERROR(INDEX(المنيو!$C$2:$C$500,MATCH($C6438,المنيو!$B$2:$B$500,0)),0))</f>
        <v/>
      </c>
      <c r="F6438" s="103" t="str">
        <f aca="false">IF($C6438="","",$D6438*$E6438)</f>
        <v/>
      </c>
      <c r="G6438" s="103" t="str">
        <f aca="false">IF($C6438="","",$D6438*IFERROR(INDEX('تحليل التكلفة والسعر'!$C$2:$C$700,MATCH($C6438,'تحليل التكلفة والسعر'!$B$2:$B$700,0)),0))</f>
        <v/>
      </c>
    </row>
    <row r="6439" customFormat="false" ht="15" hidden="false" customHeight="false" outlineLevel="0" collapsed="false">
      <c r="A6439" s="102"/>
      <c r="E6439" s="103" t="str">
        <f aca="false">IF($C6439="","",IFERROR(INDEX(المنيو!$C$2:$C$500,MATCH($C6439,المنيو!$B$2:$B$500,0)),0))</f>
        <v/>
      </c>
      <c r="F6439" s="103" t="str">
        <f aca="false">IF($C6439="","",$D6439*$E6439)</f>
        <v/>
      </c>
      <c r="G6439" s="103" t="str">
        <f aca="false">IF($C6439="","",$D6439*IFERROR(INDEX('تحليل التكلفة والسعر'!$C$2:$C$700,MATCH($C6439,'تحليل التكلفة والسعر'!$B$2:$B$700,0)),0))</f>
        <v/>
      </c>
    </row>
    <row r="6440" customFormat="false" ht="15" hidden="false" customHeight="false" outlineLevel="0" collapsed="false">
      <c r="A6440" s="102"/>
      <c r="E6440" s="103" t="str">
        <f aca="false">IF($C6440="","",IFERROR(INDEX(المنيو!$C$2:$C$500,MATCH($C6440,المنيو!$B$2:$B$500,0)),0))</f>
        <v/>
      </c>
      <c r="F6440" s="103" t="str">
        <f aca="false">IF($C6440="","",$D6440*$E6440)</f>
        <v/>
      </c>
      <c r="G6440" s="103" t="str">
        <f aca="false">IF($C6440="","",$D6440*IFERROR(INDEX('تحليل التكلفة والسعر'!$C$2:$C$700,MATCH($C6440,'تحليل التكلفة والسعر'!$B$2:$B$700,0)),0))</f>
        <v/>
      </c>
    </row>
    <row r="6441" customFormat="false" ht="15" hidden="false" customHeight="false" outlineLevel="0" collapsed="false">
      <c r="A6441" s="102"/>
      <c r="E6441" s="103" t="str">
        <f aca="false">IF($C6441="","",IFERROR(INDEX(المنيو!$C$2:$C$500,MATCH($C6441,المنيو!$B$2:$B$500,0)),0))</f>
        <v/>
      </c>
      <c r="F6441" s="103" t="str">
        <f aca="false">IF($C6441="","",$D6441*$E6441)</f>
        <v/>
      </c>
      <c r="G6441" s="103" t="str">
        <f aca="false">IF($C6441="","",$D6441*IFERROR(INDEX('تحليل التكلفة والسعر'!$C$2:$C$700,MATCH($C6441,'تحليل التكلفة والسعر'!$B$2:$B$700,0)),0))</f>
        <v/>
      </c>
    </row>
    <row r="6442" customFormat="false" ht="15" hidden="false" customHeight="false" outlineLevel="0" collapsed="false">
      <c r="A6442" s="102"/>
      <c r="E6442" s="103" t="str">
        <f aca="false">IF($C6442="","",IFERROR(INDEX(المنيو!$C$2:$C$500,MATCH($C6442,المنيو!$B$2:$B$500,0)),0))</f>
        <v/>
      </c>
      <c r="F6442" s="103" t="str">
        <f aca="false">IF($C6442="","",$D6442*$E6442)</f>
        <v/>
      </c>
      <c r="G6442" s="103" t="str">
        <f aca="false">IF($C6442="","",$D6442*IFERROR(INDEX('تحليل التكلفة والسعر'!$C$2:$C$700,MATCH($C6442,'تحليل التكلفة والسعر'!$B$2:$B$700,0)),0))</f>
        <v/>
      </c>
    </row>
    <row r="6443" customFormat="false" ht="15" hidden="false" customHeight="false" outlineLevel="0" collapsed="false">
      <c r="A6443" s="102"/>
      <c r="E6443" s="103" t="str">
        <f aca="false">IF($C6443="","",IFERROR(INDEX(المنيو!$C$2:$C$500,MATCH($C6443,المنيو!$B$2:$B$500,0)),0))</f>
        <v/>
      </c>
      <c r="F6443" s="103" t="str">
        <f aca="false">IF($C6443="","",$D6443*$E6443)</f>
        <v/>
      </c>
      <c r="G6443" s="103" t="str">
        <f aca="false">IF($C6443="","",$D6443*IFERROR(INDEX('تحليل التكلفة والسعر'!$C$2:$C$700,MATCH($C6443,'تحليل التكلفة والسعر'!$B$2:$B$700,0)),0))</f>
        <v/>
      </c>
    </row>
    <row r="6444" customFormat="false" ht="15" hidden="false" customHeight="false" outlineLevel="0" collapsed="false">
      <c r="A6444" s="102"/>
      <c r="E6444" s="103" t="str">
        <f aca="false">IF($C6444="","",IFERROR(INDEX(المنيو!$C$2:$C$500,MATCH($C6444,المنيو!$B$2:$B$500,0)),0))</f>
        <v/>
      </c>
      <c r="F6444" s="103" t="str">
        <f aca="false">IF($C6444="","",$D6444*$E6444)</f>
        <v/>
      </c>
      <c r="G6444" s="103" t="str">
        <f aca="false">IF($C6444="","",$D6444*IFERROR(INDEX('تحليل التكلفة والسعر'!$C$2:$C$700,MATCH($C6444,'تحليل التكلفة والسعر'!$B$2:$B$700,0)),0))</f>
        <v/>
      </c>
    </row>
    <row r="6445" customFormat="false" ht="15" hidden="false" customHeight="false" outlineLevel="0" collapsed="false">
      <c r="A6445" s="102"/>
      <c r="E6445" s="103" t="str">
        <f aca="false">IF($C6445="","",IFERROR(INDEX(المنيو!$C$2:$C$500,MATCH($C6445,المنيو!$B$2:$B$500,0)),0))</f>
        <v/>
      </c>
      <c r="F6445" s="103" t="str">
        <f aca="false">IF($C6445="","",$D6445*$E6445)</f>
        <v/>
      </c>
      <c r="G6445" s="103" t="str">
        <f aca="false">IF($C6445="","",$D6445*IFERROR(INDEX('تحليل التكلفة والسعر'!$C$2:$C$700,MATCH($C6445,'تحليل التكلفة والسعر'!$B$2:$B$700,0)),0))</f>
        <v/>
      </c>
    </row>
    <row r="6446" customFormat="false" ht="15" hidden="false" customHeight="false" outlineLevel="0" collapsed="false">
      <c r="A6446" s="102"/>
      <c r="E6446" s="103" t="str">
        <f aca="false">IF($C6446="","",IFERROR(INDEX(المنيو!$C$2:$C$500,MATCH($C6446,المنيو!$B$2:$B$500,0)),0))</f>
        <v/>
      </c>
      <c r="F6446" s="103" t="str">
        <f aca="false">IF($C6446="","",$D6446*$E6446)</f>
        <v/>
      </c>
      <c r="G6446" s="103" t="str">
        <f aca="false">IF($C6446="","",$D6446*IFERROR(INDEX('تحليل التكلفة والسعر'!$C$2:$C$700,MATCH($C6446,'تحليل التكلفة والسعر'!$B$2:$B$700,0)),0))</f>
        <v/>
      </c>
    </row>
    <row r="6447" customFormat="false" ht="15" hidden="false" customHeight="false" outlineLevel="0" collapsed="false">
      <c r="A6447" s="102"/>
      <c r="E6447" s="103" t="str">
        <f aca="false">IF($C6447="","",IFERROR(INDEX(المنيو!$C$2:$C$500,MATCH($C6447,المنيو!$B$2:$B$500,0)),0))</f>
        <v/>
      </c>
      <c r="F6447" s="103" t="str">
        <f aca="false">IF($C6447="","",$D6447*$E6447)</f>
        <v/>
      </c>
      <c r="G6447" s="103" t="str">
        <f aca="false">IF($C6447="","",$D6447*IFERROR(INDEX('تحليل التكلفة والسعر'!$C$2:$C$700,MATCH($C6447,'تحليل التكلفة والسعر'!$B$2:$B$700,0)),0))</f>
        <v/>
      </c>
    </row>
    <row r="6448" customFormat="false" ht="15" hidden="false" customHeight="false" outlineLevel="0" collapsed="false">
      <c r="A6448" s="102"/>
      <c r="E6448" s="103" t="str">
        <f aca="false">IF($C6448="","",IFERROR(INDEX(المنيو!$C$2:$C$500,MATCH($C6448,المنيو!$B$2:$B$500,0)),0))</f>
        <v/>
      </c>
      <c r="F6448" s="103" t="str">
        <f aca="false">IF($C6448="","",$D6448*$E6448)</f>
        <v/>
      </c>
      <c r="G6448" s="103" t="str">
        <f aca="false">IF($C6448="","",$D6448*IFERROR(INDEX('تحليل التكلفة والسعر'!$C$2:$C$700,MATCH($C6448,'تحليل التكلفة والسعر'!$B$2:$B$700,0)),0))</f>
        <v/>
      </c>
    </row>
    <row r="6449" customFormat="false" ht="15" hidden="false" customHeight="false" outlineLevel="0" collapsed="false">
      <c r="A6449" s="102"/>
      <c r="E6449" s="103" t="str">
        <f aca="false">IF($C6449="","",IFERROR(INDEX(المنيو!$C$2:$C$500,MATCH($C6449,المنيو!$B$2:$B$500,0)),0))</f>
        <v/>
      </c>
      <c r="F6449" s="103" t="str">
        <f aca="false">IF($C6449="","",$D6449*$E6449)</f>
        <v/>
      </c>
      <c r="G6449" s="103" t="str">
        <f aca="false">IF($C6449="","",$D6449*IFERROR(INDEX('تحليل التكلفة والسعر'!$C$2:$C$700,MATCH($C6449,'تحليل التكلفة والسعر'!$B$2:$B$700,0)),0))</f>
        <v/>
      </c>
    </row>
    <row r="6450" customFormat="false" ht="15" hidden="false" customHeight="false" outlineLevel="0" collapsed="false">
      <c r="A6450" s="102"/>
      <c r="E6450" s="103" t="str">
        <f aca="false">IF($C6450="","",IFERROR(INDEX(المنيو!$C$2:$C$500,MATCH($C6450,المنيو!$B$2:$B$500,0)),0))</f>
        <v/>
      </c>
      <c r="F6450" s="103" t="str">
        <f aca="false">IF($C6450="","",$D6450*$E6450)</f>
        <v/>
      </c>
      <c r="G6450" s="103" t="str">
        <f aca="false">IF($C6450="","",$D6450*IFERROR(INDEX('تحليل التكلفة والسعر'!$C$2:$C$700,MATCH($C6450,'تحليل التكلفة والسعر'!$B$2:$B$700,0)),0))</f>
        <v/>
      </c>
    </row>
    <row r="6451" customFormat="false" ht="15" hidden="false" customHeight="false" outlineLevel="0" collapsed="false">
      <c r="A6451" s="102"/>
      <c r="E6451" s="103" t="str">
        <f aca="false">IF($C6451="","",IFERROR(INDEX(المنيو!$C$2:$C$500,MATCH($C6451,المنيو!$B$2:$B$500,0)),0))</f>
        <v/>
      </c>
      <c r="F6451" s="103" t="str">
        <f aca="false">IF($C6451="","",$D6451*$E6451)</f>
        <v/>
      </c>
      <c r="G6451" s="103" t="str">
        <f aca="false">IF($C6451="","",$D6451*IFERROR(INDEX('تحليل التكلفة والسعر'!$C$2:$C$700,MATCH($C6451,'تحليل التكلفة والسعر'!$B$2:$B$700,0)),0))</f>
        <v/>
      </c>
    </row>
    <row r="6452" customFormat="false" ht="15" hidden="false" customHeight="false" outlineLevel="0" collapsed="false">
      <c r="A6452" s="102"/>
      <c r="E6452" s="103" t="str">
        <f aca="false">IF($C6452="","",IFERROR(INDEX(المنيو!$C$2:$C$500,MATCH($C6452,المنيو!$B$2:$B$500,0)),0))</f>
        <v/>
      </c>
      <c r="F6452" s="103" t="str">
        <f aca="false">IF($C6452="","",$D6452*$E6452)</f>
        <v/>
      </c>
      <c r="G6452" s="103" t="str">
        <f aca="false">IF($C6452="","",$D6452*IFERROR(INDEX('تحليل التكلفة والسعر'!$C$2:$C$700,MATCH($C6452,'تحليل التكلفة والسعر'!$B$2:$B$700,0)),0))</f>
        <v/>
      </c>
    </row>
    <row r="6453" customFormat="false" ht="15" hidden="false" customHeight="false" outlineLevel="0" collapsed="false">
      <c r="A6453" s="102"/>
      <c r="E6453" s="103" t="str">
        <f aca="false">IF($C6453="","",IFERROR(INDEX(المنيو!$C$2:$C$500,MATCH($C6453,المنيو!$B$2:$B$500,0)),0))</f>
        <v/>
      </c>
      <c r="F6453" s="103" t="str">
        <f aca="false">IF($C6453="","",$D6453*$E6453)</f>
        <v/>
      </c>
      <c r="G6453" s="103" t="str">
        <f aca="false">IF($C6453="","",$D6453*IFERROR(INDEX('تحليل التكلفة والسعر'!$C$2:$C$700,MATCH($C6453,'تحليل التكلفة والسعر'!$B$2:$B$700,0)),0))</f>
        <v/>
      </c>
    </row>
    <row r="6454" customFormat="false" ht="15" hidden="false" customHeight="false" outlineLevel="0" collapsed="false">
      <c r="A6454" s="102"/>
      <c r="E6454" s="103" t="str">
        <f aca="false">IF($C6454="","",IFERROR(INDEX(المنيو!$C$2:$C$500,MATCH($C6454,المنيو!$B$2:$B$500,0)),0))</f>
        <v/>
      </c>
      <c r="F6454" s="103" t="str">
        <f aca="false">IF($C6454="","",$D6454*$E6454)</f>
        <v/>
      </c>
      <c r="G6454" s="103" t="str">
        <f aca="false">IF($C6454="","",$D6454*IFERROR(INDEX('تحليل التكلفة والسعر'!$C$2:$C$700,MATCH($C6454,'تحليل التكلفة والسعر'!$B$2:$B$700,0)),0))</f>
        <v/>
      </c>
    </row>
    <row r="6455" customFormat="false" ht="15" hidden="false" customHeight="false" outlineLevel="0" collapsed="false">
      <c r="A6455" s="102"/>
      <c r="E6455" s="103" t="str">
        <f aca="false">IF($C6455="","",IFERROR(INDEX(المنيو!$C$2:$C$500,MATCH($C6455,المنيو!$B$2:$B$500,0)),0))</f>
        <v/>
      </c>
      <c r="F6455" s="103" t="str">
        <f aca="false">IF($C6455="","",$D6455*$E6455)</f>
        <v/>
      </c>
      <c r="G6455" s="103" t="str">
        <f aca="false">IF($C6455="","",$D6455*IFERROR(INDEX('تحليل التكلفة والسعر'!$C$2:$C$700,MATCH($C6455,'تحليل التكلفة والسعر'!$B$2:$B$700,0)),0))</f>
        <v/>
      </c>
    </row>
    <row r="6456" customFormat="false" ht="15" hidden="false" customHeight="false" outlineLevel="0" collapsed="false">
      <c r="A6456" s="102"/>
      <c r="E6456" s="103" t="str">
        <f aca="false">IF($C6456="","",IFERROR(INDEX(المنيو!$C$2:$C$500,MATCH($C6456,المنيو!$B$2:$B$500,0)),0))</f>
        <v/>
      </c>
      <c r="F6456" s="103" t="str">
        <f aca="false">IF($C6456="","",$D6456*$E6456)</f>
        <v/>
      </c>
      <c r="G6456" s="103" t="str">
        <f aca="false">IF($C6456="","",$D6456*IFERROR(INDEX('تحليل التكلفة والسعر'!$C$2:$C$700,MATCH($C6456,'تحليل التكلفة والسعر'!$B$2:$B$700,0)),0))</f>
        <v/>
      </c>
    </row>
    <row r="6457" customFormat="false" ht="15" hidden="false" customHeight="false" outlineLevel="0" collapsed="false">
      <c r="A6457" s="102"/>
      <c r="E6457" s="103" t="str">
        <f aca="false">IF($C6457="","",IFERROR(INDEX(المنيو!$C$2:$C$500,MATCH($C6457,المنيو!$B$2:$B$500,0)),0))</f>
        <v/>
      </c>
      <c r="F6457" s="103" t="str">
        <f aca="false">IF($C6457="","",$D6457*$E6457)</f>
        <v/>
      </c>
      <c r="G6457" s="103" t="str">
        <f aca="false">IF($C6457="","",$D6457*IFERROR(INDEX('تحليل التكلفة والسعر'!$C$2:$C$700,MATCH($C6457,'تحليل التكلفة والسعر'!$B$2:$B$700,0)),0))</f>
        <v/>
      </c>
    </row>
    <row r="6458" customFormat="false" ht="15" hidden="false" customHeight="false" outlineLevel="0" collapsed="false">
      <c r="A6458" s="102"/>
      <c r="E6458" s="103" t="str">
        <f aca="false">IF($C6458="","",IFERROR(INDEX(المنيو!$C$2:$C$500,MATCH($C6458,المنيو!$B$2:$B$500,0)),0))</f>
        <v/>
      </c>
      <c r="F6458" s="103" t="str">
        <f aca="false">IF($C6458="","",$D6458*$E6458)</f>
        <v/>
      </c>
      <c r="G6458" s="103" t="str">
        <f aca="false">IF($C6458="","",$D6458*IFERROR(INDEX('تحليل التكلفة والسعر'!$C$2:$C$700,MATCH($C6458,'تحليل التكلفة والسعر'!$B$2:$B$700,0)),0))</f>
        <v/>
      </c>
    </row>
    <row r="6459" customFormat="false" ht="15" hidden="false" customHeight="false" outlineLevel="0" collapsed="false">
      <c r="A6459" s="102"/>
      <c r="E6459" s="103" t="str">
        <f aca="false">IF($C6459="","",IFERROR(INDEX(المنيو!$C$2:$C$500,MATCH($C6459,المنيو!$B$2:$B$500,0)),0))</f>
        <v/>
      </c>
      <c r="F6459" s="103" t="str">
        <f aca="false">IF($C6459="","",$D6459*$E6459)</f>
        <v/>
      </c>
      <c r="G6459" s="103" t="str">
        <f aca="false">IF($C6459="","",$D6459*IFERROR(INDEX('تحليل التكلفة والسعر'!$C$2:$C$700,MATCH($C6459,'تحليل التكلفة والسعر'!$B$2:$B$700,0)),0))</f>
        <v/>
      </c>
    </row>
    <row r="6460" customFormat="false" ht="15" hidden="false" customHeight="false" outlineLevel="0" collapsed="false">
      <c r="A6460" s="102"/>
      <c r="E6460" s="103" t="str">
        <f aca="false">IF($C6460="","",IFERROR(INDEX(المنيو!$C$2:$C$500,MATCH($C6460,المنيو!$B$2:$B$500,0)),0))</f>
        <v/>
      </c>
      <c r="F6460" s="103" t="str">
        <f aca="false">IF($C6460="","",$D6460*$E6460)</f>
        <v/>
      </c>
      <c r="G6460" s="103" t="str">
        <f aca="false">IF($C6460="","",$D6460*IFERROR(INDEX('تحليل التكلفة والسعر'!$C$2:$C$700,MATCH($C6460,'تحليل التكلفة والسعر'!$B$2:$B$700,0)),0))</f>
        <v/>
      </c>
    </row>
    <row r="6461" customFormat="false" ht="15" hidden="false" customHeight="false" outlineLevel="0" collapsed="false">
      <c r="A6461" s="102"/>
      <c r="E6461" s="103" t="str">
        <f aca="false">IF($C6461="","",IFERROR(INDEX(المنيو!$C$2:$C$500,MATCH($C6461,المنيو!$B$2:$B$500,0)),0))</f>
        <v/>
      </c>
      <c r="F6461" s="103" t="str">
        <f aca="false">IF($C6461="","",$D6461*$E6461)</f>
        <v/>
      </c>
      <c r="G6461" s="103" t="str">
        <f aca="false">IF($C6461="","",$D6461*IFERROR(INDEX('تحليل التكلفة والسعر'!$C$2:$C$700,MATCH($C6461,'تحليل التكلفة والسعر'!$B$2:$B$700,0)),0))</f>
        <v/>
      </c>
    </row>
    <row r="6462" customFormat="false" ht="15" hidden="false" customHeight="false" outlineLevel="0" collapsed="false">
      <c r="A6462" s="102"/>
      <c r="E6462" s="103" t="str">
        <f aca="false">IF($C6462="","",IFERROR(INDEX(المنيو!$C$2:$C$500,MATCH($C6462,المنيو!$B$2:$B$500,0)),0))</f>
        <v/>
      </c>
      <c r="F6462" s="103" t="str">
        <f aca="false">IF($C6462="","",$D6462*$E6462)</f>
        <v/>
      </c>
      <c r="G6462" s="103" t="str">
        <f aca="false">IF($C6462="","",$D6462*IFERROR(INDEX('تحليل التكلفة والسعر'!$C$2:$C$700,MATCH($C6462,'تحليل التكلفة والسعر'!$B$2:$B$700,0)),0))</f>
        <v/>
      </c>
    </row>
    <row r="6463" customFormat="false" ht="15" hidden="false" customHeight="false" outlineLevel="0" collapsed="false">
      <c r="A6463" s="102"/>
      <c r="E6463" s="103" t="str">
        <f aca="false">IF($C6463="","",IFERROR(INDEX(المنيو!$C$2:$C$500,MATCH($C6463,المنيو!$B$2:$B$500,0)),0))</f>
        <v/>
      </c>
      <c r="F6463" s="103" t="str">
        <f aca="false">IF($C6463="","",$D6463*$E6463)</f>
        <v/>
      </c>
      <c r="G6463" s="103" t="str">
        <f aca="false">IF($C6463="","",$D6463*IFERROR(INDEX('تحليل التكلفة والسعر'!$C$2:$C$700,MATCH($C6463,'تحليل التكلفة والسعر'!$B$2:$B$700,0)),0))</f>
        <v/>
      </c>
    </row>
    <row r="6464" customFormat="false" ht="15" hidden="false" customHeight="false" outlineLevel="0" collapsed="false">
      <c r="A6464" s="102"/>
      <c r="E6464" s="103" t="str">
        <f aca="false">IF($C6464="","",IFERROR(INDEX(المنيو!$C$2:$C$500,MATCH($C6464,المنيو!$B$2:$B$500,0)),0))</f>
        <v/>
      </c>
      <c r="F6464" s="103" t="str">
        <f aca="false">IF($C6464="","",$D6464*$E6464)</f>
        <v/>
      </c>
      <c r="G6464" s="103" t="str">
        <f aca="false">IF($C6464="","",$D6464*IFERROR(INDEX('تحليل التكلفة والسعر'!$C$2:$C$700,MATCH($C6464,'تحليل التكلفة والسعر'!$B$2:$B$700,0)),0))</f>
        <v/>
      </c>
    </row>
    <row r="6465" customFormat="false" ht="15" hidden="false" customHeight="false" outlineLevel="0" collapsed="false">
      <c r="A6465" s="102"/>
      <c r="E6465" s="103" t="str">
        <f aca="false">IF($C6465="","",IFERROR(INDEX(المنيو!$C$2:$C$500,MATCH($C6465,المنيو!$B$2:$B$500,0)),0))</f>
        <v/>
      </c>
      <c r="F6465" s="103" t="str">
        <f aca="false">IF($C6465="","",$D6465*$E6465)</f>
        <v/>
      </c>
      <c r="G6465" s="103" t="str">
        <f aca="false">IF($C6465="","",$D6465*IFERROR(INDEX('تحليل التكلفة والسعر'!$C$2:$C$700,MATCH($C6465,'تحليل التكلفة والسعر'!$B$2:$B$700,0)),0))</f>
        <v/>
      </c>
    </row>
    <row r="6466" customFormat="false" ht="15" hidden="false" customHeight="false" outlineLevel="0" collapsed="false">
      <c r="A6466" s="102"/>
      <c r="E6466" s="103" t="str">
        <f aca="false">IF($C6466="","",IFERROR(INDEX(المنيو!$C$2:$C$500,MATCH($C6466,المنيو!$B$2:$B$500,0)),0))</f>
        <v/>
      </c>
      <c r="F6466" s="103" t="str">
        <f aca="false">IF($C6466="","",$D6466*$E6466)</f>
        <v/>
      </c>
      <c r="G6466" s="103" t="str">
        <f aca="false">IF($C6466="","",$D6466*IFERROR(INDEX('تحليل التكلفة والسعر'!$C$2:$C$700,MATCH($C6466,'تحليل التكلفة والسعر'!$B$2:$B$700,0)),0))</f>
        <v/>
      </c>
    </row>
    <row r="6467" customFormat="false" ht="15" hidden="false" customHeight="false" outlineLevel="0" collapsed="false">
      <c r="A6467" s="102"/>
      <c r="E6467" s="103" t="str">
        <f aca="false">IF($C6467="","",IFERROR(INDEX(المنيو!$C$2:$C$500,MATCH($C6467,المنيو!$B$2:$B$500,0)),0))</f>
        <v/>
      </c>
      <c r="F6467" s="103" t="str">
        <f aca="false">IF($C6467="","",$D6467*$E6467)</f>
        <v/>
      </c>
      <c r="G6467" s="103" t="str">
        <f aca="false">IF($C6467="","",$D6467*IFERROR(INDEX('تحليل التكلفة والسعر'!$C$2:$C$700,MATCH($C6467,'تحليل التكلفة والسعر'!$B$2:$B$700,0)),0))</f>
        <v/>
      </c>
    </row>
    <row r="6468" customFormat="false" ht="15" hidden="false" customHeight="false" outlineLevel="0" collapsed="false">
      <c r="A6468" s="102"/>
      <c r="E6468" s="103" t="str">
        <f aca="false">IF($C6468="","",IFERROR(INDEX(المنيو!$C$2:$C$500,MATCH($C6468,المنيو!$B$2:$B$500,0)),0))</f>
        <v/>
      </c>
      <c r="F6468" s="103" t="str">
        <f aca="false">IF($C6468="","",$D6468*$E6468)</f>
        <v/>
      </c>
      <c r="G6468" s="103" t="str">
        <f aca="false">IF($C6468="","",$D6468*IFERROR(INDEX('تحليل التكلفة والسعر'!$C$2:$C$700,MATCH($C6468,'تحليل التكلفة والسعر'!$B$2:$B$700,0)),0))</f>
        <v/>
      </c>
    </row>
    <row r="6469" customFormat="false" ht="15" hidden="false" customHeight="false" outlineLevel="0" collapsed="false">
      <c r="A6469" s="102"/>
      <c r="E6469" s="103" t="str">
        <f aca="false">IF($C6469="","",IFERROR(INDEX(المنيو!$C$2:$C$500,MATCH($C6469,المنيو!$B$2:$B$500,0)),0))</f>
        <v/>
      </c>
      <c r="F6469" s="103" t="str">
        <f aca="false">IF($C6469="","",$D6469*$E6469)</f>
        <v/>
      </c>
      <c r="G6469" s="103" t="str">
        <f aca="false">IF($C6469="","",$D6469*IFERROR(INDEX('تحليل التكلفة والسعر'!$C$2:$C$700,MATCH($C6469,'تحليل التكلفة والسعر'!$B$2:$B$700,0)),0))</f>
        <v/>
      </c>
    </row>
    <row r="6470" customFormat="false" ht="15" hidden="false" customHeight="false" outlineLevel="0" collapsed="false">
      <c r="A6470" s="102"/>
      <c r="E6470" s="103" t="str">
        <f aca="false">IF($C6470="","",IFERROR(INDEX(المنيو!$C$2:$C$500,MATCH($C6470,المنيو!$B$2:$B$500,0)),0))</f>
        <v/>
      </c>
      <c r="F6470" s="103" t="str">
        <f aca="false">IF($C6470="","",$D6470*$E6470)</f>
        <v/>
      </c>
      <c r="G6470" s="103" t="str">
        <f aca="false">IF($C6470="","",$D6470*IFERROR(INDEX('تحليل التكلفة والسعر'!$C$2:$C$700,MATCH($C6470,'تحليل التكلفة والسعر'!$B$2:$B$700,0)),0))</f>
        <v/>
      </c>
    </row>
    <row r="6471" customFormat="false" ht="15" hidden="false" customHeight="false" outlineLevel="0" collapsed="false">
      <c r="A6471" s="102"/>
      <c r="E6471" s="103" t="str">
        <f aca="false">IF($C6471="","",IFERROR(INDEX(المنيو!$C$2:$C$500,MATCH($C6471,المنيو!$B$2:$B$500,0)),0))</f>
        <v/>
      </c>
      <c r="F6471" s="103" t="str">
        <f aca="false">IF($C6471="","",$D6471*$E6471)</f>
        <v/>
      </c>
      <c r="G6471" s="103" t="str">
        <f aca="false">IF($C6471="","",$D6471*IFERROR(INDEX('تحليل التكلفة والسعر'!$C$2:$C$700,MATCH($C6471,'تحليل التكلفة والسعر'!$B$2:$B$700,0)),0))</f>
        <v/>
      </c>
    </row>
    <row r="6472" customFormat="false" ht="15" hidden="false" customHeight="false" outlineLevel="0" collapsed="false">
      <c r="A6472" s="102"/>
      <c r="E6472" s="103" t="str">
        <f aca="false">IF($C6472="","",IFERROR(INDEX(المنيو!$C$2:$C$500,MATCH($C6472,المنيو!$B$2:$B$500,0)),0))</f>
        <v/>
      </c>
      <c r="F6472" s="103" t="str">
        <f aca="false">IF($C6472="","",$D6472*$E6472)</f>
        <v/>
      </c>
      <c r="G6472" s="103" t="str">
        <f aca="false">IF($C6472="","",$D6472*IFERROR(INDEX('تحليل التكلفة والسعر'!$C$2:$C$700,MATCH($C6472,'تحليل التكلفة والسعر'!$B$2:$B$700,0)),0))</f>
        <v/>
      </c>
    </row>
    <row r="6473" customFormat="false" ht="15" hidden="false" customHeight="false" outlineLevel="0" collapsed="false">
      <c r="A6473" s="102"/>
      <c r="E6473" s="103" t="str">
        <f aca="false">IF($C6473="","",IFERROR(INDEX(المنيو!$C$2:$C$500,MATCH($C6473,المنيو!$B$2:$B$500,0)),0))</f>
        <v/>
      </c>
      <c r="F6473" s="103" t="str">
        <f aca="false">IF($C6473="","",$D6473*$E6473)</f>
        <v/>
      </c>
      <c r="G6473" s="103" t="str">
        <f aca="false">IF($C6473="","",$D6473*IFERROR(INDEX('تحليل التكلفة والسعر'!$C$2:$C$700,MATCH($C6473,'تحليل التكلفة والسعر'!$B$2:$B$700,0)),0))</f>
        <v/>
      </c>
    </row>
    <row r="6474" customFormat="false" ht="15" hidden="false" customHeight="false" outlineLevel="0" collapsed="false">
      <c r="A6474" s="102"/>
      <c r="E6474" s="103" t="str">
        <f aca="false">IF($C6474="","",IFERROR(INDEX(المنيو!$C$2:$C$500,MATCH($C6474,المنيو!$B$2:$B$500,0)),0))</f>
        <v/>
      </c>
      <c r="F6474" s="103" t="str">
        <f aca="false">IF($C6474="","",$D6474*$E6474)</f>
        <v/>
      </c>
      <c r="G6474" s="103" t="str">
        <f aca="false">IF($C6474="","",$D6474*IFERROR(INDEX('تحليل التكلفة والسعر'!$C$2:$C$700,MATCH($C6474,'تحليل التكلفة والسعر'!$B$2:$B$700,0)),0))</f>
        <v/>
      </c>
    </row>
    <row r="6475" customFormat="false" ht="15" hidden="false" customHeight="false" outlineLevel="0" collapsed="false">
      <c r="A6475" s="102"/>
      <c r="E6475" s="103" t="str">
        <f aca="false">IF($C6475="","",IFERROR(INDEX(المنيو!$C$2:$C$500,MATCH($C6475,المنيو!$B$2:$B$500,0)),0))</f>
        <v/>
      </c>
      <c r="F6475" s="103" t="str">
        <f aca="false">IF($C6475="","",$D6475*$E6475)</f>
        <v/>
      </c>
      <c r="G6475" s="103" t="str">
        <f aca="false">IF($C6475="","",$D6475*IFERROR(INDEX('تحليل التكلفة والسعر'!$C$2:$C$700,MATCH($C6475,'تحليل التكلفة والسعر'!$B$2:$B$700,0)),0))</f>
        <v/>
      </c>
    </row>
    <row r="6476" customFormat="false" ht="15" hidden="false" customHeight="false" outlineLevel="0" collapsed="false">
      <c r="A6476" s="102"/>
      <c r="E6476" s="103" t="str">
        <f aca="false">IF($C6476="","",IFERROR(INDEX(المنيو!$C$2:$C$500,MATCH($C6476,المنيو!$B$2:$B$500,0)),0))</f>
        <v/>
      </c>
      <c r="F6476" s="103" t="str">
        <f aca="false">IF($C6476="","",$D6476*$E6476)</f>
        <v/>
      </c>
      <c r="G6476" s="103" t="str">
        <f aca="false">IF($C6476="","",$D6476*IFERROR(INDEX('تحليل التكلفة والسعر'!$C$2:$C$700,MATCH($C6476,'تحليل التكلفة والسعر'!$B$2:$B$700,0)),0))</f>
        <v/>
      </c>
    </row>
    <row r="6477" customFormat="false" ht="15" hidden="false" customHeight="false" outlineLevel="0" collapsed="false">
      <c r="A6477" s="102"/>
      <c r="E6477" s="103" t="str">
        <f aca="false">IF($C6477="","",IFERROR(INDEX(المنيو!$C$2:$C$500,MATCH($C6477,المنيو!$B$2:$B$500,0)),0))</f>
        <v/>
      </c>
      <c r="F6477" s="103" t="str">
        <f aca="false">IF($C6477="","",$D6477*$E6477)</f>
        <v/>
      </c>
      <c r="G6477" s="103" t="str">
        <f aca="false">IF($C6477="","",$D6477*IFERROR(INDEX('تحليل التكلفة والسعر'!$C$2:$C$700,MATCH($C6477,'تحليل التكلفة والسعر'!$B$2:$B$700,0)),0))</f>
        <v/>
      </c>
    </row>
    <row r="6478" customFormat="false" ht="15" hidden="false" customHeight="false" outlineLevel="0" collapsed="false">
      <c r="A6478" s="102"/>
      <c r="E6478" s="103" t="str">
        <f aca="false">IF($C6478="","",IFERROR(INDEX(المنيو!$C$2:$C$500,MATCH($C6478,المنيو!$B$2:$B$500,0)),0))</f>
        <v/>
      </c>
      <c r="F6478" s="103" t="str">
        <f aca="false">IF($C6478="","",$D6478*$E6478)</f>
        <v/>
      </c>
      <c r="G6478" s="103" t="str">
        <f aca="false">IF($C6478="","",$D6478*IFERROR(INDEX('تحليل التكلفة والسعر'!$C$2:$C$700,MATCH($C6478,'تحليل التكلفة والسعر'!$B$2:$B$700,0)),0))</f>
        <v/>
      </c>
    </row>
    <row r="6479" customFormat="false" ht="15" hidden="false" customHeight="false" outlineLevel="0" collapsed="false">
      <c r="A6479" s="102"/>
      <c r="E6479" s="103" t="str">
        <f aca="false">IF($C6479="","",IFERROR(INDEX(المنيو!$C$2:$C$500,MATCH($C6479,المنيو!$B$2:$B$500,0)),0))</f>
        <v/>
      </c>
      <c r="F6479" s="103" t="str">
        <f aca="false">IF($C6479="","",$D6479*$E6479)</f>
        <v/>
      </c>
      <c r="G6479" s="103" t="str">
        <f aca="false">IF($C6479="","",$D6479*IFERROR(INDEX('تحليل التكلفة والسعر'!$C$2:$C$700,MATCH($C6479,'تحليل التكلفة والسعر'!$B$2:$B$700,0)),0))</f>
        <v/>
      </c>
    </row>
    <row r="6480" customFormat="false" ht="15" hidden="false" customHeight="false" outlineLevel="0" collapsed="false">
      <c r="A6480" s="102"/>
      <c r="E6480" s="103" t="str">
        <f aca="false">IF($C6480="","",IFERROR(INDEX(المنيو!$C$2:$C$500,MATCH($C6480,المنيو!$B$2:$B$500,0)),0))</f>
        <v/>
      </c>
      <c r="F6480" s="103" t="str">
        <f aca="false">IF($C6480="","",$D6480*$E6480)</f>
        <v/>
      </c>
      <c r="G6480" s="103" t="str">
        <f aca="false">IF($C6480="","",$D6480*IFERROR(INDEX('تحليل التكلفة والسعر'!$C$2:$C$700,MATCH($C6480,'تحليل التكلفة والسعر'!$B$2:$B$700,0)),0))</f>
        <v/>
      </c>
    </row>
    <row r="6481" customFormat="false" ht="15" hidden="false" customHeight="false" outlineLevel="0" collapsed="false">
      <c r="A6481" s="102"/>
      <c r="E6481" s="103" t="str">
        <f aca="false">IF($C6481="","",IFERROR(INDEX(المنيو!$C$2:$C$500,MATCH($C6481,المنيو!$B$2:$B$500,0)),0))</f>
        <v/>
      </c>
      <c r="F6481" s="103" t="str">
        <f aca="false">IF($C6481="","",$D6481*$E6481)</f>
        <v/>
      </c>
      <c r="G6481" s="103" t="str">
        <f aca="false">IF($C6481="","",$D6481*IFERROR(INDEX('تحليل التكلفة والسعر'!$C$2:$C$700,MATCH($C6481,'تحليل التكلفة والسعر'!$B$2:$B$700,0)),0))</f>
        <v/>
      </c>
    </row>
    <row r="6482" customFormat="false" ht="15" hidden="false" customHeight="false" outlineLevel="0" collapsed="false">
      <c r="A6482" s="102"/>
      <c r="E6482" s="103" t="str">
        <f aca="false">IF($C6482="","",IFERROR(INDEX(المنيو!$C$2:$C$500,MATCH($C6482,المنيو!$B$2:$B$500,0)),0))</f>
        <v/>
      </c>
      <c r="F6482" s="103" t="str">
        <f aca="false">IF($C6482="","",$D6482*$E6482)</f>
        <v/>
      </c>
      <c r="G6482" s="103" t="str">
        <f aca="false">IF($C6482="","",$D6482*IFERROR(INDEX('تحليل التكلفة والسعر'!$C$2:$C$700,MATCH($C6482,'تحليل التكلفة والسعر'!$B$2:$B$700,0)),0))</f>
        <v/>
      </c>
    </row>
    <row r="6483" customFormat="false" ht="15" hidden="false" customHeight="false" outlineLevel="0" collapsed="false">
      <c r="A6483" s="102"/>
      <c r="E6483" s="103" t="str">
        <f aca="false">IF($C6483="","",IFERROR(INDEX(المنيو!$C$2:$C$500,MATCH($C6483,المنيو!$B$2:$B$500,0)),0))</f>
        <v/>
      </c>
      <c r="F6483" s="103" t="str">
        <f aca="false">IF($C6483="","",$D6483*$E6483)</f>
        <v/>
      </c>
      <c r="G6483" s="103" t="str">
        <f aca="false">IF($C6483="","",$D6483*IFERROR(INDEX('تحليل التكلفة والسعر'!$C$2:$C$700,MATCH($C6483,'تحليل التكلفة والسعر'!$B$2:$B$700,0)),0))</f>
        <v/>
      </c>
    </row>
    <row r="6484" customFormat="false" ht="15" hidden="false" customHeight="false" outlineLevel="0" collapsed="false">
      <c r="A6484" s="102"/>
      <c r="E6484" s="103" t="str">
        <f aca="false">IF($C6484="","",IFERROR(INDEX(المنيو!$C$2:$C$500,MATCH($C6484,المنيو!$B$2:$B$500,0)),0))</f>
        <v/>
      </c>
      <c r="F6484" s="103" t="str">
        <f aca="false">IF($C6484="","",$D6484*$E6484)</f>
        <v/>
      </c>
      <c r="G6484" s="103" t="str">
        <f aca="false">IF($C6484="","",$D6484*IFERROR(INDEX('تحليل التكلفة والسعر'!$C$2:$C$700,MATCH($C6484,'تحليل التكلفة والسعر'!$B$2:$B$700,0)),0))</f>
        <v/>
      </c>
    </row>
    <row r="6485" customFormat="false" ht="15" hidden="false" customHeight="false" outlineLevel="0" collapsed="false">
      <c r="A6485" s="102"/>
      <c r="E6485" s="103" t="str">
        <f aca="false">IF($C6485="","",IFERROR(INDEX(المنيو!$C$2:$C$500,MATCH($C6485,المنيو!$B$2:$B$500,0)),0))</f>
        <v/>
      </c>
      <c r="F6485" s="103" t="str">
        <f aca="false">IF($C6485="","",$D6485*$E6485)</f>
        <v/>
      </c>
      <c r="G6485" s="103" t="str">
        <f aca="false">IF($C6485="","",$D6485*IFERROR(INDEX('تحليل التكلفة والسعر'!$C$2:$C$700,MATCH($C6485,'تحليل التكلفة والسعر'!$B$2:$B$700,0)),0))</f>
        <v/>
      </c>
    </row>
    <row r="6486" customFormat="false" ht="15" hidden="false" customHeight="false" outlineLevel="0" collapsed="false">
      <c r="A6486" s="102"/>
      <c r="E6486" s="103" t="str">
        <f aca="false">IF($C6486="","",IFERROR(INDEX(المنيو!$C$2:$C$500,MATCH($C6486,المنيو!$B$2:$B$500,0)),0))</f>
        <v/>
      </c>
      <c r="F6486" s="103" t="str">
        <f aca="false">IF($C6486="","",$D6486*$E6486)</f>
        <v/>
      </c>
      <c r="G6486" s="103" t="str">
        <f aca="false">IF($C6486="","",$D6486*IFERROR(INDEX('تحليل التكلفة والسعر'!$C$2:$C$700,MATCH($C6486,'تحليل التكلفة والسعر'!$B$2:$B$700,0)),0))</f>
        <v/>
      </c>
    </row>
    <row r="6487" customFormat="false" ht="15" hidden="false" customHeight="false" outlineLevel="0" collapsed="false">
      <c r="A6487" s="102"/>
      <c r="E6487" s="103" t="str">
        <f aca="false">IF($C6487="","",IFERROR(INDEX(المنيو!$C$2:$C$500,MATCH($C6487,المنيو!$B$2:$B$500,0)),0))</f>
        <v/>
      </c>
      <c r="F6487" s="103" t="str">
        <f aca="false">IF($C6487="","",$D6487*$E6487)</f>
        <v/>
      </c>
      <c r="G6487" s="103" t="str">
        <f aca="false">IF($C6487="","",$D6487*IFERROR(INDEX('تحليل التكلفة والسعر'!$C$2:$C$700,MATCH($C6487,'تحليل التكلفة والسعر'!$B$2:$B$700,0)),0))</f>
        <v/>
      </c>
    </row>
    <row r="6488" customFormat="false" ht="15" hidden="false" customHeight="false" outlineLevel="0" collapsed="false">
      <c r="A6488" s="102"/>
      <c r="E6488" s="103" t="str">
        <f aca="false">IF($C6488="","",IFERROR(INDEX(المنيو!$C$2:$C$500,MATCH($C6488,المنيو!$B$2:$B$500,0)),0))</f>
        <v/>
      </c>
      <c r="F6488" s="103" t="str">
        <f aca="false">IF($C6488="","",$D6488*$E6488)</f>
        <v/>
      </c>
      <c r="G6488" s="103" t="str">
        <f aca="false">IF($C6488="","",$D6488*IFERROR(INDEX('تحليل التكلفة والسعر'!$C$2:$C$700,MATCH($C6488,'تحليل التكلفة والسعر'!$B$2:$B$700,0)),0))</f>
        <v/>
      </c>
    </row>
    <row r="6489" customFormat="false" ht="15" hidden="false" customHeight="false" outlineLevel="0" collapsed="false">
      <c r="A6489" s="102"/>
      <c r="E6489" s="103" t="str">
        <f aca="false">IF($C6489="","",IFERROR(INDEX(المنيو!$C$2:$C$500,MATCH($C6489,المنيو!$B$2:$B$500,0)),0))</f>
        <v/>
      </c>
      <c r="F6489" s="103" t="str">
        <f aca="false">IF($C6489="","",$D6489*$E6489)</f>
        <v/>
      </c>
      <c r="G6489" s="103" t="str">
        <f aca="false">IF($C6489="","",$D6489*IFERROR(INDEX('تحليل التكلفة والسعر'!$C$2:$C$700,MATCH($C6489,'تحليل التكلفة والسعر'!$B$2:$B$700,0)),0))</f>
        <v/>
      </c>
    </row>
    <row r="6490" customFormat="false" ht="15" hidden="false" customHeight="false" outlineLevel="0" collapsed="false">
      <c r="A6490" s="102"/>
      <c r="E6490" s="103" t="str">
        <f aca="false">IF($C6490="","",IFERROR(INDEX(المنيو!$C$2:$C$500,MATCH($C6490,المنيو!$B$2:$B$500,0)),0))</f>
        <v/>
      </c>
      <c r="F6490" s="103" t="str">
        <f aca="false">IF($C6490="","",$D6490*$E6490)</f>
        <v/>
      </c>
      <c r="G6490" s="103" t="str">
        <f aca="false">IF($C6490="","",$D6490*IFERROR(INDEX('تحليل التكلفة والسعر'!$C$2:$C$700,MATCH($C6490,'تحليل التكلفة والسعر'!$B$2:$B$700,0)),0))</f>
        <v/>
      </c>
    </row>
    <row r="6491" customFormat="false" ht="15" hidden="false" customHeight="false" outlineLevel="0" collapsed="false">
      <c r="A6491" s="102"/>
      <c r="E6491" s="103" t="str">
        <f aca="false">IF($C6491="","",IFERROR(INDEX(المنيو!$C$2:$C$500,MATCH($C6491,المنيو!$B$2:$B$500,0)),0))</f>
        <v/>
      </c>
      <c r="F6491" s="103" t="str">
        <f aca="false">IF($C6491="","",$D6491*$E6491)</f>
        <v/>
      </c>
      <c r="G6491" s="103" t="str">
        <f aca="false">IF($C6491="","",$D6491*IFERROR(INDEX('تحليل التكلفة والسعر'!$C$2:$C$700,MATCH($C6491,'تحليل التكلفة والسعر'!$B$2:$B$700,0)),0))</f>
        <v/>
      </c>
    </row>
    <row r="6492" customFormat="false" ht="15" hidden="false" customHeight="false" outlineLevel="0" collapsed="false">
      <c r="A6492" s="102"/>
      <c r="E6492" s="103" t="str">
        <f aca="false">IF($C6492="","",IFERROR(INDEX(المنيو!$C$2:$C$500,MATCH($C6492,المنيو!$B$2:$B$500,0)),0))</f>
        <v/>
      </c>
      <c r="F6492" s="103" t="str">
        <f aca="false">IF($C6492="","",$D6492*$E6492)</f>
        <v/>
      </c>
      <c r="G6492" s="103" t="str">
        <f aca="false">IF($C6492="","",$D6492*IFERROR(INDEX('تحليل التكلفة والسعر'!$C$2:$C$700,MATCH($C6492,'تحليل التكلفة والسعر'!$B$2:$B$700,0)),0))</f>
        <v/>
      </c>
    </row>
    <row r="6493" customFormat="false" ht="15" hidden="false" customHeight="false" outlineLevel="0" collapsed="false">
      <c r="A6493" s="102"/>
      <c r="E6493" s="103" t="str">
        <f aca="false">IF($C6493="","",IFERROR(INDEX(المنيو!$C$2:$C$500,MATCH($C6493,المنيو!$B$2:$B$500,0)),0))</f>
        <v/>
      </c>
      <c r="F6493" s="103" t="str">
        <f aca="false">IF($C6493="","",$D6493*$E6493)</f>
        <v/>
      </c>
      <c r="G6493" s="103" t="str">
        <f aca="false">IF($C6493="","",$D6493*IFERROR(INDEX('تحليل التكلفة والسعر'!$C$2:$C$700,MATCH($C6493,'تحليل التكلفة والسعر'!$B$2:$B$700,0)),0))</f>
        <v/>
      </c>
    </row>
    <row r="6494" customFormat="false" ht="15" hidden="false" customHeight="false" outlineLevel="0" collapsed="false">
      <c r="A6494" s="102"/>
      <c r="E6494" s="103" t="str">
        <f aca="false">IF($C6494="","",IFERROR(INDEX(المنيو!$C$2:$C$500,MATCH($C6494,المنيو!$B$2:$B$500,0)),0))</f>
        <v/>
      </c>
      <c r="F6494" s="103" t="str">
        <f aca="false">IF($C6494="","",$D6494*$E6494)</f>
        <v/>
      </c>
      <c r="G6494" s="103" t="str">
        <f aca="false">IF($C6494="","",$D6494*IFERROR(INDEX('تحليل التكلفة والسعر'!$C$2:$C$700,MATCH($C6494,'تحليل التكلفة والسعر'!$B$2:$B$700,0)),0))</f>
        <v/>
      </c>
    </row>
    <row r="6495" customFormat="false" ht="15" hidden="false" customHeight="false" outlineLevel="0" collapsed="false">
      <c r="A6495" s="102"/>
      <c r="E6495" s="103" t="str">
        <f aca="false">IF($C6495="","",IFERROR(INDEX(المنيو!$C$2:$C$500,MATCH($C6495,المنيو!$B$2:$B$500,0)),0))</f>
        <v/>
      </c>
      <c r="F6495" s="103" t="str">
        <f aca="false">IF($C6495="","",$D6495*$E6495)</f>
        <v/>
      </c>
      <c r="G6495" s="103" t="str">
        <f aca="false">IF($C6495="","",$D6495*IFERROR(INDEX('تحليل التكلفة والسعر'!$C$2:$C$700,MATCH($C6495,'تحليل التكلفة والسعر'!$B$2:$B$700,0)),0))</f>
        <v/>
      </c>
    </row>
    <row r="6496" customFormat="false" ht="15" hidden="false" customHeight="false" outlineLevel="0" collapsed="false">
      <c r="A6496" s="102"/>
      <c r="E6496" s="103" t="str">
        <f aca="false">IF($C6496="","",IFERROR(INDEX(المنيو!$C$2:$C$500,MATCH($C6496,المنيو!$B$2:$B$500,0)),0))</f>
        <v/>
      </c>
      <c r="F6496" s="103" t="str">
        <f aca="false">IF($C6496="","",$D6496*$E6496)</f>
        <v/>
      </c>
      <c r="G6496" s="103" t="str">
        <f aca="false">IF($C6496="","",$D6496*IFERROR(INDEX('تحليل التكلفة والسعر'!$C$2:$C$700,MATCH($C6496,'تحليل التكلفة والسعر'!$B$2:$B$700,0)),0))</f>
        <v/>
      </c>
    </row>
    <row r="6497" customFormat="false" ht="15" hidden="false" customHeight="false" outlineLevel="0" collapsed="false">
      <c r="A6497" s="102"/>
      <c r="E6497" s="103" t="str">
        <f aca="false">IF($C6497="","",IFERROR(INDEX(المنيو!$C$2:$C$500,MATCH($C6497,المنيو!$B$2:$B$500,0)),0))</f>
        <v/>
      </c>
      <c r="F6497" s="103" t="str">
        <f aca="false">IF($C6497="","",$D6497*$E6497)</f>
        <v/>
      </c>
      <c r="G6497" s="103" t="str">
        <f aca="false">IF($C6497="","",$D6497*IFERROR(INDEX('تحليل التكلفة والسعر'!$C$2:$C$700,MATCH($C6497,'تحليل التكلفة والسعر'!$B$2:$B$700,0)),0))</f>
        <v/>
      </c>
    </row>
    <row r="6498" customFormat="false" ht="15" hidden="false" customHeight="false" outlineLevel="0" collapsed="false">
      <c r="A6498" s="102"/>
      <c r="E6498" s="103" t="str">
        <f aca="false">IF($C6498="","",IFERROR(INDEX(المنيو!$C$2:$C$500,MATCH($C6498,المنيو!$B$2:$B$500,0)),0))</f>
        <v/>
      </c>
      <c r="F6498" s="103" t="str">
        <f aca="false">IF($C6498="","",$D6498*$E6498)</f>
        <v/>
      </c>
      <c r="G6498" s="103" t="str">
        <f aca="false">IF($C6498="","",$D6498*IFERROR(INDEX('تحليل التكلفة والسعر'!$C$2:$C$700,MATCH($C6498,'تحليل التكلفة والسعر'!$B$2:$B$700,0)),0))</f>
        <v/>
      </c>
    </row>
    <row r="6499" customFormat="false" ht="15" hidden="false" customHeight="false" outlineLevel="0" collapsed="false">
      <c r="A6499" s="102"/>
      <c r="E6499" s="103" t="str">
        <f aca="false">IF($C6499="","",IFERROR(INDEX(المنيو!$C$2:$C$500,MATCH($C6499,المنيو!$B$2:$B$500,0)),0))</f>
        <v/>
      </c>
      <c r="F6499" s="103" t="str">
        <f aca="false">IF($C6499="","",$D6499*$E6499)</f>
        <v/>
      </c>
      <c r="G6499" s="103" t="str">
        <f aca="false">IF($C6499="","",$D6499*IFERROR(INDEX('تحليل التكلفة والسعر'!$C$2:$C$700,MATCH($C6499,'تحليل التكلفة والسعر'!$B$2:$B$700,0)),0))</f>
        <v/>
      </c>
    </row>
    <row r="6500" customFormat="false" ht="15" hidden="false" customHeight="false" outlineLevel="0" collapsed="false">
      <c r="A6500" s="102"/>
      <c r="E6500" s="103" t="str">
        <f aca="false">IF($C6500="","",IFERROR(INDEX(المنيو!$C$2:$C$500,MATCH($C6500,المنيو!$B$2:$B$500,0)),0))</f>
        <v/>
      </c>
      <c r="F6500" s="103" t="str">
        <f aca="false">IF($C6500="","",$D6500*$E6500)</f>
        <v/>
      </c>
      <c r="G6500" s="103" t="str">
        <f aca="false">IF($C6500="","",$D6500*IFERROR(INDEX('تحليل التكلفة والسعر'!$C$2:$C$700,MATCH($C6500,'تحليل التكلفة والسعر'!$B$2:$B$700,0)),0))</f>
        <v/>
      </c>
    </row>
    <row r="6501" customFormat="false" ht="15" hidden="false" customHeight="false" outlineLevel="0" collapsed="false">
      <c r="A6501" s="102"/>
      <c r="E6501" s="103" t="str">
        <f aca="false">IF($C6501="","",IFERROR(INDEX(المنيو!$C$2:$C$500,MATCH($C6501,المنيو!$B$2:$B$500,0)),0))</f>
        <v/>
      </c>
      <c r="F6501" s="103" t="str">
        <f aca="false">IF($C6501="","",$D6501*$E6501)</f>
        <v/>
      </c>
      <c r="G6501" s="103" t="str">
        <f aca="false">IF($C6501="","",$D6501*IFERROR(INDEX('تحليل التكلفة والسعر'!$C$2:$C$700,MATCH($C6501,'تحليل التكلفة والسعر'!$B$2:$B$700,0)),0))</f>
        <v/>
      </c>
    </row>
    <row r="6502" customFormat="false" ht="15" hidden="false" customHeight="false" outlineLevel="0" collapsed="false">
      <c r="A6502" s="102"/>
      <c r="E6502" s="103" t="str">
        <f aca="false">IF($C6502="","",IFERROR(INDEX(المنيو!$C$2:$C$500,MATCH($C6502,المنيو!$B$2:$B$500,0)),0))</f>
        <v/>
      </c>
      <c r="F6502" s="103" t="str">
        <f aca="false">IF($C6502="","",$D6502*$E6502)</f>
        <v/>
      </c>
      <c r="G6502" s="103" t="str">
        <f aca="false">IF($C6502="","",$D6502*IFERROR(INDEX('تحليل التكلفة والسعر'!$C$2:$C$700,MATCH($C6502,'تحليل التكلفة والسعر'!$B$2:$B$700,0)),0))</f>
        <v/>
      </c>
    </row>
    <row r="6503" customFormat="false" ht="15" hidden="false" customHeight="false" outlineLevel="0" collapsed="false">
      <c r="A6503" s="102"/>
      <c r="E6503" s="103" t="str">
        <f aca="false">IF($C6503="","",IFERROR(INDEX(المنيو!$C$2:$C$500,MATCH($C6503,المنيو!$B$2:$B$500,0)),0))</f>
        <v/>
      </c>
      <c r="F6503" s="103" t="str">
        <f aca="false">IF($C6503="","",$D6503*$E6503)</f>
        <v/>
      </c>
      <c r="G6503" s="103" t="str">
        <f aca="false">IF($C6503="","",$D6503*IFERROR(INDEX('تحليل التكلفة والسعر'!$C$2:$C$700,MATCH($C6503,'تحليل التكلفة والسعر'!$B$2:$B$700,0)),0))</f>
        <v/>
      </c>
    </row>
    <row r="6504" customFormat="false" ht="15" hidden="false" customHeight="false" outlineLevel="0" collapsed="false">
      <c r="A6504" s="102"/>
      <c r="E6504" s="103" t="str">
        <f aca="false">IF($C6504="","",IFERROR(INDEX(المنيو!$C$2:$C$500,MATCH($C6504,المنيو!$B$2:$B$500,0)),0))</f>
        <v/>
      </c>
      <c r="F6504" s="103" t="str">
        <f aca="false">IF($C6504="","",$D6504*$E6504)</f>
        <v/>
      </c>
      <c r="G6504" s="103" t="str">
        <f aca="false">IF($C6504="","",$D6504*IFERROR(INDEX('تحليل التكلفة والسعر'!$C$2:$C$700,MATCH($C6504,'تحليل التكلفة والسعر'!$B$2:$B$700,0)),0))</f>
        <v/>
      </c>
    </row>
    <row r="6505" customFormat="false" ht="15" hidden="false" customHeight="false" outlineLevel="0" collapsed="false">
      <c r="A6505" s="102"/>
      <c r="E6505" s="103" t="str">
        <f aca="false">IF($C6505="","",IFERROR(INDEX(المنيو!$C$2:$C$500,MATCH($C6505,المنيو!$B$2:$B$500,0)),0))</f>
        <v/>
      </c>
      <c r="F6505" s="103" t="str">
        <f aca="false">IF($C6505="","",$D6505*$E6505)</f>
        <v/>
      </c>
      <c r="G6505" s="103" t="str">
        <f aca="false">IF($C6505="","",$D6505*IFERROR(INDEX('تحليل التكلفة والسعر'!$C$2:$C$700,MATCH($C6505,'تحليل التكلفة والسعر'!$B$2:$B$700,0)),0))</f>
        <v/>
      </c>
    </row>
    <row r="6506" customFormat="false" ht="15" hidden="false" customHeight="false" outlineLevel="0" collapsed="false">
      <c r="A6506" s="102"/>
      <c r="E6506" s="103" t="str">
        <f aca="false">IF($C6506="","",IFERROR(INDEX(المنيو!$C$2:$C$500,MATCH($C6506,المنيو!$B$2:$B$500,0)),0))</f>
        <v/>
      </c>
      <c r="F6506" s="103" t="str">
        <f aca="false">IF($C6506="","",$D6506*$E6506)</f>
        <v/>
      </c>
      <c r="G6506" s="103" t="str">
        <f aca="false">IF($C6506="","",$D6506*IFERROR(INDEX('تحليل التكلفة والسعر'!$C$2:$C$700,MATCH($C6506,'تحليل التكلفة والسعر'!$B$2:$B$700,0)),0))</f>
        <v/>
      </c>
    </row>
    <row r="6507" customFormat="false" ht="15" hidden="false" customHeight="false" outlineLevel="0" collapsed="false">
      <c r="A6507" s="102"/>
      <c r="E6507" s="103" t="str">
        <f aca="false">IF($C6507="","",IFERROR(INDEX(المنيو!$C$2:$C$500,MATCH($C6507,المنيو!$B$2:$B$500,0)),0))</f>
        <v/>
      </c>
      <c r="F6507" s="103" t="str">
        <f aca="false">IF($C6507="","",$D6507*$E6507)</f>
        <v/>
      </c>
      <c r="G6507" s="103" t="str">
        <f aca="false">IF($C6507="","",$D6507*IFERROR(INDEX('تحليل التكلفة والسعر'!$C$2:$C$700,MATCH($C6507,'تحليل التكلفة والسعر'!$B$2:$B$700,0)),0))</f>
        <v/>
      </c>
    </row>
    <row r="6508" customFormat="false" ht="15" hidden="false" customHeight="false" outlineLevel="0" collapsed="false">
      <c r="A6508" s="102"/>
      <c r="E6508" s="103" t="str">
        <f aca="false">IF($C6508="","",IFERROR(INDEX(المنيو!$C$2:$C$500,MATCH($C6508,المنيو!$B$2:$B$500,0)),0))</f>
        <v/>
      </c>
      <c r="F6508" s="103" t="str">
        <f aca="false">IF($C6508="","",$D6508*$E6508)</f>
        <v/>
      </c>
      <c r="G6508" s="103" t="str">
        <f aca="false">IF($C6508="","",$D6508*IFERROR(INDEX('تحليل التكلفة والسعر'!$C$2:$C$700,MATCH($C6508,'تحليل التكلفة والسعر'!$B$2:$B$700,0)),0))</f>
        <v/>
      </c>
    </row>
    <row r="6509" customFormat="false" ht="15" hidden="false" customHeight="false" outlineLevel="0" collapsed="false">
      <c r="A6509" s="102"/>
      <c r="E6509" s="103" t="str">
        <f aca="false">IF($C6509="","",IFERROR(INDEX(المنيو!$C$2:$C$500,MATCH($C6509,المنيو!$B$2:$B$500,0)),0))</f>
        <v/>
      </c>
      <c r="F6509" s="103" t="str">
        <f aca="false">IF($C6509="","",$D6509*$E6509)</f>
        <v/>
      </c>
      <c r="G6509" s="103" t="str">
        <f aca="false">IF($C6509="","",$D6509*IFERROR(INDEX('تحليل التكلفة والسعر'!$C$2:$C$700,MATCH($C6509,'تحليل التكلفة والسعر'!$B$2:$B$700,0)),0))</f>
        <v/>
      </c>
    </row>
    <row r="6510" customFormat="false" ht="15" hidden="false" customHeight="false" outlineLevel="0" collapsed="false">
      <c r="A6510" s="102"/>
      <c r="E6510" s="103" t="str">
        <f aca="false">IF($C6510="","",IFERROR(INDEX(المنيو!$C$2:$C$500,MATCH($C6510,المنيو!$B$2:$B$500,0)),0))</f>
        <v/>
      </c>
      <c r="F6510" s="103" t="str">
        <f aca="false">IF($C6510="","",$D6510*$E6510)</f>
        <v/>
      </c>
      <c r="G6510" s="103" t="str">
        <f aca="false">IF($C6510="","",$D6510*IFERROR(INDEX('تحليل التكلفة والسعر'!$C$2:$C$700,MATCH($C6510,'تحليل التكلفة والسعر'!$B$2:$B$700,0)),0))</f>
        <v/>
      </c>
    </row>
    <row r="6511" customFormat="false" ht="15" hidden="false" customHeight="false" outlineLevel="0" collapsed="false">
      <c r="A6511" s="102"/>
      <c r="E6511" s="103" t="str">
        <f aca="false">IF($C6511="","",IFERROR(INDEX(المنيو!$C$2:$C$500,MATCH($C6511,المنيو!$B$2:$B$500,0)),0))</f>
        <v/>
      </c>
      <c r="F6511" s="103" t="str">
        <f aca="false">IF($C6511="","",$D6511*$E6511)</f>
        <v/>
      </c>
      <c r="G6511" s="103" t="str">
        <f aca="false">IF($C6511="","",$D6511*IFERROR(INDEX('تحليل التكلفة والسعر'!$C$2:$C$700,MATCH($C6511,'تحليل التكلفة والسعر'!$B$2:$B$700,0)),0))</f>
        <v/>
      </c>
    </row>
    <row r="6512" customFormat="false" ht="15" hidden="false" customHeight="false" outlineLevel="0" collapsed="false">
      <c r="A6512" s="102"/>
      <c r="E6512" s="103" t="str">
        <f aca="false">IF($C6512="","",IFERROR(INDEX(المنيو!$C$2:$C$500,MATCH($C6512,المنيو!$B$2:$B$500,0)),0))</f>
        <v/>
      </c>
      <c r="F6512" s="103" t="str">
        <f aca="false">IF($C6512="","",$D6512*$E6512)</f>
        <v/>
      </c>
      <c r="G6512" s="103" t="str">
        <f aca="false">IF($C6512="","",$D6512*IFERROR(INDEX('تحليل التكلفة والسعر'!$C$2:$C$700,MATCH($C6512,'تحليل التكلفة والسعر'!$B$2:$B$700,0)),0))</f>
        <v/>
      </c>
    </row>
    <row r="6513" customFormat="false" ht="15" hidden="false" customHeight="false" outlineLevel="0" collapsed="false">
      <c r="A6513" s="102"/>
      <c r="E6513" s="103" t="str">
        <f aca="false">IF($C6513="","",IFERROR(INDEX(المنيو!$C$2:$C$500,MATCH($C6513,المنيو!$B$2:$B$500,0)),0))</f>
        <v/>
      </c>
      <c r="F6513" s="103" t="str">
        <f aca="false">IF($C6513="","",$D6513*$E6513)</f>
        <v/>
      </c>
      <c r="G6513" s="103" t="str">
        <f aca="false">IF($C6513="","",$D6513*IFERROR(INDEX('تحليل التكلفة والسعر'!$C$2:$C$700,MATCH($C6513,'تحليل التكلفة والسعر'!$B$2:$B$700,0)),0))</f>
        <v/>
      </c>
    </row>
    <row r="6514" customFormat="false" ht="15" hidden="false" customHeight="false" outlineLevel="0" collapsed="false">
      <c r="A6514" s="102"/>
      <c r="E6514" s="103" t="str">
        <f aca="false">IF($C6514="","",IFERROR(INDEX(المنيو!$C$2:$C$500,MATCH($C6514,المنيو!$B$2:$B$500,0)),0))</f>
        <v/>
      </c>
      <c r="F6514" s="103" t="str">
        <f aca="false">IF($C6514="","",$D6514*$E6514)</f>
        <v/>
      </c>
      <c r="G6514" s="103" t="str">
        <f aca="false">IF($C6514="","",$D6514*IFERROR(INDEX('تحليل التكلفة والسعر'!$C$2:$C$700,MATCH($C6514,'تحليل التكلفة والسعر'!$B$2:$B$700,0)),0))</f>
        <v/>
      </c>
    </row>
    <row r="6515" customFormat="false" ht="15" hidden="false" customHeight="false" outlineLevel="0" collapsed="false">
      <c r="A6515" s="102"/>
      <c r="E6515" s="103" t="str">
        <f aca="false">IF($C6515="","",IFERROR(INDEX(المنيو!$C$2:$C$500,MATCH($C6515,المنيو!$B$2:$B$500,0)),0))</f>
        <v/>
      </c>
      <c r="F6515" s="103" t="str">
        <f aca="false">IF($C6515="","",$D6515*$E6515)</f>
        <v/>
      </c>
      <c r="G6515" s="103" t="str">
        <f aca="false">IF($C6515="","",$D6515*IFERROR(INDEX('تحليل التكلفة والسعر'!$C$2:$C$700,MATCH($C6515,'تحليل التكلفة والسعر'!$B$2:$B$700,0)),0))</f>
        <v/>
      </c>
    </row>
    <row r="6516" customFormat="false" ht="15" hidden="false" customHeight="false" outlineLevel="0" collapsed="false">
      <c r="A6516" s="102"/>
      <c r="E6516" s="103" t="str">
        <f aca="false">IF($C6516="","",IFERROR(INDEX(المنيو!$C$2:$C$500,MATCH($C6516,المنيو!$B$2:$B$500,0)),0))</f>
        <v/>
      </c>
      <c r="F6516" s="103" t="str">
        <f aca="false">IF($C6516="","",$D6516*$E6516)</f>
        <v/>
      </c>
      <c r="G6516" s="103" t="str">
        <f aca="false">IF($C6516="","",$D6516*IFERROR(INDEX('تحليل التكلفة والسعر'!$C$2:$C$700,MATCH($C6516,'تحليل التكلفة والسعر'!$B$2:$B$700,0)),0))</f>
        <v/>
      </c>
    </row>
    <row r="6517" customFormat="false" ht="15" hidden="false" customHeight="false" outlineLevel="0" collapsed="false">
      <c r="A6517" s="102"/>
      <c r="E6517" s="103" t="str">
        <f aca="false">IF($C6517="","",IFERROR(INDEX(المنيو!$C$2:$C$500,MATCH($C6517,المنيو!$B$2:$B$500,0)),0))</f>
        <v/>
      </c>
      <c r="F6517" s="103" t="str">
        <f aca="false">IF($C6517="","",$D6517*$E6517)</f>
        <v/>
      </c>
      <c r="G6517" s="103" t="str">
        <f aca="false">IF($C6517="","",$D6517*IFERROR(INDEX('تحليل التكلفة والسعر'!$C$2:$C$700,MATCH($C6517,'تحليل التكلفة والسعر'!$B$2:$B$700,0)),0))</f>
        <v/>
      </c>
    </row>
    <row r="6518" customFormat="false" ht="15" hidden="false" customHeight="false" outlineLevel="0" collapsed="false">
      <c r="A6518" s="102"/>
      <c r="E6518" s="103" t="str">
        <f aca="false">IF($C6518="","",IFERROR(INDEX(المنيو!$C$2:$C$500,MATCH($C6518,المنيو!$B$2:$B$500,0)),0))</f>
        <v/>
      </c>
      <c r="F6518" s="103" t="str">
        <f aca="false">IF($C6518="","",$D6518*$E6518)</f>
        <v/>
      </c>
      <c r="G6518" s="103" t="str">
        <f aca="false">IF($C6518="","",$D6518*IFERROR(INDEX('تحليل التكلفة والسعر'!$C$2:$C$700,MATCH($C6518,'تحليل التكلفة والسعر'!$B$2:$B$700,0)),0))</f>
        <v/>
      </c>
    </row>
    <row r="6519" customFormat="false" ht="15" hidden="false" customHeight="false" outlineLevel="0" collapsed="false">
      <c r="A6519" s="102"/>
      <c r="E6519" s="103" t="str">
        <f aca="false">IF($C6519="","",IFERROR(INDEX(المنيو!$C$2:$C$500,MATCH($C6519,المنيو!$B$2:$B$500,0)),0))</f>
        <v/>
      </c>
      <c r="F6519" s="103" t="str">
        <f aca="false">IF($C6519="","",$D6519*$E6519)</f>
        <v/>
      </c>
      <c r="G6519" s="103" t="str">
        <f aca="false">IF($C6519="","",$D6519*IFERROR(INDEX('تحليل التكلفة والسعر'!$C$2:$C$700,MATCH($C6519,'تحليل التكلفة والسعر'!$B$2:$B$700,0)),0))</f>
        <v/>
      </c>
    </row>
    <row r="6520" customFormat="false" ht="15" hidden="false" customHeight="false" outlineLevel="0" collapsed="false">
      <c r="A6520" s="102"/>
      <c r="E6520" s="103" t="str">
        <f aca="false">IF($C6520="","",IFERROR(INDEX(المنيو!$C$2:$C$500,MATCH($C6520,المنيو!$B$2:$B$500,0)),0))</f>
        <v/>
      </c>
      <c r="F6520" s="103" t="str">
        <f aca="false">IF($C6520="","",$D6520*$E6520)</f>
        <v/>
      </c>
      <c r="G6520" s="103" t="str">
        <f aca="false">IF($C6520="","",$D6520*IFERROR(INDEX('تحليل التكلفة والسعر'!$C$2:$C$700,MATCH($C6520,'تحليل التكلفة والسعر'!$B$2:$B$700,0)),0))</f>
        <v/>
      </c>
    </row>
    <row r="6521" customFormat="false" ht="15" hidden="false" customHeight="false" outlineLevel="0" collapsed="false">
      <c r="A6521" s="102"/>
      <c r="E6521" s="103" t="str">
        <f aca="false">IF($C6521="","",IFERROR(INDEX(المنيو!$C$2:$C$500,MATCH($C6521,المنيو!$B$2:$B$500,0)),0))</f>
        <v/>
      </c>
      <c r="F6521" s="103" t="str">
        <f aca="false">IF($C6521="","",$D6521*$E6521)</f>
        <v/>
      </c>
      <c r="G6521" s="103" t="str">
        <f aca="false">IF($C6521="","",$D6521*IFERROR(INDEX('تحليل التكلفة والسعر'!$C$2:$C$700,MATCH($C6521,'تحليل التكلفة والسعر'!$B$2:$B$700,0)),0))</f>
        <v/>
      </c>
    </row>
    <row r="6522" customFormat="false" ht="15" hidden="false" customHeight="false" outlineLevel="0" collapsed="false">
      <c r="A6522" s="102"/>
      <c r="E6522" s="103" t="str">
        <f aca="false">IF($C6522="","",IFERROR(INDEX(المنيو!$C$2:$C$500,MATCH($C6522,المنيو!$B$2:$B$500,0)),0))</f>
        <v/>
      </c>
      <c r="F6522" s="103" t="str">
        <f aca="false">IF($C6522="","",$D6522*$E6522)</f>
        <v/>
      </c>
      <c r="G6522" s="103" t="str">
        <f aca="false">IF($C6522="","",$D6522*IFERROR(INDEX('تحليل التكلفة والسعر'!$C$2:$C$700,MATCH($C6522,'تحليل التكلفة والسعر'!$B$2:$B$700,0)),0))</f>
        <v/>
      </c>
    </row>
    <row r="6523" customFormat="false" ht="15" hidden="false" customHeight="false" outlineLevel="0" collapsed="false">
      <c r="A6523" s="102"/>
      <c r="E6523" s="103" t="str">
        <f aca="false">IF($C6523="","",IFERROR(INDEX(المنيو!$C$2:$C$500,MATCH($C6523,المنيو!$B$2:$B$500,0)),0))</f>
        <v/>
      </c>
      <c r="F6523" s="103" t="str">
        <f aca="false">IF($C6523="","",$D6523*$E6523)</f>
        <v/>
      </c>
      <c r="G6523" s="103" t="str">
        <f aca="false">IF($C6523="","",$D6523*IFERROR(INDEX('تحليل التكلفة والسعر'!$C$2:$C$700,MATCH($C6523,'تحليل التكلفة والسعر'!$B$2:$B$700,0)),0))</f>
        <v/>
      </c>
    </row>
    <row r="6524" customFormat="false" ht="15" hidden="false" customHeight="false" outlineLevel="0" collapsed="false">
      <c r="A6524" s="102"/>
      <c r="E6524" s="103" t="str">
        <f aca="false">IF($C6524="","",IFERROR(INDEX(المنيو!$C$2:$C$500,MATCH($C6524,المنيو!$B$2:$B$500,0)),0))</f>
        <v/>
      </c>
      <c r="F6524" s="103" t="str">
        <f aca="false">IF($C6524="","",$D6524*$E6524)</f>
        <v/>
      </c>
      <c r="G6524" s="103" t="str">
        <f aca="false">IF($C6524="","",$D6524*IFERROR(INDEX('تحليل التكلفة والسعر'!$C$2:$C$700,MATCH($C6524,'تحليل التكلفة والسعر'!$B$2:$B$700,0)),0))</f>
        <v/>
      </c>
    </row>
    <row r="6525" customFormat="false" ht="15" hidden="false" customHeight="false" outlineLevel="0" collapsed="false">
      <c r="A6525" s="102"/>
      <c r="E6525" s="103" t="str">
        <f aca="false">IF($C6525="","",IFERROR(INDEX(المنيو!$C$2:$C$500,MATCH($C6525,المنيو!$B$2:$B$500,0)),0))</f>
        <v/>
      </c>
      <c r="F6525" s="103" t="str">
        <f aca="false">IF($C6525="","",$D6525*$E6525)</f>
        <v/>
      </c>
      <c r="G6525" s="103" t="str">
        <f aca="false">IF($C6525="","",$D6525*IFERROR(INDEX('تحليل التكلفة والسعر'!$C$2:$C$700,MATCH($C6525,'تحليل التكلفة والسعر'!$B$2:$B$700,0)),0))</f>
        <v/>
      </c>
    </row>
    <row r="6526" customFormat="false" ht="15" hidden="false" customHeight="false" outlineLevel="0" collapsed="false">
      <c r="A6526" s="102"/>
      <c r="E6526" s="103" t="str">
        <f aca="false">IF($C6526="","",IFERROR(INDEX(المنيو!$C$2:$C$500,MATCH($C6526,المنيو!$B$2:$B$500,0)),0))</f>
        <v/>
      </c>
      <c r="F6526" s="103" t="str">
        <f aca="false">IF($C6526="","",$D6526*$E6526)</f>
        <v/>
      </c>
      <c r="G6526" s="103" t="str">
        <f aca="false">IF($C6526="","",$D6526*IFERROR(INDEX('تحليل التكلفة والسعر'!$C$2:$C$700,MATCH($C6526,'تحليل التكلفة والسعر'!$B$2:$B$700,0)),0))</f>
        <v/>
      </c>
    </row>
    <row r="6527" customFormat="false" ht="15" hidden="false" customHeight="false" outlineLevel="0" collapsed="false">
      <c r="A6527" s="102"/>
      <c r="E6527" s="103" t="str">
        <f aca="false">IF($C6527="","",IFERROR(INDEX(المنيو!$C$2:$C$500,MATCH($C6527,المنيو!$B$2:$B$500,0)),0))</f>
        <v/>
      </c>
      <c r="F6527" s="103" t="str">
        <f aca="false">IF($C6527="","",$D6527*$E6527)</f>
        <v/>
      </c>
      <c r="G6527" s="103" t="str">
        <f aca="false">IF($C6527="","",$D6527*IFERROR(INDEX('تحليل التكلفة والسعر'!$C$2:$C$700,MATCH($C6527,'تحليل التكلفة والسعر'!$B$2:$B$700,0)),0))</f>
        <v/>
      </c>
    </row>
    <row r="6528" customFormat="false" ht="15" hidden="false" customHeight="false" outlineLevel="0" collapsed="false">
      <c r="A6528" s="102"/>
      <c r="E6528" s="103" t="str">
        <f aca="false">IF($C6528="","",IFERROR(INDEX(المنيو!$C$2:$C$500,MATCH($C6528,المنيو!$B$2:$B$500,0)),0))</f>
        <v/>
      </c>
      <c r="F6528" s="103" t="str">
        <f aca="false">IF($C6528="","",$D6528*$E6528)</f>
        <v/>
      </c>
      <c r="G6528" s="103" t="str">
        <f aca="false">IF($C6528="","",$D6528*IFERROR(INDEX('تحليل التكلفة والسعر'!$C$2:$C$700,MATCH($C6528,'تحليل التكلفة والسعر'!$B$2:$B$700,0)),0))</f>
        <v/>
      </c>
    </row>
    <row r="6529" customFormat="false" ht="15" hidden="false" customHeight="false" outlineLevel="0" collapsed="false">
      <c r="A6529" s="102"/>
      <c r="E6529" s="103" t="str">
        <f aca="false">IF($C6529="","",IFERROR(INDEX(المنيو!$C$2:$C$500,MATCH($C6529,المنيو!$B$2:$B$500,0)),0))</f>
        <v/>
      </c>
      <c r="F6529" s="103" t="str">
        <f aca="false">IF($C6529="","",$D6529*$E6529)</f>
        <v/>
      </c>
      <c r="G6529" s="103" t="str">
        <f aca="false">IF($C6529="","",$D6529*IFERROR(INDEX('تحليل التكلفة والسعر'!$C$2:$C$700,MATCH($C6529,'تحليل التكلفة والسعر'!$B$2:$B$700,0)),0))</f>
        <v/>
      </c>
    </row>
    <row r="6530" customFormat="false" ht="15" hidden="false" customHeight="false" outlineLevel="0" collapsed="false">
      <c r="A6530" s="102"/>
      <c r="E6530" s="103" t="str">
        <f aca="false">IF($C6530="","",IFERROR(INDEX(المنيو!$C$2:$C$500,MATCH($C6530,المنيو!$B$2:$B$500,0)),0))</f>
        <v/>
      </c>
      <c r="F6530" s="103" t="str">
        <f aca="false">IF($C6530="","",$D6530*$E6530)</f>
        <v/>
      </c>
      <c r="G6530" s="103" t="str">
        <f aca="false">IF($C6530="","",$D6530*IFERROR(INDEX('تحليل التكلفة والسعر'!$C$2:$C$700,MATCH($C6530,'تحليل التكلفة والسعر'!$B$2:$B$700,0)),0))</f>
        <v/>
      </c>
    </row>
    <row r="6531" customFormat="false" ht="15" hidden="false" customHeight="false" outlineLevel="0" collapsed="false">
      <c r="A6531" s="102"/>
      <c r="E6531" s="103" t="str">
        <f aca="false">IF($C6531="","",IFERROR(INDEX(المنيو!$C$2:$C$500,MATCH($C6531,المنيو!$B$2:$B$500,0)),0))</f>
        <v/>
      </c>
      <c r="F6531" s="103" t="str">
        <f aca="false">IF($C6531="","",$D6531*$E6531)</f>
        <v/>
      </c>
      <c r="G6531" s="103" t="str">
        <f aca="false">IF($C6531="","",$D6531*IFERROR(INDEX('تحليل التكلفة والسعر'!$C$2:$C$700,MATCH($C6531,'تحليل التكلفة والسعر'!$B$2:$B$700,0)),0))</f>
        <v/>
      </c>
    </row>
    <row r="6532" customFormat="false" ht="15" hidden="false" customHeight="false" outlineLevel="0" collapsed="false">
      <c r="A6532" s="102"/>
      <c r="E6532" s="103" t="str">
        <f aca="false">IF($C6532="","",IFERROR(INDEX(المنيو!$C$2:$C$500,MATCH($C6532,المنيو!$B$2:$B$500,0)),0))</f>
        <v/>
      </c>
      <c r="F6532" s="103" t="str">
        <f aca="false">IF($C6532="","",$D6532*$E6532)</f>
        <v/>
      </c>
      <c r="G6532" s="103" t="str">
        <f aca="false">IF($C6532="","",$D6532*IFERROR(INDEX('تحليل التكلفة والسعر'!$C$2:$C$700,MATCH($C6532,'تحليل التكلفة والسعر'!$B$2:$B$700,0)),0))</f>
        <v/>
      </c>
    </row>
    <row r="6533" customFormat="false" ht="15" hidden="false" customHeight="false" outlineLevel="0" collapsed="false">
      <c r="A6533" s="102"/>
      <c r="E6533" s="103" t="str">
        <f aca="false">IF($C6533="","",IFERROR(INDEX(المنيو!$C$2:$C$500,MATCH($C6533,المنيو!$B$2:$B$500,0)),0))</f>
        <v/>
      </c>
      <c r="F6533" s="103" t="str">
        <f aca="false">IF($C6533="","",$D6533*$E6533)</f>
        <v/>
      </c>
      <c r="G6533" s="103" t="str">
        <f aca="false">IF($C6533="","",$D6533*IFERROR(INDEX('تحليل التكلفة والسعر'!$C$2:$C$700,MATCH($C6533,'تحليل التكلفة والسعر'!$B$2:$B$700,0)),0))</f>
        <v/>
      </c>
    </row>
    <row r="6534" customFormat="false" ht="15" hidden="false" customHeight="false" outlineLevel="0" collapsed="false">
      <c r="A6534" s="102"/>
      <c r="E6534" s="103" t="str">
        <f aca="false">IF($C6534="","",IFERROR(INDEX(المنيو!$C$2:$C$500,MATCH($C6534,المنيو!$B$2:$B$500,0)),0))</f>
        <v/>
      </c>
      <c r="F6534" s="103" t="str">
        <f aca="false">IF($C6534="","",$D6534*$E6534)</f>
        <v/>
      </c>
      <c r="G6534" s="103" t="str">
        <f aca="false">IF($C6534="","",$D6534*IFERROR(INDEX('تحليل التكلفة والسعر'!$C$2:$C$700,MATCH($C6534,'تحليل التكلفة والسعر'!$B$2:$B$700,0)),0))</f>
        <v/>
      </c>
    </row>
    <row r="6535" customFormat="false" ht="15" hidden="false" customHeight="false" outlineLevel="0" collapsed="false">
      <c r="A6535" s="102"/>
      <c r="E6535" s="103" t="str">
        <f aca="false">IF($C6535="","",IFERROR(INDEX(المنيو!$C$2:$C$500,MATCH($C6535,المنيو!$B$2:$B$500,0)),0))</f>
        <v/>
      </c>
      <c r="F6535" s="103" t="str">
        <f aca="false">IF($C6535="","",$D6535*$E6535)</f>
        <v/>
      </c>
      <c r="G6535" s="103" t="str">
        <f aca="false">IF($C6535="","",$D6535*IFERROR(INDEX('تحليل التكلفة والسعر'!$C$2:$C$700,MATCH($C6535,'تحليل التكلفة والسعر'!$B$2:$B$700,0)),0))</f>
        <v/>
      </c>
    </row>
    <row r="6536" customFormat="false" ht="15" hidden="false" customHeight="false" outlineLevel="0" collapsed="false">
      <c r="A6536" s="102"/>
      <c r="E6536" s="103" t="str">
        <f aca="false">IF($C6536="","",IFERROR(INDEX(المنيو!$C$2:$C$500,MATCH($C6536,المنيو!$B$2:$B$500,0)),0))</f>
        <v/>
      </c>
      <c r="F6536" s="103" t="str">
        <f aca="false">IF($C6536="","",$D6536*$E6536)</f>
        <v/>
      </c>
      <c r="G6536" s="103" t="str">
        <f aca="false">IF($C6536="","",$D6536*IFERROR(INDEX('تحليل التكلفة والسعر'!$C$2:$C$700,MATCH($C6536,'تحليل التكلفة والسعر'!$B$2:$B$700,0)),0))</f>
        <v/>
      </c>
    </row>
    <row r="6537" customFormat="false" ht="15" hidden="false" customHeight="false" outlineLevel="0" collapsed="false">
      <c r="A6537" s="102"/>
      <c r="E6537" s="103" t="str">
        <f aca="false">IF($C6537="","",IFERROR(INDEX(المنيو!$C$2:$C$500,MATCH($C6537,المنيو!$B$2:$B$500,0)),0))</f>
        <v/>
      </c>
      <c r="F6537" s="103" t="str">
        <f aca="false">IF($C6537="","",$D6537*$E6537)</f>
        <v/>
      </c>
      <c r="G6537" s="103" t="str">
        <f aca="false">IF($C6537="","",$D6537*IFERROR(INDEX('تحليل التكلفة والسعر'!$C$2:$C$700,MATCH($C6537,'تحليل التكلفة والسعر'!$B$2:$B$700,0)),0))</f>
        <v/>
      </c>
    </row>
    <row r="6538" customFormat="false" ht="15" hidden="false" customHeight="false" outlineLevel="0" collapsed="false">
      <c r="A6538" s="102"/>
      <c r="E6538" s="103" t="str">
        <f aca="false">IF($C6538="","",IFERROR(INDEX(المنيو!$C$2:$C$500,MATCH($C6538,المنيو!$B$2:$B$500,0)),0))</f>
        <v/>
      </c>
      <c r="F6538" s="103" t="str">
        <f aca="false">IF($C6538="","",$D6538*$E6538)</f>
        <v/>
      </c>
      <c r="G6538" s="103" t="str">
        <f aca="false">IF($C6538="","",$D6538*IFERROR(INDEX('تحليل التكلفة والسعر'!$C$2:$C$700,MATCH($C6538,'تحليل التكلفة والسعر'!$B$2:$B$700,0)),0))</f>
        <v/>
      </c>
    </row>
    <row r="6539" customFormat="false" ht="15" hidden="false" customHeight="false" outlineLevel="0" collapsed="false">
      <c r="A6539" s="102"/>
      <c r="E6539" s="103" t="str">
        <f aca="false">IF($C6539="","",IFERROR(INDEX(المنيو!$C$2:$C$500,MATCH($C6539,المنيو!$B$2:$B$500,0)),0))</f>
        <v/>
      </c>
      <c r="F6539" s="103" t="str">
        <f aca="false">IF($C6539="","",$D6539*$E6539)</f>
        <v/>
      </c>
      <c r="G6539" s="103" t="str">
        <f aca="false">IF($C6539="","",$D6539*IFERROR(INDEX('تحليل التكلفة والسعر'!$C$2:$C$700,MATCH($C6539,'تحليل التكلفة والسعر'!$B$2:$B$700,0)),0))</f>
        <v/>
      </c>
    </row>
    <row r="6540" customFormat="false" ht="15" hidden="false" customHeight="false" outlineLevel="0" collapsed="false">
      <c r="A6540" s="102"/>
      <c r="E6540" s="103" t="str">
        <f aca="false">IF($C6540="","",IFERROR(INDEX(المنيو!$C$2:$C$500,MATCH($C6540,المنيو!$B$2:$B$500,0)),0))</f>
        <v/>
      </c>
      <c r="F6540" s="103" t="str">
        <f aca="false">IF($C6540="","",$D6540*$E6540)</f>
        <v/>
      </c>
      <c r="G6540" s="103" t="str">
        <f aca="false">IF($C6540="","",$D6540*IFERROR(INDEX('تحليل التكلفة والسعر'!$C$2:$C$700,MATCH($C6540,'تحليل التكلفة والسعر'!$B$2:$B$700,0)),0))</f>
        <v/>
      </c>
    </row>
    <row r="6541" customFormat="false" ht="15" hidden="false" customHeight="false" outlineLevel="0" collapsed="false">
      <c r="A6541" s="102"/>
      <c r="E6541" s="103" t="str">
        <f aca="false">IF($C6541="","",IFERROR(INDEX(المنيو!$C$2:$C$500,MATCH($C6541,المنيو!$B$2:$B$500,0)),0))</f>
        <v/>
      </c>
      <c r="F6541" s="103" t="str">
        <f aca="false">IF($C6541="","",$D6541*$E6541)</f>
        <v/>
      </c>
      <c r="G6541" s="103" t="str">
        <f aca="false">IF($C6541="","",$D6541*IFERROR(INDEX('تحليل التكلفة والسعر'!$C$2:$C$700,MATCH($C6541,'تحليل التكلفة والسعر'!$B$2:$B$700,0)),0))</f>
        <v/>
      </c>
    </row>
    <row r="6542" customFormat="false" ht="15" hidden="false" customHeight="false" outlineLevel="0" collapsed="false">
      <c r="A6542" s="102"/>
      <c r="E6542" s="103" t="str">
        <f aca="false">IF($C6542="","",IFERROR(INDEX(المنيو!$C$2:$C$500,MATCH($C6542,المنيو!$B$2:$B$500,0)),0))</f>
        <v/>
      </c>
      <c r="F6542" s="103" t="str">
        <f aca="false">IF($C6542="","",$D6542*$E6542)</f>
        <v/>
      </c>
      <c r="G6542" s="103" t="str">
        <f aca="false">IF($C6542="","",$D6542*IFERROR(INDEX('تحليل التكلفة والسعر'!$C$2:$C$700,MATCH($C6542,'تحليل التكلفة والسعر'!$B$2:$B$700,0)),0))</f>
        <v/>
      </c>
    </row>
    <row r="6543" customFormat="false" ht="15" hidden="false" customHeight="false" outlineLevel="0" collapsed="false">
      <c r="A6543" s="102"/>
      <c r="E6543" s="103" t="str">
        <f aca="false">IF($C6543="","",IFERROR(INDEX(المنيو!$C$2:$C$500,MATCH($C6543,المنيو!$B$2:$B$500,0)),0))</f>
        <v/>
      </c>
      <c r="F6543" s="103" t="str">
        <f aca="false">IF($C6543="","",$D6543*$E6543)</f>
        <v/>
      </c>
      <c r="G6543" s="103" t="str">
        <f aca="false">IF($C6543="","",$D6543*IFERROR(INDEX('تحليل التكلفة والسعر'!$C$2:$C$700,MATCH($C6543,'تحليل التكلفة والسعر'!$B$2:$B$700,0)),0))</f>
        <v/>
      </c>
    </row>
    <row r="6544" customFormat="false" ht="15" hidden="false" customHeight="false" outlineLevel="0" collapsed="false">
      <c r="A6544" s="102"/>
      <c r="E6544" s="103" t="str">
        <f aca="false">IF($C6544="","",IFERROR(INDEX(المنيو!$C$2:$C$500,MATCH($C6544,المنيو!$B$2:$B$500,0)),0))</f>
        <v/>
      </c>
      <c r="F6544" s="103" t="str">
        <f aca="false">IF($C6544="","",$D6544*$E6544)</f>
        <v/>
      </c>
      <c r="G6544" s="103" t="str">
        <f aca="false">IF($C6544="","",$D6544*IFERROR(INDEX('تحليل التكلفة والسعر'!$C$2:$C$700,MATCH($C6544,'تحليل التكلفة والسعر'!$B$2:$B$700,0)),0))</f>
        <v/>
      </c>
    </row>
    <row r="6545" customFormat="false" ht="15" hidden="false" customHeight="false" outlineLevel="0" collapsed="false">
      <c r="A6545" s="102"/>
      <c r="E6545" s="103" t="str">
        <f aca="false">IF($C6545="","",IFERROR(INDEX(المنيو!$C$2:$C$500,MATCH($C6545,المنيو!$B$2:$B$500,0)),0))</f>
        <v/>
      </c>
      <c r="F6545" s="103" t="str">
        <f aca="false">IF($C6545="","",$D6545*$E6545)</f>
        <v/>
      </c>
      <c r="G6545" s="103" t="str">
        <f aca="false">IF($C6545="","",$D6545*IFERROR(INDEX('تحليل التكلفة والسعر'!$C$2:$C$700,MATCH($C6545,'تحليل التكلفة والسعر'!$B$2:$B$700,0)),0))</f>
        <v/>
      </c>
    </row>
    <row r="6546" customFormat="false" ht="15" hidden="false" customHeight="false" outlineLevel="0" collapsed="false">
      <c r="A6546" s="102"/>
      <c r="E6546" s="103" t="str">
        <f aca="false">IF($C6546="","",IFERROR(INDEX(المنيو!$C$2:$C$500,MATCH($C6546,المنيو!$B$2:$B$500,0)),0))</f>
        <v/>
      </c>
      <c r="F6546" s="103" t="str">
        <f aca="false">IF($C6546="","",$D6546*$E6546)</f>
        <v/>
      </c>
      <c r="G6546" s="103" t="str">
        <f aca="false">IF($C6546="","",$D6546*IFERROR(INDEX('تحليل التكلفة والسعر'!$C$2:$C$700,MATCH($C6546,'تحليل التكلفة والسعر'!$B$2:$B$700,0)),0))</f>
        <v/>
      </c>
    </row>
    <row r="6547" customFormat="false" ht="15" hidden="false" customHeight="false" outlineLevel="0" collapsed="false">
      <c r="A6547" s="102"/>
      <c r="E6547" s="103" t="str">
        <f aca="false">IF($C6547="","",IFERROR(INDEX(المنيو!$C$2:$C$500,MATCH($C6547,المنيو!$B$2:$B$500,0)),0))</f>
        <v/>
      </c>
      <c r="F6547" s="103" t="str">
        <f aca="false">IF($C6547="","",$D6547*$E6547)</f>
        <v/>
      </c>
      <c r="G6547" s="103" t="str">
        <f aca="false">IF($C6547="","",$D6547*IFERROR(INDEX('تحليل التكلفة والسعر'!$C$2:$C$700,MATCH($C6547,'تحليل التكلفة والسعر'!$B$2:$B$700,0)),0))</f>
        <v/>
      </c>
    </row>
    <row r="6548" customFormat="false" ht="15" hidden="false" customHeight="false" outlineLevel="0" collapsed="false">
      <c r="A6548" s="102"/>
      <c r="E6548" s="103" t="str">
        <f aca="false">IF($C6548="","",IFERROR(INDEX(المنيو!$C$2:$C$500,MATCH($C6548,المنيو!$B$2:$B$500,0)),0))</f>
        <v/>
      </c>
      <c r="F6548" s="103" t="str">
        <f aca="false">IF($C6548="","",$D6548*$E6548)</f>
        <v/>
      </c>
      <c r="G6548" s="103" t="str">
        <f aca="false">IF($C6548="","",$D6548*IFERROR(INDEX('تحليل التكلفة والسعر'!$C$2:$C$700,MATCH($C6548,'تحليل التكلفة والسعر'!$B$2:$B$700,0)),0))</f>
        <v/>
      </c>
    </row>
    <row r="6549" customFormat="false" ht="15" hidden="false" customHeight="false" outlineLevel="0" collapsed="false">
      <c r="A6549" s="102"/>
      <c r="E6549" s="103" t="str">
        <f aca="false">IF($C6549="","",IFERROR(INDEX(المنيو!$C$2:$C$500,MATCH($C6549,المنيو!$B$2:$B$500,0)),0))</f>
        <v/>
      </c>
      <c r="F6549" s="103" t="str">
        <f aca="false">IF($C6549="","",$D6549*$E6549)</f>
        <v/>
      </c>
      <c r="G6549" s="103" t="str">
        <f aca="false">IF($C6549="","",$D6549*IFERROR(INDEX('تحليل التكلفة والسعر'!$C$2:$C$700,MATCH($C6549,'تحليل التكلفة والسعر'!$B$2:$B$700,0)),0))</f>
        <v/>
      </c>
    </row>
    <row r="6550" customFormat="false" ht="15" hidden="false" customHeight="false" outlineLevel="0" collapsed="false">
      <c r="A6550" s="102"/>
      <c r="E6550" s="103" t="str">
        <f aca="false">IF($C6550="","",IFERROR(INDEX(المنيو!$C$2:$C$500,MATCH($C6550,المنيو!$B$2:$B$500,0)),0))</f>
        <v/>
      </c>
      <c r="F6550" s="103" t="str">
        <f aca="false">IF($C6550="","",$D6550*$E6550)</f>
        <v/>
      </c>
      <c r="G6550" s="103" t="str">
        <f aca="false">IF($C6550="","",$D6550*IFERROR(INDEX('تحليل التكلفة والسعر'!$C$2:$C$700,MATCH($C6550,'تحليل التكلفة والسعر'!$B$2:$B$700,0)),0))</f>
        <v/>
      </c>
    </row>
    <row r="6551" customFormat="false" ht="15" hidden="false" customHeight="false" outlineLevel="0" collapsed="false">
      <c r="A6551" s="102"/>
      <c r="E6551" s="103" t="str">
        <f aca="false">IF($C6551="","",IFERROR(INDEX(المنيو!$C$2:$C$500,MATCH($C6551,المنيو!$B$2:$B$500,0)),0))</f>
        <v/>
      </c>
      <c r="F6551" s="103" t="str">
        <f aca="false">IF($C6551="","",$D6551*$E6551)</f>
        <v/>
      </c>
      <c r="G6551" s="103" t="str">
        <f aca="false">IF($C6551="","",$D6551*IFERROR(INDEX('تحليل التكلفة والسعر'!$C$2:$C$700,MATCH($C6551,'تحليل التكلفة والسعر'!$B$2:$B$700,0)),0))</f>
        <v/>
      </c>
    </row>
    <row r="6552" customFormat="false" ht="15" hidden="false" customHeight="false" outlineLevel="0" collapsed="false">
      <c r="A6552" s="102"/>
      <c r="E6552" s="103" t="str">
        <f aca="false">IF($C6552="","",IFERROR(INDEX(المنيو!$C$2:$C$500,MATCH($C6552,المنيو!$B$2:$B$500,0)),0))</f>
        <v/>
      </c>
      <c r="F6552" s="103" t="str">
        <f aca="false">IF($C6552="","",$D6552*$E6552)</f>
        <v/>
      </c>
      <c r="G6552" s="103" t="str">
        <f aca="false">IF($C6552="","",$D6552*IFERROR(INDEX('تحليل التكلفة والسعر'!$C$2:$C$700,MATCH($C6552,'تحليل التكلفة والسعر'!$B$2:$B$700,0)),0))</f>
        <v/>
      </c>
    </row>
    <row r="6553" customFormat="false" ht="15" hidden="false" customHeight="false" outlineLevel="0" collapsed="false">
      <c r="A6553" s="102"/>
      <c r="E6553" s="103" t="str">
        <f aca="false">IF($C6553="","",IFERROR(INDEX(المنيو!$C$2:$C$500,MATCH($C6553,المنيو!$B$2:$B$500,0)),0))</f>
        <v/>
      </c>
      <c r="F6553" s="103" t="str">
        <f aca="false">IF($C6553="","",$D6553*$E6553)</f>
        <v/>
      </c>
      <c r="G6553" s="103" t="str">
        <f aca="false">IF($C6553="","",$D6553*IFERROR(INDEX('تحليل التكلفة والسعر'!$C$2:$C$700,MATCH($C6553,'تحليل التكلفة والسعر'!$B$2:$B$700,0)),0))</f>
        <v/>
      </c>
    </row>
    <row r="6554" customFormat="false" ht="15" hidden="false" customHeight="false" outlineLevel="0" collapsed="false">
      <c r="A6554" s="102"/>
      <c r="E6554" s="103" t="str">
        <f aca="false">IF($C6554="","",IFERROR(INDEX(المنيو!$C$2:$C$500,MATCH($C6554,المنيو!$B$2:$B$500,0)),0))</f>
        <v/>
      </c>
      <c r="F6554" s="103" t="str">
        <f aca="false">IF($C6554="","",$D6554*$E6554)</f>
        <v/>
      </c>
      <c r="G6554" s="103" t="str">
        <f aca="false">IF($C6554="","",$D6554*IFERROR(INDEX('تحليل التكلفة والسعر'!$C$2:$C$700,MATCH($C6554,'تحليل التكلفة والسعر'!$B$2:$B$700,0)),0))</f>
        <v/>
      </c>
    </row>
    <row r="6555" customFormat="false" ht="15" hidden="false" customHeight="false" outlineLevel="0" collapsed="false">
      <c r="A6555" s="102"/>
      <c r="E6555" s="103" t="str">
        <f aca="false">IF($C6555="","",IFERROR(INDEX(المنيو!$C$2:$C$500,MATCH($C6555,المنيو!$B$2:$B$500,0)),0))</f>
        <v/>
      </c>
      <c r="F6555" s="103" t="str">
        <f aca="false">IF($C6555="","",$D6555*$E6555)</f>
        <v/>
      </c>
      <c r="G6555" s="103" t="str">
        <f aca="false">IF($C6555="","",$D6555*IFERROR(INDEX('تحليل التكلفة والسعر'!$C$2:$C$700,MATCH($C6555,'تحليل التكلفة والسعر'!$B$2:$B$700,0)),0))</f>
        <v/>
      </c>
    </row>
    <row r="6556" customFormat="false" ht="15" hidden="false" customHeight="false" outlineLevel="0" collapsed="false">
      <c r="A6556" s="102"/>
      <c r="E6556" s="103" t="str">
        <f aca="false">IF($C6556="","",IFERROR(INDEX(المنيو!$C$2:$C$500,MATCH($C6556,المنيو!$B$2:$B$500,0)),0))</f>
        <v/>
      </c>
      <c r="F6556" s="103" t="str">
        <f aca="false">IF($C6556="","",$D6556*$E6556)</f>
        <v/>
      </c>
      <c r="G6556" s="103" t="str">
        <f aca="false">IF($C6556="","",$D6556*IFERROR(INDEX('تحليل التكلفة والسعر'!$C$2:$C$700,MATCH($C6556,'تحليل التكلفة والسعر'!$B$2:$B$700,0)),0))</f>
        <v/>
      </c>
    </row>
    <row r="6557" customFormat="false" ht="15" hidden="false" customHeight="false" outlineLevel="0" collapsed="false">
      <c r="A6557" s="102"/>
      <c r="E6557" s="103" t="str">
        <f aca="false">IF($C6557="","",IFERROR(INDEX(المنيو!$C$2:$C$500,MATCH($C6557,المنيو!$B$2:$B$500,0)),0))</f>
        <v/>
      </c>
      <c r="F6557" s="103" t="str">
        <f aca="false">IF($C6557="","",$D6557*$E6557)</f>
        <v/>
      </c>
      <c r="G6557" s="103" t="str">
        <f aca="false">IF($C6557="","",$D6557*IFERROR(INDEX('تحليل التكلفة والسعر'!$C$2:$C$700,MATCH($C6557,'تحليل التكلفة والسعر'!$B$2:$B$700,0)),0))</f>
        <v/>
      </c>
    </row>
    <row r="6558" customFormat="false" ht="15" hidden="false" customHeight="false" outlineLevel="0" collapsed="false">
      <c r="A6558" s="102"/>
      <c r="E6558" s="103" t="str">
        <f aca="false">IF($C6558="","",IFERROR(INDEX(المنيو!$C$2:$C$500,MATCH($C6558,المنيو!$B$2:$B$500,0)),0))</f>
        <v/>
      </c>
      <c r="F6558" s="103" t="str">
        <f aca="false">IF($C6558="","",$D6558*$E6558)</f>
        <v/>
      </c>
      <c r="G6558" s="103" t="str">
        <f aca="false">IF($C6558="","",$D6558*IFERROR(INDEX('تحليل التكلفة والسعر'!$C$2:$C$700,MATCH($C6558,'تحليل التكلفة والسعر'!$B$2:$B$700,0)),0))</f>
        <v/>
      </c>
    </row>
    <row r="6559" customFormat="false" ht="15" hidden="false" customHeight="false" outlineLevel="0" collapsed="false">
      <c r="A6559" s="102"/>
      <c r="E6559" s="103" t="str">
        <f aca="false">IF($C6559="","",IFERROR(INDEX(المنيو!$C$2:$C$500,MATCH($C6559,المنيو!$B$2:$B$500,0)),0))</f>
        <v/>
      </c>
      <c r="F6559" s="103" t="str">
        <f aca="false">IF($C6559="","",$D6559*$E6559)</f>
        <v/>
      </c>
      <c r="G6559" s="103" t="str">
        <f aca="false">IF($C6559="","",$D6559*IFERROR(INDEX('تحليل التكلفة والسعر'!$C$2:$C$700,MATCH($C6559,'تحليل التكلفة والسعر'!$B$2:$B$700,0)),0))</f>
        <v/>
      </c>
    </row>
    <row r="6560" customFormat="false" ht="15" hidden="false" customHeight="false" outlineLevel="0" collapsed="false">
      <c r="A6560" s="102"/>
      <c r="E6560" s="103" t="str">
        <f aca="false">IF($C6560="","",IFERROR(INDEX(المنيو!$C$2:$C$500,MATCH($C6560,المنيو!$B$2:$B$500,0)),0))</f>
        <v/>
      </c>
      <c r="F6560" s="103" t="str">
        <f aca="false">IF($C6560="","",$D6560*$E6560)</f>
        <v/>
      </c>
      <c r="G6560" s="103" t="str">
        <f aca="false">IF($C6560="","",$D6560*IFERROR(INDEX('تحليل التكلفة والسعر'!$C$2:$C$700,MATCH($C6560,'تحليل التكلفة والسعر'!$B$2:$B$700,0)),0))</f>
        <v/>
      </c>
    </row>
    <row r="6561" customFormat="false" ht="15" hidden="false" customHeight="false" outlineLevel="0" collapsed="false">
      <c r="A6561" s="102"/>
      <c r="E6561" s="103" t="str">
        <f aca="false">IF($C6561="","",IFERROR(INDEX(المنيو!$C$2:$C$500,MATCH($C6561,المنيو!$B$2:$B$500,0)),0))</f>
        <v/>
      </c>
      <c r="F6561" s="103" t="str">
        <f aca="false">IF($C6561="","",$D6561*$E6561)</f>
        <v/>
      </c>
      <c r="G6561" s="103" t="str">
        <f aca="false">IF($C6561="","",$D6561*IFERROR(INDEX('تحليل التكلفة والسعر'!$C$2:$C$700,MATCH($C6561,'تحليل التكلفة والسعر'!$B$2:$B$700,0)),0))</f>
        <v/>
      </c>
    </row>
    <row r="6562" customFormat="false" ht="15" hidden="false" customHeight="false" outlineLevel="0" collapsed="false">
      <c r="A6562" s="102"/>
      <c r="E6562" s="103" t="str">
        <f aca="false">IF($C6562="","",IFERROR(INDEX(المنيو!$C$2:$C$500,MATCH($C6562,المنيو!$B$2:$B$500,0)),0))</f>
        <v/>
      </c>
      <c r="F6562" s="103" t="str">
        <f aca="false">IF($C6562="","",$D6562*$E6562)</f>
        <v/>
      </c>
      <c r="G6562" s="103" t="str">
        <f aca="false">IF($C6562="","",$D6562*IFERROR(INDEX('تحليل التكلفة والسعر'!$C$2:$C$700,MATCH($C6562,'تحليل التكلفة والسعر'!$B$2:$B$700,0)),0))</f>
        <v/>
      </c>
    </row>
    <row r="6563" customFormat="false" ht="15" hidden="false" customHeight="false" outlineLevel="0" collapsed="false">
      <c r="A6563" s="102"/>
      <c r="E6563" s="103" t="str">
        <f aca="false">IF($C6563="","",IFERROR(INDEX(المنيو!$C$2:$C$500,MATCH($C6563,المنيو!$B$2:$B$500,0)),0))</f>
        <v/>
      </c>
      <c r="F6563" s="103" t="str">
        <f aca="false">IF($C6563="","",$D6563*$E6563)</f>
        <v/>
      </c>
      <c r="G6563" s="103" t="str">
        <f aca="false">IF($C6563="","",$D6563*IFERROR(INDEX('تحليل التكلفة والسعر'!$C$2:$C$700,MATCH($C6563,'تحليل التكلفة والسعر'!$B$2:$B$700,0)),0))</f>
        <v/>
      </c>
    </row>
    <row r="6564" customFormat="false" ht="15" hidden="false" customHeight="false" outlineLevel="0" collapsed="false">
      <c r="A6564" s="102"/>
      <c r="E6564" s="103" t="str">
        <f aca="false">IF($C6564="","",IFERROR(INDEX(المنيو!$C$2:$C$500,MATCH($C6564,المنيو!$B$2:$B$500,0)),0))</f>
        <v/>
      </c>
      <c r="F6564" s="103" t="str">
        <f aca="false">IF($C6564="","",$D6564*$E6564)</f>
        <v/>
      </c>
      <c r="G6564" s="103" t="str">
        <f aca="false">IF($C6564="","",$D6564*IFERROR(INDEX('تحليل التكلفة والسعر'!$C$2:$C$700,MATCH($C6564,'تحليل التكلفة والسعر'!$B$2:$B$700,0)),0))</f>
        <v/>
      </c>
    </row>
    <row r="6565" customFormat="false" ht="15" hidden="false" customHeight="false" outlineLevel="0" collapsed="false">
      <c r="A6565" s="102"/>
      <c r="E6565" s="103" t="str">
        <f aca="false">IF($C6565="","",IFERROR(INDEX(المنيو!$C$2:$C$500,MATCH($C6565,المنيو!$B$2:$B$500,0)),0))</f>
        <v/>
      </c>
      <c r="F6565" s="103" t="str">
        <f aca="false">IF($C6565="","",$D6565*$E6565)</f>
        <v/>
      </c>
      <c r="G6565" s="103" t="str">
        <f aca="false">IF($C6565="","",$D6565*IFERROR(INDEX('تحليل التكلفة والسعر'!$C$2:$C$700,MATCH($C6565,'تحليل التكلفة والسعر'!$B$2:$B$700,0)),0))</f>
        <v/>
      </c>
    </row>
    <row r="6566" customFormat="false" ht="15" hidden="false" customHeight="false" outlineLevel="0" collapsed="false">
      <c r="A6566" s="102"/>
      <c r="E6566" s="103" t="str">
        <f aca="false">IF($C6566="","",IFERROR(INDEX(المنيو!$C$2:$C$500,MATCH($C6566,المنيو!$B$2:$B$500,0)),0))</f>
        <v/>
      </c>
      <c r="F6566" s="103" t="str">
        <f aca="false">IF($C6566="","",$D6566*$E6566)</f>
        <v/>
      </c>
      <c r="G6566" s="103" t="str">
        <f aca="false">IF($C6566="","",$D6566*IFERROR(INDEX('تحليل التكلفة والسعر'!$C$2:$C$700,MATCH($C6566,'تحليل التكلفة والسعر'!$B$2:$B$700,0)),0))</f>
        <v/>
      </c>
    </row>
    <row r="6567" customFormat="false" ht="15" hidden="false" customHeight="false" outlineLevel="0" collapsed="false">
      <c r="A6567" s="102"/>
      <c r="E6567" s="103" t="str">
        <f aca="false">IF($C6567="","",IFERROR(INDEX(المنيو!$C$2:$C$500,MATCH($C6567,المنيو!$B$2:$B$500,0)),0))</f>
        <v/>
      </c>
      <c r="F6567" s="103" t="str">
        <f aca="false">IF($C6567="","",$D6567*$E6567)</f>
        <v/>
      </c>
      <c r="G6567" s="103" t="str">
        <f aca="false">IF($C6567="","",$D6567*IFERROR(INDEX('تحليل التكلفة والسعر'!$C$2:$C$700,MATCH($C6567,'تحليل التكلفة والسعر'!$B$2:$B$700,0)),0))</f>
        <v/>
      </c>
    </row>
    <row r="6568" customFormat="false" ht="15" hidden="false" customHeight="false" outlineLevel="0" collapsed="false">
      <c r="A6568" s="102"/>
      <c r="E6568" s="103" t="str">
        <f aca="false">IF($C6568="","",IFERROR(INDEX(المنيو!$C$2:$C$500,MATCH($C6568,المنيو!$B$2:$B$500,0)),0))</f>
        <v/>
      </c>
      <c r="F6568" s="103" t="str">
        <f aca="false">IF($C6568="","",$D6568*$E6568)</f>
        <v/>
      </c>
      <c r="G6568" s="103" t="str">
        <f aca="false">IF($C6568="","",$D6568*IFERROR(INDEX('تحليل التكلفة والسعر'!$C$2:$C$700,MATCH($C6568,'تحليل التكلفة والسعر'!$B$2:$B$700,0)),0))</f>
        <v/>
      </c>
    </row>
    <row r="6569" customFormat="false" ht="15" hidden="false" customHeight="false" outlineLevel="0" collapsed="false">
      <c r="A6569" s="102"/>
      <c r="E6569" s="103" t="str">
        <f aca="false">IF($C6569="","",IFERROR(INDEX(المنيو!$C$2:$C$500,MATCH($C6569,المنيو!$B$2:$B$500,0)),0))</f>
        <v/>
      </c>
      <c r="F6569" s="103" t="str">
        <f aca="false">IF($C6569="","",$D6569*$E6569)</f>
        <v/>
      </c>
      <c r="G6569" s="103" t="str">
        <f aca="false">IF($C6569="","",$D6569*IFERROR(INDEX('تحليل التكلفة والسعر'!$C$2:$C$700,MATCH($C6569,'تحليل التكلفة والسعر'!$B$2:$B$700,0)),0))</f>
        <v/>
      </c>
    </row>
    <row r="6570" customFormat="false" ht="15" hidden="false" customHeight="false" outlineLevel="0" collapsed="false">
      <c r="A6570" s="102"/>
      <c r="E6570" s="103" t="str">
        <f aca="false">IF($C6570="","",IFERROR(INDEX(المنيو!$C$2:$C$500,MATCH($C6570,المنيو!$B$2:$B$500,0)),0))</f>
        <v/>
      </c>
      <c r="F6570" s="103" t="str">
        <f aca="false">IF($C6570="","",$D6570*$E6570)</f>
        <v/>
      </c>
      <c r="G6570" s="103" t="str">
        <f aca="false">IF($C6570="","",$D6570*IFERROR(INDEX('تحليل التكلفة والسعر'!$C$2:$C$700,MATCH($C6570,'تحليل التكلفة والسعر'!$B$2:$B$700,0)),0))</f>
        <v/>
      </c>
    </row>
    <row r="6571" customFormat="false" ht="15" hidden="false" customHeight="false" outlineLevel="0" collapsed="false">
      <c r="A6571" s="102"/>
      <c r="E6571" s="103" t="str">
        <f aca="false">IF($C6571="","",IFERROR(INDEX(المنيو!$C$2:$C$500,MATCH($C6571,المنيو!$B$2:$B$500,0)),0))</f>
        <v/>
      </c>
      <c r="F6571" s="103" t="str">
        <f aca="false">IF($C6571="","",$D6571*$E6571)</f>
        <v/>
      </c>
      <c r="G6571" s="103" t="str">
        <f aca="false">IF($C6571="","",$D6571*IFERROR(INDEX('تحليل التكلفة والسعر'!$C$2:$C$700,MATCH($C6571,'تحليل التكلفة والسعر'!$B$2:$B$700,0)),0))</f>
        <v/>
      </c>
    </row>
    <row r="6572" customFormat="false" ht="15" hidden="false" customHeight="false" outlineLevel="0" collapsed="false">
      <c r="A6572" s="102"/>
      <c r="E6572" s="103" t="str">
        <f aca="false">IF($C6572="","",IFERROR(INDEX(المنيو!$C$2:$C$500,MATCH($C6572,المنيو!$B$2:$B$500,0)),0))</f>
        <v/>
      </c>
      <c r="F6572" s="103" t="str">
        <f aca="false">IF($C6572="","",$D6572*$E6572)</f>
        <v/>
      </c>
      <c r="G6572" s="103" t="str">
        <f aca="false">IF($C6572="","",$D6572*IFERROR(INDEX('تحليل التكلفة والسعر'!$C$2:$C$700,MATCH($C6572,'تحليل التكلفة والسعر'!$B$2:$B$700,0)),0))</f>
        <v/>
      </c>
    </row>
    <row r="6573" customFormat="false" ht="15" hidden="false" customHeight="false" outlineLevel="0" collapsed="false">
      <c r="A6573" s="102"/>
      <c r="E6573" s="103" t="str">
        <f aca="false">IF($C6573="","",IFERROR(INDEX(المنيو!$C$2:$C$500,MATCH($C6573,المنيو!$B$2:$B$500,0)),0))</f>
        <v/>
      </c>
      <c r="F6573" s="103" t="str">
        <f aca="false">IF($C6573="","",$D6573*$E6573)</f>
        <v/>
      </c>
      <c r="G6573" s="103" t="str">
        <f aca="false">IF($C6573="","",$D6573*IFERROR(INDEX('تحليل التكلفة والسعر'!$C$2:$C$700,MATCH($C6573,'تحليل التكلفة والسعر'!$B$2:$B$700,0)),0))</f>
        <v/>
      </c>
    </row>
    <row r="6574" customFormat="false" ht="15" hidden="false" customHeight="false" outlineLevel="0" collapsed="false">
      <c r="A6574" s="102"/>
      <c r="E6574" s="103" t="str">
        <f aca="false">IF($C6574="","",IFERROR(INDEX(المنيو!$C$2:$C$500,MATCH($C6574,المنيو!$B$2:$B$500,0)),0))</f>
        <v/>
      </c>
      <c r="F6574" s="103" t="str">
        <f aca="false">IF($C6574="","",$D6574*$E6574)</f>
        <v/>
      </c>
      <c r="G6574" s="103" t="str">
        <f aca="false">IF($C6574="","",$D6574*IFERROR(INDEX('تحليل التكلفة والسعر'!$C$2:$C$700,MATCH($C6574,'تحليل التكلفة والسعر'!$B$2:$B$700,0)),0))</f>
        <v/>
      </c>
    </row>
    <row r="6575" customFormat="false" ht="15" hidden="false" customHeight="false" outlineLevel="0" collapsed="false">
      <c r="A6575" s="102"/>
      <c r="E6575" s="103" t="str">
        <f aca="false">IF($C6575="","",IFERROR(INDEX(المنيو!$C$2:$C$500,MATCH($C6575,المنيو!$B$2:$B$500,0)),0))</f>
        <v/>
      </c>
      <c r="F6575" s="103" t="str">
        <f aca="false">IF($C6575="","",$D6575*$E6575)</f>
        <v/>
      </c>
      <c r="G6575" s="103" t="str">
        <f aca="false">IF($C6575="","",$D6575*IFERROR(INDEX('تحليل التكلفة والسعر'!$C$2:$C$700,MATCH($C6575,'تحليل التكلفة والسعر'!$B$2:$B$700,0)),0))</f>
        <v/>
      </c>
    </row>
    <row r="6576" customFormat="false" ht="15" hidden="false" customHeight="false" outlineLevel="0" collapsed="false">
      <c r="A6576" s="102"/>
      <c r="E6576" s="103" t="str">
        <f aca="false">IF($C6576="","",IFERROR(INDEX(المنيو!$C$2:$C$500,MATCH($C6576,المنيو!$B$2:$B$500,0)),0))</f>
        <v/>
      </c>
      <c r="F6576" s="103" t="str">
        <f aca="false">IF($C6576="","",$D6576*$E6576)</f>
        <v/>
      </c>
      <c r="G6576" s="103" t="str">
        <f aca="false">IF($C6576="","",$D6576*IFERROR(INDEX('تحليل التكلفة والسعر'!$C$2:$C$700,MATCH($C6576,'تحليل التكلفة والسعر'!$B$2:$B$700,0)),0))</f>
        <v/>
      </c>
    </row>
    <row r="6577" customFormat="false" ht="15" hidden="false" customHeight="false" outlineLevel="0" collapsed="false">
      <c r="A6577" s="102"/>
      <c r="E6577" s="103" t="str">
        <f aca="false">IF($C6577="","",IFERROR(INDEX(المنيو!$C$2:$C$500,MATCH($C6577,المنيو!$B$2:$B$500,0)),0))</f>
        <v/>
      </c>
      <c r="F6577" s="103" t="str">
        <f aca="false">IF($C6577="","",$D6577*$E6577)</f>
        <v/>
      </c>
      <c r="G6577" s="103" t="str">
        <f aca="false">IF($C6577="","",$D6577*IFERROR(INDEX('تحليل التكلفة والسعر'!$C$2:$C$700,MATCH($C6577,'تحليل التكلفة والسعر'!$B$2:$B$700,0)),0))</f>
        <v/>
      </c>
    </row>
    <row r="6578" customFormat="false" ht="15" hidden="false" customHeight="false" outlineLevel="0" collapsed="false">
      <c r="A6578" s="102"/>
      <c r="E6578" s="103" t="str">
        <f aca="false">IF($C6578="","",IFERROR(INDEX(المنيو!$C$2:$C$500,MATCH($C6578,المنيو!$B$2:$B$500,0)),0))</f>
        <v/>
      </c>
      <c r="F6578" s="103" t="str">
        <f aca="false">IF($C6578="","",$D6578*$E6578)</f>
        <v/>
      </c>
      <c r="G6578" s="103" t="str">
        <f aca="false">IF($C6578="","",$D6578*IFERROR(INDEX('تحليل التكلفة والسعر'!$C$2:$C$700,MATCH($C6578,'تحليل التكلفة والسعر'!$B$2:$B$700,0)),0))</f>
        <v/>
      </c>
    </row>
    <row r="6579" customFormat="false" ht="15" hidden="false" customHeight="false" outlineLevel="0" collapsed="false">
      <c r="A6579" s="102"/>
      <c r="E6579" s="103" t="str">
        <f aca="false">IF($C6579="","",IFERROR(INDEX(المنيو!$C$2:$C$500,MATCH($C6579,المنيو!$B$2:$B$500,0)),0))</f>
        <v/>
      </c>
      <c r="F6579" s="103" t="str">
        <f aca="false">IF($C6579="","",$D6579*$E6579)</f>
        <v/>
      </c>
      <c r="G6579" s="103" t="str">
        <f aca="false">IF($C6579="","",$D6579*IFERROR(INDEX('تحليل التكلفة والسعر'!$C$2:$C$700,MATCH($C6579,'تحليل التكلفة والسعر'!$B$2:$B$700,0)),0))</f>
        <v/>
      </c>
    </row>
    <row r="6580" customFormat="false" ht="15" hidden="false" customHeight="false" outlineLevel="0" collapsed="false">
      <c r="A6580" s="102"/>
      <c r="E6580" s="103" t="str">
        <f aca="false">IF($C6580="","",IFERROR(INDEX(المنيو!$C$2:$C$500,MATCH($C6580,المنيو!$B$2:$B$500,0)),0))</f>
        <v/>
      </c>
      <c r="F6580" s="103" t="str">
        <f aca="false">IF($C6580="","",$D6580*$E6580)</f>
        <v/>
      </c>
      <c r="G6580" s="103" t="str">
        <f aca="false">IF($C6580="","",$D6580*IFERROR(INDEX('تحليل التكلفة والسعر'!$C$2:$C$700,MATCH($C6580,'تحليل التكلفة والسعر'!$B$2:$B$700,0)),0))</f>
        <v/>
      </c>
    </row>
    <row r="6581" customFormat="false" ht="15" hidden="false" customHeight="false" outlineLevel="0" collapsed="false">
      <c r="A6581" s="102"/>
      <c r="E6581" s="103" t="str">
        <f aca="false">IF($C6581="","",IFERROR(INDEX(المنيو!$C$2:$C$500,MATCH($C6581,المنيو!$B$2:$B$500,0)),0))</f>
        <v/>
      </c>
      <c r="F6581" s="103" t="str">
        <f aca="false">IF($C6581="","",$D6581*$E6581)</f>
        <v/>
      </c>
      <c r="G6581" s="103" t="str">
        <f aca="false">IF($C6581="","",$D6581*IFERROR(INDEX('تحليل التكلفة والسعر'!$C$2:$C$700,MATCH($C6581,'تحليل التكلفة والسعر'!$B$2:$B$700,0)),0))</f>
        <v/>
      </c>
    </row>
    <row r="6582" customFormat="false" ht="15" hidden="false" customHeight="false" outlineLevel="0" collapsed="false">
      <c r="A6582" s="102"/>
      <c r="E6582" s="103" t="str">
        <f aca="false">IF($C6582="","",IFERROR(INDEX(المنيو!$C$2:$C$500,MATCH($C6582,المنيو!$B$2:$B$500,0)),0))</f>
        <v/>
      </c>
      <c r="F6582" s="103" t="str">
        <f aca="false">IF($C6582="","",$D6582*$E6582)</f>
        <v/>
      </c>
      <c r="G6582" s="103" t="str">
        <f aca="false">IF($C6582="","",$D6582*IFERROR(INDEX('تحليل التكلفة والسعر'!$C$2:$C$700,MATCH($C6582,'تحليل التكلفة والسعر'!$B$2:$B$700,0)),0))</f>
        <v/>
      </c>
    </row>
    <row r="6583" customFormat="false" ht="15" hidden="false" customHeight="false" outlineLevel="0" collapsed="false">
      <c r="A6583" s="102"/>
      <c r="E6583" s="103" t="str">
        <f aca="false">IF($C6583="","",IFERROR(INDEX(المنيو!$C$2:$C$500,MATCH($C6583,المنيو!$B$2:$B$500,0)),0))</f>
        <v/>
      </c>
      <c r="F6583" s="103" t="str">
        <f aca="false">IF($C6583="","",$D6583*$E6583)</f>
        <v/>
      </c>
      <c r="G6583" s="103" t="str">
        <f aca="false">IF($C6583="","",$D6583*IFERROR(INDEX('تحليل التكلفة والسعر'!$C$2:$C$700,MATCH($C6583,'تحليل التكلفة والسعر'!$B$2:$B$700,0)),0))</f>
        <v/>
      </c>
    </row>
    <row r="6584" customFormat="false" ht="15" hidden="false" customHeight="false" outlineLevel="0" collapsed="false">
      <c r="A6584" s="102"/>
      <c r="E6584" s="103" t="str">
        <f aca="false">IF($C6584="","",IFERROR(INDEX(المنيو!$C$2:$C$500,MATCH($C6584,المنيو!$B$2:$B$500,0)),0))</f>
        <v/>
      </c>
      <c r="F6584" s="103" t="str">
        <f aca="false">IF($C6584="","",$D6584*$E6584)</f>
        <v/>
      </c>
      <c r="G6584" s="103" t="str">
        <f aca="false">IF($C6584="","",$D6584*IFERROR(INDEX('تحليل التكلفة والسعر'!$C$2:$C$700,MATCH($C6584,'تحليل التكلفة والسعر'!$B$2:$B$700,0)),0))</f>
        <v/>
      </c>
    </row>
    <row r="6585" customFormat="false" ht="15" hidden="false" customHeight="false" outlineLevel="0" collapsed="false">
      <c r="A6585" s="102"/>
      <c r="E6585" s="103" t="str">
        <f aca="false">IF($C6585="","",IFERROR(INDEX(المنيو!$C$2:$C$500,MATCH($C6585,المنيو!$B$2:$B$500,0)),0))</f>
        <v/>
      </c>
      <c r="F6585" s="103" t="str">
        <f aca="false">IF($C6585="","",$D6585*$E6585)</f>
        <v/>
      </c>
      <c r="G6585" s="103" t="str">
        <f aca="false">IF($C6585="","",$D6585*IFERROR(INDEX('تحليل التكلفة والسعر'!$C$2:$C$700,MATCH($C6585,'تحليل التكلفة والسعر'!$B$2:$B$700,0)),0))</f>
        <v/>
      </c>
    </row>
    <row r="6586" customFormat="false" ht="15" hidden="false" customHeight="false" outlineLevel="0" collapsed="false">
      <c r="A6586" s="102"/>
      <c r="E6586" s="103" t="str">
        <f aca="false">IF($C6586="","",IFERROR(INDEX(المنيو!$C$2:$C$500,MATCH($C6586,المنيو!$B$2:$B$500,0)),0))</f>
        <v/>
      </c>
      <c r="F6586" s="103" t="str">
        <f aca="false">IF($C6586="","",$D6586*$E6586)</f>
        <v/>
      </c>
      <c r="G6586" s="103" t="str">
        <f aca="false">IF($C6586="","",$D6586*IFERROR(INDEX('تحليل التكلفة والسعر'!$C$2:$C$700,MATCH($C6586,'تحليل التكلفة والسعر'!$B$2:$B$700,0)),0))</f>
        <v/>
      </c>
    </row>
    <row r="6587" customFormat="false" ht="15" hidden="false" customHeight="false" outlineLevel="0" collapsed="false">
      <c r="A6587" s="102"/>
      <c r="E6587" s="103" t="str">
        <f aca="false">IF($C6587="","",IFERROR(INDEX(المنيو!$C$2:$C$500,MATCH($C6587,المنيو!$B$2:$B$500,0)),0))</f>
        <v/>
      </c>
      <c r="F6587" s="103" t="str">
        <f aca="false">IF($C6587="","",$D6587*$E6587)</f>
        <v/>
      </c>
      <c r="G6587" s="103" t="str">
        <f aca="false">IF($C6587="","",$D6587*IFERROR(INDEX('تحليل التكلفة والسعر'!$C$2:$C$700,MATCH($C6587,'تحليل التكلفة والسعر'!$B$2:$B$700,0)),0))</f>
        <v/>
      </c>
    </row>
    <row r="6588" customFormat="false" ht="15" hidden="false" customHeight="false" outlineLevel="0" collapsed="false">
      <c r="A6588" s="102"/>
      <c r="E6588" s="103" t="str">
        <f aca="false">IF($C6588="","",IFERROR(INDEX(المنيو!$C$2:$C$500,MATCH($C6588,المنيو!$B$2:$B$500,0)),0))</f>
        <v/>
      </c>
      <c r="F6588" s="103" t="str">
        <f aca="false">IF($C6588="","",$D6588*$E6588)</f>
        <v/>
      </c>
      <c r="G6588" s="103" t="str">
        <f aca="false">IF($C6588="","",$D6588*IFERROR(INDEX('تحليل التكلفة والسعر'!$C$2:$C$700,MATCH($C6588,'تحليل التكلفة والسعر'!$B$2:$B$700,0)),0))</f>
        <v/>
      </c>
    </row>
    <row r="6589" customFormat="false" ht="15" hidden="false" customHeight="false" outlineLevel="0" collapsed="false">
      <c r="A6589" s="102"/>
      <c r="E6589" s="103" t="str">
        <f aca="false">IF($C6589="","",IFERROR(INDEX(المنيو!$C$2:$C$500,MATCH($C6589,المنيو!$B$2:$B$500,0)),0))</f>
        <v/>
      </c>
      <c r="F6589" s="103" t="str">
        <f aca="false">IF($C6589="","",$D6589*$E6589)</f>
        <v/>
      </c>
      <c r="G6589" s="103" t="str">
        <f aca="false">IF($C6589="","",$D6589*IFERROR(INDEX('تحليل التكلفة والسعر'!$C$2:$C$700,MATCH($C6589,'تحليل التكلفة والسعر'!$B$2:$B$700,0)),0))</f>
        <v/>
      </c>
    </row>
    <row r="6590" customFormat="false" ht="15" hidden="false" customHeight="false" outlineLevel="0" collapsed="false">
      <c r="A6590" s="102"/>
      <c r="E6590" s="103" t="str">
        <f aca="false">IF($C6590="","",IFERROR(INDEX(المنيو!$C$2:$C$500,MATCH($C6590,المنيو!$B$2:$B$500,0)),0))</f>
        <v/>
      </c>
      <c r="F6590" s="103" t="str">
        <f aca="false">IF($C6590="","",$D6590*$E6590)</f>
        <v/>
      </c>
      <c r="G6590" s="103" t="str">
        <f aca="false">IF($C6590="","",$D6590*IFERROR(INDEX('تحليل التكلفة والسعر'!$C$2:$C$700,MATCH($C6590,'تحليل التكلفة والسعر'!$B$2:$B$700,0)),0))</f>
        <v/>
      </c>
    </row>
    <row r="6591" customFormat="false" ht="15" hidden="false" customHeight="false" outlineLevel="0" collapsed="false">
      <c r="A6591" s="102"/>
      <c r="E6591" s="103" t="str">
        <f aca="false">IF($C6591="","",IFERROR(INDEX(المنيو!$C$2:$C$500,MATCH($C6591,المنيو!$B$2:$B$500,0)),0))</f>
        <v/>
      </c>
      <c r="F6591" s="103" t="str">
        <f aca="false">IF($C6591="","",$D6591*$E6591)</f>
        <v/>
      </c>
      <c r="G6591" s="103" t="str">
        <f aca="false">IF($C6591="","",$D6591*IFERROR(INDEX('تحليل التكلفة والسعر'!$C$2:$C$700,MATCH($C6591,'تحليل التكلفة والسعر'!$B$2:$B$700,0)),0))</f>
        <v/>
      </c>
    </row>
    <row r="6592" customFormat="false" ht="15" hidden="false" customHeight="false" outlineLevel="0" collapsed="false">
      <c r="A6592" s="102"/>
      <c r="E6592" s="103" t="str">
        <f aca="false">IF($C6592="","",IFERROR(INDEX(المنيو!$C$2:$C$500,MATCH($C6592,المنيو!$B$2:$B$500,0)),0))</f>
        <v/>
      </c>
      <c r="F6592" s="103" t="str">
        <f aca="false">IF($C6592="","",$D6592*$E6592)</f>
        <v/>
      </c>
      <c r="G6592" s="103" t="str">
        <f aca="false">IF($C6592="","",$D6592*IFERROR(INDEX('تحليل التكلفة والسعر'!$C$2:$C$700,MATCH($C6592,'تحليل التكلفة والسعر'!$B$2:$B$700,0)),0))</f>
        <v/>
      </c>
    </row>
    <row r="6593" customFormat="false" ht="15" hidden="false" customHeight="false" outlineLevel="0" collapsed="false">
      <c r="A6593" s="102"/>
      <c r="E6593" s="103" t="str">
        <f aca="false">IF($C6593="","",IFERROR(INDEX(المنيو!$C$2:$C$500,MATCH($C6593,المنيو!$B$2:$B$500,0)),0))</f>
        <v/>
      </c>
      <c r="F6593" s="103" t="str">
        <f aca="false">IF($C6593="","",$D6593*$E6593)</f>
        <v/>
      </c>
      <c r="G6593" s="103" t="str">
        <f aca="false">IF($C6593="","",$D6593*IFERROR(INDEX('تحليل التكلفة والسعر'!$C$2:$C$700,MATCH($C6593,'تحليل التكلفة والسعر'!$B$2:$B$700,0)),0))</f>
        <v/>
      </c>
    </row>
    <row r="6594" customFormat="false" ht="15" hidden="false" customHeight="false" outlineLevel="0" collapsed="false">
      <c r="A6594" s="102"/>
      <c r="E6594" s="103" t="str">
        <f aca="false">IF($C6594="","",IFERROR(INDEX(المنيو!$C$2:$C$500,MATCH($C6594,المنيو!$B$2:$B$500,0)),0))</f>
        <v/>
      </c>
      <c r="F6594" s="103" t="str">
        <f aca="false">IF($C6594="","",$D6594*$E6594)</f>
        <v/>
      </c>
      <c r="G6594" s="103" t="str">
        <f aca="false">IF($C6594="","",$D6594*IFERROR(INDEX('تحليل التكلفة والسعر'!$C$2:$C$700,MATCH($C6594,'تحليل التكلفة والسعر'!$B$2:$B$700,0)),0))</f>
        <v/>
      </c>
    </row>
    <row r="6595" customFormat="false" ht="15" hidden="false" customHeight="false" outlineLevel="0" collapsed="false">
      <c r="A6595" s="102"/>
      <c r="E6595" s="103" t="str">
        <f aca="false">IF($C6595="","",IFERROR(INDEX(المنيو!$C$2:$C$500,MATCH($C6595,المنيو!$B$2:$B$500,0)),0))</f>
        <v/>
      </c>
      <c r="F6595" s="103" t="str">
        <f aca="false">IF($C6595="","",$D6595*$E6595)</f>
        <v/>
      </c>
      <c r="G6595" s="103" t="str">
        <f aca="false">IF($C6595="","",$D6595*IFERROR(INDEX('تحليل التكلفة والسعر'!$C$2:$C$700,MATCH($C6595,'تحليل التكلفة والسعر'!$B$2:$B$700,0)),0))</f>
        <v/>
      </c>
    </row>
    <row r="6596" customFormat="false" ht="15" hidden="false" customHeight="false" outlineLevel="0" collapsed="false">
      <c r="A6596" s="102"/>
      <c r="E6596" s="103" t="str">
        <f aca="false">IF($C6596="","",IFERROR(INDEX(المنيو!$C$2:$C$500,MATCH($C6596,المنيو!$B$2:$B$500,0)),0))</f>
        <v/>
      </c>
      <c r="F6596" s="103" t="str">
        <f aca="false">IF($C6596="","",$D6596*$E6596)</f>
        <v/>
      </c>
      <c r="G6596" s="103" t="str">
        <f aca="false">IF($C6596="","",$D6596*IFERROR(INDEX('تحليل التكلفة والسعر'!$C$2:$C$700,MATCH($C6596,'تحليل التكلفة والسعر'!$B$2:$B$700,0)),0))</f>
        <v/>
      </c>
    </row>
    <row r="6597" customFormat="false" ht="15" hidden="false" customHeight="false" outlineLevel="0" collapsed="false">
      <c r="A6597" s="102"/>
      <c r="E6597" s="103" t="str">
        <f aca="false">IF($C6597="","",IFERROR(INDEX(المنيو!$C$2:$C$500,MATCH($C6597,المنيو!$B$2:$B$500,0)),0))</f>
        <v/>
      </c>
      <c r="F6597" s="103" t="str">
        <f aca="false">IF($C6597="","",$D6597*$E6597)</f>
        <v/>
      </c>
      <c r="G6597" s="103" t="str">
        <f aca="false">IF($C6597="","",$D6597*IFERROR(INDEX('تحليل التكلفة والسعر'!$C$2:$C$700,MATCH($C6597,'تحليل التكلفة والسعر'!$B$2:$B$700,0)),0))</f>
        <v/>
      </c>
    </row>
    <row r="6598" customFormat="false" ht="15" hidden="false" customHeight="false" outlineLevel="0" collapsed="false">
      <c r="A6598" s="102"/>
      <c r="E6598" s="103" t="str">
        <f aca="false">IF($C6598="","",IFERROR(INDEX(المنيو!$C$2:$C$500,MATCH($C6598,المنيو!$B$2:$B$500,0)),0))</f>
        <v/>
      </c>
      <c r="F6598" s="103" t="str">
        <f aca="false">IF($C6598="","",$D6598*$E6598)</f>
        <v/>
      </c>
      <c r="G6598" s="103" t="str">
        <f aca="false">IF($C6598="","",$D6598*IFERROR(INDEX('تحليل التكلفة والسعر'!$C$2:$C$700,MATCH($C6598,'تحليل التكلفة والسعر'!$B$2:$B$700,0)),0))</f>
        <v/>
      </c>
    </row>
    <row r="6599" customFormat="false" ht="15" hidden="false" customHeight="false" outlineLevel="0" collapsed="false">
      <c r="A6599" s="102"/>
      <c r="E6599" s="103" t="str">
        <f aca="false">IF($C6599="","",IFERROR(INDEX(المنيو!$C$2:$C$500,MATCH($C6599,المنيو!$B$2:$B$500,0)),0))</f>
        <v/>
      </c>
      <c r="F6599" s="103" t="str">
        <f aca="false">IF($C6599="","",$D6599*$E6599)</f>
        <v/>
      </c>
      <c r="G6599" s="103" t="str">
        <f aca="false">IF($C6599="","",$D6599*IFERROR(INDEX('تحليل التكلفة والسعر'!$C$2:$C$700,MATCH($C6599,'تحليل التكلفة والسعر'!$B$2:$B$700,0)),0))</f>
        <v/>
      </c>
    </row>
    <row r="6600" customFormat="false" ht="15" hidden="false" customHeight="false" outlineLevel="0" collapsed="false">
      <c r="A6600" s="102"/>
      <c r="E6600" s="103" t="str">
        <f aca="false">IF($C6600="","",IFERROR(INDEX(المنيو!$C$2:$C$500,MATCH($C6600,المنيو!$B$2:$B$500,0)),0))</f>
        <v/>
      </c>
      <c r="F6600" s="103" t="str">
        <f aca="false">IF($C6600="","",$D6600*$E6600)</f>
        <v/>
      </c>
      <c r="G6600" s="103" t="str">
        <f aca="false">IF($C6600="","",$D6600*IFERROR(INDEX('تحليل التكلفة والسعر'!$C$2:$C$700,MATCH($C6600,'تحليل التكلفة والسعر'!$B$2:$B$700,0)),0))</f>
        <v/>
      </c>
    </row>
    <row r="6601" customFormat="false" ht="15" hidden="false" customHeight="false" outlineLevel="0" collapsed="false">
      <c r="A6601" s="102"/>
      <c r="E6601" s="103" t="str">
        <f aca="false">IF($C6601="","",IFERROR(INDEX(المنيو!$C$2:$C$500,MATCH($C6601,المنيو!$B$2:$B$500,0)),0))</f>
        <v/>
      </c>
      <c r="F6601" s="103" t="str">
        <f aca="false">IF($C6601="","",$D6601*$E6601)</f>
        <v/>
      </c>
      <c r="G6601" s="103" t="str">
        <f aca="false">IF($C6601="","",$D6601*IFERROR(INDEX('تحليل التكلفة والسعر'!$C$2:$C$700,MATCH($C6601,'تحليل التكلفة والسعر'!$B$2:$B$700,0)),0))</f>
        <v/>
      </c>
    </row>
    <row r="6602" customFormat="false" ht="15" hidden="false" customHeight="false" outlineLevel="0" collapsed="false">
      <c r="A6602" s="102"/>
      <c r="E6602" s="103" t="str">
        <f aca="false">IF($C6602="","",IFERROR(INDEX(المنيو!$C$2:$C$500,MATCH($C6602,المنيو!$B$2:$B$500,0)),0))</f>
        <v/>
      </c>
      <c r="F6602" s="103" t="str">
        <f aca="false">IF($C6602="","",$D6602*$E6602)</f>
        <v/>
      </c>
      <c r="G6602" s="103" t="str">
        <f aca="false">IF($C6602="","",$D6602*IFERROR(INDEX('تحليل التكلفة والسعر'!$C$2:$C$700,MATCH($C6602,'تحليل التكلفة والسعر'!$B$2:$B$700,0)),0))</f>
        <v/>
      </c>
    </row>
    <row r="6603" customFormat="false" ht="15" hidden="false" customHeight="false" outlineLevel="0" collapsed="false">
      <c r="A6603" s="102"/>
      <c r="E6603" s="103" t="str">
        <f aca="false">IF($C6603="","",IFERROR(INDEX(المنيو!$C$2:$C$500,MATCH($C6603,المنيو!$B$2:$B$500,0)),0))</f>
        <v/>
      </c>
      <c r="F6603" s="103" t="str">
        <f aca="false">IF($C6603="","",$D6603*$E6603)</f>
        <v/>
      </c>
      <c r="G6603" s="103" t="str">
        <f aca="false">IF($C6603="","",$D6603*IFERROR(INDEX('تحليل التكلفة والسعر'!$C$2:$C$700,MATCH($C6603,'تحليل التكلفة والسعر'!$B$2:$B$700,0)),0))</f>
        <v/>
      </c>
    </row>
    <row r="6604" customFormat="false" ht="15" hidden="false" customHeight="false" outlineLevel="0" collapsed="false">
      <c r="A6604" s="102"/>
      <c r="E6604" s="103" t="str">
        <f aca="false">IF($C6604="","",IFERROR(INDEX(المنيو!$C$2:$C$500,MATCH($C6604,المنيو!$B$2:$B$500,0)),0))</f>
        <v/>
      </c>
      <c r="F6604" s="103" t="str">
        <f aca="false">IF($C6604="","",$D6604*$E6604)</f>
        <v/>
      </c>
      <c r="G6604" s="103" t="str">
        <f aca="false">IF($C6604="","",$D6604*IFERROR(INDEX('تحليل التكلفة والسعر'!$C$2:$C$700,MATCH($C6604,'تحليل التكلفة والسعر'!$B$2:$B$700,0)),0))</f>
        <v/>
      </c>
    </row>
    <row r="6605" customFormat="false" ht="15" hidden="false" customHeight="false" outlineLevel="0" collapsed="false">
      <c r="A6605" s="102"/>
      <c r="E6605" s="103" t="str">
        <f aca="false">IF($C6605="","",IFERROR(INDEX(المنيو!$C$2:$C$500,MATCH($C6605,المنيو!$B$2:$B$500,0)),0))</f>
        <v/>
      </c>
      <c r="F6605" s="103" t="str">
        <f aca="false">IF($C6605="","",$D6605*$E6605)</f>
        <v/>
      </c>
      <c r="G6605" s="103" t="str">
        <f aca="false">IF($C6605="","",$D6605*IFERROR(INDEX('تحليل التكلفة والسعر'!$C$2:$C$700,MATCH($C6605,'تحليل التكلفة والسعر'!$B$2:$B$700,0)),0))</f>
        <v/>
      </c>
    </row>
    <row r="6606" customFormat="false" ht="15" hidden="false" customHeight="false" outlineLevel="0" collapsed="false">
      <c r="A6606" s="102"/>
      <c r="E6606" s="103" t="str">
        <f aca="false">IF($C6606="","",IFERROR(INDEX(المنيو!$C$2:$C$500,MATCH($C6606,المنيو!$B$2:$B$500,0)),0))</f>
        <v/>
      </c>
      <c r="F6606" s="103" t="str">
        <f aca="false">IF($C6606="","",$D6606*$E6606)</f>
        <v/>
      </c>
      <c r="G6606" s="103" t="str">
        <f aca="false">IF($C6606="","",$D6606*IFERROR(INDEX('تحليل التكلفة والسعر'!$C$2:$C$700,MATCH($C6606,'تحليل التكلفة والسعر'!$B$2:$B$700,0)),0))</f>
        <v/>
      </c>
    </row>
    <row r="6607" customFormat="false" ht="15" hidden="false" customHeight="false" outlineLevel="0" collapsed="false">
      <c r="A6607" s="102"/>
      <c r="E6607" s="103" t="str">
        <f aca="false">IF($C6607="","",IFERROR(INDEX(المنيو!$C$2:$C$500,MATCH($C6607,المنيو!$B$2:$B$500,0)),0))</f>
        <v/>
      </c>
      <c r="F6607" s="103" t="str">
        <f aca="false">IF($C6607="","",$D6607*$E6607)</f>
        <v/>
      </c>
      <c r="G6607" s="103" t="str">
        <f aca="false">IF($C6607="","",$D6607*IFERROR(INDEX('تحليل التكلفة والسعر'!$C$2:$C$700,MATCH($C6607,'تحليل التكلفة والسعر'!$B$2:$B$700,0)),0))</f>
        <v/>
      </c>
    </row>
    <row r="6608" customFormat="false" ht="15" hidden="false" customHeight="false" outlineLevel="0" collapsed="false">
      <c r="A6608" s="102"/>
      <c r="E6608" s="103" t="str">
        <f aca="false">IF($C6608="","",IFERROR(INDEX(المنيو!$C$2:$C$500,MATCH($C6608,المنيو!$B$2:$B$500,0)),0))</f>
        <v/>
      </c>
      <c r="F6608" s="103" t="str">
        <f aca="false">IF($C6608="","",$D6608*$E6608)</f>
        <v/>
      </c>
      <c r="G6608" s="103" t="str">
        <f aca="false">IF($C6608="","",$D6608*IFERROR(INDEX('تحليل التكلفة والسعر'!$C$2:$C$700,MATCH($C6608,'تحليل التكلفة والسعر'!$B$2:$B$700,0)),0))</f>
        <v/>
      </c>
    </row>
    <row r="6609" customFormat="false" ht="15" hidden="false" customHeight="false" outlineLevel="0" collapsed="false">
      <c r="A6609" s="102"/>
      <c r="E6609" s="103" t="str">
        <f aca="false">IF($C6609="","",IFERROR(INDEX(المنيو!$C$2:$C$500,MATCH($C6609,المنيو!$B$2:$B$500,0)),0))</f>
        <v/>
      </c>
      <c r="F6609" s="103" t="str">
        <f aca="false">IF($C6609="","",$D6609*$E6609)</f>
        <v/>
      </c>
      <c r="G6609" s="103" t="str">
        <f aca="false">IF($C6609="","",$D6609*IFERROR(INDEX('تحليل التكلفة والسعر'!$C$2:$C$700,MATCH($C6609,'تحليل التكلفة والسعر'!$B$2:$B$700,0)),0))</f>
        <v/>
      </c>
    </row>
    <row r="6610" customFormat="false" ht="15" hidden="false" customHeight="false" outlineLevel="0" collapsed="false">
      <c r="A6610" s="102"/>
      <c r="E6610" s="103" t="str">
        <f aca="false">IF($C6610="","",IFERROR(INDEX(المنيو!$C$2:$C$500,MATCH($C6610,المنيو!$B$2:$B$500,0)),0))</f>
        <v/>
      </c>
      <c r="F6610" s="103" t="str">
        <f aca="false">IF($C6610="","",$D6610*$E6610)</f>
        <v/>
      </c>
      <c r="G6610" s="103" t="str">
        <f aca="false">IF($C6610="","",$D6610*IFERROR(INDEX('تحليل التكلفة والسعر'!$C$2:$C$700,MATCH($C6610,'تحليل التكلفة والسعر'!$B$2:$B$700,0)),0))</f>
        <v/>
      </c>
    </row>
    <row r="6611" customFormat="false" ht="15" hidden="false" customHeight="false" outlineLevel="0" collapsed="false">
      <c r="A6611" s="102"/>
      <c r="E6611" s="103" t="str">
        <f aca="false">IF($C6611="","",IFERROR(INDEX(المنيو!$C$2:$C$500,MATCH($C6611,المنيو!$B$2:$B$500,0)),0))</f>
        <v/>
      </c>
      <c r="F6611" s="103" t="str">
        <f aca="false">IF($C6611="","",$D6611*$E6611)</f>
        <v/>
      </c>
      <c r="G6611" s="103" t="str">
        <f aca="false">IF($C6611="","",$D6611*IFERROR(INDEX('تحليل التكلفة والسعر'!$C$2:$C$700,MATCH($C6611,'تحليل التكلفة والسعر'!$B$2:$B$700,0)),0))</f>
        <v/>
      </c>
    </row>
    <row r="6612" customFormat="false" ht="15" hidden="false" customHeight="false" outlineLevel="0" collapsed="false">
      <c r="A6612" s="102"/>
      <c r="E6612" s="103" t="str">
        <f aca="false">IF($C6612="","",IFERROR(INDEX(المنيو!$C$2:$C$500,MATCH($C6612,المنيو!$B$2:$B$500,0)),0))</f>
        <v/>
      </c>
      <c r="F6612" s="103" t="str">
        <f aca="false">IF($C6612="","",$D6612*$E6612)</f>
        <v/>
      </c>
      <c r="G6612" s="103" t="str">
        <f aca="false">IF($C6612="","",$D6612*IFERROR(INDEX('تحليل التكلفة والسعر'!$C$2:$C$700,MATCH($C6612,'تحليل التكلفة والسعر'!$B$2:$B$700,0)),0))</f>
        <v/>
      </c>
    </row>
    <row r="6613" customFormat="false" ht="15" hidden="false" customHeight="false" outlineLevel="0" collapsed="false">
      <c r="A6613" s="102"/>
      <c r="E6613" s="103" t="str">
        <f aca="false">IF($C6613="","",IFERROR(INDEX(المنيو!$C$2:$C$500,MATCH($C6613,المنيو!$B$2:$B$500,0)),0))</f>
        <v/>
      </c>
      <c r="F6613" s="103" t="str">
        <f aca="false">IF($C6613="","",$D6613*$E6613)</f>
        <v/>
      </c>
      <c r="G6613" s="103" t="str">
        <f aca="false">IF($C6613="","",$D6613*IFERROR(INDEX('تحليل التكلفة والسعر'!$C$2:$C$700,MATCH($C6613,'تحليل التكلفة والسعر'!$B$2:$B$700,0)),0))</f>
        <v/>
      </c>
    </row>
    <row r="6614" customFormat="false" ht="15" hidden="false" customHeight="false" outlineLevel="0" collapsed="false">
      <c r="A6614" s="102"/>
      <c r="E6614" s="103" t="str">
        <f aca="false">IF($C6614="","",IFERROR(INDEX(المنيو!$C$2:$C$500,MATCH($C6614,المنيو!$B$2:$B$500,0)),0))</f>
        <v/>
      </c>
      <c r="F6614" s="103" t="str">
        <f aca="false">IF($C6614="","",$D6614*$E6614)</f>
        <v/>
      </c>
      <c r="G6614" s="103" t="str">
        <f aca="false">IF($C6614="","",$D6614*IFERROR(INDEX('تحليل التكلفة والسعر'!$C$2:$C$700,MATCH($C6614,'تحليل التكلفة والسعر'!$B$2:$B$700,0)),0))</f>
        <v/>
      </c>
    </row>
    <row r="6615" customFormat="false" ht="15" hidden="false" customHeight="false" outlineLevel="0" collapsed="false">
      <c r="A6615" s="102"/>
      <c r="E6615" s="103" t="str">
        <f aca="false">IF($C6615="","",IFERROR(INDEX(المنيو!$C$2:$C$500,MATCH($C6615,المنيو!$B$2:$B$500,0)),0))</f>
        <v/>
      </c>
      <c r="F6615" s="103" t="str">
        <f aca="false">IF($C6615="","",$D6615*$E6615)</f>
        <v/>
      </c>
      <c r="G6615" s="103" t="str">
        <f aca="false">IF($C6615="","",$D6615*IFERROR(INDEX('تحليل التكلفة والسعر'!$C$2:$C$700,MATCH($C6615,'تحليل التكلفة والسعر'!$B$2:$B$700,0)),0))</f>
        <v/>
      </c>
    </row>
    <row r="6616" customFormat="false" ht="15" hidden="false" customHeight="false" outlineLevel="0" collapsed="false">
      <c r="A6616" s="102"/>
      <c r="E6616" s="103" t="str">
        <f aca="false">IF($C6616="","",IFERROR(INDEX(المنيو!$C$2:$C$500,MATCH($C6616,المنيو!$B$2:$B$500,0)),0))</f>
        <v/>
      </c>
      <c r="F6616" s="103" t="str">
        <f aca="false">IF($C6616="","",$D6616*$E6616)</f>
        <v/>
      </c>
      <c r="G6616" s="103" t="str">
        <f aca="false">IF($C6616="","",$D6616*IFERROR(INDEX('تحليل التكلفة والسعر'!$C$2:$C$700,MATCH($C6616,'تحليل التكلفة والسعر'!$B$2:$B$700,0)),0))</f>
        <v/>
      </c>
    </row>
    <row r="6617" customFormat="false" ht="15" hidden="false" customHeight="false" outlineLevel="0" collapsed="false">
      <c r="A6617" s="102"/>
      <c r="E6617" s="103" t="str">
        <f aca="false">IF($C6617="","",IFERROR(INDEX(المنيو!$C$2:$C$500,MATCH($C6617,المنيو!$B$2:$B$500,0)),0))</f>
        <v/>
      </c>
      <c r="F6617" s="103" t="str">
        <f aca="false">IF($C6617="","",$D6617*$E6617)</f>
        <v/>
      </c>
      <c r="G6617" s="103" t="str">
        <f aca="false">IF($C6617="","",$D6617*IFERROR(INDEX('تحليل التكلفة والسعر'!$C$2:$C$700,MATCH($C6617,'تحليل التكلفة والسعر'!$B$2:$B$700,0)),0))</f>
        <v/>
      </c>
    </row>
    <row r="6618" customFormat="false" ht="15" hidden="false" customHeight="false" outlineLevel="0" collapsed="false">
      <c r="A6618" s="102"/>
      <c r="E6618" s="103" t="str">
        <f aca="false">IF($C6618="","",IFERROR(INDEX(المنيو!$C$2:$C$500,MATCH($C6618,المنيو!$B$2:$B$500,0)),0))</f>
        <v/>
      </c>
      <c r="F6618" s="103" t="str">
        <f aca="false">IF($C6618="","",$D6618*$E6618)</f>
        <v/>
      </c>
      <c r="G6618" s="103" t="str">
        <f aca="false">IF($C6618="","",$D6618*IFERROR(INDEX('تحليل التكلفة والسعر'!$C$2:$C$700,MATCH($C6618,'تحليل التكلفة والسعر'!$B$2:$B$700,0)),0))</f>
        <v/>
      </c>
    </row>
    <row r="6619" customFormat="false" ht="15" hidden="false" customHeight="false" outlineLevel="0" collapsed="false">
      <c r="A6619" s="102"/>
      <c r="E6619" s="103" t="str">
        <f aca="false">IF($C6619="","",IFERROR(INDEX(المنيو!$C$2:$C$500,MATCH($C6619,المنيو!$B$2:$B$500,0)),0))</f>
        <v/>
      </c>
      <c r="F6619" s="103" t="str">
        <f aca="false">IF($C6619="","",$D6619*$E6619)</f>
        <v/>
      </c>
      <c r="G6619" s="103" t="str">
        <f aca="false">IF($C6619="","",$D6619*IFERROR(INDEX('تحليل التكلفة والسعر'!$C$2:$C$700,MATCH($C6619,'تحليل التكلفة والسعر'!$B$2:$B$700,0)),0))</f>
        <v/>
      </c>
    </row>
    <row r="6620" customFormat="false" ht="15" hidden="false" customHeight="false" outlineLevel="0" collapsed="false">
      <c r="A6620" s="102"/>
      <c r="E6620" s="103" t="str">
        <f aca="false">IF($C6620="","",IFERROR(INDEX(المنيو!$C$2:$C$500,MATCH($C6620,المنيو!$B$2:$B$500,0)),0))</f>
        <v/>
      </c>
      <c r="F6620" s="103" t="str">
        <f aca="false">IF($C6620="","",$D6620*$E6620)</f>
        <v/>
      </c>
      <c r="G6620" s="103" t="str">
        <f aca="false">IF($C6620="","",$D6620*IFERROR(INDEX('تحليل التكلفة والسعر'!$C$2:$C$700,MATCH($C6620,'تحليل التكلفة والسعر'!$B$2:$B$700,0)),0))</f>
        <v/>
      </c>
    </row>
    <row r="6621" customFormat="false" ht="15" hidden="false" customHeight="false" outlineLevel="0" collapsed="false">
      <c r="A6621" s="102"/>
      <c r="E6621" s="103" t="str">
        <f aca="false">IF($C6621="","",IFERROR(INDEX(المنيو!$C$2:$C$500,MATCH($C6621,المنيو!$B$2:$B$500,0)),0))</f>
        <v/>
      </c>
      <c r="F6621" s="103" t="str">
        <f aca="false">IF($C6621="","",$D6621*$E6621)</f>
        <v/>
      </c>
      <c r="G6621" s="103" t="str">
        <f aca="false">IF($C6621="","",$D6621*IFERROR(INDEX('تحليل التكلفة والسعر'!$C$2:$C$700,MATCH($C6621,'تحليل التكلفة والسعر'!$B$2:$B$700,0)),0))</f>
        <v/>
      </c>
    </row>
    <row r="6622" customFormat="false" ht="15" hidden="false" customHeight="false" outlineLevel="0" collapsed="false">
      <c r="A6622" s="102"/>
      <c r="E6622" s="103" t="str">
        <f aca="false">IF($C6622="","",IFERROR(INDEX(المنيو!$C$2:$C$500,MATCH($C6622,المنيو!$B$2:$B$500,0)),0))</f>
        <v/>
      </c>
      <c r="F6622" s="103" t="str">
        <f aca="false">IF($C6622="","",$D6622*$E6622)</f>
        <v/>
      </c>
      <c r="G6622" s="103" t="str">
        <f aca="false">IF($C6622="","",$D6622*IFERROR(INDEX('تحليل التكلفة والسعر'!$C$2:$C$700,MATCH($C6622,'تحليل التكلفة والسعر'!$B$2:$B$700,0)),0))</f>
        <v/>
      </c>
    </row>
    <row r="6623" customFormat="false" ht="15" hidden="false" customHeight="false" outlineLevel="0" collapsed="false">
      <c r="A6623" s="102"/>
      <c r="E6623" s="103" t="str">
        <f aca="false">IF($C6623="","",IFERROR(INDEX(المنيو!$C$2:$C$500,MATCH($C6623,المنيو!$B$2:$B$500,0)),0))</f>
        <v/>
      </c>
      <c r="F6623" s="103" t="str">
        <f aca="false">IF($C6623="","",$D6623*$E6623)</f>
        <v/>
      </c>
      <c r="G6623" s="103" t="str">
        <f aca="false">IF($C6623="","",$D6623*IFERROR(INDEX('تحليل التكلفة والسعر'!$C$2:$C$700,MATCH($C6623,'تحليل التكلفة والسعر'!$B$2:$B$700,0)),0))</f>
        <v/>
      </c>
    </row>
    <row r="6624" customFormat="false" ht="15" hidden="false" customHeight="false" outlineLevel="0" collapsed="false">
      <c r="A6624" s="102"/>
      <c r="E6624" s="103" t="str">
        <f aca="false">IF($C6624="","",IFERROR(INDEX(المنيو!$C$2:$C$500,MATCH($C6624,المنيو!$B$2:$B$500,0)),0))</f>
        <v/>
      </c>
      <c r="F6624" s="103" t="str">
        <f aca="false">IF($C6624="","",$D6624*$E6624)</f>
        <v/>
      </c>
      <c r="G6624" s="103" t="str">
        <f aca="false">IF($C6624="","",$D6624*IFERROR(INDEX('تحليل التكلفة والسعر'!$C$2:$C$700,MATCH($C6624,'تحليل التكلفة والسعر'!$B$2:$B$700,0)),0))</f>
        <v/>
      </c>
    </row>
    <row r="6625" customFormat="false" ht="15" hidden="false" customHeight="false" outlineLevel="0" collapsed="false">
      <c r="A6625" s="102"/>
      <c r="E6625" s="103" t="str">
        <f aca="false">IF($C6625="","",IFERROR(INDEX(المنيو!$C$2:$C$500,MATCH($C6625,المنيو!$B$2:$B$500,0)),0))</f>
        <v/>
      </c>
      <c r="F6625" s="103" t="str">
        <f aca="false">IF($C6625="","",$D6625*$E6625)</f>
        <v/>
      </c>
      <c r="G6625" s="103" t="str">
        <f aca="false">IF($C6625="","",$D6625*IFERROR(INDEX('تحليل التكلفة والسعر'!$C$2:$C$700,MATCH($C6625,'تحليل التكلفة والسعر'!$B$2:$B$700,0)),0))</f>
        <v/>
      </c>
    </row>
    <row r="6626" customFormat="false" ht="15" hidden="false" customHeight="false" outlineLevel="0" collapsed="false">
      <c r="A6626" s="102"/>
      <c r="E6626" s="103" t="str">
        <f aca="false">IF($C6626="","",IFERROR(INDEX(المنيو!$C$2:$C$500,MATCH($C6626,المنيو!$B$2:$B$500,0)),0))</f>
        <v/>
      </c>
      <c r="F6626" s="103" t="str">
        <f aca="false">IF($C6626="","",$D6626*$E6626)</f>
        <v/>
      </c>
      <c r="G6626" s="103" t="str">
        <f aca="false">IF($C6626="","",$D6626*IFERROR(INDEX('تحليل التكلفة والسعر'!$C$2:$C$700,MATCH($C6626,'تحليل التكلفة والسعر'!$B$2:$B$700,0)),0))</f>
        <v/>
      </c>
    </row>
    <row r="6627" customFormat="false" ht="15" hidden="false" customHeight="false" outlineLevel="0" collapsed="false">
      <c r="A6627" s="102"/>
      <c r="E6627" s="103" t="str">
        <f aca="false">IF($C6627="","",IFERROR(INDEX(المنيو!$C$2:$C$500,MATCH($C6627,المنيو!$B$2:$B$500,0)),0))</f>
        <v/>
      </c>
      <c r="F6627" s="103" t="str">
        <f aca="false">IF($C6627="","",$D6627*$E6627)</f>
        <v/>
      </c>
      <c r="G6627" s="103" t="str">
        <f aca="false">IF($C6627="","",$D6627*IFERROR(INDEX('تحليل التكلفة والسعر'!$C$2:$C$700,MATCH($C6627,'تحليل التكلفة والسعر'!$B$2:$B$700,0)),0))</f>
        <v/>
      </c>
    </row>
    <row r="6628" customFormat="false" ht="15" hidden="false" customHeight="false" outlineLevel="0" collapsed="false">
      <c r="A6628" s="102"/>
      <c r="E6628" s="103" t="str">
        <f aca="false">IF($C6628="","",IFERROR(INDEX(المنيو!$C$2:$C$500,MATCH($C6628,المنيو!$B$2:$B$500,0)),0))</f>
        <v/>
      </c>
      <c r="F6628" s="103" t="str">
        <f aca="false">IF($C6628="","",$D6628*$E6628)</f>
        <v/>
      </c>
      <c r="G6628" s="103" t="str">
        <f aca="false">IF($C6628="","",$D6628*IFERROR(INDEX('تحليل التكلفة والسعر'!$C$2:$C$700,MATCH($C6628,'تحليل التكلفة والسعر'!$B$2:$B$700,0)),0))</f>
        <v/>
      </c>
    </row>
    <row r="6629" customFormat="false" ht="15" hidden="false" customHeight="false" outlineLevel="0" collapsed="false">
      <c r="A6629" s="102"/>
      <c r="E6629" s="103" t="str">
        <f aca="false">IF($C6629="","",IFERROR(INDEX(المنيو!$C$2:$C$500,MATCH($C6629,المنيو!$B$2:$B$500,0)),0))</f>
        <v/>
      </c>
      <c r="F6629" s="103" t="str">
        <f aca="false">IF($C6629="","",$D6629*$E6629)</f>
        <v/>
      </c>
      <c r="G6629" s="103" t="str">
        <f aca="false">IF($C6629="","",$D6629*IFERROR(INDEX('تحليل التكلفة والسعر'!$C$2:$C$700,MATCH($C6629,'تحليل التكلفة والسعر'!$B$2:$B$700,0)),0))</f>
        <v/>
      </c>
    </row>
    <row r="6630" customFormat="false" ht="15" hidden="false" customHeight="false" outlineLevel="0" collapsed="false">
      <c r="A6630" s="102"/>
      <c r="E6630" s="103" t="str">
        <f aca="false">IF($C6630="","",IFERROR(INDEX(المنيو!$C$2:$C$500,MATCH($C6630,المنيو!$B$2:$B$500,0)),0))</f>
        <v/>
      </c>
      <c r="F6630" s="103" t="str">
        <f aca="false">IF($C6630="","",$D6630*$E6630)</f>
        <v/>
      </c>
      <c r="G6630" s="103" t="str">
        <f aca="false">IF($C6630="","",$D6630*IFERROR(INDEX('تحليل التكلفة والسعر'!$C$2:$C$700,MATCH($C6630,'تحليل التكلفة والسعر'!$B$2:$B$700,0)),0))</f>
        <v/>
      </c>
    </row>
    <row r="6631" customFormat="false" ht="15" hidden="false" customHeight="false" outlineLevel="0" collapsed="false">
      <c r="A6631" s="102"/>
      <c r="E6631" s="103" t="str">
        <f aca="false">IF($C6631="","",IFERROR(INDEX(المنيو!$C$2:$C$500,MATCH($C6631,المنيو!$B$2:$B$500,0)),0))</f>
        <v/>
      </c>
      <c r="F6631" s="103" t="str">
        <f aca="false">IF($C6631="","",$D6631*$E6631)</f>
        <v/>
      </c>
      <c r="G6631" s="103" t="str">
        <f aca="false">IF($C6631="","",$D6631*IFERROR(INDEX('تحليل التكلفة والسعر'!$C$2:$C$700,MATCH($C6631,'تحليل التكلفة والسعر'!$B$2:$B$700,0)),0))</f>
        <v/>
      </c>
    </row>
    <row r="6632" customFormat="false" ht="15" hidden="false" customHeight="false" outlineLevel="0" collapsed="false">
      <c r="A6632" s="102"/>
      <c r="E6632" s="103" t="str">
        <f aca="false">IF($C6632="","",IFERROR(INDEX(المنيو!$C$2:$C$500,MATCH($C6632,المنيو!$B$2:$B$500,0)),0))</f>
        <v/>
      </c>
      <c r="F6632" s="103" t="str">
        <f aca="false">IF($C6632="","",$D6632*$E6632)</f>
        <v/>
      </c>
      <c r="G6632" s="103" t="str">
        <f aca="false">IF($C6632="","",$D6632*IFERROR(INDEX('تحليل التكلفة والسعر'!$C$2:$C$700,MATCH($C6632,'تحليل التكلفة والسعر'!$B$2:$B$700,0)),0))</f>
        <v/>
      </c>
    </row>
    <row r="6633" customFormat="false" ht="15" hidden="false" customHeight="false" outlineLevel="0" collapsed="false">
      <c r="A6633" s="102"/>
      <c r="E6633" s="103" t="str">
        <f aca="false">IF($C6633="","",IFERROR(INDEX(المنيو!$C$2:$C$500,MATCH($C6633,المنيو!$B$2:$B$500,0)),0))</f>
        <v/>
      </c>
      <c r="F6633" s="103" t="str">
        <f aca="false">IF($C6633="","",$D6633*$E6633)</f>
        <v/>
      </c>
      <c r="G6633" s="103" t="str">
        <f aca="false">IF($C6633="","",$D6633*IFERROR(INDEX('تحليل التكلفة والسعر'!$C$2:$C$700,MATCH($C6633,'تحليل التكلفة والسعر'!$B$2:$B$700,0)),0))</f>
        <v/>
      </c>
    </row>
    <row r="6634" customFormat="false" ht="15" hidden="false" customHeight="false" outlineLevel="0" collapsed="false">
      <c r="A6634" s="102"/>
      <c r="E6634" s="103" t="str">
        <f aca="false">IF($C6634="","",IFERROR(INDEX(المنيو!$C$2:$C$500,MATCH($C6634,المنيو!$B$2:$B$500,0)),0))</f>
        <v/>
      </c>
      <c r="F6634" s="103" t="str">
        <f aca="false">IF($C6634="","",$D6634*$E6634)</f>
        <v/>
      </c>
      <c r="G6634" s="103" t="str">
        <f aca="false">IF($C6634="","",$D6634*IFERROR(INDEX('تحليل التكلفة والسعر'!$C$2:$C$700,MATCH($C6634,'تحليل التكلفة والسعر'!$B$2:$B$700,0)),0))</f>
        <v/>
      </c>
    </row>
    <row r="6635" customFormat="false" ht="15" hidden="false" customHeight="false" outlineLevel="0" collapsed="false">
      <c r="A6635" s="102"/>
      <c r="E6635" s="103" t="str">
        <f aca="false">IF($C6635="","",IFERROR(INDEX(المنيو!$C$2:$C$500,MATCH($C6635,المنيو!$B$2:$B$500,0)),0))</f>
        <v/>
      </c>
      <c r="F6635" s="103" t="str">
        <f aca="false">IF($C6635="","",$D6635*$E6635)</f>
        <v/>
      </c>
      <c r="G6635" s="103" t="str">
        <f aca="false">IF($C6635="","",$D6635*IFERROR(INDEX('تحليل التكلفة والسعر'!$C$2:$C$700,MATCH($C6635,'تحليل التكلفة والسعر'!$B$2:$B$700,0)),0))</f>
        <v/>
      </c>
    </row>
    <row r="6636" customFormat="false" ht="15" hidden="false" customHeight="false" outlineLevel="0" collapsed="false">
      <c r="A6636" s="102"/>
      <c r="E6636" s="103" t="str">
        <f aca="false">IF($C6636="","",IFERROR(INDEX(المنيو!$C$2:$C$500,MATCH($C6636,المنيو!$B$2:$B$500,0)),0))</f>
        <v/>
      </c>
      <c r="F6636" s="103" t="str">
        <f aca="false">IF($C6636="","",$D6636*$E6636)</f>
        <v/>
      </c>
      <c r="G6636" s="103" t="str">
        <f aca="false">IF($C6636="","",$D6636*IFERROR(INDEX('تحليل التكلفة والسعر'!$C$2:$C$700,MATCH($C6636,'تحليل التكلفة والسعر'!$B$2:$B$700,0)),0))</f>
        <v/>
      </c>
    </row>
    <row r="6637" customFormat="false" ht="15" hidden="false" customHeight="false" outlineLevel="0" collapsed="false">
      <c r="A6637" s="102"/>
      <c r="E6637" s="103" t="str">
        <f aca="false">IF($C6637="","",IFERROR(INDEX(المنيو!$C$2:$C$500,MATCH($C6637,المنيو!$B$2:$B$500,0)),0))</f>
        <v/>
      </c>
      <c r="F6637" s="103" t="str">
        <f aca="false">IF($C6637="","",$D6637*$E6637)</f>
        <v/>
      </c>
      <c r="G6637" s="103" t="str">
        <f aca="false">IF($C6637="","",$D6637*IFERROR(INDEX('تحليل التكلفة والسعر'!$C$2:$C$700,MATCH($C6637,'تحليل التكلفة والسعر'!$B$2:$B$700,0)),0))</f>
        <v/>
      </c>
    </row>
    <row r="6638" customFormat="false" ht="15" hidden="false" customHeight="false" outlineLevel="0" collapsed="false">
      <c r="A6638" s="102"/>
      <c r="E6638" s="103" t="str">
        <f aca="false">IF($C6638="","",IFERROR(INDEX(المنيو!$C$2:$C$500,MATCH($C6638,المنيو!$B$2:$B$500,0)),0))</f>
        <v/>
      </c>
      <c r="F6638" s="103" t="str">
        <f aca="false">IF($C6638="","",$D6638*$E6638)</f>
        <v/>
      </c>
      <c r="G6638" s="103" t="str">
        <f aca="false">IF($C6638="","",$D6638*IFERROR(INDEX('تحليل التكلفة والسعر'!$C$2:$C$700,MATCH($C6638,'تحليل التكلفة والسعر'!$B$2:$B$700,0)),0))</f>
        <v/>
      </c>
    </row>
    <row r="6639" customFormat="false" ht="15" hidden="false" customHeight="false" outlineLevel="0" collapsed="false">
      <c r="A6639" s="102"/>
      <c r="E6639" s="103" t="str">
        <f aca="false">IF($C6639="","",IFERROR(INDEX(المنيو!$C$2:$C$500,MATCH($C6639,المنيو!$B$2:$B$500,0)),0))</f>
        <v/>
      </c>
      <c r="F6639" s="103" t="str">
        <f aca="false">IF($C6639="","",$D6639*$E6639)</f>
        <v/>
      </c>
      <c r="G6639" s="103" t="str">
        <f aca="false">IF($C6639="","",$D6639*IFERROR(INDEX('تحليل التكلفة والسعر'!$C$2:$C$700,MATCH($C6639,'تحليل التكلفة والسعر'!$B$2:$B$700,0)),0))</f>
        <v/>
      </c>
    </row>
    <row r="6640" customFormat="false" ht="15" hidden="false" customHeight="false" outlineLevel="0" collapsed="false">
      <c r="A6640" s="102"/>
      <c r="E6640" s="103" t="str">
        <f aca="false">IF($C6640="","",IFERROR(INDEX(المنيو!$C$2:$C$500,MATCH($C6640,المنيو!$B$2:$B$500,0)),0))</f>
        <v/>
      </c>
      <c r="F6640" s="103" t="str">
        <f aca="false">IF($C6640="","",$D6640*$E6640)</f>
        <v/>
      </c>
      <c r="G6640" s="103" t="str">
        <f aca="false">IF($C6640="","",$D6640*IFERROR(INDEX('تحليل التكلفة والسعر'!$C$2:$C$700,MATCH($C6640,'تحليل التكلفة والسعر'!$B$2:$B$700,0)),0))</f>
        <v/>
      </c>
    </row>
    <row r="6641" customFormat="false" ht="15" hidden="false" customHeight="false" outlineLevel="0" collapsed="false">
      <c r="A6641" s="102"/>
      <c r="E6641" s="103" t="str">
        <f aca="false">IF($C6641="","",IFERROR(INDEX(المنيو!$C$2:$C$500,MATCH($C6641,المنيو!$B$2:$B$500,0)),0))</f>
        <v/>
      </c>
      <c r="F6641" s="103" t="str">
        <f aca="false">IF($C6641="","",$D6641*$E6641)</f>
        <v/>
      </c>
      <c r="G6641" s="103" t="str">
        <f aca="false">IF($C6641="","",$D6641*IFERROR(INDEX('تحليل التكلفة والسعر'!$C$2:$C$700,MATCH($C6641,'تحليل التكلفة والسعر'!$B$2:$B$700,0)),0))</f>
        <v/>
      </c>
    </row>
    <row r="6642" customFormat="false" ht="15" hidden="false" customHeight="false" outlineLevel="0" collapsed="false">
      <c r="A6642" s="102"/>
      <c r="E6642" s="103" t="str">
        <f aca="false">IF($C6642="","",IFERROR(INDEX(المنيو!$C$2:$C$500,MATCH($C6642,المنيو!$B$2:$B$500,0)),0))</f>
        <v/>
      </c>
      <c r="F6642" s="103" t="str">
        <f aca="false">IF($C6642="","",$D6642*$E6642)</f>
        <v/>
      </c>
      <c r="G6642" s="103" t="str">
        <f aca="false">IF($C6642="","",$D6642*IFERROR(INDEX('تحليل التكلفة والسعر'!$C$2:$C$700,MATCH($C6642,'تحليل التكلفة والسعر'!$B$2:$B$700,0)),0))</f>
        <v/>
      </c>
    </row>
    <row r="6643" customFormat="false" ht="15" hidden="false" customHeight="false" outlineLevel="0" collapsed="false">
      <c r="A6643" s="102"/>
      <c r="E6643" s="103" t="str">
        <f aca="false">IF($C6643="","",IFERROR(INDEX(المنيو!$C$2:$C$500,MATCH($C6643,المنيو!$B$2:$B$500,0)),0))</f>
        <v/>
      </c>
      <c r="F6643" s="103" t="str">
        <f aca="false">IF($C6643="","",$D6643*$E6643)</f>
        <v/>
      </c>
      <c r="G6643" s="103" t="str">
        <f aca="false">IF($C6643="","",$D6643*IFERROR(INDEX('تحليل التكلفة والسعر'!$C$2:$C$700,MATCH($C6643,'تحليل التكلفة والسعر'!$B$2:$B$700,0)),0))</f>
        <v/>
      </c>
    </row>
    <row r="6644" customFormat="false" ht="15" hidden="false" customHeight="false" outlineLevel="0" collapsed="false">
      <c r="A6644" s="102"/>
      <c r="E6644" s="103" t="str">
        <f aca="false">IF($C6644="","",IFERROR(INDEX(المنيو!$C$2:$C$500,MATCH($C6644,المنيو!$B$2:$B$500,0)),0))</f>
        <v/>
      </c>
      <c r="F6644" s="103" t="str">
        <f aca="false">IF($C6644="","",$D6644*$E6644)</f>
        <v/>
      </c>
      <c r="G6644" s="103" t="str">
        <f aca="false">IF($C6644="","",$D6644*IFERROR(INDEX('تحليل التكلفة والسعر'!$C$2:$C$700,MATCH($C6644,'تحليل التكلفة والسعر'!$B$2:$B$700,0)),0))</f>
        <v/>
      </c>
    </row>
    <row r="6645" customFormat="false" ht="15" hidden="false" customHeight="false" outlineLevel="0" collapsed="false">
      <c r="A6645" s="102"/>
      <c r="E6645" s="103" t="str">
        <f aca="false">IF($C6645="","",IFERROR(INDEX(المنيو!$C$2:$C$500,MATCH($C6645,المنيو!$B$2:$B$500,0)),0))</f>
        <v/>
      </c>
      <c r="F6645" s="103" t="str">
        <f aca="false">IF($C6645="","",$D6645*$E6645)</f>
        <v/>
      </c>
      <c r="G6645" s="103" t="str">
        <f aca="false">IF($C6645="","",$D6645*IFERROR(INDEX('تحليل التكلفة والسعر'!$C$2:$C$700,MATCH($C6645,'تحليل التكلفة والسعر'!$B$2:$B$700,0)),0))</f>
        <v/>
      </c>
    </row>
    <row r="6646" customFormat="false" ht="15" hidden="false" customHeight="false" outlineLevel="0" collapsed="false">
      <c r="A6646" s="102"/>
      <c r="E6646" s="103" t="str">
        <f aca="false">IF($C6646="","",IFERROR(INDEX(المنيو!$C$2:$C$500,MATCH($C6646,المنيو!$B$2:$B$500,0)),0))</f>
        <v/>
      </c>
      <c r="F6646" s="103" t="str">
        <f aca="false">IF($C6646="","",$D6646*$E6646)</f>
        <v/>
      </c>
      <c r="G6646" s="103" t="str">
        <f aca="false">IF($C6646="","",$D6646*IFERROR(INDEX('تحليل التكلفة والسعر'!$C$2:$C$700,MATCH($C6646,'تحليل التكلفة والسعر'!$B$2:$B$700,0)),0))</f>
        <v/>
      </c>
    </row>
    <row r="6647" customFormat="false" ht="15" hidden="false" customHeight="false" outlineLevel="0" collapsed="false">
      <c r="A6647" s="102"/>
      <c r="E6647" s="103" t="str">
        <f aca="false">IF($C6647="","",IFERROR(INDEX(المنيو!$C$2:$C$500,MATCH($C6647,المنيو!$B$2:$B$500,0)),0))</f>
        <v/>
      </c>
      <c r="F6647" s="103" t="str">
        <f aca="false">IF($C6647="","",$D6647*$E6647)</f>
        <v/>
      </c>
      <c r="G6647" s="103" t="str">
        <f aca="false">IF($C6647="","",$D6647*IFERROR(INDEX('تحليل التكلفة والسعر'!$C$2:$C$700,MATCH($C6647,'تحليل التكلفة والسعر'!$B$2:$B$700,0)),0))</f>
        <v/>
      </c>
    </row>
    <row r="6648" customFormat="false" ht="15" hidden="false" customHeight="false" outlineLevel="0" collapsed="false">
      <c r="A6648" s="102"/>
      <c r="E6648" s="103" t="str">
        <f aca="false">IF($C6648="","",IFERROR(INDEX(المنيو!$C$2:$C$500,MATCH($C6648,المنيو!$B$2:$B$500,0)),0))</f>
        <v/>
      </c>
      <c r="F6648" s="103" t="str">
        <f aca="false">IF($C6648="","",$D6648*$E6648)</f>
        <v/>
      </c>
      <c r="G6648" s="103" t="str">
        <f aca="false">IF($C6648="","",$D6648*IFERROR(INDEX('تحليل التكلفة والسعر'!$C$2:$C$700,MATCH($C6648,'تحليل التكلفة والسعر'!$B$2:$B$700,0)),0))</f>
        <v/>
      </c>
    </row>
    <row r="6649" customFormat="false" ht="15" hidden="false" customHeight="false" outlineLevel="0" collapsed="false">
      <c r="A6649" s="102"/>
      <c r="E6649" s="103" t="str">
        <f aca="false">IF($C6649="","",IFERROR(INDEX(المنيو!$C$2:$C$500,MATCH($C6649,المنيو!$B$2:$B$500,0)),0))</f>
        <v/>
      </c>
      <c r="F6649" s="103" t="str">
        <f aca="false">IF($C6649="","",$D6649*$E6649)</f>
        <v/>
      </c>
      <c r="G6649" s="103" t="str">
        <f aca="false">IF($C6649="","",$D6649*IFERROR(INDEX('تحليل التكلفة والسعر'!$C$2:$C$700,MATCH($C6649,'تحليل التكلفة والسعر'!$B$2:$B$700,0)),0))</f>
        <v/>
      </c>
    </row>
    <row r="6650" customFormat="false" ht="15" hidden="false" customHeight="false" outlineLevel="0" collapsed="false">
      <c r="A6650" s="102"/>
      <c r="E6650" s="103" t="str">
        <f aca="false">IF($C6650="","",IFERROR(INDEX(المنيو!$C$2:$C$500,MATCH($C6650,المنيو!$B$2:$B$500,0)),0))</f>
        <v/>
      </c>
      <c r="F6650" s="103" t="str">
        <f aca="false">IF($C6650="","",$D6650*$E6650)</f>
        <v/>
      </c>
      <c r="G6650" s="103" t="str">
        <f aca="false">IF($C6650="","",$D6650*IFERROR(INDEX('تحليل التكلفة والسعر'!$C$2:$C$700,MATCH($C6650,'تحليل التكلفة والسعر'!$B$2:$B$700,0)),0))</f>
        <v/>
      </c>
    </row>
    <row r="6651" customFormat="false" ht="15" hidden="false" customHeight="false" outlineLevel="0" collapsed="false">
      <c r="A6651" s="102"/>
      <c r="E6651" s="103" t="str">
        <f aca="false">IF($C6651="","",IFERROR(INDEX(المنيو!$C$2:$C$500,MATCH($C6651,المنيو!$B$2:$B$500,0)),0))</f>
        <v/>
      </c>
      <c r="F6651" s="103" t="str">
        <f aca="false">IF($C6651="","",$D6651*$E6651)</f>
        <v/>
      </c>
      <c r="G6651" s="103" t="str">
        <f aca="false">IF($C6651="","",$D6651*IFERROR(INDEX('تحليل التكلفة والسعر'!$C$2:$C$700,MATCH($C6651,'تحليل التكلفة والسعر'!$B$2:$B$700,0)),0))</f>
        <v/>
      </c>
    </row>
    <row r="6652" customFormat="false" ht="15" hidden="false" customHeight="false" outlineLevel="0" collapsed="false">
      <c r="A6652" s="102"/>
      <c r="E6652" s="103" t="str">
        <f aca="false">IF($C6652="","",IFERROR(INDEX(المنيو!$C$2:$C$500,MATCH($C6652,المنيو!$B$2:$B$500,0)),0))</f>
        <v/>
      </c>
      <c r="F6652" s="103" t="str">
        <f aca="false">IF($C6652="","",$D6652*$E6652)</f>
        <v/>
      </c>
      <c r="G6652" s="103" t="str">
        <f aca="false">IF($C6652="","",$D6652*IFERROR(INDEX('تحليل التكلفة والسعر'!$C$2:$C$700,MATCH($C6652,'تحليل التكلفة والسعر'!$B$2:$B$700,0)),0))</f>
        <v/>
      </c>
    </row>
    <row r="6653" customFormat="false" ht="15" hidden="false" customHeight="false" outlineLevel="0" collapsed="false">
      <c r="A6653" s="102"/>
      <c r="E6653" s="103" t="str">
        <f aca="false">IF($C6653="","",IFERROR(INDEX(المنيو!$C$2:$C$500,MATCH($C6653,المنيو!$B$2:$B$500,0)),0))</f>
        <v/>
      </c>
      <c r="F6653" s="103" t="str">
        <f aca="false">IF($C6653="","",$D6653*$E6653)</f>
        <v/>
      </c>
      <c r="G6653" s="103" t="str">
        <f aca="false">IF($C6653="","",$D6653*IFERROR(INDEX('تحليل التكلفة والسعر'!$C$2:$C$700,MATCH($C6653,'تحليل التكلفة والسعر'!$B$2:$B$700,0)),0))</f>
        <v/>
      </c>
    </row>
    <row r="6654" customFormat="false" ht="15" hidden="false" customHeight="false" outlineLevel="0" collapsed="false">
      <c r="A6654" s="102"/>
      <c r="E6654" s="103" t="str">
        <f aca="false">IF($C6654="","",IFERROR(INDEX(المنيو!$C$2:$C$500,MATCH($C6654,المنيو!$B$2:$B$500,0)),0))</f>
        <v/>
      </c>
      <c r="F6654" s="103" t="str">
        <f aca="false">IF($C6654="","",$D6654*$E6654)</f>
        <v/>
      </c>
      <c r="G6654" s="103" t="str">
        <f aca="false">IF($C6654="","",$D6654*IFERROR(INDEX('تحليل التكلفة والسعر'!$C$2:$C$700,MATCH($C6654,'تحليل التكلفة والسعر'!$B$2:$B$700,0)),0))</f>
        <v/>
      </c>
    </row>
    <row r="6655" customFormat="false" ht="15" hidden="false" customHeight="false" outlineLevel="0" collapsed="false">
      <c r="A6655" s="102"/>
      <c r="E6655" s="103" t="str">
        <f aca="false">IF($C6655="","",IFERROR(INDEX(المنيو!$C$2:$C$500,MATCH($C6655,المنيو!$B$2:$B$500,0)),0))</f>
        <v/>
      </c>
      <c r="F6655" s="103" t="str">
        <f aca="false">IF($C6655="","",$D6655*$E6655)</f>
        <v/>
      </c>
      <c r="G6655" s="103" t="str">
        <f aca="false">IF($C6655="","",$D6655*IFERROR(INDEX('تحليل التكلفة والسعر'!$C$2:$C$700,MATCH($C6655,'تحليل التكلفة والسعر'!$B$2:$B$700,0)),0))</f>
        <v/>
      </c>
    </row>
    <row r="6656" customFormat="false" ht="15" hidden="false" customHeight="false" outlineLevel="0" collapsed="false">
      <c r="A6656" s="102"/>
      <c r="E6656" s="103" t="str">
        <f aca="false">IF($C6656="","",IFERROR(INDEX(المنيو!$C$2:$C$500,MATCH($C6656,المنيو!$B$2:$B$500,0)),0))</f>
        <v/>
      </c>
      <c r="F6656" s="103" t="str">
        <f aca="false">IF($C6656="","",$D6656*$E6656)</f>
        <v/>
      </c>
      <c r="G6656" s="103" t="str">
        <f aca="false">IF($C6656="","",$D6656*IFERROR(INDEX('تحليل التكلفة والسعر'!$C$2:$C$700,MATCH($C6656,'تحليل التكلفة والسعر'!$B$2:$B$700,0)),0))</f>
        <v/>
      </c>
    </row>
    <row r="6657" customFormat="false" ht="15" hidden="false" customHeight="false" outlineLevel="0" collapsed="false">
      <c r="A6657" s="102"/>
      <c r="E6657" s="103" t="str">
        <f aca="false">IF($C6657="","",IFERROR(INDEX(المنيو!$C$2:$C$500,MATCH($C6657,المنيو!$B$2:$B$500,0)),0))</f>
        <v/>
      </c>
      <c r="F6657" s="103" t="str">
        <f aca="false">IF($C6657="","",$D6657*$E6657)</f>
        <v/>
      </c>
      <c r="G6657" s="103" t="str">
        <f aca="false">IF($C6657="","",$D6657*IFERROR(INDEX('تحليل التكلفة والسعر'!$C$2:$C$700,MATCH($C6657,'تحليل التكلفة والسعر'!$B$2:$B$700,0)),0))</f>
        <v/>
      </c>
    </row>
    <row r="6658" customFormat="false" ht="15" hidden="false" customHeight="false" outlineLevel="0" collapsed="false">
      <c r="A6658" s="102"/>
      <c r="E6658" s="103" t="str">
        <f aca="false">IF($C6658="","",IFERROR(INDEX(المنيو!$C$2:$C$500,MATCH($C6658,المنيو!$B$2:$B$500,0)),0))</f>
        <v/>
      </c>
      <c r="F6658" s="103" t="str">
        <f aca="false">IF($C6658="","",$D6658*$E6658)</f>
        <v/>
      </c>
      <c r="G6658" s="103" t="str">
        <f aca="false">IF($C6658="","",$D6658*IFERROR(INDEX('تحليل التكلفة والسعر'!$C$2:$C$700,MATCH($C6658,'تحليل التكلفة والسعر'!$B$2:$B$700,0)),0))</f>
        <v/>
      </c>
    </row>
    <row r="6659" customFormat="false" ht="15" hidden="false" customHeight="false" outlineLevel="0" collapsed="false">
      <c r="A6659" s="102"/>
      <c r="E6659" s="103" t="str">
        <f aca="false">IF($C6659="","",IFERROR(INDEX(المنيو!$C$2:$C$500,MATCH($C6659,المنيو!$B$2:$B$500,0)),0))</f>
        <v/>
      </c>
      <c r="F6659" s="103" t="str">
        <f aca="false">IF($C6659="","",$D6659*$E6659)</f>
        <v/>
      </c>
      <c r="G6659" s="103" t="str">
        <f aca="false">IF($C6659="","",$D6659*IFERROR(INDEX('تحليل التكلفة والسعر'!$C$2:$C$700,MATCH($C6659,'تحليل التكلفة والسعر'!$B$2:$B$700,0)),0))</f>
        <v/>
      </c>
    </row>
    <row r="6660" customFormat="false" ht="15" hidden="false" customHeight="false" outlineLevel="0" collapsed="false">
      <c r="A6660" s="102"/>
      <c r="E6660" s="103" t="str">
        <f aca="false">IF($C6660="","",IFERROR(INDEX(المنيو!$C$2:$C$500,MATCH($C6660,المنيو!$B$2:$B$500,0)),0))</f>
        <v/>
      </c>
      <c r="F6660" s="103" t="str">
        <f aca="false">IF($C6660="","",$D6660*$E6660)</f>
        <v/>
      </c>
      <c r="G6660" s="103" t="str">
        <f aca="false">IF($C6660="","",$D6660*IFERROR(INDEX('تحليل التكلفة والسعر'!$C$2:$C$700,MATCH($C6660,'تحليل التكلفة والسعر'!$B$2:$B$700,0)),0))</f>
        <v/>
      </c>
    </row>
    <row r="6661" customFormat="false" ht="15" hidden="false" customHeight="false" outlineLevel="0" collapsed="false">
      <c r="A6661" s="102"/>
      <c r="E6661" s="103" t="str">
        <f aca="false">IF($C6661="","",IFERROR(INDEX(المنيو!$C$2:$C$500,MATCH($C6661,المنيو!$B$2:$B$500,0)),0))</f>
        <v/>
      </c>
      <c r="F6661" s="103" t="str">
        <f aca="false">IF($C6661="","",$D6661*$E6661)</f>
        <v/>
      </c>
      <c r="G6661" s="103" t="str">
        <f aca="false">IF($C6661="","",$D6661*IFERROR(INDEX('تحليل التكلفة والسعر'!$C$2:$C$700,MATCH($C6661,'تحليل التكلفة والسعر'!$B$2:$B$700,0)),0))</f>
        <v/>
      </c>
    </row>
    <row r="6662" customFormat="false" ht="15" hidden="false" customHeight="false" outlineLevel="0" collapsed="false">
      <c r="A6662" s="102"/>
      <c r="E6662" s="103" t="str">
        <f aca="false">IF($C6662="","",IFERROR(INDEX(المنيو!$C$2:$C$500,MATCH($C6662,المنيو!$B$2:$B$500,0)),0))</f>
        <v/>
      </c>
      <c r="F6662" s="103" t="str">
        <f aca="false">IF($C6662="","",$D6662*$E6662)</f>
        <v/>
      </c>
      <c r="G6662" s="103" t="str">
        <f aca="false">IF($C6662="","",$D6662*IFERROR(INDEX('تحليل التكلفة والسعر'!$C$2:$C$700,MATCH($C6662,'تحليل التكلفة والسعر'!$B$2:$B$700,0)),0))</f>
        <v/>
      </c>
    </row>
    <row r="6663" customFormat="false" ht="15" hidden="false" customHeight="false" outlineLevel="0" collapsed="false">
      <c r="A6663" s="102"/>
      <c r="E6663" s="103" t="str">
        <f aca="false">IF($C6663="","",IFERROR(INDEX(المنيو!$C$2:$C$500,MATCH($C6663,المنيو!$B$2:$B$500,0)),0))</f>
        <v/>
      </c>
      <c r="F6663" s="103" t="str">
        <f aca="false">IF($C6663="","",$D6663*$E6663)</f>
        <v/>
      </c>
      <c r="G6663" s="103" t="str">
        <f aca="false">IF($C6663="","",$D6663*IFERROR(INDEX('تحليل التكلفة والسعر'!$C$2:$C$700,MATCH($C6663,'تحليل التكلفة والسعر'!$B$2:$B$700,0)),0))</f>
        <v/>
      </c>
    </row>
    <row r="6664" customFormat="false" ht="15" hidden="false" customHeight="false" outlineLevel="0" collapsed="false">
      <c r="A6664" s="102"/>
      <c r="E6664" s="103" t="str">
        <f aca="false">IF($C6664="","",IFERROR(INDEX(المنيو!$C$2:$C$500,MATCH($C6664,المنيو!$B$2:$B$500,0)),0))</f>
        <v/>
      </c>
      <c r="F6664" s="103" t="str">
        <f aca="false">IF($C6664="","",$D6664*$E6664)</f>
        <v/>
      </c>
      <c r="G6664" s="103" t="str">
        <f aca="false">IF($C6664="","",$D6664*IFERROR(INDEX('تحليل التكلفة والسعر'!$C$2:$C$700,MATCH($C6664,'تحليل التكلفة والسعر'!$B$2:$B$700,0)),0))</f>
        <v/>
      </c>
    </row>
    <row r="6665" customFormat="false" ht="15" hidden="false" customHeight="false" outlineLevel="0" collapsed="false">
      <c r="A6665" s="102"/>
      <c r="E6665" s="103" t="str">
        <f aca="false">IF($C6665="","",IFERROR(INDEX(المنيو!$C$2:$C$500,MATCH($C6665,المنيو!$B$2:$B$500,0)),0))</f>
        <v/>
      </c>
      <c r="F6665" s="103" t="str">
        <f aca="false">IF($C6665="","",$D6665*$E6665)</f>
        <v/>
      </c>
      <c r="G6665" s="103" t="str">
        <f aca="false">IF($C6665="","",$D6665*IFERROR(INDEX('تحليل التكلفة والسعر'!$C$2:$C$700,MATCH($C6665,'تحليل التكلفة والسعر'!$B$2:$B$700,0)),0))</f>
        <v/>
      </c>
    </row>
    <row r="6666" customFormat="false" ht="15" hidden="false" customHeight="false" outlineLevel="0" collapsed="false">
      <c r="A6666" s="102"/>
      <c r="E6666" s="103" t="str">
        <f aca="false">IF($C6666="","",IFERROR(INDEX(المنيو!$C$2:$C$500,MATCH($C6666,المنيو!$B$2:$B$500,0)),0))</f>
        <v/>
      </c>
      <c r="F6666" s="103" t="str">
        <f aca="false">IF($C6666="","",$D6666*$E6666)</f>
        <v/>
      </c>
      <c r="G6666" s="103" t="str">
        <f aca="false">IF($C6666="","",$D6666*IFERROR(INDEX('تحليل التكلفة والسعر'!$C$2:$C$700,MATCH($C6666,'تحليل التكلفة والسعر'!$B$2:$B$700,0)),0))</f>
        <v/>
      </c>
    </row>
    <row r="6667" customFormat="false" ht="15" hidden="false" customHeight="false" outlineLevel="0" collapsed="false">
      <c r="A6667" s="102"/>
      <c r="E6667" s="103" t="str">
        <f aca="false">IF($C6667="","",IFERROR(INDEX(المنيو!$C$2:$C$500,MATCH($C6667,المنيو!$B$2:$B$500,0)),0))</f>
        <v/>
      </c>
      <c r="F6667" s="103" t="str">
        <f aca="false">IF($C6667="","",$D6667*$E6667)</f>
        <v/>
      </c>
      <c r="G6667" s="103" t="str">
        <f aca="false">IF($C6667="","",$D6667*IFERROR(INDEX('تحليل التكلفة والسعر'!$C$2:$C$700,MATCH($C6667,'تحليل التكلفة والسعر'!$B$2:$B$700,0)),0))</f>
        <v/>
      </c>
    </row>
    <row r="6668" customFormat="false" ht="15" hidden="false" customHeight="false" outlineLevel="0" collapsed="false">
      <c r="A6668" s="102"/>
      <c r="E6668" s="103" t="str">
        <f aca="false">IF($C6668="","",IFERROR(INDEX(المنيو!$C$2:$C$500,MATCH($C6668,المنيو!$B$2:$B$500,0)),0))</f>
        <v/>
      </c>
      <c r="F6668" s="103" t="str">
        <f aca="false">IF($C6668="","",$D6668*$E6668)</f>
        <v/>
      </c>
      <c r="G6668" s="103" t="str">
        <f aca="false">IF($C6668="","",$D6668*IFERROR(INDEX('تحليل التكلفة والسعر'!$C$2:$C$700,MATCH($C6668,'تحليل التكلفة والسعر'!$B$2:$B$700,0)),0))</f>
        <v/>
      </c>
    </row>
    <row r="6669" customFormat="false" ht="15" hidden="false" customHeight="false" outlineLevel="0" collapsed="false">
      <c r="A6669" s="102"/>
      <c r="E6669" s="103" t="str">
        <f aca="false">IF($C6669="","",IFERROR(INDEX(المنيو!$C$2:$C$500,MATCH($C6669,المنيو!$B$2:$B$500,0)),0))</f>
        <v/>
      </c>
      <c r="F6669" s="103" t="str">
        <f aca="false">IF($C6669="","",$D6669*$E6669)</f>
        <v/>
      </c>
      <c r="G6669" s="103" t="str">
        <f aca="false">IF($C6669="","",$D6669*IFERROR(INDEX('تحليل التكلفة والسعر'!$C$2:$C$700,MATCH($C6669,'تحليل التكلفة والسعر'!$B$2:$B$700,0)),0))</f>
        <v/>
      </c>
    </row>
    <row r="6670" customFormat="false" ht="15" hidden="false" customHeight="false" outlineLevel="0" collapsed="false">
      <c r="A6670" s="102"/>
      <c r="E6670" s="103" t="str">
        <f aca="false">IF($C6670="","",IFERROR(INDEX(المنيو!$C$2:$C$500,MATCH($C6670,المنيو!$B$2:$B$500,0)),0))</f>
        <v/>
      </c>
      <c r="F6670" s="103" t="str">
        <f aca="false">IF($C6670="","",$D6670*$E6670)</f>
        <v/>
      </c>
      <c r="G6670" s="103" t="str">
        <f aca="false">IF($C6670="","",$D6670*IFERROR(INDEX('تحليل التكلفة والسعر'!$C$2:$C$700,MATCH($C6670,'تحليل التكلفة والسعر'!$B$2:$B$700,0)),0))</f>
        <v/>
      </c>
    </row>
    <row r="6671" customFormat="false" ht="15" hidden="false" customHeight="false" outlineLevel="0" collapsed="false">
      <c r="A6671" s="102"/>
      <c r="E6671" s="103" t="str">
        <f aca="false">IF($C6671="","",IFERROR(INDEX(المنيو!$C$2:$C$500,MATCH($C6671,المنيو!$B$2:$B$500,0)),0))</f>
        <v/>
      </c>
      <c r="F6671" s="103" t="str">
        <f aca="false">IF($C6671="","",$D6671*$E6671)</f>
        <v/>
      </c>
      <c r="G6671" s="103" t="str">
        <f aca="false">IF($C6671="","",$D6671*IFERROR(INDEX('تحليل التكلفة والسعر'!$C$2:$C$700,MATCH($C6671,'تحليل التكلفة والسعر'!$B$2:$B$700,0)),0))</f>
        <v/>
      </c>
    </row>
    <row r="6672" customFormat="false" ht="15" hidden="false" customHeight="false" outlineLevel="0" collapsed="false">
      <c r="A6672" s="102"/>
      <c r="E6672" s="103" t="str">
        <f aca="false">IF($C6672="","",IFERROR(INDEX(المنيو!$C$2:$C$500,MATCH($C6672,المنيو!$B$2:$B$500,0)),0))</f>
        <v/>
      </c>
      <c r="F6672" s="103" t="str">
        <f aca="false">IF($C6672="","",$D6672*$E6672)</f>
        <v/>
      </c>
      <c r="G6672" s="103" t="str">
        <f aca="false">IF($C6672="","",$D6672*IFERROR(INDEX('تحليل التكلفة والسعر'!$C$2:$C$700,MATCH($C6672,'تحليل التكلفة والسعر'!$B$2:$B$700,0)),0))</f>
        <v/>
      </c>
    </row>
    <row r="6673" customFormat="false" ht="15" hidden="false" customHeight="false" outlineLevel="0" collapsed="false">
      <c r="A6673" s="102"/>
      <c r="E6673" s="103" t="str">
        <f aca="false">IF($C6673="","",IFERROR(INDEX(المنيو!$C$2:$C$500,MATCH($C6673,المنيو!$B$2:$B$500,0)),0))</f>
        <v/>
      </c>
      <c r="F6673" s="103" t="str">
        <f aca="false">IF($C6673="","",$D6673*$E6673)</f>
        <v/>
      </c>
      <c r="G6673" s="103" t="str">
        <f aca="false">IF($C6673="","",$D6673*IFERROR(INDEX('تحليل التكلفة والسعر'!$C$2:$C$700,MATCH($C6673,'تحليل التكلفة والسعر'!$B$2:$B$700,0)),0))</f>
        <v/>
      </c>
    </row>
    <row r="6674" customFormat="false" ht="15" hidden="false" customHeight="false" outlineLevel="0" collapsed="false">
      <c r="A6674" s="102"/>
      <c r="E6674" s="103" t="str">
        <f aca="false">IF($C6674="","",IFERROR(INDEX(المنيو!$C$2:$C$500,MATCH($C6674,المنيو!$B$2:$B$500,0)),0))</f>
        <v/>
      </c>
      <c r="F6674" s="103" t="str">
        <f aca="false">IF($C6674="","",$D6674*$E6674)</f>
        <v/>
      </c>
      <c r="G6674" s="103" t="str">
        <f aca="false">IF($C6674="","",$D6674*IFERROR(INDEX('تحليل التكلفة والسعر'!$C$2:$C$700,MATCH($C6674,'تحليل التكلفة والسعر'!$B$2:$B$700,0)),0))</f>
        <v/>
      </c>
    </row>
    <row r="6675" customFormat="false" ht="15" hidden="false" customHeight="false" outlineLevel="0" collapsed="false">
      <c r="A6675" s="102"/>
      <c r="E6675" s="103" t="str">
        <f aca="false">IF($C6675="","",IFERROR(INDEX(المنيو!$C$2:$C$500,MATCH($C6675,المنيو!$B$2:$B$500,0)),0))</f>
        <v/>
      </c>
      <c r="F6675" s="103" t="str">
        <f aca="false">IF($C6675="","",$D6675*$E6675)</f>
        <v/>
      </c>
      <c r="G6675" s="103" t="str">
        <f aca="false">IF($C6675="","",$D6675*IFERROR(INDEX('تحليل التكلفة والسعر'!$C$2:$C$700,MATCH($C6675,'تحليل التكلفة والسعر'!$B$2:$B$700,0)),0))</f>
        <v/>
      </c>
    </row>
    <row r="6676" customFormat="false" ht="15" hidden="false" customHeight="false" outlineLevel="0" collapsed="false">
      <c r="A6676" s="102"/>
      <c r="E6676" s="103" t="str">
        <f aca="false">IF($C6676="","",IFERROR(INDEX(المنيو!$C$2:$C$500,MATCH($C6676,المنيو!$B$2:$B$500,0)),0))</f>
        <v/>
      </c>
      <c r="F6676" s="103" t="str">
        <f aca="false">IF($C6676="","",$D6676*$E6676)</f>
        <v/>
      </c>
      <c r="G6676" s="103" t="str">
        <f aca="false">IF($C6676="","",$D6676*IFERROR(INDEX('تحليل التكلفة والسعر'!$C$2:$C$700,MATCH($C6676,'تحليل التكلفة والسعر'!$B$2:$B$700,0)),0))</f>
        <v/>
      </c>
    </row>
    <row r="6677" customFormat="false" ht="15" hidden="false" customHeight="false" outlineLevel="0" collapsed="false">
      <c r="A6677" s="102"/>
      <c r="E6677" s="103" t="str">
        <f aca="false">IF($C6677="","",IFERROR(INDEX(المنيو!$C$2:$C$500,MATCH($C6677,المنيو!$B$2:$B$500,0)),0))</f>
        <v/>
      </c>
      <c r="F6677" s="103" t="str">
        <f aca="false">IF($C6677="","",$D6677*$E6677)</f>
        <v/>
      </c>
      <c r="G6677" s="103" t="str">
        <f aca="false">IF($C6677="","",$D6677*IFERROR(INDEX('تحليل التكلفة والسعر'!$C$2:$C$700,MATCH($C6677,'تحليل التكلفة والسعر'!$B$2:$B$700,0)),0))</f>
        <v/>
      </c>
    </row>
    <row r="6678" customFormat="false" ht="15" hidden="false" customHeight="false" outlineLevel="0" collapsed="false">
      <c r="A6678" s="102"/>
      <c r="E6678" s="103" t="str">
        <f aca="false">IF($C6678="","",IFERROR(INDEX(المنيو!$C$2:$C$500,MATCH($C6678,المنيو!$B$2:$B$500,0)),0))</f>
        <v/>
      </c>
      <c r="F6678" s="103" t="str">
        <f aca="false">IF($C6678="","",$D6678*$E6678)</f>
        <v/>
      </c>
      <c r="G6678" s="103" t="str">
        <f aca="false">IF($C6678="","",$D6678*IFERROR(INDEX('تحليل التكلفة والسعر'!$C$2:$C$700,MATCH($C6678,'تحليل التكلفة والسعر'!$B$2:$B$700,0)),0))</f>
        <v/>
      </c>
    </row>
    <row r="6679" customFormat="false" ht="15" hidden="false" customHeight="false" outlineLevel="0" collapsed="false">
      <c r="A6679" s="102"/>
      <c r="E6679" s="103" t="str">
        <f aca="false">IF($C6679="","",IFERROR(INDEX(المنيو!$C$2:$C$500,MATCH($C6679,المنيو!$B$2:$B$500,0)),0))</f>
        <v/>
      </c>
      <c r="F6679" s="103" t="str">
        <f aca="false">IF($C6679="","",$D6679*$E6679)</f>
        <v/>
      </c>
      <c r="G6679" s="103" t="str">
        <f aca="false">IF($C6679="","",$D6679*IFERROR(INDEX('تحليل التكلفة والسعر'!$C$2:$C$700,MATCH($C6679,'تحليل التكلفة والسعر'!$B$2:$B$700,0)),0))</f>
        <v/>
      </c>
    </row>
    <row r="6680" customFormat="false" ht="15" hidden="false" customHeight="false" outlineLevel="0" collapsed="false">
      <c r="A6680" s="102"/>
      <c r="E6680" s="103" t="str">
        <f aca="false">IF($C6680="","",IFERROR(INDEX(المنيو!$C$2:$C$500,MATCH($C6680,المنيو!$B$2:$B$500,0)),0))</f>
        <v/>
      </c>
      <c r="F6680" s="103" t="str">
        <f aca="false">IF($C6680="","",$D6680*$E6680)</f>
        <v/>
      </c>
      <c r="G6680" s="103" t="str">
        <f aca="false">IF($C6680="","",$D6680*IFERROR(INDEX('تحليل التكلفة والسعر'!$C$2:$C$700,MATCH($C6680,'تحليل التكلفة والسعر'!$B$2:$B$700,0)),0))</f>
        <v/>
      </c>
    </row>
    <row r="6681" customFormat="false" ht="15" hidden="false" customHeight="false" outlineLevel="0" collapsed="false">
      <c r="A6681" s="102"/>
      <c r="E6681" s="103" t="str">
        <f aca="false">IF($C6681="","",IFERROR(INDEX(المنيو!$C$2:$C$500,MATCH($C6681,المنيو!$B$2:$B$500,0)),0))</f>
        <v/>
      </c>
      <c r="F6681" s="103" t="str">
        <f aca="false">IF($C6681="","",$D6681*$E6681)</f>
        <v/>
      </c>
      <c r="G6681" s="103" t="str">
        <f aca="false">IF($C6681="","",$D6681*IFERROR(INDEX('تحليل التكلفة والسعر'!$C$2:$C$700,MATCH($C6681,'تحليل التكلفة والسعر'!$B$2:$B$700,0)),0))</f>
        <v/>
      </c>
    </row>
    <row r="6682" customFormat="false" ht="15" hidden="false" customHeight="false" outlineLevel="0" collapsed="false">
      <c r="A6682" s="102"/>
      <c r="E6682" s="103" t="str">
        <f aca="false">IF($C6682="","",IFERROR(INDEX(المنيو!$C$2:$C$500,MATCH($C6682,المنيو!$B$2:$B$500,0)),0))</f>
        <v/>
      </c>
      <c r="F6682" s="103" t="str">
        <f aca="false">IF($C6682="","",$D6682*$E6682)</f>
        <v/>
      </c>
      <c r="G6682" s="103" t="str">
        <f aca="false">IF($C6682="","",$D6682*IFERROR(INDEX('تحليل التكلفة والسعر'!$C$2:$C$700,MATCH($C6682,'تحليل التكلفة والسعر'!$B$2:$B$700,0)),0))</f>
        <v/>
      </c>
    </row>
    <row r="6683" customFormat="false" ht="15" hidden="false" customHeight="false" outlineLevel="0" collapsed="false">
      <c r="A6683" s="102"/>
      <c r="E6683" s="103" t="str">
        <f aca="false">IF($C6683="","",IFERROR(INDEX(المنيو!$C$2:$C$500,MATCH($C6683,المنيو!$B$2:$B$500,0)),0))</f>
        <v/>
      </c>
      <c r="F6683" s="103" t="str">
        <f aca="false">IF($C6683="","",$D6683*$E6683)</f>
        <v/>
      </c>
      <c r="G6683" s="103" t="str">
        <f aca="false">IF($C6683="","",$D6683*IFERROR(INDEX('تحليل التكلفة والسعر'!$C$2:$C$700,MATCH($C6683,'تحليل التكلفة والسعر'!$B$2:$B$700,0)),0))</f>
        <v/>
      </c>
    </row>
    <row r="6684" customFormat="false" ht="15" hidden="false" customHeight="false" outlineLevel="0" collapsed="false">
      <c r="A6684" s="102"/>
      <c r="E6684" s="103" t="str">
        <f aca="false">IF($C6684="","",IFERROR(INDEX(المنيو!$C$2:$C$500,MATCH($C6684,المنيو!$B$2:$B$500,0)),0))</f>
        <v/>
      </c>
      <c r="F6684" s="103" t="str">
        <f aca="false">IF($C6684="","",$D6684*$E6684)</f>
        <v/>
      </c>
      <c r="G6684" s="103" t="str">
        <f aca="false">IF($C6684="","",$D6684*IFERROR(INDEX('تحليل التكلفة والسعر'!$C$2:$C$700,MATCH($C6684,'تحليل التكلفة والسعر'!$B$2:$B$700,0)),0))</f>
        <v/>
      </c>
    </row>
    <row r="6685" customFormat="false" ht="15" hidden="false" customHeight="false" outlineLevel="0" collapsed="false">
      <c r="A6685" s="102"/>
      <c r="E6685" s="103" t="str">
        <f aca="false">IF($C6685="","",IFERROR(INDEX(المنيو!$C$2:$C$500,MATCH($C6685,المنيو!$B$2:$B$500,0)),0))</f>
        <v/>
      </c>
      <c r="F6685" s="103" t="str">
        <f aca="false">IF($C6685="","",$D6685*$E6685)</f>
        <v/>
      </c>
      <c r="G6685" s="103" t="str">
        <f aca="false">IF($C6685="","",$D6685*IFERROR(INDEX('تحليل التكلفة والسعر'!$C$2:$C$700,MATCH($C6685,'تحليل التكلفة والسعر'!$B$2:$B$700,0)),0))</f>
        <v/>
      </c>
    </row>
    <row r="6686" customFormat="false" ht="15" hidden="false" customHeight="false" outlineLevel="0" collapsed="false">
      <c r="A6686" s="102"/>
      <c r="E6686" s="103" t="str">
        <f aca="false">IF($C6686="","",IFERROR(INDEX(المنيو!$C$2:$C$500,MATCH($C6686,المنيو!$B$2:$B$500,0)),0))</f>
        <v/>
      </c>
      <c r="F6686" s="103" t="str">
        <f aca="false">IF($C6686="","",$D6686*$E6686)</f>
        <v/>
      </c>
      <c r="G6686" s="103" t="str">
        <f aca="false">IF($C6686="","",$D6686*IFERROR(INDEX('تحليل التكلفة والسعر'!$C$2:$C$700,MATCH($C6686,'تحليل التكلفة والسعر'!$B$2:$B$700,0)),0))</f>
        <v/>
      </c>
    </row>
    <row r="6687" customFormat="false" ht="15" hidden="false" customHeight="false" outlineLevel="0" collapsed="false">
      <c r="A6687" s="102"/>
      <c r="E6687" s="103" t="str">
        <f aca="false">IF($C6687="","",IFERROR(INDEX(المنيو!$C$2:$C$500,MATCH($C6687,المنيو!$B$2:$B$500,0)),0))</f>
        <v/>
      </c>
      <c r="F6687" s="103" t="str">
        <f aca="false">IF($C6687="","",$D6687*$E6687)</f>
        <v/>
      </c>
      <c r="G6687" s="103" t="str">
        <f aca="false">IF($C6687="","",$D6687*IFERROR(INDEX('تحليل التكلفة والسعر'!$C$2:$C$700,MATCH($C6687,'تحليل التكلفة والسعر'!$B$2:$B$700,0)),0))</f>
        <v/>
      </c>
    </row>
    <row r="6688" customFormat="false" ht="15" hidden="false" customHeight="false" outlineLevel="0" collapsed="false">
      <c r="A6688" s="102"/>
      <c r="E6688" s="103" t="str">
        <f aca="false">IF($C6688="","",IFERROR(INDEX(المنيو!$C$2:$C$500,MATCH($C6688,المنيو!$B$2:$B$500,0)),0))</f>
        <v/>
      </c>
      <c r="F6688" s="103" t="str">
        <f aca="false">IF($C6688="","",$D6688*$E6688)</f>
        <v/>
      </c>
      <c r="G6688" s="103" t="str">
        <f aca="false">IF($C6688="","",$D6688*IFERROR(INDEX('تحليل التكلفة والسعر'!$C$2:$C$700,MATCH($C6688,'تحليل التكلفة والسعر'!$B$2:$B$700,0)),0))</f>
        <v/>
      </c>
    </row>
    <row r="6689" customFormat="false" ht="15" hidden="false" customHeight="false" outlineLevel="0" collapsed="false">
      <c r="A6689" s="102"/>
      <c r="E6689" s="103" t="str">
        <f aca="false">IF($C6689="","",IFERROR(INDEX(المنيو!$C$2:$C$500,MATCH($C6689,المنيو!$B$2:$B$500,0)),0))</f>
        <v/>
      </c>
      <c r="F6689" s="103" t="str">
        <f aca="false">IF($C6689="","",$D6689*$E6689)</f>
        <v/>
      </c>
      <c r="G6689" s="103" t="str">
        <f aca="false">IF($C6689="","",$D6689*IFERROR(INDEX('تحليل التكلفة والسعر'!$C$2:$C$700,MATCH($C6689,'تحليل التكلفة والسعر'!$B$2:$B$700,0)),0))</f>
        <v/>
      </c>
    </row>
    <row r="6690" customFormat="false" ht="15" hidden="false" customHeight="false" outlineLevel="0" collapsed="false">
      <c r="A6690" s="102"/>
      <c r="E6690" s="103" t="str">
        <f aca="false">IF($C6690="","",IFERROR(INDEX(المنيو!$C$2:$C$500,MATCH($C6690,المنيو!$B$2:$B$500,0)),0))</f>
        <v/>
      </c>
      <c r="F6690" s="103" t="str">
        <f aca="false">IF($C6690="","",$D6690*$E6690)</f>
        <v/>
      </c>
      <c r="G6690" s="103" t="str">
        <f aca="false">IF($C6690="","",$D6690*IFERROR(INDEX('تحليل التكلفة والسعر'!$C$2:$C$700,MATCH($C6690,'تحليل التكلفة والسعر'!$B$2:$B$700,0)),0))</f>
        <v/>
      </c>
    </row>
    <row r="6691" customFormat="false" ht="15" hidden="false" customHeight="false" outlineLevel="0" collapsed="false">
      <c r="A6691" s="102"/>
      <c r="E6691" s="103" t="str">
        <f aca="false">IF($C6691="","",IFERROR(INDEX(المنيو!$C$2:$C$500,MATCH($C6691,المنيو!$B$2:$B$500,0)),0))</f>
        <v/>
      </c>
      <c r="F6691" s="103" t="str">
        <f aca="false">IF($C6691="","",$D6691*$E6691)</f>
        <v/>
      </c>
      <c r="G6691" s="103" t="str">
        <f aca="false">IF($C6691="","",$D6691*IFERROR(INDEX('تحليل التكلفة والسعر'!$C$2:$C$700,MATCH($C6691,'تحليل التكلفة والسعر'!$B$2:$B$700,0)),0))</f>
        <v/>
      </c>
    </row>
    <row r="6692" customFormat="false" ht="15" hidden="false" customHeight="false" outlineLevel="0" collapsed="false">
      <c r="A6692" s="102"/>
      <c r="E6692" s="103" t="str">
        <f aca="false">IF($C6692="","",IFERROR(INDEX(المنيو!$C$2:$C$500,MATCH($C6692,المنيو!$B$2:$B$500,0)),0))</f>
        <v/>
      </c>
      <c r="F6692" s="103" t="str">
        <f aca="false">IF($C6692="","",$D6692*$E6692)</f>
        <v/>
      </c>
      <c r="G6692" s="103" t="str">
        <f aca="false">IF($C6692="","",$D6692*IFERROR(INDEX('تحليل التكلفة والسعر'!$C$2:$C$700,MATCH($C6692,'تحليل التكلفة والسعر'!$B$2:$B$700,0)),0))</f>
        <v/>
      </c>
    </row>
    <row r="6693" customFormat="false" ht="15" hidden="false" customHeight="false" outlineLevel="0" collapsed="false">
      <c r="A6693" s="102"/>
      <c r="E6693" s="103" t="str">
        <f aca="false">IF($C6693="","",IFERROR(INDEX(المنيو!$C$2:$C$500,MATCH($C6693,المنيو!$B$2:$B$500,0)),0))</f>
        <v/>
      </c>
      <c r="F6693" s="103" t="str">
        <f aca="false">IF($C6693="","",$D6693*$E6693)</f>
        <v/>
      </c>
      <c r="G6693" s="103" t="str">
        <f aca="false">IF($C6693="","",$D6693*IFERROR(INDEX('تحليل التكلفة والسعر'!$C$2:$C$700,MATCH($C6693,'تحليل التكلفة والسعر'!$B$2:$B$700,0)),0))</f>
        <v/>
      </c>
    </row>
    <row r="6694" customFormat="false" ht="15" hidden="false" customHeight="false" outlineLevel="0" collapsed="false">
      <c r="A6694" s="102"/>
      <c r="E6694" s="103" t="str">
        <f aca="false">IF($C6694="","",IFERROR(INDEX(المنيو!$C$2:$C$500,MATCH($C6694,المنيو!$B$2:$B$500,0)),0))</f>
        <v/>
      </c>
      <c r="F6694" s="103" t="str">
        <f aca="false">IF($C6694="","",$D6694*$E6694)</f>
        <v/>
      </c>
      <c r="G6694" s="103" t="str">
        <f aca="false">IF($C6694="","",$D6694*IFERROR(INDEX('تحليل التكلفة والسعر'!$C$2:$C$700,MATCH($C6694,'تحليل التكلفة والسعر'!$B$2:$B$700,0)),0))</f>
        <v/>
      </c>
    </row>
    <row r="6695" customFormat="false" ht="15" hidden="false" customHeight="false" outlineLevel="0" collapsed="false">
      <c r="A6695" s="102"/>
      <c r="E6695" s="103" t="str">
        <f aca="false">IF($C6695="","",IFERROR(INDEX(المنيو!$C$2:$C$500,MATCH($C6695,المنيو!$B$2:$B$500,0)),0))</f>
        <v/>
      </c>
      <c r="F6695" s="103" t="str">
        <f aca="false">IF($C6695="","",$D6695*$E6695)</f>
        <v/>
      </c>
      <c r="G6695" s="103" t="str">
        <f aca="false">IF($C6695="","",$D6695*IFERROR(INDEX('تحليل التكلفة والسعر'!$C$2:$C$700,MATCH($C6695,'تحليل التكلفة والسعر'!$B$2:$B$700,0)),0))</f>
        <v/>
      </c>
    </row>
    <row r="6696" customFormat="false" ht="15" hidden="false" customHeight="false" outlineLevel="0" collapsed="false">
      <c r="A6696" s="102"/>
      <c r="E6696" s="103" t="str">
        <f aca="false">IF($C6696="","",IFERROR(INDEX(المنيو!$C$2:$C$500,MATCH($C6696,المنيو!$B$2:$B$500,0)),0))</f>
        <v/>
      </c>
      <c r="F6696" s="103" t="str">
        <f aca="false">IF($C6696="","",$D6696*$E6696)</f>
        <v/>
      </c>
      <c r="G6696" s="103" t="str">
        <f aca="false">IF($C6696="","",$D6696*IFERROR(INDEX('تحليل التكلفة والسعر'!$C$2:$C$700,MATCH($C6696,'تحليل التكلفة والسعر'!$B$2:$B$700,0)),0))</f>
        <v/>
      </c>
    </row>
    <row r="6697" customFormat="false" ht="15" hidden="false" customHeight="false" outlineLevel="0" collapsed="false">
      <c r="A6697" s="102"/>
      <c r="E6697" s="103" t="str">
        <f aca="false">IF($C6697="","",IFERROR(INDEX(المنيو!$C$2:$C$500,MATCH($C6697,المنيو!$B$2:$B$500,0)),0))</f>
        <v/>
      </c>
      <c r="F6697" s="103" t="str">
        <f aca="false">IF($C6697="","",$D6697*$E6697)</f>
        <v/>
      </c>
      <c r="G6697" s="103" t="str">
        <f aca="false">IF($C6697="","",$D6697*IFERROR(INDEX('تحليل التكلفة والسعر'!$C$2:$C$700,MATCH($C6697,'تحليل التكلفة والسعر'!$B$2:$B$700,0)),0))</f>
        <v/>
      </c>
    </row>
    <row r="6698" customFormat="false" ht="15" hidden="false" customHeight="false" outlineLevel="0" collapsed="false">
      <c r="A6698" s="102"/>
      <c r="E6698" s="103" t="str">
        <f aca="false">IF($C6698="","",IFERROR(INDEX(المنيو!$C$2:$C$500,MATCH($C6698,المنيو!$B$2:$B$500,0)),0))</f>
        <v/>
      </c>
      <c r="F6698" s="103" t="str">
        <f aca="false">IF($C6698="","",$D6698*$E6698)</f>
        <v/>
      </c>
      <c r="G6698" s="103" t="str">
        <f aca="false">IF($C6698="","",$D6698*IFERROR(INDEX('تحليل التكلفة والسعر'!$C$2:$C$700,MATCH($C6698,'تحليل التكلفة والسعر'!$B$2:$B$700,0)),0))</f>
        <v/>
      </c>
    </row>
    <row r="6699" customFormat="false" ht="15" hidden="false" customHeight="false" outlineLevel="0" collapsed="false">
      <c r="A6699" s="102"/>
      <c r="E6699" s="103" t="str">
        <f aca="false">IF($C6699="","",IFERROR(INDEX(المنيو!$C$2:$C$500,MATCH($C6699,المنيو!$B$2:$B$500,0)),0))</f>
        <v/>
      </c>
      <c r="F6699" s="103" t="str">
        <f aca="false">IF($C6699="","",$D6699*$E6699)</f>
        <v/>
      </c>
      <c r="G6699" s="103" t="str">
        <f aca="false">IF($C6699="","",$D6699*IFERROR(INDEX('تحليل التكلفة والسعر'!$C$2:$C$700,MATCH($C6699,'تحليل التكلفة والسعر'!$B$2:$B$700,0)),0))</f>
        <v/>
      </c>
    </row>
    <row r="6700" customFormat="false" ht="15" hidden="false" customHeight="false" outlineLevel="0" collapsed="false">
      <c r="A6700" s="102"/>
      <c r="E6700" s="103" t="str">
        <f aca="false">IF($C6700="","",IFERROR(INDEX(المنيو!$C$2:$C$500,MATCH($C6700,المنيو!$B$2:$B$500,0)),0))</f>
        <v/>
      </c>
      <c r="F6700" s="103" t="str">
        <f aca="false">IF($C6700="","",$D6700*$E6700)</f>
        <v/>
      </c>
      <c r="G6700" s="103" t="str">
        <f aca="false">IF($C6700="","",$D6700*IFERROR(INDEX('تحليل التكلفة والسعر'!$C$2:$C$700,MATCH($C6700,'تحليل التكلفة والسعر'!$B$2:$B$700,0)),0))</f>
        <v/>
      </c>
    </row>
    <row r="6701" customFormat="false" ht="15" hidden="false" customHeight="false" outlineLevel="0" collapsed="false">
      <c r="A6701" s="102"/>
      <c r="E6701" s="103" t="str">
        <f aca="false">IF($C6701="","",IFERROR(INDEX(المنيو!$C$2:$C$500,MATCH($C6701,المنيو!$B$2:$B$500,0)),0))</f>
        <v/>
      </c>
      <c r="F6701" s="103" t="str">
        <f aca="false">IF($C6701="","",$D6701*$E6701)</f>
        <v/>
      </c>
      <c r="G6701" s="103" t="str">
        <f aca="false">IF($C6701="","",$D6701*IFERROR(INDEX('تحليل التكلفة والسعر'!$C$2:$C$700,MATCH($C6701,'تحليل التكلفة والسعر'!$B$2:$B$700,0)),0))</f>
        <v/>
      </c>
    </row>
    <row r="6702" customFormat="false" ht="15" hidden="false" customHeight="false" outlineLevel="0" collapsed="false">
      <c r="A6702" s="102"/>
      <c r="E6702" s="103" t="str">
        <f aca="false">IF($C6702="","",IFERROR(INDEX(المنيو!$C$2:$C$500,MATCH($C6702,المنيو!$B$2:$B$500,0)),0))</f>
        <v/>
      </c>
      <c r="F6702" s="103" t="str">
        <f aca="false">IF($C6702="","",$D6702*$E6702)</f>
        <v/>
      </c>
      <c r="G6702" s="103" t="str">
        <f aca="false">IF($C6702="","",$D6702*IFERROR(INDEX('تحليل التكلفة والسعر'!$C$2:$C$700,MATCH($C6702,'تحليل التكلفة والسعر'!$B$2:$B$700,0)),0))</f>
        <v/>
      </c>
    </row>
    <row r="6703" customFormat="false" ht="15" hidden="false" customHeight="false" outlineLevel="0" collapsed="false">
      <c r="A6703" s="102"/>
      <c r="E6703" s="103" t="str">
        <f aca="false">IF($C6703="","",IFERROR(INDEX(المنيو!$C$2:$C$500,MATCH($C6703,المنيو!$B$2:$B$500,0)),0))</f>
        <v/>
      </c>
      <c r="F6703" s="103" t="str">
        <f aca="false">IF($C6703="","",$D6703*$E6703)</f>
        <v/>
      </c>
      <c r="G6703" s="103" t="str">
        <f aca="false">IF($C6703="","",$D6703*IFERROR(INDEX('تحليل التكلفة والسعر'!$C$2:$C$700,MATCH($C6703,'تحليل التكلفة والسعر'!$B$2:$B$700,0)),0))</f>
        <v/>
      </c>
    </row>
    <row r="6704" customFormat="false" ht="15" hidden="false" customHeight="false" outlineLevel="0" collapsed="false">
      <c r="A6704" s="102"/>
      <c r="E6704" s="103" t="str">
        <f aca="false">IF($C6704="","",IFERROR(INDEX(المنيو!$C$2:$C$500,MATCH($C6704,المنيو!$B$2:$B$500,0)),0))</f>
        <v/>
      </c>
      <c r="F6704" s="103" t="str">
        <f aca="false">IF($C6704="","",$D6704*$E6704)</f>
        <v/>
      </c>
      <c r="G6704" s="103" t="str">
        <f aca="false">IF($C6704="","",$D6704*IFERROR(INDEX('تحليل التكلفة والسعر'!$C$2:$C$700,MATCH($C6704,'تحليل التكلفة والسعر'!$B$2:$B$700,0)),0))</f>
        <v/>
      </c>
    </row>
    <row r="6705" customFormat="false" ht="15" hidden="false" customHeight="false" outlineLevel="0" collapsed="false">
      <c r="A6705" s="102"/>
      <c r="E6705" s="103" t="str">
        <f aca="false">IF($C6705="","",IFERROR(INDEX(المنيو!$C$2:$C$500,MATCH($C6705,المنيو!$B$2:$B$500,0)),0))</f>
        <v/>
      </c>
      <c r="F6705" s="103" t="str">
        <f aca="false">IF($C6705="","",$D6705*$E6705)</f>
        <v/>
      </c>
      <c r="G6705" s="103" t="str">
        <f aca="false">IF($C6705="","",$D6705*IFERROR(INDEX('تحليل التكلفة والسعر'!$C$2:$C$700,MATCH($C6705,'تحليل التكلفة والسعر'!$B$2:$B$700,0)),0))</f>
        <v/>
      </c>
    </row>
    <row r="6706" customFormat="false" ht="15" hidden="false" customHeight="false" outlineLevel="0" collapsed="false">
      <c r="A6706" s="102"/>
      <c r="E6706" s="103" t="str">
        <f aca="false">IF($C6706="","",IFERROR(INDEX(المنيو!$C$2:$C$500,MATCH($C6706,المنيو!$B$2:$B$500,0)),0))</f>
        <v/>
      </c>
      <c r="F6706" s="103" t="str">
        <f aca="false">IF($C6706="","",$D6706*$E6706)</f>
        <v/>
      </c>
      <c r="G6706" s="103" t="str">
        <f aca="false">IF($C6706="","",$D6706*IFERROR(INDEX('تحليل التكلفة والسعر'!$C$2:$C$700,MATCH($C6706,'تحليل التكلفة والسعر'!$B$2:$B$700,0)),0))</f>
        <v/>
      </c>
    </row>
    <row r="6707" customFormat="false" ht="15" hidden="false" customHeight="false" outlineLevel="0" collapsed="false">
      <c r="A6707" s="102"/>
      <c r="E6707" s="103" t="str">
        <f aca="false">IF($C6707="","",IFERROR(INDEX(المنيو!$C$2:$C$500,MATCH($C6707,المنيو!$B$2:$B$500,0)),0))</f>
        <v/>
      </c>
      <c r="F6707" s="103" t="str">
        <f aca="false">IF($C6707="","",$D6707*$E6707)</f>
        <v/>
      </c>
      <c r="G6707" s="103" t="str">
        <f aca="false">IF($C6707="","",$D6707*IFERROR(INDEX('تحليل التكلفة والسعر'!$C$2:$C$700,MATCH($C6707,'تحليل التكلفة والسعر'!$B$2:$B$700,0)),0))</f>
        <v/>
      </c>
    </row>
    <row r="6708" customFormat="false" ht="15" hidden="false" customHeight="false" outlineLevel="0" collapsed="false">
      <c r="A6708" s="102"/>
      <c r="E6708" s="103" t="str">
        <f aca="false">IF($C6708="","",IFERROR(INDEX(المنيو!$C$2:$C$500,MATCH($C6708,المنيو!$B$2:$B$500,0)),0))</f>
        <v/>
      </c>
      <c r="F6708" s="103" t="str">
        <f aca="false">IF($C6708="","",$D6708*$E6708)</f>
        <v/>
      </c>
      <c r="G6708" s="103" t="str">
        <f aca="false">IF($C6708="","",$D6708*IFERROR(INDEX('تحليل التكلفة والسعر'!$C$2:$C$700,MATCH($C6708,'تحليل التكلفة والسعر'!$B$2:$B$700,0)),0))</f>
        <v/>
      </c>
    </row>
    <row r="6709" customFormat="false" ht="15" hidden="false" customHeight="false" outlineLevel="0" collapsed="false">
      <c r="A6709" s="102"/>
      <c r="E6709" s="103" t="str">
        <f aca="false">IF($C6709="","",IFERROR(INDEX(المنيو!$C$2:$C$500,MATCH($C6709,المنيو!$B$2:$B$500,0)),0))</f>
        <v/>
      </c>
      <c r="F6709" s="103" t="str">
        <f aca="false">IF($C6709="","",$D6709*$E6709)</f>
        <v/>
      </c>
      <c r="G6709" s="103" t="str">
        <f aca="false">IF($C6709="","",$D6709*IFERROR(INDEX('تحليل التكلفة والسعر'!$C$2:$C$700,MATCH($C6709,'تحليل التكلفة والسعر'!$B$2:$B$700,0)),0))</f>
        <v/>
      </c>
    </row>
    <row r="6710" customFormat="false" ht="15" hidden="false" customHeight="false" outlineLevel="0" collapsed="false">
      <c r="A6710" s="102"/>
      <c r="E6710" s="103" t="str">
        <f aca="false">IF($C6710="","",IFERROR(INDEX(المنيو!$C$2:$C$500,MATCH($C6710,المنيو!$B$2:$B$500,0)),0))</f>
        <v/>
      </c>
      <c r="F6710" s="103" t="str">
        <f aca="false">IF($C6710="","",$D6710*$E6710)</f>
        <v/>
      </c>
      <c r="G6710" s="103" t="str">
        <f aca="false">IF($C6710="","",$D6710*IFERROR(INDEX('تحليل التكلفة والسعر'!$C$2:$C$700,MATCH($C6710,'تحليل التكلفة والسعر'!$B$2:$B$700,0)),0))</f>
        <v/>
      </c>
    </row>
    <row r="6711" customFormat="false" ht="15" hidden="false" customHeight="false" outlineLevel="0" collapsed="false">
      <c r="A6711" s="102"/>
      <c r="E6711" s="103" t="str">
        <f aca="false">IF($C6711="","",IFERROR(INDEX(المنيو!$C$2:$C$500,MATCH($C6711,المنيو!$B$2:$B$500,0)),0))</f>
        <v/>
      </c>
      <c r="F6711" s="103" t="str">
        <f aca="false">IF($C6711="","",$D6711*$E6711)</f>
        <v/>
      </c>
      <c r="G6711" s="103" t="str">
        <f aca="false">IF($C6711="","",$D6711*IFERROR(INDEX('تحليل التكلفة والسعر'!$C$2:$C$700,MATCH($C6711,'تحليل التكلفة والسعر'!$B$2:$B$700,0)),0))</f>
        <v/>
      </c>
    </row>
    <row r="6712" customFormat="false" ht="15" hidden="false" customHeight="false" outlineLevel="0" collapsed="false">
      <c r="A6712" s="102"/>
      <c r="E6712" s="103" t="str">
        <f aca="false">IF($C6712="","",IFERROR(INDEX(المنيو!$C$2:$C$500,MATCH($C6712,المنيو!$B$2:$B$500,0)),0))</f>
        <v/>
      </c>
      <c r="F6712" s="103" t="str">
        <f aca="false">IF($C6712="","",$D6712*$E6712)</f>
        <v/>
      </c>
      <c r="G6712" s="103" t="str">
        <f aca="false">IF($C6712="","",$D6712*IFERROR(INDEX('تحليل التكلفة والسعر'!$C$2:$C$700,MATCH($C6712,'تحليل التكلفة والسعر'!$B$2:$B$700,0)),0))</f>
        <v/>
      </c>
    </row>
    <row r="6713" customFormat="false" ht="15" hidden="false" customHeight="false" outlineLevel="0" collapsed="false">
      <c r="A6713" s="102"/>
      <c r="E6713" s="103" t="str">
        <f aca="false">IF($C6713="","",IFERROR(INDEX(المنيو!$C$2:$C$500,MATCH($C6713,المنيو!$B$2:$B$500,0)),0))</f>
        <v/>
      </c>
      <c r="F6713" s="103" t="str">
        <f aca="false">IF($C6713="","",$D6713*$E6713)</f>
        <v/>
      </c>
      <c r="G6713" s="103" t="str">
        <f aca="false">IF($C6713="","",$D6713*IFERROR(INDEX('تحليل التكلفة والسعر'!$C$2:$C$700,MATCH($C6713,'تحليل التكلفة والسعر'!$B$2:$B$700,0)),0))</f>
        <v/>
      </c>
    </row>
    <row r="6714" customFormat="false" ht="15" hidden="false" customHeight="false" outlineLevel="0" collapsed="false">
      <c r="A6714" s="102"/>
      <c r="E6714" s="103" t="str">
        <f aca="false">IF($C6714="","",IFERROR(INDEX(المنيو!$C$2:$C$500,MATCH($C6714,المنيو!$B$2:$B$500,0)),0))</f>
        <v/>
      </c>
      <c r="F6714" s="103" t="str">
        <f aca="false">IF($C6714="","",$D6714*$E6714)</f>
        <v/>
      </c>
      <c r="G6714" s="103" t="str">
        <f aca="false">IF($C6714="","",$D6714*IFERROR(INDEX('تحليل التكلفة والسعر'!$C$2:$C$700,MATCH($C6714,'تحليل التكلفة والسعر'!$B$2:$B$700,0)),0))</f>
        <v/>
      </c>
    </row>
    <row r="6715" customFormat="false" ht="15" hidden="false" customHeight="false" outlineLevel="0" collapsed="false">
      <c r="A6715" s="102"/>
      <c r="E6715" s="103" t="str">
        <f aca="false">IF($C6715="","",IFERROR(INDEX(المنيو!$C$2:$C$500,MATCH($C6715,المنيو!$B$2:$B$500,0)),0))</f>
        <v/>
      </c>
      <c r="F6715" s="103" t="str">
        <f aca="false">IF($C6715="","",$D6715*$E6715)</f>
        <v/>
      </c>
      <c r="G6715" s="103" t="str">
        <f aca="false">IF($C6715="","",$D6715*IFERROR(INDEX('تحليل التكلفة والسعر'!$C$2:$C$700,MATCH($C6715,'تحليل التكلفة والسعر'!$B$2:$B$700,0)),0))</f>
        <v/>
      </c>
    </row>
    <row r="6716" customFormat="false" ht="15" hidden="false" customHeight="false" outlineLevel="0" collapsed="false">
      <c r="A6716" s="102"/>
      <c r="E6716" s="103" t="str">
        <f aca="false">IF($C6716="","",IFERROR(INDEX(المنيو!$C$2:$C$500,MATCH($C6716,المنيو!$B$2:$B$500,0)),0))</f>
        <v/>
      </c>
      <c r="F6716" s="103" t="str">
        <f aca="false">IF($C6716="","",$D6716*$E6716)</f>
        <v/>
      </c>
      <c r="G6716" s="103" t="str">
        <f aca="false">IF($C6716="","",$D6716*IFERROR(INDEX('تحليل التكلفة والسعر'!$C$2:$C$700,MATCH($C6716,'تحليل التكلفة والسعر'!$B$2:$B$700,0)),0))</f>
        <v/>
      </c>
    </row>
    <row r="6717" customFormat="false" ht="15" hidden="false" customHeight="false" outlineLevel="0" collapsed="false">
      <c r="A6717" s="102"/>
      <c r="E6717" s="103" t="str">
        <f aca="false">IF($C6717="","",IFERROR(INDEX(المنيو!$C$2:$C$500,MATCH($C6717,المنيو!$B$2:$B$500,0)),0))</f>
        <v/>
      </c>
      <c r="F6717" s="103" t="str">
        <f aca="false">IF($C6717="","",$D6717*$E6717)</f>
        <v/>
      </c>
      <c r="G6717" s="103" t="str">
        <f aca="false">IF($C6717="","",$D6717*IFERROR(INDEX('تحليل التكلفة والسعر'!$C$2:$C$700,MATCH($C6717,'تحليل التكلفة والسعر'!$B$2:$B$700,0)),0))</f>
        <v/>
      </c>
    </row>
    <row r="6718" customFormat="false" ht="15" hidden="false" customHeight="false" outlineLevel="0" collapsed="false">
      <c r="A6718" s="102"/>
      <c r="E6718" s="103" t="str">
        <f aca="false">IF($C6718="","",IFERROR(INDEX(المنيو!$C$2:$C$500,MATCH($C6718,المنيو!$B$2:$B$500,0)),0))</f>
        <v/>
      </c>
      <c r="F6718" s="103" t="str">
        <f aca="false">IF($C6718="","",$D6718*$E6718)</f>
        <v/>
      </c>
      <c r="G6718" s="103" t="str">
        <f aca="false">IF($C6718="","",$D6718*IFERROR(INDEX('تحليل التكلفة والسعر'!$C$2:$C$700,MATCH($C6718,'تحليل التكلفة والسعر'!$B$2:$B$700,0)),0))</f>
        <v/>
      </c>
    </row>
    <row r="6719" customFormat="false" ht="15" hidden="false" customHeight="false" outlineLevel="0" collapsed="false">
      <c r="A6719" s="102"/>
      <c r="E6719" s="103" t="str">
        <f aca="false">IF($C6719="","",IFERROR(INDEX(المنيو!$C$2:$C$500,MATCH($C6719,المنيو!$B$2:$B$500,0)),0))</f>
        <v/>
      </c>
      <c r="F6719" s="103" t="str">
        <f aca="false">IF($C6719="","",$D6719*$E6719)</f>
        <v/>
      </c>
      <c r="G6719" s="103" t="str">
        <f aca="false">IF($C6719="","",$D6719*IFERROR(INDEX('تحليل التكلفة والسعر'!$C$2:$C$700,MATCH($C6719,'تحليل التكلفة والسعر'!$B$2:$B$700,0)),0))</f>
        <v/>
      </c>
    </row>
    <row r="6720" customFormat="false" ht="15" hidden="false" customHeight="false" outlineLevel="0" collapsed="false">
      <c r="A6720" s="102"/>
      <c r="E6720" s="103" t="str">
        <f aca="false">IF($C6720="","",IFERROR(INDEX(المنيو!$C$2:$C$500,MATCH($C6720,المنيو!$B$2:$B$500,0)),0))</f>
        <v/>
      </c>
      <c r="F6720" s="103" t="str">
        <f aca="false">IF($C6720="","",$D6720*$E6720)</f>
        <v/>
      </c>
      <c r="G6720" s="103" t="str">
        <f aca="false">IF($C6720="","",$D6720*IFERROR(INDEX('تحليل التكلفة والسعر'!$C$2:$C$700,MATCH($C6720,'تحليل التكلفة والسعر'!$B$2:$B$700,0)),0))</f>
        <v/>
      </c>
    </row>
    <row r="6721" customFormat="false" ht="15" hidden="false" customHeight="false" outlineLevel="0" collapsed="false">
      <c r="A6721" s="102"/>
      <c r="E6721" s="103" t="str">
        <f aca="false">IF($C6721="","",IFERROR(INDEX(المنيو!$C$2:$C$500,MATCH($C6721,المنيو!$B$2:$B$500,0)),0))</f>
        <v/>
      </c>
      <c r="F6721" s="103" t="str">
        <f aca="false">IF($C6721="","",$D6721*$E6721)</f>
        <v/>
      </c>
      <c r="G6721" s="103" t="str">
        <f aca="false">IF($C6721="","",$D6721*IFERROR(INDEX('تحليل التكلفة والسعر'!$C$2:$C$700,MATCH($C6721,'تحليل التكلفة والسعر'!$B$2:$B$700,0)),0))</f>
        <v/>
      </c>
    </row>
    <row r="6722" customFormat="false" ht="15" hidden="false" customHeight="false" outlineLevel="0" collapsed="false">
      <c r="A6722" s="102"/>
      <c r="E6722" s="103" t="str">
        <f aca="false">IF($C6722="","",IFERROR(INDEX(المنيو!$C$2:$C$500,MATCH($C6722,المنيو!$B$2:$B$500,0)),0))</f>
        <v/>
      </c>
      <c r="F6722" s="103" t="str">
        <f aca="false">IF($C6722="","",$D6722*$E6722)</f>
        <v/>
      </c>
      <c r="G6722" s="103" t="str">
        <f aca="false">IF($C6722="","",$D6722*IFERROR(INDEX('تحليل التكلفة والسعر'!$C$2:$C$700,MATCH($C6722,'تحليل التكلفة والسعر'!$B$2:$B$700,0)),0))</f>
        <v/>
      </c>
    </row>
    <row r="6723" customFormat="false" ht="15" hidden="false" customHeight="false" outlineLevel="0" collapsed="false">
      <c r="A6723" s="102"/>
      <c r="E6723" s="103" t="str">
        <f aca="false">IF($C6723="","",IFERROR(INDEX(المنيو!$C$2:$C$500,MATCH($C6723,المنيو!$B$2:$B$500,0)),0))</f>
        <v/>
      </c>
      <c r="F6723" s="103" t="str">
        <f aca="false">IF($C6723="","",$D6723*$E6723)</f>
        <v/>
      </c>
      <c r="G6723" s="103" t="str">
        <f aca="false">IF($C6723="","",$D6723*IFERROR(INDEX('تحليل التكلفة والسعر'!$C$2:$C$700,MATCH($C6723,'تحليل التكلفة والسعر'!$B$2:$B$700,0)),0))</f>
        <v/>
      </c>
    </row>
    <row r="6724" customFormat="false" ht="15" hidden="false" customHeight="false" outlineLevel="0" collapsed="false">
      <c r="A6724" s="102"/>
      <c r="E6724" s="103" t="str">
        <f aca="false">IF($C6724="","",IFERROR(INDEX(المنيو!$C$2:$C$500,MATCH($C6724,المنيو!$B$2:$B$500,0)),0))</f>
        <v/>
      </c>
      <c r="F6724" s="103" t="str">
        <f aca="false">IF($C6724="","",$D6724*$E6724)</f>
        <v/>
      </c>
      <c r="G6724" s="103" t="str">
        <f aca="false">IF($C6724="","",$D6724*IFERROR(INDEX('تحليل التكلفة والسعر'!$C$2:$C$700,MATCH($C6724,'تحليل التكلفة والسعر'!$B$2:$B$700,0)),0))</f>
        <v/>
      </c>
    </row>
    <row r="6725" customFormat="false" ht="15" hidden="false" customHeight="false" outlineLevel="0" collapsed="false">
      <c r="A6725" s="102"/>
      <c r="E6725" s="103" t="str">
        <f aca="false">IF($C6725="","",IFERROR(INDEX(المنيو!$C$2:$C$500,MATCH($C6725,المنيو!$B$2:$B$500,0)),0))</f>
        <v/>
      </c>
      <c r="F6725" s="103" t="str">
        <f aca="false">IF($C6725="","",$D6725*$E6725)</f>
        <v/>
      </c>
      <c r="G6725" s="103" t="str">
        <f aca="false">IF($C6725="","",$D6725*IFERROR(INDEX('تحليل التكلفة والسعر'!$C$2:$C$700,MATCH($C6725,'تحليل التكلفة والسعر'!$B$2:$B$700,0)),0))</f>
        <v/>
      </c>
    </row>
    <row r="6726" customFormat="false" ht="15" hidden="false" customHeight="false" outlineLevel="0" collapsed="false">
      <c r="A6726" s="102"/>
      <c r="E6726" s="103" t="str">
        <f aca="false">IF($C6726="","",IFERROR(INDEX(المنيو!$C$2:$C$500,MATCH($C6726,المنيو!$B$2:$B$500,0)),0))</f>
        <v/>
      </c>
      <c r="F6726" s="103" t="str">
        <f aca="false">IF($C6726="","",$D6726*$E6726)</f>
        <v/>
      </c>
      <c r="G6726" s="103" t="str">
        <f aca="false">IF($C6726="","",$D6726*IFERROR(INDEX('تحليل التكلفة والسعر'!$C$2:$C$700,MATCH($C6726,'تحليل التكلفة والسعر'!$B$2:$B$700,0)),0))</f>
        <v/>
      </c>
    </row>
    <row r="6727" customFormat="false" ht="15" hidden="false" customHeight="false" outlineLevel="0" collapsed="false">
      <c r="A6727" s="102"/>
      <c r="E6727" s="103" t="str">
        <f aca="false">IF($C6727="","",IFERROR(INDEX(المنيو!$C$2:$C$500,MATCH($C6727,المنيو!$B$2:$B$500,0)),0))</f>
        <v/>
      </c>
      <c r="F6727" s="103" t="str">
        <f aca="false">IF($C6727="","",$D6727*$E6727)</f>
        <v/>
      </c>
      <c r="G6727" s="103" t="str">
        <f aca="false">IF($C6727="","",$D6727*IFERROR(INDEX('تحليل التكلفة والسعر'!$C$2:$C$700,MATCH($C6727,'تحليل التكلفة والسعر'!$B$2:$B$700,0)),0))</f>
        <v/>
      </c>
    </row>
    <row r="6728" customFormat="false" ht="15" hidden="false" customHeight="false" outlineLevel="0" collapsed="false">
      <c r="A6728" s="102"/>
      <c r="E6728" s="103" t="str">
        <f aca="false">IF($C6728="","",IFERROR(INDEX(المنيو!$C$2:$C$500,MATCH($C6728,المنيو!$B$2:$B$500,0)),0))</f>
        <v/>
      </c>
      <c r="F6728" s="103" t="str">
        <f aca="false">IF($C6728="","",$D6728*$E6728)</f>
        <v/>
      </c>
      <c r="G6728" s="103" t="str">
        <f aca="false">IF($C6728="","",$D6728*IFERROR(INDEX('تحليل التكلفة والسعر'!$C$2:$C$700,MATCH($C6728,'تحليل التكلفة والسعر'!$B$2:$B$700,0)),0))</f>
        <v/>
      </c>
    </row>
    <row r="6729" customFormat="false" ht="15" hidden="false" customHeight="false" outlineLevel="0" collapsed="false">
      <c r="A6729" s="102"/>
      <c r="E6729" s="103" t="str">
        <f aca="false">IF($C6729="","",IFERROR(INDEX(المنيو!$C$2:$C$500,MATCH($C6729,المنيو!$B$2:$B$500,0)),0))</f>
        <v/>
      </c>
      <c r="F6729" s="103" t="str">
        <f aca="false">IF($C6729="","",$D6729*$E6729)</f>
        <v/>
      </c>
      <c r="G6729" s="103" t="str">
        <f aca="false">IF($C6729="","",$D6729*IFERROR(INDEX('تحليل التكلفة والسعر'!$C$2:$C$700,MATCH($C6729,'تحليل التكلفة والسعر'!$B$2:$B$700,0)),0))</f>
        <v/>
      </c>
    </row>
    <row r="6730" customFormat="false" ht="15" hidden="false" customHeight="false" outlineLevel="0" collapsed="false">
      <c r="A6730" s="102"/>
      <c r="E6730" s="103" t="str">
        <f aca="false">IF($C6730="","",IFERROR(INDEX(المنيو!$C$2:$C$500,MATCH($C6730,المنيو!$B$2:$B$500,0)),0))</f>
        <v/>
      </c>
      <c r="F6730" s="103" t="str">
        <f aca="false">IF($C6730="","",$D6730*$E6730)</f>
        <v/>
      </c>
      <c r="G6730" s="103" t="str">
        <f aca="false">IF($C6730="","",$D6730*IFERROR(INDEX('تحليل التكلفة والسعر'!$C$2:$C$700,MATCH($C6730,'تحليل التكلفة والسعر'!$B$2:$B$700,0)),0))</f>
        <v/>
      </c>
    </row>
    <row r="6731" customFormat="false" ht="15" hidden="false" customHeight="false" outlineLevel="0" collapsed="false">
      <c r="A6731" s="102"/>
      <c r="E6731" s="103" t="str">
        <f aca="false">IF($C6731="","",IFERROR(INDEX(المنيو!$C$2:$C$500,MATCH($C6731,المنيو!$B$2:$B$500,0)),0))</f>
        <v/>
      </c>
      <c r="F6731" s="103" t="str">
        <f aca="false">IF($C6731="","",$D6731*$E6731)</f>
        <v/>
      </c>
      <c r="G6731" s="103" t="str">
        <f aca="false">IF($C6731="","",$D6731*IFERROR(INDEX('تحليل التكلفة والسعر'!$C$2:$C$700,MATCH($C6731,'تحليل التكلفة والسعر'!$B$2:$B$700,0)),0))</f>
        <v/>
      </c>
    </row>
    <row r="6732" customFormat="false" ht="15" hidden="false" customHeight="false" outlineLevel="0" collapsed="false">
      <c r="A6732" s="102"/>
      <c r="E6732" s="103" t="str">
        <f aca="false">IF($C6732="","",IFERROR(INDEX(المنيو!$C$2:$C$500,MATCH($C6732,المنيو!$B$2:$B$500,0)),0))</f>
        <v/>
      </c>
      <c r="F6732" s="103" t="str">
        <f aca="false">IF($C6732="","",$D6732*$E6732)</f>
        <v/>
      </c>
      <c r="G6732" s="103" t="str">
        <f aca="false">IF($C6732="","",$D6732*IFERROR(INDEX('تحليل التكلفة والسعر'!$C$2:$C$700,MATCH($C6732,'تحليل التكلفة والسعر'!$B$2:$B$700,0)),0))</f>
        <v/>
      </c>
    </row>
    <row r="6733" customFormat="false" ht="15" hidden="false" customHeight="false" outlineLevel="0" collapsed="false">
      <c r="A6733" s="102"/>
      <c r="E6733" s="103" t="str">
        <f aca="false">IF($C6733="","",IFERROR(INDEX(المنيو!$C$2:$C$500,MATCH($C6733,المنيو!$B$2:$B$500,0)),0))</f>
        <v/>
      </c>
      <c r="F6733" s="103" t="str">
        <f aca="false">IF($C6733="","",$D6733*$E6733)</f>
        <v/>
      </c>
      <c r="G6733" s="103" t="str">
        <f aca="false">IF($C6733="","",$D6733*IFERROR(INDEX('تحليل التكلفة والسعر'!$C$2:$C$700,MATCH($C6733,'تحليل التكلفة والسعر'!$B$2:$B$700,0)),0))</f>
        <v/>
      </c>
    </row>
    <row r="6734" customFormat="false" ht="15" hidden="false" customHeight="false" outlineLevel="0" collapsed="false">
      <c r="A6734" s="102"/>
      <c r="E6734" s="103" t="str">
        <f aca="false">IF($C6734="","",IFERROR(INDEX(المنيو!$C$2:$C$500,MATCH($C6734,المنيو!$B$2:$B$500,0)),0))</f>
        <v/>
      </c>
      <c r="F6734" s="103" t="str">
        <f aca="false">IF($C6734="","",$D6734*$E6734)</f>
        <v/>
      </c>
      <c r="G6734" s="103" t="str">
        <f aca="false">IF($C6734="","",$D6734*IFERROR(INDEX('تحليل التكلفة والسعر'!$C$2:$C$700,MATCH($C6734,'تحليل التكلفة والسعر'!$B$2:$B$700,0)),0))</f>
        <v/>
      </c>
    </row>
    <row r="6735" customFormat="false" ht="15" hidden="false" customHeight="false" outlineLevel="0" collapsed="false">
      <c r="A6735" s="102"/>
      <c r="E6735" s="103" t="str">
        <f aca="false">IF($C6735="","",IFERROR(INDEX(المنيو!$C$2:$C$500,MATCH($C6735,المنيو!$B$2:$B$500,0)),0))</f>
        <v/>
      </c>
      <c r="F6735" s="103" t="str">
        <f aca="false">IF($C6735="","",$D6735*$E6735)</f>
        <v/>
      </c>
      <c r="G6735" s="103" t="str">
        <f aca="false">IF($C6735="","",$D6735*IFERROR(INDEX('تحليل التكلفة والسعر'!$C$2:$C$700,MATCH($C6735,'تحليل التكلفة والسعر'!$B$2:$B$700,0)),0))</f>
        <v/>
      </c>
    </row>
    <row r="6736" customFormat="false" ht="15" hidden="false" customHeight="false" outlineLevel="0" collapsed="false">
      <c r="A6736" s="102"/>
      <c r="E6736" s="103" t="str">
        <f aca="false">IF($C6736="","",IFERROR(INDEX(المنيو!$C$2:$C$500,MATCH($C6736,المنيو!$B$2:$B$500,0)),0))</f>
        <v/>
      </c>
      <c r="F6736" s="103" t="str">
        <f aca="false">IF($C6736="","",$D6736*$E6736)</f>
        <v/>
      </c>
      <c r="G6736" s="103" t="str">
        <f aca="false">IF($C6736="","",$D6736*IFERROR(INDEX('تحليل التكلفة والسعر'!$C$2:$C$700,MATCH($C6736,'تحليل التكلفة والسعر'!$B$2:$B$700,0)),0))</f>
        <v/>
      </c>
    </row>
    <row r="6737" customFormat="false" ht="15" hidden="false" customHeight="false" outlineLevel="0" collapsed="false">
      <c r="A6737" s="102"/>
      <c r="E6737" s="103" t="str">
        <f aca="false">IF($C6737="","",IFERROR(INDEX(المنيو!$C$2:$C$500,MATCH($C6737,المنيو!$B$2:$B$500,0)),0))</f>
        <v/>
      </c>
      <c r="F6737" s="103" t="str">
        <f aca="false">IF($C6737="","",$D6737*$E6737)</f>
        <v/>
      </c>
      <c r="G6737" s="103" t="str">
        <f aca="false">IF($C6737="","",$D6737*IFERROR(INDEX('تحليل التكلفة والسعر'!$C$2:$C$700,MATCH($C6737,'تحليل التكلفة والسعر'!$B$2:$B$700,0)),0))</f>
        <v/>
      </c>
    </row>
    <row r="6738" customFormat="false" ht="15" hidden="false" customHeight="false" outlineLevel="0" collapsed="false">
      <c r="A6738" s="102"/>
      <c r="E6738" s="103" t="str">
        <f aca="false">IF($C6738="","",IFERROR(INDEX(المنيو!$C$2:$C$500,MATCH($C6738,المنيو!$B$2:$B$500,0)),0))</f>
        <v/>
      </c>
      <c r="F6738" s="103" t="str">
        <f aca="false">IF($C6738="","",$D6738*$E6738)</f>
        <v/>
      </c>
      <c r="G6738" s="103" t="str">
        <f aca="false">IF($C6738="","",$D6738*IFERROR(INDEX('تحليل التكلفة والسعر'!$C$2:$C$700,MATCH($C6738,'تحليل التكلفة والسعر'!$B$2:$B$700,0)),0))</f>
        <v/>
      </c>
    </row>
    <row r="6739" customFormat="false" ht="15" hidden="false" customHeight="false" outlineLevel="0" collapsed="false">
      <c r="A6739" s="102"/>
      <c r="E6739" s="103" t="str">
        <f aca="false">IF($C6739="","",IFERROR(INDEX(المنيو!$C$2:$C$500,MATCH($C6739,المنيو!$B$2:$B$500,0)),0))</f>
        <v/>
      </c>
      <c r="F6739" s="103" t="str">
        <f aca="false">IF($C6739="","",$D6739*$E6739)</f>
        <v/>
      </c>
      <c r="G6739" s="103" t="str">
        <f aca="false">IF($C6739="","",$D6739*IFERROR(INDEX('تحليل التكلفة والسعر'!$C$2:$C$700,MATCH($C6739,'تحليل التكلفة والسعر'!$B$2:$B$700,0)),0))</f>
        <v/>
      </c>
    </row>
    <row r="6740" customFormat="false" ht="15" hidden="false" customHeight="false" outlineLevel="0" collapsed="false">
      <c r="A6740" s="102"/>
      <c r="E6740" s="103" t="str">
        <f aca="false">IF($C6740="","",IFERROR(INDEX(المنيو!$C$2:$C$500,MATCH($C6740,المنيو!$B$2:$B$500,0)),0))</f>
        <v/>
      </c>
      <c r="F6740" s="103" t="str">
        <f aca="false">IF($C6740="","",$D6740*$E6740)</f>
        <v/>
      </c>
      <c r="G6740" s="103" t="str">
        <f aca="false">IF($C6740="","",$D6740*IFERROR(INDEX('تحليل التكلفة والسعر'!$C$2:$C$700,MATCH($C6740,'تحليل التكلفة والسعر'!$B$2:$B$700,0)),0))</f>
        <v/>
      </c>
    </row>
    <row r="6741" customFormat="false" ht="15" hidden="false" customHeight="false" outlineLevel="0" collapsed="false">
      <c r="A6741" s="102"/>
      <c r="E6741" s="103" t="str">
        <f aca="false">IF($C6741="","",IFERROR(INDEX(المنيو!$C$2:$C$500,MATCH($C6741,المنيو!$B$2:$B$500,0)),0))</f>
        <v/>
      </c>
      <c r="F6741" s="103" t="str">
        <f aca="false">IF($C6741="","",$D6741*$E6741)</f>
        <v/>
      </c>
      <c r="G6741" s="103" t="str">
        <f aca="false">IF($C6741="","",$D6741*IFERROR(INDEX('تحليل التكلفة والسعر'!$C$2:$C$700,MATCH($C6741,'تحليل التكلفة والسعر'!$B$2:$B$700,0)),0))</f>
        <v/>
      </c>
    </row>
    <row r="6742" customFormat="false" ht="15" hidden="false" customHeight="false" outlineLevel="0" collapsed="false">
      <c r="A6742" s="102"/>
      <c r="E6742" s="103" t="str">
        <f aca="false">IF($C6742="","",IFERROR(INDEX(المنيو!$C$2:$C$500,MATCH($C6742,المنيو!$B$2:$B$500,0)),0))</f>
        <v/>
      </c>
      <c r="F6742" s="103" t="str">
        <f aca="false">IF($C6742="","",$D6742*$E6742)</f>
        <v/>
      </c>
      <c r="G6742" s="103" t="str">
        <f aca="false">IF($C6742="","",$D6742*IFERROR(INDEX('تحليل التكلفة والسعر'!$C$2:$C$700,MATCH($C6742,'تحليل التكلفة والسعر'!$B$2:$B$700,0)),0))</f>
        <v/>
      </c>
    </row>
    <row r="6743" customFormat="false" ht="15" hidden="false" customHeight="false" outlineLevel="0" collapsed="false">
      <c r="A6743" s="102"/>
      <c r="E6743" s="103" t="str">
        <f aca="false">IF($C6743="","",IFERROR(INDEX(المنيو!$C$2:$C$500,MATCH($C6743,المنيو!$B$2:$B$500,0)),0))</f>
        <v/>
      </c>
      <c r="F6743" s="103" t="str">
        <f aca="false">IF($C6743="","",$D6743*$E6743)</f>
        <v/>
      </c>
      <c r="G6743" s="103" t="str">
        <f aca="false">IF($C6743="","",$D6743*IFERROR(INDEX('تحليل التكلفة والسعر'!$C$2:$C$700,MATCH($C6743,'تحليل التكلفة والسعر'!$B$2:$B$700,0)),0))</f>
        <v/>
      </c>
    </row>
    <row r="6744" customFormat="false" ht="15" hidden="false" customHeight="false" outlineLevel="0" collapsed="false">
      <c r="A6744" s="102"/>
      <c r="E6744" s="103" t="str">
        <f aca="false">IF($C6744="","",IFERROR(INDEX(المنيو!$C$2:$C$500,MATCH($C6744,المنيو!$B$2:$B$500,0)),0))</f>
        <v/>
      </c>
      <c r="F6744" s="103" t="str">
        <f aca="false">IF($C6744="","",$D6744*$E6744)</f>
        <v/>
      </c>
      <c r="G6744" s="103" t="str">
        <f aca="false">IF($C6744="","",$D6744*IFERROR(INDEX('تحليل التكلفة والسعر'!$C$2:$C$700,MATCH($C6744,'تحليل التكلفة والسعر'!$B$2:$B$700,0)),0))</f>
        <v/>
      </c>
    </row>
    <row r="6745" customFormat="false" ht="15" hidden="false" customHeight="false" outlineLevel="0" collapsed="false">
      <c r="A6745" s="102"/>
      <c r="E6745" s="103" t="str">
        <f aca="false">IF($C6745="","",IFERROR(INDEX(المنيو!$C$2:$C$500,MATCH($C6745,المنيو!$B$2:$B$500,0)),0))</f>
        <v/>
      </c>
      <c r="F6745" s="103" t="str">
        <f aca="false">IF($C6745="","",$D6745*$E6745)</f>
        <v/>
      </c>
      <c r="G6745" s="103" t="str">
        <f aca="false">IF($C6745="","",$D6745*IFERROR(INDEX('تحليل التكلفة والسعر'!$C$2:$C$700,MATCH($C6745,'تحليل التكلفة والسعر'!$B$2:$B$700,0)),0))</f>
        <v/>
      </c>
    </row>
    <row r="6746" customFormat="false" ht="15" hidden="false" customHeight="false" outlineLevel="0" collapsed="false">
      <c r="A6746" s="102"/>
      <c r="E6746" s="103" t="str">
        <f aca="false">IF($C6746="","",IFERROR(INDEX(المنيو!$C$2:$C$500,MATCH($C6746,المنيو!$B$2:$B$500,0)),0))</f>
        <v/>
      </c>
      <c r="F6746" s="103" t="str">
        <f aca="false">IF($C6746="","",$D6746*$E6746)</f>
        <v/>
      </c>
      <c r="G6746" s="103" t="str">
        <f aca="false">IF($C6746="","",$D6746*IFERROR(INDEX('تحليل التكلفة والسعر'!$C$2:$C$700,MATCH($C6746,'تحليل التكلفة والسعر'!$B$2:$B$700,0)),0))</f>
        <v/>
      </c>
    </row>
    <row r="6747" customFormat="false" ht="15" hidden="false" customHeight="false" outlineLevel="0" collapsed="false">
      <c r="A6747" s="102"/>
      <c r="E6747" s="103" t="str">
        <f aca="false">IF($C6747="","",IFERROR(INDEX(المنيو!$C$2:$C$500,MATCH($C6747,المنيو!$B$2:$B$500,0)),0))</f>
        <v/>
      </c>
      <c r="F6747" s="103" t="str">
        <f aca="false">IF($C6747="","",$D6747*$E6747)</f>
        <v/>
      </c>
      <c r="G6747" s="103" t="str">
        <f aca="false">IF($C6747="","",$D6747*IFERROR(INDEX('تحليل التكلفة والسعر'!$C$2:$C$700,MATCH($C6747,'تحليل التكلفة والسعر'!$B$2:$B$700,0)),0))</f>
        <v/>
      </c>
    </row>
    <row r="6748" customFormat="false" ht="15" hidden="false" customHeight="false" outlineLevel="0" collapsed="false">
      <c r="A6748" s="102"/>
      <c r="E6748" s="103" t="str">
        <f aca="false">IF($C6748="","",IFERROR(INDEX(المنيو!$C$2:$C$500,MATCH($C6748,المنيو!$B$2:$B$500,0)),0))</f>
        <v/>
      </c>
      <c r="F6748" s="103" t="str">
        <f aca="false">IF($C6748="","",$D6748*$E6748)</f>
        <v/>
      </c>
      <c r="G6748" s="103" t="str">
        <f aca="false">IF($C6748="","",$D6748*IFERROR(INDEX('تحليل التكلفة والسعر'!$C$2:$C$700,MATCH($C6748,'تحليل التكلفة والسعر'!$B$2:$B$700,0)),0))</f>
        <v/>
      </c>
    </row>
    <row r="6749" customFormat="false" ht="15" hidden="false" customHeight="false" outlineLevel="0" collapsed="false">
      <c r="A6749" s="102"/>
      <c r="E6749" s="103" t="str">
        <f aca="false">IF($C6749="","",IFERROR(INDEX(المنيو!$C$2:$C$500,MATCH($C6749,المنيو!$B$2:$B$500,0)),0))</f>
        <v/>
      </c>
      <c r="F6749" s="103" t="str">
        <f aca="false">IF($C6749="","",$D6749*$E6749)</f>
        <v/>
      </c>
      <c r="G6749" s="103" t="str">
        <f aca="false">IF($C6749="","",$D6749*IFERROR(INDEX('تحليل التكلفة والسعر'!$C$2:$C$700,MATCH($C6749,'تحليل التكلفة والسعر'!$B$2:$B$700,0)),0))</f>
        <v/>
      </c>
    </row>
    <row r="6750" customFormat="false" ht="15" hidden="false" customHeight="false" outlineLevel="0" collapsed="false">
      <c r="A6750" s="102"/>
      <c r="E6750" s="103" t="str">
        <f aca="false">IF($C6750="","",IFERROR(INDEX(المنيو!$C$2:$C$500,MATCH($C6750,المنيو!$B$2:$B$500,0)),0))</f>
        <v/>
      </c>
      <c r="F6750" s="103" t="str">
        <f aca="false">IF($C6750="","",$D6750*$E6750)</f>
        <v/>
      </c>
      <c r="G6750" s="103" t="str">
        <f aca="false">IF($C6750="","",$D6750*IFERROR(INDEX('تحليل التكلفة والسعر'!$C$2:$C$700,MATCH($C6750,'تحليل التكلفة والسعر'!$B$2:$B$700,0)),0))</f>
        <v/>
      </c>
    </row>
    <row r="6751" customFormat="false" ht="15" hidden="false" customHeight="false" outlineLevel="0" collapsed="false">
      <c r="A6751" s="102"/>
      <c r="E6751" s="103" t="str">
        <f aca="false">IF($C6751="","",IFERROR(INDEX(المنيو!$C$2:$C$500,MATCH($C6751,المنيو!$B$2:$B$500,0)),0))</f>
        <v/>
      </c>
      <c r="F6751" s="103" t="str">
        <f aca="false">IF($C6751="","",$D6751*$E6751)</f>
        <v/>
      </c>
      <c r="G6751" s="103" t="str">
        <f aca="false">IF($C6751="","",$D6751*IFERROR(INDEX('تحليل التكلفة والسعر'!$C$2:$C$700,MATCH($C6751,'تحليل التكلفة والسعر'!$B$2:$B$700,0)),0))</f>
        <v/>
      </c>
    </row>
    <row r="6752" customFormat="false" ht="15" hidden="false" customHeight="false" outlineLevel="0" collapsed="false">
      <c r="A6752" s="102"/>
      <c r="E6752" s="103" t="str">
        <f aca="false">IF($C6752="","",IFERROR(INDEX(المنيو!$C$2:$C$500,MATCH($C6752,المنيو!$B$2:$B$500,0)),0))</f>
        <v/>
      </c>
      <c r="F6752" s="103" t="str">
        <f aca="false">IF($C6752="","",$D6752*$E6752)</f>
        <v/>
      </c>
      <c r="G6752" s="103" t="str">
        <f aca="false">IF($C6752="","",$D6752*IFERROR(INDEX('تحليل التكلفة والسعر'!$C$2:$C$700,MATCH($C6752,'تحليل التكلفة والسعر'!$B$2:$B$700,0)),0))</f>
        <v/>
      </c>
    </row>
    <row r="6753" customFormat="false" ht="15" hidden="false" customHeight="false" outlineLevel="0" collapsed="false">
      <c r="A6753" s="102"/>
      <c r="E6753" s="103" t="str">
        <f aca="false">IF($C6753="","",IFERROR(INDEX(المنيو!$C$2:$C$500,MATCH($C6753,المنيو!$B$2:$B$500,0)),0))</f>
        <v/>
      </c>
      <c r="F6753" s="103" t="str">
        <f aca="false">IF($C6753="","",$D6753*$E6753)</f>
        <v/>
      </c>
      <c r="G6753" s="103" t="str">
        <f aca="false">IF($C6753="","",$D6753*IFERROR(INDEX('تحليل التكلفة والسعر'!$C$2:$C$700,MATCH($C6753,'تحليل التكلفة والسعر'!$B$2:$B$700,0)),0))</f>
        <v/>
      </c>
    </row>
    <row r="6754" customFormat="false" ht="15" hidden="false" customHeight="false" outlineLevel="0" collapsed="false">
      <c r="A6754" s="102"/>
      <c r="E6754" s="103" t="str">
        <f aca="false">IF($C6754="","",IFERROR(INDEX(المنيو!$C$2:$C$500,MATCH($C6754,المنيو!$B$2:$B$500,0)),0))</f>
        <v/>
      </c>
      <c r="F6754" s="103" t="str">
        <f aca="false">IF($C6754="","",$D6754*$E6754)</f>
        <v/>
      </c>
      <c r="G6754" s="103" t="str">
        <f aca="false">IF($C6754="","",$D6754*IFERROR(INDEX('تحليل التكلفة والسعر'!$C$2:$C$700,MATCH($C6754,'تحليل التكلفة والسعر'!$B$2:$B$700,0)),0))</f>
        <v/>
      </c>
    </row>
    <row r="6755" customFormat="false" ht="15" hidden="false" customHeight="false" outlineLevel="0" collapsed="false">
      <c r="A6755" s="102"/>
      <c r="E6755" s="103" t="str">
        <f aca="false">IF($C6755="","",IFERROR(INDEX(المنيو!$C$2:$C$500,MATCH($C6755,المنيو!$B$2:$B$500,0)),0))</f>
        <v/>
      </c>
      <c r="F6755" s="103" t="str">
        <f aca="false">IF($C6755="","",$D6755*$E6755)</f>
        <v/>
      </c>
      <c r="G6755" s="103" t="str">
        <f aca="false">IF($C6755="","",$D6755*IFERROR(INDEX('تحليل التكلفة والسعر'!$C$2:$C$700,MATCH($C6755,'تحليل التكلفة والسعر'!$B$2:$B$700,0)),0))</f>
        <v/>
      </c>
    </row>
    <row r="6756" customFormat="false" ht="15" hidden="false" customHeight="false" outlineLevel="0" collapsed="false">
      <c r="A6756" s="102"/>
      <c r="E6756" s="103" t="str">
        <f aca="false">IF($C6756="","",IFERROR(INDEX(المنيو!$C$2:$C$500,MATCH($C6756,المنيو!$B$2:$B$500,0)),0))</f>
        <v/>
      </c>
      <c r="F6756" s="103" t="str">
        <f aca="false">IF($C6756="","",$D6756*$E6756)</f>
        <v/>
      </c>
      <c r="G6756" s="103" t="str">
        <f aca="false">IF($C6756="","",$D6756*IFERROR(INDEX('تحليل التكلفة والسعر'!$C$2:$C$700,MATCH($C6756,'تحليل التكلفة والسعر'!$B$2:$B$700,0)),0))</f>
        <v/>
      </c>
    </row>
    <row r="6757" customFormat="false" ht="15" hidden="false" customHeight="false" outlineLevel="0" collapsed="false">
      <c r="A6757" s="102"/>
      <c r="E6757" s="103" t="str">
        <f aca="false">IF($C6757="","",IFERROR(INDEX(المنيو!$C$2:$C$500,MATCH($C6757,المنيو!$B$2:$B$500,0)),0))</f>
        <v/>
      </c>
      <c r="F6757" s="103" t="str">
        <f aca="false">IF($C6757="","",$D6757*$E6757)</f>
        <v/>
      </c>
      <c r="G6757" s="103" t="str">
        <f aca="false">IF($C6757="","",$D6757*IFERROR(INDEX('تحليل التكلفة والسعر'!$C$2:$C$700,MATCH($C6757,'تحليل التكلفة والسعر'!$B$2:$B$700,0)),0))</f>
        <v/>
      </c>
    </row>
    <row r="6758" customFormat="false" ht="15" hidden="false" customHeight="false" outlineLevel="0" collapsed="false">
      <c r="A6758" s="102"/>
      <c r="E6758" s="103" t="str">
        <f aca="false">IF($C6758="","",IFERROR(INDEX(المنيو!$C$2:$C$500,MATCH($C6758,المنيو!$B$2:$B$500,0)),0))</f>
        <v/>
      </c>
      <c r="F6758" s="103" t="str">
        <f aca="false">IF($C6758="","",$D6758*$E6758)</f>
        <v/>
      </c>
      <c r="G6758" s="103" t="str">
        <f aca="false">IF($C6758="","",$D6758*IFERROR(INDEX('تحليل التكلفة والسعر'!$C$2:$C$700,MATCH($C6758,'تحليل التكلفة والسعر'!$B$2:$B$700,0)),0))</f>
        <v/>
      </c>
    </row>
    <row r="6759" customFormat="false" ht="15" hidden="false" customHeight="false" outlineLevel="0" collapsed="false">
      <c r="A6759" s="102"/>
      <c r="E6759" s="103" t="str">
        <f aca="false">IF($C6759="","",IFERROR(INDEX(المنيو!$C$2:$C$500,MATCH($C6759,المنيو!$B$2:$B$500,0)),0))</f>
        <v/>
      </c>
      <c r="F6759" s="103" t="str">
        <f aca="false">IF($C6759="","",$D6759*$E6759)</f>
        <v/>
      </c>
      <c r="G6759" s="103" t="str">
        <f aca="false">IF($C6759="","",$D6759*IFERROR(INDEX('تحليل التكلفة والسعر'!$C$2:$C$700,MATCH($C6759,'تحليل التكلفة والسعر'!$B$2:$B$700,0)),0))</f>
        <v/>
      </c>
    </row>
    <row r="6760" customFormat="false" ht="15" hidden="false" customHeight="false" outlineLevel="0" collapsed="false">
      <c r="A6760" s="102"/>
      <c r="E6760" s="103" t="str">
        <f aca="false">IF($C6760="","",IFERROR(INDEX(المنيو!$C$2:$C$500,MATCH($C6760,المنيو!$B$2:$B$500,0)),0))</f>
        <v/>
      </c>
      <c r="F6760" s="103" t="str">
        <f aca="false">IF($C6760="","",$D6760*$E6760)</f>
        <v/>
      </c>
      <c r="G6760" s="103" t="str">
        <f aca="false">IF($C6760="","",$D6760*IFERROR(INDEX('تحليل التكلفة والسعر'!$C$2:$C$700,MATCH($C6760,'تحليل التكلفة والسعر'!$B$2:$B$700,0)),0))</f>
        <v/>
      </c>
    </row>
    <row r="6761" customFormat="false" ht="15" hidden="false" customHeight="false" outlineLevel="0" collapsed="false">
      <c r="A6761" s="102"/>
      <c r="E6761" s="103" t="str">
        <f aca="false">IF($C6761="","",IFERROR(INDEX(المنيو!$C$2:$C$500,MATCH($C6761,المنيو!$B$2:$B$500,0)),0))</f>
        <v/>
      </c>
      <c r="F6761" s="103" t="str">
        <f aca="false">IF($C6761="","",$D6761*$E6761)</f>
        <v/>
      </c>
      <c r="G6761" s="103" t="str">
        <f aca="false">IF($C6761="","",$D6761*IFERROR(INDEX('تحليل التكلفة والسعر'!$C$2:$C$700,MATCH($C6761,'تحليل التكلفة والسعر'!$B$2:$B$700,0)),0))</f>
        <v/>
      </c>
    </row>
    <row r="6762" customFormat="false" ht="15" hidden="false" customHeight="false" outlineLevel="0" collapsed="false">
      <c r="A6762" s="102"/>
      <c r="E6762" s="103" t="str">
        <f aca="false">IF($C6762="","",IFERROR(INDEX(المنيو!$C$2:$C$500,MATCH($C6762,المنيو!$B$2:$B$500,0)),0))</f>
        <v/>
      </c>
      <c r="F6762" s="103" t="str">
        <f aca="false">IF($C6762="","",$D6762*$E6762)</f>
        <v/>
      </c>
      <c r="G6762" s="103" t="str">
        <f aca="false">IF($C6762="","",$D6762*IFERROR(INDEX('تحليل التكلفة والسعر'!$C$2:$C$700,MATCH($C6762,'تحليل التكلفة والسعر'!$B$2:$B$700,0)),0))</f>
        <v/>
      </c>
    </row>
    <row r="6763" customFormat="false" ht="15" hidden="false" customHeight="false" outlineLevel="0" collapsed="false">
      <c r="A6763" s="102"/>
      <c r="E6763" s="103" t="str">
        <f aca="false">IF($C6763="","",IFERROR(INDEX(المنيو!$C$2:$C$500,MATCH($C6763,المنيو!$B$2:$B$500,0)),0))</f>
        <v/>
      </c>
      <c r="F6763" s="103" t="str">
        <f aca="false">IF($C6763="","",$D6763*$E6763)</f>
        <v/>
      </c>
      <c r="G6763" s="103" t="str">
        <f aca="false">IF($C6763="","",$D6763*IFERROR(INDEX('تحليل التكلفة والسعر'!$C$2:$C$700,MATCH($C6763,'تحليل التكلفة والسعر'!$B$2:$B$700,0)),0))</f>
        <v/>
      </c>
    </row>
    <row r="6764" customFormat="false" ht="15" hidden="false" customHeight="false" outlineLevel="0" collapsed="false">
      <c r="A6764" s="102"/>
      <c r="E6764" s="103" t="str">
        <f aca="false">IF($C6764="","",IFERROR(INDEX(المنيو!$C$2:$C$500,MATCH($C6764,المنيو!$B$2:$B$500,0)),0))</f>
        <v/>
      </c>
      <c r="F6764" s="103" t="str">
        <f aca="false">IF($C6764="","",$D6764*$E6764)</f>
        <v/>
      </c>
      <c r="G6764" s="103" t="str">
        <f aca="false">IF($C6764="","",$D6764*IFERROR(INDEX('تحليل التكلفة والسعر'!$C$2:$C$700,MATCH($C6764,'تحليل التكلفة والسعر'!$B$2:$B$700,0)),0))</f>
        <v/>
      </c>
    </row>
    <row r="6765" customFormat="false" ht="15" hidden="false" customHeight="false" outlineLevel="0" collapsed="false">
      <c r="A6765" s="102"/>
      <c r="E6765" s="103" t="str">
        <f aca="false">IF($C6765="","",IFERROR(INDEX(المنيو!$C$2:$C$500,MATCH($C6765,المنيو!$B$2:$B$500,0)),0))</f>
        <v/>
      </c>
      <c r="F6765" s="103" t="str">
        <f aca="false">IF($C6765="","",$D6765*$E6765)</f>
        <v/>
      </c>
      <c r="G6765" s="103" t="str">
        <f aca="false">IF($C6765="","",$D6765*IFERROR(INDEX('تحليل التكلفة والسعر'!$C$2:$C$700,MATCH($C6765,'تحليل التكلفة والسعر'!$B$2:$B$700,0)),0))</f>
        <v/>
      </c>
    </row>
    <row r="6766" customFormat="false" ht="15" hidden="false" customHeight="false" outlineLevel="0" collapsed="false">
      <c r="A6766" s="102"/>
      <c r="E6766" s="103" t="str">
        <f aca="false">IF($C6766="","",IFERROR(INDEX(المنيو!$C$2:$C$500,MATCH($C6766,المنيو!$B$2:$B$500,0)),0))</f>
        <v/>
      </c>
      <c r="F6766" s="103" t="str">
        <f aca="false">IF($C6766="","",$D6766*$E6766)</f>
        <v/>
      </c>
      <c r="G6766" s="103" t="str">
        <f aca="false">IF($C6766="","",$D6766*IFERROR(INDEX('تحليل التكلفة والسعر'!$C$2:$C$700,MATCH($C6766,'تحليل التكلفة والسعر'!$B$2:$B$700,0)),0))</f>
        <v/>
      </c>
    </row>
    <row r="6767" customFormat="false" ht="15" hidden="false" customHeight="false" outlineLevel="0" collapsed="false">
      <c r="A6767" s="102"/>
      <c r="E6767" s="103" t="str">
        <f aca="false">IF($C6767="","",IFERROR(INDEX(المنيو!$C$2:$C$500,MATCH($C6767,المنيو!$B$2:$B$500,0)),0))</f>
        <v/>
      </c>
      <c r="F6767" s="103" t="str">
        <f aca="false">IF($C6767="","",$D6767*$E6767)</f>
        <v/>
      </c>
      <c r="G6767" s="103" t="str">
        <f aca="false">IF($C6767="","",$D6767*IFERROR(INDEX('تحليل التكلفة والسعر'!$C$2:$C$700,MATCH($C6767,'تحليل التكلفة والسعر'!$B$2:$B$700,0)),0))</f>
        <v/>
      </c>
    </row>
    <row r="6768" customFormat="false" ht="15" hidden="false" customHeight="false" outlineLevel="0" collapsed="false">
      <c r="A6768" s="102"/>
      <c r="E6768" s="103" t="str">
        <f aca="false">IF($C6768="","",IFERROR(INDEX(المنيو!$C$2:$C$500,MATCH($C6768,المنيو!$B$2:$B$500,0)),0))</f>
        <v/>
      </c>
      <c r="F6768" s="103" t="str">
        <f aca="false">IF($C6768="","",$D6768*$E6768)</f>
        <v/>
      </c>
      <c r="G6768" s="103" t="str">
        <f aca="false">IF($C6768="","",$D6768*IFERROR(INDEX('تحليل التكلفة والسعر'!$C$2:$C$700,MATCH($C6768,'تحليل التكلفة والسعر'!$B$2:$B$700,0)),0))</f>
        <v/>
      </c>
    </row>
    <row r="6769" customFormat="false" ht="15" hidden="false" customHeight="false" outlineLevel="0" collapsed="false">
      <c r="A6769" s="102"/>
      <c r="E6769" s="103" t="str">
        <f aca="false">IF($C6769="","",IFERROR(INDEX(المنيو!$C$2:$C$500,MATCH($C6769,المنيو!$B$2:$B$500,0)),0))</f>
        <v/>
      </c>
      <c r="F6769" s="103" t="str">
        <f aca="false">IF($C6769="","",$D6769*$E6769)</f>
        <v/>
      </c>
      <c r="G6769" s="103" t="str">
        <f aca="false">IF($C6769="","",$D6769*IFERROR(INDEX('تحليل التكلفة والسعر'!$C$2:$C$700,MATCH($C6769,'تحليل التكلفة والسعر'!$B$2:$B$700,0)),0))</f>
        <v/>
      </c>
    </row>
    <row r="6770" customFormat="false" ht="15" hidden="false" customHeight="false" outlineLevel="0" collapsed="false">
      <c r="A6770" s="102"/>
      <c r="E6770" s="103" t="str">
        <f aca="false">IF($C6770="","",IFERROR(INDEX(المنيو!$C$2:$C$500,MATCH($C6770,المنيو!$B$2:$B$500,0)),0))</f>
        <v/>
      </c>
      <c r="F6770" s="103" t="str">
        <f aca="false">IF($C6770="","",$D6770*$E6770)</f>
        <v/>
      </c>
      <c r="G6770" s="103" t="str">
        <f aca="false">IF($C6770="","",$D6770*IFERROR(INDEX('تحليل التكلفة والسعر'!$C$2:$C$700,MATCH($C6770,'تحليل التكلفة والسعر'!$B$2:$B$700,0)),0))</f>
        <v/>
      </c>
    </row>
    <row r="6771" customFormat="false" ht="15" hidden="false" customHeight="false" outlineLevel="0" collapsed="false">
      <c r="A6771" s="102"/>
      <c r="E6771" s="103" t="str">
        <f aca="false">IF($C6771="","",IFERROR(INDEX(المنيو!$C$2:$C$500,MATCH($C6771,المنيو!$B$2:$B$500,0)),0))</f>
        <v/>
      </c>
      <c r="F6771" s="103" t="str">
        <f aca="false">IF($C6771="","",$D6771*$E6771)</f>
        <v/>
      </c>
      <c r="G6771" s="103" t="str">
        <f aca="false">IF($C6771="","",$D6771*IFERROR(INDEX('تحليل التكلفة والسعر'!$C$2:$C$700,MATCH($C6771,'تحليل التكلفة والسعر'!$B$2:$B$700,0)),0))</f>
        <v/>
      </c>
    </row>
    <row r="6772" customFormat="false" ht="15" hidden="false" customHeight="false" outlineLevel="0" collapsed="false">
      <c r="A6772" s="102"/>
      <c r="E6772" s="103" t="str">
        <f aca="false">IF($C6772="","",IFERROR(INDEX(المنيو!$C$2:$C$500,MATCH($C6772,المنيو!$B$2:$B$500,0)),0))</f>
        <v/>
      </c>
      <c r="F6772" s="103" t="str">
        <f aca="false">IF($C6772="","",$D6772*$E6772)</f>
        <v/>
      </c>
      <c r="G6772" s="103" t="str">
        <f aca="false">IF($C6772="","",$D6772*IFERROR(INDEX('تحليل التكلفة والسعر'!$C$2:$C$700,MATCH($C6772,'تحليل التكلفة والسعر'!$B$2:$B$700,0)),0))</f>
        <v/>
      </c>
    </row>
    <row r="6773" customFormat="false" ht="15" hidden="false" customHeight="false" outlineLevel="0" collapsed="false">
      <c r="A6773" s="102"/>
      <c r="E6773" s="103" t="str">
        <f aca="false">IF($C6773="","",IFERROR(INDEX(المنيو!$C$2:$C$500,MATCH($C6773,المنيو!$B$2:$B$500,0)),0))</f>
        <v/>
      </c>
      <c r="F6773" s="103" t="str">
        <f aca="false">IF($C6773="","",$D6773*$E6773)</f>
        <v/>
      </c>
      <c r="G6773" s="103" t="str">
        <f aca="false">IF($C6773="","",$D6773*IFERROR(INDEX('تحليل التكلفة والسعر'!$C$2:$C$700,MATCH($C6773,'تحليل التكلفة والسعر'!$B$2:$B$700,0)),0))</f>
        <v/>
      </c>
    </row>
    <row r="6774" customFormat="false" ht="15" hidden="false" customHeight="false" outlineLevel="0" collapsed="false">
      <c r="A6774" s="102"/>
      <c r="E6774" s="103" t="str">
        <f aca="false">IF($C6774="","",IFERROR(INDEX(المنيو!$C$2:$C$500,MATCH($C6774,المنيو!$B$2:$B$500,0)),0))</f>
        <v/>
      </c>
      <c r="F6774" s="103" t="str">
        <f aca="false">IF($C6774="","",$D6774*$E6774)</f>
        <v/>
      </c>
      <c r="G6774" s="103" t="str">
        <f aca="false">IF($C6774="","",$D6774*IFERROR(INDEX('تحليل التكلفة والسعر'!$C$2:$C$700,MATCH($C6774,'تحليل التكلفة والسعر'!$B$2:$B$700,0)),0))</f>
        <v/>
      </c>
    </row>
    <row r="6775" customFormat="false" ht="15" hidden="false" customHeight="false" outlineLevel="0" collapsed="false">
      <c r="A6775" s="102"/>
      <c r="E6775" s="103" t="str">
        <f aca="false">IF($C6775="","",IFERROR(INDEX(المنيو!$C$2:$C$500,MATCH($C6775,المنيو!$B$2:$B$500,0)),0))</f>
        <v/>
      </c>
      <c r="F6775" s="103" t="str">
        <f aca="false">IF($C6775="","",$D6775*$E6775)</f>
        <v/>
      </c>
      <c r="G6775" s="103" t="str">
        <f aca="false">IF($C6775="","",$D6775*IFERROR(INDEX('تحليل التكلفة والسعر'!$C$2:$C$700,MATCH($C6775,'تحليل التكلفة والسعر'!$B$2:$B$700,0)),0))</f>
        <v/>
      </c>
    </row>
    <row r="6776" customFormat="false" ht="15" hidden="false" customHeight="false" outlineLevel="0" collapsed="false">
      <c r="A6776" s="102"/>
      <c r="E6776" s="103" t="str">
        <f aca="false">IF($C6776="","",IFERROR(INDEX(المنيو!$C$2:$C$500,MATCH($C6776,المنيو!$B$2:$B$500,0)),0))</f>
        <v/>
      </c>
      <c r="F6776" s="103" t="str">
        <f aca="false">IF($C6776="","",$D6776*$E6776)</f>
        <v/>
      </c>
      <c r="G6776" s="103" t="str">
        <f aca="false">IF($C6776="","",$D6776*IFERROR(INDEX('تحليل التكلفة والسعر'!$C$2:$C$700,MATCH($C6776,'تحليل التكلفة والسعر'!$B$2:$B$700,0)),0))</f>
        <v/>
      </c>
    </row>
    <row r="6777" customFormat="false" ht="15" hidden="false" customHeight="false" outlineLevel="0" collapsed="false">
      <c r="A6777" s="102"/>
      <c r="E6777" s="103" t="str">
        <f aca="false">IF($C6777="","",IFERROR(INDEX(المنيو!$C$2:$C$500,MATCH($C6777,المنيو!$B$2:$B$500,0)),0))</f>
        <v/>
      </c>
      <c r="F6777" s="103" t="str">
        <f aca="false">IF($C6777="","",$D6777*$E6777)</f>
        <v/>
      </c>
      <c r="G6777" s="103" t="str">
        <f aca="false">IF($C6777="","",$D6777*IFERROR(INDEX('تحليل التكلفة والسعر'!$C$2:$C$700,MATCH($C6777,'تحليل التكلفة والسعر'!$B$2:$B$700,0)),0))</f>
        <v/>
      </c>
    </row>
    <row r="6778" customFormat="false" ht="15" hidden="false" customHeight="false" outlineLevel="0" collapsed="false">
      <c r="A6778" s="102"/>
      <c r="E6778" s="103" t="str">
        <f aca="false">IF($C6778="","",IFERROR(INDEX(المنيو!$C$2:$C$500,MATCH($C6778,المنيو!$B$2:$B$500,0)),0))</f>
        <v/>
      </c>
      <c r="F6778" s="103" t="str">
        <f aca="false">IF($C6778="","",$D6778*$E6778)</f>
        <v/>
      </c>
      <c r="G6778" s="103" t="str">
        <f aca="false">IF($C6778="","",$D6778*IFERROR(INDEX('تحليل التكلفة والسعر'!$C$2:$C$700,MATCH($C6778,'تحليل التكلفة والسعر'!$B$2:$B$700,0)),0))</f>
        <v/>
      </c>
    </row>
    <row r="6779" customFormat="false" ht="15" hidden="false" customHeight="false" outlineLevel="0" collapsed="false">
      <c r="A6779" s="102"/>
      <c r="E6779" s="103" t="str">
        <f aca="false">IF($C6779="","",IFERROR(INDEX(المنيو!$C$2:$C$500,MATCH($C6779,المنيو!$B$2:$B$500,0)),0))</f>
        <v/>
      </c>
      <c r="F6779" s="103" t="str">
        <f aca="false">IF($C6779="","",$D6779*$E6779)</f>
        <v/>
      </c>
      <c r="G6779" s="103" t="str">
        <f aca="false">IF($C6779="","",$D6779*IFERROR(INDEX('تحليل التكلفة والسعر'!$C$2:$C$700,MATCH($C6779,'تحليل التكلفة والسعر'!$B$2:$B$700,0)),0))</f>
        <v/>
      </c>
    </row>
    <row r="6780" customFormat="false" ht="15" hidden="false" customHeight="false" outlineLevel="0" collapsed="false">
      <c r="A6780" s="102"/>
      <c r="E6780" s="103" t="str">
        <f aca="false">IF($C6780="","",IFERROR(INDEX(المنيو!$C$2:$C$500,MATCH($C6780,المنيو!$B$2:$B$500,0)),0))</f>
        <v/>
      </c>
      <c r="F6780" s="103" t="str">
        <f aca="false">IF($C6780="","",$D6780*$E6780)</f>
        <v/>
      </c>
      <c r="G6780" s="103" t="str">
        <f aca="false">IF($C6780="","",$D6780*IFERROR(INDEX('تحليل التكلفة والسعر'!$C$2:$C$700,MATCH($C6780,'تحليل التكلفة والسعر'!$B$2:$B$700,0)),0))</f>
        <v/>
      </c>
    </row>
    <row r="6781" customFormat="false" ht="15" hidden="false" customHeight="false" outlineLevel="0" collapsed="false">
      <c r="A6781" s="102"/>
      <c r="E6781" s="103" t="str">
        <f aca="false">IF($C6781="","",IFERROR(INDEX(المنيو!$C$2:$C$500,MATCH($C6781,المنيو!$B$2:$B$500,0)),0))</f>
        <v/>
      </c>
      <c r="F6781" s="103" t="str">
        <f aca="false">IF($C6781="","",$D6781*$E6781)</f>
        <v/>
      </c>
      <c r="G6781" s="103" t="str">
        <f aca="false">IF($C6781="","",$D6781*IFERROR(INDEX('تحليل التكلفة والسعر'!$C$2:$C$700,MATCH($C6781,'تحليل التكلفة والسعر'!$B$2:$B$700,0)),0))</f>
        <v/>
      </c>
    </row>
    <row r="6782" customFormat="false" ht="15" hidden="false" customHeight="false" outlineLevel="0" collapsed="false">
      <c r="A6782" s="102"/>
      <c r="E6782" s="103" t="str">
        <f aca="false">IF($C6782="","",IFERROR(INDEX(المنيو!$C$2:$C$500,MATCH($C6782,المنيو!$B$2:$B$500,0)),0))</f>
        <v/>
      </c>
      <c r="F6782" s="103" t="str">
        <f aca="false">IF($C6782="","",$D6782*$E6782)</f>
        <v/>
      </c>
      <c r="G6782" s="103" t="str">
        <f aca="false">IF($C6782="","",$D6782*IFERROR(INDEX('تحليل التكلفة والسعر'!$C$2:$C$700,MATCH($C6782,'تحليل التكلفة والسعر'!$B$2:$B$700,0)),0))</f>
        <v/>
      </c>
    </row>
    <row r="6783" customFormat="false" ht="15" hidden="false" customHeight="false" outlineLevel="0" collapsed="false">
      <c r="A6783" s="102"/>
      <c r="E6783" s="103" t="str">
        <f aca="false">IF($C6783="","",IFERROR(INDEX(المنيو!$C$2:$C$500,MATCH($C6783,المنيو!$B$2:$B$500,0)),0))</f>
        <v/>
      </c>
      <c r="F6783" s="103" t="str">
        <f aca="false">IF($C6783="","",$D6783*$E6783)</f>
        <v/>
      </c>
      <c r="G6783" s="103" t="str">
        <f aca="false">IF($C6783="","",$D6783*IFERROR(INDEX('تحليل التكلفة والسعر'!$C$2:$C$700,MATCH($C6783,'تحليل التكلفة والسعر'!$B$2:$B$700,0)),0))</f>
        <v/>
      </c>
    </row>
    <row r="6784" customFormat="false" ht="15" hidden="false" customHeight="false" outlineLevel="0" collapsed="false">
      <c r="A6784" s="102"/>
      <c r="E6784" s="103" t="str">
        <f aca="false">IF($C6784="","",IFERROR(INDEX(المنيو!$C$2:$C$500,MATCH($C6784,المنيو!$B$2:$B$500,0)),0))</f>
        <v/>
      </c>
      <c r="F6784" s="103" t="str">
        <f aca="false">IF($C6784="","",$D6784*$E6784)</f>
        <v/>
      </c>
      <c r="G6784" s="103" t="str">
        <f aca="false">IF($C6784="","",$D6784*IFERROR(INDEX('تحليل التكلفة والسعر'!$C$2:$C$700,MATCH($C6784,'تحليل التكلفة والسعر'!$B$2:$B$700,0)),0))</f>
        <v/>
      </c>
    </row>
    <row r="6785" customFormat="false" ht="15" hidden="false" customHeight="false" outlineLevel="0" collapsed="false">
      <c r="A6785" s="102"/>
      <c r="E6785" s="103" t="str">
        <f aca="false">IF($C6785="","",IFERROR(INDEX(المنيو!$C$2:$C$500,MATCH($C6785,المنيو!$B$2:$B$500,0)),0))</f>
        <v/>
      </c>
      <c r="F6785" s="103" t="str">
        <f aca="false">IF($C6785="","",$D6785*$E6785)</f>
        <v/>
      </c>
      <c r="G6785" s="103" t="str">
        <f aca="false">IF($C6785="","",$D6785*IFERROR(INDEX('تحليل التكلفة والسعر'!$C$2:$C$700,MATCH($C6785,'تحليل التكلفة والسعر'!$B$2:$B$700,0)),0))</f>
        <v/>
      </c>
    </row>
    <row r="6786" customFormat="false" ht="15" hidden="false" customHeight="false" outlineLevel="0" collapsed="false">
      <c r="A6786" s="102"/>
      <c r="E6786" s="103" t="str">
        <f aca="false">IF($C6786="","",IFERROR(INDEX(المنيو!$C$2:$C$500,MATCH($C6786,المنيو!$B$2:$B$500,0)),0))</f>
        <v/>
      </c>
      <c r="F6786" s="103" t="str">
        <f aca="false">IF($C6786="","",$D6786*$E6786)</f>
        <v/>
      </c>
      <c r="G6786" s="103" t="str">
        <f aca="false">IF($C6786="","",$D6786*IFERROR(INDEX('تحليل التكلفة والسعر'!$C$2:$C$700,MATCH($C6786,'تحليل التكلفة والسعر'!$B$2:$B$700,0)),0))</f>
        <v/>
      </c>
    </row>
    <row r="6787" customFormat="false" ht="15" hidden="false" customHeight="false" outlineLevel="0" collapsed="false">
      <c r="A6787" s="102"/>
      <c r="E6787" s="103" t="str">
        <f aca="false">IF($C6787="","",IFERROR(INDEX(المنيو!$C$2:$C$500,MATCH($C6787,المنيو!$B$2:$B$500,0)),0))</f>
        <v/>
      </c>
      <c r="F6787" s="103" t="str">
        <f aca="false">IF($C6787="","",$D6787*$E6787)</f>
        <v/>
      </c>
      <c r="G6787" s="103" t="str">
        <f aca="false">IF($C6787="","",$D6787*IFERROR(INDEX('تحليل التكلفة والسعر'!$C$2:$C$700,MATCH($C6787,'تحليل التكلفة والسعر'!$B$2:$B$700,0)),0))</f>
        <v/>
      </c>
    </row>
    <row r="6788" customFormat="false" ht="15" hidden="false" customHeight="false" outlineLevel="0" collapsed="false">
      <c r="A6788" s="102"/>
      <c r="E6788" s="103" t="str">
        <f aca="false">IF($C6788="","",IFERROR(INDEX(المنيو!$C$2:$C$500,MATCH($C6788,المنيو!$B$2:$B$500,0)),0))</f>
        <v/>
      </c>
      <c r="F6788" s="103" t="str">
        <f aca="false">IF($C6788="","",$D6788*$E6788)</f>
        <v/>
      </c>
      <c r="G6788" s="103" t="str">
        <f aca="false">IF($C6788="","",$D6788*IFERROR(INDEX('تحليل التكلفة والسعر'!$C$2:$C$700,MATCH($C6788,'تحليل التكلفة والسعر'!$B$2:$B$700,0)),0))</f>
        <v/>
      </c>
    </row>
    <row r="6789" customFormat="false" ht="15" hidden="false" customHeight="false" outlineLevel="0" collapsed="false">
      <c r="A6789" s="102"/>
      <c r="E6789" s="103" t="str">
        <f aca="false">IF($C6789="","",IFERROR(INDEX(المنيو!$C$2:$C$500,MATCH($C6789,المنيو!$B$2:$B$500,0)),0))</f>
        <v/>
      </c>
      <c r="F6789" s="103" t="str">
        <f aca="false">IF($C6789="","",$D6789*$E6789)</f>
        <v/>
      </c>
      <c r="G6789" s="103" t="str">
        <f aca="false">IF($C6789="","",$D6789*IFERROR(INDEX('تحليل التكلفة والسعر'!$C$2:$C$700,MATCH($C6789,'تحليل التكلفة والسعر'!$B$2:$B$700,0)),0))</f>
        <v/>
      </c>
    </row>
    <row r="6790" customFormat="false" ht="15" hidden="false" customHeight="false" outlineLevel="0" collapsed="false">
      <c r="A6790" s="102"/>
      <c r="E6790" s="103" t="str">
        <f aca="false">IF($C6790="","",IFERROR(INDEX(المنيو!$C$2:$C$500,MATCH($C6790,المنيو!$B$2:$B$500,0)),0))</f>
        <v/>
      </c>
      <c r="F6790" s="103" t="str">
        <f aca="false">IF($C6790="","",$D6790*$E6790)</f>
        <v/>
      </c>
      <c r="G6790" s="103" t="str">
        <f aca="false">IF($C6790="","",$D6790*IFERROR(INDEX('تحليل التكلفة والسعر'!$C$2:$C$700,MATCH($C6790,'تحليل التكلفة والسعر'!$B$2:$B$700,0)),0))</f>
        <v/>
      </c>
    </row>
    <row r="6791" customFormat="false" ht="15" hidden="false" customHeight="false" outlineLevel="0" collapsed="false">
      <c r="A6791" s="102"/>
      <c r="E6791" s="103" t="str">
        <f aca="false">IF($C6791="","",IFERROR(INDEX(المنيو!$C$2:$C$500,MATCH($C6791,المنيو!$B$2:$B$500,0)),0))</f>
        <v/>
      </c>
      <c r="F6791" s="103" t="str">
        <f aca="false">IF($C6791="","",$D6791*$E6791)</f>
        <v/>
      </c>
      <c r="G6791" s="103" t="str">
        <f aca="false">IF($C6791="","",$D6791*IFERROR(INDEX('تحليل التكلفة والسعر'!$C$2:$C$700,MATCH($C6791,'تحليل التكلفة والسعر'!$B$2:$B$700,0)),0))</f>
        <v/>
      </c>
    </row>
    <row r="6792" customFormat="false" ht="15" hidden="false" customHeight="false" outlineLevel="0" collapsed="false">
      <c r="A6792" s="102"/>
      <c r="E6792" s="103" t="str">
        <f aca="false">IF($C6792="","",IFERROR(INDEX(المنيو!$C$2:$C$500,MATCH($C6792,المنيو!$B$2:$B$500,0)),0))</f>
        <v/>
      </c>
      <c r="F6792" s="103" t="str">
        <f aca="false">IF($C6792="","",$D6792*$E6792)</f>
        <v/>
      </c>
      <c r="G6792" s="103" t="str">
        <f aca="false">IF($C6792="","",$D6792*IFERROR(INDEX('تحليل التكلفة والسعر'!$C$2:$C$700,MATCH($C6792,'تحليل التكلفة والسعر'!$B$2:$B$700,0)),0))</f>
        <v/>
      </c>
    </row>
    <row r="6793" customFormat="false" ht="15" hidden="false" customHeight="false" outlineLevel="0" collapsed="false">
      <c r="A6793" s="102"/>
      <c r="E6793" s="103" t="str">
        <f aca="false">IF($C6793="","",IFERROR(INDEX(المنيو!$C$2:$C$500,MATCH($C6793,المنيو!$B$2:$B$500,0)),0))</f>
        <v/>
      </c>
      <c r="F6793" s="103" t="str">
        <f aca="false">IF($C6793="","",$D6793*$E6793)</f>
        <v/>
      </c>
      <c r="G6793" s="103" t="str">
        <f aca="false">IF($C6793="","",$D6793*IFERROR(INDEX('تحليل التكلفة والسعر'!$C$2:$C$700,MATCH($C6793,'تحليل التكلفة والسعر'!$B$2:$B$700,0)),0))</f>
        <v/>
      </c>
    </row>
    <row r="6794" customFormat="false" ht="15" hidden="false" customHeight="false" outlineLevel="0" collapsed="false">
      <c r="A6794" s="102"/>
      <c r="E6794" s="103" t="str">
        <f aca="false">IF($C6794="","",IFERROR(INDEX(المنيو!$C$2:$C$500,MATCH($C6794,المنيو!$B$2:$B$500,0)),0))</f>
        <v/>
      </c>
      <c r="F6794" s="103" t="str">
        <f aca="false">IF($C6794="","",$D6794*$E6794)</f>
        <v/>
      </c>
      <c r="G6794" s="103" t="str">
        <f aca="false">IF($C6794="","",$D6794*IFERROR(INDEX('تحليل التكلفة والسعر'!$C$2:$C$700,MATCH($C6794,'تحليل التكلفة والسعر'!$B$2:$B$700,0)),0))</f>
        <v/>
      </c>
    </row>
    <row r="6795" customFormat="false" ht="15" hidden="false" customHeight="false" outlineLevel="0" collapsed="false">
      <c r="A6795" s="102"/>
      <c r="E6795" s="103" t="str">
        <f aca="false">IF($C6795="","",IFERROR(INDEX(المنيو!$C$2:$C$500,MATCH($C6795,المنيو!$B$2:$B$500,0)),0))</f>
        <v/>
      </c>
      <c r="F6795" s="103" t="str">
        <f aca="false">IF($C6795="","",$D6795*$E6795)</f>
        <v/>
      </c>
      <c r="G6795" s="103" t="str">
        <f aca="false">IF($C6795="","",$D6795*IFERROR(INDEX('تحليل التكلفة والسعر'!$C$2:$C$700,MATCH($C6795,'تحليل التكلفة والسعر'!$B$2:$B$700,0)),0))</f>
        <v/>
      </c>
    </row>
    <row r="6796" customFormat="false" ht="15" hidden="false" customHeight="false" outlineLevel="0" collapsed="false">
      <c r="A6796" s="102"/>
      <c r="E6796" s="103" t="str">
        <f aca="false">IF($C6796="","",IFERROR(INDEX(المنيو!$C$2:$C$500,MATCH($C6796,المنيو!$B$2:$B$500,0)),0))</f>
        <v/>
      </c>
      <c r="F6796" s="103" t="str">
        <f aca="false">IF($C6796="","",$D6796*$E6796)</f>
        <v/>
      </c>
      <c r="G6796" s="103" t="str">
        <f aca="false">IF($C6796="","",$D6796*IFERROR(INDEX('تحليل التكلفة والسعر'!$C$2:$C$700,MATCH($C6796,'تحليل التكلفة والسعر'!$B$2:$B$700,0)),0))</f>
        <v/>
      </c>
    </row>
    <row r="6797" customFormat="false" ht="15" hidden="false" customHeight="false" outlineLevel="0" collapsed="false">
      <c r="A6797" s="102"/>
      <c r="E6797" s="103" t="str">
        <f aca="false">IF($C6797="","",IFERROR(INDEX(المنيو!$C$2:$C$500,MATCH($C6797,المنيو!$B$2:$B$500,0)),0))</f>
        <v/>
      </c>
      <c r="F6797" s="103" t="str">
        <f aca="false">IF($C6797="","",$D6797*$E6797)</f>
        <v/>
      </c>
      <c r="G6797" s="103" t="str">
        <f aca="false">IF($C6797="","",$D6797*IFERROR(INDEX('تحليل التكلفة والسعر'!$C$2:$C$700,MATCH($C6797,'تحليل التكلفة والسعر'!$B$2:$B$700,0)),0))</f>
        <v/>
      </c>
    </row>
    <row r="6798" customFormat="false" ht="15" hidden="false" customHeight="false" outlineLevel="0" collapsed="false">
      <c r="A6798" s="102"/>
      <c r="E6798" s="103" t="str">
        <f aca="false">IF($C6798="","",IFERROR(INDEX(المنيو!$C$2:$C$500,MATCH($C6798,المنيو!$B$2:$B$500,0)),0))</f>
        <v/>
      </c>
      <c r="F6798" s="103" t="str">
        <f aca="false">IF($C6798="","",$D6798*$E6798)</f>
        <v/>
      </c>
      <c r="G6798" s="103" t="str">
        <f aca="false">IF($C6798="","",$D6798*IFERROR(INDEX('تحليل التكلفة والسعر'!$C$2:$C$700,MATCH($C6798,'تحليل التكلفة والسعر'!$B$2:$B$700,0)),0))</f>
        <v/>
      </c>
    </row>
    <row r="6799" customFormat="false" ht="15" hidden="false" customHeight="false" outlineLevel="0" collapsed="false">
      <c r="A6799" s="102"/>
      <c r="E6799" s="103" t="str">
        <f aca="false">IF($C6799="","",IFERROR(INDEX(المنيو!$C$2:$C$500,MATCH($C6799,المنيو!$B$2:$B$500,0)),0))</f>
        <v/>
      </c>
      <c r="F6799" s="103" t="str">
        <f aca="false">IF($C6799="","",$D6799*$E6799)</f>
        <v/>
      </c>
      <c r="G6799" s="103" t="str">
        <f aca="false">IF($C6799="","",$D6799*IFERROR(INDEX('تحليل التكلفة والسعر'!$C$2:$C$700,MATCH($C6799,'تحليل التكلفة والسعر'!$B$2:$B$700,0)),0))</f>
        <v/>
      </c>
    </row>
    <row r="6800" customFormat="false" ht="15" hidden="false" customHeight="false" outlineLevel="0" collapsed="false">
      <c r="A6800" s="102"/>
      <c r="E6800" s="103" t="str">
        <f aca="false">IF($C6800="","",IFERROR(INDEX(المنيو!$C$2:$C$500,MATCH($C6800,المنيو!$B$2:$B$500,0)),0))</f>
        <v/>
      </c>
      <c r="F6800" s="103" t="str">
        <f aca="false">IF($C6800="","",$D6800*$E6800)</f>
        <v/>
      </c>
      <c r="G6800" s="103" t="str">
        <f aca="false">IF($C6800="","",$D6800*IFERROR(INDEX('تحليل التكلفة والسعر'!$C$2:$C$700,MATCH($C6800,'تحليل التكلفة والسعر'!$B$2:$B$700,0)),0))</f>
        <v/>
      </c>
    </row>
    <row r="6801" customFormat="false" ht="15" hidden="false" customHeight="false" outlineLevel="0" collapsed="false">
      <c r="A6801" s="102"/>
      <c r="E6801" s="103" t="str">
        <f aca="false">IF($C6801="","",IFERROR(INDEX(المنيو!$C$2:$C$500,MATCH($C6801,المنيو!$B$2:$B$500,0)),0))</f>
        <v/>
      </c>
      <c r="F6801" s="103" t="str">
        <f aca="false">IF($C6801="","",$D6801*$E6801)</f>
        <v/>
      </c>
      <c r="G6801" s="103" t="str">
        <f aca="false">IF($C6801="","",$D6801*IFERROR(INDEX('تحليل التكلفة والسعر'!$C$2:$C$700,MATCH($C6801,'تحليل التكلفة والسعر'!$B$2:$B$700,0)),0))</f>
        <v/>
      </c>
    </row>
    <row r="6802" customFormat="false" ht="15" hidden="false" customHeight="false" outlineLevel="0" collapsed="false">
      <c r="A6802" s="102"/>
      <c r="E6802" s="103" t="str">
        <f aca="false">IF($C6802="","",IFERROR(INDEX(المنيو!$C$2:$C$500,MATCH($C6802,المنيو!$B$2:$B$500,0)),0))</f>
        <v/>
      </c>
      <c r="F6802" s="103" t="str">
        <f aca="false">IF($C6802="","",$D6802*$E6802)</f>
        <v/>
      </c>
      <c r="G6802" s="103" t="str">
        <f aca="false">IF($C6802="","",$D6802*IFERROR(INDEX('تحليل التكلفة والسعر'!$C$2:$C$700,MATCH($C6802,'تحليل التكلفة والسعر'!$B$2:$B$700,0)),0))</f>
        <v/>
      </c>
    </row>
    <row r="6803" customFormat="false" ht="15" hidden="false" customHeight="false" outlineLevel="0" collapsed="false">
      <c r="A6803" s="102"/>
      <c r="E6803" s="103" t="str">
        <f aca="false">IF($C6803="","",IFERROR(INDEX(المنيو!$C$2:$C$500,MATCH($C6803,المنيو!$B$2:$B$500,0)),0))</f>
        <v/>
      </c>
      <c r="F6803" s="103" t="str">
        <f aca="false">IF($C6803="","",$D6803*$E6803)</f>
        <v/>
      </c>
      <c r="G6803" s="103" t="str">
        <f aca="false">IF($C6803="","",$D6803*IFERROR(INDEX('تحليل التكلفة والسعر'!$C$2:$C$700,MATCH($C6803,'تحليل التكلفة والسعر'!$B$2:$B$700,0)),0))</f>
        <v/>
      </c>
    </row>
    <row r="6804" customFormat="false" ht="15" hidden="false" customHeight="false" outlineLevel="0" collapsed="false">
      <c r="A6804" s="102"/>
      <c r="E6804" s="103" t="str">
        <f aca="false">IF($C6804="","",IFERROR(INDEX(المنيو!$C$2:$C$500,MATCH($C6804,المنيو!$B$2:$B$500,0)),0))</f>
        <v/>
      </c>
      <c r="F6804" s="103" t="str">
        <f aca="false">IF($C6804="","",$D6804*$E6804)</f>
        <v/>
      </c>
      <c r="G6804" s="103" t="str">
        <f aca="false">IF($C6804="","",$D6804*IFERROR(INDEX('تحليل التكلفة والسعر'!$C$2:$C$700,MATCH($C6804,'تحليل التكلفة والسعر'!$B$2:$B$700,0)),0))</f>
        <v/>
      </c>
    </row>
    <row r="6805" customFormat="false" ht="15" hidden="false" customHeight="false" outlineLevel="0" collapsed="false">
      <c r="A6805" s="102"/>
      <c r="E6805" s="103" t="str">
        <f aca="false">IF($C6805="","",IFERROR(INDEX(المنيو!$C$2:$C$500,MATCH($C6805,المنيو!$B$2:$B$500,0)),0))</f>
        <v/>
      </c>
      <c r="F6805" s="103" t="str">
        <f aca="false">IF($C6805="","",$D6805*$E6805)</f>
        <v/>
      </c>
      <c r="G6805" s="103" t="str">
        <f aca="false">IF($C6805="","",$D6805*IFERROR(INDEX('تحليل التكلفة والسعر'!$C$2:$C$700,MATCH($C6805,'تحليل التكلفة والسعر'!$B$2:$B$700,0)),0))</f>
        <v/>
      </c>
    </row>
    <row r="6806" customFormat="false" ht="15" hidden="false" customHeight="false" outlineLevel="0" collapsed="false">
      <c r="A6806" s="102"/>
      <c r="E6806" s="103" t="str">
        <f aca="false">IF($C6806="","",IFERROR(INDEX(المنيو!$C$2:$C$500,MATCH($C6806,المنيو!$B$2:$B$500,0)),0))</f>
        <v/>
      </c>
      <c r="F6806" s="103" t="str">
        <f aca="false">IF($C6806="","",$D6806*$E6806)</f>
        <v/>
      </c>
      <c r="G6806" s="103" t="str">
        <f aca="false">IF($C6806="","",$D6806*IFERROR(INDEX('تحليل التكلفة والسعر'!$C$2:$C$700,MATCH($C6806,'تحليل التكلفة والسعر'!$B$2:$B$700,0)),0))</f>
        <v/>
      </c>
    </row>
    <row r="6807" customFormat="false" ht="15" hidden="false" customHeight="false" outlineLevel="0" collapsed="false">
      <c r="A6807" s="102"/>
      <c r="E6807" s="103" t="str">
        <f aca="false">IF($C6807="","",IFERROR(INDEX(المنيو!$C$2:$C$500,MATCH($C6807,المنيو!$B$2:$B$500,0)),0))</f>
        <v/>
      </c>
      <c r="F6807" s="103" t="str">
        <f aca="false">IF($C6807="","",$D6807*$E6807)</f>
        <v/>
      </c>
      <c r="G6807" s="103" t="str">
        <f aca="false">IF($C6807="","",$D6807*IFERROR(INDEX('تحليل التكلفة والسعر'!$C$2:$C$700,MATCH($C6807,'تحليل التكلفة والسعر'!$B$2:$B$700,0)),0))</f>
        <v/>
      </c>
    </row>
    <row r="6808" customFormat="false" ht="15" hidden="false" customHeight="false" outlineLevel="0" collapsed="false">
      <c r="A6808" s="102"/>
      <c r="E6808" s="103" t="str">
        <f aca="false">IF($C6808="","",IFERROR(INDEX(المنيو!$C$2:$C$500,MATCH($C6808,المنيو!$B$2:$B$500,0)),0))</f>
        <v/>
      </c>
      <c r="F6808" s="103" t="str">
        <f aca="false">IF($C6808="","",$D6808*$E6808)</f>
        <v/>
      </c>
      <c r="G6808" s="103" t="str">
        <f aca="false">IF($C6808="","",$D6808*IFERROR(INDEX('تحليل التكلفة والسعر'!$C$2:$C$700,MATCH($C6808,'تحليل التكلفة والسعر'!$B$2:$B$700,0)),0))</f>
        <v/>
      </c>
    </row>
    <row r="6809" customFormat="false" ht="15" hidden="false" customHeight="false" outlineLevel="0" collapsed="false">
      <c r="A6809" s="102"/>
      <c r="E6809" s="103" t="str">
        <f aca="false">IF($C6809="","",IFERROR(INDEX(المنيو!$C$2:$C$500,MATCH($C6809,المنيو!$B$2:$B$500,0)),0))</f>
        <v/>
      </c>
      <c r="F6809" s="103" t="str">
        <f aca="false">IF($C6809="","",$D6809*$E6809)</f>
        <v/>
      </c>
      <c r="G6809" s="103" t="str">
        <f aca="false">IF($C6809="","",$D6809*IFERROR(INDEX('تحليل التكلفة والسعر'!$C$2:$C$700,MATCH($C6809,'تحليل التكلفة والسعر'!$B$2:$B$700,0)),0))</f>
        <v/>
      </c>
    </row>
    <row r="6810" customFormat="false" ht="15" hidden="false" customHeight="false" outlineLevel="0" collapsed="false">
      <c r="A6810" s="102"/>
      <c r="E6810" s="103" t="str">
        <f aca="false">IF($C6810="","",IFERROR(INDEX(المنيو!$C$2:$C$500,MATCH($C6810,المنيو!$B$2:$B$500,0)),0))</f>
        <v/>
      </c>
      <c r="F6810" s="103" t="str">
        <f aca="false">IF($C6810="","",$D6810*$E6810)</f>
        <v/>
      </c>
      <c r="G6810" s="103" t="str">
        <f aca="false">IF($C6810="","",$D6810*IFERROR(INDEX('تحليل التكلفة والسعر'!$C$2:$C$700,MATCH($C6810,'تحليل التكلفة والسعر'!$B$2:$B$700,0)),0))</f>
        <v/>
      </c>
    </row>
    <row r="6811" customFormat="false" ht="15" hidden="false" customHeight="false" outlineLevel="0" collapsed="false">
      <c r="A6811" s="102"/>
      <c r="E6811" s="103" t="str">
        <f aca="false">IF($C6811="","",IFERROR(INDEX(المنيو!$C$2:$C$500,MATCH($C6811,المنيو!$B$2:$B$500,0)),0))</f>
        <v/>
      </c>
      <c r="F6811" s="103" t="str">
        <f aca="false">IF($C6811="","",$D6811*$E6811)</f>
        <v/>
      </c>
      <c r="G6811" s="103" t="str">
        <f aca="false">IF($C6811="","",$D6811*IFERROR(INDEX('تحليل التكلفة والسعر'!$C$2:$C$700,MATCH($C6811,'تحليل التكلفة والسعر'!$B$2:$B$700,0)),0))</f>
        <v/>
      </c>
    </row>
    <row r="6812" customFormat="false" ht="15" hidden="false" customHeight="false" outlineLevel="0" collapsed="false">
      <c r="A6812" s="102"/>
      <c r="E6812" s="103" t="str">
        <f aca="false">IF($C6812="","",IFERROR(INDEX(المنيو!$C$2:$C$500,MATCH($C6812,المنيو!$B$2:$B$500,0)),0))</f>
        <v/>
      </c>
      <c r="F6812" s="103" t="str">
        <f aca="false">IF($C6812="","",$D6812*$E6812)</f>
        <v/>
      </c>
      <c r="G6812" s="103" t="str">
        <f aca="false">IF($C6812="","",$D6812*IFERROR(INDEX('تحليل التكلفة والسعر'!$C$2:$C$700,MATCH($C6812,'تحليل التكلفة والسعر'!$B$2:$B$700,0)),0))</f>
        <v/>
      </c>
    </row>
    <row r="6813" customFormat="false" ht="15" hidden="false" customHeight="false" outlineLevel="0" collapsed="false">
      <c r="A6813" s="102"/>
      <c r="E6813" s="103" t="str">
        <f aca="false">IF($C6813="","",IFERROR(INDEX(المنيو!$C$2:$C$500,MATCH($C6813,المنيو!$B$2:$B$500,0)),0))</f>
        <v/>
      </c>
      <c r="F6813" s="103" t="str">
        <f aca="false">IF($C6813="","",$D6813*$E6813)</f>
        <v/>
      </c>
      <c r="G6813" s="103" t="str">
        <f aca="false">IF($C6813="","",$D6813*IFERROR(INDEX('تحليل التكلفة والسعر'!$C$2:$C$700,MATCH($C6813,'تحليل التكلفة والسعر'!$B$2:$B$700,0)),0))</f>
        <v/>
      </c>
    </row>
    <row r="6814" customFormat="false" ht="15" hidden="false" customHeight="false" outlineLevel="0" collapsed="false">
      <c r="A6814" s="102"/>
      <c r="E6814" s="103" t="str">
        <f aca="false">IF($C6814="","",IFERROR(INDEX(المنيو!$C$2:$C$500,MATCH($C6814,المنيو!$B$2:$B$500,0)),0))</f>
        <v/>
      </c>
      <c r="F6814" s="103" t="str">
        <f aca="false">IF($C6814="","",$D6814*$E6814)</f>
        <v/>
      </c>
      <c r="G6814" s="103" t="str">
        <f aca="false">IF($C6814="","",$D6814*IFERROR(INDEX('تحليل التكلفة والسعر'!$C$2:$C$700,MATCH($C6814,'تحليل التكلفة والسعر'!$B$2:$B$700,0)),0))</f>
        <v/>
      </c>
    </row>
    <row r="6815" customFormat="false" ht="15" hidden="false" customHeight="false" outlineLevel="0" collapsed="false">
      <c r="A6815" s="102"/>
      <c r="E6815" s="103" t="str">
        <f aca="false">IF($C6815="","",IFERROR(INDEX(المنيو!$C$2:$C$500,MATCH($C6815,المنيو!$B$2:$B$500,0)),0))</f>
        <v/>
      </c>
      <c r="F6815" s="103" t="str">
        <f aca="false">IF($C6815="","",$D6815*$E6815)</f>
        <v/>
      </c>
      <c r="G6815" s="103" t="str">
        <f aca="false">IF($C6815="","",$D6815*IFERROR(INDEX('تحليل التكلفة والسعر'!$C$2:$C$700,MATCH($C6815,'تحليل التكلفة والسعر'!$B$2:$B$700,0)),0))</f>
        <v/>
      </c>
    </row>
    <row r="6816" customFormat="false" ht="15" hidden="false" customHeight="false" outlineLevel="0" collapsed="false">
      <c r="A6816" s="102"/>
      <c r="E6816" s="103" t="str">
        <f aca="false">IF($C6816="","",IFERROR(INDEX(المنيو!$C$2:$C$500,MATCH($C6816,المنيو!$B$2:$B$500,0)),0))</f>
        <v/>
      </c>
      <c r="F6816" s="103" t="str">
        <f aca="false">IF($C6816="","",$D6816*$E6816)</f>
        <v/>
      </c>
      <c r="G6816" s="103" t="str">
        <f aca="false">IF($C6816="","",$D6816*IFERROR(INDEX('تحليل التكلفة والسعر'!$C$2:$C$700,MATCH($C6816,'تحليل التكلفة والسعر'!$B$2:$B$700,0)),0))</f>
        <v/>
      </c>
    </row>
    <row r="6817" customFormat="false" ht="15" hidden="false" customHeight="false" outlineLevel="0" collapsed="false">
      <c r="A6817" s="102"/>
      <c r="E6817" s="103" t="str">
        <f aca="false">IF($C6817="","",IFERROR(INDEX(المنيو!$C$2:$C$500,MATCH($C6817,المنيو!$B$2:$B$500,0)),0))</f>
        <v/>
      </c>
      <c r="F6817" s="103" t="str">
        <f aca="false">IF($C6817="","",$D6817*$E6817)</f>
        <v/>
      </c>
      <c r="G6817" s="103" t="str">
        <f aca="false">IF($C6817="","",$D6817*IFERROR(INDEX('تحليل التكلفة والسعر'!$C$2:$C$700,MATCH($C6817,'تحليل التكلفة والسعر'!$B$2:$B$700,0)),0))</f>
        <v/>
      </c>
    </row>
    <row r="6818" customFormat="false" ht="15" hidden="false" customHeight="false" outlineLevel="0" collapsed="false">
      <c r="A6818" s="102"/>
      <c r="E6818" s="103" t="str">
        <f aca="false">IF($C6818="","",IFERROR(INDEX(المنيو!$C$2:$C$500,MATCH($C6818,المنيو!$B$2:$B$500,0)),0))</f>
        <v/>
      </c>
      <c r="F6818" s="103" t="str">
        <f aca="false">IF($C6818="","",$D6818*$E6818)</f>
        <v/>
      </c>
      <c r="G6818" s="103" t="str">
        <f aca="false">IF($C6818="","",$D6818*IFERROR(INDEX('تحليل التكلفة والسعر'!$C$2:$C$700,MATCH($C6818,'تحليل التكلفة والسعر'!$B$2:$B$700,0)),0))</f>
        <v/>
      </c>
    </row>
    <row r="6819" customFormat="false" ht="15" hidden="false" customHeight="false" outlineLevel="0" collapsed="false">
      <c r="A6819" s="102"/>
      <c r="E6819" s="103" t="str">
        <f aca="false">IF($C6819="","",IFERROR(INDEX(المنيو!$C$2:$C$500,MATCH($C6819,المنيو!$B$2:$B$500,0)),0))</f>
        <v/>
      </c>
      <c r="F6819" s="103" t="str">
        <f aca="false">IF($C6819="","",$D6819*$E6819)</f>
        <v/>
      </c>
      <c r="G6819" s="103" t="str">
        <f aca="false">IF($C6819="","",$D6819*IFERROR(INDEX('تحليل التكلفة والسعر'!$C$2:$C$700,MATCH($C6819,'تحليل التكلفة والسعر'!$B$2:$B$700,0)),0))</f>
        <v/>
      </c>
    </row>
    <row r="6820" customFormat="false" ht="15" hidden="false" customHeight="false" outlineLevel="0" collapsed="false">
      <c r="A6820" s="102"/>
      <c r="E6820" s="103" t="str">
        <f aca="false">IF($C6820="","",IFERROR(INDEX(المنيو!$C$2:$C$500,MATCH($C6820,المنيو!$B$2:$B$500,0)),0))</f>
        <v/>
      </c>
      <c r="F6820" s="103" t="str">
        <f aca="false">IF($C6820="","",$D6820*$E6820)</f>
        <v/>
      </c>
      <c r="G6820" s="103" t="str">
        <f aca="false">IF($C6820="","",$D6820*IFERROR(INDEX('تحليل التكلفة والسعر'!$C$2:$C$700,MATCH($C6820,'تحليل التكلفة والسعر'!$B$2:$B$700,0)),0))</f>
        <v/>
      </c>
    </row>
    <row r="6821" customFormat="false" ht="15" hidden="false" customHeight="false" outlineLevel="0" collapsed="false">
      <c r="A6821" s="102"/>
      <c r="E6821" s="103" t="str">
        <f aca="false">IF($C6821="","",IFERROR(INDEX(المنيو!$C$2:$C$500,MATCH($C6821,المنيو!$B$2:$B$500,0)),0))</f>
        <v/>
      </c>
      <c r="F6821" s="103" t="str">
        <f aca="false">IF($C6821="","",$D6821*$E6821)</f>
        <v/>
      </c>
      <c r="G6821" s="103" t="str">
        <f aca="false">IF($C6821="","",$D6821*IFERROR(INDEX('تحليل التكلفة والسعر'!$C$2:$C$700,MATCH($C6821,'تحليل التكلفة والسعر'!$B$2:$B$700,0)),0))</f>
        <v/>
      </c>
    </row>
    <row r="6822" customFormat="false" ht="15" hidden="false" customHeight="false" outlineLevel="0" collapsed="false">
      <c r="A6822" s="102"/>
      <c r="E6822" s="103" t="str">
        <f aca="false">IF($C6822="","",IFERROR(INDEX(المنيو!$C$2:$C$500,MATCH($C6822,المنيو!$B$2:$B$500,0)),0))</f>
        <v/>
      </c>
      <c r="F6822" s="103" t="str">
        <f aca="false">IF($C6822="","",$D6822*$E6822)</f>
        <v/>
      </c>
      <c r="G6822" s="103" t="str">
        <f aca="false">IF($C6822="","",$D6822*IFERROR(INDEX('تحليل التكلفة والسعر'!$C$2:$C$700,MATCH($C6822,'تحليل التكلفة والسعر'!$B$2:$B$700,0)),0))</f>
        <v/>
      </c>
    </row>
    <row r="6823" customFormat="false" ht="15" hidden="false" customHeight="false" outlineLevel="0" collapsed="false">
      <c r="A6823" s="102"/>
      <c r="E6823" s="103" t="str">
        <f aca="false">IF($C6823="","",IFERROR(INDEX(المنيو!$C$2:$C$500,MATCH($C6823,المنيو!$B$2:$B$500,0)),0))</f>
        <v/>
      </c>
      <c r="F6823" s="103" t="str">
        <f aca="false">IF($C6823="","",$D6823*$E6823)</f>
        <v/>
      </c>
      <c r="G6823" s="103" t="str">
        <f aca="false">IF($C6823="","",$D6823*IFERROR(INDEX('تحليل التكلفة والسعر'!$C$2:$C$700,MATCH($C6823,'تحليل التكلفة والسعر'!$B$2:$B$700,0)),0))</f>
        <v/>
      </c>
    </row>
    <row r="6824" customFormat="false" ht="15" hidden="false" customHeight="false" outlineLevel="0" collapsed="false">
      <c r="A6824" s="102"/>
      <c r="E6824" s="103" t="str">
        <f aca="false">IF($C6824="","",IFERROR(INDEX(المنيو!$C$2:$C$500,MATCH($C6824,المنيو!$B$2:$B$500,0)),0))</f>
        <v/>
      </c>
      <c r="F6824" s="103" t="str">
        <f aca="false">IF($C6824="","",$D6824*$E6824)</f>
        <v/>
      </c>
      <c r="G6824" s="103" t="str">
        <f aca="false">IF($C6824="","",$D6824*IFERROR(INDEX('تحليل التكلفة والسعر'!$C$2:$C$700,MATCH($C6824,'تحليل التكلفة والسعر'!$B$2:$B$700,0)),0))</f>
        <v/>
      </c>
    </row>
    <row r="6825" customFormat="false" ht="15" hidden="false" customHeight="false" outlineLevel="0" collapsed="false">
      <c r="A6825" s="102"/>
      <c r="E6825" s="103" t="str">
        <f aca="false">IF($C6825="","",IFERROR(INDEX(المنيو!$C$2:$C$500,MATCH($C6825,المنيو!$B$2:$B$500,0)),0))</f>
        <v/>
      </c>
      <c r="F6825" s="103" t="str">
        <f aca="false">IF($C6825="","",$D6825*$E6825)</f>
        <v/>
      </c>
      <c r="G6825" s="103" t="str">
        <f aca="false">IF($C6825="","",$D6825*IFERROR(INDEX('تحليل التكلفة والسعر'!$C$2:$C$700,MATCH($C6825,'تحليل التكلفة والسعر'!$B$2:$B$700,0)),0))</f>
        <v/>
      </c>
    </row>
    <row r="6826" customFormat="false" ht="15" hidden="false" customHeight="false" outlineLevel="0" collapsed="false">
      <c r="A6826" s="102"/>
      <c r="E6826" s="103" t="str">
        <f aca="false">IF($C6826="","",IFERROR(INDEX(المنيو!$C$2:$C$500,MATCH($C6826,المنيو!$B$2:$B$500,0)),0))</f>
        <v/>
      </c>
      <c r="F6826" s="103" t="str">
        <f aca="false">IF($C6826="","",$D6826*$E6826)</f>
        <v/>
      </c>
      <c r="G6826" s="103" t="str">
        <f aca="false">IF($C6826="","",$D6826*IFERROR(INDEX('تحليل التكلفة والسعر'!$C$2:$C$700,MATCH($C6826,'تحليل التكلفة والسعر'!$B$2:$B$700,0)),0))</f>
        <v/>
      </c>
    </row>
    <row r="6827" customFormat="false" ht="15" hidden="false" customHeight="false" outlineLevel="0" collapsed="false">
      <c r="A6827" s="102"/>
      <c r="E6827" s="103" t="str">
        <f aca="false">IF($C6827="","",IFERROR(INDEX(المنيو!$C$2:$C$500,MATCH($C6827,المنيو!$B$2:$B$500,0)),0))</f>
        <v/>
      </c>
      <c r="F6827" s="103" t="str">
        <f aca="false">IF($C6827="","",$D6827*$E6827)</f>
        <v/>
      </c>
      <c r="G6827" s="103" t="str">
        <f aca="false">IF($C6827="","",$D6827*IFERROR(INDEX('تحليل التكلفة والسعر'!$C$2:$C$700,MATCH($C6827,'تحليل التكلفة والسعر'!$B$2:$B$700,0)),0))</f>
        <v/>
      </c>
    </row>
    <row r="6828" customFormat="false" ht="15" hidden="false" customHeight="false" outlineLevel="0" collapsed="false">
      <c r="A6828" s="102"/>
      <c r="E6828" s="103" t="str">
        <f aca="false">IF($C6828="","",IFERROR(INDEX(المنيو!$C$2:$C$500,MATCH($C6828,المنيو!$B$2:$B$500,0)),0))</f>
        <v/>
      </c>
      <c r="F6828" s="103" t="str">
        <f aca="false">IF($C6828="","",$D6828*$E6828)</f>
        <v/>
      </c>
      <c r="G6828" s="103" t="str">
        <f aca="false">IF($C6828="","",$D6828*IFERROR(INDEX('تحليل التكلفة والسعر'!$C$2:$C$700,MATCH($C6828,'تحليل التكلفة والسعر'!$B$2:$B$700,0)),0))</f>
        <v/>
      </c>
    </row>
    <row r="6829" customFormat="false" ht="15" hidden="false" customHeight="false" outlineLevel="0" collapsed="false">
      <c r="A6829" s="102"/>
      <c r="E6829" s="103" t="str">
        <f aca="false">IF($C6829="","",IFERROR(INDEX(المنيو!$C$2:$C$500,MATCH($C6829,المنيو!$B$2:$B$500,0)),0))</f>
        <v/>
      </c>
      <c r="F6829" s="103" t="str">
        <f aca="false">IF($C6829="","",$D6829*$E6829)</f>
        <v/>
      </c>
      <c r="G6829" s="103" t="str">
        <f aca="false">IF($C6829="","",$D6829*IFERROR(INDEX('تحليل التكلفة والسعر'!$C$2:$C$700,MATCH($C6829,'تحليل التكلفة والسعر'!$B$2:$B$700,0)),0))</f>
        <v/>
      </c>
    </row>
    <row r="6830" customFormat="false" ht="15" hidden="false" customHeight="false" outlineLevel="0" collapsed="false">
      <c r="A6830" s="102"/>
      <c r="E6830" s="103" t="str">
        <f aca="false">IF($C6830="","",IFERROR(INDEX(المنيو!$C$2:$C$500,MATCH($C6830,المنيو!$B$2:$B$500,0)),0))</f>
        <v/>
      </c>
      <c r="F6830" s="103" t="str">
        <f aca="false">IF($C6830="","",$D6830*$E6830)</f>
        <v/>
      </c>
      <c r="G6830" s="103" t="str">
        <f aca="false">IF($C6830="","",$D6830*IFERROR(INDEX('تحليل التكلفة والسعر'!$C$2:$C$700,MATCH($C6830,'تحليل التكلفة والسعر'!$B$2:$B$700,0)),0))</f>
        <v/>
      </c>
    </row>
    <row r="6831" customFormat="false" ht="15" hidden="false" customHeight="false" outlineLevel="0" collapsed="false">
      <c r="A6831" s="102"/>
      <c r="E6831" s="103" t="str">
        <f aca="false">IF($C6831="","",IFERROR(INDEX(المنيو!$C$2:$C$500,MATCH($C6831,المنيو!$B$2:$B$500,0)),0))</f>
        <v/>
      </c>
      <c r="F6831" s="103" t="str">
        <f aca="false">IF($C6831="","",$D6831*$E6831)</f>
        <v/>
      </c>
      <c r="G6831" s="103" t="str">
        <f aca="false">IF($C6831="","",$D6831*IFERROR(INDEX('تحليل التكلفة والسعر'!$C$2:$C$700,MATCH($C6831,'تحليل التكلفة والسعر'!$B$2:$B$700,0)),0))</f>
        <v/>
      </c>
    </row>
    <row r="6832" customFormat="false" ht="15" hidden="false" customHeight="false" outlineLevel="0" collapsed="false">
      <c r="A6832" s="102"/>
      <c r="E6832" s="103" t="str">
        <f aca="false">IF($C6832="","",IFERROR(INDEX(المنيو!$C$2:$C$500,MATCH($C6832,المنيو!$B$2:$B$500,0)),0))</f>
        <v/>
      </c>
      <c r="F6832" s="103" t="str">
        <f aca="false">IF($C6832="","",$D6832*$E6832)</f>
        <v/>
      </c>
      <c r="G6832" s="103" t="str">
        <f aca="false">IF($C6832="","",$D6832*IFERROR(INDEX('تحليل التكلفة والسعر'!$C$2:$C$700,MATCH($C6832,'تحليل التكلفة والسعر'!$B$2:$B$700,0)),0))</f>
        <v/>
      </c>
    </row>
    <row r="6833" customFormat="false" ht="15" hidden="false" customHeight="false" outlineLevel="0" collapsed="false">
      <c r="A6833" s="102"/>
      <c r="E6833" s="103" t="str">
        <f aca="false">IF($C6833="","",IFERROR(INDEX(المنيو!$C$2:$C$500,MATCH($C6833,المنيو!$B$2:$B$500,0)),0))</f>
        <v/>
      </c>
      <c r="F6833" s="103" t="str">
        <f aca="false">IF($C6833="","",$D6833*$E6833)</f>
        <v/>
      </c>
      <c r="G6833" s="103" t="str">
        <f aca="false">IF($C6833="","",$D6833*IFERROR(INDEX('تحليل التكلفة والسعر'!$C$2:$C$700,MATCH($C6833,'تحليل التكلفة والسعر'!$B$2:$B$700,0)),0))</f>
        <v/>
      </c>
    </row>
    <row r="6834" customFormat="false" ht="15" hidden="false" customHeight="false" outlineLevel="0" collapsed="false">
      <c r="A6834" s="102"/>
      <c r="E6834" s="103" t="str">
        <f aca="false">IF($C6834="","",IFERROR(INDEX(المنيو!$C$2:$C$500,MATCH($C6834,المنيو!$B$2:$B$500,0)),0))</f>
        <v/>
      </c>
      <c r="F6834" s="103" t="str">
        <f aca="false">IF($C6834="","",$D6834*$E6834)</f>
        <v/>
      </c>
      <c r="G6834" s="103" t="str">
        <f aca="false">IF($C6834="","",$D6834*IFERROR(INDEX('تحليل التكلفة والسعر'!$C$2:$C$700,MATCH($C6834,'تحليل التكلفة والسعر'!$B$2:$B$700,0)),0))</f>
        <v/>
      </c>
    </row>
    <row r="6835" customFormat="false" ht="15" hidden="false" customHeight="false" outlineLevel="0" collapsed="false">
      <c r="A6835" s="102"/>
      <c r="E6835" s="103" t="str">
        <f aca="false">IF($C6835="","",IFERROR(INDEX(المنيو!$C$2:$C$500,MATCH($C6835,المنيو!$B$2:$B$500,0)),0))</f>
        <v/>
      </c>
      <c r="F6835" s="103" t="str">
        <f aca="false">IF($C6835="","",$D6835*$E6835)</f>
        <v/>
      </c>
      <c r="G6835" s="103" t="str">
        <f aca="false">IF($C6835="","",$D6835*IFERROR(INDEX('تحليل التكلفة والسعر'!$C$2:$C$700,MATCH($C6835,'تحليل التكلفة والسعر'!$B$2:$B$700,0)),0))</f>
        <v/>
      </c>
    </row>
    <row r="6836" customFormat="false" ht="15" hidden="false" customHeight="false" outlineLevel="0" collapsed="false">
      <c r="A6836" s="102"/>
      <c r="E6836" s="103" t="str">
        <f aca="false">IF($C6836="","",IFERROR(INDEX(المنيو!$C$2:$C$500,MATCH($C6836,المنيو!$B$2:$B$500,0)),0))</f>
        <v/>
      </c>
      <c r="F6836" s="103" t="str">
        <f aca="false">IF($C6836="","",$D6836*$E6836)</f>
        <v/>
      </c>
      <c r="G6836" s="103" t="str">
        <f aca="false">IF($C6836="","",$D6836*IFERROR(INDEX('تحليل التكلفة والسعر'!$C$2:$C$700,MATCH($C6836,'تحليل التكلفة والسعر'!$B$2:$B$700,0)),0))</f>
        <v/>
      </c>
    </row>
    <row r="6837" customFormat="false" ht="15" hidden="false" customHeight="false" outlineLevel="0" collapsed="false">
      <c r="A6837" s="102"/>
      <c r="E6837" s="103" t="str">
        <f aca="false">IF($C6837="","",IFERROR(INDEX(المنيو!$C$2:$C$500,MATCH($C6837,المنيو!$B$2:$B$500,0)),0))</f>
        <v/>
      </c>
      <c r="F6837" s="103" t="str">
        <f aca="false">IF($C6837="","",$D6837*$E6837)</f>
        <v/>
      </c>
      <c r="G6837" s="103" t="str">
        <f aca="false">IF($C6837="","",$D6837*IFERROR(INDEX('تحليل التكلفة والسعر'!$C$2:$C$700,MATCH($C6837,'تحليل التكلفة والسعر'!$B$2:$B$700,0)),0))</f>
        <v/>
      </c>
    </row>
    <row r="6838" customFormat="false" ht="15" hidden="false" customHeight="false" outlineLevel="0" collapsed="false">
      <c r="A6838" s="102"/>
      <c r="E6838" s="103" t="str">
        <f aca="false">IF($C6838="","",IFERROR(INDEX(المنيو!$C$2:$C$500,MATCH($C6838,المنيو!$B$2:$B$500,0)),0))</f>
        <v/>
      </c>
      <c r="F6838" s="103" t="str">
        <f aca="false">IF($C6838="","",$D6838*$E6838)</f>
        <v/>
      </c>
      <c r="G6838" s="103" t="str">
        <f aca="false">IF($C6838="","",$D6838*IFERROR(INDEX('تحليل التكلفة والسعر'!$C$2:$C$700,MATCH($C6838,'تحليل التكلفة والسعر'!$B$2:$B$700,0)),0))</f>
        <v/>
      </c>
    </row>
    <row r="6839" customFormat="false" ht="15" hidden="false" customHeight="false" outlineLevel="0" collapsed="false">
      <c r="A6839" s="102"/>
      <c r="E6839" s="103" t="str">
        <f aca="false">IF($C6839="","",IFERROR(INDEX(المنيو!$C$2:$C$500,MATCH($C6839,المنيو!$B$2:$B$500,0)),0))</f>
        <v/>
      </c>
      <c r="F6839" s="103" t="str">
        <f aca="false">IF($C6839="","",$D6839*$E6839)</f>
        <v/>
      </c>
      <c r="G6839" s="103" t="str">
        <f aca="false">IF($C6839="","",$D6839*IFERROR(INDEX('تحليل التكلفة والسعر'!$C$2:$C$700,MATCH($C6839,'تحليل التكلفة والسعر'!$B$2:$B$700,0)),0))</f>
        <v/>
      </c>
    </row>
    <row r="6840" customFormat="false" ht="15" hidden="false" customHeight="false" outlineLevel="0" collapsed="false">
      <c r="A6840" s="102"/>
      <c r="E6840" s="103" t="str">
        <f aca="false">IF($C6840="","",IFERROR(INDEX(المنيو!$C$2:$C$500,MATCH($C6840,المنيو!$B$2:$B$500,0)),0))</f>
        <v/>
      </c>
      <c r="F6840" s="103" t="str">
        <f aca="false">IF($C6840="","",$D6840*$E6840)</f>
        <v/>
      </c>
      <c r="G6840" s="103" t="str">
        <f aca="false">IF($C6840="","",$D6840*IFERROR(INDEX('تحليل التكلفة والسعر'!$C$2:$C$700,MATCH($C6840,'تحليل التكلفة والسعر'!$B$2:$B$700,0)),0))</f>
        <v/>
      </c>
    </row>
    <row r="6841" customFormat="false" ht="15" hidden="false" customHeight="false" outlineLevel="0" collapsed="false">
      <c r="A6841" s="102"/>
      <c r="E6841" s="103" t="str">
        <f aca="false">IF($C6841="","",IFERROR(INDEX(المنيو!$C$2:$C$500,MATCH($C6841,المنيو!$B$2:$B$500,0)),0))</f>
        <v/>
      </c>
      <c r="F6841" s="103" t="str">
        <f aca="false">IF($C6841="","",$D6841*$E6841)</f>
        <v/>
      </c>
      <c r="G6841" s="103" t="str">
        <f aca="false">IF($C6841="","",$D6841*IFERROR(INDEX('تحليل التكلفة والسعر'!$C$2:$C$700,MATCH($C6841,'تحليل التكلفة والسعر'!$B$2:$B$700,0)),0))</f>
        <v/>
      </c>
    </row>
    <row r="6842" customFormat="false" ht="15" hidden="false" customHeight="false" outlineLevel="0" collapsed="false">
      <c r="A6842" s="102"/>
      <c r="E6842" s="103" t="str">
        <f aca="false">IF($C6842="","",IFERROR(INDEX(المنيو!$C$2:$C$500,MATCH($C6842,المنيو!$B$2:$B$500,0)),0))</f>
        <v/>
      </c>
      <c r="F6842" s="103" t="str">
        <f aca="false">IF($C6842="","",$D6842*$E6842)</f>
        <v/>
      </c>
      <c r="G6842" s="103" t="str">
        <f aca="false">IF($C6842="","",$D6842*IFERROR(INDEX('تحليل التكلفة والسعر'!$C$2:$C$700,MATCH($C6842,'تحليل التكلفة والسعر'!$B$2:$B$700,0)),0))</f>
        <v/>
      </c>
    </row>
    <row r="6843" customFormat="false" ht="15" hidden="false" customHeight="false" outlineLevel="0" collapsed="false">
      <c r="A6843" s="102"/>
      <c r="E6843" s="103" t="str">
        <f aca="false">IF($C6843="","",IFERROR(INDEX(المنيو!$C$2:$C$500,MATCH($C6843,المنيو!$B$2:$B$500,0)),0))</f>
        <v/>
      </c>
      <c r="F6843" s="103" t="str">
        <f aca="false">IF($C6843="","",$D6843*$E6843)</f>
        <v/>
      </c>
      <c r="G6843" s="103" t="str">
        <f aca="false">IF($C6843="","",$D6843*IFERROR(INDEX('تحليل التكلفة والسعر'!$C$2:$C$700,MATCH($C6843,'تحليل التكلفة والسعر'!$B$2:$B$700,0)),0))</f>
        <v/>
      </c>
    </row>
    <row r="6844" customFormat="false" ht="15" hidden="false" customHeight="false" outlineLevel="0" collapsed="false">
      <c r="A6844" s="102"/>
      <c r="E6844" s="103" t="str">
        <f aca="false">IF($C6844="","",IFERROR(INDEX(المنيو!$C$2:$C$500,MATCH($C6844,المنيو!$B$2:$B$500,0)),0))</f>
        <v/>
      </c>
      <c r="F6844" s="103" t="str">
        <f aca="false">IF($C6844="","",$D6844*$E6844)</f>
        <v/>
      </c>
      <c r="G6844" s="103" t="str">
        <f aca="false">IF($C6844="","",$D6844*IFERROR(INDEX('تحليل التكلفة والسعر'!$C$2:$C$700,MATCH($C6844,'تحليل التكلفة والسعر'!$B$2:$B$700,0)),0))</f>
        <v/>
      </c>
    </row>
    <row r="6845" customFormat="false" ht="15" hidden="false" customHeight="false" outlineLevel="0" collapsed="false">
      <c r="A6845" s="102"/>
      <c r="E6845" s="103" t="str">
        <f aca="false">IF($C6845="","",IFERROR(INDEX(المنيو!$C$2:$C$500,MATCH($C6845,المنيو!$B$2:$B$500,0)),0))</f>
        <v/>
      </c>
      <c r="F6845" s="103" t="str">
        <f aca="false">IF($C6845="","",$D6845*$E6845)</f>
        <v/>
      </c>
      <c r="G6845" s="103" t="str">
        <f aca="false">IF($C6845="","",$D6845*IFERROR(INDEX('تحليل التكلفة والسعر'!$C$2:$C$700,MATCH($C6845,'تحليل التكلفة والسعر'!$B$2:$B$700,0)),0))</f>
        <v/>
      </c>
    </row>
    <row r="6846" customFormat="false" ht="15" hidden="false" customHeight="false" outlineLevel="0" collapsed="false">
      <c r="A6846" s="102"/>
      <c r="E6846" s="103" t="str">
        <f aca="false">IF($C6846="","",IFERROR(INDEX(المنيو!$C$2:$C$500,MATCH($C6846,المنيو!$B$2:$B$500,0)),0))</f>
        <v/>
      </c>
      <c r="F6846" s="103" t="str">
        <f aca="false">IF($C6846="","",$D6846*$E6846)</f>
        <v/>
      </c>
      <c r="G6846" s="103" t="str">
        <f aca="false">IF($C6846="","",$D6846*IFERROR(INDEX('تحليل التكلفة والسعر'!$C$2:$C$700,MATCH($C6846,'تحليل التكلفة والسعر'!$B$2:$B$700,0)),0))</f>
        <v/>
      </c>
    </row>
    <row r="6847" customFormat="false" ht="15" hidden="false" customHeight="false" outlineLevel="0" collapsed="false">
      <c r="A6847" s="102"/>
      <c r="E6847" s="103" t="str">
        <f aca="false">IF($C6847="","",IFERROR(INDEX(المنيو!$C$2:$C$500,MATCH($C6847,المنيو!$B$2:$B$500,0)),0))</f>
        <v/>
      </c>
      <c r="F6847" s="103" t="str">
        <f aca="false">IF($C6847="","",$D6847*$E6847)</f>
        <v/>
      </c>
      <c r="G6847" s="103" t="str">
        <f aca="false">IF($C6847="","",$D6847*IFERROR(INDEX('تحليل التكلفة والسعر'!$C$2:$C$700,MATCH($C6847,'تحليل التكلفة والسعر'!$B$2:$B$700,0)),0))</f>
        <v/>
      </c>
    </row>
    <row r="6848" customFormat="false" ht="15" hidden="false" customHeight="false" outlineLevel="0" collapsed="false">
      <c r="A6848" s="102"/>
      <c r="E6848" s="103" t="str">
        <f aca="false">IF($C6848="","",IFERROR(INDEX(المنيو!$C$2:$C$500,MATCH($C6848,المنيو!$B$2:$B$500,0)),0))</f>
        <v/>
      </c>
      <c r="F6848" s="103" t="str">
        <f aca="false">IF($C6848="","",$D6848*$E6848)</f>
        <v/>
      </c>
      <c r="G6848" s="103" t="str">
        <f aca="false">IF($C6848="","",$D6848*IFERROR(INDEX('تحليل التكلفة والسعر'!$C$2:$C$700,MATCH($C6848,'تحليل التكلفة والسعر'!$B$2:$B$700,0)),0))</f>
        <v/>
      </c>
    </row>
    <row r="6849" customFormat="false" ht="15" hidden="false" customHeight="false" outlineLevel="0" collapsed="false">
      <c r="A6849" s="102"/>
      <c r="E6849" s="103" t="str">
        <f aca="false">IF($C6849="","",IFERROR(INDEX(المنيو!$C$2:$C$500,MATCH($C6849,المنيو!$B$2:$B$500,0)),0))</f>
        <v/>
      </c>
      <c r="F6849" s="103" t="str">
        <f aca="false">IF($C6849="","",$D6849*$E6849)</f>
        <v/>
      </c>
      <c r="G6849" s="103" t="str">
        <f aca="false">IF($C6849="","",$D6849*IFERROR(INDEX('تحليل التكلفة والسعر'!$C$2:$C$700,MATCH($C6849,'تحليل التكلفة والسعر'!$B$2:$B$700,0)),0))</f>
        <v/>
      </c>
    </row>
    <row r="6850" customFormat="false" ht="15" hidden="false" customHeight="false" outlineLevel="0" collapsed="false">
      <c r="A6850" s="102"/>
      <c r="E6850" s="103" t="str">
        <f aca="false">IF($C6850="","",IFERROR(INDEX(المنيو!$C$2:$C$500,MATCH($C6850,المنيو!$B$2:$B$500,0)),0))</f>
        <v/>
      </c>
      <c r="F6850" s="103" t="str">
        <f aca="false">IF($C6850="","",$D6850*$E6850)</f>
        <v/>
      </c>
      <c r="G6850" s="103" t="str">
        <f aca="false">IF($C6850="","",$D6850*IFERROR(INDEX('تحليل التكلفة والسعر'!$C$2:$C$700,MATCH($C6850,'تحليل التكلفة والسعر'!$B$2:$B$700,0)),0))</f>
        <v/>
      </c>
    </row>
    <row r="6851" customFormat="false" ht="15" hidden="false" customHeight="false" outlineLevel="0" collapsed="false">
      <c r="A6851" s="102"/>
      <c r="E6851" s="103" t="str">
        <f aca="false">IF($C6851="","",IFERROR(INDEX(المنيو!$C$2:$C$500,MATCH($C6851,المنيو!$B$2:$B$500,0)),0))</f>
        <v/>
      </c>
      <c r="F6851" s="103" t="str">
        <f aca="false">IF($C6851="","",$D6851*$E6851)</f>
        <v/>
      </c>
      <c r="G6851" s="103" t="str">
        <f aca="false">IF($C6851="","",$D6851*IFERROR(INDEX('تحليل التكلفة والسعر'!$C$2:$C$700,MATCH($C6851,'تحليل التكلفة والسعر'!$B$2:$B$700,0)),0))</f>
        <v/>
      </c>
    </row>
    <row r="6852" customFormat="false" ht="15" hidden="false" customHeight="false" outlineLevel="0" collapsed="false">
      <c r="A6852" s="102"/>
      <c r="E6852" s="103" t="str">
        <f aca="false">IF($C6852="","",IFERROR(INDEX(المنيو!$C$2:$C$500,MATCH($C6852,المنيو!$B$2:$B$500,0)),0))</f>
        <v/>
      </c>
      <c r="F6852" s="103" t="str">
        <f aca="false">IF($C6852="","",$D6852*$E6852)</f>
        <v/>
      </c>
      <c r="G6852" s="103" t="str">
        <f aca="false">IF($C6852="","",$D6852*IFERROR(INDEX('تحليل التكلفة والسعر'!$C$2:$C$700,MATCH($C6852,'تحليل التكلفة والسعر'!$B$2:$B$700,0)),0))</f>
        <v/>
      </c>
    </row>
    <row r="6853" customFormat="false" ht="15" hidden="false" customHeight="false" outlineLevel="0" collapsed="false">
      <c r="A6853" s="102"/>
      <c r="E6853" s="103" t="str">
        <f aca="false">IF($C6853="","",IFERROR(INDEX(المنيو!$C$2:$C$500,MATCH($C6853,المنيو!$B$2:$B$500,0)),0))</f>
        <v/>
      </c>
      <c r="F6853" s="103" t="str">
        <f aca="false">IF($C6853="","",$D6853*$E6853)</f>
        <v/>
      </c>
      <c r="G6853" s="103" t="str">
        <f aca="false">IF($C6853="","",$D6853*IFERROR(INDEX('تحليل التكلفة والسعر'!$C$2:$C$700,MATCH($C6853,'تحليل التكلفة والسعر'!$B$2:$B$700,0)),0))</f>
        <v/>
      </c>
    </row>
    <row r="6854" customFormat="false" ht="15" hidden="false" customHeight="false" outlineLevel="0" collapsed="false">
      <c r="A6854" s="102"/>
      <c r="E6854" s="103" t="str">
        <f aca="false">IF($C6854="","",IFERROR(INDEX(المنيو!$C$2:$C$500,MATCH($C6854,المنيو!$B$2:$B$500,0)),0))</f>
        <v/>
      </c>
      <c r="F6854" s="103" t="str">
        <f aca="false">IF($C6854="","",$D6854*$E6854)</f>
        <v/>
      </c>
      <c r="G6854" s="103" t="str">
        <f aca="false">IF($C6854="","",$D6854*IFERROR(INDEX('تحليل التكلفة والسعر'!$C$2:$C$700,MATCH($C6854,'تحليل التكلفة والسعر'!$B$2:$B$700,0)),0))</f>
        <v/>
      </c>
    </row>
    <row r="6855" customFormat="false" ht="15" hidden="false" customHeight="false" outlineLevel="0" collapsed="false">
      <c r="A6855" s="102"/>
      <c r="E6855" s="103" t="str">
        <f aca="false">IF($C6855="","",IFERROR(INDEX(المنيو!$C$2:$C$500,MATCH($C6855,المنيو!$B$2:$B$500,0)),0))</f>
        <v/>
      </c>
      <c r="F6855" s="103" t="str">
        <f aca="false">IF($C6855="","",$D6855*$E6855)</f>
        <v/>
      </c>
      <c r="G6855" s="103" t="str">
        <f aca="false">IF($C6855="","",$D6855*IFERROR(INDEX('تحليل التكلفة والسعر'!$C$2:$C$700,MATCH($C6855,'تحليل التكلفة والسعر'!$B$2:$B$700,0)),0))</f>
        <v/>
      </c>
    </row>
    <row r="6856" customFormat="false" ht="15" hidden="false" customHeight="false" outlineLevel="0" collapsed="false">
      <c r="A6856" s="102"/>
      <c r="E6856" s="103" t="str">
        <f aca="false">IF($C6856="","",IFERROR(INDEX(المنيو!$C$2:$C$500,MATCH($C6856,المنيو!$B$2:$B$500,0)),0))</f>
        <v/>
      </c>
      <c r="F6856" s="103" t="str">
        <f aca="false">IF($C6856="","",$D6856*$E6856)</f>
        <v/>
      </c>
      <c r="G6856" s="103" t="str">
        <f aca="false">IF($C6856="","",$D6856*IFERROR(INDEX('تحليل التكلفة والسعر'!$C$2:$C$700,MATCH($C6856,'تحليل التكلفة والسعر'!$B$2:$B$700,0)),0))</f>
        <v/>
      </c>
    </row>
    <row r="6857" customFormat="false" ht="15" hidden="false" customHeight="false" outlineLevel="0" collapsed="false">
      <c r="A6857" s="102"/>
      <c r="E6857" s="103" t="str">
        <f aca="false">IF($C6857="","",IFERROR(INDEX(المنيو!$C$2:$C$500,MATCH($C6857,المنيو!$B$2:$B$500,0)),0))</f>
        <v/>
      </c>
      <c r="F6857" s="103" t="str">
        <f aca="false">IF($C6857="","",$D6857*$E6857)</f>
        <v/>
      </c>
      <c r="G6857" s="103" t="str">
        <f aca="false">IF($C6857="","",$D6857*IFERROR(INDEX('تحليل التكلفة والسعر'!$C$2:$C$700,MATCH($C6857,'تحليل التكلفة والسعر'!$B$2:$B$700,0)),0))</f>
        <v/>
      </c>
    </row>
    <row r="6858" customFormat="false" ht="15" hidden="false" customHeight="false" outlineLevel="0" collapsed="false">
      <c r="A6858" s="102"/>
      <c r="E6858" s="103" t="str">
        <f aca="false">IF($C6858="","",IFERROR(INDEX(المنيو!$C$2:$C$500,MATCH($C6858,المنيو!$B$2:$B$500,0)),0))</f>
        <v/>
      </c>
      <c r="F6858" s="103" t="str">
        <f aca="false">IF($C6858="","",$D6858*$E6858)</f>
        <v/>
      </c>
      <c r="G6858" s="103" t="str">
        <f aca="false">IF($C6858="","",$D6858*IFERROR(INDEX('تحليل التكلفة والسعر'!$C$2:$C$700,MATCH($C6858,'تحليل التكلفة والسعر'!$B$2:$B$700,0)),0))</f>
        <v/>
      </c>
    </row>
    <row r="6859" customFormat="false" ht="15" hidden="false" customHeight="false" outlineLevel="0" collapsed="false">
      <c r="A6859" s="102"/>
      <c r="E6859" s="103" t="str">
        <f aca="false">IF($C6859="","",IFERROR(INDEX(المنيو!$C$2:$C$500,MATCH($C6859,المنيو!$B$2:$B$500,0)),0))</f>
        <v/>
      </c>
      <c r="F6859" s="103" t="str">
        <f aca="false">IF($C6859="","",$D6859*$E6859)</f>
        <v/>
      </c>
      <c r="G6859" s="103" t="str">
        <f aca="false">IF($C6859="","",$D6859*IFERROR(INDEX('تحليل التكلفة والسعر'!$C$2:$C$700,MATCH($C6859,'تحليل التكلفة والسعر'!$B$2:$B$700,0)),0))</f>
        <v/>
      </c>
    </row>
    <row r="6860" customFormat="false" ht="15" hidden="false" customHeight="false" outlineLevel="0" collapsed="false">
      <c r="A6860" s="102"/>
      <c r="E6860" s="103" t="str">
        <f aca="false">IF($C6860="","",IFERROR(INDEX(المنيو!$C$2:$C$500,MATCH($C6860,المنيو!$B$2:$B$500,0)),0))</f>
        <v/>
      </c>
      <c r="F6860" s="103" t="str">
        <f aca="false">IF($C6860="","",$D6860*$E6860)</f>
        <v/>
      </c>
      <c r="G6860" s="103" t="str">
        <f aca="false">IF($C6860="","",$D6860*IFERROR(INDEX('تحليل التكلفة والسعر'!$C$2:$C$700,MATCH($C6860,'تحليل التكلفة والسعر'!$B$2:$B$700,0)),0))</f>
        <v/>
      </c>
    </row>
    <row r="6861" customFormat="false" ht="15" hidden="false" customHeight="false" outlineLevel="0" collapsed="false">
      <c r="A6861" s="102"/>
      <c r="E6861" s="103" t="str">
        <f aca="false">IF($C6861="","",IFERROR(INDEX(المنيو!$C$2:$C$500,MATCH($C6861,المنيو!$B$2:$B$500,0)),0))</f>
        <v/>
      </c>
      <c r="F6861" s="103" t="str">
        <f aca="false">IF($C6861="","",$D6861*$E6861)</f>
        <v/>
      </c>
      <c r="G6861" s="103" t="str">
        <f aca="false">IF($C6861="","",$D6861*IFERROR(INDEX('تحليل التكلفة والسعر'!$C$2:$C$700,MATCH($C6861,'تحليل التكلفة والسعر'!$B$2:$B$700,0)),0))</f>
        <v/>
      </c>
    </row>
    <row r="6862" customFormat="false" ht="15" hidden="false" customHeight="false" outlineLevel="0" collapsed="false">
      <c r="A6862" s="102"/>
      <c r="E6862" s="103" t="str">
        <f aca="false">IF($C6862="","",IFERROR(INDEX(المنيو!$C$2:$C$500,MATCH($C6862,المنيو!$B$2:$B$500,0)),0))</f>
        <v/>
      </c>
      <c r="F6862" s="103" t="str">
        <f aca="false">IF($C6862="","",$D6862*$E6862)</f>
        <v/>
      </c>
      <c r="G6862" s="103" t="str">
        <f aca="false">IF($C6862="","",$D6862*IFERROR(INDEX('تحليل التكلفة والسعر'!$C$2:$C$700,MATCH($C6862,'تحليل التكلفة والسعر'!$B$2:$B$700,0)),0))</f>
        <v/>
      </c>
    </row>
    <row r="6863" customFormat="false" ht="15" hidden="false" customHeight="false" outlineLevel="0" collapsed="false">
      <c r="A6863" s="102"/>
      <c r="E6863" s="103" t="str">
        <f aca="false">IF($C6863="","",IFERROR(INDEX(المنيو!$C$2:$C$500,MATCH($C6863,المنيو!$B$2:$B$500,0)),0))</f>
        <v/>
      </c>
      <c r="F6863" s="103" t="str">
        <f aca="false">IF($C6863="","",$D6863*$E6863)</f>
        <v/>
      </c>
      <c r="G6863" s="103" t="str">
        <f aca="false">IF($C6863="","",$D6863*IFERROR(INDEX('تحليل التكلفة والسعر'!$C$2:$C$700,MATCH($C6863,'تحليل التكلفة والسعر'!$B$2:$B$700,0)),0))</f>
        <v/>
      </c>
    </row>
    <row r="6864" customFormat="false" ht="15" hidden="false" customHeight="false" outlineLevel="0" collapsed="false">
      <c r="A6864" s="102"/>
      <c r="E6864" s="103" t="str">
        <f aca="false">IF($C6864="","",IFERROR(INDEX(المنيو!$C$2:$C$500,MATCH($C6864,المنيو!$B$2:$B$500,0)),0))</f>
        <v/>
      </c>
      <c r="F6864" s="103" t="str">
        <f aca="false">IF($C6864="","",$D6864*$E6864)</f>
        <v/>
      </c>
      <c r="G6864" s="103" t="str">
        <f aca="false">IF($C6864="","",$D6864*IFERROR(INDEX('تحليل التكلفة والسعر'!$C$2:$C$700,MATCH($C6864,'تحليل التكلفة والسعر'!$B$2:$B$700,0)),0))</f>
        <v/>
      </c>
    </row>
    <row r="6865" customFormat="false" ht="15" hidden="false" customHeight="false" outlineLevel="0" collapsed="false">
      <c r="A6865" s="102"/>
      <c r="E6865" s="103" t="str">
        <f aca="false">IF($C6865="","",IFERROR(INDEX(المنيو!$C$2:$C$500,MATCH($C6865,المنيو!$B$2:$B$500,0)),0))</f>
        <v/>
      </c>
      <c r="F6865" s="103" t="str">
        <f aca="false">IF($C6865="","",$D6865*$E6865)</f>
        <v/>
      </c>
      <c r="G6865" s="103" t="str">
        <f aca="false">IF($C6865="","",$D6865*IFERROR(INDEX('تحليل التكلفة والسعر'!$C$2:$C$700,MATCH($C6865,'تحليل التكلفة والسعر'!$B$2:$B$700,0)),0))</f>
        <v/>
      </c>
    </row>
    <row r="6866" customFormat="false" ht="15" hidden="false" customHeight="false" outlineLevel="0" collapsed="false">
      <c r="A6866" s="102"/>
      <c r="E6866" s="103" t="str">
        <f aca="false">IF($C6866="","",IFERROR(INDEX(المنيو!$C$2:$C$500,MATCH($C6866,المنيو!$B$2:$B$500,0)),0))</f>
        <v/>
      </c>
      <c r="F6866" s="103" t="str">
        <f aca="false">IF($C6866="","",$D6866*$E6866)</f>
        <v/>
      </c>
      <c r="G6866" s="103" t="str">
        <f aca="false">IF($C6866="","",$D6866*IFERROR(INDEX('تحليل التكلفة والسعر'!$C$2:$C$700,MATCH($C6866,'تحليل التكلفة والسعر'!$B$2:$B$700,0)),0))</f>
        <v/>
      </c>
    </row>
    <row r="6867" customFormat="false" ht="15" hidden="false" customHeight="false" outlineLevel="0" collapsed="false">
      <c r="A6867" s="102"/>
      <c r="E6867" s="103" t="str">
        <f aca="false">IF($C6867="","",IFERROR(INDEX(المنيو!$C$2:$C$500,MATCH($C6867,المنيو!$B$2:$B$500,0)),0))</f>
        <v/>
      </c>
      <c r="F6867" s="103" t="str">
        <f aca="false">IF($C6867="","",$D6867*$E6867)</f>
        <v/>
      </c>
      <c r="G6867" s="103" t="str">
        <f aca="false">IF($C6867="","",$D6867*IFERROR(INDEX('تحليل التكلفة والسعر'!$C$2:$C$700,MATCH($C6867,'تحليل التكلفة والسعر'!$B$2:$B$700,0)),0))</f>
        <v/>
      </c>
    </row>
    <row r="6868" customFormat="false" ht="15" hidden="false" customHeight="false" outlineLevel="0" collapsed="false">
      <c r="A6868" s="102"/>
      <c r="E6868" s="103" t="str">
        <f aca="false">IF($C6868="","",IFERROR(INDEX(المنيو!$C$2:$C$500,MATCH($C6868,المنيو!$B$2:$B$500,0)),0))</f>
        <v/>
      </c>
      <c r="F6868" s="103" t="str">
        <f aca="false">IF($C6868="","",$D6868*$E6868)</f>
        <v/>
      </c>
      <c r="G6868" s="103" t="str">
        <f aca="false">IF($C6868="","",$D6868*IFERROR(INDEX('تحليل التكلفة والسعر'!$C$2:$C$700,MATCH($C6868,'تحليل التكلفة والسعر'!$B$2:$B$700,0)),0))</f>
        <v/>
      </c>
    </row>
    <row r="6869" customFormat="false" ht="15" hidden="false" customHeight="false" outlineLevel="0" collapsed="false">
      <c r="A6869" s="102"/>
      <c r="E6869" s="103" t="str">
        <f aca="false">IF($C6869="","",IFERROR(INDEX(المنيو!$C$2:$C$500,MATCH($C6869,المنيو!$B$2:$B$500,0)),0))</f>
        <v/>
      </c>
      <c r="F6869" s="103" t="str">
        <f aca="false">IF($C6869="","",$D6869*$E6869)</f>
        <v/>
      </c>
      <c r="G6869" s="103" t="str">
        <f aca="false">IF($C6869="","",$D6869*IFERROR(INDEX('تحليل التكلفة والسعر'!$C$2:$C$700,MATCH($C6869,'تحليل التكلفة والسعر'!$B$2:$B$700,0)),0))</f>
        <v/>
      </c>
    </row>
    <row r="6870" customFormat="false" ht="15" hidden="false" customHeight="false" outlineLevel="0" collapsed="false">
      <c r="A6870" s="102"/>
      <c r="E6870" s="103" t="str">
        <f aca="false">IF($C6870="","",IFERROR(INDEX(المنيو!$C$2:$C$500,MATCH($C6870,المنيو!$B$2:$B$500,0)),0))</f>
        <v/>
      </c>
      <c r="F6870" s="103" t="str">
        <f aca="false">IF($C6870="","",$D6870*$E6870)</f>
        <v/>
      </c>
      <c r="G6870" s="103" t="str">
        <f aca="false">IF($C6870="","",$D6870*IFERROR(INDEX('تحليل التكلفة والسعر'!$C$2:$C$700,MATCH($C6870,'تحليل التكلفة والسعر'!$B$2:$B$700,0)),0))</f>
        <v/>
      </c>
    </row>
    <row r="6871" customFormat="false" ht="15" hidden="false" customHeight="false" outlineLevel="0" collapsed="false">
      <c r="A6871" s="102"/>
      <c r="E6871" s="103" t="str">
        <f aca="false">IF($C6871="","",IFERROR(INDEX(المنيو!$C$2:$C$500,MATCH($C6871,المنيو!$B$2:$B$500,0)),0))</f>
        <v/>
      </c>
      <c r="F6871" s="103" t="str">
        <f aca="false">IF($C6871="","",$D6871*$E6871)</f>
        <v/>
      </c>
      <c r="G6871" s="103" t="str">
        <f aca="false">IF($C6871="","",$D6871*IFERROR(INDEX('تحليل التكلفة والسعر'!$C$2:$C$700,MATCH($C6871,'تحليل التكلفة والسعر'!$B$2:$B$700,0)),0))</f>
        <v/>
      </c>
    </row>
    <row r="6872" customFormat="false" ht="15" hidden="false" customHeight="false" outlineLevel="0" collapsed="false">
      <c r="A6872" s="102"/>
      <c r="E6872" s="103" t="str">
        <f aca="false">IF($C6872="","",IFERROR(INDEX(المنيو!$C$2:$C$500,MATCH($C6872,المنيو!$B$2:$B$500,0)),0))</f>
        <v/>
      </c>
      <c r="F6872" s="103" t="str">
        <f aca="false">IF($C6872="","",$D6872*$E6872)</f>
        <v/>
      </c>
      <c r="G6872" s="103" t="str">
        <f aca="false">IF($C6872="","",$D6872*IFERROR(INDEX('تحليل التكلفة والسعر'!$C$2:$C$700,MATCH($C6872,'تحليل التكلفة والسعر'!$B$2:$B$700,0)),0))</f>
        <v/>
      </c>
    </row>
    <row r="6873" customFormat="false" ht="15" hidden="false" customHeight="false" outlineLevel="0" collapsed="false">
      <c r="A6873" s="102"/>
      <c r="E6873" s="103" t="str">
        <f aca="false">IF($C6873="","",IFERROR(INDEX(المنيو!$C$2:$C$500,MATCH($C6873,المنيو!$B$2:$B$500,0)),0))</f>
        <v/>
      </c>
      <c r="F6873" s="103" t="str">
        <f aca="false">IF($C6873="","",$D6873*$E6873)</f>
        <v/>
      </c>
      <c r="G6873" s="103" t="str">
        <f aca="false">IF($C6873="","",$D6873*IFERROR(INDEX('تحليل التكلفة والسعر'!$C$2:$C$700,MATCH($C6873,'تحليل التكلفة والسعر'!$B$2:$B$700,0)),0))</f>
        <v/>
      </c>
    </row>
    <row r="6874" customFormat="false" ht="15" hidden="false" customHeight="false" outlineLevel="0" collapsed="false">
      <c r="A6874" s="102"/>
      <c r="E6874" s="103" t="str">
        <f aca="false">IF($C6874="","",IFERROR(INDEX(المنيو!$C$2:$C$500,MATCH($C6874,المنيو!$B$2:$B$500,0)),0))</f>
        <v/>
      </c>
      <c r="F6874" s="103" t="str">
        <f aca="false">IF($C6874="","",$D6874*$E6874)</f>
        <v/>
      </c>
      <c r="G6874" s="103" t="str">
        <f aca="false">IF($C6874="","",$D6874*IFERROR(INDEX('تحليل التكلفة والسعر'!$C$2:$C$700,MATCH($C6874,'تحليل التكلفة والسعر'!$B$2:$B$700,0)),0))</f>
        <v/>
      </c>
    </row>
    <row r="6875" customFormat="false" ht="15" hidden="false" customHeight="false" outlineLevel="0" collapsed="false">
      <c r="A6875" s="102"/>
      <c r="E6875" s="103" t="str">
        <f aca="false">IF($C6875="","",IFERROR(INDEX(المنيو!$C$2:$C$500,MATCH($C6875,المنيو!$B$2:$B$500,0)),0))</f>
        <v/>
      </c>
      <c r="F6875" s="103" t="str">
        <f aca="false">IF($C6875="","",$D6875*$E6875)</f>
        <v/>
      </c>
      <c r="G6875" s="103" t="str">
        <f aca="false">IF($C6875="","",$D6875*IFERROR(INDEX('تحليل التكلفة والسعر'!$C$2:$C$700,MATCH($C6875,'تحليل التكلفة والسعر'!$B$2:$B$700,0)),0))</f>
        <v/>
      </c>
    </row>
    <row r="6876" customFormat="false" ht="15" hidden="false" customHeight="false" outlineLevel="0" collapsed="false">
      <c r="A6876" s="102"/>
      <c r="E6876" s="103" t="str">
        <f aca="false">IF($C6876="","",IFERROR(INDEX(المنيو!$C$2:$C$500,MATCH($C6876,المنيو!$B$2:$B$500,0)),0))</f>
        <v/>
      </c>
      <c r="F6876" s="103" t="str">
        <f aca="false">IF($C6876="","",$D6876*$E6876)</f>
        <v/>
      </c>
      <c r="G6876" s="103" t="str">
        <f aca="false">IF($C6876="","",$D6876*IFERROR(INDEX('تحليل التكلفة والسعر'!$C$2:$C$700,MATCH($C6876,'تحليل التكلفة والسعر'!$B$2:$B$700,0)),0))</f>
        <v/>
      </c>
    </row>
    <row r="6877" customFormat="false" ht="15" hidden="false" customHeight="false" outlineLevel="0" collapsed="false">
      <c r="A6877" s="102"/>
      <c r="E6877" s="103" t="str">
        <f aca="false">IF($C6877="","",IFERROR(INDEX(المنيو!$C$2:$C$500,MATCH($C6877,المنيو!$B$2:$B$500,0)),0))</f>
        <v/>
      </c>
      <c r="F6877" s="103" t="str">
        <f aca="false">IF($C6877="","",$D6877*$E6877)</f>
        <v/>
      </c>
      <c r="G6877" s="103" t="str">
        <f aca="false">IF($C6877="","",$D6877*IFERROR(INDEX('تحليل التكلفة والسعر'!$C$2:$C$700,MATCH($C6877,'تحليل التكلفة والسعر'!$B$2:$B$700,0)),0))</f>
        <v/>
      </c>
    </row>
    <row r="6878" customFormat="false" ht="15" hidden="false" customHeight="false" outlineLevel="0" collapsed="false">
      <c r="A6878" s="102"/>
      <c r="E6878" s="103" t="str">
        <f aca="false">IF($C6878="","",IFERROR(INDEX(المنيو!$C$2:$C$500,MATCH($C6878,المنيو!$B$2:$B$500,0)),0))</f>
        <v/>
      </c>
      <c r="F6878" s="103" t="str">
        <f aca="false">IF($C6878="","",$D6878*$E6878)</f>
        <v/>
      </c>
      <c r="G6878" s="103" t="str">
        <f aca="false">IF($C6878="","",$D6878*IFERROR(INDEX('تحليل التكلفة والسعر'!$C$2:$C$700,MATCH($C6878,'تحليل التكلفة والسعر'!$B$2:$B$700,0)),0))</f>
        <v/>
      </c>
    </row>
    <row r="6879" customFormat="false" ht="15" hidden="false" customHeight="false" outlineLevel="0" collapsed="false">
      <c r="A6879" s="102"/>
      <c r="E6879" s="103" t="str">
        <f aca="false">IF($C6879="","",IFERROR(INDEX(المنيو!$C$2:$C$500,MATCH($C6879,المنيو!$B$2:$B$500,0)),0))</f>
        <v/>
      </c>
      <c r="F6879" s="103" t="str">
        <f aca="false">IF($C6879="","",$D6879*$E6879)</f>
        <v/>
      </c>
      <c r="G6879" s="103" t="str">
        <f aca="false">IF($C6879="","",$D6879*IFERROR(INDEX('تحليل التكلفة والسعر'!$C$2:$C$700,MATCH($C6879,'تحليل التكلفة والسعر'!$B$2:$B$700,0)),0))</f>
        <v/>
      </c>
    </row>
    <row r="6880" customFormat="false" ht="15" hidden="false" customHeight="false" outlineLevel="0" collapsed="false">
      <c r="A6880" s="102"/>
      <c r="E6880" s="103" t="str">
        <f aca="false">IF($C6880="","",IFERROR(INDEX(المنيو!$C$2:$C$500,MATCH($C6880,المنيو!$B$2:$B$500,0)),0))</f>
        <v/>
      </c>
      <c r="F6880" s="103" t="str">
        <f aca="false">IF($C6880="","",$D6880*$E6880)</f>
        <v/>
      </c>
      <c r="G6880" s="103" t="str">
        <f aca="false">IF($C6880="","",$D6880*IFERROR(INDEX('تحليل التكلفة والسعر'!$C$2:$C$700,MATCH($C6880,'تحليل التكلفة والسعر'!$B$2:$B$700,0)),0))</f>
        <v/>
      </c>
    </row>
    <row r="6881" customFormat="false" ht="15" hidden="false" customHeight="false" outlineLevel="0" collapsed="false">
      <c r="A6881" s="102"/>
      <c r="E6881" s="103" t="str">
        <f aca="false">IF($C6881="","",IFERROR(INDEX(المنيو!$C$2:$C$500,MATCH($C6881,المنيو!$B$2:$B$500,0)),0))</f>
        <v/>
      </c>
      <c r="F6881" s="103" t="str">
        <f aca="false">IF($C6881="","",$D6881*$E6881)</f>
        <v/>
      </c>
      <c r="G6881" s="103" t="str">
        <f aca="false">IF($C6881="","",$D6881*IFERROR(INDEX('تحليل التكلفة والسعر'!$C$2:$C$700,MATCH($C6881,'تحليل التكلفة والسعر'!$B$2:$B$700,0)),0))</f>
        <v/>
      </c>
    </row>
    <row r="6882" customFormat="false" ht="15" hidden="false" customHeight="false" outlineLevel="0" collapsed="false">
      <c r="A6882" s="102"/>
      <c r="E6882" s="103" t="str">
        <f aca="false">IF($C6882="","",IFERROR(INDEX(المنيو!$C$2:$C$500,MATCH($C6882,المنيو!$B$2:$B$500,0)),0))</f>
        <v/>
      </c>
      <c r="F6882" s="103" t="str">
        <f aca="false">IF($C6882="","",$D6882*$E6882)</f>
        <v/>
      </c>
      <c r="G6882" s="103" t="str">
        <f aca="false">IF($C6882="","",$D6882*IFERROR(INDEX('تحليل التكلفة والسعر'!$C$2:$C$700,MATCH($C6882,'تحليل التكلفة والسعر'!$B$2:$B$700,0)),0))</f>
        <v/>
      </c>
    </row>
    <row r="6883" customFormat="false" ht="15" hidden="false" customHeight="false" outlineLevel="0" collapsed="false">
      <c r="A6883" s="102"/>
      <c r="E6883" s="103" t="str">
        <f aca="false">IF($C6883="","",IFERROR(INDEX(المنيو!$C$2:$C$500,MATCH($C6883,المنيو!$B$2:$B$500,0)),0))</f>
        <v/>
      </c>
      <c r="F6883" s="103" t="str">
        <f aca="false">IF($C6883="","",$D6883*$E6883)</f>
        <v/>
      </c>
      <c r="G6883" s="103" t="str">
        <f aca="false">IF($C6883="","",$D6883*IFERROR(INDEX('تحليل التكلفة والسعر'!$C$2:$C$700,MATCH($C6883,'تحليل التكلفة والسعر'!$B$2:$B$700,0)),0))</f>
        <v/>
      </c>
    </row>
    <row r="6884" customFormat="false" ht="15" hidden="false" customHeight="false" outlineLevel="0" collapsed="false">
      <c r="A6884" s="102"/>
      <c r="E6884" s="103" t="str">
        <f aca="false">IF($C6884="","",IFERROR(INDEX(المنيو!$C$2:$C$500,MATCH($C6884,المنيو!$B$2:$B$500,0)),0))</f>
        <v/>
      </c>
      <c r="F6884" s="103" t="str">
        <f aca="false">IF($C6884="","",$D6884*$E6884)</f>
        <v/>
      </c>
      <c r="G6884" s="103" t="str">
        <f aca="false">IF($C6884="","",$D6884*IFERROR(INDEX('تحليل التكلفة والسعر'!$C$2:$C$700,MATCH($C6884,'تحليل التكلفة والسعر'!$B$2:$B$700,0)),0))</f>
        <v/>
      </c>
    </row>
    <row r="6885" customFormat="false" ht="15" hidden="false" customHeight="false" outlineLevel="0" collapsed="false">
      <c r="A6885" s="102"/>
      <c r="E6885" s="103" t="str">
        <f aca="false">IF($C6885="","",IFERROR(INDEX(المنيو!$C$2:$C$500,MATCH($C6885,المنيو!$B$2:$B$500,0)),0))</f>
        <v/>
      </c>
      <c r="F6885" s="103" t="str">
        <f aca="false">IF($C6885="","",$D6885*$E6885)</f>
        <v/>
      </c>
      <c r="G6885" s="103" t="str">
        <f aca="false">IF($C6885="","",$D6885*IFERROR(INDEX('تحليل التكلفة والسعر'!$C$2:$C$700,MATCH($C6885,'تحليل التكلفة والسعر'!$B$2:$B$700,0)),0))</f>
        <v/>
      </c>
    </row>
    <row r="6886" customFormat="false" ht="15" hidden="false" customHeight="false" outlineLevel="0" collapsed="false">
      <c r="A6886" s="102"/>
      <c r="E6886" s="103" t="str">
        <f aca="false">IF($C6886="","",IFERROR(INDEX(المنيو!$C$2:$C$500,MATCH($C6886,المنيو!$B$2:$B$500,0)),0))</f>
        <v/>
      </c>
      <c r="F6886" s="103" t="str">
        <f aca="false">IF($C6886="","",$D6886*$E6886)</f>
        <v/>
      </c>
      <c r="G6886" s="103" t="str">
        <f aca="false">IF($C6886="","",$D6886*IFERROR(INDEX('تحليل التكلفة والسعر'!$C$2:$C$700,MATCH($C6886,'تحليل التكلفة والسعر'!$B$2:$B$700,0)),0))</f>
        <v/>
      </c>
    </row>
    <row r="6887" customFormat="false" ht="15" hidden="false" customHeight="false" outlineLevel="0" collapsed="false">
      <c r="A6887" s="102"/>
      <c r="E6887" s="103" t="str">
        <f aca="false">IF($C6887="","",IFERROR(INDEX(المنيو!$C$2:$C$500,MATCH($C6887,المنيو!$B$2:$B$500,0)),0))</f>
        <v/>
      </c>
      <c r="F6887" s="103" t="str">
        <f aca="false">IF($C6887="","",$D6887*$E6887)</f>
        <v/>
      </c>
      <c r="G6887" s="103" t="str">
        <f aca="false">IF($C6887="","",$D6887*IFERROR(INDEX('تحليل التكلفة والسعر'!$C$2:$C$700,MATCH($C6887,'تحليل التكلفة والسعر'!$B$2:$B$700,0)),0))</f>
        <v/>
      </c>
    </row>
    <row r="6888" customFormat="false" ht="15" hidden="false" customHeight="false" outlineLevel="0" collapsed="false">
      <c r="A6888" s="102"/>
      <c r="E6888" s="103" t="str">
        <f aca="false">IF($C6888="","",IFERROR(INDEX(المنيو!$C$2:$C$500,MATCH($C6888,المنيو!$B$2:$B$500,0)),0))</f>
        <v/>
      </c>
      <c r="F6888" s="103" t="str">
        <f aca="false">IF($C6888="","",$D6888*$E6888)</f>
        <v/>
      </c>
      <c r="G6888" s="103" t="str">
        <f aca="false">IF($C6888="","",$D6888*IFERROR(INDEX('تحليل التكلفة والسعر'!$C$2:$C$700,MATCH($C6888,'تحليل التكلفة والسعر'!$B$2:$B$700,0)),0))</f>
        <v/>
      </c>
    </row>
    <row r="6889" customFormat="false" ht="15" hidden="false" customHeight="false" outlineLevel="0" collapsed="false">
      <c r="A6889" s="102"/>
      <c r="E6889" s="103" t="str">
        <f aca="false">IF($C6889="","",IFERROR(INDEX(المنيو!$C$2:$C$500,MATCH($C6889,المنيو!$B$2:$B$500,0)),0))</f>
        <v/>
      </c>
      <c r="F6889" s="103" t="str">
        <f aca="false">IF($C6889="","",$D6889*$E6889)</f>
        <v/>
      </c>
      <c r="G6889" s="103" t="str">
        <f aca="false">IF($C6889="","",$D6889*IFERROR(INDEX('تحليل التكلفة والسعر'!$C$2:$C$700,MATCH($C6889,'تحليل التكلفة والسعر'!$B$2:$B$700,0)),0))</f>
        <v/>
      </c>
    </row>
    <row r="6890" customFormat="false" ht="15" hidden="false" customHeight="false" outlineLevel="0" collapsed="false">
      <c r="A6890" s="102"/>
      <c r="E6890" s="103" t="str">
        <f aca="false">IF($C6890="","",IFERROR(INDEX(المنيو!$C$2:$C$500,MATCH($C6890,المنيو!$B$2:$B$500,0)),0))</f>
        <v/>
      </c>
      <c r="F6890" s="103" t="str">
        <f aca="false">IF($C6890="","",$D6890*$E6890)</f>
        <v/>
      </c>
      <c r="G6890" s="103" t="str">
        <f aca="false">IF($C6890="","",$D6890*IFERROR(INDEX('تحليل التكلفة والسعر'!$C$2:$C$700,MATCH($C6890,'تحليل التكلفة والسعر'!$B$2:$B$700,0)),0))</f>
        <v/>
      </c>
    </row>
    <row r="6891" customFormat="false" ht="15" hidden="false" customHeight="false" outlineLevel="0" collapsed="false">
      <c r="A6891" s="102"/>
      <c r="E6891" s="103" t="str">
        <f aca="false">IF($C6891="","",IFERROR(INDEX(المنيو!$C$2:$C$500,MATCH($C6891,المنيو!$B$2:$B$500,0)),0))</f>
        <v/>
      </c>
      <c r="F6891" s="103" t="str">
        <f aca="false">IF($C6891="","",$D6891*$E6891)</f>
        <v/>
      </c>
      <c r="G6891" s="103" t="str">
        <f aca="false">IF($C6891="","",$D6891*IFERROR(INDEX('تحليل التكلفة والسعر'!$C$2:$C$700,MATCH($C6891,'تحليل التكلفة والسعر'!$B$2:$B$700,0)),0))</f>
        <v/>
      </c>
    </row>
    <row r="6892" customFormat="false" ht="15" hidden="false" customHeight="false" outlineLevel="0" collapsed="false">
      <c r="A6892" s="102"/>
      <c r="E6892" s="103" t="str">
        <f aca="false">IF($C6892="","",IFERROR(INDEX(المنيو!$C$2:$C$500,MATCH($C6892,المنيو!$B$2:$B$500,0)),0))</f>
        <v/>
      </c>
      <c r="F6892" s="103" t="str">
        <f aca="false">IF($C6892="","",$D6892*$E6892)</f>
        <v/>
      </c>
      <c r="G6892" s="103" t="str">
        <f aca="false">IF($C6892="","",$D6892*IFERROR(INDEX('تحليل التكلفة والسعر'!$C$2:$C$700,MATCH($C6892,'تحليل التكلفة والسعر'!$B$2:$B$700,0)),0))</f>
        <v/>
      </c>
    </row>
    <row r="6893" customFormat="false" ht="15" hidden="false" customHeight="false" outlineLevel="0" collapsed="false">
      <c r="A6893" s="102"/>
      <c r="E6893" s="103" t="str">
        <f aca="false">IF($C6893="","",IFERROR(INDEX(المنيو!$C$2:$C$500,MATCH($C6893,المنيو!$B$2:$B$500,0)),0))</f>
        <v/>
      </c>
      <c r="F6893" s="103" t="str">
        <f aca="false">IF($C6893="","",$D6893*$E6893)</f>
        <v/>
      </c>
      <c r="G6893" s="103" t="str">
        <f aca="false">IF($C6893="","",$D6893*IFERROR(INDEX('تحليل التكلفة والسعر'!$C$2:$C$700,MATCH($C6893,'تحليل التكلفة والسعر'!$B$2:$B$700,0)),0))</f>
        <v/>
      </c>
    </row>
    <row r="6894" customFormat="false" ht="15" hidden="false" customHeight="false" outlineLevel="0" collapsed="false">
      <c r="A6894" s="102"/>
      <c r="E6894" s="103" t="str">
        <f aca="false">IF($C6894="","",IFERROR(INDEX(المنيو!$C$2:$C$500,MATCH($C6894,المنيو!$B$2:$B$500,0)),0))</f>
        <v/>
      </c>
      <c r="F6894" s="103" t="str">
        <f aca="false">IF($C6894="","",$D6894*$E6894)</f>
        <v/>
      </c>
      <c r="G6894" s="103" t="str">
        <f aca="false">IF($C6894="","",$D6894*IFERROR(INDEX('تحليل التكلفة والسعر'!$C$2:$C$700,MATCH($C6894,'تحليل التكلفة والسعر'!$B$2:$B$700,0)),0))</f>
        <v/>
      </c>
    </row>
    <row r="6895" customFormat="false" ht="15" hidden="false" customHeight="false" outlineLevel="0" collapsed="false">
      <c r="A6895" s="102"/>
      <c r="E6895" s="103" t="str">
        <f aca="false">IF($C6895="","",IFERROR(INDEX(المنيو!$C$2:$C$500,MATCH($C6895,المنيو!$B$2:$B$500,0)),0))</f>
        <v/>
      </c>
      <c r="F6895" s="103" t="str">
        <f aca="false">IF($C6895="","",$D6895*$E6895)</f>
        <v/>
      </c>
      <c r="G6895" s="103" t="str">
        <f aca="false">IF($C6895="","",$D6895*IFERROR(INDEX('تحليل التكلفة والسعر'!$C$2:$C$700,MATCH($C6895,'تحليل التكلفة والسعر'!$B$2:$B$700,0)),0))</f>
        <v/>
      </c>
    </row>
    <row r="6896" customFormat="false" ht="15" hidden="false" customHeight="false" outlineLevel="0" collapsed="false">
      <c r="A6896" s="102"/>
      <c r="E6896" s="103" t="str">
        <f aca="false">IF($C6896="","",IFERROR(INDEX(المنيو!$C$2:$C$500,MATCH($C6896,المنيو!$B$2:$B$500,0)),0))</f>
        <v/>
      </c>
      <c r="F6896" s="103" t="str">
        <f aca="false">IF($C6896="","",$D6896*$E6896)</f>
        <v/>
      </c>
      <c r="G6896" s="103" t="str">
        <f aca="false">IF($C6896="","",$D6896*IFERROR(INDEX('تحليل التكلفة والسعر'!$C$2:$C$700,MATCH($C6896,'تحليل التكلفة والسعر'!$B$2:$B$700,0)),0))</f>
        <v/>
      </c>
    </row>
    <row r="6897" customFormat="false" ht="15" hidden="false" customHeight="false" outlineLevel="0" collapsed="false">
      <c r="A6897" s="102"/>
      <c r="E6897" s="103" t="str">
        <f aca="false">IF($C6897="","",IFERROR(INDEX(المنيو!$C$2:$C$500,MATCH($C6897,المنيو!$B$2:$B$500,0)),0))</f>
        <v/>
      </c>
      <c r="F6897" s="103" t="str">
        <f aca="false">IF($C6897="","",$D6897*$E6897)</f>
        <v/>
      </c>
      <c r="G6897" s="103" t="str">
        <f aca="false">IF($C6897="","",$D6897*IFERROR(INDEX('تحليل التكلفة والسعر'!$C$2:$C$700,MATCH($C6897,'تحليل التكلفة والسعر'!$B$2:$B$700,0)),0))</f>
        <v/>
      </c>
    </row>
    <row r="6898" customFormat="false" ht="15" hidden="false" customHeight="false" outlineLevel="0" collapsed="false">
      <c r="A6898" s="102"/>
      <c r="E6898" s="103" t="str">
        <f aca="false">IF($C6898="","",IFERROR(INDEX(المنيو!$C$2:$C$500,MATCH($C6898,المنيو!$B$2:$B$500,0)),0))</f>
        <v/>
      </c>
      <c r="F6898" s="103" t="str">
        <f aca="false">IF($C6898="","",$D6898*$E6898)</f>
        <v/>
      </c>
      <c r="G6898" s="103" t="str">
        <f aca="false">IF($C6898="","",$D6898*IFERROR(INDEX('تحليل التكلفة والسعر'!$C$2:$C$700,MATCH($C6898,'تحليل التكلفة والسعر'!$B$2:$B$700,0)),0))</f>
        <v/>
      </c>
    </row>
    <row r="6899" customFormat="false" ht="15" hidden="false" customHeight="false" outlineLevel="0" collapsed="false">
      <c r="A6899" s="102"/>
      <c r="E6899" s="103" t="str">
        <f aca="false">IF($C6899="","",IFERROR(INDEX(المنيو!$C$2:$C$500,MATCH($C6899,المنيو!$B$2:$B$500,0)),0))</f>
        <v/>
      </c>
      <c r="F6899" s="103" t="str">
        <f aca="false">IF($C6899="","",$D6899*$E6899)</f>
        <v/>
      </c>
      <c r="G6899" s="103" t="str">
        <f aca="false">IF($C6899="","",$D6899*IFERROR(INDEX('تحليل التكلفة والسعر'!$C$2:$C$700,MATCH($C6899,'تحليل التكلفة والسعر'!$B$2:$B$700,0)),0))</f>
        <v/>
      </c>
    </row>
    <row r="6900" customFormat="false" ht="15" hidden="false" customHeight="false" outlineLevel="0" collapsed="false">
      <c r="A6900" s="102"/>
      <c r="E6900" s="103" t="str">
        <f aca="false">IF($C6900="","",IFERROR(INDEX(المنيو!$C$2:$C$500,MATCH($C6900,المنيو!$B$2:$B$500,0)),0))</f>
        <v/>
      </c>
      <c r="F6900" s="103" t="str">
        <f aca="false">IF($C6900="","",$D6900*$E6900)</f>
        <v/>
      </c>
      <c r="G6900" s="103" t="str">
        <f aca="false">IF($C6900="","",$D6900*IFERROR(INDEX('تحليل التكلفة والسعر'!$C$2:$C$700,MATCH($C6900,'تحليل التكلفة والسعر'!$B$2:$B$700,0)),0))</f>
        <v/>
      </c>
    </row>
    <row r="6901" customFormat="false" ht="15" hidden="false" customHeight="false" outlineLevel="0" collapsed="false">
      <c r="A6901" s="102"/>
      <c r="E6901" s="103" t="str">
        <f aca="false">IF($C6901="","",IFERROR(INDEX(المنيو!$C$2:$C$500,MATCH($C6901,المنيو!$B$2:$B$500,0)),0))</f>
        <v/>
      </c>
      <c r="F6901" s="103" t="str">
        <f aca="false">IF($C6901="","",$D6901*$E6901)</f>
        <v/>
      </c>
      <c r="G6901" s="103" t="str">
        <f aca="false">IF($C6901="","",$D6901*IFERROR(INDEX('تحليل التكلفة والسعر'!$C$2:$C$700,MATCH($C6901,'تحليل التكلفة والسعر'!$B$2:$B$700,0)),0))</f>
        <v/>
      </c>
    </row>
    <row r="6902" customFormat="false" ht="15" hidden="false" customHeight="false" outlineLevel="0" collapsed="false">
      <c r="A6902" s="102"/>
      <c r="E6902" s="103" t="str">
        <f aca="false">IF($C6902="","",IFERROR(INDEX(المنيو!$C$2:$C$500,MATCH($C6902,المنيو!$B$2:$B$500,0)),0))</f>
        <v/>
      </c>
      <c r="F6902" s="103" t="str">
        <f aca="false">IF($C6902="","",$D6902*$E6902)</f>
        <v/>
      </c>
      <c r="G6902" s="103" t="str">
        <f aca="false">IF($C6902="","",$D6902*IFERROR(INDEX('تحليل التكلفة والسعر'!$C$2:$C$700,MATCH($C6902,'تحليل التكلفة والسعر'!$B$2:$B$700,0)),0))</f>
        <v/>
      </c>
    </row>
    <row r="6903" customFormat="false" ht="15" hidden="false" customHeight="false" outlineLevel="0" collapsed="false">
      <c r="A6903" s="102"/>
      <c r="E6903" s="103" t="str">
        <f aca="false">IF($C6903="","",IFERROR(INDEX(المنيو!$C$2:$C$500,MATCH($C6903,المنيو!$B$2:$B$500,0)),0))</f>
        <v/>
      </c>
      <c r="F6903" s="103" t="str">
        <f aca="false">IF($C6903="","",$D6903*$E6903)</f>
        <v/>
      </c>
      <c r="G6903" s="103" t="str">
        <f aca="false">IF($C6903="","",$D6903*IFERROR(INDEX('تحليل التكلفة والسعر'!$C$2:$C$700,MATCH($C6903,'تحليل التكلفة والسعر'!$B$2:$B$700,0)),0))</f>
        <v/>
      </c>
    </row>
    <row r="6904" customFormat="false" ht="15" hidden="false" customHeight="false" outlineLevel="0" collapsed="false">
      <c r="A6904" s="102"/>
      <c r="E6904" s="103" t="str">
        <f aca="false">IF($C6904="","",IFERROR(INDEX(المنيو!$C$2:$C$500,MATCH($C6904,المنيو!$B$2:$B$500,0)),0))</f>
        <v/>
      </c>
      <c r="F6904" s="103" t="str">
        <f aca="false">IF($C6904="","",$D6904*$E6904)</f>
        <v/>
      </c>
      <c r="G6904" s="103" t="str">
        <f aca="false">IF($C6904="","",$D6904*IFERROR(INDEX('تحليل التكلفة والسعر'!$C$2:$C$700,MATCH($C6904,'تحليل التكلفة والسعر'!$B$2:$B$700,0)),0))</f>
        <v/>
      </c>
    </row>
    <row r="6905" customFormat="false" ht="15" hidden="false" customHeight="false" outlineLevel="0" collapsed="false">
      <c r="A6905" s="102"/>
      <c r="E6905" s="103" t="str">
        <f aca="false">IF($C6905="","",IFERROR(INDEX(المنيو!$C$2:$C$500,MATCH($C6905,المنيو!$B$2:$B$500,0)),0))</f>
        <v/>
      </c>
      <c r="F6905" s="103" t="str">
        <f aca="false">IF($C6905="","",$D6905*$E6905)</f>
        <v/>
      </c>
      <c r="G6905" s="103" t="str">
        <f aca="false">IF($C6905="","",$D6905*IFERROR(INDEX('تحليل التكلفة والسعر'!$C$2:$C$700,MATCH($C6905,'تحليل التكلفة والسعر'!$B$2:$B$700,0)),0))</f>
        <v/>
      </c>
    </row>
    <row r="6906" customFormat="false" ht="15" hidden="false" customHeight="false" outlineLevel="0" collapsed="false">
      <c r="A6906" s="102"/>
      <c r="E6906" s="103" t="str">
        <f aca="false">IF($C6906="","",IFERROR(INDEX(المنيو!$C$2:$C$500,MATCH($C6906,المنيو!$B$2:$B$500,0)),0))</f>
        <v/>
      </c>
      <c r="F6906" s="103" t="str">
        <f aca="false">IF($C6906="","",$D6906*$E6906)</f>
        <v/>
      </c>
      <c r="G6906" s="103" t="str">
        <f aca="false">IF($C6906="","",$D6906*IFERROR(INDEX('تحليل التكلفة والسعر'!$C$2:$C$700,MATCH($C6906,'تحليل التكلفة والسعر'!$B$2:$B$700,0)),0))</f>
        <v/>
      </c>
    </row>
    <row r="6907" customFormat="false" ht="15" hidden="false" customHeight="false" outlineLevel="0" collapsed="false">
      <c r="A6907" s="102"/>
      <c r="E6907" s="103" t="str">
        <f aca="false">IF($C6907="","",IFERROR(INDEX(المنيو!$C$2:$C$500,MATCH($C6907,المنيو!$B$2:$B$500,0)),0))</f>
        <v/>
      </c>
      <c r="F6907" s="103" t="str">
        <f aca="false">IF($C6907="","",$D6907*$E6907)</f>
        <v/>
      </c>
      <c r="G6907" s="103" t="str">
        <f aca="false">IF($C6907="","",$D6907*IFERROR(INDEX('تحليل التكلفة والسعر'!$C$2:$C$700,MATCH($C6907,'تحليل التكلفة والسعر'!$B$2:$B$700,0)),0))</f>
        <v/>
      </c>
    </row>
    <row r="6908" customFormat="false" ht="15" hidden="false" customHeight="false" outlineLevel="0" collapsed="false">
      <c r="A6908" s="102"/>
      <c r="E6908" s="103" t="str">
        <f aca="false">IF($C6908="","",IFERROR(INDEX(المنيو!$C$2:$C$500,MATCH($C6908,المنيو!$B$2:$B$500,0)),0))</f>
        <v/>
      </c>
      <c r="F6908" s="103" t="str">
        <f aca="false">IF($C6908="","",$D6908*$E6908)</f>
        <v/>
      </c>
      <c r="G6908" s="103" t="str">
        <f aca="false">IF($C6908="","",$D6908*IFERROR(INDEX('تحليل التكلفة والسعر'!$C$2:$C$700,MATCH($C6908,'تحليل التكلفة والسعر'!$B$2:$B$700,0)),0))</f>
        <v/>
      </c>
    </row>
    <row r="6909" customFormat="false" ht="15" hidden="false" customHeight="false" outlineLevel="0" collapsed="false">
      <c r="A6909" s="102"/>
      <c r="E6909" s="103" t="str">
        <f aca="false">IF($C6909="","",IFERROR(INDEX(المنيو!$C$2:$C$500,MATCH($C6909,المنيو!$B$2:$B$500,0)),0))</f>
        <v/>
      </c>
      <c r="F6909" s="103" t="str">
        <f aca="false">IF($C6909="","",$D6909*$E6909)</f>
        <v/>
      </c>
      <c r="G6909" s="103" t="str">
        <f aca="false">IF($C6909="","",$D6909*IFERROR(INDEX('تحليل التكلفة والسعر'!$C$2:$C$700,MATCH($C6909,'تحليل التكلفة والسعر'!$B$2:$B$700,0)),0))</f>
        <v/>
      </c>
    </row>
    <row r="6910" customFormat="false" ht="15" hidden="false" customHeight="false" outlineLevel="0" collapsed="false">
      <c r="A6910" s="102"/>
      <c r="E6910" s="103" t="str">
        <f aca="false">IF($C6910="","",IFERROR(INDEX(المنيو!$C$2:$C$500,MATCH($C6910,المنيو!$B$2:$B$500,0)),0))</f>
        <v/>
      </c>
      <c r="F6910" s="103" t="str">
        <f aca="false">IF($C6910="","",$D6910*$E6910)</f>
        <v/>
      </c>
      <c r="G6910" s="103" t="str">
        <f aca="false">IF($C6910="","",$D6910*IFERROR(INDEX('تحليل التكلفة والسعر'!$C$2:$C$700,MATCH($C6910,'تحليل التكلفة والسعر'!$B$2:$B$700,0)),0))</f>
        <v/>
      </c>
    </row>
    <row r="6911" customFormat="false" ht="15" hidden="false" customHeight="false" outlineLevel="0" collapsed="false">
      <c r="A6911" s="102"/>
      <c r="E6911" s="103" t="str">
        <f aca="false">IF($C6911="","",IFERROR(INDEX(المنيو!$C$2:$C$500,MATCH($C6911,المنيو!$B$2:$B$500,0)),0))</f>
        <v/>
      </c>
      <c r="F6911" s="103" t="str">
        <f aca="false">IF($C6911="","",$D6911*$E6911)</f>
        <v/>
      </c>
      <c r="G6911" s="103" t="str">
        <f aca="false">IF($C6911="","",$D6911*IFERROR(INDEX('تحليل التكلفة والسعر'!$C$2:$C$700,MATCH($C6911,'تحليل التكلفة والسعر'!$B$2:$B$700,0)),0))</f>
        <v/>
      </c>
    </row>
    <row r="6912" customFormat="false" ht="15" hidden="false" customHeight="false" outlineLevel="0" collapsed="false">
      <c r="A6912" s="102"/>
      <c r="E6912" s="103" t="str">
        <f aca="false">IF($C6912="","",IFERROR(INDEX(المنيو!$C$2:$C$500,MATCH($C6912,المنيو!$B$2:$B$500,0)),0))</f>
        <v/>
      </c>
      <c r="F6912" s="103" t="str">
        <f aca="false">IF($C6912="","",$D6912*$E6912)</f>
        <v/>
      </c>
      <c r="G6912" s="103" t="str">
        <f aca="false">IF($C6912="","",$D6912*IFERROR(INDEX('تحليل التكلفة والسعر'!$C$2:$C$700,MATCH($C6912,'تحليل التكلفة والسعر'!$B$2:$B$700,0)),0))</f>
        <v/>
      </c>
    </row>
    <row r="6913" customFormat="false" ht="15" hidden="false" customHeight="false" outlineLevel="0" collapsed="false">
      <c r="A6913" s="102"/>
      <c r="E6913" s="103" t="str">
        <f aca="false">IF($C6913="","",IFERROR(INDEX(المنيو!$C$2:$C$500,MATCH($C6913,المنيو!$B$2:$B$500,0)),0))</f>
        <v/>
      </c>
      <c r="F6913" s="103" t="str">
        <f aca="false">IF($C6913="","",$D6913*$E6913)</f>
        <v/>
      </c>
      <c r="G6913" s="103" t="str">
        <f aca="false">IF($C6913="","",$D6913*IFERROR(INDEX('تحليل التكلفة والسعر'!$C$2:$C$700,MATCH($C6913,'تحليل التكلفة والسعر'!$B$2:$B$700,0)),0))</f>
        <v/>
      </c>
    </row>
    <row r="6914" customFormat="false" ht="15" hidden="false" customHeight="false" outlineLevel="0" collapsed="false">
      <c r="A6914" s="102"/>
      <c r="E6914" s="103" t="str">
        <f aca="false">IF($C6914="","",IFERROR(INDEX(المنيو!$C$2:$C$500,MATCH($C6914,المنيو!$B$2:$B$500,0)),0))</f>
        <v/>
      </c>
      <c r="F6914" s="103" t="str">
        <f aca="false">IF($C6914="","",$D6914*$E6914)</f>
        <v/>
      </c>
      <c r="G6914" s="103" t="str">
        <f aca="false">IF($C6914="","",$D6914*IFERROR(INDEX('تحليل التكلفة والسعر'!$C$2:$C$700,MATCH($C6914,'تحليل التكلفة والسعر'!$B$2:$B$700,0)),0))</f>
        <v/>
      </c>
    </row>
    <row r="6915" customFormat="false" ht="15" hidden="false" customHeight="false" outlineLevel="0" collapsed="false">
      <c r="A6915" s="102"/>
      <c r="E6915" s="103" t="str">
        <f aca="false">IF($C6915="","",IFERROR(INDEX(المنيو!$C$2:$C$500,MATCH($C6915,المنيو!$B$2:$B$500,0)),0))</f>
        <v/>
      </c>
      <c r="F6915" s="103" t="str">
        <f aca="false">IF($C6915="","",$D6915*$E6915)</f>
        <v/>
      </c>
      <c r="G6915" s="103" t="str">
        <f aca="false">IF($C6915="","",$D6915*IFERROR(INDEX('تحليل التكلفة والسعر'!$C$2:$C$700,MATCH($C6915,'تحليل التكلفة والسعر'!$B$2:$B$700,0)),0))</f>
        <v/>
      </c>
    </row>
    <row r="6916" customFormat="false" ht="15" hidden="false" customHeight="false" outlineLevel="0" collapsed="false">
      <c r="A6916" s="102"/>
      <c r="E6916" s="103" t="str">
        <f aca="false">IF($C6916="","",IFERROR(INDEX(المنيو!$C$2:$C$500,MATCH($C6916,المنيو!$B$2:$B$500,0)),0))</f>
        <v/>
      </c>
      <c r="F6916" s="103" t="str">
        <f aca="false">IF($C6916="","",$D6916*$E6916)</f>
        <v/>
      </c>
      <c r="G6916" s="103" t="str">
        <f aca="false">IF($C6916="","",$D6916*IFERROR(INDEX('تحليل التكلفة والسعر'!$C$2:$C$700,MATCH($C6916,'تحليل التكلفة والسعر'!$B$2:$B$700,0)),0))</f>
        <v/>
      </c>
    </row>
    <row r="6917" customFormat="false" ht="15" hidden="false" customHeight="false" outlineLevel="0" collapsed="false">
      <c r="A6917" s="102"/>
      <c r="E6917" s="103" t="str">
        <f aca="false">IF($C6917="","",IFERROR(INDEX(المنيو!$C$2:$C$500,MATCH($C6917,المنيو!$B$2:$B$500,0)),0))</f>
        <v/>
      </c>
      <c r="F6917" s="103" t="str">
        <f aca="false">IF($C6917="","",$D6917*$E6917)</f>
        <v/>
      </c>
      <c r="G6917" s="103" t="str">
        <f aca="false">IF($C6917="","",$D6917*IFERROR(INDEX('تحليل التكلفة والسعر'!$C$2:$C$700,MATCH($C6917,'تحليل التكلفة والسعر'!$B$2:$B$700,0)),0))</f>
        <v/>
      </c>
    </row>
    <row r="6918" customFormat="false" ht="15" hidden="false" customHeight="false" outlineLevel="0" collapsed="false">
      <c r="A6918" s="102"/>
      <c r="E6918" s="103" t="str">
        <f aca="false">IF($C6918="","",IFERROR(INDEX(المنيو!$C$2:$C$500,MATCH($C6918,المنيو!$B$2:$B$500,0)),0))</f>
        <v/>
      </c>
      <c r="F6918" s="103" t="str">
        <f aca="false">IF($C6918="","",$D6918*$E6918)</f>
        <v/>
      </c>
      <c r="G6918" s="103" t="str">
        <f aca="false">IF($C6918="","",$D6918*IFERROR(INDEX('تحليل التكلفة والسعر'!$C$2:$C$700,MATCH($C6918,'تحليل التكلفة والسعر'!$B$2:$B$700,0)),0))</f>
        <v/>
      </c>
    </row>
    <row r="6919" customFormat="false" ht="15" hidden="false" customHeight="false" outlineLevel="0" collapsed="false">
      <c r="A6919" s="102"/>
      <c r="E6919" s="103" t="str">
        <f aca="false">IF($C6919="","",IFERROR(INDEX(المنيو!$C$2:$C$500,MATCH($C6919,المنيو!$B$2:$B$500,0)),0))</f>
        <v/>
      </c>
      <c r="F6919" s="103" t="str">
        <f aca="false">IF($C6919="","",$D6919*$E6919)</f>
        <v/>
      </c>
      <c r="G6919" s="103" t="str">
        <f aca="false">IF($C6919="","",$D6919*IFERROR(INDEX('تحليل التكلفة والسعر'!$C$2:$C$700,MATCH($C6919,'تحليل التكلفة والسعر'!$B$2:$B$700,0)),0))</f>
        <v/>
      </c>
    </row>
    <row r="6920" customFormat="false" ht="15" hidden="false" customHeight="false" outlineLevel="0" collapsed="false">
      <c r="A6920" s="102"/>
      <c r="E6920" s="103" t="str">
        <f aca="false">IF($C6920="","",IFERROR(INDEX(المنيو!$C$2:$C$500,MATCH($C6920,المنيو!$B$2:$B$500,0)),0))</f>
        <v/>
      </c>
      <c r="F6920" s="103" t="str">
        <f aca="false">IF($C6920="","",$D6920*$E6920)</f>
        <v/>
      </c>
      <c r="G6920" s="103" t="str">
        <f aca="false">IF($C6920="","",$D6920*IFERROR(INDEX('تحليل التكلفة والسعر'!$C$2:$C$700,MATCH($C6920,'تحليل التكلفة والسعر'!$B$2:$B$700,0)),0))</f>
        <v/>
      </c>
    </row>
    <row r="6921" customFormat="false" ht="15" hidden="false" customHeight="false" outlineLevel="0" collapsed="false">
      <c r="A6921" s="102"/>
      <c r="E6921" s="103" t="str">
        <f aca="false">IF($C6921="","",IFERROR(INDEX(المنيو!$C$2:$C$500,MATCH($C6921,المنيو!$B$2:$B$500,0)),0))</f>
        <v/>
      </c>
      <c r="F6921" s="103" t="str">
        <f aca="false">IF($C6921="","",$D6921*$E6921)</f>
        <v/>
      </c>
      <c r="G6921" s="103" t="str">
        <f aca="false">IF($C6921="","",$D6921*IFERROR(INDEX('تحليل التكلفة والسعر'!$C$2:$C$700,MATCH($C6921,'تحليل التكلفة والسعر'!$B$2:$B$700,0)),0))</f>
        <v/>
      </c>
    </row>
    <row r="6922" customFormat="false" ht="15" hidden="false" customHeight="false" outlineLevel="0" collapsed="false">
      <c r="A6922" s="102"/>
      <c r="E6922" s="103" t="str">
        <f aca="false">IF($C6922="","",IFERROR(INDEX(المنيو!$C$2:$C$500,MATCH($C6922,المنيو!$B$2:$B$500,0)),0))</f>
        <v/>
      </c>
      <c r="F6922" s="103" t="str">
        <f aca="false">IF($C6922="","",$D6922*$E6922)</f>
        <v/>
      </c>
      <c r="G6922" s="103" t="str">
        <f aca="false">IF($C6922="","",$D6922*IFERROR(INDEX('تحليل التكلفة والسعر'!$C$2:$C$700,MATCH($C6922,'تحليل التكلفة والسعر'!$B$2:$B$700,0)),0))</f>
        <v/>
      </c>
    </row>
    <row r="6923" customFormat="false" ht="15" hidden="false" customHeight="false" outlineLevel="0" collapsed="false">
      <c r="A6923" s="102"/>
      <c r="E6923" s="103" t="str">
        <f aca="false">IF($C6923="","",IFERROR(INDEX(المنيو!$C$2:$C$500,MATCH($C6923,المنيو!$B$2:$B$500,0)),0))</f>
        <v/>
      </c>
      <c r="F6923" s="103" t="str">
        <f aca="false">IF($C6923="","",$D6923*$E6923)</f>
        <v/>
      </c>
      <c r="G6923" s="103" t="str">
        <f aca="false">IF($C6923="","",$D6923*IFERROR(INDEX('تحليل التكلفة والسعر'!$C$2:$C$700,MATCH($C6923,'تحليل التكلفة والسعر'!$B$2:$B$700,0)),0))</f>
        <v/>
      </c>
    </row>
    <row r="6924" customFormat="false" ht="15" hidden="false" customHeight="false" outlineLevel="0" collapsed="false">
      <c r="A6924" s="102"/>
      <c r="E6924" s="103" t="str">
        <f aca="false">IF($C6924="","",IFERROR(INDEX(المنيو!$C$2:$C$500,MATCH($C6924,المنيو!$B$2:$B$500,0)),0))</f>
        <v/>
      </c>
      <c r="F6924" s="103" t="str">
        <f aca="false">IF($C6924="","",$D6924*$E6924)</f>
        <v/>
      </c>
      <c r="G6924" s="103" t="str">
        <f aca="false">IF($C6924="","",$D6924*IFERROR(INDEX('تحليل التكلفة والسعر'!$C$2:$C$700,MATCH($C6924,'تحليل التكلفة والسعر'!$B$2:$B$700,0)),0))</f>
        <v/>
      </c>
    </row>
    <row r="6925" customFormat="false" ht="15" hidden="false" customHeight="false" outlineLevel="0" collapsed="false">
      <c r="A6925" s="102"/>
      <c r="E6925" s="103" t="str">
        <f aca="false">IF($C6925="","",IFERROR(INDEX(المنيو!$C$2:$C$500,MATCH($C6925,المنيو!$B$2:$B$500,0)),0))</f>
        <v/>
      </c>
      <c r="F6925" s="103" t="str">
        <f aca="false">IF($C6925="","",$D6925*$E6925)</f>
        <v/>
      </c>
      <c r="G6925" s="103" t="str">
        <f aca="false">IF($C6925="","",$D6925*IFERROR(INDEX('تحليل التكلفة والسعر'!$C$2:$C$700,MATCH($C6925,'تحليل التكلفة والسعر'!$B$2:$B$700,0)),0))</f>
        <v/>
      </c>
    </row>
    <row r="6926" customFormat="false" ht="15" hidden="false" customHeight="false" outlineLevel="0" collapsed="false">
      <c r="A6926" s="102"/>
      <c r="E6926" s="103" t="str">
        <f aca="false">IF($C6926="","",IFERROR(INDEX(المنيو!$C$2:$C$500,MATCH($C6926,المنيو!$B$2:$B$500,0)),0))</f>
        <v/>
      </c>
      <c r="F6926" s="103" t="str">
        <f aca="false">IF($C6926="","",$D6926*$E6926)</f>
        <v/>
      </c>
      <c r="G6926" s="103" t="str">
        <f aca="false">IF($C6926="","",$D6926*IFERROR(INDEX('تحليل التكلفة والسعر'!$C$2:$C$700,MATCH($C6926,'تحليل التكلفة والسعر'!$B$2:$B$700,0)),0))</f>
        <v/>
      </c>
    </row>
    <row r="6927" customFormat="false" ht="15" hidden="false" customHeight="false" outlineLevel="0" collapsed="false">
      <c r="A6927" s="102"/>
      <c r="E6927" s="103" t="str">
        <f aca="false">IF($C6927="","",IFERROR(INDEX(المنيو!$C$2:$C$500,MATCH($C6927,المنيو!$B$2:$B$500,0)),0))</f>
        <v/>
      </c>
      <c r="F6927" s="103" t="str">
        <f aca="false">IF($C6927="","",$D6927*$E6927)</f>
        <v/>
      </c>
      <c r="G6927" s="103" t="str">
        <f aca="false">IF($C6927="","",$D6927*IFERROR(INDEX('تحليل التكلفة والسعر'!$C$2:$C$700,MATCH($C6927,'تحليل التكلفة والسعر'!$B$2:$B$700,0)),0))</f>
        <v/>
      </c>
    </row>
    <row r="6928" customFormat="false" ht="15" hidden="false" customHeight="false" outlineLevel="0" collapsed="false">
      <c r="A6928" s="102"/>
      <c r="E6928" s="103" t="str">
        <f aca="false">IF($C6928="","",IFERROR(INDEX(المنيو!$C$2:$C$500,MATCH($C6928,المنيو!$B$2:$B$500,0)),0))</f>
        <v/>
      </c>
      <c r="F6928" s="103" t="str">
        <f aca="false">IF($C6928="","",$D6928*$E6928)</f>
        <v/>
      </c>
      <c r="G6928" s="103" t="str">
        <f aca="false">IF($C6928="","",$D6928*IFERROR(INDEX('تحليل التكلفة والسعر'!$C$2:$C$700,MATCH($C6928,'تحليل التكلفة والسعر'!$B$2:$B$700,0)),0))</f>
        <v/>
      </c>
    </row>
    <row r="6929" customFormat="false" ht="15" hidden="false" customHeight="false" outlineLevel="0" collapsed="false">
      <c r="A6929" s="102"/>
      <c r="E6929" s="103" t="str">
        <f aca="false">IF($C6929="","",IFERROR(INDEX(المنيو!$C$2:$C$500,MATCH($C6929,المنيو!$B$2:$B$500,0)),0))</f>
        <v/>
      </c>
      <c r="F6929" s="103" t="str">
        <f aca="false">IF($C6929="","",$D6929*$E6929)</f>
        <v/>
      </c>
      <c r="G6929" s="103" t="str">
        <f aca="false">IF($C6929="","",$D6929*IFERROR(INDEX('تحليل التكلفة والسعر'!$C$2:$C$700,MATCH($C6929,'تحليل التكلفة والسعر'!$B$2:$B$700,0)),0))</f>
        <v/>
      </c>
    </row>
    <row r="6930" customFormat="false" ht="15" hidden="false" customHeight="false" outlineLevel="0" collapsed="false">
      <c r="A6930" s="102"/>
      <c r="E6930" s="103" t="str">
        <f aca="false">IF($C6930="","",IFERROR(INDEX(المنيو!$C$2:$C$500,MATCH($C6930,المنيو!$B$2:$B$500,0)),0))</f>
        <v/>
      </c>
      <c r="F6930" s="103" t="str">
        <f aca="false">IF($C6930="","",$D6930*$E6930)</f>
        <v/>
      </c>
      <c r="G6930" s="103" t="str">
        <f aca="false">IF($C6930="","",$D6930*IFERROR(INDEX('تحليل التكلفة والسعر'!$C$2:$C$700,MATCH($C6930,'تحليل التكلفة والسعر'!$B$2:$B$700,0)),0))</f>
        <v/>
      </c>
    </row>
    <row r="6931" customFormat="false" ht="15" hidden="false" customHeight="false" outlineLevel="0" collapsed="false">
      <c r="A6931" s="102"/>
      <c r="E6931" s="103" t="str">
        <f aca="false">IF($C6931="","",IFERROR(INDEX(المنيو!$C$2:$C$500,MATCH($C6931,المنيو!$B$2:$B$500,0)),0))</f>
        <v/>
      </c>
      <c r="F6931" s="103" t="str">
        <f aca="false">IF($C6931="","",$D6931*$E6931)</f>
        <v/>
      </c>
      <c r="G6931" s="103" t="str">
        <f aca="false">IF($C6931="","",$D6931*IFERROR(INDEX('تحليل التكلفة والسعر'!$C$2:$C$700,MATCH($C6931,'تحليل التكلفة والسعر'!$B$2:$B$700,0)),0))</f>
        <v/>
      </c>
    </row>
    <row r="6932" customFormat="false" ht="15" hidden="false" customHeight="false" outlineLevel="0" collapsed="false">
      <c r="A6932" s="102"/>
      <c r="E6932" s="103" t="str">
        <f aca="false">IF($C6932="","",IFERROR(INDEX(المنيو!$C$2:$C$500,MATCH($C6932,المنيو!$B$2:$B$500,0)),0))</f>
        <v/>
      </c>
      <c r="F6932" s="103" t="str">
        <f aca="false">IF($C6932="","",$D6932*$E6932)</f>
        <v/>
      </c>
      <c r="G6932" s="103" t="str">
        <f aca="false">IF($C6932="","",$D6932*IFERROR(INDEX('تحليل التكلفة والسعر'!$C$2:$C$700,MATCH($C6932,'تحليل التكلفة والسعر'!$B$2:$B$700,0)),0))</f>
        <v/>
      </c>
    </row>
    <row r="6933" customFormat="false" ht="15" hidden="false" customHeight="false" outlineLevel="0" collapsed="false">
      <c r="A6933" s="102"/>
      <c r="E6933" s="103" t="str">
        <f aca="false">IF($C6933="","",IFERROR(INDEX(المنيو!$C$2:$C$500,MATCH($C6933,المنيو!$B$2:$B$500,0)),0))</f>
        <v/>
      </c>
      <c r="F6933" s="103" t="str">
        <f aca="false">IF($C6933="","",$D6933*$E6933)</f>
        <v/>
      </c>
      <c r="G6933" s="103" t="str">
        <f aca="false">IF($C6933="","",$D6933*IFERROR(INDEX('تحليل التكلفة والسعر'!$C$2:$C$700,MATCH($C6933,'تحليل التكلفة والسعر'!$B$2:$B$700,0)),0))</f>
        <v/>
      </c>
    </row>
    <row r="6934" customFormat="false" ht="15" hidden="false" customHeight="false" outlineLevel="0" collapsed="false">
      <c r="A6934" s="102"/>
      <c r="E6934" s="103" t="str">
        <f aca="false">IF($C6934="","",IFERROR(INDEX(المنيو!$C$2:$C$500,MATCH($C6934,المنيو!$B$2:$B$500,0)),0))</f>
        <v/>
      </c>
      <c r="F6934" s="103" t="str">
        <f aca="false">IF($C6934="","",$D6934*$E6934)</f>
        <v/>
      </c>
      <c r="G6934" s="103" t="str">
        <f aca="false">IF($C6934="","",$D6934*IFERROR(INDEX('تحليل التكلفة والسعر'!$C$2:$C$700,MATCH($C6934,'تحليل التكلفة والسعر'!$B$2:$B$700,0)),0))</f>
        <v/>
      </c>
    </row>
    <row r="6935" customFormat="false" ht="15" hidden="false" customHeight="false" outlineLevel="0" collapsed="false">
      <c r="A6935" s="102"/>
      <c r="E6935" s="103" t="str">
        <f aca="false">IF($C6935="","",IFERROR(INDEX(المنيو!$C$2:$C$500,MATCH($C6935,المنيو!$B$2:$B$500,0)),0))</f>
        <v/>
      </c>
      <c r="F6935" s="103" t="str">
        <f aca="false">IF($C6935="","",$D6935*$E6935)</f>
        <v/>
      </c>
      <c r="G6935" s="103" t="str">
        <f aca="false">IF($C6935="","",$D6935*IFERROR(INDEX('تحليل التكلفة والسعر'!$C$2:$C$700,MATCH($C6935,'تحليل التكلفة والسعر'!$B$2:$B$700,0)),0))</f>
        <v/>
      </c>
    </row>
    <row r="6936" customFormat="false" ht="15" hidden="false" customHeight="false" outlineLevel="0" collapsed="false">
      <c r="A6936" s="102"/>
      <c r="E6936" s="103" t="str">
        <f aca="false">IF($C6936="","",IFERROR(INDEX(المنيو!$C$2:$C$500,MATCH($C6936,المنيو!$B$2:$B$500,0)),0))</f>
        <v/>
      </c>
      <c r="F6936" s="103" t="str">
        <f aca="false">IF($C6936="","",$D6936*$E6936)</f>
        <v/>
      </c>
      <c r="G6936" s="103" t="str">
        <f aca="false">IF($C6936="","",$D6936*IFERROR(INDEX('تحليل التكلفة والسعر'!$C$2:$C$700,MATCH($C6936,'تحليل التكلفة والسعر'!$B$2:$B$700,0)),0))</f>
        <v/>
      </c>
    </row>
    <row r="6937" customFormat="false" ht="15" hidden="false" customHeight="false" outlineLevel="0" collapsed="false">
      <c r="A6937" s="102"/>
      <c r="E6937" s="103" t="str">
        <f aca="false">IF($C6937="","",IFERROR(INDEX(المنيو!$C$2:$C$500,MATCH($C6937,المنيو!$B$2:$B$500,0)),0))</f>
        <v/>
      </c>
      <c r="F6937" s="103" t="str">
        <f aca="false">IF($C6937="","",$D6937*$E6937)</f>
        <v/>
      </c>
      <c r="G6937" s="103" t="str">
        <f aca="false">IF($C6937="","",$D6937*IFERROR(INDEX('تحليل التكلفة والسعر'!$C$2:$C$700,MATCH($C6937,'تحليل التكلفة والسعر'!$B$2:$B$700,0)),0))</f>
        <v/>
      </c>
    </row>
    <row r="6938" customFormat="false" ht="15" hidden="false" customHeight="false" outlineLevel="0" collapsed="false">
      <c r="A6938" s="102"/>
      <c r="E6938" s="103" t="str">
        <f aca="false">IF($C6938="","",IFERROR(INDEX(المنيو!$C$2:$C$500,MATCH($C6938,المنيو!$B$2:$B$500,0)),0))</f>
        <v/>
      </c>
      <c r="F6938" s="103" t="str">
        <f aca="false">IF($C6938="","",$D6938*$E6938)</f>
        <v/>
      </c>
      <c r="G6938" s="103" t="str">
        <f aca="false">IF($C6938="","",$D6938*IFERROR(INDEX('تحليل التكلفة والسعر'!$C$2:$C$700,MATCH($C6938,'تحليل التكلفة والسعر'!$B$2:$B$700,0)),0))</f>
        <v/>
      </c>
    </row>
    <row r="6939" customFormat="false" ht="15" hidden="false" customHeight="false" outlineLevel="0" collapsed="false">
      <c r="A6939" s="102"/>
      <c r="E6939" s="103" t="str">
        <f aca="false">IF($C6939="","",IFERROR(INDEX(المنيو!$C$2:$C$500,MATCH($C6939,المنيو!$B$2:$B$500,0)),0))</f>
        <v/>
      </c>
      <c r="F6939" s="103" t="str">
        <f aca="false">IF($C6939="","",$D6939*$E6939)</f>
        <v/>
      </c>
      <c r="G6939" s="103" t="str">
        <f aca="false">IF($C6939="","",$D6939*IFERROR(INDEX('تحليل التكلفة والسعر'!$C$2:$C$700,MATCH($C6939,'تحليل التكلفة والسعر'!$B$2:$B$700,0)),0))</f>
        <v/>
      </c>
    </row>
    <row r="6940" customFormat="false" ht="15" hidden="false" customHeight="false" outlineLevel="0" collapsed="false">
      <c r="A6940" s="102"/>
      <c r="E6940" s="103" t="str">
        <f aca="false">IF($C6940="","",IFERROR(INDEX(المنيو!$C$2:$C$500,MATCH($C6940,المنيو!$B$2:$B$500,0)),0))</f>
        <v/>
      </c>
      <c r="F6940" s="103" t="str">
        <f aca="false">IF($C6940="","",$D6940*$E6940)</f>
        <v/>
      </c>
      <c r="G6940" s="103" t="str">
        <f aca="false">IF($C6940="","",$D6940*IFERROR(INDEX('تحليل التكلفة والسعر'!$C$2:$C$700,MATCH($C6940,'تحليل التكلفة والسعر'!$B$2:$B$700,0)),0))</f>
        <v/>
      </c>
    </row>
    <row r="6941" customFormat="false" ht="15" hidden="false" customHeight="false" outlineLevel="0" collapsed="false">
      <c r="A6941" s="102"/>
      <c r="E6941" s="103" t="str">
        <f aca="false">IF($C6941="","",IFERROR(INDEX(المنيو!$C$2:$C$500,MATCH($C6941,المنيو!$B$2:$B$500,0)),0))</f>
        <v/>
      </c>
      <c r="F6941" s="103" t="str">
        <f aca="false">IF($C6941="","",$D6941*$E6941)</f>
        <v/>
      </c>
      <c r="G6941" s="103" t="str">
        <f aca="false">IF($C6941="","",$D6941*IFERROR(INDEX('تحليل التكلفة والسعر'!$C$2:$C$700,MATCH($C6941,'تحليل التكلفة والسعر'!$B$2:$B$700,0)),0))</f>
        <v/>
      </c>
    </row>
    <row r="6942" customFormat="false" ht="15" hidden="false" customHeight="false" outlineLevel="0" collapsed="false">
      <c r="A6942" s="102"/>
      <c r="E6942" s="103" t="str">
        <f aca="false">IF($C6942="","",IFERROR(INDEX(المنيو!$C$2:$C$500,MATCH($C6942,المنيو!$B$2:$B$500,0)),0))</f>
        <v/>
      </c>
      <c r="F6942" s="103" t="str">
        <f aca="false">IF($C6942="","",$D6942*$E6942)</f>
        <v/>
      </c>
      <c r="G6942" s="103" t="str">
        <f aca="false">IF($C6942="","",$D6942*IFERROR(INDEX('تحليل التكلفة والسعر'!$C$2:$C$700,MATCH($C6942,'تحليل التكلفة والسعر'!$B$2:$B$700,0)),0))</f>
        <v/>
      </c>
    </row>
    <row r="6943" customFormat="false" ht="15" hidden="false" customHeight="false" outlineLevel="0" collapsed="false">
      <c r="A6943" s="102"/>
      <c r="E6943" s="103" t="str">
        <f aca="false">IF($C6943="","",IFERROR(INDEX(المنيو!$C$2:$C$500,MATCH($C6943,المنيو!$B$2:$B$500,0)),0))</f>
        <v/>
      </c>
      <c r="F6943" s="103" t="str">
        <f aca="false">IF($C6943="","",$D6943*$E6943)</f>
        <v/>
      </c>
      <c r="G6943" s="103" t="str">
        <f aca="false">IF($C6943="","",$D6943*IFERROR(INDEX('تحليل التكلفة والسعر'!$C$2:$C$700,MATCH($C6943,'تحليل التكلفة والسعر'!$B$2:$B$700,0)),0))</f>
        <v/>
      </c>
    </row>
    <row r="6944" customFormat="false" ht="15" hidden="false" customHeight="false" outlineLevel="0" collapsed="false">
      <c r="A6944" s="102"/>
      <c r="E6944" s="103" t="str">
        <f aca="false">IF($C6944="","",IFERROR(INDEX(المنيو!$C$2:$C$500,MATCH($C6944,المنيو!$B$2:$B$500,0)),0))</f>
        <v/>
      </c>
      <c r="F6944" s="103" t="str">
        <f aca="false">IF($C6944="","",$D6944*$E6944)</f>
        <v/>
      </c>
      <c r="G6944" s="103" t="str">
        <f aca="false">IF($C6944="","",$D6944*IFERROR(INDEX('تحليل التكلفة والسعر'!$C$2:$C$700,MATCH($C6944,'تحليل التكلفة والسعر'!$B$2:$B$700,0)),0))</f>
        <v/>
      </c>
    </row>
    <row r="6945" customFormat="false" ht="15" hidden="false" customHeight="false" outlineLevel="0" collapsed="false">
      <c r="A6945" s="102"/>
      <c r="E6945" s="103" t="str">
        <f aca="false">IF($C6945="","",IFERROR(INDEX(المنيو!$C$2:$C$500,MATCH($C6945,المنيو!$B$2:$B$500,0)),0))</f>
        <v/>
      </c>
      <c r="F6945" s="103" t="str">
        <f aca="false">IF($C6945="","",$D6945*$E6945)</f>
        <v/>
      </c>
      <c r="G6945" s="103" t="str">
        <f aca="false">IF($C6945="","",$D6945*IFERROR(INDEX('تحليل التكلفة والسعر'!$C$2:$C$700,MATCH($C6945,'تحليل التكلفة والسعر'!$B$2:$B$700,0)),0))</f>
        <v/>
      </c>
    </row>
    <row r="6946" customFormat="false" ht="15" hidden="false" customHeight="false" outlineLevel="0" collapsed="false">
      <c r="A6946" s="102"/>
      <c r="E6946" s="103" t="str">
        <f aca="false">IF($C6946="","",IFERROR(INDEX(المنيو!$C$2:$C$500,MATCH($C6946,المنيو!$B$2:$B$500,0)),0))</f>
        <v/>
      </c>
      <c r="F6946" s="103" t="str">
        <f aca="false">IF($C6946="","",$D6946*$E6946)</f>
        <v/>
      </c>
      <c r="G6946" s="103" t="str">
        <f aca="false">IF($C6946="","",$D6946*IFERROR(INDEX('تحليل التكلفة والسعر'!$C$2:$C$700,MATCH($C6946,'تحليل التكلفة والسعر'!$B$2:$B$700,0)),0))</f>
        <v/>
      </c>
    </row>
    <row r="6947" customFormat="false" ht="15" hidden="false" customHeight="false" outlineLevel="0" collapsed="false">
      <c r="A6947" s="102"/>
      <c r="E6947" s="103" t="str">
        <f aca="false">IF($C6947="","",IFERROR(INDEX(المنيو!$C$2:$C$500,MATCH($C6947,المنيو!$B$2:$B$500,0)),0))</f>
        <v/>
      </c>
      <c r="F6947" s="103" t="str">
        <f aca="false">IF($C6947="","",$D6947*$E6947)</f>
        <v/>
      </c>
      <c r="G6947" s="103" t="str">
        <f aca="false">IF($C6947="","",$D6947*IFERROR(INDEX('تحليل التكلفة والسعر'!$C$2:$C$700,MATCH($C6947,'تحليل التكلفة والسعر'!$B$2:$B$700,0)),0))</f>
        <v/>
      </c>
    </row>
    <row r="6948" customFormat="false" ht="15" hidden="false" customHeight="false" outlineLevel="0" collapsed="false">
      <c r="A6948" s="102"/>
      <c r="E6948" s="103" t="str">
        <f aca="false">IF($C6948="","",IFERROR(INDEX(المنيو!$C$2:$C$500,MATCH($C6948,المنيو!$B$2:$B$500,0)),0))</f>
        <v/>
      </c>
      <c r="F6948" s="103" t="str">
        <f aca="false">IF($C6948="","",$D6948*$E6948)</f>
        <v/>
      </c>
      <c r="G6948" s="103" t="str">
        <f aca="false">IF($C6948="","",$D6948*IFERROR(INDEX('تحليل التكلفة والسعر'!$C$2:$C$700,MATCH($C6948,'تحليل التكلفة والسعر'!$B$2:$B$700,0)),0))</f>
        <v/>
      </c>
    </row>
    <row r="6949" customFormat="false" ht="15" hidden="false" customHeight="false" outlineLevel="0" collapsed="false">
      <c r="A6949" s="102"/>
      <c r="E6949" s="103" t="str">
        <f aca="false">IF($C6949="","",IFERROR(INDEX(المنيو!$C$2:$C$500,MATCH($C6949,المنيو!$B$2:$B$500,0)),0))</f>
        <v/>
      </c>
      <c r="F6949" s="103" t="str">
        <f aca="false">IF($C6949="","",$D6949*$E6949)</f>
        <v/>
      </c>
      <c r="G6949" s="103" t="str">
        <f aca="false">IF($C6949="","",$D6949*IFERROR(INDEX('تحليل التكلفة والسعر'!$C$2:$C$700,MATCH($C6949,'تحليل التكلفة والسعر'!$B$2:$B$700,0)),0))</f>
        <v/>
      </c>
    </row>
    <row r="6950" customFormat="false" ht="15" hidden="false" customHeight="false" outlineLevel="0" collapsed="false">
      <c r="A6950" s="102"/>
      <c r="E6950" s="103" t="str">
        <f aca="false">IF($C6950="","",IFERROR(INDEX(المنيو!$C$2:$C$500,MATCH($C6950,المنيو!$B$2:$B$500,0)),0))</f>
        <v/>
      </c>
      <c r="F6950" s="103" t="str">
        <f aca="false">IF($C6950="","",$D6950*$E6950)</f>
        <v/>
      </c>
      <c r="G6950" s="103" t="str">
        <f aca="false">IF($C6950="","",$D6950*IFERROR(INDEX('تحليل التكلفة والسعر'!$C$2:$C$700,MATCH($C6950,'تحليل التكلفة والسعر'!$B$2:$B$700,0)),0))</f>
        <v/>
      </c>
    </row>
    <row r="6951" customFormat="false" ht="15" hidden="false" customHeight="false" outlineLevel="0" collapsed="false">
      <c r="A6951" s="102"/>
      <c r="E6951" s="103" t="str">
        <f aca="false">IF($C6951="","",IFERROR(INDEX(المنيو!$C$2:$C$500,MATCH($C6951,المنيو!$B$2:$B$500,0)),0))</f>
        <v/>
      </c>
      <c r="F6951" s="103" t="str">
        <f aca="false">IF($C6951="","",$D6951*$E6951)</f>
        <v/>
      </c>
      <c r="G6951" s="103" t="str">
        <f aca="false">IF($C6951="","",$D6951*IFERROR(INDEX('تحليل التكلفة والسعر'!$C$2:$C$700,MATCH($C6951,'تحليل التكلفة والسعر'!$B$2:$B$700,0)),0))</f>
        <v/>
      </c>
    </row>
    <row r="6952" customFormat="false" ht="15" hidden="false" customHeight="false" outlineLevel="0" collapsed="false">
      <c r="A6952" s="102"/>
      <c r="E6952" s="103" t="str">
        <f aca="false">IF($C6952="","",IFERROR(INDEX(المنيو!$C$2:$C$500,MATCH($C6952,المنيو!$B$2:$B$500,0)),0))</f>
        <v/>
      </c>
      <c r="F6952" s="103" t="str">
        <f aca="false">IF($C6952="","",$D6952*$E6952)</f>
        <v/>
      </c>
      <c r="G6952" s="103" t="str">
        <f aca="false">IF($C6952="","",$D6952*IFERROR(INDEX('تحليل التكلفة والسعر'!$C$2:$C$700,MATCH($C6952,'تحليل التكلفة والسعر'!$B$2:$B$700,0)),0))</f>
        <v/>
      </c>
    </row>
    <row r="6953" customFormat="false" ht="15" hidden="false" customHeight="false" outlineLevel="0" collapsed="false">
      <c r="A6953" s="102"/>
      <c r="E6953" s="103" t="str">
        <f aca="false">IF($C6953="","",IFERROR(INDEX(المنيو!$C$2:$C$500,MATCH($C6953,المنيو!$B$2:$B$500,0)),0))</f>
        <v/>
      </c>
      <c r="F6953" s="103" t="str">
        <f aca="false">IF($C6953="","",$D6953*$E6953)</f>
        <v/>
      </c>
      <c r="G6953" s="103" t="str">
        <f aca="false">IF($C6953="","",$D6953*IFERROR(INDEX('تحليل التكلفة والسعر'!$C$2:$C$700,MATCH($C6953,'تحليل التكلفة والسعر'!$B$2:$B$700,0)),0))</f>
        <v/>
      </c>
    </row>
    <row r="6954" customFormat="false" ht="15" hidden="false" customHeight="false" outlineLevel="0" collapsed="false">
      <c r="A6954" s="102"/>
      <c r="E6954" s="103" t="str">
        <f aca="false">IF($C6954="","",IFERROR(INDEX(المنيو!$C$2:$C$500,MATCH($C6954,المنيو!$B$2:$B$500,0)),0))</f>
        <v/>
      </c>
      <c r="F6954" s="103" t="str">
        <f aca="false">IF($C6954="","",$D6954*$E6954)</f>
        <v/>
      </c>
      <c r="G6954" s="103" t="str">
        <f aca="false">IF($C6954="","",$D6954*IFERROR(INDEX('تحليل التكلفة والسعر'!$C$2:$C$700,MATCH($C6954,'تحليل التكلفة والسعر'!$B$2:$B$700,0)),0))</f>
        <v/>
      </c>
    </row>
    <row r="6955" customFormat="false" ht="15" hidden="false" customHeight="false" outlineLevel="0" collapsed="false">
      <c r="A6955" s="102"/>
      <c r="E6955" s="103" t="str">
        <f aca="false">IF($C6955="","",IFERROR(INDEX(المنيو!$C$2:$C$500,MATCH($C6955,المنيو!$B$2:$B$500,0)),0))</f>
        <v/>
      </c>
      <c r="F6955" s="103" t="str">
        <f aca="false">IF($C6955="","",$D6955*$E6955)</f>
        <v/>
      </c>
      <c r="G6955" s="103" t="str">
        <f aca="false">IF($C6955="","",$D6955*IFERROR(INDEX('تحليل التكلفة والسعر'!$C$2:$C$700,MATCH($C6955,'تحليل التكلفة والسعر'!$B$2:$B$700,0)),0))</f>
        <v/>
      </c>
    </row>
    <row r="6956" customFormat="false" ht="15" hidden="false" customHeight="false" outlineLevel="0" collapsed="false">
      <c r="A6956" s="102"/>
      <c r="E6956" s="103" t="str">
        <f aca="false">IF($C6956="","",IFERROR(INDEX(المنيو!$C$2:$C$500,MATCH($C6956,المنيو!$B$2:$B$500,0)),0))</f>
        <v/>
      </c>
      <c r="F6956" s="103" t="str">
        <f aca="false">IF($C6956="","",$D6956*$E6956)</f>
        <v/>
      </c>
      <c r="G6956" s="103" t="str">
        <f aca="false">IF($C6956="","",$D6956*IFERROR(INDEX('تحليل التكلفة والسعر'!$C$2:$C$700,MATCH($C6956,'تحليل التكلفة والسعر'!$B$2:$B$700,0)),0))</f>
        <v/>
      </c>
    </row>
    <row r="6957" customFormat="false" ht="15" hidden="false" customHeight="false" outlineLevel="0" collapsed="false">
      <c r="A6957" s="102"/>
      <c r="E6957" s="103" t="str">
        <f aca="false">IF($C6957="","",IFERROR(INDEX(المنيو!$C$2:$C$500,MATCH($C6957,المنيو!$B$2:$B$500,0)),0))</f>
        <v/>
      </c>
      <c r="F6957" s="103" t="str">
        <f aca="false">IF($C6957="","",$D6957*$E6957)</f>
        <v/>
      </c>
      <c r="G6957" s="103" t="str">
        <f aca="false">IF($C6957="","",$D6957*IFERROR(INDEX('تحليل التكلفة والسعر'!$C$2:$C$700,MATCH($C6957,'تحليل التكلفة والسعر'!$B$2:$B$700,0)),0))</f>
        <v/>
      </c>
    </row>
    <row r="6958" customFormat="false" ht="15" hidden="false" customHeight="false" outlineLevel="0" collapsed="false">
      <c r="A6958" s="102"/>
      <c r="E6958" s="103" t="str">
        <f aca="false">IF($C6958="","",IFERROR(INDEX(المنيو!$C$2:$C$500,MATCH($C6958,المنيو!$B$2:$B$500,0)),0))</f>
        <v/>
      </c>
      <c r="F6958" s="103" t="str">
        <f aca="false">IF($C6958="","",$D6958*$E6958)</f>
        <v/>
      </c>
      <c r="G6958" s="103" t="str">
        <f aca="false">IF($C6958="","",$D6958*IFERROR(INDEX('تحليل التكلفة والسعر'!$C$2:$C$700,MATCH($C6958,'تحليل التكلفة والسعر'!$B$2:$B$700,0)),0))</f>
        <v/>
      </c>
    </row>
    <row r="6959" customFormat="false" ht="15" hidden="false" customHeight="false" outlineLevel="0" collapsed="false">
      <c r="A6959" s="102"/>
      <c r="E6959" s="103" t="str">
        <f aca="false">IF($C6959="","",IFERROR(INDEX(المنيو!$C$2:$C$500,MATCH($C6959,المنيو!$B$2:$B$500,0)),0))</f>
        <v/>
      </c>
      <c r="F6959" s="103" t="str">
        <f aca="false">IF($C6959="","",$D6959*$E6959)</f>
        <v/>
      </c>
      <c r="G6959" s="103" t="str">
        <f aca="false">IF($C6959="","",$D6959*IFERROR(INDEX('تحليل التكلفة والسعر'!$C$2:$C$700,MATCH($C6959,'تحليل التكلفة والسعر'!$B$2:$B$700,0)),0))</f>
        <v/>
      </c>
    </row>
    <row r="6960" customFormat="false" ht="15" hidden="false" customHeight="false" outlineLevel="0" collapsed="false">
      <c r="A6960" s="102"/>
      <c r="E6960" s="103" t="str">
        <f aca="false">IF($C6960="","",IFERROR(INDEX(المنيو!$C$2:$C$500,MATCH($C6960,المنيو!$B$2:$B$500,0)),0))</f>
        <v/>
      </c>
      <c r="F6960" s="103" t="str">
        <f aca="false">IF($C6960="","",$D6960*$E6960)</f>
        <v/>
      </c>
      <c r="G6960" s="103" t="str">
        <f aca="false">IF($C6960="","",$D6960*IFERROR(INDEX('تحليل التكلفة والسعر'!$C$2:$C$700,MATCH($C6960,'تحليل التكلفة والسعر'!$B$2:$B$700,0)),0))</f>
        <v/>
      </c>
    </row>
    <row r="6961" customFormat="false" ht="15" hidden="false" customHeight="false" outlineLevel="0" collapsed="false">
      <c r="A6961" s="102"/>
      <c r="E6961" s="103" t="str">
        <f aca="false">IF($C6961="","",IFERROR(INDEX(المنيو!$C$2:$C$500,MATCH($C6961,المنيو!$B$2:$B$500,0)),0))</f>
        <v/>
      </c>
      <c r="F6961" s="103" t="str">
        <f aca="false">IF($C6961="","",$D6961*$E6961)</f>
        <v/>
      </c>
      <c r="G6961" s="103" t="str">
        <f aca="false">IF($C6961="","",$D6961*IFERROR(INDEX('تحليل التكلفة والسعر'!$C$2:$C$700,MATCH($C6961,'تحليل التكلفة والسعر'!$B$2:$B$700,0)),0))</f>
        <v/>
      </c>
    </row>
    <row r="6962" customFormat="false" ht="15" hidden="false" customHeight="false" outlineLevel="0" collapsed="false">
      <c r="A6962" s="102"/>
      <c r="E6962" s="103" t="str">
        <f aca="false">IF($C6962="","",IFERROR(INDEX(المنيو!$C$2:$C$500,MATCH($C6962,المنيو!$B$2:$B$500,0)),0))</f>
        <v/>
      </c>
      <c r="F6962" s="103" t="str">
        <f aca="false">IF($C6962="","",$D6962*$E6962)</f>
        <v/>
      </c>
      <c r="G6962" s="103" t="str">
        <f aca="false">IF($C6962="","",$D6962*IFERROR(INDEX('تحليل التكلفة والسعر'!$C$2:$C$700,MATCH($C6962,'تحليل التكلفة والسعر'!$B$2:$B$700,0)),0))</f>
        <v/>
      </c>
    </row>
    <row r="6963" customFormat="false" ht="15" hidden="false" customHeight="false" outlineLevel="0" collapsed="false">
      <c r="A6963" s="102"/>
      <c r="E6963" s="103" t="str">
        <f aca="false">IF($C6963="","",IFERROR(INDEX(المنيو!$C$2:$C$500,MATCH($C6963,المنيو!$B$2:$B$500,0)),0))</f>
        <v/>
      </c>
      <c r="F6963" s="103" t="str">
        <f aca="false">IF($C6963="","",$D6963*$E6963)</f>
        <v/>
      </c>
      <c r="G6963" s="103" t="str">
        <f aca="false">IF($C6963="","",$D6963*IFERROR(INDEX('تحليل التكلفة والسعر'!$C$2:$C$700,MATCH($C6963,'تحليل التكلفة والسعر'!$B$2:$B$700,0)),0))</f>
        <v/>
      </c>
    </row>
    <row r="6964" customFormat="false" ht="15" hidden="false" customHeight="false" outlineLevel="0" collapsed="false">
      <c r="A6964" s="102"/>
      <c r="E6964" s="103" t="str">
        <f aca="false">IF($C6964="","",IFERROR(INDEX(المنيو!$C$2:$C$500,MATCH($C6964,المنيو!$B$2:$B$500,0)),0))</f>
        <v/>
      </c>
      <c r="F6964" s="103" t="str">
        <f aca="false">IF($C6964="","",$D6964*$E6964)</f>
        <v/>
      </c>
      <c r="G6964" s="103" t="str">
        <f aca="false">IF($C6964="","",$D6964*IFERROR(INDEX('تحليل التكلفة والسعر'!$C$2:$C$700,MATCH($C6964,'تحليل التكلفة والسعر'!$B$2:$B$700,0)),0))</f>
        <v/>
      </c>
    </row>
    <row r="6965" customFormat="false" ht="15" hidden="false" customHeight="false" outlineLevel="0" collapsed="false">
      <c r="A6965" s="102"/>
      <c r="E6965" s="103" t="str">
        <f aca="false">IF($C6965="","",IFERROR(INDEX(المنيو!$C$2:$C$500,MATCH($C6965,المنيو!$B$2:$B$500,0)),0))</f>
        <v/>
      </c>
      <c r="F6965" s="103" t="str">
        <f aca="false">IF($C6965="","",$D6965*$E6965)</f>
        <v/>
      </c>
      <c r="G6965" s="103" t="str">
        <f aca="false">IF($C6965="","",$D6965*IFERROR(INDEX('تحليل التكلفة والسعر'!$C$2:$C$700,MATCH($C6965,'تحليل التكلفة والسعر'!$B$2:$B$700,0)),0))</f>
        <v/>
      </c>
    </row>
    <row r="6966" customFormat="false" ht="15" hidden="false" customHeight="false" outlineLevel="0" collapsed="false">
      <c r="A6966" s="102"/>
      <c r="E6966" s="103" t="str">
        <f aca="false">IF($C6966="","",IFERROR(INDEX(المنيو!$C$2:$C$500,MATCH($C6966,المنيو!$B$2:$B$500,0)),0))</f>
        <v/>
      </c>
      <c r="F6966" s="103" t="str">
        <f aca="false">IF($C6966="","",$D6966*$E6966)</f>
        <v/>
      </c>
      <c r="G6966" s="103" t="str">
        <f aca="false">IF($C6966="","",$D6966*IFERROR(INDEX('تحليل التكلفة والسعر'!$C$2:$C$700,MATCH($C6966,'تحليل التكلفة والسعر'!$B$2:$B$700,0)),0))</f>
        <v/>
      </c>
    </row>
    <row r="6967" customFormat="false" ht="15" hidden="false" customHeight="false" outlineLevel="0" collapsed="false">
      <c r="A6967" s="102"/>
      <c r="E6967" s="103" t="str">
        <f aca="false">IF($C6967="","",IFERROR(INDEX(المنيو!$C$2:$C$500,MATCH($C6967,المنيو!$B$2:$B$500,0)),0))</f>
        <v/>
      </c>
      <c r="F6967" s="103" t="str">
        <f aca="false">IF($C6967="","",$D6967*$E6967)</f>
        <v/>
      </c>
      <c r="G6967" s="103" t="str">
        <f aca="false">IF($C6967="","",$D6967*IFERROR(INDEX('تحليل التكلفة والسعر'!$C$2:$C$700,MATCH($C6967,'تحليل التكلفة والسعر'!$B$2:$B$700,0)),0))</f>
        <v/>
      </c>
    </row>
    <row r="6968" customFormat="false" ht="15" hidden="false" customHeight="false" outlineLevel="0" collapsed="false">
      <c r="A6968" s="102"/>
      <c r="E6968" s="103" t="str">
        <f aca="false">IF($C6968="","",IFERROR(INDEX(المنيو!$C$2:$C$500,MATCH($C6968,المنيو!$B$2:$B$500,0)),0))</f>
        <v/>
      </c>
      <c r="F6968" s="103" t="str">
        <f aca="false">IF($C6968="","",$D6968*$E6968)</f>
        <v/>
      </c>
      <c r="G6968" s="103" t="str">
        <f aca="false">IF($C6968="","",$D6968*IFERROR(INDEX('تحليل التكلفة والسعر'!$C$2:$C$700,MATCH($C6968,'تحليل التكلفة والسعر'!$B$2:$B$700,0)),0))</f>
        <v/>
      </c>
    </row>
    <row r="6969" customFormat="false" ht="15" hidden="false" customHeight="false" outlineLevel="0" collapsed="false">
      <c r="A6969" s="102"/>
      <c r="E6969" s="103" t="str">
        <f aca="false">IF($C6969="","",IFERROR(INDEX(المنيو!$C$2:$C$500,MATCH($C6969,المنيو!$B$2:$B$500,0)),0))</f>
        <v/>
      </c>
      <c r="F6969" s="103" t="str">
        <f aca="false">IF($C6969="","",$D6969*$E6969)</f>
        <v/>
      </c>
      <c r="G6969" s="103" t="str">
        <f aca="false">IF($C6969="","",$D6969*IFERROR(INDEX('تحليل التكلفة والسعر'!$C$2:$C$700,MATCH($C6969,'تحليل التكلفة والسعر'!$B$2:$B$700,0)),0))</f>
        <v/>
      </c>
    </row>
    <row r="6970" customFormat="false" ht="15" hidden="false" customHeight="false" outlineLevel="0" collapsed="false">
      <c r="A6970" s="102"/>
      <c r="E6970" s="103" t="str">
        <f aca="false">IF($C6970="","",IFERROR(INDEX(المنيو!$C$2:$C$500,MATCH($C6970,المنيو!$B$2:$B$500,0)),0))</f>
        <v/>
      </c>
      <c r="F6970" s="103" t="str">
        <f aca="false">IF($C6970="","",$D6970*$E6970)</f>
        <v/>
      </c>
      <c r="G6970" s="103" t="str">
        <f aca="false">IF($C6970="","",$D6970*IFERROR(INDEX('تحليل التكلفة والسعر'!$C$2:$C$700,MATCH($C6970,'تحليل التكلفة والسعر'!$B$2:$B$700,0)),0))</f>
        <v/>
      </c>
    </row>
    <row r="6971" customFormat="false" ht="15" hidden="false" customHeight="false" outlineLevel="0" collapsed="false">
      <c r="A6971" s="102"/>
      <c r="E6971" s="103" t="str">
        <f aca="false">IF($C6971="","",IFERROR(INDEX(المنيو!$C$2:$C$500,MATCH($C6971,المنيو!$B$2:$B$500,0)),0))</f>
        <v/>
      </c>
      <c r="F6971" s="103" t="str">
        <f aca="false">IF($C6971="","",$D6971*$E6971)</f>
        <v/>
      </c>
      <c r="G6971" s="103" t="str">
        <f aca="false">IF($C6971="","",$D6971*IFERROR(INDEX('تحليل التكلفة والسعر'!$C$2:$C$700,MATCH($C6971,'تحليل التكلفة والسعر'!$B$2:$B$700,0)),0))</f>
        <v/>
      </c>
    </row>
    <row r="6972" customFormat="false" ht="15" hidden="false" customHeight="false" outlineLevel="0" collapsed="false">
      <c r="A6972" s="102"/>
      <c r="E6972" s="103" t="str">
        <f aca="false">IF($C6972="","",IFERROR(INDEX(المنيو!$C$2:$C$500,MATCH($C6972,المنيو!$B$2:$B$500,0)),0))</f>
        <v/>
      </c>
      <c r="F6972" s="103" t="str">
        <f aca="false">IF($C6972="","",$D6972*$E6972)</f>
        <v/>
      </c>
      <c r="G6972" s="103" t="str">
        <f aca="false">IF($C6972="","",$D6972*IFERROR(INDEX('تحليل التكلفة والسعر'!$C$2:$C$700,MATCH($C6972,'تحليل التكلفة والسعر'!$B$2:$B$700,0)),0))</f>
        <v/>
      </c>
    </row>
    <row r="6973" customFormat="false" ht="15" hidden="false" customHeight="false" outlineLevel="0" collapsed="false">
      <c r="A6973" s="102"/>
      <c r="E6973" s="103" t="str">
        <f aca="false">IF($C6973="","",IFERROR(INDEX(المنيو!$C$2:$C$500,MATCH($C6973,المنيو!$B$2:$B$500,0)),0))</f>
        <v/>
      </c>
      <c r="F6973" s="103" t="str">
        <f aca="false">IF($C6973="","",$D6973*$E6973)</f>
        <v/>
      </c>
      <c r="G6973" s="103" t="str">
        <f aca="false">IF($C6973="","",$D6973*IFERROR(INDEX('تحليل التكلفة والسعر'!$C$2:$C$700,MATCH($C6973,'تحليل التكلفة والسعر'!$B$2:$B$700,0)),0))</f>
        <v/>
      </c>
    </row>
    <row r="6974" customFormat="false" ht="15" hidden="false" customHeight="false" outlineLevel="0" collapsed="false">
      <c r="A6974" s="102"/>
      <c r="E6974" s="103" t="str">
        <f aca="false">IF($C6974="","",IFERROR(INDEX(المنيو!$C$2:$C$500,MATCH($C6974,المنيو!$B$2:$B$500,0)),0))</f>
        <v/>
      </c>
      <c r="F6974" s="103" t="str">
        <f aca="false">IF($C6974="","",$D6974*$E6974)</f>
        <v/>
      </c>
      <c r="G6974" s="103" t="str">
        <f aca="false">IF($C6974="","",$D6974*IFERROR(INDEX('تحليل التكلفة والسعر'!$C$2:$C$700,MATCH($C6974,'تحليل التكلفة والسعر'!$B$2:$B$700,0)),0))</f>
        <v/>
      </c>
    </row>
    <row r="6975" customFormat="false" ht="15" hidden="false" customHeight="false" outlineLevel="0" collapsed="false">
      <c r="A6975" s="102"/>
      <c r="E6975" s="103" t="str">
        <f aca="false">IF($C6975="","",IFERROR(INDEX(المنيو!$C$2:$C$500,MATCH($C6975,المنيو!$B$2:$B$500,0)),0))</f>
        <v/>
      </c>
      <c r="F6975" s="103" t="str">
        <f aca="false">IF($C6975="","",$D6975*$E6975)</f>
        <v/>
      </c>
      <c r="G6975" s="103" t="str">
        <f aca="false">IF($C6975="","",$D6975*IFERROR(INDEX('تحليل التكلفة والسعر'!$C$2:$C$700,MATCH($C6975,'تحليل التكلفة والسعر'!$B$2:$B$700,0)),0))</f>
        <v/>
      </c>
    </row>
    <row r="6976" customFormat="false" ht="15" hidden="false" customHeight="false" outlineLevel="0" collapsed="false">
      <c r="A6976" s="102"/>
      <c r="E6976" s="103" t="str">
        <f aca="false">IF($C6976="","",IFERROR(INDEX(المنيو!$C$2:$C$500,MATCH($C6976,المنيو!$B$2:$B$500,0)),0))</f>
        <v/>
      </c>
      <c r="F6976" s="103" t="str">
        <f aca="false">IF($C6976="","",$D6976*$E6976)</f>
        <v/>
      </c>
      <c r="G6976" s="103" t="str">
        <f aca="false">IF($C6976="","",$D6976*IFERROR(INDEX('تحليل التكلفة والسعر'!$C$2:$C$700,MATCH($C6976,'تحليل التكلفة والسعر'!$B$2:$B$700,0)),0))</f>
        <v/>
      </c>
    </row>
    <row r="6977" customFormat="false" ht="15" hidden="false" customHeight="false" outlineLevel="0" collapsed="false">
      <c r="A6977" s="102"/>
      <c r="E6977" s="103" t="str">
        <f aca="false">IF($C6977="","",IFERROR(INDEX(المنيو!$C$2:$C$500,MATCH($C6977,المنيو!$B$2:$B$500,0)),0))</f>
        <v/>
      </c>
      <c r="F6977" s="103" t="str">
        <f aca="false">IF($C6977="","",$D6977*$E6977)</f>
        <v/>
      </c>
      <c r="G6977" s="103" t="str">
        <f aca="false">IF($C6977="","",$D6977*IFERROR(INDEX('تحليل التكلفة والسعر'!$C$2:$C$700,MATCH($C6977,'تحليل التكلفة والسعر'!$B$2:$B$700,0)),0))</f>
        <v/>
      </c>
    </row>
    <row r="6978" customFormat="false" ht="15" hidden="false" customHeight="false" outlineLevel="0" collapsed="false">
      <c r="A6978" s="102"/>
      <c r="E6978" s="103" t="str">
        <f aca="false">IF($C6978="","",IFERROR(INDEX(المنيو!$C$2:$C$500,MATCH($C6978,المنيو!$B$2:$B$500,0)),0))</f>
        <v/>
      </c>
      <c r="F6978" s="103" t="str">
        <f aca="false">IF($C6978="","",$D6978*$E6978)</f>
        <v/>
      </c>
      <c r="G6978" s="103" t="str">
        <f aca="false">IF($C6978="","",$D6978*IFERROR(INDEX('تحليل التكلفة والسعر'!$C$2:$C$700,MATCH($C6978,'تحليل التكلفة والسعر'!$B$2:$B$700,0)),0))</f>
        <v/>
      </c>
    </row>
    <row r="6979" customFormat="false" ht="15" hidden="false" customHeight="false" outlineLevel="0" collapsed="false">
      <c r="A6979" s="102"/>
      <c r="E6979" s="103" t="str">
        <f aca="false">IF($C6979="","",IFERROR(INDEX(المنيو!$C$2:$C$500,MATCH($C6979,المنيو!$B$2:$B$500,0)),0))</f>
        <v/>
      </c>
      <c r="F6979" s="103" t="str">
        <f aca="false">IF($C6979="","",$D6979*$E6979)</f>
        <v/>
      </c>
      <c r="G6979" s="103" t="str">
        <f aca="false">IF($C6979="","",$D6979*IFERROR(INDEX('تحليل التكلفة والسعر'!$C$2:$C$700,MATCH($C6979,'تحليل التكلفة والسعر'!$B$2:$B$700,0)),0))</f>
        <v/>
      </c>
    </row>
    <row r="6980" customFormat="false" ht="15" hidden="false" customHeight="false" outlineLevel="0" collapsed="false">
      <c r="A6980" s="102"/>
      <c r="E6980" s="103" t="str">
        <f aca="false">IF($C6980="","",IFERROR(INDEX(المنيو!$C$2:$C$500,MATCH($C6980,المنيو!$B$2:$B$500,0)),0))</f>
        <v/>
      </c>
      <c r="F6980" s="103" t="str">
        <f aca="false">IF($C6980="","",$D6980*$E6980)</f>
        <v/>
      </c>
      <c r="G6980" s="103" t="str">
        <f aca="false">IF($C6980="","",$D6980*IFERROR(INDEX('تحليل التكلفة والسعر'!$C$2:$C$700,MATCH($C6980,'تحليل التكلفة والسعر'!$B$2:$B$700,0)),0))</f>
        <v/>
      </c>
    </row>
    <row r="6981" customFormat="false" ht="15" hidden="false" customHeight="false" outlineLevel="0" collapsed="false">
      <c r="A6981" s="102"/>
      <c r="E6981" s="103" t="str">
        <f aca="false">IF($C6981="","",IFERROR(INDEX(المنيو!$C$2:$C$500,MATCH($C6981,المنيو!$B$2:$B$500,0)),0))</f>
        <v/>
      </c>
      <c r="F6981" s="103" t="str">
        <f aca="false">IF($C6981="","",$D6981*$E6981)</f>
        <v/>
      </c>
      <c r="G6981" s="103" t="str">
        <f aca="false">IF($C6981="","",$D6981*IFERROR(INDEX('تحليل التكلفة والسعر'!$C$2:$C$700,MATCH($C6981,'تحليل التكلفة والسعر'!$B$2:$B$700,0)),0))</f>
        <v/>
      </c>
    </row>
    <row r="6982" customFormat="false" ht="15" hidden="false" customHeight="false" outlineLevel="0" collapsed="false">
      <c r="A6982" s="102"/>
      <c r="E6982" s="103" t="str">
        <f aca="false">IF($C6982="","",IFERROR(INDEX(المنيو!$C$2:$C$500,MATCH($C6982,المنيو!$B$2:$B$500,0)),0))</f>
        <v/>
      </c>
      <c r="F6982" s="103" t="str">
        <f aca="false">IF($C6982="","",$D6982*$E6982)</f>
        <v/>
      </c>
      <c r="G6982" s="103" t="str">
        <f aca="false">IF($C6982="","",$D6982*IFERROR(INDEX('تحليل التكلفة والسعر'!$C$2:$C$700,MATCH($C6982,'تحليل التكلفة والسعر'!$B$2:$B$700,0)),0))</f>
        <v/>
      </c>
    </row>
    <row r="6983" customFormat="false" ht="15" hidden="false" customHeight="false" outlineLevel="0" collapsed="false">
      <c r="A6983" s="102"/>
      <c r="E6983" s="103" t="str">
        <f aca="false">IF($C6983="","",IFERROR(INDEX(المنيو!$C$2:$C$500,MATCH($C6983,المنيو!$B$2:$B$500,0)),0))</f>
        <v/>
      </c>
      <c r="F6983" s="103" t="str">
        <f aca="false">IF($C6983="","",$D6983*$E6983)</f>
        <v/>
      </c>
      <c r="G6983" s="103" t="str">
        <f aca="false">IF($C6983="","",$D6983*IFERROR(INDEX('تحليل التكلفة والسعر'!$C$2:$C$700,MATCH($C6983,'تحليل التكلفة والسعر'!$B$2:$B$700,0)),0))</f>
        <v/>
      </c>
    </row>
    <row r="6984" customFormat="false" ht="15" hidden="false" customHeight="false" outlineLevel="0" collapsed="false">
      <c r="A6984" s="102"/>
      <c r="E6984" s="103" t="str">
        <f aca="false">IF($C6984="","",IFERROR(INDEX(المنيو!$C$2:$C$500,MATCH($C6984,المنيو!$B$2:$B$500,0)),0))</f>
        <v/>
      </c>
      <c r="F6984" s="103" t="str">
        <f aca="false">IF($C6984="","",$D6984*$E6984)</f>
        <v/>
      </c>
      <c r="G6984" s="103" t="str">
        <f aca="false">IF($C6984="","",$D6984*IFERROR(INDEX('تحليل التكلفة والسعر'!$C$2:$C$700,MATCH($C6984,'تحليل التكلفة والسعر'!$B$2:$B$700,0)),0))</f>
        <v/>
      </c>
    </row>
    <row r="6985" customFormat="false" ht="15" hidden="false" customHeight="false" outlineLevel="0" collapsed="false">
      <c r="A6985" s="102"/>
      <c r="E6985" s="103" t="str">
        <f aca="false">IF($C6985="","",IFERROR(INDEX(المنيو!$C$2:$C$500,MATCH($C6985,المنيو!$B$2:$B$500,0)),0))</f>
        <v/>
      </c>
      <c r="F6985" s="103" t="str">
        <f aca="false">IF($C6985="","",$D6985*$E6985)</f>
        <v/>
      </c>
      <c r="G6985" s="103" t="str">
        <f aca="false">IF($C6985="","",$D6985*IFERROR(INDEX('تحليل التكلفة والسعر'!$C$2:$C$700,MATCH($C6985,'تحليل التكلفة والسعر'!$B$2:$B$700,0)),0))</f>
        <v/>
      </c>
    </row>
    <row r="6986" customFormat="false" ht="15" hidden="false" customHeight="false" outlineLevel="0" collapsed="false">
      <c r="A6986" s="102"/>
      <c r="E6986" s="103" t="str">
        <f aca="false">IF($C6986="","",IFERROR(INDEX(المنيو!$C$2:$C$500,MATCH($C6986,المنيو!$B$2:$B$500,0)),0))</f>
        <v/>
      </c>
      <c r="F6986" s="103" t="str">
        <f aca="false">IF($C6986="","",$D6986*$E6986)</f>
        <v/>
      </c>
      <c r="G6986" s="103" t="str">
        <f aca="false">IF($C6986="","",$D6986*IFERROR(INDEX('تحليل التكلفة والسعر'!$C$2:$C$700,MATCH($C6986,'تحليل التكلفة والسعر'!$B$2:$B$700,0)),0))</f>
        <v/>
      </c>
    </row>
    <row r="6987" customFormat="false" ht="15" hidden="false" customHeight="false" outlineLevel="0" collapsed="false">
      <c r="A6987" s="102"/>
      <c r="E6987" s="103" t="str">
        <f aca="false">IF($C6987="","",IFERROR(INDEX(المنيو!$C$2:$C$500,MATCH($C6987,المنيو!$B$2:$B$500,0)),0))</f>
        <v/>
      </c>
      <c r="F6987" s="103" t="str">
        <f aca="false">IF($C6987="","",$D6987*$E6987)</f>
        <v/>
      </c>
      <c r="G6987" s="103" t="str">
        <f aca="false">IF($C6987="","",$D6987*IFERROR(INDEX('تحليل التكلفة والسعر'!$C$2:$C$700,MATCH($C6987,'تحليل التكلفة والسعر'!$B$2:$B$700,0)),0))</f>
        <v/>
      </c>
    </row>
    <row r="6988" customFormat="false" ht="15" hidden="false" customHeight="false" outlineLevel="0" collapsed="false">
      <c r="A6988" s="102"/>
      <c r="E6988" s="103" t="str">
        <f aca="false">IF($C6988="","",IFERROR(INDEX(المنيو!$C$2:$C$500,MATCH($C6988,المنيو!$B$2:$B$500,0)),0))</f>
        <v/>
      </c>
      <c r="F6988" s="103" t="str">
        <f aca="false">IF($C6988="","",$D6988*$E6988)</f>
        <v/>
      </c>
      <c r="G6988" s="103" t="str">
        <f aca="false">IF($C6988="","",$D6988*IFERROR(INDEX('تحليل التكلفة والسعر'!$C$2:$C$700,MATCH($C6988,'تحليل التكلفة والسعر'!$B$2:$B$700,0)),0))</f>
        <v/>
      </c>
    </row>
    <row r="6989" customFormat="false" ht="15" hidden="false" customHeight="false" outlineLevel="0" collapsed="false">
      <c r="A6989" s="102"/>
      <c r="E6989" s="103" t="str">
        <f aca="false">IF($C6989="","",IFERROR(INDEX(المنيو!$C$2:$C$500,MATCH($C6989,المنيو!$B$2:$B$500,0)),0))</f>
        <v/>
      </c>
      <c r="F6989" s="103" t="str">
        <f aca="false">IF($C6989="","",$D6989*$E6989)</f>
        <v/>
      </c>
      <c r="G6989" s="103" t="str">
        <f aca="false">IF($C6989="","",$D6989*IFERROR(INDEX('تحليل التكلفة والسعر'!$C$2:$C$700,MATCH($C6989,'تحليل التكلفة والسعر'!$B$2:$B$700,0)),0))</f>
        <v/>
      </c>
    </row>
    <row r="6990" customFormat="false" ht="15" hidden="false" customHeight="false" outlineLevel="0" collapsed="false">
      <c r="A6990" s="102"/>
      <c r="E6990" s="103" t="str">
        <f aca="false">IF($C6990="","",IFERROR(INDEX(المنيو!$C$2:$C$500,MATCH($C6990,المنيو!$B$2:$B$500,0)),0))</f>
        <v/>
      </c>
      <c r="F6990" s="103" t="str">
        <f aca="false">IF($C6990="","",$D6990*$E6990)</f>
        <v/>
      </c>
      <c r="G6990" s="103" t="str">
        <f aca="false">IF($C6990="","",$D6990*IFERROR(INDEX('تحليل التكلفة والسعر'!$C$2:$C$700,MATCH($C6990,'تحليل التكلفة والسعر'!$B$2:$B$700,0)),0))</f>
        <v/>
      </c>
    </row>
    <row r="6991" customFormat="false" ht="15" hidden="false" customHeight="false" outlineLevel="0" collapsed="false">
      <c r="A6991" s="102"/>
      <c r="E6991" s="103" t="str">
        <f aca="false">IF($C6991="","",IFERROR(INDEX(المنيو!$C$2:$C$500,MATCH($C6991,المنيو!$B$2:$B$500,0)),0))</f>
        <v/>
      </c>
      <c r="F6991" s="103" t="str">
        <f aca="false">IF($C6991="","",$D6991*$E6991)</f>
        <v/>
      </c>
      <c r="G6991" s="103" t="str">
        <f aca="false">IF($C6991="","",$D6991*IFERROR(INDEX('تحليل التكلفة والسعر'!$C$2:$C$700,MATCH($C6991,'تحليل التكلفة والسعر'!$B$2:$B$700,0)),0))</f>
        <v/>
      </c>
    </row>
    <row r="6992" customFormat="false" ht="15" hidden="false" customHeight="false" outlineLevel="0" collapsed="false">
      <c r="A6992" s="102"/>
      <c r="E6992" s="103" t="str">
        <f aca="false">IF($C6992="","",IFERROR(INDEX(المنيو!$C$2:$C$500,MATCH($C6992,المنيو!$B$2:$B$500,0)),0))</f>
        <v/>
      </c>
      <c r="F6992" s="103" t="str">
        <f aca="false">IF($C6992="","",$D6992*$E6992)</f>
        <v/>
      </c>
      <c r="G6992" s="103" t="str">
        <f aca="false">IF($C6992="","",$D6992*IFERROR(INDEX('تحليل التكلفة والسعر'!$C$2:$C$700,MATCH($C6992,'تحليل التكلفة والسعر'!$B$2:$B$700,0)),0))</f>
        <v/>
      </c>
    </row>
    <row r="6993" customFormat="false" ht="15" hidden="false" customHeight="false" outlineLevel="0" collapsed="false">
      <c r="A6993" s="102"/>
      <c r="E6993" s="103" t="str">
        <f aca="false">IF($C6993="","",IFERROR(INDEX(المنيو!$C$2:$C$500,MATCH($C6993,المنيو!$B$2:$B$500,0)),0))</f>
        <v/>
      </c>
      <c r="F6993" s="103" t="str">
        <f aca="false">IF($C6993="","",$D6993*$E6993)</f>
        <v/>
      </c>
      <c r="G6993" s="103" t="str">
        <f aca="false">IF($C6993="","",$D6993*IFERROR(INDEX('تحليل التكلفة والسعر'!$C$2:$C$700,MATCH($C6993,'تحليل التكلفة والسعر'!$B$2:$B$700,0)),0))</f>
        <v/>
      </c>
    </row>
    <row r="6994" customFormat="false" ht="15" hidden="false" customHeight="false" outlineLevel="0" collapsed="false">
      <c r="A6994" s="102"/>
      <c r="E6994" s="103" t="str">
        <f aca="false">IF($C6994="","",IFERROR(INDEX(المنيو!$C$2:$C$500,MATCH($C6994,المنيو!$B$2:$B$500,0)),0))</f>
        <v/>
      </c>
      <c r="F6994" s="103" t="str">
        <f aca="false">IF($C6994="","",$D6994*$E6994)</f>
        <v/>
      </c>
      <c r="G6994" s="103" t="str">
        <f aca="false">IF($C6994="","",$D6994*IFERROR(INDEX('تحليل التكلفة والسعر'!$C$2:$C$700,MATCH($C6994,'تحليل التكلفة والسعر'!$B$2:$B$700,0)),0))</f>
        <v/>
      </c>
    </row>
    <row r="6995" customFormat="false" ht="15" hidden="false" customHeight="false" outlineLevel="0" collapsed="false">
      <c r="A6995" s="102"/>
      <c r="E6995" s="103" t="str">
        <f aca="false">IF($C6995="","",IFERROR(INDEX(المنيو!$C$2:$C$500,MATCH($C6995,المنيو!$B$2:$B$500,0)),0))</f>
        <v/>
      </c>
      <c r="F6995" s="103" t="str">
        <f aca="false">IF($C6995="","",$D6995*$E6995)</f>
        <v/>
      </c>
      <c r="G6995" s="103" t="str">
        <f aca="false">IF($C6995="","",$D6995*IFERROR(INDEX('تحليل التكلفة والسعر'!$C$2:$C$700,MATCH($C6995,'تحليل التكلفة والسعر'!$B$2:$B$700,0)),0))</f>
        <v/>
      </c>
    </row>
    <row r="6996" customFormat="false" ht="15" hidden="false" customHeight="false" outlineLevel="0" collapsed="false">
      <c r="A6996" s="102"/>
      <c r="E6996" s="103" t="str">
        <f aca="false">IF($C6996="","",IFERROR(INDEX(المنيو!$C$2:$C$500,MATCH($C6996,المنيو!$B$2:$B$500,0)),0))</f>
        <v/>
      </c>
      <c r="F6996" s="103" t="str">
        <f aca="false">IF($C6996="","",$D6996*$E6996)</f>
        <v/>
      </c>
      <c r="G6996" s="103" t="str">
        <f aca="false">IF($C6996="","",$D6996*IFERROR(INDEX('تحليل التكلفة والسعر'!$C$2:$C$700,MATCH($C6996,'تحليل التكلفة والسعر'!$B$2:$B$700,0)),0))</f>
        <v/>
      </c>
    </row>
    <row r="6997" customFormat="false" ht="15" hidden="false" customHeight="false" outlineLevel="0" collapsed="false">
      <c r="A6997" s="102"/>
      <c r="E6997" s="103" t="str">
        <f aca="false">IF($C6997="","",IFERROR(INDEX(المنيو!$C$2:$C$500,MATCH($C6997,المنيو!$B$2:$B$500,0)),0))</f>
        <v/>
      </c>
      <c r="F6997" s="103" t="str">
        <f aca="false">IF($C6997="","",$D6997*$E6997)</f>
        <v/>
      </c>
      <c r="G6997" s="103" t="str">
        <f aca="false">IF($C6997="","",$D6997*IFERROR(INDEX('تحليل التكلفة والسعر'!$C$2:$C$700,MATCH($C6997,'تحليل التكلفة والسعر'!$B$2:$B$700,0)),0))</f>
        <v/>
      </c>
    </row>
    <row r="6998" customFormat="false" ht="15" hidden="false" customHeight="false" outlineLevel="0" collapsed="false">
      <c r="A6998" s="102"/>
      <c r="E6998" s="103" t="str">
        <f aca="false">IF($C6998="","",IFERROR(INDEX(المنيو!$C$2:$C$500,MATCH($C6998,المنيو!$B$2:$B$500,0)),0))</f>
        <v/>
      </c>
      <c r="F6998" s="103" t="str">
        <f aca="false">IF($C6998="","",$D6998*$E6998)</f>
        <v/>
      </c>
      <c r="G6998" s="103" t="str">
        <f aca="false">IF($C6998="","",$D6998*IFERROR(INDEX('تحليل التكلفة والسعر'!$C$2:$C$700,MATCH($C6998,'تحليل التكلفة والسعر'!$B$2:$B$700,0)),0))</f>
        <v/>
      </c>
    </row>
    <row r="6999" customFormat="false" ht="15" hidden="false" customHeight="false" outlineLevel="0" collapsed="false">
      <c r="A6999" s="102"/>
      <c r="E6999" s="103" t="str">
        <f aca="false">IF($C6999="","",IFERROR(INDEX(المنيو!$C$2:$C$500,MATCH($C6999,المنيو!$B$2:$B$500,0)),0))</f>
        <v/>
      </c>
      <c r="F6999" s="103" t="str">
        <f aca="false">IF($C6999="","",$D6999*$E6999)</f>
        <v/>
      </c>
      <c r="G6999" s="103" t="str">
        <f aca="false">IF($C6999="","",$D6999*IFERROR(INDEX('تحليل التكلفة والسعر'!$C$2:$C$700,MATCH($C6999,'تحليل التكلفة والسعر'!$B$2:$B$700,0)),0))</f>
        <v/>
      </c>
    </row>
    <row r="7000" customFormat="false" ht="15" hidden="false" customHeight="false" outlineLevel="0" collapsed="false">
      <c r="A7000" s="102"/>
      <c r="E7000" s="103" t="str">
        <f aca="false">IF($C7000="","",IFERROR(INDEX(المنيو!$C$2:$C$500,MATCH($C7000,المنيو!$B$2:$B$500,0)),0))</f>
        <v/>
      </c>
      <c r="F7000" s="103" t="str">
        <f aca="false">IF($C7000="","",$D7000*$E7000)</f>
        <v/>
      </c>
      <c r="G7000" s="103" t="str">
        <f aca="false">IF($C7000="","",$D7000*IFERROR(INDEX('تحليل التكلفة والسعر'!$C$2:$C$700,MATCH($C7000,'تحليل التكلفة والسعر'!$B$2:$B$700,0)),0))</f>
        <v/>
      </c>
    </row>
    <row r="7001" customFormat="false" ht="15" hidden="false" customHeight="false" outlineLevel="0" collapsed="false">
      <c r="A7001" s="102"/>
      <c r="E7001" s="103" t="str">
        <f aca="false">IF($C7001="","",IFERROR(INDEX(المنيو!$C$2:$C$500,MATCH($C7001,المنيو!$B$2:$B$500,0)),0))</f>
        <v/>
      </c>
      <c r="F7001" s="103" t="str">
        <f aca="false">IF($C7001="","",$D7001*$E7001)</f>
        <v/>
      </c>
      <c r="G7001" s="103" t="str">
        <f aca="false">IF($C7001="","",$D7001*IFERROR(INDEX('تحليل التكلفة والسعر'!$C$2:$C$700,MATCH($C7001,'تحليل التكلفة والسعر'!$B$2:$B$700,0)),0))</f>
        <v/>
      </c>
    </row>
    <row r="7002" customFormat="false" ht="15" hidden="false" customHeight="false" outlineLevel="0" collapsed="false">
      <c r="A7002" s="102"/>
      <c r="E7002" s="103" t="str">
        <f aca="false">IF($C7002="","",IFERROR(INDEX(المنيو!$C$2:$C$500,MATCH($C7002,المنيو!$B$2:$B$500,0)),0))</f>
        <v/>
      </c>
      <c r="F7002" s="103" t="str">
        <f aca="false">IF($C7002="","",$D7002*$E7002)</f>
        <v/>
      </c>
      <c r="G7002" s="103" t="str">
        <f aca="false">IF($C7002="","",$D7002*IFERROR(INDEX('تحليل التكلفة والسعر'!$C$2:$C$700,MATCH($C7002,'تحليل التكلفة والسعر'!$B$2:$B$700,0)),0))</f>
        <v/>
      </c>
    </row>
    <row r="7003" customFormat="false" ht="15" hidden="false" customHeight="false" outlineLevel="0" collapsed="false">
      <c r="A7003" s="102"/>
      <c r="E7003" s="103" t="str">
        <f aca="false">IF($C7003="","",IFERROR(INDEX(المنيو!$C$2:$C$500,MATCH($C7003,المنيو!$B$2:$B$500,0)),0))</f>
        <v/>
      </c>
      <c r="F7003" s="103" t="str">
        <f aca="false">IF($C7003="","",$D7003*$E7003)</f>
        <v/>
      </c>
      <c r="G7003" s="103" t="str">
        <f aca="false">IF($C7003="","",$D7003*IFERROR(INDEX('تحليل التكلفة والسعر'!$C$2:$C$700,MATCH($C7003,'تحليل التكلفة والسعر'!$B$2:$B$700,0)),0))</f>
        <v/>
      </c>
    </row>
    <row r="7004" customFormat="false" ht="15" hidden="false" customHeight="false" outlineLevel="0" collapsed="false">
      <c r="A7004" s="102"/>
      <c r="E7004" s="103" t="str">
        <f aca="false">IF($C7004="","",IFERROR(INDEX(المنيو!$C$2:$C$500,MATCH($C7004,المنيو!$B$2:$B$500,0)),0))</f>
        <v/>
      </c>
      <c r="F7004" s="103" t="str">
        <f aca="false">IF($C7004="","",$D7004*$E7004)</f>
        <v/>
      </c>
      <c r="G7004" s="103" t="str">
        <f aca="false">IF($C7004="","",$D7004*IFERROR(INDEX('تحليل التكلفة والسعر'!$C$2:$C$700,MATCH($C7004,'تحليل التكلفة والسعر'!$B$2:$B$700,0)),0))</f>
        <v/>
      </c>
    </row>
    <row r="7005" customFormat="false" ht="15" hidden="false" customHeight="false" outlineLevel="0" collapsed="false">
      <c r="A7005" s="102"/>
      <c r="E7005" s="103" t="str">
        <f aca="false">IF($C7005="","",IFERROR(INDEX(المنيو!$C$2:$C$500,MATCH($C7005,المنيو!$B$2:$B$500,0)),0))</f>
        <v/>
      </c>
      <c r="F7005" s="103" t="str">
        <f aca="false">IF($C7005="","",$D7005*$E7005)</f>
        <v/>
      </c>
      <c r="G7005" s="103" t="str">
        <f aca="false">IF($C7005="","",$D7005*IFERROR(INDEX('تحليل التكلفة والسعر'!$C$2:$C$700,MATCH($C7005,'تحليل التكلفة والسعر'!$B$2:$B$700,0)),0))</f>
        <v/>
      </c>
    </row>
    <row r="7006" customFormat="false" ht="15" hidden="false" customHeight="false" outlineLevel="0" collapsed="false">
      <c r="A7006" s="102"/>
      <c r="E7006" s="103" t="str">
        <f aca="false">IF($C7006="","",IFERROR(INDEX(المنيو!$C$2:$C$500,MATCH($C7006,المنيو!$B$2:$B$500,0)),0))</f>
        <v/>
      </c>
      <c r="F7006" s="103" t="str">
        <f aca="false">IF($C7006="","",$D7006*$E7006)</f>
        <v/>
      </c>
      <c r="G7006" s="103" t="str">
        <f aca="false">IF($C7006="","",$D7006*IFERROR(INDEX('تحليل التكلفة والسعر'!$C$2:$C$700,MATCH($C7006,'تحليل التكلفة والسعر'!$B$2:$B$700,0)),0))</f>
        <v/>
      </c>
    </row>
    <row r="7007" customFormat="false" ht="15" hidden="false" customHeight="false" outlineLevel="0" collapsed="false">
      <c r="A7007" s="102"/>
      <c r="E7007" s="103" t="str">
        <f aca="false">IF($C7007="","",IFERROR(INDEX(المنيو!$C$2:$C$500,MATCH($C7007,المنيو!$B$2:$B$500,0)),0))</f>
        <v/>
      </c>
      <c r="F7007" s="103" t="str">
        <f aca="false">IF($C7007="","",$D7007*$E7007)</f>
        <v/>
      </c>
      <c r="G7007" s="103" t="str">
        <f aca="false">IF($C7007="","",$D7007*IFERROR(INDEX('تحليل التكلفة والسعر'!$C$2:$C$700,MATCH($C7007,'تحليل التكلفة والسعر'!$B$2:$B$700,0)),0))</f>
        <v/>
      </c>
    </row>
    <row r="7008" customFormat="false" ht="15" hidden="false" customHeight="false" outlineLevel="0" collapsed="false">
      <c r="A7008" s="102"/>
      <c r="E7008" s="103" t="str">
        <f aca="false">IF($C7008="","",IFERROR(INDEX(المنيو!$C$2:$C$500,MATCH($C7008,المنيو!$B$2:$B$500,0)),0))</f>
        <v/>
      </c>
      <c r="F7008" s="103" t="str">
        <f aca="false">IF($C7008="","",$D7008*$E7008)</f>
        <v/>
      </c>
      <c r="G7008" s="103" t="str">
        <f aca="false">IF($C7008="","",$D7008*IFERROR(INDEX('تحليل التكلفة والسعر'!$C$2:$C$700,MATCH($C7008,'تحليل التكلفة والسعر'!$B$2:$B$700,0)),0))</f>
        <v/>
      </c>
    </row>
    <row r="7009" customFormat="false" ht="15" hidden="false" customHeight="false" outlineLevel="0" collapsed="false">
      <c r="A7009" s="102"/>
      <c r="E7009" s="103" t="str">
        <f aca="false">IF($C7009="","",IFERROR(INDEX(المنيو!$C$2:$C$500,MATCH($C7009,المنيو!$B$2:$B$500,0)),0))</f>
        <v/>
      </c>
      <c r="F7009" s="103" t="str">
        <f aca="false">IF($C7009="","",$D7009*$E7009)</f>
        <v/>
      </c>
      <c r="G7009" s="103" t="str">
        <f aca="false">IF($C7009="","",$D7009*IFERROR(INDEX('تحليل التكلفة والسعر'!$C$2:$C$700,MATCH($C7009,'تحليل التكلفة والسعر'!$B$2:$B$700,0)),0))</f>
        <v/>
      </c>
    </row>
    <row r="7010" customFormat="false" ht="15" hidden="false" customHeight="false" outlineLevel="0" collapsed="false">
      <c r="A7010" s="102"/>
      <c r="E7010" s="103" t="str">
        <f aca="false">IF($C7010="","",IFERROR(INDEX(المنيو!$C$2:$C$500,MATCH($C7010,المنيو!$B$2:$B$500,0)),0))</f>
        <v/>
      </c>
      <c r="F7010" s="103" t="str">
        <f aca="false">IF($C7010="","",$D7010*$E7010)</f>
        <v/>
      </c>
      <c r="G7010" s="103" t="str">
        <f aca="false">IF($C7010="","",$D7010*IFERROR(INDEX('تحليل التكلفة والسعر'!$C$2:$C$700,MATCH($C7010,'تحليل التكلفة والسعر'!$B$2:$B$700,0)),0))</f>
        <v/>
      </c>
    </row>
    <row r="7011" customFormat="false" ht="15" hidden="false" customHeight="false" outlineLevel="0" collapsed="false">
      <c r="A7011" s="102"/>
      <c r="E7011" s="103" t="str">
        <f aca="false">IF($C7011="","",IFERROR(INDEX(المنيو!$C$2:$C$500,MATCH($C7011,المنيو!$B$2:$B$500,0)),0))</f>
        <v/>
      </c>
      <c r="F7011" s="103" t="str">
        <f aca="false">IF($C7011="","",$D7011*$E7011)</f>
        <v/>
      </c>
      <c r="G7011" s="103" t="str">
        <f aca="false">IF($C7011="","",$D7011*IFERROR(INDEX('تحليل التكلفة والسعر'!$C$2:$C$700,MATCH($C7011,'تحليل التكلفة والسعر'!$B$2:$B$700,0)),0))</f>
        <v/>
      </c>
    </row>
    <row r="7012" customFormat="false" ht="15" hidden="false" customHeight="false" outlineLevel="0" collapsed="false">
      <c r="A7012" s="102"/>
      <c r="E7012" s="103" t="str">
        <f aca="false">IF($C7012="","",IFERROR(INDEX(المنيو!$C$2:$C$500,MATCH($C7012,المنيو!$B$2:$B$500,0)),0))</f>
        <v/>
      </c>
      <c r="F7012" s="103" t="str">
        <f aca="false">IF($C7012="","",$D7012*$E7012)</f>
        <v/>
      </c>
      <c r="G7012" s="103" t="str">
        <f aca="false">IF($C7012="","",$D7012*IFERROR(INDEX('تحليل التكلفة والسعر'!$C$2:$C$700,MATCH($C7012,'تحليل التكلفة والسعر'!$B$2:$B$700,0)),0))</f>
        <v/>
      </c>
    </row>
    <row r="7013" customFormat="false" ht="15" hidden="false" customHeight="false" outlineLevel="0" collapsed="false">
      <c r="A7013" s="102"/>
      <c r="E7013" s="103" t="str">
        <f aca="false">IF($C7013="","",IFERROR(INDEX(المنيو!$C$2:$C$500,MATCH($C7013,المنيو!$B$2:$B$500,0)),0))</f>
        <v/>
      </c>
      <c r="F7013" s="103" t="str">
        <f aca="false">IF($C7013="","",$D7013*$E7013)</f>
        <v/>
      </c>
      <c r="G7013" s="103" t="str">
        <f aca="false">IF($C7013="","",$D7013*IFERROR(INDEX('تحليل التكلفة والسعر'!$C$2:$C$700,MATCH($C7013,'تحليل التكلفة والسعر'!$B$2:$B$700,0)),0))</f>
        <v/>
      </c>
    </row>
    <row r="7014" customFormat="false" ht="15" hidden="false" customHeight="false" outlineLevel="0" collapsed="false">
      <c r="A7014" s="102"/>
      <c r="E7014" s="103" t="str">
        <f aca="false">IF($C7014="","",IFERROR(INDEX(المنيو!$C$2:$C$500,MATCH($C7014,المنيو!$B$2:$B$500,0)),0))</f>
        <v/>
      </c>
      <c r="F7014" s="103" t="str">
        <f aca="false">IF($C7014="","",$D7014*$E7014)</f>
        <v/>
      </c>
      <c r="G7014" s="103" t="str">
        <f aca="false">IF($C7014="","",$D7014*IFERROR(INDEX('تحليل التكلفة والسعر'!$C$2:$C$700,MATCH($C7014,'تحليل التكلفة والسعر'!$B$2:$B$700,0)),0))</f>
        <v/>
      </c>
    </row>
    <row r="7015" customFormat="false" ht="15" hidden="false" customHeight="false" outlineLevel="0" collapsed="false">
      <c r="A7015" s="102"/>
      <c r="E7015" s="103" t="str">
        <f aca="false">IF($C7015="","",IFERROR(INDEX(المنيو!$C$2:$C$500,MATCH($C7015,المنيو!$B$2:$B$500,0)),0))</f>
        <v/>
      </c>
      <c r="F7015" s="103" t="str">
        <f aca="false">IF($C7015="","",$D7015*$E7015)</f>
        <v/>
      </c>
      <c r="G7015" s="103" t="str">
        <f aca="false">IF($C7015="","",$D7015*IFERROR(INDEX('تحليل التكلفة والسعر'!$C$2:$C$700,MATCH($C7015,'تحليل التكلفة والسعر'!$B$2:$B$700,0)),0))</f>
        <v/>
      </c>
    </row>
    <row r="7016" customFormat="false" ht="15" hidden="false" customHeight="false" outlineLevel="0" collapsed="false">
      <c r="A7016" s="102"/>
      <c r="E7016" s="103" t="str">
        <f aca="false">IF($C7016="","",IFERROR(INDEX(المنيو!$C$2:$C$500,MATCH($C7016,المنيو!$B$2:$B$500,0)),0))</f>
        <v/>
      </c>
      <c r="F7016" s="103" t="str">
        <f aca="false">IF($C7016="","",$D7016*$E7016)</f>
        <v/>
      </c>
      <c r="G7016" s="103" t="str">
        <f aca="false">IF($C7016="","",$D7016*IFERROR(INDEX('تحليل التكلفة والسعر'!$C$2:$C$700,MATCH($C7016,'تحليل التكلفة والسعر'!$B$2:$B$700,0)),0))</f>
        <v/>
      </c>
    </row>
    <row r="7017" customFormat="false" ht="15" hidden="false" customHeight="false" outlineLevel="0" collapsed="false">
      <c r="A7017" s="102"/>
      <c r="E7017" s="103" t="str">
        <f aca="false">IF($C7017="","",IFERROR(INDEX(المنيو!$C$2:$C$500,MATCH($C7017,المنيو!$B$2:$B$500,0)),0))</f>
        <v/>
      </c>
      <c r="F7017" s="103" t="str">
        <f aca="false">IF($C7017="","",$D7017*$E7017)</f>
        <v/>
      </c>
      <c r="G7017" s="103" t="str">
        <f aca="false">IF($C7017="","",$D7017*IFERROR(INDEX('تحليل التكلفة والسعر'!$C$2:$C$700,MATCH($C7017,'تحليل التكلفة والسعر'!$B$2:$B$700,0)),0))</f>
        <v/>
      </c>
    </row>
    <row r="7018" customFormat="false" ht="15" hidden="false" customHeight="false" outlineLevel="0" collapsed="false">
      <c r="A7018" s="102"/>
      <c r="E7018" s="103" t="str">
        <f aca="false">IF($C7018="","",IFERROR(INDEX(المنيو!$C$2:$C$500,MATCH($C7018,المنيو!$B$2:$B$500,0)),0))</f>
        <v/>
      </c>
      <c r="F7018" s="103" t="str">
        <f aca="false">IF($C7018="","",$D7018*$E7018)</f>
        <v/>
      </c>
      <c r="G7018" s="103" t="str">
        <f aca="false">IF($C7018="","",$D7018*IFERROR(INDEX('تحليل التكلفة والسعر'!$C$2:$C$700,MATCH($C7018,'تحليل التكلفة والسعر'!$B$2:$B$700,0)),0))</f>
        <v/>
      </c>
    </row>
    <row r="7019" customFormat="false" ht="15" hidden="false" customHeight="false" outlineLevel="0" collapsed="false">
      <c r="A7019" s="102"/>
      <c r="E7019" s="103" t="str">
        <f aca="false">IF($C7019="","",IFERROR(INDEX(المنيو!$C$2:$C$500,MATCH($C7019,المنيو!$B$2:$B$500,0)),0))</f>
        <v/>
      </c>
      <c r="F7019" s="103" t="str">
        <f aca="false">IF($C7019="","",$D7019*$E7019)</f>
        <v/>
      </c>
      <c r="G7019" s="103" t="str">
        <f aca="false">IF($C7019="","",$D7019*IFERROR(INDEX('تحليل التكلفة والسعر'!$C$2:$C$700,MATCH($C7019,'تحليل التكلفة والسعر'!$B$2:$B$700,0)),0))</f>
        <v/>
      </c>
    </row>
    <row r="7020" customFormat="false" ht="15" hidden="false" customHeight="false" outlineLevel="0" collapsed="false">
      <c r="A7020" s="102"/>
      <c r="E7020" s="103" t="str">
        <f aca="false">IF($C7020="","",IFERROR(INDEX(المنيو!$C$2:$C$500,MATCH($C7020,المنيو!$B$2:$B$500,0)),0))</f>
        <v/>
      </c>
      <c r="F7020" s="103" t="str">
        <f aca="false">IF($C7020="","",$D7020*$E7020)</f>
        <v/>
      </c>
      <c r="G7020" s="103" t="str">
        <f aca="false">IF($C7020="","",$D7020*IFERROR(INDEX('تحليل التكلفة والسعر'!$C$2:$C$700,MATCH($C7020,'تحليل التكلفة والسعر'!$B$2:$B$700,0)),0))</f>
        <v/>
      </c>
    </row>
    <row r="7021" customFormat="false" ht="15" hidden="false" customHeight="false" outlineLevel="0" collapsed="false">
      <c r="A7021" s="102"/>
      <c r="E7021" s="103" t="str">
        <f aca="false">IF($C7021="","",IFERROR(INDEX(المنيو!$C$2:$C$500,MATCH($C7021,المنيو!$B$2:$B$500,0)),0))</f>
        <v/>
      </c>
      <c r="F7021" s="103" t="str">
        <f aca="false">IF($C7021="","",$D7021*$E7021)</f>
        <v/>
      </c>
      <c r="G7021" s="103" t="str">
        <f aca="false">IF($C7021="","",$D7021*IFERROR(INDEX('تحليل التكلفة والسعر'!$C$2:$C$700,MATCH($C7021,'تحليل التكلفة والسعر'!$B$2:$B$700,0)),0))</f>
        <v/>
      </c>
    </row>
    <row r="7022" customFormat="false" ht="15" hidden="false" customHeight="false" outlineLevel="0" collapsed="false">
      <c r="A7022" s="102"/>
      <c r="E7022" s="103" t="str">
        <f aca="false">IF($C7022="","",IFERROR(INDEX(المنيو!$C$2:$C$500,MATCH($C7022,المنيو!$B$2:$B$500,0)),0))</f>
        <v/>
      </c>
      <c r="F7022" s="103" t="str">
        <f aca="false">IF($C7022="","",$D7022*$E7022)</f>
        <v/>
      </c>
      <c r="G7022" s="103" t="str">
        <f aca="false">IF($C7022="","",$D7022*IFERROR(INDEX('تحليل التكلفة والسعر'!$C$2:$C$700,MATCH($C7022,'تحليل التكلفة والسعر'!$B$2:$B$700,0)),0))</f>
        <v/>
      </c>
    </row>
    <row r="7023" customFormat="false" ht="15" hidden="false" customHeight="false" outlineLevel="0" collapsed="false">
      <c r="A7023" s="102"/>
      <c r="E7023" s="103" t="str">
        <f aca="false">IF($C7023="","",IFERROR(INDEX(المنيو!$C$2:$C$500,MATCH($C7023,المنيو!$B$2:$B$500,0)),0))</f>
        <v/>
      </c>
      <c r="F7023" s="103" t="str">
        <f aca="false">IF($C7023="","",$D7023*$E7023)</f>
        <v/>
      </c>
      <c r="G7023" s="103" t="str">
        <f aca="false">IF($C7023="","",$D7023*IFERROR(INDEX('تحليل التكلفة والسعر'!$C$2:$C$700,MATCH($C7023,'تحليل التكلفة والسعر'!$B$2:$B$700,0)),0))</f>
        <v/>
      </c>
    </row>
    <row r="7024" customFormat="false" ht="15" hidden="false" customHeight="false" outlineLevel="0" collapsed="false">
      <c r="A7024" s="102"/>
      <c r="E7024" s="103" t="str">
        <f aca="false">IF($C7024="","",IFERROR(INDEX(المنيو!$C$2:$C$500,MATCH($C7024,المنيو!$B$2:$B$500,0)),0))</f>
        <v/>
      </c>
      <c r="F7024" s="103" t="str">
        <f aca="false">IF($C7024="","",$D7024*$E7024)</f>
        <v/>
      </c>
      <c r="G7024" s="103" t="str">
        <f aca="false">IF($C7024="","",$D7024*IFERROR(INDEX('تحليل التكلفة والسعر'!$C$2:$C$700,MATCH($C7024,'تحليل التكلفة والسعر'!$B$2:$B$700,0)),0))</f>
        <v/>
      </c>
    </row>
    <row r="7025" customFormat="false" ht="15" hidden="false" customHeight="false" outlineLevel="0" collapsed="false">
      <c r="A7025" s="102"/>
      <c r="E7025" s="103" t="str">
        <f aca="false">IF($C7025="","",IFERROR(INDEX(المنيو!$C$2:$C$500,MATCH($C7025,المنيو!$B$2:$B$500,0)),0))</f>
        <v/>
      </c>
      <c r="F7025" s="103" t="str">
        <f aca="false">IF($C7025="","",$D7025*$E7025)</f>
        <v/>
      </c>
      <c r="G7025" s="103" t="str">
        <f aca="false">IF($C7025="","",$D7025*IFERROR(INDEX('تحليل التكلفة والسعر'!$C$2:$C$700,MATCH($C7025,'تحليل التكلفة والسعر'!$B$2:$B$700,0)),0))</f>
        <v/>
      </c>
    </row>
    <row r="7026" customFormat="false" ht="15" hidden="false" customHeight="false" outlineLevel="0" collapsed="false">
      <c r="A7026" s="102"/>
      <c r="E7026" s="103" t="str">
        <f aca="false">IF($C7026="","",IFERROR(INDEX(المنيو!$C$2:$C$500,MATCH($C7026,المنيو!$B$2:$B$500,0)),0))</f>
        <v/>
      </c>
      <c r="F7026" s="103" t="str">
        <f aca="false">IF($C7026="","",$D7026*$E7026)</f>
        <v/>
      </c>
      <c r="G7026" s="103" t="str">
        <f aca="false">IF($C7026="","",$D7026*IFERROR(INDEX('تحليل التكلفة والسعر'!$C$2:$C$700,MATCH($C7026,'تحليل التكلفة والسعر'!$B$2:$B$700,0)),0))</f>
        <v/>
      </c>
    </row>
    <row r="7027" customFormat="false" ht="15" hidden="false" customHeight="false" outlineLevel="0" collapsed="false">
      <c r="A7027" s="102"/>
      <c r="E7027" s="103" t="str">
        <f aca="false">IF($C7027="","",IFERROR(INDEX(المنيو!$C$2:$C$500,MATCH($C7027,المنيو!$B$2:$B$500,0)),0))</f>
        <v/>
      </c>
      <c r="F7027" s="103" t="str">
        <f aca="false">IF($C7027="","",$D7027*$E7027)</f>
        <v/>
      </c>
      <c r="G7027" s="103" t="str">
        <f aca="false">IF($C7027="","",$D7027*IFERROR(INDEX('تحليل التكلفة والسعر'!$C$2:$C$700,MATCH($C7027,'تحليل التكلفة والسعر'!$B$2:$B$700,0)),0))</f>
        <v/>
      </c>
    </row>
    <row r="7028" customFormat="false" ht="15" hidden="false" customHeight="false" outlineLevel="0" collapsed="false">
      <c r="A7028" s="102"/>
      <c r="E7028" s="103" t="str">
        <f aca="false">IF($C7028="","",IFERROR(INDEX(المنيو!$C$2:$C$500,MATCH($C7028,المنيو!$B$2:$B$500,0)),0))</f>
        <v/>
      </c>
      <c r="F7028" s="103" t="str">
        <f aca="false">IF($C7028="","",$D7028*$E7028)</f>
        <v/>
      </c>
      <c r="G7028" s="103" t="str">
        <f aca="false">IF($C7028="","",$D7028*IFERROR(INDEX('تحليل التكلفة والسعر'!$C$2:$C$700,MATCH($C7028,'تحليل التكلفة والسعر'!$B$2:$B$700,0)),0))</f>
        <v/>
      </c>
    </row>
    <row r="7029" customFormat="false" ht="15" hidden="false" customHeight="false" outlineLevel="0" collapsed="false">
      <c r="A7029" s="102"/>
      <c r="E7029" s="103" t="str">
        <f aca="false">IF($C7029="","",IFERROR(INDEX(المنيو!$C$2:$C$500,MATCH($C7029,المنيو!$B$2:$B$500,0)),0))</f>
        <v/>
      </c>
      <c r="F7029" s="103" t="str">
        <f aca="false">IF($C7029="","",$D7029*$E7029)</f>
        <v/>
      </c>
      <c r="G7029" s="103" t="str">
        <f aca="false">IF($C7029="","",$D7029*IFERROR(INDEX('تحليل التكلفة والسعر'!$C$2:$C$700,MATCH($C7029,'تحليل التكلفة والسعر'!$B$2:$B$700,0)),0))</f>
        <v/>
      </c>
    </row>
    <row r="7030" customFormat="false" ht="15" hidden="false" customHeight="false" outlineLevel="0" collapsed="false">
      <c r="A7030" s="102"/>
      <c r="E7030" s="103" t="str">
        <f aca="false">IF($C7030="","",IFERROR(INDEX(المنيو!$C$2:$C$500,MATCH($C7030,المنيو!$B$2:$B$500,0)),0))</f>
        <v/>
      </c>
      <c r="F7030" s="103" t="str">
        <f aca="false">IF($C7030="","",$D7030*$E7030)</f>
        <v/>
      </c>
      <c r="G7030" s="103" t="str">
        <f aca="false">IF($C7030="","",$D7030*IFERROR(INDEX('تحليل التكلفة والسعر'!$C$2:$C$700,MATCH($C7030,'تحليل التكلفة والسعر'!$B$2:$B$700,0)),0))</f>
        <v/>
      </c>
    </row>
    <row r="7031" customFormat="false" ht="15" hidden="false" customHeight="false" outlineLevel="0" collapsed="false">
      <c r="A7031" s="102"/>
      <c r="E7031" s="103" t="str">
        <f aca="false">IF($C7031="","",IFERROR(INDEX(المنيو!$C$2:$C$500,MATCH($C7031,المنيو!$B$2:$B$500,0)),0))</f>
        <v/>
      </c>
      <c r="F7031" s="103" t="str">
        <f aca="false">IF($C7031="","",$D7031*$E7031)</f>
        <v/>
      </c>
      <c r="G7031" s="103" t="str">
        <f aca="false">IF($C7031="","",$D7031*IFERROR(INDEX('تحليل التكلفة والسعر'!$C$2:$C$700,MATCH($C7031,'تحليل التكلفة والسعر'!$B$2:$B$700,0)),0))</f>
        <v/>
      </c>
    </row>
    <row r="7032" customFormat="false" ht="15" hidden="false" customHeight="false" outlineLevel="0" collapsed="false">
      <c r="A7032" s="102"/>
      <c r="E7032" s="103" t="str">
        <f aca="false">IF($C7032="","",IFERROR(INDEX(المنيو!$C$2:$C$500,MATCH($C7032,المنيو!$B$2:$B$500,0)),0))</f>
        <v/>
      </c>
      <c r="F7032" s="103" t="str">
        <f aca="false">IF($C7032="","",$D7032*$E7032)</f>
        <v/>
      </c>
      <c r="G7032" s="103" t="str">
        <f aca="false">IF($C7032="","",$D7032*IFERROR(INDEX('تحليل التكلفة والسعر'!$C$2:$C$700,MATCH($C7032,'تحليل التكلفة والسعر'!$B$2:$B$700,0)),0))</f>
        <v/>
      </c>
    </row>
    <row r="7033" customFormat="false" ht="15" hidden="false" customHeight="false" outlineLevel="0" collapsed="false">
      <c r="A7033" s="102"/>
      <c r="E7033" s="103" t="str">
        <f aca="false">IF($C7033="","",IFERROR(INDEX(المنيو!$C$2:$C$500,MATCH($C7033,المنيو!$B$2:$B$500,0)),0))</f>
        <v/>
      </c>
      <c r="F7033" s="103" t="str">
        <f aca="false">IF($C7033="","",$D7033*$E7033)</f>
        <v/>
      </c>
      <c r="G7033" s="103" t="str">
        <f aca="false">IF($C7033="","",$D7033*IFERROR(INDEX('تحليل التكلفة والسعر'!$C$2:$C$700,MATCH($C7033,'تحليل التكلفة والسعر'!$B$2:$B$700,0)),0))</f>
        <v/>
      </c>
    </row>
    <row r="7034" customFormat="false" ht="15" hidden="false" customHeight="false" outlineLevel="0" collapsed="false">
      <c r="A7034" s="102"/>
      <c r="E7034" s="103" t="str">
        <f aca="false">IF($C7034="","",IFERROR(INDEX(المنيو!$C$2:$C$500,MATCH($C7034,المنيو!$B$2:$B$500,0)),0))</f>
        <v/>
      </c>
      <c r="F7034" s="103" t="str">
        <f aca="false">IF($C7034="","",$D7034*$E7034)</f>
        <v/>
      </c>
      <c r="G7034" s="103" t="str">
        <f aca="false">IF($C7034="","",$D7034*IFERROR(INDEX('تحليل التكلفة والسعر'!$C$2:$C$700,MATCH($C7034,'تحليل التكلفة والسعر'!$B$2:$B$700,0)),0))</f>
        <v/>
      </c>
    </row>
    <row r="7035" customFormat="false" ht="15" hidden="false" customHeight="false" outlineLevel="0" collapsed="false">
      <c r="A7035" s="102"/>
      <c r="E7035" s="103" t="str">
        <f aca="false">IF($C7035="","",IFERROR(INDEX(المنيو!$C$2:$C$500,MATCH($C7035,المنيو!$B$2:$B$500,0)),0))</f>
        <v/>
      </c>
      <c r="F7035" s="103" t="str">
        <f aca="false">IF($C7035="","",$D7035*$E7035)</f>
        <v/>
      </c>
      <c r="G7035" s="103" t="str">
        <f aca="false">IF($C7035="","",$D7035*IFERROR(INDEX('تحليل التكلفة والسعر'!$C$2:$C$700,MATCH($C7035,'تحليل التكلفة والسعر'!$B$2:$B$700,0)),0))</f>
        <v/>
      </c>
    </row>
    <row r="7036" customFormat="false" ht="15" hidden="false" customHeight="false" outlineLevel="0" collapsed="false">
      <c r="A7036" s="102"/>
      <c r="E7036" s="103" t="str">
        <f aca="false">IF($C7036="","",IFERROR(INDEX(المنيو!$C$2:$C$500,MATCH($C7036,المنيو!$B$2:$B$500,0)),0))</f>
        <v/>
      </c>
      <c r="F7036" s="103" t="str">
        <f aca="false">IF($C7036="","",$D7036*$E7036)</f>
        <v/>
      </c>
      <c r="G7036" s="103" t="str">
        <f aca="false">IF($C7036="","",$D7036*IFERROR(INDEX('تحليل التكلفة والسعر'!$C$2:$C$700,MATCH($C7036,'تحليل التكلفة والسعر'!$B$2:$B$700,0)),0))</f>
        <v/>
      </c>
    </row>
    <row r="7037" customFormat="false" ht="15" hidden="false" customHeight="false" outlineLevel="0" collapsed="false">
      <c r="A7037" s="102"/>
      <c r="E7037" s="103" t="str">
        <f aca="false">IF($C7037="","",IFERROR(INDEX(المنيو!$C$2:$C$500,MATCH($C7037,المنيو!$B$2:$B$500,0)),0))</f>
        <v/>
      </c>
      <c r="F7037" s="103" t="str">
        <f aca="false">IF($C7037="","",$D7037*$E7037)</f>
        <v/>
      </c>
      <c r="G7037" s="103" t="str">
        <f aca="false">IF($C7037="","",$D7037*IFERROR(INDEX('تحليل التكلفة والسعر'!$C$2:$C$700,MATCH($C7037,'تحليل التكلفة والسعر'!$B$2:$B$700,0)),0))</f>
        <v/>
      </c>
    </row>
    <row r="7038" customFormat="false" ht="15" hidden="false" customHeight="false" outlineLevel="0" collapsed="false">
      <c r="A7038" s="102"/>
      <c r="E7038" s="103" t="str">
        <f aca="false">IF($C7038="","",IFERROR(INDEX(المنيو!$C$2:$C$500,MATCH($C7038,المنيو!$B$2:$B$500,0)),0))</f>
        <v/>
      </c>
      <c r="F7038" s="103" t="str">
        <f aca="false">IF($C7038="","",$D7038*$E7038)</f>
        <v/>
      </c>
      <c r="G7038" s="103" t="str">
        <f aca="false">IF($C7038="","",$D7038*IFERROR(INDEX('تحليل التكلفة والسعر'!$C$2:$C$700,MATCH($C7038,'تحليل التكلفة والسعر'!$B$2:$B$700,0)),0))</f>
        <v/>
      </c>
    </row>
    <row r="7039" customFormat="false" ht="15" hidden="false" customHeight="false" outlineLevel="0" collapsed="false">
      <c r="A7039" s="102"/>
      <c r="E7039" s="103" t="str">
        <f aca="false">IF($C7039="","",IFERROR(INDEX(المنيو!$C$2:$C$500,MATCH($C7039,المنيو!$B$2:$B$500,0)),0))</f>
        <v/>
      </c>
      <c r="F7039" s="103" t="str">
        <f aca="false">IF($C7039="","",$D7039*$E7039)</f>
        <v/>
      </c>
      <c r="G7039" s="103" t="str">
        <f aca="false">IF($C7039="","",$D7039*IFERROR(INDEX('تحليل التكلفة والسعر'!$C$2:$C$700,MATCH($C7039,'تحليل التكلفة والسعر'!$B$2:$B$700,0)),0))</f>
        <v/>
      </c>
    </row>
    <row r="7040" customFormat="false" ht="15" hidden="false" customHeight="false" outlineLevel="0" collapsed="false">
      <c r="A7040" s="102"/>
      <c r="E7040" s="103" t="str">
        <f aca="false">IF($C7040="","",IFERROR(INDEX(المنيو!$C$2:$C$500,MATCH($C7040,المنيو!$B$2:$B$500,0)),0))</f>
        <v/>
      </c>
      <c r="F7040" s="103" t="str">
        <f aca="false">IF($C7040="","",$D7040*$E7040)</f>
        <v/>
      </c>
      <c r="G7040" s="103" t="str">
        <f aca="false">IF($C7040="","",$D7040*IFERROR(INDEX('تحليل التكلفة والسعر'!$C$2:$C$700,MATCH($C7040,'تحليل التكلفة والسعر'!$B$2:$B$700,0)),0))</f>
        <v/>
      </c>
    </row>
    <row r="7041" customFormat="false" ht="15" hidden="false" customHeight="false" outlineLevel="0" collapsed="false">
      <c r="A7041" s="102"/>
      <c r="E7041" s="103" t="str">
        <f aca="false">IF($C7041="","",IFERROR(INDEX(المنيو!$C$2:$C$500,MATCH($C7041,المنيو!$B$2:$B$500,0)),0))</f>
        <v/>
      </c>
      <c r="F7041" s="103" t="str">
        <f aca="false">IF($C7041="","",$D7041*$E7041)</f>
        <v/>
      </c>
      <c r="G7041" s="103" t="str">
        <f aca="false">IF($C7041="","",$D7041*IFERROR(INDEX('تحليل التكلفة والسعر'!$C$2:$C$700,MATCH($C7041,'تحليل التكلفة والسعر'!$B$2:$B$700,0)),0))</f>
        <v/>
      </c>
    </row>
    <row r="7042" customFormat="false" ht="15" hidden="false" customHeight="false" outlineLevel="0" collapsed="false">
      <c r="A7042" s="102"/>
      <c r="E7042" s="103" t="str">
        <f aca="false">IF($C7042="","",IFERROR(INDEX(المنيو!$C$2:$C$500,MATCH($C7042,المنيو!$B$2:$B$500,0)),0))</f>
        <v/>
      </c>
      <c r="F7042" s="103" t="str">
        <f aca="false">IF($C7042="","",$D7042*$E7042)</f>
        <v/>
      </c>
      <c r="G7042" s="103" t="str">
        <f aca="false">IF($C7042="","",$D7042*IFERROR(INDEX('تحليل التكلفة والسعر'!$C$2:$C$700,MATCH($C7042,'تحليل التكلفة والسعر'!$B$2:$B$700,0)),0))</f>
        <v/>
      </c>
    </row>
    <row r="7043" customFormat="false" ht="15" hidden="false" customHeight="false" outlineLevel="0" collapsed="false">
      <c r="A7043" s="102"/>
      <c r="E7043" s="103" t="str">
        <f aca="false">IF($C7043="","",IFERROR(INDEX(المنيو!$C$2:$C$500,MATCH($C7043,المنيو!$B$2:$B$500,0)),0))</f>
        <v/>
      </c>
      <c r="F7043" s="103" t="str">
        <f aca="false">IF($C7043="","",$D7043*$E7043)</f>
        <v/>
      </c>
      <c r="G7043" s="103" t="str">
        <f aca="false">IF($C7043="","",$D7043*IFERROR(INDEX('تحليل التكلفة والسعر'!$C$2:$C$700,MATCH($C7043,'تحليل التكلفة والسعر'!$B$2:$B$700,0)),0))</f>
        <v/>
      </c>
    </row>
    <row r="7044" customFormat="false" ht="15" hidden="false" customHeight="false" outlineLevel="0" collapsed="false">
      <c r="A7044" s="102"/>
      <c r="E7044" s="103" t="str">
        <f aca="false">IF($C7044="","",IFERROR(INDEX(المنيو!$C$2:$C$500,MATCH($C7044,المنيو!$B$2:$B$500,0)),0))</f>
        <v/>
      </c>
      <c r="F7044" s="103" t="str">
        <f aca="false">IF($C7044="","",$D7044*$E7044)</f>
        <v/>
      </c>
      <c r="G7044" s="103" t="str">
        <f aca="false">IF($C7044="","",$D7044*IFERROR(INDEX('تحليل التكلفة والسعر'!$C$2:$C$700,MATCH($C7044,'تحليل التكلفة والسعر'!$B$2:$B$700,0)),0))</f>
        <v/>
      </c>
    </row>
    <row r="7045" customFormat="false" ht="15" hidden="false" customHeight="false" outlineLevel="0" collapsed="false">
      <c r="A7045" s="102"/>
      <c r="E7045" s="103" t="str">
        <f aca="false">IF($C7045="","",IFERROR(INDEX(المنيو!$C$2:$C$500,MATCH($C7045,المنيو!$B$2:$B$500,0)),0))</f>
        <v/>
      </c>
      <c r="F7045" s="103" t="str">
        <f aca="false">IF($C7045="","",$D7045*$E7045)</f>
        <v/>
      </c>
      <c r="G7045" s="103" t="str">
        <f aca="false">IF($C7045="","",$D7045*IFERROR(INDEX('تحليل التكلفة والسعر'!$C$2:$C$700,MATCH($C7045,'تحليل التكلفة والسعر'!$B$2:$B$700,0)),0))</f>
        <v/>
      </c>
    </row>
    <row r="7046" customFormat="false" ht="15" hidden="false" customHeight="false" outlineLevel="0" collapsed="false">
      <c r="A7046" s="102"/>
      <c r="E7046" s="103" t="str">
        <f aca="false">IF($C7046="","",IFERROR(INDEX(المنيو!$C$2:$C$500,MATCH($C7046,المنيو!$B$2:$B$500,0)),0))</f>
        <v/>
      </c>
      <c r="F7046" s="103" t="str">
        <f aca="false">IF($C7046="","",$D7046*$E7046)</f>
        <v/>
      </c>
      <c r="G7046" s="103" t="str">
        <f aca="false">IF($C7046="","",$D7046*IFERROR(INDEX('تحليل التكلفة والسعر'!$C$2:$C$700,MATCH($C7046,'تحليل التكلفة والسعر'!$B$2:$B$700,0)),0))</f>
        <v/>
      </c>
    </row>
    <row r="7047" customFormat="false" ht="15" hidden="false" customHeight="false" outlineLevel="0" collapsed="false">
      <c r="A7047" s="102"/>
      <c r="E7047" s="103" t="str">
        <f aca="false">IF($C7047="","",IFERROR(INDEX(المنيو!$C$2:$C$500,MATCH($C7047,المنيو!$B$2:$B$500,0)),0))</f>
        <v/>
      </c>
      <c r="F7047" s="103" t="str">
        <f aca="false">IF($C7047="","",$D7047*$E7047)</f>
        <v/>
      </c>
      <c r="G7047" s="103" t="str">
        <f aca="false">IF($C7047="","",$D7047*IFERROR(INDEX('تحليل التكلفة والسعر'!$C$2:$C$700,MATCH($C7047,'تحليل التكلفة والسعر'!$B$2:$B$700,0)),0))</f>
        <v/>
      </c>
    </row>
    <row r="7048" customFormat="false" ht="15" hidden="false" customHeight="false" outlineLevel="0" collapsed="false">
      <c r="A7048" s="102"/>
      <c r="E7048" s="103" t="str">
        <f aca="false">IF($C7048="","",IFERROR(INDEX(المنيو!$C$2:$C$500,MATCH($C7048,المنيو!$B$2:$B$500,0)),0))</f>
        <v/>
      </c>
      <c r="F7048" s="103" t="str">
        <f aca="false">IF($C7048="","",$D7048*$E7048)</f>
        <v/>
      </c>
      <c r="G7048" s="103" t="str">
        <f aca="false">IF($C7048="","",$D7048*IFERROR(INDEX('تحليل التكلفة والسعر'!$C$2:$C$700,MATCH($C7048,'تحليل التكلفة والسعر'!$B$2:$B$700,0)),0))</f>
        <v/>
      </c>
    </row>
    <row r="7049" customFormat="false" ht="15" hidden="false" customHeight="false" outlineLevel="0" collapsed="false">
      <c r="A7049" s="102"/>
      <c r="E7049" s="103" t="str">
        <f aca="false">IF($C7049="","",IFERROR(INDEX(المنيو!$C$2:$C$500,MATCH($C7049,المنيو!$B$2:$B$500,0)),0))</f>
        <v/>
      </c>
      <c r="F7049" s="103" t="str">
        <f aca="false">IF($C7049="","",$D7049*$E7049)</f>
        <v/>
      </c>
      <c r="G7049" s="103" t="str">
        <f aca="false">IF($C7049="","",$D7049*IFERROR(INDEX('تحليل التكلفة والسعر'!$C$2:$C$700,MATCH($C7049,'تحليل التكلفة والسعر'!$B$2:$B$700,0)),0))</f>
        <v/>
      </c>
    </row>
    <row r="7050" customFormat="false" ht="15" hidden="false" customHeight="false" outlineLevel="0" collapsed="false">
      <c r="A7050" s="102"/>
      <c r="E7050" s="103" t="str">
        <f aca="false">IF($C7050="","",IFERROR(INDEX(المنيو!$C$2:$C$500,MATCH($C7050,المنيو!$B$2:$B$500,0)),0))</f>
        <v/>
      </c>
      <c r="F7050" s="103" t="str">
        <f aca="false">IF($C7050="","",$D7050*$E7050)</f>
        <v/>
      </c>
      <c r="G7050" s="103" t="str">
        <f aca="false">IF($C7050="","",$D7050*IFERROR(INDEX('تحليل التكلفة والسعر'!$C$2:$C$700,MATCH($C7050,'تحليل التكلفة والسعر'!$B$2:$B$700,0)),0))</f>
        <v/>
      </c>
    </row>
    <row r="7051" customFormat="false" ht="15" hidden="false" customHeight="false" outlineLevel="0" collapsed="false">
      <c r="A7051" s="102"/>
      <c r="E7051" s="103" t="str">
        <f aca="false">IF($C7051="","",IFERROR(INDEX(المنيو!$C$2:$C$500,MATCH($C7051,المنيو!$B$2:$B$500,0)),0))</f>
        <v/>
      </c>
      <c r="F7051" s="103" t="str">
        <f aca="false">IF($C7051="","",$D7051*$E7051)</f>
        <v/>
      </c>
      <c r="G7051" s="103" t="str">
        <f aca="false">IF($C7051="","",$D7051*IFERROR(INDEX('تحليل التكلفة والسعر'!$C$2:$C$700,MATCH($C7051,'تحليل التكلفة والسعر'!$B$2:$B$700,0)),0))</f>
        <v/>
      </c>
    </row>
    <row r="7052" customFormat="false" ht="15" hidden="false" customHeight="false" outlineLevel="0" collapsed="false">
      <c r="A7052" s="102"/>
      <c r="E7052" s="103" t="str">
        <f aca="false">IF($C7052="","",IFERROR(INDEX(المنيو!$C$2:$C$500,MATCH($C7052,المنيو!$B$2:$B$500,0)),0))</f>
        <v/>
      </c>
      <c r="F7052" s="103" t="str">
        <f aca="false">IF($C7052="","",$D7052*$E7052)</f>
        <v/>
      </c>
      <c r="G7052" s="103" t="str">
        <f aca="false">IF($C7052="","",$D7052*IFERROR(INDEX('تحليل التكلفة والسعر'!$C$2:$C$700,MATCH($C7052,'تحليل التكلفة والسعر'!$B$2:$B$700,0)),0))</f>
        <v/>
      </c>
    </row>
    <row r="7053" customFormat="false" ht="15" hidden="false" customHeight="false" outlineLevel="0" collapsed="false">
      <c r="A7053" s="102"/>
      <c r="E7053" s="103" t="str">
        <f aca="false">IF($C7053="","",IFERROR(INDEX(المنيو!$C$2:$C$500,MATCH($C7053,المنيو!$B$2:$B$500,0)),0))</f>
        <v/>
      </c>
      <c r="F7053" s="103" t="str">
        <f aca="false">IF($C7053="","",$D7053*$E7053)</f>
        <v/>
      </c>
      <c r="G7053" s="103" t="str">
        <f aca="false">IF($C7053="","",$D7053*IFERROR(INDEX('تحليل التكلفة والسعر'!$C$2:$C$700,MATCH($C7053,'تحليل التكلفة والسعر'!$B$2:$B$700,0)),0))</f>
        <v/>
      </c>
    </row>
    <row r="7054" customFormat="false" ht="15" hidden="false" customHeight="false" outlineLevel="0" collapsed="false">
      <c r="A7054" s="102"/>
      <c r="E7054" s="103" t="str">
        <f aca="false">IF($C7054="","",IFERROR(INDEX(المنيو!$C$2:$C$500,MATCH($C7054,المنيو!$B$2:$B$500,0)),0))</f>
        <v/>
      </c>
      <c r="F7054" s="103" t="str">
        <f aca="false">IF($C7054="","",$D7054*$E7054)</f>
        <v/>
      </c>
      <c r="G7054" s="103" t="str">
        <f aca="false">IF($C7054="","",$D7054*IFERROR(INDEX('تحليل التكلفة والسعر'!$C$2:$C$700,MATCH($C7054,'تحليل التكلفة والسعر'!$B$2:$B$700,0)),0))</f>
        <v/>
      </c>
    </row>
    <row r="7055" customFormat="false" ht="15" hidden="false" customHeight="false" outlineLevel="0" collapsed="false">
      <c r="A7055" s="102"/>
      <c r="E7055" s="103" t="str">
        <f aca="false">IF($C7055="","",IFERROR(INDEX(المنيو!$C$2:$C$500,MATCH($C7055,المنيو!$B$2:$B$500,0)),0))</f>
        <v/>
      </c>
      <c r="F7055" s="103" t="str">
        <f aca="false">IF($C7055="","",$D7055*$E7055)</f>
        <v/>
      </c>
      <c r="G7055" s="103" t="str">
        <f aca="false">IF($C7055="","",$D7055*IFERROR(INDEX('تحليل التكلفة والسعر'!$C$2:$C$700,MATCH($C7055,'تحليل التكلفة والسعر'!$B$2:$B$700,0)),0))</f>
        <v/>
      </c>
    </row>
    <row r="7056" customFormat="false" ht="15" hidden="false" customHeight="false" outlineLevel="0" collapsed="false">
      <c r="A7056" s="102"/>
      <c r="E7056" s="103" t="str">
        <f aca="false">IF($C7056="","",IFERROR(INDEX(المنيو!$C$2:$C$500,MATCH($C7056,المنيو!$B$2:$B$500,0)),0))</f>
        <v/>
      </c>
      <c r="F7056" s="103" t="str">
        <f aca="false">IF($C7056="","",$D7056*$E7056)</f>
        <v/>
      </c>
      <c r="G7056" s="103" t="str">
        <f aca="false">IF($C7056="","",$D7056*IFERROR(INDEX('تحليل التكلفة والسعر'!$C$2:$C$700,MATCH($C7056,'تحليل التكلفة والسعر'!$B$2:$B$700,0)),0))</f>
        <v/>
      </c>
    </row>
    <row r="7057" customFormat="false" ht="15" hidden="false" customHeight="false" outlineLevel="0" collapsed="false">
      <c r="A7057" s="102"/>
      <c r="E7057" s="103" t="str">
        <f aca="false">IF($C7057="","",IFERROR(INDEX(المنيو!$C$2:$C$500,MATCH($C7057,المنيو!$B$2:$B$500,0)),0))</f>
        <v/>
      </c>
      <c r="F7057" s="103" t="str">
        <f aca="false">IF($C7057="","",$D7057*$E7057)</f>
        <v/>
      </c>
      <c r="G7057" s="103" t="str">
        <f aca="false">IF($C7057="","",$D7057*IFERROR(INDEX('تحليل التكلفة والسعر'!$C$2:$C$700,MATCH($C7057,'تحليل التكلفة والسعر'!$B$2:$B$700,0)),0))</f>
        <v/>
      </c>
    </row>
    <row r="7058" customFormat="false" ht="15" hidden="false" customHeight="false" outlineLevel="0" collapsed="false">
      <c r="A7058" s="102"/>
      <c r="E7058" s="103" t="str">
        <f aca="false">IF($C7058="","",IFERROR(INDEX(المنيو!$C$2:$C$500,MATCH($C7058,المنيو!$B$2:$B$500,0)),0))</f>
        <v/>
      </c>
      <c r="F7058" s="103" t="str">
        <f aca="false">IF($C7058="","",$D7058*$E7058)</f>
        <v/>
      </c>
      <c r="G7058" s="103" t="str">
        <f aca="false">IF($C7058="","",$D7058*IFERROR(INDEX('تحليل التكلفة والسعر'!$C$2:$C$700,MATCH($C7058,'تحليل التكلفة والسعر'!$B$2:$B$700,0)),0))</f>
        <v/>
      </c>
    </row>
    <row r="7059" customFormat="false" ht="15" hidden="false" customHeight="false" outlineLevel="0" collapsed="false">
      <c r="A7059" s="102"/>
      <c r="E7059" s="103" t="str">
        <f aca="false">IF($C7059="","",IFERROR(INDEX(المنيو!$C$2:$C$500,MATCH($C7059,المنيو!$B$2:$B$500,0)),0))</f>
        <v/>
      </c>
      <c r="F7059" s="103" t="str">
        <f aca="false">IF($C7059="","",$D7059*$E7059)</f>
        <v/>
      </c>
      <c r="G7059" s="103" t="str">
        <f aca="false">IF($C7059="","",$D7059*IFERROR(INDEX('تحليل التكلفة والسعر'!$C$2:$C$700,MATCH($C7059,'تحليل التكلفة والسعر'!$B$2:$B$700,0)),0))</f>
        <v/>
      </c>
    </row>
    <row r="7060" customFormat="false" ht="15" hidden="false" customHeight="false" outlineLevel="0" collapsed="false">
      <c r="A7060" s="102"/>
      <c r="E7060" s="103" t="str">
        <f aca="false">IF($C7060="","",IFERROR(INDEX(المنيو!$C$2:$C$500,MATCH($C7060,المنيو!$B$2:$B$500,0)),0))</f>
        <v/>
      </c>
      <c r="F7060" s="103" t="str">
        <f aca="false">IF($C7060="","",$D7060*$E7060)</f>
        <v/>
      </c>
      <c r="G7060" s="103" t="str">
        <f aca="false">IF($C7060="","",$D7060*IFERROR(INDEX('تحليل التكلفة والسعر'!$C$2:$C$700,MATCH($C7060,'تحليل التكلفة والسعر'!$B$2:$B$700,0)),0))</f>
        <v/>
      </c>
    </row>
    <row r="7061" customFormat="false" ht="15" hidden="false" customHeight="false" outlineLevel="0" collapsed="false">
      <c r="A7061" s="102"/>
      <c r="E7061" s="103" t="str">
        <f aca="false">IF($C7061="","",IFERROR(INDEX(المنيو!$C$2:$C$500,MATCH($C7061,المنيو!$B$2:$B$500,0)),0))</f>
        <v/>
      </c>
      <c r="F7061" s="103" t="str">
        <f aca="false">IF($C7061="","",$D7061*$E7061)</f>
        <v/>
      </c>
      <c r="G7061" s="103" t="str">
        <f aca="false">IF($C7061="","",$D7061*IFERROR(INDEX('تحليل التكلفة والسعر'!$C$2:$C$700,MATCH($C7061,'تحليل التكلفة والسعر'!$B$2:$B$700,0)),0))</f>
        <v/>
      </c>
    </row>
    <row r="7062" customFormat="false" ht="15" hidden="false" customHeight="false" outlineLevel="0" collapsed="false">
      <c r="A7062" s="102"/>
      <c r="E7062" s="103" t="str">
        <f aca="false">IF($C7062="","",IFERROR(INDEX(المنيو!$C$2:$C$500,MATCH($C7062,المنيو!$B$2:$B$500,0)),0))</f>
        <v/>
      </c>
      <c r="F7062" s="103" t="str">
        <f aca="false">IF($C7062="","",$D7062*$E7062)</f>
        <v/>
      </c>
      <c r="G7062" s="103" t="str">
        <f aca="false">IF($C7062="","",$D7062*IFERROR(INDEX('تحليل التكلفة والسعر'!$C$2:$C$700,MATCH($C7062,'تحليل التكلفة والسعر'!$B$2:$B$700,0)),0))</f>
        <v/>
      </c>
    </row>
    <row r="7063" customFormat="false" ht="15" hidden="false" customHeight="false" outlineLevel="0" collapsed="false">
      <c r="A7063" s="102"/>
      <c r="E7063" s="103" t="str">
        <f aca="false">IF($C7063="","",IFERROR(INDEX(المنيو!$C$2:$C$500,MATCH($C7063,المنيو!$B$2:$B$500,0)),0))</f>
        <v/>
      </c>
      <c r="F7063" s="103" t="str">
        <f aca="false">IF($C7063="","",$D7063*$E7063)</f>
        <v/>
      </c>
      <c r="G7063" s="103" t="str">
        <f aca="false">IF($C7063="","",$D7063*IFERROR(INDEX('تحليل التكلفة والسعر'!$C$2:$C$700,MATCH($C7063,'تحليل التكلفة والسعر'!$B$2:$B$700,0)),0))</f>
        <v/>
      </c>
    </row>
    <row r="7064" customFormat="false" ht="15" hidden="false" customHeight="false" outlineLevel="0" collapsed="false">
      <c r="A7064" s="102"/>
      <c r="E7064" s="103" t="str">
        <f aca="false">IF($C7064="","",IFERROR(INDEX(المنيو!$C$2:$C$500,MATCH($C7064,المنيو!$B$2:$B$500,0)),0))</f>
        <v/>
      </c>
      <c r="F7064" s="103" t="str">
        <f aca="false">IF($C7064="","",$D7064*$E7064)</f>
        <v/>
      </c>
      <c r="G7064" s="103" t="str">
        <f aca="false">IF($C7064="","",$D7064*IFERROR(INDEX('تحليل التكلفة والسعر'!$C$2:$C$700,MATCH($C7064,'تحليل التكلفة والسعر'!$B$2:$B$700,0)),0))</f>
        <v/>
      </c>
    </row>
    <row r="7065" customFormat="false" ht="15" hidden="false" customHeight="false" outlineLevel="0" collapsed="false">
      <c r="A7065" s="102"/>
      <c r="E7065" s="103" t="str">
        <f aca="false">IF($C7065="","",IFERROR(INDEX(المنيو!$C$2:$C$500,MATCH($C7065,المنيو!$B$2:$B$500,0)),0))</f>
        <v/>
      </c>
      <c r="F7065" s="103" t="str">
        <f aca="false">IF($C7065="","",$D7065*$E7065)</f>
        <v/>
      </c>
      <c r="G7065" s="103" t="str">
        <f aca="false">IF($C7065="","",$D7065*IFERROR(INDEX('تحليل التكلفة والسعر'!$C$2:$C$700,MATCH($C7065,'تحليل التكلفة والسعر'!$B$2:$B$700,0)),0))</f>
        <v/>
      </c>
    </row>
    <row r="7066" customFormat="false" ht="15" hidden="false" customHeight="false" outlineLevel="0" collapsed="false">
      <c r="A7066" s="102"/>
      <c r="E7066" s="103" t="str">
        <f aca="false">IF($C7066="","",IFERROR(INDEX(المنيو!$C$2:$C$500,MATCH($C7066,المنيو!$B$2:$B$500,0)),0))</f>
        <v/>
      </c>
      <c r="F7066" s="103" t="str">
        <f aca="false">IF($C7066="","",$D7066*$E7066)</f>
        <v/>
      </c>
      <c r="G7066" s="103" t="str">
        <f aca="false">IF($C7066="","",$D7066*IFERROR(INDEX('تحليل التكلفة والسعر'!$C$2:$C$700,MATCH($C7066,'تحليل التكلفة والسعر'!$B$2:$B$700,0)),0))</f>
        <v/>
      </c>
    </row>
    <row r="7067" customFormat="false" ht="15" hidden="false" customHeight="false" outlineLevel="0" collapsed="false">
      <c r="A7067" s="102"/>
      <c r="E7067" s="103" t="str">
        <f aca="false">IF($C7067="","",IFERROR(INDEX(المنيو!$C$2:$C$500,MATCH($C7067,المنيو!$B$2:$B$500,0)),0))</f>
        <v/>
      </c>
      <c r="F7067" s="103" t="str">
        <f aca="false">IF($C7067="","",$D7067*$E7067)</f>
        <v/>
      </c>
      <c r="G7067" s="103" t="str">
        <f aca="false">IF($C7067="","",$D7067*IFERROR(INDEX('تحليل التكلفة والسعر'!$C$2:$C$700,MATCH($C7067,'تحليل التكلفة والسعر'!$B$2:$B$700,0)),0))</f>
        <v/>
      </c>
    </row>
    <row r="7068" customFormat="false" ht="15" hidden="false" customHeight="false" outlineLevel="0" collapsed="false">
      <c r="A7068" s="102"/>
      <c r="E7068" s="103" t="str">
        <f aca="false">IF($C7068="","",IFERROR(INDEX(المنيو!$C$2:$C$500,MATCH($C7068,المنيو!$B$2:$B$500,0)),0))</f>
        <v/>
      </c>
      <c r="F7068" s="103" t="str">
        <f aca="false">IF($C7068="","",$D7068*$E7068)</f>
        <v/>
      </c>
      <c r="G7068" s="103" t="str">
        <f aca="false">IF($C7068="","",$D7068*IFERROR(INDEX('تحليل التكلفة والسعر'!$C$2:$C$700,MATCH($C7068,'تحليل التكلفة والسعر'!$B$2:$B$700,0)),0))</f>
        <v/>
      </c>
    </row>
    <row r="7069" customFormat="false" ht="15" hidden="false" customHeight="false" outlineLevel="0" collapsed="false">
      <c r="A7069" s="102"/>
      <c r="E7069" s="103" t="str">
        <f aca="false">IF($C7069="","",IFERROR(INDEX(المنيو!$C$2:$C$500,MATCH($C7069,المنيو!$B$2:$B$500,0)),0))</f>
        <v/>
      </c>
      <c r="F7069" s="103" t="str">
        <f aca="false">IF($C7069="","",$D7069*$E7069)</f>
        <v/>
      </c>
      <c r="G7069" s="103" t="str">
        <f aca="false">IF($C7069="","",$D7069*IFERROR(INDEX('تحليل التكلفة والسعر'!$C$2:$C$700,MATCH($C7069,'تحليل التكلفة والسعر'!$B$2:$B$700,0)),0))</f>
        <v/>
      </c>
    </row>
    <row r="7070" customFormat="false" ht="15" hidden="false" customHeight="false" outlineLevel="0" collapsed="false">
      <c r="A7070" s="102"/>
      <c r="E7070" s="103" t="str">
        <f aca="false">IF($C7070="","",IFERROR(INDEX(المنيو!$C$2:$C$500,MATCH($C7070,المنيو!$B$2:$B$500,0)),0))</f>
        <v/>
      </c>
      <c r="F7070" s="103" t="str">
        <f aca="false">IF($C7070="","",$D7070*$E7070)</f>
        <v/>
      </c>
      <c r="G7070" s="103" t="str">
        <f aca="false">IF($C7070="","",$D7070*IFERROR(INDEX('تحليل التكلفة والسعر'!$C$2:$C$700,MATCH($C7070,'تحليل التكلفة والسعر'!$B$2:$B$700,0)),0))</f>
        <v/>
      </c>
    </row>
    <row r="7071" customFormat="false" ht="15" hidden="false" customHeight="false" outlineLevel="0" collapsed="false">
      <c r="A7071" s="102"/>
      <c r="E7071" s="103" t="str">
        <f aca="false">IF($C7071="","",IFERROR(INDEX(المنيو!$C$2:$C$500,MATCH($C7071,المنيو!$B$2:$B$500,0)),0))</f>
        <v/>
      </c>
      <c r="F7071" s="103" t="str">
        <f aca="false">IF($C7071="","",$D7071*$E7071)</f>
        <v/>
      </c>
      <c r="G7071" s="103" t="str">
        <f aca="false">IF($C7071="","",$D7071*IFERROR(INDEX('تحليل التكلفة والسعر'!$C$2:$C$700,MATCH($C7071,'تحليل التكلفة والسعر'!$B$2:$B$700,0)),0))</f>
        <v/>
      </c>
    </row>
    <row r="7072" customFormat="false" ht="15" hidden="false" customHeight="false" outlineLevel="0" collapsed="false">
      <c r="A7072" s="102"/>
      <c r="E7072" s="103" t="str">
        <f aca="false">IF($C7072="","",IFERROR(INDEX(المنيو!$C$2:$C$500,MATCH($C7072,المنيو!$B$2:$B$500,0)),0))</f>
        <v/>
      </c>
      <c r="F7072" s="103" t="str">
        <f aca="false">IF($C7072="","",$D7072*$E7072)</f>
        <v/>
      </c>
      <c r="G7072" s="103" t="str">
        <f aca="false">IF($C7072="","",$D7072*IFERROR(INDEX('تحليل التكلفة والسعر'!$C$2:$C$700,MATCH($C7072,'تحليل التكلفة والسعر'!$B$2:$B$700,0)),0))</f>
        <v/>
      </c>
    </row>
    <row r="7073" customFormat="false" ht="15" hidden="false" customHeight="false" outlineLevel="0" collapsed="false">
      <c r="A7073" s="102"/>
      <c r="E7073" s="103" t="str">
        <f aca="false">IF($C7073="","",IFERROR(INDEX(المنيو!$C$2:$C$500,MATCH($C7073,المنيو!$B$2:$B$500,0)),0))</f>
        <v/>
      </c>
      <c r="F7073" s="103" t="str">
        <f aca="false">IF($C7073="","",$D7073*$E7073)</f>
        <v/>
      </c>
      <c r="G7073" s="103" t="str">
        <f aca="false">IF($C7073="","",$D7073*IFERROR(INDEX('تحليل التكلفة والسعر'!$C$2:$C$700,MATCH($C7073,'تحليل التكلفة والسعر'!$B$2:$B$700,0)),0))</f>
        <v/>
      </c>
    </row>
    <row r="7074" customFormat="false" ht="15" hidden="false" customHeight="false" outlineLevel="0" collapsed="false">
      <c r="A7074" s="102"/>
      <c r="E7074" s="103" t="str">
        <f aca="false">IF($C7074="","",IFERROR(INDEX(المنيو!$C$2:$C$500,MATCH($C7074,المنيو!$B$2:$B$500,0)),0))</f>
        <v/>
      </c>
      <c r="F7074" s="103" t="str">
        <f aca="false">IF($C7074="","",$D7074*$E7074)</f>
        <v/>
      </c>
      <c r="G7074" s="103" t="str">
        <f aca="false">IF($C7074="","",$D7074*IFERROR(INDEX('تحليل التكلفة والسعر'!$C$2:$C$700,MATCH($C7074,'تحليل التكلفة والسعر'!$B$2:$B$700,0)),0))</f>
        <v/>
      </c>
    </row>
    <row r="7075" customFormat="false" ht="15" hidden="false" customHeight="false" outlineLevel="0" collapsed="false">
      <c r="A7075" s="102"/>
      <c r="E7075" s="103" t="str">
        <f aca="false">IF($C7075="","",IFERROR(INDEX(المنيو!$C$2:$C$500,MATCH($C7075,المنيو!$B$2:$B$500,0)),0))</f>
        <v/>
      </c>
      <c r="F7075" s="103" t="str">
        <f aca="false">IF($C7075="","",$D7075*$E7075)</f>
        <v/>
      </c>
      <c r="G7075" s="103" t="str">
        <f aca="false">IF($C7075="","",$D7075*IFERROR(INDEX('تحليل التكلفة والسعر'!$C$2:$C$700,MATCH($C7075,'تحليل التكلفة والسعر'!$B$2:$B$700,0)),0))</f>
        <v/>
      </c>
    </row>
    <row r="7076" customFormat="false" ht="15" hidden="false" customHeight="false" outlineLevel="0" collapsed="false">
      <c r="A7076" s="102"/>
      <c r="E7076" s="103" t="str">
        <f aca="false">IF($C7076="","",IFERROR(INDEX(المنيو!$C$2:$C$500,MATCH($C7076,المنيو!$B$2:$B$500,0)),0))</f>
        <v/>
      </c>
      <c r="F7076" s="103" t="str">
        <f aca="false">IF($C7076="","",$D7076*$E7076)</f>
        <v/>
      </c>
      <c r="G7076" s="103" t="str">
        <f aca="false">IF($C7076="","",$D7076*IFERROR(INDEX('تحليل التكلفة والسعر'!$C$2:$C$700,MATCH($C7076,'تحليل التكلفة والسعر'!$B$2:$B$700,0)),0))</f>
        <v/>
      </c>
    </row>
    <row r="7077" customFormat="false" ht="15" hidden="false" customHeight="false" outlineLevel="0" collapsed="false">
      <c r="A7077" s="102"/>
      <c r="E7077" s="103" t="str">
        <f aca="false">IF($C7077="","",IFERROR(INDEX(المنيو!$C$2:$C$500,MATCH($C7077,المنيو!$B$2:$B$500,0)),0))</f>
        <v/>
      </c>
      <c r="F7077" s="103" t="str">
        <f aca="false">IF($C7077="","",$D7077*$E7077)</f>
        <v/>
      </c>
      <c r="G7077" s="103" t="str">
        <f aca="false">IF($C7077="","",$D7077*IFERROR(INDEX('تحليل التكلفة والسعر'!$C$2:$C$700,MATCH($C7077,'تحليل التكلفة والسعر'!$B$2:$B$700,0)),0))</f>
        <v/>
      </c>
    </row>
    <row r="7078" customFormat="false" ht="15" hidden="false" customHeight="false" outlineLevel="0" collapsed="false">
      <c r="A7078" s="102"/>
      <c r="E7078" s="103" t="str">
        <f aca="false">IF($C7078="","",IFERROR(INDEX(المنيو!$C$2:$C$500,MATCH($C7078,المنيو!$B$2:$B$500,0)),0))</f>
        <v/>
      </c>
      <c r="F7078" s="103" t="str">
        <f aca="false">IF($C7078="","",$D7078*$E7078)</f>
        <v/>
      </c>
      <c r="G7078" s="103" t="str">
        <f aca="false">IF($C7078="","",$D7078*IFERROR(INDEX('تحليل التكلفة والسعر'!$C$2:$C$700,MATCH($C7078,'تحليل التكلفة والسعر'!$B$2:$B$700,0)),0))</f>
        <v/>
      </c>
    </row>
    <row r="7079" customFormat="false" ht="15" hidden="false" customHeight="false" outlineLevel="0" collapsed="false">
      <c r="A7079" s="102"/>
      <c r="E7079" s="103" t="str">
        <f aca="false">IF($C7079="","",IFERROR(INDEX(المنيو!$C$2:$C$500,MATCH($C7079,المنيو!$B$2:$B$500,0)),0))</f>
        <v/>
      </c>
      <c r="F7079" s="103" t="str">
        <f aca="false">IF($C7079="","",$D7079*$E7079)</f>
        <v/>
      </c>
      <c r="G7079" s="103" t="str">
        <f aca="false">IF($C7079="","",$D7079*IFERROR(INDEX('تحليل التكلفة والسعر'!$C$2:$C$700,MATCH($C7079,'تحليل التكلفة والسعر'!$B$2:$B$700,0)),0))</f>
        <v/>
      </c>
    </row>
    <row r="7080" customFormat="false" ht="15" hidden="false" customHeight="false" outlineLevel="0" collapsed="false">
      <c r="A7080" s="102"/>
      <c r="E7080" s="103" t="str">
        <f aca="false">IF($C7080="","",IFERROR(INDEX(المنيو!$C$2:$C$500,MATCH($C7080,المنيو!$B$2:$B$500,0)),0))</f>
        <v/>
      </c>
      <c r="F7080" s="103" t="str">
        <f aca="false">IF($C7080="","",$D7080*$E7080)</f>
        <v/>
      </c>
      <c r="G7080" s="103" t="str">
        <f aca="false">IF($C7080="","",$D7080*IFERROR(INDEX('تحليل التكلفة والسعر'!$C$2:$C$700,MATCH($C7080,'تحليل التكلفة والسعر'!$B$2:$B$700,0)),0))</f>
        <v/>
      </c>
    </row>
    <row r="7081" customFormat="false" ht="15" hidden="false" customHeight="false" outlineLevel="0" collapsed="false">
      <c r="A7081" s="102"/>
      <c r="E7081" s="103" t="str">
        <f aca="false">IF($C7081="","",IFERROR(INDEX(المنيو!$C$2:$C$500,MATCH($C7081,المنيو!$B$2:$B$500,0)),0))</f>
        <v/>
      </c>
      <c r="F7081" s="103" t="str">
        <f aca="false">IF($C7081="","",$D7081*$E7081)</f>
        <v/>
      </c>
      <c r="G7081" s="103" t="str">
        <f aca="false">IF($C7081="","",$D7081*IFERROR(INDEX('تحليل التكلفة والسعر'!$C$2:$C$700,MATCH($C7081,'تحليل التكلفة والسعر'!$B$2:$B$700,0)),0))</f>
        <v/>
      </c>
    </row>
    <row r="7082" customFormat="false" ht="15" hidden="false" customHeight="false" outlineLevel="0" collapsed="false">
      <c r="A7082" s="102"/>
      <c r="E7082" s="103" t="str">
        <f aca="false">IF($C7082="","",IFERROR(INDEX(المنيو!$C$2:$C$500,MATCH($C7082,المنيو!$B$2:$B$500,0)),0))</f>
        <v/>
      </c>
      <c r="F7082" s="103" t="str">
        <f aca="false">IF($C7082="","",$D7082*$E7082)</f>
        <v/>
      </c>
      <c r="G7082" s="103" t="str">
        <f aca="false">IF($C7082="","",$D7082*IFERROR(INDEX('تحليل التكلفة والسعر'!$C$2:$C$700,MATCH($C7082,'تحليل التكلفة والسعر'!$B$2:$B$700,0)),0))</f>
        <v/>
      </c>
    </row>
    <row r="7083" customFormat="false" ht="15" hidden="false" customHeight="false" outlineLevel="0" collapsed="false">
      <c r="A7083" s="102"/>
      <c r="E7083" s="103" t="str">
        <f aca="false">IF($C7083="","",IFERROR(INDEX(المنيو!$C$2:$C$500,MATCH($C7083,المنيو!$B$2:$B$500,0)),0))</f>
        <v/>
      </c>
      <c r="F7083" s="103" t="str">
        <f aca="false">IF($C7083="","",$D7083*$E7083)</f>
        <v/>
      </c>
      <c r="G7083" s="103" t="str">
        <f aca="false">IF($C7083="","",$D7083*IFERROR(INDEX('تحليل التكلفة والسعر'!$C$2:$C$700,MATCH($C7083,'تحليل التكلفة والسعر'!$B$2:$B$700,0)),0))</f>
        <v/>
      </c>
    </row>
    <row r="7084" customFormat="false" ht="15" hidden="false" customHeight="false" outlineLevel="0" collapsed="false">
      <c r="A7084" s="102"/>
      <c r="E7084" s="103" t="str">
        <f aca="false">IF($C7084="","",IFERROR(INDEX(المنيو!$C$2:$C$500,MATCH($C7084,المنيو!$B$2:$B$500,0)),0))</f>
        <v/>
      </c>
      <c r="F7084" s="103" t="str">
        <f aca="false">IF($C7084="","",$D7084*$E7084)</f>
        <v/>
      </c>
      <c r="G7084" s="103" t="str">
        <f aca="false">IF($C7084="","",$D7084*IFERROR(INDEX('تحليل التكلفة والسعر'!$C$2:$C$700,MATCH($C7084,'تحليل التكلفة والسعر'!$B$2:$B$700,0)),0))</f>
        <v/>
      </c>
    </row>
    <row r="7085" customFormat="false" ht="15" hidden="false" customHeight="false" outlineLevel="0" collapsed="false">
      <c r="A7085" s="102"/>
      <c r="E7085" s="103" t="str">
        <f aca="false">IF($C7085="","",IFERROR(INDEX(المنيو!$C$2:$C$500,MATCH($C7085,المنيو!$B$2:$B$500,0)),0))</f>
        <v/>
      </c>
      <c r="F7085" s="103" t="str">
        <f aca="false">IF($C7085="","",$D7085*$E7085)</f>
        <v/>
      </c>
      <c r="G7085" s="103" t="str">
        <f aca="false">IF($C7085="","",$D7085*IFERROR(INDEX('تحليل التكلفة والسعر'!$C$2:$C$700,MATCH($C7085,'تحليل التكلفة والسعر'!$B$2:$B$700,0)),0))</f>
        <v/>
      </c>
    </row>
    <row r="7086" customFormat="false" ht="15" hidden="false" customHeight="false" outlineLevel="0" collapsed="false">
      <c r="A7086" s="102"/>
      <c r="E7086" s="103" t="str">
        <f aca="false">IF($C7086="","",IFERROR(INDEX(المنيو!$C$2:$C$500,MATCH($C7086,المنيو!$B$2:$B$500,0)),0))</f>
        <v/>
      </c>
      <c r="F7086" s="103" t="str">
        <f aca="false">IF($C7086="","",$D7086*$E7086)</f>
        <v/>
      </c>
      <c r="G7086" s="103" t="str">
        <f aca="false">IF($C7086="","",$D7086*IFERROR(INDEX('تحليل التكلفة والسعر'!$C$2:$C$700,MATCH($C7086,'تحليل التكلفة والسعر'!$B$2:$B$700,0)),0))</f>
        <v/>
      </c>
    </row>
    <row r="7087" customFormat="false" ht="15" hidden="false" customHeight="false" outlineLevel="0" collapsed="false">
      <c r="A7087" s="102"/>
      <c r="E7087" s="103" t="str">
        <f aca="false">IF($C7087="","",IFERROR(INDEX(المنيو!$C$2:$C$500,MATCH($C7087,المنيو!$B$2:$B$500,0)),0))</f>
        <v/>
      </c>
      <c r="F7087" s="103" t="str">
        <f aca="false">IF($C7087="","",$D7087*$E7087)</f>
        <v/>
      </c>
      <c r="G7087" s="103" t="str">
        <f aca="false">IF($C7087="","",$D7087*IFERROR(INDEX('تحليل التكلفة والسعر'!$C$2:$C$700,MATCH($C7087,'تحليل التكلفة والسعر'!$B$2:$B$700,0)),0))</f>
        <v/>
      </c>
    </row>
    <row r="7088" customFormat="false" ht="15" hidden="false" customHeight="false" outlineLevel="0" collapsed="false">
      <c r="A7088" s="102"/>
      <c r="E7088" s="103" t="str">
        <f aca="false">IF($C7088="","",IFERROR(INDEX(المنيو!$C$2:$C$500,MATCH($C7088,المنيو!$B$2:$B$500,0)),0))</f>
        <v/>
      </c>
      <c r="F7088" s="103" t="str">
        <f aca="false">IF($C7088="","",$D7088*$E7088)</f>
        <v/>
      </c>
      <c r="G7088" s="103" t="str">
        <f aca="false">IF($C7088="","",$D7088*IFERROR(INDEX('تحليل التكلفة والسعر'!$C$2:$C$700,MATCH($C7088,'تحليل التكلفة والسعر'!$B$2:$B$700,0)),0))</f>
        <v/>
      </c>
    </row>
    <row r="7089" customFormat="false" ht="15" hidden="false" customHeight="false" outlineLevel="0" collapsed="false">
      <c r="A7089" s="102"/>
      <c r="E7089" s="103" t="str">
        <f aca="false">IF($C7089="","",IFERROR(INDEX(المنيو!$C$2:$C$500,MATCH($C7089,المنيو!$B$2:$B$500,0)),0))</f>
        <v/>
      </c>
      <c r="F7089" s="103" t="str">
        <f aca="false">IF($C7089="","",$D7089*$E7089)</f>
        <v/>
      </c>
      <c r="G7089" s="103" t="str">
        <f aca="false">IF($C7089="","",$D7089*IFERROR(INDEX('تحليل التكلفة والسعر'!$C$2:$C$700,MATCH($C7089,'تحليل التكلفة والسعر'!$B$2:$B$700,0)),0))</f>
        <v/>
      </c>
    </row>
    <row r="7090" customFormat="false" ht="15" hidden="false" customHeight="false" outlineLevel="0" collapsed="false">
      <c r="A7090" s="102"/>
      <c r="E7090" s="103" t="str">
        <f aca="false">IF($C7090="","",IFERROR(INDEX(المنيو!$C$2:$C$500,MATCH($C7090,المنيو!$B$2:$B$500,0)),0))</f>
        <v/>
      </c>
      <c r="F7090" s="103" t="str">
        <f aca="false">IF($C7090="","",$D7090*$E7090)</f>
        <v/>
      </c>
      <c r="G7090" s="103" t="str">
        <f aca="false">IF($C7090="","",$D7090*IFERROR(INDEX('تحليل التكلفة والسعر'!$C$2:$C$700,MATCH($C7090,'تحليل التكلفة والسعر'!$B$2:$B$700,0)),0))</f>
        <v/>
      </c>
    </row>
    <row r="7091" customFormat="false" ht="15" hidden="false" customHeight="false" outlineLevel="0" collapsed="false">
      <c r="A7091" s="102"/>
      <c r="E7091" s="103" t="str">
        <f aca="false">IF($C7091="","",IFERROR(INDEX(المنيو!$C$2:$C$500,MATCH($C7091,المنيو!$B$2:$B$500,0)),0))</f>
        <v/>
      </c>
      <c r="F7091" s="103" t="str">
        <f aca="false">IF($C7091="","",$D7091*$E7091)</f>
        <v/>
      </c>
      <c r="G7091" s="103" t="str">
        <f aca="false">IF($C7091="","",$D7091*IFERROR(INDEX('تحليل التكلفة والسعر'!$C$2:$C$700,MATCH($C7091,'تحليل التكلفة والسعر'!$B$2:$B$700,0)),0))</f>
        <v/>
      </c>
    </row>
    <row r="7092" customFormat="false" ht="15" hidden="false" customHeight="false" outlineLevel="0" collapsed="false">
      <c r="A7092" s="102"/>
      <c r="E7092" s="103" t="str">
        <f aca="false">IF($C7092="","",IFERROR(INDEX(المنيو!$C$2:$C$500,MATCH($C7092,المنيو!$B$2:$B$500,0)),0))</f>
        <v/>
      </c>
      <c r="F7092" s="103" t="str">
        <f aca="false">IF($C7092="","",$D7092*$E7092)</f>
        <v/>
      </c>
      <c r="G7092" s="103" t="str">
        <f aca="false">IF($C7092="","",$D7092*IFERROR(INDEX('تحليل التكلفة والسعر'!$C$2:$C$700,MATCH($C7092,'تحليل التكلفة والسعر'!$B$2:$B$700,0)),0))</f>
        <v/>
      </c>
    </row>
    <row r="7093" customFormat="false" ht="15" hidden="false" customHeight="false" outlineLevel="0" collapsed="false">
      <c r="A7093" s="102"/>
      <c r="E7093" s="103" t="str">
        <f aca="false">IF($C7093="","",IFERROR(INDEX(المنيو!$C$2:$C$500,MATCH($C7093,المنيو!$B$2:$B$500,0)),0))</f>
        <v/>
      </c>
      <c r="F7093" s="103" t="str">
        <f aca="false">IF($C7093="","",$D7093*$E7093)</f>
        <v/>
      </c>
      <c r="G7093" s="103" t="str">
        <f aca="false">IF($C7093="","",$D7093*IFERROR(INDEX('تحليل التكلفة والسعر'!$C$2:$C$700,MATCH($C7093,'تحليل التكلفة والسعر'!$B$2:$B$700,0)),0))</f>
        <v/>
      </c>
    </row>
    <row r="7094" customFormat="false" ht="15" hidden="false" customHeight="false" outlineLevel="0" collapsed="false">
      <c r="A7094" s="102"/>
      <c r="E7094" s="103" t="str">
        <f aca="false">IF($C7094="","",IFERROR(INDEX(المنيو!$C$2:$C$500,MATCH($C7094,المنيو!$B$2:$B$500,0)),0))</f>
        <v/>
      </c>
      <c r="F7094" s="103" t="str">
        <f aca="false">IF($C7094="","",$D7094*$E7094)</f>
        <v/>
      </c>
      <c r="G7094" s="103" t="str">
        <f aca="false">IF($C7094="","",$D7094*IFERROR(INDEX('تحليل التكلفة والسعر'!$C$2:$C$700,MATCH($C7094,'تحليل التكلفة والسعر'!$B$2:$B$700,0)),0))</f>
        <v/>
      </c>
    </row>
    <row r="7095" customFormat="false" ht="15" hidden="false" customHeight="false" outlineLevel="0" collapsed="false">
      <c r="A7095" s="102"/>
      <c r="E7095" s="103" t="str">
        <f aca="false">IF($C7095="","",IFERROR(INDEX(المنيو!$C$2:$C$500,MATCH($C7095,المنيو!$B$2:$B$500,0)),0))</f>
        <v/>
      </c>
      <c r="F7095" s="103" t="str">
        <f aca="false">IF($C7095="","",$D7095*$E7095)</f>
        <v/>
      </c>
      <c r="G7095" s="103" t="str">
        <f aca="false">IF($C7095="","",$D7095*IFERROR(INDEX('تحليل التكلفة والسعر'!$C$2:$C$700,MATCH($C7095,'تحليل التكلفة والسعر'!$B$2:$B$700,0)),0))</f>
        <v/>
      </c>
    </row>
    <row r="7096" customFormat="false" ht="15" hidden="false" customHeight="false" outlineLevel="0" collapsed="false">
      <c r="A7096" s="102"/>
      <c r="E7096" s="103" t="str">
        <f aca="false">IF($C7096="","",IFERROR(INDEX(المنيو!$C$2:$C$500,MATCH($C7096,المنيو!$B$2:$B$500,0)),0))</f>
        <v/>
      </c>
      <c r="F7096" s="103" t="str">
        <f aca="false">IF($C7096="","",$D7096*$E7096)</f>
        <v/>
      </c>
      <c r="G7096" s="103" t="str">
        <f aca="false">IF($C7096="","",$D7096*IFERROR(INDEX('تحليل التكلفة والسعر'!$C$2:$C$700,MATCH($C7096,'تحليل التكلفة والسعر'!$B$2:$B$700,0)),0))</f>
        <v/>
      </c>
    </row>
    <row r="7097" customFormat="false" ht="15" hidden="false" customHeight="false" outlineLevel="0" collapsed="false">
      <c r="A7097" s="102"/>
      <c r="E7097" s="103" t="str">
        <f aca="false">IF($C7097="","",IFERROR(INDEX(المنيو!$C$2:$C$500,MATCH($C7097,المنيو!$B$2:$B$500,0)),0))</f>
        <v/>
      </c>
      <c r="F7097" s="103" t="str">
        <f aca="false">IF($C7097="","",$D7097*$E7097)</f>
        <v/>
      </c>
      <c r="G7097" s="103" t="str">
        <f aca="false">IF($C7097="","",$D7097*IFERROR(INDEX('تحليل التكلفة والسعر'!$C$2:$C$700,MATCH($C7097,'تحليل التكلفة والسعر'!$B$2:$B$700,0)),0))</f>
        <v/>
      </c>
    </row>
    <row r="7098" customFormat="false" ht="15" hidden="false" customHeight="false" outlineLevel="0" collapsed="false">
      <c r="A7098" s="102"/>
      <c r="E7098" s="103" t="str">
        <f aca="false">IF($C7098="","",IFERROR(INDEX(المنيو!$C$2:$C$500,MATCH($C7098,المنيو!$B$2:$B$500,0)),0))</f>
        <v/>
      </c>
      <c r="F7098" s="103" t="str">
        <f aca="false">IF($C7098="","",$D7098*$E7098)</f>
        <v/>
      </c>
      <c r="G7098" s="103" t="str">
        <f aca="false">IF($C7098="","",$D7098*IFERROR(INDEX('تحليل التكلفة والسعر'!$C$2:$C$700,MATCH($C7098,'تحليل التكلفة والسعر'!$B$2:$B$700,0)),0))</f>
        <v/>
      </c>
    </row>
    <row r="7099" customFormat="false" ht="15" hidden="false" customHeight="false" outlineLevel="0" collapsed="false">
      <c r="A7099" s="102"/>
      <c r="E7099" s="103" t="str">
        <f aca="false">IF($C7099="","",IFERROR(INDEX(المنيو!$C$2:$C$500,MATCH($C7099,المنيو!$B$2:$B$500,0)),0))</f>
        <v/>
      </c>
      <c r="F7099" s="103" t="str">
        <f aca="false">IF($C7099="","",$D7099*$E7099)</f>
        <v/>
      </c>
      <c r="G7099" s="103" t="str">
        <f aca="false">IF($C7099="","",$D7099*IFERROR(INDEX('تحليل التكلفة والسعر'!$C$2:$C$700,MATCH($C7099,'تحليل التكلفة والسعر'!$B$2:$B$700,0)),0))</f>
        <v/>
      </c>
    </row>
    <row r="7100" customFormat="false" ht="15" hidden="false" customHeight="false" outlineLevel="0" collapsed="false">
      <c r="A7100" s="102"/>
      <c r="E7100" s="103" t="str">
        <f aca="false">IF($C7100="","",IFERROR(INDEX(المنيو!$C$2:$C$500,MATCH($C7100,المنيو!$B$2:$B$500,0)),0))</f>
        <v/>
      </c>
      <c r="F7100" s="103" t="str">
        <f aca="false">IF($C7100="","",$D7100*$E7100)</f>
        <v/>
      </c>
      <c r="G7100" s="103" t="str">
        <f aca="false">IF($C7100="","",$D7100*IFERROR(INDEX('تحليل التكلفة والسعر'!$C$2:$C$700,MATCH($C7100,'تحليل التكلفة والسعر'!$B$2:$B$700,0)),0))</f>
        <v/>
      </c>
    </row>
    <row r="7101" customFormat="false" ht="15" hidden="false" customHeight="false" outlineLevel="0" collapsed="false">
      <c r="A7101" s="102"/>
      <c r="E7101" s="103" t="str">
        <f aca="false">IF($C7101="","",IFERROR(INDEX(المنيو!$C$2:$C$500,MATCH($C7101,المنيو!$B$2:$B$500,0)),0))</f>
        <v/>
      </c>
      <c r="F7101" s="103" t="str">
        <f aca="false">IF($C7101="","",$D7101*$E7101)</f>
        <v/>
      </c>
      <c r="G7101" s="103" t="str">
        <f aca="false">IF($C7101="","",$D7101*IFERROR(INDEX('تحليل التكلفة والسعر'!$C$2:$C$700,MATCH($C7101,'تحليل التكلفة والسعر'!$B$2:$B$700,0)),0))</f>
        <v/>
      </c>
    </row>
    <row r="7102" customFormat="false" ht="15" hidden="false" customHeight="false" outlineLevel="0" collapsed="false">
      <c r="A7102" s="102"/>
      <c r="E7102" s="103" t="str">
        <f aca="false">IF($C7102="","",IFERROR(INDEX(المنيو!$C$2:$C$500,MATCH($C7102,المنيو!$B$2:$B$500,0)),0))</f>
        <v/>
      </c>
      <c r="F7102" s="103" t="str">
        <f aca="false">IF($C7102="","",$D7102*$E7102)</f>
        <v/>
      </c>
      <c r="G7102" s="103" t="str">
        <f aca="false">IF($C7102="","",$D7102*IFERROR(INDEX('تحليل التكلفة والسعر'!$C$2:$C$700,MATCH($C7102,'تحليل التكلفة والسعر'!$B$2:$B$700,0)),0))</f>
        <v/>
      </c>
    </row>
    <row r="7103" customFormat="false" ht="15" hidden="false" customHeight="false" outlineLevel="0" collapsed="false">
      <c r="A7103" s="102"/>
      <c r="E7103" s="103" t="str">
        <f aca="false">IF($C7103="","",IFERROR(INDEX(المنيو!$C$2:$C$500,MATCH($C7103,المنيو!$B$2:$B$500,0)),0))</f>
        <v/>
      </c>
      <c r="F7103" s="103" t="str">
        <f aca="false">IF($C7103="","",$D7103*$E7103)</f>
        <v/>
      </c>
      <c r="G7103" s="103" t="str">
        <f aca="false">IF($C7103="","",$D7103*IFERROR(INDEX('تحليل التكلفة والسعر'!$C$2:$C$700,MATCH($C7103,'تحليل التكلفة والسعر'!$B$2:$B$700,0)),0))</f>
        <v/>
      </c>
    </row>
    <row r="7104" customFormat="false" ht="15" hidden="false" customHeight="false" outlineLevel="0" collapsed="false">
      <c r="A7104" s="102"/>
      <c r="E7104" s="103" t="str">
        <f aca="false">IF($C7104="","",IFERROR(INDEX(المنيو!$C$2:$C$500,MATCH($C7104,المنيو!$B$2:$B$500,0)),0))</f>
        <v/>
      </c>
      <c r="F7104" s="103" t="str">
        <f aca="false">IF($C7104="","",$D7104*$E7104)</f>
        <v/>
      </c>
      <c r="G7104" s="103" t="str">
        <f aca="false">IF($C7104="","",$D7104*IFERROR(INDEX('تحليل التكلفة والسعر'!$C$2:$C$700,MATCH($C7104,'تحليل التكلفة والسعر'!$B$2:$B$700,0)),0))</f>
        <v/>
      </c>
    </row>
    <row r="7105" customFormat="false" ht="15" hidden="false" customHeight="false" outlineLevel="0" collapsed="false">
      <c r="A7105" s="102"/>
      <c r="E7105" s="103" t="str">
        <f aca="false">IF($C7105="","",IFERROR(INDEX(المنيو!$C$2:$C$500,MATCH($C7105,المنيو!$B$2:$B$500,0)),0))</f>
        <v/>
      </c>
      <c r="F7105" s="103" t="str">
        <f aca="false">IF($C7105="","",$D7105*$E7105)</f>
        <v/>
      </c>
      <c r="G7105" s="103" t="str">
        <f aca="false">IF($C7105="","",$D7105*IFERROR(INDEX('تحليل التكلفة والسعر'!$C$2:$C$700,MATCH($C7105,'تحليل التكلفة والسعر'!$B$2:$B$700,0)),0))</f>
        <v/>
      </c>
    </row>
    <row r="7106" customFormat="false" ht="15" hidden="false" customHeight="false" outlineLevel="0" collapsed="false">
      <c r="A7106" s="102"/>
      <c r="E7106" s="103" t="str">
        <f aca="false">IF($C7106="","",IFERROR(INDEX(المنيو!$C$2:$C$500,MATCH($C7106,المنيو!$B$2:$B$500,0)),0))</f>
        <v/>
      </c>
      <c r="F7106" s="103" t="str">
        <f aca="false">IF($C7106="","",$D7106*$E7106)</f>
        <v/>
      </c>
      <c r="G7106" s="103" t="str">
        <f aca="false">IF($C7106="","",$D7106*IFERROR(INDEX('تحليل التكلفة والسعر'!$C$2:$C$700,MATCH($C7106,'تحليل التكلفة والسعر'!$B$2:$B$700,0)),0))</f>
        <v/>
      </c>
    </row>
    <row r="7107" customFormat="false" ht="15" hidden="false" customHeight="false" outlineLevel="0" collapsed="false">
      <c r="A7107" s="102"/>
      <c r="E7107" s="103" t="str">
        <f aca="false">IF($C7107="","",IFERROR(INDEX(المنيو!$C$2:$C$500,MATCH($C7107,المنيو!$B$2:$B$500,0)),0))</f>
        <v/>
      </c>
      <c r="F7107" s="103" t="str">
        <f aca="false">IF($C7107="","",$D7107*$E7107)</f>
        <v/>
      </c>
      <c r="G7107" s="103" t="str">
        <f aca="false">IF($C7107="","",$D7107*IFERROR(INDEX('تحليل التكلفة والسعر'!$C$2:$C$700,MATCH($C7107,'تحليل التكلفة والسعر'!$B$2:$B$700,0)),0))</f>
        <v/>
      </c>
    </row>
    <row r="7108" customFormat="false" ht="15" hidden="false" customHeight="false" outlineLevel="0" collapsed="false">
      <c r="A7108" s="102"/>
      <c r="E7108" s="103" t="str">
        <f aca="false">IF($C7108="","",IFERROR(INDEX(المنيو!$C$2:$C$500,MATCH($C7108,المنيو!$B$2:$B$500,0)),0))</f>
        <v/>
      </c>
      <c r="F7108" s="103" t="str">
        <f aca="false">IF($C7108="","",$D7108*$E7108)</f>
        <v/>
      </c>
      <c r="G7108" s="103" t="str">
        <f aca="false">IF($C7108="","",$D7108*IFERROR(INDEX('تحليل التكلفة والسعر'!$C$2:$C$700,MATCH($C7108,'تحليل التكلفة والسعر'!$B$2:$B$700,0)),0))</f>
        <v/>
      </c>
    </row>
    <row r="7109" customFormat="false" ht="15" hidden="false" customHeight="false" outlineLevel="0" collapsed="false">
      <c r="A7109" s="102"/>
      <c r="E7109" s="103" t="str">
        <f aca="false">IF($C7109="","",IFERROR(INDEX(المنيو!$C$2:$C$500,MATCH($C7109,المنيو!$B$2:$B$500,0)),0))</f>
        <v/>
      </c>
      <c r="F7109" s="103" t="str">
        <f aca="false">IF($C7109="","",$D7109*$E7109)</f>
        <v/>
      </c>
      <c r="G7109" s="103" t="str">
        <f aca="false">IF($C7109="","",$D7109*IFERROR(INDEX('تحليل التكلفة والسعر'!$C$2:$C$700,MATCH($C7109,'تحليل التكلفة والسعر'!$B$2:$B$700,0)),0))</f>
        <v/>
      </c>
    </row>
    <row r="7110" customFormat="false" ht="15" hidden="false" customHeight="false" outlineLevel="0" collapsed="false">
      <c r="A7110" s="102"/>
      <c r="E7110" s="103" t="str">
        <f aca="false">IF($C7110="","",IFERROR(INDEX(المنيو!$C$2:$C$500,MATCH($C7110,المنيو!$B$2:$B$500,0)),0))</f>
        <v/>
      </c>
      <c r="F7110" s="103" t="str">
        <f aca="false">IF($C7110="","",$D7110*$E7110)</f>
        <v/>
      </c>
      <c r="G7110" s="103" t="str">
        <f aca="false">IF($C7110="","",$D7110*IFERROR(INDEX('تحليل التكلفة والسعر'!$C$2:$C$700,MATCH($C7110,'تحليل التكلفة والسعر'!$B$2:$B$700,0)),0))</f>
        <v/>
      </c>
    </row>
    <row r="7111" customFormat="false" ht="15" hidden="false" customHeight="false" outlineLevel="0" collapsed="false">
      <c r="A7111" s="102"/>
      <c r="E7111" s="103" t="str">
        <f aca="false">IF($C7111="","",IFERROR(INDEX(المنيو!$C$2:$C$500,MATCH($C7111,المنيو!$B$2:$B$500,0)),0))</f>
        <v/>
      </c>
      <c r="F7111" s="103" t="str">
        <f aca="false">IF($C7111="","",$D7111*$E7111)</f>
        <v/>
      </c>
      <c r="G7111" s="103" t="str">
        <f aca="false">IF($C7111="","",$D7111*IFERROR(INDEX('تحليل التكلفة والسعر'!$C$2:$C$700,MATCH($C7111,'تحليل التكلفة والسعر'!$B$2:$B$700,0)),0))</f>
        <v/>
      </c>
    </row>
    <row r="7112" customFormat="false" ht="15" hidden="false" customHeight="false" outlineLevel="0" collapsed="false">
      <c r="A7112" s="102"/>
      <c r="E7112" s="103" t="str">
        <f aca="false">IF($C7112="","",IFERROR(INDEX(المنيو!$C$2:$C$500,MATCH($C7112,المنيو!$B$2:$B$500,0)),0))</f>
        <v/>
      </c>
      <c r="F7112" s="103" t="str">
        <f aca="false">IF($C7112="","",$D7112*$E7112)</f>
        <v/>
      </c>
      <c r="G7112" s="103" t="str">
        <f aca="false">IF($C7112="","",$D7112*IFERROR(INDEX('تحليل التكلفة والسعر'!$C$2:$C$700,MATCH($C7112,'تحليل التكلفة والسعر'!$B$2:$B$700,0)),0))</f>
        <v/>
      </c>
    </row>
    <row r="7113" customFormat="false" ht="15" hidden="false" customHeight="false" outlineLevel="0" collapsed="false">
      <c r="A7113" s="102"/>
      <c r="E7113" s="103" t="str">
        <f aca="false">IF($C7113="","",IFERROR(INDEX(المنيو!$C$2:$C$500,MATCH($C7113,المنيو!$B$2:$B$500,0)),0))</f>
        <v/>
      </c>
      <c r="F7113" s="103" t="str">
        <f aca="false">IF($C7113="","",$D7113*$E7113)</f>
        <v/>
      </c>
      <c r="G7113" s="103" t="str">
        <f aca="false">IF($C7113="","",$D7113*IFERROR(INDEX('تحليل التكلفة والسعر'!$C$2:$C$700,MATCH($C7113,'تحليل التكلفة والسعر'!$B$2:$B$700,0)),0))</f>
        <v/>
      </c>
    </row>
    <row r="7114" customFormat="false" ht="15" hidden="false" customHeight="false" outlineLevel="0" collapsed="false">
      <c r="A7114" s="102"/>
      <c r="E7114" s="103" t="str">
        <f aca="false">IF($C7114="","",IFERROR(INDEX(المنيو!$C$2:$C$500,MATCH($C7114,المنيو!$B$2:$B$500,0)),0))</f>
        <v/>
      </c>
      <c r="F7114" s="103" t="str">
        <f aca="false">IF($C7114="","",$D7114*$E7114)</f>
        <v/>
      </c>
      <c r="G7114" s="103" t="str">
        <f aca="false">IF($C7114="","",$D7114*IFERROR(INDEX('تحليل التكلفة والسعر'!$C$2:$C$700,MATCH($C7114,'تحليل التكلفة والسعر'!$B$2:$B$700,0)),0))</f>
        <v/>
      </c>
    </row>
    <row r="7115" customFormat="false" ht="15" hidden="false" customHeight="false" outlineLevel="0" collapsed="false">
      <c r="A7115" s="102"/>
      <c r="E7115" s="103" t="str">
        <f aca="false">IF($C7115="","",IFERROR(INDEX(المنيو!$C$2:$C$500,MATCH($C7115,المنيو!$B$2:$B$500,0)),0))</f>
        <v/>
      </c>
      <c r="F7115" s="103" t="str">
        <f aca="false">IF($C7115="","",$D7115*$E7115)</f>
        <v/>
      </c>
      <c r="G7115" s="103" t="str">
        <f aca="false">IF($C7115="","",$D7115*IFERROR(INDEX('تحليل التكلفة والسعر'!$C$2:$C$700,MATCH($C7115,'تحليل التكلفة والسعر'!$B$2:$B$700,0)),0))</f>
        <v/>
      </c>
    </row>
    <row r="7116" customFormat="false" ht="15" hidden="false" customHeight="false" outlineLevel="0" collapsed="false">
      <c r="A7116" s="102"/>
      <c r="E7116" s="103" t="str">
        <f aca="false">IF($C7116="","",IFERROR(INDEX(المنيو!$C$2:$C$500,MATCH($C7116,المنيو!$B$2:$B$500,0)),0))</f>
        <v/>
      </c>
      <c r="F7116" s="103" t="str">
        <f aca="false">IF($C7116="","",$D7116*$E7116)</f>
        <v/>
      </c>
      <c r="G7116" s="103" t="str">
        <f aca="false">IF($C7116="","",$D7116*IFERROR(INDEX('تحليل التكلفة والسعر'!$C$2:$C$700,MATCH($C7116,'تحليل التكلفة والسعر'!$B$2:$B$700,0)),0))</f>
        <v/>
      </c>
    </row>
    <row r="7117" customFormat="false" ht="15" hidden="false" customHeight="false" outlineLevel="0" collapsed="false">
      <c r="A7117" s="102"/>
      <c r="E7117" s="103" t="str">
        <f aca="false">IF($C7117="","",IFERROR(INDEX(المنيو!$C$2:$C$500,MATCH($C7117,المنيو!$B$2:$B$500,0)),0))</f>
        <v/>
      </c>
      <c r="F7117" s="103" t="str">
        <f aca="false">IF($C7117="","",$D7117*$E7117)</f>
        <v/>
      </c>
      <c r="G7117" s="103" t="str">
        <f aca="false">IF($C7117="","",$D7117*IFERROR(INDEX('تحليل التكلفة والسعر'!$C$2:$C$700,MATCH($C7117,'تحليل التكلفة والسعر'!$B$2:$B$700,0)),0))</f>
        <v/>
      </c>
    </row>
    <row r="7118" customFormat="false" ht="15" hidden="false" customHeight="false" outlineLevel="0" collapsed="false">
      <c r="A7118" s="102"/>
      <c r="E7118" s="103" t="str">
        <f aca="false">IF($C7118="","",IFERROR(INDEX(المنيو!$C$2:$C$500,MATCH($C7118,المنيو!$B$2:$B$500,0)),0))</f>
        <v/>
      </c>
      <c r="F7118" s="103" t="str">
        <f aca="false">IF($C7118="","",$D7118*$E7118)</f>
        <v/>
      </c>
      <c r="G7118" s="103" t="str">
        <f aca="false">IF($C7118="","",$D7118*IFERROR(INDEX('تحليل التكلفة والسعر'!$C$2:$C$700,MATCH($C7118,'تحليل التكلفة والسعر'!$B$2:$B$700,0)),0))</f>
        <v/>
      </c>
    </row>
    <row r="7119" customFormat="false" ht="15" hidden="false" customHeight="false" outlineLevel="0" collapsed="false">
      <c r="A7119" s="102"/>
      <c r="E7119" s="103" t="str">
        <f aca="false">IF($C7119="","",IFERROR(INDEX(المنيو!$C$2:$C$500,MATCH($C7119,المنيو!$B$2:$B$500,0)),0))</f>
        <v/>
      </c>
      <c r="F7119" s="103" t="str">
        <f aca="false">IF($C7119="","",$D7119*$E7119)</f>
        <v/>
      </c>
      <c r="G7119" s="103" t="str">
        <f aca="false">IF($C7119="","",$D7119*IFERROR(INDEX('تحليل التكلفة والسعر'!$C$2:$C$700,MATCH($C7119,'تحليل التكلفة والسعر'!$B$2:$B$700,0)),0))</f>
        <v/>
      </c>
    </row>
    <row r="7120" customFormat="false" ht="15" hidden="false" customHeight="false" outlineLevel="0" collapsed="false">
      <c r="A7120" s="102"/>
      <c r="E7120" s="103" t="str">
        <f aca="false">IF($C7120="","",IFERROR(INDEX(المنيو!$C$2:$C$500,MATCH($C7120,المنيو!$B$2:$B$500,0)),0))</f>
        <v/>
      </c>
      <c r="F7120" s="103" t="str">
        <f aca="false">IF($C7120="","",$D7120*$E7120)</f>
        <v/>
      </c>
      <c r="G7120" s="103" t="str">
        <f aca="false">IF($C7120="","",$D7120*IFERROR(INDEX('تحليل التكلفة والسعر'!$C$2:$C$700,MATCH($C7120,'تحليل التكلفة والسعر'!$B$2:$B$700,0)),0))</f>
        <v/>
      </c>
    </row>
    <row r="7121" customFormat="false" ht="15" hidden="false" customHeight="false" outlineLevel="0" collapsed="false">
      <c r="A7121" s="102"/>
      <c r="E7121" s="103" t="str">
        <f aca="false">IF($C7121="","",IFERROR(INDEX(المنيو!$C$2:$C$500,MATCH($C7121,المنيو!$B$2:$B$500,0)),0))</f>
        <v/>
      </c>
      <c r="F7121" s="103" t="str">
        <f aca="false">IF($C7121="","",$D7121*$E7121)</f>
        <v/>
      </c>
      <c r="G7121" s="103" t="str">
        <f aca="false">IF($C7121="","",$D7121*IFERROR(INDEX('تحليل التكلفة والسعر'!$C$2:$C$700,MATCH($C7121,'تحليل التكلفة والسعر'!$B$2:$B$700,0)),0))</f>
        <v/>
      </c>
    </row>
    <row r="7122" customFormat="false" ht="15" hidden="false" customHeight="false" outlineLevel="0" collapsed="false">
      <c r="A7122" s="102"/>
      <c r="E7122" s="103" t="str">
        <f aca="false">IF($C7122="","",IFERROR(INDEX(المنيو!$C$2:$C$500,MATCH($C7122,المنيو!$B$2:$B$500,0)),0))</f>
        <v/>
      </c>
      <c r="F7122" s="103" t="str">
        <f aca="false">IF($C7122="","",$D7122*$E7122)</f>
        <v/>
      </c>
      <c r="G7122" s="103" t="str">
        <f aca="false">IF($C7122="","",$D7122*IFERROR(INDEX('تحليل التكلفة والسعر'!$C$2:$C$700,MATCH($C7122,'تحليل التكلفة والسعر'!$B$2:$B$700,0)),0))</f>
        <v/>
      </c>
    </row>
    <row r="7123" customFormat="false" ht="15" hidden="false" customHeight="false" outlineLevel="0" collapsed="false">
      <c r="A7123" s="102"/>
      <c r="E7123" s="103" t="str">
        <f aca="false">IF($C7123="","",IFERROR(INDEX(المنيو!$C$2:$C$500,MATCH($C7123,المنيو!$B$2:$B$500,0)),0))</f>
        <v/>
      </c>
      <c r="F7123" s="103" t="str">
        <f aca="false">IF($C7123="","",$D7123*$E7123)</f>
        <v/>
      </c>
      <c r="G7123" s="103" t="str">
        <f aca="false">IF($C7123="","",$D7123*IFERROR(INDEX('تحليل التكلفة والسعر'!$C$2:$C$700,MATCH($C7123,'تحليل التكلفة والسعر'!$B$2:$B$700,0)),0))</f>
        <v/>
      </c>
    </row>
    <row r="7124" customFormat="false" ht="15" hidden="false" customHeight="false" outlineLevel="0" collapsed="false">
      <c r="A7124" s="102"/>
      <c r="E7124" s="103" t="str">
        <f aca="false">IF($C7124="","",IFERROR(INDEX(المنيو!$C$2:$C$500,MATCH($C7124,المنيو!$B$2:$B$500,0)),0))</f>
        <v/>
      </c>
      <c r="F7124" s="103" t="str">
        <f aca="false">IF($C7124="","",$D7124*$E7124)</f>
        <v/>
      </c>
      <c r="G7124" s="103" t="str">
        <f aca="false">IF($C7124="","",$D7124*IFERROR(INDEX('تحليل التكلفة والسعر'!$C$2:$C$700,MATCH($C7124,'تحليل التكلفة والسعر'!$B$2:$B$700,0)),0))</f>
        <v/>
      </c>
    </row>
    <row r="7125" customFormat="false" ht="15" hidden="false" customHeight="false" outlineLevel="0" collapsed="false">
      <c r="A7125" s="102"/>
      <c r="E7125" s="103" t="str">
        <f aca="false">IF($C7125="","",IFERROR(INDEX(المنيو!$C$2:$C$500,MATCH($C7125,المنيو!$B$2:$B$500,0)),0))</f>
        <v/>
      </c>
      <c r="F7125" s="103" t="str">
        <f aca="false">IF($C7125="","",$D7125*$E7125)</f>
        <v/>
      </c>
      <c r="G7125" s="103" t="str">
        <f aca="false">IF($C7125="","",$D7125*IFERROR(INDEX('تحليل التكلفة والسعر'!$C$2:$C$700,MATCH($C7125,'تحليل التكلفة والسعر'!$B$2:$B$700,0)),0))</f>
        <v/>
      </c>
    </row>
    <row r="7126" customFormat="false" ht="15" hidden="false" customHeight="false" outlineLevel="0" collapsed="false">
      <c r="A7126" s="102"/>
      <c r="E7126" s="103" t="str">
        <f aca="false">IF($C7126="","",IFERROR(INDEX(المنيو!$C$2:$C$500,MATCH($C7126,المنيو!$B$2:$B$500,0)),0))</f>
        <v/>
      </c>
      <c r="F7126" s="103" t="str">
        <f aca="false">IF($C7126="","",$D7126*$E7126)</f>
        <v/>
      </c>
      <c r="G7126" s="103" t="str">
        <f aca="false">IF($C7126="","",$D7126*IFERROR(INDEX('تحليل التكلفة والسعر'!$C$2:$C$700,MATCH($C7126,'تحليل التكلفة والسعر'!$B$2:$B$700,0)),0))</f>
        <v/>
      </c>
    </row>
    <row r="7127" customFormat="false" ht="15" hidden="false" customHeight="false" outlineLevel="0" collapsed="false">
      <c r="A7127" s="102"/>
      <c r="E7127" s="103" t="str">
        <f aca="false">IF($C7127="","",IFERROR(INDEX(المنيو!$C$2:$C$500,MATCH($C7127,المنيو!$B$2:$B$500,0)),0))</f>
        <v/>
      </c>
      <c r="F7127" s="103" t="str">
        <f aca="false">IF($C7127="","",$D7127*$E7127)</f>
        <v/>
      </c>
      <c r="G7127" s="103" t="str">
        <f aca="false">IF($C7127="","",$D7127*IFERROR(INDEX('تحليل التكلفة والسعر'!$C$2:$C$700,MATCH($C7127,'تحليل التكلفة والسعر'!$B$2:$B$700,0)),0))</f>
        <v/>
      </c>
    </row>
    <row r="7128" customFormat="false" ht="15" hidden="false" customHeight="false" outlineLevel="0" collapsed="false">
      <c r="A7128" s="102"/>
      <c r="E7128" s="103" t="str">
        <f aca="false">IF($C7128="","",IFERROR(INDEX(المنيو!$C$2:$C$500,MATCH($C7128,المنيو!$B$2:$B$500,0)),0))</f>
        <v/>
      </c>
      <c r="F7128" s="103" t="str">
        <f aca="false">IF($C7128="","",$D7128*$E7128)</f>
        <v/>
      </c>
      <c r="G7128" s="103" t="str">
        <f aca="false">IF($C7128="","",$D7128*IFERROR(INDEX('تحليل التكلفة والسعر'!$C$2:$C$700,MATCH($C7128,'تحليل التكلفة والسعر'!$B$2:$B$700,0)),0))</f>
        <v/>
      </c>
    </row>
    <row r="7129" customFormat="false" ht="15" hidden="false" customHeight="false" outlineLevel="0" collapsed="false">
      <c r="A7129" s="102"/>
      <c r="E7129" s="103" t="str">
        <f aca="false">IF($C7129="","",IFERROR(INDEX(المنيو!$C$2:$C$500,MATCH($C7129,المنيو!$B$2:$B$500,0)),0))</f>
        <v/>
      </c>
      <c r="F7129" s="103" t="str">
        <f aca="false">IF($C7129="","",$D7129*$E7129)</f>
        <v/>
      </c>
      <c r="G7129" s="103" t="str">
        <f aca="false">IF($C7129="","",$D7129*IFERROR(INDEX('تحليل التكلفة والسعر'!$C$2:$C$700,MATCH($C7129,'تحليل التكلفة والسعر'!$B$2:$B$700,0)),0))</f>
        <v/>
      </c>
    </row>
    <row r="7130" customFormat="false" ht="15" hidden="false" customHeight="false" outlineLevel="0" collapsed="false">
      <c r="A7130" s="102"/>
      <c r="E7130" s="103" t="str">
        <f aca="false">IF($C7130="","",IFERROR(INDEX(المنيو!$C$2:$C$500,MATCH($C7130,المنيو!$B$2:$B$500,0)),0))</f>
        <v/>
      </c>
      <c r="F7130" s="103" t="str">
        <f aca="false">IF($C7130="","",$D7130*$E7130)</f>
        <v/>
      </c>
      <c r="G7130" s="103" t="str">
        <f aca="false">IF($C7130="","",$D7130*IFERROR(INDEX('تحليل التكلفة والسعر'!$C$2:$C$700,MATCH($C7130,'تحليل التكلفة والسعر'!$B$2:$B$700,0)),0))</f>
        <v/>
      </c>
    </row>
    <row r="7131" customFormat="false" ht="15" hidden="false" customHeight="false" outlineLevel="0" collapsed="false">
      <c r="A7131" s="102"/>
      <c r="E7131" s="103" t="str">
        <f aca="false">IF($C7131="","",IFERROR(INDEX(المنيو!$C$2:$C$500,MATCH($C7131,المنيو!$B$2:$B$500,0)),0))</f>
        <v/>
      </c>
      <c r="F7131" s="103" t="str">
        <f aca="false">IF($C7131="","",$D7131*$E7131)</f>
        <v/>
      </c>
      <c r="G7131" s="103" t="str">
        <f aca="false">IF($C7131="","",$D7131*IFERROR(INDEX('تحليل التكلفة والسعر'!$C$2:$C$700,MATCH($C7131,'تحليل التكلفة والسعر'!$B$2:$B$700,0)),0))</f>
        <v/>
      </c>
    </row>
    <row r="7132" customFormat="false" ht="15" hidden="false" customHeight="false" outlineLevel="0" collapsed="false">
      <c r="A7132" s="102"/>
      <c r="E7132" s="103" t="str">
        <f aca="false">IF($C7132="","",IFERROR(INDEX(المنيو!$C$2:$C$500,MATCH($C7132,المنيو!$B$2:$B$500,0)),0))</f>
        <v/>
      </c>
      <c r="F7132" s="103" t="str">
        <f aca="false">IF($C7132="","",$D7132*$E7132)</f>
        <v/>
      </c>
      <c r="G7132" s="103" t="str">
        <f aca="false">IF($C7132="","",$D7132*IFERROR(INDEX('تحليل التكلفة والسعر'!$C$2:$C$700,MATCH($C7132,'تحليل التكلفة والسعر'!$B$2:$B$700,0)),0))</f>
        <v/>
      </c>
    </row>
    <row r="7133" customFormat="false" ht="15" hidden="false" customHeight="false" outlineLevel="0" collapsed="false">
      <c r="A7133" s="102"/>
      <c r="E7133" s="103" t="str">
        <f aca="false">IF($C7133="","",IFERROR(INDEX(المنيو!$C$2:$C$500,MATCH($C7133,المنيو!$B$2:$B$500,0)),0))</f>
        <v/>
      </c>
      <c r="F7133" s="103" t="str">
        <f aca="false">IF($C7133="","",$D7133*$E7133)</f>
        <v/>
      </c>
      <c r="G7133" s="103" t="str">
        <f aca="false">IF($C7133="","",$D7133*IFERROR(INDEX('تحليل التكلفة والسعر'!$C$2:$C$700,MATCH($C7133,'تحليل التكلفة والسعر'!$B$2:$B$700,0)),0))</f>
        <v/>
      </c>
    </row>
    <row r="7134" customFormat="false" ht="15" hidden="false" customHeight="false" outlineLevel="0" collapsed="false">
      <c r="A7134" s="102"/>
      <c r="E7134" s="103" t="str">
        <f aca="false">IF($C7134="","",IFERROR(INDEX(المنيو!$C$2:$C$500,MATCH($C7134,المنيو!$B$2:$B$500,0)),0))</f>
        <v/>
      </c>
      <c r="F7134" s="103" t="str">
        <f aca="false">IF($C7134="","",$D7134*$E7134)</f>
        <v/>
      </c>
      <c r="G7134" s="103" t="str">
        <f aca="false">IF($C7134="","",$D7134*IFERROR(INDEX('تحليل التكلفة والسعر'!$C$2:$C$700,MATCH($C7134,'تحليل التكلفة والسعر'!$B$2:$B$700,0)),0))</f>
        <v/>
      </c>
    </row>
    <row r="7135" customFormat="false" ht="15" hidden="false" customHeight="false" outlineLevel="0" collapsed="false">
      <c r="A7135" s="102"/>
      <c r="E7135" s="103" t="str">
        <f aca="false">IF($C7135="","",IFERROR(INDEX(المنيو!$C$2:$C$500,MATCH($C7135,المنيو!$B$2:$B$500,0)),0))</f>
        <v/>
      </c>
      <c r="F7135" s="103" t="str">
        <f aca="false">IF($C7135="","",$D7135*$E7135)</f>
        <v/>
      </c>
      <c r="G7135" s="103" t="str">
        <f aca="false">IF($C7135="","",$D7135*IFERROR(INDEX('تحليل التكلفة والسعر'!$C$2:$C$700,MATCH($C7135,'تحليل التكلفة والسعر'!$B$2:$B$700,0)),0))</f>
        <v/>
      </c>
    </row>
    <row r="7136" customFormat="false" ht="15" hidden="false" customHeight="false" outlineLevel="0" collapsed="false">
      <c r="A7136" s="102"/>
      <c r="E7136" s="103" t="str">
        <f aca="false">IF($C7136="","",IFERROR(INDEX(المنيو!$C$2:$C$500,MATCH($C7136,المنيو!$B$2:$B$500,0)),0))</f>
        <v/>
      </c>
      <c r="F7136" s="103" t="str">
        <f aca="false">IF($C7136="","",$D7136*$E7136)</f>
        <v/>
      </c>
      <c r="G7136" s="103" t="str">
        <f aca="false">IF($C7136="","",$D7136*IFERROR(INDEX('تحليل التكلفة والسعر'!$C$2:$C$700,MATCH($C7136,'تحليل التكلفة والسعر'!$B$2:$B$700,0)),0))</f>
        <v/>
      </c>
    </row>
    <row r="7137" customFormat="false" ht="15" hidden="false" customHeight="false" outlineLevel="0" collapsed="false">
      <c r="A7137" s="102"/>
      <c r="E7137" s="103" t="str">
        <f aca="false">IF($C7137="","",IFERROR(INDEX(المنيو!$C$2:$C$500,MATCH($C7137,المنيو!$B$2:$B$500,0)),0))</f>
        <v/>
      </c>
      <c r="F7137" s="103" t="str">
        <f aca="false">IF($C7137="","",$D7137*$E7137)</f>
        <v/>
      </c>
      <c r="G7137" s="103" t="str">
        <f aca="false">IF($C7137="","",$D7137*IFERROR(INDEX('تحليل التكلفة والسعر'!$C$2:$C$700,MATCH($C7137,'تحليل التكلفة والسعر'!$B$2:$B$700,0)),0))</f>
        <v/>
      </c>
    </row>
    <row r="7138" customFormat="false" ht="15" hidden="false" customHeight="false" outlineLevel="0" collapsed="false">
      <c r="A7138" s="102"/>
      <c r="E7138" s="103" t="str">
        <f aca="false">IF($C7138="","",IFERROR(INDEX(المنيو!$C$2:$C$500,MATCH($C7138,المنيو!$B$2:$B$500,0)),0))</f>
        <v/>
      </c>
      <c r="F7138" s="103" t="str">
        <f aca="false">IF($C7138="","",$D7138*$E7138)</f>
        <v/>
      </c>
      <c r="G7138" s="103" t="str">
        <f aca="false">IF($C7138="","",$D7138*IFERROR(INDEX('تحليل التكلفة والسعر'!$C$2:$C$700,MATCH($C7138,'تحليل التكلفة والسعر'!$B$2:$B$700,0)),0))</f>
        <v/>
      </c>
    </row>
    <row r="7139" customFormat="false" ht="15" hidden="false" customHeight="false" outlineLevel="0" collapsed="false">
      <c r="A7139" s="102"/>
      <c r="E7139" s="103" t="str">
        <f aca="false">IF($C7139="","",IFERROR(INDEX(المنيو!$C$2:$C$500,MATCH($C7139,المنيو!$B$2:$B$500,0)),0))</f>
        <v/>
      </c>
      <c r="F7139" s="103" t="str">
        <f aca="false">IF($C7139="","",$D7139*$E7139)</f>
        <v/>
      </c>
      <c r="G7139" s="103" t="str">
        <f aca="false">IF($C7139="","",$D7139*IFERROR(INDEX('تحليل التكلفة والسعر'!$C$2:$C$700,MATCH($C7139,'تحليل التكلفة والسعر'!$B$2:$B$700,0)),0))</f>
        <v/>
      </c>
    </row>
    <row r="7140" customFormat="false" ht="15" hidden="false" customHeight="false" outlineLevel="0" collapsed="false">
      <c r="A7140" s="102"/>
      <c r="E7140" s="103" t="str">
        <f aca="false">IF($C7140="","",IFERROR(INDEX(المنيو!$C$2:$C$500,MATCH($C7140,المنيو!$B$2:$B$500,0)),0))</f>
        <v/>
      </c>
      <c r="F7140" s="103" t="str">
        <f aca="false">IF($C7140="","",$D7140*$E7140)</f>
        <v/>
      </c>
      <c r="G7140" s="103" t="str">
        <f aca="false">IF($C7140="","",$D7140*IFERROR(INDEX('تحليل التكلفة والسعر'!$C$2:$C$700,MATCH($C7140,'تحليل التكلفة والسعر'!$B$2:$B$700,0)),0))</f>
        <v/>
      </c>
    </row>
    <row r="7141" customFormat="false" ht="15" hidden="false" customHeight="false" outlineLevel="0" collapsed="false">
      <c r="A7141" s="102"/>
      <c r="E7141" s="103" t="str">
        <f aca="false">IF($C7141="","",IFERROR(INDEX(المنيو!$C$2:$C$500,MATCH($C7141,المنيو!$B$2:$B$500,0)),0))</f>
        <v/>
      </c>
      <c r="F7141" s="103" t="str">
        <f aca="false">IF($C7141="","",$D7141*$E7141)</f>
        <v/>
      </c>
      <c r="G7141" s="103" t="str">
        <f aca="false">IF($C7141="","",$D7141*IFERROR(INDEX('تحليل التكلفة والسعر'!$C$2:$C$700,MATCH($C7141,'تحليل التكلفة والسعر'!$B$2:$B$700,0)),0))</f>
        <v/>
      </c>
    </row>
    <row r="7142" customFormat="false" ht="15" hidden="false" customHeight="false" outlineLevel="0" collapsed="false">
      <c r="A7142" s="102"/>
      <c r="E7142" s="103" t="str">
        <f aca="false">IF($C7142="","",IFERROR(INDEX(المنيو!$C$2:$C$500,MATCH($C7142,المنيو!$B$2:$B$500,0)),0))</f>
        <v/>
      </c>
      <c r="F7142" s="103" t="str">
        <f aca="false">IF($C7142="","",$D7142*$E7142)</f>
        <v/>
      </c>
      <c r="G7142" s="103" t="str">
        <f aca="false">IF($C7142="","",$D7142*IFERROR(INDEX('تحليل التكلفة والسعر'!$C$2:$C$700,MATCH($C7142,'تحليل التكلفة والسعر'!$B$2:$B$700,0)),0))</f>
        <v/>
      </c>
    </row>
    <row r="7143" customFormat="false" ht="15" hidden="false" customHeight="false" outlineLevel="0" collapsed="false">
      <c r="A7143" s="102"/>
      <c r="E7143" s="103" t="str">
        <f aca="false">IF($C7143="","",IFERROR(INDEX(المنيو!$C$2:$C$500,MATCH($C7143,المنيو!$B$2:$B$500,0)),0))</f>
        <v/>
      </c>
      <c r="F7143" s="103" t="str">
        <f aca="false">IF($C7143="","",$D7143*$E7143)</f>
        <v/>
      </c>
      <c r="G7143" s="103" t="str">
        <f aca="false">IF($C7143="","",$D7143*IFERROR(INDEX('تحليل التكلفة والسعر'!$C$2:$C$700,MATCH($C7143,'تحليل التكلفة والسعر'!$B$2:$B$700,0)),0))</f>
        <v/>
      </c>
    </row>
    <row r="7144" customFormat="false" ht="15" hidden="false" customHeight="false" outlineLevel="0" collapsed="false">
      <c r="A7144" s="102"/>
      <c r="E7144" s="103" t="str">
        <f aca="false">IF($C7144="","",IFERROR(INDEX(المنيو!$C$2:$C$500,MATCH($C7144,المنيو!$B$2:$B$500,0)),0))</f>
        <v/>
      </c>
      <c r="F7144" s="103" t="str">
        <f aca="false">IF($C7144="","",$D7144*$E7144)</f>
        <v/>
      </c>
      <c r="G7144" s="103" t="str">
        <f aca="false">IF($C7144="","",$D7144*IFERROR(INDEX('تحليل التكلفة والسعر'!$C$2:$C$700,MATCH($C7144,'تحليل التكلفة والسعر'!$B$2:$B$700,0)),0))</f>
        <v/>
      </c>
    </row>
    <row r="7145" customFormat="false" ht="15" hidden="false" customHeight="false" outlineLevel="0" collapsed="false">
      <c r="A7145" s="102"/>
      <c r="E7145" s="103" t="str">
        <f aca="false">IF($C7145="","",IFERROR(INDEX(المنيو!$C$2:$C$500,MATCH($C7145,المنيو!$B$2:$B$500,0)),0))</f>
        <v/>
      </c>
      <c r="F7145" s="103" t="str">
        <f aca="false">IF($C7145="","",$D7145*$E7145)</f>
        <v/>
      </c>
      <c r="G7145" s="103" t="str">
        <f aca="false">IF($C7145="","",$D7145*IFERROR(INDEX('تحليل التكلفة والسعر'!$C$2:$C$700,MATCH($C7145,'تحليل التكلفة والسعر'!$B$2:$B$700,0)),0))</f>
        <v/>
      </c>
    </row>
    <row r="7146" customFormat="false" ht="15" hidden="false" customHeight="false" outlineLevel="0" collapsed="false">
      <c r="A7146" s="102"/>
      <c r="E7146" s="103" t="str">
        <f aca="false">IF($C7146="","",IFERROR(INDEX(المنيو!$C$2:$C$500,MATCH($C7146,المنيو!$B$2:$B$500,0)),0))</f>
        <v/>
      </c>
      <c r="F7146" s="103" t="str">
        <f aca="false">IF($C7146="","",$D7146*$E7146)</f>
        <v/>
      </c>
      <c r="G7146" s="103" t="str">
        <f aca="false">IF($C7146="","",$D7146*IFERROR(INDEX('تحليل التكلفة والسعر'!$C$2:$C$700,MATCH($C7146,'تحليل التكلفة والسعر'!$B$2:$B$700,0)),0))</f>
        <v/>
      </c>
    </row>
    <row r="7147" customFormat="false" ht="15" hidden="false" customHeight="false" outlineLevel="0" collapsed="false">
      <c r="A7147" s="102"/>
      <c r="E7147" s="103" t="str">
        <f aca="false">IF($C7147="","",IFERROR(INDEX(المنيو!$C$2:$C$500,MATCH($C7147,المنيو!$B$2:$B$500,0)),0))</f>
        <v/>
      </c>
      <c r="F7147" s="103" t="str">
        <f aca="false">IF($C7147="","",$D7147*$E7147)</f>
        <v/>
      </c>
      <c r="G7147" s="103" t="str">
        <f aca="false">IF($C7147="","",$D7147*IFERROR(INDEX('تحليل التكلفة والسعر'!$C$2:$C$700,MATCH($C7147,'تحليل التكلفة والسعر'!$B$2:$B$700,0)),0))</f>
        <v/>
      </c>
    </row>
    <row r="7148" customFormat="false" ht="15" hidden="false" customHeight="false" outlineLevel="0" collapsed="false">
      <c r="A7148" s="102"/>
      <c r="E7148" s="103" t="str">
        <f aca="false">IF($C7148="","",IFERROR(INDEX(المنيو!$C$2:$C$500,MATCH($C7148,المنيو!$B$2:$B$500,0)),0))</f>
        <v/>
      </c>
      <c r="F7148" s="103" t="str">
        <f aca="false">IF($C7148="","",$D7148*$E7148)</f>
        <v/>
      </c>
      <c r="G7148" s="103" t="str">
        <f aca="false">IF($C7148="","",$D7148*IFERROR(INDEX('تحليل التكلفة والسعر'!$C$2:$C$700,MATCH($C7148,'تحليل التكلفة والسعر'!$B$2:$B$700,0)),0))</f>
        <v/>
      </c>
    </row>
    <row r="7149" customFormat="false" ht="15" hidden="false" customHeight="false" outlineLevel="0" collapsed="false">
      <c r="A7149" s="102"/>
      <c r="E7149" s="103" t="str">
        <f aca="false">IF($C7149="","",IFERROR(INDEX(المنيو!$C$2:$C$500,MATCH($C7149,المنيو!$B$2:$B$500,0)),0))</f>
        <v/>
      </c>
      <c r="F7149" s="103" t="str">
        <f aca="false">IF($C7149="","",$D7149*$E7149)</f>
        <v/>
      </c>
      <c r="G7149" s="103" t="str">
        <f aca="false">IF($C7149="","",$D7149*IFERROR(INDEX('تحليل التكلفة والسعر'!$C$2:$C$700,MATCH($C7149,'تحليل التكلفة والسعر'!$B$2:$B$700,0)),0))</f>
        <v/>
      </c>
    </row>
    <row r="7150" customFormat="false" ht="15" hidden="false" customHeight="false" outlineLevel="0" collapsed="false">
      <c r="A7150" s="102"/>
      <c r="E7150" s="103" t="str">
        <f aca="false">IF($C7150="","",IFERROR(INDEX(المنيو!$C$2:$C$500,MATCH($C7150,المنيو!$B$2:$B$500,0)),0))</f>
        <v/>
      </c>
      <c r="F7150" s="103" t="str">
        <f aca="false">IF($C7150="","",$D7150*$E7150)</f>
        <v/>
      </c>
      <c r="G7150" s="103" t="str">
        <f aca="false">IF($C7150="","",$D7150*IFERROR(INDEX('تحليل التكلفة والسعر'!$C$2:$C$700,MATCH($C7150,'تحليل التكلفة والسعر'!$B$2:$B$700,0)),0))</f>
        <v/>
      </c>
    </row>
    <row r="7151" customFormat="false" ht="15" hidden="false" customHeight="false" outlineLevel="0" collapsed="false">
      <c r="A7151" s="102"/>
      <c r="E7151" s="103" t="str">
        <f aca="false">IF($C7151="","",IFERROR(INDEX(المنيو!$C$2:$C$500,MATCH($C7151,المنيو!$B$2:$B$500,0)),0))</f>
        <v/>
      </c>
      <c r="F7151" s="103" t="str">
        <f aca="false">IF($C7151="","",$D7151*$E7151)</f>
        <v/>
      </c>
      <c r="G7151" s="103" t="str">
        <f aca="false">IF($C7151="","",$D7151*IFERROR(INDEX('تحليل التكلفة والسعر'!$C$2:$C$700,MATCH($C7151,'تحليل التكلفة والسعر'!$B$2:$B$700,0)),0))</f>
        <v/>
      </c>
    </row>
    <row r="7152" customFormat="false" ht="15" hidden="false" customHeight="false" outlineLevel="0" collapsed="false">
      <c r="A7152" s="102"/>
      <c r="E7152" s="103" t="str">
        <f aca="false">IF($C7152="","",IFERROR(INDEX(المنيو!$C$2:$C$500,MATCH($C7152,المنيو!$B$2:$B$500,0)),0))</f>
        <v/>
      </c>
      <c r="F7152" s="103" t="str">
        <f aca="false">IF($C7152="","",$D7152*$E7152)</f>
        <v/>
      </c>
      <c r="G7152" s="103" t="str">
        <f aca="false">IF($C7152="","",$D7152*IFERROR(INDEX('تحليل التكلفة والسعر'!$C$2:$C$700,MATCH($C7152,'تحليل التكلفة والسعر'!$B$2:$B$700,0)),0))</f>
        <v/>
      </c>
    </row>
    <row r="7153" customFormat="false" ht="15" hidden="false" customHeight="false" outlineLevel="0" collapsed="false">
      <c r="A7153" s="102"/>
      <c r="E7153" s="103" t="str">
        <f aca="false">IF($C7153="","",IFERROR(INDEX(المنيو!$C$2:$C$500,MATCH($C7153,المنيو!$B$2:$B$500,0)),0))</f>
        <v/>
      </c>
      <c r="F7153" s="103" t="str">
        <f aca="false">IF($C7153="","",$D7153*$E7153)</f>
        <v/>
      </c>
      <c r="G7153" s="103" t="str">
        <f aca="false">IF($C7153="","",$D7153*IFERROR(INDEX('تحليل التكلفة والسعر'!$C$2:$C$700,MATCH($C7153,'تحليل التكلفة والسعر'!$B$2:$B$700,0)),0))</f>
        <v/>
      </c>
    </row>
    <row r="7154" customFormat="false" ht="15" hidden="false" customHeight="false" outlineLevel="0" collapsed="false">
      <c r="A7154" s="102"/>
      <c r="E7154" s="103" t="str">
        <f aca="false">IF($C7154="","",IFERROR(INDEX(المنيو!$C$2:$C$500,MATCH($C7154,المنيو!$B$2:$B$500,0)),0))</f>
        <v/>
      </c>
      <c r="F7154" s="103" t="str">
        <f aca="false">IF($C7154="","",$D7154*$E7154)</f>
        <v/>
      </c>
      <c r="G7154" s="103" t="str">
        <f aca="false">IF($C7154="","",$D7154*IFERROR(INDEX('تحليل التكلفة والسعر'!$C$2:$C$700,MATCH($C7154,'تحليل التكلفة والسعر'!$B$2:$B$700,0)),0))</f>
        <v/>
      </c>
    </row>
    <row r="7155" customFormat="false" ht="15" hidden="false" customHeight="false" outlineLevel="0" collapsed="false">
      <c r="A7155" s="102"/>
      <c r="E7155" s="103" t="str">
        <f aca="false">IF($C7155="","",IFERROR(INDEX(المنيو!$C$2:$C$500,MATCH($C7155,المنيو!$B$2:$B$500,0)),0))</f>
        <v/>
      </c>
      <c r="F7155" s="103" t="str">
        <f aca="false">IF($C7155="","",$D7155*$E7155)</f>
        <v/>
      </c>
      <c r="G7155" s="103" t="str">
        <f aca="false">IF($C7155="","",$D7155*IFERROR(INDEX('تحليل التكلفة والسعر'!$C$2:$C$700,MATCH($C7155,'تحليل التكلفة والسعر'!$B$2:$B$700,0)),0))</f>
        <v/>
      </c>
    </row>
    <row r="7156" customFormat="false" ht="15" hidden="false" customHeight="false" outlineLevel="0" collapsed="false">
      <c r="A7156" s="102"/>
      <c r="E7156" s="103" t="str">
        <f aca="false">IF($C7156="","",IFERROR(INDEX(المنيو!$C$2:$C$500,MATCH($C7156,المنيو!$B$2:$B$500,0)),0))</f>
        <v/>
      </c>
      <c r="F7156" s="103" t="str">
        <f aca="false">IF($C7156="","",$D7156*$E7156)</f>
        <v/>
      </c>
      <c r="G7156" s="103" t="str">
        <f aca="false">IF($C7156="","",$D7156*IFERROR(INDEX('تحليل التكلفة والسعر'!$C$2:$C$700,MATCH($C7156,'تحليل التكلفة والسعر'!$B$2:$B$700,0)),0))</f>
        <v/>
      </c>
    </row>
    <row r="7157" customFormat="false" ht="15" hidden="false" customHeight="false" outlineLevel="0" collapsed="false">
      <c r="A7157" s="102"/>
      <c r="E7157" s="103" t="str">
        <f aca="false">IF($C7157="","",IFERROR(INDEX(المنيو!$C$2:$C$500,MATCH($C7157,المنيو!$B$2:$B$500,0)),0))</f>
        <v/>
      </c>
      <c r="F7157" s="103" t="str">
        <f aca="false">IF($C7157="","",$D7157*$E7157)</f>
        <v/>
      </c>
      <c r="G7157" s="103" t="str">
        <f aca="false">IF($C7157="","",$D7157*IFERROR(INDEX('تحليل التكلفة والسعر'!$C$2:$C$700,MATCH($C7157,'تحليل التكلفة والسعر'!$B$2:$B$700,0)),0))</f>
        <v/>
      </c>
    </row>
    <row r="7158" customFormat="false" ht="15" hidden="false" customHeight="false" outlineLevel="0" collapsed="false">
      <c r="A7158" s="102"/>
      <c r="E7158" s="103" t="str">
        <f aca="false">IF($C7158="","",IFERROR(INDEX(المنيو!$C$2:$C$500,MATCH($C7158,المنيو!$B$2:$B$500,0)),0))</f>
        <v/>
      </c>
      <c r="F7158" s="103" t="str">
        <f aca="false">IF($C7158="","",$D7158*$E7158)</f>
        <v/>
      </c>
      <c r="G7158" s="103" t="str">
        <f aca="false">IF($C7158="","",$D7158*IFERROR(INDEX('تحليل التكلفة والسعر'!$C$2:$C$700,MATCH($C7158,'تحليل التكلفة والسعر'!$B$2:$B$700,0)),0))</f>
        <v/>
      </c>
    </row>
    <row r="7159" customFormat="false" ht="15" hidden="false" customHeight="false" outlineLevel="0" collapsed="false">
      <c r="A7159" s="102"/>
      <c r="E7159" s="103" t="str">
        <f aca="false">IF($C7159="","",IFERROR(INDEX(المنيو!$C$2:$C$500,MATCH($C7159,المنيو!$B$2:$B$500,0)),0))</f>
        <v/>
      </c>
      <c r="F7159" s="103" t="str">
        <f aca="false">IF($C7159="","",$D7159*$E7159)</f>
        <v/>
      </c>
      <c r="G7159" s="103" t="str">
        <f aca="false">IF($C7159="","",$D7159*IFERROR(INDEX('تحليل التكلفة والسعر'!$C$2:$C$700,MATCH($C7159,'تحليل التكلفة والسعر'!$B$2:$B$700,0)),0))</f>
        <v/>
      </c>
    </row>
    <row r="7160" customFormat="false" ht="15" hidden="false" customHeight="false" outlineLevel="0" collapsed="false">
      <c r="A7160" s="102"/>
      <c r="E7160" s="103" t="str">
        <f aca="false">IF($C7160="","",IFERROR(INDEX(المنيو!$C$2:$C$500,MATCH($C7160,المنيو!$B$2:$B$500,0)),0))</f>
        <v/>
      </c>
      <c r="F7160" s="103" t="str">
        <f aca="false">IF($C7160="","",$D7160*$E7160)</f>
        <v/>
      </c>
      <c r="G7160" s="103" t="str">
        <f aca="false">IF($C7160="","",$D7160*IFERROR(INDEX('تحليل التكلفة والسعر'!$C$2:$C$700,MATCH($C7160,'تحليل التكلفة والسعر'!$B$2:$B$700,0)),0))</f>
        <v/>
      </c>
    </row>
    <row r="7161" customFormat="false" ht="15" hidden="false" customHeight="false" outlineLevel="0" collapsed="false">
      <c r="A7161" s="102"/>
      <c r="E7161" s="103" t="str">
        <f aca="false">IF($C7161="","",IFERROR(INDEX(المنيو!$C$2:$C$500,MATCH($C7161,المنيو!$B$2:$B$500,0)),0))</f>
        <v/>
      </c>
      <c r="F7161" s="103" t="str">
        <f aca="false">IF($C7161="","",$D7161*$E7161)</f>
        <v/>
      </c>
      <c r="G7161" s="103" t="str">
        <f aca="false">IF($C7161="","",$D7161*IFERROR(INDEX('تحليل التكلفة والسعر'!$C$2:$C$700,MATCH($C7161,'تحليل التكلفة والسعر'!$B$2:$B$700,0)),0))</f>
        <v/>
      </c>
    </row>
    <row r="7162" customFormat="false" ht="15" hidden="false" customHeight="false" outlineLevel="0" collapsed="false">
      <c r="A7162" s="102"/>
      <c r="E7162" s="103" t="str">
        <f aca="false">IF($C7162="","",IFERROR(INDEX(المنيو!$C$2:$C$500,MATCH($C7162,المنيو!$B$2:$B$500,0)),0))</f>
        <v/>
      </c>
      <c r="F7162" s="103" t="str">
        <f aca="false">IF($C7162="","",$D7162*$E7162)</f>
        <v/>
      </c>
      <c r="G7162" s="103" t="str">
        <f aca="false">IF($C7162="","",$D7162*IFERROR(INDEX('تحليل التكلفة والسعر'!$C$2:$C$700,MATCH($C7162,'تحليل التكلفة والسعر'!$B$2:$B$700,0)),0))</f>
        <v/>
      </c>
    </row>
    <row r="7163" customFormat="false" ht="15" hidden="false" customHeight="false" outlineLevel="0" collapsed="false">
      <c r="A7163" s="102"/>
      <c r="E7163" s="103" t="str">
        <f aca="false">IF($C7163="","",IFERROR(INDEX(المنيو!$C$2:$C$500,MATCH($C7163,المنيو!$B$2:$B$500,0)),0))</f>
        <v/>
      </c>
      <c r="F7163" s="103" t="str">
        <f aca="false">IF($C7163="","",$D7163*$E7163)</f>
        <v/>
      </c>
      <c r="G7163" s="103" t="str">
        <f aca="false">IF($C7163="","",$D7163*IFERROR(INDEX('تحليل التكلفة والسعر'!$C$2:$C$700,MATCH($C7163,'تحليل التكلفة والسعر'!$B$2:$B$700,0)),0))</f>
        <v/>
      </c>
    </row>
    <row r="7164" customFormat="false" ht="15" hidden="false" customHeight="false" outlineLevel="0" collapsed="false">
      <c r="A7164" s="102"/>
      <c r="E7164" s="103" t="str">
        <f aca="false">IF($C7164="","",IFERROR(INDEX(المنيو!$C$2:$C$500,MATCH($C7164,المنيو!$B$2:$B$500,0)),0))</f>
        <v/>
      </c>
      <c r="F7164" s="103" t="str">
        <f aca="false">IF($C7164="","",$D7164*$E7164)</f>
        <v/>
      </c>
      <c r="G7164" s="103" t="str">
        <f aca="false">IF($C7164="","",$D7164*IFERROR(INDEX('تحليل التكلفة والسعر'!$C$2:$C$700,MATCH($C7164,'تحليل التكلفة والسعر'!$B$2:$B$700,0)),0))</f>
        <v/>
      </c>
    </row>
    <row r="7165" customFormat="false" ht="15" hidden="false" customHeight="false" outlineLevel="0" collapsed="false">
      <c r="A7165" s="102"/>
      <c r="E7165" s="103" t="str">
        <f aca="false">IF($C7165="","",IFERROR(INDEX(المنيو!$C$2:$C$500,MATCH($C7165,المنيو!$B$2:$B$500,0)),0))</f>
        <v/>
      </c>
      <c r="F7165" s="103" t="str">
        <f aca="false">IF($C7165="","",$D7165*$E7165)</f>
        <v/>
      </c>
      <c r="G7165" s="103" t="str">
        <f aca="false">IF($C7165="","",$D7165*IFERROR(INDEX('تحليل التكلفة والسعر'!$C$2:$C$700,MATCH($C7165,'تحليل التكلفة والسعر'!$B$2:$B$700,0)),0))</f>
        <v/>
      </c>
    </row>
    <row r="7166" customFormat="false" ht="15" hidden="false" customHeight="false" outlineLevel="0" collapsed="false">
      <c r="A7166" s="102"/>
      <c r="E7166" s="103" t="str">
        <f aca="false">IF($C7166="","",IFERROR(INDEX(المنيو!$C$2:$C$500,MATCH($C7166,المنيو!$B$2:$B$500,0)),0))</f>
        <v/>
      </c>
      <c r="F7166" s="103" t="str">
        <f aca="false">IF($C7166="","",$D7166*$E7166)</f>
        <v/>
      </c>
      <c r="G7166" s="103" t="str">
        <f aca="false">IF($C7166="","",$D7166*IFERROR(INDEX('تحليل التكلفة والسعر'!$C$2:$C$700,MATCH($C7166,'تحليل التكلفة والسعر'!$B$2:$B$700,0)),0))</f>
        <v/>
      </c>
    </row>
    <row r="7167" customFormat="false" ht="15" hidden="false" customHeight="false" outlineLevel="0" collapsed="false">
      <c r="A7167" s="102"/>
      <c r="E7167" s="103" t="str">
        <f aca="false">IF($C7167="","",IFERROR(INDEX(المنيو!$C$2:$C$500,MATCH($C7167,المنيو!$B$2:$B$500,0)),0))</f>
        <v/>
      </c>
      <c r="F7167" s="103" t="str">
        <f aca="false">IF($C7167="","",$D7167*$E7167)</f>
        <v/>
      </c>
      <c r="G7167" s="103" t="str">
        <f aca="false">IF($C7167="","",$D7167*IFERROR(INDEX('تحليل التكلفة والسعر'!$C$2:$C$700,MATCH($C7167,'تحليل التكلفة والسعر'!$B$2:$B$700,0)),0))</f>
        <v/>
      </c>
    </row>
    <row r="7168" customFormat="false" ht="15" hidden="false" customHeight="false" outlineLevel="0" collapsed="false">
      <c r="A7168" s="102"/>
      <c r="E7168" s="103" t="str">
        <f aca="false">IF($C7168="","",IFERROR(INDEX(المنيو!$C$2:$C$500,MATCH($C7168,المنيو!$B$2:$B$500,0)),0))</f>
        <v/>
      </c>
      <c r="F7168" s="103" t="str">
        <f aca="false">IF($C7168="","",$D7168*$E7168)</f>
        <v/>
      </c>
      <c r="G7168" s="103" t="str">
        <f aca="false">IF($C7168="","",$D7168*IFERROR(INDEX('تحليل التكلفة والسعر'!$C$2:$C$700,MATCH($C7168,'تحليل التكلفة والسعر'!$B$2:$B$700,0)),0))</f>
        <v/>
      </c>
    </row>
    <row r="7169" customFormat="false" ht="15" hidden="false" customHeight="false" outlineLevel="0" collapsed="false">
      <c r="A7169" s="102"/>
      <c r="E7169" s="103" t="str">
        <f aca="false">IF($C7169="","",IFERROR(INDEX(المنيو!$C$2:$C$500,MATCH($C7169,المنيو!$B$2:$B$500,0)),0))</f>
        <v/>
      </c>
      <c r="F7169" s="103" t="str">
        <f aca="false">IF($C7169="","",$D7169*$E7169)</f>
        <v/>
      </c>
      <c r="G7169" s="103" t="str">
        <f aca="false">IF($C7169="","",$D7169*IFERROR(INDEX('تحليل التكلفة والسعر'!$C$2:$C$700,MATCH($C7169,'تحليل التكلفة والسعر'!$B$2:$B$700,0)),0))</f>
        <v/>
      </c>
    </row>
    <row r="7170" customFormat="false" ht="15" hidden="false" customHeight="false" outlineLevel="0" collapsed="false">
      <c r="A7170" s="102"/>
      <c r="E7170" s="103" t="str">
        <f aca="false">IF($C7170="","",IFERROR(INDEX(المنيو!$C$2:$C$500,MATCH($C7170,المنيو!$B$2:$B$500,0)),0))</f>
        <v/>
      </c>
      <c r="F7170" s="103" t="str">
        <f aca="false">IF($C7170="","",$D7170*$E7170)</f>
        <v/>
      </c>
      <c r="G7170" s="103" t="str">
        <f aca="false">IF($C7170="","",$D7170*IFERROR(INDEX('تحليل التكلفة والسعر'!$C$2:$C$700,MATCH($C7170,'تحليل التكلفة والسعر'!$B$2:$B$700,0)),0))</f>
        <v/>
      </c>
    </row>
    <row r="7171" customFormat="false" ht="15" hidden="false" customHeight="false" outlineLevel="0" collapsed="false">
      <c r="A7171" s="102"/>
      <c r="E7171" s="103" t="str">
        <f aca="false">IF($C7171="","",IFERROR(INDEX(المنيو!$C$2:$C$500,MATCH($C7171,المنيو!$B$2:$B$500,0)),0))</f>
        <v/>
      </c>
      <c r="F7171" s="103" t="str">
        <f aca="false">IF($C7171="","",$D7171*$E7171)</f>
        <v/>
      </c>
      <c r="G7171" s="103" t="str">
        <f aca="false">IF($C7171="","",$D7171*IFERROR(INDEX('تحليل التكلفة والسعر'!$C$2:$C$700,MATCH($C7171,'تحليل التكلفة والسعر'!$B$2:$B$700,0)),0))</f>
        <v/>
      </c>
    </row>
    <row r="7172" customFormat="false" ht="15" hidden="false" customHeight="false" outlineLevel="0" collapsed="false">
      <c r="A7172" s="102"/>
      <c r="E7172" s="103" t="str">
        <f aca="false">IF($C7172="","",IFERROR(INDEX(المنيو!$C$2:$C$500,MATCH($C7172,المنيو!$B$2:$B$500,0)),0))</f>
        <v/>
      </c>
      <c r="F7172" s="103" t="str">
        <f aca="false">IF($C7172="","",$D7172*$E7172)</f>
        <v/>
      </c>
      <c r="G7172" s="103" t="str">
        <f aca="false">IF($C7172="","",$D7172*IFERROR(INDEX('تحليل التكلفة والسعر'!$C$2:$C$700,MATCH($C7172,'تحليل التكلفة والسعر'!$B$2:$B$700,0)),0))</f>
        <v/>
      </c>
    </row>
    <row r="7173" customFormat="false" ht="15" hidden="false" customHeight="false" outlineLevel="0" collapsed="false">
      <c r="A7173" s="102"/>
      <c r="E7173" s="103" t="str">
        <f aca="false">IF($C7173="","",IFERROR(INDEX(المنيو!$C$2:$C$500,MATCH($C7173,المنيو!$B$2:$B$500,0)),0))</f>
        <v/>
      </c>
      <c r="F7173" s="103" t="str">
        <f aca="false">IF($C7173="","",$D7173*$E7173)</f>
        <v/>
      </c>
      <c r="G7173" s="103" t="str">
        <f aca="false">IF($C7173="","",$D7173*IFERROR(INDEX('تحليل التكلفة والسعر'!$C$2:$C$700,MATCH($C7173,'تحليل التكلفة والسعر'!$B$2:$B$700,0)),0))</f>
        <v/>
      </c>
    </row>
    <row r="7174" customFormat="false" ht="15" hidden="false" customHeight="false" outlineLevel="0" collapsed="false">
      <c r="A7174" s="102"/>
      <c r="E7174" s="103" t="str">
        <f aca="false">IF($C7174="","",IFERROR(INDEX(المنيو!$C$2:$C$500,MATCH($C7174,المنيو!$B$2:$B$500,0)),0))</f>
        <v/>
      </c>
      <c r="F7174" s="103" t="str">
        <f aca="false">IF($C7174="","",$D7174*$E7174)</f>
        <v/>
      </c>
      <c r="G7174" s="103" t="str">
        <f aca="false">IF($C7174="","",$D7174*IFERROR(INDEX('تحليل التكلفة والسعر'!$C$2:$C$700,MATCH($C7174,'تحليل التكلفة والسعر'!$B$2:$B$700,0)),0))</f>
        <v/>
      </c>
    </row>
    <row r="7175" customFormat="false" ht="15" hidden="false" customHeight="false" outlineLevel="0" collapsed="false">
      <c r="A7175" s="102"/>
      <c r="E7175" s="103" t="str">
        <f aca="false">IF($C7175="","",IFERROR(INDEX(المنيو!$C$2:$C$500,MATCH($C7175,المنيو!$B$2:$B$500,0)),0))</f>
        <v/>
      </c>
      <c r="F7175" s="103" t="str">
        <f aca="false">IF($C7175="","",$D7175*$E7175)</f>
        <v/>
      </c>
      <c r="G7175" s="103" t="str">
        <f aca="false">IF($C7175="","",$D7175*IFERROR(INDEX('تحليل التكلفة والسعر'!$C$2:$C$700,MATCH($C7175,'تحليل التكلفة والسعر'!$B$2:$B$700,0)),0))</f>
        <v/>
      </c>
    </row>
    <row r="7176" customFormat="false" ht="15" hidden="false" customHeight="false" outlineLevel="0" collapsed="false">
      <c r="A7176" s="102"/>
      <c r="E7176" s="103" t="str">
        <f aca="false">IF($C7176="","",IFERROR(INDEX(المنيو!$C$2:$C$500,MATCH($C7176,المنيو!$B$2:$B$500,0)),0))</f>
        <v/>
      </c>
      <c r="F7176" s="103" t="str">
        <f aca="false">IF($C7176="","",$D7176*$E7176)</f>
        <v/>
      </c>
      <c r="G7176" s="103" t="str">
        <f aca="false">IF($C7176="","",$D7176*IFERROR(INDEX('تحليل التكلفة والسعر'!$C$2:$C$700,MATCH($C7176,'تحليل التكلفة والسعر'!$B$2:$B$700,0)),0))</f>
        <v/>
      </c>
    </row>
    <row r="7177" customFormat="false" ht="15" hidden="false" customHeight="false" outlineLevel="0" collapsed="false">
      <c r="A7177" s="102"/>
      <c r="E7177" s="103" t="str">
        <f aca="false">IF($C7177="","",IFERROR(INDEX(المنيو!$C$2:$C$500,MATCH($C7177,المنيو!$B$2:$B$500,0)),0))</f>
        <v/>
      </c>
      <c r="F7177" s="103" t="str">
        <f aca="false">IF($C7177="","",$D7177*$E7177)</f>
        <v/>
      </c>
      <c r="G7177" s="103" t="str">
        <f aca="false">IF($C7177="","",$D7177*IFERROR(INDEX('تحليل التكلفة والسعر'!$C$2:$C$700,MATCH($C7177,'تحليل التكلفة والسعر'!$B$2:$B$700,0)),0))</f>
        <v/>
      </c>
    </row>
    <row r="7178" customFormat="false" ht="15" hidden="false" customHeight="false" outlineLevel="0" collapsed="false">
      <c r="A7178" s="102"/>
      <c r="E7178" s="103" t="str">
        <f aca="false">IF($C7178="","",IFERROR(INDEX(المنيو!$C$2:$C$500,MATCH($C7178,المنيو!$B$2:$B$500,0)),0))</f>
        <v/>
      </c>
      <c r="F7178" s="103" t="str">
        <f aca="false">IF($C7178="","",$D7178*$E7178)</f>
        <v/>
      </c>
      <c r="G7178" s="103" t="str">
        <f aca="false">IF($C7178="","",$D7178*IFERROR(INDEX('تحليل التكلفة والسعر'!$C$2:$C$700,MATCH($C7178,'تحليل التكلفة والسعر'!$B$2:$B$700,0)),0))</f>
        <v/>
      </c>
    </row>
    <row r="7179" customFormat="false" ht="15" hidden="false" customHeight="false" outlineLevel="0" collapsed="false">
      <c r="A7179" s="102"/>
      <c r="E7179" s="103" t="str">
        <f aca="false">IF($C7179="","",IFERROR(INDEX(المنيو!$C$2:$C$500,MATCH($C7179,المنيو!$B$2:$B$500,0)),0))</f>
        <v/>
      </c>
      <c r="F7179" s="103" t="str">
        <f aca="false">IF($C7179="","",$D7179*$E7179)</f>
        <v/>
      </c>
      <c r="G7179" s="103" t="str">
        <f aca="false">IF($C7179="","",$D7179*IFERROR(INDEX('تحليل التكلفة والسعر'!$C$2:$C$700,MATCH($C7179,'تحليل التكلفة والسعر'!$B$2:$B$700,0)),0))</f>
        <v/>
      </c>
    </row>
    <row r="7180" customFormat="false" ht="15" hidden="false" customHeight="false" outlineLevel="0" collapsed="false">
      <c r="A7180" s="102"/>
      <c r="E7180" s="103" t="str">
        <f aca="false">IF($C7180="","",IFERROR(INDEX(المنيو!$C$2:$C$500,MATCH($C7180,المنيو!$B$2:$B$500,0)),0))</f>
        <v/>
      </c>
      <c r="F7180" s="103" t="str">
        <f aca="false">IF($C7180="","",$D7180*$E7180)</f>
        <v/>
      </c>
      <c r="G7180" s="103" t="str">
        <f aca="false">IF($C7180="","",$D7180*IFERROR(INDEX('تحليل التكلفة والسعر'!$C$2:$C$700,MATCH($C7180,'تحليل التكلفة والسعر'!$B$2:$B$700,0)),0))</f>
        <v/>
      </c>
    </row>
    <row r="7181" customFormat="false" ht="15" hidden="false" customHeight="false" outlineLevel="0" collapsed="false">
      <c r="A7181" s="102"/>
      <c r="E7181" s="103" t="str">
        <f aca="false">IF($C7181="","",IFERROR(INDEX(المنيو!$C$2:$C$500,MATCH($C7181,المنيو!$B$2:$B$500,0)),0))</f>
        <v/>
      </c>
      <c r="F7181" s="103" t="str">
        <f aca="false">IF($C7181="","",$D7181*$E7181)</f>
        <v/>
      </c>
      <c r="G7181" s="103" t="str">
        <f aca="false">IF($C7181="","",$D7181*IFERROR(INDEX('تحليل التكلفة والسعر'!$C$2:$C$700,MATCH($C7181,'تحليل التكلفة والسعر'!$B$2:$B$700,0)),0))</f>
        <v/>
      </c>
    </row>
    <row r="7182" customFormat="false" ht="15" hidden="false" customHeight="false" outlineLevel="0" collapsed="false">
      <c r="A7182" s="102"/>
      <c r="E7182" s="103" t="str">
        <f aca="false">IF($C7182="","",IFERROR(INDEX(المنيو!$C$2:$C$500,MATCH($C7182,المنيو!$B$2:$B$500,0)),0))</f>
        <v/>
      </c>
      <c r="F7182" s="103" t="str">
        <f aca="false">IF($C7182="","",$D7182*$E7182)</f>
        <v/>
      </c>
      <c r="G7182" s="103" t="str">
        <f aca="false">IF($C7182="","",$D7182*IFERROR(INDEX('تحليل التكلفة والسعر'!$C$2:$C$700,MATCH($C7182,'تحليل التكلفة والسعر'!$B$2:$B$700,0)),0))</f>
        <v/>
      </c>
    </row>
    <row r="7183" customFormat="false" ht="15" hidden="false" customHeight="false" outlineLevel="0" collapsed="false">
      <c r="A7183" s="102"/>
      <c r="E7183" s="103" t="str">
        <f aca="false">IF($C7183="","",IFERROR(INDEX(المنيو!$C$2:$C$500,MATCH($C7183,المنيو!$B$2:$B$500,0)),0))</f>
        <v/>
      </c>
      <c r="F7183" s="103" t="str">
        <f aca="false">IF($C7183="","",$D7183*$E7183)</f>
        <v/>
      </c>
      <c r="G7183" s="103" t="str">
        <f aca="false">IF($C7183="","",$D7183*IFERROR(INDEX('تحليل التكلفة والسعر'!$C$2:$C$700,MATCH($C7183,'تحليل التكلفة والسعر'!$B$2:$B$700,0)),0))</f>
        <v/>
      </c>
    </row>
    <row r="7184" customFormat="false" ht="15" hidden="false" customHeight="false" outlineLevel="0" collapsed="false">
      <c r="A7184" s="102"/>
      <c r="E7184" s="103" t="str">
        <f aca="false">IF($C7184="","",IFERROR(INDEX(المنيو!$C$2:$C$500,MATCH($C7184,المنيو!$B$2:$B$500,0)),0))</f>
        <v/>
      </c>
      <c r="F7184" s="103" t="str">
        <f aca="false">IF($C7184="","",$D7184*$E7184)</f>
        <v/>
      </c>
      <c r="G7184" s="103" t="str">
        <f aca="false">IF($C7184="","",$D7184*IFERROR(INDEX('تحليل التكلفة والسعر'!$C$2:$C$700,MATCH($C7184,'تحليل التكلفة والسعر'!$B$2:$B$700,0)),0))</f>
        <v/>
      </c>
    </row>
    <row r="7185" customFormat="false" ht="15" hidden="false" customHeight="false" outlineLevel="0" collapsed="false">
      <c r="A7185" s="102"/>
      <c r="E7185" s="103" t="str">
        <f aca="false">IF($C7185="","",IFERROR(INDEX(المنيو!$C$2:$C$500,MATCH($C7185,المنيو!$B$2:$B$500,0)),0))</f>
        <v/>
      </c>
      <c r="F7185" s="103" t="str">
        <f aca="false">IF($C7185="","",$D7185*$E7185)</f>
        <v/>
      </c>
      <c r="G7185" s="103" t="str">
        <f aca="false">IF($C7185="","",$D7185*IFERROR(INDEX('تحليل التكلفة والسعر'!$C$2:$C$700,MATCH($C7185,'تحليل التكلفة والسعر'!$B$2:$B$700,0)),0))</f>
        <v/>
      </c>
    </row>
    <row r="7186" customFormat="false" ht="15" hidden="false" customHeight="false" outlineLevel="0" collapsed="false">
      <c r="A7186" s="102"/>
      <c r="E7186" s="103" t="str">
        <f aca="false">IF($C7186="","",IFERROR(INDEX(المنيو!$C$2:$C$500,MATCH($C7186,المنيو!$B$2:$B$500,0)),0))</f>
        <v/>
      </c>
      <c r="F7186" s="103" t="str">
        <f aca="false">IF($C7186="","",$D7186*$E7186)</f>
        <v/>
      </c>
      <c r="G7186" s="103" t="str">
        <f aca="false">IF($C7186="","",$D7186*IFERROR(INDEX('تحليل التكلفة والسعر'!$C$2:$C$700,MATCH($C7186,'تحليل التكلفة والسعر'!$B$2:$B$700,0)),0))</f>
        <v/>
      </c>
    </row>
    <row r="7187" customFormat="false" ht="15" hidden="false" customHeight="false" outlineLevel="0" collapsed="false">
      <c r="A7187" s="102"/>
      <c r="E7187" s="103" t="str">
        <f aca="false">IF($C7187="","",IFERROR(INDEX(المنيو!$C$2:$C$500,MATCH($C7187,المنيو!$B$2:$B$500,0)),0))</f>
        <v/>
      </c>
      <c r="F7187" s="103" t="str">
        <f aca="false">IF($C7187="","",$D7187*$E7187)</f>
        <v/>
      </c>
      <c r="G7187" s="103" t="str">
        <f aca="false">IF($C7187="","",$D7187*IFERROR(INDEX('تحليل التكلفة والسعر'!$C$2:$C$700,MATCH($C7187,'تحليل التكلفة والسعر'!$B$2:$B$700,0)),0))</f>
        <v/>
      </c>
    </row>
    <row r="7188" customFormat="false" ht="15" hidden="false" customHeight="false" outlineLevel="0" collapsed="false">
      <c r="A7188" s="102"/>
      <c r="E7188" s="103" t="str">
        <f aca="false">IF($C7188="","",IFERROR(INDEX(المنيو!$C$2:$C$500,MATCH($C7188,المنيو!$B$2:$B$500,0)),0))</f>
        <v/>
      </c>
      <c r="F7188" s="103" t="str">
        <f aca="false">IF($C7188="","",$D7188*$E7188)</f>
        <v/>
      </c>
      <c r="G7188" s="103" t="str">
        <f aca="false">IF($C7188="","",$D7188*IFERROR(INDEX('تحليل التكلفة والسعر'!$C$2:$C$700,MATCH($C7188,'تحليل التكلفة والسعر'!$B$2:$B$700,0)),0))</f>
        <v/>
      </c>
    </row>
    <row r="7189" customFormat="false" ht="15" hidden="false" customHeight="false" outlineLevel="0" collapsed="false">
      <c r="A7189" s="102"/>
      <c r="E7189" s="103" t="str">
        <f aca="false">IF($C7189="","",IFERROR(INDEX(المنيو!$C$2:$C$500,MATCH($C7189,المنيو!$B$2:$B$500,0)),0))</f>
        <v/>
      </c>
      <c r="F7189" s="103" t="str">
        <f aca="false">IF($C7189="","",$D7189*$E7189)</f>
        <v/>
      </c>
      <c r="G7189" s="103" t="str">
        <f aca="false">IF($C7189="","",$D7189*IFERROR(INDEX('تحليل التكلفة والسعر'!$C$2:$C$700,MATCH($C7189,'تحليل التكلفة والسعر'!$B$2:$B$700,0)),0))</f>
        <v/>
      </c>
    </row>
    <row r="7190" customFormat="false" ht="15" hidden="false" customHeight="false" outlineLevel="0" collapsed="false">
      <c r="A7190" s="102"/>
      <c r="E7190" s="103" t="str">
        <f aca="false">IF($C7190="","",IFERROR(INDEX(المنيو!$C$2:$C$500,MATCH($C7190,المنيو!$B$2:$B$500,0)),0))</f>
        <v/>
      </c>
      <c r="F7190" s="103" t="str">
        <f aca="false">IF($C7190="","",$D7190*$E7190)</f>
        <v/>
      </c>
      <c r="G7190" s="103" t="str">
        <f aca="false">IF($C7190="","",$D7190*IFERROR(INDEX('تحليل التكلفة والسعر'!$C$2:$C$700,MATCH($C7190,'تحليل التكلفة والسعر'!$B$2:$B$700,0)),0))</f>
        <v/>
      </c>
    </row>
    <row r="7191" customFormat="false" ht="15" hidden="false" customHeight="false" outlineLevel="0" collapsed="false">
      <c r="A7191" s="102"/>
      <c r="E7191" s="103" t="str">
        <f aca="false">IF($C7191="","",IFERROR(INDEX(المنيو!$C$2:$C$500,MATCH($C7191,المنيو!$B$2:$B$500,0)),0))</f>
        <v/>
      </c>
      <c r="F7191" s="103" t="str">
        <f aca="false">IF($C7191="","",$D7191*$E7191)</f>
        <v/>
      </c>
      <c r="G7191" s="103" t="str">
        <f aca="false">IF($C7191="","",$D7191*IFERROR(INDEX('تحليل التكلفة والسعر'!$C$2:$C$700,MATCH($C7191,'تحليل التكلفة والسعر'!$B$2:$B$700,0)),0))</f>
        <v/>
      </c>
    </row>
    <row r="7192" customFormat="false" ht="15" hidden="false" customHeight="false" outlineLevel="0" collapsed="false">
      <c r="A7192" s="102"/>
      <c r="E7192" s="103" t="str">
        <f aca="false">IF($C7192="","",IFERROR(INDEX(المنيو!$C$2:$C$500,MATCH($C7192,المنيو!$B$2:$B$500,0)),0))</f>
        <v/>
      </c>
      <c r="F7192" s="103" t="str">
        <f aca="false">IF($C7192="","",$D7192*$E7192)</f>
        <v/>
      </c>
      <c r="G7192" s="103" t="str">
        <f aca="false">IF($C7192="","",$D7192*IFERROR(INDEX('تحليل التكلفة والسعر'!$C$2:$C$700,MATCH($C7192,'تحليل التكلفة والسعر'!$B$2:$B$700,0)),0))</f>
        <v/>
      </c>
    </row>
    <row r="7193" customFormat="false" ht="15" hidden="false" customHeight="false" outlineLevel="0" collapsed="false">
      <c r="A7193" s="102"/>
      <c r="E7193" s="103" t="str">
        <f aca="false">IF($C7193="","",IFERROR(INDEX(المنيو!$C$2:$C$500,MATCH($C7193,المنيو!$B$2:$B$500,0)),0))</f>
        <v/>
      </c>
      <c r="F7193" s="103" t="str">
        <f aca="false">IF($C7193="","",$D7193*$E7193)</f>
        <v/>
      </c>
      <c r="G7193" s="103" t="str">
        <f aca="false">IF($C7193="","",$D7193*IFERROR(INDEX('تحليل التكلفة والسعر'!$C$2:$C$700,MATCH($C7193,'تحليل التكلفة والسعر'!$B$2:$B$700,0)),0))</f>
        <v/>
      </c>
    </row>
    <row r="7194" customFormat="false" ht="15" hidden="false" customHeight="false" outlineLevel="0" collapsed="false">
      <c r="A7194" s="102"/>
      <c r="E7194" s="103" t="str">
        <f aca="false">IF($C7194="","",IFERROR(INDEX(المنيو!$C$2:$C$500,MATCH($C7194,المنيو!$B$2:$B$500,0)),0))</f>
        <v/>
      </c>
      <c r="F7194" s="103" t="str">
        <f aca="false">IF($C7194="","",$D7194*$E7194)</f>
        <v/>
      </c>
      <c r="G7194" s="103" t="str">
        <f aca="false">IF($C7194="","",$D7194*IFERROR(INDEX('تحليل التكلفة والسعر'!$C$2:$C$700,MATCH($C7194,'تحليل التكلفة والسعر'!$B$2:$B$700,0)),0))</f>
        <v/>
      </c>
    </row>
    <row r="7195" customFormat="false" ht="15" hidden="false" customHeight="false" outlineLevel="0" collapsed="false">
      <c r="A7195" s="102"/>
      <c r="E7195" s="103" t="str">
        <f aca="false">IF($C7195="","",IFERROR(INDEX(المنيو!$C$2:$C$500,MATCH($C7195,المنيو!$B$2:$B$500,0)),0))</f>
        <v/>
      </c>
      <c r="F7195" s="103" t="str">
        <f aca="false">IF($C7195="","",$D7195*$E7195)</f>
        <v/>
      </c>
      <c r="G7195" s="103" t="str">
        <f aca="false">IF($C7195="","",$D7195*IFERROR(INDEX('تحليل التكلفة والسعر'!$C$2:$C$700,MATCH($C7195,'تحليل التكلفة والسعر'!$B$2:$B$700,0)),0))</f>
        <v/>
      </c>
    </row>
    <row r="7196" customFormat="false" ht="15" hidden="false" customHeight="false" outlineLevel="0" collapsed="false">
      <c r="A7196" s="102"/>
      <c r="E7196" s="103" t="str">
        <f aca="false">IF($C7196="","",IFERROR(INDEX(المنيو!$C$2:$C$500,MATCH($C7196,المنيو!$B$2:$B$500,0)),0))</f>
        <v/>
      </c>
      <c r="F7196" s="103" t="str">
        <f aca="false">IF($C7196="","",$D7196*$E7196)</f>
        <v/>
      </c>
      <c r="G7196" s="103" t="str">
        <f aca="false">IF($C7196="","",$D7196*IFERROR(INDEX('تحليل التكلفة والسعر'!$C$2:$C$700,MATCH($C7196,'تحليل التكلفة والسعر'!$B$2:$B$700,0)),0))</f>
        <v/>
      </c>
    </row>
    <row r="7197" customFormat="false" ht="15" hidden="false" customHeight="false" outlineLevel="0" collapsed="false">
      <c r="A7197" s="102"/>
      <c r="E7197" s="103" t="str">
        <f aca="false">IF($C7197="","",IFERROR(INDEX(المنيو!$C$2:$C$500,MATCH($C7197,المنيو!$B$2:$B$500,0)),0))</f>
        <v/>
      </c>
      <c r="F7197" s="103" t="str">
        <f aca="false">IF($C7197="","",$D7197*$E7197)</f>
        <v/>
      </c>
      <c r="G7197" s="103" t="str">
        <f aca="false">IF($C7197="","",$D7197*IFERROR(INDEX('تحليل التكلفة والسعر'!$C$2:$C$700,MATCH($C7197,'تحليل التكلفة والسعر'!$B$2:$B$700,0)),0))</f>
        <v/>
      </c>
    </row>
    <row r="7198" customFormat="false" ht="15" hidden="false" customHeight="false" outlineLevel="0" collapsed="false">
      <c r="A7198" s="102"/>
      <c r="E7198" s="103" t="str">
        <f aca="false">IF($C7198="","",IFERROR(INDEX(المنيو!$C$2:$C$500,MATCH($C7198,المنيو!$B$2:$B$500,0)),0))</f>
        <v/>
      </c>
      <c r="F7198" s="103" t="str">
        <f aca="false">IF($C7198="","",$D7198*$E7198)</f>
        <v/>
      </c>
      <c r="G7198" s="103" t="str">
        <f aca="false">IF($C7198="","",$D7198*IFERROR(INDEX('تحليل التكلفة والسعر'!$C$2:$C$700,MATCH($C7198,'تحليل التكلفة والسعر'!$B$2:$B$700,0)),0))</f>
        <v/>
      </c>
    </row>
    <row r="7199" customFormat="false" ht="15" hidden="false" customHeight="false" outlineLevel="0" collapsed="false">
      <c r="A7199" s="102"/>
      <c r="E7199" s="103" t="str">
        <f aca="false">IF($C7199="","",IFERROR(INDEX(المنيو!$C$2:$C$500,MATCH($C7199,المنيو!$B$2:$B$500,0)),0))</f>
        <v/>
      </c>
      <c r="F7199" s="103" t="str">
        <f aca="false">IF($C7199="","",$D7199*$E7199)</f>
        <v/>
      </c>
      <c r="G7199" s="103" t="str">
        <f aca="false">IF($C7199="","",$D7199*IFERROR(INDEX('تحليل التكلفة والسعر'!$C$2:$C$700,MATCH($C7199,'تحليل التكلفة والسعر'!$B$2:$B$700,0)),0))</f>
        <v/>
      </c>
    </row>
    <row r="7200" customFormat="false" ht="15" hidden="false" customHeight="false" outlineLevel="0" collapsed="false">
      <c r="A7200" s="102"/>
      <c r="E7200" s="103" t="str">
        <f aca="false">IF($C7200="","",IFERROR(INDEX(المنيو!$C$2:$C$500,MATCH($C7200,المنيو!$B$2:$B$500,0)),0))</f>
        <v/>
      </c>
      <c r="F7200" s="103" t="str">
        <f aca="false">IF($C7200="","",$D7200*$E7200)</f>
        <v/>
      </c>
      <c r="G7200" s="103" t="str">
        <f aca="false">IF($C7200="","",$D7200*IFERROR(INDEX('تحليل التكلفة والسعر'!$C$2:$C$700,MATCH($C7200,'تحليل التكلفة والسعر'!$B$2:$B$700,0)),0))</f>
        <v/>
      </c>
    </row>
    <row r="7201" customFormat="false" ht="15" hidden="false" customHeight="false" outlineLevel="0" collapsed="false">
      <c r="A7201" s="102"/>
      <c r="E7201" s="103" t="str">
        <f aca="false">IF($C7201="","",IFERROR(INDEX(المنيو!$C$2:$C$500,MATCH($C7201,المنيو!$B$2:$B$500,0)),0))</f>
        <v/>
      </c>
      <c r="F7201" s="103" t="str">
        <f aca="false">IF($C7201="","",$D7201*$E7201)</f>
        <v/>
      </c>
      <c r="G7201" s="103" t="str">
        <f aca="false">IF($C7201="","",$D7201*IFERROR(INDEX('تحليل التكلفة والسعر'!$C$2:$C$700,MATCH($C7201,'تحليل التكلفة والسعر'!$B$2:$B$700,0)),0))</f>
        <v/>
      </c>
    </row>
    <row r="7202" customFormat="false" ht="15" hidden="false" customHeight="false" outlineLevel="0" collapsed="false">
      <c r="A7202" s="102"/>
      <c r="E7202" s="103" t="str">
        <f aca="false">IF($C7202="","",IFERROR(INDEX(المنيو!$C$2:$C$500,MATCH($C7202,المنيو!$B$2:$B$500,0)),0))</f>
        <v/>
      </c>
      <c r="F7202" s="103" t="str">
        <f aca="false">IF($C7202="","",$D7202*$E7202)</f>
        <v/>
      </c>
      <c r="G7202" s="103" t="str">
        <f aca="false">IF($C7202="","",$D7202*IFERROR(INDEX('تحليل التكلفة والسعر'!$C$2:$C$700,MATCH($C7202,'تحليل التكلفة والسعر'!$B$2:$B$700,0)),0))</f>
        <v/>
      </c>
    </row>
    <row r="7203" customFormat="false" ht="15" hidden="false" customHeight="false" outlineLevel="0" collapsed="false">
      <c r="A7203" s="102"/>
      <c r="E7203" s="103" t="str">
        <f aca="false">IF($C7203="","",IFERROR(INDEX(المنيو!$C$2:$C$500,MATCH($C7203,المنيو!$B$2:$B$500,0)),0))</f>
        <v/>
      </c>
      <c r="F7203" s="103" t="str">
        <f aca="false">IF($C7203="","",$D7203*$E7203)</f>
        <v/>
      </c>
      <c r="G7203" s="103" t="str">
        <f aca="false">IF($C7203="","",$D7203*IFERROR(INDEX('تحليل التكلفة والسعر'!$C$2:$C$700,MATCH($C7203,'تحليل التكلفة والسعر'!$B$2:$B$700,0)),0))</f>
        <v/>
      </c>
    </row>
    <row r="7204" customFormat="false" ht="15" hidden="false" customHeight="false" outlineLevel="0" collapsed="false">
      <c r="A7204" s="102"/>
      <c r="E7204" s="103" t="str">
        <f aca="false">IF($C7204="","",IFERROR(INDEX(المنيو!$C$2:$C$500,MATCH($C7204,المنيو!$B$2:$B$500,0)),0))</f>
        <v/>
      </c>
      <c r="F7204" s="103" t="str">
        <f aca="false">IF($C7204="","",$D7204*$E7204)</f>
        <v/>
      </c>
      <c r="G7204" s="103" t="str">
        <f aca="false">IF($C7204="","",$D7204*IFERROR(INDEX('تحليل التكلفة والسعر'!$C$2:$C$700,MATCH($C7204,'تحليل التكلفة والسعر'!$B$2:$B$700,0)),0))</f>
        <v/>
      </c>
    </row>
    <row r="7205" customFormat="false" ht="15" hidden="false" customHeight="false" outlineLevel="0" collapsed="false">
      <c r="A7205" s="102"/>
      <c r="E7205" s="103" t="str">
        <f aca="false">IF($C7205="","",IFERROR(INDEX(المنيو!$C$2:$C$500,MATCH($C7205,المنيو!$B$2:$B$500,0)),0))</f>
        <v/>
      </c>
      <c r="F7205" s="103" t="str">
        <f aca="false">IF($C7205="","",$D7205*$E7205)</f>
        <v/>
      </c>
      <c r="G7205" s="103" t="str">
        <f aca="false">IF($C7205="","",$D7205*IFERROR(INDEX('تحليل التكلفة والسعر'!$C$2:$C$700,MATCH($C7205,'تحليل التكلفة والسعر'!$B$2:$B$700,0)),0))</f>
        <v/>
      </c>
    </row>
    <row r="7206" customFormat="false" ht="15" hidden="false" customHeight="false" outlineLevel="0" collapsed="false">
      <c r="A7206" s="102"/>
      <c r="E7206" s="103" t="str">
        <f aca="false">IF($C7206="","",IFERROR(INDEX(المنيو!$C$2:$C$500,MATCH($C7206,المنيو!$B$2:$B$500,0)),0))</f>
        <v/>
      </c>
      <c r="F7206" s="103" t="str">
        <f aca="false">IF($C7206="","",$D7206*$E7206)</f>
        <v/>
      </c>
      <c r="G7206" s="103" t="str">
        <f aca="false">IF($C7206="","",$D7206*IFERROR(INDEX('تحليل التكلفة والسعر'!$C$2:$C$700,MATCH($C7206,'تحليل التكلفة والسعر'!$B$2:$B$700,0)),0))</f>
        <v/>
      </c>
    </row>
    <row r="7207" customFormat="false" ht="15" hidden="false" customHeight="false" outlineLevel="0" collapsed="false">
      <c r="A7207" s="102"/>
      <c r="E7207" s="103" t="str">
        <f aca="false">IF($C7207="","",IFERROR(INDEX(المنيو!$C$2:$C$500,MATCH($C7207,المنيو!$B$2:$B$500,0)),0))</f>
        <v/>
      </c>
      <c r="F7207" s="103" t="str">
        <f aca="false">IF($C7207="","",$D7207*$E7207)</f>
        <v/>
      </c>
      <c r="G7207" s="103" t="str">
        <f aca="false">IF($C7207="","",$D7207*IFERROR(INDEX('تحليل التكلفة والسعر'!$C$2:$C$700,MATCH($C7207,'تحليل التكلفة والسعر'!$B$2:$B$700,0)),0))</f>
        <v/>
      </c>
    </row>
    <row r="7208" customFormat="false" ht="15" hidden="false" customHeight="false" outlineLevel="0" collapsed="false">
      <c r="A7208" s="102"/>
      <c r="E7208" s="103" t="str">
        <f aca="false">IF($C7208="","",IFERROR(INDEX(المنيو!$C$2:$C$500,MATCH($C7208,المنيو!$B$2:$B$500,0)),0))</f>
        <v/>
      </c>
      <c r="F7208" s="103" t="str">
        <f aca="false">IF($C7208="","",$D7208*$E7208)</f>
        <v/>
      </c>
      <c r="G7208" s="103" t="str">
        <f aca="false">IF($C7208="","",$D7208*IFERROR(INDEX('تحليل التكلفة والسعر'!$C$2:$C$700,MATCH($C7208,'تحليل التكلفة والسعر'!$B$2:$B$700,0)),0))</f>
        <v/>
      </c>
    </row>
    <row r="7209" customFormat="false" ht="15" hidden="false" customHeight="false" outlineLevel="0" collapsed="false">
      <c r="A7209" s="102"/>
      <c r="E7209" s="103" t="str">
        <f aca="false">IF($C7209="","",IFERROR(INDEX(المنيو!$C$2:$C$500,MATCH($C7209,المنيو!$B$2:$B$500,0)),0))</f>
        <v/>
      </c>
      <c r="F7209" s="103" t="str">
        <f aca="false">IF($C7209="","",$D7209*$E7209)</f>
        <v/>
      </c>
      <c r="G7209" s="103" t="str">
        <f aca="false">IF($C7209="","",$D7209*IFERROR(INDEX('تحليل التكلفة والسعر'!$C$2:$C$700,MATCH($C7209,'تحليل التكلفة والسعر'!$B$2:$B$700,0)),0))</f>
        <v/>
      </c>
    </row>
    <row r="7210" customFormat="false" ht="15" hidden="false" customHeight="false" outlineLevel="0" collapsed="false">
      <c r="A7210" s="102"/>
      <c r="E7210" s="103" t="str">
        <f aca="false">IF($C7210="","",IFERROR(INDEX(المنيو!$C$2:$C$500,MATCH($C7210,المنيو!$B$2:$B$500,0)),0))</f>
        <v/>
      </c>
      <c r="F7210" s="103" t="str">
        <f aca="false">IF($C7210="","",$D7210*$E7210)</f>
        <v/>
      </c>
      <c r="G7210" s="103" t="str">
        <f aca="false">IF($C7210="","",$D7210*IFERROR(INDEX('تحليل التكلفة والسعر'!$C$2:$C$700,MATCH($C7210,'تحليل التكلفة والسعر'!$B$2:$B$700,0)),0))</f>
        <v/>
      </c>
    </row>
    <row r="7211" customFormat="false" ht="15" hidden="false" customHeight="false" outlineLevel="0" collapsed="false">
      <c r="A7211" s="102"/>
      <c r="E7211" s="103" t="str">
        <f aca="false">IF($C7211="","",IFERROR(INDEX(المنيو!$C$2:$C$500,MATCH($C7211,المنيو!$B$2:$B$500,0)),0))</f>
        <v/>
      </c>
      <c r="F7211" s="103" t="str">
        <f aca="false">IF($C7211="","",$D7211*$E7211)</f>
        <v/>
      </c>
      <c r="G7211" s="103" t="str">
        <f aca="false">IF($C7211="","",$D7211*IFERROR(INDEX('تحليل التكلفة والسعر'!$C$2:$C$700,MATCH($C7211,'تحليل التكلفة والسعر'!$B$2:$B$700,0)),0))</f>
        <v/>
      </c>
    </row>
    <row r="7212" customFormat="false" ht="15" hidden="false" customHeight="false" outlineLevel="0" collapsed="false">
      <c r="A7212" s="102"/>
      <c r="E7212" s="103" t="str">
        <f aca="false">IF($C7212="","",IFERROR(INDEX(المنيو!$C$2:$C$500,MATCH($C7212,المنيو!$B$2:$B$500,0)),0))</f>
        <v/>
      </c>
      <c r="F7212" s="103" t="str">
        <f aca="false">IF($C7212="","",$D7212*$E7212)</f>
        <v/>
      </c>
      <c r="G7212" s="103" t="str">
        <f aca="false">IF($C7212="","",$D7212*IFERROR(INDEX('تحليل التكلفة والسعر'!$C$2:$C$700,MATCH($C7212,'تحليل التكلفة والسعر'!$B$2:$B$700,0)),0))</f>
        <v/>
      </c>
    </row>
    <row r="7213" customFormat="false" ht="15" hidden="false" customHeight="false" outlineLevel="0" collapsed="false">
      <c r="A7213" s="102"/>
      <c r="E7213" s="103" t="str">
        <f aca="false">IF($C7213="","",IFERROR(INDEX(المنيو!$C$2:$C$500,MATCH($C7213,المنيو!$B$2:$B$500,0)),0))</f>
        <v/>
      </c>
      <c r="F7213" s="103" t="str">
        <f aca="false">IF($C7213="","",$D7213*$E7213)</f>
        <v/>
      </c>
      <c r="G7213" s="103" t="str">
        <f aca="false">IF($C7213="","",$D7213*IFERROR(INDEX('تحليل التكلفة والسعر'!$C$2:$C$700,MATCH($C7213,'تحليل التكلفة والسعر'!$B$2:$B$700,0)),0))</f>
        <v/>
      </c>
    </row>
    <row r="7214" customFormat="false" ht="15" hidden="false" customHeight="false" outlineLevel="0" collapsed="false">
      <c r="A7214" s="102"/>
      <c r="E7214" s="103" t="str">
        <f aca="false">IF($C7214="","",IFERROR(INDEX(المنيو!$C$2:$C$500,MATCH($C7214,المنيو!$B$2:$B$500,0)),0))</f>
        <v/>
      </c>
      <c r="F7214" s="103" t="str">
        <f aca="false">IF($C7214="","",$D7214*$E7214)</f>
        <v/>
      </c>
      <c r="G7214" s="103" t="str">
        <f aca="false">IF($C7214="","",$D7214*IFERROR(INDEX('تحليل التكلفة والسعر'!$C$2:$C$700,MATCH($C7214,'تحليل التكلفة والسعر'!$B$2:$B$700,0)),0))</f>
        <v/>
      </c>
    </row>
    <row r="7215" customFormat="false" ht="15" hidden="false" customHeight="false" outlineLevel="0" collapsed="false">
      <c r="A7215" s="102"/>
      <c r="E7215" s="103" t="str">
        <f aca="false">IF($C7215="","",IFERROR(INDEX(المنيو!$C$2:$C$500,MATCH($C7215,المنيو!$B$2:$B$500,0)),0))</f>
        <v/>
      </c>
      <c r="F7215" s="103" t="str">
        <f aca="false">IF($C7215="","",$D7215*$E7215)</f>
        <v/>
      </c>
      <c r="G7215" s="103" t="str">
        <f aca="false">IF($C7215="","",$D7215*IFERROR(INDEX('تحليل التكلفة والسعر'!$C$2:$C$700,MATCH($C7215,'تحليل التكلفة والسعر'!$B$2:$B$700,0)),0))</f>
        <v/>
      </c>
    </row>
    <row r="7216" customFormat="false" ht="15" hidden="false" customHeight="false" outlineLevel="0" collapsed="false">
      <c r="A7216" s="102"/>
      <c r="E7216" s="103" t="str">
        <f aca="false">IF($C7216="","",IFERROR(INDEX(المنيو!$C$2:$C$500,MATCH($C7216,المنيو!$B$2:$B$500,0)),0))</f>
        <v/>
      </c>
      <c r="F7216" s="103" t="str">
        <f aca="false">IF($C7216="","",$D7216*$E7216)</f>
        <v/>
      </c>
      <c r="G7216" s="103" t="str">
        <f aca="false">IF($C7216="","",$D7216*IFERROR(INDEX('تحليل التكلفة والسعر'!$C$2:$C$700,MATCH($C7216,'تحليل التكلفة والسعر'!$B$2:$B$700,0)),0))</f>
        <v/>
      </c>
    </row>
    <row r="7217" customFormat="false" ht="15" hidden="false" customHeight="false" outlineLevel="0" collapsed="false">
      <c r="A7217" s="102"/>
      <c r="E7217" s="103" t="str">
        <f aca="false">IF($C7217="","",IFERROR(INDEX(المنيو!$C$2:$C$500,MATCH($C7217,المنيو!$B$2:$B$500,0)),0))</f>
        <v/>
      </c>
      <c r="F7217" s="103" t="str">
        <f aca="false">IF($C7217="","",$D7217*$E7217)</f>
        <v/>
      </c>
      <c r="G7217" s="103" t="str">
        <f aca="false">IF($C7217="","",$D7217*IFERROR(INDEX('تحليل التكلفة والسعر'!$C$2:$C$700,MATCH($C7217,'تحليل التكلفة والسعر'!$B$2:$B$700,0)),0))</f>
        <v/>
      </c>
    </row>
    <row r="7218" customFormat="false" ht="15" hidden="false" customHeight="false" outlineLevel="0" collapsed="false">
      <c r="A7218" s="102"/>
      <c r="E7218" s="103" t="str">
        <f aca="false">IF($C7218="","",IFERROR(INDEX(المنيو!$C$2:$C$500,MATCH($C7218,المنيو!$B$2:$B$500,0)),0))</f>
        <v/>
      </c>
      <c r="F7218" s="103" t="str">
        <f aca="false">IF($C7218="","",$D7218*$E7218)</f>
        <v/>
      </c>
      <c r="G7218" s="103" t="str">
        <f aca="false">IF($C7218="","",$D7218*IFERROR(INDEX('تحليل التكلفة والسعر'!$C$2:$C$700,MATCH($C7218,'تحليل التكلفة والسعر'!$B$2:$B$700,0)),0))</f>
        <v/>
      </c>
    </row>
    <row r="7219" customFormat="false" ht="15" hidden="false" customHeight="false" outlineLevel="0" collapsed="false">
      <c r="A7219" s="102"/>
      <c r="E7219" s="103" t="str">
        <f aca="false">IF($C7219="","",IFERROR(INDEX(المنيو!$C$2:$C$500,MATCH($C7219,المنيو!$B$2:$B$500,0)),0))</f>
        <v/>
      </c>
      <c r="F7219" s="103" t="str">
        <f aca="false">IF($C7219="","",$D7219*$E7219)</f>
        <v/>
      </c>
      <c r="G7219" s="103" t="str">
        <f aca="false">IF($C7219="","",$D7219*IFERROR(INDEX('تحليل التكلفة والسعر'!$C$2:$C$700,MATCH($C7219,'تحليل التكلفة والسعر'!$B$2:$B$700,0)),0))</f>
        <v/>
      </c>
    </row>
    <row r="7220" customFormat="false" ht="15" hidden="false" customHeight="false" outlineLevel="0" collapsed="false">
      <c r="A7220" s="102"/>
      <c r="E7220" s="103" t="str">
        <f aca="false">IF($C7220="","",IFERROR(INDEX(المنيو!$C$2:$C$500,MATCH($C7220,المنيو!$B$2:$B$500,0)),0))</f>
        <v/>
      </c>
      <c r="F7220" s="103" t="str">
        <f aca="false">IF($C7220="","",$D7220*$E7220)</f>
        <v/>
      </c>
      <c r="G7220" s="103" t="str">
        <f aca="false">IF($C7220="","",$D7220*IFERROR(INDEX('تحليل التكلفة والسعر'!$C$2:$C$700,MATCH($C7220,'تحليل التكلفة والسعر'!$B$2:$B$700,0)),0))</f>
        <v/>
      </c>
    </row>
    <row r="7221" customFormat="false" ht="15" hidden="false" customHeight="false" outlineLevel="0" collapsed="false">
      <c r="A7221" s="102"/>
      <c r="E7221" s="103" t="str">
        <f aca="false">IF($C7221="","",IFERROR(INDEX(المنيو!$C$2:$C$500,MATCH($C7221,المنيو!$B$2:$B$500,0)),0))</f>
        <v/>
      </c>
      <c r="F7221" s="103" t="str">
        <f aca="false">IF($C7221="","",$D7221*$E7221)</f>
        <v/>
      </c>
      <c r="G7221" s="103" t="str">
        <f aca="false">IF($C7221="","",$D7221*IFERROR(INDEX('تحليل التكلفة والسعر'!$C$2:$C$700,MATCH($C7221,'تحليل التكلفة والسعر'!$B$2:$B$700,0)),0))</f>
        <v/>
      </c>
    </row>
    <row r="7222" customFormat="false" ht="15" hidden="false" customHeight="false" outlineLevel="0" collapsed="false">
      <c r="A7222" s="102"/>
      <c r="E7222" s="103" t="str">
        <f aca="false">IF($C7222="","",IFERROR(INDEX(المنيو!$C$2:$C$500,MATCH($C7222,المنيو!$B$2:$B$500,0)),0))</f>
        <v/>
      </c>
      <c r="F7222" s="103" t="str">
        <f aca="false">IF($C7222="","",$D7222*$E7222)</f>
        <v/>
      </c>
      <c r="G7222" s="103" t="str">
        <f aca="false">IF($C7222="","",$D7222*IFERROR(INDEX('تحليل التكلفة والسعر'!$C$2:$C$700,MATCH($C7222,'تحليل التكلفة والسعر'!$B$2:$B$700,0)),0))</f>
        <v/>
      </c>
    </row>
    <row r="7223" customFormat="false" ht="15" hidden="false" customHeight="false" outlineLevel="0" collapsed="false">
      <c r="A7223" s="102"/>
      <c r="E7223" s="103" t="str">
        <f aca="false">IF($C7223="","",IFERROR(INDEX(المنيو!$C$2:$C$500,MATCH($C7223,المنيو!$B$2:$B$500,0)),0))</f>
        <v/>
      </c>
      <c r="F7223" s="103" t="str">
        <f aca="false">IF($C7223="","",$D7223*$E7223)</f>
        <v/>
      </c>
      <c r="G7223" s="103" t="str">
        <f aca="false">IF($C7223="","",$D7223*IFERROR(INDEX('تحليل التكلفة والسعر'!$C$2:$C$700,MATCH($C7223,'تحليل التكلفة والسعر'!$B$2:$B$700,0)),0))</f>
        <v/>
      </c>
    </row>
    <row r="7224" customFormat="false" ht="15" hidden="false" customHeight="false" outlineLevel="0" collapsed="false">
      <c r="A7224" s="102"/>
      <c r="E7224" s="103" t="str">
        <f aca="false">IF($C7224="","",IFERROR(INDEX(المنيو!$C$2:$C$500,MATCH($C7224,المنيو!$B$2:$B$500,0)),0))</f>
        <v/>
      </c>
      <c r="F7224" s="103" t="str">
        <f aca="false">IF($C7224="","",$D7224*$E7224)</f>
        <v/>
      </c>
      <c r="G7224" s="103" t="str">
        <f aca="false">IF($C7224="","",$D7224*IFERROR(INDEX('تحليل التكلفة والسعر'!$C$2:$C$700,MATCH($C7224,'تحليل التكلفة والسعر'!$B$2:$B$700,0)),0))</f>
        <v/>
      </c>
    </row>
    <row r="7225" customFormat="false" ht="15" hidden="false" customHeight="false" outlineLevel="0" collapsed="false">
      <c r="A7225" s="102"/>
      <c r="E7225" s="103" t="str">
        <f aca="false">IF($C7225="","",IFERROR(INDEX(المنيو!$C$2:$C$500,MATCH($C7225,المنيو!$B$2:$B$500,0)),0))</f>
        <v/>
      </c>
      <c r="F7225" s="103" t="str">
        <f aca="false">IF($C7225="","",$D7225*$E7225)</f>
        <v/>
      </c>
      <c r="G7225" s="103" t="str">
        <f aca="false">IF($C7225="","",$D7225*IFERROR(INDEX('تحليل التكلفة والسعر'!$C$2:$C$700,MATCH($C7225,'تحليل التكلفة والسعر'!$B$2:$B$700,0)),0))</f>
        <v/>
      </c>
    </row>
    <row r="7226" customFormat="false" ht="15" hidden="false" customHeight="false" outlineLevel="0" collapsed="false">
      <c r="A7226" s="102"/>
      <c r="E7226" s="103" t="str">
        <f aca="false">IF($C7226="","",IFERROR(INDEX(المنيو!$C$2:$C$500,MATCH($C7226,المنيو!$B$2:$B$500,0)),0))</f>
        <v/>
      </c>
      <c r="F7226" s="103" t="str">
        <f aca="false">IF($C7226="","",$D7226*$E7226)</f>
        <v/>
      </c>
      <c r="G7226" s="103" t="str">
        <f aca="false">IF($C7226="","",$D7226*IFERROR(INDEX('تحليل التكلفة والسعر'!$C$2:$C$700,MATCH($C7226,'تحليل التكلفة والسعر'!$B$2:$B$700,0)),0))</f>
        <v/>
      </c>
    </row>
    <row r="7227" customFormat="false" ht="15" hidden="false" customHeight="false" outlineLevel="0" collapsed="false">
      <c r="A7227" s="102"/>
      <c r="E7227" s="103" t="str">
        <f aca="false">IF($C7227="","",IFERROR(INDEX(المنيو!$C$2:$C$500,MATCH($C7227,المنيو!$B$2:$B$500,0)),0))</f>
        <v/>
      </c>
      <c r="F7227" s="103" t="str">
        <f aca="false">IF($C7227="","",$D7227*$E7227)</f>
        <v/>
      </c>
      <c r="G7227" s="103" t="str">
        <f aca="false">IF($C7227="","",$D7227*IFERROR(INDEX('تحليل التكلفة والسعر'!$C$2:$C$700,MATCH($C7227,'تحليل التكلفة والسعر'!$B$2:$B$700,0)),0))</f>
        <v/>
      </c>
    </row>
    <row r="7228" customFormat="false" ht="15" hidden="false" customHeight="false" outlineLevel="0" collapsed="false">
      <c r="A7228" s="102"/>
      <c r="E7228" s="103" t="str">
        <f aca="false">IF($C7228="","",IFERROR(INDEX(المنيو!$C$2:$C$500,MATCH($C7228,المنيو!$B$2:$B$500,0)),0))</f>
        <v/>
      </c>
      <c r="F7228" s="103" t="str">
        <f aca="false">IF($C7228="","",$D7228*$E7228)</f>
        <v/>
      </c>
      <c r="G7228" s="103" t="str">
        <f aca="false">IF($C7228="","",$D7228*IFERROR(INDEX('تحليل التكلفة والسعر'!$C$2:$C$700,MATCH($C7228,'تحليل التكلفة والسعر'!$B$2:$B$700,0)),0))</f>
        <v/>
      </c>
    </row>
    <row r="7229" customFormat="false" ht="15" hidden="false" customHeight="false" outlineLevel="0" collapsed="false">
      <c r="A7229" s="102"/>
      <c r="E7229" s="103" t="str">
        <f aca="false">IF($C7229="","",IFERROR(INDEX(المنيو!$C$2:$C$500,MATCH($C7229,المنيو!$B$2:$B$500,0)),0))</f>
        <v/>
      </c>
      <c r="F7229" s="103" t="str">
        <f aca="false">IF($C7229="","",$D7229*$E7229)</f>
        <v/>
      </c>
      <c r="G7229" s="103" t="str">
        <f aca="false">IF($C7229="","",$D7229*IFERROR(INDEX('تحليل التكلفة والسعر'!$C$2:$C$700,MATCH($C7229,'تحليل التكلفة والسعر'!$B$2:$B$700,0)),0))</f>
        <v/>
      </c>
    </row>
    <row r="7230" customFormat="false" ht="15" hidden="false" customHeight="false" outlineLevel="0" collapsed="false">
      <c r="A7230" s="102"/>
      <c r="E7230" s="103" t="str">
        <f aca="false">IF($C7230="","",IFERROR(INDEX(المنيو!$C$2:$C$500,MATCH($C7230,المنيو!$B$2:$B$500,0)),0))</f>
        <v/>
      </c>
      <c r="F7230" s="103" t="str">
        <f aca="false">IF($C7230="","",$D7230*$E7230)</f>
        <v/>
      </c>
      <c r="G7230" s="103" t="str">
        <f aca="false">IF($C7230="","",$D7230*IFERROR(INDEX('تحليل التكلفة والسعر'!$C$2:$C$700,MATCH($C7230,'تحليل التكلفة والسعر'!$B$2:$B$700,0)),0))</f>
        <v/>
      </c>
    </row>
    <row r="7231" customFormat="false" ht="15" hidden="false" customHeight="false" outlineLevel="0" collapsed="false">
      <c r="A7231" s="102"/>
      <c r="E7231" s="103" t="str">
        <f aca="false">IF($C7231="","",IFERROR(INDEX(المنيو!$C$2:$C$500,MATCH($C7231,المنيو!$B$2:$B$500,0)),0))</f>
        <v/>
      </c>
      <c r="F7231" s="103" t="str">
        <f aca="false">IF($C7231="","",$D7231*$E7231)</f>
        <v/>
      </c>
      <c r="G7231" s="103" t="str">
        <f aca="false">IF($C7231="","",$D7231*IFERROR(INDEX('تحليل التكلفة والسعر'!$C$2:$C$700,MATCH($C7231,'تحليل التكلفة والسعر'!$B$2:$B$700,0)),0))</f>
        <v/>
      </c>
    </row>
    <row r="7232" customFormat="false" ht="15" hidden="false" customHeight="false" outlineLevel="0" collapsed="false">
      <c r="A7232" s="102"/>
      <c r="E7232" s="103" t="str">
        <f aca="false">IF($C7232="","",IFERROR(INDEX(المنيو!$C$2:$C$500,MATCH($C7232,المنيو!$B$2:$B$500,0)),0))</f>
        <v/>
      </c>
      <c r="F7232" s="103" t="str">
        <f aca="false">IF($C7232="","",$D7232*$E7232)</f>
        <v/>
      </c>
      <c r="G7232" s="103" t="str">
        <f aca="false">IF($C7232="","",$D7232*IFERROR(INDEX('تحليل التكلفة والسعر'!$C$2:$C$700,MATCH($C7232,'تحليل التكلفة والسعر'!$B$2:$B$700,0)),0))</f>
        <v/>
      </c>
    </row>
    <row r="7233" customFormat="false" ht="15" hidden="false" customHeight="false" outlineLevel="0" collapsed="false">
      <c r="A7233" s="102"/>
      <c r="E7233" s="103" t="str">
        <f aca="false">IF($C7233="","",IFERROR(INDEX(المنيو!$C$2:$C$500,MATCH($C7233,المنيو!$B$2:$B$500,0)),0))</f>
        <v/>
      </c>
      <c r="F7233" s="103" t="str">
        <f aca="false">IF($C7233="","",$D7233*$E7233)</f>
        <v/>
      </c>
      <c r="G7233" s="103" t="str">
        <f aca="false">IF($C7233="","",$D7233*IFERROR(INDEX('تحليل التكلفة والسعر'!$C$2:$C$700,MATCH($C7233,'تحليل التكلفة والسعر'!$B$2:$B$700,0)),0))</f>
        <v/>
      </c>
    </row>
    <row r="7234" customFormat="false" ht="15" hidden="false" customHeight="false" outlineLevel="0" collapsed="false">
      <c r="A7234" s="102"/>
      <c r="E7234" s="103" t="str">
        <f aca="false">IF($C7234="","",IFERROR(INDEX(المنيو!$C$2:$C$500,MATCH($C7234,المنيو!$B$2:$B$500,0)),0))</f>
        <v/>
      </c>
      <c r="F7234" s="103" t="str">
        <f aca="false">IF($C7234="","",$D7234*$E7234)</f>
        <v/>
      </c>
      <c r="G7234" s="103" t="str">
        <f aca="false">IF($C7234="","",$D7234*IFERROR(INDEX('تحليل التكلفة والسعر'!$C$2:$C$700,MATCH($C7234,'تحليل التكلفة والسعر'!$B$2:$B$700,0)),0))</f>
        <v/>
      </c>
    </row>
    <row r="7235" customFormat="false" ht="15" hidden="false" customHeight="false" outlineLevel="0" collapsed="false">
      <c r="A7235" s="102"/>
      <c r="E7235" s="103" t="str">
        <f aca="false">IF($C7235="","",IFERROR(INDEX(المنيو!$C$2:$C$500,MATCH($C7235,المنيو!$B$2:$B$500,0)),0))</f>
        <v/>
      </c>
      <c r="F7235" s="103" t="str">
        <f aca="false">IF($C7235="","",$D7235*$E7235)</f>
        <v/>
      </c>
      <c r="G7235" s="103" t="str">
        <f aca="false">IF($C7235="","",$D7235*IFERROR(INDEX('تحليل التكلفة والسعر'!$C$2:$C$700,MATCH($C7235,'تحليل التكلفة والسعر'!$B$2:$B$700,0)),0))</f>
        <v/>
      </c>
    </row>
    <row r="7236" customFormat="false" ht="15" hidden="false" customHeight="false" outlineLevel="0" collapsed="false">
      <c r="A7236" s="102"/>
      <c r="E7236" s="103" t="str">
        <f aca="false">IF($C7236="","",IFERROR(INDEX(المنيو!$C$2:$C$500,MATCH($C7236,المنيو!$B$2:$B$500,0)),0))</f>
        <v/>
      </c>
      <c r="F7236" s="103" t="str">
        <f aca="false">IF($C7236="","",$D7236*$E7236)</f>
        <v/>
      </c>
      <c r="G7236" s="103" t="str">
        <f aca="false">IF($C7236="","",$D7236*IFERROR(INDEX('تحليل التكلفة والسعر'!$C$2:$C$700,MATCH($C7236,'تحليل التكلفة والسعر'!$B$2:$B$700,0)),0))</f>
        <v/>
      </c>
    </row>
    <row r="7237" customFormat="false" ht="15" hidden="false" customHeight="false" outlineLevel="0" collapsed="false">
      <c r="A7237" s="102"/>
      <c r="E7237" s="103" t="str">
        <f aca="false">IF($C7237="","",IFERROR(INDEX(المنيو!$C$2:$C$500,MATCH($C7237,المنيو!$B$2:$B$500,0)),0))</f>
        <v/>
      </c>
      <c r="F7237" s="103" t="str">
        <f aca="false">IF($C7237="","",$D7237*$E7237)</f>
        <v/>
      </c>
      <c r="G7237" s="103" t="str">
        <f aca="false">IF($C7237="","",$D7237*IFERROR(INDEX('تحليل التكلفة والسعر'!$C$2:$C$700,MATCH($C7237,'تحليل التكلفة والسعر'!$B$2:$B$700,0)),0))</f>
        <v/>
      </c>
    </row>
    <row r="7238" customFormat="false" ht="15" hidden="false" customHeight="false" outlineLevel="0" collapsed="false">
      <c r="A7238" s="102"/>
      <c r="E7238" s="103" t="str">
        <f aca="false">IF($C7238="","",IFERROR(INDEX(المنيو!$C$2:$C$500,MATCH($C7238,المنيو!$B$2:$B$500,0)),0))</f>
        <v/>
      </c>
      <c r="F7238" s="103" t="str">
        <f aca="false">IF($C7238="","",$D7238*$E7238)</f>
        <v/>
      </c>
      <c r="G7238" s="103" t="str">
        <f aca="false">IF($C7238="","",$D7238*IFERROR(INDEX('تحليل التكلفة والسعر'!$C$2:$C$700,MATCH($C7238,'تحليل التكلفة والسعر'!$B$2:$B$700,0)),0))</f>
        <v/>
      </c>
    </row>
    <row r="7239" customFormat="false" ht="15" hidden="false" customHeight="false" outlineLevel="0" collapsed="false">
      <c r="A7239" s="102"/>
      <c r="E7239" s="103" t="str">
        <f aca="false">IF($C7239="","",IFERROR(INDEX(المنيو!$C$2:$C$500,MATCH($C7239,المنيو!$B$2:$B$500,0)),0))</f>
        <v/>
      </c>
      <c r="F7239" s="103" t="str">
        <f aca="false">IF($C7239="","",$D7239*$E7239)</f>
        <v/>
      </c>
      <c r="G7239" s="103" t="str">
        <f aca="false">IF($C7239="","",$D7239*IFERROR(INDEX('تحليل التكلفة والسعر'!$C$2:$C$700,MATCH($C7239,'تحليل التكلفة والسعر'!$B$2:$B$700,0)),0))</f>
        <v/>
      </c>
    </row>
    <row r="7240" customFormat="false" ht="15" hidden="false" customHeight="false" outlineLevel="0" collapsed="false">
      <c r="A7240" s="102"/>
      <c r="E7240" s="103" t="str">
        <f aca="false">IF($C7240="","",IFERROR(INDEX(المنيو!$C$2:$C$500,MATCH($C7240,المنيو!$B$2:$B$500,0)),0))</f>
        <v/>
      </c>
      <c r="F7240" s="103" t="str">
        <f aca="false">IF($C7240="","",$D7240*$E7240)</f>
        <v/>
      </c>
      <c r="G7240" s="103" t="str">
        <f aca="false">IF($C7240="","",$D7240*IFERROR(INDEX('تحليل التكلفة والسعر'!$C$2:$C$700,MATCH($C7240,'تحليل التكلفة والسعر'!$B$2:$B$700,0)),0))</f>
        <v/>
      </c>
    </row>
    <row r="7241" customFormat="false" ht="15" hidden="false" customHeight="false" outlineLevel="0" collapsed="false">
      <c r="A7241" s="102"/>
      <c r="E7241" s="103" t="str">
        <f aca="false">IF($C7241="","",IFERROR(INDEX(المنيو!$C$2:$C$500,MATCH($C7241,المنيو!$B$2:$B$500,0)),0))</f>
        <v/>
      </c>
      <c r="F7241" s="103" t="str">
        <f aca="false">IF($C7241="","",$D7241*$E7241)</f>
        <v/>
      </c>
      <c r="G7241" s="103" t="str">
        <f aca="false">IF($C7241="","",$D7241*IFERROR(INDEX('تحليل التكلفة والسعر'!$C$2:$C$700,MATCH($C7241,'تحليل التكلفة والسعر'!$B$2:$B$700,0)),0))</f>
        <v/>
      </c>
    </row>
    <row r="7242" customFormat="false" ht="15" hidden="false" customHeight="false" outlineLevel="0" collapsed="false">
      <c r="A7242" s="102"/>
      <c r="E7242" s="103" t="str">
        <f aca="false">IF($C7242="","",IFERROR(INDEX(المنيو!$C$2:$C$500,MATCH($C7242,المنيو!$B$2:$B$500,0)),0))</f>
        <v/>
      </c>
      <c r="F7242" s="103" t="str">
        <f aca="false">IF($C7242="","",$D7242*$E7242)</f>
        <v/>
      </c>
      <c r="G7242" s="103" t="str">
        <f aca="false">IF($C7242="","",$D7242*IFERROR(INDEX('تحليل التكلفة والسعر'!$C$2:$C$700,MATCH($C7242,'تحليل التكلفة والسعر'!$B$2:$B$700,0)),0))</f>
        <v/>
      </c>
    </row>
    <row r="7243" customFormat="false" ht="15" hidden="false" customHeight="false" outlineLevel="0" collapsed="false">
      <c r="A7243" s="102"/>
      <c r="E7243" s="103" t="str">
        <f aca="false">IF($C7243="","",IFERROR(INDEX(المنيو!$C$2:$C$500,MATCH($C7243,المنيو!$B$2:$B$500,0)),0))</f>
        <v/>
      </c>
      <c r="F7243" s="103" t="str">
        <f aca="false">IF($C7243="","",$D7243*$E7243)</f>
        <v/>
      </c>
      <c r="G7243" s="103" t="str">
        <f aca="false">IF($C7243="","",$D7243*IFERROR(INDEX('تحليل التكلفة والسعر'!$C$2:$C$700,MATCH($C7243,'تحليل التكلفة والسعر'!$B$2:$B$700,0)),0))</f>
        <v/>
      </c>
    </row>
    <row r="7244" customFormat="false" ht="15" hidden="false" customHeight="false" outlineLevel="0" collapsed="false">
      <c r="A7244" s="102"/>
      <c r="E7244" s="103" t="str">
        <f aca="false">IF($C7244="","",IFERROR(INDEX(المنيو!$C$2:$C$500,MATCH($C7244,المنيو!$B$2:$B$500,0)),0))</f>
        <v/>
      </c>
      <c r="F7244" s="103" t="str">
        <f aca="false">IF($C7244="","",$D7244*$E7244)</f>
        <v/>
      </c>
      <c r="G7244" s="103" t="str">
        <f aca="false">IF($C7244="","",$D7244*IFERROR(INDEX('تحليل التكلفة والسعر'!$C$2:$C$700,MATCH($C7244,'تحليل التكلفة والسعر'!$B$2:$B$700,0)),0))</f>
        <v/>
      </c>
    </row>
    <row r="7245" customFormat="false" ht="15" hidden="false" customHeight="false" outlineLevel="0" collapsed="false">
      <c r="A7245" s="102"/>
      <c r="E7245" s="103" t="str">
        <f aca="false">IF($C7245="","",IFERROR(INDEX(المنيو!$C$2:$C$500,MATCH($C7245,المنيو!$B$2:$B$500,0)),0))</f>
        <v/>
      </c>
      <c r="F7245" s="103" t="str">
        <f aca="false">IF($C7245="","",$D7245*$E7245)</f>
        <v/>
      </c>
      <c r="G7245" s="103" t="str">
        <f aca="false">IF($C7245="","",$D7245*IFERROR(INDEX('تحليل التكلفة والسعر'!$C$2:$C$700,MATCH($C7245,'تحليل التكلفة والسعر'!$B$2:$B$700,0)),0))</f>
        <v/>
      </c>
    </row>
    <row r="7246" customFormat="false" ht="15" hidden="false" customHeight="false" outlineLevel="0" collapsed="false">
      <c r="A7246" s="102"/>
      <c r="E7246" s="103" t="str">
        <f aca="false">IF($C7246="","",IFERROR(INDEX(المنيو!$C$2:$C$500,MATCH($C7246,المنيو!$B$2:$B$500,0)),0))</f>
        <v/>
      </c>
      <c r="F7246" s="103" t="str">
        <f aca="false">IF($C7246="","",$D7246*$E7246)</f>
        <v/>
      </c>
      <c r="G7246" s="103" t="str">
        <f aca="false">IF($C7246="","",$D7246*IFERROR(INDEX('تحليل التكلفة والسعر'!$C$2:$C$700,MATCH($C7246,'تحليل التكلفة والسعر'!$B$2:$B$700,0)),0))</f>
        <v/>
      </c>
    </row>
    <row r="7247" customFormat="false" ht="15" hidden="false" customHeight="false" outlineLevel="0" collapsed="false">
      <c r="A7247" s="102"/>
      <c r="E7247" s="103" t="str">
        <f aca="false">IF($C7247="","",IFERROR(INDEX(المنيو!$C$2:$C$500,MATCH($C7247,المنيو!$B$2:$B$500,0)),0))</f>
        <v/>
      </c>
      <c r="F7247" s="103" t="str">
        <f aca="false">IF($C7247="","",$D7247*$E7247)</f>
        <v/>
      </c>
      <c r="G7247" s="103" t="str">
        <f aca="false">IF($C7247="","",$D7247*IFERROR(INDEX('تحليل التكلفة والسعر'!$C$2:$C$700,MATCH($C7247,'تحليل التكلفة والسعر'!$B$2:$B$700,0)),0))</f>
        <v/>
      </c>
    </row>
    <row r="7248" customFormat="false" ht="15" hidden="false" customHeight="false" outlineLevel="0" collapsed="false">
      <c r="A7248" s="102"/>
      <c r="E7248" s="103" t="str">
        <f aca="false">IF($C7248="","",IFERROR(INDEX(المنيو!$C$2:$C$500,MATCH($C7248,المنيو!$B$2:$B$500,0)),0))</f>
        <v/>
      </c>
      <c r="F7248" s="103" t="str">
        <f aca="false">IF($C7248="","",$D7248*$E7248)</f>
        <v/>
      </c>
      <c r="G7248" s="103" t="str">
        <f aca="false">IF($C7248="","",$D7248*IFERROR(INDEX('تحليل التكلفة والسعر'!$C$2:$C$700,MATCH($C7248,'تحليل التكلفة والسعر'!$B$2:$B$700,0)),0))</f>
        <v/>
      </c>
    </row>
    <row r="7249" customFormat="false" ht="15" hidden="false" customHeight="false" outlineLevel="0" collapsed="false">
      <c r="A7249" s="102"/>
      <c r="E7249" s="103" t="str">
        <f aca="false">IF($C7249="","",IFERROR(INDEX(المنيو!$C$2:$C$500,MATCH($C7249,المنيو!$B$2:$B$500,0)),0))</f>
        <v/>
      </c>
      <c r="F7249" s="103" t="str">
        <f aca="false">IF($C7249="","",$D7249*$E7249)</f>
        <v/>
      </c>
      <c r="G7249" s="103" t="str">
        <f aca="false">IF($C7249="","",$D7249*IFERROR(INDEX('تحليل التكلفة والسعر'!$C$2:$C$700,MATCH($C7249,'تحليل التكلفة والسعر'!$B$2:$B$700,0)),0))</f>
        <v/>
      </c>
    </row>
    <row r="7250" customFormat="false" ht="15" hidden="false" customHeight="false" outlineLevel="0" collapsed="false">
      <c r="A7250" s="102"/>
      <c r="E7250" s="103" t="str">
        <f aca="false">IF($C7250="","",IFERROR(INDEX(المنيو!$C$2:$C$500,MATCH($C7250,المنيو!$B$2:$B$500,0)),0))</f>
        <v/>
      </c>
      <c r="F7250" s="103" t="str">
        <f aca="false">IF($C7250="","",$D7250*$E7250)</f>
        <v/>
      </c>
      <c r="G7250" s="103" t="str">
        <f aca="false">IF($C7250="","",$D7250*IFERROR(INDEX('تحليل التكلفة والسعر'!$C$2:$C$700,MATCH($C7250,'تحليل التكلفة والسعر'!$B$2:$B$700,0)),0))</f>
        <v/>
      </c>
    </row>
    <row r="7251" customFormat="false" ht="15" hidden="false" customHeight="false" outlineLevel="0" collapsed="false">
      <c r="A7251" s="102"/>
      <c r="E7251" s="103" t="str">
        <f aca="false">IF($C7251="","",IFERROR(INDEX(المنيو!$C$2:$C$500,MATCH($C7251,المنيو!$B$2:$B$500,0)),0))</f>
        <v/>
      </c>
      <c r="F7251" s="103" t="str">
        <f aca="false">IF($C7251="","",$D7251*$E7251)</f>
        <v/>
      </c>
      <c r="G7251" s="103" t="str">
        <f aca="false">IF($C7251="","",$D7251*IFERROR(INDEX('تحليل التكلفة والسعر'!$C$2:$C$700,MATCH($C7251,'تحليل التكلفة والسعر'!$B$2:$B$700,0)),0))</f>
        <v/>
      </c>
    </row>
    <row r="7252" customFormat="false" ht="15" hidden="false" customHeight="false" outlineLevel="0" collapsed="false">
      <c r="A7252" s="102"/>
      <c r="E7252" s="103" t="str">
        <f aca="false">IF($C7252="","",IFERROR(INDEX(المنيو!$C$2:$C$500,MATCH($C7252,المنيو!$B$2:$B$500,0)),0))</f>
        <v/>
      </c>
      <c r="F7252" s="103" t="str">
        <f aca="false">IF($C7252="","",$D7252*$E7252)</f>
        <v/>
      </c>
      <c r="G7252" s="103" t="str">
        <f aca="false">IF($C7252="","",$D7252*IFERROR(INDEX('تحليل التكلفة والسعر'!$C$2:$C$700,MATCH($C7252,'تحليل التكلفة والسعر'!$B$2:$B$700,0)),0))</f>
        <v/>
      </c>
    </row>
    <row r="7253" customFormat="false" ht="15" hidden="false" customHeight="false" outlineLevel="0" collapsed="false">
      <c r="A7253" s="102"/>
      <c r="E7253" s="103" t="str">
        <f aca="false">IF($C7253="","",IFERROR(INDEX(المنيو!$C$2:$C$500,MATCH($C7253,المنيو!$B$2:$B$500,0)),0))</f>
        <v/>
      </c>
      <c r="F7253" s="103" t="str">
        <f aca="false">IF($C7253="","",$D7253*$E7253)</f>
        <v/>
      </c>
      <c r="G7253" s="103" t="str">
        <f aca="false">IF($C7253="","",$D7253*IFERROR(INDEX('تحليل التكلفة والسعر'!$C$2:$C$700,MATCH($C7253,'تحليل التكلفة والسعر'!$B$2:$B$700,0)),0))</f>
        <v/>
      </c>
    </row>
    <row r="7254" customFormat="false" ht="15" hidden="false" customHeight="false" outlineLevel="0" collapsed="false">
      <c r="A7254" s="102"/>
      <c r="E7254" s="103" t="str">
        <f aca="false">IF($C7254="","",IFERROR(INDEX(المنيو!$C$2:$C$500,MATCH($C7254,المنيو!$B$2:$B$500,0)),0))</f>
        <v/>
      </c>
      <c r="F7254" s="103" t="str">
        <f aca="false">IF($C7254="","",$D7254*$E7254)</f>
        <v/>
      </c>
      <c r="G7254" s="103" t="str">
        <f aca="false">IF($C7254="","",$D7254*IFERROR(INDEX('تحليل التكلفة والسعر'!$C$2:$C$700,MATCH($C7254,'تحليل التكلفة والسعر'!$B$2:$B$700,0)),0))</f>
        <v/>
      </c>
    </row>
    <row r="7255" customFormat="false" ht="15" hidden="false" customHeight="false" outlineLevel="0" collapsed="false">
      <c r="A7255" s="102"/>
      <c r="E7255" s="103" t="str">
        <f aca="false">IF($C7255="","",IFERROR(INDEX(المنيو!$C$2:$C$500,MATCH($C7255,المنيو!$B$2:$B$500,0)),0))</f>
        <v/>
      </c>
      <c r="F7255" s="103" t="str">
        <f aca="false">IF($C7255="","",$D7255*$E7255)</f>
        <v/>
      </c>
      <c r="G7255" s="103" t="str">
        <f aca="false">IF($C7255="","",$D7255*IFERROR(INDEX('تحليل التكلفة والسعر'!$C$2:$C$700,MATCH($C7255,'تحليل التكلفة والسعر'!$B$2:$B$700,0)),0))</f>
        <v/>
      </c>
    </row>
    <row r="7256" customFormat="false" ht="15" hidden="false" customHeight="false" outlineLevel="0" collapsed="false">
      <c r="A7256" s="102"/>
      <c r="E7256" s="103" t="str">
        <f aca="false">IF($C7256="","",IFERROR(INDEX(المنيو!$C$2:$C$500,MATCH($C7256,المنيو!$B$2:$B$500,0)),0))</f>
        <v/>
      </c>
      <c r="F7256" s="103" t="str">
        <f aca="false">IF($C7256="","",$D7256*$E7256)</f>
        <v/>
      </c>
      <c r="G7256" s="103" t="str">
        <f aca="false">IF($C7256="","",$D7256*IFERROR(INDEX('تحليل التكلفة والسعر'!$C$2:$C$700,MATCH($C7256,'تحليل التكلفة والسعر'!$B$2:$B$700,0)),0))</f>
        <v/>
      </c>
    </row>
    <row r="7257" customFormat="false" ht="15" hidden="false" customHeight="false" outlineLevel="0" collapsed="false">
      <c r="A7257" s="102"/>
      <c r="E7257" s="103" t="str">
        <f aca="false">IF($C7257="","",IFERROR(INDEX(المنيو!$C$2:$C$500,MATCH($C7257,المنيو!$B$2:$B$500,0)),0))</f>
        <v/>
      </c>
      <c r="F7257" s="103" t="str">
        <f aca="false">IF($C7257="","",$D7257*$E7257)</f>
        <v/>
      </c>
      <c r="G7257" s="103" t="str">
        <f aca="false">IF($C7257="","",$D7257*IFERROR(INDEX('تحليل التكلفة والسعر'!$C$2:$C$700,MATCH($C7257,'تحليل التكلفة والسعر'!$B$2:$B$700,0)),0))</f>
        <v/>
      </c>
    </row>
    <row r="7258" customFormat="false" ht="15" hidden="false" customHeight="false" outlineLevel="0" collapsed="false">
      <c r="A7258" s="102"/>
      <c r="E7258" s="103" t="str">
        <f aca="false">IF($C7258="","",IFERROR(INDEX(المنيو!$C$2:$C$500,MATCH($C7258,المنيو!$B$2:$B$500,0)),0))</f>
        <v/>
      </c>
      <c r="F7258" s="103" t="str">
        <f aca="false">IF($C7258="","",$D7258*$E7258)</f>
        <v/>
      </c>
      <c r="G7258" s="103" t="str">
        <f aca="false">IF($C7258="","",$D7258*IFERROR(INDEX('تحليل التكلفة والسعر'!$C$2:$C$700,MATCH($C7258,'تحليل التكلفة والسعر'!$B$2:$B$700,0)),0))</f>
        <v/>
      </c>
    </row>
    <row r="7259" customFormat="false" ht="15" hidden="false" customHeight="false" outlineLevel="0" collapsed="false">
      <c r="A7259" s="102"/>
      <c r="E7259" s="103" t="str">
        <f aca="false">IF($C7259="","",IFERROR(INDEX(المنيو!$C$2:$C$500,MATCH($C7259,المنيو!$B$2:$B$500,0)),0))</f>
        <v/>
      </c>
      <c r="F7259" s="103" t="str">
        <f aca="false">IF($C7259="","",$D7259*$E7259)</f>
        <v/>
      </c>
      <c r="G7259" s="103" t="str">
        <f aca="false">IF($C7259="","",$D7259*IFERROR(INDEX('تحليل التكلفة والسعر'!$C$2:$C$700,MATCH($C7259,'تحليل التكلفة والسعر'!$B$2:$B$700,0)),0))</f>
        <v/>
      </c>
    </row>
    <row r="7260" customFormat="false" ht="15" hidden="false" customHeight="false" outlineLevel="0" collapsed="false">
      <c r="A7260" s="102"/>
      <c r="E7260" s="103" t="str">
        <f aca="false">IF($C7260="","",IFERROR(INDEX(المنيو!$C$2:$C$500,MATCH($C7260,المنيو!$B$2:$B$500,0)),0))</f>
        <v/>
      </c>
      <c r="F7260" s="103" t="str">
        <f aca="false">IF($C7260="","",$D7260*$E7260)</f>
        <v/>
      </c>
      <c r="G7260" s="103" t="str">
        <f aca="false">IF($C7260="","",$D7260*IFERROR(INDEX('تحليل التكلفة والسعر'!$C$2:$C$700,MATCH($C7260,'تحليل التكلفة والسعر'!$B$2:$B$700,0)),0))</f>
        <v/>
      </c>
    </row>
    <row r="7261" customFormat="false" ht="15" hidden="false" customHeight="false" outlineLevel="0" collapsed="false">
      <c r="A7261" s="102"/>
      <c r="E7261" s="103" t="str">
        <f aca="false">IF($C7261="","",IFERROR(INDEX(المنيو!$C$2:$C$500,MATCH($C7261,المنيو!$B$2:$B$500,0)),0))</f>
        <v/>
      </c>
      <c r="F7261" s="103" t="str">
        <f aca="false">IF($C7261="","",$D7261*$E7261)</f>
        <v/>
      </c>
      <c r="G7261" s="103" t="str">
        <f aca="false">IF($C7261="","",$D7261*IFERROR(INDEX('تحليل التكلفة والسعر'!$C$2:$C$700,MATCH($C7261,'تحليل التكلفة والسعر'!$B$2:$B$700,0)),0))</f>
        <v/>
      </c>
    </row>
    <row r="7262" customFormat="false" ht="15" hidden="false" customHeight="false" outlineLevel="0" collapsed="false">
      <c r="A7262" s="102"/>
      <c r="E7262" s="103" t="str">
        <f aca="false">IF($C7262="","",IFERROR(INDEX(المنيو!$C$2:$C$500,MATCH($C7262,المنيو!$B$2:$B$500,0)),0))</f>
        <v/>
      </c>
      <c r="F7262" s="103" t="str">
        <f aca="false">IF($C7262="","",$D7262*$E7262)</f>
        <v/>
      </c>
      <c r="G7262" s="103" t="str">
        <f aca="false">IF($C7262="","",$D7262*IFERROR(INDEX('تحليل التكلفة والسعر'!$C$2:$C$700,MATCH($C7262,'تحليل التكلفة والسعر'!$B$2:$B$700,0)),0))</f>
        <v/>
      </c>
    </row>
    <row r="7263" customFormat="false" ht="15" hidden="false" customHeight="false" outlineLevel="0" collapsed="false">
      <c r="A7263" s="102"/>
      <c r="E7263" s="103" t="str">
        <f aca="false">IF($C7263="","",IFERROR(INDEX(المنيو!$C$2:$C$500,MATCH($C7263,المنيو!$B$2:$B$500,0)),0))</f>
        <v/>
      </c>
      <c r="F7263" s="103" t="str">
        <f aca="false">IF($C7263="","",$D7263*$E7263)</f>
        <v/>
      </c>
      <c r="G7263" s="103" t="str">
        <f aca="false">IF($C7263="","",$D7263*IFERROR(INDEX('تحليل التكلفة والسعر'!$C$2:$C$700,MATCH($C7263,'تحليل التكلفة والسعر'!$B$2:$B$700,0)),0))</f>
        <v/>
      </c>
    </row>
    <row r="7264" customFormat="false" ht="15" hidden="false" customHeight="false" outlineLevel="0" collapsed="false">
      <c r="A7264" s="102"/>
      <c r="E7264" s="103" t="str">
        <f aca="false">IF($C7264="","",IFERROR(INDEX(المنيو!$C$2:$C$500,MATCH($C7264,المنيو!$B$2:$B$500,0)),0))</f>
        <v/>
      </c>
      <c r="F7264" s="103" t="str">
        <f aca="false">IF($C7264="","",$D7264*$E7264)</f>
        <v/>
      </c>
      <c r="G7264" s="103" t="str">
        <f aca="false">IF($C7264="","",$D7264*IFERROR(INDEX('تحليل التكلفة والسعر'!$C$2:$C$700,MATCH($C7264,'تحليل التكلفة والسعر'!$B$2:$B$700,0)),0))</f>
        <v/>
      </c>
    </row>
    <row r="7265" customFormat="false" ht="15" hidden="false" customHeight="false" outlineLevel="0" collapsed="false">
      <c r="A7265" s="102"/>
      <c r="E7265" s="103" t="str">
        <f aca="false">IF($C7265="","",IFERROR(INDEX(المنيو!$C$2:$C$500,MATCH($C7265,المنيو!$B$2:$B$500,0)),0))</f>
        <v/>
      </c>
      <c r="F7265" s="103" t="str">
        <f aca="false">IF($C7265="","",$D7265*$E7265)</f>
        <v/>
      </c>
      <c r="G7265" s="103" t="str">
        <f aca="false">IF($C7265="","",$D7265*IFERROR(INDEX('تحليل التكلفة والسعر'!$C$2:$C$700,MATCH($C7265,'تحليل التكلفة والسعر'!$B$2:$B$700,0)),0))</f>
        <v/>
      </c>
    </row>
    <row r="7266" customFormat="false" ht="15" hidden="false" customHeight="false" outlineLevel="0" collapsed="false">
      <c r="A7266" s="102"/>
      <c r="E7266" s="103" t="str">
        <f aca="false">IF($C7266="","",IFERROR(INDEX(المنيو!$C$2:$C$500,MATCH($C7266,المنيو!$B$2:$B$500,0)),0))</f>
        <v/>
      </c>
      <c r="F7266" s="103" t="str">
        <f aca="false">IF($C7266="","",$D7266*$E7266)</f>
        <v/>
      </c>
      <c r="G7266" s="103" t="str">
        <f aca="false">IF($C7266="","",$D7266*IFERROR(INDEX('تحليل التكلفة والسعر'!$C$2:$C$700,MATCH($C7266,'تحليل التكلفة والسعر'!$B$2:$B$700,0)),0))</f>
        <v/>
      </c>
    </row>
    <row r="7267" customFormat="false" ht="15" hidden="false" customHeight="false" outlineLevel="0" collapsed="false">
      <c r="A7267" s="102"/>
      <c r="E7267" s="103" t="str">
        <f aca="false">IF($C7267="","",IFERROR(INDEX(المنيو!$C$2:$C$500,MATCH($C7267,المنيو!$B$2:$B$500,0)),0))</f>
        <v/>
      </c>
      <c r="F7267" s="103" t="str">
        <f aca="false">IF($C7267="","",$D7267*$E7267)</f>
        <v/>
      </c>
      <c r="G7267" s="103" t="str">
        <f aca="false">IF($C7267="","",$D7267*IFERROR(INDEX('تحليل التكلفة والسعر'!$C$2:$C$700,MATCH($C7267,'تحليل التكلفة والسعر'!$B$2:$B$700,0)),0))</f>
        <v/>
      </c>
    </row>
    <row r="7268" customFormat="false" ht="15" hidden="false" customHeight="false" outlineLevel="0" collapsed="false">
      <c r="A7268" s="102"/>
      <c r="E7268" s="103" t="str">
        <f aca="false">IF($C7268="","",IFERROR(INDEX(المنيو!$C$2:$C$500,MATCH($C7268,المنيو!$B$2:$B$500,0)),0))</f>
        <v/>
      </c>
      <c r="F7268" s="103" t="str">
        <f aca="false">IF($C7268="","",$D7268*$E7268)</f>
        <v/>
      </c>
      <c r="G7268" s="103" t="str">
        <f aca="false">IF($C7268="","",$D7268*IFERROR(INDEX('تحليل التكلفة والسعر'!$C$2:$C$700,MATCH($C7268,'تحليل التكلفة والسعر'!$B$2:$B$700,0)),0))</f>
        <v/>
      </c>
    </row>
    <row r="7269" customFormat="false" ht="15" hidden="false" customHeight="false" outlineLevel="0" collapsed="false">
      <c r="A7269" s="102"/>
      <c r="E7269" s="103" t="str">
        <f aca="false">IF($C7269="","",IFERROR(INDEX(المنيو!$C$2:$C$500,MATCH($C7269,المنيو!$B$2:$B$500,0)),0))</f>
        <v/>
      </c>
      <c r="F7269" s="103" t="str">
        <f aca="false">IF($C7269="","",$D7269*$E7269)</f>
        <v/>
      </c>
      <c r="G7269" s="103" t="str">
        <f aca="false">IF($C7269="","",$D7269*IFERROR(INDEX('تحليل التكلفة والسعر'!$C$2:$C$700,MATCH($C7269,'تحليل التكلفة والسعر'!$B$2:$B$700,0)),0))</f>
        <v/>
      </c>
    </row>
    <row r="7270" customFormat="false" ht="15" hidden="false" customHeight="false" outlineLevel="0" collapsed="false">
      <c r="A7270" s="102"/>
      <c r="E7270" s="103" t="str">
        <f aca="false">IF($C7270="","",IFERROR(INDEX(المنيو!$C$2:$C$500,MATCH($C7270,المنيو!$B$2:$B$500,0)),0))</f>
        <v/>
      </c>
      <c r="F7270" s="103" t="str">
        <f aca="false">IF($C7270="","",$D7270*$E7270)</f>
        <v/>
      </c>
      <c r="G7270" s="103" t="str">
        <f aca="false">IF($C7270="","",$D7270*IFERROR(INDEX('تحليل التكلفة والسعر'!$C$2:$C$700,MATCH($C7270,'تحليل التكلفة والسعر'!$B$2:$B$700,0)),0))</f>
        <v/>
      </c>
    </row>
    <row r="7271" customFormat="false" ht="15" hidden="false" customHeight="false" outlineLevel="0" collapsed="false">
      <c r="A7271" s="102"/>
      <c r="E7271" s="103" t="str">
        <f aca="false">IF($C7271="","",IFERROR(INDEX(المنيو!$C$2:$C$500,MATCH($C7271,المنيو!$B$2:$B$500,0)),0))</f>
        <v/>
      </c>
      <c r="F7271" s="103" t="str">
        <f aca="false">IF($C7271="","",$D7271*$E7271)</f>
        <v/>
      </c>
      <c r="G7271" s="103" t="str">
        <f aca="false">IF($C7271="","",$D7271*IFERROR(INDEX('تحليل التكلفة والسعر'!$C$2:$C$700,MATCH($C7271,'تحليل التكلفة والسعر'!$B$2:$B$700,0)),0))</f>
        <v/>
      </c>
    </row>
    <row r="7272" customFormat="false" ht="15" hidden="false" customHeight="false" outlineLevel="0" collapsed="false">
      <c r="A7272" s="102"/>
      <c r="E7272" s="103" t="str">
        <f aca="false">IF($C7272="","",IFERROR(INDEX(المنيو!$C$2:$C$500,MATCH($C7272,المنيو!$B$2:$B$500,0)),0))</f>
        <v/>
      </c>
      <c r="F7272" s="103" t="str">
        <f aca="false">IF($C7272="","",$D7272*$E7272)</f>
        <v/>
      </c>
      <c r="G7272" s="103" t="str">
        <f aca="false">IF($C7272="","",$D7272*IFERROR(INDEX('تحليل التكلفة والسعر'!$C$2:$C$700,MATCH($C7272,'تحليل التكلفة والسعر'!$B$2:$B$700,0)),0))</f>
        <v/>
      </c>
    </row>
    <row r="7273" customFormat="false" ht="15" hidden="false" customHeight="false" outlineLevel="0" collapsed="false">
      <c r="A7273" s="102"/>
      <c r="E7273" s="103" t="str">
        <f aca="false">IF($C7273="","",IFERROR(INDEX(المنيو!$C$2:$C$500,MATCH($C7273,المنيو!$B$2:$B$500,0)),0))</f>
        <v/>
      </c>
      <c r="F7273" s="103" t="str">
        <f aca="false">IF($C7273="","",$D7273*$E7273)</f>
        <v/>
      </c>
      <c r="G7273" s="103" t="str">
        <f aca="false">IF($C7273="","",$D7273*IFERROR(INDEX('تحليل التكلفة والسعر'!$C$2:$C$700,MATCH($C7273,'تحليل التكلفة والسعر'!$B$2:$B$700,0)),0))</f>
        <v/>
      </c>
    </row>
    <row r="7274" customFormat="false" ht="15" hidden="false" customHeight="false" outlineLevel="0" collapsed="false">
      <c r="A7274" s="102"/>
      <c r="E7274" s="103" t="str">
        <f aca="false">IF($C7274="","",IFERROR(INDEX(المنيو!$C$2:$C$500,MATCH($C7274,المنيو!$B$2:$B$500,0)),0))</f>
        <v/>
      </c>
      <c r="F7274" s="103" t="str">
        <f aca="false">IF($C7274="","",$D7274*$E7274)</f>
        <v/>
      </c>
      <c r="G7274" s="103" t="str">
        <f aca="false">IF($C7274="","",$D7274*IFERROR(INDEX('تحليل التكلفة والسعر'!$C$2:$C$700,MATCH($C7274,'تحليل التكلفة والسعر'!$B$2:$B$700,0)),0))</f>
        <v/>
      </c>
    </row>
    <row r="7275" customFormat="false" ht="15" hidden="false" customHeight="false" outlineLevel="0" collapsed="false">
      <c r="A7275" s="102"/>
      <c r="E7275" s="103" t="str">
        <f aca="false">IF($C7275="","",IFERROR(INDEX(المنيو!$C$2:$C$500,MATCH($C7275,المنيو!$B$2:$B$500,0)),0))</f>
        <v/>
      </c>
      <c r="F7275" s="103" t="str">
        <f aca="false">IF($C7275="","",$D7275*$E7275)</f>
        <v/>
      </c>
      <c r="G7275" s="103" t="str">
        <f aca="false">IF($C7275="","",$D7275*IFERROR(INDEX('تحليل التكلفة والسعر'!$C$2:$C$700,MATCH($C7275,'تحليل التكلفة والسعر'!$B$2:$B$700,0)),0))</f>
        <v/>
      </c>
    </row>
    <row r="7276" customFormat="false" ht="15" hidden="false" customHeight="false" outlineLevel="0" collapsed="false">
      <c r="A7276" s="102"/>
      <c r="E7276" s="103" t="str">
        <f aca="false">IF($C7276="","",IFERROR(INDEX(المنيو!$C$2:$C$500,MATCH($C7276,المنيو!$B$2:$B$500,0)),0))</f>
        <v/>
      </c>
      <c r="F7276" s="103" t="str">
        <f aca="false">IF($C7276="","",$D7276*$E7276)</f>
        <v/>
      </c>
      <c r="G7276" s="103" t="str">
        <f aca="false">IF($C7276="","",$D7276*IFERROR(INDEX('تحليل التكلفة والسعر'!$C$2:$C$700,MATCH($C7276,'تحليل التكلفة والسعر'!$B$2:$B$700,0)),0))</f>
        <v/>
      </c>
    </row>
    <row r="7277" customFormat="false" ht="15" hidden="false" customHeight="false" outlineLevel="0" collapsed="false">
      <c r="A7277" s="102"/>
      <c r="E7277" s="103" t="str">
        <f aca="false">IF($C7277="","",IFERROR(INDEX(المنيو!$C$2:$C$500,MATCH($C7277,المنيو!$B$2:$B$500,0)),0))</f>
        <v/>
      </c>
      <c r="F7277" s="103" t="str">
        <f aca="false">IF($C7277="","",$D7277*$E7277)</f>
        <v/>
      </c>
      <c r="G7277" s="103" t="str">
        <f aca="false">IF($C7277="","",$D7277*IFERROR(INDEX('تحليل التكلفة والسعر'!$C$2:$C$700,MATCH($C7277,'تحليل التكلفة والسعر'!$B$2:$B$700,0)),0))</f>
        <v/>
      </c>
    </row>
    <row r="7278" customFormat="false" ht="15" hidden="false" customHeight="false" outlineLevel="0" collapsed="false">
      <c r="A7278" s="102"/>
      <c r="E7278" s="103" t="str">
        <f aca="false">IF($C7278="","",IFERROR(INDEX(المنيو!$C$2:$C$500,MATCH($C7278,المنيو!$B$2:$B$500,0)),0))</f>
        <v/>
      </c>
      <c r="F7278" s="103" t="str">
        <f aca="false">IF($C7278="","",$D7278*$E7278)</f>
        <v/>
      </c>
      <c r="G7278" s="103" t="str">
        <f aca="false">IF($C7278="","",$D7278*IFERROR(INDEX('تحليل التكلفة والسعر'!$C$2:$C$700,MATCH($C7278,'تحليل التكلفة والسعر'!$B$2:$B$700,0)),0))</f>
        <v/>
      </c>
    </row>
    <row r="7279" customFormat="false" ht="15" hidden="false" customHeight="false" outlineLevel="0" collapsed="false">
      <c r="A7279" s="102"/>
      <c r="E7279" s="103" t="str">
        <f aca="false">IF($C7279="","",IFERROR(INDEX(المنيو!$C$2:$C$500,MATCH($C7279,المنيو!$B$2:$B$500,0)),0))</f>
        <v/>
      </c>
      <c r="F7279" s="103" t="str">
        <f aca="false">IF($C7279="","",$D7279*$E7279)</f>
        <v/>
      </c>
      <c r="G7279" s="103" t="str">
        <f aca="false">IF($C7279="","",$D7279*IFERROR(INDEX('تحليل التكلفة والسعر'!$C$2:$C$700,MATCH($C7279,'تحليل التكلفة والسعر'!$B$2:$B$700,0)),0))</f>
        <v/>
      </c>
    </row>
    <row r="7280" customFormat="false" ht="15" hidden="false" customHeight="false" outlineLevel="0" collapsed="false">
      <c r="A7280" s="102"/>
      <c r="E7280" s="103" t="str">
        <f aca="false">IF($C7280="","",IFERROR(INDEX(المنيو!$C$2:$C$500,MATCH($C7280,المنيو!$B$2:$B$500,0)),0))</f>
        <v/>
      </c>
      <c r="F7280" s="103" t="str">
        <f aca="false">IF($C7280="","",$D7280*$E7280)</f>
        <v/>
      </c>
      <c r="G7280" s="103" t="str">
        <f aca="false">IF($C7280="","",$D7280*IFERROR(INDEX('تحليل التكلفة والسعر'!$C$2:$C$700,MATCH($C7280,'تحليل التكلفة والسعر'!$B$2:$B$700,0)),0))</f>
        <v/>
      </c>
    </row>
    <row r="7281" customFormat="false" ht="15" hidden="false" customHeight="false" outlineLevel="0" collapsed="false">
      <c r="A7281" s="102"/>
      <c r="E7281" s="103" t="str">
        <f aca="false">IF($C7281="","",IFERROR(INDEX(المنيو!$C$2:$C$500,MATCH($C7281,المنيو!$B$2:$B$500,0)),0))</f>
        <v/>
      </c>
      <c r="F7281" s="103" t="str">
        <f aca="false">IF($C7281="","",$D7281*$E7281)</f>
        <v/>
      </c>
      <c r="G7281" s="103" t="str">
        <f aca="false">IF($C7281="","",$D7281*IFERROR(INDEX('تحليل التكلفة والسعر'!$C$2:$C$700,MATCH($C7281,'تحليل التكلفة والسعر'!$B$2:$B$700,0)),0))</f>
        <v/>
      </c>
    </row>
    <row r="7282" customFormat="false" ht="15" hidden="false" customHeight="false" outlineLevel="0" collapsed="false">
      <c r="A7282" s="102"/>
      <c r="E7282" s="103" t="str">
        <f aca="false">IF($C7282="","",IFERROR(INDEX(المنيو!$C$2:$C$500,MATCH($C7282,المنيو!$B$2:$B$500,0)),0))</f>
        <v/>
      </c>
      <c r="F7282" s="103" t="str">
        <f aca="false">IF($C7282="","",$D7282*$E7282)</f>
        <v/>
      </c>
      <c r="G7282" s="103" t="str">
        <f aca="false">IF($C7282="","",$D7282*IFERROR(INDEX('تحليل التكلفة والسعر'!$C$2:$C$700,MATCH($C7282,'تحليل التكلفة والسعر'!$B$2:$B$700,0)),0))</f>
        <v/>
      </c>
    </row>
    <row r="7283" customFormat="false" ht="15" hidden="false" customHeight="false" outlineLevel="0" collapsed="false">
      <c r="A7283" s="102"/>
      <c r="E7283" s="103" t="str">
        <f aca="false">IF($C7283="","",IFERROR(INDEX(المنيو!$C$2:$C$500,MATCH($C7283,المنيو!$B$2:$B$500,0)),0))</f>
        <v/>
      </c>
      <c r="F7283" s="103" t="str">
        <f aca="false">IF($C7283="","",$D7283*$E7283)</f>
        <v/>
      </c>
      <c r="G7283" s="103" t="str">
        <f aca="false">IF($C7283="","",$D7283*IFERROR(INDEX('تحليل التكلفة والسعر'!$C$2:$C$700,MATCH($C7283,'تحليل التكلفة والسعر'!$B$2:$B$700,0)),0))</f>
        <v/>
      </c>
    </row>
    <row r="7284" customFormat="false" ht="15" hidden="false" customHeight="false" outlineLevel="0" collapsed="false">
      <c r="A7284" s="102"/>
      <c r="E7284" s="103" t="str">
        <f aca="false">IF($C7284="","",IFERROR(INDEX(المنيو!$C$2:$C$500,MATCH($C7284,المنيو!$B$2:$B$500,0)),0))</f>
        <v/>
      </c>
      <c r="F7284" s="103" t="str">
        <f aca="false">IF($C7284="","",$D7284*$E7284)</f>
        <v/>
      </c>
      <c r="G7284" s="103" t="str">
        <f aca="false">IF($C7284="","",$D7284*IFERROR(INDEX('تحليل التكلفة والسعر'!$C$2:$C$700,MATCH($C7284,'تحليل التكلفة والسعر'!$B$2:$B$700,0)),0))</f>
        <v/>
      </c>
    </row>
    <row r="7285" customFormat="false" ht="15" hidden="false" customHeight="false" outlineLevel="0" collapsed="false">
      <c r="A7285" s="102"/>
      <c r="E7285" s="103" t="str">
        <f aca="false">IF($C7285="","",IFERROR(INDEX(المنيو!$C$2:$C$500,MATCH($C7285,المنيو!$B$2:$B$500,0)),0))</f>
        <v/>
      </c>
      <c r="F7285" s="103" t="str">
        <f aca="false">IF($C7285="","",$D7285*$E7285)</f>
        <v/>
      </c>
      <c r="G7285" s="103" t="str">
        <f aca="false">IF($C7285="","",$D7285*IFERROR(INDEX('تحليل التكلفة والسعر'!$C$2:$C$700,MATCH($C7285,'تحليل التكلفة والسعر'!$B$2:$B$700,0)),0))</f>
        <v/>
      </c>
    </row>
    <row r="7286" customFormat="false" ht="15" hidden="false" customHeight="false" outlineLevel="0" collapsed="false">
      <c r="A7286" s="102"/>
      <c r="E7286" s="103" t="str">
        <f aca="false">IF($C7286="","",IFERROR(INDEX(المنيو!$C$2:$C$500,MATCH($C7286,المنيو!$B$2:$B$500,0)),0))</f>
        <v/>
      </c>
      <c r="F7286" s="103" t="str">
        <f aca="false">IF($C7286="","",$D7286*$E7286)</f>
        <v/>
      </c>
      <c r="G7286" s="103" t="str">
        <f aca="false">IF($C7286="","",$D7286*IFERROR(INDEX('تحليل التكلفة والسعر'!$C$2:$C$700,MATCH($C7286,'تحليل التكلفة والسعر'!$B$2:$B$700,0)),0))</f>
        <v/>
      </c>
    </row>
    <row r="7287" customFormat="false" ht="15" hidden="false" customHeight="false" outlineLevel="0" collapsed="false">
      <c r="A7287" s="102"/>
      <c r="E7287" s="103" t="str">
        <f aca="false">IF($C7287="","",IFERROR(INDEX(المنيو!$C$2:$C$500,MATCH($C7287,المنيو!$B$2:$B$500,0)),0))</f>
        <v/>
      </c>
      <c r="F7287" s="103" t="str">
        <f aca="false">IF($C7287="","",$D7287*$E7287)</f>
        <v/>
      </c>
      <c r="G7287" s="103" t="str">
        <f aca="false">IF($C7287="","",$D7287*IFERROR(INDEX('تحليل التكلفة والسعر'!$C$2:$C$700,MATCH($C7287,'تحليل التكلفة والسعر'!$B$2:$B$700,0)),0))</f>
        <v/>
      </c>
    </row>
    <row r="7288" customFormat="false" ht="15" hidden="false" customHeight="false" outlineLevel="0" collapsed="false">
      <c r="A7288" s="102"/>
      <c r="E7288" s="103" t="str">
        <f aca="false">IF($C7288="","",IFERROR(INDEX(المنيو!$C$2:$C$500,MATCH($C7288,المنيو!$B$2:$B$500,0)),0))</f>
        <v/>
      </c>
      <c r="F7288" s="103" t="str">
        <f aca="false">IF($C7288="","",$D7288*$E7288)</f>
        <v/>
      </c>
      <c r="G7288" s="103" t="str">
        <f aca="false">IF($C7288="","",$D7288*IFERROR(INDEX('تحليل التكلفة والسعر'!$C$2:$C$700,MATCH($C7288,'تحليل التكلفة والسعر'!$B$2:$B$700,0)),0))</f>
        <v/>
      </c>
    </row>
    <row r="7289" customFormat="false" ht="15" hidden="false" customHeight="false" outlineLevel="0" collapsed="false">
      <c r="A7289" s="102"/>
      <c r="E7289" s="103" t="str">
        <f aca="false">IF($C7289="","",IFERROR(INDEX(المنيو!$C$2:$C$500,MATCH($C7289,المنيو!$B$2:$B$500,0)),0))</f>
        <v/>
      </c>
      <c r="F7289" s="103" t="str">
        <f aca="false">IF($C7289="","",$D7289*$E7289)</f>
        <v/>
      </c>
      <c r="G7289" s="103" t="str">
        <f aca="false">IF($C7289="","",$D7289*IFERROR(INDEX('تحليل التكلفة والسعر'!$C$2:$C$700,MATCH($C7289,'تحليل التكلفة والسعر'!$B$2:$B$700,0)),0))</f>
        <v/>
      </c>
    </row>
    <row r="7290" customFormat="false" ht="15" hidden="false" customHeight="false" outlineLevel="0" collapsed="false">
      <c r="A7290" s="102"/>
      <c r="E7290" s="103" t="str">
        <f aca="false">IF($C7290="","",IFERROR(INDEX(المنيو!$C$2:$C$500,MATCH($C7290,المنيو!$B$2:$B$500,0)),0))</f>
        <v/>
      </c>
      <c r="F7290" s="103" t="str">
        <f aca="false">IF($C7290="","",$D7290*$E7290)</f>
        <v/>
      </c>
      <c r="G7290" s="103" t="str">
        <f aca="false">IF($C7290="","",$D7290*IFERROR(INDEX('تحليل التكلفة والسعر'!$C$2:$C$700,MATCH($C7290,'تحليل التكلفة والسعر'!$B$2:$B$700,0)),0))</f>
        <v/>
      </c>
    </row>
    <row r="7291" customFormat="false" ht="15" hidden="false" customHeight="false" outlineLevel="0" collapsed="false">
      <c r="A7291" s="102"/>
      <c r="E7291" s="103" t="str">
        <f aca="false">IF($C7291="","",IFERROR(INDEX(المنيو!$C$2:$C$500,MATCH($C7291,المنيو!$B$2:$B$500,0)),0))</f>
        <v/>
      </c>
      <c r="F7291" s="103" t="str">
        <f aca="false">IF($C7291="","",$D7291*$E7291)</f>
        <v/>
      </c>
      <c r="G7291" s="103" t="str">
        <f aca="false">IF($C7291="","",$D7291*IFERROR(INDEX('تحليل التكلفة والسعر'!$C$2:$C$700,MATCH($C7291,'تحليل التكلفة والسعر'!$B$2:$B$700,0)),0))</f>
        <v/>
      </c>
    </row>
    <row r="7292" customFormat="false" ht="15" hidden="false" customHeight="false" outlineLevel="0" collapsed="false">
      <c r="A7292" s="102"/>
      <c r="E7292" s="103" t="str">
        <f aca="false">IF($C7292="","",IFERROR(INDEX(المنيو!$C$2:$C$500,MATCH($C7292,المنيو!$B$2:$B$500,0)),0))</f>
        <v/>
      </c>
      <c r="F7292" s="103" t="str">
        <f aca="false">IF($C7292="","",$D7292*$E7292)</f>
        <v/>
      </c>
      <c r="G7292" s="103" t="str">
        <f aca="false">IF($C7292="","",$D7292*IFERROR(INDEX('تحليل التكلفة والسعر'!$C$2:$C$700,MATCH($C7292,'تحليل التكلفة والسعر'!$B$2:$B$700,0)),0))</f>
        <v/>
      </c>
    </row>
    <row r="7293" customFormat="false" ht="15" hidden="false" customHeight="false" outlineLevel="0" collapsed="false">
      <c r="A7293" s="102"/>
      <c r="E7293" s="103" t="str">
        <f aca="false">IF($C7293="","",IFERROR(INDEX(المنيو!$C$2:$C$500,MATCH($C7293,المنيو!$B$2:$B$500,0)),0))</f>
        <v/>
      </c>
      <c r="F7293" s="103" t="str">
        <f aca="false">IF($C7293="","",$D7293*$E7293)</f>
        <v/>
      </c>
      <c r="G7293" s="103" t="str">
        <f aca="false">IF($C7293="","",$D7293*IFERROR(INDEX('تحليل التكلفة والسعر'!$C$2:$C$700,MATCH($C7293,'تحليل التكلفة والسعر'!$B$2:$B$700,0)),0))</f>
        <v/>
      </c>
    </row>
    <row r="7294" customFormat="false" ht="15" hidden="false" customHeight="false" outlineLevel="0" collapsed="false">
      <c r="A7294" s="102"/>
      <c r="E7294" s="103" t="str">
        <f aca="false">IF($C7294="","",IFERROR(INDEX(المنيو!$C$2:$C$500,MATCH($C7294,المنيو!$B$2:$B$500,0)),0))</f>
        <v/>
      </c>
      <c r="F7294" s="103" t="str">
        <f aca="false">IF($C7294="","",$D7294*$E7294)</f>
        <v/>
      </c>
      <c r="G7294" s="103" t="str">
        <f aca="false">IF($C7294="","",$D7294*IFERROR(INDEX('تحليل التكلفة والسعر'!$C$2:$C$700,MATCH($C7294,'تحليل التكلفة والسعر'!$B$2:$B$700,0)),0))</f>
        <v/>
      </c>
    </row>
    <row r="7295" customFormat="false" ht="15" hidden="false" customHeight="false" outlineLevel="0" collapsed="false">
      <c r="A7295" s="102"/>
      <c r="E7295" s="103" t="str">
        <f aca="false">IF($C7295="","",IFERROR(INDEX(المنيو!$C$2:$C$500,MATCH($C7295,المنيو!$B$2:$B$500,0)),0))</f>
        <v/>
      </c>
      <c r="F7295" s="103" t="str">
        <f aca="false">IF($C7295="","",$D7295*$E7295)</f>
        <v/>
      </c>
      <c r="G7295" s="103" t="str">
        <f aca="false">IF($C7295="","",$D7295*IFERROR(INDEX('تحليل التكلفة والسعر'!$C$2:$C$700,MATCH($C7295,'تحليل التكلفة والسعر'!$B$2:$B$700,0)),0))</f>
        <v/>
      </c>
    </row>
    <row r="7296" customFormat="false" ht="15" hidden="false" customHeight="false" outlineLevel="0" collapsed="false">
      <c r="A7296" s="102"/>
      <c r="E7296" s="103" t="str">
        <f aca="false">IF($C7296="","",IFERROR(INDEX(المنيو!$C$2:$C$500,MATCH($C7296,المنيو!$B$2:$B$500,0)),0))</f>
        <v/>
      </c>
      <c r="F7296" s="103" t="str">
        <f aca="false">IF($C7296="","",$D7296*$E7296)</f>
        <v/>
      </c>
      <c r="G7296" s="103" t="str">
        <f aca="false">IF($C7296="","",$D7296*IFERROR(INDEX('تحليل التكلفة والسعر'!$C$2:$C$700,MATCH($C7296,'تحليل التكلفة والسعر'!$B$2:$B$700,0)),0))</f>
        <v/>
      </c>
    </row>
    <row r="7297" customFormat="false" ht="15" hidden="false" customHeight="false" outlineLevel="0" collapsed="false">
      <c r="A7297" s="102"/>
      <c r="E7297" s="103" t="str">
        <f aca="false">IF($C7297="","",IFERROR(INDEX(المنيو!$C$2:$C$500,MATCH($C7297,المنيو!$B$2:$B$500,0)),0))</f>
        <v/>
      </c>
      <c r="F7297" s="103" t="str">
        <f aca="false">IF($C7297="","",$D7297*$E7297)</f>
        <v/>
      </c>
      <c r="G7297" s="103" t="str">
        <f aca="false">IF($C7297="","",$D7297*IFERROR(INDEX('تحليل التكلفة والسعر'!$C$2:$C$700,MATCH($C7297,'تحليل التكلفة والسعر'!$B$2:$B$700,0)),0))</f>
        <v/>
      </c>
    </row>
    <row r="7298" customFormat="false" ht="15" hidden="false" customHeight="false" outlineLevel="0" collapsed="false">
      <c r="A7298" s="102"/>
      <c r="E7298" s="103" t="str">
        <f aca="false">IF($C7298="","",IFERROR(INDEX(المنيو!$C$2:$C$500,MATCH($C7298,المنيو!$B$2:$B$500,0)),0))</f>
        <v/>
      </c>
      <c r="F7298" s="103" t="str">
        <f aca="false">IF($C7298="","",$D7298*$E7298)</f>
        <v/>
      </c>
      <c r="G7298" s="103" t="str">
        <f aca="false">IF($C7298="","",$D7298*IFERROR(INDEX('تحليل التكلفة والسعر'!$C$2:$C$700,MATCH($C7298,'تحليل التكلفة والسعر'!$B$2:$B$700,0)),0))</f>
        <v/>
      </c>
    </row>
    <row r="7299" customFormat="false" ht="15" hidden="false" customHeight="false" outlineLevel="0" collapsed="false">
      <c r="A7299" s="102"/>
      <c r="E7299" s="103" t="str">
        <f aca="false">IF($C7299="","",IFERROR(INDEX(المنيو!$C$2:$C$500,MATCH($C7299,المنيو!$B$2:$B$500,0)),0))</f>
        <v/>
      </c>
      <c r="F7299" s="103" t="str">
        <f aca="false">IF($C7299="","",$D7299*$E7299)</f>
        <v/>
      </c>
      <c r="G7299" s="103" t="str">
        <f aca="false">IF($C7299="","",$D7299*IFERROR(INDEX('تحليل التكلفة والسعر'!$C$2:$C$700,MATCH($C7299,'تحليل التكلفة والسعر'!$B$2:$B$700,0)),0))</f>
        <v/>
      </c>
    </row>
    <row r="7300" customFormat="false" ht="15" hidden="false" customHeight="false" outlineLevel="0" collapsed="false">
      <c r="A7300" s="102"/>
      <c r="E7300" s="103" t="str">
        <f aca="false">IF($C7300="","",IFERROR(INDEX(المنيو!$C$2:$C$500,MATCH($C7300,المنيو!$B$2:$B$500,0)),0))</f>
        <v/>
      </c>
      <c r="F7300" s="103" t="str">
        <f aca="false">IF($C7300="","",$D7300*$E7300)</f>
        <v/>
      </c>
      <c r="G7300" s="103" t="str">
        <f aca="false">IF($C7300="","",$D7300*IFERROR(INDEX('تحليل التكلفة والسعر'!$C$2:$C$700,MATCH($C7300,'تحليل التكلفة والسعر'!$B$2:$B$700,0)),0))</f>
        <v/>
      </c>
    </row>
    <row r="7301" customFormat="false" ht="15" hidden="false" customHeight="false" outlineLevel="0" collapsed="false">
      <c r="A7301" s="102"/>
      <c r="E7301" s="103" t="str">
        <f aca="false">IF($C7301="","",IFERROR(INDEX(المنيو!$C$2:$C$500,MATCH($C7301,المنيو!$B$2:$B$500,0)),0))</f>
        <v/>
      </c>
      <c r="F7301" s="103" t="str">
        <f aca="false">IF($C7301="","",$D7301*$E7301)</f>
        <v/>
      </c>
      <c r="G7301" s="103" t="str">
        <f aca="false">IF($C7301="","",$D7301*IFERROR(INDEX('تحليل التكلفة والسعر'!$C$2:$C$700,MATCH($C7301,'تحليل التكلفة والسعر'!$B$2:$B$700,0)),0))</f>
        <v/>
      </c>
    </row>
    <row r="7302" customFormat="false" ht="15" hidden="false" customHeight="false" outlineLevel="0" collapsed="false">
      <c r="A7302" s="102"/>
      <c r="E7302" s="103" t="str">
        <f aca="false">IF($C7302="","",IFERROR(INDEX(المنيو!$C$2:$C$500,MATCH($C7302,المنيو!$B$2:$B$500,0)),0))</f>
        <v/>
      </c>
      <c r="F7302" s="103" t="str">
        <f aca="false">IF($C7302="","",$D7302*$E7302)</f>
        <v/>
      </c>
      <c r="G7302" s="103" t="str">
        <f aca="false">IF($C7302="","",$D7302*IFERROR(INDEX('تحليل التكلفة والسعر'!$C$2:$C$700,MATCH($C7302,'تحليل التكلفة والسعر'!$B$2:$B$700,0)),0))</f>
        <v/>
      </c>
    </row>
    <row r="7303" customFormat="false" ht="15" hidden="false" customHeight="false" outlineLevel="0" collapsed="false">
      <c r="A7303" s="102"/>
      <c r="E7303" s="103" t="str">
        <f aca="false">IF($C7303="","",IFERROR(INDEX(المنيو!$C$2:$C$500,MATCH($C7303,المنيو!$B$2:$B$500,0)),0))</f>
        <v/>
      </c>
      <c r="F7303" s="103" t="str">
        <f aca="false">IF($C7303="","",$D7303*$E7303)</f>
        <v/>
      </c>
      <c r="G7303" s="103" t="str">
        <f aca="false">IF($C7303="","",$D7303*IFERROR(INDEX('تحليل التكلفة والسعر'!$C$2:$C$700,MATCH($C7303,'تحليل التكلفة والسعر'!$B$2:$B$700,0)),0))</f>
        <v/>
      </c>
    </row>
    <row r="7304" customFormat="false" ht="15" hidden="false" customHeight="false" outlineLevel="0" collapsed="false">
      <c r="A7304" s="102"/>
      <c r="E7304" s="103" t="str">
        <f aca="false">IF($C7304="","",IFERROR(INDEX(المنيو!$C$2:$C$500,MATCH($C7304,المنيو!$B$2:$B$500,0)),0))</f>
        <v/>
      </c>
      <c r="F7304" s="103" t="str">
        <f aca="false">IF($C7304="","",$D7304*$E7304)</f>
        <v/>
      </c>
      <c r="G7304" s="103" t="str">
        <f aca="false">IF($C7304="","",$D7304*IFERROR(INDEX('تحليل التكلفة والسعر'!$C$2:$C$700,MATCH($C7304,'تحليل التكلفة والسعر'!$B$2:$B$700,0)),0))</f>
        <v/>
      </c>
    </row>
    <row r="7305" customFormat="false" ht="15" hidden="false" customHeight="false" outlineLevel="0" collapsed="false">
      <c r="A7305" s="102"/>
      <c r="E7305" s="103" t="str">
        <f aca="false">IF($C7305="","",IFERROR(INDEX(المنيو!$C$2:$C$500,MATCH($C7305,المنيو!$B$2:$B$500,0)),0))</f>
        <v/>
      </c>
      <c r="F7305" s="103" t="str">
        <f aca="false">IF($C7305="","",$D7305*$E7305)</f>
        <v/>
      </c>
      <c r="G7305" s="103" t="str">
        <f aca="false">IF($C7305="","",$D7305*IFERROR(INDEX('تحليل التكلفة والسعر'!$C$2:$C$700,MATCH($C7305,'تحليل التكلفة والسعر'!$B$2:$B$700,0)),0))</f>
        <v/>
      </c>
    </row>
    <row r="7306" customFormat="false" ht="15" hidden="false" customHeight="false" outlineLevel="0" collapsed="false">
      <c r="A7306" s="102"/>
      <c r="E7306" s="103" t="str">
        <f aca="false">IF($C7306="","",IFERROR(INDEX(المنيو!$C$2:$C$500,MATCH($C7306,المنيو!$B$2:$B$500,0)),0))</f>
        <v/>
      </c>
      <c r="F7306" s="103" t="str">
        <f aca="false">IF($C7306="","",$D7306*$E7306)</f>
        <v/>
      </c>
      <c r="G7306" s="103" t="str">
        <f aca="false">IF($C7306="","",$D7306*IFERROR(INDEX('تحليل التكلفة والسعر'!$C$2:$C$700,MATCH($C7306,'تحليل التكلفة والسعر'!$B$2:$B$700,0)),0))</f>
        <v/>
      </c>
    </row>
    <row r="7307" customFormat="false" ht="15" hidden="false" customHeight="false" outlineLevel="0" collapsed="false">
      <c r="A7307" s="102"/>
      <c r="E7307" s="103" t="str">
        <f aca="false">IF($C7307="","",IFERROR(INDEX(المنيو!$C$2:$C$500,MATCH($C7307,المنيو!$B$2:$B$500,0)),0))</f>
        <v/>
      </c>
      <c r="F7307" s="103" t="str">
        <f aca="false">IF($C7307="","",$D7307*$E7307)</f>
        <v/>
      </c>
      <c r="G7307" s="103" t="str">
        <f aca="false">IF($C7307="","",$D7307*IFERROR(INDEX('تحليل التكلفة والسعر'!$C$2:$C$700,MATCH($C7307,'تحليل التكلفة والسعر'!$B$2:$B$700,0)),0))</f>
        <v/>
      </c>
    </row>
    <row r="7308" customFormat="false" ht="15" hidden="false" customHeight="false" outlineLevel="0" collapsed="false">
      <c r="A7308" s="102"/>
      <c r="E7308" s="103" t="str">
        <f aca="false">IF($C7308="","",IFERROR(INDEX(المنيو!$C$2:$C$500,MATCH($C7308,المنيو!$B$2:$B$500,0)),0))</f>
        <v/>
      </c>
      <c r="F7308" s="103" t="str">
        <f aca="false">IF($C7308="","",$D7308*$E7308)</f>
        <v/>
      </c>
      <c r="G7308" s="103" t="str">
        <f aca="false">IF($C7308="","",$D7308*IFERROR(INDEX('تحليل التكلفة والسعر'!$C$2:$C$700,MATCH($C7308,'تحليل التكلفة والسعر'!$B$2:$B$700,0)),0))</f>
        <v/>
      </c>
    </row>
    <row r="7309" customFormat="false" ht="15" hidden="false" customHeight="false" outlineLevel="0" collapsed="false">
      <c r="A7309" s="102"/>
      <c r="E7309" s="103" t="str">
        <f aca="false">IF($C7309="","",IFERROR(INDEX(المنيو!$C$2:$C$500,MATCH($C7309,المنيو!$B$2:$B$500,0)),0))</f>
        <v/>
      </c>
      <c r="F7309" s="103" t="str">
        <f aca="false">IF($C7309="","",$D7309*$E7309)</f>
        <v/>
      </c>
      <c r="G7309" s="103" t="str">
        <f aca="false">IF($C7309="","",$D7309*IFERROR(INDEX('تحليل التكلفة والسعر'!$C$2:$C$700,MATCH($C7309,'تحليل التكلفة والسعر'!$B$2:$B$700,0)),0))</f>
        <v/>
      </c>
    </row>
    <row r="7310" customFormat="false" ht="15" hidden="false" customHeight="false" outlineLevel="0" collapsed="false">
      <c r="A7310" s="102"/>
      <c r="E7310" s="103" t="str">
        <f aca="false">IF($C7310="","",IFERROR(INDEX(المنيو!$C$2:$C$500,MATCH($C7310,المنيو!$B$2:$B$500,0)),0))</f>
        <v/>
      </c>
      <c r="F7310" s="103" t="str">
        <f aca="false">IF($C7310="","",$D7310*$E7310)</f>
        <v/>
      </c>
      <c r="G7310" s="103" t="str">
        <f aca="false">IF($C7310="","",$D7310*IFERROR(INDEX('تحليل التكلفة والسعر'!$C$2:$C$700,MATCH($C7310,'تحليل التكلفة والسعر'!$B$2:$B$700,0)),0))</f>
        <v/>
      </c>
    </row>
    <row r="7311" customFormat="false" ht="15" hidden="false" customHeight="false" outlineLevel="0" collapsed="false">
      <c r="A7311" s="102"/>
      <c r="E7311" s="103" t="str">
        <f aca="false">IF($C7311="","",IFERROR(INDEX(المنيو!$C$2:$C$500,MATCH($C7311,المنيو!$B$2:$B$500,0)),0))</f>
        <v/>
      </c>
      <c r="F7311" s="103" t="str">
        <f aca="false">IF($C7311="","",$D7311*$E7311)</f>
        <v/>
      </c>
      <c r="G7311" s="103" t="str">
        <f aca="false">IF($C7311="","",$D7311*IFERROR(INDEX('تحليل التكلفة والسعر'!$C$2:$C$700,MATCH($C7311,'تحليل التكلفة والسعر'!$B$2:$B$700,0)),0))</f>
        <v/>
      </c>
    </row>
    <row r="7312" customFormat="false" ht="15" hidden="false" customHeight="false" outlineLevel="0" collapsed="false">
      <c r="A7312" s="102"/>
      <c r="E7312" s="103" t="str">
        <f aca="false">IF($C7312="","",IFERROR(INDEX(المنيو!$C$2:$C$500,MATCH($C7312,المنيو!$B$2:$B$500,0)),0))</f>
        <v/>
      </c>
      <c r="F7312" s="103" t="str">
        <f aca="false">IF($C7312="","",$D7312*$E7312)</f>
        <v/>
      </c>
      <c r="G7312" s="103" t="str">
        <f aca="false">IF($C7312="","",$D7312*IFERROR(INDEX('تحليل التكلفة والسعر'!$C$2:$C$700,MATCH($C7312,'تحليل التكلفة والسعر'!$B$2:$B$700,0)),0))</f>
        <v/>
      </c>
    </row>
    <row r="7313" customFormat="false" ht="15" hidden="false" customHeight="false" outlineLevel="0" collapsed="false">
      <c r="A7313" s="102"/>
      <c r="E7313" s="103" t="str">
        <f aca="false">IF($C7313="","",IFERROR(INDEX(المنيو!$C$2:$C$500,MATCH($C7313,المنيو!$B$2:$B$500,0)),0))</f>
        <v/>
      </c>
      <c r="F7313" s="103" t="str">
        <f aca="false">IF($C7313="","",$D7313*$E7313)</f>
        <v/>
      </c>
      <c r="G7313" s="103" t="str">
        <f aca="false">IF($C7313="","",$D7313*IFERROR(INDEX('تحليل التكلفة والسعر'!$C$2:$C$700,MATCH($C7313,'تحليل التكلفة والسعر'!$B$2:$B$700,0)),0))</f>
        <v/>
      </c>
    </row>
    <row r="7314" customFormat="false" ht="15" hidden="false" customHeight="false" outlineLevel="0" collapsed="false">
      <c r="A7314" s="102"/>
      <c r="E7314" s="103" t="str">
        <f aca="false">IF($C7314="","",IFERROR(INDEX(المنيو!$C$2:$C$500,MATCH($C7314,المنيو!$B$2:$B$500,0)),0))</f>
        <v/>
      </c>
      <c r="F7314" s="103" t="str">
        <f aca="false">IF($C7314="","",$D7314*$E7314)</f>
        <v/>
      </c>
      <c r="G7314" s="103" t="str">
        <f aca="false">IF($C7314="","",$D7314*IFERROR(INDEX('تحليل التكلفة والسعر'!$C$2:$C$700,MATCH($C7314,'تحليل التكلفة والسعر'!$B$2:$B$700,0)),0))</f>
        <v/>
      </c>
    </row>
    <row r="7315" customFormat="false" ht="15" hidden="false" customHeight="false" outlineLevel="0" collapsed="false">
      <c r="A7315" s="102"/>
      <c r="E7315" s="103" t="str">
        <f aca="false">IF($C7315="","",IFERROR(INDEX(المنيو!$C$2:$C$500,MATCH($C7315,المنيو!$B$2:$B$500,0)),0))</f>
        <v/>
      </c>
      <c r="F7315" s="103" t="str">
        <f aca="false">IF($C7315="","",$D7315*$E7315)</f>
        <v/>
      </c>
      <c r="G7315" s="103" t="str">
        <f aca="false">IF($C7315="","",$D7315*IFERROR(INDEX('تحليل التكلفة والسعر'!$C$2:$C$700,MATCH($C7315,'تحليل التكلفة والسعر'!$B$2:$B$700,0)),0))</f>
        <v/>
      </c>
    </row>
    <row r="7316" customFormat="false" ht="15" hidden="false" customHeight="false" outlineLevel="0" collapsed="false">
      <c r="A7316" s="102"/>
      <c r="E7316" s="103" t="str">
        <f aca="false">IF($C7316="","",IFERROR(INDEX(المنيو!$C$2:$C$500,MATCH($C7316,المنيو!$B$2:$B$500,0)),0))</f>
        <v/>
      </c>
      <c r="F7316" s="103" t="str">
        <f aca="false">IF($C7316="","",$D7316*$E7316)</f>
        <v/>
      </c>
      <c r="G7316" s="103" t="str">
        <f aca="false">IF($C7316="","",$D7316*IFERROR(INDEX('تحليل التكلفة والسعر'!$C$2:$C$700,MATCH($C7316,'تحليل التكلفة والسعر'!$B$2:$B$700,0)),0))</f>
        <v/>
      </c>
    </row>
    <row r="7317" customFormat="false" ht="15" hidden="false" customHeight="false" outlineLevel="0" collapsed="false">
      <c r="A7317" s="102"/>
      <c r="E7317" s="103" t="str">
        <f aca="false">IF($C7317="","",IFERROR(INDEX(المنيو!$C$2:$C$500,MATCH($C7317,المنيو!$B$2:$B$500,0)),0))</f>
        <v/>
      </c>
      <c r="F7317" s="103" t="str">
        <f aca="false">IF($C7317="","",$D7317*$E7317)</f>
        <v/>
      </c>
      <c r="G7317" s="103" t="str">
        <f aca="false">IF($C7317="","",$D7317*IFERROR(INDEX('تحليل التكلفة والسعر'!$C$2:$C$700,MATCH($C7317,'تحليل التكلفة والسعر'!$B$2:$B$700,0)),0))</f>
        <v/>
      </c>
    </row>
    <row r="7318" customFormat="false" ht="15" hidden="false" customHeight="false" outlineLevel="0" collapsed="false">
      <c r="A7318" s="102"/>
      <c r="E7318" s="103" t="str">
        <f aca="false">IF($C7318="","",IFERROR(INDEX(المنيو!$C$2:$C$500,MATCH($C7318,المنيو!$B$2:$B$500,0)),0))</f>
        <v/>
      </c>
      <c r="F7318" s="103" t="str">
        <f aca="false">IF($C7318="","",$D7318*$E7318)</f>
        <v/>
      </c>
      <c r="G7318" s="103" t="str">
        <f aca="false">IF($C7318="","",$D7318*IFERROR(INDEX('تحليل التكلفة والسعر'!$C$2:$C$700,MATCH($C7318,'تحليل التكلفة والسعر'!$B$2:$B$700,0)),0))</f>
        <v/>
      </c>
    </row>
    <row r="7319" customFormat="false" ht="15" hidden="false" customHeight="false" outlineLevel="0" collapsed="false">
      <c r="A7319" s="102"/>
      <c r="E7319" s="103" t="str">
        <f aca="false">IF($C7319="","",IFERROR(INDEX(المنيو!$C$2:$C$500,MATCH($C7319,المنيو!$B$2:$B$500,0)),0))</f>
        <v/>
      </c>
      <c r="F7319" s="103" t="str">
        <f aca="false">IF($C7319="","",$D7319*$E7319)</f>
        <v/>
      </c>
      <c r="G7319" s="103" t="str">
        <f aca="false">IF($C7319="","",$D7319*IFERROR(INDEX('تحليل التكلفة والسعر'!$C$2:$C$700,MATCH($C7319,'تحليل التكلفة والسعر'!$B$2:$B$700,0)),0))</f>
        <v/>
      </c>
    </row>
    <row r="7320" customFormat="false" ht="15" hidden="false" customHeight="false" outlineLevel="0" collapsed="false">
      <c r="A7320" s="102"/>
      <c r="E7320" s="103" t="str">
        <f aca="false">IF($C7320="","",IFERROR(INDEX(المنيو!$C$2:$C$500,MATCH($C7320,المنيو!$B$2:$B$500,0)),0))</f>
        <v/>
      </c>
      <c r="F7320" s="103" t="str">
        <f aca="false">IF($C7320="","",$D7320*$E7320)</f>
        <v/>
      </c>
      <c r="G7320" s="103" t="str">
        <f aca="false">IF($C7320="","",$D7320*IFERROR(INDEX('تحليل التكلفة والسعر'!$C$2:$C$700,MATCH($C7320,'تحليل التكلفة والسعر'!$B$2:$B$700,0)),0))</f>
        <v/>
      </c>
    </row>
    <row r="7321" customFormat="false" ht="15" hidden="false" customHeight="false" outlineLevel="0" collapsed="false">
      <c r="A7321" s="102"/>
      <c r="E7321" s="103" t="str">
        <f aca="false">IF($C7321="","",IFERROR(INDEX(المنيو!$C$2:$C$500,MATCH($C7321,المنيو!$B$2:$B$500,0)),0))</f>
        <v/>
      </c>
      <c r="F7321" s="103" t="str">
        <f aca="false">IF($C7321="","",$D7321*$E7321)</f>
        <v/>
      </c>
      <c r="G7321" s="103" t="str">
        <f aca="false">IF($C7321="","",$D7321*IFERROR(INDEX('تحليل التكلفة والسعر'!$C$2:$C$700,MATCH($C7321,'تحليل التكلفة والسعر'!$B$2:$B$700,0)),0))</f>
        <v/>
      </c>
    </row>
    <row r="7322" customFormat="false" ht="15" hidden="false" customHeight="false" outlineLevel="0" collapsed="false">
      <c r="A7322" s="102"/>
      <c r="E7322" s="103" t="str">
        <f aca="false">IF($C7322="","",IFERROR(INDEX(المنيو!$C$2:$C$500,MATCH($C7322,المنيو!$B$2:$B$500,0)),0))</f>
        <v/>
      </c>
      <c r="F7322" s="103" t="str">
        <f aca="false">IF($C7322="","",$D7322*$E7322)</f>
        <v/>
      </c>
      <c r="G7322" s="103" t="str">
        <f aca="false">IF($C7322="","",$D7322*IFERROR(INDEX('تحليل التكلفة والسعر'!$C$2:$C$700,MATCH($C7322,'تحليل التكلفة والسعر'!$B$2:$B$700,0)),0))</f>
        <v/>
      </c>
    </row>
    <row r="7323" customFormat="false" ht="15" hidden="false" customHeight="false" outlineLevel="0" collapsed="false">
      <c r="A7323" s="102"/>
      <c r="E7323" s="103" t="str">
        <f aca="false">IF($C7323="","",IFERROR(INDEX(المنيو!$C$2:$C$500,MATCH($C7323,المنيو!$B$2:$B$500,0)),0))</f>
        <v/>
      </c>
      <c r="F7323" s="103" t="str">
        <f aca="false">IF($C7323="","",$D7323*$E7323)</f>
        <v/>
      </c>
      <c r="G7323" s="103" t="str">
        <f aca="false">IF($C7323="","",$D7323*IFERROR(INDEX('تحليل التكلفة والسعر'!$C$2:$C$700,MATCH($C7323,'تحليل التكلفة والسعر'!$B$2:$B$700,0)),0))</f>
        <v/>
      </c>
    </row>
    <row r="7324" customFormat="false" ht="15" hidden="false" customHeight="false" outlineLevel="0" collapsed="false">
      <c r="A7324" s="102"/>
      <c r="E7324" s="103" t="str">
        <f aca="false">IF($C7324="","",IFERROR(INDEX(المنيو!$C$2:$C$500,MATCH($C7324,المنيو!$B$2:$B$500,0)),0))</f>
        <v/>
      </c>
      <c r="F7324" s="103" t="str">
        <f aca="false">IF($C7324="","",$D7324*$E7324)</f>
        <v/>
      </c>
      <c r="G7324" s="103" t="str">
        <f aca="false">IF($C7324="","",$D7324*IFERROR(INDEX('تحليل التكلفة والسعر'!$C$2:$C$700,MATCH($C7324,'تحليل التكلفة والسعر'!$B$2:$B$700,0)),0))</f>
        <v/>
      </c>
    </row>
    <row r="7325" customFormat="false" ht="15" hidden="false" customHeight="false" outlineLevel="0" collapsed="false">
      <c r="A7325" s="102"/>
      <c r="E7325" s="103" t="str">
        <f aca="false">IF($C7325="","",IFERROR(INDEX(المنيو!$C$2:$C$500,MATCH($C7325,المنيو!$B$2:$B$500,0)),0))</f>
        <v/>
      </c>
      <c r="F7325" s="103" t="str">
        <f aca="false">IF($C7325="","",$D7325*$E7325)</f>
        <v/>
      </c>
      <c r="G7325" s="103" t="str">
        <f aca="false">IF($C7325="","",$D7325*IFERROR(INDEX('تحليل التكلفة والسعر'!$C$2:$C$700,MATCH($C7325,'تحليل التكلفة والسعر'!$B$2:$B$700,0)),0))</f>
        <v/>
      </c>
    </row>
    <row r="7326" customFormat="false" ht="15" hidden="false" customHeight="false" outlineLevel="0" collapsed="false">
      <c r="A7326" s="102"/>
      <c r="E7326" s="103" t="str">
        <f aca="false">IF($C7326="","",IFERROR(INDEX(المنيو!$C$2:$C$500,MATCH($C7326,المنيو!$B$2:$B$500,0)),0))</f>
        <v/>
      </c>
      <c r="F7326" s="103" t="str">
        <f aca="false">IF($C7326="","",$D7326*$E7326)</f>
        <v/>
      </c>
      <c r="G7326" s="103" t="str">
        <f aca="false">IF($C7326="","",$D7326*IFERROR(INDEX('تحليل التكلفة والسعر'!$C$2:$C$700,MATCH($C7326,'تحليل التكلفة والسعر'!$B$2:$B$700,0)),0))</f>
        <v/>
      </c>
    </row>
    <row r="7327" customFormat="false" ht="15" hidden="false" customHeight="false" outlineLevel="0" collapsed="false">
      <c r="A7327" s="102"/>
      <c r="E7327" s="103" t="str">
        <f aca="false">IF($C7327="","",IFERROR(INDEX(المنيو!$C$2:$C$500,MATCH($C7327,المنيو!$B$2:$B$500,0)),0))</f>
        <v/>
      </c>
      <c r="F7327" s="103" t="str">
        <f aca="false">IF($C7327="","",$D7327*$E7327)</f>
        <v/>
      </c>
      <c r="G7327" s="103" t="str">
        <f aca="false">IF($C7327="","",$D7327*IFERROR(INDEX('تحليل التكلفة والسعر'!$C$2:$C$700,MATCH($C7327,'تحليل التكلفة والسعر'!$B$2:$B$700,0)),0))</f>
        <v/>
      </c>
    </row>
    <row r="7328" customFormat="false" ht="15" hidden="false" customHeight="false" outlineLevel="0" collapsed="false">
      <c r="A7328" s="102"/>
      <c r="E7328" s="103" t="str">
        <f aca="false">IF($C7328="","",IFERROR(INDEX(المنيو!$C$2:$C$500,MATCH($C7328,المنيو!$B$2:$B$500,0)),0))</f>
        <v/>
      </c>
      <c r="F7328" s="103" t="str">
        <f aca="false">IF($C7328="","",$D7328*$E7328)</f>
        <v/>
      </c>
      <c r="G7328" s="103" t="str">
        <f aca="false">IF($C7328="","",$D7328*IFERROR(INDEX('تحليل التكلفة والسعر'!$C$2:$C$700,MATCH($C7328,'تحليل التكلفة والسعر'!$B$2:$B$700,0)),0))</f>
        <v/>
      </c>
    </row>
    <row r="7329" customFormat="false" ht="15" hidden="false" customHeight="false" outlineLevel="0" collapsed="false">
      <c r="A7329" s="102"/>
      <c r="E7329" s="103" t="str">
        <f aca="false">IF($C7329="","",IFERROR(INDEX(المنيو!$C$2:$C$500,MATCH($C7329,المنيو!$B$2:$B$500,0)),0))</f>
        <v/>
      </c>
      <c r="F7329" s="103" t="str">
        <f aca="false">IF($C7329="","",$D7329*$E7329)</f>
        <v/>
      </c>
      <c r="G7329" s="103" t="str">
        <f aca="false">IF($C7329="","",$D7329*IFERROR(INDEX('تحليل التكلفة والسعر'!$C$2:$C$700,MATCH($C7329,'تحليل التكلفة والسعر'!$B$2:$B$700,0)),0))</f>
        <v/>
      </c>
    </row>
    <row r="7330" customFormat="false" ht="15" hidden="false" customHeight="false" outlineLevel="0" collapsed="false">
      <c r="A7330" s="102"/>
      <c r="E7330" s="103" t="str">
        <f aca="false">IF($C7330="","",IFERROR(INDEX(المنيو!$C$2:$C$500,MATCH($C7330,المنيو!$B$2:$B$500,0)),0))</f>
        <v/>
      </c>
      <c r="F7330" s="103" t="str">
        <f aca="false">IF($C7330="","",$D7330*$E7330)</f>
        <v/>
      </c>
      <c r="G7330" s="103" t="str">
        <f aca="false">IF($C7330="","",$D7330*IFERROR(INDEX('تحليل التكلفة والسعر'!$C$2:$C$700,MATCH($C7330,'تحليل التكلفة والسعر'!$B$2:$B$700,0)),0))</f>
        <v/>
      </c>
    </row>
    <row r="7331" customFormat="false" ht="15" hidden="false" customHeight="false" outlineLevel="0" collapsed="false">
      <c r="A7331" s="102"/>
      <c r="E7331" s="103" t="str">
        <f aca="false">IF($C7331="","",IFERROR(INDEX(المنيو!$C$2:$C$500,MATCH($C7331,المنيو!$B$2:$B$500,0)),0))</f>
        <v/>
      </c>
      <c r="F7331" s="103" t="str">
        <f aca="false">IF($C7331="","",$D7331*$E7331)</f>
        <v/>
      </c>
      <c r="G7331" s="103" t="str">
        <f aca="false">IF($C7331="","",$D7331*IFERROR(INDEX('تحليل التكلفة والسعر'!$C$2:$C$700,MATCH($C7331,'تحليل التكلفة والسعر'!$B$2:$B$700,0)),0))</f>
        <v/>
      </c>
    </row>
    <row r="7332" customFormat="false" ht="15" hidden="false" customHeight="false" outlineLevel="0" collapsed="false">
      <c r="A7332" s="102"/>
      <c r="E7332" s="103" t="str">
        <f aca="false">IF($C7332="","",IFERROR(INDEX(المنيو!$C$2:$C$500,MATCH($C7332,المنيو!$B$2:$B$500,0)),0))</f>
        <v/>
      </c>
      <c r="F7332" s="103" t="str">
        <f aca="false">IF($C7332="","",$D7332*$E7332)</f>
        <v/>
      </c>
      <c r="G7332" s="103" t="str">
        <f aca="false">IF($C7332="","",$D7332*IFERROR(INDEX('تحليل التكلفة والسعر'!$C$2:$C$700,MATCH($C7332,'تحليل التكلفة والسعر'!$B$2:$B$700,0)),0))</f>
        <v/>
      </c>
    </row>
    <row r="7333" customFormat="false" ht="15" hidden="false" customHeight="false" outlineLevel="0" collapsed="false">
      <c r="A7333" s="102"/>
      <c r="E7333" s="103" t="str">
        <f aca="false">IF($C7333="","",IFERROR(INDEX(المنيو!$C$2:$C$500,MATCH($C7333,المنيو!$B$2:$B$500,0)),0))</f>
        <v/>
      </c>
      <c r="F7333" s="103" t="str">
        <f aca="false">IF($C7333="","",$D7333*$E7333)</f>
        <v/>
      </c>
      <c r="G7333" s="103" t="str">
        <f aca="false">IF($C7333="","",$D7333*IFERROR(INDEX('تحليل التكلفة والسعر'!$C$2:$C$700,MATCH($C7333,'تحليل التكلفة والسعر'!$B$2:$B$700,0)),0))</f>
        <v/>
      </c>
    </row>
    <row r="7334" customFormat="false" ht="15" hidden="false" customHeight="false" outlineLevel="0" collapsed="false">
      <c r="A7334" s="102"/>
      <c r="E7334" s="103" t="str">
        <f aca="false">IF($C7334="","",IFERROR(INDEX(المنيو!$C$2:$C$500,MATCH($C7334,المنيو!$B$2:$B$500,0)),0))</f>
        <v/>
      </c>
      <c r="F7334" s="103" t="str">
        <f aca="false">IF($C7334="","",$D7334*$E7334)</f>
        <v/>
      </c>
      <c r="G7334" s="103" t="str">
        <f aca="false">IF($C7334="","",$D7334*IFERROR(INDEX('تحليل التكلفة والسعر'!$C$2:$C$700,MATCH($C7334,'تحليل التكلفة والسعر'!$B$2:$B$700,0)),0))</f>
        <v/>
      </c>
    </row>
    <row r="7335" customFormat="false" ht="15" hidden="false" customHeight="false" outlineLevel="0" collapsed="false">
      <c r="A7335" s="102"/>
      <c r="E7335" s="103" t="str">
        <f aca="false">IF($C7335="","",IFERROR(INDEX(المنيو!$C$2:$C$500,MATCH($C7335,المنيو!$B$2:$B$500,0)),0))</f>
        <v/>
      </c>
      <c r="F7335" s="103" t="str">
        <f aca="false">IF($C7335="","",$D7335*$E7335)</f>
        <v/>
      </c>
      <c r="G7335" s="103" t="str">
        <f aca="false">IF($C7335="","",$D7335*IFERROR(INDEX('تحليل التكلفة والسعر'!$C$2:$C$700,MATCH($C7335,'تحليل التكلفة والسعر'!$B$2:$B$700,0)),0))</f>
        <v/>
      </c>
    </row>
    <row r="7336" customFormat="false" ht="15" hidden="false" customHeight="false" outlineLevel="0" collapsed="false">
      <c r="A7336" s="102"/>
      <c r="E7336" s="103" t="str">
        <f aca="false">IF($C7336="","",IFERROR(INDEX(المنيو!$C$2:$C$500,MATCH($C7336,المنيو!$B$2:$B$500,0)),0))</f>
        <v/>
      </c>
      <c r="F7336" s="103" t="str">
        <f aca="false">IF($C7336="","",$D7336*$E7336)</f>
        <v/>
      </c>
      <c r="G7336" s="103" t="str">
        <f aca="false">IF($C7336="","",$D7336*IFERROR(INDEX('تحليل التكلفة والسعر'!$C$2:$C$700,MATCH($C7336,'تحليل التكلفة والسعر'!$B$2:$B$700,0)),0))</f>
        <v/>
      </c>
    </row>
    <row r="7337" customFormat="false" ht="15" hidden="false" customHeight="false" outlineLevel="0" collapsed="false">
      <c r="A7337" s="102"/>
      <c r="E7337" s="103" t="str">
        <f aca="false">IF($C7337="","",IFERROR(INDEX(المنيو!$C$2:$C$500,MATCH($C7337,المنيو!$B$2:$B$500,0)),0))</f>
        <v/>
      </c>
      <c r="F7337" s="103" t="str">
        <f aca="false">IF($C7337="","",$D7337*$E7337)</f>
        <v/>
      </c>
      <c r="G7337" s="103" t="str">
        <f aca="false">IF($C7337="","",$D7337*IFERROR(INDEX('تحليل التكلفة والسعر'!$C$2:$C$700,MATCH($C7337,'تحليل التكلفة والسعر'!$B$2:$B$700,0)),0))</f>
        <v/>
      </c>
    </row>
    <row r="7338" customFormat="false" ht="15" hidden="false" customHeight="false" outlineLevel="0" collapsed="false">
      <c r="A7338" s="102"/>
      <c r="E7338" s="103" t="str">
        <f aca="false">IF($C7338="","",IFERROR(INDEX(المنيو!$C$2:$C$500,MATCH($C7338,المنيو!$B$2:$B$500,0)),0))</f>
        <v/>
      </c>
      <c r="F7338" s="103" t="str">
        <f aca="false">IF($C7338="","",$D7338*$E7338)</f>
        <v/>
      </c>
      <c r="G7338" s="103" t="str">
        <f aca="false">IF($C7338="","",$D7338*IFERROR(INDEX('تحليل التكلفة والسعر'!$C$2:$C$700,MATCH($C7338,'تحليل التكلفة والسعر'!$B$2:$B$700,0)),0))</f>
        <v/>
      </c>
    </row>
    <row r="7339" customFormat="false" ht="15" hidden="false" customHeight="false" outlineLevel="0" collapsed="false">
      <c r="A7339" s="102"/>
      <c r="E7339" s="103" t="str">
        <f aca="false">IF($C7339="","",IFERROR(INDEX(المنيو!$C$2:$C$500,MATCH($C7339,المنيو!$B$2:$B$500,0)),0))</f>
        <v/>
      </c>
      <c r="F7339" s="103" t="str">
        <f aca="false">IF($C7339="","",$D7339*$E7339)</f>
        <v/>
      </c>
      <c r="G7339" s="103" t="str">
        <f aca="false">IF($C7339="","",$D7339*IFERROR(INDEX('تحليل التكلفة والسعر'!$C$2:$C$700,MATCH($C7339,'تحليل التكلفة والسعر'!$B$2:$B$700,0)),0))</f>
        <v/>
      </c>
    </row>
    <row r="7340" customFormat="false" ht="15" hidden="false" customHeight="false" outlineLevel="0" collapsed="false">
      <c r="A7340" s="102"/>
      <c r="E7340" s="103" t="str">
        <f aca="false">IF($C7340="","",IFERROR(INDEX(المنيو!$C$2:$C$500,MATCH($C7340,المنيو!$B$2:$B$500,0)),0))</f>
        <v/>
      </c>
      <c r="F7340" s="103" t="str">
        <f aca="false">IF($C7340="","",$D7340*$E7340)</f>
        <v/>
      </c>
      <c r="G7340" s="103" t="str">
        <f aca="false">IF($C7340="","",$D7340*IFERROR(INDEX('تحليل التكلفة والسعر'!$C$2:$C$700,MATCH($C7340,'تحليل التكلفة والسعر'!$B$2:$B$700,0)),0))</f>
        <v/>
      </c>
    </row>
    <row r="7341" customFormat="false" ht="15" hidden="false" customHeight="false" outlineLevel="0" collapsed="false">
      <c r="A7341" s="102"/>
      <c r="E7341" s="103" t="str">
        <f aca="false">IF($C7341="","",IFERROR(INDEX(المنيو!$C$2:$C$500,MATCH($C7341,المنيو!$B$2:$B$500,0)),0))</f>
        <v/>
      </c>
      <c r="F7341" s="103" t="str">
        <f aca="false">IF($C7341="","",$D7341*$E7341)</f>
        <v/>
      </c>
      <c r="G7341" s="103" t="str">
        <f aca="false">IF($C7341="","",$D7341*IFERROR(INDEX('تحليل التكلفة والسعر'!$C$2:$C$700,MATCH($C7341,'تحليل التكلفة والسعر'!$B$2:$B$700,0)),0))</f>
        <v/>
      </c>
    </row>
    <row r="7342" customFormat="false" ht="15" hidden="false" customHeight="false" outlineLevel="0" collapsed="false">
      <c r="A7342" s="102"/>
      <c r="E7342" s="103" t="str">
        <f aca="false">IF($C7342="","",IFERROR(INDEX(المنيو!$C$2:$C$500,MATCH($C7342,المنيو!$B$2:$B$500,0)),0))</f>
        <v/>
      </c>
      <c r="F7342" s="103" t="str">
        <f aca="false">IF($C7342="","",$D7342*$E7342)</f>
        <v/>
      </c>
      <c r="G7342" s="103" t="str">
        <f aca="false">IF($C7342="","",$D7342*IFERROR(INDEX('تحليل التكلفة والسعر'!$C$2:$C$700,MATCH($C7342,'تحليل التكلفة والسعر'!$B$2:$B$700,0)),0))</f>
        <v/>
      </c>
    </row>
    <row r="7343" customFormat="false" ht="15" hidden="false" customHeight="false" outlineLevel="0" collapsed="false">
      <c r="A7343" s="102"/>
      <c r="E7343" s="103" t="str">
        <f aca="false">IF($C7343="","",IFERROR(INDEX(المنيو!$C$2:$C$500,MATCH($C7343,المنيو!$B$2:$B$500,0)),0))</f>
        <v/>
      </c>
      <c r="F7343" s="103" t="str">
        <f aca="false">IF($C7343="","",$D7343*$E7343)</f>
        <v/>
      </c>
      <c r="G7343" s="103" t="str">
        <f aca="false">IF($C7343="","",$D7343*IFERROR(INDEX('تحليل التكلفة والسعر'!$C$2:$C$700,MATCH($C7343,'تحليل التكلفة والسعر'!$B$2:$B$700,0)),0))</f>
        <v/>
      </c>
    </row>
    <row r="7344" customFormat="false" ht="15" hidden="false" customHeight="false" outlineLevel="0" collapsed="false">
      <c r="A7344" s="102"/>
      <c r="E7344" s="103" t="str">
        <f aca="false">IF($C7344="","",IFERROR(INDEX(المنيو!$C$2:$C$500,MATCH($C7344,المنيو!$B$2:$B$500,0)),0))</f>
        <v/>
      </c>
      <c r="F7344" s="103" t="str">
        <f aca="false">IF($C7344="","",$D7344*$E7344)</f>
        <v/>
      </c>
      <c r="G7344" s="103" t="str">
        <f aca="false">IF($C7344="","",$D7344*IFERROR(INDEX('تحليل التكلفة والسعر'!$C$2:$C$700,MATCH($C7344,'تحليل التكلفة والسعر'!$B$2:$B$700,0)),0))</f>
        <v/>
      </c>
    </row>
    <row r="7345" customFormat="false" ht="15" hidden="false" customHeight="false" outlineLevel="0" collapsed="false">
      <c r="A7345" s="102"/>
      <c r="E7345" s="103" t="str">
        <f aca="false">IF($C7345="","",IFERROR(INDEX(المنيو!$C$2:$C$500,MATCH($C7345,المنيو!$B$2:$B$500,0)),0))</f>
        <v/>
      </c>
      <c r="F7345" s="103" t="str">
        <f aca="false">IF($C7345="","",$D7345*$E7345)</f>
        <v/>
      </c>
      <c r="G7345" s="103" t="str">
        <f aca="false">IF($C7345="","",$D7345*IFERROR(INDEX('تحليل التكلفة والسعر'!$C$2:$C$700,MATCH($C7345,'تحليل التكلفة والسعر'!$B$2:$B$700,0)),0))</f>
        <v/>
      </c>
    </row>
    <row r="7346" customFormat="false" ht="15" hidden="false" customHeight="false" outlineLevel="0" collapsed="false">
      <c r="A7346" s="102"/>
      <c r="E7346" s="103" t="str">
        <f aca="false">IF($C7346="","",IFERROR(INDEX(المنيو!$C$2:$C$500,MATCH($C7346,المنيو!$B$2:$B$500,0)),0))</f>
        <v/>
      </c>
      <c r="F7346" s="103" t="str">
        <f aca="false">IF($C7346="","",$D7346*$E7346)</f>
        <v/>
      </c>
      <c r="G7346" s="103" t="str">
        <f aca="false">IF($C7346="","",$D7346*IFERROR(INDEX('تحليل التكلفة والسعر'!$C$2:$C$700,MATCH($C7346,'تحليل التكلفة والسعر'!$B$2:$B$700,0)),0))</f>
        <v/>
      </c>
    </row>
    <row r="7347" customFormat="false" ht="15" hidden="false" customHeight="false" outlineLevel="0" collapsed="false">
      <c r="A7347" s="102"/>
      <c r="E7347" s="103" t="str">
        <f aca="false">IF($C7347="","",IFERROR(INDEX(المنيو!$C$2:$C$500,MATCH($C7347,المنيو!$B$2:$B$500,0)),0))</f>
        <v/>
      </c>
      <c r="F7347" s="103" t="str">
        <f aca="false">IF($C7347="","",$D7347*$E7347)</f>
        <v/>
      </c>
      <c r="G7347" s="103" t="str">
        <f aca="false">IF($C7347="","",$D7347*IFERROR(INDEX('تحليل التكلفة والسعر'!$C$2:$C$700,MATCH($C7347,'تحليل التكلفة والسعر'!$B$2:$B$700,0)),0))</f>
        <v/>
      </c>
    </row>
    <row r="7348" customFormat="false" ht="15" hidden="false" customHeight="false" outlineLevel="0" collapsed="false">
      <c r="A7348" s="102"/>
      <c r="E7348" s="103" t="str">
        <f aca="false">IF($C7348="","",IFERROR(INDEX(المنيو!$C$2:$C$500,MATCH($C7348,المنيو!$B$2:$B$500,0)),0))</f>
        <v/>
      </c>
      <c r="F7348" s="103" t="str">
        <f aca="false">IF($C7348="","",$D7348*$E7348)</f>
        <v/>
      </c>
      <c r="G7348" s="103" t="str">
        <f aca="false">IF($C7348="","",$D7348*IFERROR(INDEX('تحليل التكلفة والسعر'!$C$2:$C$700,MATCH($C7348,'تحليل التكلفة والسعر'!$B$2:$B$700,0)),0))</f>
        <v/>
      </c>
    </row>
    <row r="7349" customFormat="false" ht="15" hidden="false" customHeight="false" outlineLevel="0" collapsed="false">
      <c r="A7349" s="102"/>
      <c r="E7349" s="103" t="str">
        <f aca="false">IF($C7349="","",IFERROR(INDEX(المنيو!$C$2:$C$500,MATCH($C7349,المنيو!$B$2:$B$500,0)),0))</f>
        <v/>
      </c>
      <c r="F7349" s="103" t="str">
        <f aca="false">IF($C7349="","",$D7349*$E7349)</f>
        <v/>
      </c>
      <c r="G7349" s="103" t="str">
        <f aca="false">IF($C7349="","",$D7349*IFERROR(INDEX('تحليل التكلفة والسعر'!$C$2:$C$700,MATCH($C7349,'تحليل التكلفة والسعر'!$B$2:$B$700,0)),0))</f>
        <v/>
      </c>
    </row>
    <row r="7350" customFormat="false" ht="15" hidden="false" customHeight="false" outlineLevel="0" collapsed="false">
      <c r="A7350" s="102"/>
      <c r="E7350" s="103" t="str">
        <f aca="false">IF($C7350="","",IFERROR(INDEX(المنيو!$C$2:$C$500,MATCH($C7350,المنيو!$B$2:$B$500,0)),0))</f>
        <v/>
      </c>
      <c r="F7350" s="103" t="str">
        <f aca="false">IF($C7350="","",$D7350*$E7350)</f>
        <v/>
      </c>
      <c r="G7350" s="103" t="str">
        <f aca="false">IF($C7350="","",$D7350*IFERROR(INDEX('تحليل التكلفة والسعر'!$C$2:$C$700,MATCH($C7350,'تحليل التكلفة والسعر'!$B$2:$B$700,0)),0))</f>
        <v/>
      </c>
    </row>
    <row r="7351" customFormat="false" ht="15" hidden="false" customHeight="false" outlineLevel="0" collapsed="false">
      <c r="A7351" s="102"/>
      <c r="E7351" s="103" t="str">
        <f aca="false">IF($C7351="","",IFERROR(INDEX(المنيو!$C$2:$C$500,MATCH($C7351,المنيو!$B$2:$B$500,0)),0))</f>
        <v/>
      </c>
      <c r="F7351" s="103" t="str">
        <f aca="false">IF($C7351="","",$D7351*$E7351)</f>
        <v/>
      </c>
      <c r="G7351" s="103" t="str">
        <f aca="false">IF($C7351="","",$D7351*IFERROR(INDEX('تحليل التكلفة والسعر'!$C$2:$C$700,MATCH($C7351,'تحليل التكلفة والسعر'!$B$2:$B$700,0)),0))</f>
        <v/>
      </c>
    </row>
    <row r="7352" customFormat="false" ht="15" hidden="false" customHeight="false" outlineLevel="0" collapsed="false">
      <c r="A7352" s="102"/>
      <c r="E7352" s="103" t="str">
        <f aca="false">IF($C7352="","",IFERROR(INDEX(المنيو!$C$2:$C$500,MATCH($C7352,المنيو!$B$2:$B$500,0)),0))</f>
        <v/>
      </c>
      <c r="F7352" s="103" t="str">
        <f aca="false">IF($C7352="","",$D7352*$E7352)</f>
        <v/>
      </c>
      <c r="G7352" s="103" t="str">
        <f aca="false">IF($C7352="","",$D7352*IFERROR(INDEX('تحليل التكلفة والسعر'!$C$2:$C$700,MATCH($C7352,'تحليل التكلفة والسعر'!$B$2:$B$700,0)),0))</f>
        <v/>
      </c>
    </row>
    <row r="7353" customFormat="false" ht="15" hidden="false" customHeight="false" outlineLevel="0" collapsed="false">
      <c r="A7353" s="102"/>
      <c r="E7353" s="103" t="str">
        <f aca="false">IF($C7353="","",IFERROR(INDEX(المنيو!$C$2:$C$500,MATCH($C7353,المنيو!$B$2:$B$500,0)),0))</f>
        <v/>
      </c>
      <c r="F7353" s="103" t="str">
        <f aca="false">IF($C7353="","",$D7353*$E7353)</f>
        <v/>
      </c>
      <c r="G7353" s="103" t="str">
        <f aca="false">IF($C7353="","",$D7353*IFERROR(INDEX('تحليل التكلفة والسعر'!$C$2:$C$700,MATCH($C7353,'تحليل التكلفة والسعر'!$B$2:$B$700,0)),0))</f>
        <v/>
      </c>
    </row>
    <row r="7354" customFormat="false" ht="15" hidden="false" customHeight="false" outlineLevel="0" collapsed="false">
      <c r="A7354" s="102"/>
      <c r="E7354" s="103" t="str">
        <f aca="false">IF($C7354="","",IFERROR(INDEX(المنيو!$C$2:$C$500,MATCH($C7354,المنيو!$B$2:$B$500,0)),0))</f>
        <v/>
      </c>
      <c r="F7354" s="103" t="str">
        <f aca="false">IF($C7354="","",$D7354*$E7354)</f>
        <v/>
      </c>
      <c r="G7354" s="103" t="str">
        <f aca="false">IF($C7354="","",$D7354*IFERROR(INDEX('تحليل التكلفة والسعر'!$C$2:$C$700,MATCH($C7354,'تحليل التكلفة والسعر'!$B$2:$B$700,0)),0))</f>
        <v/>
      </c>
    </row>
    <row r="7355" customFormat="false" ht="15" hidden="false" customHeight="false" outlineLevel="0" collapsed="false">
      <c r="A7355" s="102"/>
      <c r="E7355" s="103" t="str">
        <f aca="false">IF($C7355="","",IFERROR(INDEX(المنيو!$C$2:$C$500,MATCH($C7355,المنيو!$B$2:$B$500,0)),0))</f>
        <v/>
      </c>
      <c r="F7355" s="103" t="str">
        <f aca="false">IF($C7355="","",$D7355*$E7355)</f>
        <v/>
      </c>
      <c r="G7355" s="103" t="str">
        <f aca="false">IF($C7355="","",$D7355*IFERROR(INDEX('تحليل التكلفة والسعر'!$C$2:$C$700,MATCH($C7355,'تحليل التكلفة والسعر'!$B$2:$B$700,0)),0))</f>
        <v/>
      </c>
    </row>
    <row r="7356" customFormat="false" ht="15" hidden="false" customHeight="false" outlineLevel="0" collapsed="false">
      <c r="A7356" s="102"/>
      <c r="E7356" s="103" t="str">
        <f aca="false">IF($C7356="","",IFERROR(INDEX(المنيو!$C$2:$C$500,MATCH($C7356,المنيو!$B$2:$B$500,0)),0))</f>
        <v/>
      </c>
      <c r="F7356" s="103" t="str">
        <f aca="false">IF($C7356="","",$D7356*$E7356)</f>
        <v/>
      </c>
      <c r="G7356" s="103" t="str">
        <f aca="false">IF($C7356="","",$D7356*IFERROR(INDEX('تحليل التكلفة والسعر'!$C$2:$C$700,MATCH($C7356,'تحليل التكلفة والسعر'!$B$2:$B$700,0)),0))</f>
        <v/>
      </c>
    </row>
    <row r="7357" customFormat="false" ht="15" hidden="false" customHeight="false" outlineLevel="0" collapsed="false">
      <c r="A7357" s="102"/>
      <c r="E7357" s="103" t="str">
        <f aca="false">IF($C7357="","",IFERROR(INDEX(المنيو!$C$2:$C$500,MATCH($C7357,المنيو!$B$2:$B$500,0)),0))</f>
        <v/>
      </c>
      <c r="F7357" s="103" t="str">
        <f aca="false">IF($C7357="","",$D7357*$E7357)</f>
        <v/>
      </c>
      <c r="G7357" s="103" t="str">
        <f aca="false">IF($C7357="","",$D7357*IFERROR(INDEX('تحليل التكلفة والسعر'!$C$2:$C$700,MATCH($C7357,'تحليل التكلفة والسعر'!$B$2:$B$700,0)),0))</f>
        <v/>
      </c>
    </row>
    <row r="7358" customFormat="false" ht="15" hidden="false" customHeight="false" outlineLevel="0" collapsed="false">
      <c r="A7358" s="102"/>
      <c r="E7358" s="103" t="str">
        <f aca="false">IF($C7358="","",IFERROR(INDEX(المنيو!$C$2:$C$500,MATCH($C7358,المنيو!$B$2:$B$500,0)),0))</f>
        <v/>
      </c>
      <c r="F7358" s="103" t="str">
        <f aca="false">IF($C7358="","",$D7358*$E7358)</f>
        <v/>
      </c>
      <c r="G7358" s="103" t="str">
        <f aca="false">IF($C7358="","",$D7358*IFERROR(INDEX('تحليل التكلفة والسعر'!$C$2:$C$700,MATCH($C7358,'تحليل التكلفة والسعر'!$B$2:$B$700,0)),0))</f>
        <v/>
      </c>
    </row>
    <row r="7359" customFormat="false" ht="15" hidden="false" customHeight="false" outlineLevel="0" collapsed="false">
      <c r="A7359" s="102"/>
      <c r="E7359" s="103" t="str">
        <f aca="false">IF($C7359="","",IFERROR(INDEX(المنيو!$C$2:$C$500,MATCH($C7359,المنيو!$B$2:$B$500,0)),0))</f>
        <v/>
      </c>
      <c r="F7359" s="103" t="str">
        <f aca="false">IF($C7359="","",$D7359*$E7359)</f>
        <v/>
      </c>
      <c r="G7359" s="103" t="str">
        <f aca="false">IF($C7359="","",$D7359*IFERROR(INDEX('تحليل التكلفة والسعر'!$C$2:$C$700,MATCH($C7359,'تحليل التكلفة والسعر'!$B$2:$B$700,0)),0))</f>
        <v/>
      </c>
    </row>
    <row r="7360" customFormat="false" ht="15" hidden="false" customHeight="false" outlineLevel="0" collapsed="false">
      <c r="A7360" s="102"/>
      <c r="E7360" s="103" t="str">
        <f aca="false">IF($C7360="","",IFERROR(INDEX(المنيو!$C$2:$C$500,MATCH($C7360,المنيو!$B$2:$B$500,0)),0))</f>
        <v/>
      </c>
      <c r="F7360" s="103" t="str">
        <f aca="false">IF($C7360="","",$D7360*$E7360)</f>
        <v/>
      </c>
      <c r="G7360" s="103" t="str">
        <f aca="false">IF($C7360="","",$D7360*IFERROR(INDEX('تحليل التكلفة والسعر'!$C$2:$C$700,MATCH($C7360,'تحليل التكلفة والسعر'!$B$2:$B$700,0)),0))</f>
        <v/>
      </c>
    </row>
    <row r="7361" customFormat="false" ht="15" hidden="false" customHeight="false" outlineLevel="0" collapsed="false">
      <c r="A7361" s="102"/>
      <c r="E7361" s="103" t="str">
        <f aca="false">IF($C7361="","",IFERROR(INDEX(المنيو!$C$2:$C$500,MATCH($C7361,المنيو!$B$2:$B$500,0)),0))</f>
        <v/>
      </c>
      <c r="F7361" s="103" t="str">
        <f aca="false">IF($C7361="","",$D7361*$E7361)</f>
        <v/>
      </c>
      <c r="G7361" s="103" t="str">
        <f aca="false">IF($C7361="","",$D7361*IFERROR(INDEX('تحليل التكلفة والسعر'!$C$2:$C$700,MATCH($C7361,'تحليل التكلفة والسعر'!$B$2:$B$700,0)),0))</f>
        <v/>
      </c>
    </row>
    <row r="7362" customFormat="false" ht="15" hidden="false" customHeight="false" outlineLevel="0" collapsed="false">
      <c r="A7362" s="102"/>
      <c r="E7362" s="103" t="str">
        <f aca="false">IF($C7362="","",IFERROR(INDEX(المنيو!$C$2:$C$500,MATCH($C7362,المنيو!$B$2:$B$500,0)),0))</f>
        <v/>
      </c>
      <c r="F7362" s="103" t="str">
        <f aca="false">IF($C7362="","",$D7362*$E7362)</f>
        <v/>
      </c>
      <c r="G7362" s="103" t="str">
        <f aca="false">IF($C7362="","",$D7362*IFERROR(INDEX('تحليل التكلفة والسعر'!$C$2:$C$700,MATCH($C7362,'تحليل التكلفة والسعر'!$B$2:$B$700,0)),0))</f>
        <v/>
      </c>
    </row>
    <row r="7363" customFormat="false" ht="15" hidden="false" customHeight="false" outlineLevel="0" collapsed="false">
      <c r="A7363" s="102"/>
      <c r="E7363" s="103" t="str">
        <f aca="false">IF($C7363="","",IFERROR(INDEX(المنيو!$C$2:$C$500,MATCH($C7363,المنيو!$B$2:$B$500,0)),0))</f>
        <v/>
      </c>
      <c r="F7363" s="103" t="str">
        <f aca="false">IF($C7363="","",$D7363*$E7363)</f>
        <v/>
      </c>
      <c r="G7363" s="103" t="str">
        <f aca="false">IF($C7363="","",$D7363*IFERROR(INDEX('تحليل التكلفة والسعر'!$C$2:$C$700,MATCH($C7363,'تحليل التكلفة والسعر'!$B$2:$B$700,0)),0))</f>
        <v/>
      </c>
    </row>
    <row r="7364" customFormat="false" ht="15" hidden="false" customHeight="false" outlineLevel="0" collapsed="false">
      <c r="A7364" s="102"/>
      <c r="E7364" s="103" t="str">
        <f aca="false">IF($C7364="","",IFERROR(INDEX(المنيو!$C$2:$C$500,MATCH($C7364,المنيو!$B$2:$B$500,0)),0))</f>
        <v/>
      </c>
      <c r="F7364" s="103" t="str">
        <f aca="false">IF($C7364="","",$D7364*$E7364)</f>
        <v/>
      </c>
      <c r="G7364" s="103" t="str">
        <f aca="false">IF($C7364="","",$D7364*IFERROR(INDEX('تحليل التكلفة والسعر'!$C$2:$C$700,MATCH($C7364,'تحليل التكلفة والسعر'!$B$2:$B$700,0)),0))</f>
        <v/>
      </c>
    </row>
    <row r="7365" customFormat="false" ht="15" hidden="false" customHeight="false" outlineLevel="0" collapsed="false">
      <c r="A7365" s="102"/>
      <c r="E7365" s="103" t="str">
        <f aca="false">IF($C7365="","",IFERROR(INDEX(المنيو!$C$2:$C$500,MATCH($C7365,المنيو!$B$2:$B$500,0)),0))</f>
        <v/>
      </c>
      <c r="F7365" s="103" t="str">
        <f aca="false">IF($C7365="","",$D7365*$E7365)</f>
        <v/>
      </c>
      <c r="G7365" s="103" t="str">
        <f aca="false">IF($C7365="","",$D7365*IFERROR(INDEX('تحليل التكلفة والسعر'!$C$2:$C$700,MATCH($C7365,'تحليل التكلفة والسعر'!$B$2:$B$700,0)),0))</f>
        <v/>
      </c>
    </row>
    <row r="7366" customFormat="false" ht="15" hidden="false" customHeight="false" outlineLevel="0" collapsed="false">
      <c r="A7366" s="102"/>
      <c r="E7366" s="103" t="str">
        <f aca="false">IF($C7366="","",IFERROR(INDEX(المنيو!$C$2:$C$500,MATCH($C7366,المنيو!$B$2:$B$500,0)),0))</f>
        <v/>
      </c>
      <c r="F7366" s="103" t="str">
        <f aca="false">IF($C7366="","",$D7366*$E7366)</f>
        <v/>
      </c>
      <c r="G7366" s="103" t="str">
        <f aca="false">IF($C7366="","",$D7366*IFERROR(INDEX('تحليل التكلفة والسعر'!$C$2:$C$700,MATCH($C7366,'تحليل التكلفة والسعر'!$B$2:$B$700,0)),0))</f>
        <v/>
      </c>
    </row>
    <row r="7367" customFormat="false" ht="15" hidden="false" customHeight="false" outlineLevel="0" collapsed="false">
      <c r="A7367" s="102"/>
      <c r="E7367" s="103" t="str">
        <f aca="false">IF($C7367="","",IFERROR(INDEX(المنيو!$C$2:$C$500,MATCH($C7367,المنيو!$B$2:$B$500,0)),0))</f>
        <v/>
      </c>
      <c r="F7367" s="103" t="str">
        <f aca="false">IF($C7367="","",$D7367*$E7367)</f>
        <v/>
      </c>
      <c r="G7367" s="103" t="str">
        <f aca="false">IF($C7367="","",$D7367*IFERROR(INDEX('تحليل التكلفة والسعر'!$C$2:$C$700,MATCH($C7367,'تحليل التكلفة والسعر'!$B$2:$B$700,0)),0))</f>
        <v/>
      </c>
    </row>
    <row r="7368" customFormat="false" ht="15" hidden="false" customHeight="false" outlineLevel="0" collapsed="false">
      <c r="A7368" s="102"/>
      <c r="E7368" s="103" t="str">
        <f aca="false">IF($C7368="","",IFERROR(INDEX(المنيو!$C$2:$C$500,MATCH($C7368,المنيو!$B$2:$B$500,0)),0))</f>
        <v/>
      </c>
      <c r="F7368" s="103" t="str">
        <f aca="false">IF($C7368="","",$D7368*$E7368)</f>
        <v/>
      </c>
      <c r="G7368" s="103" t="str">
        <f aca="false">IF($C7368="","",$D7368*IFERROR(INDEX('تحليل التكلفة والسعر'!$C$2:$C$700,MATCH($C7368,'تحليل التكلفة والسعر'!$B$2:$B$700,0)),0))</f>
        <v/>
      </c>
    </row>
    <row r="7369" customFormat="false" ht="15" hidden="false" customHeight="false" outlineLevel="0" collapsed="false">
      <c r="A7369" s="102"/>
      <c r="E7369" s="103" t="str">
        <f aca="false">IF($C7369="","",IFERROR(INDEX(المنيو!$C$2:$C$500,MATCH($C7369,المنيو!$B$2:$B$500,0)),0))</f>
        <v/>
      </c>
      <c r="F7369" s="103" t="str">
        <f aca="false">IF($C7369="","",$D7369*$E7369)</f>
        <v/>
      </c>
      <c r="G7369" s="103" t="str">
        <f aca="false">IF($C7369="","",$D7369*IFERROR(INDEX('تحليل التكلفة والسعر'!$C$2:$C$700,MATCH($C7369,'تحليل التكلفة والسعر'!$B$2:$B$700,0)),0))</f>
        <v/>
      </c>
    </row>
    <row r="7370" customFormat="false" ht="15" hidden="false" customHeight="false" outlineLevel="0" collapsed="false">
      <c r="A7370" s="102"/>
      <c r="E7370" s="103" t="str">
        <f aca="false">IF($C7370="","",IFERROR(INDEX(المنيو!$C$2:$C$500,MATCH($C7370,المنيو!$B$2:$B$500,0)),0))</f>
        <v/>
      </c>
      <c r="F7370" s="103" t="str">
        <f aca="false">IF($C7370="","",$D7370*$E7370)</f>
        <v/>
      </c>
      <c r="G7370" s="103" t="str">
        <f aca="false">IF($C7370="","",$D7370*IFERROR(INDEX('تحليل التكلفة والسعر'!$C$2:$C$700,MATCH($C7370,'تحليل التكلفة والسعر'!$B$2:$B$700,0)),0))</f>
        <v/>
      </c>
    </row>
    <row r="7371" customFormat="false" ht="15" hidden="false" customHeight="false" outlineLevel="0" collapsed="false">
      <c r="A7371" s="102"/>
      <c r="E7371" s="103" t="str">
        <f aca="false">IF($C7371="","",IFERROR(INDEX(المنيو!$C$2:$C$500,MATCH($C7371,المنيو!$B$2:$B$500,0)),0))</f>
        <v/>
      </c>
      <c r="F7371" s="103" t="str">
        <f aca="false">IF($C7371="","",$D7371*$E7371)</f>
        <v/>
      </c>
      <c r="G7371" s="103" t="str">
        <f aca="false">IF($C7371="","",$D7371*IFERROR(INDEX('تحليل التكلفة والسعر'!$C$2:$C$700,MATCH($C7371,'تحليل التكلفة والسعر'!$B$2:$B$700,0)),0))</f>
        <v/>
      </c>
    </row>
    <row r="7372" customFormat="false" ht="15" hidden="false" customHeight="false" outlineLevel="0" collapsed="false">
      <c r="A7372" s="102"/>
      <c r="E7372" s="103" t="str">
        <f aca="false">IF($C7372="","",IFERROR(INDEX(المنيو!$C$2:$C$500,MATCH($C7372,المنيو!$B$2:$B$500,0)),0))</f>
        <v/>
      </c>
      <c r="F7372" s="103" t="str">
        <f aca="false">IF($C7372="","",$D7372*$E7372)</f>
        <v/>
      </c>
      <c r="G7372" s="103" t="str">
        <f aca="false">IF($C7372="","",$D7372*IFERROR(INDEX('تحليل التكلفة والسعر'!$C$2:$C$700,MATCH($C7372,'تحليل التكلفة والسعر'!$B$2:$B$700,0)),0))</f>
        <v/>
      </c>
    </row>
    <row r="7373" customFormat="false" ht="15" hidden="false" customHeight="false" outlineLevel="0" collapsed="false">
      <c r="A7373" s="102"/>
      <c r="E7373" s="103" t="str">
        <f aca="false">IF($C7373="","",IFERROR(INDEX(المنيو!$C$2:$C$500,MATCH($C7373,المنيو!$B$2:$B$500,0)),0))</f>
        <v/>
      </c>
      <c r="F7373" s="103" t="str">
        <f aca="false">IF($C7373="","",$D7373*$E7373)</f>
        <v/>
      </c>
      <c r="G7373" s="103" t="str">
        <f aca="false">IF($C7373="","",$D7373*IFERROR(INDEX('تحليل التكلفة والسعر'!$C$2:$C$700,MATCH($C7373,'تحليل التكلفة والسعر'!$B$2:$B$700,0)),0))</f>
        <v/>
      </c>
    </row>
    <row r="7374" customFormat="false" ht="15" hidden="false" customHeight="false" outlineLevel="0" collapsed="false">
      <c r="A7374" s="102"/>
      <c r="E7374" s="103" t="str">
        <f aca="false">IF($C7374="","",IFERROR(INDEX(المنيو!$C$2:$C$500,MATCH($C7374,المنيو!$B$2:$B$500,0)),0))</f>
        <v/>
      </c>
      <c r="F7374" s="103" t="str">
        <f aca="false">IF($C7374="","",$D7374*$E7374)</f>
        <v/>
      </c>
      <c r="G7374" s="103" t="str">
        <f aca="false">IF($C7374="","",$D7374*IFERROR(INDEX('تحليل التكلفة والسعر'!$C$2:$C$700,MATCH($C7374,'تحليل التكلفة والسعر'!$B$2:$B$700,0)),0))</f>
        <v/>
      </c>
    </row>
    <row r="7375" customFormat="false" ht="15" hidden="false" customHeight="false" outlineLevel="0" collapsed="false">
      <c r="A7375" s="102"/>
      <c r="E7375" s="103" t="str">
        <f aca="false">IF($C7375="","",IFERROR(INDEX(المنيو!$C$2:$C$500,MATCH($C7375,المنيو!$B$2:$B$500,0)),0))</f>
        <v/>
      </c>
      <c r="F7375" s="103" t="str">
        <f aca="false">IF($C7375="","",$D7375*$E7375)</f>
        <v/>
      </c>
      <c r="G7375" s="103" t="str">
        <f aca="false">IF($C7375="","",$D7375*IFERROR(INDEX('تحليل التكلفة والسعر'!$C$2:$C$700,MATCH($C7375,'تحليل التكلفة والسعر'!$B$2:$B$700,0)),0))</f>
        <v/>
      </c>
    </row>
    <row r="7376" customFormat="false" ht="15" hidden="false" customHeight="false" outlineLevel="0" collapsed="false">
      <c r="A7376" s="102"/>
      <c r="E7376" s="103" t="str">
        <f aca="false">IF($C7376="","",IFERROR(INDEX(المنيو!$C$2:$C$500,MATCH($C7376,المنيو!$B$2:$B$500,0)),0))</f>
        <v/>
      </c>
      <c r="F7376" s="103" t="str">
        <f aca="false">IF($C7376="","",$D7376*$E7376)</f>
        <v/>
      </c>
      <c r="G7376" s="103" t="str">
        <f aca="false">IF($C7376="","",$D7376*IFERROR(INDEX('تحليل التكلفة والسعر'!$C$2:$C$700,MATCH($C7376,'تحليل التكلفة والسعر'!$B$2:$B$700,0)),0))</f>
        <v/>
      </c>
    </row>
    <row r="7377" customFormat="false" ht="15" hidden="false" customHeight="false" outlineLevel="0" collapsed="false">
      <c r="A7377" s="102"/>
      <c r="E7377" s="103" t="str">
        <f aca="false">IF($C7377="","",IFERROR(INDEX(المنيو!$C$2:$C$500,MATCH($C7377,المنيو!$B$2:$B$500,0)),0))</f>
        <v/>
      </c>
      <c r="F7377" s="103" t="str">
        <f aca="false">IF($C7377="","",$D7377*$E7377)</f>
        <v/>
      </c>
      <c r="G7377" s="103" t="str">
        <f aca="false">IF($C7377="","",$D7377*IFERROR(INDEX('تحليل التكلفة والسعر'!$C$2:$C$700,MATCH($C7377,'تحليل التكلفة والسعر'!$B$2:$B$700,0)),0))</f>
        <v/>
      </c>
    </row>
    <row r="7378" customFormat="false" ht="15" hidden="false" customHeight="false" outlineLevel="0" collapsed="false">
      <c r="A7378" s="102"/>
      <c r="E7378" s="103" t="str">
        <f aca="false">IF($C7378="","",IFERROR(INDEX(المنيو!$C$2:$C$500,MATCH($C7378,المنيو!$B$2:$B$500,0)),0))</f>
        <v/>
      </c>
      <c r="F7378" s="103" t="str">
        <f aca="false">IF($C7378="","",$D7378*$E7378)</f>
        <v/>
      </c>
      <c r="G7378" s="103" t="str">
        <f aca="false">IF($C7378="","",$D7378*IFERROR(INDEX('تحليل التكلفة والسعر'!$C$2:$C$700,MATCH($C7378,'تحليل التكلفة والسعر'!$B$2:$B$700,0)),0))</f>
        <v/>
      </c>
    </row>
    <row r="7379" customFormat="false" ht="15" hidden="false" customHeight="false" outlineLevel="0" collapsed="false">
      <c r="A7379" s="102"/>
      <c r="E7379" s="103" t="str">
        <f aca="false">IF($C7379="","",IFERROR(INDEX(المنيو!$C$2:$C$500,MATCH($C7379,المنيو!$B$2:$B$500,0)),0))</f>
        <v/>
      </c>
      <c r="F7379" s="103" t="str">
        <f aca="false">IF($C7379="","",$D7379*$E7379)</f>
        <v/>
      </c>
      <c r="G7379" s="103" t="str">
        <f aca="false">IF($C7379="","",$D7379*IFERROR(INDEX('تحليل التكلفة والسعر'!$C$2:$C$700,MATCH($C7379,'تحليل التكلفة والسعر'!$B$2:$B$700,0)),0))</f>
        <v/>
      </c>
    </row>
    <row r="7380" customFormat="false" ht="15" hidden="false" customHeight="false" outlineLevel="0" collapsed="false">
      <c r="A7380" s="102"/>
      <c r="E7380" s="103" t="str">
        <f aca="false">IF($C7380="","",IFERROR(INDEX(المنيو!$C$2:$C$500,MATCH($C7380,المنيو!$B$2:$B$500,0)),0))</f>
        <v/>
      </c>
      <c r="F7380" s="103" t="str">
        <f aca="false">IF($C7380="","",$D7380*$E7380)</f>
        <v/>
      </c>
      <c r="G7380" s="103" t="str">
        <f aca="false">IF($C7380="","",$D7380*IFERROR(INDEX('تحليل التكلفة والسعر'!$C$2:$C$700,MATCH($C7380,'تحليل التكلفة والسعر'!$B$2:$B$700,0)),0))</f>
        <v/>
      </c>
    </row>
    <row r="7381" customFormat="false" ht="15" hidden="false" customHeight="false" outlineLevel="0" collapsed="false">
      <c r="A7381" s="102"/>
      <c r="E7381" s="103" t="str">
        <f aca="false">IF($C7381="","",IFERROR(INDEX(المنيو!$C$2:$C$500,MATCH($C7381,المنيو!$B$2:$B$500,0)),0))</f>
        <v/>
      </c>
      <c r="F7381" s="103" t="str">
        <f aca="false">IF($C7381="","",$D7381*$E7381)</f>
        <v/>
      </c>
      <c r="G7381" s="103" t="str">
        <f aca="false">IF($C7381="","",$D7381*IFERROR(INDEX('تحليل التكلفة والسعر'!$C$2:$C$700,MATCH($C7381,'تحليل التكلفة والسعر'!$B$2:$B$700,0)),0))</f>
        <v/>
      </c>
    </row>
    <row r="7382" customFormat="false" ht="15" hidden="false" customHeight="false" outlineLevel="0" collapsed="false">
      <c r="A7382" s="102"/>
      <c r="E7382" s="103" t="str">
        <f aca="false">IF($C7382="","",IFERROR(INDEX(المنيو!$C$2:$C$500,MATCH($C7382,المنيو!$B$2:$B$500,0)),0))</f>
        <v/>
      </c>
      <c r="F7382" s="103" t="str">
        <f aca="false">IF($C7382="","",$D7382*$E7382)</f>
        <v/>
      </c>
      <c r="G7382" s="103" t="str">
        <f aca="false">IF($C7382="","",$D7382*IFERROR(INDEX('تحليل التكلفة والسعر'!$C$2:$C$700,MATCH($C7382,'تحليل التكلفة والسعر'!$B$2:$B$700,0)),0))</f>
        <v/>
      </c>
    </row>
    <row r="7383" customFormat="false" ht="15" hidden="false" customHeight="false" outlineLevel="0" collapsed="false">
      <c r="A7383" s="102"/>
      <c r="E7383" s="103" t="str">
        <f aca="false">IF($C7383="","",IFERROR(INDEX(المنيو!$C$2:$C$500,MATCH($C7383,المنيو!$B$2:$B$500,0)),0))</f>
        <v/>
      </c>
      <c r="F7383" s="103" t="str">
        <f aca="false">IF($C7383="","",$D7383*$E7383)</f>
        <v/>
      </c>
      <c r="G7383" s="103" t="str">
        <f aca="false">IF($C7383="","",$D7383*IFERROR(INDEX('تحليل التكلفة والسعر'!$C$2:$C$700,MATCH($C7383,'تحليل التكلفة والسعر'!$B$2:$B$700,0)),0))</f>
        <v/>
      </c>
    </row>
    <row r="7384" customFormat="false" ht="15" hidden="false" customHeight="false" outlineLevel="0" collapsed="false">
      <c r="A7384" s="102"/>
      <c r="E7384" s="103" t="str">
        <f aca="false">IF($C7384="","",IFERROR(INDEX(المنيو!$C$2:$C$500,MATCH($C7384,المنيو!$B$2:$B$500,0)),0))</f>
        <v/>
      </c>
      <c r="F7384" s="103" t="str">
        <f aca="false">IF($C7384="","",$D7384*$E7384)</f>
        <v/>
      </c>
      <c r="G7384" s="103" t="str">
        <f aca="false">IF($C7384="","",$D7384*IFERROR(INDEX('تحليل التكلفة والسعر'!$C$2:$C$700,MATCH($C7384,'تحليل التكلفة والسعر'!$B$2:$B$700,0)),0))</f>
        <v/>
      </c>
    </row>
    <row r="7385" customFormat="false" ht="15" hidden="false" customHeight="false" outlineLevel="0" collapsed="false">
      <c r="A7385" s="102"/>
      <c r="E7385" s="103" t="str">
        <f aca="false">IF($C7385="","",IFERROR(INDEX(المنيو!$C$2:$C$500,MATCH($C7385,المنيو!$B$2:$B$500,0)),0))</f>
        <v/>
      </c>
      <c r="F7385" s="103" t="str">
        <f aca="false">IF($C7385="","",$D7385*$E7385)</f>
        <v/>
      </c>
      <c r="G7385" s="103" t="str">
        <f aca="false">IF($C7385="","",$D7385*IFERROR(INDEX('تحليل التكلفة والسعر'!$C$2:$C$700,MATCH($C7385,'تحليل التكلفة والسعر'!$B$2:$B$700,0)),0))</f>
        <v/>
      </c>
    </row>
    <row r="7386" customFormat="false" ht="15" hidden="false" customHeight="false" outlineLevel="0" collapsed="false">
      <c r="A7386" s="102"/>
      <c r="E7386" s="103" t="str">
        <f aca="false">IF($C7386="","",IFERROR(INDEX(المنيو!$C$2:$C$500,MATCH($C7386,المنيو!$B$2:$B$500,0)),0))</f>
        <v/>
      </c>
      <c r="F7386" s="103" t="str">
        <f aca="false">IF($C7386="","",$D7386*$E7386)</f>
        <v/>
      </c>
      <c r="G7386" s="103" t="str">
        <f aca="false">IF($C7386="","",$D7386*IFERROR(INDEX('تحليل التكلفة والسعر'!$C$2:$C$700,MATCH($C7386,'تحليل التكلفة والسعر'!$B$2:$B$700,0)),0))</f>
        <v/>
      </c>
    </row>
    <row r="7387" customFormat="false" ht="15" hidden="false" customHeight="false" outlineLevel="0" collapsed="false">
      <c r="A7387" s="102"/>
      <c r="E7387" s="103" t="str">
        <f aca="false">IF($C7387="","",IFERROR(INDEX(المنيو!$C$2:$C$500,MATCH($C7387,المنيو!$B$2:$B$500,0)),0))</f>
        <v/>
      </c>
      <c r="F7387" s="103" t="str">
        <f aca="false">IF($C7387="","",$D7387*$E7387)</f>
        <v/>
      </c>
      <c r="G7387" s="103" t="str">
        <f aca="false">IF($C7387="","",$D7387*IFERROR(INDEX('تحليل التكلفة والسعر'!$C$2:$C$700,MATCH($C7387,'تحليل التكلفة والسعر'!$B$2:$B$700,0)),0))</f>
        <v/>
      </c>
    </row>
    <row r="7388" customFormat="false" ht="15" hidden="false" customHeight="false" outlineLevel="0" collapsed="false">
      <c r="A7388" s="102"/>
      <c r="E7388" s="103" t="str">
        <f aca="false">IF($C7388="","",IFERROR(INDEX(المنيو!$C$2:$C$500,MATCH($C7388,المنيو!$B$2:$B$500,0)),0))</f>
        <v/>
      </c>
      <c r="F7388" s="103" t="str">
        <f aca="false">IF($C7388="","",$D7388*$E7388)</f>
        <v/>
      </c>
      <c r="G7388" s="103" t="str">
        <f aca="false">IF($C7388="","",$D7388*IFERROR(INDEX('تحليل التكلفة والسعر'!$C$2:$C$700,MATCH($C7388,'تحليل التكلفة والسعر'!$B$2:$B$700,0)),0))</f>
        <v/>
      </c>
    </row>
    <row r="7389" customFormat="false" ht="15" hidden="false" customHeight="false" outlineLevel="0" collapsed="false">
      <c r="A7389" s="102"/>
      <c r="E7389" s="103" t="str">
        <f aca="false">IF($C7389="","",IFERROR(INDEX(المنيو!$C$2:$C$500,MATCH($C7389,المنيو!$B$2:$B$500,0)),0))</f>
        <v/>
      </c>
      <c r="F7389" s="103" t="str">
        <f aca="false">IF($C7389="","",$D7389*$E7389)</f>
        <v/>
      </c>
      <c r="G7389" s="103" t="str">
        <f aca="false">IF($C7389="","",$D7389*IFERROR(INDEX('تحليل التكلفة والسعر'!$C$2:$C$700,MATCH($C7389,'تحليل التكلفة والسعر'!$B$2:$B$700,0)),0))</f>
        <v/>
      </c>
    </row>
    <row r="7390" customFormat="false" ht="15" hidden="false" customHeight="false" outlineLevel="0" collapsed="false">
      <c r="A7390" s="102"/>
      <c r="E7390" s="103" t="str">
        <f aca="false">IF($C7390="","",IFERROR(INDEX(المنيو!$C$2:$C$500,MATCH($C7390,المنيو!$B$2:$B$500,0)),0))</f>
        <v/>
      </c>
      <c r="F7390" s="103" t="str">
        <f aca="false">IF($C7390="","",$D7390*$E7390)</f>
        <v/>
      </c>
      <c r="G7390" s="103" t="str">
        <f aca="false">IF($C7390="","",$D7390*IFERROR(INDEX('تحليل التكلفة والسعر'!$C$2:$C$700,MATCH($C7390,'تحليل التكلفة والسعر'!$B$2:$B$700,0)),0))</f>
        <v/>
      </c>
    </row>
    <row r="7391" customFormat="false" ht="15" hidden="false" customHeight="false" outlineLevel="0" collapsed="false">
      <c r="A7391" s="102"/>
      <c r="E7391" s="103" t="str">
        <f aca="false">IF($C7391="","",IFERROR(INDEX(المنيو!$C$2:$C$500,MATCH($C7391,المنيو!$B$2:$B$500,0)),0))</f>
        <v/>
      </c>
      <c r="F7391" s="103" t="str">
        <f aca="false">IF($C7391="","",$D7391*$E7391)</f>
        <v/>
      </c>
      <c r="G7391" s="103" t="str">
        <f aca="false">IF($C7391="","",$D7391*IFERROR(INDEX('تحليل التكلفة والسعر'!$C$2:$C$700,MATCH($C7391,'تحليل التكلفة والسعر'!$B$2:$B$700,0)),0))</f>
        <v/>
      </c>
    </row>
    <row r="7392" customFormat="false" ht="15" hidden="false" customHeight="false" outlineLevel="0" collapsed="false">
      <c r="A7392" s="102"/>
      <c r="E7392" s="103" t="str">
        <f aca="false">IF($C7392="","",IFERROR(INDEX(المنيو!$C$2:$C$500,MATCH($C7392,المنيو!$B$2:$B$500,0)),0))</f>
        <v/>
      </c>
      <c r="F7392" s="103" t="str">
        <f aca="false">IF($C7392="","",$D7392*$E7392)</f>
        <v/>
      </c>
      <c r="G7392" s="103" t="str">
        <f aca="false">IF($C7392="","",$D7392*IFERROR(INDEX('تحليل التكلفة والسعر'!$C$2:$C$700,MATCH($C7392,'تحليل التكلفة والسعر'!$B$2:$B$700,0)),0))</f>
        <v/>
      </c>
    </row>
    <row r="7393" customFormat="false" ht="15" hidden="false" customHeight="false" outlineLevel="0" collapsed="false">
      <c r="A7393" s="102"/>
      <c r="E7393" s="103" t="str">
        <f aca="false">IF($C7393="","",IFERROR(INDEX(المنيو!$C$2:$C$500,MATCH($C7393,المنيو!$B$2:$B$500,0)),0))</f>
        <v/>
      </c>
      <c r="F7393" s="103" t="str">
        <f aca="false">IF($C7393="","",$D7393*$E7393)</f>
        <v/>
      </c>
      <c r="G7393" s="103" t="str">
        <f aca="false">IF($C7393="","",$D7393*IFERROR(INDEX('تحليل التكلفة والسعر'!$C$2:$C$700,MATCH($C7393,'تحليل التكلفة والسعر'!$B$2:$B$700,0)),0))</f>
        <v/>
      </c>
    </row>
    <row r="7394" customFormat="false" ht="15" hidden="false" customHeight="false" outlineLevel="0" collapsed="false">
      <c r="A7394" s="102"/>
      <c r="E7394" s="103" t="str">
        <f aca="false">IF($C7394="","",IFERROR(INDEX(المنيو!$C$2:$C$500,MATCH($C7394,المنيو!$B$2:$B$500,0)),0))</f>
        <v/>
      </c>
      <c r="F7394" s="103" t="str">
        <f aca="false">IF($C7394="","",$D7394*$E7394)</f>
        <v/>
      </c>
      <c r="G7394" s="103" t="str">
        <f aca="false">IF($C7394="","",$D7394*IFERROR(INDEX('تحليل التكلفة والسعر'!$C$2:$C$700,MATCH($C7394,'تحليل التكلفة والسعر'!$B$2:$B$700,0)),0))</f>
        <v/>
      </c>
    </row>
    <row r="7395" customFormat="false" ht="15" hidden="false" customHeight="false" outlineLevel="0" collapsed="false">
      <c r="A7395" s="102"/>
      <c r="E7395" s="103" t="str">
        <f aca="false">IF($C7395="","",IFERROR(INDEX(المنيو!$C$2:$C$500,MATCH($C7395,المنيو!$B$2:$B$500,0)),0))</f>
        <v/>
      </c>
      <c r="F7395" s="103" t="str">
        <f aca="false">IF($C7395="","",$D7395*$E7395)</f>
        <v/>
      </c>
      <c r="G7395" s="103" t="str">
        <f aca="false">IF($C7395="","",$D7395*IFERROR(INDEX('تحليل التكلفة والسعر'!$C$2:$C$700,MATCH($C7395,'تحليل التكلفة والسعر'!$B$2:$B$700,0)),0))</f>
        <v/>
      </c>
    </row>
    <row r="7396" customFormat="false" ht="15" hidden="false" customHeight="false" outlineLevel="0" collapsed="false">
      <c r="A7396" s="102"/>
      <c r="E7396" s="103" t="str">
        <f aca="false">IF($C7396="","",IFERROR(INDEX(المنيو!$C$2:$C$500,MATCH($C7396,المنيو!$B$2:$B$500,0)),0))</f>
        <v/>
      </c>
      <c r="F7396" s="103" t="str">
        <f aca="false">IF($C7396="","",$D7396*$E7396)</f>
        <v/>
      </c>
      <c r="G7396" s="103" t="str">
        <f aca="false">IF($C7396="","",$D7396*IFERROR(INDEX('تحليل التكلفة والسعر'!$C$2:$C$700,MATCH($C7396,'تحليل التكلفة والسعر'!$B$2:$B$700,0)),0))</f>
        <v/>
      </c>
    </row>
    <row r="7397" customFormat="false" ht="15" hidden="false" customHeight="false" outlineLevel="0" collapsed="false">
      <c r="A7397" s="102"/>
      <c r="E7397" s="103" t="str">
        <f aca="false">IF($C7397="","",IFERROR(INDEX(المنيو!$C$2:$C$500,MATCH($C7397,المنيو!$B$2:$B$500,0)),0))</f>
        <v/>
      </c>
      <c r="F7397" s="103" t="str">
        <f aca="false">IF($C7397="","",$D7397*$E7397)</f>
        <v/>
      </c>
      <c r="G7397" s="103" t="str">
        <f aca="false">IF($C7397="","",$D7397*IFERROR(INDEX('تحليل التكلفة والسعر'!$C$2:$C$700,MATCH($C7397,'تحليل التكلفة والسعر'!$B$2:$B$700,0)),0))</f>
        <v/>
      </c>
    </row>
    <row r="7398" customFormat="false" ht="15" hidden="false" customHeight="false" outlineLevel="0" collapsed="false">
      <c r="A7398" s="102"/>
      <c r="E7398" s="103" t="str">
        <f aca="false">IF($C7398="","",IFERROR(INDEX(المنيو!$C$2:$C$500,MATCH($C7398,المنيو!$B$2:$B$500,0)),0))</f>
        <v/>
      </c>
      <c r="F7398" s="103" t="str">
        <f aca="false">IF($C7398="","",$D7398*$E7398)</f>
        <v/>
      </c>
      <c r="G7398" s="103" t="str">
        <f aca="false">IF($C7398="","",$D7398*IFERROR(INDEX('تحليل التكلفة والسعر'!$C$2:$C$700,MATCH($C7398,'تحليل التكلفة والسعر'!$B$2:$B$700,0)),0))</f>
        <v/>
      </c>
    </row>
    <row r="7399" customFormat="false" ht="15" hidden="false" customHeight="false" outlineLevel="0" collapsed="false">
      <c r="A7399" s="102"/>
      <c r="E7399" s="103" t="str">
        <f aca="false">IF($C7399="","",IFERROR(INDEX(المنيو!$C$2:$C$500,MATCH($C7399,المنيو!$B$2:$B$500,0)),0))</f>
        <v/>
      </c>
      <c r="F7399" s="103" t="str">
        <f aca="false">IF($C7399="","",$D7399*$E7399)</f>
        <v/>
      </c>
      <c r="G7399" s="103" t="str">
        <f aca="false">IF($C7399="","",$D7399*IFERROR(INDEX('تحليل التكلفة والسعر'!$C$2:$C$700,MATCH($C7399,'تحليل التكلفة والسعر'!$B$2:$B$700,0)),0))</f>
        <v/>
      </c>
    </row>
    <row r="7400" customFormat="false" ht="15" hidden="false" customHeight="false" outlineLevel="0" collapsed="false">
      <c r="A7400" s="102"/>
      <c r="E7400" s="103" t="str">
        <f aca="false">IF($C7400="","",IFERROR(INDEX(المنيو!$C$2:$C$500,MATCH($C7400,المنيو!$B$2:$B$500,0)),0))</f>
        <v/>
      </c>
      <c r="F7400" s="103" t="str">
        <f aca="false">IF($C7400="","",$D7400*$E7400)</f>
        <v/>
      </c>
      <c r="G7400" s="103" t="str">
        <f aca="false">IF($C7400="","",$D7400*IFERROR(INDEX('تحليل التكلفة والسعر'!$C$2:$C$700,MATCH($C7400,'تحليل التكلفة والسعر'!$B$2:$B$700,0)),0))</f>
        <v/>
      </c>
    </row>
    <row r="7401" customFormat="false" ht="15" hidden="false" customHeight="false" outlineLevel="0" collapsed="false">
      <c r="A7401" s="102"/>
      <c r="E7401" s="103" t="str">
        <f aca="false">IF($C7401="","",IFERROR(INDEX(المنيو!$C$2:$C$500,MATCH($C7401,المنيو!$B$2:$B$500,0)),0))</f>
        <v/>
      </c>
      <c r="F7401" s="103" t="str">
        <f aca="false">IF($C7401="","",$D7401*$E7401)</f>
        <v/>
      </c>
      <c r="G7401" s="103" t="str">
        <f aca="false">IF($C7401="","",$D7401*IFERROR(INDEX('تحليل التكلفة والسعر'!$C$2:$C$700,MATCH($C7401,'تحليل التكلفة والسعر'!$B$2:$B$700,0)),0))</f>
        <v/>
      </c>
    </row>
    <row r="7402" customFormat="false" ht="15" hidden="false" customHeight="false" outlineLevel="0" collapsed="false">
      <c r="A7402" s="102"/>
      <c r="E7402" s="103" t="str">
        <f aca="false">IF($C7402="","",IFERROR(INDEX(المنيو!$C$2:$C$500,MATCH($C7402,المنيو!$B$2:$B$500,0)),0))</f>
        <v/>
      </c>
      <c r="F7402" s="103" t="str">
        <f aca="false">IF($C7402="","",$D7402*$E7402)</f>
        <v/>
      </c>
      <c r="G7402" s="103" t="str">
        <f aca="false">IF($C7402="","",$D7402*IFERROR(INDEX('تحليل التكلفة والسعر'!$C$2:$C$700,MATCH($C7402,'تحليل التكلفة والسعر'!$B$2:$B$700,0)),0))</f>
        <v/>
      </c>
    </row>
    <row r="7403" customFormat="false" ht="15" hidden="false" customHeight="false" outlineLevel="0" collapsed="false">
      <c r="A7403" s="102"/>
      <c r="E7403" s="103" t="str">
        <f aca="false">IF($C7403="","",IFERROR(INDEX(المنيو!$C$2:$C$500,MATCH($C7403,المنيو!$B$2:$B$500,0)),0))</f>
        <v/>
      </c>
      <c r="F7403" s="103" t="str">
        <f aca="false">IF($C7403="","",$D7403*$E7403)</f>
        <v/>
      </c>
      <c r="G7403" s="103" t="str">
        <f aca="false">IF($C7403="","",$D7403*IFERROR(INDEX('تحليل التكلفة والسعر'!$C$2:$C$700,MATCH($C7403,'تحليل التكلفة والسعر'!$B$2:$B$700,0)),0))</f>
        <v/>
      </c>
    </row>
    <row r="7404" customFormat="false" ht="15" hidden="false" customHeight="false" outlineLevel="0" collapsed="false">
      <c r="A7404" s="102"/>
      <c r="E7404" s="103" t="str">
        <f aca="false">IF($C7404="","",IFERROR(INDEX(المنيو!$C$2:$C$500,MATCH($C7404,المنيو!$B$2:$B$500,0)),0))</f>
        <v/>
      </c>
      <c r="F7404" s="103" t="str">
        <f aca="false">IF($C7404="","",$D7404*$E7404)</f>
        <v/>
      </c>
      <c r="G7404" s="103" t="str">
        <f aca="false">IF($C7404="","",$D7404*IFERROR(INDEX('تحليل التكلفة والسعر'!$C$2:$C$700,MATCH($C7404,'تحليل التكلفة والسعر'!$B$2:$B$700,0)),0))</f>
        <v/>
      </c>
    </row>
    <row r="7405" customFormat="false" ht="15" hidden="false" customHeight="false" outlineLevel="0" collapsed="false">
      <c r="A7405" s="102"/>
      <c r="E7405" s="103" t="str">
        <f aca="false">IF($C7405="","",IFERROR(INDEX(المنيو!$C$2:$C$500,MATCH($C7405,المنيو!$B$2:$B$500,0)),0))</f>
        <v/>
      </c>
      <c r="F7405" s="103" t="str">
        <f aca="false">IF($C7405="","",$D7405*$E7405)</f>
        <v/>
      </c>
      <c r="G7405" s="103" t="str">
        <f aca="false">IF($C7405="","",$D7405*IFERROR(INDEX('تحليل التكلفة والسعر'!$C$2:$C$700,MATCH($C7405,'تحليل التكلفة والسعر'!$B$2:$B$700,0)),0))</f>
        <v/>
      </c>
    </row>
    <row r="7406" customFormat="false" ht="15" hidden="false" customHeight="false" outlineLevel="0" collapsed="false">
      <c r="A7406" s="102"/>
      <c r="E7406" s="103" t="str">
        <f aca="false">IF($C7406="","",IFERROR(INDEX(المنيو!$C$2:$C$500,MATCH($C7406,المنيو!$B$2:$B$500,0)),0))</f>
        <v/>
      </c>
      <c r="F7406" s="103" t="str">
        <f aca="false">IF($C7406="","",$D7406*$E7406)</f>
        <v/>
      </c>
      <c r="G7406" s="103" t="str">
        <f aca="false">IF($C7406="","",$D7406*IFERROR(INDEX('تحليل التكلفة والسعر'!$C$2:$C$700,MATCH($C7406,'تحليل التكلفة والسعر'!$B$2:$B$700,0)),0))</f>
        <v/>
      </c>
    </row>
    <row r="7407" customFormat="false" ht="15" hidden="false" customHeight="false" outlineLevel="0" collapsed="false">
      <c r="A7407" s="102"/>
      <c r="E7407" s="103" t="str">
        <f aca="false">IF($C7407="","",IFERROR(INDEX(المنيو!$C$2:$C$500,MATCH($C7407,المنيو!$B$2:$B$500,0)),0))</f>
        <v/>
      </c>
      <c r="F7407" s="103" t="str">
        <f aca="false">IF($C7407="","",$D7407*$E7407)</f>
        <v/>
      </c>
      <c r="G7407" s="103" t="str">
        <f aca="false">IF($C7407="","",$D7407*IFERROR(INDEX('تحليل التكلفة والسعر'!$C$2:$C$700,MATCH($C7407,'تحليل التكلفة والسعر'!$B$2:$B$700,0)),0))</f>
        <v/>
      </c>
    </row>
    <row r="7408" customFormat="false" ht="15" hidden="false" customHeight="false" outlineLevel="0" collapsed="false">
      <c r="A7408" s="102"/>
      <c r="E7408" s="103" t="str">
        <f aca="false">IF($C7408="","",IFERROR(INDEX(المنيو!$C$2:$C$500,MATCH($C7408,المنيو!$B$2:$B$500,0)),0))</f>
        <v/>
      </c>
      <c r="F7408" s="103" t="str">
        <f aca="false">IF($C7408="","",$D7408*$E7408)</f>
        <v/>
      </c>
      <c r="G7408" s="103" t="str">
        <f aca="false">IF($C7408="","",$D7408*IFERROR(INDEX('تحليل التكلفة والسعر'!$C$2:$C$700,MATCH($C7408,'تحليل التكلفة والسعر'!$B$2:$B$700,0)),0))</f>
        <v/>
      </c>
    </row>
    <row r="7409" customFormat="false" ht="15" hidden="false" customHeight="false" outlineLevel="0" collapsed="false">
      <c r="A7409" s="102"/>
      <c r="E7409" s="103" t="str">
        <f aca="false">IF($C7409="","",IFERROR(INDEX(المنيو!$C$2:$C$500,MATCH($C7409,المنيو!$B$2:$B$500,0)),0))</f>
        <v/>
      </c>
      <c r="F7409" s="103" t="str">
        <f aca="false">IF($C7409="","",$D7409*$E7409)</f>
        <v/>
      </c>
      <c r="G7409" s="103" t="str">
        <f aca="false">IF($C7409="","",$D7409*IFERROR(INDEX('تحليل التكلفة والسعر'!$C$2:$C$700,MATCH($C7409,'تحليل التكلفة والسعر'!$B$2:$B$700,0)),0))</f>
        <v/>
      </c>
    </row>
    <row r="7410" customFormat="false" ht="15" hidden="false" customHeight="false" outlineLevel="0" collapsed="false">
      <c r="A7410" s="102"/>
      <c r="E7410" s="103" t="str">
        <f aca="false">IF($C7410="","",IFERROR(INDEX(المنيو!$C$2:$C$500,MATCH($C7410,المنيو!$B$2:$B$500,0)),0))</f>
        <v/>
      </c>
      <c r="F7410" s="103" t="str">
        <f aca="false">IF($C7410="","",$D7410*$E7410)</f>
        <v/>
      </c>
      <c r="G7410" s="103" t="str">
        <f aca="false">IF($C7410="","",$D7410*IFERROR(INDEX('تحليل التكلفة والسعر'!$C$2:$C$700,MATCH($C7410,'تحليل التكلفة والسعر'!$B$2:$B$700,0)),0))</f>
        <v/>
      </c>
    </row>
    <row r="7411" customFormat="false" ht="15" hidden="false" customHeight="false" outlineLevel="0" collapsed="false">
      <c r="A7411" s="102"/>
      <c r="E7411" s="103" t="str">
        <f aca="false">IF($C7411="","",IFERROR(INDEX(المنيو!$C$2:$C$500,MATCH($C7411,المنيو!$B$2:$B$500,0)),0))</f>
        <v/>
      </c>
      <c r="F7411" s="103" t="str">
        <f aca="false">IF($C7411="","",$D7411*$E7411)</f>
        <v/>
      </c>
      <c r="G7411" s="103" t="str">
        <f aca="false">IF($C7411="","",$D7411*IFERROR(INDEX('تحليل التكلفة والسعر'!$C$2:$C$700,MATCH($C7411,'تحليل التكلفة والسعر'!$B$2:$B$700,0)),0))</f>
        <v/>
      </c>
    </row>
    <row r="7412" customFormat="false" ht="15" hidden="false" customHeight="false" outlineLevel="0" collapsed="false">
      <c r="A7412" s="102"/>
      <c r="E7412" s="103" t="str">
        <f aca="false">IF($C7412="","",IFERROR(INDEX(المنيو!$C$2:$C$500,MATCH($C7412,المنيو!$B$2:$B$500,0)),0))</f>
        <v/>
      </c>
      <c r="F7412" s="103" t="str">
        <f aca="false">IF($C7412="","",$D7412*$E7412)</f>
        <v/>
      </c>
      <c r="G7412" s="103" t="str">
        <f aca="false">IF($C7412="","",$D7412*IFERROR(INDEX('تحليل التكلفة والسعر'!$C$2:$C$700,MATCH($C7412,'تحليل التكلفة والسعر'!$B$2:$B$700,0)),0))</f>
        <v/>
      </c>
    </row>
    <row r="7413" customFormat="false" ht="15" hidden="false" customHeight="false" outlineLevel="0" collapsed="false">
      <c r="A7413" s="102"/>
      <c r="E7413" s="103" t="str">
        <f aca="false">IF($C7413="","",IFERROR(INDEX(المنيو!$C$2:$C$500,MATCH($C7413,المنيو!$B$2:$B$500,0)),0))</f>
        <v/>
      </c>
      <c r="F7413" s="103" t="str">
        <f aca="false">IF($C7413="","",$D7413*$E7413)</f>
        <v/>
      </c>
      <c r="G7413" s="103" t="str">
        <f aca="false">IF($C7413="","",$D7413*IFERROR(INDEX('تحليل التكلفة والسعر'!$C$2:$C$700,MATCH($C7413,'تحليل التكلفة والسعر'!$B$2:$B$700,0)),0))</f>
        <v/>
      </c>
    </row>
    <row r="7414" customFormat="false" ht="15" hidden="false" customHeight="false" outlineLevel="0" collapsed="false">
      <c r="A7414" s="102"/>
      <c r="E7414" s="103" t="str">
        <f aca="false">IF($C7414="","",IFERROR(INDEX(المنيو!$C$2:$C$500,MATCH($C7414,المنيو!$B$2:$B$500,0)),0))</f>
        <v/>
      </c>
      <c r="F7414" s="103" t="str">
        <f aca="false">IF($C7414="","",$D7414*$E7414)</f>
        <v/>
      </c>
      <c r="G7414" s="103" t="str">
        <f aca="false">IF($C7414="","",$D7414*IFERROR(INDEX('تحليل التكلفة والسعر'!$C$2:$C$700,MATCH($C7414,'تحليل التكلفة والسعر'!$B$2:$B$700,0)),0))</f>
        <v/>
      </c>
    </row>
    <row r="7415" customFormat="false" ht="15" hidden="false" customHeight="false" outlineLevel="0" collapsed="false">
      <c r="A7415" s="102"/>
      <c r="E7415" s="103" t="str">
        <f aca="false">IF($C7415="","",IFERROR(INDEX(المنيو!$C$2:$C$500,MATCH($C7415,المنيو!$B$2:$B$500,0)),0))</f>
        <v/>
      </c>
      <c r="F7415" s="103" t="str">
        <f aca="false">IF($C7415="","",$D7415*$E7415)</f>
        <v/>
      </c>
      <c r="G7415" s="103" t="str">
        <f aca="false">IF($C7415="","",$D7415*IFERROR(INDEX('تحليل التكلفة والسعر'!$C$2:$C$700,MATCH($C7415,'تحليل التكلفة والسعر'!$B$2:$B$700,0)),0))</f>
        <v/>
      </c>
    </row>
    <row r="7416" customFormat="false" ht="15" hidden="false" customHeight="false" outlineLevel="0" collapsed="false">
      <c r="A7416" s="102"/>
      <c r="E7416" s="103" t="str">
        <f aca="false">IF($C7416="","",IFERROR(INDEX(المنيو!$C$2:$C$500,MATCH($C7416,المنيو!$B$2:$B$500,0)),0))</f>
        <v/>
      </c>
      <c r="F7416" s="103" t="str">
        <f aca="false">IF($C7416="","",$D7416*$E7416)</f>
        <v/>
      </c>
      <c r="G7416" s="103" t="str">
        <f aca="false">IF($C7416="","",$D7416*IFERROR(INDEX('تحليل التكلفة والسعر'!$C$2:$C$700,MATCH($C7416,'تحليل التكلفة والسعر'!$B$2:$B$700,0)),0))</f>
        <v/>
      </c>
    </row>
    <row r="7417" customFormat="false" ht="15" hidden="false" customHeight="false" outlineLevel="0" collapsed="false">
      <c r="A7417" s="102"/>
      <c r="E7417" s="103" t="str">
        <f aca="false">IF($C7417="","",IFERROR(INDEX(المنيو!$C$2:$C$500,MATCH($C7417,المنيو!$B$2:$B$500,0)),0))</f>
        <v/>
      </c>
      <c r="F7417" s="103" t="str">
        <f aca="false">IF($C7417="","",$D7417*$E7417)</f>
        <v/>
      </c>
      <c r="G7417" s="103" t="str">
        <f aca="false">IF($C7417="","",$D7417*IFERROR(INDEX('تحليل التكلفة والسعر'!$C$2:$C$700,MATCH($C7417,'تحليل التكلفة والسعر'!$B$2:$B$700,0)),0))</f>
        <v/>
      </c>
    </row>
    <row r="7418" customFormat="false" ht="15" hidden="false" customHeight="false" outlineLevel="0" collapsed="false">
      <c r="A7418" s="102"/>
      <c r="E7418" s="103" t="str">
        <f aca="false">IF($C7418="","",IFERROR(INDEX(المنيو!$C$2:$C$500,MATCH($C7418,المنيو!$B$2:$B$500,0)),0))</f>
        <v/>
      </c>
      <c r="F7418" s="103" t="str">
        <f aca="false">IF($C7418="","",$D7418*$E7418)</f>
        <v/>
      </c>
      <c r="G7418" s="103" t="str">
        <f aca="false">IF($C7418="","",$D7418*IFERROR(INDEX('تحليل التكلفة والسعر'!$C$2:$C$700,MATCH($C7418,'تحليل التكلفة والسعر'!$B$2:$B$700,0)),0))</f>
        <v/>
      </c>
    </row>
    <row r="7419" customFormat="false" ht="15" hidden="false" customHeight="false" outlineLevel="0" collapsed="false">
      <c r="A7419" s="102"/>
      <c r="E7419" s="103" t="str">
        <f aca="false">IF($C7419="","",IFERROR(INDEX(المنيو!$C$2:$C$500,MATCH($C7419,المنيو!$B$2:$B$500,0)),0))</f>
        <v/>
      </c>
      <c r="F7419" s="103" t="str">
        <f aca="false">IF($C7419="","",$D7419*$E7419)</f>
        <v/>
      </c>
      <c r="G7419" s="103" t="str">
        <f aca="false">IF($C7419="","",$D7419*IFERROR(INDEX('تحليل التكلفة والسعر'!$C$2:$C$700,MATCH($C7419,'تحليل التكلفة والسعر'!$B$2:$B$700,0)),0))</f>
        <v/>
      </c>
    </row>
    <row r="7420" customFormat="false" ht="15" hidden="false" customHeight="false" outlineLevel="0" collapsed="false">
      <c r="A7420" s="102"/>
      <c r="E7420" s="103" t="str">
        <f aca="false">IF($C7420="","",IFERROR(INDEX(المنيو!$C$2:$C$500,MATCH($C7420,المنيو!$B$2:$B$500,0)),0))</f>
        <v/>
      </c>
      <c r="F7420" s="103" t="str">
        <f aca="false">IF($C7420="","",$D7420*$E7420)</f>
        <v/>
      </c>
      <c r="G7420" s="103" t="str">
        <f aca="false">IF($C7420="","",$D7420*IFERROR(INDEX('تحليل التكلفة والسعر'!$C$2:$C$700,MATCH($C7420,'تحليل التكلفة والسعر'!$B$2:$B$700,0)),0))</f>
        <v/>
      </c>
    </row>
    <row r="7421" customFormat="false" ht="15" hidden="false" customHeight="false" outlineLevel="0" collapsed="false">
      <c r="A7421" s="102"/>
      <c r="E7421" s="103" t="str">
        <f aca="false">IF($C7421="","",IFERROR(INDEX(المنيو!$C$2:$C$500,MATCH($C7421,المنيو!$B$2:$B$500,0)),0))</f>
        <v/>
      </c>
      <c r="F7421" s="103" t="str">
        <f aca="false">IF($C7421="","",$D7421*$E7421)</f>
        <v/>
      </c>
      <c r="G7421" s="103" t="str">
        <f aca="false">IF($C7421="","",$D7421*IFERROR(INDEX('تحليل التكلفة والسعر'!$C$2:$C$700,MATCH($C7421,'تحليل التكلفة والسعر'!$B$2:$B$700,0)),0))</f>
        <v/>
      </c>
    </row>
    <row r="7422" customFormat="false" ht="15" hidden="false" customHeight="false" outlineLevel="0" collapsed="false">
      <c r="A7422" s="102"/>
      <c r="E7422" s="103" t="str">
        <f aca="false">IF($C7422="","",IFERROR(INDEX(المنيو!$C$2:$C$500,MATCH($C7422,المنيو!$B$2:$B$500,0)),0))</f>
        <v/>
      </c>
      <c r="F7422" s="103" t="str">
        <f aca="false">IF($C7422="","",$D7422*$E7422)</f>
        <v/>
      </c>
      <c r="G7422" s="103" t="str">
        <f aca="false">IF($C7422="","",$D7422*IFERROR(INDEX('تحليل التكلفة والسعر'!$C$2:$C$700,MATCH($C7422,'تحليل التكلفة والسعر'!$B$2:$B$700,0)),0))</f>
        <v/>
      </c>
    </row>
    <row r="7423" customFormat="false" ht="15" hidden="false" customHeight="false" outlineLevel="0" collapsed="false">
      <c r="A7423" s="102"/>
      <c r="E7423" s="103" t="str">
        <f aca="false">IF($C7423="","",IFERROR(INDEX(المنيو!$C$2:$C$500,MATCH($C7423,المنيو!$B$2:$B$500,0)),0))</f>
        <v/>
      </c>
      <c r="F7423" s="103" t="str">
        <f aca="false">IF($C7423="","",$D7423*$E7423)</f>
        <v/>
      </c>
      <c r="G7423" s="103" t="str">
        <f aca="false">IF($C7423="","",$D7423*IFERROR(INDEX('تحليل التكلفة والسعر'!$C$2:$C$700,MATCH($C7423,'تحليل التكلفة والسعر'!$B$2:$B$700,0)),0))</f>
        <v/>
      </c>
    </row>
    <row r="7424" customFormat="false" ht="15" hidden="false" customHeight="false" outlineLevel="0" collapsed="false">
      <c r="A7424" s="102"/>
      <c r="E7424" s="103" t="str">
        <f aca="false">IF($C7424="","",IFERROR(INDEX(المنيو!$C$2:$C$500,MATCH($C7424,المنيو!$B$2:$B$500,0)),0))</f>
        <v/>
      </c>
      <c r="F7424" s="103" t="str">
        <f aca="false">IF($C7424="","",$D7424*$E7424)</f>
        <v/>
      </c>
      <c r="G7424" s="103" t="str">
        <f aca="false">IF($C7424="","",$D7424*IFERROR(INDEX('تحليل التكلفة والسعر'!$C$2:$C$700,MATCH($C7424,'تحليل التكلفة والسعر'!$B$2:$B$700,0)),0))</f>
        <v/>
      </c>
    </row>
    <row r="7425" customFormat="false" ht="15" hidden="false" customHeight="false" outlineLevel="0" collapsed="false">
      <c r="A7425" s="102"/>
      <c r="E7425" s="103" t="str">
        <f aca="false">IF($C7425="","",IFERROR(INDEX(المنيو!$C$2:$C$500,MATCH($C7425,المنيو!$B$2:$B$500,0)),0))</f>
        <v/>
      </c>
      <c r="F7425" s="103" t="str">
        <f aca="false">IF($C7425="","",$D7425*$E7425)</f>
        <v/>
      </c>
      <c r="G7425" s="103" t="str">
        <f aca="false">IF($C7425="","",$D7425*IFERROR(INDEX('تحليل التكلفة والسعر'!$C$2:$C$700,MATCH($C7425,'تحليل التكلفة والسعر'!$B$2:$B$700,0)),0))</f>
        <v/>
      </c>
    </row>
    <row r="7426" customFormat="false" ht="15" hidden="false" customHeight="false" outlineLevel="0" collapsed="false">
      <c r="A7426" s="102"/>
      <c r="E7426" s="103" t="str">
        <f aca="false">IF($C7426="","",IFERROR(INDEX(المنيو!$C$2:$C$500,MATCH($C7426,المنيو!$B$2:$B$500,0)),0))</f>
        <v/>
      </c>
      <c r="F7426" s="103" t="str">
        <f aca="false">IF($C7426="","",$D7426*$E7426)</f>
        <v/>
      </c>
      <c r="G7426" s="103" t="str">
        <f aca="false">IF($C7426="","",$D7426*IFERROR(INDEX('تحليل التكلفة والسعر'!$C$2:$C$700,MATCH($C7426,'تحليل التكلفة والسعر'!$B$2:$B$700,0)),0))</f>
        <v/>
      </c>
    </row>
    <row r="7427" customFormat="false" ht="15" hidden="false" customHeight="false" outlineLevel="0" collapsed="false">
      <c r="A7427" s="102"/>
      <c r="E7427" s="103" t="str">
        <f aca="false">IF($C7427="","",IFERROR(INDEX(المنيو!$C$2:$C$500,MATCH($C7427,المنيو!$B$2:$B$500,0)),0))</f>
        <v/>
      </c>
      <c r="F7427" s="103" t="str">
        <f aca="false">IF($C7427="","",$D7427*$E7427)</f>
        <v/>
      </c>
      <c r="G7427" s="103" t="str">
        <f aca="false">IF($C7427="","",$D7427*IFERROR(INDEX('تحليل التكلفة والسعر'!$C$2:$C$700,MATCH($C7427,'تحليل التكلفة والسعر'!$B$2:$B$700,0)),0))</f>
        <v/>
      </c>
    </row>
    <row r="7428" customFormat="false" ht="15" hidden="false" customHeight="false" outlineLevel="0" collapsed="false">
      <c r="A7428" s="102"/>
      <c r="E7428" s="103" t="str">
        <f aca="false">IF($C7428="","",IFERROR(INDEX(المنيو!$C$2:$C$500,MATCH($C7428,المنيو!$B$2:$B$500,0)),0))</f>
        <v/>
      </c>
      <c r="F7428" s="103" t="str">
        <f aca="false">IF($C7428="","",$D7428*$E7428)</f>
        <v/>
      </c>
      <c r="G7428" s="103" t="str">
        <f aca="false">IF($C7428="","",$D7428*IFERROR(INDEX('تحليل التكلفة والسعر'!$C$2:$C$700,MATCH($C7428,'تحليل التكلفة والسعر'!$B$2:$B$700,0)),0))</f>
        <v/>
      </c>
    </row>
    <row r="7429" customFormat="false" ht="15" hidden="false" customHeight="false" outlineLevel="0" collapsed="false">
      <c r="A7429" s="102"/>
      <c r="E7429" s="103" t="str">
        <f aca="false">IF($C7429="","",IFERROR(INDEX(المنيو!$C$2:$C$500,MATCH($C7429,المنيو!$B$2:$B$500,0)),0))</f>
        <v/>
      </c>
      <c r="F7429" s="103" t="str">
        <f aca="false">IF($C7429="","",$D7429*$E7429)</f>
        <v/>
      </c>
      <c r="G7429" s="103" t="str">
        <f aca="false">IF($C7429="","",$D7429*IFERROR(INDEX('تحليل التكلفة والسعر'!$C$2:$C$700,MATCH($C7429,'تحليل التكلفة والسعر'!$B$2:$B$700,0)),0))</f>
        <v/>
      </c>
    </row>
    <row r="7430" customFormat="false" ht="15" hidden="false" customHeight="false" outlineLevel="0" collapsed="false">
      <c r="A7430" s="102"/>
      <c r="E7430" s="103" t="str">
        <f aca="false">IF($C7430="","",IFERROR(INDEX(المنيو!$C$2:$C$500,MATCH($C7430,المنيو!$B$2:$B$500,0)),0))</f>
        <v/>
      </c>
      <c r="F7430" s="103" t="str">
        <f aca="false">IF($C7430="","",$D7430*$E7430)</f>
        <v/>
      </c>
      <c r="G7430" s="103" t="str">
        <f aca="false">IF($C7430="","",$D7430*IFERROR(INDEX('تحليل التكلفة والسعر'!$C$2:$C$700,MATCH($C7430,'تحليل التكلفة والسعر'!$B$2:$B$700,0)),0))</f>
        <v/>
      </c>
    </row>
    <row r="7431" customFormat="false" ht="15" hidden="false" customHeight="false" outlineLevel="0" collapsed="false">
      <c r="A7431" s="102"/>
      <c r="E7431" s="103" t="str">
        <f aca="false">IF($C7431="","",IFERROR(INDEX(المنيو!$C$2:$C$500,MATCH($C7431,المنيو!$B$2:$B$500,0)),0))</f>
        <v/>
      </c>
      <c r="F7431" s="103" t="str">
        <f aca="false">IF($C7431="","",$D7431*$E7431)</f>
        <v/>
      </c>
      <c r="G7431" s="103" t="str">
        <f aca="false">IF($C7431="","",$D7431*IFERROR(INDEX('تحليل التكلفة والسعر'!$C$2:$C$700,MATCH($C7431,'تحليل التكلفة والسعر'!$B$2:$B$700,0)),0))</f>
        <v/>
      </c>
    </row>
    <row r="7432" customFormat="false" ht="15" hidden="false" customHeight="false" outlineLevel="0" collapsed="false">
      <c r="A7432" s="102"/>
      <c r="E7432" s="103" t="str">
        <f aca="false">IF($C7432="","",IFERROR(INDEX(المنيو!$C$2:$C$500,MATCH($C7432,المنيو!$B$2:$B$500,0)),0))</f>
        <v/>
      </c>
      <c r="F7432" s="103" t="str">
        <f aca="false">IF($C7432="","",$D7432*$E7432)</f>
        <v/>
      </c>
      <c r="G7432" s="103" t="str">
        <f aca="false">IF($C7432="","",$D7432*IFERROR(INDEX('تحليل التكلفة والسعر'!$C$2:$C$700,MATCH($C7432,'تحليل التكلفة والسعر'!$B$2:$B$700,0)),0))</f>
        <v/>
      </c>
    </row>
    <row r="7433" customFormat="false" ht="15" hidden="false" customHeight="false" outlineLevel="0" collapsed="false">
      <c r="A7433" s="102"/>
      <c r="E7433" s="103" t="str">
        <f aca="false">IF($C7433="","",IFERROR(INDEX(المنيو!$C$2:$C$500,MATCH($C7433,المنيو!$B$2:$B$500,0)),0))</f>
        <v/>
      </c>
      <c r="F7433" s="103" t="str">
        <f aca="false">IF($C7433="","",$D7433*$E7433)</f>
        <v/>
      </c>
      <c r="G7433" s="103" t="str">
        <f aca="false">IF($C7433="","",$D7433*IFERROR(INDEX('تحليل التكلفة والسعر'!$C$2:$C$700,MATCH($C7433,'تحليل التكلفة والسعر'!$B$2:$B$700,0)),0))</f>
        <v/>
      </c>
    </row>
    <row r="7434" customFormat="false" ht="15" hidden="false" customHeight="false" outlineLevel="0" collapsed="false">
      <c r="A7434" s="102"/>
      <c r="E7434" s="103" t="str">
        <f aca="false">IF($C7434="","",IFERROR(INDEX(المنيو!$C$2:$C$500,MATCH($C7434,المنيو!$B$2:$B$500,0)),0))</f>
        <v/>
      </c>
      <c r="F7434" s="103" t="str">
        <f aca="false">IF($C7434="","",$D7434*$E7434)</f>
        <v/>
      </c>
      <c r="G7434" s="103" t="str">
        <f aca="false">IF($C7434="","",$D7434*IFERROR(INDEX('تحليل التكلفة والسعر'!$C$2:$C$700,MATCH($C7434,'تحليل التكلفة والسعر'!$B$2:$B$700,0)),0))</f>
        <v/>
      </c>
    </row>
    <row r="7435" customFormat="false" ht="15" hidden="false" customHeight="false" outlineLevel="0" collapsed="false">
      <c r="A7435" s="102"/>
      <c r="E7435" s="103" t="str">
        <f aca="false">IF($C7435="","",IFERROR(INDEX(المنيو!$C$2:$C$500,MATCH($C7435,المنيو!$B$2:$B$500,0)),0))</f>
        <v/>
      </c>
      <c r="F7435" s="103" t="str">
        <f aca="false">IF($C7435="","",$D7435*$E7435)</f>
        <v/>
      </c>
      <c r="G7435" s="103" t="str">
        <f aca="false">IF($C7435="","",$D7435*IFERROR(INDEX('تحليل التكلفة والسعر'!$C$2:$C$700,MATCH($C7435,'تحليل التكلفة والسعر'!$B$2:$B$700,0)),0))</f>
        <v/>
      </c>
    </row>
    <row r="7436" customFormat="false" ht="15" hidden="false" customHeight="false" outlineLevel="0" collapsed="false">
      <c r="A7436" s="102"/>
      <c r="E7436" s="103" t="str">
        <f aca="false">IF($C7436="","",IFERROR(INDEX(المنيو!$C$2:$C$500,MATCH($C7436,المنيو!$B$2:$B$500,0)),0))</f>
        <v/>
      </c>
      <c r="F7436" s="103" t="str">
        <f aca="false">IF($C7436="","",$D7436*$E7436)</f>
        <v/>
      </c>
      <c r="G7436" s="103" t="str">
        <f aca="false">IF($C7436="","",$D7436*IFERROR(INDEX('تحليل التكلفة والسعر'!$C$2:$C$700,MATCH($C7436,'تحليل التكلفة والسعر'!$B$2:$B$700,0)),0))</f>
        <v/>
      </c>
    </row>
    <row r="7437" customFormat="false" ht="15" hidden="false" customHeight="false" outlineLevel="0" collapsed="false">
      <c r="A7437" s="102"/>
      <c r="E7437" s="103" t="str">
        <f aca="false">IF($C7437="","",IFERROR(INDEX(المنيو!$C$2:$C$500,MATCH($C7437,المنيو!$B$2:$B$500,0)),0))</f>
        <v/>
      </c>
      <c r="F7437" s="103" t="str">
        <f aca="false">IF($C7437="","",$D7437*$E7437)</f>
        <v/>
      </c>
      <c r="G7437" s="103" t="str">
        <f aca="false">IF($C7437="","",$D7437*IFERROR(INDEX('تحليل التكلفة والسعر'!$C$2:$C$700,MATCH($C7437,'تحليل التكلفة والسعر'!$B$2:$B$700,0)),0))</f>
        <v/>
      </c>
    </row>
    <row r="7438" customFormat="false" ht="15" hidden="false" customHeight="false" outlineLevel="0" collapsed="false">
      <c r="A7438" s="102"/>
      <c r="E7438" s="103" t="str">
        <f aca="false">IF($C7438="","",IFERROR(INDEX(المنيو!$C$2:$C$500,MATCH($C7438,المنيو!$B$2:$B$500,0)),0))</f>
        <v/>
      </c>
      <c r="F7438" s="103" t="str">
        <f aca="false">IF($C7438="","",$D7438*$E7438)</f>
        <v/>
      </c>
      <c r="G7438" s="103" t="str">
        <f aca="false">IF($C7438="","",$D7438*IFERROR(INDEX('تحليل التكلفة والسعر'!$C$2:$C$700,MATCH($C7438,'تحليل التكلفة والسعر'!$B$2:$B$700,0)),0))</f>
        <v/>
      </c>
    </row>
    <row r="7439" customFormat="false" ht="15" hidden="false" customHeight="false" outlineLevel="0" collapsed="false">
      <c r="A7439" s="102"/>
      <c r="E7439" s="103" t="str">
        <f aca="false">IF($C7439="","",IFERROR(INDEX(المنيو!$C$2:$C$500,MATCH($C7439,المنيو!$B$2:$B$500,0)),0))</f>
        <v/>
      </c>
      <c r="F7439" s="103" t="str">
        <f aca="false">IF($C7439="","",$D7439*$E7439)</f>
        <v/>
      </c>
      <c r="G7439" s="103" t="str">
        <f aca="false">IF($C7439="","",$D7439*IFERROR(INDEX('تحليل التكلفة والسعر'!$C$2:$C$700,MATCH($C7439,'تحليل التكلفة والسعر'!$B$2:$B$700,0)),0))</f>
        <v/>
      </c>
    </row>
    <row r="7440" customFormat="false" ht="15" hidden="false" customHeight="false" outlineLevel="0" collapsed="false">
      <c r="A7440" s="102"/>
      <c r="E7440" s="103" t="str">
        <f aca="false">IF($C7440="","",IFERROR(INDEX(المنيو!$C$2:$C$500,MATCH($C7440,المنيو!$B$2:$B$500,0)),0))</f>
        <v/>
      </c>
      <c r="F7440" s="103" t="str">
        <f aca="false">IF($C7440="","",$D7440*$E7440)</f>
        <v/>
      </c>
      <c r="G7440" s="103" t="str">
        <f aca="false">IF($C7440="","",$D7440*IFERROR(INDEX('تحليل التكلفة والسعر'!$C$2:$C$700,MATCH($C7440,'تحليل التكلفة والسعر'!$B$2:$B$700,0)),0))</f>
        <v/>
      </c>
    </row>
    <row r="7441" customFormat="false" ht="15" hidden="false" customHeight="false" outlineLevel="0" collapsed="false">
      <c r="A7441" s="102"/>
      <c r="E7441" s="103" t="str">
        <f aca="false">IF($C7441="","",IFERROR(INDEX(المنيو!$C$2:$C$500,MATCH($C7441,المنيو!$B$2:$B$500,0)),0))</f>
        <v/>
      </c>
      <c r="F7441" s="103" t="str">
        <f aca="false">IF($C7441="","",$D7441*$E7441)</f>
        <v/>
      </c>
      <c r="G7441" s="103" t="str">
        <f aca="false">IF($C7441="","",$D7441*IFERROR(INDEX('تحليل التكلفة والسعر'!$C$2:$C$700,MATCH($C7441,'تحليل التكلفة والسعر'!$B$2:$B$700,0)),0))</f>
        <v/>
      </c>
    </row>
    <row r="7442" customFormat="false" ht="15" hidden="false" customHeight="false" outlineLevel="0" collapsed="false">
      <c r="A7442" s="102"/>
      <c r="E7442" s="103" t="str">
        <f aca="false">IF($C7442="","",IFERROR(INDEX(المنيو!$C$2:$C$500,MATCH($C7442,المنيو!$B$2:$B$500,0)),0))</f>
        <v/>
      </c>
      <c r="F7442" s="103" t="str">
        <f aca="false">IF($C7442="","",$D7442*$E7442)</f>
        <v/>
      </c>
      <c r="G7442" s="103" t="str">
        <f aca="false">IF($C7442="","",$D7442*IFERROR(INDEX('تحليل التكلفة والسعر'!$C$2:$C$700,MATCH($C7442,'تحليل التكلفة والسعر'!$B$2:$B$700,0)),0))</f>
        <v/>
      </c>
    </row>
    <row r="7443" customFormat="false" ht="15" hidden="false" customHeight="false" outlineLevel="0" collapsed="false">
      <c r="A7443" s="102"/>
      <c r="E7443" s="103" t="str">
        <f aca="false">IF($C7443="","",IFERROR(INDEX(المنيو!$C$2:$C$500,MATCH($C7443,المنيو!$B$2:$B$500,0)),0))</f>
        <v/>
      </c>
      <c r="F7443" s="103" t="str">
        <f aca="false">IF($C7443="","",$D7443*$E7443)</f>
        <v/>
      </c>
      <c r="G7443" s="103" t="str">
        <f aca="false">IF($C7443="","",$D7443*IFERROR(INDEX('تحليل التكلفة والسعر'!$C$2:$C$700,MATCH($C7443,'تحليل التكلفة والسعر'!$B$2:$B$700,0)),0))</f>
        <v/>
      </c>
    </row>
    <row r="7444" customFormat="false" ht="15" hidden="false" customHeight="false" outlineLevel="0" collapsed="false">
      <c r="A7444" s="102"/>
      <c r="E7444" s="103" t="str">
        <f aca="false">IF($C7444="","",IFERROR(INDEX(المنيو!$C$2:$C$500,MATCH($C7444,المنيو!$B$2:$B$500,0)),0))</f>
        <v/>
      </c>
      <c r="F7444" s="103" t="str">
        <f aca="false">IF($C7444="","",$D7444*$E7444)</f>
        <v/>
      </c>
      <c r="G7444" s="103" t="str">
        <f aca="false">IF($C7444="","",$D7444*IFERROR(INDEX('تحليل التكلفة والسعر'!$C$2:$C$700,MATCH($C7444,'تحليل التكلفة والسعر'!$B$2:$B$700,0)),0))</f>
        <v/>
      </c>
    </row>
    <row r="7445" customFormat="false" ht="15" hidden="false" customHeight="false" outlineLevel="0" collapsed="false">
      <c r="A7445" s="102"/>
      <c r="E7445" s="103" t="str">
        <f aca="false">IF($C7445="","",IFERROR(INDEX(المنيو!$C$2:$C$500,MATCH($C7445,المنيو!$B$2:$B$500,0)),0))</f>
        <v/>
      </c>
      <c r="F7445" s="103" t="str">
        <f aca="false">IF($C7445="","",$D7445*$E7445)</f>
        <v/>
      </c>
      <c r="G7445" s="103" t="str">
        <f aca="false">IF($C7445="","",$D7445*IFERROR(INDEX('تحليل التكلفة والسعر'!$C$2:$C$700,MATCH($C7445,'تحليل التكلفة والسعر'!$B$2:$B$700,0)),0))</f>
        <v/>
      </c>
    </row>
    <row r="7446" customFormat="false" ht="15" hidden="false" customHeight="false" outlineLevel="0" collapsed="false">
      <c r="A7446" s="102"/>
      <c r="E7446" s="103" t="str">
        <f aca="false">IF($C7446="","",IFERROR(INDEX(المنيو!$C$2:$C$500,MATCH($C7446,المنيو!$B$2:$B$500,0)),0))</f>
        <v/>
      </c>
      <c r="F7446" s="103" t="str">
        <f aca="false">IF($C7446="","",$D7446*$E7446)</f>
        <v/>
      </c>
      <c r="G7446" s="103" t="str">
        <f aca="false">IF($C7446="","",$D7446*IFERROR(INDEX('تحليل التكلفة والسعر'!$C$2:$C$700,MATCH($C7446,'تحليل التكلفة والسعر'!$B$2:$B$700,0)),0))</f>
        <v/>
      </c>
    </row>
    <row r="7447" customFormat="false" ht="15" hidden="false" customHeight="false" outlineLevel="0" collapsed="false">
      <c r="A7447" s="102"/>
      <c r="E7447" s="103" t="str">
        <f aca="false">IF($C7447="","",IFERROR(INDEX(المنيو!$C$2:$C$500,MATCH($C7447,المنيو!$B$2:$B$500,0)),0))</f>
        <v/>
      </c>
      <c r="F7447" s="103" t="str">
        <f aca="false">IF($C7447="","",$D7447*$E7447)</f>
        <v/>
      </c>
      <c r="G7447" s="103" t="str">
        <f aca="false">IF($C7447="","",$D7447*IFERROR(INDEX('تحليل التكلفة والسعر'!$C$2:$C$700,MATCH($C7447,'تحليل التكلفة والسعر'!$B$2:$B$700,0)),0))</f>
        <v/>
      </c>
    </row>
    <row r="7448" customFormat="false" ht="15" hidden="false" customHeight="false" outlineLevel="0" collapsed="false">
      <c r="A7448" s="102"/>
      <c r="E7448" s="103" t="str">
        <f aca="false">IF($C7448="","",IFERROR(INDEX(المنيو!$C$2:$C$500,MATCH($C7448,المنيو!$B$2:$B$500,0)),0))</f>
        <v/>
      </c>
      <c r="F7448" s="103" t="str">
        <f aca="false">IF($C7448="","",$D7448*$E7448)</f>
        <v/>
      </c>
      <c r="G7448" s="103" t="str">
        <f aca="false">IF($C7448="","",$D7448*IFERROR(INDEX('تحليل التكلفة والسعر'!$C$2:$C$700,MATCH($C7448,'تحليل التكلفة والسعر'!$B$2:$B$700,0)),0))</f>
        <v/>
      </c>
    </row>
    <row r="7449" customFormat="false" ht="15" hidden="false" customHeight="false" outlineLevel="0" collapsed="false">
      <c r="A7449" s="102"/>
      <c r="E7449" s="103" t="str">
        <f aca="false">IF($C7449="","",IFERROR(INDEX(المنيو!$C$2:$C$500,MATCH($C7449,المنيو!$B$2:$B$500,0)),0))</f>
        <v/>
      </c>
      <c r="F7449" s="103" t="str">
        <f aca="false">IF($C7449="","",$D7449*$E7449)</f>
        <v/>
      </c>
      <c r="G7449" s="103" t="str">
        <f aca="false">IF($C7449="","",$D7449*IFERROR(INDEX('تحليل التكلفة والسعر'!$C$2:$C$700,MATCH($C7449,'تحليل التكلفة والسعر'!$B$2:$B$700,0)),0))</f>
        <v/>
      </c>
    </row>
    <row r="7450" customFormat="false" ht="15" hidden="false" customHeight="false" outlineLevel="0" collapsed="false">
      <c r="A7450" s="102"/>
      <c r="E7450" s="103" t="str">
        <f aca="false">IF($C7450="","",IFERROR(INDEX(المنيو!$C$2:$C$500,MATCH($C7450,المنيو!$B$2:$B$500,0)),0))</f>
        <v/>
      </c>
      <c r="F7450" s="103" t="str">
        <f aca="false">IF($C7450="","",$D7450*$E7450)</f>
        <v/>
      </c>
      <c r="G7450" s="103" t="str">
        <f aca="false">IF($C7450="","",$D7450*IFERROR(INDEX('تحليل التكلفة والسعر'!$C$2:$C$700,MATCH($C7450,'تحليل التكلفة والسعر'!$B$2:$B$700,0)),0))</f>
        <v/>
      </c>
    </row>
    <row r="7451" customFormat="false" ht="15" hidden="false" customHeight="false" outlineLevel="0" collapsed="false">
      <c r="A7451" s="102"/>
      <c r="E7451" s="103" t="str">
        <f aca="false">IF($C7451="","",IFERROR(INDEX(المنيو!$C$2:$C$500,MATCH($C7451,المنيو!$B$2:$B$500,0)),0))</f>
        <v/>
      </c>
      <c r="F7451" s="103" t="str">
        <f aca="false">IF($C7451="","",$D7451*$E7451)</f>
        <v/>
      </c>
      <c r="G7451" s="103" t="str">
        <f aca="false">IF($C7451="","",$D7451*IFERROR(INDEX('تحليل التكلفة والسعر'!$C$2:$C$700,MATCH($C7451,'تحليل التكلفة والسعر'!$B$2:$B$700,0)),0))</f>
        <v/>
      </c>
    </row>
    <row r="7452" customFormat="false" ht="15" hidden="false" customHeight="false" outlineLevel="0" collapsed="false">
      <c r="A7452" s="102"/>
      <c r="E7452" s="103" t="str">
        <f aca="false">IF($C7452="","",IFERROR(INDEX(المنيو!$C$2:$C$500,MATCH($C7452,المنيو!$B$2:$B$500,0)),0))</f>
        <v/>
      </c>
      <c r="F7452" s="103" t="str">
        <f aca="false">IF($C7452="","",$D7452*$E7452)</f>
        <v/>
      </c>
      <c r="G7452" s="103" t="str">
        <f aca="false">IF($C7452="","",$D7452*IFERROR(INDEX('تحليل التكلفة والسعر'!$C$2:$C$700,MATCH($C7452,'تحليل التكلفة والسعر'!$B$2:$B$700,0)),0))</f>
        <v/>
      </c>
    </row>
    <row r="7453" customFormat="false" ht="15" hidden="false" customHeight="false" outlineLevel="0" collapsed="false">
      <c r="A7453" s="102"/>
      <c r="E7453" s="103" t="str">
        <f aca="false">IF($C7453="","",IFERROR(INDEX(المنيو!$C$2:$C$500,MATCH($C7453,المنيو!$B$2:$B$500,0)),0))</f>
        <v/>
      </c>
      <c r="F7453" s="103" t="str">
        <f aca="false">IF($C7453="","",$D7453*$E7453)</f>
        <v/>
      </c>
      <c r="G7453" s="103" t="str">
        <f aca="false">IF($C7453="","",$D7453*IFERROR(INDEX('تحليل التكلفة والسعر'!$C$2:$C$700,MATCH($C7453,'تحليل التكلفة والسعر'!$B$2:$B$700,0)),0))</f>
        <v/>
      </c>
    </row>
    <row r="7454" customFormat="false" ht="15" hidden="false" customHeight="false" outlineLevel="0" collapsed="false">
      <c r="A7454" s="102"/>
      <c r="E7454" s="103" t="str">
        <f aca="false">IF($C7454="","",IFERROR(INDEX(المنيو!$C$2:$C$500,MATCH($C7454,المنيو!$B$2:$B$500,0)),0))</f>
        <v/>
      </c>
      <c r="F7454" s="103" t="str">
        <f aca="false">IF($C7454="","",$D7454*$E7454)</f>
        <v/>
      </c>
      <c r="G7454" s="103" t="str">
        <f aca="false">IF($C7454="","",$D7454*IFERROR(INDEX('تحليل التكلفة والسعر'!$C$2:$C$700,MATCH($C7454,'تحليل التكلفة والسعر'!$B$2:$B$700,0)),0))</f>
        <v/>
      </c>
    </row>
    <row r="7455" customFormat="false" ht="15" hidden="false" customHeight="false" outlineLevel="0" collapsed="false">
      <c r="A7455" s="102"/>
      <c r="E7455" s="103" t="str">
        <f aca="false">IF($C7455="","",IFERROR(INDEX(المنيو!$C$2:$C$500,MATCH($C7455,المنيو!$B$2:$B$500,0)),0))</f>
        <v/>
      </c>
      <c r="F7455" s="103" t="str">
        <f aca="false">IF($C7455="","",$D7455*$E7455)</f>
        <v/>
      </c>
      <c r="G7455" s="103" t="str">
        <f aca="false">IF($C7455="","",$D7455*IFERROR(INDEX('تحليل التكلفة والسعر'!$C$2:$C$700,MATCH($C7455,'تحليل التكلفة والسعر'!$B$2:$B$700,0)),0))</f>
        <v/>
      </c>
    </row>
    <row r="7456" customFormat="false" ht="15" hidden="false" customHeight="false" outlineLevel="0" collapsed="false">
      <c r="A7456" s="102"/>
      <c r="E7456" s="103" t="str">
        <f aca="false">IF($C7456="","",IFERROR(INDEX(المنيو!$C$2:$C$500,MATCH($C7456,المنيو!$B$2:$B$500,0)),0))</f>
        <v/>
      </c>
      <c r="F7456" s="103" t="str">
        <f aca="false">IF($C7456="","",$D7456*$E7456)</f>
        <v/>
      </c>
      <c r="G7456" s="103" t="str">
        <f aca="false">IF($C7456="","",$D7456*IFERROR(INDEX('تحليل التكلفة والسعر'!$C$2:$C$700,MATCH($C7456,'تحليل التكلفة والسعر'!$B$2:$B$700,0)),0))</f>
        <v/>
      </c>
    </row>
    <row r="7457" customFormat="false" ht="15" hidden="false" customHeight="false" outlineLevel="0" collapsed="false">
      <c r="A7457" s="102"/>
      <c r="E7457" s="103" t="str">
        <f aca="false">IF($C7457="","",IFERROR(INDEX(المنيو!$C$2:$C$500,MATCH($C7457,المنيو!$B$2:$B$500,0)),0))</f>
        <v/>
      </c>
      <c r="F7457" s="103" t="str">
        <f aca="false">IF($C7457="","",$D7457*$E7457)</f>
        <v/>
      </c>
      <c r="G7457" s="103" t="str">
        <f aca="false">IF($C7457="","",$D7457*IFERROR(INDEX('تحليل التكلفة والسعر'!$C$2:$C$700,MATCH($C7457,'تحليل التكلفة والسعر'!$B$2:$B$700,0)),0))</f>
        <v/>
      </c>
    </row>
    <row r="7458" customFormat="false" ht="15" hidden="false" customHeight="false" outlineLevel="0" collapsed="false">
      <c r="A7458" s="102"/>
      <c r="E7458" s="103" t="str">
        <f aca="false">IF($C7458="","",IFERROR(INDEX(المنيو!$C$2:$C$500,MATCH($C7458,المنيو!$B$2:$B$500,0)),0))</f>
        <v/>
      </c>
      <c r="F7458" s="103" t="str">
        <f aca="false">IF($C7458="","",$D7458*$E7458)</f>
        <v/>
      </c>
      <c r="G7458" s="103" t="str">
        <f aca="false">IF($C7458="","",$D7458*IFERROR(INDEX('تحليل التكلفة والسعر'!$C$2:$C$700,MATCH($C7458,'تحليل التكلفة والسعر'!$B$2:$B$700,0)),0))</f>
        <v/>
      </c>
    </row>
    <row r="7459" customFormat="false" ht="15" hidden="false" customHeight="false" outlineLevel="0" collapsed="false">
      <c r="A7459" s="102"/>
      <c r="E7459" s="103" t="str">
        <f aca="false">IF($C7459="","",IFERROR(INDEX(المنيو!$C$2:$C$500,MATCH($C7459,المنيو!$B$2:$B$500,0)),0))</f>
        <v/>
      </c>
      <c r="F7459" s="103" t="str">
        <f aca="false">IF($C7459="","",$D7459*$E7459)</f>
        <v/>
      </c>
      <c r="G7459" s="103" t="str">
        <f aca="false">IF($C7459="","",$D7459*IFERROR(INDEX('تحليل التكلفة والسعر'!$C$2:$C$700,MATCH($C7459,'تحليل التكلفة والسعر'!$B$2:$B$700,0)),0))</f>
        <v/>
      </c>
    </row>
    <row r="7460" customFormat="false" ht="15" hidden="false" customHeight="false" outlineLevel="0" collapsed="false">
      <c r="A7460" s="102"/>
      <c r="E7460" s="103" t="str">
        <f aca="false">IF($C7460="","",IFERROR(INDEX(المنيو!$C$2:$C$500,MATCH($C7460,المنيو!$B$2:$B$500,0)),0))</f>
        <v/>
      </c>
      <c r="F7460" s="103" t="str">
        <f aca="false">IF($C7460="","",$D7460*$E7460)</f>
        <v/>
      </c>
      <c r="G7460" s="103" t="str">
        <f aca="false">IF($C7460="","",$D7460*IFERROR(INDEX('تحليل التكلفة والسعر'!$C$2:$C$700,MATCH($C7460,'تحليل التكلفة والسعر'!$B$2:$B$700,0)),0))</f>
        <v/>
      </c>
    </row>
    <row r="7461" customFormat="false" ht="15" hidden="false" customHeight="false" outlineLevel="0" collapsed="false">
      <c r="A7461" s="102"/>
      <c r="E7461" s="103" t="str">
        <f aca="false">IF($C7461="","",IFERROR(INDEX(المنيو!$C$2:$C$500,MATCH($C7461,المنيو!$B$2:$B$500,0)),0))</f>
        <v/>
      </c>
      <c r="F7461" s="103" t="str">
        <f aca="false">IF($C7461="","",$D7461*$E7461)</f>
        <v/>
      </c>
      <c r="G7461" s="103" t="str">
        <f aca="false">IF($C7461="","",$D7461*IFERROR(INDEX('تحليل التكلفة والسعر'!$C$2:$C$700,MATCH($C7461,'تحليل التكلفة والسعر'!$B$2:$B$700,0)),0))</f>
        <v/>
      </c>
    </row>
    <row r="7462" customFormat="false" ht="15" hidden="false" customHeight="false" outlineLevel="0" collapsed="false">
      <c r="A7462" s="102"/>
      <c r="E7462" s="103" t="str">
        <f aca="false">IF($C7462="","",IFERROR(INDEX(المنيو!$C$2:$C$500,MATCH($C7462,المنيو!$B$2:$B$500,0)),0))</f>
        <v/>
      </c>
      <c r="F7462" s="103" t="str">
        <f aca="false">IF($C7462="","",$D7462*$E7462)</f>
        <v/>
      </c>
      <c r="G7462" s="103" t="str">
        <f aca="false">IF($C7462="","",$D7462*IFERROR(INDEX('تحليل التكلفة والسعر'!$C$2:$C$700,MATCH($C7462,'تحليل التكلفة والسعر'!$B$2:$B$700,0)),0))</f>
        <v/>
      </c>
    </row>
    <row r="7463" customFormat="false" ht="15" hidden="false" customHeight="false" outlineLevel="0" collapsed="false">
      <c r="A7463" s="102"/>
      <c r="E7463" s="103" t="str">
        <f aca="false">IF($C7463="","",IFERROR(INDEX(المنيو!$C$2:$C$500,MATCH($C7463,المنيو!$B$2:$B$500,0)),0))</f>
        <v/>
      </c>
      <c r="F7463" s="103" t="str">
        <f aca="false">IF($C7463="","",$D7463*$E7463)</f>
        <v/>
      </c>
      <c r="G7463" s="103" t="str">
        <f aca="false">IF($C7463="","",$D7463*IFERROR(INDEX('تحليل التكلفة والسعر'!$C$2:$C$700,MATCH($C7463,'تحليل التكلفة والسعر'!$B$2:$B$700,0)),0))</f>
        <v/>
      </c>
    </row>
    <row r="7464" customFormat="false" ht="15" hidden="false" customHeight="false" outlineLevel="0" collapsed="false">
      <c r="A7464" s="102"/>
      <c r="E7464" s="103" t="str">
        <f aca="false">IF($C7464="","",IFERROR(INDEX(المنيو!$C$2:$C$500,MATCH($C7464,المنيو!$B$2:$B$500,0)),0))</f>
        <v/>
      </c>
      <c r="F7464" s="103" t="str">
        <f aca="false">IF($C7464="","",$D7464*$E7464)</f>
        <v/>
      </c>
      <c r="G7464" s="103" t="str">
        <f aca="false">IF($C7464="","",$D7464*IFERROR(INDEX('تحليل التكلفة والسعر'!$C$2:$C$700,MATCH($C7464,'تحليل التكلفة والسعر'!$B$2:$B$700,0)),0))</f>
        <v/>
      </c>
    </row>
    <row r="7465" customFormat="false" ht="15" hidden="false" customHeight="false" outlineLevel="0" collapsed="false">
      <c r="A7465" s="102"/>
      <c r="E7465" s="103" t="str">
        <f aca="false">IF($C7465="","",IFERROR(INDEX(المنيو!$C$2:$C$500,MATCH($C7465,المنيو!$B$2:$B$500,0)),0))</f>
        <v/>
      </c>
      <c r="F7465" s="103" t="str">
        <f aca="false">IF($C7465="","",$D7465*$E7465)</f>
        <v/>
      </c>
      <c r="G7465" s="103" t="str">
        <f aca="false">IF($C7465="","",$D7465*IFERROR(INDEX('تحليل التكلفة والسعر'!$C$2:$C$700,MATCH($C7465,'تحليل التكلفة والسعر'!$B$2:$B$700,0)),0))</f>
        <v/>
      </c>
    </row>
    <row r="7466" customFormat="false" ht="15" hidden="false" customHeight="false" outlineLevel="0" collapsed="false">
      <c r="A7466" s="102"/>
      <c r="E7466" s="103" t="str">
        <f aca="false">IF($C7466="","",IFERROR(INDEX(المنيو!$C$2:$C$500,MATCH($C7466,المنيو!$B$2:$B$500,0)),0))</f>
        <v/>
      </c>
      <c r="F7466" s="103" t="str">
        <f aca="false">IF($C7466="","",$D7466*$E7466)</f>
        <v/>
      </c>
      <c r="G7466" s="103" t="str">
        <f aca="false">IF($C7466="","",$D7466*IFERROR(INDEX('تحليل التكلفة والسعر'!$C$2:$C$700,MATCH($C7466,'تحليل التكلفة والسعر'!$B$2:$B$700,0)),0))</f>
        <v/>
      </c>
    </row>
    <row r="7467" customFormat="false" ht="15" hidden="false" customHeight="false" outlineLevel="0" collapsed="false">
      <c r="A7467" s="102"/>
      <c r="E7467" s="103" t="str">
        <f aca="false">IF($C7467="","",IFERROR(INDEX(المنيو!$C$2:$C$500,MATCH($C7467,المنيو!$B$2:$B$500,0)),0))</f>
        <v/>
      </c>
      <c r="F7467" s="103" t="str">
        <f aca="false">IF($C7467="","",$D7467*$E7467)</f>
        <v/>
      </c>
      <c r="G7467" s="103" t="str">
        <f aca="false">IF($C7467="","",$D7467*IFERROR(INDEX('تحليل التكلفة والسعر'!$C$2:$C$700,MATCH($C7467,'تحليل التكلفة والسعر'!$B$2:$B$700,0)),0))</f>
        <v/>
      </c>
    </row>
    <row r="7468" customFormat="false" ht="15" hidden="false" customHeight="false" outlineLevel="0" collapsed="false">
      <c r="A7468" s="102"/>
      <c r="E7468" s="103" t="str">
        <f aca="false">IF($C7468="","",IFERROR(INDEX(المنيو!$C$2:$C$500,MATCH($C7468,المنيو!$B$2:$B$500,0)),0))</f>
        <v/>
      </c>
      <c r="F7468" s="103" t="str">
        <f aca="false">IF($C7468="","",$D7468*$E7468)</f>
        <v/>
      </c>
      <c r="G7468" s="103" t="str">
        <f aca="false">IF($C7468="","",$D7468*IFERROR(INDEX('تحليل التكلفة والسعر'!$C$2:$C$700,MATCH($C7468,'تحليل التكلفة والسعر'!$B$2:$B$700,0)),0))</f>
        <v/>
      </c>
    </row>
    <row r="7469" customFormat="false" ht="15" hidden="false" customHeight="false" outlineLevel="0" collapsed="false">
      <c r="A7469" s="102"/>
      <c r="E7469" s="103" t="str">
        <f aca="false">IF($C7469="","",IFERROR(INDEX(المنيو!$C$2:$C$500,MATCH($C7469,المنيو!$B$2:$B$500,0)),0))</f>
        <v/>
      </c>
      <c r="F7469" s="103" t="str">
        <f aca="false">IF($C7469="","",$D7469*$E7469)</f>
        <v/>
      </c>
      <c r="G7469" s="103" t="str">
        <f aca="false">IF($C7469="","",$D7469*IFERROR(INDEX('تحليل التكلفة والسعر'!$C$2:$C$700,MATCH($C7469,'تحليل التكلفة والسعر'!$B$2:$B$700,0)),0))</f>
        <v/>
      </c>
    </row>
    <row r="7470" customFormat="false" ht="15" hidden="false" customHeight="false" outlineLevel="0" collapsed="false">
      <c r="A7470" s="102"/>
      <c r="E7470" s="103" t="str">
        <f aca="false">IF($C7470="","",IFERROR(INDEX(المنيو!$C$2:$C$500,MATCH($C7470,المنيو!$B$2:$B$500,0)),0))</f>
        <v/>
      </c>
      <c r="F7470" s="103" t="str">
        <f aca="false">IF($C7470="","",$D7470*$E7470)</f>
        <v/>
      </c>
      <c r="G7470" s="103" t="str">
        <f aca="false">IF($C7470="","",$D7470*IFERROR(INDEX('تحليل التكلفة والسعر'!$C$2:$C$700,MATCH($C7470,'تحليل التكلفة والسعر'!$B$2:$B$700,0)),0))</f>
        <v/>
      </c>
    </row>
    <row r="7471" customFormat="false" ht="15" hidden="false" customHeight="false" outlineLevel="0" collapsed="false">
      <c r="A7471" s="102"/>
      <c r="E7471" s="103" t="str">
        <f aca="false">IF($C7471="","",IFERROR(INDEX(المنيو!$C$2:$C$500,MATCH($C7471,المنيو!$B$2:$B$500,0)),0))</f>
        <v/>
      </c>
      <c r="F7471" s="103" t="str">
        <f aca="false">IF($C7471="","",$D7471*$E7471)</f>
        <v/>
      </c>
      <c r="G7471" s="103" t="str">
        <f aca="false">IF($C7471="","",$D7471*IFERROR(INDEX('تحليل التكلفة والسعر'!$C$2:$C$700,MATCH($C7471,'تحليل التكلفة والسعر'!$B$2:$B$700,0)),0))</f>
        <v/>
      </c>
    </row>
    <row r="7472" customFormat="false" ht="15" hidden="false" customHeight="false" outlineLevel="0" collapsed="false">
      <c r="A7472" s="102"/>
      <c r="E7472" s="103" t="str">
        <f aca="false">IF($C7472="","",IFERROR(INDEX(المنيو!$C$2:$C$500,MATCH($C7472,المنيو!$B$2:$B$500,0)),0))</f>
        <v/>
      </c>
      <c r="F7472" s="103" t="str">
        <f aca="false">IF($C7472="","",$D7472*$E7472)</f>
        <v/>
      </c>
      <c r="G7472" s="103" t="str">
        <f aca="false">IF($C7472="","",$D7472*IFERROR(INDEX('تحليل التكلفة والسعر'!$C$2:$C$700,MATCH($C7472,'تحليل التكلفة والسعر'!$B$2:$B$700,0)),0))</f>
        <v/>
      </c>
    </row>
    <row r="7473" customFormat="false" ht="15" hidden="false" customHeight="false" outlineLevel="0" collapsed="false">
      <c r="A7473" s="102"/>
      <c r="E7473" s="103" t="str">
        <f aca="false">IF($C7473="","",IFERROR(INDEX(المنيو!$C$2:$C$500,MATCH($C7473,المنيو!$B$2:$B$500,0)),0))</f>
        <v/>
      </c>
      <c r="F7473" s="103" t="str">
        <f aca="false">IF($C7473="","",$D7473*$E7473)</f>
        <v/>
      </c>
      <c r="G7473" s="103" t="str">
        <f aca="false">IF($C7473="","",$D7473*IFERROR(INDEX('تحليل التكلفة والسعر'!$C$2:$C$700,MATCH($C7473,'تحليل التكلفة والسعر'!$B$2:$B$700,0)),0))</f>
        <v/>
      </c>
    </row>
    <row r="7474" customFormat="false" ht="15" hidden="false" customHeight="false" outlineLevel="0" collapsed="false">
      <c r="A7474" s="102"/>
      <c r="E7474" s="103" t="str">
        <f aca="false">IF($C7474="","",IFERROR(INDEX(المنيو!$C$2:$C$500,MATCH($C7474,المنيو!$B$2:$B$500,0)),0))</f>
        <v/>
      </c>
      <c r="F7474" s="103" t="str">
        <f aca="false">IF($C7474="","",$D7474*$E7474)</f>
        <v/>
      </c>
      <c r="G7474" s="103" t="str">
        <f aca="false">IF($C7474="","",$D7474*IFERROR(INDEX('تحليل التكلفة والسعر'!$C$2:$C$700,MATCH($C7474,'تحليل التكلفة والسعر'!$B$2:$B$700,0)),0))</f>
        <v/>
      </c>
    </row>
    <row r="7475" customFormat="false" ht="15" hidden="false" customHeight="false" outlineLevel="0" collapsed="false">
      <c r="A7475" s="102"/>
      <c r="E7475" s="103" t="str">
        <f aca="false">IF($C7475="","",IFERROR(INDEX(المنيو!$C$2:$C$500,MATCH($C7475,المنيو!$B$2:$B$500,0)),0))</f>
        <v/>
      </c>
      <c r="F7475" s="103" t="str">
        <f aca="false">IF($C7475="","",$D7475*$E7475)</f>
        <v/>
      </c>
      <c r="G7475" s="103" t="str">
        <f aca="false">IF($C7475="","",$D7475*IFERROR(INDEX('تحليل التكلفة والسعر'!$C$2:$C$700,MATCH($C7475,'تحليل التكلفة والسعر'!$B$2:$B$700,0)),0))</f>
        <v/>
      </c>
    </row>
    <row r="7476" customFormat="false" ht="15" hidden="false" customHeight="false" outlineLevel="0" collapsed="false">
      <c r="A7476" s="102"/>
      <c r="E7476" s="103" t="str">
        <f aca="false">IF($C7476="","",IFERROR(INDEX(المنيو!$C$2:$C$500,MATCH($C7476,المنيو!$B$2:$B$500,0)),0))</f>
        <v/>
      </c>
      <c r="F7476" s="103" t="str">
        <f aca="false">IF($C7476="","",$D7476*$E7476)</f>
        <v/>
      </c>
      <c r="G7476" s="103" t="str">
        <f aca="false">IF($C7476="","",$D7476*IFERROR(INDEX('تحليل التكلفة والسعر'!$C$2:$C$700,MATCH($C7476,'تحليل التكلفة والسعر'!$B$2:$B$700,0)),0))</f>
        <v/>
      </c>
    </row>
    <row r="7477" customFormat="false" ht="15" hidden="false" customHeight="false" outlineLevel="0" collapsed="false">
      <c r="A7477" s="102"/>
      <c r="E7477" s="103" t="str">
        <f aca="false">IF($C7477="","",IFERROR(INDEX(المنيو!$C$2:$C$500,MATCH($C7477,المنيو!$B$2:$B$500,0)),0))</f>
        <v/>
      </c>
      <c r="F7477" s="103" t="str">
        <f aca="false">IF($C7477="","",$D7477*$E7477)</f>
        <v/>
      </c>
      <c r="G7477" s="103" t="str">
        <f aca="false">IF($C7477="","",$D7477*IFERROR(INDEX('تحليل التكلفة والسعر'!$C$2:$C$700,MATCH($C7477,'تحليل التكلفة والسعر'!$B$2:$B$700,0)),0))</f>
        <v/>
      </c>
    </row>
    <row r="7478" customFormat="false" ht="15" hidden="false" customHeight="false" outlineLevel="0" collapsed="false">
      <c r="A7478" s="102"/>
      <c r="E7478" s="103" t="str">
        <f aca="false">IF($C7478="","",IFERROR(INDEX(المنيو!$C$2:$C$500,MATCH($C7478,المنيو!$B$2:$B$500,0)),0))</f>
        <v/>
      </c>
      <c r="F7478" s="103" t="str">
        <f aca="false">IF($C7478="","",$D7478*$E7478)</f>
        <v/>
      </c>
      <c r="G7478" s="103" t="str">
        <f aca="false">IF($C7478="","",$D7478*IFERROR(INDEX('تحليل التكلفة والسعر'!$C$2:$C$700,MATCH($C7478,'تحليل التكلفة والسعر'!$B$2:$B$700,0)),0))</f>
        <v/>
      </c>
    </row>
    <row r="7479" customFormat="false" ht="15" hidden="false" customHeight="false" outlineLevel="0" collapsed="false">
      <c r="A7479" s="102"/>
      <c r="E7479" s="103" t="str">
        <f aca="false">IF($C7479="","",IFERROR(INDEX(المنيو!$C$2:$C$500,MATCH($C7479,المنيو!$B$2:$B$500,0)),0))</f>
        <v/>
      </c>
      <c r="F7479" s="103" t="str">
        <f aca="false">IF($C7479="","",$D7479*$E7479)</f>
        <v/>
      </c>
      <c r="G7479" s="103" t="str">
        <f aca="false">IF($C7479="","",$D7479*IFERROR(INDEX('تحليل التكلفة والسعر'!$C$2:$C$700,MATCH($C7479,'تحليل التكلفة والسعر'!$B$2:$B$700,0)),0))</f>
        <v/>
      </c>
    </row>
    <row r="7480" customFormat="false" ht="15" hidden="false" customHeight="false" outlineLevel="0" collapsed="false">
      <c r="A7480" s="102"/>
      <c r="E7480" s="103" t="str">
        <f aca="false">IF($C7480="","",IFERROR(INDEX(المنيو!$C$2:$C$500,MATCH($C7480,المنيو!$B$2:$B$500,0)),0))</f>
        <v/>
      </c>
      <c r="F7480" s="103" t="str">
        <f aca="false">IF($C7480="","",$D7480*$E7480)</f>
        <v/>
      </c>
      <c r="G7480" s="103" t="str">
        <f aca="false">IF($C7480="","",$D7480*IFERROR(INDEX('تحليل التكلفة والسعر'!$C$2:$C$700,MATCH($C7480,'تحليل التكلفة والسعر'!$B$2:$B$700,0)),0))</f>
        <v/>
      </c>
    </row>
    <row r="7481" customFormat="false" ht="15" hidden="false" customHeight="false" outlineLevel="0" collapsed="false">
      <c r="A7481" s="102"/>
      <c r="E7481" s="103" t="str">
        <f aca="false">IF($C7481="","",IFERROR(INDEX(المنيو!$C$2:$C$500,MATCH($C7481,المنيو!$B$2:$B$500,0)),0))</f>
        <v/>
      </c>
      <c r="F7481" s="103" t="str">
        <f aca="false">IF($C7481="","",$D7481*$E7481)</f>
        <v/>
      </c>
      <c r="G7481" s="103" t="str">
        <f aca="false">IF($C7481="","",$D7481*IFERROR(INDEX('تحليل التكلفة والسعر'!$C$2:$C$700,MATCH($C7481,'تحليل التكلفة والسعر'!$B$2:$B$700,0)),0))</f>
        <v/>
      </c>
    </row>
    <row r="7482" customFormat="false" ht="15" hidden="false" customHeight="false" outlineLevel="0" collapsed="false">
      <c r="A7482" s="102"/>
      <c r="E7482" s="103" t="str">
        <f aca="false">IF($C7482="","",IFERROR(INDEX(المنيو!$C$2:$C$500,MATCH($C7482,المنيو!$B$2:$B$500,0)),0))</f>
        <v/>
      </c>
      <c r="F7482" s="103" t="str">
        <f aca="false">IF($C7482="","",$D7482*$E7482)</f>
        <v/>
      </c>
      <c r="G7482" s="103" t="str">
        <f aca="false">IF($C7482="","",$D7482*IFERROR(INDEX('تحليل التكلفة والسعر'!$C$2:$C$700,MATCH($C7482,'تحليل التكلفة والسعر'!$B$2:$B$700,0)),0))</f>
        <v/>
      </c>
    </row>
    <row r="7483" customFormat="false" ht="15" hidden="false" customHeight="false" outlineLevel="0" collapsed="false">
      <c r="A7483" s="102"/>
      <c r="E7483" s="103" t="str">
        <f aca="false">IF($C7483="","",IFERROR(INDEX(المنيو!$C$2:$C$500,MATCH($C7483,المنيو!$B$2:$B$500,0)),0))</f>
        <v/>
      </c>
      <c r="F7483" s="103" t="str">
        <f aca="false">IF($C7483="","",$D7483*$E7483)</f>
        <v/>
      </c>
      <c r="G7483" s="103" t="str">
        <f aca="false">IF($C7483="","",$D7483*IFERROR(INDEX('تحليل التكلفة والسعر'!$C$2:$C$700,MATCH($C7483,'تحليل التكلفة والسعر'!$B$2:$B$700,0)),0))</f>
        <v/>
      </c>
    </row>
    <row r="7484" customFormat="false" ht="15" hidden="false" customHeight="false" outlineLevel="0" collapsed="false">
      <c r="A7484" s="102"/>
      <c r="E7484" s="103" t="str">
        <f aca="false">IF($C7484="","",IFERROR(INDEX(المنيو!$C$2:$C$500,MATCH($C7484,المنيو!$B$2:$B$500,0)),0))</f>
        <v/>
      </c>
      <c r="F7484" s="103" t="str">
        <f aca="false">IF($C7484="","",$D7484*$E7484)</f>
        <v/>
      </c>
      <c r="G7484" s="103" t="str">
        <f aca="false">IF($C7484="","",$D7484*IFERROR(INDEX('تحليل التكلفة والسعر'!$C$2:$C$700,MATCH($C7484,'تحليل التكلفة والسعر'!$B$2:$B$700,0)),0))</f>
        <v/>
      </c>
    </row>
    <row r="7485" customFormat="false" ht="15" hidden="false" customHeight="false" outlineLevel="0" collapsed="false">
      <c r="A7485" s="102"/>
      <c r="E7485" s="103" t="str">
        <f aca="false">IF($C7485="","",IFERROR(INDEX(المنيو!$C$2:$C$500,MATCH($C7485,المنيو!$B$2:$B$500,0)),0))</f>
        <v/>
      </c>
      <c r="F7485" s="103" t="str">
        <f aca="false">IF($C7485="","",$D7485*$E7485)</f>
        <v/>
      </c>
      <c r="G7485" s="103" t="str">
        <f aca="false">IF($C7485="","",$D7485*IFERROR(INDEX('تحليل التكلفة والسعر'!$C$2:$C$700,MATCH($C7485,'تحليل التكلفة والسعر'!$B$2:$B$700,0)),0))</f>
        <v/>
      </c>
    </row>
    <row r="7486" customFormat="false" ht="15" hidden="false" customHeight="false" outlineLevel="0" collapsed="false">
      <c r="A7486" s="102"/>
      <c r="E7486" s="103" t="str">
        <f aca="false">IF($C7486="","",IFERROR(INDEX(المنيو!$C$2:$C$500,MATCH($C7486,المنيو!$B$2:$B$500,0)),0))</f>
        <v/>
      </c>
      <c r="F7486" s="103" t="str">
        <f aca="false">IF($C7486="","",$D7486*$E7486)</f>
        <v/>
      </c>
      <c r="G7486" s="103" t="str">
        <f aca="false">IF($C7486="","",$D7486*IFERROR(INDEX('تحليل التكلفة والسعر'!$C$2:$C$700,MATCH($C7486,'تحليل التكلفة والسعر'!$B$2:$B$700,0)),0))</f>
        <v/>
      </c>
    </row>
    <row r="7487" customFormat="false" ht="15" hidden="false" customHeight="false" outlineLevel="0" collapsed="false">
      <c r="A7487" s="102"/>
      <c r="E7487" s="103" t="str">
        <f aca="false">IF($C7487="","",IFERROR(INDEX(المنيو!$C$2:$C$500,MATCH($C7487,المنيو!$B$2:$B$500,0)),0))</f>
        <v/>
      </c>
      <c r="F7487" s="103" t="str">
        <f aca="false">IF($C7487="","",$D7487*$E7487)</f>
        <v/>
      </c>
      <c r="G7487" s="103" t="str">
        <f aca="false">IF($C7487="","",$D7487*IFERROR(INDEX('تحليل التكلفة والسعر'!$C$2:$C$700,MATCH($C7487,'تحليل التكلفة والسعر'!$B$2:$B$700,0)),0))</f>
        <v/>
      </c>
    </row>
    <row r="7488" customFormat="false" ht="15" hidden="false" customHeight="false" outlineLevel="0" collapsed="false">
      <c r="A7488" s="102"/>
      <c r="E7488" s="103" t="str">
        <f aca="false">IF($C7488="","",IFERROR(INDEX(المنيو!$C$2:$C$500,MATCH($C7488,المنيو!$B$2:$B$500,0)),0))</f>
        <v/>
      </c>
      <c r="F7488" s="103" t="str">
        <f aca="false">IF($C7488="","",$D7488*$E7488)</f>
        <v/>
      </c>
      <c r="G7488" s="103" t="str">
        <f aca="false">IF($C7488="","",$D7488*IFERROR(INDEX('تحليل التكلفة والسعر'!$C$2:$C$700,MATCH($C7488,'تحليل التكلفة والسعر'!$B$2:$B$700,0)),0))</f>
        <v/>
      </c>
    </row>
    <row r="7489" customFormat="false" ht="15" hidden="false" customHeight="false" outlineLevel="0" collapsed="false">
      <c r="A7489" s="102"/>
      <c r="E7489" s="103" t="str">
        <f aca="false">IF($C7489="","",IFERROR(INDEX(المنيو!$C$2:$C$500,MATCH($C7489,المنيو!$B$2:$B$500,0)),0))</f>
        <v/>
      </c>
      <c r="F7489" s="103" t="str">
        <f aca="false">IF($C7489="","",$D7489*$E7489)</f>
        <v/>
      </c>
      <c r="G7489" s="103" t="str">
        <f aca="false">IF($C7489="","",$D7489*IFERROR(INDEX('تحليل التكلفة والسعر'!$C$2:$C$700,MATCH($C7489,'تحليل التكلفة والسعر'!$B$2:$B$700,0)),0))</f>
        <v/>
      </c>
    </row>
    <row r="7490" customFormat="false" ht="15" hidden="false" customHeight="false" outlineLevel="0" collapsed="false">
      <c r="A7490" s="102"/>
      <c r="E7490" s="103" t="str">
        <f aca="false">IF($C7490="","",IFERROR(INDEX(المنيو!$C$2:$C$500,MATCH($C7490,المنيو!$B$2:$B$500,0)),0))</f>
        <v/>
      </c>
      <c r="F7490" s="103" t="str">
        <f aca="false">IF($C7490="","",$D7490*$E7490)</f>
        <v/>
      </c>
      <c r="G7490" s="103" t="str">
        <f aca="false">IF($C7490="","",$D7490*IFERROR(INDEX('تحليل التكلفة والسعر'!$C$2:$C$700,MATCH($C7490,'تحليل التكلفة والسعر'!$B$2:$B$700,0)),0))</f>
        <v/>
      </c>
    </row>
    <row r="7491" customFormat="false" ht="15" hidden="false" customHeight="false" outlineLevel="0" collapsed="false">
      <c r="A7491" s="102"/>
      <c r="E7491" s="103" t="str">
        <f aca="false">IF($C7491="","",IFERROR(INDEX(المنيو!$C$2:$C$500,MATCH($C7491,المنيو!$B$2:$B$500,0)),0))</f>
        <v/>
      </c>
      <c r="F7491" s="103" t="str">
        <f aca="false">IF($C7491="","",$D7491*$E7491)</f>
        <v/>
      </c>
      <c r="G7491" s="103" t="str">
        <f aca="false">IF($C7491="","",$D7491*IFERROR(INDEX('تحليل التكلفة والسعر'!$C$2:$C$700,MATCH($C7491,'تحليل التكلفة والسعر'!$B$2:$B$700,0)),0))</f>
        <v/>
      </c>
    </row>
    <row r="7492" customFormat="false" ht="15" hidden="false" customHeight="false" outlineLevel="0" collapsed="false">
      <c r="A7492" s="102"/>
      <c r="E7492" s="103" t="str">
        <f aca="false">IF($C7492="","",IFERROR(INDEX(المنيو!$C$2:$C$500,MATCH($C7492,المنيو!$B$2:$B$500,0)),0))</f>
        <v/>
      </c>
      <c r="F7492" s="103" t="str">
        <f aca="false">IF($C7492="","",$D7492*$E7492)</f>
        <v/>
      </c>
      <c r="G7492" s="103" t="str">
        <f aca="false">IF($C7492="","",$D7492*IFERROR(INDEX('تحليل التكلفة والسعر'!$C$2:$C$700,MATCH($C7492,'تحليل التكلفة والسعر'!$B$2:$B$700,0)),0))</f>
        <v/>
      </c>
    </row>
    <row r="7493" customFormat="false" ht="15" hidden="false" customHeight="false" outlineLevel="0" collapsed="false">
      <c r="A7493" s="102"/>
      <c r="E7493" s="103" t="str">
        <f aca="false">IF($C7493="","",IFERROR(INDEX(المنيو!$C$2:$C$500,MATCH($C7493,المنيو!$B$2:$B$500,0)),0))</f>
        <v/>
      </c>
      <c r="F7493" s="103" t="str">
        <f aca="false">IF($C7493="","",$D7493*$E7493)</f>
        <v/>
      </c>
      <c r="G7493" s="103" t="str">
        <f aca="false">IF($C7493="","",$D7493*IFERROR(INDEX('تحليل التكلفة والسعر'!$C$2:$C$700,MATCH($C7493,'تحليل التكلفة والسعر'!$B$2:$B$700,0)),0))</f>
        <v/>
      </c>
    </row>
    <row r="7494" customFormat="false" ht="15" hidden="false" customHeight="false" outlineLevel="0" collapsed="false">
      <c r="A7494" s="102"/>
      <c r="E7494" s="103" t="str">
        <f aca="false">IF($C7494="","",IFERROR(INDEX(المنيو!$C$2:$C$500,MATCH($C7494,المنيو!$B$2:$B$500,0)),0))</f>
        <v/>
      </c>
      <c r="F7494" s="103" t="str">
        <f aca="false">IF($C7494="","",$D7494*$E7494)</f>
        <v/>
      </c>
      <c r="G7494" s="103" t="str">
        <f aca="false">IF($C7494="","",$D7494*IFERROR(INDEX('تحليل التكلفة والسعر'!$C$2:$C$700,MATCH($C7494,'تحليل التكلفة والسعر'!$B$2:$B$700,0)),0))</f>
        <v/>
      </c>
    </row>
    <row r="7495" customFormat="false" ht="15" hidden="false" customHeight="false" outlineLevel="0" collapsed="false">
      <c r="A7495" s="102"/>
      <c r="E7495" s="103" t="str">
        <f aca="false">IF($C7495="","",IFERROR(INDEX(المنيو!$C$2:$C$500,MATCH($C7495,المنيو!$B$2:$B$500,0)),0))</f>
        <v/>
      </c>
      <c r="F7495" s="103" t="str">
        <f aca="false">IF($C7495="","",$D7495*$E7495)</f>
        <v/>
      </c>
      <c r="G7495" s="103" t="str">
        <f aca="false">IF($C7495="","",$D7495*IFERROR(INDEX('تحليل التكلفة والسعر'!$C$2:$C$700,MATCH($C7495,'تحليل التكلفة والسعر'!$B$2:$B$700,0)),0))</f>
        <v/>
      </c>
    </row>
    <row r="7496" customFormat="false" ht="15" hidden="false" customHeight="false" outlineLevel="0" collapsed="false">
      <c r="A7496" s="102"/>
      <c r="E7496" s="103" t="str">
        <f aca="false">IF($C7496="","",IFERROR(INDEX(المنيو!$C$2:$C$500,MATCH($C7496,المنيو!$B$2:$B$500,0)),0))</f>
        <v/>
      </c>
      <c r="F7496" s="103" t="str">
        <f aca="false">IF($C7496="","",$D7496*$E7496)</f>
        <v/>
      </c>
      <c r="G7496" s="103" t="str">
        <f aca="false">IF($C7496="","",$D7496*IFERROR(INDEX('تحليل التكلفة والسعر'!$C$2:$C$700,MATCH($C7496,'تحليل التكلفة والسعر'!$B$2:$B$700,0)),0))</f>
        <v/>
      </c>
    </row>
    <row r="7497" customFormat="false" ht="15" hidden="false" customHeight="false" outlineLevel="0" collapsed="false">
      <c r="A7497" s="102"/>
      <c r="E7497" s="103" t="str">
        <f aca="false">IF($C7497="","",IFERROR(INDEX(المنيو!$C$2:$C$500,MATCH($C7497,المنيو!$B$2:$B$500,0)),0))</f>
        <v/>
      </c>
      <c r="F7497" s="103" t="str">
        <f aca="false">IF($C7497="","",$D7497*$E7497)</f>
        <v/>
      </c>
      <c r="G7497" s="103" t="str">
        <f aca="false">IF($C7497="","",$D7497*IFERROR(INDEX('تحليل التكلفة والسعر'!$C$2:$C$700,MATCH($C7497,'تحليل التكلفة والسعر'!$B$2:$B$700,0)),0))</f>
        <v/>
      </c>
    </row>
    <row r="7498" customFormat="false" ht="15" hidden="false" customHeight="false" outlineLevel="0" collapsed="false">
      <c r="A7498" s="102"/>
      <c r="E7498" s="103" t="str">
        <f aca="false">IF($C7498="","",IFERROR(INDEX(المنيو!$C$2:$C$500,MATCH($C7498,المنيو!$B$2:$B$500,0)),0))</f>
        <v/>
      </c>
      <c r="F7498" s="103" t="str">
        <f aca="false">IF($C7498="","",$D7498*$E7498)</f>
        <v/>
      </c>
      <c r="G7498" s="103" t="str">
        <f aca="false">IF($C7498="","",$D7498*IFERROR(INDEX('تحليل التكلفة والسعر'!$C$2:$C$700,MATCH($C7498,'تحليل التكلفة والسعر'!$B$2:$B$700,0)),0))</f>
        <v/>
      </c>
    </row>
    <row r="7499" customFormat="false" ht="15" hidden="false" customHeight="false" outlineLevel="0" collapsed="false">
      <c r="A7499" s="102"/>
      <c r="E7499" s="103" t="str">
        <f aca="false">IF($C7499="","",IFERROR(INDEX(المنيو!$C$2:$C$500,MATCH($C7499,المنيو!$B$2:$B$500,0)),0))</f>
        <v/>
      </c>
      <c r="F7499" s="103" t="str">
        <f aca="false">IF($C7499="","",$D7499*$E7499)</f>
        <v/>
      </c>
      <c r="G7499" s="103" t="str">
        <f aca="false">IF($C7499="","",$D7499*IFERROR(INDEX('تحليل التكلفة والسعر'!$C$2:$C$700,MATCH($C7499,'تحليل التكلفة والسعر'!$B$2:$B$700,0)),0))</f>
        <v/>
      </c>
    </row>
    <row r="7500" customFormat="false" ht="15" hidden="false" customHeight="false" outlineLevel="0" collapsed="false">
      <c r="A7500" s="102"/>
      <c r="E7500" s="103" t="str">
        <f aca="false">IF($C7500="","",IFERROR(INDEX(المنيو!$C$2:$C$500,MATCH($C7500,المنيو!$B$2:$B$500,0)),0))</f>
        <v/>
      </c>
      <c r="F7500" s="103" t="str">
        <f aca="false">IF($C7500="","",$D7500*$E7500)</f>
        <v/>
      </c>
      <c r="G7500" s="103" t="str">
        <f aca="false">IF($C7500="","",$D7500*IFERROR(INDEX('تحليل التكلفة والسعر'!$C$2:$C$700,MATCH($C7500,'تحليل التكلفة والسعر'!$B$2:$B$700,0)),0))</f>
        <v/>
      </c>
    </row>
    <row r="7501" customFormat="false" ht="15" hidden="false" customHeight="false" outlineLevel="0" collapsed="false">
      <c r="A7501" s="102"/>
      <c r="E7501" s="103" t="str">
        <f aca="false">IF($C7501="","",IFERROR(INDEX(المنيو!$C$2:$C$500,MATCH($C7501,المنيو!$B$2:$B$500,0)),0))</f>
        <v/>
      </c>
      <c r="F7501" s="103" t="str">
        <f aca="false">IF($C7501="","",$D7501*$E7501)</f>
        <v/>
      </c>
      <c r="G7501" s="103" t="str">
        <f aca="false">IF($C7501="","",$D7501*IFERROR(INDEX('تحليل التكلفة والسعر'!$C$2:$C$700,MATCH($C7501,'تحليل التكلفة والسعر'!$B$2:$B$700,0)),0))</f>
        <v/>
      </c>
    </row>
    <row r="7502" customFormat="false" ht="15" hidden="false" customHeight="false" outlineLevel="0" collapsed="false">
      <c r="A7502" s="102"/>
      <c r="E7502" s="103" t="str">
        <f aca="false">IF($C7502="","",IFERROR(INDEX(المنيو!$C$2:$C$500,MATCH($C7502,المنيو!$B$2:$B$500,0)),0))</f>
        <v/>
      </c>
      <c r="F7502" s="103" t="str">
        <f aca="false">IF($C7502="","",$D7502*$E7502)</f>
        <v/>
      </c>
      <c r="G7502" s="103" t="str">
        <f aca="false">IF($C7502="","",$D7502*IFERROR(INDEX('تحليل التكلفة والسعر'!$C$2:$C$700,MATCH($C7502,'تحليل التكلفة والسعر'!$B$2:$B$700,0)),0))</f>
        <v/>
      </c>
    </row>
    <row r="7503" customFormat="false" ht="15" hidden="false" customHeight="false" outlineLevel="0" collapsed="false">
      <c r="A7503" s="102"/>
      <c r="E7503" s="103" t="str">
        <f aca="false">IF($C7503="","",IFERROR(INDEX(المنيو!$C$2:$C$500,MATCH($C7503,المنيو!$B$2:$B$500,0)),0))</f>
        <v/>
      </c>
      <c r="F7503" s="103" t="str">
        <f aca="false">IF($C7503="","",$D7503*$E7503)</f>
        <v/>
      </c>
      <c r="G7503" s="103" t="str">
        <f aca="false">IF($C7503="","",$D7503*IFERROR(INDEX('تحليل التكلفة والسعر'!$C$2:$C$700,MATCH($C7503,'تحليل التكلفة والسعر'!$B$2:$B$700,0)),0))</f>
        <v/>
      </c>
    </row>
    <row r="7504" customFormat="false" ht="15" hidden="false" customHeight="false" outlineLevel="0" collapsed="false">
      <c r="A7504" s="102"/>
      <c r="E7504" s="103" t="str">
        <f aca="false">IF($C7504="","",IFERROR(INDEX(المنيو!$C$2:$C$500,MATCH($C7504,المنيو!$B$2:$B$500,0)),0))</f>
        <v/>
      </c>
      <c r="F7504" s="103" t="str">
        <f aca="false">IF($C7504="","",$D7504*$E7504)</f>
        <v/>
      </c>
      <c r="G7504" s="103" t="str">
        <f aca="false">IF($C7504="","",$D7504*IFERROR(INDEX('تحليل التكلفة والسعر'!$C$2:$C$700,MATCH($C7504,'تحليل التكلفة والسعر'!$B$2:$B$700,0)),0))</f>
        <v/>
      </c>
    </row>
    <row r="7505" customFormat="false" ht="15" hidden="false" customHeight="false" outlineLevel="0" collapsed="false">
      <c r="A7505" s="102"/>
      <c r="E7505" s="103" t="str">
        <f aca="false">IF($C7505="","",IFERROR(INDEX(المنيو!$C$2:$C$500,MATCH($C7505,المنيو!$B$2:$B$500,0)),0))</f>
        <v/>
      </c>
      <c r="F7505" s="103" t="str">
        <f aca="false">IF($C7505="","",$D7505*$E7505)</f>
        <v/>
      </c>
      <c r="G7505" s="103" t="str">
        <f aca="false">IF($C7505="","",$D7505*IFERROR(INDEX('تحليل التكلفة والسعر'!$C$2:$C$700,MATCH($C7505,'تحليل التكلفة والسعر'!$B$2:$B$700,0)),0))</f>
        <v/>
      </c>
    </row>
    <row r="7506" customFormat="false" ht="15" hidden="false" customHeight="false" outlineLevel="0" collapsed="false">
      <c r="A7506" s="102"/>
      <c r="E7506" s="103" t="str">
        <f aca="false">IF($C7506="","",IFERROR(INDEX(المنيو!$C$2:$C$500,MATCH($C7506,المنيو!$B$2:$B$500,0)),0))</f>
        <v/>
      </c>
      <c r="F7506" s="103" t="str">
        <f aca="false">IF($C7506="","",$D7506*$E7506)</f>
        <v/>
      </c>
      <c r="G7506" s="103" t="str">
        <f aca="false">IF($C7506="","",$D7506*IFERROR(INDEX('تحليل التكلفة والسعر'!$C$2:$C$700,MATCH($C7506,'تحليل التكلفة والسعر'!$B$2:$B$700,0)),0))</f>
        <v/>
      </c>
    </row>
    <row r="7507" customFormat="false" ht="15" hidden="false" customHeight="false" outlineLevel="0" collapsed="false">
      <c r="A7507" s="102"/>
      <c r="E7507" s="103" t="str">
        <f aca="false">IF($C7507="","",IFERROR(INDEX(المنيو!$C$2:$C$500,MATCH($C7507,المنيو!$B$2:$B$500,0)),0))</f>
        <v/>
      </c>
      <c r="F7507" s="103" t="str">
        <f aca="false">IF($C7507="","",$D7507*$E7507)</f>
        <v/>
      </c>
      <c r="G7507" s="103" t="str">
        <f aca="false">IF($C7507="","",$D7507*IFERROR(INDEX('تحليل التكلفة والسعر'!$C$2:$C$700,MATCH($C7507,'تحليل التكلفة والسعر'!$B$2:$B$700,0)),0))</f>
        <v/>
      </c>
    </row>
    <row r="7508" customFormat="false" ht="15" hidden="false" customHeight="false" outlineLevel="0" collapsed="false">
      <c r="A7508" s="102"/>
      <c r="E7508" s="103" t="str">
        <f aca="false">IF($C7508="","",IFERROR(INDEX(المنيو!$C$2:$C$500,MATCH($C7508,المنيو!$B$2:$B$500,0)),0))</f>
        <v/>
      </c>
      <c r="F7508" s="103" t="str">
        <f aca="false">IF($C7508="","",$D7508*$E7508)</f>
        <v/>
      </c>
      <c r="G7508" s="103" t="str">
        <f aca="false">IF($C7508="","",$D7508*IFERROR(INDEX('تحليل التكلفة والسعر'!$C$2:$C$700,MATCH($C7508,'تحليل التكلفة والسعر'!$B$2:$B$700,0)),0))</f>
        <v/>
      </c>
    </row>
    <row r="7509" customFormat="false" ht="15" hidden="false" customHeight="false" outlineLevel="0" collapsed="false">
      <c r="A7509" s="102"/>
      <c r="E7509" s="103" t="str">
        <f aca="false">IF($C7509="","",IFERROR(INDEX(المنيو!$C$2:$C$500,MATCH($C7509,المنيو!$B$2:$B$500,0)),0))</f>
        <v/>
      </c>
      <c r="F7509" s="103" t="str">
        <f aca="false">IF($C7509="","",$D7509*$E7509)</f>
        <v/>
      </c>
      <c r="G7509" s="103" t="str">
        <f aca="false">IF($C7509="","",$D7509*IFERROR(INDEX('تحليل التكلفة والسعر'!$C$2:$C$700,MATCH($C7509,'تحليل التكلفة والسعر'!$B$2:$B$700,0)),0))</f>
        <v/>
      </c>
    </row>
    <row r="7510" customFormat="false" ht="15" hidden="false" customHeight="false" outlineLevel="0" collapsed="false">
      <c r="A7510" s="102"/>
      <c r="E7510" s="103" t="str">
        <f aca="false">IF($C7510="","",IFERROR(INDEX(المنيو!$C$2:$C$500,MATCH($C7510,المنيو!$B$2:$B$500,0)),0))</f>
        <v/>
      </c>
      <c r="F7510" s="103" t="str">
        <f aca="false">IF($C7510="","",$D7510*$E7510)</f>
        <v/>
      </c>
      <c r="G7510" s="103" t="str">
        <f aca="false">IF($C7510="","",$D7510*IFERROR(INDEX('تحليل التكلفة والسعر'!$C$2:$C$700,MATCH($C7510,'تحليل التكلفة والسعر'!$B$2:$B$700,0)),0))</f>
        <v/>
      </c>
    </row>
    <row r="7511" customFormat="false" ht="15" hidden="false" customHeight="false" outlineLevel="0" collapsed="false">
      <c r="A7511" s="102"/>
      <c r="E7511" s="103" t="str">
        <f aca="false">IF($C7511="","",IFERROR(INDEX(المنيو!$C$2:$C$500,MATCH($C7511,المنيو!$B$2:$B$500,0)),0))</f>
        <v/>
      </c>
      <c r="F7511" s="103" t="str">
        <f aca="false">IF($C7511="","",$D7511*$E7511)</f>
        <v/>
      </c>
      <c r="G7511" s="103" t="str">
        <f aca="false">IF($C7511="","",$D7511*IFERROR(INDEX('تحليل التكلفة والسعر'!$C$2:$C$700,MATCH($C7511,'تحليل التكلفة والسعر'!$B$2:$B$700,0)),0))</f>
        <v/>
      </c>
    </row>
    <row r="7512" customFormat="false" ht="15" hidden="false" customHeight="false" outlineLevel="0" collapsed="false">
      <c r="A7512" s="102"/>
      <c r="E7512" s="103" t="str">
        <f aca="false">IF($C7512="","",IFERROR(INDEX(المنيو!$C$2:$C$500,MATCH($C7512,المنيو!$B$2:$B$500,0)),0))</f>
        <v/>
      </c>
      <c r="F7512" s="103" t="str">
        <f aca="false">IF($C7512="","",$D7512*$E7512)</f>
        <v/>
      </c>
      <c r="G7512" s="103" t="str">
        <f aca="false">IF($C7512="","",$D7512*IFERROR(INDEX('تحليل التكلفة والسعر'!$C$2:$C$700,MATCH($C7512,'تحليل التكلفة والسعر'!$B$2:$B$700,0)),0))</f>
        <v/>
      </c>
    </row>
    <row r="7513" customFormat="false" ht="15" hidden="false" customHeight="false" outlineLevel="0" collapsed="false">
      <c r="A7513" s="102"/>
      <c r="E7513" s="103" t="str">
        <f aca="false">IF($C7513="","",IFERROR(INDEX(المنيو!$C$2:$C$500,MATCH($C7513,المنيو!$B$2:$B$500,0)),0))</f>
        <v/>
      </c>
      <c r="F7513" s="103" t="str">
        <f aca="false">IF($C7513="","",$D7513*$E7513)</f>
        <v/>
      </c>
      <c r="G7513" s="103" t="str">
        <f aca="false">IF($C7513="","",$D7513*IFERROR(INDEX('تحليل التكلفة والسعر'!$C$2:$C$700,MATCH($C7513,'تحليل التكلفة والسعر'!$B$2:$B$700,0)),0))</f>
        <v/>
      </c>
    </row>
    <row r="7514" customFormat="false" ht="15" hidden="false" customHeight="false" outlineLevel="0" collapsed="false">
      <c r="A7514" s="102"/>
      <c r="E7514" s="103" t="str">
        <f aca="false">IF($C7514="","",IFERROR(INDEX(المنيو!$C$2:$C$500,MATCH($C7514,المنيو!$B$2:$B$500,0)),0))</f>
        <v/>
      </c>
      <c r="F7514" s="103" t="str">
        <f aca="false">IF($C7514="","",$D7514*$E7514)</f>
        <v/>
      </c>
      <c r="G7514" s="103" t="str">
        <f aca="false">IF($C7514="","",$D7514*IFERROR(INDEX('تحليل التكلفة والسعر'!$C$2:$C$700,MATCH($C7514,'تحليل التكلفة والسعر'!$B$2:$B$700,0)),0))</f>
        <v/>
      </c>
    </row>
    <row r="7515" customFormat="false" ht="15" hidden="false" customHeight="false" outlineLevel="0" collapsed="false">
      <c r="A7515" s="102"/>
      <c r="E7515" s="103" t="str">
        <f aca="false">IF($C7515="","",IFERROR(INDEX(المنيو!$C$2:$C$500,MATCH($C7515,المنيو!$B$2:$B$500,0)),0))</f>
        <v/>
      </c>
      <c r="F7515" s="103" t="str">
        <f aca="false">IF($C7515="","",$D7515*$E7515)</f>
        <v/>
      </c>
      <c r="G7515" s="103" t="str">
        <f aca="false">IF($C7515="","",$D7515*IFERROR(INDEX('تحليل التكلفة والسعر'!$C$2:$C$700,MATCH($C7515,'تحليل التكلفة والسعر'!$B$2:$B$700,0)),0))</f>
        <v/>
      </c>
    </row>
    <row r="7516" customFormat="false" ht="15" hidden="false" customHeight="false" outlineLevel="0" collapsed="false">
      <c r="A7516" s="102"/>
      <c r="E7516" s="103" t="str">
        <f aca="false">IF($C7516="","",IFERROR(INDEX(المنيو!$C$2:$C$500,MATCH($C7516,المنيو!$B$2:$B$500,0)),0))</f>
        <v/>
      </c>
      <c r="F7516" s="103" t="str">
        <f aca="false">IF($C7516="","",$D7516*$E7516)</f>
        <v/>
      </c>
      <c r="G7516" s="103" t="str">
        <f aca="false">IF($C7516="","",$D7516*IFERROR(INDEX('تحليل التكلفة والسعر'!$C$2:$C$700,MATCH($C7516,'تحليل التكلفة والسعر'!$B$2:$B$700,0)),0))</f>
        <v/>
      </c>
    </row>
    <row r="7517" customFormat="false" ht="15" hidden="false" customHeight="false" outlineLevel="0" collapsed="false">
      <c r="A7517" s="102"/>
      <c r="E7517" s="103" t="str">
        <f aca="false">IF($C7517="","",IFERROR(INDEX(المنيو!$C$2:$C$500,MATCH($C7517,المنيو!$B$2:$B$500,0)),0))</f>
        <v/>
      </c>
      <c r="F7517" s="103" t="str">
        <f aca="false">IF($C7517="","",$D7517*$E7517)</f>
        <v/>
      </c>
      <c r="G7517" s="103" t="str">
        <f aca="false">IF($C7517="","",$D7517*IFERROR(INDEX('تحليل التكلفة والسعر'!$C$2:$C$700,MATCH($C7517,'تحليل التكلفة والسعر'!$B$2:$B$700,0)),0))</f>
        <v/>
      </c>
    </row>
    <row r="7518" customFormat="false" ht="15" hidden="false" customHeight="false" outlineLevel="0" collapsed="false">
      <c r="A7518" s="102"/>
      <c r="E7518" s="103" t="str">
        <f aca="false">IF($C7518="","",IFERROR(INDEX(المنيو!$C$2:$C$500,MATCH($C7518,المنيو!$B$2:$B$500,0)),0))</f>
        <v/>
      </c>
      <c r="F7518" s="103" t="str">
        <f aca="false">IF($C7518="","",$D7518*$E7518)</f>
        <v/>
      </c>
      <c r="G7518" s="103" t="str">
        <f aca="false">IF($C7518="","",$D7518*IFERROR(INDEX('تحليل التكلفة والسعر'!$C$2:$C$700,MATCH($C7518,'تحليل التكلفة والسعر'!$B$2:$B$700,0)),0))</f>
        <v/>
      </c>
    </row>
    <row r="7519" customFormat="false" ht="15" hidden="false" customHeight="false" outlineLevel="0" collapsed="false">
      <c r="A7519" s="102"/>
      <c r="E7519" s="103" t="str">
        <f aca="false">IF($C7519="","",IFERROR(INDEX(المنيو!$C$2:$C$500,MATCH($C7519,المنيو!$B$2:$B$500,0)),0))</f>
        <v/>
      </c>
      <c r="F7519" s="103" t="str">
        <f aca="false">IF($C7519="","",$D7519*$E7519)</f>
        <v/>
      </c>
      <c r="G7519" s="103" t="str">
        <f aca="false">IF($C7519="","",$D7519*IFERROR(INDEX('تحليل التكلفة والسعر'!$C$2:$C$700,MATCH($C7519,'تحليل التكلفة والسعر'!$B$2:$B$700,0)),0))</f>
        <v/>
      </c>
    </row>
    <row r="7520" customFormat="false" ht="15" hidden="false" customHeight="false" outlineLevel="0" collapsed="false">
      <c r="A7520" s="102"/>
      <c r="E7520" s="103" t="str">
        <f aca="false">IF($C7520="","",IFERROR(INDEX(المنيو!$C$2:$C$500,MATCH($C7520,المنيو!$B$2:$B$500,0)),0))</f>
        <v/>
      </c>
      <c r="F7520" s="103" t="str">
        <f aca="false">IF($C7520="","",$D7520*$E7520)</f>
        <v/>
      </c>
      <c r="G7520" s="103" t="str">
        <f aca="false">IF($C7520="","",$D7520*IFERROR(INDEX('تحليل التكلفة والسعر'!$C$2:$C$700,MATCH($C7520,'تحليل التكلفة والسعر'!$B$2:$B$700,0)),0))</f>
        <v/>
      </c>
    </row>
    <row r="7521" customFormat="false" ht="15" hidden="false" customHeight="false" outlineLevel="0" collapsed="false">
      <c r="A7521" s="102"/>
      <c r="E7521" s="103" t="str">
        <f aca="false">IF($C7521="","",IFERROR(INDEX(المنيو!$C$2:$C$500,MATCH($C7521,المنيو!$B$2:$B$500,0)),0))</f>
        <v/>
      </c>
      <c r="F7521" s="103" t="str">
        <f aca="false">IF($C7521="","",$D7521*$E7521)</f>
        <v/>
      </c>
      <c r="G7521" s="103" t="str">
        <f aca="false">IF($C7521="","",$D7521*IFERROR(INDEX('تحليل التكلفة والسعر'!$C$2:$C$700,MATCH($C7521,'تحليل التكلفة والسعر'!$B$2:$B$700,0)),0))</f>
        <v/>
      </c>
    </row>
    <row r="7522" customFormat="false" ht="15" hidden="false" customHeight="false" outlineLevel="0" collapsed="false">
      <c r="A7522" s="102"/>
      <c r="E7522" s="103" t="str">
        <f aca="false">IF($C7522="","",IFERROR(INDEX(المنيو!$C$2:$C$500,MATCH($C7522,المنيو!$B$2:$B$500,0)),0))</f>
        <v/>
      </c>
      <c r="F7522" s="103" t="str">
        <f aca="false">IF($C7522="","",$D7522*$E7522)</f>
        <v/>
      </c>
      <c r="G7522" s="103" t="str">
        <f aca="false">IF($C7522="","",$D7522*IFERROR(INDEX('تحليل التكلفة والسعر'!$C$2:$C$700,MATCH($C7522,'تحليل التكلفة والسعر'!$B$2:$B$700,0)),0))</f>
        <v/>
      </c>
    </row>
    <row r="7523" customFormat="false" ht="15" hidden="false" customHeight="false" outlineLevel="0" collapsed="false">
      <c r="A7523" s="102"/>
      <c r="E7523" s="103" t="str">
        <f aca="false">IF($C7523="","",IFERROR(INDEX(المنيو!$C$2:$C$500,MATCH($C7523,المنيو!$B$2:$B$500,0)),0))</f>
        <v/>
      </c>
      <c r="F7523" s="103" t="str">
        <f aca="false">IF($C7523="","",$D7523*$E7523)</f>
        <v/>
      </c>
      <c r="G7523" s="103" t="str">
        <f aca="false">IF($C7523="","",$D7523*IFERROR(INDEX('تحليل التكلفة والسعر'!$C$2:$C$700,MATCH($C7523,'تحليل التكلفة والسعر'!$B$2:$B$700,0)),0))</f>
        <v/>
      </c>
    </row>
    <row r="7524" customFormat="false" ht="15" hidden="false" customHeight="false" outlineLevel="0" collapsed="false">
      <c r="A7524" s="102"/>
      <c r="E7524" s="103" t="str">
        <f aca="false">IF($C7524="","",IFERROR(INDEX(المنيو!$C$2:$C$500,MATCH($C7524,المنيو!$B$2:$B$500,0)),0))</f>
        <v/>
      </c>
      <c r="F7524" s="103" t="str">
        <f aca="false">IF($C7524="","",$D7524*$E7524)</f>
        <v/>
      </c>
      <c r="G7524" s="103" t="str">
        <f aca="false">IF($C7524="","",$D7524*IFERROR(INDEX('تحليل التكلفة والسعر'!$C$2:$C$700,MATCH($C7524,'تحليل التكلفة والسعر'!$B$2:$B$700,0)),0))</f>
        <v/>
      </c>
    </row>
    <row r="7525" customFormat="false" ht="15" hidden="false" customHeight="false" outlineLevel="0" collapsed="false">
      <c r="A7525" s="102"/>
      <c r="E7525" s="103" t="str">
        <f aca="false">IF($C7525="","",IFERROR(INDEX(المنيو!$C$2:$C$500,MATCH($C7525,المنيو!$B$2:$B$500,0)),0))</f>
        <v/>
      </c>
      <c r="F7525" s="103" t="str">
        <f aca="false">IF($C7525="","",$D7525*$E7525)</f>
        <v/>
      </c>
      <c r="G7525" s="103" t="str">
        <f aca="false">IF($C7525="","",$D7525*IFERROR(INDEX('تحليل التكلفة والسعر'!$C$2:$C$700,MATCH($C7525,'تحليل التكلفة والسعر'!$B$2:$B$700,0)),0))</f>
        <v/>
      </c>
    </row>
    <row r="7526" customFormat="false" ht="15" hidden="false" customHeight="false" outlineLevel="0" collapsed="false">
      <c r="A7526" s="102"/>
      <c r="E7526" s="103" t="str">
        <f aca="false">IF($C7526="","",IFERROR(INDEX(المنيو!$C$2:$C$500,MATCH($C7526,المنيو!$B$2:$B$500,0)),0))</f>
        <v/>
      </c>
      <c r="F7526" s="103" t="str">
        <f aca="false">IF($C7526="","",$D7526*$E7526)</f>
        <v/>
      </c>
      <c r="G7526" s="103" t="str">
        <f aca="false">IF($C7526="","",$D7526*IFERROR(INDEX('تحليل التكلفة والسعر'!$C$2:$C$700,MATCH($C7526,'تحليل التكلفة والسعر'!$B$2:$B$700,0)),0))</f>
        <v/>
      </c>
    </row>
    <row r="7527" customFormat="false" ht="15" hidden="false" customHeight="false" outlineLevel="0" collapsed="false">
      <c r="A7527" s="102"/>
      <c r="E7527" s="103" t="str">
        <f aca="false">IF($C7527="","",IFERROR(INDEX(المنيو!$C$2:$C$500,MATCH($C7527,المنيو!$B$2:$B$500,0)),0))</f>
        <v/>
      </c>
      <c r="F7527" s="103" t="str">
        <f aca="false">IF($C7527="","",$D7527*$E7527)</f>
        <v/>
      </c>
      <c r="G7527" s="103" t="str">
        <f aca="false">IF($C7527="","",$D7527*IFERROR(INDEX('تحليل التكلفة والسعر'!$C$2:$C$700,MATCH($C7527,'تحليل التكلفة والسعر'!$B$2:$B$700,0)),0))</f>
        <v/>
      </c>
    </row>
    <row r="7528" customFormat="false" ht="15" hidden="false" customHeight="false" outlineLevel="0" collapsed="false">
      <c r="A7528" s="102"/>
      <c r="E7528" s="103" t="str">
        <f aca="false">IF($C7528="","",IFERROR(INDEX(المنيو!$C$2:$C$500,MATCH($C7528,المنيو!$B$2:$B$500,0)),0))</f>
        <v/>
      </c>
      <c r="F7528" s="103" t="str">
        <f aca="false">IF($C7528="","",$D7528*$E7528)</f>
        <v/>
      </c>
      <c r="G7528" s="103" t="str">
        <f aca="false">IF($C7528="","",$D7528*IFERROR(INDEX('تحليل التكلفة والسعر'!$C$2:$C$700,MATCH($C7528,'تحليل التكلفة والسعر'!$B$2:$B$700,0)),0))</f>
        <v/>
      </c>
    </row>
    <row r="7529" customFormat="false" ht="15" hidden="false" customHeight="false" outlineLevel="0" collapsed="false">
      <c r="A7529" s="102"/>
      <c r="E7529" s="103" t="str">
        <f aca="false">IF($C7529="","",IFERROR(INDEX(المنيو!$C$2:$C$500,MATCH($C7529,المنيو!$B$2:$B$500,0)),0))</f>
        <v/>
      </c>
      <c r="F7529" s="103" t="str">
        <f aca="false">IF($C7529="","",$D7529*$E7529)</f>
        <v/>
      </c>
      <c r="G7529" s="103" t="str">
        <f aca="false">IF($C7529="","",$D7529*IFERROR(INDEX('تحليل التكلفة والسعر'!$C$2:$C$700,MATCH($C7529,'تحليل التكلفة والسعر'!$B$2:$B$700,0)),0))</f>
        <v/>
      </c>
    </row>
    <row r="7530" customFormat="false" ht="15" hidden="false" customHeight="false" outlineLevel="0" collapsed="false">
      <c r="A7530" s="102"/>
      <c r="E7530" s="103" t="str">
        <f aca="false">IF($C7530="","",IFERROR(INDEX(المنيو!$C$2:$C$500,MATCH($C7530,المنيو!$B$2:$B$500,0)),0))</f>
        <v/>
      </c>
      <c r="F7530" s="103" t="str">
        <f aca="false">IF($C7530="","",$D7530*$E7530)</f>
        <v/>
      </c>
      <c r="G7530" s="103" t="str">
        <f aca="false">IF($C7530="","",$D7530*IFERROR(INDEX('تحليل التكلفة والسعر'!$C$2:$C$700,MATCH($C7530,'تحليل التكلفة والسعر'!$B$2:$B$700,0)),0))</f>
        <v/>
      </c>
    </row>
    <row r="7531" customFormat="false" ht="15" hidden="false" customHeight="false" outlineLevel="0" collapsed="false">
      <c r="A7531" s="102"/>
      <c r="E7531" s="103" t="str">
        <f aca="false">IF($C7531="","",IFERROR(INDEX(المنيو!$C$2:$C$500,MATCH($C7531,المنيو!$B$2:$B$500,0)),0))</f>
        <v/>
      </c>
      <c r="F7531" s="103" t="str">
        <f aca="false">IF($C7531="","",$D7531*$E7531)</f>
        <v/>
      </c>
      <c r="G7531" s="103" t="str">
        <f aca="false">IF($C7531="","",$D7531*IFERROR(INDEX('تحليل التكلفة والسعر'!$C$2:$C$700,MATCH($C7531,'تحليل التكلفة والسعر'!$B$2:$B$700,0)),0))</f>
        <v/>
      </c>
    </row>
    <row r="7532" customFormat="false" ht="15" hidden="false" customHeight="false" outlineLevel="0" collapsed="false">
      <c r="A7532" s="102"/>
      <c r="E7532" s="103" t="str">
        <f aca="false">IF($C7532="","",IFERROR(INDEX(المنيو!$C$2:$C$500,MATCH($C7532,المنيو!$B$2:$B$500,0)),0))</f>
        <v/>
      </c>
      <c r="F7532" s="103" t="str">
        <f aca="false">IF($C7532="","",$D7532*$E7532)</f>
        <v/>
      </c>
      <c r="G7532" s="103" t="str">
        <f aca="false">IF($C7532="","",$D7532*IFERROR(INDEX('تحليل التكلفة والسعر'!$C$2:$C$700,MATCH($C7532,'تحليل التكلفة والسعر'!$B$2:$B$700,0)),0))</f>
        <v/>
      </c>
    </row>
    <row r="7533" customFormat="false" ht="15" hidden="false" customHeight="false" outlineLevel="0" collapsed="false">
      <c r="A7533" s="102"/>
      <c r="E7533" s="103" t="str">
        <f aca="false">IF($C7533="","",IFERROR(INDEX(المنيو!$C$2:$C$500,MATCH($C7533,المنيو!$B$2:$B$500,0)),0))</f>
        <v/>
      </c>
      <c r="F7533" s="103" t="str">
        <f aca="false">IF($C7533="","",$D7533*$E7533)</f>
        <v/>
      </c>
      <c r="G7533" s="103" t="str">
        <f aca="false">IF($C7533="","",$D7533*IFERROR(INDEX('تحليل التكلفة والسعر'!$C$2:$C$700,MATCH($C7533,'تحليل التكلفة والسعر'!$B$2:$B$700,0)),0))</f>
        <v/>
      </c>
    </row>
    <row r="7534" customFormat="false" ht="15" hidden="false" customHeight="false" outlineLevel="0" collapsed="false">
      <c r="A7534" s="102"/>
      <c r="E7534" s="103" t="str">
        <f aca="false">IF($C7534="","",IFERROR(INDEX(المنيو!$C$2:$C$500,MATCH($C7534,المنيو!$B$2:$B$500,0)),0))</f>
        <v/>
      </c>
      <c r="F7534" s="103" t="str">
        <f aca="false">IF($C7534="","",$D7534*$E7534)</f>
        <v/>
      </c>
      <c r="G7534" s="103" t="str">
        <f aca="false">IF($C7534="","",$D7534*IFERROR(INDEX('تحليل التكلفة والسعر'!$C$2:$C$700,MATCH($C7534,'تحليل التكلفة والسعر'!$B$2:$B$700,0)),0))</f>
        <v/>
      </c>
    </row>
    <row r="7535" customFormat="false" ht="15" hidden="false" customHeight="false" outlineLevel="0" collapsed="false">
      <c r="A7535" s="102"/>
      <c r="E7535" s="103" t="str">
        <f aca="false">IF($C7535="","",IFERROR(INDEX(المنيو!$C$2:$C$500,MATCH($C7535,المنيو!$B$2:$B$500,0)),0))</f>
        <v/>
      </c>
      <c r="F7535" s="103" t="str">
        <f aca="false">IF($C7535="","",$D7535*$E7535)</f>
        <v/>
      </c>
      <c r="G7535" s="103" t="str">
        <f aca="false">IF($C7535="","",$D7535*IFERROR(INDEX('تحليل التكلفة والسعر'!$C$2:$C$700,MATCH($C7535,'تحليل التكلفة والسعر'!$B$2:$B$700,0)),0))</f>
        <v/>
      </c>
    </row>
    <row r="7536" customFormat="false" ht="15" hidden="false" customHeight="false" outlineLevel="0" collapsed="false">
      <c r="A7536" s="102"/>
      <c r="E7536" s="103" t="str">
        <f aca="false">IF($C7536="","",IFERROR(INDEX(المنيو!$C$2:$C$500,MATCH($C7536,المنيو!$B$2:$B$500,0)),0))</f>
        <v/>
      </c>
      <c r="F7536" s="103" t="str">
        <f aca="false">IF($C7536="","",$D7536*$E7536)</f>
        <v/>
      </c>
      <c r="G7536" s="103" t="str">
        <f aca="false">IF($C7536="","",$D7536*IFERROR(INDEX('تحليل التكلفة والسعر'!$C$2:$C$700,MATCH($C7536,'تحليل التكلفة والسعر'!$B$2:$B$700,0)),0))</f>
        <v/>
      </c>
    </row>
    <row r="7537" customFormat="false" ht="15" hidden="false" customHeight="false" outlineLevel="0" collapsed="false">
      <c r="A7537" s="102"/>
      <c r="E7537" s="103" t="str">
        <f aca="false">IF($C7537="","",IFERROR(INDEX(المنيو!$C$2:$C$500,MATCH($C7537,المنيو!$B$2:$B$500,0)),0))</f>
        <v/>
      </c>
      <c r="F7537" s="103" t="str">
        <f aca="false">IF($C7537="","",$D7537*$E7537)</f>
        <v/>
      </c>
      <c r="G7537" s="103" t="str">
        <f aca="false">IF($C7537="","",$D7537*IFERROR(INDEX('تحليل التكلفة والسعر'!$C$2:$C$700,MATCH($C7537,'تحليل التكلفة والسعر'!$B$2:$B$700,0)),0))</f>
        <v/>
      </c>
    </row>
    <row r="7538" customFormat="false" ht="15" hidden="false" customHeight="false" outlineLevel="0" collapsed="false">
      <c r="A7538" s="102"/>
      <c r="E7538" s="103" t="str">
        <f aca="false">IF($C7538="","",IFERROR(INDEX(المنيو!$C$2:$C$500,MATCH($C7538,المنيو!$B$2:$B$500,0)),0))</f>
        <v/>
      </c>
      <c r="F7538" s="103" t="str">
        <f aca="false">IF($C7538="","",$D7538*$E7538)</f>
        <v/>
      </c>
      <c r="G7538" s="103" t="str">
        <f aca="false">IF($C7538="","",$D7538*IFERROR(INDEX('تحليل التكلفة والسعر'!$C$2:$C$700,MATCH($C7538,'تحليل التكلفة والسعر'!$B$2:$B$700,0)),0))</f>
        <v/>
      </c>
    </row>
    <row r="7539" customFormat="false" ht="15" hidden="false" customHeight="false" outlineLevel="0" collapsed="false">
      <c r="A7539" s="102"/>
      <c r="E7539" s="103" t="str">
        <f aca="false">IF($C7539="","",IFERROR(INDEX(المنيو!$C$2:$C$500,MATCH($C7539,المنيو!$B$2:$B$500,0)),0))</f>
        <v/>
      </c>
      <c r="F7539" s="103" t="str">
        <f aca="false">IF($C7539="","",$D7539*$E7539)</f>
        <v/>
      </c>
      <c r="G7539" s="103" t="str">
        <f aca="false">IF($C7539="","",$D7539*IFERROR(INDEX('تحليل التكلفة والسعر'!$C$2:$C$700,MATCH($C7539,'تحليل التكلفة والسعر'!$B$2:$B$700,0)),0))</f>
        <v/>
      </c>
    </row>
    <row r="7540" customFormat="false" ht="15" hidden="false" customHeight="false" outlineLevel="0" collapsed="false">
      <c r="A7540" s="102"/>
      <c r="E7540" s="103" t="str">
        <f aca="false">IF($C7540="","",IFERROR(INDEX(المنيو!$C$2:$C$500,MATCH($C7540,المنيو!$B$2:$B$500,0)),0))</f>
        <v/>
      </c>
      <c r="F7540" s="103" t="str">
        <f aca="false">IF($C7540="","",$D7540*$E7540)</f>
        <v/>
      </c>
      <c r="G7540" s="103" t="str">
        <f aca="false">IF($C7540="","",$D7540*IFERROR(INDEX('تحليل التكلفة والسعر'!$C$2:$C$700,MATCH($C7540,'تحليل التكلفة والسعر'!$B$2:$B$700,0)),0))</f>
        <v/>
      </c>
    </row>
    <row r="7541" customFormat="false" ht="15" hidden="false" customHeight="false" outlineLevel="0" collapsed="false">
      <c r="A7541" s="102"/>
      <c r="E7541" s="103" t="str">
        <f aca="false">IF($C7541="","",IFERROR(INDEX(المنيو!$C$2:$C$500,MATCH($C7541,المنيو!$B$2:$B$500,0)),0))</f>
        <v/>
      </c>
      <c r="F7541" s="103" t="str">
        <f aca="false">IF($C7541="","",$D7541*$E7541)</f>
        <v/>
      </c>
      <c r="G7541" s="103" t="str">
        <f aca="false">IF($C7541="","",$D7541*IFERROR(INDEX('تحليل التكلفة والسعر'!$C$2:$C$700,MATCH($C7541,'تحليل التكلفة والسعر'!$B$2:$B$700,0)),0))</f>
        <v/>
      </c>
    </row>
    <row r="7542" customFormat="false" ht="15" hidden="false" customHeight="false" outlineLevel="0" collapsed="false">
      <c r="A7542" s="102"/>
      <c r="E7542" s="103" t="str">
        <f aca="false">IF($C7542="","",IFERROR(INDEX(المنيو!$C$2:$C$500,MATCH($C7542,المنيو!$B$2:$B$500,0)),0))</f>
        <v/>
      </c>
      <c r="F7542" s="103" t="str">
        <f aca="false">IF($C7542="","",$D7542*$E7542)</f>
        <v/>
      </c>
      <c r="G7542" s="103" t="str">
        <f aca="false">IF($C7542="","",$D7542*IFERROR(INDEX('تحليل التكلفة والسعر'!$C$2:$C$700,MATCH($C7542,'تحليل التكلفة والسعر'!$B$2:$B$700,0)),0))</f>
        <v/>
      </c>
    </row>
    <row r="7543" customFormat="false" ht="15" hidden="false" customHeight="false" outlineLevel="0" collapsed="false">
      <c r="A7543" s="102"/>
      <c r="E7543" s="103" t="str">
        <f aca="false">IF($C7543="","",IFERROR(INDEX(المنيو!$C$2:$C$500,MATCH($C7543,المنيو!$B$2:$B$500,0)),0))</f>
        <v/>
      </c>
      <c r="F7543" s="103" t="str">
        <f aca="false">IF($C7543="","",$D7543*$E7543)</f>
        <v/>
      </c>
      <c r="G7543" s="103" t="str">
        <f aca="false">IF($C7543="","",$D7543*IFERROR(INDEX('تحليل التكلفة والسعر'!$C$2:$C$700,MATCH($C7543,'تحليل التكلفة والسعر'!$B$2:$B$700,0)),0))</f>
        <v/>
      </c>
    </row>
    <row r="7544" customFormat="false" ht="15" hidden="false" customHeight="false" outlineLevel="0" collapsed="false">
      <c r="A7544" s="102"/>
      <c r="E7544" s="103" t="str">
        <f aca="false">IF($C7544="","",IFERROR(INDEX(المنيو!$C$2:$C$500,MATCH($C7544,المنيو!$B$2:$B$500,0)),0))</f>
        <v/>
      </c>
      <c r="F7544" s="103" t="str">
        <f aca="false">IF($C7544="","",$D7544*$E7544)</f>
        <v/>
      </c>
      <c r="G7544" s="103" t="str">
        <f aca="false">IF($C7544="","",$D7544*IFERROR(INDEX('تحليل التكلفة والسعر'!$C$2:$C$700,MATCH($C7544,'تحليل التكلفة والسعر'!$B$2:$B$700,0)),0))</f>
        <v/>
      </c>
    </row>
    <row r="7545" customFormat="false" ht="15" hidden="false" customHeight="false" outlineLevel="0" collapsed="false">
      <c r="A7545" s="102"/>
      <c r="E7545" s="103" t="str">
        <f aca="false">IF($C7545="","",IFERROR(INDEX(المنيو!$C$2:$C$500,MATCH($C7545,المنيو!$B$2:$B$500,0)),0))</f>
        <v/>
      </c>
      <c r="F7545" s="103" t="str">
        <f aca="false">IF($C7545="","",$D7545*$E7545)</f>
        <v/>
      </c>
      <c r="G7545" s="103" t="str">
        <f aca="false">IF($C7545="","",$D7545*IFERROR(INDEX('تحليل التكلفة والسعر'!$C$2:$C$700,MATCH($C7545,'تحليل التكلفة والسعر'!$B$2:$B$700,0)),0))</f>
        <v/>
      </c>
    </row>
    <row r="7546" customFormat="false" ht="15" hidden="false" customHeight="false" outlineLevel="0" collapsed="false">
      <c r="A7546" s="102"/>
      <c r="E7546" s="103" t="str">
        <f aca="false">IF($C7546="","",IFERROR(INDEX(المنيو!$C$2:$C$500,MATCH($C7546,المنيو!$B$2:$B$500,0)),0))</f>
        <v/>
      </c>
      <c r="F7546" s="103" t="str">
        <f aca="false">IF($C7546="","",$D7546*$E7546)</f>
        <v/>
      </c>
      <c r="G7546" s="103" t="str">
        <f aca="false">IF($C7546="","",$D7546*IFERROR(INDEX('تحليل التكلفة والسعر'!$C$2:$C$700,MATCH($C7546,'تحليل التكلفة والسعر'!$B$2:$B$700,0)),0))</f>
        <v/>
      </c>
    </row>
    <row r="7547" customFormat="false" ht="15" hidden="false" customHeight="false" outlineLevel="0" collapsed="false">
      <c r="A7547" s="102"/>
      <c r="E7547" s="103" t="str">
        <f aca="false">IF($C7547="","",IFERROR(INDEX(المنيو!$C$2:$C$500,MATCH($C7547,المنيو!$B$2:$B$500,0)),0))</f>
        <v/>
      </c>
      <c r="F7547" s="103" t="str">
        <f aca="false">IF($C7547="","",$D7547*$E7547)</f>
        <v/>
      </c>
      <c r="G7547" s="103" t="str">
        <f aca="false">IF($C7547="","",$D7547*IFERROR(INDEX('تحليل التكلفة والسعر'!$C$2:$C$700,MATCH($C7547,'تحليل التكلفة والسعر'!$B$2:$B$700,0)),0))</f>
        <v/>
      </c>
    </row>
    <row r="7548" customFormat="false" ht="15" hidden="false" customHeight="false" outlineLevel="0" collapsed="false">
      <c r="A7548" s="102"/>
      <c r="E7548" s="103" t="str">
        <f aca="false">IF($C7548="","",IFERROR(INDEX(المنيو!$C$2:$C$500,MATCH($C7548,المنيو!$B$2:$B$500,0)),0))</f>
        <v/>
      </c>
      <c r="F7548" s="103" t="str">
        <f aca="false">IF($C7548="","",$D7548*$E7548)</f>
        <v/>
      </c>
      <c r="G7548" s="103" t="str">
        <f aca="false">IF($C7548="","",$D7548*IFERROR(INDEX('تحليل التكلفة والسعر'!$C$2:$C$700,MATCH($C7548,'تحليل التكلفة والسعر'!$B$2:$B$700,0)),0))</f>
        <v/>
      </c>
    </row>
    <row r="7549" customFormat="false" ht="15" hidden="false" customHeight="false" outlineLevel="0" collapsed="false">
      <c r="A7549" s="102"/>
      <c r="E7549" s="103" t="str">
        <f aca="false">IF($C7549="","",IFERROR(INDEX(المنيو!$C$2:$C$500,MATCH($C7549,المنيو!$B$2:$B$500,0)),0))</f>
        <v/>
      </c>
      <c r="F7549" s="103" t="str">
        <f aca="false">IF($C7549="","",$D7549*$E7549)</f>
        <v/>
      </c>
      <c r="G7549" s="103" t="str">
        <f aca="false">IF($C7549="","",$D7549*IFERROR(INDEX('تحليل التكلفة والسعر'!$C$2:$C$700,MATCH($C7549,'تحليل التكلفة والسعر'!$B$2:$B$700,0)),0))</f>
        <v/>
      </c>
    </row>
    <row r="7550" customFormat="false" ht="15" hidden="false" customHeight="false" outlineLevel="0" collapsed="false">
      <c r="A7550" s="102"/>
      <c r="E7550" s="103" t="str">
        <f aca="false">IF($C7550="","",IFERROR(INDEX(المنيو!$C$2:$C$500,MATCH($C7550,المنيو!$B$2:$B$500,0)),0))</f>
        <v/>
      </c>
      <c r="F7550" s="103" t="str">
        <f aca="false">IF($C7550="","",$D7550*$E7550)</f>
        <v/>
      </c>
      <c r="G7550" s="103" t="str">
        <f aca="false">IF($C7550="","",$D7550*IFERROR(INDEX('تحليل التكلفة والسعر'!$C$2:$C$700,MATCH($C7550,'تحليل التكلفة والسعر'!$B$2:$B$700,0)),0))</f>
        <v/>
      </c>
    </row>
    <row r="7551" customFormat="false" ht="15" hidden="false" customHeight="false" outlineLevel="0" collapsed="false">
      <c r="A7551" s="102"/>
      <c r="E7551" s="103" t="str">
        <f aca="false">IF($C7551="","",IFERROR(INDEX(المنيو!$C$2:$C$500,MATCH($C7551,المنيو!$B$2:$B$500,0)),0))</f>
        <v/>
      </c>
      <c r="F7551" s="103" t="str">
        <f aca="false">IF($C7551="","",$D7551*$E7551)</f>
        <v/>
      </c>
      <c r="G7551" s="103" t="str">
        <f aca="false">IF($C7551="","",$D7551*IFERROR(INDEX('تحليل التكلفة والسعر'!$C$2:$C$700,MATCH($C7551,'تحليل التكلفة والسعر'!$B$2:$B$700,0)),0))</f>
        <v/>
      </c>
    </row>
    <row r="7552" customFormat="false" ht="15" hidden="false" customHeight="false" outlineLevel="0" collapsed="false">
      <c r="A7552" s="102"/>
      <c r="E7552" s="103" t="str">
        <f aca="false">IF($C7552="","",IFERROR(INDEX(المنيو!$C$2:$C$500,MATCH($C7552,المنيو!$B$2:$B$500,0)),0))</f>
        <v/>
      </c>
      <c r="F7552" s="103" t="str">
        <f aca="false">IF($C7552="","",$D7552*$E7552)</f>
        <v/>
      </c>
      <c r="G7552" s="103" t="str">
        <f aca="false">IF($C7552="","",$D7552*IFERROR(INDEX('تحليل التكلفة والسعر'!$C$2:$C$700,MATCH($C7552,'تحليل التكلفة والسعر'!$B$2:$B$700,0)),0))</f>
        <v/>
      </c>
    </row>
    <row r="7553" customFormat="false" ht="15" hidden="false" customHeight="false" outlineLevel="0" collapsed="false">
      <c r="A7553" s="102"/>
      <c r="E7553" s="103" t="str">
        <f aca="false">IF($C7553="","",IFERROR(INDEX(المنيو!$C$2:$C$500,MATCH($C7553,المنيو!$B$2:$B$500,0)),0))</f>
        <v/>
      </c>
      <c r="F7553" s="103" t="str">
        <f aca="false">IF($C7553="","",$D7553*$E7553)</f>
        <v/>
      </c>
      <c r="G7553" s="103" t="str">
        <f aca="false">IF($C7553="","",$D7553*IFERROR(INDEX('تحليل التكلفة والسعر'!$C$2:$C$700,MATCH($C7553,'تحليل التكلفة والسعر'!$B$2:$B$700,0)),0))</f>
        <v/>
      </c>
    </row>
    <row r="7554" customFormat="false" ht="15" hidden="false" customHeight="false" outlineLevel="0" collapsed="false">
      <c r="A7554" s="102"/>
      <c r="E7554" s="103" t="str">
        <f aca="false">IF($C7554="","",IFERROR(INDEX(المنيو!$C$2:$C$500,MATCH($C7554,المنيو!$B$2:$B$500,0)),0))</f>
        <v/>
      </c>
      <c r="F7554" s="103" t="str">
        <f aca="false">IF($C7554="","",$D7554*$E7554)</f>
        <v/>
      </c>
      <c r="G7554" s="103" t="str">
        <f aca="false">IF($C7554="","",$D7554*IFERROR(INDEX('تحليل التكلفة والسعر'!$C$2:$C$700,MATCH($C7554,'تحليل التكلفة والسعر'!$B$2:$B$700,0)),0))</f>
        <v/>
      </c>
    </row>
    <row r="7555" customFormat="false" ht="15" hidden="false" customHeight="false" outlineLevel="0" collapsed="false">
      <c r="A7555" s="102"/>
      <c r="E7555" s="103" t="str">
        <f aca="false">IF($C7555="","",IFERROR(INDEX(المنيو!$C$2:$C$500,MATCH($C7555,المنيو!$B$2:$B$500,0)),0))</f>
        <v/>
      </c>
      <c r="F7555" s="103" t="str">
        <f aca="false">IF($C7555="","",$D7555*$E7555)</f>
        <v/>
      </c>
      <c r="G7555" s="103" t="str">
        <f aca="false">IF($C7555="","",$D7555*IFERROR(INDEX('تحليل التكلفة والسعر'!$C$2:$C$700,MATCH($C7555,'تحليل التكلفة والسعر'!$B$2:$B$700,0)),0))</f>
        <v/>
      </c>
    </row>
    <row r="7556" customFormat="false" ht="15" hidden="false" customHeight="false" outlineLevel="0" collapsed="false">
      <c r="A7556" s="102"/>
      <c r="E7556" s="103" t="str">
        <f aca="false">IF($C7556="","",IFERROR(INDEX(المنيو!$C$2:$C$500,MATCH($C7556,المنيو!$B$2:$B$500,0)),0))</f>
        <v/>
      </c>
      <c r="F7556" s="103" t="str">
        <f aca="false">IF($C7556="","",$D7556*$E7556)</f>
        <v/>
      </c>
      <c r="G7556" s="103" t="str">
        <f aca="false">IF($C7556="","",$D7556*IFERROR(INDEX('تحليل التكلفة والسعر'!$C$2:$C$700,MATCH($C7556,'تحليل التكلفة والسعر'!$B$2:$B$700,0)),0))</f>
        <v/>
      </c>
    </row>
    <row r="7557" customFormat="false" ht="15" hidden="false" customHeight="false" outlineLevel="0" collapsed="false">
      <c r="A7557" s="102"/>
      <c r="E7557" s="103" t="str">
        <f aca="false">IF($C7557="","",IFERROR(INDEX(المنيو!$C$2:$C$500,MATCH($C7557,المنيو!$B$2:$B$500,0)),0))</f>
        <v/>
      </c>
      <c r="F7557" s="103" t="str">
        <f aca="false">IF($C7557="","",$D7557*$E7557)</f>
        <v/>
      </c>
      <c r="G7557" s="103" t="str">
        <f aca="false">IF($C7557="","",$D7557*IFERROR(INDEX('تحليل التكلفة والسعر'!$C$2:$C$700,MATCH($C7557,'تحليل التكلفة والسعر'!$B$2:$B$700,0)),0))</f>
        <v/>
      </c>
    </row>
    <row r="7558" customFormat="false" ht="15" hidden="false" customHeight="false" outlineLevel="0" collapsed="false">
      <c r="A7558" s="102"/>
      <c r="E7558" s="103" t="str">
        <f aca="false">IF($C7558="","",IFERROR(INDEX(المنيو!$C$2:$C$500,MATCH($C7558,المنيو!$B$2:$B$500,0)),0))</f>
        <v/>
      </c>
      <c r="F7558" s="103" t="str">
        <f aca="false">IF($C7558="","",$D7558*$E7558)</f>
        <v/>
      </c>
      <c r="G7558" s="103" t="str">
        <f aca="false">IF($C7558="","",$D7558*IFERROR(INDEX('تحليل التكلفة والسعر'!$C$2:$C$700,MATCH($C7558,'تحليل التكلفة والسعر'!$B$2:$B$700,0)),0))</f>
        <v/>
      </c>
    </row>
    <row r="7559" customFormat="false" ht="15" hidden="false" customHeight="false" outlineLevel="0" collapsed="false">
      <c r="A7559" s="102"/>
      <c r="E7559" s="103" t="str">
        <f aca="false">IF($C7559="","",IFERROR(INDEX(المنيو!$C$2:$C$500,MATCH($C7559,المنيو!$B$2:$B$500,0)),0))</f>
        <v/>
      </c>
      <c r="F7559" s="103" t="str">
        <f aca="false">IF($C7559="","",$D7559*$E7559)</f>
        <v/>
      </c>
      <c r="G7559" s="103" t="str">
        <f aca="false">IF($C7559="","",$D7559*IFERROR(INDEX('تحليل التكلفة والسعر'!$C$2:$C$700,MATCH($C7559,'تحليل التكلفة والسعر'!$B$2:$B$700,0)),0))</f>
        <v/>
      </c>
    </row>
    <row r="7560" customFormat="false" ht="15" hidden="false" customHeight="false" outlineLevel="0" collapsed="false">
      <c r="A7560" s="102"/>
      <c r="E7560" s="103" t="str">
        <f aca="false">IF($C7560="","",IFERROR(INDEX(المنيو!$C$2:$C$500,MATCH($C7560,المنيو!$B$2:$B$500,0)),0))</f>
        <v/>
      </c>
      <c r="F7560" s="103" t="str">
        <f aca="false">IF($C7560="","",$D7560*$E7560)</f>
        <v/>
      </c>
      <c r="G7560" s="103" t="str">
        <f aca="false">IF($C7560="","",$D7560*IFERROR(INDEX('تحليل التكلفة والسعر'!$C$2:$C$700,MATCH($C7560,'تحليل التكلفة والسعر'!$B$2:$B$700,0)),0))</f>
        <v/>
      </c>
    </row>
    <row r="7561" customFormat="false" ht="15" hidden="false" customHeight="false" outlineLevel="0" collapsed="false">
      <c r="A7561" s="102"/>
      <c r="E7561" s="103" t="str">
        <f aca="false">IF($C7561="","",IFERROR(INDEX(المنيو!$C$2:$C$500,MATCH($C7561,المنيو!$B$2:$B$500,0)),0))</f>
        <v/>
      </c>
      <c r="F7561" s="103" t="str">
        <f aca="false">IF($C7561="","",$D7561*$E7561)</f>
        <v/>
      </c>
      <c r="G7561" s="103" t="str">
        <f aca="false">IF($C7561="","",$D7561*IFERROR(INDEX('تحليل التكلفة والسعر'!$C$2:$C$700,MATCH($C7561,'تحليل التكلفة والسعر'!$B$2:$B$700,0)),0))</f>
        <v/>
      </c>
    </row>
    <row r="7562" customFormat="false" ht="15" hidden="false" customHeight="false" outlineLevel="0" collapsed="false">
      <c r="A7562" s="102"/>
      <c r="E7562" s="103" t="str">
        <f aca="false">IF($C7562="","",IFERROR(INDEX(المنيو!$C$2:$C$500,MATCH($C7562,المنيو!$B$2:$B$500,0)),0))</f>
        <v/>
      </c>
      <c r="F7562" s="103" t="str">
        <f aca="false">IF($C7562="","",$D7562*$E7562)</f>
        <v/>
      </c>
      <c r="G7562" s="103" t="str">
        <f aca="false">IF($C7562="","",$D7562*IFERROR(INDEX('تحليل التكلفة والسعر'!$C$2:$C$700,MATCH($C7562,'تحليل التكلفة والسعر'!$B$2:$B$700,0)),0))</f>
        <v/>
      </c>
    </row>
    <row r="7563" customFormat="false" ht="15" hidden="false" customHeight="false" outlineLevel="0" collapsed="false">
      <c r="A7563" s="102"/>
      <c r="E7563" s="103" t="str">
        <f aca="false">IF($C7563="","",IFERROR(INDEX(المنيو!$C$2:$C$500,MATCH($C7563,المنيو!$B$2:$B$500,0)),0))</f>
        <v/>
      </c>
      <c r="F7563" s="103" t="str">
        <f aca="false">IF($C7563="","",$D7563*$E7563)</f>
        <v/>
      </c>
      <c r="G7563" s="103" t="str">
        <f aca="false">IF($C7563="","",$D7563*IFERROR(INDEX('تحليل التكلفة والسعر'!$C$2:$C$700,MATCH($C7563,'تحليل التكلفة والسعر'!$B$2:$B$700,0)),0))</f>
        <v/>
      </c>
    </row>
    <row r="7564" customFormat="false" ht="15" hidden="false" customHeight="false" outlineLevel="0" collapsed="false">
      <c r="A7564" s="102"/>
      <c r="E7564" s="103" t="str">
        <f aca="false">IF($C7564="","",IFERROR(INDEX(المنيو!$C$2:$C$500,MATCH($C7564,المنيو!$B$2:$B$500,0)),0))</f>
        <v/>
      </c>
      <c r="F7564" s="103" t="str">
        <f aca="false">IF($C7564="","",$D7564*$E7564)</f>
        <v/>
      </c>
      <c r="G7564" s="103" t="str">
        <f aca="false">IF($C7564="","",$D7564*IFERROR(INDEX('تحليل التكلفة والسعر'!$C$2:$C$700,MATCH($C7564,'تحليل التكلفة والسعر'!$B$2:$B$700,0)),0))</f>
        <v/>
      </c>
    </row>
    <row r="7565" customFormat="false" ht="15" hidden="false" customHeight="false" outlineLevel="0" collapsed="false">
      <c r="A7565" s="102"/>
      <c r="E7565" s="103" t="str">
        <f aca="false">IF($C7565="","",IFERROR(INDEX(المنيو!$C$2:$C$500,MATCH($C7565,المنيو!$B$2:$B$500,0)),0))</f>
        <v/>
      </c>
      <c r="F7565" s="103" t="str">
        <f aca="false">IF($C7565="","",$D7565*$E7565)</f>
        <v/>
      </c>
      <c r="G7565" s="103" t="str">
        <f aca="false">IF($C7565="","",$D7565*IFERROR(INDEX('تحليل التكلفة والسعر'!$C$2:$C$700,MATCH($C7565,'تحليل التكلفة والسعر'!$B$2:$B$700,0)),0))</f>
        <v/>
      </c>
    </row>
    <row r="7566" customFormat="false" ht="15" hidden="false" customHeight="false" outlineLevel="0" collapsed="false">
      <c r="A7566" s="102"/>
      <c r="E7566" s="103" t="str">
        <f aca="false">IF($C7566="","",IFERROR(INDEX(المنيو!$C$2:$C$500,MATCH($C7566,المنيو!$B$2:$B$500,0)),0))</f>
        <v/>
      </c>
      <c r="F7566" s="103" t="str">
        <f aca="false">IF($C7566="","",$D7566*$E7566)</f>
        <v/>
      </c>
      <c r="G7566" s="103" t="str">
        <f aca="false">IF($C7566="","",$D7566*IFERROR(INDEX('تحليل التكلفة والسعر'!$C$2:$C$700,MATCH($C7566,'تحليل التكلفة والسعر'!$B$2:$B$700,0)),0))</f>
        <v/>
      </c>
    </row>
    <row r="7567" customFormat="false" ht="15" hidden="false" customHeight="false" outlineLevel="0" collapsed="false">
      <c r="A7567" s="102"/>
      <c r="E7567" s="103" t="str">
        <f aca="false">IF($C7567="","",IFERROR(INDEX(المنيو!$C$2:$C$500,MATCH($C7567,المنيو!$B$2:$B$500,0)),0))</f>
        <v/>
      </c>
      <c r="F7567" s="103" t="str">
        <f aca="false">IF($C7567="","",$D7567*$E7567)</f>
        <v/>
      </c>
      <c r="G7567" s="103" t="str">
        <f aca="false">IF($C7567="","",$D7567*IFERROR(INDEX('تحليل التكلفة والسعر'!$C$2:$C$700,MATCH($C7567,'تحليل التكلفة والسعر'!$B$2:$B$700,0)),0))</f>
        <v/>
      </c>
    </row>
    <row r="7568" customFormat="false" ht="15" hidden="false" customHeight="false" outlineLevel="0" collapsed="false">
      <c r="A7568" s="102"/>
      <c r="E7568" s="103" t="str">
        <f aca="false">IF($C7568="","",IFERROR(INDEX(المنيو!$C$2:$C$500,MATCH($C7568,المنيو!$B$2:$B$500,0)),0))</f>
        <v/>
      </c>
      <c r="F7568" s="103" t="str">
        <f aca="false">IF($C7568="","",$D7568*$E7568)</f>
        <v/>
      </c>
      <c r="G7568" s="103" t="str">
        <f aca="false">IF($C7568="","",$D7568*IFERROR(INDEX('تحليل التكلفة والسعر'!$C$2:$C$700,MATCH($C7568,'تحليل التكلفة والسعر'!$B$2:$B$700,0)),0))</f>
        <v/>
      </c>
    </row>
    <row r="7569" customFormat="false" ht="15" hidden="false" customHeight="false" outlineLevel="0" collapsed="false">
      <c r="A7569" s="102"/>
      <c r="E7569" s="103" t="str">
        <f aca="false">IF($C7569="","",IFERROR(INDEX(المنيو!$C$2:$C$500,MATCH($C7569,المنيو!$B$2:$B$500,0)),0))</f>
        <v/>
      </c>
      <c r="F7569" s="103" t="str">
        <f aca="false">IF($C7569="","",$D7569*$E7569)</f>
        <v/>
      </c>
      <c r="G7569" s="103" t="str">
        <f aca="false">IF($C7569="","",$D7569*IFERROR(INDEX('تحليل التكلفة والسعر'!$C$2:$C$700,MATCH($C7569,'تحليل التكلفة والسعر'!$B$2:$B$700,0)),0))</f>
        <v/>
      </c>
    </row>
    <row r="7570" customFormat="false" ht="15" hidden="false" customHeight="false" outlineLevel="0" collapsed="false">
      <c r="A7570" s="102"/>
      <c r="E7570" s="103" t="str">
        <f aca="false">IF($C7570="","",IFERROR(INDEX(المنيو!$C$2:$C$500,MATCH($C7570,المنيو!$B$2:$B$500,0)),0))</f>
        <v/>
      </c>
      <c r="F7570" s="103" t="str">
        <f aca="false">IF($C7570="","",$D7570*$E7570)</f>
        <v/>
      </c>
      <c r="G7570" s="103" t="str">
        <f aca="false">IF($C7570="","",$D7570*IFERROR(INDEX('تحليل التكلفة والسعر'!$C$2:$C$700,MATCH($C7570,'تحليل التكلفة والسعر'!$B$2:$B$700,0)),0))</f>
        <v/>
      </c>
    </row>
    <row r="7571" customFormat="false" ht="15" hidden="false" customHeight="false" outlineLevel="0" collapsed="false">
      <c r="A7571" s="102"/>
      <c r="E7571" s="103" t="str">
        <f aca="false">IF($C7571="","",IFERROR(INDEX(المنيو!$C$2:$C$500,MATCH($C7571,المنيو!$B$2:$B$500,0)),0))</f>
        <v/>
      </c>
      <c r="F7571" s="103" t="str">
        <f aca="false">IF($C7571="","",$D7571*$E7571)</f>
        <v/>
      </c>
      <c r="G7571" s="103" t="str">
        <f aca="false">IF($C7571="","",$D7571*IFERROR(INDEX('تحليل التكلفة والسعر'!$C$2:$C$700,MATCH($C7571,'تحليل التكلفة والسعر'!$B$2:$B$700,0)),0))</f>
        <v/>
      </c>
    </row>
    <row r="7572" customFormat="false" ht="15" hidden="false" customHeight="false" outlineLevel="0" collapsed="false">
      <c r="A7572" s="102"/>
      <c r="E7572" s="103" t="str">
        <f aca="false">IF($C7572="","",IFERROR(INDEX(المنيو!$C$2:$C$500,MATCH($C7572,المنيو!$B$2:$B$500,0)),0))</f>
        <v/>
      </c>
      <c r="F7572" s="103" t="str">
        <f aca="false">IF($C7572="","",$D7572*$E7572)</f>
        <v/>
      </c>
      <c r="G7572" s="103" t="str">
        <f aca="false">IF($C7572="","",$D7572*IFERROR(INDEX('تحليل التكلفة والسعر'!$C$2:$C$700,MATCH($C7572,'تحليل التكلفة والسعر'!$B$2:$B$700,0)),0))</f>
        <v/>
      </c>
    </row>
    <row r="7573" customFormat="false" ht="15" hidden="false" customHeight="false" outlineLevel="0" collapsed="false">
      <c r="A7573" s="102"/>
      <c r="E7573" s="103" t="str">
        <f aca="false">IF($C7573="","",IFERROR(INDEX(المنيو!$C$2:$C$500,MATCH($C7573,المنيو!$B$2:$B$500,0)),0))</f>
        <v/>
      </c>
      <c r="F7573" s="103" t="str">
        <f aca="false">IF($C7573="","",$D7573*$E7573)</f>
        <v/>
      </c>
      <c r="G7573" s="103" t="str">
        <f aca="false">IF($C7573="","",$D7573*IFERROR(INDEX('تحليل التكلفة والسعر'!$C$2:$C$700,MATCH($C7573,'تحليل التكلفة والسعر'!$B$2:$B$700,0)),0))</f>
        <v/>
      </c>
    </row>
    <row r="7574" customFormat="false" ht="15" hidden="false" customHeight="false" outlineLevel="0" collapsed="false">
      <c r="A7574" s="102"/>
      <c r="E7574" s="103" t="str">
        <f aca="false">IF($C7574="","",IFERROR(INDEX(المنيو!$C$2:$C$500,MATCH($C7574,المنيو!$B$2:$B$500,0)),0))</f>
        <v/>
      </c>
      <c r="F7574" s="103" t="str">
        <f aca="false">IF($C7574="","",$D7574*$E7574)</f>
        <v/>
      </c>
      <c r="G7574" s="103" t="str">
        <f aca="false">IF($C7574="","",$D7574*IFERROR(INDEX('تحليل التكلفة والسعر'!$C$2:$C$700,MATCH($C7574,'تحليل التكلفة والسعر'!$B$2:$B$700,0)),0))</f>
        <v/>
      </c>
    </row>
    <row r="7575" customFormat="false" ht="15" hidden="false" customHeight="false" outlineLevel="0" collapsed="false">
      <c r="A7575" s="102"/>
      <c r="E7575" s="103" t="str">
        <f aca="false">IF($C7575="","",IFERROR(INDEX(المنيو!$C$2:$C$500,MATCH($C7575,المنيو!$B$2:$B$500,0)),0))</f>
        <v/>
      </c>
      <c r="F7575" s="103" t="str">
        <f aca="false">IF($C7575="","",$D7575*$E7575)</f>
        <v/>
      </c>
      <c r="G7575" s="103" t="str">
        <f aca="false">IF($C7575="","",$D7575*IFERROR(INDEX('تحليل التكلفة والسعر'!$C$2:$C$700,MATCH($C7575,'تحليل التكلفة والسعر'!$B$2:$B$700,0)),0))</f>
        <v/>
      </c>
    </row>
    <row r="7576" customFormat="false" ht="15" hidden="false" customHeight="false" outlineLevel="0" collapsed="false">
      <c r="A7576" s="102"/>
      <c r="E7576" s="103" t="str">
        <f aca="false">IF($C7576="","",IFERROR(INDEX(المنيو!$C$2:$C$500,MATCH($C7576,المنيو!$B$2:$B$500,0)),0))</f>
        <v/>
      </c>
      <c r="F7576" s="103" t="str">
        <f aca="false">IF($C7576="","",$D7576*$E7576)</f>
        <v/>
      </c>
      <c r="G7576" s="103" t="str">
        <f aca="false">IF($C7576="","",$D7576*IFERROR(INDEX('تحليل التكلفة والسعر'!$C$2:$C$700,MATCH($C7576,'تحليل التكلفة والسعر'!$B$2:$B$700,0)),0))</f>
        <v/>
      </c>
    </row>
    <row r="7577" customFormat="false" ht="15" hidden="false" customHeight="false" outlineLevel="0" collapsed="false">
      <c r="A7577" s="102"/>
      <c r="E7577" s="103" t="str">
        <f aca="false">IF($C7577="","",IFERROR(INDEX(المنيو!$C$2:$C$500,MATCH($C7577,المنيو!$B$2:$B$500,0)),0))</f>
        <v/>
      </c>
      <c r="F7577" s="103" t="str">
        <f aca="false">IF($C7577="","",$D7577*$E7577)</f>
        <v/>
      </c>
      <c r="G7577" s="103" t="str">
        <f aca="false">IF($C7577="","",$D7577*IFERROR(INDEX('تحليل التكلفة والسعر'!$C$2:$C$700,MATCH($C7577,'تحليل التكلفة والسعر'!$B$2:$B$700,0)),0))</f>
        <v/>
      </c>
    </row>
    <row r="7578" customFormat="false" ht="15" hidden="false" customHeight="false" outlineLevel="0" collapsed="false">
      <c r="A7578" s="102"/>
      <c r="E7578" s="103" t="str">
        <f aca="false">IF($C7578="","",IFERROR(INDEX(المنيو!$C$2:$C$500,MATCH($C7578,المنيو!$B$2:$B$500,0)),0))</f>
        <v/>
      </c>
      <c r="F7578" s="103" t="str">
        <f aca="false">IF($C7578="","",$D7578*$E7578)</f>
        <v/>
      </c>
      <c r="G7578" s="103" t="str">
        <f aca="false">IF($C7578="","",$D7578*IFERROR(INDEX('تحليل التكلفة والسعر'!$C$2:$C$700,MATCH($C7578,'تحليل التكلفة والسعر'!$B$2:$B$700,0)),0))</f>
        <v/>
      </c>
    </row>
    <row r="7579" customFormat="false" ht="15" hidden="false" customHeight="false" outlineLevel="0" collapsed="false">
      <c r="A7579" s="102"/>
      <c r="E7579" s="103" t="str">
        <f aca="false">IF($C7579="","",IFERROR(INDEX(المنيو!$C$2:$C$500,MATCH($C7579,المنيو!$B$2:$B$500,0)),0))</f>
        <v/>
      </c>
      <c r="F7579" s="103" t="str">
        <f aca="false">IF($C7579="","",$D7579*$E7579)</f>
        <v/>
      </c>
      <c r="G7579" s="103" t="str">
        <f aca="false">IF($C7579="","",$D7579*IFERROR(INDEX('تحليل التكلفة والسعر'!$C$2:$C$700,MATCH($C7579,'تحليل التكلفة والسعر'!$B$2:$B$700,0)),0))</f>
        <v/>
      </c>
    </row>
    <row r="7580" customFormat="false" ht="15" hidden="false" customHeight="false" outlineLevel="0" collapsed="false">
      <c r="A7580" s="102"/>
      <c r="E7580" s="103" t="str">
        <f aca="false">IF($C7580="","",IFERROR(INDEX(المنيو!$C$2:$C$500,MATCH($C7580,المنيو!$B$2:$B$500,0)),0))</f>
        <v/>
      </c>
      <c r="F7580" s="103" t="str">
        <f aca="false">IF($C7580="","",$D7580*$E7580)</f>
        <v/>
      </c>
      <c r="G7580" s="103" t="str">
        <f aca="false">IF($C7580="","",$D7580*IFERROR(INDEX('تحليل التكلفة والسعر'!$C$2:$C$700,MATCH($C7580,'تحليل التكلفة والسعر'!$B$2:$B$700,0)),0))</f>
        <v/>
      </c>
    </row>
    <row r="7581" customFormat="false" ht="15" hidden="false" customHeight="false" outlineLevel="0" collapsed="false">
      <c r="A7581" s="102"/>
      <c r="E7581" s="103" t="str">
        <f aca="false">IF($C7581="","",IFERROR(INDEX(المنيو!$C$2:$C$500,MATCH($C7581,المنيو!$B$2:$B$500,0)),0))</f>
        <v/>
      </c>
      <c r="F7581" s="103" t="str">
        <f aca="false">IF($C7581="","",$D7581*$E7581)</f>
        <v/>
      </c>
      <c r="G7581" s="103" t="str">
        <f aca="false">IF($C7581="","",$D7581*IFERROR(INDEX('تحليل التكلفة والسعر'!$C$2:$C$700,MATCH($C7581,'تحليل التكلفة والسعر'!$B$2:$B$700,0)),0))</f>
        <v/>
      </c>
    </row>
    <row r="7582" customFormat="false" ht="15" hidden="false" customHeight="false" outlineLevel="0" collapsed="false">
      <c r="A7582" s="102"/>
      <c r="E7582" s="103" t="str">
        <f aca="false">IF($C7582="","",IFERROR(INDEX(المنيو!$C$2:$C$500,MATCH($C7582,المنيو!$B$2:$B$500,0)),0))</f>
        <v/>
      </c>
      <c r="F7582" s="103" t="str">
        <f aca="false">IF($C7582="","",$D7582*$E7582)</f>
        <v/>
      </c>
      <c r="G7582" s="103" t="str">
        <f aca="false">IF($C7582="","",$D7582*IFERROR(INDEX('تحليل التكلفة والسعر'!$C$2:$C$700,MATCH($C7582,'تحليل التكلفة والسعر'!$B$2:$B$700,0)),0))</f>
        <v/>
      </c>
    </row>
    <row r="7583" customFormat="false" ht="15" hidden="false" customHeight="false" outlineLevel="0" collapsed="false">
      <c r="A7583" s="102"/>
      <c r="E7583" s="103" t="str">
        <f aca="false">IF($C7583="","",IFERROR(INDEX(المنيو!$C$2:$C$500,MATCH($C7583,المنيو!$B$2:$B$500,0)),0))</f>
        <v/>
      </c>
      <c r="F7583" s="103" t="str">
        <f aca="false">IF($C7583="","",$D7583*$E7583)</f>
        <v/>
      </c>
      <c r="G7583" s="103" t="str">
        <f aca="false">IF($C7583="","",$D7583*IFERROR(INDEX('تحليل التكلفة والسعر'!$C$2:$C$700,MATCH($C7583,'تحليل التكلفة والسعر'!$B$2:$B$700,0)),0))</f>
        <v/>
      </c>
    </row>
    <row r="7584" customFormat="false" ht="15" hidden="false" customHeight="false" outlineLevel="0" collapsed="false">
      <c r="A7584" s="102"/>
      <c r="E7584" s="103" t="str">
        <f aca="false">IF($C7584="","",IFERROR(INDEX(المنيو!$C$2:$C$500,MATCH($C7584,المنيو!$B$2:$B$500,0)),0))</f>
        <v/>
      </c>
      <c r="F7584" s="103" t="str">
        <f aca="false">IF($C7584="","",$D7584*$E7584)</f>
        <v/>
      </c>
      <c r="G7584" s="103" t="str">
        <f aca="false">IF($C7584="","",$D7584*IFERROR(INDEX('تحليل التكلفة والسعر'!$C$2:$C$700,MATCH($C7584,'تحليل التكلفة والسعر'!$B$2:$B$700,0)),0))</f>
        <v/>
      </c>
    </row>
    <row r="7585" customFormat="false" ht="15" hidden="false" customHeight="false" outlineLevel="0" collapsed="false">
      <c r="A7585" s="102"/>
      <c r="E7585" s="103" t="str">
        <f aca="false">IF($C7585="","",IFERROR(INDEX(المنيو!$C$2:$C$500,MATCH($C7585,المنيو!$B$2:$B$500,0)),0))</f>
        <v/>
      </c>
      <c r="F7585" s="103" t="str">
        <f aca="false">IF($C7585="","",$D7585*$E7585)</f>
        <v/>
      </c>
      <c r="G7585" s="103" t="str">
        <f aca="false">IF($C7585="","",$D7585*IFERROR(INDEX('تحليل التكلفة والسعر'!$C$2:$C$700,MATCH($C7585,'تحليل التكلفة والسعر'!$B$2:$B$700,0)),0))</f>
        <v/>
      </c>
    </row>
    <row r="7586" customFormat="false" ht="15" hidden="false" customHeight="false" outlineLevel="0" collapsed="false">
      <c r="A7586" s="102"/>
      <c r="E7586" s="103" t="str">
        <f aca="false">IF($C7586="","",IFERROR(INDEX(المنيو!$C$2:$C$500,MATCH($C7586,المنيو!$B$2:$B$500,0)),0))</f>
        <v/>
      </c>
      <c r="F7586" s="103" t="str">
        <f aca="false">IF($C7586="","",$D7586*$E7586)</f>
        <v/>
      </c>
      <c r="G7586" s="103" t="str">
        <f aca="false">IF($C7586="","",$D7586*IFERROR(INDEX('تحليل التكلفة والسعر'!$C$2:$C$700,MATCH($C7586,'تحليل التكلفة والسعر'!$B$2:$B$700,0)),0))</f>
        <v/>
      </c>
    </row>
    <row r="7587" customFormat="false" ht="15" hidden="false" customHeight="false" outlineLevel="0" collapsed="false">
      <c r="A7587" s="102"/>
      <c r="E7587" s="103" t="str">
        <f aca="false">IF($C7587="","",IFERROR(INDEX(المنيو!$C$2:$C$500,MATCH($C7587,المنيو!$B$2:$B$500,0)),0))</f>
        <v/>
      </c>
      <c r="F7587" s="103" t="str">
        <f aca="false">IF($C7587="","",$D7587*$E7587)</f>
        <v/>
      </c>
      <c r="G7587" s="103" t="str">
        <f aca="false">IF($C7587="","",$D7587*IFERROR(INDEX('تحليل التكلفة والسعر'!$C$2:$C$700,MATCH($C7587,'تحليل التكلفة والسعر'!$B$2:$B$700,0)),0))</f>
        <v/>
      </c>
    </row>
    <row r="7588" customFormat="false" ht="15" hidden="false" customHeight="false" outlineLevel="0" collapsed="false">
      <c r="A7588" s="102"/>
      <c r="E7588" s="103" t="str">
        <f aca="false">IF($C7588="","",IFERROR(INDEX(المنيو!$C$2:$C$500,MATCH($C7588,المنيو!$B$2:$B$500,0)),0))</f>
        <v/>
      </c>
      <c r="F7588" s="103" t="str">
        <f aca="false">IF($C7588="","",$D7588*$E7588)</f>
        <v/>
      </c>
      <c r="G7588" s="103" t="str">
        <f aca="false">IF($C7588="","",$D7588*IFERROR(INDEX('تحليل التكلفة والسعر'!$C$2:$C$700,MATCH($C7588,'تحليل التكلفة والسعر'!$B$2:$B$700,0)),0))</f>
        <v/>
      </c>
    </row>
    <row r="7589" customFormat="false" ht="15" hidden="false" customHeight="false" outlineLevel="0" collapsed="false">
      <c r="A7589" s="102"/>
      <c r="E7589" s="103" t="str">
        <f aca="false">IF($C7589="","",IFERROR(INDEX(المنيو!$C$2:$C$500,MATCH($C7589,المنيو!$B$2:$B$500,0)),0))</f>
        <v/>
      </c>
      <c r="F7589" s="103" t="str">
        <f aca="false">IF($C7589="","",$D7589*$E7589)</f>
        <v/>
      </c>
      <c r="G7589" s="103" t="str">
        <f aca="false">IF($C7589="","",$D7589*IFERROR(INDEX('تحليل التكلفة والسعر'!$C$2:$C$700,MATCH($C7589,'تحليل التكلفة والسعر'!$B$2:$B$700,0)),0))</f>
        <v/>
      </c>
    </row>
    <row r="7590" customFormat="false" ht="15" hidden="false" customHeight="false" outlineLevel="0" collapsed="false">
      <c r="A7590" s="102"/>
      <c r="E7590" s="103" t="str">
        <f aca="false">IF($C7590="","",IFERROR(INDEX(المنيو!$C$2:$C$500,MATCH($C7590,المنيو!$B$2:$B$500,0)),0))</f>
        <v/>
      </c>
      <c r="F7590" s="103" t="str">
        <f aca="false">IF($C7590="","",$D7590*$E7590)</f>
        <v/>
      </c>
      <c r="G7590" s="103" t="str">
        <f aca="false">IF($C7590="","",$D7590*IFERROR(INDEX('تحليل التكلفة والسعر'!$C$2:$C$700,MATCH($C7590,'تحليل التكلفة والسعر'!$B$2:$B$700,0)),0))</f>
        <v/>
      </c>
    </row>
    <row r="7591" customFormat="false" ht="15" hidden="false" customHeight="false" outlineLevel="0" collapsed="false">
      <c r="A7591" s="102"/>
      <c r="E7591" s="103" t="str">
        <f aca="false">IF($C7591="","",IFERROR(INDEX(المنيو!$C$2:$C$500,MATCH($C7591,المنيو!$B$2:$B$500,0)),0))</f>
        <v/>
      </c>
      <c r="F7591" s="103" t="str">
        <f aca="false">IF($C7591="","",$D7591*$E7591)</f>
        <v/>
      </c>
      <c r="G7591" s="103" t="str">
        <f aca="false">IF($C7591="","",$D7591*IFERROR(INDEX('تحليل التكلفة والسعر'!$C$2:$C$700,MATCH($C7591,'تحليل التكلفة والسعر'!$B$2:$B$700,0)),0))</f>
        <v/>
      </c>
    </row>
    <row r="7592" customFormat="false" ht="15" hidden="false" customHeight="false" outlineLevel="0" collapsed="false">
      <c r="A7592" s="102"/>
      <c r="E7592" s="103" t="str">
        <f aca="false">IF($C7592="","",IFERROR(INDEX(المنيو!$C$2:$C$500,MATCH($C7592,المنيو!$B$2:$B$500,0)),0))</f>
        <v/>
      </c>
      <c r="F7592" s="103" t="str">
        <f aca="false">IF($C7592="","",$D7592*$E7592)</f>
        <v/>
      </c>
      <c r="G7592" s="103" t="str">
        <f aca="false">IF($C7592="","",$D7592*IFERROR(INDEX('تحليل التكلفة والسعر'!$C$2:$C$700,MATCH($C7592,'تحليل التكلفة والسعر'!$B$2:$B$700,0)),0))</f>
        <v/>
      </c>
    </row>
    <row r="7593" customFormat="false" ht="15" hidden="false" customHeight="false" outlineLevel="0" collapsed="false">
      <c r="A7593" s="102"/>
      <c r="E7593" s="103" t="str">
        <f aca="false">IF($C7593="","",IFERROR(INDEX(المنيو!$C$2:$C$500,MATCH($C7593,المنيو!$B$2:$B$500,0)),0))</f>
        <v/>
      </c>
      <c r="F7593" s="103" t="str">
        <f aca="false">IF($C7593="","",$D7593*$E7593)</f>
        <v/>
      </c>
      <c r="G7593" s="103" t="str">
        <f aca="false">IF($C7593="","",$D7593*IFERROR(INDEX('تحليل التكلفة والسعر'!$C$2:$C$700,MATCH($C7593,'تحليل التكلفة والسعر'!$B$2:$B$700,0)),0))</f>
        <v/>
      </c>
    </row>
    <row r="7594" customFormat="false" ht="15" hidden="false" customHeight="false" outlineLevel="0" collapsed="false">
      <c r="A7594" s="102"/>
      <c r="E7594" s="103" t="str">
        <f aca="false">IF($C7594="","",IFERROR(INDEX(المنيو!$C$2:$C$500,MATCH($C7594,المنيو!$B$2:$B$500,0)),0))</f>
        <v/>
      </c>
      <c r="F7594" s="103" t="str">
        <f aca="false">IF($C7594="","",$D7594*$E7594)</f>
        <v/>
      </c>
      <c r="G7594" s="103" t="str">
        <f aca="false">IF($C7594="","",$D7594*IFERROR(INDEX('تحليل التكلفة والسعر'!$C$2:$C$700,MATCH($C7594,'تحليل التكلفة والسعر'!$B$2:$B$700,0)),0))</f>
        <v/>
      </c>
    </row>
    <row r="7595" customFormat="false" ht="15" hidden="false" customHeight="false" outlineLevel="0" collapsed="false">
      <c r="A7595" s="102"/>
      <c r="E7595" s="103" t="str">
        <f aca="false">IF($C7595="","",IFERROR(INDEX(المنيو!$C$2:$C$500,MATCH($C7595,المنيو!$B$2:$B$500,0)),0))</f>
        <v/>
      </c>
      <c r="F7595" s="103" t="str">
        <f aca="false">IF($C7595="","",$D7595*$E7595)</f>
        <v/>
      </c>
      <c r="G7595" s="103" t="str">
        <f aca="false">IF($C7595="","",$D7595*IFERROR(INDEX('تحليل التكلفة والسعر'!$C$2:$C$700,MATCH($C7595,'تحليل التكلفة والسعر'!$B$2:$B$700,0)),0))</f>
        <v/>
      </c>
    </row>
    <row r="7596" customFormat="false" ht="15" hidden="false" customHeight="false" outlineLevel="0" collapsed="false">
      <c r="A7596" s="102"/>
      <c r="E7596" s="103" t="str">
        <f aca="false">IF($C7596="","",IFERROR(INDEX(المنيو!$C$2:$C$500,MATCH($C7596,المنيو!$B$2:$B$500,0)),0))</f>
        <v/>
      </c>
      <c r="F7596" s="103" t="str">
        <f aca="false">IF($C7596="","",$D7596*$E7596)</f>
        <v/>
      </c>
      <c r="G7596" s="103" t="str">
        <f aca="false">IF($C7596="","",$D7596*IFERROR(INDEX('تحليل التكلفة والسعر'!$C$2:$C$700,MATCH($C7596,'تحليل التكلفة والسعر'!$B$2:$B$700,0)),0))</f>
        <v/>
      </c>
    </row>
    <row r="7597" customFormat="false" ht="15" hidden="false" customHeight="false" outlineLevel="0" collapsed="false">
      <c r="A7597" s="102"/>
      <c r="E7597" s="103" t="str">
        <f aca="false">IF($C7597="","",IFERROR(INDEX(المنيو!$C$2:$C$500,MATCH($C7597,المنيو!$B$2:$B$500,0)),0))</f>
        <v/>
      </c>
      <c r="F7597" s="103" t="str">
        <f aca="false">IF($C7597="","",$D7597*$E7597)</f>
        <v/>
      </c>
      <c r="G7597" s="103" t="str">
        <f aca="false">IF($C7597="","",$D7597*IFERROR(INDEX('تحليل التكلفة والسعر'!$C$2:$C$700,MATCH($C7597,'تحليل التكلفة والسعر'!$B$2:$B$700,0)),0))</f>
        <v/>
      </c>
    </row>
    <row r="7598" customFormat="false" ht="15" hidden="false" customHeight="false" outlineLevel="0" collapsed="false">
      <c r="A7598" s="102"/>
      <c r="E7598" s="103" t="str">
        <f aca="false">IF($C7598="","",IFERROR(INDEX(المنيو!$C$2:$C$500,MATCH($C7598,المنيو!$B$2:$B$500,0)),0))</f>
        <v/>
      </c>
      <c r="F7598" s="103" t="str">
        <f aca="false">IF($C7598="","",$D7598*$E7598)</f>
        <v/>
      </c>
      <c r="G7598" s="103" t="str">
        <f aca="false">IF($C7598="","",$D7598*IFERROR(INDEX('تحليل التكلفة والسعر'!$C$2:$C$700,MATCH($C7598,'تحليل التكلفة والسعر'!$B$2:$B$700,0)),0))</f>
        <v/>
      </c>
    </row>
    <row r="7599" customFormat="false" ht="15" hidden="false" customHeight="false" outlineLevel="0" collapsed="false">
      <c r="A7599" s="102"/>
      <c r="E7599" s="103" t="str">
        <f aca="false">IF($C7599="","",IFERROR(INDEX(المنيو!$C$2:$C$500,MATCH($C7599,المنيو!$B$2:$B$500,0)),0))</f>
        <v/>
      </c>
      <c r="F7599" s="103" t="str">
        <f aca="false">IF($C7599="","",$D7599*$E7599)</f>
        <v/>
      </c>
      <c r="G7599" s="103" t="str">
        <f aca="false">IF($C7599="","",$D7599*IFERROR(INDEX('تحليل التكلفة والسعر'!$C$2:$C$700,MATCH($C7599,'تحليل التكلفة والسعر'!$B$2:$B$700,0)),0))</f>
        <v/>
      </c>
    </row>
    <row r="7600" customFormat="false" ht="15" hidden="false" customHeight="false" outlineLevel="0" collapsed="false">
      <c r="A7600" s="102"/>
      <c r="E7600" s="103" t="str">
        <f aca="false">IF($C7600="","",IFERROR(INDEX(المنيو!$C$2:$C$500,MATCH($C7600,المنيو!$B$2:$B$500,0)),0))</f>
        <v/>
      </c>
      <c r="F7600" s="103" t="str">
        <f aca="false">IF($C7600="","",$D7600*$E7600)</f>
        <v/>
      </c>
      <c r="G7600" s="103" t="str">
        <f aca="false">IF($C7600="","",$D7600*IFERROR(INDEX('تحليل التكلفة والسعر'!$C$2:$C$700,MATCH($C7600,'تحليل التكلفة والسعر'!$B$2:$B$700,0)),0))</f>
        <v/>
      </c>
    </row>
    <row r="7601" customFormat="false" ht="15" hidden="false" customHeight="false" outlineLevel="0" collapsed="false">
      <c r="A7601" s="102"/>
      <c r="E7601" s="103" t="str">
        <f aca="false">IF($C7601="","",IFERROR(INDEX(المنيو!$C$2:$C$500,MATCH($C7601,المنيو!$B$2:$B$500,0)),0))</f>
        <v/>
      </c>
      <c r="F7601" s="103" t="str">
        <f aca="false">IF($C7601="","",$D7601*$E7601)</f>
        <v/>
      </c>
      <c r="G7601" s="103" t="str">
        <f aca="false">IF($C7601="","",$D7601*IFERROR(INDEX('تحليل التكلفة والسعر'!$C$2:$C$700,MATCH($C7601,'تحليل التكلفة والسعر'!$B$2:$B$700,0)),0))</f>
        <v/>
      </c>
    </row>
    <row r="7602" customFormat="false" ht="15" hidden="false" customHeight="false" outlineLevel="0" collapsed="false">
      <c r="A7602" s="102"/>
      <c r="E7602" s="103" t="str">
        <f aca="false">IF($C7602="","",IFERROR(INDEX(المنيو!$C$2:$C$500,MATCH($C7602,المنيو!$B$2:$B$500,0)),0))</f>
        <v/>
      </c>
      <c r="F7602" s="103" t="str">
        <f aca="false">IF($C7602="","",$D7602*$E7602)</f>
        <v/>
      </c>
      <c r="G7602" s="103" t="str">
        <f aca="false">IF($C7602="","",$D7602*IFERROR(INDEX('تحليل التكلفة والسعر'!$C$2:$C$700,MATCH($C7602,'تحليل التكلفة والسعر'!$B$2:$B$700,0)),0))</f>
        <v/>
      </c>
    </row>
    <row r="7603" customFormat="false" ht="15" hidden="false" customHeight="false" outlineLevel="0" collapsed="false">
      <c r="A7603" s="102"/>
      <c r="E7603" s="103" t="str">
        <f aca="false">IF($C7603="","",IFERROR(INDEX(المنيو!$C$2:$C$500,MATCH($C7603,المنيو!$B$2:$B$500,0)),0))</f>
        <v/>
      </c>
      <c r="F7603" s="103" t="str">
        <f aca="false">IF($C7603="","",$D7603*$E7603)</f>
        <v/>
      </c>
      <c r="G7603" s="103" t="str">
        <f aca="false">IF($C7603="","",$D7603*IFERROR(INDEX('تحليل التكلفة والسعر'!$C$2:$C$700,MATCH($C7603,'تحليل التكلفة والسعر'!$B$2:$B$700,0)),0))</f>
        <v/>
      </c>
    </row>
    <row r="7604" customFormat="false" ht="15" hidden="false" customHeight="false" outlineLevel="0" collapsed="false">
      <c r="A7604" s="102"/>
      <c r="E7604" s="103" t="str">
        <f aca="false">IF($C7604="","",IFERROR(INDEX(المنيو!$C$2:$C$500,MATCH($C7604,المنيو!$B$2:$B$500,0)),0))</f>
        <v/>
      </c>
      <c r="F7604" s="103" t="str">
        <f aca="false">IF($C7604="","",$D7604*$E7604)</f>
        <v/>
      </c>
      <c r="G7604" s="103" t="str">
        <f aca="false">IF($C7604="","",$D7604*IFERROR(INDEX('تحليل التكلفة والسعر'!$C$2:$C$700,MATCH($C7604,'تحليل التكلفة والسعر'!$B$2:$B$700,0)),0))</f>
        <v/>
      </c>
    </row>
    <row r="7605" customFormat="false" ht="15" hidden="false" customHeight="false" outlineLevel="0" collapsed="false">
      <c r="A7605" s="102"/>
      <c r="E7605" s="103" t="str">
        <f aca="false">IF($C7605="","",IFERROR(INDEX(المنيو!$C$2:$C$500,MATCH($C7605,المنيو!$B$2:$B$500,0)),0))</f>
        <v/>
      </c>
      <c r="F7605" s="103" t="str">
        <f aca="false">IF($C7605="","",$D7605*$E7605)</f>
        <v/>
      </c>
      <c r="G7605" s="103" t="str">
        <f aca="false">IF($C7605="","",$D7605*IFERROR(INDEX('تحليل التكلفة والسعر'!$C$2:$C$700,MATCH($C7605,'تحليل التكلفة والسعر'!$B$2:$B$700,0)),0))</f>
        <v/>
      </c>
    </row>
    <row r="7606" customFormat="false" ht="15" hidden="false" customHeight="false" outlineLevel="0" collapsed="false">
      <c r="A7606" s="102"/>
      <c r="E7606" s="103" t="str">
        <f aca="false">IF($C7606="","",IFERROR(INDEX(المنيو!$C$2:$C$500,MATCH($C7606,المنيو!$B$2:$B$500,0)),0))</f>
        <v/>
      </c>
      <c r="F7606" s="103" t="str">
        <f aca="false">IF($C7606="","",$D7606*$E7606)</f>
        <v/>
      </c>
      <c r="G7606" s="103" t="str">
        <f aca="false">IF($C7606="","",$D7606*IFERROR(INDEX('تحليل التكلفة والسعر'!$C$2:$C$700,MATCH($C7606,'تحليل التكلفة والسعر'!$B$2:$B$700,0)),0))</f>
        <v/>
      </c>
    </row>
    <row r="7607" customFormat="false" ht="15" hidden="false" customHeight="false" outlineLevel="0" collapsed="false">
      <c r="A7607" s="102"/>
      <c r="E7607" s="103" t="str">
        <f aca="false">IF($C7607="","",IFERROR(INDEX(المنيو!$C$2:$C$500,MATCH($C7607,المنيو!$B$2:$B$500,0)),0))</f>
        <v/>
      </c>
      <c r="F7607" s="103" t="str">
        <f aca="false">IF($C7607="","",$D7607*$E7607)</f>
        <v/>
      </c>
      <c r="G7607" s="103" t="str">
        <f aca="false">IF($C7607="","",$D7607*IFERROR(INDEX('تحليل التكلفة والسعر'!$C$2:$C$700,MATCH($C7607,'تحليل التكلفة والسعر'!$B$2:$B$700,0)),0))</f>
        <v/>
      </c>
    </row>
    <row r="7608" customFormat="false" ht="15" hidden="false" customHeight="false" outlineLevel="0" collapsed="false">
      <c r="A7608" s="102"/>
      <c r="E7608" s="103" t="str">
        <f aca="false">IF($C7608="","",IFERROR(INDEX(المنيو!$C$2:$C$500,MATCH($C7608,المنيو!$B$2:$B$500,0)),0))</f>
        <v/>
      </c>
      <c r="F7608" s="103" t="str">
        <f aca="false">IF($C7608="","",$D7608*$E7608)</f>
        <v/>
      </c>
      <c r="G7608" s="103" t="str">
        <f aca="false">IF($C7608="","",$D7608*IFERROR(INDEX('تحليل التكلفة والسعر'!$C$2:$C$700,MATCH($C7608,'تحليل التكلفة والسعر'!$B$2:$B$700,0)),0))</f>
        <v/>
      </c>
    </row>
    <row r="7609" customFormat="false" ht="15" hidden="false" customHeight="false" outlineLevel="0" collapsed="false">
      <c r="A7609" s="102"/>
      <c r="E7609" s="103" t="str">
        <f aca="false">IF($C7609="","",IFERROR(INDEX(المنيو!$C$2:$C$500,MATCH($C7609,المنيو!$B$2:$B$500,0)),0))</f>
        <v/>
      </c>
      <c r="F7609" s="103" t="str">
        <f aca="false">IF($C7609="","",$D7609*$E7609)</f>
        <v/>
      </c>
      <c r="G7609" s="103" t="str">
        <f aca="false">IF($C7609="","",$D7609*IFERROR(INDEX('تحليل التكلفة والسعر'!$C$2:$C$700,MATCH($C7609,'تحليل التكلفة والسعر'!$B$2:$B$700,0)),0))</f>
        <v/>
      </c>
    </row>
    <row r="7610" customFormat="false" ht="15" hidden="false" customHeight="false" outlineLevel="0" collapsed="false">
      <c r="A7610" s="102"/>
      <c r="E7610" s="103" t="str">
        <f aca="false">IF($C7610="","",IFERROR(INDEX(المنيو!$C$2:$C$500,MATCH($C7610,المنيو!$B$2:$B$500,0)),0))</f>
        <v/>
      </c>
      <c r="F7610" s="103" t="str">
        <f aca="false">IF($C7610="","",$D7610*$E7610)</f>
        <v/>
      </c>
      <c r="G7610" s="103" t="str">
        <f aca="false">IF($C7610="","",$D7610*IFERROR(INDEX('تحليل التكلفة والسعر'!$C$2:$C$700,MATCH($C7610,'تحليل التكلفة والسعر'!$B$2:$B$700,0)),0))</f>
        <v/>
      </c>
    </row>
    <row r="7611" customFormat="false" ht="15" hidden="false" customHeight="false" outlineLevel="0" collapsed="false">
      <c r="A7611" s="102"/>
      <c r="E7611" s="103" t="str">
        <f aca="false">IF($C7611="","",IFERROR(INDEX(المنيو!$C$2:$C$500,MATCH($C7611,المنيو!$B$2:$B$500,0)),0))</f>
        <v/>
      </c>
      <c r="F7611" s="103" t="str">
        <f aca="false">IF($C7611="","",$D7611*$E7611)</f>
        <v/>
      </c>
      <c r="G7611" s="103" t="str">
        <f aca="false">IF($C7611="","",$D7611*IFERROR(INDEX('تحليل التكلفة والسعر'!$C$2:$C$700,MATCH($C7611,'تحليل التكلفة والسعر'!$B$2:$B$700,0)),0))</f>
        <v/>
      </c>
    </row>
    <row r="7612" customFormat="false" ht="15" hidden="false" customHeight="false" outlineLevel="0" collapsed="false">
      <c r="A7612" s="102"/>
      <c r="E7612" s="103" t="str">
        <f aca="false">IF($C7612="","",IFERROR(INDEX(المنيو!$C$2:$C$500,MATCH($C7612,المنيو!$B$2:$B$500,0)),0))</f>
        <v/>
      </c>
      <c r="F7612" s="103" t="str">
        <f aca="false">IF($C7612="","",$D7612*$E7612)</f>
        <v/>
      </c>
      <c r="G7612" s="103" t="str">
        <f aca="false">IF($C7612="","",$D7612*IFERROR(INDEX('تحليل التكلفة والسعر'!$C$2:$C$700,MATCH($C7612,'تحليل التكلفة والسعر'!$B$2:$B$700,0)),0))</f>
        <v/>
      </c>
    </row>
    <row r="7613" customFormat="false" ht="15" hidden="false" customHeight="false" outlineLevel="0" collapsed="false">
      <c r="A7613" s="102"/>
      <c r="E7613" s="103" t="str">
        <f aca="false">IF($C7613="","",IFERROR(INDEX(المنيو!$C$2:$C$500,MATCH($C7613,المنيو!$B$2:$B$500,0)),0))</f>
        <v/>
      </c>
      <c r="F7613" s="103" t="str">
        <f aca="false">IF($C7613="","",$D7613*$E7613)</f>
        <v/>
      </c>
      <c r="G7613" s="103" t="str">
        <f aca="false">IF($C7613="","",$D7613*IFERROR(INDEX('تحليل التكلفة والسعر'!$C$2:$C$700,MATCH($C7613,'تحليل التكلفة والسعر'!$B$2:$B$700,0)),0))</f>
        <v/>
      </c>
    </row>
    <row r="7614" customFormat="false" ht="15" hidden="false" customHeight="false" outlineLevel="0" collapsed="false">
      <c r="A7614" s="102"/>
      <c r="E7614" s="103" t="str">
        <f aca="false">IF($C7614="","",IFERROR(INDEX(المنيو!$C$2:$C$500,MATCH($C7614,المنيو!$B$2:$B$500,0)),0))</f>
        <v/>
      </c>
      <c r="F7614" s="103" t="str">
        <f aca="false">IF($C7614="","",$D7614*$E7614)</f>
        <v/>
      </c>
      <c r="G7614" s="103" t="str">
        <f aca="false">IF($C7614="","",$D7614*IFERROR(INDEX('تحليل التكلفة والسعر'!$C$2:$C$700,MATCH($C7614,'تحليل التكلفة والسعر'!$B$2:$B$700,0)),0))</f>
        <v/>
      </c>
    </row>
    <row r="7615" customFormat="false" ht="15" hidden="false" customHeight="false" outlineLevel="0" collapsed="false">
      <c r="A7615" s="102"/>
      <c r="E7615" s="103" t="str">
        <f aca="false">IF($C7615="","",IFERROR(INDEX(المنيو!$C$2:$C$500,MATCH($C7615,المنيو!$B$2:$B$500,0)),0))</f>
        <v/>
      </c>
      <c r="F7615" s="103" t="str">
        <f aca="false">IF($C7615="","",$D7615*$E7615)</f>
        <v/>
      </c>
      <c r="G7615" s="103" t="str">
        <f aca="false">IF($C7615="","",$D7615*IFERROR(INDEX('تحليل التكلفة والسعر'!$C$2:$C$700,MATCH($C7615,'تحليل التكلفة والسعر'!$B$2:$B$700,0)),0))</f>
        <v/>
      </c>
    </row>
    <row r="7616" customFormat="false" ht="15" hidden="false" customHeight="false" outlineLevel="0" collapsed="false">
      <c r="A7616" s="102"/>
      <c r="E7616" s="103" t="str">
        <f aca="false">IF($C7616="","",IFERROR(INDEX(المنيو!$C$2:$C$500,MATCH($C7616,المنيو!$B$2:$B$500,0)),0))</f>
        <v/>
      </c>
      <c r="F7616" s="103" t="str">
        <f aca="false">IF($C7616="","",$D7616*$E7616)</f>
        <v/>
      </c>
      <c r="G7616" s="103" t="str">
        <f aca="false">IF($C7616="","",$D7616*IFERROR(INDEX('تحليل التكلفة والسعر'!$C$2:$C$700,MATCH($C7616,'تحليل التكلفة والسعر'!$B$2:$B$700,0)),0))</f>
        <v/>
      </c>
    </row>
    <row r="7617" customFormat="false" ht="15" hidden="false" customHeight="false" outlineLevel="0" collapsed="false">
      <c r="A7617" s="102"/>
      <c r="E7617" s="103" t="str">
        <f aca="false">IF($C7617="","",IFERROR(INDEX(المنيو!$C$2:$C$500,MATCH($C7617,المنيو!$B$2:$B$500,0)),0))</f>
        <v/>
      </c>
      <c r="F7617" s="103" t="str">
        <f aca="false">IF($C7617="","",$D7617*$E7617)</f>
        <v/>
      </c>
      <c r="G7617" s="103" t="str">
        <f aca="false">IF($C7617="","",$D7617*IFERROR(INDEX('تحليل التكلفة والسعر'!$C$2:$C$700,MATCH($C7617,'تحليل التكلفة والسعر'!$B$2:$B$700,0)),0))</f>
        <v/>
      </c>
    </row>
    <row r="7618" customFormat="false" ht="15" hidden="false" customHeight="false" outlineLevel="0" collapsed="false">
      <c r="A7618" s="102"/>
      <c r="E7618" s="103" t="str">
        <f aca="false">IF($C7618="","",IFERROR(INDEX(المنيو!$C$2:$C$500,MATCH($C7618,المنيو!$B$2:$B$500,0)),0))</f>
        <v/>
      </c>
      <c r="F7618" s="103" t="str">
        <f aca="false">IF($C7618="","",$D7618*$E7618)</f>
        <v/>
      </c>
      <c r="G7618" s="103" t="str">
        <f aca="false">IF($C7618="","",$D7618*IFERROR(INDEX('تحليل التكلفة والسعر'!$C$2:$C$700,MATCH($C7618,'تحليل التكلفة والسعر'!$B$2:$B$700,0)),0))</f>
        <v/>
      </c>
    </row>
    <row r="7619" customFormat="false" ht="15" hidden="false" customHeight="false" outlineLevel="0" collapsed="false">
      <c r="A7619" s="102"/>
      <c r="E7619" s="103" t="str">
        <f aca="false">IF($C7619="","",IFERROR(INDEX(المنيو!$C$2:$C$500,MATCH($C7619,المنيو!$B$2:$B$500,0)),0))</f>
        <v/>
      </c>
      <c r="F7619" s="103" t="str">
        <f aca="false">IF($C7619="","",$D7619*$E7619)</f>
        <v/>
      </c>
      <c r="G7619" s="103" t="str">
        <f aca="false">IF($C7619="","",$D7619*IFERROR(INDEX('تحليل التكلفة والسعر'!$C$2:$C$700,MATCH($C7619,'تحليل التكلفة والسعر'!$B$2:$B$700,0)),0))</f>
        <v/>
      </c>
    </row>
    <row r="7620" customFormat="false" ht="15" hidden="false" customHeight="false" outlineLevel="0" collapsed="false">
      <c r="A7620" s="102"/>
      <c r="E7620" s="103" t="str">
        <f aca="false">IF($C7620="","",IFERROR(INDEX(المنيو!$C$2:$C$500,MATCH($C7620,المنيو!$B$2:$B$500,0)),0))</f>
        <v/>
      </c>
      <c r="F7620" s="103" t="str">
        <f aca="false">IF($C7620="","",$D7620*$E7620)</f>
        <v/>
      </c>
      <c r="G7620" s="103" t="str">
        <f aca="false">IF($C7620="","",$D7620*IFERROR(INDEX('تحليل التكلفة والسعر'!$C$2:$C$700,MATCH($C7620,'تحليل التكلفة والسعر'!$B$2:$B$700,0)),0))</f>
        <v/>
      </c>
    </row>
    <row r="7621" customFormat="false" ht="15" hidden="false" customHeight="false" outlineLevel="0" collapsed="false">
      <c r="A7621" s="102"/>
      <c r="E7621" s="103" t="str">
        <f aca="false">IF($C7621="","",IFERROR(INDEX(المنيو!$C$2:$C$500,MATCH($C7621,المنيو!$B$2:$B$500,0)),0))</f>
        <v/>
      </c>
      <c r="F7621" s="103" t="str">
        <f aca="false">IF($C7621="","",$D7621*$E7621)</f>
        <v/>
      </c>
      <c r="G7621" s="103" t="str">
        <f aca="false">IF($C7621="","",$D7621*IFERROR(INDEX('تحليل التكلفة والسعر'!$C$2:$C$700,MATCH($C7621,'تحليل التكلفة والسعر'!$B$2:$B$700,0)),0))</f>
        <v/>
      </c>
    </row>
    <row r="7622" customFormat="false" ht="15" hidden="false" customHeight="false" outlineLevel="0" collapsed="false">
      <c r="A7622" s="102"/>
      <c r="E7622" s="103" t="str">
        <f aca="false">IF($C7622="","",IFERROR(INDEX(المنيو!$C$2:$C$500,MATCH($C7622,المنيو!$B$2:$B$500,0)),0))</f>
        <v/>
      </c>
      <c r="F7622" s="103" t="str">
        <f aca="false">IF($C7622="","",$D7622*$E7622)</f>
        <v/>
      </c>
      <c r="G7622" s="103" t="str">
        <f aca="false">IF($C7622="","",$D7622*IFERROR(INDEX('تحليل التكلفة والسعر'!$C$2:$C$700,MATCH($C7622,'تحليل التكلفة والسعر'!$B$2:$B$700,0)),0))</f>
        <v/>
      </c>
    </row>
    <row r="7623" customFormat="false" ht="15" hidden="false" customHeight="false" outlineLevel="0" collapsed="false">
      <c r="A7623" s="102"/>
      <c r="E7623" s="103" t="str">
        <f aca="false">IF($C7623="","",IFERROR(INDEX(المنيو!$C$2:$C$500,MATCH($C7623,المنيو!$B$2:$B$500,0)),0))</f>
        <v/>
      </c>
      <c r="F7623" s="103" t="str">
        <f aca="false">IF($C7623="","",$D7623*$E7623)</f>
        <v/>
      </c>
      <c r="G7623" s="103" t="str">
        <f aca="false">IF($C7623="","",$D7623*IFERROR(INDEX('تحليل التكلفة والسعر'!$C$2:$C$700,MATCH($C7623,'تحليل التكلفة والسعر'!$B$2:$B$700,0)),0))</f>
        <v/>
      </c>
    </row>
    <row r="7624" customFormat="false" ht="15" hidden="false" customHeight="false" outlineLevel="0" collapsed="false">
      <c r="A7624" s="102"/>
      <c r="E7624" s="103" t="str">
        <f aca="false">IF($C7624="","",IFERROR(INDEX(المنيو!$C$2:$C$500,MATCH($C7624,المنيو!$B$2:$B$500,0)),0))</f>
        <v/>
      </c>
      <c r="F7624" s="103" t="str">
        <f aca="false">IF($C7624="","",$D7624*$E7624)</f>
        <v/>
      </c>
      <c r="G7624" s="103" t="str">
        <f aca="false">IF($C7624="","",$D7624*IFERROR(INDEX('تحليل التكلفة والسعر'!$C$2:$C$700,MATCH($C7624,'تحليل التكلفة والسعر'!$B$2:$B$700,0)),0))</f>
        <v/>
      </c>
    </row>
    <row r="7625" customFormat="false" ht="15" hidden="false" customHeight="false" outlineLevel="0" collapsed="false">
      <c r="A7625" s="102"/>
      <c r="E7625" s="103" t="str">
        <f aca="false">IF($C7625="","",IFERROR(INDEX(المنيو!$C$2:$C$500,MATCH($C7625,المنيو!$B$2:$B$500,0)),0))</f>
        <v/>
      </c>
      <c r="F7625" s="103" t="str">
        <f aca="false">IF($C7625="","",$D7625*$E7625)</f>
        <v/>
      </c>
      <c r="G7625" s="103" t="str">
        <f aca="false">IF($C7625="","",$D7625*IFERROR(INDEX('تحليل التكلفة والسعر'!$C$2:$C$700,MATCH($C7625,'تحليل التكلفة والسعر'!$B$2:$B$700,0)),0))</f>
        <v/>
      </c>
    </row>
    <row r="7626" customFormat="false" ht="15" hidden="false" customHeight="false" outlineLevel="0" collapsed="false">
      <c r="A7626" s="102"/>
      <c r="E7626" s="103" t="str">
        <f aca="false">IF($C7626="","",IFERROR(INDEX(المنيو!$C$2:$C$500,MATCH($C7626,المنيو!$B$2:$B$500,0)),0))</f>
        <v/>
      </c>
      <c r="F7626" s="103" t="str">
        <f aca="false">IF($C7626="","",$D7626*$E7626)</f>
        <v/>
      </c>
      <c r="G7626" s="103" t="str">
        <f aca="false">IF($C7626="","",$D7626*IFERROR(INDEX('تحليل التكلفة والسعر'!$C$2:$C$700,MATCH($C7626,'تحليل التكلفة والسعر'!$B$2:$B$700,0)),0))</f>
        <v/>
      </c>
    </row>
    <row r="7627" customFormat="false" ht="15" hidden="false" customHeight="false" outlineLevel="0" collapsed="false">
      <c r="A7627" s="102"/>
      <c r="E7627" s="103" t="str">
        <f aca="false">IF($C7627="","",IFERROR(INDEX(المنيو!$C$2:$C$500,MATCH($C7627,المنيو!$B$2:$B$500,0)),0))</f>
        <v/>
      </c>
      <c r="F7627" s="103" t="str">
        <f aca="false">IF($C7627="","",$D7627*$E7627)</f>
        <v/>
      </c>
      <c r="G7627" s="103" t="str">
        <f aca="false">IF($C7627="","",$D7627*IFERROR(INDEX('تحليل التكلفة والسعر'!$C$2:$C$700,MATCH($C7627,'تحليل التكلفة والسعر'!$B$2:$B$700,0)),0))</f>
        <v/>
      </c>
    </row>
    <row r="7628" customFormat="false" ht="15" hidden="false" customHeight="false" outlineLevel="0" collapsed="false">
      <c r="A7628" s="102"/>
      <c r="E7628" s="103" t="str">
        <f aca="false">IF($C7628="","",IFERROR(INDEX(المنيو!$C$2:$C$500,MATCH($C7628,المنيو!$B$2:$B$500,0)),0))</f>
        <v/>
      </c>
      <c r="F7628" s="103" t="str">
        <f aca="false">IF($C7628="","",$D7628*$E7628)</f>
        <v/>
      </c>
      <c r="G7628" s="103" t="str">
        <f aca="false">IF($C7628="","",$D7628*IFERROR(INDEX('تحليل التكلفة والسعر'!$C$2:$C$700,MATCH($C7628,'تحليل التكلفة والسعر'!$B$2:$B$700,0)),0))</f>
        <v/>
      </c>
    </row>
    <row r="7629" customFormat="false" ht="15" hidden="false" customHeight="false" outlineLevel="0" collapsed="false">
      <c r="A7629" s="102"/>
      <c r="E7629" s="103" t="str">
        <f aca="false">IF($C7629="","",IFERROR(INDEX(المنيو!$C$2:$C$500,MATCH($C7629,المنيو!$B$2:$B$500,0)),0))</f>
        <v/>
      </c>
      <c r="F7629" s="103" t="str">
        <f aca="false">IF($C7629="","",$D7629*$E7629)</f>
        <v/>
      </c>
      <c r="G7629" s="103" t="str">
        <f aca="false">IF($C7629="","",$D7629*IFERROR(INDEX('تحليل التكلفة والسعر'!$C$2:$C$700,MATCH($C7629,'تحليل التكلفة والسعر'!$B$2:$B$700,0)),0))</f>
        <v/>
      </c>
    </row>
    <row r="7630" customFormat="false" ht="15" hidden="false" customHeight="false" outlineLevel="0" collapsed="false">
      <c r="A7630" s="102"/>
      <c r="E7630" s="103" t="str">
        <f aca="false">IF($C7630="","",IFERROR(INDEX(المنيو!$C$2:$C$500,MATCH($C7630,المنيو!$B$2:$B$500,0)),0))</f>
        <v/>
      </c>
      <c r="F7630" s="103" t="str">
        <f aca="false">IF($C7630="","",$D7630*$E7630)</f>
        <v/>
      </c>
      <c r="G7630" s="103" t="str">
        <f aca="false">IF($C7630="","",$D7630*IFERROR(INDEX('تحليل التكلفة والسعر'!$C$2:$C$700,MATCH($C7630,'تحليل التكلفة والسعر'!$B$2:$B$700,0)),0))</f>
        <v/>
      </c>
    </row>
    <row r="7631" customFormat="false" ht="15" hidden="false" customHeight="false" outlineLevel="0" collapsed="false">
      <c r="A7631" s="102"/>
      <c r="E7631" s="103" t="str">
        <f aca="false">IF($C7631="","",IFERROR(INDEX(المنيو!$C$2:$C$500,MATCH($C7631,المنيو!$B$2:$B$500,0)),0))</f>
        <v/>
      </c>
      <c r="F7631" s="103" t="str">
        <f aca="false">IF($C7631="","",$D7631*$E7631)</f>
        <v/>
      </c>
      <c r="G7631" s="103" t="str">
        <f aca="false">IF($C7631="","",$D7631*IFERROR(INDEX('تحليل التكلفة والسعر'!$C$2:$C$700,MATCH($C7631,'تحليل التكلفة والسعر'!$B$2:$B$700,0)),0))</f>
        <v/>
      </c>
    </row>
    <row r="7632" customFormat="false" ht="15" hidden="false" customHeight="false" outlineLevel="0" collapsed="false">
      <c r="A7632" s="102"/>
      <c r="E7632" s="103" t="str">
        <f aca="false">IF($C7632="","",IFERROR(INDEX(المنيو!$C$2:$C$500,MATCH($C7632,المنيو!$B$2:$B$500,0)),0))</f>
        <v/>
      </c>
      <c r="F7632" s="103" t="str">
        <f aca="false">IF($C7632="","",$D7632*$E7632)</f>
        <v/>
      </c>
      <c r="G7632" s="103" t="str">
        <f aca="false">IF($C7632="","",$D7632*IFERROR(INDEX('تحليل التكلفة والسعر'!$C$2:$C$700,MATCH($C7632,'تحليل التكلفة والسعر'!$B$2:$B$700,0)),0))</f>
        <v/>
      </c>
    </row>
    <row r="7633" customFormat="false" ht="15" hidden="false" customHeight="false" outlineLevel="0" collapsed="false">
      <c r="A7633" s="102"/>
      <c r="E7633" s="103" t="str">
        <f aca="false">IF($C7633="","",IFERROR(INDEX(المنيو!$C$2:$C$500,MATCH($C7633,المنيو!$B$2:$B$500,0)),0))</f>
        <v/>
      </c>
      <c r="F7633" s="103" t="str">
        <f aca="false">IF($C7633="","",$D7633*$E7633)</f>
        <v/>
      </c>
      <c r="G7633" s="103" t="str">
        <f aca="false">IF($C7633="","",$D7633*IFERROR(INDEX('تحليل التكلفة والسعر'!$C$2:$C$700,MATCH($C7633,'تحليل التكلفة والسعر'!$B$2:$B$700,0)),0))</f>
        <v/>
      </c>
    </row>
    <row r="7634" customFormat="false" ht="15" hidden="false" customHeight="false" outlineLevel="0" collapsed="false">
      <c r="A7634" s="102"/>
      <c r="E7634" s="103" t="str">
        <f aca="false">IF($C7634="","",IFERROR(INDEX(المنيو!$C$2:$C$500,MATCH($C7634,المنيو!$B$2:$B$500,0)),0))</f>
        <v/>
      </c>
      <c r="F7634" s="103" t="str">
        <f aca="false">IF($C7634="","",$D7634*$E7634)</f>
        <v/>
      </c>
      <c r="G7634" s="103" t="str">
        <f aca="false">IF($C7634="","",$D7634*IFERROR(INDEX('تحليل التكلفة والسعر'!$C$2:$C$700,MATCH($C7634,'تحليل التكلفة والسعر'!$B$2:$B$700,0)),0))</f>
        <v/>
      </c>
    </row>
    <row r="7635" customFormat="false" ht="15" hidden="false" customHeight="false" outlineLevel="0" collapsed="false">
      <c r="A7635" s="102"/>
      <c r="E7635" s="103" t="str">
        <f aca="false">IF($C7635="","",IFERROR(INDEX(المنيو!$C$2:$C$500,MATCH($C7635,المنيو!$B$2:$B$500,0)),0))</f>
        <v/>
      </c>
      <c r="F7635" s="103" t="str">
        <f aca="false">IF($C7635="","",$D7635*$E7635)</f>
        <v/>
      </c>
      <c r="G7635" s="103" t="str">
        <f aca="false">IF($C7635="","",$D7635*IFERROR(INDEX('تحليل التكلفة والسعر'!$C$2:$C$700,MATCH($C7635,'تحليل التكلفة والسعر'!$B$2:$B$700,0)),0))</f>
        <v/>
      </c>
    </row>
    <row r="7636" customFormat="false" ht="15" hidden="false" customHeight="false" outlineLevel="0" collapsed="false">
      <c r="A7636" s="102"/>
      <c r="E7636" s="103" t="str">
        <f aca="false">IF($C7636="","",IFERROR(INDEX(المنيو!$C$2:$C$500,MATCH($C7636,المنيو!$B$2:$B$500,0)),0))</f>
        <v/>
      </c>
      <c r="F7636" s="103" t="str">
        <f aca="false">IF($C7636="","",$D7636*$E7636)</f>
        <v/>
      </c>
      <c r="G7636" s="103" t="str">
        <f aca="false">IF($C7636="","",$D7636*IFERROR(INDEX('تحليل التكلفة والسعر'!$C$2:$C$700,MATCH($C7636,'تحليل التكلفة والسعر'!$B$2:$B$700,0)),0))</f>
        <v/>
      </c>
    </row>
    <row r="7637" customFormat="false" ht="15" hidden="false" customHeight="false" outlineLevel="0" collapsed="false">
      <c r="A7637" s="102"/>
      <c r="E7637" s="103" t="str">
        <f aca="false">IF($C7637="","",IFERROR(INDEX(المنيو!$C$2:$C$500,MATCH($C7637,المنيو!$B$2:$B$500,0)),0))</f>
        <v/>
      </c>
      <c r="F7637" s="103" t="str">
        <f aca="false">IF($C7637="","",$D7637*$E7637)</f>
        <v/>
      </c>
      <c r="G7637" s="103" t="str">
        <f aca="false">IF($C7637="","",$D7637*IFERROR(INDEX('تحليل التكلفة والسعر'!$C$2:$C$700,MATCH($C7637,'تحليل التكلفة والسعر'!$B$2:$B$700,0)),0))</f>
        <v/>
      </c>
    </row>
    <row r="7638" customFormat="false" ht="15" hidden="false" customHeight="false" outlineLevel="0" collapsed="false">
      <c r="A7638" s="102"/>
      <c r="E7638" s="103" t="str">
        <f aca="false">IF($C7638="","",IFERROR(INDEX(المنيو!$C$2:$C$500,MATCH($C7638,المنيو!$B$2:$B$500,0)),0))</f>
        <v/>
      </c>
      <c r="F7638" s="103" t="str">
        <f aca="false">IF($C7638="","",$D7638*$E7638)</f>
        <v/>
      </c>
      <c r="G7638" s="103" t="str">
        <f aca="false">IF($C7638="","",$D7638*IFERROR(INDEX('تحليل التكلفة والسعر'!$C$2:$C$700,MATCH($C7638,'تحليل التكلفة والسعر'!$B$2:$B$700,0)),0))</f>
        <v/>
      </c>
    </row>
    <row r="7639" customFormat="false" ht="15" hidden="false" customHeight="false" outlineLevel="0" collapsed="false">
      <c r="A7639" s="102"/>
      <c r="E7639" s="103" t="str">
        <f aca="false">IF($C7639="","",IFERROR(INDEX(المنيو!$C$2:$C$500,MATCH($C7639,المنيو!$B$2:$B$500,0)),0))</f>
        <v/>
      </c>
      <c r="F7639" s="103" t="str">
        <f aca="false">IF($C7639="","",$D7639*$E7639)</f>
        <v/>
      </c>
      <c r="G7639" s="103" t="str">
        <f aca="false">IF($C7639="","",$D7639*IFERROR(INDEX('تحليل التكلفة والسعر'!$C$2:$C$700,MATCH($C7639,'تحليل التكلفة والسعر'!$B$2:$B$700,0)),0))</f>
        <v/>
      </c>
    </row>
    <row r="7640" customFormat="false" ht="15" hidden="false" customHeight="false" outlineLevel="0" collapsed="false">
      <c r="A7640" s="102"/>
      <c r="E7640" s="103" t="str">
        <f aca="false">IF($C7640="","",IFERROR(INDEX(المنيو!$C$2:$C$500,MATCH($C7640,المنيو!$B$2:$B$500,0)),0))</f>
        <v/>
      </c>
      <c r="F7640" s="103" t="str">
        <f aca="false">IF($C7640="","",$D7640*$E7640)</f>
        <v/>
      </c>
      <c r="G7640" s="103" t="str">
        <f aca="false">IF($C7640="","",$D7640*IFERROR(INDEX('تحليل التكلفة والسعر'!$C$2:$C$700,MATCH($C7640,'تحليل التكلفة والسعر'!$B$2:$B$700,0)),0))</f>
        <v/>
      </c>
    </row>
    <row r="7641" customFormat="false" ht="15" hidden="false" customHeight="false" outlineLevel="0" collapsed="false">
      <c r="A7641" s="102"/>
      <c r="E7641" s="103" t="str">
        <f aca="false">IF($C7641="","",IFERROR(INDEX(المنيو!$C$2:$C$500,MATCH($C7641,المنيو!$B$2:$B$500,0)),0))</f>
        <v/>
      </c>
      <c r="F7641" s="103" t="str">
        <f aca="false">IF($C7641="","",$D7641*$E7641)</f>
        <v/>
      </c>
      <c r="G7641" s="103" t="str">
        <f aca="false">IF($C7641="","",$D7641*IFERROR(INDEX('تحليل التكلفة والسعر'!$C$2:$C$700,MATCH($C7641,'تحليل التكلفة والسعر'!$B$2:$B$700,0)),0))</f>
        <v/>
      </c>
    </row>
    <row r="7642" customFormat="false" ht="15" hidden="false" customHeight="false" outlineLevel="0" collapsed="false">
      <c r="A7642" s="102"/>
      <c r="E7642" s="103" t="str">
        <f aca="false">IF($C7642="","",IFERROR(INDEX(المنيو!$C$2:$C$500,MATCH($C7642,المنيو!$B$2:$B$500,0)),0))</f>
        <v/>
      </c>
      <c r="F7642" s="103" t="str">
        <f aca="false">IF($C7642="","",$D7642*$E7642)</f>
        <v/>
      </c>
      <c r="G7642" s="103" t="str">
        <f aca="false">IF($C7642="","",$D7642*IFERROR(INDEX('تحليل التكلفة والسعر'!$C$2:$C$700,MATCH($C7642,'تحليل التكلفة والسعر'!$B$2:$B$700,0)),0))</f>
        <v/>
      </c>
    </row>
    <row r="7643" customFormat="false" ht="15" hidden="false" customHeight="false" outlineLevel="0" collapsed="false">
      <c r="A7643" s="102"/>
      <c r="E7643" s="103" t="str">
        <f aca="false">IF($C7643="","",IFERROR(INDEX(المنيو!$C$2:$C$500,MATCH($C7643,المنيو!$B$2:$B$500,0)),0))</f>
        <v/>
      </c>
      <c r="F7643" s="103" t="str">
        <f aca="false">IF($C7643="","",$D7643*$E7643)</f>
        <v/>
      </c>
      <c r="G7643" s="103" t="str">
        <f aca="false">IF($C7643="","",$D7643*IFERROR(INDEX('تحليل التكلفة والسعر'!$C$2:$C$700,MATCH($C7643,'تحليل التكلفة والسعر'!$B$2:$B$700,0)),0))</f>
        <v/>
      </c>
    </row>
    <row r="7644" customFormat="false" ht="15" hidden="false" customHeight="false" outlineLevel="0" collapsed="false">
      <c r="A7644" s="102"/>
      <c r="E7644" s="103" t="str">
        <f aca="false">IF($C7644="","",IFERROR(INDEX(المنيو!$C$2:$C$500,MATCH($C7644,المنيو!$B$2:$B$500,0)),0))</f>
        <v/>
      </c>
      <c r="F7644" s="103" t="str">
        <f aca="false">IF($C7644="","",$D7644*$E7644)</f>
        <v/>
      </c>
      <c r="G7644" s="103" t="str">
        <f aca="false">IF($C7644="","",$D7644*IFERROR(INDEX('تحليل التكلفة والسعر'!$C$2:$C$700,MATCH($C7644,'تحليل التكلفة والسعر'!$B$2:$B$700,0)),0))</f>
        <v/>
      </c>
    </row>
    <row r="7645" customFormat="false" ht="15" hidden="false" customHeight="false" outlineLevel="0" collapsed="false">
      <c r="A7645" s="102"/>
      <c r="E7645" s="103" t="str">
        <f aca="false">IF($C7645="","",IFERROR(INDEX(المنيو!$C$2:$C$500,MATCH($C7645,المنيو!$B$2:$B$500,0)),0))</f>
        <v/>
      </c>
      <c r="F7645" s="103" t="str">
        <f aca="false">IF($C7645="","",$D7645*$E7645)</f>
        <v/>
      </c>
      <c r="G7645" s="103" t="str">
        <f aca="false">IF($C7645="","",$D7645*IFERROR(INDEX('تحليل التكلفة والسعر'!$C$2:$C$700,MATCH($C7645,'تحليل التكلفة والسعر'!$B$2:$B$700,0)),0))</f>
        <v/>
      </c>
    </row>
    <row r="7646" customFormat="false" ht="15" hidden="false" customHeight="false" outlineLevel="0" collapsed="false">
      <c r="A7646" s="102"/>
      <c r="E7646" s="103" t="str">
        <f aca="false">IF($C7646="","",IFERROR(INDEX(المنيو!$C$2:$C$500,MATCH($C7646,المنيو!$B$2:$B$500,0)),0))</f>
        <v/>
      </c>
      <c r="F7646" s="103" t="str">
        <f aca="false">IF($C7646="","",$D7646*$E7646)</f>
        <v/>
      </c>
      <c r="G7646" s="103" t="str">
        <f aca="false">IF($C7646="","",$D7646*IFERROR(INDEX('تحليل التكلفة والسعر'!$C$2:$C$700,MATCH($C7646,'تحليل التكلفة والسعر'!$B$2:$B$700,0)),0))</f>
        <v/>
      </c>
    </row>
    <row r="7647" customFormat="false" ht="15" hidden="false" customHeight="false" outlineLevel="0" collapsed="false">
      <c r="A7647" s="102"/>
      <c r="E7647" s="103" t="str">
        <f aca="false">IF($C7647="","",IFERROR(INDEX(المنيو!$C$2:$C$500,MATCH($C7647,المنيو!$B$2:$B$500,0)),0))</f>
        <v/>
      </c>
      <c r="F7647" s="103" t="str">
        <f aca="false">IF($C7647="","",$D7647*$E7647)</f>
        <v/>
      </c>
      <c r="G7647" s="103" t="str">
        <f aca="false">IF($C7647="","",$D7647*IFERROR(INDEX('تحليل التكلفة والسعر'!$C$2:$C$700,MATCH($C7647,'تحليل التكلفة والسعر'!$B$2:$B$700,0)),0))</f>
        <v/>
      </c>
    </row>
    <row r="7648" customFormat="false" ht="15" hidden="false" customHeight="false" outlineLevel="0" collapsed="false">
      <c r="A7648" s="102"/>
      <c r="E7648" s="103" t="str">
        <f aca="false">IF($C7648="","",IFERROR(INDEX(المنيو!$C$2:$C$500,MATCH($C7648,المنيو!$B$2:$B$500,0)),0))</f>
        <v/>
      </c>
      <c r="F7648" s="103" t="str">
        <f aca="false">IF($C7648="","",$D7648*$E7648)</f>
        <v/>
      </c>
      <c r="G7648" s="103" t="str">
        <f aca="false">IF($C7648="","",$D7648*IFERROR(INDEX('تحليل التكلفة والسعر'!$C$2:$C$700,MATCH($C7648,'تحليل التكلفة والسعر'!$B$2:$B$700,0)),0))</f>
        <v/>
      </c>
    </row>
    <row r="7649" customFormat="false" ht="15" hidden="false" customHeight="false" outlineLevel="0" collapsed="false">
      <c r="A7649" s="102"/>
      <c r="E7649" s="103" t="str">
        <f aca="false">IF($C7649="","",IFERROR(INDEX(المنيو!$C$2:$C$500,MATCH($C7649,المنيو!$B$2:$B$500,0)),0))</f>
        <v/>
      </c>
      <c r="F7649" s="103" t="str">
        <f aca="false">IF($C7649="","",$D7649*$E7649)</f>
        <v/>
      </c>
      <c r="G7649" s="103" t="str">
        <f aca="false">IF($C7649="","",$D7649*IFERROR(INDEX('تحليل التكلفة والسعر'!$C$2:$C$700,MATCH($C7649,'تحليل التكلفة والسعر'!$B$2:$B$700,0)),0))</f>
        <v/>
      </c>
    </row>
    <row r="7650" customFormat="false" ht="15" hidden="false" customHeight="false" outlineLevel="0" collapsed="false">
      <c r="A7650" s="102"/>
      <c r="E7650" s="103" t="str">
        <f aca="false">IF($C7650="","",IFERROR(INDEX(المنيو!$C$2:$C$500,MATCH($C7650,المنيو!$B$2:$B$500,0)),0))</f>
        <v/>
      </c>
      <c r="F7650" s="103" t="str">
        <f aca="false">IF($C7650="","",$D7650*$E7650)</f>
        <v/>
      </c>
      <c r="G7650" s="103" t="str">
        <f aca="false">IF($C7650="","",$D7650*IFERROR(INDEX('تحليل التكلفة والسعر'!$C$2:$C$700,MATCH($C7650,'تحليل التكلفة والسعر'!$B$2:$B$700,0)),0))</f>
        <v/>
      </c>
    </row>
    <row r="7651" customFormat="false" ht="15" hidden="false" customHeight="false" outlineLevel="0" collapsed="false">
      <c r="A7651" s="102"/>
      <c r="E7651" s="103" t="str">
        <f aca="false">IF($C7651="","",IFERROR(INDEX(المنيو!$C$2:$C$500,MATCH($C7651,المنيو!$B$2:$B$500,0)),0))</f>
        <v/>
      </c>
      <c r="F7651" s="103" t="str">
        <f aca="false">IF($C7651="","",$D7651*$E7651)</f>
        <v/>
      </c>
      <c r="G7651" s="103" t="str">
        <f aca="false">IF($C7651="","",$D7651*IFERROR(INDEX('تحليل التكلفة والسعر'!$C$2:$C$700,MATCH($C7651,'تحليل التكلفة والسعر'!$B$2:$B$700,0)),0))</f>
        <v/>
      </c>
    </row>
    <row r="7652" customFormat="false" ht="15" hidden="false" customHeight="false" outlineLevel="0" collapsed="false">
      <c r="A7652" s="102"/>
      <c r="E7652" s="103" t="str">
        <f aca="false">IF($C7652="","",IFERROR(INDEX(المنيو!$C$2:$C$500,MATCH($C7652,المنيو!$B$2:$B$500,0)),0))</f>
        <v/>
      </c>
      <c r="F7652" s="103" t="str">
        <f aca="false">IF($C7652="","",$D7652*$E7652)</f>
        <v/>
      </c>
      <c r="G7652" s="103" t="str">
        <f aca="false">IF($C7652="","",$D7652*IFERROR(INDEX('تحليل التكلفة والسعر'!$C$2:$C$700,MATCH($C7652,'تحليل التكلفة والسعر'!$B$2:$B$700,0)),0))</f>
        <v/>
      </c>
    </row>
    <row r="7653" customFormat="false" ht="15" hidden="false" customHeight="false" outlineLevel="0" collapsed="false">
      <c r="A7653" s="102"/>
      <c r="E7653" s="103" t="str">
        <f aca="false">IF($C7653="","",IFERROR(INDEX(المنيو!$C$2:$C$500,MATCH($C7653,المنيو!$B$2:$B$500,0)),0))</f>
        <v/>
      </c>
      <c r="F7653" s="103" t="str">
        <f aca="false">IF($C7653="","",$D7653*$E7653)</f>
        <v/>
      </c>
      <c r="G7653" s="103" t="str">
        <f aca="false">IF($C7653="","",$D7653*IFERROR(INDEX('تحليل التكلفة والسعر'!$C$2:$C$700,MATCH($C7653,'تحليل التكلفة والسعر'!$B$2:$B$700,0)),0))</f>
        <v/>
      </c>
    </row>
    <row r="7654" customFormat="false" ht="15" hidden="false" customHeight="false" outlineLevel="0" collapsed="false">
      <c r="A7654" s="102"/>
      <c r="E7654" s="103" t="str">
        <f aca="false">IF($C7654="","",IFERROR(INDEX(المنيو!$C$2:$C$500,MATCH($C7654,المنيو!$B$2:$B$500,0)),0))</f>
        <v/>
      </c>
      <c r="F7654" s="103" t="str">
        <f aca="false">IF($C7654="","",$D7654*$E7654)</f>
        <v/>
      </c>
      <c r="G7654" s="103" t="str">
        <f aca="false">IF($C7654="","",$D7654*IFERROR(INDEX('تحليل التكلفة والسعر'!$C$2:$C$700,MATCH($C7654,'تحليل التكلفة والسعر'!$B$2:$B$700,0)),0))</f>
        <v/>
      </c>
    </row>
    <row r="7655" customFormat="false" ht="15" hidden="false" customHeight="false" outlineLevel="0" collapsed="false">
      <c r="A7655" s="102"/>
      <c r="E7655" s="103" t="str">
        <f aca="false">IF($C7655="","",IFERROR(INDEX(المنيو!$C$2:$C$500,MATCH($C7655,المنيو!$B$2:$B$500,0)),0))</f>
        <v/>
      </c>
      <c r="F7655" s="103" t="str">
        <f aca="false">IF($C7655="","",$D7655*$E7655)</f>
        <v/>
      </c>
      <c r="G7655" s="103" t="str">
        <f aca="false">IF($C7655="","",$D7655*IFERROR(INDEX('تحليل التكلفة والسعر'!$C$2:$C$700,MATCH($C7655,'تحليل التكلفة والسعر'!$B$2:$B$700,0)),0))</f>
        <v/>
      </c>
    </row>
    <row r="7656" customFormat="false" ht="15" hidden="false" customHeight="false" outlineLevel="0" collapsed="false">
      <c r="A7656" s="102"/>
      <c r="E7656" s="103" t="str">
        <f aca="false">IF($C7656="","",IFERROR(INDEX(المنيو!$C$2:$C$500,MATCH($C7656,المنيو!$B$2:$B$500,0)),0))</f>
        <v/>
      </c>
      <c r="F7656" s="103" t="str">
        <f aca="false">IF($C7656="","",$D7656*$E7656)</f>
        <v/>
      </c>
      <c r="G7656" s="103" t="str">
        <f aca="false">IF($C7656="","",$D7656*IFERROR(INDEX('تحليل التكلفة والسعر'!$C$2:$C$700,MATCH($C7656,'تحليل التكلفة والسعر'!$B$2:$B$700,0)),0))</f>
        <v/>
      </c>
    </row>
    <row r="7657" customFormat="false" ht="15" hidden="false" customHeight="false" outlineLevel="0" collapsed="false">
      <c r="A7657" s="102"/>
      <c r="E7657" s="103" t="str">
        <f aca="false">IF($C7657="","",IFERROR(INDEX(المنيو!$C$2:$C$500,MATCH($C7657,المنيو!$B$2:$B$500,0)),0))</f>
        <v/>
      </c>
      <c r="F7657" s="103" t="str">
        <f aca="false">IF($C7657="","",$D7657*$E7657)</f>
        <v/>
      </c>
      <c r="G7657" s="103" t="str">
        <f aca="false">IF($C7657="","",$D7657*IFERROR(INDEX('تحليل التكلفة والسعر'!$C$2:$C$700,MATCH($C7657,'تحليل التكلفة والسعر'!$B$2:$B$700,0)),0))</f>
        <v/>
      </c>
    </row>
    <row r="7658" customFormat="false" ht="15" hidden="false" customHeight="false" outlineLevel="0" collapsed="false">
      <c r="A7658" s="102"/>
      <c r="E7658" s="103" t="str">
        <f aca="false">IF($C7658="","",IFERROR(INDEX(المنيو!$C$2:$C$500,MATCH($C7658,المنيو!$B$2:$B$500,0)),0))</f>
        <v/>
      </c>
      <c r="F7658" s="103" t="str">
        <f aca="false">IF($C7658="","",$D7658*$E7658)</f>
        <v/>
      </c>
      <c r="G7658" s="103" t="str">
        <f aca="false">IF($C7658="","",$D7658*IFERROR(INDEX('تحليل التكلفة والسعر'!$C$2:$C$700,MATCH($C7658,'تحليل التكلفة والسعر'!$B$2:$B$700,0)),0))</f>
        <v/>
      </c>
    </row>
    <row r="7659" customFormat="false" ht="15" hidden="false" customHeight="false" outlineLevel="0" collapsed="false">
      <c r="A7659" s="102"/>
      <c r="E7659" s="103" t="str">
        <f aca="false">IF($C7659="","",IFERROR(INDEX(المنيو!$C$2:$C$500,MATCH($C7659,المنيو!$B$2:$B$500,0)),0))</f>
        <v/>
      </c>
      <c r="F7659" s="103" t="str">
        <f aca="false">IF($C7659="","",$D7659*$E7659)</f>
        <v/>
      </c>
      <c r="G7659" s="103" t="str">
        <f aca="false">IF($C7659="","",$D7659*IFERROR(INDEX('تحليل التكلفة والسعر'!$C$2:$C$700,MATCH($C7659,'تحليل التكلفة والسعر'!$B$2:$B$700,0)),0))</f>
        <v/>
      </c>
    </row>
    <row r="7660" customFormat="false" ht="15" hidden="false" customHeight="false" outlineLevel="0" collapsed="false">
      <c r="A7660" s="102"/>
      <c r="E7660" s="103" t="str">
        <f aca="false">IF($C7660="","",IFERROR(INDEX(المنيو!$C$2:$C$500,MATCH($C7660,المنيو!$B$2:$B$500,0)),0))</f>
        <v/>
      </c>
      <c r="F7660" s="103" t="str">
        <f aca="false">IF($C7660="","",$D7660*$E7660)</f>
        <v/>
      </c>
      <c r="G7660" s="103" t="str">
        <f aca="false">IF($C7660="","",$D7660*IFERROR(INDEX('تحليل التكلفة والسعر'!$C$2:$C$700,MATCH($C7660,'تحليل التكلفة والسعر'!$B$2:$B$700,0)),0))</f>
        <v/>
      </c>
    </row>
    <row r="7661" customFormat="false" ht="15" hidden="false" customHeight="false" outlineLevel="0" collapsed="false">
      <c r="A7661" s="102"/>
      <c r="E7661" s="103" t="str">
        <f aca="false">IF($C7661="","",IFERROR(INDEX(المنيو!$C$2:$C$500,MATCH($C7661,المنيو!$B$2:$B$500,0)),0))</f>
        <v/>
      </c>
      <c r="F7661" s="103" t="str">
        <f aca="false">IF($C7661="","",$D7661*$E7661)</f>
        <v/>
      </c>
      <c r="G7661" s="103" t="str">
        <f aca="false">IF($C7661="","",$D7661*IFERROR(INDEX('تحليل التكلفة والسعر'!$C$2:$C$700,MATCH($C7661,'تحليل التكلفة والسعر'!$B$2:$B$700,0)),0))</f>
        <v/>
      </c>
    </row>
    <row r="7662" customFormat="false" ht="15" hidden="false" customHeight="false" outlineLevel="0" collapsed="false">
      <c r="A7662" s="102"/>
      <c r="E7662" s="103" t="str">
        <f aca="false">IF($C7662="","",IFERROR(INDEX(المنيو!$C$2:$C$500,MATCH($C7662,المنيو!$B$2:$B$500,0)),0))</f>
        <v/>
      </c>
      <c r="F7662" s="103" t="str">
        <f aca="false">IF($C7662="","",$D7662*$E7662)</f>
        <v/>
      </c>
      <c r="G7662" s="103" t="str">
        <f aca="false">IF($C7662="","",$D7662*IFERROR(INDEX('تحليل التكلفة والسعر'!$C$2:$C$700,MATCH($C7662,'تحليل التكلفة والسعر'!$B$2:$B$700,0)),0))</f>
        <v/>
      </c>
    </row>
    <row r="7663" customFormat="false" ht="15" hidden="false" customHeight="false" outlineLevel="0" collapsed="false">
      <c r="A7663" s="102"/>
      <c r="E7663" s="103" t="str">
        <f aca="false">IF($C7663="","",IFERROR(INDEX(المنيو!$C$2:$C$500,MATCH($C7663,المنيو!$B$2:$B$500,0)),0))</f>
        <v/>
      </c>
      <c r="F7663" s="103" t="str">
        <f aca="false">IF($C7663="","",$D7663*$E7663)</f>
        <v/>
      </c>
      <c r="G7663" s="103" t="str">
        <f aca="false">IF($C7663="","",$D7663*IFERROR(INDEX('تحليل التكلفة والسعر'!$C$2:$C$700,MATCH($C7663,'تحليل التكلفة والسعر'!$B$2:$B$700,0)),0))</f>
        <v/>
      </c>
    </row>
    <row r="7664" customFormat="false" ht="15" hidden="false" customHeight="false" outlineLevel="0" collapsed="false">
      <c r="A7664" s="102"/>
      <c r="E7664" s="103" t="str">
        <f aca="false">IF($C7664="","",IFERROR(INDEX(المنيو!$C$2:$C$500,MATCH($C7664,المنيو!$B$2:$B$500,0)),0))</f>
        <v/>
      </c>
      <c r="F7664" s="103" t="str">
        <f aca="false">IF($C7664="","",$D7664*$E7664)</f>
        <v/>
      </c>
      <c r="G7664" s="103" t="str">
        <f aca="false">IF($C7664="","",$D7664*IFERROR(INDEX('تحليل التكلفة والسعر'!$C$2:$C$700,MATCH($C7664,'تحليل التكلفة والسعر'!$B$2:$B$700,0)),0))</f>
        <v/>
      </c>
    </row>
    <row r="7665" customFormat="false" ht="15" hidden="false" customHeight="false" outlineLevel="0" collapsed="false">
      <c r="A7665" s="102"/>
      <c r="E7665" s="103" t="str">
        <f aca="false">IF($C7665="","",IFERROR(INDEX(المنيو!$C$2:$C$500,MATCH($C7665,المنيو!$B$2:$B$500,0)),0))</f>
        <v/>
      </c>
      <c r="F7665" s="103" t="str">
        <f aca="false">IF($C7665="","",$D7665*$E7665)</f>
        <v/>
      </c>
      <c r="G7665" s="103" t="str">
        <f aca="false">IF($C7665="","",$D7665*IFERROR(INDEX('تحليل التكلفة والسعر'!$C$2:$C$700,MATCH($C7665,'تحليل التكلفة والسعر'!$B$2:$B$700,0)),0))</f>
        <v/>
      </c>
    </row>
    <row r="7666" customFormat="false" ht="15" hidden="false" customHeight="false" outlineLevel="0" collapsed="false">
      <c r="A7666" s="102"/>
      <c r="E7666" s="103" t="str">
        <f aca="false">IF($C7666="","",IFERROR(INDEX(المنيو!$C$2:$C$500,MATCH($C7666,المنيو!$B$2:$B$500,0)),0))</f>
        <v/>
      </c>
      <c r="F7666" s="103" t="str">
        <f aca="false">IF($C7666="","",$D7666*$E7666)</f>
        <v/>
      </c>
      <c r="G7666" s="103" t="str">
        <f aca="false">IF($C7666="","",$D7666*IFERROR(INDEX('تحليل التكلفة والسعر'!$C$2:$C$700,MATCH($C7666,'تحليل التكلفة والسعر'!$B$2:$B$700,0)),0))</f>
        <v/>
      </c>
    </row>
    <row r="7667" customFormat="false" ht="15" hidden="false" customHeight="false" outlineLevel="0" collapsed="false">
      <c r="A7667" s="102"/>
      <c r="E7667" s="103" t="str">
        <f aca="false">IF($C7667="","",IFERROR(INDEX(المنيو!$C$2:$C$500,MATCH($C7667,المنيو!$B$2:$B$500,0)),0))</f>
        <v/>
      </c>
      <c r="F7667" s="103" t="str">
        <f aca="false">IF($C7667="","",$D7667*$E7667)</f>
        <v/>
      </c>
      <c r="G7667" s="103" t="str">
        <f aca="false">IF($C7667="","",$D7667*IFERROR(INDEX('تحليل التكلفة والسعر'!$C$2:$C$700,MATCH($C7667,'تحليل التكلفة والسعر'!$B$2:$B$700,0)),0))</f>
        <v/>
      </c>
    </row>
    <row r="7668" customFormat="false" ht="15" hidden="false" customHeight="false" outlineLevel="0" collapsed="false">
      <c r="A7668" s="102"/>
      <c r="E7668" s="103" t="str">
        <f aca="false">IF($C7668="","",IFERROR(INDEX(المنيو!$C$2:$C$500,MATCH($C7668,المنيو!$B$2:$B$500,0)),0))</f>
        <v/>
      </c>
      <c r="F7668" s="103" t="str">
        <f aca="false">IF($C7668="","",$D7668*$E7668)</f>
        <v/>
      </c>
      <c r="G7668" s="103" t="str">
        <f aca="false">IF($C7668="","",$D7668*IFERROR(INDEX('تحليل التكلفة والسعر'!$C$2:$C$700,MATCH($C7668,'تحليل التكلفة والسعر'!$B$2:$B$700,0)),0))</f>
        <v/>
      </c>
    </row>
    <row r="7669" customFormat="false" ht="15" hidden="false" customHeight="false" outlineLevel="0" collapsed="false">
      <c r="A7669" s="102"/>
      <c r="E7669" s="103" t="str">
        <f aca="false">IF($C7669="","",IFERROR(INDEX(المنيو!$C$2:$C$500,MATCH($C7669,المنيو!$B$2:$B$500,0)),0))</f>
        <v/>
      </c>
      <c r="F7669" s="103" t="str">
        <f aca="false">IF($C7669="","",$D7669*$E7669)</f>
        <v/>
      </c>
      <c r="G7669" s="103" t="str">
        <f aca="false">IF($C7669="","",$D7669*IFERROR(INDEX('تحليل التكلفة والسعر'!$C$2:$C$700,MATCH($C7669,'تحليل التكلفة والسعر'!$B$2:$B$700,0)),0))</f>
        <v/>
      </c>
    </row>
    <row r="7670" customFormat="false" ht="15" hidden="false" customHeight="false" outlineLevel="0" collapsed="false">
      <c r="A7670" s="102"/>
      <c r="E7670" s="103" t="str">
        <f aca="false">IF($C7670="","",IFERROR(INDEX(المنيو!$C$2:$C$500,MATCH($C7670,المنيو!$B$2:$B$500,0)),0))</f>
        <v/>
      </c>
      <c r="F7670" s="103" t="str">
        <f aca="false">IF($C7670="","",$D7670*$E7670)</f>
        <v/>
      </c>
      <c r="G7670" s="103" t="str">
        <f aca="false">IF($C7670="","",$D7670*IFERROR(INDEX('تحليل التكلفة والسعر'!$C$2:$C$700,MATCH($C7670,'تحليل التكلفة والسعر'!$B$2:$B$700,0)),0))</f>
        <v/>
      </c>
    </row>
    <row r="7671" customFormat="false" ht="15" hidden="false" customHeight="false" outlineLevel="0" collapsed="false">
      <c r="A7671" s="102"/>
      <c r="E7671" s="103" t="str">
        <f aca="false">IF($C7671="","",IFERROR(INDEX(المنيو!$C$2:$C$500,MATCH($C7671,المنيو!$B$2:$B$500,0)),0))</f>
        <v/>
      </c>
      <c r="F7671" s="103" t="str">
        <f aca="false">IF($C7671="","",$D7671*$E7671)</f>
        <v/>
      </c>
      <c r="G7671" s="103" t="str">
        <f aca="false">IF($C7671="","",$D7671*IFERROR(INDEX('تحليل التكلفة والسعر'!$C$2:$C$700,MATCH($C7671,'تحليل التكلفة والسعر'!$B$2:$B$700,0)),0))</f>
        <v/>
      </c>
    </row>
    <row r="7672" customFormat="false" ht="15" hidden="false" customHeight="false" outlineLevel="0" collapsed="false">
      <c r="A7672" s="102"/>
      <c r="E7672" s="103" t="str">
        <f aca="false">IF($C7672="","",IFERROR(INDEX(المنيو!$C$2:$C$500,MATCH($C7672,المنيو!$B$2:$B$500,0)),0))</f>
        <v/>
      </c>
      <c r="F7672" s="103" t="str">
        <f aca="false">IF($C7672="","",$D7672*$E7672)</f>
        <v/>
      </c>
      <c r="G7672" s="103" t="str">
        <f aca="false">IF($C7672="","",$D7672*IFERROR(INDEX('تحليل التكلفة والسعر'!$C$2:$C$700,MATCH($C7672,'تحليل التكلفة والسعر'!$B$2:$B$700,0)),0))</f>
        <v/>
      </c>
    </row>
    <row r="7673" customFormat="false" ht="15" hidden="false" customHeight="false" outlineLevel="0" collapsed="false">
      <c r="A7673" s="102"/>
      <c r="E7673" s="103" t="str">
        <f aca="false">IF($C7673="","",IFERROR(INDEX(المنيو!$C$2:$C$500,MATCH($C7673,المنيو!$B$2:$B$500,0)),0))</f>
        <v/>
      </c>
      <c r="F7673" s="103" t="str">
        <f aca="false">IF($C7673="","",$D7673*$E7673)</f>
        <v/>
      </c>
      <c r="G7673" s="103" t="str">
        <f aca="false">IF($C7673="","",$D7673*IFERROR(INDEX('تحليل التكلفة والسعر'!$C$2:$C$700,MATCH($C7673,'تحليل التكلفة والسعر'!$B$2:$B$700,0)),0))</f>
        <v/>
      </c>
    </row>
    <row r="7674" customFormat="false" ht="15" hidden="false" customHeight="false" outlineLevel="0" collapsed="false">
      <c r="A7674" s="102"/>
      <c r="E7674" s="103" t="str">
        <f aca="false">IF($C7674="","",IFERROR(INDEX(المنيو!$C$2:$C$500,MATCH($C7674,المنيو!$B$2:$B$500,0)),0))</f>
        <v/>
      </c>
      <c r="F7674" s="103" t="str">
        <f aca="false">IF($C7674="","",$D7674*$E7674)</f>
        <v/>
      </c>
      <c r="G7674" s="103" t="str">
        <f aca="false">IF($C7674="","",$D7674*IFERROR(INDEX('تحليل التكلفة والسعر'!$C$2:$C$700,MATCH($C7674,'تحليل التكلفة والسعر'!$B$2:$B$700,0)),0))</f>
        <v/>
      </c>
    </row>
    <row r="7675" customFormat="false" ht="15" hidden="false" customHeight="false" outlineLevel="0" collapsed="false">
      <c r="A7675" s="102"/>
      <c r="E7675" s="103" t="str">
        <f aca="false">IF($C7675="","",IFERROR(INDEX(المنيو!$C$2:$C$500,MATCH($C7675,المنيو!$B$2:$B$500,0)),0))</f>
        <v/>
      </c>
      <c r="F7675" s="103" t="str">
        <f aca="false">IF($C7675="","",$D7675*$E7675)</f>
        <v/>
      </c>
      <c r="G7675" s="103" t="str">
        <f aca="false">IF($C7675="","",$D7675*IFERROR(INDEX('تحليل التكلفة والسعر'!$C$2:$C$700,MATCH($C7675,'تحليل التكلفة والسعر'!$B$2:$B$700,0)),0))</f>
        <v/>
      </c>
    </row>
    <row r="7676" customFormat="false" ht="15" hidden="false" customHeight="false" outlineLevel="0" collapsed="false">
      <c r="A7676" s="102"/>
      <c r="E7676" s="103" t="str">
        <f aca="false">IF($C7676="","",IFERROR(INDEX(المنيو!$C$2:$C$500,MATCH($C7676,المنيو!$B$2:$B$500,0)),0))</f>
        <v/>
      </c>
      <c r="F7676" s="103" t="str">
        <f aca="false">IF($C7676="","",$D7676*$E7676)</f>
        <v/>
      </c>
      <c r="G7676" s="103" t="str">
        <f aca="false">IF($C7676="","",$D7676*IFERROR(INDEX('تحليل التكلفة والسعر'!$C$2:$C$700,MATCH($C7676,'تحليل التكلفة والسعر'!$B$2:$B$700,0)),0))</f>
        <v/>
      </c>
    </row>
    <row r="7677" customFormat="false" ht="15" hidden="false" customHeight="false" outlineLevel="0" collapsed="false">
      <c r="A7677" s="102"/>
      <c r="E7677" s="103" t="str">
        <f aca="false">IF($C7677="","",IFERROR(INDEX(المنيو!$C$2:$C$500,MATCH($C7677,المنيو!$B$2:$B$500,0)),0))</f>
        <v/>
      </c>
      <c r="F7677" s="103" t="str">
        <f aca="false">IF($C7677="","",$D7677*$E7677)</f>
        <v/>
      </c>
      <c r="G7677" s="103" t="str">
        <f aca="false">IF($C7677="","",$D7677*IFERROR(INDEX('تحليل التكلفة والسعر'!$C$2:$C$700,MATCH($C7677,'تحليل التكلفة والسعر'!$B$2:$B$700,0)),0))</f>
        <v/>
      </c>
    </row>
    <row r="7678" customFormat="false" ht="15" hidden="false" customHeight="false" outlineLevel="0" collapsed="false">
      <c r="A7678" s="102"/>
      <c r="E7678" s="103" t="str">
        <f aca="false">IF($C7678="","",IFERROR(INDEX(المنيو!$C$2:$C$500,MATCH($C7678,المنيو!$B$2:$B$500,0)),0))</f>
        <v/>
      </c>
      <c r="F7678" s="103" t="str">
        <f aca="false">IF($C7678="","",$D7678*$E7678)</f>
        <v/>
      </c>
      <c r="G7678" s="103" t="str">
        <f aca="false">IF($C7678="","",$D7678*IFERROR(INDEX('تحليل التكلفة والسعر'!$C$2:$C$700,MATCH($C7678,'تحليل التكلفة والسعر'!$B$2:$B$700,0)),0))</f>
        <v/>
      </c>
    </row>
    <row r="7679" customFormat="false" ht="15" hidden="false" customHeight="false" outlineLevel="0" collapsed="false">
      <c r="A7679" s="102"/>
      <c r="E7679" s="103" t="str">
        <f aca="false">IF($C7679="","",IFERROR(INDEX(المنيو!$C$2:$C$500,MATCH($C7679,المنيو!$B$2:$B$500,0)),0))</f>
        <v/>
      </c>
      <c r="F7679" s="103" t="str">
        <f aca="false">IF($C7679="","",$D7679*$E7679)</f>
        <v/>
      </c>
      <c r="G7679" s="103" t="str">
        <f aca="false">IF($C7679="","",$D7679*IFERROR(INDEX('تحليل التكلفة والسعر'!$C$2:$C$700,MATCH($C7679,'تحليل التكلفة والسعر'!$B$2:$B$700,0)),0))</f>
        <v/>
      </c>
    </row>
    <row r="7680" customFormat="false" ht="15" hidden="false" customHeight="false" outlineLevel="0" collapsed="false">
      <c r="A7680" s="102"/>
      <c r="E7680" s="103" t="str">
        <f aca="false">IF($C7680="","",IFERROR(INDEX(المنيو!$C$2:$C$500,MATCH($C7680,المنيو!$B$2:$B$500,0)),0))</f>
        <v/>
      </c>
      <c r="F7680" s="103" t="str">
        <f aca="false">IF($C7680="","",$D7680*$E7680)</f>
        <v/>
      </c>
      <c r="G7680" s="103" t="str">
        <f aca="false">IF($C7680="","",$D7680*IFERROR(INDEX('تحليل التكلفة والسعر'!$C$2:$C$700,MATCH($C7680,'تحليل التكلفة والسعر'!$B$2:$B$700,0)),0))</f>
        <v/>
      </c>
    </row>
    <row r="7681" customFormat="false" ht="15" hidden="false" customHeight="false" outlineLevel="0" collapsed="false">
      <c r="A7681" s="102"/>
      <c r="E7681" s="103" t="str">
        <f aca="false">IF($C7681="","",IFERROR(INDEX(المنيو!$C$2:$C$500,MATCH($C7681,المنيو!$B$2:$B$500,0)),0))</f>
        <v/>
      </c>
      <c r="F7681" s="103" t="str">
        <f aca="false">IF($C7681="","",$D7681*$E7681)</f>
        <v/>
      </c>
      <c r="G7681" s="103" t="str">
        <f aca="false">IF($C7681="","",$D7681*IFERROR(INDEX('تحليل التكلفة والسعر'!$C$2:$C$700,MATCH($C7681,'تحليل التكلفة والسعر'!$B$2:$B$700,0)),0))</f>
        <v/>
      </c>
    </row>
    <row r="7682" customFormat="false" ht="15" hidden="false" customHeight="false" outlineLevel="0" collapsed="false">
      <c r="A7682" s="102"/>
      <c r="E7682" s="103" t="str">
        <f aca="false">IF($C7682="","",IFERROR(INDEX(المنيو!$C$2:$C$500,MATCH($C7682,المنيو!$B$2:$B$500,0)),0))</f>
        <v/>
      </c>
      <c r="F7682" s="103" t="str">
        <f aca="false">IF($C7682="","",$D7682*$E7682)</f>
        <v/>
      </c>
      <c r="G7682" s="103" t="str">
        <f aca="false">IF($C7682="","",$D7682*IFERROR(INDEX('تحليل التكلفة والسعر'!$C$2:$C$700,MATCH($C7682,'تحليل التكلفة والسعر'!$B$2:$B$700,0)),0))</f>
        <v/>
      </c>
    </row>
    <row r="7683" customFormat="false" ht="15" hidden="false" customHeight="false" outlineLevel="0" collapsed="false">
      <c r="A7683" s="102"/>
      <c r="E7683" s="103" t="str">
        <f aca="false">IF($C7683="","",IFERROR(INDEX(المنيو!$C$2:$C$500,MATCH($C7683,المنيو!$B$2:$B$500,0)),0))</f>
        <v/>
      </c>
      <c r="F7683" s="103" t="str">
        <f aca="false">IF($C7683="","",$D7683*$E7683)</f>
        <v/>
      </c>
      <c r="G7683" s="103" t="str">
        <f aca="false">IF($C7683="","",$D7683*IFERROR(INDEX('تحليل التكلفة والسعر'!$C$2:$C$700,MATCH($C7683,'تحليل التكلفة والسعر'!$B$2:$B$700,0)),0))</f>
        <v/>
      </c>
    </row>
    <row r="7684" customFormat="false" ht="15" hidden="false" customHeight="false" outlineLevel="0" collapsed="false">
      <c r="A7684" s="102"/>
      <c r="E7684" s="103" t="str">
        <f aca="false">IF($C7684="","",IFERROR(INDEX(المنيو!$C$2:$C$500,MATCH($C7684,المنيو!$B$2:$B$500,0)),0))</f>
        <v/>
      </c>
      <c r="F7684" s="103" t="str">
        <f aca="false">IF($C7684="","",$D7684*$E7684)</f>
        <v/>
      </c>
      <c r="G7684" s="103" t="str">
        <f aca="false">IF($C7684="","",$D7684*IFERROR(INDEX('تحليل التكلفة والسعر'!$C$2:$C$700,MATCH($C7684,'تحليل التكلفة والسعر'!$B$2:$B$700,0)),0))</f>
        <v/>
      </c>
    </row>
    <row r="7685" customFormat="false" ht="15" hidden="false" customHeight="false" outlineLevel="0" collapsed="false">
      <c r="A7685" s="102"/>
      <c r="E7685" s="103" t="str">
        <f aca="false">IF($C7685="","",IFERROR(INDEX(المنيو!$C$2:$C$500,MATCH($C7685,المنيو!$B$2:$B$500,0)),0))</f>
        <v/>
      </c>
      <c r="F7685" s="103" t="str">
        <f aca="false">IF($C7685="","",$D7685*$E7685)</f>
        <v/>
      </c>
      <c r="G7685" s="103" t="str">
        <f aca="false">IF($C7685="","",$D7685*IFERROR(INDEX('تحليل التكلفة والسعر'!$C$2:$C$700,MATCH($C7685,'تحليل التكلفة والسعر'!$B$2:$B$700,0)),0))</f>
        <v/>
      </c>
    </row>
    <row r="7686" customFormat="false" ht="15" hidden="false" customHeight="false" outlineLevel="0" collapsed="false">
      <c r="A7686" s="102"/>
      <c r="E7686" s="103" t="str">
        <f aca="false">IF($C7686="","",IFERROR(INDEX(المنيو!$C$2:$C$500,MATCH($C7686,المنيو!$B$2:$B$500,0)),0))</f>
        <v/>
      </c>
      <c r="F7686" s="103" t="str">
        <f aca="false">IF($C7686="","",$D7686*$E7686)</f>
        <v/>
      </c>
      <c r="G7686" s="103" t="str">
        <f aca="false">IF($C7686="","",$D7686*IFERROR(INDEX('تحليل التكلفة والسعر'!$C$2:$C$700,MATCH($C7686,'تحليل التكلفة والسعر'!$B$2:$B$700,0)),0))</f>
        <v/>
      </c>
    </row>
    <row r="7687" customFormat="false" ht="15" hidden="false" customHeight="false" outlineLevel="0" collapsed="false">
      <c r="A7687" s="102"/>
      <c r="E7687" s="103" t="str">
        <f aca="false">IF($C7687="","",IFERROR(INDEX(المنيو!$C$2:$C$500,MATCH($C7687,المنيو!$B$2:$B$500,0)),0))</f>
        <v/>
      </c>
      <c r="F7687" s="103" t="str">
        <f aca="false">IF($C7687="","",$D7687*$E7687)</f>
        <v/>
      </c>
      <c r="G7687" s="103" t="str">
        <f aca="false">IF($C7687="","",$D7687*IFERROR(INDEX('تحليل التكلفة والسعر'!$C$2:$C$700,MATCH($C7687,'تحليل التكلفة والسعر'!$B$2:$B$700,0)),0))</f>
        <v/>
      </c>
    </row>
    <row r="7688" customFormat="false" ht="15" hidden="false" customHeight="false" outlineLevel="0" collapsed="false">
      <c r="A7688" s="102"/>
      <c r="E7688" s="103" t="str">
        <f aca="false">IF($C7688="","",IFERROR(INDEX(المنيو!$C$2:$C$500,MATCH($C7688,المنيو!$B$2:$B$500,0)),0))</f>
        <v/>
      </c>
      <c r="F7688" s="103" t="str">
        <f aca="false">IF($C7688="","",$D7688*$E7688)</f>
        <v/>
      </c>
      <c r="G7688" s="103" t="str">
        <f aca="false">IF($C7688="","",$D7688*IFERROR(INDEX('تحليل التكلفة والسعر'!$C$2:$C$700,MATCH($C7688,'تحليل التكلفة والسعر'!$B$2:$B$700,0)),0))</f>
        <v/>
      </c>
    </row>
    <row r="7689" customFormat="false" ht="15" hidden="false" customHeight="false" outlineLevel="0" collapsed="false">
      <c r="A7689" s="102"/>
      <c r="E7689" s="103" t="str">
        <f aca="false">IF($C7689="","",IFERROR(INDEX(المنيو!$C$2:$C$500,MATCH($C7689,المنيو!$B$2:$B$500,0)),0))</f>
        <v/>
      </c>
      <c r="F7689" s="103" t="str">
        <f aca="false">IF($C7689="","",$D7689*$E7689)</f>
        <v/>
      </c>
      <c r="G7689" s="103" t="str">
        <f aca="false">IF($C7689="","",$D7689*IFERROR(INDEX('تحليل التكلفة والسعر'!$C$2:$C$700,MATCH($C7689,'تحليل التكلفة والسعر'!$B$2:$B$700,0)),0))</f>
        <v/>
      </c>
    </row>
    <row r="7690" customFormat="false" ht="15" hidden="false" customHeight="false" outlineLevel="0" collapsed="false">
      <c r="A7690" s="102"/>
      <c r="E7690" s="103" t="str">
        <f aca="false">IF($C7690="","",IFERROR(INDEX(المنيو!$C$2:$C$500,MATCH($C7690,المنيو!$B$2:$B$500,0)),0))</f>
        <v/>
      </c>
      <c r="F7690" s="103" t="str">
        <f aca="false">IF($C7690="","",$D7690*$E7690)</f>
        <v/>
      </c>
      <c r="G7690" s="103" t="str">
        <f aca="false">IF($C7690="","",$D7690*IFERROR(INDEX('تحليل التكلفة والسعر'!$C$2:$C$700,MATCH($C7690,'تحليل التكلفة والسعر'!$B$2:$B$700,0)),0))</f>
        <v/>
      </c>
    </row>
    <row r="7691" customFormat="false" ht="15" hidden="false" customHeight="false" outlineLevel="0" collapsed="false">
      <c r="A7691" s="102"/>
      <c r="E7691" s="103" t="str">
        <f aca="false">IF($C7691="","",IFERROR(INDEX(المنيو!$C$2:$C$500,MATCH($C7691,المنيو!$B$2:$B$500,0)),0))</f>
        <v/>
      </c>
      <c r="F7691" s="103" t="str">
        <f aca="false">IF($C7691="","",$D7691*$E7691)</f>
        <v/>
      </c>
      <c r="G7691" s="103" t="str">
        <f aca="false">IF($C7691="","",$D7691*IFERROR(INDEX('تحليل التكلفة والسعر'!$C$2:$C$700,MATCH($C7691,'تحليل التكلفة والسعر'!$B$2:$B$700,0)),0))</f>
        <v/>
      </c>
    </row>
    <row r="7692" customFormat="false" ht="15" hidden="false" customHeight="false" outlineLevel="0" collapsed="false">
      <c r="A7692" s="102"/>
      <c r="E7692" s="103" t="str">
        <f aca="false">IF($C7692="","",IFERROR(INDEX(المنيو!$C$2:$C$500,MATCH($C7692,المنيو!$B$2:$B$500,0)),0))</f>
        <v/>
      </c>
      <c r="F7692" s="103" t="str">
        <f aca="false">IF($C7692="","",$D7692*$E7692)</f>
        <v/>
      </c>
      <c r="G7692" s="103" t="str">
        <f aca="false">IF($C7692="","",$D7692*IFERROR(INDEX('تحليل التكلفة والسعر'!$C$2:$C$700,MATCH($C7692,'تحليل التكلفة والسعر'!$B$2:$B$700,0)),0))</f>
        <v/>
      </c>
    </row>
    <row r="7693" customFormat="false" ht="15" hidden="false" customHeight="false" outlineLevel="0" collapsed="false">
      <c r="A7693" s="102"/>
      <c r="E7693" s="103" t="str">
        <f aca="false">IF($C7693="","",IFERROR(INDEX(المنيو!$C$2:$C$500,MATCH($C7693,المنيو!$B$2:$B$500,0)),0))</f>
        <v/>
      </c>
      <c r="F7693" s="103" t="str">
        <f aca="false">IF($C7693="","",$D7693*$E7693)</f>
        <v/>
      </c>
      <c r="G7693" s="103" t="str">
        <f aca="false">IF($C7693="","",$D7693*IFERROR(INDEX('تحليل التكلفة والسعر'!$C$2:$C$700,MATCH($C7693,'تحليل التكلفة والسعر'!$B$2:$B$700,0)),0))</f>
        <v/>
      </c>
    </row>
    <row r="7694" customFormat="false" ht="15" hidden="false" customHeight="false" outlineLevel="0" collapsed="false">
      <c r="A7694" s="102"/>
      <c r="E7694" s="103" t="str">
        <f aca="false">IF($C7694="","",IFERROR(INDEX(المنيو!$C$2:$C$500,MATCH($C7694,المنيو!$B$2:$B$500,0)),0))</f>
        <v/>
      </c>
      <c r="F7694" s="103" t="str">
        <f aca="false">IF($C7694="","",$D7694*$E7694)</f>
        <v/>
      </c>
      <c r="G7694" s="103" t="str">
        <f aca="false">IF($C7694="","",$D7694*IFERROR(INDEX('تحليل التكلفة والسعر'!$C$2:$C$700,MATCH($C7694,'تحليل التكلفة والسعر'!$B$2:$B$700,0)),0))</f>
        <v/>
      </c>
    </row>
    <row r="7695" customFormat="false" ht="15" hidden="false" customHeight="false" outlineLevel="0" collapsed="false">
      <c r="A7695" s="102"/>
      <c r="E7695" s="103" t="str">
        <f aca="false">IF($C7695="","",IFERROR(INDEX(المنيو!$C$2:$C$500,MATCH($C7695,المنيو!$B$2:$B$500,0)),0))</f>
        <v/>
      </c>
      <c r="F7695" s="103" t="str">
        <f aca="false">IF($C7695="","",$D7695*$E7695)</f>
        <v/>
      </c>
      <c r="G7695" s="103" t="str">
        <f aca="false">IF($C7695="","",$D7695*IFERROR(INDEX('تحليل التكلفة والسعر'!$C$2:$C$700,MATCH($C7695,'تحليل التكلفة والسعر'!$B$2:$B$700,0)),0))</f>
        <v/>
      </c>
    </row>
    <row r="7696" customFormat="false" ht="15" hidden="false" customHeight="false" outlineLevel="0" collapsed="false">
      <c r="A7696" s="102"/>
      <c r="E7696" s="103" t="str">
        <f aca="false">IF($C7696="","",IFERROR(INDEX(المنيو!$C$2:$C$500,MATCH($C7696,المنيو!$B$2:$B$500,0)),0))</f>
        <v/>
      </c>
      <c r="F7696" s="103" t="str">
        <f aca="false">IF($C7696="","",$D7696*$E7696)</f>
        <v/>
      </c>
      <c r="G7696" s="103" t="str">
        <f aca="false">IF($C7696="","",$D7696*IFERROR(INDEX('تحليل التكلفة والسعر'!$C$2:$C$700,MATCH($C7696,'تحليل التكلفة والسعر'!$B$2:$B$700,0)),0))</f>
        <v/>
      </c>
    </row>
    <row r="7697" customFormat="false" ht="15" hidden="false" customHeight="false" outlineLevel="0" collapsed="false">
      <c r="A7697" s="102"/>
      <c r="E7697" s="103" t="str">
        <f aca="false">IF($C7697="","",IFERROR(INDEX(المنيو!$C$2:$C$500,MATCH($C7697,المنيو!$B$2:$B$500,0)),0))</f>
        <v/>
      </c>
      <c r="F7697" s="103" t="str">
        <f aca="false">IF($C7697="","",$D7697*$E7697)</f>
        <v/>
      </c>
      <c r="G7697" s="103" t="str">
        <f aca="false">IF($C7697="","",$D7697*IFERROR(INDEX('تحليل التكلفة والسعر'!$C$2:$C$700,MATCH($C7697,'تحليل التكلفة والسعر'!$B$2:$B$700,0)),0))</f>
        <v/>
      </c>
    </row>
    <row r="7698" customFormat="false" ht="15" hidden="false" customHeight="false" outlineLevel="0" collapsed="false">
      <c r="A7698" s="102"/>
      <c r="E7698" s="103" t="str">
        <f aca="false">IF($C7698="","",IFERROR(INDEX(المنيو!$C$2:$C$500,MATCH($C7698,المنيو!$B$2:$B$500,0)),0))</f>
        <v/>
      </c>
      <c r="F7698" s="103" t="str">
        <f aca="false">IF($C7698="","",$D7698*$E7698)</f>
        <v/>
      </c>
      <c r="G7698" s="103" t="str">
        <f aca="false">IF($C7698="","",$D7698*IFERROR(INDEX('تحليل التكلفة والسعر'!$C$2:$C$700,MATCH($C7698,'تحليل التكلفة والسعر'!$B$2:$B$700,0)),0))</f>
        <v/>
      </c>
    </row>
    <row r="7699" customFormat="false" ht="15" hidden="false" customHeight="false" outlineLevel="0" collapsed="false">
      <c r="A7699" s="102"/>
      <c r="E7699" s="103" t="str">
        <f aca="false">IF($C7699="","",IFERROR(INDEX(المنيو!$C$2:$C$500,MATCH($C7699,المنيو!$B$2:$B$500,0)),0))</f>
        <v/>
      </c>
      <c r="F7699" s="103" t="str">
        <f aca="false">IF($C7699="","",$D7699*$E7699)</f>
        <v/>
      </c>
      <c r="G7699" s="103" t="str">
        <f aca="false">IF($C7699="","",$D7699*IFERROR(INDEX('تحليل التكلفة والسعر'!$C$2:$C$700,MATCH($C7699,'تحليل التكلفة والسعر'!$B$2:$B$700,0)),0))</f>
        <v/>
      </c>
    </row>
    <row r="7700" customFormat="false" ht="15" hidden="false" customHeight="false" outlineLevel="0" collapsed="false">
      <c r="A7700" s="102"/>
      <c r="E7700" s="103" t="str">
        <f aca="false">IF($C7700="","",IFERROR(INDEX(المنيو!$C$2:$C$500,MATCH($C7700,المنيو!$B$2:$B$500,0)),0))</f>
        <v/>
      </c>
      <c r="F7700" s="103" t="str">
        <f aca="false">IF($C7700="","",$D7700*$E7700)</f>
        <v/>
      </c>
      <c r="G7700" s="103" t="str">
        <f aca="false">IF($C7700="","",$D7700*IFERROR(INDEX('تحليل التكلفة والسعر'!$C$2:$C$700,MATCH($C7700,'تحليل التكلفة والسعر'!$B$2:$B$700,0)),0))</f>
        <v/>
      </c>
    </row>
    <row r="7701" customFormat="false" ht="15" hidden="false" customHeight="false" outlineLevel="0" collapsed="false">
      <c r="A7701" s="102"/>
      <c r="E7701" s="103" t="str">
        <f aca="false">IF($C7701="","",IFERROR(INDEX(المنيو!$C$2:$C$500,MATCH($C7701,المنيو!$B$2:$B$500,0)),0))</f>
        <v/>
      </c>
      <c r="F7701" s="103" t="str">
        <f aca="false">IF($C7701="","",$D7701*$E7701)</f>
        <v/>
      </c>
      <c r="G7701" s="103" t="str">
        <f aca="false">IF($C7701="","",$D7701*IFERROR(INDEX('تحليل التكلفة والسعر'!$C$2:$C$700,MATCH($C7701,'تحليل التكلفة والسعر'!$B$2:$B$700,0)),0))</f>
        <v/>
      </c>
    </row>
    <row r="7702" customFormat="false" ht="15" hidden="false" customHeight="false" outlineLevel="0" collapsed="false">
      <c r="A7702" s="102"/>
      <c r="E7702" s="103" t="str">
        <f aca="false">IF($C7702="","",IFERROR(INDEX(المنيو!$C$2:$C$500,MATCH($C7702,المنيو!$B$2:$B$500,0)),0))</f>
        <v/>
      </c>
      <c r="F7702" s="103" t="str">
        <f aca="false">IF($C7702="","",$D7702*$E7702)</f>
        <v/>
      </c>
      <c r="G7702" s="103" t="str">
        <f aca="false">IF($C7702="","",$D7702*IFERROR(INDEX('تحليل التكلفة والسعر'!$C$2:$C$700,MATCH($C7702,'تحليل التكلفة والسعر'!$B$2:$B$700,0)),0))</f>
        <v/>
      </c>
    </row>
    <row r="7703" customFormat="false" ht="15" hidden="false" customHeight="false" outlineLevel="0" collapsed="false">
      <c r="A7703" s="102"/>
      <c r="E7703" s="103" t="str">
        <f aca="false">IF($C7703="","",IFERROR(INDEX(المنيو!$C$2:$C$500,MATCH($C7703,المنيو!$B$2:$B$500,0)),0))</f>
        <v/>
      </c>
      <c r="F7703" s="103" t="str">
        <f aca="false">IF($C7703="","",$D7703*$E7703)</f>
        <v/>
      </c>
      <c r="G7703" s="103" t="str">
        <f aca="false">IF($C7703="","",$D7703*IFERROR(INDEX('تحليل التكلفة والسعر'!$C$2:$C$700,MATCH($C7703,'تحليل التكلفة والسعر'!$B$2:$B$700,0)),0))</f>
        <v/>
      </c>
    </row>
    <row r="7704" customFormat="false" ht="15" hidden="false" customHeight="false" outlineLevel="0" collapsed="false">
      <c r="A7704" s="102"/>
      <c r="E7704" s="103" t="str">
        <f aca="false">IF($C7704="","",IFERROR(INDEX(المنيو!$C$2:$C$500,MATCH($C7704,المنيو!$B$2:$B$500,0)),0))</f>
        <v/>
      </c>
      <c r="F7704" s="103" t="str">
        <f aca="false">IF($C7704="","",$D7704*$E7704)</f>
        <v/>
      </c>
      <c r="G7704" s="103" t="str">
        <f aca="false">IF($C7704="","",$D7704*IFERROR(INDEX('تحليل التكلفة والسعر'!$C$2:$C$700,MATCH($C7704,'تحليل التكلفة والسعر'!$B$2:$B$700,0)),0))</f>
        <v/>
      </c>
    </row>
    <row r="7705" customFormat="false" ht="15" hidden="false" customHeight="false" outlineLevel="0" collapsed="false">
      <c r="A7705" s="102"/>
      <c r="E7705" s="103" t="str">
        <f aca="false">IF($C7705="","",IFERROR(INDEX(المنيو!$C$2:$C$500,MATCH($C7705,المنيو!$B$2:$B$500,0)),0))</f>
        <v/>
      </c>
      <c r="F7705" s="103" t="str">
        <f aca="false">IF($C7705="","",$D7705*$E7705)</f>
        <v/>
      </c>
      <c r="G7705" s="103" t="str">
        <f aca="false">IF($C7705="","",$D7705*IFERROR(INDEX('تحليل التكلفة والسعر'!$C$2:$C$700,MATCH($C7705,'تحليل التكلفة والسعر'!$B$2:$B$700,0)),0))</f>
        <v/>
      </c>
    </row>
    <row r="7706" customFormat="false" ht="15" hidden="false" customHeight="false" outlineLevel="0" collapsed="false">
      <c r="A7706" s="102"/>
      <c r="E7706" s="103" t="str">
        <f aca="false">IF($C7706="","",IFERROR(INDEX(المنيو!$C$2:$C$500,MATCH($C7706,المنيو!$B$2:$B$500,0)),0))</f>
        <v/>
      </c>
      <c r="F7706" s="103" t="str">
        <f aca="false">IF($C7706="","",$D7706*$E7706)</f>
        <v/>
      </c>
      <c r="G7706" s="103" t="str">
        <f aca="false">IF($C7706="","",$D7706*IFERROR(INDEX('تحليل التكلفة والسعر'!$C$2:$C$700,MATCH($C7706,'تحليل التكلفة والسعر'!$B$2:$B$700,0)),0))</f>
        <v/>
      </c>
    </row>
    <row r="7707" customFormat="false" ht="15" hidden="false" customHeight="false" outlineLevel="0" collapsed="false">
      <c r="A7707" s="102"/>
      <c r="E7707" s="103" t="str">
        <f aca="false">IF($C7707="","",IFERROR(INDEX(المنيو!$C$2:$C$500,MATCH($C7707,المنيو!$B$2:$B$500,0)),0))</f>
        <v/>
      </c>
      <c r="F7707" s="103" t="str">
        <f aca="false">IF($C7707="","",$D7707*$E7707)</f>
        <v/>
      </c>
      <c r="G7707" s="103" t="str">
        <f aca="false">IF($C7707="","",$D7707*IFERROR(INDEX('تحليل التكلفة والسعر'!$C$2:$C$700,MATCH($C7707,'تحليل التكلفة والسعر'!$B$2:$B$700,0)),0))</f>
        <v/>
      </c>
    </row>
    <row r="7708" customFormat="false" ht="15" hidden="false" customHeight="false" outlineLevel="0" collapsed="false">
      <c r="A7708" s="102"/>
      <c r="E7708" s="103" t="str">
        <f aca="false">IF($C7708="","",IFERROR(INDEX(المنيو!$C$2:$C$500,MATCH($C7708,المنيو!$B$2:$B$500,0)),0))</f>
        <v/>
      </c>
      <c r="F7708" s="103" t="str">
        <f aca="false">IF($C7708="","",$D7708*$E7708)</f>
        <v/>
      </c>
      <c r="G7708" s="103" t="str">
        <f aca="false">IF($C7708="","",$D7708*IFERROR(INDEX('تحليل التكلفة والسعر'!$C$2:$C$700,MATCH($C7708,'تحليل التكلفة والسعر'!$B$2:$B$700,0)),0))</f>
        <v/>
      </c>
    </row>
    <row r="7709" customFormat="false" ht="15" hidden="false" customHeight="false" outlineLevel="0" collapsed="false">
      <c r="A7709" s="102"/>
      <c r="E7709" s="103" t="str">
        <f aca="false">IF($C7709="","",IFERROR(INDEX(المنيو!$C$2:$C$500,MATCH($C7709,المنيو!$B$2:$B$500,0)),0))</f>
        <v/>
      </c>
      <c r="F7709" s="103" t="str">
        <f aca="false">IF($C7709="","",$D7709*$E7709)</f>
        <v/>
      </c>
      <c r="G7709" s="103" t="str">
        <f aca="false">IF($C7709="","",$D7709*IFERROR(INDEX('تحليل التكلفة والسعر'!$C$2:$C$700,MATCH($C7709,'تحليل التكلفة والسعر'!$B$2:$B$700,0)),0))</f>
        <v/>
      </c>
    </row>
    <row r="7710" customFormat="false" ht="15" hidden="false" customHeight="false" outlineLevel="0" collapsed="false">
      <c r="A7710" s="102"/>
      <c r="E7710" s="103" t="str">
        <f aca="false">IF($C7710="","",IFERROR(INDEX(المنيو!$C$2:$C$500,MATCH($C7710,المنيو!$B$2:$B$500,0)),0))</f>
        <v/>
      </c>
      <c r="F7710" s="103" t="str">
        <f aca="false">IF($C7710="","",$D7710*$E7710)</f>
        <v/>
      </c>
      <c r="G7710" s="103" t="str">
        <f aca="false">IF($C7710="","",$D7710*IFERROR(INDEX('تحليل التكلفة والسعر'!$C$2:$C$700,MATCH($C7710,'تحليل التكلفة والسعر'!$B$2:$B$700,0)),0))</f>
        <v/>
      </c>
    </row>
    <row r="7711" customFormat="false" ht="15" hidden="false" customHeight="false" outlineLevel="0" collapsed="false">
      <c r="A7711" s="102"/>
      <c r="E7711" s="103" t="str">
        <f aca="false">IF($C7711="","",IFERROR(INDEX(المنيو!$C$2:$C$500,MATCH($C7711,المنيو!$B$2:$B$500,0)),0))</f>
        <v/>
      </c>
      <c r="F7711" s="103" t="str">
        <f aca="false">IF($C7711="","",$D7711*$E7711)</f>
        <v/>
      </c>
      <c r="G7711" s="103" t="str">
        <f aca="false">IF($C7711="","",$D7711*IFERROR(INDEX('تحليل التكلفة والسعر'!$C$2:$C$700,MATCH($C7711,'تحليل التكلفة والسعر'!$B$2:$B$700,0)),0))</f>
        <v/>
      </c>
    </row>
    <row r="7712" customFormat="false" ht="15" hidden="false" customHeight="false" outlineLevel="0" collapsed="false">
      <c r="A7712" s="102"/>
      <c r="E7712" s="103" t="str">
        <f aca="false">IF($C7712="","",IFERROR(INDEX(المنيو!$C$2:$C$500,MATCH($C7712,المنيو!$B$2:$B$500,0)),0))</f>
        <v/>
      </c>
      <c r="F7712" s="103" t="str">
        <f aca="false">IF($C7712="","",$D7712*$E7712)</f>
        <v/>
      </c>
      <c r="G7712" s="103" t="str">
        <f aca="false">IF($C7712="","",$D7712*IFERROR(INDEX('تحليل التكلفة والسعر'!$C$2:$C$700,MATCH($C7712,'تحليل التكلفة والسعر'!$B$2:$B$700,0)),0))</f>
        <v/>
      </c>
    </row>
    <row r="7713" customFormat="false" ht="15" hidden="false" customHeight="false" outlineLevel="0" collapsed="false">
      <c r="A7713" s="102"/>
      <c r="E7713" s="103" t="str">
        <f aca="false">IF($C7713="","",IFERROR(INDEX(المنيو!$C$2:$C$500,MATCH($C7713,المنيو!$B$2:$B$500,0)),0))</f>
        <v/>
      </c>
      <c r="F7713" s="103" t="str">
        <f aca="false">IF($C7713="","",$D7713*$E7713)</f>
        <v/>
      </c>
      <c r="G7713" s="103" t="str">
        <f aca="false">IF($C7713="","",$D7713*IFERROR(INDEX('تحليل التكلفة والسعر'!$C$2:$C$700,MATCH($C7713,'تحليل التكلفة والسعر'!$B$2:$B$700,0)),0))</f>
        <v/>
      </c>
    </row>
    <row r="7714" customFormat="false" ht="15" hidden="false" customHeight="false" outlineLevel="0" collapsed="false">
      <c r="A7714" s="102"/>
      <c r="E7714" s="103" t="str">
        <f aca="false">IF($C7714="","",IFERROR(INDEX(المنيو!$C$2:$C$500,MATCH($C7714,المنيو!$B$2:$B$500,0)),0))</f>
        <v/>
      </c>
      <c r="F7714" s="103" t="str">
        <f aca="false">IF($C7714="","",$D7714*$E7714)</f>
        <v/>
      </c>
      <c r="G7714" s="103" t="str">
        <f aca="false">IF($C7714="","",$D7714*IFERROR(INDEX('تحليل التكلفة والسعر'!$C$2:$C$700,MATCH($C7714,'تحليل التكلفة والسعر'!$B$2:$B$700,0)),0))</f>
        <v/>
      </c>
    </row>
    <row r="7715" customFormat="false" ht="15" hidden="false" customHeight="false" outlineLevel="0" collapsed="false">
      <c r="A7715" s="102"/>
      <c r="E7715" s="103" t="str">
        <f aca="false">IF($C7715="","",IFERROR(INDEX(المنيو!$C$2:$C$500,MATCH($C7715,المنيو!$B$2:$B$500,0)),0))</f>
        <v/>
      </c>
      <c r="F7715" s="103" t="str">
        <f aca="false">IF($C7715="","",$D7715*$E7715)</f>
        <v/>
      </c>
      <c r="G7715" s="103" t="str">
        <f aca="false">IF($C7715="","",$D7715*IFERROR(INDEX('تحليل التكلفة والسعر'!$C$2:$C$700,MATCH($C7715,'تحليل التكلفة والسعر'!$B$2:$B$700,0)),0))</f>
        <v/>
      </c>
    </row>
    <row r="7716" customFormat="false" ht="15" hidden="false" customHeight="false" outlineLevel="0" collapsed="false">
      <c r="A7716" s="102"/>
      <c r="E7716" s="103" t="str">
        <f aca="false">IF($C7716="","",IFERROR(INDEX(المنيو!$C$2:$C$500,MATCH($C7716,المنيو!$B$2:$B$500,0)),0))</f>
        <v/>
      </c>
      <c r="F7716" s="103" t="str">
        <f aca="false">IF($C7716="","",$D7716*$E7716)</f>
        <v/>
      </c>
      <c r="G7716" s="103" t="str">
        <f aca="false">IF($C7716="","",$D7716*IFERROR(INDEX('تحليل التكلفة والسعر'!$C$2:$C$700,MATCH($C7716,'تحليل التكلفة والسعر'!$B$2:$B$700,0)),0))</f>
        <v/>
      </c>
    </row>
    <row r="7717" customFormat="false" ht="15" hidden="false" customHeight="false" outlineLevel="0" collapsed="false">
      <c r="A7717" s="102"/>
      <c r="E7717" s="103" t="str">
        <f aca="false">IF($C7717="","",IFERROR(INDEX(المنيو!$C$2:$C$500,MATCH($C7717,المنيو!$B$2:$B$500,0)),0))</f>
        <v/>
      </c>
      <c r="F7717" s="103" t="str">
        <f aca="false">IF($C7717="","",$D7717*$E7717)</f>
        <v/>
      </c>
      <c r="G7717" s="103" t="str">
        <f aca="false">IF($C7717="","",$D7717*IFERROR(INDEX('تحليل التكلفة والسعر'!$C$2:$C$700,MATCH($C7717,'تحليل التكلفة والسعر'!$B$2:$B$700,0)),0))</f>
        <v/>
      </c>
    </row>
    <row r="7718" customFormat="false" ht="15" hidden="false" customHeight="false" outlineLevel="0" collapsed="false">
      <c r="A7718" s="102"/>
      <c r="E7718" s="103" t="str">
        <f aca="false">IF($C7718="","",IFERROR(INDEX(المنيو!$C$2:$C$500,MATCH($C7718,المنيو!$B$2:$B$500,0)),0))</f>
        <v/>
      </c>
      <c r="F7718" s="103" t="str">
        <f aca="false">IF($C7718="","",$D7718*$E7718)</f>
        <v/>
      </c>
      <c r="G7718" s="103" t="str">
        <f aca="false">IF($C7718="","",$D7718*IFERROR(INDEX('تحليل التكلفة والسعر'!$C$2:$C$700,MATCH($C7718,'تحليل التكلفة والسعر'!$B$2:$B$700,0)),0))</f>
        <v/>
      </c>
    </row>
    <row r="7719" customFormat="false" ht="15" hidden="false" customHeight="false" outlineLevel="0" collapsed="false">
      <c r="A7719" s="102"/>
      <c r="E7719" s="103" t="str">
        <f aca="false">IF($C7719="","",IFERROR(INDEX(المنيو!$C$2:$C$500,MATCH($C7719,المنيو!$B$2:$B$500,0)),0))</f>
        <v/>
      </c>
      <c r="F7719" s="103" t="str">
        <f aca="false">IF($C7719="","",$D7719*$E7719)</f>
        <v/>
      </c>
      <c r="G7719" s="103" t="str">
        <f aca="false">IF($C7719="","",$D7719*IFERROR(INDEX('تحليل التكلفة والسعر'!$C$2:$C$700,MATCH($C7719,'تحليل التكلفة والسعر'!$B$2:$B$700,0)),0))</f>
        <v/>
      </c>
    </row>
    <row r="7720" customFormat="false" ht="15" hidden="false" customHeight="false" outlineLevel="0" collapsed="false">
      <c r="A7720" s="102"/>
      <c r="E7720" s="103" t="str">
        <f aca="false">IF($C7720="","",IFERROR(INDEX(المنيو!$C$2:$C$500,MATCH($C7720,المنيو!$B$2:$B$500,0)),0))</f>
        <v/>
      </c>
      <c r="F7720" s="103" t="str">
        <f aca="false">IF($C7720="","",$D7720*$E7720)</f>
        <v/>
      </c>
      <c r="G7720" s="103" t="str">
        <f aca="false">IF($C7720="","",$D7720*IFERROR(INDEX('تحليل التكلفة والسعر'!$C$2:$C$700,MATCH($C7720,'تحليل التكلفة والسعر'!$B$2:$B$700,0)),0))</f>
        <v/>
      </c>
    </row>
    <row r="7721" customFormat="false" ht="15" hidden="false" customHeight="false" outlineLevel="0" collapsed="false">
      <c r="A7721" s="102"/>
      <c r="E7721" s="103" t="str">
        <f aca="false">IF($C7721="","",IFERROR(INDEX(المنيو!$C$2:$C$500,MATCH($C7721,المنيو!$B$2:$B$500,0)),0))</f>
        <v/>
      </c>
      <c r="F7721" s="103" t="str">
        <f aca="false">IF($C7721="","",$D7721*$E7721)</f>
        <v/>
      </c>
      <c r="G7721" s="103" t="str">
        <f aca="false">IF($C7721="","",$D7721*IFERROR(INDEX('تحليل التكلفة والسعر'!$C$2:$C$700,MATCH($C7721,'تحليل التكلفة والسعر'!$B$2:$B$700,0)),0))</f>
        <v/>
      </c>
    </row>
    <row r="7722" customFormat="false" ht="15" hidden="false" customHeight="false" outlineLevel="0" collapsed="false">
      <c r="A7722" s="102"/>
      <c r="E7722" s="103" t="str">
        <f aca="false">IF($C7722="","",IFERROR(INDEX(المنيو!$C$2:$C$500,MATCH($C7722,المنيو!$B$2:$B$500,0)),0))</f>
        <v/>
      </c>
      <c r="F7722" s="103" t="str">
        <f aca="false">IF($C7722="","",$D7722*$E7722)</f>
        <v/>
      </c>
      <c r="G7722" s="103" t="str">
        <f aca="false">IF($C7722="","",$D7722*IFERROR(INDEX('تحليل التكلفة والسعر'!$C$2:$C$700,MATCH($C7722,'تحليل التكلفة والسعر'!$B$2:$B$700,0)),0))</f>
        <v/>
      </c>
    </row>
    <row r="7723" customFormat="false" ht="15" hidden="false" customHeight="false" outlineLevel="0" collapsed="false">
      <c r="A7723" s="102"/>
      <c r="E7723" s="103" t="str">
        <f aca="false">IF($C7723="","",IFERROR(INDEX(المنيو!$C$2:$C$500,MATCH($C7723,المنيو!$B$2:$B$500,0)),0))</f>
        <v/>
      </c>
      <c r="F7723" s="103" t="str">
        <f aca="false">IF($C7723="","",$D7723*$E7723)</f>
        <v/>
      </c>
      <c r="G7723" s="103" t="str">
        <f aca="false">IF($C7723="","",$D7723*IFERROR(INDEX('تحليل التكلفة والسعر'!$C$2:$C$700,MATCH($C7723,'تحليل التكلفة والسعر'!$B$2:$B$700,0)),0))</f>
        <v/>
      </c>
    </row>
    <row r="7724" customFormat="false" ht="15" hidden="false" customHeight="false" outlineLevel="0" collapsed="false">
      <c r="A7724" s="102"/>
      <c r="E7724" s="103" t="str">
        <f aca="false">IF($C7724="","",IFERROR(INDEX(المنيو!$C$2:$C$500,MATCH($C7724,المنيو!$B$2:$B$500,0)),0))</f>
        <v/>
      </c>
      <c r="F7724" s="103" t="str">
        <f aca="false">IF($C7724="","",$D7724*$E7724)</f>
        <v/>
      </c>
      <c r="G7724" s="103" t="str">
        <f aca="false">IF($C7724="","",$D7724*IFERROR(INDEX('تحليل التكلفة والسعر'!$C$2:$C$700,MATCH($C7724,'تحليل التكلفة والسعر'!$B$2:$B$700,0)),0))</f>
        <v/>
      </c>
    </row>
    <row r="7725" customFormat="false" ht="15" hidden="false" customHeight="false" outlineLevel="0" collapsed="false">
      <c r="A7725" s="102"/>
      <c r="E7725" s="103" t="str">
        <f aca="false">IF($C7725="","",IFERROR(INDEX(المنيو!$C$2:$C$500,MATCH($C7725,المنيو!$B$2:$B$500,0)),0))</f>
        <v/>
      </c>
      <c r="F7725" s="103" t="str">
        <f aca="false">IF($C7725="","",$D7725*$E7725)</f>
        <v/>
      </c>
      <c r="G7725" s="103" t="str">
        <f aca="false">IF($C7725="","",$D7725*IFERROR(INDEX('تحليل التكلفة والسعر'!$C$2:$C$700,MATCH($C7725,'تحليل التكلفة والسعر'!$B$2:$B$700,0)),0))</f>
        <v/>
      </c>
    </row>
    <row r="7726" customFormat="false" ht="15" hidden="false" customHeight="false" outlineLevel="0" collapsed="false">
      <c r="A7726" s="102"/>
      <c r="E7726" s="103" t="str">
        <f aca="false">IF($C7726="","",IFERROR(INDEX(المنيو!$C$2:$C$500,MATCH($C7726,المنيو!$B$2:$B$500,0)),0))</f>
        <v/>
      </c>
      <c r="F7726" s="103" t="str">
        <f aca="false">IF($C7726="","",$D7726*$E7726)</f>
        <v/>
      </c>
      <c r="G7726" s="103" t="str">
        <f aca="false">IF($C7726="","",$D7726*IFERROR(INDEX('تحليل التكلفة والسعر'!$C$2:$C$700,MATCH($C7726,'تحليل التكلفة والسعر'!$B$2:$B$700,0)),0))</f>
        <v/>
      </c>
    </row>
    <row r="7727" customFormat="false" ht="15" hidden="false" customHeight="false" outlineLevel="0" collapsed="false">
      <c r="A7727" s="102"/>
      <c r="E7727" s="103" t="str">
        <f aca="false">IF($C7727="","",IFERROR(INDEX(المنيو!$C$2:$C$500,MATCH($C7727,المنيو!$B$2:$B$500,0)),0))</f>
        <v/>
      </c>
      <c r="F7727" s="103" t="str">
        <f aca="false">IF($C7727="","",$D7727*$E7727)</f>
        <v/>
      </c>
      <c r="G7727" s="103" t="str">
        <f aca="false">IF($C7727="","",$D7727*IFERROR(INDEX('تحليل التكلفة والسعر'!$C$2:$C$700,MATCH($C7727,'تحليل التكلفة والسعر'!$B$2:$B$700,0)),0))</f>
        <v/>
      </c>
    </row>
    <row r="7728" customFormat="false" ht="15" hidden="false" customHeight="false" outlineLevel="0" collapsed="false">
      <c r="A7728" s="102"/>
      <c r="E7728" s="103" t="str">
        <f aca="false">IF($C7728="","",IFERROR(INDEX(المنيو!$C$2:$C$500,MATCH($C7728,المنيو!$B$2:$B$500,0)),0))</f>
        <v/>
      </c>
      <c r="F7728" s="103" t="str">
        <f aca="false">IF($C7728="","",$D7728*$E7728)</f>
        <v/>
      </c>
      <c r="G7728" s="103" t="str">
        <f aca="false">IF($C7728="","",$D7728*IFERROR(INDEX('تحليل التكلفة والسعر'!$C$2:$C$700,MATCH($C7728,'تحليل التكلفة والسعر'!$B$2:$B$700,0)),0))</f>
        <v/>
      </c>
    </row>
    <row r="7729" customFormat="false" ht="15" hidden="false" customHeight="false" outlineLevel="0" collapsed="false">
      <c r="A7729" s="102"/>
      <c r="E7729" s="103" t="str">
        <f aca="false">IF($C7729="","",IFERROR(INDEX(المنيو!$C$2:$C$500,MATCH($C7729,المنيو!$B$2:$B$500,0)),0))</f>
        <v/>
      </c>
      <c r="F7729" s="103" t="str">
        <f aca="false">IF($C7729="","",$D7729*$E7729)</f>
        <v/>
      </c>
      <c r="G7729" s="103" t="str">
        <f aca="false">IF($C7729="","",$D7729*IFERROR(INDEX('تحليل التكلفة والسعر'!$C$2:$C$700,MATCH($C7729,'تحليل التكلفة والسعر'!$B$2:$B$700,0)),0))</f>
        <v/>
      </c>
    </row>
    <row r="7730" customFormat="false" ht="15" hidden="false" customHeight="false" outlineLevel="0" collapsed="false">
      <c r="A7730" s="102"/>
      <c r="E7730" s="103" t="str">
        <f aca="false">IF($C7730="","",IFERROR(INDEX(المنيو!$C$2:$C$500,MATCH($C7730,المنيو!$B$2:$B$500,0)),0))</f>
        <v/>
      </c>
      <c r="F7730" s="103" t="str">
        <f aca="false">IF($C7730="","",$D7730*$E7730)</f>
        <v/>
      </c>
      <c r="G7730" s="103" t="str">
        <f aca="false">IF($C7730="","",$D7730*IFERROR(INDEX('تحليل التكلفة والسعر'!$C$2:$C$700,MATCH($C7730,'تحليل التكلفة والسعر'!$B$2:$B$700,0)),0))</f>
        <v/>
      </c>
    </row>
    <row r="7731" customFormat="false" ht="15" hidden="false" customHeight="false" outlineLevel="0" collapsed="false">
      <c r="A7731" s="102"/>
      <c r="E7731" s="103" t="str">
        <f aca="false">IF($C7731="","",IFERROR(INDEX(المنيو!$C$2:$C$500,MATCH($C7731,المنيو!$B$2:$B$500,0)),0))</f>
        <v/>
      </c>
      <c r="F7731" s="103" t="str">
        <f aca="false">IF($C7731="","",$D7731*$E7731)</f>
        <v/>
      </c>
      <c r="G7731" s="103" t="str">
        <f aca="false">IF($C7731="","",$D7731*IFERROR(INDEX('تحليل التكلفة والسعر'!$C$2:$C$700,MATCH($C7731,'تحليل التكلفة والسعر'!$B$2:$B$700,0)),0))</f>
        <v/>
      </c>
    </row>
    <row r="7732" customFormat="false" ht="15" hidden="false" customHeight="false" outlineLevel="0" collapsed="false">
      <c r="A7732" s="102"/>
      <c r="E7732" s="103" t="str">
        <f aca="false">IF($C7732="","",IFERROR(INDEX(المنيو!$C$2:$C$500,MATCH($C7732,المنيو!$B$2:$B$500,0)),0))</f>
        <v/>
      </c>
      <c r="F7732" s="103" t="str">
        <f aca="false">IF($C7732="","",$D7732*$E7732)</f>
        <v/>
      </c>
      <c r="G7732" s="103" t="str">
        <f aca="false">IF($C7732="","",$D7732*IFERROR(INDEX('تحليل التكلفة والسعر'!$C$2:$C$700,MATCH($C7732,'تحليل التكلفة والسعر'!$B$2:$B$700,0)),0))</f>
        <v/>
      </c>
    </row>
    <row r="7733" customFormat="false" ht="15" hidden="false" customHeight="false" outlineLevel="0" collapsed="false">
      <c r="A7733" s="102"/>
      <c r="E7733" s="103" t="str">
        <f aca="false">IF($C7733="","",IFERROR(INDEX(المنيو!$C$2:$C$500,MATCH($C7733,المنيو!$B$2:$B$500,0)),0))</f>
        <v/>
      </c>
      <c r="F7733" s="103" t="str">
        <f aca="false">IF($C7733="","",$D7733*$E7733)</f>
        <v/>
      </c>
      <c r="G7733" s="103" t="str">
        <f aca="false">IF($C7733="","",$D7733*IFERROR(INDEX('تحليل التكلفة والسعر'!$C$2:$C$700,MATCH($C7733,'تحليل التكلفة والسعر'!$B$2:$B$700,0)),0))</f>
        <v/>
      </c>
    </row>
    <row r="7734" customFormat="false" ht="15" hidden="false" customHeight="false" outlineLevel="0" collapsed="false">
      <c r="A7734" s="102"/>
      <c r="E7734" s="103" t="str">
        <f aca="false">IF($C7734="","",IFERROR(INDEX(المنيو!$C$2:$C$500,MATCH($C7734,المنيو!$B$2:$B$500,0)),0))</f>
        <v/>
      </c>
      <c r="F7734" s="103" t="str">
        <f aca="false">IF($C7734="","",$D7734*$E7734)</f>
        <v/>
      </c>
      <c r="G7734" s="103" t="str">
        <f aca="false">IF($C7734="","",$D7734*IFERROR(INDEX('تحليل التكلفة والسعر'!$C$2:$C$700,MATCH($C7734,'تحليل التكلفة والسعر'!$B$2:$B$700,0)),0))</f>
        <v/>
      </c>
    </row>
    <row r="7735" customFormat="false" ht="15" hidden="false" customHeight="false" outlineLevel="0" collapsed="false">
      <c r="A7735" s="102"/>
      <c r="E7735" s="103" t="str">
        <f aca="false">IF($C7735="","",IFERROR(INDEX(المنيو!$C$2:$C$500,MATCH($C7735,المنيو!$B$2:$B$500,0)),0))</f>
        <v/>
      </c>
      <c r="F7735" s="103" t="str">
        <f aca="false">IF($C7735="","",$D7735*$E7735)</f>
        <v/>
      </c>
      <c r="G7735" s="103" t="str">
        <f aca="false">IF($C7735="","",$D7735*IFERROR(INDEX('تحليل التكلفة والسعر'!$C$2:$C$700,MATCH($C7735,'تحليل التكلفة والسعر'!$B$2:$B$700,0)),0))</f>
        <v/>
      </c>
    </row>
    <row r="7736" customFormat="false" ht="15" hidden="false" customHeight="false" outlineLevel="0" collapsed="false">
      <c r="A7736" s="102"/>
      <c r="E7736" s="103" t="str">
        <f aca="false">IF($C7736="","",IFERROR(INDEX(المنيو!$C$2:$C$500,MATCH($C7736,المنيو!$B$2:$B$500,0)),0))</f>
        <v/>
      </c>
      <c r="F7736" s="103" t="str">
        <f aca="false">IF($C7736="","",$D7736*$E7736)</f>
        <v/>
      </c>
      <c r="G7736" s="103" t="str">
        <f aca="false">IF($C7736="","",$D7736*IFERROR(INDEX('تحليل التكلفة والسعر'!$C$2:$C$700,MATCH($C7736,'تحليل التكلفة والسعر'!$B$2:$B$700,0)),0))</f>
        <v/>
      </c>
    </row>
    <row r="7737" customFormat="false" ht="15" hidden="false" customHeight="false" outlineLevel="0" collapsed="false">
      <c r="A7737" s="102"/>
      <c r="E7737" s="103" t="str">
        <f aca="false">IF($C7737="","",IFERROR(INDEX(المنيو!$C$2:$C$500,MATCH($C7737,المنيو!$B$2:$B$500,0)),0))</f>
        <v/>
      </c>
      <c r="F7737" s="103" t="str">
        <f aca="false">IF($C7737="","",$D7737*$E7737)</f>
        <v/>
      </c>
      <c r="G7737" s="103" t="str">
        <f aca="false">IF($C7737="","",$D7737*IFERROR(INDEX('تحليل التكلفة والسعر'!$C$2:$C$700,MATCH($C7737,'تحليل التكلفة والسعر'!$B$2:$B$700,0)),0))</f>
        <v/>
      </c>
    </row>
    <row r="7738" customFormat="false" ht="15" hidden="false" customHeight="false" outlineLevel="0" collapsed="false">
      <c r="A7738" s="102"/>
      <c r="E7738" s="103" t="str">
        <f aca="false">IF($C7738="","",IFERROR(INDEX(المنيو!$C$2:$C$500,MATCH($C7738,المنيو!$B$2:$B$500,0)),0))</f>
        <v/>
      </c>
      <c r="F7738" s="103" t="str">
        <f aca="false">IF($C7738="","",$D7738*$E7738)</f>
        <v/>
      </c>
      <c r="G7738" s="103" t="str">
        <f aca="false">IF($C7738="","",$D7738*IFERROR(INDEX('تحليل التكلفة والسعر'!$C$2:$C$700,MATCH($C7738,'تحليل التكلفة والسعر'!$B$2:$B$700,0)),0))</f>
        <v/>
      </c>
    </row>
    <row r="7739" customFormat="false" ht="15" hidden="false" customHeight="false" outlineLevel="0" collapsed="false">
      <c r="A7739" s="102"/>
      <c r="E7739" s="103" t="str">
        <f aca="false">IF($C7739="","",IFERROR(INDEX(المنيو!$C$2:$C$500,MATCH($C7739,المنيو!$B$2:$B$500,0)),0))</f>
        <v/>
      </c>
      <c r="F7739" s="103" t="str">
        <f aca="false">IF($C7739="","",$D7739*$E7739)</f>
        <v/>
      </c>
      <c r="G7739" s="103" t="str">
        <f aca="false">IF($C7739="","",$D7739*IFERROR(INDEX('تحليل التكلفة والسعر'!$C$2:$C$700,MATCH($C7739,'تحليل التكلفة والسعر'!$B$2:$B$700,0)),0))</f>
        <v/>
      </c>
    </row>
    <row r="7740" customFormat="false" ht="15" hidden="false" customHeight="false" outlineLevel="0" collapsed="false">
      <c r="A7740" s="102"/>
      <c r="E7740" s="103" t="str">
        <f aca="false">IF($C7740="","",IFERROR(INDEX(المنيو!$C$2:$C$500,MATCH($C7740,المنيو!$B$2:$B$500,0)),0))</f>
        <v/>
      </c>
      <c r="F7740" s="103" t="str">
        <f aca="false">IF($C7740="","",$D7740*$E7740)</f>
        <v/>
      </c>
      <c r="G7740" s="103" t="str">
        <f aca="false">IF($C7740="","",$D7740*IFERROR(INDEX('تحليل التكلفة والسعر'!$C$2:$C$700,MATCH($C7740,'تحليل التكلفة والسعر'!$B$2:$B$700,0)),0))</f>
        <v/>
      </c>
    </row>
    <row r="7741" customFormat="false" ht="15" hidden="false" customHeight="false" outlineLevel="0" collapsed="false">
      <c r="A7741" s="102"/>
      <c r="E7741" s="103" t="str">
        <f aca="false">IF($C7741="","",IFERROR(INDEX(المنيو!$C$2:$C$500,MATCH($C7741,المنيو!$B$2:$B$500,0)),0))</f>
        <v/>
      </c>
      <c r="F7741" s="103" t="str">
        <f aca="false">IF($C7741="","",$D7741*$E7741)</f>
        <v/>
      </c>
      <c r="G7741" s="103" t="str">
        <f aca="false">IF($C7741="","",$D7741*IFERROR(INDEX('تحليل التكلفة والسعر'!$C$2:$C$700,MATCH($C7741,'تحليل التكلفة والسعر'!$B$2:$B$700,0)),0))</f>
        <v/>
      </c>
    </row>
    <row r="7742" customFormat="false" ht="15" hidden="false" customHeight="false" outlineLevel="0" collapsed="false">
      <c r="A7742" s="102"/>
      <c r="E7742" s="103" t="str">
        <f aca="false">IF($C7742="","",IFERROR(INDEX(المنيو!$C$2:$C$500,MATCH($C7742,المنيو!$B$2:$B$500,0)),0))</f>
        <v/>
      </c>
      <c r="F7742" s="103" t="str">
        <f aca="false">IF($C7742="","",$D7742*$E7742)</f>
        <v/>
      </c>
      <c r="G7742" s="103" t="str">
        <f aca="false">IF($C7742="","",$D7742*IFERROR(INDEX('تحليل التكلفة والسعر'!$C$2:$C$700,MATCH($C7742,'تحليل التكلفة والسعر'!$B$2:$B$700,0)),0))</f>
        <v/>
      </c>
    </row>
    <row r="7743" customFormat="false" ht="15" hidden="false" customHeight="false" outlineLevel="0" collapsed="false">
      <c r="A7743" s="102"/>
      <c r="E7743" s="103" t="str">
        <f aca="false">IF($C7743="","",IFERROR(INDEX(المنيو!$C$2:$C$500,MATCH($C7743,المنيو!$B$2:$B$500,0)),0))</f>
        <v/>
      </c>
      <c r="F7743" s="103" t="str">
        <f aca="false">IF($C7743="","",$D7743*$E7743)</f>
        <v/>
      </c>
      <c r="G7743" s="103" t="str">
        <f aca="false">IF($C7743="","",$D7743*IFERROR(INDEX('تحليل التكلفة والسعر'!$C$2:$C$700,MATCH($C7743,'تحليل التكلفة والسعر'!$B$2:$B$700,0)),0))</f>
        <v/>
      </c>
    </row>
    <row r="7744" customFormat="false" ht="15" hidden="false" customHeight="false" outlineLevel="0" collapsed="false">
      <c r="A7744" s="102"/>
      <c r="E7744" s="103" t="str">
        <f aca="false">IF($C7744="","",IFERROR(INDEX(المنيو!$C$2:$C$500,MATCH($C7744,المنيو!$B$2:$B$500,0)),0))</f>
        <v/>
      </c>
      <c r="F7744" s="103" t="str">
        <f aca="false">IF($C7744="","",$D7744*$E7744)</f>
        <v/>
      </c>
      <c r="G7744" s="103" t="str">
        <f aca="false">IF($C7744="","",$D7744*IFERROR(INDEX('تحليل التكلفة والسعر'!$C$2:$C$700,MATCH($C7744,'تحليل التكلفة والسعر'!$B$2:$B$700,0)),0))</f>
        <v/>
      </c>
    </row>
    <row r="7745" customFormat="false" ht="15" hidden="false" customHeight="false" outlineLevel="0" collapsed="false">
      <c r="A7745" s="102"/>
      <c r="E7745" s="103" t="str">
        <f aca="false">IF($C7745="","",IFERROR(INDEX(المنيو!$C$2:$C$500,MATCH($C7745,المنيو!$B$2:$B$500,0)),0))</f>
        <v/>
      </c>
      <c r="F7745" s="103" t="str">
        <f aca="false">IF($C7745="","",$D7745*$E7745)</f>
        <v/>
      </c>
      <c r="G7745" s="103" t="str">
        <f aca="false">IF($C7745="","",$D7745*IFERROR(INDEX('تحليل التكلفة والسعر'!$C$2:$C$700,MATCH($C7745,'تحليل التكلفة والسعر'!$B$2:$B$700,0)),0))</f>
        <v/>
      </c>
    </row>
    <row r="7746" customFormat="false" ht="15" hidden="false" customHeight="false" outlineLevel="0" collapsed="false">
      <c r="A7746" s="102"/>
      <c r="E7746" s="103" t="str">
        <f aca="false">IF($C7746="","",IFERROR(INDEX(المنيو!$C$2:$C$500,MATCH($C7746,المنيو!$B$2:$B$500,0)),0))</f>
        <v/>
      </c>
      <c r="F7746" s="103" t="str">
        <f aca="false">IF($C7746="","",$D7746*$E7746)</f>
        <v/>
      </c>
      <c r="G7746" s="103" t="str">
        <f aca="false">IF($C7746="","",$D7746*IFERROR(INDEX('تحليل التكلفة والسعر'!$C$2:$C$700,MATCH($C7746,'تحليل التكلفة والسعر'!$B$2:$B$700,0)),0))</f>
        <v/>
      </c>
    </row>
    <row r="7747" customFormat="false" ht="15" hidden="false" customHeight="false" outlineLevel="0" collapsed="false">
      <c r="A7747" s="102"/>
      <c r="E7747" s="103" t="str">
        <f aca="false">IF($C7747="","",IFERROR(INDEX(المنيو!$C$2:$C$500,MATCH($C7747,المنيو!$B$2:$B$500,0)),0))</f>
        <v/>
      </c>
      <c r="F7747" s="103" t="str">
        <f aca="false">IF($C7747="","",$D7747*$E7747)</f>
        <v/>
      </c>
      <c r="G7747" s="103" t="str">
        <f aca="false">IF($C7747="","",$D7747*IFERROR(INDEX('تحليل التكلفة والسعر'!$C$2:$C$700,MATCH($C7747,'تحليل التكلفة والسعر'!$B$2:$B$700,0)),0))</f>
        <v/>
      </c>
    </row>
    <row r="7748" customFormat="false" ht="15" hidden="false" customHeight="false" outlineLevel="0" collapsed="false">
      <c r="A7748" s="102"/>
      <c r="E7748" s="103" t="str">
        <f aca="false">IF($C7748="","",IFERROR(INDEX(المنيو!$C$2:$C$500,MATCH($C7748,المنيو!$B$2:$B$500,0)),0))</f>
        <v/>
      </c>
      <c r="F7748" s="103" t="str">
        <f aca="false">IF($C7748="","",$D7748*$E7748)</f>
        <v/>
      </c>
      <c r="G7748" s="103" t="str">
        <f aca="false">IF($C7748="","",$D7748*IFERROR(INDEX('تحليل التكلفة والسعر'!$C$2:$C$700,MATCH($C7748,'تحليل التكلفة والسعر'!$B$2:$B$700,0)),0))</f>
        <v/>
      </c>
    </row>
    <row r="7749" customFormat="false" ht="15" hidden="false" customHeight="false" outlineLevel="0" collapsed="false">
      <c r="A7749" s="102"/>
      <c r="E7749" s="103" t="str">
        <f aca="false">IF($C7749="","",IFERROR(INDEX(المنيو!$C$2:$C$500,MATCH($C7749,المنيو!$B$2:$B$500,0)),0))</f>
        <v/>
      </c>
      <c r="F7749" s="103" t="str">
        <f aca="false">IF($C7749="","",$D7749*$E7749)</f>
        <v/>
      </c>
      <c r="G7749" s="103" t="str">
        <f aca="false">IF($C7749="","",$D7749*IFERROR(INDEX('تحليل التكلفة والسعر'!$C$2:$C$700,MATCH($C7749,'تحليل التكلفة والسعر'!$B$2:$B$700,0)),0))</f>
        <v/>
      </c>
    </row>
    <row r="7750" customFormat="false" ht="15" hidden="false" customHeight="false" outlineLevel="0" collapsed="false">
      <c r="A7750" s="102"/>
      <c r="E7750" s="103" t="str">
        <f aca="false">IF($C7750="","",IFERROR(INDEX(المنيو!$C$2:$C$500,MATCH($C7750,المنيو!$B$2:$B$500,0)),0))</f>
        <v/>
      </c>
      <c r="F7750" s="103" t="str">
        <f aca="false">IF($C7750="","",$D7750*$E7750)</f>
        <v/>
      </c>
      <c r="G7750" s="103" t="str">
        <f aca="false">IF($C7750="","",$D7750*IFERROR(INDEX('تحليل التكلفة والسعر'!$C$2:$C$700,MATCH($C7750,'تحليل التكلفة والسعر'!$B$2:$B$700,0)),0))</f>
        <v/>
      </c>
    </row>
    <row r="7751" customFormat="false" ht="15" hidden="false" customHeight="false" outlineLevel="0" collapsed="false">
      <c r="A7751" s="102"/>
      <c r="E7751" s="103" t="str">
        <f aca="false">IF($C7751="","",IFERROR(INDEX(المنيو!$C$2:$C$500,MATCH($C7751,المنيو!$B$2:$B$500,0)),0))</f>
        <v/>
      </c>
      <c r="F7751" s="103" t="str">
        <f aca="false">IF($C7751="","",$D7751*$E7751)</f>
        <v/>
      </c>
      <c r="G7751" s="103" t="str">
        <f aca="false">IF($C7751="","",$D7751*IFERROR(INDEX('تحليل التكلفة والسعر'!$C$2:$C$700,MATCH($C7751,'تحليل التكلفة والسعر'!$B$2:$B$700,0)),0))</f>
        <v/>
      </c>
    </row>
    <row r="7752" customFormat="false" ht="15" hidden="false" customHeight="false" outlineLevel="0" collapsed="false">
      <c r="A7752" s="102"/>
      <c r="E7752" s="103" t="str">
        <f aca="false">IF($C7752="","",IFERROR(INDEX(المنيو!$C$2:$C$500,MATCH($C7752,المنيو!$B$2:$B$500,0)),0))</f>
        <v/>
      </c>
      <c r="F7752" s="103" t="str">
        <f aca="false">IF($C7752="","",$D7752*$E7752)</f>
        <v/>
      </c>
      <c r="G7752" s="103" t="str">
        <f aca="false">IF($C7752="","",$D7752*IFERROR(INDEX('تحليل التكلفة والسعر'!$C$2:$C$700,MATCH($C7752,'تحليل التكلفة والسعر'!$B$2:$B$700,0)),0))</f>
        <v/>
      </c>
    </row>
    <row r="7753" customFormat="false" ht="15" hidden="false" customHeight="false" outlineLevel="0" collapsed="false">
      <c r="A7753" s="102"/>
      <c r="E7753" s="103" t="str">
        <f aca="false">IF($C7753="","",IFERROR(INDEX(المنيو!$C$2:$C$500,MATCH($C7753,المنيو!$B$2:$B$500,0)),0))</f>
        <v/>
      </c>
      <c r="F7753" s="103" t="str">
        <f aca="false">IF($C7753="","",$D7753*$E7753)</f>
        <v/>
      </c>
      <c r="G7753" s="103" t="str">
        <f aca="false">IF($C7753="","",$D7753*IFERROR(INDEX('تحليل التكلفة والسعر'!$C$2:$C$700,MATCH($C7753,'تحليل التكلفة والسعر'!$B$2:$B$700,0)),0))</f>
        <v/>
      </c>
    </row>
    <row r="7754" customFormat="false" ht="15" hidden="false" customHeight="false" outlineLevel="0" collapsed="false">
      <c r="A7754" s="102"/>
      <c r="E7754" s="103" t="str">
        <f aca="false">IF($C7754="","",IFERROR(INDEX(المنيو!$C$2:$C$500,MATCH($C7754,المنيو!$B$2:$B$500,0)),0))</f>
        <v/>
      </c>
      <c r="F7754" s="103" t="str">
        <f aca="false">IF($C7754="","",$D7754*$E7754)</f>
        <v/>
      </c>
      <c r="G7754" s="103" t="str">
        <f aca="false">IF($C7754="","",$D7754*IFERROR(INDEX('تحليل التكلفة والسعر'!$C$2:$C$700,MATCH($C7754,'تحليل التكلفة والسعر'!$B$2:$B$700,0)),0))</f>
        <v/>
      </c>
    </row>
    <row r="7755" customFormat="false" ht="15" hidden="false" customHeight="false" outlineLevel="0" collapsed="false">
      <c r="A7755" s="102"/>
      <c r="E7755" s="103" t="str">
        <f aca="false">IF($C7755="","",IFERROR(INDEX(المنيو!$C$2:$C$500,MATCH($C7755,المنيو!$B$2:$B$500,0)),0))</f>
        <v/>
      </c>
      <c r="F7755" s="103" t="str">
        <f aca="false">IF($C7755="","",$D7755*$E7755)</f>
        <v/>
      </c>
      <c r="G7755" s="103" t="str">
        <f aca="false">IF($C7755="","",$D7755*IFERROR(INDEX('تحليل التكلفة والسعر'!$C$2:$C$700,MATCH($C7755,'تحليل التكلفة والسعر'!$B$2:$B$700,0)),0))</f>
        <v/>
      </c>
    </row>
    <row r="7756" customFormat="false" ht="15" hidden="false" customHeight="false" outlineLevel="0" collapsed="false">
      <c r="A7756" s="102"/>
      <c r="E7756" s="103" t="str">
        <f aca="false">IF($C7756="","",IFERROR(INDEX(المنيو!$C$2:$C$500,MATCH($C7756,المنيو!$B$2:$B$500,0)),0))</f>
        <v/>
      </c>
      <c r="F7756" s="103" t="str">
        <f aca="false">IF($C7756="","",$D7756*$E7756)</f>
        <v/>
      </c>
      <c r="G7756" s="103" t="str">
        <f aca="false">IF($C7756="","",$D7756*IFERROR(INDEX('تحليل التكلفة والسعر'!$C$2:$C$700,MATCH($C7756,'تحليل التكلفة والسعر'!$B$2:$B$700,0)),0))</f>
        <v/>
      </c>
    </row>
    <row r="7757" customFormat="false" ht="15" hidden="false" customHeight="false" outlineLevel="0" collapsed="false">
      <c r="A7757" s="102"/>
      <c r="E7757" s="103" t="str">
        <f aca="false">IF($C7757="","",IFERROR(INDEX(المنيو!$C$2:$C$500,MATCH($C7757,المنيو!$B$2:$B$500,0)),0))</f>
        <v/>
      </c>
      <c r="F7757" s="103" t="str">
        <f aca="false">IF($C7757="","",$D7757*$E7757)</f>
        <v/>
      </c>
      <c r="G7757" s="103" t="str">
        <f aca="false">IF($C7757="","",$D7757*IFERROR(INDEX('تحليل التكلفة والسعر'!$C$2:$C$700,MATCH($C7757,'تحليل التكلفة والسعر'!$B$2:$B$700,0)),0))</f>
        <v/>
      </c>
    </row>
    <row r="7758" customFormat="false" ht="15" hidden="false" customHeight="false" outlineLevel="0" collapsed="false">
      <c r="A7758" s="102"/>
      <c r="E7758" s="103" t="str">
        <f aca="false">IF($C7758="","",IFERROR(INDEX(المنيو!$C$2:$C$500,MATCH($C7758,المنيو!$B$2:$B$500,0)),0))</f>
        <v/>
      </c>
      <c r="F7758" s="103" t="str">
        <f aca="false">IF($C7758="","",$D7758*$E7758)</f>
        <v/>
      </c>
      <c r="G7758" s="103" t="str">
        <f aca="false">IF($C7758="","",$D7758*IFERROR(INDEX('تحليل التكلفة والسعر'!$C$2:$C$700,MATCH($C7758,'تحليل التكلفة والسعر'!$B$2:$B$700,0)),0))</f>
        <v/>
      </c>
    </row>
    <row r="7759" customFormat="false" ht="15" hidden="false" customHeight="false" outlineLevel="0" collapsed="false">
      <c r="A7759" s="102"/>
      <c r="E7759" s="103" t="str">
        <f aca="false">IF($C7759="","",IFERROR(INDEX(المنيو!$C$2:$C$500,MATCH($C7759,المنيو!$B$2:$B$500,0)),0))</f>
        <v/>
      </c>
      <c r="F7759" s="103" t="str">
        <f aca="false">IF($C7759="","",$D7759*$E7759)</f>
        <v/>
      </c>
      <c r="G7759" s="103" t="str">
        <f aca="false">IF($C7759="","",$D7759*IFERROR(INDEX('تحليل التكلفة والسعر'!$C$2:$C$700,MATCH($C7759,'تحليل التكلفة والسعر'!$B$2:$B$700,0)),0))</f>
        <v/>
      </c>
    </row>
    <row r="7760" customFormat="false" ht="15" hidden="false" customHeight="false" outlineLevel="0" collapsed="false">
      <c r="A7760" s="102"/>
      <c r="E7760" s="103" t="str">
        <f aca="false">IF($C7760="","",IFERROR(INDEX(المنيو!$C$2:$C$500,MATCH($C7760,المنيو!$B$2:$B$500,0)),0))</f>
        <v/>
      </c>
      <c r="F7760" s="103" t="str">
        <f aca="false">IF($C7760="","",$D7760*$E7760)</f>
        <v/>
      </c>
      <c r="G7760" s="103" t="str">
        <f aca="false">IF($C7760="","",$D7760*IFERROR(INDEX('تحليل التكلفة والسعر'!$C$2:$C$700,MATCH($C7760,'تحليل التكلفة والسعر'!$B$2:$B$700,0)),0))</f>
        <v/>
      </c>
    </row>
    <row r="7761" customFormat="false" ht="15" hidden="false" customHeight="false" outlineLevel="0" collapsed="false">
      <c r="A7761" s="102"/>
      <c r="E7761" s="103" t="str">
        <f aca="false">IF($C7761="","",IFERROR(INDEX(المنيو!$C$2:$C$500,MATCH($C7761,المنيو!$B$2:$B$500,0)),0))</f>
        <v/>
      </c>
      <c r="F7761" s="103" t="str">
        <f aca="false">IF($C7761="","",$D7761*$E7761)</f>
        <v/>
      </c>
      <c r="G7761" s="103" t="str">
        <f aca="false">IF($C7761="","",$D7761*IFERROR(INDEX('تحليل التكلفة والسعر'!$C$2:$C$700,MATCH($C7761,'تحليل التكلفة والسعر'!$B$2:$B$700,0)),0))</f>
        <v/>
      </c>
    </row>
    <row r="7762" customFormat="false" ht="15" hidden="false" customHeight="false" outlineLevel="0" collapsed="false">
      <c r="A7762" s="102"/>
      <c r="E7762" s="103" t="str">
        <f aca="false">IF($C7762="","",IFERROR(INDEX(المنيو!$C$2:$C$500,MATCH($C7762,المنيو!$B$2:$B$500,0)),0))</f>
        <v/>
      </c>
      <c r="F7762" s="103" t="str">
        <f aca="false">IF($C7762="","",$D7762*$E7762)</f>
        <v/>
      </c>
      <c r="G7762" s="103" t="str">
        <f aca="false">IF($C7762="","",$D7762*IFERROR(INDEX('تحليل التكلفة والسعر'!$C$2:$C$700,MATCH($C7762,'تحليل التكلفة والسعر'!$B$2:$B$700,0)),0))</f>
        <v/>
      </c>
    </row>
    <row r="7763" customFormat="false" ht="15" hidden="false" customHeight="false" outlineLevel="0" collapsed="false">
      <c r="A7763" s="102"/>
      <c r="E7763" s="103" t="str">
        <f aca="false">IF($C7763="","",IFERROR(INDEX(المنيو!$C$2:$C$500,MATCH($C7763,المنيو!$B$2:$B$500,0)),0))</f>
        <v/>
      </c>
      <c r="F7763" s="103" t="str">
        <f aca="false">IF($C7763="","",$D7763*$E7763)</f>
        <v/>
      </c>
      <c r="G7763" s="103" t="str">
        <f aca="false">IF($C7763="","",$D7763*IFERROR(INDEX('تحليل التكلفة والسعر'!$C$2:$C$700,MATCH($C7763,'تحليل التكلفة والسعر'!$B$2:$B$700,0)),0))</f>
        <v/>
      </c>
    </row>
    <row r="7764" customFormat="false" ht="15" hidden="false" customHeight="false" outlineLevel="0" collapsed="false">
      <c r="A7764" s="102"/>
      <c r="E7764" s="103" t="str">
        <f aca="false">IF($C7764="","",IFERROR(INDEX(المنيو!$C$2:$C$500,MATCH($C7764,المنيو!$B$2:$B$500,0)),0))</f>
        <v/>
      </c>
      <c r="F7764" s="103" t="str">
        <f aca="false">IF($C7764="","",$D7764*$E7764)</f>
        <v/>
      </c>
      <c r="G7764" s="103" t="str">
        <f aca="false">IF($C7764="","",$D7764*IFERROR(INDEX('تحليل التكلفة والسعر'!$C$2:$C$700,MATCH($C7764,'تحليل التكلفة والسعر'!$B$2:$B$700,0)),0))</f>
        <v/>
      </c>
    </row>
    <row r="7765" customFormat="false" ht="15" hidden="false" customHeight="false" outlineLevel="0" collapsed="false">
      <c r="A7765" s="102"/>
      <c r="E7765" s="103" t="str">
        <f aca="false">IF($C7765="","",IFERROR(INDEX(المنيو!$C$2:$C$500,MATCH($C7765,المنيو!$B$2:$B$500,0)),0))</f>
        <v/>
      </c>
      <c r="F7765" s="103" t="str">
        <f aca="false">IF($C7765="","",$D7765*$E7765)</f>
        <v/>
      </c>
      <c r="G7765" s="103" t="str">
        <f aca="false">IF($C7765="","",$D7765*IFERROR(INDEX('تحليل التكلفة والسعر'!$C$2:$C$700,MATCH($C7765,'تحليل التكلفة والسعر'!$B$2:$B$700,0)),0))</f>
        <v/>
      </c>
    </row>
    <row r="7766" customFormat="false" ht="15" hidden="false" customHeight="false" outlineLevel="0" collapsed="false">
      <c r="A7766" s="102"/>
      <c r="E7766" s="103" t="str">
        <f aca="false">IF($C7766="","",IFERROR(INDEX(المنيو!$C$2:$C$500,MATCH($C7766,المنيو!$B$2:$B$500,0)),0))</f>
        <v/>
      </c>
      <c r="F7766" s="103" t="str">
        <f aca="false">IF($C7766="","",$D7766*$E7766)</f>
        <v/>
      </c>
      <c r="G7766" s="103" t="str">
        <f aca="false">IF($C7766="","",$D7766*IFERROR(INDEX('تحليل التكلفة والسعر'!$C$2:$C$700,MATCH($C7766,'تحليل التكلفة والسعر'!$B$2:$B$700,0)),0))</f>
        <v/>
      </c>
    </row>
    <row r="7767" customFormat="false" ht="15" hidden="false" customHeight="false" outlineLevel="0" collapsed="false">
      <c r="A7767" s="102"/>
      <c r="E7767" s="103" t="str">
        <f aca="false">IF($C7767="","",IFERROR(INDEX(المنيو!$C$2:$C$500,MATCH($C7767,المنيو!$B$2:$B$500,0)),0))</f>
        <v/>
      </c>
      <c r="F7767" s="103" t="str">
        <f aca="false">IF($C7767="","",$D7767*$E7767)</f>
        <v/>
      </c>
      <c r="G7767" s="103" t="str">
        <f aca="false">IF($C7767="","",$D7767*IFERROR(INDEX('تحليل التكلفة والسعر'!$C$2:$C$700,MATCH($C7767,'تحليل التكلفة والسعر'!$B$2:$B$700,0)),0))</f>
        <v/>
      </c>
    </row>
    <row r="7768" customFormat="false" ht="15" hidden="false" customHeight="false" outlineLevel="0" collapsed="false">
      <c r="A7768" s="102"/>
      <c r="E7768" s="103" t="str">
        <f aca="false">IF($C7768="","",IFERROR(INDEX(المنيو!$C$2:$C$500,MATCH($C7768,المنيو!$B$2:$B$500,0)),0))</f>
        <v/>
      </c>
      <c r="F7768" s="103" t="str">
        <f aca="false">IF($C7768="","",$D7768*$E7768)</f>
        <v/>
      </c>
      <c r="G7768" s="103" t="str">
        <f aca="false">IF($C7768="","",$D7768*IFERROR(INDEX('تحليل التكلفة والسعر'!$C$2:$C$700,MATCH($C7768,'تحليل التكلفة والسعر'!$B$2:$B$700,0)),0))</f>
        <v/>
      </c>
    </row>
    <row r="7769" customFormat="false" ht="15" hidden="false" customHeight="false" outlineLevel="0" collapsed="false">
      <c r="A7769" s="102"/>
      <c r="E7769" s="103" t="str">
        <f aca="false">IF($C7769="","",IFERROR(INDEX(المنيو!$C$2:$C$500,MATCH($C7769,المنيو!$B$2:$B$500,0)),0))</f>
        <v/>
      </c>
      <c r="F7769" s="103" t="str">
        <f aca="false">IF($C7769="","",$D7769*$E7769)</f>
        <v/>
      </c>
      <c r="G7769" s="103" t="str">
        <f aca="false">IF($C7769="","",$D7769*IFERROR(INDEX('تحليل التكلفة والسعر'!$C$2:$C$700,MATCH($C7769,'تحليل التكلفة والسعر'!$B$2:$B$700,0)),0))</f>
        <v/>
      </c>
    </row>
    <row r="7770" customFormat="false" ht="15" hidden="false" customHeight="false" outlineLevel="0" collapsed="false">
      <c r="A7770" s="102"/>
      <c r="E7770" s="103" t="str">
        <f aca="false">IF($C7770="","",IFERROR(INDEX(المنيو!$C$2:$C$500,MATCH($C7770,المنيو!$B$2:$B$500,0)),0))</f>
        <v/>
      </c>
      <c r="F7770" s="103" t="str">
        <f aca="false">IF($C7770="","",$D7770*$E7770)</f>
        <v/>
      </c>
      <c r="G7770" s="103" t="str">
        <f aca="false">IF($C7770="","",$D7770*IFERROR(INDEX('تحليل التكلفة والسعر'!$C$2:$C$700,MATCH($C7770,'تحليل التكلفة والسعر'!$B$2:$B$700,0)),0))</f>
        <v/>
      </c>
    </row>
    <row r="7771" customFormat="false" ht="15" hidden="false" customHeight="false" outlineLevel="0" collapsed="false">
      <c r="A7771" s="102"/>
      <c r="E7771" s="103" t="str">
        <f aca="false">IF($C7771="","",IFERROR(INDEX(المنيو!$C$2:$C$500,MATCH($C7771,المنيو!$B$2:$B$500,0)),0))</f>
        <v/>
      </c>
      <c r="F7771" s="103" t="str">
        <f aca="false">IF($C7771="","",$D7771*$E7771)</f>
        <v/>
      </c>
      <c r="G7771" s="103" t="str">
        <f aca="false">IF($C7771="","",$D7771*IFERROR(INDEX('تحليل التكلفة والسعر'!$C$2:$C$700,MATCH($C7771,'تحليل التكلفة والسعر'!$B$2:$B$700,0)),0))</f>
        <v/>
      </c>
    </row>
    <row r="7772" customFormat="false" ht="15" hidden="false" customHeight="false" outlineLevel="0" collapsed="false">
      <c r="A7772" s="102"/>
      <c r="E7772" s="103" t="str">
        <f aca="false">IF($C7772="","",IFERROR(INDEX(المنيو!$C$2:$C$500,MATCH($C7772,المنيو!$B$2:$B$500,0)),0))</f>
        <v/>
      </c>
      <c r="F7772" s="103" t="str">
        <f aca="false">IF($C7772="","",$D7772*$E7772)</f>
        <v/>
      </c>
      <c r="G7772" s="103" t="str">
        <f aca="false">IF($C7772="","",$D7772*IFERROR(INDEX('تحليل التكلفة والسعر'!$C$2:$C$700,MATCH($C7772,'تحليل التكلفة والسعر'!$B$2:$B$700,0)),0))</f>
        <v/>
      </c>
    </row>
    <row r="7773" customFormat="false" ht="15" hidden="false" customHeight="false" outlineLevel="0" collapsed="false">
      <c r="A7773" s="102"/>
      <c r="E7773" s="103" t="str">
        <f aca="false">IF($C7773="","",IFERROR(INDEX(المنيو!$C$2:$C$500,MATCH($C7773,المنيو!$B$2:$B$500,0)),0))</f>
        <v/>
      </c>
      <c r="F7773" s="103" t="str">
        <f aca="false">IF($C7773="","",$D7773*$E7773)</f>
        <v/>
      </c>
      <c r="G7773" s="103" t="str">
        <f aca="false">IF($C7773="","",$D7773*IFERROR(INDEX('تحليل التكلفة والسعر'!$C$2:$C$700,MATCH($C7773,'تحليل التكلفة والسعر'!$B$2:$B$700,0)),0))</f>
        <v/>
      </c>
    </row>
    <row r="7774" customFormat="false" ht="15" hidden="false" customHeight="false" outlineLevel="0" collapsed="false">
      <c r="A7774" s="102"/>
      <c r="E7774" s="103" t="str">
        <f aca="false">IF($C7774="","",IFERROR(INDEX(المنيو!$C$2:$C$500,MATCH($C7774,المنيو!$B$2:$B$500,0)),0))</f>
        <v/>
      </c>
      <c r="F7774" s="103" t="str">
        <f aca="false">IF($C7774="","",$D7774*$E7774)</f>
        <v/>
      </c>
      <c r="G7774" s="103" t="str">
        <f aca="false">IF($C7774="","",$D7774*IFERROR(INDEX('تحليل التكلفة والسعر'!$C$2:$C$700,MATCH($C7774,'تحليل التكلفة والسعر'!$B$2:$B$700,0)),0))</f>
        <v/>
      </c>
    </row>
    <row r="7775" customFormat="false" ht="15" hidden="false" customHeight="false" outlineLevel="0" collapsed="false">
      <c r="A7775" s="102"/>
      <c r="E7775" s="103" t="str">
        <f aca="false">IF($C7775="","",IFERROR(INDEX(المنيو!$C$2:$C$500,MATCH($C7775,المنيو!$B$2:$B$500,0)),0))</f>
        <v/>
      </c>
      <c r="F7775" s="103" t="str">
        <f aca="false">IF($C7775="","",$D7775*$E7775)</f>
        <v/>
      </c>
      <c r="G7775" s="103" t="str">
        <f aca="false">IF($C7775="","",$D7775*IFERROR(INDEX('تحليل التكلفة والسعر'!$C$2:$C$700,MATCH($C7775,'تحليل التكلفة والسعر'!$B$2:$B$700,0)),0))</f>
        <v/>
      </c>
    </row>
    <row r="7776" customFormat="false" ht="15" hidden="false" customHeight="false" outlineLevel="0" collapsed="false">
      <c r="A7776" s="102"/>
      <c r="E7776" s="103" t="str">
        <f aca="false">IF($C7776="","",IFERROR(INDEX(المنيو!$C$2:$C$500,MATCH($C7776,المنيو!$B$2:$B$500,0)),0))</f>
        <v/>
      </c>
      <c r="F7776" s="103" t="str">
        <f aca="false">IF($C7776="","",$D7776*$E7776)</f>
        <v/>
      </c>
      <c r="G7776" s="103" t="str">
        <f aca="false">IF($C7776="","",$D7776*IFERROR(INDEX('تحليل التكلفة والسعر'!$C$2:$C$700,MATCH($C7776,'تحليل التكلفة والسعر'!$B$2:$B$700,0)),0))</f>
        <v/>
      </c>
    </row>
    <row r="7777" customFormat="false" ht="15" hidden="false" customHeight="false" outlineLevel="0" collapsed="false">
      <c r="A7777" s="102"/>
      <c r="E7777" s="103" t="str">
        <f aca="false">IF($C7777="","",IFERROR(INDEX(المنيو!$C$2:$C$500,MATCH($C7777,المنيو!$B$2:$B$500,0)),0))</f>
        <v/>
      </c>
      <c r="F7777" s="103" t="str">
        <f aca="false">IF($C7777="","",$D7777*$E7777)</f>
        <v/>
      </c>
      <c r="G7777" s="103" t="str">
        <f aca="false">IF($C7777="","",$D7777*IFERROR(INDEX('تحليل التكلفة والسعر'!$C$2:$C$700,MATCH($C7777,'تحليل التكلفة والسعر'!$B$2:$B$700,0)),0))</f>
        <v/>
      </c>
    </row>
    <row r="7778" customFormat="false" ht="15" hidden="false" customHeight="false" outlineLevel="0" collapsed="false">
      <c r="A7778" s="102"/>
      <c r="E7778" s="103" t="str">
        <f aca="false">IF($C7778="","",IFERROR(INDEX(المنيو!$C$2:$C$500,MATCH($C7778,المنيو!$B$2:$B$500,0)),0))</f>
        <v/>
      </c>
      <c r="F7778" s="103" t="str">
        <f aca="false">IF($C7778="","",$D7778*$E7778)</f>
        <v/>
      </c>
      <c r="G7778" s="103" t="str">
        <f aca="false">IF($C7778="","",$D7778*IFERROR(INDEX('تحليل التكلفة والسعر'!$C$2:$C$700,MATCH($C7778,'تحليل التكلفة والسعر'!$B$2:$B$700,0)),0))</f>
        <v/>
      </c>
    </row>
    <row r="7779" customFormat="false" ht="15" hidden="false" customHeight="false" outlineLevel="0" collapsed="false">
      <c r="A7779" s="102"/>
      <c r="E7779" s="103" t="str">
        <f aca="false">IF($C7779="","",IFERROR(INDEX(المنيو!$C$2:$C$500,MATCH($C7779,المنيو!$B$2:$B$500,0)),0))</f>
        <v/>
      </c>
      <c r="F7779" s="103" t="str">
        <f aca="false">IF($C7779="","",$D7779*$E7779)</f>
        <v/>
      </c>
      <c r="G7779" s="103" t="str">
        <f aca="false">IF($C7779="","",$D7779*IFERROR(INDEX('تحليل التكلفة والسعر'!$C$2:$C$700,MATCH($C7779,'تحليل التكلفة والسعر'!$B$2:$B$700,0)),0))</f>
        <v/>
      </c>
    </row>
    <row r="7780" customFormat="false" ht="15" hidden="false" customHeight="false" outlineLevel="0" collapsed="false">
      <c r="A7780" s="102"/>
      <c r="E7780" s="103" t="str">
        <f aca="false">IF($C7780="","",IFERROR(INDEX(المنيو!$C$2:$C$500,MATCH($C7780,المنيو!$B$2:$B$500,0)),0))</f>
        <v/>
      </c>
      <c r="F7780" s="103" t="str">
        <f aca="false">IF($C7780="","",$D7780*$E7780)</f>
        <v/>
      </c>
      <c r="G7780" s="103" t="str">
        <f aca="false">IF($C7780="","",$D7780*IFERROR(INDEX('تحليل التكلفة والسعر'!$C$2:$C$700,MATCH($C7780,'تحليل التكلفة والسعر'!$B$2:$B$700,0)),0))</f>
        <v/>
      </c>
    </row>
    <row r="7781" customFormat="false" ht="15" hidden="false" customHeight="false" outlineLevel="0" collapsed="false">
      <c r="A7781" s="102"/>
      <c r="E7781" s="103" t="str">
        <f aca="false">IF($C7781="","",IFERROR(INDEX(المنيو!$C$2:$C$500,MATCH($C7781,المنيو!$B$2:$B$500,0)),0))</f>
        <v/>
      </c>
      <c r="F7781" s="103" t="str">
        <f aca="false">IF($C7781="","",$D7781*$E7781)</f>
        <v/>
      </c>
      <c r="G7781" s="103" t="str">
        <f aca="false">IF($C7781="","",$D7781*IFERROR(INDEX('تحليل التكلفة والسعر'!$C$2:$C$700,MATCH($C7781,'تحليل التكلفة والسعر'!$B$2:$B$700,0)),0))</f>
        <v/>
      </c>
    </row>
    <row r="7782" customFormat="false" ht="15" hidden="false" customHeight="false" outlineLevel="0" collapsed="false">
      <c r="A7782" s="102"/>
      <c r="E7782" s="103" t="str">
        <f aca="false">IF($C7782="","",IFERROR(INDEX(المنيو!$C$2:$C$500,MATCH($C7782,المنيو!$B$2:$B$500,0)),0))</f>
        <v/>
      </c>
      <c r="F7782" s="103" t="str">
        <f aca="false">IF($C7782="","",$D7782*$E7782)</f>
        <v/>
      </c>
      <c r="G7782" s="103" t="str">
        <f aca="false">IF($C7782="","",$D7782*IFERROR(INDEX('تحليل التكلفة والسعر'!$C$2:$C$700,MATCH($C7782,'تحليل التكلفة والسعر'!$B$2:$B$700,0)),0))</f>
        <v/>
      </c>
    </row>
    <row r="7783" customFormat="false" ht="15" hidden="false" customHeight="false" outlineLevel="0" collapsed="false">
      <c r="A7783" s="102"/>
      <c r="E7783" s="103" t="str">
        <f aca="false">IF($C7783="","",IFERROR(INDEX(المنيو!$C$2:$C$500,MATCH($C7783,المنيو!$B$2:$B$500,0)),0))</f>
        <v/>
      </c>
      <c r="F7783" s="103" t="str">
        <f aca="false">IF($C7783="","",$D7783*$E7783)</f>
        <v/>
      </c>
      <c r="G7783" s="103" t="str">
        <f aca="false">IF($C7783="","",$D7783*IFERROR(INDEX('تحليل التكلفة والسعر'!$C$2:$C$700,MATCH($C7783,'تحليل التكلفة والسعر'!$B$2:$B$700,0)),0))</f>
        <v/>
      </c>
    </row>
    <row r="7784" customFormat="false" ht="15" hidden="false" customHeight="false" outlineLevel="0" collapsed="false">
      <c r="A7784" s="102"/>
      <c r="E7784" s="103" t="str">
        <f aca="false">IF($C7784="","",IFERROR(INDEX(المنيو!$C$2:$C$500,MATCH($C7784,المنيو!$B$2:$B$500,0)),0))</f>
        <v/>
      </c>
      <c r="F7784" s="103" t="str">
        <f aca="false">IF($C7784="","",$D7784*$E7784)</f>
        <v/>
      </c>
      <c r="G7784" s="103" t="str">
        <f aca="false">IF($C7784="","",$D7784*IFERROR(INDEX('تحليل التكلفة والسعر'!$C$2:$C$700,MATCH($C7784,'تحليل التكلفة والسعر'!$B$2:$B$700,0)),0))</f>
        <v/>
      </c>
    </row>
    <row r="7785" customFormat="false" ht="15" hidden="false" customHeight="false" outlineLevel="0" collapsed="false">
      <c r="A7785" s="102"/>
      <c r="E7785" s="103" t="str">
        <f aca="false">IF($C7785="","",IFERROR(INDEX(المنيو!$C$2:$C$500,MATCH($C7785,المنيو!$B$2:$B$500,0)),0))</f>
        <v/>
      </c>
      <c r="F7785" s="103" t="str">
        <f aca="false">IF($C7785="","",$D7785*$E7785)</f>
        <v/>
      </c>
      <c r="G7785" s="103" t="str">
        <f aca="false">IF($C7785="","",$D7785*IFERROR(INDEX('تحليل التكلفة والسعر'!$C$2:$C$700,MATCH($C7785,'تحليل التكلفة والسعر'!$B$2:$B$700,0)),0))</f>
        <v/>
      </c>
    </row>
    <row r="7786" customFormat="false" ht="15" hidden="false" customHeight="false" outlineLevel="0" collapsed="false">
      <c r="A7786" s="102"/>
      <c r="E7786" s="103" t="str">
        <f aca="false">IF($C7786="","",IFERROR(INDEX(المنيو!$C$2:$C$500,MATCH($C7786,المنيو!$B$2:$B$500,0)),0))</f>
        <v/>
      </c>
      <c r="F7786" s="103" t="str">
        <f aca="false">IF($C7786="","",$D7786*$E7786)</f>
        <v/>
      </c>
      <c r="G7786" s="103" t="str">
        <f aca="false">IF($C7786="","",$D7786*IFERROR(INDEX('تحليل التكلفة والسعر'!$C$2:$C$700,MATCH($C7786,'تحليل التكلفة والسعر'!$B$2:$B$700,0)),0))</f>
        <v/>
      </c>
    </row>
    <row r="7787" customFormat="false" ht="15" hidden="false" customHeight="false" outlineLevel="0" collapsed="false">
      <c r="A7787" s="102"/>
      <c r="E7787" s="103" t="str">
        <f aca="false">IF($C7787="","",IFERROR(INDEX(المنيو!$C$2:$C$500,MATCH($C7787,المنيو!$B$2:$B$500,0)),0))</f>
        <v/>
      </c>
      <c r="F7787" s="103" t="str">
        <f aca="false">IF($C7787="","",$D7787*$E7787)</f>
        <v/>
      </c>
      <c r="G7787" s="103" t="str">
        <f aca="false">IF($C7787="","",$D7787*IFERROR(INDEX('تحليل التكلفة والسعر'!$C$2:$C$700,MATCH($C7787,'تحليل التكلفة والسعر'!$B$2:$B$700,0)),0))</f>
        <v/>
      </c>
    </row>
    <row r="7788" customFormat="false" ht="15" hidden="false" customHeight="false" outlineLevel="0" collapsed="false">
      <c r="A7788" s="102"/>
      <c r="E7788" s="103" t="str">
        <f aca="false">IF($C7788="","",IFERROR(INDEX(المنيو!$C$2:$C$500,MATCH($C7788,المنيو!$B$2:$B$500,0)),0))</f>
        <v/>
      </c>
      <c r="F7788" s="103" t="str">
        <f aca="false">IF($C7788="","",$D7788*$E7788)</f>
        <v/>
      </c>
      <c r="G7788" s="103" t="str">
        <f aca="false">IF($C7788="","",$D7788*IFERROR(INDEX('تحليل التكلفة والسعر'!$C$2:$C$700,MATCH($C7788,'تحليل التكلفة والسعر'!$B$2:$B$700,0)),0))</f>
        <v/>
      </c>
    </row>
    <row r="7789" customFormat="false" ht="15" hidden="false" customHeight="false" outlineLevel="0" collapsed="false">
      <c r="A7789" s="102"/>
      <c r="E7789" s="103" t="str">
        <f aca="false">IF($C7789="","",IFERROR(INDEX(المنيو!$C$2:$C$500,MATCH($C7789,المنيو!$B$2:$B$500,0)),0))</f>
        <v/>
      </c>
      <c r="F7789" s="103" t="str">
        <f aca="false">IF($C7789="","",$D7789*$E7789)</f>
        <v/>
      </c>
      <c r="G7789" s="103" t="str">
        <f aca="false">IF($C7789="","",$D7789*IFERROR(INDEX('تحليل التكلفة والسعر'!$C$2:$C$700,MATCH($C7789,'تحليل التكلفة والسعر'!$B$2:$B$700,0)),0))</f>
        <v/>
      </c>
    </row>
    <row r="7790" customFormat="false" ht="15" hidden="false" customHeight="false" outlineLevel="0" collapsed="false">
      <c r="A7790" s="102"/>
      <c r="E7790" s="103" t="str">
        <f aca="false">IF($C7790="","",IFERROR(INDEX(المنيو!$C$2:$C$500,MATCH($C7790,المنيو!$B$2:$B$500,0)),0))</f>
        <v/>
      </c>
      <c r="F7790" s="103" t="str">
        <f aca="false">IF($C7790="","",$D7790*$E7790)</f>
        <v/>
      </c>
      <c r="G7790" s="103" t="str">
        <f aca="false">IF($C7790="","",$D7790*IFERROR(INDEX('تحليل التكلفة والسعر'!$C$2:$C$700,MATCH($C7790,'تحليل التكلفة والسعر'!$B$2:$B$700,0)),0))</f>
        <v/>
      </c>
    </row>
    <row r="7791" customFormat="false" ht="15" hidden="false" customHeight="false" outlineLevel="0" collapsed="false">
      <c r="A7791" s="102"/>
      <c r="E7791" s="103" t="str">
        <f aca="false">IF($C7791="","",IFERROR(INDEX(المنيو!$C$2:$C$500,MATCH($C7791,المنيو!$B$2:$B$500,0)),0))</f>
        <v/>
      </c>
      <c r="F7791" s="103" t="str">
        <f aca="false">IF($C7791="","",$D7791*$E7791)</f>
        <v/>
      </c>
      <c r="G7791" s="103" t="str">
        <f aca="false">IF($C7791="","",$D7791*IFERROR(INDEX('تحليل التكلفة والسعر'!$C$2:$C$700,MATCH($C7791,'تحليل التكلفة والسعر'!$B$2:$B$700,0)),0))</f>
        <v/>
      </c>
    </row>
    <row r="7792" customFormat="false" ht="15" hidden="false" customHeight="false" outlineLevel="0" collapsed="false">
      <c r="A7792" s="102"/>
      <c r="E7792" s="103" t="str">
        <f aca="false">IF($C7792="","",IFERROR(INDEX(المنيو!$C$2:$C$500,MATCH($C7792,المنيو!$B$2:$B$500,0)),0))</f>
        <v/>
      </c>
      <c r="F7792" s="103" t="str">
        <f aca="false">IF($C7792="","",$D7792*$E7792)</f>
        <v/>
      </c>
      <c r="G7792" s="103" t="str">
        <f aca="false">IF($C7792="","",$D7792*IFERROR(INDEX('تحليل التكلفة والسعر'!$C$2:$C$700,MATCH($C7792,'تحليل التكلفة والسعر'!$B$2:$B$700,0)),0))</f>
        <v/>
      </c>
    </row>
    <row r="7793" customFormat="false" ht="15" hidden="false" customHeight="false" outlineLevel="0" collapsed="false">
      <c r="A7793" s="102"/>
      <c r="E7793" s="103" t="str">
        <f aca="false">IF($C7793="","",IFERROR(INDEX(المنيو!$C$2:$C$500,MATCH($C7793,المنيو!$B$2:$B$500,0)),0))</f>
        <v/>
      </c>
      <c r="F7793" s="103" t="str">
        <f aca="false">IF($C7793="","",$D7793*$E7793)</f>
        <v/>
      </c>
      <c r="G7793" s="103" t="str">
        <f aca="false">IF($C7793="","",$D7793*IFERROR(INDEX('تحليل التكلفة والسعر'!$C$2:$C$700,MATCH($C7793,'تحليل التكلفة والسعر'!$B$2:$B$700,0)),0))</f>
        <v/>
      </c>
    </row>
    <row r="7794" customFormat="false" ht="15" hidden="false" customHeight="false" outlineLevel="0" collapsed="false">
      <c r="A7794" s="102"/>
      <c r="E7794" s="103" t="str">
        <f aca="false">IF($C7794="","",IFERROR(INDEX(المنيو!$C$2:$C$500,MATCH($C7794,المنيو!$B$2:$B$500,0)),0))</f>
        <v/>
      </c>
      <c r="F7794" s="103" t="str">
        <f aca="false">IF($C7794="","",$D7794*$E7794)</f>
        <v/>
      </c>
      <c r="G7794" s="103" t="str">
        <f aca="false">IF($C7794="","",$D7794*IFERROR(INDEX('تحليل التكلفة والسعر'!$C$2:$C$700,MATCH($C7794,'تحليل التكلفة والسعر'!$B$2:$B$700,0)),0))</f>
        <v/>
      </c>
    </row>
    <row r="7795" customFormat="false" ht="15" hidden="false" customHeight="false" outlineLevel="0" collapsed="false">
      <c r="A7795" s="102"/>
      <c r="E7795" s="103" t="str">
        <f aca="false">IF($C7795="","",IFERROR(INDEX(المنيو!$C$2:$C$500,MATCH($C7795,المنيو!$B$2:$B$500,0)),0))</f>
        <v/>
      </c>
      <c r="F7795" s="103" t="str">
        <f aca="false">IF($C7795="","",$D7795*$E7795)</f>
        <v/>
      </c>
      <c r="G7795" s="103" t="str">
        <f aca="false">IF($C7795="","",$D7795*IFERROR(INDEX('تحليل التكلفة والسعر'!$C$2:$C$700,MATCH($C7795,'تحليل التكلفة والسعر'!$B$2:$B$700,0)),0))</f>
        <v/>
      </c>
    </row>
    <row r="7796" customFormat="false" ht="15" hidden="false" customHeight="false" outlineLevel="0" collapsed="false">
      <c r="A7796" s="102"/>
      <c r="E7796" s="103" t="str">
        <f aca="false">IF($C7796="","",IFERROR(INDEX(المنيو!$C$2:$C$500,MATCH($C7796,المنيو!$B$2:$B$500,0)),0))</f>
        <v/>
      </c>
      <c r="F7796" s="103" t="str">
        <f aca="false">IF($C7796="","",$D7796*$E7796)</f>
        <v/>
      </c>
      <c r="G7796" s="103" t="str">
        <f aca="false">IF($C7796="","",$D7796*IFERROR(INDEX('تحليل التكلفة والسعر'!$C$2:$C$700,MATCH($C7796,'تحليل التكلفة والسعر'!$B$2:$B$700,0)),0))</f>
        <v/>
      </c>
    </row>
    <row r="7797" customFormat="false" ht="15" hidden="false" customHeight="false" outlineLevel="0" collapsed="false">
      <c r="A7797" s="102"/>
      <c r="E7797" s="103" t="str">
        <f aca="false">IF($C7797="","",IFERROR(INDEX(المنيو!$C$2:$C$500,MATCH($C7797,المنيو!$B$2:$B$500,0)),0))</f>
        <v/>
      </c>
      <c r="F7797" s="103" t="str">
        <f aca="false">IF($C7797="","",$D7797*$E7797)</f>
        <v/>
      </c>
      <c r="G7797" s="103" t="str">
        <f aca="false">IF($C7797="","",$D7797*IFERROR(INDEX('تحليل التكلفة والسعر'!$C$2:$C$700,MATCH($C7797,'تحليل التكلفة والسعر'!$B$2:$B$700,0)),0))</f>
        <v/>
      </c>
    </row>
    <row r="7798" customFormat="false" ht="15" hidden="false" customHeight="false" outlineLevel="0" collapsed="false">
      <c r="A7798" s="102"/>
      <c r="E7798" s="103" t="str">
        <f aca="false">IF($C7798="","",IFERROR(INDEX(المنيو!$C$2:$C$500,MATCH($C7798,المنيو!$B$2:$B$500,0)),0))</f>
        <v/>
      </c>
      <c r="F7798" s="103" t="str">
        <f aca="false">IF($C7798="","",$D7798*$E7798)</f>
        <v/>
      </c>
      <c r="G7798" s="103" t="str">
        <f aca="false">IF($C7798="","",$D7798*IFERROR(INDEX('تحليل التكلفة والسعر'!$C$2:$C$700,MATCH($C7798,'تحليل التكلفة والسعر'!$B$2:$B$700,0)),0))</f>
        <v/>
      </c>
    </row>
    <row r="7799" customFormat="false" ht="15" hidden="false" customHeight="false" outlineLevel="0" collapsed="false">
      <c r="A7799" s="102"/>
      <c r="E7799" s="103" t="str">
        <f aca="false">IF($C7799="","",IFERROR(INDEX(المنيو!$C$2:$C$500,MATCH($C7799,المنيو!$B$2:$B$500,0)),0))</f>
        <v/>
      </c>
      <c r="F7799" s="103" t="str">
        <f aca="false">IF($C7799="","",$D7799*$E7799)</f>
        <v/>
      </c>
      <c r="G7799" s="103" t="str">
        <f aca="false">IF($C7799="","",$D7799*IFERROR(INDEX('تحليل التكلفة والسعر'!$C$2:$C$700,MATCH($C7799,'تحليل التكلفة والسعر'!$B$2:$B$700,0)),0))</f>
        <v/>
      </c>
    </row>
    <row r="7800" customFormat="false" ht="15" hidden="false" customHeight="false" outlineLevel="0" collapsed="false">
      <c r="A7800" s="102"/>
      <c r="E7800" s="103" t="str">
        <f aca="false">IF($C7800="","",IFERROR(INDEX(المنيو!$C$2:$C$500,MATCH($C7800,المنيو!$B$2:$B$500,0)),0))</f>
        <v/>
      </c>
      <c r="F7800" s="103" t="str">
        <f aca="false">IF($C7800="","",$D7800*$E7800)</f>
        <v/>
      </c>
      <c r="G7800" s="103" t="str">
        <f aca="false">IF($C7800="","",$D7800*IFERROR(INDEX('تحليل التكلفة والسعر'!$C$2:$C$700,MATCH($C7800,'تحليل التكلفة والسعر'!$B$2:$B$700,0)),0))</f>
        <v/>
      </c>
    </row>
    <row r="7801" customFormat="false" ht="15" hidden="false" customHeight="false" outlineLevel="0" collapsed="false">
      <c r="A7801" s="102"/>
      <c r="E7801" s="103" t="str">
        <f aca="false">IF($C7801="","",IFERROR(INDEX(المنيو!$C$2:$C$500,MATCH($C7801,المنيو!$B$2:$B$500,0)),0))</f>
        <v/>
      </c>
      <c r="F7801" s="103" t="str">
        <f aca="false">IF($C7801="","",$D7801*$E7801)</f>
        <v/>
      </c>
      <c r="G7801" s="103" t="str">
        <f aca="false">IF($C7801="","",$D7801*IFERROR(INDEX('تحليل التكلفة والسعر'!$C$2:$C$700,MATCH($C7801,'تحليل التكلفة والسعر'!$B$2:$B$700,0)),0))</f>
        <v/>
      </c>
    </row>
    <row r="7802" customFormat="false" ht="15" hidden="false" customHeight="false" outlineLevel="0" collapsed="false">
      <c r="A7802" s="102"/>
      <c r="E7802" s="103" t="str">
        <f aca="false">IF($C7802="","",IFERROR(INDEX(المنيو!$C$2:$C$500,MATCH($C7802,المنيو!$B$2:$B$500,0)),0))</f>
        <v/>
      </c>
      <c r="F7802" s="103" t="str">
        <f aca="false">IF($C7802="","",$D7802*$E7802)</f>
        <v/>
      </c>
      <c r="G7802" s="103" t="str">
        <f aca="false">IF($C7802="","",$D7802*IFERROR(INDEX('تحليل التكلفة والسعر'!$C$2:$C$700,MATCH($C7802,'تحليل التكلفة والسعر'!$B$2:$B$700,0)),0))</f>
        <v/>
      </c>
    </row>
    <row r="7803" customFormat="false" ht="15" hidden="false" customHeight="false" outlineLevel="0" collapsed="false">
      <c r="A7803" s="102"/>
      <c r="E7803" s="103" t="str">
        <f aca="false">IF($C7803="","",IFERROR(INDEX(المنيو!$C$2:$C$500,MATCH($C7803,المنيو!$B$2:$B$500,0)),0))</f>
        <v/>
      </c>
      <c r="F7803" s="103" t="str">
        <f aca="false">IF($C7803="","",$D7803*$E7803)</f>
        <v/>
      </c>
      <c r="G7803" s="103" t="str">
        <f aca="false">IF($C7803="","",$D7803*IFERROR(INDEX('تحليل التكلفة والسعر'!$C$2:$C$700,MATCH($C7803,'تحليل التكلفة والسعر'!$B$2:$B$700,0)),0))</f>
        <v/>
      </c>
    </row>
    <row r="7804" customFormat="false" ht="15" hidden="false" customHeight="false" outlineLevel="0" collapsed="false">
      <c r="A7804" s="102"/>
      <c r="E7804" s="103" t="str">
        <f aca="false">IF($C7804="","",IFERROR(INDEX(المنيو!$C$2:$C$500,MATCH($C7804,المنيو!$B$2:$B$500,0)),0))</f>
        <v/>
      </c>
      <c r="F7804" s="103" t="str">
        <f aca="false">IF($C7804="","",$D7804*$E7804)</f>
        <v/>
      </c>
      <c r="G7804" s="103" t="str">
        <f aca="false">IF($C7804="","",$D7804*IFERROR(INDEX('تحليل التكلفة والسعر'!$C$2:$C$700,MATCH($C7804,'تحليل التكلفة والسعر'!$B$2:$B$700,0)),0))</f>
        <v/>
      </c>
    </row>
    <row r="7805" customFormat="false" ht="15" hidden="false" customHeight="false" outlineLevel="0" collapsed="false">
      <c r="A7805" s="102"/>
      <c r="E7805" s="103" t="str">
        <f aca="false">IF($C7805="","",IFERROR(INDEX(المنيو!$C$2:$C$500,MATCH($C7805,المنيو!$B$2:$B$500,0)),0))</f>
        <v/>
      </c>
      <c r="F7805" s="103" t="str">
        <f aca="false">IF($C7805="","",$D7805*$E7805)</f>
        <v/>
      </c>
      <c r="G7805" s="103" t="str">
        <f aca="false">IF($C7805="","",$D7805*IFERROR(INDEX('تحليل التكلفة والسعر'!$C$2:$C$700,MATCH($C7805,'تحليل التكلفة والسعر'!$B$2:$B$700,0)),0))</f>
        <v/>
      </c>
    </row>
    <row r="7806" customFormat="false" ht="15" hidden="false" customHeight="false" outlineLevel="0" collapsed="false">
      <c r="A7806" s="102"/>
      <c r="E7806" s="103" t="str">
        <f aca="false">IF($C7806="","",IFERROR(INDEX(المنيو!$C$2:$C$500,MATCH($C7806,المنيو!$B$2:$B$500,0)),0))</f>
        <v/>
      </c>
      <c r="F7806" s="103" t="str">
        <f aca="false">IF($C7806="","",$D7806*$E7806)</f>
        <v/>
      </c>
      <c r="G7806" s="103" t="str">
        <f aca="false">IF($C7806="","",$D7806*IFERROR(INDEX('تحليل التكلفة والسعر'!$C$2:$C$700,MATCH($C7806,'تحليل التكلفة والسعر'!$B$2:$B$700,0)),0))</f>
        <v/>
      </c>
    </row>
    <row r="7807" customFormat="false" ht="15" hidden="false" customHeight="false" outlineLevel="0" collapsed="false">
      <c r="A7807" s="102"/>
      <c r="E7807" s="103" t="str">
        <f aca="false">IF($C7807="","",IFERROR(INDEX(المنيو!$C$2:$C$500,MATCH($C7807,المنيو!$B$2:$B$500,0)),0))</f>
        <v/>
      </c>
      <c r="F7807" s="103" t="str">
        <f aca="false">IF($C7807="","",$D7807*$E7807)</f>
        <v/>
      </c>
      <c r="G7807" s="103" t="str">
        <f aca="false">IF($C7807="","",$D7807*IFERROR(INDEX('تحليل التكلفة والسعر'!$C$2:$C$700,MATCH($C7807,'تحليل التكلفة والسعر'!$B$2:$B$700,0)),0))</f>
        <v/>
      </c>
    </row>
    <row r="7808" customFormat="false" ht="15" hidden="false" customHeight="false" outlineLevel="0" collapsed="false">
      <c r="A7808" s="102"/>
      <c r="E7808" s="103" t="str">
        <f aca="false">IF($C7808="","",IFERROR(INDEX(المنيو!$C$2:$C$500,MATCH($C7808,المنيو!$B$2:$B$500,0)),0))</f>
        <v/>
      </c>
      <c r="F7808" s="103" t="str">
        <f aca="false">IF($C7808="","",$D7808*$E7808)</f>
        <v/>
      </c>
      <c r="G7808" s="103" t="str">
        <f aca="false">IF($C7808="","",$D7808*IFERROR(INDEX('تحليل التكلفة والسعر'!$C$2:$C$700,MATCH($C7808,'تحليل التكلفة والسعر'!$B$2:$B$700,0)),0))</f>
        <v/>
      </c>
    </row>
    <row r="7809" customFormat="false" ht="15" hidden="false" customHeight="false" outlineLevel="0" collapsed="false">
      <c r="A7809" s="102"/>
      <c r="E7809" s="103" t="str">
        <f aca="false">IF($C7809="","",IFERROR(INDEX(المنيو!$C$2:$C$500,MATCH($C7809,المنيو!$B$2:$B$500,0)),0))</f>
        <v/>
      </c>
      <c r="F7809" s="103" t="str">
        <f aca="false">IF($C7809="","",$D7809*$E7809)</f>
        <v/>
      </c>
      <c r="G7809" s="103" t="str">
        <f aca="false">IF($C7809="","",$D7809*IFERROR(INDEX('تحليل التكلفة والسعر'!$C$2:$C$700,MATCH($C7809,'تحليل التكلفة والسعر'!$B$2:$B$700,0)),0))</f>
        <v/>
      </c>
    </row>
    <row r="7810" customFormat="false" ht="15" hidden="false" customHeight="false" outlineLevel="0" collapsed="false">
      <c r="A7810" s="102"/>
      <c r="E7810" s="103" t="str">
        <f aca="false">IF($C7810="","",IFERROR(INDEX(المنيو!$C$2:$C$500,MATCH($C7810,المنيو!$B$2:$B$500,0)),0))</f>
        <v/>
      </c>
      <c r="F7810" s="103" t="str">
        <f aca="false">IF($C7810="","",$D7810*$E7810)</f>
        <v/>
      </c>
      <c r="G7810" s="103" t="str">
        <f aca="false">IF($C7810="","",$D7810*IFERROR(INDEX('تحليل التكلفة والسعر'!$C$2:$C$700,MATCH($C7810,'تحليل التكلفة والسعر'!$B$2:$B$700,0)),0))</f>
        <v/>
      </c>
    </row>
    <row r="7811" customFormat="false" ht="15" hidden="false" customHeight="false" outlineLevel="0" collapsed="false">
      <c r="A7811" s="102"/>
      <c r="E7811" s="103" t="str">
        <f aca="false">IF($C7811="","",IFERROR(INDEX(المنيو!$C$2:$C$500,MATCH($C7811,المنيو!$B$2:$B$500,0)),0))</f>
        <v/>
      </c>
      <c r="F7811" s="103" t="str">
        <f aca="false">IF($C7811="","",$D7811*$E7811)</f>
        <v/>
      </c>
      <c r="G7811" s="103" t="str">
        <f aca="false">IF($C7811="","",$D7811*IFERROR(INDEX('تحليل التكلفة والسعر'!$C$2:$C$700,MATCH($C7811,'تحليل التكلفة والسعر'!$B$2:$B$700,0)),0))</f>
        <v/>
      </c>
    </row>
    <row r="7812" customFormat="false" ht="15" hidden="false" customHeight="false" outlineLevel="0" collapsed="false">
      <c r="A7812" s="102"/>
      <c r="E7812" s="103" t="str">
        <f aca="false">IF($C7812="","",IFERROR(INDEX(المنيو!$C$2:$C$500,MATCH($C7812,المنيو!$B$2:$B$500,0)),0))</f>
        <v/>
      </c>
      <c r="F7812" s="103" t="str">
        <f aca="false">IF($C7812="","",$D7812*$E7812)</f>
        <v/>
      </c>
      <c r="G7812" s="103" t="str">
        <f aca="false">IF($C7812="","",$D7812*IFERROR(INDEX('تحليل التكلفة والسعر'!$C$2:$C$700,MATCH($C7812,'تحليل التكلفة والسعر'!$B$2:$B$700,0)),0))</f>
        <v/>
      </c>
    </row>
    <row r="7813" customFormat="false" ht="15" hidden="false" customHeight="false" outlineLevel="0" collapsed="false">
      <c r="A7813" s="102"/>
      <c r="E7813" s="103" t="str">
        <f aca="false">IF($C7813="","",IFERROR(INDEX(المنيو!$C$2:$C$500,MATCH($C7813,المنيو!$B$2:$B$500,0)),0))</f>
        <v/>
      </c>
      <c r="F7813" s="103" t="str">
        <f aca="false">IF($C7813="","",$D7813*$E7813)</f>
        <v/>
      </c>
      <c r="G7813" s="103" t="str">
        <f aca="false">IF($C7813="","",$D7813*IFERROR(INDEX('تحليل التكلفة والسعر'!$C$2:$C$700,MATCH($C7813,'تحليل التكلفة والسعر'!$B$2:$B$700,0)),0))</f>
        <v/>
      </c>
    </row>
    <row r="7814" customFormat="false" ht="15" hidden="false" customHeight="false" outlineLevel="0" collapsed="false">
      <c r="A7814" s="102"/>
      <c r="E7814" s="103" t="str">
        <f aca="false">IF($C7814="","",IFERROR(INDEX(المنيو!$C$2:$C$500,MATCH($C7814,المنيو!$B$2:$B$500,0)),0))</f>
        <v/>
      </c>
      <c r="F7814" s="103" t="str">
        <f aca="false">IF($C7814="","",$D7814*$E7814)</f>
        <v/>
      </c>
      <c r="G7814" s="103" t="str">
        <f aca="false">IF($C7814="","",$D7814*IFERROR(INDEX('تحليل التكلفة والسعر'!$C$2:$C$700,MATCH($C7814,'تحليل التكلفة والسعر'!$B$2:$B$700,0)),0))</f>
        <v/>
      </c>
    </row>
    <row r="7815" customFormat="false" ht="15" hidden="false" customHeight="false" outlineLevel="0" collapsed="false">
      <c r="A7815" s="102"/>
      <c r="E7815" s="103" t="str">
        <f aca="false">IF($C7815="","",IFERROR(INDEX(المنيو!$C$2:$C$500,MATCH($C7815,المنيو!$B$2:$B$500,0)),0))</f>
        <v/>
      </c>
      <c r="F7815" s="103" t="str">
        <f aca="false">IF($C7815="","",$D7815*$E7815)</f>
        <v/>
      </c>
      <c r="G7815" s="103" t="str">
        <f aca="false">IF($C7815="","",$D7815*IFERROR(INDEX('تحليل التكلفة والسعر'!$C$2:$C$700,MATCH($C7815,'تحليل التكلفة والسعر'!$B$2:$B$700,0)),0))</f>
        <v/>
      </c>
    </row>
    <row r="7816" customFormat="false" ht="15" hidden="false" customHeight="false" outlineLevel="0" collapsed="false">
      <c r="A7816" s="102"/>
      <c r="E7816" s="103" t="str">
        <f aca="false">IF($C7816="","",IFERROR(INDEX(المنيو!$C$2:$C$500,MATCH($C7816,المنيو!$B$2:$B$500,0)),0))</f>
        <v/>
      </c>
      <c r="F7816" s="103" t="str">
        <f aca="false">IF($C7816="","",$D7816*$E7816)</f>
        <v/>
      </c>
      <c r="G7816" s="103" t="str">
        <f aca="false">IF($C7816="","",$D7816*IFERROR(INDEX('تحليل التكلفة والسعر'!$C$2:$C$700,MATCH($C7816,'تحليل التكلفة والسعر'!$B$2:$B$700,0)),0))</f>
        <v/>
      </c>
    </row>
    <row r="7817" customFormat="false" ht="15" hidden="false" customHeight="false" outlineLevel="0" collapsed="false">
      <c r="A7817" s="102"/>
      <c r="E7817" s="103" t="str">
        <f aca="false">IF($C7817="","",IFERROR(INDEX(المنيو!$C$2:$C$500,MATCH($C7817,المنيو!$B$2:$B$500,0)),0))</f>
        <v/>
      </c>
      <c r="F7817" s="103" t="str">
        <f aca="false">IF($C7817="","",$D7817*$E7817)</f>
        <v/>
      </c>
      <c r="G7817" s="103" t="str">
        <f aca="false">IF($C7817="","",$D7817*IFERROR(INDEX('تحليل التكلفة والسعر'!$C$2:$C$700,MATCH($C7817,'تحليل التكلفة والسعر'!$B$2:$B$700,0)),0))</f>
        <v/>
      </c>
    </row>
    <row r="7818" customFormat="false" ht="15" hidden="false" customHeight="false" outlineLevel="0" collapsed="false">
      <c r="A7818" s="102"/>
      <c r="E7818" s="103" t="str">
        <f aca="false">IF($C7818="","",IFERROR(INDEX(المنيو!$C$2:$C$500,MATCH($C7818,المنيو!$B$2:$B$500,0)),0))</f>
        <v/>
      </c>
      <c r="F7818" s="103" t="str">
        <f aca="false">IF($C7818="","",$D7818*$E7818)</f>
        <v/>
      </c>
      <c r="G7818" s="103" t="str">
        <f aca="false">IF($C7818="","",$D7818*IFERROR(INDEX('تحليل التكلفة والسعر'!$C$2:$C$700,MATCH($C7818,'تحليل التكلفة والسعر'!$B$2:$B$700,0)),0))</f>
        <v/>
      </c>
    </row>
    <row r="7819" customFormat="false" ht="15" hidden="false" customHeight="false" outlineLevel="0" collapsed="false">
      <c r="A7819" s="102"/>
      <c r="E7819" s="103" t="str">
        <f aca="false">IF($C7819="","",IFERROR(INDEX(المنيو!$C$2:$C$500,MATCH($C7819,المنيو!$B$2:$B$500,0)),0))</f>
        <v/>
      </c>
      <c r="F7819" s="103" t="str">
        <f aca="false">IF($C7819="","",$D7819*$E7819)</f>
        <v/>
      </c>
      <c r="G7819" s="103" t="str">
        <f aca="false">IF($C7819="","",$D7819*IFERROR(INDEX('تحليل التكلفة والسعر'!$C$2:$C$700,MATCH($C7819,'تحليل التكلفة والسعر'!$B$2:$B$700,0)),0))</f>
        <v/>
      </c>
    </row>
    <row r="7820" customFormat="false" ht="15" hidden="false" customHeight="false" outlineLevel="0" collapsed="false">
      <c r="A7820" s="102"/>
      <c r="E7820" s="103" t="str">
        <f aca="false">IF($C7820="","",IFERROR(INDEX(المنيو!$C$2:$C$500,MATCH($C7820,المنيو!$B$2:$B$500,0)),0))</f>
        <v/>
      </c>
      <c r="F7820" s="103" t="str">
        <f aca="false">IF($C7820="","",$D7820*$E7820)</f>
        <v/>
      </c>
      <c r="G7820" s="103" t="str">
        <f aca="false">IF($C7820="","",$D7820*IFERROR(INDEX('تحليل التكلفة والسعر'!$C$2:$C$700,MATCH($C7820,'تحليل التكلفة والسعر'!$B$2:$B$700,0)),0))</f>
        <v/>
      </c>
    </row>
    <row r="7821" customFormat="false" ht="15" hidden="false" customHeight="false" outlineLevel="0" collapsed="false">
      <c r="A7821" s="102"/>
      <c r="E7821" s="103" t="str">
        <f aca="false">IF($C7821="","",IFERROR(INDEX(المنيو!$C$2:$C$500,MATCH($C7821,المنيو!$B$2:$B$500,0)),0))</f>
        <v/>
      </c>
      <c r="F7821" s="103" t="str">
        <f aca="false">IF($C7821="","",$D7821*$E7821)</f>
        <v/>
      </c>
      <c r="G7821" s="103" t="str">
        <f aca="false">IF($C7821="","",$D7821*IFERROR(INDEX('تحليل التكلفة والسعر'!$C$2:$C$700,MATCH($C7821,'تحليل التكلفة والسعر'!$B$2:$B$700,0)),0))</f>
        <v/>
      </c>
    </row>
    <row r="7822" customFormat="false" ht="15" hidden="false" customHeight="false" outlineLevel="0" collapsed="false">
      <c r="A7822" s="102"/>
      <c r="E7822" s="103" t="str">
        <f aca="false">IF($C7822="","",IFERROR(INDEX(المنيو!$C$2:$C$500,MATCH($C7822,المنيو!$B$2:$B$500,0)),0))</f>
        <v/>
      </c>
      <c r="F7822" s="103" t="str">
        <f aca="false">IF($C7822="","",$D7822*$E7822)</f>
        <v/>
      </c>
      <c r="G7822" s="103" t="str">
        <f aca="false">IF($C7822="","",$D7822*IFERROR(INDEX('تحليل التكلفة والسعر'!$C$2:$C$700,MATCH($C7822,'تحليل التكلفة والسعر'!$B$2:$B$700,0)),0))</f>
        <v/>
      </c>
    </row>
    <row r="7823" customFormat="false" ht="15" hidden="false" customHeight="false" outlineLevel="0" collapsed="false">
      <c r="A7823" s="102"/>
      <c r="E7823" s="103" t="str">
        <f aca="false">IF($C7823="","",IFERROR(INDEX(المنيو!$C$2:$C$500,MATCH($C7823,المنيو!$B$2:$B$500,0)),0))</f>
        <v/>
      </c>
      <c r="F7823" s="103" t="str">
        <f aca="false">IF($C7823="","",$D7823*$E7823)</f>
        <v/>
      </c>
      <c r="G7823" s="103" t="str">
        <f aca="false">IF($C7823="","",$D7823*IFERROR(INDEX('تحليل التكلفة والسعر'!$C$2:$C$700,MATCH($C7823,'تحليل التكلفة والسعر'!$B$2:$B$700,0)),0))</f>
        <v/>
      </c>
    </row>
    <row r="7824" customFormat="false" ht="15" hidden="false" customHeight="false" outlineLevel="0" collapsed="false">
      <c r="A7824" s="102"/>
      <c r="E7824" s="103" t="str">
        <f aca="false">IF($C7824="","",IFERROR(INDEX(المنيو!$C$2:$C$500,MATCH($C7824,المنيو!$B$2:$B$500,0)),0))</f>
        <v/>
      </c>
      <c r="F7824" s="103" t="str">
        <f aca="false">IF($C7824="","",$D7824*$E7824)</f>
        <v/>
      </c>
      <c r="G7824" s="103" t="str">
        <f aca="false">IF($C7824="","",$D7824*IFERROR(INDEX('تحليل التكلفة والسعر'!$C$2:$C$700,MATCH($C7824,'تحليل التكلفة والسعر'!$B$2:$B$700,0)),0))</f>
        <v/>
      </c>
    </row>
    <row r="7825" customFormat="false" ht="15" hidden="false" customHeight="false" outlineLevel="0" collapsed="false">
      <c r="A7825" s="102"/>
      <c r="E7825" s="103" t="str">
        <f aca="false">IF($C7825="","",IFERROR(INDEX(المنيو!$C$2:$C$500,MATCH($C7825,المنيو!$B$2:$B$500,0)),0))</f>
        <v/>
      </c>
      <c r="F7825" s="103" t="str">
        <f aca="false">IF($C7825="","",$D7825*$E7825)</f>
        <v/>
      </c>
      <c r="G7825" s="103" t="str">
        <f aca="false">IF($C7825="","",$D7825*IFERROR(INDEX('تحليل التكلفة والسعر'!$C$2:$C$700,MATCH($C7825,'تحليل التكلفة والسعر'!$B$2:$B$700,0)),0))</f>
        <v/>
      </c>
    </row>
    <row r="7826" customFormat="false" ht="15" hidden="false" customHeight="false" outlineLevel="0" collapsed="false">
      <c r="A7826" s="102"/>
      <c r="E7826" s="103" t="str">
        <f aca="false">IF($C7826="","",IFERROR(INDEX(المنيو!$C$2:$C$500,MATCH($C7826,المنيو!$B$2:$B$500,0)),0))</f>
        <v/>
      </c>
      <c r="F7826" s="103" t="str">
        <f aca="false">IF($C7826="","",$D7826*$E7826)</f>
        <v/>
      </c>
      <c r="G7826" s="103" t="str">
        <f aca="false">IF($C7826="","",$D7826*IFERROR(INDEX('تحليل التكلفة والسعر'!$C$2:$C$700,MATCH($C7826,'تحليل التكلفة والسعر'!$B$2:$B$700,0)),0))</f>
        <v/>
      </c>
    </row>
    <row r="7827" customFormat="false" ht="15" hidden="false" customHeight="false" outlineLevel="0" collapsed="false">
      <c r="A7827" s="102"/>
      <c r="E7827" s="103" t="str">
        <f aca="false">IF($C7827="","",IFERROR(INDEX(المنيو!$C$2:$C$500,MATCH($C7827,المنيو!$B$2:$B$500,0)),0))</f>
        <v/>
      </c>
      <c r="F7827" s="103" t="str">
        <f aca="false">IF($C7827="","",$D7827*$E7827)</f>
        <v/>
      </c>
      <c r="G7827" s="103" t="str">
        <f aca="false">IF($C7827="","",$D7827*IFERROR(INDEX('تحليل التكلفة والسعر'!$C$2:$C$700,MATCH($C7827,'تحليل التكلفة والسعر'!$B$2:$B$700,0)),0))</f>
        <v/>
      </c>
    </row>
    <row r="7828" customFormat="false" ht="15" hidden="false" customHeight="false" outlineLevel="0" collapsed="false">
      <c r="A7828" s="102"/>
      <c r="E7828" s="103" t="str">
        <f aca="false">IF($C7828="","",IFERROR(INDEX(المنيو!$C$2:$C$500,MATCH($C7828,المنيو!$B$2:$B$500,0)),0))</f>
        <v/>
      </c>
      <c r="F7828" s="103" t="str">
        <f aca="false">IF($C7828="","",$D7828*$E7828)</f>
        <v/>
      </c>
      <c r="G7828" s="103" t="str">
        <f aca="false">IF($C7828="","",$D7828*IFERROR(INDEX('تحليل التكلفة والسعر'!$C$2:$C$700,MATCH($C7828,'تحليل التكلفة والسعر'!$B$2:$B$700,0)),0))</f>
        <v/>
      </c>
    </row>
    <row r="7829" customFormat="false" ht="15" hidden="false" customHeight="false" outlineLevel="0" collapsed="false">
      <c r="A7829" s="102"/>
      <c r="E7829" s="103" t="str">
        <f aca="false">IF($C7829="","",IFERROR(INDEX(المنيو!$C$2:$C$500,MATCH($C7829,المنيو!$B$2:$B$500,0)),0))</f>
        <v/>
      </c>
      <c r="F7829" s="103" t="str">
        <f aca="false">IF($C7829="","",$D7829*$E7829)</f>
        <v/>
      </c>
      <c r="G7829" s="103" t="str">
        <f aca="false">IF($C7829="","",$D7829*IFERROR(INDEX('تحليل التكلفة والسعر'!$C$2:$C$700,MATCH($C7829,'تحليل التكلفة والسعر'!$B$2:$B$700,0)),0))</f>
        <v/>
      </c>
    </row>
    <row r="7830" customFormat="false" ht="15" hidden="false" customHeight="false" outlineLevel="0" collapsed="false">
      <c r="A7830" s="102"/>
      <c r="E7830" s="103" t="str">
        <f aca="false">IF($C7830="","",IFERROR(INDEX(المنيو!$C$2:$C$500,MATCH($C7830,المنيو!$B$2:$B$500,0)),0))</f>
        <v/>
      </c>
      <c r="F7830" s="103" t="str">
        <f aca="false">IF($C7830="","",$D7830*$E7830)</f>
        <v/>
      </c>
      <c r="G7830" s="103" t="str">
        <f aca="false">IF($C7830="","",$D7830*IFERROR(INDEX('تحليل التكلفة والسعر'!$C$2:$C$700,MATCH($C7830,'تحليل التكلفة والسعر'!$B$2:$B$700,0)),0))</f>
        <v/>
      </c>
    </row>
    <row r="7831" customFormat="false" ht="15" hidden="false" customHeight="false" outlineLevel="0" collapsed="false">
      <c r="A7831" s="102"/>
      <c r="E7831" s="103" t="str">
        <f aca="false">IF($C7831="","",IFERROR(INDEX(المنيو!$C$2:$C$500,MATCH($C7831,المنيو!$B$2:$B$500,0)),0))</f>
        <v/>
      </c>
      <c r="F7831" s="103" t="str">
        <f aca="false">IF($C7831="","",$D7831*$E7831)</f>
        <v/>
      </c>
      <c r="G7831" s="103" t="str">
        <f aca="false">IF($C7831="","",$D7831*IFERROR(INDEX('تحليل التكلفة والسعر'!$C$2:$C$700,MATCH($C7831,'تحليل التكلفة والسعر'!$B$2:$B$700,0)),0))</f>
        <v/>
      </c>
    </row>
    <row r="7832" customFormat="false" ht="15" hidden="false" customHeight="false" outlineLevel="0" collapsed="false">
      <c r="A7832" s="102"/>
      <c r="E7832" s="103" t="str">
        <f aca="false">IF($C7832="","",IFERROR(INDEX(المنيو!$C$2:$C$500,MATCH($C7832,المنيو!$B$2:$B$500,0)),0))</f>
        <v/>
      </c>
      <c r="F7832" s="103" t="str">
        <f aca="false">IF($C7832="","",$D7832*$E7832)</f>
        <v/>
      </c>
      <c r="G7832" s="103" t="str">
        <f aca="false">IF($C7832="","",$D7832*IFERROR(INDEX('تحليل التكلفة والسعر'!$C$2:$C$700,MATCH($C7832,'تحليل التكلفة والسعر'!$B$2:$B$700,0)),0))</f>
        <v/>
      </c>
    </row>
    <row r="7833" customFormat="false" ht="15" hidden="false" customHeight="false" outlineLevel="0" collapsed="false">
      <c r="A7833" s="102"/>
      <c r="E7833" s="103" t="str">
        <f aca="false">IF($C7833="","",IFERROR(INDEX(المنيو!$C$2:$C$500,MATCH($C7833,المنيو!$B$2:$B$500,0)),0))</f>
        <v/>
      </c>
      <c r="F7833" s="103" t="str">
        <f aca="false">IF($C7833="","",$D7833*$E7833)</f>
        <v/>
      </c>
      <c r="G7833" s="103" t="str">
        <f aca="false">IF($C7833="","",$D7833*IFERROR(INDEX('تحليل التكلفة والسعر'!$C$2:$C$700,MATCH($C7833,'تحليل التكلفة والسعر'!$B$2:$B$700,0)),0))</f>
        <v/>
      </c>
    </row>
    <row r="7834" customFormat="false" ht="15" hidden="false" customHeight="false" outlineLevel="0" collapsed="false">
      <c r="A7834" s="102"/>
      <c r="E7834" s="103" t="str">
        <f aca="false">IF($C7834="","",IFERROR(INDEX(المنيو!$C$2:$C$500,MATCH($C7834,المنيو!$B$2:$B$500,0)),0))</f>
        <v/>
      </c>
      <c r="F7834" s="103" t="str">
        <f aca="false">IF($C7834="","",$D7834*$E7834)</f>
        <v/>
      </c>
      <c r="G7834" s="103" t="str">
        <f aca="false">IF($C7834="","",$D7834*IFERROR(INDEX('تحليل التكلفة والسعر'!$C$2:$C$700,MATCH($C7834,'تحليل التكلفة والسعر'!$B$2:$B$700,0)),0))</f>
        <v/>
      </c>
    </row>
    <row r="7835" customFormat="false" ht="15" hidden="false" customHeight="false" outlineLevel="0" collapsed="false">
      <c r="A7835" s="102"/>
      <c r="E7835" s="103" t="str">
        <f aca="false">IF($C7835="","",IFERROR(INDEX(المنيو!$C$2:$C$500,MATCH($C7835,المنيو!$B$2:$B$500,0)),0))</f>
        <v/>
      </c>
      <c r="F7835" s="103" t="str">
        <f aca="false">IF($C7835="","",$D7835*$E7835)</f>
        <v/>
      </c>
      <c r="G7835" s="103" t="str">
        <f aca="false">IF($C7835="","",$D7835*IFERROR(INDEX('تحليل التكلفة والسعر'!$C$2:$C$700,MATCH($C7835,'تحليل التكلفة والسعر'!$B$2:$B$700,0)),0))</f>
        <v/>
      </c>
    </row>
    <row r="7836" customFormat="false" ht="15" hidden="false" customHeight="false" outlineLevel="0" collapsed="false">
      <c r="A7836" s="102"/>
      <c r="E7836" s="103" t="str">
        <f aca="false">IF($C7836="","",IFERROR(INDEX(المنيو!$C$2:$C$500,MATCH($C7836,المنيو!$B$2:$B$500,0)),0))</f>
        <v/>
      </c>
      <c r="F7836" s="103" t="str">
        <f aca="false">IF($C7836="","",$D7836*$E7836)</f>
        <v/>
      </c>
      <c r="G7836" s="103" t="str">
        <f aca="false">IF($C7836="","",$D7836*IFERROR(INDEX('تحليل التكلفة والسعر'!$C$2:$C$700,MATCH($C7836,'تحليل التكلفة والسعر'!$B$2:$B$700,0)),0))</f>
        <v/>
      </c>
    </row>
    <row r="7837" customFormat="false" ht="15" hidden="false" customHeight="false" outlineLevel="0" collapsed="false">
      <c r="A7837" s="102"/>
      <c r="E7837" s="103" t="str">
        <f aca="false">IF($C7837="","",IFERROR(INDEX(المنيو!$C$2:$C$500,MATCH($C7837,المنيو!$B$2:$B$500,0)),0))</f>
        <v/>
      </c>
      <c r="F7837" s="103" t="str">
        <f aca="false">IF($C7837="","",$D7837*$E7837)</f>
        <v/>
      </c>
      <c r="G7837" s="103" t="str">
        <f aca="false">IF($C7837="","",$D7837*IFERROR(INDEX('تحليل التكلفة والسعر'!$C$2:$C$700,MATCH($C7837,'تحليل التكلفة والسعر'!$B$2:$B$700,0)),0))</f>
        <v/>
      </c>
    </row>
    <row r="7838" customFormat="false" ht="15" hidden="false" customHeight="false" outlineLevel="0" collapsed="false">
      <c r="A7838" s="102"/>
      <c r="E7838" s="103" t="str">
        <f aca="false">IF($C7838="","",IFERROR(INDEX(المنيو!$C$2:$C$500,MATCH($C7838,المنيو!$B$2:$B$500,0)),0))</f>
        <v/>
      </c>
      <c r="F7838" s="103" t="str">
        <f aca="false">IF($C7838="","",$D7838*$E7838)</f>
        <v/>
      </c>
      <c r="G7838" s="103" t="str">
        <f aca="false">IF($C7838="","",$D7838*IFERROR(INDEX('تحليل التكلفة والسعر'!$C$2:$C$700,MATCH($C7838,'تحليل التكلفة والسعر'!$B$2:$B$700,0)),0))</f>
        <v/>
      </c>
    </row>
    <row r="7839" customFormat="false" ht="15" hidden="false" customHeight="false" outlineLevel="0" collapsed="false">
      <c r="A7839" s="102"/>
      <c r="E7839" s="103" t="str">
        <f aca="false">IF($C7839="","",IFERROR(INDEX(المنيو!$C$2:$C$500,MATCH($C7839,المنيو!$B$2:$B$500,0)),0))</f>
        <v/>
      </c>
      <c r="F7839" s="103" t="str">
        <f aca="false">IF($C7839="","",$D7839*$E7839)</f>
        <v/>
      </c>
      <c r="G7839" s="103" t="str">
        <f aca="false">IF($C7839="","",$D7839*IFERROR(INDEX('تحليل التكلفة والسعر'!$C$2:$C$700,MATCH($C7839,'تحليل التكلفة والسعر'!$B$2:$B$700,0)),0))</f>
        <v/>
      </c>
    </row>
    <row r="7840" customFormat="false" ht="15" hidden="false" customHeight="false" outlineLevel="0" collapsed="false">
      <c r="A7840" s="102"/>
      <c r="E7840" s="103" t="str">
        <f aca="false">IF($C7840="","",IFERROR(INDEX(المنيو!$C$2:$C$500,MATCH($C7840,المنيو!$B$2:$B$500,0)),0))</f>
        <v/>
      </c>
      <c r="F7840" s="103" t="str">
        <f aca="false">IF($C7840="","",$D7840*$E7840)</f>
        <v/>
      </c>
      <c r="G7840" s="103" t="str">
        <f aca="false">IF($C7840="","",$D7840*IFERROR(INDEX('تحليل التكلفة والسعر'!$C$2:$C$700,MATCH($C7840,'تحليل التكلفة والسعر'!$B$2:$B$700,0)),0))</f>
        <v/>
      </c>
    </row>
    <row r="7841" customFormat="false" ht="15" hidden="false" customHeight="false" outlineLevel="0" collapsed="false">
      <c r="A7841" s="102"/>
      <c r="E7841" s="103" t="str">
        <f aca="false">IF($C7841="","",IFERROR(INDEX(المنيو!$C$2:$C$500,MATCH($C7841,المنيو!$B$2:$B$500,0)),0))</f>
        <v/>
      </c>
      <c r="F7841" s="103" t="str">
        <f aca="false">IF($C7841="","",$D7841*$E7841)</f>
        <v/>
      </c>
      <c r="G7841" s="103" t="str">
        <f aca="false">IF($C7841="","",$D7841*IFERROR(INDEX('تحليل التكلفة والسعر'!$C$2:$C$700,MATCH($C7841,'تحليل التكلفة والسعر'!$B$2:$B$700,0)),0))</f>
        <v/>
      </c>
    </row>
    <row r="7842" customFormat="false" ht="15" hidden="false" customHeight="false" outlineLevel="0" collapsed="false">
      <c r="A7842" s="102"/>
      <c r="E7842" s="103" t="str">
        <f aca="false">IF($C7842="","",IFERROR(INDEX(المنيو!$C$2:$C$500,MATCH($C7842,المنيو!$B$2:$B$500,0)),0))</f>
        <v/>
      </c>
      <c r="F7842" s="103" t="str">
        <f aca="false">IF($C7842="","",$D7842*$E7842)</f>
        <v/>
      </c>
      <c r="G7842" s="103" t="str">
        <f aca="false">IF($C7842="","",$D7842*IFERROR(INDEX('تحليل التكلفة والسعر'!$C$2:$C$700,MATCH($C7842,'تحليل التكلفة والسعر'!$B$2:$B$700,0)),0))</f>
        <v/>
      </c>
    </row>
    <row r="7843" customFormat="false" ht="15" hidden="false" customHeight="false" outlineLevel="0" collapsed="false">
      <c r="A7843" s="102"/>
      <c r="E7843" s="103" t="str">
        <f aca="false">IF($C7843="","",IFERROR(INDEX(المنيو!$C$2:$C$500,MATCH($C7843,المنيو!$B$2:$B$500,0)),0))</f>
        <v/>
      </c>
      <c r="F7843" s="103" t="str">
        <f aca="false">IF($C7843="","",$D7843*$E7843)</f>
        <v/>
      </c>
      <c r="G7843" s="103" t="str">
        <f aca="false">IF($C7843="","",$D7843*IFERROR(INDEX('تحليل التكلفة والسعر'!$C$2:$C$700,MATCH($C7843,'تحليل التكلفة والسعر'!$B$2:$B$700,0)),0))</f>
        <v/>
      </c>
    </row>
    <row r="7844" customFormat="false" ht="15" hidden="false" customHeight="false" outlineLevel="0" collapsed="false">
      <c r="A7844" s="102"/>
      <c r="E7844" s="103" t="str">
        <f aca="false">IF($C7844="","",IFERROR(INDEX(المنيو!$C$2:$C$500,MATCH($C7844,المنيو!$B$2:$B$500,0)),0))</f>
        <v/>
      </c>
      <c r="F7844" s="103" t="str">
        <f aca="false">IF($C7844="","",$D7844*$E7844)</f>
        <v/>
      </c>
      <c r="G7844" s="103" t="str">
        <f aca="false">IF($C7844="","",$D7844*IFERROR(INDEX('تحليل التكلفة والسعر'!$C$2:$C$700,MATCH($C7844,'تحليل التكلفة والسعر'!$B$2:$B$700,0)),0))</f>
        <v/>
      </c>
    </row>
    <row r="7845" customFormat="false" ht="15" hidden="false" customHeight="false" outlineLevel="0" collapsed="false">
      <c r="A7845" s="102"/>
      <c r="E7845" s="103" t="str">
        <f aca="false">IF($C7845="","",IFERROR(INDEX(المنيو!$C$2:$C$500,MATCH($C7845,المنيو!$B$2:$B$500,0)),0))</f>
        <v/>
      </c>
      <c r="F7845" s="103" t="str">
        <f aca="false">IF($C7845="","",$D7845*$E7845)</f>
        <v/>
      </c>
      <c r="G7845" s="103" t="str">
        <f aca="false">IF($C7845="","",$D7845*IFERROR(INDEX('تحليل التكلفة والسعر'!$C$2:$C$700,MATCH($C7845,'تحليل التكلفة والسعر'!$B$2:$B$700,0)),0))</f>
        <v/>
      </c>
    </row>
    <row r="7846" customFormat="false" ht="15" hidden="false" customHeight="false" outlineLevel="0" collapsed="false">
      <c r="A7846" s="102"/>
      <c r="E7846" s="103" t="str">
        <f aca="false">IF($C7846="","",IFERROR(INDEX(المنيو!$C$2:$C$500,MATCH($C7846,المنيو!$B$2:$B$500,0)),0))</f>
        <v/>
      </c>
      <c r="F7846" s="103" t="str">
        <f aca="false">IF($C7846="","",$D7846*$E7846)</f>
        <v/>
      </c>
      <c r="G7846" s="103" t="str">
        <f aca="false">IF($C7846="","",$D7846*IFERROR(INDEX('تحليل التكلفة والسعر'!$C$2:$C$700,MATCH($C7846,'تحليل التكلفة والسعر'!$B$2:$B$700,0)),0))</f>
        <v/>
      </c>
    </row>
    <row r="7847" customFormat="false" ht="15" hidden="false" customHeight="false" outlineLevel="0" collapsed="false">
      <c r="A7847" s="102"/>
      <c r="E7847" s="103" t="str">
        <f aca="false">IF($C7847="","",IFERROR(INDEX(المنيو!$C$2:$C$500,MATCH($C7847,المنيو!$B$2:$B$500,0)),0))</f>
        <v/>
      </c>
      <c r="F7847" s="103" t="str">
        <f aca="false">IF($C7847="","",$D7847*$E7847)</f>
        <v/>
      </c>
      <c r="G7847" s="103" t="str">
        <f aca="false">IF($C7847="","",$D7847*IFERROR(INDEX('تحليل التكلفة والسعر'!$C$2:$C$700,MATCH($C7847,'تحليل التكلفة والسعر'!$B$2:$B$700,0)),0))</f>
        <v/>
      </c>
    </row>
    <row r="7848" customFormat="false" ht="15" hidden="false" customHeight="false" outlineLevel="0" collapsed="false">
      <c r="A7848" s="102"/>
      <c r="E7848" s="103" t="str">
        <f aca="false">IF($C7848="","",IFERROR(INDEX(المنيو!$C$2:$C$500,MATCH($C7848,المنيو!$B$2:$B$500,0)),0))</f>
        <v/>
      </c>
      <c r="F7848" s="103" t="str">
        <f aca="false">IF($C7848="","",$D7848*$E7848)</f>
        <v/>
      </c>
      <c r="G7848" s="103" t="str">
        <f aca="false">IF($C7848="","",$D7848*IFERROR(INDEX('تحليل التكلفة والسعر'!$C$2:$C$700,MATCH($C7848,'تحليل التكلفة والسعر'!$B$2:$B$700,0)),0))</f>
        <v/>
      </c>
    </row>
    <row r="7849" customFormat="false" ht="15" hidden="false" customHeight="false" outlineLevel="0" collapsed="false">
      <c r="A7849" s="102"/>
      <c r="E7849" s="103" t="str">
        <f aca="false">IF($C7849="","",IFERROR(INDEX(المنيو!$C$2:$C$500,MATCH($C7849,المنيو!$B$2:$B$500,0)),0))</f>
        <v/>
      </c>
      <c r="F7849" s="103" t="str">
        <f aca="false">IF($C7849="","",$D7849*$E7849)</f>
        <v/>
      </c>
      <c r="G7849" s="103" t="str">
        <f aca="false">IF($C7849="","",$D7849*IFERROR(INDEX('تحليل التكلفة والسعر'!$C$2:$C$700,MATCH($C7849,'تحليل التكلفة والسعر'!$B$2:$B$700,0)),0))</f>
        <v/>
      </c>
    </row>
    <row r="7850" customFormat="false" ht="15" hidden="false" customHeight="false" outlineLevel="0" collapsed="false">
      <c r="A7850" s="102"/>
      <c r="E7850" s="103" t="str">
        <f aca="false">IF($C7850="","",IFERROR(INDEX(المنيو!$C$2:$C$500,MATCH($C7850,المنيو!$B$2:$B$500,0)),0))</f>
        <v/>
      </c>
      <c r="F7850" s="103" t="str">
        <f aca="false">IF($C7850="","",$D7850*$E7850)</f>
        <v/>
      </c>
      <c r="G7850" s="103" t="str">
        <f aca="false">IF($C7850="","",$D7850*IFERROR(INDEX('تحليل التكلفة والسعر'!$C$2:$C$700,MATCH($C7850,'تحليل التكلفة والسعر'!$B$2:$B$700,0)),0))</f>
        <v/>
      </c>
    </row>
    <row r="7851" customFormat="false" ht="15" hidden="false" customHeight="false" outlineLevel="0" collapsed="false">
      <c r="A7851" s="102"/>
      <c r="E7851" s="103" t="str">
        <f aca="false">IF($C7851="","",IFERROR(INDEX(المنيو!$C$2:$C$500,MATCH($C7851,المنيو!$B$2:$B$500,0)),0))</f>
        <v/>
      </c>
      <c r="F7851" s="103" t="str">
        <f aca="false">IF($C7851="","",$D7851*$E7851)</f>
        <v/>
      </c>
      <c r="G7851" s="103" t="str">
        <f aca="false">IF($C7851="","",$D7851*IFERROR(INDEX('تحليل التكلفة والسعر'!$C$2:$C$700,MATCH($C7851,'تحليل التكلفة والسعر'!$B$2:$B$700,0)),0))</f>
        <v/>
      </c>
    </row>
    <row r="7852" customFormat="false" ht="15" hidden="false" customHeight="false" outlineLevel="0" collapsed="false">
      <c r="A7852" s="102"/>
      <c r="E7852" s="103" t="str">
        <f aca="false">IF($C7852="","",IFERROR(INDEX(المنيو!$C$2:$C$500,MATCH($C7852,المنيو!$B$2:$B$500,0)),0))</f>
        <v/>
      </c>
      <c r="F7852" s="103" t="str">
        <f aca="false">IF($C7852="","",$D7852*$E7852)</f>
        <v/>
      </c>
      <c r="G7852" s="103" t="str">
        <f aca="false">IF($C7852="","",$D7852*IFERROR(INDEX('تحليل التكلفة والسعر'!$C$2:$C$700,MATCH($C7852,'تحليل التكلفة والسعر'!$B$2:$B$700,0)),0))</f>
        <v/>
      </c>
    </row>
    <row r="7853" customFormat="false" ht="15" hidden="false" customHeight="false" outlineLevel="0" collapsed="false">
      <c r="A7853" s="102"/>
      <c r="E7853" s="103" t="str">
        <f aca="false">IF($C7853="","",IFERROR(INDEX(المنيو!$C$2:$C$500,MATCH($C7853,المنيو!$B$2:$B$500,0)),0))</f>
        <v/>
      </c>
      <c r="F7853" s="103" t="str">
        <f aca="false">IF($C7853="","",$D7853*$E7853)</f>
        <v/>
      </c>
      <c r="G7853" s="103" t="str">
        <f aca="false">IF($C7853="","",$D7853*IFERROR(INDEX('تحليل التكلفة والسعر'!$C$2:$C$700,MATCH($C7853,'تحليل التكلفة والسعر'!$B$2:$B$700,0)),0))</f>
        <v/>
      </c>
    </row>
    <row r="7854" customFormat="false" ht="15" hidden="false" customHeight="false" outlineLevel="0" collapsed="false">
      <c r="A7854" s="102"/>
      <c r="E7854" s="103" t="str">
        <f aca="false">IF($C7854="","",IFERROR(INDEX(المنيو!$C$2:$C$500,MATCH($C7854,المنيو!$B$2:$B$500,0)),0))</f>
        <v/>
      </c>
      <c r="F7854" s="103" t="str">
        <f aca="false">IF($C7854="","",$D7854*$E7854)</f>
        <v/>
      </c>
      <c r="G7854" s="103" t="str">
        <f aca="false">IF($C7854="","",$D7854*IFERROR(INDEX('تحليل التكلفة والسعر'!$C$2:$C$700,MATCH($C7854,'تحليل التكلفة والسعر'!$B$2:$B$700,0)),0))</f>
        <v/>
      </c>
    </row>
    <row r="7855" customFormat="false" ht="15" hidden="false" customHeight="false" outlineLevel="0" collapsed="false">
      <c r="A7855" s="102"/>
      <c r="E7855" s="103" t="str">
        <f aca="false">IF($C7855="","",IFERROR(INDEX(المنيو!$C$2:$C$500,MATCH($C7855,المنيو!$B$2:$B$500,0)),0))</f>
        <v/>
      </c>
      <c r="F7855" s="103" t="str">
        <f aca="false">IF($C7855="","",$D7855*$E7855)</f>
        <v/>
      </c>
      <c r="G7855" s="103" t="str">
        <f aca="false">IF($C7855="","",$D7855*IFERROR(INDEX('تحليل التكلفة والسعر'!$C$2:$C$700,MATCH($C7855,'تحليل التكلفة والسعر'!$B$2:$B$700,0)),0))</f>
        <v/>
      </c>
    </row>
    <row r="7856" customFormat="false" ht="15" hidden="false" customHeight="false" outlineLevel="0" collapsed="false">
      <c r="A7856" s="102"/>
      <c r="E7856" s="103" t="str">
        <f aca="false">IF($C7856="","",IFERROR(INDEX(المنيو!$C$2:$C$500,MATCH($C7856,المنيو!$B$2:$B$500,0)),0))</f>
        <v/>
      </c>
      <c r="F7856" s="103" t="str">
        <f aca="false">IF($C7856="","",$D7856*$E7856)</f>
        <v/>
      </c>
      <c r="G7856" s="103" t="str">
        <f aca="false">IF($C7856="","",$D7856*IFERROR(INDEX('تحليل التكلفة والسعر'!$C$2:$C$700,MATCH($C7856,'تحليل التكلفة والسعر'!$B$2:$B$700,0)),0))</f>
        <v/>
      </c>
    </row>
    <row r="7857" customFormat="false" ht="15" hidden="false" customHeight="false" outlineLevel="0" collapsed="false">
      <c r="A7857" s="102"/>
      <c r="E7857" s="103" t="str">
        <f aca="false">IF($C7857="","",IFERROR(INDEX(المنيو!$C$2:$C$500,MATCH($C7857,المنيو!$B$2:$B$500,0)),0))</f>
        <v/>
      </c>
      <c r="F7857" s="103" t="str">
        <f aca="false">IF($C7857="","",$D7857*$E7857)</f>
        <v/>
      </c>
      <c r="G7857" s="103" t="str">
        <f aca="false">IF($C7857="","",$D7857*IFERROR(INDEX('تحليل التكلفة والسعر'!$C$2:$C$700,MATCH($C7857,'تحليل التكلفة والسعر'!$B$2:$B$700,0)),0))</f>
        <v/>
      </c>
    </row>
    <row r="7858" customFormat="false" ht="15" hidden="false" customHeight="false" outlineLevel="0" collapsed="false">
      <c r="A7858" s="102"/>
      <c r="E7858" s="103" t="str">
        <f aca="false">IF($C7858="","",IFERROR(INDEX(المنيو!$C$2:$C$500,MATCH($C7858,المنيو!$B$2:$B$500,0)),0))</f>
        <v/>
      </c>
      <c r="F7858" s="103" t="str">
        <f aca="false">IF($C7858="","",$D7858*$E7858)</f>
        <v/>
      </c>
      <c r="G7858" s="103" t="str">
        <f aca="false">IF($C7858="","",$D7858*IFERROR(INDEX('تحليل التكلفة والسعر'!$C$2:$C$700,MATCH($C7858,'تحليل التكلفة والسعر'!$B$2:$B$700,0)),0))</f>
        <v/>
      </c>
    </row>
    <row r="7859" customFormat="false" ht="15" hidden="false" customHeight="false" outlineLevel="0" collapsed="false">
      <c r="A7859" s="102"/>
      <c r="E7859" s="103" t="str">
        <f aca="false">IF($C7859="","",IFERROR(INDEX(المنيو!$C$2:$C$500,MATCH($C7859,المنيو!$B$2:$B$500,0)),0))</f>
        <v/>
      </c>
      <c r="F7859" s="103" t="str">
        <f aca="false">IF($C7859="","",$D7859*$E7859)</f>
        <v/>
      </c>
      <c r="G7859" s="103" t="str">
        <f aca="false">IF($C7859="","",$D7859*IFERROR(INDEX('تحليل التكلفة والسعر'!$C$2:$C$700,MATCH($C7859,'تحليل التكلفة والسعر'!$B$2:$B$700,0)),0))</f>
        <v/>
      </c>
    </row>
    <row r="7860" customFormat="false" ht="15" hidden="false" customHeight="false" outlineLevel="0" collapsed="false">
      <c r="A7860" s="102"/>
      <c r="E7860" s="103" t="str">
        <f aca="false">IF($C7860="","",IFERROR(INDEX(المنيو!$C$2:$C$500,MATCH($C7860,المنيو!$B$2:$B$500,0)),0))</f>
        <v/>
      </c>
      <c r="F7860" s="103" t="str">
        <f aca="false">IF($C7860="","",$D7860*$E7860)</f>
        <v/>
      </c>
      <c r="G7860" s="103" t="str">
        <f aca="false">IF($C7860="","",$D7860*IFERROR(INDEX('تحليل التكلفة والسعر'!$C$2:$C$700,MATCH($C7860,'تحليل التكلفة والسعر'!$B$2:$B$700,0)),0))</f>
        <v/>
      </c>
    </row>
    <row r="7861" customFormat="false" ht="15" hidden="false" customHeight="false" outlineLevel="0" collapsed="false">
      <c r="A7861" s="102"/>
      <c r="E7861" s="103" t="str">
        <f aca="false">IF($C7861="","",IFERROR(INDEX(المنيو!$C$2:$C$500,MATCH($C7861,المنيو!$B$2:$B$500,0)),0))</f>
        <v/>
      </c>
      <c r="F7861" s="103" t="str">
        <f aca="false">IF($C7861="","",$D7861*$E7861)</f>
        <v/>
      </c>
      <c r="G7861" s="103" t="str">
        <f aca="false">IF($C7861="","",$D7861*IFERROR(INDEX('تحليل التكلفة والسعر'!$C$2:$C$700,MATCH($C7861,'تحليل التكلفة والسعر'!$B$2:$B$700,0)),0))</f>
        <v/>
      </c>
    </row>
    <row r="7862" customFormat="false" ht="15" hidden="false" customHeight="false" outlineLevel="0" collapsed="false">
      <c r="A7862" s="102"/>
      <c r="E7862" s="103" t="str">
        <f aca="false">IF($C7862="","",IFERROR(INDEX(المنيو!$C$2:$C$500,MATCH($C7862,المنيو!$B$2:$B$500,0)),0))</f>
        <v/>
      </c>
      <c r="F7862" s="103" t="str">
        <f aca="false">IF($C7862="","",$D7862*$E7862)</f>
        <v/>
      </c>
      <c r="G7862" s="103" t="str">
        <f aca="false">IF($C7862="","",$D7862*IFERROR(INDEX('تحليل التكلفة والسعر'!$C$2:$C$700,MATCH($C7862,'تحليل التكلفة والسعر'!$B$2:$B$700,0)),0))</f>
        <v/>
      </c>
    </row>
    <row r="7863" customFormat="false" ht="15" hidden="false" customHeight="false" outlineLevel="0" collapsed="false">
      <c r="A7863" s="102"/>
      <c r="E7863" s="103" t="str">
        <f aca="false">IF($C7863="","",IFERROR(INDEX(المنيو!$C$2:$C$500,MATCH($C7863,المنيو!$B$2:$B$500,0)),0))</f>
        <v/>
      </c>
      <c r="F7863" s="103" t="str">
        <f aca="false">IF($C7863="","",$D7863*$E7863)</f>
        <v/>
      </c>
      <c r="G7863" s="103" t="str">
        <f aca="false">IF($C7863="","",$D7863*IFERROR(INDEX('تحليل التكلفة والسعر'!$C$2:$C$700,MATCH($C7863,'تحليل التكلفة والسعر'!$B$2:$B$700,0)),0))</f>
        <v/>
      </c>
    </row>
    <row r="7864" customFormat="false" ht="15" hidden="false" customHeight="false" outlineLevel="0" collapsed="false">
      <c r="A7864" s="102"/>
      <c r="E7864" s="103" t="str">
        <f aca="false">IF($C7864="","",IFERROR(INDEX(المنيو!$C$2:$C$500,MATCH($C7864,المنيو!$B$2:$B$500,0)),0))</f>
        <v/>
      </c>
      <c r="F7864" s="103" t="str">
        <f aca="false">IF($C7864="","",$D7864*$E7864)</f>
        <v/>
      </c>
      <c r="G7864" s="103" t="str">
        <f aca="false">IF($C7864="","",$D7864*IFERROR(INDEX('تحليل التكلفة والسعر'!$C$2:$C$700,MATCH($C7864,'تحليل التكلفة والسعر'!$B$2:$B$700,0)),0))</f>
        <v/>
      </c>
    </row>
    <row r="7865" customFormat="false" ht="15" hidden="false" customHeight="false" outlineLevel="0" collapsed="false">
      <c r="A7865" s="102"/>
      <c r="E7865" s="103" t="str">
        <f aca="false">IF($C7865="","",IFERROR(INDEX(المنيو!$C$2:$C$500,MATCH($C7865,المنيو!$B$2:$B$500,0)),0))</f>
        <v/>
      </c>
      <c r="F7865" s="103" t="str">
        <f aca="false">IF($C7865="","",$D7865*$E7865)</f>
        <v/>
      </c>
      <c r="G7865" s="103" t="str">
        <f aca="false">IF($C7865="","",$D7865*IFERROR(INDEX('تحليل التكلفة والسعر'!$C$2:$C$700,MATCH($C7865,'تحليل التكلفة والسعر'!$B$2:$B$700,0)),0))</f>
        <v/>
      </c>
    </row>
    <row r="7866" customFormat="false" ht="15" hidden="false" customHeight="false" outlineLevel="0" collapsed="false">
      <c r="A7866" s="102"/>
      <c r="E7866" s="103" t="str">
        <f aca="false">IF($C7866="","",IFERROR(INDEX(المنيو!$C$2:$C$500,MATCH($C7866,المنيو!$B$2:$B$500,0)),0))</f>
        <v/>
      </c>
      <c r="F7866" s="103" t="str">
        <f aca="false">IF($C7866="","",$D7866*$E7866)</f>
        <v/>
      </c>
      <c r="G7866" s="103" t="str">
        <f aca="false">IF($C7866="","",$D7866*IFERROR(INDEX('تحليل التكلفة والسعر'!$C$2:$C$700,MATCH($C7866,'تحليل التكلفة والسعر'!$B$2:$B$700,0)),0))</f>
        <v/>
      </c>
    </row>
    <row r="7867" customFormat="false" ht="15" hidden="false" customHeight="false" outlineLevel="0" collapsed="false">
      <c r="A7867" s="102"/>
      <c r="E7867" s="103" t="str">
        <f aca="false">IF($C7867="","",IFERROR(INDEX(المنيو!$C$2:$C$500,MATCH($C7867,المنيو!$B$2:$B$500,0)),0))</f>
        <v/>
      </c>
      <c r="F7867" s="103" t="str">
        <f aca="false">IF($C7867="","",$D7867*$E7867)</f>
        <v/>
      </c>
      <c r="G7867" s="103" t="str">
        <f aca="false">IF($C7867="","",$D7867*IFERROR(INDEX('تحليل التكلفة والسعر'!$C$2:$C$700,MATCH($C7867,'تحليل التكلفة والسعر'!$B$2:$B$700,0)),0))</f>
        <v/>
      </c>
    </row>
    <row r="7868" customFormat="false" ht="15" hidden="false" customHeight="false" outlineLevel="0" collapsed="false">
      <c r="A7868" s="102"/>
      <c r="E7868" s="103" t="str">
        <f aca="false">IF($C7868="","",IFERROR(INDEX(المنيو!$C$2:$C$500,MATCH($C7868,المنيو!$B$2:$B$500,0)),0))</f>
        <v/>
      </c>
      <c r="F7868" s="103" t="str">
        <f aca="false">IF($C7868="","",$D7868*$E7868)</f>
        <v/>
      </c>
      <c r="G7868" s="103" t="str">
        <f aca="false">IF($C7868="","",$D7868*IFERROR(INDEX('تحليل التكلفة والسعر'!$C$2:$C$700,MATCH($C7868,'تحليل التكلفة والسعر'!$B$2:$B$700,0)),0))</f>
        <v/>
      </c>
    </row>
    <row r="7869" customFormat="false" ht="15" hidden="false" customHeight="false" outlineLevel="0" collapsed="false">
      <c r="A7869" s="102"/>
      <c r="E7869" s="103" t="str">
        <f aca="false">IF($C7869="","",IFERROR(INDEX(المنيو!$C$2:$C$500,MATCH($C7869,المنيو!$B$2:$B$500,0)),0))</f>
        <v/>
      </c>
      <c r="F7869" s="103" t="str">
        <f aca="false">IF($C7869="","",$D7869*$E7869)</f>
        <v/>
      </c>
      <c r="G7869" s="103" t="str">
        <f aca="false">IF($C7869="","",$D7869*IFERROR(INDEX('تحليل التكلفة والسعر'!$C$2:$C$700,MATCH($C7869,'تحليل التكلفة والسعر'!$B$2:$B$700,0)),0))</f>
        <v/>
      </c>
    </row>
    <row r="7870" customFormat="false" ht="15" hidden="false" customHeight="false" outlineLevel="0" collapsed="false">
      <c r="A7870" s="102"/>
      <c r="E7870" s="103" t="str">
        <f aca="false">IF($C7870="","",IFERROR(INDEX(المنيو!$C$2:$C$500,MATCH($C7870,المنيو!$B$2:$B$500,0)),0))</f>
        <v/>
      </c>
      <c r="F7870" s="103" t="str">
        <f aca="false">IF($C7870="","",$D7870*$E7870)</f>
        <v/>
      </c>
      <c r="G7870" s="103" t="str">
        <f aca="false">IF($C7870="","",$D7870*IFERROR(INDEX('تحليل التكلفة والسعر'!$C$2:$C$700,MATCH($C7870,'تحليل التكلفة والسعر'!$B$2:$B$700,0)),0))</f>
        <v/>
      </c>
    </row>
    <row r="7871" customFormat="false" ht="15" hidden="false" customHeight="false" outlineLevel="0" collapsed="false">
      <c r="A7871" s="102"/>
      <c r="E7871" s="103" t="str">
        <f aca="false">IF($C7871="","",IFERROR(INDEX(المنيو!$C$2:$C$500,MATCH($C7871,المنيو!$B$2:$B$500,0)),0))</f>
        <v/>
      </c>
      <c r="F7871" s="103" t="str">
        <f aca="false">IF($C7871="","",$D7871*$E7871)</f>
        <v/>
      </c>
      <c r="G7871" s="103" t="str">
        <f aca="false">IF($C7871="","",$D7871*IFERROR(INDEX('تحليل التكلفة والسعر'!$C$2:$C$700,MATCH($C7871,'تحليل التكلفة والسعر'!$B$2:$B$700,0)),0))</f>
        <v/>
      </c>
    </row>
    <row r="7872" customFormat="false" ht="15" hidden="false" customHeight="false" outlineLevel="0" collapsed="false">
      <c r="A7872" s="102"/>
      <c r="E7872" s="103" t="str">
        <f aca="false">IF($C7872="","",IFERROR(INDEX(المنيو!$C$2:$C$500,MATCH($C7872,المنيو!$B$2:$B$500,0)),0))</f>
        <v/>
      </c>
      <c r="F7872" s="103" t="str">
        <f aca="false">IF($C7872="","",$D7872*$E7872)</f>
        <v/>
      </c>
      <c r="G7872" s="103" t="str">
        <f aca="false">IF($C7872="","",$D7872*IFERROR(INDEX('تحليل التكلفة والسعر'!$C$2:$C$700,MATCH($C7872,'تحليل التكلفة والسعر'!$B$2:$B$700,0)),0))</f>
        <v/>
      </c>
    </row>
    <row r="7873" customFormat="false" ht="15" hidden="false" customHeight="false" outlineLevel="0" collapsed="false">
      <c r="A7873" s="102"/>
      <c r="E7873" s="103" t="str">
        <f aca="false">IF($C7873="","",IFERROR(INDEX(المنيو!$C$2:$C$500,MATCH($C7873,المنيو!$B$2:$B$500,0)),0))</f>
        <v/>
      </c>
      <c r="F7873" s="103" t="str">
        <f aca="false">IF($C7873="","",$D7873*$E7873)</f>
        <v/>
      </c>
      <c r="G7873" s="103" t="str">
        <f aca="false">IF($C7873="","",$D7873*IFERROR(INDEX('تحليل التكلفة والسعر'!$C$2:$C$700,MATCH($C7873,'تحليل التكلفة والسعر'!$B$2:$B$700,0)),0))</f>
        <v/>
      </c>
    </row>
    <row r="7874" customFormat="false" ht="15" hidden="false" customHeight="false" outlineLevel="0" collapsed="false">
      <c r="A7874" s="102"/>
      <c r="E7874" s="103" t="str">
        <f aca="false">IF($C7874="","",IFERROR(INDEX(المنيو!$C$2:$C$500,MATCH($C7874,المنيو!$B$2:$B$500,0)),0))</f>
        <v/>
      </c>
      <c r="F7874" s="103" t="str">
        <f aca="false">IF($C7874="","",$D7874*$E7874)</f>
        <v/>
      </c>
      <c r="G7874" s="103" t="str">
        <f aca="false">IF($C7874="","",$D7874*IFERROR(INDEX('تحليل التكلفة والسعر'!$C$2:$C$700,MATCH($C7874,'تحليل التكلفة والسعر'!$B$2:$B$700,0)),0))</f>
        <v/>
      </c>
    </row>
    <row r="7875" customFormat="false" ht="15" hidden="false" customHeight="false" outlineLevel="0" collapsed="false">
      <c r="A7875" s="102"/>
      <c r="E7875" s="103" t="str">
        <f aca="false">IF($C7875="","",IFERROR(INDEX(المنيو!$C$2:$C$500,MATCH($C7875,المنيو!$B$2:$B$500,0)),0))</f>
        <v/>
      </c>
      <c r="F7875" s="103" t="str">
        <f aca="false">IF($C7875="","",$D7875*$E7875)</f>
        <v/>
      </c>
      <c r="G7875" s="103" t="str">
        <f aca="false">IF($C7875="","",$D7875*IFERROR(INDEX('تحليل التكلفة والسعر'!$C$2:$C$700,MATCH($C7875,'تحليل التكلفة والسعر'!$B$2:$B$700,0)),0))</f>
        <v/>
      </c>
    </row>
    <row r="7876" customFormat="false" ht="15" hidden="false" customHeight="false" outlineLevel="0" collapsed="false">
      <c r="A7876" s="102"/>
      <c r="E7876" s="103" t="str">
        <f aca="false">IF($C7876="","",IFERROR(INDEX(المنيو!$C$2:$C$500,MATCH($C7876,المنيو!$B$2:$B$500,0)),0))</f>
        <v/>
      </c>
      <c r="F7876" s="103" t="str">
        <f aca="false">IF($C7876="","",$D7876*$E7876)</f>
        <v/>
      </c>
      <c r="G7876" s="103" t="str">
        <f aca="false">IF($C7876="","",$D7876*IFERROR(INDEX('تحليل التكلفة والسعر'!$C$2:$C$700,MATCH($C7876,'تحليل التكلفة والسعر'!$B$2:$B$700,0)),0))</f>
        <v/>
      </c>
    </row>
    <row r="7877" customFormat="false" ht="15" hidden="false" customHeight="false" outlineLevel="0" collapsed="false">
      <c r="A7877" s="102"/>
      <c r="E7877" s="103" t="str">
        <f aca="false">IF($C7877="","",IFERROR(INDEX(المنيو!$C$2:$C$500,MATCH($C7877,المنيو!$B$2:$B$500,0)),0))</f>
        <v/>
      </c>
      <c r="F7877" s="103" t="str">
        <f aca="false">IF($C7877="","",$D7877*$E7877)</f>
        <v/>
      </c>
      <c r="G7877" s="103" t="str">
        <f aca="false">IF($C7877="","",$D7877*IFERROR(INDEX('تحليل التكلفة والسعر'!$C$2:$C$700,MATCH($C7877,'تحليل التكلفة والسعر'!$B$2:$B$700,0)),0))</f>
        <v/>
      </c>
    </row>
    <row r="7878" customFormat="false" ht="15" hidden="false" customHeight="false" outlineLevel="0" collapsed="false">
      <c r="A7878" s="102"/>
      <c r="E7878" s="103" t="str">
        <f aca="false">IF($C7878="","",IFERROR(INDEX(المنيو!$C$2:$C$500,MATCH($C7878,المنيو!$B$2:$B$500,0)),0))</f>
        <v/>
      </c>
      <c r="F7878" s="103" t="str">
        <f aca="false">IF($C7878="","",$D7878*$E7878)</f>
        <v/>
      </c>
      <c r="G7878" s="103" t="str">
        <f aca="false">IF($C7878="","",$D7878*IFERROR(INDEX('تحليل التكلفة والسعر'!$C$2:$C$700,MATCH($C7878,'تحليل التكلفة والسعر'!$B$2:$B$700,0)),0))</f>
        <v/>
      </c>
    </row>
    <row r="7879" customFormat="false" ht="15" hidden="false" customHeight="false" outlineLevel="0" collapsed="false">
      <c r="A7879" s="102"/>
      <c r="E7879" s="103" t="str">
        <f aca="false">IF($C7879="","",IFERROR(INDEX(المنيو!$C$2:$C$500,MATCH($C7879,المنيو!$B$2:$B$500,0)),0))</f>
        <v/>
      </c>
      <c r="F7879" s="103" t="str">
        <f aca="false">IF($C7879="","",$D7879*$E7879)</f>
        <v/>
      </c>
      <c r="G7879" s="103" t="str">
        <f aca="false">IF($C7879="","",$D7879*IFERROR(INDEX('تحليل التكلفة والسعر'!$C$2:$C$700,MATCH($C7879,'تحليل التكلفة والسعر'!$B$2:$B$700,0)),0))</f>
        <v/>
      </c>
    </row>
    <row r="7880" customFormat="false" ht="15" hidden="false" customHeight="false" outlineLevel="0" collapsed="false">
      <c r="A7880" s="102"/>
      <c r="E7880" s="103" t="str">
        <f aca="false">IF($C7880="","",IFERROR(INDEX(المنيو!$C$2:$C$500,MATCH($C7880,المنيو!$B$2:$B$500,0)),0))</f>
        <v/>
      </c>
      <c r="F7880" s="103" t="str">
        <f aca="false">IF($C7880="","",$D7880*$E7880)</f>
        <v/>
      </c>
      <c r="G7880" s="103" t="str">
        <f aca="false">IF($C7880="","",$D7880*IFERROR(INDEX('تحليل التكلفة والسعر'!$C$2:$C$700,MATCH($C7880,'تحليل التكلفة والسعر'!$B$2:$B$700,0)),0))</f>
        <v/>
      </c>
    </row>
    <row r="7881" customFormat="false" ht="15" hidden="false" customHeight="false" outlineLevel="0" collapsed="false">
      <c r="A7881" s="102"/>
      <c r="E7881" s="103" t="str">
        <f aca="false">IF($C7881="","",IFERROR(INDEX(المنيو!$C$2:$C$500,MATCH($C7881,المنيو!$B$2:$B$500,0)),0))</f>
        <v/>
      </c>
      <c r="F7881" s="103" t="str">
        <f aca="false">IF($C7881="","",$D7881*$E7881)</f>
        <v/>
      </c>
      <c r="G7881" s="103" t="str">
        <f aca="false">IF($C7881="","",$D7881*IFERROR(INDEX('تحليل التكلفة والسعر'!$C$2:$C$700,MATCH($C7881,'تحليل التكلفة والسعر'!$B$2:$B$700,0)),0))</f>
        <v/>
      </c>
    </row>
    <row r="7882" customFormat="false" ht="15" hidden="false" customHeight="false" outlineLevel="0" collapsed="false">
      <c r="A7882" s="102"/>
      <c r="E7882" s="103" t="str">
        <f aca="false">IF($C7882="","",IFERROR(INDEX(المنيو!$C$2:$C$500,MATCH($C7882,المنيو!$B$2:$B$500,0)),0))</f>
        <v/>
      </c>
      <c r="F7882" s="103" t="str">
        <f aca="false">IF($C7882="","",$D7882*$E7882)</f>
        <v/>
      </c>
      <c r="G7882" s="103" t="str">
        <f aca="false">IF($C7882="","",$D7882*IFERROR(INDEX('تحليل التكلفة والسعر'!$C$2:$C$700,MATCH($C7882,'تحليل التكلفة والسعر'!$B$2:$B$700,0)),0))</f>
        <v/>
      </c>
    </row>
    <row r="7883" customFormat="false" ht="15" hidden="false" customHeight="false" outlineLevel="0" collapsed="false">
      <c r="A7883" s="102"/>
      <c r="E7883" s="103" t="str">
        <f aca="false">IF($C7883="","",IFERROR(INDEX(المنيو!$C$2:$C$500,MATCH($C7883,المنيو!$B$2:$B$500,0)),0))</f>
        <v/>
      </c>
      <c r="F7883" s="103" t="str">
        <f aca="false">IF($C7883="","",$D7883*$E7883)</f>
        <v/>
      </c>
      <c r="G7883" s="103" t="str">
        <f aca="false">IF($C7883="","",$D7883*IFERROR(INDEX('تحليل التكلفة والسعر'!$C$2:$C$700,MATCH($C7883,'تحليل التكلفة والسعر'!$B$2:$B$700,0)),0))</f>
        <v/>
      </c>
    </row>
    <row r="7884" customFormat="false" ht="15" hidden="false" customHeight="false" outlineLevel="0" collapsed="false">
      <c r="A7884" s="102"/>
      <c r="E7884" s="103" t="str">
        <f aca="false">IF($C7884="","",IFERROR(INDEX(المنيو!$C$2:$C$500,MATCH($C7884,المنيو!$B$2:$B$500,0)),0))</f>
        <v/>
      </c>
      <c r="F7884" s="103" t="str">
        <f aca="false">IF($C7884="","",$D7884*$E7884)</f>
        <v/>
      </c>
      <c r="G7884" s="103" t="str">
        <f aca="false">IF($C7884="","",$D7884*IFERROR(INDEX('تحليل التكلفة والسعر'!$C$2:$C$700,MATCH($C7884,'تحليل التكلفة والسعر'!$B$2:$B$700,0)),0))</f>
        <v/>
      </c>
    </row>
    <row r="7885" customFormat="false" ht="15" hidden="false" customHeight="false" outlineLevel="0" collapsed="false">
      <c r="A7885" s="102"/>
      <c r="E7885" s="103" t="str">
        <f aca="false">IF($C7885="","",IFERROR(INDEX(المنيو!$C$2:$C$500,MATCH($C7885,المنيو!$B$2:$B$500,0)),0))</f>
        <v/>
      </c>
      <c r="F7885" s="103" t="str">
        <f aca="false">IF($C7885="","",$D7885*$E7885)</f>
        <v/>
      </c>
      <c r="G7885" s="103" t="str">
        <f aca="false">IF($C7885="","",$D7885*IFERROR(INDEX('تحليل التكلفة والسعر'!$C$2:$C$700,MATCH($C7885,'تحليل التكلفة والسعر'!$B$2:$B$700,0)),0))</f>
        <v/>
      </c>
    </row>
    <row r="7886" customFormat="false" ht="15" hidden="false" customHeight="false" outlineLevel="0" collapsed="false">
      <c r="A7886" s="102"/>
      <c r="E7886" s="103" t="str">
        <f aca="false">IF($C7886="","",IFERROR(INDEX(المنيو!$C$2:$C$500,MATCH($C7886,المنيو!$B$2:$B$500,0)),0))</f>
        <v/>
      </c>
      <c r="F7886" s="103" t="str">
        <f aca="false">IF($C7886="","",$D7886*$E7886)</f>
        <v/>
      </c>
      <c r="G7886" s="103" t="str">
        <f aca="false">IF($C7886="","",$D7886*IFERROR(INDEX('تحليل التكلفة والسعر'!$C$2:$C$700,MATCH($C7886,'تحليل التكلفة والسعر'!$B$2:$B$700,0)),0))</f>
        <v/>
      </c>
    </row>
    <row r="7887" customFormat="false" ht="15" hidden="false" customHeight="false" outlineLevel="0" collapsed="false">
      <c r="A7887" s="102"/>
      <c r="E7887" s="103" t="str">
        <f aca="false">IF($C7887="","",IFERROR(INDEX(المنيو!$C$2:$C$500,MATCH($C7887,المنيو!$B$2:$B$500,0)),0))</f>
        <v/>
      </c>
      <c r="F7887" s="103" t="str">
        <f aca="false">IF($C7887="","",$D7887*$E7887)</f>
        <v/>
      </c>
      <c r="G7887" s="103" t="str">
        <f aca="false">IF($C7887="","",$D7887*IFERROR(INDEX('تحليل التكلفة والسعر'!$C$2:$C$700,MATCH($C7887,'تحليل التكلفة والسعر'!$B$2:$B$700,0)),0))</f>
        <v/>
      </c>
    </row>
    <row r="7888" customFormat="false" ht="15" hidden="false" customHeight="false" outlineLevel="0" collapsed="false">
      <c r="A7888" s="102"/>
      <c r="E7888" s="103" t="str">
        <f aca="false">IF($C7888="","",IFERROR(INDEX(المنيو!$C$2:$C$500,MATCH($C7888,المنيو!$B$2:$B$500,0)),0))</f>
        <v/>
      </c>
      <c r="F7888" s="103" t="str">
        <f aca="false">IF($C7888="","",$D7888*$E7888)</f>
        <v/>
      </c>
      <c r="G7888" s="103" t="str">
        <f aca="false">IF($C7888="","",$D7888*IFERROR(INDEX('تحليل التكلفة والسعر'!$C$2:$C$700,MATCH($C7888,'تحليل التكلفة والسعر'!$B$2:$B$700,0)),0))</f>
        <v/>
      </c>
    </row>
    <row r="7889" customFormat="false" ht="15" hidden="false" customHeight="false" outlineLevel="0" collapsed="false">
      <c r="A7889" s="102"/>
      <c r="E7889" s="103" t="str">
        <f aca="false">IF($C7889="","",IFERROR(INDEX(المنيو!$C$2:$C$500,MATCH($C7889,المنيو!$B$2:$B$500,0)),0))</f>
        <v/>
      </c>
      <c r="F7889" s="103" t="str">
        <f aca="false">IF($C7889="","",$D7889*$E7889)</f>
        <v/>
      </c>
      <c r="G7889" s="103" t="str">
        <f aca="false">IF($C7889="","",$D7889*IFERROR(INDEX('تحليل التكلفة والسعر'!$C$2:$C$700,MATCH($C7889,'تحليل التكلفة والسعر'!$B$2:$B$700,0)),0))</f>
        <v/>
      </c>
    </row>
    <row r="7890" customFormat="false" ht="15" hidden="false" customHeight="false" outlineLevel="0" collapsed="false">
      <c r="A7890" s="102"/>
      <c r="E7890" s="103" t="str">
        <f aca="false">IF($C7890="","",IFERROR(INDEX(المنيو!$C$2:$C$500,MATCH($C7890,المنيو!$B$2:$B$500,0)),0))</f>
        <v/>
      </c>
      <c r="F7890" s="103" t="str">
        <f aca="false">IF($C7890="","",$D7890*$E7890)</f>
        <v/>
      </c>
      <c r="G7890" s="103" t="str">
        <f aca="false">IF($C7890="","",$D7890*IFERROR(INDEX('تحليل التكلفة والسعر'!$C$2:$C$700,MATCH($C7890,'تحليل التكلفة والسعر'!$B$2:$B$700,0)),0))</f>
        <v/>
      </c>
    </row>
    <row r="7891" customFormat="false" ht="15" hidden="false" customHeight="false" outlineLevel="0" collapsed="false">
      <c r="A7891" s="102"/>
      <c r="E7891" s="103" t="str">
        <f aca="false">IF($C7891="","",IFERROR(INDEX(المنيو!$C$2:$C$500,MATCH($C7891,المنيو!$B$2:$B$500,0)),0))</f>
        <v/>
      </c>
      <c r="F7891" s="103" t="str">
        <f aca="false">IF($C7891="","",$D7891*$E7891)</f>
        <v/>
      </c>
      <c r="G7891" s="103" t="str">
        <f aca="false">IF($C7891="","",$D7891*IFERROR(INDEX('تحليل التكلفة والسعر'!$C$2:$C$700,MATCH($C7891,'تحليل التكلفة والسعر'!$B$2:$B$700,0)),0))</f>
        <v/>
      </c>
    </row>
    <row r="7892" customFormat="false" ht="15" hidden="false" customHeight="false" outlineLevel="0" collapsed="false">
      <c r="A7892" s="102"/>
      <c r="E7892" s="103" t="str">
        <f aca="false">IF($C7892="","",IFERROR(INDEX(المنيو!$C$2:$C$500,MATCH($C7892,المنيو!$B$2:$B$500,0)),0))</f>
        <v/>
      </c>
      <c r="F7892" s="103" t="str">
        <f aca="false">IF($C7892="","",$D7892*$E7892)</f>
        <v/>
      </c>
      <c r="G7892" s="103" t="str">
        <f aca="false">IF($C7892="","",$D7892*IFERROR(INDEX('تحليل التكلفة والسعر'!$C$2:$C$700,MATCH($C7892,'تحليل التكلفة والسعر'!$B$2:$B$700,0)),0))</f>
        <v/>
      </c>
    </row>
    <row r="7893" customFormat="false" ht="15" hidden="false" customHeight="false" outlineLevel="0" collapsed="false">
      <c r="A7893" s="102"/>
      <c r="E7893" s="103" t="str">
        <f aca="false">IF($C7893="","",IFERROR(INDEX(المنيو!$C$2:$C$500,MATCH($C7893,المنيو!$B$2:$B$500,0)),0))</f>
        <v/>
      </c>
      <c r="F7893" s="103" t="str">
        <f aca="false">IF($C7893="","",$D7893*$E7893)</f>
        <v/>
      </c>
      <c r="G7893" s="103" t="str">
        <f aca="false">IF($C7893="","",$D7893*IFERROR(INDEX('تحليل التكلفة والسعر'!$C$2:$C$700,MATCH($C7893,'تحليل التكلفة والسعر'!$B$2:$B$700,0)),0))</f>
        <v/>
      </c>
    </row>
    <row r="7894" customFormat="false" ht="15" hidden="false" customHeight="false" outlineLevel="0" collapsed="false">
      <c r="A7894" s="102"/>
      <c r="E7894" s="103" t="str">
        <f aca="false">IF($C7894="","",IFERROR(INDEX(المنيو!$C$2:$C$500,MATCH($C7894,المنيو!$B$2:$B$500,0)),0))</f>
        <v/>
      </c>
      <c r="F7894" s="103" t="str">
        <f aca="false">IF($C7894="","",$D7894*$E7894)</f>
        <v/>
      </c>
      <c r="G7894" s="103" t="str">
        <f aca="false">IF($C7894="","",$D7894*IFERROR(INDEX('تحليل التكلفة والسعر'!$C$2:$C$700,MATCH($C7894,'تحليل التكلفة والسعر'!$B$2:$B$700,0)),0))</f>
        <v/>
      </c>
    </row>
    <row r="7895" customFormat="false" ht="15" hidden="false" customHeight="false" outlineLevel="0" collapsed="false">
      <c r="A7895" s="102"/>
      <c r="E7895" s="103" t="str">
        <f aca="false">IF($C7895="","",IFERROR(INDEX(المنيو!$C$2:$C$500,MATCH($C7895,المنيو!$B$2:$B$500,0)),0))</f>
        <v/>
      </c>
      <c r="F7895" s="103" t="str">
        <f aca="false">IF($C7895="","",$D7895*$E7895)</f>
        <v/>
      </c>
      <c r="G7895" s="103" t="str">
        <f aca="false">IF($C7895="","",$D7895*IFERROR(INDEX('تحليل التكلفة والسعر'!$C$2:$C$700,MATCH($C7895,'تحليل التكلفة والسعر'!$B$2:$B$700,0)),0))</f>
        <v/>
      </c>
    </row>
    <row r="7896" customFormat="false" ht="15" hidden="false" customHeight="false" outlineLevel="0" collapsed="false">
      <c r="A7896" s="102"/>
      <c r="E7896" s="103" t="str">
        <f aca="false">IF($C7896="","",IFERROR(INDEX(المنيو!$C$2:$C$500,MATCH($C7896,المنيو!$B$2:$B$500,0)),0))</f>
        <v/>
      </c>
      <c r="F7896" s="103" t="str">
        <f aca="false">IF($C7896="","",$D7896*$E7896)</f>
        <v/>
      </c>
      <c r="G7896" s="103" t="str">
        <f aca="false">IF($C7896="","",$D7896*IFERROR(INDEX('تحليل التكلفة والسعر'!$C$2:$C$700,MATCH($C7896,'تحليل التكلفة والسعر'!$B$2:$B$700,0)),0))</f>
        <v/>
      </c>
    </row>
    <row r="7897" customFormat="false" ht="15" hidden="false" customHeight="false" outlineLevel="0" collapsed="false">
      <c r="A7897" s="102"/>
      <c r="E7897" s="103" t="str">
        <f aca="false">IF($C7897="","",IFERROR(INDEX(المنيو!$C$2:$C$500,MATCH($C7897,المنيو!$B$2:$B$500,0)),0))</f>
        <v/>
      </c>
      <c r="F7897" s="103" t="str">
        <f aca="false">IF($C7897="","",$D7897*$E7897)</f>
        <v/>
      </c>
      <c r="G7897" s="103" t="str">
        <f aca="false">IF($C7897="","",$D7897*IFERROR(INDEX('تحليل التكلفة والسعر'!$C$2:$C$700,MATCH($C7897,'تحليل التكلفة والسعر'!$B$2:$B$700,0)),0))</f>
        <v/>
      </c>
    </row>
    <row r="7898" customFormat="false" ht="15" hidden="false" customHeight="false" outlineLevel="0" collapsed="false">
      <c r="A7898" s="102"/>
      <c r="E7898" s="103" t="str">
        <f aca="false">IF($C7898="","",IFERROR(INDEX(المنيو!$C$2:$C$500,MATCH($C7898,المنيو!$B$2:$B$500,0)),0))</f>
        <v/>
      </c>
      <c r="F7898" s="103" t="str">
        <f aca="false">IF($C7898="","",$D7898*$E7898)</f>
        <v/>
      </c>
      <c r="G7898" s="103" t="str">
        <f aca="false">IF($C7898="","",$D7898*IFERROR(INDEX('تحليل التكلفة والسعر'!$C$2:$C$700,MATCH($C7898,'تحليل التكلفة والسعر'!$B$2:$B$700,0)),0))</f>
        <v/>
      </c>
    </row>
    <row r="7899" customFormat="false" ht="15" hidden="false" customHeight="false" outlineLevel="0" collapsed="false">
      <c r="A7899" s="102"/>
      <c r="E7899" s="103" t="str">
        <f aca="false">IF($C7899="","",IFERROR(INDEX(المنيو!$C$2:$C$500,MATCH($C7899,المنيو!$B$2:$B$500,0)),0))</f>
        <v/>
      </c>
      <c r="F7899" s="103" t="str">
        <f aca="false">IF($C7899="","",$D7899*$E7899)</f>
        <v/>
      </c>
      <c r="G7899" s="103" t="str">
        <f aca="false">IF($C7899="","",$D7899*IFERROR(INDEX('تحليل التكلفة والسعر'!$C$2:$C$700,MATCH($C7899,'تحليل التكلفة والسعر'!$B$2:$B$700,0)),0))</f>
        <v/>
      </c>
    </row>
    <row r="7900" customFormat="false" ht="15" hidden="false" customHeight="false" outlineLevel="0" collapsed="false">
      <c r="A7900" s="102"/>
      <c r="E7900" s="103" t="str">
        <f aca="false">IF($C7900="","",IFERROR(INDEX(المنيو!$C$2:$C$500,MATCH($C7900,المنيو!$B$2:$B$500,0)),0))</f>
        <v/>
      </c>
      <c r="F7900" s="103" t="str">
        <f aca="false">IF($C7900="","",$D7900*$E7900)</f>
        <v/>
      </c>
      <c r="G7900" s="103" t="str">
        <f aca="false">IF($C7900="","",$D7900*IFERROR(INDEX('تحليل التكلفة والسعر'!$C$2:$C$700,MATCH($C7900,'تحليل التكلفة والسعر'!$B$2:$B$700,0)),0))</f>
        <v/>
      </c>
    </row>
    <row r="7901" customFormat="false" ht="15" hidden="false" customHeight="false" outlineLevel="0" collapsed="false">
      <c r="A7901" s="102"/>
      <c r="E7901" s="103" t="str">
        <f aca="false">IF($C7901="","",IFERROR(INDEX(المنيو!$C$2:$C$500,MATCH($C7901,المنيو!$B$2:$B$500,0)),0))</f>
        <v/>
      </c>
      <c r="F7901" s="103" t="str">
        <f aca="false">IF($C7901="","",$D7901*$E7901)</f>
        <v/>
      </c>
      <c r="G7901" s="103" t="str">
        <f aca="false">IF($C7901="","",$D7901*IFERROR(INDEX('تحليل التكلفة والسعر'!$C$2:$C$700,MATCH($C7901,'تحليل التكلفة والسعر'!$B$2:$B$700,0)),0))</f>
        <v/>
      </c>
    </row>
    <row r="7902" customFormat="false" ht="15" hidden="false" customHeight="false" outlineLevel="0" collapsed="false">
      <c r="A7902" s="102"/>
      <c r="E7902" s="103" t="str">
        <f aca="false">IF($C7902="","",IFERROR(INDEX(المنيو!$C$2:$C$500,MATCH($C7902,المنيو!$B$2:$B$500,0)),0))</f>
        <v/>
      </c>
      <c r="F7902" s="103" t="str">
        <f aca="false">IF($C7902="","",$D7902*$E7902)</f>
        <v/>
      </c>
      <c r="G7902" s="103" t="str">
        <f aca="false">IF($C7902="","",$D7902*IFERROR(INDEX('تحليل التكلفة والسعر'!$C$2:$C$700,MATCH($C7902,'تحليل التكلفة والسعر'!$B$2:$B$700,0)),0))</f>
        <v/>
      </c>
    </row>
    <row r="7903" customFormat="false" ht="15" hidden="false" customHeight="false" outlineLevel="0" collapsed="false">
      <c r="A7903" s="102"/>
      <c r="E7903" s="103" t="str">
        <f aca="false">IF($C7903="","",IFERROR(INDEX(المنيو!$C$2:$C$500,MATCH($C7903,المنيو!$B$2:$B$500,0)),0))</f>
        <v/>
      </c>
      <c r="F7903" s="103" t="str">
        <f aca="false">IF($C7903="","",$D7903*$E7903)</f>
        <v/>
      </c>
      <c r="G7903" s="103" t="str">
        <f aca="false">IF($C7903="","",$D7903*IFERROR(INDEX('تحليل التكلفة والسعر'!$C$2:$C$700,MATCH($C7903,'تحليل التكلفة والسعر'!$B$2:$B$700,0)),0))</f>
        <v/>
      </c>
    </row>
    <row r="7904" customFormat="false" ht="15" hidden="false" customHeight="false" outlineLevel="0" collapsed="false">
      <c r="A7904" s="102"/>
      <c r="E7904" s="103" t="str">
        <f aca="false">IF($C7904="","",IFERROR(INDEX(المنيو!$C$2:$C$500,MATCH($C7904,المنيو!$B$2:$B$500,0)),0))</f>
        <v/>
      </c>
      <c r="F7904" s="103" t="str">
        <f aca="false">IF($C7904="","",$D7904*$E7904)</f>
        <v/>
      </c>
      <c r="G7904" s="103" t="str">
        <f aca="false">IF($C7904="","",$D7904*IFERROR(INDEX('تحليل التكلفة والسعر'!$C$2:$C$700,MATCH($C7904,'تحليل التكلفة والسعر'!$B$2:$B$700,0)),0))</f>
        <v/>
      </c>
    </row>
    <row r="7905" customFormat="false" ht="15" hidden="false" customHeight="false" outlineLevel="0" collapsed="false">
      <c r="A7905" s="102"/>
      <c r="E7905" s="103" t="str">
        <f aca="false">IF($C7905="","",IFERROR(INDEX(المنيو!$C$2:$C$500,MATCH($C7905,المنيو!$B$2:$B$500,0)),0))</f>
        <v/>
      </c>
      <c r="F7905" s="103" t="str">
        <f aca="false">IF($C7905="","",$D7905*$E7905)</f>
        <v/>
      </c>
      <c r="G7905" s="103" t="str">
        <f aca="false">IF($C7905="","",$D7905*IFERROR(INDEX('تحليل التكلفة والسعر'!$C$2:$C$700,MATCH($C7905,'تحليل التكلفة والسعر'!$B$2:$B$700,0)),0))</f>
        <v/>
      </c>
    </row>
    <row r="7906" customFormat="false" ht="15" hidden="false" customHeight="false" outlineLevel="0" collapsed="false">
      <c r="A7906" s="102"/>
      <c r="E7906" s="103" t="str">
        <f aca="false">IF($C7906="","",IFERROR(INDEX(المنيو!$C$2:$C$500,MATCH($C7906,المنيو!$B$2:$B$500,0)),0))</f>
        <v/>
      </c>
      <c r="F7906" s="103" t="str">
        <f aca="false">IF($C7906="","",$D7906*$E7906)</f>
        <v/>
      </c>
      <c r="G7906" s="103" t="str">
        <f aca="false">IF($C7906="","",$D7906*IFERROR(INDEX('تحليل التكلفة والسعر'!$C$2:$C$700,MATCH($C7906,'تحليل التكلفة والسعر'!$B$2:$B$700,0)),0))</f>
        <v/>
      </c>
    </row>
    <row r="7907" customFormat="false" ht="15" hidden="false" customHeight="false" outlineLevel="0" collapsed="false">
      <c r="A7907" s="102"/>
      <c r="E7907" s="103" t="str">
        <f aca="false">IF($C7907="","",IFERROR(INDEX(المنيو!$C$2:$C$500,MATCH($C7907,المنيو!$B$2:$B$500,0)),0))</f>
        <v/>
      </c>
      <c r="F7907" s="103" t="str">
        <f aca="false">IF($C7907="","",$D7907*$E7907)</f>
        <v/>
      </c>
      <c r="G7907" s="103" t="str">
        <f aca="false">IF($C7907="","",$D7907*IFERROR(INDEX('تحليل التكلفة والسعر'!$C$2:$C$700,MATCH($C7907,'تحليل التكلفة والسعر'!$B$2:$B$700,0)),0))</f>
        <v/>
      </c>
    </row>
    <row r="7908" customFormat="false" ht="15" hidden="false" customHeight="false" outlineLevel="0" collapsed="false">
      <c r="A7908" s="102"/>
      <c r="E7908" s="103" t="str">
        <f aca="false">IF($C7908="","",IFERROR(INDEX(المنيو!$C$2:$C$500,MATCH($C7908,المنيو!$B$2:$B$500,0)),0))</f>
        <v/>
      </c>
      <c r="F7908" s="103" t="str">
        <f aca="false">IF($C7908="","",$D7908*$E7908)</f>
        <v/>
      </c>
      <c r="G7908" s="103" t="str">
        <f aca="false">IF($C7908="","",$D7908*IFERROR(INDEX('تحليل التكلفة والسعر'!$C$2:$C$700,MATCH($C7908,'تحليل التكلفة والسعر'!$B$2:$B$700,0)),0))</f>
        <v/>
      </c>
    </row>
    <row r="7909" customFormat="false" ht="15" hidden="false" customHeight="false" outlineLevel="0" collapsed="false">
      <c r="A7909" s="102"/>
      <c r="E7909" s="103" t="str">
        <f aca="false">IF($C7909="","",IFERROR(INDEX(المنيو!$C$2:$C$500,MATCH($C7909,المنيو!$B$2:$B$500,0)),0))</f>
        <v/>
      </c>
      <c r="F7909" s="103" t="str">
        <f aca="false">IF($C7909="","",$D7909*$E7909)</f>
        <v/>
      </c>
      <c r="G7909" s="103" t="str">
        <f aca="false">IF($C7909="","",$D7909*IFERROR(INDEX('تحليل التكلفة والسعر'!$C$2:$C$700,MATCH($C7909,'تحليل التكلفة والسعر'!$B$2:$B$700,0)),0))</f>
        <v/>
      </c>
    </row>
    <row r="7910" customFormat="false" ht="15" hidden="false" customHeight="false" outlineLevel="0" collapsed="false">
      <c r="A7910" s="102"/>
      <c r="E7910" s="103" t="str">
        <f aca="false">IF($C7910="","",IFERROR(INDEX(المنيو!$C$2:$C$500,MATCH($C7910,المنيو!$B$2:$B$500,0)),0))</f>
        <v/>
      </c>
      <c r="F7910" s="103" t="str">
        <f aca="false">IF($C7910="","",$D7910*$E7910)</f>
        <v/>
      </c>
      <c r="G7910" s="103" t="str">
        <f aca="false">IF($C7910="","",$D7910*IFERROR(INDEX('تحليل التكلفة والسعر'!$C$2:$C$700,MATCH($C7910,'تحليل التكلفة والسعر'!$B$2:$B$700,0)),0))</f>
        <v/>
      </c>
    </row>
    <row r="7911" customFormat="false" ht="15" hidden="false" customHeight="false" outlineLevel="0" collapsed="false">
      <c r="A7911" s="102"/>
      <c r="E7911" s="103" t="str">
        <f aca="false">IF($C7911="","",IFERROR(INDEX(المنيو!$C$2:$C$500,MATCH($C7911,المنيو!$B$2:$B$500,0)),0))</f>
        <v/>
      </c>
      <c r="F7911" s="103" t="str">
        <f aca="false">IF($C7911="","",$D7911*$E7911)</f>
        <v/>
      </c>
      <c r="G7911" s="103" t="str">
        <f aca="false">IF($C7911="","",$D7911*IFERROR(INDEX('تحليل التكلفة والسعر'!$C$2:$C$700,MATCH($C7911,'تحليل التكلفة والسعر'!$B$2:$B$700,0)),0))</f>
        <v/>
      </c>
    </row>
    <row r="7912" customFormat="false" ht="15" hidden="false" customHeight="false" outlineLevel="0" collapsed="false">
      <c r="A7912" s="102"/>
      <c r="E7912" s="103" t="str">
        <f aca="false">IF($C7912="","",IFERROR(INDEX(المنيو!$C$2:$C$500,MATCH($C7912,المنيو!$B$2:$B$500,0)),0))</f>
        <v/>
      </c>
      <c r="F7912" s="103" t="str">
        <f aca="false">IF($C7912="","",$D7912*$E7912)</f>
        <v/>
      </c>
      <c r="G7912" s="103" t="str">
        <f aca="false">IF($C7912="","",$D7912*IFERROR(INDEX('تحليل التكلفة والسعر'!$C$2:$C$700,MATCH($C7912,'تحليل التكلفة والسعر'!$B$2:$B$700,0)),0))</f>
        <v/>
      </c>
    </row>
    <row r="7913" customFormat="false" ht="15" hidden="false" customHeight="false" outlineLevel="0" collapsed="false">
      <c r="A7913" s="102"/>
      <c r="E7913" s="103" t="str">
        <f aca="false">IF($C7913="","",IFERROR(INDEX(المنيو!$C$2:$C$500,MATCH($C7913,المنيو!$B$2:$B$500,0)),0))</f>
        <v/>
      </c>
      <c r="F7913" s="103" t="str">
        <f aca="false">IF($C7913="","",$D7913*$E7913)</f>
        <v/>
      </c>
      <c r="G7913" s="103" t="str">
        <f aca="false">IF($C7913="","",$D7913*IFERROR(INDEX('تحليل التكلفة والسعر'!$C$2:$C$700,MATCH($C7913,'تحليل التكلفة والسعر'!$B$2:$B$700,0)),0))</f>
        <v/>
      </c>
    </row>
    <row r="7914" customFormat="false" ht="15" hidden="false" customHeight="false" outlineLevel="0" collapsed="false">
      <c r="A7914" s="102"/>
      <c r="E7914" s="103" t="str">
        <f aca="false">IF($C7914="","",IFERROR(INDEX(المنيو!$C$2:$C$500,MATCH($C7914,المنيو!$B$2:$B$500,0)),0))</f>
        <v/>
      </c>
      <c r="F7914" s="103" t="str">
        <f aca="false">IF($C7914="","",$D7914*$E7914)</f>
        <v/>
      </c>
      <c r="G7914" s="103" t="str">
        <f aca="false">IF($C7914="","",$D7914*IFERROR(INDEX('تحليل التكلفة والسعر'!$C$2:$C$700,MATCH($C7914,'تحليل التكلفة والسعر'!$B$2:$B$700,0)),0))</f>
        <v/>
      </c>
    </row>
    <row r="7915" customFormat="false" ht="15" hidden="false" customHeight="false" outlineLevel="0" collapsed="false">
      <c r="A7915" s="102"/>
      <c r="E7915" s="103" t="str">
        <f aca="false">IF($C7915="","",IFERROR(INDEX(المنيو!$C$2:$C$500,MATCH($C7915,المنيو!$B$2:$B$500,0)),0))</f>
        <v/>
      </c>
      <c r="F7915" s="103" t="str">
        <f aca="false">IF($C7915="","",$D7915*$E7915)</f>
        <v/>
      </c>
      <c r="G7915" s="103" t="str">
        <f aca="false">IF($C7915="","",$D7915*IFERROR(INDEX('تحليل التكلفة والسعر'!$C$2:$C$700,MATCH($C7915,'تحليل التكلفة والسعر'!$B$2:$B$700,0)),0))</f>
        <v/>
      </c>
    </row>
    <row r="7916" customFormat="false" ht="15" hidden="false" customHeight="false" outlineLevel="0" collapsed="false">
      <c r="A7916" s="102"/>
      <c r="E7916" s="103" t="str">
        <f aca="false">IF($C7916="","",IFERROR(INDEX(المنيو!$C$2:$C$500,MATCH($C7916,المنيو!$B$2:$B$500,0)),0))</f>
        <v/>
      </c>
      <c r="F7916" s="103" t="str">
        <f aca="false">IF($C7916="","",$D7916*$E7916)</f>
        <v/>
      </c>
      <c r="G7916" s="103" t="str">
        <f aca="false">IF($C7916="","",$D7916*IFERROR(INDEX('تحليل التكلفة والسعر'!$C$2:$C$700,MATCH($C7916,'تحليل التكلفة والسعر'!$B$2:$B$700,0)),0))</f>
        <v/>
      </c>
    </row>
    <row r="7917" customFormat="false" ht="15" hidden="false" customHeight="false" outlineLevel="0" collapsed="false">
      <c r="A7917" s="102"/>
      <c r="E7917" s="103" t="str">
        <f aca="false">IF($C7917="","",IFERROR(INDEX(المنيو!$C$2:$C$500,MATCH($C7917,المنيو!$B$2:$B$500,0)),0))</f>
        <v/>
      </c>
      <c r="F7917" s="103" t="str">
        <f aca="false">IF($C7917="","",$D7917*$E7917)</f>
        <v/>
      </c>
      <c r="G7917" s="103" t="str">
        <f aca="false">IF($C7917="","",$D7917*IFERROR(INDEX('تحليل التكلفة والسعر'!$C$2:$C$700,MATCH($C7917,'تحليل التكلفة والسعر'!$B$2:$B$700,0)),0))</f>
        <v/>
      </c>
    </row>
    <row r="7918" customFormat="false" ht="15" hidden="false" customHeight="false" outlineLevel="0" collapsed="false">
      <c r="A7918" s="102"/>
      <c r="E7918" s="103" t="str">
        <f aca="false">IF($C7918="","",IFERROR(INDEX(المنيو!$C$2:$C$500,MATCH($C7918,المنيو!$B$2:$B$500,0)),0))</f>
        <v/>
      </c>
      <c r="F7918" s="103" t="str">
        <f aca="false">IF($C7918="","",$D7918*$E7918)</f>
        <v/>
      </c>
      <c r="G7918" s="103" t="str">
        <f aca="false">IF($C7918="","",$D7918*IFERROR(INDEX('تحليل التكلفة والسعر'!$C$2:$C$700,MATCH($C7918,'تحليل التكلفة والسعر'!$B$2:$B$700,0)),0))</f>
        <v/>
      </c>
    </row>
    <row r="7919" customFormat="false" ht="15" hidden="false" customHeight="false" outlineLevel="0" collapsed="false">
      <c r="A7919" s="102"/>
      <c r="E7919" s="103" t="str">
        <f aca="false">IF($C7919="","",IFERROR(INDEX(المنيو!$C$2:$C$500,MATCH($C7919,المنيو!$B$2:$B$500,0)),0))</f>
        <v/>
      </c>
      <c r="F7919" s="103" t="str">
        <f aca="false">IF($C7919="","",$D7919*$E7919)</f>
        <v/>
      </c>
      <c r="G7919" s="103" t="str">
        <f aca="false">IF($C7919="","",$D7919*IFERROR(INDEX('تحليل التكلفة والسعر'!$C$2:$C$700,MATCH($C7919,'تحليل التكلفة والسعر'!$B$2:$B$700,0)),0))</f>
        <v/>
      </c>
    </row>
    <row r="7920" customFormat="false" ht="15" hidden="false" customHeight="false" outlineLevel="0" collapsed="false">
      <c r="A7920" s="102"/>
      <c r="E7920" s="103" t="str">
        <f aca="false">IF($C7920="","",IFERROR(INDEX(المنيو!$C$2:$C$500,MATCH($C7920,المنيو!$B$2:$B$500,0)),0))</f>
        <v/>
      </c>
      <c r="F7920" s="103" t="str">
        <f aca="false">IF($C7920="","",$D7920*$E7920)</f>
        <v/>
      </c>
      <c r="G7920" s="103" t="str">
        <f aca="false">IF($C7920="","",$D7920*IFERROR(INDEX('تحليل التكلفة والسعر'!$C$2:$C$700,MATCH($C7920,'تحليل التكلفة والسعر'!$B$2:$B$700,0)),0))</f>
        <v/>
      </c>
    </row>
    <row r="7921" customFormat="false" ht="15" hidden="false" customHeight="false" outlineLevel="0" collapsed="false">
      <c r="A7921" s="102"/>
      <c r="E7921" s="103" t="str">
        <f aca="false">IF($C7921="","",IFERROR(INDEX(المنيو!$C$2:$C$500,MATCH($C7921,المنيو!$B$2:$B$500,0)),0))</f>
        <v/>
      </c>
      <c r="F7921" s="103" t="str">
        <f aca="false">IF($C7921="","",$D7921*$E7921)</f>
        <v/>
      </c>
      <c r="G7921" s="103" t="str">
        <f aca="false">IF($C7921="","",$D7921*IFERROR(INDEX('تحليل التكلفة والسعر'!$C$2:$C$700,MATCH($C7921,'تحليل التكلفة والسعر'!$B$2:$B$700,0)),0))</f>
        <v/>
      </c>
    </row>
    <row r="7922" customFormat="false" ht="15" hidden="false" customHeight="false" outlineLevel="0" collapsed="false">
      <c r="A7922" s="102"/>
      <c r="E7922" s="103" t="str">
        <f aca="false">IF($C7922="","",IFERROR(INDEX(المنيو!$C$2:$C$500,MATCH($C7922,المنيو!$B$2:$B$500,0)),0))</f>
        <v/>
      </c>
      <c r="F7922" s="103" t="str">
        <f aca="false">IF($C7922="","",$D7922*$E7922)</f>
        <v/>
      </c>
      <c r="G7922" s="103" t="str">
        <f aca="false">IF($C7922="","",$D7922*IFERROR(INDEX('تحليل التكلفة والسعر'!$C$2:$C$700,MATCH($C7922,'تحليل التكلفة والسعر'!$B$2:$B$700,0)),0))</f>
        <v/>
      </c>
    </row>
    <row r="7923" customFormat="false" ht="15" hidden="false" customHeight="false" outlineLevel="0" collapsed="false">
      <c r="A7923" s="102"/>
      <c r="E7923" s="103" t="str">
        <f aca="false">IF($C7923="","",IFERROR(INDEX(المنيو!$C$2:$C$500,MATCH($C7923,المنيو!$B$2:$B$500,0)),0))</f>
        <v/>
      </c>
      <c r="F7923" s="103" t="str">
        <f aca="false">IF($C7923="","",$D7923*$E7923)</f>
        <v/>
      </c>
      <c r="G7923" s="103" t="str">
        <f aca="false">IF($C7923="","",$D7923*IFERROR(INDEX('تحليل التكلفة والسعر'!$C$2:$C$700,MATCH($C7923,'تحليل التكلفة والسعر'!$B$2:$B$700,0)),0))</f>
        <v/>
      </c>
    </row>
    <row r="7924" customFormat="false" ht="15" hidden="false" customHeight="false" outlineLevel="0" collapsed="false">
      <c r="A7924" s="102"/>
      <c r="E7924" s="103" t="str">
        <f aca="false">IF($C7924="","",IFERROR(INDEX(المنيو!$C$2:$C$500,MATCH($C7924,المنيو!$B$2:$B$500,0)),0))</f>
        <v/>
      </c>
      <c r="F7924" s="103" t="str">
        <f aca="false">IF($C7924="","",$D7924*$E7924)</f>
        <v/>
      </c>
      <c r="G7924" s="103" t="str">
        <f aca="false">IF($C7924="","",$D7924*IFERROR(INDEX('تحليل التكلفة والسعر'!$C$2:$C$700,MATCH($C7924,'تحليل التكلفة والسعر'!$B$2:$B$700,0)),0))</f>
        <v/>
      </c>
    </row>
    <row r="7925" customFormat="false" ht="15" hidden="false" customHeight="false" outlineLevel="0" collapsed="false">
      <c r="A7925" s="102"/>
      <c r="E7925" s="103" t="str">
        <f aca="false">IF($C7925="","",IFERROR(INDEX(المنيو!$C$2:$C$500,MATCH($C7925,المنيو!$B$2:$B$500,0)),0))</f>
        <v/>
      </c>
      <c r="F7925" s="103" t="str">
        <f aca="false">IF($C7925="","",$D7925*$E7925)</f>
        <v/>
      </c>
      <c r="G7925" s="103" t="str">
        <f aca="false">IF($C7925="","",$D7925*IFERROR(INDEX('تحليل التكلفة والسعر'!$C$2:$C$700,MATCH($C7925,'تحليل التكلفة والسعر'!$B$2:$B$700,0)),0))</f>
        <v/>
      </c>
    </row>
    <row r="7926" customFormat="false" ht="15" hidden="false" customHeight="false" outlineLevel="0" collapsed="false">
      <c r="A7926" s="102"/>
      <c r="E7926" s="103" t="str">
        <f aca="false">IF($C7926="","",IFERROR(INDEX(المنيو!$C$2:$C$500,MATCH($C7926,المنيو!$B$2:$B$500,0)),0))</f>
        <v/>
      </c>
      <c r="F7926" s="103" t="str">
        <f aca="false">IF($C7926="","",$D7926*$E7926)</f>
        <v/>
      </c>
      <c r="G7926" s="103" t="str">
        <f aca="false">IF($C7926="","",$D7926*IFERROR(INDEX('تحليل التكلفة والسعر'!$C$2:$C$700,MATCH($C7926,'تحليل التكلفة والسعر'!$B$2:$B$700,0)),0))</f>
        <v/>
      </c>
    </row>
    <row r="7927" customFormat="false" ht="15" hidden="false" customHeight="false" outlineLevel="0" collapsed="false">
      <c r="A7927" s="102"/>
      <c r="E7927" s="103" t="str">
        <f aca="false">IF($C7927="","",IFERROR(INDEX(المنيو!$C$2:$C$500,MATCH($C7927,المنيو!$B$2:$B$500,0)),0))</f>
        <v/>
      </c>
      <c r="F7927" s="103" t="str">
        <f aca="false">IF($C7927="","",$D7927*$E7927)</f>
        <v/>
      </c>
      <c r="G7927" s="103" t="str">
        <f aca="false">IF($C7927="","",$D7927*IFERROR(INDEX('تحليل التكلفة والسعر'!$C$2:$C$700,MATCH($C7927,'تحليل التكلفة والسعر'!$B$2:$B$700,0)),0))</f>
        <v/>
      </c>
    </row>
    <row r="7928" customFormat="false" ht="15" hidden="false" customHeight="false" outlineLevel="0" collapsed="false">
      <c r="A7928" s="102"/>
      <c r="E7928" s="103" t="str">
        <f aca="false">IF($C7928="","",IFERROR(INDEX(المنيو!$C$2:$C$500,MATCH($C7928,المنيو!$B$2:$B$500,0)),0))</f>
        <v/>
      </c>
      <c r="F7928" s="103" t="str">
        <f aca="false">IF($C7928="","",$D7928*$E7928)</f>
        <v/>
      </c>
      <c r="G7928" s="103" t="str">
        <f aca="false">IF($C7928="","",$D7928*IFERROR(INDEX('تحليل التكلفة والسعر'!$C$2:$C$700,MATCH($C7928,'تحليل التكلفة والسعر'!$B$2:$B$700,0)),0))</f>
        <v/>
      </c>
    </row>
    <row r="7929" customFormat="false" ht="15" hidden="false" customHeight="false" outlineLevel="0" collapsed="false">
      <c r="A7929" s="102"/>
      <c r="E7929" s="103" t="str">
        <f aca="false">IF($C7929="","",IFERROR(INDEX(المنيو!$C$2:$C$500,MATCH($C7929,المنيو!$B$2:$B$500,0)),0))</f>
        <v/>
      </c>
      <c r="F7929" s="103" t="str">
        <f aca="false">IF($C7929="","",$D7929*$E7929)</f>
        <v/>
      </c>
      <c r="G7929" s="103" t="str">
        <f aca="false">IF($C7929="","",$D7929*IFERROR(INDEX('تحليل التكلفة والسعر'!$C$2:$C$700,MATCH($C7929,'تحليل التكلفة والسعر'!$B$2:$B$700,0)),0))</f>
        <v/>
      </c>
    </row>
    <row r="7930" customFormat="false" ht="15" hidden="false" customHeight="false" outlineLevel="0" collapsed="false">
      <c r="A7930" s="102"/>
      <c r="E7930" s="103" t="str">
        <f aca="false">IF($C7930="","",IFERROR(INDEX(المنيو!$C$2:$C$500,MATCH($C7930,المنيو!$B$2:$B$500,0)),0))</f>
        <v/>
      </c>
      <c r="F7930" s="103" t="str">
        <f aca="false">IF($C7930="","",$D7930*$E7930)</f>
        <v/>
      </c>
      <c r="G7930" s="103" t="str">
        <f aca="false">IF($C7930="","",$D7930*IFERROR(INDEX('تحليل التكلفة والسعر'!$C$2:$C$700,MATCH($C7930,'تحليل التكلفة والسعر'!$B$2:$B$700,0)),0))</f>
        <v/>
      </c>
    </row>
    <row r="7931" customFormat="false" ht="15" hidden="false" customHeight="false" outlineLevel="0" collapsed="false">
      <c r="A7931" s="102"/>
      <c r="E7931" s="103" t="str">
        <f aca="false">IF($C7931="","",IFERROR(INDEX(المنيو!$C$2:$C$500,MATCH($C7931,المنيو!$B$2:$B$500,0)),0))</f>
        <v/>
      </c>
      <c r="F7931" s="103" t="str">
        <f aca="false">IF($C7931="","",$D7931*$E7931)</f>
        <v/>
      </c>
      <c r="G7931" s="103" t="str">
        <f aca="false">IF($C7931="","",$D7931*IFERROR(INDEX('تحليل التكلفة والسعر'!$C$2:$C$700,MATCH($C7931,'تحليل التكلفة والسعر'!$B$2:$B$700,0)),0))</f>
        <v/>
      </c>
    </row>
    <row r="7932" customFormat="false" ht="15" hidden="false" customHeight="false" outlineLevel="0" collapsed="false">
      <c r="A7932" s="102"/>
      <c r="E7932" s="103" t="str">
        <f aca="false">IF($C7932="","",IFERROR(INDEX(المنيو!$C$2:$C$500,MATCH($C7932,المنيو!$B$2:$B$500,0)),0))</f>
        <v/>
      </c>
      <c r="F7932" s="103" t="str">
        <f aca="false">IF($C7932="","",$D7932*$E7932)</f>
        <v/>
      </c>
      <c r="G7932" s="103" t="str">
        <f aca="false">IF($C7932="","",$D7932*IFERROR(INDEX('تحليل التكلفة والسعر'!$C$2:$C$700,MATCH($C7932,'تحليل التكلفة والسعر'!$B$2:$B$700,0)),0))</f>
        <v/>
      </c>
    </row>
    <row r="7933" customFormat="false" ht="15" hidden="false" customHeight="false" outlineLevel="0" collapsed="false">
      <c r="A7933" s="102"/>
      <c r="E7933" s="103" t="str">
        <f aca="false">IF($C7933="","",IFERROR(INDEX(المنيو!$C$2:$C$500,MATCH($C7933,المنيو!$B$2:$B$500,0)),0))</f>
        <v/>
      </c>
      <c r="F7933" s="103" t="str">
        <f aca="false">IF($C7933="","",$D7933*$E7933)</f>
        <v/>
      </c>
      <c r="G7933" s="103" t="str">
        <f aca="false">IF($C7933="","",$D7933*IFERROR(INDEX('تحليل التكلفة والسعر'!$C$2:$C$700,MATCH($C7933,'تحليل التكلفة والسعر'!$B$2:$B$700,0)),0))</f>
        <v/>
      </c>
    </row>
    <row r="7934" customFormat="false" ht="15" hidden="false" customHeight="false" outlineLevel="0" collapsed="false">
      <c r="A7934" s="102"/>
      <c r="E7934" s="103" t="str">
        <f aca="false">IF($C7934="","",IFERROR(INDEX(المنيو!$C$2:$C$500,MATCH($C7934,المنيو!$B$2:$B$500,0)),0))</f>
        <v/>
      </c>
      <c r="F7934" s="103" t="str">
        <f aca="false">IF($C7934="","",$D7934*$E7934)</f>
        <v/>
      </c>
      <c r="G7934" s="103" t="str">
        <f aca="false">IF($C7934="","",$D7934*IFERROR(INDEX('تحليل التكلفة والسعر'!$C$2:$C$700,MATCH($C7934,'تحليل التكلفة والسعر'!$B$2:$B$700,0)),0))</f>
        <v/>
      </c>
    </row>
    <row r="7935" customFormat="false" ht="15" hidden="false" customHeight="false" outlineLevel="0" collapsed="false">
      <c r="A7935" s="102"/>
      <c r="E7935" s="103" t="str">
        <f aca="false">IF($C7935="","",IFERROR(INDEX(المنيو!$C$2:$C$500,MATCH($C7935,المنيو!$B$2:$B$500,0)),0))</f>
        <v/>
      </c>
      <c r="F7935" s="103" t="str">
        <f aca="false">IF($C7935="","",$D7935*$E7935)</f>
        <v/>
      </c>
      <c r="G7935" s="103" t="str">
        <f aca="false">IF($C7935="","",$D7935*IFERROR(INDEX('تحليل التكلفة والسعر'!$C$2:$C$700,MATCH($C7935,'تحليل التكلفة والسعر'!$B$2:$B$700,0)),0))</f>
        <v/>
      </c>
    </row>
    <row r="7936" customFormat="false" ht="15" hidden="false" customHeight="false" outlineLevel="0" collapsed="false">
      <c r="A7936" s="102"/>
      <c r="E7936" s="103" t="str">
        <f aca="false">IF($C7936="","",IFERROR(INDEX(المنيو!$C$2:$C$500,MATCH($C7936,المنيو!$B$2:$B$500,0)),0))</f>
        <v/>
      </c>
      <c r="F7936" s="103" t="str">
        <f aca="false">IF($C7936="","",$D7936*$E7936)</f>
        <v/>
      </c>
      <c r="G7936" s="103" t="str">
        <f aca="false">IF($C7936="","",$D7936*IFERROR(INDEX('تحليل التكلفة والسعر'!$C$2:$C$700,MATCH($C7936,'تحليل التكلفة والسعر'!$B$2:$B$700,0)),0))</f>
        <v/>
      </c>
    </row>
    <row r="7937" customFormat="false" ht="15" hidden="false" customHeight="false" outlineLevel="0" collapsed="false">
      <c r="A7937" s="102"/>
      <c r="E7937" s="103" t="str">
        <f aca="false">IF($C7937="","",IFERROR(INDEX(المنيو!$C$2:$C$500,MATCH($C7937,المنيو!$B$2:$B$500,0)),0))</f>
        <v/>
      </c>
      <c r="F7937" s="103" t="str">
        <f aca="false">IF($C7937="","",$D7937*$E7937)</f>
        <v/>
      </c>
      <c r="G7937" s="103" t="str">
        <f aca="false">IF($C7937="","",$D7937*IFERROR(INDEX('تحليل التكلفة والسعر'!$C$2:$C$700,MATCH($C7937,'تحليل التكلفة والسعر'!$B$2:$B$700,0)),0))</f>
        <v/>
      </c>
    </row>
    <row r="7938" customFormat="false" ht="15" hidden="false" customHeight="false" outlineLevel="0" collapsed="false">
      <c r="A7938" s="102"/>
      <c r="E7938" s="103" t="str">
        <f aca="false">IF($C7938="","",IFERROR(INDEX(المنيو!$C$2:$C$500,MATCH($C7938,المنيو!$B$2:$B$500,0)),0))</f>
        <v/>
      </c>
      <c r="F7938" s="103" t="str">
        <f aca="false">IF($C7938="","",$D7938*$E7938)</f>
        <v/>
      </c>
      <c r="G7938" s="103" t="str">
        <f aca="false">IF($C7938="","",$D7938*IFERROR(INDEX('تحليل التكلفة والسعر'!$C$2:$C$700,MATCH($C7938,'تحليل التكلفة والسعر'!$B$2:$B$700,0)),0))</f>
        <v/>
      </c>
    </row>
    <row r="7939" customFormat="false" ht="15" hidden="false" customHeight="false" outlineLevel="0" collapsed="false">
      <c r="A7939" s="102"/>
      <c r="E7939" s="103" t="str">
        <f aca="false">IF($C7939="","",IFERROR(INDEX(المنيو!$C$2:$C$500,MATCH($C7939,المنيو!$B$2:$B$500,0)),0))</f>
        <v/>
      </c>
      <c r="F7939" s="103" t="str">
        <f aca="false">IF($C7939="","",$D7939*$E7939)</f>
        <v/>
      </c>
      <c r="G7939" s="103" t="str">
        <f aca="false">IF($C7939="","",$D7939*IFERROR(INDEX('تحليل التكلفة والسعر'!$C$2:$C$700,MATCH($C7939,'تحليل التكلفة والسعر'!$B$2:$B$700,0)),0))</f>
        <v/>
      </c>
    </row>
    <row r="7940" customFormat="false" ht="15" hidden="false" customHeight="false" outlineLevel="0" collapsed="false">
      <c r="A7940" s="102"/>
      <c r="E7940" s="103" t="str">
        <f aca="false">IF($C7940="","",IFERROR(INDEX(المنيو!$C$2:$C$500,MATCH($C7940,المنيو!$B$2:$B$500,0)),0))</f>
        <v/>
      </c>
      <c r="F7940" s="103" t="str">
        <f aca="false">IF($C7940="","",$D7940*$E7940)</f>
        <v/>
      </c>
      <c r="G7940" s="103" t="str">
        <f aca="false">IF($C7940="","",$D7940*IFERROR(INDEX('تحليل التكلفة والسعر'!$C$2:$C$700,MATCH($C7940,'تحليل التكلفة والسعر'!$B$2:$B$700,0)),0))</f>
        <v/>
      </c>
    </row>
    <row r="7941" customFormat="false" ht="15" hidden="false" customHeight="false" outlineLevel="0" collapsed="false">
      <c r="A7941" s="102"/>
      <c r="E7941" s="103" t="str">
        <f aca="false">IF($C7941="","",IFERROR(INDEX(المنيو!$C$2:$C$500,MATCH($C7941,المنيو!$B$2:$B$500,0)),0))</f>
        <v/>
      </c>
      <c r="F7941" s="103" t="str">
        <f aca="false">IF($C7941="","",$D7941*$E7941)</f>
        <v/>
      </c>
      <c r="G7941" s="103" t="str">
        <f aca="false">IF($C7941="","",$D7941*IFERROR(INDEX('تحليل التكلفة والسعر'!$C$2:$C$700,MATCH($C7941,'تحليل التكلفة والسعر'!$B$2:$B$700,0)),0))</f>
        <v/>
      </c>
    </row>
    <row r="7942" customFormat="false" ht="15" hidden="false" customHeight="false" outlineLevel="0" collapsed="false">
      <c r="A7942" s="102"/>
      <c r="E7942" s="103" t="str">
        <f aca="false">IF($C7942="","",IFERROR(INDEX(المنيو!$C$2:$C$500,MATCH($C7942,المنيو!$B$2:$B$500,0)),0))</f>
        <v/>
      </c>
      <c r="F7942" s="103" t="str">
        <f aca="false">IF($C7942="","",$D7942*$E7942)</f>
        <v/>
      </c>
      <c r="G7942" s="103" t="str">
        <f aca="false">IF($C7942="","",$D7942*IFERROR(INDEX('تحليل التكلفة والسعر'!$C$2:$C$700,MATCH($C7942,'تحليل التكلفة والسعر'!$B$2:$B$700,0)),0))</f>
        <v/>
      </c>
    </row>
    <row r="7943" customFormat="false" ht="15" hidden="false" customHeight="false" outlineLevel="0" collapsed="false">
      <c r="A7943" s="102"/>
      <c r="E7943" s="103" t="str">
        <f aca="false">IF($C7943="","",IFERROR(INDEX(المنيو!$C$2:$C$500,MATCH($C7943,المنيو!$B$2:$B$500,0)),0))</f>
        <v/>
      </c>
      <c r="F7943" s="103" t="str">
        <f aca="false">IF($C7943="","",$D7943*$E7943)</f>
        <v/>
      </c>
      <c r="G7943" s="103" t="str">
        <f aca="false">IF($C7943="","",$D7943*IFERROR(INDEX('تحليل التكلفة والسعر'!$C$2:$C$700,MATCH($C7943,'تحليل التكلفة والسعر'!$B$2:$B$700,0)),0))</f>
        <v/>
      </c>
    </row>
    <row r="7944" customFormat="false" ht="15" hidden="false" customHeight="false" outlineLevel="0" collapsed="false">
      <c r="A7944" s="102"/>
      <c r="E7944" s="103" t="str">
        <f aca="false">IF($C7944="","",IFERROR(INDEX(المنيو!$C$2:$C$500,MATCH($C7944,المنيو!$B$2:$B$500,0)),0))</f>
        <v/>
      </c>
      <c r="F7944" s="103" t="str">
        <f aca="false">IF($C7944="","",$D7944*$E7944)</f>
        <v/>
      </c>
      <c r="G7944" s="103" t="str">
        <f aca="false">IF($C7944="","",$D7944*IFERROR(INDEX('تحليل التكلفة والسعر'!$C$2:$C$700,MATCH($C7944,'تحليل التكلفة والسعر'!$B$2:$B$700,0)),0))</f>
        <v/>
      </c>
    </row>
    <row r="7945" customFormat="false" ht="15" hidden="false" customHeight="false" outlineLevel="0" collapsed="false">
      <c r="A7945" s="102"/>
      <c r="E7945" s="103" t="str">
        <f aca="false">IF($C7945="","",IFERROR(INDEX(المنيو!$C$2:$C$500,MATCH($C7945,المنيو!$B$2:$B$500,0)),0))</f>
        <v/>
      </c>
      <c r="F7945" s="103" t="str">
        <f aca="false">IF($C7945="","",$D7945*$E7945)</f>
        <v/>
      </c>
      <c r="G7945" s="103" t="str">
        <f aca="false">IF($C7945="","",$D7945*IFERROR(INDEX('تحليل التكلفة والسعر'!$C$2:$C$700,MATCH($C7945,'تحليل التكلفة والسعر'!$B$2:$B$700,0)),0))</f>
        <v/>
      </c>
    </row>
    <row r="7946" customFormat="false" ht="15" hidden="false" customHeight="false" outlineLevel="0" collapsed="false">
      <c r="A7946" s="102"/>
      <c r="E7946" s="103" t="str">
        <f aca="false">IF($C7946="","",IFERROR(INDEX(المنيو!$C$2:$C$500,MATCH($C7946,المنيو!$B$2:$B$500,0)),0))</f>
        <v/>
      </c>
      <c r="F7946" s="103" t="str">
        <f aca="false">IF($C7946="","",$D7946*$E7946)</f>
        <v/>
      </c>
      <c r="G7946" s="103" t="str">
        <f aca="false">IF($C7946="","",$D7946*IFERROR(INDEX('تحليل التكلفة والسعر'!$C$2:$C$700,MATCH($C7946,'تحليل التكلفة والسعر'!$B$2:$B$700,0)),0))</f>
        <v/>
      </c>
    </row>
    <row r="7947" customFormat="false" ht="15" hidden="false" customHeight="false" outlineLevel="0" collapsed="false">
      <c r="A7947" s="102"/>
      <c r="E7947" s="103" t="str">
        <f aca="false">IF($C7947="","",IFERROR(INDEX(المنيو!$C$2:$C$500,MATCH($C7947,المنيو!$B$2:$B$500,0)),0))</f>
        <v/>
      </c>
      <c r="F7947" s="103" t="str">
        <f aca="false">IF($C7947="","",$D7947*$E7947)</f>
        <v/>
      </c>
      <c r="G7947" s="103" t="str">
        <f aca="false">IF($C7947="","",$D7947*IFERROR(INDEX('تحليل التكلفة والسعر'!$C$2:$C$700,MATCH($C7947,'تحليل التكلفة والسعر'!$B$2:$B$700,0)),0))</f>
        <v/>
      </c>
    </row>
    <row r="7948" customFormat="false" ht="15" hidden="false" customHeight="false" outlineLevel="0" collapsed="false">
      <c r="A7948" s="102"/>
      <c r="E7948" s="103" t="str">
        <f aca="false">IF($C7948="","",IFERROR(INDEX(المنيو!$C$2:$C$500,MATCH($C7948,المنيو!$B$2:$B$500,0)),0))</f>
        <v/>
      </c>
      <c r="F7948" s="103" t="str">
        <f aca="false">IF($C7948="","",$D7948*$E7948)</f>
        <v/>
      </c>
      <c r="G7948" s="103" t="str">
        <f aca="false">IF($C7948="","",$D7948*IFERROR(INDEX('تحليل التكلفة والسعر'!$C$2:$C$700,MATCH($C7948,'تحليل التكلفة والسعر'!$B$2:$B$700,0)),0))</f>
        <v/>
      </c>
    </row>
    <row r="7949" customFormat="false" ht="15" hidden="false" customHeight="false" outlineLevel="0" collapsed="false">
      <c r="A7949" s="102"/>
      <c r="E7949" s="103" t="str">
        <f aca="false">IF($C7949="","",IFERROR(INDEX(المنيو!$C$2:$C$500,MATCH($C7949,المنيو!$B$2:$B$500,0)),0))</f>
        <v/>
      </c>
      <c r="F7949" s="103" t="str">
        <f aca="false">IF($C7949="","",$D7949*$E7949)</f>
        <v/>
      </c>
      <c r="G7949" s="103" t="str">
        <f aca="false">IF($C7949="","",$D7949*IFERROR(INDEX('تحليل التكلفة والسعر'!$C$2:$C$700,MATCH($C7949,'تحليل التكلفة والسعر'!$B$2:$B$700,0)),0))</f>
        <v/>
      </c>
    </row>
    <row r="7950" customFormat="false" ht="15" hidden="false" customHeight="false" outlineLevel="0" collapsed="false">
      <c r="A7950" s="102"/>
      <c r="E7950" s="103" t="str">
        <f aca="false">IF($C7950="","",IFERROR(INDEX(المنيو!$C$2:$C$500,MATCH($C7950,المنيو!$B$2:$B$500,0)),0))</f>
        <v/>
      </c>
      <c r="F7950" s="103" t="str">
        <f aca="false">IF($C7950="","",$D7950*$E7950)</f>
        <v/>
      </c>
      <c r="G7950" s="103" t="str">
        <f aca="false">IF($C7950="","",$D7950*IFERROR(INDEX('تحليل التكلفة والسعر'!$C$2:$C$700,MATCH($C7950,'تحليل التكلفة والسعر'!$B$2:$B$700,0)),0))</f>
        <v/>
      </c>
    </row>
    <row r="7951" customFormat="false" ht="15" hidden="false" customHeight="false" outlineLevel="0" collapsed="false">
      <c r="A7951" s="102"/>
      <c r="E7951" s="103" t="str">
        <f aca="false">IF($C7951="","",IFERROR(INDEX(المنيو!$C$2:$C$500,MATCH($C7951,المنيو!$B$2:$B$500,0)),0))</f>
        <v/>
      </c>
      <c r="F7951" s="103" t="str">
        <f aca="false">IF($C7951="","",$D7951*$E7951)</f>
        <v/>
      </c>
      <c r="G7951" s="103" t="str">
        <f aca="false">IF($C7951="","",$D7951*IFERROR(INDEX('تحليل التكلفة والسعر'!$C$2:$C$700,MATCH($C7951,'تحليل التكلفة والسعر'!$B$2:$B$700,0)),0))</f>
        <v/>
      </c>
    </row>
    <row r="7952" customFormat="false" ht="15" hidden="false" customHeight="false" outlineLevel="0" collapsed="false">
      <c r="A7952" s="102"/>
      <c r="E7952" s="103" t="str">
        <f aca="false">IF($C7952="","",IFERROR(INDEX(المنيو!$C$2:$C$500,MATCH($C7952,المنيو!$B$2:$B$500,0)),0))</f>
        <v/>
      </c>
      <c r="F7952" s="103" t="str">
        <f aca="false">IF($C7952="","",$D7952*$E7952)</f>
        <v/>
      </c>
      <c r="G7952" s="103" t="str">
        <f aca="false">IF($C7952="","",$D7952*IFERROR(INDEX('تحليل التكلفة والسعر'!$C$2:$C$700,MATCH($C7952,'تحليل التكلفة والسعر'!$B$2:$B$700,0)),0))</f>
        <v/>
      </c>
    </row>
    <row r="7953" customFormat="false" ht="15" hidden="false" customHeight="false" outlineLevel="0" collapsed="false">
      <c r="A7953" s="102"/>
      <c r="E7953" s="103" t="str">
        <f aca="false">IF($C7953="","",IFERROR(INDEX(المنيو!$C$2:$C$500,MATCH($C7953,المنيو!$B$2:$B$500,0)),0))</f>
        <v/>
      </c>
      <c r="F7953" s="103" t="str">
        <f aca="false">IF($C7953="","",$D7953*$E7953)</f>
        <v/>
      </c>
      <c r="G7953" s="103" t="str">
        <f aca="false">IF($C7953="","",$D7953*IFERROR(INDEX('تحليل التكلفة والسعر'!$C$2:$C$700,MATCH($C7953,'تحليل التكلفة والسعر'!$B$2:$B$700,0)),0))</f>
        <v/>
      </c>
    </row>
    <row r="7954" customFormat="false" ht="15" hidden="false" customHeight="false" outlineLevel="0" collapsed="false">
      <c r="A7954" s="102"/>
      <c r="E7954" s="103" t="str">
        <f aca="false">IF($C7954="","",IFERROR(INDEX(المنيو!$C$2:$C$500,MATCH($C7954,المنيو!$B$2:$B$500,0)),0))</f>
        <v/>
      </c>
      <c r="F7954" s="103" t="str">
        <f aca="false">IF($C7954="","",$D7954*$E7954)</f>
        <v/>
      </c>
      <c r="G7954" s="103" t="str">
        <f aca="false">IF($C7954="","",$D7954*IFERROR(INDEX('تحليل التكلفة والسعر'!$C$2:$C$700,MATCH($C7954,'تحليل التكلفة والسعر'!$B$2:$B$700,0)),0))</f>
        <v/>
      </c>
    </row>
    <row r="7955" customFormat="false" ht="15" hidden="false" customHeight="false" outlineLevel="0" collapsed="false">
      <c r="A7955" s="102"/>
      <c r="E7955" s="103" t="str">
        <f aca="false">IF($C7955="","",IFERROR(INDEX(المنيو!$C$2:$C$500,MATCH($C7955,المنيو!$B$2:$B$500,0)),0))</f>
        <v/>
      </c>
      <c r="F7955" s="103" t="str">
        <f aca="false">IF($C7955="","",$D7955*$E7955)</f>
        <v/>
      </c>
      <c r="G7955" s="103" t="str">
        <f aca="false">IF($C7955="","",$D7955*IFERROR(INDEX('تحليل التكلفة والسعر'!$C$2:$C$700,MATCH($C7955,'تحليل التكلفة والسعر'!$B$2:$B$700,0)),0))</f>
        <v/>
      </c>
    </row>
    <row r="7956" customFormat="false" ht="15" hidden="false" customHeight="false" outlineLevel="0" collapsed="false">
      <c r="A7956" s="102"/>
      <c r="E7956" s="103" t="str">
        <f aca="false">IF($C7956="","",IFERROR(INDEX(المنيو!$C$2:$C$500,MATCH($C7956,المنيو!$B$2:$B$500,0)),0))</f>
        <v/>
      </c>
      <c r="F7956" s="103" t="str">
        <f aca="false">IF($C7956="","",$D7956*$E7956)</f>
        <v/>
      </c>
      <c r="G7956" s="103" t="str">
        <f aca="false">IF($C7956="","",$D7956*IFERROR(INDEX('تحليل التكلفة والسعر'!$C$2:$C$700,MATCH($C7956,'تحليل التكلفة والسعر'!$B$2:$B$700,0)),0))</f>
        <v/>
      </c>
    </row>
    <row r="7957" customFormat="false" ht="15" hidden="false" customHeight="false" outlineLevel="0" collapsed="false">
      <c r="A7957" s="102"/>
      <c r="E7957" s="103" t="str">
        <f aca="false">IF($C7957="","",IFERROR(INDEX(المنيو!$C$2:$C$500,MATCH($C7957,المنيو!$B$2:$B$500,0)),0))</f>
        <v/>
      </c>
      <c r="F7957" s="103" t="str">
        <f aca="false">IF($C7957="","",$D7957*$E7957)</f>
        <v/>
      </c>
      <c r="G7957" s="103" t="str">
        <f aca="false">IF($C7957="","",$D7957*IFERROR(INDEX('تحليل التكلفة والسعر'!$C$2:$C$700,MATCH($C7957,'تحليل التكلفة والسعر'!$B$2:$B$700,0)),0))</f>
        <v/>
      </c>
    </row>
    <row r="7958" customFormat="false" ht="15" hidden="false" customHeight="false" outlineLevel="0" collapsed="false">
      <c r="A7958" s="102"/>
      <c r="E7958" s="103" t="str">
        <f aca="false">IF($C7958="","",IFERROR(INDEX(المنيو!$C$2:$C$500,MATCH($C7958,المنيو!$B$2:$B$500,0)),0))</f>
        <v/>
      </c>
      <c r="F7958" s="103" t="str">
        <f aca="false">IF($C7958="","",$D7958*$E7958)</f>
        <v/>
      </c>
      <c r="G7958" s="103" t="str">
        <f aca="false">IF($C7958="","",$D7958*IFERROR(INDEX('تحليل التكلفة والسعر'!$C$2:$C$700,MATCH($C7958,'تحليل التكلفة والسعر'!$B$2:$B$700,0)),0))</f>
        <v/>
      </c>
    </row>
    <row r="7959" customFormat="false" ht="15" hidden="false" customHeight="false" outlineLevel="0" collapsed="false">
      <c r="A7959" s="102"/>
      <c r="E7959" s="103" t="str">
        <f aca="false">IF($C7959="","",IFERROR(INDEX(المنيو!$C$2:$C$500,MATCH($C7959,المنيو!$B$2:$B$500,0)),0))</f>
        <v/>
      </c>
      <c r="F7959" s="103" t="str">
        <f aca="false">IF($C7959="","",$D7959*$E7959)</f>
        <v/>
      </c>
      <c r="G7959" s="103" t="str">
        <f aca="false">IF($C7959="","",$D7959*IFERROR(INDEX('تحليل التكلفة والسعر'!$C$2:$C$700,MATCH($C7959,'تحليل التكلفة والسعر'!$B$2:$B$700,0)),0))</f>
        <v/>
      </c>
    </row>
    <row r="7960" customFormat="false" ht="15" hidden="false" customHeight="false" outlineLevel="0" collapsed="false">
      <c r="A7960" s="102"/>
      <c r="E7960" s="103" t="str">
        <f aca="false">IF($C7960="","",IFERROR(INDEX(المنيو!$C$2:$C$500,MATCH($C7960,المنيو!$B$2:$B$500,0)),0))</f>
        <v/>
      </c>
      <c r="F7960" s="103" t="str">
        <f aca="false">IF($C7960="","",$D7960*$E7960)</f>
        <v/>
      </c>
      <c r="G7960" s="103" t="str">
        <f aca="false">IF($C7960="","",$D7960*IFERROR(INDEX('تحليل التكلفة والسعر'!$C$2:$C$700,MATCH($C7960,'تحليل التكلفة والسعر'!$B$2:$B$700,0)),0))</f>
        <v/>
      </c>
    </row>
    <row r="7961" customFormat="false" ht="15" hidden="false" customHeight="false" outlineLevel="0" collapsed="false">
      <c r="A7961" s="102"/>
      <c r="E7961" s="103" t="str">
        <f aca="false">IF($C7961="","",IFERROR(INDEX(المنيو!$C$2:$C$500,MATCH($C7961,المنيو!$B$2:$B$500,0)),0))</f>
        <v/>
      </c>
      <c r="F7961" s="103" t="str">
        <f aca="false">IF($C7961="","",$D7961*$E7961)</f>
        <v/>
      </c>
      <c r="G7961" s="103" t="str">
        <f aca="false">IF($C7961="","",$D7961*IFERROR(INDEX('تحليل التكلفة والسعر'!$C$2:$C$700,MATCH($C7961,'تحليل التكلفة والسعر'!$B$2:$B$700,0)),0))</f>
        <v/>
      </c>
    </row>
    <row r="7962" customFormat="false" ht="15" hidden="false" customHeight="false" outlineLevel="0" collapsed="false">
      <c r="A7962" s="102"/>
      <c r="E7962" s="103" t="str">
        <f aca="false">IF($C7962="","",IFERROR(INDEX(المنيو!$C$2:$C$500,MATCH($C7962,المنيو!$B$2:$B$500,0)),0))</f>
        <v/>
      </c>
      <c r="F7962" s="103" t="str">
        <f aca="false">IF($C7962="","",$D7962*$E7962)</f>
        <v/>
      </c>
      <c r="G7962" s="103" t="str">
        <f aca="false">IF($C7962="","",$D7962*IFERROR(INDEX('تحليل التكلفة والسعر'!$C$2:$C$700,MATCH($C7962,'تحليل التكلفة والسعر'!$B$2:$B$700,0)),0))</f>
        <v/>
      </c>
    </row>
    <row r="7963" customFormat="false" ht="15" hidden="false" customHeight="false" outlineLevel="0" collapsed="false">
      <c r="A7963" s="102"/>
      <c r="E7963" s="103" t="str">
        <f aca="false">IF($C7963="","",IFERROR(INDEX(المنيو!$C$2:$C$500,MATCH($C7963,المنيو!$B$2:$B$500,0)),0))</f>
        <v/>
      </c>
      <c r="F7963" s="103" t="str">
        <f aca="false">IF($C7963="","",$D7963*$E7963)</f>
        <v/>
      </c>
      <c r="G7963" s="103" t="str">
        <f aca="false">IF($C7963="","",$D7963*IFERROR(INDEX('تحليل التكلفة والسعر'!$C$2:$C$700,MATCH($C7963,'تحليل التكلفة والسعر'!$B$2:$B$700,0)),0))</f>
        <v/>
      </c>
    </row>
    <row r="7964" customFormat="false" ht="15" hidden="false" customHeight="false" outlineLevel="0" collapsed="false">
      <c r="A7964" s="102"/>
      <c r="E7964" s="103" t="str">
        <f aca="false">IF($C7964="","",IFERROR(INDEX(المنيو!$C$2:$C$500,MATCH($C7964,المنيو!$B$2:$B$500,0)),0))</f>
        <v/>
      </c>
      <c r="F7964" s="103" t="str">
        <f aca="false">IF($C7964="","",$D7964*$E7964)</f>
        <v/>
      </c>
      <c r="G7964" s="103" t="str">
        <f aca="false">IF($C7964="","",$D7964*IFERROR(INDEX('تحليل التكلفة والسعر'!$C$2:$C$700,MATCH($C7964,'تحليل التكلفة والسعر'!$B$2:$B$700,0)),0))</f>
        <v/>
      </c>
    </row>
    <row r="7965" customFormat="false" ht="15" hidden="false" customHeight="false" outlineLevel="0" collapsed="false">
      <c r="A7965" s="102"/>
      <c r="E7965" s="103" t="str">
        <f aca="false">IF($C7965="","",IFERROR(INDEX(المنيو!$C$2:$C$500,MATCH($C7965,المنيو!$B$2:$B$500,0)),0))</f>
        <v/>
      </c>
      <c r="F7965" s="103" t="str">
        <f aca="false">IF($C7965="","",$D7965*$E7965)</f>
        <v/>
      </c>
      <c r="G7965" s="103" t="str">
        <f aca="false">IF($C7965="","",$D7965*IFERROR(INDEX('تحليل التكلفة والسعر'!$C$2:$C$700,MATCH($C7965,'تحليل التكلفة والسعر'!$B$2:$B$700,0)),0))</f>
        <v/>
      </c>
    </row>
    <row r="7966" customFormat="false" ht="15" hidden="false" customHeight="false" outlineLevel="0" collapsed="false">
      <c r="A7966" s="102"/>
      <c r="E7966" s="103" t="str">
        <f aca="false">IF($C7966="","",IFERROR(INDEX(المنيو!$C$2:$C$500,MATCH($C7966,المنيو!$B$2:$B$500,0)),0))</f>
        <v/>
      </c>
      <c r="F7966" s="103" t="str">
        <f aca="false">IF($C7966="","",$D7966*$E7966)</f>
        <v/>
      </c>
      <c r="G7966" s="103" t="str">
        <f aca="false">IF($C7966="","",$D7966*IFERROR(INDEX('تحليل التكلفة والسعر'!$C$2:$C$700,MATCH($C7966,'تحليل التكلفة والسعر'!$B$2:$B$700,0)),0))</f>
        <v/>
      </c>
    </row>
    <row r="7967" customFormat="false" ht="15" hidden="false" customHeight="false" outlineLevel="0" collapsed="false">
      <c r="A7967" s="102"/>
      <c r="E7967" s="103" t="str">
        <f aca="false">IF($C7967="","",IFERROR(INDEX(المنيو!$C$2:$C$500,MATCH($C7967,المنيو!$B$2:$B$500,0)),0))</f>
        <v/>
      </c>
      <c r="F7967" s="103" t="str">
        <f aca="false">IF($C7967="","",$D7967*$E7967)</f>
        <v/>
      </c>
      <c r="G7967" s="103" t="str">
        <f aca="false">IF($C7967="","",$D7967*IFERROR(INDEX('تحليل التكلفة والسعر'!$C$2:$C$700,MATCH($C7967,'تحليل التكلفة والسعر'!$B$2:$B$700,0)),0))</f>
        <v/>
      </c>
    </row>
    <row r="7968" customFormat="false" ht="15" hidden="false" customHeight="false" outlineLevel="0" collapsed="false">
      <c r="A7968" s="102"/>
      <c r="E7968" s="103" t="str">
        <f aca="false">IF($C7968="","",IFERROR(INDEX(المنيو!$C$2:$C$500,MATCH($C7968,المنيو!$B$2:$B$500,0)),0))</f>
        <v/>
      </c>
      <c r="F7968" s="103" t="str">
        <f aca="false">IF($C7968="","",$D7968*$E7968)</f>
        <v/>
      </c>
      <c r="G7968" s="103" t="str">
        <f aca="false">IF($C7968="","",$D7968*IFERROR(INDEX('تحليل التكلفة والسعر'!$C$2:$C$700,MATCH($C7968,'تحليل التكلفة والسعر'!$B$2:$B$700,0)),0))</f>
        <v/>
      </c>
    </row>
    <row r="7969" customFormat="false" ht="15" hidden="false" customHeight="false" outlineLevel="0" collapsed="false">
      <c r="A7969" s="102"/>
      <c r="E7969" s="103" t="str">
        <f aca="false">IF($C7969="","",IFERROR(INDEX(المنيو!$C$2:$C$500,MATCH($C7969,المنيو!$B$2:$B$500,0)),0))</f>
        <v/>
      </c>
      <c r="F7969" s="103" t="str">
        <f aca="false">IF($C7969="","",$D7969*$E7969)</f>
        <v/>
      </c>
      <c r="G7969" s="103" t="str">
        <f aca="false">IF($C7969="","",$D7969*IFERROR(INDEX('تحليل التكلفة والسعر'!$C$2:$C$700,MATCH($C7969,'تحليل التكلفة والسعر'!$B$2:$B$700,0)),0))</f>
        <v/>
      </c>
    </row>
    <row r="7970" customFormat="false" ht="15" hidden="false" customHeight="false" outlineLevel="0" collapsed="false">
      <c r="A7970" s="102"/>
      <c r="E7970" s="103" t="str">
        <f aca="false">IF($C7970="","",IFERROR(INDEX(المنيو!$C$2:$C$500,MATCH($C7970,المنيو!$B$2:$B$500,0)),0))</f>
        <v/>
      </c>
      <c r="F7970" s="103" t="str">
        <f aca="false">IF($C7970="","",$D7970*$E7970)</f>
        <v/>
      </c>
      <c r="G7970" s="103" t="str">
        <f aca="false">IF($C7970="","",$D7970*IFERROR(INDEX('تحليل التكلفة والسعر'!$C$2:$C$700,MATCH($C7970,'تحليل التكلفة والسعر'!$B$2:$B$700,0)),0))</f>
        <v/>
      </c>
    </row>
    <row r="7971" customFormat="false" ht="15" hidden="false" customHeight="false" outlineLevel="0" collapsed="false">
      <c r="A7971" s="102"/>
      <c r="E7971" s="103" t="str">
        <f aca="false">IF($C7971="","",IFERROR(INDEX(المنيو!$C$2:$C$500,MATCH($C7971,المنيو!$B$2:$B$500,0)),0))</f>
        <v/>
      </c>
      <c r="F7971" s="103" t="str">
        <f aca="false">IF($C7971="","",$D7971*$E7971)</f>
        <v/>
      </c>
      <c r="G7971" s="103" t="str">
        <f aca="false">IF($C7971="","",$D7971*IFERROR(INDEX('تحليل التكلفة والسعر'!$C$2:$C$700,MATCH($C7971,'تحليل التكلفة والسعر'!$B$2:$B$700,0)),0))</f>
        <v/>
      </c>
    </row>
    <row r="7972" customFormat="false" ht="15" hidden="false" customHeight="false" outlineLevel="0" collapsed="false">
      <c r="A7972" s="102"/>
      <c r="E7972" s="103" t="str">
        <f aca="false">IF($C7972="","",IFERROR(INDEX(المنيو!$C$2:$C$500,MATCH($C7972,المنيو!$B$2:$B$500,0)),0))</f>
        <v/>
      </c>
      <c r="F7972" s="103" t="str">
        <f aca="false">IF($C7972="","",$D7972*$E7972)</f>
        <v/>
      </c>
      <c r="G7972" s="103" t="str">
        <f aca="false">IF($C7972="","",$D7972*IFERROR(INDEX('تحليل التكلفة والسعر'!$C$2:$C$700,MATCH($C7972,'تحليل التكلفة والسعر'!$B$2:$B$700,0)),0))</f>
        <v/>
      </c>
    </row>
    <row r="7973" customFormat="false" ht="15" hidden="false" customHeight="false" outlineLevel="0" collapsed="false">
      <c r="A7973" s="102"/>
      <c r="E7973" s="103" t="str">
        <f aca="false">IF($C7973="","",IFERROR(INDEX(المنيو!$C$2:$C$500,MATCH($C7973,المنيو!$B$2:$B$500,0)),0))</f>
        <v/>
      </c>
      <c r="F7973" s="103" t="str">
        <f aca="false">IF($C7973="","",$D7973*$E7973)</f>
        <v/>
      </c>
      <c r="G7973" s="103" t="str">
        <f aca="false">IF($C7973="","",$D7973*IFERROR(INDEX('تحليل التكلفة والسعر'!$C$2:$C$700,MATCH($C7973,'تحليل التكلفة والسعر'!$B$2:$B$700,0)),0))</f>
        <v/>
      </c>
    </row>
    <row r="7974" customFormat="false" ht="15" hidden="false" customHeight="false" outlineLevel="0" collapsed="false">
      <c r="A7974" s="102"/>
      <c r="E7974" s="103" t="str">
        <f aca="false">IF($C7974="","",IFERROR(INDEX(المنيو!$C$2:$C$500,MATCH($C7974,المنيو!$B$2:$B$500,0)),0))</f>
        <v/>
      </c>
      <c r="F7974" s="103" t="str">
        <f aca="false">IF($C7974="","",$D7974*$E7974)</f>
        <v/>
      </c>
      <c r="G7974" s="103" t="str">
        <f aca="false">IF($C7974="","",$D7974*IFERROR(INDEX('تحليل التكلفة والسعر'!$C$2:$C$700,MATCH($C7974,'تحليل التكلفة والسعر'!$B$2:$B$700,0)),0))</f>
        <v/>
      </c>
    </row>
    <row r="7975" customFormat="false" ht="15" hidden="false" customHeight="false" outlineLevel="0" collapsed="false">
      <c r="A7975" s="102"/>
      <c r="E7975" s="103" t="str">
        <f aca="false">IF($C7975="","",IFERROR(INDEX(المنيو!$C$2:$C$500,MATCH($C7975,المنيو!$B$2:$B$500,0)),0))</f>
        <v/>
      </c>
      <c r="F7975" s="103" t="str">
        <f aca="false">IF($C7975="","",$D7975*$E7975)</f>
        <v/>
      </c>
      <c r="G7975" s="103" t="str">
        <f aca="false">IF($C7975="","",$D7975*IFERROR(INDEX('تحليل التكلفة والسعر'!$C$2:$C$700,MATCH($C7975,'تحليل التكلفة والسعر'!$B$2:$B$700,0)),0))</f>
        <v/>
      </c>
    </row>
    <row r="7976" customFormat="false" ht="15" hidden="false" customHeight="false" outlineLevel="0" collapsed="false">
      <c r="A7976" s="102"/>
      <c r="E7976" s="103" t="str">
        <f aca="false">IF($C7976="","",IFERROR(INDEX(المنيو!$C$2:$C$500,MATCH($C7976,المنيو!$B$2:$B$500,0)),0))</f>
        <v/>
      </c>
      <c r="F7976" s="103" t="str">
        <f aca="false">IF($C7976="","",$D7976*$E7976)</f>
        <v/>
      </c>
      <c r="G7976" s="103" t="str">
        <f aca="false">IF($C7976="","",$D7976*IFERROR(INDEX('تحليل التكلفة والسعر'!$C$2:$C$700,MATCH($C7976,'تحليل التكلفة والسعر'!$B$2:$B$700,0)),0))</f>
        <v/>
      </c>
    </row>
    <row r="7977" customFormat="false" ht="15" hidden="false" customHeight="false" outlineLevel="0" collapsed="false">
      <c r="A7977" s="102"/>
      <c r="E7977" s="103" t="str">
        <f aca="false">IF($C7977="","",IFERROR(INDEX(المنيو!$C$2:$C$500,MATCH($C7977,المنيو!$B$2:$B$500,0)),0))</f>
        <v/>
      </c>
      <c r="F7977" s="103" t="str">
        <f aca="false">IF($C7977="","",$D7977*$E7977)</f>
        <v/>
      </c>
      <c r="G7977" s="103" t="str">
        <f aca="false">IF($C7977="","",$D7977*IFERROR(INDEX('تحليل التكلفة والسعر'!$C$2:$C$700,MATCH($C7977,'تحليل التكلفة والسعر'!$B$2:$B$700,0)),0))</f>
        <v/>
      </c>
    </row>
    <row r="7978" customFormat="false" ht="15" hidden="false" customHeight="false" outlineLevel="0" collapsed="false">
      <c r="A7978" s="102"/>
      <c r="E7978" s="103" t="str">
        <f aca="false">IF($C7978="","",IFERROR(INDEX(المنيو!$C$2:$C$500,MATCH($C7978,المنيو!$B$2:$B$500,0)),0))</f>
        <v/>
      </c>
      <c r="F7978" s="103" t="str">
        <f aca="false">IF($C7978="","",$D7978*$E7978)</f>
        <v/>
      </c>
      <c r="G7978" s="103" t="str">
        <f aca="false">IF($C7978="","",$D7978*IFERROR(INDEX('تحليل التكلفة والسعر'!$C$2:$C$700,MATCH($C7978,'تحليل التكلفة والسعر'!$B$2:$B$700,0)),0))</f>
        <v/>
      </c>
    </row>
    <row r="7979" customFormat="false" ht="15" hidden="false" customHeight="false" outlineLevel="0" collapsed="false">
      <c r="A7979" s="102"/>
      <c r="E7979" s="103" t="str">
        <f aca="false">IF($C7979="","",IFERROR(INDEX(المنيو!$C$2:$C$500,MATCH($C7979,المنيو!$B$2:$B$500,0)),0))</f>
        <v/>
      </c>
      <c r="F7979" s="103" t="str">
        <f aca="false">IF($C7979="","",$D7979*$E7979)</f>
        <v/>
      </c>
      <c r="G7979" s="103" t="str">
        <f aca="false">IF($C7979="","",$D7979*IFERROR(INDEX('تحليل التكلفة والسعر'!$C$2:$C$700,MATCH($C7979,'تحليل التكلفة والسعر'!$B$2:$B$700,0)),0))</f>
        <v/>
      </c>
    </row>
    <row r="7980" customFormat="false" ht="15" hidden="false" customHeight="false" outlineLevel="0" collapsed="false">
      <c r="A7980" s="102"/>
      <c r="E7980" s="103" t="str">
        <f aca="false">IF($C7980="","",IFERROR(INDEX(المنيو!$C$2:$C$500,MATCH($C7980,المنيو!$B$2:$B$500,0)),0))</f>
        <v/>
      </c>
      <c r="F7980" s="103" t="str">
        <f aca="false">IF($C7980="","",$D7980*$E7980)</f>
        <v/>
      </c>
      <c r="G7980" s="103" t="str">
        <f aca="false">IF($C7980="","",$D7980*IFERROR(INDEX('تحليل التكلفة والسعر'!$C$2:$C$700,MATCH($C7980,'تحليل التكلفة والسعر'!$B$2:$B$700,0)),0))</f>
        <v/>
      </c>
    </row>
    <row r="7981" customFormat="false" ht="15" hidden="false" customHeight="false" outlineLevel="0" collapsed="false">
      <c r="A7981" s="102"/>
      <c r="E7981" s="103" t="str">
        <f aca="false">IF($C7981="","",IFERROR(INDEX(المنيو!$C$2:$C$500,MATCH($C7981,المنيو!$B$2:$B$500,0)),0))</f>
        <v/>
      </c>
      <c r="F7981" s="103" t="str">
        <f aca="false">IF($C7981="","",$D7981*$E7981)</f>
        <v/>
      </c>
      <c r="G7981" s="103" t="str">
        <f aca="false">IF($C7981="","",$D7981*IFERROR(INDEX('تحليل التكلفة والسعر'!$C$2:$C$700,MATCH($C7981,'تحليل التكلفة والسعر'!$B$2:$B$700,0)),0))</f>
        <v/>
      </c>
    </row>
    <row r="7982" customFormat="false" ht="15" hidden="false" customHeight="false" outlineLevel="0" collapsed="false">
      <c r="A7982" s="102"/>
      <c r="E7982" s="103" t="str">
        <f aca="false">IF($C7982="","",IFERROR(INDEX(المنيو!$C$2:$C$500,MATCH($C7982,المنيو!$B$2:$B$500,0)),0))</f>
        <v/>
      </c>
      <c r="F7982" s="103" t="str">
        <f aca="false">IF($C7982="","",$D7982*$E7982)</f>
        <v/>
      </c>
      <c r="G7982" s="103" t="str">
        <f aca="false">IF($C7982="","",$D7982*IFERROR(INDEX('تحليل التكلفة والسعر'!$C$2:$C$700,MATCH($C7982,'تحليل التكلفة والسعر'!$B$2:$B$700,0)),0))</f>
        <v/>
      </c>
    </row>
    <row r="7983" customFormat="false" ht="15" hidden="false" customHeight="false" outlineLevel="0" collapsed="false">
      <c r="A7983" s="102"/>
      <c r="E7983" s="103" t="str">
        <f aca="false">IF($C7983="","",IFERROR(INDEX(المنيو!$C$2:$C$500,MATCH($C7983,المنيو!$B$2:$B$500,0)),0))</f>
        <v/>
      </c>
      <c r="F7983" s="103" t="str">
        <f aca="false">IF($C7983="","",$D7983*$E7983)</f>
        <v/>
      </c>
      <c r="G7983" s="103" t="str">
        <f aca="false">IF($C7983="","",$D7983*IFERROR(INDEX('تحليل التكلفة والسعر'!$C$2:$C$700,MATCH($C7983,'تحليل التكلفة والسعر'!$B$2:$B$700,0)),0))</f>
        <v/>
      </c>
    </row>
    <row r="7984" customFormat="false" ht="15" hidden="false" customHeight="false" outlineLevel="0" collapsed="false">
      <c r="A7984" s="102"/>
      <c r="E7984" s="103" t="str">
        <f aca="false">IF($C7984="","",IFERROR(INDEX(المنيو!$C$2:$C$500,MATCH($C7984,المنيو!$B$2:$B$500,0)),0))</f>
        <v/>
      </c>
      <c r="F7984" s="103" t="str">
        <f aca="false">IF($C7984="","",$D7984*$E7984)</f>
        <v/>
      </c>
      <c r="G7984" s="103" t="str">
        <f aca="false">IF($C7984="","",$D7984*IFERROR(INDEX('تحليل التكلفة والسعر'!$C$2:$C$700,MATCH($C7984,'تحليل التكلفة والسعر'!$B$2:$B$700,0)),0))</f>
        <v/>
      </c>
    </row>
    <row r="7985" customFormat="false" ht="15" hidden="false" customHeight="false" outlineLevel="0" collapsed="false">
      <c r="A7985" s="102"/>
      <c r="E7985" s="103" t="str">
        <f aca="false">IF($C7985="","",IFERROR(INDEX(المنيو!$C$2:$C$500,MATCH($C7985,المنيو!$B$2:$B$500,0)),0))</f>
        <v/>
      </c>
      <c r="F7985" s="103" t="str">
        <f aca="false">IF($C7985="","",$D7985*$E7985)</f>
        <v/>
      </c>
      <c r="G7985" s="103" t="str">
        <f aca="false">IF($C7985="","",$D7985*IFERROR(INDEX('تحليل التكلفة والسعر'!$C$2:$C$700,MATCH($C7985,'تحليل التكلفة والسعر'!$B$2:$B$700,0)),0))</f>
        <v/>
      </c>
    </row>
    <row r="7986" customFormat="false" ht="15" hidden="false" customHeight="false" outlineLevel="0" collapsed="false">
      <c r="A7986" s="102"/>
      <c r="E7986" s="103" t="str">
        <f aca="false">IF($C7986="","",IFERROR(INDEX(المنيو!$C$2:$C$500,MATCH($C7986,المنيو!$B$2:$B$500,0)),0))</f>
        <v/>
      </c>
      <c r="F7986" s="103" t="str">
        <f aca="false">IF($C7986="","",$D7986*$E7986)</f>
        <v/>
      </c>
      <c r="G7986" s="103" t="str">
        <f aca="false">IF($C7986="","",$D7986*IFERROR(INDEX('تحليل التكلفة والسعر'!$C$2:$C$700,MATCH($C7986,'تحليل التكلفة والسعر'!$B$2:$B$700,0)),0))</f>
        <v/>
      </c>
    </row>
    <row r="7987" customFormat="false" ht="15" hidden="false" customHeight="false" outlineLevel="0" collapsed="false">
      <c r="A7987" s="102"/>
      <c r="E7987" s="103" t="str">
        <f aca="false">IF($C7987="","",IFERROR(INDEX(المنيو!$C$2:$C$500,MATCH($C7987,المنيو!$B$2:$B$500,0)),0))</f>
        <v/>
      </c>
      <c r="F7987" s="103" t="str">
        <f aca="false">IF($C7987="","",$D7987*$E7987)</f>
        <v/>
      </c>
      <c r="G7987" s="103" t="str">
        <f aca="false">IF($C7987="","",$D7987*IFERROR(INDEX('تحليل التكلفة والسعر'!$C$2:$C$700,MATCH($C7987,'تحليل التكلفة والسعر'!$B$2:$B$700,0)),0))</f>
        <v/>
      </c>
    </row>
    <row r="7988" customFormat="false" ht="15" hidden="false" customHeight="false" outlineLevel="0" collapsed="false">
      <c r="A7988" s="102"/>
      <c r="E7988" s="103" t="str">
        <f aca="false">IF($C7988="","",IFERROR(INDEX(المنيو!$C$2:$C$500,MATCH($C7988,المنيو!$B$2:$B$500,0)),0))</f>
        <v/>
      </c>
      <c r="F7988" s="103" t="str">
        <f aca="false">IF($C7988="","",$D7988*$E7988)</f>
        <v/>
      </c>
      <c r="G7988" s="103" t="str">
        <f aca="false">IF($C7988="","",$D7988*IFERROR(INDEX('تحليل التكلفة والسعر'!$C$2:$C$700,MATCH($C7988,'تحليل التكلفة والسعر'!$B$2:$B$700,0)),0))</f>
        <v/>
      </c>
    </row>
    <row r="7989" customFormat="false" ht="15" hidden="false" customHeight="false" outlineLevel="0" collapsed="false">
      <c r="A7989" s="102"/>
      <c r="E7989" s="103" t="str">
        <f aca="false">IF($C7989="","",IFERROR(INDEX(المنيو!$C$2:$C$500,MATCH($C7989,المنيو!$B$2:$B$500,0)),0))</f>
        <v/>
      </c>
      <c r="F7989" s="103" t="str">
        <f aca="false">IF($C7989="","",$D7989*$E7989)</f>
        <v/>
      </c>
      <c r="G7989" s="103" t="str">
        <f aca="false">IF($C7989="","",$D7989*IFERROR(INDEX('تحليل التكلفة والسعر'!$C$2:$C$700,MATCH($C7989,'تحليل التكلفة والسعر'!$B$2:$B$700,0)),0))</f>
        <v/>
      </c>
    </row>
    <row r="7990" customFormat="false" ht="15" hidden="false" customHeight="false" outlineLevel="0" collapsed="false">
      <c r="A7990" s="102"/>
      <c r="E7990" s="103" t="str">
        <f aca="false">IF($C7990="","",IFERROR(INDEX(المنيو!$C$2:$C$500,MATCH($C7990,المنيو!$B$2:$B$500,0)),0))</f>
        <v/>
      </c>
      <c r="F7990" s="103" t="str">
        <f aca="false">IF($C7990="","",$D7990*$E7990)</f>
        <v/>
      </c>
      <c r="G7990" s="103" t="str">
        <f aca="false">IF($C7990="","",$D7990*IFERROR(INDEX('تحليل التكلفة والسعر'!$C$2:$C$700,MATCH($C7990,'تحليل التكلفة والسعر'!$B$2:$B$700,0)),0))</f>
        <v/>
      </c>
    </row>
    <row r="7991" customFormat="false" ht="15" hidden="false" customHeight="false" outlineLevel="0" collapsed="false">
      <c r="A7991" s="102"/>
      <c r="E7991" s="103" t="str">
        <f aca="false">IF($C7991="","",IFERROR(INDEX(المنيو!$C$2:$C$500,MATCH($C7991,المنيو!$B$2:$B$500,0)),0))</f>
        <v/>
      </c>
      <c r="F7991" s="103" t="str">
        <f aca="false">IF($C7991="","",$D7991*$E7991)</f>
        <v/>
      </c>
      <c r="G7991" s="103" t="str">
        <f aca="false">IF($C7991="","",$D7991*IFERROR(INDEX('تحليل التكلفة والسعر'!$C$2:$C$700,MATCH($C7991,'تحليل التكلفة والسعر'!$B$2:$B$700,0)),0))</f>
        <v/>
      </c>
    </row>
    <row r="7992" customFormat="false" ht="15" hidden="false" customHeight="false" outlineLevel="0" collapsed="false">
      <c r="A7992" s="102"/>
      <c r="E7992" s="103" t="str">
        <f aca="false">IF($C7992="","",IFERROR(INDEX(المنيو!$C$2:$C$500,MATCH($C7992,المنيو!$B$2:$B$500,0)),0))</f>
        <v/>
      </c>
      <c r="F7992" s="103" t="str">
        <f aca="false">IF($C7992="","",$D7992*$E7992)</f>
        <v/>
      </c>
      <c r="G7992" s="103" t="str">
        <f aca="false">IF($C7992="","",$D7992*IFERROR(INDEX('تحليل التكلفة والسعر'!$C$2:$C$700,MATCH($C7992,'تحليل التكلفة والسعر'!$B$2:$B$700,0)),0))</f>
        <v/>
      </c>
    </row>
    <row r="7993" customFormat="false" ht="15" hidden="false" customHeight="false" outlineLevel="0" collapsed="false">
      <c r="A7993" s="102"/>
      <c r="E7993" s="103" t="str">
        <f aca="false">IF($C7993="","",IFERROR(INDEX(المنيو!$C$2:$C$500,MATCH($C7993,المنيو!$B$2:$B$500,0)),0))</f>
        <v/>
      </c>
      <c r="F7993" s="103" t="str">
        <f aca="false">IF($C7993="","",$D7993*$E7993)</f>
        <v/>
      </c>
      <c r="G7993" s="103" t="str">
        <f aca="false">IF($C7993="","",$D7993*IFERROR(INDEX('تحليل التكلفة والسعر'!$C$2:$C$700,MATCH($C7993,'تحليل التكلفة والسعر'!$B$2:$B$700,0)),0))</f>
        <v/>
      </c>
    </row>
    <row r="7994" customFormat="false" ht="15" hidden="false" customHeight="false" outlineLevel="0" collapsed="false">
      <c r="A7994" s="102"/>
      <c r="E7994" s="103" t="str">
        <f aca="false">IF($C7994="","",IFERROR(INDEX(المنيو!$C$2:$C$500,MATCH($C7994,المنيو!$B$2:$B$500,0)),0))</f>
        <v/>
      </c>
      <c r="F7994" s="103" t="str">
        <f aca="false">IF($C7994="","",$D7994*$E7994)</f>
        <v/>
      </c>
      <c r="G7994" s="103" t="str">
        <f aca="false">IF($C7994="","",$D7994*IFERROR(INDEX('تحليل التكلفة والسعر'!$C$2:$C$700,MATCH($C7994,'تحليل التكلفة والسعر'!$B$2:$B$700,0)),0))</f>
        <v/>
      </c>
    </row>
    <row r="7995" customFormat="false" ht="15" hidden="false" customHeight="false" outlineLevel="0" collapsed="false">
      <c r="A7995" s="102"/>
      <c r="E7995" s="103" t="str">
        <f aca="false">IF($C7995="","",IFERROR(INDEX(المنيو!$C$2:$C$500,MATCH($C7995,المنيو!$B$2:$B$500,0)),0))</f>
        <v/>
      </c>
      <c r="F7995" s="103" t="str">
        <f aca="false">IF($C7995="","",$D7995*$E7995)</f>
        <v/>
      </c>
      <c r="G7995" s="103" t="str">
        <f aca="false">IF($C7995="","",$D7995*IFERROR(INDEX('تحليل التكلفة والسعر'!$C$2:$C$700,MATCH($C7995,'تحليل التكلفة والسعر'!$B$2:$B$700,0)),0))</f>
        <v/>
      </c>
    </row>
    <row r="7996" customFormat="false" ht="15" hidden="false" customHeight="false" outlineLevel="0" collapsed="false">
      <c r="A7996" s="102"/>
      <c r="E7996" s="103" t="str">
        <f aca="false">IF($C7996="","",IFERROR(INDEX(المنيو!$C$2:$C$500,MATCH($C7996,المنيو!$B$2:$B$500,0)),0))</f>
        <v/>
      </c>
      <c r="F7996" s="103" t="str">
        <f aca="false">IF($C7996="","",$D7996*$E7996)</f>
        <v/>
      </c>
      <c r="G7996" s="103" t="str">
        <f aca="false">IF($C7996="","",$D7996*IFERROR(INDEX('تحليل التكلفة والسعر'!$C$2:$C$700,MATCH($C7996,'تحليل التكلفة والسعر'!$B$2:$B$700,0)),0))</f>
        <v/>
      </c>
    </row>
    <row r="7997" customFormat="false" ht="15" hidden="false" customHeight="false" outlineLevel="0" collapsed="false">
      <c r="A7997" s="102"/>
      <c r="E7997" s="103" t="str">
        <f aca="false">IF($C7997="","",IFERROR(INDEX(المنيو!$C$2:$C$500,MATCH($C7997,المنيو!$B$2:$B$500,0)),0))</f>
        <v/>
      </c>
      <c r="F7997" s="103" t="str">
        <f aca="false">IF($C7997="","",$D7997*$E7997)</f>
        <v/>
      </c>
      <c r="G7997" s="103" t="str">
        <f aca="false">IF($C7997="","",$D7997*IFERROR(INDEX('تحليل التكلفة والسعر'!$C$2:$C$700,MATCH($C7997,'تحليل التكلفة والسعر'!$B$2:$B$700,0)),0))</f>
        <v/>
      </c>
    </row>
    <row r="7998" customFormat="false" ht="15" hidden="false" customHeight="false" outlineLevel="0" collapsed="false">
      <c r="A7998" s="102"/>
      <c r="E7998" s="103" t="str">
        <f aca="false">IF($C7998="","",IFERROR(INDEX(المنيو!$C$2:$C$500,MATCH($C7998,المنيو!$B$2:$B$500,0)),0))</f>
        <v/>
      </c>
      <c r="F7998" s="103" t="str">
        <f aca="false">IF($C7998="","",$D7998*$E7998)</f>
        <v/>
      </c>
      <c r="G7998" s="103" t="str">
        <f aca="false">IF($C7998="","",$D7998*IFERROR(INDEX('تحليل التكلفة والسعر'!$C$2:$C$700,MATCH($C7998,'تحليل التكلفة والسعر'!$B$2:$B$700,0)),0))</f>
        <v/>
      </c>
    </row>
    <row r="7999" customFormat="false" ht="15" hidden="false" customHeight="false" outlineLevel="0" collapsed="false">
      <c r="A7999" s="102"/>
      <c r="E7999" s="103" t="str">
        <f aca="false">IF($C7999="","",IFERROR(INDEX(المنيو!$C$2:$C$500,MATCH($C7999,المنيو!$B$2:$B$500,0)),0))</f>
        <v/>
      </c>
      <c r="F7999" s="103" t="str">
        <f aca="false">IF($C7999="","",$D7999*$E7999)</f>
        <v/>
      </c>
      <c r="G7999" s="103" t="str">
        <f aca="false">IF($C7999="","",$D7999*IFERROR(INDEX('تحليل التكلفة والسعر'!$C$2:$C$700,MATCH($C7999,'تحليل التكلفة والسعر'!$B$2:$B$700,0)),0))</f>
        <v/>
      </c>
    </row>
    <row r="8000" customFormat="false" ht="15" hidden="false" customHeight="false" outlineLevel="0" collapsed="false">
      <c r="A8000" s="102"/>
      <c r="E8000" s="103" t="str">
        <f aca="false">IF($C8000="","",IFERROR(INDEX(المنيو!$C$2:$C$500,MATCH($C8000,المنيو!$B$2:$B$500,0)),0))</f>
        <v/>
      </c>
      <c r="F8000" s="103" t="str">
        <f aca="false">IF($C8000="","",$D8000*$E8000)</f>
        <v/>
      </c>
      <c r="G8000" s="103" t="str">
        <f aca="false">IF($C8000="","",$D8000*IFERROR(INDEX('تحليل التكلفة والسعر'!$C$2:$C$700,MATCH($C8000,'تحليل التكلفة والسعر'!$B$2:$B$700,0)),0))</f>
        <v/>
      </c>
    </row>
    <row r="8001" customFormat="false" ht="15" hidden="false" customHeight="false" outlineLevel="0" collapsed="false">
      <c r="A8001" s="102"/>
      <c r="E8001" s="103" t="str">
        <f aca="false">IF($C8001="","",IFERROR(INDEX(المنيو!$C$2:$C$500,MATCH($C8001,المنيو!$B$2:$B$500,0)),0))</f>
        <v/>
      </c>
      <c r="F8001" s="103" t="str">
        <f aca="false">IF($C8001="","",$D8001*$E8001)</f>
        <v/>
      </c>
      <c r="G8001" s="103" t="str">
        <f aca="false">IF($C8001="","",$D8001*IFERROR(INDEX('تحليل التكلفة والسعر'!$C$2:$C$700,MATCH($C8001,'تحليل التكلفة والسعر'!$B$2:$B$700,0)),0))</f>
        <v/>
      </c>
    </row>
  </sheetData>
  <dataValidations count="2">
    <dataValidation allowBlank="true" errorStyle="stop" operator="between" showDropDown="false" showErrorMessage="false" showInputMessage="false" sqref="B2:B8001" type="list">
      <formula1>'إعدادات المخزون'!$A$15:$A$18</formula1>
      <formula2>0</formula2>
    </dataValidation>
    <dataValidation allowBlank="true" errorStyle="stop" operator="between" showDropDown="false" showErrorMessage="false" showInputMessage="false" sqref="C2:C8001" type="list">
      <formula1>المنيو!$B$2:$B$172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581</v>
      </c>
      <c r="C1" s="18" t="s">
        <v>59</v>
      </c>
      <c r="D1" s="18" t="s">
        <v>694</v>
      </c>
      <c r="E1" s="18" t="s">
        <v>695</v>
      </c>
      <c r="F1" s="18" t="s">
        <v>696</v>
      </c>
      <c r="G1" s="18" t="s">
        <v>641</v>
      </c>
      <c r="H1" s="18" t="s">
        <v>697</v>
      </c>
    </row>
    <row r="2" customFormat="false" ht="15" hidden="false" customHeight="false" outlineLevel="0" collapsed="false">
      <c r="A2" s="102" t="n">
        <v>46296</v>
      </c>
      <c r="B2" s="104" t="s">
        <v>32</v>
      </c>
      <c r="C2" s="104" t="s">
        <v>122</v>
      </c>
      <c r="D2" s="105" t="n">
        <v>100</v>
      </c>
      <c r="E2" s="105" t="n">
        <v>330</v>
      </c>
      <c r="F2" s="103" t="n">
        <f aca="false">IF(OR($C2="",$D2=0),"",$E2/$D2)</f>
        <v>3.3</v>
      </c>
      <c r="G2" s="104" t="s">
        <v>698</v>
      </c>
      <c r="H2" s="0" t="str">
        <f aca="false">IF($C2="","",IF(COUNTIF('مواد المخزون'!$A$2:$A$86,$C2)&gt;0,"نعم","لا (خارج الجرد)"))</f>
        <v>نعم</v>
      </c>
    </row>
    <row r="3" customFormat="false" ht="15" hidden="false" customHeight="false" outlineLevel="0" collapsed="false">
      <c r="A3" s="102" t="n">
        <v>46296</v>
      </c>
      <c r="B3" s="104" t="s">
        <v>32</v>
      </c>
      <c r="C3" s="104" t="s">
        <v>125</v>
      </c>
      <c r="D3" s="105" t="n">
        <v>600</v>
      </c>
      <c r="E3" s="105" t="n">
        <v>480</v>
      </c>
      <c r="F3" s="103" t="n">
        <f aca="false">IF(OR($C3="",$D3=0),"",$E3/$D3)</f>
        <v>0.8</v>
      </c>
      <c r="G3" s="104" t="s">
        <v>698</v>
      </c>
      <c r="H3" s="0" t="str">
        <f aca="false">IF($C3="","",IF(COUNTIF('مواد المخزون'!$A$2:$A$86,$C3)&gt;0,"نعم","لا (خارج الجرد)"))</f>
        <v>نعم</v>
      </c>
    </row>
    <row r="4" customFormat="false" ht="15" hidden="false" customHeight="false" outlineLevel="0" collapsed="false">
      <c r="A4" s="102" t="n">
        <v>46296</v>
      </c>
      <c r="B4" s="104" t="s">
        <v>32</v>
      </c>
      <c r="C4" s="104" t="s">
        <v>127</v>
      </c>
      <c r="D4" s="105" t="n">
        <v>100</v>
      </c>
      <c r="E4" s="105" t="n">
        <v>50</v>
      </c>
      <c r="F4" s="103" t="n">
        <f aca="false">IF(OR($C4="",$D4=0),"",$E4/$D4)</f>
        <v>0.5</v>
      </c>
      <c r="G4" s="104" t="s">
        <v>698</v>
      </c>
      <c r="H4" s="0" t="str">
        <f aca="false">IF($C4="","",IF(COUNTIF('مواد المخزون'!$A$2:$A$86,$C4)&gt;0,"نعم","لا (خارج الجرد)"))</f>
        <v>لا (خارج الجرد)</v>
      </c>
    </row>
    <row r="5" customFormat="false" ht="15" hidden="false" customHeight="false" outlineLevel="0" collapsed="false">
      <c r="A5" s="102" t="n">
        <v>46296</v>
      </c>
      <c r="B5" s="104" t="s">
        <v>32</v>
      </c>
      <c r="C5" s="104" t="s">
        <v>129</v>
      </c>
      <c r="D5" s="105" t="n">
        <v>0.5</v>
      </c>
      <c r="E5" s="105" t="n">
        <v>75</v>
      </c>
      <c r="F5" s="103" t="n">
        <f aca="false">IF(OR($C5="",$D5=0),"",$E5/$D5)</f>
        <v>150</v>
      </c>
      <c r="G5" s="104" t="s">
        <v>698</v>
      </c>
      <c r="H5" s="0" t="str">
        <f aca="false">IF($C5="","",IF(COUNTIF('مواد المخزون'!$A$2:$A$86,$C5)&gt;0,"نعم","لا (خارج الجرد)"))</f>
        <v>لا (خارج الجرد)</v>
      </c>
    </row>
    <row r="6" customFormat="false" ht="15" hidden="false" customHeight="false" outlineLevel="0" collapsed="false">
      <c r="A6" s="102" t="n">
        <v>46296</v>
      </c>
      <c r="B6" s="104" t="s">
        <v>32</v>
      </c>
      <c r="C6" s="104" t="s">
        <v>131</v>
      </c>
      <c r="D6" s="105" t="n">
        <v>4</v>
      </c>
      <c r="E6" s="105" t="n">
        <v>320</v>
      </c>
      <c r="F6" s="103" t="n">
        <f aca="false">IF(OR($C6="",$D6=0),"",$E6/$D6)</f>
        <v>80</v>
      </c>
      <c r="G6" s="104" t="s">
        <v>698</v>
      </c>
      <c r="H6" s="0" t="str">
        <f aca="false">IF($C6="","",IF(COUNTIF('مواد المخزون'!$A$2:$A$86,$C6)&gt;0,"نعم","لا (خارج الجرد)"))</f>
        <v>لا (خارج الجرد)</v>
      </c>
    </row>
    <row r="7" customFormat="false" ht="15" hidden="false" customHeight="false" outlineLevel="0" collapsed="false">
      <c r="A7" s="102" t="n">
        <v>46296</v>
      </c>
      <c r="B7" s="104" t="s">
        <v>32</v>
      </c>
      <c r="C7" s="104" t="s">
        <v>322</v>
      </c>
      <c r="D7" s="105" t="n">
        <v>2.5</v>
      </c>
      <c r="E7" s="105" t="n">
        <v>500</v>
      </c>
      <c r="F7" s="103" t="n">
        <f aca="false">IF(OR($C7="",$D7=0),"",$E7/$D7)</f>
        <v>200</v>
      </c>
      <c r="G7" s="104" t="s">
        <v>698</v>
      </c>
      <c r="H7" s="0" t="str">
        <f aca="false">IF($C7="","",IF(COUNTIF('مواد المخزون'!$A$2:$A$86,$C7)&gt;0,"نعم","لا (خارج الجرد)"))</f>
        <v>نعم</v>
      </c>
    </row>
    <row r="8" customFormat="false" ht="15" hidden="false" customHeight="false" outlineLevel="0" collapsed="false">
      <c r="A8" s="102" t="n">
        <v>46296</v>
      </c>
      <c r="B8" s="104" t="s">
        <v>32</v>
      </c>
      <c r="C8" s="104" t="s">
        <v>133</v>
      </c>
      <c r="D8" s="105" t="n">
        <v>25</v>
      </c>
      <c r="E8" s="105" t="n">
        <v>1750</v>
      </c>
      <c r="F8" s="103" t="n">
        <f aca="false">IF(OR($C8="",$D8=0),"",$E8/$D8)</f>
        <v>70</v>
      </c>
      <c r="G8" s="104" t="s">
        <v>698</v>
      </c>
      <c r="H8" s="0" t="str">
        <f aca="false">IF($C8="","",IF(COUNTIF('مواد المخزون'!$A$2:$A$86,$C8)&gt;0,"نعم","لا (خارج الجرد)"))</f>
        <v>نعم</v>
      </c>
    </row>
    <row r="9" customFormat="false" ht="15" hidden="false" customHeight="false" outlineLevel="0" collapsed="false">
      <c r="A9" s="102" t="n">
        <v>46296</v>
      </c>
      <c r="B9" s="104" t="s">
        <v>32</v>
      </c>
      <c r="C9" s="104" t="s">
        <v>136</v>
      </c>
      <c r="D9" s="105" t="n">
        <v>32</v>
      </c>
      <c r="E9" s="105" t="n">
        <v>2240</v>
      </c>
      <c r="F9" s="103" t="n">
        <f aca="false">IF(OR($C9="",$D9=0),"",$E9/$D9)</f>
        <v>70</v>
      </c>
      <c r="G9" s="104" t="s">
        <v>698</v>
      </c>
      <c r="H9" s="0" t="str">
        <f aca="false">IF($C9="","",IF(COUNTIF('مواد المخزون'!$A$2:$A$86,$C9)&gt;0,"نعم","لا (خارج الجرد)"))</f>
        <v>نعم</v>
      </c>
    </row>
    <row r="10" customFormat="false" ht="15" hidden="false" customHeight="false" outlineLevel="0" collapsed="false">
      <c r="A10" s="102" t="n">
        <v>46296</v>
      </c>
      <c r="B10" s="104" t="s">
        <v>32</v>
      </c>
      <c r="C10" s="104" t="s">
        <v>138</v>
      </c>
      <c r="D10" s="105" t="n">
        <v>1</v>
      </c>
      <c r="E10" s="105" t="n">
        <v>60</v>
      </c>
      <c r="F10" s="103" t="n">
        <f aca="false">IF(OR($C10="",$D10=0),"",$E10/$D10)</f>
        <v>60</v>
      </c>
      <c r="G10" s="104" t="s">
        <v>698</v>
      </c>
      <c r="H10" s="0" t="str">
        <f aca="false">IF($C10="","",IF(COUNTIF('مواد المخزون'!$A$2:$A$86,$C10)&gt;0,"نعم","لا (خارج الجرد)"))</f>
        <v>لا (خارج الجرد)</v>
      </c>
    </row>
    <row r="11" customFormat="false" ht="15" hidden="false" customHeight="false" outlineLevel="0" collapsed="false">
      <c r="A11" s="102" t="n">
        <v>46296</v>
      </c>
      <c r="B11" s="104" t="s">
        <v>32</v>
      </c>
      <c r="C11" s="104" t="s">
        <v>699</v>
      </c>
      <c r="D11" s="105" t="n">
        <v>165</v>
      </c>
      <c r="E11" s="105" t="n">
        <v>2970</v>
      </c>
      <c r="F11" s="103" t="n">
        <f aca="false">IF(OR($C11="",$D11=0),"",$E11/$D11)</f>
        <v>18</v>
      </c>
      <c r="G11" s="104" t="s">
        <v>698</v>
      </c>
      <c r="H11" s="0" t="str">
        <f aca="false">IF($C11="","",IF(COUNTIF('مواد المخزون'!$A$2:$A$86,$C11)&gt;0,"نعم","لا (خارج الجرد)"))</f>
        <v>نعم</v>
      </c>
    </row>
    <row r="12" customFormat="false" ht="15" hidden="false" customHeight="false" outlineLevel="0" collapsed="false">
      <c r="A12" s="102" t="n">
        <v>46296</v>
      </c>
      <c r="B12" s="104" t="s">
        <v>32</v>
      </c>
      <c r="C12" s="104" t="s">
        <v>142</v>
      </c>
      <c r="D12" s="105" t="n">
        <v>520</v>
      </c>
      <c r="E12" s="105" t="n">
        <v>18200</v>
      </c>
      <c r="F12" s="103" t="n">
        <f aca="false">IF(OR($C12="",$D12=0),"",$E12/$D12)</f>
        <v>35</v>
      </c>
      <c r="G12" s="104" t="s">
        <v>698</v>
      </c>
      <c r="H12" s="0" t="str">
        <f aca="false">IF($C12="","",IF(COUNTIF('مواد المخزون'!$A$2:$A$86,$C12)&gt;0,"نعم","لا (خارج الجرد)"))</f>
        <v>نعم</v>
      </c>
    </row>
    <row r="13" customFormat="false" ht="15" hidden="false" customHeight="false" outlineLevel="0" collapsed="false">
      <c r="A13" s="102" t="n">
        <v>46296</v>
      </c>
      <c r="B13" s="104" t="s">
        <v>32</v>
      </c>
      <c r="C13" s="104" t="s">
        <v>144</v>
      </c>
      <c r="D13" s="105" t="n">
        <v>60</v>
      </c>
      <c r="E13" s="105" t="n">
        <v>2760</v>
      </c>
      <c r="F13" s="103" t="n">
        <f aca="false">IF(OR($C13="",$D13=0),"",$E13/$D13)</f>
        <v>46</v>
      </c>
      <c r="G13" s="104" t="s">
        <v>698</v>
      </c>
      <c r="H13" s="0" t="str">
        <f aca="false">IF($C13="","",IF(COUNTIF('مواد المخزون'!$A$2:$A$86,$C13)&gt;0,"نعم","لا (خارج الجرد)"))</f>
        <v>نعم</v>
      </c>
    </row>
    <row r="14" customFormat="false" ht="15" hidden="false" customHeight="false" outlineLevel="0" collapsed="false">
      <c r="A14" s="102" t="n">
        <v>46296</v>
      </c>
      <c r="B14" s="104" t="s">
        <v>32</v>
      </c>
      <c r="C14" s="104" t="s">
        <v>146</v>
      </c>
      <c r="D14" s="105" t="n">
        <v>100</v>
      </c>
      <c r="E14" s="105" t="n">
        <v>565</v>
      </c>
      <c r="F14" s="103" t="n">
        <f aca="false">IF(OR($C14="",$D14=0),"",$E14/$D14)</f>
        <v>5.65</v>
      </c>
      <c r="G14" s="104" t="s">
        <v>698</v>
      </c>
      <c r="H14" s="0" t="str">
        <f aca="false">IF($C14="","",IF(COUNTIF('مواد المخزون'!$A$2:$A$86,$C14)&gt;0,"نعم","لا (خارج الجرد)"))</f>
        <v>نعم</v>
      </c>
    </row>
    <row r="15" customFormat="false" ht="15" hidden="false" customHeight="false" outlineLevel="0" collapsed="false">
      <c r="A15" s="102" t="n">
        <v>46296</v>
      </c>
      <c r="B15" s="104" t="s">
        <v>32</v>
      </c>
      <c r="C15" s="104" t="s">
        <v>148</v>
      </c>
      <c r="D15" s="105" t="n">
        <v>570</v>
      </c>
      <c r="E15" s="105" t="n">
        <v>5130</v>
      </c>
      <c r="F15" s="103" t="n">
        <f aca="false">IF(OR($C15="",$D15=0),"",$E15/$D15)</f>
        <v>9</v>
      </c>
      <c r="G15" s="104" t="s">
        <v>698</v>
      </c>
      <c r="H15" s="0" t="str">
        <f aca="false">IF($C15="","",IF(COUNTIF('مواد المخزون'!$A$2:$A$86,$C15)&gt;0,"نعم","لا (خارج الجرد)"))</f>
        <v>نعم</v>
      </c>
    </row>
    <row r="16" customFormat="false" ht="15" hidden="false" customHeight="false" outlineLevel="0" collapsed="false">
      <c r="A16" s="102" t="n">
        <v>46296</v>
      </c>
      <c r="B16" s="104" t="s">
        <v>32</v>
      </c>
      <c r="C16" s="104" t="s">
        <v>150</v>
      </c>
      <c r="D16" s="105" t="n">
        <v>30</v>
      </c>
      <c r="E16" s="105" t="n">
        <v>2850</v>
      </c>
      <c r="F16" s="103" t="n">
        <f aca="false">IF(OR($C16="",$D16=0),"",$E16/$D16)</f>
        <v>95</v>
      </c>
      <c r="G16" s="104" t="s">
        <v>698</v>
      </c>
      <c r="H16" s="0" t="str">
        <f aca="false">IF($C16="","",IF(COUNTIF('مواد المخزون'!$A$2:$A$86,$C16)&gt;0,"نعم","لا (خارج الجرد)"))</f>
        <v>نعم</v>
      </c>
    </row>
    <row r="17" customFormat="false" ht="15" hidden="false" customHeight="false" outlineLevel="0" collapsed="false">
      <c r="A17" s="102" t="n">
        <v>46296</v>
      </c>
      <c r="B17" s="104" t="s">
        <v>32</v>
      </c>
      <c r="C17" s="104" t="s">
        <v>152</v>
      </c>
      <c r="D17" s="105" t="n">
        <v>550</v>
      </c>
      <c r="E17" s="105" t="n">
        <v>18700</v>
      </c>
      <c r="F17" s="103" t="n">
        <f aca="false">IF(OR($C17="",$D17=0),"",$E17/$D17)</f>
        <v>34</v>
      </c>
      <c r="G17" s="104" t="s">
        <v>698</v>
      </c>
      <c r="H17" s="0" t="str">
        <f aca="false">IF($C17="","",IF(COUNTIF('مواد المخزون'!$A$2:$A$86,$C17)&gt;0,"نعم","لا (خارج الجرد)"))</f>
        <v>نعم</v>
      </c>
    </row>
    <row r="18" customFormat="false" ht="15" hidden="false" customHeight="false" outlineLevel="0" collapsed="false">
      <c r="A18" s="102" t="n">
        <v>46296</v>
      </c>
      <c r="B18" s="104" t="s">
        <v>32</v>
      </c>
      <c r="C18" s="104" t="s">
        <v>154</v>
      </c>
      <c r="D18" s="105" t="n">
        <v>80</v>
      </c>
      <c r="E18" s="105" t="n">
        <v>3600</v>
      </c>
      <c r="F18" s="103" t="n">
        <f aca="false">IF(OR($C18="",$D18=0),"",$E18/$D18)</f>
        <v>45</v>
      </c>
      <c r="G18" s="104" t="s">
        <v>698</v>
      </c>
      <c r="H18" s="0" t="str">
        <f aca="false">IF($C18="","",IF(COUNTIF('مواد المخزون'!$A$2:$A$86,$C18)&gt;0,"نعم","لا (خارج الجرد)"))</f>
        <v>نعم</v>
      </c>
    </row>
    <row r="19" customFormat="false" ht="15" hidden="false" customHeight="false" outlineLevel="0" collapsed="false">
      <c r="A19" s="102" t="n">
        <v>46296</v>
      </c>
      <c r="B19" s="104" t="s">
        <v>32</v>
      </c>
      <c r="C19" s="104" t="s">
        <v>156</v>
      </c>
      <c r="D19" s="105" t="n">
        <v>53</v>
      </c>
      <c r="E19" s="105" t="n">
        <v>1484</v>
      </c>
      <c r="F19" s="103" t="n">
        <f aca="false">IF(OR($C19="",$D19=0),"",$E19/$D19)</f>
        <v>28</v>
      </c>
      <c r="G19" s="104" t="s">
        <v>698</v>
      </c>
      <c r="H19" s="0" t="str">
        <f aca="false">IF($C19="","",IF(COUNTIF('مواد المخزون'!$A$2:$A$86,$C19)&gt;0,"نعم","لا (خارج الجرد)"))</f>
        <v>نعم</v>
      </c>
    </row>
    <row r="20" customFormat="false" ht="15" hidden="false" customHeight="false" outlineLevel="0" collapsed="false">
      <c r="A20" s="102" t="n">
        <v>46296</v>
      </c>
      <c r="B20" s="104" t="s">
        <v>32</v>
      </c>
      <c r="C20" s="104" t="s">
        <v>156</v>
      </c>
      <c r="D20" s="105" t="n">
        <v>14</v>
      </c>
      <c r="E20" s="105" t="n">
        <v>305</v>
      </c>
      <c r="F20" s="103" t="n">
        <f aca="false">IF(OR($C20="",$D20=0),"",$E20/$D20)</f>
        <v>21.7857142857143</v>
      </c>
      <c r="G20" s="104" t="s">
        <v>698</v>
      </c>
      <c r="H20" s="0" t="str">
        <f aca="false">IF($C20="","",IF(COUNTIF('مواد المخزون'!$A$2:$A$86,$C20)&gt;0,"نعم","لا (خارج الجرد)"))</f>
        <v>نعم</v>
      </c>
    </row>
    <row r="21" customFormat="false" ht="15" hidden="false" customHeight="false" outlineLevel="0" collapsed="false">
      <c r="A21" s="102" t="n">
        <v>46296</v>
      </c>
      <c r="B21" s="104" t="s">
        <v>32</v>
      </c>
      <c r="C21" s="104" t="s">
        <v>700</v>
      </c>
      <c r="D21" s="105" t="n">
        <v>1</v>
      </c>
      <c r="E21" s="105" t="n">
        <v>345</v>
      </c>
      <c r="F21" s="103" t="n">
        <f aca="false">IF(OR($C21="",$D21=0),"",$E21/$D21)</f>
        <v>345</v>
      </c>
      <c r="G21" s="104" t="s">
        <v>698</v>
      </c>
      <c r="H21" s="0" t="str">
        <f aca="false">IF($C21="","",IF(COUNTIF('مواد المخزون'!$A$2:$A$86,$C21)&gt;0,"نعم","لا (خارج الجرد)"))</f>
        <v>لا (خارج الجرد)</v>
      </c>
    </row>
    <row r="22" customFormat="false" ht="15" hidden="false" customHeight="false" outlineLevel="0" collapsed="false">
      <c r="A22" s="102" t="n">
        <v>46296</v>
      </c>
      <c r="B22" s="104" t="s">
        <v>32</v>
      </c>
      <c r="C22" s="104" t="s">
        <v>158</v>
      </c>
      <c r="D22" s="105" t="n">
        <v>243</v>
      </c>
      <c r="E22" s="105" t="n">
        <v>8339</v>
      </c>
      <c r="F22" s="103" t="n">
        <f aca="false">IF(OR($C22="",$D22=0),"",$E22/$D22)</f>
        <v>34.3168724279835</v>
      </c>
      <c r="G22" s="104" t="s">
        <v>698</v>
      </c>
      <c r="H22" s="0" t="str">
        <f aca="false">IF($C22="","",IF(COUNTIF('مواد المخزون'!$A$2:$A$86,$C22)&gt;0,"نعم","لا (خارج الجرد)"))</f>
        <v>نعم</v>
      </c>
    </row>
    <row r="23" customFormat="false" ht="15" hidden="false" customHeight="false" outlineLevel="0" collapsed="false">
      <c r="A23" s="102" t="n">
        <v>46296</v>
      </c>
      <c r="B23" s="104" t="s">
        <v>32</v>
      </c>
      <c r="C23" s="104" t="s">
        <v>160</v>
      </c>
      <c r="D23" s="105" t="n">
        <v>57</v>
      </c>
      <c r="E23" s="105" t="n">
        <v>2850</v>
      </c>
      <c r="F23" s="103" t="n">
        <f aca="false">IF(OR($C23="",$D23=0),"",$E23/$D23)</f>
        <v>50</v>
      </c>
      <c r="G23" s="104" t="s">
        <v>698</v>
      </c>
      <c r="H23" s="0" t="str">
        <f aca="false">IF($C23="","",IF(COUNTIF('مواد المخزون'!$A$2:$A$86,$C23)&gt;0,"نعم","لا (خارج الجرد)"))</f>
        <v>نعم</v>
      </c>
    </row>
    <row r="24" customFormat="false" ht="15" hidden="false" customHeight="false" outlineLevel="0" collapsed="false">
      <c r="A24" s="102" t="n">
        <v>46296</v>
      </c>
      <c r="B24" s="104" t="s">
        <v>32</v>
      </c>
      <c r="C24" s="104" t="s">
        <v>162</v>
      </c>
      <c r="D24" s="105" t="n">
        <v>100</v>
      </c>
      <c r="E24" s="105" t="n">
        <v>3000</v>
      </c>
      <c r="F24" s="103" t="n">
        <f aca="false">IF(OR($C24="",$D24=0),"",$E24/$D24)</f>
        <v>30</v>
      </c>
      <c r="G24" s="104" t="s">
        <v>698</v>
      </c>
      <c r="H24" s="0" t="str">
        <f aca="false">IF($C24="","",IF(COUNTIF('مواد المخزون'!$A$2:$A$86,$C24)&gt;0,"نعم","لا (خارج الجرد)"))</f>
        <v>نعم</v>
      </c>
    </row>
    <row r="25" customFormat="false" ht="15" hidden="false" customHeight="false" outlineLevel="0" collapsed="false">
      <c r="A25" s="102" t="n">
        <v>46296</v>
      </c>
      <c r="B25" s="104" t="s">
        <v>32</v>
      </c>
      <c r="C25" s="104" t="s">
        <v>166</v>
      </c>
      <c r="D25" s="105" t="n">
        <v>30</v>
      </c>
      <c r="E25" s="105" t="n">
        <v>750</v>
      </c>
      <c r="F25" s="103" t="n">
        <f aca="false">IF(OR($C25="",$D25=0),"",$E25/$D25)</f>
        <v>25</v>
      </c>
      <c r="G25" s="104" t="s">
        <v>698</v>
      </c>
      <c r="H25" s="0" t="str">
        <f aca="false">IF($C25="","",IF(COUNTIF('مواد المخزون'!$A$2:$A$86,$C25)&gt;0,"نعم","لا (خارج الجرد)"))</f>
        <v>نعم</v>
      </c>
    </row>
    <row r="26" customFormat="false" ht="15" hidden="false" customHeight="false" outlineLevel="0" collapsed="false">
      <c r="A26" s="102" t="n">
        <v>46296</v>
      </c>
      <c r="B26" s="104" t="s">
        <v>32</v>
      </c>
      <c r="C26" s="104" t="s">
        <v>168</v>
      </c>
      <c r="D26" s="105" t="n">
        <v>10</v>
      </c>
      <c r="E26" s="105" t="n">
        <v>210</v>
      </c>
      <c r="F26" s="103" t="n">
        <f aca="false">IF(OR($C26="",$D26=0),"",$E26/$D26)</f>
        <v>21</v>
      </c>
      <c r="G26" s="104" t="s">
        <v>698</v>
      </c>
      <c r="H26" s="0" t="str">
        <f aca="false">IF($C26="","",IF(COUNTIF('مواد المخزون'!$A$2:$A$86,$C26)&gt;0,"نعم","لا (خارج الجرد)"))</f>
        <v>نعم</v>
      </c>
    </row>
    <row r="27" customFormat="false" ht="15" hidden="false" customHeight="false" outlineLevel="0" collapsed="false">
      <c r="A27" s="102" t="n">
        <v>46296</v>
      </c>
      <c r="B27" s="104" t="s">
        <v>32</v>
      </c>
      <c r="C27" s="104" t="s">
        <v>170</v>
      </c>
      <c r="D27" s="105" t="n">
        <v>40</v>
      </c>
      <c r="E27" s="105" t="n">
        <v>920</v>
      </c>
      <c r="F27" s="103" t="n">
        <f aca="false">IF(OR($C27="",$D27=0),"",$E27/$D27)</f>
        <v>23</v>
      </c>
      <c r="G27" s="104" t="s">
        <v>698</v>
      </c>
      <c r="H27" s="0" t="str">
        <f aca="false">IF($C27="","",IF(COUNTIF('مواد المخزون'!$A$2:$A$86,$C27)&gt;0,"نعم","لا (خارج الجرد)"))</f>
        <v>نعم</v>
      </c>
    </row>
    <row r="28" customFormat="false" ht="15" hidden="false" customHeight="false" outlineLevel="0" collapsed="false">
      <c r="A28" s="102" t="n">
        <v>46296</v>
      </c>
      <c r="B28" s="104" t="s">
        <v>32</v>
      </c>
      <c r="C28" s="104" t="s">
        <v>172</v>
      </c>
      <c r="D28" s="105" t="n">
        <v>705</v>
      </c>
      <c r="E28" s="105" t="n">
        <v>14100</v>
      </c>
      <c r="F28" s="103" t="n">
        <f aca="false">IF(OR($C28="",$D28=0),"",$E28/$D28)</f>
        <v>20</v>
      </c>
      <c r="G28" s="104" t="s">
        <v>698</v>
      </c>
      <c r="H28" s="0" t="str">
        <f aca="false">IF($C28="","",IF(COUNTIF('مواد المخزون'!$A$2:$A$86,$C28)&gt;0,"نعم","لا (خارج الجرد)"))</f>
        <v>نعم</v>
      </c>
    </row>
    <row r="29" customFormat="false" ht="15" hidden="false" customHeight="false" outlineLevel="0" collapsed="false">
      <c r="A29" s="102" t="n">
        <v>46296</v>
      </c>
      <c r="B29" s="104" t="s">
        <v>32</v>
      </c>
      <c r="C29" s="104" t="s">
        <v>174</v>
      </c>
      <c r="D29" s="105" t="n">
        <v>120</v>
      </c>
      <c r="E29" s="105" t="n">
        <v>3480</v>
      </c>
      <c r="F29" s="103" t="n">
        <f aca="false">IF(OR($C29="",$D29=0),"",$E29/$D29)</f>
        <v>29</v>
      </c>
      <c r="G29" s="104" t="s">
        <v>698</v>
      </c>
      <c r="H29" s="0" t="str">
        <f aca="false">IF($C29="","",IF(COUNTIF('مواد المخزون'!$A$2:$A$86,$C29)&gt;0,"نعم","لا (خارج الجرد)"))</f>
        <v>نعم</v>
      </c>
    </row>
    <row r="30" customFormat="false" ht="15" hidden="false" customHeight="false" outlineLevel="0" collapsed="false">
      <c r="A30" s="102" t="n">
        <v>46296</v>
      </c>
      <c r="B30" s="104" t="s">
        <v>32</v>
      </c>
      <c r="C30" s="104" t="s">
        <v>176</v>
      </c>
      <c r="D30" s="105" t="n">
        <v>1005</v>
      </c>
      <c r="E30" s="105" t="n">
        <v>17587.5</v>
      </c>
      <c r="F30" s="103" t="n">
        <f aca="false">IF(OR($C30="",$D30=0),"",$E30/$D30)</f>
        <v>17.5</v>
      </c>
      <c r="G30" s="104" t="s">
        <v>698</v>
      </c>
      <c r="H30" s="0" t="str">
        <f aca="false">IF($C30="","",IF(COUNTIF('مواد المخزون'!$A$2:$A$86,$C30)&gt;0,"نعم","لا (خارج الجرد)"))</f>
        <v>نعم</v>
      </c>
    </row>
    <row r="31" customFormat="false" ht="15" hidden="false" customHeight="false" outlineLevel="0" collapsed="false">
      <c r="A31" s="102" t="n">
        <v>46296</v>
      </c>
      <c r="B31" s="104" t="s">
        <v>32</v>
      </c>
      <c r="C31" s="104" t="s">
        <v>178</v>
      </c>
      <c r="D31" s="105" t="n">
        <v>70</v>
      </c>
      <c r="E31" s="105" t="n">
        <v>1750</v>
      </c>
      <c r="F31" s="103" t="n">
        <f aca="false">IF(OR($C31="",$D31=0),"",$E31/$D31)</f>
        <v>25</v>
      </c>
      <c r="G31" s="104" t="s">
        <v>698</v>
      </c>
      <c r="H31" s="0" t="str">
        <f aca="false">IF($C31="","",IF(COUNTIF('مواد المخزون'!$A$2:$A$86,$C31)&gt;0,"نعم","لا (خارج الجرد)"))</f>
        <v>نعم</v>
      </c>
    </row>
    <row r="32" customFormat="false" ht="15" hidden="false" customHeight="false" outlineLevel="0" collapsed="false">
      <c r="A32" s="102" t="n">
        <v>46296</v>
      </c>
      <c r="B32" s="104" t="s">
        <v>32</v>
      </c>
      <c r="C32" s="104" t="s">
        <v>180</v>
      </c>
      <c r="D32" s="105" t="n">
        <v>1.5</v>
      </c>
      <c r="E32" s="105" t="n">
        <v>150</v>
      </c>
      <c r="F32" s="103" t="n">
        <f aca="false">IF(OR($C32="",$D32=0),"",$E32/$D32)</f>
        <v>100</v>
      </c>
      <c r="G32" s="104" t="s">
        <v>698</v>
      </c>
      <c r="H32" s="0" t="str">
        <f aca="false">IF($C32="","",IF(COUNTIF('مواد المخزون'!$A$2:$A$86,$C32)&gt;0,"نعم","لا (خارج الجرد)"))</f>
        <v>نعم</v>
      </c>
    </row>
    <row r="33" customFormat="false" ht="15" hidden="false" customHeight="false" outlineLevel="0" collapsed="false">
      <c r="A33" s="102" t="n">
        <v>46296</v>
      </c>
      <c r="B33" s="104" t="s">
        <v>32</v>
      </c>
      <c r="C33" s="104" t="s">
        <v>185</v>
      </c>
      <c r="D33" s="105" t="n">
        <v>1.5</v>
      </c>
      <c r="E33" s="105" t="n">
        <v>150</v>
      </c>
      <c r="F33" s="103" t="n">
        <f aca="false">IF(OR($C33="",$D33=0),"",$E33/$D33)</f>
        <v>100</v>
      </c>
      <c r="G33" s="104" t="s">
        <v>698</v>
      </c>
      <c r="H33" s="0" t="str">
        <f aca="false">IF($C33="","",IF(COUNTIF('مواد المخزون'!$A$2:$A$86,$C33)&gt;0,"نعم","لا (خارج الجرد)"))</f>
        <v>نعم</v>
      </c>
    </row>
    <row r="34" customFormat="false" ht="15" hidden="false" customHeight="false" outlineLevel="0" collapsed="false">
      <c r="A34" s="102" t="n">
        <v>46296</v>
      </c>
      <c r="B34" s="104" t="s">
        <v>32</v>
      </c>
      <c r="C34" s="104" t="s">
        <v>186</v>
      </c>
      <c r="D34" s="105" t="n">
        <v>30</v>
      </c>
      <c r="E34" s="105" t="n">
        <v>1230</v>
      </c>
      <c r="F34" s="103" t="n">
        <f aca="false">IF(OR($C34="",$D34=0),"",$E34/$D34)</f>
        <v>41</v>
      </c>
      <c r="G34" s="104" t="s">
        <v>698</v>
      </c>
      <c r="H34" s="0" t="str">
        <f aca="false">IF($C34="","",IF(COUNTIF('مواد المخزون'!$A$2:$A$86,$C34)&gt;0,"نعم","لا (خارج الجرد)"))</f>
        <v>نعم</v>
      </c>
    </row>
    <row r="35" customFormat="false" ht="15" hidden="false" customHeight="false" outlineLevel="0" collapsed="false">
      <c r="A35" s="102" t="n">
        <v>46296</v>
      </c>
      <c r="B35" s="104" t="s">
        <v>32</v>
      </c>
      <c r="C35" s="104" t="s">
        <v>190</v>
      </c>
      <c r="D35" s="105" t="n">
        <v>2</v>
      </c>
      <c r="E35" s="105" t="n">
        <v>36</v>
      </c>
      <c r="F35" s="103" t="n">
        <f aca="false">IF(OR($C35="",$D35=0),"",$E35/$D35)</f>
        <v>18</v>
      </c>
      <c r="G35" s="104" t="s">
        <v>698</v>
      </c>
      <c r="H35" s="0" t="str">
        <f aca="false">IF($C35="","",IF(COUNTIF('مواد المخزون'!$A$2:$A$86,$C35)&gt;0,"نعم","لا (خارج الجرد)"))</f>
        <v>نعم</v>
      </c>
    </row>
    <row r="36" customFormat="false" ht="15" hidden="false" customHeight="false" outlineLevel="0" collapsed="false">
      <c r="A36" s="102" t="n">
        <v>46296</v>
      </c>
      <c r="B36" s="104" t="s">
        <v>32</v>
      </c>
      <c r="C36" s="104" t="s">
        <v>192</v>
      </c>
      <c r="D36" s="105" t="n">
        <v>2</v>
      </c>
      <c r="E36" s="105" t="n">
        <v>1460</v>
      </c>
      <c r="F36" s="103" t="n">
        <f aca="false">IF(OR($C36="",$D36=0),"",$E36/$D36)</f>
        <v>730</v>
      </c>
      <c r="G36" s="104" t="s">
        <v>698</v>
      </c>
      <c r="H36" s="0" t="str">
        <f aca="false">IF($C36="","",IF(COUNTIF('مواد المخزون'!$A$2:$A$86,$C36)&gt;0,"نعم","لا (خارج الجرد)"))</f>
        <v>نعم</v>
      </c>
    </row>
    <row r="37" customFormat="false" ht="15" hidden="false" customHeight="false" outlineLevel="0" collapsed="false">
      <c r="A37" s="102" t="n">
        <v>46296</v>
      </c>
      <c r="B37" s="104" t="s">
        <v>32</v>
      </c>
      <c r="C37" s="104" t="s">
        <v>195</v>
      </c>
      <c r="D37" s="105" t="n">
        <v>13</v>
      </c>
      <c r="E37" s="105" t="n">
        <v>390</v>
      </c>
      <c r="F37" s="103" t="n">
        <f aca="false">IF(OR($C37="",$D37=0),"",$E37/$D37)</f>
        <v>30</v>
      </c>
      <c r="G37" s="104" t="s">
        <v>698</v>
      </c>
      <c r="H37" s="0" t="str">
        <f aca="false">IF($C37="","",IF(COUNTIF('مواد المخزون'!$A$2:$A$86,$C37)&gt;0,"نعم","لا (خارج الجرد)"))</f>
        <v>لا (خارج الجرد)</v>
      </c>
    </row>
    <row r="38" customFormat="false" ht="15" hidden="false" customHeight="false" outlineLevel="0" collapsed="false">
      <c r="A38" s="102" t="n">
        <v>46296</v>
      </c>
      <c r="B38" s="104" t="s">
        <v>32</v>
      </c>
      <c r="C38" s="104" t="s">
        <v>701</v>
      </c>
      <c r="D38" s="105" t="n">
        <v>1</v>
      </c>
      <c r="E38" s="105" t="n">
        <v>45</v>
      </c>
      <c r="F38" s="103" t="n">
        <f aca="false">IF(OR($C38="",$D38=0),"",$E38/$D38)</f>
        <v>45</v>
      </c>
      <c r="G38" s="104" t="s">
        <v>698</v>
      </c>
      <c r="H38" s="0" t="str">
        <f aca="false">IF($C38="","",IF(COUNTIF('مواد المخزون'!$A$2:$A$86,$C38)&gt;0,"نعم","لا (خارج الجرد)"))</f>
        <v>لا (خارج الجرد)</v>
      </c>
    </row>
    <row r="39" customFormat="false" ht="15" hidden="false" customHeight="false" outlineLevel="0" collapsed="false">
      <c r="A39" s="102" t="n">
        <v>46296</v>
      </c>
      <c r="B39" s="104" t="s">
        <v>32</v>
      </c>
      <c r="C39" s="104" t="s">
        <v>202</v>
      </c>
      <c r="D39" s="105" t="n">
        <v>7</v>
      </c>
      <c r="E39" s="105" t="n">
        <v>135</v>
      </c>
      <c r="F39" s="103" t="n">
        <f aca="false">IF(OR($C39="",$D39=0),"",$E39/$D39)</f>
        <v>19.2857142857143</v>
      </c>
      <c r="G39" s="104" t="s">
        <v>698</v>
      </c>
      <c r="H39" s="0" t="str">
        <f aca="false">IF($C39="","",IF(COUNTIF('مواد المخزون'!$A$2:$A$86,$C39)&gt;0,"نعم","لا (خارج الجرد)"))</f>
        <v>نعم</v>
      </c>
    </row>
    <row r="40" customFormat="false" ht="15" hidden="false" customHeight="false" outlineLevel="0" collapsed="false">
      <c r="A40" s="102" t="n">
        <v>46296</v>
      </c>
      <c r="B40" s="104" t="s">
        <v>32</v>
      </c>
      <c r="C40" s="104" t="s">
        <v>702</v>
      </c>
      <c r="D40" s="105" t="n">
        <v>0.675</v>
      </c>
      <c r="E40" s="105" t="n">
        <v>40.5</v>
      </c>
      <c r="F40" s="103" t="n">
        <f aca="false">IF(OR($C40="",$D40=0),"",$E40/$D40)</f>
        <v>60</v>
      </c>
      <c r="G40" s="104" t="s">
        <v>698</v>
      </c>
      <c r="H40" s="0" t="str">
        <f aca="false">IF($C40="","",IF(COUNTIF('مواد المخزون'!$A$2:$A$86,$C40)&gt;0,"نعم","لا (خارج الجرد)"))</f>
        <v>لا (خارج الجرد)</v>
      </c>
    </row>
    <row r="41" customFormat="false" ht="15" hidden="false" customHeight="false" outlineLevel="0" collapsed="false">
      <c r="A41" s="102" t="n">
        <v>46296</v>
      </c>
      <c r="B41" s="104" t="s">
        <v>32</v>
      </c>
      <c r="C41" s="104" t="s">
        <v>208</v>
      </c>
      <c r="D41" s="105" t="n">
        <v>7</v>
      </c>
      <c r="E41" s="105" t="n">
        <v>1200</v>
      </c>
      <c r="F41" s="103" t="n">
        <f aca="false">IF(OR($C41="",$D41=0),"",$E41/$D41)</f>
        <v>171.428571428571</v>
      </c>
      <c r="G41" s="104" t="s">
        <v>698</v>
      </c>
      <c r="H41" s="0" t="str">
        <f aca="false">IF($C41="","",IF(COUNTIF('مواد المخزون'!$A$2:$A$86,$C41)&gt;0,"نعم","لا (خارج الجرد)"))</f>
        <v>لا (خارج الجرد)</v>
      </c>
    </row>
    <row r="42" customFormat="false" ht="15" hidden="false" customHeight="false" outlineLevel="0" collapsed="false">
      <c r="A42" s="102" t="n">
        <v>46296</v>
      </c>
      <c r="B42" s="104" t="s">
        <v>32</v>
      </c>
      <c r="C42" s="104" t="s">
        <v>208</v>
      </c>
      <c r="D42" s="105" t="n">
        <v>1</v>
      </c>
      <c r="E42" s="105" t="n">
        <v>250</v>
      </c>
      <c r="F42" s="103" t="n">
        <f aca="false">IF(OR($C42="",$D42=0),"",$E42/$D42)</f>
        <v>250</v>
      </c>
      <c r="G42" s="104" t="s">
        <v>698</v>
      </c>
      <c r="H42" s="0" t="str">
        <f aca="false">IF($C42="","",IF(COUNTIF('مواد المخزون'!$A$2:$A$86,$C42)&gt;0,"نعم","لا (خارج الجرد)"))</f>
        <v>لا (خارج الجرد)</v>
      </c>
    </row>
    <row r="43" customFormat="false" ht="15" hidden="false" customHeight="false" outlineLevel="0" collapsed="false">
      <c r="A43" s="102" t="n">
        <v>46296</v>
      </c>
      <c r="B43" s="104" t="s">
        <v>32</v>
      </c>
      <c r="C43" s="104" t="s">
        <v>211</v>
      </c>
      <c r="D43" s="105" t="n">
        <v>100</v>
      </c>
      <c r="E43" s="105" t="n">
        <v>900</v>
      </c>
      <c r="F43" s="103" t="n">
        <f aca="false">IF(OR($C43="",$D43=0),"",$E43/$D43)</f>
        <v>9</v>
      </c>
      <c r="G43" s="104" t="s">
        <v>698</v>
      </c>
      <c r="H43" s="0" t="str">
        <f aca="false">IF($C43="","",IF(COUNTIF('مواد المخزون'!$A$2:$A$86,$C43)&gt;0,"نعم","لا (خارج الجرد)"))</f>
        <v>نعم</v>
      </c>
    </row>
    <row r="44" customFormat="false" ht="15" hidden="false" customHeight="false" outlineLevel="0" collapsed="false">
      <c r="A44" s="102" t="n">
        <v>46296</v>
      </c>
      <c r="B44" s="104" t="s">
        <v>32</v>
      </c>
      <c r="C44" s="104" t="s">
        <v>214</v>
      </c>
      <c r="D44" s="105" t="n">
        <v>0.5</v>
      </c>
      <c r="E44" s="105" t="n">
        <v>100</v>
      </c>
      <c r="F44" s="103" t="n">
        <f aca="false">IF(OR($C44="",$D44=0),"",$E44/$D44)</f>
        <v>200</v>
      </c>
      <c r="G44" s="104" t="s">
        <v>698</v>
      </c>
      <c r="H44" s="0" t="str">
        <f aca="false">IF($C44="","",IF(COUNTIF('مواد المخزون'!$A$2:$A$86,$C44)&gt;0,"نعم","لا (خارج الجرد)"))</f>
        <v>نعم</v>
      </c>
    </row>
    <row r="45" customFormat="false" ht="15" hidden="false" customHeight="false" outlineLevel="0" collapsed="false">
      <c r="A45" s="102" t="n">
        <v>46296</v>
      </c>
      <c r="B45" s="104" t="s">
        <v>32</v>
      </c>
      <c r="C45" s="104" t="s">
        <v>216</v>
      </c>
      <c r="D45" s="105" t="n">
        <v>4</v>
      </c>
      <c r="E45" s="105" t="n">
        <v>60</v>
      </c>
      <c r="F45" s="103" t="n">
        <f aca="false">IF(OR($C45="",$D45=0),"",$E45/$D45)</f>
        <v>15</v>
      </c>
      <c r="G45" s="104" t="s">
        <v>698</v>
      </c>
      <c r="H45" s="0" t="str">
        <f aca="false">IF($C45="","",IF(COUNTIF('مواد المخزون'!$A$2:$A$86,$C45)&gt;0,"نعم","لا (خارج الجرد)"))</f>
        <v>لا (خارج الجرد)</v>
      </c>
    </row>
    <row r="46" customFormat="false" ht="15" hidden="false" customHeight="false" outlineLevel="0" collapsed="false">
      <c r="A46" s="102" t="n">
        <v>46296</v>
      </c>
      <c r="B46" s="104" t="s">
        <v>32</v>
      </c>
      <c r="C46" s="104" t="s">
        <v>218</v>
      </c>
      <c r="D46" s="105" t="n">
        <v>45</v>
      </c>
      <c r="E46" s="105" t="n">
        <v>925</v>
      </c>
      <c r="F46" s="103" t="n">
        <f aca="false">IF(OR($C46="",$D46=0),"",$E46/$D46)</f>
        <v>20.5555555555556</v>
      </c>
      <c r="G46" s="104" t="s">
        <v>698</v>
      </c>
      <c r="H46" s="0" t="str">
        <f aca="false">IF($C46="","",IF(COUNTIF('مواد المخزون'!$A$2:$A$86,$C46)&gt;0,"نعم","لا (خارج الجرد)"))</f>
        <v>نعم</v>
      </c>
    </row>
    <row r="47" customFormat="false" ht="15" hidden="false" customHeight="false" outlineLevel="0" collapsed="false">
      <c r="A47" s="102" t="n">
        <v>46296</v>
      </c>
      <c r="B47" s="104" t="s">
        <v>32</v>
      </c>
      <c r="C47" s="104" t="s">
        <v>220</v>
      </c>
      <c r="D47" s="105" t="n">
        <v>10</v>
      </c>
      <c r="E47" s="105" t="n">
        <v>1200</v>
      </c>
      <c r="F47" s="103" t="n">
        <f aca="false">IF(OR($C47="",$D47=0),"",$E47/$D47)</f>
        <v>120</v>
      </c>
      <c r="G47" s="104" t="s">
        <v>698</v>
      </c>
      <c r="H47" s="0" t="str">
        <f aca="false">IF($C47="","",IF(COUNTIF('مواد المخزون'!$A$2:$A$86,$C47)&gt;0,"نعم","لا (خارج الجرد)"))</f>
        <v>نعم</v>
      </c>
    </row>
    <row r="48" customFormat="false" ht="15" hidden="false" customHeight="false" outlineLevel="0" collapsed="false">
      <c r="A48" s="102" t="n">
        <v>46296</v>
      </c>
      <c r="B48" s="104" t="s">
        <v>32</v>
      </c>
      <c r="C48" s="104" t="s">
        <v>221</v>
      </c>
      <c r="D48" s="105" t="n">
        <v>0.5</v>
      </c>
      <c r="E48" s="105" t="n">
        <v>110</v>
      </c>
      <c r="F48" s="103" t="n">
        <f aca="false">IF(OR($C48="",$D48=0),"",$E48/$D48)</f>
        <v>220</v>
      </c>
      <c r="G48" s="104" t="s">
        <v>698</v>
      </c>
      <c r="H48" s="0" t="str">
        <f aca="false">IF($C48="","",IF(COUNTIF('مواد المخزون'!$A$2:$A$86,$C48)&gt;0,"نعم","لا (خارج الجرد)"))</f>
        <v>نعم</v>
      </c>
    </row>
    <row r="49" customFormat="false" ht="15" hidden="false" customHeight="false" outlineLevel="0" collapsed="false">
      <c r="A49" s="102" t="n">
        <v>46296</v>
      </c>
      <c r="B49" s="104" t="s">
        <v>32</v>
      </c>
      <c r="C49" s="104" t="s">
        <v>703</v>
      </c>
      <c r="D49" s="105" t="n">
        <v>0.425</v>
      </c>
      <c r="E49" s="105" t="n">
        <v>106.25</v>
      </c>
      <c r="F49" s="103" t="n">
        <f aca="false">IF(OR($C49="",$D49=0),"",$E49/$D49)</f>
        <v>250</v>
      </c>
      <c r="G49" s="104" t="s">
        <v>698</v>
      </c>
      <c r="H49" s="0" t="str">
        <f aca="false">IF($C49="","",IF(COUNTIF('مواد المخزون'!$A$2:$A$86,$C49)&gt;0,"نعم","لا (خارج الجرد)"))</f>
        <v>لا (خارج الجرد)</v>
      </c>
    </row>
    <row r="50" customFormat="false" ht="15" hidden="false" customHeight="false" outlineLevel="0" collapsed="false">
      <c r="A50" s="102" t="n">
        <v>46296</v>
      </c>
      <c r="B50" s="104" t="s">
        <v>32</v>
      </c>
      <c r="C50" s="104" t="s">
        <v>223</v>
      </c>
      <c r="D50" s="105" t="n">
        <v>20</v>
      </c>
      <c r="E50" s="105" t="n">
        <v>1500</v>
      </c>
      <c r="F50" s="103" t="n">
        <f aca="false">IF(OR($C50="",$D50=0),"",$E50/$D50)</f>
        <v>75</v>
      </c>
      <c r="G50" s="104" t="s">
        <v>698</v>
      </c>
      <c r="H50" s="0" t="str">
        <f aca="false">IF($C50="","",IF(COUNTIF('مواد المخزون'!$A$2:$A$86,$C50)&gt;0,"نعم","لا (خارج الجرد)"))</f>
        <v>لا (خارج الجرد)</v>
      </c>
    </row>
    <row r="51" customFormat="false" ht="15" hidden="false" customHeight="false" outlineLevel="0" collapsed="false">
      <c r="A51" s="102" t="n">
        <v>46296</v>
      </c>
      <c r="B51" s="104" t="s">
        <v>32</v>
      </c>
      <c r="C51" s="104" t="s">
        <v>225</v>
      </c>
      <c r="D51" s="105" t="n">
        <v>26</v>
      </c>
      <c r="E51" s="105" t="n">
        <v>1950</v>
      </c>
      <c r="F51" s="103" t="n">
        <f aca="false">IF(OR($C51="",$D51=0),"",$E51/$D51)</f>
        <v>75</v>
      </c>
      <c r="G51" s="104" t="s">
        <v>698</v>
      </c>
      <c r="H51" s="0" t="str">
        <f aca="false">IF($C51="","",IF(COUNTIF('مواد المخزون'!$A$2:$A$86,$C51)&gt;0,"نعم","لا (خارج الجرد)"))</f>
        <v>لا (خارج الجرد)</v>
      </c>
    </row>
    <row r="52" customFormat="false" ht="15" hidden="false" customHeight="false" outlineLevel="0" collapsed="false">
      <c r="A52" s="102" t="n">
        <v>46296</v>
      </c>
      <c r="B52" s="104" t="s">
        <v>32</v>
      </c>
      <c r="C52" s="104" t="s">
        <v>227</v>
      </c>
      <c r="D52" s="105" t="n">
        <v>15</v>
      </c>
      <c r="E52" s="105" t="n">
        <v>1425</v>
      </c>
      <c r="F52" s="103" t="n">
        <f aca="false">IF(OR($C52="",$D52=0),"",$E52/$D52)</f>
        <v>95</v>
      </c>
      <c r="G52" s="104" t="s">
        <v>698</v>
      </c>
      <c r="H52" s="0" t="str">
        <f aca="false">IF($C52="","",IF(COUNTIF('مواد المخزون'!$A$2:$A$86,$C52)&gt;0,"نعم","لا (خارج الجرد)"))</f>
        <v>نعم</v>
      </c>
    </row>
    <row r="53" customFormat="false" ht="15" hidden="false" customHeight="false" outlineLevel="0" collapsed="false">
      <c r="A53" s="102" t="n">
        <v>46296</v>
      </c>
      <c r="B53" s="104" t="s">
        <v>32</v>
      </c>
      <c r="C53" s="104" t="s">
        <v>229</v>
      </c>
      <c r="D53" s="105" t="n">
        <v>25</v>
      </c>
      <c r="E53" s="105" t="n">
        <v>750</v>
      </c>
      <c r="F53" s="103" t="n">
        <f aca="false">IF(OR($C53="",$D53=0),"",$E53/$D53)</f>
        <v>30</v>
      </c>
      <c r="G53" s="104" t="s">
        <v>698</v>
      </c>
      <c r="H53" s="0" t="str">
        <f aca="false">IF($C53="","",IF(COUNTIF('مواد المخزون'!$A$2:$A$86,$C53)&gt;0,"نعم","لا (خارج الجرد)"))</f>
        <v>نعم</v>
      </c>
    </row>
    <row r="54" customFormat="false" ht="15" hidden="false" customHeight="false" outlineLevel="0" collapsed="false">
      <c r="A54" s="102" t="n">
        <v>46296</v>
      </c>
      <c r="B54" s="104" t="s">
        <v>32</v>
      </c>
      <c r="C54" s="104" t="s">
        <v>229</v>
      </c>
      <c r="D54" s="105" t="n">
        <v>4</v>
      </c>
      <c r="E54" s="105" t="n">
        <v>200</v>
      </c>
      <c r="F54" s="103" t="n">
        <f aca="false">IF(OR($C54="",$D54=0),"",$E54/$D54)</f>
        <v>50</v>
      </c>
      <c r="G54" s="104" t="s">
        <v>698</v>
      </c>
      <c r="H54" s="0" t="str">
        <f aca="false">IF($C54="","",IF(COUNTIF('مواد المخزون'!$A$2:$A$86,$C54)&gt;0,"نعم","لا (خارج الجرد)"))</f>
        <v>نعم</v>
      </c>
    </row>
    <row r="55" customFormat="false" ht="15" hidden="false" customHeight="false" outlineLevel="0" collapsed="false">
      <c r="A55" s="102" t="n">
        <v>46296</v>
      </c>
      <c r="B55" s="104" t="s">
        <v>32</v>
      </c>
      <c r="C55" s="104" t="s">
        <v>230</v>
      </c>
      <c r="D55" s="105" t="n">
        <v>3</v>
      </c>
      <c r="E55" s="105" t="n">
        <v>21.3</v>
      </c>
      <c r="F55" s="103" t="n">
        <f aca="false">IF(OR($C55="",$D55=0),"",$E55/$D55)</f>
        <v>7.1</v>
      </c>
      <c r="G55" s="104" t="s">
        <v>698</v>
      </c>
      <c r="H55" s="0" t="str">
        <f aca="false">IF($C55="","",IF(COUNTIF('مواد المخزون'!$A$2:$A$86,$C55)&gt;0,"نعم","لا (خارج الجرد)"))</f>
        <v>لا (خارج الجرد)</v>
      </c>
    </row>
    <row r="56" customFormat="false" ht="15" hidden="false" customHeight="false" outlineLevel="0" collapsed="false">
      <c r="A56" s="102" t="n">
        <v>46296</v>
      </c>
      <c r="B56" s="104" t="s">
        <v>32</v>
      </c>
      <c r="C56" s="104" t="s">
        <v>232</v>
      </c>
      <c r="D56" s="105" t="n">
        <v>5</v>
      </c>
      <c r="E56" s="105" t="n">
        <v>1900</v>
      </c>
      <c r="F56" s="103" t="n">
        <f aca="false">IF(OR($C56="",$D56=0),"",$E56/$D56)</f>
        <v>380</v>
      </c>
      <c r="G56" s="104" t="s">
        <v>698</v>
      </c>
      <c r="H56" s="0" t="str">
        <f aca="false">IF($C56="","",IF(COUNTIF('مواد المخزون'!$A$2:$A$86,$C56)&gt;0,"نعم","لا (خارج الجرد)"))</f>
        <v>نعم</v>
      </c>
    </row>
    <row r="57" customFormat="false" ht="15" hidden="false" customHeight="false" outlineLevel="0" collapsed="false">
      <c r="A57" s="102" t="n">
        <v>46296</v>
      </c>
      <c r="B57" s="104" t="s">
        <v>32</v>
      </c>
      <c r="C57" s="104" t="s">
        <v>239</v>
      </c>
      <c r="D57" s="105" t="n">
        <v>3</v>
      </c>
      <c r="E57" s="105" t="n">
        <v>405</v>
      </c>
      <c r="F57" s="103" t="n">
        <f aca="false">IF(OR($C57="",$D57=0),"",$E57/$D57)</f>
        <v>135</v>
      </c>
      <c r="G57" s="104" t="s">
        <v>698</v>
      </c>
      <c r="H57" s="0" t="str">
        <f aca="false">IF($C57="","",IF(COUNTIF('مواد المخزون'!$A$2:$A$86,$C57)&gt;0,"نعم","لا (خارج الجرد)"))</f>
        <v>نعم</v>
      </c>
    </row>
    <row r="58" customFormat="false" ht="15" hidden="false" customHeight="false" outlineLevel="0" collapsed="false">
      <c r="A58" s="102" t="n">
        <v>46296</v>
      </c>
      <c r="B58" s="104" t="s">
        <v>32</v>
      </c>
      <c r="C58" s="104" t="s">
        <v>241</v>
      </c>
      <c r="D58" s="105" t="n">
        <v>0.1</v>
      </c>
      <c r="E58" s="105" t="n">
        <v>11</v>
      </c>
      <c r="F58" s="103" t="n">
        <f aca="false">IF(OR($C58="",$D58=0),"",$E58/$D58)</f>
        <v>110</v>
      </c>
      <c r="G58" s="104" t="s">
        <v>698</v>
      </c>
      <c r="H58" s="0" t="str">
        <f aca="false">IF($C58="","",IF(COUNTIF('مواد المخزون'!$A$2:$A$86,$C58)&gt;0,"نعم","لا (خارج الجرد)"))</f>
        <v>لا (خارج الجرد)</v>
      </c>
    </row>
    <row r="59" customFormat="false" ht="15" hidden="false" customHeight="false" outlineLevel="0" collapsed="false">
      <c r="A59" s="102" t="n">
        <v>46296</v>
      </c>
      <c r="B59" s="104" t="s">
        <v>32</v>
      </c>
      <c r="C59" s="104" t="s">
        <v>241</v>
      </c>
      <c r="D59" s="105" t="n">
        <v>0.091</v>
      </c>
      <c r="E59" s="105" t="n">
        <v>10</v>
      </c>
      <c r="F59" s="103" t="n">
        <f aca="false">IF(OR($C59="",$D59=0),"",$E59/$D59)</f>
        <v>109.89010989011</v>
      </c>
      <c r="G59" s="104" t="s">
        <v>698</v>
      </c>
      <c r="H59" s="0" t="str">
        <f aca="false">IF($C59="","",IF(COUNTIF('مواد المخزون'!$A$2:$A$86,$C59)&gt;0,"نعم","لا (خارج الجرد)"))</f>
        <v>لا (خارج الجرد)</v>
      </c>
    </row>
    <row r="60" customFormat="false" ht="15" hidden="false" customHeight="false" outlineLevel="0" collapsed="false">
      <c r="A60" s="102" t="n">
        <v>46296</v>
      </c>
      <c r="B60" s="104" t="s">
        <v>32</v>
      </c>
      <c r="C60" s="104" t="s">
        <v>243</v>
      </c>
      <c r="D60" s="105" t="n">
        <v>2000</v>
      </c>
      <c r="E60" s="105" t="n">
        <v>600</v>
      </c>
      <c r="F60" s="103" t="n">
        <f aca="false">IF(OR($C60="",$D60=0),"",$E60/$D60)</f>
        <v>0.3</v>
      </c>
      <c r="G60" s="104" t="s">
        <v>698</v>
      </c>
      <c r="H60" s="0" t="str">
        <f aca="false">IF($C60="","",IF(COUNTIF('مواد المخزون'!$A$2:$A$86,$C60)&gt;0,"نعم","لا (خارج الجرد)"))</f>
        <v>نعم</v>
      </c>
    </row>
    <row r="61" customFormat="false" ht="15" hidden="false" customHeight="false" outlineLevel="0" collapsed="false">
      <c r="A61" s="102" t="n">
        <v>46296</v>
      </c>
      <c r="B61" s="104" t="s">
        <v>32</v>
      </c>
      <c r="C61" s="104" t="s">
        <v>245</v>
      </c>
      <c r="D61" s="105" t="n">
        <v>25</v>
      </c>
      <c r="E61" s="105" t="n">
        <v>3250</v>
      </c>
      <c r="F61" s="103" t="n">
        <f aca="false">IF(OR($C61="",$D61=0),"",$E61/$D61)</f>
        <v>130</v>
      </c>
      <c r="G61" s="104" t="s">
        <v>698</v>
      </c>
      <c r="H61" s="0" t="str">
        <f aca="false">IF($C61="","",IF(COUNTIF('مواد المخزون'!$A$2:$A$86,$C61)&gt;0,"نعم","لا (خارج الجرد)"))</f>
        <v>نعم</v>
      </c>
    </row>
    <row r="62" customFormat="false" ht="15" hidden="false" customHeight="false" outlineLevel="0" collapsed="false">
      <c r="A62" s="102" t="n">
        <v>46296</v>
      </c>
      <c r="B62" s="104" t="s">
        <v>32</v>
      </c>
      <c r="C62" s="104" t="s">
        <v>245</v>
      </c>
      <c r="D62" s="105" t="n">
        <v>4</v>
      </c>
      <c r="E62" s="105" t="n">
        <v>335</v>
      </c>
      <c r="F62" s="103" t="n">
        <f aca="false">IF(OR($C62="",$D62=0),"",$E62/$D62)</f>
        <v>83.75</v>
      </c>
      <c r="G62" s="104" t="s">
        <v>698</v>
      </c>
      <c r="H62" s="0" t="str">
        <f aca="false">IF($C62="","",IF(COUNTIF('مواد المخزون'!$A$2:$A$86,$C62)&gt;0,"نعم","لا (خارج الجرد)"))</f>
        <v>نعم</v>
      </c>
    </row>
    <row r="63" customFormat="false" ht="15" hidden="false" customHeight="false" outlineLevel="0" collapsed="false">
      <c r="A63" s="102" t="n">
        <v>46296</v>
      </c>
      <c r="B63" s="104" t="s">
        <v>32</v>
      </c>
      <c r="C63" s="104" t="s">
        <v>247</v>
      </c>
      <c r="D63" s="105" t="n">
        <v>4</v>
      </c>
      <c r="E63" s="105" t="n">
        <v>400</v>
      </c>
      <c r="F63" s="103" t="n">
        <f aca="false">IF(OR($C63="",$D63=0),"",$E63/$D63)</f>
        <v>100</v>
      </c>
      <c r="G63" s="104" t="s">
        <v>698</v>
      </c>
      <c r="H63" s="0" t="str">
        <f aca="false">IF($C63="","",IF(COUNTIF('مواد المخزون'!$A$2:$A$86,$C63)&gt;0,"نعم","لا (خارج الجرد)"))</f>
        <v>نعم</v>
      </c>
    </row>
    <row r="64" customFormat="false" ht="15" hidden="false" customHeight="false" outlineLevel="0" collapsed="false">
      <c r="A64" s="102" t="n">
        <v>46296</v>
      </c>
      <c r="B64" s="104" t="s">
        <v>32</v>
      </c>
      <c r="C64" s="104" t="s">
        <v>248</v>
      </c>
      <c r="D64" s="105" t="n">
        <v>40</v>
      </c>
      <c r="E64" s="105" t="n">
        <v>480</v>
      </c>
      <c r="F64" s="103" t="n">
        <f aca="false">IF(OR($C64="",$D64=0),"",$E64/$D64)</f>
        <v>12</v>
      </c>
      <c r="G64" s="104" t="s">
        <v>698</v>
      </c>
      <c r="H64" s="0" t="str">
        <f aca="false">IF($C64="","",IF(COUNTIF('مواد المخزون'!$A$2:$A$86,$C64)&gt;0,"نعم","لا (خارج الجرد)"))</f>
        <v>لا (خارج الجرد)</v>
      </c>
    </row>
    <row r="65" customFormat="false" ht="15" hidden="false" customHeight="false" outlineLevel="0" collapsed="false">
      <c r="A65" s="102" t="n">
        <v>46296</v>
      </c>
      <c r="B65" s="104" t="s">
        <v>32</v>
      </c>
      <c r="C65" s="104" t="s">
        <v>250</v>
      </c>
      <c r="D65" s="105" t="n">
        <v>26</v>
      </c>
      <c r="E65" s="105" t="n">
        <v>832</v>
      </c>
      <c r="F65" s="103" t="n">
        <f aca="false">IF(OR($C65="",$D65=0),"",$E65/$D65)</f>
        <v>32</v>
      </c>
      <c r="G65" s="104" t="s">
        <v>698</v>
      </c>
      <c r="H65" s="0" t="str">
        <f aca="false">IF($C65="","",IF(COUNTIF('مواد المخزون'!$A$2:$A$86,$C65)&gt;0,"نعم","لا (خارج الجرد)"))</f>
        <v>نعم</v>
      </c>
    </row>
    <row r="66" customFormat="false" ht="15" hidden="false" customHeight="false" outlineLevel="0" collapsed="false">
      <c r="A66" s="102" t="n">
        <v>46296</v>
      </c>
      <c r="B66" s="104" t="s">
        <v>32</v>
      </c>
      <c r="C66" s="104" t="s">
        <v>252</v>
      </c>
      <c r="D66" s="105" t="n">
        <v>13.5</v>
      </c>
      <c r="E66" s="105" t="n">
        <v>945</v>
      </c>
      <c r="F66" s="103" t="n">
        <f aca="false">IF(OR($C66="",$D66=0),"",$E66/$D66)</f>
        <v>70</v>
      </c>
      <c r="G66" s="104" t="s">
        <v>698</v>
      </c>
      <c r="H66" s="0" t="str">
        <f aca="false">IF($C66="","",IF(COUNTIF('مواد المخزون'!$A$2:$A$86,$C66)&gt;0,"نعم","لا (خارج الجرد)"))</f>
        <v>نعم</v>
      </c>
    </row>
    <row r="67" customFormat="false" ht="15" hidden="false" customHeight="false" outlineLevel="0" collapsed="false">
      <c r="A67" s="102" t="n">
        <v>46296</v>
      </c>
      <c r="B67" s="104" t="s">
        <v>32</v>
      </c>
      <c r="C67" s="104" t="s">
        <v>254</v>
      </c>
      <c r="D67" s="105" t="n">
        <v>5</v>
      </c>
      <c r="E67" s="105" t="n">
        <v>700</v>
      </c>
      <c r="F67" s="103" t="n">
        <f aca="false">IF(OR($C67="",$D67=0),"",$E67/$D67)</f>
        <v>140</v>
      </c>
      <c r="G67" s="104" t="s">
        <v>698</v>
      </c>
      <c r="H67" s="0" t="str">
        <f aca="false">IF($C67="","",IF(COUNTIF('مواد المخزون'!$A$2:$A$86,$C67)&gt;0,"نعم","لا (خارج الجرد)"))</f>
        <v>نعم</v>
      </c>
    </row>
    <row r="68" customFormat="false" ht="15" hidden="false" customHeight="false" outlineLevel="0" collapsed="false">
      <c r="A68" s="102" t="n">
        <v>46296</v>
      </c>
      <c r="B68" s="104" t="s">
        <v>32</v>
      </c>
      <c r="C68" s="104" t="s">
        <v>256</v>
      </c>
      <c r="D68" s="105" t="n">
        <v>10</v>
      </c>
      <c r="E68" s="105" t="n">
        <v>1050</v>
      </c>
      <c r="F68" s="103" t="n">
        <f aca="false">IF(OR($C68="",$D68=0),"",$E68/$D68)</f>
        <v>105</v>
      </c>
      <c r="G68" s="104" t="s">
        <v>698</v>
      </c>
      <c r="H68" s="0" t="str">
        <f aca="false">IF($C68="","",IF(COUNTIF('مواد المخزون'!$A$2:$A$86,$C68)&gt;0,"نعم","لا (خارج الجرد)"))</f>
        <v>نعم</v>
      </c>
    </row>
    <row r="69" customFormat="false" ht="15" hidden="false" customHeight="false" outlineLevel="0" collapsed="false">
      <c r="A69" s="102" t="n">
        <v>46296</v>
      </c>
      <c r="B69" s="104" t="s">
        <v>32</v>
      </c>
      <c r="C69" s="104" t="s">
        <v>258</v>
      </c>
      <c r="D69" s="105" t="n">
        <v>15</v>
      </c>
      <c r="E69" s="105" t="n">
        <v>2100</v>
      </c>
      <c r="F69" s="103" t="n">
        <f aca="false">IF(OR($C69="",$D69=0),"",$E69/$D69)</f>
        <v>140</v>
      </c>
      <c r="G69" s="104" t="s">
        <v>698</v>
      </c>
      <c r="H69" s="0" t="str">
        <f aca="false">IF($C69="","",IF(COUNTIF('مواد المخزون'!$A$2:$A$86,$C69)&gt;0,"نعم","لا (خارج الجرد)"))</f>
        <v>نعم</v>
      </c>
    </row>
    <row r="70" customFormat="false" ht="15" hidden="false" customHeight="false" outlineLevel="0" collapsed="false">
      <c r="A70" s="102" t="n">
        <v>46296</v>
      </c>
      <c r="B70" s="104" t="s">
        <v>32</v>
      </c>
      <c r="C70" s="104" t="s">
        <v>260</v>
      </c>
      <c r="D70" s="105" t="n">
        <v>135</v>
      </c>
      <c r="E70" s="105" t="n">
        <v>2835</v>
      </c>
      <c r="F70" s="103" t="n">
        <f aca="false">IF(OR($C70="",$D70=0),"",$E70/$D70)</f>
        <v>21</v>
      </c>
      <c r="G70" s="104" t="s">
        <v>698</v>
      </c>
      <c r="H70" s="0" t="str">
        <f aca="false">IF($C70="","",IF(COUNTIF('مواد المخزون'!$A$2:$A$86,$C70)&gt;0,"نعم","لا (خارج الجرد)"))</f>
        <v>نعم</v>
      </c>
    </row>
    <row r="71" customFormat="false" ht="15" hidden="false" customHeight="false" outlineLevel="0" collapsed="false">
      <c r="A71" s="102" t="n">
        <v>46296</v>
      </c>
      <c r="B71" s="104" t="s">
        <v>32</v>
      </c>
      <c r="C71" s="104" t="s">
        <v>262</v>
      </c>
      <c r="D71" s="105" t="n">
        <v>161.5</v>
      </c>
      <c r="E71" s="105" t="n">
        <v>3553</v>
      </c>
      <c r="F71" s="103" t="n">
        <f aca="false">IF(OR($C71="",$D71=0),"",$E71/$D71)</f>
        <v>22</v>
      </c>
      <c r="G71" s="104" t="s">
        <v>698</v>
      </c>
      <c r="H71" s="0" t="str">
        <f aca="false">IF($C71="","",IF(COUNTIF('مواد المخزون'!$A$2:$A$86,$C71)&gt;0,"نعم","لا (خارج الجرد)"))</f>
        <v>نعم</v>
      </c>
    </row>
    <row r="72" customFormat="false" ht="15" hidden="false" customHeight="false" outlineLevel="0" collapsed="false">
      <c r="A72" s="102" t="n">
        <v>46296</v>
      </c>
      <c r="B72" s="104" t="s">
        <v>32</v>
      </c>
      <c r="C72" s="104" t="s">
        <v>264</v>
      </c>
      <c r="D72" s="105" t="n">
        <v>1945</v>
      </c>
      <c r="E72" s="105" t="n">
        <v>7780</v>
      </c>
      <c r="F72" s="103" t="n">
        <f aca="false">IF(OR($C72="",$D72=0),"",$E72/$D72)</f>
        <v>4</v>
      </c>
      <c r="G72" s="104" t="s">
        <v>698</v>
      </c>
      <c r="H72" s="0" t="str">
        <f aca="false">IF($C72="","",IF(COUNTIF('مواد المخزون'!$A$2:$A$86,$C72)&gt;0,"نعم","لا (خارج الجرد)"))</f>
        <v>نعم</v>
      </c>
    </row>
    <row r="73" customFormat="false" ht="15" hidden="false" customHeight="false" outlineLevel="0" collapsed="false">
      <c r="A73" s="102" t="n">
        <v>46296</v>
      </c>
      <c r="B73" s="104" t="s">
        <v>32</v>
      </c>
      <c r="C73" s="104" t="s">
        <v>266</v>
      </c>
      <c r="D73" s="105" t="n">
        <v>2</v>
      </c>
      <c r="E73" s="105" t="n">
        <v>280</v>
      </c>
      <c r="F73" s="103" t="n">
        <f aca="false">IF(OR($C73="",$D73=0),"",$E73/$D73)</f>
        <v>140</v>
      </c>
      <c r="G73" s="104" t="s">
        <v>698</v>
      </c>
      <c r="H73" s="0" t="str">
        <f aca="false">IF($C73="","",IF(COUNTIF('مواد المخزون'!$A$2:$A$86,$C73)&gt;0,"نعم","لا (خارج الجرد)"))</f>
        <v>نعم</v>
      </c>
    </row>
    <row r="74" customFormat="false" ht="15" hidden="false" customHeight="false" outlineLevel="0" collapsed="false">
      <c r="A74" s="102" t="n">
        <v>46296</v>
      </c>
      <c r="B74" s="104" t="s">
        <v>32</v>
      </c>
      <c r="C74" s="104" t="s">
        <v>346</v>
      </c>
      <c r="D74" s="105" t="n">
        <v>10</v>
      </c>
      <c r="E74" s="105" t="n">
        <v>80</v>
      </c>
      <c r="F74" s="103" t="n">
        <f aca="false">IF(OR($C74="",$D74=0),"",$E74/$D74)</f>
        <v>8</v>
      </c>
      <c r="G74" s="104" t="s">
        <v>698</v>
      </c>
      <c r="H74" s="0" t="str">
        <f aca="false">IF($C74="","",IF(COUNTIF('مواد المخزون'!$A$2:$A$86,$C74)&gt;0,"نعم","لا (خارج الجرد)"))</f>
        <v>نعم</v>
      </c>
    </row>
    <row r="75" customFormat="false" ht="15" hidden="false" customHeight="false" outlineLevel="0" collapsed="false">
      <c r="A75" s="102" t="n">
        <v>46296</v>
      </c>
      <c r="B75" s="104" t="s">
        <v>32</v>
      </c>
      <c r="C75" s="104" t="s">
        <v>270</v>
      </c>
      <c r="D75" s="105" t="n">
        <v>450</v>
      </c>
      <c r="E75" s="105" t="n">
        <v>2025</v>
      </c>
      <c r="F75" s="103" t="n">
        <f aca="false">IF(OR($C75="",$D75=0),"",$E75/$D75)</f>
        <v>4.5</v>
      </c>
      <c r="G75" s="104" t="s">
        <v>698</v>
      </c>
      <c r="H75" s="0" t="str">
        <f aca="false">IF($C75="","",IF(COUNTIF('مواد المخزون'!$A$2:$A$86,$C75)&gt;0,"نعم","لا (خارج الجرد)"))</f>
        <v>نعم</v>
      </c>
    </row>
    <row r="76" customFormat="false" ht="15" hidden="false" customHeight="false" outlineLevel="0" collapsed="false">
      <c r="A76" s="102" t="n">
        <v>46296</v>
      </c>
      <c r="B76" s="104" t="s">
        <v>32</v>
      </c>
      <c r="C76" s="104" t="s">
        <v>274</v>
      </c>
      <c r="D76" s="105" t="n">
        <v>50</v>
      </c>
      <c r="E76" s="105" t="n">
        <v>85</v>
      </c>
      <c r="F76" s="103" t="n">
        <f aca="false">IF(OR($C76="",$D76=0),"",$E76/$D76)</f>
        <v>1.7</v>
      </c>
      <c r="G76" s="104" t="s">
        <v>698</v>
      </c>
      <c r="H76" s="0" t="str">
        <f aca="false">IF($C76="","",IF(COUNTIF('مواد المخزون'!$A$2:$A$86,$C76)&gt;0,"نعم","لا (خارج الجرد)"))</f>
        <v>نعم</v>
      </c>
    </row>
    <row r="77" customFormat="false" ht="15" hidden="false" customHeight="false" outlineLevel="0" collapsed="false">
      <c r="A77" s="102" t="n">
        <v>46296</v>
      </c>
      <c r="B77" s="104" t="s">
        <v>32</v>
      </c>
      <c r="C77" s="104" t="s">
        <v>276</v>
      </c>
      <c r="D77" s="105" t="n">
        <v>50</v>
      </c>
      <c r="E77" s="105" t="n">
        <v>100</v>
      </c>
      <c r="F77" s="103" t="n">
        <f aca="false">IF(OR($C77="",$D77=0),"",$E77/$D77)</f>
        <v>2</v>
      </c>
      <c r="G77" s="104" t="s">
        <v>698</v>
      </c>
      <c r="H77" s="0" t="str">
        <f aca="false">IF($C77="","",IF(COUNTIF('مواد المخزون'!$A$2:$A$86,$C77)&gt;0,"نعم","لا (خارج الجرد)"))</f>
        <v>نعم</v>
      </c>
    </row>
    <row r="78" customFormat="false" ht="15" hidden="false" customHeight="false" outlineLevel="0" collapsed="false">
      <c r="A78" s="102" t="n">
        <v>46296</v>
      </c>
      <c r="B78" s="104" t="s">
        <v>32</v>
      </c>
      <c r="C78" s="104" t="s">
        <v>278</v>
      </c>
      <c r="D78" s="105" t="n">
        <v>100</v>
      </c>
      <c r="E78" s="105" t="n">
        <v>310</v>
      </c>
      <c r="F78" s="103" t="n">
        <f aca="false">IF(OR($C78="",$D78=0),"",$E78/$D78)</f>
        <v>3.1</v>
      </c>
      <c r="G78" s="104" t="s">
        <v>698</v>
      </c>
      <c r="H78" s="0" t="str">
        <f aca="false">IF($C78="","",IF(COUNTIF('مواد المخزون'!$A$2:$A$86,$C78)&gt;0,"نعم","لا (خارج الجرد)"))</f>
        <v>نعم</v>
      </c>
    </row>
    <row r="79" customFormat="false" ht="15" hidden="false" customHeight="false" outlineLevel="0" collapsed="false">
      <c r="A79" s="102" t="n">
        <v>46296</v>
      </c>
      <c r="B79" s="104" t="s">
        <v>32</v>
      </c>
      <c r="C79" s="104" t="s">
        <v>704</v>
      </c>
      <c r="D79" s="105" t="n">
        <v>0.25</v>
      </c>
      <c r="E79" s="105" t="n">
        <v>100</v>
      </c>
      <c r="F79" s="103" t="n">
        <f aca="false">IF(OR($C79="",$D79=0),"",$E79/$D79)</f>
        <v>400</v>
      </c>
      <c r="G79" s="104" t="s">
        <v>698</v>
      </c>
      <c r="H79" s="0" t="str">
        <f aca="false">IF($C79="","",IF(COUNTIF('مواد المخزون'!$A$2:$A$86,$C79)&gt;0,"نعم","لا (خارج الجرد)"))</f>
        <v>لا (خارج الجرد)</v>
      </c>
    </row>
    <row r="80" customFormat="false" ht="15" hidden="false" customHeight="false" outlineLevel="0" collapsed="false">
      <c r="A80" s="102" t="n">
        <v>46296</v>
      </c>
      <c r="B80" s="104" t="s">
        <v>32</v>
      </c>
      <c r="C80" s="104" t="s">
        <v>284</v>
      </c>
      <c r="D80" s="105" t="n">
        <v>70.5</v>
      </c>
      <c r="E80" s="105" t="n">
        <v>1903.5</v>
      </c>
      <c r="F80" s="103" t="n">
        <f aca="false">IF(OR($C80="",$D80=0),"",$E80/$D80)</f>
        <v>27</v>
      </c>
      <c r="G80" s="104" t="s">
        <v>698</v>
      </c>
      <c r="H80" s="0" t="str">
        <f aca="false">IF($C80="","",IF(COUNTIF('مواد المخزون'!$A$2:$A$86,$C80)&gt;0,"نعم","لا (خارج الجرد)"))</f>
        <v>نعم</v>
      </c>
    </row>
    <row r="81" customFormat="false" ht="15" hidden="false" customHeight="false" outlineLevel="0" collapsed="false">
      <c r="A81" s="102" t="n">
        <v>46296</v>
      </c>
      <c r="B81" s="104" t="s">
        <v>32</v>
      </c>
      <c r="C81" s="104" t="s">
        <v>288</v>
      </c>
      <c r="D81" s="105" t="n">
        <v>564</v>
      </c>
      <c r="E81" s="105" t="n">
        <v>3948</v>
      </c>
      <c r="F81" s="103" t="n">
        <f aca="false">IF(OR($C81="",$D81=0),"",$E81/$D81)</f>
        <v>7</v>
      </c>
      <c r="G81" s="104" t="s">
        <v>698</v>
      </c>
      <c r="H81" s="0" t="str">
        <f aca="false">IF($C81="","",IF(COUNTIF('مواد المخزون'!$A$2:$A$86,$C81)&gt;0,"نعم","لا (خارج الجرد)"))</f>
        <v>نعم</v>
      </c>
    </row>
    <row r="82" customFormat="false" ht="15" hidden="false" customHeight="false" outlineLevel="0" collapsed="false">
      <c r="A82" s="102" t="n">
        <v>46296</v>
      </c>
      <c r="B82" s="104" t="s">
        <v>32</v>
      </c>
      <c r="C82" s="104" t="s">
        <v>290</v>
      </c>
      <c r="D82" s="105" t="n">
        <v>4000</v>
      </c>
      <c r="E82" s="105" t="n">
        <v>1200</v>
      </c>
      <c r="F82" s="103" t="n">
        <f aca="false">IF(OR($C82="",$D82=0),"",$E82/$D82)</f>
        <v>0.3</v>
      </c>
      <c r="G82" s="104" t="s">
        <v>698</v>
      </c>
      <c r="H82" s="0" t="str">
        <f aca="false">IF($C82="","",IF(COUNTIF('مواد المخزون'!$A$2:$A$86,$C82)&gt;0,"نعم","لا (خارج الجرد)"))</f>
        <v>نعم</v>
      </c>
    </row>
    <row r="83" customFormat="false" ht="15" hidden="false" customHeight="false" outlineLevel="0" collapsed="false">
      <c r="A83" s="102" t="n">
        <v>46296</v>
      </c>
      <c r="B83" s="104" t="s">
        <v>32</v>
      </c>
      <c r="C83" s="104" t="s">
        <v>291</v>
      </c>
      <c r="D83" s="105" t="n">
        <v>14.4</v>
      </c>
      <c r="E83" s="105" t="n">
        <v>1296</v>
      </c>
      <c r="F83" s="103" t="n">
        <f aca="false">IF(OR($C83="",$D83=0),"",$E83/$D83)</f>
        <v>90</v>
      </c>
      <c r="G83" s="104" t="s">
        <v>698</v>
      </c>
      <c r="H83" s="0" t="str">
        <f aca="false">IF($C83="","",IF(COUNTIF('مواد المخزون'!$A$2:$A$86,$C83)&gt;0,"نعم","لا (خارج الجرد)"))</f>
        <v>نعم</v>
      </c>
    </row>
    <row r="84" customFormat="false" ht="15" hidden="false" customHeight="false" outlineLevel="0" collapsed="false">
      <c r="A84" s="102" t="n">
        <v>46296</v>
      </c>
      <c r="B84" s="104" t="s">
        <v>32</v>
      </c>
      <c r="C84" s="104" t="s">
        <v>293</v>
      </c>
      <c r="D84" s="105" t="n">
        <v>1200</v>
      </c>
      <c r="E84" s="105" t="n">
        <v>600</v>
      </c>
      <c r="F84" s="103" t="n">
        <f aca="false">IF(OR($C84="",$D84=0),"",$E84/$D84)</f>
        <v>0.5</v>
      </c>
      <c r="G84" s="104" t="s">
        <v>698</v>
      </c>
      <c r="H84" s="0" t="str">
        <f aca="false">IF($C84="","",IF(COUNTIF('مواد المخزون'!$A$2:$A$86,$C84)&gt;0,"نعم","لا (خارج الجرد)"))</f>
        <v>نعم</v>
      </c>
    </row>
    <row r="85" customFormat="false" ht="15" hidden="false" customHeight="false" outlineLevel="0" collapsed="false">
      <c r="A85" s="102" t="n">
        <v>46296</v>
      </c>
      <c r="B85" s="104" t="s">
        <v>32</v>
      </c>
      <c r="C85" s="104" t="s">
        <v>295</v>
      </c>
      <c r="D85" s="105" t="n">
        <v>3</v>
      </c>
      <c r="E85" s="105" t="n">
        <v>1260</v>
      </c>
      <c r="F85" s="103" t="n">
        <f aca="false">IF(OR($C85="",$D85=0),"",$E85/$D85)</f>
        <v>420</v>
      </c>
      <c r="G85" s="104" t="s">
        <v>698</v>
      </c>
      <c r="H85" s="0" t="str">
        <f aca="false">IF($C85="","",IF(COUNTIF('مواد المخزون'!$A$2:$A$86,$C85)&gt;0,"نعم","لا (خارج الجرد)"))</f>
        <v>نعم</v>
      </c>
    </row>
    <row r="86" customFormat="false" ht="15" hidden="false" customHeight="false" outlineLevel="0" collapsed="false">
      <c r="A86" s="102" t="n">
        <v>46296</v>
      </c>
      <c r="B86" s="104" t="s">
        <v>32</v>
      </c>
      <c r="C86" s="104" t="s">
        <v>705</v>
      </c>
      <c r="D86" s="105" t="n">
        <v>20</v>
      </c>
      <c r="E86" s="105" t="n">
        <v>160</v>
      </c>
      <c r="F86" s="103" t="n">
        <f aca="false">IF(OR($C86="",$D86=0),"",$E86/$D86)</f>
        <v>8</v>
      </c>
      <c r="G86" s="104" t="s">
        <v>698</v>
      </c>
      <c r="H86" s="0" t="str">
        <f aca="false">IF($C86="","",IF(COUNTIF('مواد المخزون'!$A$2:$A$86,$C86)&gt;0,"نعم","لا (خارج الجرد)"))</f>
        <v>لا (خارج الجرد)</v>
      </c>
    </row>
    <row r="87" customFormat="false" ht="15" hidden="false" customHeight="false" outlineLevel="0" collapsed="false">
      <c r="A87" s="102" t="n">
        <v>46296</v>
      </c>
      <c r="B87" s="104" t="s">
        <v>32</v>
      </c>
      <c r="C87" s="104" t="s">
        <v>298</v>
      </c>
      <c r="D87" s="105" t="n">
        <v>110</v>
      </c>
      <c r="E87" s="105" t="n">
        <v>2360</v>
      </c>
      <c r="F87" s="103" t="n">
        <f aca="false">IF(OR($C87="",$D87=0),"",$E87/$D87)</f>
        <v>21.4545454545455</v>
      </c>
      <c r="G87" s="104" t="s">
        <v>698</v>
      </c>
      <c r="H87" s="0" t="str">
        <f aca="false">IF($C87="","",IF(COUNTIF('مواد المخزون'!$A$2:$A$86,$C87)&gt;0,"نعم","لا (خارج الجرد)"))</f>
        <v>نعم</v>
      </c>
    </row>
    <row r="88" customFormat="false" ht="15" hidden="false" customHeight="false" outlineLevel="0" collapsed="false">
      <c r="A88" s="102" t="n">
        <v>46296</v>
      </c>
      <c r="B88" s="104" t="s">
        <v>32</v>
      </c>
      <c r="C88" s="104" t="s">
        <v>300</v>
      </c>
      <c r="D88" s="105" t="n">
        <v>12</v>
      </c>
      <c r="E88" s="105" t="n">
        <v>72</v>
      </c>
      <c r="F88" s="103" t="n">
        <f aca="false">IF(OR($C88="",$D88=0),"",$E88/$D88)</f>
        <v>6</v>
      </c>
      <c r="G88" s="104" t="s">
        <v>698</v>
      </c>
      <c r="H88" s="0" t="str">
        <f aca="false">IF($C88="","",IF(COUNTIF('مواد المخزون'!$A$2:$A$86,$C88)&gt;0,"نعم","لا (خارج الجرد)"))</f>
        <v>لا (خارج الجرد)</v>
      </c>
    </row>
    <row r="89" customFormat="false" ht="15" hidden="false" customHeight="false" outlineLevel="0" collapsed="false">
      <c r="A89" s="102" t="n">
        <v>46296</v>
      </c>
      <c r="B89" s="104" t="s">
        <v>32</v>
      </c>
      <c r="C89" s="104" t="s">
        <v>302</v>
      </c>
      <c r="D89" s="105" t="n">
        <v>1</v>
      </c>
      <c r="E89" s="105" t="n">
        <v>135</v>
      </c>
      <c r="F89" s="103" t="n">
        <f aca="false">IF(OR($C89="",$D89=0),"",$E89/$D89)</f>
        <v>135</v>
      </c>
      <c r="G89" s="104" t="s">
        <v>698</v>
      </c>
      <c r="H89" s="0" t="str">
        <f aca="false">IF($C89="","",IF(COUNTIF('مواد المخزون'!$A$2:$A$86,$C89)&gt;0,"نعم","لا (خارج الجرد)"))</f>
        <v>نعم</v>
      </c>
    </row>
    <row r="90" customFormat="false" ht="15" hidden="false" customHeight="false" outlineLevel="0" collapsed="false">
      <c r="A90" s="102" t="n">
        <v>46296</v>
      </c>
      <c r="B90" s="104" t="s">
        <v>32</v>
      </c>
      <c r="C90" s="104" t="s">
        <v>706</v>
      </c>
      <c r="D90" s="105" t="n">
        <v>5</v>
      </c>
      <c r="E90" s="105" t="n">
        <v>60</v>
      </c>
      <c r="F90" s="103" t="n">
        <f aca="false">IF(OR($C90="",$D90=0),"",$E90/$D90)</f>
        <v>12</v>
      </c>
      <c r="G90" s="104" t="s">
        <v>698</v>
      </c>
      <c r="H90" s="0" t="str">
        <f aca="false">IF($C90="","",IF(COUNTIF('مواد المخزون'!$A$2:$A$86,$C90)&gt;0,"نعم","لا (خارج الجرد)"))</f>
        <v>لا (خارج الجرد)</v>
      </c>
    </row>
    <row r="91" customFormat="false" ht="15" hidden="false" customHeight="false" outlineLevel="0" collapsed="false">
      <c r="A91" s="102" t="n">
        <v>46296</v>
      </c>
      <c r="B91" s="104" t="s">
        <v>32</v>
      </c>
      <c r="C91" s="104" t="s">
        <v>309</v>
      </c>
      <c r="D91" s="105" t="n">
        <v>10</v>
      </c>
      <c r="E91" s="105" t="n">
        <v>240</v>
      </c>
      <c r="F91" s="103" t="n">
        <f aca="false">IF(OR($C91="",$D91=0),"",$E91/$D91)</f>
        <v>24</v>
      </c>
      <c r="G91" s="104" t="s">
        <v>698</v>
      </c>
      <c r="H91" s="0" t="str">
        <f aca="false">IF($C91="","",IF(COUNTIF('مواد المخزون'!$A$2:$A$86,$C91)&gt;0,"نعم","لا (خارج الجرد)"))</f>
        <v>نعم</v>
      </c>
    </row>
    <row r="92" customFormat="false" ht="15" hidden="false" customHeight="false" outlineLevel="0" collapsed="false">
      <c r="A92" s="102" t="n">
        <v>46296</v>
      </c>
      <c r="B92" s="104" t="s">
        <v>32</v>
      </c>
      <c r="C92" s="104" t="s">
        <v>317</v>
      </c>
      <c r="D92" s="105" t="n">
        <v>1</v>
      </c>
      <c r="E92" s="105" t="n">
        <v>610</v>
      </c>
      <c r="F92" s="103" t="n">
        <f aca="false">IF(OR($C92="",$D92=0),"",$E92/$D92)</f>
        <v>610</v>
      </c>
      <c r="G92" s="104" t="s">
        <v>698</v>
      </c>
      <c r="H92" s="0" t="str">
        <f aca="false">IF($C92="","",IF(COUNTIF('مواد المخزون'!$A$2:$A$86,$C92)&gt;0,"نعم","لا (خارج الجرد)"))</f>
        <v>نعم</v>
      </c>
    </row>
    <row r="93" customFormat="false" ht="15" hidden="false" customHeight="false" outlineLevel="0" collapsed="false">
      <c r="A93" s="102" t="n">
        <v>46296</v>
      </c>
      <c r="B93" s="104" t="s">
        <v>32</v>
      </c>
      <c r="C93" s="104" t="s">
        <v>707</v>
      </c>
      <c r="D93" s="105" t="n">
        <v>1</v>
      </c>
      <c r="E93" s="105" t="n">
        <v>120</v>
      </c>
      <c r="F93" s="103" t="n">
        <f aca="false">IF(OR($C93="",$D93=0),"",$E93/$D93)</f>
        <v>120</v>
      </c>
      <c r="G93" s="104" t="s">
        <v>698</v>
      </c>
      <c r="H93" s="0" t="str">
        <f aca="false">IF($C93="","",IF(COUNTIF('مواد المخزون'!$A$2:$A$86,$C93)&gt;0,"نعم","لا (خارج الجرد)"))</f>
        <v>نعم</v>
      </c>
    </row>
    <row r="94" customFormat="false" ht="15" hidden="false" customHeight="false" outlineLevel="0" collapsed="false">
      <c r="A94" s="102" t="n">
        <v>46296</v>
      </c>
      <c r="B94" s="104" t="s">
        <v>33</v>
      </c>
      <c r="C94" s="104" t="s">
        <v>125</v>
      </c>
      <c r="D94" s="105" t="n">
        <v>400</v>
      </c>
      <c r="E94" s="105" t="n">
        <v>320</v>
      </c>
      <c r="F94" s="103" t="n">
        <f aca="false">IF(OR($C94="",$D94=0),"",$E94/$D94)</f>
        <v>0.8</v>
      </c>
      <c r="G94" s="104" t="s">
        <v>698</v>
      </c>
      <c r="H94" s="0" t="str">
        <f aca="false">IF($C94="","",IF(COUNTIF('مواد المخزون'!$A$2:$A$86,$C94)&gt;0,"نعم","لا (خارج الجرد)"))</f>
        <v>نعم</v>
      </c>
    </row>
    <row r="95" customFormat="false" ht="15" hidden="false" customHeight="false" outlineLevel="0" collapsed="false">
      <c r="A95" s="102" t="n">
        <v>46296</v>
      </c>
      <c r="B95" s="104" t="s">
        <v>33</v>
      </c>
      <c r="C95" s="104" t="s">
        <v>708</v>
      </c>
      <c r="D95" s="105" t="n">
        <v>0.5</v>
      </c>
      <c r="E95" s="105" t="n">
        <v>50</v>
      </c>
      <c r="F95" s="103" t="n">
        <f aca="false">IF(OR($C95="",$D95=0),"",$E95/$D95)</f>
        <v>100</v>
      </c>
      <c r="G95" s="104" t="s">
        <v>698</v>
      </c>
      <c r="H95" s="0" t="str">
        <f aca="false">IF($C95="","",IF(COUNTIF('مواد المخزون'!$A$2:$A$86,$C95)&gt;0,"نعم","لا (خارج الجرد)"))</f>
        <v>لا (خارج الجرد)</v>
      </c>
    </row>
    <row r="96" customFormat="false" ht="15" hidden="false" customHeight="false" outlineLevel="0" collapsed="false">
      <c r="A96" s="102" t="n">
        <v>46296</v>
      </c>
      <c r="B96" s="104" t="s">
        <v>33</v>
      </c>
      <c r="C96" s="104" t="s">
        <v>709</v>
      </c>
      <c r="D96" s="105" t="n">
        <v>0.75</v>
      </c>
      <c r="E96" s="105" t="n">
        <v>90</v>
      </c>
      <c r="F96" s="103" t="n">
        <f aca="false">IF(OR($C96="",$D96=0),"",$E96/$D96)</f>
        <v>120</v>
      </c>
      <c r="G96" s="104" t="s">
        <v>698</v>
      </c>
      <c r="H96" s="0" t="str">
        <f aca="false">IF($C96="","",IF(COUNTIF('مواد المخزون'!$A$2:$A$86,$C96)&gt;0,"نعم","لا (خارج الجرد)"))</f>
        <v>لا (خارج الجرد)</v>
      </c>
    </row>
    <row r="97" customFormat="false" ht="15" hidden="false" customHeight="false" outlineLevel="0" collapsed="false">
      <c r="A97" s="102" t="n">
        <v>46296</v>
      </c>
      <c r="B97" s="104" t="s">
        <v>33</v>
      </c>
      <c r="C97" s="104" t="s">
        <v>131</v>
      </c>
      <c r="D97" s="105" t="n">
        <v>1</v>
      </c>
      <c r="E97" s="105" t="n">
        <v>80</v>
      </c>
      <c r="F97" s="103" t="n">
        <f aca="false">IF(OR($C97="",$D97=0),"",$E97/$D97)</f>
        <v>80</v>
      </c>
      <c r="G97" s="104" t="s">
        <v>698</v>
      </c>
      <c r="H97" s="0" t="str">
        <f aca="false">IF($C97="","",IF(COUNTIF('مواد المخزون'!$A$2:$A$86,$C97)&gt;0,"نعم","لا (خارج الجرد)"))</f>
        <v>لا (خارج الجرد)</v>
      </c>
    </row>
    <row r="98" customFormat="false" ht="15" hidden="false" customHeight="false" outlineLevel="0" collapsed="false">
      <c r="A98" s="102" t="n">
        <v>46296</v>
      </c>
      <c r="B98" s="104" t="s">
        <v>33</v>
      </c>
      <c r="C98" s="104" t="s">
        <v>133</v>
      </c>
      <c r="D98" s="105" t="n">
        <v>25</v>
      </c>
      <c r="E98" s="105" t="n">
        <v>1750</v>
      </c>
      <c r="F98" s="103" t="n">
        <f aca="false">IF(OR($C98="",$D98=0),"",$E98/$D98)</f>
        <v>70</v>
      </c>
      <c r="G98" s="104" t="s">
        <v>698</v>
      </c>
      <c r="H98" s="0" t="str">
        <f aca="false">IF($C98="","",IF(COUNTIF('مواد المخزون'!$A$2:$A$86,$C98)&gt;0,"نعم","لا (خارج الجرد)"))</f>
        <v>نعم</v>
      </c>
    </row>
    <row r="99" customFormat="false" ht="15" hidden="false" customHeight="false" outlineLevel="0" collapsed="false">
      <c r="A99" s="102" t="n">
        <v>46296</v>
      </c>
      <c r="B99" s="104" t="s">
        <v>33</v>
      </c>
      <c r="C99" s="104" t="s">
        <v>136</v>
      </c>
      <c r="D99" s="105" t="n">
        <v>25</v>
      </c>
      <c r="E99" s="105" t="n">
        <v>1750</v>
      </c>
      <c r="F99" s="103" t="n">
        <f aca="false">IF(OR($C99="",$D99=0),"",$E99/$D99)</f>
        <v>70</v>
      </c>
      <c r="G99" s="104" t="s">
        <v>698</v>
      </c>
      <c r="H99" s="0" t="str">
        <f aca="false">IF($C99="","",IF(COUNTIF('مواد المخزون'!$A$2:$A$86,$C99)&gt;0,"نعم","لا (خارج الجرد)"))</f>
        <v>نعم</v>
      </c>
    </row>
    <row r="100" customFormat="false" ht="15" hidden="false" customHeight="false" outlineLevel="0" collapsed="false">
      <c r="A100" s="102" t="n">
        <v>46296</v>
      </c>
      <c r="B100" s="104" t="s">
        <v>33</v>
      </c>
      <c r="C100" s="104" t="s">
        <v>138</v>
      </c>
      <c r="D100" s="105" t="n">
        <v>2</v>
      </c>
      <c r="E100" s="105" t="n">
        <v>120</v>
      </c>
      <c r="F100" s="103" t="n">
        <f aca="false">IF(OR($C100="",$D100=0),"",$E100/$D100)</f>
        <v>60</v>
      </c>
      <c r="G100" s="104" t="s">
        <v>698</v>
      </c>
      <c r="H100" s="0" t="str">
        <f aca="false">IF($C100="","",IF(COUNTIF('مواد المخزون'!$A$2:$A$86,$C100)&gt;0,"نعم","لا (خارج الجرد)"))</f>
        <v>لا (خارج الجرد)</v>
      </c>
    </row>
    <row r="101" customFormat="false" ht="15" hidden="false" customHeight="false" outlineLevel="0" collapsed="false">
      <c r="A101" s="102" t="n">
        <v>46296</v>
      </c>
      <c r="B101" s="104" t="s">
        <v>33</v>
      </c>
      <c r="C101" s="104" t="s">
        <v>699</v>
      </c>
      <c r="D101" s="105" t="n">
        <v>215</v>
      </c>
      <c r="E101" s="105" t="n">
        <v>3870</v>
      </c>
      <c r="F101" s="103" t="n">
        <f aca="false">IF(OR($C101="",$D101=0),"",$E101/$D101)</f>
        <v>18</v>
      </c>
      <c r="G101" s="104" t="s">
        <v>698</v>
      </c>
      <c r="H101" s="0" t="str">
        <f aca="false">IF($C101="","",IF(COUNTIF('مواد المخزون'!$A$2:$A$86,$C101)&gt;0,"نعم","لا (خارج الجرد)"))</f>
        <v>نعم</v>
      </c>
    </row>
    <row r="102" customFormat="false" ht="15" hidden="false" customHeight="false" outlineLevel="0" collapsed="false">
      <c r="A102" s="102" t="n">
        <v>46296</v>
      </c>
      <c r="B102" s="104" t="s">
        <v>33</v>
      </c>
      <c r="C102" s="104" t="s">
        <v>142</v>
      </c>
      <c r="D102" s="105" t="n">
        <v>410</v>
      </c>
      <c r="E102" s="105" t="n">
        <v>14350</v>
      </c>
      <c r="F102" s="103" t="n">
        <f aca="false">IF(OR($C102="",$D102=0),"",$E102/$D102)</f>
        <v>35</v>
      </c>
      <c r="G102" s="104" t="s">
        <v>698</v>
      </c>
      <c r="H102" s="0" t="str">
        <f aca="false">IF($C102="","",IF(COUNTIF('مواد المخزون'!$A$2:$A$86,$C102)&gt;0,"نعم","لا (خارج الجرد)"))</f>
        <v>نعم</v>
      </c>
    </row>
    <row r="103" customFormat="false" ht="15" hidden="false" customHeight="false" outlineLevel="0" collapsed="false">
      <c r="A103" s="102" t="n">
        <v>46296</v>
      </c>
      <c r="B103" s="104" t="s">
        <v>33</v>
      </c>
      <c r="C103" s="104" t="s">
        <v>144</v>
      </c>
      <c r="D103" s="105" t="n">
        <v>60</v>
      </c>
      <c r="E103" s="105" t="n">
        <v>2760</v>
      </c>
      <c r="F103" s="103" t="n">
        <f aca="false">IF(OR($C103="",$D103=0),"",$E103/$D103)</f>
        <v>46</v>
      </c>
      <c r="G103" s="104" t="s">
        <v>698</v>
      </c>
      <c r="H103" s="0" t="str">
        <f aca="false">IF($C103="","",IF(COUNTIF('مواد المخزون'!$A$2:$A$86,$C103)&gt;0,"نعم","لا (خارج الجرد)"))</f>
        <v>نعم</v>
      </c>
    </row>
    <row r="104" customFormat="false" ht="15" hidden="false" customHeight="false" outlineLevel="0" collapsed="false">
      <c r="A104" s="102" t="n">
        <v>46296</v>
      </c>
      <c r="B104" s="104" t="s">
        <v>33</v>
      </c>
      <c r="C104" s="104" t="s">
        <v>146</v>
      </c>
      <c r="D104" s="105" t="n">
        <v>75</v>
      </c>
      <c r="E104" s="105" t="n">
        <v>422.5</v>
      </c>
      <c r="F104" s="103" t="n">
        <f aca="false">IF(OR($C104="",$D104=0),"",$E104/$D104)</f>
        <v>5.63333333333333</v>
      </c>
      <c r="G104" s="104" t="s">
        <v>698</v>
      </c>
      <c r="H104" s="0" t="str">
        <f aca="false">IF($C104="","",IF(COUNTIF('مواد المخزون'!$A$2:$A$86,$C104)&gt;0,"نعم","لا (خارج الجرد)"))</f>
        <v>نعم</v>
      </c>
    </row>
    <row r="105" customFormat="false" ht="15" hidden="false" customHeight="false" outlineLevel="0" collapsed="false">
      <c r="A105" s="102" t="n">
        <v>46296</v>
      </c>
      <c r="B105" s="104" t="s">
        <v>33</v>
      </c>
      <c r="C105" s="104" t="s">
        <v>148</v>
      </c>
      <c r="D105" s="105" t="n">
        <v>600</v>
      </c>
      <c r="E105" s="105" t="n">
        <v>5400</v>
      </c>
      <c r="F105" s="103" t="n">
        <f aca="false">IF(OR($C105="",$D105=0),"",$E105/$D105)</f>
        <v>9</v>
      </c>
      <c r="G105" s="104" t="s">
        <v>698</v>
      </c>
      <c r="H105" s="0" t="str">
        <f aca="false">IF($C105="","",IF(COUNTIF('مواد المخزون'!$A$2:$A$86,$C105)&gt;0,"نعم","لا (خارج الجرد)"))</f>
        <v>نعم</v>
      </c>
    </row>
    <row r="106" customFormat="false" ht="15" hidden="false" customHeight="false" outlineLevel="0" collapsed="false">
      <c r="A106" s="102" t="n">
        <v>46296</v>
      </c>
      <c r="B106" s="104" t="s">
        <v>33</v>
      </c>
      <c r="C106" s="104" t="s">
        <v>150</v>
      </c>
      <c r="D106" s="105" t="n">
        <v>11</v>
      </c>
      <c r="E106" s="105" t="n">
        <v>1045</v>
      </c>
      <c r="F106" s="103" t="n">
        <f aca="false">IF(OR($C106="",$D106=0),"",$E106/$D106)</f>
        <v>95</v>
      </c>
      <c r="G106" s="104" t="s">
        <v>698</v>
      </c>
      <c r="H106" s="0" t="str">
        <f aca="false">IF($C106="","",IF(COUNTIF('مواد المخزون'!$A$2:$A$86,$C106)&gt;0,"نعم","لا (خارج الجرد)"))</f>
        <v>نعم</v>
      </c>
    </row>
    <row r="107" customFormat="false" ht="15" hidden="false" customHeight="false" outlineLevel="0" collapsed="false">
      <c r="A107" s="102" t="n">
        <v>46296</v>
      </c>
      <c r="B107" s="104" t="s">
        <v>33</v>
      </c>
      <c r="C107" s="104" t="s">
        <v>152</v>
      </c>
      <c r="D107" s="105" t="n">
        <v>480</v>
      </c>
      <c r="E107" s="105" t="n">
        <v>16320</v>
      </c>
      <c r="F107" s="103" t="n">
        <f aca="false">IF(OR($C107="",$D107=0),"",$E107/$D107)</f>
        <v>34</v>
      </c>
      <c r="G107" s="104" t="s">
        <v>698</v>
      </c>
      <c r="H107" s="0" t="str">
        <f aca="false">IF($C107="","",IF(COUNTIF('مواد المخزون'!$A$2:$A$86,$C107)&gt;0,"نعم","لا (خارج الجرد)"))</f>
        <v>نعم</v>
      </c>
    </row>
    <row r="108" customFormat="false" ht="15" hidden="false" customHeight="false" outlineLevel="0" collapsed="false">
      <c r="A108" s="102" t="n">
        <v>46296</v>
      </c>
      <c r="B108" s="104" t="s">
        <v>33</v>
      </c>
      <c r="C108" s="104" t="s">
        <v>154</v>
      </c>
      <c r="D108" s="105" t="n">
        <v>90</v>
      </c>
      <c r="E108" s="105" t="n">
        <v>4050</v>
      </c>
      <c r="F108" s="103" t="n">
        <f aca="false">IF(OR($C108="",$D108=0),"",$E108/$D108)</f>
        <v>45</v>
      </c>
      <c r="G108" s="104" t="s">
        <v>698</v>
      </c>
      <c r="H108" s="0" t="str">
        <f aca="false">IF($C108="","",IF(COUNTIF('مواد المخزون'!$A$2:$A$86,$C108)&gt;0,"نعم","لا (خارج الجرد)"))</f>
        <v>نعم</v>
      </c>
    </row>
    <row r="109" customFormat="false" ht="15" hidden="false" customHeight="false" outlineLevel="0" collapsed="false">
      <c r="A109" s="102" t="n">
        <v>46296</v>
      </c>
      <c r="B109" s="104" t="s">
        <v>33</v>
      </c>
      <c r="C109" s="104" t="s">
        <v>156</v>
      </c>
      <c r="D109" s="105" t="n">
        <v>40</v>
      </c>
      <c r="E109" s="105" t="n">
        <v>1120</v>
      </c>
      <c r="F109" s="103" t="n">
        <f aca="false">IF(OR($C109="",$D109=0),"",$E109/$D109)</f>
        <v>28</v>
      </c>
      <c r="G109" s="104" t="s">
        <v>698</v>
      </c>
      <c r="H109" s="0" t="str">
        <f aca="false">IF($C109="","",IF(COUNTIF('مواد المخزون'!$A$2:$A$86,$C109)&gt;0,"نعم","لا (خارج الجرد)"))</f>
        <v>نعم</v>
      </c>
    </row>
    <row r="110" customFormat="false" ht="15" hidden="false" customHeight="false" outlineLevel="0" collapsed="false">
      <c r="A110" s="102" t="n">
        <v>46296</v>
      </c>
      <c r="B110" s="104" t="s">
        <v>33</v>
      </c>
      <c r="C110" s="104" t="s">
        <v>158</v>
      </c>
      <c r="D110" s="105" t="n">
        <v>158</v>
      </c>
      <c r="E110" s="105" t="n">
        <v>5334</v>
      </c>
      <c r="F110" s="103" t="n">
        <f aca="false">IF(OR($C110="",$D110=0),"",$E110/$D110)</f>
        <v>33.7594936708861</v>
      </c>
      <c r="G110" s="104" t="s">
        <v>698</v>
      </c>
      <c r="H110" s="0" t="str">
        <f aca="false">IF($C110="","",IF(COUNTIF('مواد المخزون'!$A$2:$A$86,$C110)&gt;0,"نعم","لا (خارج الجرد)"))</f>
        <v>نعم</v>
      </c>
    </row>
    <row r="111" customFormat="false" ht="15" hidden="false" customHeight="false" outlineLevel="0" collapsed="false">
      <c r="A111" s="102" t="n">
        <v>46296</v>
      </c>
      <c r="B111" s="104" t="s">
        <v>33</v>
      </c>
      <c r="C111" s="104" t="s">
        <v>160</v>
      </c>
      <c r="D111" s="105" t="n">
        <v>40</v>
      </c>
      <c r="E111" s="105" t="n">
        <v>2000</v>
      </c>
      <c r="F111" s="103" t="n">
        <f aca="false">IF(OR($C111="",$D111=0),"",$E111/$D111)</f>
        <v>50</v>
      </c>
      <c r="G111" s="104" t="s">
        <v>698</v>
      </c>
      <c r="H111" s="0" t="str">
        <f aca="false">IF($C111="","",IF(COUNTIF('مواد المخزون'!$A$2:$A$86,$C111)&gt;0,"نعم","لا (خارج الجرد)"))</f>
        <v>نعم</v>
      </c>
    </row>
    <row r="112" customFormat="false" ht="15" hidden="false" customHeight="false" outlineLevel="0" collapsed="false">
      <c r="A112" s="102" t="n">
        <v>46296</v>
      </c>
      <c r="B112" s="104" t="s">
        <v>33</v>
      </c>
      <c r="C112" s="104" t="s">
        <v>162</v>
      </c>
      <c r="D112" s="105" t="n">
        <v>60</v>
      </c>
      <c r="E112" s="105" t="n">
        <v>1800</v>
      </c>
      <c r="F112" s="103" t="n">
        <f aca="false">IF(OR($C112="",$D112=0),"",$E112/$D112)</f>
        <v>30</v>
      </c>
      <c r="G112" s="104" t="s">
        <v>698</v>
      </c>
      <c r="H112" s="0" t="str">
        <f aca="false">IF($C112="","",IF(COUNTIF('مواد المخزون'!$A$2:$A$86,$C112)&gt;0,"نعم","لا (خارج الجرد)"))</f>
        <v>نعم</v>
      </c>
    </row>
    <row r="113" customFormat="false" ht="15" hidden="false" customHeight="false" outlineLevel="0" collapsed="false">
      <c r="A113" s="102" t="n">
        <v>46296</v>
      </c>
      <c r="B113" s="104" t="s">
        <v>33</v>
      </c>
      <c r="C113" s="104" t="s">
        <v>168</v>
      </c>
      <c r="D113" s="105" t="n">
        <v>10</v>
      </c>
      <c r="E113" s="105" t="n">
        <v>210</v>
      </c>
      <c r="F113" s="103" t="n">
        <f aca="false">IF(OR($C113="",$D113=0),"",$E113/$D113)</f>
        <v>21</v>
      </c>
      <c r="G113" s="104" t="s">
        <v>698</v>
      </c>
      <c r="H113" s="0" t="str">
        <f aca="false">IF($C113="","",IF(COUNTIF('مواد المخزون'!$A$2:$A$86,$C113)&gt;0,"نعم","لا (خارج الجرد)"))</f>
        <v>نعم</v>
      </c>
    </row>
    <row r="114" customFormat="false" ht="15" hidden="false" customHeight="false" outlineLevel="0" collapsed="false">
      <c r="A114" s="102" t="n">
        <v>46296</v>
      </c>
      <c r="B114" s="104" t="s">
        <v>33</v>
      </c>
      <c r="C114" s="104" t="s">
        <v>170</v>
      </c>
      <c r="D114" s="105" t="n">
        <v>16</v>
      </c>
      <c r="E114" s="105" t="n">
        <v>368</v>
      </c>
      <c r="F114" s="103" t="n">
        <f aca="false">IF(OR($C114="",$D114=0),"",$E114/$D114)</f>
        <v>23</v>
      </c>
      <c r="G114" s="104" t="s">
        <v>698</v>
      </c>
      <c r="H114" s="0" t="str">
        <f aca="false">IF($C114="","",IF(COUNTIF('مواد المخزون'!$A$2:$A$86,$C114)&gt;0,"نعم","لا (خارج الجرد)"))</f>
        <v>نعم</v>
      </c>
    </row>
    <row r="115" customFormat="false" ht="15" hidden="false" customHeight="false" outlineLevel="0" collapsed="false">
      <c r="A115" s="102" t="n">
        <v>46296</v>
      </c>
      <c r="B115" s="104" t="s">
        <v>33</v>
      </c>
      <c r="C115" s="104" t="s">
        <v>172</v>
      </c>
      <c r="D115" s="105" t="n">
        <v>555</v>
      </c>
      <c r="E115" s="105" t="n">
        <v>11100</v>
      </c>
      <c r="F115" s="103" t="n">
        <f aca="false">IF(OR($C115="",$D115=0),"",$E115/$D115)</f>
        <v>20</v>
      </c>
      <c r="G115" s="104" t="s">
        <v>698</v>
      </c>
      <c r="H115" s="0" t="str">
        <f aca="false">IF($C115="","",IF(COUNTIF('مواد المخزون'!$A$2:$A$86,$C115)&gt;0,"نعم","لا (خارج الجرد)"))</f>
        <v>نعم</v>
      </c>
    </row>
    <row r="116" customFormat="false" ht="15" hidden="false" customHeight="false" outlineLevel="0" collapsed="false">
      <c r="A116" s="102" t="n">
        <v>46296</v>
      </c>
      <c r="B116" s="104" t="s">
        <v>33</v>
      </c>
      <c r="C116" s="104" t="s">
        <v>174</v>
      </c>
      <c r="D116" s="105" t="n">
        <v>110</v>
      </c>
      <c r="E116" s="105" t="n">
        <v>3190</v>
      </c>
      <c r="F116" s="103" t="n">
        <f aca="false">IF(OR($C116="",$D116=0),"",$E116/$D116)</f>
        <v>29</v>
      </c>
      <c r="G116" s="104" t="s">
        <v>698</v>
      </c>
      <c r="H116" s="0" t="str">
        <f aca="false">IF($C116="","",IF(COUNTIF('مواد المخزون'!$A$2:$A$86,$C116)&gt;0,"نعم","لا (خارج الجرد)"))</f>
        <v>نعم</v>
      </c>
    </row>
    <row r="117" customFormat="false" ht="15" hidden="false" customHeight="false" outlineLevel="0" collapsed="false">
      <c r="A117" s="102" t="n">
        <v>46296</v>
      </c>
      <c r="B117" s="104" t="s">
        <v>33</v>
      </c>
      <c r="C117" s="104" t="s">
        <v>176</v>
      </c>
      <c r="D117" s="105" t="n">
        <v>810</v>
      </c>
      <c r="E117" s="105" t="n">
        <v>14175</v>
      </c>
      <c r="F117" s="103" t="n">
        <f aca="false">IF(OR($C117="",$D117=0),"",$E117/$D117)</f>
        <v>17.5</v>
      </c>
      <c r="G117" s="104" t="s">
        <v>698</v>
      </c>
      <c r="H117" s="0" t="str">
        <f aca="false">IF($C117="","",IF(COUNTIF('مواد المخزون'!$A$2:$A$86,$C117)&gt;0,"نعم","لا (خارج الجرد)"))</f>
        <v>نعم</v>
      </c>
    </row>
    <row r="118" customFormat="false" ht="15" hidden="false" customHeight="false" outlineLevel="0" collapsed="false">
      <c r="A118" s="102" t="n">
        <v>46296</v>
      </c>
      <c r="B118" s="104" t="s">
        <v>33</v>
      </c>
      <c r="C118" s="104" t="s">
        <v>178</v>
      </c>
      <c r="D118" s="105" t="n">
        <v>200</v>
      </c>
      <c r="E118" s="105" t="n">
        <v>5000</v>
      </c>
      <c r="F118" s="103" t="n">
        <f aca="false">IF(OR($C118="",$D118=0),"",$E118/$D118)</f>
        <v>25</v>
      </c>
      <c r="G118" s="104" t="s">
        <v>698</v>
      </c>
      <c r="H118" s="0" t="str">
        <f aca="false">IF($C118="","",IF(COUNTIF('مواد المخزون'!$A$2:$A$86,$C118)&gt;0,"نعم","لا (خارج الجرد)"))</f>
        <v>نعم</v>
      </c>
    </row>
    <row r="119" customFormat="false" ht="15" hidden="false" customHeight="false" outlineLevel="0" collapsed="false">
      <c r="A119" s="102" t="n">
        <v>46296</v>
      </c>
      <c r="B119" s="104" t="s">
        <v>33</v>
      </c>
      <c r="C119" s="104" t="s">
        <v>186</v>
      </c>
      <c r="D119" s="105" t="n">
        <v>20</v>
      </c>
      <c r="E119" s="105" t="n">
        <v>820</v>
      </c>
      <c r="F119" s="103" t="n">
        <f aca="false">IF(OR($C119="",$D119=0),"",$E119/$D119)</f>
        <v>41</v>
      </c>
      <c r="G119" s="104" t="s">
        <v>698</v>
      </c>
      <c r="H119" s="0" t="str">
        <f aca="false">IF($C119="","",IF(COUNTIF('مواد المخزون'!$A$2:$A$86,$C119)&gt;0,"نعم","لا (خارج الجرد)"))</f>
        <v>نعم</v>
      </c>
    </row>
    <row r="120" customFormat="false" ht="15" hidden="false" customHeight="false" outlineLevel="0" collapsed="false">
      <c r="A120" s="102" t="n">
        <v>46296</v>
      </c>
      <c r="B120" s="104" t="s">
        <v>33</v>
      </c>
      <c r="C120" s="104" t="s">
        <v>190</v>
      </c>
      <c r="D120" s="105" t="n">
        <v>4</v>
      </c>
      <c r="E120" s="105" t="n">
        <v>72</v>
      </c>
      <c r="F120" s="103" t="n">
        <f aca="false">IF(OR($C120="",$D120=0),"",$E120/$D120)</f>
        <v>18</v>
      </c>
      <c r="G120" s="104" t="s">
        <v>698</v>
      </c>
      <c r="H120" s="0" t="str">
        <f aca="false">IF($C120="","",IF(COUNTIF('مواد المخزون'!$A$2:$A$86,$C120)&gt;0,"نعم","لا (خارج الجرد)"))</f>
        <v>نعم</v>
      </c>
    </row>
    <row r="121" customFormat="false" ht="15" hidden="false" customHeight="false" outlineLevel="0" collapsed="false">
      <c r="A121" s="102" t="n">
        <v>46296</v>
      </c>
      <c r="B121" s="104" t="s">
        <v>33</v>
      </c>
      <c r="C121" s="104" t="s">
        <v>192</v>
      </c>
      <c r="D121" s="105" t="n">
        <v>1</v>
      </c>
      <c r="E121" s="105" t="n">
        <v>730</v>
      </c>
      <c r="F121" s="103" t="n">
        <f aca="false">IF(OR($C121="",$D121=0),"",$E121/$D121)</f>
        <v>730</v>
      </c>
      <c r="G121" s="104" t="s">
        <v>698</v>
      </c>
      <c r="H121" s="0" t="str">
        <f aca="false">IF($C121="","",IF(COUNTIF('مواد المخزون'!$A$2:$A$86,$C121)&gt;0,"نعم","لا (خارج الجرد)"))</f>
        <v>نعم</v>
      </c>
    </row>
    <row r="122" customFormat="false" ht="15" hidden="false" customHeight="false" outlineLevel="0" collapsed="false">
      <c r="A122" s="102" t="n">
        <v>46296</v>
      </c>
      <c r="B122" s="104" t="s">
        <v>33</v>
      </c>
      <c r="C122" s="104" t="s">
        <v>195</v>
      </c>
      <c r="D122" s="105" t="n">
        <v>12</v>
      </c>
      <c r="E122" s="105" t="n">
        <v>360</v>
      </c>
      <c r="F122" s="103" t="n">
        <f aca="false">IF(OR($C122="",$D122=0),"",$E122/$D122)</f>
        <v>30</v>
      </c>
      <c r="G122" s="104" t="s">
        <v>698</v>
      </c>
      <c r="H122" s="0" t="str">
        <f aca="false">IF($C122="","",IF(COUNTIF('مواد المخزون'!$A$2:$A$86,$C122)&gt;0,"نعم","لا (خارج الجرد)"))</f>
        <v>لا (خارج الجرد)</v>
      </c>
    </row>
    <row r="123" customFormat="false" ht="15" hidden="false" customHeight="false" outlineLevel="0" collapsed="false">
      <c r="A123" s="102" t="n">
        <v>46296</v>
      </c>
      <c r="B123" s="104" t="s">
        <v>33</v>
      </c>
      <c r="C123" s="104" t="s">
        <v>701</v>
      </c>
      <c r="D123" s="105" t="n">
        <v>1</v>
      </c>
      <c r="E123" s="105" t="n">
        <v>45</v>
      </c>
      <c r="F123" s="103" t="n">
        <f aca="false">IF(OR($C123="",$D123=0),"",$E123/$D123)</f>
        <v>45</v>
      </c>
      <c r="G123" s="104" t="s">
        <v>698</v>
      </c>
      <c r="H123" s="0" t="str">
        <f aca="false">IF($C123="","",IF(COUNTIF('مواد المخزون'!$A$2:$A$86,$C123)&gt;0,"نعم","لا (خارج الجرد)"))</f>
        <v>لا (خارج الجرد)</v>
      </c>
    </row>
    <row r="124" customFormat="false" ht="15" hidden="false" customHeight="false" outlineLevel="0" collapsed="false">
      <c r="A124" s="102" t="n">
        <v>46296</v>
      </c>
      <c r="B124" s="104" t="s">
        <v>33</v>
      </c>
      <c r="C124" s="104" t="s">
        <v>202</v>
      </c>
      <c r="D124" s="105" t="n">
        <v>8</v>
      </c>
      <c r="E124" s="105" t="n">
        <v>125</v>
      </c>
      <c r="F124" s="103" t="n">
        <f aca="false">IF(OR($C124="",$D124=0),"",$E124/$D124)</f>
        <v>15.625</v>
      </c>
      <c r="G124" s="104" t="s">
        <v>698</v>
      </c>
      <c r="H124" s="0" t="str">
        <f aca="false">IF($C124="","",IF(COUNTIF('مواد المخزون'!$A$2:$A$86,$C124)&gt;0,"نعم","لا (خارج الجرد)"))</f>
        <v>نعم</v>
      </c>
    </row>
    <row r="125" customFormat="false" ht="15" hidden="false" customHeight="false" outlineLevel="0" collapsed="false">
      <c r="A125" s="102" t="n">
        <v>46296</v>
      </c>
      <c r="B125" s="104" t="s">
        <v>33</v>
      </c>
      <c r="C125" s="104" t="s">
        <v>204</v>
      </c>
      <c r="D125" s="105" t="n">
        <v>1</v>
      </c>
      <c r="E125" s="105" t="n">
        <v>30</v>
      </c>
      <c r="F125" s="103" t="n">
        <f aca="false">IF(OR($C125="",$D125=0),"",$E125/$D125)</f>
        <v>30</v>
      </c>
      <c r="G125" s="104" t="s">
        <v>698</v>
      </c>
      <c r="H125" s="0" t="str">
        <f aca="false">IF($C125="","",IF(COUNTIF('مواد المخزون'!$A$2:$A$86,$C125)&gt;0,"نعم","لا (خارج الجرد)"))</f>
        <v>نعم</v>
      </c>
    </row>
    <row r="126" customFormat="false" ht="15" hidden="false" customHeight="false" outlineLevel="0" collapsed="false">
      <c r="A126" s="102" t="n">
        <v>46296</v>
      </c>
      <c r="B126" s="104" t="s">
        <v>33</v>
      </c>
      <c r="C126" s="104" t="s">
        <v>710</v>
      </c>
      <c r="D126" s="105" t="n">
        <v>2</v>
      </c>
      <c r="E126" s="105" t="n">
        <v>10</v>
      </c>
      <c r="F126" s="103" t="n">
        <f aca="false">IF(OR($C126="",$D126=0),"",$E126/$D126)</f>
        <v>5</v>
      </c>
      <c r="G126" s="104" t="s">
        <v>698</v>
      </c>
      <c r="H126" s="0" t="str">
        <f aca="false">IF($C126="","",IF(COUNTIF('مواد المخزون'!$A$2:$A$86,$C126)&gt;0,"نعم","لا (خارج الجرد)"))</f>
        <v>لا (خارج الجرد)</v>
      </c>
    </row>
    <row r="127" customFormat="false" ht="15" hidden="false" customHeight="false" outlineLevel="0" collapsed="false">
      <c r="A127" s="102" t="n">
        <v>46296</v>
      </c>
      <c r="B127" s="104" t="s">
        <v>33</v>
      </c>
      <c r="C127" s="104" t="s">
        <v>702</v>
      </c>
      <c r="D127" s="105" t="n">
        <v>0.25</v>
      </c>
      <c r="E127" s="105" t="n">
        <v>15</v>
      </c>
      <c r="F127" s="103" t="n">
        <f aca="false">IF(OR($C127="",$D127=0),"",$E127/$D127)</f>
        <v>60</v>
      </c>
      <c r="G127" s="104" t="s">
        <v>698</v>
      </c>
      <c r="H127" s="0" t="str">
        <f aca="false">IF($C127="","",IF(COUNTIF('مواد المخزون'!$A$2:$A$86,$C127)&gt;0,"نعم","لا (خارج الجرد)"))</f>
        <v>لا (خارج الجرد)</v>
      </c>
    </row>
    <row r="128" customFormat="false" ht="15" hidden="false" customHeight="false" outlineLevel="0" collapsed="false">
      <c r="A128" s="102" t="n">
        <v>46296</v>
      </c>
      <c r="B128" s="104" t="s">
        <v>33</v>
      </c>
      <c r="C128" s="104" t="s">
        <v>702</v>
      </c>
      <c r="D128" s="105" t="n">
        <v>0.25</v>
      </c>
      <c r="E128" s="105" t="n">
        <v>20</v>
      </c>
      <c r="F128" s="103" t="n">
        <f aca="false">IF(OR($C128="",$D128=0),"",$E128/$D128)</f>
        <v>80</v>
      </c>
      <c r="G128" s="104" t="s">
        <v>698</v>
      </c>
      <c r="H128" s="0" t="str">
        <f aca="false">IF($C128="","",IF(COUNTIF('مواد المخزون'!$A$2:$A$86,$C128)&gt;0,"نعم","لا (خارج الجرد)"))</f>
        <v>لا (خارج الجرد)</v>
      </c>
    </row>
    <row r="129" customFormat="false" ht="15" hidden="false" customHeight="false" outlineLevel="0" collapsed="false">
      <c r="A129" s="102" t="n">
        <v>46296</v>
      </c>
      <c r="B129" s="104" t="s">
        <v>33</v>
      </c>
      <c r="C129" s="104" t="s">
        <v>208</v>
      </c>
      <c r="D129" s="105" t="n">
        <v>5</v>
      </c>
      <c r="E129" s="105" t="n">
        <v>870</v>
      </c>
      <c r="F129" s="103" t="n">
        <f aca="false">IF(OR($C129="",$D129=0),"",$E129/$D129)</f>
        <v>174</v>
      </c>
      <c r="G129" s="104" t="s">
        <v>698</v>
      </c>
      <c r="H129" s="0" t="str">
        <f aca="false">IF($C129="","",IF(COUNTIF('مواد المخزون'!$A$2:$A$86,$C129)&gt;0,"نعم","لا (خارج الجرد)"))</f>
        <v>لا (خارج الجرد)</v>
      </c>
    </row>
    <row r="130" customFormat="false" ht="15" hidden="false" customHeight="false" outlineLevel="0" collapsed="false">
      <c r="A130" s="102" t="n">
        <v>46296</v>
      </c>
      <c r="B130" s="104" t="s">
        <v>33</v>
      </c>
      <c r="C130" s="104" t="s">
        <v>211</v>
      </c>
      <c r="D130" s="105" t="n">
        <v>100</v>
      </c>
      <c r="E130" s="105" t="n">
        <v>900</v>
      </c>
      <c r="F130" s="103" t="n">
        <f aca="false">IF(OR($C130="",$D130=0),"",$E130/$D130)</f>
        <v>9</v>
      </c>
      <c r="G130" s="104" t="s">
        <v>698</v>
      </c>
      <c r="H130" s="0" t="str">
        <f aca="false">IF($C130="","",IF(COUNTIF('مواد المخزون'!$A$2:$A$86,$C130)&gt;0,"نعم","لا (خارج الجرد)"))</f>
        <v>نعم</v>
      </c>
    </row>
    <row r="131" customFormat="false" ht="15" hidden="false" customHeight="false" outlineLevel="0" collapsed="false">
      <c r="A131" s="102" t="n">
        <v>46296</v>
      </c>
      <c r="B131" s="104" t="s">
        <v>33</v>
      </c>
      <c r="C131" s="104" t="s">
        <v>216</v>
      </c>
      <c r="D131" s="105" t="n">
        <v>5</v>
      </c>
      <c r="E131" s="105" t="n">
        <v>75</v>
      </c>
      <c r="F131" s="103" t="n">
        <f aca="false">IF(OR($C131="",$D131=0),"",$E131/$D131)</f>
        <v>15</v>
      </c>
      <c r="G131" s="104" t="s">
        <v>698</v>
      </c>
      <c r="H131" s="0" t="str">
        <f aca="false">IF($C131="","",IF(COUNTIF('مواد المخزون'!$A$2:$A$86,$C131)&gt;0,"نعم","لا (خارج الجرد)"))</f>
        <v>لا (خارج الجرد)</v>
      </c>
    </row>
    <row r="132" customFormat="false" ht="15" hidden="false" customHeight="false" outlineLevel="0" collapsed="false">
      <c r="A132" s="102" t="n">
        <v>46296</v>
      </c>
      <c r="B132" s="104" t="s">
        <v>33</v>
      </c>
      <c r="C132" s="104" t="s">
        <v>217</v>
      </c>
      <c r="D132" s="105" t="n">
        <v>5</v>
      </c>
      <c r="E132" s="105" t="n">
        <v>150</v>
      </c>
      <c r="F132" s="103" t="n">
        <f aca="false">IF(OR($C132="",$D132=0),"",$E132/$D132)</f>
        <v>30</v>
      </c>
      <c r="G132" s="104" t="s">
        <v>698</v>
      </c>
      <c r="H132" s="0" t="str">
        <f aca="false">IF($C132="","",IF(COUNTIF('مواد المخزون'!$A$2:$A$86,$C132)&gt;0,"نعم","لا (خارج الجرد)"))</f>
        <v>نعم</v>
      </c>
    </row>
    <row r="133" customFormat="false" ht="15" hidden="false" customHeight="false" outlineLevel="0" collapsed="false">
      <c r="A133" s="102" t="n">
        <v>46296</v>
      </c>
      <c r="B133" s="104" t="s">
        <v>33</v>
      </c>
      <c r="C133" s="104" t="s">
        <v>218</v>
      </c>
      <c r="D133" s="105" t="n">
        <v>25</v>
      </c>
      <c r="E133" s="105" t="n">
        <v>500</v>
      </c>
      <c r="F133" s="103" t="n">
        <f aca="false">IF(OR($C133="",$D133=0),"",$E133/$D133)</f>
        <v>20</v>
      </c>
      <c r="G133" s="104" t="s">
        <v>698</v>
      </c>
      <c r="H133" s="0" t="str">
        <f aca="false">IF($C133="","",IF(COUNTIF('مواد المخزون'!$A$2:$A$86,$C133)&gt;0,"نعم","لا (خارج الجرد)"))</f>
        <v>نعم</v>
      </c>
    </row>
    <row r="134" customFormat="false" ht="15" hidden="false" customHeight="false" outlineLevel="0" collapsed="false">
      <c r="A134" s="102" t="n">
        <v>46296</v>
      </c>
      <c r="B134" s="104" t="s">
        <v>33</v>
      </c>
      <c r="C134" s="104" t="s">
        <v>220</v>
      </c>
      <c r="D134" s="105" t="n">
        <v>10</v>
      </c>
      <c r="E134" s="105" t="n">
        <v>1200</v>
      </c>
      <c r="F134" s="103" t="n">
        <f aca="false">IF(OR($C134="",$D134=0),"",$E134/$D134)</f>
        <v>120</v>
      </c>
      <c r="G134" s="104" t="s">
        <v>698</v>
      </c>
      <c r="H134" s="0" t="str">
        <f aca="false">IF($C134="","",IF(COUNTIF('مواد المخزون'!$A$2:$A$86,$C134)&gt;0,"نعم","لا (خارج الجرد)"))</f>
        <v>نعم</v>
      </c>
    </row>
    <row r="135" customFormat="false" ht="15" hidden="false" customHeight="false" outlineLevel="0" collapsed="false">
      <c r="A135" s="102" t="n">
        <v>46296</v>
      </c>
      <c r="B135" s="104" t="s">
        <v>33</v>
      </c>
      <c r="C135" s="104" t="s">
        <v>221</v>
      </c>
      <c r="D135" s="105" t="n">
        <v>0.5</v>
      </c>
      <c r="E135" s="105" t="n">
        <v>110</v>
      </c>
      <c r="F135" s="103" t="n">
        <f aca="false">IF(OR($C135="",$D135=0),"",$E135/$D135)</f>
        <v>220</v>
      </c>
      <c r="G135" s="104" t="s">
        <v>698</v>
      </c>
      <c r="H135" s="0" t="str">
        <f aca="false">IF($C135="","",IF(COUNTIF('مواد المخزون'!$A$2:$A$86,$C135)&gt;0,"نعم","لا (خارج الجرد)"))</f>
        <v>نعم</v>
      </c>
    </row>
    <row r="136" customFormat="false" ht="15" hidden="false" customHeight="false" outlineLevel="0" collapsed="false">
      <c r="A136" s="102" t="n">
        <v>46296</v>
      </c>
      <c r="B136" s="104" t="s">
        <v>33</v>
      </c>
      <c r="C136" s="104" t="s">
        <v>223</v>
      </c>
      <c r="D136" s="105" t="n">
        <v>20</v>
      </c>
      <c r="E136" s="105" t="n">
        <v>1400</v>
      </c>
      <c r="F136" s="103" t="n">
        <f aca="false">IF(OR($C136="",$D136=0),"",$E136/$D136)</f>
        <v>70</v>
      </c>
      <c r="G136" s="104" t="s">
        <v>698</v>
      </c>
      <c r="H136" s="0" t="str">
        <f aca="false">IF($C136="","",IF(COUNTIF('مواد المخزون'!$A$2:$A$86,$C136)&gt;0,"نعم","لا (خارج الجرد)"))</f>
        <v>لا (خارج الجرد)</v>
      </c>
    </row>
    <row r="137" customFormat="false" ht="15" hidden="false" customHeight="false" outlineLevel="0" collapsed="false">
      <c r="A137" s="102" t="n">
        <v>46296</v>
      </c>
      <c r="B137" s="104" t="s">
        <v>33</v>
      </c>
      <c r="C137" s="104" t="s">
        <v>225</v>
      </c>
      <c r="D137" s="105" t="n">
        <v>20</v>
      </c>
      <c r="E137" s="105" t="n">
        <v>1500</v>
      </c>
      <c r="F137" s="103" t="n">
        <f aca="false">IF(OR($C137="",$D137=0),"",$E137/$D137)</f>
        <v>75</v>
      </c>
      <c r="G137" s="104" t="s">
        <v>698</v>
      </c>
      <c r="H137" s="0" t="str">
        <f aca="false">IF($C137="","",IF(COUNTIF('مواد المخزون'!$A$2:$A$86,$C137)&gt;0,"نعم","لا (خارج الجرد)"))</f>
        <v>لا (خارج الجرد)</v>
      </c>
    </row>
    <row r="138" customFormat="false" ht="15" hidden="false" customHeight="false" outlineLevel="0" collapsed="false">
      <c r="A138" s="102" t="n">
        <v>46296</v>
      </c>
      <c r="B138" s="104" t="s">
        <v>33</v>
      </c>
      <c r="C138" s="104" t="s">
        <v>227</v>
      </c>
      <c r="D138" s="105" t="n">
        <v>20</v>
      </c>
      <c r="E138" s="105" t="n">
        <v>1900</v>
      </c>
      <c r="F138" s="103" t="n">
        <f aca="false">IF(OR($C138="",$D138=0),"",$E138/$D138)</f>
        <v>95</v>
      </c>
      <c r="G138" s="104" t="s">
        <v>698</v>
      </c>
      <c r="H138" s="0" t="str">
        <f aca="false">IF($C138="","",IF(COUNTIF('مواد المخزون'!$A$2:$A$86,$C138)&gt;0,"نعم","لا (خارج الجرد)"))</f>
        <v>نعم</v>
      </c>
    </row>
    <row r="139" customFormat="false" ht="15" hidden="false" customHeight="false" outlineLevel="0" collapsed="false">
      <c r="A139" s="102" t="n">
        <v>46296</v>
      </c>
      <c r="B139" s="104" t="s">
        <v>33</v>
      </c>
      <c r="C139" s="104" t="s">
        <v>229</v>
      </c>
      <c r="D139" s="105" t="n">
        <v>64</v>
      </c>
      <c r="E139" s="105" t="n">
        <v>1920</v>
      </c>
      <c r="F139" s="103" t="n">
        <f aca="false">IF(OR($C139="",$D139=0),"",$E139/$D139)</f>
        <v>30</v>
      </c>
      <c r="G139" s="104" t="s">
        <v>698</v>
      </c>
      <c r="H139" s="0" t="str">
        <f aca="false">IF($C139="","",IF(COUNTIF('مواد المخزون'!$A$2:$A$86,$C139)&gt;0,"نعم","لا (خارج الجرد)"))</f>
        <v>نعم</v>
      </c>
    </row>
    <row r="140" customFormat="false" ht="15" hidden="false" customHeight="false" outlineLevel="0" collapsed="false">
      <c r="A140" s="102" t="n">
        <v>46296</v>
      </c>
      <c r="B140" s="104" t="s">
        <v>33</v>
      </c>
      <c r="C140" s="104" t="s">
        <v>229</v>
      </c>
      <c r="D140" s="105" t="n">
        <v>4</v>
      </c>
      <c r="E140" s="105" t="n">
        <v>160</v>
      </c>
      <c r="F140" s="103" t="n">
        <f aca="false">IF(OR($C140="",$D140=0),"",$E140/$D140)</f>
        <v>40</v>
      </c>
      <c r="G140" s="104" t="s">
        <v>698</v>
      </c>
      <c r="H140" s="0" t="str">
        <f aca="false">IF($C140="","",IF(COUNTIF('مواد المخزون'!$A$2:$A$86,$C140)&gt;0,"نعم","لا (خارج الجرد)"))</f>
        <v>نعم</v>
      </c>
    </row>
    <row r="141" customFormat="false" ht="15" hidden="false" customHeight="false" outlineLevel="0" collapsed="false">
      <c r="A141" s="102" t="n">
        <v>46296</v>
      </c>
      <c r="B141" s="104" t="s">
        <v>33</v>
      </c>
      <c r="C141" s="104" t="s">
        <v>230</v>
      </c>
      <c r="D141" s="105" t="n">
        <v>3</v>
      </c>
      <c r="E141" s="105" t="n">
        <v>21.3</v>
      </c>
      <c r="F141" s="103" t="n">
        <f aca="false">IF(OR($C141="",$D141=0),"",$E141/$D141)</f>
        <v>7.1</v>
      </c>
      <c r="G141" s="104" t="s">
        <v>698</v>
      </c>
      <c r="H141" s="0" t="str">
        <f aca="false">IF($C141="","",IF(COUNTIF('مواد المخزون'!$A$2:$A$86,$C141)&gt;0,"نعم","لا (خارج الجرد)"))</f>
        <v>لا (خارج الجرد)</v>
      </c>
    </row>
    <row r="142" customFormat="false" ht="15" hidden="false" customHeight="false" outlineLevel="0" collapsed="false">
      <c r="A142" s="102" t="n">
        <v>46296</v>
      </c>
      <c r="B142" s="104" t="s">
        <v>33</v>
      </c>
      <c r="C142" s="104" t="s">
        <v>232</v>
      </c>
      <c r="D142" s="105" t="n">
        <v>4</v>
      </c>
      <c r="E142" s="105" t="n">
        <v>1520</v>
      </c>
      <c r="F142" s="103" t="n">
        <f aca="false">IF(OR($C142="",$D142=0),"",$E142/$D142)</f>
        <v>380</v>
      </c>
      <c r="G142" s="104" t="s">
        <v>698</v>
      </c>
      <c r="H142" s="0" t="str">
        <f aca="false">IF($C142="","",IF(COUNTIF('مواد المخزون'!$A$2:$A$86,$C142)&gt;0,"نعم","لا (خارج الجرد)"))</f>
        <v>نعم</v>
      </c>
    </row>
    <row r="143" customFormat="false" ht="15" hidden="false" customHeight="false" outlineLevel="0" collapsed="false">
      <c r="A143" s="102" t="n">
        <v>46296</v>
      </c>
      <c r="B143" s="104" t="s">
        <v>33</v>
      </c>
      <c r="C143" s="104" t="s">
        <v>234</v>
      </c>
      <c r="D143" s="105" t="n">
        <v>1</v>
      </c>
      <c r="E143" s="105" t="n">
        <v>530</v>
      </c>
      <c r="F143" s="103" t="n">
        <f aca="false">IF(OR($C143="",$D143=0),"",$E143/$D143)</f>
        <v>530</v>
      </c>
      <c r="G143" s="104" t="s">
        <v>698</v>
      </c>
      <c r="H143" s="0" t="str">
        <f aca="false">IF($C143="","",IF(COUNTIF('مواد المخزون'!$A$2:$A$86,$C143)&gt;0,"نعم","لا (خارج الجرد)"))</f>
        <v>نعم</v>
      </c>
    </row>
    <row r="144" customFormat="false" ht="15" hidden="false" customHeight="false" outlineLevel="0" collapsed="false">
      <c r="A144" s="102" t="n">
        <v>46296</v>
      </c>
      <c r="B144" s="104" t="s">
        <v>33</v>
      </c>
      <c r="C144" s="104" t="s">
        <v>711</v>
      </c>
      <c r="D144" s="105" t="n">
        <v>1</v>
      </c>
      <c r="E144" s="105" t="n">
        <v>135</v>
      </c>
      <c r="F144" s="103" t="n">
        <f aca="false">IF(OR($C144="",$D144=0),"",$E144/$D144)</f>
        <v>135</v>
      </c>
      <c r="G144" s="104" t="s">
        <v>698</v>
      </c>
      <c r="H144" s="0" t="str">
        <f aca="false">IF($C144="","",IF(COUNTIF('مواد المخزون'!$A$2:$A$86,$C144)&gt;0,"نعم","لا (خارج الجرد)"))</f>
        <v>لا (خارج الجرد)</v>
      </c>
    </row>
    <row r="145" customFormat="false" ht="15" hidden="false" customHeight="false" outlineLevel="0" collapsed="false">
      <c r="A145" s="102" t="n">
        <v>46296</v>
      </c>
      <c r="B145" s="104" t="s">
        <v>33</v>
      </c>
      <c r="C145" s="104" t="s">
        <v>712</v>
      </c>
      <c r="D145" s="105" t="n">
        <v>1</v>
      </c>
      <c r="E145" s="105" t="n">
        <v>20</v>
      </c>
      <c r="F145" s="103" t="n">
        <f aca="false">IF(OR($C145="",$D145=0),"",$E145/$D145)</f>
        <v>20</v>
      </c>
      <c r="G145" s="104" t="s">
        <v>698</v>
      </c>
      <c r="H145" s="0" t="str">
        <f aca="false">IF($C145="","",IF(COUNTIF('مواد المخزون'!$A$2:$A$86,$C145)&gt;0,"نعم","لا (خارج الجرد)"))</f>
        <v>لا (خارج الجرد)</v>
      </c>
    </row>
    <row r="146" customFormat="false" ht="15" hidden="false" customHeight="false" outlineLevel="0" collapsed="false">
      <c r="A146" s="102" t="n">
        <v>46296</v>
      </c>
      <c r="B146" s="104" t="s">
        <v>33</v>
      </c>
      <c r="C146" s="104" t="s">
        <v>245</v>
      </c>
      <c r="D146" s="105" t="n">
        <v>25</v>
      </c>
      <c r="E146" s="105" t="n">
        <v>3250</v>
      </c>
      <c r="F146" s="103" t="n">
        <f aca="false">IF(OR($C146="",$D146=0),"",$E146/$D146)</f>
        <v>130</v>
      </c>
      <c r="G146" s="104" t="s">
        <v>698</v>
      </c>
      <c r="H146" s="0" t="str">
        <f aca="false">IF($C146="","",IF(COUNTIF('مواد المخزون'!$A$2:$A$86,$C146)&gt;0,"نعم","لا (خارج الجرد)"))</f>
        <v>نعم</v>
      </c>
    </row>
    <row r="147" customFormat="false" ht="15" hidden="false" customHeight="false" outlineLevel="0" collapsed="false">
      <c r="A147" s="102" t="n">
        <v>46296</v>
      </c>
      <c r="B147" s="104" t="s">
        <v>33</v>
      </c>
      <c r="C147" s="104" t="s">
        <v>248</v>
      </c>
      <c r="D147" s="105" t="n">
        <v>40</v>
      </c>
      <c r="E147" s="105" t="n">
        <v>480</v>
      </c>
      <c r="F147" s="103" t="n">
        <f aca="false">IF(OR($C147="",$D147=0),"",$E147/$D147)</f>
        <v>12</v>
      </c>
      <c r="G147" s="104" t="s">
        <v>698</v>
      </c>
      <c r="H147" s="0" t="str">
        <f aca="false">IF($C147="","",IF(COUNTIF('مواد المخزون'!$A$2:$A$86,$C147)&gt;0,"نعم","لا (خارج الجرد)"))</f>
        <v>لا (خارج الجرد)</v>
      </c>
    </row>
    <row r="148" customFormat="false" ht="15" hidden="false" customHeight="false" outlineLevel="0" collapsed="false">
      <c r="A148" s="102" t="n">
        <v>46296</v>
      </c>
      <c r="B148" s="104" t="s">
        <v>33</v>
      </c>
      <c r="C148" s="104" t="s">
        <v>250</v>
      </c>
      <c r="D148" s="105" t="n">
        <v>26</v>
      </c>
      <c r="E148" s="105" t="n">
        <v>832</v>
      </c>
      <c r="F148" s="103" t="n">
        <f aca="false">IF(OR($C148="",$D148=0),"",$E148/$D148)</f>
        <v>32</v>
      </c>
      <c r="G148" s="104" t="s">
        <v>698</v>
      </c>
      <c r="H148" s="0" t="str">
        <f aca="false">IF($C148="","",IF(COUNTIF('مواد المخزون'!$A$2:$A$86,$C148)&gt;0,"نعم","لا (خارج الجرد)"))</f>
        <v>نعم</v>
      </c>
    </row>
    <row r="149" customFormat="false" ht="15" hidden="false" customHeight="false" outlineLevel="0" collapsed="false">
      <c r="A149" s="102" t="n">
        <v>46296</v>
      </c>
      <c r="B149" s="104" t="s">
        <v>33</v>
      </c>
      <c r="C149" s="104" t="s">
        <v>252</v>
      </c>
      <c r="D149" s="105" t="n">
        <v>9</v>
      </c>
      <c r="E149" s="105" t="n">
        <v>630</v>
      </c>
      <c r="F149" s="103" t="n">
        <f aca="false">IF(OR($C149="",$D149=0),"",$E149/$D149)</f>
        <v>70</v>
      </c>
      <c r="G149" s="104" t="s">
        <v>698</v>
      </c>
      <c r="H149" s="0" t="str">
        <f aca="false">IF($C149="","",IF(COUNTIF('مواد المخزون'!$A$2:$A$86,$C149)&gt;0,"نعم","لا (خارج الجرد)"))</f>
        <v>نعم</v>
      </c>
    </row>
    <row r="150" customFormat="false" ht="15" hidden="false" customHeight="false" outlineLevel="0" collapsed="false">
      <c r="A150" s="102" t="n">
        <v>46296</v>
      </c>
      <c r="B150" s="104" t="s">
        <v>33</v>
      </c>
      <c r="C150" s="104" t="s">
        <v>254</v>
      </c>
      <c r="D150" s="105" t="n">
        <v>5</v>
      </c>
      <c r="E150" s="105" t="n">
        <v>700</v>
      </c>
      <c r="F150" s="103" t="n">
        <f aca="false">IF(OR($C150="",$D150=0),"",$E150/$D150)</f>
        <v>140</v>
      </c>
      <c r="G150" s="104" t="s">
        <v>698</v>
      </c>
      <c r="H150" s="0" t="str">
        <f aca="false">IF($C150="","",IF(COUNTIF('مواد المخزون'!$A$2:$A$86,$C150)&gt;0,"نعم","لا (خارج الجرد)"))</f>
        <v>نعم</v>
      </c>
    </row>
    <row r="151" customFormat="false" ht="15" hidden="false" customHeight="false" outlineLevel="0" collapsed="false">
      <c r="A151" s="102" t="n">
        <v>46296</v>
      </c>
      <c r="B151" s="104" t="s">
        <v>33</v>
      </c>
      <c r="C151" s="104" t="s">
        <v>256</v>
      </c>
      <c r="D151" s="105" t="n">
        <v>10</v>
      </c>
      <c r="E151" s="105" t="n">
        <v>1050</v>
      </c>
      <c r="F151" s="103" t="n">
        <f aca="false">IF(OR($C151="",$D151=0),"",$E151/$D151)</f>
        <v>105</v>
      </c>
      <c r="G151" s="104" t="s">
        <v>698</v>
      </c>
      <c r="H151" s="0" t="str">
        <f aca="false">IF($C151="","",IF(COUNTIF('مواد المخزون'!$A$2:$A$86,$C151)&gt;0,"نعم","لا (خارج الجرد)"))</f>
        <v>نعم</v>
      </c>
    </row>
    <row r="152" customFormat="false" ht="15" hidden="false" customHeight="false" outlineLevel="0" collapsed="false">
      <c r="A152" s="102" t="n">
        <v>46296</v>
      </c>
      <c r="B152" s="104" t="s">
        <v>33</v>
      </c>
      <c r="C152" s="104" t="s">
        <v>258</v>
      </c>
      <c r="D152" s="105" t="n">
        <v>10</v>
      </c>
      <c r="E152" s="105" t="n">
        <v>1400</v>
      </c>
      <c r="F152" s="103" t="n">
        <f aca="false">IF(OR($C152="",$D152=0),"",$E152/$D152)</f>
        <v>140</v>
      </c>
      <c r="G152" s="104" t="s">
        <v>698</v>
      </c>
      <c r="H152" s="0" t="str">
        <f aca="false">IF($C152="","",IF(COUNTIF('مواد المخزون'!$A$2:$A$86,$C152)&gt;0,"نعم","لا (خارج الجرد)"))</f>
        <v>نعم</v>
      </c>
    </row>
    <row r="153" customFormat="false" ht="15" hidden="false" customHeight="false" outlineLevel="0" collapsed="false">
      <c r="A153" s="102" t="n">
        <v>46296</v>
      </c>
      <c r="B153" s="104" t="s">
        <v>33</v>
      </c>
      <c r="C153" s="104" t="s">
        <v>260</v>
      </c>
      <c r="D153" s="105" t="n">
        <v>99</v>
      </c>
      <c r="E153" s="105" t="n">
        <v>2079</v>
      </c>
      <c r="F153" s="103" t="n">
        <f aca="false">IF(OR($C153="",$D153=0),"",$E153/$D153)</f>
        <v>21</v>
      </c>
      <c r="G153" s="104" t="s">
        <v>698</v>
      </c>
      <c r="H153" s="0" t="str">
        <f aca="false">IF($C153="","",IF(COUNTIF('مواد المخزون'!$A$2:$A$86,$C153)&gt;0,"نعم","لا (خارج الجرد)"))</f>
        <v>نعم</v>
      </c>
    </row>
    <row r="154" customFormat="false" ht="15" hidden="false" customHeight="false" outlineLevel="0" collapsed="false">
      <c r="A154" s="102" t="n">
        <v>46296</v>
      </c>
      <c r="B154" s="104" t="s">
        <v>33</v>
      </c>
      <c r="C154" s="104" t="s">
        <v>262</v>
      </c>
      <c r="D154" s="105" t="n">
        <v>135</v>
      </c>
      <c r="E154" s="105" t="n">
        <v>2970</v>
      </c>
      <c r="F154" s="103" t="n">
        <f aca="false">IF(OR($C154="",$D154=0),"",$E154/$D154)</f>
        <v>22</v>
      </c>
      <c r="G154" s="104" t="s">
        <v>698</v>
      </c>
      <c r="H154" s="0" t="str">
        <f aca="false">IF($C154="","",IF(COUNTIF('مواد المخزون'!$A$2:$A$86,$C154)&gt;0,"نعم","لا (خارج الجرد)"))</f>
        <v>نعم</v>
      </c>
    </row>
    <row r="155" customFormat="false" ht="15" hidden="false" customHeight="false" outlineLevel="0" collapsed="false">
      <c r="A155" s="102" t="n">
        <v>46296</v>
      </c>
      <c r="B155" s="104" t="s">
        <v>33</v>
      </c>
      <c r="C155" s="104" t="s">
        <v>264</v>
      </c>
      <c r="D155" s="105" t="n">
        <v>1400</v>
      </c>
      <c r="E155" s="105" t="n">
        <v>5600</v>
      </c>
      <c r="F155" s="103" t="n">
        <f aca="false">IF(OR($C155="",$D155=0),"",$E155/$D155)</f>
        <v>4</v>
      </c>
      <c r="G155" s="104" t="s">
        <v>698</v>
      </c>
      <c r="H155" s="0" t="str">
        <f aca="false">IF($C155="","",IF(COUNTIF('مواد المخزون'!$A$2:$A$86,$C155)&gt;0,"نعم","لا (خارج الجرد)"))</f>
        <v>نعم</v>
      </c>
    </row>
    <row r="156" customFormat="false" ht="15" hidden="false" customHeight="false" outlineLevel="0" collapsed="false">
      <c r="A156" s="102" t="n">
        <v>46296</v>
      </c>
      <c r="B156" s="104" t="s">
        <v>33</v>
      </c>
      <c r="C156" s="104" t="s">
        <v>713</v>
      </c>
      <c r="D156" s="105" t="n">
        <v>280</v>
      </c>
      <c r="E156" s="105" t="n">
        <v>1120</v>
      </c>
      <c r="F156" s="103" t="n">
        <f aca="false">IF(OR($C156="",$D156=0),"",$E156/$D156)</f>
        <v>4</v>
      </c>
      <c r="G156" s="104" t="s">
        <v>698</v>
      </c>
      <c r="H156" s="0" t="str">
        <f aca="false">IF($C156="","",IF(COUNTIF('مواد المخزون'!$A$2:$A$86,$C156)&gt;0,"نعم","لا (خارج الجرد)"))</f>
        <v>لا (خارج الجرد)</v>
      </c>
    </row>
    <row r="157" customFormat="false" ht="15" hidden="false" customHeight="false" outlineLevel="0" collapsed="false">
      <c r="A157" s="102" t="n">
        <v>46296</v>
      </c>
      <c r="B157" s="104" t="s">
        <v>33</v>
      </c>
      <c r="C157" s="104" t="s">
        <v>276</v>
      </c>
      <c r="D157" s="105" t="n">
        <v>50</v>
      </c>
      <c r="E157" s="105" t="n">
        <v>100</v>
      </c>
      <c r="F157" s="103" t="n">
        <f aca="false">IF(OR($C157="",$D157=0),"",$E157/$D157)</f>
        <v>2</v>
      </c>
      <c r="G157" s="104" t="s">
        <v>698</v>
      </c>
      <c r="H157" s="0" t="str">
        <f aca="false">IF($C157="","",IF(COUNTIF('مواد المخزون'!$A$2:$A$86,$C157)&gt;0,"نعم","لا (خارج الجرد)"))</f>
        <v>نعم</v>
      </c>
    </row>
    <row r="158" customFormat="false" ht="15" hidden="false" customHeight="false" outlineLevel="0" collapsed="false">
      <c r="A158" s="102" t="n">
        <v>46296</v>
      </c>
      <c r="B158" s="104" t="s">
        <v>33</v>
      </c>
      <c r="C158" s="104" t="s">
        <v>278</v>
      </c>
      <c r="D158" s="105" t="n">
        <v>50</v>
      </c>
      <c r="E158" s="105" t="n">
        <v>155</v>
      </c>
      <c r="F158" s="103" t="n">
        <f aca="false">IF(OR($C158="",$D158=0),"",$E158/$D158)</f>
        <v>3.1</v>
      </c>
      <c r="G158" s="104" t="s">
        <v>698</v>
      </c>
      <c r="H158" s="0" t="str">
        <f aca="false">IF($C158="","",IF(COUNTIF('مواد المخزون'!$A$2:$A$86,$C158)&gt;0,"نعم","لا (خارج الجرد)"))</f>
        <v>نعم</v>
      </c>
    </row>
    <row r="159" customFormat="false" ht="15" hidden="false" customHeight="false" outlineLevel="0" collapsed="false">
      <c r="A159" s="102" t="n">
        <v>46296</v>
      </c>
      <c r="B159" s="104" t="s">
        <v>33</v>
      </c>
      <c r="C159" s="104" t="s">
        <v>284</v>
      </c>
      <c r="D159" s="105" t="n">
        <v>69</v>
      </c>
      <c r="E159" s="105" t="n">
        <v>1863</v>
      </c>
      <c r="F159" s="103" t="n">
        <f aca="false">IF(OR($C159="",$D159=0),"",$E159/$D159)</f>
        <v>27</v>
      </c>
      <c r="G159" s="104" t="s">
        <v>698</v>
      </c>
      <c r="H159" s="0" t="str">
        <f aca="false">IF($C159="","",IF(COUNTIF('مواد المخزون'!$A$2:$A$86,$C159)&gt;0,"نعم","لا (خارج الجرد)"))</f>
        <v>نعم</v>
      </c>
    </row>
    <row r="160" customFormat="false" ht="15" hidden="false" customHeight="false" outlineLevel="0" collapsed="false">
      <c r="A160" s="102" t="n">
        <v>46296</v>
      </c>
      <c r="B160" s="104" t="s">
        <v>33</v>
      </c>
      <c r="C160" s="104" t="s">
        <v>288</v>
      </c>
      <c r="D160" s="105" t="n">
        <v>576</v>
      </c>
      <c r="E160" s="105" t="n">
        <v>4032</v>
      </c>
      <c r="F160" s="103" t="n">
        <f aca="false">IF(OR($C160="",$D160=0),"",$E160/$D160)</f>
        <v>7</v>
      </c>
      <c r="G160" s="104" t="s">
        <v>698</v>
      </c>
      <c r="H160" s="0" t="str">
        <f aca="false">IF($C160="","",IF(COUNTIF('مواد المخزون'!$A$2:$A$86,$C160)&gt;0,"نعم","لا (خارج الجرد)"))</f>
        <v>نعم</v>
      </c>
    </row>
    <row r="161" customFormat="false" ht="15" hidden="false" customHeight="false" outlineLevel="0" collapsed="false">
      <c r="A161" s="102" t="n">
        <v>46296</v>
      </c>
      <c r="B161" s="104" t="s">
        <v>33</v>
      </c>
      <c r="C161" s="104" t="s">
        <v>290</v>
      </c>
      <c r="D161" s="105" t="n">
        <v>5000</v>
      </c>
      <c r="E161" s="105" t="n">
        <v>1500</v>
      </c>
      <c r="F161" s="103" t="n">
        <f aca="false">IF(OR($C161="",$D161=0),"",$E161/$D161)</f>
        <v>0.3</v>
      </c>
      <c r="G161" s="104" t="s">
        <v>698</v>
      </c>
      <c r="H161" s="0" t="str">
        <f aca="false">IF($C161="","",IF(COUNTIF('مواد المخزون'!$A$2:$A$86,$C161)&gt;0,"نعم","لا (خارج الجرد)"))</f>
        <v>نعم</v>
      </c>
    </row>
    <row r="162" customFormat="false" ht="15" hidden="false" customHeight="false" outlineLevel="0" collapsed="false">
      <c r="A162" s="102" t="n">
        <v>46296</v>
      </c>
      <c r="B162" s="104" t="s">
        <v>33</v>
      </c>
      <c r="C162" s="104" t="s">
        <v>291</v>
      </c>
      <c r="D162" s="105" t="n">
        <v>14.4</v>
      </c>
      <c r="E162" s="105" t="n">
        <v>1296</v>
      </c>
      <c r="F162" s="103" t="n">
        <f aca="false">IF(OR($C162="",$D162=0),"",$E162/$D162)</f>
        <v>90</v>
      </c>
      <c r="G162" s="104" t="s">
        <v>698</v>
      </c>
      <c r="H162" s="0" t="str">
        <f aca="false">IF($C162="","",IF(COUNTIF('مواد المخزون'!$A$2:$A$86,$C162)&gt;0,"نعم","لا (خارج الجرد)"))</f>
        <v>نعم</v>
      </c>
    </row>
    <row r="163" customFormat="false" ht="15" hidden="false" customHeight="false" outlineLevel="0" collapsed="false">
      <c r="A163" s="102" t="n">
        <v>46296</v>
      </c>
      <c r="B163" s="104" t="s">
        <v>33</v>
      </c>
      <c r="C163" s="104" t="s">
        <v>293</v>
      </c>
      <c r="D163" s="105" t="n">
        <v>600</v>
      </c>
      <c r="E163" s="105" t="n">
        <v>300</v>
      </c>
      <c r="F163" s="103" t="n">
        <f aca="false">IF(OR($C163="",$D163=0),"",$E163/$D163)</f>
        <v>0.5</v>
      </c>
      <c r="G163" s="104" t="s">
        <v>698</v>
      </c>
      <c r="H163" s="0" t="str">
        <f aca="false">IF($C163="","",IF(COUNTIF('مواد المخزون'!$A$2:$A$86,$C163)&gt;0,"نعم","لا (خارج الجرد)"))</f>
        <v>نعم</v>
      </c>
    </row>
    <row r="164" customFormat="false" ht="15" hidden="false" customHeight="false" outlineLevel="0" collapsed="false">
      <c r="A164" s="102" t="n">
        <v>46296</v>
      </c>
      <c r="B164" s="104" t="s">
        <v>33</v>
      </c>
      <c r="C164" s="104" t="s">
        <v>295</v>
      </c>
      <c r="D164" s="105" t="n">
        <v>3</v>
      </c>
      <c r="E164" s="105" t="n">
        <v>1260</v>
      </c>
      <c r="F164" s="103" t="n">
        <f aca="false">IF(OR($C164="",$D164=0),"",$E164/$D164)</f>
        <v>420</v>
      </c>
      <c r="G164" s="104" t="s">
        <v>698</v>
      </c>
      <c r="H164" s="0" t="str">
        <f aca="false">IF($C164="","",IF(COUNTIF('مواد المخزون'!$A$2:$A$86,$C164)&gt;0,"نعم","لا (خارج الجرد)"))</f>
        <v>نعم</v>
      </c>
    </row>
    <row r="165" customFormat="false" ht="15" hidden="false" customHeight="false" outlineLevel="0" collapsed="false">
      <c r="A165" s="102" t="n">
        <v>46296</v>
      </c>
      <c r="B165" s="104" t="s">
        <v>33</v>
      </c>
      <c r="C165" s="104" t="s">
        <v>705</v>
      </c>
      <c r="D165" s="105" t="n">
        <v>10</v>
      </c>
      <c r="E165" s="105" t="n">
        <v>80</v>
      </c>
      <c r="F165" s="103" t="n">
        <f aca="false">IF(OR($C165="",$D165=0),"",$E165/$D165)</f>
        <v>8</v>
      </c>
      <c r="G165" s="104" t="s">
        <v>698</v>
      </c>
      <c r="H165" s="0" t="str">
        <f aca="false">IF($C165="","",IF(COUNTIF('مواد المخزون'!$A$2:$A$86,$C165)&gt;0,"نعم","لا (خارج الجرد)"))</f>
        <v>لا (خارج الجرد)</v>
      </c>
    </row>
    <row r="166" customFormat="false" ht="15" hidden="false" customHeight="false" outlineLevel="0" collapsed="false">
      <c r="A166" s="102" t="n">
        <v>46296</v>
      </c>
      <c r="B166" s="104" t="s">
        <v>33</v>
      </c>
      <c r="C166" s="104" t="s">
        <v>298</v>
      </c>
      <c r="D166" s="105" t="n">
        <v>120</v>
      </c>
      <c r="E166" s="105" t="n">
        <v>2460</v>
      </c>
      <c r="F166" s="103" t="n">
        <f aca="false">IF(OR($C166="",$D166=0),"",$E166/$D166)</f>
        <v>20.5</v>
      </c>
      <c r="G166" s="104" t="s">
        <v>698</v>
      </c>
      <c r="H166" s="0" t="str">
        <f aca="false">IF($C166="","",IF(COUNTIF('مواد المخزون'!$A$2:$A$86,$C166)&gt;0,"نعم","لا (خارج الجرد)"))</f>
        <v>نعم</v>
      </c>
    </row>
    <row r="167" customFormat="false" ht="15" hidden="false" customHeight="false" outlineLevel="0" collapsed="false">
      <c r="A167" s="102" t="n">
        <v>46296</v>
      </c>
      <c r="B167" s="104" t="s">
        <v>33</v>
      </c>
      <c r="C167" s="104" t="s">
        <v>302</v>
      </c>
      <c r="D167" s="105" t="n">
        <v>1</v>
      </c>
      <c r="E167" s="105" t="n">
        <v>135</v>
      </c>
      <c r="F167" s="103" t="n">
        <f aca="false">IF(OR($C167="",$D167=0),"",$E167/$D167)</f>
        <v>135</v>
      </c>
      <c r="G167" s="104" t="s">
        <v>698</v>
      </c>
      <c r="H167" s="0" t="str">
        <f aca="false">IF($C167="","",IF(COUNTIF('مواد المخزون'!$A$2:$A$86,$C167)&gt;0,"نعم","لا (خارج الجرد)"))</f>
        <v>نعم</v>
      </c>
    </row>
    <row r="168" customFormat="false" ht="15" hidden="false" customHeight="false" outlineLevel="0" collapsed="false">
      <c r="A168" s="102" t="n">
        <v>46296</v>
      </c>
      <c r="B168" s="104" t="s">
        <v>33</v>
      </c>
      <c r="C168" s="104" t="s">
        <v>303</v>
      </c>
      <c r="D168" s="105" t="n">
        <v>3</v>
      </c>
      <c r="E168" s="105" t="n">
        <v>16.5</v>
      </c>
      <c r="F168" s="103" t="n">
        <f aca="false">IF(OR($C168="",$D168=0),"",$E168/$D168)</f>
        <v>5.5</v>
      </c>
      <c r="G168" s="104" t="s">
        <v>698</v>
      </c>
      <c r="H168" s="0" t="str">
        <f aca="false">IF($C168="","",IF(COUNTIF('مواد المخزون'!$A$2:$A$86,$C168)&gt;0,"نعم","لا (خارج الجرد)"))</f>
        <v>لا (خارج الجرد)</v>
      </c>
    </row>
    <row r="169" customFormat="false" ht="15" hidden="false" customHeight="false" outlineLevel="0" collapsed="false">
      <c r="A169" s="102" t="n">
        <v>46296</v>
      </c>
      <c r="B169" s="104" t="s">
        <v>33</v>
      </c>
      <c r="C169" s="104" t="s">
        <v>714</v>
      </c>
      <c r="D169" s="105" t="n">
        <v>5</v>
      </c>
      <c r="E169" s="105" t="n">
        <v>200</v>
      </c>
      <c r="F169" s="103" t="n">
        <f aca="false">IF(OR($C169="",$D169=0),"",$E169/$D169)</f>
        <v>40</v>
      </c>
      <c r="G169" s="104" t="s">
        <v>698</v>
      </c>
      <c r="H169" s="0" t="str">
        <f aca="false">IF($C169="","",IF(COUNTIF('مواد المخزون'!$A$2:$A$86,$C169)&gt;0,"نعم","لا (خارج الجرد)"))</f>
        <v>لا (خارج الجرد)</v>
      </c>
    </row>
    <row r="170" customFormat="false" ht="15" hidden="false" customHeight="false" outlineLevel="0" collapsed="false">
      <c r="A170" s="102" t="n">
        <v>46296</v>
      </c>
      <c r="B170" s="104" t="s">
        <v>33</v>
      </c>
      <c r="C170" s="104" t="s">
        <v>715</v>
      </c>
      <c r="D170" s="105" t="n">
        <v>0.25</v>
      </c>
      <c r="E170" s="105" t="n">
        <v>22.5</v>
      </c>
      <c r="F170" s="103" t="n">
        <f aca="false">IF(OR($C170="",$D170=0),"",$E170/$D170)</f>
        <v>90</v>
      </c>
      <c r="G170" s="104" t="s">
        <v>698</v>
      </c>
      <c r="H170" s="0" t="str">
        <f aca="false">IF($C170="","",IF(COUNTIF('مواد المخزون'!$A$2:$A$86,$C170)&gt;0,"نعم","لا (خارج الجرد)"))</f>
        <v>لا (خارج الجرد)</v>
      </c>
    </row>
    <row r="171" customFormat="false" ht="15" hidden="false" customHeight="false" outlineLevel="0" collapsed="false">
      <c r="A171" s="102" t="n">
        <v>46296</v>
      </c>
      <c r="B171" s="104" t="s">
        <v>33</v>
      </c>
      <c r="C171" s="104" t="s">
        <v>307</v>
      </c>
      <c r="D171" s="105" t="n">
        <v>2</v>
      </c>
      <c r="E171" s="105" t="n">
        <v>500</v>
      </c>
      <c r="F171" s="103" t="n">
        <f aca="false">IF(OR($C171="",$D171=0),"",$E171/$D171)</f>
        <v>250</v>
      </c>
      <c r="G171" s="104" t="s">
        <v>698</v>
      </c>
      <c r="H171" s="0" t="str">
        <f aca="false">IF($C171="","",IF(COUNTIF('مواد المخزون'!$A$2:$A$86,$C171)&gt;0,"نعم","لا (خارج الجرد)"))</f>
        <v>نعم</v>
      </c>
    </row>
    <row r="172" customFormat="false" ht="15" hidden="false" customHeight="false" outlineLevel="0" collapsed="false">
      <c r="A172" s="102" t="n">
        <v>46296</v>
      </c>
      <c r="B172" s="104" t="s">
        <v>33</v>
      </c>
      <c r="C172" s="104" t="s">
        <v>706</v>
      </c>
      <c r="D172" s="105" t="n">
        <v>9</v>
      </c>
      <c r="E172" s="105" t="n">
        <v>108</v>
      </c>
      <c r="F172" s="103" t="n">
        <f aca="false">IF(OR($C172="",$D172=0),"",$E172/$D172)</f>
        <v>12</v>
      </c>
      <c r="G172" s="104" t="s">
        <v>698</v>
      </c>
      <c r="H172" s="0" t="str">
        <f aca="false">IF($C172="","",IF(COUNTIF('مواد المخزون'!$A$2:$A$86,$C172)&gt;0,"نعم","لا (خارج الجرد)"))</f>
        <v>لا (خارج الجرد)</v>
      </c>
    </row>
    <row r="173" customFormat="false" ht="15" hidden="false" customHeight="false" outlineLevel="0" collapsed="false">
      <c r="A173" s="102" t="n">
        <v>46296</v>
      </c>
      <c r="B173" s="104" t="s">
        <v>33</v>
      </c>
      <c r="C173" s="104" t="s">
        <v>309</v>
      </c>
      <c r="D173" s="105" t="n">
        <v>10</v>
      </c>
      <c r="E173" s="105" t="n">
        <v>240</v>
      </c>
      <c r="F173" s="103" t="n">
        <f aca="false">IF(OR($C173="",$D173=0),"",$E173/$D173)</f>
        <v>24</v>
      </c>
      <c r="G173" s="104" t="s">
        <v>698</v>
      </c>
      <c r="H173" s="0" t="str">
        <f aca="false">IF($C173="","",IF(COUNTIF('مواد المخزون'!$A$2:$A$86,$C173)&gt;0,"نعم","لا (خارج الجرد)"))</f>
        <v>نعم</v>
      </c>
    </row>
    <row r="174" customFormat="false" ht="15" hidden="false" customHeight="false" outlineLevel="0" collapsed="false">
      <c r="A174" s="102" t="n">
        <v>46296</v>
      </c>
      <c r="B174" s="104" t="s">
        <v>33</v>
      </c>
      <c r="C174" s="104" t="s">
        <v>716</v>
      </c>
      <c r="D174" s="105" t="n">
        <v>1</v>
      </c>
      <c r="E174" s="105" t="n">
        <v>8</v>
      </c>
      <c r="F174" s="103" t="n">
        <f aca="false">IF(OR($C174="",$D174=0),"",$E174/$D174)</f>
        <v>8</v>
      </c>
      <c r="G174" s="104" t="s">
        <v>698</v>
      </c>
      <c r="H174" s="0" t="str">
        <f aca="false">IF($C174="","",IF(COUNTIF('مواد المخزون'!$A$2:$A$86,$C174)&gt;0,"نعم","لا (خارج الجرد)"))</f>
        <v>لا (خارج الجرد)</v>
      </c>
    </row>
    <row r="175" customFormat="false" ht="15" hidden="false" customHeight="false" outlineLevel="0" collapsed="false">
      <c r="A175" s="102" t="n">
        <v>46296</v>
      </c>
      <c r="B175" s="104" t="s">
        <v>33</v>
      </c>
      <c r="C175" s="104" t="s">
        <v>317</v>
      </c>
      <c r="D175" s="105" t="n">
        <v>1</v>
      </c>
      <c r="E175" s="105" t="n">
        <v>610</v>
      </c>
      <c r="F175" s="103" t="n">
        <f aca="false">IF(OR($C175="",$D175=0),"",$E175/$D175)</f>
        <v>610</v>
      </c>
      <c r="G175" s="104" t="s">
        <v>698</v>
      </c>
      <c r="H175" s="0" t="str">
        <f aca="false">IF($C175="","",IF(COUNTIF('مواد المخزون'!$A$2:$A$86,$C175)&gt;0,"نعم","لا (خارج الجرد)"))</f>
        <v>نعم</v>
      </c>
    </row>
    <row r="176" customFormat="false" ht="15" hidden="false" customHeight="false" outlineLevel="0" collapsed="false">
      <c r="A176" s="102" t="n">
        <v>46296</v>
      </c>
      <c r="B176" s="104" t="s">
        <v>33</v>
      </c>
      <c r="C176" s="104" t="s">
        <v>707</v>
      </c>
      <c r="D176" s="105" t="n">
        <v>1</v>
      </c>
      <c r="E176" s="105" t="n">
        <v>120</v>
      </c>
      <c r="F176" s="103" t="n">
        <f aca="false">IF(OR($C176="",$D176=0),"",$E176/$D176)</f>
        <v>120</v>
      </c>
      <c r="G176" s="104" t="s">
        <v>698</v>
      </c>
      <c r="H176" s="0" t="str">
        <f aca="false">IF($C176="","",IF(COUNTIF('مواد المخزون'!$A$2:$A$86,$C176)&gt;0,"نعم","لا (خارج الجرد)"))</f>
        <v>نعم</v>
      </c>
    </row>
    <row r="177" customFormat="false" ht="15" hidden="false" customHeight="false" outlineLevel="0" collapsed="false">
      <c r="A177" s="102" t="n">
        <v>46296</v>
      </c>
      <c r="B177" s="104" t="s">
        <v>34</v>
      </c>
      <c r="C177" s="104" t="s">
        <v>125</v>
      </c>
      <c r="D177" s="105" t="n">
        <v>1000</v>
      </c>
      <c r="E177" s="105" t="n">
        <v>800</v>
      </c>
      <c r="F177" s="103" t="n">
        <f aca="false">IF(OR($C177="",$D177=0),"",$E177/$D177)</f>
        <v>0.8</v>
      </c>
      <c r="G177" s="104" t="s">
        <v>698</v>
      </c>
      <c r="H177" s="0" t="str">
        <f aca="false">IF($C177="","",IF(COUNTIF('مواد المخزون'!$A$2:$A$86,$C177)&gt;0,"نعم","لا (خارج الجرد)"))</f>
        <v>نعم</v>
      </c>
    </row>
    <row r="178" customFormat="false" ht="15" hidden="false" customHeight="false" outlineLevel="0" collapsed="false">
      <c r="A178" s="102" t="n">
        <v>46296</v>
      </c>
      <c r="B178" s="104" t="s">
        <v>34</v>
      </c>
      <c r="C178" s="104" t="s">
        <v>131</v>
      </c>
      <c r="D178" s="105" t="n">
        <v>2</v>
      </c>
      <c r="E178" s="105" t="n">
        <v>160</v>
      </c>
      <c r="F178" s="103" t="n">
        <f aca="false">IF(OR($C178="",$D178=0),"",$E178/$D178)</f>
        <v>80</v>
      </c>
      <c r="G178" s="104" t="s">
        <v>698</v>
      </c>
      <c r="H178" s="0" t="str">
        <f aca="false">IF($C178="","",IF(COUNTIF('مواد المخزون'!$A$2:$A$86,$C178)&gt;0,"نعم","لا (خارج الجرد)"))</f>
        <v>لا (خارج الجرد)</v>
      </c>
    </row>
    <row r="179" customFormat="false" ht="15" hidden="false" customHeight="false" outlineLevel="0" collapsed="false">
      <c r="A179" s="102" t="n">
        <v>46296</v>
      </c>
      <c r="B179" s="104" t="s">
        <v>34</v>
      </c>
      <c r="C179" s="104" t="s">
        <v>133</v>
      </c>
      <c r="D179" s="105" t="n">
        <v>25</v>
      </c>
      <c r="E179" s="105" t="n">
        <v>1750</v>
      </c>
      <c r="F179" s="103" t="n">
        <f aca="false">IF(OR($C179="",$D179=0),"",$E179/$D179)</f>
        <v>70</v>
      </c>
      <c r="G179" s="104" t="s">
        <v>698</v>
      </c>
      <c r="H179" s="0" t="str">
        <f aca="false">IF($C179="","",IF(COUNTIF('مواد المخزون'!$A$2:$A$86,$C179)&gt;0,"نعم","لا (خارج الجرد)"))</f>
        <v>نعم</v>
      </c>
    </row>
    <row r="180" customFormat="false" ht="15" hidden="false" customHeight="false" outlineLevel="0" collapsed="false">
      <c r="A180" s="102" t="n">
        <v>46296</v>
      </c>
      <c r="B180" s="104" t="s">
        <v>34</v>
      </c>
      <c r="C180" s="104" t="s">
        <v>136</v>
      </c>
      <c r="D180" s="105" t="n">
        <v>25</v>
      </c>
      <c r="E180" s="105" t="n">
        <v>1750</v>
      </c>
      <c r="F180" s="103" t="n">
        <f aca="false">IF(OR($C180="",$D180=0),"",$E180/$D180)</f>
        <v>70</v>
      </c>
      <c r="G180" s="104" t="s">
        <v>698</v>
      </c>
      <c r="H180" s="0" t="str">
        <f aca="false">IF($C180="","",IF(COUNTIF('مواد المخزون'!$A$2:$A$86,$C180)&gt;0,"نعم","لا (خارج الجرد)"))</f>
        <v>نعم</v>
      </c>
    </row>
    <row r="181" customFormat="false" ht="15" hidden="false" customHeight="false" outlineLevel="0" collapsed="false">
      <c r="A181" s="102" t="n">
        <v>46296</v>
      </c>
      <c r="B181" s="104" t="s">
        <v>34</v>
      </c>
      <c r="C181" s="104" t="s">
        <v>138</v>
      </c>
      <c r="D181" s="105" t="n">
        <v>3</v>
      </c>
      <c r="E181" s="105" t="n">
        <v>180</v>
      </c>
      <c r="F181" s="103" t="n">
        <f aca="false">IF(OR($C181="",$D181=0),"",$E181/$D181)</f>
        <v>60</v>
      </c>
      <c r="G181" s="104" t="s">
        <v>698</v>
      </c>
      <c r="H181" s="0" t="str">
        <f aca="false">IF($C181="","",IF(COUNTIF('مواد المخزون'!$A$2:$A$86,$C181)&gt;0,"نعم","لا (خارج الجرد)"))</f>
        <v>لا (خارج الجرد)</v>
      </c>
    </row>
    <row r="182" customFormat="false" ht="15" hidden="false" customHeight="false" outlineLevel="0" collapsed="false">
      <c r="A182" s="102" t="n">
        <v>46296</v>
      </c>
      <c r="B182" s="104" t="s">
        <v>34</v>
      </c>
      <c r="C182" s="104" t="s">
        <v>699</v>
      </c>
      <c r="D182" s="105" t="n">
        <v>249</v>
      </c>
      <c r="E182" s="105" t="n">
        <v>4482</v>
      </c>
      <c r="F182" s="103" t="n">
        <f aca="false">IF(OR($C182="",$D182=0),"",$E182/$D182)</f>
        <v>18</v>
      </c>
      <c r="G182" s="104" t="s">
        <v>698</v>
      </c>
      <c r="H182" s="0" t="str">
        <f aca="false">IF($C182="","",IF(COUNTIF('مواد المخزون'!$A$2:$A$86,$C182)&gt;0,"نعم","لا (خارج الجرد)"))</f>
        <v>نعم</v>
      </c>
    </row>
    <row r="183" customFormat="false" ht="15" hidden="false" customHeight="false" outlineLevel="0" collapsed="false">
      <c r="A183" s="102" t="n">
        <v>46296</v>
      </c>
      <c r="B183" s="104" t="s">
        <v>34</v>
      </c>
      <c r="C183" s="104" t="s">
        <v>142</v>
      </c>
      <c r="D183" s="105" t="n">
        <v>470</v>
      </c>
      <c r="E183" s="105" t="n">
        <v>16450</v>
      </c>
      <c r="F183" s="103" t="n">
        <f aca="false">IF(OR($C183="",$D183=0),"",$E183/$D183)</f>
        <v>35</v>
      </c>
      <c r="G183" s="104" t="s">
        <v>698</v>
      </c>
      <c r="H183" s="0" t="str">
        <f aca="false">IF($C183="","",IF(COUNTIF('مواد المخزون'!$A$2:$A$86,$C183)&gt;0,"نعم","لا (خارج الجرد)"))</f>
        <v>نعم</v>
      </c>
    </row>
    <row r="184" customFormat="false" ht="15" hidden="false" customHeight="false" outlineLevel="0" collapsed="false">
      <c r="A184" s="102" t="n">
        <v>46296</v>
      </c>
      <c r="B184" s="104" t="s">
        <v>34</v>
      </c>
      <c r="C184" s="104" t="s">
        <v>144</v>
      </c>
      <c r="D184" s="105" t="n">
        <v>80</v>
      </c>
      <c r="E184" s="105" t="n">
        <v>3680</v>
      </c>
      <c r="F184" s="103" t="n">
        <f aca="false">IF(OR($C184="",$D184=0),"",$E184/$D184)</f>
        <v>46</v>
      </c>
      <c r="G184" s="104" t="s">
        <v>698</v>
      </c>
      <c r="H184" s="0" t="str">
        <f aca="false">IF($C184="","",IF(COUNTIF('مواد المخزون'!$A$2:$A$86,$C184)&gt;0,"نعم","لا (خارج الجرد)"))</f>
        <v>نعم</v>
      </c>
    </row>
    <row r="185" customFormat="false" ht="15" hidden="false" customHeight="false" outlineLevel="0" collapsed="false">
      <c r="A185" s="102" t="n">
        <v>46296</v>
      </c>
      <c r="B185" s="104" t="s">
        <v>34</v>
      </c>
      <c r="C185" s="104" t="s">
        <v>146</v>
      </c>
      <c r="D185" s="105" t="n">
        <v>225</v>
      </c>
      <c r="E185" s="105" t="n">
        <v>1272.5</v>
      </c>
      <c r="F185" s="103" t="n">
        <f aca="false">IF(OR($C185="",$D185=0),"",$E185/$D185)</f>
        <v>5.65555555555556</v>
      </c>
      <c r="G185" s="104" t="s">
        <v>698</v>
      </c>
      <c r="H185" s="0" t="str">
        <f aca="false">IF($C185="","",IF(COUNTIF('مواد المخزون'!$A$2:$A$86,$C185)&gt;0,"نعم","لا (خارج الجرد)"))</f>
        <v>نعم</v>
      </c>
    </row>
    <row r="186" customFormat="false" ht="15" hidden="false" customHeight="false" outlineLevel="0" collapsed="false">
      <c r="A186" s="102" t="n">
        <v>46296</v>
      </c>
      <c r="B186" s="104" t="s">
        <v>34</v>
      </c>
      <c r="C186" s="104" t="s">
        <v>148</v>
      </c>
      <c r="D186" s="105" t="n">
        <v>600</v>
      </c>
      <c r="E186" s="105" t="n">
        <v>5400</v>
      </c>
      <c r="F186" s="103" t="n">
        <f aca="false">IF(OR($C186="",$D186=0),"",$E186/$D186)</f>
        <v>9</v>
      </c>
      <c r="G186" s="104" t="s">
        <v>698</v>
      </c>
      <c r="H186" s="0" t="str">
        <f aca="false">IF($C186="","",IF(COUNTIF('مواد المخزون'!$A$2:$A$86,$C186)&gt;0,"نعم","لا (خارج الجرد)"))</f>
        <v>نعم</v>
      </c>
    </row>
    <row r="187" customFormat="false" ht="15" hidden="false" customHeight="false" outlineLevel="0" collapsed="false">
      <c r="A187" s="102" t="n">
        <v>46296</v>
      </c>
      <c r="B187" s="104" t="s">
        <v>34</v>
      </c>
      <c r="C187" s="104" t="s">
        <v>150</v>
      </c>
      <c r="D187" s="105" t="n">
        <v>10</v>
      </c>
      <c r="E187" s="105" t="n">
        <v>950</v>
      </c>
      <c r="F187" s="103" t="n">
        <f aca="false">IF(OR($C187="",$D187=0),"",$E187/$D187)</f>
        <v>95</v>
      </c>
      <c r="G187" s="104" t="s">
        <v>698</v>
      </c>
      <c r="H187" s="0" t="str">
        <f aca="false">IF($C187="","",IF(COUNTIF('مواد المخزون'!$A$2:$A$86,$C187)&gt;0,"نعم","لا (خارج الجرد)"))</f>
        <v>نعم</v>
      </c>
    </row>
    <row r="188" customFormat="false" ht="15" hidden="false" customHeight="false" outlineLevel="0" collapsed="false">
      <c r="A188" s="102" t="n">
        <v>46296</v>
      </c>
      <c r="B188" s="104" t="s">
        <v>34</v>
      </c>
      <c r="C188" s="104" t="s">
        <v>152</v>
      </c>
      <c r="D188" s="105" t="n">
        <v>541</v>
      </c>
      <c r="E188" s="105" t="n">
        <v>18394</v>
      </c>
      <c r="F188" s="103" t="n">
        <f aca="false">IF(OR($C188="",$D188=0),"",$E188/$D188)</f>
        <v>34</v>
      </c>
      <c r="G188" s="104" t="s">
        <v>698</v>
      </c>
      <c r="H188" s="0" t="str">
        <f aca="false">IF($C188="","",IF(COUNTIF('مواد المخزون'!$A$2:$A$86,$C188)&gt;0,"نعم","لا (خارج الجرد)"))</f>
        <v>نعم</v>
      </c>
    </row>
    <row r="189" customFormat="false" ht="15" hidden="false" customHeight="false" outlineLevel="0" collapsed="false">
      <c r="A189" s="102" t="n">
        <v>46296</v>
      </c>
      <c r="B189" s="104" t="s">
        <v>34</v>
      </c>
      <c r="C189" s="104" t="s">
        <v>154</v>
      </c>
      <c r="D189" s="105" t="n">
        <v>100</v>
      </c>
      <c r="E189" s="105" t="n">
        <v>4500</v>
      </c>
      <c r="F189" s="103" t="n">
        <f aca="false">IF(OR($C189="",$D189=0),"",$E189/$D189)</f>
        <v>45</v>
      </c>
      <c r="G189" s="104" t="s">
        <v>698</v>
      </c>
      <c r="H189" s="0" t="str">
        <f aca="false">IF($C189="","",IF(COUNTIF('مواد المخزون'!$A$2:$A$86,$C189)&gt;0,"نعم","لا (خارج الجرد)"))</f>
        <v>نعم</v>
      </c>
    </row>
    <row r="190" customFormat="false" ht="15" hidden="false" customHeight="false" outlineLevel="0" collapsed="false">
      <c r="A190" s="102" t="n">
        <v>46296</v>
      </c>
      <c r="B190" s="104" t="s">
        <v>34</v>
      </c>
      <c r="C190" s="104" t="s">
        <v>156</v>
      </c>
      <c r="D190" s="105" t="n">
        <v>50</v>
      </c>
      <c r="E190" s="105" t="n">
        <v>1400</v>
      </c>
      <c r="F190" s="103" t="n">
        <f aca="false">IF(OR($C190="",$D190=0),"",$E190/$D190)</f>
        <v>28</v>
      </c>
      <c r="G190" s="104" t="s">
        <v>698</v>
      </c>
      <c r="H190" s="0" t="str">
        <f aca="false">IF($C190="","",IF(COUNTIF('مواد المخزون'!$A$2:$A$86,$C190)&gt;0,"نعم","لا (خارج الجرد)"))</f>
        <v>نعم</v>
      </c>
    </row>
    <row r="191" customFormat="false" ht="15" hidden="false" customHeight="false" outlineLevel="0" collapsed="false">
      <c r="A191" s="102" t="n">
        <v>46296</v>
      </c>
      <c r="B191" s="104" t="s">
        <v>34</v>
      </c>
      <c r="C191" s="104" t="s">
        <v>156</v>
      </c>
      <c r="D191" s="105" t="n">
        <v>14</v>
      </c>
      <c r="E191" s="105" t="n">
        <v>303</v>
      </c>
      <c r="F191" s="103" t="n">
        <f aca="false">IF(OR($C191="",$D191=0),"",$E191/$D191)</f>
        <v>21.6428571428571</v>
      </c>
      <c r="G191" s="104" t="s">
        <v>698</v>
      </c>
      <c r="H191" s="0" t="str">
        <f aca="false">IF($C191="","",IF(COUNTIF('مواد المخزون'!$A$2:$A$86,$C191)&gt;0,"نعم","لا (خارج الجرد)"))</f>
        <v>نعم</v>
      </c>
    </row>
    <row r="192" customFormat="false" ht="15" hidden="false" customHeight="false" outlineLevel="0" collapsed="false">
      <c r="A192" s="102" t="n">
        <v>46296</v>
      </c>
      <c r="B192" s="104" t="s">
        <v>34</v>
      </c>
      <c r="C192" s="104" t="s">
        <v>158</v>
      </c>
      <c r="D192" s="105" t="n">
        <v>210</v>
      </c>
      <c r="E192" s="105" t="n">
        <v>7090</v>
      </c>
      <c r="F192" s="103" t="n">
        <f aca="false">IF(OR($C192="",$D192=0),"",$E192/$D192)</f>
        <v>33.7619047619048</v>
      </c>
      <c r="G192" s="104" t="s">
        <v>698</v>
      </c>
      <c r="H192" s="0" t="str">
        <f aca="false">IF($C192="","",IF(COUNTIF('مواد المخزون'!$A$2:$A$86,$C192)&gt;0,"نعم","لا (خارج الجرد)"))</f>
        <v>نعم</v>
      </c>
    </row>
    <row r="193" customFormat="false" ht="15" hidden="false" customHeight="false" outlineLevel="0" collapsed="false">
      <c r="A193" s="102" t="n">
        <v>46296</v>
      </c>
      <c r="B193" s="104" t="s">
        <v>34</v>
      </c>
      <c r="C193" s="104" t="s">
        <v>160</v>
      </c>
      <c r="D193" s="105" t="n">
        <v>40</v>
      </c>
      <c r="E193" s="105" t="n">
        <v>2000</v>
      </c>
      <c r="F193" s="103" t="n">
        <f aca="false">IF(OR($C193="",$D193=0),"",$E193/$D193)</f>
        <v>50</v>
      </c>
      <c r="G193" s="104" t="s">
        <v>698</v>
      </c>
      <c r="H193" s="0" t="str">
        <f aca="false">IF($C193="","",IF(COUNTIF('مواد المخزون'!$A$2:$A$86,$C193)&gt;0,"نعم","لا (خارج الجرد)"))</f>
        <v>نعم</v>
      </c>
    </row>
    <row r="194" customFormat="false" ht="15" hidden="false" customHeight="false" outlineLevel="0" collapsed="false">
      <c r="A194" s="102" t="n">
        <v>46296</v>
      </c>
      <c r="B194" s="104" t="s">
        <v>34</v>
      </c>
      <c r="C194" s="104" t="s">
        <v>162</v>
      </c>
      <c r="D194" s="105" t="n">
        <v>120</v>
      </c>
      <c r="E194" s="105" t="n">
        <v>3600</v>
      </c>
      <c r="F194" s="103" t="n">
        <f aca="false">IF(OR($C194="",$D194=0),"",$E194/$D194)</f>
        <v>30</v>
      </c>
      <c r="G194" s="104" t="s">
        <v>698</v>
      </c>
      <c r="H194" s="0" t="str">
        <f aca="false">IF($C194="","",IF(COUNTIF('مواد المخزون'!$A$2:$A$86,$C194)&gt;0,"نعم","لا (خارج الجرد)"))</f>
        <v>نعم</v>
      </c>
    </row>
    <row r="195" customFormat="false" ht="15" hidden="false" customHeight="false" outlineLevel="0" collapsed="false">
      <c r="A195" s="102" t="n">
        <v>46296</v>
      </c>
      <c r="B195" s="104" t="s">
        <v>34</v>
      </c>
      <c r="C195" s="104" t="s">
        <v>168</v>
      </c>
      <c r="D195" s="105" t="n">
        <v>20</v>
      </c>
      <c r="E195" s="105" t="n">
        <v>420</v>
      </c>
      <c r="F195" s="103" t="n">
        <f aca="false">IF(OR($C195="",$D195=0),"",$E195/$D195)</f>
        <v>21</v>
      </c>
      <c r="G195" s="104" t="s">
        <v>698</v>
      </c>
      <c r="H195" s="0" t="str">
        <f aca="false">IF($C195="","",IF(COUNTIF('مواد المخزون'!$A$2:$A$86,$C195)&gt;0,"نعم","لا (خارج الجرد)"))</f>
        <v>نعم</v>
      </c>
    </row>
    <row r="196" customFormat="false" ht="15" hidden="false" customHeight="false" outlineLevel="0" collapsed="false">
      <c r="A196" s="102" t="n">
        <v>46296</v>
      </c>
      <c r="B196" s="104" t="s">
        <v>34</v>
      </c>
      <c r="C196" s="104" t="s">
        <v>170</v>
      </c>
      <c r="D196" s="105" t="n">
        <v>30</v>
      </c>
      <c r="E196" s="105" t="n">
        <v>690</v>
      </c>
      <c r="F196" s="103" t="n">
        <f aca="false">IF(OR($C196="",$D196=0),"",$E196/$D196)</f>
        <v>23</v>
      </c>
      <c r="G196" s="104" t="s">
        <v>698</v>
      </c>
      <c r="H196" s="0" t="str">
        <f aca="false">IF($C196="","",IF(COUNTIF('مواد المخزون'!$A$2:$A$86,$C196)&gt;0,"نعم","لا (خارج الجرد)"))</f>
        <v>نعم</v>
      </c>
    </row>
    <row r="197" customFormat="false" ht="15" hidden="false" customHeight="false" outlineLevel="0" collapsed="false">
      <c r="A197" s="102" t="n">
        <v>46296</v>
      </c>
      <c r="B197" s="104" t="s">
        <v>34</v>
      </c>
      <c r="C197" s="104" t="s">
        <v>172</v>
      </c>
      <c r="D197" s="105" t="n">
        <v>780</v>
      </c>
      <c r="E197" s="105" t="n">
        <v>15600</v>
      </c>
      <c r="F197" s="103" t="n">
        <f aca="false">IF(OR($C197="",$D197=0),"",$E197/$D197)</f>
        <v>20</v>
      </c>
      <c r="G197" s="104" t="s">
        <v>698</v>
      </c>
      <c r="H197" s="0" t="str">
        <f aca="false">IF($C197="","",IF(COUNTIF('مواد المخزون'!$A$2:$A$86,$C197)&gt;0,"نعم","لا (خارج الجرد)"))</f>
        <v>نعم</v>
      </c>
    </row>
    <row r="198" customFormat="false" ht="15" hidden="false" customHeight="false" outlineLevel="0" collapsed="false">
      <c r="A198" s="102" t="n">
        <v>46296</v>
      </c>
      <c r="B198" s="104" t="s">
        <v>34</v>
      </c>
      <c r="C198" s="104" t="s">
        <v>176</v>
      </c>
      <c r="D198" s="105" t="n">
        <v>1320</v>
      </c>
      <c r="E198" s="105" t="n">
        <v>23100</v>
      </c>
      <c r="F198" s="103" t="n">
        <f aca="false">IF(OR($C198="",$D198=0),"",$E198/$D198)</f>
        <v>17.5</v>
      </c>
      <c r="G198" s="104" t="s">
        <v>698</v>
      </c>
      <c r="H198" s="0" t="str">
        <f aca="false">IF($C198="","",IF(COUNTIF('مواد المخزون'!$A$2:$A$86,$C198)&gt;0,"نعم","لا (خارج الجرد)"))</f>
        <v>نعم</v>
      </c>
    </row>
    <row r="199" customFormat="false" ht="15" hidden="false" customHeight="false" outlineLevel="0" collapsed="false">
      <c r="A199" s="102" t="n">
        <v>46296</v>
      </c>
      <c r="B199" s="104" t="s">
        <v>34</v>
      </c>
      <c r="C199" s="104" t="s">
        <v>186</v>
      </c>
      <c r="D199" s="105" t="n">
        <v>20</v>
      </c>
      <c r="E199" s="105" t="n">
        <v>820</v>
      </c>
      <c r="F199" s="103" t="n">
        <f aca="false">IF(OR($C199="",$D199=0),"",$E199/$D199)</f>
        <v>41</v>
      </c>
      <c r="G199" s="104" t="s">
        <v>698</v>
      </c>
      <c r="H199" s="0" t="str">
        <f aca="false">IF($C199="","",IF(COUNTIF('مواد المخزون'!$A$2:$A$86,$C199)&gt;0,"نعم","لا (خارج الجرد)"))</f>
        <v>نعم</v>
      </c>
    </row>
    <row r="200" customFormat="false" ht="15" hidden="false" customHeight="false" outlineLevel="0" collapsed="false">
      <c r="A200" s="102" t="n">
        <v>46296</v>
      </c>
      <c r="B200" s="104" t="s">
        <v>34</v>
      </c>
      <c r="C200" s="104" t="s">
        <v>195</v>
      </c>
      <c r="D200" s="105" t="n">
        <v>12</v>
      </c>
      <c r="E200" s="105" t="n">
        <v>360</v>
      </c>
      <c r="F200" s="103" t="n">
        <f aca="false">IF(OR($C200="",$D200=0),"",$E200/$D200)</f>
        <v>30</v>
      </c>
      <c r="G200" s="104" t="s">
        <v>698</v>
      </c>
      <c r="H200" s="0" t="str">
        <f aca="false">IF($C200="","",IF(COUNTIF('مواد المخزون'!$A$2:$A$86,$C200)&gt;0,"نعم","لا (خارج الجرد)"))</f>
        <v>لا (خارج الجرد)</v>
      </c>
    </row>
    <row r="201" customFormat="false" ht="15" hidden="false" customHeight="false" outlineLevel="0" collapsed="false">
      <c r="A201" s="102" t="n">
        <v>46296</v>
      </c>
      <c r="B201" s="104" t="s">
        <v>34</v>
      </c>
      <c r="C201" s="104" t="s">
        <v>202</v>
      </c>
      <c r="D201" s="105" t="n">
        <v>1</v>
      </c>
      <c r="E201" s="105" t="n">
        <v>15</v>
      </c>
      <c r="F201" s="103" t="n">
        <f aca="false">IF(OR($C201="",$D201=0),"",$E201/$D201)</f>
        <v>15</v>
      </c>
      <c r="G201" s="104" t="s">
        <v>698</v>
      </c>
      <c r="H201" s="0" t="str">
        <f aca="false">IF($C201="","",IF(COUNTIF('مواد المخزون'!$A$2:$A$86,$C201)&gt;0,"نعم","لا (خارج الجرد)"))</f>
        <v>نعم</v>
      </c>
    </row>
    <row r="202" customFormat="false" ht="15" hidden="false" customHeight="false" outlineLevel="0" collapsed="false">
      <c r="A202" s="102" t="n">
        <v>46296</v>
      </c>
      <c r="B202" s="104" t="s">
        <v>34</v>
      </c>
      <c r="C202" s="104" t="s">
        <v>208</v>
      </c>
      <c r="D202" s="105" t="n">
        <v>7</v>
      </c>
      <c r="E202" s="105" t="n">
        <v>1200</v>
      </c>
      <c r="F202" s="103" t="n">
        <f aca="false">IF(OR($C202="",$D202=0),"",$E202/$D202)</f>
        <v>171.428571428571</v>
      </c>
      <c r="G202" s="104" t="s">
        <v>698</v>
      </c>
      <c r="H202" s="0" t="str">
        <f aca="false">IF($C202="","",IF(COUNTIF('مواد المخزون'!$A$2:$A$86,$C202)&gt;0,"نعم","لا (خارج الجرد)"))</f>
        <v>لا (خارج الجرد)</v>
      </c>
    </row>
    <row r="203" customFormat="false" ht="15" hidden="false" customHeight="false" outlineLevel="0" collapsed="false">
      <c r="A203" s="102" t="n">
        <v>46296</v>
      </c>
      <c r="B203" s="104" t="s">
        <v>34</v>
      </c>
      <c r="C203" s="104" t="s">
        <v>208</v>
      </c>
      <c r="D203" s="105" t="n">
        <v>1</v>
      </c>
      <c r="E203" s="105" t="n">
        <v>300</v>
      </c>
      <c r="F203" s="103" t="n">
        <f aca="false">IF(OR($C203="",$D203=0),"",$E203/$D203)</f>
        <v>300</v>
      </c>
      <c r="G203" s="104" t="s">
        <v>698</v>
      </c>
      <c r="H203" s="0" t="str">
        <f aca="false">IF($C203="","",IF(COUNTIF('مواد المخزون'!$A$2:$A$86,$C203)&gt;0,"نعم","لا (خارج الجرد)"))</f>
        <v>لا (خارج الجرد)</v>
      </c>
    </row>
    <row r="204" customFormat="false" ht="15" hidden="false" customHeight="false" outlineLevel="0" collapsed="false">
      <c r="A204" s="102" t="n">
        <v>46296</v>
      </c>
      <c r="B204" s="104" t="s">
        <v>34</v>
      </c>
      <c r="C204" s="104" t="s">
        <v>214</v>
      </c>
      <c r="D204" s="105" t="n">
        <v>1.5</v>
      </c>
      <c r="E204" s="105" t="n">
        <v>300</v>
      </c>
      <c r="F204" s="103" t="n">
        <f aca="false">IF(OR($C204="",$D204=0),"",$E204/$D204)</f>
        <v>200</v>
      </c>
      <c r="G204" s="104" t="s">
        <v>698</v>
      </c>
      <c r="H204" s="0" t="str">
        <f aca="false">IF($C204="","",IF(COUNTIF('مواد المخزون'!$A$2:$A$86,$C204)&gt;0,"نعم","لا (خارج الجرد)"))</f>
        <v>نعم</v>
      </c>
    </row>
    <row r="205" customFormat="false" ht="15" hidden="false" customHeight="false" outlineLevel="0" collapsed="false">
      <c r="A205" s="102" t="n">
        <v>46296</v>
      </c>
      <c r="B205" s="104" t="s">
        <v>34</v>
      </c>
      <c r="C205" s="104" t="s">
        <v>220</v>
      </c>
      <c r="D205" s="105" t="n">
        <v>9</v>
      </c>
      <c r="E205" s="105" t="n">
        <v>1080</v>
      </c>
      <c r="F205" s="103" t="n">
        <f aca="false">IF(OR($C205="",$D205=0),"",$E205/$D205)</f>
        <v>120</v>
      </c>
      <c r="G205" s="104" t="s">
        <v>698</v>
      </c>
      <c r="H205" s="0" t="str">
        <f aca="false">IF($C205="","",IF(COUNTIF('مواد المخزون'!$A$2:$A$86,$C205)&gt;0,"نعم","لا (خارج الجرد)"))</f>
        <v>نعم</v>
      </c>
    </row>
    <row r="206" customFormat="false" ht="15" hidden="false" customHeight="false" outlineLevel="0" collapsed="false">
      <c r="A206" s="102" t="n">
        <v>46296</v>
      </c>
      <c r="B206" s="104" t="s">
        <v>34</v>
      </c>
      <c r="C206" s="104" t="s">
        <v>221</v>
      </c>
      <c r="D206" s="105" t="n">
        <v>1.5</v>
      </c>
      <c r="E206" s="105" t="n">
        <v>330</v>
      </c>
      <c r="F206" s="103" t="n">
        <f aca="false">IF(OR($C206="",$D206=0),"",$E206/$D206)</f>
        <v>220</v>
      </c>
      <c r="G206" s="104" t="s">
        <v>698</v>
      </c>
      <c r="H206" s="0" t="str">
        <f aca="false">IF($C206="","",IF(COUNTIF('مواد المخزون'!$A$2:$A$86,$C206)&gt;0,"نعم","لا (خارج الجرد)"))</f>
        <v>نعم</v>
      </c>
    </row>
    <row r="207" customFormat="false" ht="15" hidden="false" customHeight="false" outlineLevel="0" collapsed="false">
      <c r="A207" s="102" t="n">
        <v>46296</v>
      </c>
      <c r="B207" s="104" t="s">
        <v>34</v>
      </c>
      <c r="C207" s="104" t="s">
        <v>225</v>
      </c>
      <c r="D207" s="105" t="n">
        <v>24</v>
      </c>
      <c r="E207" s="105" t="n">
        <v>1800</v>
      </c>
      <c r="F207" s="103" t="n">
        <f aca="false">IF(OR($C207="",$D207=0),"",$E207/$D207)</f>
        <v>75</v>
      </c>
      <c r="G207" s="104" t="s">
        <v>698</v>
      </c>
      <c r="H207" s="0" t="str">
        <f aca="false">IF($C207="","",IF(COUNTIF('مواد المخزون'!$A$2:$A$86,$C207)&gt;0,"نعم","لا (خارج الجرد)"))</f>
        <v>لا (خارج الجرد)</v>
      </c>
    </row>
    <row r="208" customFormat="false" ht="15" hidden="false" customHeight="false" outlineLevel="0" collapsed="false">
      <c r="A208" s="102" t="n">
        <v>46296</v>
      </c>
      <c r="B208" s="104" t="s">
        <v>34</v>
      </c>
      <c r="C208" s="104" t="s">
        <v>227</v>
      </c>
      <c r="D208" s="105" t="n">
        <v>25</v>
      </c>
      <c r="E208" s="105" t="n">
        <v>2375</v>
      </c>
      <c r="F208" s="103" t="n">
        <f aca="false">IF(OR($C208="",$D208=0),"",$E208/$D208)</f>
        <v>95</v>
      </c>
      <c r="G208" s="104" t="s">
        <v>698</v>
      </c>
      <c r="H208" s="0" t="str">
        <f aca="false">IF($C208="","",IF(COUNTIF('مواد المخزون'!$A$2:$A$86,$C208)&gt;0,"نعم","لا (خارج الجرد)"))</f>
        <v>نعم</v>
      </c>
    </row>
    <row r="209" customFormat="false" ht="15" hidden="false" customHeight="false" outlineLevel="0" collapsed="false">
      <c r="A209" s="102" t="n">
        <v>46296</v>
      </c>
      <c r="B209" s="104" t="s">
        <v>34</v>
      </c>
      <c r="C209" s="104" t="s">
        <v>229</v>
      </c>
      <c r="D209" s="105" t="n">
        <v>85</v>
      </c>
      <c r="E209" s="105" t="n">
        <v>2550</v>
      </c>
      <c r="F209" s="103" t="n">
        <f aca="false">IF(OR($C209="",$D209=0),"",$E209/$D209)</f>
        <v>30</v>
      </c>
      <c r="G209" s="104" t="s">
        <v>698</v>
      </c>
      <c r="H209" s="0" t="str">
        <f aca="false">IF($C209="","",IF(COUNTIF('مواد المخزون'!$A$2:$A$86,$C209)&gt;0,"نعم","لا (خارج الجرد)"))</f>
        <v>نعم</v>
      </c>
    </row>
    <row r="210" customFormat="false" ht="15" hidden="false" customHeight="false" outlineLevel="0" collapsed="false">
      <c r="A210" s="102" t="n">
        <v>46296</v>
      </c>
      <c r="B210" s="104" t="s">
        <v>34</v>
      </c>
      <c r="C210" s="104" t="s">
        <v>342</v>
      </c>
      <c r="D210" s="105" t="n">
        <v>300</v>
      </c>
      <c r="E210" s="105" t="n">
        <v>90</v>
      </c>
      <c r="F210" s="103" t="n">
        <f aca="false">IF(OR($C210="",$D210=0),"",$E210/$D210)</f>
        <v>0.3</v>
      </c>
      <c r="G210" s="104" t="s">
        <v>698</v>
      </c>
      <c r="H210" s="0" t="str">
        <f aca="false">IF($C210="","",IF(COUNTIF('مواد المخزون'!$A$2:$A$86,$C210)&gt;0,"نعم","لا (خارج الجرد)"))</f>
        <v>نعم</v>
      </c>
    </row>
    <row r="211" customFormat="false" ht="15" hidden="false" customHeight="false" outlineLevel="0" collapsed="false">
      <c r="A211" s="102" t="n">
        <v>46296</v>
      </c>
      <c r="B211" s="104" t="s">
        <v>34</v>
      </c>
      <c r="C211" s="104" t="s">
        <v>230</v>
      </c>
      <c r="D211" s="105" t="n">
        <v>3</v>
      </c>
      <c r="E211" s="105" t="n">
        <v>21.3</v>
      </c>
      <c r="F211" s="103" t="n">
        <f aca="false">IF(OR($C211="",$D211=0),"",$E211/$D211)</f>
        <v>7.1</v>
      </c>
      <c r="G211" s="104" t="s">
        <v>698</v>
      </c>
      <c r="H211" s="0" t="str">
        <f aca="false">IF($C211="","",IF(COUNTIF('مواد المخزون'!$A$2:$A$86,$C211)&gt;0,"نعم","لا (خارج الجرد)"))</f>
        <v>لا (خارج الجرد)</v>
      </c>
    </row>
    <row r="212" customFormat="false" ht="15" hidden="false" customHeight="false" outlineLevel="0" collapsed="false">
      <c r="A212" s="102" t="n">
        <v>46296</v>
      </c>
      <c r="B212" s="104" t="s">
        <v>34</v>
      </c>
      <c r="C212" s="104" t="s">
        <v>717</v>
      </c>
      <c r="D212" s="105" t="n">
        <v>0.5</v>
      </c>
      <c r="E212" s="105" t="n">
        <v>60</v>
      </c>
      <c r="F212" s="103" t="n">
        <f aca="false">IF(OR($C212="",$D212=0),"",$E212/$D212)</f>
        <v>120</v>
      </c>
      <c r="G212" s="104" t="s">
        <v>698</v>
      </c>
      <c r="H212" s="0" t="str">
        <f aca="false">IF($C212="","",IF(COUNTIF('مواد المخزون'!$A$2:$A$86,$C212)&gt;0,"نعم","لا (خارج الجرد)"))</f>
        <v>لا (خارج الجرد)</v>
      </c>
    </row>
    <row r="213" customFormat="false" ht="15" hidden="false" customHeight="false" outlineLevel="0" collapsed="false">
      <c r="A213" s="102" t="n">
        <v>46296</v>
      </c>
      <c r="B213" s="104" t="s">
        <v>34</v>
      </c>
      <c r="C213" s="104" t="s">
        <v>232</v>
      </c>
      <c r="D213" s="105" t="n">
        <v>2</v>
      </c>
      <c r="E213" s="105" t="n">
        <v>760</v>
      </c>
      <c r="F213" s="103" t="n">
        <f aca="false">IF(OR($C213="",$D213=0),"",$E213/$D213)</f>
        <v>380</v>
      </c>
      <c r="G213" s="104" t="s">
        <v>698</v>
      </c>
      <c r="H213" s="0" t="str">
        <f aca="false">IF($C213="","",IF(COUNTIF('مواد المخزون'!$A$2:$A$86,$C213)&gt;0,"نعم","لا (خارج الجرد)"))</f>
        <v>نعم</v>
      </c>
    </row>
    <row r="214" customFormat="false" ht="15" hidden="false" customHeight="false" outlineLevel="0" collapsed="false">
      <c r="A214" s="102" t="n">
        <v>46296</v>
      </c>
      <c r="B214" s="104" t="s">
        <v>34</v>
      </c>
      <c r="C214" s="104" t="s">
        <v>237</v>
      </c>
      <c r="D214" s="105" t="n">
        <v>1</v>
      </c>
      <c r="E214" s="105" t="n">
        <v>110</v>
      </c>
      <c r="F214" s="103" t="n">
        <f aca="false">IF(OR($C214="",$D214=0),"",$E214/$D214)</f>
        <v>110</v>
      </c>
      <c r="G214" s="104" t="s">
        <v>698</v>
      </c>
      <c r="H214" s="0" t="str">
        <f aca="false">IF($C214="","",IF(COUNTIF('مواد المخزون'!$A$2:$A$86,$C214)&gt;0,"نعم","لا (خارج الجرد)"))</f>
        <v>لا (خارج الجرد)</v>
      </c>
    </row>
    <row r="215" customFormat="false" ht="15" hidden="false" customHeight="false" outlineLevel="0" collapsed="false">
      <c r="A215" s="102" t="n">
        <v>46296</v>
      </c>
      <c r="B215" s="104" t="s">
        <v>34</v>
      </c>
      <c r="C215" s="104" t="s">
        <v>239</v>
      </c>
      <c r="D215" s="105" t="n">
        <v>1</v>
      </c>
      <c r="E215" s="105" t="n">
        <v>135</v>
      </c>
      <c r="F215" s="103" t="n">
        <f aca="false">IF(OR($C215="",$D215=0),"",$E215/$D215)</f>
        <v>135</v>
      </c>
      <c r="G215" s="104" t="s">
        <v>698</v>
      </c>
      <c r="H215" s="0" t="str">
        <f aca="false">IF($C215="","",IF(COUNTIF('مواد المخزون'!$A$2:$A$86,$C215)&gt;0,"نعم","لا (خارج الجرد)"))</f>
        <v>نعم</v>
      </c>
    </row>
    <row r="216" customFormat="false" ht="15" hidden="false" customHeight="false" outlineLevel="0" collapsed="false">
      <c r="A216" s="102" t="n">
        <v>46296</v>
      </c>
      <c r="B216" s="104" t="s">
        <v>34</v>
      </c>
      <c r="C216" s="104" t="s">
        <v>241</v>
      </c>
      <c r="D216" s="105" t="n">
        <v>0.1</v>
      </c>
      <c r="E216" s="105" t="n">
        <v>11</v>
      </c>
      <c r="F216" s="103" t="n">
        <f aca="false">IF(OR($C216="",$D216=0),"",$E216/$D216)</f>
        <v>110</v>
      </c>
      <c r="G216" s="104" t="s">
        <v>698</v>
      </c>
      <c r="H216" s="0" t="str">
        <f aca="false">IF($C216="","",IF(COUNTIF('مواد المخزون'!$A$2:$A$86,$C216)&gt;0,"نعم","لا (خارج الجرد)"))</f>
        <v>لا (خارج الجرد)</v>
      </c>
    </row>
    <row r="217" customFormat="false" ht="15" hidden="false" customHeight="false" outlineLevel="0" collapsed="false">
      <c r="A217" s="102" t="n">
        <v>46296</v>
      </c>
      <c r="B217" s="104" t="s">
        <v>34</v>
      </c>
      <c r="C217" s="104" t="s">
        <v>243</v>
      </c>
      <c r="D217" s="105" t="n">
        <v>4000</v>
      </c>
      <c r="E217" s="105" t="n">
        <v>1200</v>
      </c>
      <c r="F217" s="103" t="n">
        <f aca="false">IF(OR($C217="",$D217=0),"",$E217/$D217)</f>
        <v>0.3</v>
      </c>
      <c r="G217" s="104" t="s">
        <v>698</v>
      </c>
      <c r="H217" s="0" t="str">
        <f aca="false">IF($C217="","",IF(COUNTIF('مواد المخزون'!$A$2:$A$86,$C217)&gt;0,"نعم","لا (خارج الجرد)"))</f>
        <v>نعم</v>
      </c>
    </row>
    <row r="218" customFormat="false" ht="15" hidden="false" customHeight="false" outlineLevel="0" collapsed="false">
      <c r="A218" s="102" t="n">
        <v>46296</v>
      </c>
      <c r="B218" s="104" t="s">
        <v>34</v>
      </c>
      <c r="C218" s="104" t="s">
        <v>245</v>
      </c>
      <c r="D218" s="105" t="n">
        <v>25</v>
      </c>
      <c r="E218" s="105" t="n">
        <v>3250</v>
      </c>
      <c r="F218" s="103" t="n">
        <f aca="false">IF(OR($C218="",$D218=0),"",$E218/$D218)</f>
        <v>130</v>
      </c>
      <c r="G218" s="104" t="s">
        <v>698</v>
      </c>
      <c r="H218" s="0" t="str">
        <f aca="false">IF($C218="","",IF(COUNTIF('مواد المخزون'!$A$2:$A$86,$C218)&gt;0,"نعم","لا (خارج الجرد)"))</f>
        <v>نعم</v>
      </c>
    </row>
    <row r="219" customFormat="false" ht="15" hidden="false" customHeight="false" outlineLevel="0" collapsed="false">
      <c r="A219" s="102" t="n">
        <v>46296</v>
      </c>
      <c r="B219" s="104" t="s">
        <v>34</v>
      </c>
      <c r="C219" s="104" t="s">
        <v>247</v>
      </c>
      <c r="D219" s="105" t="n">
        <v>4</v>
      </c>
      <c r="E219" s="105" t="n">
        <v>400</v>
      </c>
      <c r="F219" s="103" t="n">
        <f aca="false">IF(OR($C219="",$D219=0),"",$E219/$D219)</f>
        <v>100</v>
      </c>
      <c r="G219" s="104" t="s">
        <v>698</v>
      </c>
      <c r="H219" s="0" t="str">
        <f aca="false">IF($C219="","",IF(COUNTIF('مواد المخزون'!$A$2:$A$86,$C219)&gt;0,"نعم","لا (خارج الجرد)"))</f>
        <v>نعم</v>
      </c>
    </row>
    <row r="220" customFormat="false" ht="15" hidden="false" customHeight="false" outlineLevel="0" collapsed="false">
      <c r="A220" s="102" t="n">
        <v>46296</v>
      </c>
      <c r="B220" s="104" t="s">
        <v>34</v>
      </c>
      <c r="C220" s="104" t="s">
        <v>248</v>
      </c>
      <c r="D220" s="105" t="n">
        <v>50</v>
      </c>
      <c r="E220" s="105" t="n">
        <v>600</v>
      </c>
      <c r="F220" s="103" t="n">
        <f aca="false">IF(OR($C220="",$D220=0),"",$E220/$D220)</f>
        <v>12</v>
      </c>
      <c r="G220" s="104" t="s">
        <v>698</v>
      </c>
      <c r="H220" s="0" t="str">
        <f aca="false">IF($C220="","",IF(COUNTIF('مواد المخزون'!$A$2:$A$86,$C220)&gt;0,"نعم","لا (خارج الجرد)"))</f>
        <v>لا (خارج الجرد)</v>
      </c>
    </row>
    <row r="221" customFormat="false" ht="15" hidden="false" customHeight="false" outlineLevel="0" collapsed="false">
      <c r="A221" s="102" t="n">
        <v>46296</v>
      </c>
      <c r="B221" s="104" t="s">
        <v>34</v>
      </c>
      <c r="C221" s="104" t="s">
        <v>250</v>
      </c>
      <c r="D221" s="105" t="n">
        <v>21</v>
      </c>
      <c r="E221" s="105" t="n">
        <v>672</v>
      </c>
      <c r="F221" s="103" t="n">
        <f aca="false">IF(OR($C221="",$D221=0),"",$E221/$D221)</f>
        <v>32</v>
      </c>
      <c r="G221" s="104" t="s">
        <v>698</v>
      </c>
      <c r="H221" s="0" t="str">
        <f aca="false">IF($C221="","",IF(COUNTIF('مواد المخزون'!$A$2:$A$86,$C221)&gt;0,"نعم","لا (خارج الجرد)"))</f>
        <v>نعم</v>
      </c>
    </row>
    <row r="222" customFormat="false" ht="15" hidden="false" customHeight="false" outlineLevel="0" collapsed="false">
      <c r="A222" s="102" t="n">
        <v>46296</v>
      </c>
      <c r="B222" s="104" t="s">
        <v>34</v>
      </c>
      <c r="C222" s="104" t="s">
        <v>252</v>
      </c>
      <c r="D222" s="105" t="n">
        <v>9</v>
      </c>
      <c r="E222" s="105" t="n">
        <v>630</v>
      </c>
      <c r="F222" s="103" t="n">
        <f aca="false">IF(OR($C222="",$D222=0),"",$E222/$D222)</f>
        <v>70</v>
      </c>
      <c r="G222" s="104" t="s">
        <v>698</v>
      </c>
      <c r="H222" s="0" t="str">
        <f aca="false">IF($C222="","",IF(COUNTIF('مواد المخزون'!$A$2:$A$86,$C222)&gt;0,"نعم","لا (خارج الجرد)"))</f>
        <v>نعم</v>
      </c>
    </row>
    <row r="223" customFormat="false" ht="15" hidden="false" customHeight="false" outlineLevel="0" collapsed="false">
      <c r="A223" s="102" t="n">
        <v>46296</v>
      </c>
      <c r="B223" s="104" t="s">
        <v>34</v>
      </c>
      <c r="C223" s="104" t="s">
        <v>254</v>
      </c>
      <c r="D223" s="105" t="n">
        <v>9</v>
      </c>
      <c r="E223" s="105" t="n">
        <v>1260</v>
      </c>
      <c r="F223" s="103" t="n">
        <f aca="false">IF(OR($C223="",$D223=0),"",$E223/$D223)</f>
        <v>140</v>
      </c>
      <c r="G223" s="104" t="s">
        <v>698</v>
      </c>
      <c r="H223" s="0" t="str">
        <f aca="false">IF($C223="","",IF(COUNTIF('مواد المخزون'!$A$2:$A$86,$C223)&gt;0,"نعم","لا (خارج الجرد)"))</f>
        <v>نعم</v>
      </c>
    </row>
    <row r="224" customFormat="false" ht="15" hidden="false" customHeight="false" outlineLevel="0" collapsed="false">
      <c r="A224" s="102" t="n">
        <v>46296</v>
      </c>
      <c r="B224" s="104" t="s">
        <v>34</v>
      </c>
      <c r="C224" s="104" t="s">
        <v>256</v>
      </c>
      <c r="D224" s="105" t="n">
        <v>15</v>
      </c>
      <c r="E224" s="105" t="n">
        <v>1575</v>
      </c>
      <c r="F224" s="103" t="n">
        <f aca="false">IF(OR($C224="",$D224=0),"",$E224/$D224)</f>
        <v>105</v>
      </c>
      <c r="G224" s="104" t="s">
        <v>698</v>
      </c>
      <c r="H224" s="0" t="str">
        <f aca="false">IF($C224="","",IF(COUNTIF('مواد المخزون'!$A$2:$A$86,$C224)&gt;0,"نعم","لا (خارج الجرد)"))</f>
        <v>نعم</v>
      </c>
    </row>
    <row r="225" customFormat="false" ht="15" hidden="false" customHeight="false" outlineLevel="0" collapsed="false">
      <c r="A225" s="102" t="n">
        <v>46296</v>
      </c>
      <c r="B225" s="104" t="s">
        <v>34</v>
      </c>
      <c r="C225" s="104" t="s">
        <v>258</v>
      </c>
      <c r="D225" s="105" t="n">
        <v>20</v>
      </c>
      <c r="E225" s="105" t="n">
        <v>2800</v>
      </c>
      <c r="F225" s="103" t="n">
        <f aca="false">IF(OR($C225="",$D225=0),"",$E225/$D225)</f>
        <v>140</v>
      </c>
      <c r="G225" s="104" t="s">
        <v>698</v>
      </c>
      <c r="H225" s="0" t="str">
        <f aca="false">IF($C225="","",IF(COUNTIF('مواد المخزون'!$A$2:$A$86,$C225)&gt;0,"نعم","لا (خارج الجرد)"))</f>
        <v>نعم</v>
      </c>
    </row>
    <row r="226" customFormat="false" ht="15" hidden="false" customHeight="false" outlineLevel="0" collapsed="false">
      <c r="A226" s="102" t="n">
        <v>46296</v>
      </c>
      <c r="B226" s="104" t="s">
        <v>34</v>
      </c>
      <c r="C226" s="104" t="s">
        <v>260</v>
      </c>
      <c r="D226" s="105" t="n">
        <v>133</v>
      </c>
      <c r="E226" s="105" t="n">
        <v>2793</v>
      </c>
      <c r="F226" s="103" t="n">
        <f aca="false">IF(OR($C226="",$D226=0),"",$E226/$D226)</f>
        <v>21</v>
      </c>
      <c r="G226" s="104" t="s">
        <v>698</v>
      </c>
      <c r="H226" s="0" t="str">
        <f aca="false">IF($C226="","",IF(COUNTIF('مواد المخزون'!$A$2:$A$86,$C226)&gt;0,"نعم","لا (خارج الجرد)"))</f>
        <v>نعم</v>
      </c>
    </row>
    <row r="227" customFormat="false" ht="15" hidden="false" customHeight="false" outlineLevel="0" collapsed="false">
      <c r="A227" s="102" t="n">
        <v>46296</v>
      </c>
      <c r="B227" s="104" t="s">
        <v>34</v>
      </c>
      <c r="C227" s="104" t="s">
        <v>262</v>
      </c>
      <c r="D227" s="105" t="n">
        <v>159.5</v>
      </c>
      <c r="E227" s="105" t="n">
        <v>3509</v>
      </c>
      <c r="F227" s="103" t="n">
        <f aca="false">IF(OR($C227="",$D227=0),"",$E227/$D227)</f>
        <v>22</v>
      </c>
      <c r="G227" s="104" t="s">
        <v>698</v>
      </c>
      <c r="H227" s="0" t="str">
        <f aca="false">IF($C227="","",IF(COUNTIF('مواد المخزون'!$A$2:$A$86,$C227)&gt;0,"نعم","لا (خارج الجرد)"))</f>
        <v>نعم</v>
      </c>
    </row>
    <row r="228" customFormat="false" ht="15" hidden="false" customHeight="false" outlineLevel="0" collapsed="false">
      <c r="A228" s="102" t="n">
        <v>46296</v>
      </c>
      <c r="B228" s="104" t="s">
        <v>34</v>
      </c>
      <c r="C228" s="104" t="s">
        <v>264</v>
      </c>
      <c r="D228" s="105" t="n">
        <v>1943</v>
      </c>
      <c r="E228" s="105" t="n">
        <v>7772</v>
      </c>
      <c r="F228" s="103" t="n">
        <f aca="false">IF(OR($C228="",$D228=0),"",$E228/$D228)</f>
        <v>4</v>
      </c>
      <c r="G228" s="104" t="s">
        <v>698</v>
      </c>
      <c r="H228" s="0" t="str">
        <f aca="false">IF($C228="","",IF(COUNTIF('مواد المخزون'!$A$2:$A$86,$C228)&gt;0,"نعم","لا (خارج الجرد)"))</f>
        <v>نعم</v>
      </c>
    </row>
    <row r="229" customFormat="false" ht="15" hidden="false" customHeight="false" outlineLevel="0" collapsed="false">
      <c r="A229" s="102" t="n">
        <v>46296</v>
      </c>
      <c r="B229" s="104" t="s">
        <v>34</v>
      </c>
      <c r="C229" s="104" t="s">
        <v>266</v>
      </c>
      <c r="D229" s="105" t="n">
        <v>1</v>
      </c>
      <c r="E229" s="105" t="n">
        <v>140</v>
      </c>
      <c r="F229" s="103" t="n">
        <f aca="false">IF(OR($C229="",$D229=0),"",$E229/$D229)</f>
        <v>140</v>
      </c>
      <c r="G229" s="104" t="s">
        <v>698</v>
      </c>
      <c r="H229" s="0" t="str">
        <f aca="false">IF($C229="","",IF(COUNTIF('مواد المخزون'!$A$2:$A$86,$C229)&gt;0,"نعم","لا (خارج الجرد)"))</f>
        <v>نعم</v>
      </c>
    </row>
    <row r="230" customFormat="false" ht="15" hidden="false" customHeight="false" outlineLevel="0" collapsed="false">
      <c r="A230" s="102" t="n">
        <v>46296</v>
      </c>
      <c r="B230" s="104" t="s">
        <v>34</v>
      </c>
      <c r="C230" s="104" t="s">
        <v>718</v>
      </c>
      <c r="D230" s="105" t="n">
        <v>2</v>
      </c>
      <c r="E230" s="105" t="n">
        <v>40</v>
      </c>
      <c r="F230" s="103" t="n">
        <f aca="false">IF(OR($C230="",$D230=0),"",$E230/$D230)</f>
        <v>20</v>
      </c>
      <c r="G230" s="104" t="s">
        <v>698</v>
      </c>
      <c r="H230" s="0" t="str">
        <f aca="false">IF($C230="","",IF(COUNTIF('مواد المخزون'!$A$2:$A$86,$C230)&gt;0,"نعم","لا (خارج الجرد)"))</f>
        <v>لا (خارج الجرد)</v>
      </c>
    </row>
    <row r="231" customFormat="false" ht="15" hidden="false" customHeight="false" outlineLevel="0" collapsed="false">
      <c r="A231" s="102" t="n">
        <v>46296</v>
      </c>
      <c r="B231" s="104" t="s">
        <v>34</v>
      </c>
      <c r="C231" s="104" t="s">
        <v>274</v>
      </c>
      <c r="D231" s="105" t="n">
        <v>50</v>
      </c>
      <c r="E231" s="105" t="n">
        <v>85</v>
      </c>
      <c r="F231" s="103" t="n">
        <f aca="false">IF(OR($C231="",$D231=0),"",$E231/$D231)</f>
        <v>1.7</v>
      </c>
      <c r="G231" s="104" t="s">
        <v>698</v>
      </c>
      <c r="H231" s="0" t="str">
        <f aca="false">IF($C231="","",IF(COUNTIF('مواد المخزون'!$A$2:$A$86,$C231)&gt;0,"نعم","لا (خارج الجرد)"))</f>
        <v>نعم</v>
      </c>
    </row>
    <row r="232" customFormat="false" ht="15" hidden="false" customHeight="false" outlineLevel="0" collapsed="false">
      <c r="A232" s="102" t="n">
        <v>46296</v>
      </c>
      <c r="B232" s="104" t="s">
        <v>34</v>
      </c>
      <c r="C232" s="104" t="s">
        <v>278</v>
      </c>
      <c r="D232" s="105" t="n">
        <v>50</v>
      </c>
      <c r="E232" s="105" t="n">
        <v>155</v>
      </c>
      <c r="F232" s="103" t="n">
        <f aca="false">IF(OR($C232="",$D232=0),"",$E232/$D232)</f>
        <v>3.1</v>
      </c>
      <c r="G232" s="104" t="s">
        <v>698</v>
      </c>
      <c r="H232" s="0" t="str">
        <f aca="false">IF($C232="","",IF(COUNTIF('مواد المخزون'!$A$2:$A$86,$C232)&gt;0,"نعم","لا (خارج الجرد)"))</f>
        <v>نعم</v>
      </c>
    </row>
    <row r="233" customFormat="false" ht="15" hidden="false" customHeight="false" outlineLevel="0" collapsed="false">
      <c r="A233" s="102" t="n">
        <v>46296</v>
      </c>
      <c r="B233" s="104" t="s">
        <v>34</v>
      </c>
      <c r="C233" s="104" t="s">
        <v>704</v>
      </c>
      <c r="D233" s="105" t="n">
        <v>0.75</v>
      </c>
      <c r="E233" s="105" t="n">
        <v>300</v>
      </c>
      <c r="F233" s="103" t="n">
        <f aca="false">IF(OR($C233="",$D233=0),"",$E233/$D233)</f>
        <v>400</v>
      </c>
      <c r="G233" s="104" t="s">
        <v>698</v>
      </c>
      <c r="H233" s="0" t="str">
        <f aca="false">IF($C233="","",IF(COUNTIF('مواد المخزون'!$A$2:$A$86,$C233)&gt;0,"نعم","لا (خارج الجرد)"))</f>
        <v>لا (خارج الجرد)</v>
      </c>
    </row>
    <row r="234" customFormat="false" ht="15" hidden="false" customHeight="false" outlineLevel="0" collapsed="false">
      <c r="A234" s="102" t="n">
        <v>46296</v>
      </c>
      <c r="B234" s="104" t="s">
        <v>34</v>
      </c>
      <c r="C234" s="104" t="s">
        <v>284</v>
      </c>
      <c r="D234" s="105" t="n">
        <v>74.5</v>
      </c>
      <c r="E234" s="105" t="n">
        <v>2011.5</v>
      </c>
      <c r="F234" s="103" t="n">
        <f aca="false">IF(OR($C234="",$D234=0),"",$E234/$D234)</f>
        <v>27</v>
      </c>
      <c r="G234" s="104" t="s">
        <v>698</v>
      </c>
      <c r="H234" s="0" t="str">
        <f aca="false">IF($C234="","",IF(COUNTIF('مواد المخزون'!$A$2:$A$86,$C234)&gt;0,"نعم","لا (خارج الجرد)"))</f>
        <v>نعم</v>
      </c>
    </row>
    <row r="235" customFormat="false" ht="15" hidden="false" customHeight="false" outlineLevel="0" collapsed="false">
      <c r="A235" s="102" t="n">
        <v>46296</v>
      </c>
      <c r="B235" s="104" t="s">
        <v>34</v>
      </c>
      <c r="C235" s="104" t="s">
        <v>288</v>
      </c>
      <c r="D235" s="105" t="n">
        <v>576</v>
      </c>
      <c r="E235" s="105" t="n">
        <v>4032</v>
      </c>
      <c r="F235" s="103" t="n">
        <f aca="false">IF(OR($C235="",$D235=0),"",$E235/$D235)</f>
        <v>7</v>
      </c>
      <c r="G235" s="104" t="s">
        <v>698</v>
      </c>
      <c r="H235" s="0" t="str">
        <f aca="false">IF($C235="","",IF(COUNTIF('مواد المخزون'!$A$2:$A$86,$C235)&gt;0,"نعم","لا (خارج الجرد)"))</f>
        <v>نعم</v>
      </c>
    </row>
    <row r="236" customFormat="false" ht="15" hidden="false" customHeight="false" outlineLevel="0" collapsed="false">
      <c r="A236" s="102" t="n">
        <v>46296</v>
      </c>
      <c r="B236" s="104" t="s">
        <v>34</v>
      </c>
      <c r="C236" s="104" t="s">
        <v>290</v>
      </c>
      <c r="D236" s="105" t="n">
        <v>4000</v>
      </c>
      <c r="E236" s="105" t="n">
        <v>1200</v>
      </c>
      <c r="F236" s="103" t="n">
        <f aca="false">IF(OR($C236="",$D236=0),"",$E236/$D236)</f>
        <v>0.3</v>
      </c>
      <c r="G236" s="104" t="s">
        <v>698</v>
      </c>
      <c r="H236" s="0" t="str">
        <f aca="false">IF($C236="","",IF(COUNTIF('مواد المخزون'!$A$2:$A$86,$C236)&gt;0,"نعم","لا (خارج الجرد)"))</f>
        <v>نعم</v>
      </c>
    </row>
    <row r="237" customFormat="false" ht="15" hidden="false" customHeight="false" outlineLevel="0" collapsed="false">
      <c r="A237" s="102" t="n">
        <v>46296</v>
      </c>
      <c r="B237" s="104" t="s">
        <v>34</v>
      </c>
      <c r="C237" s="104" t="s">
        <v>291</v>
      </c>
      <c r="D237" s="105" t="n">
        <v>7.2</v>
      </c>
      <c r="E237" s="105" t="n">
        <v>648</v>
      </c>
      <c r="F237" s="103" t="n">
        <f aca="false">IF(OR($C237="",$D237=0),"",$E237/$D237)</f>
        <v>90</v>
      </c>
      <c r="G237" s="104" t="s">
        <v>698</v>
      </c>
      <c r="H237" s="0" t="str">
        <f aca="false">IF($C237="","",IF(COUNTIF('مواد المخزون'!$A$2:$A$86,$C237)&gt;0,"نعم","لا (خارج الجرد)"))</f>
        <v>نعم</v>
      </c>
    </row>
    <row r="238" customFormat="false" ht="15" hidden="false" customHeight="false" outlineLevel="0" collapsed="false">
      <c r="A238" s="102" t="n">
        <v>46296</v>
      </c>
      <c r="B238" s="104" t="s">
        <v>34</v>
      </c>
      <c r="C238" s="104" t="s">
        <v>293</v>
      </c>
      <c r="D238" s="105" t="n">
        <v>3300</v>
      </c>
      <c r="E238" s="105" t="n">
        <v>1650</v>
      </c>
      <c r="F238" s="103" t="n">
        <f aca="false">IF(OR($C238="",$D238=0),"",$E238/$D238)</f>
        <v>0.5</v>
      </c>
      <c r="G238" s="104" t="s">
        <v>698</v>
      </c>
      <c r="H238" s="0" t="str">
        <f aca="false">IF($C238="","",IF(COUNTIF('مواد المخزون'!$A$2:$A$86,$C238)&gt;0,"نعم","لا (خارج الجرد)"))</f>
        <v>نعم</v>
      </c>
    </row>
    <row r="239" customFormat="false" ht="15" hidden="false" customHeight="false" outlineLevel="0" collapsed="false">
      <c r="A239" s="102" t="n">
        <v>46296</v>
      </c>
      <c r="B239" s="104" t="s">
        <v>34</v>
      </c>
      <c r="C239" s="104" t="s">
        <v>297</v>
      </c>
      <c r="D239" s="105" t="n">
        <v>400</v>
      </c>
      <c r="E239" s="105" t="n">
        <v>800</v>
      </c>
      <c r="F239" s="103" t="n">
        <f aca="false">IF(OR($C239="",$D239=0),"",$E239/$D239)</f>
        <v>2</v>
      </c>
      <c r="G239" s="104" t="s">
        <v>698</v>
      </c>
      <c r="H239" s="0" t="str">
        <f aca="false">IF($C239="","",IF(COUNTIF('مواد المخزون'!$A$2:$A$86,$C239)&gt;0,"نعم","لا (خارج الجرد)"))</f>
        <v>نعم</v>
      </c>
    </row>
    <row r="240" customFormat="false" ht="15" hidden="false" customHeight="false" outlineLevel="0" collapsed="false">
      <c r="A240" s="102" t="n">
        <v>46296</v>
      </c>
      <c r="B240" s="104" t="s">
        <v>34</v>
      </c>
      <c r="C240" s="104" t="s">
        <v>705</v>
      </c>
      <c r="D240" s="105" t="n">
        <v>20</v>
      </c>
      <c r="E240" s="105" t="n">
        <v>160</v>
      </c>
      <c r="F240" s="103" t="n">
        <f aca="false">IF(OR($C240="",$D240=0),"",$E240/$D240)</f>
        <v>8</v>
      </c>
      <c r="G240" s="104" t="s">
        <v>698</v>
      </c>
      <c r="H240" s="0" t="str">
        <f aca="false">IF($C240="","",IF(COUNTIF('مواد المخزون'!$A$2:$A$86,$C240)&gt;0,"نعم","لا (خارج الجرد)"))</f>
        <v>لا (خارج الجرد)</v>
      </c>
    </row>
    <row r="241" customFormat="false" ht="15" hidden="false" customHeight="false" outlineLevel="0" collapsed="false">
      <c r="A241" s="102" t="n">
        <v>46296</v>
      </c>
      <c r="B241" s="104" t="s">
        <v>34</v>
      </c>
      <c r="C241" s="104" t="s">
        <v>298</v>
      </c>
      <c r="D241" s="105" t="n">
        <v>100</v>
      </c>
      <c r="E241" s="105" t="n">
        <v>2000</v>
      </c>
      <c r="F241" s="103" t="n">
        <f aca="false">IF(OR($C241="",$D241=0),"",$E241/$D241)</f>
        <v>20</v>
      </c>
      <c r="G241" s="104" t="s">
        <v>698</v>
      </c>
      <c r="H241" s="0" t="str">
        <f aca="false">IF($C241="","",IF(COUNTIF('مواد المخزون'!$A$2:$A$86,$C241)&gt;0,"نعم","لا (خارج الجرد)"))</f>
        <v>نعم</v>
      </c>
    </row>
    <row r="242" customFormat="false" ht="15" hidden="false" customHeight="false" outlineLevel="0" collapsed="false">
      <c r="A242" s="102" t="n">
        <v>46296</v>
      </c>
      <c r="B242" s="104" t="s">
        <v>34</v>
      </c>
      <c r="C242" s="104" t="s">
        <v>302</v>
      </c>
      <c r="D242" s="105" t="n">
        <v>1</v>
      </c>
      <c r="E242" s="105" t="n">
        <v>135</v>
      </c>
      <c r="F242" s="103" t="n">
        <f aca="false">IF(OR($C242="",$D242=0),"",$E242/$D242)</f>
        <v>135</v>
      </c>
      <c r="G242" s="104" t="s">
        <v>698</v>
      </c>
      <c r="H242" s="0" t="str">
        <f aca="false">IF($C242="","",IF(COUNTIF('مواد المخزون'!$A$2:$A$86,$C242)&gt;0,"نعم","لا (خارج الجرد)"))</f>
        <v>نعم</v>
      </c>
    </row>
    <row r="243" customFormat="false" ht="15" hidden="false" customHeight="false" outlineLevel="0" collapsed="false">
      <c r="A243" s="102" t="n">
        <v>46296</v>
      </c>
      <c r="B243" s="104" t="s">
        <v>34</v>
      </c>
      <c r="C243" s="104" t="s">
        <v>303</v>
      </c>
      <c r="D243" s="105" t="n">
        <v>3</v>
      </c>
      <c r="E243" s="105" t="n">
        <v>16.5</v>
      </c>
      <c r="F243" s="103" t="n">
        <f aca="false">IF(OR($C243="",$D243=0),"",$E243/$D243)</f>
        <v>5.5</v>
      </c>
      <c r="G243" s="104" t="s">
        <v>698</v>
      </c>
      <c r="H243" s="0" t="str">
        <f aca="false">IF($C243="","",IF(COUNTIF('مواد المخزون'!$A$2:$A$86,$C243)&gt;0,"نعم","لا (خارج الجرد)"))</f>
        <v>لا (خارج الجرد)</v>
      </c>
    </row>
    <row r="244" customFormat="false" ht="15" hidden="false" customHeight="false" outlineLevel="0" collapsed="false">
      <c r="A244" s="102" t="n">
        <v>46296</v>
      </c>
      <c r="B244" s="104" t="s">
        <v>34</v>
      </c>
      <c r="C244" s="104" t="s">
        <v>714</v>
      </c>
      <c r="D244" s="105" t="n">
        <v>5</v>
      </c>
      <c r="E244" s="105" t="n">
        <v>200</v>
      </c>
      <c r="F244" s="103" t="n">
        <f aca="false">IF(OR($C244="",$D244=0),"",$E244/$D244)</f>
        <v>40</v>
      </c>
      <c r="G244" s="104" t="s">
        <v>698</v>
      </c>
      <c r="H244" s="0" t="str">
        <f aca="false">IF($C244="","",IF(COUNTIF('مواد المخزون'!$A$2:$A$86,$C244)&gt;0,"نعم","لا (خارج الجرد)"))</f>
        <v>لا (خارج الجرد)</v>
      </c>
    </row>
    <row r="245" customFormat="false" ht="15" hidden="false" customHeight="false" outlineLevel="0" collapsed="false">
      <c r="A245" s="102" t="n">
        <v>46296</v>
      </c>
      <c r="B245" s="104" t="s">
        <v>34</v>
      </c>
      <c r="C245" s="104" t="s">
        <v>719</v>
      </c>
      <c r="D245" s="105" t="n">
        <v>0.25</v>
      </c>
      <c r="E245" s="105" t="n">
        <v>42.88</v>
      </c>
      <c r="F245" s="103" t="n">
        <f aca="false">IF(OR($C245="",$D245=0),"",$E245/$D245)</f>
        <v>171.52</v>
      </c>
      <c r="G245" s="104" t="s">
        <v>698</v>
      </c>
      <c r="H245" s="0" t="str">
        <f aca="false">IF($C245="","",IF(COUNTIF('مواد المخزون'!$A$2:$A$86,$C245)&gt;0,"نعم","لا (خارج الجرد)"))</f>
        <v>لا (خارج الجرد)</v>
      </c>
    </row>
    <row r="246" customFormat="false" ht="15" hidden="false" customHeight="false" outlineLevel="0" collapsed="false">
      <c r="A246" s="102" t="n">
        <v>46296</v>
      </c>
      <c r="B246" s="104" t="s">
        <v>34</v>
      </c>
      <c r="C246" s="104" t="s">
        <v>305</v>
      </c>
      <c r="D246" s="105" t="n">
        <v>1</v>
      </c>
      <c r="E246" s="105" t="n">
        <v>25</v>
      </c>
      <c r="F246" s="103" t="n">
        <f aca="false">IF(OR($C246="",$D246=0),"",$E246/$D246)</f>
        <v>25</v>
      </c>
      <c r="G246" s="104" t="s">
        <v>698</v>
      </c>
      <c r="H246" s="0" t="str">
        <f aca="false">IF($C246="","",IF(COUNTIF('مواد المخزون'!$A$2:$A$86,$C246)&gt;0,"نعم","لا (خارج الجرد)"))</f>
        <v>لا (خارج الجرد)</v>
      </c>
    </row>
    <row r="247" customFormat="false" ht="15" hidden="false" customHeight="false" outlineLevel="0" collapsed="false">
      <c r="A247" s="102" t="n">
        <v>46296</v>
      </c>
      <c r="B247" s="104" t="s">
        <v>34</v>
      </c>
      <c r="C247" s="104" t="s">
        <v>307</v>
      </c>
      <c r="D247" s="105" t="n">
        <v>3.82</v>
      </c>
      <c r="E247" s="105" t="n">
        <v>380</v>
      </c>
      <c r="F247" s="103" t="n">
        <f aca="false">IF(OR($C247="",$D247=0),"",$E247/$D247)</f>
        <v>99.4764397905759</v>
      </c>
      <c r="G247" s="104" t="s">
        <v>698</v>
      </c>
      <c r="H247" s="0" t="str">
        <f aca="false">IF($C247="","",IF(COUNTIF('مواد المخزون'!$A$2:$A$86,$C247)&gt;0,"نعم","لا (خارج الجرد)"))</f>
        <v>نعم</v>
      </c>
    </row>
    <row r="248" customFormat="false" ht="15" hidden="false" customHeight="false" outlineLevel="0" collapsed="false">
      <c r="A248" s="102" t="n">
        <v>46296</v>
      </c>
      <c r="B248" s="104" t="s">
        <v>34</v>
      </c>
      <c r="C248" s="104" t="s">
        <v>706</v>
      </c>
      <c r="D248" s="105" t="n">
        <v>5</v>
      </c>
      <c r="E248" s="105" t="n">
        <v>60</v>
      </c>
      <c r="F248" s="103" t="n">
        <f aca="false">IF(OR($C248="",$D248=0),"",$E248/$D248)</f>
        <v>12</v>
      </c>
      <c r="G248" s="104" t="s">
        <v>698</v>
      </c>
      <c r="H248" s="0" t="str">
        <f aca="false">IF($C248="","",IF(COUNTIF('مواد المخزون'!$A$2:$A$86,$C248)&gt;0,"نعم","لا (خارج الجرد)"))</f>
        <v>لا (خارج الجرد)</v>
      </c>
    </row>
    <row r="249" customFormat="false" ht="15" hidden="false" customHeight="false" outlineLevel="0" collapsed="false">
      <c r="A249" s="102" t="n">
        <v>46296</v>
      </c>
      <c r="B249" s="104" t="s">
        <v>34</v>
      </c>
      <c r="C249" s="104" t="s">
        <v>309</v>
      </c>
      <c r="D249" s="105" t="n">
        <v>10</v>
      </c>
      <c r="E249" s="105" t="n">
        <v>240</v>
      </c>
      <c r="F249" s="103" t="n">
        <f aca="false">IF(OR($C249="",$D249=0),"",$E249/$D249)</f>
        <v>24</v>
      </c>
      <c r="G249" s="104" t="s">
        <v>698</v>
      </c>
      <c r="H249" s="0" t="str">
        <f aca="false">IF($C249="","",IF(COUNTIF('مواد المخزون'!$A$2:$A$86,$C249)&gt;0,"نعم","لا (خارج الجرد)"))</f>
        <v>نعم</v>
      </c>
    </row>
    <row r="250" customFormat="false" ht="15" hidden="false" customHeight="false" outlineLevel="0" collapsed="false">
      <c r="A250" s="102"/>
      <c r="B250" s="104"/>
      <c r="C250" s="104"/>
      <c r="F250" s="103" t="str">
        <f aca="false">IF(OR($C250="",$D250=0),"",$E250/$D250)</f>
        <v/>
      </c>
      <c r="H250" s="0" t="str">
        <f aca="false">IF($C250="","",IF(COUNTIF('مواد المخزون'!$A$2:$A$86,$C250)&gt;0,"نعم","لا (خارج الجرد)"))</f>
        <v/>
      </c>
    </row>
    <row r="251" customFormat="false" ht="15" hidden="false" customHeight="false" outlineLevel="0" collapsed="false">
      <c r="A251" s="102"/>
      <c r="B251" s="104"/>
      <c r="C251" s="104"/>
      <c r="F251" s="103" t="str">
        <f aca="false">IF(OR($C251="",$D251=0),"",$E251/$D251)</f>
        <v/>
      </c>
      <c r="H251" s="0" t="str">
        <f aca="false">IF($C251="","",IF(COUNTIF('مواد المخزون'!$A$2:$A$86,$C251)&gt;0,"نعم","لا (خارج الجرد)"))</f>
        <v/>
      </c>
    </row>
    <row r="252" customFormat="false" ht="15" hidden="false" customHeight="false" outlineLevel="0" collapsed="false">
      <c r="A252" s="102"/>
      <c r="B252" s="104"/>
      <c r="C252" s="104"/>
      <c r="F252" s="103" t="str">
        <f aca="false">IF(OR($C252="",$D252=0),"",$E252/$D252)</f>
        <v/>
      </c>
      <c r="H252" s="0" t="str">
        <f aca="false">IF($C252="","",IF(COUNTIF('مواد المخزون'!$A$2:$A$86,$C252)&gt;0,"نعم","لا (خارج الجرد)"))</f>
        <v/>
      </c>
    </row>
    <row r="253" customFormat="false" ht="15" hidden="false" customHeight="false" outlineLevel="0" collapsed="false">
      <c r="A253" s="102"/>
      <c r="B253" s="104"/>
      <c r="C253" s="104"/>
      <c r="F253" s="103" t="str">
        <f aca="false">IF(OR($C253="",$D253=0),"",$E253/$D253)</f>
        <v/>
      </c>
      <c r="H253" s="0" t="str">
        <f aca="false">IF($C253="","",IF(COUNTIF('مواد المخزون'!$A$2:$A$86,$C253)&gt;0,"نعم","لا (خارج الجرد)"))</f>
        <v/>
      </c>
    </row>
    <row r="254" customFormat="false" ht="15" hidden="false" customHeight="false" outlineLevel="0" collapsed="false">
      <c r="A254" s="102"/>
      <c r="B254" s="104"/>
      <c r="C254" s="104"/>
      <c r="F254" s="103" t="str">
        <f aca="false">IF(OR($C254="",$D254=0),"",$E254/$D254)</f>
        <v/>
      </c>
      <c r="H254" s="0" t="str">
        <f aca="false">IF($C254="","",IF(COUNTIF('مواد المخزون'!$A$2:$A$86,$C254)&gt;0,"نعم","لا (خارج الجرد)"))</f>
        <v/>
      </c>
    </row>
    <row r="255" customFormat="false" ht="15" hidden="false" customHeight="false" outlineLevel="0" collapsed="false">
      <c r="A255" s="102"/>
      <c r="B255" s="104"/>
      <c r="C255" s="104"/>
      <c r="F255" s="103" t="str">
        <f aca="false">IF(OR($C255="",$D255=0),"",$E255/$D255)</f>
        <v/>
      </c>
      <c r="H255" s="0" t="str">
        <f aca="false">IF($C255="","",IF(COUNTIF('مواد المخزون'!$A$2:$A$86,$C255)&gt;0,"نعم","لا (خارج الجرد)"))</f>
        <v/>
      </c>
    </row>
    <row r="256" customFormat="false" ht="15" hidden="false" customHeight="false" outlineLevel="0" collapsed="false">
      <c r="A256" s="102"/>
      <c r="B256" s="104"/>
      <c r="C256" s="104"/>
      <c r="F256" s="103" t="str">
        <f aca="false">IF(OR($C256="",$D256=0),"",$E256/$D256)</f>
        <v/>
      </c>
      <c r="H256" s="0" t="str">
        <f aca="false">IF($C256="","",IF(COUNTIF('مواد المخزون'!$A$2:$A$86,$C256)&gt;0,"نعم","لا (خارج الجرد)"))</f>
        <v/>
      </c>
    </row>
    <row r="257" customFormat="false" ht="15" hidden="false" customHeight="false" outlineLevel="0" collapsed="false">
      <c r="A257" s="102"/>
      <c r="B257" s="104"/>
      <c r="C257" s="104"/>
      <c r="F257" s="103" t="str">
        <f aca="false">IF(OR($C257="",$D257=0),"",$E257/$D257)</f>
        <v/>
      </c>
      <c r="H257" s="0" t="str">
        <f aca="false">IF($C257="","",IF(COUNTIF('مواد المخزون'!$A$2:$A$86,$C257)&gt;0,"نعم","لا (خارج الجرد)"))</f>
        <v/>
      </c>
    </row>
    <row r="258" customFormat="false" ht="15" hidden="false" customHeight="false" outlineLevel="0" collapsed="false">
      <c r="A258" s="102"/>
      <c r="B258" s="104"/>
      <c r="C258" s="104"/>
      <c r="F258" s="103" t="str">
        <f aca="false">IF(OR($C258="",$D258=0),"",$E258/$D258)</f>
        <v/>
      </c>
      <c r="H258" s="0" t="str">
        <f aca="false">IF($C258="","",IF(COUNTIF('مواد المخزون'!$A$2:$A$86,$C258)&gt;0,"نعم","لا (خارج الجرد)"))</f>
        <v/>
      </c>
    </row>
    <row r="259" customFormat="false" ht="15" hidden="false" customHeight="false" outlineLevel="0" collapsed="false">
      <c r="A259" s="102"/>
      <c r="B259" s="104"/>
      <c r="C259" s="104"/>
      <c r="F259" s="103" t="str">
        <f aca="false">IF(OR($C259="",$D259=0),"",$E259/$D259)</f>
        <v/>
      </c>
      <c r="H259" s="0" t="str">
        <f aca="false">IF($C259="","",IF(COUNTIF('مواد المخزون'!$A$2:$A$86,$C259)&gt;0,"نعم","لا (خارج الجرد)"))</f>
        <v/>
      </c>
    </row>
    <row r="260" customFormat="false" ht="15" hidden="false" customHeight="false" outlineLevel="0" collapsed="false">
      <c r="A260" s="102"/>
      <c r="B260" s="104"/>
      <c r="C260" s="104"/>
      <c r="F260" s="103" t="str">
        <f aca="false">IF(OR($C260="",$D260=0),"",$E260/$D260)</f>
        <v/>
      </c>
      <c r="H260" s="0" t="str">
        <f aca="false">IF($C260="","",IF(COUNTIF('مواد المخزون'!$A$2:$A$86,$C260)&gt;0,"نعم","لا (خارج الجرد)"))</f>
        <v/>
      </c>
    </row>
    <row r="261" customFormat="false" ht="15" hidden="false" customHeight="false" outlineLevel="0" collapsed="false">
      <c r="A261" s="102"/>
      <c r="B261" s="104"/>
      <c r="C261" s="104"/>
      <c r="F261" s="103" t="str">
        <f aca="false">IF(OR($C261="",$D261=0),"",$E261/$D261)</f>
        <v/>
      </c>
      <c r="H261" s="0" t="str">
        <f aca="false">IF($C261="","",IF(COUNTIF('مواد المخزون'!$A$2:$A$86,$C261)&gt;0,"نعم","لا (خارج الجرد)"))</f>
        <v/>
      </c>
    </row>
    <row r="262" customFormat="false" ht="15" hidden="false" customHeight="false" outlineLevel="0" collapsed="false">
      <c r="A262" s="102"/>
      <c r="B262" s="104"/>
      <c r="C262" s="104"/>
      <c r="F262" s="103" t="str">
        <f aca="false">IF(OR($C262="",$D262=0),"",$E262/$D262)</f>
        <v/>
      </c>
      <c r="H262" s="0" t="str">
        <f aca="false">IF($C262="","",IF(COUNTIF('مواد المخزون'!$A$2:$A$86,$C262)&gt;0,"نعم","لا (خارج الجرد)"))</f>
        <v/>
      </c>
    </row>
    <row r="263" customFormat="false" ht="15" hidden="false" customHeight="false" outlineLevel="0" collapsed="false">
      <c r="A263" s="102"/>
      <c r="B263" s="104"/>
      <c r="C263" s="104"/>
      <c r="F263" s="103" t="str">
        <f aca="false">IF(OR($C263="",$D263=0),"",$E263/$D263)</f>
        <v/>
      </c>
      <c r="H263" s="0" t="str">
        <f aca="false">IF($C263="","",IF(COUNTIF('مواد المخزون'!$A$2:$A$86,$C263)&gt;0,"نعم","لا (خارج الجرد)"))</f>
        <v/>
      </c>
    </row>
    <row r="264" customFormat="false" ht="15" hidden="false" customHeight="false" outlineLevel="0" collapsed="false">
      <c r="A264" s="102"/>
      <c r="B264" s="104"/>
      <c r="C264" s="104"/>
      <c r="F264" s="103" t="str">
        <f aca="false">IF(OR($C264="",$D264=0),"",$E264/$D264)</f>
        <v/>
      </c>
      <c r="H264" s="0" t="str">
        <f aca="false">IF($C264="","",IF(COUNTIF('مواد المخزون'!$A$2:$A$86,$C264)&gt;0,"نعم","لا (خارج الجرد)"))</f>
        <v/>
      </c>
    </row>
    <row r="265" customFormat="false" ht="15" hidden="false" customHeight="false" outlineLevel="0" collapsed="false">
      <c r="A265" s="102"/>
      <c r="B265" s="104"/>
      <c r="C265" s="104"/>
      <c r="F265" s="103" t="str">
        <f aca="false">IF(OR($C265="",$D265=0),"",$E265/$D265)</f>
        <v/>
      </c>
      <c r="H265" s="0" t="str">
        <f aca="false">IF($C265="","",IF(COUNTIF('مواد المخزون'!$A$2:$A$86,$C265)&gt;0,"نعم","لا (خارج الجرد)"))</f>
        <v/>
      </c>
    </row>
    <row r="266" customFormat="false" ht="15" hidden="false" customHeight="false" outlineLevel="0" collapsed="false">
      <c r="A266" s="102"/>
      <c r="B266" s="104"/>
      <c r="C266" s="104"/>
      <c r="F266" s="103" t="str">
        <f aca="false">IF(OR($C266="",$D266=0),"",$E266/$D266)</f>
        <v/>
      </c>
      <c r="H266" s="0" t="str">
        <f aca="false">IF($C266="","",IF(COUNTIF('مواد المخزون'!$A$2:$A$86,$C266)&gt;0,"نعم","لا (خارج الجرد)"))</f>
        <v/>
      </c>
    </row>
    <row r="267" customFormat="false" ht="15" hidden="false" customHeight="false" outlineLevel="0" collapsed="false">
      <c r="A267" s="102"/>
      <c r="B267" s="104"/>
      <c r="C267" s="104"/>
      <c r="F267" s="103" t="str">
        <f aca="false">IF(OR($C267="",$D267=0),"",$E267/$D267)</f>
        <v/>
      </c>
      <c r="H267" s="0" t="str">
        <f aca="false">IF($C267="","",IF(COUNTIF('مواد المخزون'!$A$2:$A$86,$C267)&gt;0,"نعم","لا (خارج الجرد)"))</f>
        <v/>
      </c>
    </row>
    <row r="268" customFormat="false" ht="15" hidden="false" customHeight="false" outlineLevel="0" collapsed="false">
      <c r="A268" s="102"/>
      <c r="B268" s="104"/>
      <c r="C268" s="104"/>
      <c r="F268" s="103" t="str">
        <f aca="false">IF(OR($C268="",$D268=0),"",$E268/$D268)</f>
        <v/>
      </c>
      <c r="H268" s="0" t="str">
        <f aca="false">IF($C268="","",IF(COUNTIF('مواد المخزون'!$A$2:$A$86,$C268)&gt;0,"نعم","لا (خارج الجرد)"))</f>
        <v/>
      </c>
    </row>
    <row r="269" customFormat="false" ht="15" hidden="false" customHeight="false" outlineLevel="0" collapsed="false">
      <c r="A269" s="102"/>
      <c r="B269" s="104"/>
      <c r="C269" s="104"/>
      <c r="F269" s="103" t="str">
        <f aca="false">IF(OR($C269="",$D269=0),"",$E269/$D269)</f>
        <v/>
      </c>
      <c r="H269" s="0" t="str">
        <f aca="false">IF($C269="","",IF(COUNTIF('مواد المخزون'!$A$2:$A$86,$C269)&gt;0,"نعم","لا (خارج الجرد)"))</f>
        <v/>
      </c>
    </row>
    <row r="270" customFormat="false" ht="15" hidden="false" customHeight="false" outlineLevel="0" collapsed="false">
      <c r="A270" s="102"/>
      <c r="B270" s="104"/>
      <c r="C270" s="104"/>
      <c r="F270" s="103" t="str">
        <f aca="false">IF(OR($C270="",$D270=0),"",$E270/$D270)</f>
        <v/>
      </c>
      <c r="H270" s="0" t="str">
        <f aca="false">IF($C270="","",IF(COUNTIF('مواد المخزون'!$A$2:$A$86,$C270)&gt;0,"نعم","لا (خارج الجرد)"))</f>
        <v/>
      </c>
    </row>
    <row r="271" customFormat="false" ht="15" hidden="false" customHeight="false" outlineLevel="0" collapsed="false">
      <c r="A271" s="102"/>
      <c r="B271" s="104"/>
      <c r="C271" s="104"/>
      <c r="F271" s="103" t="str">
        <f aca="false">IF(OR($C271="",$D271=0),"",$E271/$D271)</f>
        <v/>
      </c>
      <c r="H271" s="0" t="str">
        <f aca="false">IF($C271="","",IF(COUNTIF('مواد المخزون'!$A$2:$A$86,$C271)&gt;0,"نعم","لا (خارج الجرد)"))</f>
        <v/>
      </c>
    </row>
    <row r="272" customFormat="false" ht="15" hidden="false" customHeight="false" outlineLevel="0" collapsed="false">
      <c r="A272" s="102"/>
      <c r="B272" s="104"/>
      <c r="C272" s="104"/>
      <c r="F272" s="103" t="str">
        <f aca="false">IF(OR($C272="",$D272=0),"",$E272/$D272)</f>
        <v/>
      </c>
      <c r="H272" s="0" t="str">
        <f aca="false">IF($C272="","",IF(COUNTIF('مواد المخزون'!$A$2:$A$86,$C272)&gt;0,"نعم","لا (خارج الجرد)"))</f>
        <v/>
      </c>
    </row>
    <row r="273" customFormat="false" ht="15" hidden="false" customHeight="false" outlineLevel="0" collapsed="false">
      <c r="A273" s="102"/>
      <c r="B273" s="104"/>
      <c r="C273" s="104"/>
      <c r="F273" s="103" t="str">
        <f aca="false">IF(OR($C273="",$D273=0),"",$E273/$D273)</f>
        <v/>
      </c>
      <c r="H273" s="0" t="str">
        <f aca="false">IF($C273="","",IF(COUNTIF('مواد المخزون'!$A$2:$A$86,$C273)&gt;0,"نعم","لا (خارج الجرد)"))</f>
        <v/>
      </c>
    </row>
    <row r="274" customFormat="false" ht="15" hidden="false" customHeight="false" outlineLevel="0" collapsed="false">
      <c r="A274" s="102"/>
      <c r="B274" s="104"/>
      <c r="C274" s="104"/>
      <c r="F274" s="103" t="str">
        <f aca="false">IF(OR($C274="",$D274=0),"",$E274/$D274)</f>
        <v/>
      </c>
      <c r="H274" s="0" t="str">
        <f aca="false">IF($C274="","",IF(COUNTIF('مواد المخزون'!$A$2:$A$86,$C274)&gt;0,"نعم","لا (خارج الجرد)"))</f>
        <v/>
      </c>
    </row>
    <row r="275" customFormat="false" ht="15" hidden="false" customHeight="false" outlineLevel="0" collapsed="false">
      <c r="A275" s="102"/>
      <c r="B275" s="104"/>
      <c r="C275" s="104"/>
      <c r="F275" s="103" t="str">
        <f aca="false">IF(OR($C275="",$D275=0),"",$E275/$D275)</f>
        <v/>
      </c>
      <c r="H275" s="0" t="str">
        <f aca="false">IF($C275="","",IF(COUNTIF('مواد المخزون'!$A$2:$A$86,$C275)&gt;0,"نعم","لا (خارج الجرد)"))</f>
        <v/>
      </c>
    </row>
    <row r="276" customFormat="false" ht="15" hidden="false" customHeight="false" outlineLevel="0" collapsed="false">
      <c r="A276" s="102"/>
      <c r="B276" s="104"/>
      <c r="C276" s="104"/>
      <c r="F276" s="103" t="str">
        <f aca="false">IF(OR($C276="",$D276=0),"",$E276/$D276)</f>
        <v/>
      </c>
      <c r="H276" s="0" t="str">
        <f aca="false">IF($C276="","",IF(COUNTIF('مواد المخزون'!$A$2:$A$86,$C276)&gt;0,"نعم","لا (خارج الجرد)"))</f>
        <v/>
      </c>
    </row>
    <row r="277" customFormat="false" ht="15" hidden="false" customHeight="false" outlineLevel="0" collapsed="false">
      <c r="A277" s="102"/>
      <c r="B277" s="104"/>
      <c r="C277" s="104"/>
      <c r="F277" s="103" t="str">
        <f aca="false">IF(OR($C277="",$D277=0),"",$E277/$D277)</f>
        <v/>
      </c>
      <c r="H277" s="0" t="str">
        <f aca="false">IF($C277="","",IF(COUNTIF('مواد المخزون'!$A$2:$A$86,$C277)&gt;0,"نعم","لا (خارج الجرد)"))</f>
        <v/>
      </c>
    </row>
    <row r="278" customFormat="false" ht="15" hidden="false" customHeight="false" outlineLevel="0" collapsed="false">
      <c r="A278" s="102"/>
      <c r="B278" s="104"/>
      <c r="C278" s="104"/>
      <c r="F278" s="103" t="str">
        <f aca="false">IF(OR($C278="",$D278=0),"",$E278/$D278)</f>
        <v/>
      </c>
      <c r="H278" s="0" t="str">
        <f aca="false">IF($C278="","",IF(COUNTIF('مواد المخزون'!$A$2:$A$86,$C278)&gt;0,"نعم","لا (خارج الجرد)"))</f>
        <v/>
      </c>
    </row>
    <row r="279" customFormat="false" ht="15" hidden="false" customHeight="false" outlineLevel="0" collapsed="false">
      <c r="A279" s="102"/>
      <c r="B279" s="104"/>
      <c r="C279" s="104"/>
      <c r="F279" s="103" t="str">
        <f aca="false">IF(OR($C279="",$D279=0),"",$E279/$D279)</f>
        <v/>
      </c>
      <c r="H279" s="0" t="str">
        <f aca="false">IF($C279="","",IF(COUNTIF('مواد المخزون'!$A$2:$A$86,$C279)&gt;0,"نعم","لا (خارج الجرد)"))</f>
        <v/>
      </c>
    </row>
    <row r="280" customFormat="false" ht="15" hidden="false" customHeight="false" outlineLevel="0" collapsed="false">
      <c r="A280" s="102"/>
      <c r="B280" s="104"/>
      <c r="C280" s="104"/>
      <c r="F280" s="103" t="str">
        <f aca="false">IF(OR($C280="",$D280=0),"",$E280/$D280)</f>
        <v/>
      </c>
      <c r="H280" s="0" t="str">
        <f aca="false">IF($C280="","",IF(COUNTIF('مواد المخزون'!$A$2:$A$86,$C280)&gt;0,"نعم","لا (خارج الجرد)"))</f>
        <v/>
      </c>
    </row>
    <row r="281" customFormat="false" ht="15" hidden="false" customHeight="false" outlineLevel="0" collapsed="false">
      <c r="A281" s="102"/>
      <c r="B281" s="104"/>
      <c r="C281" s="104"/>
      <c r="F281" s="103" t="str">
        <f aca="false">IF(OR($C281="",$D281=0),"",$E281/$D281)</f>
        <v/>
      </c>
      <c r="H281" s="0" t="str">
        <f aca="false">IF($C281="","",IF(COUNTIF('مواد المخزون'!$A$2:$A$86,$C281)&gt;0,"نعم","لا (خارج الجرد)"))</f>
        <v/>
      </c>
    </row>
    <row r="282" customFormat="false" ht="15" hidden="false" customHeight="false" outlineLevel="0" collapsed="false">
      <c r="A282" s="102"/>
      <c r="B282" s="104"/>
      <c r="C282" s="104"/>
      <c r="F282" s="103" t="str">
        <f aca="false">IF(OR($C282="",$D282=0),"",$E282/$D282)</f>
        <v/>
      </c>
      <c r="H282" s="0" t="str">
        <f aca="false">IF($C282="","",IF(COUNTIF('مواد المخزون'!$A$2:$A$86,$C282)&gt;0,"نعم","لا (خارج الجرد)"))</f>
        <v/>
      </c>
    </row>
    <row r="283" customFormat="false" ht="15" hidden="false" customHeight="false" outlineLevel="0" collapsed="false">
      <c r="A283" s="102"/>
      <c r="B283" s="104"/>
      <c r="C283" s="104"/>
      <c r="F283" s="103" t="str">
        <f aca="false">IF(OR($C283="",$D283=0),"",$E283/$D283)</f>
        <v/>
      </c>
      <c r="H283" s="0" t="str">
        <f aca="false">IF($C283="","",IF(COUNTIF('مواد المخزون'!$A$2:$A$86,$C283)&gt;0,"نعم","لا (خارج الجرد)"))</f>
        <v/>
      </c>
    </row>
    <row r="284" customFormat="false" ht="15" hidden="false" customHeight="false" outlineLevel="0" collapsed="false">
      <c r="A284" s="102"/>
      <c r="B284" s="104"/>
      <c r="C284" s="104"/>
      <c r="F284" s="103" t="str">
        <f aca="false">IF(OR($C284="",$D284=0),"",$E284/$D284)</f>
        <v/>
      </c>
      <c r="H284" s="0" t="str">
        <f aca="false">IF($C284="","",IF(COUNTIF('مواد المخزون'!$A$2:$A$86,$C284)&gt;0,"نعم","لا (خارج الجرد)"))</f>
        <v/>
      </c>
    </row>
    <row r="285" customFormat="false" ht="15" hidden="false" customHeight="false" outlineLevel="0" collapsed="false">
      <c r="A285" s="102"/>
      <c r="B285" s="104"/>
      <c r="C285" s="104"/>
      <c r="F285" s="103" t="str">
        <f aca="false">IF(OR($C285="",$D285=0),"",$E285/$D285)</f>
        <v/>
      </c>
      <c r="H285" s="0" t="str">
        <f aca="false">IF($C285="","",IF(COUNTIF('مواد المخزون'!$A$2:$A$86,$C285)&gt;0,"نعم","لا (خارج الجرد)"))</f>
        <v/>
      </c>
    </row>
    <row r="286" customFormat="false" ht="15" hidden="false" customHeight="false" outlineLevel="0" collapsed="false">
      <c r="A286" s="102"/>
      <c r="B286" s="104"/>
      <c r="C286" s="104"/>
      <c r="F286" s="103" t="str">
        <f aca="false">IF(OR($C286="",$D286=0),"",$E286/$D286)</f>
        <v/>
      </c>
      <c r="H286" s="0" t="str">
        <f aca="false">IF($C286="","",IF(COUNTIF('مواد المخزون'!$A$2:$A$86,$C286)&gt;0,"نعم","لا (خارج الجرد)"))</f>
        <v/>
      </c>
    </row>
    <row r="287" customFormat="false" ht="15" hidden="false" customHeight="false" outlineLevel="0" collapsed="false">
      <c r="A287" s="102"/>
      <c r="B287" s="104"/>
      <c r="C287" s="104"/>
      <c r="F287" s="103" t="str">
        <f aca="false">IF(OR($C287="",$D287=0),"",$E287/$D287)</f>
        <v/>
      </c>
      <c r="H287" s="0" t="str">
        <f aca="false">IF($C287="","",IF(COUNTIF('مواد المخزون'!$A$2:$A$86,$C287)&gt;0,"نعم","لا (خارج الجرد)"))</f>
        <v/>
      </c>
    </row>
    <row r="288" customFormat="false" ht="15" hidden="false" customHeight="false" outlineLevel="0" collapsed="false">
      <c r="A288" s="102"/>
      <c r="B288" s="104"/>
      <c r="C288" s="104"/>
      <c r="F288" s="103" t="str">
        <f aca="false">IF(OR($C288="",$D288=0),"",$E288/$D288)</f>
        <v/>
      </c>
      <c r="H288" s="0" t="str">
        <f aca="false">IF($C288="","",IF(COUNTIF('مواد المخزون'!$A$2:$A$86,$C288)&gt;0,"نعم","لا (خارج الجرد)"))</f>
        <v/>
      </c>
    </row>
    <row r="289" customFormat="false" ht="15" hidden="false" customHeight="false" outlineLevel="0" collapsed="false">
      <c r="A289" s="102"/>
      <c r="B289" s="104"/>
      <c r="C289" s="104"/>
      <c r="F289" s="103" t="str">
        <f aca="false">IF(OR($C289="",$D289=0),"",$E289/$D289)</f>
        <v/>
      </c>
      <c r="H289" s="0" t="str">
        <f aca="false">IF($C289="","",IF(COUNTIF('مواد المخزون'!$A$2:$A$86,$C289)&gt;0,"نعم","لا (خارج الجرد)"))</f>
        <v/>
      </c>
    </row>
    <row r="290" customFormat="false" ht="15" hidden="false" customHeight="false" outlineLevel="0" collapsed="false">
      <c r="A290" s="102"/>
      <c r="B290" s="104"/>
      <c r="C290" s="104"/>
      <c r="F290" s="103" t="str">
        <f aca="false">IF(OR($C290="",$D290=0),"",$E290/$D290)</f>
        <v/>
      </c>
      <c r="H290" s="0" t="str">
        <f aca="false">IF($C290="","",IF(COUNTIF('مواد المخزون'!$A$2:$A$86,$C290)&gt;0,"نعم","لا (خارج الجرد)"))</f>
        <v/>
      </c>
    </row>
    <row r="291" customFormat="false" ht="15" hidden="false" customHeight="false" outlineLevel="0" collapsed="false">
      <c r="A291" s="102"/>
      <c r="B291" s="104"/>
      <c r="C291" s="104"/>
      <c r="F291" s="103" t="str">
        <f aca="false">IF(OR($C291="",$D291=0),"",$E291/$D291)</f>
        <v/>
      </c>
      <c r="H291" s="0" t="str">
        <f aca="false">IF($C291="","",IF(COUNTIF('مواد المخزون'!$A$2:$A$86,$C291)&gt;0,"نعم","لا (خارج الجرد)"))</f>
        <v/>
      </c>
    </row>
    <row r="292" customFormat="false" ht="15" hidden="false" customHeight="false" outlineLevel="0" collapsed="false">
      <c r="A292" s="102"/>
      <c r="B292" s="104"/>
      <c r="C292" s="104"/>
      <c r="F292" s="103" t="str">
        <f aca="false">IF(OR($C292="",$D292=0),"",$E292/$D292)</f>
        <v/>
      </c>
      <c r="H292" s="0" t="str">
        <f aca="false">IF($C292="","",IF(COUNTIF('مواد المخزون'!$A$2:$A$86,$C292)&gt;0,"نعم","لا (خارج الجرد)"))</f>
        <v/>
      </c>
    </row>
    <row r="293" customFormat="false" ht="15" hidden="false" customHeight="false" outlineLevel="0" collapsed="false">
      <c r="A293" s="102"/>
      <c r="B293" s="104"/>
      <c r="C293" s="104"/>
      <c r="F293" s="103" t="str">
        <f aca="false">IF(OR($C293="",$D293=0),"",$E293/$D293)</f>
        <v/>
      </c>
      <c r="H293" s="0" t="str">
        <f aca="false">IF($C293="","",IF(COUNTIF('مواد المخزون'!$A$2:$A$86,$C293)&gt;0,"نعم","لا (خارج الجرد)"))</f>
        <v/>
      </c>
    </row>
    <row r="294" customFormat="false" ht="15" hidden="false" customHeight="false" outlineLevel="0" collapsed="false">
      <c r="A294" s="102"/>
      <c r="B294" s="104"/>
      <c r="C294" s="104"/>
      <c r="F294" s="103" t="str">
        <f aca="false">IF(OR($C294="",$D294=0),"",$E294/$D294)</f>
        <v/>
      </c>
      <c r="H294" s="0" t="str">
        <f aca="false">IF($C294="","",IF(COUNTIF('مواد المخزون'!$A$2:$A$86,$C294)&gt;0,"نعم","لا (خارج الجرد)"))</f>
        <v/>
      </c>
    </row>
    <row r="295" customFormat="false" ht="15" hidden="false" customHeight="false" outlineLevel="0" collapsed="false">
      <c r="A295" s="102"/>
      <c r="B295" s="104"/>
      <c r="C295" s="104"/>
      <c r="F295" s="103" t="str">
        <f aca="false">IF(OR($C295="",$D295=0),"",$E295/$D295)</f>
        <v/>
      </c>
      <c r="H295" s="0" t="str">
        <f aca="false">IF($C295="","",IF(COUNTIF('مواد المخزون'!$A$2:$A$86,$C295)&gt;0,"نعم","لا (خارج الجرد)"))</f>
        <v/>
      </c>
    </row>
    <row r="296" customFormat="false" ht="15" hidden="false" customHeight="false" outlineLevel="0" collapsed="false">
      <c r="A296" s="102"/>
      <c r="B296" s="104"/>
      <c r="C296" s="104"/>
      <c r="F296" s="103" t="str">
        <f aca="false">IF(OR($C296="",$D296=0),"",$E296/$D296)</f>
        <v/>
      </c>
      <c r="H296" s="0" t="str">
        <f aca="false">IF($C296="","",IF(COUNTIF('مواد المخزون'!$A$2:$A$86,$C296)&gt;0,"نعم","لا (خارج الجرد)"))</f>
        <v/>
      </c>
    </row>
    <row r="297" customFormat="false" ht="15" hidden="false" customHeight="false" outlineLevel="0" collapsed="false">
      <c r="A297" s="102"/>
      <c r="B297" s="104"/>
      <c r="C297" s="104"/>
      <c r="F297" s="103" t="str">
        <f aca="false">IF(OR($C297="",$D297=0),"",$E297/$D297)</f>
        <v/>
      </c>
      <c r="H297" s="0" t="str">
        <f aca="false">IF($C297="","",IF(COUNTIF('مواد المخزون'!$A$2:$A$86,$C297)&gt;0,"نعم","لا (خارج الجرد)"))</f>
        <v/>
      </c>
    </row>
    <row r="298" customFormat="false" ht="15" hidden="false" customHeight="false" outlineLevel="0" collapsed="false">
      <c r="A298" s="102"/>
      <c r="B298" s="104"/>
      <c r="C298" s="104"/>
      <c r="F298" s="103" t="str">
        <f aca="false">IF(OR($C298="",$D298=0),"",$E298/$D298)</f>
        <v/>
      </c>
      <c r="H298" s="0" t="str">
        <f aca="false">IF($C298="","",IF(COUNTIF('مواد المخزون'!$A$2:$A$86,$C298)&gt;0,"نعم","لا (خارج الجرد)"))</f>
        <v/>
      </c>
    </row>
    <row r="299" customFormat="false" ht="15" hidden="false" customHeight="false" outlineLevel="0" collapsed="false">
      <c r="A299" s="102"/>
      <c r="B299" s="104"/>
      <c r="C299" s="104"/>
      <c r="F299" s="103" t="str">
        <f aca="false">IF(OR($C299="",$D299=0),"",$E299/$D299)</f>
        <v/>
      </c>
      <c r="H299" s="0" t="str">
        <f aca="false">IF($C299="","",IF(COUNTIF('مواد المخزون'!$A$2:$A$86,$C299)&gt;0,"نعم","لا (خارج الجرد)"))</f>
        <v/>
      </c>
    </row>
    <row r="300" customFormat="false" ht="15" hidden="false" customHeight="false" outlineLevel="0" collapsed="false">
      <c r="A300" s="102"/>
      <c r="B300" s="104"/>
      <c r="C300" s="104"/>
      <c r="F300" s="103" t="str">
        <f aca="false">IF(OR($C300="",$D300=0),"",$E300/$D300)</f>
        <v/>
      </c>
      <c r="H300" s="0" t="str">
        <f aca="false">IF($C300="","",IF(COUNTIF('مواد المخزون'!$A$2:$A$86,$C300)&gt;0,"نعم","لا (خارج الجرد)"))</f>
        <v/>
      </c>
    </row>
    <row r="301" customFormat="false" ht="15" hidden="false" customHeight="false" outlineLevel="0" collapsed="false">
      <c r="A301" s="102"/>
      <c r="B301" s="104"/>
      <c r="C301" s="104"/>
      <c r="F301" s="103" t="str">
        <f aca="false">IF(OR($C301="",$D301=0),"",$E301/$D301)</f>
        <v/>
      </c>
      <c r="H301" s="0" t="str">
        <f aca="false">IF($C301="","",IF(COUNTIF('مواد المخزون'!$A$2:$A$86,$C301)&gt;0,"نعم","لا (خارج الجرد)"))</f>
        <v/>
      </c>
    </row>
    <row r="302" customFormat="false" ht="15" hidden="false" customHeight="false" outlineLevel="0" collapsed="false">
      <c r="A302" s="102"/>
      <c r="B302" s="104"/>
      <c r="C302" s="104"/>
      <c r="F302" s="103" t="str">
        <f aca="false">IF(OR($C302="",$D302=0),"",$E302/$D302)</f>
        <v/>
      </c>
      <c r="H302" s="0" t="str">
        <f aca="false">IF($C302="","",IF(COUNTIF('مواد المخزون'!$A$2:$A$86,$C302)&gt;0,"نعم","لا (خارج الجرد)"))</f>
        <v/>
      </c>
    </row>
    <row r="303" customFormat="false" ht="15" hidden="false" customHeight="false" outlineLevel="0" collapsed="false">
      <c r="A303" s="102"/>
      <c r="B303" s="104"/>
      <c r="C303" s="104"/>
      <c r="F303" s="103" t="str">
        <f aca="false">IF(OR($C303="",$D303=0),"",$E303/$D303)</f>
        <v/>
      </c>
      <c r="H303" s="0" t="str">
        <f aca="false">IF($C303="","",IF(COUNTIF('مواد المخزون'!$A$2:$A$86,$C303)&gt;0,"نعم","لا (خارج الجرد)"))</f>
        <v/>
      </c>
    </row>
    <row r="304" customFormat="false" ht="15" hidden="false" customHeight="false" outlineLevel="0" collapsed="false">
      <c r="A304" s="102"/>
      <c r="B304" s="104"/>
      <c r="C304" s="104"/>
      <c r="F304" s="103" t="str">
        <f aca="false">IF(OR($C304="",$D304=0),"",$E304/$D304)</f>
        <v/>
      </c>
      <c r="H304" s="0" t="str">
        <f aca="false">IF($C304="","",IF(COUNTIF('مواد المخزون'!$A$2:$A$86,$C304)&gt;0,"نعم","لا (خارج الجرد)"))</f>
        <v/>
      </c>
    </row>
    <row r="305" customFormat="false" ht="15" hidden="false" customHeight="false" outlineLevel="0" collapsed="false">
      <c r="A305" s="102"/>
      <c r="B305" s="104"/>
      <c r="C305" s="104"/>
      <c r="F305" s="103" t="str">
        <f aca="false">IF(OR($C305="",$D305=0),"",$E305/$D305)</f>
        <v/>
      </c>
      <c r="H305" s="0" t="str">
        <f aca="false">IF($C305="","",IF(COUNTIF('مواد المخزون'!$A$2:$A$86,$C305)&gt;0,"نعم","لا (خارج الجرد)"))</f>
        <v/>
      </c>
    </row>
    <row r="306" customFormat="false" ht="15" hidden="false" customHeight="false" outlineLevel="0" collapsed="false">
      <c r="A306" s="102"/>
      <c r="B306" s="104"/>
      <c r="C306" s="104"/>
      <c r="F306" s="103" t="str">
        <f aca="false">IF(OR($C306="",$D306=0),"",$E306/$D306)</f>
        <v/>
      </c>
      <c r="H306" s="0" t="str">
        <f aca="false">IF($C306="","",IF(COUNTIF('مواد المخزون'!$A$2:$A$86,$C306)&gt;0,"نعم","لا (خارج الجرد)"))</f>
        <v/>
      </c>
    </row>
    <row r="307" customFormat="false" ht="15" hidden="false" customHeight="false" outlineLevel="0" collapsed="false">
      <c r="A307" s="102"/>
      <c r="B307" s="104"/>
      <c r="C307" s="104"/>
      <c r="F307" s="103" t="str">
        <f aca="false">IF(OR($C307="",$D307=0),"",$E307/$D307)</f>
        <v/>
      </c>
      <c r="H307" s="0" t="str">
        <f aca="false">IF($C307="","",IF(COUNTIF('مواد المخزون'!$A$2:$A$86,$C307)&gt;0,"نعم","لا (خارج الجرد)"))</f>
        <v/>
      </c>
    </row>
    <row r="308" customFormat="false" ht="15" hidden="false" customHeight="false" outlineLevel="0" collapsed="false">
      <c r="A308" s="102"/>
      <c r="B308" s="104"/>
      <c r="C308" s="104"/>
      <c r="F308" s="103" t="str">
        <f aca="false">IF(OR($C308="",$D308=0),"",$E308/$D308)</f>
        <v/>
      </c>
      <c r="H308" s="0" t="str">
        <f aca="false">IF($C308="","",IF(COUNTIF('مواد المخزون'!$A$2:$A$86,$C308)&gt;0,"نعم","لا (خارج الجرد)"))</f>
        <v/>
      </c>
    </row>
    <row r="309" customFormat="false" ht="15" hidden="false" customHeight="false" outlineLevel="0" collapsed="false">
      <c r="A309" s="102"/>
      <c r="B309" s="104"/>
      <c r="C309" s="104"/>
      <c r="F309" s="103" t="str">
        <f aca="false">IF(OR($C309="",$D309=0),"",$E309/$D309)</f>
        <v/>
      </c>
      <c r="H309" s="0" t="str">
        <f aca="false">IF($C309="","",IF(COUNTIF('مواد المخزون'!$A$2:$A$86,$C309)&gt;0,"نعم","لا (خارج الجرد)"))</f>
        <v/>
      </c>
    </row>
    <row r="310" customFormat="false" ht="15" hidden="false" customHeight="false" outlineLevel="0" collapsed="false">
      <c r="A310" s="102"/>
      <c r="B310" s="104"/>
      <c r="C310" s="104"/>
      <c r="F310" s="103" t="str">
        <f aca="false">IF(OR($C310="",$D310=0),"",$E310/$D310)</f>
        <v/>
      </c>
      <c r="H310" s="0" t="str">
        <f aca="false">IF($C310="","",IF(COUNTIF('مواد المخزون'!$A$2:$A$86,$C310)&gt;0,"نعم","لا (خارج الجرد)"))</f>
        <v/>
      </c>
    </row>
    <row r="311" customFormat="false" ht="15" hidden="false" customHeight="false" outlineLevel="0" collapsed="false">
      <c r="A311" s="102"/>
      <c r="B311" s="104"/>
      <c r="C311" s="104"/>
      <c r="F311" s="103" t="str">
        <f aca="false">IF(OR($C311="",$D311=0),"",$E311/$D311)</f>
        <v/>
      </c>
      <c r="H311" s="0" t="str">
        <f aca="false">IF($C311="","",IF(COUNTIF('مواد المخزون'!$A$2:$A$86,$C311)&gt;0,"نعم","لا (خارج الجرد)"))</f>
        <v/>
      </c>
    </row>
    <row r="312" customFormat="false" ht="15" hidden="false" customHeight="false" outlineLevel="0" collapsed="false">
      <c r="A312" s="102"/>
      <c r="B312" s="104"/>
      <c r="C312" s="104"/>
      <c r="F312" s="103" t="str">
        <f aca="false">IF(OR($C312="",$D312=0),"",$E312/$D312)</f>
        <v/>
      </c>
      <c r="H312" s="0" t="str">
        <f aca="false">IF($C312="","",IF(COUNTIF('مواد المخزون'!$A$2:$A$86,$C312)&gt;0,"نعم","لا (خارج الجرد)"))</f>
        <v/>
      </c>
    </row>
    <row r="313" customFormat="false" ht="15" hidden="false" customHeight="false" outlineLevel="0" collapsed="false">
      <c r="A313" s="102"/>
      <c r="B313" s="104"/>
      <c r="C313" s="104"/>
      <c r="F313" s="103" t="str">
        <f aca="false">IF(OR($C313="",$D313=0),"",$E313/$D313)</f>
        <v/>
      </c>
      <c r="H313" s="0" t="str">
        <f aca="false">IF($C313="","",IF(COUNTIF('مواد المخزون'!$A$2:$A$86,$C313)&gt;0,"نعم","لا (خارج الجرد)"))</f>
        <v/>
      </c>
    </row>
    <row r="314" customFormat="false" ht="15" hidden="false" customHeight="false" outlineLevel="0" collapsed="false">
      <c r="A314" s="102"/>
      <c r="B314" s="104"/>
      <c r="C314" s="104"/>
      <c r="F314" s="103" t="str">
        <f aca="false">IF(OR($C314="",$D314=0),"",$E314/$D314)</f>
        <v/>
      </c>
      <c r="H314" s="0" t="str">
        <f aca="false">IF($C314="","",IF(COUNTIF('مواد المخزون'!$A$2:$A$86,$C314)&gt;0,"نعم","لا (خارج الجرد)"))</f>
        <v/>
      </c>
    </row>
    <row r="315" customFormat="false" ht="15" hidden="false" customHeight="false" outlineLevel="0" collapsed="false">
      <c r="A315" s="102"/>
      <c r="B315" s="104"/>
      <c r="C315" s="104"/>
      <c r="F315" s="103" t="str">
        <f aca="false">IF(OR($C315="",$D315=0),"",$E315/$D315)</f>
        <v/>
      </c>
      <c r="H315" s="0" t="str">
        <f aca="false">IF($C315="","",IF(COUNTIF('مواد المخزون'!$A$2:$A$86,$C315)&gt;0,"نعم","لا (خارج الجرد)"))</f>
        <v/>
      </c>
    </row>
    <row r="316" customFormat="false" ht="15" hidden="false" customHeight="false" outlineLevel="0" collapsed="false">
      <c r="A316" s="102"/>
      <c r="B316" s="104"/>
      <c r="C316" s="104"/>
      <c r="F316" s="103" t="str">
        <f aca="false">IF(OR($C316="",$D316=0),"",$E316/$D316)</f>
        <v/>
      </c>
      <c r="H316" s="0" t="str">
        <f aca="false">IF($C316="","",IF(COUNTIF('مواد المخزون'!$A$2:$A$86,$C316)&gt;0,"نعم","لا (خارج الجرد)"))</f>
        <v/>
      </c>
    </row>
    <row r="317" customFormat="false" ht="15" hidden="false" customHeight="false" outlineLevel="0" collapsed="false">
      <c r="A317" s="102"/>
      <c r="B317" s="104"/>
      <c r="C317" s="104"/>
      <c r="F317" s="103" t="str">
        <f aca="false">IF(OR($C317="",$D317=0),"",$E317/$D317)</f>
        <v/>
      </c>
      <c r="H317" s="0" t="str">
        <f aca="false">IF($C317="","",IF(COUNTIF('مواد المخزون'!$A$2:$A$86,$C317)&gt;0,"نعم","لا (خارج الجرد)"))</f>
        <v/>
      </c>
    </row>
    <row r="318" customFormat="false" ht="15" hidden="false" customHeight="false" outlineLevel="0" collapsed="false">
      <c r="A318" s="102"/>
      <c r="B318" s="104"/>
      <c r="C318" s="104"/>
      <c r="F318" s="103" t="str">
        <f aca="false">IF(OR($C318="",$D318=0),"",$E318/$D318)</f>
        <v/>
      </c>
      <c r="H318" s="0" t="str">
        <f aca="false">IF($C318="","",IF(COUNTIF('مواد المخزون'!$A$2:$A$86,$C318)&gt;0,"نعم","لا (خارج الجرد)"))</f>
        <v/>
      </c>
    </row>
    <row r="319" customFormat="false" ht="15" hidden="false" customHeight="false" outlineLevel="0" collapsed="false">
      <c r="A319" s="102"/>
      <c r="B319" s="104"/>
      <c r="C319" s="104"/>
      <c r="F319" s="103" t="str">
        <f aca="false">IF(OR($C319="",$D319=0),"",$E319/$D319)</f>
        <v/>
      </c>
      <c r="H319" s="0" t="str">
        <f aca="false">IF($C319="","",IF(COUNTIF('مواد المخزون'!$A$2:$A$86,$C319)&gt;0,"نعم","لا (خارج الجرد)"))</f>
        <v/>
      </c>
    </row>
    <row r="320" customFormat="false" ht="15" hidden="false" customHeight="false" outlineLevel="0" collapsed="false">
      <c r="A320" s="102"/>
      <c r="B320" s="104"/>
      <c r="C320" s="104"/>
      <c r="F320" s="103" t="str">
        <f aca="false">IF(OR($C320="",$D320=0),"",$E320/$D320)</f>
        <v/>
      </c>
      <c r="H320" s="0" t="str">
        <f aca="false">IF($C320="","",IF(COUNTIF('مواد المخزون'!$A$2:$A$86,$C320)&gt;0,"نعم","لا (خارج الجرد)"))</f>
        <v/>
      </c>
    </row>
    <row r="321" customFormat="false" ht="15" hidden="false" customHeight="false" outlineLevel="0" collapsed="false">
      <c r="A321" s="102"/>
      <c r="B321" s="104"/>
      <c r="C321" s="104"/>
      <c r="F321" s="103" t="str">
        <f aca="false">IF(OR($C321="",$D321=0),"",$E321/$D321)</f>
        <v/>
      </c>
      <c r="H321" s="0" t="str">
        <f aca="false">IF($C321="","",IF(COUNTIF('مواد المخزون'!$A$2:$A$86,$C321)&gt;0,"نعم","لا (خارج الجرد)"))</f>
        <v/>
      </c>
    </row>
    <row r="322" customFormat="false" ht="15" hidden="false" customHeight="false" outlineLevel="0" collapsed="false">
      <c r="A322" s="102"/>
      <c r="B322" s="104"/>
      <c r="C322" s="104"/>
      <c r="F322" s="103" t="str">
        <f aca="false">IF(OR($C322="",$D322=0),"",$E322/$D322)</f>
        <v/>
      </c>
      <c r="H322" s="0" t="str">
        <f aca="false">IF($C322="","",IF(COUNTIF('مواد المخزون'!$A$2:$A$86,$C322)&gt;0,"نعم","لا (خارج الجرد)"))</f>
        <v/>
      </c>
    </row>
    <row r="323" customFormat="false" ht="15" hidden="false" customHeight="false" outlineLevel="0" collapsed="false">
      <c r="A323" s="102"/>
      <c r="B323" s="104"/>
      <c r="C323" s="104"/>
      <c r="F323" s="103" t="str">
        <f aca="false">IF(OR($C323="",$D323=0),"",$E323/$D323)</f>
        <v/>
      </c>
      <c r="H323" s="0" t="str">
        <f aca="false">IF($C323="","",IF(COUNTIF('مواد المخزون'!$A$2:$A$86,$C323)&gt;0,"نعم","لا (خارج الجرد)"))</f>
        <v/>
      </c>
    </row>
    <row r="324" customFormat="false" ht="15" hidden="false" customHeight="false" outlineLevel="0" collapsed="false">
      <c r="A324" s="102"/>
      <c r="B324" s="104"/>
      <c r="C324" s="104"/>
      <c r="F324" s="103" t="str">
        <f aca="false">IF(OR($C324="",$D324=0),"",$E324/$D324)</f>
        <v/>
      </c>
      <c r="H324" s="0" t="str">
        <f aca="false">IF($C324="","",IF(COUNTIF('مواد المخزون'!$A$2:$A$86,$C324)&gt;0,"نعم","لا (خارج الجرد)"))</f>
        <v/>
      </c>
    </row>
    <row r="325" customFormat="false" ht="15" hidden="false" customHeight="false" outlineLevel="0" collapsed="false">
      <c r="A325" s="102"/>
      <c r="B325" s="104"/>
      <c r="C325" s="104"/>
      <c r="F325" s="103" t="str">
        <f aca="false">IF(OR($C325="",$D325=0),"",$E325/$D325)</f>
        <v/>
      </c>
      <c r="H325" s="0" t="str">
        <f aca="false">IF($C325="","",IF(COUNTIF('مواد المخزون'!$A$2:$A$86,$C325)&gt;0,"نعم","لا (خارج الجرد)"))</f>
        <v/>
      </c>
    </row>
    <row r="326" customFormat="false" ht="15" hidden="false" customHeight="false" outlineLevel="0" collapsed="false">
      <c r="A326" s="102"/>
      <c r="B326" s="104"/>
      <c r="C326" s="104"/>
      <c r="F326" s="103" t="str">
        <f aca="false">IF(OR($C326="",$D326=0),"",$E326/$D326)</f>
        <v/>
      </c>
      <c r="H326" s="0" t="str">
        <f aca="false">IF($C326="","",IF(COUNTIF('مواد المخزون'!$A$2:$A$86,$C326)&gt;0,"نعم","لا (خارج الجرد)"))</f>
        <v/>
      </c>
    </row>
    <row r="327" customFormat="false" ht="15" hidden="false" customHeight="false" outlineLevel="0" collapsed="false">
      <c r="A327" s="102"/>
      <c r="B327" s="104"/>
      <c r="C327" s="104"/>
      <c r="F327" s="103" t="str">
        <f aca="false">IF(OR($C327="",$D327=0),"",$E327/$D327)</f>
        <v/>
      </c>
      <c r="H327" s="0" t="str">
        <f aca="false">IF($C327="","",IF(COUNTIF('مواد المخزون'!$A$2:$A$86,$C327)&gt;0,"نعم","لا (خارج الجرد)"))</f>
        <v/>
      </c>
    </row>
    <row r="328" customFormat="false" ht="15" hidden="false" customHeight="false" outlineLevel="0" collapsed="false">
      <c r="A328" s="102"/>
      <c r="B328" s="104"/>
      <c r="C328" s="104"/>
      <c r="F328" s="103" t="str">
        <f aca="false">IF(OR($C328="",$D328=0),"",$E328/$D328)</f>
        <v/>
      </c>
      <c r="H328" s="0" t="str">
        <f aca="false">IF($C328="","",IF(COUNTIF('مواد المخزون'!$A$2:$A$86,$C328)&gt;0,"نعم","لا (خارج الجرد)"))</f>
        <v/>
      </c>
    </row>
    <row r="329" customFormat="false" ht="15" hidden="false" customHeight="false" outlineLevel="0" collapsed="false">
      <c r="A329" s="102"/>
      <c r="B329" s="104"/>
      <c r="C329" s="104"/>
      <c r="F329" s="103" t="str">
        <f aca="false">IF(OR($C329="",$D329=0),"",$E329/$D329)</f>
        <v/>
      </c>
      <c r="H329" s="0" t="str">
        <f aca="false">IF($C329="","",IF(COUNTIF('مواد المخزون'!$A$2:$A$86,$C329)&gt;0,"نعم","لا (خارج الجرد)"))</f>
        <v/>
      </c>
    </row>
    <row r="330" customFormat="false" ht="15" hidden="false" customHeight="false" outlineLevel="0" collapsed="false">
      <c r="A330" s="102"/>
      <c r="B330" s="104"/>
      <c r="C330" s="104"/>
      <c r="F330" s="103" t="str">
        <f aca="false">IF(OR($C330="",$D330=0),"",$E330/$D330)</f>
        <v/>
      </c>
      <c r="H330" s="0" t="str">
        <f aca="false">IF($C330="","",IF(COUNTIF('مواد المخزون'!$A$2:$A$86,$C330)&gt;0,"نعم","لا (خارج الجرد)"))</f>
        <v/>
      </c>
    </row>
    <row r="331" customFormat="false" ht="15" hidden="false" customHeight="false" outlineLevel="0" collapsed="false">
      <c r="A331" s="102"/>
      <c r="B331" s="104"/>
      <c r="C331" s="104"/>
      <c r="F331" s="103" t="str">
        <f aca="false">IF(OR($C331="",$D331=0),"",$E331/$D331)</f>
        <v/>
      </c>
      <c r="H331" s="0" t="str">
        <f aca="false">IF($C331="","",IF(COUNTIF('مواد المخزون'!$A$2:$A$86,$C331)&gt;0,"نعم","لا (خارج الجرد)"))</f>
        <v/>
      </c>
    </row>
    <row r="332" customFormat="false" ht="15" hidden="false" customHeight="false" outlineLevel="0" collapsed="false">
      <c r="A332" s="102"/>
      <c r="B332" s="104"/>
      <c r="C332" s="104"/>
      <c r="F332" s="103" t="str">
        <f aca="false">IF(OR($C332="",$D332=0),"",$E332/$D332)</f>
        <v/>
      </c>
      <c r="H332" s="0" t="str">
        <f aca="false">IF($C332="","",IF(COUNTIF('مواد المخزون'!$A$2:$A$86,$C332)&gt;0,"نعم","لا (خارج الجرد)"))</f>
        <v/>
      </c>
    </row>
    <row r="333" customFormat="false" ht="15" hidden="false" customHeight="false" outlineLevel="0" collapsed="false">
      <c r="A333" s="102"/>
      <c r="B333" s="104"/>
      <c r="C333" s="104"/>
      <c r="F333" s="103" t="str">
        <f aca="false">IF(OR($C333="",$D333=0),"",$E333/$D333)</f>
        <v/>
      </c>
      <c r="H333" s="0" t="str">
        <f aca="false">IF($C333="","",IF(COUNTIF('مواد المخزون'!$A$2:$A$86,$C333)&gt;0,"نعم","لا (خارج الجرد)"))</f>
        <v/>
      </c>
    </row>
    <row r="334" customFormat="false" ht="15" hidden="false" customHeight="false" outlineLevel="0" collapsed="false">
      <c r="A334" s="102"/>
      <c r="B334" s="104"/>
      <c r="C334" s="104"/>
      <c r="F334" s="103" t="str">
        <f aca="false">IF(OR($C334="",$D334=0),"",$E334/$D334)</f>
        <v/>
      </c>
      <c r="H334" s="0" t="str">
        <f aca="false">IF($C334="","",IF(COUNTIF('مواد المخزون'!$A$2:$A$86,$C334)&gt;0,"نعم","لا (خارج الجرد)"))</f>
        <v/>
      </c>
    </row>
    <row r="335" customFormat="false" ht="15" hidden="false" customHeight="false" outlineLevel="0" collapsed="false">
      <c r="A335" s="102"/>
      <c r="B335" s="104"/>
      <c r="C335" s="104"/>
      <c r="F335" s="103" t="str">
        <f aca="false">IF(OR($C335="",$D335=0),"",$E335/$D335)</f>
        <v/>
      </c>
      <c r="H335" s="0" t="str">
        <f aca="false">IF($C335="","",IF(COUNTIF('مواد المخزون'!$A$2:$A$86,$C335)&gt;0,"نعم","لا (خارج الجرد)"))</f>
        <v/>
      </c>
    </row>
    <row r="336" customFormat="false" ht="15" hidden="false" customHeight="false" outlineLevel="0" collapsed="false">
      <c r="A336" s="102"/>
      <c r="B336" s="104"/>
      <c r="C336" s="104"/>
      <c r="F336" s="103" t="str">
        <f aca="false">IF(OR($C336="",$D336=0),"",$E336/$D336)</f>
        <v/>
      </c>
      <c r="H336" s="0" t="str">
        <f aca="false">IF($C336="","",IF(COUNTIF('مواد المخزون'!$A$2:$A$86,$C336)&gt;0,"نعم","لا (خارج الجرد)"))</f>
        <v/>
      </c>
    </row>
    <row r="337" customFormat="false" ht="15" hidden="false" customHeight="false" outlineLevel="0" collapsed="false">
      <c r="A337" s="102"/>
      <c r="B337" s="104"/>
      <c r="C337" s="104"/>
      <c r="F337" s="103" t="str">
        <f aca="false">IF(OR($C337="",$D337=0),"",$E337/$D337)</f>
        <v/>
      </c>
      <c r="H337" s="0" t="str">
        <f aca="false">IF($C337="","",IF(COUNTIF('مواد المخزون'!$A$2:$A$86,$C337)&gt;0,"نعم","لا (خارج الجرد)"))</f>
        <v/>
      </c>
    </row>
    <row r="338" customFormat="false" ht="15" hidden="false" customHeight="false" outlineLevel="0" collapsed="false">
      <c r="A338" s="102"/>
      <c r="B338" s="104"/>
      <c r="C338" s="104"/>
      <c r="F338" s="103" t="str">
        <f aca="false">IF(OR($C338="",$D338=0),"",$E338/$D338)</f>
        <v/>
      </c>
      <c r="H338" s="0" t="str">
        <f aca="false">IF($C338="","",IF(COUNTIF('مواد المخزون'!$A$2:$A$86,$C338)&gt;0,"نعم","لا (خارج الجرد)"))</f>
        <v/>
      </c>
    </row>
    <row r="339" customFormat="false" ht="15" hidden="false" customHeight="false" outlineLevel="0" collapsed="false">
      <c r="A339" s="102"/>
      <c r="B339" s="104"/>
      <c r="C339" s="104"/>
      <c r="F339" s="103" t="str">
        <f aca="false">IF(OR($C339="",$D339=0),"",$E339/$D339)</f>
        <v/>
      </c>
      <c r="H339" s="0" t="str">
        <f aca="false">IF($C339="","",IF(COUNTIF('مواد المخزون'!$A$2:$A$86,$C339)&gt;0,"نعم","لا (خارج الجرد)"))</f>
        <v/>
      </c>
    </row>
    <row r="340" customFormat="false" ht="15" hidden="false" customHeight="false" outlineLevel="0" collapsed="false">
      <c r="A340" s="102"/>
      <c r="B340" s="104"/>
      <c r="C340" s="104"/>
      <c r="F340" s="103" t="str">
        <f aca="false">IF(OR($C340="",$D340=0),"",$E340/$D340)</f>
        <v/>
      </c>
      <c r="H340" s="0" t="str">
        <f aca="false">IF($C340="","",IF(COUNTIF('مواد المخزون'!$A$2:$A$86,$C340)&gt;0,"نعم","لا (خارج الجرد)"))</f>
        <v/>
      </c>
    </row>
    <row r="341" customFormat="false" ht="15" hidden="false" customHeight="false" outlineLevel="0" collapsed="false">
      <c r="A341" s="102"/>
      <c r="B341" s="104"/>
      <c r="C341" s="104"/>
      <c r="F341" s="103" t="str">
        <f aca="false">IF(OR($C341="",$D341=0),"",$E341/$D341)</f>
        <v/>
      </c>
      <c r="H341" s="0" t="str">
        <f aca="false">IF($C341="","",IF(COUNTIF('مواد المخزون'!$A$2:$A$86,$C341)&gt;0,"نعم","لا (خارج الجرد)"))</f>
        <v/>
      </c>
    </row>
    <row r="342" customFormat="false" ht="15" hidden="false" customHeight="false" outlineLevel="0" collapsed="false">
      <c r="A342" s="102"/>
      <c r="B342" s="104"/>
      <c r="C342" s="104"/>
      <c r="F342" s="103" t="str">
        <f aca="false">IF(OR($C342="",$D342=0),"",$E342/$D342)</f>
        <v/>
      </c>
      <c r="H342" s="0" t="str">
        <f aca="false">IF($C342="","",IF(COUNTIF('مواد المخزون'!$A$2:$A$86,$C342)&gt;0,"نعم","لا (خارج الجرد)"))</f>
        <v/>
      </c>
    </row>
    <row r="343" customFormat="false" ht="15" hidden="false" customHeight="false" outlineLevel="0" collapsed="false">
      <c r="A343" s="102"/>
      <c r="B343" s="104"/>
      <c r="C343" s="104"/>
      <c r="F343" s="103" t="str">
        <f aca="false">IF(OR($C343="",$D343=0),"",$E343/$D343)</f>
        <v/>
      </c>
      <c r="H343" s="0" t="str">
        <f aca="false">IF($C343="","",IF(COUNTIF('مواد المخزون'!$A$2:$A$86,$C343)&gt;0,"نعم","لا (خارج الجرد)"))</f>
        <v/>
      </c>
    </row>
    <row r="344" customFormat="false" ht="15" hidden="false" customHeight="false" outlineLevel="0" collapsed="false">
      <c r="A344" s="102"/>
      <c r="B344" s="104"/>
      <c r="C344" s="104"/>
      <c r="F344" s="103" t="str">
        <f aca="false">IF(OR($C344="",$D344=0),"",$E344/$D344)</f>
        <v/>
      </c>
      <c r="H344" s="0" t="str">
        <f aca="false">IF($C344="","",IF(COUNTIF('مواد المخزون'!$A$2:$A$86,$C344)&gt;0,"نعم","لا (خارج الجرد)"))</f>
        <v/>
      </c>
    </row>
    <row r="345" customFormat="false" ht="15" hidden="false" customHeight="false" outlineLevel="0" collapsed="false">
      <c r="A345" s="102"/>
      <c r="B345" s="104"/>
      <c r="C345" s="104"/>
      <c r="F345" s="103" t="str">
        <f aca="false">IF(OR($C345="",$D345=0),"",$E345/$D345)</f>
        <v/>
      </c>
      <c r="H345" s="0" t="str">
        <f aca="false">IF($C345="","",IF(COUNTIF('مواد المخزون'!$A$2:$A$86,$C345)&gt;0,"نعم","لا (خارج الجرد)"))</f>
        <v/>
      </c>
    </row>
    <row r="346" customFormat="false" ht="15" hidden="false" customHeight="false" outlineLevel="0" collapsed="false">
      <c r="A346" s="102"/>
      <c r="B346" s="104"/>
      <c r="C346" s="104"/>
      <c r="F346" s="103" t="str">
        <f aca="false">IF(OR($C346="",$D346=0),"",$E346/$D346)</f>
        <v/>
      </c>
      <c r="H346" s="0" t="str">
        <f aca="false">IF($C346="","",IF(COUNTIF('مواد المخزون'!$A$2:$A$86,$C346)&gt;0,"نعم","لا (خارج الجرد)"))</f>
        <v/>
      </c>
    </row>
    <row r="347" customFormat="false" ht="15" hidden="false" customHeight="false" outlineLevel="0" collapsed="false">
      <c r="A347" s="102"/>
      <c r="B347" s="104"/>
      <c r="C347" s="104"/>
      <c r="F347" s="103" t="str">
        <f aca="false">IF(OR($C347="",$D347=0),"",$E347/$D347)</f>
        <v/>
      </c>
      <c r="H347" s="0" t="str">
        <f aca="false">IF($C347="","",IF(COUNTIF('مواد المخزون'!$A$2:$A$86,$C347)&gt;0,"نعم","لا (خارج الجرد)"))</f>
        <v/>
      </c>
    </row>
    <row r="348" customFormat="false" ht="15" hidden="false" customHeight="false" outlineLevel="0" collapsed="false">
      <c r="A348" s="102"/>
      <c r="B348" s="104"/>
      <c r="C348" s="104"/>
      <c r="F348" s="103" t="str">
        <f aca="false">IF(OR($C348="",$D348=0),"",$E348/$D348)</f>
        <v/>
      </c>
      <c r="H348" s="0" t="str">
        <f aca="false">IF($C348="","",IF(COUNTIF('مواد المخزون'!$A$2:$A$86,$C348)&gt;0,"نعم","لا (خارج الجرد)"))</f>
        <v/>
      </c>
    </row>
    <row r="349" customFormat="false" ht="15" hidden="false" customHeight="false" outlineLevel="0" collapsed="false">
      <c r="A349" s="102"/>
      <c r="B349" s="104"/>
      <c r="C349" s="104"/>
      <c r="F349" s="103" t="str">
        <f aca="false">IF(OR($C349="",$D349=0),"",$E349/$D349)</f>
        <v/>
      </c>
      <c r="H349" s="0" t="str">
        <f aca="false">IF($C349="","",IF(COUNTIF('مواد المخزون'!$A$2:$A$86,$C349)&gt;0,"نعم","لا (خارج الجرد)"))</f>
        <v/>
      </c>
    </row>
    <row r="350" customFormat="false" ht="15" hidden="false" customHeight="false" outlineLevel="0" collapsed="false">
      <c r="A350" s="102"/>
      <c r="B350" s="104"/>
      <c r="C350" s="104"/>
      <c r="F350" s="103" t="str">
        <f aca="false">IF(OR($C350="",$D350=0),"",$E350/$D350)</f>
        <v/>
      </c>
      <c r="H350" s="0" t="str">
        <f aca="false">IF($C350="","",IF(COUNTIF('مواد المخزون'!$A$2:$A$86,$C350)&gt;0,"نعم","لا (خارج الجرد)"))</f>
        <v/>
      </c>
    </row>
    <row r="351" customFormat="false" ht="15" hidden="false" customHeight="false" outlineLevel="0" collapsed="false">
      <c r="A351" s="102"/>
      <c r="B351" s="104"/>
      <c r="C351" s="104"/>
      <c r="F351" s="103" t="str">
        <f aca="false">IF(OR($C351="",$D351=0),"",$E351/$D351)</f>
        <v/>
      </c>
      <c r="H351" s="0" t="str">
        <f aca="false">IF($C351="","",IF(COUNTIF('مواد المخزون'!$A$2:$A$86,$C351)&gt;0,"نعم","لا (خارج الجرد)"))</f>
        <v/>
      </c>
    </row>
    <row r="352" customFormat="false" ht="15" hidden="false" customHeight="false" outlineLevel="0" collapsed="false">
      <c r="A352" s="102"/>
      <c r="B352" s="104"/>
      <c r="C352" s="104"/>
      <c r="F352" s="103" t="str">
        <f aca="false">IF(OR($C352="",$D352=0),"",$E352/$D352)</f>
        <v/>
      </c>
      <c r="H352" s="0" t="str">
        <f aca="false">IF($C352="","",IF(COUNTIF('مواد المخزون'!$A$2:$A$86,$C352)&gt;0,"نعم","لا (خارج الجرد)"))</f>
        <v/>
      </c>
    </row>
    <row r="353" customFormat="false" ht="15" hidden="false" customHeight="false" outlineLevel="0" collapsed="false">
      <c r="A353" s="102"/>
      <c r="B353" s="104"/>
      <c r="C353" s="104"/>
      <c r="F353" s="103" t="str">
        <f aca="false">IF(OR($C353="",$D353=0),"",$E353/$D353)</f>
        <v/>
      </c>
      <c r="H353" s="0" t="str">
        <f aca="false">IF($C353="","",IF(COUNTIF('مواد المخزون'!$A$2:$A$86,$C353)&gt;0,"نعم","لا (خارج الجرد)"))</f>
        <v/>
      </c>
    </row>
    <row r="354" customFormat="false" ht="15" hidden="false" customHeight="false" outlineLevel="0" collapsed="false">
      <c r="A354" s="102"/>
      <c r="B354" s="104"/>
      <c r="C354" s="104"/>
      <c r="F354" s="103" t="str">
        <f aca="false">IF(OR($C354="",$D354=0),"",$E354/$D354)</f>
        <v/>
      </c>
      <c r="H354" s="0" t="str">
        <f aca="false">IF($C354="","",IF(COUNTIF('مواد المخزون'!$A$2:$A$86,$C354)&gt;0,"نعم","لا (خارج الجرد)"))</f>
        <v/>
      </c>
    </row>
    <row r="355" customFormat="false" ht="15" hidden="false" customHeight="false" outlineLevel="0" collapsed="false">
      <c r="A355" s="102"/>
      <c r="B355" s="104"/>
      <c r="C355" s="104"/>
      <c r="F355" s="103" t="str">
        <f aca="false">IF(OR($C355="",$D355=0),"",$E355/$D355)</f>
        <v/>
      </c>
      <c r="H355" s="0" t="str">
        <f aca="false">IF($C355="","",IF(COUNTIF('مواد المخزون'!$A$2:$A$86,$C355)&gt;0,"نعم","لا (خارج الجرد)"))</f>
        <v/>
      </c>
    </row>
    <row r="356" customFormat="false" ht="15" hidden="false" customHeight="false" outlineLevel="0" collapsed="false">
      <c r="A356" s="102"/>
      <c r="B356" s="104"/>
      <c r="C356" s="104"/>
      <c r="F356" s="103" t="str">
        <f aca="false">IF(OR($C356="",$D356=0),"",$E356/$D356)</f>
        <v/>
      </c>
      <c r="H356" s="0" t="str">
        <f aca="false">IF($C356="","",IF(COUNTIF('مواد المخزون'!$A$2:$A$86,$C356)&gt;0,"نعم","لا (خارج الجرد)"))</f>
        <v/>
      </c>
    </row>
    <row r="357" customFormat="false" ht="15" hidden="false" customHeight="false" outlineLevel="0" collapsed="false">
      <c r="A357" s="102"/>
      <c r="B357" s="104"/>
      <c r="C357" s="104"/>
      <c r="F357" s="103" t="str">
        <f aca="false">IF(OR($C357="",$D357=0),"",$E357/$D357)</f>
        <v/>
      </c>
      <c r="H357" s="0" t="str">
        <f aca="false">IF($C357="","",IF(COUNTIF('مواد المخزون'!$A$2:$A$86,$C357)&gt;0,"نعم","لا (خارج الجرد)"))</f>
        <v/>
      </c>
    </row>
    <row r="358" customFormat="false" ht="15" hidden="false" customHeight="false" outlineLevel="0" collapsed="false">
      <c r="A358" s="102"/>
      <c r="B358" s="104"/>
      <c r="C358" s="104"/>
      <c r="F358" s="103" t="str">
        <f aca="false">IF(OR($C358="",$D358=0),"",$E358/$D358)</f>
        <v/>
      </c>
      <c r="H358" s="0" t="str">
        <f aca="false">IF($C358="","",IF(COUNTIF('مواد المخزون'!$A$2:$A$86,$C358)&gt;0,"نعم","لا (خارج الجرد)"))</f>
        <v/>
      </c>
    </row>
    <row r="359" customFormat="false" ht="15" hidden="false" customHeight="false" outlineLevel="0" collapsed="false">
      <c r="A359" s="102"/>
      <c r="B359" s="104"/>
      <c r="C359" s="104"/>
      <c r="F359" s="103" t="str">
        <f aca="false">IF(OR($C359="",$D359=0),"",$E359/$D359)</f>
        <v/>
      </c>
      <c r="H359" s="0" t="str">
        <f aca="false">IF($C359="","",IF(COUNTIF('مواد المخزون'!$A$2:$A$86,$C359)&gt;0,"نعم","لا (خارج الجرد)"))</f>
        <v/>
      </c>
    </row>
    <row r="360" customFormat="false" ht="15" hidden="false" customHeight="false" outlineLevel="0" collapsed="false">
      <c r="A360" s="102"/>
      <c r="B360" s="104"/>
      <c r="C360" s="104"/>
      <c r="F360" s="103" t="str">
        <f aca="false">IF(OR($C360="",$D360=0),"",$E360/$D360)</f>
        <v/>
      </c>
      <c r="H360" s="0" t="str">
        <f aca="false">IF($C360="","",IF(COUNTIF('مواد المخزون'!$A$2:$A$86,$C360)&gt;0,"نعم","لا (خارج الجرد)"))</f>
        <v/>
      </c>
    </row>
    <row r="361" customFormat="false" ht="15" hidden="false" customHeight="false" outlineLevel="0" collapsed="false">
      <c r="A361" s="102"/>
      <c r="B361" s="104"/>
      <c r="C361" s="104"/>
      <c r="F361" s="103" t="str">
        <f aca="false">IF(OR($C361="",$D361=0),"",$E361/$D361)</f>
        <v/>
      </c>
      <c r="H361" s="0" t="str">
        <f aca="false">IF($C361="","",IF(COUNTIF('مواد المخزون'!$A$2:$A$86,$C361)&gt;0,"نعم","لا (خارج الجرد)"))</f>
        <v/>
      </c>
    </row>
    <row r="362" customFormat="false" ht="15" hidden="false" customHeight="false" outlineLevel="0" collapsed="false">
      <c r="A362" s="102"/>
      <c r="B362" s="104"/>
      <c r="C362" s="104"/>
      <c r="F362" s="103" t="str">
        <f aca="false">IF(OR($C362="",$D362=0),"",$E362/$D362)</f>
        <v/>
      </c>
      <c r="H362" s="0" t="str">
        <f aca="false">IF($C362="","",IF(COUNTIF('مواد المخزون'!$A$2:$A$86,$C362)&gt;0,"نعم","لا (خارج الجرد)"))</f>
        <v/>
      </c>
    </row>
    <row r="363" customFormat="false" ht="15" hidden="false" customHeight="false" outlineLevel="0" collapsed="false">
      <c r="A363" s="102"/>
      <c r="B363" s="104"/>
      <c r="C363" s="104"/>
      <c r="F363" s="103" t="str">
        <f aca="false">IF(OR($C363="",$D363=0),"",$E363/$D363)</f>
        <v/>
      </c>
      <c r="H363" s="0" t="str">
        <f aca="false">IF($C363="","",IF(COUNTIF('مواد المخزون'!$A$2:$A$86,$C363)&gt;0,"نعم","لا (خارج الجرد)"))</f>
        <v/>
      </c>
    </row>
    <row r="364" customFormat="false" ht="15" hidden="false" customHeight="false" outlineLevel="0" collapsed="false">
      <c r="A364" s="102"/>
      <c r="B364" s="104"/>
      <c r="C364" s="104"/>
      <c r="F364" s="103" t="str">
        <f aca="false">IF(OR($C364="",$D364=0),"",$E364/$D364)</f>
        <v/>
      </c>
      <c r="H364" s="0" t="str">
        <f aca="false">IF($C364="","",IF(COUNTIF('مواد المخزون'!$A$2:$A$86,$C364)&gt;0,"نعم","لا (خارج الجرد)"))</f>
        <v/>
      </c>
    </row>
    <row r="365" customFormat="false" ht="15" hidden="false" customHeight="false" outlineLevel="0" collapsed="false">
      <c r="A365" s="102"/>
      <c r="B365" s="104"/>
      <c r="C365" s="104"/>
      <c r="F365" s="103" t="str">
        <f aca="false">IF(OR($C365="",$D365=0),"",$E365/$D365)</f>
        <v/>
      </c>
      <c r="H365" s="0" t="str">
        <f aca="false">IF($C365="","",IF(COUNTIF('مواد المخزون'!$A$2:$A$86,$C365)&gt;0,"نعم","لا (خارج الجرد)"))</f>
        <v/>
      </c>
    </row>
    <row r="366" customFormat="false" ht="15" hidden="false" customHeight="false" outlineLevel="0" collapsed="false">
      <c r="A366" s="102"/>
      <c r="B366" s="104"/>
      <c r="C366" s="104"/>
      <c r="F366" s="103" t="str">
        <f aca="false">IF(OR($C366="",$D366=0),"",$E366/$D366)</f>
        <v/>
      </c>
      <c r="H366" s="0" t="str">
        <f aca="false">IF($C366="","",IF(COUNTIF('مواد المخزون'!$A$2:$A$86,$C366)&gt;0,"نعم","لا (خارج الجرد)"))</f>
        <v/>
      </c>
    </row>
    <row r="367" customFormat="false" ht="15" hidden="false" customHeight="false" outlineLevel="0" collapsed="false">
      <c r="A367" s="102"/>
      <c r="B367" s="104"/>
      <c r="C367" s="104"/>
      <c r="F367" s="103" t="str">
        <f aca="false">IF(OR($C367="",$D367=0),"",$E367/$D367)</f>
        <v/>
      </c>
      <c r="H367" s="0" t="str">
        <f aca="false">IF($C367="","",IF(COUNTIF('مواد المخزون'!$A$2:$A$86,$C367)&gt;0,"نعم","لا (خارج الجرد)"))</f>
        <v/>
      </c>
    </row>
    <row r="368" customFormat="false" ht="15" hidden="false" customHeight="false" outlineLevel="0" collapsed="false">
      <c r="A368" s="102"/>
      <c r="B368" s="104"/>
      <c r="C368" s="104"/>
      <c r="F368" s="103" t="str">
        <f aca="false">IF(OR($C368="",$D368=0),"",$E368/$D368)</f>
        <v/>
      </c>
      <c r="H368" s="0" t="str">
        <f aca="false">IF($C368="","",IF(COUNTIF('مواد المخزون'!$A$2:$A$86,$C368)&gt;0,"نعم","لا (خارج الجرد)"))</f>
        <v/>
      </c>
    </row>
    <row r="369" customFormat="false" ht="15" hidden="false" customHeight="false" outlineLevel="0" collapsed="false">
      <c r="A369" s="102"/>
      <c r="B369" s="104"/>
      <c r="C369" s="104"/>
      <c r="F369" s="103" t="str">
        <f aca="false">IF(OR($C369="",$D369=0),"",$E369/$D369)</f>
        <v/>
      </c>
      <c r="H369" s="0" t="str">
        <f aca="false">IF($C369="","",IF(COUNTIF('مواد المخزون'!$A$2:$A$86,$C369)&gt;0,"نعم","لا (خارج الجرد)"))</f>
        <v/>
      </c>
    </row>
    <row r="370" customFormat="false" ht="15" hidden="false" customHeight="false" outlineLevel="0" collapsed="false">
      <c r="A370" s="102"/>
      <c r="B370" s="104"/>
      <c r="C370" s="104"/>
      <c r="F370" s="103" t="str">
        <f aca="false">IF(OR($C370="",$D370=0),"",$E370/$D370)</f>
        <v/>
      </c>
      <c r="H370" s="0" t="str">
        <f aca="false">IF($C370="","",IF(COUNTIF('مواد المخزون'!$A$2:$A$86,$C370)&gt;0,"نعم","لا (خارج الجرد)"))</f>
        <v/>
      </c>
    </row>
    <row r="371" customFormat="false" ht="15" hidden="false" customHeight="false" outlineLevel="0" collapsed="false">
      <c r="A371" s="102"/>
      <c r="B371" s="104"/>
      <c r="C371" s="104"/>
      <c r="F371" s="103" t="str">
        <f aca="false">IF(OR($C371="",$D371=0),"",$E371/$D371)</f>
        <v/>
      </c>
      <c r="H371" s="0" t="str">
        <f aca="false">IF($C371="","",IF(COUNTIF('مواد المخزون'!$A$2:$A$86,$C371)&gt;0,"نعم","لا (خارج الجرد)"))</f>
        <v/>
      </c>
    </row>
    <row r="372" customFormat="false" ht="15" hidden="false" customHeight="false" outlineLevel="0" collapsed="false">
      <c r="A372" s="102"/>
      <c r="B372" s="104"/>
      <c r="C372" s="104"/>
      <c r="F372" s="103" t="str">
        <f aca="false">IF(OR($C372="",$D372=0),"",$E372/$D372)</f>
        <v/>
      </c>
      <c r="H372" s="0" t="str">
        <f aca="false">IF($C372="","",IF(COUNTIF('مواد المخزون'!$A$2:$A$86,$C372)&gt;0,"نعم","لا (خارج الجرد)"))</f>
        <v/>
      </c>
    </row>
    <row r="373" customFormat="false" ht="15" hidden="false" customHeight="false" outlineLevel="0" collapsed="false">
      <c r="A373" s="102"/>
      <c r="B373" s="104"/>
      <c r="C373" s="104"/>
      <c r="F373" s="103" t="str">
        <f aca="false">IF(OR($C373="",$D373=0),"",$E373/$D373)</f>
        <v/>
      </c>
      <c r="H373" s="0" t="str">
        <f aca="false">IF($C373="","",IF(COUNTIF('مواد المخزون'!$A$2:$A$86,$C373)&gt;0,"نعم","لا (خارج الجرد)"))</f>
        <v/>
      </c>
    </row>
    <row r="374" customFormat="false" ht="15" hidden="false" customHeight="false" outlineLevel="0" collapsed="false">
      <c r="A374" s="102"/>
      <c r="B374" s="104"/>
      <c r="C374" s="104"/>
      <c r="F374" s="103" t="str">
        <f aca="false">IF(OR($C374="",$D374=0),"",$E374/$D374)</f>
        <v/>
      </c>
      <c r="H374" s="0" t="str">
        <f aca="false">IF($C374="","",IF(COUNTIF('مواد المخزون'!$A$2:$A$86,$C374)&gt;0,"نعم","لا (خارج الجرد)"))</f>
        <v/>
      </c>
    </row>
    <row r="375" customFormat="false" ht="15" hidden="false" customHeight="false" outlineLevel="0" collapsed="false">
      <c r="A375" s="102"/>
      <c r="B375" s="104"/>
      <c r="C375" s="104"/>
      <c r="F375" s="103" t="str">
        <f aca="false">IF(OR($C375="",$D375=0),"",$E375/$D375)</f>
        <v/>
      </c>
      <c r="H375" s="0" t="str">
        <f aca="false">IF($C375="","",IF(COUNTIF('مواد المخزون'!$A$2:$A$86,$C375)&gt;0,"نعم","لا (خارج الجرد)"))</f>
        <v/>
      </c>
    </row>
    <row r="376" customFormat="false" ht="15" hidden="false" customHeight="false" outlineLevel="0" collapsed="false">
      <c r="A376" s="102"/>
      <c r="B376" s="104"/>
      <c r="C376" s="104"/>
      <c r="F376" s="103" t="str">
        <f aca="false">IF(OR($C376="",$D376=0),"",$E376/$D376)</f>
        <v/>
      </c>
      <c r="H376" s="0" t="str">
        <f aca="false">IF($C376="","",IF(COUNTIF('مواد المخزون'!$A$2:$A$86,$C376)&gt;0,"نعم","لا (خارج الجرد)"))</f>
        <v/>
      </c>
    </row>
    <row r="377" customFormat="false" ht="15" hidden="false" customHeight="false" outlineLevel="0" collapsed="false">
      <c r="A377" s="102"/>
      <c r="B377" s="104"/>
      <c r="C377" s="104"/>
      <c r="F377" s="103" t="str">
        <f aca="false">IF(OR($C377="",$D377=0),"",$E377/$D377)</f>
        <v/>
      </c>
      <c r="H377" s="0" t="str">
        <f aca="false">IF($C377="","",IF(COUNTIF('مواد المخزون'!$A$2:$A$86,$C377)&gt;0,"نعم","لا (خارج الجرد)"))</f>
        <v/>
      </c>
    </row>
    <row r="378" customFormat="false" ht="15" hidden="false" customHeight="false" outlineLevel="0" collapsed="false">
      <c r="A378" s="102"/>
      <c r="B378" s="104"/>
      <c r="C378" s="104"/>
      <c r="F378" s="103" t="str">
        <f aca="false">IF(OR($C378="",$D378=0),"",$E378/$D378)</f>
        <v/>
      </c>
      <c r="H378" s="0" t="str">
        <f aca="false">IF($C378="","",IF(COUNTIF('مواد المخزون'!$A$2:$A$86,$C378)&gt;0,"نعم","لا (خارج الجرد)"))</f>
        <v/>
      </c>
    </row>
    <row r="379" customFormat="false" ht="15" hidden="false" customHeight="false" outlineLevel="0" collapsed="false">
      <c r="A379" s="102"/>
      <c r="B379" s="104"/>
      <c r="C379" s="104"/>
      <c r="F379" s="103" t="str">
        <f aca="false">IF(OR($C379="",$D379=0),"",$E379/$D379)</f>
        <v/>
      </c>
      <c r="H379" s="0" t="str">
        <f aca="false">IF($C379="","",IF(COUNTIF('مواد المخزون'!$A$2:$A$86,$C379)&gt;0,"نعم","لا (خارج الجرد)"))</f>
        <v/>
      </c>
    </row>
    <row r="380" customFormat="false" ht="15" hidden="false" customHeight="false" outlineLevel="0" collapsed="false">
      <c r="A380" s="102"/>
      <c r="B380" s="104"/>
      <c r="C380" s="104"/>
      <c r="F380" s="103" t="str">
        <f aca="false">IF(OR($C380="",$D380=0),"",$E380/$D380)</f>
        <v/>
      </c>
      <c r="H380" s="0" t="str">
        <f aca="false">IF($C380="","",IF(COUNTIF('مواد المخزون'!$A$2:$A$86,$C380)&gt;0,"نعم","لا (خارج الجرد)"))</f>
        <v/>
      </c>
    </row>
    <row r="381" customFormat="false" ht="15" hidden="false" customHeight="false" outlineLevel="0" collapsed="false">
      <c r="A381" s="102"/>
      <c r="B381" s="104"/>
      <c r="C381" s="104"/>
      <c r="F381" s="103" t="str">
        <f aca="false">IF(OR($C381="",$D381=0),"",$E381/$D381)</f>
        <v/>
      </c>
      <c r="H381" s="0" t="str">
        <f aca="false">IF($C381="","",IF(COUNTIF('مواد المخزون'!$A$2:$A$86,$C381)&gt;0,"نعم","لا (خارج الجرد)"))</f>
        <v/>
      </c>
    </row>
    <row r="382" customFormat="false" ht="15" hidden="false" customHeight="false" outlineLevel="0" collapsed="false">
      <c r="A382" s="102"/>
      <c r="B382" s="104"/>
      <c r="C382" s="104"/>
      <c r="F382" s="103" t="str">
        <f aca="false">IF(OR($C382="",$D382=0),"",$E382/$D382)</f>
        <v/>
      </c>
      <c r="H382" s="0" t="str">
        <f aca="false">IF($C382="","",IF(COUNTIF('مواد المخزون'!$A$2:$A$86,$C382)&gt;0,"نعم","لا (خارج الجرد)"))</f>
        <v/>
      </c>
    </row>
    <row r="383" customFormat="false" ht="15" hidden="false" customHeight="false" outlineLevel="0" collapsed="false">
      <c r="A383" s="102"/>
      <c r="B383" s="104"/>
      <c r="C383" s="104"/>
      <c r="F383" s="103" t="str">
        <f aca="false">IF(OR($C383="",$D383=0),"",$E383/$D383)</f>
        <v/>
      </c>
      <c r="H383" s="0" t="str">
        <f aca="false">IF($C383="","",IF(COUNTIF('مواد المخزون'!$A$2:$A$86,$C383)&gt;0,"نعم","لا (خارج الجرد)"))</f>
        <v/>
      </c>
    </row>
    <row r="384" customFormat="false" ht="15" hidden="false" customHeight="false" outlineLevel="0" collapsed="false">
      <c r="A384" s="102"/>
      <c r="B384" s="104"/>
      <c r="C384" s="104"/>
      <c r="F384" s="103" t="str">
        <f aca="false">IF(OR($C384="",$D384=0),"",$E384/$D384)</f>
        <v/>
      </c>
      <c r="H384" s="0" t="str">
        <f aca="false">IF($C384="","",IF(COUNTIF('مواد المخزون'!$A$2:$A$86,$C384)&gt;0,"نعم","لا (خارج الجرد)"))</f>
        <v/>
      </c>
    </row>
    <row r="385" customFormat="false" ht="15" hidden="false" customHeight="false" outlineLevel="0" collapsed="false">
      <c r="A385" s="102"/>
      <c r="B385" s="104"/>
      <c r="C385" s="104"/>
      <c r="F385" s="103" t="str">
        <f aca="false">IF(OR($C385="",$D385=0),"",$E385/$D385)</f>
        <v/>
      </c>
      <c r="H385" s="0" t="str">
        <f aca="false">IF($C385="","",IF(COUNTIF('مواد المخزون'!$A$2:$A$86,$C385)&gt;0,"نعم","لا (خارج الجرد)"))</f>
        <v/>
      </c>
    </row>
    <row r="386" customFormat="false" ht="15" hidden="false" customHeight="false" outlineLevel="0" collapsed="false">
      <c r="A386" s="102"/>
      <c r="B386" s="104"/>
      <c r="C386" s="104"/>
      <c r="F386" s="103" t="str">
        <f aca="false">IF(OR($C386="",$D386=0),"",$E386/$D386)</f>
        <v/>
      </c>
      <c r="H386" s="0" t="str">
        <f aca="false">IF($C386="","",IF(COUNTIF('مواد المخزون'!$A$2:$A$86,$C386)&gt;0,"نعم","لا (خارج الجرد)"))</f>
        <v/>
      </c>
    </row>
    <row r="387" customFormat="false" ht="15" hidden="false" customHeight="false" outlineLevel="0" collapsed="false">
      <c r="A387" s="102"/>
      <c r="B387" s="104"/>
      <c r="C387" s="104"/>
      <c r="F387" s="103" t="str">
        <f aca="false">IF(OR($C387="",$D387=0),"",$E387/$D387)</f>
        <v/>
      </c>
      <c r="H387" s="0" t="str">
        <f aca="false">IF($C387="","",IF(COUNTIF('مواد المخزون'!$A$2:$A$86,$C387)&gt;0,"نعم","لا (خارج الجرد)"))</f>
        <v/>
      </c>
    </row>
    <row r="388" customFormat="false" ht="15" hidden="false" customHeight="false" outlineLevel="0" collapsed="false">
      <c r="A388" s="102"/>
      <c r="B388" s="104"/>
      <c r="C388" s="104"/>
      <c r="F388" s="103" t="str">
        <f aca="false">IF(OR($C388="",$D388=0),"",$E388/$D388)</f>
        <v/>
      </c>
      <c r="H388" s="0" t="str">
        <f aca="false">IF($C388="","",IF(COUNTIF('مواد المخزون'!$A$2:$A$86,$C388)&gt;0,"نعم","لا (خارج الجرد)"))</f>
        <v/>
      </c>
    </row>
    <row r="389" customFormat="false" ht="15" hidden="false" customHeight="false" outlineLevel="0" collapsed="false">
      <c r="A389" s="102"/>
      <c r="B389" s="104"/>
      <c r="C389" s="104"/>
      <c r="F389" s="103" t="str">
        <f aca="false">IF(OR($C389="",$D389=0),"",$E389/$D389)</f>
        <v/>
      </c>
      <c r="H389" s="0" t="str">
        <f aca="false">IF($C389="","",IF(COUNTIF('مواد المخزون'!$A$2:$A$86,$C389)&gt;0,"نعم","لا (خارج الجرد)"))</f>
        <v/>
      </c>
    </row>
    <row r="390" customFormat="false" ht="15" hidden="false" customHeight="false" outlineLevel="0" collapsed="false">
      <c r="A390" s="102"/>
      <c r="B390" s="104"/>
      <c r="C390" s="104"/>
      <c r="F390" s="103" t="str">
        <f aca="false">IF(OR($C390="",$D390=0),"",$E390/$D390)</f>
        <v/>
      </c>
      <c r="H390" s="0" t="str">
        <f aca="false">IF($C390="","",IF(COUNTIF('مواد المخزون'!$A$2:$A$86,$C390)&gt;0,"نعم","لا (خارج الجرد)"))</f>
        <v/>
      </c>
    </row>
    <row r="391" customFormat="false" ht="15" hidden="false" customHeight="false" outlineLevel="0" collapsed="false">
      <c r="A391" s="102"/>
      <c r="B391" s="104"/>
      <c r="C391" s="104"/>
      <c r="F391" s="103" t="str">
        <f aca="false">IF(OR($C391="",$D391=0),"",$E391/$D391)</f>
        <v/>
      </c>
      <c r="H391" s="0" t="str">
        <f aca="false">IF($C391="","",IF(COUNTIF('مواد المخزون'!$A$2:$A$86,$C391)&gt;0,"نعم","لا (خارج الجرد)"))</f>
        <v/>
      </c>
    </row>
    <row r="392" customFormat="false" ht="15" hidden="false" customHeight="false" outlineLevel="0" collapsed="false">
      <c r="A392" s="102"/>
      <c r="B392" s="104"/>
      <c r="C392" s="104"/>
      <c r="F392" s="103" t="str">
        <f aca="false">IF(OR($C392="",$D392=0),"",$E392/$D392)</f>
        <v/>
      </c>
      <c r="H392" s="0" t="str">
        <f aca="false">IF($C392="","",IF(COUNTIF('مواد المخزون'!$A$2:$A$86,$C392)&gt;0,"نعم","لا (خارج الجرد)"))</f>
        <v/>
      </c>
    </row>
    <row r="393" customFormat="false" ht="15" hidden="false" customHeight="false" outlineLevel="0" collapsed="false">
      <c r="A393" s="102"/>
      <c r="B393" s="104"/>
      <c r="C393" s="104"/>
      <c r="F393" s="103" t="str">
        <f aca="false">IF(OR($C393="",$D393=0),"",$E393/$D393)</f>
        <v/>
      </c>
      <c r="H393" s="0" t="str">
        <f aca="false">IF($C393="","",IF(COUNTIF('مواد المخزون'!$A$2:$A$86,$C393)&gt;0,"نعم","لا (خارج الجرد)"))</f>
        <v/>
      </c>
    </row>
    <row r="394" customFormat="false" ht="15" hidden="false" customHeight="false" outlineLevel="0" collapsed="false">
      <c r="A394" s="102"/>
      <c r="B394" s="104"/>
      <c r="C394" s="104"/>
      <c r="F394" s="103" t="str">
        <f aca="false">IF(OR($C394="",$D394=0),"",$E394/$D394)</f>
        <v/>
      </c>
      <c r="H394" s="0" t="str">
        <f aca="false">IF($C394="","",IF(COUNTIF('مواد المخزون'!$A$2:$A$86,$C394)&gt;0,"نعم","لا (خارج الجرد)"))</f>
        <v/>
      </c>
    </row>
    <row r="395" customFormat="false" ht="15" hidden="false" customHeight="false" outlineLevel="0" collapsed="false">
      <c r="A395" s="102"/>
      <c r="B395" s="104"/>
      <c r="C395" s="104"/>
      <c r="F395" s="103" t="str">
        <f aca="false">IF(OR($C395="",$D395=0),"",$E395/$D395)</f>
        <v/>
      </c>
      <c r="H395" s="0" t="str">
        <f aca="false">IF($C395="","",IF(COUNTIF('مواد المخزون'!$A$2:$A$86,$C395)&gt;0,"نعم","لا (خارج الجرد)"))</f>
        <v/>
      </c>
    </row>
    <row r="396" customFormat="false" ht="15" hidden="false" customHeight="false" outlineLevel="0" collapsed="false">
      <c r="A396" s="102"/>
      <c r="B396" s="104"/>
      <c r="C396" s="104"/>
      <c r="F396" s="103" t="str">
        <f aca="false">IF(OR($C396="",$D396=0),"",$E396/$D396)</f>
        <v/>
      </c>
      <c r="H396" s="0" t="str">
        <f aca="false">IF($C396="","",IF(COUNTIF('مواد المخزون'!$A$2:$A$86,$C396)&gt;0,"نعم","لا (خارج الجرد)"))</f>
        <v/>
      </c>
    </row>
    <row r="397" customFormat="false" ht="15" hidden="false" customHeight="false" outlineLevel="0" collapsed="false">
      <c r="A397" s="102"/>
      <c r="B397" s="104"/>
      <c r="C397" s="104"/>
      <c r="F397" s="103" t="str">
        <f aca="false">IF(OR($C397="",$D397=0),"",$E397/$D397)</f>
        <v/>
      </c>
      <c r="H397" s="0" t="str">
        <f aca="false">IF($C397="","",IF(COUNTIF('مواد المخزون'!$A$2:$A$86,$C397)&gt;0,"نعم","لا (خارج الجرد)"))</f>
        <v/>
      </c>
    </row>
    <row r="398" customFormat="false" ht="15" hidden="false" customHeight="false" outlineLevel="0" collapsed="false">
      <c r="A398" s="102"/>
      <c r="B398" s="104"/>
      <c r="C398" s="104"/>
      <c r="F398" s="103" t="str">
        <f aca="false">IF(OR($C398="",$D398=0),"",$E398/$D398)</f>
        <v/>
      </c>
      <c r="H398" s="0" t="str">
        <f aca="false">IF($C398="","",IF(COUNTIF('مواد المخزون'!$A$2:$A$86,$C398)&gt;0,"نعم","لا (خارج الجرد)"))</f>
        <v/>
      </c>
    </row>
    <row r="399" customFormat="false" ht="15" hidden="false" customHeight="false" outlineLevel="0" collapsed="false">
      <c r="A399" s="102"/>
      <c r="B399" s="104"/>
      <c r="C399" s="104"/>
      <c r="F399" s="103" t="str">
        <f aca="false">IF(OR($C399="",$D399=0),"",$E399/$D399)</f>
        <v/>
      </c>
      <c r="H399" s="0" t="str">
        <f aca="false">IF($C399="","",IF(COUNTIF('مواد المخزون'!$A$2:$A$86,$C399)&gt;0,"نعم","لا (خارج الجرد)"))</f>
        <v/>
      </c>
    </row>
    <row r="400" customFormat="false" ht="15" hidden="false" customHeight="false" outlineLevel="0" collapsed="false">
      <c r="A400" s="102"/>
      <c r="B400" s="104"/>
      <c r="C400" s="104"/>
      <c r="F400" s="103" t="str">
        <f aca="false">IF(OR($C400="",$D400=0),"",$E400/$D400)</f>
        <v/>
      </c>
      <c r="H400" s="0" t="str">
        <f aca="false">IF($C400="","",IF(COUNTIF('مواد المخزون'!$A$2:$A$86,$C400)&gt;0,"نعم","لا (خارج الجرد)"))</f>
        <v/>
      </c>
    </row>
    <row r="401" customFormat="false" ht="15" hidden="false" customHeight="false" outlineLevel="0" collapsed="false">
      <c r="A401" s="102"/>
      <c r="B401" s="104"/>
      <c r="C401" s="104"/>
      <c r="F401" s="103" t="str">
        <f aca="false">IF(OR($C401="",$D401=0),"",$E401/$D401)</f>
        <v/>
      </c>
      <c r="H401" s="0" t="str">
        <f aca="false">IF($C401="","",IF(COUNTIF('مواد المخزون'!$A$2:$A$86,$C401)&gt;0,"نعم","لا (خارج الجرد)"))</f>
        <v/>
      </c>
    </row>
    <row r="402" customFormat="false" ht="15" hidden="false" customHeight="false" outlineLevel="0" collapsed="false">
      <c r="A402" s="102"/>
      <c r="B402" s="104"/>
      <c r="C402" s="104"/>
      <c r="F402" s="103" t="str">
        <f aca="false">IF(OR($C402="",$D402=0),"",$E402/$D402)</f>
        <v/>
      </c>
      <c r="H402" s="0" t="str">
        <f aca="false">IF($C402="","",IF(COUNTIF('مواد المخزون'!$A$2:$A$86,$C402)&gt;0,"نعم","لا (خارج الجرد)"))</f>
        <v/>
      </c>
    </row>
    <row r="403" customFormat="false" ht="15" hidden="false" customHeight="false" outlineLevel="0" collapsed="false">
      <c r="A403" s="102"/>
      <c r="B403" s="104"/>
      <c r="C403" s="104"/>
      <c r="F403" s="103" t="str">
        <f aca="false">IF(OR($C403="",$D403=0),"",$E403/$D403)</f>
        <v/>
      </c>
      <c r="H403" s="0" t="str">
        <f aca="false">IF($C403="","",IF(COUNTIF('مواد المخزون'!$A$2:$A$86,$C403)&gt;0,"نعم","لا (خارج الجرد)"))</f>
        <v/>
      </c>
    </row>
    <row r="404" customFormat="false" ht="15" hidden="false" customHeight="false" outlineLevel="0" collapsed="false">
      <c r="A404" s="102"/>
      <c r="B404" s="104"/>
      <c r="C404" s="104"/>
      <c r="F404" s="103" t="str">
        <f aca="false">IF(OR($C404="",$D404=0),"",$E404/$D404)</f>
        <v/>
      </c>
      <c r="H404" s="0" t="str">
        <f aca="false">IF($C404="","",IF(COUNTIF('مواد المخزون'!$A$2:$A$86,$C404)&gt;0,"نعم","لا (خارج الجرد)"))</f>
        <v/>
      </c>
    </row>
    <row r="405" customFormat="false" ht="15" hidden="false" customHeight="false" outlineLevel="0" collapsed="false">
      <c r="A405" s="102"/>
      <c r="B405" s="104"/>
      <c r="C405" s="104"/>
      <c r="F405" s="103" t="str">
        <f aca="false">IF(OR($C405="",$D405=0),"",$E405/$D405)</f>
        <v/>
      </c>
      <c r="H405" s="0" t="str">
        <f aca="false">IF($C405="","",IF(COUNTIF('مواد المخزون'!$A$2:$A$86,$C405)&gt;0,"نعم","لا (خارج الجرد)"))</f>
        <v/>
      </c>
    </row>
    <row r="406" customFormat="false" ht="15" hidden="false" customHeight="false" outlineLevel="0" collapsed="false">
      <c r="A406" s="102"/>
      <c r="B406" s="104"/>
      <c r="C406" s="104"/>
      <c r="F406" s="103" t="str">
        <f aca="false">IF(OR($C406="",$D406=0),"",$E406/$D406)</f>
        <v/>
      </c>
      <c r="H406" s="0" t="str">
        <f aca="false">IF($C406="","",IF(COUNTIF('مواد المخزون'!$A$2:$A$86,$C406)&gt;0,"نعم","لا (خارج الجرد)"))</f>
        <v/>
      </c>
    </row>
    <row r="407" customFormat="false" ht="15" hidden="false" customHeight="false" outlineLevel="0" collapsed="false">
      <c r="A407" s="102"/>
      <c r="B407" s="104"/>
      <c r="C407" s="104"/>
      <c r="F407" s="103" t="str">
        <f aca="false">IF(OR($C407="",$D407=0),"",$E407/$D407)</f>
        <v/>
      </c>
      <c r="H407" s="0" t="str">
        <f aca="false">IF($C407="","",IF(COUNTIF('مواد المخزون'!$A$2:$A$86,$C407)&gt;0,"نعم","لا (خارج الجرد)"))</f>
        <v/>
      </c>
    </row>
    <row r="408" customFormat="false" ht="15" hidden="false" customHeight="false" outlineLevel="0" collapsed="false">
      <c r="A408" s="102"/>
      <c r="B408" s="104"/>
      <c r="C408" s="104"/>
      <c r="F408" s="103" t="str">
        <f aca="false">IF(OR($C408="",$D408=0),"",$E408/$D408)</f>
        <v/>
      </c>
      <c r="H408" s="0" t="str">
        <f aca="false">IF($C408="","",IF(COUNTIF('مواد المخزون'!$A$2:$A$86,$C408)&gt;0,"نعم","لا (خارج الجرد)"))</f>
        <v/>
      </c>
    </row>
    <row r="409" customFormat="false" ht="15" hidden="false" customHeight="false" outlineLevel="0" collapsed="false">
      <c r="A409" s="102"/>
      <c r="B409" s="104"/>
      <c r="C409" s="104"/>
      <c r="F409" s="103" t="str">
        <f aca="false">IF(OR($C409="",$D409=0),"",$E409/$D409)</f>
        <v/>
      </c>
      <c r="H409" s="0" t="str">
        <f aca="false">IF($C409="","",IF(COUNTIF('مواد المخزون'!$A$2:$A$86,$C409)&gt;0,"نعم","لا (خارج الجرد)"))</f>
        <v/>
      </c>
    </row>
    <row r="410" customFormat="false" ht="15" hidden="false" customHeight="false" outlineLevel="0" collapsed="false">
      <c r="A410" s="102"/>
      <c r="B410" s="104"/>
      <c r="C410" s="104"/>
      <c r="F410" s="103" t="str">
        <f aca="false">IF(OR($C410="",$D410=0),"",$E410/$D410)</f>
        <v/>
      </c>
      <c r="H410" s="0" t="str">
        <f aca="false">IF($C410="","",IF(COUNTIF('مواد المخزون'!$A$2:$A$86,$C410)&gt;0,"نعم","لا (خارج الجرد)"))</f>
        <v/>
      </c>
    </row>
    <row r="411" customFormat="false" ht="15" hidden="false" customHeight="false" outlineLevel="0" collapsed="false">
      <c r="A411" s="102"/>
      <c r="B411" s="104"/>
      <c r="C411" s="104"/>
      <c r="F411" s="103" t="str">
        <f aca="false">IF(OR($C411="",$D411=0),"",$E411/$D411)</f>
        <v/>
      </c>
      <c r="H411" s="0" t="str">
        <f aca="false">IF($C411="","",IF(COUNTIF('مواد المخزون'!$A$2:$A$86,$C411)&gt;0,"نعم","لا (خارج الجرد)"))</f>
        <v/>
      </c>
    </row>
    <row r="412" customFormat="false" ht="15" hidden="false" customHeight="false" outlineLevel="0" collapsed="false">
      <c r="A412" s="102"/>
      <c r="B412" s="104"/>
      <c r="C412" s="104"/>
      <c r="F412" s="103" t="str">
        <f aca="false">IF(OR($C412="",$D412=0),"",$E412/$D412)</f>
        <v/>
      </c>
      <c r="H412" s="0" t="str">
        <f aca="false">IF($C412="","",IF(COUNTIF('مواد المخزون'!$A$2:$A$86,$C412)&gt;0,"نعم","لا (خارج الجرد)"))</f>
        <v/>
      </c>
    </row>
    <row r="413" customFormat="false" ht="15" hidden="false" customHeight="false" outlineLevel="0" collapsed="false">
      <c r="A413" s="102"/>
      <c r="B413" s="104"/>
      <c r="C413" s="104"/>
      <c r="F413" s="103" t="str">
        <f aca="false">IF(OR($C413="",$D413=0),"",$E413/$D413)</f>
        <v/>
      </c>
      <c r="H413" s="0" t="str">
        <f aca="false">IF($C413="","",IF(COUNTIF('مواد المخزون'!$A$2:$A$86,$C413)&gt;0,"نعم","لا (خارج الجرد)"))</f>
        <v/>
      </c>
    </row>
    <row r="414" customFormat="false" ht="15" hidden="false" customHeight="false" outlineLevel="0" collapsed="false">
      <c r="A414" s="102"/>
      <c r="B414" s="104"/>
      <c r="C414" s="104"/>
      <c r="F414" s="103" t="str">
        <f aca="false">IF(OR($C414="",$D414=0),"",$E414/$D414)</f>
        <v/>
      </c>
      <c r="H414" s="0" t="str">
        <f aca="false">IF($C414="","",IF(COUNTIF('مواد المخزون'!$A$2:$A$86,$C414)&gt;0,"نعم","لا (خارج الجرد)"))</f>
        <v/>
      </c>
    </row>
    <row r="415" customFormat="false" ht="15" hidden="false" customHeight="false" outlineLevel="0" collapsed="false">
      <c r="A415" s="102"/>
      <c r="B415" s="104"/>
      <c r="C415" s="104"/>
      <c r="F415" s="103" t="str">
        <f aca="false">IF(OR($C415="",$D415=0),"",$E415/$D415)</f>
        <v/>
      </c>
      <c r="H415" s="0" t="str">
        <f aca="false">IF($C415="","",IF(COUNTIF('مواد المخزون'!$A$2:$A$86,$C415)&gt;0,"نعم","لا (خارج الجرد)"))</f>
        <v/>
      </c>
    </row>
    <row r="416" customFormat="false" ht="15" hidden="false" customHeight="false" outlineLevel="0" collapsed="false">
      <c r="A416" s="102"/>
      <c r="B416" s="104"/>
      <c r="C416" s="104"/>
      <c r="F416" s="103" t="str">
        <f aca="false">IF(OR($C416="",$D416=0),"",$E416/$D416)</f>
        <v/>
      </c>
      <c r="H416" s="0" t="str">
        <f aca="false">IF($C416="","",IF(COUNTIF('مواد المخزون'!$A$2:$A$86,$C416)&gt;0,"نعم","لا (خارج الجرد)"))</f>
        <v/>
      </c>
    </row>
    <row r="417" customFormat="false" ht="15" hidden="false" customHeight="false" outlineLevel="0" collapsed="false">
      <c r="A417" s="102"/>
      <c r="B417" s="104"/>
      <c r="C417" s="104"/>
      <c r="F417" s="103" t="str">
        <f aca="false">IF(OR($C417="",$D417=0),"",$E417/$D417)</f>
        <v/>
      </c>
      <c r="H417" s="0" t="str">
        <f aca="false">IF($C417="","",IF(COUNTIF('مواد المخزون'!$A$2:$A$86,$C417)&gt;0,"نعم","لا (خارج الجرد)"))</f>
        <v/>
      </c>
    </row>
    <row r="418" customFormat="false" ht="15" hidden="false" customHeight="false" outlineLevel="0" collapsed="false">
      <c r="A418" s="102"/>
      <c r="B418" s="104"/>
      <c r="C418" s="104"/>
      <c r="F418" s="103" t="str">
        <f aca="false">IF(OR($C418="",$D418=0),"",$E418/$D418)</f>
        <v/>
      </c>
      <c r="H418" s="0" t="str">
        <f aca="false">IF($C418="","",IF(COUNTIF('مواد المخزون'!$A$2:$A$86,$C418)&gt;0,"نعم","لا (خارج الجرد)"))</f>
        <v/>
      </c>
    </row>
    <row r="419" customFormat="false" ht="15" hidden="false" customHeight="false" outlineLevel="0" collapsed="false">
      <c r="A419" s="102"/>
      <c r="B419" s="104"/>
      <c r="C419" s="104"/>
      <c r="F419" s="103" t="str">
        <f aca="false">IF(OR($C419="",$D419=0),"",$E419/$D419)</f>
        <v/>
      </c>
      <c r="H419" s="0" t="str">
        <f aca="false">IF($C419="","",IF(COUNTIF('مواد المخزون'!$A$2:$A$86,$C419)&gt;0,"نعم","لا (خارج الجرد)"))</f>
        <v/>
      </c>
    </row>
    <row r="420" customFormat="false" ht="15" hidden="false" customHeight="false" outlineLevel="0" collapsed="false">
      <c r="A420" s="102"/>
      <c r="B420" s="104"/>
      <c r="C420" s="104"/>
      <c r="F420" s="103" t="str">
        <f aca="false">IF(OR($C420="",$D420=0),"",$E420/$D420)</f>
        <v/>
      </c>
      <c r="H420" s="0" t="str">
        <f aca="false">IF($C420="","",IF(COUNTIF('مواد المخزون'!$A$2:$A$86,$C420)&gt;0,"نعم","لا (خارج الجرد)"))</f>
        <v/>
      </c>
    </row>
    <row r="421" customFormat="false" ht="15" hidden="false" customHeight="false" outlineLevel="0" collapsed="false">
      <c r="A421" s="102"/>
      <c r="B421" s="104"/>
      <c r="C421" s="104"/>
      <c r="F421" s="103" t="str">
        <f aca="false">IF(OR($C421="",$D421=0),"",$E421/$D421)</f>
        <v/>
      </c>
      <c r="H421" s="0" t="str">
        <f aca="false">IF($C421="","",IF(COUNTIF('مواد المخزون'!$A$2:$A$86,$C421)&gt;0,"نعم","لا (خارج الجرد)"))</f>
        <v/>
      </c>
    </row>
    <row r="422" customFormat="false" ht="15" hidden="false" customHeight="false" outlineLevel="0" collapsed="false">
      <c r="A422" s="102"/>
      <c r="B422" s="104"/>
      <c r="C422" s="104"/>
      <c r="F422" s="103" t="str">
        <f aca="false">IF(OR($C422="",$D422=0),"",$E422/$D422)</f>
        <v/>
      </c>
      <c r="H422" s="0" t="str">
        <f aca="false">IF($C422="","",IF(COUNTIF('مواد المخزون'!$A$2:$A$86,$C422)&gt;0,"نعم","لا (خارج الجرد)"))</f>
        <v/>
      </c>
    </row>
    <row r="423" customFormat="false" ht="15" hidden="false" customHeight="false" outlineLevel="0" collapsed="false">
      <c r="A423" s="102"/>
      <c r="B423" s="104"/>
      <c r="C423" s="104"/>
      <c r="F423" s="103" t="str">
        <f aca="false">IF(OR($C423="",$D423=0),"",$E423/$D423)</f>
        <v/>
      </c>
      <c r="H423" s="0" t="str">
        <f aca="false">IF($C423="","",IF(COUNTIF('مواد المخزون'!$A$2:$A$86,$C423)&gt;0,"نعم","لا (خارج الجرد)"))</f>
        <v/>
      </c>
    </row>
    <row r="424" customFormat="false" ht="15" hidden="false" customHeight="false" outlineLevel="0" collapsed="false">
      <c r="A424" s="102"/>
      <c r="B424" s="104"/>
      <c r="C424" s="104"/>
      <c r="F424" s="103" t="str">
        <f aca="false">IF(OR($C424="",$D424=0),"",$E424/$D424)</f>
        <v/>
      </c>
      <c r="H424" s="0" t="str">
        <f aca="false">IF($C424="","",IF(COUNTIF('مواد المخزون'!$A$2:$A$86,$C424)&gt;0,"نعم","لا (خارج الجرد)"))</f>
        <v/>
      </c>
    </row>
    <row r="425" customFormat="false" ht="15" hidden="false" customHeight="false" outlineLevel="0" collapsed="false">
      <c r="A425" s="102"/>
      <c r="B425" s="104"/>
      <c r="C425" s="104"/>
      <c r="F425" s="103" t="str">
        <f aca="false">IF(OR($C425="",$D425=0),"",$E425/$D425)</f>
        <v/>
      </c>
      <c r="H425" s="0" t="str">
        <f aca="false">IF($C425="","",IF(COUNTIF('مواد المخزون'!$A$2:$A$86,$C425)&gt;0,"نعم","لا (خارج الجرد)"))</f>
        <v/>
      </c>
    </row>
    <row r="426" customFormat="false" ht="15" hidden="false" customHeight="false" outlineLevel="0" collapsed="false">
      <c r="A426" s="102"/>
      <c r="B426" s="104"/>
      <c r="C426" s="104"/>
      <c r="F426" s="103" t="str">
        <f aca="false">IF(OR($C426="",$D426=0),"",$E426/$D426)</f>
        <v/>
      </c>
      <c r="H426" s="0" t="str">
        <f aca="false">IF($C426="","",IF(COUNTIF('مواد المخزون'!$A$2:$A$86,$C426)&gt;0,"نعم","لا (خارج الجرد)"))</f>
        <v/>
      </c>
    </row>
    <row r="427" customFormat="false" ht="15" hidden="false" customHeight="false" outlineLevel="0" collapsed="false">
      <c r="A427" s="102"/>
      <c r="B427" s="104"/>
      <c r="C427" s="104"/>
      <c r="F427" s="103" t="str">
        <f aca="false">IF(OR($C427="",$D427=0),"",$E427/$D427)</f>
        <v/>
      </c>
      <c r="H427" s="0" t="str">
        <f aca="false">IF($C427="","",IF(COUNTIF('مواد المخزون'!$A$2:$A$86,$C427)&gt;0,"نعم","لا (خارج الجرد)"))</f>
        <v/>
      </c>
    </row>
    <row r="428" customFormat="false" ht="15" hidden="false" customHeight="false" outlineLevel="0" collapsed="false">
      <c r="A428" s="102"/>
      <c r="B428" s="104"/>
      <c r="C428" s="104"/>
      <c r="F428" s="103" t="str">
        <f aca="false">IF(OR($C428="",$D428=0),"",$E428/$D428)</f>
        <v/>
      </c>
      <c r="H428" s="0" t="str">
        <f aca="false">IF($C428="","",IF(COUNTIF('مواد المخزون'!$A$2:$A$86,$C428)&gt;0,"نعم","لا (خارج الجرد)"))</f>
        <v/>
      </c>
    </row>
    <row r="429" customFormat="false" ht="15" hidden="false" customHeight="false" outlineLevel="0" collapsed="false">
      <c r="A429" s="102"/>
      <c r="B429" s="104"/>
      <c r="C429" s="104"/>
      <c r="F429" s="103" t="str">
        <f aca="false">IF(OR($C429="",$D429=0),"",$E429/$D429)</f>
        <v/>
      </c>
      <c r="H429" s="0" t="str">
        <f aca="false">IF($C429="","",IF(COUNTIF('مواد المخزون'!$A$2:$A$86,$C429)&gt;0,"نعم","لا (خارج الجرد)"))</f>
        <v/>
      </c>
    </row>
    <row r="430" customFormat="false" ht="15" hidden="false" customHeight="false" outlineLevel="0" collapsed="false">
      <c r="A430" s="102"/>
      <c r="B430" s="104"/>
      <c r="C430" s="104"/>
      <c r="F430" s="103" t="str">
        <f aca="false">IF(OR($C430="",$D430=0),"",$E430/$D430)</f>
        <v/>
      </c>
      <c r="H430" s="0" t="str">
        <f aca="false">IF($C430="","",IF(COUNTIF('مواد المخزون'!$A$2:$A$86,$C430)&gt;0,"نعم","لا (خارج الجرد)"))</f>
        <v/>
      </c>
    </row>
    <row r="431" customFormat="false" ht="15" hidden="false" customHeight="false" outlineLevel="0" collapsed="false">
      <c r="A431" s="102"/>
      <c r="B431" s="104"/>
      <c r="C431" s="104"/>
      <c r="F431" s="103" t="str">
        <f aca="false">IF(OR($C431="",$D431=0),"",$E431/$D431)</f>
        <v/>
      </c>
      <c r="H431" s="0" t="str">
        <f aca="false">IF($C431="","",IF(COUNTIF('مواد المخزون'!$A$2:$A$86,$C431)&gt;0,"نعم","لا (خارج الجرد)"))</f>
        <v/>
      </c>
    </row>
    <row r="432" customFormat="false" ht="15" hidden="false" customHeight="false" outlineLevel="0" collapsed="false">
      <c r="A432" s="102"/>
      <c r="B432" s="104"/>
      <c r="C432" s="104"/>
      <c r="F432" s="103" t="str">
        <f aca="false">IF(OR($C432="",$D432=0),"",$E432/$D432)</f>
        <v/>
      </c>
      <c r="H432" s="0" t="str">
        <f aca="false">IF($C432="","",IF(COUNTIF('مواد المخزون'!$A$2:$A$86,$C432)&gt;0,"نعم","لا (خارج الجرد)"))</f>
        <v/>
      </c>
    </row>
    <row r="433" customFormat="false" ht="15" hidden="false" customHeight="false" outlineLevel="0" collapsed="false">
      <c r="A433" s="102"/>
      <c r="B433" s="104"/>
      <c r="C433" s="104"/>
      <c r="F433" s="103" t="str">
        <f aca="false">IF(OR($C433="",$D433=0),"",$E433/$D433)</f>
        <v/>
      </c>
      <c r="H433" s="0" t="str">
        <f aca="false">IF($C433="","",IF(COUNTIF('مواد المخزون'!$A$2:$A$86,$C433)&gt;0,"نعم","لا (خارج الجرد)"))</f>
        <v/>
      </c>
    </row>
    <row r="434" customFormat="false" ht="15" hidden="false" customHeight="false" outlineLevel="0" collapsed="false">
      <c r="A434" s="102"/>
      <c r="B434" s="104"/>
      <c r="C434" s="104"/>
      <c r="F434" s="103" t="str">
        <f aca="false">IF(OR($C434="",$D434=0),"",$E434/$D434)</f>
        <v/>
      </c>
      <c r="H434" s="0" t="str">
        <f aca="false">IF($C434="","",IF(COUNTIF('مواد المخزون'!$A$2:$A$86,$C434)&gt;0,"نعم","لا (خارج الجرد)"))</f>
        <v/>
      </c>
    </row>
    <row r="435" customFormat="false" ht="15" hidden="false" customHeight="false" outlineLevel="0" collapsed="false">
      <c r="A435" s="102"/>
      <c r="B435" s="104"/>
      <c r="C435" s="104"/>
      <c r="F435" s="103" t="str">
        <f aca="false">IF(OR($C435="",$D435=0),"",$E435/$D435)</f>
        <v/>
      </c>
      <c r="H435" s="0" t="str">
        <f aca="false">IF($C435="","",IF(COUNTIF('مواد المخزون'!$A$2:$A$86,$C435)&gt;0,"نعم","لا (خارج الجرد)"))</f>
        <v/>
      </c>
    </row>
    <row r="436" customFormat="false" ht="15" hidden="false" customHeight="false" outlineLevel="0" collapsed="false">
      <c r="A436" s="102"/>
      <c r="B436" s="104"/>
      <c r="C436" s="104"/>
      <c r="F436" s="103" t="str">
        <f aca="false">IF(OR($C436="",$D436=0),"",$E436/$D436)</f>
        <v/>
      </c>
      <c r="H436" s="0" t="str">
        <f aca="false">IF($C436="","",IF(COUNTIF('مواد المخزون'!$A$2:$A$86,$C436)&gt;0,"نعم","لا (خارج الجرد)"))</f>
        <v/>
      </c>
    </row>
    <row r="437" customFormat="false" ht="15" hidden="false" customHeight="false" outlineLevel="0" collapsed="false">
      <c r="A437" s="102"/>
      <c r="B437" s="104"/>
      <c r="C437" s="104"/>
      <c r="F437" s="103" t="str">
        <f aca="false">IF(OR($C437="",$D437=0),"",$E437/$D437)</f>
        <v/>
      </c>
      <c r="H437" s="0" t="str">
        <f aca="false">IF($C437="","",IF(COUNTIF('مواد المخزون'!$A$2:$A$86,$C437)&gt;0,"نعم","لا (خارج الجرد)"))</f>
        <v/>
      </c>
    </row>
    <row r="438" customFormat="false" ht="15" hidden="false" customHeight="false" outlineLevel="0" collapsed="false">
      <c r="A438" s="102"/>
      <c r="B438" s="104"/>
      <c r="C438" s="104"/>
      <c r="F438" s="103" t="str">
        <f aca="false">IF(OR($C438="",$D438=0),"",$E438/$D438)</f>
        <v/>
      </c>
      <c r="H438" s="0" t="str">
        <f aca="false">IF($C438="","",IF(COUNTIF('مواد المخزون'!$A$2:$A$86,$C438)&gt;0,"نعم","لا (خارج الجرد)"))</f>
        <v/>
      </c>
    </row>
    <row r="439" customFormat="false" ht="15" hidden="false" customHeight="false" outlineLevel="0" collapsed="false">
      <c r="A439" s="102"/>
      <c r="B439" s="104"/>
      <c r="C439" s="104"/>
      <c r="F439" s="103" t="str">
        <f aca="false">IF(OR($C439="",$D439=0),"",$E439/$D439)</f>
        <v/>
      </c>
      <c r="H439" s="0" t="str">
        <f aca="false">IF($C439="","",IF(COUNTIF('مواد المخزون'!$A$2:$A$86,$C439)&gt;0,"نعم","لا (خارج الجرد)"))</f>
        <v/>
      </c>
    </row>
    <row r="440" customFormat="false" ht="15" hidden="false" customHeight="false" outlineLevel="0" collapsed="false">
      <c r="A440" s="102"/>
      <c r="B440" s="104"/>
      <c r="C440" s="104"/>
      <c r="F440" s="103" t="str">
        <f aca="false">IF(OR($C440="",$D440=0),"",$E440/$D440)</f>
        <v/>
      </c>
      <c r="H440" s="0" t="str">
        <f aca="false">IF($C440="","",IF(COUNTIF('مواد المخزون'!$A$2:$A$86,$C440)&gt;0,"نعم","لا (خارج الجرد)"))</f>
        <v/>
      </c>
    </row>
    <row r="441" customFormat="false" ht="15" hidden="false" customHeight="false" outlineLevel="0" collapsed="false">
      <c r="A441" s="102"/>
      <c r="B441" s="104"/>
      <c r="C441" s="104"/>
      <c r="F441" s="103" t="str">
        <f aca="false">IF(OR($C441="",$D441=0),"",$E441/$D441)</f>
        <v/>
      </c>
      <c r="H441" s="0" t="str">
        <f aca="false">IF($C441="","",IF(COUNTIF('مواد المخزون'!$A$2:$A$86,$C441)&gt;0,"نعم","لا (خارج الجرد)"))</f>
        <v/>
      </c>
    </row>
    <row r="442" customFormat="false" ht="15" hidden="false" customHeight="false" outlineLevel="0" collapsed="false">
      <c r="A442" s="102"/>
      <c r="B442" s="104"/>
      <c r="C442" s="104"/>
      <c r="F442" s="103" t="str">
        <f aca="false">IF(OR($C442="",$D442=0),"",$E442/$D442)</f>
        <v/>
      </c>
      <c r="H442" s="0" t="str">
        <f aca="false">IF($C442="","",IF(COUNTIF('مواد المخزون'!$A$2:$A$86,$C442)&gt;0,"نعم","لا (خارج الجرد)"))</f>
        <v/>
      </c>
    </row>
    <row r="443" customFormat="false" ht="15" hidden="false" customHeight="false" outlineLevel="0" collapsed="false">
      <c r="A443" s="102"/>
      <c r="B443" s="104"/>
      <c r="C443" s="104"/>
      <c r="F443" s="103" t="str">
        <f aca="false">IF(OR($C443="",$D443=0),"",$E443/$D443)</f>
        <v/>
      </c>
      <c r="H443" s="0" t="str">
        <f aca="false">IF($C443="","",IF(COUNTIF('مواد المخزون'!$A$2:$A$86,$C443)&gt;0,"نعم","لا (خارج الجرد)"))</f>
        <v/>
      </c>
    </row>
    <row r="444" customFormat="false" ht="15" hidden="false" customHeight="false" outlineLevel="0" collapsed="false">
      <c r="A444" s="102"/>
      <c r="B444" s="104"/>
      <c r="C444" s="104"/>
      <c r="F444" s="103" t="str">
        <f aca="false">IF(OR($C444="",$D444=0),"",$E444/$D444)</f>
        <v/>
      </c>
      <c r="H444" s="0" t="str">
        <f aca="false">IF($C444="","",IF(COUNTIF('مواد المخزون'!$A$2:$A$86,$C444)&gt;0,"نعم","لا (خارج الجرد)"))</f>
        <v/>
      </c>
    </row>
    <row r="445" customFormat="false" ht="15" hidden="false" customHeight="false" outlineLevel="0" collapsed="false">
      <c r="A445" s="102"/>
      <c r="B445" s="104"/>
      <c r="C445" s="104"/>
      <c r="F445" s="103" t="str">
        <f aca="false">IF(OR($C445="",$D445=0),"",$E445/$D445)</f>
        <v/>
      </c>
      <c r="H445" s="0" t="str">
        <f aca="false">IF($C445="","",IF(COUNTIF('مواد المخزون'!$A$2:$A$86,$C445)&gt;0,"نعم","لا (خارج الجرد)"))</f>
        <v/>
      </c>
    </row>
    <row r="446" customFormat="false" ht="15" hidden="false" customHeight="false" outlineLevel="0" collapsed="false">
      <c r="A446" s="102"/>
      <c r="B446" s="104"/>
      <c r="C446" s="104"/>
      <c r="F446" s="103" t="str">
        <f aca="false">IF(OR($C446="",$D446=0),"",$E446/$D446)</f>
        <v/>
      </c>
      <c r="H446" s="0" t="str">
        <f aca="false">IF($C446="","",IF(COUNTIF('مواد المخزون'!$A$2:$A$86,$C446)&gt;0,"نعم","لا (خارج الجرد)"))</f>
        <v/>
      </c>
    </row>
    <row r="447" customFormat="false" ht="15" hidden="false" customHeight="false" outlineLevel="0" collapsed="false">
      <c r="A447" s="102"/>
      <c r="B447" s="104"/>
      <c r="C447" s="104"/>
      <c r="F447" s="103" t="str">
        <f aca="false">IF(OR($C447="",$D447=0),"",$E447/$D447)</f>
        <v/>
      </c>
      <c r="H447" s="0" t="str">
        <f aca="false">IF($C447="","",IF(COUNTIF('مواد المخزون'!$A$2:$A$86,$C447)&gt;0,"نعم","لا (خارج الجرد)"))</f>
        <v/>
      </c>
    </row>
    <row r="448" customFormat="false" ht="15" hidden="false" customHeight="false" outlineLevel="0" collapsed="false">
      <c r="A448" s="102"/>
      <c r="B448" s="104"/>
      <c r="C448" s="104"/>
      <c r="F448" s="103" t="str">
        <f aca="false">IF(OR($C448="",$D448=0),"",$E448/$D448)</f>
        <v/>
      </c>
      <c r="H448" s="0" t="str">
        <f aca="false">IF($C448="","",IF(COUNTIF('مواد المخزون'!$A$2:$A$86,$C448)&gt;0,"نعم","لا (خارج الجرد)"))</f>
        <v/>
      </c>
    </row>
    <row r="449" customFormat="false" ht="15" hidden="false" customHeight="false" outlineLevel="0" collapsed="false">
      <c r="A449" s="102"/>
      <c r="B449" s="104"/>
      <c r="C449" s="104"/>
      <c r="F449" s="103" t="str">
        <f aca="false">IF(OR($C449="",$D449=0),"",$E449/$D449)</f>
        <v/>
      </c>
      <c r="H449" s="0" t="str">
        <f aca="false">IF($C449="","",IF(COUNTIF('مواد المخزون'!$A$2:$A$86,$C449)&gt;0,"نعم","لا (خارج الجرد)"))</f>
        <v/>
      </c>
    </row>
    <row r="450" customFormat="false" ht="15" hidden="false" customHeight="false" outlineLevel="0" collapsed="false">
      <c r="A450" s="102"/>
      <c r="B450" s="104"/>
      <c r="C450" s="104"/>
      <c r="F450" s="103" t="str">
        <f aca="false">IF(OR($C450="",$D450=0),"",$E450/$D450)</f>
        <v/>
      </c>
      <c r="H450" s="0" t="str">
        <f aca="false">IF($C450="","",IF(COUNTIF('مواد المخزون'!$A$2:$A$86,$C450)&gt;0,"نعم","لا (خارج الجرد)"))</f>
        <v/>
      </c>
    </row>
    <row r="451" customFormat="false" ht="15" hidden="false" customHeight="false" outlineLevel="0" collapsed="false">
      <c r="A451" s="102"/>
      <c r="B451" s="104"/>
      <c r="C451" s="104"/>
      <c r="F451" s="103" t="str">
        <f aca="false">IF(OR($C451="",$D451=0),"",$E451/$D451)</f>
        <v/>
      </c>
      <c r="H451" s="0" t="str">
        <f aca="false">IF($C451="","",IF(COUNTIF('مواد المخزون'!$A$2:$A$86,$C451)&gt;0,"نعم","لا (خارج الجرد)"))</f>
        <v/>
      </c>
    </row>
    <row r="452" customFormat="false" ht="15" hidden="false" customHeight="false" outlineLevel="0" collapsed="false">
      <c r="A452" s="102"/>
      <c r="B452" s="104"/>
      <c r="C452" s="104"/>
      <c r="F452" s="103" t="str">
        <f aca="false">IF(OR($C452="",$D452=0),"",$E452/$D452)</f>
        <v/>
      </c>
      <c r="H452" s="0" t="str">
        <f aca="false">IF($C452="","",IF(COUNTIF('مواد المخزون'!$A$2:$A$86,$C452)&gt;0,"نعم","لا (خارج الجرد)"))</f>
        <v/>
      </c>
    </row>
    <row r="453" customFormat="false" ht="15" hidden="false" customHeight="false" outlineLevel="0" collapsed="false">
      <c r="A453" s="102"/>
      <c r="B453" s="104"/>
      <c r="C453" s="104"/>
      <c r="F453" s="103" t="str">
        <f aca="false">IF(OR($C453="",$D453=0),"",$E453/$D453)</f>
        <v/>
      </c>
      <c r="H453" s="0" t="str">
        <f aca="false">IF($C453="","",IF(COUNTIF('مواد المخزون'!$A$2:$A$86,$C453)&gt;0,"نعم","لا (خارج الجرد)"))</f>
        <v/>
      </c>
    </row>
    <row r="454" customFormat="false" ht="15" hidden="false" customHeight="false" outlineLevel="0" collapsed="false">
      <c r="A454" s="102"/>
      <c r="B454" s="104"/>
      <c r="C454" s="104"/>
      <c r="F454" s="103" t="str">
        <f aca="false">IF(OR($C454="",$D454=0),"",$E454/$D454)</f>
        <v/>
      </c>
      <c r="H454" s="0" t="str">
        <f aca="false">IF($C454="","",IF(COUNTIF('مواد المخزون'!$A$2:$A$86,$C454)&gt;0,"نعم","لا (خارج الجرد)"))</f>
        <v/>
      </c>
    </row>
    <row r="455" customFormat="false" ht="15" hidden="false" customHeight="false" outlineLevel="0" collapsed="false">
      <c r="A455" s="102"/>
      <c r="B455" s="104"/>
      <c r="C455" s="104"/>
      <c r="F455" s="103" t="str">
        <f aca="false">IF(OR($C455="",$D455=0),"",$E455/$D455)</f>
        <v/>
      </c>
      <c r="H455" s="0" t="str">
        <f aca="false">IF($C455="","",IF(COUNTIF('مواد المخزون'!$A$2:$A$86,$C455)&gt;0,"نعم","لا (خارج الجرد)"))</f>
        <v/>
      </c>
    </row>
    <row r="456" customFormat="false" ht="15" hidden="false" customHeight="false" outlineLevel="0" collapsed="false">
      <c r="A456" s="102"/>
      <c r="B456" s="104"/>
      <c r="C456" s="104"/>
      <c r="F456" s="103" t="str">
        <f aca="false">IF(OR($C456="",$D456=0),"",$E456/$D456)</f>
        <v/>
      </c>
      <c r="H456" s="0" t="str">
        <f aca="false">IF($C456="","",IF(COUNTIF('مواد المخزون'!$A$2:$A$86,$C456)&gt;0,"نعم","لا (خارج الجرد)"))</f>
        <v/>
      </c>
    </row>
    <row r="457" customFormat="false" ht="15" hidden="false" customHeight="false" outlineLevel="0" collapsed="false">
      <c r="A457" s="102"/>
      <c r="B457" s="104"/>
      <c r="C457" s="104"/>
      <c r="F457" s="103" t="str">
        <f aca="false">IF(OR($C457="",$D457=0),"",$E457/$D457)</f>
        <v/>
      </c>
      <c r="H457" s="0" t="str">
        <f aca="false">IF($C457="","",IF(COUNTIF('مواد المخزون'!$A$2:$A$86,$C457)&gt;0,"نعم","لا (خارج الجرد)"))</f>
        <v/>
      </c>
    </row>
    <row r="458" customFormat="false" ht="15" hidden="false" customHeight="false" outlineLevel="0" collapsed="false">
      <c r="A458" s="102"/>
      <c r="B458" s="104"/>
      <c r="C458" s="104"/>
      <c r="F458" s="103" t="str">
        <f aca="false">IF(OR($C458="",$D458=0),"",$E458/$D458)</f>
        <v/>
      </c>
      <c r="H458" s="0" t="str">
        <f aca="false">IF($C458="","",IF(COUNTIF('مواد المخزون'!$A$2:$A$86,$C458)&gt;0,"نعم","لا (خارج الجرد)"))</f>
        <v/>
      </c>
    </row>
    <row r="459" customFormat="false" ht="15" hidden="false" customHeight="false" outlineLevel="0" collapsed="false">
      <c r="A459" s="102"/>
      <c r="B459" s="104"/>
      <c r="C459" s="104"/>
      <c r="F459" s="103" t="str">
        <f aca="false">IF(OR($C459="",$D459=0),"",$E459/$D459)</f>
        <v/>
      </c>
      <c r="H459" s="0" t="str">
        <f aca="false">IF($C459="","",IF(COUNTIF('مواد المخزون'!$A$2:$A$86,$C459)&gt;0,"نعم","لا (خارج الجرد)"))</f>
        <v/>
      </c>
    </row>
    <row r="460" customFormat="false" ht="15" hidden="false" customHeight="false" outlineLevel="0" collapsed="false">
      <c r="A460" s="102"/>
      <c r="B460" s="104"/>
      <c r="C460" s="104"/>
      <c r="F460" s="103" t="str">
        <f aca="false">IF(OR($C460="",$D460=0),"",$E460/$D460)</f>
        <v/>
      </c>
      <c r="H460" s="0" t="str">
        <f aca="false">IF($C460="","",IF(COUNTIF('مواد المخزون'!$A$2:$A$86,$C460)&gt;0,"نعم","لا (خارج الجرد)"))</f>
        <v/>
      </c>
    </row>
    <row r="461" customFormat="false" ht="15" hidden="false" customHeight="false" outlineLevel="0" collapsed="false">
      <c r="A461" s="102"/>
      <c r="B461" s="104"/>
      <c r="C461" s="104"/>
      <c r="F461" s="103" t="str">
        <f aca="false">IF(OR($C461="",$D461=0),"",$E461/$D461)</f>
        <v/>
      </c>
      <c r="H461" s="0" t="str">
        <f aca="false">IF($C461="","",IF(COUNTIF('مواد المخزون'!$A$2:$A$86,$C461)&gt;0,"نعم","لا (خارج الجرد)"))</f>
        <v/>
      </c>
    </row>
    <row r="462" customFormat="false" ht="15" hidden="false" customHeight="false" outlineLevel="0" collapsed="false">
      <c r="A462" s="102"/>
      <c r="B462" s="104"/>
      <c r="C462" s="104"/>
      <c r="F462" s="103" t="str">
        <f aca="false">IF(OR($C462="",$D462=0),"",$E462/$D462)</f>
        <v/>
      </c>
      <c r="H462" s="0" t="str">
        <f aca="false">IF($C462="","",IF(COUNTIF('مواد المخزون'!$A$2:$A$86,$C462)&gt;0,"نعم","لا (خارج الجرد)"))</f>
        <v/>
      </c>
    </row>
    <row r="463" customFormat="false" ht="15" hidden="false" customHeight="false" outlineLevel="0" collapsed="false">
      <c r="A463" s="102"/>
      <c r="B463" s="104"/>
      <c r="C463" s="104"/>
      <c r="F463" s="103" t="str">
        <f aca="false">IF(OR($C463="",$D463=0),"",$E463/$D463)</f>
        <v/>
      </c>
      <c r="H463" s="0" t="str">
        <f aca="false">IF($C463="","",IF(COUNTIF('مواد المخزون'!$A$2:$A$86,$C463)&gt;0,"نعم","لا (خارج الجرد)"))</f>
        <v/>
      </c>
    </row>
    <row r="464" customFormat="false" ht="15" hidden="false" customHeight="false" outlineLevel="0" collapsed="false">
      <c r="A464" s="102"/>
      <c r="B464" s="104"/>
      <c r="C464" s="104"/>
      <c r="F464" s="103" t="str">
        <f aca="false">IF(OR($C464="",$D464=0),"",$E464/$D464)</f>
        <v/>
      </c>
      <c r="H464" s="0" t="str">
        <f aca="false">IF($C464="","",IF(COUNTIF('مواد المخزون'!$A$2:$A$86,$C464)&gt;0,"نعم","لا (خارج الجرد)"))</f>
        <v/>
      </c>
    </row>
    <row r="465" customFormat="false" ht="15" hidden="false" customHeight="false" outlineLevel="0" collapsed="false">
      <c r="A465" s="102"/>
      <c r="B465" s="104"/>
      <c r="C465" s="104"/>
      <c r="F465" s="103" t="str">
        <f aca="false">IF(OR($C465="",$D465=0),"",$E465/$D465)</f>
        <v/>
      </c>
      <c r="H465" s="0" t="str">
        <f aca="false">IF($C465="","",IF(COUNTIF('مواد المخزون'!$A$2:$A$86,$C465)&gt;0,"نعم","لا (خارج الجرد)"))</f>
        <v/>
      </c>
    </row>
    <row r="466" customFormat="false" ht="15" hidden="false" customHeight="false" outlineLevel="0" collapsed="false">
      <c r="A466" s="102"/>
      <c r="B466" s="104"/>
      <c r="C466" s="104"/>
      <c r="F466" s="103" t="str">
        <f aca="false">IF(OR($C466="",$D466=0),"",$E466/$D466)</f>
        <v/>
      </c>
      <c r="H466" s="0" t="str">
        <f aca="false">IF($C466="","",IF(COUNTIF('مواد المخزون'!$A$2:$A$86,$C466)&gt;0,"نعم","لا (خارج الجرد)"))</f>
        <v/>
      </c>
    </row>
    <row r="467" customFormat="false" ht="15" hidden="false" customHeight="false" outlineLevel="0" collapsed="false">
      <c r="A467" s="102"/>
      <c r="B467" s="104"/>
      <c r="C467" s="104"/>
      <c r="F467" s="103" t="str">
        <f aca="false">IF(OR($C467="",$D467=0),"",$E467/$D467)</f>
        <v/>
      </c>
      <c r="H467" s="0" t="str">
        <f aca="false">IF($C467="","",IF(COUNTIF('مواد المخزون'!$A$2:$A$86,$C467)&gt;0,"نعم","لا (خارج الجرد)"))</f>
        <v/>
      </c>
    </row>
    <row r="468" customFormat="false" ht="15" hidden="false" customHeight="false" outlineLevel="0" collapsed="false">
      <c r="A468" s="102"/>
      <c r="B468" s="104"/>
      <c r="C468" s="104"/>
      <c r="F468" s="103" t="str">
        <f aca="false">IF(OR($C468="",$D468=0),"",$E468/$D468)</f>
        <v/>
      </c>
      <c r="H468" s="0" t="str">
        <f aca="false">IF($C468="","",IF(COUNTIF('مواد المخزون'!$A$2:$A$86,$C468)&gt;0,"نعم","لا (خارج الجرد)"))</f>
        <v/>
      </c>
    </row>
    <row r="469" customFormat="false" ht="15" hidden="false" customHeight="false" outlineLevel="0" collapsed="false">
      <c r="A469" s="102"/>
      <c r="B469" s="104"/>
      <c r="C469" s="104"/>
      <c r="F469" s="103" t="str">
        <f aca="false">IF(OR($C469="",$D469=0),"",$E469/$D469)</f>
        <v/>
      </c>
      <c r="H469" s="0" t="str">
        <f aca="false">IF($C469="","",IF(COUNTIF('مواد المخزون'!$A$2:$A$86,$C469)&gt;0,"نعم","لا (خارج الجرد)"))</f>
        <v/>
      </c>
    </row>
    <row r="470" customFormat="false" ht="15" hidden="false" customHeight="false" outlineLevel="0" collapsed="false">
      <c r="A470" s="102"/>
      <c r="B470" s="104"/>
      <c r="C470" s="104"/>
      <c r="F470" s="103" t="str">
        <f aca="false">IF(OR($C470="",$D470=0),"",$E470/$D470)</f>
        <v/>
      </c>
      <c r="H470" s="0" t="str">
        <f aca="false">IF($C470="","",IF(COUNTIF('مواد المخزون'!$A$2:$A$86,$C470)&gt;0,"نعم","لا (خارج الجرد)"))</f>
        <v/>
      </c>
    </row>
    <row r="471" customFormat="false" ht="15" hidden="false" customHeight="false" outlineLevel="0" collapsed="false">
      <c r="A471" s="102"/>
      <c r="B471" s="104"/>
      <c r="C471" s="104"/>
      <c r="F471" s="103" t="str">
        <f aca="false">IF(OR($C471="",$D471=0),"",$E471/$D471)</f>
        <v/>
      </c>
      <c r="H471" s="0" t="str">
        <f aca="false">IF($C471="","",IF(COUNTIF('مواد المخزون'!$A$2:$A$86,$C471)&gt;0,"نعم","لا (خارج الجرد)"))</f>
        <v/>
      </c>
    </row>
    <row r="472" customFormat="false" ht="15" hidden="false" customHeight="false" outlineLevel="0" collapsed="false">
      <c r="A472" s="102"/>
      <c r="B472" s="104"/>
      <c r="C472" s="104"/>
      <c r="F472" s="103" t="str">
        <f aca="false">IF(OR($C472="",$D472=0),"",$E472/$D472)</f>
        <v/>
      </c>
      <c r="H472" s="0" t="str">
        <f aca="false">IF($C472="","",IF(COUNTIF('مواد المخزون'!$A$2:$A$86,$C472)&gt;0,"نعم","لا (خارج الجرد)"))</f>
        <v/>
      </c>
    </row>
    <row r="473" customFormat="false" ht="15" hidden="false" customHeight="false" outlineLevel="0" collapsed="false">
      <c r="A473" s="102"/>
      <c r="B473" s="104"/>
      <c r="C473" s="104"/>
      <c r="F473" s="103" t="str">
        <f aca="false">IF(OR($C473="",$D473=0),"",$E473/$D473)</f>
        <v/>
      </c>
      <c r="H473" s="0" t="str">
        <f aca="false">IF($C473="","",IF(COUNTIF('مواد المخزون'!$A$2:$A$86,$C473)&gt;0,"نعم","لا (خارج الجرد)"))</f>
        <v/>
      </c>
    </row>
    <row r="474" customFormat="false" ht="15" hidden="false" customHeight="false" outlineLevel="0" collapsed="false">
      <c r="A474" s="102"/>
      <c r="B474" s="104"/>
      <c r="C474" s="104"/>
      <c r="F474" s="103" t="str">
        <f aca="false">IF(OR($C474="",$D474=0),"",$E474/$D474)</f>
        <v/>
      </c>
      <c r="H474" s="0" t="str">
        <f aca="false">IF($C474="","",IF(COUNTIF('مواد المخزون'!$A$2:$A$86,$C474)&gt;0,"نعم","لا (خارج الجرد)"))</f>
        <v/>
      </c>
    </row>
    <row r="475" customFormat="false" ht="15" hidden="false" customHeight="false" outlineLevel="0" collapsed="false">
      <c r="A475" s="102"/>
      <c r="B475" s="104"/>
      <c r="C475" s="104"/>
      <c r="F475" s="103" t="str">
        <f aca="false">IF(OR($C475="",$D475=0),"",$E475/$D475)</f>
        <v/>
      </c>
      <c r="H475" s="0" t="str">
        <f aca="false">IF($C475="","",IF(COUNTIF('مواد المخزون'!$A$2:$A$86,$C475)&gt;0,"نعم","لا (خارج الجرد)"))</f>
        <v/>
      </c>
    </row>
    <row r="476" customFormat="false" ht="15" hidden="false" customHeight="false" outlineLevel="0" collapsed="false">
      <c r="A476" s="102"/>
      <c r="B476" s="104"/>
      <c r="C476" s="104"/>
      <c r="F476" s="103" t="str">
        <f aca="false">IF(OR($C476="",$D476=0),"",$E476/$D476)</f>
        <v/>
      </c>
      <c r="H476" s="0" t="str">
        <f aca="false">IF($C476="","",IF(COUNTIF('مواد المخزون'!$A$2:$A$86,$C476)&gt;0,"نعم","لا (خارج الجرد)"))</f>
        <v/>
      </c>
    </row>
    <row r="477" customFormat="false" ht="15" hidden="false" customHeight="false" outlineLevel="0" collapsed="false">
      <c r="A477" s="102"/>
      <c r="B477" s="104"/>
      <c r="C477" s="104"/>
      <c r="F477" s="103" t="str">
        <f aca="false">IF(OR($C477="",$D477=0),"",$E477/$D477)</f>
        <v/>
      </c>
      <c r="H477" s="0" t="str">
        <f aca="false">IF($C477="","",IF(COUNTIF('مواد المخزون'!$A$2:$A$86,$C477)&gt;0,"نعم","لا (خارج الجرد)"))</f>
        <v/>
      </c>
    </row>
    <row r="478" customFormat="false" ht="15" hidden="false" customHeight="false" outlineLevel="0" collapsed="false">
      <c r="A478" s="102"/>
      <c r="B478" s="104"/>
      <c r="C478" s="104"/>
      <c r="F478" s="103" t="str">
        <f aca="false">IF(OR($C478="",$D478=0),"",$E478/$D478)</f>
        <v/>
      </c>
      <c r="H478" s="0" t="str">
        <f aca="false">IF($C478="","",IF(COUNTIF('مواد المخزون'!$A$2:$A$86,$C478)&gt;0,"نعم","لا (خارج الجرد)"))</f>
        <v/>
      </c>
    </row>
    <row r="479" customFormat="false" ht="15" hidden="false" customHeight="false" outlineLevel="0" collapsed="false">
      <c r="A479" s="102"/>
      <c r="B479" s="104"/>
      <c r="C479" s="104"/>
      <c r="F479" s="103" t="str">
        <f aca="false">IF(OR($C479="",$D479=0),"",$E479/$D479)</f>
        <v/>
      </c>
      <c r="H479" s="0" t="str">
        <f aca="false">IF($C479="","",IF(COUNTIF('مواد المخزون'!$A$2:$A$86,$C479)&gt;0,"نعم","لا (خارج الجرد)"))</f>
        <v/>
      </c>
    </row>
    <row r="480" customFormat="false" ht="15" hidden="false" customHeight="false" outlineLevel="0" collapsed="false">
      <c r="A480" s="102"/>
      <c r="B480" s="104"/>
      <c r="C480" s="104"/>
      <c r="F480" s="103" t="str">
        <f aca="false">IF(OR($C480="",$D480=0),"",$E480/$D480)</f>
        <v/>
      </c>
      <c r="H480" s="0" t="str">
        <f aca="false">IF($C480="","",IF(COUNTIF('مواد المخزون'!$A$2:$A$86,$C480)&gt;0,"نعم","لا (خارج الجرد)"))</f>
        <v/>
      </c>
    </row>
    <row r="481" customFormat="false" ht="15" hidden="false" customHeight="false" outlineLevel="0" collapsed="false">
      <c r="A481" s="102"/>
      <c r="B481" s="104"/>
      <c r="C481" s="104"/>
      <c r="F481" s="103" t="str">
        <f aca="false">IF(OR($C481="",$D481=0),"",$E481/$D481)</f>
        <v/>
      </c>
      <c r="H481" s="0" t="str">
        <f aca="false">IF($C481="","",IF(COUNTIF('مواد المخزون'!$A$2:$A$86,$C481)&gt;0,"نعم","لا (خارج الجرد)"))</f>
        <v/>
      </c>
    </row>
    <row r="482" customFormat="false" ht="15" hidden="false" customHeight="false" outlineLevel="0" collapsed="false">
      <c r="A482" s="102"/>
      <c r="B482" s="104"/>
      <c r="C482" s="104"/>
      <c r="F482" s="103" t="str">
        <f aca="false">IF(OR($C482="",$D482=0),"",$E482/$D482)</f>
        <v/>
      </c>
      <c r="H482" s="0" t="str">
        <f aca="false">IF($C482="","",IF(COUNTIF('مواد المخزون'!$A$2:$A$86,$C482)&gt;0,"نعم","لا (خارج الجرد)"))</f>
        <v/>
      </c>
    </row>
    <row r="483" customFormat="false" ht="15" hidden="false" customHeight="false" outlineLevel="0" collapsed="false">
      <c r="A483" s="102"/>
      <c r="B483" s="104"/>
      <c r="C483" s="104"/>
      <c r="F483" s="103" t="str">
        <f aca="false">IF(OR($C483="",$D483=0),"",$E483/$D483)</f>
        <v/>
      </c>
      <c r="H483" s="0" t="str">
        <f aca="false">IF($C483="","",IF(COUNTIF('مواد المخزون'!$A$2:$A$86,$C483)&gt;0,"نعم","لا (خارج الجرد)"))</f>
        <v/>
      </c>
    </row>
    <row r="484" customFormat="false" ht="15" hidden="false" customHeight="false" outlineLevel="0" collapsed="false">
      <c r="A484" s="102"/>
      <c r="B484" s="104"/>
      <c r="C484" s="104"/>
      <c r="F484" s="103" t="str">
        <f aca="false">IF(OR($C484="",$D484=0),"",$E484/$D484)</f>
        <v/>
      </c>
      <c r="H484" s="0" t="str">
        <f aca="false">IF($C484="","",IF(COUNTIF('مواد المخزون'!$A$2:$A$86,$C484)&gt;0,"نعم","لا (خارج الجرد)"))</f>
        <v/>
      </c>
    </row>
    <row r="485" customFormat="false" ht="15" hidden="false" customHeight="false" outlineLevel="0" collapsed="false">
      <c r="A485" s="102"/>
      <c r="B485" s="104"/>
      <c r="C485" s="104"/>
      <c r="F485" s="103" t="str">
        <f aca="false">IF(OR($C485="",$D485=0),"",$E485/$D485)</f>
        <v/>
      </c>
      <c r="H485" s="0" t="str">
        <f aca="false">IF($C485="","",IF(COUNTIF('مواد المخزون'!$A$2:$A$86,$C485)&gt;0,"نعم","لا (خارج الجرد)"))</f>
        <v/>
      </c>
    </row>
    <row r="486" customFormat="false" ht="15" hidden="false" customHeight="false" outlineLevel="0" collapsed="false">
      <c r="A486" s="102"/>
      <c r="B486" s="104"/>
      <c r="C486" s="104"/>
      <c r="F486" s="103" t="str">
        <f aca="false">IF(OR($C486="",$D486=0),"",$E486/$D486)</f>
        <v/>
      </c>
      <c r="H486" s="0" t="str">
        <f aca="false">IF($C486="","",IF(COUNTIF('مواد المخزون'!$A$2:$A$86,$C486)&gt;0,"نعم","لا (خارج الجرد)"))</f>
        <v/>
      </c>
    </row>
    <row r="487" customFormat="false" ht="15" hidden="false" customHeight="false" outlineLevel="0" collapsed="false">
      <c r="A487" s="102"/>
      <c r="B487" s="104"/>
      <c r="C487" s="104"/>
      <c r="F487" s="103" t="str">
        <f aca="false">IF(OR($C487="",$D487=0),"",$E487/$D487)</f>
        <v/>
      </c>
      <c r="H487" s="0" t="str">
        <f aca="false">IF($C487="","",IF(COUNTIF('مواد المخزون'!$A$2:$A$86,$C487)&gt;0,"نعم","لا (خارج الجرد)"))</f>
        <v/>
      </c>
    </row>
    <row r="488" customFormat="false" ht="15" hidden="false" customHeight="false" outlineLevel="0" collapsed="false">
      <c r="A488" s="102"/>
      <c r="B488" s="104"/>
      <c r="C488" s="104"/>
      <c r="F488" s="103" t="str">
        <f aca="false">IF(OR($C488="",$D488=0),"",$E488/$D488)</f>
        <v/>
      </c>
      <c r="H488" s="0" t="str">
        <f aca="false">IF($C488="","",IF(COUNTIF('مواد المخزون'!$A$2:$A$86,$C488)&gt;0,"نعم","لا (خارج الجرد)"))</f>
        <v/>
      </c>
    </row>
    <row r="489" customFormat="false" ht="15" hidden="false" customHeight="false" outlineLevel="0" collapsed="false">
      <c r="A489" s="102"/>
      <c r="B489" s="104"/>
      <c r="C489" s="104"/>
      <c r="F489" s="103" t="str">
        <f aca="false">IF(OR($C489="",$D489=0),"",$E489/$D489)</f>
        <v/>
      </c>
      <c r="H489" s="0" t="str">
        <f aca="false">IF($C489="","",IF(COUNTIF('مواد المخزون'!$A$2:$A$86,$C489)&gt;0,"نعم","لا (خارج الجرد)"))</f>
        <v/>
      </c>
    </row>
    <row r="490" customFormat="false" ht="15" hidden="false" customHeight="false" outlineLevel="0" collapsed="false">
      <c r="A490" s="102"/>
      <c r="B490" s="104"/>
      <c r="C490" s="104"/>
      <c r="F490" s="103" t="str">
        <f aca="false">IF(OR($C490="",$D490=0),"",$E490/$D490)</f>
        <v/>
      </c>
      <c r="H490" s="0" t="str">
        <f aca="false">IF($C490="","",IF(COUNTIF('مواد المخزون'!$A$2:$A$86,$C490)&gt;0,"نعم","لا (خارج الجرد)"))</f>
        <v/>
      </c>
    </row>
    <row r="491" customFormat="false" ht="15" hidden="false" customHeight="false" outlineLevel="0" collapsed="false">
      <c r="A491" s="102"/>
      <c r="B491" s="104"/>
      <c r="C491" s="104"/>
      <c r="F491" s="103" t="str">
        <f aca="false">IF(OR($C491="",$D491=0),"",$E491/$D491)</f>
        <v/>
      </c>
      <c r="H491" s="0" t="str">
        <f aca="false">IF($C491="","",IF(COUNTIF('مواد المخزون'!$A$2:$A$86,$C491)&gt;0,"نعم","لا (خارج الجرد)"))</f>
        <v/>
      </c>
    </row>
    <row r="492" customFormat="false" ht="15" hidden="false" customHeight="false" outlineLevel="0" collapsed="false">
      <c r="A492" s="102"/>
      <c r="B492" s="104"/>
      <c r="C492" s="104"/>
      <c r="F492" s="103" t="str">
        <f aca="false">IF(OR($C492="",$D492=0),"",$E492/$D492)</f>
        <v/>
      </c>
      <c r="H492" s="0" t="str">
        <f aca="false">IF($C492="","",IF(COUNTIF('مواد المخزون'!$A$2:$A$86,$C492)&gt;0,"نعم","لا (خارج الجرد)"))</f>
        <v/>
      </c>
    </row>
    <row r="493" customFormat="false" ht="15" hidden="false" customHeight="false" outlineLevel="0" collapsed="false">
      <c r="A493" s="102"/>
      <c r="B493" s="104"/>
      <c r="C493" s="104"/>
      <c r="F493" s="103" t="str">
        <f aca="false">IF(OR($C493="",$D493=0),"",$E493/$D493)</f>
        <v/>
      </c>
      <c r="H493" s="0" t="str">
        <f aca="false">IF($C493="","",IF(COUNTIF('مواد المخزون'!$A$2:$A$86,$C493)&gt;0,"نعم","لا (خارج الجرد)"))</f>
        <v/>
      </c>
    </row>
    <row r="494" customFormat="false" ht="15" hidden="false" customHeight="false" outlineLevel="0" collapsed="false">
      <c r="A494" s="102"/>
      <c r="B494" s="104"/>
      <c r="C494" s="104"/>
      <c r="F494" s="103" t="str">
        <f aca="false">IF(OR($C494="",$D494=0),"",$E494/$D494)</f>
        <v/>
      </c>
      <c r="H494" s="0" t="str">
        <f aca="false">IF($C494="","",IF(COUNTIF('مواد المخزون'!$A$2:$A$86,$C494)&gt;0,"نعم","لا (خارج الجرد)"))</f>
        <v/>
      </c>
    </row>
    <row r="495" customFormat="false" ht="15" hidden="false" customHeight="false" outlineLevel="0" collapsed="false">
      <c r="A495" s="102"/>
      <c r="B495" s="104"/>
      <c r="C495" s="104"/>
      <c r="F495" s="103" t="str">
        <f aca="false">IF(OR($C495="",$D495=0),"",$E495/$D495)</f>
        <v/>
      </c>
      <c r="H495" s="0" t="str">
        <f aca="false">IF($C495="","",IF(COUNTIF('مواد المخزون'!$A$2:$A$86,$C495)&gt;0,"نعم","لا (خارج الجرد)"))</f>
        <v/>
      </c>
    </row>
    <row r="496" customFormat="false" ht="15" hidden="false" customHeight="false" outlineLevel="0" collapsed="false">
      <c r="A496" s="102"/>
      <c r="B496" s="104"/>
      <c r="C496" s="104"/>
      <c r="F496" s="103" t="str">
        <f aca="false">IF(OR($C496="",$D496=0),"",$E496/$D496)</f>
        <v/>
      </c>
      <c r="H496" s="0" t="str">
        <f aca="false">IF($C496="","",IF(COUNTIF('مواد المخزون'!$A$2:$A$86,$C496)&gt;0,"نعم","لا (خارج الجرد)"))</f>
        <v/>
      </c>
    </row>
    <row r="497" customFormat="false" ht="15" hidden="false" customHeight="false" outlineLevel="0" collapsed="false">
      <c r="A497" s="102"/>
      <c r="B497" s="104"/>
      <c r="C497" s="104"/>
      <c r="F497" s="103" t="str">
        <f aca="false">IF(OR($C497="",$D497=0),"",$E497/$D497)</f>
        <v/>
      </c>
      <c r="H497" s="0" t="str">
        <f aca="false">IF($C497="","",IF(COUNTIF('مواد المخزون'!$A$2:$A$86,$C497)&gt;0,"نعم","لا (خارج الجرد)"))</f>
        <v/>
      </c>
    </row>
    <row r="498" customFormat="false" ht="15" hidden="false" customHeight="false" outlineLevel="0" collapsed="false">
      <c r="A498" s="102"/>
      <c r="B498" s="104"/>
      <c r="C498" s="104"/>
      <c r="F498" s="103" t="str">
        <f aca="false">IF(OR($C498="",$D498=0),"",$E498/$D498)</f>
        <v/>
      </c>
      <c r="H498" s="0" t="str">
        <f aca="false">IF($C498="","",IF(COUNTIF('مواد المخزون'!$A$2:$A$86,$C498)&gt;0,"نعم","لا (خارج الجرد)"))</f>
        <v/>
      </c>
    </row>
    <row r="499" customFormat="false" ht="15" hidden="false" customHeight="false" outlineLevel="0" collapsed="false">
      <c r="A499" s="102"/>
      <c r="B499" s="104"/>
      <c r="C499" s="104"/>
      <c r="F499" s="103" t="str">
        <f aca="false">IF(OR($C499="",$D499=0),"",$E499/$D499)</f>
        <v/>
      </c>
      <c r="H499" s="0" t="str">
        <f aca="false">IF($C499="","",IF(COUNTIF('مواد المخزون'!$A$2:$A$86,$C499)&gt;0,"نعم","لا (خارج الجرد)"))</f>
        <v/>
      </c>
    </row>
    <row r="500" customFormat="false" ht="15" hidden="false" customHeight="false" outlineLevel="0" collapsed="false">
      <c r="A500" s="102"/>
      <c r="B500" s="104"/>
      <c r="C500" s="104"/>
      <c r="F500" s="103" t="str">
        <f aca="false">IF(OR($C500="",$D500=0),"",$E500/$D500)</f>
        <v/>
      </c>
      <c r="H500" s="0" t="str">
        <f aca="false">IF($C500="","",IF(COUNTIF('مواد المخزون'!$A$2:$A$86,$C500)&gt;0,"نعم","لا (خارج الجرد)"))</f>
        <v/>
      </c>
    </row>
    <row r="501" customFormat="false" ht="15" hidden="false" customHeight="false" outlineLevel="0" collapsed="false">
      <c r="A501" s="102"/>
      <c r="B501" s="104"/>
      <c r="C501" s="104"/>
      <c r="F501" s="103" t="str">
        <f aca="false">IF(OR($C501="",$D501=0),"",$E501/$D501)</f>
        <v/>
      </c>
      <c r="H501" s="0" t="str">
        <f aca="false">IF($C501="","",IF(COUNTIF('مواد المخزون'!$A$2:$A$86,$C501)&gt;0,"نعم","لا (خارج الجرد)"))</f>
        <v/>
      </c>
    </row>
    <row r="502" customFormat="false" ht="15" hidden="false" customHeight="false" outlineLevel="0" collapsed="false">
      <c r="A502" s="102"/>
      <c r="B502" s="104"/>
      <c r="C502" s="104"/>
      <c r="F502" s="103" t="str">
        <f aca="false">IF(OR($C502="",$D502=0),"",$E502/$D502)</f>
        <v/>
      </c>
      <c r="H502" s="0" t="str">
        <f aca="false">IF($C502="","",IF(COUNTIF('مواد المخزون'!$A$2:$A$86,$C502)&gt;0,"نعم","لا (خارج الجرد)"))</f>
        <v/>
      </c>
    </row>
    <row r="503" customFormat="false" ht="15" hidden="false" customHeight="false" outlineLevel="0" collapsed="false">
      <c r="A503" s="102"/>
      <c r="B503" s="104"/>
      <c r="C503" s="104"/>
      <c r="F503" s="103" t="str">
        <f aca="false">IF(OR($C503="",$D503=0),"",$E503/$D503)</f>
        <v/>
      </c>
      <c r="H503" s="0" t="str">
        <f aca="false">IF($C503="","",IF(COUNTIF('مواد المخزون'!$A$2:$A$86,$C503)&gt;0,"نعم","لا (خارج الجرد)"))</f>
        <v/>
      </c>
    </row>
    <row r="504" customFormat="false" ht="15" hidden="false" customHeight="false" outlineLevel="0" collapsed="false">
      <c r="A504" s="102"/>
      <c r="B504" s="104"/>
      <c r="C504" s="104"/>
      <c r="F504" s="103" t="str">
        <f aca="false">IF(OR($C504="",$D504=0),"",$E504/$D504)</f>
        <v/>
      </c>
      <c r="H504" s="0" t="str">
        <f aca="false">IF($C504="","",IF(COUNTIF('مواد المخزون'!$A$2:$A$86,$C504)&gt;0,"نعم","لا (خارج الجرد)"))</f>
        <v/>
      </c>
    </row>
    <row r="505" customFormat="false" ht="15" hidden="false" customHeight="false" outlineLevel="0" collapsed="false">
      <c r="A505" s="102"/>
      <c r="B505" s="104"/>
      <c r="C505" s="104"/>
      <c r="F505" s="103" t="str">
        <f aca="false">IF(OR($C505="",$D505=0),"",$E505/$D505)</f>
        <v/>
      </c>
      <c r="H505" s="0" t="str">
        <f aca="false">IF($C505="","",IF(COUNTIF('مواد المخزون'!$A$2:$A$86,$C505)&gt;0,"نعم","لا (خارج الجرد)"))</f>
        <v/>
      </c>
    </row>
    <row r="506" customFormat="false" ht="15" hidden="false" customHeight="false" outlineLevel="0" collapsed="false">
      <c r="A506" s="102"/>
      <c r="B506" s="104"/>
      <c r="C506" s="104"/>
      <c r="F506" s="103" t="str">
        <f aca="false">IF(OR($C506="",$D506=0),"",$E506/$D506)</f>
        <v/>
      </c>
      <c r="H506" s="0" t="str">
        <f aca="false">IF($C506="","",IF(COUNTIF('مواد المخزون'!$A$2:$A$86,$C506)&gt;0,"نعم","لا (خارج الجرد)"))</f>
        <v/>
      </c>
    </row>
    <row r="507" customFormat="false" ht="15" hidden="false" customHeight="false" outlineLevel="0" collapsed="false">
      <c r="A507" s="102"/>
      <c r="B507" s="104"/>
      <c r="C507" s="104"/>
      <c r="F507" s="103" t="str">
        <f aca="false">IF(OR($C507="",$D507=0),"",$E507/$D507)</f>
        <v/>
      </c>
      <c r="H507" s="0" t="str">
        <f aca="false">IF($C507="","",IF(COUNTIF('مواد المخزون'!$A$2:$A$86,$C507)&gt;0,"نعم","لا (خارج الجرد)"))</f>
        <v/>
      </c>
    </row>
    <row r="508" customFormat="false" ht="15" hidden="false" customHeight="false" outlineLevel="0" collapsed="false">
      <c r="A508" s="102"/>
      <c r="B508" s="104"/>
      <c r="C508" s="104"/>
      <c r="F508" s="103" t="str">
        <f aca="false">IF(OR($C508="",$D508=0),"",$E508/$D508)</f>
        <v/>
      </c>
      <c r="H508" s="0" t="str">
        <f aca="false">IF($C508="","",IF(COUNTIF('مواد المخزون'!$A$2:$A$86,$C508)&gt;0,"نعم","لا (خارج الجرد)"))</f>
        <v/>
      </c>
    </row>
    <row r="509" customFormat="false" ht="15" hidden="false" customHeight="false" outlineLevel="0" collapsed="false">
      <c r="A509" s="102"/>
      <c r="B509" s="104"/>
      <c r="C509" s="104"/>
      <c r="F509" s="103" t="str">
        <f aca="false">IF(OR($C509="",$D509=0),"",$E509/$D509)</f>
        <v/>
      </c>
      <c r="H509" s="0" t="str">
        <f aca="false">IF($C509="","",IF(COUNTIF('مواد المخزون'!$A$2:$A$86,$C509)&gt;0,"نعم","لا (خارج الجرد)"))</f>
        <v/>
      </c>
    </row>
    <row r="510" customFormat="false" ht="15" hidden="false" customHeight="false" outlineLevel="0" collapsed="false">
      <c r="A510" s="102"/>
      <c r="B510" s="104"/>
      <c r="C510" s="104"/>
      <c r="F510" s="103" t="str">
        <f aca="false">IF(OR($C510="",$D510=0),"",$E510/$D510)</f>
        <v/>
      </c>
      <c r="H510" s="0" t="str">
        <f aca="false">IF($C510="","",IF(COUNTIF('مواد المخزون'!$A$2:$A$86,$C510)&gt;0,"نعم","لا (خارج الجرد)"))</f>
        <v/>
      </c>
    </row>
    <row r="511" customFormat="false" ht="15" hidden="false" customHeight="false" outlineLevel="0" collapsed="false">
      <c r="A511" s="102"/>
      <c r="B511" s="104"/>
      <c r="C511" s="104"/>
      <c r="F511" s="103" t="str">
        <f aca="false">IF(OR($C511="",$D511=0),"",$E511/$D511)</f>
        <v/>
      </c>
      <c r="H511" s="0" t="str">
        <f aca="false">IF($C511="","",IF(COUNTIF('مواد المخزون'!$A$2:$A$86,$C511)&gt;0,"نعم","لا (خارج الجرد)"))</f>
        <v/>
      </c>
    </row>
    <row r="512" customFormat="false" ht="15" hidden="false" customHeight="false" outlineLevel="0" collapsed="false">
      <c r="A512" s="102"/>
      <c r="B512" s="104"/>
      <c r="C512" s="104"/>
      <c r="F512" s="103" t="str">
        <f aca="false">IF(OR($C512="",$D512=0),"",$E512/$D512)</f>
        <v/>
      </c>
      <c r="H512" s="0" t="str">
        <f aca="false">IF($C512="","",IF(COUNTIF('مواد المخزون'!$A$2:$A$86,$C512)&gt;0,"نعم","لا (خارج الجرد)"))</f>
        <v/>
      </c>
    </row>
    <row r="513" customFormat="false" ht="15" hidden="false" customHeight="false" outlineLevel="0" collapsed="false">
      <c r="A513" s="102"/>
      <c r="B513" s="104"/>
      <c r="C513" s="104"/>
      <c r="F513" s="103" t="str">
        <f aca="false">IF(OR($C513="",$D513=0),"",$E513/$D513)</f>
        <v/>
      </c>
      <c r="H513" s="0" t="str">
        <f aca="false">IF($C513="","",IF(COUNTIF('مواد المخزون'!$A$2:$A$86,$C513)&gt;0,"نعم","لا (خارج الجرد)"))</f>
        <v/>
      </c>
    </row>
    <row r="514" customFormat="false" ht="15" hidden="false" customHeight="false" outlineLevel="0" collapsed="false">
      <c r="A514" s="102"/>
      <c r="B514" s="104"/>
      <c r="C514" s="104"/>
      <c r="F514" s="103" t="str">
        <f aca="false">IF(OR($C514="",$D514=0),"",$E514/$D514)</f>
        <v/>
      </c>
      <c r="H514" s="0" t="str">
        <f aca="false">IF($C514="","",IF(COUNTIF('مواد المخزون'!$A$2:$A$86,$C514)&gt;0,"نعم","لا (خارج الجرد)"))</f>
        <v/>
      </c>
    </row>
    <row r="515" customFormat="false" ht="15" hidden="false" customHeight="false" outlineLevel="0" collapsed="false">
      <c r="A515" s="102"/>
      <c r="B515" s="104"/>
      <c r="C515" s="104"/>
      <c r="F515" s="103" t="str">
        <f aca="false">IF(OR($C515="",$D515=0),"",$E515/$D515)</f>
        <v/>
      </c>
      <c r="H515" s="0" t="str">
        <f aca="false">IF($C515="","",IF(COUNTIF('مواد المخزون'!$A$2:$A$86,$C515)&gt;0,"نعم","لا (خارج الجرد)"))</f>
        <v/>
      </c>
    </row>
    <row r="516" customFormat="false" ht="15" hidden="false" customHeight="false" outlineLevel="0" collapsed="false">
      <c r="A516" s="102"/>
      <c r="B516" s="104"/>
      <c r="C516" s="104"/>
      <c r="F516" s="103" t="str">
        <f aca="false">IF(OR($C516="",$D516=0),"",$E516/$D516)</f>
        <v/>
      </c>
      <c r="H516" s="0" t="str">
        <f aca="false">IF($C516="","",IF(COUNTIF('مواد المخزون'!$A$2:$A$86,$C516)&gt;0,"نعم","لا (خارج الجرد)"))</f>
        <v/>
      </c>
    </row>
    <row r="517" customFormat="false" ht="15" hidden="false" customHeight="false" outlineLevel="0" collapsed="false">
      <c r="A517" s="102"/>
      <c r="B517" s="104"/>
      <c r="C517" s="104"/>
      <c r="F517" s="103" t="str">
        <f aca="false">IF(OR($C517="",$D517=0),"",$E517/$D517)</f>
        <v/>
      </c>
      <c r="H517" s="0" t="str">
        <f aca="false">IF($C517="","",IF(COUNTIF('مواد المخزون'!$A$2:$A$86,$C517)&gt;0,"نعم","لا (خارج الجرد)"))</f>
        <v/>
      </c>
    </row>
    <row r="518" customFormat="false" ht="15" hidden="false" customHeight="false" outlineLevel="0" collapsed="false">
      <c r="A518" s="102"/>
      <c r="B518" s="104"/>
      <c r="C518" s="104"/>
      <c r="F518" s="103" t="str">
        <f aca="false">IF(OR($C518="",$D518=0),"",$E518/$D518)</f>
        <v/>
      </c>
      <c r="H518" s="0" t="str">
        <f aca="false">IF($C518="","",IF(COUNTIF('مواد المخزون'!$A$2:$A$86,$C518)&gt;0,"نعم","لا (خارج الجرد)"))</f>
        <v/>
      </c>
    </row>
    <row r="519" customFormat="false" ht="15" hidden="false" customHeight="false" outlineLevel="0" collapsed="false">
      <c r="A519" s="102"/>
      <c r="B519" s="104"/>
      <c r="C519" s="104"/>
      <c r="F519" s="103" t="str">
        <f aca="false">IF(OR($C519="",$D519=0),"",$E519/$D519)</f>
        <v/>
      </c>
      <c r="H519" s="0" t="str">
        <f aca="false">IF($C519="","",IF(COUNTIF('مواد المخزون'!$A$2:$A$86,$C519)&gt;0,"نعم","لا (خارج الجرد)"))</f>
        <v/>
      </c>
    </row>
    <row r="520" customFormat="false" ht="15" hidden="false" customHeight="false" outlineLevel="0" collapsed="false">
      <c r="A520" s="102"/>
      <c r="B520" s="104"/>
      <c r="C520" s="104"/>
      <c r="F520" s="103" t="str">
        <f aca="false">IF(OR($C520="",$D520=0),"",$E520/$D520)</f>
        <v/>
      </c>
      <c r="H520" s="0" t="str">
        <f aca="false">IF($C520="","",IF(COUNTIF('مواد المخزون'!$A$2:$A$86,$C520)&gt;0,"نعم","لا (خارج الجرد)"))</f>
        <v/>
      </c>
    </row>
    <row r="521" customFormat="false" ht="15" hidden="false" customHeight="false" outlineLevel="0" collapsed="false">
      <c r="A521" s="102"/>
      <c r="B521" s="104"/>
      <c r="C521" s="104"/>
      <c r="F521" s="103" t="str">
        <f aca="false">IF(OR($C521="",$D521=0),"",$E521/$D521)</f>
        <v/>
      </c>
      <c r="H521" s="0" t="str">
        <f aca="false">IF($C521="","",IF(COUNTIF('مواد المخزون'!$A$2:$A$86,$C521)&gt;0,"نعم","لا (خارج الجرد)"))</f>
        <v/>
      </c>
    </row>
    <row r="522" customFormat="false" ht="15" hidden="false" customHeight="false" outlineLevel="0" collapsed="false">
      <c r="A522" s="102"/>
      <c r="B522" s="104"/>
      <c r="C522" s="104"/>
      <c r="F522" s="103" t="str">
        <f aca="false">IF(OR($C522="",$D522=0),"",$E522/$D522)</f>
        <v/>
      </c>
      <c r="H522" s="0" t="str">
        <f aca="false">IF($C522="","",IF(COUNTIF('مواد المخزون'!$A$2:$A$86,$C522)&gt;0,"نعم","لا (خارج الجرد)"))</f>
        <v/>
      </c>
    </row>
    <row r="523" customFormat="false" ht="15" hidden="false" customHeight="false" outlineLevel="0" collapsed="false">
      <c r="A523" s="102"/>
      <c r="B523" s="104"/>
      <c r="C523" s="104"/>
      <c r="F523" s="103" t="str">
        <f aca="false">IF(OR($C523="",$D523=0),"",$E523/$D523)</f>
        <v/>
      </c>
      <c r="H523" s="0" t="str">
        <f aca="false">IF($C523="","",IF(COUNTIF('مواد المخزون'!$A$2:$A$86,$C523)&gt;0,"نعم","لا (خارج الجرد)"))</f>
        <v/>
      </c>
    </row>
    <row r="524" customFormat="false" ht="15" hidden="false" customHeight="false" outlineLevel="0" collapsed="false">
      <c r="A524" s="102"/>
      <c r="B524" s="104"/>
      <c r="C524" s="104"/>
      <c r="F524" s="103" t="str">
        <f aca="false">IF(OR($C524="",$D524=0),"",$E524/$D524)</f>
        <v/>
      </c>
      <c r="H524" s="0" t="str">
        <f aca="false">IF($C524="","",IF(COUNTIF('مواد المخزون'!$A$2:$A$86,$C524)&gt;0,"نعم","لا (خارج الجرد)"))</f>
        <v/>
      </c>
    </row>
    <row r="525" customFormat="false" ht="15" hidden="false" customHeight="false" outlineLevel="0" collapsed="false">
      <c r="A525" s="102"/>
      <c r="B525" s="104"/>
      <c r="C525" s="104"/>
      <c r="F525" s="103" t="str">
        <f aca="false">IF(OR($C525="",$D525=0),"",$E525/$D525)</f>
        <v/>
      </c>
      <c r="H525" s="0" t="str">
        <f aca="false">IF($C525="","",IF(COUNTIF('مواد المخزون'!$A$2:$A$86,$C525)&gt;0,"نعم","لا (خارج الجرد)"))</f>
        <v/>
      </c>
    </row>
    <row r="526" customFormat="false" ht="15" hidden="false" customHeight="false" outlineLevel="0" collapsed="false">
      <c r="A526" s="102"/>
      <c r="B526" s="104"/>
      <c r="C526" s="104"/>
      <c r="F526" s="103" t="str">
        <f aca="false">IF(OR($C526="",$D526=0),"",$E526/$D526)</f>
        <v/>
      </c>
      <c r="H526" s="0" t="str">
        <f aca="false">IF($C526="","",IF(COUNTIF('مواد المخزون'!$A$2:$A$86,$C526)&gt;0,"نعم","لا (خارج الجرد)"))</f>
        <v/>
      </c>
    </row>
    <row r="527" customFormat="false" ht="15" hidden="false" customHeight="false" outlineLevel="0" collapsed="false">
      <c r="A527" s="102"/>
      <c r="B527" s="104"/>
      <c r="C527" s="104"/>
      <c r="F527" s="103" t="str">
        <f aca="false">IF(OR($C527="",$D527=0),"",$E527/$D527)</f>
        <v/>
      </c>
      <c r="H527" s="0" t="str">
        <f aca="false">IF($C527="","",IF(COUNTIF('مواد المخزون'!$A$2:$A$86,$C527)&gt;0,"نعم","لا (خارج الجرد)"))</f>
        <v/>
      </c>
    </row>
    <row r="528" customFormat="false" ht="15" hidden="false" customHeight="false" outlineLevel="0" collapsed="false">
      <c r="A528" s="102"/>
      <c r="B528" s="104"/>
      <c r="C528" s="104"/>
      <c r="F528" s="103" t="str">
        <f aca="false">IF(OR($C528="",$D528=0),"",$E528/$D528)</f>
        <v/>
      </c>
      <c r="H528" s="0" t="str">
        <f aca="false">IF($C528="","",IF(COUNTIF('مواد المخزون'!$A$2:$A$86,$C528)&gt;0,"نعم","لا (خارج الجرد)"))</f>
        <v/>
      </c>
    </row>
    <row r="529" customFormat="false" ht="15" hidden="false" customHeight="false" outlineLevel="0" collapsed="false">
      <c r="A529" s="102"/>
      <c r="B529" s="104"/>
      <c r="C529" s="104"/>
      <c r="F529" s="103" t="str">
        <f aca="false">IF(OR($C529="",$D529=0),"",$E529/$D529)</f>
        <v/>
      </c>
      <c r="H529" s="0" t="str">
        <f aca="false">IF($C529="","",IF(COUNTIF('مواد المخزون'!$A$2:$A$86,$C529)&gt;0,"نعم","لا (خارج الجرد)"))</f>
        <v/>
      </c>
    </row>
    <row r="530" customFormat="false" ht="15" hidden="false" customHeight="false" outlineLevel="0" collapsed="false">
      <c r="A530" s="102"/>
      <c r="B530" s="104"/>
      <c r="C530" s="104"/>
      <c r="F530" s="103" t="str">
        <f aca="false">IF(OR($C530="",$D530=0),"",$E530/$D530)</f>
        <v/>
      </c>
      <c r="H530" s="0" t="str">
        <f aca="false">IF($C530="","",IF(COUNTIF('مواد المخزون'!$A$2:$A$86,$C530)&gt;0,"نعم","لا (خارج الجرد)"))</f>
        <v/>
      </c>
    </row>
    <row r="531" customFormat="false" ht="15" hidden="false" customHeight="false" outlineLevel="0" collapsed="false">
      <c r="A531" s="102"/>
      <c r="B531" s="104"/>
      <c r="C531" s="104"/>
      <c r="F531" s="103" t="str">
        <f aca="false">IF(OR($C531="",$D531=0),"",$E531/$D531)</f>
        <v/>
      </c>
      <c r="H531" s="0" t="str">
        <f aca="false">IF($C531="","",IF(COUNTIF('مواد المخزون'!$A$2:$A$86,$C531)&gt;0,"نعم","لا (خارج الجرد)"))</f>
        <v/>
      </c>
    </row>
    <row r="532" customFormat="false" ht="15" hidden="false" customHeight="false" outlineLevel="0" collapsed="false">
      <c r="A532" s="102"/>
      <c r="B532" s="104"/>
      <c r="C532" s="104"/>
      <c r="F532" s="103" t="str">
        <f aca="false">IF(OR($C532="",$D532=0),"",$E532/$D532)</f>
        <v/>
      </c>
      <c r="H532" s="0" t="str">
        <f aca="false">IF($C532="","",IF(COUNTIF('مواد المخزون'!$A$2:$A$86,$C532)&gt;0,"نعم","لا (خارج الجرد)"))</f>
        <v/>
      </c>
    </row>
    <row r="533" customFormat="false" ht="15" hidden="false" customHeight="false" outlineLevel="0" collapsed="false">
      <c r="A533" s="102"/>
      <c r="B533" s="104"/>
      <c r="C533" s="104"/>
      <c r="F533" s="103" t="str">
        <f aca="false">IF(OR($C533="",$D533=0),"",$E533/$D533)</f>
        <v/>
      </c>
      <c r="H533" s="0" t="str">
        <f aca="false">IF($C533="","",IF(COUNTIF('مواد المخزون'!$A$2:$A$86,$C533)&gt;0,"نعم","لا (خارج الجرد)"))</f>
        <v/>
      </c>
    </row>
    <row r="534" customFormat="false" ht="15" hidden="false" customHeight="false" outlineLevel="0" collapsed="false">
      <c r="A534" s="102"/>
      <c r="B534" s="104"/>
      <c r="C534" s="104"/>
      <c r="F534" s="103" t="str">
        <f aca="false">IF(OR($C534="",$D534=0),"",$E534/$D534)</f>
        <v/>
      </c>
      <c r="H534" s="0" t="str">
        <f aca="false">IF($C534="","",IF(COUNTIF('مواد المخزون'!$A$2:$A$86,$C534)&gt;0,"نعم","لا (خارج الجرد)"))</f>
        <v/>
      </c>
    </row>
    <row r="535" customFormat="false" ht="15" hidden="false" customHeight="false" outlineLevel="0" collapsed="false">
      <c r="A535" s="102"/>
      <c r="B535" s="104"/>
      <c r="C535" s="104"/>
      <c r="F535" s="103" t="str">
        <f aca="false">IF(OR($C535="",$D535=0),"",$E535/$D535)</f>
        <v/>
      </c>
      <c r="H535" s="0" t="str">
        <f aca="false">IF($C535="","",IF(COUNTIF('مواد المخزون'!$A$2:$A$86,$C535)&gt;0,"نعم","لا (خارج الجرد)"))</f>
        <v/>
      </c>
    </row>
    <row r="536" customFormat="false" ht="15" hidden="false" customHeight="false" outlineLevel="0" collapsed="false">
      <c r="A536" s="102"/>
      <c r="B536" s="104"/>
      <c r="C536" s="104"/>
      <c r="F536" s="103" t="str">
        <f aca="false">IF(OR($C536="",$D536=0),"",$E536/$D536)</f>
        <v/>
      </c>
      <c r="H536" s="0" t="str">
        <f aca="false">IF($C536="","",IF(COUNTIF('مواد المخزون'!$A$2:$A$86,$C536)&gt;0,"نعم","لا (خارج الجرد)"))</f>
        <v/>
      </c>
    </row>
    <row r="537" customFormat="false" ht="15" hidden="false" customHeight="false" outlineLevel="0" collapsed="false">
      <c r="A537" s="102"/>
      <c r="B537" s="104"/>
      <c r="C537" s="104"/>
      <c r="F537" s="103" t="str">
        <f aca="false">IF(OR($C537="",$D537=0),"",$E537/$D537)</f>
        <v/>
      </c>
      <c r="H537" s="0" t="str">
        <f aca="false">IF($C537="","",IF(COUNTIF('مواد المخزون'!$A$2:$A$86,$C537)&gt;0,"نعم","لا (خارج الجرد)"))</f>
        <v/>
      </c>
    </row>
    <row r="538" customFormat="false" ht="15" hidden="false" customHeight="false" outlineLevel="0" collapsed="false">
      <c r="A538" s="102"/>
      <c r="B538" s="104"/>
      <c r="C538" s="104"/>
      <c r="F538" s="103" t="str">
        <f aca="false">IF(OR($C538="",$D538=0),"",$E538/$D538)</f>
        <v/>
      </c>
      <c r="H538" s="0" t="str">
        <f aca="false">IF($C538="","",IF(COUNTIF('مواد المخزون'!$A$2:$A$86,$C538)&gt;0,"نعم","لا (خارج الجرد)"))</f>
        <v/>
      </c>
    </row>
    <row r="539" customFormat="false" ht="15" hidden="false" customHeight="false" outlineLevel="0" collapsed="false">
      <c r="A539" s="102"/>
      <c r="B539" s="104"/>
      <c r="C539" s="104"/>
      <c r="F539" s="103" t="str">
        <f aca="false">IF(OR($C539="",$D539=0),"",$E539/$D539)</f>
        <v/>
      </c>
      <c r="H539" s="0" t="str">
        <f aca="false">IF($C539="","",IF(COUNTIF('مواد المخزون'!$A$2:$A$86,$C539)&gt;0,"نعم","لا (خارج الجرد)"))</f>
        <v/>
      </c>
    </row>
    <row r="540" customFormat="false" ht="15" hidden="false" customHeight="false" outlineLevel="0" collapsed="false">
      <c r="A540" s="102"/>
      <c r="B540" s="104"/>
      <c r="C540" s="104"/>
      <c r="F540" s="103" t="str">
        <f aca="false">IF(OR($C540="",$D540=0),"",$E540/$D540)</f>
        <v/>
      </c>
      <c r="H540" s="0" t="str">
        <f aca="false">IF($C540="","",IF(COUNTIF('مواد المخزون'!$A$2:$A$86,$C540)&gt;0,"نعم","لا (خارج الجرد)"))</f>
        <v/>
      </c>
    </row>
    <row r="541" customFormat="false" ht="15" hidden="false" customHeight="false" outlineLevel="0" collapsed="false">
      <c r="A541" s="102"/>
      <c r="B541" s="104"/>
      <c r="C541" s="104"/>
      <c r="F541" s="103" t="str">
        <f aca="false">IF(OR($C541="",$D541=0),"",$E541/$D541)</f>
        <v/>
      </c>
      <c r="H541" s="0" t="str">
        <f aca="false">IF($C541="","",IF(COUNTIF('مواد المخزون'!$A$2:$A$86,$C541)&gt;0,"نعم","لا (خارج الجرد)"))</f>
        <v/>
      </c>
    </row>
    <row r="542" customFormat="false" ht="15" hidden="false" customHeight="false" outlineLevel="0" collapsed="false">
      <c r="A542" s="102"/>
      <c r="B542" s="104"/>
      <c r="C542" s="104"/>
      <c r="F542" s="103" t="str">
        <f aca="false">IF(OR($C542="",$D542=0),"",$E542/$D542)</f>
        <v/>
      </c>
      <c r="H542" s="0" t="str">
        <f aca="false">IF($C542="","",IF(COUNTIF('مواد المخزون'!$A$2:$A$86,$C542)&gt;0,"نعم","لا (خارج الجرد)"))</f>
        <v/>
      </c>
    </row>
    <row r="543" customFormat="false" ht="15" hidden="false" customHeight="false" outlineLevel="0" collapsed="false">
      <c r="A543" s="102"/>
      <c r="B543" s="104"/>
      <c r="C543" s="104"/>
      <c r="F543" s="103" t="str">
        <f aca="false">IF(OR($C543="",$D543=0),"",$E543/$D543)</f>
        <v/>
      </c>
      <c r="H543" s="0" t="str">
        <f aca="false">IF($C543="","",IF(COUNTIF('مواد المخزون'!$A$2:$A$86,$C543)&gt;0,"نعم","لا (خارج الجرد)"))</f>
        <v/>
      </c>
    </row>
    <row r="544" customFormat="false" ht="15" hidden="false" customHeight="false" outlineLevel="0" collapsed="false">
      <c r="A544" s="102"/>
      <c r="B544" s="104"/>
      <c r="C544" s="104"/>
      <c r="F544" s="103" t="str">
        <f aca="false">IF(OR($C544="",$D544=0),"",$E544/$D544)</f>
        <v/>
      </c>
      <c r="H544" s="0" t="str">
        <f aca="false">IF($C544="","",IF(COUNTIF('مواد المخزون'!$A$2:$A$86,$C544)&gt;0,"نعم","لا (خارج الجرد)"))</f>
        <v/>
      </c>
    </row>
    <row r="545" customFormat="false" ht="15" hidden="false" customHeight="false" outlineLevel="0" collapsed="false">
      <c r="A545" s="102"/>
      <c r="B545" s="104"/>
      <c r="C545" s="104"/>
      <c r="F545" s="103" t="str">
        <f aca="false">IF(OR($C545="",$D545=0),"",$E545/$D545)</f>
        <v/>
      </c>
      <c r="H545" s="0" t="str">
        <f aca="false">IF($C545="","",IF(COUNTIF('مواد المخزون'!$A$2:$A$86,$C545)&gt;0,"نعم","لا (خارج الجرد)"))</f>
        <v/>
      </c>
    </row>
    <row r="546" customFormat="false" ht="15" hidden="false" customHeight="false" outlineLevel="0" collapsed="false">
      <c r="A546" s="102"/>
      <c r="B546" s="104"/>
      <c r="C546" s="104"/>
      <c r="F546" s="103" t="str">
        <f aca="false">IF(OR($C546="",$D546=0),"",$E546/$D546)</f>
        <v/>
      </c>
      <c r="H546" s="0" t="str">
        <f aca="false">IF($C546="","",IF(COUNTIF('مواد المخزون'!$A$2:$A$86,$C546)&gt;0,"نعم","لا (خارج الجرد)"))</f>
        <v/>
      </c>
    </row>
    <row r="547" customFormat="false" ht="15" hidden="false" customHeight="false" outlineLevel="0" collapsed="false">
      <c r="A547" s="102"/>
      <c r="B547" s="104"/>
      <c r="C547" s="104"/>
      <c r="F547" s="103" t="str">
        <f aca="false">IF(OR($C547="",$D547=0),"",$E547/$D547)</f>
        <v/>
      </c>
      <c r="H547" s="0" t="str">
        <f aca="false">IF($C547="","",IF(COUNTIF('مواد المخزون'!$A$2:$A$86,$C547)&gt;0,"نعم","لا (خارج الجرد)"))</f>
        <v/>
      </c>
    </row>
    <row r="548" customFormat="false" ht="15" hidden="false" customHeight="false" outlineLevel="0" collapsed="false">
      <c r="A548" s="102"/>
      <c r="B548" s="104"/>
      <c r="C548" s="104"/>
      <c r="F548" s="103" t="str">
        <f aca="false">IF(OR($C548="",$D548=0),"",$E548/$D548)</f>
        <v/>
      </c>
      <c r="H548" s="0" t="str">
        <f aca="false">IF($C548="","",IF(COUNTIF('مواد المخزون'!$A$2:$A$86,$C548)&gt;0,"نعم","لا (خارج الجرد)"))</f>
        <v/>
      </c>
    </row>
    <row r="549" customFormat="false" ht="15" hidden="false" customHeight="false" outlineLevel="0" collapsed="false">
      <c r="A549" s="102"/>
      <c r="B549" s="104"/>
      <c r="C549" s="104"/>
      <c r="F549" s="103" t="str">
        <f aca="false">IF(OR($C549="",$D549=0),"",$E549/$D549)</f>
        <v/>
      </c>
      <c r="H549" s="0" t="str">
        <f aca="false">IF($C549="","",IF(COUNTIF('مواد المخزون'!$A$2:$A$86,$C549)&gt;0,"نعم","لا (خارج الجرد)"))</f>
        <v/>
      </c>
    </row>
    <row r="550" customFormat="false" ht="15" hidden="false" customHeight="false" outlineLevel="0" collapsed="false">
      <c r="A550" s="102"/>
      <c r="B550" s="104"/>
      <c r="C550" s="104"/>
      <c r="F550" s="103" t="str">
        <f aca="false">IF(OR($C550="",$D550=0),"",$E550/$D550)</f>
        <v/>
      </c>
      <c r="H550" s="0" t="str">
        <f aca="false">IF($C550="","",IF(COUNTIF('مواد المخزون'!$A$2:$A$86,$C550)&gt;0,"نعم","لا (خارج الجرد)"))</f>
        <v/>
      </c>
    </row>
    <row r="551" customFormat="false" ht="15" hidden="false" customHeight="false" outlineLevel="0" collapsed="false">
      <c r="A551" s="102"/>
      <c r="B551" s="104"/>
      <c r="C551" s="104"/>
      <c r="F551" s="103" t="str">
        <f aca="false">IF(OR($C551="",$D551=0),"",$E551/$D551)</f>
        <v/>
      </c>
      <c r="H551" s="0" t="str">
        <f aca="false">IF($C551="","",IF(COUNTIF('مواد المخزون'!$A$2:$A$86,$C551)&gt;0,"نعم","لا (خارج الجرد)"))</f>
        <v/>
      </c>
    </row>
    <row r="552" customFormat="false" ht="15" hidden="false" customHeight="false" outlineLevel="0" collapsed="false">
      <c r="A552" s="102"/>
      <c r="B552" s="104"/>
      <c r="C552" s="104"/>
      <c r="F552" s="103" t="str">
        <f aca="false">IF(OR($C552="",$D552=0),"",$E552/$D552)</f>
        <v/>
      </c>
      <c r="H552" s="0" t="str">
        <f aca="false">IF($C552="","",IF(COUNTIF('مواد المخزون'!$A$2:$A$86,$C552)&gt;0,"نعم","لا (خارج الجرد)"))</f>
        <v/>
      </c>
    </row>
    <row r="553" customFormat="false" ht="15" hidden="false" customHeight="false" outlineLevel="0" collapsed="false">
      <c r="A553" s="102"/>
      <c r="B553" s="104"/>
      <c r="C553" s="104"/>
      <c r="F553" s="103" t="str">
        <f aca="false">IF(OR($C553="",$D553=0),"",$E553/$D553)</f>
        <v/>
      </c>
      <c r="H553" s="0" t="str">
        <f aca="false">IF($C553="","",IF(COUNTIF('مواد المخزون'!$A$2:$A$86,$C553)&gt;0,"نعم","لا (خارج الجرد)"))</f>
        <v/>
      </c>
    </row>
    <row r="554" customFormat="false" ht="15" hidden="false" customHeight="false" outlineLevel="0" collapsed="false">
      <c r="A554" s="102"/>
      <c r="B554" s="104"/>
      <c r="C554" s="104"/>
      <c r="F554" s="103" t="str">
        <f aca="false">IF(OR($C554="",$D554=0),"",$E554/$D554)</f>
        <v/>
      </c>
      <c r="H554" s="0" t="str">
        <f aca="false">IF($C554="","",IF(COUNTIF('مواد المخزون'!$A$2:$A$86,$C554)&gt;0,"نعم","لا (خارج الجرد)"))</f>
        <v/>
      </c>
    </row>
    <row r="555" customFormat="false" ht="15" hidden="false" customHeight="false" outlineLevel="0" collapsed="false">
      <c r="A555" s="102"/>
      <c r="B555" s="104"/>
      <c r="C555" s="104"/>
      <c r="F555" s="103" t="str">
        <f aca="false">IF(OR($C555="",$D555=0),"",$E555/$D555)</f>
        <v/>
      </c>
      <c r="H555" s="0" t="str">
        <f aca="false">IF($C555="","",IF(COUNTIF('مواد المخزون'!$A$2:$A$86,$C555)&gt;0,"نعم","لا (خارج الجرد)"))</f>
        <v/>
      </c>
    </row>
    <row r="556" customFormat="false" ht="15" hidden="false" customHeight="false" outlineLevel="0" collapsed="false">
      <c r="A556" s="102"/>
      <c r="B556" s="104"/>
      <c r="C556" s="104"/>
      <c r="F556" s="103" t="str">
        <f aca="false">IF(OR($C556="",$D556=0),"",$E556/$D556)</f>
        <v/>
      </c>
      <c r="H556" s="0" t="str">
        <f aca="false">IF($C556="","",IF(COUNTIF('مواد المخزون'!$A$2:$A$86,$C556)&gt;0,"نعم","لا (خارج الجرد)"))</f>
        <v/>
      </c>
    </row>
    <row r="557" customFormat="false" ht="15" hidden="false" customHeight="false" outlineLevel="0" collapsed="false">
      <c r="A557" s="102"/>
      <c r="B557" s="104"/>
      <c r="C557" s="104"/>
      <c r="F557" s="103" t="str">
        <f aca="false">IF(OR($C557="",$D557=0),"",$E557/$D557)</f>
        <v/>
      </c>
      <c r="H557" s="0" t="str">
        <f aca="false">IF($C557="","",IF(COUNTIF('مواد المخزون'!$A$2:$A$86,$C557)&gt;0,"نعم","لا (خارج الجرد)"))</f>
        <v/>
      </c>
    </row>
    <row r="558" customFormat="false" ht="15" hidden="false" customHeight="false" outlineLevel="0" collapsed="false">
      <c r="A558" s="102"/>
      <c r="B558" s="104"/>
      <c r="C558" s="104"/>
      <c r="F558" s="103" t="str">
        <f aca="false">IF(OR($C558="",$D558=0),"",$E558/$D558)</f>
        <v/>
      </c>
      <c r="H558" s="0" t="str">
        <f aca="false">IF($C558="","",IF(COUNTIF('مواد المخزون'!$A$2:$A$86,$C558)&gt;0,"نعم","لا (خارج الجرد)"))</f>
        <v/>
      </c>
    </row>
    <row r="559" customFormat="false" ht="15" hidden="false" customHeight="false" outlineLevel="0" collapsed="false">
      <c r="A559" s="102"/>
      <c r="B559" s="104"/>
      <c r="C559" s="104"/>
      <c r="F559" s="103" t="str">
        <f aca="false">IF(OR($C559="",$D559=0),"",$E559/$D559)</f>
        <v/>
      </c>
      <c r="H559" s="0" t="str">
        <f aca="false">IF($C559="","",IF(COUNTIF('مواد المخزون'!$A$2:$A$86,$C559)&gt;0,"نعم","لا (خارج الجرد)"))</f>
        <v/>
      </c>
    </row>
    <row r="560" customFormat="false" ht="15" hidden="false" customHeight="false" outlineLevel="0" collapsed="false">
      <c r="A560" s="102"/>
      <c r="B560" s="104"/>
      <c r="C560" s="104"/>
      <c r="F560" s="103" t="str">
        <f aca="false">IF(OR($C560="",$D560=0),"",$E560/$D560)</f>
        <v/>
      </c>
      <c r="H560" s="0" t="str">
        <f aca="false">IF($C560="","",IF(COUNTIF('مواد المخزون'!$A$2:$A$86,$C560)&gt;0,"نعم","لا (خارج الجرد)"))</f>
        <v/>
      </c>
    </row>
    <row r="561" customFormat="false" ht="15" hidden="false" customHeight="false" outlineLevel="0" collapsed="false">
      <c r="A561" s="102"/>
      <c r="B561" s="104"/>
      <c r="C561" s="104"/>
      <c r="F561" s="103" t="str">
        <f aca="false">IF(OR($C561="",$D561=0),"",$E561/$D561)</f>
        <v/>
      </c>
      <c r="H561" s="0" t="str">
        <f aca="false">IF($C561="","",IF(COUNTIF('مواد المخزون'!$A$2:$A$86,$C561)&gt;0,"نعم","لا (خارج الجرد)"))</f>
        <v/>
      </c>
    </row>
    <row r="562" customFormat="false" ht="15" hidden="false" customHeight="false" outlineLevel="0" collapsed="false">
      <c r="A562" s="102"/>
      <c r="B562" s="104"/>
      <c r="C562" s="104"/>
      <c r="F562" s="103" t="str">
        <f aca="false">IF(OR($C562="",$D562=0),"",$E562/$D562)</f>
        <v/>
      </c>
      <c r="H562" s="0" t="str">
        <f aca="false">IF($C562="","",IF(COUNTIF('مواد المخزون'!$A$2:$A$86,$C562)&gt;0,"نعم","لا (خارج الجرد)"))</f>
        <v/>
      </c>
    </row>
    <row r="563" customFormat="false" ht="15" hidden="false" customHeight="false" outlineLevel="0" collapsed="false">
      <c r="A563" s="102"/>
      <c r="B563" s="104"/>
      <c r="C563" s="104"/>
      <c r="F563" s="103" t="str">
        <f aca="false">IF(OR($C563="",$D563=0),"",$E563/$D563)</f>
        <v/>
      </c>
      <c r="H563" s="0" t="str">
        <f aca="false">IF($C563="","",IF(COUNTIF('مواد المخزون'!$A$2:$A$86,$C563)&gt;0,"نعم","لا (خارج الجرد)"))</f>
        <v/>
      </c>
    </row>
    <row r="564" customFormat="false" ht="15" hidden="false" customHeight="false" outlineLevel="0" collapsed="false">
      <c r="A564" s="102"/>
      <c r="B564" s="104"/>
      <c r="C564" s="104"/>
      <c r="F564" s="103" t="str">
        <f aca="false">IF(OR($C564="",$D564=0),"",$E564/$D564)</f>
        <v/>
      </c>
      <c r="H564" s="0" t="str">
        <f aca="false">IF($C564="","",IF(COUNTIF('مواد المخزون'!$A$2:$A$86,$C564)&gt;0,"نعم","لا (خارج الجرد)"))</f>
        <v/>
      </c>
    </row>
    <row r="565" customFormat="false" ht="15" hidden="false" customHeight="false" outlineLevel="0" collapsed="false">
      <c r="A565" s="102"/>
      <c r="B565" s="104"/>
      <c r="C565" s="104"/>
      <c r="F565" s="103" t="str">
        <f aca="false">IF(OR($C565="",$D565=0),"",$E565/$D565)</f>
        <v/>
      </c>
      <c r="H565" s="0" t="str">
        <f aca="false">IF($C565="","",IF(COUNTIF('مواد المخزون'!$A$2:$A$86,$C565)&gt;0,"نعم","لا (خارج الجرد)"))</f>
        <v/>
      </c>
    </row>
    <row r="566" customFormat="false" ht="15" hidden="false" customHeight="false" outlineLevel="0" collapsed="false">
      <c r="A566" s="102"/>
      <c r="B566" s="104"/>
      <c r="C566" s="104"/>
      <c r="F566" s="103" t="str">
        <f aca="false">IF(OR($C566="",$D566=0),"",$E566/$D566)</f>
        <v/>
      </c>
      <c r="H566" s="0" t="str">
        <f aca="false">IF($C566="","",IF(COUNTIF('مواد المخزون'!$A$2:$A$86,$C566)&gt;0,"نعم","لا (خارج الجرد)"))</f>
        <v/>
      </c>
    </row>
    <row r="567" customFormat="false" ht="15" hidden="false" customHeight="false" outlineLevel="0" collapsed="false">
      <c r="A567" s="102"/>
      <c r="B567" s="104"/>
      <c r="C567" s="104"/>
      <c r="F567" s="103" t="str">
        <f aca="false">IF(OR($C567="",$D567=0),"",$E567/$D567)</f>
        <v/>
      </c>
      <c r="H567" s="0" t="str">
        <f aca="false">IF($C567="","",IF(COUNTIF('مواد المخزون'!$A$2:$A$86,$C567)&gt;0,"نعم","لا (خارج الجرد)"))</f>
        <v/>
      </c>
    </row>
    <row r="568" customFormat="false" ht="15" hidden="false" customHeight="false" outlineLevel="0" collapsed="false">
      <c r="A568" s="102"/>
      <c r="B568" s="104"/>
      <c r="C568" s="104"/>
      <c r="F568" s="103" t="str">
        <f aca="false">IF(OR($C568="",$D568=0),"",$E568/$D568)</f>
        <v/>
      </c>
      <c r="H568" s="0" t="str">
        <f aca="false">IF($C568="","",IF(COUNTIF('مواد المخزون'!$A$2:$A$86,$C568)&gt;0,"نعم","لا (خارج الجرد)"))</f>
        <v/>
      </c>
    </row>
    <row r="569" customFormat="false" ht="15" hidden="false" customHeight="false" outlineLevel="0" collapsed="false">
      <c r="A569" s="102"/>
      <c r="B569" s="104"/>
      <c r="C569" s="104"/>
      <c r="F569" s="103" t="str">
        <f aca="false">IF(OR($C569="",$D569=0),"",$E569/$D569)</f>
        <v/>
      </c>
      <c r="H569" s="0" t="str">
        <f aca="false">IF($C569="","",IF(COUNTIF('مواد المخزون'!$A$2:$A$86,$C569)&gt;0,"نعم","لا (خارج الجرد)"))</f>
        <v/>
      </c>
    </row>
    <row r="570" customFormat="false" ht="15" hidden="false" customHeight="false" outlineLevel="0" collapsed="false">
      <c r="A570" s="102"/>
      <c r="B570" s="104"/>
      <c r="C570" s="104"/>
      <c r="F570" s="103" t="str">
        <f aca="false">IF(OR($C570="",$D570=0),"",$E570/$D570)</f>
        <v/>
      </c>
      <c r="H570" s="0" t="str">
        <f aca="false">IF($C570="","",IF(COUNTIF('مواد المخزون'!$A$2:$A$86,$C570)&gt;0,"نعم","لا (خارج الجرد)"))</f>
        <v/>
      </c>
    </row>
    <row r="571" customFormat="false" ht="15" hidden="false" customHeight="false" outlineLevel="0" collapsed="false">
      <c r="A571" s="102"/>
      <c r="B571" s="104"/>
      <c r="C571" s="104"/>
      <c r="F571" s="103" t="str">
        <f aca="false">IF(OR($C571="",$D571=0),"",$E571/$D571)</f>
        <v/>
      </c>
      <c r="H571" s="0" t="str">
        <f aca="false">IF($C571="","",IF(COUNTIF('مواد المخزون'!$A$2:$A$86,$C571)&gt;0,"نعم","لا (خارج الجرد)"))</f>
        <v/>
      </c>
    </row>
    <row r="572" customFormat="false" ht="15" hidden="false" customHeight="false" outlineLevel="0" collapsed="false">
      <c r="A572" s="102"/>
      <c r="B572" s="104"/>
      <c r="C572" s="104"/>
      <c r="F572" s="103" t="str">
        <f aca="false">IF(OR($C572="",$D572=0),"",$E572/$D572)</f>
        <v/>
      </c>
      <c r="H572" s="0" t="str">
        <f aca="false">IF($C572="","",IF(COUNTIF('مواد المخزون'!$A$2:$A$86,$C572)&gt;0,"نعم","لا (خارج الجرد)"))</f>
        <v/>
      </c>
    </row>
    <row r="573" customFormat="false" ht="15" hidden="false" customHeight="false" outlineLevel="0" collapsed="false">
      <c r="A573" s="102"/>
      <c r="B573" s="104"/>
      <c r="C573" s="104"/>
      <c r="F573" s="103" t="str">
        <f aca="false">IF(OR($C573="",$D573=0),"",$E573/$D573)</f>
        <v/>
      </c>
      <c r="H573" s="0" t="str">
        <f aca="false">IF($C573="","",IF(COUNTIF('مواد المخزون'!$A$2:$A$86,$C573)&gt;0,"نعم","لا (خارج الجرد)"))</f>
        <v/>
      </c>
    </row>
    <row r="574" customFormat="false" ht="15" hidden="false" customHeight="false" outlineLevel="0" collapsed="false">
      <c r="A574" s="102"/>
      <c r="B574" s="104"/>
      <c r="C574" s="104"/>
      <c r="F574" s="103" t="str">
        <f aca="false">IF(OR($C574="",$D574=0),"",$E574/$D574)</f>
        <v/>
      </c>
      <c r="H574" s="0" t="str">
        <f aca="false">IF($C574="","",IF(COUNTIF('مواد المخزون'!$A$2:$A$86,$C574)&gt;0,"نعم","لا (خارج الجرد)"))</f>
        <v/>
      </c>
    </row>
    <row r="575" customFormat="false" ht="15" hidden="false" customHeight="false" outlineLevel="0" collapsed="false">
      <c r="A575" s="102"/>
      <c r="B575" s="104"/>
      <c r="C575" s="104"/>
      <c r="F575" s="103" t="str">
        <f aca="false">IF(OR($C575="",$D575=0),"",$E575/$D575)</f>
        <v/>
      </c>
      <c r="H575" s="0" t="str">
        <f aca="false">IF($C575="","",IF(COUNTIF('مواد المخزون'!$A$2:$A$86,$C575)&gt;0,"نعم","لا (خارج الجرد)"))</f>
        <v/>
      </c>
    </row>
    <row r="576" customFormat="false" ht="15" hidden="false" customHeight="false" outlineLevel="0" collapsed="false">
      <c r="A576" s="102"/>
      <c r="B576" s="104"/>
      <c r="C576" s="104"/>
      <c r="F576" s="103" t="str">
        <f aca="false">IF(OR($C576="",$D576=0),"",$E576/$D576)</f>
        <v/>
      </c>
      <c r="H576" s="0" t="str">
        <f aca="false">IF($C576="","",IF(COUNTIF('مواد المخزون'!$A$2:$A$86,$C576)&gt;0,"نعم","لا (خارج الجرد)"))</f>
        <v/>
      </c>
    </row>
    <row r="577" customFormat="false" ht="15" hidden="false" customHeight="false" outlineLevel="0" collapsed="false">
      <c r="A577" s="102"/>
      <c r="B577" s="104"/>
      <c r="C577" s="104"/>
      <c r="F577" s="103" t="str">
        <f aca="false">IF(OR($C577="",$D577=0),"",$E577/$D577)</f>
        <v/>
      </c>
      <c r="H577" s="0" t="str">
        <f aca="false">IF($C577="","",IF(COUNTIF('مواد المخزون'!$A$2:$A$86,$C577)&gt;0,"نعم","لا (خارج الجرد)"))</f>
        <v/>
      </c>
    </row>
    <row r="578" customFormat="false" ht="15" hidden="false" customHeight="false" outlineLevel="0" collapsed="false">
      <c r="A578" s="102"/>
      <c r="B578" s="104"/>
      <c r="C578" s="104"/>
      <c r="F578" s="103" t="str">
        <f aca="false">IF(OR($C578="",$D578=0),"",$E578/$D578)</f>
        <v/>
      </c>
      <c r="H578" s="0" t="str">
        <f aca="false">IF($C578="","",IF(COUNTIF('مواد المخزون'!$A$2:$A$86,$C578)&gt;0,"نعم","لا (خارج الجرد)"))</f>
        <v/>
      </c>
    </row>
    <row r="579" customFormat="false" ht="15" hidden="false" customHeight="false" outlineLevel="0" collapsed="false">
      <c r="A579" s="102"/>
      <c r="B579" s="104"/>
      <c r="C579" s="104"/>
      <c r="F579" s="103" t="str">
        <f aca="false">IF(OR($C579="",$D579=0),"",$E579/$D579)</f>
        <v/>
      </c>
      <c r="H579" s="0" t="str">
        <f aca="false">IF($C579="","",IF(COUNTIF('مواد المخزون'!$A$2:$A$86,$C579)&gt;0,"نعم","لا (خارج الجرد)"))</f>
        <v/>
      </c>
    </row>
    <row r="580" customFormat="false" ht="15" hidden="false" customHeight="false" outlineLevel="0" collapsed="false">
      <c r="A580" s="102"/>
      <c r="B580" s="104"/>
      <c r="C580" s="104"/>
      <c r="F580" s="103" t="str">
        <f aca="false">IF(OR($C580="",$D580=0),"",$E580/$D580)</f>
        <v/>
      </c>
      <c r="H580" s="0" t="str">
        <f aca="false">IF($C580="","",IF(COUNTIF('مواد المخزون'!$A$2:$A$86,$C580)&gt;0,"نعم","لا (خارج الجرد)"))</f>
        <v/>
      </c>
    </row>
    <row r="581" customFormat="false" ht="15" hidden="false" customHeight="false" outlineLevel="0" collapsed="false">
      <c r="A581" s="102"/>
      <c r="B581" s="104"/>
      <c r="C581" s="104"/>
      <c r="F581" s="103" t="str">
        <f aca="false">IF(OR($C581="",$D581=0),"",$E581/$D581)</f>
        <v/>
      </c>
      <c r="H581" s="0" t="str">
        <f aca="false">IF($C581="","",IF(COUNTIF('مواد المخزون'!$A$2:$A$86,$C581)&gt;0,"نعم","لا (خارج الجرد)"))</f>
        <v/>
      </c>
    </row>
    <row r="582" customFormat="false" ht="15" hidden="false" customHeight="false" outlineLevel="0" collapsed="false">
      <c r="A582" s="102"/>
      <c r="B582" s="104"/>
      <c r="C582" s="104"/>
      <c r="F582" s="103" t="str">
        <f aca="false">IF(OR($C582="",$D582=0),"",$E582/$D582)</f>
        <v/>
      </c>
      <c r="H582" s="0" t="str">
        <f aca="false">IF($C582="","",IF(COUNTIF('مواد المخزون'!$A$2:$A$86,$C582)&gt;0,"نعم","لا (خارج الجرد)"))</f>
        <v/>
      </c>
    </row>
    <row r="583" customFormat="false" ht="15" hidden="false" customHeight="false" outlineLevel="0" collapsed="false">
      <c r="A583" s="102"/>
      <c r="B583" s="104"/>
      <c r="C583" s="104"/>
      <c r="F583" s="103" t="str">
        <f aca="false">IF(OR($C583="",$D583=0),"",$E583/$D583)</f>
        <v/>
      </c>
      <c r="H583" s="0" t="str">
        <f aca="false">IF($C583="","",IF(COUNTIF('مواد المخزون'!$A$2:$A$86,$C583)&gt;0,"نعم","لا (خارج الجرد)"))</f>
        <v/>
      </c>
    </row>
    <row r="584" customFormat="false" ht="15" hidden="false" customHeight="false" outlineLevel="0" collapsed="false">
      <c r="A584" s="102"/>
      <c r="B584" s="104"/>
      <c r="C584" s="104"/>
      <c r="F584" s="103" t="str">
        <f aca="false">IF(OR($C584="",$D584=0),"",$E584/$D584)</f>
        <v/>
      </c>
      <c r="H584" s="0" t="str">
        <f aca="false">IF($C584="","",IF(COUNTIF('مواد المخزون'!$A$2:$A$86,$C584)&gt;0,"نعم","لا (خارج الجرد)"))</f>
        <v/>
      </c>
    </row>
    <row r="585" customFormat="false" ht="15" hidden="false" customHeight="false" outlineLevel="0" collapsed="false">
      <c r="A585" s="102"/>
      <c r="B585" s="104"/>
      <c r="C585" s="104"/>
      <c r="F585" s="103" t="str">
        <f aca="false">IF(OR($C585="",$D585=0),"",$E585/$D585)</f>
        <v/>
      </c>
      <c r="H585" s="0" t="str">
        <f aca="false">IF($C585="","",IF(COUNTIF('مواد المخزون'!$A$2:$A$86,$C585)&gt;0,"نعم","لا (خارج الجرد)"))</f>
        <v/>
      </c>
    </row>
    <row r="586" customFormat="false" ht="15" hidden="false" customHeight="false" outlineLevel="0" collapsed="false">
      <c r="A586" s="102"/>
      <c r="B586" s="104"/>
      <c r="C586" s="104"/>
      <c r="F586" s="103" t="str">
        <f aca="false">IF(OR($C586="",$D586=0),"",$E586/$D586)</f>
        <v/>
      </c>
      <c r="H586" s="0" t="str">
        <f aca="false">IF($C586="","",IF(COUNTIF('مواد المخزون'!$A$2:$A$86,$C586)&gt;0,"نعم","لا (خارج الجرد)"))</f>
        <v/>
      </c>
    </row>
    <row r="587" customFormat="false" ht="15" hidden="false" customHeight="false" outlineLevel="0" collapsed="false">
      <c r="A587" s="102"/>
      <c r="B587" s="104"/>
      <c r="C587" s="104"/>
      <c r="F587" s="103" t="str">
        <f aca="false">IF(OR($C587="",$D587=0),"",$E587/$D587)</f>
        <v/>
      </c>
      <c r="H587" s="0" t="str">
        <f aca="false">IF($C587="","",IF(COUNTIF('مواد المخزون'!$A$2:$A$86,$C587)&gt;0,"نعم","لا (خارج الجرد)"))</f>
        <v/>
      </c>
    </row>
    <row r="588" customFormat="false" ht="15" hidden="false" customHeight="false" outlineLevel="0" collapsed="false">
      <c r="A588" s="102"/>
      <c r="B588" s="104"/>
      <c r="C588" s="104"/>
      <c r="F588" s="103" t="str">
        <f aca="false">IF(OR($C588="",$D588=0),"",$E588/$D588)</f>
        <v/>
      </c>
      <c r="H588" s="0" t="str">
        <f aca="false">IF($C588="","",IF(COUNTIF('مواد المخزون'!$A$2:$A$86,$C588)&gt;0,"نعم","لا (خارج الجرد)"))</f>
        <v/>
      </c>
    </row>
    <row r="589" customFormat="false" ht="15" hidden="false" customHeight="false" outlineLevel="0" collapsed="false">
      <c r="A589" s="102"/>
      <c r="B589" s="104"/>
      <c r="C589" s="104"/>
      <c r="F589" s="103" t="str">
        <f aca="false">IF(OR($C589="",$D589=0),"",$E589/$D589)</f>
        <v/>
      </c>
      <c r="H589" s="0" t="str">
        <f aca="false">IF($C589="","",IF(COUNTIF('مواد المخزون'!$A$2:$A$86,$C589)&gt;0,"نعم","لا (خارج الجرد)"))</f>
        <v/>
      </c>
    </row>
    <row r="590" customFormat="false" ht="15" hidden="false" customHeight="false" outlineLevel="0" collapsed="false">
      <c r="A590" s="102"/>
      <c r="B590" s="104"/>
      <c r="C590" s="104"/>
      <c r="F590" s="103" t="str">
        <f aca="false">IF(OR($C590="",$D590=0),"",$E590/$D590)</f>
        <v/>
      </c>
      <c r="H590" s="0" t="str">
        <f aca="false">IF($C590="","",IF(COUNTIF('مواد المخزون'!$A$2:$A$86,$C590)&gt;0,"نعم","لا (خارج الجرد)"))</f>
        <v/>
      </c>
    </row>
    <row r="591" customFormat="false" ht="15" hidden="false" customHeight="false" outlineLevel="0" collapsed="false">
      <c r="A591" s="102"/>
      <c r="B591" s="104"/>
      <c r="C591" s="104"/>
      <c r="F591" s="103" t="str">
        <f aca="false">IF(OR($C591="",$D591=0),"",$E591/$D591)</f>
        <v/>
      </c>
      <c r="H591" s="0" t="str">
        <f aca="false">IF($C591="","",IF(COUNTIF('مواد المخزون'!$A$2:$A$86,$C591)&gt;0,"نعم","لا (خارج الجرد)"))</f>
        <v/>
      </c>
    </row>
    <row r="592" customFormat="false" ht="15" hidden="false" customHeight="false" outlineLevel="0" collapsed="false">
      <c r="A592" s="102"/>
      <c r="B592" s="104"/>
      <c r="C592" s="104"/>
      <c r="F592" s="103" t="str">
        <f aca="false">IF(OR($C592="",$D592=0),"",$E592/$D592)</f>
        <v/>
      </c>
      <c r="H592" s="0" t="str">
        <f aca="false">IF($C592="","",IF(COUNTIF('مواد المخزون'!$A$2:$A$86,$C592)&gt;0,"نعم","لا (خارج الجرد)"))</f>
        <v/>
      </c>
    </row>
    <row r="593" customFormat="false" ht="15" hidden="false" customHeight="false" outlineLevel="0" collapsed="false">
      <c r="A593" s="102"/>
      <c r="B593" s="104"/>
      <c r="C593" s="104"/>
      <c r="F593" s="103" t="str">
        <f aca="false">IF(OR($C593="",$D593=0),"",$E593/$D593)</f>
        <v/>
      </c>
      <c r="H593" s="0" t="str">
        <f aca="false">IF($C593="","",IF(COUNTIF('مواد المخزون'!$A$2:$A$86,$C593)&gt;0,"نعم","لا (خارج الجرد)"))</f>
        <v/>
      </c>
    </row>
    <row r="594" customFormat="false" ht="15" hidden="false" customHeight="false" outlineLevel="0" collapsed="false">
      <c r="A594" s="102"/>
      <c r="B594" s="104"/>
      <c r="C594" s="104"/>
      <c r="F594" s="103" t="str">
        <f aca="false">IF(OR($C594="",$D594=0),"",$E594/$D594)</f>
        <v/>
      </c>
      <c r="H594" s="0" t="str">
        <f aca="false">IF($C594="","",IF(COUNTIF('مواد المخزون'!$A$2:$A$86,$C594)&gt;0,"نعم","لا (خارج الجرد)"))</f>
        <v/>
      </c>
    </row>
    <row r="595" customFormat="false" ht="15" hidden="false" customHeight="false" outlineLevel="0" collapsed="false">
      <c r="A595" s="102"/>
      <c r="B595" s="104"/>
      <c r="C595" s="104"/>
      <c r="F595" s="103" t="str">
        <f aca="false">IF(OR($C595="",$D595=0),"",$E595/$D595)</f>
        <v/>
      </c>
      <c r="H595" s="0" t="str">
        <f aca="false">IF($C595="","",IF(COUNTIF('مواد المخزون'!$A$2:$A$86,$C595)&gt;0,"نعم","لا (خارج الجرد)"))</f>
        <v/>
      </c>
    </row>
    <row r="596" customFormat="false" ht="15" hidden="false" customHeight="false" outlineLevel="0" collapsed="false">
      <c r="A596" s="102"/>
      <c r="B596" s="104"/>
      <c r="C596" s="104"/>
      <c r="F596" s="103" t="str">
        <f aca="false">IF(OR($C596="",$D596=0),"",$E596/$D596)</f>
        <v/>
      </c>
      <c r="H596" s="0" t="str">
        <f aca="false">IF($C596="","",IF(COUNTIF('مواد المخزون'!$A$2:$A$86,$C596)&gt;0,"نعم","لا (خارج الجرد)"))</f>
        <v/>
      </c>
    </row>
    <row r="597" customFormat="false" ht="15" hidden="false" customHeight="false" outlineLevel="0" collapsed="false">
      <c r="A597" s="102"/>
      <c r="B597" s="104"/>
      <c r="C597" s="104"/>
      <c r="F597" s="103" t="str">
        <f aca="false">IF(OR($C597="",$D597=0),"",$E597/$D597)</f>
        <v/>
      </c>
      <c r="H597" s="0" t="str">
        <f aca="false">IF($C597="","",IF(COUNTIF('مواد المخزون'!$A$2:$A$86,$C597)&gt;0,"نعم","لا (خارج الجرد)"))</f>
        <v/>
      </c>
    </row>
    <row r="598" customFormat="false" ht="15" hidden="false" customHeight="false" outlineLevel="0" collapsed="false">
      <c r="A598" s="102"/>
      <c r="B598" s="104"/>
      <c r="C598" s="104"/>
      <c r="F598" s="103" t="str">
        <f aca="false">IF(OR($C598="",$D598=0),"",$E598/$D598)</f>
        <v/>
      </c>
      <c r="H598" s="0" t="str">
        <f aca="false">IF($C598="","",IF(COUNTIF('مواد المخزون'!$A$2:$A$86,$C598)&gt;0,"نعم","لا (خارج الجرد)"))</f>
        <v/>
      </c>
    </row>
    <row r="599" customFormat="false" ht="15" hidden="false" customHeight="false" outlineLevel="0" collapsed="false">
      <c r="A599" s="102"/>
      <c r="B599" s="104"/>
      <c r="C599" s="104"/>
      <c r="F599" s="103" t="str">
        <f aca="false">IF(OR($C599="",$D599=0),"",$E599/$D599)</f>
        <v/>
      </c>
      <c r="H599" s="0" t="str">
        <f aca="false">IF($C599="","",IF(COUNTIF('مواد المخزون'!$A$2:$A$86,$C599)&gt;0,"نعم","لا (خارج الجرد)"))</f>
        <v/>
      </c>
    </row>
    <row r="600" customFormat="false" ht="15" hidden="false" customHeight="false" outlineLevel="0" collapsed="false">
      <c r="A600" s="102"/>
      <c r="B600" s="104"/>
      <c r="C600" s="104"/>
      <c r="F600" s="103" t="str">
        <f aca="false">IF(OR($C600="",$D600=0),"",$E600/$D600)</f>
        <v/>
      </c>
      <c r="H600" s="0" t="str">
        <f aca="false">IF($C600="","",IF(COUNTIF('مواد المخزون'!$A$2:$A$86,$C600)&gt;0,"نعم","لا (خارج الجرد)"))</f>
        <v/>
      </c>
    </row>
    <row r="601" customFormat="false" ht="15" hidden="false" customHeight="false" outlineLevel="0" collapsed="false">
      <c r="A601" s="102"/>
      <c r="B601" s="104"/>
      <c r="C601" s="104"/>
      <c r="F601" s="103" t="str">
        <f aca="false">IF(OR($C601="",$D601=0),"",$E601/$D601)</f>
        <v/>
      </c>
      <c r="H601" s="0" t="str">
        <f aca="false">IF($C601="","",IF(COUNTIF('مواد المخزون'!$A$2:$A$86,$C601)&gt;0,"نعم","لا (خارج الجرد)"))</f>
        <v/>
      </c>
    </row>
    <row r="602" customFormat="false" ht="15" hidden="false" customHeight="false" outlineLevel="0" collapsed="false">
      <c r="A602" s="102"/>
      <c r="B602" s="104"/>
      <c r="C602" s="104"/>
      <c r="F602" s="103" t="str">
        <f aca="false">IF(OR($C602="",$D602=0),"",$E602/$D602)</f>
        <v/>
      </c>
      <c r="H602" s="0" t="str">
        <f aca="false">IF($C602="","",IF(COUNTIF('مواد المخزون'!$A$2:$A$86,$C602)&gt;0,"نعم","لا (خارج الجرد)"))</f>
        <v/>
      </c>
    </row>
    <row r="603" customFormat="false" ht="15" hidden="false" customHeight="false" outlineLevel="0" collapsed="false">
      <c r="A603" s="102"/>
      <c r="B603" s="104"/>
      <c r="C603" s="104"/>
      <c r="F603" s="103" t="str">
        <f aca="false">IF(OR($C603="",$D603=0),"",$E603/$D603)</f>
        <v/>
      </c>
      <c r="H603" s="0" t="str">
        <f aca="false">IF($C603="","",IF(COUNTIF('مواد المخزون'!$A$2:$A$86,$C603)&gt;0,"نعم","لا (خارج الجرد)"))</f>
        <v/>
      </c>
    </row>
    <row r="604" customFormat="false" ht="15" hidden="false" customHeight="false" outlineLevel="0" collapsed="false">
      <c r="A604" s="102"/>
      <c r="B604" s="104"/>
      <c r="C604" s="104"/>
      <c r="F604" s="103" t="str">
        <f aca="false">IF(OR($C604="",$D604=0),"",$E604/$D604)</f>
        <v/>
      </c>
      <c r="H604" s="0" t="str">
        <f aca="false">IF($C604="","",IF(COUNTIF('مواد المخزون'!$A$2:$A$86,$C604)&gt;0,"نعم","لا (خارج الجرد)"))</f>
        <v/>
      </c>
    </row>
    <row r="605" customFormat="false" ht="15" hidden="false" customHeight="false" outlineLevel="0" collapsed="false">
      <c r="A605" s="102"/>
      <c r="B605" s="104"/>
      <c r="C605" s="104"/>
      <c r="F605" s="103" t="str">
        <f aca="false">IF(OR($C605="",$D605=0),"",$E605/$D605)</f>
        <v/>
      </c>
      <c r="H605" s="0" t="str">
        <f aca="false">IF($C605="","",IF(COUNTIF('مواد المخزون'!$A$2:$A$86,$C605)&gt;0,"نعم","لا (خارج الجرد)"))</f>
        <v/>
      </c>
    </row>
    <row r="606" customFormat="false" ht="15" hidden="false" customHeight="false" outlineLevel="0" collapsed="false">
      <c r="A606" s="102"/>
      <c r="B606" s="104"/>
      <c r="C606" s="104"/>
      <c r="F606" s="103" t="str">
        <f aca="false">IF(OR($C606="",$D606=0),"",$E606/$D606)</f>
        <v/>
      </c>
      <c r="H606" s="0" t="str">
        <f aca="false">IF($C606="","",IF(COUNTIF('مواد المخزون'!$A$2:$A$86,$C606)&gt;0,"نعم","لا (خارج الجرد)"))</f>
        <v/>
      </c>
    </row>
    <row r="607" customFormat="false" ht="15" hidden="false" customHeight="false" outlineLevel="0" collapsed="false">
      <c r="A607" s="102"/>
      <c r="B607" s="104"/>
      <c r="C607" s="104"/>
      <c r="F607" s="103" t="str">
        <f aca="false">IF(OR($C607="",$D607=0),"",$E607/$D607)</f>
        <v/>
      </c>
      <c r="H607" s="0" t="str">
        <f aca="false">IF($C607="","",IF(COUNTIF('مواد المخزون'!$A$2:$A$86,$C607)&gt;0,"نعم","لا (خارج الجرد)"))</f>
        <v/>
      </c>
    </row>
    <row r="608" customFormat="false" ht="15" hidden="false" customHeight="false" outlineLevel="0" collapsed="false">
      <c r="A608" s="102"/>
      <c r="B608" s="104"/>
      <c r="C608" s="104"/>
      <c r="F608" s="103" t="str">
        <f aca="false">IF(OR($C608="",$D608=0),"",$E608/$D608)</f>
        <v/>
      </c>
      <c r="H608" s="0" t="str">
        <f aca="false">IF($C608="","",IF(COUNTIF('مواد المخزون'!$A$2:$A$86,$C608)&gt;0,"نعم","لا (خارج الجرد)"))</f>
        <v/>
      </c>
    </row>
    <row r="609" customFormat="false" ht="15" hidden="false" customHeight="false" outlineLevel="0" collapsed="false">
      <c r="A609" s="102"/>
      <c r="B609" s="104"/>
      <c r="C609" s="104"/>
      <c r="F609" s="103" t="str">
        <f aca="false">IF(OR($C609="",$D609=0),"",$E609/$D609)</f>
        <v/>
      </c>
      <c r="H609" s="0" t="str">
        <f aca="false">IF($C609="","",IF(COUNTIF('مواد المخزون'!$A$2:$A$86,$C609)&gt;0,"نعم","لا (خارج الجرد)"))</f>
        <v/>
      </c>
    </row>
    <row r="610" customFormat="false" ht="15" hidden="false" customHeight="false" outlineLevel="0" collapsed="false">
      <c r="A610" s="102"/>
      <c r="B610" s="104"/>
      <c r="C610" s="104"/>
      <c r="F610" s="103" t="str">
        <f aca="false">IF(OR($C610="",$D610=0),"",$E610/$D610)</f>
        <v/>
      </c>
      <c r="H610" s="0" t="str">
        <f aca="false">IF($C610="","",IF(COUNTIF('مواد المخزون'!$A$2:$A$86,$C610)&gt;0,"نعم","لا (خارج الجرد)"))</f>
        <v/>
      </c>
    </row>
    <row r="611" customFormat="false" ht="15" hidden="false" customHeight="false" outlineLevel="0" collapsed="false">
      <c r="A611" s="102"/>
      <c r="B611" s="104"/>
      <c r="C611" s="104"/>
      <c r="F611" s="103" t="str">
        <f aca="false">IF(OR($C611="",$D611=0),"",$E611/$D611)</f>
        <v/>
      </c>
      <c r="H611" s="0" t="str">
        <f aca="false">IF($C611="","",IF(COUNTIF('مواد المخزون'!$A$2:$A$86,$C611)&gt;0,"نعم","لا (خارج الجرد)"))</f>
        <v/>
      </c>
    </row>
    <row r="612" customFormat="false" ht="15" hidden="false" customHeight="false" outlineLevel="0" collapsed="false">
      <c r="A612" s="102"/>
      <c r="B612" s="104"/>
      <c r="C612" s="104"/>
      <c r="F612" s="103" t="str">
        <f aca="false">IF(OR($C612="",$D612=0),"",$E612/$D612)</f>
        <v/>
      </c>
      <c r="H612" s="0" t="str">
        <f aca="false">IF($C612="","",IF(COUNTIF('مواد المخزون'!$A$2:$A$86,$C612)&gt;0,"نعم","لا (خارج الجرد)"))</f>
        <v/>
      </c>
    </row>
    <row r="613" customFormat="false" ht="15" hidden="false" customHeight="false" outlineLevel="0" collapsed="false">
      <c r="A613" s="102"/>
      <c r="B613" s="104"/>
      <c r="C613" s="104"/>
      <c r="F613" s="103" t="str">
        <f aca="false">IF(OR($C613="",$D613=0),"",$E613/$D613)</f>
        <v/>
      </c>
      <c r="H613" s="0" t="str">
        <f aca="false">IF($C613="","",IF(COUNTIF('مواد المخزون'!$A$2:$A$86,$C613)&gt;0,"نعم","لا (خارج الجرد)"))</f>
        <v/>
      </c>
    </row>
    <row r="614" customFormat="false" ht="15" hidden="false" customHeight="false" outlineLevel="0" collapsed="false">
      <c r="A614" s="102"/>
      <c r="B614" s="104"/>
      <c r="C614" s="104"/>
      <c r="F614" s="103" t="str">
        <f aca="false">IF(OR($C614="",$D614=0),"",$E614/$D614)</f>
        <v/>
      </c>
      <c r="H614" s="0" t="str">
        <f aca="false">IF($C614="","",IF(COUNTIF('مواد المخزون'!$A$2:$A$86,$C614)&gt;0,"نعم","لا (خارج الجرد)"))</f>
        <v/>
      </c>
    </row>
    <row r="615" customFormat="false" ht="15" hidden="false" customHeight="false" outlineLevel="0" collapsed="false">
      <c r="A615" s="102"/>
      <c r="B615" s="104"/>
      <c r="C615" s="104"/>
      <c r="F615" s="103" t="str">
        <f aca="false">IF(OR($C615="",$D615=0),"",$E615/$D615)</f>
        <v/>
      </c>
      <c r="H615" s="0" t="str">
        <f aca="false">IF($C615="","",IF(COUNTIF('مواد المخزون'!$A$2:$A$86,$C615)&gt;0,"نعم","لا (خارج الجرد)"))</f>
        <v/>
      </c>
    </row>
    <row r="616" customFormat="false" ht="15" hidden="false" customHeight="false" outlineLevel="0" collapsed="false">
      <c r="A616" s="102"/>
      <c r="B616" s="104"/>
      <c r="C616" s="104"/>
      <c r="F616" s="103" t="str">
        <f aca="false">IF(OR($C616="",$D616=0),"",$E616/$D616)</f>
        <v/>
      </c>
      <c r="H616" s="0" t="str">
        <f aca="false">IF($C616="","",IF(COUNTIF('مواد المخزون'!$A$2:$A$86,$C616)&gt;0,"نعم","لا (خارج الجرد)"))</f>
        <v/>
      </c>
    </row>
    <row r="617" customFormat="false" ht="15" hidden="false" customHeight="false" outlineLevel="0" collapsed="false">
      <c r="A617" s="102"/>
      <c r="B617" s="104"/>
      <c r="C617" s="104"/>
      <c r="F617" s="103" t="str">
        <f aca="false">IF(OR($C617="",$D617=0),"",$E617/$D617)</f>
        <v/>
      </c>
      <c r="H617" s="0" t="str">
        <f aca="false">IF($C617="","",IF(COUNTIF('مواد المخزون'!$A$2:$A$86,$C617)&gt;0,"نعم","لا (خارج الجرد)"))</f>
        <v/>
      </c>
    </row>
    <row r="618" customFormat="false" ht="15" hidden="false" customHeight="false" outlineLevel="0" collapsed="false">
      <c r="A618" s="102"/>
      <c r="B618" s="104"/>
      <c r="C618" s="104"/>
      <c r="F618" s="103" t="str">
        <f aca="false">IF(OR($C618="",$D618=0),"",$E618/$D618)</f>
        <v/>
      </c>
      <c r="H618" s="0" t="str">
        <f aca="false">IF($C618="","",IF(COUNTIF('مواد المخزون'!$A$2:$A$86,$C618)&gt;0,"نعم","لا (خارج الجرد)"))</f>
        <v/>
      </c>
    </row>
    <row r="619" customFormat="false" ht="15" hidden="false" customHeight="false" outlineLevel="0" collapsed="false">
      <c r="A619" s="102"/>
      <c r="B619" s="104"/>
      <c r="C619" s="104"/>
      <c r="F619" s="103" t="str">
        <f aca="false">IF(OR($C619="",$D619=0),"",$E619/$D619)</f>
        <v/>
      </c>
      <c r="H619" s="0" t="str">
        <f aca="false">IF($C619="","",IF(COUNTIF('مواد المخزون'!$A$2:$A$86,$C619)&gt;0,"نعم","لا (خارج الجرد)"))</f>
        <v/>
      </c>
    </row>
    <row r="620" customFormat="false" ht="15" hidden="false" customHeight="false" outlineLevel="0" collapsed="false">
      <c r="A620" s="102"/>
      <c r="B620" s="104"/>
      <c r="C620" s="104"/>
      <c r="F620" s="103" t="str">
        <f aca="false">IF(OR($C620="",$D620=0),"",$E620/$D620)</f>
        <v/>
      </c>
      <c r="H620" s="0" t="str">
        <f aca="false">IF($C620="","",IF(COUNTIF('مواد المخزون'!$A$2:$A$86,$C620)&gt;0,"نعم","لا (خارج الجرد)"))</f>
        <v/>
      </c>
    </row>
    <row r="621" customFormat="false" ht="15" hidden="false" customHeight="false" outlineLevel="0" collapsed="false">
      <c r="A621" s="102"/>
      <c r="B621" s="104"/>
      <c r="C621" s="104"/>
      <c r="F621" s="103" t="str">
        <f aca="false">IF(OR($C621="",$D621=0),"",$E621/$D621)</f>
        <v/>
      </c>
      <c r="H621" s="0" t="str">
        <f aca="false">IF($C621="","",IF(COUNTIF('مواد المخزون'!$A$2:$A$86,$C621)&gt;0,"نعم","لا (خارج الجرد)"))</f>
        <v/>
      </c>
    </row>
    <row r="622" customFormat="false" ht="15" hidden="false" customHeight="false" outlineLevel="0" collapsed="false">
      <c r="A622" s="102"/>
      <c r="B622" s="104"/>
      <c r="C622" s="104"/>
      <c r="F622" s="103" t="str">
        <f aca="false">IF(OR($C622="",$D622=0),"",$E622/$D622)</f>
        <v/>
      </c>
      <c r="H622" s="0" t="str">
        <f aca="false">IF($C622="","",IF(COUNTIF('مواد المخزون'!$A$2:$A$86,$C622)&gt;0,"نعم","لا (خارج الجرد)"))</f>
        <v/>
      </c>
    </row>
    <row r="623" customFormat="false" ht="15" hidden="false" customHeight="false" outlineLevel="0" collapsed="false">
      <c r="A623" s="102"/>
      <c r="B623" s="104"/>
      <c r="C623" s="104"/>
      <c r="F623" s="103" t="str">
        <f aca="false">IF(OR($C623="",$D623=0),"",$E623/$D623)</f>
        <v/>
      </c>
      <c r="H623" s="0" t="str">
        <f aca="false">IF($C623="","",IF(COUNTIF('مواد المخزون'!$A$2:$A$86,$C623)&gt;0,"نعم","لا (خارج الجرد)"))</f>
        <v/>
      </c>
    </row>
    <row r="624" customFormat="false" ht="15" hidden="false" customHeight="false" outlineLevel="0" collapsed="false">
      <c r="A624" s="102"/>
      <c r="B624" s="104"/>
      <c r="C624" s="104"/>
      <c r="F624" s="103" t="str">
        <f aca="false">IF(OR($C624="",$D624=0),"",$E624/$D624)</f>
        <v/>
      </c>
      <c r="H624" s="0" t="str">
        <f aca="false">IF($C624="","",IF(COUNTIF('مواد المخزون'!$A$2:$A$86,$C624)&gt;0,"نعم","لا (خارج الجرد)"))</f>
        <v/>
      </c>
    </row>
    <row r="625" customFormat="false" ht="15" hidden="false" customHeight="false" outlineLevel="0" collapsed="false">
      <c r="A625" s="102"/>
      <c r="B625" s="104"/>
      <c r="C625" s="104"/>
      <c r="F625" s="103" t="str">
        <f aca="false">IF(OR($C625="",$D625=0),"",$E625/$D625)</f>
        <v/>
      </c>
      <c r="H625" s="0" t="str">
        <f aca="false">IF($C625="","",IF(COUNTIF('مواد المخزون'!$A$2:$A$86,$C625)&gt;0,"نعم","لا (خارج الجرد)"))</f>
        <v/>
      </c>
    </row>
    <row r="626" customFormat="false" ht="15" hidden="false" customHeight="false" outlineLevel="0" collapsed="false">
      <c r="A626" s="102"/>
      <c r="B626" s="104"/>
      <c r="C626" s="104"/>
      <c r="F626" s="103" t="str">
        <f aca="false">IF(OR($C626="",$D626=0),"",$E626/$D626)</f>
        <v/>
      </c>
      <c r="H626" s="0" t="str">
        <f aca="false">IF($C626="","",IF(COUNTIF('مواد المخزون'!$A$2:$A$86,$C626)&gt;0,"نعم","لا (خارج الجرد)"))</f>
        <v/>
      </c>
    </row>
    <row r="627" customFormat="false" ht="15" hidden="false" customHeight="false" outlineLevel="0" collapsed="false">
      <c r="A627" s="102"/>
      <c r="B627" s="104"/>
      <c r="C627" s="104"/>
      <c r="F627" s="103" t="str">
        <f aca="false">IF(OR($C627="",$D627=0),"",$E627/$D627)</f>
        <v/>
      </c>
      <c r="H627" s="0" t="str">
        <f aca="false">IF($C627="","",IF(COUNTIF('مواد المخزون'!$A$2:$A$86,$C627)&gt;0,"نعم","لا (خارج الجرد)"))</f>
        <v/>
      </c>
    </row>
    <row r="628" customFormat="false" ht="15" hidden="false" customHeight="false" outlineLevel="0" collapsed="false">
      <c r="A628" s="102"/>
      <c r="B628" s="104"/>
      <c r="C628" s="104"/>
      <c r="F628" s="103" t="str">
        <f aca="false">IF(OR($C628="",$D628=0),"",$E628/$D628)</f>
        <v/>
      </c>
      <c r="H628" s="0" t="str">
        <f aca="false">IF($C628="","",IF(COUNTIF('مواد المخزون'!$A$2:$A$86,$C628)&gt;0,"نعم","لا (خارج الجرد)"))</f>
        <v/>
      </c>
    </row>
    <row r="629" customFormat="false" ht="15" hidden="false" customHeight="false" outlineLevel="0" collapsed="false">
      <c r="A629" s="102"/>
      <c r="B629" s="104"/>
      <c r="C629" s="104"/>
      <c r="F629" s="103" t="str">
        <f aca="false">IF(OR($C629="",$D629=0),"",$E629/$D629)</f>
        <v/>
      </c>
      <c r="H629" s="0" t="str">
        <f aca="false">IF($C629="","",IF(COUNTIF('مواد المخزون'!$A$2:$A$86,$C629)&gt;0,"نعم","لا (خارج الجرد)"))</f>
        <v/>
      </c>
    </row>
    <row r="630" customFormat="false" ht="15" hidden="false" customHeight="false" outlineLevel="0" collapsed="false">
      <c r="A630" s="102"/>
      <c r="B630" s="104"/>
      <c r="C630" s="104"/>
      <c r="F630" s="103" t="str">
        <f aca="false">IF(OR($C630="",$D630=0),"",$E630/$D630)</f>
        <v/>
      </c>
      <c r="H630" s="0" t="str">
        <f aca="false">IF($C630="","",IF(COUNTIF('مواد المخزون'!$A$2:$A$86,$C630)&gt;0,"نعم","لا (خارج الجرد)"))</f>
        <v/>
      </c>
    </row>
    <row r="631" customFormat="false" ht="15" hidden="false" customHeight="false" outlineLevel="0" collapsed="false">
      <c r="A631" s="102"/>
      <c r="B631" s="104"/>
      <c r="C631" s="104"/>
      <c r="F631" s="103" t="str">
        <f aca="false">IF(OR($C631="",$D631=0),"",$E631/$D631)</f>
        <v/>
      </c>
      <c r="H631" s="0" t="str">
        <f aca="false">IF($C631="","",IF(COUNTIF('مواد المخزون'!$A$2:$A$86,$C631)&gt;0,"نعم","لا (خارج الجرد)"))</f>
        <v/>
      </c>
    </row>
    <row r="632" customFormat="false" ht="15" hidden="false" customHeight="false" outlineLevel="0" collapsed="false">
      <c r="A632" s="102"/>
      <c r="B632" s="104"/>
      <c r="C632" s="104"/>
      <c r="F632" s="103" t="str">
        <f aca="false">IF(OR($C632="",$D632=0),"",$E632/$D632)</f>
        <v/>
      </c>
      <c r="H632" s="0" t="str">
        <f aca="false">IF($C632="","",IF(COUNTIF('مواد المخزون'!$A$2:$A$86,$C632)&gt;0,"نعم","لا (خارج الجرد)"))</f>
        <v/>
      </c>
    </row>
    <row r="633" customFormat="false" ht="15" hidden="false" customHeight="false" outlineLevel="0" collapsed="false">
      <c r="A633" s="102"/>
      <c r="B633" s="104"/>
      <c r="C633" s="104"/>
      <c r="F633" s="103" t="str">
        <f aca="false">IF(OR($C633="",$D633=0),"",$E633/$D633)</f>
        <v/>
      </c>
      <c r="H633" s="0" t="str">
        <f aca="false">IF($C633="","",IF(COUNTIF('مواد المخزون'!$A$2:$A$86,$C633)&gt;0,"نعم","لا (خارج الجرد)"))</f>
        <v/>
      </c>
    </row>
    <row r="634" customFormat="false" ht="15" hidden="false" customHeight="false" outlineLevel="0" collapsed="false">
      <c r="A634" s="102"/>
      <c r="B634" s="104"/>
      <c r="C634" s="104"/>
      <c r="F634" s="103" t="str">
        <f aca="false">IF(OR($C634="",$D634=0),"",$E634/$D634)</f>
        <v/>
      </c>
      <c r="H634" s="0" t="str">
        <f aca="false">IF($C634="","",IF(COUNTIF('مواد المخزون'!$A$2:$A$86,$C634)&gt;0,"نعم","لا (خارج الجرد)"))</f>
        <v/>
      </c>
    </row>
    <row r="635" customFormat="false" ht="15" hidden="false" customHeight="false" outlineLevel="0" collapsed="false">
      <c r="A635" s="102"/>
      <c r="B635" s="104"/>
      <c r="C635" s="104"/>
      <c r="F635" s="103" t="str">
        <f aca="false">IF(OR($C635="",$D635=0),"",$E635/$D635)</f>
        <v/>
      </c>
      <c r="H635" s="0" t="str">
        <f aca="false">IF($C635="","",IF(COUNTIF('مواد المخزون'!$A$2:$A$86,$C635)&gt;0,"نعم","لا (خارج الجرد)"))</f>
        <v/>
      </c>
    </row>
    <row r="636" customFormat="false" ht="15" hidden="false" customHeight="false" outlineLevel="0" collapsed="false">
      <c r="A636" s="102"/>
      <c r="B636" s="104"/>
      <c r="C636" s="104"/>
      <c r="F636" s="103" t="str">
        <f aca="false">IF(OR($C636="",$D636=0),"",$E636/$D636)</f>
        <v/>
      </c>
      <c r="H636" s="0" t="str">
        <f aca="false">IF($C636="","",IF(COUNTIF('مواد المخزون'!$A$2:$A$86,$C636)&gt;0,"نعم","لا (خارج الجرد)"))</f>
        <v/>
      </c>
    </row>
    <row r="637" customFormat="false" ht="15" hidden="false" customHeight="false" outlineLevel="0" collapsed="false">
      <c r="A637" s="102"/>
      <c r="B637" s="104"/>
      <c r="C637" s="104"/>
      <c r="F637" s="103" t="str">
        <f aca="false">IF(OR($C637="",$D637=0),"",$E637/$D637)</f>
        <v/>
      </c>
      <c r="H637" s="0" t="str">
        <f aca="false">IF($C637="","",IF(COUNTIF('مواد المخزون'!$A$2:$A$86,$C637)&gt;0,"نعم","لا (خارج الجرد)"))</f>
        <v/>
      </c>
    </row>
    <row r="638" customFormat="false" ht="15" hidden="false" customHeight="false" outlineLevel="0" collapsed="false">
      <c r="A638" s="102"/>
      <c r="B638" s="104"/>
      <c r="C638" s="104"/>
      <c r="F638" s="103" t="str">
        <f aca="false">IF(OR($C638="",$D638=0),"",$E638/$D638)</f>
        <v/>
      </c>
      <c r="H638" s="0" t="str">
        <f aca="false">IF($C638="","",IF(COUNTIF('مواد المخزون'!$A$2:$A$86,$C638)&gt;0,"نعم","لا (خارج الجرد)"))</f>
        <v/>
      </c>
    </row>
    <row r="639" customFormat="false" ht="15" hidden="false" customHeight="false" outlineLevel="0" collapsed="false">
      <c r="A639" s="102"/>
      <c r="B639" s="104"/>
      <c r="C639" s="104"/>
      <c r="F639" s="103" t="str">
        <f aca="false">IF(OR($C639="",$D639=0),"",$E639/$D639)</f>
        <v/>
      </c>
      <c r="H639" s="0" t="str">
        <f aca="false">IF($C639="","",IF(COUNTIF('مواد المخزون'!$A$2:$A$86,$C639)&gt;0,"نعم","لا (خارج الجرد)"))</f>
        <v/>
      </c>
    </row>
    <row r="640" customFormat="false" ht="15" hidden="false" customHeight="false" outlineLevel="0" collapsed="false">
      <c r="A640" s="102"/>
      <c r="B640" s="104"/>
      <c r="C640" s="104"/>
      <c r="F640" s="103" t="str">
        <f aca="false">IF(OR($C640="",$D640=0),"",$E640/$D640)</f>
        <v/>
      </c>
      <c r="H640" s="0" t="str">
        <f aca="false">IF($C640="","",IF(COUNTIF('مواد المخزون'!$A$2:$A$86,$C640)&gt;0,"نعم","لا (خارج الجرد)"))</f>
        <v/>
      </c>
    </row>
    <row r="641" customFormat="false" ht="15" hidden="false" customHeight="false" outlineLevel="0" collapsed="false">
      <c r="A641" s="102"/>
      <c r="B641" s="104"/>
      <c r="C641" s="104"/>
      <c r="F641" s="103" t="str">
        <f aca="false">IF(OR($C641="",$D641=0),"",$E641/$D641)</f>
        <v/>
      </c>
      <c r="H641" s="0" t="str">
        <f aca="false">IF($C641="","",IF(COUNTIF('مواد المخزون'!$A$2:$A$86,$C641)&gt;0,"نعم","لا (خارج الجرد)"))</f>
        <v/>
      </c>
    </row>
    <row r="642" customFormat="false" ht="15" hidden="false" customHeight="false" outlineLevel="0" collapsed="false">
      <c r="A642" s="102"/>
      <c r="B642" s="104"/>
      <c r="C642" s="104"/>
      <c r="F642" s="103" t="str">
        <f aca="false">IF(OR($C642="",$D642=0),"",$E642/$D642)</f>
        <v/>
      </c>
      <c r="H642" s="0" t="str">
        <f aca="false">IF($C642="","",IF(COUNTIF('مواد المخزون'!$A$2:$A$86,$C642)&gt;0,"نعم","لا (خارج الجرد)"))</f>
        <v/>
      </c>
    </row>
    <row r="643" customFormat="false" ht="15" hidden="false" customHeight="false" outlineLevel="0" collapsed="false">
      <c r="A643" s="102"/>
      <c r="B643" s="104"/>
      <c r="C643" s="104"/>
      <c r="F643" s="103" t="str">
        <f aca="false">IF(OR($C643="",$D643=0),"",$E643/$D643)</f>
        <v/>
      </c>
      <c r="H643" s="0" t="str">
        <f aca="false">IF($C643="","",IF(COUNTIF('مواد المخزون'!$A$2:$A$86,$C643)&gt;0,"نعم","لا (خارج الجرد)"))</f>
        <v/>
      </c>
    </row>
    <row r="644" customFormat="false" ht="15" hidden="false" customHeight="false" outlineLevel="0" collapsed="false">
      <c r="A644" s="102"/>
      <c r="B644" s="104"/>
      <c r="C644" s="104"/>
      <c r="F644" s="103" t="str">
        <f aca="false">IF(OR($C644="",$D644=0),"",$E644/$D644)</f>
        <v/>
      </c>
      <c r="H644" s="0" t="str">
        <f aca="false">IF($C644="","",IF(COUNTIF('مواد المخزون'!$A$2:$A$86,$C644)&gt;0,"نعم","لا (خارج الجرد)"))</f>
        <v/>
      </c>
    </row>
    <row r="645" customFormat="false" ht="15" hidden="false" customHeight="false" outlineLevel="0" collapsed="false">
      <c r="A645" s="102"/>
      <c r="B645" s="104"/>
      <c r="C645" s="104"/>
      <c r="F645" s="103" t="str">
        <f aca="false">IF(OR($C645="",$D645=0),"",$E645/$D645)</f>
        <v/>
      </c>
      <c r="H645" s="0" t="str">
        <f aca="false">IF($C645="","",IF(COUNTIF('مواد المخزون'!$A$2:$A$86,$C645)&gt;0,"نعم","لا (خارج الجرد)"))</f>
        <v/>
      </c>
    </row>
    <row r="646" customFormat="false" ht="15" hidden="false" customHeight="false" outlineLevel="0" collapsed="false">
      <c r="A646" s="102"/>
      <c r="B646" s="104"/>
      <c r="C646" s="104"/>
      <c r="F646" s="103" t="str">
        <f aca="false">IF(OR($C646="",$D646=0),"",$E646/$D646)</f>
        <v/>
      </c>
      <c r="H646" s="0" t="str">
        <f aca="false">IF($C646="","",IF(COUNTIF('مواد المخزون'!$A$2:$A$86,$C646)&gt;0,"نعم","لا (خارج الجرد)"))</f>
        <v/>
      </c>
    </row>
    <row r="647" customFormat="false" ht="15" hidden="false" customHeight="false" outlineLevel="0" collapsed="false">
      <c r="A647" s="102"/>
      <c r="B647" s="104"/>
      <c r="C647" s="104"/>
      <c r="F647" s="103" t="str">
        <f aca="false">IF(OR($C647="",$D647=0),"",$E647/$D647)</f>
        <v/>
      </c>
      <c r="H647" s="0" t="str">
        <f aca="false">IF($C647="","",IF(COUNTIF('مواد المخزون'!$A$2:$A$86,$C647)&gt;0,"نعم","لا (خارج الجرد)"))</f>
        <v/>
      </c>
    </row>
    <row r="648" customFormat="false" ht="15" hidden="false" customHeight="false" outlineLevel="0" collapsed="false">
      <c r="A648" s="102"/>
      <c r="B648" s="104"/>
      <c r="C648" s="104"/>
      <c r="F648" s="103" t="str">
        <f aca="false">IF(OR($C648="",$D648=0),"",$E648/$D648)</f>
        <v/>
      </c>
      <c r="H648" s="0" t="str">
        <f aca="false">IF($C648="","",IF(COUNTIF('مواد المخزون'!$A$2:$A$86,$C648)&gt;0,"نعم","لا (خارج الجرد)"))</f>
        <v/>
      </c>
    </row>
    <row r="649" customFormat="false" ht="15" hidden="false" customHeight="false" outlineLevel="0" collapsed="false">
      <c r="A649" s="102"/>
      <c r="B649" s="104"/>
      <c r="C649" s="104"/>
      <c r="F649" s="103" t="str">
        <f aca="false">IF(OR($C649="",$D649=0),"",$E649/$D649)</f>
        <v/>
      </c>
      <c r="H649" s="0" t="str">
        <f aca="false">IF($C649="","",IF(COUNTIF('مواد المخزون'!$A$2:$A$86,$C649)&gt;0,"نعم","لا (خارج الجرد)"))</f>
        <v/>
      </c>
    </row>
    <row r="650" customFormat="false" ht="15" hidden="false" customHeight="false" outlineLevel="0" collapsed="false">
      <c r="A650" s="102"/>
      <c r="B650" s="104"/>
      <c r="C650" s="104"/>
      <c r="F650" s="103" t="str">
        <f aca="false">IF(OR($C650="",$D650=0),"",$E650/$D650)</f>
        <v/>
      </c>
      <c r="H650" s="0" t="str">
        <f aca="false">IF($C650="","",IF(COUNTIF('مواد المخزون'!$A$2:$A$86,$C650)&gt;0,"نعم","لا (خارج الجرد)"))</f>
        <v/>
      </c>
    </row>
    <row r="651" customFormat="false" ht="15" hidden="false" customHeight="false" outlineLevel="0" collapsed="false">
      <c r="A651" s="102"/>
      <c r="B651" s="104"/>
      <c r="C651" s="104"/>
      <c r="F651" s="103" t="str">
        <f aca="false">IF(OR($C651="",$D651=0),"",$E651/$D651)</f>
        <v/>
      </c>
      <c r="H651" s="0" t="str">
        <f aca="false">IF($C651="","",IF(COUNTIF('مواد المخزون'!$A$2:$A$86,$C651)&gt;0,"نعم","لا (خارج الجرد)"))</f>
        <v/>
      </c>
    </row>
    <row r="652" customFormat="false" ht="15" hidden="false" customHeight="false" outlineLevel="0" collapsed="false">
      <c r="A652" s="102"/>
      <c r="B652" s="104"/>
      <c r="C652" s="104"/>
      <c r="F652" s="103" t="str">
        <f aca="false">IF(OR($C652="",$D652=0),"",$E652/$D652)</f>
        <v/>
      </c>
      <c r="H652" s="0" t="str">
        <f aca="false">IF($C652="","",IF(COUNTIF('مواد المخزون'!$A$2:$A$86,$C652)&gt;0,"نعم","لا (خارج الجرد)"))</f>
        <v/>
      </c>
    </row>
    <row r="653" customFormat="false" ht="15" hidden="false" customHeight="false" outlineLevel="0" collapsed="false">
      <c r="A653" s="102"/>
      <c r="B653" s="104"/>
      <c r="C653" s="104"/>
      <c r="F653" s="103" t="str">
        <f aca="false">IF(OR($C653="",$D653=0),"",$E653/$D653)</f>
        <v/>
      </c>
      <c r="H653" s="0" t="str">
        <f aca="false">IF($C653="","",IF(COUNTIF('مواد المخزون'!$A$2:$A$86,$C653)&gt;0,"نعم","لا (خارج الجرد)"))</f>
        <v/>
      </c>
    </row>
    <row r="654" customFormat="false" ht="15" hidden="false" customHeight="false" outlineLevel="0" collapsed="false">
      <c r="A654" s="102"/>
      <c r="B654" s="104"/>
      <c r="C654" s="104"/>
      <c r="F654" s="103" t="str">
        <f aca="false">IF(OR($C654="",$D654=0),"",$E654/$D654)</f>
        <v/>
      </c>
      <c r="H654" s="0" t="str">
        <f aca="false">IF($C654="","",IF(COUNTIF('مواد المخزون'!$A$2:$A$86,$C654)&gt;0,"نعم","لا (خارج الجرد)"))</f>
        <v/>
      </c>
    </row>
    <row r="655" customFormat="false" ht="15" hidden="false" customHeight="false" outlineLevel="0" collapsed="false">
      <c r="A655" s="102"/>
      <c r="B655" s="104"/>
      <c r="C655" s="104"/>
      <c r="F655" s="103" t="str">
        <f aca="false">IF(OR($C655="",$D655=0),"",$E655/$D655)</f>
        <v/>
      </c>
      <c r="H655" s="0" t="str">
        <f aca="false">IF($C655="","",IF(COUNTIF('مواد المخزون'!$A$2:$A$86,$C655)&gt;0,"نعم","لا (خارج الجرد)"))</f>
        <v/>
      </c>
    </row>
    <row r="656" customFormat="false" ht="15" hidden="false" customHeight="false" outlineLevel="0" collapsed="false">
      <c r="A656" s="102"/>
      <c r="B656" s="104"/>
      <c r="C656" s="104"/>
      <c r="F656" s="103" t="str">
        <f aca="false">IF(OR($C656="",$D656=0),"",$E656/$D656)</f>
        <v/>
      </c>
      <c r="H656" s="0" t="str">
        <f aca="false">IF($C656="","",IF(COUNTIF('مواد المخزون'!$A$2:$A$86,$C656)&gt;0,"نعم","لا (خارج الجرد)"))</f>
        <v/>
      </c>
    </row>
    <row r="657" customFormat="false" ht="15" hidden="false" customHeight="false" outlineLevel="0" collapsed="false">
      <c r="A657" s="102"/>
      <c r="B657" s="104"/>
      <c r="C657" s="104"/>
      <c r="F657" s="103" t="str">
        <f aca="false">IF(OR($C657="",$D657=0),"",$E657/$D657)</f>
        <v/>
      </c>
      <c r="H657" s="0" t="str">
        <f aca="false">IF($C657="","",IF(COUNTIF('مواد المخزون'!$A$2:$A$86,$C657)&gt;0,"نعم","لا (خارج الجرد)"))</f>
        <v/>
      </c>
    </row>
    <row r="658" customFormat="false" ht="15" hidden="false" customHeight="false" outlineLevel="0" collapsed="false">
      <c r="A658" s="102"/>
      <c r="B658" s="104"/>
      <c r="C658" s="104"/>
      <c r="F658" s="103" t="str">
        <f aca="false">IF(OR($C658="",$D658=0),"",$E658/$D658)</f>
        <v/>
      </c>
      <c r="H658" s="0" t="str">
        <f aca="false">IF($C658="","",IF(COUNTIF('مواد المخزون'!$A$2:$A$86,$C658)&gt;0,"نعم","لا (خارج الجرد)"))</f>
        <v/>
      </c>
    </row>
    <row r="659" customFormat="false" ht="15" hidden="false" customHeight="false" outlineLevel="0" collapsed="false">
      <c r="A659" s="102"/>
      <c r="B659" s="104"/>
      <c r="C659" s="104"/>
      <c r="F659" s="103" t="str">
        <f aca="false">IF(OR($C659="",$D659=0),"",$E659/$D659)</f>
        <v/>
      </c>
      <c r="H659" s="0" t="str">
        <f aca="false">IF($C659="","",IF(COUNTIF('مواد المخزون'!$A$2:$A$86,$C659)&gt;0,"نعم","لا (خارج الجرد)"))</f>
        <v/>
      </c>
    </row>
    <row r="660" customFormat="false" ht="15" hidden="false" customHeight="false" outlineLevel="0" collapsed="false">
      <c r="A660" s="102"/>
      <c r="B660" s="104"/>
      <c r="C660" s="104"/>
      <c r="F660" s="103" t="str">
        <f aca="false">IF(OR($C660="",$D660=0),"",$E660/$D660)</f>
        <v/>
      </c>
      <c r="H660" s="0" t="str">
        <f aca="false">IF($C660="","",IF(COUNTIF('مواد المخزون'!$A$2:$A$86,$C660)&gt;0,"نعم","لا (خارج الجرد)"))</f>
        <v/>
      </c>
    </row>
    <row r="661" customFormat="false" ht="15" hidden="false" customHeight="false" outlineLevel="0" collapsed="false">
      <c r="A661" s="102"/>
      <c r="B661" s="104"/>
      <c r="C661" s="104"/>
      <c r="F661" s="103" t="str">
        <f aca="false">IF(OR($C661="",$D661=0),"",$E661/$D661)</f>
        <v/>
      </c>
      <c r="H661" s="0" t="str">
        <f aca="false">IF($C661="","",IF(COUNTIF('مواد المخزون'!$A$2:$A$86,$C661)&gt;0,"نعم","لا (خارج الجرد)"))</f>
        <v/>
      </c>
    </row>
    <row r="662" customFormat="false" ht="15" hidden="false" customHeight="false" outlineLevel="0" collapsed="false">
      <c r="A662" s="102"/>
      <c r="B662" s="104"/>
      <c r="C662" s="104"/>
      <c r="F662" s="103" t="str">
        <f aca="false">IF(OR($C662="",$D662=0),"",$E662/$D662)</f>
        <v/>
      </c>
      <c r="H662" s="0" t="str">
        <f aca="false">IF($C662="","",IF(COUNTIF('مواد المخزون'!$A$2:$A$86,$C662)&gt;0,"نعم","لا (خارج الجرد)"))</f>
        <v/>
      </c>
    </row>
    <row r="663" customFormat="false" ht="15" hidden="false" customHeight="false" outlineLevel="0" collapsed="false">
      <c r="A663" s="102"/>
      <c r="B663" s="104"/>
      <c r="C663" s="104"/>
      <c r="F663" s="103" t="str">
        <f aca="false">IF(OR($C663="",$D663=0),"",$E663/$D663)</f>
        <v/>
      </c>
      <c r="H663" s="0" t="str">
        <f aca="false">IF($C663="","",IF(COUNTIF('مواد المخزون'!$A$2:$A$86,$C663)&gt;0,"نعم","لا (خارج الجرد)"))</f>
        <v/>
      </c>
    </row>
    <row r="664" customFormat="false" ht="15" hidden="false" customHeight="false" outlineLevel="0" collapsed="false">
      <c r="A664" s="102"/>
      <c r="B664" s="104"/>
      <c r="C664" s="104"/>
      <c r="F664" s="103" t="str">
        <f aca="false">IF(OR($C664="",$D664=0),"",$E664/$D664)</f>
        <v/>
      </c>
      <c r="H664" s="0" t="str">
        <f aca="false">IF($C664="","",IF(COUNTIF('مواد المخزون'!$A$2:$A$86,$C664)&gt;0,"نعم","لا (خارج الجرد)"))</f>
        <v/>
      </c>
    </row>
    <row r="665" customFormat="false" ht="15" hidden="false" customHeight="false" outlineLevel="0" collapsed="false">
      <c r="A665" s="102"/>
      <c r="B665" s="104"/>
      <c r="C665" s="104"/>
      <c r="F665" s="103" t="str">
        <f aca="false">IF(OR($C665="",$D665=0),"",$E665/$D665)</f>
        <v/>
      </c>
      <c r="H665" s="0" t="str">
        <f aca="false">IF($C665="","",IF(COUNTIF('مواد المخزون'!$A$2:$A$86,$C665)&gt;0,"نعم","لا (خارج الجرد)"))</f>
        <v/>
      </c>
    </row>
    <row r="666" customFormat="false" ht="15" hidden="false" customHeight="false" outlineLevel="0" collapsed="false">
      <c r="A666" s="102"/>
      <c r="B666" s="104"/>
      <c r="C666" s="104"/>
      <c r="F666" s="103" t="str">
        <f aca="false">IF(OR($C666="",$D666=0),"",$E666/$D666)</f>
        <v/>
      </c>
      <c r="H666" s="0" t="str">
        <f aca="false">IF($C666="","",IF(COUNTIF('مواد المخزون'!$A$2:$A$86,$C666)&gt;0,"نعم","لا (خارج الجرد)"))</f>
        <v/>
      </c>
    </row>
    <row r="667" customFormat="false" ht="15" hidden="false" customHeight="false" outlineLevel="0" collapsed="false">
      <c r="A667" s="102"/>
      <c r="B667" s="104"/>
      <c r="C667" s="104"/>
      <c r="F667" s="103" t="str">
        <f aca="false">IF(OR($C667="",$D667=0),"",$E667/$D667)</f>
        <v/>
      </c>
      <c r="H667" s="0" t="str">
        <f aca="false">IF($C667="","",IF(COUNTIF('مواد المخزون'!$A$2:$A$86,$C667)&gt;0,"نعم","لا (خارج الجرد)"))</f>
        <v/>
      </c>
    </row>
    <row r="668" customFormat="false" ht="15" hidden="false" customHeight="false" outlineLevel="0" collapsed="false">
      <c r="A668" s="102"/>
      <c r="B668" s="104"/>
      <c r="C668" s="104"/>
      <c r="F668" s="103" t="str">
        <f aca="false">IF(OR($C668="",$D668=0),"",$E668/$D668)</f>
        <v/>
      </c>
      <c r="H668" s="0" t="str">
        <f aca="false">IF($C668="","",IF(COUNTIF('مواد المخزون'!$A$2:$A$86,$C668)&gt;0,"نعم","لا (خارج الجرد)"))</f>
        <v/>
      </c>
    </row>
    <row r="669" customFormat="false" ht="15" hidden="false" customHeight="false" outlineLevel="0" collapsed="false">
      <c r="A669" s="102"/>
      <c r="B669" s="104"/>
      <c r="C669" s="104"/>
      <c r="F669" s="103" t="str">
        <f aca="false">IF(OR($C669="",$D669=0),"",$E669/$D669)</f>
        <v/>
      </c>
      <c r="H669" s="0" t="str">
        <f aca="false">IF($C669="","",IF(COUNTIF('مواد المخزون'!$A$2:$A$86,$C669)&gt;0,"نعم","لا (خارج الجرد)"))</f>
        <v/>
      </c>
    </row>
    <row r="670" customFormat="false" ht="15" hidden="false" customHeight="false" outlineLevel="0" collapsed="false">
      <c r="A670" s="102"/>
      <c r="B670" s="104"/>
      <c r="C670" s="104"/>
      <c r="F670" s="103" t="str">
        <f aca="false">IF(OR($C670="",$D670=0),"",$E670/$D670)</f>
        <v/>
      </c>
      <c r="H670" s="0" t="str">
        <f aca="false">IF($C670="","",IF(COUNTIF('مواد المخزون'!$A$2:$A$86,$C670)&gt;0,"نعم","لا (خارج الجرد)"))</f>
        <v/>
      </c>
    </row>
    <row r="671" customFormat="false" ht="15" hidden="false" customHeight="false" outlineLevel="0" collapsed="false">
      <c r="A671" s="102"/>
      <c r="B671" s="104"/>
      <c r="C671" s="104"/>
      <c r="F671" s="103" t="str">
        <f aca="false">IF(OR($C671="",$D671=0),"",$E671/$D671)</f>
        <v/>
      </c>
      <c r="H671" s="0" t="str">
        <f aca="false">IF($C671="","",IF(COUNTIF('مواد المخزون'!$A$2:$A$86,$C671)&gt;0,"نعم","لا (خارج الجرد)"))</f>
        <v/>
      </c>
    </row>
    <row r="672" customFormat="false" ht="15" hidden="false" customHeight="false" outlineLevel="0" collapsed="false">
      <c r="A672" s="102"/>
      <c r="B672" s="104"/>
      <c r="C672" s="104"/>
      <c r="F672" s="103" t="str">
        <f aca="false">IF(OR($C672="",$D672=0),"",$E672/$D672)</f>
        <v/>
      </c>
      <c r="H672" s="0" t="str">
        <f aca="false">IF($C672="","",IF(COUNTIF('مواد المخزون'!$A$2:$A$86,$C672)&gt;0,"نعم","لا (خارج الجرد)"))</f>
        <v/>
      </c>
    </row>
    <row r="673" customFormat="false" ht="15" hidden="false" customHeight="false" outlineLevel="0" collapsed="false">
      <c r="A673" s="102"/>
      <c r="B673" s="104"/>
      <c r="C673" s="104"/>
      <c r="F673" s="103" t="str">
        <f aca="false">IF(OR($C673="",$D673=0),"",$E673/$D673)</f>
        <v/>
      </c>
      <c r="H673" s="0" t="str">
        <f aca="false">IF($C673="","",IF(COUNTIF('مواد المخزون'!$A$2:$A$86,$C673)&gt;0,"نعم","لا (خارج الجرد)"))</f>
        <v/>
      </c>
    </row>
    <row r="674" customFormat="false" ht="15" hidden="false" customHeight="false" outlineLevel="0" collapsed="false">
      <c r="A674" s="102"/>
      <c r="B674" s="104"/>
      <c r="C674" s="104"/>
      <c r="F674" s="103" t="str">
        <f aca="false">IF(OR($C674="",$D674=0),"",$E674/$D674)</f>
        <v/>
      </c>
      <c r="H674" s="0" t="str">
        <f aca="false">IF($C674="","",IF(COUNTIF('مواد المخزون'!$A$2:$A$86,$C674)&gt;0,"نعم","لا (خارج الجرد)"))</f>
        <v/>
      </c>
    </row>
    <row r="675" customFormat="false" ht="15" hidden="false" customHeight="false" outlineLevel="0" collapsed="false">
      <c r="A675" s="102"/>
      <c r="B675" s="104"/>
      <c r="C675" s="104"/>
      <c r="F675" s="103" t="str">
        <f aca="false">IF(OR($C675="",$D675=0),"",$E675/$D675)</f>
        <v/>
      </c>
      <c r="H675" s="0" t="str">
        <f aca="false">IF($C675="","",IF(COUNTIF('مواد المخزون'!$A$2:$A$86,$C675)&gt;0,"نعم","لا (خارج الجرد)"))</f>
        <v/>
      </c>
    </row>
    <row r="676" customFormat="false" ht="15" hidden="false" customHeight="false" outlineLevel="0" collapsed="false">
      <c r="A676" s="102"/>
      <c r="B676" s="104"/>
      <c r="C676" s="104"/>
      <c r="F676" s="103" t="str">
        <f aca="false">IF(OR($C676="",$D676=0),"",$E676/$D676)</f>
        <v/>
      </c>
      <c r="H676" s="0" t="str">
        <f aca="false">IF($C676="","",IF(COUNTIF('مواد المخزون'!$A$2:$A$86,$C676)&gt;0,"نعم","لا (خارج الجرد)"))</f>
        <v/>
      </c>
    </row>
    <row r="677" customFormat="false" ht="15" hidden="false" customHeight="false" outlineLevel="0" collapsed="false">
      <c r="A677" s="102"/>
      <c r="B677" s="104"/>
      <c r="C677" s="104"/>
      <c r="F677" s="103" t="str">
        <f aca="false">IF(OR($C677="",$D677=0),"",$E677/$D677)</f>
        <v/>
      </c>
      <c r="H677" s="0" t="str">
        <f aca="false">IF($C677="","",IF(COUNTIF('مواد المخزون'!$A$2:$A$86,$C677)&gt;0,"نعم","لا (خارج الجرد)"))</f>
        <v/>
      </c>
    </row>
    <row r="678" customFormat="false" ht="15" hidden="false" customHeight="false" outlineLevel="0" collapsed="false">
      <c r="A678" s="102"/>
      <c r="B678" s="104"/>
      <c r="C678" s="104"/>
      <c r="F678" s="103" t="str">
        <f aca="false">IF(OR($C678="",$D678=0),"",$E678/$D678)</f>
        <v/>
      </c>
      <c r="H678" s="0" t="str">
        <f aca="false">IF($C678="","",IF(COUNTIF('مواد المخزون'!$A$2:$A$86,$C678)&gt;0,"نعم","لا (خارج الجرد)"))</f>
        <v/>
      </c>
    </row>
    <row r="679" customFormat="false" ht="15" hidden="false" customHeight="false" outlineLevel="0" collapsed="false">
      <c r="A679" s="102"/>
      <c r="B679" s="104"/>
      <c r="C679" s="104"/>
      <c r="F679" s="103" t="str">
        <f aca="false">IF(OR($C679="",$D679=0),"",$E679/$D679)</f>
        <v/>
      </c>
      <c r="H679" s="0" t="str">
        <f aca="false">IF($C679="","",IF(COUNTIF('مواد المخزون'!$A$2:$A$86,$C679)&gt;0,"نعم","لا (خارج الجرد)"))</f>
        <v/>
      </c>
    </row>
    <row r="680" customFormat="false" ht="15" hidden="false" customHeight="false" outlineLevel="0" collapsed="false">
      <c r="A680" s="102"/>
      <c r="B680" s="104"/>
      <c r="C680" s="104"/>
      <c r="F680" s="103" t="str">
        <f aca="false">IF(OR($C680="",$D680=0),"",$E680/$D680)</f>
        <v/>
      </c>
      <c r="H680" s="0" t="str">
        <f aca="false">IF($C680="","",IF(COUNTIF('مواد المخزون'!$A$2:$A$86,$C680)&gt;0,"نعم","لا (خارج الجرد)"))</f>
        <v/>
      </c>
    </row>
    <row r="681" customFormat="false" ht="15" hidden="false" customHeight="false" outlineLevel="0" collapsed="false">
      <c r="A681" s="102"/>
      <c r="B681" s="104"/>
      <c r="C681" s="104"/>
      <c r="F681" s="103" t="str">
        <f aca="false">IF(OR($C681="",$D681=0),"",$E681/$D681)</f>
        <v/>
      </c>
      <c r="H681" s="0" t="str">
        <f aca="false">IF($C681="","",IF(COUNTIF('مواد المخزون'!$A$2:$A$86,$C681)&gt;0,"نعم","لا (خارج الجرد)"))</f>
        <v/>
      </c>
    </row>
    <row r="682" customFormat="false" ht="15" hidden="false" customHeight="false" outlineLevel="0" collapsed="false">
      <c r="A682" s="102"/>
      <c r="B682" s="104"/>
      <c r="C682" s="104"/>
      <c r="F682" s="103" t="str">
        <f aca="false">IF(OR($C682="",$D682=0),"",$E682/$D682)</f>
        <v/>
      </c>
      <c r="H682" s="0" t="str">
        <f aca="false">IF($C682="","",IF(COUNTIF('مواد المخزون'!$A$2:$A$86,$C682)&gt;0,"نعم","لا (خارج الجرد)"))</f>
        <v/>
      </c>
    </row>
    <row r="683" customFormat="false" ht="15" hidden="false" customHeight="false" outlineLevel="0" collapsed="false">
      <c r="A683" s="102"/>
      <c r="B683" s="104"/>
      <c r="C683" s="104"/>
      <c r="F683" s="103" t="str">
        <f aca="false">IF(OR($C683="",$D683=0),"",$E683/$D683)</f>
        <v/>
      </c>
      <c r="H683" s="0" t="str">
        <f aca="false">IF($C683="","",IF(COUNTIF('مواد المخزون'!$A$2:$A$86,$C683)&gt;0,"نعم","لا (خارج الجرد)"))</f>
        <v/>
      </c>
    </row>
    <row r="684" customFormat="false" ht="15" hidden="false" customHeight="false" outlineLevel="0" collapsed="false">
      <c r="A684" s="102"/>
      <c r="B684" s="104"/>
      <c r="C684" s="104"/>
      <c r="F684" s="103" t="str">
        <f aca="false">IF(OR($C684="",$D684=0),"",$E684/$D684)</f>
        <v/>
      </c>
      <c r="H684" s="0" t="str">
        <f aca="false">IF($C684="","",IF(COUNTIF('مواد المخزون'!$A$2:$A$86,$C684)&gt;0,"نعم","لا (خارج الجرد)"))</f>
        <v/>
      </c>
    </row>
    <row r="685" customFormat="false" ht="15" hidden="false" customHeight="false" outlineLevel="0" collapsed="false">
      <c r="A685" s="102"/>
      <c r="B685" s="104"/>
      <c r="C685" s="104"/>
      <c r="F685" s="103" t="str">
        <f aca="false">IF(OR($C685="",$D685=0),"",$E685/$D685)</f>
        <v/>
      </c>
      <c r="H685" s="0" t="str">
        <f aca="false">IF($C685="","",IF(COUNTIF('مواد المخزون'!$A$2:$A$86,$C685)&gt;0,"نعم","لا (خارج الجرد)"))</f>
        <v/>
      </c>
    </row>
    <row r="686" customFormat="false" ht="15" hidden="false" customHeight="false" outlineLevel="0" collapsed="false">
      <c r="A686" s="102"/>
      <c r="B686" s="104"/>
      <c r="C686" s="104"/>
      <c r="F686" s="103" t="str">
        <f aca="false">IF(OR($C686="",$D686=0),"",$E686/$D686)</f>
        <v/>
      </c>
      <c r="H686" s="0" t="str">
        <f aca="false">IF($C686="","",IF(COUNTIF('مواد المخزون'!$A$2:$A$86,$C686)&gt;0,"نعم","لا (خارج الجرد)"))</f>
        <v/>
      </c>
    </row>
    <row r="687" customFormat="false" ht="15" hidden="false" customHeight="false" outlineLevel="0" collapsed="false">
      <c r="A687" s="102"/>
      <c r="B687" s="104"/>
      <c r="C687" s="104"/>
      <c r="F687" s="103" t="str">
        <f aca="false">IF(OR($C687="",$D687=0),"",$E687/$D687)</f>
        <v/>
      </c>
      <c r="H687" s="0" t="str">
        <f aca="false">IF($C687="","",IF(COUNTIF('مواد المخزون'!$A$2:$A$86,$C687)&gt;0,"نعم","لا (خارج الجرد)"))</f>
        <v/>
      </c>
    </row>
    <row r="688" customFormat="false" ht="15" hidden="false" customHeight="false" outlineLevel="0" collapsed="false">
      <c r="A688" s="102"/>
      <c r="B688" s="104"/>
      <c r="C688" s="104"/>
      <c r="F688" s="103" t="str">
        <f aca="false">IF(OR($C688="",$D688=0),"",$E688/$D688)</f>
        <v/>
      </c>
      <c r="H688" s="0" t="str">
        <f aca="false">IF($C688="","",IF(COUNTIF('مواد المخزون'!$A$2:$A$86,$C688)&gt;0,"نعم","لا (خارج الجرد)"))</f>
        <v/>
      </c>
    </row>
    <row r="689" customFormat="false" ht="15" hidden="false" customHeight="false" outlineLevel="0" collapsed="false">
      <c r="A689" s="102"/>
      <c r="B689" s="104"/>
      <c r="C689" s="104"/>
      <c r="F689" s="103" t="str">
        <f aca="false">IF(OR($C689="",$D689=0),"",$E689/$D689)</f>
        <v/>
      </c>
      <c r="H689" s="0" t="str">
        <f aca="false">IF($C689="","",IF(COUNTIF('مواد المخزون'!$A$2:$A$86,$C689)&gt;0,"نعم","لا (خارج الجرد)"))</f>
        <v/>
      </c>
    </row>
    <row r="690" customFormat="false" ht="15" hidden="false" customHeight="false" outlineLevel="0" collapsed="false">
      <c r="A690" s="102"/>
      <c r="B690" s="104"/>
      <c r="C690" s="104"/>
      <c r="F690" s="103" t="str">
        <f aca="false">IF(OR($C690="",$D690=0),"",$E690/$D690)</f>
        <v/>
      </c>
      <c r="H690" s="0" t="str">
        <f aca="false">IF($C690="","",IF(COUNTIF('مواد المخزون'!$A$2:$A$86,$C690)&gt;0,"نعم","لا (خارج الجرد)"))</f>
        <v/>
      </c>
    </row>
    <row r="691" customFormat="false" ht="15" hidden="false" customHeight="false" outlineLevel="0" collapsed="false">
      <c r="A691" s="102"/>
      <c r="B691" s="104"/>
      <c r="C691" s="104"/>
      <c r="F691" s="103" t="str">
        <f aca="false">IF(OR($C691="",$D691=0),"",$E691/$D691)</f>
        <v/>
      </c>
      <c r="H691" s="0" t="str">
        <f aca="false">IF($C691="","",IF(COUNTIF('مواد المخزون'!$A$2:$A$86,$C691)&gt;0,"نعم","لا (خارج الجرد)"))</f>
        <v/>
      </c>
    </row>
    <row r="692" customFormat="false" ht="15" hidden="false" customHeight="false" outlineLevel="0" collapsed="false">
      <c r="A692" s="102"/>
      <c r="B692" s="104"/>
      <c r="C692" s="104"/>
      <c r="F692" s="103" t="str">
        <f aca="false">IF(OR($C692="",$D692=0),"",$E692/$D692)</f>
        <v/>
      </c>
      <c r="H692" s="0" t="str">
        <f aca="false">IF($C692="","",IF(COUNTIF('مواد المخزون'!$A$2:$A$86,$C692)&gt;0,"نعم","لا (خارج الجرد)"))</f>
        <v/>
      </c>
    </row>
    <row r="693" customFormat="false" ht="15" hidden="false" customHeight="false" outlineLevel="0" collapsed="false">
      <c r="A693" s="102"/>
      <c r="B693" s="104"/>
      <c r="C693" s="104"/>
      <c r="F693" s="103" t="str">
        <f aca="false">IF(OR($C693="",$D693=0),"",$E693/$D693)</f>
        <v/>
      </c>
      <c r="H693" s="0" t="str">
        <f aca="false">IF($C693="","",IF(COUNTIF('مواد المخزون'!$A$2:$A$86,$C693)&gt;0,"نعم","لا (خارج الجرد)"))</f>
        <v/>
      </c>
    </row>
    <row r="694" customFormat="false" ht="15" hidden="false" customHeight="false" outlineLevel="0" collapsed="false">
      <c r="A694" s="102"/>
      <c r="B694" s="104"/>
      <c r="C694" s="104"/>
      <c r="F694" s="103" t="str">
        <f aca="false">IF(OR($C694="",$D694=0),"",$E694/$D694)</f>
        <v/>
      </c>
      <c r="H694" s="0" t="str">
        <f aca="false">IF($C694="","",IF(COUNTIF('مواد المخزون'!$A$2:$A$86,$C694)&gt;0,"نعم","لا (خارج الجرد)"))</f>
        <v/>
      </c>
    </row>
    <row r="695" customFormat="false" ht="15" hidden="false" customHeight="false" outlineLevel="0" collapsed="false">
      <c r="A695" s="102"/>
      <c r="B695" s="104"/>
      <c r="C695" s="104"/>
      <c r="F695" s="103" t="str">
        <f aca="false">IF(OR($C695="",$D695=0),"",$E695/$D695)</f>
        <v/>
      </c>
      <c r="H695" s="0" t="str">
        <f aca="false">IF($C695="","",IF(COUNTIF('مواد المخزون'!$A$2:$A$86,$C695)&gt;0,"نعم","لا (خارج الجرد)"))</f>
        <v/>
      </c>
    </row>
    <row r="696" customFormat="false" ht="15" hidden="false" customHeight="false" outlineLevel="0" collapsed="false">
      <c r="A696" s="102"/>
      <c r="B696" s="104"/>
      <c r="C696" s="104"/>
      <c r="F696" s="103" t="str">
        <f aca="false">IF(OR($C696="",$D696=0),"",$E696/$D696)</f>
        <v/>
      </c>
      <c r="H696" s="0" t="str">
        <f aca="false">IF($C696="","",IF(COUNTIF('مواد المخزون'!$A$2:$A$86,$C696)&gt;0,"نعم","لا (خارج الجرد)"))</f>
        <v/>
      </c>
    </row>
    <row r="697" customFormat="false" ht="15" hidden="false" customHeight="false" outlineLevel="0" collapsed="false">
      <c r="A697" s="102"/>
      <c r="B697" s="104"/>
      <c r="C697" s="104"/>
      <c r="F697" s="103" t="str">
        <f aca="false">IF(OR($C697="",$D697=0),"",$E697/$D697)</f>
        <v/>
      </c>
      <c r="H697" s="0" t="str">
        <f aca="false">IF($C697="","",IF(COUNTIF('مواد المخزون'!$A$2:$A$86,$C697)&gt;0,"نعم","لا (خارج الجرد)"))</f>
        <v/>
      </c>
    </row>
    <row r="698" customFormat="false" ht="15" hidden="false" customHeight="false" outlineLevel="0" collapsed="false">
      <c r="A698" s="102"/>
      <c r="B698" s="104"/>
      <c r="C698" s="104"/>
      <c r="F698" s="103" t="str">
        <f aca="false">IF(OR($C698="",$D698=0),"",$E698/$D698)</f>
        <v/>
      </c>
      <c r="H698" s="0" t="str">
        <f aca="false">IF($C698="","",IF(COUNTIF('مواد المخزون'!$A$2:$A$86,$C698)&gt;0,"نعم","لا (خارج الجرد)"))</f>
        <v/>
      </c>
    </row>
    <row r="699" customFormat="false" ht="15" hidden="false" customHeight="false" outlineLevel="0" collapsed="false">
      <c r="A699" s="102"/>
      <c r="B699" s="104"/>
      <c r="C699" s="104"/>
      <c r="F699" s="103" t="str">
        <f aca="false">IF(OR($C699="",$D699=0),"",$E699/$D699)</f>
        <v/>
      </c>
      <c r="H699" s="0" t="str">
        <f aca="false">IF($C699="","",IF(COUNTIF('مواد المخزون'!$A$2:$A$86,$C699)&gt;0,"نعم","لا (خارج الجرد)"))</f>
        <v/>
      </c>
    </row>
    <row r="700" customFormat="false" ht="15" hidden="false" customHeight="false" outlineLevel="0" collapsed="false">
      <c r="A700" s="102"/>
      <c r="B700" s="104"/>
      <c r="C700" s="104"/>
      <c r="F700" s="103" t="str">
        <f aca="false">IF(OR($C700="",$D700=0),"",$E700/$D700)</f>
        <v/>
      </c>
      <c r="H700" s="0" t="str">
        <f aca="false">IF($C700="","",IF(COUNTIF('مواد المخزون'!$A$2:$A$86,$C700)&gt;0,"نعم","لا (خارج الجرد)"))</f>
        <v/>
      </c>
    </row>
    <row r="701" customFormat="false" ht="15" hidden="false" customHeight="false" outlineLevel="0" collapsed="false">
      <c r="A701" s="102"/>
      <c r="B701" s="104"/>
      <c r="C701" s="104"/>
      <c r="F701" s="103" t="str">
        <f aca="false">IF(OR($C701="",$D701=0),"",$E701/$D701)</f>
        <v/>
      </c>
      <c r="H701" s="0" t="str">
        <f aca="false">IF($C701="","",IF(COUNTIF('مواد المخزون'!$A$2:$A$86,$C701)&gt;0,"نعم","لا (خارج الجرد)"))</f>
        <v/>
      </c>
    </row>
    <row r="702" customFormat="false" ht="15" hidden="false" customHeight="false" outlineLevel="0" collapsed="false">
      <c r="A702" s="102"/>
      <c r="B702" s="104"/>
      <c r="C702" s="104"/>
      <c r="F702" s="103" t="str">
        <f aca="false">IF(OR($C702="",$D702=0),"",$E702/$D702)</f>
        <v/>
      </c>
      <c r="H702" s="0" t="str">
        <f aca="false">IF($C702="","",IF(COUNTIF('مواد المخزون'!$A$2:$A$86,$C702)&gt;0,"نعم","لا (خارج الجرد)"))</f>
        <v/>
      </c>
    </row>
    <row r="703" customFormat="false" ht="15" hidden="false" customHeight="false" outlineLevel="0" collapsed="false">
      <c r="A703" s="102"/>
      <c r="B703" s="104"/>
      <c r="C703" s="104"/>
      <c r="F703" s="103" t="str">
        <f aca="false">IF(OR($C703="",$D703=0),"",$E703/$D703)</f>
        <v/>
      </c>
      <c r="H703" s="0" t="str">
        <f aca="false">IF($C703="","",IF(COUNTIF('مواد المخزون'!$A$2:$A$86,$C703)&gt;0,"نعم","لا (خارج الجرد)"))</f>
        <v/>
      </c>
    </row>
    <row r="704" customFormat="false" ht="15" hidden="false" customHeight="false" outlineLevel="0" collapsed="false">
      <c r="A704" s="102"/>
      <c r="B704" s="104"/>
      <c r="C704" s="104"/>
      <c r="F704" s="103" t="str">
        <f aca="false">IF(OR($C704="",$D704=0),"",$E704/$D704)</f>
        <v/>
      </c>
      <c r="H704" s="0" t="str">
        <f aca="false">IF($C704="","",IF(COUNTIF('مواد المخزون'!$A$2:$A$86,$C704)&gt;0,"نعم","لا (خارج الجرد)"))</f>
        <v/>
      </c>
    </row>
    <row r="705" customFormat="false" ht="15" hidden="false" customHeight="false" outlineLevel="0" collapsed="false">
      <c r="A705" s="102"/>
      <c r="B705" s="104"/>
      <c r="C705" s="104"/>
      <c r="F705" s="103" t="str">
        <f aca="false">IF(OR($C705="",$D705=0),"",$E705/$D705)</f>
        <v/>
      </c>
      <c r="H705" s="0" t="str">
        <f aca="false">IF($C705="","",IF(COUNTIF('مواد المخزون'!$A$2:$A$86,$C705)&gt;0,"نعم","لا (خارج الجرد)"))</f>
        <v/>
      </c>
    </row>
    <row r="706" customFormat="false" ht="15" hidden="false" customHeight="false" outlineLevel="0" collapsed="false">
      <c r="A706" s="102"/>
      <c r="B706" s="104"/>
      <c r="C706" s="104"/>
      <c r="F706" s="103" t="str">
        <f aca="false">IF(OR($C706="",$D706=0),"",$E706/$D706)</f>
        <v/>
      </c>
      <c r="H706" s="0" t="str">
        <f aca="false">IF($C706="","",IF(COUNTIF('مواد المخزون'!$A$2:$A$86,$C706)&gt;0,"نعم","لا (خارج الجرد)"))</f>
        <v/>
      </c>
    </row>
    <row r="707" customFormat="false" ht="15" hidden="false" customHeight="false" outlineLevel="0" collapsed="false">
      <c r="A707" s="102"/>
      <c r="B707" s="104"/>
      <c r="C707" s="104"/>
      <c r="F707" s="103" t="str">
        <f aca="false">IF(OR($C707="",$D707=0),"",$E707/$D707)</f>
        <v/>
      </c>
      <c r="H707" s="0" t="str">
        <f aca="false">IF($C707="","",IF(COUNTIF('مواد المخزون'!$A$2:$A$86,$C707)&gt;0,"نعم","لا (خارج الجرد)"))</f>
        <v/>
      </c>
    </row>
    <row r="708" customFormat="false" ht="15" hidden="false" customHeight="false" outlineLevel="0" collapsed="false">
      <c r="A708" s="102"/>
      <c r="B708" s="104"/>
      <c r="C708" s="104"/>
      <c r="F708" s="103" t="str">
        <f aca="false">IF(OR($C708="",$D708=0),"",$E708/$D708)</f>
        <v/>
      </c>
      <c r="H708" s="0" t="str">
        <f aca="false">IF($C708="","",IF(COUNTIF('مواد المخزون'!$A$2:$A$86,$C708)&gt;0,"نعم","لا (خارج الجرد)"))</f>
        <v/>
      </c>
    </row>
    <row r="709" customFormat="false" ht="15" hidden="false" customHeight="false" outlineLevel="0" collapsed="false">
      <c r="A709" s="102"/>
      <c r="B709" s="104"/>
      <c r="C709" s="104"/>
      <c r="F709" s="103" t="str">
        <f aca="false">IF(OR($C709="",$D709=0),"",$E709/$D709)</f>
        <v/>
      </c>
      <c r="H709" s="0" t="str">
        <f aca="false">IF($C709="","",IF(COUNTIF('مواد المخزون'!$A$2:$A$86,$C709)&gt;0,"نعم","لا (خارج الجرد)"))</f>
        <v/>
      </c>
    </row>
    <row r="710" customFormat="false" ht="15" hidden="false" customHeight="false" outlineLevel="0" collapsed="false">
      <c r="A710" s="102"/>
      <c r="B710" s="104"/>
      <c r="C710" s="104"/>
      <c r="F710" s="103" t="str">
        <f aca="false">IF(OR($C710="",$D710=0),"",$E710/$D710)</f>
        <v/>
      </c>
      <c r="H710" s="0" t="str">
        <f aca="false">IF($C710="","",IF(COUNTIF('مواد المخزون'!$A$2:$A$86,$C710)&gt;0,"نعم","لا (خارج الجرد)"))</f>
        <v/>
      </c>
    </row>
    <row r="711" customFormat="false" ht="15" hidden="false" customHeight="false" outlineLevel="0" collapsed="false">
      <c r="A711" s="102"/>
      <c r="B711" s="104"/>
      <c r="C711" s="104"/>
      <c r="F711" s="103" t="str">
        <f aca="false">IF(OR($C711="",$D711=0),"",$E711/$D711)</f>
        <v/>
      </c>
      <c r="H711" s="0" t="str">
        <f aca="false">IF($C711="","",IF(COUNTIF('مواد المخزون'!$A$2:$A$86,$C711)&gt;0,"نعم","لا (خارج الجرد)"))</f>
        <v/>
      </c>
    </row>
    <row r="712" customFormat="false" ht="15" hidden="false" customHeight="false" outlineLevel="0" collapsed="false">
      <c r="A712" s="102"/>
      <c r="B712" s="104"/>
      <c r="C712" s="104"/>
      <c r="F712" s="103" t="str">
        <f aca="false">IF(OR($C712="",$D712=0),"",$E712/$D712)</f>
        <v/>
      </c>
      <c r="H712" s="0" t="str">
        <f aca="false">IF($C712="","",IF(COUNTIF('مواد المخزون'!$A$2:$A$86,$C712)&gt;0,"نعم","لا (خارج الجرد)"))</f>
        <v/>
      </c>
    </row>
    <row r="713" customFormat="false" ht="15" hidden="false" customHeight="false" outlineLevel="0" collapsed="false">
      <c r="A713" s="102"/>
      <c r="B713" s="104"/>
      <c r="C713" s="104"/>
      <c r="F713" s="103" t="str">
        <f aca="false">IF(OR($C713="",$D713=0),"",$E713/$D713)</f>
        <v/>
      </c>
      <c r="H713" s="0" t="str">
        <f aca="false">IF($C713="","",IF(COUNTIF('مواد المخزون'!$A$2:$A$86,$C713)&gt;0,"نعم","لا (خارج الجرد)"))</f>
        <v/>
      </c>
    </row>
    <row r="714" customFormat="false" ht="15" hidden="false" customHeight="false" outlineLevel="0" collapsed="false">
      <c r="A714" s="102"/>
      <c r="B714" s="104"/>
      <c r="C714" s="104"/>
      <c r="F714" s="103" t="str">
        <f aca="false">IF(OR($C714="",$D714=0),"",$E714/$D714)</f>
        <v/>
      </c>
      <c r="H714" s="0" t="str">
        <f aca="false">IF($C714="","",IF(COUNTIF('مواد المخزون'!$A$2:$A$86,$C714)&gt;0,"نعم","لا (خارج الجرد)"))</f>
        <v/>
      </c>
    </row>
    <row r="715" customFormat="false" ht="15" hidden="false" customHeight="false" outlineLevel="0" collapsed="false">
      <c r="A715" s="102"/>
      <c r="B715" s="104"/>
      <c r="C715" s="104"/>
      <c r="F715" s="103" t="str">
        <f aca="false">IF(OR($C715="",$D715=0),"",$E715/$D715)</f>
        <v/>
      </c>
      <c r="H715" s="0" t="str">
        <f aca="false">IF($C715="","",IF(COUNTIF('مواد المخزون'!$A$2:$A$86,$C715)&gt;0,"نعم","لا (خارج الجرد)"))</f>
        <v/>
      </c>
    </row>
    <row r="716" customFormat="false" ht="15" hidden="false" customHeight="false" outlineLevel="0" collapsed="false">
      <c r="A716" s="102"/>
      <c r="B716" s="104"/>
      <c r="C716" s="104"/>
      <c r="F716" s="103" t="str">
        <f aca="false">IF(OR($C716="",$D716=0),"",$E716/$D716)</f>
        <v/>
      </c>
      <c r="H716" s="0" t="str">
        <f aca="false">IF($C716="","",IF(COUNTIF('مواد المخزون'!$A$2:$A$86,$C716)&gt;0,"نعم","لا (خارج الجرد)"))</f>
        <v/>
      </c>
    </row>
    <row r="717" customFormat="false" ht="15" hidden="false" customHeight="false" outlineLevel="0" collapsed="false">
      <c r="A717" s="102"/>
      <c r="B717" s="104"/>
      <c r="C717" s="104"/>
      <c r="F717" s="103" t="str">
        <f aca="false">IF(OR($C717="",$D717=0),"",$E717/$D717)</f>
        <v/>
      </c>
      <c r="H717" s="0" t="str">
        <f aca="false">IF($C717="","",IF(COUNTIF('مواد المخزون'!$A$2:$A$86,$C717)&gt;0,"نعم","لا (خارج الجرد)"))</f>
        <v/>
      </c>
    </row>
    <row r="718" customFormat="false" ht="15" hidden="false" customHeight="false" outlineLevel="0" collapsed="false">
      <c r="A718" s="102"/>
      <c r="B718" s="104"/>
      <c r="C718" s="104"/>
      <c r="F718" s="103" t="str">
        <f aca="false">IF(OR($C718="",$D718=0),"",$E718/$D718)</f>
        <v/>
      </c>
      <c r="H718" s="0" t="str">
        <f aca="false">IF($C718="","",IF(COUNTIF('مواد المخزون'!$A$2:$A$86,$C718)&gt;0,"نعم","لا (خارج الجرد)"))</f>
        <v/>
      </c>
    </row>
    <row r="719" customFormat="false" ht="15" hidden="false" customHeight="false" outlineLevel="0" collapsed="false">
      <c r="A719" s="102"/>
      <c r="B719" s="104"/>
      <c r="C719" s="104"/>
      <c r="F719" s="103" t="str">
        <f aca="false">IF(OR($C719="",$D719=0),"",$E719/$D719)</f>
        <v/>
      </c>
      <c r="H719" s="0" t="str">
        <f aca="false">IF($C719="","",IF(COUNTIF('مواد المخزون'!$A$2:$A$86,$C719)&gt;0,"نعم","لا (خارج الجرد)"))</f>
        <v/>
      </c>
    </row>
    <row r="720" customFormat="false" ht="15" hidden="false" customHeight="false" outlineLevel="0" collapsed="false">
      <c r="A720" s="102"/>
      <c r="B720" s="104"/>
      <c r="C720" s="104"/>
      <c r="F720" s="103" t="str">
        <f aca="false">IF(OR($C720="",$D720=0),"",$E720/$D720)</f>
        <v/>
      </c>
      <c r="H720" s="0" t="str">
        <f aca="false">IF($C720="","",IF(COUNTIF('مواد المخزون'!$A$2:$A$86,$C720)&gt;0,"نعم","لا (خارج الجرد)"))</f>
        <v/>
      </c>
    </row>
    <row r="721" customFormat="false" ht="15" hidden="false" customHeight="false" outlineLevel="0" collapsed="false">
      <c r="A721" s="102"/>
      <c r="B721" s="104"/>
      <c r="C721" s="104"/>
      <c r="F721" s="103" t="str">
        <f aca="false">IF(OR($C721="",$D721=0),"",$E721/$D721)</f>
        <v/>
      </c>
      <c r="H721" s="0" t="str">
        <f aca="false">IF($C721="","",IF(COUNTIF('مواد المخزون'!$A$2:$A$86,$C721)&gt;0,"نعم","لا (خارج الجرد)"))</f>
        <v/>
      </c>
    </row>
    <row r="722" customFormat="false" ht="15" hidden="false" customHeight="false" outlineLevel="0" collapsed="false">
      <c r="A722" s="102"/>
      <c r="B722" s="104"/>
      <c r="C722" s="104"/>
      <c r="F722" s="103" t="str">
        <f aca="false">IF(OR($C722="",$D722=0),"",$E722/$D722)</f>
        <v/>
      </c>
      <c r="H722" s="0" t="str">
        <f aca="false">IF($C722="","",IF(COUNTIF('مواد المخزون'!$A$2:$A$86,$C722)&gt;0,"نعم","لا (خارج الجرد)"))</f>
        <v/>
      </c>
    </row>
    <row r="723" customFormat="false" ht="15" hidden="false" customHeight="false" outlineLevel="0" collapsed="false">
      <c r="A723" s="102"/>
      <c r="B723" s="104"/>
      <c r="C723" s="104"/>
      <c r="F723" s="103" t="str">
        <f aca="false">IF(OR($C723="",$D723=0),"",$E723/$D723)</f>
        <v/>
      </c>
      <c r="H723" s="0" t="str">
        <f aca="false">IF($C723="","",IF(COUNTIF('مواد المخزون'!$A$2:$A$86,$C723)&gt;0,"نعم","لا (خارج الجرد)"))</f>
        <v/>
      </c>
    </row>
    <row r="724" customFormat="false" ht="15" hidden="false" customHeight="false" outlineLevel="0" collapsed="false">
      <c r="A724" s="102"/>
      <c r="B724" s="104"/>
      <c r="C724" s="104"/>
      <c r="F724" s="103" t="str">
        <f aca="false">IF(OR($C724="",$D724=0),"",$E724/$D724)</f>
        <v/>
      </c>
      <c r="H724" s="0" t="str">
        <f aca="false">IF($C724="","",IF(COUNTIF('مواد المخزون'!$A$2:$A$86,$C724)&gt;0,"نعم","لا (خارج الجرد)"))</f>
        <v/>
      </c>
    </row>
    <row r="725" customFormat="false" ht="15" hidden="false" customHeight="false" outlineLevel="0" collapsed="false">
      <c r="A725" s="102"/>
      <c r="B725" s="104"/>
      <c r="C725" s="104"/>
      <c r="F725" s="103" t="str">
        <f aca="false">IF(OR($C725="",$D725=0),"",$E725/$D725)</f>
        <v/>
      </c>
      <c r="H725" s="0" t="str">
        <f aca="false">IF($C725="","",IF(COUNTIF('مواد المخزون'!$A$2:$A$86,$C725)&gt;0,"نعم","لا (خارج الجرد)"))</f>
        <v/>
      </c>
    </row>
    <row r="726" customFormat="false" ht="15" hidden="false" customHeight="false" outlineLevel="0" collapsed="false">
      <c r="A726" s="102"/>
      <c r="B726" s="104"/>
      <c r="C726" s="104"/>
      <c r="F726" s="103" t="str">
        <f aca="false">IF(OR($C726="",$D726=0),"",$E726/$D726)</f>
        <v/>
      </c>
      <c r="H726" s="0" t="str">
        <f aca="false">IF($C726="","",IF(COUNTIF('مواد المخزون'!$A$2:$A$86,$C726)&gt;0,"نعم","لا (خارج الجرد)"))</f>
        <v/>
      </c>
    </row>
    <row r="727" customFormat="false" ht="15" hidden="false" customHeight="false" outlineLevel="0" collapsed="false">
      <c r="A727" s="102"/>
      <c r="B727" s="104"/>
      <c r="C727" s="104"/>
      <c r="F727" s="103" t="str">
        <f aca="false">IF(OR($C727="",$D727=0),"",$E727/$D727)</f>
        <v/>
      </c>
      <c r="H727" s="0" t="str">
        <f aca="false">IF($C727="","",IF(COUNTIF('مواد المخزون'!$A$2:$A$86,$C727)&gt;0,"نعم","لا (خارج الجرد)"))</f>
        <v/>
      </c>
    </row>
    <row r="728" customFormat="false" ht="15" hidden="false" customHeight="false" outlineLevel="0" collapsed="false">
      <c r="A728" s="102"/>
      <c r="B728" s="104"/>
      <c r="C728" s="104"/>
      <c r="F728" s="103" t="str">
        <f aca="false">IF(OR($C728="",$D728=0),"",$E728/$D728)</f>
        <v/>
      </c>
      <c r="H728" s="0" t="str">
        <f aca="false">IF($C728="","",IF(COUNTIF('مواد المخزون'!$A$2:$A$86,$C728)&gt;0,"نعم","لا (خارج الجرد)"))</f>
        <v/>
      </c>
    </row>
    <row r="729" customFormat="false" ht="15" hidden="false" customHeight="false" outlineLevel="0" collapsed="false">
      <c r="A729" s="102"/>
      <c r="B729" s="104"/>
      <c r="C729" s="104"/>
      <c r="F729" s="103" t="str">
        <f aca="false">IF(OR($C729="",$D729=0),"",$E729/$D729)</f>
        <v/>
      </c>
      <c r="H729" s="0" t="str">
        <f aca="false">IF($C729="","",IF(COUNTIF('مواد المخزون'!$A$2:$A$86,$C729)&gt;0,"نعم","لا (خارج الجرد)"))</f>
        <v/>
      </c>
    </row>
    <row r="730" customFormat="false" ht="15" hidden="false" customHeight="false" outlineLevel="0" collapsed="false">
      <c r="A730" s="102"/>
      <c r="B730" s="104"/>
      <c r="C730" s="104"/>
      <c r="F730" s="103" t="str">
        <f aca="false">IF(OR($C730="",$D730=0),"",$E730/$D730)</f>
        <v/>
      </c>
      <c r="H730" s="0" t="str">
        <f aca="false">IF($C730="","",IF(COUNTIF('مواد المخزون'!$A$2:$A$86,$C730)&gt;0,"نعم","لا (خارج الجرد)"))</f>
        <v/>
      </c>
    </row>
    <row r="731" customFormat="false" ht="15" hidden="false" customHeight="false" outlineLevel="0" collapsed="false">
      <c r="A731" s="102"/>
      <c r="B731" s="104"/>
      <c r="C731" s="104"/>
      <c r="F731" s="103" t="str">
        <f aca="false">IF(OR($C731="",$D731=0),"",$E731/$D731)</f>
        <v/>
      </c>
      <c r="H731" s="0" t="str">
        <f aca="false">IF($C731="","",IF(COUNTIF('مواد المخزون'!$A$2:$A$86,$C731)&gt;0,"نعم","لا (خارج الجرد)"))</f>
        <v/>
      </c>
    </row>
    <row r="732" customFormat="false" ht="15" hidden="false" customHeight="false" outlineLevel="0" collapsed="false">
      <c r="A732" s="102"/>
      <c r="B732" s="104"/>
      <c r="C732" s="104"/>
      <c r="F732" s="103" t="str">
        <f aca="false">IF(OR($C732="",$D732=0),"",$E732/$D732)</f>
        <v/>
      </c>
      <c r="H732" s="0" t="str">
        <f aca="false">IF($C732="","",IF(COUNTIF('مواد المخزون'!$A$2:$A$86,$C732)&gt;0,"نعم","لا (خارج الجرد)"))</f>
        <v/>
      </c>
    </row>
    <row r="733" customFormat="false" ht="15" hidden="false" customHeight="false" outlineLevel="0" collapsed="false">
      <c r="A733" s="102"/>
      <c r="B733" s="104"/>
      <c r="C733" s="104"/>
      <c r="F733" s="103" t="str">
        <f aca="false">IF(OR($C733="",$D733=0),"",$E733/$D733)</f>
        <v/>
      </c>
      <c r="H733" s="0" t="str">
        <f aca="false">IF($C733="","",IF(COUNTIF('مواد المخزون'!$A$2:$A$86,$C733)&gt;0,"نعم","لا (خارج الجرد)"))</f>
        <v/>
      </c>
    </row>
    <row r="734" customFormat="false" ht="15" hidden="false" customHeight="false" outlineLevel="0" collapsed="false">
      <c r="A734" s="102"/>
      <c r="B734" s="104"/>
      <c r="C734" s="104"/>
      <c r="F734" s="103" t="str">
        <f aca="false">IF(OR($C734="",$D734=0),"",$E734/$D734)</f>
        <v/>
      </c>
      <c r="H734" s="0" t="str">
        <f aca="false">IF($C734="","",IF(COUNTIF('مواد المخزون'!$A$2:$A$86,$C734)&gt;0,"نعم","لا (خارج الجرد)"))</f>
        <v/>
      </c>
    </row>
    <row r="735" customFormat="false" ht="15" hidden="false" customHeight="false" outlineLevel="0" collapsed="false">
      <c r="A735" s="102"/>
      <c r="B735" s="104"/>
      <c r="C735" s="104"/>
      <c r="F735" s="103" t="str">
        <f aca="false">IF(OR($C735="",$D735=0),"",$E735/$D735)</f>
        <v/>
      </c>
      <c r="H735" s="0" t="str">
        <f aca="false">IF($C735="","",IF(COUNTIF('مواد المخزون'!$A$2:$A$86,$C735)&gt;0,"نعم","لا (خارج الجرد)"))</f>
        <v/>
      </c>
    </row>
    <row r="736" customFormat="false" ht="15" hidden="false" customHeight="false" outlineLevel="0" collapsed="false">
      <c r="A736" s="102"/>
      <c r="B736" s="104"/>
      <c r="C736" s="104"/>
      <c r="F736" s="103" t="str">
        <f aca="false">IF(OR($C736="",$D736=0),"",$E736/$D736)</f>
        <v/>
      </c>
      <c r="H736" s="0" t="str">
        <f aca="false">IF($C736="","",IF(COUNTIF('مواد المخزون'!$A$2:$A$86,$C736)&gt;0,"نعم","لا (خارج الجرد)"))</f>
        <v/>
      </c>
    </row>
    <row r="737" customFormat="false" ht="15" hidden="false" customHeight="false" outlineLevel="0" collapsed="false">
      <c r="A737" s="102"/>
      <c r="B737" s="104"/>
      <c r="C737" s="104"/>
      <c r="F737" s="103" t="str">
        <f aca="false">IF(OR($C737="",$D737=0),"",$E737/$D737)</f>
        <v/>
      </c>
      <c r="H737" s="0" t="str">
        <f aca="false">IF($C737="","",IF(COUNTIF('مواد المخزون'!$A$2:$A$86,$C737)&gt;0,"نعم","لا (خارج الجرد)"))</f>
        <v/>
      </c>
    </row>
    <row r="738" customFormat="false" ht="15" hidden="false" customHeight="false" outlineLevel="0" collapsed="false">
      <c r="A738" s="102"/>
      <c r="B738" s="104"/>
      <c r="C738" s="104"/>
      <c r="F738" s="103" t="str">
        <f aca="false">IF(OR($C738="",$D738=0),"",$E738/$D738)</f>
        <v/>
      </c>
      <c r="H738" s="0" t="str">
        <f aca="false">IF($C738="","",IF(COUNTIF('مواد المخزون'!$A$2:$A$86,$C738)&gt;0,"نعم","لا (خارج الجرد)"))</f>
        <v/>
      </c>
    </row>
    <row r="739" customFormat="false" ht="15" hidden="false" customHeight="false" outlineLevel="0" collapsed="false">
      <c r="A739" s="102"/>
      <c r="B739" s="104"/>
      <c r="C739" s="104"/>
      <c r="F739" s="103" t="str">
        <f aca="false">IF(OR($C739="",$D739=0),"",$E739/$D739)</f>
        <v/>
      </c>
      <c r="H739" s="0" t="str">
        <f aca="false">IF($C739="","",IF(COUNTIF('مواد المخزون'!$A$2:$A$86,$C739)&gt;0,"نعم","لا (خارج الجرد)"))</f>
        <v/>
      </c>
    </row>
    <row r="740" customFormat="false" ht="15" hidden="false" customHeight="false" outlineLevel="0" collapsed="false">
      <c r="A740" s="102"/>
      <c r="B740" s="104"/>
      <c r="C740" s="104"/>
      <c r="F740" s="103" t="str">
        <f aca="false">IF(OR($C740="",$D740=0),"",$E740/$D740)</f>
        <v/>
      </c>
      <c r="H740" s="0" t="str">
        <f aca="false">IF($C740="","",IF(COUNTIF('مواد المخزون'!$A$2:$A$86,$C740)&gt;0,"نعم","لا (خارج الجرد)"))</f>
        <v/>
      </c>
    </row>
    <row r="741" customFormat="false" ht="15" hidden="false" customHeight="false" outlineLevel="0" collapsed="false">
      <c r="A741" s="102"/>
      <c r="B741" s="104"/>
      <c r="C741" s="104"/>
      <c r="F741" s="103" t="str">
        <f aca="false">IF(OR($C741="",$D741=0),"",$E741/$D741)</f>
        <v/>
      </c>
      <c r="H741" s="0" t="str">
        <f aca="false">IF($C741="","",IF(COUNTIF('مواد المخزون'!$A$2:$A$86,$C741)&gt;0,"نعم","لا (خارج الجرد)"))</f>
        <v/>
      </c>
    </row>
    <row r="742" customFormat="false" ht="15" hidden="false" customHeight="false" outlineLevel="0" collapsed="false">
      <c r="A742" s="102"/>
      <c r="B742" s="104"/>
      <c r="C742" s="104"/>
      <c r="F742" s="103" t="str">
        <f aca="false">IF(OR($C742="",$D742=0),"",$E742/$D742)</f>
        <v/>
      </c>
      <c r="H742" s="0" t="str">
        <f aca="false">IF($C742="","",IF(COUNTIF('مواد المخزون'!$A$2:$A$86,$C742)&gt;0,"نعم","لا (خارج الجرد)"))</f>
        <v/>
      </c>
    </row>
    <row r="743" customFormat="false" ht="15" hidden="false" customHeight="false" outlineLevel="0" collapsed="false">
      <c r="A743" s="102"/>
      <c r="B743" s="104"/>
      <c r="C743" s="104"/>
      <c r="F743" s="103" t="str">
        <f aca="false">IF(OR($C743="",$D743=0),"",$E743/$D743)</f>
        <v/>
      </c>
      <c r="H743" s="0" t="str">
        <f aca="false">IF($C743="","",IF(COUNTIF('مواد المخزون'!$A$2:$A$86,$C743)&gt;0,"نعم","لا (خارج الجرد)"))</f>
        <v/>
      </c>
    </row>
    <row r="744" customFormat="false" ht="15" hidden="false" customHeight="false" outlineLevel="0" collapsed="false">
      <c r="A744" s="102"/>
      <c r="B744" s="104"/>
      <c r="C744" s="104"/>
      <c r="F744" s="103" t="str">
        <f aca="false">IF(OR($C744="",$D744=0),"",$E744/$D744)</f>
        <v/>
      </c>
      <c r="H744" s="0" t="str">
        <f aca="false">IF($C744="","",IF(COUNTIF('مواد المخزون'!$A$2:$A$86,$C744)&gt;0,"نعم","لا (خارج الجرد)"))</f>
        <v/>
      </c>
    </row>
    <row r="745" customFormat="false" ht="15" hidden="false" customHeight="false" outlineLevel="0" collapsed="false">
      <c r="A745" s="102"/>
      <c r="B745" s="104"/>
      <c r="C745" s="104"/>
      <c r="F745" s="103" t="str">
        <f aca="false">IF(OR($C745="",$D745=0),"",$E745/$D745)</f>
        <v/>
      </c>
      <c r="H745" s="0" t="str">
        <f aca="false">IF($C745="","",IF(COUNTIF('مواد المخزون'!$A$2:$A$86,$C745)&gt;0,"نعم","لا (خارج الجرد)"))</f>
        <v/>
      </c>
    </row>
    <row r="746" customFormat="false" ht="15" hidden="false" customHeight="false" outlineLevel="0" collapsed="false">
      <c r="A746" s="102"/>
      <c r="B746" s="104"/>
      <c r="C746" s="104"/>
      <c r="F746" s="103" t="str">
        <f aca="false">IF(OR($C746="",$D746=0),"",$E746/$D746)</f>
        <v/>
      </c>
      <c r="H746" s="0" t="str">
        <f aca="false">IF($C746="","",IF(COUNTIF('مواد المخزون'!$A$2:$A$86,$C746)&gt;0,"نعم","لا (خارج الجرد)"))</f>
        <v/>
      </c>
    </row>
    <row r="747" customFormat="false" ht="15" hidden="false" customHeight="false" outlineLevel="0" collapsed="false">
      <c r="A747" s="102"/>
      <c r="B747" s="104"/>
      <c r="C747" s="104"/>
      <c r="F747" s="103" t="str">
        <f aca="false">IF(OR($C747="",$D747=0),"",$E747/$D747)</f>
        <v/>
      </c>
      <c r="H747" s="0" t="str">
        <f aca="false">IF($C747="","",IF(COUNTIF('مواد المخزون'!$A$2:$A$86,$C747)&gt;0,"نعم","لا (خارج الجرد)"))</f>
        <v/>
      </c>
    </row>
    <row r="748" customFormat="false" ht="15" hidden="false" customHeight="false" outlineLevel="0" collapsed="false">
      <c r="A748" s="102"/>
      <c r="B748" s="104"/>
      <c r="C748" s="104"/>
      <c r="F748" s="103" t="str">
        <f aca="false">IF(OR($C748="",$D748=0),"",$E748/$D748)</f>
        <v/>
      </c>
      <c r="H748" s="0" t="str">
        <f aca="false">IF($C748="","",IF(COUNTIF('مواد المخزون'!$A$2:$A$86,$C748)&gt;0,"نعم","لا (خارج الجرد)"))</f>
        <v/>
      </c>
    </row>
    <row r="749" customFormat="false" ht="15" hidden="false" customHeight="false" outlineLevel="0" collapsed="false">
      <c r="A749" s="102"/>
      <c r="B749" s="104"/>
      <c r="C749" s="104"/>
      <c r="F749" s="103" t="str">
        <f aca="false">IF(OR($C749="",$D749=0),"",$E749/$D749)</f>
        <v/>
      </c>
      <c r="H749" s="0" t="str">
        <f aca="false">IF($C749="","",IF(COUNTIF('مواد المخزون'!$A$2:$A$86,$C749)&gt;0,"نعم","لا (خارج الجرد)"))</f>
        <v/>
      </c>
    </row>
    <row r="750" customFormat="false" ht="15" hidden="false" customHeight="false" outlineLevel="0" collapsed="false">
      <c r="A750" s="102"/>
      <c r="B750" s="104"/>
      <c r="C750" s="104"/>
      <c r="F750" s="103" t="str">
        <f aca="false">IF(OR($C750="",$D750=0),"",$E750/$D750)</f>
        <v/>
      </c>
      <c r="H750" s="0" t="str">
        <f aca="false">IF($C750="","",IF(COUNTIF('مواد المخزون'!$A$2:$A$86,$C750)&gt;0,"نعم","لا (خارج الجرد)"))</f>
        <v/>
      </c>
    </row>
    <row r="751" customFormat="false" ht="15" hidden="false" customHeight="false" outlineLevel="0" collapsed="false">
      <c r="A751" s="102"/>
      <c r="B751" s="104"/>
      <c r="C751" s="104"/>
      <c r="F751" s="103" t="str">
        <f aca="false">IF(OR($C751="",$D751=0),"",$E751/$D751)</f>
        <v/>
      </c>
      <c r="H751" s="0" t="str">
        <f aca="false">IF($C751="","",IF(COUNTIF('مواد المخزون'!$A$2:$A$86,$C751)&gt;0,"نعم","لا (خارج الجرد)"))</f>
        <v/>
      </c>
    </row>
    <row r="752" customFormat="false" ht="15" hidden="false" customHeight="false" outlineLevel="0" collapsed="false">
      <c r="A752" s="102"/>
      <c r="B752" s="104"/>
      <c r="C752" s="104"/>
      <c r="F752" s="103" t="str">
        <f aca="false">IF(OR($C752="",$D752=0),"",$E752/$D752)</f>
        <v/>
      </c>
      <c r="H752" s="0" t="str">
        <f aca="false">IF($C752="","",IF(COUNTIF('مواد المخزون'!$A$2:$A$86,$C752)&gt;0,"نعم","لا (خارج الجرد)"))</f>
        <v/>
      </c>
    </row>
    <row r="753" customFormat="false" ht="15" hidden="false" customHeight="false" outlineLevel="0" collapsed="false">
      <c r="A753" s="102"/>
      <c r="B753" s="104"/>
      <c r="C753" s="104"/>
      <c r="F753" s="103" t="str">
        <f aca="false">IF(OR($C753="",$D753=0),"",$E753/$D753)</f>
        <v/>
      </c>
      <c r="H753" s="0" t="str">
        <f aca="false">IF($C753="","",IF(COUNTIF('مواد المخزون'!$A$2:$A$86,$C753)&gt;0,"نعم","لا (خارج الجرد)"))</f>
        <v/>
      </c>
    </row>
    <row r="754" customFormat="false" ht="15" hidden="false" customHeight="false" outlineLevel="0" collapsed="false">
      <c r="A754" s="102"/>
      <c r="B754" s="104"/>
      <c r="C754" s="104"/>
      <c r="F754" s="103" t="str">
        <f aca="false">IF(OR($C754="",$D754=0),"",$E754/$D754)</f>
        <v/>
      </c>
      <c r="H754" s="0" t="str">
        <f aca="false">IF($C754="","",IF(COUNTIF('مواد المخزون'!$A$2:$A$86,$C754)&gt;0,"نعم","لا (خارج الجرد)"))</f>
        <v/>
      </c>
    </row>
    <row r="755" customFormat="false" ht="15" hidden="false" customHeight="false" outlineLevel="0" collapsed="false">
      <c r="A755" s="102"/>
      <c r="B755" s="104"/>
      <c r="C755" s="104"/>
      <c r="F755" s="103" t="str">
        <f aca="false">IF(OR($C755="",$D755=0),"",$E755/$D755)</f>
        <v/>
      </c>
      <c r="H755" s="0" t="str">
        <f aca="false">IF($C755="","",IF(COUNTIF('مواد المخزون'!$A$2:$A$86,$C755)&gt;0,"نعم","لا (خارج الجرد)"))</f>
        <v/>
      </c>
    </row>
    <row r="756" customFormat="false" ht="15" hidden="false" customHeight="false" outlineLevel="0" collapsed="false">
      <c r="A756" s="102"/>
      <c r="B756" s="104"/>
      <c r="C756" s="104"/>
      <c r="F756" s="103" t="str">
        <f aca="false">IF(OR($C756="",$D756=0),"",$E756/$D756)</f>
        <v/>
      </c>
      <c r="H756" s="0" t="str">
        <f aca="false">IF($C756="","",IF(COUNTIF('مواد المخزون'!$A$2:$A$86,$C756)&gt;0,"نعم","لا (خارج الجرد)"))</f>
        <v/>
      </c>
    </row>
    <row r="757" customFormat="false" ht="15" hidden="false" customHeight="false" outlineLevel="0" collapsed="false">
      <c r="A757" s="102"/>
      <c r="B757" s="104"/>
      <c r="C757" s="104"/>
      <c r="F757" s="103" t="str">
        <f aca="false">IF(OR($C757="",$D757=0),"",$E757/$D757)</f>
        <v/>
      </c>
      <c r="H757" s="0" t="str">
        <f aca="false">IF($C757="","",IF(COUNTIF('مواد المخزون'!$A$2:$A$86,$C757)&gt;0,"نعم","لا (خارج الجرد)"))</f>
        <v/>
      </c>
    </row>
    <row r="758" customFormat="false" ht="15" hidden="false" customHeight="false" outlineLevel="0" collapsed="false">
      <c r="A758" s="102"/>
      <c r="B758" s="104"/>
      <c r="C758" s="104"/>
      <c r="F758" s="103" t="str">
        <f aca="false">IF(OR($C758="",$D758=0),"",$E758/$D758)</f>
        <v/>
      </c>
      <c r="H758" s="0" t="str">
        <f aca="false">IF($C758="","",IF(COUNTIF('مواد المخزون'!$A$2:$A$86,$C758)&gt;0,"نعم","لا (خارج الجرد)"))</f>
        <v/>
      </c>
    </row>
    <row r="759" customFormat="false" ht="15" hidden="false" customHeight="false" outlineLevel="0" collapsed="false">
      <c r="A759" s="102"/>
      <c r="B759" s="104"/>
      <c r="C759" s="104"/>
      <c r="F759" s="103" t="str">
        <f aca="false">IF(OR($C759="",$D759=0),"",$E759/$D759)</f>
        <v/>
      </c>
      <c r="H759" s="0" t="str">
        <f aca="false">IF($C759="","",IF(COUNTIF('مواد المخزون'!$A$2:$A$86,$C759)&gt;0,"نعم","لا (خارج الجرد)"))</f>
        <v/>
      </c>
    </row>
    <row r="760" customFormat="false" ht="15" hidden="false" customHeight="false" outlineLevel="0" collapsed="false">
      <c r="A760" s="102"/>
      <c r="B760" s="104"/>
      <c r="C760" s="104"/>
      <c r="F760" s="103" t="str">
        <f aca="false">IF(OR($C760="",$D760=0),"",$E760/$D760)</f>
        <v/>
      </c>
      <c r="H760" s="0" t="str">
        <f aca="false">IF($C760="","",IF(COUNTIF('مواد المخزون'!$A$2:$A$86,$C760)&gt;0,"نعم","لا (خارج الجرد)"))</f>
        <v/>
      </c>
    </row>
    <row r="761" customFormat="false" ht="15" hidden="false" customHeight="false" outlineLevel="0" collapsed="false">
      <c r="A761" s="102"/>
      <c r="B761" s="104"/>
      <c r="C761" s="104"/>
      <c r="F761" s="103" t="str">
        <f aca="false">IF(OR($C761="",$D761=0),"",$E761/$D761)</f>
        <v/>
      </c>
      <c r="H761" s="0" t="str">
        <f aca="false">IF($C761="","",IF(COUNTIF('مواد المخزون'!$A$2:$A$86,$C761)&gt;0,"نعم","لا (خارج الجرد)"))</f>
        <v/>
      </c>
    </row>
    <row r="762" customFormat="false" ht="15" hidden="false" customHeight="false" outlineLevel="0" collapsed="false">
      <c r="A762" s="102"/>
      <c r="B762" s="104"/>
      <c r="C762" s="104"/>
      <c r="F762" s="103" t="str">
        <f aca="false">IF(OR($C762="",$D762=0),"",$E762/$D762)</f>
        <v/>
      </c>
      <c r="H762" s="0" t="str">
        <f aca="false">IF($C762="","",IF(COUNTIF('مواد المخزون'!$A$2:$A$86,$C762)&gt;0,"نعم","لا (خارج الجرد)"))</f>
        <v/>
      </c>
    </row>
    <row r="763" customFormat="false" ht="15" hidden="false" customHeight="false" outlineLevel="0" collapsed="false">
      <c r="A763" s="102"/>
      <c r="B763" s="104"/>
      <c r="C763" s="104"/>
      <c r="F763" s="103" t="str">
        <f aca="false">IF(OR($C763="",$D763=0),"",$E763/$D763)</f>
        <v/>
      </c>
      <c r="H763" s="0" t="str">
        <f aca="false">IF($C763="","",IF(COUNTIF('مواد المخزون'!$A$2:$A$86,$C763)&gt;0,"نعم","لا (خارج الجرد)"))</f>
        <v/>
      </c>
    </row>
    <row r="764" customFormat="false" ht="15" hidden="false" customHeight="false" outlineLevel="0" collapsed="false">
      <c r="A764" s="102"/>
      <c r="B764" s="104"/>
      <c r="C764" s="104"/>
      <c r="F764" s="103" t="str">
        <f aca="false">IF(OR($C764="",$D764=0),"",$E764/$D764)</f>
        <v/>
      </c>
      <c r="H764" s="0" t="str">
        <f aca="false">IF($C764="","",IF(COUNTIF('مواد المخزون'!$A$2:$A$86,$C764)&gt;0,"نعم","لا (خارج الجرد)"))</f>
        <v/>
      </c>
    </row>
    <row r="765" customFormat="false" ht="15" hidden="false" customHeight="false" outlineLevel="0" collapsed="false">
      <c r="A765" s="102"/>
      <c r="B765" s="104"/>
      <c r="C765" s="104"/>
      <c r="F765" s="103" t="str">
        <f aca="false">IF(OR($C765="",$D765=0),"",$E765/$D765)</f>
        <v/>
      </c>
      <c r="H765" s="0" t="str">
        <f aca="false">IF($C765="","",IF(COUNTIF('مواد المخزون'!$A$2:$A$86,$C765)&gt;0,"نعم","لا (خارج الجرد)"))</f>
        <v/>
      </c>
    </row>
    <row r="766" customFormat="false" ht="15" hidden="false" customHeight="false" outlineLevel="0" collapsed="false">
      <c r="A766" s="102"/>
      <c r="B766" s="104"/>
      <c r="C766" s="104"/>
      <c r="F766" s="103" t="str">
        <f aca="false">IF(OR($C766="",$D766=0),"",$E766/$D766)</f>
        <v/>
      </c>
      <c r="H766" s="0" t="str">
        <f aca="false">IF($C766="","",IF(COUNTIF('مواد المخزون'!$A$2:$A$86,$C766)&gt;0,"نعم","لا (خارج الجرد)"))</f>
        <v/>
      </c>
    </row>
    <row r="767" customFormat="false" ht="15" hidden="false" customHeight="false" outlineLevel="0" collapsed="false">
      <c r="A767" s="102"/>
      <c r="B767" s="104"/>
      <c r="C767" s="104"/>
      <c r="F767" s="103" t="str">
        <f aca="false">IF(OR($C767="",$D767=0),"",$E767/$D767)</f>
        <v/>
      </c>
      <c r="H767" s="0" t="str">
        <f aca="false">IF($C767="","",IF(COUNTIF('مواد المخزون'!$A$2:$A$86,$C767)&gt;0,"نعم","لا (خارج الجرد)"))</f>
        <v/>
      </c>
    </row>
    <row r="768" customFormat="false" ht="15" hidden="false" customHeight="false" outlineLevel="0" collapsed="false">
      <c r="A768" s="102"/>
      <c r="B768" s="104"/>
      <c r="C768" s="104"/>
      <c r="F768" s="103" t="str">
        <f aca="false">IF(OR($C768="",$D768=0),"",$E768/$D768)</f>
        <v/>
      </c>
      <c r="H768" s="0" t="str">
        <f aca="false">IF($C768="","",IF(COUNTIF('مواد المخزون'!$A$2:$A$86,$C768)&gt;0,"نعم","لا (خارج الجرد)"))</f>
        <v/>
      </c>
    </row>
    <row r="769" customFormat="false" ht="15" hidden="false" customHeight="false" outlineLevel="0" collapsed="false">
      <c r="A769" s="102"/>
      <c r="B769" s="104"/>
      <c r="C769" s="104"/>
      <c r="F769" s="103" t="str">
        <f aca="false">IF(OR($C769="",$D769=0),"",$E769/$D769)</f>
        <v/>
      </c>
      <c r="H769" s="0" t="str">
        <f aca="false">IF($C769="","",IF(COUNTIF('مواد المخزون'!$A$2:$A$86,$C769)&gt;0,"نعم","لا (خارج الجرد)"))</f>
        <v/>
      </c>
    </row>
    <row r="770" customFormat="false" ht="15" hidden="false" customHeight="false" outlineLevel="0" collapsed="false">
      <c r="A770" s="102"/>
      <c r="B770" s="104"/>
      <c r="C770" s="104"/>
      <c r="F770" s="103" t="str">
        <f aca="false">IF(OR($C770="",$D770=0),"",$E770/$D770)</f>
        <v/>
      </c>
      <c r="H770" s="0" t="str">
        <f aca="false">IF($C770="","",IF(COUNTIF('مواد المخزون'!$A$2:$A$86,$C770)&gt;0,"نعم","لا (خارج الجرد)"))</f>
        <v/>
      </c>
    </row>
    <row r="771" customFormat="false" ht="15" hidden="false" customHeight="false" outlineLevel="0" collapsed="false">
      <c r="A771" s="102"/>
      <c r="B771" s="104"/>
      <c r="C771" s="104"/>
      <c r="F771" s="103" t="str">
        <f aca="false">IF(OR($C771="",$D771=0),"",$E771/$D771)</f>
        <v/>
      </c>
      <c r="H771" s="0" t="str">
        <f aca="false">IF($C771="","",IF(COUNTIF('مواد المخزون'!$A$2:$A$86,$C771)&gt;0,"نعم","لا (خارج الجرد)"))</f>
        <v/>
      </c>
    </row>
    <row r="772" customFormat="false" ht="15" hidden="false" customHeight="false" outlineLevel="0" collapsed="false">
      <c r="A772" s="102"/>
      <c r="B772" s="104"/>
      <c r="C772" s="104"/>
      <c r="F772" s="103" t="str">
        <f aca="false">IF(OR($C772="",$D772=0),"",$E772/$D772)</f>
        <v/>
      </c>
      <c r="H772" s="0" t="str">
        <f aca="false">IF($C772="","",IF(COUNTIF('مواد المخزون'!$A$2:$A$86,$C772)&gt;0,"نعم","لا (خارج الجرد)"))</f>
        <v/>
      </c>
    </row>
    <row r="773" customFormat="false" ht="15" hidden="false" customHeight="false" outlineLevel="0" collapsed="false">
      <c r="A773" s="102"/>
      <c r="B773" s="104"/>
      <c r="C773" s="104"/>
      <c r="F773" s="103" t="str">
        <f aca="false">IF(OR($C773="",$D773=0),"",$E773/$D773)</f>
        <v/>
      </c>
      <c r="H773" s="0" t="str">
        <f aca="false">IF($C773="","",IF(COUNTIF('مواد المخزون'!$A$2:$A$86,$C773)&gt;0,"نعم","لا (خارج الجرد)"))</f>
        <v/>
      </c>
    </row>
    <row r="774" customFormat="false" ht="15" hidden="false" customHeight="false" outlineLevel="0" collapsed="false">
      <c r="A774" s="102"/>
      <c r="B774" s="104"/>
      <c r="C774" s="104"/>
      <c r="F774" s="103" t="str">
        <f aca="false">IF(OR($C774="",$D774=0),"",$E774/$D774)</f>
        <v/>
      </c>
      <c r="H774" s="0" t="str">
        <f aca="false">IF($C774="","",IF(COUNTIF('مواد المخزون'!$A$2:$A$86,$C774)&gt;0,"نعم","لا (خارج الجرد)"))</f>
        <v/>
      </c>
    </row>
    <row r="775" customFormat="false" ht="15" hidden="false" customHeight="false" outlineLevel="0" collapsed="false">
      <c r="A775" s="102"/>
      <c r="B775" s="104"/>
      <c r="C775" s="104"/>
      <c r="F775" s="103" t="str">
        <f aca="false">IF(OR($C775="",$D775=0),"",$E775/$D775)</f>
        <v/>
      </c>
      <c r="H775" s="0" t="str">
        <f aca="false">IF($C775="","",IF(COUNTIF('مواد المخزون'!$A$2:$A$86,$C775)&gt;0,"نعم","لا (خارج الجرد)"))</f>
        <v/>
      </c>
    </row>
    <row r="776" customFormat="false" ht="15" hidden="false" customHeight="false" outlineLevel="0" collapsed="false">
      <c r="A776" s="102"/>
      <c r="B776" s="104"/>
      <c r="C776" s="104"/>
      <c r="F776" s="103" t="str">
        <f aca="false">IF(OR($C776="",$D776=0),"",$E776/$D776)</f>
        <v/>
      </c>
      <c r="H776" s="0" t="str">
        <f aca="false">IF($C776="","",IF(COUNTIF('مواد المخزون'!$A$2:$A$86,$C776)&gt;0,"نعم","لا (خارج الجرد)"))</f>
        <v/>
      </c>
    </row>
    <row r="777" customFormat="false" ht="15" hidden="false" customHeight="false" outlineLevel="0" collapsed="false">
      <c r="A777" s="102"/>
      <c r="B777" s="104"/>
      <c r="C777" s="104"/>
      <c r="F777" s="103" t="str">
        <f aca="false">IF(OR($C777="",$D777=0),"",$E777/$D777)</f>
        <v/>
      </c>
      <c r="H777" s="0" t="str">
        <f aca="false">IF($C777="","",IF(COUNTIF('مواد المخزون'!$A$2:$A$86,$C777)&gt;0,"نعم","لا (خارج الجرد)"))</f>
        <v/>
      </c>
    </row>
    <row r="778" customFormat="false" ht="15" hidden="false" customHeight="false" outlineLevel="0" collapsed="false">
      <c r="A778" s="102"/>
      <c r="B778" s="104"/>
      <c r="C778" s="104"/>
      <c r="F778" s="103" t="str">
        <f aca="false">IF(OR($C778="",$D778=0),"",$E778/$D778)</f>
        <v/>
      </c>
      <c r="H778" s="0" t="str">
        <f aca="false">IF($C778="","",IF(COUNTIF('مواد المخزون'!$A$2:$A$86,$C778)&gt;0,"نعم","لا (خارج الجرد)"))</f>
        <v/>
      </c>
    </row>
    <row r="779" customFormat="false" ht="15" hidden="false" customHeight="false" outlineLevel="0" collapsed="false">
      <c r="A779" s="102"/>
      <c r="B779" s="104"/>
      <c r="C779" s="104"/>
      <c r="F779" s="103" t="str">
        <f aca="false">IF(OR($C779="",$D779=0),"",$E779/$D779)</f>
        <v/>
      </c>
      <c r="H779" s="0" t="str">
        <f aca="false">IF($C779="","",IF(COUNTIF('مواد المخزون'!$A$2:$A$86,$C779)&gt;0,"نعم","لا (خارج الجرد)"))</f>
        <v/>
      </c>
    </row>
    <row r="780" customFormat="false" ht="15" hidden="false" customHeight="false" outlineLevel="0" collapsed="false">
      <c r="A780" s="102"/>
      <c r="B780" s="104"/>
      <c r="C780" s="104"/>
      <c r="F780" s="103" t="str">
        <f aca="false">IF(OR($C780="",$D780=0),"",$E780/$D780)</f>
        <v/>
      </c>
      <c r="H780" s="0" t="str">
        <f aca="false">IF($C780="","",IF(COUNTIF('مواد المخزون'!$A$2:$A$86,$C780)&gt;0,"نعم","لا (خارج الجرد)"))</f>
        <v/>
      </c>
    </row>
    <row r="781" customFormat="false" ht="15" hidden="false" customHeight="false" outlineLevel="0" collapsed="false">
      <c r="A781" s="102"/>
      <c r="B781" s="104"/>
      <c r="C781" s="104"/>
      <c r="F781" s="103" t="str">
        <f aca="false">IF(OR($C781="",$D781=0),"",$E781/$D781)</f>
        <v/>
      </c>
      <c r="H781" s="0" t="str">
        <f aca="false">IF($C781="","",IF(COUNTIF('مواد المخزون'!$A$2:$A$86,$C781)&gt;0,"نعم","لا (خارج الجرد)"))</f>
        <v/>
      </c>
    </row>
    <row r="782" customFormat="false" ht="15" hidden="false" customHeight="false" outlineLevel="0" collapsed="false">
      <c r="A782" s="102"/>
      <c r="B782" s="104"/>
      <c r="C782" s="104"/>
      <c r="F782" s="103" t="str">
        <f aca="false">IF(OR($C782="",$D782=0),"",$E782/$D782)</f>
        <v/>
      </c>
      <c r="H782" s="0" t="str">
        <f aca="false">IF($C782="","",IF(COUNTIF('مواد المخزون'!$A$2:$A$86,$C782)&gt;0,"نعم","لا (خارج الجرد)"))</f>
        <v/>
      </c>
    </row>
    <row r="783" customFormat="false" ht="15" hidden="false" customHeight="false" outlineLevel="0" collapsed="false">
      <c r="A783" s="102"/>
      <c r="B783" s="104"/>
      <c r="C783" s="104"/>
      <c r="F783" s="103" t="str">
        <f aca="false">IF(OR($C783="",$D783=0),"",$E783/$D783)</f>
        <v/>
      </c>
      <c r="H783" s="0" t="str">
        <f aca="false">IF($C783="","",IF(COUNTIF('مواد المخزون'!$A$2:$A$86,$C783)&gt;0,"نعم","لا (خارج الجرد)"))</f>
        <v/>
      </c>
    </row>
    <row r="784" customFormat="false" ht="15" hidden="false" customHeight="false" outlineLevel="0" collapsed="false">
      <c r="A784" s="102"/>
      <c r="B784" s="104"/>
      <c r="C784" s="104"/>
      <c r="F784" s="103" t="str">
        <f aca="false">IF(OR($C784="",$D784=0),"",$E784/$D784)</f>
        <v/>
      </c>
      <c r="H784" s="0" t="str">
        <f aca="false">IF($C784="","",IF(COUNTIF('مواد المخزون'!$A$2:$A$86,$C784)&gt;0,"نعم","لا (خارج الجرد)"))</f>
        <v/>
      </c>
    </row>
    <row r="785" customFormat="false" ht="15" hidden="false" customHeight="false" outlineLevel="0" collapsed="false">
      <c r="A785" s="102"/>
      <c r="B785" s="104"/>
      <c r="C785" s="104"/>
      <c r="F785" s="103" t="str">
        <f aca="false">IF(OR($C785="",$D785=0),"",$E785/$D785)</f>
        <v/>
      </c>
      <c r="H785" s="0" t="str">
        <f aca="false">IF($C785="","",IF(COUNTIF('مواد المخزون'!$A$2:$A$86,$C785)&gt;0,"نعم","لا (خارج الجرد)"))</f>
        <v/>
      </c>
    </row>
    <row r="786" customFormat="false" ht="15" hidden="false" customHeight="false" outlineLevel="0" collapsed="false">
      <c r="A786" s="102"/>
      <c r="B786" s="104"/>
      <c r="C786" s="104"/>
      <c r="F786" s="103" t="str">
        <f aca="false">IF(OR($C786="",$D786=0),"",$E786/$D786)</f>
        <v/>
      </c>
      <c r="H786" s="0" t="str">
        <f aca="false">IF($C786="","",IF(COUNTIF('مواد المخزون'!$A$2:$A$86,$C786)&gt;0,"نعم","لا (خارج الجرد)"))</f>
        <v/>
      </c>
    </row>
    <row r="787" customFormat="false" ht="15" hidden="false" customHeight="false" outlineLevel="0" collapsed="false">
      <c r="A787" s="102"/>
      <c r="B787" s="104"/>
      <c r="C787" s="104"/>
      <c r="F787" s="103" t="str">
        <f aca="false">IF(OR($C787="",$D787=0),"",$E787/$D787)</f>
        <v/>
      </c>
      <c r="H787" s="0" t="str">
        <f aca="false">IF($C787="","",IF(COUNTIF('مواد المخزون'!$A$2:$A$86,$C787)&gt;0,"نعم","لا (خارج الجرد)"))</f>
        <v/>
      </c>
    </row>
    <row r="788" customFormat="false" ht="15" hidden="false" customHeight="false" outlineLevel="0" collapsed="false">
      <c r="A788" s="102"/>
      <c r="B788" s="104"/>
      <c r="C788" s="104"/>
      <c r="F788" s="103" t="str">
        <f aca="false">IF(OR($C788="",$D788=0),"",$E788/$D788)</f>
        <v/>
      </c>
      <c r="H788" s="0" t="str">
        <f aca="false">IF($C788="","",IF(COUNTIF('مواد المخزون'!$A$2:$A$86,$C788)&gt;0,"نعم","لا (خارج الجرد)"))</f>
        <v/>
      </c>
    </row>
    <row r="789" customFormat="false" ht="15" hidden="false" customHeight="false" outlineLevel="0" collapsed="false">
      <c r="A789" s="102"/>
      <c r="B789" s="104"/>
      <c r="C789" s="104"/>
      <c r="F789" s="103" t="str">
        <f aca="false">IF(OR($C789="",$D789=0),"",$E789/$D789)</f>
        <v/>
      </c>
      <c r="H789" s="0" t="str">
        <f aca="false">IF($C789="","",IF(COUNTIF('مواد المخزون'!$A$2:$A$86,$C789)&gt;0,"نعم","لا (خارج الجرد)"))</f>
        <v/>
      </c>
    </row>
    <row r="790" customFormat="false" ht="15" hidden="false" customHeight="false" outlineLevel="0" collapsed="false">
      <c r="A790" s="102"/>
      <c r="B790" s="104"/>
      <c r="C790" s="104"/>
      <c r="F790" s="103" t="str">
        <f aca="false">IF(OR($C790="",$D790=0),"",$E790/$D790)</f>
        <v/>
      </c>
      <c r="H790" s="0" t="str">
        <f aca="false">IF($C790="","",IF(COUNTIF('مواد المخزون'!$A$2:$A$86,$C790)&gt;0,"نعم","لا (خارج الجرد)"))</f>
        <v/>
      </c>
    </row>
    <row r="791" customFormat="false" ht="15" hidden="false" customHeight="false" outlineLevel="0" collapsed="false">
      <c r="A791" s="102"/>
      <c r="B791" s="104"/>
      <c r="C791" s="104"/>
      <c r="F791" s="103" t="str">
        <f aca="false">IF(OR($C791="",$D791=0),"",$E791/$D791)</f>
        <v/>
      </c>
      <c r="H791" s="0" t="str">
        <f aca="false">IF($C791="","",IF(COUNTIF('مواد المخزون'!$A$2:$A$86,$C791)&gt;0,"نعم","لا (خارج الجرد)"))</f>
        <v/>
      </c>
    </row>
    <row r="792" customFormat="false" ht="15" hidden="false" customHeight="false" outlineLevel="0" collapsed="false">
      <c r="A792" s="102"/>
      <c r="B792" s="104"/>
      <c r="C792" s="104"/>
      <c r="F792" s="103" t="str">
        <f aca="false">IF(OR($C792="",$D792=0),"",$E792/$D792)</f>
        <v/>
      </c>
      <c r="H792" s="0" t="str">
        <f aca="false">IF($C792="","",IF(COUNTIF('مواد المخزون'!$A$2:$A$86,$C792)&gt;0,"نعم","لا (خارج الجرد)"))</f>
        <v/>
      </c>
    </row>
    <row r="793" customFormat="false" ht="15" hidden="false" customHeight="false" outlineLevel="0" collapsed="false">
      <c r="A793" s="102"/>
      <c r="B793" s="104"/>
      <c r="C793" s="104"/>
      <c r="F793" s="103" t="str">
        <f aca="false">IF(OR($C793="",$D793=0),"",$E793/$D793)</f>
        <v/>
      </c>
      <c r="H793" s="0" t="str">
        <f aca="false">IF($C793="","",IF(COUNTIF('مواد المخزون'!$A$2:$A$86,$C793)&gt;0,"نعم","لا (خارج الجرد)"))</f>
        <v/>
      </c>
    </row>
    <row r="794" customFormat="false" ht="15" hidden="false" customHeight="false" outlineLevel="0" collapsed="false">
      <c r="A794" s="102"/>
      <c r="B794" s="104"/>
      <c r="C794" s="104"/>
      <c r="F794" s="103" t="str">
        <f aca="false">IF(OR($C794="",$D794=0),"",$E794/$D794)</f>
        <v/>
      </c>
      <c r="H794" s="0" t="str">
        <f aca="false">IF($C794="","",IF(COUNTIF('مواد المخزون'!$A$2:$A$86,$C794)&gt;0,"نعم","لا (خارج الجرد)"))</f>
        <v/>
      </c>
    </row>
    <row r="795" customFormat="false" ht="15" hidden="false" customHeight="false" outlineLevel="0" collapsed="false">
      <c r="A795" s="102"/>
      <c r="B795" s="104"/>
      <c r="C795" s="104"/>
      <c r="F795" s="103" t="str">
        <f aca="false">IF(OR($C795="",$D795=0),"",$E795/$D795)</f>
        <v/>
      </c>
      <c r="H795" s="0" t="str">
        <f aca="false">IF($C795="","",IF(COUNTIF('مواد المخزون'!$A$2:$A$86,$C795)&gt;0,"نعم","لا (خارج الجرد)"))</f>
        <v/>
      </c>
    </row>
    <row r="796" customFormat="false" ht="15" hidden="false" customHeight="false" outlineLevel="0" collapsed="false">
      <c r="A796" s="102"/>
      <c r="B796" s="104"/>
      <c r="C796" s="104"/>
      <c r="F796" s="103" t="str">
        <f aca="false">IF(OR($C796="",$D796=0),"",$E796/$D796)</f>
        <v/>
      </c>
      <c r="H796" s="0" t="str">
        <f aca="false">IF($C796="","",IF(COUNTIF('مواد المخزون'!$A$2:$A$86,$C796)&gt;0,"نعم","لا (خارج الجرد)"))</f>
        <v/>
      </c>
    </row>
    <row r="797" customFormat="false" ht="15" hidden="false" customHeight="false" outlineLevel="0" collapsed="false">
      <c r="A797" s="102"/>
      <c r="B797" s="104"/>
      <c r="C797" s="104"/>
      <c r="F797" s="103" t="str">
        <f aca="false">IF(OR($C797="",$D797=0),"",$E797/$D797)</f>
        <v/>
      </c>
      <c r="H797" s="0" t="str">
        <f aca="false">IF($C797="","",IF(COUNTIF('مواد المخزون'!$A$2:$A$86,$C797)&gt;0,"نعم","لا (خارج الجرد)"))</f>
        <v/>
      </c>
    </row>
    <row r="798" customFormat="false" ht="15" hidden="false" customHeight="false" outlineLevel="0" collapsed="false">
      <c r="A798" s="102"/>
      <c r="B798" s="104"/>
      <c r="C798" s="104"/>
      <c r="F798" s="103" t="str">
        <f aca="false">IF(OR($C798="",$D798=0),"",$E798/$D798)</f>
        <v/>
      </c>
      <c r="H798" s="0" t="str">
        <f aca="false">IF($C798="","",IF(COUNTIF('مواد المخزون'!$A$2:$A$86,$C798)&gt;0,"نعم","لا (خارج الجرد)"))</f>
        <v/>
      </c>
    </row>
    <row r="799" customFormat="false" ht="15" hidden="false" customHeight="false" outlineLevel="0" collapsed="false">
      <c r="A799" s="102"/>
      <c r="B799" s="104"/>
      <c r="C799" s="104"/>
      <c r="F799" s="103" t="str">
        <f aca="false">IF(OR($C799="",$D799=0),"",$E799/$D799)</f>
        <v/>
      </c>
      <c r="H799" s="0" t="str">
        <f aca="false">IF($C799="","",IF(COUNTIF('مواد المخزون'!$A$2:$A$86,$C799)&gt;0,"نعم","لا (خارج الجرد)"))</f>
        <v/>
      </c>
    </row>
    <row r="800" customFormat="false" ht="15" hidden="false" customHeight="false" outlineLevel="0" collapsed="false">
      <c r="A800" s="102"/>
      <c r="B800" s="104"/>
      <c r="C800" s="104"/>
      <c r="F800" s="103" t="str">
        <f aca="false">IF(OR($C800="",$D800=0),"",$E800/$D800)</f>
        <v/>
      </c>
      <c r="H800" s="0" t="str">
        <f aca="false">IF($C800="","",IF(COUNTIF('مواد المخزون'!$A$2:$A$86,$C800)&gt;0,"نعم","لا (خارج الجرد)"))</f>
        <v/>
      </c>
    </row>
    <row r="801" customFormat="false" ht="15" hidden="false" customHeight="false" outlineLevel="0" collapsed="false">
      <c r="A801" s="102"/>
      <c r="B801" s="104"/>
      <c r="C801" s="104"/>
      <c r="F801" s="103" t="str">
        <f aca="false">IF(OR($C801="",$D801=0),"",$E801/$D801)</f>
        <v/>
      </c>
      <c r="H801" s="0" t="str">
        <f aca="false">IF($C801="","",IF(COUNTIF('مواد المخزون'!$A$2:$A$86,$C801)&gt;0,"نعم","لا (خارج الجرد)"))</f>
        <v/>
      </c>
    </row>
    <row r="802" customFormat="false" ht="15" hidden="false" customHeight="false" outlineLevel="0" collapsed="false">
      <c r="A802" s="102"/>
      <c r="B802" s="104"/>
      <c r="C802" s="104"/>
      <c r="F802" s="103" t="str">
        <f aca="false">IF(OR($C802="",$D802=0),"",$E802/$D802)</f>
        <v/>
      </c>
      <c r="H802" s="0" t="str">
        <f aca="false">IF($C802="","",IF(COUNTIF('مواد المخزون'!$A$2:$A$86,$C802)&gt;0,"نعم","لا (خارج الجرد)"))</f>
        <v/>
      </c>
    </row>
    <row r="803" customFormat="false" ht="15" hidden="false" customHeight="false" outlineLevel="0" collapsed="false">
      <c r="A803" s="102"/>
      <c r="B803" s="104"/>
      <c r="C803" s="104"/>
      <c r="F803" s="103" t="str">
        <f aca="false">IF(OR($C803="",$D803=0),"",$E803/$D803)</f>
        <v/>
      </c>
      <c r="H803" s="0" t="str">
        <f aca="false">IF($C803="","",IF(COUNTIF('مواد المخزون'!$A$2:$A$86,$C803)&gt;0,"نعم","لا (خارج الجرد)"))</f>
        <v/>
      </c>
    </row>
    <row r="804" customFormat="false" ht="15" hidden="false" customHeight="false" outlineLevel="0" collapsed="false">
      <c r="A804" s="102"/>
      <c r="B804" s="104"/>
      <c r="C804" s="104"/>
      <c r="F804" s="103" t="str">
        <f aca="false">IF(OR($C804="",$D804=0),"",$E804/$D804)</f>
        <v/>
      </c>
      <c r="H804" s="0" t="str">
        <f aca="false">IF($C804="","",IF(COUNTIF('مواد المخزون'!$A$2:$A$86,$C804)&gt;0,"نعم","لا (خارج الجرد)"))</f>
        <v/>
      </c>
    </row>
    <row r="805" customFormat="false" ht="15" hidden="false" customHeight="false" outlineLevel="0" collapsed="false">
      <c r="A805" s="102"/>
      <c r="B805" s="104"/>
      <c r="C805" s="104"/>
      <c r="F805" s="103" t="str">
        <f aca="false">IF(OR($C805="",$D805=0),"",$E805/$D805)</f>
        <v/>
      </c>
      <c r="H805" s="0" t="str">
        <f aca="false">IF($C805="","",IF(COUNTIF('مواد المخزون'!$A$2:$A$86,$C805)&gt;0,"نعم","لا (خارج الجرد)"))</f>
        <v/>
      </c>
    </row>
    <row r="806" customFormat="false" ht="15" hidden="false" customHeight="false" outlineLevel="0" collapsed="false">
      <c r="A806" s="102"/>
      <c r="B806" s="104"/>
      <c r="C806" s="104"/>
      <c r="F806" s="103" t="str">
        <f aca="false">IF(OR($C806="",$D806=0),"",$E806/$D806)</f>
        <v/>
      </c>
      <c r="H806" s="0" t="str">
        <f aca="false">IF($C806="","",IF(COUNTIF('مواد المخزون'!$A$2:$A$86,$C806)&gt;0,"نعم","لا (خارج الجرد)"))</f>
        <v/>
      </c>
    </row>
    <row r="807" customFormat="false" ht="15" hidden="false" customHeight="false" outlineLevel="0" collapsed="false">
      <c r="A807" s="102"/>
      <c r="B807" s="104"/>
      <c r="C807" s="104"/>
      <c r="F807" s="103" t="str">
        <f aca="false">IF(OR($C807="",$D807=0),"",$E807/$D807)</f>
        <v/>
      </c>
      <c r="H807" s="0" t="str">
        <f aca="false">IF($C807="","",IF(COUNTIF('مواد المخزون'!$A$2:$A$86,$C807)&gt;0,"نعم","لا (خارج الجرد)"))</f>
        <v/>
      </c>
    </row>
    <row r="808" customFormat="false" ht="15" hidden="false" customHeight="false" outlineLevel="0" collapsed="false">
      <c r="A808" s="102"/>
      <c r="B808" s="104"/>
      <c r="C808" s="104"/>
      <c r="F808" s="103" t="str">
        <f aca="false">IF(OR($C808="",$D808=0),"",$E808/$D808)</f>
        <v/>
      </c>
      <c r="H808" s="0" t="str">
        <f aca="false">IF($C808="","",IF(COUNTIF('مواد المخزون'!$A$2:$A$86,$C808)&gt;0,"نعم","لا (خارج الجرد)"))</f>
        <v/>
      </c>
    </row>
    <row r="809" customFormat="false" ht="15" hidden="false" customHeight="false" outlineLevel="0" collapsed="false">
      <c r="A809" s="102"/>
      <c r="B809" s="104"/>
      <c r="C809" s="104"/>
      <c r="F809" s="103" t="str">
        <f aca="false">IF(OR($C809="",$D809=0),"",$E809/$D809)</f>
        <v/>
      </c>
      <c r="H809" s="0" t="str">
        <f aca="false">IF($C809="","",IF(COUNTIF('مواد المخزون'!$A$2:$A$86,$C809)&gt;0,"نعم","لا (خارج الجرد)"))</f>
        <v/>
      </c>
    </row>
    <row r="810" customFormat="false" ht="15" hidden="false" customHeight="false" outlineLevel="0" collapsed="false">
      <c r="A810" s="102"/>
      <c r="B810" s="104"/>
      <c r="C810" s="104"/>
      <c r="F810" s="103" t="str">
        <f aca="false">IF(OR($C810="",$D810=0),"",$E810/$D810)</f>
        <v/>
      </c>
      <c r="H810" s="0" t="str">
        <f aca="false">IF($C810="","",IF(COUNTIF('مواد المخزون'!$A$2:$A$86,$C810)&gt;0,"نعم","لا (خارج الجرد)"))</f>
        <v/>
      </c>
    </row>
    <row r="811" customFormat="false" ht="15" hidden="false" customHeight="false" outlineLevel="0" collapsed="false">
      <c r="A811" s="102"/>
      <c r="B811" s="104"/>
      <c r="C811" s="104"/>
      <c r="F811" s="103" t="str">
        <f aca="false">IF(OR($C811="",$D811=0),"",$E811/$D811)</f>
        <v/>
      </c>
      <c r="H811" s="0" t="str">
        <f aca="false">IF($C811="","",IF(COUNTIF('مواد المخزون'!$A$2:$A$86,$C811)&gt;0,"نعم","لا (خارج الجرد)"))</f>
        <v/>
      </c>
    </row>
    <row r="812" customFormat="false" ht="15" hidden="false" customHeight="false" outlineLevel="0" collapsed="false">
      <c r="A812" s="102"/>
      <c r="B812" s="104"/>
      <c r="C812" s="104"/>
      <c r="F812" s="103" t="str">
        <f aca="false">IF(OR($C812="",$D812=0),"",$E812/$D812)</f>
        <v/>
      </c>
      <c r="H812" s="0" t="str">
        <f aca="false">IF($C812="","",IF(COUNTIF('مواد المخزون'!$A$2:$A$86,$C812)&gt;0,"نعم","لا (خارج الجرد)"))</f>
        <v/>
      </c>
    </row>
    <row r="813" customFormat="false" ht="15" hidden="false" customHeight="false" outlineLevel="0" collapsed="false">
      <c r="A813" s="102"/>
      <c r="B813" s="104"/>
      <c r="C813" s="104"/>
      <c r="F813" s="103" t="str">
        <f aca="false">IF(OR($C813="",$D813=0),"",$E813/$D813)</f>
        <v/>
      </c>
      <c r="H813" s="0" t="str">
        <f aca="false">IF($C813="","",IF(COUNTIF('مواد المخزون'!$A$2:$A$86,$C813)&gt;0,"نعم","لا (خارج الجرد)"))</f>
        <v/>
      </c>
    </row>
    <row r="814" customFormat="false" ht="15" hidden="false" customHeight="false" outlineLevel="0" collapsed="false">
      <c r="A814" s="102"/>
      <c r="B814" s="104"/>
      <c r="C814" s="104"/>
      <c r="F814" s="103" t="str">
        <f aca="false">IF(OR($C814="",$D814=0),"",$E814/$D814)</f>
        <v/>
      </c>
      <c r="H814" s="0" t="str">
        <f aca="false">IF($C814="","",IF(COUNTIF('مواد المخزون'!$A$2:$A$86,$C814)&gt;0,"نعم","لا (خارج الجرد)"))</f>
        <v/>
      </c>
    </row>
    <row r="815" customFormat="false" ht="15" hidden="false" customHeight="false" outlineLevel="0" collapsed="false">
      <c r="A815" s="102"/>
      <c r="B815" s="104"/>
      <c r="C815" s="104"/>
      <c r="F815" s="103" t="str">
        <f aca="false">IF(OR($C815="",$D815=0),"",$E815/$D815)</f>
        <v/>
      </c>
      <c r="H815" s="0" t="str">
        <f aca="false">IF($C815="","",IF(COUNTIF('مواد المخزون'!$A$2:$A$86,$C815)&gt;0,"نعم","لا (خارج الجرد)"))</f>
        <v/>
      </c>
    </row>
    <row r="816" customFormat="false" ht="15" hidden="false" customHeight="false" outlineLevel="0" collapsed="false">
      <c r="A816" s="102"/>
      <c r="B816" s="104"/>
      <c r="C816" s="104"/>
      <c r="F816" s="103" t="str">
        <f aca="false">IF(OR($C816="",$D816=0),"",$E816/$D816)</f>
        <v/>
      </c>
      <c r="H816" s="0" t="str">
        <f aca="false">IF($C816="","",IF(COUNTIF('مواد المخزون'!$A$2:$A$86,$C816)&gt;0,"نعم","لا (خارج الجرد)"))</f>
        <v/>
      </c>
    </row>
    <row r="817" customFormat="false" ht="15" hidden="false" customHeight="false" outlineLevel="0" collapsed="false">
      <c r="A817" s="102"/>
      <c r="B817" s="104"/>
      <c r="C817" s="104"/>
      <c r="F817" s="103" t="str">
        <f aca="false">IF(OR($C817="",$D817=0),"",$E817/$D817)</f>
        <v/>
      </c>
      <c r="H817" s="0" t="str">
        <f aca="false">IF($C817="","",IF(COUNTIF('مواد المخزون'!$A$2:$A$86,$C817)&gt;0,"نعم","لا (خارج الجرد)"))</f>
        <v/>
      </c>
    </row>
    <row r="818" customFormat="false" ht="15" hidden="false" customHeight="false" outlineLevel="0" collapsed="false">
      <c r="A818" s="102"/>
      <c r="B818" s="104"/>
      <c r="C818" s="104"/>
      <c r="F818" s="103" t="str">
        <f aca="false">IF(OR($C818="",$D818=0),"",$E818/$D818)</f>
        <v/>
      </c>
      <c r="H818" s="0" t="str">
        <f aca="false">IF($C818="","",IF(COUNTIF('مواد المخزون'!$A$2:$A$86,$C818)&gt;0,"نعم","لا (خارج الجرد)"))</f>
        <v/>
      </c>
    </row>
    <row r="819" customFormat="false" ht="15" hidden="false" customHeight="false" outlineLevel="0" collapsed="false">
      <c r="A819" s="102"/>
      <c r="B819" s="104"/>
      <c r="C819" s="104"/>
      <c r="F819" s="103" t="str">
        <f aca="false">IF(OR($C819="",$D819=0),"",$E819/$D819)</f>
        <v/>
      </c>
      <c r="H819" s="0" t="str">
        <f aca="false">IF($C819="","",IF(COUNTIF('مواد المخزون'!$A$2:$A$86,$C819)&gt;0,"نعم","لا (خارج الجرد)"))</f>
        <v/>
      </c>
    </row>
    <row r="820" customFormat="false" ht="15" hidden="false" customHeight="false" outlineLevel="0" collapsed="false">
      <c r="A820" s="102"/>
      <c r="B820" s="104"/>
      <c r="C820" s="104"/>
      <c r="F820" s="103" t="str">
        <f aca="false">IF(OR($C820="",$D820=0),"",$E820/$D820)</f>
        <v/>
      </c>
      <c r="H820" s="0" t="str">
        <f aca="false">IF($C820="","",IF(COUNTIF('مواد المخزون'!$A$2:$A$86,$C820)&gt;0,"نعم","لا (خارج الجرد)"))</f>
        <v/>
      </c>
    </row>
    <row r="821" customFormat="false" ht="15" hidden="false" customHeight="false" outlineLevel="0" collapsed="false">
      <c r="A821" s="102"/>
      <c r="B821" s="104"/>
      <c r="C821" s="104"/>
      <c r="F821" s="103" t="str">
        <f aca="false">IF(OR($C821="",$D821=0),"",$E821/$D821)</f>
        <v/>
      </c>
      <c r="H821" s="0" t="str">
        <f aca="false">IF($C821="","",IF(COUNTIF('مواد المخزون'!$A$2:$A$86,$C821)&gt;0,"نعم","لا (خارج الجرد)"))</f>
        <v/>
      </c>
    </row>
    <row r="822" customFormat="false" ht="15" hidden="false" customHeight="false" outlineLevel="0" collapsed="false">
      <c r="A822" s="102"/>
      <c r="B822" s="104"/>
      <c r="C822" s="104"/>
      <c r="F822" s="103" t="str">
        <f aca="false">IF(OR($C822="",$D822=0),"",$E822/$D822)</f>
        <v/>
      </c>
      <c r="H822" s="0" t="str">
        <f aca="false">IF($C822="","",IF(COUNTIF('مواد المخزون'!$A$2:$A$86,$C822)&gt;0,"نعم","لا (خارج الجرد)"))</f>
        <v/>
      </c>
    </row>
    <row r="823" customFormat="false" ht="15" hidden="false" customHeight="false" outlineLevel="0" collapsed="false">
      <c r="A823" s="102"/>
      <c r="B823" s="104"/>
      <c r="C823" s="104"/>
      <c r="F823" s="103" t="str">
        <f aca="false">IF(OR($C823="",$D823=0),"",$E823/$D823)</f>
        <v/>
      </c>
      <c r="H823" s="0" t="str">
        <f aca="false">IF($C823="","",IF(COUNTIF('مواد المخزون'!$A$2:$A$86,$C823)&gt;0,"نعم","لا (خارج الجرد)"))</f>
        <v/>
      </c>
    </row>
    <row r="824" customFormat="false" ht="15" hidden="false" customHeight="false" outlineLevel="0" collapsed="false">
      <c r="A824" s="102"/>
      <c r="B824" s="104"/>
      <c r="C824" s="104"/>
      <c r="F824" s="103" t="str">
        <f aca="false">IF(OR($C824="",$D824=0),"",$E824/$D824)</f>
        <v/>
      </c>
      <c r="H824" s="0" t="str">
        <f aca="false">IF($C824="","",IF(COUNTIF('مواد المخزون'!$A$2:$A$86,$C824)&gt;0,"نعم","لا (خارج الجرد)"))</f>
        <v/>
      </c>
    </row>
    <row r="825" customFormat="false" ht="15" hidden="false" customHeight="false" outlineLevel="0" collapsed="false">
      <c r="A825" s="102"/>
      <c r="B825" s="104"/>
      <c r="C825" s="104"/>
      <c r="F825" s="103" t="str">
        <f aca="false">IF(OR($C825="",$D825=0),"",$E825/$D825)</f>
        <v/>
      </c>
      <c r="H825" s="0" t="str">
        <f aca="false">IF($C825="","",IF(COUNTIF('مواد المخزون'!$A$2:$A$86,$C825)&gt;0,"نعم","لا (خارج الجرد)"))</f>
        <v/>
      </c>
    </row>
    <row r="826" customFormat="false" ht="15" hidden="false" customHeight="false" outlineLevel="0" collapsed="false">
      <c r="A826" s="102"/>
      <c r="B826" s="104"/>
      <c r="C826" s="104"/>
      <c r="F826" s="103" t="str">
        <f aca="false">IF(OR($C826="",$D826=0),"",$E826/$D826)</f>
        <v/>
      </c>
      <c r="H826" s="0" t="str">
        <f aca="false">IF($C826="","",IF(COUNTIF('مواد المخزون'!$A$2:$A$86,$C826)&gt;0,"نعم","لا (خارج الجرد)"))</f>
        <v/>
      </c>
    </row>
    <row r="827" customFormat="false" ht="15" hidden="false" customHeight="false" outlineLevel="0" collapsed="false">
      <c r="A827" s="102"/>
      <c r="B827" s="104"/>
      <c r="C827" s="104"/>
      <c r="F827" s="103" t="str">
        <f aca="false">IF(OR($C827="",$D827=0),"",$E827/$D827)</f>
        <v/>
      </c>
      <c r="H827" s="0" t="str">
        <f aca="false">IF($C827="","",IF(COUNTIF('مواد المخزون'!$A$2:$A$86,$C827)&gt;0,"نعم","لا (خارج الجرد)"))</f>
        <v/>
      </c>
    </row>
    <row r="828" customFormat="false" ht="15" hidden="false" customHeight="false" outlineLevel="0" collapsed="false">
      <c r="A828" s="102"/>
      <c r="B828" s="104"/>
      <c r="C828" s="104"/>
      <c r="F828" s="103" t="str">
        <f aca="false">IF(OR($C828="",$D828=0),"",$E828/$D828)</f>
        <v/>
      </c>
      <c r="H828" s="0" t="str">
        <f aca="false">IF($C828="","",IF(COUNTIF('مواد المخزون'!$A$2:$A$86,$C828)&gt;0,"نعم","لا (خارج الجرد)"))</f>
        <v/>
      </c>
    </row>
    <row r="829" customFormat="false" ht="15" hidden="false" customHeight="false" outlineLevel="0" collapsed="false">
      <c r="A829" s="102"/>
      <c r="B829" s="104"/>
      <c r="C829" s="104"/>
      <c r="F829" s="103" t="str">
        <f aca="false">IF(OR($C829="",$D829=0),"",$E829/$D829)</f>
        <v/>
      </c>
      <c r="H829" s="0" t="str">
        <f aca="false">IF($C829="","",IF(COUNTIF('مواد المخزون'!$A$2:$A$86,$C829)&gt;0,"نعم","لا (خارج الجرد)"))</f>
        <v/>
      </c>
    </row>
    <row r="830" customFormat="false" ht="15" hidden="false" customHeight="false" outlineLevel="0" collapsed="false">
      <c r="A830" s="102"/>
      <c r="B830" s="104"/>
      <c r="C830" s="104"/>
      <c r="F830" s="103" t="str">
        <f aca="false">IF(OR($C830="",$D830=0),"",$E830/$D830)</f>
        <v/>
      </c>
      <c r="H830" s="0" t="str">
        <f aca="false">IF($C830="","",IF(COUNTIF('مواد المخزون'!$A$2:$A$86,$C830)&gt;0,"نعم","لا (خارج الجرد)"))</f>
        <v/>
      </c>
    </row>
    <row r="831" customFormat="false" ht="15" hidden="false" customHeight="false" outlineLevel="0" collapsed="false">
      <c r="A831" s="102"/>
      <c r="B831" s="104"/>
      <c r="C831" s="104"/>
      <c r="F831" s="103" t="str">
        <f aca="false">IF(OR($C831="",$D831=0),"",$E831/$D831)</f>
        <v/>
      </c>
      <c r="H831" s="0" t="str">
        <f aca="false">IF($C831="","",IF(COUNTIF('مواد المخزون'!$A$2:$A$86,$C831)&gt;0,"نعم","لا (خارج الجرد)"))</f>
        <v/>
      </c>
    </row>
    <row r="832" customFormat="false" ht="15" hidden="false" customHeight="false" outlineLevel="0" collapsed="false">
      <c r="A832" s="102"/>
      <c r="B832" s="104"/>
      <c r="C832" s="104"/>
      <c r="F832" s="103" t="str">
        <f aca="false">IF(OR($C832="",$D832=0),"",$E832/$D832)</f>
        <v/>
      </c>
      <c r="H832" s="0" t="str">
        <f aca="false">IF($C832="","",IF(COUNTIF('مواد المخزون'!$A$2:$A$86,$C832)&gt;0,"نعم","لا (خارج الجرد)"))</f>
        <v/>
      </c>
    </row>
    <row r="833" customFormat="false" ht="15" hidden="false" customHeight="false" outlineLevel="0" collapsed="false">
      <c r="A833" s="102"/>
      <c r="B833" s="104"/>
      <c r="C833" s="104"/>
      <c r="F833" s="103" t="str">
        <f aca="false">IF(OR($C833="",$D833=0),"",$E833/$D833)</f>
        <v/>
      </c>
      <c r="H833" s="0" t="str">
        <f aca="false">IF($C833="","",IF(COUNTIF('مواد المخزون'!$A$2:$A$86,$C833)&gt;0,"نعم","لا (خارج الجرد)"))</f>
        <v/>
      </c>
    </row>
    <row r="834" customFormat="false" ht="15" hidden="false" customHeight="false" outlineLevel="0" collapsed="false">
      <c r="A834" s="102"/>
      <c r="B834" s="104"/>
      <c r="C834" s="104"/>
      <c r="F834" s="103" t="str">
        <f aca="false">IF(OR($C834="",$D834=0),"",$E834/$D834)</f>
        <v/>
      </c>
      <c r="H834" s="0" t="str">
        <f aca="false">IF($C834="","",IF(COUNTIF('مواد المخزون'!$A$2:$A$86,$C834)&gt;0,"نعم","لا (خارج الجرد)"))</f>
        <v/>
      </c>
    </row>
    <row r="835" customFormat="false" ht="15" hidden="false" customHeight="false" outlineLevel="0" collapsed="false">
      <c r="A835" s="102"/>
      <c r="B835" s="104"/>
      <c r="C835" s="104"/>
      <c r="F835" s="103" t="str">
        <f aca="false">IF(OR($C835="",$D835=0),"",$E835/$D835)</f>
        <v/>
      </c>
      <c r="H835" s="0" t="str">
        <f aca="false">IF($C835="","",IF(COUNTIF('مواد المخزون'!$A$2:$A$86,$C835)&gt;0,"نعم","لا (خارج الجرد)"))</f>
        <v/>
      </c>
    </row>
    <row r="836" customFormat="false" ht="15" hidden="false" customHeight="false" outlineLevel="0" collapsed="false">
      <c r="A836" s="102"/>
      <c r="B836" s="104"/>
      <c r="C836" s="104"/>
      <c r="F836" s="103" t="str">
        <f aca="false">IF(OR($C836="",$D836=0),"",$E836/$D836)</f>
        <v/>
      </c>
      <c r="H836" s="0" t="str">
        <f aca="false">IF($C836="","",IF(COUNTIF('مواد المخزون'!$A$2:$A$86,$C836)&gt;0,"نعم","لا (خارج الجرد)"))</f>
        <v/>
      </c>
    </row>
    <row r="837" customFormat="false" ht="15" hidden="false" customHeight="false" outlineLevel="0" collapsed="false">
      <c r="A837" s="102"/>
      <c r="B837" s="104"/>
      <c r="C837" s="104"/>
      <c r="F837" s="103" t="str">
        <f aca="false">IF(OR($C837="",$D837=0),"",$E837/$D837)</f>
        <v/>
      </c>
      <c r="H837" s="0" t="str">
        <f aca="false">IF($C837="","",IF(COUNTIF('مواد المخزون'!$A$2:$A$86,$C837)&gt;0,"نعم","لا (خارج الجرد)"))</f>
        <v/>
      </c>
    </row>
    <row r="838" customFormat="false" ht="15" hidden="false" customHeight="false" outlineLevel="0" collapsed="false">
      <c r="A838" s="102"/>
      <c r="B838" s="104"/>
      <c r="C838" s="104"/>
      <c r="F838" s="103" t="str">
        <f aca="false">IF(OR($C838="",$D838=0),"",$E838/$D838)</f>
        <v/>
      </c>
      <c r="H838" s="0" t="str">
        <f aca="false">IF($C838="","",IF(COUNTIF('مواد المخزون'!$A$2:$A$86,$C838)&gt;0,"نعم","لا (خارج الجرد)"))</f>
        <v/>
      </c>
    </row>
    <row r="839" customFormat="false" ht="15" hidden="false" customHeight="false" outlineLevel="0" collapsed="false">
      <c r="A839" s="102"/>
      <c r="B839" s="104"/>
      <c r="C839" s="104"/>
      <c r="F839" s="103" t="str">
        <f aca="false">IF(OR($C839="",$D839=0),"",$E839/$D839)</f>
        <v/>
      </c>
      <c r="H839" s="0" t="str">
        <f aca="false">IF($C839="","",IF(COUNTIF('مواد المخزون'!$A$2:$A$86,$C839)&gt;0,"نعم","لا (خارج الجرد)"))</f>
        <v/>
      </c>
    </row>
    <row r="840" customFormat="false" ht="15" hidden="false" customHeight="false" outlineLevel="0" collapsed="false">
      <c r="A840" s="102"/>
      <c r="B840" s="104"/>
      <c r="C840" s="104"/>
      <c r="F840" s="103" t="str">
        <f aca="false">IF(OR($C840="",$D840=0),"",$E840/$D840)</f>
        <v/>
      </c>
      <c r="H840" s="0" t="str">
        <f aca="false">IF($C840="","",IF(COUNTIF('مواد المخزون'!$A$2:$A$86,$C840)&gt;0,"نعم","لا (خارج الجرد)"))</f>
        <v/>
      </c>
    </row>
    <row r="841" customFormat="false" ht="15" hidden="false" customHeight="false" outlineLevel="0" collapsed="false">
      <c r="A841" s="102"/>
      <c r="B841" s="104"/>
      <c r="C841" s="104"/>
      <c r="F841" s="103" t="str">
        <f aca="false">IF(OR($C841="",$D841=0),"",$E841/$D841)</f>
        <v/>
      </c>
      <c r="H841" s="0" t="str">
        <f aca="false">IF($C841="","",IF(COUNTIF('مواد المخزون'!$A$2:$A$86,$C841)&gt;0,"نعم","لا (خارج الجرد)"))</f>
        <v/>
      </c>
    </row>
    <row r="842" customFormat="false" ht="15" hidden="false" customHeight="false" outlineLevel="0" collapsed="false">
      <c r="A842" s="102"/>
      <c r="B842" s="104"/>
      <c r="C842" s="104"/>
      <c r="F842" s="103" t="str">
        <f aca="false">IF(OR($C842="",$D842=0),"",$E842/$D842)</f>
        <v/>
      </c>
      <c r="H842" s="0" t="str">
        <f aca="false">IF($C842="","",IF(COUNTIF('مواد المخزون'!$A$2:$A$86,$C842)&gt;0,"نعم","لا (خارج الجرد)"))</f>
        <v/>
      </c>
    </row>
    <row r="843" customFormat="false" ht="15" hidden="false" customHeight="false" outlineLevel="0" collapsed="false">
      <c r="A843" s="102"/>
      <c r="B843" s="104"/>
      <c r="C843" s="104"/>
      <c r="F843" s="103" t="str">
        <f aca="false">IF(OR($C843="",$D843=0),"",$E843/$D843)</f>
        <v/>
      </c>
      <c r="H843" s="0" t="str">
        <f aca="false">IF($C843="","",IF(COUNTIF('مواد المخزون'!$A$2:$A$86,$C843)&gt;0,"نعم","لا (خارج الجرد)"))</f>
        <v/>
      </c>
    </row>
    <row r="844" customFormat="false" ht="15" hidden="false" customHeight="false" outlineLevel="0" collapsed="false">
      <c r="A844" s="102"/>
      <c r="B844" s="104"/>
      <c r="C844" s="104"/>
      <c r="F844" s="103" t="str">
        <f aca="false">IF(OR($C844="",$D844=0),"",$E844/$D844)</f>
        <v/>
      </c>
      <c r="H844" s="0" t="str">
        <f aca="false">IF($C844="","",IF(COUNTIF('مواد المخزون'!$A$2:$A$86,$C844)&gt;0,"نعم","لا (خارج الجرد)"))</f>
        <v/>
      </c>
    </row>
    <row r="845" customFormat="false" ht="15" hidden="false" customHeight="false" outlineLevel="0" collapsed="false">
      <c r="A845" s="102"/>
      <c r="B845" s="104"/>
      <c r="C845" s="104"/>
      <c r="F845" s="103" t="str">
        <f aca="false">IF(OR($C845="",$D845=0),"",$E845/$D845)</f>
        <v/>
      </c>
      <c r="H845" s="0" t="str">
        <f aca="false">IF($C845="","",IF(COUNTIF('مواد المخزون'!$A$2:$A$86,$C845)&gt;0,"نعم","لا (خارج الجرد)"))</f>
        <v/>
      </c>
    </row>
    <row r="846" customFormat="false" ht="15" hidden="false" customHeight="false" outlineLevel="0" collapsed="false">
      <c r="A846" s="102"/>
      <c r="B846" s="104"/>
      <c r="C846" s="104"/>
      <c r="F846" s="103" t="str">
        <f aca="false">IF(OR($C846="",$D846=0),"",$E846/$D846)</f>
        <v/>
      </c>
      <c r="H846" s="0" t="str">
        <f aca="false">IF($C846="","",IF(COUNTIF('مواد المخزون'!$A$2:$A$86,$C846)&gt;0,"نعم","لا (خارج الجرد)"))</f>
        <v/>
      </c>
    </row>
    <row r="847" customFormat="false" ht="15" hidden="false" customHeight="false" outlineLevel="0" collapsed="false">
      <c r="A847" s="102"/>
      <c r="B847" s="104"/>
      <c r="C847" s="104"/>
      <c r="F847" s="103" t="str">
        <f aca="false">IF(OR($C847="",$D847=0),"",$E847/$D847)</f>
        <v/>
      </c>
      <c r="H847" s="0" t="str">
        <f aca="false">IF($C847="","",IF(COUNTIF('مواد المخزون'!$A$2:$A$86,$C847)&gt;0,"نعم","لا (خارج الجرد)"))</f>
        <v/>
      </c>
    </row>
    <row r="848" customFormat="false" ht="15" hidden="false" customHeight="false" outlineLevel="0" collapsed="false">
      <c r="A848" s="102"/>
      <c r="B848" s="104"/>
      <c r="C848" s="104"/>
      <c r="F848" s="103" t="str">
        <f aca="false">IF(OR($C848="",$D848=0),"",$E848/$D848)</f>
        <v/>
      </c>
      <c r="H848" s="0" t="str">
        <f aca="false">IF($C848="","",IF(COUNTIF('مواد المخزون'!$A$2:$A$86,$C848)&gt;0,"نعم","لا (خارج الجرد)"))</f>
        <v/>
      </c>
    </row>
    <row r="849" customFormat="false" ht="15" hidden="false" customHeight="false" outlineLevel="0" collapsed="false">
      <c r="A849" s="102"/>
      <c r="B849" s="104"/>
      <c r="C849" s="104"/>
      <c r="F849" s="103" t="str">
        <f aca="false">IF(OR($C849="",$D849=0),"",$E849/$D849)</f>
        <v/>
      </c>
      <c r="H849" s="0" t="str">
        <f aca="false">IF($C849="","",IF(COUNTIF('مواد المخزون'!$A$2:$A$86,$C849)&gt;0,"نعم","لا (خارج الجرد)"))</f>
        <v/>
      </c>
    </row>
    <row r="850" customFormat="false" ht="15" hidden="false" customHeight="false" outlineLevel="0" collapsed="false">
      <c r="A850" s="102"/>
      <c r="B850" s="104"/>
      <c r="C850" s="104"/>
      <c r="F850" s="103" t="str">
        <f aca="false">IF(OR($C850="",$D850=0),"",$E850/$D850)</f>
        <v/>
      </c>
      <c r="H850" s="0" t="str">
        <f aca="false">IF($C850="","",IF(COUNTIF('مواد المخزون'!$A$2:$A$86,$C850)&gt;0,"نعم","لا (خارج الجرد)"))</f>
        <v/>
      </c>
    </row>
    <row r="851" customFormat="false" ht="15" hidden="false" customHeight="false" outlineLevel="0" collapsed="false">
      <c r="A851" s="102"/>
      <c r="B851" s="104"/>
      <c r="C851" s="104"/>
      <c r="F851" s="103" t="str">
        <f aca="false">IF(OR($C851="",$D851=0),"",$E851/$D851)</f>
        <v/>
      </c>
      <c r="H851" s="0" t="str">
        <f aca="false">IF($C851="","",IF(COUNTIF('مواد المخزون'!$A$2:$A$86,$C851)&gt;0,"نعم","لا (خارج الجرد)"))</f>
        <v/>
      </c>
    </row>
    <row r="852" customFormat="false" ht="15" hidden="false" customHeight="false" outlineLevel="0" collapsed="false">
      <c r="A852" s="102"/>
      <c r="B852" s="104"/>
      <c r="C852" s="104"/>
      <c r="F852" s="103" t="str">
        <f aca="false">IF(OR($C852="",$D852=0),"",$E852/$D852)</f>
        <v/>
      </c>
      <c r="H852" s="0" t="str">
        <f aca="false">IF($C852="","",IF(COUNTIF('مواد المخزون'!$A$2:$A$86,$C852)&gt;0,"نعم","لا (خارج الجرد)"))</f>
        <v/>
      </c>
    </row>
    <row r="853" customFormat="false" ht="15" hidden="false" customHeight="false" outlineLevel="0" collapsed="false">
      <c r="A853" s="102"/>
      <c r="B853" s="104"/>
      <c r="C853" s="104"/>
      <c r="F853" s="103" t="str">
        <f aca="false">IF(OR($C853="",$D853=0),"",$E853/$D853)</f>
        <v/>
      </c>
      <c r="H853" s="0" t="str">
        <f aca="false">IF($C853="","",IF(COUNTIF('مواد المخزون'!$A$2:$A$86,$C853)&gt;0,"نعم","لا (خارج الجرد)"))</f>
        <v/>
      </c>
    </row>
    <row r="854" customFormat="false" ht="15" hidden="false" customHeight="false" outlineLevel="0" collapsed="false">
      <c r="A854" s="102"/>
      <c r="B854" s="104"/>
      <c r="C854" s="104"/>
      <c r="F854" s="103" t="str">
        <f aca="false">IF(OR($C854="",$D854=0),"",$E854/$D854)</f>
        <v/>
      </c>
      <c r="H854" s="0" t="str">
        <f aca="false">IF($C854="","",IF(COUNTIF('مواد المخزون'!$A$2:$A$86,$C854)&gt;0,"نعم","لا (خارج الجرد)"))</f>
        <v/>
      </c>
    </row>
    <row r="855" customFormat="false" ht="15" hidden="false" customHeight="false" outlineLevel="0" collapsed="false">
      <c r="A855" s="102"/>
      <c r="B855" s="104"/>
      <c r="C855" s="104"/>
      <c r="F855" s="103" t="str">
        <f aca="false">IF(OR($C855="",$D855=0),"",$E855/$D855)</f>
        <v/>
      </c>
      <c r="H855" s="0" t="str">
        <f aca="false">IF($C855="","",IF(COUNTIF('مواد المخزون'!$A$2:$A$86,$C855)&gt;0,"نعم","لا (خارج الجرد)"))</f>
        <v/>
      </c>
    </row>
    <row r="856" customFormat="false" ht="15" hidden="false" customHeight="false" outlineLevel="0" collapsed="false">
      <c r="A856" s="102"/>
      <c r="B856" s="104"/>
      <c r="C856" s="104"/>
      <c r="F856" s="103" t="str">
        <f aca="false">IF(OR($C856="",$D856=0),"",$E856/$D856)</f>
        <v/>
      </c>
      <c r="H856" s="0" t="str">
        <f aca="false">IF($C856="","",IF(COUNTIF('مواد المخزون'!$A$2:$A$86,$C856)&gt;0,"نعم","لا (خارج الجرد)"))</f>
        <v/>
      </c>
    </row>
    <row r="857" customFormat="false" ht="15" hidden="false" customHeight="false" outlineLevel="0" collapsed="false">
      <c r="A857" s="102"/>
      <c r="B857" s="104"/>
      <c r="C857" s="104"/>
      <c r="F857" s="103" t="str">
        <f aca="false">IF(OR($C857="",$D857=0),"",$E857/$D857)</f>
        <v/>
      </c>
      <c r="H857" s="0" t="str">
        <f aca="false">IF($C857="","",IF(COUNTIF('مواد المخزون'!$A$2:$A$86,$C857)&gt;0,"نعم","لا (خارج الجرد)"))</f>
        <v/>
      </c>
    </row>
    <row r="858" customFormat="false" ht="15" hidden="false" customHeight="false" outlineLevel="0" collapsed="false">
      <c r="A858" s="102"/>
      <c r="B858" s="104"/>
      <c r="C858" s="104"/>
      <c r="F858" s="103" t="str">
        <f aca="false">IF(OR($C858="",$D858=0),"",$E858/$D858)</f>
        <v/>
      </c>
      <c r="H858" s="0" t="str">
        <f aca="false">IF($C858="","",IF(COUNTIF('مواد المخزون'!$A$2:$A$86,$C858)&gt;0,"نعم","لا (خارج الجرد)"))</f>
        <v/>
      </c>
    </row>
    <row r="859" customFormat="false" ht="15" hidden="false" customHeight="false" outlineLevel="0" collapsed="false">
      <c r="A859" s="102"/>
      <c r="B859" s="104"/>
      <c r="C859" s="104"/>
      <c r="F859" s="103" t="str">
        <f aca="false">IF(OR($C859="",$D859=0),"",$E859/$D859)</f>
        <v/>
      </c>
      <c r="H859" s="0" t="str">
        <f aca="false">IF($C859="","",IF(COUNTIF('مواد المخزون'!$A$2:$A$86,$C859)&gt;0,"نعم","لا (خارج الجرد)"))</f>
        <v/>
      </c>
    </row>
    <row r="860" customFormat="false" ht="15" hidden="false" customHeight="false" outlineLevel="0" collapsed="false">
      <c r="A860" s="102"/>
      <c r="B860" s="104"/>
      <c r="C860" s="104"/>
      <c r="F860" s="103" t="str">
        <f aca="false">IF(OR($C860="",$D860=0),"",$E860/$D860)</f>
        <v/>
      </c>
      <c r="H860" s="0" t="str">
        <f aca="false">IF($C860="","",IF(COUNTIF('مواد المخزون'!$A$2:$A$86,$C860)&gt;0,"نعم","لا (خارج الجرد)"))</f>
        <v/>
      </c>
    </row>
    <row r="861" customFormat="false" ht="15" hidden="false" customHeight="false" outlineLevel="0" collapsed="false">
      <c r="A861" s="102"/>
      <c r="B861" s="104"/>
      <c r="C861" s="104"/>
      <c r="F861" s="103" t="str">
        <f aca="false">IF(OR($C861="",$D861=0),"",$E861/$D861)</f>
        <v/>
      </c>
      <c r="H861" s="0" t="str">
        <f aca="false">IF($C861="","",IF(COUNTIF('مواد المخزون'!$A$2:$A$86,$C861)&gt;0,"نعم","لا (خارج الجرد)"))</f>
        <v/>
      </c>
    </row>
    <row r="862" customFormat="false" ht="15" hidden="false" customHeight="false" outlineLevel="0" collapsed="false">
      <c r="A862" s="102"/>
      <c r="B862" s="104"/>
      <c r="C862" s="104"/>
      <c r="F862" s="103" t="str">
        <f aca="false">IF(OR($C862="",$D862=0),"",$E862/$D862)</f>
        <v/>
      </c>
      <c r="H862" s="0" t="str">
        <f aca="false">IF($C862="","",IF(COUNTIF('مواد المخزون'!$A$2:$A$86,$C862)&gt;0,"نعم","لا (خارج الجرد)"))</f>
        <v/>
      </c>
    </row>
    <row r="863" customFormat="false" ht="15" hidden="false" customHeight="false" outlineLevel="0" collapsed="false">
      <c r="A863" s="102"/>
      <c r="B863" s="104"/>
      <c r="C863" s="104"/>
      <c r="F863" s="103" t="str">
        <f aca="false">IF(OR($C863="",$D863=0),"",$E863/$D863)</f>
        <v/>
      </c>
      <c r="H863" s="0" t="str">
        <f aca="false">IF($C863="","",IF(COUNTIF('مواد المخزون'!$A$2:$A$86,$C863)&gt;0,"نعم","لا (خارج الجرد)"))</f>
        <v/>
      </c>
    </row>
    <row r="864" customFormat="false" ht="15" hidden="false" customHeight="false" outlineLevel="0" collapsed="false">
      <c r="A864" s="102"/>
      <c r="B864" s="104"/>
      <c r="C864" s="104"/>
      <c r="F864" s="103" t="str">
        <f aca="false">IF(OR($C864="",$D864=0),"",$E864/$D864)</f>
        <v/>
      </c>
      <c r="H864" s="0" t="str">
        <f aca="false">IF($C864="","",IF(COUNTIF('مواد المخزون'!$A$2:$A$86,$C864)&gt;0,"نعم","لا (خارج الجرد)"))</f>
        <v/>
      </c>
    </row>
    <row r="865" customFormat="false" ht="15" hidden="false" customHeight="false" outlineLevel="0" collapsed="false">
      <c r="A865" s="102"/>
      <c r="B865" s="104"/>
      <c r="C865" s="104"/>
      <c r="F865" s="103" t="str">
        <f aca="false">IF(OR($C865="",$D865=0),"",$E865/$D865)</f>
        <v/>
      </c>
      <c r="H865" s="0" t="str">
        <f aca="false">IF($C865="","",IF(COUNTIF('مواد المخزون'!$A$2:$A$86,$C865)&gt;0,"نعم","لا (خارج الجرد)"))</f>
        <v/>
      </c>
    </row>
    <row r="866" customFormat="false" ht="15" hidden="false" customHeight="false" outlineLevel="0" collapsed="false">
      <c r="A866" s="102"/>
      <c r="B866" s="104"/>
      <c r="C866" s="104"/>
      <c r="F866" s="103" t="str">
        <f aca="false">IF(OR($C866="",$D866=0),"",$E866/$D866)</f>
        <v/>
      </c>
      <c r="H866" s="0" t="str">
        <f aca="false">IF($C866="","",IF(COUNTIF('مواد المخزون'!$A$2:$A$86,$C866)&gt;0,"نعم","لا (خارج الجرد)"))</f>
        <v/>
      </c>
    </row>
    <row r="867" customFormat="false" ht="15" hidden="false" customHeight="false" outlineLevel="0" collapsed="false">
      <c r="A867" s="102"/>
      <c r="B867" s="104"/>
      <c r="C867" s="104"/>
      <c r="F867" s="103" t="str">
        <f aca="false">IF(OR($C867="",$D867=0),"",$E867/$D867)</f>
        <v/>
      </c>
      <c r="H867" s="0" t="str">
        <f aca="false">IF($C867="","",IF(COUNTIF('مواد المخزون'!$A$2:$A$86,$C867)&gt;0,"نعم","لا (خارج الجرد)"))</f>
        <v/>
      </c>
    </row>
    <row r="868" customFormat="false" ht="15" hidden="false" customHeight="false" outlineLevel="0" collapsed="false">
      <c r="A868" s="102"/>
      <c r="B868" s="104"/>
      <c r="C868" s="104"/>
      <c r="F868" s="103" t="str">
        <f aca="false">IF(OR($C868="",$D868=0),"",$E868/$D868)</f>
        <v/>
      </c>
      <c r="H868" s="0" t="str">
        <f aca="false">IF($C868="","",IF(COUNTIF('مواد المخزون'!$A$2:$A$86,$C868)&gt;0,"نعم","لا (خارج الجرد)"))</f>
        <v/>
      </c>
    </row>
    <row r="869" customFormat="false" ht="15" hidden="false" customHeight="false" outlineLevel="0" collapsed="false">
      <c r="A869" s="102"/>
      <c r="B869" s="104"/>
      <c r="C869" s="104"/>
      <c r="F869" s="103" t="str">
        <f aca="false">IF(OR($C869="",$D869=0),"",$E869/$D869)</f>
        <v/>
      </c>
      <c r="H869" s="0" t="str">
        <f aca="false">IF($C869="","",IF(COUNTIF('مواد المخزون'!$A$2:$A$86,$C869)&gt;0,"نعم","لا (خارج الجرد)"))</f>
        <v/>
      </c>
    </row>
    <row r="870" customFormat="false" ht="15" hidden="false" customHeight="false" outlineLevel="0" collapsed="false">
      <c r="A870" s="102"/>
      <c r="B870" s="104"/>
      <c r="C870" s="104"/>
      <c r="F870" s="103" t="str">
        <f aca="false">IF(OR($C870="",$D870=0),"",$E870/$D870)</f>
        <v/>
      </c>
      <c r="H870" s="0" t="str">
        <f aca="false">IF($C870="","",IF(COUNTIF('مواد المخزون'!$A$2:$A$86,$C870)&gt;0,"نعم","لا (خارج الجرد)"))</f>
        <v/>
      </c>
    </row>
    <row r="871" customFormat="false" ht="15" hidden="false" customHeight="false" outlineLevel="0" collapsed="false">
      <c r="A871" s="102"/>
      <c r="B871" s="104"/>
      <c r="C871" s="104"/>
      <c r="F871" s="103" t="str">
        <f aca="false">IF(OR($C871="",$D871=0),"",$E871/$D871)</f>
        <v/>
      </c>
      <c r="H871" s="0" t="str">
        <f aca="false">IF($C871="","",IF(COUNTIF('مواد المخزون'!$A$2:$A$86,$C871)&gt;0,"نعم","لا (خارج الجرد)"))</f>
        <v/>
      </c>
    </row>
    <row r="872" customFormat="false" ht="15" hidden="false" customHeight="false" outlineLevel="0" collapsed="false">
      <c r="A872" s="102"/>
      <c r="B872" s="104"/>
      <c r="C872" s="104"/>
      <c r="F872" s="103" t="str">
        <f aca="false">IF(OR($C872="",$D872=0),"",$E872/$D872)</f>
        <v/>
      </c>
      <c r="H872" s="0" t="str">
        <f aca="false">IF($C872="","",IF(COUNTIF('مواد المخزون'!$A$2:$A$86,$C872)&gt;0,"نعم","لا (خارج الجرد)"))</f>
        <v/>
      </c>
    </row>
    <row r="873" customFormat="false" ht="15" hidden="false" customHeight="false" outlineLevel="0" collapsed="false">
      <c r="A873" s="102"/>
      <c r="B873" s="104"/>
      <c r="C873" s="104"/>
      <c r="F873" s="103" t="str">
        <f aca="false">IF(OR($C873="",$D873=0),"",$E873/$D873)</f>
        <v/>
      </c>
      <c r="H873" s="0" t="str">
        <f aca="false">IF($C873="","",IF(COUNTIF('مواد المخزون'!$A$2:$A$86,$C873)&gt;0,"نعم","لا (خارج الجرد)"))</f>
        <v/>
      </c>
    </row>
    <row r="874" customFormat="false" ht="15" hidden="false" customHeight="false" outlineLevel="0" collapsed="false">
      <c r="A874" s="102"/>
      <c r="B874" s="104"/>
      <c r="C874" s="104"/>
      <c r="F874" s="103" t="str">
        <f aca="false">IF(OR($C874="",$D874=0),"",$E874/$D874)</f>
        <v/>
      </c>
      <c r="H874" s="0" t="str">
        <f aca="false">IF($C874="","",IF(COUNTIF('مواد المخزون'!$A$2:$A$86,$C874)&gt;0,"نعم","لا (خارج الجرد)"))</f>
        <v/>
      </c>
    </row>
    <row r="875" customFormat="false" ht="15" hidden="false" customHeight="false" outlineLevel="0" collapsed="false">
      <c r="A875" s="102"/>
      <c r="B875" s="104"/>
      <c r="C875" s="104"/>
      <c r="F875" s="103" t="str">
        <f aca="false">IF(OR($C875="",$D875=0),"",$E875/$D875)</f>
        <v/>
      </c>
      <c r="H875" s="0" t="str">
        <f aca="false">IF($C875="","",IF(COUNTIF('مواد المخزون'!$A$2:$A$86,$C875)&gt;0,"نعم","لا (خارج الجرد)"))</f>
        <v/>
      </c>
    </row>
    <row r="876" customFormat="false" ht="15" hidden="false" customHeight="false" outlineLevel="0" collapsed="false">
      <c r="A876" s="102"/>
      <c r="B876" s="104"/>
      <c r="C876" s="104"/>
      <c r="F876" s="103" t="str">
        <f aca="false">IF(OR($C876="",$D876=0),"",$E876/$D876)</f>
        <v/>
      </c>
      <c r="H876" s="0" t="str">
        <f aca="false">IF($C876="","",IF(COUNTIF('مواد المخزون'!$A$2:$A$86,$C876)&gt;0,"نعم","لا (خارج الجرد)"))</f>
        <v/>
      </c>
    </row>
    <row r="877" customFormat="false" ht="15" hidden="false" customHeight="false" outlineLevel="0" collapsed="false">
      <c r="A877" s="102"/>
      <c r="B877" s="104"/>
      <c r="C877" s="104"/>
      <c r="F877" s="103" t="str">
        <f aca="false">IF(OR($C877="",$D877=0),"",$E877/$D877)</f>
        <v/>
      </c>
      <c r="H877" s="0" t="str">
        <f aca="false">IF($C877="","",IF(COUNTIF('مواد المخزون'!$A$2:$A$86,$C877)&gt;0,"نعم","لا (خارج الجرد)"))</f>
        <v/>
      </c>
    </row>
    <row r="878" customFormat="false" ht="15" hidden="false" customHeight="false" outlineLevel="0" collapsed="false">
      <c r="A878" s="102"/>
      <c r="B878" s="104"/>
      <c r="C878" s="104"/>
      <c r="F878" s="103" t="str">
        <f aca="false">IF(OR($C878="",$D878=0),"",$E878/$D878)</f>
        <v/>
      </c>
      <c r="H878" s="0" t="str">
        <f aca="false">IF($C878="","",IF(COUNTIF('مواد المخزون'!$A$2:$A$86,$C878)&gt;0,"نعم","لا (خارج الجرد)"))</f>
        <v/>
      </c>
    </row>
    <row r="879" customFormat="false" ht="15" hidden="false" customHeight="false" outlineLevel="0" collapsed="false">
      <c r="A879" s="102"/>
      <c r="B879" s="104"/>
      <c r="C879" s="104"/>
      <c r="F879" s="103" t="str">
        <f aca="false">IF(OR($C879="",$D879=0),"",$E879/$D879)</f>
        <v/>
      </c>
      <c r="H879" s="0" t="str">
        <f aca="false">IF($C879="","",IF(COUNTIF('مواد المخزون'!$A$2:$A$86,$C879)&gt;0,"نعم","لا (خارج الجرد)"))</f>
        <v/>
      </c>
    </row>
    <row r="880" customFormat="false" ht="15" hidden="false" customHeight="false" outlineLevel="0" collapsed="false">
      <c r="A880" s="102"/>
      <c r="B880" s="104"/>
      <c r="C880" s="104"/>
      <c r="F880" s="103" t="str">
        <f aca="false">IF(OR($C880="",$D880=0),"",$E880/$D880)</f>
        <v/>
      </c>
      <c r="H880" s="0" t="str">
        <f aca="false">IF($C880="","",IF(COUNTIF('مواد المخزون'!$A$2:$A$86,$C880)&gt;0,"نعم","لا (خارج الجرد)"))</f>
        <v/>
      </c>
    </row>
    <row r="881" customFormat="false" ht="15" hidden="false" customHeight="false" outlineLevel="0" collapsed="false">
      <c r="A881" s="102"/>
      <c r="B881" s="104"/>
      <c r="C881" s="104"/>
      <c r="F881" s="103" t="str">
        <f aca="false">IF(OR($C881="",$D881=0),"",$E881/$D881)</f>
        <v/>
      </c>
      <c r="H881" s="0" t="str">
        <f aca="false">IF($C881="","",IF(COUNTIF('مواد المخزون'!$A$2:$A$86,$C881)&gt;0,"نعم","لا (خارج الجرد)"))</f>
        <v/>
      </c>
    </row>
    <row r="882" customFormat="false" ht="15" hidden="false" customHeight="false" outlineLevel="0" collapsed="false">
      <c r="A882" s="102"/>
      <c r="B882" s="104"/>
      <c r="C882" s="104"/>
      <c r="F882" s="103" t="str">
        <f aca="false">IF(OR($C882="",$D882=0),"",$E882/$D882)</f>
        <v/>
      </c>
      <c r="H882" s="0" t="str">
        <f aca="false">IF($C882="","",IF(COUNTIF('مواد المخزون'!$A$2:$A$86,$C882)&gt;0,"نعم","لا (خارج الجرد)"))</f>
        <v/>
      </c>
    </row>
    <row r="883" customFormat="false" ht="15" hidden="false" customHeight="false" outlineLevel="0" collapsed="false">
      <c r="A883" s="102"/>
      <c r="B883" s="104"/>
      <c r="C883" s="104"/>
      <c r="F883" s="103" t="str">
        <f aca="false">IF(OR($C883="",$D883=0),"",$E883/$D883)</f>
        <v/>
      </c>
      <c r="H883" s="0" t="str">
        <f aca="false">IF($C883="","",IF(COUNTIF('مواد المخزون'!$A$2:$A$86,$C883)&gt;0,"نعم","لا (خارج الجرد)"))</f>
        <v/>
      </c>
    </row>
    <row r="884" customFormat="false" ht="15" hidden="false" customHeight="false" outlineLevel="0" collapsed="false">
      <c r="A884" s="102"/>
      <c r="B884" s="104"/>
      <c r="C884" s="104"/>
      <c r="F884" s="103" t="str">
        <f aca="false">IF(OR($C884="",$D884=0),"",$E884/$D884)</f>
        <v/>
      </c>
      <c r="H884" s="0" t="str">
        <f aca="false">IF($C884="","",IF(COUNTIF('مواد المخزون'!$A$2:$A$86,$C884)&gt;0,"نعم","لا (خارج الجرد)"))</f>
        <v/>
      </c>
    </row>
    <row r="885" customFormat="false" ht="15" hidden="false" customHeight="false" outlineLevel="0" collapsed="false">
      <c r="A885" s="102"/>
      <c r="B885" s="104"/>
      <c r="C885" s="104"/>
      <c r="F885" s="103" t="str">
        <f aca="false">IF(OR($C885="",$D885=0),"",$E885/$D885)</f>
        <v/>
      </c>
      <c r="H885" s="0" t="str">
        <f aca="false">IF($C885="","",IF(COUNTIF('مواد المخزون'!$A$2:$A$86,$C885)&gt;0,"نعم","لا (خارج الجرد)"))</f>
        <v/>
      </c>
    </row>
    <row r="886" customFormat="false" ht="15" hidden="false" customHeight="false" outlineLevel="0" collapsed="false">
      <c r="A886" s="102"/>
      <c r="B886" s="104"/>
      <c r="C886" s="104"/>
      <c r="F886" s="103" t="str">
        <f aca="false">IF(OR($C886="",$D886=0),"",$E886/$D886)</f>
        <v/>
      </c>
      <c r="H886" s="0" t="str">
        <f aca="false">IF($C886="","",IF(COUNTIF('مواد المخزون'!$A$2:$A$86,$C886)&gt;0,"نعم","لا (خارج الجرد)"))</f>
        <v/>
      </c>
    </row>
    <row r="887" customFormat="false" ht="15" hidden="false" customHeight="false" outlineLevel="0" collapsed="false">
      <c r="A887" s="102"/>
      <c r="B887" s="104"/>
      <c r="C887" s="104"/>
      <c r="F887" s="103" t="str">
        <f aca="false">IF(OR($C887="",$D887=0),"",$E887/$D887)</f>
        <v/>
      </c>
      <c r="H887" s="0" t="str">
        <f aca="false">IF($C887="","",IF(COUNTIF('مواد المخزون'!$A$2:$A$86,$C887)&gt;0,"نعم","لا (خارج الجرد)"))</f>
        <v/>
      </c>
    </row>
    <row r="888" customFormat="false" ht="15" hidden="false" customHeight="false" outlineLevel="0" collapsed="false">
      <c r="A888" s="102"/>
      <c r="B888" s="104"/>
      <c r="C888" s="104"/>
      <c r="F888" s="103" t="str">
        <f aca="false">IF(OR($C888="",$D888=0),"",$E888/$D888)</f>
        <v/>
      </c>
      <c r="H888" s="0" t="str">
        <f aca="false">IF($C888="","",IF(COUNTIF('مواد المخزون'!$A$2:$A$86,$C888)&gt;0,"نعم","لا (خارج الجرد)"))</f>
        <v/>
      </c>
    </row>
    <row r="889" customFormat="false" ht="15" hidden="false" customHeight="false" outlineLevel="0" collapsed="false">
      <c r="A889" s="102"/>
      <c r="B889" s="104"/>
      <c r="C889" s="104"/>
      <c r="F889" s="103" t="str">
        <f aca="false">IF(OR($C889="",$D889=0),"",$E889/$D889)</f>
        <v/>
      </c>
      <c r="H889" s="0" t="str">
        <f aca="false">IF($C889="","",IF(COUNTIF('مواد المخزون'!$A$2:$A$86,$C889)&gt;0,"نعم","لا (خارج الجرد)"))</f>
        <v/>
      </c>
    </row>
    <row r="890" customFormat="false" ht="15" hidden="false" customHeight="false" outlineLevel="0" collapsed="false">
      <c r="A890" s="102"/>
      <c r="B890" s="104"/>
      <c r="C890" s="104"/>
      <c r="F890" s="103" t="str">
        <f aca="false">IF(OR($C890="",$D890=0),"",$E890/$D890)</f>
        <v/>
      </c>
      <c r="H890" s="0" t="str">
        <f aca="false">IF($C890="","",IF(COUNTIF('مواد المخزون'!$A$2:$A$86,$C890)&gt;0,"نعم","لا (خارج الجرد)"))</f>
        <v/>
      </c>
    </row>
    <row r="891" customFormat="false" ht="15" hidden="false" customHeight="false" outlineLevel="0" collapsed="false">
      <c r="A891" s="102"/>
      <c r="B891" s="104"/>
      <c r="C891" s="104"/>
      <c r="F891" s="103" t="str">
        <f aca="false">IF(OR($C891="",$D891=0),"",$E891/$D891)</f>
        <v/>
      </c>
      <c r="H891" s="0" t="str">
        <f aca="false">IF($C891="","",IF(COUNTIF('مواد المخزون'!$A$2:$A$86,$C891)&gt;0,"نعم","لا (خارج الجرد)"))</f>
        <v/>
      </c>
    </row>
    <row r="892" customFormat="false" ht="15" hidden="false" customHeight="false" outlineLevel="0" collapsed="false">
      <c r="A892" s="102"/>
      <c r="B892" s="104"/>
      <c r="C892" s="104"/>
      <c r="F892" s="103" t="str">
        <f aca="false">IF(OR($C892="",$D892=0),"",$E892/$D892)</f>
        <v/>
      </c>
      <c r="H892" s="0" t="str">
        <f aca="false">IF($C892="","",IF(COUNTIF('مواد المخزون'!$A$2:$A$86,$C892)&gt;0,"نعم","لا (خارج الجرد)"))</f>
        <v/>
      </c>
    </row>
    <row r="893" customFormat="false" ht="15" hidden="false" customHeight="false" outlineLevel="0" collapsed="false">
      <c r="A893" s="102"/>
      <c r="B893" s="104"/>
      <c r="C893" s="104"/>
      <c r="F893" s="103" t="str">
        <f aca="false">IF(OR($C893="",$D893=0),"",$E893/$D893)</f>
        <v/>
      </c>
      <c r="H893" s="0" t="str">
        <f aca="false">IF($C893="","",IF(COUNTIF('مواد المخزون'!$A$2:$A$86,$C893)&gt;0,"نعم","لا (خارج الجرد)"))</f>
        <v/>
      </c>
    </row>
    <row r="894" customFormat="false" ht="15" hidden="false" customHeight="false" outlineLevel="0" collapsed="false">
      <c r="A894" s="102"/>
      <c r="B894" s="104"/>
      <c r="C894" s="104"/>
      <c r="F894" s="103" t="str">
        <f aca="false">IF(OR($C894="",$D894=0),"",$E894/$D894)</f>
        <v/>
      </c>
      <c r="H894" s="0" t="str">
        <f aca="false">IF($C894="","",IF(COUNTIF('مواد المخزون'!$A$2:$A$86,$C894)&gt;0,"نعم","لا (خارج الجرد)"))</f>
        <v/>
      </c>
    </row>
    <row r="895" customFormat="false" ht="15" hidden="false" customHeight="false" outlineLevel="0" collapsed="false">
      <c r="A895" s="102"/>
      <c r="B895" s="104"/>
      <c r="C895" s="104"/>
      <c r="F895" s="103" t="str">
        <f aca="false">IF(OR($C895="",$D895=0),"",$E895/$D895)</f>
        <v/>
      </c>
      <c r="H895" s="0" t="str">
        <f aca="false">IF($C895="","",IF(COUNTIF('مواد المخزون'!$A$2:$A$86,$C895)&gt;0,"نعم","لا (خارج الجرد)"))</f>
        <v/>
      </c>
    </row>
    <row r="896" customFormat="false" ht="15" hidden="false" customHeight="false" outlineLevel="0" collapsed="false">
      <c r="A896" s="102"/>
      <c r="B896" s="104"/>
      <c r="C896" s="104"/>
      <c r="F896" s="103" t="str">
        <f aca="false">IF(OR($C896="",$D896=0),"",$E896/$D896)</f>
        <v/>
      </c>
      <c r="H896" s="0" t="str">
        <f aca="false">IF($C896="","",IF(COUNTIF('مواد المخزون'!$A$2:$A$86,$C896)&gt;0,"نعم","لا (خارج الجرد)"))</f>
        <v/>
      </c>
    </row>
    <row r="897" customFormat="false" ht="15" hidden="false" customHeight="false" outlineLevel="0" collapsed="false">
      <c r="A897" s="102"/>
      <c r="B897" s="104"/>
      <c r="C897" s="104"/>
      <c r="F897" s="103" t="str">
        <f aca="false">IF(OR($C897="",$D897=0),"",$E897/$D897)</f>
        <v/>
      </c>
      <c r="H897" s="0" t="str">
        <f aca="false">IF($C897="","",IF(COUNTIF('مواد المخزون'!$A$2:$A$86,$C897)&gt;0,"نعم","لا (خارج الجرد)"))</f>
        <v/>
      </c>
    </row>
    <row r="898" customFormat="false" ht="15" hidden="false" customHeight="false" outlineLevel="0" collapsed="false">
      <c r="A898" s="102"/>
      <c r="B898" s="104"/>
      <c r="C898" s="104"/>
      <c r="F898" s="103" t="str">
        <f aca="false">IF(OR($C898="",$D898=0),"",$E898/$D898)</f>
        <v/>
      </c>
      <c r="H898" s="0" t="str">
        <f aca="false">IF($C898="","",IF(COUNTIF('مواد المخزون'!$A$2:$A$86,$C898)&gt;0,"نعم","لا (خارج الجرد)"))</f>
        <v/>
      </c>
    </row>
    <row r="899" customFormat="false" ht="15" hidden="false" customHeight="false" outlineLevel="0" collapsed="false">
      <c r="A899" s="102"/>
      <c r="B899" s="104"/>
      <c r="C899" s="104"/>
      <c r="F899" s="103" t="str">
        <f aca="false">IF(OR($C899="",$D899=0),"",$E899/$D899)</f>
        <v/>
      </c>
      <c r="H899" s="0" t="str">
        <f aca="false">IF($C899="","",IF(COUNTIF('مواد المخزون'!$A$2:$A$86,$C899)&gt;0,"نعم","لا (خارج الجرد)"))</f>
        <v/>
      </c>
    </row>
    <row r="900" customFormat="false" ht="15" hidden="false" customHeight="false" outlineLevel="0" collapsed="false">
      <c r="A900" s="102"/>
      <c r="B900" s="104"/>
      <c r="C900" s="104"/>
      <c r="F900" s="103" t="str">
        <f aca="false">IF(OR($C900="",$D900=0),"",$E900/$D900)</f>
        <v/>
      </c>
      <c r="H900" s="0" t="str">
        <f aca="false">IF($C900="","",IF(COUNTIF('مواد المخزون'!$A$2:$A$86,$C900)&gt;0,"نعم","لا (خارج الجرد)"))</f>
        <v/>
      </c>
    </row>
    <row r="901" customFormat="false" ht="15" hidden="false" customHeight="false" outlineLevel="0" collapsed="false">
      <c r="A901" s="102"/>
      <c r="B901" s="104"/>
      <c r="C901" s="104"/>
      <c r="F901" s="103" t="str">
        <f aca="false">IF(OR($C901="",$D901=0),"",$E901/$D901)</f>
        <v/>
      </c>
      <c r="H901" s="0" t="str">
        <f aca="false">IF($C901="","",IF(COUNTIF('مواد المخزون'!$A$2:$A$86,$C901)&gt;0,"نعم","لا (خارج الجرد)"))</f>
        <v/>
      </c>
    </row>
    <row r="902" customFormat="false" ht="15" hidden="false" customHeight="false" outlineLevel="0" collapsed="false">
      <c r="A902" s="102"/>
      <c r="B902" s="104"/>
      <c r="C902" s="104"/>
      <c r="F902" s="103" t="str">
        <f aca="false">IF(OR($C902="",$D902=0),"",$E902/$D902)</f>
        <v/>
      </c>
      <c r="H902" s="0" t="str">
        <f aca="false">IF($C902="","",IF(COUNTIF('مواد المخزون'!$A$2:$A$86,$C902)&gt;0,"نعم","لا (خارج الجرد)"))</f>
        <v/>
      </c>
    </row>
    <row r="903" customFormat="false" ht="15" hidden="false" customHeight="false" outlineLevel="0" collapsed="false">
      <c r="A903" s="102"/>
      <c r="B903" s="104"/>
      <c r="C903" s="104"/>
      <c r="F903" s="103" t="str">
        <f aca="false">IF(OR($C903="",$D903=0),"",$E903/$D903)</f>
        <v/>
      </c>
      <c r="H903" s="0" t="str">
        <f aca="false">IF($C903="","",IF(COUNTIF('مواد المخزون'!$A$2:$A$86,$C903)&gt;0,"نعم","لا (خارج الجرد)"))</f>
        <v/>
      </c>
    </row>
    <row r="904" customFormat="false" ht="15" hidden="false" customHeight="false" outlineLevel="0" collapsed="false">
      <c r="A904" s="102"/>
      <c r="B904" s="104"/>
      <c r="C904" s="104"/>
      <c r="F904" s="103" t="str">
        <f aca="false">IF(OR($C904="",$D904=0),"",$E904/$D904)</f>
        <v/>
      </c>
      <c r="H904" s="0" t="str">
        <f aca="false">IF($C904="","",IF(COUNTIF('مواد المخزون'!$A$2:$A$86,$C904)&gt;0,"نعم","لا (خارج الجرد)"))</f>
        <v/>
      </c>
    </row>
    <row r="905" customFormat="false" ht="15" hidden="false" customHeight="false" outlineLevel="0" collapsed="false">
      <c r="A905" s="102"/>
      <c r="B905" s="104"/>
      <c r="C905" s="104"/>
      <c r="F905" s="103" t="str">
        <f aca="false">IF(OR($C905="",$D905=0),"",$E905/$D905)</f>
        <v/>
      </c>
      <c r="H905" s="0" t="str">
        <f aca="false">IF($C905="","",IF(COUNTIF('مواد المخزون'!$A$2:$A$86,$C905)&gt;0,"نعم","لا (خارج الجرد)"))</f>
        <v/>
      </c>
    </row>
    <row r="906" customFormat="false" ht="15" hidden="false" customHeight="false" outlineLevel="0" collapsed="false">
      <c r="A906" s="102"/>
      <c r="B906" s="104"/>
      <c r="C906" s="104"/>
      <c r="F906" s="103" t="str">
        <f aca="false">IF(OR($C906="",$D906=0),"",$E906/$D906)</f>
        <v/>
      </c>
      <c r="H906" s="0" t="str">
        <f aca="false">IF($C906="","",IF(COUNTIF('مواد المخزون'!$A$2:$A$86,$C906)&gt;0,"نعم","لا (خارج الجرد)"))</f>
        <v/>
      </c>
    </row>
    <row r="907" customFormat="false" ht="15" hidden="false" customHeight="false" outlineLevel="0" collapsed="false">
      <c r="A907" s="102"/>
      <c r="B907" s="104"/>
      <c r="C907" s="104"/>
      <c r="F907" s="103" t="str">
        <f aca="false">IF(OR($C907="",$D907=0),"",$E907/$D907)</f>
        <v/>
      </c>
      <c r="H907" s="0" t="str">
        <f aca="false">IF($C907="","",IF(COUNTIF('مواد المخزون'!$A$2:$A$86,$C907)&gt;0,"نعم","لا (خارج الجرد)"))</f>
        <v/>
      </c>
    </row>
    <row r="908" customFormat="false" ht="15" hidden="false" customHeight="false" outlineLevel="0" collapsed="false">
      <c r="A908" s="102"/>
      <c r="B908" s="104"/>
      <c r="C908" s="104"/>
      <c r="F908" s="103" t="str">
        <f aca="false">IF(OR($C908="",$D908=0),"",$E908/$D908)</f>
        <v/>
      </c>
      <c r="H908" s="0" t="str">
        <f aca="false">IF($C908="","",IF(COUNTIF('مواد المخزون'!$A$2:$A$86,$C908)&gt;0,"نعم","لا (خارج الجرد)"))</f>
        <v/>
      </c>
    </row>
    <row r="909" customFormat="false" ht="15" hidden="false" customHeight="false" outlineLevel="0" collapsed="false">
      <c r="A909" s="102"/>
      <c r="B909" s="104"/>
      <c r="C909" s="104"/>
      <c r="F909" s="103" t="str">
        <f aca="false">IF(OR($C909="",$D909=0),"",$E909/$D909)</f>
        <v/>
      </c>
      <c r="H909" s="0" t="str">
        <f aca="false">IF($C909="","",IF(COUNTIF('مواد المخزون'!$A$2:$A$86,$C909)&gt;0,"نعم","لا (خارج الجرد)"))</f>
        <v/>
      </c>
    </row>
    <row r="910" customFormat="false" ht="15" hidden="false" customHeight="false" outlineLevel="0" collapsed="false">
      <c r="A910" s="102"/>
      <c r="B910" s="104"/>
      <c r="C910" s="104"/>
      <c r="F910" s="103" t="str">
        <f aca="false">IF(OR($C910="",$D910=0),"",$E910/$D910)</f>
        <v/>
      </c>
      <c r="H910" s="0" t="str">
        <f aca="false">IF($C910="","",IF(COUNTIF('مواد المخزون'!$A$2:$A$86,$C910)&gt;0,"نعم","لا (خارج الجرد)"))</f>
        <v/>
      </c>
    </row>
    <row r="911" customFormat="false" ht="15" hidden="false" customHeight="false" outlineLevel="0" collapsed="false">
      <c r="A911" s="102"/>
      <c r="B911" s="104"/>
      <c r="C911" s="104"/>
      <c r="F911" s="103" t="str">
        <f aca="false">IF(OR($C911="",$D911=0),"",$E911/$D911)</f>
        <v/>
      </c>
      <c r="H911" s="0" t="str">
        <f aca="false">IF($C911="","",IF(COUNTIF('مواد المخزون'!$A$2:$A$86,$C911)&gt;0,"نعم","لا (خارج الجرد)"))</f>
        <v/>
      </c>
    </row>
    <row r="912" customFormat="false" ht="15" hidden="false" customHeight="false" outlineLevel="0" collapsed="false">
      <c r="A912" s="102"/>
      <c r="B912" s="104"/>
      <c r="C912" s="104"/>
      <c r="F912" s="103" t="str">
        <f aca="false">IF(OR($C912="",$D912=0),"",$E912/$D912)</f>
        <v/>
      </c>
      <c r="H912" s="0" t="str">
        <f aca="false">IF($C912="","",IF(COUNTIF('مواد المخزون'!$A$2:$A$86,$C912)&gt;0,"نعم","لا (خارج الجرد)"))</f>
        <v/>
      </c>
    </row>
    <row r="913" customFormat="false" ht="15" hidden="false" customHeight="false" outlineLevel="0" collapsed="false">
      <c r="A913" s="102"/>
      <c r="B913" s="104"/>
      <c r="C913" s="104"/>
      <c r="F913" s="103" t="str">
        <f aca="false">IF(OR($C913="",$D913=0),"",$E913/$D913)</f>
        <v/>
      </c>
      <c r="H913" s="0" t="str">
        <f aca="false">IF($C913="","",IF(COUNTIF('مواد المخزون'!$A$2:$A$86,$C913)&gt;0,"نعم","لا (خارج الجرد)"))</f>
        <v/>
      </c>
    </row>
    <row r="914" customFormat="false" ht="15" hidden="false" customHeight="false" outlineLevel="0" collapsed="false">
      <c r="A914" s="102"/>
      <c r="B914" s="104"/>
      <c r="C914" s="104"/>
      <c r="F914" s="103" t="str">
        <f aca="false">IF(OR($C914="",$D914=0),"",$E914/$D914)</f>
        <v/>
      </c>
      <c r="H914" s="0" t="str">
        <f aca="false">IF($C914="","",IF(COUNTIF('مواد المخزون'!$A$2:$A$86,$C914)&gt;0,"نعم","لا (خارج الجرد)"))</f>
        <v/>
      </c>
    </row>
    <row r="915" customFormat="false" ht="15" hidden="false" customHeight="false" outlineLevel="0" collapsed="false">
      <c r="A915" s="102"/>
      <c r="B915" s="104"/>
      <c r="C915" s="104"/>
      <c r="F915" s="103" t="str">
        <f aca="false">IF(OR($C915="",$D915=0),"",$E915/$D915)</f>
        <v/>
      </c>
      <c r="H915" s="0" t="str">
        <f aca="false">IF($C915="","",IF(COUNTIF('مواد المخزون'!$A$2:$A$86,$C915)&gt;0,"نعم","لا (خارج الجرد)"))</f>
        <v/>
      </c>
    </row>
    <row r="916" customFormat="false" ht="15" hidden="false" customHeight="false" outlineLevel="0" collapsed="false">
      <c r="A916" s="102"/>
      <c r="B916" s="104"/>
      <c r="C916" s="104"/>
      <c r="F916" s="103" t="str">
        <f aca="false">IF(OR($C916="",$D916=0),"",$E916/$D916)</f>
        <v/>
      </c>
      <c r="H916" s="0" t="str">
        <f aca="false">IF($C916="","",IF(COUNTIF('مواد المخزون'!$A$2:$A$86,$C916)&gt;0,"نعم","لا (خارج الجرد)"))</f>
        <v/>
      </c>
    </row>
    <row r="917" customFormat="false" ht="15" hidden="false" customHeight="false" outlineLevel="0" collapsed="false">
      <c r="A917" s="102"/>
      <c r="B917" s="104"/>
      <c r="C917" s="104"/>
      <c r="F917" s="103" t="str">
        <f aca="false">IF(OR($C917="",$D917=0),"",$E917/$D917)</f>
        <v/>
      </c>
      <c r="H917" s="0" t="str">
        <f aca="false">IF($C917="","",IF(COUNTIF('مواد المخزون'!$A$2:$A$86,$C917)&gt;0,"نعم","لا (خارج الجرد)"))</f>
        <v/>
      </c>
    </row>
    <row r="918" customFormat="false" ht="15" hidden="false" customHeight="false" outlineLevel="0" collapsed="false">
      <c r="A918" s="102"/>
      <c r="B918" s="104"/>
      <c r="C918" s="104"/>
      <c r="F918" s="103" t="str">
        <f aca="false">IF(OR($C918="",$D918=0),"",$E918/$D918)</f>
        <v/>
      </c>
      <c r="H918" s="0" t="str">
        <f aca="false">IF($C918="","",IF(COUNTIF('مواد المخزون'!$A$2:$A$86,$C918)&gt;0,"نعم","لا (خارج الجرد)"))</f>
        <v/>
      </c>
    </row>
    <row r="919" customFormat="false" ht="15" hidden="false" customHeight="false" outlineLevel="0" collapsed="false">
      <c r="A919" s="102"/>
      <c r="B919" s="104"/>
      <c r="C919" s="104"/>
      <c r="F919" s="103" t="str">
        <f aca="false">IF(OR($C919="",$D919=0),"",$E919/$D919)</f>
        <v/>
      </c>
      <c r="H919" s="0" t="str">
        <f aca="false">IF($C919="","",IF(COUNTIF('مواد المخزون'!$A$2:$A$86,$C919)&gt;0,"نعم","لا (خارج الجرد)"))</f>
        <v/>
      </c>
    </row>
    <row r="920" customFormat="false" ht="15" hidden="false" customHeight="false" outlineLevel="0" collapsed="false">
      <c r="A920" s="102"/>
      <c r="B920" s="104"/>
      <c r="C920" s="104"/>
      <c r="F920" s="103" t="str">
        <f aca="false">IF(OR($C920="",$D920=0),"",$E920/$D920)</f>
        <v/>
      </c>
      <c r="H920" s="0" t="str">
        <f aca="false">IF($C920="","",IF(COUNTIF('مواد المخزون'!$A$2:$A$86,$C920)&gt;0,"نعم","لا (خارج الجرد)"))</f>
        <v/>
      </c>
    </row>
    <row r="921" customFormat="false" ht="15" hidden="false" customHeight="false" outlineLevel="0" collapsed="false">
      <c r="A921" s="102"/>
      <c r="B921" s="104"/>
      <c r="C921" s="104"/>
      <c r="F921" s="103" t="str">
        <f aca="false">IF(OR($C921="",$D921=0),"",$E921/$D921)</f>
        <v/>
      </c>
      <c r="H921" s="0" t="str">
        <f aca="false">IF($C921="","",IF(COUNTIF('مواد المخزون'!$A$2:$A$86,$C921)&gt;0,"نعم","لا (خارج الجرد)"))</f>
        <v/>
      </c>
    </row>
    <row r="922" customFormat="false" ht="15" hidden="false" customHeight="false" outlineLevel="0" collapsed="false">
      <c r="A922" s="102"/>
      <c r="B922" s="104"/>
      <c r="C922" s="104"/>
      <c r="F922" s="103" t="str">
        <f aca="false">IF(OR($C922="",$D922=0),"",$E922/$D922)</f>
        <v/>
      </c>
      <c r="H922" s="0" t="str">
        <f aca="false">IF($C922="","",IF(COUNTIF('مواد المخزون'!$A$2:$A$86,$C922)&gt;0,"نعم","لا (خارج الجرد)"))</f>
        <v/>
      </c>
    </row>
    <row r="923" customFormat="false" ht="15" hidden="false" customHeight="false" outlineLevel="0" collapsed="false">
      <c r="A923" s="102"/>
      <c r="B923" s="104"/>
      <c r="C923" s="104"/>
      <c r="F923" s="103" t="str">
        <f aca="false">IF(OR($C923="",$D923=0),"",$E923/$D923)</f>
        <v/>
      </c>
      <c r="H923" s="0" t="str">
        <f aca="false">IF($C923="","",IF(COUNTIF('مواد المخزون'!$A$2:$A$86,$C923)&gt;0,"نعم","لا (خارج الجرد)"))</f>
        <v/>
      </c>
    </row>
    <row r="924" customFormat="false" ht="15" hidden="false" customHeight="false" outlineLevel="0" collapsed="false">
      <c r="A924" s="102"/>
      <c r="B924" s="104"/>
      <c r="C924" s="104"/>
      <c r="F924" s="103" t="str">
        <f aca="false">IF(OR($C924="",$D924=0),"",$E924/$D924)</f>
        <v/>
      </c>
      <c r="H924" s="0" t="str">
        <f aca="false">IF($C924="","",IF(COUNTIF('مواد المخزون'!$A$2:$A$86,$C924)&gt;0,"نعم","لا (خارج الجرد)"))</f>
        <v/>
      </c>
    </row>
    <row r="925" customFormat="false" ht="15" hidden="false" customHeight="false" outlineLevel="0" collapsed="false">
      <c r="A925" s="102"/>
      <c r="B925" s="104"/>
      <c r="C925" s="104"/>
      <c r="F925" s="103" t="str">
        <f aca="false">IF(OR($C925="",$D925=0),"",$E925/$D925)</f>
        <v/>
      </c>
      <c r="H925" s="0" t="str">
        <f aca="false">IF($C925="","",IF(COUNTIF('مواد المخزون'!$A$2:$A$86,$C925)&gt;0,"نعم","لا (خارج الجرد)"))</f>
        <v/>
      </c>
    </row>
    <row r="926" customFormat="false" ht="15" hidden="false" customHeight="false" outlineLevel="0" collapsed="false">
      <c r="A926" s="102"/>
      <c r="B926" s="104"/>
      <c r="C926" s="104"/>
      <c r="F926" s="103" t="str">
        <f aca="false">IF(OR($C926="",$D926=0),"",$E926/$D926)</f>
        <v/>
      </c>
      <c r="H926" s="0" t="str">
        <f aca="false">IF($C926="","",IF(COUNTIF('مواد المخزون'!$A$2:$A$86,$C926)&gt;0,"نعم","لا (خارج الجرد)"))</f>
        <v/>
      </c>
    </row>
    <row r="927" customFormat="false" ht="15" hidden="false" customHeight="false" outlineLevel="0" collapsed="false">
      <c r="A927" s="102"/>
      <c r="B927" s="104"/>
      <c r="C927" s="104"/>
      <c r="F927" s="103" t="str">
        <f aca="false">IF(OR($C927="",$D927=0),"",$E927/$D927)</f>
        <v/>
      </c>
      <c r="H927" s="0" t="str">
        <f aca="false">IF($C927="","",IF(COUNTIF('مواد المخزون'!$A$2:$A$86,$C927)&gt;0,"نعم","لا (خارج الجرد)"))</f>
        <v/>
      </c>
    </row>
    <row r="928" customFormat="false" ht="15" hidden="false" customHeight="false" outlineLevel="0" collapsed="false">
      <c r="A928" s="102"/>
      <c r="B928" s="104"/>
      <c r="C928" s="104"/>
      <c r="F928" s="103" t="str">
        <f aca="false">IF(OR($C928="",$D928=0),"",$E928/$D928)</f>
        <v/>
      </c>
      <c r="H928" s="0" t="str">
        <f aca="false">IF($C928="","",IF(COUNTIF('مواد المخزون'!$A$2:$A$86,$C928)&gt;0,"نعم","لا (خارج الجرد)"))</f>
        <v/>
      </c>
    </row>
    <row r="929" customFormat="false" ht="15" hidden="false" customHeight="false" outlineLevel="0" collapsed="false">
      <c r="A929" s="102"/>
      <c r="B929" s="104"/>
      <c r="C929" s="104"/>
      <c r="F929" s="103" t="str">
        <f aca="false">IF(OR($C929="",$D929=0),"",$E929/$D929)</f>
        <v/>
      </c>
      <c r="H929" s="0" t="str">
        <f aca="false">IF($C929="","",IF(COUNTIF('مواد المخزون'!$A$2:$A$86,$C929)&gt;0,"نعم","لا (خارج الجرد)"))</f>
        <v/>
      </c>
    </row>
    <row r="930" customFormat="false" ht="15" hidden="false" customHeight="false" outlineLevel="0" collapsed="false">
      <c r="A930" s="102"/>
      <c r="B930" s="104"/>
      <c r="C930" s="104"/>
      <c r="F930" s="103" t="str">
        <f aca="false">IF(OR($C930="",$D930=0),"",$E930/$D930)</f>
        <v/>
      </c>
      <c r="H930" s="0" t="str">
        <f aca="false">IF($C930="","",IF(COUNTIF('مواد المخزون'!$A$2:$A$86,$C930)&gt;0,"نعم","لا (خارج الجرد)"))</f>
        <v/>
      </c>
    </row>
    <row r="931" customFormat="false" ht="15" hidden="false" customHeight="false" outlineLevel="0" collapsed="false">
      <c r="A931" s="102"/>
      <c r="B931" s="104"/>
      <c r="C931" s="104"/>
      <c r="F931" s="103" t="str">
        <f aca="false">IF(OR($C931="",$D931=0),"",$E931/$D931)</f>
        <v/>
      </c>
      <c r="H931" s="0" t="str">
        <f aca="false">IF($C931="","",IF(COUNTIF('مواد المخزون'!$A$2:$A$86,$C931)&gt;0,"نعم","لا (خارج الجرد)"))</f>
        <v/>
      </c>
    </row>
    <row r="932" customFormat="false" ht="15" hidden="false" customHeight="false" outlineLevel="0" collapsed="false">
      <c r="A932" s="102"/>
      <c r="B932" s="104"/>
      <c r="C932" s="104"/>
      <c r="F932" s="103" t="str">
        <f aca="false">IF(OR($C932="",$D932=0),"",$E932/$D932)</f>
        <v/>
      </c>
      <c r="H932" s="0" t="str">
        <f aca="false">IF($C932="","",IF(COUNTIF('مواد المخزون'!$A$2:$A$86,$C932)&gt;0,"نعم","لا (خارج الجرد)"))</f>
        <v/>
      </c>
    </row>
    <row r="933" customFormat="false" ht="15" hidden="false" customHeight="false" outlineLevel="0" collapsed="false">
      <c r="A933" s="102"/>
      <c r="B933" s="104"/>
      <c r="C933" s="104"/>
      <c r="F933" s="103" t="str">
        <f aca="false">IF(OR($C933="",$D933=0),"",$E933/$D933)</f>
        <v/>
      </c>
      <c r="H933" s="0" t="str">
        <f aca="false">IF($C933="","",IF(COUNTIF('مواد المخزون'!$A$2:$A$86,$C933)&gt;0,"نعم","لا (خارج الجرد)"))</f>
        <v/>
      </c>
    </row>
    <row r="934" customFormat="false" ht="15" hidden="false" customHeight="false" outlineLevel="0" collapsed="false">
      <c r="A934" s="102"/>
      <c r="B934" s="104"/>
      <c r="C934" s="104"/>
      <c r="F934" s="103" t="str">
        <f aca="false">IF(OR($C934="",$D934=0),"",$E934/$D934)</f>
        <v/>
      </c>
      <c r="H934" s="0" t="str">
        <f aca="false">IF($C934="","",IF(COUNTIF('مواد المخزون'!$A$2:$A$86,$C934)&gt;0,"نعم","لا (خارج الجرد)"))</f>
        <v/>
      </c>
    </row>
    <row r="935" customFormat="false" ht="15" hidden="false" customHeight="false" outlineLevel="0" collapsed="false">
      <c r="A935" s="102"/>
      <c r="B935" s="104"/>
      <c r="C935" s="104"/>
      <c r="F935" s="103" t="str">
        <f aca="false">IF(OR($C935="",$D935=0),"",$E935/$D935)</f>
        <v/>
      </c>
      <c r="H935" s="0" t="str">
        <f aca="false">IF($C935="","",IF(COUNTIF('مواد المخزون'!$A$2:$A$86,$C935)&gt;0,"نعم","لا (خارج الجرد)"))</f>
        <v/>
      </c>
    </row>
    <row r="936" customFormat="false" ht="15" hidden="false" customHeight="false" outlineLevel="0" collapsed="false">
      <c r="A936" s="102"/>
      <c r="B936" s="104"/>
      <c r="C936" s="104"/>
      <c r="F936" s="103" t="str">
        <f aca="false">IF(OR($C936="",$D936=0),"",$E936/$D936)</f>
        <v/>
      </c>
      <c r="H936" s="0" t="str">
        <f aca="false">IF($C936="","",IF(COUNTIF('مواد المخزون'!$A$2:$A$86,$C936)&gt;0,"نعم","لا (خارج الجرد)"))</f>
        <v/>
      </c>
    </row>
    <row r="937" customFormat="false" ht="15" hidden="false" customHeight="false" outlineLevel="0" collapsed="false">
      <c r="A937" s="102"/>
      <c r="B937" s="104"/>
      <c r="C937" s="104"/>
      <c r="F937" s="103" t="str">
        <f aca="false">IF(OR($C937="",$D937=0),"",$E937/$D937)</f>
        <v/>
      </c>
      <c r="H937" s="0" t="str">
        <f aca="false">IF($C937="","",IF(COUNTIF('مواد المخزون'!$A$2:$A$86,$C937)&gt;0,"نعم","لا (خارج الجرد)"))</f>
        <v/>
      </c>
    </row>
    <row r="938" customFormat="false" ht="15" hidden="false" customHeight="false" outlineLevel="0" collapsed="false">
      <c r="A938" s="102"/>
      <c r="B938" s="104"/>
      <c r="C938" s="104"/>
      <c r="F938" s="103" t="str">
        <f aca="false">IF(OR($C938="",$D938=0),"",$E938/$D938)</f>
        <v/>
      </c>
      <c r="H938" s="0" t="str">
        <f aca="false">IF($C938="","",IF(COUNTIF('مواد المخزون'!$A$2:$A$86,$C938)&gt;0,"نعم","لا (خارج الجرد)"))</f>
        <v/>
      </c>
    </row>
    <row r="939" customFormat="false" ht="15" hidden="false" customHeight="false" outlineLevel="0" collapsed="false">
      <c r="A939" s="102"/>
      <c r="B939" s="104"/>
      <c r="C939" s="104"/>
      <c r="F939" s="103" t="str">
        <f aca="false">IF(OR($C939="",$D939=0),"",$E939/$D939)</f>
        <v/>
      </c>
      <c r="H939" s="0" t="str">
        <f aca="false">IF($C939="","",IF(COUNTIF('مواد المخزون'!$A$2:$A$86,$C939)&gt;0,"نعم","لا (خارج الجرد)"))</f>
        <v/>
      </c>
    </row>
    <row r="940" customFormat="false" ht="15" hidden="false" customHeight="false" outlineLevel="0" collapsed="false">
      <c r="A940" s="102"/>
      <c r="B940" s="104"/>
      <c r="C940" s="104"/>
      <c r="F940" s="103" t="str">
        <f aca="false">IF(OR($C940="",$D940=0),"",$E940/$D940)</f>
        <v/>
      </c>
      <c r="H940" s="0" t="str">
        <f aca="false">IF($C940="","",IF(COUNTIF('مواد المخزون'!$A$2:$A$86,$C940)&gt;0,"نعم","لا (خارج الجرد)"))</f>
        <v/>
      </c>
    </row>
    <row r="941" customFormat="false" ht="15" hidden="false" customHeight="false" outlineLevel="0" collapsed="false">
      <c r="A941" s="102"/>
      <c r="B941" s="104"/>
      <c r="C941" s="104"/>
      <c r="F941" s="103" t="str">
        <f aca="false">IF(OR($C941="",$D941=0),"",$E941/$D941)</f>
        <v/>
      </c>
      <c r="H941" s="0" t="str">
        <f aca="false">IF($C941="","",IF(COUNTIF('مواد المخزون'!$A$2:$A$86,$C941)&gt;0,"نعم","لا (خارج الجرد)"))</f>
        <v/>
      </c>
    </row>
    <row r="942" customFormat="false" ht="15" hidden="false" customHeight="false" outlineLevel="0" collapsed="false">
      <c r="A942" s="102"/>
      <c r="B942" s="104"/>
      <c r="C942" s="104"/>
      <c r="F942" s="103" t="str">
        <f aca="false">IF(OR($C942="",$D942=0),"",$E942/$D942)</f>
        <v/>
      </c>
      <c r="H942" s="0" t="str">
        <f aca="false">IF($C942="","",IF(COUNTIF('مواد المخزون'!$A$2:$A$86,$C942)&gt;0,"نعم","لا (خارج الجرد)"))</f>
        <v/>
      </c>
    </row>
    <row r="943" customFormat="false" ht="15" hidden="false" customHeight="false" outlineLevel="0" collapsed="false">
      <c r="A943" s="102"/>
      <c r="B943" s="104"/>
      <c r="C943" s="104"/>
      <c r="F943" s="103" t="str">
        <f aca="false">IF(OR($C943="",$D943=0),"",$E943/$D943)</f>
        <v/>
      </c>
      <c r="H943" s="0" t="str">
        <f aca="false">IF($C943="","",IF(COUNTIF('مواد المخزون'!$A$2:$A$86,$C943)&gt;0,"نعم","لا (خارج الجرد)"))</f>
        <v/>
      </c>
    </row>
    <row r="944" customFormat="false" ht="15" hidden="false" customHeight="false" outlineLevel="0" collapsed="false">
      <c r="A944" s="102"/>
      <c r="B944" s="104"/>
      <c r="C944" s="104"/>
      <c r="F944" s="103" t="str">
        <f aca="false">IF(OR($C944="",$D944=0),"",$E944/$D944)</f>
        <v/>
      </c>
      <c r="H944" s="0" t="str">
        <f aca="false">IF($C944="","",IF(COUNTIF('مواد المخزون'!$A$2:$A$86,$C944)&gt;0,"نعم","لا (خارج الجرد)"))</f>
        <v/>
      </c>
    </row>
    <row r="945" customFormat="false" ht="15" hidden="false" customHeight="false" outlineLevel="0" collapsed="false">
      <c r="A945" s="102"/>
      <c r="B945" s="104"/>
      <c r="C945" s="104"/>
      <c r="F945" s="103" t="str">
        <f aca="false">IF(OR($C945="",$D945=0),"",$E945/$D945)</f>
        <v/>
      </c>
      <c r="H945" s="0" t="str">
        <f aca="false">IF($C945="","",IF(COUNTIF('مواد المخزون'!$A$2:$A$86,$C945)&gt;0,"نعم","لا (خارج الجرد)"))</f>
        <v/>
      </c>
    </row>
    <row r="946" customFormat="false" ht="15" hidden="false" customHeight="false" outlineLevel="0" collapsed="false">
      <c r="A946" s="102"/>
      <c r="B946" s="104"/>
      <c r="C946" s="104"/>
      <c r="F946" s="103" t="str">
        <f aca="false">IF(OR($C946="",$D946=0),"",$E946/$D946)</f>
        <v/>
      </c>
      <c r="H946" s="0" t="str">
        <f aca="false">IF($C946="","",IF(COUNTIF('مواد المخزون'!$A$2:$A$86,$C946)&gt;0,"نعم","لا (خارج الجرد)"))</f>
        <v/>
      </c>
    </row>
    <row r="947" customFormat="false" ht="15" hidden="false" customHeight="false" outlineLevel="0" collapsed="false">
      <c r="A947" s="102"/>
      <c r="B947" s="104"/>
      <c r="C947" s="104"/>
      <c r="F947" s="103" t="str">
        <f aca="false">IF(OR($C947="",$D947=0),"",$E947/$D947)</f>
        <v/>
      </c>
      <c r="H947" s="0" t="str">
        <f aca="false">IF($C947="","",IF(COUNTIF('مواد المخزون'!$A$2:$A$86,$C947)&gt;0,"نعم","لا (خارج الجرد)"))</f>
        <v/>
      </c>
    </row>
    <row r="948" customFormat="false" ht="15" hidden="false" customHeight="false" outlineLevel="0" collapsed="false">
      <c r="A948" s="102"/>
      <c r="B948" s="104"/>
      <c r="C948" s="104"/>
      <c r="F948" s="103" t="str">
        <f aca="false">IF(OR($C948="",$D948=0),"",$E948/$D948)</f>
        <v/>
      </c>
      <c r="H948" s="0" t="str">
        <f aca="false">IF($C948="","",IF(COUNTIF('مواد المخزون'!$A$2:$A$86,$C948)&gt;0,"نعم","لا (خارج الجرد)"))</f>
        <v/>
      </c>
    </row>
    <row r="949" customFormat="false" ht="15" hidden="false" customHeight="false" outlineLevel="0" collapsed="false">
      <c r="A949" s="102"/>
      <c r="B949" s="104"/>
      <c r="C949" s="104"/>
      <c r="F949" s="103" t="str">
        <f aca="false">IF(OR($C949="",$D949=0),"",$E949/$D949)</f>
        <v/>
      </c>
      <c r="H949" s="0" t="str">
        <f aca="false">IF($C949="","",IF(COUNTIF('مواد المخزون'!$A$2:$A$86,$C949)&gt;0,"نعم","لا (خارج الجرد)"))</f>
        <v/>
      </c>
    </row>
    <row r="950" customFormat="false" ht="15" hidden="false" customHeight="false" outlineLevel="0" collapsed="false">
      <c r="A950" s="102"/>
      <c r="B950" s="104"/>
      <c r="C950" s="104"/>
      <c r="F950" s="103" t="str">
        <f aca="false">IF(OR($C950="",$D950=0),"",$E950/$D950)</f>
        <v/>
      </c>
      <c r="H950" s="0" t="str">
        <f aca="false">IF($C950="","",IF(COUNTIF('مواد المخزون'!$A$2:$A$86,$C950)&gt;0,"نعم","لا (خارج الجرد)"))</f>
        <v/>
      </c>
    </row>
    <row r="951" customFormat="false" ht="15" hidden="false" customHeight="false" outlineLevel="0" collapsed="false">
      <c r="A951" s="102"/>
      <c r="B951" s="104"/>
      <c r="C951" s="104"/>
      <c r="F951" s="103" t="str">
        <f aca="false">IF(OR($C951="",$D951=0),"",$E951/$D951)</f>
        <v/>
      </c>
      <c r="H951" s="0" t="str">
        <f aca="false">IF($C951="","",IF(COUNTIF('مواد المخزون'!$A$2:$A$86,$C951)&gt;0,"نعم","لا (خارج الجرد)"))</f>
        <v/>
      </c>
    </row>
    <row r="952" customFormat="false" ht="15" hidden="false" customHeight="false" outlineLevel="0" collapsed="false">
      <c r="A952" s="102"/>
      <c r="B952" s="104"/>
      <c r="C952" s="104"/>
      <c r="F952" s="103" t="str">
        <f aca="false">IF(OR($C952="",$D952=0),"",$E952/$D952)</f>
        <v/>
      </c>
      <c r="H952" s="0" t="str">
        <f aca="false">IF($C952="","",IF(COUNTIF('مواد المخزون'!$A$2:$A$86,$C952)&gt;0,"نعم","لا (خارج الجرد)"))</f>
        <v/>
      </c>
    </row>
    <row r="953" customFormat="false" ht="15" hidden="false" customHeight="false" outlineLevel="0" collapsed="false">
      <c r="A953" s="102"/>
      <c r="B953" s="104"/>
      <c r="C953" s="104"/>
      <c r="F953" s="103" t="str">
        <f aca="false">IF(OR($C953="",$D953=0),"",$E953/$D953)</f>
        <v/>
      </c>
      <c r="H953" s="0" t="str">
        <f aca="false">IF($C953="","",IF(COUNTIF('مواد المخزون'!$A$2:$A$86,$C953)&gt;0,"نعم","لا (خارج الجرد)"))</f>
        <v/>
      </c>
    </row>
    <row r="954" customFormat="false" ht="15" hidden="false" customHeight="false" outlineLevel="0" collapsed="false">
      <c r="A954" s="102"/>
      <c r="B954" s="104"/>
      <c r="C954" s="104"/>
      <c r="F954" s="103" t="str">
        <f aca="false">IF(OR($C954="",$D954=0),"",$E954/$D954)</f>
        <v/>
      </c>
      <c r="H954" s="0" t="str">
        <f aca="false">IF($C954="","",IF(COUNTIF('مواد المخزون'!$A$2:$A$86,$C954)&gt;0,"نعم","لا (خارج الجرد)"))</f>
        <v/>
      </c>
    </row>
    <row r="955" customFormat="false" ht="15" hidden="false" customHeight="false" outlineLevel="0" collapsed="false">
      <c r="A955" s="102"/>
      <c r="B955" s="104"/>
      <c r="C955" s="104"/>
      <c r="F955" s="103" t="str">
        <f aca="false">IF(OR($C955="",$D955=0),"",$E955/$D955)</f>
        <v/>
      </c>
      <c r="H955" s="0" t="str">
        <f aca="false">IF($C955="","",IF(COUNTIF('مواد المخزون'!$A$2:$A$86,$C955)&gt;0,"نعم","لا (خارج الجرد)"))</f>
        <v/>
      </c>
    </row>
    <row r="956" customFormat="false" ht="15" hidden="false" customHeight="false" outlineLevel="0" collapsed="false">
      <c r="A956" s="102"/>
      <c r="B956" s="104"/>
      <c r="C956" s="104"/>
      <c r="F956" s="103" t="str">
        <f aca="false">IF(OR($C956="",$D956=0),"",$E956/$D956)</f>
        <v/>
      </c>
      <c r="H956" s="0" t="str">
        <f aca="false">IF($C956="","",IF(COUNTIF('مواد المخزون'!$A$2:$A$86,$C956)&gt;0,"نعم","لا (خارج الجرد)"))</f>
        <v/>
      </c>
    </row>
    <row r="957" customFormat="false" ht="15" hidden="false" customHeight="false" outlineLevel="0" collapsed="false">
      <c r="A957" s="102"/>
      <c r="B957" s="104"/>
      <c r="C957" s="104"/>
      <c r="F957" s="103" t="str">
        <f aca="false">IF(OR($C957="",$D957=0),"",$E957/$D957)</f>
        <v/>
      </c>
      <c r="H957" s="0" t="str">
        <f aca="false">IF($C957="","",IF(COUNTIF('مواد المخزون'!$A$2:$A$86,$C957)&gt;0,"نعم","لا (خارج الجرد)"))</f>
        <v/>
      </c>
    </row>
    <row r="958" customFormat="false" ht="15" hidden="false" customHeight="false" outlineLevel="0" collapsed="false">
      <c r="A958" s="102"/>
      <c r="B958" s="104"/>
      <c r="C958" s="104"/>
      <c r="F958" s="103" t="str">
        <f aca="false">IF(OR($C958="",$D958=0),"",$E958/$D958)</f>
        <v/>
      </c>
      <c r="H958" s="0" t="str">
        <f aca="false">IF($C958="","",IF(COUNTIF('مواد المخزون'!$A$2:$A$86,$C958)&gt;0,"نعم","لا (خارج الجرد)"))</f>
        <v/>
      </c>
    </row>
    <row r="959" customFormat="false" ht="15" hidden="false" customHeight="false" outlineLevel="0" collapsed="false">
      <c r="A959" s="102"/>
      <c r="B959" s="104"/>
      <c r="C959" s="104"/>
      <c r="F959" s="103" t="str">
        <f aca="false">IF(OR($C959="",$D959=0),"",$E959/$D959)</f>
        <v/>
      </c>
      <c r="H959" s="0" t="str">
        <f aca="false">IF($C959="","",IF(COUNTIF('مواد المخزون'!$A$2:$A$86,$C959)&gt;0,"نعم","لا (خارج الجرد)"))</f>
        <v/>
      </c>
    </row>
    <row r="960" customFormat="false" ht="15" hidden="false" customHeight="false" outlineLevel="0" collapsed="false">
      <c r="A960" s="102"/>
      <c r="B960" s="104"/>
      <c r="C960" s="104"/>
      <c r="F960" s="103" t="str">
        <f aca="false">IF(OR($C960="",$D960=0),"",$E960/$D960)</f>
        <v/>
      </c>
      <c r="H960" s="0" t="str">
        <f aca="false">IF($C960="","",IF(COUNTIF('مواد المخزون'!$A$2:$A$86,$C960)&gt;0,"نعم","لا (خارج الجرد)"))</f>
        <v/>
      </c>
    </row>
    <row r="961" customFormat="false" ht="15" hidden="false" customHeight="false" outlineLevel="0" collapsed="false">
      <c r="A961" s="102"/>
      <c r="B961" s="104"/>
      <c r="C961" s="104"/>
      <c r="F961" s="103" t="str">
        <f aca="false">IF(OR($C961="",$D961=0),"",$E961/$D961)</f>
        <v/>
      </c>
      <c r="H961" s="0" t="str">
        <f aca="false">IF($C961="","",IF(COUNTIF('مواد المخزون'!$A$2:$A$86,$C961)&gt;0,"نعم","لا (خارج الجرد)"))</f>
        <v/>
      </c>
    </row>
    <row r="962" customFormat="false" ht="15" hidden="false" customHeight="false" outlineLevel="0" collapsed="false">
      <c r="A962" s="102"/>
      <c r="B962" s="104"/>
      <c r="C962" s="104"/>
      <c r="F962" s="103" t="str">
        <f aca="false">IF(OR($C962="",$D962=0),"",$E962/$D962)</f>
        <v/>
      </c>
      <c r="H962" s="0" t="str">
        <f aca="false">IF($C962="","",IF(COUNTIF('مواد المخزون'!$A$2:$A$86,$C962)&gt;0,"نعم","لا (خارج الجرد)"))</f>
        <v/>
      </c>
    </row>
    <row r="963" customFormat="false" ht="15" hidden="false" customHeight="false" outlineLevel="0" collapsed="false">
      <c r="A963" s="102"/>
      <c r="B963" s="104"/>
      <c r="C963" s="104"/>
      <c r="F963" s="103" t="str">
        <f aca="false">IF(OR($C963="",$D963=0),"",$E963/$D963)</f>
        <v/>
      </c>
      <c r="H963" s="0" t="str">
        <f aca="false">IF($C963="","",IF(COUNTIF('مواد المخزون'!$A$2:$A$86,$C963)&gt;0,"نعم","لا (خارج الجرد)"))</f>
        <v/>
      </c>
    </row>
    <row r="964" customFormat="false" ht="15" hidden="false" customHeight="false" outlineLevel="0" collapsed="false">
      <c r="A964" s="102"/>
      <c r="B964" s="104"/>
      <c r="C964" s="104"/>
      <c r="F964" s="103" t="str">
        <f aca="false">IF(OR($C964="",$D964=0),"",$E964/$D964)</f>
        <v/>
      </c>
      <c r="H964" s="0" t="str">
        <f aca="false">IF($C964="","",IF(COUNTIF('مواد المخزون'!$A$2:$A$86,$C964)&gt;0,"نعم","لا (خارج الجرد)"))</f>
        <v/>
      </c>
    </row>
    <row r="965" customFormat="false" ht="15" hidden="false" customHeight="false" outlineLevel="0" collapsed="false">
      <c r="A965" s="102"/>
      <c r="B965" s="104"/>
      <c r="C965" s="104"/>
      <c r="F965" s="103" t="str">
        <f aca="false">IF(OR($C965="",$D965=0),"",$E965/$D965)</f>
        <v/>
      </c>
      <c r="H965" s="0" t="str">
        <f aca="false">IF($C965="","",IF(COUNTIF('مواد المخزون'!$A$2:$A$86,$C965)&gt;0,"نعم","لا (خارج الجرد)"))</f>
        <v/>
      </c>
    </row>
    <row r="966" customFormat="false" ht="15" hidden="false" customHeight="false" outlineLevel="0" collapsed="false">
      <c r="A966" s="102"/>
      <c r="B966" s="104"/>
      <c r="C966" s="104"/>
      <c r="F966" s="103" t="str">
        <f aca="false">IF(OR($C966="",$D966=0),"",$E966/$D966)</f>
        <v/>
      </c>
      <c r="H966" s="0" t="str">
        <f aca="false">IF($C966="","",IF(COUNTIF('مواد المخزون'!$A$2:$A$86,$C966)&gt;0,"نعم","لا (خارج الجرد)"))</f>
        <v/>
      </c>
    </row>
    <row r="967" customFormat="false" ht="15" hidden="false" customHeight="false" outlineLevel="0" collapsed="false">
      <c r="A967" s="102"/>
      <c r="B967" s="104"/>
      <c r="C967" s="104"/>
      <c r="F967" s="103" t="str">
        <f aca="false">IF(OR($C967="",$D967=0),"",$E967/$D967)</f>
        <v/>
      </c>
      <c r="H967" s="0" t="str">
        <f aca="false">IF($C967="","",IF(COUNTIF('مواد المخزون'!$A$2:$A$86,$C967)&gt;0,"نعم","لا (خارج الجرد)"))</f>
        <v/>
      </c>
    </row>
    <row r="968" customFormat="false" ht="15" hidden="false" customHeight="false" outlineLevel="0" collapsed="false">
      <c r="A968" s="102"/>
      <c r="B968" s="104"/>
      <c r="C968" s="104"/>
      <c r="F968" s="103" t="str">
        <f aca="false">IF(OR($C968="",$D968=0),"",$E968/$D968)</f>
        <v/>
      </c>
      <c r="H968" s="0" t="str">
        <f aca="false">IF($C968="","",IF(COUNTIF('مواد المخزون'!$A$2:$A$86,$C968)&gt;0,"نعم","لا (خارج الجرد)"))</f>
        <v/>
      </c>
    </row>
    <row r="969" customFormat="false" ht="15" hidden="false" customHeight="false" outlineLevel="0" collapsed="false">
      <c r="A969" s="102"/>
      <c r="B969" s="104"/>
      <c r="C969" s="104"/>
      <c r="F969" s="103" t="str">
        <f aca="false">IF(OR($C969="",$D969=0),"",$E969/$D969)</f>
        <v/>
      </c>
      <c r="H969" s="0" t="str">
        <f aca="false">IF($C969="","",IF(COUNTIF('مواد المخزون'!$A$2:$A$86,$C969)&gt;0,"نعم","لا (خارج الجرد)"))</f>
        <v/>
      </c>
    </row>
    <row r="970" customFormat="false" ht="15" hidden="false" customHeight="false" outlineLevel="0" collapsed="false">
      <c r="A970" s="102"/>
      <c r="B970" s="104"/>
      <c r="C970" s="104"/>
      <c r="F970" s="103" t="str">
        <f aca="false">IF(OR($C970="",$D970=0),"",$E970/$D970)</f>
        <v/>
      </c>
      <c r="H970" s="0" t="str">
        <f aca="false">IF($C970="","",IF(COUNTIF('مواد المخزون'!$A$2:$A$86,$C970)&gt;0,"نعم","لا (خارج الجرد)"))</f>
        <v/>
      </c>
    </row>
    <row r="971" customFormat="false" ht="15" hidden="false" customHeight="false" outlineLevel="0" collapsed="false">
      <c r="A971" s="102"/>
      <c r="B971" s="104"/>
      <c r="C971" s="104"/>
      <c r="F971" s="103" t="str">
        <f aca="false">IF(OR($C971="",$D971=0),"",$E971/$D971)</f>
        <v/>
      </c>
      <c r="H971" s="0" t="str">
        <f aca="false">IF($C971="","",IF(COUNTIF('مواد المخزون'!$A$2:$A$86,$C971)&gt;0,"نعم","لا (خارج الجرد)"))</f>
        <v/>
      </c>
    </row>
    <row r="972" customFormat="false" ht="15" hidden="false" customHeight="false" outlineLevel="0" collapsed="false">
      <c r="A972" s="102"/>
      <c r="B972" s="104"/>
      <c r="C972" s="104"/>
      <c r="F972" s="103" t="str">
        <f aca="false">IF(OR($C972="",$D972=0),"",$E972/$D972)</f>
        <v/>
      </c>
      <c r="H972" s="0" t="str">
        <f aca="false">IF($C972="","",IF(COUNTIF('مواد المخزون'!$A$2:$A$86,$C972)&gt;0,"نعم","لا (خارج الجرد)"))</f>
        <v/>
      </c>
    </row>
    <row r="973" customFormat="false" ht="15" hidden="false" customHeight="false" outlineLevel="0" collapsed="false">
      <c r="A973" s="102"/>
      <c r="B973" s="104"/>
      <c r="C973" s="104"/>
      <c r="F973" s="103" t="str">
        <f aca="false">IF(OR($C973="",$D973=0),"",$E973/$D973)</f>
        <v/>
      </c>
      <c r="H973" s="0" t="str">
        <f aca="false">IF($C973="","",IF(COUNTIF('مواد المخزون'!$A$2:$A$86,$C973)&gt;0,"نعم","لا (خارج الجرد)"))</f>
        <v/>
      </c>
    </row>
    <row r="974" customFormat="false" ht="15" hidden="false" customHeight="false" outlineLevel="0" collapsed="false">
      <c r="A974" s="102"/>
      <c r="B974" s="104"/>
      <c r="C974" s="104"/>
      <c r="F974" s="103" t="str">
        <f aca="false">IF(OR($C974="",$D974=0),"",$E974/$D974)</f>
        <v/>
      </c>
      <c r="H974" s="0" t="str">
        <f aca="false">IF($C974="","",IF(COUNTIF('مواد المخزون'!$A$2:$A$86,$C974)&gt;0,"نعم","لا (خارج الجرد)"))</f>
        <v/>
      </c>
    </row>
    <row r="975" customFormat="false" ht="15" hidden="false" customHeight="false" outlineLevel="0" collapsed="false">
      <c r="A975" s="102"/>
      <c r="B975" s="104"/>
      <c r="C975" s="104"/>
      <c r="F975" s="103" t="str">
        <f aca="false">IF(OR($C975="",$D975=0),"",$E975/$D975)</f>
        <v/>
      </c>
      <c r="H975" s="0" t="str">
        <f aca="false">IF($C975="","",IF(COUNTIF('مواد المخزون'!$A$2:$A$86,$C975)&gt;0,"نعم","لا (خارج الجرد)"))</f>
        <v/>
      </c>
    </row>
    <row r="976" customFormat="false" ht="15" hidden="false" customHeight="false" outlineLevel="0" collapsed="false">
      <c r="A976" s="102"/>
      <c r="B976" s="104"/>
      <c r="C976" s="104"/>
      <c r="F976" s="103" t="str">
        <f aca="false">IF(OR($C976="",$D976=0),"",$E976/$D976)</f>
        <v/>
      </c>
      <c r="H976" s="0" t="str">
        <f aca="false">IF($C976="","",IF(COUNTIF('مواد المخزون'!$A$2:$A$86,$C976)&gt;0,"نعم","لا (خارج الجرد)"))</f>
        <v/>
      </c>
    </row>
    <row r="977" customFormat="false" ht="15" hidden="false" customHeight="false" outlineLevel="0" collapsed="false">
      <c r="A977" s="102"/>
      <c r="B977" s="104"/>
      <c r="C977" s="104"/>
      <c r="F977" s="103" t="str">
        <f aca="false">IF(OR($C977="",$D977=0),"",$E977/$D977)</f>
        <v/>
      </c>
      <c r="H977" s="0" t="str">
        <f aca="false">IF($C977="","",IF(COUNTIF('مواد المخزون'!$A$2:$A$86,$C977)&gt;0,"نعم","لا (خارج الجرد)"))</f>
        <v/>
      </c>
    </row>
    <row r="978" customFormat="false" ht="15" hidden="false" customHeight="false" outlineLevel="0" collapsed="false">
      <c r="A978" s="102"/>
      <c r="B978" s="104"/>
      <c r="C978" s="104"/>
      <c r="F978" s="103" t="str">
        <f aca="false">IF(OR($C978="",$D978=0),"",$E978/$D978)</f>
        <v/>
      </c>
      <c r="H978" s="0" t="str">
        <f aca="false">IF($C978="","",IF(COUNTIF('مواد المخزون'!$A$2:$A$86,$C978)&gt;0,"نعم","لا (خارج الجرد)"))</f>
        <v/>
      </c>
    </row>
    <row r="979" customFormat="false" ht="15" hidden="false" customHeight="false" outlineLevel="0" collapsed="false">
      <c r="A979" s="102"/>
      <c r="B979" s="104"/>
      <c r="C979" s="104"/>
      <c r="F979" s="103" t="str">
        <f aca="false">IF(OR($C979="",$D979=0),"",$E979/$D979)</f>
        <v/>
      </c>
      <c r="H979" s="0" t="str">
        <f aca="false">IF($C979="","",IF(COUNTIF('مواد المخزون'!$A$2:$A$86,$C979)&gt;0,"نعم","لا (خارج الجرد)"))</f>
        <v/>
      </c>
    </row>
    <row r="980" customFormat="false" ht="15" hidden="false" customHeight="false" outlineLevel="0" collapsed="false">
      <c r="A980" s="102"/>
      <c r="B980" s="104"/>
      <c r="C980" s="104"/>
      <c r="F980" s="103" t="str">
        <f aca="false">IF(OR($C980="",$D980=0),"",$E980/$D980)</f>
        <v/>
      </c>
      <c r="H980" s="0" t="str">
        <f aca="false">IF($C980="","",IF(COUNTIF('مواد المخزون'!$A$2:$A$86,$C980)&gt;0,"نعم","لا (خارج الجرد)"))</f>
        <v/>
      </c>
    </row>
    <row r="981" customFormat="false" ht="15" hidden="false" customHeight="false" outlineLevel="0" collapsed="false">
      <c r="A981" s="102"/>
      <c r="B981" s="104"/>
      <c r="C981" s="104"/>
      <c r="F981" s="103" t="str">
        <f aca="false">IF(OR($C981="",$D981=0),"",$E981/$D981)</f>
        <v/>
      </c>
      <c r="H981" s="0" t="str">
        <f aca="false">IF($C981="","",IF(COUNTIF('مواد المخزون'!$A$2:$A$86,$C981)&gt;0,"نعم","لا (خارج الجرد)"))</f>
        <v/>
      </c>
    </row>
    <row r="982" customFormat="false" ht="15" hidden="false" customHeight="false" outlineLevel="0" collapsed="false">
      <c r="A982" s="102"/>
      <c r="B982" s="104"/>
      <c r="C982" s="104"/>
      <c r="F982" s="103" t="str">
        <f aca="false">IF(OR($C982="",$D982=0),"",$E982/$D982)</f>
        <v/>
      </c>
      <c r="H982" s="0" t="str">
        <f aca="false">IF($C982="","",IF(COUNTIF('مواد المخزون'!$A$2:$A$86,$C982)&gt;0,"نعم","لا (خارج الجرد)"))</f>
        <v/>
      </c>
    </row>
    <row r="983" customFormat="false" ht="15" hidden="false" customHeight="false" outlineLevel="0" collapsed="false">
      <c r="A983" s="102"/>
      <c r="B983" s="104"/>
      <c r="C983" s="104"/>
      <c r="F983" s="103" t="str">
        <f aca="false">IF(OR($C983="",$D983=0),"",$E983/$D983)</f>
        <v/>
      </c>
      <c r="H983" s="0" t="str">
        <f aca="false">IF($C983="","",IF(COUNTIF('مواد المخزون'!$A$2:$A$86,$C983)&gt;0,"نعم","لا (خارج الجرد)"))</f>
        <v/>
      </c>
    </row>
    <row r="984" customFormat="false" ht="15" hidden="false" customHeight="false" outlineLevel="0" collapsed="false">
      <c r="A984" s="102"/>
      <c r="B984" s="104"/>
      <c r="C984" s="104"/>
      <c r="F984" s="103" t="str">
        <f aca="false">IF(OR($C984="",$D984=0),"",$E984/$D984)</f>
        <v/>
      </c>
      <c r="H984" s="0" t="str">
        <f aca="false">IF($C984="","",IF(COUNTIF('مواد المخزون'!$A$2:$A$86,$C984)&gt;0,"نعم","لا (خارج الجرد)"))</f>
        <v/>
      </c>
    </row>
    <row r="985" customFormat="false" ht="15" hidden="false" customHeight="false" outlineLevel="0" collapsed="false">
      <c r="A985" s="102"/>
      <c r="B985" s="104"/>
      <c r="C985" s="104"/>
      <c r="F985" s="103" t="str">
        <f aca="false">IF(OR($C985="",$D985=0),"",$E985/$D985)</f>
        <v/>
      </c>
      <c r="H985" s="0" t="str">
        <f aca="false">IF($C985="","",IF(COUNTIF('مواد المخزون'!$A$2:$A$86,$C985)&gt;0,"نعم","لا (خارج الجرد)"))</f>
        <v/>
      </c>
    </row>
    <row r="986" customFormat="false" ht="15" hidden="false" customHeight="false" outlineLevel="0" collapsed="false">
      <c r="A986" s="102"/>
      <c r="B986" s="104"/>
      <c r="C986" s="104"/>
      <c r="F986" s="103" t="str">
        <f aca="false">IF(OR($C986="",$D986=0),"",$E986/$D986)</f>
        <v/>
      </c>
      <c r="H986" s="0" t="str">
        <f aca="false">IF($C986="","",IF(COUNTIF('مواد المخزون'!$A$2:$A$86,$C986)&gt;0,"نعم","لا (خارج الجرد)"))</f>
        <v/>
      </c>
    </row>
    <row r="987" customFormat="false" ht="15" hidden="false" customHeight="false" outlineLevel="0" collapsed="false">
      <c r="A987" s="102"/>
      <c r="B987" s="104"/>
      <c r="C987" s="104"/>
      <c r="F987" s="103" t="str">
        <f aca="false">IF(OR($C987="",$D987=0),"",$E987/$D987)</f>
        <v/>
      </c>
      <c r="H987" s="0" t="str">
        <f aca="false">IF($C987="","",IF(COUNTIF('مواد المخزون'!$A$2:$A$86,$C987)&gt;0,"نعم","لا (خارج الجرد)"))</f>
        <v/>
      </c>
    </row>
    <row r="988" customFormat="false" ht="15" hidden="false" customHeight="false" outlineLevel="0" collapsed="false">
      <c r="A988" s="102"/>
      <c r="B988" s="104"/>
      <c r="C988" s="104"/>
      <c r="F988" s="103" t="str">
        <f aca="false">IF(OR($C988="",$D988=0),"",$E988/$D988)</f>
        <v/>
      </c>
      <c r="H988" s="0" t="str">
        <f aca="false">IF($C988="","",IF(COUNTIF('مواد المخزون'!$A$2:$A$86,$C988)&gt;0,"نعم","لا (خارج الجرد)"))</f>
        <v/>
      </c>
    </row>
    <row r="989" customFormat="false" ht="15" hidden="false" customHeight="false" outlineLevel="0" collapsed="false">
      <c r="A989" s="102"/>
      <c r="B989" s="104"/>
      <c r="C989" s="104"/>
      <c r="F989" s="103" t="str">
        <f aca="false">IF(OR($C989="",$D989=0),"",$E989/$D989)</f>
        <v/>
      </c>
      <c r="H989" s="0" t="str">
        <f aca="false">IF($C989="","",IF(COUNTIF('مواد المخزون'!$A$2:$A$86,$C989)&gt;0,"نعم","لا (خارج الجرد)"))</f>
        <v/>
      </c>
    </row>
    <row r="990" customFormat="false" ht="15" hidden="false" customHeight="false" outlineLevel="0" collapsed="false">
      <c r="A990" s="102"/>
      <c r="B990" s="104"/>
      <c r="C990" s="104"/>
      <c r="F990" s="103" t="str">
        <f aca="false">IF(OR($C990="",$D990=0),"",$E990/$D990)</f>
        <v/>
      </c>
      <c r="H990" s="0" t="str">
        <f aca="false">IF($C990="","",IF(COUNTIF('مواد المخزون'!$A$2:$A$86,$C990)&gt;0,"نعم","لا (خارج الجرد)"))</f>
        <v/>
      </c>
    </row>
    <row r="991" customFormat="false" ht="15" hidden="false" customHeight="false" outlineLevel="0" collapsed="false">
      <c r="A991" s="102"/>
      <c r="B991" s="104"/>
      <c r="C991" s="104"/>
      <c r="F991" s="103" t="str">
        <f aca="false">IF(OR($C991="",$D991=0),"",$E991/$D991)</f>
        <v/>
      </c>
      <c r="H991" s="0" t="str">
        <f aca="false">IF($C991="","",IF(COUNTIF('مواد المخزون'!$A$2:$A$86,$C991)&gt;0,"نعم","لا (خارج الجرد)"))</f>
        <v/>
      </c>
    </row>
    <row r="992" customFormat="false" ht="15" hidden="false" customHeight="false" outlineLevel="0" collapsed="false">
      <c r="A992" s="102"/>
      <c r="B992" s="104"/>
      <c r="C992" s="104"/>
      <c r="F992" s="103" t="str">
        <f aca="false">IF(OR($C992="",$D992=0),"",$E992/$D992)</f>
        <v/>
      </c>
      <c r="H992" s="0" t="str">
        <f aca="false">IF($C992="","",IF(COUNTIF('مواد المخزون'!$A$2:$A$86,$C992)&gt;0,"نعم","لا (خارج الجرد)"))</f>
        <v/>
      </c>
    </row>
    <row r="993" customFormat="false" ht="15" hidden="false" customHeight="false" outlineLevel="0" collapsed="false">
      <c r="A993" s="102"/>
      <c r="B993" s="104"/>
      <c r="C993" s="104"/>
      <c r="F993" s="103" t="str">
        <f aca="false">IF(OR($C993="",$D993=0),"",$E993/$D993)</f>
        <v/>
      </c>
      <c r="H993" s="0" t="str">
        <f aca="false">IF($C993="","",IF(COUNTIF('مواد المخزون'!$A$2:$A$86,$C993)&gt;0,"نعم","لا (خارج الجرد)"))</f>
        <v/>
      </c>
    </row>
    <row r="994" customFormat="false" ht="15" hidden="false" customHeight="false" outlineLevel="0" collapsed="false">
      <c r="A994" s="102"/>
      <c r="B994" s="104"/>
      <c r="C994" s="104"/>
      <c r="F994" s="103" t="str">
        <f aca="false">IF(OR($C994="",$D994=0),"",$E994/$D994)</f>
        <v/>
      </c>
      <c r="H994" s="0" t="str">
        <f aca="false">IF($C994="","",IF(COUNTIF('مواد المخزون'!$A$2:$A$86,$C994)&gt;0,"نعم","لا (خارج الجرد)"))</f>
        <v/>
      </c>
    </row>
    <row r="995" customFormat="false" ht="15" hidden="false" customHeight="false" outlineLevel="0" collapsed="false">
      <c r="A995" s="102"/>
      <c r="B995" s="104"/>
      <c r="C995" s="104"/>
      <c r="F995" s="103" t="str">
        <f aca="false">IF(OR($C995="",$D995=0),"",$E995/$D995)</f>
        <v/>
      </c>
      <c r="H995" s="0" t="str">
        <f aca="false">IF($C995="","",IF(COUNTIF('مواد المخزون'!$A$2:$A$86,$C995)&gt;0,"نعم","لا (خارج الجرد)"))</f>
        <v/>
      </c>
    </row>
    <row r="996" customFormat="false" ht="15" hidden="false" customHeight="false" outlineLevel="0" collapsed="false">
      <c r="A996" s="102"/>
      <c r="B996" s="104"/>
      <c r="C996" s="104"/>
      <c r="F996" s="103" t="str">
        <f aca="false">IF(OR($C996="",$D996=0),"",$E996/$D996)</f>
        <v/>
      </c>
      <c r="H996" s="0" t="str">
        <f aca="false">IF($C996="","",IF(COUNTIF('مواد المخزون'!$A$2:$A$86,$C996)&gt;0,"نعم","لا (خارج الجرد)"))</f>
        <v/>
      </c>
    </row>
    <row r="997" customFormat="false" ht="15" hidden="false" customHeight="false" outlineLevel="0" collapsed="false">
      <c r="A997" s="102"/>
      <c r="B997" s="104"/>
      <c r="C997" s="104"/>
      <c r="F997" s="103" t="str">
        <f aca="false">IF(OR($C997="",$D997=0),"",$E997/$D997)</f>
        <v/>
      </c>
      <c r="H997" s="0" t="str">
        <f aca="false">IF($C997="","",IF(COUNTIF('مواد المخزون'!$A$2:$A$86,$C997)&gt;0,"نعم","لا (خارج الجرد)"))</f>
        <v/>
      </c>
    </row>
    <row r="998" customFormat="false" ht="15" hidden="false" customHeight="false" outlineLevel="0" collapsed="false">
      <c r="A998" s="102"/>
      <c r="B998" s="104"/>
      <c r="C998" s="104"/>
      <c r="F998" s="103" t="str">
        <f aca="false">IF(OR($C998="",$D998=0),"",$E998/$D998)</f>
        <v/>
      </c>
      <c r="H998" s="0" t="str">
        <f aca="false">IF($C998="","",IF(COUNTIF('مواد المخزون'!$A$2:$A$86,$C998)&gt;0,"نعم","لا (خارج الجرد)"))</f>
        <v/>
      </c>
    </row>
    <row r="999" customFormat="false" ht="15" hidden="false" customHeight="false" outlineLevel="0" collapsed="false">
      <c r="A999" s="102"/>
      <c r="B999" s="104"/>
      <c r="C999" s="104"/>
      <c r="F999" s="103" t="str">
        <f aca="false">IF(OR($C999="",$D999=0),"",$E999/$D999)</f>
        <v/>
      </c>
      <c r="H999" s="0" t="str">
        <f aca="false">IF($C999="","",IF(COUNTIF('مواد المخزون'!$A$2:$A$86,$C999)&gt;0,"نعم","لا (خارج الجرد)"))</f>
        <v/>
      </c>
    </row>
    <row r="1000" customFormat="false" ht="15" hidden="false" customHeight="false" outlineLevel="0" collapsed="false">
      <c r="A1000" s="102"/>
      <c r="B1000" s="104"/>
      <c r="C1000" s="104"/>
      <c r="F1000" s="103" t="str">
        <f aca="false">IF(OR($C1000="",$D1000=0),"",$E1000/$D1000)</f>
        <v/>
      </c>
      <c r="H1000" s="0" t="str">
        <f aca="false">IF($C1000="","",IF(COUNTIF('مواد المخزون'!$A$2:$A$86,$C1000)&gt;0,"نعم","لا (خارج الجرد)"))</f>
        <v/>
      </c>
    </row>
    <row r="1001" customFormat="false" ht="15" hidden="false" customHeight="false" outlineLevel="0" collapsed="false">
      <c r="A1001" s="102"/>
      <c r="B1001" s="104"/>
      <c r="C1001" s="104"/>
      <c r="F1001" s="103" t="str">
        <f aca="false">IF(OR($C1001="",$D1001=0),"",$E1001/$D1001)</f>
        <v/>
      </c>
      <c r="H1001" s="0" t="str">
        <f aca="false">IF($C1001="","",IF(COUNTIF('مواد المخزون'!$A$2:$A$86,$C1001)&gt;0,"نعم","لا (خارج الجرد)"))</f>
        <v/>
      </c>
    </row>
    <row r="1002" customFormat="false" ht="15" hidden="false" customHeight="false" outlineLevel="0" collapsed="false">
      <c r="A1002" s="102"/>
      <c r="B1002" s="104"/>
      <c r="C1002" s="104"/>
      <c r="F1002" s="103" t="str">
        <f aca="false">IF(OR($C1002="",$D1002=0),"",$E1002/$D1002)</f>
        <v/>
      </c>
      <c r="H1002" s="0" t="str">
        <f aca="false">IF($C1002="","",IF(COUNTIF('مواد المخزون'!$A$2:$A$86,$C1002)&gt;0,"نعم","لا (خارج الجرد)"))</f>
        <v/>
      </c>
    </row>
    <row r="1003" customFormat="false" ht="15" hidden="false" customHeight="false" outlineLevel="0" collapsed="false">
      <c r="A1003" s="102"/>
      <c r="B1003" s="104"/>
      <c r="C1003" s="104"/>
      <c r="F1003" s="103" t="str">
        <f aca="false">IF(OR($C1003="",$D1003=0),"",$E1003/$D1003)</f>
        <v/>
      </c>
      <c r="H1003" s="0" t="str">
        <f aca="false">IF($C1003="","",IF(COUNTIF('مواد المخزون'!$A$2:$A$86,$C1003)&gt;0,"نعم","لا (خارج الجرد)"))</f>
        <v/>
      </c>
    </row>
    <row r="1004" customFormat="false" ht="15" hidden="false" customHeight="false" outlineLevel="0" collapsed="false">
      <c r="A1004" s="102"/>
      <c r="B1004" s="104"/>
      <c r="C1004" s="104"/>
      <c r="F1004" s="103" t="str">
        <f aca="false">IF(OR($C1004="",$D1004=0),"",$E1004/$D1004)</f>
        <v/>
      </c>
      <c r="H1004" s="0" t="str">
        <f aca="false">IF($C1004="","",IF(COUNTIF('مواد المخزون'!$A$2:$A$86,$C1004)&gt;0,"نعم","لا (خارج الجرد)"))</f>
        <v/>
      </c>
    </row>
    <row r="1005" customFormat="false" ht="15" hidden="false" customHeight="false" outlineLevel="0" collapsed="false">
      <c r="A1005" s="102"/>
      <c r="B1005" s="104"/>
      <c r="C1005" s="104"/>
      <c r="F1005" s="103" t="str">
        <f aca="false">IF(OR($C1005="",$D1005=0),"",$E1005/$D1005)</f>
        <v/>
      </c>
      <c r="H1005" s="0" t="str">
        <f aca="false">IF($C1005="","",IF(COUNTIF('مواد المخزون'!$A$2:$A$86,$C1005)&gt;0,"نعم","لا (خارج الجرد)"))</f>
        <v/>
      </c>
    </row>
    <row r="1006" customFormat="false" ht="15" hidden="false" customHeight="false" outlineLevel="0" collapsed="false">
      <c r="A1006" s="102"/>
      <c r="B1006" s="104"/>
      <c r="C1006" s="104"/>
      <c r="F1006" s="103" t="str">
        <f aca="false">IF(OR($C1006="",$D1006=0),"",$E1006/$D1006)</f>
        <v/>
      </c>
      <c r="H1006" s="0" t="str">
        <f aca="false">IF($C1006="","",IF(COUNTIF('مواد المخزون'!$A$2:$A$86,$C1006)&gt;0,"نعم","لا (خارج الجرد)"))</f>
        <v/>
      </c>
    </row>
    <row r="1007" customFormat="false" ht="15" hidden="false" customHeight="false" outlineLevel="0" collapsed="false">
      <c r="A1007" s="102"/>
      <c r="B1007" s="104"/>
      <c r="C1007" s="104"/>
      <c r="F1007" s="103" t="str">
        <f aca="false">IF(OR($C1007="",$D1007=0),"",$E1007/$D1007)</f>
        <v/>
      </c>
      <c r="H1007" s="0" t="str">
        <f aca="false">IF($C1007="","",IF(COUNTIF('مواد المخزون'!$A$2:$A$86,$C1007)&gt;0,"نعم","لا (خارج الجرد)"))</f>
        <v/>
      </c>
    </row>
    <row r="1008" customFormat="false" ht="15" hidden="false" customHeight="false" outlineLevel="0" collapsed="false">
      <c r="A1008" s="102"/>
      <c r="B1008" s="104"/>
      <c r="C1008" s="104"/>
      <c r="F1008" s="103" t="str">
        <f aca="false">IF(OR($C1008="",$D1008=0),"",$E1008/$D1008)</f>
        <v/>
      </c>
      <c r="H1008" s="0" t="str">
        <f aca="false">IF($C1008="","",IF(COUNTIF('مواد المخزون'!$A$2:$A$86,$C1008)&gt;0,"نعم","لا (خارج الجرد)"))</f>
        <v/>
      </c>
    </row>
    <row r="1009" customFormat="false" ht="15" hidden="false" customHeight="false" outlineLevel="0" collapsed="false">
      <c r="A1009" s="102"/>
      <c r="B1009" s="104"/>
      <c r="C1009" s="104"/>
      <c r="F1009" s="103" t="str">
        <f aca="false">IF(OR($C1009="",$D1009=0),"",$E1009/$D1009)</f>
        <v/>
      </c>
      <c r="H1009" s="0" t="str">
        <f aca="false">IF($C1009="","",IF(COUNTIF('مواد المخزون'!$A$2:$A$86,$C1009)&gt;0,"نعم","لا (خارج الجرد)"))</f>
        <v/>
      </c>
    </row>
    <row r="1010" customFormat="false" ht="15" hidden="false" customHeight="false" outlineLevel="0" collapsed="false">
      <c r="A1010" s="102"/>
      <c r="B1010" s="104"/>
      <c r="C1010" s="104"/>
      <c r="F1010" s="103" t="str">
        <f aca="false">IF(OR($C1010="",$D1010=0),"",$E1010/$D1010)</f>
        <v/>
      </c>
      <c r="H1010" s="0" t="str">
        <f aca="false">IF($C1010="","",IF(COUNTIF('مواد المخزون'!$A$2:$A$86,$C1010)&gt;0,"نعم","لا (خارج الجرد)"))</f>
        <v/>
      </c>
    </row>
    <row r="1011" customFormat="false" ht="15" hidden="false" customHeight="false" outlineLevel="0" collapsed="false">
      <c r="A1011" s="102"/>
      <c r="B1011" s="104"/>
      <c r="C1011" s="104"/>
      <c r="F1011" s="103" t="str">
        <f aca="false">IF(OR($C1011="",$D1011=0),"",$E1011/$D1011)</f>
        <v/>
      </c>
      <c r="H1011" s="0" t="str">
        <f aca="false">IF($C1011="","",IF(COUNTIF('مواد المخزون'!$A$2:$A$86,$C1011)&gt;0,"نعم","لا (خارج الجرد)"))</f>
        <v/>
      </c>
    </row>
    <row r="1012" customFormat="false" ht="15" hidden="false" customHeight="false" outlineLevel="0" collapsed="false">
      <c r="A1012" s="102"/>
      <c r="B1012" s="104"/>
      <c r="C1012" s="104"/>
      <c r="F1012" s="103" t="str">
        <f aca="false">IF(OR($C1012="",$D1012=0),"",$E1012/$D1012)</f>
        <v/>
      </c>
      <c r="H1012" s="0" t="str">
        <f aca="false">IF($C1012="","",IF(COUNTIF('مواد المخزون'!$A$2:$A$86,$C1012)&gt;0,"نعم","لا (خارج الجرد)"))</f>
        <v/>
      </c>
    </row>
    <row r="1013" customFormat="false" ht="15" hidden="false" customHeight="false" outlineLevel="0" collapsed="false">
      <c r="A1013" s="102"/>
      <c r="B1013" s="104"/>
      <c r="C1013" s="104"/>
      <c r="F1013" s="103" t="str">
        <f aca="false">IF(OR($C1013="",$D1013=0),"",$E1013/$D1013)</f>
        <v/>
      </c>
      <c r="H1013" s="0" t="str">
        <f aca="false">IF($C1013="","",IF(COUNTIF('مواد المخزون'!$A$2:$A$86,$C1013)&gt;0,"نعم","لا (خارج الجرد)"))</f>
        <v/>
      </c>
    </row>
    <row r="1014" customFormat="false" ht="15" hidden="false" customHeight="false" outlineLevel="0" collapsed="false">
      <c r="A1014" s="102"/>
      <c r="B1014" s="104"/>
      <c r="C1014" s="104"/>
      <c r="F1014" s="103" t="str">
        <f aca="false">IF(OR($C1014="",$D1014=0),"",$E1014/$D1014)</f>
        <v/>
      </c>
      <c r="H1014" s="0" t="str">
        <f aca="false">IF($C1014="","",IF(COUNTIF('مواد المخزون'!$A$2:$A$86,$C1014)&gt;0,"نعم","لا (خارج الجرد)"))</f>
        <v/>
      </c>
    </row>
    <row r="1015" customFormat="false" ht="15" hidden="false" customHeight="false" outlineLevel="0" collapsed="false">
      <c r="A1015" s="102"/>
      <c r="B1015" s="104"/>
      <c r="C1015" s="104"/>
      <c r="F1015" s="103" t="str">
        <f aca="false">IF(OR($C1015="",$D1015=0),"",$E1015/$D1015)</f>
        <v/>
      </c>
      <c r="H1015" s="0" t="str">
        <f aca="false">IF($C1015="","",IF(COUNTIF('مواد المخزون'!$A$2:$A$86,$C1015)&gt;0,"نعم","لا (خارج الجرد)"))</f>
        <v/>
      </c>
    </row>
    <row r="1016" customFormat="false" ht="15" hidden="false" customHeight="false" outlineLevel="0" collapsed="false">
      <c r="A1016" s="102"/>
      <c r="B1016" s="104"/>
      <c r="C1016" s="104"/>
      <c r="F1016" s="103" t="str">
        <f aca="false">IF(OR($C1016="",$D1016=0),"",$E1016/$D1016)</f>
        <v/>
      </c>
      <c r="H1016" s="0" t="str">
        <f aca="false">IF($C1016="","",IF(COUNTIF('مواد المخزون'!$A$2:$A$86,$C1016)&gt;0,"نعم","لا (خارج الجرد)"))</f>
        <v/>
      </c>
    </row>
    <row r="1017" customFormat="false" ht="15" hidden="false" customHeight="false" outlineLevel="0" collapsed="false">
      <c r="A1017" s="102"/>
      <c r="B1017" s="104"/>
      <c r="C1017" s="104"/>
      <c r="F1017" s="103" t="str">
        <f aca="false">IF(OR($C1017="",$D1017=0),"",$E1017/$D1017)</f>
        <v/>
      </c>
      <c r="H1017" s="0" t="str">
        <f aca="false">IF($C1017="","",IF(COUNTIF('مواد المخزون'!$A$2:$A$86,$C1017)&gt;0,"نعم","لا (خارج الجرد)"))</f>
        <v/>
      </c>
    </row>
    <row r="1018" customFormat="false" ht="15" hidden="false" customHeight="false" outlineLevel="0" collapsed="false">
      <c r="A1018" s="102"/>
      <c r="B1018" s="104"/>
      <c r="C1018" s="104"/>
      <c r="F1018" s="103" t="str">
        <f aca="false">IF(OR($C1018="",$D1018=0),"",$E1018/$D1018)</f>
        <v/>
      </c>
      <c r="H1018" s="0" t="str">
        <f aca="false">IF($C1018="","",IF(COUNTIF('مواد المخزون'!$A$2:$A$86,$C1018)&gt;0,"نعم","لا (خارج الجرد)"))</f>
        <v/>
      </c>
    </row>
    <row r="1019" customFormat="false" ht="15" hidden="false" customHeight="false" outlineLevel="0" collapsed="false">
      <c r="A1019" s="102"/>
      <c r="B1019" s="104"/>
      <c r="C1019" s="104"/>
      <c r="F1019" s="103" t="str">
        <f aca="false">IF(OR($C1019="",$D1019=0),"",$E1019/$D1019)</f>
        <v/>
      </c>
      <c r="H1019" s="0" t="str">
        <f aca="false">IF($C1019="","",IF(COUNTIF('مواد المخزون'!$A$2:$A$86,$C1019)&gt;0,"نعم","لا (خارج الجرد)"))</f>
        <v/>
      </c>
    </row>
    <row r="1020" customFormat="false" ht="15" hidden="false" customHeight="false" outlineLevel="0" collapsed="false">
      <c r="A1020" s="102"/>
      <c r="B1020" s="104"/>
      <c r="C1020" s="104"/>
      <c r="F1020" s="103" t="str">
        <f aca="false">IF(OR($C1020="",$D1020=0),"",$E1020/$D1020)</f>
        <v/>
      </c>
      <c r="H1020" s="0" t="str">
        <f aca="false">IF($C1020="","",IF(COUNTIF('مواد المخزون'!$A$2:$A$86,$C1020)&gt;0,"نعم","لا (خارج الجرد)"))</f>
        <v/>
      </c>
    </row>
    <row r="1021" customFormat="false" ht="15" hidden="false" customHeight="false" outlineLevel="0" collapsed="false">
      <c r="A1021" s="102"/>
      <c r="B1021" s="104"/>
      <c r="C1021" s="104"/>
      <c r="F1021" s="103" t="str">
        <f aca="false">IF(OR($C1021="",$D1021=0),"",$E1021/$D1021)</f>
        <v/>
      </c>
      <c r="H1021" s="0" t="str">
        <f aca="false">IF($C1021="","",IF(COUNTIF('مواد المخزون'!$A$2:$A$86,$C1021)&gt;0,"نعم","لا (خارج الجرد)"))</f>
        <v/>
      </c>
    </row>
    <row r="1022" customFormat="false" ht="15" hidden="false" customHeight="false" outlineLevel="0" collapsed="false">
      <c r="A1022" s="102"/>
      <c r="B1022" s="104"/>
      <c r="C1022" s="104"/>
      <c r="F1022" s="103" t="str">
        <f aca="false">IF(OR($C1022="",$D1022=0),"",$E1022/$D1022)</f>
        <v/>
      </c>
      <c r="H1022" s="0" t="str">
        <f aca="false">IF($C1022="","",IF(COUNTIF('مواد المخزون'!$A$2:$A$86,$C1022)&gt;0,"نعم","لا (خارج الجرد)"))</f>
        <v/>
      </c>
    </row>
    <row r="1023" customFormat="false" ht="15" hidden="false" customHeight="false" outlineLevel="0" collapsed="false">
      <c r="A1023" s="102"/>
      <c r="B1023" s="104"/>
      <c r="C1023" s="104"/>
      <c r="F1023" s="103" t="str">
        <f aca="false">IF(OR($C1023="",$D1023=0),"",$E1023/$D1023)</f>
        <v/>
      </c>
      <c r="H1023" s="0" t="str">
        <f aca="false">IF($C1023="","",IF(COUNTIF('مواد المخزون'!$A$2:$A$86,$C1023)&gt;0,"نعم","لا (خارج الجرد)"))</f>
        <v/>
      </c>
    </row>
    <row r="1024" customFormat="false" ht="15" hidden="false" customHeight="false" outlineLevel="0" collapsed="false">
      <c r="A1024" s="102"/>
      <c r="B1024" s="104"/>
      <c r="C1024" s="104"/>
      <c r="F1024" s="103" t="str">
        <f aca="false">IF(OR($C1024="",$D1024=0),"",$E1024/$D1024)</f>
        <v/>
      </c>
      <c r="H1024" s="0" t="str">
        <f aca="false">IF($C1024="","",IF(COUNTIF('مواد المخزون'!$A$2:$A$86,$C1024)&gt;0,"نعم","لا (خارج الجرد)"))</f>
        <v/>
      </c>
    </row>
    <row r="1025" customFormat="false" ht="15" hidden="false" customHeight="false" outlineLevel="0" collapsed="false">
      <c r="A1025" s="102"/>
      <c r="B1025" s="104"/>
      <c r="C1025" s="104"/>
      <c r="F1025" s="103" t="str">
        <f aca="false">IF(OR($C1025="",$D1025=0),"",$E1025/$D1025)</f>
        <v/>
      </c>
      <c r="H1025" s="0" t="str">
        <f aca="false">IF($C1025="","",IF(COUNTIF('مواد المخزون'!$A$2:$A$86,$C1025)&gt;0,"نعم","لا (خارج الجرد)"))</f>
        <v/>
      </c>
    </row>
    <row r="1026" customFormat="false" ht="15" hidden="false" customHeight="false" outlineLevel="0" collapsed="false">
      <c r="A1026" s="102"/>
      <c r="B1026" s="104"/>
      <c r="C1026" s="104"/>
      <c r="F1026" s="103" t="str">
        <f aca="false">IF(OR($C1026="",$D1026=0),"",$E1026/$D1026)</f>
        <v/>
      </c>
      <c r="H1026" s="0" t="str">
        <f aca="false">IF($C1026="","",IF(COUNTIF('مواد المخزون'!$A$2:$A$86,$C1026)&gt;0,"نعم","لا (خارج الجرد)"))</f>
        <v/>
      </c>
    </row>
    <row r="1027" customFormat="false" ht="15" hidden="false" customHeight="false" outlineLevel="0" collapsed="false">
      <c r="A1027" s="102"/>
      <c r="B1027" s="104"/>
      <c r="C1027" s="104"/>
      <c r="F1027" s="103" t="str">
        <f aca="false">IF(OR($C1027="",$D1027=0),"",$E1027/$D1027)</f>
        <v/>
      </c>
      <c r="H1027" s="0" t="str">
        <f aca="false">IF($C1027="","",IF(COUNTIF('مواد المخزون'!$A$2:$A$86,$C1027)&gt;0,"نعم","لا (خارج الجرد)"))</f>
        <v/>
      </c>
    </row>
    <row r="1028" customFormat="false" ht="15" hidden="false" customHeight="false" outlineLevel="0" collapsed="false">
      <c r="A1028" s="102"/>
      <c r="B1028" s="104"/>
      <c r="C1028" s="104"/>
      <c r="F1028" s="103" t="str">
        <f aca="false">IF(OR($C1028="",$D1028=0),"",$E1028/$D1028)</f>
        <v/>
      </c>
      <c r="H1028" s="0" t="str">
        <f aca="false">IF($C1028="","",IF(COUNTIF('مواد المخزون'!$A$2:$A$86,$C1028)&gt;0,"نعم","لا (خارج الجرد)"))</f>
        <v/>
      </c>
    </row>
    <row r="1029" customFormat="false" ht="15" hidden="false" customHeight="false" outlineLevel="0" collapsed="false">
      <c r="A1029" s="102"/>
      <c r="B1029" s="104"/>
      <c r="C1029" s="104"/>
      <c r="F1029" s="103" t="str">
        <f aca="false">IF(OR($C1029="",$D1029=0),"",$E1029/$D1029)</f>
        <v/>
      </c>
      <c r="H1029" s="0" t="str">
        <f aca="false">IF($C1029="","",IF(COUNTIF('مواد المخزون'!$A$2:$A$86,$C1029)&gt;0,"نعم","لا (خارج الجرد)"))</f>
        <v/>
      </c>
    </row>
    <row r="1030" customFormat="false" ht="15" hidden="false" customHeight="false" outlineLevel="0" collapsed="false">
      <c r="A1030" s="102"/>
      <c r="B1030" s="104"/>
      <c r="C1030" s="104"/>
      <c r="F1030" s="103" t="str">
        <f aca="false">IF(OR($C1030="",$D1030=0),"",$E1030/$D1030)</f>
        <v/>
      </c>
      <c r="H1030" s="0" t="str">
        <f aca="false">IF($C1030="","",IF(COUNTIF('مواد المخزون'!$A$2:$A$86,$C1030)&gt;0,"نعم","لا (خارج الجرد)"))</f>
        <v/>
      </c>
    </row>
    <row r="1031" customFormat="false" ht="15" hidden="false" customHeight="false" outlineLevel="0" collapsed="false">
      <c r="A1031" s="102"/>
      <c r="B1031" s="104"/>
      <c r="C1031" s="104"/>
      <c r="F1031" s="103" t="str">
        <f aca="false">IF(OR($C1031="",$D1031=0),"",$E1031/$D1031)</f>
        <v/>
      </c>
      <c r="H1031" s="0" t="str">
        <f aca="false">IF($C1031="","",IF(COUNTIF('مواد المخزون'!$A$2:$A$86,$C1031)&gt;0,"نعم","لا (خارج الجرد)"))</f>
        <v/>
      </c>
    </row>
    <row r="1032" customFormat="false" ht="15" hidden="false" customHeight="false" outlineLevel="0" collapsed="false">
      <c r="A1032" s="102"/>
      <c r="B1032" s="104"/>
      <c r="C1032" s="104"/>
      <c r="F1032" s="103" t="str">
        <f aca="false">IF(OR($C1032="",$D1032=0),"",$E1032/$D1032)</f>
        <v/>
      </c>
      <c r="H1032" s="0" t="str">
        <f aca="false">IF($C1032="","",IF(COUNTIF('مواد المخزون'!$A$2:$A$86,$C1032)&gt;0,"نعم","لا (خارج الجرد)"))</f>
        <v/>
      </c>
    </row>
    <row r="1033" customFormat="false" ht="15" hidden="false" customHeight="false" outlineLevel="0" collapsed="false">
      <c r="A1033" s="102"/>
      <c r="B1033" s="104"/>
      <c r="C1033" s="104"/>
      <c r="F1033" s="103" t="str">
        <f aca="false">IF(OR($C1033="",$D1033=0),"",$E1033/$D1033)</f>
        <v/>
      </c>
      <c r="H1033" s="0" t="str">
        <f aca="false">IF($C1033="","",IF(COUNTIF('مواد المخزون'!$A$2:$A$86,$C1033)&gt;0,"نعم","لا (خارج الجرد)"))</f>
        <v/>
      </c>
    </row>
    <row r="1034" customFormat="false" ht="15" hidden="false" customHeight="false" outlineLevel="0" collapsed="false">
      <c r="A1034" s="102"/>
      <c r="B1034" s="104"/>
      <c r="C1034" s="104"/>
      <c r="F1034" s="103" t="str">
        <f aca="false">IF(OR($C1034="",$D1034=0),"",$E1034/$D1034)</f>
        <v/>
      </c>
      <c r="H1034" s="0" t="str">
        <f aca="false">IF($C1034="","",IF(COUNTIF('مواد المخزون'!$A$2:$A$86,$C1034)&gt;0,"نعم","لا (خارج الجرد)"))</f>
        <v/>
      </c>
    </row>
    <row r="1035" customFormat="false" ht="15" hidden="false" customHeight="false" outlineLevel="0" collapsed="false">
      <c r="A1035" s="102"/>
      <c r="B1035" s="104"/>
      <c r="C1035" s="104"/>
      <c r="F1035" s="103" t="str">
        <f aca="false">IF(OR($C1035="",$D1035=0),"",$E1035/$D1035)</f>
        <v/>
      </c>
      <c r="H1035" s="0" t="str">
        <f aca="false">IF($C1035="","",IF(COUNTIF('مواد المخزون'!$A$2:$A$86,$C1035)&gt;0,"نعم","لا (خارج الجرد)"))</f>
        <v/>
      </c>
    </row>
    <row r="1036" customFormat="false" ht="15" hidden="false" customHeight="false" outlineLevel="0" collapsed="false">
      <c r="A1036" s="102"/>
      <c r="B1036" s="104"/>
      <c r="C1036" s="104"/>
      <c r="F1036" s="103" t="str">
        <f aca="false">IF(OR($C1036="",$D1036=0),"",$E1036/$D1036)</f>
        <v/>
      </c>
      <c r="H1036" s="0" t="str">
        <f aca="false">IF($C1036="","",IF(COUNTIF('مواد المخزون'!$A$2:$A$86,$C1036)&gt;0,"نعم","لا (خارج الجرد)"))</f>
        <v/>
      </c>
    </row>
    <row r="1037" customFormat="false" ht="15" hidden="false" customHeight="false" outlineLevel="0" collapsed="false">
      <c r="A1037" s="102"/>
      <c r="B1037" s="104"/>
      <c r="C1037" s="104"/>
      <c r="F1037" s="103" t="str">
        <f aca="false">IF(OR($C1037="",$D1037=0),"",$E1037/$D1037)</f>
        <v/>
      </c>
      <c r="H1037" s="0" t="str">
        <f aca="false">IF($C1037="","",IF(COUNTIF('مواد المخزون'!$A$2:$A$86,$C1037)&gt;0,"نعم","لا (خارج الجرد)"))</f>
        <v/>
      </c>
    </row>
    <row r="1038" customFormat="false" ht="15" hidden="false" customHeight="false" outlineLevel="0" collapsed="false">
      <c r="A1038" s="102"/>
      <c r="B1038" s="104"/>
      <c r="C1038" s="104"/>
      <c r="F1038" s="103" t="str">
        <f aca="false">IF(OR($C1038="",$D1038=0),"",$E1038/$D1038)</f>
        <v/>
      </c>
      <c r="H1038" s="0" t="str">
        <f aca="false">IF($C1038="","",IF(COUNTIF('مواد المخزون'!$A$2:$A$86,$C1038)&gt;0,"نعم","لا (خارج الجرد)"))</f>
        <v/>
      </c>
    </row>
    <row r="1039" customFormat="false" ht="15" hidden="false" customHeight="false" outlineLevel="0" collapsed="false">
      <c r="A1039" s="102"/>
      <c r="B1039" s="104"/>
      <c r="C1039" s="104"/>
      <c r="F1039" s="103" t="str">
        <f aca="false">IF(OR($C1039="",$D1039=0),"",$E1039/$D1039)</f>
        <v/>
      </c>
      <c r="H1039" s="0" t="str">
        <f aca="false">IF($C1039="","",IF(COUNTIF('مواد المخزون'!$A$2:$A$86,$C1039)&gt;0,"نعم","لا (خارج الجرد)"))</f>
        <v/>
      </c>
    </row>
    <row r="1040" customFormat="false" ht="15" hidden="false" customHeight="false" outlineLevel="0" collapsed="false">
      <c r="A1040" s="102"/>
      <c r="B1040" s="104"/>
      <c r="C1040" s="104"/>
      <c r="F1040" s="103" t="str">
        <f aca="false">IF(OR($C1040="",$D1040=0),"",$E1040/$D1040)</f>
        <v/>
      </c>
      <c r="H1040" s="0" t="str">
        <f aca="false">IF($C1040="","",IF(COUNTIF('مواد المخزون'!$A$2:$A$86,$C1040)&gt;0,"نعم","لا (خارج الجرد)"))</f>
        <v/>
      </c>
    </row>
    <row r="1041" customFormat="false" ht="15" hidden="false" customHeight="false" outlineLevel="0" collapsed="false">
      <c r="A1041" s="102"/>
      <c r="B1041" s="104"/>
      <c r="C1041" s="104"/>
      <c r="F1041" s="103" t="str">
        <f aca="false">IF(OR($C1041="",$D1041=0),"",$E1041/$D1041)</f>
        <v/>
      </c>
      <c r="H1041" s="0" t="str">
        <f aca="false">IF($C1041="","",IF(COUNTIF('مواد المخزون'!$A$2:$A$86,$C1041)&gt;0,"نعم","لا (خارج الجرد)"))</f>
        <v/>
      </c>
    </row>
    <row r="1042" customFormat="false" ht="15" hidden="false" customHeight="false" outlineLevel="0" collapsed="false">
      <c r="A1042" s="102"/>
      <c r="B1042" s="104"/>
      <c r="C1042" s="104"/>
      <c r="F1042" s="103" t="str">
        <f aca="false">IF(OR($C1042="",$D1042=0),"",$E1042/$D1042)</f>
        <v/>
      </c>
      <c r="H1042" s="0" t="str">
        <f aca="false">IF($C1042="","",IF(COUNTIF('مواد المخزون'!$A$2:$A$86,$C1042)&gt;0,"نعم","لا (خارج الجرد)"))</f>
        <v/>
      </c>
    </row>
    <row r="1043" customFormat="false" ht="15" hidden="false" customHeight="false" outlineLevel="0" collapsed="false">
      <c r="A1043" s="102"/>
      <c r="B1043" s="104"/>
      <c r="C1043" s="104"/>
      <c r="F1043" s="103" t="str">
        <f aca="false">IF(OR($C1043="",$D1043=0),"",$E1043/$D1043)</f>
        <v/>
      </c>
      <c r="H1043" s="0" t="str">
        <f aca="false">IF($C1043="","",IF(COUNTIF('مواد المخزون'!$A$2:$A$86,$C1043)&gt;0,"نعم","لا (خارج الجرد)"))</f>
        <v/>
      </c>
    </row>
    <row r="1044" customFormat="false" ht="15" hidden="false" customHeight="false" outlineLevel="0" collapsed="false">
      <c r="A1044" s="102"/>
      <c r="B1044" s="104"/>
      <c r="C1044" s="104"/>
      <c r="F1044" s="103" t="str">
        <f aca="false">IF(OR($C1044="",$D1044=0),"",$E1044/$D1044)</f>
        <v/>
      </c>
      <c r="H1044" s="0" t="str">
        <f aca="false">IF($C1044="","",IF(COUNTIF('مواد المخزون'!$A$2:$A$86,$C1044)&gt;0,"نعم","لا (خارج الجرد)"))</f>
        <v/>
      </c>
    </row>
    <row r="1045" customFormat="false" ht="15" hidden="false" customHeight="false" outlineLevel="0" collapsed="false">
      <c r="A1045" s="102"/>
      <c r="B1045" s="104"/>
      <c r="C1045" s="104"/>
      <c r="F1045" s="103" t="str">
        <f aca="false">IF(OR($C1045="",$D1045=0),"",$E1045/$D1045)</f>
        <v/>
      </c>
      <c r="H1045" s="0" t="str">
        <f aca="false">IF($C1045="","",IF(COUNTIF('مواد المخزون'!$A$2:$A$86,$C1045)&gt;0,"نعم","لا (خارج الجرد)"))</f>
        <v/>
      </c>
    </row>
    <row r="1046" customFormat="false" ht="15" hidden="false" customHeight="false" outlineLevel="0" collapsed="false">
      <c r="A1046" s="102"/>
      <c r="B1046" s="104"/>
      <c r="C1046" s="104"/>
      <c r="F1046" s="103" t="str">
        <f aca="false">IF(OR($C1046="",$D1046=0),"",$E1046/$D1046)</f>
        <v/>
      </c>
      <c r="H1046" s="0" t="str">
        <f aca="false">IF($C1046="","",IF(COUNTIF('مواد المخزون'!$A$2:$A$86,$C1046)&gt;0,"نعم","لا (خارج الجرد)"))</f>
        <v/>
      </c>
    </row>
    <row r="1047" customFormat="false" ht="15" hidden="false" customHeight="false" outlineLevel="0" collapsed="false">
      <c r="A1047" s="102"/>
      <c r="B1047" s="104"/>
      <c r="C1047" s="104"/>
      <c r="F1047" s="103" t="str">
        <f aca="false">IF(OR($C1047="",$D1047=0),"",$E1047/$D1047)</f>
        <v/>
      </c>
      <c r="H1047" s="0" t="str">
        <f aca="false">IF($C1047="","",IF(COUNTIF('مواد المخزون'!$A$2:$A$86,$C1047)&gt;0,"نعم","لا (خارج الجرد)"))</f>
        <v/>
      </c>
    </row>
    <row r="1048" customFormat="false" ht="15" hidden="false" customHeight="false" outlineLevel="0" collapsed="false">
      <c r="A1048" s="102"/>
      <c r="B1048" s="104"/>
      <c r="C1048" s="104"/>
      <c r="F1048" s="103" t="str">
        <f aca="false">IF(OR($C1048="",$D1048=0),"",$E1048/$D1048)</f>
        <v/>
      </c>
      <c r="H1048" s="0" t="str">
        <f aca="false">IF($C1048="","",IF(COUNTIF('مواد المخزون'!$A$2:$A$86,$C1048)&gt;0,"نعم","لا (خارج الجرد)"))</f>
        <v/>
      </c>
    </row>
    <row r="1049" customFormat="false" ht="15" hidden="false" customHeight="false" outlineLevel="0" collapsed="false">
      <c r="A1049" s="102"/>
      <c r="B1049" s="104"/>
      <c r="C1049" s="104"/>
      <c r="F1049" s="103" t="str">
        <f aca="false">IF(OR($C1049="",$D1049=0),"",$E1049/$D1049)</f>
        <v/>
      </c>
      <c r="H1049" s="0" t="str">
        <f aca="false">IF($C1049="","",IF(COUNTIF('مواد المخزون'!$A$2:$A$86,$C1049)&gt;0,"نعم","لا (خارج الجرد)"))</f>
        <v/>
      </c>
    </row>
    <row r="1050" customFormat="false" ht="15" hidden="false" customHeight="false" outlineLevel="0" collapsed="false">
      <c r="A1050" s="102"/>
      <c r="B1050" s="104"/>
      <c r="C1050" s="104"/>
      <c r="F1050" s="103" t="str">
        <f aca="false">IF(OR($C1050="",$D1050=0),"",$E1050/$D1050)</f>
        <v/>
      </c>
      <c r="H1050" s="0" t="str">
        <f aca="false">IF($C1050="","",IF(COUNTIF('مواد المخزون'!$A$2:$A$86,$C1050)&gt;0,"نعم","لا (خارج الجرد)"))</f>
        <v/>
      </c>
    </row>
    <row r="1051" customFormat="false" ht="15" hidden="false" customHeight="false" outlineLevel="0" collapsed="false">
      <c r="A1051" s="102"/>
      <c r="B1051" s="104"/>
      <c r="C1051" s="104"/>
      <c r="F1051" s="103" t="str">
        <f aca="false">IF(OR($C1051="",$D1051=0),"",$E1051/$D1051)</f>
        <v/>
      </c>
      <c r="H1051" s="0" t="str">
        <f aca="false">IF($C1051="","",IF(COUNTIF('مواد المخزون'!$A$2:$A$86,$C1051)&gt;0,"نعم","لا (خارج الجرد)"))</f>
        <v/>
      </c>
    </row>
    <row r="1052" customFormat="false" ht="15" hidden="false" customHeight="false" outlineLevel="0" collapsed="false">
      <c r="A1052" s="102"/>
      <c r="B1052" s="104"/>
      <c r="C1052" s="104"/>
      <c r="F1052" s="103" t="str">
        <f aca="false">IF(OR($C1052="",$D1052=0),"",$E1052/$D1052)</f>
        <v/>
      </c>
      <c r="H1052" s="0" t="str">
        <f aca="false">IF($C1052="","",IF(COUNTIF('مواد المخزون'!$A$2:$A$86,$C1052)&gt;0,"نعم","لا (خارج الجرد)"))</f>
        <v/>
      </c>
    </row>
    <row r="1053" customFormat="false" ht="15" hidden="false" customHeight="false" outlineLevel="0" collapsed="false">
      <c r="A1053" s="102"/>
      <c r="B1053" s="104"/>
      <c r="C1053" s="104"/>
      <c r="F1053" s="103" t="str">
        <f aca="false">IF(OR($C1053="",$D1053=0),"",$E1053/$D1053)</f>
        <v/>
      </c>
      <c r="H1053" s="0" t="str">
        <f aca="false">IF($C1053="","",IF(COUNTIF('مواد المخزون'!$A$2:$A$86,$C1053)&gt;0,"نعم","لا (خارج الجرد)"))</f>
        <v/>
      </c>
    </row>
    <row r="1054" customFormat="false" ht="15" hidden="false" customHeight="false" outlineLevel="0" collapsed="false">
      <c r="A1054" s="102"/>
      <c r="B1054" s="104"/>
      <c r="C1054" s="104"/>
      <c r="F1054" s="103" t="str">
        <f aca="false">IF(OR($C1054="",$D1054=0),"",$E1054/$D1054)</f>
        <v/>
      </c>
      <c r="H1054" s="0" t="str">
        <f aca="false">IF($C1054="","",IF(COUNTIF('مواد المخزون'!$A$2:$A$86,$C1054)&gt;0,"نعم","لا (خارج الجرد)"))</f>
        <v/>
      </c>
    </row>
    <row r="1055" customFormat="false" ht="15" hidden="false" customHeight="false" outlineLevel="0" collapsed="false">
      <c r="A1055" s="102"/>
      <c r="B1055" s="104"/>
      <c r="C1055" s="104"/>
      <c r="F1055" s="103" t="str">
        <f aca="false">IF(OR($C1055="",$D1055=0),"",$E1055/$D1055)</f>
        <v/>
      </c>
      <c r="H1055" s="0" t="str">
        <f aca="false">IF($C1055="","",IF(COUNTIF('مواد المخزون'!$A$2:$A$86,$C1055)&gt;0,"نعم","لا (خارج الجرد)"))</f>
        <v/>
      </c>
    </row>
    <row r="1056" customFormat="false" ht="15" hidden="false" customHeight="false" outlineLevel="0" collapsed="false">
      <c r="A1056" s="102"/>
      <c r="B1056" s="104"/>
      <c r="C1056" s="104"/>
      <c r="F1056" s="103" t="str">
        <f aca="false">IF(OR($C1056="",$D1056=0),"",$E1056/$D1056)</f>
        <v/>
      </c>
      <c r="H1056" s="0" t="str">
        <f aca="false">IF($C1056="","",IF(COUNTIF('مواد المخزون'!$A$2:$A$86,$C1056)&gt;0,"نعم","لا (خارج الجرد)"))</f>
        <v/>
      </c>
    </row>
    <row r="1057" customFormat="false" ht="15" hidden="false" customHeight="false" outlineLevel="0" collapsed="false">
      <c r="A1057" s="102"/>
      <c r="B1057" s="104"/>
      <c r="C1057" s="104"/>
      <c r="F1057" s="103" t="str">
        <f aca="false">IF(OR($C1057="",$D1057=0),"",$E1057/$D1057)</f>
        <v/>
      </c>
      <c r="H1057" s="0" t="str">
        <f aca="false">IF($C1057="","",IF(COUNTIF('مواد المخزون'!$A$2:$A$86,$C1057)&gt;0,"نعم","لا (خارج الجرد)"))</f>
        <v/>
      </c>
    </row>
    <row r="1058" customFormat="false" ht="15" hidden="false" customHeight="false" outlineLevel="0" collapsed="false">
      <c r="A1058" s="102"/>
      <c r="B1058" s="104"/>
      <c r="C1058" s="104"/>
      <c r="F1058" s="103" t="str">
        <f aca="false">IF(OR($C1058="",$D1058=0),"",$E1058/$D1058)</f>
        <v/>
      </c>
      <c r="H1058" s="0" t="str">
        <f aca="false">IF($C1058="","",IF(COUNTIF('مواد المخزون'!$A$2:$A$86,$C1058)&gt;0,"نعم","لا (خارج الجرد)"))</f>
        <v/>
      </c>
    </row>
    <row r="1059" customFormat="false" ht="15" hidden="false" customHeight="false" outlineLevel="0" collapsed="false">
      <c r="A1059" s="102"/>
      <c r="B1059" s="104"/>
      <c r="C1059" s="104"/>
      <c r="F1059" s="103" t="str">
        <f aca="false">IF(OR($C1059="",$D1059=0),"",$E1059/$D1059)</f>
        <v/>
      </c>
      <c r="H1059" s="0" t="str">
        <f aca="false">IF($C1059="","",IF(COUNTIF('مواد المخزون'!$A$2:$A$86,$C1059)&gt;0,"نعم","لا (خارج الجرد)"))</f>
        <v/>
      </c>
    </row>
    <row r="1060" customFormat="false" ht="15" hidden="false" customHeight="false" outlineLevel="0" collapsed="false">
      <c r="A1060" s="102"/>
      <c r="B1060" s="104"/>
      <c r="C1060" s="104"/>
      <c r="F1060" s="103" t="str">
        <f aca="false">IF(OR($C1060="",$D1060=0),"",$E1060/$D1060)</f>
        <v/>
      </c>
      <c r="H1060" s="0" t="str">
        <f aca="false">IF($C1060="","",IF(COUNTIF('مواد المخزون'!$A$2:$A$86,$C1060)&gt;0,"نعم","لا (خارج الجرد)"))</f>
        <v/>
      </c>
    </row>
    <row r="1061" customFormat="false" ht="15" hidden="false" customHeight="false" outlineLevel="0" collapsed="false">
      <c r="A1061" s="102"/>
      <c r="B1061" s="104"/>
      <c r="C1061" s="104"/>
      <c r="F1061" s="103" t="str">
        <f aca="false">IF(OR($C1061="",$D1061=0),"",$E1061/$D1061)</f>
        <v/>
      </c>
      <c r="H1061" s="0" t="str">
        <f aca="false">IF($C1061="","",IF(COUNTIF('مواد المخزون'!$A$2:$A$86,$C1061)&gt;0,"نعم","لا (خارج الجرد)"))</f>
        <v/>
      </c>
    </row>
    <row r="1062" customFormat="false" ht="15" hidden="false" customHeight="false" outlineLevel="0" collapsed="false">
      <c r="A1062" s="102"/>
      <c r="B1062" s="104"/>
      <c r="C1062" s="104"/>
      <c r="F1062" s="103" t="str">
        <f aca="false">IF(OR($C1062="",$D1062=0),"",$E1062/$D1062)</f>
        <v/>
      </c>
      <c r="H1062" s="0" t="str">
        <f aca="false">IF($C1062="","",IF(COUNTIF('مواد المخزون'!$A$2:$A$86,$C1062)&gt;0,"نعم","لا (خارج الجرد)"))</f>
        <v/>
      </c>
    </row>
    <row r="1063" customFormat="false" ht="15" hidden="false" customHeight="false" outlineLevel="0" collapsed="false">
      <c r="A1063" s="102"/>
      <c r="B1063" s="104"/>
      <c r="C1063" s="104"/>
      <c r="F1063" s="103" t="str">
        <f aca="false">IF(OR($C1063="",$D1063=0),"",$E1063/$D1063)</f>
        <v/>
      </c>
      <c r="H1063" s="0" t="str">
        <f aca="false">IF($C1063="","",IF(COUNTIF('مواد المخزون'!$A$2:$A$86,$C1063)&gt;0,"نعم","لا (خارج الجرد)"))</f>
        <v/>
      </c>
    </row>
    <row r="1064" customFormat="false" ht="15" hidden="false" customHeight="false" outlineLevel="0" collapsed="false">
      <c r="A1064" s="102"/>
      <c r="B1064" s="104"/>
      <c r="C1064" s="104"/>
      <c r="F1064" s="103" t="str">
        <f aca="false">IF(OR($C1064="",$D1064=0),"",$E1064/$D1064)</f>
        <v/>
      </c>
      <c r="H1064" s="0" t="str">
        <f aca="false">IF($C1064="","",IF(COUNTIF('مواد المخزون'!$A$2:$A$86,$C1064)&gt;0,"نعم","لا (خارج الجرد)"))</f>
        <v/>
      </c>
    </row>
    <row r="1065" customFormat="false" ht="15" hidden="false" customHeight="false" outlineLevel="0" collapsed="false">
      <c r="A1065" s="102"/>
      <c r="B1065" s="104"/>
      <c r="C1065" s="104"/>
      <c r="F1065" s="103" t="str">
        <f aca="false">IF(OR($C1065="",$D1065=0),"",$E1065/$D1065)</f>
        <v/>
      </c>
      <c r="H1065" s="0" t="str">
        <f aca="false">IF($C1065="","",IF(COUNTIF('مواد المخزون'!$A$2:$A$86,$C1065)&gt;0,"نعم","لا (خارج الجرد)"))</f>
        <v/>
      </c>
    </row>
    <row r="1066" customFormat="false" ht="15" hidden="false" customHeight="false" outlineLevel="0" collapsed="false">
      <c r="A1066" s="102"/>
      <c r="B1066" s="104"/>
      <c r="C1066" s="104"/>
      <c r="F1066" s="103" t="str">
        <f aca="false">IF(OR($C1066="",$D1066=0),"",$E1066/$D1066)</f>
        <v/>
      </c>
      <c r="H1066" s="0" t="str">
        <f aca="false">IF($C1066="","",IF(COUNTIF('مواد المخزون'!$A$2:$A$86,$C1066)&gt;0,"نعم","لا (خارج الجرد)"))</f>
        <v/>
      </c>
    </row>
    <row r="1067" customFormat="false" ht="15" hidden="false" customHeight="false" outlineLevel="0" collapsed="false">
      <c r="A1067" s="102"/>
      <c r="B1067" s="104"/>
      <c r="C1067" s="104"/>
      <c r="F1067" s="103" t="str">
        <f aca="false">IF(OR($C1067="",$D1067=0),"",$E1067/$D1067)</f>
        <v/>
      </c>
      <c r="H1067" s="0" t="str">
        <f aca="false">IF($C1067="","",IF(COUNTIF('مواد المخزون'!$A$2:$A$86,$C1067)&gt;0,"نعم","لا (خارج الجرد)"))</f>
        <v/>
      </c>
    </row>
    <row r="1068" customFormat="false" ht="15" hidden="false" customHeight="false" outlineLevel="0" collapsed="false">
      <c r="A1068" s="102"/>
      <c r="B1068" s="104"/>
      <c r="C1068" s="104"/>
      <c r="F1068" s="103" t="str">
        <f aca="false">IF(OR($C1068="",$D1068=0),"",$E1068/$D1068)</f>
        <v/>
      </c>
      <c r="H1068" s="0" t="str">
        <f aca="false">IF($C1068="","",IF(COUNTIF('مواد المخزون'!$A$2:$A$86,$C1068)&gt;0,"نعم","لا (خارج الجرد)"))</f>
        <v/>
      </c>
    </row>
    <row r="1069" customFormat="false" ht="15" hidden="false" customHeight="false" outlineLevel="0" collapsed="false">
      <c r="A1069" s="102"/>
      <c r="B1069" s="104"/>
      <c r="C1069" s="104"/>
      <c r="F1069" s="103" t="str">
        <f aca="false">IF(OR($C1069="",$D1069=0),"",$E1069/$D1069)</f>
        <v/>
      </c>
      <c r="H1069" s="0" t="str">
        <f aca="false">IF($C1069="","",IF(COUNTIF('مواد المخزون'!$A$2:$A$86,$C1069)&gt;0,"نعم","لا (خارج الجرد)"))</f>
        <v/>
      </c>
    </row>
    <row r="1070" customFormat="false" ht="15" hidden="false" customHeight="false" outlineLevel="0" collapsed="false">
      <c r="A1070" s="102"/>
      <c r="B1070" s="104"/>
      <c r="C1070" s="104"/>
      <c r="F1070" s="103" t="str">
        <f aca="false">IF(OR($C1070="",$D1070=0),"",$E1070/$D1070)</f>
        <v/>
      </c>
      <c r="H1070" s="0" t="str">
        <f aca="false">IF($C1070="","",IF(COUNTIF('مواد المخزون'!$A$2:$A$86,$C1070)&gt;0,"نعم","لا (خارج الجرد)"))</f>
        <v/>
      </c>
    </row>
    <row r="1071" customFormat="false" ht="15" hidden="false" customHeight="false" outlineLevel="0" collapsed="false">
      <c r="A1071" s="102"/>
      <c r="B1071" s="104"/>
      <c r="C1071" s="104"/>
      <c r="F1071" s="103" t="str">
        <f aca="false">IF(OR($C1071="",$D1071=0),"",$E1071/$D1071)</f>
        <v/>
      </c>
      <c r="H1071" s="0" t="str">
        <f aca="false">IF($C1071="","",IF(COUNTIF('مواد المخزون'!$A$2:$A$86,$C1071)&gt;0,"نعم","لا (خارج الجرد)"))</f>
        <v/>
      </c>
    </row>
    <row r="1072" customFormat="false" ht="15" hidden="false" customHeight="false" outlineLevel="0" collapsed="false">
      <c r="A1072" s="102"/>
      <c r="B1072" s="104"/>
      <c r="C1072" s="104"/>
      <c r="F1072" s="103" t="str">
        <f aca="false">IF(OR($C1072="",$D1072=0),"",$E1072/$D1072)</f>
        <v/>
      </c>
      <c r="H1072" s="0" t="str">
        <f aca="false">IF($C1072="","",IF(COUNTIF('مواد المخزون'!$A$2:$A$86,$C1072)&gt;0,"نعم","لا (خارج الجرد)"))</f>
        <v/>
      </c>
    </row>
    <row r="1073" customFormat="false" ht="15" hidden="false" customHeight="false" outlineLevel="0" collapsed="false">
      <c r="A1073" s="102"/>
      <c r="B1073" s="104"/>
      <c r="C1073" s="104"/>
      <c r="F1073" s="103" t="str">
        <f aca="false">IF(OR($C1073="",$D1073=0),"",$E1073/$D1073)</f>
        <v/>
      </c>
      <c r="H1073" s="0" t="str">
        <f aca="false">IF($C1073="","",IF(COUNTIF('مواد المخزون'!$A$2:$A$86,$C1073)&gt;0,"نعم","لا (خارج الجرد)"))</f>
        <v/>
      </c>
    </row>
    <row r="1074" customFormat="false" ht="15" hidden="false" customHeight="false" outlineLevel="0" collapsed="false">
      <c r="A1074" s="102"/>
      <c r="B1074" s="104"/>
      <c r="C1074" s="104"/>
      <c r="F1074" s="103" t="str">
        <f aca="false">IF(OR($C1074="",$D1074=0),"",$E1074/$D1074)</f>
        <v/>
      </c>
      <c r="H1074" s="0" t="str">
        <f aca="false">IF($C1074="","",IF(COUNTIF('مواد المخزون'!$A$2:$A$86,$C1074)&gt;0,"نعم","لا (خارج الجرد)"))</f>
        <v/>
      </c>
    </row>
    <row r="1075" customFormat="false" ht="15" hidden="false" customHeight="false" outlineLevel="0" collapsed="false">
      <c r="A1075" s="102"/>
      <c r="B1075" s="104"/>
      <c r="C1075" s="104"/>
      <c r="F1075" s="103" t="str">
        <f aca="false">IF(OR($C1075="",$D1075=0),"",$E1075/$D1075)</f>
        <v/>
      </c>
      <c r="H1075" s="0" t="str">
        <f aca="false">IF($C1075="","",IF(COUNTIF('مواد المخزون'!$A$2:$A$86,$C1075)&gt;0,"نعم","لا (خارج الجرد)"))</f>
        <v/>
      </c>
    </row>
    <row r="1076" customFormat="false" ht="15" hidden="false" customHeight="false" outlineLevel="0" collapsed="false">
      <c r="A1076" s="102"/>
      <c r="B1076" s="104"/>
      <c r="C1076" s="104"/>
      <c r="F1076" s="103" t="str">
        <f aca="false">IF(OR($C1076="",$D1076=0),"",$E1076/$D1076)</f>
        <v/>
      </c>
      <c r="H1076" s="0" t="str">
        <f aca="false">IF($C1076="","",IF(COUNTIF('مواد المخزون'!$A$2:$A$86,$C1076)&gt;0,"نعم","لا (خارج الجرد)"))</f>
        <v/>
      </c>
    </row>
    <row r="1077" customFormat="false" ht="15" hidden="false" customHeight="false" outlineLevel="0" collapsed="false">
      <c r="A1077" s="102"/>
      <c r="B1077" s="104"/>
      <c r="C1077" s="104"/>
      <c r="F1077" s="103" t="str">
        <f aca="false">IF(OR($C1077="",$D1077=0),"",$E1077/$D1077)</f>
        <v/>
      </c>
      <c r="H1077" s="0" t="str">
        <f aca="false">IF($C1077="","",IF(COUNTIF('مواد المخزون'!$A$2:$A$86,$C1077)&gt;0,"نعم","لا (خارج الجرد)"))</f>
        <v/>
      </c>
    </row>
    <row r="1078" customFormat="false" ht="15" hidden="false" customHeight="false" outlineLevel="0" collapsed="false">
      <c r="A1078" s="102"/>
      <c r="B1078" s="104"/>
      <c r="C1078" s="104"/>
      <c r="F1078" s="103" t="str">
        <f aca="false">IF(OR($C1078="",$D1078=0),"",$E1078/$D1078)</f>
        <v/>
      </c>
      <c r="H1078" s="0" t="str">
        <f aca="false">IF($C1078="","",IF(COUNTIF('مواد المخزون'!$A$2:$A$86,$C1078)&gt;0,"نعم","لا (خارج الجرد)"))</f>
        <v/>
      </c>
    </row>
    <row r="1079" customFormat="false" ht="15" hidden="false" customHeight="false" outlineLevel="0" collapsed="false">
      <c r="A1079" s="102"/>
      <c r="B1079" s="104"/>
      <c r="C1079" s="104"/>
      <c r="F1079" s="103" t="str">
        <f aca="false">IF(OR($C1079="",$D1079=0),"",$E1079/$D1079)</f>
        <v/>
      </c>
      <c r="H1079" s="0" t="str">
        <f aca="false">IF($C1079="","",IF(COUNTIF('مواد المخزون'!$A$2:$A$86,$C1079)&gt;0,"نعم","لا (خارج الجرد)"))</f>
        <v/>
      </c>
    </row>
    <row r="1080" customFormat="false" ht="15" hidden="false" customHeight="false" outlineLevel="0" collapsed="false">
      <c r="A1080" s="102"/>
      <c r="B1080" s="104"/>
      <c r="C1080" s="104"/>
      <c r="F1080" s="103" t="str">
        <f aca="false">IF(OR($C1080="",$D1080=0),"",$E1080/$D1080)</f>
        <v/>
      </c>
      <c r="H1080" s="0" t="str">
        <f aca="false">IF($C1080="","",IF(COUNTIF('مواد المخزون'!$A$2:$A$86,$C1080)&gt;0,"نعم","لا (خارج الجرد)"))</f>
        <v/>
      </c>
    </row>
    <row r="1081" customFormat="false" ht="15" hidden="false" customHeight="false" outlineLevel="0" collapsed="false">
      <c r="A1081" s="102"/>
      <c r="B1081" s="104"/>
      <c r="C1081" s="104"/>
      <c r="F1081" s="103" t="str">
        <f aca="false">IF(OR($C1081="",$D1081=0),"",$E1081/$D1081)</f>
        <v/>
      </c>
      <c r="H1081" s="0" t="str">
        <f aca="false">IF($C1081="","",IF(COUNTIF('مواد المخزون'!$A$2:$A$86,$C1081)&gt;0,"نعم","لا (خارج الجرد)"))</f>
        <v/>
      </c>
    </row>
    <row r="1082" customFormat="false" ht="15" hidden="false" customHeight="false" outlineLevel="0" collapsed="false">
      <c r="A1082" s="102"/>
      <c r="B1082" s="104"/>
      <c r="C1082" s="104"/>
      <c r="F1082" s="103" t="str">
        <f aca="false">IF(OR($C1082="",$D1082=0),"",$E1082/$D1082)</f>
        <v/>
      </c>
      <c r="H1082" s="0" t="str">
        <f aca="false">IF($C1082="","",IF(COUNTIF('مواد المخزون'!$A$2:$A$86,$C1082)&gt;0,"نعم","لا (خارج الجرد)"))</f>
        <v/>
      </c>
    </row>
    <row r="1083" customFormat="false" ht="15" hidden="false" customHeight="false" outlineLevel="0" collapsed="false">
      <c r="A1083" s="102"/>
      <c r="B1083" s="104"/>
      <c r="C1083" s="104"/>
      <c r="F1083" s="103" t="str">
        <f aca="false">IF(OR($C1083="",$D1083=0),"",$E1083/$D1083)</f>
        <v/>
      </c>
      <c r="H1083" s="0" t="str">
        <f aca="false">IF($C1083="","",IF(COUNTIF('مواد المخزون'!$A$2:$A$86,$C1083)&gt;0,"نعم","لا (خارج الجرد)"))</f>
        <v/>
      </c>
    </row>
    <row r="1084" customFormat="false" ht="15" hidden="false" customHeight="false" outlineLevel="0" collapsed="false">
      <c r="A1084" s="102"/>
      <c r="B1084" s="104"/>
      <c r="C1084" s="104"/>
      <c r="F1084" s="103" t="str">
        <f aca="false">IF(OR($C1084="",$D1084=0),"",$E1084/$D1084)</f>
        <v/>
      </c>
      <c r="H1084" s="0" t="str">
        <f aca="false">IF($C1084="","",IF(COUNTIF('مواد المخزون'!$A$2:$A$86,$C1084)&gt;0,"نعم","لا (خارج الجرد)"))</f>
        <v/>
      </c>
    </row>
    <row r="1085" customFormat="false" ht="15" hidden="false" customHeight="false" outlineLevel="0" collapsed="false">
      <c r="A1085" s="102"/>
      <c r="B1085" s="104"/>
      <c r="C1085" s="104"/>
      <c r="F1085" s="103" t="str">
        <f aca="false">IF(OR($C1085="",$D1085=0),"",$E1085/$D1085)</f>
        <v/>
      </c>
      <c r="H1085" s="0" t="str">
        <f aca="false">IF($C1085="","",IF(COUNTIF('مواد المخزون'!$A$2:$A$86,$C1085)&gt;0,"نعم","لا (خارج الجرد)"))</f>
        <v/>
      </c>
    </row>
    <row r="1086" customFormat="false" ht="15" hidden="false" customHeight="false" outlineLevel="0" collapsed="false">
      <c r="A1086" s="102"/>
      <c r="B1086" s="104"/>
      <c r="C1086" s="104"/>
      <c r="F1086" s="103" t="str">
        <f aca="false">IF(OR($C1086="",$D1086=0),"",$E1086/$D1086)</f>
        <v/>
      </c>
      <c r="H1086" s="0" t="str">
        <f aca="false">IF($C1086="","",IF(COUNTIF('مواد المخزون'!$A$2:$A$86,$C1086)&gt;0,"نعم","لا (خارج الجرد)"))</f>
        <v/>
      </c>
    </row>
    <row r="1087" customFormat="false" ht="15" hidden="false" customHeight="false" outlineLevel="0" collapsed="false">
      <c r="A1087" s="102"/>
      <c r="B1087" s="104"/>
      <c r="C1087" s="104"/>
      <c r="F1087" s="103" t="str">
        <f aca="false">IF(OR($C1087="",$D1087=0),"",$E1087/$D1087)</f>
        <v/>
      </c>
      <c r="H1087" s="0" t="str">
        <f aca="false">IF($C1087="","",IF(COUNTIF('مواد المخزون'!$A$2:$A$86,$C1087)&gt;0,"نعم","لا (خارج الجرد)"))</f>
        <v/>
      </c>
    </row>
    <row r="1088" customFormat="false" ht="15" hidden="false" customHeight="false" outlineLevel="0" collapsed="false">
      <c r="A1088" s="102"/>
      <c r="B1088" s="104"/>
      <c r="C1088" s="104"/>
      <c r="F1088" s="103" t="str">
        <f aca="false">IF(OR($C1088="",$D1088=0),"",$E1088/$D1088)</f>
        <v/>
      </c>
      <c r="H1088" s="0" t="str">
        <f aca="false">IF($C1088="","",IF(COUNTIF('مواد المخزون'!$A$2:$A$86,$C1088)&gt;0,"نعم","لا (خارج الجرد)"))</f>
        <v/>
      </c>
    </row>
    <row r="1089" customFormat="false" ht="15" hidden="false" customHeight="false" outlineLevel="0" collapsed="false">
      <c r="A1089" s="102"/>
      <c r="B1089" s="104"/>
      <c r="C1089" s="104"/>
      <c r="F1089" s="103" t="str">
        <f aca="false">IF(OR($C1089="",$D1089=0),"",$E1089/$D1089)</f>
        <v/>
      </c>
      <c r="H1089" s="0" t="str">
        <f aca="false">IF($C1089="","",IF(COUNTIF('مواد المخزون'!$A$2:$A$86,$C1089)&gt;0,"نعم","لا (خارج الجرد)"))</f>
        <v/>
      </c>
    </row>
    <row r="1090" customFormat="false" ht="15" hidden="false" customHeight="false" outlineLevel="0" collapsed="false">
      <c r="A1090" s="102"/>
      <c r="B1090" s="104"/>
      <c r="C1090" s="104"/>
      <c r="F1090" s="103" t="str">
        <f aca="false">IF(OR($C1090="",$D1090=0),"",$E1090/$D1090)</f>
        <v/>
      </c>
      <c r="H1090" s="0" t="str">
        <f aca="false">IF($C1090="","",IF(COUNTIF('مواد المخزون'!$A$2:$A$86,$C1090)&gt;0,"نعم","لا (خارج الجرد)"))</f>
        <v/>
      </c>
    </row>
    <row r="1091" customFormat="false" ht="15" hidden="false" customHeight="false" outlineLevel="0" collapsed="false">
      <c r="A1091" s="102"/>
      <c r="B1091" s="104"/>
      <c r="C1091" s="104"/>
      <c r="F1091" s="103" t="str">
        <f aca="false">IF(OR($C1091="",$D1091=0),"",$E1091/$D1091)</f>
        <v/>
      </c>
      <c r="H1091" s="0" t="str">
        <f aca="false">IF($C1091="","",IF(COUNTIF('مواد المخزون'!$A$2:$A$86,$C1091)&gt;0,"نعم","لا (خارج الجرد)"))</f>
        <v/>
      </c>
    </row>
    <row r="1092" customFormat="false" ht="15" hidden="false" customHeight="false" outlineLevel="0" collapsed="false">
      <c r="A1092" s="102"/>
      <c r="B1092" s="104"/>
      <c r="C1092" s="104"/>
      <c r="F1092" s="103" t="str">
        <f aca="false">IF(OR($C1092="",$D1092=0),"",$E1092/$D1092)</f>
        <v/>
      </c>
      <c r="H1092" s="0" t="str">
        <f aca="false">IF($C1092="","",IF(COUNTIF('مواد المخزون'!$A$2:$A$86,$C1092)&gt;0,"نعم","لا (خارج الجرد)"))</f>
        <v/>
      </c>
    </row>
    <row r="1093" customFormat="false" ht="15" hidden="false" customHeight="false" outlineLevel="0" collapsed="false">
      <c r="A1093" s="102"/>
      <c r="B1093" s="104"/>
      <c r="C1093" s="104"/>
      <c r="F1093" s="103" t="str">
        <f aca="false">IF(OR($C1093="",$D1093=0),"",$E1093/$D1093)</f>
        <v/>
      </c>
      <c r="H1093" s="0" t="str">
        <f aca="false">IF($C1093="","",IF(COUNTIF('مواد المخزون'!$A$2:$A$86,$C1093)&gt;0,"نعم","لا (خارج الجرد)"))</f>
        <v/>
      </c>
    </row>
    <row r="1094" customFormat="false" ht="15" hidden="false" customHeight="false" outlineLevel="0" collapsed="false">
      <c r="A1094" s="102"/>
      <c r="B1094" s="104"/>
      <c r="C1094" s="104"/>
      <c r="F1094" s="103" t="str">
        <f aca="false">IF(OR($C1094="",$D1094=0),"",$E1094/$D1094)</f>
        <v/>
      </c>
      <c r="H1094" s="0" t="str">
        <f aca="false">IF($C1094="","",IF(COUNTIF('مواد المخزون'!$A$2:$A$86,$C1094)&gt;0,"نعم","لا (خارج الجرد)"))</f>
        <v/>
      </c>
    </row>
    <row r="1095" customFormat="false" ht="15" hidden="false" customHeight="false" outlineLevel="0" collapsed="false">
      <c r="A1095" s="102"/>
      <c r="B1095" s="104"/>
      <c r="C1095" s="104"/>
      <c r="F1095" s="103" t="str">
        <f aca="false">IF(OR($C1095="",$D1095=0),"",$E1095/$D1095)</f>
        <v/>
      </c>
      <c r="H1095" s="0" t="str">
        <f aca="false">IF($C1095="","",IF(COUNTIF('مواد المخزون'!$A$2:$A$86,$C1095)&gt;0,"نعم","لا (خارج الجرد)"))</f>
        <v/>
      </c>
    </row>
    <row r="1096" customFormat="false" ht="15" hidden="false" customHeight="false" outlineLevel="0" collapsed="false">
      <c r="A1096" s="102"/>
      <c r="B1096" s="104"/>
      <c r="C1096" s="104"/>
      <c r="F1096" s="103" t="str">
        <f aca="false">IF(OR($C1096="",$D1096=0),"",$E1096/$D1096)</f>
        <v/>
      </c>
      <c r="H1096" s="0" t="str">
        <f aca="false">IF($C1096="","",IF(COUNTIF('مواد المخزون'!$A$2:$A$86,$C1096)&gt;0,"نعم","لا (خارج الجرد)"))</f>
        <v/>
      </c>
    </row>
    <row r="1097" customFormat="false" ht="15" hidden="false" customHeight="false" outlineLevel="0" collapsed="false">
      <c r="A1097" s="102"/>
      <c r="B1097" s="104"/>
      <c r="C1097" s="104"/>
      <c r="F1097" s="103" t="str">
        <f aca="false">IF(OR($C1097="",$D1097=0),"",$E1097/$D1097)</f>
        <v/>
      </c>
      <c r="H1097" s="0" t="str">
        <f aca="false">IF($C1097="","",IF(COUNTIF('مواد المخزون'!$A$2:$A$86,$C1097)&gt;0,"نعم","لا (خارج الجرد)"))</f>
        <v/>
      </c>
    </row>
    <row r="1098" customFormat="false" ht="15" hidden="false" customHeight="false" outlineLevel="0" collapsed="false">
      <c r="A1098" s="102"/>
      <c r="B1098" s="104"/>
      <c r="C1098" s="104"/>
      <c r="F1098" s="103" t="str">
        <f aca="false">IF(OR($C1098="",$D1098=0),"",$E1098/$D1098)</f>
        <v/>
      </c>
      <c r="H1098" s="0" t="str">
        <f aca="false">IF($C1098="","",IF(COUNTIF('مواد المخزون'!$A$2:$A$86,$C1098)&gt;0,"نعم","لا (خارج الجرد)"))</f>
        <v/>
      </c>
    </row>
    <row r="1099" customFormat="false" ht="15" hidden="false" customHeight="false" outlineLevel="0" collapsed="false">
      <c r="A1099" s="102"/>
      <c r="B1099" s="104"/>
      <c r="C1099" s="104"/>
      <c r="F1099" s="103" t="str">
        <f aca="false">IF(OR($C1099="",$D1099=0),"",$E1099/$D1099)</f>
        <v/>
      </c>
      <c r="H1099" s="0" t="str">
        <f aca="false">IF($C1099="","",IF(COUNTIF('مواد المخزون'!$A$2:$A$86,$C1099)&gt;0,"نعم","لا (خارج الجرد)"))</f>
        <v/>
      </c>
    </row>
    <row r="1100" customFormat="false" ht="15" hidden="false" customHeight="false" outlineLevel="0" collapsed="false">
      <c r="A1100" s="102"/>
      <c r="B1100" s="104"/>
      <c r="C1100" s="104"/>
      <c r="F1100" s="103" t="str">
        <f aca="false">IF(OR($C1100="",$D1100=0),"",$E1100/$D1100)</f>
        <v/>
      </c>
      <c r="H1100" s="0" t="str">
        <f aca="false">IF($C1100="","",IF(COUNTIF('مواد المخزون'!$A$2:$A$86,$C1100)&gt;0,"نعم","لا (خارج الجرد)"))</f>
        <v/>
      </c>
    </row>
    <row r="1101" customFormat="false" ht="15" hidden="false" customHeight="false" outlineLevel="0" collapsed="false">
      <c r="A1101" s="102"/>
      <c r="B1101" s="104"/>
      <c r="C1101" s="104"/>
      <c r="F1101" s="103" t="str">
        <f aca="false">IF(OR($C1101="",$D1101=0),"",$E1101/$D1101)</f>
        <v/>
      </c>
      <c r="H1101" s="0" t="str">
        <f aca="false">IF($C1101="","",IF(COUNTIF('مواد المخزون'!$A$2:$A$86,$C1101)&gt;0,"نعم","لا (خارج الجرد)"))</f>
        <v/>
      </c>
    </row>
    <row r="1102" customFormat="false" ht="15" hidden="false" customHeight="false" outlineLevel="0" collapsed="false">
      <c r="A1102" s="102"/>
      <c r="B1102" s="104"/>
      <c r="C1102" s="104"/>
      <c r="F1102" s="103" t="str">
        <f aca="false">IF(OR($C1102="",$D1102=0),"",$E1102/$D1102)</f>
        <v/>
      </c>
      <c r="H1102" s="0" t="str">
        <f aca="false">IF($C1102="","",IF(COUNTIF('مواد المخزون'!$A$2:$A$86,$C1102)&gt;0,"نعم","لا (خارج الجرد)"))</f>
        <v/>
      </c>
    </row>
    <row r="1103" customFormat="false" ht="15" hidden="false" customHeight="false" outlineLevel="0" collapsed="false">
      <c r="A1103" s="102"/>
      <c r="B1103" s="104"/>
      <c r="C1103" s="104"/>
      <c r="F1103" s="103" t="str">
        <f aca="false">IF(OR($C1103="",$D1103=0),"",$E1103/$D1103)</f>
        <v/>
      </c>
      <c r="H1103" s="0" t="str">
        <f aca="false">IF($C1103="","",IF(COUNTIF('مواد المخزون'!$A$2:$A$86,$C1103)&gt;0,"نعم","لا (خارج الجرد)"))</f>
        <v/>
      </c>
    </row>
    <row r="1104" customFormat="false" ht="15" hidden="false" customHeight="false" outlineLevel="0" collapsed="false">
      <c r="A1104" s="102"/>
      <c r="B1104" s="104"/>
      <c r="C1104" s="104"/>
      <c r="F1104" s="103" t="str">
        <f aca="false">IF(OR($C1104="",$D1104=0),"",$E1104/$D1104)</f>
        <v/>
      </c>
      <c r="H1104" s="0" t="str">
        <f aca="false">IF($C1104="","",IF(COUNTIF('مواد المخزون'!$A$2:$A$86,$C1104)&gt;0,"نعم","لا (خارج الجرد)"))</f>
        <v/>
      </c>
    </row>
    <row r="1105" customFormat="false" ht="15" hidden="false" customHeight="false" outlineLevel="0" collapsed="false">
      <c r="A1105" s="102"/>
      <c r="B1105" s="104"/>
      <c r="C1105" s="104"/>
      <c r="F1105" s="103" t="str">
        <f aca="false">IF(OR($C1105="",$D1105=0),"",$E1105/$D1105)</f>
        <v/>
      </c>
      <c r="H1105" s="0" t="str">
        <f aca="false">IF($C1105="","",IF(COUNTIF('مواد المخزون'!$A$2:$A$86,$C1105)&gt;0,"نعم","لا (خارج الجرد)"))</f>
        <v/>
      </c>
    </row>
    <row r="1106" customFormat="false" ht="15" hidden="false" customHeight="false" outlineLevel="0" collapsed="false">
      <c r="A1106" s="102"/>
      <c r="B1106" s="104"/>
      <c r="C1106" s="104"/>
      <c r="F1106" s="103" t="str">
        <f aca="false">IF(OR($C1106="",$D1106=0),"",$E1106/$D1106)</f>
        <v/>
      </c>
      <c r="H1106" s="0" t="str">
        <f aca="false">IF($C1106="","",IF(COUNTIF('مواد المخزون'!$A$2:$A$86,$C1106)&gt;0,"نعم","لا (خارج الجرد)"))</f>
        <v/>
      </c>
    </row>
    <row r="1107" customFormat="false" ht="15" hidden="false" customHeight="false" outlineLevel="0" collapsed="false">
      <c r="A1107" s="102"/>
      <c r="B1107" s="104"/>
      <c r="C1107" s="104"/>
      <c r="F1107" s="103" t="str">
        <f aca="false">IF(OR($C1107="",$D1107=0),"",$E1107/$D1107)</f>
        <v/>
      </c>
      <c r="H1107" s="0" t="str">
        <f aca="false">IF($C1107="","",IF(COUNTIF('مواد المخزون'!$A$2:$A$86,$C1107)&gt;0,"نعم","لا (خارج الجرد)"))</f>
        <v/>
      </c>
    </row>
    <row r="1108" customFormat="false" ht="15" hidden="false" customHeight="false" outlineLevel="0" collapsed="false">
      <c r="A1108" s="102"/>
      <c r="B1108" s="104"/>
      <c r="C1108" s="104"/>
      <c r="F1108" s="103" t="str">
        <f aca="false">IF(OR($C1108="",$D1108=0),"",$E1108/$D1108)</f>
        <v/>
      </c>
      <c r="H1108" s="0" t="str">
        <f aca="false">IF($C1108="","",IF(COUNTIF('مواد المخزون'!$A$2:$A$86,$C1108)&gt;0,"نعم","لا (خارج الجرد)"))</f>
        <v/>
      </c>
    </row>
    <row r="1109" customFormat="false" ht="15" hidden="false" customHeight="false" outlineLevel="0" collapsed="false">
      <c r="A1109" s="102"/>
      <c r="B1109" s="104"/>
      <c r="C1109" s="104"/>
      <c r="F1109" s="103" t="str">
        <f aca="false">IF(OR($C1109="",$D1109=0),"",$E1109/$D1109)</f>
        <v/>
      </c>
      <c r="H1109" s="0" t="str">
        <f aca="false">IF($C1109="","",IF(COUNTIF('مواد المخزون'!$A$2:$A$86,$C1109)&gt;0,"نعم","لا (خارج الجرد)"))</f>
        <v/>
      </c>
    </row>
    <row r="1110" customFormat="false" ht="15" hidden="false" customHeight="false" outlineLevel="0" collapsed="false">
      <c r="A1110" s="102"/>
      <c r="B1110" s="104"/>
      <c r="C1110" s="104"/>
      <c r="F1110" s="103" t="str">
        <f aca="false">IF(OR($C1110="",$D1110=0),"",$E1110/$D1110)</f>
        <v/>
      </c>
      <c r="H1110" s="0" t="str">
        <f aca="false">IF($C1110="","",IF(COUNTIF('مواد المخزون'!$A$2:$A$86,$C1110)&gt;0,"نعم","لا (خارج الجرد)"))</f>
        <v/>
      </c>
    </row>
    <row r="1111" customFormat="false" ht="15" hidden="false" customHeight="false" outlineLevel="0" collapsed="false">
      <c r="A1111" s="102"/>
      <c r="B1111" s="104"/>
      <c r="C1111" s="104"/>
      <c r="F1111" s="103" t="str">
        <f aca="false">IF(OR($C1111="",$D1111=0),"",$E1111/$D1111)</f>
        <v/>
      </c>
      <c r="H1111" s="0" t="str">
        <f aca="false">IF($C1111="","",IF(COUNTIF('مواد المخزون'!$A$2:$A$86,$C1111)&gt;0,"نعم","لا (خارج الجرد)"))</f>
        <v/>
      </c>
    </row>
    <row r="1112" customFormat="false" ht="15" hidden="false" customHeight="false" outlineLevel="0" collapsed="false">
      <c r="A1112" s="102"/>
      <c r="B1112" s="104"/>
      <c r="C1112" s="104"/>
      <c r="F1112" s="103" t="str">
        <f aca="false">IF(OR($C1112="",$D1112=0),"",$E1112/$D1112)</f>
        <v/>
      </c>
      <c r="H1112" s="0" t="str">
        <f aca="false">IF($C1112="","",IF(COUNTIF('مواد المخزون'!$A$2:$A$86,$C1112)&gt;0,"نعم","لا (خارج الجرد)"))</f>
        <v/>
      </c>
    </row>
    <row r="1113" customFormat="false" ht="15" hidden="false" customHeight="false" outlineLevel="0" collapsed="false">
      <c r="A1113" s="102"/>
      <c r="B1113" s="104"/>
      <c r="C1113" s="104"/>
      <c r="F1113" s="103" t="str">
        <f aca="false">IF(OR($C1113="",$D1113=0),"",$E1113/$D1113)</f>
        <v/>
      </c>
      <c r="H1113" s="0" t="str">
        <f aca="false">IF($C1113="","",IF(COUNTIF('مواد المخزون'!$A$2:$A$86,$C1113)&gt;0,"نعم","لا (خارج الجرد)"))</f>
        <v/>
      </c>
    </row>
    <row r="1114" customFormat="false" ht="15" hidden="false" customHeight="false" outlineLevel="0" collapsed="false">
      <c r="A1114" s="102"/>
      <c r="B1114" s="104"/>
      <c r="C1114" s="104"/>
      <c r="F1114" s="103" t="str">
        <f aca="false">IF(OR($C1114="",$D1114=0),"",$E1114/$D1114)</f>
        <v/>
      </c>
      <c r="H1114" s="0" t="str">
        <f aca="false">IF($C1114="","",IF(COUNTIF('مواد المخزون'!$A$2:$A$86,$C1114)&gt;0,"نعم","لا (خارج الجرد)"))</f>
        <v/>
      </c>
    </row>
    <row r="1115" customFormat="false" ht="15" hidden="false" customHeight="false" outlineLevel="0" collapsed="false">
      <c r="A1115" s="102"/>
      <c r="B1115" s="104"/>
      <c r="C1115" s="104"/>
      <c r="F1115" s="103" t="str">
        <f aca="false">IF(OR($C1115="",$D1115=0),"",$E1115/$D1115)</f>
        <v/>
      </c>
      <c r="H1115" s="0" t="str">
        <f aca="false">IF($C1115="","",IF(COUNTIF('مواد المخزون'!$A$2:$A$86,$C1115)&gt;0,"نعم","لا (خارج الجرد)"))</f>
        <v/>
      </c>
    </row>
    <row r="1116" customFormat="false" ht="15" hidden="false" customHeight="false" outlineLevel="0" collapsed="false">
      <c r="A1116" s="102"/>
      <c r="B1116" s="104"/>
      <c r="C1116" s="104"/>
      <c r="F1116" s="103" t="str">
        <f aca="false">IF(OR($C1116="",$D1116=0),"",$E1116/$D1116)</f>
        <v/>
      </c>
      <c r="H1116" s="0" t="str">
        <f aca="false">IF($C1116="","",IF(COUNTIF('مواد المخزون'!$A$2:$A$86,$C1116)&gt;0,"نعم","لا (خارج الجرد)"))</f>
        <v/>
      </c>
    </row>
    <row r="1117" customFormat="false" ht="15" hidden="false" customHeight="false" outlineLevel="0" collapsed="false">
      <c r="A1117" s="102"/>
      <c r="B1117" s="104"/>
      <c r="C1117" s="104"/>
      <c r="F1117" s="103" t="str">
        <f aca="false">IF(OR($C1117="",$D1117=0),"",$E1117/$D1117)</f>
        <v/>
      </c>
      <c r="H1117" s="0" t="str">
        <f aca="false">IF($C1117="","",IF(COUNTIF('مواد المخزون'!$A$2:$A$86,$C1117)&gt;0,"نعم","لا (خارج الجرد)"))</f>
        <v/>
      </c>
    </row>
    <row r="1118" customFormat="false" ht="15" hidden="false" customHeight="false" outlineLevel="0" collapsed="false">
      <c r="A1118" s="102"/>
      <c r="B1118" s="104"/>
      <c r="C1118" s="104"/>
      <c r="F1118" s="103" t="str">
        <f aca="false">IF(OR($C1118="",$D1118=0),"",$E1118/$D1118)</f>
        <v/>
      </c>
      <c r="H1118" s="0" t="str">
        <f aca="false">IF($C1118="","",IF(COUNTIF('مواد المخزون'!$A$2:$A$86,$C1118)&gt;0,"نعم","لا (خارج الجرد)"))</f>
        <v/>
      </c>
    </row>
    <row r="1119" customFormat="false" ht="15" hidden="false" customHeight="false" outlineLevel="0" collapsed="false">
      <c r="A1119" s="102"/>
      <c r="B1119" s="104"/>
      <c r="C1119" s="104"/>
      <c r="F1119" s="103" t="str">
        <f aca="false">IF(OR($C1119="",$D1119=0),"",$E1119/$D1119)</f>
        <v/>
      </c>
      <c r="H1119" s="0" t="str">
        <f aca="false">IF($C1119="","",IF(COUNTIF('مواد المخزون'!$A$2:$A$86,$C1119)&gt;0,"نعم","لا (خارج الجرد)"))</f>
        <v/>
      </c>
    </row>
    <row r="1120" customFormat="false" ht="15" hidden="false" customHeight="false" outlineLevel="0" collapsed="false">
      <c r="A1120" s="102"/>
      <c r="B1120" s="104"/>
      <c r="C1120" s="104"/>
      <c r="F1120" s="103" t="str">
        <f aca="false">IF(OR($C1120="",$D1120=0),"",$E1120/$D1120)</f>
        <v/>
      </c>
      <c r="H1120" s="0" t="str">
        <f aca="false">IF($C1120="","",IF(COUNTIF('مواد المخزون'!$A$2:$A$86,$C1120)&gt;0,"نعم","لا (خارج الجرد)"))</f>
        <v/>
      </c>
    </row>
    <row r="1121" customFormat="false" ht="15" hidden="false" customHeight="false" outlineLevel="0" collapsed="false">
      <c r="A1121" s="102"/>
      <c r="B1121" s="104"/>
      <c r="C1121" s="104"/>
      <c r="F1121" s="103" t="str">
        <f aca="false">IF(OR($C1121="",$D1121=0),"",$E1121/$D1121)</f>
        <v/>
      </c>
      <c r="H1121" s="0" t="str">
        <f aca="false">IF($C1121="","",IF(COUNTIF('مواد المخزون'!$A$2:$A$86,$C1121)&gt;0,"نعم","لا (خارج الجرد)"))</f>
        <v/>
      </c>
    </row>
    <row r="1122" customFormat="false" ht="15" hidden="false" customHeight="false" outlineLevel="0" collapsed="false">
      <c r="A1122" s="102"/>
      <c r="B1122" s="104"/>
      <c r="C1122" s="104"/>
      <c r="F1122" s="103" t="str">
        <f aca="false">IF(OR($C1122="",$D1122=0),"",$E1122/$D1122)</f>
        <v/>
      </c>
      <c r="H1122" s="0" t="str">
        <f aca="false">IF($C1122="","",IF(COUNTIF('مواد المخزون'!$A$2:$A$86,$C1122)&gt;0,"نعم","لا (خارج الجرد)"))</f>
        <v/>
      </c>
    </row>
    <row r="1123" customFormat="false" ht="15" hidden="false" customHeight="false" outlineLevel="0" collapsed="false">
      <c r="A1123" s="102"/>
      <c r="B1123" s="104"/>
      <c r="C1123" s="104"/>
      <c r="F1123" s="103" t="str">
        <f aca="false">IF(OR($C1123="",$D1123=0),"",$E1123/$D1123)</f>
        <v/>
      </c>
      <c r="H1123" s="0" t="str">
        <f aca="false">IF($C1123="","",IF(COUNTIF('مواد المخزون'!$A$2:$A$86,$C1123)&gt;0,"نعم","لا (خارج الجرد)"))</f>
        <v/>
      </c>
    </row>
    <row r="1124" customFormat="false" ht="15" hidden="false" customHeight="false" outlineLevel="0" collapsed="false">
      <c r="A1124" s="102"/>
      <c r="B1124" s="104"/>
      <c r="C1124" s="104"/>
      <c r="F1124" s="103" t="str">
        <f aca="false">IF(OR($C1124="",$D1124=0),"",$E1124/$D1124)</f>
        <v/>
      </c>
      <c r="H1124" s="0" t="str">
        <f aca="false">IF($C1124="","",IF(COUNTIF('مواد المخزون'!$A$2:$A$86,$C1124)&gt;0,"نعم","لا (خارج الجرد)"))</f>
        <v/>
      </c>
    </row>
    <row r="1125" customFormat="false" ht="15" hidden="false" customHeight="false" outlineLevel="0" collapsed="false">
      <c r="A1125" s="102"/>
      <c r="B1125" s="104"/>
      <c r="C1125" s="104"/>
      <c r="F1125" s="103" t="str">
        <f aca="false">IF(OR($C1125="",$D1125=0),"",$E1125/$D1125)</f>
        <v/>
      </c>
      <c r="H1125" s="0" t="str">
        <f aca="false">IF($C1125="","",IF(COUNTIF('مواد المخزون'!$A$2:$A$86,$C1125)&gt;0,"نعم","لا (خارج الجرد)"))</f>
        <v/>
      </c>
    </row>
    <row r="1126" customFormat="false" ht="15" hidden="false" customHeight="false" outlineLevel="0" collapsed="false">
      <c r="A1126" s="102"/>
      <c r="B1126" s="104"/>
      <c r="C1126" s="104"/>
      <c r="F1126" s="103" t="str">
        <f aca="false">IF(OR($C1126="",$D1126=0),"",$E1126/$D1126)</f>
        <v/>
      </c>
      <c r="H1126" s="0" t="str">
        <f aca="false">IF($C1126="","",IF(COUNTIF('مواد المخزون'!$A$2:$A$86,$C1126)&gt;0,"نعم","لا (خارج الجرد)"))</f>
        <v/>
      </c>
    </row>
    <row r="1127" customFormat="false" ht="15" hidden="false" customHeight="false" outlineLevel="0" collapsed="false">
      <c r="A1127" s="102"/>
      <c r="B1127" s="104"/>
      <c r="C1127" s="104"/>
      <c r="F1127" s="103" t="str">
        <f aca="false">IF(OR($C1127="",$D1127=0),"",$E1127/$D1127)</f>
        <v/>
      </c>
      <c r="H1127" s="0" t="str">
        <f aca="false">IF($C1127="","",IF(COUNTIF('مواد المخزون'!$A$2:$A$86,$C1127)&gt;0,"نعم","لا (خارج الجرد)"))</f>
        <v/>
      </c>
    </row>
    <row r="1128" customFormat="false" ht="15" hidden="false" customHeight="false" outlineLevel="0" collapsed="false">
      <c r="A1128" s="102"/>
      <c r="B1128" s="104"/>
      <c r="C1128" s="104"/>
      <c r="F1128" s="103" t="str">
        <f aca="false">IF(OR($C1128="",$D1128=0),"",$E1128/$D1128)</f>
        <v/>
      </c>
      <c r="H1128" s="0" t="str">
        <f aca="false">IF($C1128="","",IF(COUNTIF('مواد المخزون'!$A$2:$A$86,$C1128)&gt;0,"نعم","لا (خارج الجرد)"))</f>
        <v/>
      </c>
    </row>
    <row r="1129" customFormat="false" ht="15" hidden="false" customHeight="false" outlineLevel="0" collapsed="false">
      <c r="A1129" s="102"/>
      <c r="B1129" s="104"/>
      <c r="C1129" s="104"/>
      <c r="F1129" s="103" t="str">
        <f aca="false">IF(OR($C1129="",$D1129=0),"",$E1129/$D1129)</f>
        <v/>
      </c>
      <c r="H1129" s="0" t="str">
        <f aca="false">IF($C1129="","",IF(COUNTIF('مواد المخزون'!$A$2:$A$86,$C1129)&gt;0,"نعم","لا (خارج الجرد)"))</f>
        <v/>
      </c>
    </row>
    <row r="1130" customFormat="false" ht="15" hidden="false" customHeight="false" outlineLevel="0" collapsed="false">
      <c r="A1130" s="102"/>
      <c r="B1130" s="104"/>
      <c r="C1130" s="104"/>
      <c r="F1130" s="103" t="str">
        <f aca="false">IF(OR($C1130="",$D1130=0),"",$E1130/$D1130)</f>
        <v/>
      </c>
      <c r="H1130" s="0" t="str">
        <f aca="false">IF($C1130="","",IF(COUNTIF('مواد المخزون'!$A$2:$A$86,$C1130)&gt;0,"نعم","لا (خارج الجرد)"))</f>
        <v/>
      </c>
    </row>
    <row r="1131" customFormat="false" ht="15" hidden="false" customHeight="false" outlineLevel="0" collapsed="false">
      <c r="A1131" s="102"/>
      <c r="B1131" s="104"/>
      <c r="C1131" s="104"/>
      <c r="F1131" s="103" t="str">
        <f aca="false">IF(OR($C1131="",$D1131=0),"",$E1131/$D1131)</f>
        <v/>
      </c>
      <c r="H1131" s="0" t="str">
        <f aca="false">IF($C1131="","",IF(COUNTIF('مواد المخزون'!$A$2:$A$86,$C1131)&gt;0,"نعم","لا (خارج الجرد)"))</f>
        <v/>
      </c>
    </row>
    <row r="1132" customFormat="false" ht="15" hidden="false" customHeight="false" outlineLevel="0" collapsed="false">
      <c r="A1132" s="102"/>
      <c r="B1132" s="104"/>
      <c r="C1132" s="104"/>
      <c r="F1132" s="103" t="str">
        <f aca="false">IF(OR($C1132="",$D1132=0),"",$E1132/$D1132)</f>
        <v/>
      </c>
      <c r="H1132" s="0" t="str">
        <f aca="false">IF($C1132="","",IF(COUNTIF('مواد المخزون'!$A$2:$A$86,$C1132)&gt;0,"نعم","لا (خارج الجرد)"))</f>
        <v/>
      </c>
    </row>
    <row r="1133" customFormat="false" ht="15" hidden="false" customHeight="false" outlineLevel="0" collapsed="false">
      <c r="A1133" s="102"/>
      <c r="B1133" s="104"/>
      <c r="C1133" s="104"/>
      <c r="F1133" s="103" t="str">
        <f aca="false">IF(OR($C1133="",$D1133=0),"",$E1133/$D1133)</f>
        <v/>
      </c>
      <c r="H1133" s="0" t="str">
        <f aca="false">IF($C1133="","",IF(COUNTIF('مواد المخزون'!$A$2:$A$86,$C1133)&gt;0,"نعم","لا (خارج الجرد)"))</f>
        <v/>
      </c>
    </row>
    <row r="1134" customFormat="false" ht="15" hidden="false" customHeight="false" outlineLevel="0" collapsed="false">
      <c r="A1134" s="102"/>
      <c r="B1134" s="104"/>
      <c r="C1134" s="104"/>
      <c r="F1134" s="103" t="str">
        <f aca="false">IF(OR($C1134="",$D1134=0),"",$E1134/$D1134)</f>
        <v/>
      </c>
      <c r="H1134" s="0" t="str">
        <f aca="false">IF($C1134="","",IF(COUNTIF('مواد المخزون'!$A$2:$A$86,$C1134)&gt;0,"نعم","لا (خارج الجرد)"))</f>
        <v/>
      </c>
    </row>
    <row r="1135" customFormat="false" ht="15" hidden="false" customHeight="false" outlineLevel="0" collapsed="false">
      <c r="A1135" s="102"/>
      <c r="B1135" s="104"/>
      <c r="C1135" s="104"/>
      <c r="F1135" s="103" t="str">
        <f aca="false">IF(OR($C1135="",$D1135=0),"",$E1135/$D1135)</f>
        <v/>
      </c>
      <c r="H1135" s="0" t="str">
        <f aca="false">IF($C1135="","",IF(COUNTIF('مواد المخزون'!$A$2:$A$86,$C1135)&gt;0,"نعم","لا (خارج الجرد)"))</f>
        <v/>
      </c>
    </row>
    <row r="1136" customFormat="false" ht="15" hidden="false" customHeight="false" outlineLevel="0" collapsed="false">
      <c r="A1136" s="102"/>
      <c r="B1136" s="104"/>
      <c r="C1136" s="104"/>
      <c r="F1136" s="103" t="str">
        <f aca="false">IF(OR($C1136="",$D1136=0),"",$E1136/$D1136)</f>
        <v/>
      </c>
      <c r="H1136" s="0" t="str">
        <f aca="false">IF($C1136="","",IF(COUNTIF('مواد المخزون'!$A$2:$A$86,$C1136)&gt;0,"نعم","لا (خارج الجرد)"))</f>
        <v/>
      </c>
    </row>
    <row r="1137" customFormat="false" ht="15" hidden="false" customHeight="false" outlineLevel="0" collapsed="false">
      <c r="A1137" s="102"/>
      <c r="B1137" s="104"/>
      <c r="C1137" s="104"/>
      <c r="F1137" s="103" t="str">
        <f aca="false">IF(OR($C1137="",$D1137=0),"",$E1137/$D1137)</f>
        <v/>
      </c>
      <c r="H1137" s="0" t="str">
        <f aca="false">IF($C1137="","",IF(COUNTIF('مواد المخزون'!$A$2:$A$86,$C1137)&gt;0,"نعم","لا (خارج الجرد)"))</f>
        <v/>
      </c>
    </row>
    <row r="1138" customFormat="false" ht="15" hidden="false" customHeight="false" outlineLevel="0" collapsed="false">
      <c r="A1138" s="102"/>
      <c r="B1138" s="104"/>
      <c r="C1138" s="104"/>
      <c r="F1138" s="103" t="str">
        <f aca="false">IF(OR($C1138="",$D1138=0),"",$E1138/$D1138)</f>
        <v/>
      </c>
      <c r="H1138" s="0" t="str">
        <f aca="false">IF($C1138="","",IF(COUNTIF('مواد المخزون'!$A$2:$A$86,$C1138)&gt;0,"نعم","لا (خارج الجرد)"))</f>
        <v/>
      </c>
    </row>
    <row r="1139" customFormat="false" ht="15" hidden="false" customHeight="false" outlineLevel="0" collapsed="false">
      <c r="A1139" s="102"/>
      <c r="B1139" s="104"/>
      <c r="C1139" s="104"/>
      <c r="F1139" s="103" t="str">
        <f aca="false">IF(OR($C1139="",$D1139=0),"",$E1139/$D1139)</f>
        <v/>
      </c>
      <c r="H1139" s="0" t="str">
        <f aca="false">IF($C1139="","",IF(COUNTIF('مواد المخزون'!$A$2:$A$86,$C1139)&gt;0,"نعم","لا (خارج الجرد)"))</f>
        <v/>
      </c>
    </row>
    <row r="1140" customFormat="false" ht="15" hidden="false" customHeight="false" outlineLevel="0" collapsed="false">
      <c r="A1140" s="102"/>
      <c r="B1140" s="104"/>
      <c r="C1140" s="104"/>
      <c r="F1140" s="103" t="str">
        <f aca="false">IF(OR($C1140="",$D1140=0),"",$E1140/$D1140)</f>
        <v/>
      </c>
      <c r="H1140" s="0" t="str">
        <f aca="false">IF($C1140="","",IF(COUNTIF('مواد المخزون'!$A$2:$A$86,$C1140)&gt;0,"نعم","لا (خارج الجرد)"))</f>
        <v/>
      </c>
    </row>
    <row r="1141" customFormat="false" ht="15" hidden="false" customHeight="false" outlineLevel="0" collapsed="false">
      <c r="A1141" s="102"/>
      <c r="B1141" s="104"/>
      <c r="C1141" s="104"/>
      <c r="F1141" s="103" t="str">
        <f aca="false">IF(OR($C1141="",$D1141=0),"",$E1141/$D1141)</f>
        <v/>
      </c>
      <c r="H1141" s="0" t="str">
        <f aca="false">IF($C1141="","",IF(COUNTIF('مواد المخزون'!$A$2:$A$86,$C1141)&gt;0,"نعم","لا (خارج الجرد)"))</f>
        <v/>
      </c>
    </row>
    <row r="1142" customFormat="false" ht="15" hidden="false" customHeight="false" outlineLevel="0" collapsed="false">
      <c r="A1142" s="102"/>
      <c r="B1142" s="104"/>
      <c r="C1142" s="104"/>
      <c r="F1142" s="103" t="str">
        <f aca="false">IF(OR($C1142="",$D1142=0),"",$E1142/$D1142)</f>
        <v/>
      </c>
      <c r="H1142" s="0" t="str">
        <f aca="false">IF($C1142="","",IF(COUNTIF('مواد المخزون'!$A$2:$A$86,$C1142)&gt;0,"نعم","لا (خارج الجرد)"))</f>
        <v/>
      </c>
    </row>
    <row r="1143" customFormat="false" ht="15" hidden="false" customHeight="false" outlineLevel="0" collapsed="false">
      <c r="A1143" s="102"/>
      <c r="B1143" s="104"/>
      <c r="C1143" s="104"/>
      <c r="F1143" s="103" t="str">
        <f aca="false">IF(OR($C1143="",$D1143=0),"",$E1143/$D1143)</f>
        <v/>
      </c>
      <c r="H1143" s="0" t="str">
        <f aca="false">IF($C1143="","",IF(COUNTIF('مواد المخزون'!$A$2:$A$86,$C1143)&gt;0,"نعم","لا (خارج الجرد)"))</f>
        <v/>
      </c>
    </row>
    <row r="1144" customFormat="false" ht="15" hidden="false" customHeight="false" outlineLevel="0" collapsed="false">
      <c r="A1144" s="102"/>
      <c r="B1144" s="104"/>
      <c r="C1144" s="104"/>
      <c r="F1144" s="103" t="str">
        <f aca="false">IF(OR($C1144="",$D1144=0),"",$E1144/$D1144)</f>
        <v/>
      </c>
      <c r="H1144" s="0" t="str">
        <f aca="false">IF($C1144="","",IF(COUNTIF('مواد المخزون'!$A$2:$A$86,$C1144)&gt;0,"نعم","لا (خارج الجرد)"))</f>
        <v/>
      </c>
    </row>
    <row r="1145" customFormat="false" ht="15" hidden="false" customHeight="false" outlineLevel="0" collapsed="false">
      <c r="A1145" s="102"/>
      <c r="B1145" s="104"/>
      <c r="C1145" s="104"/>
      <c r="F1145" s="103" t="str">
        <f aca="false">IF(OR($C1145="",$D1145=0),"",$E1145/$D1145)</f>
        <v/>
      </c>
      <c r="H1145" s="0" t="str">
        <f aca="false">IF($C1145="","",IF(COUNTIF('مواد المخزون'!$A$2:$A$86,$C1145)&gt;0,"نعم","لا (خارج الجرد)"))</f>
        <v/>
      </c>
    </row>
    <row r="1146" customFormat="false" ht="15" hidden="false" customHeight="false" outlineLevel="0" collapsed="false">
      <c r="A1146" s="102"/>
      <c r="B1146" s="104"/>
      <c r="C1146" s="104"/>
      <c r="F1146" s="103" t="str">
        <f aca="false">IF(OR($C1146="",$D1146=0),"",$E1146/$D1146)</f>
        <v/>
      </c>
      <c r="H1146" s="0" t="str">
        <f aca="false">IF($C1146="","",IF(COUNTIF('مواد المخزون'!$A$2:$A$86,$C1146)&gt;0,"نعم","لا (خارج الجرد)"))</f>
        <v/>
      </c>
    </row>
    <row r="1147" customFormat="false" ht="15" hidden="false" customHeight="false" outlineLevel="0" collapsed="false">
      <c r="A1147" s="102"/>
      <c r="B1147" s="104"/>
      <c r="C1147" s="104"/>
      <c r="F1147" s="103" t="str">
        <f aca="false">IF(OR($C1147="",$D1147=0),"",$E1147/$D1147)</f>
        <v/>
      </c>
      <c r="H1147" s="0" t="str">
        <f aca="false">IF($C1147="","",IF(COUNTIF('مواد المخزون'!$A$2:$A$86,$C1147)&gt;0,"نعم","لا (خارج الجرد)"))</f>
        <v/>
      </c>
    </row>
    <row r="1148" customFormat="false" ht="15" hidden="false" customHeight="false" outlineLevel="0" collapsed="false">
      <c r="A1148" s="102"/>
      <c r="B1148" s="104"/>
      <c r="C1148" s="104"/>
      <c r="F1148" s="103" t="str">
        <f aca="false">IF(OR($C1148="",$D1148=0),"",$E1148/$D1148)</f>
        <v/>
      </c>
      <c r="H1148" s="0" t="str">
        <f aca="false">IF($C1148="","",IF(COUNTIF('مواد المخزون'!$A$2:$A$86,$C1148)&gt;0,"نعم","لا (خارج الجرد)"))</f>
        <v/>
      </c>
    </row>
    <row r="1149" customFormat="false" ht="15" hidden="false" customHeight="false" outlineLevel="0" collapsed="false">
      <c r="A1149" s="102"/>
      <c r="B1149" s="104"/>
      <c r="C1149" s="104"/>
      <c r="F1149" s="103" t="str">
        <f aca="false">IF(OR($C1149="",$D1149=0),"",$E1149/$D1149)</f>
        <v/>
      </c>
      <c r="H1149" s="0" t="str">
        <f aca="false">IF($C1149="","",IF(COUNTIF('مواد المخزون'!$A$2:$A$86,$C1149)&gt;0,"نعم","لا (خارج الجرد)"))</f>
        <v/>
      </c>
    </row>
    <row r="1150" customFormat="false" ht="15" hidden="false" customHeight="false" outlineLevel="0" collapsed="false">
      <c r="A1150" s="102"/>
      <c r="B1150" s="104"/>
      <c r="C1150" s="104"/>
      <c r="F1150" s="103" t="str">
        <f aca="false">IF(OR($C1150="",$D1150=0),"",$E1150/$D1150)</f>
        <v/>
      </c>
      <c r="H1150" s="0" t="str">
        <f aca="false">IF($C1150="","",IF(COUNTIF('مواد المخزون'!$A$2:$A$86,$C1150)&gt;0,"نعم","لا (خارج الجرد)"))</f>
        <v/>
      </c>
    </row>
    <row r="1151" customFormat="false" ht="15" hidden="false" customHeight="false" outlineLevel="0" collapsed="false">
      <c r="A1151" s="102"/>
      <c r="B1151" s="104"/>
      <c r="C1151" s="104"/>
      <c r="F1151" s="103" t="str">
        <f aca="false">IF(OR($C1151="",$D1151=0),"",$E1151/$D1151)</f>
        <v/>
      </c>
      <c r="H1151" s="0" t="str">
        <f aca="false">IF($C1151="","",IF(COUNTIF('مواد المخزون'!$A$2:$A$86,$C1151)&gt;0,"نعم","لا (خارج الجرد)"))</f>
        <v/>
      </c>
    </row>
    <row r="1152" customFormat="false" ht="15" hidden="false" customHeight="false" outlineLevel="0" collapsed="false">
      <c r="A1152" s="102"/>
      <c r="B1152" s="104"/>
      <c r="C1152" s="104"/>
      <c r="F1152" s="103" t="str">
        <f aca="false">IF(OR($C1152="",$D1152=0),"",$E1152/$D1152)</f>
        <v/>
      </c>
      <c r="H1152" s="0" t="str">
        <f aca="false">IF($C1152="","",IF(COUNTIF('مواد المخزون'!$A$2:$A$86,$C1152)&gt;0,"نعم","لا (خارج الجرد)"))</f>
        <v/>
      </c>
    </row>
    <row r="1153" customFormat="false" ht="15" hidden="false" customHeight="false" outlineLevel="0" collapsed="false">
      <c r="A1153" s="102"/>
      <c r="B1153" s="104"/>
      <c r="C1153" s="104"/>
      <c r="F1153" s="103" t="str">
        <f aca="false">IF(OR($C1153="",$D1153=0),"",$E1153/$D1153)</f>
        <v/>
      </c>
      <c r="H1153" s="0" t="str">
        <f aca="false">IF($C1153="","",IF(COUNTIF('مواد المخزون'!$A$2:$A$86,$C1153)&gt;0,"نعم","لا (خارج الجرد)"))</f>
        <v/>
      </c>
    </row>
    <row r="1154" customFormat="false" ht="15" hidden="false" customHeight="false" outlineLevel="0" collapsed="false">
      <c r="A1154" s="102"/>
      <c r="B1154" s="104"/>
      <c r="C1154" s="104"/>
      <c r="F1154" s="103" t="str">
        <f aca="false">IF(OR($C1154="",$D1154=0),"",$E1154/$D1154)</f>
        <v/>
      </c>
      <c r="H1154" s="0" t="str">
        <f aca="false">IF($C1154="","",IF(COUNTIF('مواد المخزون'!$A$2:$A$86,$C1154)&gt;0,"نعم","لا (خارج الجرد)"))</f>
        <v/>
      </c>
    </row>
    <row r="1155" customFormat="false" ht="15" hidden="false" customHeight="false" outlineLevel="0" collapsed="false">
      <c r="A1155" s="102"/>
      <c r="B1155" s="104"/>
      <c r="C1155" s="104"/>
      <c r="F1155" s="103" t="str">
        <f aca="false">IF(OR($C1155="",$D1155=0),"",$E1155/$D1155)</f>
        <v/>
      </c>
      <c r="H1155" s="0" t="str">
        <f aca="false">IF($C1155="","",IF(COUNTIF('مواد المخزون'!$A$2:$A$86,$C1155)&gt;0,"نعم","لا (خارج الجرد)"))</f>
        <v/>
      </c>
    </row>
    <row r="1156" customFormat="false" ht="15" hidden="false" customHeight="false" outlineLevel="0" collapsed="false">
      <c r="A1156" s="102"/>
      <c r="B1156" s="104"/>
      <c r="C1156" s="104"/>
      <c r="F1156" s="103" t="str">
        <f aca="false">IF(OR($C1156="",$D1156=0),"",$E1156/$D1156)</f>
        <v/>
      </c>
      <c r="H1156" s="0" t="str">
        <f aca="false">IF($C1156="","",IF(COUNTIF('مواد المخزون'!$A$2:$A$86,$C1156)&gt;0,"نعم","لا (خارج الجرد)"))</f>
        <v/>
      </c>
    </row>
    <row r="1157" customFormat="false" ht="15" hidden="false" customHeight="false" outlineLevel="0" collapsed="false">
      <c r="A1157" s="102"/>
      <c r="B1157" s="104"/>
      <c r="C1157" s="104"/>
      <c r="F1157" s="103" t="str">
        <f aca="false">IF(OR($C1157="",$D1157=0),"",$E1157/$D1157)</f>
        <v/>
      </c>
      <c r="H1157" s="0" t="str">
        <f aca="false">IF($C1157="","",IF(COUNTIF('مواد المخزون'!$A$2:$A$86,$C1157)&gt;0,"نعم","لا (خارج الجرد)"))</f>
        <v/>
      </c>
    </row>
    <row r="1158" customFormat="false" ht="15" hidden="false" customHeight="false" outlineLevel="0" collapsed="false">
      <c r="A1158" s="102"/>
      <c r="B1158" s="104"/>
      <c r="C1158" s="104"/>
      <c r="F1158" s="103" t="str">
        <f aca="false">IF(OR($C1158="",$D1158=0),"",$E1158/$D1158)</f>
        <v/>
      </c>
      <c r="H1158" s="0" t="str">
        <f aca="false">IF($C1158="","",IF(COUNTIF('مواد المخزون'!$A$2:$A$86,$C1158)&gt;0,"نعم","لا (خارج الجرد)"))</f>
        <v/>
      </c>
    </row>
    <row r="1159" customFormat="false" ht="15" hidden="false" customHeight="false" outlineLevel="0" collapsed="false">
      <c r="A1159" s="102"/>
      <c r="B1159" s="104"/>
      <c r="C1159" s="104"/>
      <c r="F1159" s="103" t="str">
        <f aca="false">IF(OR($C1159="",$D1159=0),"",$E1159/$D1159)</f>
        <v/>
      </c>
      <c r="H1159" s="0" t="str">
        <f aca="false">IF($C1159="","",IF(COUNTIF('مواد المخزون'!$A$2:$A$86,$C1159)&gt;0,"نعم","لا (خارج الجرد)"))</f>
        <v/>
      </c>
    </row>
    <row r="1160" customFormat="false" ht="15" hidden="false" customHeight="false" outlineLevel="0" collapsed="false">
      <c r="A1160" s="102"/>
      <c r="B1160" s="104"/>
      <c r="C1160" s="104"/>
      <c r="F1160" s="103" t="str">
        <f aca="false">IF(OR($C1160="",$D1160=0),"",$E1160/$D1160)</f>
        <v/>
      </c>
      <c r="H1160" s="0" t="str">
        <f aca="false">IF($C1160="","",IF(COUNTIF('مواد المخزون'!$A$2:$A$86,$C1160)&gt;0,"نعم","لا (خارج الجرد)"))</f>
        <v/>
      </c>
    </row>
    <row r="1161" customFormat="false" ht="15" hidden="false" customHeight="false" outlineLevel="0" collapsed="false">
      <c r="A1161" s="102"/>
      <c r="B1161" s="104"/>
      <c r="C1161" s="104"/>
      <c r="F1161" s="103" t="str">
        <f aca="false">IF(OR($C1161="",$D1161=0),"",$E1161/$D1161)</f>
        <v/>
      </c>
      <c r="H1161" s="0" t="str">
        <f aca="false">IF($C1161="","",IF(COUNTIF('مواد المخزون'!$A$2:$A$86,$C1161)&gt;0,"نعم","لا (خارج الجرد)"))</f>
        <v/>
      </c>
    </row>
    <row r="1162" customFormat="false" ht="15" hidden="false" customHeight="false" outlineLevel="0" collapsed="false">
      <c r="A1162" s="102"/>
      <c r="B1162" s="104"/>
      <c r="C1162" s="104"/>
      <c r="F1162" s="103" t="str">
        <f aca="false">IF(OR($C1162="",$D1162=0),"",$E1162/$D1162)</f>
        <v/>
      </c>
      <c r="H1162" s="0" t="str">
        <f aca="false">IF($C1162="","",IF(COUNTIF('مواد المخزون'!$A$2:$A$86,$C1162)&gt;0,"نعم","لا (خارج الجرد)"))</f>
        <v/>
      </c>
    </row>
    <row r="1163" customFormat="false" ht="15" hidden="false" customHeight="false" outlineLevel="0" collapsed="false">
      <c r="A1163" s="102"/>
      <c r="B1163" s="104"/>
      <c r="C1163" s="104"/>
      <c r="F1163" s="103" t="str">
        <f aca="false">IF(OR($C1163="",$D1163=0),"",$E1163/$D1163)</f>
        <v/>
      </c>
      <c r="H1163" s="0" t="str">
        <f aca="false">IF($C1163="","",IF(COUNTIF('مواد المخزون'!$A$2:$A$86,$C1163)&gt;0,"نعم","لا (خارج الجرد)"))</f>
        <v/>
      </c>
    </row>
    <row r="1164" customFormat="false" ht="15" hidden="false" customHeight="false" outlineLevel="0" collapsed="false">
      <c r="A1164" s="102"/>
      <c r="B1164" s="104"/>
      <c r="C1164" s="104"/>
      <c r="F1164" s="103" t="str">
        <f aca="false">IF(OR($C1164="",$D1164=0),"",$E1164/$D1164)</f>
        <v/>
      </c>
      <c r="H1164" s="0" t="str">
        <f aca="false">IF($C1164="","",IF(COUNTIF('مواد المخزون'!$A$2:$A$86,$C1164)&gt;0,"نعم","لا (خارج الجرد)"))</f>
        <v/>
      </c>
    </row>
    <row r="1165" customFormat="false" ht="15" hidden="false" customHeight="false" outlineLevel="0" collapsed="false">
      <c r="A1165" s="102"/>
      <c r="B1165" s="104"/>
      <c r="C1165" s="104"/>
      <c r="F1165" s="103" t="str">
        <f aca="false">IF(OR($C1165="",$D1165=0),"",$E1165/$D1165)</f>
        <v/>
      </c>
      <c r="H1165" s="0" t="str">
        <f aca="false">IF($C1165="","",IF(COUNTIF('مواد المخزون'!$A$2:$A$86,$C1165)&gt;0,"نعم","لا (خارج الجرد)"))</f>
        <v/>
      </c>
    </row>
    <row r="1166" customFormat="false" ht="15" hidden="false" customHeight="false" outlineLevel="0" collapsed="false">
      <c r="A1166" s="102"/>
      <c r="B1166" s="104"/>
      <c r="C1166" s="104"/>
      <c r="F1166" s="103" t="str">
        <f aca="false">IF(OR($C1166="",$D1166=0),"",$E1166/$D1166)</f>
        <v/>
      </c>
      <c r="H1166" s="0" t="str">
        <f aca="false">IF($C1166="","",IF(COUNTIF('مواد المخزون'!$A$2:$A$86,$C1166)&gt;0,"نعم","لا (خارج الجرد)"))</f>
        <v/>
      </c>
    </row>
    <row r="1167" customFormat="false" ht="15" hidden="false" customHeight="false" outlineLevel="0" collapsed="false">
      <c r="A1167" s="102"/>
      <c r="B1167" s="104"/>
      <c r="C1167" s="104"/>
      <c r="F1167" s="103" t="str">
        <f aca="false">IF(OR($C1167="",$D1167=0),"",$E1167/$D1167)</f>
        <v/>
      </c>
      <c r="H1167" s="0" t="str">
        <f aca="false">IF($C1167="","",IF(COUNTIF('مواد المخزون'!$A$2:$A$86,$C1167)&gt;0,"نعم","لا (خارج الجرد)"))</f>
        <v/>
      </c>
    </row>
    <row r="1168" customFormat="false" ht="15" hidden="false" customHeight="false" outlineLevel="0" collapsed="false">
      <c r="A1168" s="102"/>
      <c r="B1168" s="104"/>
      <c r="C1168" s="104"/>
      <c r="F1168" s="103" t="str">
        <f aca="false">IF(OR($C1168="",$D1168=0),"",$E1168/$D1168)</f>
        <v/>
      </c>
      <c r="H1168" s="0" t="str">
        <f aca="false">IF($C1168="","",IF(COUNTIF('مواد المخزون'!$A$2:$A$86,$C1168)&gt;0,"نعم","لا (خارج الجرد)"))</f>
        <v/>
      </c>
    </row>
    <row r="1169" customFormat="false" ht="15" hidden="false" customHeight="false" outlineLevel="0" collapsed="false">
      <c r="A1169" s="102"/>
      <c r="B1169" s="104"/>
      <c r="C1169" s="104"/>
      <c r="F1169" s="103" t="str">
        <f aca="false">IF(OR($C1169="",$D1169=0),"",$E1169/$D1169)</f>
        <v/>
      </c>
      <c r="H1169" s="0" t="str">
        <f aca="false">IF($C1169="","",IF(COUNTIF('مواد المخزون'!$A$2:$A$86,$C1169)&gt;0,"نعم","لا (خارج الجرد)"))</f>
        <v/>
      </c>
    </row>
    <row r="1170" customFormat="false" ht="15" hidden="false" customHeight="false" outlineLevel="0" collapsed="false">
      <c r="A1170" s="102"/>
      <c r="B1170" s="104"/>
      <c r="C1170" s="104"/>
      <c r="F1170" s="103" t="str">
        <f aca="false">IF(OR($C1170="",$D1170=0),"",$E1170/$D1170)</f>
        <v/>
      </c>
      <c r="H1170" s="0" t="str">
        <f aca="false">IF($C1170="","",IF(COUNTIF('مواد المخزون'!$A$2:$A$86,$C1170)&gt;0,"نعم","لا (خارج الجرد)"))</f>
        <v/>
      </c>
    </row>
    <row r="1171" customFormat="false" ht="15" hidden="false" customHeight="false" outlineLevel="0" collapsed="false">
      <c r="A1171" s="102"/>
      <c r="B1171" s="104"/>
      <c r="C1171" s="104"/>
      <c r="F1171" s="103" t="str">
        <f aca="false">IF(OR($C1171="",$D1171=0),"",$E1171/$D1171)</f>
        <v/>
      </c>
      <c r="H1171" s="0" t="str">
        <f aca="false">IF($C1171="","",IF(COUNTIF('مواد المخزون'!$A$2:$A$86,$C1171)&gt;0,"نعم","لا (خارج الجرد)"))</f>
        <v/>
      </c>
    </row>
    <row r="1172" customFormat="false" ht="15" hidden="false" customHeight="false" outlineLevel="0" collapsed="false">
      <c r="A1172" s="102"/>
      <c r="B1172" s="104"/>
      <c r="C1172" s="104"/>
      <c r="F1172" s="103" t="str">
        <f aca="false">IF(OR($C1172="",$D1172=0),"",$E1172/$D1172)</f>
        <v/>
      </c>
      <c r="H1172" s="0" t="str">
        <f aca="false">IF($C1172="","",IF(COUNTIF('مواد المخزون'!$A$2:$A$86,$C1172)&gt;0,"نعم","لا (خارج الجرد)"))</f>
        <v/>
      </c>
    </row>
    <row r="1173" customFormat="false" ht="15" hidden="false" customHeight="false" outlineLevel="0" collapsed="false">
      <c r="A1173" s="102"/>
      <c r="B1173" s="104"/>
      <c r="C1173" s="104"/>
      <c r="F1173" s="103" t="str">
        <f aca="false">IF(OR($C1173="",$D1173=0),"",$E1173/$D1173)</f>
        <v/>
      </c>
      <c r="H1173" s="0" t="str">
        <f aca="false">IF($C1173="","",IF(COUNTIF('مواد المخزون'!$A$2:$A$86,$C1173)&gt;0,"نعم","لا (خارج الجرد)"))</f>
        <v/>
      </c>
    </row>
    <row r="1174" customFormat="false" ht="15" hidden="false" customHeight="false" outlineLevel="0" collapsed="false">
      <c r="A1174" s="102"/>
      <c r="B1174" s="104"/>
      <c r="C1174" s="104"/>
      <c r="F1174" s="103" t="str">
        <f aca="false">IF(OR($C1174="",$D1174=0),"",$E1174/$D1174)</f>
        <v/>
      </c>
      <c r="H1174" s="0" t="str">
        <f aca="false">IF($C1174="","",IF(COUNTIF('مواد المخزون'!$A$2:$A$86,$C1174)&gt;0,"نعم","لا (خارج الجرد)"))</f>
        <v/>
      </c>
    </row>
    <row r="1175" customFormat="false" ht="15" hidden="false" customHeight="false" outlineLevel="0" collapsed="false">
      <c r="A1175" s="102"/>
      <c r="B1175" s="104"/>
      <c r="C1175" s="104"/>
      <c r="F1175" s="103" t="str">
        <f aca="false">IF(OR($C1175="",$D1175=0),"",$E1175/$D1175)</f>
        <v/>
      </c>
      <c r="H1175" s="0" t="str">
        <f aca="false">IF($C1175="","",IF(COUNTIF('مواد المخزون'!$A$2:$A$86,$C1175)&gt;0,"نعم","لا (خارج الجرد)"))</f>
        <v/>
      </c>
    </row>
    <row r="1176" customFormat="false" ht="15" hidden="false" customHeight="false" outlineLevel="0" collapsed="false">
      <c r="A1176" s="102"/>
      <c r="B1176" s="104"/>
      <c r="C1176" s="104"/>
      <c r="F1176" s="103" t="str">
        <f aca="false">IF(OR($C1176="",$D1176=0),"",$E1176/$D1176)</f>
        <v/>
      </c>
      <c r="H1176" s="0" t="str">
        <f aca="false">IF($C1176="","",IF(COUNTIF('مواد المخزون'!$A$2:$A$86,$C1176)&gt;0,"نعم","لا (خارج الجرد)"))</f>
        <v/>
      </c>
    </row>
    <row r="1177" customFormat="false" ht="15" hidden="false" customHeight="false" outlineLevel="0" collapsed="false">
      <c r="A1177" s="102"/>
      <c r="B1177" s="104"/>
      <c r="C1177" s="104"/>
      <c r="F1177" s="103" t="str">
        <f aca="false">IF(OR($C1177="",$D1177=0),"",$E1177/$D1177)</f>
        <v/>
      </c>
      <c r="H1177" s="0" t="str">
        <f aca="false">IF($C1177="","",IF(COUNTIF('مواد المخزون'!$A$2:$A$86,$C1177)&gt;0,"نعم","لا (خارج الجرد)"))</f>
        <v/>
      </c>
    </row>
    <row r="1178" customFormat="false" ht="15" hidden="false" customHeight="false" outlineLevel="0" collapsed="false">
      <c r="A1178" s="102"/>
      <c r="B1178" s="104"/>
      <c r="C1178" s="104"/>
      <c r="F1178" s="103" t="str">
        <f aca="false">IF(OR($C1178="",$D1178=0),"",$E1178/$D1178)</f>
        <v/>
      </c>
      <c r="H1178" s="0" t="str">
        <f aca="false">IF($C1178="","",IF(COUNTIF('مواد المخزون'!$A$2:$A$86,$C1178)&gt;0,"نعم","لا (خارج الجرد)"))</f>
        <v/>
      </c>
    </row>
    <row r="1179" customFormat="false" ht="15" hidden="false" customHeight="false" outlineLevel="0" collapsed="false">
      <c r="A1179" s="102"/>
      <c r="B1179" s="104"/>
      <c r="C1179" s="104"/>
      <c r="F1179" s="103" t="str">
        <f aca="false">IF(OR($C1179="",$D1179=0),"",$E1179/$D1179)</f>
        <v/>
      </c>
      <c r="H1179" s="0" t="str">
        <f aca="false">IF($C1179="","",IF(COUNTIF('مواد المخزون'!$A$2:$A$86,$C1179)&gt;0,"نعم","لا (خارج الجرد)"))</f>
        <v/>
      </c>
    </row>
    <row r="1180" customFormat="false" ht="15" hidden="false" customHeight="false" outlineLevel="0" collapsed="false">
      <c r="A1180" s="102"/>
      <c r="B1180" s="104"/>
      <c r="C1180" s="104"/>
      <c r="F1180" s="103" t="str">
        <f aca="false">IF(OR($C1180="",$D1180=0),"",$E1180/$D1180)</f>
        <v/>
      </c>
      <c r="H1180" s="0" t="str">
        <f aca="false">IF($C1180="","",IF(COUNTIF('مواد المخزون'!$A$2:$A$86,$C1180)&gt;0,"نعم","لا (خارج الجرد)"))</f>
        <v/>
      </c>
    </row>
    <row r="1181" customFormat="false" ht="15" hidden="false" customHeight="false" outlineLevel="0" collapsed="false">
      <c r="A1181" s="102"/>
      <c r="B1181" s="104"/>
      <c r="C1181" s="104"/>
      <c r="F1181" s="103" t="str">
        <f aca="false">IF(OR($C1181="",$D1181=0),"",$E1181/$D1181)</f>
        <v/>
      </c>
      <c r="H1181" s="0" t="str">
        <f aca="false">IF($C1181="","",IF(COUNTIF('مواد المخزون'!$A$2:$A$86,$C1181)&gt;0,"نعم","لا (خارج الجرد)"))</f>
        <v/>
      </c>
    </row>
    <row r="1182" customFormat="false" ht="15" hidden="false" customHeight="false" outlineLevel="0" collapsed="false">
      <c r="A1182" s="102"/>
      <c r="B1182" s="104"/>
      <c r="C1182" s="104"/>
      <c r="F1182" s="103" t="str">
        <f aca="false">IF(OR($C1182="",$D1182=0),"",$E1182/$D1182)</f>
        <v/>
      </c>
      <c r="H1182" s="0" t="str">
        <f aca="false">IF($C1182="","",IF(COUNTIF('مواد المخزون'!$A$2:$A$86,$C1182)&gt;0,"نعم","لا (خارج الجرد)"))</f>
        <v/>
      </c>
    </row>
    <row r="1183" customFormat="false" ht="15" hidden="false" customHeight="false" outlineLevel="0" collapsed="false">
      <c r="A1183" s="102"/>
      <c r="B1183" s="104"/>
      <c r="C1183" s="104"/>
      <c r="F1183" s="103" t="str">
        <f aca="false">IF(OR($C1183="",$D1183=0),"",$E1183/$D1183)</f>
        <v/>
      </c>
      <c r="H1183" s="0" t="str">
        <f aca="false">IF($C1183="","",IF(COUNTIF('مواد المخزون'!$A$2:$A$86,$C1183)&gt;0,"نعم","لا (خارج الجرد)"))</f>
        <v/>
      </c>
    </row>
    <row r="1184" customFormat="false" ht="15" hidden="false" customHeight="false" outlineLevel="0" collapsed="false">
      <c r="A1184" s="102"/>
      <c r="B1184" s="104"/>
      <c r="C1184" s="104"/>
      <c r="F1184" s="103" t="str">
        <f aca="false">IF(OR($C1184="",$D1184=0),"",$E1184/$D1184)</f>
        <v/>
      </c>
      <c r="H1184" s="0" t="str">
        <f aca="false">IF($C1184="","",IF(COUNTIF('مواد المخزون'!$A$2:$A$86,$C1184)&gt;0,"نعم","لا (خارج الجرد)"))</f>
        <v/>
      </c>
    </row>
    <row r="1185" customFormat="false" ht="15" hidden="false" customHeight="false" outlineLevel="0" collapsed="false">
      <c r="A1185" s="102"/>
      <c r="B1185" s="104"/>
      <c r="C1185" s="104"/>
      <c r="F1185" s="103" t="str">
        <f aca="false">IF(OR($C1185="",$D1185=0),"",$E1185/$D1185)</f>
        <v/>
      </c>
      <c r="H1185" s="0" t="str">
        <f aca="false">IF($C1185="","",IF(COUNTIF('مواد المخزون'!$A$2:$A$86,$C1185)&gt;0,"نعم","لا (خارج الجرد)"))</f>
        <v/>
      </c>
    </row>
    <row r="1186" customFormat="false" ht="15" hidden="false" customHeight="false" outlineLevel="0" collapsed="false">
      <c r="A1186" s="102"/>
      <c r="B1186" s="104"/>
      <c r="C1186" s="104"/>
      <c r="F1186" s="103" t="str">
        <f aca="false">IF(OR($C1186="",$D1186=0),"",$E1186/$D1186)</f>
        <v/>
      </c>
      <c r="H1186" s="0" t="str">
        <f aca="false">IF($C1186="","",IF(COUNTIF('مواد المخزون'!$A$2:$A$86,$C1186)&gt;0,"نعم","لا (خارج الجرد)"))</f>
        <v/>
      </c>
    </row>
    <row r="1187" customFormat="false" ht="15" hidden="false" customHeight="false" outlineLevel="0" collapsed="false">
      <c r="A1187" s="102"/>
      <c r="B1187" s="104"/>
      <c r="C1187" s="104"/>
      <c r="F1187" s="103" t="str">
        <f aca="false">IF(OR($C1187="",$D1187=0),"",$E1187/$D1187)</f>
        <v/>
      </c>
      <c r="H1187" s="0" t="str">
        <f aca="false">IF($C1187="","",IF(COUNTIF('مواد المخزون'!$A$2:$A$86,$C1187)&gt;0,"نعم","لا (خارج الجرد)"))</f>
        <v/>
      </c>
    </row>
    <row r="1188" customFormat="false" ht="15" hidden="false" customHeight="false" outlineLevel="0" collapsed="false">
      <c r="A1188" s="102"/>
      <c r="B1188" s="104"/>
      <c r="C1188" s="104"/>
      <c r="F1188" s="103" t="str">
        <f aca="false">IF(OR($C1188="",$D1188=0),"",$E1188/$D1188)</f>
        <v/>
      </c>
      <c r="H1188" s="0" t="str">
        <f aca="false">IF($C1188="","",IF(COUNTIF('مواد المخزون'!$A$2:$A$86,$C1188)&gt;0,"نعم","لا (خارج الجرد)"))</f>
        <v/>
      </c>
    </row>
    <row r="1189" customFormat="false" ht="15" hidden="false" customHeight="false" outlineLevel="0" collapsed="false">
      <c r="A1189" s="102"/>
      <c r="B1189" s="104"/>
      <c r="C1189" s="104"/>
      <c r="F1189" s="103" t="str">
        <f aca="false">IF(OR($C1189="",$D1189=0),"",$E1189/$D1189)</f>
        <v/>
      </c>
      <c r="H1189" s="0" t="str">
        <f aca="false">IF($C1189="","",IF(COUNTIF('مواد المخزون'!$A$2:$A$86,$C1189)&gt;0,"نعم","لا (خارج الجرد)"))</f>
        <v/>
      </c>
    </row>
    <row r="1190" customFormat="false" ht="15" hidden="false" customHeight="false" outlineLevel="0" collapsed="false">
      <c r="A1190" s="102"/>
      <c r="B1190" s="104"/>
      <c r="C1190" s="104"/>
      <c r="F1190" s="103" t="str">
        <f aca="false">IF(OR($C1190="",$D1190=0),"",$E1190/$D1190)</f>
        <v/>
      </c>
      <c r="H1190" s="0" t="str">
        <f aca="false">IF($C1190="","",IF(COUNTIF('مواد المخزون'!$A$2:$A$86,$C1190)&gt;0,"نعم","لا (خارج الجرد)"))</f>
        <v/>
      </c>
    </row>
    <row r="1191" customFormat="false" ht="15" hidden="false" customHeight="false" outlineLevel="0" collapsed="false">
      <c r="A1191" s="102"/>
      <c r="B1191" s="104"/>
      <c r="C1191" s="104"/>
      <c r="F1191" s="103" t="str">
        <f aca="false">IF(OR($C1191="",$D1191=0),"",$E1191/$D1191)</f>
        <v/>
      </c>
      <c r="H1191" s="0" t="str">
        <f aca="false">IF($C1191="","",IF(COUNTIF('مواد المخزون'!$A$2:$A$86,$C1191)&gt;0,"نعم","لا (خارج الجرد)"))</f>
        <v/>
      </c>
    </row>
    <row r="1192" customFormat="false" ht="15" hidden="false" customHeight="false" outlineLevel="0" collapsed="false">
      <c r="A1192" s="102"/>
      <c r="B1192" s="104"/>
      <c r="C1192" s="104"/>
      <c r="F1192" s="103" t="str">
        <f aca="false">IF(OR($C1192="",$D1192=0),"",$E1192/$D1192)</f>
        <v/>
      </c>
      <c r="H1192" s="0" t="str">
        <f aca="false">IF($C1192="","",IF(COUNTIF('مواد المخزون'!$A$2:$A$86,$C1192)&gt;0,"نعم","لا (خارج الجرد)"))</f>
        <v/>
      </c>
    </row>
    <row r="1193" customFormat="false" ht="15" hidden="false" customHeight="false" outlineLevel="0" collapsed="false">
      <c r="A1193" s="102"/>
      <c r="B1193" s="104"/>
      <c r="C1193" s="104"/>
      <c r="F1193" s="103" t="str">
        <f aca="false">IF(OR($C1193="",$D1193=0),"",$E1193/$D1193)</f>
        <v/>
      </c>
      <c r="H1193" s="0" t="str">
        <f aca="false">IF($C1193="","",IF(COUNTIF('مواد المخزون'!$A$2:$A$86,$C1193)&gt;0,"نعم","لا (خارج الجرد)"))</f>
        <v/>
      </c>
    </row>
    <row r="1194" customFormat="false" ht="15" hidden="false" customHeight="false" outlineLevel="0" collapsed="false">
      <c r="A1194" s="102"/>
      <c r="B1194" s="104"/>
      <c r="C1194" s="104"/>
      <c r="F1194" s="103" t="str">
        <f aca="false">IF(OR($C1194="",$D1194=0),"",$E1194/$D1194)</f>
        <v/>
      </c>
      <c r="H1194" s="0" t="str">
        <f aca="false">IF($C1194="","",IF(COUNTIF('مواد المخزون'!$A$2:$A$86,$C1194)&gt;0,"نعم","لا (خارج الجرد)"))</f>
        <v/>
      </c>
    </row>
    <row r="1195" customFormat="false" ht="15" hidden="false" customHeight="false" outlineLevel="0" collapsed="false">
      <c r="A1195" s="102"/>
      <c r="B1195" s="104"/>
      <c r="C1195" s="104"/>
      <c r="F1195" s="103" t="str">
        <f aca="false">IF(OR($C1195="",$D1195=0),"",$E1195/$D1195)</f>
        <v/>
      </c>
      <c r="H1195" s="0" t="str">
        <f aca="false">IF($C1195="","",IF(COUNTIF('مواد المخزون'!$A$2:$A$86,$C1195)&gt;0,"نعم","لا (خارج الجرد)"))</f>
        <v/>
      </c>
    </row>
    <row r="1196" customFormat="false" ht="15" hidden="false" customHeight="false" outlineLevel="0" collapsed="false">
      <c r="A1196" s="102"/>
      <c r="B1196" s="104"/>
      <c r="C1196" s="104"/>
      <c r="F1196" s="103" t="str">
        <f aca="false">IF(OR($C1196="",$D1196=0),"",$E1196/$D1196)</f>
        <v/>
      </c>
      <c r="H1196" s="0" t="str">
        <f aca="false">IF($C1196="","",IF(COUNTIF('مواد المخزون'!$A$2:$A$86,$C1196)&gt;0,"نعم","لا (خارج الجرد)"))</f>
        <v/>
      </c>
    </row>
    <row r="1197" customFormat="false" ht="15" hidden="false" customHeight="false" outlineLevel="0" collapsed="false">
      <c r="A1197" s="102"/>
      <c r="B1197" s="104"/>
      <c r="C1197" s="104"/>
      <c r="F1197" s="103" t="str">
        <f aca="false">IF(OR($C1197="",$D1197=0),"",$E1197/$D1197)</f>
        <v/>
      </c>
      <c r="H1197" s="0" t="str">
        <f aca="false">IF($C1197="","",IF(COUNTIF('مواد المخزون'!$A$2:$A$86,$C1197)&gt;0,"نعم","لا (خارج الجرد)"))</f>
        <v/>
      </c>
    </row>
    <row r="1198" customFormat="false" ht="15" hidden="false" customHeight="false" outlineLevel="0" collapsed="false">
      <c r="A1198" s="102"/>
      <c r="B1198" s="104"/>
      <c r="C1198" s="104"/>
      <c r="F1198" s="103" t="str">
        <f aca="false">IF(OR($C1198="",$D1198=0),"",$E1198/$D1198)</f>
        <v/>
      </c>
      <c r="H1198" s="0" t="str">
        <f aca="false">IF($C1198="","",IF(COUNTIF('مواد المخزون'!$A$2:$A$86,$C1198)&gt;0,"نعم","لا (خارج الجرد)"))</f>
        <v/>
      </c>
    </row>
    <row r="1199" customFormat="false" ht="15" hidden="false" customHeight="false" outlineLevel="0" collapsed="false">
      <c r="A1199" s="102"/>
      <c r="B1199" s="104"/>
      <c r="C1199" s="104"/>
      <c r="F1199" s="103" t="str">
        <f aca="false">IF(OR($C1199="",$D1199=0),"",$E1199/$D1199)</f>
        <v/>
      </c>
      <c r="H1199" s="0" t="str">
        <f aca="false">IF($C1199="","",IF(COUNTIF('مواد المخزون'!$A$2:$A$86,$C1199)&gt;0,"نعم","لا (خارج الجرد)"))</f>
        <v/>
      </c>
    </row>
    <row r="1200" customFormat="false" ht="15" hidden="false" customHeight="false" outlineLevel="0" collapsed="false">
      <c r="A1200" s="102"/>
      <c r="B1200" s="104"/>
      <c r="C1200" s="104"/>
      <c r="F1200" s="103" t="str">
        <f aca="false">IF(OR($C1200="",$D1200=0),"",$E1200/$D1200)</f>
        <v/>
      </c>
      <c r="H1200" s="0" t="str">
        <f aca="false">IF($C1200="","",IF(COUNTIF('مواد المخزون'!$A$2:$A$86,$C1200)&gt;0,"نعم","لا (خارج الجرد)"))</f>
        <v/>
      </c>
    </row>
    <row r="1201" customFormat="false" ht="15" hidden="false" customHeight="false" outlineLevel="0" collapsed="false">
      <c r="A1201" s="102"/>
      <c r="B1201" s="104"/>
      <c r="C1201" s="104"/>
      <c r="F1201" s="103" t="str">
        <f aca="false">IF(OR($C1201="",$D1201=0),"",$E1201/$D1201)</f>
        <v/>
      </c>
      <c r="H1201" s="0" t="str">
        <f aca="false">IF($C1201="","",IF(COUNTIF('مواد المخزون'!$A$2:$A$86,$C1201)&gt;0,"نعم","لا (خارج الجرد)"))</f>
        <v/>
      </c>
    </row>
    <row r="1202" customFormat="false" ht="15" hidden="false" customHeight="false" outlineLevel="0" collapsed="false">
      <c r="A1202" s="102"/>
      <c r="B1202" s="104"/>
      <c r="C1202" s="104"/>
      <c r="F1202" s="103" t="str">
        <f aca="false">IF(OR($C1202="",$D1202=0),"",$E1202/$D1202)</f>
        <v/>
      </c>
      <c r="H1202" s="0" t="str">
        <f aca="false">IF($C1202="","",IF(COUNTIF('مواد المخزون'!$A$2:$A$86,$C1202)&gt;0,"نعم","لا (خارج الجرد)"))</f>
        <v/>
      </c>
    </row>
    <row r="1203" customFormat="false" ht="15" hidden="false" customHeight="false" outlineLevel="0" collapsed="false">
      <c r="A1203" s="102"/>
      <c r="B1203" s="104"/>
      <c r="C1203" s="104"/>
      <c r="F1203" s="103" t="str">
        <f aca="false">IF(OR($C1203="",$D1203=0),"",$E1203/$D1203)</f>
        <v/>
      </c>
      <c r="H1203" s="0" t="str">
        <f aca="false">IF($C1203="","",IF(COUNTIF('مواد المخزون'!$A$2:$A$86,$C1203)&gt;0,"نعم","لا (خارج الجرد)"))</f>
        <v/>
      </c>
    </row>
    <row r="1204" customFormat="false" ht="15" hidden="false" customHeight="false" outlineLevel="0" collapsed="false">
      <c r="A1204" s="102"/>
      <c r="B1204" s="104"/>
      <c r="C1204" s="104"/>
      <c r="F1204" s="103" t="str">
        <f aca="false">IF(OR($C1204="",$D1204=0),"",$E1204/$D1204)</f>
        <v/>
      </c>
      <c r="H1204" s="0" t="str">
        <f aca="false">IF($C1204="","",IF(COUNTIF('مواد المخزون'!$A$2:$A$86,$C1204)&gt;0,"نعم","لا (خارج الجرد)"))</f>
        <v/>
      </c>
    </row>
    <row r="1205" customFormat="false" ht="15" hidden="false" customHeight="false" outlineLevel="0" collapsed="false">
      <c r="A1205" s="102"/>
      <c r="B1205" s="104"/>
      <c r="C1205" s="104"/>
      <c r="F1205" s="103" t="str">
        <f aca="false">IF(OR($C1205="",$D1205=0),"",$E1205/$D1205)</f>
        <v/>
      </c>
      <c r="H1205" s="0" t="str">
        <f aca="false">IF($C1205="","",IF(COUNTIF('مواد المخزون'!$A$2:$A$86,$C1205)&gt;0,"نعم","لا (خارج الجرد)"))</f>
        <v/>
      </c>
    </row>
    <row r="1206" customFormat="false" ht="15" hidden="false" customHeight="false" outlineLevel="0" collapsed="false">
      <c r="A1206" s="102"/>
      <c r="B1206" s="104"/>
      <c r="C1206" s="104"/>
      <c r="F1206" s="103" t="str">
        <f aca="false">IF(OR($C1206="",$D1206=0),"",$E1206/$D1206)</f>
        <v/>
      </c>
      <c r="H1206" s="0" t="str">
        <f aca="false">IF($C1206="","",IF(COUNTIF('مواد المخزون'!$A$2:$A$86,$C1206)&gt;0,"نعم","لا (خارج الجرد)"))</f>
        <v/>
      </c>
    </row>
    <row r="1207" customFormat="false" ht="15" hidden="false" customHeight="false" outlineLevel="0" collapsed="false">
      <c r="A1207" s="102"/>
      <c r="B1207" s="104"/>
      <c r="C1207" s="104"/>
      <c r="F1207" s="103" t="str">
        <f aca="false">IF(OR($C1207="",$D1207=0),"",$E1207/$D1207)</f>
        <v/>
      </c>
      <c r="H1207" s="0" t="str">
        <f aca="false">IF($C1207="","",IF(COUNTIF('مواد المخزون'!$A$2:$A$86,$C1207)&gt;0,"نعم","لا (خارج الجرد)"))</f>
        <v/>
      </c>
    </row>
    <row r="1208" customFormat="false" ht="15" hidden="false" customHeight="false" outlineLevel="0" collapsed="false">
      <c r="A1208" s="102"/>
      <c r="B1208" s="104"/>
      <c r="C1208" s="104"/>
      <c r="F1208" s="103" t="str">
        <f aca="false">IF(OR($C1208="",$D1208=0),"",$E1208/$D1208)</f>
        <v/>
      </c>
      <c r="H1208" s="0" t="str">
        <f aca="false">IF($C1208="","",IF(COUNTIF('مواد المخزون'!$A$2:$A$86,$C1208)&gt;0,"نعم","لا (خارج الجرد)"))</f>
        <v/>
      </c>
    </row>
    <row r="1209" customFormat="false" ht="15" hidden="false" customHeight="false" outlineLevel="0" collapsed="false">
      <c r="A1209" s="102"/>
      <c r="B1209" s="104"/>
      <c r="C1209" s="104"/>
      <c r="F1209" s="103" t="str">
        <f aca="false">IF(OR($C1209="",$D1209=0),"",$E1209/$D1209)</f>
        <v/>
      </c>
      <c r="H1209" s="0" t="str">
        <f aca="false">IF($C1209="","",IF(COUNTIF('مواد المخزون'!$A$2:$A$86,$C1209)&gt;0,"نعم","لا (خارج الجرد)"))</f>
        <v/>
      </c>
    </row>
    <row r="1210" customFormat="false" ht="15" hidden="false" customHeight="false" outlineLevel="0" collapsed="false">
      <c r="A1210" s="102"/>
      <c r="B1210" s="104"/>
      <c r="C1210" s="104"/>
      <c r="F1210" s="103" t="str">
        <f aca="false">IF(OR($C1210="",$D1210=0),"",$E1210/$D1210)</f>
        <v/>
      </c>
      <c r="H1210" s="0" t="str">
        <f aca="false">IF($C1210="","",IF(COUNTIF('مواد المخزون'!$A$2:$A$86,$C1210)&gt;0,"نعم","لا (خارج الجرد)"))</f>
        <v/>
      </c>
    </row>
    <row r="1211" customFormat="false" ht="15" hidden="false" customHeight="false" outlineLevel="0" collapsed="false">
      <c r="A1211" s="102"/>
      <c r="B1211" s="104"/>
      <c r="C1211" s="104"/>
      <c r="F1211" s="103" t="str">
        <f aca="false">IF(OR($C1211="",$D1211=0),"",$E1211/$D1211)</f>
        <v/>
      </c>
      <c r="H1211" s="0" t="str">
        <f aca="false">IF($C1211="","",IF(COUNTIF('مواد المخزون'!$A$2:$A$86,$C1211)&gt;0,"نعم","لا (خارج الجرد)"))</f>
        <v/>
      </c>
    </row>
    <row r="1212" customFormat="false" ht="15" hidden="false" customHeight="false" outlineLevel="0" collapsed="false">
      <c r="A1212" s="102"/>
      <c r="B1212" s="104"/>
      <c r="C1212" s="104"/>
      <c r="F1212" s="103" t="str">
        <f aca="false">IF(OR($C1212="",$D1212=0),"",$E1212/$D1212)</f>
        <v/>
      </c>
      <c r="H1212" s="0" t="str">
        <f aca="false">IF($C1212="","",IF(COUNTIF('مواد المخزون'!$A$2:$A$86,$C1212)&gt;0,"نعم","لا (خارج الجرد)"))</f>
        <v/>
      </c>
    </row>
    <row r="1213" customFormat="false" ht="15" hidden="false" customHeight="false" outlineLevel="0" collapsed="false">
      <c r="A1213" s="102"/>
      <c r="B1213" s="104"/>
      <c r="C1213" s="104"/>
      <c r="F1213" s="103" t="str">
        <f aca="false">IF(OR($C1213="",$D1213=0),"",$E1213/$D1213)</f>
        <v/>
      </c>
      <c r="H1213" s="0" t="str">
        <f aca="false">IF($C1213="","",IF(COUNTIF('مواد المخزون'!$A$2:$A$86,$C1213)&gt;0,"نعم","لا (خارج الجرد)"))</f>
        <v/>
      </c>
    </row>
    <row r="1214" customFormat="false" ht="15" hidden="false" customHeight="false" outlineLevel="0" collapsed="false">
      <c r="A1214" s="102"/>
      <c r="B1214" s="104"/>
      <c r="C1214" s="104"/>
      <c r="F1214" s="103" t="str">
        <f aca="false">IF(OR($C1214="",$D1214=0),"",$E1214/$D1214)</f>
        <v/>
      </c>
      <c r="H1214" s="0" t="str">
        <f aca="false">IF($C1214="","",IF(COUNTIF('مواد المخزون'!$A$2:$A$86,$C1214)&gt;0,"نعم","لا (خارج الجرد)"))</f>
        <v/>
      </c>
    </row>
    <row r="1215" customFormat="false" ht="15" hidden="false" customHeight="false" outlineLevel="0" collapsed="false">
      <c r="A1215" s="102"/>
      <c r="B1215" s="104"/>
      <c r="C1215" s="104"/>
      <c r="F1215" s="103" t="str">
        <f aca="false">IF(OR($C1215="",$D1215=0),"",$E1215/$D1215)</f>
        <v/>
      </c>
      <c r="H1215" s="0" t="str">
        <f aca="false">IF($C1215="","",IF(COUNTIF('مواد المخزون'!$A$2:$A$86,$C1215)&gt;0,"نعم","لا (خارج الجرد)"))</f>
        <v/>
      </c>
    </row>
    <row r="1216" customFormat="false" ht="15" hidden="false" customHeight="false" outlineLevel="0" collapsed="false">
      <c r="A1216" s="102"/>
      <c r="B1216" s="104"/>
      <c r="C1216" s="104"/>
      <c r="F1216" s="103" t="str">
        <f aca="false">IF(OR($C1216="",$D1216=0),"",$E1216/$D1216)</f>
        <v/>
      </c>
      <c r="H1216" s="0" t="str">
        <f aca="false">IF($C1216="","",IF(COUNTIF('مواد المخزون'!$A$2:$A$86,$C1216)&gt;0,"نعم","لا (خارج الجرد)"))</f>
        <v/>
      </c>
    </row>
    <row r="1217" customFormat="false" ht="15" hidden="false" customHeight="false" outlineLevel="0" collapsed="false">
      <c r="A1217" s="102"/>
      <c r="B1217" s="104"/>
      <c r="C1217" s="104"/>
      <c r="F1217" s="103" t="str">
        <f aca="false">IF(OR($C1217="",$D1217=0),"",$E1217/$D1217)</f>
        <v/>
      </c>
      <c r="H1217" s="0" t="str">
        <f aca="false">IF($C1217="","",IF(COUNTIF('مواد المخزون'!$A$2:$A$86,$C1217)&gt;0,"نعم","لا (خارج الجرد)"))</f>
        <v/>
      </c>
    </row>
    <row r="1218" customFormat="false" ht="15" hidden="false" customHeight="false" outlineLevel="0" collapsed="false">
      <c r="A1218" s="102"/>
      <c r="B1218" s="104"/>
      <c r="C1218" s="104"/>
      <c r="F1218" s="103" t="str">
        <f aca="false">IF(OR($C1218="",$D1218=0),"",$E1218/$D1218)</f>
        <v/>
      </c>
      <c r="H1218" s="0" t="str">
        <f aca="false">IF($C1218="","",IF(COUNTIF('مواد المخزون'!$A$2:$A$86,$C1218)&gt;0,"نعم","لا (خارج الجرد)"))</f>
        <v/>
      </c>
    </row>
    <row r="1219" customFormat="false" ht="15" hidden="false" customHeight="false" outlineLevel="0" collapsed="false">
      <c r="A1219" s="102"/>
      <c r="B1219" s="104"/>
      <c r="C1219" s="104"/>
      <c r="F1219" s="103" t="str">
        <f aca="false">IF(OR($C1219="",$D1219=0),"",$E1219/$D1219)</f>
        <v/>
      </c>
      <c r="H1219" s="0" t="str">
        <f aca="false">IF($C1219="","",IF(COUNTIF('مواد المخزون'!$A$2:$A$86,$C1219)&gt;0,"نعم","لا (خارج الجرد)"))</f>
        <v/>
      </c>
    </row>
    <row r="1220" customFormat="false" ht="15" hidden="false" customHeight="false" outlineLevel="0" collapsed="false">
      <c r="A1220" s="102"/>
      <c r="B1220" s="104"/>
      <c r="C1220" s="104"/>
      <c r="F1220" s="103" t="str">
        <f aca="false">IF(OR($C1220="",$D1220=0),"",$E1220/$D1220)</f>
        <v/>
      </c>
      <c r="H1220" s="0" t="str">
        <f aca="false">IF($C1220="","",IF(COUNTIF('مواد المخزون'!$A$2:$A$86,$C1220)&gt;0,"نعم","لا (خارج الجرد)"))</f>
        <v/>
      </c>
    </row>
    <row r="1221" customFormat="false" ht="15" hidden="false" customHeight="false" outlineLevel="0" collapsed="false">
      <c r="A1221" s="102"/>
      <c r="B1221" s="104"/>
      <c r="C1221" s="104"/>
      <c r="F1221" s="103" t="str">
        <f aca="false">IF(OR($C1221="",$D1221=0),"",$E1221/$D1221)</f>
        <v/>
      </c>
      <c r="H1221" s="0" t="str">
        <f aca="false">IF($C1221="","",IF(COUNTIF('مواد المخزون'!$A$2:$A$86,$C1221)&gt;0,"نعم","لا (خارج الجرد)"))</f>
        <v/>
      </c>
    </row>
    <row r="1222" customFormat="false" ht="15" hidden="false" customHeight="false" outlineLevel="0" collapsed="false">
      <c r="A1222" s="102"/>
      <c r="B1222" s="104"/>
      <c r="C1222" s="104"/>
      <c r="F1222" s="103" t="str">
        <f aca="false">IF(OR($C1222="",$D1222=0),"",$E1222/$D1222)</f>
        <v/>
      </c>
      <c r="H1222" s="0" t="str">
        <f aca="false">IF($C1222="","",IF(COUNTIF('مواد المخزون'!$A$2:$A$86,$C1222)&gt;0,"نعم","لا (خارج الجرد)"))</f>
        <v/>
      </c>
    </row>
    <row r="1223" customFormat="false" ht="15" hidden="false" customHeight="false" outlineLevel="0" collapsed="false">
      <c r="A1223" s="102"/>
      <c r="B1223" s="104"/>
      <c r="C1223" s="104"/>
      <c r="F1223" s="103" t="str">
        <f aca="false">IF(OR($C1223="",$D1223=0),"",$E1223/$D1223)</f>
        <v/>
      </c>
      <c r="H1223" s="0" t="str">
        <f aca="false">IF($C1223="","",IF(COUNTIF('مواد المخزون'!$A$2:$A$86,$C1223)&gt;0,"نعم","لا (خارج الجرد)"))</f>
        <v/>
      </c>
    </row>
    <row r="1224" customFormat="false" ht="15" hidden="false" customHeight="false" outlineLevel="0" collapsed="false">
      <c r="A1224" s="102"/>
      <c r="B1224" s="104"/>
      <c r="C1224" s="104"/>
      <c r="F1224" s="103" t="str">
        <f aca="false">IF(OR($C1224="",$D1224=0),"",$E1224/$D1224)</f>
        <v/>
      </c>
      <c r="H1224" s="0" t="str">
        <f aca="false">IF($C1224="","",IF(COUNTIF('مواد المخزون'!$A$2:$A$86,$C1224)&gt;0,"نعم","لا (خارج الجرد)"))</f>
        <v/>
      </c>
    </row>
    <row r="1225" customFormat="false" ht="15" hidden="false" customHeight="false" outlineLevel="0" collapsed="false">
      <c r="A1225" s="102"/>
      <c r="B1225" s="104"/>
      <c r="C1225" s="104"/>
      <c r="F1225" s="103" t="str">
        <f aca="false">IF(OR($C1225="",$D1225=0),"",$E1225/$D1225)</f>
        <v/>
      </c>
      <c r="H1225" s="0" t="str">
        <f aca="false">IF($C1225="","",IF(COUNTIF('مواد المخزون'!$A$2:$A$86,$C1225)&gt;0,"نعم","لا (خارج الجرد)"))</f>
        <v/>
      </c>
    </row>
    <row r="1226" customFormat="false" ht="15" hidden="false" customHeight="false" outlineLevel="0" collapsed="false">
      <c r="A1226" s="102"/>
      <c r="B1226" s="104"/>
      <c r="C1226" s="104"/>
      <c r="F1226" s="103" t="str">
        <f aca="false">IF(OR($C1226="",$D1226=0),"",$E1226/$D1226)</f>
        <v/>
      </c>
      <c r="H1226" s="0" t="str">
        <f aca="false">IF($C1226="","",IF(COUNTIF('مواد المخزون'!$A$2:$A$86,$C1226)&gt;0,"نعم","لا (خارج الجرد)"))</f>
        <v/>
      </c>
    </row>
    <row r="1227" customFormat="false" ht="15" hidden="false" customHeight="false" outlineLevel="0" collapsed="false">
      <c r="A1227" s="102"/>
      <c r="B1227" s="104"/>
      <c r="C1227" s="104"/>
      <c r="F1227" s="103" t="str">
        <f aca="false">IF(OR($C1227="",$D1227=0),"",$E1227/$D1227)</f>
        <v/>
      </c>
      <c r="H1227" s="0" t="str">
        <f aca="false">IF($C1227="","",IF(COUNTIF('مواد المخزون'!$A$2:$A$86,$C1227)&gt;0,"نعم","لا (خارج الجرد)"))</f>
        <v/>
      </c>
    </row>
    <row r="1228" customFormat="false" ht="15" hidden="false" customHeight="false" outlineLevel="0" collapsed="false">
      <c r="A1228" s="102"/>
      <c r="B1228" s="104"/>
      <c r="C1228" s="104"/>
      <c r="F1228" s="103" t="str">
        <f aca="false">IF(OR($C1228="",$D1228=0),"",$E1228/$D1228)</f>
        <v/>
      </c>
      <c r="H1228" s="0" t="str">
        <f aca="false">IF($C1228="","",IF(COUNTIF('مواد المخزون'!$A$2:$A$86,$C1228)&gt;0,"نعم","لا (خارج الجرد)"))</f>
        <v/>
      </c>
    </row>
    <row r="1229" customFormat="false" ht="15" hidden="false" customHeight="false" outlineLevel="0" collapsed="false">
      <c r="A1229" s="102"/>
      <c r="B1229" s="104"/>
      <c r="C1229" s="104"/>
      <c r="F1229" s="103" t="str">
        <f aca="false">IF(OR($C1229="",$D1229=0),"",$E1229/$D1229)</f>
        <v/>
      </c>
      <c r="H1229" s="0" t="str">
        <f aca="false">IF($C1229="","",IF(COUNTIF('مواد المخزون'!$A$2:$A$86,$C1229)&gt;0,"نعم","لا (خارج الجرد)"))</f>
        <v/>
      </c>
    </row>
    <row r="1230" customFormat="false" ht="15" hidden="false" customHeight="false" outlineLevel="0" collapsed="false">
      <c r="A1230" s="102"/>
      <c r="B1230" s="104"/>
      <c r="C1230" s="104"/>
      <c r="F1230" s="103" t="str">
        <f aca="false">IF(OR($C1230="",$D1230=0),"",$E1230/$D1230)</f>
        <v/>
      </c>
      <c r="H1230" s="0" t="str">
        <f aca="false">IF($C1230="","",IF(COUNTIF('مواد المخزون'!$A$2:$A$86,$C1230)&gt;0,"نعم","لا (خارج الجرد)"))</f>
        <v/>
      </c>
    </row>
    <row r="1231" customFormat="false" ht="15" hidden="false" customHeight="false" outlineLevel="0" collapsed="false">
      <c r="A1231" s="102"/>
      <c r="B1231" s="104"/>
      <c r="C1231" s="104"/>
      <c r="F1231" s="103" t="str">
        <f aca="false">IF(OR($C1231="",$D1231=0),"",$E1231/$D1231)</f>
        <v/>
      </c>
      <c r="H1231" s="0" t="str">
        <f aca="false">IF($C1231="","",IF(COUNTIF('مواد المخزون'!$A$2:$A$86,$C1231)&gt;0,"نعم","لا (خارج الجرد)"))</f>
        <v/>
      </c>
    </row>
    <row r="1232" customFormat="false" ht="15" hidden="false" customHeight="false" outlineLevel="0" collapsed="false">
      <c r="A1232" s="102"/>
      <c r="B1232" s="104"/>
      <c r="C1232" s="104"/>
      <c r="F1232" s="103" t="str">
        <f aca="false">IF(OR($C1232="",$D1232=0),"",$E1232/$D1232)</f>
        <v/>
      </c>
      <c r="H1232" s="0" t="str">
        <f aca="false">IF($C1232="","",IF(COUNTIF('مواد المخزون'!$A$2:$A$86,$C1232)&gt;0,"نعم","لا (خارج الجرد)"))</f>
        <v/>
      </c>
    </row>
    <row r="1233" customFormat="false" ht="15" hidden="false" customHeight="false" outlineLevel="0" collapsed="false">
      <c r="A1233" s="102"/>
      <c r="B1233" s="104"/>
      <c r="C1233" s="104"/>
      <c r="F1233" s="103" t="str">
        <f aca="false">IF(OR($C1233="",$D1233=0),"",$E1233/$D1233)</f>
        <v/>
      </c>
      <c r="H1233" s="0" t="str">
        <f aca="false">IF($C1233="","",IF(COUNTIF('مواد المخزون'!$A$2:$A$86,$C1233)&gt;0,"نعم","لا (خارج الجرد)"))</f>
        <v/>
      </c>
    </row>
    <row r="1234" customFormat="false" ht="15" hidden="false" customHeight="false" outlineLevel="0" collapsed="false">
      <c r="A1234" s="102"/>
      <c r="B1234" s="104"/>
      <c r="C1234" s="104"/>
      <c r="F1234" s="103" t="str">
        <f aca="false">IF(OR($C1234="",$D1234=0),"",$E1234/$D1234)</f>
        <v/>
      </c>
      <c r="H1234" s="0" t="str">
        <f aca="false">IF($C1234="","",IF(COUNTIF('مواد المخزون'!$A$2:$A$86,$C1234)&gt;0,"نعم","لا (خارج الجرد)"))</f>
        <v/>
      </c>
    </row>
    <row r="1235" customFormat="false" ht="15" hidden="false" customHeight="false" outlineLevel="0" collapsed="false">
      <c r="A1235" s="102"/>
      <c r="B1235" s="104"/>
      <c r="C1235" s="104"/>
      <c r="F1235" s="103" t="str">
        <f aca="false">IF(OR($C1235="",$D1235=0),"",$E1235/$D1235)</f>
        <v/>
      </c>
      <c r="H1235" s="0" t="str">
        <f aca="false">IF($C1235="","",IF(COUNTIF('مواد المخزون'!$A$2:$A$86,$C1235)&gt;0,"نعم","لا (خارج الجرد)"))</f>
        <v/>
      </c>
    </row>
    <row r="1236" customFormat="false" ht="15" hidden="false" customHeight="false" outlineLevel="0" collapsed="false">
      <c r="A1236" s="102"/>
      <c r="B1236" s="104"/>
      <c r="C1236" s="104"/>
      <c r="F1236" s="103" t="str">
        <f aca="false">IF(OR($C1236="",$D1236=0),"",$E1236/$D1236)</f>
        <v/>
      </c>
      <c r="H1236" s="0" t="str">
        <f aca="false">IF($C1236="","",IF(COUNTIF('مواد المخزون'!$A$2:$A$86,$C1236)&gt;0,"نعم","لا (خارج الجرد)"))</f>
        <v/>
      </c>
    </row>
    <row r="1237" customFormat="false" ht="15" hidden="false" customHeight="false" outlineLevel="0" collapsed="false">
      <c r="A1237" s="102"/>
      <c r="B1237" s="104"/>
      <c r="C1237" s="104"/>
      <c r="F1237" s="103" t="str">
        <f aca="false">IF(OR($C1237="",$D1237=0),"",$E1237/$D1237)</f>
        <v/>
      </c>
      <c r="H1237" s="0" t="str">
        <f aca="false">IF($C1237="","",IF(COUNTIF('مواد المخزون'!$A$2:$A$86,$C1237)&gt;0,"نعم","لا (خارج الجرد)"))</f>
        <v/>
      </c>
    </row>
    <row r="1238" customFormat="false" ht="15" hidden="false" customHeight="false" outlineLevel="0" collapsed="false">
      <c r="A1238" s="102"/>
      <c r="B1238" s="104"/>
      <c r="C1238" s="104"/>
      <c r="F1238" s="103" t="str">
        <f aca="false">IF(OR($C1238="",$D1238=0),"",$E1238/$D1238)</f>
        <v/>
      </c>
      <c r="H1238" s="0" t="str">
        <f aca="false">IF($C1238="","",IF(COUNTIF('مواد المخزون'!$A$2:$A$86,$C1238)&gt;0,"نعم","لا (خارج الجرد)"))</f>
        <v/>
      </c>
    </row>
    <row r="1239" customFormat="false" ht="15" hidden="false" customHeight="false" outlineLevel="0" collapsed="false">
      <c r="A1239" s="102"/>
      <c r="B1239" s="104"/>
      <c r="C1239" s="104"/>
      <c r="F1239" s="103" t="str">
        <f aca="false">IF(OR($C1239="",$D1239=0),"",$E1239/$D1239)</f>
        <v/>
      </c>
      <c r="H1239" s="0" t="str">
        <f aca="false">IF($C1239="","",IF(COUNTIF('مواد المخزون'!$A$2:$A$86,$C1239)&gt;0,"نعم","لا (خارج الجرد)"))</f>
        <v/>
      </c>
    </row>
    <row r="1240" customFormat="false" ht="15" hidden="false" customHeight="false" outlineLevel="0" collapsed="false">
      <c r="A1240" s="102"/>
      <c r="B1240" s="104"/>
      <c r="C1240" s="104"/>
      <c r="F1240" s="103" t="str">
        <f aca="false">IF(OR($C1240="",$D1240=0),"",$E1240/$D1240)</f>
        <v/>
      </c>
      <c r="H1240" s="0" t="str">
        <f aca="false">IF($C1240="","",IF(COUNTIF('مواد المخزون'!$A$2:$A$86,$C1240)&gt;0,"نعم","لا (خارج الجرد)"))</f>
        <v/>
      </c>
    </row>
    <row r="1241" customFormat="false" ht="15" hidden="false" customHeight="false" outlineLevel="0" collapsed="false">
      <c r="A1241" s="102"/>
      <c r="B1241" s="104"/>
      <c r="C1241" s="104"/>
      <c r="F1241" s="103" t="str">
        <f aca="false">IF(OR($C1241="",$D1241=0),"",$E1241/$D1241)</f>
        <v/>
      </c>
      <c r="H1241" s="0" t="str">
        <f aca="false">IF($C1241="","",IF(COUNTIF('مواد المخزون'!$A$2:$A$86,$C1241)&gt;0,"نعم","لا (خارج الجرد)"))</f>
        <v/>
      </c>
    </row>
    <row r="1242" customFormat="false" ht="15" hidden="false" customHeight="false" outlineLevel="0" collapsed="false">
      <c r="A1242" s="102"/>
      <c r="B1242" s="104"/>
      <c r="C1242" s="104"/>
      <c r="F1242" s="103" t="str">
        <f aca="false">IF(OR($C1242="",$D1242=0),"",$E1242/$D1242)</f>
        <v/>
      </c>
      <c r="H1242" s="0" t="str">
        <f aca="false">IF($C1242="","",IF(COUNTIF('مواد المخزون'!$A$2:$A$86,$C1242)&gt;0,"نعم","لا (خارج الجرد)"))</f>
        <v/>
      </c>
    </row>
    <row r="1243" customFormat="false" ht="15" hidden="false" customHeight="false" outlineLevel="0" collapsed="false">
      <c r="A1243" s="102"/>
      <c r="B1243" s="104"/>
      <c r="C1243" s="104"/>
      <c r="F1243" s="103" t="str">
        <f aca="false">IF(OR($C1243="",$D1243=0),"",$E1243/$D1243)</f>
        <v/>
      </c>
      <c r="H1243" s="0" t="str">
        <f aca="false">IF($C1243="","",IF(COUNTIF('مواد المخزون'!$A$2:$A$86,$C1243)&gt;0,"نعم","لا (خارج الجرد)"))</f>
        <v/>
      </c>
    </row>
    <row r="1244" customFormat="false" ht="15" hidden="false" customHeight="false" outlineLevel="0" collapsed="false">
      <c r="A1244" s="102"/>
      <c r="B1244" s="104"/>
      <c r="C1244" s="104"/>
      <c r="F1244" s="103" t="str">
        <f aca="false">IF(OR($C1244="",$D1244=0),"",$E1244/$D1244)</f>
        <v/>
      </c>
      <c r="H1244" s="0" t="str">
        <f aca="false">IF($C1244="","",IF(COUNTIF('مواد المخزون'!$A$2:$A$86,$C1244)&gt;0,"نعم","لا (خارج الجرد)"))</f>
        <v/>
      </c>
    </row>
    <row r="1245" customFormat="false" ht="15" hidden="false" customHeight="false" outlineLevel="0" collapsed="false">
      <c r="A1245" s="102"/>
      <c r="B1245" s="104"/>
      <c r="C1245" s="104"/>
      <c r="F1245" s="103" t="str">
        <f aca="false">IF(OR($C1245="",$D1245=0),"",$E1245/$D1245)</f>
        <v/>
      </c>
      <c r="H1245" s="0" t="str">
        <f aca="false">IF($C1245="","",IF(COUNTIF('مواد المخزون'!$A$2:$A$86,$C1245)&gt;0,"نعم","لا (خارج الجرد)"))</f>
        <v/>
      </c>
    </row>
    <row r="1246" customFormat="false" ht="15" hidden="false" customHeight="false" outlineLevel="0" collapsed="false">
      <c r="A1246" s="102"/>
      <c r="B1246" s="104"/>
      <c r="C1246" s="104"/>
      <c r="F1246" s="103" t="str">
        <f aca="false">IF(OR($C1246="",$D1246=0),"",$E1246/$D1246)</f>
        <v/>
      </c>
      <c r="H1246" s="0" t="str">
        <f aca="false">IF($C1246="","",IF(COUNTIF('مواد المخزون'!$A$2:$A$86,$C1246)&gt;0,"نعم","لا (خارج الجرد)"))</f>
        <v/>
      </c>
    </row>
    <row r="1247" customFormat="false" ht="15" hidden="false" customHeight="false" outlineLevel="0" collapsed="false">
      <c r="A1247" s="102"/>
      <c r="B1247" s="104"/>
      <c r="C1247" s="104"/>
      <c r="F1247" s="103" t="str">
        <f aca="false">IF(OR($C1247="",$D1247=0),"",$E1247/$D1247)</f>
        <v/>
      </c>
      <c r="H1247" s="0" t="str">
        <f aca="false">IF($C1247="","",IF(COUNTIF('مواد المخزون'!$A$2:$A$86,$C1247)&gt;0,"نعم","لا (خارج الجرد)"))</f>
        <v/>
      </c>
    </row>
    <row r="1248" customFormat="false" ht="15" hidden="false" customHeight="false" outlineLevel="0" collapsed="false">
      <c r="A1248" s="102"/>
      <c r="B1248" s="104"/>
      <c r="C1248" s="104"/>
      <c r="F1248" s="103" t="str">
        <f aca="false">IF(OR($C1248="",$D1248=0),"",$E1248/$D1248)</f>
        <v/>
      </c>
      <c r="H1248" s="0" t="str">
        <f aca="false">IF($C1248="","",IF(COUNTIF('مواد المخزون'!$A$2:$A$86,$C1248)&gt;0,"نعم","لا (خارج الجرد)"))</f>
        <v/>
      </c>
    </row>
    <row r="1249" customFormat="false" ht="15" hidden="false" customHeight="false" outlineLevel="0" collapsed="false">
      <c r="A1249" s="102"/>
      <c r="B1249" s="104"/>
      <c r="C1249" s="104"/>
      <c r="F1249" s="103" t="str">
        <f aca="false">IF(OR($C1249="",$D1249=0),"",$E1249/$D1249)</f>
        <v/>
      </c>
      <c r="H1249" s="0" t="str">
        <f aca="false">IF($C1249="","",IF(COUNTIF('مواد المخزون'!$A$2:$A$86,$C1249)&gt;0,"نعم","لا (خارج الجرد)"))</f>
        <v/>
      </c>
    </row>
    <row r="1250" customFormat="false" ht="15" hidden="false" customHeight="false" outlineLevel="0" collapsed="false">
      <c r="A1250" s="102"/>
      <c r="B1250" s="104"/>
      <c r="C1250" s="104"/>
      <c r="F1250" s="103" t="str">
        <f aca="false">IF(OR($C1250="",$D1250=0),"",$E1250/$D1250)</f>
        <v/>
      </c>
      <c r="H1250" s="0" t="str">
        <f aca="false">IF($C1250="","",IF(COUNTIF('مواد المخزون'!$A$2:$A$86,$C1250)&gt;0,"نعم","لا (خارج الجرد)"))</f>
        <v/>
      </c>
    </row>
    <row r="1251" customFormat="false" ht="15" hidden="false" customHeight="false" outlineLevel="0" collapsed="false">
      <c r="A1251" s="102"/>
      <c r="B1251" s="104"/>
      <c r="C1251" s="104"/>
      <c r="F1251" s="103" t="str">
        <f aca="false">IF(OR($C1251="",$D1251=0),"",$E1251/$D1251)</f>
        <v/>
      </c>
      <c r="H1251" s="0" t="str">
        <f aca="false">IF($C1251="","",IF(COUNTIF('مواد المخزون'!$A$2:$A$86,$C1251)&gt;0,"نعم","لا (خارج الجرد)"))</f>
        <v/>
      </c>
    </row>
    <row r="1252" customFormat="false" ht="15" hidden="false" customHeight="false" outlineLevel="0" collapsed="false">
      <c r="A1252" s="102"/>
      <c r="B1252" s="104"/>
      <c r="C1252" s="104"/>
      <c r="F1252" s="103" t="str">
        <f aca="false">IF(OR($C1252="",$D1252=0),"",$E1252/$D1252)</f>
        <v/>
      </c>
      <c r="H1252" s="0" t="str">
        <f aca="false">IF($C1252="","",IF(COUNTIF('مواد المخزون'!$A$2:$A$86,$C1252)&gt;0,"نعم","لا (خارج الجرد)"))</f>
        <v/>
      </c>
    </row>
    <row r="1253" customFormat="false" ht="15" hidden="false" customHeight="false" outlineLevel="0" collapsed="false">
      <c r="A1253" s="102"/>
      <c r="B1253" s="104"/>
      <c r="C1253" s="104"/>
      <c r="F1253" s="103" t="str">
        <f aca="false">IF(OR($C1253="",$D1253=0),"",$E1253/$D1253)</f>
        <v/>
      </c>
      <c r="H1253" s="0" t="str">
        <f aca="false">IF($C1253="","",IF(COUNTIF('مواد المخزون'!$A$2:$A$86,$C1253)&gt;0,"نعم","لا (خارج الجرد)"))</f>
        <v/>
      </c>
    </row>
    <row r="1254" customFormat="false" ht="15" hidden="false" customHeight="false" outlineLevel="0" collapsed="false">
      <c r="A1254" s="102"/>
      <c r="B1254" s="104"/>
      <c r="C1254" s="104"/>
      <c r="F1254" s="103" t="str">
        <f aca="false">IF(OR($C1254="",$D1254=0),"",$E1254/$D1254)</f>
        <v/>
      </c>
      <c r="H1254" s="0" t="str">
        <f aca="false">IF($C1254="","",IF(COUNTIF('مواد المخزون'!$A$2:$A$86,$C1254)&gt;0,"نعم","لا (خارج الجرد)"))</f>
        <v/>
      </c>
    </row>
    <row r="1255" customFormat="false" ht="15" hidden="false" customHeight="false" outlineLevel="0" collapsed="false">
      <c r="A1255" s="102"/>
      <c r="B1255" s="104"/>
      <c r="C1255" s="104"/>
      <c r="F1255" s="103" t="str">
        <f aca="false">IF(OR($C1255="",$D1255=0),"",$E1255/$D1255)</f>
        <v/>
      </c>
      <c r="H1255" s="0" t="str">
        <f aca="false">IF($C1255="","",IF(COUNTIF('مواد المخزون'!$A$2:$A$86,$C1255)&gt;0,"نعم","لا (خارج الجرد)"))</f>
        <v/>
      </c>
    </row>
    <row r="1256" customFormat="false" ht="15" hidden="false" customHeight="false" outlineLevel="0" collapsed="false">
      <c r="A1256" s="102"/>
      <c r="B1256" s="104"/>
      <c r="C1256" s="104"/>
      <c r="F1256" s="103" t="str">
        <f aca="false">IF(OR($C1256="",$D1256=0),"",$E1256/$D1256)</f>
        <v/>
      </c>
      <c r="H1256" s="0" t="str">
        <f aca="false">IF($C1256="","",IF(COUNTIF('مواد المخزون'!$A$2:$A$86,$C1256)&gt;0,"نعم","لا (خارج الجرد)"))</f>
        <v/>
      </c>
    </row>
    <row r="1257" customFormat="false" ht="15" hidden="false" customHeight="false" outlineLevel="0" collapsed="false">
      <c r="A1257" s="102"/>
      <c r="B1257" s="104"/>
      <c r="C1257" s="104"/>
      <c r="F1257" s="103" t="str">
        <f aca="false">IF(OR($C1257="",$D1257=0),"",$E1257/$D1257)</f>
        <v/>
      </c>
      <c r="H1257" s="0" t="str">
        <f aca="false">IF($C1257="","",IF(COUNTIF('مواد المخزون'!$A$2:$A$86,$C1257)&gt;0,"نعم","لا (خارج الجرد)"))</f>
        <v/>
      </c>
    </row>
    <row r="1258" customFormat="false" ht="15" hidden="false" customHeight="false" outlineLevel="0" collapsed="false">
      <c r="A1258" s="102"/>
      <c r="B1258" s="104"/>
      <c r="C1258" s="104"/>
      <c r="F1258" s="103" t="str">
        <f aca="false">IF(OR($C1258="",$D1258=0),"",$E1258/$D1258)</f>
        <v/>
      </c>
      <c r="H1258" s="0" t="str">
        <f aca="false">IF($C1258="","",IF(COUNTIF('مواد المخزون'!$A$2:$A$86,$C1258)&gt;0,"نعم","لا (خارج الجرد)"))</f>
        <v/>
      </c>
    </row>
    <row r="1259" customFormat="false" ht="15" hidden="false" customHeight="false" outlineLevel="0" collapsed="false">
      <c r="A1259" s="102"/>
      <c r="B1259" s="104"/>
      <c r="C1259" s="104"/>
      <c r="F1259" s="103" t="str">
        <f aca="false">IF(OR($C1259="",$D1259=0),"",$E1259/$D1259)</f>
        <v/>
      </c>
      <c r="H1259" s="0" t="str">
        <f aca="false">IF($C1259="","",IF(COUNTIF('مواد المخزون'!$A$2:$A$86,$C1259)&gt;0,"نعم","لا (خارج الجرد)"))</f>
        <v/>
      </c>
    </row>
    <row r="1260" customFormat="false" ht="15" hidden="false" customHeight="false" outlineLevel="0" collapsed="false">
      <c r="A1260" s="102"/>
      <c r="B1260" s="104"/>
      <c r="C1260" s="104"/>
      <c r="F1260" s="103" t="str">
        <f aca="false">IF(OR($C1260="",$D1260=0),"",$E1260/$D1260)</f>
        <v/>
      </c>
      <c r="H1260" s="0" t="str">
        <f aca="false">IF($C1260="","",IF(COUNTIF('مواد المخزون'!$A$2:$A$86,$C1260)&gt;0,"نعم","لا (خارج الجرد)"))</f>
        <v/>
      </c>
    </row>
    <row r="1261" customFormat="false" ht="15" hidden="false" customHeight="false" outlineLevel="0" collapsed="false">
      <c r="A1261" s="102"/>
      <c r="B1261" s="104"/>
      <c r="C1261" s="104"/>
      <c r="F1261" s="103" t="str">
        <f aca="false">IF(OR($C1261="",$D1261=0),"",$E1261/$D1261)</f>
        <v/>
      </c>
      <c r="H1261" s="0" t="str">
        <f aca="false">IF($C1261="","",IF(COUNTIF('مواد المخزون'!$A$2:$A$86,$C1261)&gt;0,"نعم","لا (خارج الجرد)"))</f>
        <v/>
      </c>
    </row>
    <row r="1262" customFormat="false" ht="15" hidden="false" customHeight="false" outlineLevel="0" collapsed="false">
      <c r="A1262" s="102"/>
      <c r="B1262" s="104"/>
      <c r="C1262" s="104"/>
      <c r="F1262" s="103" t="str">
        <f aca="false">IF(OR($C1262="",$D1262=0),"",$E1262/$D1262)</f>
        <v/>
      </c>
      <c r="H1262" s="0" t="str">
        <f aca="false">IF($C1262="","",IF(COUNTIF('مواد المخزون'!$A$2:$A$86,$C1262)&gt;0,"نعم","لا (خارج الجرد)"))</f>
        <v/>
      </c>
    </row>
    <row r="1263" customFormat="false" ht="15" hidden="false" customHeight="false" outlineLevel="0" collapsed="false">
      <c r="A1263" s="102"/>
      <c r="B1263" s="104"/>
      <c r="C1263" s="104"/>
      <c r="F1263" s="103" t="str">
        <f aca="false">IF(OR($C1263="",$D1263=0),"",$E1263/$D1263)</f>
        <v/>
      </c>
      <c r="H1263" s="0" t="str">
        <f aca="false">IF($C1263="","",IF(COUNTIF('مواد المخزون'!$A$2:$A$86,$C1263)&gt;0,"نعم","لا (خارج الجرد)"))</f>
        <v/>
      </c>
    </row>
    <row r="1264" customFormat="false" ht="15" hidden="false" customHeight="false" outlineLevel="0" collapsed="false">
      <c r="A1264" s="102"/>
      <c r="B1264" s="104"/>
      <c r="C1264" s="104"/>
      <c r="F1264" s="103" t="str">
        <f aca="false">IF(OR($C1264="",$D1264=0),"",$E1264/$D1264)</f>
        <v/>
      </c>
      <c r="H1264" s="0" t="str">
        <f aca="false">IF($C1264="","",IF(COUNTIF('مواد المخزون'!$A$2:$A$86,$C1264)&gt;0,"نعم","لا (خارج الجرد)"))</f>
        <v/>
      </c>
    </row>
    <row r="1265" customFormat="false" ht="15" hidden="false" customHeight="false" outlineLevel="0" collapsed="false">
      <c r="A1265" s="102"/>
      <c r="B1265" s="104"/>
      <c r="C1265" s="104"/>
      <c r="F1265" s="103" t="str">
        <f aca="false">IF(OR($C1265="",$D1265=0),"",$E1265/$D1265)</f>
        <v/>
      </c>
      <c r="H1265" s="0" t="str">
        <f aca="false">IF($C1265="","",IF(COUNTIF('مواد المخزون'!$A$2:$A$86,$C1265)&gt;0,"نعم","لا (خارج الجرد)"))</f>
        <v/>
      </c>
    </row>
    <row r="1266" customFormat="false" ht="15" hidden="false" customHeight="false" outlineLevel="0" collapsed="false">
      <c r="A1266" s="102"/>
      <c r="B1266" s="104"/>
      <c r="C1266" s="104"/>
      <c r="F1266" s="103" t="str">
        <f aca="false">IF(OR($C1266="",$D1266=0),"",$E1266/$D1266)</f>
        <v/>
      </c>
      <c r="H1266" s="0" t="str">
        <f aca="false">IF($C1266="","",IF(COUNTIF('مواد المخزون'!$A$2:$A$86,$C1266)&gt;0,"نعم","لا (خارج الجرد)"))</f>
        <v/>
      </c>
    </row>
    <row r="1267" customFormat="false" ht="15" hidden="false" customHeight="false" outlineLevel="0" collapsed="false">
      <c r="A1267" s="102"/>
      <c r="B1267" s="104"/>
      <c r="C1267" s="104"/>
      <c r="F1267" s="103" t="str">
        <f aca="false">IF(OR($C1267="",$D1267=0),"",$E1267/$D1267)</f>
        <v/>
      </c>
      <c r="H1267" s="0" t="str">
        <f aca="false">IF($C1267="","",IF(COUNTIF('مواد المخزون'!$A$2:$A$86,$C1267)&gt;0,"نعم","لا (خارج الجرد)"))</f>
        <v/>
      </c>
    </row>
    <row r="1268" customFormat="false" ht="15" hidden="false" customHeight="false" outlineLevel="0" collapsed="false">
      <c r="A1268" s="102"/>
      <c r="B1268" s="104"/>
      <c r="C1268" s="104"/>
      <c r="F1268" s="103" t="str">
        <f aca="false">IF(OR($C1268="",$D1268=0),"",$E1268/$D1268)</f>
        <v/>
      </c>
      <c r="H1268" s="0" t="str">
        <f aca="false">IF($C1268="","",IF(COUNTIF('مواد المخزون'!$A$2:$A$86,$C1268)&gt;0,"نعم","لا (خارج الجرد)"))</f>
        <v/>
      </c>
    </row>
    <row r="1269" customFormat="false" ht="15" hidden="false" customHeight="false" outlineLevel="0" collapsed="false">
      <c r="A1269" s="102"/>
      <c r="B1269" s="104"/>
      <c r="C1269" s="104"/>
      <c r="F1269" s="103" t="str">
        <f aca="false">IF(OR($C1269="",$D1269=0),"",$E1269/$D1269)</f>
        <v/>
      </c>
      <c r="H1269" s="0" t="str">
        <f aca="false">IF($C1269="","",IF(COUNTIF('مواد المخزون'!$A$2:$A$86,$C1269)&gt;0,"نعم","لا (خارج الجرد)"))</f>
        <v/>
      </c>
    </row>
    <row r="1270" customFormat="false" ht="15" hidden="false" customHeight="false" outlineLevel="0" collapsed="false">
      <c r="A1270" s="102"/>
      <c r="B1270" s="104"/>
      <c r="C1270" s="104"/>
      <c r="F1270" s="103" t="str">
        <f aca="false">IF(OR($C1270="",$D1270=0),"",$E1270/$D1270)</f>
        <v/>
      </c>
      <c r="H1270" s="0" t="str">
        <f aca="false">IF($C1270="","",IF(COUNTIF('مواد المخزون'!$A$2:$A$86,$C1270)&gt;0,"نعم","لا (خارج الجرد)"))</f>
        <v/>
      </c>
    </row>
    <row r="1271" customFormat="false" ht="15" hidden="false" customHeight="false" outlineLevel="0" collapsed="false">
      <c r="A1271" s="102"/>
      <c r="B1271" s="104"/>
      <c r="C1271" s="104"/>
      <c r="F1271" s="103" t="str">
        <f aca="false">IF(OR($C1271="",$D1271=0),"",$E1271/$D1271)</f>
        <v/>
      </c>
      <c r="H1271" s="0" t="str">
        <f aca="false">IF($C1271="","",IF(COUNTIF('مواد المخزون'!$A$2:$A$86,$C1271)&gt;0,"نعم","لا (خارج الجرد)"))</f>
        <v/>
      </c>
    </row>
    <row r="1272" customFormat="false" ht="15" hidden="false" customHeight="false" outlineLevel="0" collapsed="false">
      <c r="A1272" s="102"/>
      <c r="B1272" s="104"/>
      <c r="C1272" s="104"/>
      <c r="F1272" s="103" t="str">
        <f aca="false">IF(OR($C1272="",$D1272=0),"",$E1272/$D1272)</f>
        <v/>
      </c>
      <c r="H1272" s="0" t="str">
        <f aca="false">IF($C1272="","",IF(COUNTIF('مواد المخزون'!$A$2:$A$86,$C1272)&gt;0,"نعم","لا (خارج الجرد)"))</f>
        <v/>
      </c>
    </row>
    <row r="1273" customFormat="false" ht="15" hidden="false" customHeight="false" outlineLevel="0" collapsed="false">
      <c r="A1273" s="102"/>
      <c r="B1273" s="104"/>
      <c r="C1273" s="104"/>
      <c r="F1273" s="103" t="str">
        <f aca="false">IF(OR($C1273="",$D1273=0),"",$E1273/$D1273)</f>
        <v/>
      </c>
      <c r="H1273" s="0" t="str">
        <f aca="false">IF($C1273="","",IF(COUNTIF('مواد المخزون'!$A$2:$A$86,$C1273)&gt;0,"نعم","لا (خارج الجرد)"))</f>
        <v/>
      </c>
    </row>
    <row r="1274" customFormat="false" ht="15" hidden="false" customHeight="false" outlineLevel="0" collapsed="false">
      <c r="A1274" s="102"/>
      <c r="B1274" s="104"/>
      <c r="C1274" s="104"/>
      <c r="F1274" s="103" t="str">
        <f aca="false">IF(OR($C1274="",$D1274=0),"",$E1274/$D1274)</f>
        <v/>
      </c>
      <c r="H1274" s="0" t="str">
        <f aca="false">IF($C1274="","",IF(COUNTIF('مواد المخزون'!$A$2:$A$86,$C1274)&gt;0,"نعم","لا (خارج الجرد)"))</f>
        <v/>
      </c>
    </row>
    <row r="1275" customFormat="false" ht="15" hidden="false" customHeight="false" outlineLevel="0" collapsed="false">
      <c r="A1275" s="102"/>
      <c r="B1275" s="104"/>
      <c r="C1275" s="104"/>
      <c r="F1275" s="103" t="str">
        <f aca="false">IF(OR($C1275="",$D1275=0),"",$E1275/$D1275)</f>
        <v/>
      </c>
      <c r="H1275" s="0" t="str">
        <f aca="false">IF($C1275="","",IF(COUNTIF('مواد المخزون'!$A$2:$A$86,$C1275)&gt;0,"نعم","لا (خارج الجرد)"))</f>
        <v/>
      </c>
    </row>
    <row r="1276" customFormat="false" ht="15" hidden="false" customHeight="false" outlineLevel="0" collapsed="false">
      <c r="A1276" s="102"/>
      <c r="B1276" s="104"/>
      <c r="C1276" s="104"/>
      <c r="F1276" s="103" t="str">
        <f aca="false">IF(OR($C1276="",$D1276=0),"",$E1276/$D1276)</f>
        <v/>
      </c>
      <c r="H1276" s="0" t="str">
        <f aca="false">IF($C1276="","",IF(COUNTIF('مواد المخزون'!$A$2:$A$86,$C1276)&gt;0,"نعم","لا (خارج الجرد)"))</f>
        <v/>
      </c>
    </row>
    <row r="1277" customFormat="false" ht="15" hidden="false" customHeight="false" outlineLevel="0" collapsed="false">
      <c r="A1277" s="102"/>
      <c r="B1277" s="104"/>
      <c r="C1277" s="104"/>
      <c r="F1277" s="103" t="str">
        <f aca="false">IF(OR($C1277="",$D1277=0),"",$E1277/$D1277)</f>
        <v/>
      </c>
      <c r="H1277" s="0" t="str">
        <f aca="false">IF($C1277="","",IF(COUNTIF('مواد المخزون'!$A$2:$A$86,$C1277)&gt;0,"نعم","لا (خارج الجرد)"))</f>
        <v/>
      </c>
    </row>
    <row r="1278" customFormat="false" ht="15" hidden="false" customHeight="false" outlineLevel="0" collapsed="false">
      <c r="A1278" s="102"/>
      <c r="B1278" s="104"/>
      <c r="C1278" s="104"/>
      <c r="F1278" s="103" t="str">
        <f aca="false">IF(OR($C1278="",$D1278=0),"",$E1278/$D1278)</f>
        <v/>
      </c>
      <c r="H1278" s="0" t="str">
        <f aca="false">IF($C1278="","",IF(COUNTIF('مواد المخزون'!$A$2:$A$86,$C1278)&gt;0,"نعم","لا (خارج الجرد)"))</f>
        <v/>
      </c>
    </row>
    <row r="1279" customFormat="false" ht="15" hidden="false" customHeight="false" outlineLevel="0" collapsed="false">
      <c r="A1279" s="102"/>
      <c r="B1279" s="104"/>
      <c r="C1279" s="104"/>
      <c r="F1279" s="103" t="str">
        <f aca="false">IF(OR($C1279="",$D1279=0),"",$E1279/$D1279)</f>
        <v/>
      </c>
      <c r="H1279" s="0" t="str">
        <f aca="false">IF($C1279="","",IF(COUNTIF('مواد المخزون'!$A$2:$A$86,$C1279)&gt;0,"نعم","لا (خارج الجرد)"))</f>
        <v/>
      </c>
    </row>
    <row r="1280" customFormat="false" ht="15" hidden="false" customHeight="false" outlineLevel="0" collapsed="false">
      <c r="A1280" s="102"/>
      <c r="B1280" s="104"/>
      <c r="C1280" s="104"/>
      <c r="F1280" s="103" t="str">
        <f aca="false">IF(OR($C1280="",$D1280=0),"",$E1280/$D1280)</f>
        <v/>
      </c>
      <c r="H1280" s="0" t="str">
        <f aca="false">IF($C1280="","",IF(COUNTIF('مواد المخزون'!$A$2:$A$86,$C1280)&gt;0,"نعم","لا (خارج الجرد)"))</f>
        <v/>
      </c>
    </row>
    <row r="1281" customFormat="false" ht="15" hidden="false" customHeight="false" outlineLevel="0" collapsed="false">
      <c r="A1281" s="102"/>
      <c r="B1281" s="104"/>
      <c r="C1281" s="104"/>
      <c r="F1281" s="103" t="str">
        <f aca="false">IF(OR($C1281="",$D1281=0),"",$E1281/$D1281)</f>
        <v/>
      </c>
      <c r="H1281" s="0" t="str">
        <f aca="false">IF($C1281="","",IF(COUNTIF('مواد المخزون'!$A$2:$A$86,$C1281)&gt;0,"نعم","لا (خارج الجرد)"))</f>
        <v/>
      </c>
    </row>
    <row r="1282" customFormat="false" ht="15" hidden="false" customHeight="false" outlineLevel="0" collapsed="false">
      <c r="A1282" s="102"/>
      <c r="B1282" s="104"/>
      <c r="C1282" s="104"/>
      <c r="F1282" s="103" t="str">
        <f aca="false">IF(OR($C1282="",$D1282=0),"",$E1282/$D1282)</f>
        <v/>
      </c>
      <c r="H1282" s="0" t="str">
        <f aca="false">IF($C1282="","",IF(COUNTIF('مواد المخزون'!$A$2:$A$86,$C1282)&gt;0,"نعم","لا (خارج الجرد)"))</f>
        <v/>
      </c>
    </row>
    <row r="1283" customFormat="false" ht="15" hidden="false" customHeight="false" outlineLevel="0" collapsed="false">
      <c r="A1283" s="102"/>
      <c r="B1283" s="104"/>
      <c r="C1283" s="104"/>
      <c r="F1283" s="103" t="str">
        <f aca="false">IF(OR($C1283="",$D1283=0),"",$E1283/$D1283)</f>
        <v/>
      </c>
      <c r="H1283" s="0" t="str">
        <f aca="false">IF($C1283="","",IF(COUNTIF('مواد المخزون'!$A$2:$A$86,$C1283)&gt;0,"نعم","لا (خارج الجرد)"))</f>
        <v/>
      </c>
    </row>
    <row r="1284" customFormat="false" ht="15" hidden="false" customHeight="false" outlineLevel="0" collapsed="false">
      <c r="A1284" s="102"/>
      <c r="B1284" s="104"/>
      <c r="C1284" s="104"/>
      <c r="F1284" s="103" t="str">
        <f aca="false">IF(OR($C1284="",$D1284=0),"",$E1284/$D1284)</f>
        <v/>
      </c>
      <c r="H1284" s="0" t="str">
        <f aca="false">IF($C1284="","",IF(COUNTIF('مواد المخزون'!$A$2:$A$86,$C1284)&gt;0,"نعم","لا (خارج الجرد)"))</f>
        <v/>
      </c>
    </row>
    <row r="1285" customFormat="false" ht="15" hidden="false" customHeight="false" outlineLevel="0" collapsed="false">
      <c r="A1285" s="102"/>
      <c r="B1285" s="104"/>
      <c r="C1285" s="104"/>
      <c r="F1285" s="103" t="str">
        <f aca="false">IF(OR($C1285="",$D1285=0),"",$E1285/$D1285)</f>
        <v/>
      </c>
      <c r="H1285" s="0" t="str">
        <f aca="false">IF($C1285="","",IF(COUNTIF('مواد المخزون'!$A$2:$A$86,$C1285)&gt;0,"نعم","لا (خارج الجرد)"))</f>
        <v/>
      </c>
    </row>
    <row r="1286" customFormat="false" ht="15" hidden="false" customHeight="false" outlineLevel="0" collapsed="false">
      <c r="A1286" s="102"/>
      <c r="B1286" s="104"/>
      <c r="C1286" s="104"/>
      <c r="F1286" s="103" t="str">
        <f aca="false">IF(OR($C1286="",$D1286=0),"",$E1286/$D1286)</f>
        <v/>
      </c>
      <c r="H1286" s="0" t="str">
        <f aca="false">IF($C1286="","",IF(COUNTIF('مواد المخزون'!$A$2:$A$86,$C1286)&gt;0,"نعم","لا (خارج الجرد)"))</f>
        <v/>
      </c>
    </row>
    <row r="1287" customFormat="false" ht="15" hidden="false" customHeight="false" outlineLevel="0" collapsed="false">
      <c r="A1287" s="102"/>
      <c r="B1287" s="104"/>
      <c r="C1287" s="104"/>
      <c r="F1287" s="103" t="str">
        <f aca="false">IF(OR($C1287="",$D1287=0),"",$E1287/$D1287)</f>
        <v/>
      </c>
      <c r="H1287" s="0" t="str">
        <f aca="false">IF($C1287="","",IF(COUNTIF('مواد المخزون'!$A$2:$A$86,$C1287)&gt;0,"نعم","لا (خارج الجرد)"))</f>
        <v/>
      </c>
    </row>
    <row r="1288" customFormat="false" ht="15" hidden="false" customHeight="false" outlineLevel="0" collapsed="false">
      <c r="A1288" s="102"/>
      <c r="B1288" s="104"/>
      <c r="C1288" s="104"/>
      <c r="F1288" s="103" t="str">
        <f aca="false">IF(OR($C1288="",$D1288=0),"",$E1288/$D1288)</f>
        <v/>
      </c>
      <c r="H1288" s="0" t="str">
        <f aca="false">IF($C1288="","",IF(COUNTIF('مواد المخزون'!$A$2:$A$86,$C1288)&gt;0,"نعم","لا (خارج الجرد)"))</f>
        <v/>
      </c>
    </row>
    <row r="1289" customFormat="false" ht="15" hidden="false" customHeight="false" outlineLevel="0" collapsed="false">
      <c r="A1289" s="102"/>
      <c r="B1289" s="104"/>
      <c r="C1289" s="104"/>
      <c r="F1289" s="103" t="str">
        <f aca="false">IF(OR($C1289="",$D1289=0),"",$E1289/$D1289)</f>
        <v/>
      </c>
      <c r="H1289" s="0" t="str">
        <f aca="false">IF($C1289="","",IF(COUNTIF('مواد المخزون'!$A$2:$A$86,$C1289)&gt;0,"نعم","لا (خارج الجرد)"))</f>
        <v/>
      </c>
    </row>
    <row r="1290" customFormat="false" ht="15" hidden="false" customHeight="false" outlineLevel="0" collapsed="false">
      <c r="A1290" s="102"/>
      <c r="B1290" s="104"/>
      <c r="C1290" s="104"/>
      <c r="F1290" s="103" t="str">
        <f aca="false">IF(OR($C1290="",$D1290=0),"",$E1290/$D1290)</f>
        <v/>
      </c>
      <c r="H1290" s="0" t="str">
        <f aca="false">IF($C1290="","",IF(COUNTIF('مواد المخزون'!$A$2:$A$86,$C1290)&gt;0,"نعم","لا (خارج الجرد)"))</f>
        <v/>
      </c>
    </row>
    <row r="1291" customFormat="false" ht="15" hidden="false" customHeight="false" outlineLevel="0" collapsed="false">
      <c r="A1291" s="102"/>
      <c r="B1291" s="104"/>
      <c r="C1291" s="104"/>
      <c r="F1291" s="103" t="str">
        <f aca="false">IF(OR($C1291="",$D1291=0),"",$E1291/$D1291)</f>
        <v/>
      </c>
      <c r="H1291" s="0" t="str">
        <f aca="false">IF($C1291="","",IF(COUNTIF('مواد المخزون'!$A$2:$A$86,$C1291)&gt;0,"نعم","لا (خارج الجرد)"))</f>
        <v/>
      </c>
    </row>
    <row r="1292" customFormat="false" ht="15" hidden="false" customHeight="false" outlineLevel="0" collapsed="false">
      <c r="A1292" s="102"/>
      <c r="B1292" s="104"/>
      <c r="C1292" s="104"/>
      <c r="F1292" s="103" t="str">
        <f aca="false">IF(OR($C1292="",$D1292=0),"",$E1292/$D1292)</f>
        <v/>
      </c>
      <c r="H1292" s="0" t="str">
        <f aca="false">IF($C1292="","",IF(COUNTIF('مواد المخزون'!$A$2:$A$86,$C1292)&gt;0,"نعم","لا (خارج الجرد)"))</f>
        <v/>
      </c>
    </row>
    <row r="1293" customFormat="false" ht="15" hidden="false" customHeight="false" outlineLevel="0" collapsed="false">
      <c r="A1293" s="102"/>
      <c r="B1293" s="104"/>
      <c r="C1293" s="104"/>
      <c r="F1293" s="103" t="str">
        <f aca="false">IF(OR($C1293="",$D1293=0),"",$E1293/$D1293)</f>
        <v/>
      </c>
      <c r="H1293" s="0" t="str">
        <f aca="false">IF($C1293="","",IF(COUNTIF('مواد المخزون'!$A$2:$A$86,$C1293)&gt;0,"نعم","لا (خارج الجرد)"))</f>
        <v/>
      </c>
    </row>
    <row r="1294" customFormat="false" ht="15" hidden="false" customHeight="false" outlineLevel="0" collapsed="false">
      <c r="A1294" s="102"/>
      <c r="B1294" s="104"/>
      <c r="C1294" s="104"/>
      <c r="F1294" s="103" t="str">
        <f aca="false">IF(OR($C1294="",$D1294=0),"",$E1294/$D1294)</f>
        <v/>
      </c>
      <c r="H1294" s="0" t="str">
        <f aca="false">IF($C1294="","",IF(COUNTIF('مواد المخزون'!$A$2:$A$86,$C1294)&gt;0,"نعم","لا (خارج الجرد)"))</f>
        <v/>
      </c>
    </row>
    <row r="1295" customFormat="false" ht="15" hidden="false" customHeight="false" outlineLevel="0" collapsed="false">
      <c r="A1295" s="102"/>
      <c r="B1295" s="104"/>
      <c r="C1295" s="104"/>
      <c r="F1295" s="103" t="str">
        <f aca="false">IF(OR($C1295="",$D1295=0),"",$E1295/$D1295)</f>
        <v/>
      </c>
      <c r="H1295" s="0" t="str">
        <f aca="false">IF($C1295="","",IF(COUNTIF('مواد المخزون'!$A$2:$A$86,$C1295)&gt;0,"نعم","لا (خارج الجرد)"))</f>
        <v/>
      </c>
    </row>
    <row r="1296" customFormat="false" ht="15" hidden="false" customHeight="false" outlineLevel="0" collapsed="false">
      <c r="A1296" s="102"/>
      <c r="B1296" s="104"/>
      <c r="C1296" s="104"/>
      <c r="F1296" s="103" t="str">
        <f aca="false">IF(OR($C1296="",$D1296=0),"",$E1296/$D1296)</f>
        <v/>
      </c>
      <c r="H1296" s="0" t="str">
        <f aca="false">IF($C1296="","",IF(COUNTIF('مواد المخزون'!$A$2:$A$86,$C1296)&gt;0,"نعم","لا (خارج الجرد)"))</f>
        <v/>
      </c>
    </row>
    <row r="1297" customFormat="false" ht="15" hidden="false" customHeight="false" outlineLevel="0" collapsed="false">
      <c r="A1297" s="102"/>
      <c r="B1297" s="104"/>
      <c r="C1297" s="104"/>
      <c r="F1297" s="103" t="str">
        <f aca="false">IF(OR($C1297="",$D1297=0),"",$E1297/$D1297)</f>
        <v/>
      </c>
      <c r="H1297" s="0" t="str">
        <f aca="false">IF($C1297="","",IF(COUNTIF('مواد المخزون'!$A$2:$A$86,$C1297)&gt;0,"نعم","لا (خارج الجرد)"))</f>
        <v/>
      </c>
    </row>
    <row r="1298" customFormat="false" ht="15" hidden="false" customHeight="false" outlineLevel="0" collapsed="false">
      <c r="A1298" s="102"/>
      <c r="B1298" s="104"/>
      <c r="C1298" s="104"/>
      <c r="F1298" s="103" t="str">
        <f aca="false">IF(OR($C1298="",$D1298=0),"",$E1298/$D1298)</f>
        <v/>
      </c>
      <c r="H1298" s="0" t="str">
        <f aca="false">IF($C1298="","",IF(COUNTIF('مواد المخزون'!$A$2:$A$86,$C1298)&gt;0,"نعم","لا (خارج الجرد)"))</f>
        <v/>
      </c>
    </row>
    <row r="1299" customFormat="false" ht="15" hidden="false" customHeight="false" outlineLevel="0" collapsed="false">
      <c r="A1299" s="102"/>
      <c r="B1299" s="104"/>
      <c r="C1299" s="104"/>
      <c r="F1299" s="103" t="str">
        <f aca="false">IF(OR($C1299="",$D1299=0),"",$E1299/$D1299)</f>
        <v/>
      </c>
      <c r="H1299" s="0" t="str">
        <f aca="false">IF($C1299="","",IF(COUNTIF('مواد المخزون'!$A$2:$A$86,$C1299)&gt;0,"نعم","لا (خارج الجرد)"))</f>
        <v/>
      </c>
    </row>
    <row r="1300" customFormat="false" ht="15" hidden="false" customHeight="false" outlineLevel="0" collapsed="false">
      <c r="A1300" s="102"/>
      <c r="B1300" s="104"/>
      <c r="C1300" s="104"/>
      <c r="F1300" s="103" t="str">
        <f aca="false">IF(OR($C1300="",$D1300=0),"",$E1300/$D1300)</f>
        <v/>
      </c>
      <c r="H1300" s="0" t="str">
        <f aca="false">IF($C1300="","",IF(COUNTIF('مواد المخزون'!$A$2:$A$86,$C1300)&gt;0,"نعم","لا (خارج الجرد)"))</f>
        <v/>
      </c>
    </row>
    <row r="1301" customFormat="false" ht="15" hidden="false" customHeight="false" outlineLevel="0" collapsed="false">
      <c r="A1301" s="102"/>
      <c r="B1301" s="104"/>
      <c r="C1301" s="104"/>
      <c r="F1301" s="103" t="str">
        <f aca="false">IF(OR($C1301="",$D1301=0),"",$E1301/$D1301)</f>
        <v/>
      </c>
      <c r="H1301" s="0" t="str">
        <f aca="false">IF($C1301="","",IF(COUNTIF('مواد المخزون'!$A$2:$A$86,$C1301)&gt;0,"نعم","لا (خارج الجرد)"))</f>
        <v/>
      </c>
    </row>
    <row r="1302" customFormat="false" ht="15" hidden="false" customHeight="false" outlineLevel="0" collapsed="false">
      <c r="A1302" s="102"/>
      <c r="B1302" s="104"/>
      <c r="C1302" s="104"/>
      <c r="F1302" s="103" t="str">
        <f aca="false">IF(OR($C1302="",$D1302=0),"",$E1302/$D1302)</f>
        <v/>
      </c>
      <c r="H1302" s="0" t="str">
        <f aca="false">IF($C1302="","",IF(COUNTIF('مواد المخزون'!$A$2:$A$86,$C1302)&gt;0,"نعم","لا (خارج الجرد)"))</f>
        <v/>
      </c>
    </row>
    <row r="1303" customFormat="false" ht="15" hidden="false" customHeight="false" outlineLevel="0" collapsed="false">
      <c r="A1303" s="102"/>
      <c r="B1303" s="104"/>
      <c r="C1303" s="104"/>
      <c r="F1303" s="103" t="str">
        <f aca="false">IF(OR($C1303="",$D1303=0),"",$E1303/$D1303)</f>
        <v/>
      </c>
      <c r="H1303" s="0" t="str">
        <f aca="false">IF($C1303="","",IF(COUNTIF('مواد المخزون'!$A$2:$A$86,$C1303)&gt;0,"نعم","لا (خارج الجرد)"))</f>
        <v/>
      </c>
    </row>
    <row r="1304" customFormat="false" ht="15" hidden="false" customHeight="false" outlineLevel="0" collapsed="false">
      <c r="A1304" s="102"/>
      <c r="B1304" s="104"/>
      <c r="C1304" s="104"/>
      <c r="F1304" s="103" t="str">
        <f aca="false">IF(OR($C1304="",$D1304=0),"",$E1304/$D1304)</f>
        <v/>
      </c>
      <c r="H1304" s="0" t="str">
        <f aca="false">IF($C1304="","",IF(COUNTIF('مواد المخزون'!$A$2:$A$86,$C1304)&gt;0,"نعم","لا (خارج الجرد)"))</f>
        <v/>
      </c>
    </row>
    <row r="1305" customFormat="false" ht="15" hidden="false" customHeight="false" outlineLevel="0" collapsed="false">
      <c r="A1305" s="102"/>
      <c r="B1305" s="104"/>
      <c r="C1305" s="104"/>
      <c r="F1305" s="103" t="str">
        <f aca="false">IF(OR($C1305="",$D1305=0),"",$E1305/$D1305)</f>
        <v/>
      </c>
      <c r="H1305" s="0" t="str">
        <f aca="false">IF($C1305="","",IF(COUNTIF('مواد المخزون'!$A$2:$A$86,$C1305)&gt;0,"نعم","لا (خارج الجرد)"))</f>
        <v/>
      </c>
    </row>
    <row r="1306" customFormat="false" ht="15" hidden="false" customHeight="false" outlineLevel="0" collapsed="false">
      <c r="A1306" s="102"/>
      <c r="B1306" s="104"/>
      <c r="C1306" s="104"/>
      <c r="F1306" s="103" t="str">
        <f aca="false">IF(OR($C1306="",$D1306=0),"",$E1306/$D1306)</f>
        <v/>
      </c>
      <c r="H1306" s="0" t="str">
        <f aca="false">IF($C1306="","",IF(COUNTIF('مواد المخزون'!$A$2:$A$86,$C1306)&gt;0,"نعم","لا (خارج الجرد)"))</f>
        <v/>
      </c>
    </row>
    <row r="1307" customFormat="false" ht="15" hidden="false" customHeight="false" outlineLevel="0" collapsed="false">
      <c r="A1307" s="102"/>
      <c r="B1307" s="104"/>
      <c r="C1307" s="104"/>
      <c r="F1307" s="103" t="str">
        <f aca="false">IF(OR($C1307="",$D1307=0),"",$E1307/$D1307)</f>
        <v/>
      </c>
      <c r="H1307" s="0" t="str">
        <f aca="false">IF($C1307="","",IF(COUNTIF('مواد المخزون'!$A$2:$A$86,$C1307)&gt;0,"نعم","لا (خارج الجرد)"))</f>
        <v/>
      </c>
    </row>
    <row r="1308" customFormat="false" ht="15" hidden="false" customHeight="false" outlineLevel="0" collapsed="false">
      <c r="A1308" s="102"/>
      <c r="B1308" s="104"/>
      <c r="C1308" s="104"/>
      <c r="F1308" s="103" t="str">
        <f aca="false">IF(OR($C1308="",$D1308=0),"",$E1308/$D1308)</f>
        <v/>
      </c>
      <c r="H1308" s="0" t="str">
        <f aca="false">IF($C1308="","",IF(COUNTIF('مواد المخزون'!$A$2:$A$86,$C1308)&gt;0,"نعم","لا (خارج الجرد)"))</f>
        <v/>
      </c>
    </row>
    <row r="1309" customFormat="false" ht="15" hidden="false" customHeight="false" outlineLevel="0" collapsed="false">
      <c r="A1309" s="102"/>
      <c r="B1309" s="104"/>
      <c r="C1309" s="104"/>
      <c r="F1309" s="103" t="str">
        <f aca="false">IF(OR($C1309="",$D1309=0),"",$E1309/$D1309)</f>
        <v/>
      </c>
      <c r="H1309" s="0" t="str">
        <f aca="false">IF($C1309="","",IF(COUNTIF('مواد المخزون'!$A$2:$A$86,$C1309)&gt;0,"نعم","لا (خارج الجرد)"))</f>
        <v/>
      </c>
    </row>
    <row r="1310" customFormat="false" ht="15" hidden="false" customHeight="false" outlineLevel="0" collapsed="false">
      <c r="A1310" s="102"/>
      <c r="B1310" s="104"/>
      <c r="C1310" s="104"/>
      <c r="F1310" s="103" t="str">
        <f aca="false">IF(OR($C1310="",$D1310=0),"",$E1310/$D1310)</f>
        <v/>
      </c>
      <c r="H1310" s="0" t="str">
        <f aca="false">IF($C1310="","",IF(COUNTIF('مواد المخزون'!$A$2:$A$86,$C1310)&gt;0,"نعم","لا (خارج الجرد)"))</f>
        <v/>
      </c>
    </row>
    <row r="1311" customFormat="false" ht="15" hidden="false" customHeight="false" outlineLevel="0" collapsed="false">
      <c r="A1311" s="102"/>
      <c r="B1311" s="104"/>
      <c r="C1311" s="104"/>
      <c r="F1311" s="103" t="str">
        <f aca="false">IF(OR($C1311="",$D1311=0),"",$E1311/$D1311)</f>
        <v/>
      </c>
      <c r="H1311" s="0" t="str">
        <f aca="false">IF($C1311="","",IF(COUNTIF('مواد المخزون'!$A$2:$A$86,$C1311)&gt;0,"نعم","لا (خارج الجرد)"))</f>
        <v/>
      </c>
    </row>
    <row r="1312" customFormat="false" ht="15" hidden="false" customHeight="false" outlineLevel="0" collapsed="false">
      <c r="A1312" s="102"/>
      <c r="B1312" s="104"/>
      <c r="C1312" s="104"/>
      <c r="F1312" s="103" t="str">
        <f aca="false">IF(OR($C1312="",$D1312=0),"",$E1312/$D1312)</f>
        <v/>
      </c>
      <c r="H1312" s="0" t="str">
        <f aca="false">IF($C1312="","",IF(COUNTIF('مواد المخزون'!$A$2:$A$86,$C1312)&gt;0,"نعم","لا (خارج الجرد)"))</f>
        <v/>
      </c>
    </row>
    <row r="1313" customFormat="false" ht="15" hidden="false" customHeight="false" outlineLevel="0" collapsed="false">
      <c r="A1313" s="102"/>
      <c r="B1313" s="104"/>
      <c r="C1313" s="104"/>
      <c r="F1313" s="103" t="str">
        <f aca="false">IF(OR($C1313="",$D1313=0),"",$E1313/$D1313)</f>
        <v/>
      </c>
      <c r="H1313" s="0" t="str">
        <f aca="false">IF($C1313="","",IF(COUNTIF('مواد المخزون'!$A$2:$A$86,$C1313)&gt;0,"نعم","لا (خارج الجرد)"))</f>
        <v/>
      </c>
    </row>
    <row r="1314" customFormat="false" ht="15" hidden="false" customHeight="false" outlineLevel="0" collapsed="false">
      <c r="A1314" s="102"/>
      <c r="B1314" s="104"/>
      <c r="C1314" s="104"/>
      <c r="F1314" s="103" t="str">
        <f aca="false">IF(OR($C1314="",$D1314=0),"",$E1314/$D1314)</f>
        <v/>
      </c>
      <c r="H1314" s="0" t="str">
        <f aca="false">IF($C1314="","",IF(COUNTIF('مواد المخزون'!$A$2:$A$86,$C1314)&gt;0,"نعم","لا (خارج الجرد)"))</f>
        <v/>
      </c>
    </row>
    <row r="1315" customFormat="false" ht="15" hidden="false" customHeight="false" outlineLevel="0" collapsed="false">
      <c r="A1315" s="102"/>
      <c r="B1315" s="104"/>
      <c r="C1315" s="104"/>
      <c r="F1315" s="103" t="str">
        <f aca="false">IF(OR($C1315="",$D1315=0),"",$E1315/$D1315)</f>
        <v/>
      </c>
      <c r="H1315" s="0" t="str">
        <f aca="false">IF($C1315="","",IF(COUNTIF('مواد المخزون'!$A$2:$A$86,$C1315)&gt;0,"نعم","لا (خارج الجرد)"))</f>
        <v/>
      </c>
    </row>
    <row r="1316" customFormat="false" ht="15" hidden="false" customHeight="false" outlineLevel="0" collapsed="false">
      <c r="A1316" s="102"/>
      <c r="B1316" s="104"/>
      <c r="C1316" s="104"/>
      <c r="F1316" s="103" t="str">
        <f aca="false">IF(OR($C1316="",$D1316=0),"",$E1316/$D1316)</f>
        <v/>
      </c>
      <c r="H1316" s="0" t="str">
        <f aca="false">IF($C1316="","",IF(COUNTIF('مواد المخزون'!$A$2:$A$86,$C1316)&gt;0,"نعم","لا (خارج الجرد)"))</f>
        <v/>
      </c>
    </row>
    <row r="1317" customFormat="false" ht="15" hidden="false" customHeight="false" outlineLevel="0" collapsed="false">
      <c r="A1317" s="102"/>
      <c r="B1317" s="104"/>
      <c r="C1317" s="104"/>
      <c r="F1317" s="103" t="str">
        <f aca="false">IF(OR($C1317="",$D1317=0),"",$E1317/$D1317)</f>
        <v/>
      </c>
      <c r="H1317" s="0" t="str">
        <f aca="false">IF($C1317="","",IF(COUNTIF('مواد المخزون'!$A$2:$A$86,$C1317)&gt;0,"نعم","لا (خارج الجرد)"))</f>
        <v/>
      </c>
    </row>
    <row r="1318" customFormat="false" ht="15" hidden="false" customHeight="false" outlineLevel="0" collapsed="false">
      <c r="A1318" s="102"/>
      <c r="B1318" s="104"/>
      <c r="C1318" s="104"/>
      <c r="F1318" s="103" t="str">
        <f aca="false">IF(OR($C1318="",$D1318=0),"",$E1318/$D1318)</f>
        <v/>
      </c>
      <c r="H1318" s="0" t="str">
        <f aca="false">IF($C1318="","",IF(COUNTIF('مواد المخزون'!$A$2:$A$86,$C1318)&gt;0,"نعم","لا (خارج الجرد)"))</f>
        <v/>
      </c>
    </row>
    <row r="1319" customFormat="false" ht="15" hidden="false" customHeight="false" outlineLevel="0" collapsed="false">
      <c r="A1319" s="102"/>
      <c r="B1319" s="104"/>
      <c r="C1319" s="104"/>
      <c r="F1319" s="103" t="str">
        <f aca="false">IF(OR($C1319="",$D1319=0),"",$E1319/$D1319)</f>
        <v/>
      </c>
      <c r="H1319" s="0" t="str">
        <f aca="false">IF($C1319="","",IF(COUNTIF('مواد المخزون'!$A$2:$A$86,$C1319)&gt;0,"نعم","لا (خارج الجرد)"))</f>
        <v/>
      </c>
    </row>
    <row r="1320" customFormat="false" ht="15" hidden="false" customHeight="false" outlineLevel="0" collapsed="false">
      <c r="A1320" s="102"/>
      <c r="B1320" s="104"/>
      <c r="C1320" s="104"/>
      <c r="F1320" s="103" t="str">
        <f aca="false">IF(OR($C1320="",$D1320=0),"",$E1320/$D1320)</f>
        <v/>
      </c>
      <c r="H1320" s="0" t="str">
        <f aca="false">IF($C1320="","",IF(COUNTIF('مواد المخزون'!$A$2:$A$86,$C1320)&gt;0,"نعم","لا (خارج الجرد)"))</f>
        <v/>
      </c>
    </row>
    <row r="1321" customFormat="false" ht="15" hidden="false" customHeight="false" outlineLevel="0" collapsed="false">
      <c r="A1321" s="102"/>
      <c r="B1321" s="104"/>
      <c r="C1321" s="104"/>
      <c r="F1321" s="103" t="str">
        <f aca="false">IF(OR($C1321="",$D1321=0),"",$E1321/$D1321)</f>
        <v/>
      </c>
      <c r="H1321" s="0" t="str">
        <f aca="false">IF($C1321="","",IF(COUNTIF('مواد المخزون'!$A$2:$A$86,$C1321)&gt;0,"نعم","لا (خارج الجرد)"))</f>
        <v/>
      </c>
    </row>
    <row r="1322" customFormat="false" ht="15" hidden="false" customHeight="false" outlineLevel="0" collapsed="false">
      <c r="A1322" s="102"/>
      <c r="B1322" s="104"/>
      <c r="C1322" s="104"/>
      <c r="F1322" s="103" t="str">
        <f aca="false">IF(OR($C1322="",$D1322=0),"",$E1322/$D1322)</f>
        <v/>
      </c>
      <c r="H1322" s="0" t="str">
        <f aca="false">IF($C1322="","",IF(COUNTIF('مواد المخزون'!$A$2:$A$86,$C1322)&gt;0,"نعم","لا (خارج الجرد)"))</f>
        <v/>
      </c>
    </row>
    <row r="1323" customFormat="false" ht="15" hidden="false" customHeight="false" outlineLevel="0" collapsed="false">
      <c r="A1323" s="102"/>
      <c r="B1323" s="104"/>
      <c r="C1323" s="104"/>
      <c r="F1323" s="103" t="str">
        <f aca="false">IF(OR($C1323="",$D1323=0),"",$E1323/$D1323)</f>
        <v/>
      </c>
      <c r="H1323" s="0" t="str">
        <f aca="false">IF($C1323="","",IF(COUNTIF('مواد المخزون'!$A$2:$A$86,$C1323)&gt;0,"نعم","لا (خارج الجرد)"))</f>
        <v/>
      </c>
    </row>
    <row r="1324" customFormat="false" ht="15" hidden="false" customHeight="false" outlineLevel="0" collapsed="false">
      <c r="A1324" s="102"/>
      <c r="B1324" s="104"/>
      <c r="C1324" s="104"/>
      <c r="F1324" s="103" t="str">
        <f aca="false">IF(OR($C1324="",$D1324=0),"",$E1324/$D1324)</f>
        <v/>
      </c>
      <c r="H1324" s="0" t="str">
        <f aca="false">IF($C1324="","",IF(COUNTIF('مواد المخزون'!$A$2:$A$86,$C1324)&gt;0,"نعم","لا (خارج الجرد)"))</f>
        <v/>
      </c>
    </row>
    <row r="1325" customFormat="false" ht="15" hidden="false" customHeight="false" outlineLevel="0" collapsed="false">
      <c r="A1325" s="102"/>
      <c r="B1325" s="104"/>
      <c r="C1325" s="104"/>
      <c r="F1325" s="103" t="str">
        <f aca="false">IF(OR($C1325="",$D1325=0),"",$E1325/$D1325)</f>
        <v/>
      </c>
      <c r="H1325" s="0" t="str">
        <f aca="false">IF($C1325="","",IF(COUNTIF('مواد المخزون'!$A$2:$A$86,$C1325)&gt;0,"نعم","لا (خارج الجرد)"))</f>
        <v/>
      </c>
    </row>
    <row r="1326" customFormat="false" ht="15" hidden="false" customHeight="false" outlineLevel="0" collapsed="false">
      <c r="A1326" s="102"/>
      <c r="B1326" s="104"/>
      <c r="C1326" s="104"/>
      <c r="F1326" s="103" t="str">
        <f aca="false">IF(OR($C1326="",$D1326=0),"",$E1326/$D1326)</f>
        <v/>
      </c>
      <c r="H1326" s="0" t="str">
        <f aca="false">IF($C1326="","",IF(COUNTIF('مواد المخزون'!$A$2:$A$86,$C1326)&gt;0,"نعم","لا (خارج الجرد)"))</f>
        <v/>
      </c>
    </row>
    <row r="1327" customFormat="false" ht="15" hidden="false" customHeight="false" outlineLevel="0" collapsed="false">
      <c r="A1327" s="102"/>
      <c r="B1327" s="104"/>
      <c r="C1327" s="104"/>
      <c r="F1327" s="103" t="str">
        <f aca="false">IF(OR($C1327="",$D1327=0),"",$E1327/$D1327)</f>
        <v/>
      </c>
      <c r="H1327" s="0" t="str">
        <f aca="false">IF($C1327="","",IF(COUNTIF('مواد المخزون'!$A$2:$A$86,$C1327)&gt;0,"نعم","لا (خارج الجرد)"))</f>
        <v/>
      </c>
    </row>
    <row r="1328" customFormat="false" ht="15" hidden="false" customHeight="false" outlineLevel="0" collapsed="false">
      <c r="A1328" s="102"/>
      <c r="B1328" s="104"/>
      <c r="C1328" s="104"/>
      <c r="F1328" s="103" t="str">
        <f aca="false">IF(OR($C1328="",$D1328=0),"",$E1328/$D1328)</f>
        <v/>
      </c>
      <c r="H1328" s="0" t="str">
        <f aca="false">IF($C1328="","",IF(COUNTIF('مواد المخزون'!$A$2:$A$86,$C1328)&gt;0,"نعم","لا (خارج الجرد)"))</f>
        <v/>
      </c>
    </row>
    <row r="1329" customFormat="false" ht="15" hidden="false" customHeight="false" outlineLevel="0" collapsed="false">
      <c r="A1329" s="102"/>
      <c r="B1329" s="104"/>
      <c r="C1329" s="104"/>
      <c r="F1329" s="103" t="str">
        <f aca="false">IF(OR($C1329="",$D1329=0),"",$E1329/$D1329)</f>
        <v/>
      </c>
      <c r="H1329" s="0" t="str">
        <f aca="false">IF($C1329="","",IF(COUNTIF('مواد المخزون'!$A$2:$A$86,$C1329)&gt;0,"نعم","لا (خارج الجرد)"))</f>
        <v/>
      </c>
    </row>
    <row r="1330" customFormat="false" ht="15" hidden="false" customHeight="false" outlineLevel="0" collapsed="false">
      <c r="A1330" s="102"/>
      <c r="B1330" s="104"/>
      <c r="C1330" s="104"/>
      <c r="F1330" s="103" t="str">
        <f aca="false">IF(OR($C1330="",$D1330=0),"",$E1330/$D1330)</f>
        <v/>
      </c>
      <c r="H1330" s="0" t="str">
        <f aca="false">IF($C1330="","",IF(COUNTIF('مواد المخزون'!$A$2:$A$86,$C1330)&gt;0,"نعم","لا (خارج الجرد)"))</f>
        <v/>
      </c>
    </row>
    <row r="1331" customFormat="false" ht="15" hidden="false" customHeight="false" outlineLevel="0" collapsed="false">
      <c r="A1331" s="102"/>
      <c r="B1331" s="104"/>
      <c r="C1331" s="104"/>
      <c r="F1331" s="103" t="str">
        <f aca="false">IF(OR($C1331="",$D1331=0),"",$E1331/$D1331)</f>
        <v/>
      </c>
      <c r="H1331" s="0" t="str">
        <f aca="false">IF($C1331="","",IF(COUNTIF('مواد المخزون'!$A$2:$A$86,$C1331)&gt;0,"نعم","لا (خارج الجرد)"))</f>
        <v/>
      </c>
    </row>
    <row r="1332" customFormat="false" ht="15" hidden="false" customHeight="false" outlineLevel="0" collapsed="false">
      <c r="A1332" s="102"/>
      <c r="B1332" s="104"/>
      <c r="C1332" s="104"/>
      <c r="F1332" s="103" t="str">
        <f aca="false">IF(OR($C1332="",$D1332=0),"",$E1332/$D1332)</f>
        <v/>
      </c>
      <c r="H1332" s="0" t="str">
        <f aca="false">IF($C1332="","",IF(COUNTIF('مواد المخزون'!$A$2:$A$86,$C1332)&gt;0,"نعم","لا (خارج الجرد)"))</f>
        <v/>
      </c>
    </row>
    <row r="1333" customFormat="false" ht="15" hidden="false" customHeight="false" outlineLevel="0" collapsed="false">
      <c r="A1333" s="102"/>
      <c r="B1333" s="104"/>
      <c r="C1333" s="104"/>
      <c r="F1333" s="103" t="str">
        <f aca="false">IF(OR($C1333="",$D1333=0),"",$E1333/$D1333)</f>
        <v/>
      </c>
      <c r="H1333" s="0" t="str">
        <f aca="false">IF($C1333="","",IF(COUNTIF('مواد المخزون'!$A$2:$A$86,$C1333)&gt;0,"نعم","لا (خارج الجرد)"))</f>
        <v/>
      </c>
    </row>
    <row r="1334" customFormat="false" ht="15" hidden="false" customHeight="false" outlineLevel="0" collapsed="false">
      <c r="A1334" s="102"/>
      <c r="B1334" s="104"/>
      <c r="C1334" s="104"/>
      <c r="F1334" s="103" t="str">
        <f aca="false">IF(OR($C1334="",$D1334=0),"",$E1334/$D1334)</f>
        <v/>
      </c>
      <c r="H1334" s="0" t="str">
        <f aca="false">IF($C1334="","",IF(COUNTIF('مواد المخزون'!$A$2:$A$86,$C1334)&gt;0,"نعم","لا (خارج الجرد)"))</f>
        <v/>
      </c>
    </row>
    <row r="1335" customFormat="false" ht="15" hidden="false" customHeight="false" outlineLevel="0" collapsed="false">
      <c r="A1335" s="102"/>
      <c r="B1335" s="104"/>
      <c r="C1335" s="104"/>
      <c r="F1335" s="103" t="str">
        <f aca="false">IF(OR($C1335="",$D1335=0),"",$E1335/$D1335)</f>
        <v/>
      </c>
      <c r="H1335" s="0" t="str">
        <f aca="false">IF($C1335="","",IF(COUNTIF('مواد المخزون'!$A$2:$A$86,$C1335)&gt;0,"نعم","لا (خارج الجرد)"))</f>
        <v/>
      </c>
    </row>
    <row r="1336" customFormat="false" ht="15" hidden="false" customHeight="false" outlineLevel="0" collapsed="false">
      <c r="A1336" s="102"/>
      <c r="B1336" s="104"/>
      <c r="C1336" s="104"/>
      <c r="F1336" s="103" t="str">
        <f aca="false">IF(OR($C1336="",$D1336=0),"",$E1336/$D1336)</f>
        <v/>
      </c>
      <c r="H1336" s="0" t="str">
        <f aca="false">IF($C1336="","",IF(COUNTIF('مواد المخزون'!$A$2:$A$86,$C1336)&gt;0,"نعم","لا (خارج الجرد)"))</f>
        <v/>
      </c>
    </row>
    <row r="1337" customFormat="false" ht="15" hidden="false" customHeight="false" outlineLevel="0" collapsed="false">
      <c r="A1337" s="102"/>
      <c r="B1337" s="104"/>
      <c r="C1337" s="104"/>
      <c r="F1337" s="103" t="str">
        <f aca="false">IF(OR($C1337="",$D1337=0),"",$E1337/$D1337)</f>
        <v/>
      </c>
      <c r="H1337" s="0" t="str">
        <f aca="false">IF($C1337="","",IF(COUNTIF('مواد المخزون'!$A$2:$A$86,$C1337)&gt;0,"نعم","لا (خارج الجرد)"))</f>
        <v/>
      </c>
    </row>
    <row r="1338" customFormat="false" ht="15" hidden="false" customHeight="false" outlineLevel="0" collapsed="false">
      <c r="A1338" s="102"/>
      <c r="B1338" s="104"/>
      <c r="C1338" s="104"/>
      <c r="F1338" s="103" t="str">
        <f aca="false">IF(OR($C1338="",$D1338=0),"",$E1338/$D1338)</f>
        <v/>
      </c>
      <c r="H1338" s="0" t="str">
        <f aca="false">IF($C1338="","",IF(COUNTIF('مواد المخزون'!$A$2:$A$86,$C1338)&gt;0,"نعم","لا (خارج الجرد)"))</f>
        <v/>
      </c>
    </row>
    <row r="1339" customFormat="false" ht="15" hidden="false" customHeight="false" outlineLevel="0" collapsed="false">
      <c r="A1339" s="102"/>
      <c r="B1339" s="104"/>
      <c r="C1339" s="104"/>
      <c r="F1339" s="103" t="str">
        <f aca="false">IF(OR($C1339="",$D1339=0),"",$E1339/$D1339)</f>
        <v/>
      </c>
      <c r="H1339" s="0" t="str">
        <f aca="false">IF($C1339="","",IF(COUNTIF('مواد المخزون'!$A$2:$A$86,$C1339)&gt;0,"نعم","لا (خارج الجرد)"))</f>
        <v/>
      </c>
    </row>
    <row r="1340" customFormat="false" ht="15" hidden="false" customHeight="false" outlineLevel="0" collapsed="false">
      <c r="A1340" s="102"/>
      <c r="B1340" s="104"/>
      <c r="C1340" s="104"/>
      <c r="F1340" s="103" t="str">
        <f aca="false">IF(OR($C1340="",$D1340=0),"",$E1340/$D1340)</f>
        <v/>
      </c>
      <c r="H1340" s="0" t="str">
        <f aca="false">IF($C1340="","",IF(COUNTIF('مواد المخزون'!$A$2:$A$86,$C1340)&gt;0,"نعم","لا (خارج الجرد)"))</f>
        <v/>
      </c>
    </row>
    <row r="1341" customFormat="false" ht="15" hidden="false" customHeight="false" outlineLevel="0" collapsed="false">
      <c r="A1341" s="102"/>
      <c r="B1341" s="104"/>
      <c r="C1341" s="104"/>
      <c r="F1341" s="103" t="str">
        <f aca="false">IF(OR($C1341="",$D1341=0),"",$E1341/$D1341)</f>
        <v/>
      </c>
      <c r="H1341" s="0" t="str">
        <f aca="false">IF($C1341="","",IF(COUNTIF('مواد المخزون'!$A$2:$A$86,$C1341)&gt;0,"نعم","لا (خارج الجرد)"))</f>
        <v/>
      </c>
    </row>
    <row r="1342" customFormat="false" ht="15" hidden="false" customHeight="false" outlineLevel="0" collapsed="false">
      <c r="A1342" s="102"/>
      <c r="B1342" s="104"/>
      <c r="C1342" s="104"/>
      <c r="F1342" s="103" t="str">
        <f aca="false">IF(OR($C1342="",$D1342=0),"",$E1342/$D1342)</f>
        <v/>
      </c>
      <c r="H1342" s="0" t="str">
        <f aca="false">IF($C1342="","",IF(COUNTIF('مواد المخزون'!$A$2:$A$86,$C1342)&gt;0,"نعم","لا (خارج الجرد)"))</f>
        <v/>
      </c>
    </row>
    <row r="1343" customFormat="false" ht="15" hidden="false" customHeight="false" outlineLevel="0" collapsed="false">
      <c r="A1343" s="102"/>
      <c r="B1343" s="104"/>
      <c r="C1343" s="104"/>
      <c r="F1343" s="103" t="str">
        <f aca="false">IF(OR($C1343="",$D1343=0),"",$E1343/$D1343)</f>
        <v/>
      </c>
      <c r="H1343" s="0" t="str">
        <f aca="false">IF($C1343="","",IF(COUNTIF('مواد المخزون'!$A$2:$A$86,$C1343)&gt;0,"نعم","لا (خارج الجرد)"))</f>
        <v/>
      </c>
    </row>
    <row r="1344" customFormat="false" ht="15" hidden="false" customHeight="false" outlineLevel="0" collapsed="false">
      <c r="A1344" s="102"/>
      <c r="B1344" s="104"/>
      <c r="C1344" s="104"/>
      <c r="F1344" s="103" t="str">
        <f aca="false">IF(OR($C1344="",$D1344=0),"",$E1344/$D1344)</f>
        <v/>
      </c>
      <c r="H1344" s="0" t="str">
        <f aca="false">IF($C1344="","",IF(COUNTIF('مواد المخزون'!$A$2:$A$86,$C1344)&gt;0,"نعم","لا (خارج الجرد)"))</f>
        <v/>
      </c>
    </row>
    <row r="1345" customFormat="false" ht="15" hidden="false" customHeight="false" outlineLevel="0" collapsed="false">
      <c r="A1345" s="102"/>
      <c r="B1345" s="104"/>
      <c r="C1345" s="104"/>
      <c r="F1345" s="103" t="str">
        <f aca="false">IF(OR($C1345="",$D1345=0),"",$E1345/$D1345)</f>
        <v/>
      </c>
      <c r="H1345" s="0" t="str">
        <f aca="false">IF($C1345="","",IF(COUNTIF('مواد المخزون'!$A$2:$A$86,$C1345)&gt;0,"نعم","لا (خارج الجرد)"))</f>
        <v/>
      </c>
    </row>
    <row r="1346" customFormat="false" ht="15" hidden="false" customHeight="false" outlineLevel="0" collapsed="false">
      <c r="A1346" s="102"/>
      <c r="B1346" s="104"/>
      <c r="C1346" s="104"/>
      <c r="F1346" s="103" t="str">
        <f aca="false">IF(OR($C1346="",$D1346=0),"",$E1346/$D1346)</f>
        <v/>
      </c>
      <c r="H1346" s="0" t="str">
        <f aca="false">IF($C1346="","",IF(COUNTIF('مواد المخزون'!$A$2:$A$86,$C1346)&gt;0,"نعم","لا (خارج الجرد)"))</f>
        <v/>
      </c>
    </row>
    <row r="1347" customFormat="false" ht="15" hidden="false" customHeight="false" outlineLevel="0" collapsed="false">
      <c r="A1347" s="102"/>
      <c r="B1347" s="104"/>
      <c r="C1347" s="104"/>
      <c r="F1347" s="103" t="str">
        <f aca="false">IF(OR($C1347="",$D1347=0),"",$E1347/$D1347)</f>
        <v/>
      </c>
      <c r="H1347" s="0" t="str">
        <f aca="false">IF($C1347="","",IF(COUNTIF('مواد المخزون'!$A$2:$A$86,$C1347)&gt;0,"نعم","لا (خارج الجرد)"))</f>
        <v/>
      </c>
    </row>
    <row r="1348" customFormat="false" ht="15" hidden="false" customHeight="false" outlineLevel="0" collapsed="false">
      <c r="A1348" s="102"/>
      <c r="B1348" s="104"/>
      <c r="C1348" s="104"/>
      <c r="F1348" s="103" t="str">
        <f aca="false">IF(OR($C1348="",$D1348=0),"",$E1348/$D1348)</f>
        <v/>
      </c>
      <c r="H1348" s="0" t="str">
        <f aca="false">IF($C1348="","",IF(COUNTIF('مواد المخزون'!$A$2:$A$86,$C1348)&gt;0,"نعم","لا (خارج الجرد)"))</f>
        <v/>
      </c>
    </row>
    <row r="1349" customFormat="false" ht="15" hidden="false" customHeight="false" outlineLevel="0" collapsed="false">
      <c r="A1349" s="102"/>
      <c r="B1349" s="104"/>
      <c r="C1349" s="104"/>
      <c r="F1349" s="103" t="str">
        <f aca="false">IF(OR($C1349="",$D1349=0),"",$E1349/$D1349)</f>
        <v/>
      </c>
      <c r="H1349" s="0" t="str">
        <f aca="false">IF($C1349="","",IF(COUNTIF('مواد المخزون'!$A$2:$A$86,$C1349)&gt;0,"نعم","لا (خارج الجرد)"))</f>
        <v/>
      </c>
    </row>
    <row r="1350" customFormat="false" ht="15" hidden="false" customHeight="false" outlineLevel="0" collapsed="false">
      <c r="A1350" s="102"/>
      <c r="B1350" s="104"/>
      <c r="C1350" s="104"/>
      <c r="F1350" s="103" t="str">
        <f aca="false">IF(OR($C1350="",$D1350=0),"",$E1350/$D1350)</f>
        <v/>
      </c>
      <c r="H1350" s="0" t="str">
        <f aca="false">IF($C1350="","",IF(COUNTIF('مواد المخزون'!$A$2:$A$86,$C1350)&gt;0,"نعم","لا (خارج الجرد)"))</f>
        <v/>
      </c>
    </row>
    <row r="1351" customFormat="false" ht="15" hidden="false" customHeight="false" outlineLevel="0" collapsed="false">
      <c r="A1351" s="102"/>
      <c r="B1351" s="104"/>
      <c r="C1351" s="104"/>
      <c r="F1351" s="103" t="str">
        <f aca="false">IF(OR($C1351="",$D1351=0),"",$E1351/$D1351)</f>
        <v/>
      </c>
      <c r="H1351" s="0" t="str">
        <f aca="false">IF($C1351="","",IF(COUNTIF('مواد المخزون'!$A$2:$A$86,$C1351)&gt;0,"نعم","لا (خارج الجرد)"))</f>
        <v/>
      </c>
    </row>
    <row r="1352" customFormat="false" ht="15" hidden="false" customHeight="false" outlineLevel="0" collapsed="false">
      <c r="A1352" s="102"/>
      <c r="B1352" s="104"/>
      <c r="C1352" s="104"/>
      <c r="F1352" s="103" t="str">
        <f aca="false">IF(OR($C1352="",$D1352=0),"",$E1352/$D1352)</f>
        <v/>
      </c>
      <c r="H1352" s="0" t="str">
        <f aca="false">IF($C1352="","",IF(COUNTIF('مواد المخزون'!$A$2:$A$86,$C1352)&gt;0,"نعم","لا (خارج الجرد)"))</f>
        <v/>
      </c>
    </row>
    <row r="1353" customFormat="false" ht="15" hidden="false" customHeight="false" outlineLevel="0" collapsed="false">
      <c r="A1353" s="102"/>
      <c r="B1353" s="104"/>
      <c r="C1353" s="104"/>
      <c r="F1353" s="103" t="str">
        <f aca="false">IF(OR($C1353="",$D1353=0),"",$E1353/$D1353)</f>
        <v/>
      </c>
      <c r="H1353" s="0" t="str">
        <f aca="false">IF($C1353="","",IF(COUNTIF('مواد المخزون'!$A$2:$A$86,$C1353)&gt;0,"نعم","لا (خارج الجرد)"))</f>
        <v/>
      </c>
    </row>
    <row r="1354" customFormat="false" ht="15" hidden="false" customHeight="false" outlineLevel="0" collapsed="false">
      <c r="A1354" s="102"/>
      <c r="B1354" s="104"/>
      <c r="C1354" s="104"/>
      <c r="F1354" s="103" t="str">
        <f aca="false">IF(OR($C1354="",$D1354=0),"",$E1354/$D1354)</f>
        <v/>
      </c>
      <c r="H1354" s="0" t="str">
        <f aca="false">IF($C1354="","",IF(COUNTIF('مواد المخزون'!$A$2:$A$86,$C1354)&gt;0,"نعم","لا (خارج الجرد)"))</f>
        <v/>
      </c>
    </row>
    <row r="1355" customFormat="false" ht="15" hidden="false" customHeight="false" outlineLevel="0" collapsed="false">
      <c r="A1355" s="102"/>
      <c r="B1355" s="104"/>
      <c r="C1355" s="104"/>
      <c r="F1355" s="103" t="str">
        <f aca="false">IF(OR($C1355="",$D1355=0),"",$E1355/$D1355)</f>
        <v/>
      </c>
      <c r="H1355" s="0" t="str">
        <f aca="false">IF($C1355="","",IF(COUNTIF('مواد المخزون'!$A$2:$A$86,$C1355)&gt;0,"نعم","لا (خارج الجرد)"))</f>
        <v/>
      </c>
    </row>
    <row r="1356" customFormat="false" ht="15" hidden="false" customHeight="false" outlineLevel="0" collapsed="false">
      <c r="A1356" s="102"/>
      <c r="B1356" s="104"/>
      <c r="C1356" s="104"/>
      <c r="F1356" s="103" t="str">
        <f aca="false">IF(OR($C1356="",$D1356=0),"",$E1356/$D1356)</f>
        <v/>
      </c>
      <c r="H1356" s="0" t="str">
        <f aca="false">IF($C1356="","",IF(COUNTIF('مواد المخزون'!$A$2:$A$86,$C1356)&gt;0,"نعم","لا (خارج الجرد)"))</f>
        <v/>
      </c>
    </row>
    <row r="1357" customFormat="false" ht="15" hidden="false" customHeight="false" outlineLevel="0" collapsed="false">
      <c r="A1357" s="102"/>
      <c r="B1357" s="104"/>
      <c r="C1357" s="104"/>
      <c r="F1357" s="103" t="str">
        <f aca="false">IF(OR($C1357="",$D1357=0),"",$E1357/$D1357)</f>
        <v/>
      </c>
      <c r="H1357" s="0" t="str">
        <f aca="false">IF($C1357="","",IF(COUNTIF('مواد المخزون'!$A$2:$A$86,$C1357)&gt;0,"نعم","لا (خارج الجرد)"))</f>
        <v/>
      </c>
    </row>
    <row r="1358" customFormat="false" ht="15" hidden="false" customHeight="false" outlineLevel="0" collapsed="false">
      <c r="A1358" s="102"/>
      <c r="B1358" s="104"/>
      <c r="C1358" s="104"/>
      <c r="F1358" s="103" t="str">
        <f aca="false">IF(OR($C1358="",$D1358=0),"",$E1358/$D1358)</f>
        <v/>
      </c>
      <c r="H1358" s="0" t="str">
        <f aca="false">IF($C1358="","",IF(COUNTIF('مواد المخزون'!$A$2:$A$86,$C1358)&gt;0,"نعم","لا (خارج الجرد)"))</f>
        <v/>
      </c>
    </row>
    <row r="1359" customFormat="false" ht="15" hidden="false" customHeight="false" outlineLevel="0" collapsed="false">
      <c r="A1359" s="102"/>
      <c r="B1359" s="104"/>
      <c r="C1359" s="104"/>
      <c r="F1359" s="103" t="str">
        <f aca="false">IF(OR($C1359="",$D1359=0),"",$E1359/$D1359)</f>
        <v/>
      </c>
      <c r="H1359" s="0" t="str">
        <f aca="false">IF($C1359="","",IF(COUNTIF('مواد المخزون'!$A$2:$A$86,$C1359)&gt;0,"نعم","لا (خارج الجرد)"))</f>
        <v/>
      </c>
    </row>
    <row r="1360" customFormat="false" ht="15" hidden="false" customHeight="false" outlineLevel="0" collapsed="false">
      <c r="A1360" s="102"/>
      <c r="B1360" s="104"/>
      <c r="C1360" s="104"/>
      <c r="F1360" s="103" t="str">
        <f aca="false">IF(OR($C1360="",$D1360=0),"",$E1360/$D1360)</f>
        <v/>
      </c>
      <c r="H1360" s="0" t="str">
        <f aca="false">IF($C1360="","",IF(COUNTIF('مواد المخزون'!$A$2:$A$86,$C1360)&gt;0,"نعم","لا (خارج الجرد)"))</f>
        <v/>
      </c>
    </row>
    <row r="1361" customFormat="false" ht="15" hidden="false" customHeight="false" outlineLevel="0" collapsed="false">
      <c r="A1361" s="102"/>
      <c r="B1361" s="104"/>
      <c r="C1361" s="104"/>
      <c r="F1361" s="103" t="str">
        <f aca="false">IF(OR($C1361="",$D1361=0),"",$E1361/$D1361)</f>
        <v/>
      </c>
      <c r="H1361" s="0" t="str">
        <f aca="false">IF($C1361="","",IF(COUNTIF('مواد المخزون'!$A$2:$A$86,$C1361)&gt;0,"نعم","لا (خارج الجرد)"))</f>
        <v/>
      </c>
    </row>
    <row r="1362" customFormat="false" ht="15" hidden="false" customHeight="false" outlineLevel="0" collapsed="false">
      <c r="A1362" s="102"/>
      <c r="B1362" s="104"/>
      <c r="C1362" s="104"/>
      <c r="F1362" s="103" t="str">
        <f aca="false">IF(OR($C1362="",$D1362=0),"",$E1362/$D1362)</f>
        <v/>
      </c>
      <c r="H1362" s="0" t="str">
        <f aca="false">IF($C1362="","",IF(COUNTIF('مواد المخزون'!$A$2:$A$86,$C1362)&gt;0,"نعم","لا (خارج الجرد)"))</f>
        <v/>
      </c>
    </row>
    <row r="1363" customFormat="false" ht="15" hidden="false" customHeight="false" outlineLevel="0" collapsed="false">
      <c r="A1363" s="102"/>
      <c r="B1363" s="104"/>
      <c r="C1363" s="104"/>
      <c r="F1363" s="103" t="str">
        <f aca="false">IF(OR($C1363="",$D1363=0),"",$E1363/$D1363)</f>
        <v/>
      </c>
      <c r="H1363" s="0" t="str">
        <f aca="false">IF($C1363="","",IF(COUNTIF('مواد المخزون'!$A$2:$A$86,$C1363)&gt;0,"نعم","لا (خارج الجرد)"))</f>
        <v/>
      </c>
    </row>
    <row r="1364" customFormat="false" ht="15" hidden="false" customHeight="false" outlineLevel="0" collapsed="false">
      <c r="A1364" s="102"/>
      <c r="B1364" s="104"/>
      <c r="C1364" s="104"/>
      <c r="F1364" s="103" t="str">
        <f aca="false">IF(OR($C1364="",$D1364=0),"",$E1364/$D1364)</f>
        <v/>
      </c>
      <c r="H1364" s="0" t="str">
        <f aca="false">IF($C1364="","",IF(COUNTIF('مواد المخزون'!$A$2:$A$86,$C1364)&gt;0,"نعم","لا (خارج الجرد)"))</f>
        <v/>
      </c>
    </row>
    <row r="1365" customFormat="false" ht="15" hidden="false" customHeight="false" outlineLevel="0" collapsed="false">
      <c r="A1365" s="102"/>
      <c r="B1365" s="104"/>
      <c r="C1365" s="104"/>
      <c r="F1365" s="103" t="str">
        <f aca="false">IF(OR($C1365="",$D1365=0),"",$E1365/$D1365)</f>
        <v/>
      </c>
      <c r="H1365" s="0" t="str">
        <f aca="false">IF($C1365="","",IF(COUNTIF('مواد المخزون'!$A$2:$A$86,$C1365)&gt;0,"نعم","لا (خارج الجرد)"))</f>
        <v/>
      </c>
    </row>
    <row r="1366" customFormat="false" ht="15" hidden="false" customHeight="false" outlineLevel="0" collapsed="false">
      <c r="A1366" s="102"/>
      <c r="B1366" s="104"/>
      <c r="C1366" s="104"/>
      <c r="F1366" s="103" t="str">
        <f aca="false">IF(OR($C1366="",$D1366=0),"",$E1366/$D1366)</f>
        <v/>
      </c>
      <c r="H1366" s="0" t="str">
        <f aca="false">IF($C1366="","",IF(COUNTIF('مواد المخزون'!$A$2:$A$86,$C1366)&gt;0,"نعم","لا (خارج الجرد)"))</f>
        <v/>
      </c>
    </row>
    <row r="1367" customFormat="false" ht="15" hidden="false" customHeight="false" outlineLevel="0" collapsed="false">
      <c r="A1367" s="102"/>
      <c r="B1367" s="104"/>
      <c r="C1367" s="104"/>
      <c r="F1367" s="103" t="str">
        <f aca="false">IF(OR($C1367="",$D1367=0),"",$E1367/$D1367)</f>
        <v/>
      </c>
      <c r="H1367" s="0" t="str">
        <f aca="false">IF($C1367="","",IF(COUNTIF('مواد المخزون'!$A$2:$A$86,$C1367)&gt;0,"نعم","لا (خارج الجرد)"))</f>
        <v/>
      </c>
    </row>
    <row r="1368" customFormat="false" ht="15" hidden="false" customHeight="false" outlineLevel="0" collapsed="false">
      <c r="A1368" s="102"/>
      <c r="B1368" s="104"/>
      <c r="C1368" s="104"/>
      <c r="F1368" s="103" t="str">
        <f aca="false">IF(OR($C1368="",$D1368=0),"",$E1368/$D1368)</f>
        <v/>
      </c>
      <c r="H1368" s="0" t="str">
        <f aca="false">IF($C1368="","",IF(COUNTIF('مواد المخزون'!$A$2:$A$86,$C1368)&gt;0,"نعم","لا (خارج الجرد)"))</f>
        <v/>
      </c>
    </row>
    <row r="1369" customFormat="false" ht="15" hidden="false" customHeight="false" outlineLevel="0" collapsed="false">
      <c r="A1369" s="102"/>
      <c r="B1369" s="104"/>
      <c r="C1369" s="104"/>
      <c r="F1369" s="103" t="str">
        <f aca="false">IF(OR($C1369="",$D1369=0),"",$E1369/$D1369)</f>
        <v/>
      </c>
      <c r="H1369" s="0" t="str">
        <f aca="false">IF($C1369="","",IF(COUNTIF('مواد المخزون'!$A$2:$A$86,$C1369)&gt;0,"نعم","لا (خارج الجرد)"))</f>
        <v/>
      </c>
    </row>
    <row r="1370" customFormat="false" ht="15" hidden="false" customHeight="false" outlineLevel="0" collapsed="false">
      <c r="A1370" s="102"/>
      <c r="B1370" s="104"/>
      <c r="C1370" s="104"/>
      <c r="F1370" s="103" t="str">
        <f aca="false">IF(OR($C1370="",$D1370=0),"",$E1370/$D1370)</f>
        <v/>
      </c>
      <c r="H1370" s="0" t="str">
        <f aca="false">IF($C1370="","",IF(COUNTIF('مواد المخزون'!$A$2:$A$86,$C1370)&gt;0,"نعم","لا (خارج الجرد)"))</f>
        <v/>
      </c>
    </row>
    <row r="1371" customFormat="false" ht="15" hidden="false" customHeight="false" outlineLevel="0" collapsed="false">
      <c r="A1371" s="102"/>
      <c r="B1371" s="104"/>
      <c r="C1371" s="104"/>
      <c r="F1371" s="103" t="str">
        <f aca="false">IF(OR($C1371="",$D1371=0),"",$E1371/$D1371)</f>
        <v/>
      </c>
      <c r="H1371" s="0" t="str">
        <f aca="false">IF($C1371="","",IF(COUNTIF('مواد المخزون'!$A$2:$A$86,$C1371)&gt;0,"نعم","لا (خارج الجرد)"))</f>
        <v/>
      </c>
    </row>
    <row r="1372" customFormat="false" ht="15" hidden="false" customHeight="false" outlineLevel="0" collapsed="false">
      <c r="A1372" s="102"/>
      <c r="B1372" s="104"/>
      <c r="C1372" s="104"/>
      <c r="F1372" s="103" t="str">
        <f aca="false">IF(OR($C1372="",$D1372=0),"",$E1372/$D1372)</f>
        <v/>
      </c>
      <c r="H1372" s="0" t="str">
        <f aca="false">IF($C1372="","",IF(COUNTIF('مواد المخزون'!$A$2:$A$86,$C1372)&gt;0,"نعم","لا (خارج الجرد)"))</f>
        <v/>
      </c>
    </row>
    <row r="1373" customFormat="false" ht="15" hidden="false" customHeight="false" outlineLevel="0" collapsed="false">
      <c r="A1373" s="102"/>
      <c r="B1373" s="104"/>
      <c r="C1373" s="104"/>
      <c r="F1373" s="103" t="str">
        <f aca="false">IF(OR($C1373="",$D1373=0),"",$E1373/$D1373)</f>
        <v/>
      </c>
      <c r="H1373" s="0" t="str">
        <f aca="false">IF($C1373="","",IF(COUNTIF('مواد المخزون'!$A$2:$A$86,$C1373)&gt;0,"نعم","لا (خارج الجرد)"))</f>
        <v/>
      </c>
    </row>
    <row r="1374" customFormat="false" ht="15" hidden="false" customHeight="false" outlineLevel="0" collapsed="false">
      <c r="A1374" s="102"/>
      <c r="B1374" s="104"/>
      <c r="C1374" s="104"/>
      <c r="F1374" s="103" t="str">
        <f aca="false">IF(OR($C1374="",$D1374=0),"",$E1374/$D1374)</f>
        <v/>
      </c>
      <c r="H1374" s="0" t="str">
        <f aca="false">IF($C1374="","",IF(COUNTIF('مواد المخزون'!$A$2:$A$86,$C1374)&gt;0,"نعم","لا (خارج الجرد)"))</f>
        <v/>
      </c>
    </row>
    <row r="1375" customFormat="false" ht="15" hidden="false" customHeight="false" outlineLevel="0" collapsed="false">
      <c r="A1375" s="102"/>
      <c r="B1375" s="104"/>
      <c r="C1375" s="104"/>
      <c r="F1375" s="103" t="str">
        <f aca="false">IF(OR($C1375="",$D1375=0),"",$E1375/$D1375)</f>
        <v/>
      </c>
      <c r="H1375" s="0" t="str">
        <f aca="false">IF($C1375="","",IF(COUNTIF('مواد المخزون'!$A$2:$A$86,$C1375)&gt;0,"نعم","لا (خارج الجرد)"))</f>
        <v/>
      </c>
    </row>
    <row r="1376" customFormat="false" ht="15" hidden="false" customHeight="false" outlineLevel="0" collapsed="false">
      <c r="A1376" s="102"/>
      <c r="B1376" s="104"/>
      <c r="C1376" s="104"/>
      <c r="F1376" s="103" t="str">
        <f aca="false">IF(OR($C1376="",$D1376=0),"",$E1376/$D1376)</f>
        <v/>
      </c>
      <c r="H1376" s="0" t="str">
        <f aca="false">IF($C1376="","",IF(COUNTIF('مواد المخزون'!$A$2:$A$86,$C1376)&gt;0,"نعم","لا (خارج الجرد)"))</f>
        <v/>
      </c>
    </row>
    <row r="1377" customFormat="false" ht="15" hidden="false" customHeight="false" outlineLevel="0" collapsed="false">
      <c r="A1377" s="102"/>
      <c r="B1377" s="104"/>
      <c r="C1377" s="104"/>
      <c r="F1377" s="103" t="str">
        <f aca="false">IF(OR($C1377="",$D1377=0),"",$E1377/$D1377)</f>
        <v/>
      </c>
      <c r="H1377" s="0" t="str">
        <f aca="false">IF($C1377="","",IF(COUNTIF('مواد المخزون'!$A$2:$A$86,$C1377)&gt;0,"نعم","لا (خارج الجرد)"))</f>
        <v/>
      </c>
    </row>
    <row r="1378" customFormat="false" ht="15" hidden="false" customHeight="false" outlineLevel="0" collapsed="false">
      <c r="A1378" s="102"/>
      <c r="B1378" s="104"/>
      <c r="C1378" s="104"/>
      <c r="F1378" s="103" t="str">
        <f aca="false">IF(OR($C1378="",$D1378=0),"",$E1378/$D1378)</f>
        <v/>
      </c>
      <c r="H1378" s="0" t="str">
        <f aca="false">IF($C1378="","",IF(COUNTIF('مواد المخزون'!$A$2:$A$86,$C1378)&gt;0,"نعم","لا (خارج الجرد)"))</f>
        <v/>
      </c>
    </row>
    <row r="1379" customFormat="false" ht="15" hidden="false" customHeight="false" outlineLevel="0" collapsed="false">
      <c r="A1379" s="102"/>
      <c r="B1379" s="104"/>
      <c r="C1379" s="104"/>
      <c r="F1379" s="103" t="str">
        <f aca="false">IF(OR($C1379="",$D1379=0),"",$E1379/$D1379)</f>
        <v/>
      </c>
      <c r="H1379" s="0" t="str">
        <f aca="false">IF($C1379="","",IF(COUNTIF('مواد المخزون'!$A$2:$A$86,$C1379)&gt;0,"نعم","لا (خارج الجرد)"))</f>
        <v/>
      </c>
    </row>
    <row r="1380" customFormat="false" ht="15" hidden="false" customHeight="false" outlineLevel="0" collapsed="false">
      <c r="A1380" s="102"/>
      <c r="B1380" s="104"/>
      <c r="C1380" s="104"/>
      <c r="F1380" s="103" t="str">
        <f aca="false">IF(OR($C1380="",$D1380=0),"",$E1380/$D1380)</f>
        <v/>
      </c>
      <c r="H1380" s="0" t="str">
        <f aca="false">IF($C1380="","",IF(COUNTIF('مواد المخزون'!$A$2:$A$86,$C1380)&gt;0,"نعم","لا (خارج الجرد)"))</f>
        <v/>
      </c>
    </row>
    <row r="1381" customFormat="false" ht="15" hidden="false" customHeight="false" outlineLevel="0" collapsed="false">
      <c r="A1381" s="102"/>
      <c r="B1381" s="104"/>
      <c r="C1381" s="104"/>
      <c r="F1381" s="103" t="str">
        <f aca="false">IF(OR($C1381="",$D1381=0),"",$E1381/$D1381)</f>
        <v/>
      </c>
      <c r="H1381" s="0" t="str">
        <f aca="false">IF($C1381="","",IF(COUNTIF('مواد المخزون'!$A$2:$A$86,$C1381)&gt;0,"نعم","لا (خارج الجرد)"))</f>
        <v/>
      </c>
    </row>
    <row r="1382" customFormat="false" ht="15" hidden="false" customHeight="false" outlineLevel="0" collapsed="false">
      <c r="A1382" s="102"/>
      <c r="B1382" s="104"/>
      <c r="C1382" s="104"/>
      <c r="F1382" s="103" t="str">
        <f aca="false">IF(OR($C1382="",$D1382=0),"",$E1382/$D1382)</f>
        <v/>
      </c>
      <c r="H1382" s="0" t="str">
        <f aca="false">IF($C1382="","",IF(COUNTIF('مواد المخزون'!$A$2:$A$86,$C1382)&gt;0,"نعم","لا (خارج الجرد)"))</f>
        <v/>
      </c>
    </row>
    <row r="1383" customFormat="false" ht="15" hidden="false" customHeight="false" outlineLevel="0" collapsed="false">
      <c r="A1383" s="102"/>
      <c r="B1383" s="104"/>
      <c r="C1383" s="104"/>
      <c r="F1383" s="103" t="str">
        <f aca="false">IF(OR($C1383="",$D1383=0),"",$E1383/$D1383)</f>
        <v/>
      </c>
      <c r="H1383" s="0" t="str">
        <f aca="false">IF($C1383="","",IF(COUNTIF('مواد المخزون'!$A$2:$A$86,$C1383)&gt;0,"نعم","لا (خارج الجرد)"))</f>
        <v/>
      </c>
    </row>
    <row r="1384" customFormat="false" ht="15" hidden="false" customHeight="false" outlineLevel="0" collapsed="false">
      <c r="A1384" s="102"/>
      <c r="B1384" s="104"/>
      <c r="C1384" s="104"/>
      <c r="F1384" s="103" t="str">
        <f aca="false">IF(OR($C1384="",$D1384=0),"",$E1384/$D1384)</f>
        <v/>
      </c>
      <c r="H1384" s="0" t="str">
        <f aca="false">IF($C1384="","",IF(COUNTIF('مواد المخزون'!$A$2:$A$86,$C1384)&gt;0,"نعم","لا (خارج الجرد)"))</f>
        <v/>
      </c>
    </row>
    <row r="1385" customFormat="false" ht="15" hidden="false" customHeight="false" outlineLevel="0" collapsed="false">
      <c r="A1385" s="102"/>
      <c r="B1385" s="104"/>
      <c r="C1385" s="104"/>
      <c r="F1385" s="103" t="str">
        <f aca="false">IF(OR($C1385="",$D1385=0),"",$E1385/$D1385)</f>
        <v/>
      </c>
      <c r="H1385" s="0" t="str">
        <f aca="false">IF($C1385="","",IF(COUNTIF('مواد المخزون'!$A$2:$A$86,$C1385)&gt;0,"نعم","لا (خارج الجرد)"))</f>
        <v/>
      </c>
    </row>
    <row r="1386" customFormat="false" ht="15" hidden="false" customHeight="false" outlineLevel="0" collapsed="false">
      <c r="A1386" s="102"/>
      <c r="B1386" s="104"/>
      <c r="C1386" s="104"/>
      <c r="F1386" s="103" t="str">
        <f aca="false">IF(OR($C1386="",$D1386=0),"",$E1386/$D1386)</f>
        <v/>
      </c>
      <c r="H1386" s="0" t="str">
        <f aca="false">IF($C1386="","",IF(COUNTIF('مواد المخزون'!$A$2:$A$86,$C1386)&gt;0,"نعم","لا (خارج الجرد)"))</f>
        <v/>
      </c>
    </row>
    <row r="1387" customFormat="false" ht="15" hidden="false" customHeight="false" outlineLevel="0" collapsed="false">
      <c r="A1387" s="102"/>
      <c r="B1387" s="104"/>
      <c r="C1387" s="104"/>
      <c r="F1387" s="103" t="str">
        <f aca="false">IF(OR($C1387="",$D1387=0),"",$E1387/$D1387)</f>
        <v/>
      </c>
      <c r="H1387" s="0" t="str">
        <f aca="false">IF($C1387="","",IF(COUNTIF('مواد المخزون'!$A$2:$A$86,$C1387)&gt;0,"نعم","لا (خارج الجرد)"))</f>
        <v/>
      </c>
    </row>
    <row r="1388" customFormat="false" ht="15" hidden="false" customHeight="false" outlineLevel="0" collapsed="false">
      <c r="A1388" s="102"/>
      <c r="B1388" s="104"/>
      <c r="C1388" s="104"/>
      <c r="F1388" s="103" t="str">
        <f aca="false">IF(OR($C1388="",$D1388=0),"",$E1388/$D1388)</f>
        <v/>
      </c>
      <c r="H1388" s="0" t="str">
        <f aca="false">IF($C1388="","",IF(COUNTIF('مواد المخزون'!$A$2:$A$86,$C1388)&gt;0,"نعم","لا (خارج الجرد)"))</f>
        <v/>
      </c>
    </row>
    <row r="1389" customFormat="false" ht="15" hidden="false" customHeight="false" outlineLevel="0" collapsed="false">
      <c r="A1389" s="102"/>
      <c r="B1389" s="104"/>
      <c r="C1389" s="104"/>
      <c r="F1389" s="103" t="str">
        <f aca="false">IF(OR($C1389="",$D1389=0),"",$E1389/$D1389)</f>
        <v/>
      </c>
      <c r="H1389" s="0" t="str">
        <f aca="false">IF($C1389="","",IF(COUNTIF('مواد المخزون'!$A$2:$A$86,$C1389)&gt;0,"نعم","لا (خارج الجرد)"))</f>
        <v/>
      </c>
    </row>
    <row r="1390" customFormat="false" ht="15" hidden="false" customHeight="false" outlineLevel="0" collapsed="false">
      <c r="A1390" s="102"/>
      <c r="B1390" s="104"/>
      <c r="C1390" s="104"/>
      <c r="F1390" s="103" t="str">
        <f aca="false">IF(OR($C1390="",$D1390=0),"",$E1390/$D1390)</f>
        <v/>
      </c>
      <c r="H1390" s="0" t="str">
        <f aca="false">IF($C1390="","",IF(COUNTIF('مواد المخزون'!$A$2:$A$86,$C1390)&gt;0,"نعم","لا (خارج الجرد)"))</f>
        <v/>
      </c>
    </row>
    <row r="1391" customFormat="false" ht="15" hidden="false" customHeight="false" outlineLevel="0" collapsed="false">
      <c r="A1391" s="102"/>
      <c r="B1391" s="104"/>
      <c r="C1391" s="104"/>
      <c r="F1391" s="103" t="str">
        <f aca="false">IF(OR($C1391="",$D1391=0),"",$E1391/$D1391)</f>
        <v/>
      </c>
      <c r="H1391" s="0" t="str">
        <f aca="false">IF($C1391="","",IF(COUNTIF('مواد المخزون'!$A$2:$A$86,$C1391)&gt;0,"نعم","لا (خارج الجرد)"))</f>
        <v/>
      </c>
    </row>
    <row r="1392" customFormat="false" ht="15" hidden="false" customHeight="false" outlineLevel="0" collapsed="false">
      <c r="A1392" s="102"/>
      <c r="B1392" s="104"/>
      <c r="C1392" s="104"/>
      <c r="F1392" s="103" t="str">
        <f aca="false">IF(OR($C1392="",$D1392=0),"",$E1392/$D1392)</f>
        <v/>
      </c>
      <c r="H1392" s="0" t="str">
        <f aca="false">IF($C1392="","",IF(COUNTIF('مواد المخزون'!$A$2:$A$86,$C1392)&gt;0,"نعم","لا (خارج الجرد)"))</f>
        <v/>
      </c>
    </row>
    <row r="1393" customFormat="false" ht="15" hidden="false" customHeight="false" outlineLevel="0" collapsed="false">
      <c r="A1393" s="102"/>
      <c r="B1393" s="104"/>
      <c r="C1393" s="104"/>
      <c r="F1393" s="103" t="str">
        <f aca="false">IF(OR($C1393="",$D1393=0),"",$E1393/$D1393)</f>
        <v/>
      </c>
      <c r="H1393" s="0" t="str">
        <f aca="false">IF($C1393="","",IF(COUNTIF('مواد المخزون'!$A$2:$A$86,$C1393)&gt;0,"نعم","لا (خارج الجرد)"))</f>
        <v/>
      </c>
    </row>
    <row r="1394" customFormat="false" ht="15" hidden="false" customHeight="false" outlineLevel="0" collapsed="false">
      <c r="A1394" s="102"/>
      <c r="B1394" s="104"/>
      <c r="C1394" s="104"/>
      <c r="F1394" s="103" t="str">
        <f aca="false">IF(OR($C1394="",$D1394=0),"",$E1394/$D1394)</f>
        <v/>
      </c>
      <c r="H1394" s="0" t="str">
        <f aca="false">IF($C1394="","",IF(COUNTIF('مواد المخزون'!$A$2:$A$86,$C1394)&gt;0,"نعم","لا (خارج الجرد)"))</f>
        <v/>
      </c>
    </row>
    <row r="1395" customFormat="false" ht="15" hidden="false" customHeight="false" outlineLevel="0" collapsed="false">
      <c r="A1395" s="102"/>
      <c r="B1395" s="104"/>
      <c r="C1395" s="104"/>
      <c r="F1395" s="103" t="str">
        <f aca="false">IF(OR($C1395="",$D1395=0),"",$E1395/$D1395)</f>
        <v/>
      </c>
      <c r="H1395" s="0" t="str">
        <f aca="false">IF($C1395="","",IF(COUNTIF('مواد المخزون'!$A$2:$A$86,$C1395)&gt;0,"نعم","لا (خارج الجرد)"))</f>
        <v/>
      </c>
    </row>
    <row r="1396" customFormat="false" ht="15" hidden="false" customHeight="false" outlineLevel="0" collapsed="false">
      <c r="A1396" s="102"/>
      <c r="B1396" s="104"/>
      <c r="C1396" s="104"/>
      <c r="F1396" s="103" t="str">
        <f aca="false">IF(OR($C1396="",$D1396=0),"",$E1396/$D1396)</f>
        <v/>
      </c>
      <c r="H1396" s="0" t="str">
        <f aca="false">IF($C1396="","",IF(COUNTIF('مواد المخزون'!$A$2:$A$86,$C1396)&gt;0,"نعم","لا (خارج الجرد)"))</f>
        <v/>
      </c>
    </row>
    <row r="1397" customFormat="false" ht="15" hidden="false" customHeight="false" outlineLevel="0" collapsed="false">
      <c r="A1397" s="102"/>
      <c r="B1397" s="104"/>
      <c r="C1397" s="104"/>
      <c r="F1397" s="103" t="str">
        <f aca="false">IF(OR($C1397="",$D1397=0),"",$E1397/$D1397)</f>
        <v/>
      </c>
      <c r="H1397" s="0" t="str">
        <f aca="false">IF($C1397="","",IF(COUNTIF('مواد المخزون'!$A$2:$A$86,$C1397)&gt;0,"نعم","لا (خارج الجرد)"))</f>
        <v/>
      </c>
    </row>
    <row r="1398" customFormat="false" ht="15" hidden="false" customHeight="false" outlineLevel="0" collapsed="false">
      <c r="A1398" s="102"/>
      <c r="B1398" s="104"/>
      <c r="C1398" s="104"/>
      <c r="F1398" s="103" t="str">
        <f aca="false">IF(OR($C1398="",$D1398=0),"",$E1398/$D1398)</f>
        <v/>
      </c>
      <c r="H1398" s="0" t="str">
        <f aca="false">IF($C1398="","",IF(COUNTIF('مواد المخزون'!$A$2:$A$86,$C1398)&gt;0,"نعم","لا (خارج الجرد)"))</f>
        <v/>
      </c>
    </row>
    <row r="1399" customFormat="false" ht="15" hidden="false" customHeight="false" outlineLevel="0" collapsed="false">
      <c r="A1399" s="102"/>
      <c r="B1399" s="104"/>
      <c r="C1399" s="104"/>
      <c r="F1399" s="103" t="str">
        <f aca="false">IF(OR($C1399="",$D1399=0),"",$E1399/$D1399)</f>
        <v/>
      </c>
      <c r="H1399" s="0" t="str">
        <f aca="false">IF($C1399="","",IF(COUNTIF('مواد المخزون'!$A$2:$A$86,$C1399)&gt;0,"نعم","لا (خارج الجرد)"))</f>
        <v/>
      </c>
    </row>
    <row r="1400" customFormat="false" ht="15" hidden="false" customHeight="false" outlineLevel="0" collapsed="false">
      <c r="A1400" s="102"/>
      <c r="B1400" s="104"/>
      <c r="C1400" s="104"/>
      <c r="F1400" s="103" t="str">
        <f aca="false">IF(OR($C1400="",$D1400=0),"",$E1400/$D1400)</f>
        <v/>
      </c>
      <c r="H1400" s="0" t="str">
        <f aca="false">IF($C1400="","",IF(COUNTIF('مواد المخزون'!$A$2:$A$86,$C1400)&gt;0,"نعم","لا (خارج الجرد)"))</f>
        <v/>
      </c>
    </row>
    <row r="1401" customFormat="false" ht="15" hidden="false" customHeight="false" outlineLevel="0" collapsed="false">
      <c r="A1401" s="102"/>
      <c r="B1401" s="104"/>
      <c r="C1401" s="104"/>
      <c r="F1401" s="103" t="str">
        <f aca="false">IF(OR($C1401="",$D1401=0),"",$E1401/$D1401)</f>
        <v/>
      </c>
      <c r="H1401" s="0" t="str">
        <f aca="false">IF($C1401="","",IF(COUNTIF('مواد المخزون'!$A$2:$A$86,$C1401)&gt;0,"نعم","لا (خارج الجرد)"))</f>
        <v/>
      </c>
    </row>
    <row r="1402" customFormat="false" ht="15" hidden="false" customHeight="false" outlineLevel="0" collapsed="false">
      <c r="A1402" s="102"/>
      <c r="B1402" s="104"/>
      <c r="C1402" s="104"/>
      <c r="F1402" s="103" t="str">
        <f aca="false">IF(OR($C1402="",$D1402=0),"",$E1402/$D1402)</f>
        <v/>
      </c>
      <c r="H1402" s="0" t="str">
        <f aca="false">IF($C1402="","",IF(COUNTIF('مواد المخزون'!$A$2:$A$86,$C1402)&gt;0,"نعم","لا (خارج الجرد)"))</f>
        <v/>
      </c>
    </row>
    <row r="1403" customFormat="false" ht="15" hidden="false" customHeight="false" outlineLevel="0" collapsed="false">
      <c r="A1403" s="102"/>
      <c r="B1403" s="104"/>
      <c r="C1403" s="104"/>
      <c r="F1403" s="103" t="str">
        <f aca="false">IF(OR($C1403="",$D1403=0),"",$E1403/$D1403)</f>
        <v/>
      </c>
      <c r="H1403" s="0" t="str">
        <f aca="false">IF($C1403="","",IF(COUNTIF('مواد المخزون'!$A$2:$A$86,$C1403)&gt;0,"نعم","لا (خارج الجرد)"))</f>
        <v/>
      </c>
    </row>
    <row r="1404" customFormat="false" ht="15" hidden="false" customHeight="false" outlineLevel="0" collapsed="false">
      <c r="A1404" s="102"/>
      <c r="B1404" s="104"/>
      <c r="C1404" s="104"/>
      <c r="F1404" s="103" t="str">
        <f aca="false">IF(OR($C1404="",$D1404=0),"",$E1404/$D1404)</f>
        <v/>
      </c>
      <c r="H1404" s="0" t="str">
        <f aca="false">IF($C1404="","",IF(COUNTIF('مواد المخزون'!$A$2:$A$86,$C1404)&gt;0,"نعم","لا (خارج الجرد)"))</f>
        <v/>
      </c>
    </row>
    <row r="1405" customFormat="false" ht="15" hidden="false" customHeight="false" outlineLevel="0" collapsed="false">
      <c r="A1405" s="102"/>
      <c r="B1405" s="104"/>
      <c r="C1405" s="104"/>
      <c r="F1405" s="103" t="str">
        <f aca="false">IF(OR($C1405="",$D1405=0),"",$E1405/$D1405)</f>
        <v/>
      </c>
      <c r="H1405" s="0" t="str">
        <f aca="false">IF($C1405="","",IF(COUNTIF('مواد المخزون'!$A$2:$A$86,$C1405)&gt;0,"نعم","لا (خارج الجرد)"))</f>
        <v/>
      </c>
    </row>
    <row r="1406" customFormat="false" ht="15" hidden="false" customHeight="false" outlineLevel="0" collapsed="false">
      <c r="A1406" s="102"/>
      <c r="B1406" s="104"/>
      <c r="C1406" s="104"/>
      <c r="F1406" s="103" t="str">
        <f aca="false">IF(OR($C1406="",$D1406=0),"",$E1406/$D1406)</f>
        <v/>
      </c>
      <c r="H1406" s="0" t="str">
        <f aca="false">IF($C1406="","",IF(COUNTIF('مواد المخزون'!$A$2:$A$86,$C1406)&gt;0,"نعم","لا (خارج الجرد)"))</f>
        <v/>
      </c>
    </row>
    <row r="1407" customFormat="false" ht="15" hidden="false" customHeight="false" outlineLevel="0" collapsed="false">
      <c r="A1407" s="102"/>
      <c r="B1407" s="104"/>
      <c r="C1407" s="104"/>
      <c r="F1407" s="103" t="str">
        <f aca="false">IF(OR($C1407="",$D1407=0),"",$E1407/$D1407)</f>
        <v/>
      </c>
      <c r="H1407" s="0" t="str">
        <f aca="false">IF($C1407="","",IF(COUNTIF('مواد المخزون'!$A$2:$A$86,$C1407)&gt;0,"نعم","لا (خارج الجرد)"))</f>
        <v/>
      </c>
    </row>
    <row r="1408" customFormat="false" ht="15" hidden="false" customHeight="false" outlineLevel="0" collapsed="false">
      <c r="A1408" s="102"/>
      <c r="B1408" s="104"/>
      <c r="C1408" s="104"/>
      <c r="F1408" s="103" t="str">
        <f aca="false">IF(OR($C1408="",$D1408=0),"",$E1408/$D1408)</f>
        <v/>
      </c>
      <c r="H1408" s="0" t="str">
        <f aca="false">IF($C1408="","",IF(COUNTIF('مواد المخزون'!$A$2:$A$86,$C1408)&gt;0,"نعم","لا (خارج الجرد)"))</f>
        <v/>
      </c>
    </row>
    <row r="1409" customFormat="false" ht="15" hidden="false" customHeight="false" outlineLevel="0" collapsed="false">
      <c r="A1409" s="102"/>
      <c r="B1409" s="104"/>
      <c r="C1409" s="104"/>
      <c r="F1409" s="103" t="str">
        <f aca="false">IF(OR($C1409="",$D1409=0),"",$E1409/$D1409)</f>
        <v/>
      </c>
      <c r="H1409" s="0" t="str">
        <f aca="false">IF($C1409="","",IF(COUNTIF('مواد المخزون'!$A$2:$A$86,$C1409)&gt;0,"نعم","لا (خارج الجرد)"))</f>
        <v/>
      </c>
    </row>
    <row r="1410" customFormat="false" ht="15" hidden="false" customHeight="false" outlineLevel="0" collapsed="false">
      <c r="A1410" s="102"/>
      <c r="B1410" s="104"/>
      <c r="C1410" s="104"/>
      <c r="F1410" s="103" t="str">
        <f aca="false">IF(OR($C1410="",$D1410=0),"",$E1410/$D1410)</f>
        <v/>
      </c>
      <c r="H1410" s="0" t="str">
        <f aca="false">IF($C1410="","",IF(COUNTIF('مواد المخزون'!$A$2:$A$86,$C1410)&gt;0,"نعم","لا (خارج الجرد)"))</f>
        <v/>
      </c>
    </row>
    <row r="1411" customFormat="false" ht="15" hidden="false" customHeight="false" outlineLevel="0" collapsed="false">
      <c r="A1411" s="102"/>
      <c r="B1411" s="104"/>
      <c r="C1411" s="104"/>
      <c r="F1411" s="103" t="str">
        <f aca="false">IF(OR($C1411="",$D1411=0),"",$E1411/$D1411)</f>
        <v/>
      </c>
      <c r="H1411" s="0" t="str">
        <f aca="false">IF($C1411="","",IF(COUNTIF('مواد المخزون'!$A$2:$A$86,$C1411)&gt;0,"نعم","لا (خارج الجرد)"))</f>
        <v/>
      </c>
    </row>
    <row r="1412" customFormat="false" ht="15" hidden="false" customHeight="false" outlineLevel="0" collapsed="false">
      <c r="A1412" s="102"/>
      <c r="B1412" s="104"/>
      <c r="C1412" s="104"/>
      <c r="F1412" s="103" t="str">
        <f aca="false">IF(OR($C1412="",$D1412=0),"",$E1412/$D1412)</f>
        <v/>
      </c>
      <c r="H1412" s="0" t="str">
        <f aca="false">IF($C1412="","",IF(COUNTIF('مواد المخزون'!$A$2:$A$86,$C1412)&gt;0,"نعم","لا (خارج الجرد)"))</f>
        <v/>
      </c>
    </row>
    <row r="1413" customFormat="false" ht="15" hidden="false" customHeight="false" outlineLevel="0" collapsed="false">
      <c r="A1413" s="102"/>
      <c r="B1413" s="104"/>
      <c r="C1413" s="104"/>
      <c r="F1413" s="103" t="str">
        <f aca="false">IF(OR($C1413="",$D1413=0),"",$E1413/$D1413)</f>
        <v/>
      </c>
      <c r="H1413" s="0" t="str">
        <f aca="false">IF($C1413="","",IF(COUNTIF('مواد المخزون'!$A$2:$A$86,$C1413)&gt;0,"نعم","لا (خارج الجرد)"))</f>
        <v/>
      </c>
    </row>
    <row r="1414" customFormat="false" ht="15" hidden="false" customHeight="false" outlineLevel="0" collapsed="false">
      <c r="A1414" s="102"/>
      <c r="B1414" s="104"/>
      <c r="C1414" s="104"/>
      <c r="F1414" s="103" t="str">
        <f aca="false">IF(OR($C1414="",$D1414=0),"",$E1414/$D1414)</f>
        <v/>
      </c>
      <c r="H1414" s="0" t="str">
        <f aca="false">IF($C1414="","",IF(COUNTIF('مواد المخزون'!$A$2:$A$86,$C1414)&gt;0,"نعم","لا (خارج الجرد)"))</f>
        <v/>
      </c>
    </row>
    <row r="1415" customFormat="false" ht="15" hidden="false" customHeight="false" outlineLevel="0" collapsed="false">
      <c r="A1415" s="102"/>
      <c r="B1415" s="104"/>
      <c r="C1415" s="104"/>
      <c r="F1415" s="103" t="str">
        <f aca="false">IF(OR($C1415="",$D1415=0),"",$E1415/$D1415)</f>
        <v/>
      </c>
      <c r="H1415" s="0" t="str">
        <f aca="false">IF($C1415="","",IF(COUNTIF('مواد المخزون'!$A$2:$A$86,$C1415)&gt;0,"نعم","لا (خارج الجرد)"))</f>
        <v/>
      </c>
    </row>
    <row r="1416" customFormat="false" ht="15" hidden="false" customHeight="false" outlineLevel="0" collapsed="false">
      <c r="A1416" s="102"/>
      <c r="B1416" s="104"/>
      <c r="C1416" s="104"/>
      <c r="F1416" s="103" t="str">
        <f aca="false">IF(OR($C1416="",$D1416=0),"",$E1416/$D1416)</f>
        <v/>
      </c>
      <c r="H1416" s="0" t="str">
        <f aca="false">IF($C1416="","",IF(COUNTIF('مواد المخزون'!$A$2:$A$86,$C1416)&gt;0,"نعم","لا (خارج الجرد)"))</f>
        <v/>
      </c>
    </row>
    <row r="1417" customFormat="false" ht="15" hidden="false" customHeight="false" outlineLevel="0" collapsed="false">
      <c r="A1417" s="102"/>
      <c r="B1417" s="104"/>
      <c r="C1417" s="104"/>
      <c r="F1417" s="103" t="str">
        <f aca="false">IF(OR($C1417="",$D1417=0),"",$E1417/$D1417)</f>
        <v/>
      </c>
      <c r="H1417" s="0" t="str">
        <f aca="false">IF($C1417="","",IF(COUNTIF('مواد المخزون'!$A$2:$A$86,$C1417)&gt;0,"نعم","لا (خارج الجرد)"))</f>
        <v/>
      </c>
    </row>
    <row r="1418" customFormat="false" ht="15" hidden="false" customHeight="false" outlineLevel="0" collapsed="false">
      <c r="A1418" s="102"/>
      <c r="B1418" s="104"/>
      <c r="C1418" s="104"/>
      <c r="F1418" s="103" t="str">
        <f aca="false">IF(OR($C1418="",$D1418=0),"",$E1418/$D1418)</f>
        <v/>
      </c>
      <c r="H1418" s="0" t="str">
        <f aca="false">IF($C1418="","",IF(COUNTIF('مواد المخزون'!$A$2:$A$86,$C1418)&gt;0,"نعم","لا (خارج الجرد)"))</f>
        <v/>
      </c>
    </row>
    <row r="1419" customFormat="false" ht="15" hidden="false" customHeight="false" outlineLevel="0" collapsed="false">
      <c r="A1419" s="102"/>
      <c r="B1419" s="104"/>
      <c r="C1419" s="104"/>
      <c r="F1419" s="103" t="str">
        <f aca="false">IF(OR($C1419="",$D1419=0),"",$E1419/$D1419)</f>
        <v/>
      </c>
      <c r="H1419" s="0" t="str">
        <f aca="false">IF($C1419="","",IF(COUNTIF('مواد المخزون'!$A$2:$A$86,$C1419)&gt;0,"نعم","لا (خارج الجرد)"))</f>
        <v/>
      </c>
    </row>
    <row r="1420" customFormat="false" ht="15" hidden="false" customHeight="false" outlineLevel="0" collapsed="false">
      <c r="A1420" s="102"/>
      <c r="B1420" s="104"/>
      <c r="C1420" s="104"/>
      <c r="F1420" s="103" t="str">
        <f aca="false">IF(OR($C1420="",$D1420=0),"",$E1420/$D1420)</f>
        <v/>
      </c>
      <c r="H1420" s="0" t="str">
        <f aca="false">IF($C1420="","",IF(COUNTIF('مواد المخزون'!$A$2:$A$86,$C1420)&gt;0,"نعم","لا (خارج الجرد)"))</f>
        <v/>
      </c>
    </row>
    <row r="1421" customFormat="false" ht="15" hidden="false" customHeight="false" outlineLevel="0" collapsed="false">
      <c r="A1421" s="102"/>
      <c r="B1421" s="104"/>
      <c r="C1421" s="104"/>
      <c r="F1421" s="103" t="str">
        <f aca="false">IF(OR($C1421="",$D1421=0),"",$E1421/$D1421)</f>
        <v/>
      </c>
      <c r="H1421" s="0" t="str">
        <f aca="false">IF($C1421="","",IF(COUNTIF('مواد المخزون'!$A$2:$A$86,$C1421)&gt;0,"نعم","لا (خارج الجرد)"))</f>
        <v/>
      </c>
    </row>
    <row r="1422" customFormat="false" ht="15" hidden="false" customHeight="false" outlineLevel="0" collapsed="false">
      <c r="A1422" s="102"/>
      <c r="B1422" s="104"/>
      <c r="C1422" s="104"/>
      <c r="F1422" s="103" t="str">
        <f aca="false">IF(OR($C1422="",$D1422=0),"",$E1422/$D1422)</f>
        <v/>
      </c>
      <c r="H1422" s="0" t="str">
        <f aca="false">IF($C1422="","",IF(COUNTIF('مواد المخزون'!$A$2:$A$86,$C1422)&gt;0,"نعم","لا (خارج الجرد)"))</f>
        <v/>
      </c>
    </row>
    <row r="1423" customFormat="false" ht="15" hidden="false" customHeight="false" outlineLevel="0" collapsed="false">
      <c r="A1423" s="102"/>
      <c r="B1423" s="104"/>
      <c r="C1423" s="104"/>
      <c r="F1423" s="103" t="str">
        <f aca="false">IF(OR($C1423="",$D1423=0),"",$E1423/$D1423)</f>
        <v/>
      </c>
      <c r="H1423" s="0" t="str">
        <f aca="false">IF($C1423="","",IF(COUNTIF('مواد المخزون'!$A$2:$A$86,$C1423)&gt;0,"نعم","لا (خارج الجرد)"))</f>
        <v/>
      </c>
    </row>
    <row r="1424" customFormat="false" ht="15" hidden="false" customHeight="false" outlineLevel="0" collapsed="false">
      <c r="A1424" s="102"/>
      <c r="B1424" s="104"/>
      <c r="C1424" s="104"/>
      <c r="F1424" s="103" t="str">
        <f aca="false">IF(OR($C1424="",$D1424=0),"",$E1424/$D1424)</f>
        <v/>
      </c>
      <c r="H1424" s="0" t="str">
        <f aca="false">IF($C1424="","",IF(COUNTIF('مواد المخزون'!$A$2:$A$86,$C1424)&gt;0,"نعم","لا (خارج الجرد)"))</f>
        <v/>
      </c>
    </row>
    <row r="1425" customFormat="false" ht="15" hidden="false" customHeight="false" outlineLevel="0" collapsed="false">
      <c r="A1425" s="102"/>
      <c r="B1425" s="104"/>
      <c r="C1425" s="104"/>
      <c r="F1425" s="103" t="str">
        <f aca="false">IF(OR($C1425="",$D1425=0),"",$E1425/$D1425)</f>
        <v/>
      </c>
      <c r="H1425" s="0" t="str">
        <f aca="false">IF($C1425="","",IF(COUNTIF('مواد المخزون'!$A$2:$A$86,$C1425)&gt;0,"نعم","لا (خارج الجرد)"))</f>
        <v/>
      </c>
    </row>
    <row r="1426" customFormat="false" ht="15" hidden="false" customHeight="false" outlineLevel="0" collapsed="false">
      <c r="A1426" s="102"/>
      <c r="B1426" s="104"/>
      <c r="C1426" s="104"/>
      <c r="F1426" s="103" t="str">
        <f aca="false">IF(OR($C1426="",$D1426=0),"",$E1426/$D1426)</f>
        <v/>
      </c>
      <c r="H1426" s="0" t="str">
        <f aca="false">IF($C1426="","",IF(COUNTIF('مواد المخزون'!$A$2:$A$86,$C1426)&gt;0,"نعم","لا (خارج الجرد)"))</f>
        <v/>
      </c>
    </row>
    <row r="1427" customFormat="false" ht="15" hidden="false" customHeight="false" outlineLevel="0" collapsed="false">
      <c r="A1427" s="102"/>
      <c r="B1427" s="104"/>
      <c r="C1427" s="104"/>
      <c r="F1427" s="103" t="str">
        <f aca="false">IF(OR($C1427="",$D1427=0),"",$E1427/$D1427)</f>
        <v/>
      </c>
      <c r="H1427" s="0" t="str">
        <f aca="false">IF($C1427="","",IF(COUNTIF('مواد المخزون'!$A$2:$A$86,$C1427)&gt;0,"نعم","لا (خارج الجرد)"))</f>
        <v/>
      </c>
    </row>
    <row r="1428" customFormat="false" ht="15" hidden="false" customHeight="false" outlineLevel="0" collapsed="false">
      <c r="A1428" s="102"/>
      <c r="B1428" s="104"/>
      <c r="C1428" s="104"/>
      <c r="F1428" s="103" t="str">
        <f aca="false">IF(OR($C1428="",$D1428=0),"",$E1428/$D1428)</f>
        <v/>
      </c>
      <c r="H1428" s="0" t="str">
        <f aca="false">IF($C1428="","",IF(COUNTIF('مواد المخزون'!$A$2:$A$86,$C1428)&gt;0,"نعم","لا (خارج الجرد)"))</f>
        <v/>
      </c>
    </row>
    <row r="1429" customFormat="false" ht="15" hidden="false" customHeight="false" outlineLevel="0" collapsed="false">
      <c r="A1429" s="102"/>
      <c r="B1429" s="104"/>
      <c r="C1429" s="104"/>
      <c r="F1429" s="103" t="str">
        <f aca="false">IF(OR($C1429="",$D1429=0),"",$E1429/$D1429)</f>
        <v/>
      </c>
      <c r="H1429" s="0" t="str">
        <f aca="false">IF($C1429="","",IF(COUNTIF('مواد المخزون'!$A$2:$A$86,$C1429)&gt;0,"نعم","لا (خارج الجرد)"))</f>
        <v/>
      </c>
    </row>
    <row r="1430" customFormat="false" ht="15" hidden="false" customHeight="false" outlineLevel="0" collapsed="false">
      <c r="A1430" s="102"/>
      <c r="B1430" s="104"/>
      <c r="C1430" s="104"/>
      <c r="F1430" s="103" t="str">
        <f aca="false">IF(OR($C1430="",$D1430=0),"",$E1430/$D1430)</f>
        <v/>
      </c>
      <c r="H1430" s="0" t="str">
        <f aca="false">IF($C1430="","",IF(COUNTIF('مواد المخزون'!$A$2:$A$86,$C1430)&gt;0,"نعم","لا (خارج الجرد)"))</f>
        <v/>
      </c>
    </row>
    <row r="1431" customFormat="false" ht="15" hidden="false" customHeight="false" outlineLevel="0" collapsed="false">
      <c r="A1431" s="102"/>
      <c r="B1431" s="104"/>
      <c r="C1431" s="104"/>
      <c r="F1431" s="103" t="str">
        <f aca="false">IF(OR($C1431="",$D1431=0),"",$E1431/$D1431)</f>
        <v/>
      </c>
      <c r="H1431" s="0" t="str">
        <f aca="false">IF($C1431="","",IF(COUNTIF('مواد المخزون'!$A$2:$A$86,$C1431)&gt;0,"نعم","لا (خارج الجرد)"))</f>
        <v/>
      </c>
    </row>
    <row r="1432" customFormat="false" ht="15" hidden="false" customHeight="false" outlineLevel="0" collapsed="false">
      <c r="A1432" s="102"/>
      <c r="B1432" s="104"/>
      <c r="C1432" s="104"/>
      <c r="F1432" s="103" t="str">
        <f aca="false">IF(OR($C1432="",$D1432=0),"",$E1432/$D1432)</f>
        <v/>
      </c>
      <c r="H1432" s="0" t="str">
        <f aca="false">IF($C1432="","",IF(COUNTIF('مواد المخزون'!$A$2:$A$86,$C1432)&gt;0,"نعم","لا (خارج الجرد)"))</f>
        <v/>
      </c>
    </row>
    <row r="1433" customFormat="false" ht="15" hidden="false" customHeight="false" outlineLevel="0" collapsed="false">
      <c r="A1433" s="102"/>
      <c r="B1433" s="104"/>
      <c r="C1433" s="104"/>
      <c r="F1433" s="103" t="str">
        <f aca="false">IF(OR($C1433="",$D1433=0),"",$E1433/$D1433)</f>
        <v/>
      </c>
      <c r="H1433" s="0" t="str">
        <f aca="false">IF($C1433="","",IF(COUNTIF('مواد المخزون'!$A$2:$A$86,$C1433)&gt;0,"نعم","لا (خارج الجرد)"))</f>
        <v/>
      </c>
    </row>
    <row r="1434" customFormat="false" ht="15" hidden="false" customHeight="false" outlineLevel="0" collapsed="false">
      <c r="A1434" s="102"/>
      <c r="B1434" s="104"/>
      <c r="C1434" s="104"/>
      <c r="F1434" s="103" t="str">
        <f aca="false">IF(OR($C1434="",$D1434=0),"",$E1434/$D1434)</f>
        <v/>
      </c>
      <c r="H1434" s="0" t="str">
        <f aca="false">IF($C1434="","",IF(COUNTIF('مواد المخزون'!$A$2:$A$86,$C1434)&gt;0,"نعم","لا (خارج الجرد)"))</f>
        <v/>
      </c>
    </row>
    <row r="1435" customFormat="false" ht="15" hidden="false" customHeight="false" outlineLevel="0" collapsed="false">
      <c r="A1435" s="102"/>
      <c r="B1435" s="104"/>
      <c r="C1435" s="104"/>
      <c r="F1435" s="103" t="str">
        <f aca="false">IF(OR($C1435="",$D1435=0),"",$E1435/$D1435)</f>
        <v/>
      </c>
      <c r="H1435" s="0" t="str">
        <f aca="false">IF($C1435="","",IF(COUNTIF('مواد المخزون'!$A$2:$A$86,$C1435)&gt;0,"نعم","لا (خارج الجرد)"))</f>
        <v/>
      </c>
    </row>
    <row r="1436" customFormat="false" ht="15" hidden="false" customHeight="false" outlineLevel="0" collapsed="false">
      <c r="A1436" s="102"/>
      <c r="B1436" s="104"/>
      <c r="C1436" s="104"/>
      <c r="F1436" s="103" t="str">
        <f aca="false">IF(OR($C1436="",$D1436=0),"",$E1436/$D1436)</f>
        <v/>
      </c>
      <c r="H1436" s="0" t="str">
        <f aca="false">IF($C1436="","",IF(COUNTIF('مواد المخزون'!$A$2:$A$86,$C1436)&gt;0,"نعم","لا (خارج الجرد)"))</f>
        <v/>
      </c>
    </row>
    <row r="1437" customFormat="false" ht="15" hidden="false" customHeight="false" outlineLevel="0" collapsed="false">
      <c r="A1437" s="102"/>
      <c r="B1437" s="104"/>
      <c r="C1437" s="104"/>
      <c r="F1437" s="103" t="str">
        <f aca="false">IF(OR($C1437="",$D1437=0),"",$E1437/$D1437)</f>
        <v/>
      </c>
      <c r="H1437" s="0" t="str">
        <f aca="false">IF($C1437="","",IF(COUNTIF('مواد المخزون'!$A$2:$A$86,$C1437)&gt;0,"نعم","لا (خارج الجرد)"))</f>
        <v/>
      </c>
    </row>
    <row r="1438" customFormat="false" ht="15" hidden="false" customHeight="false" outlineLevel="0" collapsed="false">
      <c r="A1438" s="102"/>
      <c r="B1438" s="104"/>
      <c r="C1438" s="104"/>
      <c r="F1438" s="103" t="str">
        <f aca="false">IF(OR($C1438="",$D1438=0),"",$E1438/$D1438)</f>
        <v/>
      </c>
      <c r="H1438" s="0" t="str">
        <f aca="false">IF($C1438="","",IF(COUNTIF('مواد المخزون'!$A$2:$A$86,$C1438)&gt;0,"نعم","لا (خارج الجرد)"))</f>
        <v/>
      </c>
    </row>
    <row r="1439" customFormat="false" ht="15" hidden="false" customHeight="false" outlineLevel="0" collapsed="false">
      <c r="A1439" s="102"/>
      <c r="B1439" s="104"/>
      <c r="C1439" s="104"/>
      <c r="F1439" s="103" t="str">
        <f aca="false">IF(OR($C1439="",$D1439=0),"",$E1439/$D1439)</f>
        <v/>
      </c>
      <c r="H1439" s="0" t="str">
        <f aca="false">IF($C1439="","",IF(COUNTIF('مواد المخزون'!$A$2:$A$86,$C1439)&gt;0,"نعم","لا (خارج الجرد)"))</f>
        <v/>
      </c>
    </row>
    <row r="1440" customFormat="false" ht="15" hidden="false" customHeight="false" outlineLevel="0" collapsed="false">
      <c r="A1440" s="102"/>
      <c r="B1440" s="104"/>
      <c r="C1440" s="104"/>
      <c r="F1440" s="103" t="str">
        <f aca="false">IF(OR($C1440="",$D1440=0),"",$E1440/$D1440)</f>
        <v/>
      </c>
      <c r="H1440" s="0" t="str">
        <f aca="false">IF($C1440="","",IF(COUNTIF('مواد المخزون'!$A$2:$A$86,$C1440)&gt;0,"نعم","لا (خارج الجرد)"))</f>
        <v/>
      </c>
    </row>
    <row r="1441" customFormat="false" ht="15" hidden="false" customHeight="false" outlineLevel="0" collapsed="false">
      <c r="A1441" s="102"/>
      <c r="B1441" s="104"/>
      <c r="C1441" s="104"/>
      <c r="F1441" s="103" t="str">
        <f aca="false">IF(OR($C1441="",$D1441=0),"",$E1441/$D1441)</f>
        <v/>
      </c>
      <c r="H1441" s="0" t="str">
        <f aca="false">IF($C1441="","",IF(COUNTIF('مواد المخزون'!$A$2:$A$86,$C1441)&gt;0,"نعم","لا (خارج الجرد)"))</f>
        <v/>
      </c>
    </row>
    <row r="1442" customFormat="false" ht="15" hidden="false" customHeight="false" outlineLevel="0" collapsed="false">
      <c r="A1442" s="102"/>
      <c r="B1442" s="104"/>
      <c r="C1442" s="104"/>
      <c r="F1442" s="103" t="str">
        <f aca="false">IF(OR($C1442="",$D1442=0),"",$E1442/$D1442)</f>
        <v/>
      </c>
      <c r="H1442" s="0" t="str">
        <f aca="false">IF($C1442="","",IF(COUNTIF('مواد المخزون'!$A$2:$A$86,$C1442)&gt;0,"نعم","لا (خارج الجرد)"))</f>
        <v/>
      </c>
    </row>
    <row r="1443" customFormat="false" ht="15" hidden="false" customHeight="false" outlineLevel="0" collapsed="false">
      <c r="A1443" s="102"/>
      <c r="B1443" s="104"/>
      <c r="C1443" s="104"/>
      <c r="F1443" s="103" t="str">
        <f aca="false">IF(OR($C1443="",$D1443=0),"",$E1443/$D1443)</f>
        <v/>
      </c>
      <c r="H1443" s="0" t="str">
        <f aca="false">IF($C1443="","",IF(COUNTIF('مواد المخزون'!$A$2:$A$86,$C1443)&gt;0,"نعم","لا (خارج الجرد)"))</f>
        <v/>
      </c>
    </row>
    <row r="1444" customFormat="false" ht="15" hidden="false" customHeight="false" outlineLevel="0" collapsed="false">
      <c r="A1444" s="102"/>
      <c r="B1444" s="104"/>
      <c r="C1444" s="104"/>
      <c r="F1444" s="103" t="str">
        <f aca="false">IF(OR($C1444="",$D1444=0),"",$E1444/$D1444)</f>
        <v/>
      </c>
      <c r="H1444" s="0" t="str">
        <f aca="false">IF($C1444="","",IF(COUNTIF('مواد المخزون'!$A$2:$A$86,$C1444)&gt;0,"نعم","لا (خارج الجرد)"))</f>
        <v/>
      </c>
    </row>
    <row r="1445" customFormat="false" ht="15" hidden="false" customHeight="false" outlineLevel="0" collapsed="false">
      <c r="A1445" s="102"/>
      <c r="B1445" s="104"/>
      <c r="C1445" s="104"/>
      <c r="F1445" s="103" t="str">
        <f aca="false">IF(OR($C1445="",$D1445=0),"",$E1445/$D1445)</f>
        <v/>
      </c>
      <c r="H1445" s="0" t="str">
        <f aca="false">IF($C1445="","",IF(COUNTIF('مواد المخزون'!$A$2:$A$86,$C1445)&gt;0,"نعم","لا (خارج الجرد)"))</f>
        <v/>
      </c>
    </row>
    <row r="1446" customFormat="false" ht="15" hidden="false" customHeight="false" outlineLevel="0" collapsed="false">
      <c r="A1446" s="102"/>
      <c r="B1446" s="104"/>
      <c r="C1446" s="104"/>
      <c r="F1446" s="103" t="str">
        <f aca="false">IF(OR($C1446="",$D1446=0),"",$E1446/$D1446)</f>
        <v/>
      </c>
      <c r="H1446" s="0" t="str">
        <f aca="false">IF($C1446="","",IF(COUNTIF('مواد المخزون'!$A$2:$A$86,$C1446)&gt;0,"نعم","لا (خارج الجرد)"))</f>
        <v/>
      </c>
    </row>
    <row r="1447" customFormat="false" ht="15" hidden="false" customHeight="false" outlineLevel="0" collapsed="false">
      <c r="A1447" s="102"/>
      <c r="B1447" s="104"/>
      <c r="C1447" s="104"/>
      <c r="F1447" s="103" t="str">
        <f aca="false">IF(OR($C1447="",$D1447=0),"",$E1447/$D1447)</f>
        <v/>
      </c>
      <c r="H1447" s="0" t="str">
        <f aca="false">IF($C1447="","",IF(COUNTIF('مواد المخزون'!$A$2:$A$86,$C1447)&gt;0,"نعم","لا (خارج الجرد)"))</f>
        <v/>
      </c>
    </row>
    <row r="1448" customFormat="false" ht="15" hidden="false" customHeight="false" outlineLevel="0" collapsed="false">
      <c r="A1448" s="102"/>
      <c r="B1448" s="104"/>
      <c r="C1448" s="104"/>
      <c r="F1448" s="103" t="str">
        <f aca="false">IF(OR($C1448="",$D1448=0),"",$E1448/$D1448)</f>
        <v/>
      </c>
      <c r="H1448" s="0" t="str">
        <f aca="false">IF($C1448="","",IF(COUNTIF('مواد المخزون'!$A$2:$A$86,$C1448)&gt;0,"نعم","لا (خارج الجرد)"))</f>
        <v/>
      </c>
    </row>
    <row r="1449" customFormat="false" ht="15" hidden="false" customHeight="false" outlineLevel="0" collapsed="false">
      <c r="A1449" s="102"/>
      <c r="B1449" s="104"/>
      <c r="C1449" s="104"/>
      <c r="F1449" s="103" t="str">
        <f aca="false">IF(OR($C1449="",$D1449=0),"",$E1449/$D1449)</f>
        <v/>
      </c>
      <c r="H1449" s="0" t="str">
        <f aca="false">IF($C1449="","",IF(COUNTIF('مواد المخزون'!$A$2:$A$86,$C1449)&gt;0,"نعم","لا (خارج الجرد)"))</f>
        <v/>
      </c>
    </row>
    <row r="1450" customFormat="false" ht="15" hidden="false" customHeight="false" outlineLevel="0" collapsed="false">
      <c r="A1450" s="102"/>
      <c r="B1450" s="104"/>
      <c r="C1450" s="104"/>
      <c r="F1450" s="103" t="str">
        <f aca="false">IF(OR($C1450="",$D1450=0),"",$E1450/$D1450)</f>
        <v/>
      </c>
      <c r="H1450" s="0" t="str">
        <f aca="false">IF($C1450="","",IF(COUNTIF('مواد المخزون'!$A$2:$A$86,$C1450)&gt;0,"نعم","لا (خارج الجرد)"))</f>
        <v/>
      </c>
    </row>
    <row r="1451" customFormat="false" ht="15" hidden="false" customHeight="false" outlineLevel="0" collapsed="false">
      <c r="A1451" s="102"/>
      <c r="B1451" s="104"/>
      <c r="C1451" s="104"/>
      <c r="F1451" s="103" t="str">
        <f aca="false">IF(OR($C1451="",$D1451=0),"",$E1451/$D1451)</f>
        <v/>
      </c>
      <c r="H1451" s="0" t="str">
        <f aca="false">IF($C1451="","",IF(COUNTIF('مواد المخزون'!$A$2:$A$86,$C1451)&gt;0,"نعم","لا (خارج الجرد)"))</f>
        <v/>
      </c>
    </row>
    <row r="1452" customFormat="false" ht="15" hidden="false" customHeight="false" outlineLevel="0" collapsed="false">
      <c r="A1452" s="102"/>
      <c r="B1452" s="104"/>
      <c r="C1452" s="104"/>
      <c r="F1452" s="103" t="str">
        <f aca="false">IF(OR($C1452="",$D1452=0),"",$E1452/$D1452)</f>
        <v/>
      </c>
      <c r="H1452" s="0" t="str">
        <f aca="false">IF($C1452="","",IF(COUNTIF('مواد المخزون'!$A$2:$A$86,$C1452)&gt;0,"نعم","لا (خارج الجرد)"))</f>
        <v/>
      </c>
    </row>
    <row r="1453" customFormat="false" ht="15" hidden="false" customHeight="false" outlineLevel="0" collapsed="false">
      <c r="A1453" s="102"/>
      <c r="B1453" s="104"/>
      <c r="C1453" s="104"/>
      <c r="F1453" s="103" t="str">
        <f aca="false">IF(OR($C1453="",$D1453=0),"",$E1453/$D1453)</f>
        <v/>
      </c>
      <c r="H1453" s="0" t="str">
        <f aca="false">IF($C1453="","",IF(COUNTIF('مواد المخزون'!$A$2:$A$86,$C1453)&gt;0,"نعم","لا (خارج الجرد)"))</f>
        <v/>
      </c>
    </row>
    <row r="1454" customFormat="false" ht="15" hidden="false" customHeight="false" outlineLevel="0" collapsed="false">
      <c r="A1454" s="102"/>
      <c r="B1454" s="104"/>
      <c r="C1454" s="104"/>
      <c r="F1454" s="103" t="str">
        <f aca="false">IF(OR($C1454="",$D1454=0),"",$E1454/$D1454)</f>
        <v/>
      </c>
      <c r="H1454" s="0" t="str">
        <f aca="false">IF($C1454="","",IF(COUNTIF('مواد المخزون'!$A$2:$A$86,$C1454)&gt;0,"نعم","لا (خارج الجرد)"))</f>
        <v/>
      </c>
    </row>
    <row r="1455" customFormat="false" ht="15" hidden="false" customHeight="false" outlineLevel="0" collapsed="false">
      <c r="A1455" s="102"/>
      <c r="B1455" s="104"/>
      <c r="C1455" s="104"/>
      <c r="F1455" s="103" t="str">
        <f aca="false">IF(OR($C1455="",$D1455=0),"",$E1455/$D1455)</f>
        <v/>
      </c>
      <c r="H1455" s="0" t="str">
        <f aca="false">IF($C1455="","",IF(COUNTIF('مواد المخزون'!$A$2:$A$86,$C1455)&gt;0,"نعم","لا (خارج الجرد)"))</f>
        <v/>
      </c>
    </row>
    <row r="1456" customFormat="false" ht="15" hidden="false" customHeight="false" outlineLevel="0" collapsed="false">
      <c r="A1456" s="102"/>
      <c r="B1456" s="104"/>
      <c r="C1456" s="104"/>
      <c r="F1456" s="103" t="str">
        <f aca="false">IF(OR($C1456="",$D1456=0),"",$E1456/$D1456)</f>
        <v/>
      </c>
      <c r="H1456" s="0" t="str">
        <f aca="false">IF($C1456="","",IF(COUNTIF('مواد المخزون'!$A$2:$A$86,$C1456)&gt;0,"نعم","لا (خارج الجرد)"))</f>
        <v/>
      </c>
    </row>
    <row r="1457" customFormat="false" ht="15" hidden="false" customHeight="false" outlineLevel="0" collapsed="false">
      <c r="A1457" s="102"/>
      <c r="B1457" s="104"/>
      <c r="C1457" s="104"/>
      <c r="F1457" s="103" t="str">
        <f aca="false">IF(OR($C1457="",$D1457=0),"",$E1457/$D1457)</f>
        <v/>
      </c>
      <c r="H1457" s="0" t="str">
        <f aca="false">IF($C1457="","",IF(COUNTIF('مواد المخزون'!$A$2:$A$86,$C1457)&gt;0,"نعم","لا (خارج الجرد)"))</f>
        <v/>
      </c>
    </row>
    <row r="1458" customFormat="false" ht="15" hidden="false" customHeight="false" outlineLevel="0" collapsed="false">
      <c r="A1458" s="102"/>
      <c r="B1458" s="104"/>
      <c r="C1458" s="104"/>
      <c r="F1458" s="103" t="str">
        <f aca="false">IF(OR($C1458="",$D1458=0),"",$E1458/$D1458)</f>
        <v/>
      </c>
      <c r="H1458" s="0" t="str">
        <f aca="false">IF($C1458="","",IF(COUNTIF('مواد المخزون'!$A$2:$A$86,$C1458)&gt;0,"نعم","لا (خارج الجرد)"))</f>
        <v/>
      </c>
    </row>
    <row r="1459" customFormat="false" ht="15" hidden="false" customHeight="false" outlineLevel="0" collapsed="false">
      <c r="A1459" s="102"/>
      <c r="B1459" s="104"/>
      <c r="C1459" s="104"/>
      <c r="F1459" s="103" t="str">
        <f aca="false">IF(OR($C1459="",$D1459=0),"",$E1459/$D1459)</f>
        <v/>
      </c>
      <c r="H1459" s="0" t="str">
        <f aca="false">IF($C1459="","",IF(COUNTIF('مواد المخزون'!$A$2:$A$86,$C1459)&gt;0,"نعم","لا (خارج الجرد)"))</f>
        <v/>
      </c>
    </row>
    <row r="1460" customFormat="false" ht="15" hidden="false" customHeight="false" outlineLevel="0" collapsed="false">
      <c r="A1460" s="102"/>
      <c r="B1460" s="104"/>
      <c r="C1460" s="104"/>
      <c r="F1460" s="103" t="str">
        <f aca="false">IF(OR($C1460="",$D1460=0),"",$E1460/$D1460)</f>
        <v/>
      </c>
      <c r="H1460" s="0" t="str">
        <f aca="false">IF($C1460="","",IF(COUNTIF('مواد المخزون'!$A$2:$A$86,$C1460)&gt;0,"نعم","لا (خارج الجرد)"))</f>
        <v/>
      </c>
    </row>
    <row r="1461" customFormat="false" ht="15" hidden="false" customHeight="false" outlineLevel="0" collapsed="false">
      <c r="A1461" s="102"/>
      <c r="B1461" s="104"/>
      <c r="C1461" s="104"/>
      <c r="F1461" s="103" t="str">
        <f aca="false">IF(OR($C1461="",$D1461=0),"",$E1461/$D1461)</f>
        <v/>
      </c>
      <c r="H1461" s="0" t="str">
        <f aca="false">IF($C1461="","",IF(COUNTIF('مواد المخزون'!$A$2:$A$86,$C1461)&gt;0,"نعم","لا (خارج الجرد)"))</f>
        <v/>
      </c>
    </row>
    <row r="1462" customFormat="false" ht="15" hidden="false" customHeight="false" outlineLevel="0" collapsed="false">
      <c r="A1462" s="102"/>
      <c r="B1462" s="104"/>
      <c r="C1462" s="104"/>
      <c r="F1462" s="103" t="str">
        <f aca="false">IF(OR($C1462="",$D1462=0),"",$E1462/$D1462)</f>
        <v/>
      </c>
      <c r="H1462" s="0" t="str">
        <f aca="false">IF($C1462="","",IF(COUNTIF('مواد المخزون'!$A$2:$A$86,$C1462)&gt;0,"نعم","لا (خارج الجرد)"))</f>
        <v/>
      </c>
    </row>
    <row r="1463" customFormat="false" ht="15" hidden="false" customHeight="false" outlineLevel="0" collapsed="false">
      <c r="A1463" s="102"/>
      <c r="B1463" s="104"/>
      <c r="C1463" s="104"/>
      <c r="F1463" s="103" t="str">
        <f aca="false">IF(OR($C1463="",$D1463=0),"",$E1463/$D1463)</f>
        <v/>
      </c>
      <c r="H1463" s="0" t="str">
        <f aca="false">IF($C1463="","",IF(COUNTIF('مواد المخزون'!$A$2:$A$86,$C1463)&gt;0,"نعم","لا (خارج الجرد)"))</f>
        <v/>
      </c>
    </row>
    <row r="1464" customFormat="false" ht="15" hidden="false" customHeight="false" outlineLevel="0" collapsed="false">
      <c r="A1464" s="102"/>
      <c r="B1464" s="104"/>
      <c r="C1464" s="104"/>
      <c r="F1464" s="103" t="str">
        <f aca="false">IF(OR($C1464="",$D1464=0),"",$E1464/$D1464)</f>
        <v/>
      </c>
      <c r="H1464" s="0" t="str">
        <f aca="false">IF($C1464="","",IF(COUNTIF('مواد المخزون'!$A$2:$A$86,$C1464)&gt;0,"نعم","لا (خارج الجرد)"))</f>
        <v/>
      </c>
    </row>
    <row r="1465" customFormat="false" ht="15" hidden="false" customHeight="false" outlineLevel="0" collapsed="false">
      <c r="A1465" s="102"/>
      <c r="B1465" s="104"/>
      <c r="C1465" s="104"/>
      <c r="F1465" s="103" t="str">
        <f aca="false">IF(OR($C1465="",$D1465=0),"",$E1465/$D1465)</f>
        <v/>
      </c>
      <c r="H1465" s="0" t="str">
        <f aca="false">IF($C1465="","",IF(COUNTIF('مواد المخزون'!$A$2:$A$86,$C1465)&gt;0,"نعم","لا (خارج الجرد)"))</f>
        <v/>
      </c>
    </row>
    <row r="1466" customFormat="false" ht="15" hidden="false" customHeight="false" outlineLevel="0" collapsed="false">
      <c r="A1466" s="102"/>
      <c r="B1466" s="104"/>
      <c r="C1466" s="104"/>
      <c r="F1466" s="103" t="str">
        <f aca="false">IF(OR($C1466="",$D1466=0),"",$E1466/$D1466)</f>
        <v/>
      </c>
      <c r="H1466" s="0" t="str">
        <f aca="false">IF($C1466="","",IF(COUNTIF('مواد المخزون'!$A$2:$A$86,$C1466)&gt;0,"نعم","لا (خارج الجرد)"))</f>
        <v/>
      </c>
    </row>
    <row r="1467" customFormat="false" ht="15" hidden="false" customHeight="false" outlineLevel="0" collapsed="false">
      <c r="A1467" s="102"/>
      <c r="B1467" s="104"/>
      <c r="C1467" s="104"/>
      <c r="F1467" s="103" t="str">
        <f aca="false">IF(OR($C1467="",$D1467=0),"",$E1467/$D1467)</f>
        <v/>
      </c>
      <c r="H1467" s="0" t="str">
        <f aca="false">IF($C1467="","",IF(COUNTIF('مواد المخزون'!$A$2:$A$86,$C1467)&gt;0,"نعم","لا (خارج الجرد)"))</f>
        <v/>
      </c>
    </row>
    <row r="1468" customFormat="false" ht="15" hidden="false" customHeight="false" outlineLevel="0" collapsed="false">
      <c r="A1468" s="102"/>
      <c r="B1468" s="104"/>
      <c r="C1468" s="104"/>
      <c r="F1468" s="103" t="str">
        <f aca="false">IF(OR($C1468="",$D1468=0),"",$E1468/$D1468)</f>
        <v/>
      </c>
      <c r="H1468" s="0" t="str">
        <f aca="false">IF($C1468="","",IF(COUNTIF('مواد المخزون'!$A$2:$A$86,$C1468)&gt;0,"نعم","لا (خارج الجرد)"))</f>
        <v/>
      </c>
    </row>
    <row r="1469" customFormat="false" ht="15" hidden="false" customHeight="false" outlineLevel="0" collapsed="false">
      <c r="A1469" s="102"/>
      <c r="B1469" s="104"/>
      <c r="C1469" s="104"/>
      <c r="F1469" s="103" t="str">
        <f aca="false">IF(OR($C1469="",$D1469=0),"",$E1469/$D1469)</f>
        <v/>
      </c>
      <c r="H1469" s="0" t="str">
        <f aca="false">IF($C1469="","",IF(COUNTIF('مواد المخزون'!$A$2:$A$86,$C1469)&gt;0,"نعم","لا (خارج الجرد)"))</f>
        <v/>
      </c>
    </row>
    <row r="1470" customFormat="false" ht="15" hidden="false" customHeight="false" outlineLevel="0" collapsed="false">
      <c r="A1470" s="102"/>
      <c r="B1470" s="104"/>
      <c r="C1470" s="104"/>
      <c r="F1470" s="103" t="str">
        <f aca="false">IF(OR($C1470="",$D1470=0),"",$E1470/$D1470)</f>
        <v/>
      </c>
      <c r="H1470" s="0" t="str">
        <f aca="false">IF($C1470="","",IF(COUNTIF('مواد المخزون'!$A$2:$A$86,$C1470)&gt;0,"نعم","لا (خارج الجرد)"))</f>
        <v/>
      </c>
    </row>
    <row r="1471" customFormat="false" ht="15" hidden="false" customHeight="false" outlineLevel="0" collapsed="false">
      <c r="A1471" s="102"/>
      <c r="B1471" s="104"/>
      <c r="C1471" s="104"/>
      <c r="F1471" s="103" t="str">
        <f aca="false">IF(OR($C1471="",$D1471=0),"",$E1471/$D1471)</f>
        <v/>
      </c>
      <c r="H1471" s="0" t="str">
        <f aca="false">IF($C1471="","",IF(COUNTIF('مواد المخزون'!$A$2:$A$86,$C1471)&gt;0,"نعم","لا (خارج الجرد)"))</f>
        <v/>
      </c>
    </row>
    <row r="1472" customFormat="false" ht="15" hidden="false" customHeight="false" outlineLevel="0" collapsed="false">
      <c r="A1472" s="102"/>
      <c r="B1472" s="104"/>
      <c r="C1472" s="104"/>
      <c r="F1472" s="103" t="str">
        <f aca="false">IF(OR($C1472="",$D1472=0),"",$E1472/$D1472)</f>
        <v/>
      </c>
      <c r="H1472" s="0" t="str">
        <f aca="false">IF($C1472="","",IF(COUNTIF('مواد المخزون'!$A$2:$A$86,$C1472)&gt;0,"نعم","لا (خارج الجرد)"))</f>
        <v/>
      </c>
    </row>
    <row r="1473" customFormat="false" ht="15" hidden="false" customHeight="false" outlineLevel="0" collapsed="false">
      <c r="A1473" s="102"/>
      <c r="B1473" s="104"/>
      <c r="C1473" s="104"/>
      <c r="F1473" s="103" t="str">
        <f aca="false">IF(OR($C1473="",$D1473=0),"",$E1473/$D1473)</f>
        <v/>
      </c>
      <c r="H1473" s="0" t="str">
        <f aca="false">IF($C1473="","",IF(COUNTIF('مواد المخزون'!$A$2:$A$86,$C1473)&gt;0,"نعم","لا (خارج الجرد)"))</f>
        <v/>
      </c>
    </row>
    <row r="1474" customFormat="false" ht="15" hidden="false" customHeight="false" outlineLevel="0" collapsed="false">
      <c r="A1474" s="102"/>
      <c r="B1474" s="104"/>
      <c r="C1474" s="104"/>
      <c r="F1474" s="103" t="str">
        <f aca="false">IF(OR($C1474="",$D1474=0),"",$E1474/$D1474)</f>
        <v/>
      </c>
      <c r="H1474" s="0" t="str">
        <f aca="false">IF($C1474="","",IF(COUNTIF('مواد المخزون'!$A$2:$A$86,$C1474)&gt;0,"نعم","لا (خارج الجرد)"))</f>
        <v/>
      </c>
    </row>
    <row r="1475" customFormat="false" ht="15" hidden="false" customHeight="false" outlineLevel="0" collapsed="false">
      <c r="A1475" s="102"/>
      <c r="B1475" s="104"/>
      <c r="C1475" s="104"/>
      <c r="F1475" s="103" t="str">
        <f aca="false">IF(OR($C1475="",$D1475=0),"",$E1475/$D1475)</f>
        <v/>
      </c>
      <c r="H1475" s="0" t="str">
        <f aca="false">IF($C1475="","",IF(COUNTIF('مواد المخزون'!$A$2:$A$86,$C1475)&gt;0,"نعم","لا (خارج الجرد)"))</f>
        <v/>
      </c>
    </row>
    <row r="1476" customFormat="false" ht="15" hidden="false" customHeight="false" outlineLevel="0" collapsed="false">
      <c r="A1476" s="102"/>
      <c r="B1476" s="104"/>
      <c r="C1476" s="104"/>
      <c r="F1476" s="103" t="str">
        <f aca="false">IF(OR($C1476="",$D1476=0),"",$E1476/$D1476)</f>
        <v/>
      </c>
      <c r="H1476" s="0" t="str">
        <f aca="false">IF($C1476="","",IF(COUNTIF('مواد المخزون'!$A$2:$A$86,$C1476)&gt;0,"نعم","لا (خارج الجرد)"))</f>
        <v/>
      </c>
    </row>
    <row r="1477" customFormat="false" ht="15" hidden="false" customHeight="false" outlineLevel="0" collapsed="false">
      <c r="A1477" s="102"/>
      <c r="B1477" s="104"/>
      <c r="C1477" s="104"/>
      <c r="F1477" s="103" t="str">
        <f aca="false">IF(OR($C1477="",$D1477=0),"",$E1477/$D1477)</f>
        <v/>
      </c>
      <c r="H1477" s="0" t="str">
        <f aca="false">IF($C1477="","",IF(COUNTIF('مواد المخزون'!$A$2:$A$86,$C1477)&gt;0,"نعم","لا (خارج الجرد)"))</f>
        <v/>
      </c>
    </row>
    <row r="1478" customFormat="false" ht="15" hidden="false" customHeight="false" outlineLevel="0" collapsed="false">
      <c r="A1478" s="102"/>
      <c r="B1478" s="104"/>
      <c r="C1478" s="104"/>
      <c r="F1478" s="103" t="str">
        <f aca="false">IF(OR($C1478="",$D1478=0),"",$E1478/$D1478)</f>
        <v/>
      </c>
      <c r="H1478" s="0" t="str">
        <f aca="false">IF($C1478="","",IF(COUNTIF('مواد المخزون'!$A$2:$A$86,$C1478)&gt;0,"نعم","لا (خارج الجرد)"))</f>
        <v/>
      </c>
    </row>
    <row r="1479" customFormat="false" ht="15" hidden="false" customHeight="false" outlineLevel="0" collapsed="false">
      <c r="A1479" s="102"/>
      <c r="B1479" s="104"/>
      <c r="C1479" s="104"/>
      <c r="F1479" s="103" t="str">
        <f aca="false">IF(OR($C1479="",$D1479=0),"",$E1479/$D1479)</f>
        <v/>
      </c>
      <c r="H1479" s="0" t="str">
        <f aca="false">IF($C1479="","",IF(COUNTIF('مواد المخزون'!$A$2:$A$86,$C1479)&gt;0,"نعم","لا (خارج الجرد)"))</f>
        <v/>
      </c>
    </row>
    <row r="1480" customFormat="false" ht="15" hidden="false" customHeight="false" outlineLevel="0" collapsed="false">
      <c r="A1480" s="102"/>
      <c r="B1480" s="104"/>
      <c r="C1480" s="104"/>
      <c r="F1480" s="103" t="str">
        <f aca="false">IF(OR($C1480="",$D1480=0),"",$E1480/$D1480)</f>
        <v/>
      </c>
      <c r="H1480" s="0" t="str">
        <f aca="false">IF($C1480="","",IF(COUNTIF('مواد المخزون'!$A$2:$A$86,$C1480)&gt;0,"نعم","لا (خارج الجرد)"))</f>
        <v/>
      </c>
    </row>
    <row r="1481" customFormat="false" ht="15" hidden="false" customHeight="false" outlineLevel="0" collapsed="false">
      <c r="A1481" s="102"/>
      <c r="B1481" s="104"/>
      <c r="C1481" s="104"/>
      <c r="F1481" s="103" t="str">
        <f aca="false">IF(OR($C1481="",$D1481=0),"",$E1481/$D1481)</f>
        <v/>
      </c>
      <c r="H1481" s="0" t="str">
        <f aca="false">IF($C1481="","",IF(COUNTIF('مواد المخزون'!$A$2:$A$86,$C1481)&gt;0,"نعم","لا (خارج الجرد)"))</f>
        <v/>
      </c>
    </row>
    <row r="1482" customFormat="false" ht="15" hidden="false" customHeight="false" outlineLevel="0" collapsed="false">
      <c r="A1482" s="102"/>
      <c r="B1482" s="104"/>
      <c r="C1482" s="104"/>
      <c r="F1482" s="103" t="str">
        <f aca="false">IF(OR($C1482="",$D1482=0),"",$E1482/$D1482)</f>
        <v/>
      </c>
      <c r="H1482" s="0" t="str">
        <f aca="false">IF($C1482="","",IF(COUNTIF('مواد المخزون'!$A$2:$A$86,$C1482)&gt;0,"نعم","لا (خارج الجرد)"))</f>
        <v/>
      </c>
    </row>
    <row r="1483" customFormat="false" ht="15" hidden="false" customHeight="false" outlineLevel="0" collapsed="false">
      <c r="A1483" s="102"/>
      <c r="B1483" s="104"/>
      <c r="C1483" s="104"/>
      <c r="F1483" s="103" t="str">
        <f aca="false">IF(OR($C1483="",$D1483=0),"",$E1483/$D1483)</f>
        <v/>
      </c>
      <c r="H1483" s="0" t="str">
        <f aca="false">IF($C1483="","",IF(COUNTIF('مواد المخزون'!$A$2:$A$86,$C1483)&gt;0,"نعم","لا (خارج الجرد)"))</f>
        <v/>
      </c>
    </row>
    <row r="1484" customFormat="false" ht="15" hidden="false" customHeight="false" outlineLevel="0" collapsed="false">
      <c r="A1484" s="102"/>
      <c r="B1484" s="104"/>
      <c r="C1484" s="104"/>
      <c r="F1484" s="103" t="str">
        <f aca="false">IF(OR($C1484="",$D1484=0),"",$E1484/$D1484)</f>
        <v/>
      </c>
      <c r="H1484" s="0" t="str">
        <f aca="false">IF($C1484="","",IF(COUNTIF('مواد المخزون'!$A$2:$A$86,$C1484)&gt;0,"نعم","لا (خارج الجرد)"))</f>
        <v/>
      </c>
    </row>
    <row r="1485" customFormat="false" ht="15" hidden="false" customHeight="false" outlineLevel="0" collapsed="false">
      <c r="A1485" s="102"/>
      <c r="B1485" s="104"/>
      <c r="C1485" s="104"/>
      <c r="F1485" s="103" t="str">
        <f aca="false">IF(OR($C1485="",$D1485=0),"",$E1485/$D1485)</f>
        <v/>
      </c>
      <c r="H1485" s="0" t="str">
        <f aca="false">IF($C1485="","",IF(COUNTIF('مواد المخزون'!$A$2:$A$86,$C1485)&gt;0,"نعم","لا (خارج الجرد)"))</f>
        <v/>
      </c>
    </row>
    <row r="1486" customFormat="false" ht="15" hidden="false" customHeight="false" outlineLevel="0" collapsed="false">
      <c r="A1486" s="102"/>
      <c r="B1486" s="104"/>
      <c r="C1486" s="104"/>
      <c r="F1486" s="103" t="str">
        <f aca="false">IF(OR($C1486="",$D1486=0),"",$E1486/$D1486)</f>
        <v/>
      </c>
      <c r="H1486" s="0" t="str">
        <f aca="false">IF($C1486="","",IF(COUNTIF('مواد المخزون'!$A$2:$A$86,$C1486)&gt;0,"نعم","لا (خارج الجرد)"))</f>
        <v/>
      </c>
    </row>
    <row r="1487" customFormat="false" ht="15" hidden="false" customHeight="false" outlineLevel="0" collapsed="false">
      <c r="A1487" s="102"/>
      <c r="B1487" s="104"/>
      <c r="C1487" s="104"/>
      <c r="F1487" s="103" t="str">
        <f aca="false">IF(OR($C1487="",$D1487=0),"",$E1487/$D1487)</f>
        <v/>
      </c>
      <c r="H1487" s="0" t="str">
        <f aca="false">IF($C1487="","",IF(COUNTIF('مواد المخزون'!$A$2:$A$86,$C1487)&gt;0,"نعم","لا (خارج الجرد)"))</f>
        <v/>
      </c>
    </row>
    <row r="1488" customFormat="false" ht="15" hidden="false" customHeight="false" outlineLevel="0" collapsed="false">
      <c r="A1488" s="102"/>
      <c r="B1488" s="104"/>
      <c r="C1488" s="104"/>
      <c r="F1488" s="103" t="str">
        <f aca="false">IF(OR($C1488="",$D1488=0),"",$E1488/$D1488)</f>
        <v/>
      </c>
      <c r="H1488" s="0" t="str">
        <f aca="false">IF($C1488="","",IF(COUNTIF('مواد المخزون'!$A$2:$A$86,$C1488)&gt;0,"نعم","لا (خارج الجرد)"))</f>
        <v/>
      </c>
    </row>
    <row r="1489" customFormat="false" ht="15" hidden="false" customHeight="false" outlineLevel="0" collapsed="false">
      <c r="A1489" s="102"/>
      <c r="B1489" s="104"/>
      <c r="C1489" s="104"/>
      <c r="F1489" s="103" t="str">
        <f aca="false">IF(OR($C1489="",$D1489=0),"",$E1489/$D1489)</f>
        <v/>
      </c>
      <c r="H1489" s="0" t="str">
        <f aca="false">IF($C1489="","",IF(COUNTIF('مواد المخزون'!$A$2:$A$86,$C1489)&gt;0,"نعم","لا (خارج الجرد)"))</f>
        <v/>
      </c>
    </row>
    <row r="1490" customFormat="false" ht="15" hidden="false" customHeight="false" outlineLevel="0" collapsed="false">
      <c r="A1490" s="102"/>
      <c r="B1490" s="104"/>
      <c r="C1490" s="104"/>
      <c r="F1490" s="103" t="str">
        <f aca="false">IF(OR($C1490="",$D1490=0),"",$E1490/$D1490)</f>
        <v/>
      </c>
      <c r="H1490" s="0" t="str">
        <f aca="false">IF($C1490="","",IF(COUNTIF('مواد المخزون'!$A$2:$A$86,$C1490)&gt;0,"نعم","لا (خارج الجرد)"))</f>
        <v/>
      </c>
    </row>
    <row r="1491" customFormat="false" ht="15" hidden="false" customHeight="false" outlineLevel="0" collapsed="false">
      <c r="A1491" s="102"/>
      <c r="B1491" s="104"/>
      <c r="C1491" s="104"/>
      <c r="F1491" s="103" t="str">
        <f aca="false">IF(OR($C1491="",$D1491=0),"",$E1491/$D1491)</f>
        <v/>
      </c>
      <c r="H1491" s="0" t="str">
        <f aca="false">IF($C1491="","",IF(COUNTIF('مواد المخزون'!$A$2:$A$86,$C1491)&gt;0,"نعم","لا (خارج الجرد)"))</f>
        <v/>
      </c>
    </row>
    <row r="1492" customFormat="false" ht="15" hidden="false" customHeight="false" outlineLevel="0" collapsed="false">
      <c r="A1492" s="102"/>
      <c r="B1492" s="104"/>
      <c r="C1492" s="104"/>
      <c r="F1492" s="103" t="str">
        <f aca="false">IF(OR($C1492="",$D1492=0),"",$E1492/$D1492)</f>
        <v/>
      </c>
      <c r="H1492" s="0" t="str">
        <f aca="false">IF($C1492="","",IF(COUNTIF('مواد المخزون'!$A$2:$A$86,$C1492)&gt;0,"نعم","لا (خارج الجرد)"))</f>
        <v/>
      </c>
    </row>
    <row r="1493" customFormat="false" ht="15" hidden="false" customHeight="false" outlineLevel="0" collapsed="false">
      <c r="A1493" s="102"/>
      <c r="B1493" s="104"/>
      <c r="C1493" s="104"/>
      <c r="F1493" s="103" t="str">
        <f aca="false">IF(OR($C1493="",$D1493=0),"",$E1493/$D1493)</f>
        <v/>
      </c>
      <c r="H1493" s="0" t="str">
        <f aca="false">IF($C1493="","",IF(COUNTIF('مواد المخزون'!$A$2:$A$86,$C1493)&gt;0,"نعم","لا (خارج الجرد)"))</f>
        <v/>
      </c>
    </row>
    <row r="1494" customFormat="false" ht="15" hidden="false" customHeight="false" outlineLevel="0" collapsed="false">
      <c r="A1494" s="102"/>
      <c r="B1494" s="104"/>
      <c r="C1494" s="104"/>
      <c r="F1494" s="103" t="str">
        <f aca="false">IF(OR($C1494="",$D1494=0),"",$E1494/$D1494)</f>
        <v/>
      </c>
      <c r="H1494" s="0" t="str">
        <f aca="false">IF($C1494="","",IF(COUNTIF('مواد المخزون'!$A$2:$A$86,$C1494)&gt;0,"نعم","لا (خارج الجرد)"))</f>
        <v/>
      </c>
    </row>
    <row r="1495" customFormat="false" ht="15" hidden="false" customHeight="false" outlineLevel="0" collapsed="false">
      <c r="A1495" s="102"/>
      <c r="B1495" s="104"/>
      <c r="C1495" s="104"/>
      <c r="F1495" s="103" t="str">
        <f aca="false">IF(OR($C1495="",$D1495=0),"",$E1495/$D1495)</f>
        <v/>
      </c>
      <c r="H1495" s="0" t="str">
        <f aca="false">IF($C1495="","",IF(COUNTIF('مواد المخزون'!$A$2:$A$86,$C1495)&gt;0,"نعم","لا (خارج الجرد)"))</f>
        <v/>
      </c>
    </row>
    <row r="1496" customFormat="false" ht="15" hidden="false" customHeight="false" outlineLevel="0" collapsed="false">
      <c r="A1496" s="102"/>
      <c r="B1496" s="104"/>
      <c r="C1496" s="104"/>
      <c r="F1496" s="103" t="str">
        <f aca="false">IF(OR($C1496="",$D1496=0),"",$E1496/$D1496)</f>
        <v/>
      </c>
      <c r="H1496" s="0" t="str">
        <f aca="false">IF($C1496="","",IF(COUNTIF('مواد المخزون'!$A$2:$A$86,$C1496)&gt;0,"نعم","لا (خارج الجرد)"))</f>
        <v/>
      </c>
    </row>
    <row r="1497" customFormat="false" ht="15" hidden="false" customHeight="false" outlineLevel="0" collapsed="false">
      <c r="A1497" s="102"/>
      <c r="B1497" s="104"/>
      <c r="C1497" s="104"/>
      <c r="F1497" s="103" t="str">
        <f aca="false">IF(OR($C1497="",$D1497=0),"",$E1497/$D1497)</f>
        <v/>
      </c>
      <c r="H1497" s="0" t="str">
        <f aca="false">IF($C1497="","",IF(COUNTIF('مواد المخزون'!$A$2:$A$86,$C1497)&gt;0,"نعم","لا (خارج الجرد)"))</f>
        <v/>
      </c>
    </row>
    <row r="1498" customFormat="false" ht="15" hidden="false" customHeight="false" outlineLevel="0" collapsed="false">
      <c r="A1498" s="102"/>
      <c r="B1498" s="104"/>
      <c r="C1498" s="104"/>
      <c r="F1498" s="103" t="str">
        <f aca="false">IF(OR($C1498="",$D1498=0),"",$E1498/$D1498)</f>
        <v/>
      </c>
      <c r="H1498" s="0" t="str">
        <f aca="false">IF($C1498="","",IF(COUNTIF('مواد المخزون'!$A$2:$A$86,$C1498)&gt;0,"نعم","لا (خارج الجرد)"))</f>
        <v/>
      </c>
    </row>
    <row r="1499" customFormat="false" ht="15" hidden="false" customHeight="false" outlineLevel="0" collapsed="false">
      <c r="A1499" s="102"/>
      <c r="B1499" s="104"/>
      <c r="C1499" s="104"/>
      <c r="F1499" s="103" t="str">
        <f aca="false">IF(OR($C1499="",$D1499=0),"",$E1499/$D1499)</f>
        <v/>
      </c>
      <c r="H1499" s="0" t="str">
        <f aca="false">IF($C1499="","",IF(COUNTIF('مواد المخزون'!$A$2:$A$86,$C1499)&gt;0,"نعم","لا (خارج الجرد)"))</f>
        <v/>
      </c>
    </row>
    <row r="1500" customFormat="false" ht="15" hidden="false" customHeight="false" outlineLevel="0" collapsed="false">
      <c r="A1500" s="102"/>
      <c r="B1500" s="104"/>
      <c r="C1500" s="104"/>
      <c r="F1500" s="103" t="str">
        <f aca="false">IF(OR($C1500="",$D1500=0),"",$E1500/$D1500)</f>
        <v/>
      </c>
      <c r="H1500" s="0" t="str">
        <f aca="false">IF($C1500="","",IF(COUNTIF('مواد المخزون'!$A$2:$A$86,$C1500)&gt;0,"نعم","لا (خارج الجرد)"))</f>
        <v/>
      </c>
    </row>
    <row r="1501" customFormat="false" ht="15" hidden="false" customHeight="false" outlineLevel="0" collapsed="false">
      <c r="A1501" s="102"/>
      <c r="B1501" s="104"/>
      <c r="C1501" s="104"/>
      <c r="F1501" s="103" t="str">
        <f aca="false">IF(OR($C1501="",$D1501=0),"",$E1501/$D1501)</f>
        <v/>
      </c>
      <c r="H1501" s="0" t="str">
        <f aca="false">IF($C1501="","",IF(COUNTIF('مواد المخزون'!$A$2:$A$86,$C1501)&gt;0,"نعم","لا (خارج الجرد)"))</f>
        <v/>
      </c>
    </row>
    <row r="1502" customFormat="false" ht="15" hidden="false" customHeight="false" outlineLevel="0" collapsed="false">
      <c r="A1502" s="102"/>
      <c r="B1502" s="104"/>
      <c r="C1502" s="104"/>
      <c r="F1502" s="103" t="str">
        <f aca="false">IF(OR($C1502="",$D1502=0),"",$E1502/$D1502)</f>
        <v/>
      </c>
      <c r="H1502" s="0" t="str">
        <f aca="false">IF($C1502="","",IF(COUNTIF('مواد المخزون'!$A$2:$A$86,$C1502)&gt;0,"نعم","لا (خارج الجرد)"))</f>
        <v/>
      </c>
    </row>
    <row r="1503" customFormat="false" ht="15" hidden="false" customHeight="false" outlineLevel="0" collapsed="false">
      <c r="A1503" s="102"/>
      <c r="B1503" s="104"/>
      <c r="C1503" s="104"/>
      <c r="F1503" s="103" t="str">
        <f aca="false">IF(OR($C1503="",$D1503=0),"",$E1503/$D1503)</f>
        <v/>
      </c>
      <c r="H1503" s="0" t="str">
        <f aca="false">IF($C1503="","",IF(COUNTIF('مواد المخزون'!$A$2:$A$86,$C1503)&gt;0,"نعم","لا (خارج الجرد)"))</f>
        <v/>
      </c>
    </row>
    <row r="1504" customFormat="false" ht="15" hidden="false" customHeight="false" outlineLevel="0" collapsed="false">
      <c r="A1504" s="102"/>
      <c r="B1504" s="104"/>
      <c r="C1504" s="104"/>
      <c r="F1504" s="103" t="str">
        <f aca="false">IF(OR($C1504="",$D1504=0),"",$E1504/$D1504)</f>
        <v/>
      </c>
      <c r="H1504" s="0" t="str">
        <f aca="false">IF($C1504="","",IF(COUNTIF('مواد المخزون'!$A$2:$A$86,$C1504)&gt;0,"نعم","لا (خارج الجرد)"))</f>
        <v/>
      </c>
    </row>
    <row r="1505" customFormat="false" ht="15" hidden="false" customHeight="false" outlineLevel="0" collapsed="false">
      <c r="A1505" s="102"/>
      <c r="B1505" s="104"/>
      <c r="C1505" s="104"/>
      <c r="F1505" s="103" t="str">
        <f aca="false">IF(OR($C1505="",$D1505=0),"",$E1505/$D1505)</f>
        <v/>
      </c>
      <c r="H1505" s="0" t="str">
        <f aca="false">IF($C1505="","",IF(COUNTIF('مواد المخزون'!$A$2:$A$86,$C1505)&gt;0,"نعم","لا (خارج الجرد)"))</f>
        <v/>
      </c>
    </row>
    <row r="1506" customFormat="false" ht="15" hidden="false" customHeight="false" outlineLevel="0" collapsed="false">
      <c r="A1506" s="102"/>
      <c r="B1506" s="104"/>
      <c r="C1506" s="104"/>
      <c r="F1506" s="103" t="str">
        <f aca="false">IF(OR($C1506="",$D1506=0),"",$E1506/$D1506)</f>
        <v/>
      </c>
      <c r="H1506" s="0" t="str">
        <f aca="false">IF($C1506="","",IF(COUNTIF('مواد المخزون'!$A$2:$A$86,$C1506)&gt;0,"نعم","لا (خارج الجرد)"))</f>
        <v/>
      </c>
    </row>
    <row r="1507" customFormat="false" ht="15" hidden="false" customHeight="false" outlineLevel="0" collapsed="false">
      <c r="A1507" s="102"/>
      <c r="B1507" s="104"/>
      <c r="C1507" s="104"/>
      <c r="F1507" s="103" t="str">
        <f aca="false">IF(OR($C1507="",$D1507=0),"",$E1507/$D1507)</f>
        <v/>
      </c>
      <c r="H1507" s="0" t="str">
        <f aca="false">IF($C1507="","",IF(COUNTIF('مواد المخزون'!$A$2:$A$86,$C1507)&gt;0,"نعم","لا (خارج الجرد)"))</f>
        <v/>
      </c>
    </row>
    <row r="1508" customFormat="false" ht="15" hidden="false" customHeight="false" outlineLevel="0" collapsed="false">
      <c r="A1508" s="102"/>
      <c r="B1508" s="104"/>
      <c r="C1508" s="104"/>
      <c r="F1508" s="103" t="str">
        <f aca="false">IF(OR($C1508="",$D1508=0),"",$E1508/$D1508)</f>
        <v/>
      </c>
      <c r="H1508" s="0" t="str">
        <f aca="false">IF($C1508="","",IF(COUNTIF('مواد المخزون'!$A$2:$A$86,$C1508)&gt;0,"نعم","لا (خارج الجرد)"))</f>
        <v/>
      </c>
    </row>
    <row r="1509" customFormat="false" ht="15" hidden="false" customHeight="false" outlineLevel="0" collapsed="false">
      <c r="A1509" s="102"/>
      <c r="B1509" s="104"/>
      <c r="C1509" s="104"/>
      <c r="F1509" s="103" t="str">
        <f aca="false">IF(OR($C1509="",$D1509=0),"",$E1509/$D1509)</f>
        <v/>
      </c>
      <c r="H1509" s="0" t="str">
        <f aca="false">IF($C1509="","",IF(COUNTIF('مواد المخزون'!$A$2:$A$86,$C1509)&gt;0,"نعم","لا (خارج الجرد)"))</f>
        <v/>
      </c>
    </row>
    <row r="1510" customFormat="false" ht="15" hidden="false" customHeight="false" outlineLevel="0" collapsed="false">
      <c r="A1510" s="102"/>
      <c r="B1510" s="104"/>
      <c r="C1510" s="104"/>
      <c r="F1510" s="103" t="str">
        <f aca="false">IF(OR($C1510="",$D1510=0),"",$E1510/$D1510)</f>
        <v/>
      </c>
      <c r="H1510" s="0" t="str">
        <f aca="false">IF($C1510="","",IF(COUNTIF('مواد المخزون'!$A$2:$A$86,$C1510)&gt;0,"نعم","لا (خارج الجرد)"))</f>
        <v/>
      </c>
    </row>
    <row r="1511" customFormat="false" ht="15" hidden="false" customHeight="false" outlineLevel="0" collapsed="false">
      <c r="A1511" s="102"/>
      <c r="B1511" s="104"/>
      <c r="C1511" s="104"/>
      <c r="F1511" s="103" t="str">
        <f aca="false">IF(OR($C1511="",$D1511=0),"",$E1511/$D1511)</f>
        <v/>
      </c>
      <c r="H1511" s="0" t="str">
        <f aca="false">IF($C1511="","",IF(COUNTIF('مواد المخزون'!$A$2:$A$86,$C1511)&gt;0,"نعم","لا (خارج الجرد)"))</f>
        <v/>
      </c>
    </row>
    <row r="1512" customFormat="false" ht="15" hidden="false" customHeight="false" outlineLevel="0" collapsed="false">
      <c r="A1512" s="102"/>
      <c r="B1512" s="104"/>
      <c r="C1512" s="104"/>
      <c r="F1512" s="103" t="str">
        <f aca="false">IF(OR($C1512="",$D1512=0),"",$E1512/$D1512)</f>
        <v/>
      </c>
      <c r="H1512" s="0" t="str">
        <f aca="false">IF($C1512="","",IF(COUNTIF('مواد المخزون'!$A$2:$A$86,$C1512)&gt;0,"نعم","لا (خارج الجرد)"))</f>
        <v/>
      </c>
    </row>
    <row r="1513" customFormat="false" ht="15" hidden="false" customHeight="false" outlineLevel="0" collapsed="false">
      <c r="A1513" s="102"/>
      <c r="B1513" s="104"/>
      <c r="C1513" s="104"/>
      <c r="F1513" s="103" t="str">
        <f aca="false">IF(OR($C1513="",$D1513=0),"",$E1513/$D1513)</f>
        <v/>
      </c>
      <c r="H1513" s="0" t="str">
        <f aca="false">IF($C1513="","",IF(COUNTIF('مواد المخزون'!$A$2:$A$86,$C1513)&gt;0,"نعم","لا (خارج الجرد)"))</f>
        <v/>
      </c>
    </row>
    <row r="1514" customFormat="false" ht="15" hidden="false" customHeight="false" outlineLevel="0" collapsed="false">
      <c r="A1514" s="102"/>
      <c r="B1514" s="104"/>
      <c r="C1514" s="104"/>
      <c r="F1514" s="103" t="str">
        <f aca="false">IF(OR($C1514="",$D1514=0),"",$E1514/$D1514)</f>
        <v/>
      </c>
      <c r="H1514" s="0" t="str">
        <f aca="false">IF($C1514="","",IF(COUNTIF('مواد المخزون'!$A$2:$A$86,$C1514)&gt;0,"نعم","لا (خارج الجرد)"))</f>
        <v/>
      </c>
    </row>
    <row r="1515" customFormat="false" ht="15" hidden="false" customHeight="false" outlineLevel="0" collapsed="false">
      <c r="A1515" s="102"/>
      <c r="B1515" s="104"/>
      <c r="C1515" s="104"/>
      <c r="F1515" s="103" t="str">
        <f aca="false">IF(OR($C1515="",$D1515=0),"",$E1515/$D1515)</f>
        <v/>
      </c>
      <c r="H1515" s="0" t="str">
        <f aca="false">IF($C1515="","",IF(COUNTIF('مواد المخزون'!$A$2:$A$86,$C1515)&gt;0,"نعم","لا (خارج الجرد)"))</f>
        <v/>
      </c>
    </row>
    <row r="1516" customFormat="false" ht="15" hidden="false" customHeight="false" outlineLevel="0" collapsed="false">
      <c r="A1516" s="102"/>
      <c r="B1516" s="104"/>
      <c r="C1516" s="104"/>
      <c r="F1516" s="103" t="str">
        <f aca="false">IF(OR($C1516="",$D1516=0),"",$E1516/$D1516)</f>
        <v/>
      </c>
      <c r="H1516" s="0" t="str">
        <f aca="false">IF($C1516="","",IF(COUNTIF('مواد المخزون'!$A$2:$A$86,$C1516)&gt;0,"نعم","لا (خارج الجرد)"))</f>
        <v/>
      </c>
    </row>
    <row r="1517" customFormat="false" ht="15" hidden="false" customHeight="false" outlineLevel="0" collapsed="false">
      <c r="A1517" s="102"/>
      <c r="B1517" s="104"/>
      <c r="C1517" s="104"/>
      <c r="F1517" s="103" t="str">
        <f aca="false">IF(OR($C1517="",$D1517=0),"",$E1517/$D1517)</f>
        <v/>
      </c>
      <c r="H1517" s="0" t="str">
        <f aca="false">IF($C1517="","",IF(COUNTIF('مواد المخزون'!$A$2:$A$86,$C1517)&gt;0,"نعم","لا (خارج الجرد)"))</f>
        <v/>
      </c>
    </row>
    <row r="1518" customFormat="false" ht="15" hidden="false" customHeight="false" outlineLevel="0" collapsed="false">
      <c r="A1518" s="102"/>
      <c r="B1518" s="104"/>
      <c r="C1518" s="104"/>
      <c r="F1518" s="103" t="str">
        <f aca="false">IF(OR($C1518="",$D1518=0),"",$E1518/$D1518)</f>
        <v/>
      </c>
      <c r="H1518" s="0" t="str">
        <f aca="false">IF($C1518="","",IF(COUNTIF('مواد المخزون'!$A$2:$A$86,$C1518)&gt;0,"نعم","لا (خارج الجرد)"))</f>
        <v/>
      </c>
    </row>
    <row r="1519" customFormat="false" ht="15" hidden="false" customHeight="false" outlineLevel="0" collapsed="false">
      <c r="A1519" s="102"/>
      <c r="B1519" s="104"/>
      <c r="C1519" s="104"/>
      <c r="F1519" s="103" t="str">
        <f aca="false">IF(OR($C1519="",$D1519=0),"",$E1519/$D1519)</f>
        <v/>
      </c>
      <c r="H1519" s="0" t="str">
        <f aca="false">IF($C1519="","",IF(COUNTIF('مواد المخزون'!$A$2:$A$86,$C1519)&gt;0,"نعم","لا (خارج الجرد)"))</f>
        <v/>
      </c>
    </row>
    <row r="1520" customFormat="false" ht="15" hidden="false" customHeight="false" outlineLevel="0" collapsed="false">
      <c r="A1520" s="102"/>
      <c r="B1520" s="104"/>
      <c r="C1520" s="104"/>
      <c r="F1520" s="103" t="str">
        <f aca="false">IF(OR($C1520="",$D1520=0),"",$E1520/$D1520)</f>
        <v/>
      </c>
      <c r="H1520" s="0" t="str">
        <f aca="false">IF($C1520="","",IF(COUNTIF('مواد المخزون'!$A$2:$A$86,$C1520)&gt;0,"نعم","لا (خارج الجرد)"))</f>
        <v/>
      </c>
    </row>
    <row r="1521" customFormat="false" ht="15" hidden="false" customHeight="false" outlineLevel="0" collapsed="false">
      <c r="A1521" s="102"/>
      <c r="B1521" s="104"/>
      <c r="C1521" s="104"/>
      <c r="F1521" s="103" t="str">
        <f aca="false">IF(OR($C1521="",$D1521=0),"",$E1521/$D1521)</f>
        <v/>
      </c>
      <c r="H1521" s="0" t="str">
        <f aca="false">IF($C1521="","",IF(COUNTIF('مواد المخزون'!$A$2:$A$86,$C1521)&gt;0,"نعم","لا (خارج الجرد)"))</f>
        <v/>
      </c>
    </row>
    <row r="1522" customFormat="false" ht="15" hidden="false" customHeight="false" outlineLevel="0" collapsed="false">
      <c r="A1522" s="102"/>
      <c r="B1522" s="104"/>
      <c r="C1522" s="104"/>
      <c r="F1522" s="103" t="str">
        <f aca="false">IF(OR($C1522="",$D1522=0),"",$E1522/$D1522)</f>
        <v/>
      </c>
      <c r="H1522" s="0" t="str">
        <f aca="false">IF($C1522="","",IF(COUNTIF('مواد المخزون'!$A$2:$A$86,$C1522)&gt;0,"نعم","لا (خارج الجرد)"))</f>
        <v/>
      </c>
    </row>
    <row r="1523" customFormat="false" ht="15" hidden="false" customHeight="false" outlineLevel="0" collapsed="false">
      <c r="A1523" s="102"/>
      <c r="B1523" s="104"/>
      <c r="C1523" s="104"/>
      <c r="F1523" s="103" t="str">
        <f aca="false">IF(OR($C1523="",$D1523=0),"",$E1523/$D1523)</f>
        <v/>
      </c>
      <c r="H1523" s="0" t="str">
        <f aca="false">IF($C1523="","",IF(COUNTIF('مواد المخزون'!$A$2:$A$86,$C1523)&gt;0,"نعم","لا (خارج الجرد)"))</f>
        <v/>
      </c>
    </row>
    <row r="1524" customFormat="false" ht="15" hidden="false" customHeight="false" outlineLevel="0" collapsed="false">
      <c r="A1524" s="102"/>
      <c r="B1524" s="104"/>
      <c r="C1524" s="104"/>
      <c r="F1524" s="103" t="str">
        <f aca="false">IF(OR($C1524="",$D1524=0),"",$E1524/$D1524)</f>
        <v/>
      </c>
      <c r="H1524" s="0" t="str">
        <f aca="false">IF($C1524="","",IF(COUNTIF('مواد المخزون'!$A$2:$A$86,$C1524)&gt;0,"نعم","لا (خارج الجرد)"))</f>
        <v/>
      </c>
    </row>
    <row r="1525" customFormat="false" ht="15" hidden="false" customHeight="false" outlineLevel="0" collapsed="false">
      <c r="A1525" s="102"/>
      <c r="B1525" s="104"/>
      <c r="C1525" s="104"/>
      <c r="F1525" s="103" t="str">
        <f aca="false">IF(OR($C1525="",$D1525=0),"",$E1525/$D1525)</f>
        <v/>
      </c>
      <c r="H1525" s="0" t="str">
        <f aca="false">IF($C1525="","",IF(COUNTIF('مواد المخزون'!$A$2:$A$86,$C1525)&gt;0,"نعم","لا (خارج الجرد)"))</f>
        <v/>
      </c>
    </row>
    <row r="1526" customFormat="false" ht="15" hidden="false" customHeight="false" outlineLevel="0" collapsed="false">
      <c r="A1526" s="102"/>
      <c r="B1526" s="104"/>
      <c r="C1526" s="104"/>
      <c r="F1526" s="103" t="str">
        <f aca="false">IF(OR($C1526="",$D1526=0),"",$E1526/$D1526)</f>
        <v/>
      </c>
      <c r="H1526" s="0" t="str">
        <f aca="false">IF($C1526="","",IF(COUNTIF('مواد المخزون'!$A$2:$A$86,$C1526)&gt;0,"نعم","لا (خارج الجرد)"))</f>
        <v/>
      </c>
    </row>
    <row r="1527" customFormat="false" ht="15" hidden="false" customHeight="false" outlineLevel="0" collapsed="false">
      <c r="A1527" s="102"/>
      <c r="B1527" s="104"/>
      <c r="C1527" s="104"/>
      <c r="F1527" s="103" t="str">
        <f aca="false">IF(OR($C1527="",$D1527=0),"",$E1527/$D1527)</f>
        <v/>
      </c>
      <c r="H1527" s="0" t="str">
        <f aca="false">IF($C1527="","",IF(COUNTIF('مواد المخزون'!$A$2:$A$86,$C1527)&gt;0,"نعم","لا (خارج الجرد)"))</f>
        <v/>
      </c>
    </row>
    <row r="1528" customFormat="false" ht="15" hidden="false" customHeight="false" outlineLevel="0" collapsed="false">
      <c r="A1528" s="102"/>
      <c r="B1528" s="104"/>
      <c r="C1528" s="104"/>
      <c r="F1528" s="103" t="str">
        <f aca="false">IF(OR($C1528="",$D1528=0),"",$E1528/$D1528)</f>
        <v/>
      </c>
      <c r="H1528" s="0" t="str">
        <f aca="false">IF($C1528="","",IF(COUNTIF('مواد المخزون'!$A$2:$A$86,$C1528)&gt;0,"نعم","لا (خارج الجرد)"))</f>
        <v/>
      </c>
    </row>
    <row r="1529" customFormat="false" ht="15" hidden="false" customHeight="false" outlineLevel="0" collapsed="false">
      <c r="A1529" s="102"/>
      <c r="B1529" s="104"/>
      <c r="C1529" s="104"/>
      <c r="F1529" s="103" t="str">
        <f aca="false">IF(OR($C1529="",$D1529=0),"",$E1529/$D1529)</f>
        <v/>
      </c>
      <c r="H1529" s="0" t="str">
        <f aca="false">IF($C1529="","",IF(COUNTIF('مواد المخزون'!$A$2:$A$86,$C1529)&gt;0,"نعم","لا (خارج الجرد)"))</f>
        <v/>
      </c>
    </row>
    <row r="1530" customFormat="false" ht="15" hidden="false" customHeight="false" outlineLevel="0" collapsed="false">
      <c r="A1530" s="102"/>
      <c r="B1530" s="104"/>
      <c r="C1530" s="104"/>
      <c r="F1530" s="103" t="str">
        <f aca="false">IF(OR($C1530="",$D1530=0),"",$E1530/$D1530)</f>
        <v/>
      </c>
      <c r="H1530" s="0" t="str">
        <f aca="false">IF($C1530="","",IF(COUNTIF('مواد المخزون'!$A$2:$A$86,$C1530)&gt;0,"نعم","لا (خارج الجرد)"))</f>
        <v/>
      </c>
    </row>
    <row r="1531" customFormat="false" ht="15" hidden="false" customHeight="false" outlineLevel="0" collapsed="false">
      <c r="A1531" s="102"/>
      <c r="B1531" s="104"/>
      <c r="C1531" s="104"/>
      <c r="F1531" s="103" t="str">
        <f aca="false">IF(OR($C1531="",$D1531=0),"",$E1531/$D1531)</f>
        <v/>
      </c>
      <c r="H1531" s="0" t="str">
        <f aca="false">IF($C1531="","",IF(COUNTIF('مواد المخزون'!$A$2:$A$86,$C1531)&gt;0,"نعم","لا (خارج الجرد)"))</f>
        <v/>
      </c>
    </row>
    <row r="1532" customFormat="false" ht="15" hidden="false" customHeight="false" outlineLevel="0" collapsed="false">
      <c r="A1532" s="102"/>
      <c r="B1532" s="104"/>
      <c r="C1532" s="104"/>
      <c r="F1532" s="103" t="str">
        <f aca="false">IF(OR($C1532="",$D1532=0),"",$E1532/$D1532)</f>
        <v/>
      </c>
      <c r="H1532" s="0" t="str">
        <f aca="false">IF($C1532="","",IF(COUNTIF('مواد المخزون'!$A$2:$A$86,$C1532)&gt;0,"نعم","لا (خارج الجرد)"))</f>
        <v/>
      </c>
    </row>
    <row r="1533" customFormat="false" ht="15" hidden="false" customHeight="false" outlineLevel="0" collapsed="false">
      <c r="A1533" s="102"/>
      <c r="B1533" s="104"/>
      <c r="C1533" s="104"/>
      <c r="F1533" s="103" t="str">
        <f aca="false">IF(OR($C1533="",$D1533=0),"",$E1533/$D1533)</f>
        <v/>
      </c>
      <c r="H1533" s="0" t="str">
        <f aca="false">IF($C1533="","",IF(COUNTIF('مواد المخزون'!$A$2:$A$86,$C1533)&gt;0,"نعم","لا (خارج الجرد)"))</f>
        <v/>
      </c>
    </row>
    <row r="1534" customFormat="false" ht="15" hidden="false" customHeight="false" outlineLevel="0" collapsed="false">
      <c r="A1534" s="102"/>
      <c r="B1534" s="104"/>
      <c r="C1534" s="104"/>
      <c r="F1534" s="103" t="str">
        <f aca="false">IF(OR($C1534="",$D1534=0),"",$E1534/$D1534)</f>
        <v/>
      </c>
      <c r="H1534" s="0" t="str">
        <f aca="false">IF($C1534="","",IF(COUNTIF('مواد المخزون'!$A$2:$A$86,$C1534)&gt;0,"نعم","لا (خارج الجرد)"))</f>
        <v/>
      </c>
    </row>
    <row r="1535" customFormat="false" ht="15" hidden="false" customHeight="false" outlineLevel="0" collapsed="false">
      <c r="A1535" s="102"/>
      <c r="B1535" s="104"/>
      <c r="C1535" s="104"/>
      <c r="F1535" s="103" t="str">
        <f aca="false">IF(OR($C1535="",$D1535=0),"",$E1535/$D1535)</f>
        <v/>
      </c>
      <c r="H1535" s="0" t="str">
        <f aca="false">IF($C1535="","",IF(COUNTIF('مواد المخزون'!$A$2:$A$86,$C1535)&gt;0,"نعم","لا (خارج الجرد)"))</f>
        <v/>
      </c>
    </row>
    <row r="1536" customFormat="false" ht="15" hidden="false" customHeight="false" outlineLevel="0" collapsed="false">
      <c r="A1536" s="102"/>
      <c r="B1536" s="104"/>
      <c r="C1536" s="104"/>
      <c r="F1536" s="103" t="str">
        <f aca="false">IF(OR($C1536="",$D1536=0),"",$E1536/$D1536)</f>
        <v/>
      </c>
      <c r="H1536" s="0" t="str">
        <f aca="false">IF($C1536="","",IF(COUNTIF('مواد المخزون'!$A$2:$A$86,$C1536)&gt;0,"نعم","لا (خارج الجرد)"))</f>
        <v/>
      </c>
    </row>
    <row r="1537" customFormat="false" ht="15" hidden="false" customHeight="false" outlineLevel="0" collapsed="false">
      <c r="A1537" s="102"/>
      <c r="B1537" s="104"/>
      <c r="C1537" s="104"/>
      <c r="F1537" s="103" t="str">
        <f aca="false">IF(OR($C1537="",$D1537=0),"",$E1537/$D1537)</f>
        <v/>
      </c>
      <c r="H1537" s="0" t="str">
        <f aca="false">IF($C1537="","",IF(COUNTIF('مواد المخزون'!$A$2:$A$86,$C1537)&gt;0,"نعم","لا (خارج الجرد)"))</f>
        <v/>
      </c>
    </row>
    <row r="1538" customFormat="false" ht="15" hidden="false" customHeight="false" outlineLevel="0" collapsed="false">
      <c r="A1538" s="102"/>
      <c r="B1538" s="104"/>
      <c r="C1538" s="104"/>
      <c r="F1538" s="103" t="str">
        <f aca="false">IF(OR($C1538="",$D1538=0),"",$E1538/$D1538)</f>
        <v/>
      </c>
      <c r="H1538" s="0" t="str">
        <f aca="false">IF($C1538="","",IF(COUNTIF('مواد المخزون'!$A$2:$A$86,$C1538)&gt;0,"نعم","لا (خارج الجرد)"))</f>
        <v/>
      </c>
    </row>
    <row r="1539" customFormat="false" ht="15" hidden="false" customHeight="false" outlineLevel="0" collapsed="false">
      <c r="A1539" s="102"/>
      <c r="B1539" s="104"/>
      <c r="C1539" s="104"/>
      <c r="F1539" s="103" t="str">
        <f aca="false">IF(OR($C1539="",$D1539=0),"",$E1539/$D1539)</f>
        <v/>
      </c>
      <c r="H1539" s="0" t="str">
        <f aca="false">IF($C1539="","",IF(COUNTIF('مواد المخزون'!$A$2:$A$86,$C1539)&gt;0,"نعم","لا (خارج الجرد)"))</f>
        <v/>
      </c>
    </row>
    <row r="1540" customFormat="false" ht="15" hidden="false" customHeight="false" outlineLevel="0" collapsed="false">
      <c r="A1540" s="102"/>
      <c r="B1540" s="104"/>
      <c r="C1540" s="104"/>
      <c r="F1540" s="103" t="str">
        <f aca="false">IF(OR($C1540="",$D1540=0),"",$E1540/$D1540)</f>
        <v/>
      </c>
      <c r="H1540" s="0" t="str">
        <f aca="false">IF($C1540="","",IF(COUNTIF('مواد المخزون'!$A$2:$A$86,$C1540)&gt;0,"نعم","لا (خارج الجرد)"))</f>
        <v/>
      </c>
    </row>
    <row r="1541" customFormat="false" ht="15" hidden="false" customHeight="false" outlineLevel="0" collapsed="false">
      <c r="A1541" s="102"/>
      <c r="B1541" s="104"/>
      <c r="C1541" s="104"/>
      <c r="F1541" s="103" t="str">
        <f aca="false">IF(OR($C1541="",$D1541=0),"",$E1541/$D1541)</f>
        <v/>
      </c>
      <c r="H1541" s="0" t="str">
        <f aca="false">IF($C1541="","",IF(COUNTIF('مواد المخزون'!$A$2:$A$86,$C1541)&gt;0,"نعم","لا (خارج الجرد)"))</f>
        <v/>
      </c>
    </row>
    <row r="1542" customFormat="false" ht="15" hidden="false" customHeight="false" outlineLevel="0" collapsed="false">
      <c r="A1542" s="102"/>
      <c r="B1542" s="104"/>
      <c r="C1542" s="104"/>
      <c r="F1542" s="103" t="str">
        <f aca="false">IF(OR($C1542="",$D1542=0),"",$E1542/$D1542)</f>
        <v/>
      </c>
      <c r="H1542" s="0" t="str">
        <f aca="false">IF($C1542="","",IF(COUNTIF('مواد المخزون'!$A$2:$A$86,$C1542)&gt;0,"نعم","لا (خارج الجرد)"))</f>
        <v/>
      </c>
    </row>
    <row r="1543" customFormat="false" ht="15" hidden="false" customHeight="false" outlineLevel="0" collapsed="false">
      <c r="A1543" s="102"/>
      <c r="B1543" s="104"/>
      <c r="C1543" s="104"/>
      <c r="F1543" s="103" t="str">
        <f aca="false">IF(OR($C1543="",$D1543=0),"",$E1543/$D1543)</f>
        <v/>
      </c>
      <c r="H1543" s="0" t="str">
        <f aca="false">IF($C1543="","",IF(COUNTIF('مواد المخزون'!$A$2:$A$86,$C1543)&gt;0,"نعم","لا (خارج الجرد)"))</f>
        <v/>
      </c>
    </row>
    <row r="1544" customFormat="false" ht="15" hidden="false" customHeight="false" outlineLevel="0" collapsed="false">
      <c r="A1544" s="102"/>
      <c r="B1544" s="104"/>
      <c r="C1544" s="104"/>
      <c r="F1544" s="103" t="str">
        <f aca="false">IF(OR($C1544="",$D1544=0),"",$E1544/$D1544)</f>
        <v/>
      </c>
      <c r="H1544" s="0" t="str">
        <f aca="false">IF($C1544="","",IF(COUNTIF('مواد المخزون'!$A$2:$A$86,$C1544)&gt;0,"نعم","لا (خارج الجرد)"))</f>
        <v/>
      </c>
    </row>
    <row r="1545" customFormat="false" ht="15" hidden="false" customHeight="false" outlineLevel="0" collapsed="false">
      <c r="A1545" s="102"/>
      <c r="B1545" s="104"/>
      <c r="C1545" s="104"/>
      <c r="F1545" s="103" t="str">
        <f aca="false">IF(OR($C1545="",$D1545=0),"",$E1545/$D1545)</f>
        <v/>
      </c>
      <c r="H1545" s="0" t="str">
        <f aca="false">IF($C1545="","",IF(COUNTIF('مواد المخزون'!$A$2:$A$86,$C1545)&gt;0,"نعم","لا (خارج الجرد)"))</f>
        <v/>
      </c>
    </row>
    <row r="1546" customFormat="false" ht="15" hidden="false" customHeight="false" outlineLevel="0" collapsed="false">
      <c r="A1546" s="102"/>
      <c r="B1546" s="104"/>
      <c r="C1546" s="104"/>
      <c r="F1546" s="103" t="str">
        <f aca="false">IF(OR($C1546="",$D1546=0),"",$E1546/$D1546)</f>
        <v/>
      </c>
      <c r="H1546" s="0" t="str">
        <f aca="false">IF($C1546="","",IF(COUNTIF('مواد المخزون'!$A$2:$A$86,$C1546)&gt;0,"نعم","لا (خارج الجرد)"))</f>
        <v/>
      </c>
    </row>
    <row r="1547" customFormat="false" ht="15" hidden="false" customHeight="false" outlineLevel="0" collapsed="false">
      <c r="A1547" s="102"/>
      <c r="B1547" s="104"/>
      <c r="C1547" s="104"/>
      <c r="F1547" s="103" t="str">
        <f aca="false">IF(OR($C1547="",$D1547=0),"",$E1547/$D1547)</f>
        <v/>
      </c>
      <c r="H1547" s="0" t="str">
        <f aca="false">IF($C1547="","",IF(COUNTIF('مواد المخزون'!$A$2:$A$86,$C1547)&gt;0,"نعم","لا (خارج الجرد)"))</f>
        <v/>
      </c>
    </row>
    <row r="1548" customFormat="false" ht="15" hidden="false" customHeight="false" outlineLevel="0" collapsed="false">
      <c r="A1548" s="102"/>
      <c r="B1548" s="104"/>
      <c r="C1548" s="104"/>
      <c r="F1548" s="103" t="str">
        <f aca="false">IF(OR($C1548="",$D1548=0),"",$E1548/$D1548)</f>
        <v/>
      </c>
      <c r="H1548" s="0" t="str">
        <f aca="false">IF($C1548="","",IF(COUNTIF('مواد المخزون'!$A$2:$A$86,$C1548)&gt;0,"نعم","لا (خارج الجرد)"))</f>
        <v/>
      </c>
    </row>
    <row r="1549" customFormat="false" ht="15" hidden="false" customHeight="false" outlineLevel="0" collapsed="false">
      <c r="A1549" s="102"/>
      <c r="B1549" s="104"/>
      <c r="C1549" s="104"/>
      <c r="F1549" s="103" t="str">
        <f aca="false">IF(OR($C1549="",$D1549=0),"",$E1549/$D1549)</f>
        <v/>
      </c>
      <c r="H1549" s="0" t="str">
        <f aca="false">IF($C1549="","",IF(COUNTIF('مواد المخزون'!$A$2:$A$86,$C1549)&gt;0,"نعم","لا (خارج الجرد)"))</f>
        <v/>
      </c>
    </row>
    <row r="1550" customFormat="false" ht="15" hidden="false" customHeight="false" outlineLevel="0" collapsed="false">
      <c r="A1550" s="102"/>
      <c r="B1550" s="104"/>
      <c r="C1550" s="104"/>
      <c r="F1550" s="103" t="str">
        <f aca="false">IF(OR($C1550="",$D1550=0),"",$E1550/$D1550)</f>
        <v/>
      </c>
      <c r="H1550" s="0" t="str">
        <f aca="false">IF($C1550="","",IF(COUNTIF('مواد المخزون'!$A$2:$A$86,$C1550)&gt;0,"نعم","لا (خارج الجرد)"))</f>
        <v/>
      </c>
    </row>
    <row r="1551" customFormat="false" ht="15" hidden="false" customHeight="false" outlineLevel="0" collapsed="false">
      <c r="A1551" s="102"/>
      <c r="B1551" s="104"/>
      <c r="C1551" s="104"/>
      <c r="F1551" s="103" t="str">
        <f aca="false">IF(OR($C1551="",$D1551=0),"",$E1551/$D1551)</f>
        <v/>
      </c>
      <c r="H1551" s="0" t="str">
        <f aca="false">IF($C1551="","",IF(COUNTIF('مواد المخزون'!$A$2:$A$86,$C1551)&gt;0,"نعم","لا (خارج الجرد)"))</f>
        <v/>
      </c>
    </row>
    <row r="1552" customFormat="false" ht="15" hidden="false" customHeight="false" outlineLevel="0" collapsed="false">
      <c r="A1552" s="102"/>
      <c r="B1552" s="104"/>
      <c r="C1552" s="104"/>
      <c r="F1552" s="103" t="str">
        <f aca="false">IF(OR($C1552="",$D1552=0),"",$E1552/$D1552)</f>
        <v/>
      </c>
      <c r="H1552" s="0" t="str">
        <f aca="false">IF($C1552="","",IF(COUNTIF('مواد المخزون'!$A$2:$A$86,$C1552)&gt;0,"نعم","لا (خارج الجرد)"))</f>
        <v/>
      </c>
    </row>
    <row r="1553" customFormat="false" ht="15" hidden="false" customHeight="false" outlineLevel="0" collapsed="false">
      <c r="A1553" s="102"/>
      <c r="B1553" s="104"/>
      <c r="C1553" s="104"/>
      <c r="F1553" s="103" t="str">
        <f aca="false">IF(OR($C1553="",$D1553=0),"",$E1553/$D1553)</f>
        <v/>
      </c>
      <c r="H1553" s="0" t="str">
        <f aca="false">IF($C1553="","",IF(COUNTIF('مواد المخزون'!$A$2:$A$86,$C1553)&gt;0,"نعم","لا (خارج الجرد)"))</f>
        <v/>
      </c>
    </row>
    <row r="1554" customFormat="false" ht="15" hidden="false" customHeight="false" outlineLevel="0" collapsed="false">
      <c r="A1554" s="102"/>
      <c r="B1554" s="104"/>
      <c r="C1554" s="104"/>
      <c r="F1554" s="103" t="str">
        <f aca="false">IF(OR($C1554="",$D1554=0),"",$E1554/$D1554)</f>
        <v/>
      </c>
      <c r="H1554" s="0" t="str">
        <f aca="false">IF($C1554="","",IF(COUNTIF('مواد المخزون'!$A$2:$A$86,$C1554)&gt;0,"نعم","لا (خارج الجرد)"))</f>
        <v/>
      </c>
    </row>
    <row r="1555" customFormat="false" ht="15" hidden="false" customHeight="false" outlineLevel="0" collapsed="false">
      <c r="A1555" s="102"/>
      <c r="B1555" s="104"/>
      <c r="C1555" s="104"/>
      <c r="F1555" s="103" t="str">
        <f aca="false">IF(OR($C1555="",$D1555=0),"",$E1555/$D1555)</f>
        <v/>
      </c>
      <c r="H1555" s="0" t="str">
        <f aca="false">IF($C1555="","",IF(COUNTIF('مواد المخزون'!$A$2:$A$86,$C1555)&gt;0,"نعم","لا (خارج الجرد)"))</f>
        <v/>
      </c>
    </row>
    <row r="1556" customFormat="false" ht="15" hidden="false" customHeight="false" outlineLevel="0" collapsed="false">
      <c r="A1556" s="102"/>
      <c r="B1556" s="104"/>
      <c r="C1556" s="104"/>
      <c r="F1556" s="103" t="str">
        <f aca="false">IF(OR($C1556="",$D1556=0),"",$E1556/$D1556)</f>
        <v/>
      </c>
      <c r="H1556" s="0" t="str">
        <f aca="false">IF($C1556="","",IF(COUNTIF('مواد المخزون'!$A$2:$A$86,$C1556)&gt;0,"نعم","لا (خارج الجرد)"))</f>
        <v/>
      </c>
    </row>
    <row r="1557" customFormat="false" ht="15" hidden="false" customHeight="false" outlineLevel="0" collapsed="false">
      <c r="A1557" s="102"/>
      <c r="B1557" s="104"/>
      <c r="C1557" s="104"/>
      <c r="F1557" s="103" t="str">
        <f aca="false">IF(OR($C1557="",$D1557=0),"",$E1557/$D1557)</f>
        <v/>
      </c>
      <c r="H1557" s="0" t="str">
        <f aca="false">IF($C1557="","",IF(COUNTIF('مواد المخزون'!$A$2:$A$86,$C1557)&gt;0,"نعم","لا (خارج الجرد)"))</f>
        <v/>
      </c>
    </row>
    <row r="1558" customFormat="false" ht="15" hidden="false" customHeight="false" outlineLevel="0" collapsed="false">
      <c r="A1558" s="102"/>
      <c r="B1558" s="104"/>
      <c r="C1558" s="104"/>
      <c r="F1558" s="103" t="str">
        <f aca="false">IF(OR($C1558="",$D1558=0),"",$E1558/$D1558)</f>
        <v/>
      </c>
      <c r="H1558" s="0" t="str">
        <f aca="false">IF($C1558="","",IF(COUNTIF('مواد المخزون'!$A$2:$A$86,$C1558)&gt;0,"نعم","لا (خارج الجرد)"))</f>
        <v/>
      </c>
    </row>
    <row r="1559" customFormat="false" ht="15" hidden="false" customHeight="false" outlineLevel="0" collapsed="false">
      <c r="A1559" s="102"/>
      <c r="B1559" s="104"/>
      <c r="C1559" s="104"/>
      <c r="F1559" s="103" t="str">
        <f aca="false">IF(OR($C1559="",$D1559=0),"",$E1559/$D1559)</f>
        <v/>
      </c>
      <c r="H1559" s="0" t="str">
        <f aca="false">IF($C1559="","",IF(COUNTIF('مواد المخزون'!$A$2:$A$86,$C1559)&gt;0,"نعم","لا (خارج الجرد)"))</f>
        <v/>
      </c>
    </row>
    <row r="1560" customFormat="false" ht="15" hidden="false" customHeight="false" outlineLevel="0" collapsed="false">
      <c r="A1560" s="102"/>
      <c r="B1560" s="104"/>
      <c r="C1560" s="104"/>
      <c r="F1560" s="103" t="str">
        <f aca="false">IF(OR($C1560="",$D1560=0),"",$E1560/$D1560)</f>
        <v/>
      </c>
      <c r="H1560" s="0" t="str">
        <f aca="false">IF($C1560="","",IF(COUNTIF('مواد المخزون'!$A$2:$A$86,$C1560)&gt;0,"نعم","لا (خارج الجرد)"))</f>
        <v/>
      </c>
    </row>
    <row r="1561" customFormat="false" ht="15" hidden="false" customHeight="false" outlineLevel="0" collapsed="false">
      <c r="A1561" s="102"/>
      <c r="B1561" s="104"/>
      <c r="C1561" s="104"/>
      <c r="F1561" s="103" t="str">
        <f aca="false">IF(OR($C1561="",$D1561=0),"",$E1561/$D1561)</f>
        <v/>
      </c>
      <c r="H1561" s="0" t="str">
        <f aca="false">IF($C1561="","",IF(COUNTIF('مواد المخزون'!$A$2:$A$86,$C1561)&gt;0,"نعم","لا (خارج الجرد)"))</f>
        <v/>
      </c>
    </row>
    <row r="1562" customFormat="false" ht="15" hidden="false" customHeight="false" outlineLevel="0" collapsed="false">
      <c r="A1562" s="102"/>
      <c r="B1562" s="104"/>
      <c r="C1562" s="104"/>
      <c r="F1562" s="103" t="str">
        <f aca="false">IF(OR($C1562="",$D1562=0),"",$E1562/$D1562)</f>
        <v/>
      </c>
      <c r="H1562" s="0" t="str">
        <f aca="false">IF($C1562="","",IF(COUNTIF('مواد المخزون'!$A$2:$A$86,$C1562)&gt;0,"نعم","لا (خارج الجرد)"))</f>
        <v/>
      </c>
    </row>
    <row r="1563" customFormat="false" ht="15" hidden="false" customHeight="false" outlineLevel="0" collapsed="false">
      <c r="A1563" s="102"/>
      <c r="B1563" s="104"/>
      <c r="C1563" s="104"/>
      <c r="F1563" s="103" t="str">
        <f aca="false">IF(OR($C1563="",$D1563=0),"",$E1563/$D1563)</f>
        <v/>
      </c>
      <c r="H1563" s="0" t="str">
        <f aca="false">IF($C1563="","",IF(COUNTIF('مواد المخزون'!$A$2:$A$86,$C1563)&gt;0,"نعم","لا (خارج الجرد)"))</f>
        <v/>
      </c>
    </row>
    <row r="1564" customFormat="false" ht="15" hidden="false" customHeight="false" outlineLevel="0" collapsed="false">
      <c r="A1564" s="102"/>
      <c r="B1564" s="104"/>
      <c r="C1564" s="104"/>
      <c r="F1564" s="103" t="str">
        <f aca="false">IF(OR($C1564="",$D1564=0),"",$E1564/$D1564)</f>
        <v/>
      </c>
      <c r="H1564" s="0" t="str">
        <f aca="false">IF($C1564="","",IF(COUNTIF('مواد المخزون'!$A$2:$A$86,$C1564)&gt;0,"نعم","لا (خارج الجرد)"))</f>
        <v/>
      </c>
    </row>
    <row r="1565" customFormat="false" ht="15" hidden="false" customHeight="false" outlineLevel="0" collapsed="false">
      <c r="A1565" s="102"/>
      <c r="B1565" s="104"/>
      <c r="C1565" s="104"/>
      <c r="F1565" s="103" t="str">
        <f aca="false">IF(OR($C1565="",$D1565=0),"",$E1565/$D1565)</f>
        <v/>
      </c>
      <c r="H1565" s="0" t="str">
        <f aca="false">IF($C1565="","",IF(COUNTIF('مواد المخزون'!$A$2:$A$86,$C1565)&gt;0,"نعم","لا (خارج الجرد)"))</f>
        <v/>
      </c>
    </row>
    <row r="1566" customFormat="false" ht="15" hidden="false" customHeight="false" outlineLevel="0" collapsed="false">
      <c r="A1566" s="102"/>
      <c r="B1566" s="104"/>
      <c r="C1566" s="104"/>
      <c r="F1566" s="103" t="str">
        <f aca="false">IF(OR($C1566="",$D1566=0),"",$E1566/$D1566)</f>
        <v/>
      </c>
      <c r="H1566" s="0" t="str">
        <f aca="false">IF($C1566="","",IF(COUNTIF('مواد المخزون'!$A$2:$A$86,$C1566)&gt;0,"نعم","لا (خارج الجرد)"))</f>
        <v/>
      </c>
    </row>
    <row r="1567" customFormat="false" ht="15" hidden="false" customHeight="false" outlineLevel="0" collapsed="false">
      <c r="A1567" s="102"/>
      <c r="B1567" s="104"/>
      <c r="C1567" s="104"/>
      <c r="F1567" s="103" t="str">
        <f aca="false">IF(OR($C1567="",$D1567=0),"",$E1567/$D1567)</f>
        <v/>
      </c>
      <c r="H1567" s="0" t="str">
        <f aca="false">IF($C1567="","",IF(COUNTIF('مواد المخزون'!$A$2:$A$86,$C1567)&gt;0,"نعم","لا (خارج الجرد)"))</f>
        <v/>
      </c>
    </row>
    <row r="1568" customFormat="false" ht="15" hidden="false" customHeight="false" outlineLevel="0" collapsed="false">
      <c r="A1568" s="102"/>
      <c r="B1568" s="104"/>
      <c r="C1568" s="104"/>
      <c r="F1568" s="103" t="str">
        <f aca="false">IF(OR($C1568="",$D1568=0),"",$E1568/$D1568)</f>
        <v/>
      </c>
      <c r="H1568" s="0" t="str">
        <f aca="false">IF($C1568="","",IF(COUNTIF('مواد المخزون'!$A$2:$A$86,$C1568)&gt;0,"نعم","لا (خارج الجرد)"))</f>
        <v/>
      </c>
    </row>
    <row r="1569" customFormat="false" ht="15" hidden="false" customHeight="false" outlineLevel="0" collapsed="false">
      <c r="A1569" s="102"/>
      <c r="B1569" s="104"/>
      <c r="C1569" s="104"/>
      <c r="F1569" s="103" t="str">
        <f aca="false">IF(OR($C1569="",$D1569=0),"",$E1569/$D1569)</f>
        <v/>
      </c>
      <c r="H1569" s="0" t="str">
        <f aca="false">IF($C1569="","",IF(COUNTIF('مواد المخزون'!$A$2:$A$86,$C1569)&gt;0,"نعم","لا (خارج الجرد)"))</f>
        <v/>
      </c>
    </row>
    <row r="1570" customFormat="false" ht="15" hidden="false" customHeight="false" outlineLevel="0" collapsed="false">
      <c r="A1570" s="102"/>
      <c r="B1570" s="104"/>
      <c r="C1570" s="104"/>
      <c r="F1570" s="103" t="str">
        <f aca="false">IF(OR($C1570="",$D1570=0),"",$E1570/$D1570)</f>
        <v/>
      </c>
      <c r="H1570" s="0" t="str">
        <f aca="false">IF($C1570="","",IF(COUNTIF('مواد المخزون'!$A$2:$A$86,$C1570)&gt;0,"نعم","لا (خارج الجرد)"))</f>
        <v/>
      </c>
    </row>
    <row r="1571" customFormat="false" ht="15" hidden="false" customHeight="false" outlineLevel="0" collapsed="false">
      <c r="A1571" s="102"/>
      <c r="B1571" s="104"/>
      <c r="C1571" s="104"/>
      <c r="F1571" s="103" t="str">
        <f aca="false">IF(OR($C1571="",$D1571=0),"",$E1571/$D1571)</f>
        <v/>
      </c>
      <c r="H1571" s="0" t="str">
        <f aca="false">IF($C1571="","",IF(COUNTIF('مواد المخزون'!$A$2:$A$86,$C1571)&gt;0,"نعم","لا (خارج الجرد)"))</f>
        <v/>
      </c>
    </row>
    <row r="1572" customFormat="false" ht="15" hidden="false" customHeight="false" outlineLevel="0" collapsed="false">
      <c r="A1572" s="102"/>
      <c r="B1572" s="104"/>
      <c r="C1572" s="104"/>
      <c r="F1572" s="103" t="str">
        <f aca="false">IF(OR($C1572="",$D1572=0),"",$E1572/$D1572)</f>
        <v/>
      </c>
      <c r="H1572" s="0" t="str">
        <f aca="false">IF($C1572="","",IF(COUNTIF('مواد المخزون'!$A$2:$A$86,$C1572)&gt;0,"نعم","لا (خارج الجرد)"))</f>
        <v/>
      </c>
    </row>
    <row r="1573" customFormat="false" ht="15" hidden="false" customHeight="false" outlineLevel="0" collapsed="false">
      <c r="A1573" s="102"/>
      <c r="B1573" s="104"/>
      <c r="C1573" s="104"/>
      <c r="F1573" s="103" t="str">
        <f aca="false">IF(OR($C1573="",$D1573=0),"",$E1573/$D1573)</f>
        <v/>
      </c>
      <c r="H1573" s="0" t="str">
        <f aca="false">IF($C1573="","",IF(COUNTIF('مواد المخزون'!$A$2:$A$86,$C1573)&gt;0,"نعم","لا (خارج الجرد)"))</f>
        <v/>
      </c>
    </row>
    <row r="1574" customFormat="false" ht="15" hidden="false" customHeight="false" outlineLevel="0" collapsed="false">
      <c r="A1574" s="102"/>
      <c r="B1574" s="104"/>
      <c r="C1574" s="104"/>
      <c r="F1574" s="103" t="str">
        <f aca="false">IF(OR($C1574="",$D1574=0),"",$E1574/$D1574)</f>
        <v/>
      </c>
      <c r="H1574" s="0" t="str">
        <f aca="false">IF($C1574="","",IF(COUNTIF('مواد المخزون'!$A$2:$A$86,$C1574)&gt;0,"نعم","لا (خارج الجرد)"))</f>
        <v/>
      </c>
    </row>
    <row r="1575" customFormat="false" ht="15" hidden="false" customHeight="false" outlineLevel="0" collapsed="false">
      <c r="A1575" s="102"/>
      <c r="B1575" s="104"/>
      <c r="C1575" s="104"/>
      <c r="F1575" s="103" t="str">
        <f aca="false">IF(OR($C1575="",$D1575=0),"",$E1575/$D1575)</f>
        <v/>
      </c>
      <c r="H1575" s="0" t="str">
        <f aca="false">IF($C1575="","",IF(COUNTIF('مواد المخزون'!$A$2:$A$86,$C1575)&gt;0,"نعم","لا (خارج الجرد)"))</f>
        <v/>
      </c>
    </row>
    <row r="1576" customFormat="false" ht="15" hidden="false" customHeight="false" outlineLevel="0" collapsed="false">
      <c r="A1576" s="102"/>
      <c r="B1576" s="104"/>
      <c r="C1576" s="104"/>
      <c r="F1576" s="103" t="str">
        <f aca="false">IF(OR($C1576="",$D1576=0),"",$E1576/$D1576)</f>
        <v/>
      </c>
      <c r="H1576" s="0" t="str">
        <f aca="false">IF($C1576="","",IF(COUNTIF('مواد المخزون'!$A$2:$A$86,$C1576)&gt;0,"نعم","لا (خارج الجرد)"))</f>
        <v/>
      </c>
    </row>
    <row r="1577" customFormat="false" ht="15" hidden="false" customHeight="false" outlineLevel="0" collapsed="false">
      <c r="A1577" s="102"/>
      <c r="B1577" s="104"/>
      <c r="C1577" s="104"/>
      <c r="F1577" s="103" t="str">
        <f aca="false">IF(OR($C1577="",$D1577=0),"",$E1577/$D1577)</f>
        <v/>
      </c>
      <c r="H1577" s="0" t="str">
        <f aca="false">IF($C1577="","",IF(COUNTIF('مواد المخزون'!$A$2:$A$86,$C1577)&gt;0,"نعم","لا (خارج الجرد)"))</f>
        <v/>
      </c>
    </row>
    <row r="1578" customFormat="false" ht="15" hidden="false" customHeight="false" outlineLevel="0" collapsed="false">
      <c r="A1578" s="102"/>
      <c r="B1578" s="104"/>
      <c r="C1578" s="104"/>
      <c r="F1578" s="103" t="str">
        <f aca="false">IF(OR($C1578="",$D1578=0),"",$E1578/$D1578)</f>
        <v/>
      </c>
      <c r="H1578" s="0" t="str">
        <f aca="false">IF($C1578="","",IF(COUNTIF('مواد المخزون'!$A$2:$A$86,$C1578)&gt;0,"نعم","لا (خارج الجرد)"))</f>
        <v/>
      </c>
    </row>
    <row r="1579" customFormat="false" ht="15" hidden="false" customHeight="false" outlineLevel="0" collapsed="false">
      <c r="A1579" s="102"/>
      <c r="B1579" s="104"/>
      <c r="C1579" s="104"/>
      <c r="F1579" s="103" t="str">
        <f aca="false">IF(OR($C1579="",$D1579=0),"",$E1579/$D1579)</f>
        <v/>
      </c>
      <c r="H1579" s="0" t="str">
        <f aca="false">IF($C1579="","",IF(COUNTIF('مواد المخزون'!$A$2:$A$86,$C1579)&gt;0,"نعم","لا (خارج الجرد)"))</f>
        <v/>
      </c>
    </row>
    <row r="1580" customFormat="false" ht="15" hidden="false" customHeight="false" outlineLevel="0" collapsed="false">
      <c r="A1580" s="102"/>
      <c r="B1580" s="104"/>
      <c r="C1580" s="104"/>
      <c r="F1580" s="103" t="str">
        <f aca="false">IF(OR($C1580="",$D1580=0),"",$E1580/$D1580)</f>
        <v/>
      </c>
      <c r="H1580" s="0" t="str">
        <f aca="false">IF($C1580="","",IF(COUNTIF('مواد المخزون'!$A$2:$A$86,$C1580)&gt;0,"نعم","لا (خارج الجرد)"))</f>
        <v/>
      </c>
    </row>
    <row r="1581" customFormat="false" ht="15" hidden="false" customHeight="false" outlineLevel="0" collapsed="false">
      <c r="A1581" s="102"/>
      <c r="B1581" s="104"/>
      <c r="C1581" s="104"/>
      <c r="F1581" s="103" t="str">
        <f aca="false">IF(OR($C1581="",$D1581=0),"",$E1581/$D1581)</f>
        <v/>
      </c>
      <c r="H1581" s="0" t="str">
        <f aca="false">IF($C1581="","",IF(COUNTIF('مواد المخزون'!$A$2:$A$86,$C1581)&gt;0,"نعم","لا (خارج الجرد)"))</f>
        <v/>
      </c>
    </row>
    <row r="1582" customFormat="false" ht="15" hidden="false" customHeight="false" outlineLevel="0" collapsed="false">
      <c r="A1582" s="102"/>
      <c r="B1582" s="104"/>
      <c r="C1582" s="104"/>
      <c r="F1582" s="103" t="str">
        <f aca="false">IF(OR($C1582="",$D1582=0),"",$E1582/$D1582)</f>
        <v/>
      </c>
      <c r="H1582" s="0" t="str">
        <f aca="false">IF($C1582="","",IF(COUNTIF('مواد المخزون'!$A$2:$A$86,$C1582)&gt;0,"نعم","لا (خارج الجرد)"))</f>
        <v/>
      </c>
    </row>
    <row r="1583" customFormat="false" ht="15" hidden="false" customHeight="false" outlineLevel="0" collapsed="false">
      <c r="A1583" s="102"/>
      <c r="B1583" s="104"/>
      <c r="C1583" s="104"/>
      <c r="F1583" s="103" t="str">
        <f aca="false">IF(OR($C1583="",$D1583=0),"",$E1583/$D1583)</f>
        <v/>
      </c>
      <c r="H1583" s="0" t="str">
        <f aca="false">IF($C1583="","",IF(COUNTIF('مواد المخزون'!$A$2:$A$86,$C1583)&gt;0,"نعم","لا (خارج الجرد)"))</f>
        <v/>
      </c>
    </row>
    <row r="1584" customFormat="false" ht="15" hidden="false" customHeight="false" outlineLevel="0" collapsed="false">
      <c r="A1584" s="102"/>
      <c r="B1584" s="104"/>
      <c r="C1584" s="104"/>
      <c r="F1584" s="103" t="str">
        <f aca="false">IF(OR($C1584="",$D1584=0),"",$E1584/$D1584)</f>
        <v/>
      </c>
      <c r="H1584" s="0" t="str">
        <f aca="false">IF($C1584="","",IF(COUNTIF('مواد المخزون'!$A$2:$A$86,$C1584)&gt;0,"نعم","لا (خارج الجرد)"))</f>
        <v/>
      </c>
    </row>
    <row r="1585" customFormat="false" ht="15" hidden="false" customHeight="false" outlineLevel="0" collapsed="false">
      <c r="A1585" s="102"/>
      <c r="B1585" s="104"/>
      <c r="C1585" s="104"/>
      <c r="F1585" s="103" t="str">
        <f aca="false">IF(OR($C1585="",$D1585=0),"",$E1585/$D1585)</f>
        <v/>
      </c>
      <c r="H1585" s="0" t="str">
        <f aca="false">IF($C1585="","",IF(COUNTIF('مواد المخزون'!$A$2:$A$86,$C1585)&gt;0,"نعم","لا (خارج الجرد)"))</f>
        <v/>
      </c>
    </row>
    <row r="1586" customFormat="false" ht="15" hidden="false" customHeight="false" outlineLevel="0" collapsed="false">
      <c r="A1586" s="102"/>
      <c r="B1586" s="104"/>
      <c r="C1586" s="104"/>
      <c r="F1586" s="103" t="str">
        <f aca="false">IF(OR($C1586="",$D1586=0),"",$E1586/$D1586)</f>
        <v/>
      </c>
      <c r="H1586" s="0" t="str">
        <f aca="false">IF($C1586="","",IF(COUNTIF('مواد المخزون'!$A$2:$A$86,$C1586)&gt;0,"نعم","لا (خارج الجرد)"))</f>
        <v/>
      </c>
    </row>
    <row r="1587" customFormat="false" ht="15" hidden="false" customHeight="false" outlineLevel="0" collapsed="false">
      <c r="A1587" s="102"/>
      <c r="B1587" s="104"/>
      <c r="C1587" s="104"/>
      <c r="F1587" s="103" t="str">
        <f aca="false">IF(OR($C1587="",$D1587=0),"",$E1587/$D1587)</f>
        <v/>
      </c>
      <c r="H1587" s="0" t="str">
        <f aca="false">IF($C1587="","",IF(COUNTIF('مواد المخزون'!$A$2:$A$86,$C1587)&gt;0,"نعم","لا (خارج الجرد)"))</f>
        <v/>
      </c>
    </row>
    <row r="1588" customFormat="false" ht="15" hidden="false" customHeight="false" outlineLevel="0" collapsed="false">
      <c r="A1588" s="102"/>
      <c r="B1588" s="104"/>
      <c r="C1588" s="104"/>
      <c r="F1588" s="103" t="str">
        <f aca="false">IF(OR($C1588="",$D1588=0),"",$E1588/$D1588)</f>
        <v/>
      </c>
      <c r="H1588" s="0" t="str">
        <f aca="false">IF($C1588="","",IF(COUNTIF('مواد المخزون'!$A$2:$A$86,$C1588)&gt;0,"نعم","لا (خارج الجرد)"))</f>
        <v/>
      </c>
    </row>
    <row r="1589" customFormat="false" ht="15" hidden="false" customHeight="false" outlineLevel="0" collapsed="false">
      <c r="A1589" s="102"/>
      <c r="B1589" s="104"/>
      <c r="C1589" s="104"/>
      <c r="F1589" s="103" t="str">
        <f aca="false">IF(OR($C1589="",$D1589=0),"",$E1589/$D1589)</f>
        <v/>
      </c>
      <c r="H1589" s="0" t="str">
        <f aca="false">IF($C1589="","",IF(COUNTIF('مواد المخزون'!$A$2:$A$86,$C1589)&gt;0,"نعم","لا (خارج الجرد)"))</f>
        <v/>
      </c>
    </row>
    <row r="1590" customFormat="false" ht="15" hidden="false" customHeight="false" outlineLevel="0" collapsed="false">
      <c r="A1590" s="102"/>
      <c r="B1590" s="104"/>
      <c r="C1590" s="104"/>
      <c r="F1590" s="103" t="str">
        <f aca="false">IF(OR($C1590="",$D1590=0),"",$E1590/$D1590)</f>
        <v/>
      </c>
      <c r="H1590" s="0" t="str">
        <f aca="false">IF($C1590="","",IF(COUNTIF('مواد المخزون'!$A$2:$A$86,$C1590)&gt;0,"نعم","لا (خارج الجرد)"))</f>
        <v/>
      </c>
    </row>
    <row r="1591" customFormat="false" ht="15" hidden="false" customHeight="false" outlineLevel="0" collapsed="false">
      <c r="A1591" s="102"/>
      <c r="B1591" s="104"/>
      <c r="C1591" s="104"/>
      <c r="F1591" s="103" t="str">
        <f aca="false">IF(OR($C1591="",$D1591=0),"",$E1591/$D1591)</f>
        <v/>
      </c>
      <c r="H1591" s="0" t="str">
        <f aca="false">IF($C1591="","",IF(COUNTIF('مواد المخزون'!$A$2:$A$86,$C1591)&gt;0,"نعم","لا (خارج الجرد)"))</f>
        <v/>
      </c>
    </row>
    <row r="1592" customFormat="false" ht="15" hidden="false" customHeight="false" outlineLevel="0" collapsed="false">
      <c r="A1592" s="102"/>
      <c r="B1592" s="104"/>
      <c r="C1592" s="104"/>
      <c r="F1592" s="103" t="str">
        <f aca="false">IF(OR($C1592="",$D1592=0),"",$E1592/$D1592)</f>
        <v/>
      </c>
      <c r="H1592" s="0" t="str">
        <f aca="false">IF($C1592="","",IF(COUNTIF('مواد المخزون'!$A$2:$A$86,$C1592)&gt;0,"نعم","لا (خارج الجرد)"))</f>
        <v/>
      </c>
    </row>
    <row r="1593" customFormat="false" ht="15" hidden="false" customHeight="false" outlineLevel="0" collapsed="false">
      <c r="A1593" s="102"/>
      <c r="B1593" s="104"/>
      <c r="C1593" s="104"/>
      <c r="F1593" s="103" t="str">
        <f aca="false">IF(OR($C1593="",$D1593=0),"",$E1593/$D1593)</f>
        <v/>
      </c>
      <c r="H1593" s="0" t="str">
        <f aca="false">IF($C1593="","",IF(COUNTIF('مواد المخزون'!$A$2:$A$86,$C1593)&gt;0,"نعم","لا (خارج الجرد)"))</f>
        <v/>
      </c>
    </row>
    <row r="1594" customFormat="false" ht="15" hidden="false" customHeight="false" outlineLevel="0" collapsed="false">
      <c r="A1594" s="102"/>
      <c r="B1594" s="104"/>
      <c r="C1594" s="104"/>
      <c r="F1594" s="103" t="str">
        <f aca="false">IF(OR($C1594="",$D1594=0),"",$E1594/$D1594)</f>
        <v/>
      </c>
      <c r="H1594" s="0" t="str">
        <f aca="false">IF($C1594="","",IF(COUNTIF('مواد المخزون'!$A$2:$A$86,$C1594)&gt;0,"نعم","لا (خارج الجرد)"))</f>
        <v/>
      </c>
    </row>
    <row r="1595" customFormat="false" ht="15" hidden="false" customHeight="false" outlineLevel="0" collapsed="false">
      <c r="A1595" s="102"/>
      <c r="B1595" s="104"/>
      <c r="C1595" s="104"/>
      <c r="F1595" s="103" t="str">
        <f aca="false">IF(OR($C1595="",$D1595=0),"",$E1595/$D1595)</f>
        <v/>
      </c>
      <c r="H1595" s="0" t="str">
        <f aca="false">IF($C1595="","",IF(COUNTIF('مواد المخزون'!$A$2:$A$86,$C1595)&gt;0,"نعم","لا (خارج الجرد)"))</f>
        <v/>
      </c>
    </row>
    <row r="1596" customFormat="false" ht="15" hidden="false" customHeight="false" outlineLevel="0" collapsed="false">
      <c r="A1596" s="102"/>
      <c r="B1596" s="104"/>
      <c r="C1596" s="104"/>
      <c r="F1596" s="103" t="str">
        <f aca="false">IF(OR($C1596="",$D1596=0),"",$E1596/$D1596)</f>
        <v/>
      </c>
      <c r="H1596" s="0" t="str">
        <f aca="false">IF($C1596="","",IF(COUNTIF('مواد المخزون'!$A$2:$A$86,$C1596)&gt;0,"نعم","لا (خارج الجرد)"))</f>
        <v/>
      </c>
    </row>
    <row r="1597" customFormat="false" ht="15" hidden="false" customHeight="false" outlineLevel="0" collapsed="false">
      <c r="A1597" s="102"/>
      <c r="B1597" s="104"/>
      <c r="C1597" s="104"/>
      <c r="F1597" s="103" t="str">
        <f aca="false">IF(OR($C1597="",$D1597=0),"",$E1597/$D1597)</f>
        <v/>
      </c>
      <c r="H1597" s="0" t="str">
        <f aca="false">IF($C1597="","",IF(COUNTIF('مواد المخزون'!$A$2:$A$86,$C1597)&gt;0,"نعم","لا (خارج الجرد)"))</f>
        <v/>
      </c>
    </row>
    <row r="1598" customFormat="false" ht="15" hidden="false" customHeight="false" outlineLevel="0" collapsed="false">
      <c r="A1598" s="102"/>
      <c r="B1598" s="104"/>
      <c r="C1598" s="104"/>
      <c r="F1598" s="103" t="str">
        <f aca="false">IF(OR($C1598="",$D1598=0),"",$E1598/$D1598)</f>
        <v/>
      </c>
      <c r="H1598" s="0" t="str">
        <f aca="false">IF($C1598="","",IF(COUNTIF('مواد المخزون'!$A$2:$A$86,$C1598)&gt;0,"نعم","لا (خارج الجرد)"))</f>
        <v/>
      </c>
    </row>
    <row r="1599" customFormat="false" ht="15" hidden="false" customHeight="false" outlineLevel="0" collapsed="false">
      <c r="A1599" s="102"/>
      <c r="B1599" s="104"/>
      <c r="C1599" s="104"/>
      <c r="F1599" s="103" t="str">
        <f aca="false">IF(OR($C1599="",$D1599=0),"",$E1599/$D1599)</f>
        <v/>
      </c>
      <c r="H1599" s="0" t="str">
        <f aca="false">IF($C1599="","",IF(COUNTIF('مواد المخزون'!$A$2:$A$86,$C1599)&gt;0,"نعم","لا (خارج الجرد)"))</f>
        <v/>
      </c>
    </row>
    <row r="1600" customFormat="false" ht="15" hidden="false" customHeight="false" outlineLevel="0" collapsed="false">
      <c r="A1600" s="102"/>
      <c r="B1600" s="104"/>
      <c r="C1600" s="104"/>
      <c r="F1600" s="103" t="str">
        <f aca="false">IF(OR($C1600="",$D1600=0),"",$E1600/$D1600)</f>
        <v/>
      </c>
      <c r="H1600" s="0" t="str">
        <f aca="false">IF($C1600="","",IF(COUNTIF('مواد المخزون'!$A$2:$A$86,$C1600)&gt;0,"نعم","لا (خارج الجرد)"))</f>
        <v/>
      </c>
    </row>
    <row r="1601" customFormat="false" ht="15" hidden="false" customHeight="false" outlineLevel="0" collapsed="false">
      <c r="A1601" s="102"/>
      <c r="B1601" s="104"/>
      <c r="C1601" s="104"/>
      <c r="F1601" s="103" t="str">
        <f aca="false">IF(OR($C1601="",$D1601=0),"",$E1601/$D1601)</f>
        <v/>
      </c>
      <c r="H1601" s="0" t="str">
        <f aca="false">IF($C1601="","",IF(COUNTIF('مواد المخزون'!$A$2:$A$86,$C1601)&gt;0,"نعم","لا (خارج الجرد)"))</f>
        <v/>
      </c>
    </row>
    <row r="1602" customFormat="false" ht="15" hidden="false" customHeight="false" outlineLevel="0" collapsed="false">
      <c r="A1602" s="102"/>
      <c r="B1602" s="104"/>
      <c r="C1602" s="104"/>
      <c r="F1602" s="103" t="str">
        <f aca="false">IF(OR($C1602="",$D1602=0),"",$E1602/$D1602)</f>
        <v/>
      </c>
      <c r="H1602" s="0" t="str">
        <f aca="false">IF($C1602="","",IF(COUNTIF('مواد المخزون'!$A$2:$A$86,$C1602)&gt;0,"نعم","لا (خارج الجرد)"))</f>
        <v/>
      </c>
    </row>
    <row r="1603" customFormat="false" ht="15" hidden="false" customHeight="false" outlineLevel="0" collapsed="false">
      <c r="A1603" s="102"/>
      <c r="B1603" s="104"/>
      <c r="C1603" s="104"/>
      <c r="F1603" s="103" t="str">
        <f aca="false">IF(OR($C1603="",$D1603=0),"",$E1603/$D1603)</f>
        <v/>
      </c>
      <c r="H1603" s="0" t="str">
        <f aca="false">IF($C1603="","",IF(COUNTIF('مواد المخزون'!$A$2:$A$86,$C1603)&gt;0,"نعم","لا (خارج الجرد)"))</f>
        <v/>
      </c>
    </row>
    <row r="1604" customFormat="false" ht="15" hidden="false" customHeight="false" outlineLevel="0" collapsed="false">
      <c r="A1604" s="102"/>
      <c r="B1604" s="104"/>
      <c r="C1604" s="104"/>
      <c r="F1604" s="103" t="str">
        <f aca="false">IF(OR($C1604="",$D1604=0),"",$E1604/$D1604)</f>
        <v/>
      </c>
      <c r="H1604" s="0" t="str">
        <f aca="false">IF($C1604="","",IF(COUNTIF('مواد المخزون'!$A$2:$A$86,$C1604)&gt;0,"نعم","لا (خارج الجرد)"))</f>
        <v/>
      </c>
    </row>
    <row r="1605" customFormat="false" ht="15" hidden="false" customHeight="false" outlineLevel="0" collapsed="false">
      <c r="A1605" s="102"/>
      <c r="B1605" s="104"/>
      <c r="C1605" s="104"/>
      <c r="F1605" s="103" t="str">
        <f aca="false">IF(OR($C1605="",$D1605=0),"",$E1605/$D1605)</f>
        <v/>
      </c>
      <c r="H1605" s="0" t="str">
        <f aca="false">IF($C1605="","",IF(COUNTIF('مواد المخزون'!$A$2:$A$86,$C1605)&gt;0,"نعم","لا (خارج الجرد)"))</f>
        <v/>
      </c>
    </row>
    <row r="1606" customFormat="false" ht="15" hidden="false" customHeight="false" outlineLevel="0" collapsed="false">
      <c r="A1606" s="102"/>
      <c r="B1606" s="104"/>
      <c r="C1606" s="104"/>
      <c r="F1606" s="103" t="str">
        <f aca="false">IF(OR($C1606="",$D1606=0),"",$E1606/$D1606)</f>
        <v/>
      </c>
      <c r="H1606" s="0" t="str">
        <f aca="false">IF($C1606="","",IF(COUNTIF('مواد المخزون'!$A$2:$A$86,$C1606)&gt;0,"نعم","لا (خارج الجرد)"))</f>
        <v/>
      </c>
    </row>
    <row r="1607" customFormat="false" ht="15" hidden="false" customHeight="false" outlineLevel="0" collapsed="false">
      <c r="A1607" s="102"/>
      <c r="B1607" s="104"/>
      <c r="C1607" s="104"/>
      <c r="F1607" s="103" t="str">
        <f aca="false">IF(OR($C1607="",$D1607=0),"",$E1607/$D1607)</f>
        <v/>
      </c>
      <c r="H1607" s="0" t="str">
        <f aca="false">IF($C1607="","",IF(COUNTIF('مواد المخزون'!$A$2:$A$86,$C1607)&gt;0,"نعم","لا (خارج الجرد)"))</f>
        <v/>
      </c>
    </row>
    <row r="1608" customFormat="false" ht="15" hidden="false" customHeight="false" outlineLevel="0" collapsed="false">
      <c r="A1608" s="102"/>
      <c r="B1608" s="104"/>
      <c r="C1608" s="104"/>
      <c r="F1608" s="103" t="str">
        <f aca="false">IF(OR($C1608="",$D1608=0),"",$E1608/$D1608)</f>
        <v/>
      </c>
      <c r="H1608" s="0" t="str">
        <f aca="false">IF($C1608="","",IF(COUNTIF('مواد المخزون'!$A$2:$A$86,$C1608)&gt;0,"نعم","لا (خارج الجرد)"))</f>
        <v/>
      </c>
    </row>
    <row r="1609" customFormat="false" ht="15" hidden="false" customHeight="false" outlineLevel="0" collapsed="false">
      <c r="A1609" s="102"/>
      <c r="B1609" s="104"/>
      <c r="C1609" s="104"/>
      <c r="F1609" s="103" t="str">
        <f aca="false">IF(OR($C1609="",$D1609=0),"",$E1609/$D1609)</f>
        <v/>
      </c>
      <c r="H1609" s="0" t="str">
        <f aca="false">IF($C1609="","",IF(COUNTIF('مواد المخزون'!$A$2:$A$86,$C1609)&gt;0,"نعم","لا (خارج الجرد)"))</f>
        <v/>
      </c>
    </row>
    <row r="1610" customFormat="false" ht="15" hidden="false" customHeight="false" outlineLevel="0" collapsed="false">
      <c r="A1610" s="102"/>
      <c r="B1610" s="104"/>
      <c r="C1610" s="104"/>
      <c r="F1610" s="103" t="str">
        <f aca="false">IF(OR($C1610="",$D1610=0),"",$E1610/$D1610)</f>
        <v/>
      </c>
      <c r="H1610" s="0" t="str">
        <f aca="false">IF($C1610="","",IF(COUNTIF('مواد المخزون'!$A$2:$A$86,$C1610)&gt;0,"نعم","لا (خارج الجرد)"))</f>
        <v/>
      </c>
    </row>
    <row r="1611" customFormat="false" ht="15" hidden="false" customHeight="false" outlineLevel="0" collapsed="false">
      <c r="A1611" s="102"/>
      <c r="B1611" s="104"/>
      <c r="C1611" s="104"/>
      <c r="F1611" s="103" t="str">
        <f aca="false">IF(OR($C1611="",$D1611=0),"",$E1611/$D1611)</f>
        <v/>
      </c>
      <c r="H1611" s="0" t="str">
        <f aca="false">IF($C1611="","",IF(COUNTIF('مواد المخزون'!$A$2:$A$86,$C1611)&gt;0,"نعم","لا (خارج الجرد)"))</f>
        <v/>
      </c>
    </row>
    <row r="1612" customFormat="false" ht="15" hidden="false" customHeight="false" outlineLevel="0" collapsed="false">
      <c r="A1612" s="102"/>
      <c r="B1612" s="104"/>
      <c r="C1612" s="104"/>
      <c r="F1612" s="103" t="str">
        <f aca="false">IF(OR($C1612="",$D1612=0),"",$E1612/$D1612)</f>
        <v/>
      </c>
      <c r="H1612" s="0" t="str">
        <f aca="false">IF($C1612="","",IF(COUNTIF('مواد المخزون'!$A$2:$A$86,$C1612)&gt;0,"نعم","لا (خارج الجرد)"))</f>
        <v/>
      </c>
    </row>
    <row r="1613" customFormat="false" ht="15" hidden="false" customHeight="false" outlineLevel="0" collapsed="false">
      <c r="A1613" s="102"/>
      <c r="B1613" s="104"/>
      <c r="C1613" s="104"/>
      <c r="F1613" s="103" t="str">
        <f aca="false">IF(OR($C1613="",$D1613=0),"",$E1613/$D1613)</f>
        <v/>
      </c>
      <c r="H1613" s="0" t="str">
        <f aca="false">IF($C1613="","",IF(COUNTIF('مواد المخزون'!$A$2:$A$86,$C1613)&gt;0,"نعم","لا (خارج الجرد)"))</f>
        <v/>
      </c>
    </row>
    <row r="1614" customFormat="false" ht="15" hidden="false" customHeight="false" outlineLevel="0" collapsed="false">
      <c r="A1614" s="102"/>
      <c r="B1614" s="104"/>
      <c r="C1614" s="104"/>
      <c r="F1614" s="103" t="str">
        <f aca="false">IF(OR($C1614="",$D1614=0),"",$E1614/$D1614)</f>
        <v/>
      </c>
      <c r="H1614" s="0" t="str">
        <f aca="false">IF($C1614="","",IF(COUNTIF('مواد المخزون'!$A$2:$A$86,$C1614)&gt;0,"نعم","لا (خارج الجرد)"))</f>
        <v/>
      </c>
    </row>
    <row r="1615" customFormat="false" ht="15" hidden="false" customHeight="false" outlineLevel="0" collapsed="false">
      <c r="A1615" s="102"/>
      <c r="B1615" s="104"/>
      <c r="C1615" s="104"/>
      <c r="F1615" s="103" t="str">
        <f aca="false">IF(OR($C1615="",$D1615=0),"",$E1615/$D1615)</f>
        <v/>
      </c>
      <c r="H1615" s="0" t="str">
        <f aca="false">IF($C1615="","",IF(COUNTIF('مواد المخزون'!$A$2:$A$86,$C1615)&gt;0,"نعم","لا (خارج الجرد)"))</f>
        <v/>
      </c>
    </row>
    <row r="1616" customFormat="false" ht="15" hidden="false" customHeight="false" outlineLevel="0" collapsed="false">
      <c r="A1616" s="102"/>
      <c r="B1616" s="104"/>
      <c r="C1616" s="104"/>
      <c r="F1616" s="103" t="str">
        <f aca="false">IF(OR($C1616="",$D1616=0),"",$E1616/$D1616)</f>
        <v/>
      </c>
      <c r="H1616" s="0" t="str">
        <f aca="false">IF($C1616="","",IF(COUNTIF('مواد المخزون'!$A$2:$A$86,$C1616)&gt;0,"نعم","لا (خارج الجرد)"))</f>
        <v/>
      </c>
    </row>
    <row r="1617" customFormat="false" ht="15" hidden="false" customHeight="false" outlineLevel="0" collapsed="false">
      <c r="A1617" s="102"/>
      <c r="B1617" s="104"/>
      <c r="C1617" s="104"/>
      <c r="F1617" s="103" t="str">
        <f aca="false">IF(OR($C1617="",$D1617=0),"",$E1617/$D1617)</f>
        <v/>
      </c>
      <c r="H1617" s="0" t="str">
        <f aca="false">IF($C1617="","",IF(COUNTIF('مواد المخزون'!$A$2:$A$86,$C1617)&gt;0,"نعم","لا (خارج الجرد)"))</f>
        <v/>
      </c>
    </row>
    <row r="1618" customFormat="false" ht="15" hidden="false" customHeight="false" outlineLevel="0" collapsed="false">
      <c r="A1618" s="102"/>
      <c r="B1618" s="104"/>
      <c r="C1618" s="104"/>
      <c r="F1618" s="103" t="str">
        <f aca="false">IF(OR($C1618="",$D1618=0),"",$E1618/$D1618)</f>
        <v/>
      </c>
      <c r="H1618" s="0" t="str">
        <f aca="false">IF($C1618="","",IF(COUNTIF('مواد المخزون'!$A$2:$A$86,$C1618)&gt;0,"نعم","لا (خارج الجرد)"))</f>
        <v/>
      </c>
    </row>
    <row r="1619" customFormat="false" ht="15" hidden="false" customHeight="false" outlineLevel="0" collapsed="false">
      <c r="A1619" s="102"/>
      <c r="B1619" s="104"/>
      <c r="C1619" s="104"/>
      <c r="F1619" s="103" t="str">
        <f aca="false">IF(OR($C1619="",$D1619=0),"",$E1619/$D1619)</f>
        <v/>
      </c>
      <c r="H1619" s="0" t="str">
        <f aca="false">IF($C1619="","",IF(COUNTIF('مواد المخزون'!$A$2:$A$86,$C1619)&gt;0,"نعم","لا (خارج الجرد)"))</f>
        <v/>
      </c>
    </row>
    <row r="1620" customFormat="false" ht="15" hidden="false" customHeight="false" outlineLevel="0" collapsed="false">
      <c r="A1620" s="102"/>
      <c r="B1620" s="104"/>
      <c r="C1620" s="104"/>
      <c r="F1620" s="103" t="str">
        <f aca="false">IF(OR($C1620="",$D1620=0),"",$E1620/$D1620)</f>
        <v/>
      </c>
      <c r="H1620" s="0" t="str">
        <f aca="false">IF($C1620="","",IF(COUNTIF('مواد المخزون'!$A$2:$A$86,$C1620)&gt;0,"نعم","لا (خارج الجرد)"))</f>
        <v/>
      </c>
    </row>
    <row r="1621" customFormat="false" ht="15" hidden="false" customHeight="false" outlineLevel="0" collapsed="false">
      <c r="A1621" s="102"/>
      <c r="B1621" s="104"/>
      <c r="C1621" s="104"/>
      <c r="F1621" s="103" t="str">
        <f aca="false">IF(OR($C1621="",$D1621=0),"",$E1621/$D1621)</f>
        <v/>
      </c>
      <c r="H1621" s="0" t="str">
        <f aca="false">IF($C1621="","",IF(COUNTIF('مواد المخزون'!$A$2:$A$86,$C1621)&gt;0,"نعم","لا (خارج الجرد)"))</f>
        <v/>
      </c>
    </row>
    <row r="1622" customFormat="false" ht="15" hidden="false" customHeight="false" outlineLevel="0" collapsed="false">
      <c r="A1622" s="102"/>
      <c r="B1622" s="104"/>
      <c r="C1622" s="104"/>
      <c r="F1622" s="103" t="str">
        <f aca="false">IF(OR($C1622="",$D1622=0),"",$E1622/$D1622)</f>
        <v/>
      </c>
      <c r="H1622" s="0" t="str">
        <f aca="false">IF($C1622="","",IF(COUNTIF('مواد المخزون'!$A$2:$A$86,$C1622)&gt;0,"نعم","لا (خارج الجرد)"))</f>
        <v/>
      </c>
    </row>
    <row r="1623" customFormat="false" ht="15" hidden="false" customHeight="false" outlineLevel="0" collapsed="false">
      <c r="A1623" s="102"/>
      <c r="B1623" s="104"/>
      <c r="C1623" s="104"/>
      <c r="F1623" s="103" t="str">
        <f aca="false">IF(OR($C1623="",$D1623=0),"",$E1623/$D1623)</f>
        <v/>
      </c>
      <c r="H1623" s="0" t="str">
        <f aca="false">IF($C1623="","",IF(COUNTIF('مواد المخزون'!$A$2:$A$86,$C1623)&gt;0,"نعم","لا (خارج الجرد)"))</f>
        <v/>
      </c>
    </row>
    <row r="1624" customFormat="false" ht="15" hidden="false" customHeight="false" outlineLevel="0" collapsed="false">
      <c r="A1624" s="102"/>
      <c r="B1624" s="104"/>
      <c r="C1624" s="104"/>
      <c r="F1624" s="103" t="str">
        <f aca="false">IF(OR($C1624="",$D1624=0),"",$E1624/$D1624)</f>
        <v/>
      </c>
      <c r="H1624" s="0" t="str">
        <f aca="false">IF($C1624="","",IF(COUNTIF('مواد المخزون'!$A$2:$A$86,$C1624)&gt;0,"نعم","لا (خارج الجرد)"))</f>
        <v/>
      </c>
    </row>
    <row r="1625" customFormat="false" ht="15" hidden="false" customHeight="false" outlineLevel="0" collapsed="false">
      <c r="A1625" s="102"/>
      <c r="B1625" s="104"/>
      <c r="C1625" s="104"/>
      <c r="F1625" s="103" t="str">
        <f aca="false">IF(OR($C1625="",$D1625=0),"",$E1625/$D1625)</f>
        <v/>
      </c>
      <c r="H1625" s="0" t="str">
        <f aca="false">IF($C1625="","",IF(COUNTIF('مواد المخزون'!$A$2:$A$86,$C1625)&gt;0,"نعم","لا (خارج الجرد)"))</f>
        <v/>
      </c>
    </row>
    <row r="1626" customFormat="false" ht="15" hidden="false" customHeight="false" outlineLevel="0" collapsed="false">
      <c r="A1626" s="102"/>
      <c r="B1626" s="104"/>
      <c r="C1626" s="104"/>
      <c r="F1626" s="103" t="str">
        <f aca="false">IF(OR($C1626="",$D1626=0),"",$E1626/$D1626)</f>
        <v/>
      </c>
      <c r="H1626" s="0" t="str">
        <f aca="false">IF($C1626="","",IF(COUNTIF('مواد المخزون'!$A$2:$A$86,$C1626)&gt;0,"نعم","لا (خارج الجرد)"))</f>
        <v/>
      </c>
    </row>
    <row r="1627" customFormat="false" ht="15" hidden="false" customHeight="false" outlineLevel="0" collapsed="false">
      <c r="A1627" s="102"/>
      <c r="B1627" s="104"/>
      <c r="C1627" s="104"/>
      <c r="F1627" s="103" t="str">
        <f aca="false">IF(OR($C1627="",$D1627=0),"",$E1627/$D1627)</f>
        <v/>
      </c>
      <c r="H1627" s="0" t="str">
        <f aca="false">IF($C1627="","",IF(COUNTIF('مواد المخزون'!$A$2:$A$86,$C1627)&gt;0,"نعم","لا (خارج الجرد)"))</f>
        <v/>
      </c>
    </row>
    <row r="1628" customFormat="false" ht="15" hidden="false" customHeight="false" outlineLevel="0" collapsed="false">
      <c r="A1628" s="102"/>
      <c r="B1628" s="104"/>
      <c r="C1628" s="104"/>
      <c r="F1628" s="103" t="str">
        <f aca="false">IF(OR($C1628="",$D1628=0),"",$E1628/$D1628)</f>
        <v/>
      </c>
      <c r="H1628" s="0" t="str">
        <f aca="false">IF($C1628="","",IF(COUNTIF('مواد المخزون'!$A$2:$A$86,$C1628)&gt;0,"نعم","لا (خارج الجرد)"))</f>
        <v/>
      </c>
    </row>
    <row r="1629" customFormat="false" ht="15" hidden="false" customHeight="false" outlineLevel="0" collapsed="false">
      <c r="A1629" s="102"/>
      <c r="B1629" s="104"/>
      <c r="C1629" s="104"/>
      <c r="F1629" s="103" t="str">
        <f aca="false">IF(OR($C1629="",$D1629=0),"",$E1629/$D1629)</f>
        <v/>
      </c>
      <c r="H1629" s="0" t="str">
        <f aca="false">IF($C1629="","",IF(COUNTIF('مواد المخزون'!$A$2:$A$86,$C1629)&gt;0,"نعم","لا (خارج الجرد)"))</f>
        <v/>
      </c>
    </row>
    <row r="1630" customFormat="false" ht="15" hidden="false" customHeight="false" outlineLevel="0" collapsed="false">
      <c r="A1630" s="102"/>
      <c r="B1630" s="104"/>
      <c r="C1630" s="104"/>
      <c r="F1630" s="103" t="str">
        <f aca="false">IF(OR($C1630="",$D1630=0),"",$E1630/$D1630)</f>
        <v/>
      </c>
      <c r="H1630" s="0" t="str">
        <f aca="false">IF($C1630="","",IF(COUNTIF('مواد المخزون'!$A$2:$A$86,$C1630)&gt;0,"نعم","لا (خارج الجرد)"))</f>
        <v/>
      </c>
    </row>
    <row r="1631" customFormat="false" ht="15" hidden="false" customHeight="false" outlineLevel="0" collapsed="false">
      <c r="A1631" s="102"/>
      <c r="B1631" s="104"/>
      <c r="C1631" s="104"/>
      <c r="F1631" s="103" t="str">
        <f aca="false">IF(OR($C1631="",$D1631=0),"",$E1631/$D1631)</f>
        <v/>
      </c>
      <c r="H1631" s="0" t="str">
        <f aca="false">IF($C1631="","",IF(COUNTIF('مواد المخزون'!$A$2:$A$86,$C1631)&gt;0,"نعم","لا (خارج الجرد)"))</f>
        <v/>
      </c>
    </row>
    <row r="1632" customFormat="false" ht="15" hidden="false" customHeight="false" outlineLevel="0" collapsed="false">
      <c r="A1632" s="102"/>
      <c r="B1632" s="104"/>
      <c r="C1632" s="104"/>
      <c r="F1632" s="103" t="str">
        <f aca="false">IF(OR($C1632="",$D1632=0),"",$E1632/$D1632)</f>
        <v/>
      </c>
      <c r="H1632" s="0" t="str">
        <f aca="false">IF($C1632="","",IF(COUNTIF('مواد المخزون'!$A$2:$A$86,$C1632)&gt;0,"نعم","لا (خارج الجرد)"))</f>
        <v/>
      </c>
    </row>
    <row r="1633" customFormat="false" ht="15" hidden="false" customHeight="false" outlineLevel="0" collapsed="false">
      <c r="A1633" s="102"/>
      <c r="B1633" s="104"/>
      <c r="C1633" s="104"/>
      <c r="F1633" s="103" t="str">
        <f aca="false">IF(OR($C1633="",$D1633=0),"",$E1633/$D1633)</f>
        <v/>
      </c>
      <c r="H1633" s="0" t="str">
        <f aca="false">IF($C1633="","",IF(COUNTIF('مواد المخزون'!$A$2:$A$86,$C1633)&gt;0,"نعم","لا (خارج الجرد)"))</f>
        <v/>
      </c>
    </row>
    <row r="1634" customFormat="false" ht="15" hidden="false" customHeight="false" outlineLevel="0" collapsed="false">
      <c r="A1634" s="102"/>
      <c r="B1634" s="104"/>
      <c r="C1634" s="104"/>
      <c r="F1634" s="103" t="str">
        <f aca="false">IF(OR($C1634="",$D1634=0),"",$E1634/$D1634)</f>
        <v/>
      </c>
      <c r="H1634" s="0" t="str">
        <f aca="false">IF($C1634="","",IF(COUNTIF('مواد المخزون'!$A$2:$A$86,$C1634)&gt;0,"نعم","لا (خارج الجرد)"))</f>
        <v/>
      </c>
    </row>
    <row r="1635" customFormat="false" ht="15" hidden="false" customHeight="false" outlineLevel="0" collapsed="false">
      <c r="A1635" s="102"/>
      <c r="B1635" s="104"/>
      <c r="C1635" s="104"/>
      <c r="F1635" s="103" t="str">
        <f aca="false">IF(OR($C1635="",$D1635=0),"",$E1635/$D1635)</f>
        <v/>
      </c>
      <c r="H1635" s="0" t="str">
        <f aca="false">IF($C1635="","",IF(COUNTIF('مواد المخزون'!$A$2:$A$86,$C1635)&gt;0,"نعم","لا (خارج الجرد)"))</f>
        <v/>
      </c>
    </row>
    <row r="1636" customFormat="false" ht="15" hidden="false" customHeight="false" outlineLevel="0" collapsed="false">
      <c r="A1636" s="102"/>
      <c r="B1636" s="104"/>
      <c r="C1636" s="104"/>
      <c r="F1636" s="103" t="str">
        <f aca="false">IF(OR($C1636="",$D1636=0),"",$E1636/$D1636)</f>
        <v/>
      </c>
      <c r="H1636" s="0" t="str">
        <f aca="false">IF($C1636="","",IF(COUNTIF('مواد المخزون'!$A$2:$A$86,$C1636)&gt;0,"نعم","لا (خارج الجرد)"))</f>
        <v/>
      </c>
    </row>
    <row r="1637" customFormat="false" ht="15" hidden="false" customHeight="false" outlineLevel="0" collapsed="false">
      <c r="A1637" s="102"/>
      <c r="B1637" s="104"/>
      <c r="C1637" s="104"/>
      <c r="F1637" s="103" t="str">
        <f aca="false">IF(OR($C1637="",$D1637=0),"",$E1637/$D1637)</f>
        <v/>
      </c>
      <c r="H1637" s="0" t="str">
        <f aca="false">IF($C1637="","",IF(COUNTIF('مواد المخزون'!$A$2:$A$86,$C1637)&gt;0,"نعم","لا (خارج الجرد)"))</f>
        <v/>
      </c>
    </row>
    <row r="1638" customFormat="false" ht="15" hidden="false" customHeight="false" outlineLevel="0" collapsed="false">
      <c r="A1638" s="102"/>
      <c r="B1638" s="104"/>
      <c r="C1638" s="104"/>
      <c r="F1638" s="103" t="str">
        <f aca="false">IF(OR($C1638="",$D1638=0),"",$E1638/$D1638)</f>
        <v/>
      </c>
      <c r="H1638" s="0" t="str">
        <f aca="false">IF($C1638="","",IF(COUNTIF('مواد المخزون'!$A$2:$A$86,$C1638)&gt;0,"نعم","لا (خارج الجرد)"))</f>
        <v/>
      </c>
    </row>
    <row r="1639" customFormat="false" ht="15" hidden="false" customHeight="false" outlineLevel="0" collapsed="false">
      <c r="A1639" s="102"/>
      <c r="B1639" s="104"/>
      <c r="C1639" s="104"/>
      <c r="F1639" s="103" t="str">
        <f aca="false">IF(OR($C1639="",$D1639=0),"",$E1639/$D1639)</f>
        <v/>
      </c>
      <c r="H1639" s="0" t="str">
        <f aca="false">IF($C1639="","",IF(COUNTIF('مواد المخزون'!$A$2:$A$86,$C1639)&gt;0,"نعم","لا (خارج الجرد)"))</f>
        <v/>
      </c>
    </row>
    <row r="1640" customFormat="false" ht="15" hidden="false" customHeight="false" outlineLevel="0" collapsed="false">
      <c r="A1640" s="102"/>
      <c r="B1640" s="104"/>
      <c r="C1640" s="104"/>
      <c r="F1640" s="103" t="str">
        <f aca="false">IF(OR($C1640="",$D1640=0),"",$E1640/$D1640)</f>
        <v/>
      </c>
      <c r="H1640" s="0" t="str">
        <f aca="false">IF($C1640="","",IF(COUNTIF('مواد المخزون'!$A$2:$A$86,$C1640)&gt;0,"نعم","لا (خارج الجرد)"))</f>
        <v/>
      </c>
    </row>
    <row r="1641" customFormat="false" ht="15" hidden="false" customHeight="false" outlineLevel="0" collapsed="false">
      <c r="A1641" s="102"/>
      <c r="B1641" s="104"/>
      <c r="C1641" s="104"/>
      <c r="F1641" s="103" t="str">
        <f aca="false">IF(OR($C1641="",$D1641=0),"",$E1641/$D1641)</f>
        <v/>
      </c>
      <c r="H1641" s="0" t="str">
        <f aca="false">IF($C1641="","",IF(COUNTIF('مواد المخزون'!$A$2:$A$86,$C1641)&gt;0,"نعم","لا (خارج الجرد)"))</f>
        <v/>
      </c>
    </row>
    <row r="1642" customFormat="false" ht="15" hidden="false" customHeight="false" outlineLevel="0" collapsed="false">
      <c r="A1642" s="102"/>
      <c r="B1642" s="104"/>
      <c r="C1642" s="104"/>
      <c r="F1642" s="103" t="str">
        <f aca="false">IF(OR($C1642="",$D1642=0),"",$E1642/$D1642)</f>
        <v/>
      </c>
      <c r="H1642" s="0" t="str">
        <f aca="false">IF($C1642="","",IF(COUNTIF('مواد المخزون'!$A$2:$A$86,$C1642)&gt;0,"نعم","لا (خارج الجرد)"))</f>
        <v/>
      </c>
    </row>
    <row r="1643" customFormat="false" ht="15" hidden="false" customHeight="false" outlineLevel="0" collapsed="false">
      <c r="A1643" s="102"/>
      <c r="B1643" s="104"/>
      <c r="C1643" s="104"/>
      <c r="F1643" s="103" t="str">
        <f aca="false">IF(OR($C1643="",$D1643=0),"",$E1643/$D1643)</f>
        <v/>
      </c>
      <c r="H1643" s="0" t="str">
        <f aca="false">IF($C1643="","",IF(COUNTIF('مواد المخزون'!$A$2:$A$86,$C1643)&gt;0,"نعم","لا (خارج الجرد)"))</f>
        <v/>
      </c>
    </row>
    <row r="1644" customFormat="false" ht="15" hidden="false" customHeight="false" outlineLevel="0" collapsed="false">
      <c r="A1644" s="102"/>
      <c r="B1644" s="104"/>
      <c r="C1644" s="104"/>
      <c r="F1644" s="103" t="str">
        <f aca="false">IF(OR($C1644="",$D1644=0),"",$E1644/$D1644)</f>
        <v/>
      </c>
      <c r="H1644" s="0" t="str">
        <f aca="false">IF($C1644="","",IF(COUNTIF('مواد المخزون'!$A$2:$A$86,$C1644)&gt;0,"نعم","لا (خارج الجرد)"))</f>
        <v/>
      </c>
    </row>
    <row r="1645" customFormat="false" ht="15" hidden="false" customHeight="false" outlineLevel="0" collapsed="false">
      <c r="A1645" s="102"/>
      <c r="B1645" s="104"/>
      <c r="C1645" s="104"/>
      <c r="F1645" s="103" t="str">
        <f aca="false">IF(OR($C1645="",$D1645=0),"",$E1645/$D1645)</f>
        <v/>
      </c>
      <c r="H1645" s="0" t="str">
        <f aca="false">IF($C1645="","",IF(COUNTIF('مواد المخزون'!$A$2:$A$86,$C1645)&gt;0,"نعم","لا (خارج الجرد)"))</f>
        <v/>
      </c>
    </row>
    <row r="1646" customFormat="false" ht="15" hidden="false" customHeight="false" outlineLevel="0" collapsed="false">
      <c r="A1646" s="102"/>
      <c r="B1646" s="104"/>
      <c r="C1646" s="104"/>
      <c r="F1646" s="103" t="str">
        <f aca="false">IF(OR($C1646="",$D1646=0),"",$E1646/$D1646)</f>
        <v/>
      </c>
      <c r="H1646" s="0" t="str">
        <f aca="false">IF($C1646="","",IF(COUNTIF('مواد المخزون'!$A$2:$A$86,$C1646)&gt;0,"نعم","لا (خارج الجرد)"))</f>
        <v/>
      </c>
    </row>
    <row r="1647" customFormat="false" ht="15" hidden="false" customHeight="false" outlineLevel="0" collapsed="false">
      <c r="A1647" s="102"/>
      <c r="B1647" s="104"/>
      <c r="C1647" s="104"/>
      <c r="F1647" s="103" t="str">
        <f aca="false">IF(OR($C1647="",$D1647=0),"",$E1647/$D1647)</f>
        <v/>
      </c>
      <c r="H1647" s="0" t="str">
        <f aca="false">IF($C1647="","",IF(COUNTIF('مواد المخزون'!$A$2:$A$86,$C1647)&gt;0,"نعم","لا (خارج الجرد)"))</f>
        <v/>
      </c>
    </row>
    <row r="1648" customFormat="false" ht="15" hidden="false" customHeight="false" outlineLevel="0" collapsed="false">
      <c r="A1648" s="102"/>
      <c r="B1648" s="104"/>
      <c r="C1648" s="104"/>
      <c r="F1648" s="103" t="str">
        <f aca="false">IF(OR($C1648="",$D1648=0),"",$E1648/$D1648)</f>
        <v/>
      </c>
      <c r="H1648" s="0" t="str">
        <f aca="false">IF($C1648="","",IF(COUNTIF('مواد المخزون'!$A$2:$A$86,$C1648)&gt;0,"نعم","لا (خارج الجرد)"))</f>
        <v/>
      </c>
    </row>
    <row r="1649" customFormat="false" ht="15" hidden="false" customHeight="false" outlineLevel="0" collapsed="false">
      <c r="A1649" s="102"/>
      <c r="B1649" s="104"/>
      <c r="C1649" s="104"/>
      <c r="F1649" s="103" t="str">
        <f aca="false">IF(OR($C1649="",$D1649=0),"",$E1649/$D1649)</f>
        <v/>
      </c>
      <c r="H1649" s="0" t="str">
        <f aca="false">IF($C1649="","",IF(COUNTIF('مواد المخزون'!$A$2:$A$86,$C1649)&gt;0,"نعم","لا (خارج الجرد)"))</f>
        <v/>
      </c>
    </row>
    <row r="1650" customFormat="false" ht="15" hidden="false" customHeight="false" outlineLevel="0" collapsed="false">
      <c r="A1650" s="102"/>
      <c r="B1650" s="104"/>
      <c r="C1650" s="104"/>
      <c r="F1650" s="103" t="str">
        <f aca="false">IF(OR($C1650="",$D1650=0),"",$E1650/$D1650)</f>
        <v/>
      </c>
      <c r="H1650" s="0" t="str">
        <f aca="false">IF($C1650="","",IF(COUNTIF('مواد المخزون'!$A$2:$A$86,$C1650)&gt;0,"نعم","لا (خارج الجرد)"))</f>
        <v/>
      </c>
    </row>
    <row r="1651" customFormat="false" ht="15" hidden="false" customHeight="false" outlineLevel="0" collapsed="false">
      <c r="A1651" s="102"/>
      <c r="B1651" s="104"/>
      <c r="C1651" s="104"/>
      <c r="F1651" s="103" t="str">
        <f aca="false">IF(OR($C1651="",$D1651=0),"",$E1651/$D1651)</f>
        <v/>
      </c>
      <c r="H1651" s="0" t="str">
        <f aca="false">IF($C1651="","",IF(COUNTIF('مواد المخزون'!$A$2:$A$86,$C1651)&gt;0,"نعم","لا (خارج الجرد)"))</f>
        <v/>
      </c>
    </row>
    <row r="1652" customFormat="false" ht="15" hidden="false" customHeight="false" outlineLevel="0" collapsed="false">
      <c r="A1652" s="102"/>
      <c r="B1652" s="104"/>
      <c r="C1652" s="104"/>
      <c r="F1652" s="103" t="str">
        <f aca="false">IF(OR($C1652="",$D1652=0),"",$E1652/$D1652)</f>
        <v/>
      </c>
      <c r="H1652" s="0" t="str">
        <f aca="false">IF($C1652="","",IF(COUNTIF('مواد المخزون'!$A$2:$A$86,$C1652)&gt;0,"نعم","لا (خارج الجرد)"))</f>
        <v/>
      </c>
    </row>
    <row r="1653" customFormat="false" ht="15" hidden="false" customHeight="false" outlineLevel="0" collapsed="false">
      <c r="A1653" s="102"/>
      <c r="B1653" s="104"/>
      <c r="C1653" s="104"/>
      <c r="F1653" s="103" t="str">
        <f aca="false">IF(OR($C1653="",$D1653=0),"",$E1653/$D1653)</f>
        <v/>
      </c>
      <c r="H1653" s="0" t="str">
        <f aca="false">IF($C1653="","",IF(COUNTIF('مواد المخزون'!$A$2:$A$86,$C1653)&gt;0,"نعم","لا (خارج الجرد)"))</f>
        <v/>
      </c>
    </row>
    <row r="1654" customFormat="false" ht="15" hidden="false" customHeight="false" outlineLevel="0" collapsed="false">
      <c r="A1654" s="102"/>
      <c r="B1654" s="104"/>
      <c r="C1654" s="104"/>
      <c r="F1654" s="103" t="str">
        <f aca="false">IF(OR($C1654="",$D1654=0),"",$E1654/$D1654)</f>
        <v/>
      </c>
      <c r="H1654" s="0" t="str">
        <f aca="false">IF($C1654="","",IF(COUNTIF('مواد المخزون'!$A$2:$A$86,$C1654)&gt;0,"نعم","لا (خارج الجرد)"))</f>
        <v/>
      </c>
    </row>
    <row r="1655" customFormat="false" ht="15" hidden="false" customHeight="false" outlineLevel="0" collapsed="false">
      <c r="A1655" s="102"/>
      <c r="B1655" s="104"/>
      <c r="C1655" s="104"/>
      <c r="F1655" s="103" t="str">
        <f aca="false">IF(OR($C1655="",$D1655=0),"",$E1655/$D1655)</f>
        <v/>
      </c>
      <c r="H1655" s="0" t="str">
        <f aca="false">IF($C1655="","",IF(COUNTIF('مواد المخزون'!$A$2:$A$86,$C1655)&gt;0,"نعم","لا (خارج الجرد)"))</f>
        <v/>
      </c>
    </row>
    <row r="1656" customFormat="false" ht="15" hidden="false" customHeight="false" outlineLevel="0" collapsed="false">
      <c r="A1656" s="102"/>
      <c r="B1656" s="104"/>
      <c r="C1656" s="104"/>
      <c r="F1656" s="103" t="str">
        <f aca="false">IF(OR($C1656="",$D1656=0),"",$E1656/$D1656)</f>
        <v/>
      </c>
      <c r="H1656" s="0" t="str">
        <f aca="false">IF($C1656="","",IF(COUNTIF('مواد المخزون'!$A$2:$A$86,$C1656)&gt;0,"نعم","لا (خارج الجرد)"))</f>
        <v/>
      </c>
    </row>
    <row r="1657" customFormat="false" ht="15" hidden="false" customHeight="false" outlineLevel="0" collapsed="false">
      <c r="A1657" s="102"/>
      <c r="B1657" s="104"/>
      <c r="C1657" s="104"/>
      <c r="F1657" s="103" t="str">
        <f aca="false">IF(OR($C1657="",$D1657=0),"",$E1657/$D1657)</f>
        <v/>
      </c>
      <c r="H1657" s="0" t="str">
        <f aca="false">IF($C1657="","",IF(COUNTIF('مواد المخزون'!$A$2:$A$86,$C1657)&gt;0,"نعم","لا (خارج الجرد)"))</f>
        <v/>
      </c>
    </row>
    <row r="1658" customFormat="false" ht="15" hidden="false" customHeight="false" outlineLevel="0" collapsed="false">
      <c r="A1658" s="102"/>
      <c r="B1658" s="104"/>
      <c r="C1658" s="104"/>
      <c r="F1658" s="103" t="str">
        <f aca="false">IF(OR($C1658="",$D1658=0),"",$E1658/$D1658)</f>
        <v/>
      </c>
      <c r="H1658" s="0" t="str">
        <f aca="false">IF($C1658="","",IF(COUNTIF('مواد المخزون'!$A$2:$A$86,$C1658)&gt;0,"نعم","لا (خارج الجرد)"))</f>
        <v/>
      </c>
    </row>
    <row r="1659" customFormat="false" ht="15" hidden="false" customHeight="false" outlineLevel="0" collapsed="false">
      <c r="A1659" s="102"/>
      <c r="B1659" s="104"/>
      <c r="C1659" s="104"/>
      <c r="F1659" s="103" t="str">
        <f aca="false">IF(OR($C1659="",$D1659=0),"",$E1659/$D1659)</f>
        <v/>
      </c>
      <c r="H1659" s="0" t="str">
        <f aca="false">IF($C1659="","",IF(COUNTIF('مواد المخزون'!$A$2:$A$86,$C1659)&gt;0,"نعم","لا (خارج الجرد)"))</f>
        <v/>
      </c>
    </row>
    <row r="1660" customFormat="false" ht="15" hidden="false" customHeight="false" outlineLevel="0" collapsed="false">
      <c r="A1660" s="102"/>
      <c r="B1660" s="104"/>
      <c r="C1660" s="104"/>
      <c r="F1660" s="103" t="str">
        <f aca="false">IF(OR($C1660="",$D1660=0),"",$E1660/$D1660)</f>
        <v/>
      </c>
      <c r="H1660" s="0" t="str">
        <f aca="false">IF($C1660="","",IF(COUNTIF('مواد المخزون'!$A$2:$A$86,$C1660)&gt;0,"نعم","لا (خارج الجرد)"))</f>
        <v/>
      </c>
    </row>
    <row r="1661" customFormat="false" ht="15" hidden="false" customHeight="false" outlineLevel="0" collapsed="false">
      <c r="A1661" s="102"/>
      <c r="B1661" s="104"/>
      <c r="C1661" s="104"/>
      <c r="F1661" s="103" t="str">
        <f aca="false">IF(OR($C1661="",$D1661=0),"",$E1661/$D1661)</f>
        <v/>
      </c>
      <c r="H1661" s="0" t="str">
        <f aca="false">IF($C1661="","",IF(COUNTIF('مواد المخزون'!$A$2:$A$86,$C1661)&gt;0,"نعم","لا (خارج الجرد)"))</f>
        <v/>
      </c>
    </row>
    <row r="1662" customFormat="false" ht="15" hidden="false" customHeight="false" outlineLevel="0" collapsed="false">
      <c r="A1662" s="102"/>
      <c r="B1662" s="104"/>
      <c r="C1662" s="104"/>
      <c r="F1662" s="103" t="str">
        <f aca="false">IF(OR($C1662="",$D1662=0),"",$E1662/$D1662)</f>
        <v/>
      </c>
      <c r="H1662" s="0" t="str">
        <f aca="false">IF($C1662="","",IF(COUNTIF('مواد المخزون'!$A$2:$A$86,$C1662)&gt;0,"نعم","لا (خارج الجرد)"))</f>
        <v/>
      </c>
    </row>
    <row r="1663" customFormat="false" ht="15" hidden="false" customHeight="false" outlineLevel="0" collapsed="false">
      <c r="A1663" s="102"/>
      <c r="B1663" s="104"/>
      <c r="C1663" s="104"/>
      <c r="F1663" s="103" t="str">
        <f aca="false">IF(OR($C1663="",$D1663=0),"",$E1663/$D1663)</f>
        <v/>
      </c>
      <c r="H1663" s="0" t="str">
        <f aca="false">IF($C1663="","",IF(COUNTIF('مواد المخزون'!$A$2:$A$86,$C1663)&gt;0,"نعم","لا (خارج الجرد)"))</f>
        <v/>
      </c>
    </row>
    <row r="1664" customFormat="false" ht="15" hidden="false" customHeight="false" outlineLevel="0" collapsed="false">
      <c r="A1664" s="102"/>
      <c r="B1664" s="104"/>
      <c r="C1664" s="104"/>
      <c r="F1664" s="103" t="str">
        <f aca="false">IF(OR($C1664="",$D1664=0),"",$E1664/$D1664)</f>
        <v/>
      </c>
      <c r="H1664" s="0" t="str">
        <f aca="false">IF($C1664="","",IF(COUNTIF('مواد المخزون'!$A$2:$A$86,$C1664)&gt;0,"نعم","لا (خارج الجرد)"))</f>
        <v/>
      </c>
    </row>
    <row r="1665" customFormat="false" ht="15" hidden="false" customHeight="false" outlineLevel="0" collapsed="false">
      <c r="A1665" s="102"/>
      <c r="B1665" s="104"/>
      <c r="C1665" s="104"/>
      <c r="F1665" s="103" t="str">
        <f aca="false">IF(OR($C1665="",$D1665=0),"",$E1665/$D1665)</f>
        <v/>
      </c>
      <c r="H1665" s="0" t="str">
        <f aca="false">IF($C1665="","",IF(COUNTIF('مواد المخزون'!$A$2:$A$86,$C1665)&gt;0,"نعم","لا (خارج الجرد)"))</f>
        <v/>
      </c>
    </row>
    <row r="1666" customFormat="false" ht="15" hidden="false" customHeight="false" outlineLevel="0" collapsed="false">
      <c r="A1666" s="102"/>
      <c r="B1666" s="104"/>
      <c r="C1666" s="104"/>
      <c r="F1666" s="103" t="str">
        <f aca="false">IF(OR($C1666="",$D1666=0),"",$E1666/$D1666)</f>
        <v/>
      </c>
      <c r="H1666" s="0" t="str">
        <f aca="false">IF($C1666="","",IF(COUNTIF('مواد المخزون'!$A$2:$A$86,$C1666)&gt;0,"نعم","لا (خارج الجرد)"))</f>
        <v/>
      </c>
    </row>
    <row r="1667" customFormat="false" ht="15" hidden="false" customHeight="false" outlineLevel="0" collapsed="false">
      <c r="A1667" s="102"/>
      <c r="B1667" s="104"/>
      <c r="C1667" s="104"/>
      <c r="F1667" s="103" t="str">
        <f aca="false">IF(OR($C1667="",$D1667=0),"",$E1667/$D1667)</f>
        <v/>
      </c>
      <c r="H1667" s="0" t="str">
        <f aca="false">IF($C1667="","",IF(COUNTIF('مواد المخزون'!$A$2:$A$86,$C1667)&gt;0,"نعم","لا (خارج الجرد)"))</f>
        <v/>
      </c>
    </row>
    <row r="1668" customFormat="false" ht="15" hidden="false" customHeight="false" outlineLevel="0" collapsed="false">
      <c r="A1668" s="102"/>
      <c r="B1668" s="104"/>
      <c r="C1668" s="104"/>
      <c r="F1668" s="103" t="str">
        <f aca="false">IF(OR($C1668="",$D1668=0),"",$E1668/$D1668)</f>
        <v/>
      </c>
      <c r="H1668" s="0" t="str">
        <f aca="false">IF($C1668="","",IF(COUNTIF('مواد المخزون'!$A$2:$A$86,$C1668)&gt;0,"نعم","لا (خارج الجرد)"))</f>
        <v/>
      </c>
    </row>
    <row r="1669" customFormat="false" ht="15" hidden="false" customHeight="false" outlineLevel="0" collapsed="false">
      <c r="A1669" s="102"/>
      <c r="B1669" s="104"/>
      <c r="C1669" s="104"/>
      <c r="F1669" s="103" t="str">
        <f aca="false">IF(OR($C1669="",$D1669=0),"",$E1669/$D1669)</f>
        <v/>
      </c>
      <c r="H1669" s="0" t="str">
        <f aca="false">IF($C1669="","",IF(COUNTIF('مواد المخزون'!$A$2:$A$86,$C1669)&gt;0,"نعم","لا (خارج الجرد)"))</f>
        <v/>
      </c>
    </row>
    <row r="1670" customFormat="false" ht="15" hidden="false" customHeight="false" outlineLevel="0" collapsed="false">
      <c r="A1670" s="102"/>
      <c r="B1670" s="104"/>
      <c r="C1670" s="104"/>
      <c r="F1670" s="103" t="str">
        <f aca="false">IF(OR($C1670="",$D1670=0),"",$E1670/$D1670)</f>
        <v/>
      </c>
      <c r="H1670" s="0" t="str">
        <f aca="false">IF($C1670="","",IF(COUNTIF('مواد المخزون'!$A$2:$A$86,$C1670)&gt;0,"نعم","لا (خارج الجرد)"))</f>
        <v/>
      </c>
    </row>
    <row r="1671" customFormat="false" ht="15" hidden="false" customHeight="false" outlineLevel="0" collapsed="false">
      <c r="A1671" s="102"/>
      <c r="B1671" s="104"/>
      <c r="C1671" s="104"/>
      <c r="F1671" s="103" t="str">
        <f aca="false">IF(OR($C1671="",$D1671=0),"",$E1671/$D1671)</f>
        <v/>
      </c>
      <c r="H1671" s="0" t="str">
        <f aca="false">IF($C1671="","",IF(COUNTIF('مواد المخزون'!$A$2:$A$86,$C1671)&gt;0,"نعم","لا (خارج الجرد)"))</f>
        <v/>
      </c>
    </row>
    <row r="1672" customFormat="false" ht="15" hidden="false" customHeight="false" outlineLevel="0" collapsed="false">
      <c r="A1672" s="102"/>
      <c r="B1672" s="104"/>
      <c r="C1672" s="104"/>
      <c r="F1672" s="103" t="str">
        <f aca="false">IF(OR($C1672="",$D1672=0),"",$E1672/$D1672)</f>
        <v/>
      </c>
      <c r="H1672" s="0" t="str">
        <f aca="false">IF($C1672="","",IF(COUNTIF('مواد المخزون'!$A$2:$A$86,$C1672)&gt;0,"نعم","لا (خارج الجرد)"))</f>
        <v/>
      </c>
    </row>
    <row r="1673" customFormat="false" ht="15" hidden="false" customHeight="false" outlineLevel="0" collapsed="false">
      <c r="A1673" s="102"/>
      <c r="B1673" s="104"/>
      <c r="C1673" s="104"/>
      <c r="F1673" s="103" t="str">
        <f aca="false">IF(OR($C1673="",$D1673=0),"",$E1673/$D1673)</f>
        <v/>
      </c>
      <c r="H1673" s="0" t="str">
        <f aca="false">IF($C1673="","",IF(COUNTIF('مواد المخزون'!$A$2:$A$86,$C1673)&gt;0,"نعم","لا (خارج الجرد)"))</f>
        <v/>
      </c>
    </row>
    <row r="1674" customFormat="false" ht="15" hidden="false" customHeight="false" outlineLevel="0" collapsed="false">
      <c r="A1674" s="102"/>
      <c r="B1674" s="104"/>
      <c r="C1674" s="104"/>
      <c r="F1674" s="103" t="str">
        <f aca="false">IF(OR($C1674="",$D1674=0),"",$E1674/$D1674)</f>
        <v/>
      </c>
      <c r="H1674" s="0" t="str">
        <f aca="false">IF($C1674="","",IF(COUNTIF('مواد المخزون'!$A$2:$A$86,$C1674)&gt;0,"نعم","لا (خارج الجرد)"))</f>
        <v/>
      </c>
    </row>
    <row r="1675" customFormat="false" ht="15" hidden="false" customHeight="false" outlineLevel="0" collapsed="false">
      <c r="A1675" s="102"/>
      <c r="B1675" s="104"/>
      <c r="C1675" s="104"/>
      <c r="F1675" s="103" t="str">
        <f aca="false">IF(OR($C1675="",$D1675=0),"",$E1675/$D1675)</f>
        <v/>
      </c>
      <c r="H1675" s="0" t="str">
        <f aca="false">IF($C1675="","",IF(COUNTIF('مواد المخزون'!$A$2:$A$86,$C1675)&gt;0,"نعم","لا (خارج الجرد)"))</f>
        <v/>
      </c>
    </row>
    <row r="1676" customFormat="false" ht="15" hidden="false" customHeight="false" outlineLevel="0" collapsed="false">
      <c r="A1676" s="102"/>
      <c r="B1676" s="104"/>
      <c r="C1676" s="104"/>
      <c r="F1676" s="103" t="str">
        <f aca="false">IF(OR($C1676="",$D1676=0),"",$E1676/$D1676)</f>
        <v/>
      </c>
      <c r="H1676" s="0" t="str">
        <f aca="false">IF($C1676="","",IF(COUNTIF('مواد المخزون'!$A$2:$A$86,$C1676)&gt;0,"نعم","لا (خارج الجرد)"))</f>
        <v/>
      </c>
    </row>
    <row r="1677" customFormat="false" ht="15" hidden="false" customHeight="false" outlineLevel="0" collapsed="false">
      <c r="A1677" s="102"/>
      <c r="B1677" s="104"/>
      <c r="C1677" s="104"/>
      <c r="F1677" s="103" t="str">
        <f aca="false">IF(OR($C1677="",$D1677=0),"",$E1677/$D1677)</f>
        <v/>
      </c>
      <c r="H1677" s="0" t="str">
        <f aca="false">IF($C1677="","",IF(COUNTIF('مواد المخزون'!$A$2:$A$86,$C1677)&gt;0,"نعم","لا (خارج الجرد)"))</f>
        <v/>
      </c>
    </row>
    <row r="1678" customFormat="false" ht="15" hidden="false" customHeight="false" outlineLevel="0" collapsed="false">
      <c r="A1678" s="102"/>
      <c r="B1678" s="104"/>
      <c r="C1678" s="104"/>
      <c r="F1678" s="103" t="str">
        <f aca="false">IF(OR($C1678="",$D1678=0),"",$E1678/$D1678)</f>
        <v/>
      </c>
      <c r="H1678" s="0" t="str">
        <f aca="false">IF($C1678="","",IF(COUNTIF('مواد المخزون'!$A$2:$A$86,$C1678)&gt;0,"نعم","لا (خارج الجرد)"))</f>
        <v/>
      </c>
    </row>
    <row r="1679" customFormat="false" ht="15" hidden="false" customHeight="false" outlineLevel="0" collapsed="false">
      <c r="A1679" s="102"/>
      <c r="B1679" s="104"/>
      <c r="C1679" s="104"/>
      <c r="F1679" s="103" t="str">
        <f aca="false">IF(OR($C1679="",$D1679=0),"",$E1679/$D1679)</f>
        <v/>
      </c>
      <c r="H1679" s="0" t="str">
        <f aca="false">IF($C1679="","",IF(COUNTIF('مواد المخزون'!$A$2:$A$86,$C1679)&gt;0,"نعم","لا (خارج الجرد)"))</f>
        <v/>
      </c>
    </row>
    <row r="1680" customFormat="false" ht="15" hidden="false" customHeight="false" outlineLevel="0" collapsed="false">
      <c r="A1680" s="102"/>
      <c r="B1680" s="104"/>
      <c r="C1680" s="104"/>
      <c r="F1680" s="103" t="str">
        <f aca="false">IF(OR($C1680="",$D1680=0),"",$E1680/$D1680)</f>
        <v/>
      </c>
      <c r="H1680" s="0" t="str">
        <f aca="false">IF($C1680="","",IF(COUNTIF('مواد المخزون'!$A$2:$A$86,$C1680)&gt;0,"نعم","لا (خارج الجرد)"))</f>
        <v/>
      </c>
    </row>
    <row r="1681" customFormat="false" ht="15" hidden="false" customHeight="false" outlineLevel="0" collapsed="false">
      <c r="A1681" s="102"/>
      <c r="B1681" s="104"/>
      <c r="C1681" s="104"/>
      <c r="F1681" s="103" t="str">
        <f aca="false">IF(OR($C1681="",$D1681=0),"",$E1681/$D1681)</f>
        <v/>
      </c>
      <c r="H1681" s="0" t="str">
        <f aca="false">IF($C1681="","",IF(COUNTIF('مواد المخزون'!$A$2:$A$86,$C1681)&gt;0,"نعم","لا (خارج الجرد)"))</f>
        <v/>
      </c>
    </row>
    <row r="1682" customFormat="false" ht="15" hidden="false" customHeight="false" outlineLevel="0" collapsed="false">
      <c r="A1682" s="102"/>
      <c r="B1682" s="104"/>
      <c r="C1682" s="104"/>
      <c r="F1682" s="103" t="str">
        <f aca="false">IF(OR($C1682="",$D1682=0),"",$E1682/$D1682)</f>
        <v/>
      </c>
      <c r="H1682" s="0" t="str">
        <f aca="false">IF($C1682="","",IF(COUNTIF('مواد المخزون'!$A$2:$A$86,$C1682)&gt;0,"نعم","لا (خارج الجرد)"))</f>
        <v/>
      </c>
    </row>
    <row r="1683" customFormat="false" ht="15" hidden="false" customHeight="false" outlineLevel="0" collapsed="false">
      <c r="A1683" s="102"/>
      <c r="B1683" s="104"/>
      <c r="C1683" s="104"/>
      <c r="F1683" s="103" t="str">
        <f aca="false">IF(OR($C1683="",$D1683=0),"",$E1683/$D1683)</f>
        <v/>
      </c>
      <c r="H1683" s="0" t="str">
        <f aca="false">IF($C1683="","",IF(COUNTIF('مواد المخزون'!$A$2:$A$86,$C1683)&gt;0,"نعم","لا (خارج الجرد)"))</f>
        <v/>
      </c>
    </row>
    <row r="1684" customFormat="false" ht="15" hidden="false" customHeight="false" outlineLevel="0" collapsed="false">
      <c r="A1684" s="102"/>
      <c r="B1684" s="104"/>
      <c r="C1684" s="104"/>
      <c r="F1684" s="103" t="str">
        <f aca="false">IF(OR($C1684="",$D1684=0),"",$E1684/$D1684)</f>
        <v/>
      </c>
      <c r="H1684" s="0" t="str">
        <f aca="false">IF($C1684="","",IF(COUNTIF('مواد المخزون'!$A$2:$A$86,$C1684)&gt;0,"نعم","لا (خارج الجرد)"))</f>
        <v/>
      </c>
    </row>
    <row r="1685" customFormat="false" ht="15" hidden="false" customHeight="false" outlineLevel="0" collapsed="false">
      <c r="A1685" s="102"/>
      <c r="B1685" s="104"/>
      <c r="C1685" s="104"/>
      <c r="F1685" s="103" t="str">
        <f aca="false">IF(OR($C1685="",$D1685=0),"",$E1685/$D1685)</f>
        <v/>
      </c>
      <c r="H1685" s="0" t="str">
        <f aca="false">IF($C1685="","",IF(COUNTIF('مواد المخزون'!$A$2:$A$86,$C1685)&gt;0,"نعم","لا (خارج الجرد)"))</f>
        <v/>
      </c>
    </row>
    <row r="1686" customFormat="false" ht="15" hidden="false" customHeight="false" outlineLevel="0" collapsed="false">
      <c r="A1686" s="102"/>
      <c r="B1686" s="104"/>
      <c r="C1686" s="104"/>
      <c r="F1686" s="103" t="str">
        <f aca="false">IF(OR($C1686="",$D1686=0),"",$E1686/$D1686)</f>
        <v/>
      </c>
      <c r="H1686" s="0" t="str">
        <f aca="false">IF($C1686="","",IF(COUNTIF('مواد المخزون'!$A$2:$A$86,$C1686)&gt;0,"نعم","لا (خارج الجرد)"))</f>
        <v/>
      </c>
    </row>
    <row r="1687" customFormat="false" ht="15" hidden="false" customHeight="false" outlineLevel="0" collapsed="false">
      <c r="A1687" s="102"/>
      <c r="B1687" s="104"/>
      <c r="C1687" s="104"/>
      <c r="F1687" s="103" t="str">
        <f aca="false">IF(OR($C1687="",$D1687=0),"",$E1687/$D1687)</f>
        <v/>
      </c>
      <c r="H1687" s="0" t="str">
        <f aca="false">IF($C1687="","",IF(COUNTIF('مواد المخزون'!$A$2:$A$86,$C1687)&gt;0,"نعم","لا (خارج الجرد)"))</f>
        <v/>
      </c>
    </row>
    <row r="1688" customFormat="false" ht="15" hidden="false" customHeight="false" outlineLevel="0" collapsed="false">
      <c r="A1688" s="102"/>
      <c r="B1688" s="104"/>
      <c r="C1688" s="104"/>
      <c r="F1688" s="103" t="str">
        <f aca="false">IF(OR($C1688="",$D1688=0),"",$E1688/$D1688)</f>
        <v/>
      </c>
      <c r="H1688" s="0" t="str">
        <f aca="false">IF($C1688="","",IF(COUNTIF('مواد المخزون'!$A$2:$A$86,$C1688)&gt;0,"نعم","لا (خارج الجرد)"))</f>
        <v/>
      </c>
    </row>
    <row r="1689" customFormat="false" ht="15" hidden="false" customHeight="false" outlineLevel="0" collapsed="false">
      <c r="A1689" s="102"/>
      <c r="B1689" s="104"/>
      <c r="C1689" s="104"/>
      <c r="F1689" s="103" t="str">
        <f aca="false">IF(OR($C1689="",$D1689=0),"",$E1689/$D1689)</f>
        <v/>
      </c>
      <c r="H1689" s="0" t="str">
        <f aca="false">IF($C1689="","",IF(COUNTIF('مواد المخزون'!$A$2:$A$86,$C1689)&gt;0,"نعم","لا (خارج الجرد)"))</f>
        <v/>
      </c>
    </row>
    <row r="1690" customFormat="false" ht="15" hidden="false" customHeight="false" outlineLevel="0" collapsed="false">
      <c r="A1690" s="102"/>
      <c r="B1690" s="104"/>
      <c r="C1690" s="104"/>
      <c r="F1690" s="103" t="str">
        <f aca="false">IF(OR($C1690="",$D1690=0),"",$E1690/$D1690)</f>
        <v/>
      </c>
      <c r="H1690" s="0" t="str">
        <f aca="false">IF($C1690="","",IF(COUNTIF('مواد المخزون'!$A$2:$A$86,$C1690)&gt;0,"نعم","لا (خارج الجرد)"))</f>
        <v/>
      </c>
    </row>
    <row r="1691" customFormat="false" ht="15" hidden="false" customHeight="false" outlineLevel="0" collapsed="false">
      <c r="A1691" s="102"/>
      <c r="B1691" s="104"/>
      <c r="C1691" s="104"/>
      <c r="F1691" s="103" t="str">
        <f aca="false">IF(OR($C1691="",$D1691=0),"",$E1691/$D1691)</f>
        <v/>
      </c>
      <c r="H1691" s="0" t="str">
        <f aca="false">IF($C1691="","",IF(COUNTIF('مواد المخزون'!$A$2:$A$86,$C1691)&gt;0,"نعم","لا (خارج الجرد)"))</f>
        <v/>
      </c>
    </row>
    <row r="1692" customFormat="false" ht="15" hidden="false" customHeight="false" outlineLevel="0" collapsed="false">
      <c r="A1692" s="102"/>
      <c r="B1692" s="104"/>
      <c r="C1692" s="104"/>
      <c r="F1692" s="103" t="str">
        <f aca="false">IF(OR($C1692="",$D1692=0),"",$E1692/$D1692)</f>
        <v/>
      </c>
      <c r="H1692" s="0" t="str">
        <f aca="false">IF($C1692="","",IF(COUNTIF('مواد المخزون'!$A$2:$A$86,$C1692)&gt;0,"نعم","لا (خارج الجرد)"))</f>
        <v/>
      </c>
    </row>
    <row r="1693" customFormat="false" ht="15" hidden="false" customHeight="false" outlineLevel="0" collapsed="false">
      <c r="A1693" s="102"/>
      <c r="B1693" s="104"/>
      <c r="C1693" s="104"/>
      <c r="F1693" s="103" t="str">
        <f aca="false">IF(OR($C1693="",$D1693=0),"",$E1693/$D1693)</f>
        <v/>
      </c>
      <c r="H1693" s="0" t="str">
        <f aca="false">IF($C1693="","",IF(COUNTIF('مواد المخزون'!$A$2:$A$86,$C1693)&gt;0,"نعم","لا (خارج الجرد)"))</f>
        <v/>
      </c>
    </row>
    <row r="1694" customFormat="false" ht="15" hidden="false" customHeight="false" outlineLevel="0" collapsed="false">
      <c r="A1694" s="102"/>
      <c r="B1694" s="104"/>
      <c r="C1694" s="104"/>
      <c r="F1694" s="103" t="str">
        <f aca="false">IF(OR($C1694="",$D1694=0),"",$E1694/$D1694)</f>
        <v/>
      </c>
      <c r="H1694" s="0" t="str">
        <f aca="false">IF($C1694="","",IF(COUNTIF('مواد المخزون'!$A$2:$A$86,$C1694)&gt;0,"نعم","لا (خارج الجرد)"))</f>
        <v/>
      </c>
    </row>
    <row r="1695" customFormat="false" ht="15" hidden="false" customHeight="false" outlineLevel="0" collapsed="false">
      <c r="A1695" s="102"/>
      <c r="B1695" s="104"/>
      <c r="C1695" s="104"/>
      <c r="F1695" s="103" t="str">
        <f aca="false">IF(OR($C1695="",$D1695=0),"",$E1695/$D1695)</f>
        <v/>
      </c>
      <c r="H1695" s="0" t="str">
        <f aca="false">IF($C1695="","",IF(COUNTIF('مواد المخزون'!$A$2:$A$86,$C1695)&gt;0,"نعم","لا (خارج الجرد)"))</f>
        <v/>
      </c>
    </row>
    <row r="1696" customFormat="false" ht="15" hidden="false" customHeight="false" outlineLevel="0" collapsed="false">
      <c r="A1696" s="102"/>
      <c r="B1696" s="104"/>
      <c r="C1696" s="104"/>
      <c r="F1696" s="103" t="str">
        <f aca="false">IF(OR($C1696="",$D1696=0),"",$E1696/$D1696)</f>
        <v/>
      </c>
      <c r="H1696" s="0" t="str">
        <f aca="false">IF($C1696="","",IF(COUNTIF('مواد المخزون'!$A$2:$A$86,$C1696)&gt;0,"نعم","لا (خارج الجرد)"))</f>
        <v/>
      </c>
    </row>
    <row r="1697" customFormat="false" ht="15" hidden="false" customHeight="false" outlineLevel="0" collapsed="false">
      <c r="A1697" s="102"/>
      <c r="B1697" s="104"/>
      <c r="C1697" s="104"/>
      <c r="F1697" s="103" t="str">
        <f aca="false">IF(OR($C1697="",$D1697=0),"",$E1697/$D1697)</f>
        <v/>
      </c>
      <c r="H1697" s="0" t="str">
        <f aca="false">IF($C1697="","",IF(COUNTIF('مواد المخزون'!$A$2:$A$86,$C1697)&gt;0,"نعم","لا (خارج الجرد)"))</f>
        <v/>
      </c>
    </row>
    <row r="1698" customFormat="false" ht="15" hidden="false" customHeight="false" outlineLevel="0" collapsed="false">
      <c r="A1698" s="102"/>
      <c r="B1698" s="104"/>
      <c r="C1698" s="104"/>
      <c r="F1698" s="103" t="str">
        <f aca="false">IF(OR($C1698="",$D1698=0),"",$E1698/$D1698)</f>
        <v/>
      </c>
      <c r="H1698" s="0" t="str">
        <f aca="false">IF($C1698="","",IF(COUNTIF('مواد المخزون'!$A$2:$A$86,$C1698)&gt;0,"نعم","لا (خارج الجرد)"))</f>
        <v/>
      </c>
    </row>
    <row r="1699" customFormat="false" ht="15" hidden="false" customHeight="false" outlineLevel="0" collapsed="false">
      <c r="A1699" s="102"/>
      <c r="B1699" s="104"/>
      <c r="C1699" s="104"/>
      <c r="F1699" s="103" t="str">
        <f aca="false">IF(OR($C1699="",$D1699=0),"",$E1699/$D1699)</f>
        <v/>
      </c>
      <c r="H1699" s="0" t="str">
        <f aca="false">IF($C1699="","",IF(COUNTIF('مواد المخزون'!$A$2:$A$86,$C1699)&gt;0,"نعم","لا (خارج الجرد)"))</f>
        <v/>
      </c>
    </row>
    <row r="1700" customFormat="false" ht="15" hidden="false" customHeight="false" outlineLevel="0" collapsed="false">
      <c r="A1700" s="102"/>
      <c r="B1700" s="104"/>
      <c r="C1700" s="104"/>
      <c r="F1700" s="103" t="str">
        <f aca="false">IF(OR($C1700="",$D1700=0),"",$E1700/$D1700)</f>
        <v/>
      </c>
      <c r="H1700" s="0" t="str">
        <f aca="false">IF($C1700="","",IF(COUNTIF('مواد المخزون'!$A$2:$A$86,$C1700)&gt;0,"نعم","لا (خارج الجرد)"))</f>
        <v/>
      </c>
    </row>
    <row r="1701" customFormat="false" ht="15" hidden="false" customHeight="false" outlineLevel="0" collapsed="false">
      <c r="A1701" s="102"/>
      <c r="B1701" s="104"/>
      <c r="C1701" s="104"/>
      <c r="F1701" s="103" t="str">
        <f aca="false">IF(OR($C1701="",$D1701=0),"",$E1701/$D1701)</f>
        <v/>
      </c>
      <c r="H1701" s="0" t="str">
        <f aca="false">IF($C1701="","",IF(COUNTIF('مواد المخزون'!$A$2:$A$86,$C1701)&gt;0,"نعم","لا (خارج الجرد)"))</f>
        <v/>
      </c>
    </row>
    <row r="1702" customFormat="false" ht="15" hidden="false" customHeight="false" outlineLevel="0" collapsed="false">
      <c r="A1702" s="102"/>
      <c r="B1702" s="104"/>
      <c r="C1702" s="104"/>
      <c r="F1702" s="103" t="str">
        <f aca="false">IF(OR($C1702="",$D1702=0),"",$E1702/$D1702)</f>
        <v/>
      </c>
      <c r="H1702" s="0" t="str">
        <f aca="false">IF($C1702="","",IF(COUNTIF('مواد المخزون'!$A$2:$A$86,$C1702)&gt;0,"نعم","لا (خارج الجرد)"))</f>
        <v/>
      </c>
    </row>
    <row r="1703" customFormat="false" ht="15" hidden="false" customHeight="false" outlineLevel="0" collapsed="false">
      <c r="A1703" s="102"/>
      <c r="B1703" s="104"/>
      <c r="C1703" s="104"/>
      <c r="F1703" s="103" t="str">
        <f aca="false">IF(OR($C1703="",$D1703=0),"",$E1703/$D1703)</f>
        <v/>
      </c>
      <c r="H1703" s="0" t="str">
        <f aca="false">IF($C1703="","",IF(COUNTIF('مواد المخزون'!$A$2:$A$86,$C1703)&gt;0,"نعم","لا (خارج الجرد)"))</f>
        <v/>
      </c>
    </row>
    <row r="1704" customFormat="false" ht="15" hidden="false" customHeight="false" outlineLevel="0" collapsed="false">
      <c r="A1704" s="102"/>
      <c r="B1704" s="104"/>
      <c r="C1704" s="104"/>
      <c r="F1704" s="103" t="str">
        <f aca="false">IF(OR($C1704="",$D1704=0),"",$E1704/$D1704)</f>
        <v/>
      </c>
      <c r="H1704" s="0" t="str">
        <f aca="false">IF($C1704="","",IF(COUNTIF('مواد المخزون'!$A$2:$A$86,$C1704)&gt;0,"نعم","لا (خارج الجرد)"))</f>
        <v/>
      </c>
    </row>
    <row r="1705" customFormat="false" ht="15" hidden="false" customHeight="false" outlineLevel="0" collapsed="false">
      <c r="A1705" s="102"/>
      <c r="B1705" s="104"/>
      <c r="C1705" s="104"/>
      <c r="F1705" s="103" t="str">
        <f aca="false">IF(OR($C1705="",$D1705=0),"",$E1705/$D1705)</f>
        <v/>
      </c>
      <c r="H1705" s="0" t="str">
        <f aca="false">IF($C1705="","",IF(COUNTIF('مواد المخزون'!$A$2:$A$86,$C1705)&gt;0,"نعم","لا (خارج الجرد)"))</f>
        <v/>
      </c>
    </row>
    <row r="1706" customFormat="false" ht="15" hidden="false" customHeight="false" outlineLevel="0" collapsed="false">
      <c r="A1706" s="102"/>
      <c r="B1706" s="104"/>
      <c r="C1706" s="104"/>
      <c r="F1706" s="103" t="str">
        <f aca="false">IF(OR($C1706="",$D1706=0),"",$E1706/$D1706)</f>
        <v/>
      </c>
      <c r="H1706" s="0" t="str">
        <f aca="false">IF($C1706="","",IF(COUNTIF('مواد المخزون'!$A$2:$A$86,$C1706)&gt;0,"نعم","لا (خارج الجرد)"))</f>
        <v/>
      </c>
    </row>
    <row r="1707" customFormat="false" ht="15" hidden="false" customHeight="false" outlineLevel="0" collapsed="false">
      <c r="A1707" s="102"/>
      <c r="B1707" s="104"/>
      <c r="C1707" s="104"/>
      <c r="F1707" s="103" t="str">
        <f aca="false">IF(OR($C1707="",$D1707=0),"",$E1707/$D1707)</f>
        <v/>
      </c>
      <c r="H1707" s="0" t="str">
        <f aca="false">IF($C1707="","",IF(COUNTIF('مواد المخزون'!$A$2:$A$86,$C1707)&gt;0,"نعم","لا (خارج الجرد)"))</f>
        <v/>
      </c>
    </row>
    <row r="1708" customFormat="false" ht="15" hidden="false" customHeight="false" outlineLevel="0" collapsed="false">
      <c r="A1708" s="102"/>
      <c r="B1708" s="104"/>
      <c r="C1708" s="104"/>
      <c r="F1708" s="103" t="str">
        <f aca="false">IF(OR($C1708="",$D1708=0),"",$E1708/$D1708)</f>
        <v/>
      </c>
      <c r="H1708" s="0" t="str">
        <f aca="false">IF($C1708="","",IF(COUNTIF('مواد المخزون'!$A$2:$A$86,$C1708)&gt;0,"نعم","لا (خارج الجرد)"))</f>
        <v/>
      </c>
    </row>
    <row r="1709" customFormat="false" ht="15" hidden="false" customHeight="false" outlineLevel="0" collapsed="false">
      <c r="A1709" s="102"/>
      <c r="B1709" s="104"/>
      <c r="C1709" s="104"/>
      <c r="F1709" s="103" t="str">
        <f aca="false">IF(OR($C1709="",$D1709=0),"",$E1709/$D1709)</f>
        <v/>
      </c>
      <c r="H1709" s="0" t="str">
        <f aca="false">IF($C1709="","",IF(COUNTIF('مواد المخزون'!$A$2:$A$86,$C1709)&gt;0,"نعم","لا (خارج الجرد)"))</f>
        <v/>
      </c>
    </row>
    <row r="1710" customFormat="false" ht="15" hidden="false" customHeight="false" outlineLevel="0" collapsed="false">
      <c r="A1710" s="102"/>
      <c r="B1710" s="104"/>
      <c r="C1710" s="104"/>
      <c r="F1710" s="103" t="str">
        <f aca="false">IF(OR($C1710="",$D1710=0),"",$E1710/$D1710)</f>
        <v/>
      </c>
      <c r="H1710" s="0" t="str">
        <f aca="false">IF($C1710="","",IF(COUNTIF('مواد المخزون'!$A$2:$A$86,$C1710)&gt;0,"نعم","لا (خارج الجرد)"))</f>
        <v/>
      </c>
    </row>
    <row r="1711" customFormat="false" ht="15" hidden="false" customHeight="false" outlineLevel="0" collapsed="false">
      <c r="A1711" s="102"/>
      <c r="B1711" s="104"/>
      <c r="C1711" s="104"/>
      <c r="F1711" s="103" t="str">
        <f aca="false">IF(OR($C1711="",$D1711=0),"",$E1711/$D1711)</f>
        <v/>
      </c>
      <c r="H1711" s="0" t="str">
        <f aca="false">IF($C1711="","",IF(COUNTIF('مواد المخزون'!$A$2:$A$86,$C1711)&gt;0,"نعم","لا (خارج الجرد)"))</f>
        <v/>
      </c>
    </row>
    <row r="1712" customFormat="false" ht="15" hidden="false" customHeight="false" outlineLevel="0" collapsed="false">
      <c r="A1712" s="102"/>
      <c r="B1712" s="104"/>
      <c r="C1712" s="104"/>
      <c r="F1712" s="103" t="str">
        <f aca="false">IF(OR($C1712="",$D1712=0),"",$E1712/$D1712)</f>
        <v/>
      </c>
      <c r="H1712" s="0" t="str">
        <f aca="false">IF($C1712="","",IF(COUNTIF('مواد المخزون'!$A$2:$A$86,$C1712)&gt;0,"نعم","لا (خارج الجرد)"))</f>
        <v/>
      </c>
    </row>
    <row r="1713" customFormat="false" ht="15" hidden="false" customHeight="false" outlineLevel="0" collapsed="false">
      <c r="A1713" s="102"/>
      <c r="B1713" s="104"/>
      <c r="C1713" s="104"/>
      <c r="F1713" s="103" t="str">
        <f aca="false">IF(OR($C1713="",$D1713=0),"",$E1713/$D1713)</f>
        <v/>
      </c>
      <c r="H1713" s="0" t="str">
        <f aca="false">IF($C1713="","",IF(COUNTIF('مواد المخزون'!$A$2:$A$86,$C1713)&gt;0,"نعم","لا (خارج الجرد)"))</f>
        <v/>
      </c>
    </row>
    <row r="1714" customFormat="false" ht="15" hidden="false" customHeight="false" outlineLevel="0" collapsed="false">
      <c r="A1714" s="102"/>
      <c r="B1714" s="104"/>
      <c r="C1714" s="104"/>
      <c r="F1714" s="103" t="str">
        <f aca="false">IF(OR($C1714="",$D1714=0),"",$E1714/$D1714)</f>
        <v/>
      </c>
      <c r="H1714" s="0" t="str">
        <f aca="false">IF($C1714="","",IF(COUNTIF('مواد المخزون'!$A$2:$A$86,$C1714)&gt;0,"نعم","لا (خارج الجرد)"))</f>
        <v/>
      </c>
    </row>
    <row r="1715" customFormat="false" ht="15" hidden="false" customHeight="false" outlineLevel="0" collapsed="false">
      <c r="A1715" s="102"/>
      <c r="B1715" s="104"/>
      <c r="C1715" s="104"/>
      <c r="F1715" s="103" t="str">
        <f aca="false">IF(OR($C1715="",$D1715=0),"",$E1715/$D1715)</f>
        <v/>
      </c>
      <c r="H1715" s="0" t="str">
        <f aca="false">IF($C1715="","",IF(COUNTIF('مواد المخزون'!$A$2:$A$86,$C1715)&gt;0,"نعم","لا (خارج الجرد)"))</f>
        <v/>
      </c>
    </row>
    <row r="1716" customFormat="false" ht="15" hidden="false" customHeight="false" outlineLevel="0" collapsed="false">
      <c r="A1716" s="102"/>
      <c r="B1716" s="104"/>
      <c r="C1716" s="104"/>
      <c r="F1716" s="103" t="str">
        <f aca="false">IF(OR($C1716="",$D1716=0),"",$E1716/$D1716)</f>
        <v/>
      </c>
      <c r="H1716" s="0" t="str">
        <f aca="false">IF($C1716="","",IF(COUNTIF('مواد المخزون'!$A$2:$A$86,$C1716)&gt;0,"نعم","لا (خارج الجرد)"))</f>
        <v/>
      </c>
    </row>
    <row r="1717" customFormat="false" ht="15" hidden="false" customHeight="false" outlineLevel="0" collapsed="false">
      <c r="A1717" s="102"/>
      <c r="B1717" s="104"/>
      <c r="C1717" s="104"/>
      <c r="F1717" s="103" t="str">
        <f aca="false">IF(OR($C1717="",$D1717=0),"",$E1717/$D1717)</f>
        <v/>
      </c>
      <c r="H1717" s="0" t="str">
        <f aca="false">IF($C1717="","",IF(COUNTIF('مواد المخزون'!$A$2:$A$86,$C1717)&gt;0,"نعم","لا (خارج الجرد)"))</f>
        <v/>
      </c>
    </row>
    <row r="1718" customFormat="false" ht="15" hidden="false" customHeight="false" outlineLevel="0" collapsed="false">
      <c r="A1718" s="102"/>
      <c r="B1718" s="104"/>
      <c r="C1718" s="104"/>
      <c r="F1718" s="103" t="str">
        <f aca="false">IF(OR($C1718="",$D1718=0),"",$E1718/$D1718)</f>
        <v/>
      </c>
      <c r="H1718" s="0" t="str">
        <f aca="false">IF($C1718="","",IF(COUNTIF('مواد المخزون'!$A$2:$A$86,$C1718)&gt;0,"نعم","لا (خارج الجرد)"))</f>
        <v/>
      </c>
    </row>
    <row r="1719" customFormat="false" ht="15" hidden="false" customHeight="false" outlineLevel="0" collapsed="false">
      <c r="A1719" s="102"/>
      <c r="B1719" s="104"/>
      <c r="C1719" s="104"/>
      <c r="F1719" s="103" t="str">
        <f aca="false">IF(OR($C1719="",$D1719=0),"",$E1719/$D1719)</f>
        <v/>
      </c>
      <c r="H1719" s="0" t="str">
        <f aca="false">IF($C1719="","",IF(COUNTIF('مواد المخزون'!$A$2:$A$86,$C1719)&gt;0,"نعم","لا (خارج الجرد)"))</f>
        <v/>
      </c>
    </row>
    <row r="1720" customFormat="false" ht="15" hidden="false" customHeight="false" outlineLevel="0" collapsed="false">
      <c r="A1720" s="102"/>
      <c r="B1720" s="104"/>
      <c r="C1720" s="104"/>
      <c r="F1720" s="103" t="str">
        <f aca="false">IF(OR($C1720="",$D1720=0),"",$E1720/$D1720)</f>
        <v/>
      </c>
      <c r="H1720" s="0" t="str">
        <f aca="false">IF($C1720="","",IF(COUNTIF('مواد المخزون'!$A$2:$A$86,$C1720)&gt;0,"نعم","لا (خارج الجرد)"))</f>
        <v/>
      </c>
    </row>
    <row r="1721" customFormat="false" ht="15" hidden="false" customHeight="false" outlineLevel="0" collapsed="false">
      <c r="A1721" s="102"/>
      <c r="B1721" s="104"/>
      <c r="C1721" s="104"/>
      <c r="F1721" s="103" t="str">
        <f aca="false">IF(OR($C1721="",$D1721=0),"",$E1721/$D1721)</f>
        <v/>
      </c>
      <c r="H1721" s="0" t="str">
        <f aca="false">IF($C1721="","",IF(COUNTIF('مواد المخزون'!$A$2:$A$86,$C1721)&gt;0,"نعم","لا (خارج الجرد)"))</f>
        <v/>
      </c>
    </row>
    <row r="1722" customFormat="false" ht="15" hidden="false" customHeight="false" outlineLevel="0" collapsed="false">
      <c r="A1722" s="102"/>
      <c r="B1722" s="104"/>
      <c r="C1722" s="104"/>
      <c r="F1722" s="103" t="str">
        <f aca="false">IF(OR($C1722="",$D1722=0),"",$E1722/$D1722)</f>
        <v/>
      </c>
      <c r="H1722" s="0" t="str">
        <f aca="false">IF($C1722="","",IF(COUNTIF('مواد المخزون'!$A$2:$A$86,$C1722)&gt;0,"نعم","لا (خارج الجرد)"))</f>
        <v/>
      </c>
    </row>
    <row r="1723" customFormat="false" ht="15" hidden="false" customHeight="false" outlineLevel="0" collapsed="false">
      <c r="A1723" s="102"/>
      <c r="B1723" s="104"/>
      <c r="C1723" s="104"/>
      <c r="F1723" s="103" t="str">
        <f aca="false">IF(OR($C1723="",$D1723=0),"",$E1723/$D1723)</f>
        <v/>
      </c>
      <c r="H1723" s="0" t="str">
        <f aca="false">IF($C1723="","",IF(COUNTIF('مواد المخزون'!$A$2:$A$86,$C1723)&gt;0,"نعم","لا (خارج الجرد)"))</f>
        <v/>
      </c>
    </row>
    <row r="1724" customFormat="false" ht="15" hidden="false" customHeight="false" outlineLevel="0" collapsed="false">
      <c r="A1724" s="102"/>
      <c r="B1724" s="104"/>
      <c r="C1724" s="104"/>
      <c r="F1724" s="103" t="str">
        <f aca="false">IF(OR($C1724="",$D1724=0),"",$E1724/$D1724)</f>
        <v/>
      </c>
      <c r="H1724" s="0" t="str">
        <f aca="false">IF($C1724="","",IF(COUNTIF('مواد المخزون'!$A$2:$A$86,$C1724)&gt;0,"نعم","لا (خارج الجرد)"))</f>
        <v/>
      </c>
    </row>
    <row r="1725" customFormat="false" ht="15" hidden="false" customHeight="false" outlineLevel="0" collapsed="false">
      <c r="A1725" s="102"/>
      <c r="B1725" s="104"/>
      <c r="C1725" s="104"/>
      <c r="F1725" s="103" t="str">
        <f aca="false">IF(OR($C1725="",$D1725=0),"",$E1725/$D1725)</f>
        <v/>
      </c>
      <c r="H1725" s="0" t="str">
        <f aca="false">IF($C1725="","",IF(COUNTIF('مواد المخزون'!$A$2:$A$86,$C1725)&gt;0,"نعم","لا (خارج الجرد)"))</f>
        <v/>
      </c>
    </row>
    <row r="1726" customFormat="false" ht="15" hidden="false" customHeight="false" outlineLevel="0" collapsed="false">
      <c r="A1726" s="102"/>
      <c r="B1726" s="104"/>
      <c r="C1726" s="104"/>
      <c r="F1726" s="103" t="str">
        <f aca="false">IF(OR($C1726="",$D1726=0),"",$E1726/$D1726)</f>
        <v/>
      </c>
      <c r="H1726" s="0" t="str">
        <f aca="false">IF($C1726="","",IF(COUNTIF('مواد المخزون'!$A$2:$A$86,$C1726)&gt;0,"نعم","لا (خارج الجرد)"))</f>
        <v/>
      </c>
    </row>
    <row r="1727" customFormat="false" ht="15" hidden="false" customHeight="false" outlineLevel="0" collapsed="false">
      <c r="A1727" s="102"/>
      <c r="B1727" s="104"/>
      <c r="C1727" s="104"/>
      <c r="F1727" s="103" t="str">
        <f aca="false">IF(OR($C1727="",$D1727=0),"",$E1727/$D1727)</f>
        <v/>
      </c>
      <c r="H1727" s="0" t="str">
        <f aca="false">IF($C1727="","",IF(COUNTIF('مواد المخزون'!$A$2:$A$86,$C1727)&gt;0,"نعم","لا (خارج الجرد)"))</f>
        <v/>
      </c>
    </row>
    <row r="1728" customFormat="false" ht="15" hidden="false" customHeight="false" outlineLevel="0" collapsed="false">
      <c r="A1728" s="102"/>
      <c r="B1728" s="104"/>
      <c r="C1728" s="104"/>
      <c r="F1728" s="103" t="str">
        <f aca="false">IF(OR($C1728="",$D1728=0),"",$E1728/$D1728)</f>
        <v/>
      </c>
      <c r="H1728" s="0" t="str">
        <f aca="false">IF($C1728="","",IF(COUNTIF('مواد المخزون'!$A$2:$A$86,$C1728)&gt;0,"نعم","لا (خارج الجرد)"))</f>
        <v/>
      </c>
    </row>
    <row r="1729" customFormat="false" ht="15" hidden="false" customHeight="false" outlineLevel="0" collapsed="false">
      <c r="A1729" s="102"/>
      <c r="B1729" s="104"/>
      <c r="C1729" s="104"/>
      <c r="F1729" s="103" t="str">
        <f aca="false">IF(OR($C1729="",$D1729=0),"",$E1729/$D1729)</f>
        <v/>
      </c>
      <c r="H1729" s="0" t="str">
        <f aca="false">IF($C1729="","",IF(COUNTIF('مواد المخزون'!$A$2:$A$86,$C1729)&gt;0,"نعم","لا (خارج الجرد)"))</f>
        <v/>
      </c>
    </row>
    <row r="1730" customFormat="false" ht="15" hidden="false" customHeight="false" outlineLevel="0" collapsed="false">
      <c r="A1730" s="102"/>
      <c r="B1730" s="104"/>
      <c r="C1730" s="104"/>
      <c r="F1730" s="103" t="str">
        <f aca="false">IF(OR($C1730="",$D1730=0),"",$E1730/$D1730)</f>
        <v/>
      </c>
      <c r="H1730" s="0" t="str">
        <f aca="false">IF($C1730="","",IF(COUNTIF('مواد المخزون'!$A$2:$A$86,$C1730)&gt;0,"نعم","لا (خارج الجرد)"))</f>
        <v/>
      </c>
    </row>
    <row r="1731" customFormat="false" ht="15" hidden="false" customHeight="false" outlineLevel="0" collapsed="false">
      <c r="A1731" s="102"/>
      <c r="B1731" s="104"/>
      <c r="C1731" s="104"/>
      <c r="F1731" s="103" t="str">
        <f aca="false">IF(OR($C1731="",$D1731=0),"",$E1731/$D1731)</f>
        <v/>
      </c>
      <c r="H1731" s="0" t="str">
        <f aca="false">IF($C1731="","",IF(COUNTIF('مواد المخزون'!$A$2:$A$86,$C1731)&gt;0,"نعم","لا (خارج الجرد)"))</f>
        <v/>
      </c>
    </row>
    <row r="1732" customFormat="false" ht="15" hidden="false" customHeight="false" outlineLevel="0" collapsed="false">
      <c r="A1732" s="102"/>
      <c r="B1732" s="104"/>
      <c r="C1732" s="104"/>
      <c r="F1732" s="103" t="str">
        <f aca="false">IF(OR($C1732="",$D1732=0),"",$E1732/$D1732)</f>
        <v/>
      </c>
      <c r="H1732" s="0" t="str">
        <f aca="false">IF($C1732="","",IF(COUNTIF('مواد المخزون'!$A$2:$A$86,$C1732)&gt;0,"نعم","لا (خارج الجرد)"))</f>
        <v/>
      </c>
    </row>
    <row r="1733" customFormat="false" ht="15" hidden="false" customHeight="false" outlineLevel="0" collapsed="false">
      <c r="A1733" s="102"/>
      <c r="B1733" s="104"/>
      <c r="C1733" s="104"/>
      <c r="F1733" s="103" t="str">
        <f aca="false">IF(OR($C1733="",$D1733=0),"",$E1733/$D1733)</f>
        <v/>
      </c>
      <c r="H1733" s="0" t="str">
        <f aca="false">IF($C1733="","",IF(COUNTIF('مواد المخزون'!$A$2:$A$86,$C1733)&gt;0,"نعم","لا (خارج الجرد)"))</f>
        <v/>
      </c>
    </row>
    <row r="1734" customFormat="false" ht="15" hidden="false" customHeight="false" outlineLevel="0" collapsed="false">
      <c r="A1734" s="102"/>
      <c r="B1734" s="104"/>
      <c r="C1734" s="104"/>
      <c r="F1734" s="103" t="str">
        <f aca="false">IF(OR($C1734="",$D1734=0),"",$E1734/$D1734)</f>
        <v/>
      </c>
      <c r="H1734" s="0" t="str">
        <f aca="false">IF($C1734="","",IF(COUNTIF('مواد المخزون'!$A$2:$A$86,$C1734)&gt;0,"نعم","لا (خارج الجرد)"))</f>
        <v/>
      </c>
    </row>
    <row r="1735" customFormat="false" ht="15" hidden="false" customHeight="false" outlineLevel="0" collapsed="false">
      <c r="A1735" s="102"/>
      <c r="B1735" s="104"/>
      <c r="C1735" s="104"/>
      <c r="F1735" s="103" t="str">
        <f aca="false">IF(OR($C1735="",$D1735=0),"",$E1735/$D1735)</f>
        <v/>
      </c>
      <c r="H1735" s="0" t="str">
        <f aca="false">IF($C1735="","",IF(COUNTIF('مواد المخزون'!$A$2:$A$86,$C1735)&gt;0,"نعم","لا (خارج الجرد)"))</f>
        <v/>
      </c>
    </row>
    <row r="1736" customFormat="false" ht="15" hidden="false" customHeight="false" outlineLevel="0" collapsed="false">
      <c r="A1736" s="102"/>
      <c r="B1736" s="104"/>
      <c r="C1736" s="104"/>
      <c r="F1736" s="103" t="str">
        <f aca="false">IF(OR($C1736="",$D1736=0),"",$E1736/$D1736)</f>
        <v/>
      </c>
      <c r="H1736" s="0" t="str">
        <f aca="false">IF($C1736="","",IF(COUNTIF('مواد المخزون'!$A$2:$A$86,$C1736)&gt;0,"نعم","لا (خارج الجرد)"))</f>
        <v/>
      </c>
    </row>
    <row r="1737" customFormat="false" ht="15" hidden="false" customHeight="false" outlineLevel="0" collapsed="false">
      <c r="A1737" s="102"/>
      <c r="B1737" s="104"/>
      <c r="C1737" s="104"/>
      <c r="F1737" s="103" t="str">
        <f aca="false">IF(OR($C1737="",$D1737=0),"",$E1737/$D1737)</f>
        <v/>
      </c>
      <c r="H1737" s="0" t="str">
        <f aca="false">IF($C1737="","",IF(COUNTIF('مواد المخزون'!$A$2:$A$86,$C1737)&gt;0,"نعم","لا (خارج الجرد)"))</f>
        <v/>
      </c>
    </row>
    <row r="1738" customFormat="false" ht="15" hidden="false" customHeight="false" outlineLevel="0" collapsed="false">
      <c r="A1738" s="102"/>
      <c r="B1738" s="104"/>
      <c r="C1738" s="104"/>
      <c r="F1738" s="103" t="str">
        <f aca="false">IF(OR($C1738="",$D1738=0),"",$E1738/$D1738)</f>
        <v/>
      </c>
      <c r="H1738" s="0" t="str">
        <f aca="false">IF($C1738="","",IF(COUNTIF('مواد المخزون'!$A$2:$A$86,$C1738)&gt;0,"نعم","لا (خارج الجرد)"))</f>
        <v/>
      </c>
    </row>
    <row r="1739" customFormat="false" ht="15" hidden="false" customHeight="false" outlineLevel="0" collapsed="false">
      <c r="A1739" s="102"/>
      <c r="B1739" s="104"/>
      <c r="C1739" s="104"/>
      <c r="F1739" s="103" t="str">
        <f aca="false">IF(OR($C1739="",$D1739=0),"",$E1739/$D1739)</f>
        <v/>
      </c>
      <c r="H1739" s="0" t="str">
        <f aca="false">IF($C1739="","",IF(COUNTIF('مواد المخزون'!$A$2:$A$86,$C1739)&gt;0,"نعم","لا (خارج الجرد)"))</f>
        <v/>
      </c>
    </row>
    <row r="1740" customFormat="false" ht="15" hidden="false" customHeight="false" outlineLevel="0" collapsed="false">
      <c r="A1740" s="102"/>
      <c r="B1740" s="104"/>
      <c r="C1740" s="104"/>
      <c r="F1740" s="103" t="str">
        <f aca="false">IF(OR($C1740="",$D1740=0),"",$E1740/$D1740)</f>
        <v/>
      </c>
      <c r="H1740" s="0" t="str">
        <f aca="false">IF($C1740="","",IF(COUNTIF('مواد المخزون'!$A$2:$A$86,$C1740)&gt;0,"نعم","لا (خارج الجرد)"))</f>
        <v/>
      </c>
    </row>
    <row r="1741" customFormat="false" ht="15" hidden="false" customHeight="false" outlineLevel="0" collapsed="false">
      <c r="A1741" s="102"/>
      <c r="B1741" s="104"/>
      <c r="C1741" s="104"/>
      <c r="F1741" s="103" t="str">
        <f aca="false">IF(OR($C1741="",$D1741=0),"",$E1741/$D1741)</f>
        <v/>
      </c>
      <c r="H1741" s="0" t="str">
        <f aca="false">IF($C1741="","",IF(COUNTIF('مواد المخزون'!$A$2:$A$86,$C1741)&gt;0,"نعم","لا (خارج الجرد)"))</f>
        <v/>
      </c>
    </row>
    <row r="1742" customFormat="false" ht="15" hidden="false" customHeight="false" outlineLevel="0" collapsed="false">
      <c r="A1742" s="102"/>
      <c r="B1742" s="104"/>
      <c r="C1742" s="104"/>
      <c r="F1742" s="103" t="str">
        <f aca="false">IF(OR($C1742="",$D1742=0),"",$E1742/$D1742)</f>
        <v/>
      </c>
      <c r="H1742" s="0" t="str">
        <f aca="false">IF($C1742="","",IF(COUNTIF('مواد المخزون'!$A$2:$A$86,$C1742)&gt;0,"نعم","لا (خارج الجرد)"))</f>
        <v/>
      </c>
    </row>
    <row r="1743" customFormat="false" ht="15" hidden="false" customHeight="false" outlineLevel="0" collapsed="false">
      <c r="A1743" s="102"/>
      <c r="B1743" s="104"/>
      <c r="C1743" s="104"/>
      <c r="F1743" s="103" t="str">
        <f aca="false">IF(OR($C1743="",$D1743=0),"",$E1743/$D1743)</f>
        <v/>
      </c>
      <c r="H1743" s="0" t="str">
        <f aca="false">IF($C1743="","",IF(COUNTIF('مواد المخزون'!$A$2:$A$86,$C1743)&gt;0,"نعم","لا (خارج الجرد)"))</f>
        <v/>
      </c>
    </row>
    <row r="1744" customFormat="false" ht="15" hidden="false" customHeight="false" outlineLevel="0" collapsed="false">
      <c r="A1744" s="102"/>
      <c r="B1744" s="104"/>
      <c r="C1744" s="104"/>
      <c r="F1744" s="103" t="str">
        <f aca="false">IF(OR($C1744="",$D1744=0),"",$E1744/$D1744)</f>
        <v/>
      </c>
      <c r="H1744" s="0" t="str">
        <f aca="false">IF($C1744="","",IF(COUNTIF('مواد المخزون'!$A$2:$A$86,$C1744)&gt;0,"نعم","لا (خارج الجرد)"))</f>
        <v/>
      </c>
    </row>
    <row r="1745" customFormat="false" ht="15" hidden="false" customHeight="false" outlineLevel="0" collapsed="false">
      <c r="A1745" s="102"/>
      <c r="B1745" s="104"/>
      <c r="C1745" s="104"/>
      <c r="F1745" s="103" t="str">
        <f aca="false">IF(OR($C1745="",$D1745=0),"",$E1745/$D1745)</f>
        <v/>
      </c>
      <c r="H1745" s="0" t="str">
        <f aca="false">IF($C1745="","",IF(COUNTIF('مواد المخزون'!$A$2:$A$86,$C1745)&gt;0,"نعم","لا (خارج الجرد)"))</f>
        <v/>
      </c>
    </row>
    <row r="1746" customFormat="false" ht="15" hidden="false" customHeight="false" outlineLevel="0" collapsed="false">
      <c r="A1746" s="102"/>
      <c r="B1746" s="104"/>
      <c r="C1746" s="104"/>
      <c r="F1746" s="103" t="str">
        <f aca="false">IF(OR($C1746="",$D1746=0),"",$E1746/$D1746)</f>
        <v/>
      </c>
      <c r="H1746" s="0" t="str">
        <f aca="false">IF($C1746="","",IF(COUNTIF('مواد المخزون'!$A$2:$A$86,$C1746)&gt;0,"نعم","لا (خارج الجرد)"))</f>
        <v/>
      </c>
    </row>
    <row r="1747" customFormat="false" ht="15" hidden="false" customHeight="false" outlineLevel="0" collapsed="false">
      <c r="A1747" s="102"/>
      <c r="B1747" s="104"/>
      <c r="C1747" s="104"/>
      <c r="F1747" s="103" t="str">
        <f aca="false">IF(OR($C1747="",$D1747=0),"",$E1747/$D1747)</f>
        <v/>
      </c>
      <c r="H1747" s="0" t="str">
        <f aca="false">IF($C1747="","",IF(COUNTIF('مواد المخزون'!$A$2:$A$86,$C1747)&gt;0,"نعم","لا (خارج الجرد)"))</f>
        <v/>
      </c>
    </row>
    <row r="1748" customFormat="false" ht="15" hidden="false" customHeight="false" outlineLevel="0" collapsed="false">
      <c r="A1748" s="102"/>
      <c r="B1748" s="104"/>
      <c r="C1748" s="104"/>
      <c r="F1748" s="103" t="str">
        <f aca="false">IF(OR($C1748="",$D1748=0),"",$E1748/$D1748)</f>
        <v/>
      </c>
      <c r="H1748" s="0" t="str">
        <f aca="false">IF($C1748="","",IF(COUNTIF('مواد المخزون'!$A$2:$A$86,$C1748)&gt;0,"نعم","لا (خارج الجرد)"))</f>
        <v/>
      </c>
    </row>
    <row r="1749" customFormat="false" ht="15" hidden="false" customHeight="false" outlineLevel="0" collapsed="false">
      <c r="A1749" s="102"/>
      <c r="B1749" s="104"/>
      <c r="C1749" s="104"/>
      <c r="F1749" s="103" t="str">
        <f aca="false">IF(OR($C1749="",$D1749=0),"",$E1749/$D1749)</f>
        <v/>
      </c>
      <c r="H1749" s="0" t="str">
        <f aca="false">IF($C1749="","",IF(COUNTIF('مواد المخزون'!$A$2:$A$86,$C1749)&gt;0,"نعم","لا (خارج الجرد)"))</f>
        <v/>
      </c>
    </row>
    <row r="1750" customFormat="false" ht="15" hidden="false" customHeight="false" outlineLevel="0" collapsed="false">
      <c r="A1750" s="102"/>
      <c r="B1750" s="104"/>
      <c r="C1750" s="104"/>
      <c r="F1750" s="103" t="str">
        <f aca="false">IF(OR($C1750="",$D1750=0),"",$E1750/$D1750)</f>
        <v/>
      </c>
      <c r="H1750" s="0" t="str">
        <f aca="false">IF($C1750="","",IF(COUNTIF('مواد المخزون'!$A$2:$A$86,$C1750)&gt;0,"نعم","لا (خارج الجرد)"))</f>
        <v/>
      </c>
    </row>
    <row r="1751" customFormat="false" ht="15" hidden="false" customHeight="false" outlineLevel="0" collapsed="false">
      <c r="A1751" s="102"/>
      <c r="B1751" s="104"/>
      <c r="C1751" s="104"/>
      <c r="F1751" s="103" t="str">
        <f aca="false">IF(OR($C1751="",$D1751=0),"",$E1751/$D1751)</f>
        <v/>
      </c>
      <c r="H1751" s="0" t="str">
        <f aca="false">IF($C1751="","",IF(COUNTIF('مواد المخزون'!$A$2:$A$86,$C1751)&gt;0,"نعم","لا (خارج الجرد)"))</f>
        <v/>
      </c>
    </row>
    <row r="1752" customFormat="false" ht="15" hidden="false" customHeight="false" outlineLevel="0" collapsed="false">
      <c r="A1752" s="102"/>
      <c r="B1752" s="104"/>
      <c r="C1752" s="104"/>
      <c r="F1752" s="103" t="str">
        <f aca="false">IF(OR($C1752="",$D1752=0),"",$E1752/$D1752)</f>
        <v/>
      </c>
      <c r="H1752" s="0" t="str">
        <f aca="false">IF($C1752="","",IF(COUNTIF('مواد المخزون'!$A$2:$A$86,$C1752)&gt;0,"نعم","لا (خارج الجرد)"))</f>
        <v/>
      </c>
    </row>
    <row r="1753" customFormat="false" ht="15" hidden="false" customHeight="false" outlineLevel="0" collapsed="false">
      <c r="A1753" s="102"/>
      <c r="B1753" s="104"/>
      <c r="C1753" s="104"/>
      <c r="F1753" s="103" t="str">
        <f aca="false">IF(OR($C1753="",$D1753=0),"",$E1753/$D1753)</f>
        <v/>
      </c>
      <c r="H1753" s="0" t="str">
        <f aca="false">IF($C1753="","",IF(COUNTIF('مواد المخزون'!$A$2:$A$86,$C1753)&gt;0,"نعم","لا (خارج الجرد)"))</f>
        <v/>
      </c>
    </row>
    <row r="1754" customFormat="false" ht="15" hidden="false" customHeight="false" outlineLevel="0" collapsed="false">
      <c r="A1754" s="102"/>
      <c r="B1754" s="104"/>
      <c r="C1754" s="104"/>
      <c r="F1754" s="103" t="str">
        <f aca="false">IF(OR($C1754="",$D1754=0),"",$E1754/$D1754)</f>
        <v/>
      </c>
      <c r="H1754" s="0" t="str">
        <f aca="false">IF($C1754="","",IF(COUNTIF('مواد المخزون'!$A$2:$A$86,$C1754)&gt;0,"نعم","لا (خارج الجرد)"))</f>
        <v/>
      </c>
    </row>
    <row r="1755" customFormat="false" ht="15" hidden="false" customHeight="false" outlineLevel="0" collapsed="false">
      <c r="A1755" s="102"/>
      <c r="B1755" s="104"/>
      <c r="C1755" s="104"/>
      <c r="F1755" s="103" t="str">
        <f aca="false">IF(OR($C1755="",$D1755=0),"",$E1755/$D1755)</f>
        <v/>
      </c>
      <c r="H1755" s="0" t="str">
        <f aca="false">IF($C1755="","",IF(COUNTIF('مواد المخزون'!$A$2:$A$86,$C1755)&gt;0,"نعم","لا (خارج الجرد)"))</f>
        <v/>
      </c>
    </row>
    <row r="1756" customFormat="false" ht="15" hidden="false" customHeight="false" outlineLevel="0" collapsed="false">
      <c r="A1756" s="102"/>
      <c r="B1756" s="104"/>
      <c r="C1756" s="104"/>
      <c r="F1756" s="103" t="str">
        <f aca="false">IF(OR($C1756="",$D1756=0),"",$E1756/$D1756)</f>
        <v/>
      </c>
      <c r="H1756" s="0" t="str">
        <f aca="false">IF($C1756="","",IF(COUNTIF('مواد المخزون'!$A$2:$A$86,$C1756)&gt;0,"نعم","لا (خارج الجرد)"))</f>
        <v/>
      </c>
    </row>
    <row r="1757" customFormat="false" ht="15" hidden="false" customHeight="false" outlineLevel="0" collapsed="false">
      <c r="A1757" s="102"/>
      <c r="B1757" s="104"/>
      <c r="C1757" s="104"/>
      <c r="F1757" s="103" t="str">
        <f aca="false">IF(OR($C1757="",$D1757=0),"",$E1757/$D1757)</f>
        <v/>
      </c>
      <c r="H1757" s="0" t="str">
        <f aca="false">IF($C1757="","",IF(COUNTIF('مواد المخزون'!$A$2:$A$86,$C1757)&gt;0,"نعم","لا (خارج الجرد)"))</f>
        <v/>
      </c>
    </row>
    <row r="1758" customFormat="false" ht="15" hidden="false" customHeight="false" outlineLevel="0" collapsed="false">
      <c r="A1758" s="102"/>
      <c r="B1758" s="104"/>
      <c r="C1758" s="104"/>
      <c r="F1758" s="103" t="str">
        <f aca="false">IF(OR($C1758="",$D1758=0),"",$E1758/$D1758)</f>
        <v/>
      </c>
      <c r="H1758" s="0" t="str">
        <f aca="false">IF($C1758="","",IF(COUNTIF('مواد المخزون'!$A$2:$A$86,$C1758)&gt;0,"نعم","لا (خارج الجرد)"))</f>
        <v/>
      </c>
    </row>
    <row r="1759" customFormat="false" ht="15" hidden="false" customHeight="false" outlineLevel="0" collapsed="false">
      <c r="A1759" s="102"/>
      <c r="B1759" s="104"/>
      <c r="C1759" s="104"/>
      <c r="F1759" s="103" t="str">
        <f aca="false">IF(OR($C1759="",$D1759=0),"",$E1759/$D1759)</f>
        <v/>
      </c>
      <c r="H1759" s="0" t="str">
        <f aca="false">IF($C1759="","",IF(COUNTIF('مواد المخزون'!$A$2:$A$86,$C1759)&gt;0,"نعم","لا (خارج الجرد)"))</f>
        <v/>
      </c>
    </row>
    <row r="1760" customFormat="false" ht="15" hidden="false" customHeight="false" outlineLevel="0" collapsed="false">
      <c r="A1760" s="102"/>
      <c r="B1760" s="104"/>
      <c r="C1760" s="104"/>
      <c r="F1760" s="103" t="str">
        <f aca="false">IF(OR($C1760="",$D1760=0),"",$E1760/$D1760)</f>
        <v/>
      </c>
      <c r="H1760" s="0" t="str">
        <f aca="false">IF($C1760="","",IF(COUNTIF('مواد المخزون'!$A$2:$A$86,$C1760)&gt;0,"نعم","لا (خارج الجرد)"))</f>
        <v/>
      </c>
    </row>
    <row r="1761" customFormat="false" ht="15" hidden="false" customHeight="false" outlineLevel="0" collapsed="false">
      <c r="A1761" s="102"/>
      <c r="B1761" s="104"/>
      <c r="C1761" s="104"/>
      <c r="F1761" s="103" t="str">
        <f aca="false">IF(OR($C1761="",$D1761=0),"",$E1761/$D1761)</f>
        <v/>
      </c>
      <c r="H1761" s="0" t="str">
        <f aca="false">IF($C1761="","",IF(COUNTIF('مواد المخزون'!$A$2:$A$86,$C1761)&gt;0,"نعم","لا (خارج الجرد)"))</f>
        <v/>
      </c>
    </row>
    <row r="1762" customFormat="false" ht="15" hidden="false" customHeight="false" outlineLevel="0" collapsed="false">
      <c r="A1762" s="102"/>
      <c r="B1762" s="104"/>
      <c r="C1762" s="104"/>
      <c r="F1762" s="103" t="str">
        <f aca="false">IF(OR($C1762="",$D1762=0),"",$E1762/$D1762)</f>
        <v/>
      </c>
      <c r="H1762" s="0" t="str">
        <f aca="false">IF($C1762="","",IF(COUNTIF('مواد المخزون'!$A$2:$A$86,$C1762)&gt;0,"نعم","لا (خارج الجرد)"))</f>
        <v/>
      </c>
    </row>
    <row r="1763" customFormat="false" ht="15" hidden="false" customHeight="false" outlineLevel="0" collapsed="false">
      <c r="A1763" s="102"/>
      <c r="B1763" s="104"/>
      <c r="C1763" s="104"/>
      <c r="F1763" s="103" t="str">
        <f aca="false">IF(OR($C1763="",$D1763=0),"",$E1763/$D1763)</f>
        <v/>
      </c>
      <c r="H1763" s="0" t="str">
        <f aca="false">IF($C1763="","",IF(COUNTIF('مواد المخزون'!$A$2:$A$86,$C1763)&gt;0,"نعم","لا (خارج الجرد)"))</f>
        <v/>
      </c>
    </row>
    <row r="1764" customFormat="false" ht="15" hidden="false" customHeight="false" outlineLevel="0" collapsed="false">
      <c r="A1764" s="102"/>
      <c r="B1764" s="104"/>
      <c r="C1764" s="104"/>
      <c r="F1764" s="103" t="str">
        <f aca="false">IF(OR($C1764="",$D1764=0),"",$E1764/$D1764)</f>
        <v/>
      </c>
      <c r="H1764" s="0" t="str">
        <f aca="false">IF($C1764="","",IF(COUNTIF('مواد المخزون'!$A$2:$A$86,$C1764)&gt;0,"نعم","لا (خارج الجرد)"))</f>
        <v/>
      </c>
    </row>
    <row r="1765" customFormat="false" ht="15" hidden="false" customHeight="false" outlineLevel="0" collapsed="false">
      <c r="A1765" s="102"/>
      <c r="B1765" s="104"/>
      <c r="C1765" s="104"/>
      <c r="F1765" s="103" t="str">
        <f aca="false">IF(OR($C1765="",$D1765=0),"",$E1765/$D1765)</f>
        <v/>
      </c>
      <c r="H1765" s="0" t="str">
        <f aca="false">IF($C1765="","",IF(COUNTIF('مواد المخزون'!$A$2:$A$86,$C1765)&gt;0,"نعم","لا (خارج الجرد)"))</f>
        <v/>
      </c>
    </row>
    <row r="1766" customFormat="false" ht="15" hidden="false" customHeight="false" outlineLevel="0" collapsed="false">
      <c r="A1766" s="102"/>
      <c r="B1766" s="104"/>
      <c r="C1766" s="104"/>
      <c r="F1766" s="103" t="str">
        <f aca="false">IF(OR($C1766="",$D1766=0),"",$E1766/$D1766)</f>
        <v/>
      </c>
      <c r="H1766" s="0" t="str">
        <f aca="false">IF($C1766="","",IF(COUNTIF('مواد المخزون'!$A$2:$A$86,$C1766)&gt;0,"نعم","لا (خارج الجرد)"))</f>
        <v/>
      </c>
    </row>
    <row r="1767" customFormat="false" ht="15" hidden="false" customHeight="false" outlineLevel="0" collapsed="false">
      <c r="A1767" s="102"/>
      <c r="B1767" s="104"/>
      <c r="C1767" s="104"/>
      <c r="F1767" s="103" t="str">
        <f aca="false">IF(OR($C1767="",$D1767=0),"",$E1767/$D1767)</f>
        <v/>
      </c>
      <c r="H1767" s="0" t="str">
        <f aca="false">IF($C1767="","",IF(COUNTIF('مواد المخزون'!$A$2:$A$86,$C1767)&gt;0,"نعم","لا (خارج الجرد)"))</f>
        <v/>
      </c>
    </row>
    <row r="1768" customFormat="false" ht="15" hidden="false" customHeight="false" outlineLevel="0" collapsed="false">
      <c r="A1768" s="102"/>
      <c r="B1768" s="104"/>
      <c r="C1768" s="104"/>
      <c r="F1768" s="103" t="str">
        <f aca="false">IF(OR($C1768="",$D1768=0),"",$E1768/$D1768)</f>
        <v/>
      </c>
      <c r="H1768" s="0" t="str">
        <f aca="false">IF($C1768="","",IF(COUNTIF('مواد المخزون'!$A$2:$A$86,$C1768)&gt;0,"نعم","لا (خارج الجرد)"))</f>
        <v/>
      </c>
    </row>
    <row r="1769" customFormat="false" ht="15" hidden="false" customHeight="false" outlineLevel="0" collapsed="false">
      <c r="A1769" s="102"/>
      <c r="B1769" s="104"/>
      <c r="C1769" s="104"/>
      <c r="F1769" s="103" t="str">
        <f aca="false">IF(OR($C1769="",$D1769=0),"",$E1769/$D1769)</f>
        <v/>
      </c>
      <c r="H1769" s="0" t="str">
        <f aca="false">IF($C1769="","",IF(COUNTIF('مواد المخزون'!$A$2:$A$86,$C1769)&gt;0,"نعم","لا (خارج الجرد)"))</f>
        <v/>
      </c>
    </row>
    <row r="1770" customFormat="false" ht="15" hidden="false" customHeight="false" outlineLevel="0" collapsed="false">
      <c r="A1770" s="102"/>
      <c r="B1770" s="104"/>
      <c r="C1770" s="104"/>
      <c r="F1770" s="103" t="str">
        <f aca="false">IF(OR($C1770="",$D1770=0),"",$E1770/$D1770)</f>
        <v/>
      </c>
      <c r="H1770" s="0" t="str">
        <f aca="false">IF($C1770="","",IF(COUNTIF('مواد المخزون'!$A$2:$A$86,$C1770)&gt;0,"نعم","لا (خارج الجرد)"))</f>
        <v/>
      </c>
    </row>
    <row r="1771" customFormat="false" ht="15" hidden="false" customHeight="false" outlineLevel="0" collapsed="false">
      <c r="A1771" s="102"/>
      <c r="B1771" s="104"/>
      <c r="C1771" s="104"/>
      <c r="F1771" s="103" t="str">
        <f aca="false">IF(OR($C1771="",$D1771=0),"",$E1771/$D1771)</f>
        <v/>
      </c>
      <c r="H1771" s="0" t="str">
        <f aca="false">IF($C1771="","",IF(COUNTIF('مواد المخزون'!$A$2:$A$86,$C1771)&gt;0,"نعم","لا (خارج الجرد)"))</f>
        <v/>
      </c>
    </row>
    <row r="1772" customFormat="false" ht="15" hidden="false" customHeight="false" outlineLevel="0" collapsed="false">
      <c r="A1772" s="102"/>
      <c r="B1772" s="104"/>
      <c r="C1772" s="104"/>
      <c r="F1772" s="103" t="str">
        <f aca="false">IF(OR($C1772="",$D1772=0),"",$E1772/$D1772)</f>
        <v/>
      </c>
      <c r="H1772" s="0" t="str">
        <f aca="false">IF($C1772="","",IF(COUNTIF('مواد المخزون'!$A$2:$A$86,$C1772)&gt;0,"نعم","لا (خارج الجرد)"))</f>
        <v/>
      </c>
    </row>
    <row r="1773" customFormat="false" ht="15" hidden="false" customHeight="false" outlineLevel="0" collapsed="false">
      <c r="A1773" s="102"/>
      <c r="B1773" s="104"/>
      <c r="C1773" s="104"/>
      <c r="F1773" s="103" t="str">
        <f aca="false">IF(OR($C1773="",$D1773=0),"",$E1773/$D1773)</f>
        <v/>
      </c>
      <c r="H1773" s="0" t="str">
        <f aca="false">IF($C1773="","",IF(COUNTIF('مواد المخزون'!$A$2:$A$86,$C1773)&gt;0,"نعم","لا (خارج الجرد)"))</f>
        <v/>
      </c>
    </row>
    <row r="1774" customFormat="false" ht="15" hidden="false" customHeight="false" outlineLevel="0" collapsed="false">
      <c r="A1774" s="102"/>
      <c r="B1774" s="104"/>
      <c r="C1774" s="104"/>
      <c r="F1774" s="103" t="str">
        <f aca="false">IF(OR($C1774="",$D1774=0),"",$E1774/$D1774)</f>
        <v/>
      </c>
      <c r="H1774" s="0" t="str">
        <f aca="false">IF($C1774="","",IF(COUNTIF('مواد المخزون'!$A$2:$A$86,$C1774)&gt;0,"نعم","لا (خارج الجرد)"))</f>
        <v/>
      </c>
    </row>
    <row r="1775" customFormat="false" ht="15" hidden="false" customHeight="false" outlineLevel="0" collapsed="false">
      <c r="A1775" s="102"/>
      <c r="B1775" s="104"/>
      <c r="C1775" s="104"/>
      <c r="F1775" s="103" t="str">
        <f aca="false">IF(OR($C1775="",$D1775=0),"",$E1775/$D1775)</f>
        <v/>
      </c>
      <c r="H1775" s="0" t="str">
        <f aca="false">IF($C1775="","",IF(COUNTIF('مواد المخزون'!$A$2:$A$86,$C1775)&gt;0,"نعم","لا (خارج الجرد)"))</f>
        <v/>
      </c>
    </row>
    <row r="1776" customFormat="false" ht="15" hidden="false" customHeight="false" outlineLevel="0" collapsed="false">
      <c r="A1776" s="102"/>
      <c r="B1776" s="104"/>
      <c r="C1776" s="104"/>
      <c r="F1776" s="103" t="str">
        <f aca="false">IF(OR($C1776="",$D1776=0),"",$E1776/$D1776)</f>
        <v/>
      </c>
      <c r="H1776" s="0" t="str">
        <f aca="false">IF($C1776="","",IF(COUNTIF('مواد المخزون'!$A$2:$A$86,$C1776)&gt;0,"نعم","لا (خارج الجرد)"))</f>
        <v/>
      </c>
    </row>
    <row r="1777" customFormat="false" ht="15" hidden="false" customHeight="false" outlineLevel="0" collapsed="false">
      <c r="A1777" s="102"/>
      <c r="B1777" s="104"/>
      <c r="C1777" s="104"/>
      <c r="F1777" s="103" t="str">
        <f aca="false">IF(OR($C1777="",$D1777=0),"",$E1777/$D1777)</f>
        <v/>
      </c>
      <c r="H1777" s="0" t="str">
        <f aca="false">IF($C1777="","",IF(COUNTIF('مواد المخزون'!$A$2:$A$86,$C1777)&gt;0,"نعم","لا (خارج الجرد)"))</f>
        <v/>
      </c>
    </row>
    <row r="1778" customFormat="false" ht="15" hidden="false" customHeight="false" outlineLevel="0" collapsed="false">
      <c r="A1778" s="102"/>
      <c r="B1778" s="104"/>
      <c r="C1778" s="104"/>
      <c r="F1778" s="103" t="str">
        <f aca="false">IF(OR($C1778="",$D1778=0),"",$E1778/$D1778)</f>
        <v/>
      </c>
      <c r="H1778" s="0" t="str">
        <f aca="false">IF($C1778="","",IF(COUNTIF('مواد المخزون'!$A$2:$A$86,$C1778)&gt;0,"نعم","لا (خارج الجرد)"))</f>
        <v/>
      </c>
    </row>
    <row r="1779" customFormat="false" ht="15" hidden="false" customHeight="false" outlineLevel="0" collapsed="false">
      <c r="A1779" s="102"/>
      <c r="B1779" s="104"/>
      <c r="C1779" s="104"/>
      <c r="F1779" s="103" t="str">
        <f aca="false">IF(OR($C1779="",$D1779=0),"",$E1779/$D1779)</f>
        <v/>
      </c>
      <c r="H1779" s="0" t="str">
        <f aca="false">IF($C1779="","",IF(COUNTIF('مواد المخزون'!$A$2:$A$86,$C1779)&gt;0,"نعم","لا (خارج الجرد)"))</f>
        <v/>
      </c>
    </row>
    <row r="1780" customFormat="false" ht="15" hidden="false" customHeight="false" outlineLevel="0" collapsed="false">
      <c r="A1780" s="102"/>
      <c r="B1780" s="104"/>
      <c r="C1780" s="104"/>
      <c r="F1780" s="103" t="str">
        <f aca="false">IF(OR($C1780="",$D1780=0),"",$E1780/$D1780)</f>
        <v/>
      </c>
      <c r="H1780" s="0" t="str">
        <f aca="false">IF($C1780="","",IF(COUNTIF('مواد المخزون'!$A$2:$A$86,$C1780)&gt;0,"نعم","لا (خارج الجرد)"))</f>
        <v/>
      </c>
    </row>
    <row r="1781" customFormat="false" ht="15" hidden="false" customHeight="false" outlineLevel="0" collapsed="false">
      <c r="A1781" s="102"/>
      <c r="B1781" s="104"/>
      <c r="C1781" s="104"/>
      <c r="F1781" s="103" t="str">
        <f aca="false">IF(OR($C1781="",$D1781=0),"",$E1781/$D1781)</f>
        <v/>
      </c>
      <c r="H1781" s="0" t="str">
        <f aca="false">IF($C1781="","",IF(COUNTIF('مواد المخزون'!$A$2:$A$86,$C1781)&gt;0,"نعم","لا (خارج الجرد)"))</f>
        <v/>
      </c>
    </row>
    <row r="1782" customFormat="false" ht="15" hidden="false" customHeight="false" outlineLevel="0" collapsed="false">
      <c r="A1782" s="102"/>
      <c r="B1782" s="104"/>
      <c r="C1782" s="104"/>
      <c r="F1782" s="103" t="str">
        <f aca="false">IF(OR($C1782="",$D1782=0),"",$E1782/$D1782)</f>
        <v/>
      </c>
      <c r="H1782" s="0" t="str">
        <f aca="false">IF($C1782="","",IF(COUNTIF('مواد المخزون'!$A$2:$A$86,$C1782)&gt;0,"نعم","لا (خارج الجرد)"))</f>
        <v/>
      </c>
    </row>
    <row r="1783" customFormat="false" ht="15" hidden="false" customHeight="false" outlineLevel="0" collapsed="false">
      <c r="A1783" s="102"/>
      <c r="B1783" s="104"/>
      <c r="C1783" s="104"/>
      <c r="F1783" s="103" t="str">
        <f aca="false">IF(OR($C1783="",$D1783=0),"",$E1783/$D1783)</f>
        <v/>
      </c>
      <c r="H1783" s="0" t="str">
        <f aca="false">IF($C1783="","",IF(COUNTIF('مواد المخزون'!$A$2:$A$86,$C1783)&gt;0,"نعم","لا (خارج الجرد)"))</f>
        <v/>
      </c>
    </row>
    <row r="1784" customFormat="false" ht="15" hidden="false" customHeight="false" outlineLevel="0" collapsed="false">
      <c r="A1784" s="102"/>
      <c r="B1784" s="104"/>
      <c r="C1784" s="104"/>
      <c r="F1784" s="103" t="str">
        <f aca="false">IF(OR($C1784="",$D1784=0),"",$E1784/$D1784)</f>
        <v/>
      </c>
      <c r="H1784" s="0" t="str">
        <f aca="false">IF($C1784="","",IF(COUNTIF('مواد المخزون'!$A$2:$A$86,$C1784)&gt;0,"نعم","لا (خارج الجرد)"))</f>
        <v/>
      </c>
    </row>
    <row r="1785" customFormat="false" ht="15" hidden="false" customHeight="false" outlineLevel="0" collapsed="false">
      <c r="A1785" s="102"/>
      <c r="B1785" s="104"/>
      <c r="C1785" s="104"/>
      <c r="F1785" s="103" t="str">
        <f aca="false">IF(OR($C1785="",$D1785=0),"",$E1785/$D1785)</f>
        <v/>
      </c>
      <c r="H1785" s="0" t="str">
        <f aca="false">IF($C1785="","",IF(COUNTIF('مواد المخزون'!$A$2:$A$86,$C1785)&gt;0,"نعم","لا (خارج الجرد)"))</f>
        <v/>
      </c>
    </row>
    <row r="1786" customFormat="false" ht="15" hidden="false" customHeight="false" outlineLevel="0" collapsed="false">
      <c r="A1786" s="102"/>
      <c r="B1786" s="104"/>
      <c r="C1786" s="104"/>
      <c r="F1786" s="103" t="str">
        <f aca="false">IF(OR($C1786="",$D1786=0),"",$E1786/$D1786)</f>
        <v/>
      </c>
      <c r="H1786" s="0" t="str">
        <f aca="false">IF($C1786="","",IF(COUNTIF('مواد المخزون'!$A$2:$A$86,$C1786)&gt;0,"نعم","لا (خارج الجرد)"))</f>
        <v/>
      </c>
    </row>
    <row r="1787" customFormat="false" ht="15" hidden="false" customHeight="false" outlineLevel="0" collapsed="false">
      <c r="A1787" s="102"/>
      <c r="B1787" s="104"/>
      <c r="C1787" s="104"/>
      <c r="F1787" s="103" t="str">
        <f aca="false">IF(OR($C1787="",$D1787=0),"",$E1787/$D1787)</f>
        <v/>
      </c>
      <c r="H1787" s="0" t="str">
        <f aca="false">IF($C1787="","",IF(COUNTIF('مواد المخزون'!$A$2:$A$86,$C1787)&gt;0,"نعم","لا (خارج الجرد)"))</f>
        <v/>
      </c>
    </row>
    <row r="1788" customFormat="false" ht="15" hidden="false" customHeight="false" outlineLevel="0" collapsed="false">
      <c r="A1788" s="102"/>
      <c r="B1788" s="104"/>
      <c r="C1788" s="104"/>
      <c r="F1788" s="103" t="str">
        <f aca="false">IF(OR($C1788="",$D1788=0),"",$E1788/$D1788)</f>
        <v/>
      </c>
      <c r="H1788" s="0" t="str">
        <f aca="false">IF($C1788="","",IF(COUNTIF('مواد المخزون'!$A$2:$A$86,$C1788)&gt;0,"نعم","لا (خارج الجرد)"))</f>
        <v/>
      </c>
    </row>
    <row r="1789" customFormat="false" ht="15" hidden="false" customHeight="false" outlineLevel="0" collapsed="false">
      <c r="A1789" s="102"/>
      <c r="B1789" s="104"/>
      <c r="C1789" s="104"/>
      <c r="F1789" s="103" t="str">
        <f aca="false">IF(OR($C1789="",$D1789=0),"",$E1789/$D1789)</f>
        <v/>
      </c>
      <c r="H1789" s="0" t="str">
        <f aca="false">IF($C1789="","",IF(COUNTIF('مواد المخزون'!$A$2:$A$86,$C1789)&gt;0,"نعم","لا (خارج الجرد)"))</f>
        <v/>
      </c>
    </row>
    <row r="1790" customFormat="false" ht="15" hidden="false" customHeight="false" outlineLevel="0" collapsed="false">
      <c r="A1790" s="102"/>
      <c r="B1790" s="104"/>
      <c r="C1790" s="104"/>
      <c r="F1790" s="103" t="str">
        <f aca="false">IF(OR($C1790="",$D1790=0),"",$E1790/$D1790)</f>
        <v/>
      </c>
      <c r="H1790" s="0" t="str">
        <f aca="false">IF($C1790="","",IF(COUNTIF('مواد المخزون'!$A$2:$A$86,$C1790)&gt;0,"نعم","لا (خارج الجرد)"))</f>
        <v/>
      </c>
    </row>
    <row r="1791" customFormat="false" ht="15" hidden="false" customHeight="false" outlineLevel="0" collapsed="false">
      <c r="A1791" s="102"/>
      <c r="B1791" s="104"/>
      <c r="C1791" s="104"/>
      <c r="F1791" s="103" t="str">
        <f aca="false">IF(OR($C1791="",$D1791=0),"",$E1791/$D1791)</f>
        <v/>
      </c>
      <c r="H1791" s="0" t="str">
        <f aca="false">IF($C1791="","",IF(COUNTIF('مواد المخزون'!$A$2:$A$86,$C1791)&gt;0,"نعم","لا (خارج الجرد)"))</f>
        <v/>
      </c>
    </row>
    <row r="1792" customFormat="false" ht="15" hidden="false" customHeight="false" outlineLevel="0" collapsed="false">
      <c r="A1792" s="102"/>
      <c r="B1792" s="104"/>
      <c r="C1792" s="104"/>
      <c r="F1792" s="103" t="str">
        <f aca="false">IF(OR($C1792="",$D1792=0),"",$E1792/$D1792)</f>
        <v/>
      </c>
      <c r="H1792" s="0" t="str">
        <f aca="false">IF($C1792="","",IF(COUNTIF('مواد المخزون'!$A$2:$A$86,$C1792)&gt;0,"نعم","لا (خارج الجرد)"))</f>
        <v/>
      </c>
    </row>
    <row r="1793" customFormat="false" ht="15" hidden="false" customHeight="false" outlineLevel="0" collapsed="false">
      <c r="A1793" s="102"/>
      <c r="B1793" s="104"/>
      <c r="C1793" s="104"/>
      <c r="F1793" s="103" t="str">
        <f aca="false">IF(OR($C1793="",$D1793=0),"",$E1793/$D1793)</f>
        <v/>
      </c>
      <c r="H1793" s="0" t="str">
        <f aca="false">IF($C1793="","",IF(COUNTIF('مواد المخزون'!$A$2:$A$86,$C1793)&gt;0,"نعم","لا (خارج الجرد)"))</f>
        <v/>
      </c>
    </row>
    <row r="1794" customFormat="false" ht="15" hidden="false" customHeight="false" outlineLevel="0" collapsed="false">
      <c r="A1794" s="102"/>
      <c r="B1794" s="104"/>
      <c r="C1794" s="104"/>
      <c r="F1794" s="103" t="str">
        <f aca="false">IF(OR($C1794="",$D1794=0),"",$E1794/$D1794)</f>
        <v/>
      </c>
      <c r="H1794" s="0" t="str">
        <f aca="false">IF($C1794="","",IF(COUNTIF('مواد المخزون'!$A$2:$A$86,$C1794)&gt;0,"نعم","لا (خارج الجرد)"))</f>
        <v/>
      </c>
    </row>
    <row r="1795" customFormat="false" ht="15" hidden="false" customHeight="false" outlineLevel="0" collapsed="false">
      <c r="A1795" s="102"/>
      <c r="B1795" s="104"/>
      <c r="C1795" s="104"/>
      <c r="F1795" s="103" t="str">
        <f aca="false">IF(OR($C1795="",$D1795=0),"",$E1795/$D1795)</f>
        <v/>
      </c>
      <c r="H1795" s="0" t="str">
        <f aca="false">IF($C1795="","",IF(COUNTIF('مواد المخزون'!$A$2:$A$86,$C1795)&gt;0,"نعم","لا (خارج الجرد)"))</f>
        <v/>
      </c>
    </row>
    <row r="1796" customFormat="false" ht="15" hidden="false" customHeight="false" outlineLevel="0" collapsed="false">
      <c r="A1796" s="102"/>
      <c r="B1796" s="104"/>
      <c r="C1796" s="104"/>
      <c r="F1796" s="103" t="str">
        <f aca="false">IF(OR($C1796="",$D1796=0),"",$E1796/$D1796)</f>
        <v/>
      </c>
      <c r="H1796" s="0" t="str">
        <f aca="false">IF($C1796="","",IF(COUNTIF('مواد المخزون'!$A$2:$A$86,$C1796)&gt;0,"نعم","لا (خارج الجرد)"))</f>
        <v/>
      </c>
    </row>
    <row r="1797" customFormat="false" ht="15" hidden="false" customHeight="false" outlineLevel="0" collapsed="false">
      <c r="A1797" s="102"/>
      <c r="B1797" s="104"/>
      <c r="C1797" s="104"/>
      <c r="F1797" s="103" t="str">
        <f aca="false">IF(OR($C1797="",$D1797=0),"",$E1797/$D1797)</f>
        <v/>
      </c>
      <c r="H1797" s="0" t="str">
        <f aca="false">IF($C1797="","",IF(COUNTIF('مواد المخزون'!$A$2:$A$86,$C1797)&gt;0,"نعم","لا (خارج الجرد)"))</f>
        <v/>
      </c>
    </row>
    <row r="1798" customFormat="false" ht="15" hidden="false" customHeight="false" outlineLevel="0" collapsed="false">
      <c r="A1798" s="102"/>
      <c r="B1798" s="104"/>
      <c r="C1798" s="104"/>
      <c r="F1798" s="103" t="str">
        <f aca="false">IF(OR($C1798="",$D1798=0),"",$E1798/$D1798)</f>
        <v/>
      </c>
      <c r="H1798" s="0" t="str">
        <f aca="false">IF($C1798="","",IF(COUNTIF('مواد المخزون'!$A$2:$A$86,$C1798)&gt;0,"نعم","لا (خارج الجرد)"))</f>
        <v/>
      </c>
    </row>
    <row r="1799" customFormat="false" ht="15" hidden="false" customHeight="false" outlineLevel="0" collapsed="false">
      <c r="A1799" s="102"/>
      <c r="B1799" s="104"/>
      <c r="C1799" s="104"/>
      <c r="F1799" s="103" t="str">
        <f aca="false">IF(OR($C1799="",$D1799=0),"",$E1799/$D1799)</f>
        <v/>
      </c>
      <c r="H1799" s="0" t="str">
        <f aca="false">IF($C1799="","",IF(COUNTIF('مواد المخزون'!$A$2:$A$86,$C1799)&gt;0,"نعم","لا (خارج الجرد)"))</f>
        <v/>
      </c>
    </row>
    <row r="1800" customFormat="false" ht="15" hidden="false" customHeight="false" outlineLevel="0" collapsed="false">
      <c r="A1800" s="102"/>
      <c r="B1800" s="104"/>
      <c r="C1800" s="104"/>
      <c r="F1800" s="103" t="str">
        <f aca="false">IF(OR($C1800="",$D1800=0),"",$E1800/$D1800)</f>
        <v/>
      </c>
      <c r="H1800" s="0" t="str">
        <f aca="false">IF($C1800="","",IF(COUNTIF('مواد المخزون'!$A$2:$A$86,$C1800)&gt;0,"نعم","لا (خارج الجرد)"))</f>
        <v/>
      </c>
    </row>
    <row r="1801" customFormat="false" ht="15" hidden="false" customHeight="false" outlineLevel="0" collapsed="false">
      <c r="A1801" s="102"/>
      <c r="B1801" s="104"/>
      <c r="C1801" s="104"/>
      <c r="F1801" s="103" t="str">
        <f aca="false">IF(OR($C1801="",$D1801=0),"",$E1801/$D1801)</f>
        <v/>
      </c>
      <c r="H1801" s="0" t="str">
        <f aca="false">IF($C1801="","",IF(COUNTIF('مواد المخزون'!$A$2:$A$86,$C1801)&gt;0,"نعم","لا (خارج الجرد)"))</f>
        <v/>
      </c>
    </row>
    <row r="1802" customFormat="false" ht="15" hidden="false" customHeight="false" outlineLevel="0" collapsed="false">
      <c r="A1802" s="102"/>
      <c r="B1802" s="104"/>
      <c r="C1802" s="104"/>
      <c r="F1802" s="103" t="str">
        <f aca="false">IF(OR($C1802="",$D1802=0),"",$E1802/$D1802)</f>
        <v/>
      </c>
      <c r="H1802" s="0" t="str">
        <f aca="false">IF($C1802="","",IF(COUNTIF('مواد المخزون'!$A$2:$A$86,$C1802)&gt;0,"نعم","لا (خارج الجرد)"))</f>
        <v/>
      </c>
    </row>
    <row r="1803" customFormat="false" ht="15" hidden="false" customHeight="false" outlineLevel="0" collapsed="false">
      <c r="A1803" s="102"/>
      <c r="B1803" s="104"/>
      <c r="C1803" s="104"/>
      <c r="F1803" s="103" t="str">
        <f aca="false">IF(OR($C1803="",$D1803=0),"",$E1803/$D1803)</f>
        <v/>
      </c>
      <c r="H1803" s="0" t="str">
        <f aca="false">IF($C1803="","",IF(COUNTIF('مواد المخزون'!$A$2:$A$86,$C1803)&gt;0,"نعم","لا (خارج الجرد)"))</f>
        <v/>
      </c>
    </row>
    <row r="1804" customFormat="false" ht="15" hidden="false" customHeight="false" outlineLevel="0" collapsed="false">
      <c r="A1804" s="102"/>
      <c r="B1804" s="104"/>
      <c r="C1804" s="104"/>
      <c r="F1804" s="103" t="str">
        <f aca="false">IF(OR($C1804="",$D1804=0),"",$E1804/$D1804)</f>
        <v/>
      </c>
      <c r="H1804" s="0" t="str">
        <f aca="false">IF($C1804="","",IF(COUNTIF('مواد المخزون'!$A$2:$A$86,$C1804)&gt;0,"نعم","لا (خارج الجرد)"))</f>
        <v/>
      </c>
    </row>
    <row r="1805" customFormat="false" ht="15" hidden="false" customHeight="false" outlineLevel="0" collapsed="false">
      <c r="A1805" s="102"/>
      <c r="B1805" s="104"/>
      <c r="C1805" s="104"/>
      <c r="F1805" s="103" t="str">
        <f aca="false">IF(OR($C1805="",$D1805=0),"",$E1805/$D1805)</f>
        <v/>
      </c>
      <c r="H1805" s="0" t="str">
        <f aca="false">IF($C1805="","",IF(COUNTIF('مواد المخزون'!$A$2:$A$86,$C1805)&gt;0,"نعم","لا (خارج الجرد)"))</f>
        <v/>
      </c>
    </row>
    <row r="1806" customFormat="false" ht="15" hidden="false" customHeight="false" outlineLevel="0" collapsed="false">
      <c r="A1806" s="102"/>
      <c r="B1806" s="104"/>
      <c r="C1806" s="104"/>
      <c r="F1806" s="103" t="str">
        <f aca="false">IF(OR($C1806="",$D1806=0),"",$E1806/$D1806)</f>
        <v/>
      </c>
      <c r="H1806" s="0" t="str">
        <f aca="false">IF($C1806="","",IF(COUNTIF('مواد المخزون'!$A$2:$A$86,$C1806)&gt;0,"نعم","لا (خارج الجرد)"))</f>
        <v/>
      </c>
    </row>
    <row r="1807" customFormat="false" ht="15" hidden="false" customHeight="false" outlineLevel="0" collapsed="false">
      <c r="A1807" s="102"/>
      <c r="B1807" s="104"/>
      <c r="C1807" s="104"/>
      <c r="F1807" s="103" t="str">
        <f aca="false">IF(OR($C1807="",$D1807=0),"",$E1807/$D1807)</f>
        <v/>
      </c>
      <c r="H1807" s="0" t="str">
        <f aca="false">IF($C1807="","",IF(COUNTIF('مواد المخزون'!$A$2:$A$86,$C1807)&gt;0,"نعم","لا (خارج الجرد)"))</f>
        <v/>
      </c>
    </row>
    <row r="1808" customFormat="false" ht="15" hidden="false" customHeight="false" outlineLevel="0" collapsed="false">
      <c r="A1808" s="102"/>
      <c r="B1808" s="104"/>
      <c r="C1808" s="104"/>
      <c r="F1808" s="103" t="str">
        <f aca="false">IF(OR($C1808="",$D1808=0),"",$E1808/$D1808)</f>
        <v/>
      </c>
      <c r="H1808" s="0" t="str">
        <f aca="false">IF($C1808="","",IF(COUNTIF('مواد المخزون'!$A$2:$A$86,$C1808)&gt;0,"نعم","لا (خارج الجرد)"))</f>
        <v/>
      </c>
    </row>
    <row r="1809" customFormat="false" ht="15" hidden="false" customHeight="false" outlineLevel="0" collapsed="false">
      <c r="A1809" s="102"/>
      <c r="B1809" s="104"/>
      <c r="C1809" s="104"/>
      <c r="F1809" s="103" t="str">
        <f aca="false">IF(OR($C1809="",$D1809=0),"",$E1809/$D1809)</f>
        <v/>
      </c>
      <c r="H1809" s="0" t="str">
        <f aca="false">IF($C1809="","",IF(COUNTIF('مواد المخزون'!$A$2:$A$86,$C1809)&gt;0,"نعم","لا (خارج الجرد)"))</f>
        <v/>
      </c>
    </row>
    <row r="1810" customFormat="false" ht="15" hidden="false" customHeight="false" outlineLevel="0" collapsed="false">
      <c r="A1810" s="102"/>
      <c r="B1810" s="104"/>
      <c r="C1810" s="104"/>
      <c r="F1810" s="103" t="str">
        <f aca="false">IF(OR($C1810="",$D1810=0),"",$E1810/$D1810)</f>
        <v/>
      </c>
      <c r="H1810" s="0" t="str">
        <f aca="false">IF($C1810="","",IF(COUNTIF('مواد المخزون'!$A$2:$A$86,$C1810)&gt;0,"نعم","لا (خارج الجرد)"))</f>
        <v/>
      </c>
    </row>
    <row r="1811" customFormat="false" ht="15" hidden="false" customHeight="false" outlineLevel="0" collapsed="false">
      <c r="A1811" s="102"/>
      <c r="B1811" s="104"/>
      <c r="C1811" s="104"/>
      <c r="F1811" s="103" t="str">
        <f aca="false">IF(OR($C1811="",$D1811=0),"",$E1811/$D1811)</f>
        <v/>
      </c>
      <c r="H1811" s="0" t="str">
        <f aca="false">IF($C1811="","",IF(COUNTIF('مواد المخزون'!$A$2:$A$86,$C1811)&gt;0,"نعم","لا (خارج الجرد)"))</f>
        <v/>
      </c>
    </row>
    <row r="1812" customFormat="false" ht="15" hidden="false" customHeight="false" outlineLevel="0" collapsed="false">
      <c r="A1812" s="102"/>
      <c r="B1812" s="104"/>
      <c r="C1812" s="104"/>
      <c r="F1812" s="103" t="str">
        <f aca="false">IF(OR($C1812="",$D1812=0),"",$E1812/$D1812)</f>
        <v/>
      </c>
      <c r="H1812" s="0" t="str">
        <f aca="false">IF($C1812="","",IF(COUNTIF('مواد المخزون'!$A$2:$A$86,$C1812)&gt;0,"نعم","لا (خارج الجرد)"))</f>
        <v/>
      </c>
    </row>
    <row r="1813" customFormat="false" ht="15" hidden="false" customHeight="false" outlineLevel="0" collapsed="false">
      <c r="A1813" s="102"/>
      <c r="B1813" s="104"/>
      <c r="C1813" s="104"/>
      <c r="F1813" s="103" t="str">
        <f aca="false">IF(OR($C1813="",$D1813=0),"",$E1813/$D1813)</f>
        <v/>
      </c>
      <c r="H1813" s="0" t="str">
        <f aca="false">IF($C1813="","",IF(COUNTIF('مواد المخزون'!$A$2:$A$86,$C1813)&gt;0,"نعم","لا (خارج الجرد)"))</f>
        <v/>
      </c>
    </row>
    <row r="1814" customFormat="false" ht="15" hidden="false" customHeight="false" outlineLevel="0" collapsed="false">
      <c r="A1814" s="102"/>
      <c r="B1814" s="104"/>
      <c r="C1814" s="104"/>
      <c r="F1814" s="103" t="str">
        <f aca="false">IF(OR($C1814="",$D1814=0),"",$E1814/$D1814)</f>
        <v/>
      </c>
      <c r="H1814" s="0" t="str">
        <f aca="false">IF($C1814="","",IF(COUNTIF('مواد المخزون'!$A$2:$A$86,$C1814)&gt;0,"نعم","لا (خارج الجرد)"))</f>
        <v/>
      </c>
    </row>
    <row r="1815" customFormat="false" ht="15" hidden="false" customHeight="false" outlineLevel="0" collapsed="false">
      <c r="A1815" s="102"/>
      <c r="B1815" s="104"/>
      <c r="C1815" s="104"/>
      <c r="F1815" s="103" t="str">
        <f aca="false">IF(OR($C1815="",$D1815=0),"",$E1815/$D1815)</f>
        <v/>
      </c>
      <c r="H1815" s="0" t="str">
        <f aca="false">IF($C1815="","",IF(COUNTIF('مواد المخزون'!$A$2:$A$86,$C1815)&gt;0,"نعم","لا (خارج الجرد)"))</f>
        <v/>
      </c>
    </row>
    <row r="1816" customFormat="false" ht="15" hidden="false" customHeight="false" outlineLevel="0" collapsed="false">
      <c r="A1816" s="102"/>
      <c r="B1816" s="104"/>
      <c r="C1816" s="104"/>
      <c r="F1816" s="103" t="str">
        <f aca="false">IF(OR($C1816="",$D1816=0),"",$E1816/$D1816)</f>
        <v/>
      </c>
      <c r="H1816" s="0" t="str">
        <f aca="false">IF($C1816="","",IF(COUNTIF('مواد المخزون'!$A$2:$A$86,$C1816)&gt;0,"نعم","لا (خارج الجرد)"))</f>
        <v/>
      </c>
    </row>
    <row r="1817" customFormat="false" ht="15" hidden="false" customHeight="false" outlineLevel="0" collapsed="false">
      <c r="A1817" s="102"/>
      <c r="B1817" s="104"/>
      <c r="C1817" s="104"/>
      <c r="F1817" s="103" t="str">
        <f aca="false">IF(OR($C1817="",$D1817=0),"",$E1817/$D1817)</f>
        <v/>
      </c>
      <c r="H1817" s="0" t="str">
        <f aca="false">IF($C1817="","",IF(COUNTIF('مواد المخزون'!$A$2:$A$86,$C1817)&gt;0,"نعم","لا (خارج الجرد)"))</f>
        <v/>
      </c>
    </row>
    <row r="1818" customFormat="false" ht="15" hidden="false" customHeight="false" outlineLevel="0" collapsed="false">
      <c r="A1818" s="102"/>
      <c r="B1818" s="104"/>
      <c r="C1818" s="104"/>
      <c r="F1818" s="103" t="str">
        <f aca="false">IF(OR($C1818="",$D1818=0),"",$E1818/$D1818)</f>
        <v/>
      </c>
      <c r="H1818" s="0" t="str">
        <f aca="false">IF($C1818="","",IF(COUNTIF('مواد المخزون'!$A$2:$A$86,$C1818)&gt;0,"نعم","لا (خارج الجرد)"))</f>
        <v/>
      </c>
    </row>
    <row r="1819" customFormat="false" ht="15" hidden="false" customHeight="false" outlineLevel="0" collapsed="false">
      <c r="A1819" s="102"/>
      <c r="B1819" s="104"/>
      <c r="C1819" s="104"/>
      <c r="F1819" s="103" t="str">
        <f aca="false">IF(OR($C1819="",$D1819=0),"",$E1819/$D1819)</f>
        <v/>
      </c>
      <c r="H1819" s="0" t="str">
        <f aca="false">IF($C1819="","",IF(COUNTIF('مواد المخزون'!$A$2:$A$86,$C1819)&gt;0,"نعم","لا (خارج الجرد)"))</f>
        <v/>
      </c>
    </row>
    <row r="1820" customFormat="false" ht="15" hidden="false" customHeight="false" outlineLevel="0" collapsed="false">
      <c r="A1820" s="102"/>
      <c r="B1820" s="104"/>
      <c r="C1820" s="104"/>
      <c r="F1820" s="103" t="str">
        <f aca="false">IF(OR($C1820="",$D1820=0),"",$E1820/$D1820)</f>
        <v/>
      </c>
      <c r="H1820" s="0" t="str">
        <f aca="false">IF($C1820="","",IF(COUNTIF('مواد المخزون'!$A$2:$A$86,$C1820)&gt;0,"نعم","لا (خارج الجرد)"))</f>
        <v/>
      </c>
    </row>
    <row r="1821" customFormat="false" ht="15" hidden="false" customHeight="false" outlineLevel="0" collapsed="false">
      <c r="A1821" s="102"/>
      <c r="B1821" s="104"/>
      <c r="C1821" s="104"/>
      <c r="F1821" s="103" t="str">
        <f aca="false">IF(OR($C1821="",$D1821=0),"",$E1821/$D1821)</f>
        <v/>
      </c>
      <c r="H1821" s="0" t="str">
        <f aca="false">IF($C1821="","",IF(COUNTIF('مواد المخزون'!$A$2:$A$86,$C1821)&gt;0,"نعم","لا (خارج الجرد)"))</f>
        <v/>
      </c>
    </row>
    <row r="1822" customFormat="false" ht="15" hidden="false" customHeight="false" outlineLevel="0" collapsed="false">
      <c r="A1822" s="102"/>
      <c r="B1822" s="104"/>
      <c r="C1822" s="104"/>
      <c r="F1822" s="103" t="str">
        <f aca="false">IF(OR($C1822="",$D1822=0),"",$E1822/$D1822)</f>
        <v/>
      </c>
      <c r="H1822" s="0" t="str">
        <f aca="false">IF($C1822="","",IF(COUNTIF('مواد المخزون'!$A$2:$A$86,$C1822)&gt;0,"نعم","لا (خارج الجرد)"))</f>
        <v/>
      </c>
    </row>
    <row r="1823" customFormat="false" ht="15" hidden="false" customHeight="false" outlineLevel="0" collapsed="false">
      <c r="A1823" s="102"/>
      <c r="B1823" s="104"/>
      <c r="C1823" s="104"/>
      <c r="F1823" s="103" t="str">
        <f aca="false">IF(OR($C1823="",$D1823=0),"",$E1823/$D1823)</f>
        <v/>
      </c>
      <c r="H1823" s="0" t="str">
        <f aca="false">IF($C1823="","",IF(COUNTIF('مواد المخزون'!$A$2:$A$86,$C1823)&gt;0,"نعم","لا (خارج الجرد)"))</f>
        <v/>
      </c>
    </row>
    <row r="1824" customFormat="false" ht="15" hidden="false" customHeight="false" outlineLevel="0" collapsed="false">
      <c r="A1824" s="102"/>
      <c r="B1824" s="104"/>
      <c r="C1824" s="104"/>
      <c r="F1824" s="103" t="str">
        <f aca="false">IF(OR($C1824="",$D1824=0),"",$E1824/$D1824)</f>
        <v/>
      </c>
      <c r="H1824" s="0" t="str">
        <f aca="false">IF($C1824="","",IF(COUNTIF('مواد المخزون'!$A$2:$A$86,$C1824)&gt;0,"نعم","لا (خارج الجرد)"))</f>
        <v/>
      </c>
    </row>
    <row r="1825" customFormat="false" ht="15" hidden="false" customHeight="false" outlineLevel="0" collapsed="false">
      <c r="A1825" s="102"/>
      <c r="B1825" s="104"/>
      <c r="C1825" s="104"/>
      <c r="F1825" s="103" t="str">
        <f aca="false">IF(OR($C1825="",$D1825=0),"",$E1825/$D1825)</f>
        <v/>
      </c>
      <c r="H1825" s="0" t="str">
        <f aca="false">IF($C1825="","",IF(COUNTIF('مواد المخزون'!$A$2:$A$86,$C1825)&gt;0,"نعم","لا (خارج الجرد)"))</f>
        <v/>
      </c>
    </row>
    <row r="1826" customFormat="false" ht="15" hidden="false" customHeight="false" outlineLevel="0" collapsed="false">
      <c r="A1826" s="102"/>
      <c r="B1826" s="104"/>
      <c r="C1826" s="104"/>
      <c r="F1826" s="103" t="str">
        <f aca="false">IF(OR($C1826="",$D1826=0),"",$E1826/$D1826)</f>
        <v/>
      </c>
      <c r="H1826" s="0" t="str">
        <f aca="false">IF($C1826="","",IF(COUNTIF('مواد المخزون'!$A$2:$A$86,$C1826)&gt;0,"نعم","لا (خارج الجرد)"))</f>
        <v/>
      </c>
    </row>
    <row r="1827" customFormat="false" ht="15" hidden="false" customHeight="false" outlineLevel="0" collapsed="false">
      <c r="A1827" s="102"/>
      <c r="B1827" s="104"/>
      <c r="C1827" s="104"/>
      <c r="F1827" s="103" t="str">
        <f aca="false">IF(OR($C1827="",$D1827=0),"",$E1827/$D1827)</f>
        <v/>
      </c>
      <c r="H1827" s="0" t="str">
        <f aca="false">IF($C1827="","",IF(COUNTIF('مواد المخزون'!$A$2:$A$86,$C1827)&gt;0,"نعم","لا (خارج الجرد)"))</f>
        <v/>
      </c>
    </row>
    <row r="1828" customFormat="false" ht="15" hidden="false" customHeight="false" outlineLevel="0" collapsed="false">
      <c r="A1828" s="102"/>
      <c r="B1828" s="104"/>
      <c r="C1828" s="104"/>
      <c r="F1828" s="103" t="str">
        <f aca="false">IF(OR($C1828="",$D1828=0),"",$E1828/$D1828)</f>
        <v/>
      </c>
      <c r="H1828" s="0" t="str">
        <f aca="false">IF($C1828="","",IF(COUNTIF('مواد المخزون'!$A$2:$A$86,$C1828)&gt;0,"نعم","لا (خارج الجرد)"))</f>
        <v/>
      </c>
    </row>
    <row r="1829" customFormat="false" ht="15" hidden="false" customHeight="false" outlineLevel="0" collapsed="false">
      <c r="A1829" s="102"/>
      <c r="B1829" s="104"/>
      <c r="C1829" s="104"/>
      <c r="F1829" s="103" t="str">
        <f aca="false">IF(OR($C1829="",$D1829=0),"",$E1829/$D1829)</f>
        <v/>
      </c>
      <c r="H1829" s="0" t="str">
        <f aca="false">IF($C1829="","",IF(COUNTIF('مواد المخزون'!$A$2:$A$86,$C1829)&gt;0,"نعم","لا (خارج الجرد)"))</f>
        <v/>
      </c>
    </row>
    <row r="1830" customFormat="false" ht="15" hidden="false" customHeight="false" outlineLevel="0" collapsed="false">
      <c r="A1830" s="102"/>
      <c r="B1830" s="104"/>
      <c r="C1830" s="104"/>
      <c r="F1830" s="103" t="str">
        <f aca="false">IF(OR($C1830="",$D1830=0),"",$E1830/$D1830)</f>
        <v/>
      </c>
      <c r="H1830" s="0" t="str">
        <f aca="false">IF($C1830="","",IF(COUNTIF('مواد المخزون'!$A$2:$A$86,$C1830)&gt;0,"نعم","لا (خارج الجرد)"))</f>
        <v/>
      </c>
    </row>
    <row r="1831" customFormat="false" ht="15" hidden="false" customHeight="false" outlineLevel="0" collapsed="false">
      <c r="A1831" s="102"/>
      <c r="B1831" s="104"/>
      <c r="C1831" s="104"/>
      <c r="F1831" s="103" t="str">
        <f aca="false">IF(OR($C1831="",$D1831=0),"",$E1831/$D1831)</f>
        <v/>
      </c>
      <c r="H1831" s="0" t="str">
        <f aca="false">IF($C1831="","",IF(COUNTIF('مواد المخزون'!$A$2:$A$86,$C1831)&gt;0,"نعم","لا (خارج الجرد)"))</f>
        <v/>
      </c>
    </row>
    <row r="1832" customFormat="false" ht="15" hidden="false" customHeight="false" outlineLevel="0" collapsed="false">
      <c r="A1832" s="102"/>
      <c r="B1832" s="104"/>
      <c r="C1832" s="104"/>
      <c r="F1832" s="103" t="str">
        <f aca="false">IF(OR($C1832="",$D1832=0),"",$E1832/$D1832)</f>
        <v/>
      </c>
      <c r="H1832" s="0" t="str">
        <f aca="false">IF($C1832="","",IF(COUNTIF('مواد المخزون'!$A$2:$A$86,$C1832)&gt;0,"نعم","لا (خارج الجرد)"))</f>
        <v/>
      </c>
    </row>
    <row r="1833" customFormat="false" ht="15" hidden="false" customHeight="false" outlineLevel="0" collapsed="false">
      <c r="A1833" s="102"/>
      <c r="B1833" s="104"/>
      <c r="C1833" s="104"/>
      <c r="F1833" s="103" t="str">
        <f aca="false">IF(OR($C1833="",$D1833=0),"",$E1833/$D1833)</f>
        <v/>
      </c>
      <c r="H1833" s="0" t="str">
        <f aca="false">IF($C1833="","",IF(COUNTIF('مواد المخزون'!$A$2:$A$86,$C1833)&gt;0,"نعم","لا (خارج الجرد)"))</f>
        <v/>
      </c>
    </row>
    <row r="1834" customFormat="false" ht="15" hidden="false" customHeight="false" outlineLevel="0" collapsed="false">
      <c r="A1834" s="102"/>
      <c r="B1834" s="104"/>
      <c r="C1834" s="104"/>
      <c r="F1834" s="103" t="str">
        <f aca="false">IF(OR($C1834="",$D1834=0),"",$E1834/$D1834)</f>
        <v/>
      </c>
      <c r="H1834" s="0" t="str">
        <f aca="false">IF($C1834="","",IF(COUNTIF('مواد المخزون'!$A$2:$A$86,$C1834)&gt;0,"نعم","لا (خارج الجرد)"))</f>
        <v/>
      </c>
    </row>
    <row r="1835" customFormat="false" ht="15" hidden="false" customHeight="false" outlineLevel="0" collapsed="false">
      <c r="A1835" s="102"/>
      <c r="B1835" s="104"/>
      <c r="C1835" s="104"/>
      <c r="F1835" s="103" t="str">
        <f aca="false">IF(OR($C1835="",$D1835=0),"",$E1835/$D1835)</f>
        <v/>
      </c>
      <c r="H1835" s="0" t="str">
        <f aca="false">IF($C1835="","",IF(COUNTIF('مواد المخزون'!$A$2:$A$86,$C1835)&gt;0,"نعم","لا (خارج الجرد)"))</f>
        <v/>
      </c>
    </row>
    <row r="1836" customFormat="false" ht="15" hidden="false" customHeight="false" outlineLevel="0" collapsed="false">
      <c r="A1836" s="102"/>
      <c r="B1836" s="104"/>
      <c r="C1836" s="104"/>
      <c r="F1836" s="103" t="str">
        <f aca="false">IF(OR($C1836="",$D1836=0),"",$E1836/$D1836)</f>
        <v/>
      </c>
      <c r="H1836" s="0" t="str">
        <f aca="false">IF($C1836="","",IF(COUNTIF('مواد المخزون'!$A$2:$A$86,$C1836)&gt;0,"نعم","لا (خارج الجرد)"))</f>
        <v/>
      </c>
    </row>
    <row r="1837" customFormat="false" ht="15" hidden="false" customHeight="false" outlineLevel="0" collapsed="false">
      <c r="A1837" s="102"/>
      <c r="B1837" s="104"/>
      <c r="C1837" s="104"/>
      <c r="F1837" s="103" t="str">
        <f aca="false">IF(OR($C1837="",$D1837=0),"",$E1837/$D1837)</f>
        <v/>
      </c>
      <c r="H1837" s="0" t="str">
        <f aca="false">IF($C1837="","",IF(COUNTIF('مواد المخزون'!$A$2:$A$86,$C1837)&gt;0,"نعم","لا (خارج الجرد)"))</f>
        <v/>
      </c>
    </row>
    <row r="1838" customFormat="false" ht="15" hidden="false" customHeight="false" outlineLevel="0" collapsed="false">
      <c r="A1838" s="102"/>
      <c r="B1838" s="104"/>
      <c r="C1838" s="104"/>
      <c r="F1838" s="103" t="str">
        <f aca="false">IF(OR($C1838="",$D1838=0),"",$E1838/$D1838)</f>
        <v/>
      </c>
      <c r="H1838" s="0" t="str">
        <f aca="false">IF($C1838="","",IF(COUNTIF('مواد المخزون'!$A$2:$A$86,$C1838)&gt;0,"نعم","لا (خارج الجرد)"))</f>
        <v/>
      </c>
    </row>
    <row r="1839" customFormat="false" ht="15" hidden="false" customHeight="false" outlineLevel="0" collapsed="false">
      <c r="A1839" s="102"/>
      <c r="B1839" s="104"/>
      <c r="C1839" s="104"/>
      <c r="F1839" s="103" t="str">
        <f aca="false">IF(OR($C1839="",$D1839=0),"",$E1839/$D1839)</f>
        <v/>
      </c>
      <c r="H1839" s="0" t="str">
        <f aca="false">IF($C1839="","",IF(COUNTIF('مواد المخزون'!$A$2:$A$86,$C1839)&gt;0,"نعم","لا (خارج الجرد)"))</f>
        <v/>
      </c>
    </row>
    <row r="1840" customFormat="false" ht="15" hidden="false" customHeight="false" outlineLevel="0" collapsed="false">
      <c r="A1840" s="102"/>
      <c r="B1840" s="104"/>
      <c r="C1840" s="104"/>
      <c r="F1840" s="103" t="str">
        <f aca="false">IF(OR($C1840="",$D1840=0),"",$E1840/$D1840)</f>
        <v/>
      </c>
      <c r="H1840" s="0" t="str">
        <f aca="false">IF($C1840="","",IF(COUNTIF('مواد المخزون'!$A$2:$A$86,$C1840)&gt;0,"نعم","لا (خارج الجرد)"))</f>
        <v/>
      </c>
    </row>
    <row r="1841" customFormat="false" ht="15" hidden="false" customHeight="false" outlineLevel="0" collapsed="false">
      <c r="A1841" s="102"/>
      <c r="B1841" s="104"/>
      <c r="C1841" s="104"/>
      <c r="F1841" s="103" t="str">
        <f aca="false">IF(OR($C1841="",$D1841=0),"",$E1841/$D1841)</f>
        <v/>
      </c>
      <c r="H1841" s="0" t="str">
        <f aca="false">IF($C1841="","",IF(COUNTIF('مواد المخزون'!$A$2:$A$86,$C1841)&gt;0,"نعم","لا (خارج الجرد)"))</f>
        <v/>
      </c>
    </row>
    <row r="1842" customFormat="false" ht="15" hidden="false" customHeight="false" outlineLevel="0" collapsed="false">
      <c r="A1842" s="102"/>
      <c r="B1842" s="104"/>
      <c r="C1842" s="104"/>
      <c r="F1842" s="103" t="str">
        <f aca="false">IF(OR($C1842="",$D1842=0),"",$E1842/$D1842)</f>
        <v/>
      </c>
      <c r="H1842" s="0" t="str">
        <f aca="false">IF($C1842="","",IF(COUNTIF('مواد المخزون'!$A$2:$A$86,$C1842)&gt;0,"نعم","لا (خارج الجرد)"))</f>
        <v/>
      </c>
    </row>
    <row r="1843" customFormat="false" ht="15" hidden="false" customHeight="false" outlineLevel="0" collapsed="false">
      <c r="A1843" s="102"/>
      <c r="B1843" s="104"/>
      <c r="C1843" s="104"/>
      <c r="F1843" s="103" t="str">
        <f aca="false">IF(OR($C1843="",$D1843=0),"",$E1843/$D1843)</f>
        <v/>
      </c>
      <c r="H1843" s="0" t="str">
        <f aca="false">IF($C1843="","",IF(COUNTIF('مواد المخزون'!$A$2:$A$86,$C1843)&gt;0,"نعم","لا (خارج الجرد)"))</f>
        <v/>
      </c>
    </row>
    <row r="1844" customFormat="false" ht="15" hidden="false" customHeight="false" outlineLevel="0" collapsed="false">
      <c r="A1844" s="102"/>
      <c r="B1844" s="104"/>
      <c r="C1844" s="104"/>
      <c r="F1844" s="103" t="str">
        <f aca="false">IF(OR($C1844="",$D1844=0),"",$E1844/$D1844)</f>
        <v/>
      </c>
      <c r="H1844" s="0" t="str">
        <f aca="false">IF($C1844="","",IF(COUNTIF('مواد المخزون'!$A$2:$A$86,$C1844)&gt;0,"نعم","لا (خارج الجرد)"))</f>
        <v/>
      </c>
    </row>
    <row r="1845" customFormat="false" ht="15" hidden="false" customHeight="false" outlineLevel="0" collapsed="false">
      <c r="A1845" s="102"/>
      <c r="B1845" s="104"/>
      <c r="C1845" s="104"/>
      <c r="F1845" s="103" t="str">
        <f aca="false">IF(OR($C1845="",$D1845=0),"",$E1845/$D1845)</f>
        <v/>
      </c>
      <c r="H1845" s="0" t="str">
        <f aca="false">IF($C1845="","",IF(COUNTIF('مواد المخزون'!$A$2:$A$86,$C1845)&gt;0,"نعم","لا (خارج الجرد)"))</f>
        <v/>
      </c>
    </row>
    <row r="1846" customFormat="false" ht="15" hidden="false" customHeight="false" outlineLevel="0" collapsed="false">
      <c r="A1846" s="102"/>
      <c r="B1846" s="104"/>
      <c r="C1846" s="104"/>
      <c r="F1846" s="103" t="str">
        <f aca="false">IF(OR($C1846="",$D1846=0),"",$E1846/$D1846)</f>
        <v/>
      </c>
      <c r="H1846" s="0" t="str">
        <f aca="false">IF($C1846="","",IF(COUNTIF('مواد المخزون'!$A$2:$A$86,$C1846)&gt;0,"نعم","لا (خارج الجرد)"))</f>
        <v/>
      </c>
    </row>
    <row r="1847" customFormat="false" ht="15" hidden="false" customHeight="false" outlineLevel="0" collapsed="false">
      <c r="A1847" s="102"/>
      <c r="B1847" s="104"/>
      <c r="C1847" s="104"/>
      <c r="F1847" s="103" t="str">
        <f aca="false">IF(OR($C1847="",$D1847=0),"",$E1847/$D1847)</f>
        <v/>
      </c>
      <c r="H1847" s="0" t="str">
        <f aca="false">IF($C1847="","",IF(COUNTIF('مواد المخزون'!$A$2:$A$86,$C1847)&gt;0,"نعم","لا (خارج الجرد)"))</f>
        <v/>
      </c>
    </row>
    <row r="1848" customFormat="false" ht="15" hidden="false" customHeight="false" outlineLevel="0" collapsed="false">
      <c r="A1848" s="102"/>
      <c r="B1848" s="104"/>
      <c r="C1848" s="104"/>
      <c r="F1848" s="103" t="str">
        <f aca="false">IF(OR($C1848="",$D1848=0),"",$E1848/$D1848)</f>
        <v/>
      </c>
      <c r="H1848" s="0" t="str">
        <f aca="false">IF($C1848="","",IF(COUNTIF('مواد المخزون'!$A$2:$A$86,$C1848)&gt;0,"نعم","لا (خارج الجرد)"))</f>
        <v/>
      </c>
    </row>
    <row r="1849" customFormat="false" ht="15" hidden="false" customHeight="false" outlineLevel="0" collapsed="false">
      <c r="A1849" s="102"/>
      <c r="B1849" s="104"/>
      <c r="C1849" s="104"/>
      <c r="F1849" s="103" t="str">
        <f aca="false">IF(OR($C1849="",$D1849=0),"",$E1849/$D1849)</f>
        <v/>
      </c>
      <c r="H1849" s="0" t="str">
        <f aca="false">IF($C1849="","",IF(COUNTIF('مواد المخزون'!$A$2:$A$86,$C1849)&gt;0,"نعم","لا (خارج الجرد)"))</f>
        <v/>
      </c>
    </row>
    <row r="1850" customFormat="false" ht="15" hidden="false" customHeight="false" outlineLevel="0" collapsed="false">
      <c r="A1850" s="102"/>
      <c r="B1850" s="104"/>
      <c r="C1850" s="104"/>
      <c r="F1850" s="103" t="str">
        <f aca="false">IF(OR($C1850="",$D1850=0),"",$E1850/$D1850)</f>
        <v/>
      </c>
      <c r="H1850" s="0" t="str">
        <f aca="false">IF($C1850="","",IF(COUNTIF('مواد المخزون'!$A$2:$A$86,$C1850)&gt;0,"نعم","لا (خارج الجرد)"))</f>
        <v/>
      </c>
    </row>
    <row r="1851" customFormat="false" ht="15" hidden="false" customHeight="false" outlineLevel="0" collapsed="false">
      <c r="A1851" s="102"/>
      <c r="B1851" s="104"/>
      <c r="C1851" s="104"/>
      <c r="F1851" s="103" t="str">
        <f aca="false">IF(OR($C1851="",$D1851=0),"",$E1851/$D1851)</f>
        <v/>
      </c>
      <c r="H1851" s="0" t="str">
        <f aca="false">IF($C1851="","",IF(COUNTIF('مواد المخزون'!$A$2:$A$86,$C1851)&gt;0,"نعم","لا (خارج الجرد)"))</f>
        <v/>
      </c>
    </row>
    <row r="1852" customFormat="false" ht="15" hidden="false" customHeight="false" outlineLevel="0" collapsed="false">
      <c r="A1852" s="102"/>
      <c r="B1852" s="104"/>
      <c r="C1852" s="104"/>
      <c r="F1852" s="103" t="str">
        <f aca="false">IF(OR($C1852="",$D1852=0),"",$E1852/$D1852)</f>
        <v/>
      </c>
      <c r="H1852" s="0" t="str">
        <f aca="false">IF($C1852="","",IF(COUNTIF('مواد المخزون'!$A$2:$A$86,$C1852)&gt;0,"نعم","لا (خارج الجرد)"))</f>
        <v/>
      </c>
    </row>
    <row r="1853" customFormat="false" ht="15" hidden="false" customHeight="false" outlineLevel="0" collapsed="false">
      <c r="A1853" s="102"/>
      <c r="B1853" s="104"/>
      <c r="C1853" s="104"/>
      <c r="F1853" s="103" t="str">
        <f aca="false">IF(OR($C1853="",$D1853=0),"",$E1853/$D1853)</f>
        <v/>
      </c>
      <c r="H1853" s="0" t="str">
        <f aca="false">IF($C1853="","",IF(COUNTIF('مواد المخزون'!$A$2:$A$86,$C1853)&gt;0,"نعم","لا (خارج الجرد)"))</f>
        <v/>
      </c>
    </row>
    <row r="1854" customFormat="false" ht="15" hidden="false" customHeight="false" outlineLevel="0" collapsed="false">
      <c r="A1854" s="102"/>
      <c r="B1854" s="104"/>
      <c r="C1854" s="104"/>
      <c r="F1854" s="103" t="str">
        <f aca="false">IF(OR($C1854="",$D1854=0),"",$E1854/$D1854)</f>
        <v/>
      </c>
      <c r="H1854" s="0" t="str">
        <f aca="false">IF($C1854="","",IF(COUNTIF('مواد المخزون'!$A$2:$A$86,$C1854)&gt;0,"نعم","لا (خارج الجرد)"))</f>
        <v/>
      </c>
    </row>
    <row r="1855" customFormat="false" ht="15" hidden="false" customHeight="false" outlineLevel="0" collapsed="false">
      <c r="A1855" s="102"/>
      <c r="B1855" s="104"/>
      <c r="C1855" s="104"/>
      <c r="F1855" s="103" t="str">
        <f aca="false">IF(OR($C1855="",$D1855=0),"",$E1855/$D1855)</f>
        <v/>
      </c>
      <c r="H1855" s="0" t="str">
        <f aca="false">IF($C1855="","",IF(COUNTIF('مواد المخزون'!$A$2:$A$86,$C1855)&gt;0,"نعم","لا (خارج الجرد)"))</f>
        <v/>
      </c>
    </row>
    <row r="1856" customFormat="false" ht="15" hidden="false" customHeight="false" outlineLevel="0" collapsed="false">
      <c r="A1856" s="102"/>
      <c r="B1856" s="104"/>
      <c r="C1856" s="104"/>
      <c r="F1856" s="103" t="str">
        <f aca="false">IF(OR($C1856="",$D1856=0),"",$E1856/$D1856)</f>
        <v/>
      </c>
      <c r="H1856" s="0" t="str">
        <f aca="false">IF($C1856="","",IF(COUNTIF('مواد المخزون'!$A$2:$A$86,$C1856)&gt;0,"نعم","لا (خارج الجرد)"))</f>
        <v/>
      </c>
    </row>
    <row r="1857" customFormat="false" ht="15" hidden="false" customHeight="false" outlineLevel="0" collapsed="false">
      <c r="A1857" s="102"/>
      <c r="B1857" s="104"/>
      <c r="C1857" s="104"/>
      <c r="F1857" s="103" t="str">
        <f aca="false">IF(OR($C1857="",$D1857=0),"",$E1857/$D1857)</f>
        <v/>
      </c>
      <c r="H1857" s="0" t="str">
        <f aca="false">IF($C1857="","",IF(COUNTIF('مواد المخزون'!$A$2:$A$86,$C1857)&gt;0,"نعم","لا (خارج الجرد)"))</f>
        <v/>
      </c>
    </row>
    <row r="1858" customFormat="false" ht="15" hidden="false" customHeight="false" outlineLevel="0" collapsed="false">
      <c r="A1858" s="102"/>
      <c r="B1858" s="104"/>
      <c r="C1858" s="104"/>
      <c r="F1858" s="103" t="str">
        <f aca="false">IF(OR($C1858="",$D1858=0),"",$E1858/$D1858)</f>
        <v/>
      </c>
      <c r="H1858" s="0" t="str">
        <f aca="false">IF($C1858="","",IF(COUNTIF('مواد المخزون'!$A$2:$A$86,$C1858)&gt;0,"نعم","لا (خارج الجرد)"))</f>
        <v/>
      </c>
    </row>
    <row r="1859" customFormat="false" ht="15" hidden="false" customHeight="false" outlineLevel="0" collapsed="false">
      <c r="A1859" s="102"/>
      <c r="B1859" s="104"/>
      <c r="C1859" s="104"/>
      <c r="F1859" s="103" t="str">
        <f aca="false">IF(OR($C1859="",$D1859=0),"",$E1859/$D1859)</f>
        <v/>
      </c>
      <c r="H1859" s="0" t="str">
        <f aca="false">IF($C1859="","",IF(COUNTIF('مواد المخزون'!$A$2:$A$86,$C1859)&gt;0,"نعم","لا (خارج الجرد)"))</f>
        <v/>
      </c>
    </row>
    <row r="1860" customFormat="false" ht="15" hidden="false" customHeight="false" outlineLevel="0" collapsed="false">
      <c r="A1860" s="102"/>
      <c r="B1860" s="104"/>
      <c r="C1860" s="104"/>
      <c r="F1860" s="103" t="str">
        <f aca="false">IF(OR($C1860="",$D1860=0),"",$E1860/$D1860)</f>
        <v/>
      </c>
      <c r="H1860" s="0" t="str">
        <f aca="false">IF($C1860="","",IF(COUNTIF('مواد المخزون'!$A$2:$A$86,$C1860)&gt;0,"نعم","لا (خارج الجرد)"))</f>
        <v/>
      </c>
    </row>
    <row r="1861" customFormat="false" ht="15" hidden="false" customHeight="false" outlineLevel="0" collapsed="false">
      <c r="A1861" s="102"/>
      <c r="B1861" s="104"/>
      <c r="C1861" s="104"/>
      <c r="F1861" s="103" t="str">
        <f aca="false">IF(OR($C1861="",$D1861=0),"",$E1861/$D1861)</f>
        <v/>
      </c>
      <c r="H1861" s="0" t="str">
        <f aca="false">IF($C1861="","",IF(COUNTIF('مواد المخزون'!$A$2:$A$86,$C1861)&gt;0,"نعم","لا (خارج الجرد)"))</f>
        <v/>
      </c>
    </row>
    <row r="1862" customFormat="false" ht="15" hidden="false" customHeight="false" outlineLevel="0" collapsed="false">
      <c r="A1862" s="102"/>
      <c r="B1862" s="104"/>
      <c r="C1862" s="104"/>
      <c r="F1862" s="103" t="str">
        <f aca="false">IF(OR($C1862="",$D1862=0),"",$E1862/$D1862)</f>
        <v/>
      </c>
      <c r="H1862" s="0" t="str">
        <f aca="false">IF($C1862="","",IF(COUNTIF('مواد المخزون'!$A$2:$A$86,$C1862)&gt;0,"نعم","لا (خارج الجرد)"))</f>
        <v/>
      </c>
    </row>
    <row r="1863" customFormat="false" ht="15" hidden="false" customHeight="false" outlineLevel="0" collapsed="false">
      <c r="A1863" s="102"/>
      <c r="B1863" s="104"/>
      <c r="C1863" s="104"/>
      <c r="F1863" s="103" t="str">
        <f aca="false">IF(OR($C1863="",$D1863=0),"",$E1863/$D1863)</f>
        <v/>
      </c>
      <c r="H1863" s="0" t="str">
        <f aca="false">IF($C1863="","",IF(COUNTIF('مواد المخزون'!$A$2:$A$86,$C1863)&gt;0,"نعم","لا (خارج الجرد)"))</f>
        <v/>
      </c>
    </row>
    <row r="1864" customFormat="false" ht="15" hidden="false" customHeight="false" outlineLevel="0" collapsed="false">
      <c r="A1864" s="102"/>
      <c r="B1864" s="104"/>
      <c r="C1864" s="104"/>
      <c r="F1864" s="103" t="str">
        <f aca="false">IF(OR($C1864="",$D1864=0),"",$E1864/$D1864)</f>
        <v/>
      </c>
      <c r="H1864" s="0" t="str">
        <f aca="false">IF($C1864="","",IF(COUNTIF('مواد المخزون'!$A$2:$A$86,$C1864)&gt;0,"نعم","لا (خارج الجرد)"))</f>
        <v/>
      </c>
    </row>
    <row r="1865" customFormat="false" ht="15" hidden="false" customHeight="false" outlineLevel="0" collapsed="false">
      <c r="A1865" s="102"/>
      <c r="B1865" s="104"/>
      <c r="C1865" s="104"/>
      <c r="F1865" s="103" t="str">
        <f aca="false">IF(OR($C1865="",$D1865=0),"",$E1865/$D1865)</f>
        <v/>
      </c>
      <c r="H1865" s="0" t="str">
        <f aca="false">IF($C1865="","",IF(COUNTIF('مواد المخزون'!$A$2:$A$86,$C1865)&gt;0,"نعم","لا (خارج الجرد)"))</f>
        <v/>
      </c>
    </row>
    <row r="1866" customFormat="false" ht="15" hidden="false" customHeight="false" outlineLevel="0" collapsed="false">
      <c r="A1866" s="102"/>
      <c r="B1866" s="104"/>
      <c r="C1866" s="104"/>
      <c r="F1866" s="103" t="str">
        <f aca="false">IF(OR($C1866="",$D1866=0),"",$E1866/$D1866)</f>
        <v/>
      </c>
      <c r="H1866" s="0" t="str">
        <f aca="false">IF($C1866="","",IF(COUNTIF('مواد المخزون'!$A$2:$A$86,$C1866)&gt;0,"نعم","لا (خارج الجرد)"))</f>
        <v/>
      </c>
    </row>
    <row r="1867" customFormat="false" ht="15" hidden="false" customHeight="false" outlineLevel="0" collapsed="false">
      <c r="A1867" s="102"/>
      <c r="B1867" s="104"/>
      <c r="C1867" s="104"/>
      <c r="F1867" s="103" t="str">
        <f aca="false">IF(OR($C1867="",$D1867=0),"",$E1867/$D1867)</f>
        <v/>
      </c>
      <c r="H1867" s="0" t="str">
        <f aca="false">IF($C1867="","",IF(COUNTIF('مواد المخزون'!$A$2:$A$86,$C1867)&gt;0,"نعم","لا (خارج الجرد)"))</f>
        <v/>
      </c>
    </row>
    <row r="1868" customFormat="false" ht="15" hidden="false" customHeight="false" outlineLevel="0" collapsed="false">
      <c r="A1868" s="102"/>
      <c r="B1868" s="104"/>
      <c r="C1868" s="104"/>
      <c r="F1868" s="103" t="str">
        <f aca="false">IF(OR($C1868="",$D1868=0),"",$E1868/$D1868)</f>
        <v/>
      </c>
      <c r="H1868" s="0" t="str">
        <f aca="false">IF($C1868="","",IF(COUNTIF('مواد المخزون'!$A$2:$A$86,$C1868)&gt;0,"نعم","لا (خارج الجرد)"))</f>
        <v/>
      </c>
    </row>
    <row r="1869" customFormat="false" ht="15" hidden="false" customHeight="false" outlineLevel="0" collapsed="false">
      <c r="A1869" s="102"/>
      <c r="B1869" s="104"/>
      <c r="C1869" s="104"/>
      <c r="F1869" s="103" t="str">
        <f aca="false">IF(OR($C1869="",$D1869=0),"",$E1869/$D1869)</f>
        <v/>
      </c>
      <c r="H1869" s="0" t="str">
        <f aca="false">IF($C1869="","",IF(COUNTIF('مواد المخزون'!$A$2:$A$86,$C1869)&gt;0,"نعم","لا (خارج الجرد)"))</f>
        <v/>
      </c>
    </row>
    <row r="1870" customFormat="false" ht="15" hidden="false" customHeight="false" outlineLevel="0" collapsed="false">
      <c r="A1870" s="102"/>
      <c r="B1870" s="104"/>
      <c r="C1870" s="104"/>
      <c r="F1870" s="103" t="str">
        <f aca="false">IF(OR($C1870="",$D1870=0),"",$E1870/$D1870)</f>
        <v/>
      </c>
      <c r="H1870" s="0" t="str">
        <f aca="false">IF($C1870="","",IF(COUNTIF('مواد المخزون'!$A$2:$A$86,$C1870)&gt;0,"نعم","لا (خارج الجرد)"))</f>
        <v/>
      </c>
    </row>
    <row r="1871" customFormat="false" ht="15" hidden="false" customHeight="false" outlineLevel="0" collapsed="false">
      <c r="A1871" s="102"/>
      <c r="B1871" s="104"/>
      <c r="C1871" s="104"/>
      <c r="F1871" s="103" t="str">
        <f aca="false">IF(OR($C1871="",$D1871=0),"",$E1871/$D1871)</f>
        <v/>
      </c>
      <c r="H1871" s="0" t="str">
        <f aca="false">IF($C1871="","",IF(COUNTIF('مواد المخزون'!$A$2:$A$86,$C1871)&gt;0,"نعم","لا (خارج الجرد)"))</f>
        <v/>
      </c>
    </row>
    <row r="1872" customFormat="false" ht="15" hidden="false" customHeight="false" outlineLevel="0" collapsed="false">
      <c r="A1872" s="102"/>
      <c r="B1872" s="104"/>
      <c r="C1872" s="104"/>
      <c r="F1872" s="103" t="str">
        <f aca="false">IF(OR($C1872="",$D1872=0),"",$E1872/$D1872)</f>
        <v/>
      </c>
      <c r="H1872" s="0" t="str">
        <f aca="false">IF($C1872="","",IF(COUNTIF('مواد المخزون'!$A$2:$A$86,$C1872)&gt;0,"نعم","لا (خارج الجرد)"))</f>
        <v/>
      </c>
    </row>
    <row r="1873" customFormat="false" ht="15" hidden="false" customHeight="false" outlineLevel="0" collapsed="false">
      <c r="A1873" s="102"/>
      <c r="B1873" s="104"/>
      <c r="C1873" s="104"/>
      <c r="F1873" s="103" t="str">
        <f aca="false">IF(OR($C1873="",$D1873=0),"",$E1873/$D1873)</f>
        <v/>
      </c>
      <c r="H1873" s="0" t="str">
        <f aca="false">IF($C1873="","",IF(COUNTIF('مواد المخزون'!$A$2:$A$86,$C1873)&gt;0,"نعم","لا (خارج الجرد)"))</f>
        <v/>
      </c>
    </row>
    <row r="1874" customFormat="false" ht="15" hidden="false" customHeight="false" outlineLevel="0" collapsed="false">
      <c r="A1874" s="102"/>
      <c r="B1874" s="104"/>
      <c r="C1874" s="104"/>
      <c r="F1874" s="103" t="str">
        <f aca="false">IF(OR($C1874="",$D1874=0),"",$E1874/$D1874)</f>
        <v/>
      </c>
      <c r="H1874" s="0" t="str">
        <f aca="false">IF($C1874="","",IF(COUNTIF('مواد المخزون'!$A$2:$A$86,$C1874)&gt;0,"نعم","لا (خارج الجرد)"))</f>
        <v/>
      </c>
    </row>
    <row r="1875" customFormat="false" ht="15" hidden="false" customHeight="false" outlineLevel="0" collapsed="false">
      <c r="A1875" s="102"/>
      <c r="B1875" s="104"/>
      <c r="C1875" s="104"/>
      <c r="F1875" s="103" t="str">
        <f aca="false">IF(OR($C1875="",$D1875=0),"",$E1875/$D1875)</f>
        <v/>
      </c>
      <c r="H1875" s="0" t="str">
        <f aca="false">IF($C1875="","",IF(COUNTIF('مواد المخزون'!$A$2:$A$86,$C1875)&gt;0,"نعم","لا (خارج الجرد)"))</f>
        <v/>
      </c>
    </row>
    <row r="1876" customFormat="false" ht="15" hidden="false" customHeight="false" outlineLevel="0" collapsed="false">
      <c r="A1876" s="102"/>
      <c r="B1876" s="104"/>
      <c r="C1876" s="104"/>
      <c r="F1876" s="103" t="str">
        <f aca="false">IF(OR($C1876="",$D1876=0),"",$E1876/$D1876)</f>
        <v/>
      </c>
      <c r="H1876" s="0" t="str">
        <f aca="false">IF($C1876="","",IF(COUNTIF('مواد المخزون'!$A$2:$A$86,$C1876)&gt;0,"نعم","لا (خارج الجرد)"))</f>
        <v/>
      </c>
    </row>
    <row r="1877" customFormat="false" ht="15" hidden="false" customHeight="false" outlineLevel="0" collapsed="false">
      <c r="A1877" s="102"/>
      <c r="B1877" s="104"/>
      <c r="C1877" s="104"/>
      <c r="F1877" s="103" t="str">
        <f aca="false">IF(OR($C1877="",$D1877=0),"",$E1877/$D1877)</f>
        <v/>
      </c>
      <c r="H1877" s="0" t="str">
        <f aca="false">IF($C1877="","",IF(COUNTIF('مواد المخزون'!$A$2:$A$86,$C1877)&gt;0,"نعم","لا (خارج الجرد)"))</f>
        <v/>
      </c>
    </row>
    <row r="1878" customFormat="false" ht="15" hidden="false" customHeight="false" outlineLevel="0" collapsed="false">
      <c r="A1878" s="102"/>
      <c r="B1878" s="104"/>
      <c r="C1878" s="104"/>
      <c r="F1878" s="103" t="str">
        <f aca="false">IF(OR($C1878="",$D1878=0),"",$E1878/$D1878)</f>
        <v/>
      </c>
      <c r="H1878" s="0" t="str">
        <f aca="false">IF($C1878="","",IF(COUNTIF('مواد المخزون'!$A$2:$A$86,$C1878)&gt;0,"نعم","لا (خارج الجرد)"))</f>
        <v/>
      </c>
    </row>
    <row r="1879" customFormat="false" ht="15" hidden="false" customHeight="false" outlineLevel="0" collapsed="false">
      <c r="A1879" s="102"/>
      <c r="B1879" s="104"/>
      <c r="C1879" s="104"/>
      <c r="F1879" s="103" t="str">
        <f aca="false">IF(OR($C1879="",$D1879=0),"",$E1879/$D1879)</f>
        <v/>
      </c>
      <c r="H1879" s="0" t="str">
        <f aca="false">IF($C1879="","",IF(COUNTIF('مواد المخزون'!$A$2:$A$86,$C1879)&gt;0,"نعم","لا (خارج الجرد)"))</f>
        <v/>
      </c>
    </row>
    <row r="1880" customFormat="false" ht="15" hidden="false" customHeight="false" outlineLevel="0" collapsed="false">
      <c r="A1880" s="102"/>
      <c r="B1880" s="104"/>
      <c r="C1880" s="104"/>
      <c r="F1880" s="103" t="str">
        <f aca="false">IF(OR($C1880="",$D1880=0),"",$E1880/$D1880)</f>
        <v/>
      </c>
      <c r="H1880" s="0" t="str">
        <f aca="false">IF($C1880="","",IF(COUNTIF('مواد المخزون'!$A$2:$A$86,$C1880)&gt;0,"نعم","لا (خارج الجرد)"))</f>
        <v/>
      </c>
    </row>
    <row r="1881" customFormat="false" ht="15" hidden="false" customHeight="false" outlineLevel="0" collapsed="false">
      <c r="A1881" s="102"/>
      <c r="B1881" s="104"/>
      <c r="C1881" s="104"/>
      <c r="F1881" s="103" t="str">
        <f aca="false">IF(OR($C1881="",$D1881=0),"",$E1881/$D1881)</f>
        <v/>
      </c>
      <c r="H1881" s="0" t="str">
        <f aca="false">IF($C1881="","",IF(COUNTIF('مواد المخزون'!$A$2:$A$86,$C1881)&gt;0,"نعم","لا (خارج الجرد)"))</f>
        <v/>
      </c>
    </row>
    <row r="1882" customFormat="false" ht="15" hidden="false" customHeight="false" outlineLevel="0" collapsed="false">
      <c r="A1882" s="102"/>
      <c r="B1882" s="104"/>
      <c r="C1882" s="104"/>
      <c r="F1882" s="103" t="str">
        <f aca="false">IF(OR($C1882="",$D1882=0),"",$E1882/$D1882)</f>
        <v/>
      </c>
      <c r="H1882" s="0" t="str">
        <f aca="false">IF($C1882="","",IF(COUNTIF('مواد المخزون'!$A$2:$A$86,$C1882)&gt;0,"نعم","لا (خارج الجرد)"))</f>
        <v/>
      </c>
    </row>
    <row r="1883" customFormat="false" ht="15" hidden="false" customHeight="false" outlineLevel="0" collapsed="false">
      <c r="A1883" s="102"/>
      <c r="B1883" s="104"/>
      <c r="C1883" s="104"/>
      <c r="F1883" s="103" t="str">
        <f aca="false">IF(OR($C1883="",$D1883=0),"",$E1883/$D1883)</f>
        <v/>
      </c>
      <c r="H1883" s="0" t="str">
        <f aca="false">IF($C1883="","",IF(COUNTIF('مواد المخزون'!$A$2:$A$86,$C1883)&gt;0,"نعم","لا (خارج الجرد)"))</f>
        <v/>
      </c>
    </row>
    <row r="1884" customFormat="false" ht="15" hidden="false" customHeight="false" outlineLevel="0" collapsed="false">
      <c r="A1884" s="102"/>
      <c r="B1884" s="104"/>
      <c r="C1884" s="104"/>
      <c r="F1884" s="103" t="str">
        <f aca="false">IF(OR($C1884="",$D1884=0),"",$E1884/$D1884)</f>
        <v/>
      </c>
      <c r="H1884" s="0" t="str">
        <f aca="false">IF($C1884="","",IF(COUNTIF('مواد المخزون'!$A$2:$A$86,$C1884)&gt;0,"نعم","لا (خارج الجرد)"))</f>
        <v/>
      </c>
    </row>
    <row r="1885" customFormat="false" ht="15" hidden="false" customHeight="false" outlineLevel="0" collapsed="false">
      <c r="A1885" s="102"/>
      <c r="B1885" s="104"/>
      <c r="C1885" s="104"/>
      <c r="F1885" s="103" t="str">
        <f aca="false">IF(OR($C1885="",$D1885=0),"",$E1885/$D1885)</f>
        <v/>
      </c>
      <c r="H1885" s="0" t="str">
        <f aca="false">IF($C1885="","",IF(COUNTIF('مواد المخزون'!$A$2:$A$86,$C1885)&gt;0,"نعم","لا (خارج الجرد)"))</f>
        <v/>
      </c>
    </row>
    <row r="1886" customFormat="false" ht="15" hidden="false" customHeight="false" outlineLevel="0" collapsed="false">
      <c r="A1886" s="102"/>
      <c r="B1886" s="104"/>
      <c r="C1886" s="104"/>
      <c r="F1886" s="103" t="str">
        <f aca="false">IF(OR($C1886="",$D1886=0),"",$E1886/$D1886)</f>
        <v/>
      </c>
      <c r="H1886" s="0" t="str">
        <f aca="false">IF($C1886="","",IF(COUNTIF('مواد المخزون'!$A$2:$A$86,$C1886)&gt;0,"نعم","لا (خارج الجرد)"))</f>
        <v/>
      </c>
    </row>
    <row r="1887" customFormat="false" ht="15" hidden="false" customHeight="false" outlineLevel="0" collapsed="false">
      <c r="A1887" s="102"/>
      <c r="B1887" s="104"/>
      <c r="C1887" s="104"/>
      <c r="F1887" s="103" t="str">
        <f aca="false">IF(OR($C1887="",$D1887=0),"",$E1887/$D1887)</f>
        <v/>
      </c>
      <c r="H1887" s="0" t="str">
        <f aca="false">IF($C1887="","",IF(COUNTIF('مواد المخزون'!$A$2:$A$86,$C1887)&gt;0,"نعم","لا (خارج الجرد)"))</f>
        <v/>
      </c>
    </row>
    <row r="1888" customFormat="false" ht="15" hidden="false" customHeight="false" outlineLevel="0" collapsed="false">
      <c r="A1888" s="102"/>
      <c r="B1888" s="104"/>
      <c r="C1888" s="104"/>
      <c r="F1888" s="103" t="str">
        <f aca="false">IF(OR($C1888="",$D1888=0),"",$E1888/$D1888)</f>
        <v/>
      </c>
      <c r="H1888" s="0" t="str">
        <f aca="false">IF($C1888="","",IF(COUNTIF('مواد المخزون'!$A$2:$A$86,$C1888)&gt;0,"نعم","لا (خارج الجرد)"))</f>
        <v/>
      </c>
    </row>
    <row r="1889" customFormat="false" ht="15" hidden="false" customHeight="false" outlineLevel="0" collapsed="false">
      <c r="A1889" s="102"/>
      <c r="B1889" s="104"/>
      <c r="C1889" s="104"/>
      <c r="F1889" s="103" t="str">
        <f aca="false">IF(OR($C1889="",$D1889=0),"",$E1889/$D1889)</f>
        <v/>
      </c>
      <c r="H1889" s="0" t="str">
        <f aca="false">IF($C1889="","",IF(COUNTIF('مواد المخزون'!$A$2:$A$86,$C1889)&gt;0,"نعم","لا (خارج الجرد)"))</f>
        <v/>
      </c>
    </row>
    <row r="1890" customFormat="false" ht="15" hidden="false" customHeight="false" outlineLevel="0" collapsed="false">
      <c r="A1890" s="102"/>
      <c r="B1890" s="104"/>
      <c r="C1890" s="104"/>
      <c r="F1890" s="103" t="str">
        <f aca="false">IF(OR($C1890="",$D1890=0),"",$E1890/$D1890)</f>
        <v/>
      </c>
      <c r="H1890" s="0" t="str">
        <f aca="false">IF($C1890="","",IF(COUNTIF('مواد المخزون'!$A$2:$A$86,$C1890)&gt;0,"نعم","لا (خارج الجرد)"))</f>
        <v/>
      </c>
    </row>
    <row r="1891" customFormat="false" ht="15" hidden="false" customHeight="false" outlineLevel="0" collapsed="false">
      <c r="A1891" s="102"/>
      <c r="B1891" s="104"/>
      <c r="C1891" s="104"/>
      <c r="F1891" s="103" t="str">
        <f aca="false">IF(OR($C1891="",$D1891=0),"",$E1891/$D1891)</f>
        <v/>
      </c>
      <c r="H1891" s="0" t="str">
        <f aca="false">IF($C1891="","",IF(COUNTIF('مواد المخزون'!$A$2:$A$86,$C1891)&gt;0,"نعم","لا (خارج الجرد)"))</f>
        <v/>
      </c>
    </row>
    <row r="1892" customFormat="false" ht="15" hidden="false" customHeight="false" outlineLevel="0" collapsed="false">
      <c r="A1892" s="102"/>
      <c r="B1892" s="104"/>
      <c r="C1892" s="104"/>
      <c r="F1892" s="103" t="str">
        <f aca="false">IF(OR($C1892="",$D1892=0),"",$E1892/$D1892)</f>
        <v/>
      </c>
      <c r="H1892" s="0" t="str">
        <f aca="false">IF($C1892="","",IF(COUNTIF('مواد المخزون'!$A$2:$A$86,$C1892)&gt;0,"نعم","لا (خارج الجرد)"))</f>
        <v/>
      </c>
    </row>
    <row r="1893" customFormat="false" ht="15" hidden="false" customHeight="false" outlineLevel="0" collapsed="false">
      <c r="A1893" s="102"/>
      <c r="B1893" s="104"/>
      <c r="C1893" s="104"/>
      <c r="F1893" s="103" t="str">
        <f aca="false">IF(OR($C1893="",$D1893=0),"",$E1893/$D1893)</f>
        <v/>
      </c>
      <c r="H1893" s="0" t="str">
        <f aca="false">IF($C1893="","",IF(COUNTIF('مواد المخزون'!$A$2:$A$86,$C1893)&gt;0,"نعم","لا (خارج الجرد)"))</f>
        <v/>
      </c>
    </row>
    <row r="1894" customFormat="false" ht="15" hidden="false" customHeight="false" outlineLevel="0" collapsed="false">
      <c r="A1894" s="102"/>
      <c r="B1894" s="104"/>
      <c r="C1894" s="104"/>
      <c r="F1894" s="103" t="str">
        <f aca="false">IF(OR($C1894="",$D1894=0),"",$E1894/$D1894)</f>
        <v/>
      </c>
      <c r="H1894" s="0" t="str">
        <f aca="false">IF($C1894="","",IF(COUNTIF('مواد المخزون'!$A$2:$A$86,$C1894)&gt;0,"نعم","لا (خارج الجرد)"))</f>
        <v/>
      </c>
    </row>
    <row r="1895" customFormat="false" ht="15" hidden="false" customHeight="false" outlineLevel="0" collapsed="false">
      <c r="A1895" s="102"/>
      <c r="B1895" s="104"/>
      <c r="C1895" s="104"/>
      <c r="F1895" s="103" t="str">
        <f aca="false">IF(OR($C1895="",$D1895=0),"",$E1895/$D1895)</f>
        <v/>
      </c>
      <c r="H1895" s="0" t="str">
        <f aca="false">IF($C1895="","",IF(COUNTIF('مواد المخزون'!$A$2:$A$86,$C1895)&gt;0,"نعم","لا (خارج الجرد)"))</f>
        <v/>
      </c>
    </row>
    <row r="1896" customFormat="false" ht="15" hidden="false" customHeight="false" outlineLevel="0" collapsed="false">
      <c r="A1896" s="102"/>
      <c r="B1896" s="104"/>
      <c r="C1896" s="104"/>
      <c r="F1896" s="103" t="str">
        <f aca="false">IF(OR($C1896="",$D1896=0),"",$E1896/$D1896)</f>
        <v/>
      </c>
      <c r="H1896" s="0" t="str">
        <f aca="false">IF($C1896="","",IF(COUNTIF('مواد المخزون'!$A$2:$A$86,$C1896)&gt;0,"نعم","لا (خارج الجرد)"))</f>
        <v/>
      </c>
    </row>
    <row r="1897" customFormat="false" ht="15" hidden="false" customHeight="false" outlineLevel="0" collapsed="false">
      <c r="A1897" s="102"/>
      <c r="B1897" s="104"/>
      <c r="C1897" s="104"/>
      <c r="F1897" s="103" t="str">
        <f aca="false">IF(OR($C1897="",$D1897=0),"",$E1897/$D1897)</f>
        <v/>
      </c>
      <c r="H1897" s="0" t="str">
        <f aca="false">IF($C1897="","",IF(COUNTIF('مواد المخزون'!$A$2:$A$86,$C1897)&gt;0,"نعم","لا (خارج الجرد)"))</f>
        <v/>
      </c>
    </row>
    <row r="1898" customFormat="false" ht="15" hidden="false" customHeight="false" outlineLevel="0" collapsed="false">
      <c r="A1898" s="102"/>
      <c r="B1898" s="104"/>
      <c r="C1898" s="104"/>
      <c r="F1898" s="103" t="str">
        <f aca="false">IF(OR($C1898="",$D1898=0),"",$E1898/$D1898)</f>
        <v/>
      </c>
      <c r="H1898" s="0" t="str">
        <f aca="false">IF($C1898="","",IF(COUNTIF('مواد المخزون'!$A$2:$A$86,$C1898)&gt;0,"نعم","لا (خارج الجرد)"))</f>
        <v/>
      </c>
    </row>
    <row r="1899" customFormat="false" ht="15" hidden="false" customHeight="false" outlineLevel="0" collapsed="false">
      <c r="A1899" s="102"/>
      <c r="B1899" s="104"/>
      <c r="C1899" s="104"/>
      <c r="F1899" s="103" t="str">
        <f aca="false">IF(OR($C1899="",$D1899=0),"",$E1899/$D1899)</f>
        <v/>
      </c>
      <c r="H1899" s="0" t="str">
        <f aca="false">IF($C1899="","",IF(COUNTIF('مواد المخزون'!$A$2:$A$86,$C1899)&gt;0,"نعم","لا (خارج الجرد)"))</f>
        <v/>
      </c>
    </row>
    <row r="1900" customFormat="false" ht="15" hidden="false" customHeight="false" outlineLevel="0" collapsed="false">
      <c r="A1900" s="102"/>
      <c r="B1900" s="104"/>
      <c r="C1900" s="104"/>
      <c r="F1900" s="103" t="str">
        <f aca="false">IF(OR($C1900="",$D1900=0),"",$E1900/$D1900)</f>
        <v/>
      </c>
      <c r="H1900" s="0" t="str">
        <f aca="false">IF($C1900="","",IF(COUNTIF('مواد المخزون'!$A$2:$A$86,$C1900)&gt;0,"نعم","لا (خارج الجرد)"))</f>
        <v/>
      </c>
    </row>
    <row r="1901" customFormat="false" ht="15" hidden="false" customHeight="false" outlineLevel="0" collapsed="false">
      <c r="A1901" s="102"/>
      <c r="B1901" s="104"/>
      <c r="C1901" s="104"/>
      <c r="F1901" s="103" t="str">
        <f aca="false">IF(OR($C1901="",$D1901=0),"",$E1901/$D1901)</f>
        <v/>
      </c>
      <c r="H1901" s="0" t="str">
        <f aca="false">IF($C1901="","",IF(COUNTIF('مواد المخزون'!$A$2:$A$86,$C1901)&gt;0,"نعم","لا (خارج الجرد)"))</f>
        <v/>
      </c>
    </row>
    <row r="1902" customFormat="false" ht="15" hidden="false" customHeight="false" outlineLevel="0" collapsed="false">
      <c r="A1902" s="102"/>
      <c r="B1902" s="104"/>
      <c r="C1902" s="104"/>
      <c r="F1902" s="103" t="str">
        <f aca="false">IF(OR($C1902="",$D1902=0),"",$E1902/$D1902)</f>
        <v/>
      </c>
      <c r="H1902" s="0" t="str">
        <f aca="false">IF($C1902="","",IF(COUNTIF('مواد المخزون'!$A$2:$A$86,$C1902)&gt;0,"نعم","لا (خارج الجرد)"))</f>
        <v/>
      </c>
    </row>
    <row r="1903" customFormat="false" ht="15" hidden="false" customHeight="false" outlineLevel="0" collapsed="false">
      <c r="A1903" s="102"/>
      <c r="B1903" s="104"/>
      <c r="C1903" s="104"/>
      <c r="F1903" s="103" t="str">
        <f aca="false">IF(OR($C1903="",$D1903=0),"",$E1903/$D1903)</f>
        <v/>
      </c>
      <c r="H1903" s="0" t="str">
        <f aca="false">IF($C1903="","",IF(COUNTIF('مواد المخزون'!$A$2:$A$86,$C1903)&gt;0,"نعم","لا (خارج الجرد)"))</f>
        <v/>
      </c>
    </row>
    <row r="1904" customFormat="false" ht="15" hidden="false" customHeight="false" outlineLevel="0" collapsed="false">
      <c r="A1904" s="102"/>
      <c r="B1904" s="104"/>
      <c r="C1904" s="104"/>
      <c r="F1904" s="103" t="str">
        <f aca="false">IF(OR($C1904="",$D1904=0),"",$E1904/$D1904)</f>
        <v/>
      </c>
      <c r="H1904" s="0" t="str">
        <f aca="false">IF($C1904="","",IF(COUNTIF('مواد المخزون'!$A$2:$A$86,$C1904)&gt;0,"نعم","لا (خارج الجرد)"))</f>
        <v/>
      </c>
    </row>
    <row r="1905" customFormat="false" ht="15" hidden="false" customHeight="false" outlineLevel="0" collapsed="false">
      <c r="A1905" s="102"/>
      <c r="B1905" s="104"/>
      <c r="C1905" s="104"/>
      <c r="F1905" s="103" t="str">
        <f aca="false">IF(OR($C1905="",$D1905=0),"",$E1905/$D1905)</f>
        <v/>
      </c>
      <c r="H1905" s="0" t="str">
        <f aca="false">IF($C1905="","",IF(COUNTIF('مواد المخزون'!$A$2:$A$86,$C1905)&gt;0,"نعم","لا (خارج الجرد)"))</f>
        <v/>
      </c>
    </row>
    <row r="1906" customFormat="false" ht="15" hidden="false" customHeight="false" outlineLevel="0" collapsed="false">
      <c r="A1906" s="102"/>
      <c r="B1906" s="104"/>
      <c r="C1906" s="104"/>
      <c r="F1906" s="103" t="str">
        <f aca="false">IF(OR($C1906="",$D1906=0),"",$E1906/$D1906)</f>
        <v/>
      </c>
      <c r="H1906" s="0" t="str">
        <f aca="false">IF($C1906="","",IF(COUNTIF('مواد المخزون'!$A$2:$A$86,$C1906)&gt;0,"نعم","لا (خارج الجرد)"))</f>
        <v/>
      </c>
    </row>
    <row r="1907" customFormat="false" ht="15" hidden="false" customHeight="false" outlineLevel="0" collapsed="false">
      <c r="A1907" s="102"/>
      <c r="B1907" s="104"/>
      <c r="C1907" s="104"/>
      <c r="F1907" s="103" t="str">
        <f aca="false">IF(OR($C1907="",$D1907=0),"",$E1907/$D1907)</f>
        <v/>
      </c>
      <c r="H1907" s="0" t="str">
        <f aca="false">IF($C1907="","",IF(COUNTIF('مواد المخزون'!$A$2:$A$86,$C1907)&gt;0,"نعم","لا (خارج الجرد)"))</f>
        <v/>
      </c>
    </row>
    <row r="1908" customFormat="false" ht="15" hidden="false" customHeight="false" outlineLevel="0" collapsed="false">
      <c r="A1908" s="102"/>
      <c r="B1908" s="104"/>
      <c r="C1908" s="104"/>
      <c r="F1908" s="103" t="str">
        <f aca="false">IF(OR($C1908="",$D1908=0),"",$E1908/$D1908)</f>
        <v/>
      </c>
      <c r="H1908" s="0" t="str">
        <f aca="false">IF($C1908="","",IF(COUNTIF('مواد المخزون'!$A$2:$A$86,$C1908)&gt;0,"نعم","لا (خارج الجرد)"))</f>
        <v/>
      </c>
    </row>
    <row r="1909" customFormat="false" ht="15" hidden="false" customHeight="false" outlineLevel="0" collapsed="false">
      <c r="A1909" s="102"/>
      <c r="B1909" s="104"/>
      <c r="C1909" s="104"/>
      <c r="F1909" s="103" t="str">
        <f aca="false">IF(OR($C1909="",$D1909=0),"",$E1909/$D1909)</f>
        <v/>
      </c>
      <c r="H1909" s="0" t="str">
        <f aca="false">IF($C1909="","",IF(COUNTIF('مواد المخزون'!$A$2:$A$86,$C1909)&gt;0,"نعم","لا (خارج الجرد)"))</f>
        <v/>
      </c>
    </row>
    <row r="1910" customFormat="false" ht="15" hidden="false" customHeight="false" outlineLevel="0" collapsed="false">
      <c r="A1910" s="102"/>
      <c r="B1910" s="104"/>
      <c r="C1910" s="104"/>
      <c r="F1910" s="103" t="str">
        <f aca="false">IF(OR($C1910="",$D1910=0),"",$E1910/$D1910)</f>
        <v/>
      </c>
      <c r="H1910" s="0" t="str">
        <f aca="false">IF($C1910="","",IF(COUNTIF('مواد المخزون'!$A$2:$A$86,$C1910)&gt;0,"نعم","لا (خارج الجرد)"))</f>
        <v/>
      </c>
    </row>
    <row r="1911" customFormat="false" ht="15" hidden="false" customHeight="false" outlineLevel="0" collapsed="false">
      <c r="A1911" s="102"/>
      <c r="B1911" s="104"/>
      <c r="C1911" s="104"/>
      <c r="F1911" s="103" t="str">
        <f aca="false">IF(OR($C1911="",$D1911=0),"",$E1911/$D1911)</f>
        <v/>
      </c>
      <c r="H1911" s="0" t="str">
        <f aca="false">IF($C1911="","",IF(COUNTIF('مواد المخزون'!$A$2:$A$86,$C1911)&gt;0,"نعم","لا (خارج الجرد)"))</f>
        <v/>
      </c>
    </row>
    <row r="1912" customFormat="false" ht="15" hidden="false" customHeight="false" outlineLevel="0" collapsed="false">
      <c r="A1912" s="102"/>
      <c r="B1912" s="104"/>
      <c r="C1912" s="104"/>
      <c r="F1912" s="103" t="str">
        <f aca="false">IF(OR($C1912="",$D1912=0),"",$E1912/$D1912)</f>
        <v/>
      </c>
      <c r="H1912" s="0" t="str">
        <f aca="false">IF($C1912="","",IF(COUNTIF('مواد المخزون'!$A$2:$A$86,$C1912)&gt;0,"نعم","لا (خارج الجرد)"))</f>
        <v/>
      </c>
    </row>
    <row r="1913" customFormat="false" ht="15" hidden="false" customHeight="false" outlineLevel="0" collapsed="false">
      <c r="A1913" s="102"/>
      <c r="B1913" s="104"/>
      <c r="C1913" s="104"/>
      <c r="F1913" s="103" t="str">
        <f aca="false">IF(OR($C1913="",$D1913=0),"",$E1913/$D1913)</f>
        <v/>
      </c>
      <c r="H1913" s="0" t="str">
        <f aca="false">IF($C1913="","",IF(COUNTIF('مواد المخزون'!$A$2:$A$86,$C1913)&gt;0,"نعم","لا (خارج الجرد)"))</f>
        <v/>
      </c>
    </row>
    <row r="1914" customFormat="false" ht="15" hidden="false" customHeight="false" outlineLevel="0" collapsed="false">
      <c r="A1914" s="102"/>
      <c r="B1914" s="104"/>
      <c r="C1914" s="104"/>
      <c r="F1914" s="103" t="str">
        <f aca="false">IF(OR($C1914="",$D1914=0),"",$E1914/$D1914)</f>
        <v/>
      </c>
      <c r="H1914" s="0" t="str">
        <f aca="false">IF($C1914="","",IF(COUNTIF('مواد المخزون'!$A$2:$A$86,$C1914)&gt;0,"نعم","لا (خارج الجرد)"))</f>
        <v/>
      </c>
    </row>
    <row r="1915" customFormat="false" ht="15" hidden="false" customHeight="false" outlineLevel="0" collapsed="false">
      <c r="A1915" s="102"/>
      <c r="B1915" s="104"/>
      <c r="C1915" s="104"/>
      <c r="F1915" s="103" t="str">
        <f aca="false">IF(OR($C1915="",$D1915=0),"",$E1915/$D1915)</f>
        <v/>
      </c>
      <c r="H1915" s="0" t="str">
        <f aca="false">IF($C1915="","",IF(COUNTIF('مواد المخزون'!$A$2:$A$86,$C1915)&gt;0,"نعم","لا (خارج الجرد)"))</f>
        <v/>
      </c>
    </row>
    <row r="1916" customFormat="false" ht="15" hidden="false" customHeight="false" outlineLevel="0" collapsed="false">
      <c r="A1916" s="102"/>
      <c r="B1916" s="104"/>
      <c r="C1916" s="104"/>
      <c r="F1916" s="103" t="str">
        <f aca="false">IF(OR($C1916="",$D1916=0),"",$E1916/$D1916)</f>
        <v/>
      </c>
      <c r="H1916" s="0" t="str">
        <f aca="false">IF($C1916="","",IF(COUNTIF('مواد المخزون'!$A$2:$A$86,$C1916)&gt;0,"نعم","لا (خارج الجرد)"))</f>
        <v/>
      </c>
    </row>
    <row r="1917" customFormat="false" ht="15" hidden="false" customHeight="false" outlineLevel="0" collapsed="false">
      <c r="A1917" s="102"/>
      <c r="B1917" s="104"/>
      <c r="C1917" s="104"/>
      <c r="F1917" s="103" t="str">
        <f aca="false">IF(OR($C1917="",$D1917=0),"",$E1917/$D1917)</f>
        <v/>
      </c>
      <c r="H1917" s="0" t="str">
        <f aca="false">IF($C1917="","",IF(COUNTIF('مواد المخزون'!$A$2:$A$86,$C1917)&gt;0,"نعم","لا (خارج الجرد)"))</f>
        <v/>
      </c>
    </row>
    <row r="1918" customFormat="false" ht="15" hidden="false" customHeight="false" outlineLevel="0" collapsed="false">
      <c r="A1918" s="102"/>
      <c r="B1918" s="104"/>
      <c r="C1918" s="104"/>
      <c r="F1918" s="103" t="str">
        <f aca="false">IF(OR($C1918="",$D1918=0),"",$E1918/$D1918)</f>
        <v/>
      </c>
      <c r="H1918" s="0" t="str">
        <f aca="false">IF($C1918="","",IF(COUNTIF('مواد المخزون'!$A$2:$A$86,$C1918)&gt;0,"نعم","لا (خارج الجرد)"))</f>
        <v/>
      </c>
    </row>
    <row r="1919" customFormat="false" ht="15" hidden="false" customHeight="false" outlineLevel="0" collapsed="false">
      <c r="A1919" s="102"/>
      <c r="B1919" s="104"/>
      <c r="C1919" s="104"/>
      <c r="F1919" s="103" t="str">
        <f aca="false">IF(OR($C1919="",$D1919=0),"",$E1919/$D1919)</f>
        <v/>
      </c>
      <c r="H1919" s="0" t="str">
        <f aca="false">IF($C1919="","",IF(COUNTIF('مواد المخزون'!$A$2:$A$86,$C1919)&gt;0,"نعم","لا (خارج الجرد)"))</f>
        <v/>
      </c>
    </row>
    <row r="1920" customFormat="false" ht="15" hidden="false" customHeight="false" outlineLevel="0" collapsed="false">
      <c r="A1920" s="102"/>
      <c r="B1920" s="104"/>
      <c r="C1920" s="104"/>
      <c r="F1920" s="103" t="str">
        <f aca="false">IF(OR($C1920="",$D1920=0),"",$E1920/$D1920)</f>
        <v/>
      </c>
      <c r="H1920" s="0" t="str">
        <f aca="false">IF($C1920="","",IF(COUNTIF('مواد المخزون'!$A$2:$A$86,$C1920)&gt;0,"نعم","لا (خارج الجرد)"))</f>
        <v/>
      </c>
    </row>
    <row r="1921" customFormat="false" ht="15" hidden="false" customHeight="false" outlineLevel="0" collapsed="false">
      <c r="A1921" s="102"/>
      <c r="B1921" s="104"/>
      <c r="C1921" s="104"/>
      <c r="F1921" s="103" t="str">
        <f aca="false">IF(OR($C1921="",$D1921=0),"",$E1921/$D1921)</f>
        <v/>
      </c>
      <c r="H1921" s="0" t="str">
        <f aca="false">IF($C1921="","",IF(COUNTIF('مواد المخزون'!$A$2:$A$86,$C1921)&gt;0,"نعم","لا (خارج الجرد)"))</f>
        <v/>
      </c>
    </row>
    <row r="1922" customFormat="false" ht="15" hidden="false" customHeight="false" outlineLevel="0" collapsed="false">
      <c r="A1922" s="102"/>
      <c r="B1922" s="104"/>
      <c r="C1922" s="104"/>
      <c r="F1922" s="103" t="str">
        <f aca="false">IF(OR($C1922="",$D1922=0),"",$E1922/$D1922)</f>
        <v/>
      </c>
      <c r="H1922" s="0" t="str">
        <f aca="false">IF($C1922="","",IF(COUNTIF('مواد المخزون'!$A$2:$A$86,$C1922)&gt;0,"نعم","لا (خارج الجرد)"))</f>
        <v/>
      </c>
    </row>
    <row r="1923" customFormat="false" ht="15" hidden="false" customHeight="false" outlineLevel="0" collapsed="false">
      <c r="A1923" s="102"/>
      <c r="B1923" s="104"/>
      <c r="C1923" s="104"/>
      <c r="F1923" s="103" t="str">
        <f aca="false">IF(OR($C1923="",$D1923=0),"",$E1923/$D1923)</f>
        <v/>
      </c>
      <c r="H1923" s="0" t="str">
        <f aca="false">IF($C1923="","",IF(COUNTIF('مواد المخزون'!$A$2:$A$86,$C1923)&gt;0,"نعم","لا (خارج الجرد)"))</f>
        <v/>
      </c>
    </row>
    <row r="1924" customFormat="false" ht="15" hidden="false" customHeight="false" outlineLevel="0" collapsed="false">
      <c r="A1924" s="102"/>
      <c r="B1924" s="104"/>
      <c r="C1924" s="104"/>
      <c r="F1924" s="103" t="str">
        <f aca="false">IF(OR($C1924="",$D1924=0),"",$E1924/$D1924)</f>
        <v/>
      </c>
      <c r="H1924" s="0" t="str">
        <f aca="false">IF($C1924="","",IF(COUNTIF('مواد المخزون'!$A$2:$A$86,$C1924)&gt;0,"نعم","لا (خارج الجرد)"))</f>
        <v/>
      </c>
    </row>
    <row r="1925" customFormat="false" ht="15" hidden="false" customHeight="false" outlineLevel="0" collapsed="false">
      <c r="A1925" s="102"/>
      <c r="B1925" s="104"/>
      <c r="C1925" s="104"/>
      <c r="F1925" s="103" t="str">
        <f aca="false">IF(OR($C1925="",$D1925=0),"",$E1925/$D1925)</f>
        <v/>
      </c>
      <c r="H1925" s="0" t="str">
        <f aca="false">IF($C1925="","",IF(COUNTIF('مواد المخزون'!$A$2:$A$86,$C1925)&gt;0,"نعم","لا (خارج الجرد)"))</f>
        <v/>
      </c>
    </row>
    <row r="1926" customFormat="false" ht="15" hidden="false" customHeight="false" outlineLevel="0" collapsed="false">
      <c r="A1926" s="102"/>
      <c r="B1926" s="104"/>
      <c r="C1926" s="104"/>
      <c r="F1926" s="103" t="str">
        <f aca="false">IF(OR($C1926="",$D1926=0),"",$E1926/$D1926)</f>
        <v/>
      </c>
      <c r="H1926" s="0" t="str">
        <f aca="false">IF($C1926="","",IF(COUNTIF('مواد المخزون'!$A$2:$A$86,$C1926)&gt;0,"نعم","لا (خارج الجرد)"))</f>
        <v/>
      </c>
    </row>
    <row r="1927" customFormat="false" ht="15" hidden="false" customHeight="false" outlineLevel="0" collapsed="false">
      <c r="A1927" s="102"/>
      <c r="B1927" s="104"/>
      <c r="C1927" s="104"/>
      <c r="F1927" s="103" t="str">
        <f aca="false">IF(OR($C1927="",$D1927=0),"",$E1927/$D1927)</f>
        <v/>
      </c>
      <c r="H1927" s="0" t="str">
        <f aca="false">IF($C1927="","",IF(COUNTIF('مواد المخزون'!$A$2:$A$86,$C1927)&gt;0,"نعم","لا (خارج الجرد)"))</f>
        <v/>
      </c>
    </row>
    <row r="1928" customFormat="false" ht="15" hidden="false" customHeight="false" outlineLevel="0" collapsed="false">
      <c r="A1928" s="102"/>
      <c r="B1928" s="104"/>
      <c r="C1928" s="104"/>
      <c r="F1928" s="103" t="str">
        <f aca="false">IF(OR($C1928="",$D1928=0),"",$E1928/$D1928)</f>
        <v/>
      </c>
      <c r="H1928" s="0" t="str">
        <f aca="false">IF($C1928="","",IF(COUNTIF('مواد المخزون'!$A$2:$A$86,$C1928)&gt;0,"نعم","لا (خارج الجرد)"))</f>
        <v/>
      </c>
    </row>
    <row r="1929" customFormat="false" ht="15" hidden="false" customHeight="false" outlineLevel="0" collapsed="false">
      <c r="A1929" s="102"/>
      <c r="B1929" s="104"/>
      <c r="C1929" s="104"/>
      <c r="F1929" s="103" t="str">
        <f aca="false">IF(OR($C1929="",$D1929=0),"",$E1929/$D1929)</f>
        <v/>
      </c>
      <c r="H1929" s="0" t="str">
        <f aca="false">IF($C1929="","",IF(COUNTIF('مواد المخزون'!$A$2:$A$86,$C1929)&gt;0,"نعم","لا (خارج الجرد)"))</f>
        <v/>
      </c>
    </row>
    <row r="1930" customFormat="false" ht="15" hidden="false" customHeight="false" outlineLevel="0" collapsed="false">
      <c r="A1930" s="102"/>
      <c r="B1930" s="104"/>
      <c r="C1930" s="104"/>
      <c r="F1930" s="103" t="str">
        <f aca="false">IF(OR($C1930="",$D1930=0),"",$E1930/$D1930)</f>
        <v/>
      </c>
      <c r="H1930" s="0" t="str">
        <f aca="false">IF($C1930="","",IF(COUNTIF('مواد المخزون'!$A$2:$A$86,$C1930)&gt;0,"نعم","لا (خارج الجرد)"))</f>
        <v/>
      </c>
    </row>
    <row r="1931" customFormat="false" ht="15" hidden="false" customHeight="false" outlineLevel="0" collapsed="false">
      <c r="A1931" s="102"/>
      <c r="B1931" s="104"/>
      <c r="C1931" s="104"/>
      <c r="F1931" s="103" t="str">
        <f aca="false">IF(OR($C1931="",$D1931=0),"",$E1931/$D1931)</f>
        <v/>
      </c>
      <c r="H1931" s="0" t="str">
        <f aca="false">IF($C1931="","",IF(COUNTIF('مواد المخزون'!$A$2:$A$86,$C1931)&gt;0,"نعم","لا (خارج الجرد)"))</f>
        <v/>
      </c>
    </row>
    <row r="1932" customFormat="false" ht="15" hidden="false" customHeight="false" outlineLevel="0" collapsed="false">
      <c r="A1932" s="102"/>
      <c r="B1932" s="104"/>
      <c r="C1932" s="104"/>
      <c r="F1932" s="103" t="str">
        <f aca="false">IF(OR($C1932="",$D1932=0),"",$E1932/$D1932)</f>
        <v/>
      </c>
      <c r="H1932" s="0" t="str">
        <f aca="false">IF($C1932="","",IF(COUNTIF('مواد المخزون'!$A$2:$A$86,$C1932)&gt;0,"نعم","لا (خارج الجرد)"))</f>
        <v/>
      </c>
    </row>
    <row r="1933" customFormat="false" ht="15" hidden="false" customHeight="false" outlineLevel="0" collapsed="false">
      <c r="A1933" s="102"/>
      <c r="B1933" s="104"/>
      <c r="C1933" s="104"/>
      <c r="F1933" s="103" t="str">
        <f aca="false">IF(OR($C1933="",$D1933=0),"",$E1933/$D1933)</f>
        <v/>
      </c>
      <c r="H1933" s="0" t="str">
        <f aca="false">IF($C1933="","",IF(COUNTIF('مواد المخزون'!$A$2:$A$86,$C1933)&gt;0,"نعم","لا (خارج الجرد)"))</f>
        <v/>
      </c>
    </row>
    <row r="1934" customFormat="false" ht="15" hidden="false" customHeight="false" outlineLevel="0" collapsed="false">
      <c r="A1934" s="102"/>
      <c r="B1934" s="104"/>
      <c r="C1934" s="104"/>
      <c r="F1934" s="103" t="str">
        <f aca="false">IF(OR($C1934="",$D1934=0),"",$E1934/$D1934)</f>
        <v/>
      </c>
      <c r="H1934" s="0" t="str">
        <f aca="false">IF($C1934="","",IF(COUNTIF('مواد المخزون'!$A$2:$A$86,$C1934)&gt;0,"نعم","لا (خارج الجرد)"))</f>
        <v/>
      </c>
    </row>
    <row r="1935" customFormat="false" ht="15" hidden="false" customHeight="false" outlineLevel="0" collapsed="false">
      <c r="A1935" s="102"/>
      <c r="B1935" s="104"/>
      <c r="C1935" s="104"/>
      <c r="F1935" s="103" t="str">
        <f aca="false">IF(OR($C1935="",$D1935=0),"",$E1935/$D1935)</f>
        <v/>
      </c>
      <c r="H1935" s="0" t="str">
        <f aca="false">IF($C1935="","",IF(COUNTIF('مواد المخزون'!$A$2:$A$86,$C1935)&gt;0,"نعم","لا (خارج الجرد)"))</f>
        <v/>
      </c>
    </row>
    <row r="1936" customFormat="false" ht="15" hidden="false" customHeight="false" outlineLevel="0" collapsed="false">
      <c r="A1936" s="102"/>
      <c r="B1936" s="104"/>
      <c r="C1936" s="104"/>
      <c r="F1936" s="103" t="str">
        <f aca="false">IF(OR($C1936="",$D1936=0),"",$E1936/$D1936)</f>
        <v/>
      </c>
      <c r="H1936" s="0" t="str">
        <f aca="false">IF($C1936="","",IF(COUNTIF('مواد المخزون'!$A$2:$A$86,$C1936)&gt;0,"نعم","لا (خارج الجرد)"))</f>
        <v/>
      </c>
    </row>
    <row r="1937" customFormat="false" ht="15" hidden="false" customHeight="false" outlineLevel="0" collapsed="false">
      <c r="A1937" s="102"/>
      <c r="B1937" s="104"/>
      <c r="C1937" s="104"/>
      <c r="F1937" s="103" t="str">
        <f aca="false">IF(OR($C1937="",$D1937=0),"",$E1937/$D1937)</f>
        <v/>
      </c>
      <c r="H1937" s="0" t="str">
        <f aca="false">IF($C1937="","",IF(COUNTIF('مواد المخزون'!$A$2:$A$86,$C1937)&gt;0,"نعم","لا (خارج الجرد)"))</f>
        <v/>
      </c>
    </row>
    <row r="1938" customFormat="false" ht="15" hidden="false" customHeight="false" outlineLevel="0" collapsed="false">
      <c r="A1938" s="102"/>
      <c r="B1938" s="104"/>
      <c r="C1938" s="104"/>
      <c r="F1938" s="103" t="str">
        <f aca="false">IF(OR($C1938="",$D1938=0),"",$E1938/$D1938)</f>
        <v/>
      </c>
      <c r="H1938" s="0" t="str">
        <f aca="false">IF($C1938="","",IF(COUNTIF('مواد المخزون'!$A$2:$A$86,$C1938)&gt;0,"نعم","لا (خارج الجرد)"))</f>
        <v/>
      </c>
    </row>
    <row r="1939" customFormat="false" ht="15" hidden="false" customHeight="false" outlineLevel="0" collapsed="false">
      <c r="A1939" s="102"/>
      <c r="B1939" s="104"/>
      <c r="C1939" s="104"/>
      <c r="F1939" s="103" t="str">
        <f aca="false">IF(OR($C1939="",$D1939=0),"",$E1939/$D1939)</f>
        <v/>
      </c>
      <c r="H1939" s="0" t="str">
        <f aca="false">IF($C1939="","",IF(COUNTIF('مواد المخزون'!$A$2:$A$86,$C1939)&gt;0,"نعم","لا (خارج الجرد)"))</f>
        <v/>
      </c>
    </row>
    <row r="1940" customFormat="false" ht="15" hidden="false" customHeight="false" outlineLevel="0" collapsed="false">
      <c r="A1940" s="102"/>
      <c r="B1940" s="104"/>
      <c r="C1940" s="104"/>
      <c r="F1940" s="103" t="str">
        <f aca="false">IF(OR($C1940="",$D1940=0),"",$E1940/$D1940)</f>
        <v/>
      </c>
      <c r="H1940" s="0" t="str">
        <f aca="false">IF($C1940="","",IF(COUNTIF('مواد المخزون'!$A$2:$A$86,$C1940)&gt;0,"نعم","لا (خارج الجرد)"))</f>
        <v/>
      </c>
    </row>
    <row r="1941" customFormat="false" ht="15" hidden="false" customHeight="false" outlineLevel="0" collapsed="false">
      <c r="A1941" s="102"/>
      <c r="B1941" s="104"/>
      <c r="C1941" s="104"/>
      <c r="F1941" s="103" t="str">
        <f aca="false">IF(OR($C1941="",$D1941=0),"",$E1941/$D1941)</f>
        <v/>
      </c>
      <c r="H1941" s="0" t="str">
        <f aca="false">IF($C1941="","",IF(COUNTIF('مواد المخزون'!$A$2:$A$86,$C1941)&gt;0,"نعم","لا (خارج الجرد)"))</f>
        <v/>
      </c>
    </row>
    <row r="1942" customFormat="false" ht="15" hidden="false" customHeight="false" outlineLevel="0" collapsed="false">
      <c r="A1942" s="102"/>
      <c r="B1942" s="104"/>
      <c r="C1942" s="104"/>
      <c r="F1942" s="103" t="str">
        <f aca="false">IF(OR($C1942="",$D1942=0),"",$E1942/$D1942)</f>
        <v/>
      </c>
      <c r="H1942" s="0" t="str">
        <f aca="false">IF($C1942="","",IF(COUNTIF('مواد المخزون'!$A$2:$A$86,$C1942)&gt;0,"نعم","لا (خارج الجرد)"))</f>
        <v/>
      </c>
    </row>
    <row r="1943" customFormat="false" ht="15" hidden="false" customHeight="false" outlineLevel="0" collapsed="false">
      <c r="A1943" s="102"/>
      <c r="B1943" s="104"/>
      <c r="C1943" s="104"/>
      <c r="F1943" s="103" t="str">
        <f aca="false">IF(OR($C1943="",$D1943=0),"",$E1943/$D1943)</f>
        <v/>
      </c>
      <c r="H1943" s="0" t="str">
        <f aca="false">IF($C1943="","",IF(COUNTIF('مواد المخزون'!$A$2:$A$86,$C1943)&gt;0,"نعم","لا (خارج الجرد)"))</f>
        <v/>
      </c>
    </row>
    <row r="1944" customFormat="false" ht="15" hidden="false" customHeight="false" outlineLevel="0" collapsed="false">
      <c r="A1944" s="102"/>
      <c r="B1944" s="104"/>
      <c r="C1944" s="104"/>
      <c r="F1944" s="103" t="str">
        <f aca="false">IF(OR($C1944="",$D1944=0),"",$E1944/$D1944)</f>
        <v/>
      </c>
      <c r="H1944" s="0" t="str">
        <f aca="false">IF($C1944="","",IF(COUNTIF('مواد المخزون'!$A$2:$A$86,$C1944)&gt;0,"نعم","لا (خارج الجرد)"))</f>
        <v/>
      </c>
    </row>
    <row r="1945" customFormat="false" ht="15" hidden="false" customHeight="false" outlineLevel="0" collapsed="false">
      <c r="A1945" s="102"/>
      <c r="B1945" s="104"/>
      <c r="C1945" s="104"/>
      <c r="F1945" s="103" t="str">
        <f aca="false">IF(OR($C1945="",$D1945=0),"",$E1945/$D1945)</f>
        <v/>
      </c>
      <c r="H1945" s="0" t="str">
        <f aca="false">IF($C1945="","",IF(COUNTIF('مواد المخزون'!$A$2:$A$86,$C1945)&gt;0,"نعم","لا (خارج الجرد)"))</f>
        <v/>
      </c>
    </row>
    <row r="1946" customFormat="false" ht="15" hidden="false" customHeight="false" outlineLevel="0" collapsed="false">
      <c r="A1946" s="102"/>
      <c r="B1946" s="104"/>
      <c r="C1946" s="104"/>
      <c r="F1946" s="103" t="str">
        <f aca="false">IF(OR($C1946="",$D1946=0),"",$E1946/$D1946)</f>
        <v/>
      </c>
      <c r="H1946" s="0" t="str">
        <f aca="false">IF($C1946="","",IF(COUNTIF('مواد المخزون'!$A$2:$A$86,$C1946)&gt;0,"نعم","لا (خارج الجرد)"))</f>
        <v/>
      </c>
    </row>
    <row r="1947" customFormat="false" ht="15" hidden="false" customHeight="false" outlineLevel="0" collapsed="false">
      <c r="A1947" s="102"/>
      <c r="B1947" s="104"/>
      <c r="C1947" s="104"/>
      <c r="F1947" s="103" t="str">
        <f aca="false">IF(OR($C1947="",$D1947=0),"",$E1947/$D1947)</f>
        <v/>
      </c>
      <c r="H1947" s="0" t="str">
        <f aca="false">IF($C1947="","",IF(COUNTIF('مواد المخزون'!$A$2:$A$86,$C1947)&gt;0,"نعم","لا (خارج الجرد)"))</f>
        <v/>
      </c>
    </row>
    <row r="1948" customFormat="false" ht="15" hidden="false" customHeight="false" outlineLevel="0" collapsed="false">
      <c r="A1948" s="102"/>
      <c r="B1948" s="104"/>
      <c r="C1948" s="104"/>
      <c r="F1948" s="103" t="str">
        <f aca="false">IF(OR($C1948="",$D1948=0),"",$E1948/$D1948)</f>
        <v/>
      </c>
      <c r="H1948" s="0" t="str">
        <f aca="false">IF($C1948="","",IF(COUNTIF('مواد المخزون'!$A$2:$A$86,$C1948)&gt;0,"نعم","لا (خارج الجرد)"))</f>
        <v/>
      </c>
    </row>
    <row r="1949" customFormat="false" ht="15" hidden="false" customHeight="false" outlineLevel="0" collapsed="false">
      <c r="A1949" s="102"/>
      <c r="B1949" s="104"/>
      <c r="C1949" s="104"/>
      <c r="F1949" s="103" t="str">
        <f aca="false">IF(OR($C1949="",$D1949=0),"",$E1949/$D1949)</f>
        <v/>
      </c>
      <c r="H1949" s="0" t="str">
        <f aca="false">IF($C1949="","",IF(COUNTIF('مواد المخزون'!$A$2:$A$86,$C1949)&gt;0,"نعم","لا (خارج الجرد)"))</f>
        <v/>
      </c>
    </row>
    <row r="1950" customFormat="false" ht="15" hidden="false" customHeight="false" outlineLevel="0" collapsed="false">
      <c r="A1950" s="102"/>
      <c r="B1950" s="104"/>
      <c r="C1950" s="104"/>
      <c r="F1950" s="103" t="str">
        <f aca="false">IF(OR($C1950="",$D1950=0),"",$E1950/$D1950)</f>
        <v/>
      </c>
      <c r="H1950" s="0" t="str">
        <f aca="false">IF($C1950="","",IF(COUNTIF('مواد المخزون'!$A$2:$A$86,$C1950)&gt;0,"نعم","لا (خارج الجرد)"))</f>
        <v/>
      </c>
    </row>
    <row r="1951" customFormat="false" ht="15" hidden="false" customHeight="false" outlineLevel="0" collapsed="false">
      <c r="A1951" s="102"/>
      <c r="B1951" s="104"/>
      <c r="C1951" s="104"/>
      <c r="F1951" s="103" t="str">
        <f aca="false">IF(OR($C1951="",$D1951=0),"",$E1951/$D1951)</f>
        <v/>
      </c>
      <c r="H1951" s="0" t="str">
        <f aca="false">IF($C1951="","",IF(COUNTIF('مواد المخزون'!$A$2:$A$86,$C1951)&gt;0,"نعم","لا (خارج الجرد)"))</f>
        <v/>
      </c>
    </row>
    <row r="1952" customFormat="false" ht="15" hidden="false" customHeight="false" outlineLevel="0" collapsed="false">
      <c r="A1952" s="102"/>
      <c r="B1952" s="104"/>
      <c r="C1952" s="104"/>
      <c r="F1952" s="103" t="str">
        <f aca="false">IF(OR($C1952="",$D1952=0),"",$E1952/$D1952)</f>
        <v/>
      </c>
      <c r="H1952" s="0" t="str">
        <f aca="false">IF($C1952="","",IF(COUNTIF('مواد المخزون'!$A$2:$A$86,$C1952)&gt;0,"نعم","لا (خارج الجرد)"))</f>
        <v/>
      </c>
    </row>
    <row r="1953" customFormat="false" ht="15" hidden="false" customHeight="false" outlineLevel="0" collapsed="false">
      <c r="A1953" s="102"/>
      <c r="B1953" s="104"/>
      <c r="C1953" s="104"/>
      <c r="F1953" s="103" t="str">
        <f aca="false">IF(OR($C1953="",$D1953=0),"",$E1953/$D1953)</f>
        <v/>
      </c>
      <c r="H1953" s="0" t="str">
        <f aca="false">IF($C1953="","",IF(COUNTIF('مواد المخزون'!$A$2:$A$86,$C1953)&gt;0,"نعم","لا (خارج الجرد)"))</f>
        <v/>
      </c>
    </row>
    <row r="1954" customFormat="false" ht="15" hidden="false" customHeight="false" outlineLevel="0" collapsed="false">
      <c r="A1954" s="102"/>
      <c r="B1954" s="104"/>
      <c r="C1954" s="104"/>
      <c r="F1954" s="103" t="str">
        <f aca="false">IF(OR($C1954="",$D1954=0),"",$E1954/$D1954)</f>
        <v/>
      </c>
      <c r="H1954" s="0" t="str">
        <f aca="false">IF($C1954="","",IF(COUNTIF('مواد المخزون'!$A$2:$A$86,$C1954)&gt;0,"نعم","لا (خارج الجرد)"))</f>
        <v/>
      </c>
    </row>
    <row r="1955" customFormat="false" ht="15" hidden="false" customHeight="false" outlineLevel="0" collapsed="false">
      <c r="A1955" s="102"/>
      <c r="B1955" s="104"/>
      <c r="C1955" s="104"/>
      <c r="F1955" s="103" t="str">
        <f aca="false">IF(OR($C1955="",$D1955=0),"",$E1955/$D1955)</f>
        <v/>
      </c>
      <c r="H1955" s="0" t="str">
        <f aca="false">IF($C1955="","",IF(COUNTIF('مواد المخزون'!$A$2:$A$86,$C1955)&gt;0,"نعم","لا (خارج الجرد)"))</f>
        <v/>
      </c>
    </row>
    <row r="1956" customFormat="false" ht="15" hidden="false" customHeight="false" outlineLevel="0" collapsed="false">
      <c r="A1956" s="102"/>
      <c r="B1956" s="104"/>
      <c r="C1956" s="104"/>
      <c r="F1956" s="103" t="str">
        <f aca="false">IF(OR($C1956="",$D1956=0),"",$E1956/$D1956)</f>
        <v/>
      </c>
      <c r="H1956" s="0" t="str">
        <f aca="false">IF($C1956="","",IF(COUNTIF('مواد المخزون'!$A$2:$A$86,$C1956)&gt;0,"نعم","لا (خارج الجرد)"))</f>
        <v/>
      </c>
    </row>
    <row r="1957" customFormat="false" ht="15" hidden="false" customHeight="false" outlineLevel="0" collapsed="false">
      <c r="A1957" s="102"/>
      <c r="B1957" s="104"/>
      <c r="C1957" s="104"/>
      <c r="F1957" s="103" t="str">
        <f aca="false">IF(OR($C1957="",$D1957=0),"",$E1957/$D1957)</f>
        <v/>
      </c>
      <c r="H1957" s="0" t="str">
        <f aca="false">IF($C1957="","",IF(COUNTIF('مواد المخزون'!$A$2:$A$86,$C1957)&gt;0,"نعم","لا (خارج الجرد)"))</f>
        <v/>
      </c>
    </row>
    <row r="1958" customFormat="false" ht="15" hidden="false" customHeight="false" outlineLevel="0" collapsed="false">
      <c r="A1958" s="102"/>
      <c r="B1958" s="104"/>
      <c r="C1958" s="104"/>
      <c r="F1958" s="103" t="str">
        <f aca="false">IF(OR($C1958="",$D1958=0),"",$E1958/$D1958)</f>
        <v/>
      </c>
      <c r="H1958" s="0" t="str">
        <f aca="false">IF($C1958="","",IF(COUNTIF('مواد المخزون'!$A$2:$A$86,$C1958)&gt;0,"نعم","لا (خارج الجرد)"))</f>
        <v/>
      </c>
    </row>
    <row r="1959" customFormat="false" ht="15" hidden="false" customHeight="false" outlineLevel="0" collapsed="false">
      <c r="A1959" s="102"/>
      <c r="B1959" s="104"/>
      <c r="C1959" s="104"/>
      <c r="F1959" s="103" t="str">
        <f aca="false">IF(OR($C1959="",$D1959=0),"",$E1959/$D1959)</f>
        <v/>
      </c>
      <c r="H1959" s="0" t="str">
        <f aca="false">IF($C1959="","",IF(COUNTIF('مواد المخزون'!$A$2:$A$86,$C1959)&gt;0,"نعم","لا (خارج الجرد)"))</f>
        <v/>
      </c>
    </row>
    <row r="1960" customFormat="false" ht="15" hidden="false" customHeight="false" outlineLevel="0" collapsed="false">
      <c r="A1960" s="102"/>
      <c r="B1960" s="104"/>
      <c r="C1960" s="104"/>
      <c r="F1960" s="103" t="str">
        <f aca="false">IF(OR($C1960="",$D1960=0),"",$E1960/$D1960)</f>
        <v/>
      </c>
      <c r="H1960" s="0" t="str">
        <f aca="false">IF($C1960="","",IF(COUNTIF('مواد المخزون'!$A$2:$A$86,$C1960)&gt;0,"نعم","لا (خارج الجرد)"))</f>
        <v/>
      </c>
    </row>
    <row r="1961" customFormat="false" ht="15" hidden="false" customHeight="false" outlineLevel="0" collapsed="false">
      <c r="A1961" s="102"/>
      <c r="B1961" s="104"/>
      <c r="C1961" s="104"/>
      <c r="F1961" s="103" t="str">
        <f aca="false">IF(OR($C1961="",$D1961=0),"",$E1961/$D1961)</f>
        <v/>
      </c>
      <c r="H1961" s="0" t="str">
        <f aca="false">IF($C1961="","",IF(COUNTIF('مواد المخزون'!$A$2:$A$86,$C1961)&gt;0,"نعم","لا (خارج الجرد)"))</f>
        <v/>
      </c>
    </row>
    <row r="1962" customFormat="false" ht="15" hidden="false" customHeight="false" outlineLevel="0" collapsed="false">
      <c r="A1962" s="102"/>
      <c r="B1962" s="104"/>
      <c r="C1962" s="104"/>
      <c r="F1962" s="103" t="str">
        <f aca="false">IF(OR($C1962="",$D1962=0),"",$E1962/$D1962)</f>
        <v/>
      </c>
      <c r="H1962" s="0" t="str">
        <f aca="false">IF($C1962="","",IF(COUNTIF('مواد المخزون'!$A$2:$A$86,$C1962)&gt;0,"نعم","لا (خارج الجرد)"))</f>
        <v/>
      </c>
    </row>
    <row r="1963" customFormat="false" ht="15" hidden="false" customHeight="false" outlineLevel="0" collapsed="false">
      <c r="A1963" s="102"/>
      <c r="B1963" s="104"/>
      <c r="C1963" s="104"/>
      <c r="F1963" s="103" t="str">
        <f aca="false">IF(OR($C1963="",$D1963=0),"",$E1963/$D1963)</f>
        <v/>
      </c>
      <c r="H1963" s="0" t="str">
        <f aca="false">IF($C1963="","",IF(COUNTIF('مواد المخزون'!$A$2:$A$86,$C1963)&gt;0,"نعم","لا (خارج الجرد)"))</f>
        <v/>
      </c>
    </row>
    <row r="1964" customFormat="false" ht="15" hidden="false" customHeight="false" outlineLevel="0" collapsed="false">
      <c r="A1964" s="102"/>
      <c r="B1964" s="104"/>
      <c r="C1964" s="104"/>
      <c r="F1964" s="103" t="str">
        <f aca="false">IF(OR($C1964="",$D1964=0),"",$E1964/$D1964)</f>
        <v/>
      </c>
      <c r="H1964" s="0" t="str">
        <f aca="false">IF($C1964="","",IF(COUNTIF('مواد المخزون'!$A$2:$A$86,$C1964)&gt;0,"نعم","لا (خارج الجرد)"))</f>
        <v/>
      </c>
    </row>
    <row r="1965" customFormat="false" ht="15" hidden="false" customHeight="false" outlineLevel="0" collapsed="false">
      <c r="A1965" s="102"/>
      <c r="B1965" s="104"/>
      <c r="C1965" s="104"/>
      <c r="F1965" s="103" t="str">
        <f aca="false">IF(OR($C1965="",$D1965=0),"",$E1965/$D1965)</f>
        <v/>
      </c>
      <c r="H1965" s="0" t="str">
        <f aca="false">IF($C1965="","",IF(COUNTIF('مواد المخزون'!$A$2:$A$86,$C1965)&gt;0,"نعم","لا (خارج الجرد)"))</f>
        <v/>
      </c>
    </row>
    <row r="1966" customFormat="false" ht="15" hidden="false" customHeight="false" outlineLevel="0" collapsed="false">
      <c r="A1966" s="102"/>
      <c r="B1966" s="104"/>
      <c r="C1966" s="104"/>
      <c r="F1966" s="103" t="str">
        <f aca="false">IF(OR($C1966="",$D1966=0),"",$E1966/$D1966)</f>
        <v/>
      </c>
      <c r="H1966" s="0" t="str">
        <f aca="false">IF($C1966="","",IF(COUNTIF('مواد المخزون'!$A$2:$A$86,$C1966)&gt;0,"نعم","لا (خارج الجرد)"))</f>
        <v/>
      </c>
    </row>
    <row r="1967" customFormat="false" ht="15" hidden="false" customHeight="false" outlineLevel="0" collapsed="false">
      <c r="A1967" s="102"/>
      <c r="B1967" s="104"/>
      <c r="C1967" s="104"/>
      <c r="F1967" s="103" t="str">
        <f aca="false">IF(OR($C1967="",$D1967=0),"",$E1967/$D1967)</f>
        <v/>
      </c>
      <c r="H1967" s="0" t="str">
        <f aca="false">IF($C1967="","",IF(COUNTIF('مواد المخزون'!$A$2:$A$86,$C1967)&gt;0,"نعم","لا (خارج الجرد)"))</f>
        <v/>
      </c>
    </row>
    <row r="1968" customFormat="false" ht="15" hidden="false" customHeight="false" outlineLevel="0" collapsed="false">
      <c r="A1968" s="102"/>
      <c r="B1968" s="104"/>
      <c r="C1968" s="104"/>
      <c r="F1968" s="103" t="str">
        <f aca="false">IF(OR($C1968="",$D1968=0),"",$E1968/$D1968)</f>
        <v/>
      </c>
      <c r="H1968" s="0" t="str">
        <f aca="false">IF($C1968="","",IF(COUNTIF('مواد المخزون'!$A$2:$A$86,$C1968)&gt;0,"نعم","لا (خارج الجرد)"))</f>
        <v/>
      </c>
    </row>
    <row r="1969" customFormat="false" ht="15" hidden="false" customHeight="false" outlineLevel="0" collapsed="false">
      <c r="A1969" s="102"/>
      <c r="B1969" s="104"/>
      <c r="C1969" s="104"/>
      <c r="F1969" s="103" t="str">
        <f aca="false">IF(OR($C1969="",$D1969=0),"",$E1969/$D1969)</f>
        <v/>
      </c>
      <c r="H1969" s="0" t="str">
        <f aca="false">IF($C1969="","",IF(COUNTIF('مواد المخزون'!$A$2:$A$86,$C1969)&gt;0,"نعم","لا (خارج الجرد)"))</f>
        <v/>
      </c>
    </row>
    <row r="1970" customFormat="false" ht="15" hidden="false" customHeight="false" outlineLevel="0" collapsed="false">
      <c r="A1970" s="102"/>
      <c r="B1970" s="104"/>
      <c r="C1970" s="104"/>
      <c r="F1970" s="103" t="str">
        <f aca="false">IF(OR($C1970="",$D1970=0),"",$E1970/$D1970)</f>
        <v/>
      </c>
      <c r="H1970" s="0" t="str">
        <f aca="false">IF($C1970="","",IF(COUNTIF('مواد المخزون'!$A$2:$A$86,$C1970)&gt;0,"نعم","لا (خارج الجرد)"))</f>
        <v/>
      </c>
    </row>
    <row r="1971" customFormat="false" ht="15" hidden="false" customHeight="false" outlineLevel="0" collapsed="false">
      <c r="A1971" s="102"/>
      <c r="B1971" s="104"/>
      <c r="C1971" s="104"/>
      <c r="F1971" s="103" t="str">
        <f aca="false">IF(OR($C1971="",$D1971=0),"",$E1971/$D1971)</f>
        <v/>
      </c>
      <c r="H1971" s="0" t="str">
        <f aca="false">IF($C1971="","",IF(COUNTIF('مواد المخزون'!$A$2:$A$86,$C1971)&gt;0,"نعم","لا (خارج الجرد)"))</f>
        <v/>
      </c>
    </row>
    <row r="1972" customFormat="false" ht="15" hidden="false" customHeight="false" outlineLevel="0" collapsed="false">
      <c r="A1972" s="102"/>
      <c r="B1972" s="104"/>
      <c r="C1972" s="104"/>
      <c r="F1972" s="103" t="str">
        <f aca="false">IF(OR($C1972="",$D1972=0),"",$E1972/$D1972)</f>
        <v/>
      </c>
      <c r="H1972" s="0" t="str">
        <f aca="false">IF($C1972="","",IF(COUNTIF('مواد المخزون'!$A$2:$A$86,$C1972)&gt;0,"نعم","لا (خارج الجرد)"))</f>
        <v/>
      </c>
    </row>
    <row r="1973" customFormat="false" ht="15" hidden="false" customHeight="false" outlineLevel="0" collapsed="false">
      <c r="A1973" s="102"/>
      <c r="B1973" s="104"/>
      <c r="C1973" s="104"/>
      <c r="F1973" s="103" t="str">
        <f aca="false">IF(OR($C1973="",$D1973=0),"",$E1973/$D1973)</f>
        <v/>
      </c>
      <c r="H1973" s="0" t="str">
        <f aca="false">IF($C1973="","",IF(COUNTIF('مواد المخزون'!$A$2:$A$86,$C1973)&gt;0,"نعم","لا (خارج الجرد)"))</f>
        <v/>
      </c>
    </row>
    <row r="1974" customFormat="false" ht="15" hidden="false" customHeight="false" outlineLevel="0" collapsed="false">
      <c r="A1974" s="102"/>
      <c r="B1974" s="104"/>
      <c r="C1974" s="104"/>
      <c r="F1974" s="103" t="str">
        <f aca="false">IF(OR($C1974="",$D1974=0),"",$E1974/$D1974)</f>
        <v/>
      </c>
      <c r="H1974" s="0" t="str">
        <f aca="false">IF($C1974="","",IF(COUNTIF('مواد المخزون'!$A$2:$A$86,$C1974)&gt;0,"نعم","لا (خارج الجرد)"))</f>
        <v/>
      </c>
    </row>
    <row r="1975" customFormat="false" ht="15" hidden="false" customHeight="false" outlineLevel="0" collapsed="false">
      <c r="A1975" s="102"/>
      <c r="B1975" s="104"/>
      <c r="C1975" s="104"/>
      <c r="F1975" s="103" t="str">
        <f aca="false">IF(OR($C1975="",$D1975=0),"",$E1975/$D1975)</f>
        <v/>
      </c>
      <c r="H1975" s="0" t="str">
        <f aca="false">IF($C1975="","",IF(COUNTIF('مواد المخزون'!$A$2:$A$86,$C1975)&gt;0,"نعم","لا (خارج الجرد)"))</f>
        <v/>
      </c>
    </row>
    <row r="1976" customFormat="false" ht="15" hidden="false" customHeight="false" outlineLevel="0" collapsed="false">
      <c r="A1976" s="102"/>
      <c r="B1976" s="104"/>
      <c r="C1976" s="104"/>
      <c r="F1976" s="103" t="str">
        <f aca="false">IF(OR($C1976="",$D1976=0),"",$E1976/$D1976)</f>
        <v/>
      </c>
      <c r="H1976" s="0" t="str">
        <f aca="false">IF($C1976="","",IF(COUNTIF('مواد المخزون'!$A$2:$A$86,$C1976)&gt;0,"نعم","لا (خارج الجرد)"))</f>
        <v/>
      </c>
    </row>
    <row r="1977" customFormat="false" ht="15" hidden="false" customHeight="false" outlineLevel="0" collapsed="false">
      <c r="A1977" s="102"/>
      <c r="B1977" s="104"/>
      <c r="C1977" s="104"/>
      <c r="F1977" s="103" t="str">
        <f aca="false">IF(OR($C1977="",$D1977=0),"",$E1977/$D1977)</f>
        <v/>
      </c>
      <c r="H1977" s="0" t="str">
        <f aca="false">IF($C1977="","",IF(COUNTIF('مواد المخزون'!$A$2:$A$86,$C1977)&gt;0,"نعم","لا (خارج الجرد)"))</f>
        <v/>
      </c>
    </row>
    <row r="1978" customFormat="false" ht="15" hidden="false" customHeight="false" outlineLevel="0" collapsed="false">
      <c r="A1978" s="102"/>
      <c r="B1978" s="104"/>
      <c r="C1978" s="104"/>
      <c r="F1978" s="103" t="str">
        <f aca="false">IF(OR($C1978="",$D1978=0),"",$E1978/$D1978)</f>
        <v/>
      </c>
      <c r="H1978" s="0" t="str">
        <f aca="false">IF($C1978="","",IF(COUNTIF('مواد المخزون'!$A$2:$A$86,$C1978)&gt;0,"نعم","لا (خارج الجرد)"))</f>
        <v/>
      </c>
    </row>
    <row r="1979" customFormat="false" ht="15" hidden="false" customHeight="false" outlineLevel="0" collapsed="false">
      <c r="A1979" s="102"/>
      <c r="B1979" s="104"/>
      <c r="C1979" s="104"/>
      <c r="F1979" s="103" t="str">
        <f aca="false">IF(OR($C1979="",$D1979=0),"",$E1979/$D1979)</f>
        <v/>
      </c>
      <c r="H1979" s="0" t="str">
        <f aca="false">IF($C1979="","",IF(COUNTIF('مواد المخزون'!$A$2:$A$86,$C1979)&gt;0,"نعم","لا (خارج الجرد)"))</f>
        <v/>
      </c>
    </row>
    <row r="1980" customFormat="false" ht="15" hidden="false" customHeight="false" outlineLevel="0" collapsed="false">
      <c r="A1980" s="102"/>
      <c r="B1980" s="104"/>
      <c r="C1980" s="104"/>
      <c r="F1980" s="103" t="str">
        <f aca="false">IF(OR($C1980="",$D1980=0),"",$E1980/$D1980)</f>
        <v/>
      </c>
      <c r="H1980" s="0" t="str">
        <f aca="false">IF($C1980="","",IF(COUNTIF('مواد المخزون'!$A$2:$A$86,$C1980)&gt;0,"نعم","لا (خارج الجرد)"))</f>
        <v/>
      </c>
    </row>
    <row r="1981" customFormat="false" ht="15" hidden="false" customHeight="false" outlineLevel="0" collapsed="false">
      <c r="A1981" s="102"/>
      <c r="B1981" s="104"/>
      <c r="C1981" s="104"/>
      <c r="F1981" s="103" t="str">
        <f aca="false">IF(OR($C1981="",$D1981=0),"",$E1981/$D1981)</f>
        <v/>
      </c>
      <c r="H1981" s="0" t="str">
        <f aca="false">IF($C1981="","",IF(COUNTIF('مواد المخزون'!$A$2:$A$86,$C1981)&gt;0,"نعم","لا (خارج الجرد)"))</f>
        <v/>
      </c>
    </row>
    <row r="1982" customFormat="false" ht="15" hidden="false" customHeight="false" outlineLevel="0" collapsed="false">
      <c r="A1982" s="102"/>
      <c r="B1982" s="104"/>
      <c r="C1982" s="104"/>
      <c r="F1982" s="103" t="str">
        <f aca="false">IF(OR($C1982="",$D1982=0),"",$E1982/$D1982)</f>
        <v/>
      </c>
      <c r="H1982" s="0" t="str">
        <f aca="false">IF($C1982="","",IF(COUNTIF('مواد المخزون'!$A$2:$A$86,$C1982)&gt;0,"نعم","لا (خارج الجرد)"))</f>
        <v/>
      </c>
    </row>
    <row r="1983" customFormat="false" ht="15" hidden="false" customHeight="false" outlineLevel="0" collapsed="false">
      <c r="A1983" s="102"/>
      <c r="B1983" s="104"/>
      <c r="C1983" s="104"/>
      <c r="F1983" s="103" t="str">
        <f aca="false">IF(OR($C1983="",$D1983=0),"",$E1983/$D1983)</f>
        <v/>
      </c>
      <c r="H1983" s="0" t="str">
        <f aca="false">IF($C1983="","",IF(COUNTIF('مواد المخزون'!$A$2:$A$86,$C1983)&gt;0,"نعم","لا (خارج الجرد)"))</f>
        <v/>
      </c>
    </row>
    <row r="1984" customFormat="false" ht="15" hidden="false" customHeight="false" outlineLevel="0" collapsed="false">
      <c r="A1984" s="102"/>
      <c r="B1984" s="104"/>
      <c r="C1984" s="104"/>
      <c r="F1984" s="103" t="str">
        <f aca="false">IF(OR($C1984="",$D1984=0),"",$E1984/$D1984)</f>
        <v/>
      </c>
      <c r="H1984" s="0" t="str">
        <f aca="false">IF($C1984="","",IF(COUNTIF('مواد المخزون'!$A$2:$A$86,$C1984)&gt;0,"نعم","لا (خارج الجرد)"))</f>
        <v/>
      </c>
    </row>
    <row r="1985" customFormat="false" ht="15" hidden="false" customHeight="false" outlineLevel="0" collapsed="false">
      <c r="A1985" s="102"/>
      <c r="B1985" s="104"/>
      <c r="C1985" s="104"/>
      <c r="F1985" s="103" t="str">
        <f aca="false">IF(OR($C1985="",$D1985=0),"",$E1985/$D1985)</f>
        <v/>
      </c>
      <c r="H1985" s="0" t="str">
        <f aca="false">IF($C1985="","",IF(COUNTIF('مواد المخزون'!$A$2:$A$86,$C1985)&gt;0,"نعم","لا (خارج الجرد)"))</f>
        <v/>
      </c>
    </row>
    <row r="1986" customFormat="false" ht="15" hidden="false" customHeight="false" outlineLevel="0" collapsed="false">
      <c r="A1986" s="102"/>
      <c r="B1986" s="104"/>
      <c r="C1986" s="104"/>
      <c r="F1986" s="103" t="str">
        <f aca="false">IF(OR($C1986="",$D1986=0),"",$E1986/$D1986)</f>
        <v/>
      </c>
      <c r="H1986" s="0" t="str">
        <f aca="false">IF($C1986="","",IF(COUNTIF('مواد المخزون'!$A$2:$A$86,$C1986)&gt;0,"نعم","لا (خارج الجرد)"))</f>
        <v/>
      </c>
    </row>
    <row r="1987" customFormat="false" ht="15" hidden="false" customHeight="false" outlineLevel="0" collapsed="false">
      <c r="A1987" s="102"/>
      <c r="B1987" s="104"/>
      <c r="C1987" s="104"/>
      <c r="F1987" s="103" t="str">
        <f aca="false">IF(OR($C1987="",$D1987=0),"",$E1987/$D1987)</f>
        <v/>
      </c>
      <c r="H1987" s="0" t="str">
        <f aca="false">IF($C1987="","",IF(COUNTIF('مواد المخزون'!$A$2:$A$86,$C1987)&gt;0,"نعم","لا (خارج الجرد)"))</f>
        <v/>
      </c>
    </row>
    <row r="1988" customFormat="false" ht="15" hidden="false" customHeight="false" outlineLevel="0" collapsed="false">
      <c r="A1988" s="102"/>
      <c r="B1988" s="104"/>
      <c r="C1988" s="104"/>
      <c r="F1988" s="103" t="str">
        <f aca="false">IF(OR($C1988="",$D1988=0),"",$E1988/$D1988)</f>
        <v/>
      </c>
      <c r="H1988" s="0" t="str">
        <f aca="false">IF($C1988="","",IF(COUNTIF('مواد المخزون'!$A$2:$A$86,$C1988)&gt;0,"نعم","لا (خارج الجرد)"))</f>
        <v/>
      </c>
    </row>
    <row r="1989" customFormat="false" ht="15" hidden="false" customHeight="false" outlineLevel="0" collapsed="false">
      <c r="A1989" s="102"/>
      <c r="B1989" s="104"/>
      <c r="C1989" s="104"/>
      <c r="F1989" s="103" t="str">
        <f aca="false">IF(OR($C1989="",$D1989=0),"",$E1989/$D1989)</f>
        <v/>
      </c>
      <c r="H1989" s="0" t="str">
        <f aca="false">IF($C1989="","",IF(COUNTIF('مواد المخزون'!$A$2:$A$86,$C1989)&gt;0,"نعم","لا (خارج الجرد)"))</f>
        <v/>
      </c>
    </row>
    <row r="1990" customFormat="false" ht="15" hidden="false" customHeight="false" outlineLevel="0" collapsed="false">
      <c r="A1990" s="102"/>
      <c r="B1990" s="104"/>
      <c r="C1990" s="104"/>
      <c r="F1990" s="103" t="str">
        <f aca="false">IF(OR($C1990="",$D1990=0),"",$E1990/$D1990)</f>
        <v/>
      </c>
      <c r="H1990" s="0" t="str">
        <f aca="false">IF($C1990="","",IF(COUNTIF('مواد المخزون'!$A$2:$A$86,$C1990)&gt;0,"نعم","لا (خارج الجرد)"))</f>
        <v/>
      </c>
    </row>
    <row r="1991" customFormat="false" ht="15" hidden="false" customHeight="false" outlineLevel="0" collapsed="false">
      <c r="A1991" s="102"/>
      <c r="B1991" s="104"/>
      <c r="C1991" s="104"/>
      <c r="F1991" s="103" t="str">
        <f aca="false">IF(OR($C1991="",$D1991=0),"",$E1991/$D1991)</f>
        <v/>
      </c>
      <c r="H1991" s="0" t="str">
        <f aca="false">IF($C1991="","",IF(COUNTIF('مواد المخزون'!$A$2:$A$86,$C1991)&gt;0,"نعم","لا (خارج الجرد)"))</f>
        <v/>
      </c>
    </row>
    <row r="1992" customFormat="false" ht="15" hidden="false" customHeight="false" outlineLevel="0" collapsed="false">
      <c r="A1992" s="102"/>
      <c r="B1992" s="104"/>
      <c r="C1992" s="104"/>
      <c r="F1992" s="103" t="str">
        <f aca="false">IF(OR($C1992="",$D1992=0),"",$E1992/$D1992)</f>
        <v/>
      </c>
      <c r="H1992" s="0" t="str">
        <f aca="false">IF($C1992="","",IF(COUNTIF('مواد المخزون'!$A$2:$A$86,$C1992)&gt;0,"نعم","لا (خارج الجرد)"))</f>
        <v/>
      </c>
    </row>
    <row r="1993" customFormat="false" ht="15" hidden="false" customHeight="false" outlineLevel="0" collapsed="false">
      <c r="A1993" s="102"/>
      <c r="B1993" s="104"/>
      <c r="C1993" s="104"/>
      <c r="F1993" s="103" t="str">
        <f aca="false">IF(OR($C1993="",$D1993=0),"",$E1993/$D1993)</f>
        <v/>
      </c>
      <c r="H1993" s="0" t="str">
        <f aca="false">IF($C1993="","",IF(COUNTIF('مواد المخزون'!$A$2:$A$86,$C1993)&gt;0,"نعم","لا (خارج الجرد)"))</f>
        <v/>
      </c>
    </row>
    <row r="1994" customFormat="false" ht="15" hidden="false" customHeight="false" outlineLevel="0" collapsed="false">
      <c r="A1994" s="102"/>
      <c r="B1994" s="104"/>
      <c r="C1994" s="104"/>
      <c r="F1994" s="103" t="str">
        <f aca="false">IF(OR($C1994="",$D1994=0),"",$E1994/$D1994)</f>
        <v/>
      </c>
      <c r="H1994" s="0" t="str">
        <f aca="false">IF($C1994="","",IF(COUNTIF('مواد المخزون'!$A$2:$A$86,$C1994)&gt;0,"نعم","لا (خارج الجرد)"))</f>
        <v/>
      </c>
    </row>
    <row r="1995" customFormat="false" ht="15" hidden="false" customHeight="false" outlineLevel="0" collapsed="false">
      <c r="A1995" s="102"/>
      <c r="B1995" s="104"/>
      <c r="C1995" s="104"/>
      <c r="F1995" s="103" t="str">
        <f aca="false">IF(OR($C1995="",$D1995=0),"",$E1995/$D1995)</f>
        <v/>
      </c>
      <c r="H1995" s="0" t="str">
        <f aca="false">IF($C1995="","",IF(COUNTIF('مواد المخزون'!$A$2:$A$86,$C1995)&gt;0,"نعم","لا (خارج الجرد)"))</f>
        <v/>
      </c>
    </row>
    <row r="1996" customFormat="false" ht="15" hidden="false" customHeight="false" outlineLevel="0" collapsed="false">
      <c r="A1996" s="102"/>
      <c r="B1996" s="104"/>
      <c r="C1996" s="104"/>
      <c r="F1996" s="103" t="str">
        <f aca="false">IF(OR($C1996="",$D1996=0),"",$E1996/$D1996)</f>
        <v/>
      </c>
      <c r="H1996" s="0" t="str">
        <f aca="false">IF($C1996="","",IF(COUNTIF('مواد المخزون'!$A$2:$A$86,$C1996)&gt;0,"نعم","لا (خارج الجرد)"))</f>
        <v/>
      </c>
    </row>
    <row r="1997" customFormat="false" ht="15" hidden="false" customHeight="false" outlineLevel="0" collapsed="false">
      <c r="A1997" s="102"/>
      <c r="B1997" s="104"/>
      <c r="C1997" s="104"/>
      <c r="F1997" s="103" t="str">
        <f aca="false">IF(OR($C1997="",$D1997=0),"",$E1997/$D1997)</f>
        <v/>
      </c>
      <c r="H1997" s="0" t="str">
        <f aca="false">IF($C1997="","",IF(COUNTIF('مواد المخزون'!$A$2:$A$86,$C1997)&gt;0,"نعم","لا (خارج الجرد)"))</f>
        <v/>
      </c>
    </row>
    <row r="1998" customFormat="false" ht="15" hidden="false" customHeight="false" outlineLevel="0" collapsed="false">
      <c r="A1998" s="102"/>
      <c r="B1998" s="104"/>
      <c r="C1998" s="104"/>
      <c r="F1998" s="103" t="str">
        <f aca="false">IF(OR($C1998="",$D1998=0),"",$E1998/$D1998)</f>
        <v/>
      </c>
      <c r="H1998" s="0" t="str">
        <f aca="false">IF($C1998="","",IF(COUNTIF('مواد المخزون'!$A$2:$A$86,$C1998)&gt;0,"نعم","لا (خارج الجرد)"))</f>
        <v/>
      </c>
    </row>
    <row r="1999" customFormat="false" ht="15" hidden="false" customHeight="false" outlineLevel="0" collapsed="false">
      <c r="A1999" s="102"/>
      <c r="B1999" s="104"/>
      <c r="C1999" s="104"/>
      <c r="F1999" s="103" t="str">
        <f aca="false">IF(OR($C1999="",$D1999=0),"",$E1999/$D1999)</f>
        <v/>
      </c>
      <c r="H1999" s="0" t="str">
        <f aca="false">IF($C1999="","",IF(COUNTIF('مواد المخزون'!$A$2:$A$86,$C1999)&gt;0,"نعم","لا (خارج الجرد)"))</f>
        <v/>
      </c>
    </row>
    <row r="2000" customFormat="false" ht="15" hidden="false" customHeight="false" outlineLevel="0" collapsed="false">
      <c r="A2000" s="102"/>
      <c r="B2000" s="104"/>
      <c r="C2000" s="104"/>
      <c r="F2000" s="103" t="str">
        <f aca="false">IF(OR($C2000="",$D2000=0),"",$E2000/$D2000)</f>
        <v/>
      </c>
      <c r="H2000" s="0" t="str">
        <f aca="false">IF($C2000="","",IF(COUNTIF('مواد المخزون'!$A$2:$A$86,$C2000)&gt;0,"نعم","لا (خارج الجرد)"))</f>
        <v/>
      </c>
    </row>
    <row r="2001" customFormat="false" ht="15" hidden="false" customHeight="false" outlineLevel="0" collapsed="false">
      <c r="A2001" s="102"/>
      <c r="B2001" s="104"/>
      <c r="C2001" s="104"/>
      <c r="F2001" s="103" t="str">
        <f aca="false">IF(OR($C2001="",$D2001=0),"",$E2001/$D2001)</f>
        <v/>
      </c>
      <c r="H2001" s="0" t="str">
        <f aca="false">IF($C2001="","",IF(COUNTIF('مواد المخزون'!$A$2:$A$86,$C2001)&gt;0,"نعم","لا (خارج الجرد)"))</f>
        <v/>
      </c>
    </row>
    <row r="2002" customFormat="false" ht="15" hidden="false" customHeight="false" outlineLevel="0" collapsed="false">
      <c r="A2002" s="102"/>
      <c r="B2002" s="104"/>
      <c r="C2002" s="104"/>
      <c r="F2002" s="103" t="str">
        <f aca="false">IF(OR($C2002="",$D2002=0),"",$E2002/$D2002)</f>
        <v/>
      </c>
      <c r="H2002" s="0" t="str">
        <f aca="false">IF($C2002="","",IF(COUNTIF('مواد المخزون'!$A$2:$A$86,$C2002)&gt;0,"نعم","لا (خارج الجرد)"))</f>
        <v/>
      </c>
    </row>
    <row r="2003" customFormat="false" ht="15" hidden="false" customHeight="false" outlineLevel="0" collapsed="false">
      <c r="A2003" s="102"/>
      <c r="B2003" s="104"/>
      <c r="C2003" s="104"/>
      <c r="F2003" s="103" t="str">
        <f aca="false">IF(OR($C2003="",$D2003=0),"",$E2003/$D2003)</f>
        <v/>
      </c>
      <c r="H2003" s="0" t="str">
        <f aca="false">IF($C2003="","",IF(COUNTIF('مواد المخزون'!$A$2:$A$86,$C2003)&gt;0,"نعم","لا (خارج الجرد)"))</f>
        <v/>
      </c>
    </row>
    <row r="2004" customFormat="false" ht="15" hidden="false" customHeight="false" outlineLevel="0" collapsed="false">
      <c r="A2004" s="102"/>
      <c r="B2004" s="104"/>
      <c r="C2004" s="104"/>
      <c r="F2004" s="103" t="str">
        <f aca="false">IF(OR($C2004="",$D2004=0),"",$E2004/$D2004)</f>
        <v/>
      </c>
      <c r="H2004" s="0" t="str">
        <f aca="false">IF($C2004="","",IF(COUNTIF('مواد المخزون'!$A$2:$A$86,$C2004)&gt;0,"نعم","لا (خارج الجرد)"))</f>
        <v/>
      </c>
    </row>
    <row r="2005" customFormat="false" ht="15" hidden="false" customHeight="false" outlineLevel="0" collapsed="false">
      <c r="A2005" s="102"/>
      <c r="B2005" s="104"/>
      <c r="C2005" s="104"/>
      <c r="F2005" s="103" t="str">
        <f aca="false">IF(OR($C2005="",$D2005=0),"",$E2005/$D2005)</f>
        <v/>
      </c>
      <c r="H2005" s="0" t="str">
        <f aca="false">IF($C2005="","",IF(COUNTIF('مواد المخزون'!$A$2:$A$86,$C2005)&gt;0,"نعم","لا (خارج الجرد)"))</f>
        <v/>
      </c>
    </row>
    <row r="2006" customFormat="false" ht="15" hidden="false" customHeight="false" outlineLevel="0" collapsed="false">
      <c r="A2006" s="102"/>
      <c r="B2006" s="104"/>
      <c r="C2006" s="104"/>
      <c r="F2006" s="103" t="str">
        <f aca="false">IF(OR($C2006="",$D2006=0),"",$E2006/$D2006)</f>
        <v/>
      </c>
      <c r="H2006" s="0" t="str">
        <f aca="false">IF($C2006="","",IF(COUNTIF('مواد المخزون'!$A$2:$A$86,$C2006)&gt;0,"نعم","لا (خارج الجرد)"))</f>
        <v/>
      </c>
    </row>
    <row r="2007" customFormat="false" ht="15" hidden="false" customHeight="false" outlineLevel="0" collapsed="false">
      <c r="A2007" s="102"/>
      <c r="B2007" s="104"/>
      <c r="C2007" s="104"/>
      <c r="F2007" s="103" t="str">
        <f aca="false">IF(OR($C2007="",$D2007=0),"",$E2007/$D2007)</f>
        <v/>
      </c>
      <c r="H2007" s="0" t="str">
        <f aca="false">IF($C2007="","",IF(COUNTIF('مواد المخزون'!$A$2:$A$86,$C2007)&gt;0,"نعم","لا (خارج الجرد)"))</f>
        <v/>
      </c>
    </row>
    <row r="2008" customFormat="false" ht="15" hidden="false" customHeight="false" outlineLevel="0" collapsed="false">
      <c r="A2008" s="102"/>
      <c r="B2008" s="104"/>
      <c r="C2008" s="104"/>
      <c r="F2008" s="103" t="str">
        <f aca="false">IF(OR($C2008="",$D2008=0),"",$E2008/$D2008)</f>
        <v/>
      </c>
      <c r="H2008" s="0" t="str">
        <f aca="false">IF($C2008="","",IF(COUNTIF('مواد المخزون'!$A$2:$A$86,$C2008)&gt;0,"نعم","لا (خارج الجرد)"))</f>
        <v/>
      </c>
    </row>
    <row r="2009" customFormat="false" ht="15" hidden="false" customHeight="false" outlineLevel="0" collapsed="false">
      <c r="A2009" s="102"/>
      <c r="B2009" s="104"/>
      <c r="C2009" s="104"/>
      <c r="F2009" s="103" t="str">
        <f aca="false">IF(OR($C2009="",$D2009=0),"",$E2009/$D2009)</f>
        <v/>
      </c>
      <c r="H2009" s="0" t="str">
        <f aca="false">IF($C2009="","",IF(COUNTIF('مواد المخزون'!$A$2:$A$86,$C2009)&gt;0,"نعم","لا (خارج الجرد)"))</f>
        <v/>
      </c>
    </row>
    <row r="2010" customFormat="false" ht="15" hidden="false" customHeight="false" outlineLevel="0" collapsed="false">
      <c r="A2010" s="102"/>
      <c r="B2010" s="104"/>
      <c r="C2010" s="104"/>
      <c r="F2010" s="103" t="str">
        <f aca="false">IF(OR($C2010="",$D2010=0),"",$E2010/$D2010)</f>
        <v/>
      </c>
      <c r="H2010" s="0" t="str">
        <f aca="false">IF($C2010="","",IF(COUNTIF('مواد المخزون'!$A$2:$A$86,$C2010)&gt;0,"نعم","لا (خارج الجرد)"))</f>
        <v/>
      </c>
    </row>
    <row r="2011" customFormat="false" ht="15" hidden="false" customHeight="false" outlineLevel="0" collapsed="false">
      <c r="A2011" s="102"/>
      <c r="B2011" s="104"/>
      <c r="C2011" s="104"/>
      <c r="F2011" s="103" t="str">
        <f aca="false">IF(OR($C2011="",$D2011=0),"",$E2011/$D2011)</f>
        <v/>
      </c>
      <c r="H2011" s="0" t="str">
        <f aca="false">IF($C2011="","",IF(COUNTIF('مواد المخزون'!$A$2:$A$86,$C2011)&gt;0,"نعم","لا (خارج الجرد)"))</f>
        <v/>
      </c>
    </row>
    <row r="2012" customFormat="false" ht="15" hidden="false" customHeight="false" outlineLevel="0" collapsed="false">
      <c r="A2012" s="102"/>
      <c r="B2012" s="104"/>
      <c r="C2012" s="104"/>
      <c r="F2012" s="103" t="str">
        <f aca="false">IF(OR($C2012="",$D2012=0),"",$E2012/$D2012)</f>
        <v/>
      </c>
      <c r="H2012" s="0" t="str">
        <f aca="false">IF($C2012="","",IF(COUNTIF('مواد المخزون'!$A$2:$A$86,$C2012)&gt;0,"نعم","لا (خارج الجرد)"))</f>
        <v/>
      </c>
    </row>
    <row r="2013" customFormat="false" ht="15" hidden="false" customHeight="false" outlineLevel="0" collapsed="false">
      <c r="A2013" s="102"/>
      <c r="B2013" s="104"/>
      <c r="C2013" s="104"/>
      <c r="F2013" s="103" t="str">
        <f aca="false">IF(OR($C2013="",$D2013=0),"",$E2013/$D2013)</f>
        <v/>
      </c>
      <c r="H2013" s="0" t="str">
        <f aca="false">IF($C2013="","",IF(COUNTIF('مواد المخزون'!$A$2:$A$86,$C2013)&gt;0,"نعم","لا (خارج الجرد)"))</f>
        <v/>
      </c>
    </row>
    <row r="2014" customFormat="false" ht="15" hidden="false" customHeight="false" outlineLevel="0" collapsed="false">
      <c r="A2014" s="102"/>
      <c r="B2014" s="104"/>
      <c r="C2014" s="104"/>
      <c r="F2014" s="103" t="str">
        <f aca="false">IF(OR($C2014="",$D2014=0),"",$E2014/$D2014)</f>
        <v/>
      </c>
      <c r="H2014" s="0" t="str">
        <f aca="false">IF($C2014="","",IF(COUNTIF('مواد المخزون'!$A$2:$A$86,$C2014)&gt;0,"نعم","لا (خارج الجرد)"))</f>
        <v/>
      </c>
    </row>
    <row r="2015" customFormat="false" ht="15" hidden="false" customHeight="false" outlineLevel="0" collapsed="false">
      <c r="A2015" s="102"/>
      <c r="B2015" s="104"/>
      <c r="C2015" s="104"/>
      <c r="F2015" s="103" t="str">
        <f aca="false">IF(OR($C2015="",$D2015=0),"",$E2015/$D2015)</f>
        <v/>
      </c>
      <c r="H2015" s="0" t="str">
        <f aca="false">IF($C2015="","",IF(COUNTIF('مواد المخزون'!$A$2:$A$86,$C2015)&gt;0,"نعم","لا (خارج الجرد)"))</f>
        <v/>
      </c>
    </row>
    <row r="2016" customFormat="false" ht="15" hidden="false" customHeight="false" outlineLevel="0" collapsed="false">
      <c r="A2016" s="102"/>
      <c r="B2016" s="104"/>
      <c r="C2016" s="104"/>
      <c r="F2016" s="103" t="str">
        <f aca="false">IF(OR($C2016="",$D2016=0),"",$E2016/$D2016)</f>
        <v/>
      </c>
      <c r="H2016" s="0" t="str">
        <f aca="false">IF($C2016="","",IF(COUNTIF('مواد المخزون'!$A$2:$A$86,$C2016)&gt;0,"نعم","لا (خارج الجرد)"))</f>
        <v/>
      </c>
    </row>
    <row r="2017" customFormat="false" ht="15" hidden="false" customHeight="false" outlineLevel="0" collapsed="false">
      <c r="A2017" s="102"/>
      <c r="B2017" s="104"/>
      <c r="C2017" s="104"/>
      <c r="F2017" s="103" t="str">
        <f aca="false">IF(OR($C2017="",$D2017=0),"",$E2017/$D2017)</f>
        <v/>
      </c>
      <c r="H2017" s="0" t="str">
        <f aca="false">IF($C2017="","",IF(COUNTIF('مواد المخزون'!$A$2:$A$86,$C2017)&gt;0,"نعم","لا (خارج الجرد)"))</f>
        <v/>
      </c>
    </row>
    <row r="2018" customFormat="false" ht="15" hidden="false" customHeight="false" outlineLevel="0" collapsed="false">
      <c r="A2018" s="102"/>
      <c r="B2018" s="104"/>
      <c r="C2018" s="104"/>
      <c r="F2018" s="103" t="str">
        <f aca="false">IF(OR($C2018="",$D2018=0),"",$E2018/$D2018)</f>
        <v/>
      </c>
      <c r="H2018" s="0" t="str">
        <f aca="false">IF($C2018="","",IF(COUNTIF('مواد المخزون'!$A$2:$A$86,$C2018)&gt;0,"نعم","لا (خارج الجرد)"))</f>
        <v/>
      </c>
    </row>
    <row r="2019" customFormat="false" ht="15" hidden="false" customHeight="false" outlineLevel="0" collapsed="false">
      <c r="A2019" s="102"/>
      <c r="B2019" s="104"/>
      <c r="C2019" s="104"/>
      <c r="F2019" s="103" t="str">
        <f aca="false">IF(OR($C2019="",$D2019=0),"",$E2019/$D2019)</f>
        <v/>
      </c>
      <c r="H2019" s="0" t="str">
        <f aca="false">IF($C2019="","",IF(COUNTIF('مواد المخزون'!$A$2:$A$86,$C2019)&gt;0,"نعم","لا (خارج الجرد)"))</f>
        <v/>
      </c>
    </row>
    <row r="2020" customFormat="false" ht="15" hidden="false" customHeight="false" outlineLevel="0" collapsed="false">
      <c r="A2020" s="102"/>
      <c r="B2020" s="104"/>
      <c r="C2020" s="104"/>
      <c r="F2020" s="103" t="str">
        <f aca="false">IF(OR($C2020="",$D2020=0),"",$E2020/$D2020)</f>
        <v/>
      </c>
      <c r="H2020" s="0" t="str">
        <f aca="false">IF($C2020="","",IF(COUNTIF('مواد المخزون'!$A$2:$A$86,$C2020)&gt;0,"نعم","لا (خارج الجرد)"))</f>
        <v/>
      </c>
    </row>
    <row r="2021" customFormat="false" ht="15" hidden="false" customHeight="false" outlineLevel="0" collapsed="false">
      <c r="A2021" s="102"/>
      <c r="B2021" s="104"/>
      <c r="C2021" s="104"/>
      <c r="F2021" s="103" t="str">
        <f aca="false">IF(OR($C2021="",$D2021=0),"",$E2021/$D2021)</f>
        <v/>
      </c>
      <c r="H2021" s="0" t="str">
        <f aca="false">IF($C2021="","",IF(COUNTIF('مواد المخزون'!$A$2:$A$86,$C2021)&gt;0,"نعم","لا (خارج الجرد)"))</f>
        <v/>
      </c>
    </row>
    <row r="2022" customFormat="false" ht="15" hidden="false" customHeight="false" outlineLevel="0" collapsed="false">
      <c r="A2022" s="102"/>
      <c r="B2022" s="104"/>
      <c r="C2022" s="104"/>
      <c r="F2022" s="103" t="str">
        <f aca="false">IF(OR($C2022="",$D2022=0),"",$E2022/$D2022)</f>
        <v/>
      </c>
      <c r="H2022" s="0" t="str">
        <f aca="false">IF($C2022="","",IF(COUNTIF('مواد المخزون'!$A$2:$A$86,$C2022)&gt;0,"نعم","لا (خارج الجرد)"))</f>
        <v/>
      </c>
    </row>
    <row r="2023" customFormat="false" ht="15" hidden="false" customHeight="false" outlineLevel="0" collapsed="false">
      <c r="A2023" s="102"/>
      <c r="B2023" s="104"/>
      <c r="C2023" s="104"/>
      <c r="F2023" s="103" t="str">
        <f aca="false">IF(OR($C2023="",$D2023=0),"",$E2023/$D2023)</f>
        <v/>
      </c>
      <c r="H2023" s="0" t="str">
        <f aca="false">IF($C2023="","",IF(COUNTIF('مواد المخزون'!$A$2:$A$86,$C2023)&gt;0,"نعم","لا (خارج الجرد)"))</f>
        <v/>
      </c>
    </row>
    <row r="2024" customFormat="false" ht="15" hidden="false" customHeight="false" outlineLevel="0" collapsed="false">
      <c r="A2024" s="102"/>
      <c r="B2024" s="104"/>
      <c r="C2024" s="104"/>
      <c r="F2024" s="103" t="str">
        <f aca="false">IF(OR($C2024="",$D2024=0),"",$E2024/$D2024)</f>
        <v/>
      </c>
      <c r="H2024" s="0" t="str">
        <f aca="false">IF($C2024="","",IF(COUNTIF('مواد المخزون'!$A$2:$A$86,$C2024)&gt;0,"نعم","لا (خارج الجرد)"))</f>
        <v/>
      </c>
    </row>
    <row r="2025" customFormat="false" ht="15" hidden="false" customHeight="false" outlineLevel="0" collapsed="false">
      <c r="A2025" s="102"/>
      <c r="B2025" s="104"/>
      <c r="C2025" s="104"/>
      <c r="F2025" s="103" t="str">
        <f aca="false">IF(OR($C2025="",$D2025=0),"",$E2025/$D2025)</f>
        <v/>
      </c>
      <c r="H2025" s="0" t="str">
        <f aca="false">IF($C2025="","",IF(COUNTIF('مواد المخزون'!$A$2:$A$86,$C2025)&gt;0,"نعم","لا (خارج الجرد)"))</f>
        <v/>
      </c>
    </row>
    <row r="2026" customFormat="false" ht="15" hidden="false" customHeight="false" outlineLevel="0" collapsed="false">
      <c r="A2026" s="102"/>
      <c r="B2026" s="104"/>
      <c r="C2026" s="104"/>
      <c r="F2026" s="103" t="str">
        <f aca="false">IF(OR($C2026="",$D2026=0),"",$E2026/$D2026)</f>
        <v/>
      </c>
      <c r="H2026" s="0" t="str">
        <f aca="false">IF($C2026="","",IF(COUNTIF('مواد المخزون'!$A$2:$A$86,$C2026)&gt;0,"نعم","لا (خارج الجرد)"))</f>
        <v/>
      </c>
    </row>
    <row r="2027" customFormat="false" ht="15" hidden="false" customHeight="false" outlineLevel="0" collapsed="false">
      <c r="A2027" s="102"/>
      <c r="B2027" s="104"/>
      <c r="C2027" s="104"/>
      <c r="F2027" s="103" t="str">
        <f aca="false">IF(OR($C2027="",$D2027=0),"",$E2027/$D2027)</f>
        <v/>
      </c>
      <c r="H2027" s="0" t="str">
        <f aca="false">IF($C2027="","",IF(COUNTIF('مواد المخزون'!$A$2:$A$86,$C2027)&gt;0,"نعم","لا (خارج الجرد)"))</f>
        <v/>
      </c>
    </row>
    <row r="2028" customFormat="false" ht="15" hidden="false" customHeight="false" outlineLevel="0" collapsed="false">
      <c r="A2028" s="102"/>
      <c r="B2028" s="104"/>
      <c r="C2028" s="104"/>
      <c r="F2028" s="103" t="str">
        <f aca="false">IF(OR($C2028="",$D2028=0),"",$E2028/$D2028)</f>
        <v/>
      </c>
      <c r="H2028" s="0" t="str">
        <f aca="false">IF($C2028="","",IF(COUNTIF('مواد المخزون'!$A$2:$A$86,$C2028)&gt;0,"نعم","لا (خارج الجرد)"))</f>
        <v/>
      </c>
    </row>
    <row r="2029" customFormat="false" ht="15" hidden="false" customHeight="false" outlineLevel="0" collapsed="false">
      <c r="A2029" s="102"/>
      <c r="B2029" s="104"/>
      <c r="C2029" s="104"/>
      <c r="F2029" s="103" t="str">
        <f aca="false">IF(OR($C2029="",$D2029=0),"",$E2029/$D2029)</f>
        <v/>
      </c>
      <c r="H2029" s="0" t="str">
        <f aca="false">IF($C2029="","",IF(COUNTIF('مواد المخزون'!$A$2:$A$86,$C2029)&gt;0,"نعم","لا (خارج الجرد)"))</f>
        <v/>
      </c>
    </row>
    <row r="2030" customFormat="false" ht="15" hidden="false" customHeight="false" outlineLevel="0" collapsed="false">
      <c r="A2030" s="102"/>
      <c r="B2030" s="104"/>
      <c r="C2030" s="104"/>
      <c r="F2030" s="103" t="str">
        <f aca="false">IF(OR($C2030="",$D2030=0),"",$E2030/$D2030)</f>
        <v/>
      </c>
      <c r="H2030" s="0" t="str">
        <f aca="false">IF($C2030="","",IF(COUNTIF('مواد المخزون'!$A$2:$A$86,$C2030)&gt;0,"نعم","لا (خارج الجرد)"))</f>
        <v/>
      </c>
    </row>
    <row r="2031" customFormat="false" ht="15" hidden="false" customHeight="false" outlineLevel="0" collapsed="false">
      <c r="A2031" s="102"/>
      <c r="B2031" s="104"/>
      <c r="C2031" s="104"/>
      <c r="F2031" s="103" t="str">
        <f aca="false">IF(OR($C2031="",$D2031=0),"",$E2031/$D2031)</f>
        <v/>
      </c>
      <c r="H2031" s="0" t="str">
        <f aca="false">IF($C2031="","",IF(COUNTIF('مواد المخزون'!$A$2:$A$86,$C2031)&gt;0,"نعم","لا (خارج الجرد)"))</f>
        <v/>
      </c>
    </row>
    <row r="2032" customFormat="false" ht="15" hidden="false" customHeight="false" outlineLevel="0" collapsed="false">
      <c r="A2032" s="102"/>
      <c r="B2032" s="104"/>
      <c r="C2032" s="104"/>
      <c r="F2032" s="103" t="str">
        <f aca="false">IF(OR($C2032="",$D2032=0),"",$E2032/$D2032)</f>
        <v/>
      </c>
      <c r="H2032" s="0" t="str">
        <f aca="false">IF($C2032="","",IF(COUNTIF('مواد المخزون'!$A$2:$A$86,$C2032)&gt;0,"نعم","لا (خارج الجرد)"))</f>
        <v/>
      </c>
    </row>
    <row r="2033" customFormat="false" ht="15" hidden="false" customHeight="false" outlineLevel="0" collapsed="false">
      <c r="A2033" s="102"/>
      <c r="B2033" s="104"/>
      <c r="C2033" s="104"/>
      <c r="F2033" s="103" t="str">
        <f aca="false">IF(OR($C2033="",$D2033=0),"",$E2033/$D2033)</f>
        <v/>
      </c>
      <c r="H2033" s="0" t="str">
        <f aca="false">IF($C2033="","",IF(COUNTIF('مواد المخزون'!$A$2:$A$86,$C2033)&gt;0,"نعم","لا (خارج الجرد)"))</f>
        <v/>
      </c>
    </row>
    <row r="2034" customFormat="false" ht="15" hidden="false" customHeight="false" outlineLevel="0" collapsed="false">
      <c r="A2034" s="102"/>
      <c r="B2034" s="104"/>
      <c r="C2034" s="104"/>
      <c r="F2034" s="103" t="str">
        <f aca="false">IF(OR($C2034="",$D2034=0),"",$E2034/$D2034)</f>
        <v/>
      </c>
      <c r="H2034" s="0" t="str">
        <f aca="false">IF($C2034="","",IF(COUNTIF('مواد المخزون'!$A$2:$A$86,$C2034)&gt;0,"نعم","لا (خارج الجرد)"))</f>
        <v/>
      </c>
    </row>
    <row r="2035" customFormat="false" ht="15" hidden="false" customHeight="false" outlineLevel="0" collapsed="false">
      <c r="A2035" s="102"/>
      <c r="B2035" s="104"/>
      <c r="C2035" s="104"/>
      <c r="F2035" s="103" t="str">
        <f aca="false">IF(OR($C2035="",$D2035=0),"",$E2035/$D2035)</f>
        <v/>
      </c>
      <c r="H2035" s="0" t="str">
        <f aca="false">IF($C2035="","",IF(COUNTIF('مواد المخزون'!$A$2:$A$86,$C2035)&gt;0,"نعم","لا (خارج الجرد)"))</f>
        <v/>
      </c>
    </row>
    <row r="2036" customFormat="false" ht="15" hidden="false" customHeight="false" outlineLevel="0" collapsed="false">
      <c r="A2036" s="102"/>
      <c r="B2036" s="104"/>
      <c r="C2036" s="104"/>
      <c r="F2036" s="103" t="str">
        <f aca="false">IF(OR($C2036="",$D2036=0),"",$E2036/$D2036)</f>
        <v/>
      </c>
      <c r="H2036" s="0" t="str">
        <f aca="false">IF($C2036="","",IF(COUNTIF('مواد المخزون'!$A$2:$A$86,$C2036)&gt;0,"نعم","لا (خارج الجرد)"))</f>
        <v/>
      </c>
    </row>
    <row r="2037" customFormat="false" ht="15" hidden="false" customHeight="false" outlineLevel="0" collapsed="false">
      <c r="A2037" s="102"/>
      <c r="B2037" s="104"/>
      <c r="C2037" s="104"/>
      <c r="F2037" s="103" t="str">
        <f aca="false">IF(OR($C2037="",$D2037=0),"",$E2037/$D2037)</f>
        <v/>
      </c>
      <c r="H2037" s="0" t="str">
        <f aca="false">IF($C2037="","",IF(COUNTIF('مواد المخزون'!$A$2:$A$86,$C2037)&gt;0,"نعم","لا (خارج الجرد)"))</f>
        <v/>
      </c>
    </row>
    <row r="2038" customFormat="false" ht="15" hidden="false" customHeight="false" outlineLevel="0" collapsed="false">
      <c r="A2038" s="102"/>
      <c r="B2038" s="104"/>
      <c r="C2038" s="104"/>
      <c r="F2038" s="103" t="str">
        <f aca="false">IF(OR($C2038="",$D2038=0),"",$E2038/$D2038)</f>
        <v/>
      </c>
      <c r="H2038" s="0" t="str">
        <f aca="false">IF($C2038="","",IF(COUNTIF('مواد المخزون'!$A$2:$A$86,$C2038)&gt;0,"نعم","لا (خارج الجرد)"))</f>
        <v/>
      </c>
    </row>
    <row r="2039" customFormat="false" ht="15" hidden="false" customHeight="false" outlineLevel="0" collapsed="false">
      <c r="A2039" s="102"/>
      <c r="B2039" s="104"/>
      <c r="C2039" s="104"/>
      <c r="F2039" s="103" t="str">
        <f aca="false">IF(OR($C2039="",$D2039=0),"",$E2039/$D2039)</f>
        <v/>
      </c>
      <c r="H2039" s="0" t="str">
        <f aca="false">IF($C2039="","",IF(COUNTIF('مواد المخزون'!$A$2:$A$86,$C2039)&gt;0,"نعم","لا (خارج الجرد)"))</f>
        <v/>
      </c>
    </row>
    <row r="2040" customFormat="false" ht="15" hidden="false" customHeight="false" outlineLevel="0" collapsed="false">
      <c r="A2040" s="102"/>
      <c r="B2040" s="104"/>
      <c r="C2040" s="104"/>
      <c r="F2040" s="103" t="str">
        <f aca="false">IF(OR($C2040="",$D2040=0),"",$E2040/$D2040)</f>
        <v/>
      </c>
      <c r="H2040" s="0" t="str">
        <f aca="false">IF($C2040="","",IF(COUNTIF('مواد المخزون'!$A$2:$A$86,$C2040)&gt;0,"نعم","لا (خارج الجرد)"))</f>
        <v/>
      </c>
    </row>
    <row r="2041" customFormat="false" ht="15" hidden="false" customHeight="false" outlineLevel="0" collapsed="false">
      <c r="A2041" s="102"/>
      <c r="B2041" s="104"/>
      <c r="C2041" s="104"/>
      <c r="F2041" s="103" t="str">
        <f aca="false">IF(OR($C2041="",$D2041=0),"",$E2041/$D2041)</f>
        <v/>
      </c>
      <c r="H2041" s="0" t="str">
        <f aca="false">IF($C2041="","",IF(COUNTIF('مواد المخزون'!$A$2:$A$86,$C2041)&gt;0,"نعم","لا (خارج الجرد)"))</f>
        <v/>
      </c>
    </row>
    <row r="2042" customFormat="false" ht="15" hidden="false" customHeight="false" outlineLevel="0" collapsed="false">
      <c r="A2042" s="102"/>
      <c r="B2042" s="104"/>
      <c r="C2042" s="104"/>
      <c r="F2042" s="103" t="str">
        <f aca="false">IF(OR($C2042="",$D2042=0),"",$E2042/$D2042)</f>
        <v/>
      </c>
      <c r="H2042" s="0" t="str">
        <f aca="false">IF($C2042="","",IF(COUNTIF('مواد المخزون'!$A$2:$A$86,$C2042)&gt;0,"نعم","لا (خارج الجرد)"))</f>
        <v/>
      </c>
    </row>
    <row r="2043" customFormat="false" ht="15" hidden="false" customHeight="false" outlineLevel="0" collapsed="false">
      <c r="A2043" s="102"/>
      <c r="B2043" s="104"/>
      <c r="C2043" s="104"/>
      <c r="F2043" s="103" t="str">
        <f aca="false">IF(OR($C2043="",$D2043=0),"",$E2043/$D2043)</f>
        <v/>
      </c>
      <c r="H2043" s="0" t="str">
        <f aca="false">IF($C2043="","",IF(COUNTIF('مواد المخزون'!$A$2:$A$86,$C2043)&gt;0,"نعم","لا (خارج الجرد)"))</f>
        <v/>
      </c>
    </row>
    <row r="2044" customFormat="false" ht="15" hidden="false" customHeight="false" outlineLevel="0" collapsed="false">
      <c r="A2044" s="102"/>
      <c r="B2044" s="104"/>
      <c r="C2044" s="104"/>
      <c r="F2044" s="103" t="str">
        <f aca="false">IF(OR($C2044="",$D2044=0),"",$E2044/$D2044)</f>
        <v/>
      </c>
      <c r="H2044" s="0" t="str">
        <f aca="false">IF($C2044="","",IF(COUNTIF('مواد المخزون'!$A$2:$A$86,$C2044)&gt;0,"نعم","لا (خارج الجرد)"))</f>
        <v/>
      </c>
    </row>
    <row r="2045" customFormat="false" ht="15" hidden="false" customHeight="false" outlineLevel="0" collapsed="false">
      <c r="A2045" s="102"/>
      <c r="B2045" s="104"/>
      <c r="C2045" s="104"/>
      <c r="F2045" s="103" t="str">
        <f aca="false">IF(OR($C2045="",$D2045=0),"",$E2045/$D2045)</f>
        <v/>
      </c>
      <c r="H2045" s="0" t="str">
        <f aca="false">IF($C2045="","",IF(COUNTIF('مواد المخزون'!$A$2:$A$86,$C2045)&gt;0,"نعم","لا (خارج الجرد)"))</f>
        <v/>
      </c>
    </row>
    <row r="2046" customFormat="false" ht="15" hidden="false" customHeight="false" outlineLevel="0" collapsed="false">
      <c r="A2046" s="102"/>
      <c r="B2046" s="104"/>
      <c r="C2046" s="104"/>
      <c r="F2046" s="103" t="str">
        <f aca="false">IF(OR($C2046="",$D2046=0),"",$E2046/$D2046)</f>
        <v/>
      </c>
      <c r="H2046" s="0" t="str">
        <f aca="false">IF($C2046="","",IF(COUNTIF('مواد المخزون'!$A$2:$A$86,$C2046)&gt;0,"نعم","لا (خارج الجرد)"))</f>
        <v/>
      </c>
    </row>
    <row r="2047" customFormat="false" ht="15" hidden="false" customHeight="false" outlineLevel="0" collapsed="false">
      <c r="A2047" s="102"/>
      <c r="B2047" s="104"/>
      <c r="C2047" s="104"/>
      <c r="F2047" s="103" t="str">
        <f aca="false">IF(OR($C2047="",$D2047=0),"",$E2047/$D2047)</f>
        <v/>
      </c>
      <c r="H2047" s="0" t="str">
        <f aca="false">IF($C2047="","",IF(COUNTIF('مواد المخزون'!$A$2:$A$86,$C2047)&gt;0,"نعم","لا (خارج الجرد)"))</f>
        <v/>
      </c>
    </row>
    <row r="2048" customFormat="false" ht="15" hidden="false" customHeight="false" outlineLevel="0" collapsed="false">
      <c r="A2048" s="102"/>
      <c r="B2048" s="104"/>
      <c r="C2048" s="104"/>
      <c r="F2048" s="103" t="str">
        <f aca="false">IF(OR($C2048="",$D2048=0),"",$E2048/$D2048)</f>
        <v/>
      </c>
      <c r="H2048" s="0" t="str">
        <f aca="false">IF($C2048="","",IF(COUNTIF('مواد المخزون'!$A$2:$A$86,$C2048)&gt;0,"نعم","لا (خارج الجرد)"))</f>
        <v/>
      </c>
    </row>
    <row r="2049" customFormat="false" ht="15" hidden="false" customHeight="false" outlineLevel="0" collapsed="false">
      <c r="A2049" s="102"/>
      <c r="B2049" s="104"/>
      <c r="C2049" s="104"/>
      <c r="F2049" s="103" t="str">
        <f aca="false">IF(OR($C2049="",$D2049=0),"",$E2049/$D2049)</f>
        <v/>
      </c>
      <c r="H2049" s="0" t="str">
        <f aca="false">IF($C2049="","",IF(COUNTIF('مواد المخزون'!$A$2:$A$86,$C2049)&gt;0,"نعم","لا (خارج الجرد)"))</f>
        <v/>
      </c>
    </row>
    <row r="2050" customFormat="false" ht="15" hidden="false" customHeight="false" outlineLevel="0" collapsed="false">
      <c r="A2050" s="102"/>
      <c r="B2050" s="104"/>
      <c r="C2050" s="104"/>
      <c r="F2050" s="103" t="str">
        <f aca="false">IF(OR($C2050="",$D2050=0),"",$E2050/$D2050)</f>
        <v/>
      </c>
      <c r="H2050" s="0" t="str">
        <f aca="false">IF($C2050="","",IF(COUNTIF('مواد المخزون'!$A$2:$A$86,$C2050)&gt;0,"نعم","لا (خارج الجرد)"))</f>
        <v/>
      </c>
    </row>
    <row r="2051" customFormat="false" ht="15" hidden="false" customHeight="false" outlineLevel="0" collapsed="false">
      <c r="A2051" s="102"/>
      <c r="B2051" s="104"/>
      <c r="C2051" s="104"/>
      <c r="F2051" s="103" t="str">
        <f aca="false">IF(OR($C2051="",$D2051=0),"",$E2051/$D2051)</f>
        <v/>
      </c>
      <c r="H2051" s="0" t="str">
        <f aca="false">IF($C2051="","",IF(COUNTIF('مواد المخزون'!$A$2:$A$86,$C2051)&gt;0,"نعم","لا (خارج الجرد)"))</f>
        <v/>
      </c>
    </row>
    <row r="2052" customFormat="false" ht="15" hidden="false" customHeight="false" outlineLevel="0" collapsed="false">
      <c r="A2052" s="102"/>
      <c r="B2052" s="104"/>
      <c r="C2052" s="104"/>
      <c r="F2052" s="103" t="str">
        <f aca="false">IF(OR($C2052="",$D2052=0),"",$E2052/$D2052)</f>
        <v/>
      </c>
      <c r="H2052" s="0" t="str">
        <f aca="false">IF($C2052="","",IF(COUNTIF('مواد المخزون'!$A$2:$A$86,$C2052)&gt;0,"نعم","لا (خارج الجرد)"))</f>
        <v/>
      </c>
    </row>
    <row r="2053" customFormat="false" ht="15" hidden="false" customHeight="false" outlineLevel="0" collapsed="false">
      <c r="A2053" s="102"/>
      <c r="B2053" s="104"/>
      <c r="C2053" s="104"/>
      <c r="F2053" s="103" t="str">
        <f aca="false">IF(OR($C2053="",$D2053=0),"",$E2053/$D2053)</f>
        <v/>
      </c>
      <c r="H2053" s="0" t="str">
        <f aca="false">IF($C2053="","",IF(COUNTIF('مواد المخزون'!$A$2:$A$86,$C2053)&gt;0,"نعم","لا (خارج الجرد)"))</f>
        <v/>
      </c>
    </row>
    <row r="2054" customFormat="false" ht="15" hidden="false" customHeight="false" outlineLevel="0" collapsed="false">
      <c r="A2054" s="102"/>
      <c r="B2054" s="104"/>
      <c r="C2054" s="104"/>
      <c r="F2054" s="103" t="str">
        <f aca="false">IF(OR($C2054="",$D2054=0),"",$E2054/$D2054)</f>
        <v/>
      </c>
      <c r="H2054" s="0" t="str">
        <f aca="false">IF($C2054="","",IF(COUNTIF('مواد المخزون'!$A$2:$A$86,$C2054)&gt;0,"نعم","لا (خارج الجرد)"))</f>
        <v/>
      </c>
    </row>
    <row r="2055" customFormat="false" ht="15" hidden="false" customHeight="false" outlineLevel="0" collapsed="false">
      <c r="A2055" s="102"/>
      <c r="B2055" s="104"/>
      <c r="C2055" s="104"/>
      <c r="F2055" s="103" t="str">
        <f aca="false">IF(OR($C2055="",$D2055=0),"",$E2055/$D2055)</f>
        <v/>
      </c>
      <c r="H2055" s="0" t="str">
        <f aca="false">IF($C2055="","",IF(COUNTIF('مواد المخزون'!$A$2:$A$86,$C2055)&gt;0,"نعم","لا (خارج الجرد)"))</f>
        <v/>
      </c>
    </row>
    <row r="2056" customFormat="false" ht="15" hidden="false" customHeight="false" outlineLevel="0" collapsed="false">
      <c r="A2056" s="102"/>
      <c r="B2056" s="104"/>
      <c r="C2056" s="104"/>
      <c r="F2056" s="103" t="str">
        <f aca="false">IF(OR($C2056="",$D2056=0),"",$E2056/$D2056)</f>
        <v/>
      </c>
      <c r="H2056" s="0" t="str">
        <f aca="false">IF($C2056="","",IF(COUNTIF('مواد المخزون'!$A$2:$A$86,$C2056)&gt;0,"نعم","لا (خارج الجرد)"))</f>
        <v/>
      </c>
    </row>
    <row r="2057" customFormat="false" ht="15" hidden="false" customHeight="false" outlineLevel="0" collapsed="false">
      <c r="A2057" s="102"/>
      <c r="B2057" s="104"/>
      <c r="C2057" s="104"/>
      <c r="F2057" s="103" t="str">
        <f aca="false">IF(OR($C2057="",$D2057=0),"",$E2057/$D2057)</f>
        <v/>
      </c>
      <c r="H2057" s="0" t="str">
        <f aca="false">IF($C2057="","",IF(COUNTIF('مواد المخزون'!$A$2:$A$86,$C2057)&gt;0,"نعم","لا (خارج الجرد)"))</f>
        <v/>
      </c>
    </row>
    <row r="2058" customFormat="false" ht="15" hidden="false" customHeight="false" outlineLevel="0" collapsed="false">
      <c r="A2058" s="102"/>
      <c r="B2058" s="104"/>
      <c r="C2058" s="104"/>
      <c r="F2058" s="103" t="str">
        <f aca="false">IF(OR($C2058="",$D2058=0),"",$E2058/$D2058)</f>
        <v/>
      </c>
      <c r="H2058" s="0" t="str">
        <f aca="false">IF($C2058="","",IF(COUNTIF('مواد المخزون'!$A$2:$A$86,$C2058)&gt;0,"نعم","لا (خارج الجرد)"))</f>
        <v/>
      </c>
    </row>
    <row r="2059" customFormat="false" ht="15" hidden="false" customHeight="false" outlineLevel="0" collapsed="false">
      <c r="A2059" s="102"/>
      <c r="B2059" s="104"/>
      <c r="C2059" s="104"/>
      <c r="F2059" s="103" t="str">
        <f aca="false">IF(OR($C2059="",$D2059=0),"",$E2059/$D2059)</f>
        <v/>
      </c>
      <c r="H2059" s="0" t="str">
        <f aca="false">IF($C2059="","",IF(COUNTIF('مواد المخزون'!$A$2:$A$86,$C2059)&gt;0,"نعم","لا (خارج الجرد)"))</f>
        <v/>
      </c>
    </row>
    <row r="2060" customFormat="false" ht="15" hidden="false" customHeight="false" outlineLevel="0" collapsed="false">
      <c r="A2060" s="102"/>
      <c r="B2060" s="104"/>
      <c r="C2060" s="104"/>
      <c r="F2060" s="103" t="str">
        <f aca="false">IF(OR($C2060="",$D2060=0),"",$E2060/$D2060)</f>
        <v/>
      </c>
      <c r="H2060" s="0" t="str">
        <f aca="false">IF($C2060="","",IF(COUNTIF('مواد المخزون'!$A$2:$A$86,$C2060)&gt;0,"نعم","لا (خارج الجرد)"))</f>
        <v/>
      </c>
    </row>
    <row r="2061" customFormat="false" ht="15" hidden="false" customHeight="false" outlineLevel="0" collapsed="false">
      <c r="A2061" s="102"/>
      <c r="B2061" s="104"/>
      <c r="C2061" s="104"/>
      <c r="F2061" s="103" t="str">
        <f aca="false">IF(OR($C2061="",$D2061=0),"",$E2061/$D2061)</f>
        <v/>
      </c>
      <c r="H2061" s="0" t="str">
        <f aca="false">IF($C2061="","",IF(COUNTIF('مواد المخزون'!$A$2:$A$86,$C2061)&gt;0,"نعم","لا (خارج الجرد)"))</f>
        <v/>
      </c>
    </row>
    <row r="2062" customFormat="false" ht="15" hidden="false" customHeight="false" outlineLevel="0" collapsed="false">
      <c r="A2062" s="102"/>
      <c r="B2062" s="104"/>
      <c r="C2062" s="104"/>
      <c r="F2062" s="103" t="str">
        <f aca="false">IF(OR($C2062="",$D2062=0),"",$E2062/$D2062)</f>
        <v/>
      </c>
      <c r="H2062" s="0" t="str">
        <f aca="false">IF($C2062="","",IF(COUNTIF('مواد المخزون'!$A$2:$A$86,$C2062)&gt;0,"نعم","لا (خارج الجرد)"))</f>
        <v/>
      </c>
    </row>
    <row r="2063" customFormat="false" ht="15" hidden="false" customHeight="false" outlineLevel="0" collapsed="false">
      <c r="A2063" s="102"/>
      <c r="B2063" s="104"/>
      <c r="C2063" s="104"/>
      <c r="F2063" s="103" t="str">
        <f aca="false">IF(OR($C2063="",$D2063=0),"",$E2063/$D2063)</f>
        <v/>
      </c>
      <c r="H2063" s="0" t="str">
        <f aca="false">IF($C2063="","",IF(COUNTIF('مواد المخزون'!$A$2:$A$86,$C2063)&gt;0,"نعم","لا (خارج الجرد)"))</f>
        <v/>
      </c>
    </row>
    <row r="2064" customFormat="false" ht="15" hidden="false" customHeight="false" outlineLevel="0" collapsed="false">
      <c r="A2064" s="102"/>
      <c r="B2064" s="104"/>
      <c r="C2064" s="104"/>
      <c r="F2064" s="103" t="str">
        <f aca="false">IF(OR($C2064="",$D2064=0),"",$E2064/$D2064)</f>
        <v/>
      </c>
      <c r="H2064" s="0" t="str">
        <f aca="false">IF($C2064="","",IF(COUNTIF('مواد المخزون'!$A$2:$A$86,$C2064)&gt;0,"نعم","لا (خارج الجرد)"))</f>
        <v/>
      </c>
    </row>
    <row r="2065" customFormat="false" ht="15" hidden="false" customHeight="false" outlineLevel="0" collapsed="false">
      <c r="A2065" s="102"/>
      <c r="B2065" s="104"/>
      <c r="C2065" s="104"/>
      <c r="F2065" s="103" t="str">
        <f aca="false">IF(OR($C2065="",$D2065=0),"",$E2065/$D2065)</f>
        <v/>
      </c>
      <c r="H2065" s="0" t="str">
        <f aca="false">IF($C2065="","",IF(COUNTIF('مواد المخزون'!$A$2:$A$86,$C2065)&gt;0,"نعم","لا (خارج الجرد)"))</f>
        <v/>
      </c>
    </row>
    <row r="2066" customFormat="false" ht="15" hidden="false" customHeight="false" outlineLevel="0" collapsed="false">
      <c r="A2066" s="102"/>
      <c r="B2066" s="104"/>
      <c r="C2066" s="104"/>
      <c r="F2066" s="103" t="str">
        <f aca="false">IF(OR($C2066="",$D2066=0),"",$E2066/$D2066)</f>
        <v/>
      </c>
      <c r="H2066" s="0" t="str">
        <f aca="false">IF($C2066="","",IF(COUNTIF('مواد المخزون'!$A$2:$A$86,$C2066)&gt;0,"نعم","لا (خارج الجرد)"))</f>
        <v/>
      </c>
    </row>
    <row r="2067" customFormat="false" ht="15" hidden="false" customHeight="false" outlineLevel="0" collapsed="false">
      <c r="A2067" s="102"/>
      <c r="B2067" s="104"/>
      <c r="C2067" s="104"/>
      <c r="F2067" s="103" t="str">
        <f aca="false">IF(OR($C2067="",$D2067=0),"",$E2067/$D2067)</f>
        <v/>
      </c>
      <c r="H2067" s="0" t="str">
        <f aca="false">IF($C2067="","",IF(COUNTIF('مواد المخزون'!$A$2:$A$86,$C2067)&gt;0,"نعم","لا (خارج الجرد)"))</f>
        <v/>
      </c>
    </row>
    <row r="2068" customFormat="false" ht="15" hidden="false" customHeight="false" outlineLevel="0" collapsed="false">
      <c r="A2068" s="102"/>
      <c r="B2068" s="104"/>
      <c r="C2068" s="104"/>
      <c r="F2068" s="103" t="str">
        <f aca="false">IF(OR($C2068="",$D2068=0),"",$E2068/$D2068)</f>
        <v/>
      </c>
      <c r="H2068" s="0" t="str">
        <f aca="false">IF($C2068="","",IF(COUNTIF('مواد المخزون'!$A$2:$A$86,$C2068)&gt;0,"نعم","لا (خارج الجرد)"))</f>
        <v/>
      </c>
    </row>
    <row r="2069" customFormat="false" ht="15" hidden="false" customHeight="false" outlineLevel="0" collapsed="false">
      <c r="A2069" s="102"/>
      <c r="B2069" s="104"/>
      <c r="C2069" s="104"/>
      <c r="F2069" s="103" t="str">
        <f aca="false">IF(OR($C2069="",$D2069=0),"",$E2069/$D2069)</f>
        <v/>
      </c>
      <c r="H2069" s="0" t="str">
        <f aca="false">IF($C2069="","",IF(COUNTIF('مواد المخزون'!$A$2:$A$86,$C2069)&gt;0,"نعم","لا (خارج الجرد)"))</f>
        <v/>
      </c>
    </row>
    <row r="2070" customFormat="false" ht="15" hidden="false" customHeight="false" outlineLevel="0" collapsed="false">
      <c r="A2070" s="102"/>
      <c r="B2070" s="104"/>
      <c r="C2070" s="104"/>
      <c r="F2070" s="103" t="str">
        <f aca="false">IF(OR($C2070="",$D2070=0),"",$E2070/$D2070)</f>
        <v/>
      </c>
      <c r="H2070" s="0" t="str">
        <f aca="false">IF($C2070="","",IF(COUNTIF('مواد المخزون'!$A$2:$A$86,$C2070)&gt;0,"نعم","لا (خارج الجرد)"))</f>
        <v/>
      </c>
    </row>
    <row r="2071" customFormat="false" ht="15" hidden="false" customHeight="false" outlineLevel="0" collapsed="false">
      <c r="A2071" s="102"/>
      <c r="B2071" s="104"/>
      <c r="C2071" s="104"/>
      <c r="F2071" s="103" t="str">
        <f aca="false">IF(OR($C2071="",$D2071=0),"",$E2071/$D2071)</f>
        <v/>
      </c>
      <c r="H2071" s="0" t="str">
        <f aca="false">IF($C2071="","",IF(COUNTIF('مواد المخزون'!$A$2:$A$86,$C2071)&gt;0,"نعم","لا (خارج الجرد)"))</f>
        <v/>
      </c>
    </row>
    <row r="2072" customFormat="false" ht="15" hidden="false" customHeight="false" outlineLevel="0" collapsed="false">
      <c r="A2072" s="102"/>
      <c r="B2072" s="104"/>
      <c r="C2072" s="104"/>
      <c r="F2072" s="103" t="str">
        <f aca="false">IF(OR($C2072="",$D2072=0),"",$E2072/$D2072)</f>
        <v/>
      </c>
      <c r="H2072" s="0" t="str">
        <f aca="false">IF($C2072="","",IF(COUNTIF('مواد المخزون'!$A$2:$A$86,$C2072)&gt;0,"نعم","لا (خارج الجرد)"))</f>
        <v/>
      </c>
    </row>
    <row r="2073" customFormat="false" ht="15" hidden="false" customHeight="false" outlineLevel="0" collapsed="false">
      <c r="A2073" s="102"/>
      <c r="B2073" s="104"/>
      <c r="C2073" s="104"/>
      <c r="F2073" s="103" t="str">
        <f aca="false">IF(OR($C2073="",$D2073=0),"",$E2073/$D2073)</f>
        <v/>
      </c>
      <c r="H2073" s="0" t="str">
        <f aca="false">IF($C2073="","",IF(COUNTIF('مواد المخزون'!$A$2:$A$86,$C2073)&gt;0,"نعم","لا (خارج الجرد)"))</f>
        <v/>
      </c>
    </row>
    <row r="2074" customFormat="false" ht="15" hidden="false" customHeight="false" outlineLevel="0" collapsed="false">
      <c r="A2074" s="102"/>
      <c r="B2074" s="104"/>
      <c r="C2074" s="104"/>
      <c r="F2074" s="103" t="str">
        <f aca="false">IF(OR($C2074="",$D2074=0),"",$E2074/$D2074)</f>
        <v/>
      </c>
      <c r="H2074" s="0" t="str">
        <f aca="false">IF($C2074="","",IF(COUNTIF('مواد المخزون'!$A$2:$A$86,$C2074)&gt;0,"نعم","لا (خارج الجرد)"))</f>
        <v/>
      </c>
    </row>
    <row r="2075" customFormat="false" ht="15" hidden="false" customHeight="false" outlineLevel="0" collapsed="false">
      <c r="A2075" s="102"/>
      <c r="B2075" s="104"/>
      <c r="C2075" s="104"/>
      <c r="F2075" s="103" t="str">
        <f aca="false">IF(OR($C2075="",$D2075=0),"",$E2075/$D2075)</f>
        <v/>
      </c>
      <c r="H2075" s="0" t="str">
        <f aca="false">IF($C2075="","",IF(COUNTIF('مواد المخزون'!$A$2:$A$86,$C2075)&gt;0,"نعم","لا (خارج الجرد)"))</f>
        <v/>
      </c>
    </row>
    <row r="2076" customFormat="false" ht="15" hidden="false" customHeight="false" outlineLevel="0" collapsed="false">
      <c r="A2076" s="102"/>
      <c r="B2076" s="104"/>
      <c r="C2076" s="104"/>
      <c r="F2076" s="103" t="str">
        <f aca="false">IF(OR($C2076="",$D2076=0),"",$E2076/$D2076)</f>
        <v/>
      </c>
      <c r="H2076" s="0" t="str">
        <f aca="false">IF($C2076="","",IF(COUNTIF('مواد المخزون'!$A$2:$A$86,$C2076)&gt;0,"نعم","لا (خارج الجرد)"))</f>
        <v/>
      </c>
    </row>
    <row r="2077" customFormat="false" ht="15" hidden="false" customHeight="false" outlineLevel="0" collapsed="false">
      <c r="A2077" s="102"/>
      <c r="B2077" s="104"/>
      <c r="C2077" s="104"/>
      <c r="F2077" s="103" t="str">
        <f aca="false">IF(OR($C2077="",$D2077=0),"",$E2077/$D2077)</f>
        <v/>
      </c>
      <c r="H2077" s="0" t="str">
        <f aca="false">IF($C2077="","",IF(COUNTIF('مواد المخزون'!$A$2:$A$86,$C2077)&gt;0,"نعم","لا (خارج الجرد)"))</f>
        <v/>
      </c>
    </row>
    <row r="2078" customFormat="false" ht="15" hidden="false" customHeight="false" outlineLevel="0" collapsed="false">
      <c r="A2078" s="102"/>
      <c r="B2078" s="104"/>
      <c r="C2078" s="104"/>
      <c r="F2078" s="103" t="str">
        <f aca="false">IF(OR($C2078="",$D2078=0),"",$E2078/$D2078)</f>
        <v/>
      </c>
      <c r="H2078" s="0" t="str">
        <f aca="false">IF($C2078="","",IF(COUNTIF('مواد المخزون'!$A$2:$A$86,$C2078)&gt;0,"نعم","لا (خارج الجرد)"))</f>
        <v/>
      </c>
    </row>
    <row r="2079" customFormat="false" ht="15" hidden="false" customHeight="false" outlineLevel="0" collapsed="false">
      <c r="A2079" s="102"/>
      <c r="B2079" s="104"/>
      <c r="C2079" s="104"/>
      <c r="F2079" s="103" t="str">
        <f aca="false">IF(OR($C2079="",$D2079=0),"",$E2079/$D2079)</f>
        <v/>
      </c>
      <c r="H2079" s="0" t="str">
        <f aca="false">IF($C2079="","",IF(COUNTIF('مواد المخزون'!$A$2:$A$86,$C2079)&gt;0,"نعم","لا (خارج الجرد)"))</f>
        <v/>
      </c>
    </row>
    <row r="2080" customFormat="false" ht="15" hidden="false" customHeight="false" outlineLevel="0" collapsed="false">
      <c r="A2080" s="102"/>
      <c r="B2080" s="104"/>
      <c r="C2080" s="104"/>
      <c r="F2080" s="103" t="str">
        <f aca="false">IF(OR($C2080="",$D2080=0),"",$E2080/$D2080)</f>
        <v/>
      </c>
      <c r="H2080" s="0" t="str">
        <f aca="false">IF($C2080="","",IF(COUNTIF('مواد المخزون'!$A$2:$A$86,$C2080)&gt;0,"نعم","لا (خارج الجرد)"))</f>
        <v/>
      </c>
    </row>
    <row r="2081" customFormat="false" ht="15" hidden="false" customHeight="false" outlineLevel="0" collapsed="false">
      <c r="A2081" s="102"/>
      <c r="B2081" s="104"/>
      <c r="C2081" s="104"/>
      <c r="F2081" s="103" t="str">
        <f aca="false">IF(OR($C2081="",$D2081=0),"",$E2081/$D2081)</f>
        <v/>
      </c>
      <c r="H2081" s="0" t="str">
        <f aca="false">IF($C2081="","",IF(COUNTIF('مواد المخزون'!$A$2:$A$86,$C2081)&gt;0,"نعم","لا (خارج الجرد)"))</f>
        <v/>
      </c>
    </row>
    <row r="2082" customFormat="false" ht="15" hidden="false" customHeight="false" outlineLevel="0" collapsed="false">
      <c r="A2082" s="102"/>
      <c r="B2082" s="104"/>
      <c r="C2082" s="104"/>
      <c r="F2082" s="103" t="str">
        <f aca="false">IF(OR($C2082="",$D2082=0),"",$E2082/$D2082)</f>
        <v/>
      </c>
      <c r="H2082" s="0" t="str">
        <f aca="false">IF($C2082="","",IF(COUNTIF('مواد المخزون'!$A$2:$A$86,$C2082)&gt;0,"نعم","لا (خارج الجرد)"))</f>
        <v/>
      </c>
    </row>
    <row r="2083" customFormat="false" ht="15" hidden="false" customHeight="false" outlineLevel="0" collapsed="false">
      <c r="A2083" s="102"/>
      <c r="B2083" s="104"/>
      <c r="C2083" s="104"/>
      <c r="F2083" s="103" t="str">
        <f aca="false">IF(OR($C2083="",$D2083=0),"",$E2083/$D2083)</f>
        <v/>
      </c>
      <c r="H2083" s="0" t="str">
        <f aca="false">IF($C2083="","",IF(COUNTIF('مواد المخزون'!$A$2:$A$86,$C2083)&gt;0,"نعم","لا (خارج الجرد)"))</f>
        <v/>
      </c>
    </row>
    <row r="2084" customFormat="false" ht="15" hidden="false" customHeight="false" outlineLevel="0" collapsed="false">
      <c r="A2084" s="102"/>
      <c r="B2084" s="104"/>
      <c r="C2084" s="104"/>
      <c r="F2084" s="103" t="str">
        <f aca="false">IF(OR($C2084="",$D2084=0),"",$E2084/$D2084)</f>
        <v/>
      </c>
      <c r="H2084" s="0" t="str">
        <f aca="false">IF($C2084="","",IF(COUNTIF('مواد المخزون'!$A$2:$A$86,$C2084)&gt;0,"نعم","لا (خارج الجرد)"))</f>
        <v/>
      </c>
    </row>
    <row r="2085" customFormat="false" ht="15" hidden="false" customHeight="false" outlineLevel="0" collapsed="false">
      <c r="A2085" s="102"/>
      <c r="B2085" s="104"/>
      <c r="C2085" s="104"/>
      <c r="F2085" s="103" t="str">
        <f aca="false">IF(OR($C2085="",$D2085=0),"",$E2085/$D2085)</f>
        <v/>
      </c>
      <c r="H2085" s="0" t="str">
        <f aca="false">IF($C2085="","",IF(COUNTIF('مواد المخزون'!$A$2:$A$86,$C2085)&gt;0,"نعم","لا (خارج الجرد)"))</f>
        <v/>
      </c>
    </row>
    <row r="2086" customFormat="false" ht="15" hidden="false" customHeight="false" outlineLevel="0" collapsed="false">
      <c r="A2086" s="102"/>
      <c r="B2086" s="104"/>
      <c r="C2086" s="104"/>
      <c r="F2086" s="103" t="str">
        <f aca="false">IF(OR($C2086="",$D2086=0),"",$E2086/$D2086)</f>
        <v/>
      </c>
      <c r="H2086" s="0" t="str">
        <f aca="false">IF($C2086="","",IF(COUNTIF('مواد المخزون'!$A$2:$A$86,$C2086)&gt;0,"نعم","لا (خارج الجرد)"))</f>
        <v/>
      </c>
    </row>
    <row r="2087" customFormat="false" ht="15" hidden="false" customHeight="false" outlineLevel="0" collapsed="false">
      <c r="A2087" s="102"/>
      <c r="B2087" s="104"/>
      <c r="C2087" s="104"/>
      <c r="F2087" s="103" t="str">
        <f aca="false">IF(OR($C2087="",$D2087=0),"",$E2087/$D2087)</f>
        <v/>
      </c>
      <c r="H2087" s="0" t="str">
        <f aca="false">IF($C2087="","",IF(COUNTIF('مواد المخزون'!$A$2:$A$86,$C2087)&gt;0,"نعم","لا (خارج الجرد)"))</f>
        <v/>
      </c>
    </row>
    <row r="2088" customFormat="false" ht="15" hidden="false" customHeight="false" outlineLevel="0" collapsed="false">
      <c r="A2088" s="102"/>
      <c r="B2088" s="104"/>
      <c r="C2088" s="104"/>
      <c r="F2088" s="103" t="str">
        <f aca="false">IF(OR($C2088="",$D2088=0),"",$E2088/$D2088)</f>
        <v/>
      </c>
      <c r="H2088" s="0" t="str">
        <f aca="false">IF($C2088="","",IF(COUNTIF('مواد المخزون'!$A$2:$A$86,$C2088)&gt;0,"نعم","لا (خارج الجرد)"))</f>
        <v/>
      </c>
    </row>
    <row r="2089" customFormat="false" ht="15" hidden="false" customHeight="false" outlineLevel="0" collapsed="false">
      <c r="A2089" s="102"/>
      <c r="B2089" s="104"/>
      <c r="C2089" s="104"/>
      <c r="F2089" s="103" t="str">
        <f aca="false">IF(OR($C2089="",$D2089=0),"",$E2089/$D2089)</f>
        <v/>
      </c>
      <c r="H2089" s="0" t="str">
        <f aca="false">IF($C2089="","",IF(COUNTIF('مواد المخزون'!$A$2:$A$86,$C2089)&gt;0,"نعم","لا (خارج الجرد)"))</f>
        <v/>
      </c>
    </row>
    <row r="2090" customFormat="false" ht="15" hidden="false" customHeight="false" outlineLevel="0" collapsed="false">
      <c r="A2090" s="102"/>
      <c r="B2090" s="104"/>
      <c r="C2090" s="104"/>
      <c r="F2090" s="103" t="str">
        <f aca="false">IF(OR($C2090="",$D2090=0),"",$E2090/$D2090)</f>
        <v/>
      </c>
      <c r="H2090" s="0" t="str">
        <f aca="false">IF($C2090="","",IF(COUNTIF('مواد المخزون'!$A$2:$A$86,$C2090)&gt;0,"نعم","لا (خارج الجرد)"))</f>
        <v/>
      </c>
    </row>
    <row r="2091" customFormat="false" ht="15" hidden="false" customHeight="false" outlineLevel="0" collapsed="false">
      <c r="A2091" s="102"/>
      <c r="B2091" s="104"/>
      <c r="C2091" s="104"/>
      <c r="F2091" s="103" t="str">
        <f aca="false">IF(OR($C2091="",$D2091=0),"",$E2091/$D2091)</f>
        <v/>
      </c>
      <c r="H2091" s="0" t="str">
        <f aca="false">IF($C2091="","",IF(COUNTIF('مواد المخزون'!$A$2:$A$86,$C2091)&gt;0,"نعم","لا (خارج الجرد)"))</f>
        <v/>
      </c>
    </row>
    <row r="2092" customFormat="false" ht="15" hidden="false" customHeight="false" outlineLevel="0" collapsed="false">
      <c r="A2092" s="102"/>
      <c r="B2092" s="104"/>
      <c r="C2092" s="104"/>
      <c r="F2092" s="103" t="str">
        <f aca="false">IF(OR($C2092="",$D2092=0),"",$E2092/$D2092)</f>
        <v/>
      </c>
      <c r="H2092" s="0" t="str">
        <f aca="false">IF($C2092="","",IF(COUNTIF('مواد المخزون'!$A$2:$A$86,$C2092)&gt;0,"نعم","لا (خارج الجرد)"))</f>
        <v/>
      </c>
    </row>
    <row r="2093" customFormat="false" ht="15" hidden="false" customHeight="false" outlineLevel="0" collapsed="false">
      <c r="A2093" s="102"/>
      <c r="B2093" s="104"/>
      <c r="C2093" s="104"/>
      <c r="F2093" s="103" t="str">
        <f aca="false">IF(OR($C2093="",$D2093=0),"",$E2093/$D2093)</f>
        <v/>
      </c>
      <c r="H2093" s="0" t="str">
        <f aca="false">IF($C2093="","",IF(COUNTIF('مواد المخزون'!$A$2:$A$86,$C2093)&gt;0,"نعم","لا (خارج الجرد)"))</f>
        <v/>
      </c>
    </row>
    <row r="2094" customFormat="false" ht="15" hidden="false" customHeight="false" outlineLevel="0" collapsed="false">
      <c r="A2094" s="102"/>
      <c r="B2094" s="104"/>
      <c r="C2094" s="104"/>
      <c r="F2094" s="103" t="str">
        <f aca="false">IF(OR($C2094="",$D2094=0),"",$E2094/$D2094)</f>
        <v/>
      </c>
      <c r="H2094" s="0" t="str">
        <f aca="false">IF($C2094="","",IF(COUNTIF('مواد المخزون'!$A$2:$A$86,$C2094)&gt;0,"نعم","لا (خارج الجرد)"))</f>
        <v/>
      </c>
    </row>
    <row r="2095" customFormat="false" ht="15" hidden="false" customHeight="false" outlineLevel="0" collapsed="false">
      <c r="A2095" s="102"/>
      <c r="B2095" s="104"/>
      <c r="C2095" s="104"/>
      <c r="F2095" s="103" t="str">
        <f aca="false">IF(OR($C2095="",$D2095=0),"",$E2095/$D2095)</f>
        <v/>
      </c>
      <c r="H2095" s="0" t="str">
        <f aca="false">IF($C2095="","",IF(COUNTIF('مواد المخزون'!$A$2:$A$86,$C2095)&gt;0,"نعم","لا (خارج الجرد)"))</f>
        <v/>
      </c>
    </row>
    <row r="2096" customFormat="false" ht="15" hidden="false" customHeight="false" outlineLevel="0" collapsed="false">
      <c r="A2096" s="102"/>
      <c r="B2096" s="104"/>
      <c r="C2096" s="104"/>
      <c r="F2096" s="103" t="str">
        <f aca="false">IF(OR($C2096="",$D2096=0),"",$E2096/$D2096)</f>
        <v/>
      </c>
      <c r="H2096" s="0" t="str">
        <f aca="false">IF($C2096="","",IF(COUNTIF('مواد المخزون'!$A$2:$A$86,$C2096)&gt;0,"نعم","لا (خارج الجرد)"))</f>
        <v/>
      </c>
    </row>
    <row r="2097" customFormat="false" ht="15" hidden="false" customHeight="false" outlineLevel="0" collapsed="false">
      <c r="A2097" s="102"/>
      <c r="B2097" s="104"/>
      <c r="C2097" s="104"/>
      <c r="F2097" s="103" t="str">
        <f aca="false">IF(OR($C2097="",$D2097=0),"",$E2097/$D2097)</f>
        <v/>
      </c>
      <c r="H2097" s="0" t="str">
        <f aca="false">IF($C2097="","",IF(COUNTIF('مواد المخزون'!$A$2:$A$86,$C2097)&gt;0,"نعم","لا (خارج الجرد)"))</f>
        <v/>
      </c>
    </row>
    <row r="2098" customFormat="false" ht="15" hidden="false" customHeight="false" outlineLevel="0" collapsed="false">
      <c r="A2098" s="102"/>
      <c r="B2098" s="104"/>
      <c r="C2098" s="104"/>
      <c r="F2098" s="103" t="str">
        <f aca="false">IF(OR($C2098="",$D2098=0),"",$E2098/$D2098)</f>
        <v/>
      </c>
      <c r="H2098" s="0" t="str">
        <f aca="false">IF($C2098="","",IF(COUNTIF('مواد المخزون'!$A$2:$A$86,$C2098)&gt;0,"نعم","لا (خارج الجرد)"))</f>
        <v/>
      </c>
    </row>
    <row r="2099" customFormat="false" ht="15" hidden="false" customHeight="false" outlineLevel="0" collapsed="false">
      <c r="A2099" s="102"/>
      <c r="B2099" s="104"/>
      <c r="C2099" s="104"/>
      <c r="F2099" s="103" t="str">
        <f aca="false">IF(OR($C2099="",$D2099=0),"",$E2099/$D2099)</f>
        <v/>
      </c>
      <c r="H2099" s="0" t="str">
        <f aca="false">IF($C2099="","",IF(COUNTIF('مواد المخزون'!$A$2:$A$86,$C2099)&gt;0,"نعم","لا (خارج الجرد)"))</f>
        <v/>
      </c>
    </row>
    <row r="2100" customFormat="false" ht="15" hidden="false" customHeight="false" outlineLevel="0" collapsed="false">
      <c r="A2100" s="102"/>
      <c r="B2100" s="104"/>
      <c r="C2100" s="104"/>
      <c r="F2100" s="103" t="str">
        <f aca="false">IF(OR($C2100="",$D2100=0),"",$E2100/$D2100)</f>
        <v/>
      </c>
      <c r="H2100" s="0" t="str">
        <f aca="false">IF($C2100="","",IF(COUNTIF('مواد المخزون'!$A$2:$A$86,$C2100)&gt;0,"نعم","لا (خارج الجرد)"))</f>
        <v/>
      </c>
    </row>
    <row r="2101" customFormat="false" ht="15" hidden="false" customHeight="false" outlineLevel="0" collapsed="false">
      <c r="A2101" s="102"/>
      <c r="B2101" s="104"/>
      <c r="C2101" s="104"/>
      <c r="F2101" s="103" t="str">
        <f aca="false">IF(OR($C2101="",$D2101=0),"",$E2101/$D2101)</f>
        <v/>
      </c>
      <c r="H2101" s="0" t="str">
        <f aca="false">IF($C2101="","",IF(COUNTIF('مواد المخزون'!$A$2:$A$86,$C2101)&gt;0,"نعم","لا (خارج الجرد)"))</f>
        <v/>
      </c>
    </row>
    <row r="2102" customFormat="false" ht="15" hidden="false" customHeight="false" outlineLevel="0" collapsed="false">
      <c r="A2102" s="102"/>
      <c r="B2102" s="104"/>
      <c r="C2102" s="104"/>
      <c r="F2102" s="103" t="str">
        <f aca="false">IF(OR($C2102="",$D2102=0),"",$E2102/$D2102)</f>
        <v/>
      </c>
      <c r="H2102" s="0" t="str">
        <f aca="false">IF($C2102="","",IF(COUNTIF('مواد المخزون'!$A$2:$A$86,$C2102)&gt;0,"نعم","لا (خارج الجرد)"))</f>
        <v/>
      </c>
    </row>
    <row r="2103" customFormat="false" ht="15" hidden="false" customHeight="false" outlineLevel="0" collapsed="false">
      <c r="A2103" s="102"/>
      <c r="B2103" s="104"/>
      <c r="C2103" s="104"/>
      <c r="F2103" s="103" t="str">
        <f aca="false">IF(OR($C2103="",$D2103=0),"",$E2103/$D2103)</f>
        <v/>
      </c>
      <c r="H2103" s="0" t="str">
        <f aca="false">IF($C2103="","",IF(COUNTIF('مواد المخزون'!$A$2:$A$86,$C2103)&gt;0,"نعم","لا (خارج الجرد)"))</f>
        <v/>
      </c>
    </row>
    <row r="2104" customFormat="false" ht="15" hidden="false" customHeight="false" outlineLevel="0" collapsed="false">
      <c r="A2104" s="102"/>
      <c r="B2104" s="104"/>
      <c r="C2104" s="104"/>
      <c r="F2104" s="103" t="str">
        <f aca="false">IF(OR($C2104="",$D2104=0),"",$E2104/$D2104)</f>
        <v/>
      </c>
      <c r="H2104" s="0" t="str">
        <f aca="false">IF($C2104="","",IF(COUNTIF('مواد المخزون'!$A$2:$A$86,$C2104)&gt;0,"نعم","لا (خارج الجرد)"))</f>
        <v/>
      </c>
    </row>
    <row r="2105" customFormat="false" ht="15" hidden="false" customHeight="false" outlineLevel="0" collapsed="false">
      <c r="A2105" s="102"/>
      <c r="B2105" s="104"/>
      <c r="C2105" s="104"/>
      <c r="F2105" s="103" t="str">
        <f aca="false">IF(OR($C2105="",$D2105=0),"",$E2105/$D2105)</f>
        <v/>
      </c>
      <c r="H2105" s="0" t="str">
        <f aca="false">IF($C2105="","",IF(COUNTIF('مواد المخزون'!$A$2:$A$86,$C2105)&gt;0,"نعم","لا (خارج الجرد)"))</f>
        <v/>
      </c>
    </row>
    <row r="2106" customFormat="false" ht="15" hidden="false" customHeight="false" outlineLevel="0" collapsed="false">
      <c r="A2106" s="102"/>
      <c r="B2106" s="104"/>
      <c r="C2106" s="104"/>
      <c r="F2106" s="103" t="str">
        <f aca="false">IF(OR($C2106="",$D2106=0),"",$E2106/$D2106)</f>
        <v/>
      </c>
      <c r="H2106" s="0" t="str">
        <f aca="false">IF($C2106="","",IF(COUNTIF('مواد المخزون'!$A$2:$A$86,$C2106)&gt;0,"نعم","لا (خارج الجرد)"))</f>
        <v/>
      </c>
    </row>
    <row r="2107" customFormat="false" ht="15" hidden="false" customHeight="false" outlineLevel="0" collapsed="false">
      <c r="A2107" s="102"/>
      <c r="B2107" s="104"/>
      <c r="C2107" s="104"/>
      <c r="F2107" s="103" t="str">
        <f aca="false">IF(OR($C2107="",$D2107=0),"",$E2107/$D2107)</f>
        <v/>
      </c>
      <c r="H2107" s="0" t="str">
        <f aca="false">IF($C2107="","",IF(COUNTIF('مواد المخزون'!$A$2:$A$86,$C2107)&gt;0,"نعم","لا (خارج الجرد)"))</f>
        <v/>
      </c>
    </row>
    <row r="2108" customFormat="false" ht="15" hidden="false" customHeight="false" outlineLevel="0" collapsed="false">
      <c r="A2108" s="102"/>
      <c r="B2108" s="104"/>
      <c r="C2108" s="104"/>
      <c r="F2108" s="103" t="str">
        <f aca="false">IF(OR($C2108="",$D2108=0),"",$E2108/$D2108)</f>
        <v/>
      </c>
      <c r="H2108" s="0" t="str">
        <f aca="false">IF($C2108="","",IF(COUNTIF('مواد المخزون'!$A$2:$A$86,$C2108)&gt;0,"نعم","لا (خارج الجرد)"))</f>
        <v/>
      </c>
    </row>
    <row r="2109" customFormat="false" ht="15" hidden="false" customHeight="false" outlineLevel="0" collapsed="false">
      <c r="A2109" s="102"/>
      <c r="B2109" s="104"/>
      <c r="C2109" s="104"/>
      <c r="F2109" s="103" t="str">
        <f aca="false">IF(OR($C2109="",$D2109=0),"",$E2109/$D2109)</f>
        <v/>
      </c>
      <c r="H2109" s="0" t="str">
        <f aca="false">IF($C2109="","",IF(COUNTIF('مواد المخزون'!$A$2:$A$86,$C2109)&gt;0,"نعم","لا (خارج الجرد)"))</f>
        <v/>
      </c>
    </row>
    <row r="2110" customFormat="false" ht="15" hidden="false" customHeight="false" outlineLevel="0" collapsed="false">
      <c r="A2110" s="102"/>
      <c r="B2110" s="104"/>
      <c r="C2110" s="104"/>
      <c r="F2110" s="103" t="str">
        <f aca="false">IF(OR($C2110="",$D2110=0),"",$E2110/$D2110)</f>
        <v/>
      </c>
      <c r="H2110" s="0" t="str">
        <f aca="false">IF($C2110="","",IF(COUNTIF('مواد المخزون'!$A$2:$A$86,$C2110)&gt;0,"نعم","لا (خارج الجرد)"))</f>
        <v/>
      </c>
    </row>
    <row r="2111" customFormat="false" ht="15" hidden="false" customHeight="false" outlineLevel="0" collapsed="false">
      <c r="A2111" s="102"/>
      <c r="B2111" s="104"/>
      <c r="C2111" s="104"/>
      <c r="F2111" s="103" t="str">
        <f aca="false">IF(OR($C2111="",$D2111=0),"",$E2111/$D2111)</f>
        <v/>
      </c>
      <c r="H2111" s="0" t="str">
        <f aca="false">IF($C2111="","",IF(COUNTIF('مواد المخزون'!$A$2:$A$86,$C2111)&gt;0,"نعم","لا (خارج الجرد)"))</f>
        <v/>
      </c>
    </row>
    <row r="2112" customFormat="false" ht="15" hidden="false" customHeight="false" outlineLevel="0" collapsed="false">
      <c r="A2112" s="102"/>
      <c r="B2112" s="104"/>
      <c r="C2112" s="104"/>
      <c r="F2112" s="103" t="str">
        <f aca="false">IF(OR($C2112="",$D2112=0),"",$E2112/$D2112)</f>
        <v/>
      </c>
      <c r="H2112" s="0" t="str">
        <f aca="false">IF($C2112="","",IF(COUNTIF('مواد المخزون'!$A$2:$A$86,$C2112)&gt;0,"نعم","لا (خارج الجرد)"))</f>
        <v/>
      </c>
    </row>
    <row r="2113" customFormat="false" ht="15" hidden="false" customHeight="false" outlineLevel="0" collapsed="false">
      <c r="A2113" s="102"/>
      <c r="B2113" s="104"/>
      <c r="C2113" s="104"/>
      <c r="F2113" s="103" t="str">
        <f aca="false">IF(OR($C2113="",$D2113=0),"",$E2113/$D2113)</f>
        <v/>
      </c>
      <c r="H2113" s="0" t="str">
        <f aca="false">IF($C2113="","",IF(COUNTIF('مواد المخزون'!$A$2:$A$86,$C2113)&gt;0,"نعم","لا (خارج الجرد)"))</f>
        <v/>
      </c>
    </row>
    <row r="2114" customFormat="false" ht="15" hidden="false" customHeight="false" outlineLevel="0" collapsed="false">
      <c r="A2114" s="102"/>
      <c r="B2114" s="104"/>
      <c r="C2114" s="104"/>
      <c r="F2114" s="103" t="str">
        <f aca="false">IF(OR($C2114="",$D2114=0),"",$E2114/$D2114)</f>
        <v/>
      </c>
      <c r="H2114" s="0" t="str">
        <f aca="false">IF($C2114="","",IF(COUNTIF('مواد المخزون'!$A$2:$A$86,$C2114)&gt;0,"نعم","لا (خارج الجرد)"))</f>
        <v/>
      </c>
    </row>
    <row r="2115" customFormat="false" ht="15" hidden="false" customHeight="false" outlineLevel="0" collapsed="false">
      <c r="A2115" s="102"/>
      <c r="B2115" s="104"/>
      <c r="C2115" s="104"/>
      <c r="F2115" s="103" t="str">
        <f aca="false">IF(OR($C2115="",$D2115=0),"",$E2115/$D2115)</f>
        <v/>
      </c>
      <c r="H2115" s="0" t="str">
        <f aca="false">IF($C2115="","",IF(COUNTIF('مواد المخزون'!$A$2:$A$86,$C2115)&gt;0,"نعم","لا (خارج الجرد)"))</f>
        <v/>
      </c>
    </row>
    <row r="2116" customFormat="false" ht="15" hidden="false" customHeight="false" outlineLevel="0" collapsed="false">
      <c r="A2116" s="102"/>
      <c r="B2116" s="104"/>
      <c r="C2116" s="104"/>
      <c r="F2116" s="103" t="str">
        <f aca="false">IF(OR($C2116="",$D2116=0),"",$E2116/$D2116)</f>
        <v/>
      </c>
      <c r="H2116" s="0" t="str">
        <f aca="false">IF($C2116="","",IF(COUNTIF('مواد المخزون'!$A$2:$A$86,$C2116)&gt;0,"نعم","لا (خارج الجرد)"))</f>
        <v/>
      </c>
    </row>
    <row r="2117" customFormat="false" ht="15" hidden="false" customHeight="false" outlineLevel="0" collapsed="false">
      <c r="A2117" s="102"/>
      <c r="B2117" s="104"/>
      <c r="C2117" s="104"/>
      <c r="F2117" s="103" t="str">
        <f aca="false">IF(OR($C2117="",$D2117=0),"",$E2117/$D2117)</f>
        <v/>
      </c>
      <c r="H2117" s="0" t="str">
        <f aca="false">IF($C2117="","",IF(COUNTIF('مواد المخزون'!$A$2:$A$86,$C2117)&gt;0,"نعم","لا (خارج الجرد)"))</f>
        <v/>
      </c>
    </row>
    <row r="2118" customFormat="false" ht="15" hidden="false" customHeight="false" outlineLevel="0" collapsed="false">
      <c r="A2118" s="102"/>
      <c r="B2118" s="104"/>
      <c r="C2118" s="104"/>
      <c r="F2118" s="103" t="str">
        <f aca="false">IF(OR($C2118="",$D2118=0),"",$E2118/$D2118)</f>
        <v/>
      </c>
      <c r="H2118" s="0" t="str">
        <f aca="false">IF($C2118="","",IF(COUNTIF('مواد المخزون'!$A$2:$A$86,$C2118)&gt;0,"نعم","لا (خارج الجرد)"))</f>
        <v/>
      </c>
    </row>
    <row r="2119" customFormat="false" ht="15" hidden="false" customHeight="false" outlineLevel="0" collapsed="false">
      <c r="A2119" s="102"/>
      <c r="B2119" s="104"/>
      <c r="C2119" s="104"/>
      <c r="F2119" s="103" t="str">
        <f aca="false">IF(OR($C2119="",$D2119=0),"",$E2119/$D2119)</f>
        <v/>
      </c>
      <c r="H2119" s="0" t="str">
        <f aca="false">IF($C2119="","",IF(COUNTIF('مواد المخزون'!$A$2:$A$86,$C2119)&gt;0,"نعم","لا (خارج الجرد)"))</f>
        <v/>
      </c>
    </row>
    <row r="2120" customFormat="false" ht="15" hidden="false" customHeight="false" outlineLevel="0" collapsed="false">
      <c r="A2120" s="102"/>
      <c r="B2120" s="104"/>
      <c r="C2120" s="104"/>
      <c r="F2120" s="103" t="str">
        <f aca="false">IF(OR($C2120="",$D2120=0),"",$E2120/$D2120)</f>
        <v/>
      </c>
      <c r="H2120" s="0" t="str">
        <f aca="false">IF($C2120="","",IF(COUNTIF('مواد المخزون'!$A$2:$A$86,$C2120)&gt;0,"نعم","لا (خارج الجرد)"))</f>
        <v/>
      </c>
    </row>
    <row r="2121" customFormat="false" ht="15" hidden="false" customHeight="false" outlineLevel="0" collapsed="false">
      <c r="A2121" s="102"/>
      <c r="B2121" s="104"/>
      <c r="C2121" s="104"/>
      <c r="F2121" s="103" t="str">
        <f aca="false">IF(OR($C2121="",$D2121=0),"",$E2121/$D2121)</f>
        <v/>
      </c>
      <c r="H2121" s="0" t="str">
        <f aca="false">IF($C2121="","",IF(COUNTIF('مواد المخزون'!$A$2:$A$86,$C2121)&gt;0,"نعم","لا (خارج الجرد)"))</f>
        <v/>
      </c>
    </row>
    <row r="2122" customFormat="false" ht="15" hidden="false" customHeight="false" outlineLevel="0" collapsed="false">
      <c r="A2122" s="102"/>
      <c r="B2122" s="104"/>
      <c r="C2122" s="104"/>
      <c r="F2122" s="103" t="str">
        <f aca="false">IF(OR($C2122="",$D2122=0),"",$E2122/$D2122)</f>
        <v/>
      </c>
      <c r="H2122" s="0" t="str">
        <f aca="false">IF($C2122="","",IF(COUNTIF('مواد المخزون'!$A$2:$A$86,$C2122)&gt;0,"نعم","لا (خارج الجرد)"))</f>
        <v/>
      </c>
    </row>
    <row r="2123" customFormat="false" ht="15" hidden="false" customHeight="false" outlineLevel="0" collapsed="false">
      <c r="A2123" s="102"/>
      <c r="B2123" s="104"/>
      <c r="C2123" s="104"/>
      <c r="F2123" s="103" t="str">
        <f aca="false">IF(OR($C2123="",$D2123=0),"",$E2123/$D2123)</f>
        <v/>
      </c>
      <c r="H2123" s="0" t="str">
        <f aca="false">IF($C2123="","",IF(COUNTIF('مواد المخزون'!$A$2:$A$86,$C2123)&gt;0,"نعم","لا (خارج الجرد)"))</f>
        <v/>
      </c>
    </row>
    <row r="2124" customFormat="false" ht="15" hidden="false" customHeight="false" outlineLevel="0" collapsed="false">
      <c r="A2124" s="102"/>
      <c r="B2124" s="104"/>
      <c r="C2124" s="104"/>
      <c r="F2124" s="103" t="str">
        <f aca="false">IF(OR($C2124="",$D2124=0),"",$E2124/$D2124)</f>
        <v/>
      </c>
      <c r="H2124" s="0" t="str">
        <f aca="false">IF($C2124="","",IF(COUNTIF('مواد المخزون'!$A$2:$A$86,$C2124)&gt;0,"نعم","لا (خارج الجرد)"))</f>
        <v/>
      </c>
    </row>
    <row r="2125" customFormat="false" ht="15" hidden="false" customHeight="false" outlineLevel="0" collapsed="false">
      <c r="A2125" s="102"/>
      <c r="B2125" s="104"/>
      <c r="C2125" s="104"/>
      <c r="F2125" s="103" t="str">
        <f aca="false">IF(OR($C2125="",$D2125=0),"",$E2125/$D2125)</f>
        <v/>
      </c>
      <c r="H2125" s="0" t="str">
        <f aca="false">IF($C2125="","",IF(COUNTIF('مواد المخزون'!$A$2:$A$86,$C2125)&gt;0,"نعم","لا (خارج الجرد)"))</f>
        <v/>
      </c>
    </row>
    <row r="2126" customFormat="false" ht="15" hidden="false" customHeight="false" outlineLevel="0" collapsed="false">
      <c r="A2126" s="102"/>
      <c r="B2126" s="104"/>
      <c r="C2126" s="104"/>
      <c r="F2126" s="103" t="str">
        <f aca="false">IF(OR($C2126="",$D2126=0),"",$E2126/$D2126)</f>
        <v/>
      </c>
      <c r="H2126" s="0" t="str">
        <f aca="false">IF($C2126="","",IF(COUNTIF('مواد المخزون'!$A$2:$A$86,$C2126)&gt;0,"نعم","لا (خارج الجرد)"))</f>
        <v/>
      </c>
    </row>
    <row r="2127" customFormat="false" ht="15" hidden="false" customHeight="false" outlineLevel="0" collapsed="false">
      <c r="A2127" s="102"/>
      <c r="B2127" s="104"/>
      <c r="C2127" s="104"/>
      <c r="F2127" s="103" t="str">
        <f aca="false">IF(OR($C2127="",$D2127=0),"",$E2127/$D2127)</f>
        <v/>
      </c>
      <c r="H2127" s="0" t="str">
        <f aca="false">IF($C2127="","",IF(COUNTIF('مواد المخزون'!$A$2:$A$86,$C2127)&gt;0,"نعم","لا (خارج الجرد)"))</f>
        <v/>
      </c>
    </row>
    <row r="2128" customFormat="false" ht="15" hidden="false" customHeight="false" outlineLevel="0" collapsed="false">
      <c r="A2128" s="102"/>
      <c r="B2128" s="104"/>
      <c r="C2128" s="104"/>
      <c r="F2128" s="103" t="str">
        <f aca="false">IF(OR($C2128="",$D2128=0),"",$E2128/$D2128)</f>
        <v/>
      </c>
      <c r="H2128" s="0" t="str">
        <f aca="false">IF($C2128="","",IF(COUNTIF('مواد المخزون'!$A$2:$A$86,$C2128)&gt;0,"نعم","لا (خارج الجرد)"))</f>
        <v/>
      </c>
    </row>
    <row r="2129" customFormat="false" ht="15" hidden="false" customHeight="false" outlineLevel="0" collapsed="false">
      <c r="A2129" s="102"/>
      <c r="B2129" s="104"/>
      <c r="C2129" s="104"/>
      <c r="F2129" s="103" t="str">
        <f aca="false">IF(OR($C2129="",$D2129=0),"",$E2129/$D2129)</f>
        <v/>
      </c>
      <c r="H2129" s="0" t="str">
        <f aca="false">IF($C2129="","",IF(COUNTIF('مواد المخزون'!$A$2:$A$86,$C2129)&gt;0,"نعم","لا (خارج الجرد)"))</f>
        <v/>
      </c>
    </row>
    <row r="2130" customFormat="false" ht="15" hidden="false" customHeight="false" outlineLevel="0" collapsed="false">
      <c r="A2130" s="102"/>
      <c r="B2130" s="104"/>
      <c r="C2130" s="104"/>
      <c r="F2130" s="103" t="str">
        <f aca="false">IF(OR($C2130="",$D2130=0),"",$E2130/$D2130)</f>
        <v/>
      </c>
      <c r="H2130" s="0" t="str">
        <f aca="false">IF($C2130="","",IF(COUNTIF('مواد المخزون'!$A$2:$A$86,$C2130)&gt;0,"نعم","لا (خارج الجرد)"))</f>
        <v/>
      </c>
    </row>
    <row r="2131" customFormat="false" ht="15" hidden="false" customHeight="false" outlineLevel="0" collapsed="false">
      <c r="A2131" s="102"/>
      <c r="B2131" s="104"/>
      <c r="C2131" s="104"/>
      <c r="F2131" s="103" t="str">
        <f aca="false">IF(OR($C2131="",$D2131=0),"",$E2131/$D2131)</f>
        <v/>
      </c>
      <c r="H2131" s="0" t="str">
        <f aca="false">IF($C2131="","",IF(COUNTIF('مواد المخزون'!$A$2:$A$86,$C2131)&gt;0,"نعم","لا (خارج الجرد)"))</f>
        <v/>
      </c>
    </row>
    <row r="2132" customFormat="false" ht="15" hidden="false" customHeight="false" outlineLevel="0" collapsed="false">
      <c r="A2132" s="102"/>
      <c r="B2132" s="104"/>
      <c r="C2132" s="104"/>
      <c r="F2132" s="103" t="str">
        <f aca="false">IF(OR($C2132="",$D2132=0),"",$E2132/$D2132)</f>
        <v/>
      </c>
      <c r="H2132" s="0" t="str">
        <f aca="false">IF($C2132="","",IF(COUNTIF('مواد المخزون'!$A$2:$A$86,$C2132)&gt;0,"نعم","لا (خارج الجرد)"))</f>
        <v/>
      </c>
    </row>
    <row r="2133" customFormat="false" ht="15" hidden="false" customHeight="false" outlineLevel="0" collapsed="false">
      <c r="A2133" s="102"/>
      <c r="B2133" s="104"/>
      <c r="C2133" s="104"/>
      <c r="F2133" s="103" t="str">
        <f aca="false">IF(OR($C2133="",$D2133=0),"",$E2133/$D2133)</f>
        <v/>
      </c>
      <c r="H2133" s="0" t="str">
        <f aca="false">IF($C2133="","",IF(COUNTIF('مواد المخزون'!$A$2:$A$86,$C2133)&gt;0,"نعم","لا (خارج الجرد)"))</f>
        <v/>
      </c>
    </row>
    <row r="2134" customFormat="false" ht="15" hidden="false" customHeight="false" outlineLevel="0" collapsed="false">
      <c r="A2134" s="102"/>
      <c r="B2134" s="104"/>
      <c r="C2134" s="104"/>
      <c r="F2134" s="103" t="str">
        <f aca="false">IF(OR($C2134="",$D2134=0),"",$E2134/$D2134)</f>
        <v/>
      </c>
      <c r="H2134" s="0" t="str">
        <f aca="false">IF($C2134="","",IF(COUNTIF('مواد المخزون'!$A$2:$A$86,$C2134)&gt;0,"نعم","لا (خارج الجرد)"))</f>
        <v/>
      </c>
    </row>
    <row r="2135" customFormat="false" ht="15" hidden="false" customHeight="false" outlineLevel="0" collapsed="false">
      <c r="A2135" s="102"/>
      <c r="B2135" s="104"/>
      <c r="C2135" s="104"/>
      <c r="F2135" s="103" t="str">
        <f aca="false">IF(OR($C2135="",$D2135=0),"",$E2135/$D2135)</f>
        <v/>
      </c>
      <c r="H2135" s="0" t="str">
        <f aca="false">IF($C2135="","",IF(COUNTIF('مواد المخزون'!$A$2:$A$86,$C2135)&gt;0,"نعم","لا (خارج الجرد)"))</f>
        <v/>
      </c>
    </row>
    <row r="2136" customFormat="false" ht="15" hidden="false" customHeight="false" outlineLevel="0" collapsed="false">
      <c r="A2136" s="102"/>
      <c r="B2136" s="104"/>
      <c r="C2136" s="104"/>
      <c r="F2136" s="103" t="str">
        <f aca="false">IF(OR($C2136="",$D2136=0),"",$E2136/$D2136)</f>
        <v/>
      </c>
      <c r="H2136" s="0" t="str">
        <f aca="false">IF($C2136="","",IF(COUNTIF('مواد المخزون'!$A$2:$A$86,$C2136)&gt;0,"نعم","لا (خارج الجرد)"))</f>
        <v/>
      </c>
    </row>
    <row r="2137" customFormat="false" ht="15" hidden="false" customHeight="false" outlineLevel="0" collapsed="false">
      <c r="A2137" s="102"/>
      <c r="B2137" s="104"/>
      <c r="C2137" s="104"/>
      <c r="F2137" s="103" t="str">
        <f aca="false">IF(OR($C2137="",$D2137=0),"",$E2137/$D2137)</f>
        <v/>
      </c>
      <c r="H2137" s="0" t="str">
        <f aca="false">IF($C2137="","",IF(COUNTIF('مواد المخزون'!$A$2:$A$86,$C2137)&gt;0,"نعم","لا (خارج الجرد)"))</f>
        <v/>
      </c>
    </row>
    <row r="2138" customFormat="false" ht="15" hidden="false" customHeight="false" outlineLevel="0" collapsed="false">
      <c r="A2138" s="102"/>
      <c r="B2138" s="104"/>
      <c r="C2138" s="104"/>
      <c r="F2138" s="103" t="str">
        <f aca="false">IF(OR($C2138="",$D2138=0),"",$E2138/$D2138)</f>
        <v/>
      </c>
      <c r="H2138" s="0" t="str">
        <f aca="false">IF($C2138="","",IF(COUNTIF('مواد المخزون'!$A$2:$A$86,$C2138)&gt;0,"نعم","لا (خارج الجرد)"))</f>
        <v/>
      </c>
    </row>
    <row r="2139" customFormat="false" ht="15" hidden="false" customHeight="false" outlineLevel="0" collapsed="false">
      <c r="A2139" s="102"/>
      <c r="B2139" s="104"/>
      <c r="C2139" s="104"/>
      <c r="F2139" s="103" t="str">
        <f aca="false">IF(OR($C2139="",$D2139=0),"",$E2139/$D2139)</f>
        <v/>
      </c>
      <c r="H2139" s="0" t="str">
        <f aca="false">IF($C2139="","",IF(COUNTIF('مواد المخزون'!$A$2:$A$86,$C2139)&gt;0,"نعم","لا (خارج الجرد)"))</f>
        <v/>
      </c>
    </row>
    <row r="2140" customFormat="false" ht="15" hidden="false" customHeight="false" outlineLevel="0" collapsed="false">
      <c r="A2140" s="102"/>
      <c r="B2140" s="104"/>
      <c r="C2140" s="104"/>
      <c r="F2140" s="103" t="str">
        <f aca="false">IF(OR($C2140="",$D2140=0),"",$E2140/$D2140)</f>
        <v/>
      </c>
      <c r="H2140" s="0" t="str">
        <f aca="false">IF($C2140="","",IF(COUNTIF('مواد المخزون'!$A$2:$A$86,$C2140)&gt;0,"نعم","لا (خارج الجرد)"))</f>
        <v/>
      </c>
    </row>
    <row r="2141" customFormat="false" ht="15" hidden="false" customHeight="false" outlineLevel="0" collapsed="false">
      <c r="A2141" s="102"/>
      <c r="B2141" s="104"/>
      <c r="C2141" s="104"/>
      <c r="F2141" s="103" t="str">
        <f aca="false">IF(OR($C2141="",$D2141=0),"",$E2141/$D2141)</f>
        <v/>
      </c>
      <c r="H2141" s="0" t="str">
        <f aca="false">IF($C2141="","",IF(COUNTIF('مواد المخزون'!$A$2:$A$86,$C2141)&gt;0,"نعم","لا (خارج الجرد)"))</f>
        <v/>
      </c>
    </row>
    <row r="2142" customFormat="false" ht="15" hidden="false" customHeight="false" outlineLevel="0" collapsed="false">
      <c r="A2142" s="102"/>
      <c r="B2142" s="104"/>
      <c r="C2142" s="104"/>
      <c r="F2142" s="103" t="str">
        <f aca="false">IF(OR($C2142="",$D2142=0),"",$E2142/$D2142)</f>
        <v/>
      </c>
      <c r="H2142" s="0" t="str">
        <f aca="false">IF($C2142="","",IF(COUNTIF('مواد المخزون'!$A$2:$A$86,$C2142)&gt;0,"نعم","لا (خارج الجرد)"))</f>
        <v/>
      </c>
    </row>
    <row r="2143" customFormat="false" ht="15" hidden="false" customHeight="false" outlineLevel="0" collapsed="false">
      <c r="A2143" s="102"/>
      <c r="B2143" s="104"/>
      <c r="C2143" s="104"/>
      <c r="F2143" s="103" t="str">
        <f aca="false">IF(OR($C2143="",$D2143=0),"",$E2143/$D2143)</f>
        <v/>
      </c>
      <c r="H2143" s="0" t="str">
        <f aca="false">IF($C2143="","",IF(COUNTIF('مواد المخزون'!$A$2:$A$86,$C2143)&gt;0,"نعم","لا (خارج الجرد)"))</f>
        <v/>
      </c>
    </row>
    <row r="2144" customFormat="false" ht="15" hidden="false" customHeight="false" outlineLevel="0" collapsed="false">
      <c r="A2144" s="102"/>
      <c r="B2144" s="104"/>
      <c r="C2144" s="104"/>
      <c r="F2144" s="103" t="str">
        <f aca="false">IF(OR($C2144="",$D2144=0),"",$E2144/$D2144)</f>
        <v/>
      </c>
      <c r="H2144" s="0" t="str">
        <f aca="false">IF($C2144="","",IF(COUNTIF('مواد المخزون'!$A$2:$A$86,$C2144)&gt;0,"نعم","لا (خارج الجرد)"))</f>
        <v/>
      </c>
    </row>
    <row r="2145" customFormat="false" ht="15" hidden="false" customHeight="false" outlineLevel="0" collapsed="false">
      <c r="A2145" s="102"/>
      <c r="B2145" s="104"/>
      <c r="C2145" s="104"/>
      <c r="F2145" s="103" t="str">
        <f aca="false">IF(OR($C2145="",$D2145=0),"",$E2145/$D2145)</f>
        <v/>
      </c>
      <c r="H2145" s="0" t="str">
        <f aca="false">IF($C2145="","",IF(COUNTIF('مواد المخزون'!$A$2:$A$86,$C2145)&gt;0,"نعم","لا (خارج الجرد)"))</f>
        <v/>
      </c>
    </row>
    <row r="2146" customFormat="false" ht="15" hidden="false" customHeight="false" outlineLevel="0" collapsed="false">
      <c r="A2146" s="102"/>
      <c r="B2146" s="104"/>
      <c r="C2146" s="104"/>
      <c r="F2146" s="103" t="str">
        <f aca="false">IF(OR($C2146="",$D2146=0),"",$E2146/$D2146)</f>
        <v/>
      </c>
      <c r="H2146" s="0" t="str">
        <f aca="false">IF($C2146="","",IF(COUNTIF('مواد المخزون'!$A$2:$A$86,$C2146)&gt;0,"نعم","لا (خارج الجرد)"))</f>
        <v/>
      </c>
    </row>
    <row r="2147" customFormat="false" ht="15" hidden="false" customHeight="false" outlineLevel="0" collapsed="false">
      <c r="A2147" s="102"/>
      <c r="B2147" s="104"/>
      <c r="C2147" s="104"/>
      <c r="F2147" s="103" t="str">
        <f aca="false">IF(OR($C2147="",$D2147=0),"",$E2147/$D2147)</f>
        <v/>
      </c>
      <c r="H2147" s="0" t="str">
        <f aca="false">IF($C2147="","",IF(COUNTIF('مواد المخزون'!$A$2:$A$86,$C2147)&gt;0,"نعم","لا (خارج الجرد)"))</f>
        <v/>
      </c>
    </row>
    <row r="2148" customFormat="false" ht="15" hidden="false" customHeight="false" outlineLevel="0" collapsed="false">
      <c r="A2148" s="102"/>
      <c r="B2148" s="104"/>
      <c r="C2148" s="104"/>
      <c r="F2148" s="103" t="str">
        <f aca="false">IF(OR($C2148="",$D2148=0),"",$E2148/$D2148)</f>
        <v/>
      </c>
      <c r="H2148" s="0" t="str">
        <f aca="false">IF($C2148="","",IF(COUNTIF('مواد المخزون'!$A$2:$A$86,$C2148)&gt;0,"نعم","لا (خارج الجرد)"))</f>
        <v/>
      </c>
    </row>
    <row r="2149" customFormat="false" ht="15" hidden="false" customHeight="false" outlineLevel="0" collapsed="false">
      <c r="A2149" s="102"/>
      <c r="B2149" s="104"/>
      <c r="C2149" s="104"/>
      <c r="F2149" s="103" t="str">
        <f aca="false">IF(OR($C2149="",$D2149=0),"",$E2149/$D2149)</f>
        <v/>
      </c>
      <c r="H2149" s="0" t="str">
        <f aca="false">IF($C2149="","",IF(COUNTIF('مواد المخزون'!$A$2:$A$86,$C2149)&gt;0,"نعم","لا (خارج الجرد)"))</f>
        <v/>
      </c>
    </row>
    <row r="2150" customFormat="false" ht="15" hidden="false" customHeight="false" outlineLevel="0" collapsed="false">
      <c r="A2150" s="102"/>
      <c r="B2150" s="104"/>
      <c r="C2150" s="104"/>
      <c r="F2150" s="103" t="str">
        <f aca="false">IF(OR($C2150="",$D2150=0),"",$E2150/$D2150)</f>
        <v/>
      </c>
      <c r="H2150" s="0" t="str">
        <f aca="false">IF($C2150="","",IF(COUNTIF('مواد المخزون'!$A$2:$A$86,$C2150)&gt;0,"نعم","لا (خارج الجرد)"))</f>
        <v/>
      </c>
    </row>
    <row r="2151" customFormat="false" ht="15" hidden="false" customHeight="false" outlineLevel="0" collapsed="false">
      <c r="A2151" s="102"/>
      <c r="B2151" s="104"/>
      <c r="C2151" s="104"/>
      <c r="F2151" s="103" t="str">
        <f aca="false">IF(OR($C2151="",$D2151=0),"",$E2151/$D2151)</f>
        <v/>
      </c>
      <c r="H2151" s="0" t="str">
        <f aca="false">IF($C2151="","",IF(COUNTIF('مواد المخزون'!$A$2:$A$86,$C2151)&gt;0,"نعم","لا (خارج الجرد)"))</f>
        <v/>
      </c>
    </row>
    <row r="2152" customFormat="false" ht="15" hidden="false" customHeight="false" outlineLevel="0" collapsed="false">
      <c r="A2152" s="102"/>
      <c r="B2152" s="104"/>
      <c r="C2152" s="104"/>
      <c r="F2152" s="103" t="str">
        <f aca="false">IF(OR($C2152="",$D2152=0),"",$E2152/$D2152)</f>
        <v/>
      </c>
      <c r="H2152" s="0" t="str">
        <f aca="false">IF($C2152="","",IF(COUNTIF('مواد المخزون'!$A$2:$A$86,$C2152)&gt;0,"نعم","لا (خارج الجرد)"))</f>
        <v/>
      </c>
    </row>
    <row r="2153" customFormat="false" ht="15" hidden="false" customHeight="false" outlineLevel="0" collapsed="false">
      <c r="A2153" s="102"/>
      <c r="B2153" s="104"/>
      <c r="C2153" s="104"/>
      <c r="F2153" s="103" t="str">
        <f aca="false">IF(OR($C2153="",$D2153=0),"",$E2153/$D2153)</f>
        <v/>
      </c>
      <c r="H2153" s="0" t="str">
        <f aca="false">IF($C2153="","",IF(COUNTIF('مواد المخزون'!$A$2:$A$86,$C2153)&gt;0,"نعم","لا (خارج الجرد)"))</f>
        <v/>
      </c>
    </row>
    <row r="2154" customFormat="false" ht="15" hidden="false" customHeight="false" outlineLevel="0" collapsed="false">
      <c r="A2154" s="102"/>
      <c r="B2154" s="104"/>
      <c r="C2154" s="104"/>
      <c r="F2154" s="103" t="str">
        <f aca="false">IF(OR($C2154="",$D2154=0),"",$E2154/$D2154)</f>
        <v/>
      </c>
      <c r="H2154" s="0" t="str">
        <f aca="false">IF($C2154="","",IF(COUNTIF('مواد المخزون'!$A$2:$A$86,$C2154)&gt;0,"نعم","لا (خارج الجرد)"))</f>
        <v/>
      </c>
    </row>
    <row r="2155" customFormat="false" ht="15" hidden="false" customHeight="false" outlineLevel="0" collapsed="false">
      <c r="A2155" s="102"/>
      <c r="B2155" s="104"/>
      <c r="C2155" s="104"/>
      <c r="F2155" s="103" t="str">
        <f aca="false">IF(OR($C2155="",$D2155=0),"",$E2155/$D2155)</f>
        <v/>
      </c>
      <c r="H2155" s="0" t="str">
        <f aca="false">IF($C2155="","",IF(COUNTIF('مواد المخزون'!$A$2:$A$86,$C2155)&gt;0,"نعم","لا (خارج الجرد)"))</f>
        <v/>
      </c>
    </row>
    <row r="2156" customFormat="false" ht="15" hidden="false" customHeight="false" outlineLevel="0" collapsed="false">
      <c r="A2156" s="102"/>
      <c r="B2156" s="104"/>
      <c r="C2156" s="104"/>
      <c r="F2156" s="103" t="str">
        <f aca="false">IF(OR($C2156="",$D2156=0),"",$E2156/$D2156)</f>
        <v/>
      </c>
      <c r="H2156" s="0" t="str">
        <f aca="false">IF($C2156="","",IF(COUNTIF('مواد المخزون'!$A$2:$A$86,$C2156)&gt;0,"نعم","لا (خارج الجرد)"))</f>
        <v/>
      </c>
    </row>
    <row r="2157" customFormat="false" ht="15" hidden="false" customHeight="false" outlineLevel="0" collapsed="false">
      <c r="A2157" s="102"/>
      <c r="B2157" s="104"/>
      <c r="C2157" s="104"/>
      <c r="F2157" s="103" t="str">
        <f aca="false">IF(OR($C2157="",$D2157=0),"",$E2157/$D2157)</f>
        <v/>
      </c>
      <c r="H2157" s="0" t="str">
        <f aca="false">IF($C2157="","",IF(COUNTIF('مواد المخزون'!$A$2:$A$86,$C2157)&gt;0,"نعم","لا (خارج الجرد)"))</f>
        <v/>
      </c>
    </row>
    <row r="2158" customFormat="false" ht="15" hidden="false" customHeight="false" outlineLevel="0" collapsed="false">
      <c r="A2158" s="102"/>
      <c r="B2158" s="104"/>
      <c r="C2158" s="104"/>
      <c r="F2158" s="103" t="str">
        <f aca="false">IF(OR($C2158="",$D2158=0),"",$E2158/$D2158)</f>
        <v/>
      </c>
      <c r="H2158" s="0" t="str">
        <f aca="false">IF($C2158="","",IF(COUNTIF('مواد المخزون'!$A$2:$A$86,$C2158)&gt;0,"نعم","لا (خارج الجرد)"))</f>
        <v/>
      </c>
    </row>
    <row r="2159" customFormat="false" ht="15" hidden="false" customHeight="false" outlineLevel="0" collapsed="false">
      <c r="A2159" s="102"/>
      <c r="B2159" s="104"/>
      <c r="C2159" s="104"/>
      <c r="F2159" s="103" t="str">
        <f aca="false">IF(OR($C2159="",$D2159=0),"",$E2159/$D2159)</f>
        <v/>
      </c>
      <c r="H2159" s="0" t="str">
        <f aca="false">IF($C2159="","",IF(COUNTIF('مواد المخزون'!$A$2:$A$86,$C2159)&gt;0,"نعم","لا (خارج الجرد)"))</f>
        <v/>
      </c>
    </row>
    <row r="2160" customFormat="false" ht="15" hidden="false" customHeight="false" outlineLevel="0" collapsed="false">
      <c r="A2160" s="102"/>
      <c r="B2160" s="104"/>
      <c r="C2160" s="104"/>
      <c r="F2160" s="103" t="str">
        <f aca="false">IF(OR($C2160="",$D2160=0),"",$E2160/$D2160)</f>
        <v/>
      </c>
      <c r="H2160" s="0" t="str">
        <f aca="false">IF($C2160="","",IF(COUNTIF('مواد المخزون'!$A$2:$A$86,$C2160)&gt;0,"نعم","لا (خارج الجرد)"))</f>
        <v/>
      </c>
    </row>
    <row r="2161" customFormat="false" ht="15" hidden="false" customHeight="false" outlineLevel="0" collapsed="false">
      <c r="A2161" s="102"/>
      <c r="B2161" s="104"/>
      <c r="C2161" s="104"/>
      <c r="F2161" s="103" t="str">
        <f aca="false">IF(OR($C2161="",$D2161=0),"",$E2161/$D2161)</f>
        <v/>
      </c>
      <c r="H2161" s="0" t="str">
        <f aca="false">IF($C2161="","",IF(COUNTIF('مواد المخزون'!$A$2:$A$86,$C2161)&gt;0,"نعم","لا (خارج الجرد)"))</f>
        <v/>
      </c>
    </row>
    <row r="2162" customFormat="false" ht="15" hidden="false" customHeight="false" outlineLevel="0" collapsed="false">
      <c r="A2162" s="102"/>
      <c r="B2162" s="104"/>
      <c r="C2162" s="104"/>
      <c r="F2162" s="103" t="str">
        <f aca="false">IF(OR($C2162="",$D2162=0),"",$E2162/$D2162)</f>
        <v/>
      </c>
      <c r="H2162" s="0" t="str">
        <f aca="false">IF($C2162="","",IF(COUNTIF('مواد المخزون'!$A$2:$A$86,$C2162)&gt;0,"نعم","لا (خارج الجرد)"))</f>
        <v/>
      </c>
    </row>
    <row r="2163" customFormat="false" ht="15" hidden="false" customHeight="false" outlineLevel="0" collapsed="false">
      <c r="A2163" s="102"/>
      <c r="B2163" s="104"/>
      <c r="C2163" s="104"/>
      <c r="F2163" s="103" t="str">
        <f aca="false">IF(OR($C2163="",$D2163=0),"",$E2163/$D2163)</f>
        <v/>
      </c>
      <c r="H2163" s="0" t="str">
        <f aca="false">IF($C2163="","",IF(COUNTIF('مواد المخزون'!$A$2:$A$86,$C2163)&gt;0,"نعم","لا (خارج الجرد)"))</f>
        <v/>
      </c>
    </row>
    <row r="2164" customFormat="false" ht="15" hidden="false" customHeight="false" outlineLevel="0" collapsed="false">
      <c r="A2164" s="102"/>
      <c r="B2164" s="104"/>
      <c r="C2164" s="104"/>
      <c r="F2164" s="103" t="str">
        <f aca="false">IF(OR($C2164="",$D2164=0),"",$E2164/$D2164)</f>
        <v/>
      </c>
      <c r="H2164" s="0" t="str">
        <f aca="false">IF($C2164="","",IF(COUNTIF('مواد المخزون'!$A$2:$A$86,$C2164)&gt;0,"نعم","لا (خارج الجرد)"))</f>
        <v/>
      </c>
    </row>
    <row r="2165" customFormat="false" ht="15" hidden="false" customHeight="false" outlineLevel="0" collapsed="false">
      <c r="A2165" s="102"/>
      <c r="B2165" s="104"/>
      <c r="C2165" s="104"/>
      <c r="F2165" s="103" t="str">
        <f aca="false">IF(OR($C2165="",$D2165=0),"",$E2165/$D2165)</f>
        <v/>
      </c>
      <c r="H2165" s="0" t="str">
        <f aca="false">IF($C2165="","",IF(COUNTIF('مواد المخزون'!$A$2:$A$86,$C2165)&gt;0,"نعم","لا (خارج الجرد)"))</f>
        <v/>
      </c>
    </row>
    <row r="2166" customFormat="false" ht="15" hidden="false" customHeight="false" outlineLevel="0" collapsed="false">
      <c r="A2166" s="102"/>
      <c r="B2166" s="104"/>
      <c r="C2166" s="104"/>
      <c r="F2166" s="103" t="str">
        <f aca="false">IF(OR($C2166="",$D2166=0),"",$E2166/$D2166)</f>
        <v/>
      </c>
      <c r="H2166" s="0" t="str">
        <f aca="false">IF($C2166="","",IF(COUNTIF('مواد المخزون'!$A$2:$A$86,$C2166)&gt;0,"نعم","لا (خارج الجرد)"))</f>
        <v/>
      </c>
    </row>
    <row r="2167" customFormat="false" ht="15" hidden="false" customHeight="false" outlineLevel="0" collapsed="false">
      <c r="A2167" s="102"/>
      <c r="B2167" s="104"/>
      <c r="C2167" s="104"/>
      <c r="F2167" s="103" t="str">
        <f aca="false">IF(OR($C2167="",$D2167=0),"",$E2167/$D2167)</f>
        <v/>
      </c>
      <c r="H2167" s="0" t="str">
        <f aca="false">IF($C2167="","",IF(COUNTIF('مواد المخزون'!$A$2:$A$86,$C2167)&gt;0,"نعم","لا (خارج الجرد)"))</f>
        <v/>
      </c>
    </row>
    <row r="2168" customFormat="false" ht="15" hidden="false" customHeight="false" outlineLevel="0" collapsed="false">
      <c r="A2168" s="102"/>
      <c r="B2168" s="104"/>
      <c r="C2168" s="104"/>
      <c r="F2168" s="103" t="str">
        <f aca="false">IF(OR($C2168="",$D2168=0),"",$E2168/$D2168)</f>
        <v/>
      </c>
      <c r="H2168" s="0" t="str">
        <f aca="false">IF($C2168="","",IF(COUNTIF('مواد المخزون'!$A$2:$A$86,$C2168)&gt;0,"نعم","لا (خارج الجرد)"))</f>
        <v/>
      </c>
    </row>
    <row r="2169" customFormat="false" ht="15" hidden="false" customHeight="false" outlineLevel="0" collapsed="false">
      <c r="A2169" s="102"/>
      <c r="B2169" s="104"/>
      <c r="C2169" s="104"/>
      <c r="F2169" s="103" t="str">
        <f aca="false">IF(OR($C2169="",$D2169=0),"",$E2169/$D2169)</f>
        <v/>
      </c>
      <c r="H2169" s="0" t="str">
        <f aca="false">IF($C2169="","",IF(COUNTIF('مواد المخزون'!$A$2:$A$86,$C2169)&gt;0,"نعم","لا (خارج الجرد)"))</f>
        <v/>
      </c>
    </row>
    <row r="2170" customFormat="false" ht="15" hidden="false" customHeight="false" outlineLevel="0" collapsed="false">
      <c r="A2170" s="102"/>
      <c r="B2170" s="104"/>
      <c r="C2170" s="104"/>
      <c r="F2170" s="103" t="str">
        <f aca="false">IF(OR($C2170="",$D2170=0),"",$E2170/$D2170)</f>
        <v/>
      </c>
      <c r="H2170" s="0" t="str">
        <f aca="false">IF($C2170="","",IF(COUNTIF('مواد المخزون'!$A$2:$A$86,$C2170)&gt;0,"نعم","لا (خارج الجرد)"))</f>
        <v/>
      </c>
    </row>
    <row r="2171" customFormat="false" ht="15" hidden="false" customHeight="false" outlineLevel="0" collapsed="false">
      <c r="A2171" s="102"/>
      <c r="B2171" s="104"/>
      <c r="C2171" s="104"/>
      <c r="F2171" s="103" t="str">
        <f aca="false">IF(OR($C2171="",$D2171=0),"",$E2171/$D2171)</f>
        <v/>
      </c>
      <c r="H2171" s="0" t="str">
        <f aca="false">IF($C2171="","",IF(COUNTIF('مواد المخزون'!$A$2:$A$86,$C2171)&gt;0,"نعم","لا (خارج الجرد)"))</f>
        <v/>
      </c>
    </row>
    <row r="2172" customFormat="false" ht="15" hidden="false" customHeight="false" outlineLevel="0" collapsed="false">
      <c r="A2172" s="102"/>
      <c r="B2172" s="104"/>
      <c r="C2172" s="104"/>
      <c r="F2172" s="103" t="str">
        <f aca="false">IF(OR($C2172="",$D2172=0),"",$E2172/$D2172)</f>
        <v/>
      </c>
      <c r="H2172" s="0" t="str">
        <f aca="false">IF($C2172="","",IF(COUNTIF('مواد المخزون'!$A$2:$A$86,$C2172)&gt;0,"نعم","لا (خارج الجرد)"))</f>
        <v/>
      </c>
    </row>
    <row r="2173" customFormat="false" ht="15" hidden="false" customHeight="false" outlineLevel="0" collapsed="false">
      <c r="A2173" s="102"/>
      <c r="B2173" s="104"/>
      <c r="C2173" s="104"/>
      <c r="F2173" s="103" t="str">
        <f aca="false">IF(OR($C2173="",$D2173=0),"",$E2173/$D2173)</f>
        <v/>
      </c>
      <c r="H2173" s="0" t="str">
        <f aca="false">IF($C2173="","",IF(COUNTIF('مواد المخزون'!$A$2:$A$86,$C2173)&gt;0,"نعم","لا (خارج الجرد)"))</f>
        <v/>
      </c>
    </row>
    <row r="2174" customFormat="false" ht="15" hidden="false" customHeight="false" outlineLevel="0" collapsed="false">
      <c r="A2174" s="102"/>
      <c r="B2174" s="104"/>
      <c r="C2174" s="104"/>
      <c r="F2174" s="103" t="str">
        <f aca="false">IF(OR($C2174="",$D2174=0),"",$E2174/$D2174)</f>
        <v/>
      </c>
      <c r="H2174" s="0" t="str">
        <f aca="false">IF($C2174="","",IF(COUNTIF('مواد المخزون'!$A$2:$A$86,$C2174)&gt;0,"نعم","لا (خارج الجرد)"))</f>
        <v/>
      </c>
    </row>
    <row r="2175" customFormat="false" ht="15" hidden="false" customHeight="false" outlineLevel="0" collapsed="false">
      <c r="A2175" s="102"/>
      <c r="B2175" s="104"/>
      <c r="C2175" s="104"/>
      <c r="F2175" s="103" t="str">
        <f aca="false">IF(OR($C2175="",$D2175=0),"",$E2175/$D2175)</f>
        <v/>
      </c>
      <c r="H2175" s="0" t="str">
        <f aca="false">IF($C2175="","",IF(COUNTIF('مواد المخزون'!$A$2:$A$86,$C2175)&gt;0,"نعم","لا (خارج الجرد)"))</f>
        <v/>
      </c>
    </row>
    <row r="2176" customFormat="false" ht="15" hidden="false" customHeight="false" outlineLevel="0" collapsed="false">
      <c r="A2176" s="102"/>
      <c r="B2176" s="104"/>
      <c r="C2176" s="104"/>
      <c r="F2176" s="103" t="str">
        <f aca="false">IF(OR($C2176="",$D2176=0),"",$E2176/$D2176)</f>
        <v/>
      </c>
      <c r="H2176" s="0" t="str">
        <f aca="false">IF($C2176="","",IF(COUNTIF('مواد المخزون'!$A$2:$A$86,$C2176)&gt;0,"نعم","لا (خارج الجرد)"))</f>
        <v/>
      </c>
    </row>
    <row r="2177" customFormat="false" ht="15" hidden="false" customHeight="false" outlineLevel="0" collapsed="false">
      <c r="A2177" s="102"/>
      <c r="B2177" s="104"/>
      <c r="C2177" s="104"/>
      <c r="F2177" s="103" t="str">
        <f aca="false">IF(OR($C2177="",$D2177=0),"",$E2177/$D2177)</f>
        <v/>
      </c>
      <c r="H2177" s="0" t="str">
        <f aca="false">IF($C2177="","",IF(COUNTIF('مواد المخزون'!$A$2:$A$86,$C2177)&gt;0,"نعم","لا (خارج الجرد)"))</f>
        <v/>
      </c>
    </row>
    <row r="2178" customFormat="false" ht="15" hidden="false" customHeight="false" outlineLevel="0" collapsed="false">
      <c r="A2178" s="102"/>
      <c r="B2178" s="104"/>
      <c r="C2178" s="104"/>
      <c r="F2178" s="103" t="str">
        <f aca="false">IF(OR($C2178="",$D2178=0),"",$E2178/$D2178)</f>
        <v/>
      </c>
      <c r="H2178" s="0" t="str">
        <f aca="false">IF($C2178="","",IF(COUNTIF('مواد المخزون'!$A$2:$A$86,$C2178)&gt;0,"نعم","لا (خارج الجرد)"))</f>
        <v/>
      </c>
    </row>
    <row r="2179" customFormat="false" ht="15" hidden="false" customHeight="false" outlineLevel="0" collapsed="false">
      <c r="A2179" s="102"/>
      <c r="B2179" s="104"/>
      <c r="C2179" s="104"/>
      <c r="F2179" s="103" t="str">
        <f aca="false">IF(OR($C2179="",$D2179=0),"",$E2179/$D2179)</f>
        <v/>
      </c>
      <c r="H2179" s="0" t="str">
        <f aca="false">IF($C2179="","",IF(COUNTIF('مواد المخزون'!$A$2:$A$86,$C2179)&gt;0,"نعم","لا (خارج الجرد)"))</f>
        <v/>
      </c>
    </row>
    <row r="2180" customFormat="false" ht="15" hidden="false" customHeight="false" outlineLevel="0" collapsed="false">
      <c r="A2180" s="102"/>
      <c r="B2180" s="104"/>
      <c r="C2180" s="104"/>
      <c r="F2180" s="103" t="str">
        <f aca="false">IF(OR($C2180="",$D2180=0),"",$E2180/$D2180)</f>
        <v/>
      </c>
      <c r="H2180" s="0" t="str">
        <f aca="false">IF($C2180="","",IF(COUNTIF('مواد المخزون'!$A$2:$A$86,$C2180)&gt;0,"نعم","لا (خارج الجرد)"))</f>
        <v/>
      </c>
    </row>
    <row r="2181" customFormat="false" ht="15" hidden="false" customHeight="false" outlineLevel="0" collapsed="false">
      <c r="A2181" s="102"/>
      <c r="B2181" s="104"/>
      <c r="C2181" s="104"/>
      <c r="F2181" s="103" t="str">
        <f aca="false">IF(OR($C2181="",$D2181=0),"",$E2181/$D2181)</f>
        <v/>
      </c>
      <c r="H2181" s="0" t="str">
        <f aca="false">IF($C2181="","",IF(COUNTIF('مواد المخزون'!$A$2:$A$86,$C2181)&gt;0,"نعم","لا (خارج الجرد)"))</f>
        <v/>
      </c>
    </row>
    <row r="2182" customFormat="false" ht="15" hidden="false" customHeight="false" outlineLevel="0" collapsed="false">
      <c r="A2182" s="102"/>
      <c r="B2182" s="104"/>
      <c r="C2182" s="104"/>
      <c r="F2182" s="103" t="str">
        <f aca="false">IF(OR($C2182="",$D2182=0),"",$E2182/$D2182)</f>
        <v/>
      </c>
      <c r="H2182" s="0" t="str">
        <f aca="false">IF($C2182="","",IF(COUNTIF('مواد المخزون'!$A$2:$A$86,$C2182)&gt;0,"نعم","لا (خارج الجرد)"))</f>
        <v/>
      </c>
    </row>
    <row r="2183" customFormat="false" ht="15" hidden="false" customHeight="false" outlineLevel="0" collapsed="false">
      <c r="A2183" s="102"/>
      <c r="B2183" s="104"/>
      <c r="C2183" s="104"/>
      <c r="F2183" s="103" t="str">
        <f aca="false">IF(OR($C2183="",$D2183=0),"",$E2183/$D2183)</f>
        <v/>
      </c>
      <c r="H2183" s="0" t="str">
        <f aca="false">IF($C2183="","",IF(COUNTIF('مواد المخزون'!$A$2:$A$86,$C2183)&gt;0,"نعم","لا (خارج الجرد)"))</f>
        <v/>
      </c>
    </row>
    <row r="2184" customFormat="false" ht="15" hidden="false" customHeight="false" outlineLevel="0" collapsed="false">
      <c r="A2184" s="102"/>
      <c r="B2184" s="104"/>
      <c r="C2184" s="104"/>
      <c r="F2184" s="103" t="str">
        <f aca="false">IF(OR($C2184="",$D2184=0),"",$E2184/$D2184)</f>
        <v/>
      </c>
      <c r="H2184" s="0" t="str">
        <f aca="false">IF($C2184="","",IF(COUNTIF('مواد المخزون'!$A$2:$A$86,$C2184)&gt;0,"نعم","لا (خارج الجرد)"))</f>
        <v/>
      </c>
    </row>
    <row r="2185" customFormat="false" ht="15" hidden="false" customHeight="false" outlineLevel="0" collapsed="false">
      <c r="A2185" s="102"/>
      <c r="B2185" s="104"/>
      <c r="C2185" s="104"/>
      <c r="F2185" s="103" t="str">
        <f aca="false">IF(OR($C2185="",$D2185=0),"",$E2185/$D2185)</f>
        <v/>
      </c>
      <c r="H2185" s="0" t="str">
        <f aca="false">IF($C2185="","",IF(COUNTIF('مواد المخزون'!$A$2:$A$86,$C2185)&gt;0,"نعم","لا (خارج الجرد)"))</f>
        <v/>
      </c>
    </row>
    <row r="2186" customFormat="false" ht="15" hidden="false" customHeight="false" outlineLevel="0" collapsed="false">
      <c r="A2186" s="102"/>
      <c r="B2186" s="104"/>
      <c r="C2186" s="104"/>
      <c r="F2186" s="103" t="str">
        <f aca="false">IF(OR($C2186="",$D2186=0),"",$E2186/$D2186)</f>
        <v/>
      </c>
      <c r="H2186" s="0" t="str">
        <f aca="false">IF($C2186="","",IF(COUNTIF('مواد المخزون'!$A$2:$A$86,$C2186)&gt;0,"نعم","لا (خارج الجرد)"))</f>
        <v/>
      </c>
    </row>
    <row r="2187" customFormat="false" ht="15" hidden="false" customHeight="false" outlineLevel="0" collapsed="false">
      <c r="A2187" s="102"/>
      <c r="B2187" s="104"/>
      <c r="C2187" s="104"/>
      <c r="F2187" s="103" t="str">
        <f aca="false">IF(OR($C2187="",$D2187=0),"",$E2187/$D2187)</f>
        <v/>
      </c>
      <c r="H2187" s="0" t="str">
        <f aca="false">IF($C2187="","",IF(COUNTIF('مواد المخزون'!$A$2:$A$86,$C2187)&gt;0,"نعم","لا (خارج الجرد)"))</f>
        <v/>
      </c>
    </row>
    <row r="2188" customFormat="false" ht="15" hidden="false" customHeight="false" outlineLevel="0" collapsed="false">
      <c r="A2188" s="102"/>
      <c r="B2188" s="104"/>
      <c r="C2188" s="104"/>
      <c r="F2188" s="103" t="str">
        <f aca="false">IF(OR($C2188="",$D2188=0),"",$E2188/$D2188)</f>
        <v/>
      </c>
      <c r="H2188" s="0" t="str">
        <f aca="false">IF($C2188="","",IF(COUNTIF('مواد المخزون'!$A$2:$A$86,$C2188)&gt;0,"نعم","لا (خارج الجرد)"))</f>
        <v/>
      </c>
    </row>
    <row r="2189" customFormat="false" ht="15" hidden="false" customHeight="false" outlineLevel="0" collapsed="false">
      <c r="A2189" s="102"/>
      <c r="B2189" s="104"/>
      <c r="C2189" s="104"/>
      <c r="F2189" s="103" t="str">
        <f aca="false">IF(OR($C2189="",$D2189=0),"",$E2189/$D2189)</f>
        <v/>
      </c>
      <c r="H2189" s="0" t="str">
        <f aca="false">IF($C2189="","",IF(COUNTIF('مواد المخزون'!$A$2:$A$86,$C2189)&gt;0,"نعم","لا (خارج الجرد)"))</f>
        <v/>
      </c>
    </row>
    <row r="2190" customFormat="false" ht="15" hidden="false" customHeight="false" outlineLevel="0" collapsed="false">
      <c r="A2190" s="102"/>
      <c r="B2190" s="104"/>
      <c r="C2190" s="104"/>
      <c r="F2190" s="103" t="str">
        <f aca="false">IF(OR($C2190="",$D2190=0),"",$E2190/$D2190)</f>
        <v/>
      </c>
      <c r="H2190" s="0" t="str">
        <f aca="false">IF($C2190="","",IF(COUNTIF('مواد المخزون'!$A$2:$A$86,$C2190)&gt;0,"نعم","لا (خارج الجرد)"))</f>
        <v/>
      </c>
    </row>
    <row r="2191" customFormat="false" ht="15" hidden="false" customHeight="false" outlineLevel="0" collapsed="false">
      <c r="A2191" s="102"/>
      <c r="B2191" s="104"/>
      <c r="C2191" s="104"/>
      <c r="F2191" s="103" t="str">
        <f aca="false">IF(OR($C2191="",$D2191=0),"",$E2191/$D2191)</f>
        <v/>
      </c>
      <c r="H2191" s="0" t="str">
        <f aca="false">IF($C2191="","",IF(COUNTIF('مواد المخزون'!$A$2:$A$86,$C2191)&gt;0,"نعم","لا (خارج الجرد)"))</f>
        <v/>
      </c>
    </row>
    <row r="2192" customFormat="false" ht="15" hidden="false" customHeight="false" outlineLevel="0" collapsed="false">
      <c r="A2192" s="102"/>
      <c r="B2192" s="104"/>
      <c r="C2192" s="104"/>
      <c r="F2192" s="103" t="str">
        <f aca="false">IF(OR($C2192="",$D2192=0),"",$E2192/$D2192)</f>
        <v/>
      </c>
      <c r="H2192" s="0" t="str">
        <f aca="false">IF($C2192="","",IF(COUNTIF('مواد المخزون'!$A$2:$A$86,$C2192)&gt;0,"نعم","لا (خارج الجرد)"))</f>
        <v/>
      </c>
    </row>
    <row r="2193" customFormat="false" ht="15" hidden="false" customHeight="false" outlineLevel="0" collapsed="false">
      <c r="A2193" s="102"/>
      <c r="B2193" s="104"/>
      <c r="C2193" s="104"/>
      <c r="F2193" s="103" t="str">
        <f aca="false">IF(OR($C2193="",$D2193=0),"",$E2193/$D2193)</f>
        <v/>
      </c>
      <c r="H2193" s="0" t="str">
        <f aca="false">IF($C2193="","",IF(COUNTIF('مواد المخزون'!$A$2:$A$86,$C2193)&gt;0,"نعم","لا (خارج الجرد)"))</f>
        <v/>
      </c>
    </row>
    <row r="2194" customFormat="false" ht="15" hidden="false" customHeight="false" outlineLevel="0" collapsed="false">
      <c r="A2194" s="102"/>
      <c r="B2194" s="104"/>
      <c r="C2194" s="104"/>
      <c r="F2194" s="103" t="str">
        <f aca="false">IF(OR($C2194="",$D2194=0),"",$E2194/$D2194)</f>
        <v/>
      </c>
      <c r="H2194" s="0" t="str">
        <f aca="false">IF($C2194="","",IF(COUNTIF('مواد المخزون'!$A$2:$A$86,$C2194)&gt;0,"نعم","لا (خارج الجرد)"))</f>
        <v/>
      </c>
    </row>
    <row r="2195" customFormat="false" ht="15" hidden="false" customHeight="false" outlineLevel="0" collapsed="false">
      <c r="A2195" s="102"/>
      <c r="B2195" s="104"/>
      <c r="C2195" s="104"/>
      <c r="F2195" s="103" t="str">
        <f aca="false">IF(OR($C2195="",$D2195=0),"",$E2195/$D2195)</f>
        <v/>
      </c>
      <c r="H2195" s="0" t="str">
        <f aca="false">IF($C2195="","",IF(COUNTIF('مواد المخزون'!$A$2:$A$86,$C2195)&gt;0,"نعم","لا (خارج الجرد)"))</f>
        <v/>
      </c>
    </row>
    <row r="2196" customFormat="false" ht="15" hidden="false" customHeight="false" outlineLevel="0" collapsed="false">
      <c r="A2196" s="102"/>
      <c r="B2196" s="104"/>
      <c r="C2196" s="104"/>
      <c r="F2196" s="103" t="str">
        <f aca="false">IF(OR($C2196="",$D2196=0),"",$E2196/$D2196)</f>
        <v/>
      </c>
      <c r="H2196" s="0" t="str">
        <f aca="false">IF($C2196="","",IF(COUNTIF('مواد المخزون'!$A$2:$A$86,$C2196)&gt;0,"نعم","لا (خارج الجرد)"))</f>
        <v/>
      </c>
    </row>
    <row r="2197" customFormat="false" ht="15" hidden="false" customHeight="false" outlineLevel="0" collapsed="false">
      <c r="A2197" s="102"/>
      <c r="B2197" s="104"/>
      <c r="C2197" s="104"/>
      <c r="F2197" s="103" t="str">
        <f aca="false">IF(OR($C2197="",$D2197=0),"",$E2197/$D2197)</f>
        <v/>
      </c>
      <c r="H2197" s="0" t="str">
        <f aca="false">IF($C2197="","",IF(COUNTIF('مواد المخزون'!$A$2:$A$86,$C2197)&gt;0,"نعم","لا (خارج الجرد)"))</f>
        <v/>
      </c>
    </row>
    <row r="2198" customFormat="false" ht="15" hidden="false" customHeight="false" outlineLevel="0" collapsed="false">
      <c r="A2198" s="102"/>
      <c r="B2198" s="104"/>
      <c r="C2198" s="104"/>
      <c r="F2198" s="103" t="str">
        <f aca="false">IF(OR($C2198="",$D2198=0),"",$E2198/$D2198)</f>
        <v/>
      </c>
      <c r="H2198" s="0" t="str">
        <f aca="false">IF($C2198="","",IF(COUNTIF('مواد المخزون'!$A$2:$A$86,$C2198)&gt;0,"نعم","لا (خارج الجرد)"))</f>
        <v/>
      </c>
    </row>
    <row r="2199" customFormat="false" ht="15" hidden="false" customHeight="false" outlineLevel="0" collapsed="false">
      <c r="A2199" s="102"/>
      <c r="B2199" s="104"/>
      <c r="C2199" s="104"/>
      <c r="F2199" s="103" t="str">
        <f aca="false">IF(OR($C2199="",$D2199=0),"",$E2199/$D2199)</f>
        <v/>
      </c>
      <c r="H2199" s="0" t="str">
        <f aca="false">IF($C2199="","",IF(COUNTIF('مواد المخزون'!$A$2:$A$86,$C2199)&gt;0,"نعم","لا (خارج الجرد)"))</f>
        <v/>
      </c>
    </row>
    <row r="2200" customFormat="false" ht="15" hidden="false" customHeight="false" outlineLevel="0" collapsed="false">
      <c r="A2200" s="102"/>
      <c r="B2200" s="104"/>
      <c r="C2200" s="104"/>
      <c r="F2200" s="103" t="str">
        <f aca="false">IF(OR($C2200="",$D2200=0),"",$E2200/$D2200)</f>
        <v/>
      </c>
      <c r="H2200" s="0" t="str">
        <f aca="false">IF($C2200="","",IF(COUNTIF('مواد المخزون'!$A$2:$A$86,$C2200)&gt;0,"نعم","لا (خارج الجرد)"))</f>
        <v/>
      </c>
    </row>
    <row r="2201" customFormat="false" ht="15" hidden="false" customHeight="false" outlineLevel="0" collapsed="false">
      <c r="A2201" s="102"/>
      <c r="B2201" s="104"/>
      <c r="C2201" s="104"/>
      <c r="F2201" s="103" t="str">
        <f aca="false">IF(OR($C2201="",$D2201=0),"",$E2201/$D2201)</f>
        <v/>
      </c>
      <c r="H2201" s="0" t="str">
        <f aca="false">IF($C2201="","",IF(COUNTIF('مواد المخزون'!$A$2:$A$86,$C2201)&gt;0,"نعم","لا (خارج الجرد)"))</f>
        <v/>
      </c>
    </row>
    <row r="2202" customFormat="false" ht="15" hidden="false" customHeight="false" outlineLevel="0" collapsed="false">
      <c r="A2202" s="102"/>
      <c r="B2202" s="104"/>
      <c r="C2202" s="104"/>
      <c r="F2202" s="103" t="str">
        <f aca="false">IF(OR($C2202="",$D2202=0),"",$E2202/$D2202)</f>
        <v/>
      </c>
      <c r="H2202" s="0" t="str">
        <f aca="false">IF($C2202="","",IF(COUNTIF('مواد المخزون'!$A$2:$A$86,$C2202)&gt;0,"نعم","لا (خارج الجرد)"))</f>
        <v/>
      </c>
    </row>
    <row r="2203" customFormat="false" ht="15" hidden="false" customHeight="false" outlineLevel="0" collapsed="false">
      <c r="A2203" s="102"/>
      <c r="B2203" s="104"/>
      <c r="C2203" s="104"/>
      <c r="F2203" s="103" t="str">
        <f aca="false">IF(OR($C2203="",$D2203=0),"",$E2203/$D2203)</f>
        <v/>
      </c>
      <c r="H2203" s="0" t="str">
        <f aca="false">IF($C2203="","",IF(COUNTIF('مواد المخزون'!$A$2:$A$86,$C2203)&gt;0,"نعم","لا (خارج الجرد)"))</f>
        <v/>
      </c>
    </row>
    <row r="2204" customFormat="false" ht="15" hidden="false" customHeight="false" outlineLevel="0" collapsed="false">
      <c r="A2204" s="102"/>
      <c r="B2204" s="104"/>
      <c r="C2204" s="104"/>
      <c r="F2204" s="103" t="str">
        <f aca="false">IF(OR($C2204="",$D2204=0),"",$E2204/$D2204)</f>
        <v/>
      </c>
      <c r="H2204" s="0" t="str">
        <f aca="false">IF($C2204="","",IF(COUNTIF('مواد المخزون'!$A$2:$A$86,$C2204)&gt;0,"نعم","لا (خارج الجرد)"))</f>
        <v/>
      </c>
    </row>
    <row r="2205" customFormat="false" ht="15" hidden="false" customHeight="false" outlineLevel="0" collapsed="false">
      <c r="A2205" s="102"/>
      <c r="B2205" s="104"/>
      <c r="C2205" s="104"/>
      <c r="F2205" s="103" t="str">
        <f aca="false">IF(OR($C2205="",$D2205=0),"",$E2205/$D2205)</f>
        <v/>
      </c>
      <c r="H2205" s="0" t="str">
        <f aca="false">IF($C2205="","",IF(COUNTIF('مواد المخزون'!$A$2:$A$86,$C2205)&gt;0,"نعم","لا (خارج الجرد)"))</f>
        <v/>
      </c>
    </row>
    <row r="2206" customFormat="false" ht="15" hidden="false" customHeight="false" outlineLevel="0" collapsed="false">
      <c r="A2206" s="102"/>
      <c r="B2206" s="104"/>
      <c r="C2206" s="104"/>
      <c r="F2206" s="103" t="str">
        <f aca="false">IF(OR($C2206="",$D2206=0),"",$E2206/$D2206)</f>
        <v/>
      </c>
      <c r="H2206" s="0" t="str">
        <f aca="false">IF($C2206="","",IF(COUNTIF('مواد المخزون'!$A$2:$A$86,$C2206)&gt;0,"نعم","لا (خارج الجرد)"))</f>
        <v/>
      </c>
    </row>
    <row r="2207" customFormat="false" ht="15" hidden="false" customHeight="false" outlineLevel="0" collapsed="false">
      <c r="A2207" s="102"/>
      <c r="B2207" s="104"/>
      <c r="C2207" s="104"/>
      <c r="F2207" s="103" t="str">
        <f aca="false">IF(OR($C2207="",$D2207=0),"",$E2207/$D2207)</f>
        <v/>
      </c>
      <c r="H2207" s="0" t="str">
        <f aca="false">IF($C2207="","",IF(COUNTIF('مواد المخزون'!$A$2:$A$86,$C2207)&gt;0,"نعم","لا (خارج الجرد)"))</f>
        <v/>
      </c>
    </row>
    <row r="2208" customFormat="false" ht="15" hidden="false" customHeight="false" outlineLevel="0" collapsed="false">
      <c r="A2208" s="102"/>
      <c r="B2208" s="104"/>
      <c r="C2208" s="104"/>
      <c r="F2208" s="103" t="str">
        <f aca="false">IF(OR($C2208="",$D2208=0),"",$E2208/$D2208)</f>
        <v/>
      </c>
      <c r="H2208" s="0" t="str">
        <f aca="false">IF($C2208="","",IF(COUNTIF('مواد المخزون'!$A$2:$A$86,$C2208)&gt;0,"نعم","لا (خارج الجرد)"))</f>
        <v/>
      </c>
    </row>
    <row r="2209" customFormat="false" ht="15" hidden="false" customHeight="false" outlineLevel="0" collapsed="false">
      <c r="A2209" s="102"/>
      <c r="B2209" s="104"/>
      <c r="C2209" s="104"/>
      <c r="F2209" s="103" t="str">
        <f aca="false">IF(OR($C2209="",$D2209=0),"",$E2209/$D2209)</f>
        <v/>
      </c>
      <c r="H2209" s="0" t="str">
        <f aca="false">IF($C2209="","",IF(COUNTIF('مواد المخزون'!$A$2:$A$86,$C2209)&gt;0,"نعم","لا (خارج الجرد)"))</f>
        <v/>
      </c>
    </row>
    <row r="2210" customFormat="false" ht="15" hidden="false" customHeight="false" outlineLevel="0" collapsed="false">
      <c r="A2210" s="102"/>
      <c r="B2210" s="104"/>
      <c r="C2210" s="104"/>
      <c r="F2210" s="103" t="str">
        <f aca="false">IF(OR($C2210="",$D2210=0),"",$E2210/$D2210)</f>
        <v/>
      </c>
      <c r="H2210" s="0" t="str">
        <f aca="false">IF($C2210="","",IF(COUNTIF('مواد المخزون'!$A$2:$A$86,$C2210)&gt;0,"نعم","لا (خارج الجرد)"))</f>
        <v/>
      </c>
    </row>
    <row r="2211" customFormat="false" ht="15" hidden="false" customHeight="false" outlineLevel="0" collapsed="false">
      <c r="A2211" s="102"/>
      <c r="B2211" s="104"/>
      <c r="C2211" s="104"/>
      <c r="F2211" s="103" t="str">
        <f aca="false">IF(OR($C2211="",$D2211=0),"",$E2211/$D2211)</f>
        <v/>
      </c>
      <c r="H2211" s="0" t="str">
        <f aca="false">IF($C2211="","",IF(COUNTIF('مواد المخزون'!$A$2:$A$86,$C2211)&gt;0,"نعم","لا (خارج الجرد)"))</f>
        <v/>
      </c>
    </row>
    <row r="2212" customFormat="false" ht="15" hidden="false" customHeight="false" outlineLevel="0" collapsed="false">
      <c r="A2212" s="102"/>
      <c r="B2212" s="104"/>
      <c r="C2212" s="104"/>
      <c r="F2212" s="103" t="str">
        <f aca="false">IF(OR($C2212="",$D2212=0),"",$E2212/$D2212)</f>
        <v/>
      </c>
      <c r="H2212" s="0" t="str">
        <f aca="false">IF($C2212="","",IF(COUNTIF('مواد المخزون'!$A$2:$A$86,$C2212)&gt;0,"نعم","لا (خارج الجرد)"))</f>
        <v/>
      </c>
    </row>
    <row r="2213" customFormat="false" ht="15" hidden="false" customHeight="false" outlineLevel="0" collapsed="false">
      <c r="A2213" s="102"/>
      <c r="B2213" s="104"/>
      <c r="C2213" s="104"/>
      <c r="F2213" s="103" t="str">
        <f aca="false">IF(OR($C2213="",$D2213=0),"",$E2213/$D2213)</f>
        <v/>
      </c>
      <c r="H2213" s="0" t="str">
        <f aca="false">IF($C2213="","",IF(COUNTIF('مواد المخزون'!$A$2:$A$86,$C2213)&gt;0,"نعم","لا (خارج الجرد)"))</f>
        <v/>
      </c>
    </row>
    <row r="2214" customFormat="false" ht="15" hidden="false" customHeight="false" outlineLevel="0" collapsed="false">
      <c r="A2214" s="102"/>
      <c r="B2214" s="104"/>
      <c r="C2214" s="104"/>
      <c r="F2214" s="103" t="str">
        <f aca="false">IF(OR($C2214="",$D2214=0),"",$E2214/$D2214)</f>
        <v/>
      </c>
      <c r="H2214" s="0" t="str">
        <f aca="false">IF($C2214="","",IF(COUNTIF('مواد المخزون'!$A$2:$A$86,$C2214)&gt;0,"نعم","لا (خارج الجرد)"))</f>
        <v/>
      </c>
    </row>
    <row r="2215" customFormat="false" ht="15" hidden="false" customHeight="false" outlineLevel="0" collapsed="false">
      <c r="A2215" s="102"/>
      <c r="B2215" s="104"/>
      <c r="C2215" s="104"/>
      <c r="F2215" s="103" t="str">
        <f aca="false">IF(OR($C2215="",$D2215=0),"",$E2215/$D2215)</f>
        <v/>
      </c>
      <c r="H2215" s="0" t="str">
        <f aca="false">IF($C2215="","",IF(COUNTIF('مواد المخزون'!$A$2:$A$86,$C2215)&gt;0,"نعم","لا (خارج الجرد)"))</f>
        <v/>
      </c>
    </row>
    <row r="2216" customFormat="false" ht="15" hidden="false" customHeight="false" outlineLevel="0" collapsed="false">
      <c r="A2216" s="102"/>
      <c r="B2216" s="104"/>
      <c r="C2216" s="104"/>
      <c r="F2216" s="103" t="str">
        <f aca="false">IF(OR($C2216="",$D2216=0),"",$E2216/$D2216)</f>
        <v/>
      </c>
      <c r="H2216" s="0" t="str">
        <f aca="false">IF($C2216="","",IF(COUNTIF('مواد المخزون'!$A$2:$A$86,$C2216)&gt;0,"نعم","لا (خارج الجرد)"))</f>
        <v/>
      </c>
    </row>
    <row r="2217" customFormat="false" ht="15" hidden="false" customHeight="false" outlineLevel="0" collapsed="false">
      <c r="A2217" s="102"/>
      <c r="B2217" s="104"/>
      <c r="C2217" s="104"/>
      <c r="F2217" s="103" t="str">
        <f aca="false">IF(OR($C2217="",$D2217=0),"",$E2217/$D2217)</f>
        <v/>
      </c>
      <c r="H2217" s="0" t="str">
        <f aca="false">IF($C2217="","",IF(COUNTIF('مواد المخزون'!$A$2:$A$86,$C2217)&gt;0,"نعم","لا (خارج الجرد)"))</f>
        <v/>
      </c>
    </row>
    <row r="2218" customFormat="false" ht="15" hidden="false" customHeight="false" outlineLevel="0" collapsed="false">
      <c r="A2218" s="102"/>
      <c r="B2218" s="104"/>
      <c r="C2218" s="104"/>
      <c r="F2218" s="103" t="str">
        <f aca="false">IF(OR($C2218="",$D2218=0),"",$E2218/$D2218)</f>
        <v/>
      </c>
      <c r="H2218" s="0" t="str">
        <f aca="false">IF($C2218="","",IF(COUNTIF('مواد المخزون'!$A$2:$A$86,$C2218)&gt;0,"نعم","لا (خارج الجرد)"))</f>
        <v/>
      </c>
    </row>
    <row r="2219" customFormat="false" ht="15" hidden="false" customHeight="false" outlineLevel="0" collapsed="false">
      <c r="A2219" s="102"/>
      <c r="B2219" s="104"/>
      <c r="C2219" s="104"/>
      <c r="F2219" s="103" t="str">
        <f aca="false">IF(OR($C2219="",$D2219=0),"",$E2219/$D2219)</f>
        <v/>
      </c>
      <c r="H2219" s="0" t="str">
        <f aca="false">IF($C2219="","",IF(COUNTIF('مواد المخزون'!$A$2:$A$86,$C2219)&gt;0,"نعم","لا (خارج الجرد)"))</f>
        <v/>
      </c>
    </row>
    <row r="2220" customFormat="false" ht="15" hidden="false" customHeight="false" outlineLevel="0" collapsed="false">
      <c r="A2220" s="102"/>
      <c r="B2220" s="104"/>
      <c r="C2220" s="104"/>
      <c r="F2220" s="103" t="str">
        <f aca="false">IF(OR($C2220="",$D2220=0),"",$E2220/$D2220)</f>
        <v/>
      </c>
      <c r="H2220" s="0" t="str">
        <f aca="false">IF($C2220="","",IF(COUNTIF('مواد المخزون'!$A$2:$A$86,$C2220)&gt;0,"نعم","لا (خارج الجرد)"))</f>
        <v/>
      </c>
    </row>
    <row r="2221" customFormat="false" ht="15" hidden="false" customHeight="false" outlineLevel="0" collapsed="false">
      <c r="A2221" s="102"/>
      <c r="B2221" s="104"/>
      <c r="C2221" s="104"/>
      <c r="F2221" s="103" t="str">
        <f aca="false">IF(OR($C2221="",$D2221=0),"",$E2221/$D2221)</f>
        <v/>
      </c>
      <c r="H2221" s="0" t="str">
        <f aca="false">IF($C2221="","",IF(COUNTIF('مواد المخزون'!$A$2:$A$86,$C2221)&gt;0,"نعم","لا (خارج الجرد)"))</f>
        <v/>
      </c>
    </row>
    <row r="2222" customFormat="false" ht="15" hidden="false" customHeight="false" outlineLevel="0" collapsed="false">
      <c r="A2222" s="102"/>
      <c r="B2222" s="104"/>
      <c r="C2222" s="104"/>
      <c r="F2222" s="103" t="str">
        <f aca="false">IF(OR($C2222="",$D2222=0),"",$E2222/$D2222)</f>
        <v/>
      </c>
      <c r="H2222" s="0" t="str">
        <f aca="false">IF($C2222="","",IF(COUNTIF('مواد المخزون'!$A$2:$A$86,$C2222)&gt;0,"نعم","لا (خارج الجرد)"))</f>
        <v/>
      </c>
    </row>
    <row r="2223" customFormat="false" ht="15" hidden="false" customHeight="false" outlineLevel="0" collapsed="false">
      <c r="A2223" s="102"/>
      <c r="B2223" s="104"/>
      <c r="C2223" s="104"/>
      <c r="F2223" s="103" t="str">
        <f aca="false">IF(OR($C2223="",$D2223=0),"",$E2223/$D2223)</f>
        <v/>
      </c>
      <c r="H2223" s="0" t="str">
        <f aca="false">IF($C2223="","",IF(COUNTIF('مواد المخزون'!$A$2:$A$86,$C2223)&gt;0,"نعم","لا (خارج الجرد)"))</f>
        <v/>
      </c>
    </row>
    <row r="2224" customFormat="false" ht="15" hidden="false" customHeight="false" outlineLevel="0" collapsed="false">
      <c r="A2224" s="102"/>
      <c r="B2224" s="104"/>
      <c r="C2224" s="104"/>
      <c r="F2224" s="103" t="str">
        <f aca="false">IF(OR($C2224="",$D2224=0),"",$E2224/$D2224)</f>
        <v/>
      </c>
      <c r="H2224" s="0" t="str">
        <f aca="false">IF($C2224="","",IF(COUNTIF('مواد المخزون'!$A$2:$A$86,$C2224)&gt;0,"نعم","لا (خارج الجرد)"))</f>
        <v/>
      </c>
    </row>
    <row r="2225" customFormat="false" ht="15" hidden="false" customHeight="false" outlineLevel="0" collapsed="false">
      <c r="A2225" s="102"/>
      <c r="B2225" s="104"/>
      <c r="C2225" s="104"/>
      <c r="F2225" s="103" t="str">
        <f aca="false">IF(OR($C2225="",$D2225=0),"",$E2225/$D2225)</f>
        <v/>
      </c>
      <c r="H2225" s="0" t="str">
        <f aca="false">IF($C2225="","",IF(COUNTIF('مواد المخزون'!$A$2:$A$86,$C2225)&gt;0,"نعم","لا (خارج الجرد)"))</f>
        <v/>
      </c>
    </row>
    <row r="2226" customFormat="false" ht="15" hidden="false" customHeight="false" outlineLevel="0" collapsed="false">
      <c r="A2226" s="102"/>
      <c r="B2226" s="104"/>
      <c r="C2226" s="104"/>
      <c r="F2226" s="103" t="str">
        <f aca="false">IF(OR($C2226="",$D2226=0),"",$E2226/$D2226)</f>
        <v/>
      </c>
      <c r="H2226" s="0" t="str">
        <f aca="false">IF($C2226="","",IF(COUNTIF('مواد المخزون'!$A$2:$A$86,$C2226)&gt;0,"نعم","لا (خارج الجرد)"))</f>
        <v/>
      </c>
    </row>
    <row r="2227" customFormat="false" ht="15" hidden="false" customHeight="false" outlineLevel="0" collapsed="false">
      <c r="A2227" s="102"/>
      <c r="B2227" s="104"/>
      <c r="C2227" s="104"/>
      <c r="F2227" s="103" t="str">
        <f aca="false">IF(OR($C2227="",$D2227=0),"",$E2227/$D2227)</f>
        <v/>
      </c>
      <c r="H2227" s="0" t="str">
        <f aca="false">IF($C2227="","",IF(COUNTIF('مواد المخزون'!$A$2:$A$86,$C2227)&gt;0,"نعم","لا (خارج الجرد)"))</f>
        <v/>
      </c>
    </row>
    <row r="2228" customFormat="false" ht="15" hidden="false" customHeight="false" outlineLevel="0" collapsed="false">
      <c r="A2228" s="102"/>
      <c r="B2228" s="104"/>
      <c r="C2228" s="104"/>
      <c r="F2228" s="103" t="str">
        <f aca="false">IF(OR($C2228="",$D2228=0),"",$E2228/$D2228)</f>
        <v/>
      </c>
      <c r="H2228" s="0" t="str">
        <f aca="false">IF($C2228="","",IF(COUNTIF('مواد المخزون'!$A$2:$A$86,$C2228)&gt;0,"نعم","لا (خارج الجرد)"))</f>
        <v/>
      </c>
    </row>
    <row r="2229" customFormat="false" ht="15" hidden="false" customHeight="false" outlineLevel="0" collapsed="false">
      <c r="A2229" s="102"/>
      <c r="B2229" s="104"/>
      <c r="C2229" s="104"/>
      <c r="F2229" s="103" t="str">
        <f aca="false">IF(OR($C2229="",$D2229=0),"",$E2229/$D2229)</f>
        <v/>
      </c>
      <c r="H2229" s="0" t="str">
        <f aca="false">IF($C2229="","",IF(COUNTIF('مواد المخزون'!$A$2:$A$86,$C2229)&gt;0,"نعم","لا (خارج الجرد)"))</f>
        <v/>
      </c>
    </row>
    <row r="2230" customFormat="false" ht="15" hidden="false" customHeight="false" outlineLevel="0" collapsed="false">
      <c r="A2230" s="102"/>
      <c r="B2230" s="104"/>
      <c r="C2230" s="104"/>
      <c r="F2230" s="103" t="str">
        <f aca="false">IF(OR($C2230="",$D2230=0),"",$E2230/$D2230)</f>
        <v/>
      </c>
      <c r="H2230" s="0" t="str">
        <f aca="false">IF($C2230="","",IF(COUNTIF('مواد المخزون'!$A$2:$A$86,$C2230)&gt;0,"نعم","لا (خارج الجرد)"))</f>
        <v/>
      </c>
    </row>
    <row r="2231" customFormat="false" ht="15" hidden="false" customHeight="false" outlineLevel="0" collapsed="false">
      <c r="A2231" s="102"/>
      <c r="B2231" s="104"/>
      <c r="C2231" s="104"/>
      <c r="F2231" s="103" t="str">
        <f aca="false">IF(OR($C2231="",$D2231=0),"",$E2231/$D2231)</f>
        <v/>
      </c>
      <c r="H2231" s="0" t="str">
        <f aca="false">IF($C2231="","",IF(COUNTIF('مواد المخزون'!$A$2:$A$86,$C2231)&gt;0,"نعم","لا (خارج الجرد)"))</f>
        <v/>
      </c>
    </row>
    <row r="2232" customFormat="false" ht="15" hidden="false" customHeight="false" outlineLevel="0" collapsed="false">
      <c r="A2232" s="102"/>
      <c r="B2232" s="104"/>
      <c r="C2232" s="104"/>
      <c r="F2232" s="103" t="str">
        <f aca="false">IF(OR($C2232="",$D2232=0),"",$E2232/$D2232)</f>
        <v/>
      </c>
      <c r="H2232" s="0" t="str">
        <f aca="false">IF($C2232="","",IF(COUNTIF('مواد المخزون'!$A$2:$A$86,$C2232)&gt;0,"نعم","لا (خارج الجرد)"))</f>
        <v/>
      </c>
    </row>
    <row r="2233" customFormat="false" ht="15" hidden="false" customHeight="false" outlineLevel="0" collapsed="false">
      <c r="A2233" s="102"/>
      <c r="B2233" s="104"/>
      <c r="C2233" s="104"/>
      <c r="F2233" s="103" t="str">
        <f aca="false">IF(OR($C2233="",$D2233=0),"",$E2233/$D2233)</f>
        <v/>
      </c>
      <c r="H2233" s="0" t="str">
        <f aca="false">IF($C2233="","",IF(COUNTIF('مواد المخزون'!$A$2:$A$86,$C2233)&gt;0,"نعم","لا (خارج الجرد)"))</f>
        <v/>
      </c>
    </row>
    <row r="2234" customFormat="false" ht="15" hidden="false" customHeight="false" outlineLevel="0" collapsed="false">
      <c r="A2234" s="102"/>
      <c r="B2234" s="104"/>
      <c r="C2234" s="104"/>
      <c r="F2234" s="103" t="str">
        <f aca="false">IF(OR($C2234="",$D2234=0),"",$E2234/$D2234)</f>
        <v/>
      </c>
      <c r="H2234" s="0" t="str">
        <f aca="false">IF($C2234="","",IF(COUNTIF('مواد المخزون'!$A$2:$A$86,$C2234)&gt;0,"نعم","لا (خارج الجرد)"))</f>
        <v/>
      </c>
    </row>
    <row r="2235" customFormat="false" ht="15" hidden="false" customHeight="false" outlineLevel="0" collapsed="false">
      <c r="A2235" s="102"/>
      <c r="B2235" s="104"/>
      <c r="C2235" s="104"/>
      <c r="F2235" s="103" t="str">
        <f aca="false">IF(OR($C2235="",$D2235=0),"",$E2235/$D2235)</f>
        <v/>
      </c>
      <c r="H2235" s="0" t="str">
        <f aca="false">IF($C2235="","",IF(COUNTIF('مواد المخزون'!$A$2:$A$86,$C2235)&gt;0,"نعم","لا (خارج الجرد)"))</f>
        <v/>
      </c>
    </row>
    <row r="2236" customFormat="false" ht="15" hidden="false" customHeight="false" outlineLevel="0" collapsed="false">
      <c r="A2236" s="102"/>
      <c r="B2236" s="104"/>
      <c r="C2236" s="104"/>
      <c r="F2236" s="103" t="str">
        <f aca="false">IF(OR($C2236="",$D2236=0),"",$E2236/$D2236)</f>
        <v/>
      </c>
      <c r="H2236" s="0" t="str">
        <f aca="false">IF($C2236="","",IF(COUNTIF('مواد المخزون'!$A$2:$A$86,$C2236)&gt;0,"نعم","لا (خارج الجرد)"))</f>
        <v/>
      </c>
    </row>
    <row r="2237" customFormat="false" ht="15" hidden="false" customHeight="false" outlineLevel="0" collapsed="false">
      <c r="A2237" s="102"/>
      <c r="B2237" s="104"/>
      <c r="C2237" s="104"/>
      <c r="F2237" s="103" t="str">
        <f aca="false">IF(OR($C2237="",$D2237=0),"",$E2237/$D2237)</f>
        <v/>
      </c>
      <c r="H2237" s="0" t="str">
        <f aca="false">IF($C2237="","",IF(COUNTIF('مواد المخزون'!$A$2:$A$86,$C2237)&gt;0,"نعم","لا (خارج الجرد)"))</f>
        <v/>
      </c>
    </row>
    <row r="2238" customFormat="false" ht="15" hidden="false" customHeight="false" outlineLevel="0" collapsed="false">
      <c r="A2238" s="102"/>
      <c r="B2238" s="104"/>
      <c r="C2238" s="104"/>
      <c r="F2238" s="103" t="str">
        <f aca="false">IF(OR($C2238="",$D2238=0),"",$E2238/$D2238)</f>
        <v/>
      </c>
      <c r="H2238" s="0" t="str">
        <f aca="false">IF($C2238="","",IF(COUNTIF('مواد المخزون'!$A$2:$A$86,$C2238)&gt;0,"نعم","لا (خارج الجرد)"))</f>
        <v/>
      </c>
    </row>
    <row r="2239" customFormat="false" ht="15" hidden="false" customHeight="false" outlineLevel="0" collapsed="false">
      <c r="A2239" s="102"/>
      <c r="B2239" s="104"/>
      <c r="C2239" s="104"/>
      <c r="F2239" s="103" t="str">
        <f aca="false">IF(OR($C2239="",$D2239=0),"",$E2239/$D2239)</f>
        <v/>
      </c>
      <c r="H2239" s="0" t="str">
        <f aca="false">IF($C2239="","",IF(COUNTIF('مواد المخزون'!$A$2:$A$86,$C2239)&gt;0,"نعم","لا (خارج الجرد)"))</f>
        <v/>
      </c>
    </row>
    <row r="2240" customFormat="false" ht="15" hidden="false" customHeight="false" outlineLevel="0" collapsed="false">
      <c r="A2240" s="102"/>
      <c r="B2240" s="104"/>
      <c r="C2240" s="104"/>
      <c r="F2240" s="103" t="str">
        <f aca="false">IF(OR($C2240="",$D2240=0),"",$E2240/$D2240)</f>
        <v/>
      </c>
      <c r="H2240" s="0" t="str">
        <f aca="false">IF($C2240="","",IF(COUNTIF('مواد المخزون'!$A$2:$A$86,$C2240)&gt;0,"نعم","لا (خارج الجرد)"))</f>
        <v/>
      </c>
    </row>
    <row r="2241" customFormat="false" ht="15" hidden="false" customHeight="false" outlineLevel="0" collapsed="false">
      <c r="A2241" s="102"/>
      <c r="B2241" s="104"/>
      <c r="C2241" s="104"/>
      <c r="F2241" s="103" t="str">
        <f aca="false">IF(OR($C2241="",$D2241=0),"",$E2241/$D2241)</f>
        <v/>
      </c>
      <c r="H2241" s="0" t="str">
        <f aca="false">IF($C2241="","",IF(COUNTIF('مواد المخزون'!$A$2:$A$86,$C2241)&gt;0,"نعم","لا (خارج الجرد)"))</f>
        <v/>
      </c>
    </row>
    <row r="2242" customFormat="false" ht="15" hidden="false" customHeight="false" outlineLevel="0" collapsed="false">
      <c r="A2242" s="102"/>
      <c r="B2242" s="104"/>
      <c r="C2242" s="104"/>
      <c r="F2242" s="103" t="str">
        <f aca="false">IF(OR($C2242="",$D2242=0),"",$E2242/$D2242)</f>
        <v/>
      </c>
      <c r="H2242" s="0" t="str">
        <f aca="false">IF($C2242="","",IF(COUNTIF('مواد المخزون'!$A$2:$A$86,$C2242)&gt;0,"نعم","لا (خارج الجرد)"))</f>
        <v/>
      </c>
    </row>
    <row r="2243" customFormat="false" ht="15" hidden="false" customHeight="false" outlineLevel="0" collapsed="false">
      <c r="A2243" s="102"/>
      <c r="B2243" s="104"/>
      <c r="C2243" s="104"/>
      <c r="F2243" s="103" t="str">
        <f aca="false">IF(OR($C2243="",$D2243=0),"",$E2243/$D2243)</f>
        <v/>
      </c>
      <c r="H2243" s="0" t="str">
        <f aca="false">IF($C2243="","",IF(COUNTIF('مواد المخزون'!$A$2:$A$86,$C2243)&gt;0,"نعم","لا (خارج الجرد)"))</f>
        <v/>
      </c>
    </row>
    <row r="2244" customFormat="false" ht="15" hidden="false" customHeight="false" outlineLevel="0" collapsed="false">
      <c r="A2244" s="102"/>
      <c r="B2244" s="104"/>
      <c r="C2244" s="104"/>
      <c r="F2244" s="103" t="str">
        <f aca="false">IF(OR($C2244="",$D2244=0),"",$E2244/$D2244)</f>
        <v/>
      </c>
      <c r="H2244" s="0" t="str">
        <f aca="false">IF($C2244="","",IF(COUNTIF('مواد المخزون'!$A$2:$A$86,$C2244)&gt;0,"نعم","لا (خارج الجرد)"))</f>
        <v/>
      </c>
    </row>
    <row r="2245" customFormat="false" ht="15" hidden="false" customHeight="false" outlineLevel="0" collapsed="false">
      <c r="A2245" s="102"/>
      <c r="B2245" s="104"/>
      <c r="C2245" s="104"/>
      <c r="F2245" s="103" t="str">
        <f aca="false">IF(OR($C2245="",$D2245=0),"",$E2245/$D2245)</f>
        <v/>
      </c>
      <c r="H2245" s="0" t="str">
        <f aca="false">IF($C2245="","",IF(COUNTIF('مواد المخزون'!$A$2:$A$86,$C2245)&gt;0,"نعم","لا (خارج الجرد)"))</f>
        <v/>
      </c>
    </row>
    <row r="2246" customFormat="false" ht="15" hidden="false" customHeight="false" outlineLevel="0" collapsed="false">
      <c r="A2246" s="102"/>
      <c r="B2246" s="104"/>
      <c r="C2246" s="104"/>
      <c r="F2246" s="103" t="str">
        <f aca="false">IF(OR($C2246="",$D2246=0),"",$E2246/$D2246)</f>
        <v/>
      </c>
      <c r="H2246" s="0" t="str">
        <f aca="false">IF($C2246="","",IF(COUNTIF('مواد المخزون'!$A$2:$A$86,$C2246)&gt;0,"نعم","لا (خارج الجرد)"))</f>
        <v/>
      </c>
    </row>
    <row r="2247" customFormat="false" ht="15" hidden="false" customHeight="false" outlineLevel="0" collapsed="false">
      <c r="A2247" s="102"/>
      <c r="B2247" s="104"/>
      <c r="C2247" s="104"/>
      <c r="F2247" s="103" t="str">
        <f aca="false">IF(OR($C2247="",$D2247=0),"",$E2247/$D2247)</f>
        <v/>
      </c>
      <c r="H2247" s="0" t="str">
        <f aca="false">IF($C2247="","",IF(COUNTIF('مواد المخزون'!$A$2:$A$86,$C2247)&gt;0,"نعم","لا (خارج الجرد)"))</f>
        <v/>
      </c>
    </row>
    <row r="2248" customFormat="false" ht="15" hidden="false" customHeight="false" outlineLevel="0" collapsed="false">
      <c r="A2248" s="102"/>
      <c r="B2248" s="104"/>
      <c r="C2248" s="104"/>
      <c r="F2248" s="103" t="str">
        <f aca="false">IF(OR($C2248="",$D2248=0),"",$E2248/$D2248)</f>
        <v/>
      </c>
      <c r="H2248" s="0" t="str">
        <f aca="false">IF($C2248="","",IF(COUNTIF('مواد المخزون'!$A$2:$A$86,$C2248)&gt;0,"نعم","لا (خارج الجرد)"))</f>
        <v/>
      </c>
    </row>
    <row r="2249" customFormat="false" ht="15" hidden="false" customHeight="false" outlineLevel="0" collapsed="false">
      <c r="A2249" s="102"/>
      <c r="B2249" s="104"/>
      <c r="C2249" s="104"/>
      <c r="F2249" s="103" t="str">
        <f aca="false">IF(OR($C2249="",$D2249=0),"",$E2249/$D2249)</f>
        <v/>
      </c>
      <c r="H2249" s="0" t="str">
        <f aca="false">IF($C2249="","",IF(COUNTIF('مواد المخزون'!$A$2:$A$86,$C2249)&gt;0,"نعم","لا (خارج الجرد)"))</f>
        <v/>
      </c>
    </row>
    <row r="2250" customFormat="false" ht="15" hidden="false" customHeight="false" outlineLevel="0" collapsed="false">
      <c r="A2250" s="102"/>
      <c r="B2250" s="104"/>
      <c r="C2250" s="104"/>
      <c r="F2250" s="103" t="str">
        <f aca="false">IF(OR($C2250="",$D2250=0),"",$E2250/$D2250)</f>
        <v/>
      </c>
      <c r="H2250" s="0" t="str">
        <f aca="false">IF($C2250="","",IF(COUNTIF('مواد المخزون'!$A$2:$A$86,$C2250)&gt;0,"نعم","لا (خارج الجرد)"))</f>
        <v/>
      </c>
    </row>
    <row r="2251" customFormat="false" ht="15" hidden="false" customHeight="false" outlineLevel="0" collapsed="false">
      <c r="A2251" s="102"/>
      <c r="B2251" s="104"/>
      <c r="C2251" s="104"/>
      <c r="F2251" s="103" t="str">
        <f aca="false">IF(OR($C2251="",$D2251=0),"",$E2251/$D2251)</f>
        <v/>
      </c>
      <c r="H2251" s="0" t="str">
        <f aca="false">IF($C2251="","",IF(COUNTIF('مواد المخزون'!$A$2:$A$86,$C2251)&gt;0,"نعم","لا (خارج الجرد)"))</f>
        <v/>
      </c>
    </row>
    <row r="2252" customFormat="false" ht="15" hidden="false" customHeight="false" outlineLevel="0" collapsed="false">
      <c r="A2252" s="102"/>
      <c r="B2252" s="104"/>
      <c r="C2252" s="104"/>
      <c r="F2252" s="103" t="str">
        <f aca="false">IF(OR($C2252="",$D2252=0),"",$E2252/$D2252)</f>
        <v/>
      </c>
      <c r="H2252" s="0" t="str">
        <f aca="false">IF($C2252="","",IF(COUNTIF('مواد المخزون'!$A$2:$A$86,$C2252)&gt;0,"نعم","لا (خارج الجرد)"))</f>
        <v/>
      </c>
    </row>
    <row r="2253" customFormat="false" ht="15" hidden="false" customHeight="false" outlineLevel="0" collapsed="false">
      <c r="A2253" s="102"/>
      <c r="B2253" s="104"/>
      <c r="C2253" s="104"/>
      <c r="F2253" s="103" t="str">
        <f aca="false">IF(OR($C2253="",$D2253=0),"",$E2253/$D2253)</f>
        <v/>
      </c>
      <c r="H2253" s="0" t="str">
        <f aca="false">IF($C2253="","",IF(COUNTIF('مواد المخزون'!$A$2:$A$86,$C2253)&gt;0,"نعم","لا (خارج الجرد)"))</f>
        <v/>
      </c>
    </row>
    <row r="2254" customFormat="false" ht="15" hidden="false" customHeight="false" outlineLevel="0" collapsed="false">
      <c r="A2254" s="102"/>
      <c r="B2254" s="104"/>
      <c r="C2254" s="104"/>
      <c r="F2254" s="103" t="str">
        <f aca="false">IF(OR($C2254="",$D2254=0),"",$E2254/$D2254)</f>
        <v/>
      </c>
      <c r="H2254" s="0" t="str">
        <f aca="false">IF($C2254="","",IF(COUNTIF('مواد المخزون'!$A$2:$A$86,$C2254)&gt;0,"نعم","لا (خارج الجرد)"))</f>
        <v/>
      </c>
    </row>
    <row r="2255" customFormat="false" ht="15" hidden="false" customHeight="false" outlineLevel="0" collapsed="false">
      <c r="A2255" s="102"/>
      <c r="B2255" s="104"/>
      <c r="C2255" s="104"/>
      <c r="F2255" s="103" t="str">
        <f aca="false">IF(OR($C2255="",$D2255=0),"",$E2255/$D2255)</f>
        <v/>
      </c>
      <c r="H2255" s="0" t="str">
        <f aca="false">IF($C2255="","",IF(COUNTIF('مواد المخزون'!$A$2:$A$86,$C2255)&gt;0,"نعم","لا (خارج الجرد)"))</f>
        <v/>
      </c>
    </row>
    <row r="2256" customFormat="false" ht="15" hidden="false" customHeight="false" outlineLevel="0" collapsed="false">
      <c r="A2256" s="102"/>
      <c r="B2256" s="104"/>
      <c r="C2256" s="104"/>
      <c r="F2256" s="103" t="str">
        <f aca="false">IF(OR($C2256="",$D2256=0),"",$E2256/$D2256)</f>
        <v/>
      </c>
      <c r="H2256" s="0" t="str">
        <f aca="false">IF($C2256="","",IF(COUNTIF('مواد المخزون'!$A$2:$A$86,$C2256)&gt;0,"نعم","لا (خارج الجرد)"))</f>
        <v/>
      </c>
    </row>
    <row r="2257" customFormat="false" ht="15" hidden="false" customHeight="false" outlineLevel="0" collapsed="false">
      <c r="A2257" s="102"/>
      <c r="B2257" s="104"/>
      <c r="C2257" s="104"/>
      <c r="F2257" s="103" t="str">
        <f aca="false">IF(OR($C2257="",$D2257=0),"",$E2257/$D2257)</f>
        <v/>
      </c>
      <c r="H2257" s="0" t="str">
        <f aca="false">IF($C2257="","",IF(COUNTIF('مواد المخزون'!$A$2:$A$86,$C2257)&gt;0,"نعم","لا (خارج الجرد)"))</f>
        <v/>
      </c>
    </row>
    <row r="2258" customFormat="false" ht="15" hidden="false" customHeight="false" outlineLevel="0" collapsed="false">
      <c r="A2258" s="102"/>
      <c r="B2258" s="104"/>
      <c r="C2258" s="104"/>
      <c r="F2258" s="103" t="str">
        <f aca="false">IF(OR($C2258="",$D2258=0),"",$E2258/$D2258)</f>
        <v/>
      </c>
      <c r="H2258" s="0" t="str">
        <f aca="false">IF($C2258="","",IF(COUNTIF('مواد المخزون'!$A$2:$A$86,$C2258)&gt;0,"نعم","لا (خارج الجرد)"))</f>
        <v/>
      </c>
    </row>
    <row r="2259" customFormat="false" ht="15" hidden="false" customHeight="false" outlineLevel="0" collapsed="false">
      <c r="A2259" s="102"/>
      <c r="B2259" s="104"/>
      <c r="C2259" s="104"/>
      <c r="F2259" s="103" t="str">
        <f aca="false">IF(OR($C2259="",$D2259=0),"",$E2259/$D2259)</f>
        <v/>
      </c>
      <c r="H2259" s="0" t="str">
        <f aca="false">IF($C2259="","",IF(COUNTIF('مواد المخزون'!$A$2:$A$86,$C2259)&gt;0,"نعم","لا (خارج الجرد)"))</f>
        <v/>
      </c>
    </row>
    <row r="2260" customFormat="false" ht="15" hidden="false" customHeight="false" outlineLevel="0" collapsed="false">
      <c r="A2260" s="102"/>
      <c r="B2260" s="104"/>
      <c r="C2260" s="104"/>
      <c r="F2260" s="103" t="str">
        <f aca="false">IF(OR($C2260="",$D2260=0),"",$E2260/$D2260)</f>
        <v/>
      </c>
      <c r="H2260" s="0" t="str">
        <f aca="false">IF($C2260="","",IF(COUNTIF('مواد المخزون'!$A$2:$A$86,$C2260)&gt;0,"نعم","لا (خارج الجرد)"))</f>
        <v/>
      </c>
    </row>
    <row r="2261" customFormat="false" ht="15" hidden="false" customHeight="false" outlineLevel="0" collapsed="false">
      <c r="A2261" s="102"/>
      <c r="B2261" s="104"/>
      <c r="C2261" s="104"/>
      <c r="F2261" s="103" t="str">
        <f aca="false">IF(OR($C2261="",$D2261=0),"",$E2261/$D2261)</f>
        <v/>
      </c>
      <c r="H2261" s="0" t="str">
        <f aca="false">IF($C2261="","",IF(COUNTIF('مواد المخزون'!$A$2:$A$86,$C2261)&gt;0,"نعم","لا (خارج الجرد)"))</f>
        <v/>
      </c>
    </row>
    <row r="2262" customFormat="false" ht="15" hidden="false" customHeight="false" outlineLevel="0" collapsed="false">
      <c r="A2262" s="102"/>
      <c r="B2262" s="104"/>
      <c r="C2262" s="104"/>
      <c r="F2262" s="103" t="str">
        <f aca="false">IF(OR($C2262="",$D2262=0),"",$E2262/$D2262)</f>
        <v/>
      </c>
      <c r="H2262" s="0" t="str">
        <f aca="false">IF($C2262="","",IF(COUNTIF('مواد المخزون'!$A$2:$A$86,$C2262)&gt;0,"نعم","لا (خارج الجرد)"))</f>
        <v/>
      </c>
    </row>
    <row r="2263" customFormat="false" ht="15" hidden="false" customHeight="false" outlineLevel="0" collapsed="false">
      <c r="A2263" s="102"/>
      <c r="B2263" s="104"/>
      <c r="C2263" s="104"/>
      <c r="F2263" s="103" t="str">
        <f aca="false">IF(OR($C2263="",$D2263=0),"",$E2263/$D2263)</f>
        <v/>
      </c>
      <c r="H2263" s="0" t="str">
        <f aca="false">IF($C2263="","",IF(COUNTIF('مواد المخزون'!$A$2:$A$86,$C2263)&gt;0,"نعم","لا (خارج الجرد)"))</f>
        <v/>
      </c>
    </row>
    <row r="2264" customFormat="false" ht="15" hidden="false" customHeight="false" outlineLevel="0" collapsed="false">
      <c r="A2264" s="102"/>
      <c r="B2264" s="104"/>
      <c r="C2264" s="104"/>
      <c r="F2264" s="103" t="str">
        <f aca="false">IF(OR($C2264="",$D2264=0),"",$E2264/$D2264)</f>
        <v/>
      </c>
      <c r="H2264" s="0" t="str">
        <f aca="false">IF($C2264="","",IF(COUNTIF('مواد المخزون'!$A$2:$A$86,$C2264)&gt;0,"نعم","لا (خارج الجرد)"))</f>
        <v/>
      </c>
    </row>
    <row r="2265" customFormat="false" ht="15" hidden="false" customHeight="false" outlineLevel="0" collapsed="false">
      <c r="A2265" s="102"/>
      <c r="B2265" s="104"/>
      <c r="C2265" s="104"/>
      <c r="F2265" s="103" t="str">
        <f aca="false">IF(OR($C2265="",$D2265=0),"",$E2265/$D2265)</f>
        <v/>
      </c>
      <c r="H2265" s="0" t="str">
        <f aca="false">IF($C2265="","",IF(COUNTIF('مواد المخزون'!$A$2:$A$86,$C2265)&gt;0,"نعم","لا (خارج الجرد)"))</f>
        <v/>
      </c>
    </row>
    <row r="2266" customFormat="false" ht="15" hidden="false" customHeight="false" outlineLevel="0" collapsed="false">
      <c r="A2266" s="102"/>
      <c r="B2266" s="104"/>
      <c r="C2266" s="104"/>
      <c r="F2266" s="103" t="str">
        <f aca="false">IF(OR($C2266="",$D2266=0),"",$E2266/$D2266)</f>
        <v/>
      </c>
      <c r="H2266" s="0" t="str">
        <f aca="false">IF($C2266="","",IF(COUNTIF('مواد المخزون'!$A$2:$A$86,$C2266)&gt;0,"نعم","لا (خارج الجرد)"))</f>
        <v/>
      </c>
    </row>
    <row r="2267" customFormat="false" ht="15" hidden="false" customHeight="false" outlineLevel="0" collapsed="false">
      <c r="A2267" s="102"/>
      <c r="B2267" s="104"/>
      <c r="C2267" s="104"/>
      <c r="F2267" s="103" t="str">
        <f aca="false">IF(OR($C2267="",$D2267=0),"",$E2267/$D2267)</f>
        <v/>
      </c>
      <c r="H2267" s="0" t="str">
        <f aca="false">IF($C2267="","",IF(COUNTIF('مواد المخزون'!$A$2:$A$86,$C2267)&gt;0,"نعم","لا (خارج الجرد)"))</f>
        <v/>
      </c>
    </row>
    <row r="2268" customFormat="false" ht="15" hidden="false" customHeight="false" outlineLevel="0" collapsed="false">
      <c r="A2268" s="102"/>
      <c r="B2268" s="104"/>
      <c r="C2268" s="104"/>
      <c r="F2268" s="103" t="str">
        <f aca="false">IF(OR($C2268="",$D2268=0),"",$E2268/$D2268)</f>
        <v/>
      </c>
      <c r="H2268" s="0" t="str">
        <f aca="false">IF($C2268="","",IF(COUNTIF('مواد المخزون'!$A$2:$A$86,$C2268)&gt;0,"نعم","لا (خارج الجرد)"))</f>
        <v/>
      </c>
    </row>
    <row r="2269" customFormat="false" ht="15" hidden="false" customHeight="false" outlineLevel="0" collapsed="false">
      <c r="A2269" s="102"/>
      <c r="B2269" s="104"/>
      <c r="C2269" s="104"/>
      <c r="F2269" s="103" t="str">
        <f aca="false">IF(OR($C2269="",$D2269=0),"",$E2269/$D2269)</f>
        <v/>
      </c>
      <c r="H2269" s="0" t="str">
        <f aca="false">IF($C2269="","",IF(COUNTIF('مواد المخزون'!$A$2:$A$86,$C2269)&gt;0,"نعم","لا (خارج الجرد)"))</f>
        <v/>
      </c>
    </row>
    <row r="2270" customFormat="false" ht="15" hidden="false" customHeight="false" outlineLevel="0" collapsed="false">
      <c r="A2270" s="102"/>
      <c r="B2270" s="104"/>
      <c r="C2270" s="104"/>
      <c r="F2270" s="103" t="str">
        <f aca="false">IF(OR($C2270="",$D2270=0),"",$E2270/$D2270)</f>
        <v/>
      </c>
      <c r="H2270" s="0" t="str">
        <f aca="false">IF($C2270="","",IF(COUNTIF('مواد المخزون'!$A$2:$A$86,$C2270)&gt;0,"نعم","لا (خارج الجرد)"))</f>
        <v/>
      </c>
    </row>
    <row r="2271" customFormat="false" ht="15" hidden="false" customHeight="false" outlineLevel="0" collapsed="false">
      <c r="A2271" s="102"/>
      <c r="B2271" s="104"/>
      <c r="C2271" s="104"/>
      <c r="F2271" s="103" t="str">
        <f aca="false">IF(OR($C2271="",$D2271=0),"",$E2271/$D2271)</f>
        <v/>
      </c>
      <c r="H2271" s="0" t="str">
        <f aca="false">IF($C2271="","",IF(COUNTIF('مواد المخزون'!$A$2:$A$86,$C2271)&gt;0,"نعم","لا (خارج الجرد)"))</f>
        <v/>
      </c>
    </row>
    <row r="2272" customFormat="false" ht="15" hidden="false" customHeight="false" outlineLevel="0" collapsed="false">
      <c r="A2272" s="102"/>
      <c r="B2272" s="104"/>
      <c r="C2272" s="104"/>
      <c r="F2272" s="103" t="str">
        <f aca="false">IF(OR($C2272="",$D2272=0),"",$E2272/$D2272)</f>
        <v/>
      </c>
      <c r="H2272" s="0" t="str">
        <f aca="false">IF($C2272="","",IF(COUNTIF('مواد المخزون'!$A$2:$A$86,$C2272)&gt;0,"نعم","لا (خارج الجرد)"))</f>
        <v/>
      </c>
    </row>
    <row r="2273" customFormat="false" ht="15" hidden="false" customHeight="false" outlineLevel="0" collapsed="false">
      <c r="A2273" s="102"/>
      <c r="B2273" s="104"/>
      <c r="C2273" s="104"/>
      <c r="F2273" s="103" t="str">
        <f aca="false">IF(OR($C2273="",$D2273=0),"",$E2273/$D2273)</f>
        <v/>
      </c>
      <c r="H2273" s="0" t="str">
        <f aca="false">IF($C2273="","",IF(COUNTIF('مواد المخزون'!$A$2:$A$86,$C2273)&gt;0,"نعم","لا (خارج الجرد)"))</f>
        <v/>
      </c>
    </row>
    <row r="2274" customFormat="false" ht="15" hidden="false" customHeight="false" outlineLevel="0" collapsed="false">
      <c r="A2274" s="102"/>
      <c r="B2274" s="104"/>
      <c r="C2274" s="104"/>
      <c r="F2274" s="103" t="str">
        <f aca="false">IF(OR($C2274="",$D2274=0),"",$E2274/$D2274)</f>
        <v/>
      </c>
      <c r="H2274" s="0" t="str">
        <f aca="false">IF($C2274="","",IF(COUNTIF('مواد المخزون'!$A$2:$A$86,$C2274)&gt;0,"نعم","لا (خارج الجرد)"))</f>
        <v/>
      </c>
    </row>
    <row r="2275" customFormat="false" ht="15" hidden="false" customHeight="false" outlineLevel="0" collapsed="false">
      <c r="A2275" s="102"/>
      <c r="B2275" s="104"/>
      <c r="C2275" s="104"/>
      <c r="F2275" s="103" t="str">
        <f aca="false">IF(OR($C2275="",$D2275=0),"",$E2275/$D2275)</f>
        <v/>
      </c>
      <c r="H2275" s="0" t="str">
        <f aca="false">IF($C2275="","",IF(COUNTIF('مواد المخزون'!$A$2:$A$86,$C2275)&gt;0,"نعم","لا (خارج الجرد)"))</f>
        <v/>
      </c>
    </row>
    <row r="2276" customFormat="false" ht="15" hidden="false" customHeight="false" outlineLevel="0" collapsed="false">
      <c r="A2276" s="102"/>
      <c r="B2276" s="104"/>
      <c r="C2276" s="104"/>
      <c r="F2276" s="103" t="str">
        <f aca="false">IF(OR($C2276="",$D2276=0),"",$E2276/$D2276)</f>
        <v/>
      </c>
      <c r="H2276" s="0" t="str">
        <f aca="false">IF($C2276="","",IF(COUNTIF('مواد المخزون'!$A$2:$A$86,$C2276)&gt;0,"نعم","لا (خارج الجرد)"))</f>
        <v/>
      </c>
    </row>
    <row r="2277" customFormat="false" ht="15" hidden="false" customHeight="false" outlineLevel="0" collapsed="false">
      <c r="A2277" s="102"/>
      <c r="B2277" s="104"/>
      <c r="C2277" s="104"/>
      <c r="F2277" s="103" t="str">
        <f aca="false">IF(OR($C2277="",$D2277=0),"",$E2277/$D2277)</f>
        <v/>
      </c>
      <c r="H2277" s="0" t="str">
        <f aca="false">IF($C2277="","",IF(COUNTIF('مواد المخزون'!$A$2:$A$86,$C2277)&gt;0,"نعم","لا (خارج الجرد)"))</f>
        <v/>
      </c>
    </row>
    <row r="2278" customFormat="false" ht="15" hidden="false" customHeight="false" outlineLevel="0" collapsed="false">
      <c r="A2278" s="102"/>
      <c r="B2278" s="104"/>
      <c r="C2278" s="104"/>
      <c r="F2278" s="103" t="str">
        <f aca="false">IF(OR($C2278="",$D2278=0),"",$E2278/$D2278)</f>
        <v/>
      </c>
      <c r="H2278" s="0" t="str">
        <f aca="false">IF($C2278="","",IF(COUNTIF('مواد المخزون'!$A$2:$A$86,$C2278)&gt;0,"نعم","لا (خارج الجرد)"))</f>
        <v/>
      </c>
    </row>
    <row r="2279" customFormat="false" ht="15" hidden="false" customHeight="false" outlineLevel="0" collapsed="false">
      <c r="A2279" s="102"/>
      <c r="B2279" s="104"/>
      <c r="C2279" s="104"/>
      <c r="F2279" s="103" t="str">
        <f aca="false">IF(OR($C2279="",$D2279=0),"",$E2279/$D2279)</f>
        <v/>
      </c>
      <c r="H2279" s="0" t="str">
        <f aca="false">IF($C2279="","",IF(COUNTIF('مواد المخزون'!$A$2:$A$86,$C2279)&gt;0,"نعم","لا (خارج الجرد)"))</f>
        <v/>
      </c>
    </row>
    <row r="2280" customFormat="false" ht="15" hidden="false" customHeight="false" outlineLevel="0" collapsed="false">
      <c r="A2280" s="102"/>
      <c r="B2280" s="104"/>
      <c r="C2280" s="104"/>
      <c r="F2280" s="103" t="str">
        <f aca="false">IF(OR($C2280="",$D2280=0),"",$E2280/$D2280)</f>
        <v/>
      </c>
      <c r="H2280" s="0" t="str">
        <f aca="false">IF($C2280="","",IF(COUNTIF('مواد المخزون'!$A$2:$A$86,$C2280)&gt;0,"نعم","لا (خارج الجرد)"))</f>
        <v/>
      </c>
    </row>
    <row r="2281" customFormat="false" ht="15" hidden="false" customHeight="false" outlineLevel="0" collapsed="false">
      <c r="A2281" s="102"/>
      <c r="B2281" s="104"/>
      <c r="C2281" s="104"/>
      <c r="F2281" s="103" t="str">
        <f aca="false">IF(OR($C2281="",$D2281=0),"",$E2281/$D2281)</f>
        <v/>
      </c>
      <c r="H2281" s="0" t="str">
        <f aca="false">IF($C2281="","",IF(COUNTIF('مواد المخزون'!$A$2:$A$86,$C2281)&gt;0,"نعم","لا (خارج الجرد)"))</f>
        <v/>
      </c>
    </row>
    <row r="2282" customFormat="false" ht="15" hidden="false" customHeight="false" outlineLevel="0" collapsed="false">
      <c r="A2282" s="102"/>
      <c r="B2282" s="104"/>
      <c r="C2282" s="104"/>
      <c r="F2282" s="103" t="str">
        <f aca="false">IF(OR($C2282="",$D2282=0),"",$E2282/$D2282)</f>
        <v/>
      </c>
      <c r="H2282" s="0" t="str">
        <f aca="false">IF($C2282="","",IF(COUNTIF('مواد المخزون'!$A$2:$A$86,$C2282)&gt;0,"نعم","لا (خارج الجرد)"))</f>
        <v/>
      </c>
    </row>
    <row r="2283" customFormat="false" ht="15" hidden="false" customHeight="false" outlineLevel="0" collapsed="false">
      <c r="A2283" s="102"/>
      <c r="B2283" s="104"/>
      <c r="C2283" s="104"/>
      <c r="F2283" s="103" t="str">
        <f aca="false">IF(OR($C2283="",$D2283=0),"",$E2283/$D2283)</f>
        <v/>
      </c>
      <c r="H2283" s="0" t="str">
        <f aca="false">IF($C2283="","",IF(COUNTIF('مواد المخزون'!$A$2:$A$86,$C2283)&gt;0,"نعم","لا (خارج الجرد)"))</f>
        <v/>
      </c>
    </row>
    <row r="2284" customFormat="false" ht="15" hidden="false" customHeight="false" outlineLevel="0" collapsed="false">
      <c r="A2284" s="102"/>
      <c r="B2284" s="104"/>
      <c r="C2284" s="104"/>
      <c r="F2284" s="103" t="str">
        <f aca="false">IF(OR($C2284="",$D2284=0),"",$E2284/$D2284)</f>
        <v/>
      </c>
      <c r="H2284" s="0" t="str">
        <f aca="false">IF($C2284="","",IF(COUNTIF('مواد المخزون'!$A$2:$A$86,$C2284)&gt;0,"نعم","لا (خارج الجرد)"))</f>
        <v/>
      </c>
    </row>
    <row r="2285" customFormat="false" ht="15" hidden="false" customHeight="false" outlineLevel="0" collapsed="false">
      <c r="A2285" s="102"/>
      <c r="B2285" s="104"/>
      <c r="C2285" s="104"/>
      <c r="F2285" s="103" t="str">
        <f aca="false">IF(OR($C2285="",$D2285=0),"",$E2285/$D2285)</f>
        <v/>
      </c>
      <c r="H2285" s="0" t="str">
        <f aca="false">IF($C2285="","",IF(COUNTIF('مواد المخزون'!$A$2:$A$86,$C2285)&gt;0,"نعم","لا (خارج الجرد)"))</f>
        <v/>
      </c>
    </row>
    <row r="2286" customFormat="false" ht="15" hidden="false" customHeight="false" outlineLevel="0" collapsed="false">
      <c r="A2286" s="102"/>
      <c r="B2286" s="104"/>
      <c r="C2286" s="104"/>
      <c r="F2286" s="103" t="str">
        <f aca="false">IF(OR($C2286="",$D2286=0),"",$E2286/$D2286)</f>
        <v/>
      </c>
      <c r="H2286" s="0" t="str">
        <f aca="false">IF($C2286="","",IF(COUNTIF('مواد المخزون'!$A$2:$A$86,$C2286)&gt;0,"نعم","لا (خارج الجرد)"))</f>
        <v/>
      </c>
    </row>
    <row r="2287" customFormat="false" ht="15" hidden="false" customHeight="false" outlineLevel="0" collapsed="false">
      <c r="A2287" s="102"/>
      <c r="B2287" s="104"/>
      <c r="C2287" s="104"/>
      <c r="F2287" s="103" t="str">
        <f aca="false">IF(OR($C2287="",$D2287=0),"",$E2287/$D2287)</f>
        <v/>
      </c>
      <c r="H2287" s="0" t="str">
        <f aca="false">IF($C2287="","",IF(COUNTIF('مواد المخزون'!$A$2:$A$86,$C2287)&gt;0,"نعم","لا (خارج الجرد)"))</f>
        <v/>
      </c>
    </row>
    <row r="2288" customFormat="false" ht="15" hidden="false" customHeight="false" outlineLevel="0" collapsed="false">
      <c r="A2288" s="102"/>
      <c r="B2288" s="104"/>
      <c r="C2288" s="104"/>
      <c r="F2288" s="103" t="str">
        <f aca="false">IF(OR($C2288="",$D2288=0),"",$E2288/$D2288)</f>
        <v/>
      </c>
      <c r="H2288" s="0" t="str">
        <f aca="false">IF($C2288="","",IF(COUNTIF('مواد المخزون'!$A$2:$A$86,$C2288)&gt;0,"نعم","لا (خارج الجرد)"))</f>
        <v/>
      </c>
    </row>
    <row r="2289" customFormat="false" ht="15" hidden="false" customHeight="false" outlineLevel="0" collapsed="false">
      <c r="A2289" s="102"/>
      <c r="B2289" s="104"/>
      <c r="C2289" s="104"/>
      <c r="F2289" s="103" t="str">
        <f aca="false">IF(OR($C2289="",$D2289=0),"",$E2289/$D2289)</f>
        <v/>
      </c>
      <c r="H2289" s="0" t="str">
        <f aca="false">IF($C2289="","",IF(COUNTIF('مواد المخزون'!$A$2:$A$86,$C2289)&gt;0,"نعم","لا (خارج الجرد)"))</f>
        <v/>
      </c>
    </row>
    <row r="2290" customFormat="false" ht="15" hidden="false" customHeight="false" outlineLevel="0" collapsed="false">
      <c r="A2290" s="102"/>
      <c r="B2290" s="104"/>
      <c r="C2290" s="104"/>
      <c r="F2290" s="103" t="str">
        <f aca="false">IF(OR($C2290="",$D2290=0),"",$E2290/$D2290)</f>
        <v/>
      </c>
      <c r="H2290" s="0" t="str">
        <f aca="false">IF($C2290="","",IF(COUNTIF('مواد المخزون'!$A$2:$A$86,$C2290)&gt;0,"نعم","لا (خارج الجرد)"))</f>
        <v/>
      </c>
    </row>
    <row r="2291" customFormat="false" ht="15" hidden="false" customHeight="false" outlineLevel="0" collapsed="false">
      <c r="A2291" s="102"/>
      <c r="B2291" s="104"/>
      <c r="C2291" s="104"/>
      <c r="F2291" s="103" t="str">
        <f aca="false">IF(OR($C2291="",$D2291=0),"",$E2291/$D2291)</f>
        <v/>
      </c>
      <c r="H2291" s="0" t="str">
        <f aca="false">IF($C2291="","",IF(COUNTIF('مواد المخزون'!$A$2:$A$86,$C2291)&gt;0,"نعم","لا (خارج الجرد)"))</f>
        <v/>
      </c>
    </row>
    <row r="2292" customFormat="false" ht="15" hidden="false" customHeight="false" outlineLevel="0" collapsed="false">
      <c r="A2292" s="102"/>
      <c r="B2292" s="104"/>
      <c r="C2292" s="104"/>
      <c r="F2292" s="103" t="str">
        <f aca="false">IF(OR($C2292="",$D2292=0),"",$E2292/$D2292)</f>
        <v/>
      </c>
      <c r="H2292" s="0" t="str">
        <f aca="false">IF($C2292="","",IF(COUNTIF('مواد المخزون'!$A$2:$A$86,$C2292)&gt;0,"نعم","لا (خارج الجرد)"))</f>
        <v/>
      </c>
    </row>
    <row r="2293" customFormat="false" ht="15" hidden="false" customHeight="false" outlineLevel="0" collapsed="false">
      <c r="A2293" s="102"/>
      <c r="B2293" s="104"/>
      <c r="C2293" s="104"/>
      <c r="F2293" s="103" t="str">
        <f aca="false">IF(OR($C2293="",$D2293=0),"",$E2293/$D2293)</f>
        <v/>
      </c>
      <c r="H2293" s="0" t="str">
        <f aca="false">IF($C2293="","",IF(COUNTIF('مواد المخزون'!$A$2:$A$86,$C2293)&gt;0,"نعم","لا (خارج الجرد)"))</f>
        <v/>
      </c>
    </row>
    <row r="2294" customFormat="false" ht="15" hidden="false" customHeight="false" outlineLevel="0" collapsed="false">
      <c r="A2294" s="102"/>
      <c r="B2294" s="104"/>
      <c r="C2294" s="104"/>
      <c r="F2294" s="103" t="str">
        <f aca="false">IF(OR($C2294="",$D2294=0),"",$E2294/$D2294)</f>
        <v/>
      </c>
      <c r="H2294" s="0" t="str">
        <f aca="false">IF($C2294="","",IF(COUNTIF('مواد المخزون'!$A$2:$A$86,$C2294)&gt;0,"نعم","لا (خارج الجرد)"))</f>
        <v/>
      </c>
    </row>
    <row r="2295" customFormat="false" ht="15" hidden="false" customHeight="false" outlineLevel="0" collapsed="false">
      <c r="A2295" s="102"/>
      <c r="B2295" s="104"/>
      <c r="C2295" s="104"/>
      <c r="F2295" s="103" t="str">
        <f aca="false">IF(OR($C2295="",$D2295=0),"",$E2295/$D2295)</f>
        <v/>
      </c>
      <c r="H2295" s="0" t="str">
        <f aca="false">IF($C2295="","",IF(COUNTIF('مواد المخزون'!$A$2:$A$86,$C2295)&gt;0,"نعم","لا (خارج الجرد)"))</f>
        <v/>
      </c>
    </row>
    <row r="2296" customFormat="false" ht="15" hidden="false" customHeight="false" outlineLevel="0" collapsed="false">
      <c r="A2296" s="102"/>
      <c r="B2296" s="104"/>
      <c r="C2296" s="104"/>
      <c r="F2296" s="103" t="str">
        <f aca="false">IF(OR($C2296="",$D2296=0),"",$E2296/$D2296)</f>
        <v/>
      </c>
      <c r="H2296" s="0" t="str">
        <f aca="false">IF($C2296="","",IF(COUNTIF('مواد المخزون'!$A$2:$A$86,$C2296)&gt;0,"نعم","لا (خارج الجرد)"))</f>
        <v/>
      </c>
    </row>
    <row r="2297" customFormat="false" ht="15" hidden="false" customHeight="false" outlineLevel="0" collapsed="false">
      <c r="A2297" s="102"/>
      <c r="B2297" s="104"/>
      <c r="C2297" s="104"/>
      <c r="F2297" s="103" t="str">
        <f aca="false">IF(OR($C2297="",$D2297=0),"",$E2297/$D2297)</f>
        <v/>
      </c>
      <c r="H2297" s="0" t="str">
        <f aca="false">IF($C2297="","",IF(COUNTIF('مواد المخزون'!$A$2:$A$86,$C2297)&gt;0,"نعم","لا (خارج الجرد)"))</f>
        <v/>
      </c>
    </row>
    <row r="2298" customFormat="false" ht="15" hidden="false" customHeight="false" outlineLevel="0" collapsed="false">
      <c r="A2298" s="102"/>
      <c r="B2298" s="104"/>
      <c r="C2298" s="104"/>
      <c r="F2298" s="103" t="str">
        <f aca="false">IF(OR($C2298="",$D2298=0),"",$E2298/$D2298)</f>
        <v/>
      </c>
      <c r="H2298" s="0" t="str">
        <f aca="false">IF($C2298="","",IF(COUNTIF('مواد المخزون'!$A$2:$A$86,$C2298)&gt;0,"نعم","لا (خارج الجرد)"))</f>
        <v/>
      </c>
    </row>
    <row r="2299" customFormat="false" ht="15" hidden="false" customHeight="false" outlineLevel="0" collapsed="false">
      <c r="A2299" s="102"/>
      <c r="B2299" s="104"/>
      <c r="C2299" s="104"/>
      <c r="F2299" s="103" t="str">
        <f aca="false">IF(OR($C2299="",$D2299=0),"",$E2299/$D2299)</f>
        <v/>
      </c>
      <c r="H2299" s="0" t="str">
        <f aca="false">IF($C2299="","",IF(COUNTIF('مواد المخزون'!$A$2:$A$86,$C2299)&gt;0,"نعم","لا (خارج الجرد)"))</f>
        <v/>
      </c>
    </row>
    <row r="2300" customFormat="false" ht="15" hidden="false" customHeight="false" outlineLevel="0" collapsed="false">
      <c r="A2300" s="102"/>
      <c r="B2300" s="104"/>
      <c r="C2300" s="104"/>
      <c r="F2300" s="103" t="str">
        <f aca="false">IF(OR($C2300="",$D2300=0),"",$E2300/$D2300)</f>
        <v/>
      </c>
      <c r="H2300" s="0" t="str">
        <f aca="false">IF($C2300="","",IF(COUNTIF('مواد المخزون'!$A$2:$A$86,$C2300)&gt;0,"نعم","لا (خارج الجرد)"))</f>
        <v/>
      </c>
    </row>
    <row r="2301" customFormat="false" ht="15" hidden="false" customHeight="false" outlineLevel="0" collapsed="false">
      <c r="A2301" s="102"/>
      <c r="B2301" s="104"/>
      <c r="C2301" s="104"/>
      <c r="F2301" s="103" t="str">
        <f aca="false">IF(OR($C2301="",$D2301=0),"",$E2301/$D2301)</f>
        <v/>
      </c>
      <c r="H2301" s="0" t="str">
        <f aca="false">IF($C2301="","",IF(COUNTIF('مواد المخزون'!$A$2:$A$86,$C2301)&gt;0,"نعم","لا (خارج الجرد)"))</f>
        <v/>
      </c>
    </row>
    <row r="2302" customFormat="false" ht="15" hidden="false" customHeight="false" outlineLevel="0" collapsed="false">
      <c r="A2302" s="102"/>
      <c r="B2302" s="104"/>
      <c r="C2302" s="104"/>
      <c r="F2302" s="103" t="str">
        <f aca="false">IF(OR($C2302="",$D2302=0),"",$E2302/$D2302)</f>
        <v/>
      </c>
      <c r="H2302" s="0" t="str">
        <f aca="false">IF($C2302="","",IF(COUNTIF('مواد المخزون'!$A$2:$A$86,$C2302)&gt;0,"نعم","لا (خارج الجرد)"))</f>
        <v/>
      </c>
    </row>
    <row r="2303" customFormat="false" ht="15" hidden="false" customHeight="false" outlineLevel="0" collapsed="false">
      <c r="A2303" s="102"/>
      <c r="B2303" s="104"/>
      <c r="C2303" s="104"/>
      <c r="F2303" s="103" t="str">
        <f aca="false">IF(OR($C2303="",$D2303=0),"",$E2303/$D2303)</f>
        <v/>
      </c>
      <c r="H2303" s="0" t="str">
        <f aca="false">IF($C2303="","",IF(COUNTIF('مواد المخزون'!$A$2:$A$86,$C2303)&gt;0,"نعم","لا (خارج الجرد)"))</f>
        <v/>
      </c>
    </row>
    <row r="2304" customFormat="false" ht="15" hidden="false" customHeight="false" outlineLevel="0" collapsed="false">
      <c r="A2304" s="102"/>
      <c r="B2304" s="104"/>
      <c r="C2304" s="104"/>
      <c r="F2304" s="103" t="str">
        <f aca="false">IF(OR($C2304="",$D2304=0),"",$E2304/$D2304)</f>
        <v/>
      </c>
      <c r="H2304" s="0" t="str">
        <f aca="false">IF($C2304="","",IF(COUNTIF('مواد المخزون'!$A$2:$A$86,$C2304)&gt;0,"نعم","لا (خارج الجرد)"))</f>
        <v/>
      </c>
    </row>
    <row r="2305" customFormat="false" ht="15" hidden="false" customHeight="false" outlineLevel="0" collapsed="false">
      <c r="A2305" s="102"/>
      <c r="B2305" s="104"/>
      <c r="C2305" s="104"/>
      <c r="F2305" s="103" t="str">
        <f aca="false">IF(OR($C2305="",$D2305=0),"",$E2305/$D2305)</f>
        <v/>
      </c>
      <c r="H2305" s="0" t="str">
        <f aca="false">IF($C2305="","",IF(COUNTIF('مواد المخزون'!$A$2:$A$86,$C2305)&gt;0,"نعم","لا (خارج الجرد)"))</f>
        <v/>
      </c>
    </row>
    <row r="2306" customFormat="false" ht="15" hidden="false" customHeight="false" outlineLevel="0" collapsed="false">
      <c r="A2306" s="102"/>
      <c r="B2306" s="104"/>
      <c r="C2306" s="104"/>
      <c r="F2306" s="103" t="str">
        <f aca="false">IF(OR($C2306="",$D2306=0),"",$E2306/$D2306)</f>
        <v/>
      </c>
      <c r="H2306" s="0" t="str">
        <f aca="false">IF($C2306="","",IF(COUNTIF('مواد المخزون'!$A$2:$A$86,$C2306)&gt;0,"نعم","لا (خارج الجرد)"))</f>
        <v/>
      </c>
    </row>
    <row r="2307" customFormat="false" ht="15" hidden="false" customHeight="false" outlineLevel="0" collapsed="false">
      <c r="A2307" s="102"/>
      <c r="B2307" s="104"/>
      <c r="C2307" s="104"/>
      <c r="F2307" s="103" t="str">
        <f aca="false">IF(OR($C2307="",$D2307=0),"",$E2307/$D2307)</f>
        <v/>
      </c>
      <c r="H2307" s="0" t="str">
        <f aca="false">IF($C2307="","",IF(COUNTIF('مواد المخزون'!$A$2:$A$86,$C2307)&gt;0,"نعم","لا (خارج الجرد)"))</f>
        <v/>
      </c>
    </row>
    <row r="2308" customFormat="false" ht="15" hidden="false" customHeight="false" outlineLevel="0" collapsed="false">
      <c r="A2308" s="102"/>
      <c r="B2308" s="104"/>
      <c r="C2308" s="104"/>
      <c r="F2308" s="103" t="str">
        <f aca="false">IF(OR($C2308="",$D2308=0),"",$E2308/$D2308)</f>
        <v/>
      </c>
      <c r="H2308" s="0" t="str">
        <f aca="false">IF($C2308="","",IF(COUNTIF('مواد المخزون'!$A$2:$A$86,$C2308)&gt;0,"نعم","لا (خارج الجرد)"))</f>
        <v/>
      </c>
    </row>
    <row r="2309" customFormat="false" ht="15" hidden="false" customHeight="false" outlineLevel="0" collapsed="false">
      <c r="A2309" s="102"/>
      <c r="B2309" s="104"/>
      <c r="C2309" s="104"/>
      <c r="F2309" s="103" t="str">
        <f aca="false">IF(OR($C2309="",$D2309=0),"",$E2309/$D2309)</f>
        <v/>
      </c>
      <c r="H2309" s="0" t="str">
        <f aca="false">IF($C2309="","",IF(COUNTIF('مواد المخزون'!$A$2:$A$86,$C2309)&gt;0,"نعم","لا (خارج الجرد)"))</f>
        <v/>
      </c>
    </row>
    <row r="2310" customFormat="false" ht="15" hidden="false" customHeight="false" outlineLevel="0" collapsed="false">
      <c r="A2310" s="102"/>
      <c r="B2310" s="104"/>
      <c r="C2310" s="104"/>
      <c r="F2310" s="103" t="str">
        <f aca="false">IF(OR($C2310="",$D2310=0),"",$E2310/$D2310)</f>
        <v/>
      </c>
      <c r="H2310" s="0" t="str">
        <f aca="false">IF($C2310="","",IF(COUNTIF('مواد المخزون'!$A$2:$A$86,$C2310)&gt;0,"نعم","لا (خارج الجرد)"))</f>
        <v/>
      </c>
    </row>
    <row r="2311" customFormat="false" ht="15" hidden="false" customHeight="false" outlineLevel="0" collapsed="false">
      <c r="A2311" s="102"/>
      <c r="B2311" s="104"/>
      <c r="C2311" s="104"/>
      <c r="F2311" s="103" t="str">
        <f aca="false">IF(OR($C2311="",$D2311=0),"",$E2311/$D2311)</f>
        <v/>
      </c>
      <c r="H2311" s="0" t="str">
        <f aca="false">IF($C2311="","",IF(COUNTIF('مواد المخزون'!$A$2:$A$86,$C2311)&gt;0,"نعم","لا (خارج الجرد)"))</f>
        <v/>
      </c>
    </row>
    <row r="2312" customFormat="false" ht="15" hidden="false" customHeight="false" outlineLevel="0" collapsed="false">
      <c r="A2312" s="102"/>
      <c r="B2312" s="104"/>
      <c r="C2312" s="104"/>
      <c r="F2312" s="103" t="str">
        <f aca="false">IF(OR($C2312="",$D2312=0),"",$E2312/$D2312)</f>
        <v/>
      </c>
      <c r="H2312" s="0" t="str">
        <f aca="false">IF($C2312="","",IF(COUNTIF('مواد المخزون'!$A$2:$A$86,$C2312)&gt;0,"نعم","لا (خارج الجرد)"))</f>
        <v/>
      </c>
    </row>
    <row r="2313" customFormat="false" ht="15" hidden="false" customHeight="false" outlineLevel="0" collapsed="false">
      <c r="A2313" s="102"/>
      <c r="B2313" s="104"/>
      <c r="C2313" s="104"/>
      <c r="F2313" s="103" t="str">
        <f aca="false">IF(OR($C2313="",$D2313=0),"",$E2313/$D2313)</f>
        <v/>
      </c>
      <c r="H2313" s="0" t="str">
        <f aca="false">IF($C2313="","",IF(COUNTIF('مواد المخزون'!$A$2:$A$86,$C2313)&gt;0,"نعم","لا (خارج الجرد)"))</f>
        <v/>
      </c>
    </row>
    <row r="2314" customFormat="false" ht="15" hidden="false" customHeight="false" outlineLevel="0" collapsed="false">
      <c r="A2314" s="102"/>
      <c r="B2314" s="104"/>
      <c r="C2314" s="104"/>
      <c r="F2314" s="103" t="str">
        <f aca="false">IF(OR($C2314="",$D2314=0),"",$E2314/$D2314)</f>
        <v/>
      </c>
      <c r="H2314" s="0" t="str">
        <f aca="false">IF($C2314="","",IF(COUNTIF('مواد المخزون'!$A$2:$A$86,$C2314)&gt;0,"نعم","لا (خارج الجرد)"))</f>
        <v/>
      </c>
    </row>
    <row r="2315" customFormat="false" ht="15" hidden="false" customHeight="false" outlineLevel="0" collapsed="false">
      <c r="A2315" s="102"/>
      <c r="B2315" s="104"/>
      <c r="C2315" s="104"/>
      <c r="F2315" s="103" t="str">
        <f aca="false">IF(OR($C2315="",$D2315=0),"",$E2315/$D2315)</f>
        <v/>
      </c>
      <c r="H2315" s="0" t="str">
        <f aca="false">IF($C2315="","",IF(COUNTIF('مواد المخزون'!$A$2:$A$86,$C2315)&gt;0,"نعم","لا (خارج الجرد)"))</f>
        <v/>
      </c>
    </row>
    <row r="2316" customFormat="false" ht="15" hidden="false" customHeight="false" outlineLevel="0" collapsed="false">
      <c r="A2316" s="102"/>
      <c r="B2316" s="104"/>
      <c r="C2316" s="104"/>
      <c r="F2316" s="103" t="str">
        <f aca="false">IF(OR($C2316="",$D2316=0),"",$E2316/$D2316)</f>
        <v/>
      </c>
      <c r="H2316" s="0" t="str">
        <f aca="false">IF($C2316="","",IF(COUNTIF('مواد المخزون'!$A$2:$A$86,$C2316)&gt;0,"نعم","لا (خارج الجرد)"))</f>
        <v/>
      </c>
    </row>
    <row r="2317" customFormat="false" ht="15" hidden="false" customHeight="false" outlineLevel="0" collapsed="false">
      <c r="A2317" s="102"/>
      <c r="B2317" s="104"/>
      <c r="C2317" s="104"/>
      <c r="F2317" s="103" t="str">
        <f aca="false">IF(OR($C2317="",$D2317=0),"",$E2317/$D2317)</f>
        <v/>
      </c>
      <c r="H2317" s="0" t="str">
        <f aca="false">IF($C2317="","",IF(COUNTIF('مواد المخزون'!$A$2:$A$86,$C2317)&gt;0,"نعم","لا (خارج الجرد)"))</f>
        <v/>
      </c>
    </row>
    <row r="2318" customFormat="false" ht="15" hidden="false" customHeight="false" outlineLevel="0" collapsed="false">
      <c r="A2318" s="102"/>
      <c r="B2318" s="104"/>
      <c r="C2318" s="104"/>
      <c r="F2318" s="103" t="str">
        <f aca="false">IF(OR($C2318="",$D2318=0),"",$E2318/$D2318)</f>
        <v/>
      </c>
      <c r="H2318" s="0" t="str">
        <f aca="false">IF($C2318="","",IF(COUNTIF('مواد المخزون'!$A$2:$A$86,$C2318)&gt;0,"نعم","لا (خارج الجرد)"))</f>
        <v/>
      </c>
    </row>
    <row r="2319" customFormat="false" ht="15" hidden="false" customHeight="false" outlineLevel="0" collapsed="false">
      <c r="A2319" s="102"/>
      <c r="B2319" s="104"/>
      <c r="C2319" s="104"/>
      <c r="F2319" s="103" t="str">
        <f aca="false">IF(OR($C2319="",$D2319=0),"",$E2319/$D2319)</f>
        <v/>
      </c>
      <c r="H2319" s="0" t="str">
        <f aca="false">IF($C2319="","",IF(COUNTIF('مواد المخزون'!$A$2:$A$86,$C2319)&gt;0,"نعم","لا (خارج الجرد)"))</f>
        <v/>
      </c>
    </row>
    <row r="2320" customFormat="false" ht="15" hidden="false" customHeight="false" outlineLevel="0" collapsed="false">
      <c r="A2320" s="102"/>
      <c r="B2320" s="104"/>
      <c r="C2320" s="104"/>
      <c r="F2320" s="103" t="str">
        <f aca="false">IF(OR($C2320="",$D2320=0),"",$E2320/$D2320)</f>
        <v/>
      </c>
      <c r="H2320" s="0" t="str">
        <f aca="false">IF($C2320="","",IF(COUNTIF('مواد المخزون'!$A$2:$A$86,$C2320)&gt;0,"نعم","لا (خارج الجرد)"))</f>
        <v/>
      </c>
    </row>
    <row r="2321" customFormat="false" ht="15" hidden="false" customHeight="false" outlineLevel="0" collapsed="false">
      <c r="A2321" s="102"/>
      <c r="B2321" s="104"/>
      <c r="C2321" s="104"/>
      <c r="F2321" s="103" t="str">
        <f aca="false">IF(OR($C2321="",$D2321=0),"",$E2321/$D2321)</f>
        <v/>
      </c>
      <c r="H2321" s="0" t="str">
        <f aca="false">IF($C2321="","",IF(COUNTIF('مواد المخزون'!$A$2:$A$86,$C2321)&gt;0,"نعم","لا (خارج الجرد)"))</f>
        <v/>
      </c>
    </row>
    <row r="2322" customFormat="false" ht="15" hidden="false" customHeight="false" outlineLevel="0" collapsed="false">
      <c r="A2322" s="102"/>
      <c r="B2322" s="104"/>
      <c r="C2322" s="104"/>
      <c r="F2322" s="103" t="str">
        <f aca="false">IF(OR($C2322="",$D2322=0),"",$E2322/$D2322)</f>
        <v/>
      </c>
      <c r="H2322" s="0" t="str">
        <f aca="false">IF($C2322="","",IF(COUNTIF('مواد المخزون'!$A$2:$A$86,$C2322)&gt;0,"نعم","لا (خارج الجرد)"))</f>
        <v/>
      </c>
    </row>
    <row r="2323" customFormat="false" ht="15" hidden="false" customHeight="false" outlineLevel="0" collapsed="false">
      <c r="A2323" s="102"/>
      <c r="B2323" s="104"/>
      <c r="C2323" s="104"/>
      <c r="F2323" s="103" t="str">
        <f aca="false">IF(OR($C2323="",$D2323=0),"",$E2323/$D2323)</f>
        <v/>
      </c>
      <c r="H2323" s="0" t="str">
        <f aca="false">IF($C2323="","",IF(COUNTIF('مواد المخزون'!$A$2:$A$86,$C2323)&gt;0,"نعم","لا (خارج الجرد)"))</f>
        <v/>
      </c>
    </row>
    <row r="2324" customFormat="false" ht="15" hidden="false" customHeight="false" outlineLevel="0" collapsed="false">
      <c r="A2324" s="102"/>
      <c r="B2324" s="104"/>
      <c r="C2324" s="104"/>
      <c r="F2324" s="103" t="str">
        <f aca="false">IF(OR($C2324="",$D2324=0),"",$E2324/$D2324)</f>
        <v/>
      </c>
      <c r="H2324" s="0" t="str">
        <f aca="false">IF($C2324="","",IF(COUNTIF('مواد المخزون'!$A$2:$A$86,$C2324)&gt;0,"نعم","لا (خارج الجرد)"))</f>
        <v/>
      </c>
    </row>
    <row r="2325" customFormat="false" ht="15" hidden="false" customHeight="false" outlineLevel="0" collapsed="false">
      <c r="A2325" s="102"/>
      <c r="B2325" s="104"/>
      <c r="C2325" s="104"/>
      <c r="F2325" s="103" t="str">
        <f aca="false">IF(OR($C2325="",$D2325=0),"",$E2325/$D2325)</f>
        <v/>
      </c>
      <c r="H2325" s="0" t="str">
        <f aca="false">IF($C2325="","",IF(COUNTIF('مواد المخزون'!$A$2:$A$86,$C2325)&gt;0,"نعم","لا (خارج الجرد)"))</f>
        <v/>
      </c>
    </row>
    <row r="2326" customFormat="false" ht="15" hidden="false" customHeight="false" outlineLevel="0" collapsed="false">
      <c r="A2326" s="102"/>
      <c r="B2326" s="104"/>
      <c r="C2326" s="104"/>
      <c r="F2326" s="103" t="str">
        <f aca="false">IF(OR($C2326="",$D2326=0),"",$E2326/$D2326)</f>
        <v/>
      </c>
      <c r="H2326" s="0" t="str">
        <f aca="false">IF($C2326="","",IF(COUNTIF('مواد المخزون'!$A$2:$A$86,$C2326)&gt;0,"نعم","لا (خارج الجرد)"))</f>
        <v/>
      </c>
    </row>
    <row r="2327" customFormat="false" ht="15" hidden="false" customHeight="false" outlineLevel="0" collapsed="false">
      <c r="A2327" s="102"/>
      <c r="B2327" s="104"/>
      <c r="C2327" s="104"/>
      <c r="F2327" s="103" t="str">
        <f aca="false">IF(OR($C2327="",$D2327=0),"",$E2327/$D2327)</f>
        <v/>
      </c>
      <c r="H2327" s="0" t="str">
        <f aca="false">IF($C2327="","",IF(COUNTIF('مواد المخزون'!$A$2:$A$86,$C2327)&gt;0,"نعم","لا (خارج الجرد)"))</f>
        <v/>
      </c>
    </row>
    <row r="2328" customFormat="false" ht="15" hidden="false" customHeight="false" outlineLevel="0" collapsed="false">
      <c r="A2328" s="102"/>
      <c r="B2328" s="104"/>
      <c r="C2328" s="104"/>
      <c r="F2328" s="103" t="str">
        <f aca="false">IF(OR($C2328="",$D2328=0),"",$E2328/$D2328)</f>
        <v/>
      </c>
      <c r="H2328" s="0" t="str">
        <f aca="false">IF($C2328="","",IF(COUNTIF('مواد المخزون'!$A$2:$A$86,$C2328)&gt;0,"نعم","لا (خارج الجرد)"))</f>
        <v/>
      </c>
    </row>
    <row r="2329" customFormat="false" ht="15" hidden="false" customHeight="false" outlineLevel="0" collapsed="false">
      <c r="A2329" s="102"/>
      <c r="B2329" s="104"/>
      <c r="C2329" s="104"/>
      <c r="F2329" s="103" t="str">
        <f aca="false">IF(OR($C2329="",$D2329=0),"",$E2329/$D2329)</f>
        <v/>
      </c>
      <c r="H2329" s="0" t="str">
        <f aca="false">IF($C2329="","",IF(COUNTIF('مواد المخزون'!$A$2:$A$86,$C2329)&gt;0,"نعم","لا (خارج الجرد)"))</f>
        <v/>
      </c>
    </row>
    <row r="2330" customFormat="false" ht="15" hidden="false" customHeight="false" outlineLevel="0" collapsed="false">
      <c r="A2330" s="102"/>
      <c r="B2330" s="104"/>
      <c r="C2330" s="104"/>
      <c r="F2330" s="103" t="str">
        <f aca="false">IF(OR($C2330="",$D2330=0),"",$E2330/$D2330)</f>
        <v/>
      </c>
      <c r="H2330" s="0" t="str">
        <f aca="false">IF($C2330="","",IF(COUNTIF('مواد المخزون'!$A$2:$A$86,$C2330)&gt;0,"نعم","لا (خارج الجرد)"))</f>
        <v/>
      </c>
    </row>
    <row r="2331" customFormat="false" ht="15" hidden="false" customHeight="false" outlineLevel="0" collapsed="false">
      <c r="A2331" s="102"/>
      <c r="B2331" s="104"/>
      <c r="C2331" s="104"/>
      <c r="F2331" s="103" t="str">
        <f aca="false">IF(OR($C2331="",$D2331=0),"",$E2331/$D2331)</f>
        <v/>
      </c>
      <c r="H2331" s="0" t="str">
        <f aca="false">IF($C2331="","",IF(COUNTIF('مواد المخزون'!$A$2:$A$86,$C2331)&gt;0,"نعم","لا (خارج الجرد)"))</f>
        <v/>
      </c>
    </row>
    <row r="2332" customFormat="false" ht="15" hidden="false" customHeight="false" outlineLevel="0" collapsed="false">
      <c r="A2332" s="102"/>
      <c r="B2332" s="104"/>
      <c r="C2332" s="104"/>
      <c r="F2332" s="103" t="str">
        <f aca="false">IF(OR($C2332="",$D2332=0),"",$E2332/$D2332)</f>
        <v/>
      </c>
      <c r="H2332" s="0" t="str">
        <f aca="false">IF($C2332="","",IF(COUNTIF('مواد المخزون'!$A$2:$A$86,$C2332)&gt;0,"نعم","لا (خارج الجرد)"))</f>
        <v/>
      </c>
    </row>
    <row r="2333" customFormat="false" ht="15" hidden="false" customHeight="false" outlineLevel="0" collapsed="false">
      <c r="A2333" s="102"/>
      <c r="B2333" s="104"/>
      <c r="C2333" s="104"/>
      <c r="F2333" s="103" t="str">
        <f aca="false">IF(OR($C2333="",$D2333=0),"",$E2333/$D2333)</f>
        <v/>
      </c>
      <c r="H2333" s="0" t="str">
        <f aca="false">IF($C2333="","",IF(COUNTIF('مواد المخزون'!$A$2:$A$86,$C2333)&gt;0,"نعم","لا (خارج الجرد)"))</f>
        <v/>
      </c>
    </row>
    <row r="2334" customFormat="false" ht="15" hidden="false" customHeight="false" outlineLevel="0" collapsed="false">
      <c r="A2334" s="102"/>
      <c r="B2334" s="104"/>
      <c r="C2334" s="104"/>
      <c r="F2334" s="103" t="str">
        <f aca="false">IF(OR($C2334="",$D2334=0),"",$E2334/$D2334)</f>
        <v/>
      </c>
      <c r="H2334" s="0" t="str">
        <f aca="false">IF($C2334="","",IF(COUNTIF('مواد المخزون'!$A$2:$A$86,$C2334)&gt;0,"نعم","لا (خارج الجرد)"))</f>
        <v/>
      </c>
    </row>
    <row r="2335" customFormat="false" ht="15" hidden="false" customHeight="false" outlineLevel="0" collapsed="false">
      <c r="A2335" s="102"/>
      <c r="B2335" s="104"/>
      <c r="C2335" s="104"/>
      <c r="F2335" s="103" t="str">
        <f aca="false">IF(OR($C2335="",$D2335=0),"",$E2335/$D2335)</f>
        <v/>
      </c>
      <c r="H2335" s="0" t="str">
        <f aca="false">IF($C2335="","",IF(COUNTIF('مواد المخزون'!$A$2:$A$86,$C2335)&gt;0,"نعم","لا (خارج الجرد)"))</f>
        <v/>
      </c>
    </row>
    <row r="2336" customFormat="false" ht="15" hidden="false" customHeight="false" outlineLevel="0" collapsed="false">
      <c r="A2336" s="102"/>
      <c r="B2336" s="104"/>
      <c r="C2336" s="104"/>
      <c r="F2336" s="103" t="str">
        <f aca="false">IF(OR($C2336="",$D2336=0),"",$E2336/$D2336)</f>
        <v/>
      </c>
      <c r="H2336" s="0" t="str">
        <f aca="false">IF($C2336="","",IF(COUNTIF('مواد المخزون'!$A$2:$A$86,$C2336)&gt;0,"نعم","لا (خارج الجرد)"))</f>
        <v/>
      </c>
    </row>
    <row r="2337" customFormat="false" ht="15" hidden="false" customHeight="false" outlineLevel="0" collapsed="false">
      <c r="A2337" s="102"/>
      <c r="B2337" s="104"/>
      <c r="C2337" s="104"/>
      <c r="F2337" s="103" t="str">
        <f aca="false">IF(OR($C2337="",$D2337=0),"",$E2337/$D2337)</f>
        <v/>
      </c>
      <c r="H2337" s="0" t="str">
        <f aca="false">IF($C2337="","",IF(COUNTIF('مواد المخزون'!$A$2:$A$86,$C2337)&gt;0,"نعم","لا (خارج الجرد)"))</f>
        <v/>
      </c>
    </row>
    <row r="2338" customFormat="false" ht="15" hidden="false" customHeight="false" outlineLevel="0" collapsed="false">
      <c r="A2338" s="102"/>
      <c r="B2338" s="104"/>
      <c r="C2338" s="104"/>
      <c r="F2338" s="103" t="str">
        <f aca="false">IF(OR($C2338="",$D2338=0),"",$E2338/$D2338)</f>
        <v/>
      </c>
      <c r="H2338" s="0" t="str">
        <f aca="false">IF($C2338="","",IF(COUNTIF('مواد المخزون'!$A$2:$A$86,$C2338)&gt;0,"نعم","لا (خارج الجرد)"))</f>
        <v/>
      </c>
    </row>
    <row r="2339" customFormat="false" ht="15" hidden="false" customHeight="false" outlineLevel="0" collapsed="false">
      <c r="A2339" s="102"/>
      <c r="B2339" s="104"/>
      <c r="C2339" s="104"/>
      <c r="F2339" s="103" t="str">
        <f aca="false">IF(OR($C2339="",$D2339=0),"",$E2339/$D2339)</f>
        <v/>
      </c>
      <c r="H2339" s="0" t="str">
        <f aca="false">IF($C2339="","",IF(COUNTIF('مواد المخزون'!$A$2:$A$86,$C2339)&gt;0,"نعم","لا (خارج الجرد)"))</f>
        <v/>
      </c>
    </row>
    <row r="2340" customFormat="false" ht="15" hidden="false" customHeight="false" outlineLevel="0" collapsed="false">
      <c r="A2340" s="102"/>
      <c r="B2340" s="104"/>
      <c r="C2340" s="104"/>
      <c r="F2340" s="103" t="str">
        <f aca="false">IF(OR($C2340="",$D2340=0),"",$E2340/$D2340)</f>
        <v/>
      </c>
      <c r="H2340" s="0" t="str">
        <f aca="false">IF($C2340="","",IF(COUNTIF('مواد المخزون'!$A$2:$A$86,$C2340)&gt;0,"نعم","لا (خارج الجرد)"))</f>
        <v/>
      </c>
    </row>
    <row r="2341" customFormat="false" ht="15" hidden="false" customHeight="false" outlineLevel="0" collapsed="false">
      <c r="A2341" s="102"/>
      <c r="B2341" s="104"/>
      <c r="C2341" s="104"/>
      <c r="F2341" s="103" t="str">
        <f aca="false">IF(OR($C2341="",$D2341=0),"",$E2341/$D2341)</f>
        <v/>
      </c>
      <c r="H2341" s="0" t="str">
        <f aca="false">IF($C2341="","",IF(COUNTIF('مواد المخزون'!$A$2:$A$86,$C2341)&gt;0,"نعم","لا (خارج الجرد)"))</f>
        <v/>
      </c>
    </row>
    <row r="2342" customFormat="false" ht="15" hidden="false" customHeight="false" outlineLevel="0" collapsed="false">
      <c r="A2342" s="102"/>
      <c r="B2342" s="104"/>
      <c r="C2342" s="104"/>
      <c r="F2342" s="103" t="str">
        <f aca="false">IF(OR($C2342="",$D2342=0),"",$E2342/$D2342)</f>
        <v/>
      </c>
      <c r="H2342" s="0" t="str">
        <f aca="false">IF($C2342="","",IF(COUNTIF('مواد المخزون'!$A$2:$A$86,$C2342)&gt;0,"نعم","لا (خارج الجرد)"))</f>
        <v/>
      </c>
    </row>
    <row r="2343" customFormat="false" ht="15" hidden="false" customHeight="false" outlineLevel="0" collapsed="false">
      <c r="A2343" s="102"/>
      <c r="B2343" s="104"/>
      <c r="C2343" s="104"/>
      <c r="F2343" s="103" t="str">
        <f aca="false">IF(OR($C2343="",$D2343=0),"",$E2343/$D2343)</f>
        <v/>
      </c>
      <c r="H2343" s="0" t="str">
        <f aca="false">IF($C2343="","",IF(COUNTIF('مواد المخزون'!$A$2:$A$86,$C2343)&gt;0,"نعم","لا (خارج الجرد)"))</f>
        <v/>
      </c>
    </row>
    <row r="2344" customFormat="false" ht="15" hidden="false" customHeight="false" outlineLevel="0" collapsed="false">
      <c r="A2344" s="102"/>
      <c r="B2344" s="104"/>
      <c r="C2344" s="104"/>
      <c r="F2344" s="103" t="str">
        <f aca="false">IF(OR($C2344="",$D2344=0),"",$E2344/$D2344)</f>
        <v/>
      </c>
      <c r="H2344" s="0" t="str">
        <f aca="false">IF($C2344="","",IF(COUNTIF('مواد المخزون'!$A$2:$A$86,$C2344)&gt;0,"نعم","لا (خارج الجرد)"))</f>
        <v/>
      </c>
    </row>
    <row r="2345" customFormat="false" ht="15" hidden="false" customHeight="false" outlineLevel="0" collapsed="false">
      <c r="A2345" s="102"/>
      <c r="B2345" s="104"/>
      <c r="C2345" s="104"/>
      <c r="F2345" s="103" t="str">
        <f aca="false">IF(OR($C2345="",$D2345=0),"",$E2345/$D2345)</f>
        <v/>
      </c>
      <c r="H2345" s="0" t="str">
        <f aca="false">IF($C2345="","",IF(COUNTIF('مواد المخزون'!$A$2:$A$86,$C2345)&gt;0,"نعم","لا (خارج الجرد)"))</f>
        <v/>
      </c>
    </row>
    <row r="2346" customFormat="false" ht="15" hidden="false" customHeight="false" outlineLevel="0" collapsed="false">
      <c r="A2346" s="102"/>
      <c r="B2346" s="104"/>
      <c r="C2346" s="104"/>
      <c r="F2346" s="103" t="str">
        <f aca="false">IF(OR($C2346="",$D2346=0),"",$E2346/$D2346)</f>
        <v/>
      </c>
      <c r="H2346" s="0" t="str">
        <f aca="false">IF($C2346="","",IF(COUNTIF('مواد المخزون'!$A$2:$A$86,$C2346)&gt;0,"نعم","لا (خارج الجرد)"))</f>
        <v/>
      </c>
    </row>
    <row r="2347" customFormat="false" ht="15" hidden="false" customHeight="false" outlineLevel="0" collapsed="false">
      <c r="A2347" s="102"/>
      <c r="B2347" s="104"/>
      <c r="C2347" s="104"/>
      <c r="F2347" s="103" t="str">
        <f aca="false">IF(OR($C2347="",$D2347=0),"",$E2347/$D2347)</f>
        <v/>
      </c>
      <c r="H2347" s="0" t="str">
        <f aca="false">IF($C2347="","",IF(COUNTIF('مواد المخزون'!$A$2:$A$86,$C2347)&gt;0,"نعم","لا (خارج الجرد)"))</f>
        <v/>
      </c>
    </row>
    <row r="2348" customFormat="false" ht="15" hidden="false" customHeight="false" outlineLevel="0" collapsed="false">
      <c r="A2348" s="102"/>
      <c r="B2348" s="104"/>
      <c r="C2348" s="104"/>
      <c r="F2348" s="103" t="str">
        <f aca="false">IF(OR($C2348="",$D2348=0),"",$E2348/$D2348)</f>
        <v/>
      </c>
      <c r="H2348" s="0" t="str">
        <f aca="false">IF($C2348="","",IF(COUNTIF('مواد المخزون'!$A$2:$A$86,$C2348)&gt;0,"نعم","لا (خارج الجرد)"))</f>
        <v/>
      </c>
    </row>
    <row r="2349" customFormat="false" ht="15" hidden="false" customHeight="false" outlineLevel="0" collapsed="false">
      <c r="A2349" s="102"/>
      <c r="B2349" s="104"/>
      <c r="C2349" s="104"/>
      <c r="F2349" s="103" t="str">
        <f aca="false">IF(OR($C2349="",$D2349=0),"",$E2349/$D2349)</f>
        <v/>
      </c>
      <c r="H2349" s="0" t="str">
        <f aca="false">IF($C2349="","",IF(COUNTIF('مواد المخزون'!$A$2:$A$86,$C2349)&gt;0,"نعم","لا (خارج الجرد)"))</f>
        <v/>
      </c>
    </row>
    <row r="2350" customFormat="false" ht="15" hidden="false" customHeight="false" outlineLevel="0" collapsed="false">
      <c r="A2350" s="102"/>
      <c r="B2350" s="104"/>
      <c r="C2350" s="104"/>
      <c r="F2350" s="103" t="str">
        <f aca="false">IF(OR($C2350="",$D2350=0),"",$E2350/$D2350)</f>
        <v/>
      </c>
      <c r="H2350" s="0" t="str">
        <f aca="false">IF($C2350="","",IF(COUNTIF('مواد المخزون'!$A$2:$A$86,$C2350)&gt;0,"نعم","لا (خارج الجرد)"))</f>
        <v/>
      </c>
    </row>
    <row r="2351" customFormat="false" ht="15" hidden="false" customHeight="false" outlineLevel="0" collapsed="false">
      <c r="A2351" s="102"/>
      <c r="B2351" s="104"/>
      <c r="C2351" s="104"/>
      <c r="F2351" s="103" t="str">
        <f aca="false">IF(OR($C2351="",$D2351=0),"",$E2351/$D2351)</f>
        <v/>
      </c>
      <c r="H2351" s="0" t="str">
        <f aca="false">IF($C2351="","",IF(COUNTIF('مواد المخزون'!$A$2:$A$86,$C2351)&gt;0,"نعم","لا (خارج الجرد)"))</f>
        <v/>
      </c>
    </row>
    <row r="2352" customFormat="false" ht="15" hidden="false" customHeight="false" outlineLevel="0" collapsed="false">
      <c r="A2352" s="102"/>
      <c r="B2352" s="104"/>
      <c r="C2352" s="104"/>
      <c r="F2352" s="103" t="str">
        <f aca="false">IF(OR($C2352="",$D2352=0),"",$E2352/$D2352)</f>
        <v/>
      </c>
      <c r="H2352" s="0" t="str">
        <f aca="false">IF($C2352="","",IF(COUNTIF('مواد المخزون'!$A$2:$A$86,$C2352)&gt;0,"نعم","لا (خارج الجرد)"))</f>
        <v/>
      </c>
    </row>
    <row r="2353" customFormat="false" ht="15" hidden="false" customHeight="false" outlineLevel="0" collapsed="false">
      <c r="A2353" s="102"/>
      <c r="B2353" s="104"/>
      <c r="C2353" s="104"/>
      <c r="F2353" s="103" t="str">
        <f aca="false">IF(OR($C2353="",$D2353=0),"",$E2353/$D2353)</f>
        <v/>
      </c>
      <c r="H2353" s="0" t="str">
        <f aca="false">IF($C2353="","",IF(COUNTIF('مواد المخزون'!$A$2:$A$86,$C2353)&gt;0,"نعم","لا (خارج الجرد)"))</f>
        <v/>
      </c>
    </row>
    <row r="2354" customFormat="false" ht="15" hidden="false" customHeight="false" outlineLevel="0" collapsed="false">
      <c r="A2354" s="102"/>
      <c r="B2354" s="104"/>
      <c r="C2354" s="104"/>
      <c r="F2354" s="103" t="str">
        <f aca="false">IF(OR($C2354="",$D2354=0),"",$E2354/$D2354)</f>
        <v/>
      </c>
      <c r="H2354" s="0" t="str">
        <f aca="false">IF($C2354="","",IF(COUNTIF('مواد المخزون'!$A$2:$A$86,$C2354)&gt;0,"نعم","لا (خارج الجرد)"))</f>
        <v/>
      </c>
    </row>
    <row r="2355" customFormat="false" ht="15" hidden="false" customHeight="false" outlineLevel="0" collapsed="false">
      <c r="A2355" s="102"/>
      <c r="B2355" s="104"/>
      <c r="C2355" s="104"/>
      <c r="F2355" s="103" t="str">
        <f aca="false">IF(OR($C2355="",$D2355=0),"",$E2355/$D2355)</f>
        <v/>
      </c>
      <c r="H2355" s="0" t="str">
        <f aca="false">IF($C2355="","",IF(COUNTIF('مواد المخزون'!$A$2:$A$86,$C2355)&gt;0,"نعم","لا (خارج الجرد)"))</f>
        <v/>
      </c>
    </row>
    <row r="2356" customFormat="false" ht="15" hidden="false" customHeight="false" outlineLevel="0" collapsed="false">
      <c r="A2356" s="102"/>
      <c r="B2356" s="104"/>
      <c r="C2356" s="104"/>
      <c r="F2356" s="103" t="str">
        <f aca="false">IF(OR($C2356="",$D2356=0),"",$E2356/$D2356)</f>
        <v/>
      </c>
      <c r="H2356" s="0" t="str">
        <f aca="false">IF($C2356="","",IF(COUNTIF('مواد المخزون'!$A$2:$A$86,$C2356)&gt;0,"نعم","لا (خارج الجرد)"))</f>
        <v/>
      </c>
    </row>
    <row r="2357" customFormat="false" ht="15" hidden="false" customHeight="false" outlineLevel="0" collapsed="false">
      <c r="A2357" s="102"/>
      <c r="B2357" s="104"/>
      <c r="C2357" s="104"/>
      <c r="F2357" s="103" t="str">
        <f aca="false">IF(OR($C2357="",$D2357=0),"",$E2357/$D2357)</f>
        <v/>
      </c>
      <c r="H2357" s="0" t="str">
        <f aca="false">IF($C2357="","",IF(COUNTIF('مواد المخزون'!$A$2:$A$86,$C2357)&gt;0,"نعم","لا (خارج الجرد)"))</f>
        <v/>
      </c>
    </row>
    <row r="2358" customFormat="false" ht="15" hidden="false" customHeight="false" outlineLevel="0" collapsed="false">
      <c r="A2358" s="102"/>
      <c r="B2358" s="104"/>
      <c r="C2358" s="104"/>
      <c r="F2358" s="103" t="str">
        <f aca="false">IF(OR($C2358="",$D2358=0),"",$E2358/$D2358)</f>
        <v/>
      </c>
      <c r="H2358" s="0" t="str">
        <f aca="false">IF($C2358="","",IF(COUNTIF('مواد المخزون'!$A$2:$A$86,$C2358)&gt;0,"نعم","لا (خارج الجرد)"))</f>
        <v/>
      </c>
    </row>
    <row r="2359" customFormat="false" ht="15" hidden="false" customHeight="false" outlineLevel="0" collapsed="false">
      <c r="A2359" s="102"/>
      <c r="B2359" s="104"/>
      <c r="C2359" s="104"/>
      <c r="F2359" s="103" t="str">
        <f aca="false">IF(OR($C2359="",$D2359=0),"",$E2359/$D2359)</f>
        <v/>
      </c>
      <c r="H2359" s="0" t="str">
        <f aca="false">IF($C2359="","",IF(COUNTIF('مواد المخزون'!$A$2:$A$86,$C2359)&gt;0,"نعم","لا (خارج الجرد)"))</f>
        <v/>
      </c>
    </row>
    <row r="2360" customFormat="false" ht="15" hidden="false" customHeight="false" outlineLevel="0" collapsed="false">
      <c r="A2360" s="102"/>
      <c r="B2360" s="104"/>
      <c r="C2360" s="104"/>
      <c r="F2360" s="103" t="str">
        <f aca="false">IF(OR($C2360="",$D2360=0),"",$E2360/$D2360)</f>
        <v/>
      </c>
      <c r="H2360" s="0" t="str">
        <f aca="false">IF($C2360="","",IF(COUNTIF('مواد المخزون'!$A$2:$A$86,$C2360)&gt;0,"نعم","لا (خارج الجرد)"))</f>
        <v/>
      </c>
    </row>
    <row r="2361" customFormat="false" ht="15" hidden="false" customHeight="false" outlineLevel="0" collapsed="false">
      <c r="A2361" s="102"/>
      <c r="B2361" s="104"/>
      <c r="C2361" s="104"/>
      <c r="F2361" s="103" t="str">
        <f aca="false">IF(OR($C2361="",$D2361=0),"",$E2361/$D2361)</f>
        <v/>
      </c>
      <c r="H2361" s="0" t="str">
        <f aca="false">IF($C2361="","",IF(COUNTIF('مواد المخزون'!$A$2:$A$86,$C2361)&gt;0,"نعم","لا (خارج الجرد)"))</f>
        <v/>
      </c>
    </row>
    <row r="2362" customFormat="false" ht="15" hidden="false" customHeight="false" outlineLevel="0" collapsed="false">
      <c r="A2362" s="102"/>
      <c r="B2362" s="104"/>
      <c r="C2362" s="104"/>
      <c r="F2362" s="103" t="str">
        <f aca="false">IF(OR($C2362="",$D2362=0),"",$E2362/$D2362)</f>
        <v/>
      </c>
      <c r="H2362" s="0" t="str">
        <f aca="false">IF($C2362="","",IF(COUNTIF('مواد المخزون'!$A$2:$A$86,$C2362)&gt;0,"نعم","لا (خارج الجرد)"))</f>
        <v/>
      </c>
    </row>
    <row r="2363" customFormat="false" ht="15" hidden="false" customHeight="false" outlineLevel="0" collapsed="false">
      <c r="A2363" s="102"/>
      <c r="B2363" s="104"/>
      <c r="C2363" s="104"/>
      <c r="F2363" s="103" t="str">
        <f aca="false">IF(OR($C2363="",$D2363=0),"",$E2363/$D2363)</f>
        <v/>
      </c>
      <c r="H2363" s="0" t="str">
        <f aca="false">IF($C2363="","",IF(COUNTIF('مواد المخزون'!$A$2:$A$86,$C2363)&gt;0,"نعم","لا (خارج الجرد)"))</f>
        <v/>
      </c>
    </row>
    <row r="2364" customFormat="false" ht="15" hidden="false" customHeight="false" outlineLevel="0" collapsed="false">
      <c r="A2364" s="102"/>
      <c r="B2364" s="104"/>
      <c r="C2364" s="104"/>
      <c r="F2364" s="103" t="str">
        <f aca="false">IF(OR($C2364="",$D2364=0),"",$E2364/$D2364)</f>
        <v/>
      </c>
      <c r="H2364" s="0" t="str">
        <f aca="false">IF($C2364="","",IF(COUNTIF('مواد المخزون'!$A$2:$A$86,$C2364)&gt;0,"نعم","لا (خارج الجرد)"))</f>
        <v/>
      </c>
    </row>
    <row r="2365" customFormat="false" ht="15" hidden="false" customHeight="false" outlineLevel="0" collapsed="false">
      <c r="A2365" s="102"/>
      <c r="B2365" s="104"/>
      <c r="C2365" s="104"/>
      <c r="F2365" s="103" t="str">
        <f aca="false">IF(OR($C2365="",$D2365=0),"",$E2365/$D2365)</f>
        <v/>
      </c>
      <c r="H2365" s="0" t="str">
        <f aca="false">IF($C2365="","",IF(COUNTIF('مواد المخزون'!$A$2:$A$86,$C2365)&gt;0,"نعم","لا (خارج الجرد)"))</f>
        <v/>
      </c>
    </row>
    <row r="2366" customFormat="false" ht="15" hidden="false" customHeight="false" outlineLevel="0" collapsed="false">
      <c r="A2366" s="102"/>
      <c r="B2366" s="104"/>
      <c r="C2366" s="104"/>
      <c r="F2366" s="103" t="str">
        <f aca="false">IF(OR($C2366="",$D2366=0),"",$E2366/$D2366)</f>
        <v/>
      </c>
      <c r="H2366" s="0" t="str">
        <f aca="false">IF($C2366="","",IF(COUNTIF('مواد المخزون'!$A$2:$A$86,$C2366)&gt;0,"نعم","لا (خارج الجرد)"))</f>
        <v/>
      </c>
    </row>
    <row r="2367" customFormat="false" ht="15" hidden="false" customHeight="false" outlineLevel="0" collapsed="false">
      <c r="A2367" s="102"/>
      <c r="B2367" s="104"/>
      <c r="C2367" s="104"/>
      <c r="F2367" s="103" t="str">
        <f aca="false">IF(OR($C2367="",$D2367=0),"",$E2367/$D2367)</f>
        <v/>
      </c>
      <c r="H2367" s="0" t="str">
        <f aca="false">IF($C2367="","",IF(COUNTIF('مواد المخزون'!$A$2:$A$86,$C2367)&gt;0,"نعم","لا (خارج الجرد)"))</f>
        <v/>
      </c>
    </row>
    <row r="2368" customFormat="false" ht="15" hidden="false" customHeight="false" outlineLevel="0" collapsed="false">
      <c r="A2368" s="102"/>
      <c r="B2368" s="104"/>
      <c r="C2368" s="104"/>
      <c r="F2368" s="103" t="str">
        <f aca="false">IF(OR($C2368="",$D2368=0),"",$E2368/$D2368)</f>
        <v/>
      </c>
      <c r="H2368" s="0" t="str">
        <f aca="false">IF($C2368="","",IF(COUNTIF('مواد المخزون'!$A$2:$A$86,$C2368)&gt;0,"نعم","لا (خارج الجرد)"))</f>
        <v/>
      </c>
    </row>
    <row r="2369" customFormat="false" ht="15" hidden="false" customHeight="false" outlineLevel="0" collapsed="false">
      <c r="A2369" s="102"/>
      <c r="B2369" s="104"/>
      <c r="C2369" s="104"/>
      <c r="F2369" s="103" t="str">
        <f aca="false">IF(OR($C2369="",$D2369=0),"",$E2369/$D2369)</f>
        <v/>
      </c>
      <c r="H2369" s="0" t="str">
        <f aca="false">IF($C2369="","",IF(COUNTIF('مواد المخزون'!$A$2:$A$86,$C2369)&gt;0,"نعم","لا (خارج الجرد)"))</f>
        <v/>
      </c>
    </row>
    <row r="2370" customFormat="false" ht="15" hidden="false" customHeight="false" outlineLevel="0" collapsed="false">
      <c r="A2370" s="102"/>
      <c r="B2370" s="104"/>
      <c r="C2370" s="104"/>
      <c r="F2370" s="103" t="str">
        <f aca="false">IF(OR($C2370="",$D2370=0),"",$E2370/$D2370)</f>
        <v/>
      </c>
      <c r="H2370" s="0" t="str">
        <f aca="false">IF($C2370="","",IF(COUNTIF('مواد المخزون'!$A$2:$A$86,$C2370)&gt;0,"نعم","لا (خارج الجرد)"))</f>
        <v/>
      </c>
    </row>
    <row r="2371" customFormat="false" ht="15" hidden="false" customHeight="false" outlineLevel="0" collapsed="false">
      <c r="A2371" s="102"/>
      <c r="B2371" s="104"/>
      <c r="C2371" s="104"/>
      <c r="F2371" s="103" t="str">
        <f aca="false">IF(OR($C2371="",$D2371=0),"",$E2371/$D2371)</f>
        <v/>
      </c>
      <c r="H2371" s="0" t="str">
        <f aca="false">IF($C2371="","",IF(COUNTIF('مواد المخزون'!$A$2:$A$86,$C2371)&gt;0,"نعم","لا (خارج الجرد)"))</f>
        <v/>
      </c>
    </row>
    <row r="2372" customFormat="false" ht="15" hidden="false" customHeight="false" outlineLevel="0" collapsed="false">
      <c r="A2372" s="102"/>
      <c r="B2372" s="104"/>
      <c r="C2372" s="104"/>
      <c r="F2372" s="103" t="str">
        <f aca="false">IF(OR($C2372="",$D2372=0),"",$E2372/$D2372)</f>
        <v/>
      </c>
      <c r="H2372" s="0" t="str">
        <f aca="false">IF($C2372="","",IF(COUNTIF('مواد المخزون'!$A$2:$A$86,$C2372)&gt;0,"نعم","لا (خارج الجرد)"))</f>
        <v/>
      </c>
    </row>
    <row r="2373" customFormat="false" ht="15" hidden="false" customHeight="false" outlineLevel="0" collapsed="false">
      <c r="A2373" s="102"/>
      <c r="B2373" s="104"/>
      <c r="C2373" s="104"/>
      <c r="F2373" s="103" t="str">
        <f aca="false">IF(OR($C2373="",$D2373=0),"",$E2373/$D2373)</f>
        <v/>
      </c>
      <c r="H2373" s="0" t="str">
        <f aca="false">IF($C2373="","",IF(COUNTIF('مواد المخزون'!$A$2:$A$86,$C2373)&gt;0,"نعم","لا (خارج الجرد)"))</f>
        <v/>
      </c>
    </row>
    <row r="2374" customFormat="false" ht="15" hidden="false" customHeight="false" outlineLevel="0" collapsed="false">
      <c r="A2374" s="102"/>
      <c r="B2374" s="104"/>
      <c r="C2374" s="104"/>
      <c r="F2374" s="103" t="str">
        <f aca="false">IF(OR($C2374="",$D2374=0),"",$E2374/$D2374)</f>
        <v/>
      </c>
      <c r="H2374" s="0" t="str">
        <f aca="false">IF($C2374="","",IF(COUNTIF('مواد المخزون'!$A$2:$A$86,$C2374)&gt;0,"نعم","لا (خارج الجرد)"))</f>
        <v/>
      </c>
    </row>
    <row r="2375" customFormat="false" ht="15" hidden="false" customHeight="false" outlineLevel="0" collapsed="false">
      <c r="A2375" s="102"/>
      <c r="B2375" s="104"/>
      <c r="C2375" s="104"/>
      <c r="F2375" s="103" t="str">
        <f aca="false">IF(OR($C2375="",$D2375=0),"",$E2375/$D2375)</f>
        <v/>
      </c>
      <c r="H2375" s="0" t="str">
        <f aca="false">IF($C2375="","",IF(COUNTIF('مواد المخزون'!$A$2:$A$86,$C2375)&gt;0,"نعم","لا (خارج الجرد)"))</f>
        <v/>
      </c>
    </row>
    <row r="2376" customFormat="false" ht="15" hidden="false" customHeight="false" outlineLevel="0" collapsed="false">
      <c r="A2376" s="102"/>
      <c r="B2376" s="104"/>
      <c r="C2376" s="104"/>
      <c r="F2376" s="103" t="str">
        <f aca="false">IF(OR($C2376="",$D2376=0),"",$E2376/$D2376)</f>
        <v/>
      </c>
      <c r="H2376" s="0" t="str">
        <f aca="false">IF($C2376="","",IF(COUNTIF('مواد المخزون'!$A$2:$A$86,$C2376)&gt;0,"نعم","لا (خارج الجرد)"))</f>
        <v/>
      </c>
    </row>
    <row r="2377" customFormat="false" ht="15" hidden="false" customHeight="false" outlineLevel="0" collapsed="false">
      <c r="A2377" s="102"/>
      <c r="B2377" s="104"/>
      <c r="C2377" s="104"/>
      <c r="F2377" s="103" t="str">
        <f aca="false">IF(OR($C2377="",$D2377=0),"",$E2377/$D2377)</f>
        <v/>
      </c>
      <c r="H2377" s="0" t="str">
        <f aca="false">IF($C2377="","",IF(COUNTIF('مواد المخزون'!$A$2:$A$86,$C2377)&gt;0,"نعم","لا (خارج الجرد)"))</f>
        <v/>
      </c>
    </row>
    <row r="2378" customFormat="false" ht="15" hidden="false" customHeight="false" outlineLevel="0" collapsed="false">
      <c r="A2378" s="102"/>
      <c r="B2378" s="104"/>
      <c r="C2378" s="104"/>
      <c r="F2378" s="103" t="str">
        <f aca="false">IF(OR($C2378="",$D2378=0),"",$E2378/$D2378)</f>
        <v/>
      </c>
      <c r="H2378" s="0" t="str">
        <f aca="false">IF($C2378="","",IF(COUNTIF('مواد المخزون'!$A$2:$A$86,$C2378)&gt;0,"نعم","لا (خارج الجرد)"))</f>
        <v/>
      </c>
    </row>
    <row r="2379" customFormat="false" ht="15" hidden="false" customHeight="false" outlineLevel="0" collapsed="false">
      <c r="A2379" s="102"/>
      <c r="B2379" s="104"/>
      <c r="C2379" s="104"/>
      <c r="F2379" s="103" t="str">
        <f aca="false">IF(OR($C2379="",$D2379=0),"",$E2379/$D2379)</f>
        <v/>
      </c>
      <c r="H2379" s="0" t="str">
        <f aca="false">IF($C2379="","",IF(COUNTIF('مواد المخزون'!$A$2:$A$86,$C2379)&gt;0,"نعم","لا (خارج الجرد)"))</f>
        <v/>
      </c>
    </row>
    <row r="2380" customFormat="false" ht="15" hidden="false" customHeight="false" outlineLevel="0" collapsed="false">
      <c r="A2380" s="102"/>
      <c r="B2380" s="104"/>
      <c r="C2380" s="104"/>
      <c r="F2380" s="103" t="str">
        <f aca="false">IF(OR($C2380="",$D2380=0),"",$E2380/$D2380)</f>
        <v/>
      </c>
      <c r="H2380" s="0" t="str">
        <f aca="false">IF($C2380="","",IF(COUNTIF('مواد المخزون'!$A$2:$A$86,$C2380)&gt;0,"نعم","لا (خارج الجرد)"))</f>
        <v/>
      </c>
    </row>
    <row r="2381" customFormat="false" ht="15" hidden="false" customHeight="false" outlineLevel="0" collapsed="false">
      <c r="A2381" s="102"/>
      <c r="B2381" s="104"/>
      <c r="C2381" s="104"/>
      <c r="F2381" s="103" t="str">
        <f aca="false">IF(OR($C2381="",$D2381=0),"",$E2381/$D2381)</f>
        <v/>
      </c>
      <c r="H2381" s="0" t="str">
        <f aca="false">IF($C2381="","",IF(COUNTIF('مواد المخزون'!$A$2:$A$86,$C2381)&gt;0,"نعم","لا (خارج الجرد)"))</f>
        <v/>
      </c>
    </row>
    <row r="2382" customFormat="false" ht="15" hidden="false" customHeight="false" outlineLevel="0" collapsed="false">
      <c r="A2382" s="102"/>
      <c r="B2382" s="104"/>
      <c r="C2382" s="104"/>
      <c r="F2382" s="103" t="str">
        <f aca="false">IF(OR($C2382="",$D2382=0),"",$E2382/$D2382)</f>
        <v/>
      </c>
      <c r="H2382" s="0" t="str">
        <f aca="false">IF($C2382="","",IF(COUNTIF('مواد المخزون'!$A$2:$A$86,$C2382)&gt;0,"نعم","لا (خارج الجرد)"))</f>
        <v/>
      </c>
    </row>
    <row r="2383" customFormat="false" ht="15" hidden="false" customHeight="false" outlineLevel="0" collapsed="false">
      <c r="A2383" s="102"/>
      <c r="B2383" s="104"/>
      <c r="C2383" s="104"/>
      <c r="F2383" s="103" t="str">
        <f aca="false">IF(OR($C2383="",$D2383=0),"",$E2383/$D2383)</f>
        <v/>
      </c>
      <c r="H2383" s="0" t="str">
        <f aca="false">IF($C2383="","",IF(COUNTIF('مواد المخزون'!$A$2:$A$86,$C2383)&gt;0,"نعم","لا (خارج الجرد)"))</f>
        <v/>
      </c>
    </row>
    <row r="2384" customFormat="false" ht="15" hidden="false" customHeight="false" outlineLevel="0" collapsed="false">
      <c r="A2384" s="102"/>
      <c r="B2384" s="104"/>
      <c r="C2384" s="104"/>
      <c r="F2384" s="103" t="str">
        <f aca="false">IF(OR($C2384="",$D2384=0),"",$E2384/$D2384)</f>
        <v/>
      </c>
      <c r="H2384" s="0" t="str">
        <f aca="false">IF($C2384="","",IF(COUNTIF('مواد المخزون'!$A$2:$A$86,$C2384)&gt;0,"نعم","لا (خارج الجرد)"))</f>
        <v/>
      </c>
    </row>
    <row r="2385" customFormat="false" ht="15" hidden="false" customHeight="false" outlineLevel="0" collapsed="false">
      <c r="A2385" s="102"/>
      <c r="B2385" s="104"/>
      <c r="C2385" s="104"/>
      <c r="F2385" s="103" t="str">
        <f aca="false">IF(OR($C2385="",$D2385=0),"",$E2385/$D2385)</f>
        <v/>
      </c>
      <c r="H2385" s="0" t="str">
        <f aca="false">IF($C2385="","",IF(COUNTIF('مواد المخزون'!$A$2:$A$86,$C2385)&gt;0,"نعم","لا (خارج الجرد)"))</f>
        <v/>
      </c>
    </row>
    <row r="2386" customFormat="false" ht="15" hidden="false" customHeight="false" outlineLevel="0" collapsed="false">
      <c r="A2386" s="102"/>
      <c r="B2386" s="104"/>
      <c r="C2386" s="104"/>
      <c r="F2386" s="103" t="str">
        <f aca="false">IF(OR($C2386="",$D2386=0),"",$E2386/$D2386)</f>
        <v/>
      </c>
      <c r="H2386" s="0" t="str">
        <f aca="false">IF($C2386="","",IF(COUNTIF('مواد المخزون'!$A$2:$A$86,$C2386)&gt;0,"نعم","لا (خارج الجرد)"))</f>
        <v/>
      </c>
    </row>
    <row r="2387" customFormat="false" ht="15" hidden="false" customHeight="false" outlineLevel="0" collapsed="false">
      <c r="A2387" s="102"/>
      <c r="B2387" s="104"/>
      <c r="C2387" s="104"/>
      <c r="F2387" s="103" t="str">
        <f aca="false">IF(OR($C2387="",$D2387=0),"",$E2387/$D2387)</f>
        <v/>
      </c>
      <c r="H2387" s="0" t="str">
        <f aca="false">IF($C2387="","",IF(COUNTIF('مواد المخزون'!$A$2:$A$86,$C2387)&gt;0,"نعم","لا (خارج الجرد)"))</f>
        <v/>
      </c>
    </row>
    <row r="2388" customFormat="false" ht="15" hidden="false" customHeight="false" outlineLevel="0" collapsed="false">
      <c r="A2388" s="102"/>
      <c r="B2388" s="104"/>
      <c r="C2388" s="104"/>
      <c r="F2388" s="103" t="str">
        <f aca="false">IF(OR($C2388="",$D2388=0),"",$E2388/$D2388)</f>
        <v/>
      </c>
      <c r="H2388" s="0" t="str">
        <f aca="false">IF($C2388="","",IF(COUNTIF('مواد المخزون'!$A$2:$A$86,$C2388)&gt;0,"نعم","لا (خارج الجرد)"))</f>
        <v/>
      </c>
    </row>
    <row r="2389" customFormat="false" ht="15" hidden="false" customHeight="false" outlineLevel="0" collapsed="false">
      <c r="A2389" s="102"/>
      <c r="B2389" s="104"/>
      <c r="C2389" s="104"/>
      <c r="F2389" s="103" t="str">
        <f aca="false">IF(OR($C2389="",$D2389=0),"",$E2389/$D2389)</f>
        <v/>
      </c>
      <c r="H2389" s="0" t="str">
        <f aca="false">IF($C2389="","",IF(COUNTIF('مواد المخزون'!$A$2:$A$86,$C2389)&gt;0,"نعم","لا (خارج الجرد)"))</f>
        <v/>
      </c>
    </row>
    <row r="2390" customFormat="false" ht="15" hidden="false" customHeight="false" outlineLevel="0" collapsed="false">
      <c r="A2390" s="102"/>
      <c r="B2390" s="104"/>
      <c r="C2390" s="104"/>
      <c r="F2390" s="103" t="str">
        <f aca="false">IF(OR($C2390="",$D2390=0),"",$E2390/$D2390)</f>
        <v/>
      </c>
      <c r="H2390" s="0" t="str">
        <f aca="false">IF($C2390="","",IF(COUNTIF('مواد المخزون'!$A$2:$A$86,$C2390)&gt;0,"نعم","لا (خارج الجرد)"))</f>
        <v/>
      </c>
    </row>
    <row r="2391" customFormat="false" ht="15" hidden="false" customHeight="false" outlineLevel="0" collapsed="false">
      <c r="A2391" s="102"/>
      <c r="B2391" s="104"/>
      <c r="C2391" s="104"/>
      <c r="F2391" s="103" t="str">
        <f aca="false">IF(OR($C2391="",$D2391=0),"",$E2391/$D2391)</f>
        <v/>
      </c>
      <c r="H2391" s="0" t="str">
        <f aca="false">IF($C2391="","",IF(COUNTIF('مواد المخزون'!$A$2:$A$86,$C2391)&gt;0,"نعم","لا (خارج الجرد)"))</f>
        <v/>
      </c>
    </row>
    <row r="2392" customFormat="false" ht="15" hidden="false" customHeight="false" outlineLevel="0" collapsed="false">
      <c r="A2392" s="102"/>
      <c r="B2392" s="104"/>
      <c r="C2392" s="104"/>
      <c r="F2392" s="103" t="str">
        <f aca="false">IF(OR($C2392="",$D2392=0),"",$E2392/$D2392)</f>
        <v/>
      </c>
      <c r="H2392" s="0" t="str">
        <f aca="false">IF($C2392="","",IF(COUNTIF('مواد المخزون'!$A$2:$A$86,$C2392)&gt;0,"نعم","لا (خارج الجرد)"))</f>
        <v/>
      </c>
    </row>
    <row r="2393" customFormat="false" ht="15" hidden="false" customHeight="false" outlineLevel="0" collapsed="false">
      <c r="A2393" s="102"/>
      <c r="B2393" s="104"/>
      <c r="C2393" s="104"/>
      <c r="F2393" s="103" t="str">
        <f aca="false">IF(OR($C2393="",$D2393=0),"",$E2393/$D2393)</f>
        <v/>
      </c>
      <c r="H2393" s="0" t="str">
        <f aca="false">IF($C2393="","",IF(COUNTIF('مواد المخزون'!$A$2:$A$86,$C2393)&gt;0,"نعم","لا (خارج الجرد)"))</f>
        <v/>
      </c>
    </row>
    <row r="2394" customFormat="false" ht="15" hidden="false" customHeight="false" outlineLevel="0" collapsed="false">
      <c r="A2394" s="102"/>
      <c r="B2394" s="104"/>
      <c r="C2394" s="104"/>
      <c r="F2394" s="103" t="str">
        <f aca="false">IF(OR($C2394="",$D2394=0),"",$E2394/$D2394)</f>
        <v/>
      </c>
      <c r="H2394" s="0" t="str">
        <f aca="false">IF($C2394="","",IF(COUNTIF('مواد المخزون'!$A$2:$A$86,$C2394)&gt;0,"نعم","لا (خارج الجرد)"))</f>
        <v/>
      </c>
    </row>
    <row r="2395" customFormat="false" ht="15" hidden="false" customHeight="false" outlineLevel="0" collapsed="false">
      <c r="A2395" s="102"/>
      <c r="B2395" s="104"/>
      <c r="C2395" s="104"/>
      <c r="F2395" s="103" t="str">
        <f aca="false">IF(OR($C2395="",$D2395=0),"",$E2395/$D2395)</f>
        <v/>
      </c>
      <c r="H2395" s="0" t="str">
        <f aca="false">IF($C2395="","",IF(COUNTIF('مواد المخزون'!$A$2:$A$86,$C2395)&gt;0,"نعم","لا (خارج الجرد)"))</f>
        <v/>
      </c>
    </row>
    <row r="2396" customFormat="false" ht="15" hidden="false" customHeight="false" outlineLevel="0" collapsed="false">
      <c r="A2396" s="102"/>
      <c r="B2396" s="104"/>
      <c r="C2396" s="104"/>
      <c r="F2396" s="103" t="str">
        <f aca="false">IF(OR($C2396="",$D2396=0),"",$E2396/$D2396)</f>
        <v/>
      </c>
      <c r="H2396" s="0" t="str">
        <f aca="false">IF($C2396="","",IF(COUNTIF('مواد المخزون'!$A$2:$A$86,$C2396)&gt;0,"نعم","لا (خارج الجرد)"))</f>
        <v/>
      </c>
    </row>
    <row r="2397" customFormat="false" ht="15" hidden="false" customHeight="false" outlineLevel="0" collapsed="false">
      <c r="A2397" s="102"/>
      <c r="B2397" s="104"/>
      <c r="C2397" s="104"/>
      <c r="F2397" s="103" t="str">
        <f aca="false">IF(OR($C2397="",$D2397=0),"",$E2397/$D2397)</f>
        <v/>
      </c>
      <c r="H2397" s="0" t="str">
        <f aca="false">IF($C2397="","",IF(COUNTIF('مواد المخزون'!$A$2:$A$86,$C2397)&gt;0,"نعم","لا (خارج الجرد)"))</f>
        <v/>
      </c>
    </row>
    <row r="2398" customFormat="false" ht="15" hidden="false" customHeight="false" outlineLevel="0" collapsed="false">
      <c r="A2398" s="102"/>
      <c r="B2398" s="104"/>
      <c r="C2398" s="104"/>
      <c r="F2398" s="103" t="str">
        <f aca="false">IF(OR($C2398="",$D2398=0),"",$E2398/$D2398)</f>
        <v/>
      </c>
      <c r="H2398" s="0" t="str">
        <f aca="false">IF($C2398="","",IF(COUNTIF('مواد المخزون'!$A$2:$A$86,$C2398)&gt;0,"نعم","لا (خارج الجرد)"))</f>
        <v/>
      </c>
    </row>
    <row r="2399" customFormat="false" ht="15" hidden="false" customHeight="false" outlineLevel="0" collapsed="false">
      <c r="A2399" s="102"/>
      <c r="B2399" s="104"/>
      <c r="C2399" s="104"/>
      <c r="F2399" s="103" t="str">
        <f aca="false">IF(OR($C2399="",$D2399=0),"",$E2399/$D2399)</f>
        <v/>
      </c>
      <c r="H2399" s="0" t="str">
        <f aca="false">IF($C2399="","",IF(COUNTIF('مواد المخزون'!$A$2:$A$86,$C2399)&gt;0,"نعم","لا (خارج الجرد)"))</f>
        <v/>
      </c>
    </row>
    <row r="2400" customFormat="false" ht="15" hidden="false" customHeight="false" outlineLevel="0" collapsed="false">
      <c r="A2400" s="102"/>
      <c r="B2400" s="104"/>
      <c r="C2400" s="104"/>
      <c r="F2400" s="103" t="str">
        <f aca="false">IF(OR($C2400="",$D2400=0),"",$E2400/$D2400)</f>
        <v/>
      </c>
      <c r="H2400" s="0" t="str">
        <f aca="false">IF($C2400="","",IF(COUNTIF('مواد المخزون'!$A$2:$A$86,$C2400)&gt;0,"نعم","لا (خارج الجرد)"))</f>
        <v/>
      </c>
    </row>
    <row r="2401" customFormat="false" ht="15" hidden="false" customHeight="false" outlineLevel="0" collapsed="false">
      <c r="A2401" s="102"/>
      <c r="B2401" s="104"/>
      <c r="C2401" s="104"/>
      <c r="F2401" s="103" t="str">
        <f aca="false">IF(OR($C2401="",$D2401=0),"",$E2401/$D2401)</f>
        <v/>
      </c>
      <c r="H2401" s="0" t="str">
        <f aca="false">IF($C2401="","",IF(COUNTIF('مواد المخزون'!$A$2:$A$86,$C2401)&gt;0,"نعم","لا (خارج الجرد)"))</f>
        <v/>
      </c>
    </row>
    <row r="2402" customFormat="false" ht="15" hidden="false" customHeight="false" outlineLevel="0" collapsed="false">
      <c r="A2402" s="102"/>
      <c r="B2402" s="104"/>
      <c r="C2402" s="104"/>
      <c r="F2402" s="103" t="str">
        <f aca="false">IF(OR($C2402="",$D2402=0),"",$E2402/$D2402)</f>
        <v/>
      </c>
      <c r="H2402" s="0" t="str">
        <f aca="false">IF($C2402="","",IF(COUNTIF('مواد المخزون'!$A$2:$A$86,$C2402)&gt;0,"نعم","لا (خارج الجرد)"))</f>
        <v/>
      </c>
    </row>
    <row r="2403" customFormat="false" ht="15" hidden="false" customHeight="false" outlineLevel="0" collapsed="false">
      <c r="A2403" s="102"/>
      <c r="B2403" s="104"/>
      <c r="C2403" s="104"/>
      <c r="F2403" s="103" t="str">
        <f aca="false">IF(OR($C2403="",$D2403=0),"",$E2403/$D2403)</f>
        <v/>
      </c>
      <c r="H2403" s="0" t="str">
        <f aca="false">IF($C2403="","",IF(COUNTIF('مواد المخزون'!$A$2:$A$86,$C2403)&gt;0,"نعم","لا (خارج الجرد)"))</f>
        <v/>
      </c>
    </row>
    <row r="2404" customFormat="false" ht="15" hidden="false" customHeight="false" outlineLevel="0" collapsed="false">
      <c r="A2404" s="102"/>
      <c r="B2404" s="104"/>
      <c r="C2404" s="104"/>
      <c r="F2404" s="103" t="str">
        <f aca="false">IF(OR($C2404="",$D2404=0),"",$E2404/$D2404)</f>
        <v/>
      </c>
      <c r="H2404" s="0" t="str">
        <f aca="false">IF($C2404="","",IF(COUNTIF('مواد المخزون'!$A$2:$A$86,$C2404)&gt;0,"نعم","لا (خارج الجرد)"))</f>
        <v/>
      </c>
    </row>
    <row r="2405" customFormat="false" ht="15" hidden="false" customHeight="false" outlineLevel="0" collapsed="false">
      <c r="A2405" s="102"/>
      <c r="B2405" s="104"/>
      <c r="C2405" s="104"/>
      <c r="F2405" s="103" t="str">
        <f aca="false">IF(OR($C2405="",$D2405=0),"",$E2405/$D2405)</f>
        <v/>
      </c>
      <c r="H2405" s="0" t="str">
        <f aca="false">IF($C2405="","",IF(COUNTIF('مواد المخزون'!$A$2:$A$86,$C2405)&gt;0,"نعم","لا (خارج الجرد)"))</f>
        <v/>
      </c>
    </row>
    <row r="2406" customFormat="false" ht="15" hidden="false" customHeight="false" outlineLevel="0" collapsed="false">
      <c r="A2406" s="102"/>
      <c r="B2406" s="104"/>
      <c r="C2406" s="104"/>
      <c r="F2406" s="103" t="str">
        <f aca="false">IF(OR($C2406="",$D2406=0),"",$E2406/$D2406)</f>
        <v/>
      </c>
      <c r="H2406" s="0" t="str">
        <f aca="false">IF($C2406="","",IF(COUNTIF('مواد المخزون'!$A$2:$A$86,$C2406)&gt;0,"نعم","لا (خارج الجرد)"))</f>
        <v/>
      </c>
    </row>
    <row r="2407" customFormat="false" ht="15" hidden="false" customHeight="false" outlineLevel="0" collapsed="false">
      <c r="A2407" s="102"/>
      <c r="B2407" s="104"/>
      <c r="C2407" s="104"/>
      <c r="F2407" s="103" t="str">
        <f aca="false">IF(OR($C2407="",$D2407=0),"",$E2407/$D2407)</f>
        <v/>
      </c>
      <c r="H2407" s="0" t="str">
        <f aca="false">IF($C2407="","",IF(COUNTIF('مواد المخزون'!$A$2:$A$86,$C2407)&gt;0,"نعم","لا (خارج الجرد)"))</f>
        <v/>
      </c>
    </row>
    <row r="2408" customFormat="false" ht="15" hidden="false" customHeight="false" outlineLevel="0" collapsed="false">
      <c r="A2408" s="102"/>
      <c r="B2408" s="104"/>
      <c r="C2408" s="104"/>
      <c r="F2408" s="103" t="str">
        <f aca="false">IF(OR($C2408="",$D2408=0),"",$E2408/$D2408)</f>
        <v/>
      </c>
      <c r="H2408" s="0" t="str">
        <f aca="false">IF($C2408="","",IF(COUNTIF('مواد المخزون'!$A$2:$A$86,$C2408)&gt;0,"نعم","لا (خارج الجرد)"))</f>
        <v/>
      </c>
    </row>
    <row r="2409" customFormat="false" ht="15" hidden="false" customHeight="false" outlineLevel="0" collapsed="false">
      <c r="A2409" s="102"/>
      <c r="B2409" s="104"/>
      <c r="C2409" s="104"/>
      <c r="F2409" s="103" t="str">
        <f aca="false">IF(OR($C2409="",$D2409=0),"",$E2409/$D2409)</f>
        <v/>
      </c>
      <c r="H2409" s="0" t="str">
        <f aca="false">IF($C2409="","",IF(COUNTIF('مواد المخزون'!$A$2:$A$86,$C2409)&gt;0,"نعم","لا (خارج الجرد)"))</f>
        <v/>
      </c>
    </row>
    <row r="2410" customFormat="false" ht="15" hidden="false" customHeight="false" outlineLevel="0" collapsed="false">
      <c r="A2410" s="102"/>
      <c r="B2410" s="104"/>
      <c r="C2410" s="104"/>
      <c r="F2410" s="103" t="str">
        <f aca="false">IF(OR($C2410="",$D2410=0),"",$E2410/$D2410)</f>
        <v/>
      </c>
      <c r="H2410" s="0" t="str">
        <f aca="false">IF($C2410="","",IF(COUNTIF('مواد المخزون'!$A$2:$A$86,$C2410)&gt;0,"نعم","لا (خارج الجرد)"))</f>
        <v/>
      </c>
    </row>
    <row r="2411" customFormat="false" ht="15" hidden="false" customHeight="false" outlineLevel="0" collapsed="false">
      <c r="A2411" s="102"/>
      <c r="B2411" s="104"/>
      <c r="C2411" s="104"/>
      <c r="F2411" s="103" t="str">
        <f aca="false">IF(OR($C2411="",$D2411=0),"",$E2411/$D2411)</f>
        <v/>
      </c>
      <c r="H2411" s="0" t="str">
        <f aca="false">IF($C2411="","",IF(COUNTIF('مواد المخزون'!$A$2:$A$86,$C2411)&gt;0,"نعم","لا (خارج الجرد)"))</f>
        <v/>
      </c>
    </row>
    <row r="2412" customFormat="false" ht="15" hidden="false" customHeight="false" outlineLevel="0" collapsed="false">
      <c r="A2412" s="102"/>
      <c r="B2412" s="104"/>
      <c r="C2412" s="104"/>
      <c r="F2412" s="103" t="str">
        <f aca="false">IF(OR($C2412="",$D2412=0),"",$E2412/$D2412)</f>
        <v/>
      </c>
      <c r="H2412" s="0" t="str">
        <f aca="false">IF($C2412="","",IF(COUNTIF('مواد المخزون'!$A$2:$A$86,$C2412)&gt;0,"نعم","لا (خارج الجرد)"))</f>
        <v/>
      </c>
    </row>
    <row r="2413" customFormat="false" ht="15" hidden="false" customHeight="false" outlineLevel="0" collapsed="false">
      <c r="A2413" s="102"/>
      <c r="B2413" s="104"/>
      <c r="C2413" s="104"/>
      <c r="F2413" s="103" t="str">
        <f aca="false">IF(OR($C2413="",$D2413=0),"",$E2413/$D2413)</f>
        <v/>
      </c>
      <c r="H2413" s="0" t="str">
        <f aca="false">IF($C2413="","",IF(COUNTIF('مواد المخزون'!$A$2:$A$86,$C2413)&gt;0,"نعم","لا (خارج الجرد)"))</f>
        <v/>
      </c>
    </row>
    <row r="2414" customFormat="false" ht="15" hidden="false" customHeight="false" outlineLevel="0" collapsed="false">
      <c r="A2414" s="102"/>
      <c r="B2414" s="104"/>
      <c r="C2414" s="104"/>
      <c r="F2414" s="103" t="str">
        <f aca="false">IF(OR($C2414="",$D2414=0),"",$E2414/$D2414)</f>
        <v/>
      </c>
      <c r="H2414" s="0" t="str">
        <f aca="false">IF($C2414="","",IF(COUNTIF('مواد المخزون'!$A$2:$A$86,$C2414)&gt;0,"نعم","لا (خارج الجرد)"))</f>
        <v/>
      </c>
    </row>
    <row r="2415" customFormat="false" ht="15" hidden="false" customHeight="false" outlineLevel="0" collapsed="false">
      <c r="A2415" s="102"/>
      <c r="B2415" s="104"/>
      <c r="C2415" s="104"/>
      <c r="F2415" s="103" t="str">
        <f aca="false">IF(OR($C2415="",$D2415=0),"",$E2415/$D2415)</f>
        <v/>
      </c>
      <c r="H2415" s="0" t="str">
        <f aca="false">IF($C2415="","",IF(COUNTIF('مواد المخزون'!$A$2:$A$86,$C2415)&gt;0,"نعم","لا (خارج الجرد)"))</f>
        <v/>
      </c>
    </row>
    <row r="2416" customFormat="false" ht="15" hidden="false" customHeight="false" outlineLevel="0" collapsed="false">
      <c r="A2416" s="102"/>
      <c r="B2416" s="104"/>
      <c r="C2416" s="104"/>
      <c r="F2416" s="103" t="str">
        <f aca="false">IF(OR($C2416="",$D2416=0),"",$E2416/$D2416)</f>
        <v/>
      </c>
      <c r="H2416" s="0" t="str">
        <f aca="false">IF($C2416="","",IF(COUNTIF('مواد المخزون'!$A$2:$A$86,$C2416)&gt;0,"نعم","لا (خارج الجرد)"))</f>
        <v/>
      </c>
    </row>
    <row r="2417" customFormat="false" ht="15" hidden="false" customHeight="false" outlineLevel="0" collapsed="false">
      <c r="A2417" s="102"/>
      <c r="B2417" s="104"/>
      <c r="C2417" s="104"/>
      <c r="F2417" s="103" t="str">
        <f aca="false">IF(OR($C2417="",$D2417=0),"",$E2417/$D2417)</f>
        <v/>
      </c>
      <c r="H2417" s="0" t="str">
        <f aca="false">IF($C2417="","",IF(COUNTIF('مواد المخزون'!$A$2:$A$86,$C2417)&gt;0,"نعم","لا (خارج الجرد)"))</f>
        <v/>
      </c>
    </row>
    <row r="2418" customFormat="false" ht="15" hidden="false" customHeight="false" outlineLevel="0" collapsed="false">
      <c r="A2418" s="102"/>
      <c r="B2418" s="104"/>
      <c r="C2418" s="104"/>
      <c r="F2418" s="103" t="str">
        <f aca="false">IF(OR($C2418="",$D2418=0),"",$E2418/$D2418)</f>
        <v/>
      </c>
      <c r="H2418" s="0" t="str">
        <f aca="false">IF($C2418="","",IF(COUNTIF('مواد المخزون'!$A$2:$A$86,$C2418)&gt;0,"نعم","لا (خارج الجرد)"))</f>
        <v/>
      </c>
    </row>
    <row r="2419" customFormat="false" ht="15" hidden="false" customHeight="false" outlineLevel="0" collapsed="false">
      <c r="A2419" s="102"/>
      <c r="B2419" s="104"/>
      <c r="C2419" s="104"/>
      <c r="F2419" s="103" t="str">
        <f aca="false">IF(OR($C2419="",$D2419=0),"",$E2419/$D2419)</f>
        <v/>
      </c>
      <c r="H2419" s="0" t="str">
        <f aca="false">IF($C2419="","",IF(COUNTIF('مواد المخزون'!$A$2:$A$86,$C2419)&gt;0,"نعم","لا (خارج الجرد)"))</f>
        <v/>
      </c>
    </row>
    <row r="2420" customFormat="false" ht="15" hidden="false" customHeight="false" outlineLevel="0" collapsed="false">
      <c r="A2420" s="102"/>
      <c r="B2420" s="104"/>
      <c r="C2420" s="104"/>
      <c r="F2420" s="103" t="str">
        <f aca="false">IF(OR($C2420="",$D2420=0),"",$E2420/$D2420)</f>
        <v/>
      </c>
      <c r="H2420" s="0" t="str">
        <f aca="false">IF($C2420="","",IF(COUNTIF('مواد المخزون'!$A$2:$A$86,$C2420)&gt;0,"نعم","لا (خارج الجرد)"))</f>
        <v/>
      </c>
    </row>
    <row r="2421" customFormat="false" ht="15" hidden="false" customHeight="false" outlineLevel="0" collapsed="false">
      <c r="A2421" s="102"/>
      <c r="B2421" s="104"/>
      <c r="C2421" s="104"/>
      <c r="F2421" s="103" t="str">
        <f aca="false">IF(OR($C2421="",$D2421=0),"",$E2421/$D2421)</f>
        <v/>
      </c>
      <c r="H2421" s="0" t="str">
        <f aca="false">IF($C2421="","",IF(COUNTIF('مواد المخزون'!$A$2:$A$86,$C2421)&gt;0,"نعم","لا (خارج الجرد)"))</f>
        <v/>
      </c>
    </row>
    <row r="2422" customFormat="false" ht="15" hidden="false" customHeight="false" outlineLevel="0" collapsed="false">
      <c r="A2422" s="102"/>
      <c r="B2422" s="104"/>
      <c r="C2422" s="104"/>
      <c r="F2422" s="103" t="str">
        <f aca="false">IF(OR($C2422="",$D2422=0),"",$E2422/$D2422)</f>
        <v/>
      </c>
      <c r="H2422" s="0" t="str">
        <f aca="false">IF($C2422="","",IF(COUNTIF('مواد المخزون'!$A$2:$A$86,$C2422)&gt;0,"نعم","لا (خارج الجرد)"))</f>
        <v/>
      </c>
    </row>
    <row r="2423" customFormat="false" ht="15" hidden="false" customHeight="false" outlineLevel="0" collapsed="false">
      <c r="A2423" s="102"/>
      <c r="B2423" s="104"/>
      <c r="C2423" s="104"/>
      <c r="F2423" s="103" t="str">
        <f aca="false">IF(OR($C2423="",$D2423=0),"",$E2423/$D2423)</f>
        <v/>
      </c>
      <c r="H2423" s="0" t="str">
        <f aca="false">IF($C2423="","",IF(COUNTIF('مواد المخزون'!$A$2:$A$86,$C2423)&gt;0,"نعم","لا (خارج الجرد)"))</f>
        <v/>
      </c>
    </row>
    <row r="2424" customFormat="false" ht="15" hidden="false" customHeight="false" outlineLevel="0" collapsed="false">
      <c r="A2424" s="102"/>
      <c r="B2424" s="104"/>
      <c r="C2424" s="104"/>
      <c r="F2424" s="103" t="str">
        <f aca="false">IF(OR($C2424="",$D2424=0),"",$E2424/$D2424)</f>
        <v/>
      </c>
      <c r="H2424" s="0" t="str">
        <f aca="false">IF($C2424="","",IF(COUNTIF('مواد المخزون'!$A$2:$A$86,$C2424)&gt;0,"نعم","لا (خارج الجرد)"))</f>
        <v/>
      </c>
    </row>
    <row r="2425" customFormat="false" ht="15" hidden="false" customHeight="false" outlineLevel="0" collapsed="false">
      <c r="A2425" s="102"/>
      <c r="B2425" s="104"/>
      <c r="C2425" s="104"/>
      <c r="F2425" s="103" t="str">
        <f aca="false">IF(OR($C2425="",$D2425=0),"",$E2425/$D2425)</f>
        <v/>
      </c>
      <c r="H2425" s="0" t="str">
        <f aca="false">IF($C2425="","",IF(COUNTIF('مواد المخزون'!$A$2:$A$86,$C2425)&gt;0,"نعم","لا (خارج الجرد)"))</f>
        <v/>
      </c>
    </row>
    <row r="2426" customFormat="false" ht="15" hidden="false" customHeight="false" outlineLevel="0" collapsed="false">
      <c r="A2426" s="102"/>
      <c r="B2426" s="104"/>
      <c r="C2426" s="104"/>
      <c r="F2426" s="103" t="str">
        <f aca="false">IF(OR($C2426="",$D2426=0),"",$E2426/$D2426)</f>
        <v/>
      </c>
      <c r="H2426" s="0" t="str">
        <f aca="false">IF($C2426="","",IF(COUNTIF('مواد المخزون'!$A$2:$A$86,$C2426)&gt;0,"نعم","لا (خارج الجرد)"))</f>
        <v/>
      </c>
    </row>
    <row r="2427" customFormat="false" ht="15" hidden="false" customHeight="false" outlineLevel="0" collapsed="false">
      <c r="A2427" s="102"/>
      <c r="B2427" s="104"/>
      <c r="C2427" s="104"/>
      <c r="F2427" s="103" t="str">
        <f aca="false">IF(OR($C2427="",$D2427=0),"",$E2427/$D2427)</f>
        <v/>
      </c>
      <c r="H2427" s="0" t="str">
        <f aca="false">IF($C2427="","",IF(COUNTIF('مواد المخزون'!$A$2:$A$86,$C2427)&gt;0,"نعم","لا (خارج الجرد)"))</f>
        <v/>
      </c>
    </row>
    <row r="2428" customFormat="false" ht="15" hidden="false" customHeight="false" outlineLevel="0" collapsed="false">
      <c r="A2428" s="102"/>
      <c r="B2428" s="104"/>
      <c r="C2428" s="104"/>
      <c r="F2428" s="103" t="str">
        <f aca="false">IF(OR($C2428="",$D2428=0),"",$E2428/$D2428)</f>
        <v/>
      </c>
      <c r="H2428" s="0" t="str">
        <f aca="false">IF($C2428="","",IF(COUNTIF('مواد المخزون'!$A$2:$A$86,$C2428)&gt;0,"نعم","لا (خارج الجرد)"))</f>
        <v/>
      </c>
    </row>
    <row r="2429" customFormat="false" ht="15" hidden="false" customHeight="false" outlineLevel="0" collapsed="false">
      <c r="A2429" s="102"/>
      <c r="B2429" s="104"/>
      <c r="C2429" s="104"/>
      <c r="F2429" s="103" t="str">
        <f aca="false">IF(OR($C2429="",$D2429=0),"",$E2429/$D2429)</f>
        <v/>
      </c>
      <c r="H2429" s="0" t="str">
        <f aca="false">IF($C2429="","",IF(COUNTIF('مواد المخزون'!$A$2:$A$86,$C2429)&gt;0,"نعم","لا (خارج الجرد)"))</f>
        <v/>
      </c>
    </row>
    <row r="2430" customFormat="false" ht="15" hidden="false" customHeight="false" outlineLevel="0" collapsed="false">
      <c r="A2430" s="102"/>
      <c r="B2430" s="104"/>
      <c r="C2430" s="104"/>
      <c r="F2430" s="103" t="str">
        <f aca="false">IF(OR($C2430="",$D2430=0),"",$E2430/$D2430)</f>
        <v/>
      </c>
      <c r="H2430" s="0" t="str">
        <f aca="false">IF($C2430="","",IF(COUNTIF('مواد المخزون'!$A$2:$A$86,$C2430)&gt;0,"نعم","لا (خارج الجرد)"))</f>
        <v/>
      </c>
    </row>
    <row r="2431" customFormat="false" ht="15" hidden="false" customHeight="false" outlineLevel="0" collapsed="false">
      <c r="A2431" s="102"/>
      <c r="B2431" s="104"/>
      <c r="C2431" s="104"/>
      <c r="F2431" s="103" t="str">
        <f aca="false">IF(OR($C2431="",$D2431=0),"",$E2431/$D2431)</f>
        <v/>
      </c>
      <c r="H2431" s="0" t="str">
        <f aca="false">IF($C2431="","",IF(COUNTIF('مواد المخزون'!$A$2:$A$86,$C2431)&gt;0,"نعم","لا (خارج الجرد)"))</f>
        <v/>
      </c>
    </row>
    <row r="2432" customFormat="false" ht="15" hidden="false" customHeight="false" outlineLevel="0" collapsed="false">
      <c r="A2432" s="102"/>
      <c r="B2432" s="104"/>
      <c r="C2432" s="104"/>
      <c r="F2432" s="103" t="str">
        <f aca="false">IF(OR($C2432="",$D2432=0),"",$E2432/$D2432)</f>
        <v/>
      </c>
      <c r="H2432" s="0" t="str">
        <f aca="false">IF($C2432="","",IF(COUNTIF('مواد المخزون'!$A$2:$A$86,$C2432)&gt;0,"نعم","لا (خارج الجرد)"))</f>
        <v/>
      </c>
    </row>
    <row r="2433" customFormat="false" ht="15" hidden="false" customHeight="false" outlineLevel="0" collapsed="false">
      <c r="A2433" s="102"/>
      <c r="B2433" s="104"/>
      <c r="C2433" s="104"/>
      <c r="F2433" s="103" t="str">
        <f aca="false">IF(OR($C2433="",$D2433=0),"",$E2433/$D2433)</f>
        <v/>
      </c>
      <c r="H2433" s="0" t="str">
        <f aca="false">IF($C2433="","",IF(COUNTIF('مواد المخزون'!$A$2:$A$86,$C2433)&gt;0,"نعم","لا (خارج الجرد)"))</f>
        <v/>
      </c>
    </row>
    <row r="2434" customFormat="false" ht="15" hidden="false" customHeight="false" outlineLevel="0" collapsed="false">
      <c r="A2434" s="102"/>
      <c r="B2434" s="104"/>
      <c r="C2434" s="104"/>
      <c r="F2434" s="103" t="str">
        <f aca="false">IF(OR($C2434="",$D2434=0),"",$E2434/$D2434)</f>
        <v/>
      </c>
      <c r="H2434" s="0" t="str">
        <f aca="false">IF($C2434="","",IF(COUNTIF('مواد المخزون'!$A$2:$A$86,$C2434)&gt;0,"نعم","لا (خارج الجرد)"))</f>
        <v/>
      </c>
    </row>
    <row r="2435" customFormat="false" ht="15" hidden="false" customHeight="false" outlineLevel="0" collapsed="false">
      <c r="A2435" s="102"/>
      <c r="B2435" s="104"/>
      <c r="C2435" s="104"/>
      <c r="F2435" s="103" t="str">
        <f aca="false">IF(OR($C2435="",$D2435=0),"",$E2435/$D2435)</f>
        <v/>
      </c>
      <c r="H2435" s="0" t="str">
        <f aca="false">IF($C2435="","",IF(COUNTIF('مواد المخزون'!$A$2:$A$86,$C2435)&gt;0,"نعم","لا (خارج الجرد)"))</f>
        <v/>
      </c>
    </row>
    <row r="2436" customFormat="false" ht="15" hidden="false" customHeight="false" outlineLevel="0" collapsed="false">
      <c r="A2436" s="102"/>
      <c r="B2436" s="104"/>
      <c r="C2436" s="104"/>
      <c r="F2436" s="103" t="str">
        <f aca="false">IF(OR($C2436="",$D2436=0),"",$E2436/$D2436)</f>
        <v/>
      </c>
      <c r="H2436" s="0" t="str">
        <f aca="false">IF($C2436="","",IF(COUNTIF('مواد المخزون'!$A$2:$A$86,$C2436)&gt;0,"نعم","لا (خارج الجرد)"))</f>
        <v/>
      </c>
    </row>
    <row r="2437" customFormat="false" ht="15" hidden="false" customHeight="false" outlineLevel="0" collapsed="false">
      <c r="A2437" s="102"/>
      <c r="B2437" s="104"/>
      <c r="C2437" s="104"/>
      <c r="F2437" s="103" t="str">
        <f aca="false">IF(OR($C2437="",$D2437=0),"",$E2437/$D2437)</f>
        <v/>
      </c>
      <c r="H2437" s="0" t="str">
        <f aca="false">IF($C2437="","",IF(COUNTIF('مواد المخزون'!$A$2:$A$86,$C2437)&gt;0,"نعم","لا (خارج الجرد)"))</f>
        <v/>
      </c>
    </row>
    <row r="2438" customFormat="false" ht="15" hidden="false" customHeight="false" outlineLevel="0" collapsed="false">
      <c r="A2438" s="102"/>
      <c r="B2438" s="104"/>
      <c r="C2438" s="104"/>
      <c r="F2438" s="103" t="str">
        <f aca="false">IF(OR($C2438="",$D2438=0),"",$E2438/$D2438)</f>
        <v/>
      </c>
      <c r="H2438" s="0" t="str">
        <f aca="false">IF($C2438="","",IF(COUNTIF('مواد المخزون'!$A$2:$A$86,$C2438)&gt;0,"نعم","لا (خارج الجرد)"))</f>
        <v/>
      </c>
    </row>
    <row r="2439" customFormat="false" ht="15" hidden="false" customHeight="false" outlineLevel="0" collapsed="false">
      <c r="A2439" s="102"/>
      <c r="B2439" s="104"/>
      <c r="C2439" s="104"/>
      <c r="F2439" s="103" t="str">
        <f aca="false">IF(OR($C2439="",$D2439=0),"",$E2439/$D2439)</f>
        <v/>
      </c>
      <c r="H2439" s="0" t="str">
        <f aca="false">IF($C2439="","",IF(COUNTIF('مواد المخزون'!$A$2:$A$86,$C2439)&gt;0,"نعم","لا (خارج الجرد)"))</f>
        <v/>
      </c>
    </row>
    <row r="2440" customFormat="false" ht="15" hidden="false" customHeight="false" outlineLevel="0" collapsed="false">
      <c r="A2440" s="102"/>
      <c r="B2440" s="104"/>
      <c r="C2440" s="104"/>
      <c r="F2440" s="103" t="str">
        <f aca="false">IF(OR($C2440="",$D2440=0),"",$E2440/$D2440)</f>
        <v/>
      </c>
      <c r="H2440" s="0" t="str">
        <f aca="false">IF($C2440="","",IF(COUNTIF('مواد المخزون'!$A$2:$A$86,$C2440)&gt;0,"نعم","لا (خارج الجرد)"))</f>
        <v/>
      </c>
    </row>
    <row r="2441" customFormat="false" ht="15" hidden="false" customHeight="false" outlineLevel="0" collapsed="false">
      <c r="A2441" s="102"/>
      <c r="B2441" s="104"/>
      <c r="C2441" s="104"/>
      <c r="F2441" s="103" t="str">
        <f aca="false">IF(OR($C2441="",$D2441=0),"",$E2441/$D2441)</f>
        <v/>
      </c>
      <c r="H2441" s="0" t="str">
        <f aca="false">IF($C2441="","",IF(COUNTIF('مواد المخزون'!$A$2:$A$86,$C2441)&gt;0,"نعم","لا (خارج الجرد)"))</f>
        <v/>
      </c>
    </row>
    <row r="2442" customFormat="false" ht="15" hidden="false" customHeight="false" outlineLevel="0" collapsed="false">
      <c r="A2442" s="102"/>
      <c r="B2442" s="104"/>
      <c r="C2442" s="104"/>
      <c r="F2442" s="103" t="str">
        <f aca="false">IF(OR($C2442="",$D2442=0),"",$E2442/$D2442)</f>
        <v/>
      </c>
      <c r="H2442" s="0" t="str">
        <f aca="false">IF($C2442="","",IF(COUNTIF('مواد المخزون'!$A$2:$A$86,$C2442)&gt;0,"نعم","لا (خارج الجرد)"))</f>
        <v/>
      </c>
    </row>
    <row r="2443" customFormat="false" ht="15" hidden="false" customHeight="false" outlineLevel="0" collapsed="false">
      <c r="A2443" s="102"/>
      <c r="B2443" s="104"/>
      <c r="C2443" s="104"/>
      <c r="F2443" s="103" t="str">
        <f aca="false">IF(OR($C2443="",$D2443=0),"",$E2443/$D2443)</f>
        <v/>
      </c>
      <c r="H2443" s="0" t="str">
        <f aca="false">IF($C2443="","",IF(COUNTIF('مواد المخزون'!$A$2:$A$86,$C2443)&gt;0,"نعم","لا (خارج الجرد)"))</f>
        <v/>
      </c>
    </row>
    <row r="2444" customFormat="false" ht="15" hidden="false" customHeight="false" outlineLevel="0" collapsed="false">
      <c r="A2444" s="102"/>
      <c r="B2444" s="104"/>
      <c r="C2444" s="104"/>
      <c r="F2444" s="103" t="str">
        <f aca="false">IF(OR($C2444="",$D2444=0),"",$E2444/$D2444)</f>
        <v/>
      </c>
      <c r="H2444" s="0" t="str">
        <f aca="false">IF($C2444="","",IF(COUNTIF('مواد المخزون'!$A$2:$A$86,$C2444)&gt;0,"نعم","لا (خارج الجرد)"))</f>
        <v/>
      </c>
    </row>
    <row r="2445" customFormat="false" ht="15" hidden="false" customHeight="false" outlineLevel="0" collapsed="false">
      <c r="A2445" s="102"/>
      <c r="B2445" s="104"/>
      <c r="C2445" s="104"/>
      <c r="F2445" s="103" t="str">
        <f aca="false">IF(OR($C2445="",$D2445=0),"",$E2445/$D2445)</f>
        <v/>
      </c>
      <c r="H2445" s="0" t="str">
        <f aca="false">IF($C2445="","",IF(COUNTIF('مواد المخزون'!$A$2:$A$86,$C2445)&gt;0,"نعم","لا (خارج الجرد)"))</f>
        <v/>
      </c>
    </row>
    <row r="2446" customFormat="false" ht="15" hidden="false" customHeight="false" outlineLevel="0" collapsed="false">
      <c r="A2446" s="102"/>
      <c r="B2446" s="104"/>
      <c r="C2446" s="104"/>
      <c r="F2446" s="103" t="str">
        <f aca="false">IF(OR($C2446="",$D2446=0),"",$E2446/$D2446)</f>
        <v/>
      </c>
      <c r="H2446" s="0" t="str">
        <f aca="false">IF($C2446="","",IF(COUNTIF('مواد المخزون'!$A$2:$A$86,$C2446)&gt;0,"نعم","لا (خارج الجرد)"))</f>
        <v/>
      </c>
    </row>
    <row r="2447" customFormat="false" ht="15" hidden="false" customHeight="false" outlineLevel="0" collapsed="false">
      <c r="A2447" s="102"/>
      <c r="B2447" s="104"/>
      <c r="C2447" s="104"/>
      <c r="F2447" s="103" t="str">
        <f aca="false">IF(OR($C2447="",$D2447=0),"",$E2447/$D2447)</f>
        <v/>
      </c>
      <c r="H2447" s="0" t="str">
        <f aca="false">IF($C2447="","",IF(COUNTIF('مواد المخزون'!$A$2:$A$86,$C2447)&gt;0,"نعم","لا (خارج الجرد)"))</f>
        <v/>
      </c>
    </row>
    <row r="2448" customFormat="false" ht="15" hidden="false" customHeight="false" outlineLevel="0" collapsed="false">
      <c r="A2448" s="102"/>
      <c r="B2448" s="104"/>
      <c r="C2448" s="104"/>
      <c r="F2448" s="103" t="str">
        <f aca="false">IF(OR($C2448="",$D2448=0),"",$E2448/$D2448)</f>
        <v/>
      </c>
      <c r="H2448" s="0" t="str">
        <f aca="false">IF($C2448="","",IF(COUNTIF('مواد المخزون'!$A$2:$A$86,$C2448)&gt;0,"نعم","لا (خارج الجرد)"))</f>
        <v/>
      </c>
    </row>
    <row r="2449" customFormat="false" ht="15" hidden="false" customHeight="false" outlineLevel="0" collapsed="false">
      <c r="A2449" s="102"/>
      <c r="B2449" s="104"/>
      <c r="C2449" s="104"/>
      <c r="F2449" s="103" t="str">
        <f aca="false">IF(OR($C2449="",$D2449=0),"",$E2449/$D2449)</f>
        <v/>
      </c>
      <c r="H2449" s="0" t="str">
        <f aca="false">IF($C2449="","",IF(COUNTIF('مواد المخزون'!$A$2:$A$86,$C2449)&gt;0,"نعم","لا (خارج الجرد)"))</f>
        <v/>
      </c>
    </row>
    <row r="2450" customFormat="false" ht="15" hidden="false" customHeight="false" outlineLevel="0" collapsed="false">
      <c r="A2450" s="102"/>
      <c r="B2450" s="104"/>
      <c r="C2450" s="104"/>
      <c r="F2450" s="103" t="str">
        <f aca="false">IF(OR($C2450="",$D2450=0),"",$E2450/$D2450)</f>
        <v/>
      </c>
      <c r="H2450" s="0" t="str">
        <f aca="false">IF($C2450="","",IF(COUNTIF('مواد المخزون'!$A$2:$A$86,$C2450)&gt;0,"نعم","لا (خارج الجرد)"))</f>
        <v/>
      </c>
    </row>
    <row r="2451" customFormat="false" ht="15" hidden="false" customHeight="false" outlineLevel="0" collapsed="false">
      <c r="A2451" s="102"/>
      <c r="B2451" s="104"/>
      <c r="C2451" s="104"/>
      <c r="F2451" s="103" t="str">
        <f aca="false">IF(OR($C2451="",$D2451=0),"",$E2451/$D2451)</f>
        <v/>
      </c>
      <c r="H2451" s="0" t="str">
        <f aca="false">IF($C2451="","",IF(COUNTIF('مواد المخزون'!$A$2:$A$86,$C2451)&gt;0,"نعم","لا (خارج الجرد)"))</f>
        <v/>
      </c>
    </row>
    <row r="2452" customFormat="false" ht="15" hidden="false" customHeight="false" outlineLevel="0" collapsed="false">
      <c r="A2452" s="102"/>
      <c r="B2452" s="104"/>
      <c r="C2452" s="104"/>
      <c r="F2452" s="103" t="str">
        <f aca="false">IF(OR($C2452="",$D2452=0),"",$E2452/$D2452)</f>
        <v/>
      </c>
      <c r="H2452" s="0" t="str">
        <f aca="false">IF($C2452="","",IF(COUNTIF('مواد المخزون'!$A$2:$A$86,$C2452)&gt;0,"نعم","لا (خارج الجرد)"))</f>
        <v/>
      </c>
    </row>
    <row r="2453" customFormat="false" ht="15" hidden="false" customHeight="false" outlineLevel="0" collapsed="false">
      <c r="A2453" s="102"/>
      <c r="B2453" s="104"/>
      <c r="C2453" s="104"/>
      <c r="F2453" s="103" t="str">
        <f aca="false">IF(OR($C2453="",$D2453=0),"",$E2453/$D2453)</f>
        <v/>
      </c>
      <c r="H2453" s="0" t="str">
        <f aca="false">IF($C2453="","",IF(COUNTIF('مواد المخزون'!$A$2:$A$86,$C2453)&gt;0,"نعم","لا (خارج الجرد)"))</f>
        <v/>
      </c>
    </row>
    <row r="2454" customFormat="false" ht="15" hidden="false" customHeight="false" outlineLevel="0" collapsed="false">
      <c r="A2454" s="102"/>
      <c r="B2454" s="104"/>
      <c r="C2454" s="104"/>
      <c r="F2454" s="103" t="str">
        <f aca="false">IF(OR($C2454="",$D2454=0),"",$E2454/$D2454)</f>
        <v/>
      </c>
      <c r="H2454" s="0" t="str">
        <f aca="false">IF($C2454="","",IF(COUNTIF('مواد المخزون'!$A$2:$A$86,$C2454)&gt;0,"نعم","لا (خارج الجرد)"))</f>
        <v/>
      </c>
    </row>
    <row r="2455" customFormat="false" ht="15" hidden="false" customHeight="false" outlineLevel="0" collapsed="false">
      <c r="A2455" s="102"/>
      <c r="B2455" s="104"/>
      <c r="C2455" s="104"/>
      <c r="F2455" s="103" t="str">
        <f aca="false">IF(OR($C2455="",$D2455=0),"",$E2455/$D2455)</f>
        <v/>
      </c>
      <c r="H2455" s="0" t="str">
        <f aca="false">IF($C2455="","",IF(COUNTIF('مواد المخزون'!$A$2:$A$86,$C2455)&gt;0,"نعم","لا (خارج الجرد)"))</f>
        <v/>
      </c>
    </row>
    <row r="2456" customFormat="false" ht="15" hidden="false" customHeight="false" outlineLevel="0" collapsed="false">
      <c r="A2456" s="102"/>
      <c r="B2456" s="104"/>
      <c r="C2456" s="104"/>
      <c r="F2456" s="103" t="str">
        <f aca="false">IF(OR($C2456="",$D2456=0),"",$E2456/$D2456)</f>
        <v/>
      </c>
      <c r="H2456" s="0" t="str">
        <f aca="false">IF($C2456="","",IF(COUNTIF('مواد المخزون'!$A$2:$A$86,$C2456)&gt;0,"نعم","لا (خارج الجرد)"))</f>
        <v/>
      </c>
    </row>
    <row r="2457" customFormat="false" ht="15" hidden="false" customHeight="false" outlineLevel="0" collapsed="false">
      <c r="A2457" s="102"/>
      <c r="B2457" s="104"/>
      <c r="C2457" s="104"/>
      <c r="F2457" s="103" t="str">
        <f aca="false">IF(OR($C2457="",$D2457=0),"",$E2457/$D2457)</f>
        <v/>
      </c>
      <c r="H2457" s="0" t="str">
        <f aca="false">IF($C2457="","",IF(COUNTIF('مواد المخزون'!$A$2:$A$86,$C2457)&gt;0,"نعم","لا (خارج الجرد)"))</f>
        <v/>
      </c>
    </row>
    <row r="2458" customFormat="false" ht="15" hidden="false" customHeight="false" outlineLevel="0" collapsed="false">
      <c r="A2458" s="102"/>
      <c r="B2458" s="104"/>
      <c r="C2458" s="104"/>
      <c r="F2458" s="103" t="str">
        <f aca="false">IF(OR($C2458="",$D2458=0),"",$E2458/$D2458)</f>
        <v/>
      </c>
      <c r="H2458" s="0" t="str">
        <f aca="false">IF($C2458="","",IF(COUNTIF('مواد المخزون'!$A$2:$A$86,$C2458)&gt;0,"نعم","لا (خارج الجرد)"))</f>
        <v/>
      </c>
    </row>
    <row r="2459" customFormat="false" ht="15" hidden="false" customHeight="false" outlineLevel="0" collapsed="false">
      <c r="A2459" s="102"/>
      <c r="B2459" s="104"/>
      <c r="C2459" s="104"/>
      <c r="F2459" s="103" t="str">
        <f aca="false">IF(OR($C2459="",$D2459=0),"",$E2459/$D2459)</f>
        <v/>
      </c>
      <c r="H2459" s="0" t="str">
        <f aca="false">IF($C2459="","",IF(COUNTIF('مواد المخزون'!$A$2:$A$86,$C2459)&gt;0,"نعم","لا (خارج الجرد)"))</f>
        <v/>
      </c>
    </row>
    <row r="2460" customFormat="false" ht="15" hidden="false" customHeight="false" outlineLevel="0" collapsed="false">
      <c r="A2460" s="102"/>
      <c r="B2460" s="104"/>
      <c r="C2460" s="104"/>
      <c r="F2460" s="103" t="str">
        <f aca="false">IF(OR($C2460="",$D2460=0),"",$E2460/$D2460)</f>
        <v/>
      </c>
      <c r="H2460" s="0" t="str">
        <f aca="false">IF($C2460="","",IF(COUNTIF('مواد المخزون'!$A$2:$A$86,$C2460)&gt;0,"نعم","لا (خارج الجرد)"))</f>
        <v/>
      </c>
    </row>
    <row r="2461" customFormat="false" ht="15" hidden="false" customHeight="false" outlineLevel="0" collapsed="false">
      <c r="A2461" s="102"/>
      <c r="B2461" s="104"/>
      <c r="C2461" s="104"/>
      <c r="F2461" s="103" t="str">
        <f aca="false">IF(OR($C2461="",$D2461=0),"",$E2461/$D2461)</f>
        <v/>
      </c>
      <c r="H2461" s="0" t="str">
        <f aca="false">IF($C2461="","",IF(COUNTIF('مواد المخزون'!$A$2:$A$86,$C2461)&gt;0,"نعم","لا (خارج الجرد)"))</f>
        <v/>
      </c>
    </row>
    <row r="2462" customFormat="false" ht="15" hidden="false" customHeight="false" outlineLevel="0" collapsed="false">
      <c r="A2462" s="102"/>
      <c r="B2462" s="104"/>
      <c r="C2462" s="104"/>
      <c r="F2462" s="103" t="str">
        <f aca="false">IF(OR($C2462="",$D2462=0),"",$E2462/$D2462)</f>
        <v/>
      </c>
      <c r="H2462" s="0" t="str">
        <f aca="false">IF($C2462="","",IF(COUNTIF('مواد المخزون'!$A$2:$A$86,$C2462)&gt;0,"نعم","لا (خارج الجرد)"))</f>
        <v/>
      </c>
    </row>
    <row r="2463" customFormat="false" ht="15" hidden="false" customHeight="false" outlineLevel="0" collapsed="false">
      <c r="A2463" s="102"/>
      <c r="B2463" s="104"/>
      <c r="C2463" s="104"/>
      <c r="F2463" s="103" t="str">
        <f aca="false">IF(OR($C2463="",$D2463=0),"",$E2463/$D2463)</f>
        <v/>
      </c>
      <c r="H2463" s="0" t="str">
        <f aca="false">IF($C2463="","",IF(COUNTIF('مواد المخزون'!$A$2:$A$86,$C2463)&gt;0,"نعم","لا (خارج الجرد)"))</f>
        <v/>
      </c>
    </row>
    <row r="2464" customFormat="false" ht="15" hidden="false" customHeight="false" outlineLevel="0" collapsed="false">
      <c r="A2464" s="102"/>
      <c r="B2464" s="104"/>
      <c r="C2464" s="104"/>
      <c r="F2464" s="103" t="str">
        <f aca="false">IF(OR($C2464="",$D2464=0),"",$E2464/$D2464)</f>
        <v/>
      </c>
      <c r="H2464" s="0" t="str">
        <f aca="false">IF($C2464="","",IF(COUNTIF('مواد المخزون'!$A$2:$A$86,$C2464)&gt;0,"نعم","لا (خارج الجرد)"))</f>
        <v/>
      </c>
    </row>
    <row r="2465" customFormat="false" ht="15" hidden="false" customHeight="false" outlineLevel="0" collapsed="false">
      <c r="A2465" s="102"/>
      <c r="B2465" s="104"/>
      <c r="C2465" s="104"/>
      <c r="F2465" s="103" t="str">
        <f aca="false">IF(OR($C2465="",$D2465=0),"",$E2465/$D2465)</f>
        <v/>
      </c>
      <c r="H2465" s="0" t="str">
        <f aca="false">IF($C2465="","",IF(COUNTIF('مواد المخزون'!$A$2:$A$86,$C2465)&gt;0,"نعم","لا (خارج الجرد)"))</f>
        <v/>
      </c>
    </row>
    <row r="2466" customFormat="false" ht="15" hidden="false" customHeight="false" outlineLevel="0" collapsed="false">
      <c r="A2466" s="102"/>
      <c r="B2466" s="104"/>
      <c r="C2466" s="104"/>
      <c r="F2466" s="103" t="str">
        <f aca="false">IF(OR($C2466="",$D2466=0),"",$E2466/$D2466)</f>
        <v/>
      </c>
      <c r="H2466" s="0" t="str">
        <f aca="false">IF($C2466="","",IF(COUNTIF('مواد المخزون'!$A$2:$A$86,$C2466)&gt;0,"نعم","لا (خارج الجرد)"))</f>
        <v/>
      </c>
    </row>
    <row r="2467" customFormat="false" ht="15" hidden="false" customHeight="false" outlineLevel="0" collapsed="false">
      <c r="A2467" s="102"/>
      <c r="B2467" s="104"/>
      <c r="C2467" s="104"/>
      <c r="F2467" s="103" t="str">
        <f aca="false">IF(OR($C2467="",$D2467=0),"",$E2467/$D2467)</f>
        <v/>
      </c>
      <c r="H2467" s="0" t="str">
        <f aca="false">IF($C2467="","",IF(COUNTIF('مواد المخزون'!$A$2:$A$86,$C2467)&gt;0,"نعم","لا (خارج الجرد)"))</f>
        <v/>
      </c>
    </row>
    <row r="2468" customFormat="false" ht="15" hidden="false" customHeight="false" outlineLevel="0" collapsed="false">
      <c r="A2468" s="102"/>
      <c r="B2468" s="104"/>
      <c r="C2468" s="104"/>
      <c r="F2468" s="103" t="str">
        <f aca="false">IF(OR($C2468="",$D2468=0),"",$E2468/$D2468)</f>
        <v/>
      </c>
      <c r="H2468" s="0" t="str">
        <f aca="false">IF($C2468="","",IF(COUNTIF('مواد المخزون'!$A$2:$A$86,$C2468)&gt;0,"نعم","لا (خارج الجرد)"))</f>
        <v/>
      </c>
    </row>
    <row r="2469" customFormat="false" ht="15" hidden="false" customHeight="false" outlineLevel="0" collapsed="false">
      <c r="A2469" s="102"/>
      <c r="B2469" s="104"/>
      <c r="C2469" s="104"/>
      <c r="F2469" s="103" t="str">
        <f aca="false">IF(OR($C2469="",$D2469=0),"",$E2469/$D2469)</f>
        <v/>
      </c>
      <c r="H2469" s="0" t="str">
        <f aca="false">IF($C2469="","",IF(COUNTIF('مواد المخزون'!$A$2:$A$86,$C2469)&gt;0,"نعم","لا (خارج الجرد)"))</f>
        <v/>
      </c>
    </row>
    <row r="2470" customFormat="false" ht="15" hidden="false" customHeight="false" outlineLevel="0" collapsed="false">
      <c r="A2470" s="102"/>
      <c r="B2470" s="104"/>
      <c r="C2470" s="104"/>
      <c r="F2470" s="103" t="str">
        <f aca="false">IF(OR($C2470="",$D2470=0),"",$E2470/$D2470)</f>
        <v/>
      </c>
      <c r="H2470" s="0" t="str">
        <f aca="false">IF($C2470="","",IF(COUNTIF('مواد المخزون'!$A$2:$A$86,$C2470)&gt;0,"نعم","لا (خارج الجرد)"))</f>
        <v/>
      </c>
    </row>
    <row r="2471" customFormat="false" ht="15" hidden="false" customHeight="false" outlineLevel="0" collapsed="false">
      <c r="A2471" s="102"/>
      <c r="B2471" s="104"/>
      <c r="C2471" s="104"/>
      <c r="F2471" s="103" t="str">
        <f aca="false">IF(OR($C2471="",$D2471=0),"",$E2471/$D2471)</f>
        <v/>
      </c>
      <c r="H2471" s="0" t="str">
        <f aca="false">IF($C2471="","",IF(COUNTIF('مواد المخزون'!$A$2:$A$86,$C2471)&gt;0,"نعم","لا (خارج الجرد)"))</f>
        <v/>
      </c>
    </row>
    <row r="2472" customFormat="false" ht="15" hidden="false" customHeight="false" outlineLevel="0" collapsed="false">
      <c r="A2472" s="102"/>
      <c r="B2472" s="104"/>
      <c r="C2472" s="104"/>
      <c r="F2472" s="103" t="str">
        <f aca="false">IF(OR($C2472="",$D2472=0),"",$E2472/$D2472)</f>
        <v/>
      </c>
      <c r="H2472" s="0" t="str">
        <f aca="false">IF($C2472="","",IF(COUNTIF('مواد المخزون'!$A$2:$A$86,$C2472)&gt;0,"نعم","لا (خارج الجرد)"))</f>
        <v/>
      </c>
    </row>
    <row r="2473" customFormat="false" ht="15" hidden="false" customHeight="false" outlineLevel="0" collapsed="false">
      <c r="A2473" s="102"/>
      <c r="B2473" s="104"/>
      <c r="C2473" s="104"/>
      <c r="F2473" s="103" t="str">
        <f aca="false">IF(OR($C2473="",$D2473=0),"",$E2473/$D2473)</f>
        <v/>
      </c>
      <c r="H2473" s="0" t="str">
        <f aca="false">IF($C2473="","",IF(COUNTIF('مواد المخزون'!$A$2:$A$86,$C2473)&gt;0,"نعم","لا (خارج الجرد)"))</f>
        <v/>
      </c>
    </row>
    <row r="2474" customFormat="false" ht="15" hidden="false" customHeight="false" outlineLevel="0" collapsed="false">
      <c r="A2474" s="102"/>
      <c r="B2474" s="104"/>
      <c r="C2474" s="104"/>
      <c r="F2474" s="103" t="str">
        <f aca="false">IF(OR($C2474="",$D2474=0),"",$E2474/$D2474)</f>
        <v/>
      </c>
      <c r="H2474" s="0" t="str">
        <f aca="false">IF($C2474="","",IF(COUNTIF('مواد المخزون'!$A$2:$A$86,$C2474)&gt;0,"نعم","لا (خارج الجرد)"))</f>
        <v/>
      </c>
    </row>
    <row r="2475" customFormat="false" ht="15" hidden="false" customHeight="false" outlineLevel="0" collapsed="false">
      <c r="A2475" s="102"/>
      <c r="B2475" s="104"/>
      <c r="C2475" s="104"/>
      <c r="F2475" s="103" t="str">
        <f aca="false">IF(OR($C2475="",$D2475=0),"",$E2475/$D2475)</f>
        <v/>
      </c>
      <c r="H2475" s="0" t="str">
        <f aca="false">IF($C2475="","",IF(COUNTIF('مواد المخزون'!$A$2:$A$86,$C2475)&gt;0,"نعم","لا (خارج الجرد)"))</f>
        <v/>
      </c>
    </row>
    <row r="2476" customFormat="false" ht="15" hidden="false" customHeight="false" outlineLevel="0" collapsed="false">
      <c r="A2476" s="102"/>
      <c r="B2476" s="104"/>
      <c r="C2476" s="104"/>
      <c r="F2476" s="103" t="str">
        <f aca="false">IF(OR($C2476="",$D2476=0),"",$E2476/$D2476)</f>
        <v/>
      </c>
      <c r="H2476" s="0" t="str">
        <f aca="false">IF($C2476="","",IF(COUNTIF('مواد المخزون'!$A$2:$A$86,$C2476)&gt;0,"نعم","لا (خارج الجرد)"))</f>
        <v/>
      </c>
    </row>
    <row r="2477" customFormat="false" ht="15" hidden="false" customHeight="false" outlineLevel="0" collapsed="false">
      <c r="A2477" s="102"/>
      <c r="B2477" s="104"/>
      <c r="C2477" s="104"/>
      <c r="F2477" s="103" t="str">
        <f aca="false">IF(OR($C2477="",$D2477=0),"",$E2477/$D2477)</f>
        <v/>
      </c>
      <c r="H2477" s="0" t="str">
        <f aca="false">IF($C2477="","",IF(COUNTIF('مواد المخزون'!$A$2:$A$86,$C2477)&gt;0,"نعم","لا (خارج الجرد)"))</f>
        <v/>
      </c>
    </row>
    <row r="2478" customFormat="false" ht="15" hidden="false" customHeight="false" outlineLevel="0" collapsed="false">
      <c r="A2478" s="102"/>
      <c r="B2478" s="104"/>
      <c r="C2478" s="104"/>
      <c r="F2478" s="103" t="str">
        <f aca="false">IF(OR($C2478="",$D2478=0),"",$E2478/$D2478)</f>
        <v/>
      </c>
      <c r="H2478" s="0" t="str">
        <f aca="false">IF($C2478="","",IF(COUNTIF('مواد المخزون'!$A$2:$A$86,$C2478)&gt;0,"نعم","لا (خارج الجرد)"))</f>
        <v/>
      </c>
    </row>
    <row r="2479" customFormat="false" ht="15" hidden="false" customHeight="false" outlineLevel="0" collapsed="false">
      <c r="A2479" s="102"/>
      <c r="B2479" s="104"/>
      <c r="C2479" s="104"/>
      <c r="F2479" s="103" t="str">
        <f aca="false">IF(OR($C2479="",$D2479=0),"",$E2479/$D2479)</f>
        <v/>
      </c>
      <c r="H2479" s="0" t="str">
        <f aca="false">IF($C2479="","",IF(COUNTIF('مواد المخزون'!$A$2:$A$86,$C2479)&gt;0,"نعم","لا (خارج الجرد)"))</f>
        <v/>
      </c>
    </row>
    <row r="2480" customFormat="false" ht="15" hidden="false" customHeight="false" outlineLevel="0" collapsed="false">
      <c r="A2480" s="102"/>
      <c r="B2480" s="104"/>
      <c r="C2480" s="104"/>
      <c r="F2480" s="103" t="str">
        <f aca="false">IF(OR($C2480="",$D2480=0),"",$E2480/$D2480)</f>
        <v/>
      </c>
      <c r="H2480" s="0" t="str">
        <f aca="false">IF($C2480="","",IF(COUNTIF('مواد المخزون'!$A$2:$A$86,$C2480)&gt;0,"نعم","لا (خارج الجرد)"))</f>
        <v/>
      </c>
    </row>
    <row r="2481" customFormat="false" ht="15" hidden="false" customHeight="false" outlineLevel="0" collapsed="false">
      <c r="A2481" s="102"/>
      <c r="B2481" s="104"/>
      <c r="C2481" s="104"/>
      <c r="F2481" s="103" t="str">
        <f aca="false">IF(OR($C2481="",$D2481=0),"",$E2481/$D2481)</f>
        <v/>
      </c>
      <c r="H2481" s="0" t="str">
        <f aca="false">IF($C2481="","",IF(COUNTIF('مواد المخزون'!$A$2:$A$86,$C2481)&gt;0,"نعم","لا (خارج الجرد)"))</f>
        <v/>
      </c>
    </row>
    <row r="2482" customFormat="false" ht="15" hidden="false" customHeight="false" outlineLevel="0" collapsed="false">
      <c r="A2482" s="102"/>
      <c r="B2482" s="104"/>
      <c r="C2482" s="104"/>
      <c r="F2482" s="103" t="str">
        <f aca="false">IF(OR($C2482="",$D2482=0),"",$E2482/$D2482)</f>
        <v/>
      </c>
      <c r="H2482" s="0" t="str">
        <f aca="false">IF($C2482="","",IF(COUNTIF('مواد المخزون'!$A$2:$A$86,$C2482)&gt;0,"نعم","لا (خارج الجرد)"))</f>
        <v/>
      </c>
    </row>
    <row r="2483" customFormat="false" ht="15" hidden="false" customHeight="false" outlineLevel="0" collapsed="false">
      <c r="A2483" s="102"/>
      <c r="B2483" s="104"/>
      <c r="C2483" s="104"/>
      <c r="F2483" s="103" t="str">
        <f aca="false">IF(OR($C2483="",$D2483=0),"",$E2483/$D2483)</f>
        <v/>
      </c>
      <c r="H2483" s="0" t="str">
        <f aca="false">IF($C2483="","",IF(COUNTIF('مواد المخزون'!$A$2:$A$86,$C2483)&gt;0,"نعم","لا (خارج الجرد)"))</f>
        <v/>
      </c>
    </row>
    <row r="2484" customFormat="false" ht="15" hidden="false" customHeight="false" outlineLevel="0" collapsed="false">
      <c r="A2484" s="102"/>
      <c r="B2484" s="104"/>
      <c r="C2484" s="104"/>
      <c r="F2484" s="103" t="str">
        <f aca="false">IF(OR($C2484="",$D2484=0),"",$E2484/$D2484)</f>
        <v/>
      </c>
      <c r="H2484" s="0" t="str">
        <f aca="false">IF($C2484="","",IF(COUNTIF('مواد المخزون'!$A$2:$A$86,$C2484)&gt;0,"نعم","لا (خارج الجرد)"))</f>
        <v/>
      </c>
    </row>
    <row r="2485" customFormat="false" ht="15" hidden="false" customHeight="false" outlineLevel="0" collapsed="false">
      <c r="A2485" s="102"/>
      <c r="B2485" s="104"/>
      <c r="C2485" s="104"/>
      <c r="F2485" s="103" t="str">
        <f aca="false">IF(OR($C2485="",$D2485=0),"",$E2485/$D2485)</f>
        <v/>
      </c>
      <c r="H2485" s="0" t="str">
        <f aca="false">IF($C2485="","",IF(COUNTIF('مواد المخزون'!$A$2:$A$86,$C2485)&gt;0,"نعم","لا (خارج الجرد)"))</f>
        <v/>
      </c>
    </row>
    <row r="2486" customFormat="false" ht="15" hidden="false" customHeight="false" outlineLevel="0" collapsed="false">
      <c r="A2486" s="102"/>
      <c r="B2486" s="104"/>
      <c r="C2486" s="104"/>
      <c r="F2486" s="103" t="str">
        <f aca="false">IF(OR($C2486="",$D2486=0),"",$E2486/$D2486)</f>
        <v/>
      </c>
      <c r="H2486" s="0" t="str">
        <f aca="false">IF($C2486="","",IF(COUNTIF('مواد المخزون'!$A$2:$A$86,$C2486)&gt;0,"نعم","لا (خارج الجرد)"))</f>
        <v/>
      </c>
    </row>
    <row r="2487" customFormat="false" ht="15" hidden="false" customHeight="false" outlineLevel="0" collapsed="false">
      <c r="A2487" s="102"/>
      <c r="B2487" s="104"/>
      <c r="C2487" s="104"/>
      <c r="F2487" s="103" t="str">
        <f aca="false">IF(OR($C2487="",$D2487=0),"",$E2487/$D2487)</f>
        <v/>
      </c>
      <c r="H2487" s="0" t="str">
        <f aca="false">IF($C2487="","",IF(COUNTIF('مواد المخزون'!$A$2:$A$86,$C2487)&gt;0,"نعم","لا (خارج الجرد)"))</f>
        <v/>
      </c>
    </row>
    <row r="2488" customFormat="false" ht="15" hidden="false" customHeight="false" outlineLevel="0" collapsed="false">
      <c r="A2488" s="102"/>
      <c r="B2488" s="104"/>
      <c r="C2488" s="104"/>
      <c r="F2488" s="103" t="str">
        <f aca="false">IF(OR($C2488="",$D2488=0),"",$E2488/$D2488)</f>
        <v/>
      </c>
      <c r="H2488" s="0" t="str">
        <f aca="false">IF($C2488="","",IF(COUNTIF('مواد المخزون'!$A$2:$A$86,$C2488)&gt;0,"نعم","لا (خارج الجرد)"))</f>
        <v/>
      </c>
    </row>
    <row r="2489" customFormat="false" ht="15" hidden="false" customHeight="false" outlineLevel="0" collapsed="false">
      <c r="A2489" s="102"/>
      <c r="B2489" s="104"/>
      <c r="C2489" s="104"/>
      <c r="F2489" s="103" t="str">
        <f aca="false">IF(OR($C2489="",$D2489=0),"",$E2489/$D2489)</f>
        <v/>
      </c>
      <c r="H2489" s="0" t="str">
        <f aca="false">IF($C2489="","",IF(COUNTIF('مواد المخزون'!$A$2:$A$86,$C2489)&gt;0,"نعم","لا (خارج الجرد)"))</f>
        <v/>
      </c>
    </row>
    <row r="2490" customFormat="false" ht="15" hidden="false" customHeight="false" outlineLevel="0" collapsed="false">
      <c r="A2490" s="102"/>
      <c r="B2490" s="104"/>
      <c r="C2490" s="104"/>
      <c r="F2490" s="103" t="str">
        <f aca="false">IF(OR($C2490="",$D2490=0),"",$E2490/$D2490)</f>
        <v/>
      </c>
      <c r="H2490" s="0" t="str">
        <f aca="false">IF($C2490="","",IF(COUNTIF('مواد المخزون'!$A$2:$A$86,$C2490)&gt;0,"نعم","لا (خارج الجرد)"))</f>
        <v/>
      </c>
    </row>
    <row r="2491" customFormat="false" ht="15" hidden="false" customHeight="false" outlineLevel="0" collapsed="false">
      <c r="A2491" s="102"/>
      <c r="B2491" s="104"/>
      <c r="C2491" s="104"/>
      <c r="F2491" s="103" t="str">
        <f aca="false">IF(OR($C2491="",$D2491=0),"",$E2491/$D2491)</f>
        <v/>
      </c>
      <c r="H2491" s="0" t="str">
        <f aca="false">IF($C2491="","",IF(COUNTIF('مواد المخزون'!$A$2:$A$86,$C2491)&gt;0,"نعم","لا (خارج الجرد)"))</f>
        <v/>
      </c>
    </row>
    <row r="2492" customFormat="false" ht="15" hidden="false" customHeight="false" outlineLevel="0" collapsed="false">
      <c r="A2492" s="102"/>
      <c r="B2492" s="104"/>
      <c r="C2492" s="104"/>
      <c r="F2492" s="103" t="str">
        <f aca="false">IF(OR($C2492="",$D2492=0),"",$E2492/$D2492)</f>
        <v/>
      </c>
      <c r="H2492" s="0" t="str">
        <f aca="false">IF($C2492="","",IF(COUNTIF('مواد المخزون'!$A$2:$A$86,$C2492)&gt;0,"نعم","لا (خارج الجرد)"))</f>
        <v/>
      </c>
    </row>
    <row r="2493" customFormat="false" ht="15" hidden="false" customHeight="false" outlineLevel="0" collapsed="false">
      <c r="A2493" s="102"/>
      <c r="B2493" s="104"/>
      <c r="C2493" s="104"/>
      <c r="F2493" s="103" t="str">
        <f aca="false">IF(OR($C2493="",$D2493=0),"",$E2493/$D2493)</f>
        <v/>
      </c>
      <c r="H2493" s="0" t="str">
        <f aca="false">IF($C2493="","",IF(COUNTIF('مواد المخزون'!$A$2:$A$86,$C2493)&gt;0,"نعم","لا (خارج الجرد)"))</f>
        <v/>
      </c>
    </row>
    <row r="2494" customFormat="false" ht="15" hidden="false" customHeight="false" outlineLevel="0" collapsed="false">
      <c r="A2494" s="102"/>
      <c r="B2494" s="104"/>
      <c r="C2494" s="104"/>
      <c r="F2494" s="103" t="str">
        <f aca="false">IF(OR($C2494="",$D2494=0),"",$E2494/$D2494)</f>
        <v/>
      </c>
      <c r="H2494" s="0" t="str">
        <f aca="false">IF($C2494="","",IF(COUNTIF('مواد المخزون'!$A$2:$A$86,$C2494)&gt;0,"نعم","لا (خارج الجرد)"))</f>
        <v/>
      </c>
    </row>
    <row r="2495" customFormat="false" ht="15" hidden="false" customHeight="false" outlineLevel="0" collapsed="false">
      <c r="A2495" s="102"/>
      <c r="B2495" s="104"/>
      <c r="C2495" s="104"/>
      <c r="F2495" s="103" t="str">
        <f aca="false">IF(OR($C2495="",$D2495=0),"",$E2495/$D2495)</f>
        <v/>
      </c>
      <c r="H2495" s="0" t="str">
        <f aca="false">IF($C2495="","",IF(COUNTIF('مواد المخزون'!$A$2:$A$86,$C2495)&gt;0,"نعم","لا (خارج الجرد)"))</f>
        <v/>
      </c>
    </row>
    <row r="2496" customFormat="false" ht="15" hidden="false" customHeight="false" outlineLevel="0" collapsed="false">
      <c r="A2496" s="102"/>
      <c r="B2496" s="104"/>
      <c r="C2496" s="104"/>
      <c r="F2496" s="103" t="str">
        <f aca="false">IF(OR($C2496="",$D2496=0),"",$E2496/$D2496)</f>
        <v/>
      </c>
      <c r="H2496" s="0" t="str">
        <f aca="false">IF($C2496="","",IF(COUNTIF('مواد المخزون'!$A$2:$A$86,$C2496)&gt;0,"نعم","لا (خارج الجرد)"))</f>
        <v/>
      </c>
    </row>
    <row r="2497" customFormat="false" ht="15" hidden="false" customHeight="false" outlineLevel="0" collapsed="false">
      <c r="A2497" s="102"/>
      <c r="B2497" s="104"/>
      <c r="C2497" s="104"/>
      <c r="F2497" s="103" t="str">
        <f aca="false">IF(OR($C2497="",$D2497=0),"",$E2497/$D2497)</f>
        <v/>
      </c>
      <c r="H2497" s="0" t="str">
        <f aca="false">IF($C2497="","",IF(COUNTIF('مواد المخزون'!$A$2:$A$86,$C2497)&gt;0,"نعم","لا (خارج الجرد)"))</f>
        <v/>
      </c>
    </row>
    <row r="2498" customFormat="false" ht="15" hidden="false" customHeight="false" outlineLevel="0" collapsed="false">
      <c r="A2498" s="102"/>
      <c r="B2498" s="104"/>
      <c r="C2498" s="104"/>
      <c r="F2498" s="103" t="str">
        <f aca="false">IF(OR($C2498="",$D2498=0),"",$E2498/$D2498)</f>
        <v/>
      </c>
      <c r="H2498" s="0" t="str">
        <f aca="false">IF($C2498="","",IF(COUNTIF('مواد المخزون'!$A$2:$A$86,$C2498)&gt;0,"نعم","لا (خارج الجرد)"))</f>
        <v/>
      </c>
    </row>
    <row r="2499" customFormat="false" ht="15" hidden="false" customHeight="false" outlineLevel="0" collapsed="false">
      <c r="A2499" s="102"/>
      <c r="B2499" s="104"/>
      <c r="C2499" s="104"/>
      <c r="F2499" s="103" t="str">
        <f aca="false">IF(OR($C2499="",$D2499=0),"",$E2499/$D2499)</f>
        <v/>
      </c>
      <c r="H2499" s="0" t="str">
        <f aca="false">IF($C2499="","",IF(COUNTIF('مواد المخزون'!$A$2:$A$86,$C2499)&gt;0,"نعم","لا (خارج الجرد)"))</f>
        <v/>
      </c>
    </row>
    <row r="2500" customFormat="false" ht="15" hidden="false" customHeight="false" outlineLevel="0" collapsed="false">
      <c r="A2500" s="102"/>
      <c r="B2500" s="104"/>
      <c r="C2500" s="104"/>
      <c r="F2500" s="103" t="str">
        <f aca="false">IF(OR($C2500="",$D2500=0),"",$E2500/$D2500)</f>
        <v/>
      </c>
      <c r="H2500" s="0" t="str">
        <f aca="false">IF($C2500="","",IF(COUNTIF('مواد المخزون'!$A$2:$A$86,$C2500)&gt;0,"نعم","لا (خارج الجرد)"))</f>
        <v/>
      </c>
    </row>
    <row r="2501" customFormat="false" ht="15" hidden="false" customHeight="false" outlineLevel="0" collapsed="false">
      <c r="A2501" s="102"/>
      <c r="B2501" s="104"/>
      <c r="C2501" s="104"/>
      <c r="F2501" s="103" t="str">
        <f aca="false">IF(OR($C2501="",$D2501=0),"",$E2501/$D2501)</f>
        <v/>
      </c>
      <c r="H2501" s="0" t="str">
        <f aca="false">IF($C2501="","",IF(COUNTIF('مواد المخزون'!$A$2:$A$86,$C2501)&gt;0,"نعم","لا (خارج الجرد)"))</f>
        <v/>
      </c>
    </row>
    <row r="2502" customFormat="false" ht="15" hidden="false" customHeight="false" outlineLevel="0" collapsed="false">
      <c r="A2502" s="102"/>
      <c r="B2502" s="104"/>
      <c r="C2502" s="104"/>
      <c r="F2502" s="103" t="str">
        <f aca="false">IF(OR($C2502="",$D2502=0),"",$E2502/$D2502)</f>
        <v/>
      </c>
      <c r="H2502" s="0" t="str">
        <f aca="false">IF($C2502="","",IF(COUNTIF('مواد المخزون'!$A$2:$A$86,$C2502)&gt;0,"نعم","لا (خارج الجرد)"))</f>
        <v/>
      </c>
    </row>
    <row r="2503" customFormat="false" ht="15" hidden="false" customHeight="false" outlineLevel="0" collapsed="false">
      <c r="A2503" s="102"/>
      <c r="B2503" s="104"/>
      <c r="C2503" s="104"/>
      <c r="F2503" s="103" t="str">
        <f aca="false">IF(OR($C2503="",$D2503=0),"",$E2503/$D2503)</f>
        <v/>
      </c>
      <c r="H2503" s="0" t="str">
        <f aca="false">IF($C2503="","",IF(COUNTIF('مواد المخزون'!$A$2:$A$86,$C2503)&gt;0,"نعم","لا (خارج الجرد)"))</f>
        <v/>
      </c>
    </row>
    <row r="2504" customFormat="false" ht="15" hidden="false" customHeight="false" outlineLevel="0" collapsed="false">
      <c r="A2504" s="102"/>
      <c r="B2504" s="104"/>
      <c r="C2504" s="104"/>
      <c r="F2504" s="103" t="str">
        <f aca="false">IF(OR($C2504="",$D2504=0),"",$E2504/$D2504)</f>
        <v/>
      </c>
      <c r="H2504" s="0" t="str">
        <f aca="false">IF($C2504="","",IF(COUNTIF('مواد المخزون'!$A$2:$A$86,$C2504)&gt;0,"نعم","لا (خارج الجرد)"))</f>
        <v/>
      </c>
    </row>
    <row r="2505" customFormat="false" ht="15" hidden="false" customHeight="false" outlineLevel="0" collapsed="false">
      <c r="A2505" s="102"/>
      <c r="B2505" s="104"/>
      <c r="C2505" s="104"/>
      <c r="F2505" s="103" t="str">
        <f aca="false">IF(OR($C2505="",$D2505=0),"",$E2505/$D2505)</f>
        <v/>
      </c>
      <c r="H2505" s="0" t="str">
        <f aca="false">IF($C2505="","",IF(COUNTIF('مواد المخزون'!$A$2:$A$86,$C2505)&gt;0,"نعم","لا (خارج الجرد)"))</f>
        <v/>
      </c>
    </row>
    <row r="2506" customFormat="false" ht="15" hidden="false" customHeight="false" outlineLevel="0" collapsed="false">
      <c r="A2506" s="102"/>
      <c r="B2506" s="104"/>
      <c r="C2506" s="104"/>
      <c r="F2506" s="103" t="str">
        <f aca="false">IF(OR($C2506="",$D2506=0),"",$E2506/$D2506)</f>
        <v/>
      </c>
      <c r="H2506" s="0" t="str">
        <f aca="false">IF($C2506="","",IF(COUNTIF('مواد المخزون'!$A$2:$A$86,$C2506)&gt;0,"نعم","لا (خارج الجرد)"))</f>
        <v/>
      </c>
    </row>
    <row r="2507" customFormat="false" ht="15" hidden="false" customHeight="false" outlineLevel="0" collapsed="false">
      <c r="A2507" s="102"/>
      <c r="B2507" s="104"/>
      <c r="C2507" s="104"/>
      <c r="F2507" s="103" t="str">
        <f aca="false">IF(OR($C2507="",$D2507=0),"",$E2507/$D2507)</f>
        <v/>
      </c>
      <c r="H2507" s="0" t="str">
        <f aca="false">IF($C2507="","",IF(COUNTIF('مواد المخزون'!$A$2:$A$86,$C2507)&gt;0,"نعم","لا (خارج الجرد)"))</f>
        <v/>
      </c>
    </row>
    <row r="2508" customFormat="false" ht="15" hidden="false" customHeight="false" outlineLevel="0" collapsed="false">
      <c r="A2508" s="102"/>
      <c r="B2508" s="104"/>
      <c r="C2508" s="104"/>
      <c r="F2508" s="103" t="str">
        <f aca="false">IF(OR($C2508="",$D2508=0),"",$E2508/$D2508)</f>
        <v/>
      </c>
      <c r="H2508" s="0" t="str">
        <f aca="false">IF($C2508="","",IF(COUNTIF('مواد المخزون'!$A$2:$A$86,$C2508)&gt;0,"نعم","لا (خارج الجرد)"))</f>
        <v/>
      </c>
    </row>
    <row r="2509" customFormat="false" ht="15" hidden="false" customHeight="false" outlineLevel="0" collapsed="false">
      <c r="A2509" s="102"/>
      <c r="B2509" s="104"/>
      <c r="C2509" s="104"/>
      <c r="F2509" s="103" t="str">
        <f aca="false">IF(OR($C2509="",$D2509=0),"",$E2509/$D2509)</f>
        <v/>
      </c>
      <c r="H2509" s="0" t="str">
        <f aca="false">IF($C2509="","",IF(COUNTIF('مواد المخزون'!$A$2:$A$86,$C2509)&gt;0,"نعم","لا (خارج الجرد)"))</f>
        <v/>
      </c>
    </row>
    <row r="2510" customFormat="false" ht="15" hidden="false" customHeight="false" outlineLevel="0" collapsed="false">
      <c r="A2510" s="102"/>
      <c r="B2510" s="104"/>
      <c r="C2510" s="104"/>
      <c r="F2510" s="103" t="str">
        <f aca="false">IF(OR($C2510="",$D2510=0),"",$E2510/$D2510)</f>
        <v/>
      </c>
      <c r="H2510" s="0" t="str">
        <f aca="false">IF($C2510="","",IF(COUNTIF('مواد المخزون'!$A$2:$A$86,$C2510)&gt;0,"نعم","لا (خارج الجرد)"))</f>
        <v/>
      </c>
    </row>
    <row r="2511" customFormat="false" ht="15" hidden="false" customHeight="false" outlineLevel="0" collapsed="false">
      <c r="A2511" s="102"/>
      <c r="B2511" s="104"/>
      <c r="C2511" s="104"/>
      <c r="F2511" s="103" t="str">
        <f aca="false">IF(OR($C2511="",$D2511=0),"",$E2511/$D2511)</f>
        <v/>
      </c>
      <c r="H2511" s="0" t="str">
        <f aca="false">IF($C2511="","",IF(COUNTIF('مواد المخزون'!$A$2:$A$86,$C2511)&gt;0,"نعم","لا (خارج الجرد)"))</f>
        <v/>
      </c>
    </row>
    <row r="2512" customFormat="false" ht="15" hidden="false" customHeight="false" outlineLevel="0" collapsed="false">
      <c r="A2512" s="102"/>
      <c r="B2512" s="104"/>
      <c r="C2512" s="104"/>
      <c r="F2512" s="103" t="str">
        <f aca="false">IF(OR($C2512="",$D2512=0),"",$E2512/$D2512)</f>
        <v/>
      </c>
      <c r="H2512" s="0" t="str">
        <f aca="false">IF($C2512="","",IF(COUNTIF('مواد المخزون'!$A$2:$A$86,$C2512)&gt;0,"نعم","لا (خارج الجرد)"))</f>
        <v/>
      </c>
    </row>
    <row r="2513" customFormat="false" ht="15" hidden="false" customHeight="false" outlineLevel="0" collapsed="false">
      <c r="A2513" s="102"/>
      <c r="B2513" s="104"/>
      <c r="C2513" s="104"/>
      <c r="F2513" s="103" t="str">
        <f aca="false">IF(OR($C2513="",$D2513=0),"",$E2513/$D2513)</f>
        <v/>
      </c>
      <c r="H2513" s="0" t="str">
        <f aca="false">IF($C2513="","",IF(COUNTIF('مواد المخزون'!$A$2:$A$86,$C2513)&gt;0,"نعم","لا (خارج الجرد)"))</f>
        <v/>
      </c>
    </row>
    <row r="2514" customFormat="false" ht="15" hidden="false" customHeight="false" outlineLevel="0" collapsed="false">
      <c r="A2514" s="102"/>
      <c r="B2514" s="104"/>
      <c r="C2514" s="104"/>
      <c r="F2514" s="103" t="str">
        <f aca="false">IF(OR($C2514="",$D2514=0),"",$E2514/$D2514)</f>
        <v/>
      </c>
      <c r="H2514" s="0" t="str">
        <f aca="false">IF($C2514="","",IF(COUNTIF('مواد المخزون'!$A$2:$A$86,$C2514)&gt;0,"نعم","لا (خارج الجرد)"))</f>
        <v/>
      </c>
    </row>
    <row r="2515" customFormat="false" ht="15" hidden="false" customHeight="false" outlineLevel="0" collapsed="false">
      <c r="A2515" s="102"/>
      <c r="B2515" s="104"/>
      <c r="C2515" s="104"/>
      <c r="F2515" s="103" t="str">
        <f aca="false">IF(OR($C2515="",$D2515=0),"",$E2515/$D2515)</f>
        <v/>
      </c>
      <c r="H2515" s="0" t="str">
        <f aca="false">IF($C2515="","",IF(COUNTIF('مواد المخزون'!$A$2:$A$86,$C2515)&gt;0,"نعم","لا (خارج الجرد)"))</f>
        <v/>
      </c>
    </row>
    <row r="2516" customFormat="false" ht="15" hidden="false" customHeight="false" outlineLevel="0" collapsed="false">
      <c r="A2516" s="102"/>
      <c r="B2516" s="104"/>
      <c r="C2516" s="104"/>
      <c r="F2516" s="103" t="str">
        <f aca="false">IF(OR($C2516="",$D2516=0),"",$E2516/$D2516)</f>
        <v/>
      </c>
      <c r="H2516" s="0" t="str">
        <f aca="false">IF($C2516="","",IF(COUNTIF('مواد المخزون'!$A$2:$A$86,$C2516)&gt;0,"نعم","لا (خارج الجرد)"))</f>
        <v/>
      </c>
    </row>
    <row r="2517" customFormat="false" ht="15" hidden="false" customHeight="false" outlineLevel="0" collapsed="false">
      <c r="A2517" s="102"/>
      <c r="B2517" s="104"/>
      <c r="C2517" s="104"/>
      <c r="F2517" s="103" t="str">
        <f aca="false">IF(OR($C2517="",$D2517=0),"",$E2517/$D2517)</f>
        <v/>
      </c>
      <c r="H2517" s="0" t="str">
        <f aca="false">IF($C2517="","",IF(COUNTIF('مواد المخزون'!$A$2:$A$86,$C2517)&gt;0,"نعم","لا (خارج الجرد)"))</f>
        <v/>
      </c>
    </row>
    <row r="2518" customFormat="false" ht="15" hidden="false" customHeight="false" outlineLevel="0" collapsed="false">
      <c r="A2518" s="102"/>
      <c r="B2518" s="104"/>
      <c r="C2518" s="104"/>
      <c r="F2518" s="103" t="str">
        <f aca="false">IF(OR($C2518="",$D2518=0),"",$E2518/$D2518)</f>
        <v/>
      </c>
      <c r="H2518" s="0" t="str">
        <f aca="false">IF($C2518="","",IF(COUNTIF('مواد المخزون'!$A$2:$A$86,$C2518)&gt;0,"نعم","لا (خارج الجرد)"))</f>
        <v/>
      </c>
    </row>
    <row r="2519" customFormat="false" ht="15" hidden="false" customHeight="false" outlineLevel="0" collapsed="false">
      <c r="A2519" s="102"/>
      <c r="B2519" s="104"/>
      <c r="C2519" s="104"/>
      <c r="F2519" s="103" t="str">
        <f aca="false">IF(OR($C2519="",$D2519=0),"",$E2519/$D2519)</f>
        <v/>
      </c>
      <c r="H2519" s="0" t="str">
        <f aca="false">IF($C2519="","",IF(COUNTIF('مواد المخزون'!$A$2:$A$86,$C2519)&gt;0,"نعم","لا (خارج الجرد)"))</f>
        <v/>
      </c>
    </row>
    <row r="2520" customFormat="false" ht="15" hidden="false" customHeight="false" outlineLevel="0" collapsed="false">
      <c r="A2520" s="102"/>
      <c r="B2520" s="104"/>
      <c r="C2520" s="104"/>
      <c r="F2520" s="103" t="str">
        <f aca="false">IF(OR($C2520="",$D2520=0),"",$E2520/$D2520)</f>
        <v/>
      </c>
      <c r="H2520" s="0" t="str">
        <f aca="false">IF($C2520="","",IF(COUNTIF('مواد المخزون'!$A$2:$A$86,$C2520)&gt;0,"نعم","لا (خارج الجرد)"))</f>
        <v/>
      </c>
    </row>
    <row r="2521" customFormat="false" ht="15" hidden="false" customHeight="false" outlineLevel="0" collapsed="false">
      <c r="A2521" s="102"/>
      <c r="B2521" s="104"/>
      <c r="C2521" s="104"/>
      <c r="F2521" s="103" t="str">
        <f aca="false">IF(OR($C2521="",$D2521=0),"",$E2521/$D2521)</f>
        <v/>
      </c>
      <c r="H2521" s="0" t="str">
        <f aca="false">IF($C2521="","",IF(COUNTIF('مواد المخزون'!$A$2:$A$86,$C2521)&gt;0,"نعم","لا (خارج الجرد)"))</f>
        <v/>
      </c>
    </row>
    <row r="2522" customFormat="false" ht="15" hidden="false" customHeight="false" outlineLevel="0" collapsed="false">
      <c r="A2522" s="102"/>
      <c r="B2522" s="104"/>
      <c r="C2522" s="104"/>
      <c r="F2522" s="103" t="str">
        <f aca="false">IF(OR($C2522="",$D2522=0),"",$E2522/$D2522)</f>
        <v/>
      </c>
      <c r="H2522" s="0" t="str">
        <f aca="false">IF($C2522="","",IF(COUNTIF('مواد المخزون'!$A$2:$A$86,$C2522)&gt;0,"نعم","لا (خارج الجرد)"))</f>
        <v/>
      </c>
    </row>
    <row r="2523" customFormat="false" ht="15" hidden="false" customHeight="false" outlineLevel="0" collapsed="false">
      <c r="A2523" s="102"/>
      <c r="B2523" s="104"/>
      <c r="C2523" s="104"/>
      <c r="F2523" s="103" t="str">
        <f aca="false">IF(OR($C2523="",$D2523=0),"",$E2523/$D2523)</f>
        <v/>
      </c>
      <c r="H2523" s="0" t="str">
        <f aca="false">IF($C2523="","",IF(COUNTIF('مواد المخزون'!$A$2:$A$86,$C2523)&gt;0,"نعم","لا (خارج الجرد)"))</f>
        <v/>
      </c>
    </row>
    <row r="2524" customFormat="false" ht="15" hidden="false" customHeight="false" outlineLevel="0" collapsed="false">
      <c r="A2524" s="102"/>
      <c r="B2524" s="104"/>
      <c r="C2524" s="104"/>
      <c r="F2524" s="103" t="str">
        <f aca="false">IF(OR($C2524="",$D2524=0),"",$E2524/$D2524)</f>
        <v/>
      </c>
      <c r="H2524" s="0" t="str">
        <f aca="false">IF($C2524="","",IF(COUNTIF('مواد المخزون'!$A$2:$A$86,$C2524)&gt;0,"نعم","لا (خارج الجرد)"))</f>
        <v/>
      </c>
    </row>
    <row r="2525" customFormat="false" ht="15" hidden="false" customHeight="false" outlineLevel="0" collapsed="false">
      <c r="A2525" s="102"/>
      <c r="B2525" s="104"/>
      <c r="C2525" s="104"/>
      <c r="F2525" s="103" t="str">
        <f aca="false">IF(OR($C2525="",$D2525=0),"",$E2525/$D2525)</f>
        <v/>
      </c>
      <c r="H2525" s="0" t="str">
        <f aca="false">IF($C2525="","",IF(COUNTIF('مواد المخزون'!$A$2:$A$86,$C2525)&gt;0,"نعم","لا (خارج الجرد)"))</f>
        <v/>
      </c>
    </row>
    <row r="2526" customFormat="false" ht="15" hidden="false" customHeight="false" outlineLevel="0" collapsed="false">
      <c r="A2526" s="102"/>
      <c r="B2526" s="104"/>
      <c r="C2526" s="104"/>
      <c r="F2526" s="103" t="str">
        <f aca="false">IF(OR($C2526="",$D2526=0),"",$E2526/$D2526)</f>
        <v/>
      </c>
      <c r="H2526" s="0" t="str">
        <f aca="false">IF($C2526="","",IF(COUNTIF('مواد المخزون'!$A$2:$A$86,$C2526)&gt;0,"نعم","لا (خارج الجرد)"))</f>
        <v/>
      </c>
    </row>
    <row r="2527" customFormat="false" ht="15" hidden="false" customHeight="false" outlineLevel="0" collapsed="false">
      <c r="A2527" s="102"/>
      <c r="B2527" s="104"/>
      <c r="C2527" s="104"/>
      <c r="F2527" s="103" t="str">
        <f aca="false">IF(OR($C2527="",$D2527=0),"",$E2527/$D2527)</f>
        <v/>
      </c>
      <c r="H2527" s="0" t="str">
        <f aca="false">IF($C2527="","",IF(COUNTIF('مواد المخزون'!$A$2:$A$86,$C2527)&gt;0,"نعم","لا (خارج الجرد)"))</f>
        <v/>
      </c>
    </row>
    <row r="2528" customFormat="false" ht="15" hidden="false" customHeight="false" outlineLevel="0" collapsed="false">
      <c r="A2528" s="102"/>
      <c r="B2528" s="104"/>
      <c r="C2528" s="104"/>
      <c r="F2528" s="103" t="str">
        <f aca="false">IF(OR($C2528="",$D2528=0),"",$E2528/$D2528)</f>
        <v/>
      </c>
      <c r="H2528" s="0" t="str">
        <f aca="false">IF($C2528="","",IF(COUNTIF('مواد المخزون'!$A$2:$A$86,$C2528)&gt;0,"نعم","لا (خارج الجرد)"))</f>
        <v/>
      </c>
    </row>
    <row r="2529" customFormat="false" ht="15" hidden="false" customHeight="false" outlineLevel="0" collapsed="false">
      <c r="A2529" s="102"/>
      <c r="B2529" s="104"/>
      <c r="C2529" s="104"/>
      <c r="F2529" s="103" t="str">
        <f aca="false">IF(OR($C2529="",$D2529=0),"",$E2529/$D2529)</f>
        <v/>
      </c>
      <c r="H2529" s="0" t="str">
        <f aca="false">IF($C2529="","",IF(COUNTIF('مواد المخزون'!$A$2:$A$86,$C2529)&gt;0,"نعم","لا (خارج الجرد)"))</f>
        <v/>
      </c>
    </row>
    <row r="2530" customFormat="false" ht="15" hidden="false" customHeight="false" outlineLevel="0" collapsed="false">
      <c r="A2530" s="102"/>
      <c r="B2530" s="104"/>
      <c r="C2530" s="104"/>
      <c r="F2530" s="103" t="str">
        <f aca="false">IF(OR($C2530="",$D2530=0),"",$E2530/$D2530)</f>
        <v/>
      </c>
      <c r="H2530" s="0" t="str">
        <f aca="false">IF($C2530="","",IF(COUNTIF('مواد المخزون'!$A$2:$A$86,$C2530)&gt;0,"نعم","لا (خارج الجرد)"))</f>
        <v/>
      </c>
    </row>
    <row r="2531" customFormat="false" ht="15" hidden="false" customHeight="false" outlineLevel="0" collapsed="false">
      <c r="A2531" s="102"/>
      <c r="B2531" s="104"/>
      <c r="C2531" s="104"/>
      <c r="F2531" s="103" t="str">
        <f aca="false">IF(OR($C2531="",$D2531=0),"",$E2531/$D2531)</f>
        <v/>
      </c>
      <c r="H2531" s="0" t="str">
        <f aca="false">IF($C2531="","",IF(COUNTIF('مواد المخزون'!$A$2:$A$86,$C2531)&gt;0,"نعم","لا (خارج الجرد)"))</f>
        <v/>
      </c>
    </row>
    <row r="2532" customFormat="false" ht="15" hidden="false" customHeight="false" outlineLevel="0" collapsed="false">
      <c r="A2532" s="102"/>
      <c r="B2532" s="104"/>
      <c r="C2532" s="104"/>
      <c r="F2532" s="103" t="str">
        <f aca="false">IF(OR($C2532="",$D2532=0),"",$E2532/$D2532)</f>
        <v/>
      </c>
      <c r="H2532" s="0" t="str">
        <f aca="false">IF($C2532="","",IF(COUNTIF('مواد المخزون'!$A$2:$A$86,$C2532)&gt;0,"نعم","لا (خارج الجرد)"))</f>
        <v/>
      </c>
    </row>
    <row r="2533" customFormat="false" ht="15" hidden="false" customHeight="false" outlineLevel="0" collapsed="false">
      <c r="A2533" s="102"/>
      <c r="B2533" s="104"/>
      <c r="C2533" s="104"/>
      <c r="F2533" s="103" t="str">
        <f aca="false">IF(OR($C2533="",$D2533=0),"",$E2533/$D2533)</f>
        <v/>
      </c>
      <c r="H2533" s="0" t="str">
        <f aca="false">IF($C2533="","",IF(COUNTIF('مواد المخزون'!$A$2:$A$86,$C2533)&gt;0,"نعم","لا (خارج الجرد)"))</f>
        <v/>
      </c>
    </row>
    <row r="2534" customFormat="false" ht="15" hidden="false" customHeight="false" outlineLevel="0" collapsed="false">
      <c r="A2534" s="102"/>
      <c r="B2534" s="104"/>
      <c r="C2534" s="104"/>
      <c r="F2534" s="103" t="str">
        <f aca="false">IF(OR($C2534="",$D2534=0),"",$E2534/$D2534)</f>
        <v/>
      </c>
      <c r="H2534" s="0" t="str">
        <f aca="false">IF($C2534="","",IF(COUNTIF('مواد المخزون'!$A$2:$A$86,$C2534)&gt;0,"نعم","لا (خارج الجرد)"))</f>
        <v/>
      </c>
    </row>
    <row r="2535" customFormat="false" ht="15" hidden="false" customHeight="false" outlineLevel="0" collapsed="false">
      <c r="A2535" s="102"/>
      <c r="B2535" s="104"/>
      <c r="C2535" s="104"/>
      <c r="F2535" s="103" t="str">
        <f aca="false">IF(OR($C2535="",$D2535=0),"",$E2535/$D2535)</f>
        <v/>
      </c>
      <c r="H2535" s="0" t="str">
        <f aca="false">IF($C2535="","",IF(COUNTIF('مواد المخزون'!$A$2:$A$86,$C2535)&gt;0,"نعم","لا (خارج الجرد)"))</f>
        <v/>
      </c>
    </row>
    <row r="2536" customFormat="false" ht="15" hidden="false" customHeight="false" outlineLevel="0" collapsed="false">
      <c r="A2536" s="102"/>
      <c r="B2536" s="104"/>
      <c r="C2536" s="104"/>
      <c r="F2536" s="103" t="str">
        <f aca="false">IF(OR($C2536="",$D2536=0),"",$E2536/$D2536)</f>
        <v/>
      </c>
      <c r="H2536" s="0" t="str">
        <f aca="false">IF($C2536="","",IF(COUNTIF('مواد المخزون'!$A$2:$A$86,$C2536)&gt;0,"نعم","لا (خارج الجرد)"))</f>
        <v/>
      </c>
    </row>
    <row r="2537" customFormat="false" ht="15" hidden="false" customHeight="false" outlineLevel="0" collapsed="false">
      <c r="A2537" s="102"/>
      <c r="B2537" s="104"/>
      <c r="C2537" s="104"/>
      <c r="F2537" s="103" t="str">
        <f aca="false">IF(OR($C2537="",$D2537=0),"",$E2537/$D2537)</f>
        <v/>
      </c>
      <c r="H2537" s="0" t="str">
        <f aca="false">IF($C2537="","",IF(COUNTIF('مواد المخزون'!$A$2:$A$86,$C2537)&gt;0,"نعم","لا (خارج الجرد)"))</f>
        <v/>
      </c>
    </row>
    <row r="2538" customFormat="false" ht="15" hidden="false" customHeight="false" outlineLevel="0" collapsed="false">
      <c r="A2538" s="102"/>
      <c r="B2538" s="104"/>
      <c r="C2538" s="104"/>
      <c r="F2538" s="103" t="str">
        <f aca="false">IF(OR($C2538="",$D2538=0),"",$E2538/$D2538)</f>
        <v/>
      </c>
      <c r="H2538" s="0" t="str">
        <f aca="false">IF($C2538="","",IF(COUNTIF('مواد المخزون'!$A$2:$A$86,$C2538)&gt;0,"نعم","لا (خارج الجرد)"))</f>
        <v/>
      </c>
    </row>
    <row r="2539" customFormat="false" ht="15" hidden="false" customHeight="false" outlineLevel="0" collapsed="false">
      <c r="A2539" s="102"/>
      <c r="B2539" s="104"/>
      <c r="C2539" s="104"/>
      <c r="F2539" s="103" t="str">
        <f aca="false">IF(OR($C2539="",$D2539=0),"",$E2539/$D2539)</f>
        <v/>
      </c>
      <c r="H2539" s="0" t="str">
        <f aca="false">IF($C2539="","",IF(COUNTIF('مواد المخزون'!$A$2:$A$86,$C2539)&gt;0,"نعم","لا (خارج الجرد)"))</f>
        <v/>
      </c>
    </row>
    <row r="2540" customFormat="false" ht="15" hidden="false" customHeight="false" outlineLevel="0" collapsed="false">
      <c r="A2540" s="102"/>
      <c r="B2540" s="104"/>
      <c r="C2540" s="104"/>
      <c r="F2540" s="103" t="str">
        <f aca="false">IF(OR($C2540="",$D2540=0),"",$E2540/$D2540)</f>
        <v/>
      </c>
      <c r="H2540" s="0" t="str">
        <f aca="false">IF($C2540="","",IF(COUNTIF('مواد المخزون'!$A$2:$A$86,$C2540)&gt;0,"نعم","لا (خارج الجرد)"))</f>
        <v/>
      </c>
    </row>
    <row r="2541" customFormat="false" ht="15" hidden="false" customHeight="false" outlineLevel="0" collapsed="false">
      <c r="A2541" s="102"/>
      <c r="B2541" s="104"/>
      <c r="C2541" s="104"/>
      <c r="F2541" s="103" t="str">
        <f aca="false">IF(OR($C2541="",$D2541=0),"",$E2541/$D2541)</f>
        <v/>
      </c>
      <c r="H2541" s="0" t="str">
        <f aca="false">IF($C2541="","",IF(COUNTIF('مواد المخزون'!$A$2:$A$86,$C2541)&gt;0,"نعم","لا (خارج الجرد)"))</f>
        <v/>
      </c>
    </row>
    <row r="2542" customFormat="false" ht="15" hidden="false" customHeight="false" outlineLevel="0" collapsed="false">
      <c r="A2542" s="102"/>
      <c r="B2542" s="104"/>
      <c r="C2542" s="104"/>
      <c r="F2542" s="103" t="str">
        <f aca="false">IF(OR($C2542="",$D2542=0),"",$E2542/$D2542)</f>
        <v/>
      </c>
      <c r="H2542" s="0" t="str">
        <f aca="false">IF($C2542="","",IF(COUNTIF('مواد المخزون'!$A$2:$A$86,$C2542)&gt;0,"نعم","لا (خارج الجرد)"))</f>
        <v/>
      </c>
    </row>
    <row r="2543" customFormat="false" ht="15" hidden="false" customHeight="false" outlineLevel="0" collapsed="false">
      <c r="A2543" s="102"/>
      <c r="B2543" s="104"/>
      <c r="C2543" s="104"/>
      <c r="F2543" s="103" t="str">
        <f aca="false">IF(OR($C2543="",$D2543=0),"",$E2543/$D2543)</f>
        <v/>
      </c>
      <c r="H2543" s="0" t="str">
        <f aca="false">IF($C2543="","",IF(COUNTIF('مواد المخزون'!$A$2:$A$86,$C2543)&gt;0,"نعم","لا (خارج الجرد)"))</f>
        <v/>
      </c>
    </row>
    <row r="2544" customFormat="false" ht="15" hidden="false" customHeight="false" outlineLevel="0" collapsed="false">
      <c r="A2544" s="102"/>
      <c r="B2544" s="104"/>
      <c r="C2544" s="104"/>
      <c r="F2544" s="103" t="str">
        <f aca="false">IF(OR($C2544="",$D2544=0),"",$E2544/$D2544)</f>
        <v/>
      </c>
      <c r="H2544" s="0" t="str">
        <f aca="false">IF($C2544="","",IF(COUNTIF('مواد المخزون'!$A$2:$A$86,$C2544)&gt;0,"نعم","لا (خارج الجرد)"))</f>
        <v/>
      </c>
    </row>
    <row r="2545" customFormat="false" ht="15" hidden="false" customHeight="false" outlineLevel="0" collapsed="false">
      <c r="A2545" s="102"/>
      <c r="B2545" s="104"/>
      <c r="C2545" s="104"/>
      <c r="F2545" s="103" t="str">
        <f aca="false">IF(OR($C2545="",$D2545=0),"",$E2545/$D2545)</f>
        <v/>
      </c>
      <c r="H2545" s="0" t="str">
        <f aca="false">IF($C2545="","",IF(COUNTIF('مواد المخزون'!$A$2:$A$86,$C2545)&gt;0,"نعم","لا (خارج الجرد)"))</f>
        <v/>
      </c>
    </row>
    <row r="2546" customFormat="false" ht="15" hidden="false" customHeight="false" outlineLevel="0" collapsed="false">
      <c r="A2546" s="102"/>
      <c r="B2546" s="104"/>
      <c r="C2546" s="104"/>
      <c r="F2546" s="103" t="str">
        <f aca="false">IF(OR($C2546="",$D2546=0),"",$E2546/$D2546)</f>
        <v/>
      </c>
      <c r="H2546" s="0" t="str">
        <f aca="false">IF($C2546="","",IF(COUNTIF('مواد المخزون'!$A$2:$A$86,$C2546)&gt;0,"نعم","لا (خارج الجرد)"))</f>
        <v/>
      </c>
    </row>
    <row r="2547" customFormat="false" ht="15" hidden="false" customHeight="false" outlineLevel="0" collapsed="false">
      <c r="A2547" s="102"/>
      <c r="B2547" s="104"/>
      <c r="C2547" s="104"/>
      <c r="F2547" s="103" t="str">
        <f aca="false">IF(OR($C2547="",$D2547=0),"",$E2547/$D2547)</f>
        <v/>
      </c>
      <c r="H2547" s="0" t="str">
        <f aca="false">IF($C2547="","",IF(COUNTIF('مواد المخزون'!$A$2:$A$86,$C2547)&gt;0,"نعم","لا (خارج الجرد)"))</f>
        <v/>
      </c>
    </row>
    <row r="2548" customFormat="false" ht="15" hidden="false" customHeight="false" outlineLevel="0" collapsed="false">
      <c r="A2548" s="102"/>
      <c r="B2548" s="104"/>
      <c r="C2548" s="104"/>
      <c r="F2548" s="103" t="str">
        <f aca="false">IF(OR($C2548="",$D2548=0),"",$E2548/$D2548)</f>
        <v/>
      </c>
      <c r="H2548" s="0" t="str">
        <f aca="false">IF($C2548="","",IF(COUNTIF('مواد المخزون'!$A$2:$A$86,$C2548)&gt;0,"نعم","لا (خارج الجرد)"))</f>
        <v/>
      </c>
    </row>
    <row r="2549" customFormat="false" ht="15" hidden="false" customHeight="false" outlineLevel="0" collapsed="false">
      <c r="A2549" s="102"/>
      <c r="B2549" s="104"/>
      <c r="C2549" s="104"/>
      <c r="F2549" s="103" t="str">
        <f aca="false">IF(OR($C2549="",$D2549=0),"",$E2549/$D2549)</f>
        <v/>
      </c>
      <c r="H2549" s="0" t="str">
        <f aca="false">IF($C2549="","",IF(COUNTIF('مواد المخزون'!$A$2:$A$86,$C2549)&gt;0,"نعم","لا (خارج الجرد)"))</f>
        <v/>
      </c>
    </row>
    <row r="2550" customFormat="false" ht="15" hidden="false" customHeight="false" outlineLevel="0" collapsed="false">
      <c r="A2550" s="102"/>
      <c r="B2550" s="104"/>
      <c r="C2550" s="104"/>
      <c r="F2550" s="103" t="str">
        <f aca="false">IF(OR($C2550="",$D2550=0),"",$E2550/$D2550)</f>
        <v/>
      </c>
      <c r="H2550" s="0" t="str">
        <f aca="false">IF($C2550="","",IF(COUNTIF('مواد المخزون'!$A$2:$A$86,$C2550)&gt;0,"نعم","لا (خارج الجرد)"))</f>
        <v/>
      </c>
    </row>
    <row r="2551" customFormat="false" ht="15" hidden="false" customHeight="false" outlineLevel="0" collapsed="false">
      <c r="A2551" s="102"/>
      <c r="B2551" s="104"/>
      <c r="C2551" s="104"/>
      <c r="F2551" s="103" t="str">
        <f aca="false">IF(OR($C2551="",$D2551=0),"",$E2551/$D2551)</f>
        <v/>
      </c>
      <c r="H2551" s="0" t="str">
        <f aca="false">IF($C2551="","",IF(COUNTIF('مواد المخزون'!$A$2:$A$86,$C2551)&gt;0,"نعم","لا (خارج الجرد)"))</f>
        <v/>
      </c>
    </row>
    <row r="2552" customFormat="false" ht="15" hidden="false" customHeight="false" outlineLevel="0" collapsed="false">
      <c r="A2552" s="102"/>
      <c r="B2552" s="104"/>
      <c r="C2552" s="104"/>
      <c r="F2552" s="103" t="str">
        <f aca="false">IF(OR($C2552="",$D2552=0),"",$E2552/$D2552)</f>
        <v/>
      </c>
      <c r="H2552" s="0" t="str">
        <f aca="false">IF($C2552="","",IF(COUNTIF('مواد المخزون'!$A$2:$A$86,$C2552)&gt;0,"نعم","لا (خارج الجرد)"))</f>
        <v/>
      </c>
    </row>
    <row r="2553" customFormat="false" ht="15" hidden="false" customHeight="false" outlineLevel="0" collapsed="false">
      <c r="A2553" s="102"/>
      <c r="B2553" s="104"/>
      <c r="C2553" s="104"/>
      <c r="F2553" s="103" t="str">
        <f aca="false">IF(OR($C2553="",$D2553=0),"",$E2553/$D2553)</f>
        <v/>
      </c>
      <c r="H2553" s="0" t="str">
        <f aca="false">IF($C2553="","",IF(COUNTIF('مواد المخزون'!$A$2:$A$86,$C2553)&gt;0,"نعم","لا (خارج الجرد)"))</f>
        <v/>
      </c>
    </row>
    <row r="2554" customFormat="false" ht="15" hidden="false" customHeight="false" outlineLevel="0" collapsed="false">
      <c r="A2554" s="102"/>
      <c r="B2554" s="104"/>
      <c r="C2554" s="104"/>
      <c r="F2554" s="103" t="str">
        <f aca="false">IF(OR($C2554="",$D2554=0),"",$E2554/$D2554)</f>
        <v/>
      </c>
      <c r="H2554" s="0" t="str">
        <f aca="false">IF($C2554="","",IF(COUNTIF('مواد المخزون'!$A$2:$A$86,$C2554)&gt;0,"نعم","لا (خارج الجرد)"))</f>
        <v/>
      </c>
    </row>
    <row r="2555" customFormat="false" ht="15" hidden="false" customHeight="false" outlineLevel="0" collapsed="false">
      <c r="A2555" s="102"/>
      <c r="B2555" s="104"/>
      <c r="C2555" s="104"/>
      <c r="F2555" s="103" t="str">
        <f aca="false">IF(OR($C2555="",$D2555=0),"",$E2555/$D2555)</f>
        <v/>
      </c>
      <c r="H2555" s="0" t="str">
        <f aca="false">IF($C2555="","",IF(COUNTIF('مواد المخزون'!$A$2:$A$86,$C2555)&gt;0,"نعم","لا (خارج الجرد)"))</f>
        <v/>
      </c>
    </row>
    <row r="2556" customFormat="false" ht="15" hidden="false" customHeight="false" outlineLevel="0" collapsed="false">
      <c r="A2556" s="102"/>
      <c r="B2556" s="104"/>
      <c r="C2556" s="104"/>
      <c r="F2556" s="103" t="str">
        <f aca="false">IF(OR($C2556="",$D2556=0),"",$E2556/$D2556)</f>
        <v/>
      </c>
      <c r="H2556" s="0" t="str">
        <f aca="false">IF($C2556="","",IF(COUNTIF('مواد المخزون'!$A$2:$A$86,$C2556)&gt;0,"نعم","لا (خارج الجرد)"))</f>
        <v/>
      </c>
    </row>
    <row r="2557" customFormat="false" ht="15" hidden="false" customHeight="false" outlineLevel="0" collapsed="false">
      <c r="A2557" s="102"/>
      <c r="B2557" s="104"/>
      <c r="C2557" s="104"/>
      <c r="F2557" s="103" t="str">
        <f aca="false">IF(OR($C2557="",$D2557=0),"",$E2557/$D2557)</f>
        <v/>
      </c>
      <c r="H2557" s="0" t="str">
        <f aca="false">IF($C2557="","",IF(COUNTIF('مواد المخزون'!$A$2:$A$86,$C2557)&gt;0,"نعم","لا (خارج الجرد)"))</f>
        <v/>
      </c>
    </row>
    <row r="2558" customFormat="false" ht="15" hidden="false" customHeight="false" outlineLevel="0" collapsed="false">
      <c r="A2558" s="102"/>
      <c r="B2558" s="104"/>
      <c r="C2558" s="104"/>
      <c r="F2558" s="103" t="str">
        <f aca="false">IF(OR($C2558="",$D2558=0),"",$E2558/$D2558)</f>
        <v/>
      </c>
      <c r="H2558" s="0" t="str">
        <f aca="false">IF($C2558="","",IF(COUNTIF('مواد المخزون'!$A$2:$A$86,$C2558)&gt;0,"نعم","لا (خارج الجرد)"))</f>
        <v/>
      </c>
    </row>
    <row r="2559" customFormat="false" ht="15" hidden="false" customHeight="false" outlineLevel="0" collapsed="false">
      <c r="A2559" s="102"/>
      <c r="B2559" s="104"/>
      <c r="C2559" s="104"/>
      <c r="F2559" s="103" t="str">
        <f aca="false">IF(OR($C2559="",$D2559=0),"",$E2559/$D2559)</f>
        <v/>
      </c>
      <c r="H2559" s="0" t="str">
        <f aca="false">IF($C2559="","",IF(COUNTIF('مواد المخزون'!$A$2:$A$86,$C2559)&gt;0,"نعم","لا (خارج الجرد)"))</f>
        <v/>
      </c>
    </row>
    <row r="2560" customFormat="false" ht="15" hidden="false" customHeight="false" outlineLevel="0" collapsed="false">
      <c r="A2560" s="102"/>
      <c r="B2560" s="104"/>
      <c r="C2560" s="104"/>
      <c r="F2560" s="103" t="str">
        <f aca="false">IF(OR($C2560="",$D2560=0),"",$E2560/$D2560)</f>
        <v/>
      </c>
      <c r="H2560" s="0" t="str">
        <f aca="false">IF($C2560="","",IF(COUNTIF('مواد المخزون'!$A$2:$A$86,$C2560)&gt;0,"نعم","لا (خارج الجرد)"))</f>
        <v/>
      </c>
    </row>
    <row r="2561" customFormat="false" ht="15" hidden="false" customHeight="false" outlineLevel="0" collapsed="false">
      <c r="A2561" s="102"/>
      <c r="B2561" s="104"/>
      <c r="C2561" s="104"/>
      <c r="F2561" s="103" t="str">
        <f aca="false">IF(OR($C2561="",$D2561=0),"",$E2561/$D2561)</f>
        <v/>
      </c>
      <c r="H2561" s="0" t="str">
        <f aca="false">IF($C2561="","",IF(COUNTIF('مواد المخزون'!$A$2:$A$86,$C2561)&gt;0,"نعم","لا (خارج الجرد)"))</f>
        <v/>
      </c>
    </row>
    <row r="2562" customFormat="false" ht="15" hidden="false" customHeight="false" outlineLevel="0" collapsed="false">
      <c r="A2562" s="102"/>
      <c r="B2562" s="104"/>
      <c r="C2562" s="104"/>
      <c r="F2562" s="103" t="str">
        <f aca="false">IF(OR($C2562="",$D2562=0),"",$E2562/$D2562)</f>
        <v/>
      </c>
      <c r="H2562" s="0" t="str">
        <f aca="false">IF($C2562="","",IF(COUNTIF('مواد المخزون'!$A$2:$A$86,$C2562)&gt;0,"نعم","لا (خارج الجرد)"))</f>
        <v/>
      </c>
    </row>
    <row r="2563" customFormat="false" ht="15" hidden="false" customHeight="false" outlineLevel="0" collapsed="false">
      <c r="A2563" s="102"/>
      <c r="B2563" s="104"/>
      <c r="C2563" s="104"/>
      <c r="F2563" s="103" t="str">
        <f aca="false">IF(OR($C2563="",$D2563=0),"",$E2563/$D2563)</f>
        <v/>
      </c>
      <c r="H2563" s="0" t="str">
        <f aca="false">IF($C2563="","",IF(COUNTIF('مواد المخزون'!$A$2:$A$86,$C2563)&gt;0,"نعم","لا (خارج الجرد)"))</f>
        <v/>
      </c>
    </row>
    <row r="2564" customFormat="false" ht="15" hidden="false" customHeight="false" outlineLevel="0" collapsed="false">
      <c r="A2564" s="102"/>
      <c r="B2564" s="104"/>
      <c r="C2564" s="104"/>
      <c r="F2564" s="103" t="str">
        <f aca="false">IF(OR($C2564="",$D2564=0),"",$E2564/$D2564)</f>
        <v/>
      </c>
      <c r="H2564" s="0" t="str">
        <f aca="false">IF($C2564="","",IF(COUNTIF('مواد المخزون'!$A$2:$A$86,$C2564)&gt;0,"نعم","لا (خارج الجرد)"))</f>
        <v/>
      </c>
    </row>
    <row r="2565" customFormat="false" ht="15" hidden="false" customHeight="false" outlineLevel="0" collapsed="false">
      <c r="A2565" s="102"/>
      <c r="B2565" s="104"/>
      <c r="C2565" s="104"/>
      <c r="F2565" s="103" t="str">
        <f aca="false">IF(OR($C2565="",$D2565=0),"",$E2565/$D2565)</f>
        <v/>
      </c>
      <c r="H2565" s="0" t="str">
        <f aca="false">IF($C2565="","",IF(COUNTIF('مواد المخزون'!$A$2:$A$86,$C2565)&gt;0,"نعم","لا (خارج الجرد)"))</f>
        <v/>
      </c>
    </row>
    <row r="2566" customFormat="false" ht="15" hidden="false" customHeight="false" outlineLevel="0" collapsed="false">
      <c r="A2566" s="102"/>
      <c r="B2566" s="104"/>
      <c r="C2566" s="104"/>
      <c r="F2566" s="103" t="str">
        <f aca="false">IF(OR($C2566="",$D2566=0),"",$E2566/$D2566)</f>
        <v/>
      </c>
      <c r="H2566" s="0" t="str">
        <f aca="false">IF($C2566="","",IF(COUNTIF('مواد المخزون'!$A$2:$A$86,$C2566)&gt;0,"نعم","لا (خارج الجرد)"))</f>
        <v/>
      </c>
    </row>
    <row r="2567" customFormat="false" ht="15" hidden="false" customHeight="false" outlineLevel="0" collapsed="false">
      <c r="A2567" s="102"/>
      <c r="B2567" s="104"/>
      <c r="C2567" s="104"/>
      <c r="F2567" s="103" t="str">
        <f aca="false">IF(OR($C2567="",$D2567=0),"",$E2567/$D2567)</f>
        <v/>
      </c>
      <c r="H2567" s="0" t="str">
        <f aca="false">IF($C2567="","",IF(COUNTIF('مواد المخزون'!$A$2:$A$86,$C2567)&gt;0,"نعم","لا (خارج الجرد)"))</f>
        <v/>
      </c>
    </row>
    <row r="2568" customFormat="false" ht="15" hidden="false" customHeight="false" outlineLevel="0" collapsed="false">
      <c r="A2568" s="102"/>
      <c r="B2568" s="104"/>
      <c r="C2568" s="104"/>
      <c r="F2568" s="103" t="str">
        <f aca="false">IF(OR($C2568="",$D2568=0),"",$E2568/$D2568)</f>
        <v/>
      </c>
      <c r="H2568" s="0" t="str">
        <f aca="false">IF($C2568="","",IF(COUNTIF('مواد المخزون'!$A$2:$A$86,$C2568)&gt;0,"نعم","لا (خارج الجرد)"))</f>
        <v/>
      </c>
    </row>
    <row r="2569" customFormat="false" ht="15" hidden="false" customHeight="false" outlineLevel="0" collapsed="false">
      <c r="A2569" s="102"/>
      <c r="B2569" s="104"/>
      <c r="C2569" s="104"/>
      <c r="F2569" s="103" t="str">
        <f aca="false">IF(OR($C2569="",$D2569=0),"",$E2569/$D2569)</f>
        <v/>
      </c>
      <c r="H2569" s="0" t="str">
        <f aca="false">IF($C2569="","",IF(COUNTIF('مواد المخزون'!$A$2:$A$86,$C2569)&gt;0,"نعم","لا (خارج الجرد)"))</f>
        <v/>
      </c>
    </row>
    <row r="2570" customFormat="false" ht="15" hidden="false" customHeight="false" outlineLevel="0" collapsed="false">
      <c r="A2570" s="102"/>
      <c r="B2570" s="104"/>
      <c r="C2570" s="104"/>
      <c r="F2570" s="103" t="str">
        <f aca="false">IF(OR($C2570="",$D2570=0),"",$E2570/$D2570)</f>
        <v/>
      </c>
      <c r="H2570" s="0" t="str">
        <f aca="false">IF($C2570="","",IF(COUNTIF('مواد المخزون'!$A$2:$A$86,$C2570)&gt;0,"نعم","لا (خارج الجرد)"))</f>
        <v/>
      </c>
    </row>
    <row r="2571" customFormat="false" ht="15" hidden="false" customHeight="false" outlineLevel="0" collapsed="false">
      <c r="A2571" s="102"/>
      <c r="B2571" s="104"/>
      <c r="C2571" s="104"/>
      <c r="F2571" s="103" t="str">
        <f aca="false">IF(OR($C2571="",$D2571=0),"",$E2571/$D2571)</f>
        <v/>
      </c>
      <c r="H2571" s="0" t="str">
        <f aca="false">IF($C2571="","",IF(COUNTIF('مواد المخزون'!$A$2:$A$86,$C2571)&gt;0,"نعم","لا (خارج الجرد)"))</f>
        <v/>
      </c>
    </row>
    <row r="2572" customFormat="false" ht="15" hidden="false" customHeight="false" outlineLevel="0" collapsed="false">
      <c r="A2572" s="102"/>
      <c r="B2572" s="104"/>
      <c r="C2572" s="104"/>
      <c r="F2572" s="103" t="str">
        <f aca="false">IF(OR($C2572="",$D2572=0),"",$E2572/$D2572)</f>
        <v/>
      </c>
      <c r="H2572" s="0" t="str">
        <f aca="false">IF($C2572="","",IF(COUNTIF('مواد المخزون'!$A$2:$A$86,$C2572)&gt;0,"نعم","لا (خارج الجرد)"))</f>
        <v/>
      </c>
    </row>
    <row r="2573" customFormat="false" ht="15" hidden="false" customHeight="false" outlineLevel="0" collapsed="false">
      <c r="A2573" s="102"/>
      <c r="B2573" s="104"/>
      <c r="C2573" s="104"/>
      <c r="F2573" s="103" t="str">
        <f aca="false">IF(OR($C2573="",$D2573=0),"",$E2573/$D2573)</f>
        <v/>
      </c>
      <c r="H2573" s="0" t="str">
        <f aca="false">IF($C2573="","",IF(COUNTIF('مواد المخزون'!$A$2:$A$86,$C2573)&gt;0,"نعم","لا (خارج الجرد)"))</f>
        <v/>
      </c>
    </row>
    <row r="2574" customFormat="false" ht="15" hidden="false" customHeight="false" outlineLevel="0" collapsed="false">
      <c r="A2574" s="102"/>
      <c r="B2574" s="104"/>
      <c r="C2574" s="104"/>
      <c r="F2574" s="103" t="str">
        <f aca="false">IF(OR($C2574="",$D2574=0),"",$E2574/$D2574)</f>
        <v/>
      </c>
      <c r="H2574" s="0" t="str">
        <f aca="false">IF($C2574="","",IF(COUNTIF('مواد المخزون'!$A$2:$A$86,$C2574)&gt;0,"نعم","لا (خارج الجرد)"))</f>
        <v/>
      </c>
    </row>
    <row r="2575" customFormat="false" ht="15" hidden="false" customHeight="false" outlineLevel="0" collapsed="false">
      <c r="A2575" s="102"/>
      <c r="B2575" s="104"/>
      <c r="C2575" s="104"/>
      <c r="F2575" s="103" t="str">
        <f aca="false">IF(OR($C2575="",$D2575=0),"",$E2575/$D2575)</f>
        <v/>
      </c>
      <c r="H2575" s="0" t="str">
        <f aca="false">IF($C2575="","",IF(COUNTIF('مواد المخزون'!$A$2:$A$86,$C2575)&gt;0,"نعم","لا (خارج الجرد)"))</f>
        <v/>
      </c>
    </row>
    <row r="2576" customFormat="false" ht="15" hidden="false" customHeight="false" outlineLevel="0" collapsed="false">
      <c r="A2576" s="102"/>
      <c r="B2576" s="104"/>
      <c r="C2576" s="104"/>
      <c r="F2576" s="103" t="str">
        <f aca="false">IF(OR($C2576="",$D2576=0),"",$E2576/$D2576)</f>
        <v/>
      </c>
      <c r="H2576" s="0" t="str">
        <f aca="false">IF($C2576="","",IF(COUNTIF('مواد المخزون'!$A$2:$A$86,$C2576)&gt;0,"نعم","لا (خارج الجرد)"))</f>
        <v/>
      </c>
    </row>
    <row r="2577" customFormat="false" ht="15" hidden="false" customHeight="false" outlineLevel="0" collapsed="false">
      <c r="A2577" s="102"/>
      <c r="B2577" s="104"/>
      <c r="C2577" s="104"/>
      <c r="F2577" s="103" t="str">
        <f aca="false">IF(OR($C2577="",$D2577=0),"",$E2577/$D2577)</f>
        <v/>
      </c>
      <c r="H2577" s="0" t="str">
        <f aca="false">IF($C2577="","",IF(COUNTIF('مواد المخزون'!$A$2:$A$86,$C2577)&gt;0,"نعم","لا (خارج الجرد)"))</f>
        <v/>
      </c>
    </row>
    <row r="2578" customFormat="false" ht="15" hidden="false" customHeight="false" outlineLevel="0" collapsed="false">
      <c r="A2578" s="102"/>
      <c r="B2578" s="104"/>
      <c r="C2578" s="104"/>
      <c r="F2578" s="103" t="str">
        <f aca="false">IF(OR($C2578="",$D2578=0),"",$E2578/$D2578)</f>
        <v/>
      </c>
      <c r="H2578" s="0" t="str">
        <f aca="false">IF($C2578="","",IF(COUNTIF('مواد المخزون'!$A$2:$A$86,$C2578)&gt;0,"نعم","لا (خارج الجرد)"))</f>
        <v/>
      </c>
    </row>
    <row r="2579" customFormat="false" ht="15" hidden="false" customHeight="false" outlineLevel="0" collapsed="false">
      <c r="A2579" s="102"/>
      <c r="B2579" s="104"/>
      <c r="C2579" s="104"/>
      <c r="F2579" s="103" t="str">
        <f aca="false">IF(OR($C2579="",$D2579=0),"",$E2579/$D2579)</f>
        <v/>
      </c>
      <c r="H2579" s="0" t="str">
        <f aca="false">IF($C2579="","",IF(COUNTIF('مواد المخزون'!$A$2:$A$86,$C2579)&gt;0,"نعم","لا (خارج الجرد)"))</f>
        <v/>
      </c>
    </row>
    <row r="2580" customFormat="false" ht="15" hidden="false" customHeight="false" outlineLevel="0" collapsed="false">
      <c r="A2580" s="102"/>
      <c r="B2580" s="104"/>
      <c r="C2580" s="104"/>
      <c r="F2580" s="103" t="str">
        <f aca="false">IF(OR($C2580="",$D2580=0),"",$E2580/$D2580)</f>
        <v/>
      </c>
      <c r="H2580" s="0" t="str">
        <f aca="false">IF($C2580="","",IF(COUNTIF('مواد المخزون'!$A$2:$A$86,$C2580)&gt;0,"نعم","لا (خارج الجرد)"))</f>
        <v/>
      </c>
    </row>
    <row r="2581" customFormat="false" ht="15" hidden="false" customHeight="false" outlineLevel="0" collapsed="false">
      <c r="A2581" s="102"/>
      <c r="B2581" s="104"/>
      <c r="C2581" s="104"/>
      <c r="F2581" s="103" t="str">
        <f aca="false">IF(OR($C2581="",$D2581=0),"",$E2581/$D2581)</f>
        <v/>
      </c>
      <c r="H2581" s="0" t="str">
        <f aca="false">IF($C2581="","",IF(COUNTIF('مواد المخزون'!$A$2:$A$86,$C2581)&gt;0,"نعم","لا (خارج الجرد)"))</f>
        <v/>
      </c>
    </row>
    <row r="2582" customFormat="false" ht="15" hidden="false" customHeight="false" outlineLevel="0" collapsed="false">
      <c r="A2582" s="102"/>
      <c r="B2582" s="104"/>
      <c r="C2582" s="104"/>
      <c r="F2582" s="103" t="str">
        <f aca="false">IF(OR($C2582="",$D2582=0),"",$E2582/$D2582)</f>
        <v/>
      </c>
      <c r="H2582" s="0" t="str">
        <f aca="false">IF($C2582="","",IF(COUNTIF('مواد المخزون'!$A$2:$A$86,$C2582)&gt;0,"نعم","لا (خارج الجرد)"))</f>
        <v/>
      </c>
    </row>
    <row r="2583" customFormat="false" ht="15" hidden="false" customHeight="false" outlineLevel="0" collapsed="false">
      <c r="A2583" s="102"/>
      <c r="B2583" s="104"/>
      <c r="C2583" s="104"/>
      <c r="F2583" s="103" t="str">
        <f aca="false">IF(OR($C2583="",$D2583=0),"",$E2583/$D2583)</f>
        <v/>
      </c>
      <c r="H2583" s="0" t="str">
        <f aca="false">IF($C2583="","",IF(COUNTIF('مواد المخزون'!$A$2:$A$86,$C2583)&gt;0,"نعم","لا (خارج الجرد)"))</f>
        <v/>
      </c>
    </row>
    <row r="2584" customFormat="false" ht="15" hidden="false" customHeight="false" outlineLevel="0" collapsed="false">
      <c r="A2584" s="102"/>
      <c r="B2584" s="104"/>
      <c r="C2584" s="104"/>
      <c r="F2584" s="103" t="str">
        <f aca="false">IF(OR($C2584="",$D2584=0),"",$E2584/$D2584)</f>
        <v/>
      </c>
      <c r="H2584" s="0" t="str">
        <f aca="false">IF($C2584="","",IF(COUNTIF('مواد المخزون'!$A$2:$A$86,$C2584)&gt;0,"نعم","لا (خارج الجرد)"))</f>
        <v/>
      </c>
    </row>
    <row r="2585" customFormat="false" ht="15" hidden="false" customHeight="false" outlineLevel="0" collapsed="false">
      <c r="A2585" s="102"/>
      <c r="B2585" s="104"/>
      <c r="C2585" s="104"/>
      <c r="F2585" s="103" t="str">
        <f aca="false">IF(OR($C2585="",$D2585=0),"",$E2585/$D2585)</f>
        <v/>
      </c>
      <c r="H2585" s="0" t="str">
        <f aca="false">IF($C2585="","",IF(COUNTIF('مواد المخزون'!$A$2:$A$86,$C2585)&gt;0,"نعم","لا (خارج الجرد)"))</f>
        <v/>
      </c>
    </row>
    <row r="2586" customFormat="false" ht="15" hidden="false" customHeight="false" outlineLevel="0" collapsed="false">
      <c r="A2586" s="102"/>
      <c r="B2586" s="104"/>
      <c r="C2586" s="104"/>
      <c r="F2586" s="103" t="str">
        <f aca="false">IF(OR($C2586="",$D2586=0),"",$E2586/$D2586)</f>
        <v/>
      </c>
      <c r="H2586" s="0" t="str">
        <f aca="false">IF($C2586="","",IF(COUNTIF('مواد المخزون'!$A$2:$A$86,$C2586)&gt;0,"نعم","لا (خارج الجرد)"))</f>
        <v/>
      </c>
    </row>
    <row r="2587" customFormat="false" ht="15" hidden="false" customHeight="false" outlineLevel="0" collapsed="false">
      <c r="A2587" s="102"/>
      <c r="B2587" s="104"/>
      <c r="C2587" s="104"/>
      <c r="F2587" s="103" t="str">
        <f aca="false">IF(OR($C2587="",$D2587=0),"",$E2587/$D2587)</f>
        <v/>
      </c>
      <c r="H2587" s="0" t="str">
        <f aca="false">IF($C2587="","",IF(COUNTIF('مواد المخزون'!$A$2:$A$86,$C2587)&gt;0,"نعم","لا (خارج الجرد)"))</f>
        <v/>
      </c>
    </row>
    <row r="2588" customFormat="false" ht="15" hidden="false" customHeight="false" outlineLevel="0" collapsed="false">
      <c r="A2588" s="102"/>
      <c r="B2588" s="104"/>
      <c r="C2588" s="104"/>
      <c r="F2588" s="103" t="str">
        <f aca="false">IF(OR($C2588="",$D2588=0),"",$E2588/$D2588)</f>
        <v/>
      </c>
      <c r="H2588" s="0" t="str">
        <f aca="false">IF($C2588="","",IF(COUNTIF('مواد المخزون'!$A$2:$A$86,$C2588)&gt;0,"نعم","لا (خارج الجرد)"))</f>
        <v/>
      </c>
    </row>
    <row r="2589" customFormat="false" ht="15" hidden="false" customHeight="false" outlineLevel="0" collapsed="false">
      <c r="A2589" s="102"/>
      <c r="B2589" s="104"/>
      <c r="C2589" s="104"/>
      <c r="F2589" s="103" t="str">
        <f aca="false">IF(OR($C2589="",$D2589=0),"",$E2589/$D2589)</f>
        <v/>
      </c>
      <c r="H2589" s="0" t="str">
        <f aca="false">IF($C2589="","",IF(COUNTIF('مواد المخزون'!$A$2:$A$86,$C2589)&gt;0,"نعم","لا (خارج الجرد)"))</f>
        <v/>
      </c>
    </row>
    <row r="2590" customFormat="false" ht="15" hidden="false" customHeight="false" outlineLevel="0" collapsed="false">
      <c r="A2590" s="102"/>
      <c r="B2590" s="104"/>
      <c r="C2590" s="104"/>
      <c r="F2590" s="103" t="str">
        <f aca="false">IF(OR($C2590="",$D2590=0),"",$E2590/$D2590)</f>
        <v/>
      </c>
      <c r="H2590" s="0" t="str">
        <f aca="false">IF($C2590="","",IF(COUNTIF('مواد المخزون'!$A$2:$A$86,$C2590)&gt;0,"نعم","لا (خارج الجرد)"))</f>
        <v/>
      </c>
    </row>
    <row r="2591" customFormat="false" ht="15" hidden="false" customHeight="false" outlineLevel="0" collapsed="false">
      <c r="A2591" s="102"/>
      <c r="B2591" s="104"/>
      <c r="C2591" s="104"/>
      <c r="F2591" s="103" t="str">
        <f aca="false">IF(OR($C2591="",$D2591=0),"",$E2591/$D2591)</f>
        <v/>
      </c>
      <c r="H2591" s="0" t="str">
        <f aca="false">IF($C2591="","",IF(COUNTIF('مواد المخزون'!$A$2:$A$86,$C2591)&gt;0,"نعم","لا (خارج الجرد)"))</f>
        <v/>
      </c>
    </row>
    <row r="2592" customFormat="false" ht="15" hidden="false" customHeight="false" outlineLevel="0" collapsed="false">
      <c r="A2592" s="102"/>
      <c r="B2592" s="104"/>
      <c r="C2592" s="104"/>
      <c r="F2592" s="103" t="str">
        <f aca="false">IF(OR($C2592="",$D2592=0),"",$E2592/$D2592)</f>
        <v/>
      </c>
      <c r="H2592" s="0" t="str">
        <f aca="false">IF($C2592="","",IF(COUNTIF('مواد المخزون'!$A$2:$A$86,$C2592)&gt;0,"نعم","لا (خارج الجرد)"))</f>
        <v/>
      </c>
    </row>
    <row r="2593" customFormat="false" ht="15" hidden="false" customHeight="false" outlineLevel="0" collapsed="false">
      <c r="A2593" s="102"/>
      <c r="B2593" s="104"/>
      <c r="C2593" s="104"/>
      <c r="F2593" s="103" t="str">
        <f aca="false">IF(OR($C2593="",$D2593=0),"",$E2593/$D2593)</f>
        <v/>
      </c>
      <c r="H2593" s="0" t="str">
        <f aca="false">IF($C2593="","",IF(COUNTIF('مواد المخزون'!$A$2:$A$86,$C2593)&gt;0,"نعم","لا (خارج الجرد)"))</f>
        <v/>
      </c>
    </row>
    <row r="2594" customFormat="false" ht="15" hidden="false" customHeight="false" outlineLevel="0" collapsed="false">
      <c r="A2594" s="102"/>
      <c r="B2594" s="104"/>
      <c r="C2594" s="104"/>
      <c r="F2594" s="103" t="str">
        <f aca="false">IF(OR($C2594="",$D2594=0),"",$E2594/$D2594)</f>
        <v/>
      </c>
      <c r="H2594" s="0" t="str">
        <f aca="false">IF($C2594="","",IF(COUNTIF('مواد المخزون'!$A$2:$A$86,$C2594)&gt;0,"نعم","لا (خارج الجرد)"))</f>
        <v/>
      </c>
    </row>
    <row r="2595" customFormat="false" ht="15" hidden="false" customHeight="false" outlineLevel="0" collapsed="false">
      <c r="A2595" s="102"/>
      <c r="B2595" s="104"/>
      <c r="C2595" s="104"/>
      <c r="F2595" s="103" t="str">
        <f aca="false">IF(OR($C2595="",$D2595=0),"",$E2595/$D2595)</f>
        <v/>
      </c>
      <c r="H2595" s="0" t="str">
        <f aca="false">IF($C2595="","",IF(COUNTIF('مواد المخزون'!$A$2:$A$86,$C2595)&gt;0,"نعم","لا (خارج الجرد)"))</f>
        <v/>
      </c>
    </row>
    <row r="2596" customFormat="false" ht="15" hidden="false" customHeight="false" outlineLevel="0" collapsed="false">
      <c r="A2596" s="102"/>
      <c r="B2596" s="104"/>
      <c r="C2596" s="104"/>
      <c r="F2596" s="103" t="str">
        <f aca="false">IF(OR($C2596="",$D2596=0),"",$E2596/$D2596)</f>
        <v/>
      </c>
      <c r="H2596" s="0" t="str">
        <f aca="false">IF($C2596="","",IF(COUNTIF('مواد المخزون'!$A$2:$A$86,$C2596)&gt;0,"نعم","لا (خارج الجرد)"))</f>
        <v/>
      </c>
    </row>
    <row r="2597" customFormat="false" ht="15" hidden="false" customHeight="false" outlineLevel="0" collapsed="false">
      <c r="A2597" s="102"/>
      <c r="B2597" s="104"/>
      <c r="C2597" s="104"/>
      <c r="F2597" s="103" t="str">
        <f aca="false">IF(OR($C2597="",$D2597=0),"",$E2597/$D2597)</f>
        <v/>
      </c>
      <c r="H2597" s="0" t="str">
        <f aca="false">IF($C2597="","",IF(COUNTIF('مواد المخزون'!$A$2:$A$86,$C2597)&gt;0,"نعم","لا (خارج الجرد)"))</f>
        <v/>
      </c>
    </row>
    <row r="2598" customFormat="false" ht="15" hidden="false" customHeight="false" outlineLevel="0" collapsed="false">
      <c r="A2598" s="102"/>
      <c r="B2598" s="104"/>
      <c r="C2598" s="104"/>
      <c r="F2598" s="103" t="str">
        <f aca="false">IF(OR($C2598="",$D2598=0),"",$E2598/$D2598)</f>
        <v/>
      </c>
      <c r="H2598" s="0" t="str">
        <f aca="false">IF($C2598="","",IF(COUNTIF('مواد المخزون'!$A$2:$A$86,$C2598)&gt;0,"نعم","لا (خارج الجرد)"))</f>
        <v/>
      </c>
    </row>
    <row r="2599" customFormat="false" ht="15" hidden="false" customHeight="false" outlineLevel="0" collapsed="false">
      <c r="A2599" s="102"/>
      <c r="B2599" s="104"/>
      <c r="C2599" s="104"/>
      <c r="F2599" s="103" t="str">
        <f aca="false">IF(OR($C2599="",$D2599=0),"",$E2599/$D2599)</f>
        <v/>
      </c>
      <c r="H2599" s="0" t="str">
        <f aca="false">IF($C2599="","",IF(COUNTIF('مواد المخزون'!$A$2:$A$86,$C2599)&gt;0,"نعم","لا (خارج الجرد)"))</f>
        <v/>
      </c>
    </row>
    <row r="2600" customFormat="false" ht="15" hidden="false" customHeight="false" outlineLevel="0" collapsed="false">
      <c r="A2600" s="102"/>
      <c r="B2600" s="104"/>
      <c r="C2600" s="104"/>
      <c r="F2600" s="103" t="str">
        <f aca="false">IF(OR($C2600="",$D2600=0),"",$E2600/$D2600)</f>
        <v/>
      </c>
      <c r="H2600" s="0" t="str">
        <f aca="false">IF($C2600="","",IF(COUNTIF('مواد المخزون'!$A$2:$A$86,$C2600)&gt;0,"نعم","لا (خارج الجرد)"))</f>
        <v/>
      </c>
    </row>
    <row r="2601" customFormat="false" ht="15" hidden="false" customHeight="false" outlineLevel="0" collapsed="false">
      <c r="A2601" s="102"/>
      <c r="B2601" s="104"/>
      <c r="C2601" s="104"/>
      <c r="F2601" s="103" t="str">
        <f aca="false">IF(OR($C2601="",$D2601=0),"",$E2601/$D2601)</f>
        <v/>
      </c>
      <c r="H2601" s="0" t="str">
        <f aca="false">IF($C2601="","",IF(COUNTIF('مواد المخزون'!$A$2:$A$86,$C2601)&gt;0,"نعم","لا (خارج الجرد)"))</f>
        <v/>
      </c>
    </row>
    <row r="2602" customFormat="false" ht="15" hidden="false" customHeight="false" outlineLevel="0" collapsed="false">
      <c r="A2602" s="102"/>
      <c r="B2602" s="104"/>
      <c r="C2602" s="104"/>
      <c r="F2602" s="103" t="str">
        <f aca="false">IF(OR($C2602="",$D2602=0),"",$E2602/$D2602)</f>
        <v/>
      </c>
      <c r="H2602" s="0" t="str">
        <f aca="false">IF($C2602="","",IF(COUNTIF('مواد المخزون'!$A$2:$A$86,$C2602)&gt;0,"نعم","لا (خارج الجرد)"))</f>
        <v/>
      </c>
    </row>
    <row r="2603" customFormat="false" ht="15" hidden="false" customHeight="false" outlineLevel="0" collapsed="false">
      <c r="A2603" s="102"/>
      <c r="B2603" s="104"/>
      <c r="C2603" s="104"/>
      <c r="F2603" s="103" t="str">
        <f aca="false">IF(OR($C2603="",$D2603=0),"",$E2603/$D2603)</f>
        <v/>
      </c>
      <c r="H2603" s="0" t="str">
        <f aca="false">IF($C2603="","",IF(COUNTIF('مواد المخزون'!$A$2:$A$86,$C2603)&gt;0,"نعم","لا (خارج الجرد)"))</f>
        <v/>
      </c>
    </row>
    <row r="2604" customFormat="false" ht="15" hidden="false" customHeight="false" outlineLevel="0" collapsed="false">
      <c r="A2604" s="102"/>
      <c r="B2604" s="104"/>
      <c r="C2604" s="104"/>
      <c r="F2604" s="103" t="str">
        <f aca="false">IF(OR($C2604="",$D2604=0),"",$E2604/$D2604)</f>
        <v/>
      </c>
      <c r="H2604" s="0" t="str">
        <f aca="false">IF($C2604="","",IF(COUNTIF('مواد المخزون'!$A$2:$A$86,$C2604)&gt;0,"نعم","لا (خارج الجرد)"))</f>
        <v/>
      </c>
    </row>
    <row r="2605" customFormat="false" ht="15" hidden="false" customHeight="false" outlineLevel="0" collapsed="false">
      <c r="A2605" s="102"/>
      <c r="B2605" s="104"/>
      <c r="C2605" s="104"/>
      <c r="F2605" s="103" t="str">
        <f aca="false">IF(OR($C2605="",$D2605=0),"",$E2605/$D2605)</f>
        <v/>
      </c>
      <c r="H2605" s="0" t="str">
        <f aca="false">IF($C2605="","",IF(COUNTIF('مواد المخزون'!$A$2:$A$86,$C2605)&gt;0,"نعم","لا (خارج الجرد)"))</f>
        <v/>
      </c>
    </row>
    <row r="2606" customFormat="false" ht="15" hidden="false" customHeight="false" outlineLevel="0" collapsed="false">
      <c r="A2606" s="102"/>
      <c r="B2606" s="104"/>
      <c r="C2606" s="104"/>
      <c r="F2606" s="103" t="str">
        <f aca="false">IF(OR($C2606="",$D2606=0),"",$E2606/$D2606)</f>
        <v/>
      </c>
      <c r="H2606" s="0" t="str">
        <f aca="false">IF($C2606="","",IF(COUNTIF('مواد المخزون'!$A$2:$A$86,$C2606)&gt;0,"نعم","لا (خارج الجرد)"))</f>
        <v/>
      </c>
    </row>
    <row r="2607" customFormat="false" ht="15" hidden="false" customHeight="false" outlineLevel="0" collapsed="false">
      <c r="A2607" s="102"/>
      <c r="B2607" s="104"/>
      <c r="C2607" s="104"/>
      <c r="F2607" s="103" t="str">
        <f aca="false">IF(OR($C2607="",$D2607=0),"",$E2607/$D2607)</f>
        <v/>
      </c>
      <c r="H2607" s="0" t="str">
        <f aca="false">IF($C2607="","",IF(COUNTIF('مواد المخزون'!$A$2:$A$86,$C2607)&gt;0,"نعم","لا (خارج الجرد)"))</f>
        <v/>
      </c>
    </row>
    <row r="2608" customFormat="false" ht="15" hidden="false" customHeight="false" outlineLevel="0" collapsed="false">
      <c r="A2608" s="102"/>
      <c r="B2608" s="104"/>
      <c r="C2608" s="104"/>
      <c r="F2608" s="103" t="str">
        <f aca="false">IF(OR($C2608="",$D2608=0),"",$E2608/$D2608)</f>
        <v/>
      </c>
      <c r="H2608" s="0" t="str">
        <f aca="false">IF($C2608="","",IF(COUNTIF('مواد المخزون'!$A$2:$A$86,$C2608)&gt;0,"نعم","لا (خارج الجرد)"))</f>
        <v/>
      </c>
    </row>
    <row r="2609" customFormat="false" ht="15" hidden="false" customHeight="false" outlineLevel="0" collapsed="false">
      <c r="A2609" s="102"/>
      <c r="B2609" s="104"/>
      <c r="C2609" s="104"/>
      <c r="F2609" s="103" t="str">
        <f aca="false">IF(OR($C2609="",$D2609=0),"",$E2609/$D2609)</f>
        <v/>
      </c>
      <c r="H2609" s="0" t="str">
        <f aca="false">IF($C2609="","",IF(COUNTIF('مواد المخزون'!$A$2:$A$86,$C2609)&gt;0,"نعم","لا (خارج الجرد)"))</f>
        <v/>
      </c>
    </row>
    <row r="2610" customFormat="false" ht="15" hidden="false" customHeight="false" outlineLevel="0" collapsed="false">
      <c r="A2610" s="102"/>
      <c r="B2610" s="104"/>
      <c r="C2610" s="104"/>
      <c r="F2610" s="103" t="str">
        <f aca="false">IF(OR($C2610="",$D2610=0),"",$E2610/$D2610)</f>
        <v/>
      </c>
      <c r="H2610" s="0" t="str">
        <f aca="false">IF($C2610="","",IF(COUNTIF('مواد المخزون'!$A$2:$A$86,$C2610)&gt;0,"نعم","لا (خارج الجرد)"))</f>
        <v/>
      </c>
    </row>
    <row r="2611" customFormat="false" ht="15" hidden="false" customHeight="false" outlineLevel="0" collapsed="false">
      <c r="A2611" s="102"/>
      <c r="B2611" s="104"/>
      <c r="C2611" s="104"/>
      <c r="F2611" s="103" t="str">
        <f aca="false">IF(OR($C2611="",$D2611=0),"",$E2611/$D2611)</f>
        <v/>
      </c>
      <c r="H2611" s="0" t="str">
        <f aca="false">IF($C2611="","",IF(COUNTIF('مواد المخزون'!$A$2:$A$86,$C2611)&gt;0,"نعم","لا (خارج الجرد)"))</f>
        <v/>
      </c>
    </row>
    <row r="2612" customFormat="false" ht="15" hidden="false" customHeight="false" outlineLevel="0" collapsed="false">
      <c r="A2612" s="102"/>
      <c r="B2612" s="104"/>
      <c r="C2612" s="104"/>
      <c r="F2612" s="103" t="str">
        <f aca="false">IF(OR($C2612="",$D2612=0),"",$E2612/$D2612)</f>
        <v/>
      </c>
      <c r="H2612" s="0" t="str">
        <f aca="false">IF($C2612="","",IF(COUNTIF('مواد المخزون'!$A$2:$A$86,$C2612)&gt;0,"نعم","لا (خارج الجرد)"))</f>
        <v/>
      </c>
    </row>
    <row r="2613" customFormat="false" ht="15" hidden="false" customHeight="false" outlineLevel="0" collapsed="false">
      <c r="A2613" s="102"/>
      <c r="B2613" s="104"/>
      <c r="C2613" s="104"/>
      <c r="F2613" s="103" t="str">
        <f aca="false">IF(OR($C2613="",$D2613=0),"",$E2613/$D2613)</f>
        <v/>
      </c>
      <c r="H2613" s="0" t="str">
        <f aca="false">IF($C2613="","",IF(COUNTIF('مواد المخزون'!$A$2:$A$86,$C2613)&gt;0,"نعم","لا (خارج الجرد)"))</f>
        <v/>
      </c>
    </row>
    <row r="2614" customFormat="false" ht="15" hidden="false" customHeight="false" outlineLevel="0" collapsed="false">
      <c r="A2614" s="102"/>
      <c r="B2614" s="104"/>
      <c r="C2614" s="104"/>
      <c r="F2614" s="103" t="str">
        <f aca="false">IF(OR($C2614="",$D2614=0),"",$E2614/$D2614)</f>
        <v/>
      </c>
      <c r="H2614" s="0" t="str">
        <f aca="false">IF($C2614="","",IF(COUNTIF('مواد المخزون'!$A$2:$A$86,$C2614)&gt;0,"نعم","لا (خارج الجرد)"))</f>
        <v/>
      </c>
    </row>
    <row r="2615" customFormat="false" ht="15" hidden="false" customHeight="false" outlineLevel="0" collapsed="false">
      <c r="A2615" s="102"/>
      <c r="B2615" s="104"/>
      <c r="C2615" s="104"/>
      <c r="F2615" s="103" t="str">
        <f aca="false">IF(OR($C2615="",$D2615=0),"",$E2615/$D2615)</f>
        <v/>
      </c>
      <c r="H2615" s="0" t="str">
        <f aca="false">IF($C2615="","",IF(COUNTIF('مواد المخزون'!$A$2:$A$86,$C2615)&gt;0,"نعم","لا (خارج الجرد)"))</f>
        <v/>
      </c>
    </row>
    <row r="2616" customFormat="false" ht="15" hidden="false" customHeight="false" outlineLevel="0" collapsed="false">
      <c r="A2616" s="102"/>
      <c r="B2616" s="104"/>
      <c r="C2616" s="104"/>
      <c r="F2616" s="103" t="str">
        <f aca="false">IF(OR($C2616="",$D2616=0),"",$E2616/$D2616)</f>
        <v/>
      </c>
      <c r="H2616" s="0" t="str">
        <f aca="false">IF($C2616="","",IF(COUNTIF('مواد المخزون'!$A$2:$A$86,$C2616)&gt;0,"نعم","لا (خارج الجرد)"))</f>
        <v/>
      </c>
    </row>
    <row r="2617" customFormat="false" ht="15" hidden="false" customHeight="false" outlineLevel="0" collapsed="false">
      <c r="A2617" s="102"/>
      <c r="B2617" s="104"/>
      <c r="C2617" s="104"/>
      <c r="F2617" s="103" t="str">
        <f aca="false">IF(OR($C2617="",$D2617=0),"",$E2617/$D2617)</f>
        <v/>
      </c>
      <c r="H2617" s="0" t="str">
        <f aca="false">IF($C2617="","",IF(COUNTIF('مواد المخزون'!$A$2:$A$86,$C2617)&gt;0,"نعم","لا (خارج الجرد)"))</f>
        <v/>
      </c>
    </row>
    <row r="2618" customFormat="false" ht="15" hidden="false" customHeight="false" outlineLevel="0" collapsed="false">
      <c r="A2618" s="102"/>
      <c r="B2618" s="104"/>
      <c r="C2618" s="104"/>
      <c r="F2618" s="103" t="str">
        <f aca="false">IF(OR($C2618="",$D2618=0),"",$E2618/$D2618)</f>
        <v/>
      </c>
      <c r="H2618" s="0" t="str">
        <f aca="false">IF($C2618="","",IF(COUNTIF('مواد المخزون'!$A$2:$A$86,$C2618)&gt;0,"نعم","لا (خارج الجرد)"))</f>
        <v/>
      </c>
    </row>
    <row r="2619" customFormat="false" ht="15" hidden="false" customHeight="false" outlineLevel="0" collapsed="false">
      <c r="A2619" s="102"/>
      <c r="B2619" s="104"/>
      <c r="C2619" s="104"/>
      <c r="F2619" s="103" t="str">
        <f aca="false">IF(OR($C2619="",$D2619=0),"",$E2619/$D2619)</f>
        <v/>
      </c>
      <c r="H2619" s="0" t="str">
        <f aca="false">IF($C2619="","",IF(COUNTIF('مواد المخزون'!$A$2:$A$86,$C2619)&gt;0,"نعم","لا (خارج الجرد)"))</f>
        <v/>
      </c>
    </row>
    <row r="2620" customFormat="false" ht="15" hidden="false" customHeight="false" outlineLevel="0" collapsed="false">
      <c r="A2620" s="102"/>
      <c r="B2620" s="104"/>
      <c r="C2620" s="104"/>
      <c r="F2620" s="103" t="str">
        <f aca="false">IF(OR($C2620="",$D2620=0),"",$E2620/$D2620)</f>
        <v/>
      </c>
      <c r="H2620" s="0" t="str">
        <f aca="false">IF($C2620="","",IF(COUNTIF('مواد المخزون'!$A$2:$A$86,$C2620)&gt;0,"نعم","لا (خارج الجرد)"))</f>
        <v/>
      </c>
    </row>
    <row r="2621" customFormat="false" ht="15" hidden="false" customHeight="false" outlineLevel="0" collapsed="false">
      <c r="A2621" s="102"/>
      <c r="B2621" s="104"/>
      <c r="C2621" s="104"/>
      <c r="F2621" s="103" t="str">
        <f aca="false">IF(OR($C2621="",$D2621=0),"",$E2621/$D2621)</f>
        <v/>
      </c>
      <c r="H2621" s="0" t="str">
        <f aca="false">IF($C2621="","",IF(COUNTIF('مواد المخزون'!$A$2:$A$86,$C2621)&gt;0,"نعم","لا (خارج الجرد)"))</f>
        <v/>
      </c>
    </row>
    <row r="2622" customFormat="false" ht="15" hidden="false" customHeight="false" outlineLevel="0" collapsed="false">
      <c r="A2622" s="102"/>
      <c r="B2622" s="104"/>
      <c r="C2622" s="104"/>
      <c r="F2622" s="103" t="str">
        <f aca="false">IF(OR($C2622="",$D2622=0),"",$E2622/$D2622)</f>
        <v/>
      </c>
      <c r="H2622" s="0" t="str">
        <f aca="false">IF($C2622="","",IF(COUNTIF('مواد المخزون'!$A$2:$A$86,$C2622)&gt;0,"نعم","لا (خارج الجرد)"))</f>
        <v/>
      </c>
    </row>
    <row r="2623" customFormat="false" ht="15" hidden="false" customHeight="false" outlineLevel="0" collapsed="false">
      <c r="A2623" s="102"/>
      <c r="B2623" s="104"/>
      <c r="C2623" s="104"/>
      <c r="F2623" s="103" t="str">
        <f aca="false">IF(OR($C2623="",$D2623=0),"",$E2623/$D2623)</f>
        <v/>
      </c>
      <c r="H2623" s="0" t="str">
        <f aca="false">IF($C2623="","",IF(COUNTIF('مواد المخزون'!$A$2:$A$86,$C2623)&gt;0,"نعم","لا (خارج الجرد)"))</f>
        <v/>
      </c>
    </row>
    <row r="2624" customFormat="false" ht="15" hidden="false" customHeight="false" outlineLevel="0" collapsed="false">
      <c r="A2624" s="102"/>
      <c r="B2624" s="104"/>
      <c r="C2624" s="104"/>
      <c r="F2624" s="103" t="str">
        <f aca="false">IF(OR($C2624="",$D2624=0),"",$E2624/$D2624)</f>
        <v/>
      </c>
      <c r="H2624" s="0" t="str">
        <f aca="false">IF($C2624="","",IF(COUNTIF('مواد المخزون'!$A$2:$A$86,$C2624)&gt;0,"نعم","لا (خارج الجرد)"))</f>
        <v/>
      </c>
    </row>
    <row r="2625" customFormat="false" ht="15" hidden="false" customHeight="false" outlineLevel="0" collapsed="false">
      <c r="A2625" s="102"/>
      <c r="B2625" s="104"/>
      <c r="C2625" s="104"/>
      <c r="F2625" s="103" t="str">
        <f aca="false">IF(OR($C2625="",$D2625=0),"",$E2625/$D2625)</f>
        <v/>
      </c>
      <c r="H2625" s="0" t="str">
        <f aca="false">IF($C2625="","",IF(COUNTIF('مواد المخزون'!$A$2:$A$86,$C2625)&gt;0,"نعم","لا (خارج الجرد)"))</f>
        <v/>
      </c>
    </row>
    <row r="2626" customFormat="false" ht="15" hidden="false" customHeight="false" outlineLevel="0" collapsed="false">
      <c r="A2626" s="102"/>
      <c r="B2626" s="104"/>
      <c r="C2626" s="104"/>
      <c r="F2626" s="103" t="str">
        <f aca="false">IF(OR($C2626="",$D2626=0),"",$E2626/$D2626)</f>
        <v/>
      </c>
      <c r="H2626" s="0" t="str">
        <f aca="false">IF($C2626="","",IF(COUNTIF('مواد المخزون'!$A$2:$A$86,$C2626)&gt;0,"نعم","لا (خارج الجرد)"))</f>
        <v/>
      </c>
    </row>
    <row r="2627" customFormat="false" ht="15" hidden="false" customHeight="false" outlineLevel="0" collapsed="false">
      <c r="A2627" s="102"/>
      <c r="B2627" s="104"/>
      <c r="C2627" s="104"/>
      <c r="F2627" s="103" t="str">
        <f aca="false">IF(OR($C2627="",$D2627=0),"",$E2627/$D2627)</f>
        <v/>
      </c>
      <c r="H2627" s="0" t="str">
        <f aca="false">IF($C2627="","",IF(COUNTIF('مواد المخزون'!$A$2:$A$86,$C2627)&gt;0,"نعم","لا (خارج الجرد)"))</f>
        <v/>
      </c>
    </row>
    <row r="2628" customFormat="false" ht="15" hidden="false" customHeight="false" outlineLevel="0" collapsed="false">
      <c r="A2628" s="102"/>
      <c r="B2628" s="104"/>
      <c r="C2628" s="104"/>
      <c r="F2628" s="103" t="str">
        <f aca="false">IF(OR($C2628="",$D2628=0),"",$E2628/$D2628)</f>
        <v/>
      </c>
      <c r="H2628" s="0" t="str">
        <f aca="false">IF($C2628="","",IF(COUNTIF('مواد المخزون'!$A$2:$A$86,$C2628)&gt;0,"نعم","لا (خارج الجرد)"))</f>
        <v/>
      </c>
    </row>
    <row r="2629" customFormat="false" ht="15" hidden="false" customHeight="false" outlineLevel="0" collapsed="false">
      <c r="A2629" s="102"/>
      <c r="B2629" s="104"/>
      <c r="C2629" s="104"/>
      <c r="F2629" s="103" t="str">
        <f aca="false">IF(OR($C2629="",$D2629=0),"",$E2629/$D2629)</f>
        <v/>
      </c>
      <c r="H2629" s="0" t="str">
        <f aca="false">IF($C2629="","",IF(COUNTIF('مواد المخزون'!$A$2:$A$86,$C2629)&gt;0,"نعم","لا (خارج الجرد)"))</f>
        <v/>
      </c>
    </row>
    <row r="2630" customFormat="false" ht="15" hidden="false" customHeight="false" outlineLevel="0" collapsed="false">
      <c r="A2630" s="102"/>
      <c r="B2630" s="104"/>
      <c r="C2630" s="104"/>
      <c r="F2630" s="103" t="str">
        <f aca="false">IF(OR($C2630="",$D2630=0),"",$E2630/$D2630)</f>
        <v/>
      </c>
      <c r="H2630" s="0" t="str">
        <f aca="false">IF($C2630="","",IF(COUNTIF('مواد المخزون'!$A$2:$A$86,$C2630)&gt;0,"نعم","لا (خارج الجرد)"))</f>
        <v/>
      </c>
    </row>
    <row r="2631" customFormat="false" ht="15" hidden="false" customHeight="false" outlineLevel="0" collapsed="false">
      <c r="A2631" s="102"/>
      <c r="B2631" s="104"/>
      <c r="C2631" s="104"/>
      <c r="F2631" s="103" t="str">
        <f aca="false">IF(OR($C2631="",$D2631=0),"",$E2631/$D2631)</f>
        <v/>
      </c>
      <c r="H2631" s="0" t="str">
        <f aca="false">IF($C2631="","",IF(COUNTIF('مواد المخزون'!$A$2:$A$86,$C2631)&gt;0,"نعم","لا (خارج الجرد)"))</f>
        <v/>
      </c>
    </row>
    <row r="2632" customFormat="false" ht="15" hidden="false" customHeight="false" outlineLevel="0" collapsed="false">
      <c r="A2632" s="102"/>
      <c r="B2632" s="104"/>
      <c r="C2632" s="104"/>
      <c r="F2632" s="103" t="str">
        <f aca="false">IF(OR($C2632="",$D2632=0),"",$E2632/$D2632)</f>
        <v/>
      </c>
      <c r="H2632" s="0" t="str">
        <f aca="false">IF($C2632="","",IF(COUNTIF('مواد المخزون'!$A$2:$A$86,$C2632)&gt;0,"نعم","لا (خارج الجرد)"))</f>
        <v/>
      </c>
    </row>
    <row r="2633" customFormat="false" ht="15" hidden="false" customHeight="false" outlineLevel="0" collapsed="false">
      <c r="A2633" s="102"/>
      <c r="B2633" s="104"/>
      <c r="C2633" s="104"/>
      <c r="F2633" s="103" t="str">
        <f aca="false">IF(OR($C2633="",$D2633=0),"",$E2633/$D2633)</f>
        <v/>
      </c>
      <c r="H2633" s="0" t="str">
        <f aca="false">IF($C2633="","",IF(COUNTIF('مواد المخزون'!$A$2:$A$86,$C2633)&gt;0,"نعم","لا (خارج الجرد)"))</f>
        <v/>
      </c>
    </row>
    <row r="2634" customFormat="false" ht="15" hidden="false" customHeight="false" outlineLevel="0" collapsed="false">
      <c r="A2634" s="102"/>
      <c r="B2634" s="104"/>
      <c r="C2634" s="104"/>
      <c r="F2634" s="103" t="str">
        <f aca="false">IF(OR($C2634="",$D2634=0),"",$E2634/$D2634)</f>
        <v/>
      </c>
      <c r="H2634" s="0" t="str">
        <f aca="false">IF($C2634="","",IF(COUNTIF('مواد المخزون'!$A$2:$A$86,$C2634)&gt;0,"نعم","لا (خارج الجرد)"))</f>
        <v/>
      </c>
    </row>
    <row r="2635" customFormat="false" ht="15" hidden="false" customHeight="false" outlineLevel="0" collapsed="false">
      <c r="A2635" s="102"/>
      <c r="B2635" s="104"/>
      <c r="C2635" s="104"/>
      <c r="F2635" s="103" t="str">
        <f aca="false">IF(OR($C2635="",$D2635=0),"",$E2635/$D2635)</f>
        <v/>
      </c>
      <c r="H2635" s="0" t="str">
        <f aca="false">IF($C2635="","",IF(COUNTIF('مواد المخزون'!$A$2:$A$86,$C2635)&gt;0,"نعم","لا (خارج الجرد)"))</f>
        <v/>
      </c>
    </row>
    <row r="2636" customFormat="false" ht="15" hidden="false" customHeight="false" outlineLevel="0" collapsed="false">
      <c r="A2636" s="102"/>
      <c r="B2636" s="104"/>
      <c r="C2636" s="104"/>
      <c r="F2636" s="103" t="str">
        <f aca="false">IF(OR($C2636="",$D2636=0),"",$E2636/$D2636)</f>
        <v/>
      </c>
      <c r="H2636" s="0" t="str">
        <f aca="false">IF($C2636="","",IF(COUNTIF('مواد المخزون'!$A$2:$A$86,$C2636)&gt;0,"نعم","لا (خارج الجرد)"))</f>
        <v/>
      </c>
    </row>
    <row r="2637" customFormat="false" ht="15" hidden="false" customHeight="false" outlineLevel="0" collapsed="false">
      <c r="A2637" s="102"/>
      <c r="B2637" s="104"/>
      <c r="C2637" s="104"/>
      <c r="F2637" s="103" t="str">
        <f aca="false">IF(OR($C2637="",$D2637=0),"",$E2637/$D2637)</f>
        <v/>
      </c>
      <c r="H2637" s="0" t="str">
        <f aca="false">IF($C2637="","",IF(COUNTIF('مواد المخزون'!$A$2:$A$86,$C2637)&gt;0,"نعم","لا (خارج الجرد)"))</f>
        <v/>
      </c>
    </row>
    <row r="2638" customFormat="false" ht="15" hidden="false" customHeight="false" outlineLevel="0" collapsed="false">
      <c r="A2638" s="102"/>
      <c r="B2638" s="104"/>
      <c r="C2638" s="104"/>
      <c r="F2638" s="103" t="str">
        <f aca="false">IF(OR($C2638="",$D2638=0),"",$E2638/$D2638)</f>
        <v/>
      </c>
      <c r="H2638" s="0" t="str">
        <f aca="false">IF($C2638="","",IF(COUNTIF('مواد المخزون'!$A$2:$A$86,$C2638)&gt;0,"نعم","لا (خارج الجرد)"))</f>
        <v/>
      </c>
    </row>
    <row r="2639" customFormat="false" ht="15" hidden="false" customHeight="false" outlineLevel="0" collapsed="false">
      <c r="A2639" s="102"/>
      <c r="B2639" s="104"/>
      <c r="C2639" s="104"/>
      <c r="F2639" s="103" t="str">
        <f aca="false">IF(OR($C2639="",$D2639=0),"",$E2639/$D2639)</f>
        <v/>
      </c>
      <c r="H2639" s="0" t="str">
        <f aca="false">IF($C2639="","",IF(COUNTIF('مواد المخزون'!$A$2:$A$86,$C2639)&gt;0,"نعم","لا (خارج الجرد)"))</f>
        <v/>
      </c>
    </row>
    <row r="2640" customFormat="false" ht="15" hidden="false" customHeight="false" outlineLevel="0" collapsed="false">
      <c r="A2640" s="102"/>
      <c r="B2640" s="104"/>
      <c r="C2640" s="104"/>
      <c r="F2640" s="103" t="str">
        <f aca="false">IF(OR($C2640="",$D2640=0),"",$E2640/$D2640)</f>
        <v/>
      </c>
      <c r="H2640" s="0" t="str">
        <f aca="false">IF($C2640="","",IF(COUNTIF('مواد المخزون'!$A$2:$A$86,$C2640)&gt;0,"نعم","لا (خارج الجرد)"))</f>
        <v/>
      </c>
    </row>
    <row r="2641" customFormat="false" ht="15" hidden="false" customHeight="false" outlineLevel="0" collapsed="false">
      <c r="A2641" s="102"/>
      <c r="B2641" s="104"/>
      <c r="C2641" s="104"/>
      <c r="F2641" s="103" t="str">
        <f aca="false">IF(OR($C2641="",$D2641=0),"",$E2641/$D2641)</f>
        <v/>
      </c>
      <c r="H2641" s="0" t="str">
        <f aca="false">IF($C2641="","",IF(COUNTIF('مواد المخزون'!$A$2:$A$86,$C2641)&gt;0,"نعم","لا (خارج الجرد)"))</f>
        <v/>
      </c>
    </row>
    <row r="2642" customFormat="false" ht="15" hidden="false" customHeight="false" outlineLevel="0" collapsed="false">
      <c r="A2642" s="102"/>
      <c r="B2642" s="104"/>
      <c r="C2642" s="104"/>
      <c r="F2642" s="103" t="str">
        <f aca="false">IF(OR($C2642="",$D2642=0),"",$E2642/$D2642)</f>
        <v/>
      </c>
      <c r="H2642" s="0" t="str">
        <f aca="false">IF($C2642="","",IF(COUNTIF('مواد المخزون'!$A$2:$A$86,$C2642)&gt;0,"نعم","لا (خارج الجرد)"))</f>
        <v/>
      </c>
    </row>
    <row r="2643" customFormat="false" ht="15" hidden="false" customHeight="false" outlineLevel="0" collapsed="false">
      <c r="A2643" s="102"/>
      <c r="B2643" s="104"/>
      <c r="C2643" s="104"/>
      <c r="F2643" s="103" t="str">
        <f aca="false">IF(OR($C2643="",$D2643=0),"",$E2643/$D2643)</f>
        <v/>
      </c>
      <c r="H2643" s="0" t="str">
        <f aca="false">IF($C2643="","",IF(COUNTIF('مواد المخزون'!$A$2:$A$86,$C2643)&gt;0,"نعم","لا (خارج الجرد)"))</f>
        <v/>
      </c>
    </row>
    <row r="2644" customFormat="false" ht="15" hidden="false" customHeight="false" outlineLevel="0" collapsed="false">
      <c r="A2644" s="102"/>
      <c r="B2644" s="104"/>
      <c r="C2644" s="104"/>
      <c r="F2644" s="103" t="str">
        <f aca="false">IF(OR($C2644="",$D2644=0),"",$E2644/$D2644)</f>
        <v/>
      </c>
      <c r="H2644" s="0" t="str">
        <f aca="false">IF($C2644="","",IF(COUNTIF('مواد المخزون'!$A$2:$A$86,$C2644)&gt;0,"نعم","لا (خارج الجرد)"))</f>
        <v/>
      </c>
    </row>
    <row r="2645" customFormat="false" ht="15" hidden="false" customHeight="false" outlineLevel="0" collapsed="false">
      <c r="A2645" s="102"/>
      <c r="B2645" s="104"/>
      <c r="C2645" s="104"/>
      <c r="F2645" s="103" t="str">
        <f aca="false">IF(OR($C2645="",$D2645=0),"",$E2645/$D2645)</f>
        <v/>
      </c>
      <c r="H2645" s="0" t="str">
        <f aca="false">IF($C2645="","",IF(COUNTIF('مواد المخزون'!$A$2:$A$86,$C2645)&gt;0,"نعم","لا (خارج الجرد)"))</f>
        <v/>
      </c>
    </row>
    <row r="2646" customFormat="false" ht="15" hidden="false" customHeight="false" outlineLevel="0" collapsed="false">
      <c r="A2646" s="102"/>
      <c r="B2646" s="104"/>
      <c r="C2646" s="104"/>
      <c r="F2646" s="103" t="str">
        <f aca="false">IF(OR($C2646="",$D2646=0),"",$E2646/$D2646)</f>
        <v/>
      </c>
      <c r="H2646" s="0" t="str">
        <f aca="false">IF($C2646="","",IF(COUNTIF('مواد المخزون'!$A$2:$A$86,$C2646)&gt;0,"نعم","لا (خارج الجرد)"))</f>
        <v/>
      </c>
    </row>
    <row r="2647" customFormat="false" ht="15" hidden="false" customHeight="false" outlineLevel="0" collapsed="false">
      <c r="A2647" s="102"/>
      <c r="B2647" s="104"/>
      <c r="C2647" s="104"/>
      <c r="F2647" s="103" t="str">
        <f aca="false">IF(OR($C2647="",$D2647=0),"",$E2647/$D2647)</f>
        <v/>
      </c>
      <c r="H2647" s="0" t="str">
        <f aca="false">IF($C2647="","",IF(COUNTIF('مواد المخزون'!$A$2:$A$86,$C2647)&gt;0,"نعم","لا (خارج الجرد)"))</f>
        <v/>
      </c>
    </row>
    <row r="2648" customFormat="false" ht="15" hidden="false" customHeight="false" outlineLevel="0" collapsed="false">
      <c r="A2648" s="102"/>
      <c r="B2648" s="104"/>
      <c r="C2648" s="104"/>
      <c r="F2648" s="103" t="str">
        <f aca="false">IF(OR($C2648="",$D2648=0),"",$E2648/$D2648)</f>
        <v/>
      </c>
      <c r="H2648" s="0" t="str">
        <f aca="false">IF($C2648="","",IF(COUNTIF('مواد المخزون'!$A$2:$A$86,$C2648)&gt;0,"نعم","لا (خارج الجرد)"))</f>
        <v/>
      </c>
    </row>
    <row r="2649" customFormat="false" ht="15" hidden="false" customHeight="false" outlineLevel="0" collapsed="false">
      <c r="A2649" s="102"/>
      <c r="B2649" s="104"/>
      <c r="C2649" s="104"/>
      <c r="F2649" s="103" t="str">
        <f aca="false">IF(OR($C2649="",$D2649=0),"",$E2649/$D2649)</f>
        <v/>
      </c>
      <c r="H2649" s="0" t="str">
        <f aca="false">IF($C2649="","",IF(COUNTIF('مواد المخزون'!$A$2:$A$86,$C2649)&gt;0,"نعم","لا (خارج الجرد)"))</f>
        <v/>
      </c>
    </row>
    <row r="2650" customFormat="false" ht="15" hidden="false" customHeight="false" outlineLevel="0" collapsed="false">
      <c r="A2650" s="102"/>
      <c r="B2650" s="104"/>
      <c r="C2650" s="104"/>
      <c r="F2650" s="103" t="str">
        <f aca="false">IF(OR($C2650="",$D2650=0),"",$E2650/$D2650)</f>
        <v/>
      </c>
      <c r="H2650" s="0" t="str">
        <f aca="false">IF($C2650="","",IF(COUNTIF('مواد المخزون'!$A$2:$A$86,$C2650)&gt;0,"نعم","لا (خارج الجرد)"))</f>
        <v/>
      </c>
    </row>
    <row r="2651" customFormat="false" ht="15" hidden="false" customHeight="false" outlineLevel="0" collapsed="false">
      <c r="A2651" s="102"/>
      <c r="B2651" s="104"/>
      <c r="C2651" s="104"/>
      <c r="F2651" s="103" t="str">
        <f aca="false">IF(OR($C2651="",$D2651=0),"",$E2651/$D2651)</f>
        <v/>
      </c>
      <c r="H2651" s="0" t="str">
        <f aca="false">IF($C2651="","",IF(COUNTIF('مواد المخزون'!$A$2:$A$86,$C2651)&gt;0,"نعم","لا (خارج الجرد)"))</f>
        <v/>
      </c>
    </row>
    <row r="2652" customFormat="false" ht="15" hidden="false" customHeight="false" outlineLevel="0" collapsed="false">
      <c r="A2652" s="102"/>
      <c r="B2652" s="104"/>
      <c r="C2652" s="104"/>
      <c r="F2652" s="103" t="str">
        <f aca="false">IF(OR($C2652="",$D2652=0),"",$E2652/$D2652)</f>
        <v/>
      </c>
      <c r="H2652" s="0" t="str">
        <f aca="false">IF($C2652="","",IF(COUNTIF('مواد المخزون'!$A$2:$A$86,$C2652)&gt;0,"نعم","لا (خارج الجرد)"))</f>
        <v/>
      </c>
    </row>
    <row r="2653" customFormat="false" ht="15" hidden="false" customHeight="false" outlineLevel="0" collapsed="false">
      <c r="A2653" s="102"/>
      <c r="B2653" s="104"/>
      <c r="C2653" s="104"/>
      <c r="F2653" s="103" t="str">
        <f aca="false">IF(OR($C2653="",$D2653=0),"",$E2653/$D2653)</f>
        <v/>
      </c>
      <c r="H2653" s="0" t="str">
        <f aca="false">IF($C2653="","",IF(COUNTIF('مواد المخزون'!$A$2:$A$86,$C2653)&gt;0,"نعم","لا (خارج الجرد)"))</f>
        <v/>
      </c>
    </row>
    <row r="2654" customFormat="false" ht="15" hidden="false" customHeight="false" outlineLevel="0" collapsed="false">
      <c r="A2654" s="102"/>
      <c r="B2654" s="104"/>
      <c r="C2654" s="104"/>
      <c r="F2654" s="103" t="str">
        <f aca="false">IF(OR($C2654="",$D2654=0),"",$E2654/$D2654)</f>
        <v/>
      </c>
      <c r="H2654" s="0" t="str">
        <f aca="false">IF($C2654="","",IF(COUNTIF('مواد المخزون'!$A$2:$A$86,$C2654)&gt;0,"نعم","لا (خارج الجرد)"))</f>
        <v/>
      </c>
    </row>
    <row r="2655" customFormat="false" ht="15" hidden="false" customHeight="false" outlineLevel="0" collapsed="false">
      <c r="A2655" s="102"/>
      <c r="B2655" s="104"/>
      <c r="C2655" s="104"/>
      <c r="F2655" s="103" t="str">
        <f aca="false">IF(OR($C2655="",$D2655=0),"",$E2655/$D2655)</f>
        <v/>
      </c>
      <c r="H2655" s="0" t="str">
        <f aca="false">IF($C2655="","",IF(COUNTIF('مواد المخزون'!$A$2:$A$86,$C2655)&gt;0,"نعم","لا (خارج الجرد)"))</f>
        <v/>
      </c>
    </row>
    <row r="2656" customFormat="false" ht="15" hidden="false" customHeight="false" outlineLevel="0" collapsed="false">
      <c r="A2656" s="102"/>
      <c r="B2656" s="104"/>
      <c r="C2656" s="104"/>
      <c r="F2656" s="103" t="str">
        <f aca="false">IF(OR($C2656="",$D2656=0),"",$E2656/$D2656)</f>
        <v/>
      </c>
      <c r="H2656" s="0" t="str">
        <f aca="false">IF($C2656="","",IF(COUNTIF('مواد المخزون'!$A$2:$A$86,$C2656)&gt;0,"نعم","لا (خارج الجرد)"))</f>
        <v/>
      </c>
    </row>
    <row r="2657" customFormat="false" ht="15" hidden="false" customHeight="false" outlineLevel="0" collapsed="false">
      <c r="A2657" s="102"/>
      <c r="B2657" s="104"/>
      <c r="C2657" s="104"/>
      <c r="F2657" s="103" t="str">
        <f aca="false">IF(OR($C2657="",$D2657=0),"",$E2657/$D2657)</f>
        <v/>
      </c>
      <c r="H2657" s="0" t="str">
        <f aca="false">IF($C2657="","",IF(COUNTIF('مواد المخزون'!$A$2:$A$86,$C2657)&gt;0,"نعم","لا (خارج الجرد)"))</f>
        <v/>
      </c>
    </row>
    <row r="2658" customFormat="false" ht="15" hidden="false" customHeight="false" outlineLevel="0" collapsed="false">
      <c r="A2658" s="102"/>
      <c r="B2658" s="104"/>
      <c r="C2658" s="104"/>
      <c r="F2658" s="103" t="str">
        <f aca="false">IF(OR($C2658="",$D2658=0),"",$E2658/$D2658)</f>
        <v/>
      </c>
      <c r="H2658" s="0" t="str">
        <f aca="false">IF($C2658="","",IF(COUNTIF('مواد المخزون'!$A$2:$A$86,$C2658)&gt;0,"نعم","لا (خارج الجرد)"))</f>
        <v/>
      </c>
    </row>
    <row r="2659" customFormat="false" ht="15" hidden="false" customHeight="false" outlineLevel="0" collapsed="false">
      <c r="A2659" s="102"/>
      <c r="B2659" s="104"/>
      <c r="C2659" s="104"/>
      <c r="F2659" s="103" t="str">
        <f aca="false">IF(OR($C2659="",$D2659=0),"",$E2659/$D2659)</f>
        <v/>
      </c>
      <c r="H2659" s="0" t="str">
        <f aca="false">IF($C2659="","",IF(COUNTIF('مواد المخزون'!$A$2:$A$86,$C2659)&gt;0,"نعم","لا (خارج الجرد)"))</f>
        <v/>
      </c>
    </row>
    <row r="2660" customFormat="false" ht="15" hidden="false" customHeight="false" outlineLevel="0" collapsed="false">
      <c r="A2660" s="102"/>
      <c r="B2660" s="104"/>
      <c r="C2660" s="104"/>
      <c r="F2660" s="103" t="str">
        <f aca="false">IF(OR($C2660="",$D2660=0),"",$E2660/$D2660)</f>
        <v/>
      </c>
      <c r="H2660" s="0" t="str">
        <f aca="false">IF($C2660="","",IF(COUNTIF('مواد المخزون'!$A$2:$A$86,$C2660)&gt;0,"نعم","لا (خارج الجرد)"))</f>
        <v/>
      </c>
    </row>
    <row r="2661" customFormat="false" ht="15" hidden="false" customHeight="false" outlineLevel="0" collapsed="false">
      <c r="A2661" s="102"/>
      <c r="B2661" s="104"/>
      <c r="C2661" s="104"/>
      <c r="F2661" s="103" t="str">
        <f aca="false">IF(OR($C2661="",$D2661=0),"",$E2661/$D2661)</f>
        <v/>
      </c>
      <c r="H2661" s="0" t="str">
        <f aca="false">IF($C2661="","",IF(COUNTIF('مواد المخزون'!$A$2:$A$86,$C2661)&gt;0,"نعم","لا (خارج الجرد)"))</f>
        <v/>
      </c>
    </row>
    <row r="2662" customFormat="false" ht="15" hidden="false" customHeight="false" outlineLevel="0" collapsed="false">
      <c r="A2662" s="102"/>
      <c r="B2662" s="104"/>
      <c r="C2662" s="104"/>
      <c r="F2662" s="103" t="str">
        <f aca="false">IF(OR($C2662="",$D2662=0),"",$E2662/$D2662)</f>
        <v/>
      </c>
      <c r="H2662" s="0" t="str">
        <f aca="false">IF($C2662="","",IF(COUNTIF('مواد المخزون'!$A$2:$A$86,$C2662)&gt;0,"نعم","لا (خارج الجرد)"))</f>
        <v/>
      </c>
    </row>
    <row r="2663" customFormat="false" ht="15" hidden="false" customHeight="false" outlineLevel="0" collapsed="false">
      <c r="A2663" s="102"/>
      <c r="B2663" s="104"/>
      <c r="C2663" s="104"/>
      <c r="F2663" s="103" t="str">
        <f aca="false">IF(OR($C2663="",$D2663=0),"",$E2663/$D2663)</f>
        <v/>
      </c>
      <c r="H2663" s="0" t="str">
        <f aca="false">IF($C2663="","",IF(COUNTIF('مواد المخزون'!$A$2:$A$86,$C2663)&gt;0,"نعم","لا (خارج الجرد)"))</f>
        <v/>
      </c>
    </row>
    <row r="2664" customFormat="false" ht="15" hidden="false" customHeight="false" outlineLevel="0" collapsed="false">
      <c r="A2664" s="102"/>
      <c r="B2664" s="104"/>
      <c r="C2664" s="104"/>
      <c r="F2664" s="103" t="str">
        <f aca="false">IF(OR($C2664="",$D2664=0),"",$E2664/$D2664)</f>
        <v/>
      </c>
      <c r="H2664" s="0" t="str">
        <f aca="false">IF($C2664="","",IF(COUNTIF('مواد المخزون'!$A$2:$A$86,$C2664)&gt;0,"نعم","لا (خارج الجرد)"))</f>
        <v/>
      </c>
    </row>
    <row r="2665" customFormat="false" ht="15" hidden="false" customHeight="false" outlineLevel="0" collapsed="false">
      <c r="A2665" s="102"/>
      <c r="B2665" s="104"/>
      <c r="C2665" s="104"/>
      <c r="F2665" s="103" t="str">
        <f aca="false">IF(OR($C2665="",$D2665=0),"",$E2665/$D2665)</f>
        <v/>
      </c>
      <c r="H2665" s="0" t="str">
        <f aca="false">IF($C2665="","",IF(COUNTIF('مواد المخزون'!$A$2:$A$86,$C2665)&gt;0,"نعم","لا (خارج الجرد)"))</f>
        <v/>
      </c>
    </row>
    <row r="2666" customFormat="false" ht="15" hidden="false" customHeight="false" outlineLevel="0" collapsed="false">
      <c r="A2666" s="102"/>
      <c r="B2666" s="104"/>
      <c r="C2666" s="104"/>
      <c r="F2666" s="103" t="str">
        <f aca="false">IF(OR($C2666="",$D2666=0),"",$E2666/$D2666)</f>
        <v/>
      </c>
      <c r="H2666" s="0" t="str">
        <f aca="false">IF($C2666="","",IF(COUNTIF('مواد المخزون'!$A$2:$A$86,$C2666)&gt;0,"نعم","لا (خارج الجرد)"))</f>
        <v/>
      </c>
    </row>
    <row r="2667" customFormat="false" ht="15" hidden="false" customHeight="false" outlineLevel="0" collapsed="false">
      <c r="A2667" s="102"/>
      <c r="B2667" s="104"/>
      <c r="C2667" s="104"/>
      <c r="F2667" s="103" t="str">
        <f aca="false">IF(OR($C2667="",$D2667=0),"",$E2667/$D2667)</f>
        <v/>
      </c>
      <c r="H2667" s="0" t="str">
        <f aca="false">IF($C2667="","",IF(COUNTIF('مواد المخزون'!$A$2:$A$86,$C2667)&gt;0,"نعم","لا (خارج الجرد)"))</f>
        <v/>
      </c>
    </row>
    <row r="2668" customFormat="false" ht="15" hidden="false" customHeight="false" outlineLevel="0" collapsed="false">
      <c r="A2668" s="102"/>
      <c r="B2668" s="104"/>
      <c r="C2668" s="104"/>
      <c r="F2668" s="103" t="str">
        <f aca="false">IF(OR($C2668="",$D2668=0),"",$E2668/$D2668)</f>
        <v/>
      </c>
      <c r="H2668" s="0" t="str">
        <f aca="false">IF($C2668="","",IF(COUNTIF('مواد المخزون'!$A$2:$A$86,$C2668)&gt;0,"نعم","لا (خارج الجرد)"))</f>
        <v/>
      </c>
    </row>
    <row r="2669" customFormat="false" ht="15" hidden="false" customHeight="false" outlineLevel="0" collapsed="false">
      <c r="A2669" s="102"/>
      <c r="B2669" s="104"/>
      <c r="C2669" s="104"/>
      <c r="F2669" s="103" t="str">
        <f aca="false">IF(OR($C2669="",$D2669=0),"",$E2669/$D2669)</f>
        <v/>
      </c>
      <c r="H2669" s="0" t="str">
        <f aca="false">IF($C2669="","",IF(COUNTIF('مواد المخزون'!$A$2:$A$86,$C2669)&gt;0,"نعم","لا (خارج الجرد)"))</f>
        <v/>
      </c>
    </row>
    <row r="2670" customFormat="false" ht="15" hidden="false" customHeight="false" outlineLevel="0" collapsed="false">
      <c r="A2670" s="102"/>
      <c r="B2670" s="104"/>
      <c r="C2670" s="104"/>
      <c r="F2670" s="103" t="str">
        <f aca="false">IF(OR($C2670="",$D2670=0),"",$E2670/$D2670)</f>
        <v/>
      </c>
      <c r="H2670" s="0" t="str">
        <f aca="false">IF($C2670="","",IF(COUNTIF('مواد المخزون'!$A$2:$A$86,$C2670)&gt;0,"نعم","لا (خارج الجرد)"))</f>
        <v/>
      </c>
    </row>
    <row r="2671" customFormat="false" ht="15" hidden="false" customHeight="false" outlineLevel="0" collapsed="false">
      <c r="A2671" s="102"/>
      <c r="B2671" s="104"/>
      <c r="C2671" s="104"/>
      <c r="F2671" s="103" t="str">
        <f aca="false">IF(OR($C2671="",$D2671=0),"",$E2671/$D2671)</f>
        <v/>
      </c>
      <c r="H2671" s="0" t="str">
        <f aca="false">IF($C2671="","",IF(COUNTIF('مواد المخزون'!$A$2:$A$86,$C2671)&gt;0,"نعم","لا (خارج الجرد)"))</f>
        <v/>
      </c>
    </row>
    <row r="2672" customFormat="false" ht="15" hidden="false" customHeight="false" outlineLevel="0" collapsed="false">
      <c r="A2672" s="102"/>
      <c r="B2672" s="104"/>
      <c r="C2672" s="104"/>
      <c r="F2672" s="103" t="str">
        <f aca="false">IF(OR($C2672="",$D2672=0),"",$E2672/$D2672)</f>
        <v/>
      </c>
      <c r="H2672" s="0" t="str">
        <f aca="false">IF($C2672="","",IF(COUNTIF('مواد المخزون'!$A$2:$A$86,$C2672)&gt;0,"نعم","لا (خارج الجرد)"))</f>
        <v/>
      </c>
    </row>
    <row r="2673" customFormat="false" ht="15" hidden="false" customHeight="false" outlineLevel="0" collapsed="false">
      <c r="A2673" s="102"/>
      <c r="B2673" s="104"/>
      <c r="C2673" s="104"/>
      <c r="F2673" s="103" t="str">
        <f aca="false">IF(OR($C2673="",$D2673=0),"",$E2673/$D2673)</f>
        <v/>
      </c>
      <c r="H2673" s="0" t="str">
        <f aca="false">IF($C2673="","",IF(COUNTIF('مواد المخزون'!$A$2:$A$86,$C2673)&gt;0,"نعم","لا (خارج الجرد)"))</f>
        <v/>
      </c>
    </row>
    <row r="2674" customFormat="false" ht="15" hidden="false" customHeight="false" outlineLevel="0" collapsed="false">
      <c r="A2674" s="102"/>
      <c r="B2674" s="104"/>
      <c r="C2674" s="104"/>
      <c r="F2674" s="103" t="str">
        <f aca="false">IF(OR($C2674="",$D2674=0),"",$E2674/$D2674)</f>
        <v/>
      </c>
      <c r="H2674" s="0" t="str">
        <f aca="false">IF($C2674="","",IF(COUNTIF('مواد المخزون'!$A$2:$A$86,$C2674)&gt;0,"نعم","لا (خارج الجرد)"))</f>
        <v/>
      </c>
    </row>
    <row r="2675" customFormat="false" ht="15" hidden="false" customHeight="false" outlineLevel="0" collapsed="false">
      <c r="A2675" s="102"/>
      <c r="B2675" s="104"/>
      <c r="C2675" s="104"/>
      <c r="F2675" s="103" t="str">
        <f aca="false">IF(OR($C2675="",$D2675=0),"",$E2675/$D2675)</f>
        <v/>
      </c>
      <c r="H2675" s="0" t="str">
        <f aca="false">IF($C2675="","",IF(COUNTIF('مواد المخزون'!$A$2:$A$86,$C2675)&gt;0,"نعم","لا (خارج الجرد)"))</f>
        <v/>
      </c>
    </row>
    <row r="2676" customFormat="false" ht="15" hidden="false" customHeight="false" outlineLevel="0" collapsed="false">
      <c r="A2676" s="102"/>
      <c r="B2676" s="104"/>
      <c r="C2676" s="104"/>
      <c r="F2676" s="103" t="str">
        <f aca="false">IF(OR($C2676="",$D2676=0),"",$E2676/$D2676)</f>
        <v/>
      </c>
      <c r="H2676" s="0" t="str">
        <f aca="false">IF($C2676="","",IF(COUNTIF('مواد المخزون'!$A$2:$A$86,$C2676)&gt;0,"نعم","لا (خارج الجرد)"))</f>
        <v/>
      </c>
    </row>
    <row r="2677" customFormat="false" ht="15" hidden="false" customHeight="false" outlineLevel="0" collapsed="false">
      <c r="A2677" s="102"/>
      <c r="B2677" s="104"/>
      <c r="C2677" s="104"/>
      <c r="F2677" s="103" t="str">
        <f aca="false">IF(OR($C2677="",$D2677=0),"",$E2677/$D2677)</f>
        <v/>
      </c>
      <c r="H2677" s="0" t="str">
        <f aca="false">IF($C2677="","",IF(COUNTIF('مواد المخزون'!$A$2:$A$86,$C2677)&gt;0,"نعم","لا (خارج الجرد)"))</f>
        <v/>
      </c>
    </row>
    <row r="2678" customFormat="false" ht="15" hidden="false" customHeight="false" outlineLevel="0" collapsed="false">
      <c r="A2678" s="102"/>
      <c r="B2678" s="104"/>
      <c r="C2678" s="104"/>
      <c r="F2678" s="103" t="str">
        <f aca="false">IF(OR($C2678="",$D2678=0),"",$E2678/$D2678)</f>
        <v/>
      </c>
      <c r="H2678" s="0" t="str">
        <f aca="false">IF($C2678="","",IF(COUNTIF('مواد المخزون'!$A$2:$A$86,$C2678)&gt;0,"نعم","لا (خارج الجرد)"))</f>
        <v/>
      </c>
    </row>
    <row r="2679" customFormat="false" ht="15" hidden="false" customHeight="false" outlineLevel="0" collapsed="false">
      <c r="A2679" s="102"/>
      <c r="B2679" s="104"/>
      <c r="C2679" s="104"/>
      <c r="F2679" s="103" t="str">
        <f aca="false">IF(OR($C2679="",$D2679=0),"",$E2679/$D2679)</f>
        <v/>
      </c>
      <c r="H2679" s="0" t="str">
        <f aca="false">IF($C2679="","",IF(COUNTIF('مواد المخزون'!$A$2:$A$86,$C2679)&gt;0,"نعم","لا (خارج الجرد)"))</f>
        <v/>
      </c>
    </row>
    <row r="2680" customFormat="false" ht="15" hidden="false" customHeight="false" outlineLevel="0" collapsed="false">
      <c r="A2680" s="102"/>
      <c r="B2680" s="104"/>
      <c r="C2680" s="104"/>
      <c r="F2680" s="103" t="str">
        <f aca="false">IF(OR($C2680="",$D2680=0),"",$E2680/$D2680)</f>
        <v/>
      </c>
      <c r="H2680" s="0" t="str">
        <f aca="false">IF($C2680="","",IF(COUNTIF('مواد المخزون'!$A$2:$A$86,$C2680)&gt;0,"نعم","لا (خارج الجرد)"))</f>
        <v/>
      </c>
    </row>
    <row r="2681" customFormat="false" ht="15" hidden="false" customHeight="false" outlineLevel="0" collapsed="false">
      <c r="A2681" s="102"/>
      <c r="B2681" s="104"/>
      <c r="C2681" s="104"/>
      <c r="F2681" s="103" t="str">
        <f aca="false">IF(OR($C2681="",$D2681=0),"",$E2681/$D2681)</f>
        <v/>
      </c>
      <c r="H2681" s="0" t="str">
        <f aca="false">IF($C2681="","",IF(COUNTIF('مواد المخزون'!$A$2:$A$86,$C2681)&gt;0,"نعم","لا (خارج الجرد)"))</f>
        <v/>
      </c>
    </row>
    <row r="2682" customFormat="false" ht="15" hidden="false" customHeight="false" outlineLevel="0" collapsed="false">
      <c r="A2682" s="102"/>
      <c r="B2682" s="104"/>
      <c r="C2682" s="104"/>
      <c r="F2682" s="103" t="str">
        <f aca="false">IF(OR($C2682="",$D2682=0),"",$E2682/$D2682)</f>
        <v/>
      </c>
      <c r="H2682" s="0" t="str">
        <f aca="false">IF($C2682="","",IF(COUNTIF('مواد المخزون'!$A$2:$A$86,$C2682)&gt;0,"نعم","لا (خارج الجرد)"))</f>
        <v/>
      </c>
    </row>
    <row r="2683" customFormat="false" ht="15" hidden="false" customHeight="false" outlineLevel="0" collapsed="false">
      <c r="A2683" s="102"/>
      <c r="B2683" s="104"/>
      <c r="C2683" s="104"/>
      <c r="F2683" s="103" t="str">
        <f aca="false">IF(OR($C2683="",$D2683=0),"",$E2683/$D2683)</f>
        <v/>
      </c>
      <c r="H2683" s="0" t="str">
        <f aca="false">IF($C2683="","",IF(COUNTIF('مواد المخزون'!$A$2:$A$86,$C2683)&gt;0,"نعم","لا (خارج الجرد)"))</f>
        <v/>
      </c>
    </row>
    <row r="2684" customFormat="false" ht="15" hidden="false" customHeight="false" outlineLevel="0" collapsed="false">
      <c r="A2684" s="102"/>
      <c r="B2684" s="104"/>
      <c r="C2684" s="104"/>
      <c r="F2684" s="103" t="str">
        <f aca="false">IF(OR($C2684="",$D2684=0),"",$E2684/$D2684)</f>
        <v/>
      </c>
      <c r="H2684" s="0" t="str">
        <f aca="false">IF($C2684="","",IF(COUNTIF('مواد المخزون'!$A$2:$A$86,$C2684)&gt;0,"نعم","لا (خارج الجرد)"))</f>
        <v/>
      </c>
    </row>
    <row r="2685" customFormat="false" ht="15" hidden="false" customHeight="false" outlineLevel="0" collapsed="false">
      <c r="A2685" s="102"/>
      <c r="B2685" s="104"/>
      <c r="C2685" s="104"/>
      <c r="F2685" s="103" t="str">
        <f aca="false">IF(OR($C2685="",$D2685=0),"",$E2685/$D2685)</f>
        <v/>
      </c>
      <c r="H2685" s="0" t="str">
        <f aca="false">IF($C2685="","",IF(COUNTIF('مواد المخزون'!$A$2:$A$86,$C2685)&gt;0,"نعم","لا (خارج الجرد)"))</f>
        <v/>
      </c>
    </row>
    <row r="2686" customFormat="false" ht="15" hidden="false" customHeight="false" outlineLevel="0" collapsed="false">
      <c r="A2686" s="102"/>
      <c r="B2686" s="104"/>
      <c r="C2686" s="104"/>
      <c r="F2686" s="103" t="str">
        <f aca="false">IF(OR($C2686="",$D2686=0),"",$E2686/$D2686)</f>
        <v/>
      </c>
      <c r="H2686" s="0" t="str">
        <f aca="false">IF($C2686="","",IF(COUNTIF('مواد المخزون'!$A$2:$A$86,$C2686)&gt;0,"نعم","لا (خارج الجرد)"))</f>
        <v/>
      </c>
    </row>
    <row r="2687" customFormat="false" ht="15" hidden="false" customHeight="false" outlineLevel="0" collapsed="false">
      <c r="A2687" s="102"/>
      <c r="B2687" s="104"/>
      <c r="C2687" s="104"/>
      <c r="F2687" s="103" t="str">
        <f aca="false">IF(OR($C2687="",$D2687=0),"",$E2687/$D2687)</f>
        <v/>
      </c>
      <c r="H2687" s="0" t="str">
        <f aca="false">IF($C2687="","",IF(COUNTIF('مواد المخزون'!$A$2:$A$86,$C2687)&gt;0,"نعم","لا (خارج الجرد)"))</f>
        <v/>
      </c>
    </row>
    <row r="2688" customFormat="false" ht="15" hidden="false" customHeight="false" outlineLevel="0" collapsed="false">
      <c r="A2688" s="102"/>
      <c r="B2688" s="104"/>
      <c r="C2688" s="104"/>
      <c r="F2688" s="103" t="str">
        <f aca="false">IF(OR($C2688="",$D2688=0),"",$E2688/$D2688)</f>
        <v/>
      </c>
      <c r="H2688" s="0" t="str">
        <f aca="false">IF($C2688="","",IF(COUNTIF('مواد المخزون'!$A$2:$A$86,$C2688)&gt;0,"نعم","لا (خارج الجرد)"))</f>
        <v/>
      </c>
    </row>
    <row r="2689" customFormat="false" ht="15" hidden="false" customHeight="false" outlineLevel="0" collapsed="false">
      <c r="A2689" s="102"/>
      <c r="B2689" s="104"/>
      <c r="C2689" s="104"/>
      <c r="F2689" s="103" t="str">
        <f aca="false">IF(OR($C2689="",$D2689=0),"",$E2689/$D2689)</f>
        <v/>
      </c>
      <c r="H2689" s="0" t="str">
        <f aca="false">IF($C2689="","",IF(COUNTIF('مواد المخزون'!$A$2:$A$86,$C2689)&gt;0,"نعم","لا (خارج الجرد)"))</f>
        <v/>
      </c>
    </row>
    <row r="2690" customFormat="false" ht="15" hidden="false" customHeight="false" outlineLevel="0" collapsed="false">
      <c r="A2690" s="102"/>
      <c r="B2690" s="104"/>
      <c r="C2690" s="104"/>
      <c r="F2690" s="103" t="str">
        <f aca="false">IF(OR($C2690="",$D2690=0),"",$E2690/$D2690)</f>
        <v/>
      </c>
      <c r="H2690" s="0" t="str">
        <f aca="false">IF($C2690="","",IF(COUNTIF('مواد المخزون'!$A$2:$A$86,$C2690)&gt;0,"نعم","لا (خارج الجرد)"))</f>
        <v/>
      </c>
    </row>
    <row r="2691" customFormat="false" ht="15" hidden="false" customHeight="false" outlineLevel="0" collapsed="false">
      <c r="A2691" s="102"/>
      <c r="B2691" s="104"/>
      <c r="C2691" s="104"/>
      <c r="F2691" s="103" t="str">
        <f aca="false">IF(OR($C2691="",$D2691=0),"",$E2691/$D2691)</f>
        <v/>
      </c>
      <c r="H2691" s="0" t="str">
        <f aca="false">IF($C2691="","",IF(COUNTIF('مواد المخزون'!$A$2:$A$86,$C2691)&gt;0,"نعم","لا (خارج الجرد)"))</f>
        <v/>
      </c>
    </row>
    <row r="2692" customFormat="false" ht="15" hidden="false" customHeight="false" outlineLevel="0" collapsed="false">
      <c r="A2692" s="102"/>
      <c r="B2692" s="104"/>
      <c r="C2692" s="104"/>
      <c r="F2692" s="103" t="str">
        <f aca="false">IF(OR($C2692="",$D2692=0),"",$E2692/$D2692)</f>
        <v/>
      </c>
      <c r="H2692" s="0" t="str">
        <f aca="false">IF($C2692="","",IF(COUNTIF('مواد المخزون'!$A$2:$A$86,$C2692)&gt;0,"نعم","لا (خارج الجرد)"))</f>
        <v/>
      </c>
    </row>
    <row r="2693" customFormat="false" ht="15" hidden="false" customHeight="false" outlineLevel="0" collapsed="false">
      <c r="A2693" s="102"/>
      <c r="B2693" s="104"/>
      <c r="C2693" s="104"/>
      <c r="F2693" s="103" t="str">
        <f aca="false">IF(OR($C2693="",$D2693=0),"",$E2693/$D2693)</f>
        <v/>
      </c>
      <c r="H2693" s="0" t="str">
        <f aca="false">IF($C2693="","",IF(COUNTIF('مواد المخزون'!$A$2:$A$86,$C2693)&gt;0,"نعم","لا (خارج الجرد)"))</f>
        <v/>
      </c>
    </row>
    <row r="2694" customFormat="false" ht="15" hidden="false" customHeight="false" outlineLevel="0" collapsed="false">
      <c r="A2694" s="102"/>
      <c r="B2694" s="104"/>
      <c r="C2694" s="104"/>
      <c r="F2694" s="103" t="str">
        <f aca="false">IF(OR($C2694="",$D2694=0),"",$E2694/$D2694)</f>
        <v/>
      </c>
      <c r="H2694" s="0" t="str">
        <f aca="false">IF($C2694="","",IF(COUNTIF('مواد المخزون'!$A$2:$A$86,$C2694)&gt;0,"نعم","لا (خارج الجرد)"))</f>
        <v/>
      </c>
    </row>
    <row r="2695" customFormat="false" ht="15" hidden="false" customHeight="false" outlineLevel="0" collapsed="false">
      <c r="A2695" s="102"/>
      <c r="B2695" s="104"/>
      <c r="C2695" s="104"/>
      <c r="F2695" s="103" t="str">
        <f aca="false">IF(OR($C2695="",$D2695=0),"",$E2695/$D2695)</f>
        <v/>
      </c>
      <c r="H2695" s="0" t="str">
        <f aca="false">IF($C2695="","",IF(COUNTIF('مواد المخزون'!$A$2:$A$86,$C2695)&gt;0,"نعم","لا (خارج الجرد)"))</f>
        <v/>
      </c>
    </row>
    <row r="2696" customFormat="false" ht="15" hidden="false" customHeight="false" outlineLevel="0" collapsed="false">
      <c r="A2696" s="102"/>
      <c r="B2696" s="104"/>
      <c r="C2696" s="104"/>
      <c r="F2696" s="103" t="str">
        <f aca="false">IF(OR($C2696="",$D2696=0),"",$E2696/$D2696)</f>
        <v/>
      </c>
      <c r="H2696" s="0" t="str">
        <f aca="false">IF($C2696="","",IF(COUNTIF('مواد المخزون'!$A$2:$A$86,$C2696)&gt;0,"نعم","لا (خارج الجرد)"))</f>
        <v/>
      </c>
    </row>
    <row r="2697" customFormat="false" ht="15" hidden="false" customHeight="false" outlineLevel="0" collapsed="false">
      <c r="A2697" s="102"/>
      <c r="B2697" s="104"/>
      <c r="C2697" s="104"/>
      <c r="F2697" s="103" t="str">
        <f aca="false">IF(OR($C2697="",$D2697=0),"",$E2697/$D2697)</f>
        <v/>
      </c>
      <c r="H2697" s="0" t="str">
        <f aca="false">IF($C2697="","",IF(COUNTIF('مواد المخزون'!$A$2:$A$86,$C2697)&gt;0,"نعم","لا (خارج الجرد)"))</f>
        <v/>
      </c>
    </row>
    <row r="2698" customFormat="false" ht="15" hidden="false" customHeight="false" outlineLevel="0" collapsed="false">
      <c r="A2698" s="102"/>
      <c r="B2698" s="104"/>
      <c r="C2698" s="104"/>
      <c r="F2698" s="103" t="str">
        <f aca="false">IF(OR($C2698="",$D2698=0),"",$E2698/$D2698)</f>
        <v/>
      </c>
      <c r="H2698" s="0" t="str">
        <f aca="false">IF($C2698="","",IF(COUNTIF('مواد المخزون'!$A$2:$A$86,$C2698)&gt;0,"نعم","لا (خارج الجرد)"))</f>
        <v/>
      </c>
    </row>
    <row r="2699" customFormat="false" ht="15" hidden="false" customHeight="false" outlineLevel="0" collapsed="false">
      <c r="A2699" s="102"/>
      <c r="B2699" s="104"/>
      <c r="C2699" s="104"/>
      <c r="F2699" s="103" t="str">
        <f aca="false">IF(OR($C2699="",$D2699=0),"",$E2699/$D2699)</f>
        <v/>
      </c>
      <c r="H2699" s="0" t="str">
        <f aca="false">IF($C2699="","",IF(COUNTIF('مواد المخزون'!$A$2:$A$86,$C2699)&gt;0,"نعم","لا (خارج الجرد)"))</f>
        <v/>
      </c>
    </row>
    <row r="2700" customFormat="false" ht="15" hidden="false" customHeight="false" outlineLevel="0" collapsed="false">
      <c r="A2700" s="102"/>
      <c r="B2700" s="104"/>
      <c r="C2700" s="104"/>
      <c r="F2700" s="103" t="str">
        <f aca="false">IF(OR($C2700="",$D2700=0),"",$E2700/$D2700)</f>
        <v/>
      </c>
      <c r="H2700" s="0" t="str">
        <f aca="false">IF($C2700="","",IF(COUNTIF('مواد المخزون'!$A$2:$A$86,$C2700)&gt;0,"نعم","لا (خارج الجرد)"))</f>
        <v/>
      </c>
    </row>
    <row r="2701" customFormat="false" ht="15" hidden="false" customHeight="false" outlineLevel="0" collapsed="false">
      <c r="A2701" s="102"/>
      <c r="B2701" s="104"/>
      <c r="C2701" s="104"/>
      <c r="F2701" s="103" t="str">
        <f aca="false">IF(OR($C2701="",$D2701=0),"",$E2701/$D2701)</f>
        <v/>
      </c>
      <c r="H2701" s="0" t="str">
        <f aca="false">IF($C2701="","",IF(COUNTIF('مواد المخزون'!$A$2:$A$86,$C2701)&gt;0,"نعم","لا (خارج الجرد)"))</f>
        <v/>
      </c>
    </row>
    <row r="2702" customFormat="false" ht="15" hidden="false" customHeight="false" outlineLevel="0" collapsed="false">
      <c r="A2702" s="102"/>
      <c r="B2702" s="104"/>
      <c r="C2702" s="104"/>
      <c r="F2702" s="103" t="str">
        <f aca="false">IF(OR($C2702="",$D2702=0),"",$E2702/$D2702)</f>
        <v/>
      </c>
      <c r="H2702" s="0" t="str">
        <f aca="false">IF($C2702="","",IF(COUNTIF('مواد المخزون'!$A$2:$A$86,$C2702)&gt;0,"نعم","لا (خارج الجرد)"))</f>
        <v/>
      </c>
    </row>
    <row r="2703" customFormat="false" ht="15" hidden="false" customHeight="false" outlineLevel="0" collapsed="false">
      <c r="A2703" s="102"/>
      <c r="B2703" s="104"/>
      <c r="C2703" s="104"/>
      <c r="F2703" s="103" t="str">
        <f aca="false">IF(OR($C2703="",$D2703=0),"",$E2703/$D2703)</f>
        <v/>
      </c>
      <c r="H2703" s="0" t="str">
        <f aca="false">IF($C2703="","",IF(COUNTIF('مواد المخزون'!$A$2:$A$86,$C2703)&gt;0,"نعم","لا (خارج الجرد)"))</f>
        <v/>
      </c>
    </row>
    <row r="2704" customFormat="false" ht="15" hidden="false" customHeight="false" outlineLevel="0" collapsed="false">
      <c r="A2704" s="102"/>
      <c r="B2704" s="104"/>
      <c r="C2704" s="104"/>
      <c r="F2704" s="103" t="str">
        <f aca="false">IF(OR($C2704="",$D2704=0),"",$E2704/$D2704)</f>
        <v/>
      </c>
      <c r="H2704" s="0" t="str">
        <f aca="false">IF($C2704="","",IF(COUNTIF('مواد المخزون'!$A$2:$A$86,$C2704)&gt;0,"نعم","لا (خارج الجرد)"))</f>
        <v/>
      </c>
    </row>
    <row r="2705" customFormat="false" ht="15" hidden="false" customHeight="false" outlineLevel="0" collapsed="false">
      <c r="A2705" s="102"/>
      <c r="B2705" s="104"/>
      <c r="C2705" s="104"/>
      <c r="F2705" s="103" t="str">
        <f aca="false">IF(OR($C2705="",$D2705=0),"",$E2705/$D2705)</f>
        <v/>
      </c>
      <c r="H2705" s="0" t="str">
        <f aca="false">IF($C2705="","",IF(COUNTIF('مواد المخزون'!$A$2:$A$86,$C2705)&gt;0,"نعم","لا (خارج الجرد)"))</f>
        <v/>
      </c>
    </row>
    <row r="2706" customFormat="false" ht="15" hidden="false" customHeight="false" outlineLevel="0" collapsed="false">
      <c r="A2706" s="102"/>
      <c r="B2706" s="104"/>
      <c r="C2706" s="104"/>
      <c r="F2706" s="103" t="str">
        <f aca="false">IF(OR($C2706="",$D2706=0),"",$E2706/$D2706)</f>
        <v/>
      </c>
      <c r="H2706" s="0" t="str">
        <f aca="false">IF($C2706="","",IF(COUNTIF('مواد المخزون'!$A$2:$A$86,$C2706)&gt;0,"نعم","لا (خارج الجرد)"))</f>
        <v/>
      </c>
    </row>
    <row r="2707" customFormat="false" ht="15" hidden="false" customHeight="false" outlineLevel="0" collapsed="false">
      <c r="A2707" s="102"/>
      <c r="B2707" s="104"/>
      <c r="C2707" s="104"/>
      <c r="F2707" s="103" t="str">
        <f aca="false">IF(OR($C2707="",$D2707=0),"",$E2707/$D2707)</f>
        <v/>
      </c>
      <c r="H2707" s="0" t="str">
        <f aca="false">IF($C2707="","",IF(COUNTIF('مواد المخزون'!$A$2:$A$86,$C2707)&gt;0,"نعم","لا (خارج الجرد)"))</f>
        <v/>
      </c>
    </row>
    <row r="2708" customFormat="false" ht="15" hidden="false" customHeight="false" outlineLevel="0" collapsed="false">
      <c r="A2708" s="102"/>
      <c r="B2708" s="104"/>
      <c r="C2708" s="104"/>
      <c r="F2708" s="103" t="str">
        <f aca="false">IF(OR($C2708="",$D2708=0),"",$E2708/$D2708)</f>
        <v/>
      </c>
      <c r="H2708" s="0" t="str">
        <f aca="false">IF($C2708="","",IF(COUNTIF('مواد المخزون'!$A$2:$A$86,$C2708)&gt;0,"نعم","لا (خارج الجرد)"))</f>
        <v/>
      </c>
    </row>
    <row r="2709" customFormat="false" ht="15" hidden="false" customHeight="false" outlineLevel="0" collapsed="false">
      <c r="A2709" s="102"/>
      <c r="B2709" s="104"/>
      <c r="C2709" s="104"/>
      <c r="F2709" s="103" t="str">
        <f aca="false">IF(OR($C2709="",$D2709=0),"",$E2709/$D2709)</f>
        <v/>
      </c>
      <c r="H2709" s="0" t="str">
        <f aca="false">IF($C2709="","",IF(COUNTIF('مواد المخزون'!$A$2:$A$86,$C2709)&gt;0,"نعم","لا (خارج الجرد)"))</f>
        <v/>
      </c>
    </row>
    <row r="2710" customFormat="false" ht="15" hidden="false" customHeight="false" outlineLevel="0" collapsed="false">
      <c r="A2710" s="102"/>
      <c r="B2710" s="104"/>
      <c r="C2710" s="104"/>
      <c r="F2710" s="103" t="str">
        <f aca="false">IF(OR($C2710="",$D2710=0),"",$E2710/$D2710)</f>
        <v/>
      </c>
      <c r="H2710" s="0" t="str">
        <f aca="false">IF($C2710="","",IF(COUNTIF('مواد المخزون'!$A$2:$A$86,$C2710)&gt;0,"نعم","لا (خارج الجرد)"))</f>
        <v/>
      </c>
    </row>
    <row r="2711" customFormat="false" ht="15" hidden="false" customHeight="false" outlineLevel="0" collapsed="false">
      <c r="A2711" s="102"/>
      <c r="B2711" s="104"/>
      <c r="C2711" s="104"/>
      <c r="F2711" s="103" t="str">
        <f aca="false">IF(OR($C2711="",$D2711=0),"",$E2711/$D2711)</f>
        <v/>
      </c>
      <c r="H2711" s="0" t="str">
        <f aca="false">IF($C2711="","",IF(COUNTIF('مواد المخزون'!$A$2:$A$86,$C2711)&gt;0,"نعم","لا (خارج الجرد)"))</f>
        <v/>
      </c>
    </row>
    <row r="2712" customFormat="false" ht="15" hidden="false" customHeight="false" outlineLevel="0" collapsed="false">
      <c r="A2712" s="102"/>
      <c r="B2712" s="104"/>
      <c r="C2712" s="104"/>
      <c r="F2712" s="103" t="str">
        <f aca="false">IF(OR($C2712="",$D2712=0),"",$E2712/$D2712)</f>
        <v/>
      </c>
      <c r="H2712" s="0" t="str">
        <f aca="false">IF($C2712="","",IF(COUNTIF('مواد المخزون'!$A$2:$A$86,$C2712)&gt;0,"نعم","لا (خارج الجرد)"))</f>
        <v/>
      </c>
    </row>
    <row r="2713" customFormat="false" ht="15" hidden="false" customHeight="false" outlineLevel="0" collapsed="false">
      <c r="A2713" s="102"/>
      <c r="B2713" s="104"/>
      <c r="C2713" s="104"/>
      <c r="F2713" s="103" t="str">
        <f aca="false">IF(OR($C2713="",$D2713=0),"",$E2713/$D2713)</f>
        <v/>
      </c>
      <c r="H2713" s="0" t="str">
        <f aca="false">IF($C2713="","",IF(COUNTIF('مواد المخزون'!$A$2:$A$86,$C2713)&gt;0,"نعم","لا (خارج الجرد)"))</f>
        <v/>
      </c>
    </row>
    <row r="2714" customFormat="false" ht="15" hidden="false" customHeight="false" outlineLevel="0" collapsed="false">
      <c r="A2714" s="102"/>
      <c r="B2714" s="104"/>
      <c r="C2714" s="104"/>
      <c r="F2714" s="103" t="str">
        <f aca="false">IF(OR($C2714="",$D2714=0),"",$E2714/$D2714)</f>
        <v/>
      </c>
      <c r="H2714" s="0" t="str">
        <f aca="false">IF($C2714="","",IF(COUNTIF('مواد المخزون'!$A$2:$A$86,$C2714)&gt;0,"نعم","لا (خارج الجرد)"))</f>
        <v/>
      </c>
    </row>
    <row r="2715" customFormat="false" ht="15" hidden="false" customHeight="false" outlineLevel="0" collapsed="false">
      <c r="A2715" s="102"/>
      <c r="B2715" s="104"/>
      <c r="C2715" s="104"/>
      <c r="F2715" s="103" t="str">
        <f aca="false">IF(OR($C2715="",$D2715=0),"",$E2715/$D2715)</f>
        <v/>
      </c>
      <c r="H2715" s="0" t="str">
        <f aca="false">IF($C2715="","",IF(COUNTIF('مواد المخزون'!$A$2:$A$86,$C2715)&gt;0,"نعم","لا (خارج الجرد)"))</f>
        <v/>
      </c>
    </row>
    <row r="2716" customFormat="false" ht="15" hidden="false" customHeight="false" outlineLevel="0" collapsed="false">
      <c r="A2716" s="102"/>
      <c r="B2716" s="104"/>
      <c r="C2716" s="104"/>
      <c r="F2716" s="103" t="str">
        <f aca="false">IF(OR($C2716="",$D2716=0),"",$E2716/$D2716)</f>
        <v/>
      </c>
      <c r="H2716" s="0" t="str">
        <f aca="false">IF($C2716="","",IF(COUNTIF('مواد المخزون'!$A$2:$A$86,$C2716)&gt;0,"نعم","لا (خارج الجرد)"))</f>
        <v/>
      </c>
    </row>
    <row r="2717" customFormat="false" ht="15" hidden="false" customHeight="false" outlineLevel="0" collapsed="false">
      <c r="A2717" s="102"/>
      <c r="B2717" s="104"/>
      <c r="C2717" s="104"/>
      <c r="F2717" s="103" t="str">
        <f aca="false">IF(OR($C2717="",$D2717=0),"",$E2717/$D2717)</f>
        <v/>
      </c>
      <c r="H2717" s="0" t="str">
        <f aca="false">IF($C2717="","",IF(COUNTIF('مواد المخزون'!$A$2:$A$86,$C2717)&gt;0,"نعم","لا (خارج الجرد)"))</f>
        <v/>
      </c>
    </row>
    <row r="2718" customFormat="false" ht="15" hidden="false" customHeight="false" outlineLevel="0" collapsed="false">
      <c r="A2718" s="102"/>
      <c r="B2718" s="104"/>
      <c r="C2718" s="104"/>
      <c r="F2718" s="103" t="str">
        <f aca="false">IF(OR($C2718="",$D2718=0),"",$E2718/$D2718)</f>
        <v/>
      </c>
      <c r="H2718" s="0" t="str">
        <f aca="false">IF($C2718="","",IF(COUNTIF('مواد المخزون'!$A$2:$A$86,$C2718)&gt;0,"نعم","لا (خارج الجرد)"))</f>
        <v/>
      </c>
    </row>
    <row r="2719" customFormat="false" ht="15" hidden="false" customHeight="false" outlineLevel="0" collapsed="false">
      <c r="A2719" s="102"/>
      <c r="B2719" s="104"/>
      <c r="C2719" s="104"/>
      <c r="F2719" s="103" t="str">
        <f aca="false">IF(OR($C2719="",$D2719=0),"",$E2719/$D2719)</f>
        <v/>
      </c>
      <c r="H2719" s="0" t="str">
        <f aca="false">IF($C2719="","",IF(COUNTIF('مواد المخزون'!$A$2:$A$86,$C2719)&gt;0,"نعم","لا (خارج الجرد)"))</f>
        <v/>
      </c>
    </row>
    <row r="2720" customFormat="false" ht="15" hidden="false" customHeight="false" outlineLevel="0" collapsed="false">
      <c r="A2720" s="102"/>
      <c r="B2720" s="104"/>
      <c r="C2720" s="104"/>
      <c r="F2720" s="103" t="str">
        <f aca="false">IF(OR($C2720="",$D2720=0),"",$E2720/$D2720)</f>
        <v/>
      </c>
      <c r="H2720" s="0" t="str">
        <f aca="false">IF($C2720="","",IF(COUNTIF('مواد المخزون'!$A$2:$A$86,$C2720)&gt;0,"نعم","لا (خارج الجرد)"))</f>
        <v/>
      </c>
    </row>
    <row r="2721" customFormat="false" ht="15" hidden="false" customHeight="false" outlineLevel="0" collapsed="false">
      <c r="A2721" s="102"/>
      <c r="B2721" s="104"/>
      <c r="C2721" s="104"/>
      <c r="F2721" s="103" t="str">
        <f aca="false">IF(OR($C2721="",$D2721=0),"",$E2721/$D2721)</f>
        <v/>
      </c>
      <c r="H2721" s="0" t="str">
        <f aca="false">IF($C2721="","",IF(COUNTIF('مواد المخزون'!$A$2:$A$86,$C2721)&gt;0,"نعم","لا (خارج الجرد)"))</f>
        <v/>
      </c>
    </row>
    <row r="2722" customFormat="false" ht="15" hidden="false" customHeight="false" outlineLevel="0" collapsed="false">
      <c r="A2722" s="102"/>
      <c r="B2722" s="104"/>
      <c r="C2722" s="104"/>
      <c r="F2722" s="103" t="str">
        <f aca="false">IF(OR($C2722="",$D2722=0),"",$E2722/$D2722)</f>
        <v/>
      </c>
      <c r="H2722" s="0" t="str">
        <f aca="false">IF($C2722="","",IF(COUNTIF('مواد المخزون'!$A$2:$A$86,$C2722)&gt;0,"نعم","لا (خارج الجرد)"))</f>
        <v/>
      </c>
    </row>
    <row r="2723" customFormat="false" ht="15" hidden="false" customHeight="false" outlineLevel="0" collapsed="false">
      <c r="A2723" s="102"/>
      <c r="B2723" s="104"/>
      <c r="C2723" s="104"/>
      <c r="F2723" s="103" t="str">
        <f aca="false">IF(OR($C2723="",$D2723=0),"",$E2723/$D2723)</f>
        <v/>
      </c>
      <c r="H2723" s="0" t="str">
        <f aca="false">IF($C2723="","",IF(COUNTIF('مواد المخزون'!$A$2:$A$86,$C2723)&gt;0,"نعم","لا (خارج الجرد)"))</f>
        <v/>
      </c>
    </row>
    <row r="2724" customFormat="false" ht="15" hidden="false" customHeight="false" outlineLevel="0" collapsed="false">
      <c r="A2724" s="102"/>
      <c r="B2724" s="104"/>
      <c r="C2724" s="104"/>
      <c r="F2724" s="103" t="str">
        <f aca="false">IF(OR($C2724="",$D2724=0),"",$E2724/$D2724)</f>
        <v/>
      </c>
      <c r="H2724" s="0" t="str">
        <f aca="false">IF($C2724="","",IF(COUNTIF('مواد المخزون'!$A$2:$A$86,$C2724)&gt;0,"نعم","لا (خارج الجرد)"))</f>
        <v/>
      </c>
    </row>
    <row r="2725" customFormat="false" ht="15" hidden="false" customHeight="false" outlineLevel="0" collapsed="false">
      <c r="A2725" s="102"/>
      <c r="B2725" s="104"/>
      <c r="C2725" s="104"/>
      <c r="F2725" s="103" t="str">
        <f aca="false">IF(OR($C2725="",$D2725=0),"",$E2725/$D2725)</f>
        <v/>
      </c>
      <c r="H2725" s="0" t="str">
        <f aca="false">IF($C2725="","",IF(COUNTIF('مواد المخزون'!$A$2:$A$86,$C2725)&gt;0,"نعم","لا (خارج الجرد)"))</f>
        <v/>
      </c>
    </row>
    <row r="2726" customFormat="false" ht="15" hidden="false" customHeight="false" outlineLevel="0" collapsed="false">
      <c r="A2726" s="102"/>
      <c r="B2726" s="104"/>
      <c r="C2726" s="104"/>
      <c r="F2726" s="103" t="str">
        <f aca="false">IF(OR($C2726="",$D2726=0),"",$E2726/$D2726)</f>
        <v/>
      </c>
      <c r="H2726" s="0" t="str">
        <f aca="false">IF($C2726="","",IF(COUNTIF('مواد المخزون'!$A$2:$A$86,$C2726)&gt;0,"نعم","لا (خارج الجرد)"))</f>
        <v/>
      </c>
    </row>
    <row r="2727" customFormat="false" ht="15" hidden="false" customHeight="false" outlineLevel="0" collapsed="false">
      <c r="A2727" s="102"/>
      <c r="B2727" s="104"/>
      <c r="C2727" s="104"/>
      <c r="F2727" s="103" t="str">
        <f aca="false">IF(OR($C2727="",$D2727=0),"",$E2727/$D2727)</f>
        <v/>
      </c>
      <c r="H2727" s="0" t="str">
        <f aca="false">IF($C2727="","",IF(COUNTIF('مواد المخزون'!$A$2:$A$86,$C2727)&gt;0,"نعم","لا (خارج الجرد)"))</f>
        <v/>
      </c>
    </row>
    <row r="2728" customFormat="false" ht="15" hidden="false" customHeight="false" outlineLevel="0" collapsed="false">
      <c r="A2728" s="102"/>
      <c r="B2728" s="104"/>
      <c r="C2728" s="104"/>
      <c r="F2728" s="103" t="str">
        <f aca="false">IF(OR($C2728="",$D2728=0),"",$E2728/$D2728)</f>
        <v/>
      </c>
      <c r="H2728" s="0" t="str">
        <f aca="false">IF($C2728="","",IF(COUNTIF('مواد المخزون'!$A$2:$A$86,$C2728)&gt;0,"نعم","لا (خارج الجرد)"))</f>
        <v/>
      </c>
    </row>
    <row r="2729" customFormat="false" ht="15" hidden="false" customHeight="false" outlineLevel="0" collapsed="false">
      <c r="A2729" s="102"/>
      <c r="B2729" s="104"/>
      <c r="C2729" s="104"/>
      <c r="F2729" s="103" t="str">
        <f aca="false">IF(OR($C2729="",$D2729=0),"",$E2729/$D2729)</f>
        <v/>
      </c>
      <c r="H2729" s="0" t="str">
        <f aca="false">IF($C2729="","",IF(COUNTIF('مواد المخزون'!$A$2:$A$86,$C2729)&gt;0,"نعم","لا (خارج الجرد)"))</f>
        <v/>
      </c>
    </row>
    <row r="2730" customFormat="false" ht="15" hidden="false" customHeight="false" outlineLevel="0" collapsed="false">
      <c r="A2730" s="102"/>
      <c r="B2730" s="104"/>
      <c r="C2730" s="104"/>
      <c r="F2730" s="103" t="str">
        <f aca="false">IF(OR($C2730="",$D2730=0),"",$E2730/$D2730)</f>
        <v/>
      </c>
      <c r="H2730" s="0" t="str">
        <f aca="false">IF($C2730="","",IF(COUNTIF('مواد المخزون'!$A$2:$A$86,$C2730)&gt;0,"نعم","لا (خارج الجرد)"))</f>
        <v/>
      </c>
    </row>
    <row r="2731" customFormat="false" ht="15" hidden="false" customHeight="false" outlineLevel="0" collapsed="false">
      <c r="A2731" s="102"/>
      <c r="B2731" s="104"/>
      <c r="C2731" s="104"/>
      <c r="F2731" s="103" t="str">
        <f aca="false">IF(OR($C2731="",$D2731=0),"",$E2731/$D2731)</f>
        <v/>
      </c>
      <c r="H2731" s="0" t="str">
        <f aca="false">IF($C2731="","",IF(COUNTIF('مواد المخزون'!$A$2:$A$86,$C2731)&gt;0,"نعم","لا (خارج الجرد)"))</f>
        <v/>
      </c>
    </row>
    <row r="2732" customFormat="false" ht="15" hidden="false" customHeight="false" outlineLevel="0" collapsed="false">
      <c r="A2732" s="102"/>
      <c r="B2732" s="104"/>
      <c r="C2732" s="104"/>
      <c r="F2732" s="103" t="str">
        <f aca="false">IF(OR($C2732="",$D2732=0),"",$E2732/$D2732)</f>
        <v/>
      </c>
      <c r="H2732" s="0" t="str">
        <f aca="false">IF($C2732="","",IF(COUNTIF('مواد المخزون'!$A$2:$A$86,$C2732)&gt;0,"نعم","لا (خارج الجرد)"))</f>
        <v/>
      </c>
    </row>
    <row r="2733" customFormat="false" ht="15" hidden="false" customHeight="false" outlineLevel="0" collapsed="false">
      <c r="A2733" s="102"/>
      <c r="B2733" s="104"/>
      <c r="C2733" s="104"/>
      <c r="F2733" s="103" t="str">
        <f aca="false">IF(OR($C2733="",$D2733=0),"",$E2733/$D2733)</f>
        <v/>
      </c>
      <c r="H2733" s="0" t="str">
        <f aca="false">IF($C2733="","",IF(COUNTIF('مواد المخزون'!$A$2:$A$86,$C2733)&gt;0,"نعم","لا (خارج الجرد)"))</f>
        <v/>
      </c>
    </row>
    <row r="2734" customFormat="false" ht="15" hidden="false" customHeight="false" outlineLevel="0" collapsed="false">
      <c r="A2734" s="102"/>
      <c r="B2734" s="104"/>
      <c r="C2734" s="104"/>
      <c r="F2734" s="103" t="str">
        <f aca="false">IF(OR($C2734="",$D2734=0),"",$E2734/$D2734)</f>
        <v/>
      </c>
      <c r="H2734" s="0" t="str">
        <f aca="false">IF($C2734="","",IF(COUNTIF('مواد المخزون'!$A$2:$A$86,$C2734)&gt;0,"نعم","لا (خارج الجرد)"))</f>
        <v/>
      </c>
    </row>
    <row r="2735" customFormat="false" ht="15" hidden="false" customHeight="false" outlineLevel="0" collapsed="false">
      <c r="A2735" s="102"/>
      <c r="B2735" s="104"/>
      <c r="C2735" s="104"/>
      <c r="F2735" s="103" t="str">
        <f aca="false">IF(OR($C2735="",$D2735=0),"",$E2735/$D2735)</f>
        <v/>
      </c>
      <c r="H2735" s="0" t="str">
        <f aca="false">IF($C2735="","",IF(COUNTIF('مواد المخزون'!$A$2:$A$86,$C2735)&gt;0,"نعم","لا (خارج الجرد)"))</f>
        <v/>
      </c>
    </row>
    <row r="2736" customFormat="false" ht="15" hidden="false" customHeight="false" outlineLevel="0" collapsed="false">
      <c r="A2736" s="102"/>
      <c r="B2736" s="104"/>
      <c r="C2736" s="104"/>
      <c r="F2736" s="103" t="str">
        <f aca="false">IF(OR($C2736="",$D2736=0),"",$E2736/$D2736)</f>
        <v/>
      </c>
      <c r="H2736" s="0" t="str">
        <f aca="false">IF($C2736="","",IF(COUNTIF('مواد المخزون'!$A$2:$A$86,$C2736)&gt;0,"نعم","لا (خارج الجرد)"))</f>
        <v/>
      </c>
    </row>
    <row r="2737" customFormat="false" ht="15" hidden="false" customHeight="false" outlineLevel="0" collapsed="false">
      <c r="A2737" s="102"/>
      <c r="B2737" s="104"/>
      <c r="C2737" s="104"/>
      <c r="F2737" s="103" t="str">
        <f aca="false">IF(OR($C2737="",$D2737=0),"",$E2737/$D2737)</f>
        <v/>
      </c>
      <c r="H2737" s="0" t="str">
        <f aca="false">IF($C2737="","",IF(COUNTIF('مواد المخزون'!$A$2:$A$86,$C2737)&gt;0,"نعم","لا (خارج الجرد)"))</f>
        <v/>
      </c>
    </row>
    <row r="2738" customFormat="false" ht="15" hidden="false" customHeight="false" outlineLevel="0" collapsed="false">
      <c r="A2738" s="102"/>
      <c r="B2738" s="104"/>
      <c r="C2738" s="104"/>
      <c r="F2738" s="103" t="str">
        <f aca="false">IF(OR($C2738="",$D2738=0),"",$E2738/$D2738)</f>
        <v/>
      </c>
      <c r="H2738" s="0" t="str">
        <f aca="false">IF($C2738="","",IF(COUNTIF('مواد المخزون'!$A$2:$A$86,$C2738)&gt;0,"نعم","لا (خارج الجرد)"))</f>
        <v/>
      </c>
    </row>
    <row r="2739" customFormat="false" ht="15" hidden="false" customHeight="false" outlineLevel="0" collapsed="false">
      <c r="A2739" s="102"/>
      <c r="B2739" s="104"/>
      <c r="C2739" s="104"/>
      <c r="F2739" s="103" t="str">
        <f aca="false">IF(OR($C2739="",$D2739=0),"",$E2739/$D2739)</f>
        <v/>
      </c>
      <c r="H2739" s="0" t="str">
        <f aca="false">IF($C2739="","",IF(COUNTIF('مواد المخزون'!$A$2:$A$86,$C2739)&gt;0,"نعم","لا (خارج الجرد)"))</f>
        <v/>
      </c>
    </row>
    <row r="2740" customFormat="false" ht="15" hidden="false" customHeight="false" outlineLevel="0" collapsed="false">
      <c r="A2740" s="102"/>
      <c r="B2740" s="104"/>
      <c r="C2740" s="104"/>
      <c r="F2740" s="103" t="str">
        <f aca="false">IF(OR($C2740="",$D2740=0),"",$E2740/$D2740)</f>
        <v/>
      </c>
      <c r="H2740" s="0" t="str">
        <f aca="false">IF($C2740="","",IF(COUNTIF('مواد المخزون'!$A$2:$A$86,$C2740)&gt;0,"نعم","لا (خارج الجرد)"))</f>
        <v/>
      </c>
    </row>
    <row r="2741" customFormat="false" ht="15" hidden="false" customHeight="false" outlineLevel="0" collapsed="false">
      <c r="A2741" s="102"/>
      <c r="B2741" s="104"/>
      <c r="C2741" s="104"/>
      <c r="F2741" s="103" t="str">
        <f aca="false">IF(OR($C2741="",$D2741=0),"",$E2741/$D2741)</f>
        <v/>
      </c>
      <c r="H2741" s="0" t="str">
        <f aca="false">IF($C2741="","",IF(COUNTIF('مواد المخزون'!$A$2:$A$86,$C2741)&gt;0,"نعم","لا (خارج الجرد)"))</f>
        <v/>
      </c>
    </row>
    <row r="2742" customFormat="false" ht="15" hidden="false" customHeight="false" outlineLevel="0" collapsed="false">
      <c r="A2742" s="102"/>
      <c r="B2742" s="104"/>
      <c r="C2742" s="104"/>
      <c r="F2742" s="103" t="str">
        <f aca="false">IF(OR($C2742="",$D2742=0),"",$E2742/$D2742)</f>
        <v/>
      </c>
      <c r="H2742" s="0" t="str">
        <f aca="false">IF($C2742="","",IF(COUNTIF('مواد المخزون'!$A$2:$A$86,$C2742)&gt;0,"نعم","لا (خارج الجرد)"))</f>
        <v/>
      </c>
    </row>
    <row r="2743" customFormat="false" ht="15" hidden="false" customHeight="false" outlineLevel="0" collapsed="false">
      <c r="A2743" s="102"/>
      <c r="B2743" s="104"/>
      <c r="C2743" s="104"/>
      <c r="F2743" s="103" t="str">
        <f aca="false">IF(OR($C2743="",$D2743=0),"",$E2743/$D2743)</f>
        <v/>
      </c>
      <c r="H2743" s="0" t="str">
        <f aca="false">IF($C2743="","",IF(COUNTIF('مواد المخزون'!$A$2:$A$86,$C2743)&gt;0,"نعم","لا (خارج الجرد)"))</f>
        <v/>
      </c>
    </row>
    <row r="2744" customFormat="false" ht="15" hidden="false" customHeight="false" outlineLevel="0" collapsed="false">
      <c r="A2744" s="102"/>
      <c r="B2744" s="104"/>
      <c r="C2744" s="104"/>
      <c r="F2744" s="103" t="str">
        <f aca="false">IF(OR($C2744="",$D2744=0),"",$E2744/$D2744)</f>
        <v/>
      </c>
      <c r="H2744" s="0" t="str">
        <f aca="false">IF($C2744="","",IF(COUNTIF('مواد المخزون'!$A$2:$A$86,$C2744)&gt;0,"نعم","لا (خارج الجرد)"))</f>
        <v/>
      </c>
    </row>
    <row r="2745" customFormat="false" ht="15" hidden="false" customHeight="false" outlineLevel="0" collapsed="false">
      <c r="A2745" s="102"/>
      <c r="B2745" s="104"/>
      <c r="C2745" s="104"/>
      <c r="F2745" s="103" t="str">
        <f aca="false">IF(OR($C2745="",$D2745=0),"",$E2745/$D2745)</f>
        <v/>
      </c>
      <c r="H2745" s="0" t="str">
        <f aca="false">IF($C2745="","",IF(COUNTIF('مواد المخزون'!$A$2:$A$86,$C2745)&gt;0,"نعم","لا (خارج الجرد)"))</f>
        <v/>
      </c>
    </row>
    <row r="2746" customFormat="false" ht="15" hidden="false" customHeight="false" outlineLevel="0" collapsed="false">
      <c r="A2746" s="102"/>
      <c r="B2746" s="104"/>
      <c r="C2746" s="104"/>
      <c r="F2746" s="103" t="str">
        <f aca="false">IF(OR($C2746="",$D2746=0),"",$E2746/$D2746)</f>
        <v/>
      </c>
      <c r="H2746" s="0" t="str">
        <f aca="false">IF($C2746="","",IF(COUNTIF('مواد المخزون'!$A$2:$A$86,$C2746)&gt;0,"نعم","لا (خارج الجرد)"))</f>
        <v/>
      </c>
    </row>
    <row r="2747" customFormat="false" ht="15" hidden="false" customHeight="false" outlineLevel="0" collapsed="false">
      <c r="A2747" s="102"/>
      <c r="B2747" s="104"/>
      <c r="C2747" s="104"/>
      <c r="F2747" s="103" t="str">
        <f aca="false">IF(OR($C2747="",$D2747=0),"",$E2747/$D2747)</f>
        <v/>
      </c>
      <c r="H2747" s="0" t="str">
        <f aca="false">IF($C2747="","",IF(COUNTIF('مواد المخزون'!$A$2:$A$86,$C2747)&gt;0,"نعم","لا (خارج الجرد)"))</f>
        <v/>
      </c>
    </row>
    <row r="2748" customFormat="false" ht="15" hidden="false" customHeight="false" outlineLevel="0" collapsed="false">
      <c r="A2748" s="102"/>
      <c r="B2748" s="104"/>
      <c r="C2748" s="104"/>
      <c r="F2748" s="103" t="str">
        <f aca="false">IF(OR($C2748="",$D2748=0),"",$E2748/$D2748)</f>
        <v/>
      </c>
      <c r="H2748" s="0" t="str">
        <f aca="false">IF($C2748="","",IF(COUNTIF('مواد المخزون'!$A$2:$A$86,$C2748)&gt;0,"نعم","لا (خارج الجرد)"))</f>
        <v/>
      </c>
    </row>
    <row r="2749" customFormat="false" ht="15" hidden="false" customHeight="false" outlineLevel="0" collapsed="false">
      <c r="A2749" s="102"/>
      <c r="B2749" s="104"/>
      <c r="C2749" s="104"/>
      <c r="F2749" s="103" t="str">
        <f aca="false">IF(OR($C2749="",$D2749=0),"",$E2749/$D2749)</f>
        <v/>
      </c>
      <c r="H2749" s="0" t="str">
        <f aca="false">IF($C2749="","",IF(COUNTIF('مواد المخزون'!$A$2:$A$86,$C2749)&gt;0,"نعم","لا (خارج الجرد)"))</f>
        <v/>
      </c>
    </row>
    <row r="2750" customFormat="false" ht="15" hidden="false" customHeight="false" outlineLevel="0" collapsed="false">
      <c r="A2750" s="102"/>
      <c r="B2750" s="104"/>
      <c r="C2750" s="104"/>
      <c r="F2750" s="103" t="str">
        <f aca="false">IF(OR($C2750="",$D2750=0),"",$E2750/$D2750)</f>
        <v/>
      </c>
      <c r="H2750" s="0" t="str">
        <f aca="false">IF($C2750="","",IF(COUNTIF('مواد المخزون'!$A$2:$A$86,$C2750)&gt;0,"نعم","لا (خارج الجرد)"))</f>
        <v/>
      </c>
    </row>
    <row r="2751" customFormat="false" ht="15" hidden="false" customHeight="false" outlineLevel="0" collapsed="false">
      <c r="A2751" s="102"/>
      <c r="B2751" s="104"/>
      <c r="C2751" s="104"/>
      <c r="F2751" s="103" t="str">
        <f aca="false">IF(OR($C2751="",$D2751=0),"",$E2751/$D2751)</f>
        <v/>
      </c>
      <c r="H2751" s="0" t="str">
        <f aca="false">IF($C2751="","",IF(COUNTIF('مواد المخزون'!$A$2:$A$86,$C2751)&gt;0,"نعم","لا (خارج الجرد)"))</f>
        <v/>
      </c>
    </row>
    <row r="2752" customFormat="false" ht="15" hidden="false" customHeight="false" outlineLevel="0" collapsed="false">
      <c r="A2752" s="102"/>
      <c r="B2752" s="104"/>
      <c r="C2752" s="104"/>
      <c r="F2752" s="103" t="str">
        <f aca="false">IF(OR($C2752="",$D2752=0),"",$E2752/$D2752)</f>
        <v/>
      </c>
      <c r="H2752" s="0" t="str">
        <f aca="false">IF($C2752="","",IF(COUNTIF('مواد المخزون'!$A$2:$A$86,$C2752)&gt;0,"نعم","لا (خارج الجرد)"))</f>
        <v/>
      </c>
    </row>
    <row r="2753" customFormat="false" ht="15" hidden="false" customHeight="false" outlineLevel="0" collapsed="false">
      <c r="A2753" s="102"/>
      <c r="B2753" s="104"/>
      <c r="C2753" s="104"/>
      <c r="F2753" s="103" t="str">
        <f aca="false">IF(OR($C2753="",$D2753=0),"",$E2753/$D2753)</f>
        <v/>
      </c>
      <c r="H2753" s="0" t="str">
        <f aca="false">IF($C2753="","",IF(COUNTIF('مواد المخزون'!$A$2:$A$86,$C2753)&gt;0,"نعم","لا (خارج الجرد)"))</f>
        <v/>
      </c>
    </row>
    <row r="2754" customFormat="false" ht="15" hidden="false" customHeight="false" outlineLevel="0" collapsed="false">
      <c r="A2754" s="102"/>
      <c r="B2754" s="104"/>
      <c r="C2754" s="104"/>
      <c r="F2754" s="103" t="str">
        <f aca="false">IF(OR($C2754="",$D2754=0),"",$E2754/$D2754)</f>
        <v/>
      </c>
      <c r="H2754" s="0" t="str">
        <f aca="false">IF($C2754="","",IF(COUNTIF('مواد المخزون'!$A$2:$A$86,$C2754)&gt;0,"نعم","لا (خارج الجرد)"))</f>
        <v/>
      </c>
    </row>
    <row r="2755" customFormat="false" ht="15" hidden="false" customHeight="false" outlineLevel="0" collapsed="false">
      <c r="A2755" s="102"/>
      <c r="B2755" s="104"/>
      <c r="C2755" s="104"/>
      <c r="F2755" s="103" t="str">
        <f aca="false">IF(OR($C2755="",$D2755=0),"",$E2755/$D2755)</f>
        <v/>
      </c>
      <c r="H2755" s="0" t="str">
        <f aca="false">IF($C2755="","",IF(COUNTIF('مواد المخزون'!$A$2:$A$86,$C2755)&gt;0,"نعم","لا (خارج الجرد)"))</f>
        <v/>
      </c>
    </row>
    <row r="2756" customFormat="false" ht="15" hidden="false" customHeight="false" outlineLevel="0" collapsed="false">
      <c r="A2756" s="102"/>
      <c r="B2756" s="104"/>
      <c r="C2756" s="104"/>
      <c r="F2756" s="103" t="str">
        <f aca="false">IF(OR($C2756="",$D2756=0),"",$E2756/$D2756)</f>
        <v/>
      </c>
      <c r="H2756" s="0" t="str">
        <f aca="false">IF($C2756="","",IF(COUNTIF('مواد المخزون'!$A$2:$A$86,$C2756)&gt;0,"نعم","لا (خارج الجرد)"))</f>
        <v/>
      </c>
    </row>
    <row r="2757" customFormat="false" ht="15" hidden="false" customHeight="false" outlineLevel="0" collapsed="false">
      <c r="A2757" s="102"/>
      <c r="B2757" s="104"/>
      <c r="C2757" s="104"/>
      <c r="F2757" s="103" t="str">
        <f aca="false">IF(OR($C2757="",$D2757=0),"",$E2757/$D2757)</f>
        <v/>
      </c>
      <c r="H2757" s="0" t="str">
        <f aca="false">IF($C2757="","",IF(COUNTIF('مواد المخزون'!$A$2:$A$86,$C2757)&gt;0,"نعم","لا (خارج الجرد)"))</f>
        <v/>
      </c>
    </row>
    <row r="2758" customFormat="false" ht="15" hidden="false" customHeight="false" outlineLevel="0" collapsed="false">
      <c r="A2758" s="102"/>
      <c r="B2758" s="104"/>
      <c r="C2758" s="104"/>
      <c r="F2758" s="103" t="str">
        <f aca="false">IF(OR($C2758="",$D2758=0),"",$E2758/$D2758)</f>
        <v/>
      </c>
      <c r="H2758" s="0" t="str">
        <f aca="false">IF($C2758="","",IF(COUNTIF('مواد المخزون'!$A$2:$A$86,$C2758)&gt;0,"نعم","لا (خارج الجرد)"))</f>
        <v/>
      </c>
    </row>
    <row r="2759" customFormat="false" ht="15" hidden="false" customHeight="false" outlineLevel="0" collapsed="false">
      <c r="A2759" s="102"/>
      <c r="B2759" s="104"/>
      <c r="C2759" s="104"/>
      <c r="F2759" s="103" t="str">
        <f aca="false">IF(OR($C2759="",$D2759=0),"",$E2759/$D2759)</f>
        <v/>
      </c>
      <c r="H2759" s="0" t="str">
        <f aca="false">IF($C2759="","",IF(COUNTIF('مواد المخزون'!$A$2:$A$86,$C2759)&gt;0,"نعم","لا (خارج الجرد)"))</f>
        <v/>
      </c>
    </row>
    <row r="2760" customFormat="false" ht="15" hidden="false" customHeight="false" outlineLevel="0" collapsed="false">
      <c r="A2760" s="102"/>
      <c r="B2760" s="104"/>
      <c r="C2760" s="104"/>
      <c r="F2760" s="103" t="str">
        <f aca="false">IF(OR($C2760="",$D2760=0),"",$E2760/$D2760)</f>
        <v/>
      </c>
      <c r="H2760" s="0" t="str">
        <f aca="false">IF($C2760="","",IF(COUNTIF('مواد المخزون'!$A$2:$A$86,$C2760)&gt;0,"نعم","لا (خارج الجرد)"))</f>
        <v/>
      </c>
    </row>
    <row r="2761" customFormat="false" ht="15" hidden="false" customHeight="false" outlineLevel="0" collapsed="false">
      <c r="A2761" s="102"/>
      <c r="B2761" s="104"/>
      <c r="C2761" s="104"/>
      <c r="F2761" s="103" t="str">
        <f aca="false">IF(OR($C2761="",$D2761=0),"",$E2761/$D2761)</f>
        <v/>
      </c>
      <c r="H2761" s="0" t="str">
        <f aca="false">IF($C2761="","",IF(COUNTIF('مواد المخزون'!$A$2:$A$86,$C2761)&gt;0,"نعم","لا (خارج الجرد)"))</f>
        <v/>
      </c>
    </row>
    <row r="2762" customFormat="false" ht="15" hidden="false" customHeight="false" outlineLevel="0" collapsed="false">
      <c r="A2762" s="102"/>
      <c r="B2762" s="104"/>
      <c r="C2762" s="104"/>
      <c r="F2762" s="103" t="str">
        <f aca="false">IF(OR($C2762="",$D2762=0),"",$E2762/$D2762)</f>
        <v/>
      </c>
      <c r="H2762" s="0" t="str">
        <f aca="false">IF($C2762="","",IF(COUNTIF('مواد المخزون'!$A$2:$A$86,$C2762)&gt;0,"نعم","لا (خارج الجرد)"))</f>
        <v/>
      </c>
    </row>
    <row r="2763" customFormat="false" ht="15" hidden="false" customHeight="false" outlineLevel="0" collapsed="false">
      <c r="A2763" s="102"/>
      <c r="B2763" s="104"/>
      <c r="C2763" s="104"/>
      <c r="F2763" s="103" t="str">
        <f aca="false">IF(OR($C2763="",$D2763=0),"",$E2763/$D2763)</f>
        <v/>
      </c>
      <c r="H2763" s="0" t="str">
        <f aca="false">IF($C2763="","",IF(COUNTIF('مواد المخزون'!$A$2:$A$86,$C2763)&gt;0,"نعم","لا (خارج الجرد)"))</f>
        <v/>
      </c>
    </row>
    <row r="2764" customFormat="false" ht="15" hidden="false" customHeight="false" outlineLevel="0" collapsed="false">
      <c r="A2764" s="102"/>
      <c r="B2764" s="104"/>
      <c r="C2764" s="104"/>
      <c r="F2764" s="103" t="str">
        <f aca="false">IF(OR($C2764="",$D2764=0),"",$E2764/$D2764)</f>
        <v/>
      </c>
      <c r="H2764" s="0" t="str">
        <f aca="false">IF($C2764="","",IF(COUNTIF('مواد المخزون'!$A$2:$A$86,$C2764)&gt;0,"نعم","لا (خارج الجرد)"))</f>
        <v/>
      </c>
    </row>
    <row r="2765" customFormat="false" ht="15" hidden="false" customHeight="false" outlineLevel="0" collapsed="false">
      <c r="A2765" s="102"/>
      <c r="B2765" s="104"/>
      <c r="C2765" s="104"/>
      <c r="F2765" s="103" t="str">
        <f aca="false">IF(OR($C2765="",$D2765=0),"",$E2765/$D2765)</f>
        <v/>
      </c>
      <c r="H2765" s="0" t="str">
        <f aca="false">IF($C2765="","",IF(COUNTIF('مواد المخزون'!$A$2:$A$86,$C2765)&gt;0,"نعم","لا (خارج الجرد)"))</f>
        <v/>
      </c>
    </row>
    <row r="2766" customFormat="false" ht="15" hidden="false" customHeight="false" outlineLevel="0" collapsed="false">
      <c r="A2766" s="102"/>
      <c r="B2766" s="104"/>
      <c r="C2766" s="104"/>
      <c r="F2766" s="103" t="str">
        <f aca="false">IF(OR($C2766="",$D2766=0),"",$E2766/$D2766)</f>
        <v/>
      </c>
      <c r="H2766" s="0" t="str">
        <f aca="false">IF($C2766="","",IF(COUNTIF('مواد المخزون'!$A$2:$A$86,$C2766)&gt;0,"نعم","لا (خارج الجرد)"))</f>
        <v/>
      </c>
    </row>
    <row r="2767" customFormat="false" ht="15" hidden="false" customHeight="false" outlineLevel="0" collapsed="false">
      <c r="A2767" s="102"/>
      <c r="B2767" s="104"/>
      <c r="C2767" s="104"/>
      <c r="F2767" s="103" t="str">
        <f aca="false">IF(OR($C2767="",$D2767=0),"",$E2767/$D2767)</f>
        <v/>
      </c>
      <c r="H2767" s="0" t="str">
        <f aca="false">IF($C2767="","",IF(COUNTIF('مواد المخزون'!$A$2:$A$86,$C2767)&gt;0,"نعم","لا (خارج الجرد)"))</f>
        <v/>
      </c>
    </row>
    <row r="2768" customFormat="false" ht="15" hidden="false" customHeight="false" outlineLevel="0" collapsed="false">
      <c r="A2768" s="102"/>
      <c r="B2768" s="104"/>
      <c r="C2768" s="104"/>
      <c r="F2768" s="103" t="str">
        <f aca="false">IF(OR($C2768="",$D2768=0),"",$E2768/$D2768)</f>
        <v/>
      </c>
      <c r="H2768" s="0" t="str">
        <f aca="false">IF($C2768="","",IF(COUNTIF('مواد المخزون'!$A$2:$A$86,$C2768)&gt;0,"نعم","لا (خارج الجرد)"))</f>
        <v/>
      </c>
    </row>
    <row r="2769" customFormat="false" ht="15" hidden="false" customHeight="false" outlineLevel="0" collapsed="false">
      <c r="A2769" s="102"/>
      <c r="B2769" s="104"/>
      <c r="C2769" s="104"/>
      <c r="F2769" s="103" t="str">
        <f aca="false">IF(OR($C2769="",$D2769=0),"",$E2769/$D2769)</f>
        <v/>
      </c>
      <c r="H2769" s="0" t="str">
        <f aca="false">IF($C2769="","",IF(COUNTIF('مواد المخزون'!$A$2:$A$86,$C2769)&gt;0,"نعم","لا (خارج الجرد)"))</f>
        <v/>
      </c>
    </row>
    <row r="2770" customFormat="false" ht="15" hidden="false" customHeight="false" outlineLevel="0" collapsed="false">
      <c r="A2770" s="102"/>
      <c r="B2770" s="104"/>
      <c r="C2770" s="104"/>
      <c r="F2770" s="103" t="str">
        <f aca="false">IF(OR($C2770="",$D2770=0),"",$E2770/$D2770)</f>
        <v/>
      </c>
      <c r="H2770" s="0" t="str">
        <f aca="false">IF($C2770="","",IF(COUNTIF('مواد المخزون'!$A$2:$A$86,$C2770)&gt;0,"نعم","لا (خارج الجرد)"))</f>
        <v/>
      </c>
    </row>
    <row r="2771" customFormat="false" ht="15" hidden="false" customHeight="false" outlineLevel="0" collapsed="false">
      <c r="A2771" s="102"/>
      <c r="B2771" s="104"/>
      <c r="C2771" s="104"/>
      <c r="F2771" s="103" t="str">
        <f aca="false">IF(OR($C2771="",$D2771=0),"",$E2771/$D2771)</f>
        <v/>
      </c>
      <c r="H2771" s="0" t="str">
        <f aca="false">IF($C2771="","",IF(COUNTIF('مواد المخزون'!$A$2:$A$86,$C2771)&gt;0,"نعم","لا (خارج الجرد)"))</f>
        <v/>
      </c>
    </row>
    <row r="2772" customFormat="false" ht="15" hidden="false" customHeight="false" outlineLevel="0" collapsed="false">
      <c r="A2772" s="102"/>
      <c r="B2772" s="104"/>
      <c r="C2772" s="104"/>
      <c r="F2772" s="103" t="str">
        <f aca="false">IF(OR($C2772="",$D2772=0),"",$E2772/$D2772)</f>
        <v/>
      </c>
      <c r="H2772" s="0" t="str">
        <f aca="false">IF($C2772="","",IF(COUNTIF('مواد المخزون'!$A$2:$A$86,$C2772)&gt;0,"نعم","لا (خارج الجرد)"))</f>
        <v/>
      </c>
    </row>
    <row r="2773" customFormat="false" ht="15" hidden="false" customHeight="false" outlineLevel="0" collapsed="false">
      <c r="A2773" s="102"/>
      <c r="B2773" s="104"/>
      <c r="C2773" s="104"/>
      <c r="F2773" s="103" t="str">
        <f aca="false">IF(OR($C2773="",$D2773=0),"",$E2773/$D2773)</f>
        <v/>
      </c>
      <c r="H2773" s="0" t="str">
        <f aca="false">IF($C2773="","",IF(COUNTIF('مواد المخزون'!$A$2:$A$86,$C2773)&gt;0,"نعم","لا (خارج الجرد)"))</f>
        <v/>
      </c>
    </row>
    <row r="2774" customFormat="false" ht="15" hidden="false" customHeight="false" outlineLevel="0" collapsed="false">
      <c r="A2774" s="102"/>
      <c r="B2774" s="104"/>
      <c r="C2774" s="104"/>
      <c r="F2774" s="103" t="str">
        <f aca="false">IF(OR($C2774="",$D2774=0),"",$E2774/$D2774)</f>
        <v/>
      </c>
      <c r="H2774" s="0" t="str">
        <f aca="false">IF($C2774="","",IF(COUNTIF('مواد المخزون'!$A$2:$A$86,$C2774)&gt;0,"نعم","لا (خارج الجرد)"))</f>
        <v/>
      </c>
    </row>
    <row r="2775" customFormat="false" ht="15" hidden="false" customHeight="false" outlineLevel="0" collapsed="false">
      <c r="A2775" s="102"/>
      <c r="B2775" s="104"/>
      <c r="C2775" s="104"/>
      <c r="F2775" s="103" t="str">
        <f aca="false">IF(OR($C2775="",$D2775=0),"",$E2775/$D2775)</f>
        <v/>
      </c>
      <c r="H2775" s="0" t="str">
        <f aca="false">IF($C2775="","",IF(COUNTIF('مواد المخزون'!$A$2:$A$86,$C2775)&gt;0,"نعم","لا (خارج الجرد)"))</f>
        <v/>
      </c>
    </row>
    <row r="2776" customFormat="false" ht="15" hidden="false" customHeight="false" outlineLevel="0" collapsed="false">
      <c r="A2776" s="102"/>
      <c r="B2776" s="104"/>
      <c r="C2776" s="104"/>
      <c r="F2776" s="103" t="str">
        <f aca="false">IF(OR($C2776="",$D2776=0),"",$E2776/$D2776)</f>
        <v/>
      </c>
      <c r="H2776" s="0" t="str">
        <f aca="false">IF($C2776="","",IF(COUNTIF('مواد المخزون'!$A$2:$A$86,$C2776)&gt;0,"نعم","لا (خارج الجرد)"))</f>
        <v/>
      </c>
    </row>
    <row r="2777" customFormat="false" ht="15" hidden="false" customHeight="false" outlineLevel="0" collapsed="false">
      <c r="A2777" s="102"/>
      <c r="B2777" s="104"/>
      <c r="C2777" s="104"/>
      <c r="F2777" s="103" t="str">
        <f aca="false">IF(OR($C2777="",$D2777=0),"",$E2777/$D2777)</f>
        <v/>
      </c>
      <c r="H2777" s="0" t="str">
        <f aca="false">IF($C2777="","",IF(COUNTIF('مواد المخزون'!$A$2:$A$86,$C2777)&gt;0,"نعم","لا (خارج الجرد)"))</f>
        <v/>
      </c>
    </row>
    <row r="2778" customFormat="false" ht="15" hidden="false" customHeight="false" outlineLevel="0" collapsed="false">
      <c r="A2778" s="102"/>
      <c r="B2778" s="104"/>
      <c r="C2778" s="104"/>
      <c r="F2778" s="103" t="str">
        <f aca="false">IF(OR($C2778="",$D2778=0),"",$E2778/$D2778)</f>
        <v/>
      </c>
      <c r="H2778" s="0" t="str">
        <f aca="false">IF($C2778="","",IF(COUNTIF('مواد المخزون'!$A$2:$A$86,$C2778)&gt;0,"نعم","لا (خارج الجرد)"))</f>
        <v/>
      </c>
    </row>
    <row r="2779" customFormat="false" ht="15" hidden="false" customHeight="false" outlineLevel="0" collapsed="false">
      <c r="A2779" s="102"/>
      <c r="B2779" s="104"/>
      <c r="C2779" s="104"/>
      <c r="F2779" s="103" t="str">
        <f aca="false">IF(OR($C2779="",$D2779=0),"",$E2779/$D2779)</f>
        <v/>
      </c>
      <c r="H2779" s="0" t="str">
        <f aca="false">IF($C2779="","",IF(COUNTIF('مواد المخزون'!$A$2:$A$86,$C2779)&gt;0,"نعم","لا (خارج الجرد)"))</f>
        <v/>
      </c>
    </row>
    <row r="2780" customFormat="false" ht="15" hidden="false" customHeight="false" outlineLevel="0" collapsed="false">
      <c r="A2780" s="102"/>
      <c r="B2780" s="104"/>
      <c r="C2780" s="104"/>
      <c r="F2780" s="103" t="str">
        <f aca="false">IF(OR($C2780="",$D2780=0),"",$E2780/$D2780)</f>
        <v/>
      </c>
      <c r="H2780" s="0" t="str">
        <f aca="false">IF($C2780="","",IF(COUNTIF('مواد المخزون'!$A$2:$A$86,$C2780)&gt;0,"نعم","لا (خارج الجرد)"))</f>
        <v/>
      </c>
    </row>
    <row r="2781" customFormat="false" ht="15" hidden="false" customHeight="false" outlineLevel="0" collapsed="false">
      <c r="A2781" s="102"/>
      <c r="B2781" s="104"/>
      <c r="C2781" s="104"/>
      <c r="F2781" s="103" t="str">
        <f aca="false">IF(OR($C2781="",$D2781=0),"",$E2781/$D2781)</f>
        <v/>
      </c>
      <c r="H2781" s="0" t="str">
        <f aca="false">IF($C2781="","",IF(COUNTIF('مواد المخزون'!$A$2:$A$86,$C2781)&gt;0,"نعم","لا (خارج الجرد)"))</f>
        <v/>
      </c>
    </row>
    <row r="2782" customFormat="false" ht="15" hidden="false" customHeight="false" outlineLevel="0" collapsed="false">
      <c r="A2782" s="102"/>
      <c r="B2782" s="104"/>
      <c r="C2782" s="104"/>
      <c r="F2782" s="103" t="str">
        <f aca="false">IF(OR($C2782="",$D2782=0),"",$E2782/$D2782)</f>
        <v/>
      </c>
      <c r="H2782" s="0" t="str">
        <f aca="false">IF($C2782="","",IF(COUNTIF('مواد المخزون'!$A$2:$A$86,$C2782)&gt;0,"نعم","لا (خارج الجرد)"))</f>
        <v/>
      </c>
    </row>
    <row r="2783" customFormat="false" ht="15" hidden="false" customHeight="false" outlineLevel="0" collapsed="false">
      <c r="A2783" s="102"/>
      <c r="B2783" s="104"/>
      <c r="C2783" s="104"/>
      <c r="F2783" s="103" t="str">
        <f aca="false">IF(OR($C2783="",$D2783=0),"",$E2783/$D2783)</f>
        <v/>
      </c>
      <c r="H2783" s="0" t="str">
        <f aca="false">IF($C2783="","",IF(COUNTIF('مواد المخزون'!$A$2:$A$86,$C2783)&gt;0,"نعم","لا (خارج الجرد)"))</f>
        <v/>
      </c>
    </row>
    <row r="2784" customFormat="false" ht="15" hidden="false" customHeight="false" outlineLevel="0" collapsed="false">
      <c r="A2784" s="102"/>
      <c r="B2784" s="104"/>
      <c r="C2784" s="104"/>
      <c r="F2784" s="103" t="str">
        <f aca="false">IF(OR($C2784="",$D2784=0),"",$E2784/$D2784)</f>
        <v/>
      </c>
      <c r="H2784" s="0" t="str">
        <f aca="false">IF($C2784="","",IF(COUNTIF('مواد المخزون'!$A$2:$A$86,$C2784)&gt;0,"نعم","لا (خارج الجرد)"))</f>
        <v/>
      </c>
    </row>
    <row r="2785" customFormat="false" ht="15" hidden="false" customHeight="false" outlineLevel="0" collapsed="false">
      <c r="A2785" s="102"/>
      <c r="B2785" s="104"/>
      <c r="C2785" s="104"/>
      <c r="F2785" s="103" t="str">
        <f aca="false">IF(OR($C2785="",$D2785=0),"",$E2785/$D2785)</f>
        <v/>
      </c>
      <c r="H2785" s="0" t="str">
        <f aca="false">IF($C2785="","",IF(COUNTIF('مواد المخزون'!$A$2:$A$86,$C2785)&gt;0,"نعم","لا (خارج الجرد)"))</f>
        <v/>
      </c>
    </row>
    <row r="2786" customFormat="false" ht="15" hidden="false" customHeight="false" outlineLevel="0" collapsed="false">
      <c r="A2786" s="102"/>
      <c r="B2786" s="104"/>
      <c r="C2786" s="104"/>
      <c r="F2786" s="103" t="str">
        <f aca="false">IF(OR($C2786="",$D2786=0),"",$E2786/$D2786)</f>
        <v/>
      </c>
      <c r="H2786" s="0" t="str">
        <f aca="false">IF($C2786="","",IF(COUNTIF('مواد المخزون'!$A$2:$A$86,$C2786)&gt;0,"نعم","لا (خارج الجرد)"))</f>
        <v/>
      </c>
    </row>
    <row r="2787" customFormat="false" ht="15" hidden="false" customHeight="false" outlineLevel="0" collapsed="false">
      <c r="A2787" s="102"/>
      <c r="B2787" s="104"/>
      <c r="C2787" s="104"/>
      <c r="F2787" s="103" t="str">
        <f aca="false">IF(OR($C2787="",$D2787=0),"",$E2787/$D2787)</f>
        <v/>
      </c>
      <c r="H2787" s="0" t="str">
        <f aca="false">IF($C2787="","",IF(COUNTIF('مواد المخزون'!$A$2:$A$86,$C2787)&gt;0,"نعم","لا (خارج الجرد)"))</f>
        <v/>
      </c>
    </row>
    <row r="2788" customFormat="false" ht="15" hidden="false" customHeight="false" outlineLevel="0" collapsed="false">
      <c r="A2788" s="102"/>
      <c r="B2788" s="104"/>
      <c r="C2788" s="104"/>
      <c r="F2788" s="103" t="str">
        <f aca="false">IF(OR($C2788="",$D2788=0),"",$E2788/$D2788)</f>
        <v/>
      </c>
      <c r="H2788" s="0" t="str">
        <f aca="false">IF($C2788="","",IF(COUNTIF('مواد المخزون'!$A$2:$A$86,$C2788)&gt;0,"نعم","لا (خارج الجرد)"))</f>
        <v/>
      </c>
    </row>
    <row r="2789" customFormat="false" ht="15" hidden="false" customHeight="false" outlineLevel="0" collapsed="false">
      <c r="A2789" s="102"/>
      <c r="B2789" s="104"/>
      <c r="C2789" s="104"/>
      <c r="F2789" s="103" t="str">
        <f aca="false">IF(OR($C2789="",$D2789=0),"",$E2789/$D2789)</f>
        <v/>
      </c>
      <c r="H2789" s="0" t="str">
        <f aca="false">IF($C2789="","",IF(COUNTIF('مواد المخزون'!$A$2:$A$86,$C2789)&gt;0,"نعم","لا (خارج الجرد)"))</f>
        <v/>
      </c>
    </row>
    <row r="2790" customFormat="false" ht="15" hidden="false" customHeight="false" outlineLevel="0" collapsed="false">
      <c r="A2790" s="102"/>
      <c r="B2790" s="104"/>
      <c r="C2790" s="104"/>
      <c r="F2790" s="103" t="str">
        <f aca="false">IF(OR($C2790="",$D2790=0),"",$E2790/$D2790)</f>
        <v/>
      </c>
      <c r="H2790" s="0" t="str">
        <f aca="false">IF($C2790="","",IF(COUNTIF('مواد المخزون'!$A$2:$A$86,$C2790)&gt;0,"نعم","لا (خارج الجرد)"))</f>
        <v/>
      </c>
    </row>
    <row r="2791" customFormat="false" ht="15" hidden="false" customHeight="false" outlineLevel="0" collapsed="false">
      <c r="A2791" s="102"/>
      <c r="B2791" s="104"/>
      <c r="C2791" s="104"/>
      <c r="F2791" s="103" t="str">
        <f aca="false">IF(OR($C2791="",$D2791=0),"",$E2791/$D2791)</f>
        <v/>
      </c>
      <c r="H2791" s="0" t="str">
        <f aca="false">IF($C2791="","",IF(COUNTIF('مواد المخزون'!$A$2:$A$86,$C2791)&gt;0,"نعم","لا (خارج الجرد)"))</f>
        <v/>
      </c>
    </row>
    <row r="2792" customFormat="false" ht="15" hidden="false" customHeight="false" outlineLevel="0" collapsed="false">
      <c r="A2792" s="102"/>
      <c r="B2792" s="104"/>
      <c r="C2792" s="104"/>
      <c r="F2792" s="103" t="str">
        <f aca="false">IF(OR($C2792="",$D2792=0),"",$E2792/$D2792)</f>
        <v/>
      </c>
      <c r="H2792" s="0" t="str">
        <f aca="false">IF($C2792="","",IF(COUNTIF('مواد المخزون'!$A$2:$A$86,$C2792)&gt;0,"نعم","لا (خارج الجرد)"))</f>
        <v/>
      </c>
    </row>
    <row r="2793" customFormat="false" ht="15" hidden="false" customHeight="false" outlineLevel="0" collapsed="false">
      <c r="A2793" s="102"/>
      <c r="B2793" s="104"/>
      <c r="C2793" s="104"/>
      <c r="F2793" s="103" t="str">
        <f aca="false">IF(OR($C2793="",$D2793=0),"",$E2793/$D2793)</f>
        <v/>
      </c>
      <c r="H2793" s="0" t="str">
        <f aca="false">IF($C2793="","",IF(COUNTIF('مواد المخزون'!$A$2:$A$86,$C2793)&gt;0,"نعم","لا (خارج الجرد)"))</f>
        <v/>
      </c>
    </row>
    <row r="2794" customFormat="false" ht="15" hidden="false" customHeight="false" outlineLevel="0" collapsed="false">
      <c r="A2794" s="102"/>
      <c r="B2794" s="104"/>
      <c r="C2794" s="104"/>
      <c r="F2794" s="103" t="str">
        <f aca="false">IF(OR($C2794="",$D2794=0),"",$E2794/$D2794)</f>
        <v/>
      </c>
      <c r="H2794" s="0" t="str">
        <f aca="false">IF($C2794="","",IF(COUNTIF('مواد المخزون'!$A$2:$A$86,$C2794)&gt;0,"نعم","لا (خارج الجرد)"))</f>
        <v/>
      </c>
    </row>
    <row r="2795" customFormat="false" ht="15" hidden="false" customHeight="false" outlineLevel="0" collapsed="false">
      <c r="A2795" s="102"/>
      <c r="B2795" s="104"/>
      <c r="C2795" s="104"/>
      <c r="F2795" s="103" t="str">
        <f aca="false">IF(OR($C2795="",$D2795=0),"",$E2795/$D2795)</f>
        <v/>
      </c>
      <c r="H2795" s="0" t="str">
        <f aca="false">IF($C2795="","",IF(COUNTIF('مواد المخزون'!$A$2:$A$86,$C2795)&gt;0,"نعم","لا (خارج الجرد)"))</f>
        <v/>
      </c>
    </row>
    <row r="2796" customFormat="false" ht="15" hidden="false" customHeight="false" outlineLevel="0" collapsed="false">
      <c r="A2796" s="102"/>
      <c r="B2796" s="104"/>
      <c r="C2796" s="104"/>
      <c r="F2796" s="103" t="str">
        <f aca="false">IF(OR($C2796="",$D2796=0),"",$E2796/$D2796)</f>
        <v/>
      </c>
      <c r="H2796" s="0" t="str">
        <f aca="false">IF($C2796="","",IF(COUNTIF('مواد المخزون'!$A$2:$A$86,$C2796)&gt;0,"نعم","لا (خارج الجرد)"))</f>
        <v/>
      </c>
    </row>
    <row r="2797" customFormat="false" ht="15" hidden="false" customHeight="false" outlineLevel="0" collapsed="false">
      <c r="A2797" s="102"/>
      <c r="B2797" s="104"/>
      <c r="C2797" s="104"/>
      <c r="F2797" s="103" t="str">
        <f aca="false">IF(OR($C2797="",$D2797=0),"",$E2797/$D2797)</f>
        <v/>
      </c>
      <c r="H2797" s="0" t="str">
        <f aca="false">IF($C2797="","",IF(COUNTIF('مواد المخزون'!$A$2:$A$86,$C2797)&gt;0,"نعم","لا (خارج الجرد)"))</f>
        <v/>
      </c>
    </row>
    <row r="2798" customFormat="false" ht="15" hidden="false" customHeight="false" outlineLevel="0" collapsed="false">
      <c r="A2798" s="102"/>
      <c r="B2798" s="104"/>
      <c r="C2798" s="104"/>
      <c r="F2798" s="103" t="str">
        <f aca="false">IF(OR($C2798="",$D2798=0),"",$E2798/$D2798)</f>
        <v/>
      </c>
      <c r="H2798" s="0" t="str">
        <f aca="false">IF($C2798="","",IF(COUNTIF('مواد المخزون'!$A$2:$A$86,$C2798)&gt;0,"نعم","لا (خارج الجرد)"))</f>
        <v/>
      </c>
    </row>
    <row r="2799" customFormat="false" ht="15" hidden="false" customHeight="false" outlineLevel="0" collapsed="false">
      <c r="A2799" s="102"/>
      <c r="B2799" s="104"/>
      <c r="C2799" s="104"/>
      <c r="F2799" s="103" t="str">
        <f aca="false">IF(OR($C2799="",$D2799=0),"",$E2799/$D2799)</f>
        <v/>
      </c>
      <c r="H2799" s="0" t="str">
        <f aca="false">IF($C2799="","",IF(COUNTIF('مواد المخزون'!$A$2:$A$86,$C2799)&gt;0,"نعم","لا (خارج الجرد)"))</f>
        <v/>
      </c>
    </row>
    <row r="2800" customFormat="false" ht="15" hidden="false" customHeight="false" outlineLevel="0" collapsed="false">
      <c r="A2800" s="102"/>
      <c r="B2800" s="104"/>
      <c r="C2800" s="104"/>
      <c r="F2800" s="103" t="str">
        <f aca="false">IF(OR($C2800="",$D2800=0),"",$E2800/$D2800)</f>
        <v/>
      </c>
      <c r="H2800" s="0" t="str">
        <f aca="false">IF($C2800="","",IF(COUNTIF('مواد المخزون'!$A$2:$A$86,$C2800)&gt;0,"نعم","لا (خارج الجرد)"))</f>
        <v/>
      </c>
    </row>
    <row r="2801" customFormat="false" ht="15" hidden="false" customHeight="false" outlineLevel="0" collapsed="false">
      <c r="A2801" s="102"/>
      <c r="B2801" s="104"/>
      <c r="C2801" s="104"/>
      <c r="F2801" s="103" t="str">
        <f aca="false">IF(OR($C2801="",$D2801=0),"",$E2801/$D2801)</f>
        <v/>
      </c>
      <c r="H2801" s="0" t="str">
        <f aca="false">IF($C2801="","",IF(COUNTIF('مواد المخزون'!$A$2:$A$86,$C2801)&gt;0,"نعم","لا (خارج الجرد)"))</f>
        <v/>
      </c>
    </row>
    <row r="2802" customFormat="false" ht="15" hidden="false" customHeight="false" outlineLevel="0" collapsed="false">
      <c r="A2802" s="102"/>
      <c r="B2802" s="104"/>
      <c r="C2802" s="104"/>
      <c r="F2802" s="103" t="str">
        <f aca="false">IF(OR($C2802="",$D2802=0),"",$E2802/$D2802)</f>
        <v/>
      </c>
      <c r="H2802" s="0" t="str">
        <f aca="false">IF($C2802="","",IF(COUNTIF('مواد المخزون'!$A$2:$A$86,$C2802)&gt;0,"نعم","لا (خارج الجرد)"))</f>
        <v/>
      </c>
    </row>
    <row r="2803" customFormat="false" ht="15" hidden="false" customHeight="false" outlineLevel="0" collapsed="false">
      <c r="A2803" s="102"/>
      <c r="B2803" s="104"/>
      <c r="C2803" s="104"/>
      <c r="F2803" s="103" t="str">
        <f aca="false">IF(OR($C2803="",$D2803=0),"",$E2803/$D2803)</f>
        <v/>
      </c>
      <c r="H2803" s="0" t="str">
        <f aca="false">IF($C2803="","",IF(COUNTIF('مواد المخزون'!$A$2:$A$86,$C2803)&gt;0,"نعم","لا (خارج الجرد)"))</f>
        <v/>
      </c>
    </row>
    <row r="2804" customFormat="false" ht="15" hidden="false" customHeight="false" outlineLevel="0" collapsed="false">
      <c r="A2804" s="102"/>
      <c r="B2804" s="104"/>
      <c r="C2804" s="104"/>
      <c r="F2804" s="103" t="str">
        <f aca="false">IF(OR($C2804="",$D2804=0),"",$E2804/$D2804)</f>
        <v/>
      </c>
      <c r="H2804" s="0" t="str">
        <f aca="false">IF($C2804="","",IF(COUNTIF('مواد المخزون'!$A$2:$A$86,$C2804)&gt;0,"نعم","لا (خارج الجرد)"))</f>
        <v/>
      </c>
    </row>
    <row r="2805" customFormat="false" ht="15" hidden="false" customHeight="false" outlineLevel="0" collapsed="false">
      <c r="A2805" s="102"/>
      <c r="B2805" s="104"/>
      <c r="C2805" s="104"/>
      <c r="F2805" s="103" t="str">
        <f aca="false">IF(OR($C2805="",$D2805=0),"",$E2805/$D2805)</f>
        <v/>
      </c>
      <c r="H2805" s="0" t="str">
        <f aca="false">IF($C2805="","",IF(COUNTIF('مواد المخزون'!$A$2:$A$86,$C2805)&gt;0,"نعم","لا (خارج الجرد)"))</f>
        <v/>
      </c>
    </row>
    <row r="2806" customFormat="false" ht="15" hidden="false" customHeight="false" outlineLevel="0" collapsed="false">
      <c r="A2806" s="102"/>
      <c r="B2806" s="104"/>
      <c r="C2806" s="104"/>
      <c r="F2806" s="103" t="str">
        <f aca="false">IF(OR($C2806="",$D2806=0),"",$E2806/$D2806)</f>
        <v/>
      </c>
      <c r="H2806" s="0" t="str">
        <f aca="false">IF($C2806="","",IF(COUNTIF('مواد المخزون'!$A$2:$A$86,$C2806)&gt;0,"نعم","لا (خارج الجرد)"))</f>
        <v/>
      </c>
    </row>
    <row r="2807" customFormat="false" ht="15" hidden="false" customHeight="false" outlineLevel="0" collapsed="false">
      <c r="A2807" s="102"/>
      <c r="B2807" s="104"/>
      <c r="C2807" s="104"/>
      <c r="F2807" s="103" t="str">
        <f aca="false">IF(OR($C2807="",$D2807=0),"",$E2807/$D2807)</f>
        <v/>
      </c>
      <c r="H2807" s="0" t="str">
        <f aca="false">IF($C2807="","",IF(COUNTIF('مواد المخزون'!$A$2:$A$86,$C2807)&gt;0,"نعم","لا (خارج الجرد)"))</f>
        <v/>
      </c>
    </row>
    <row r="2808" customFormat="false" ht="15" hidden="false" customHeight="false" outlineLevel="0" collapsed="false">
      <c r="A2808" s="102"/>
      <c r="B2808" s="104"/>
      <c r="C2808" s="104"/>
      <c r="F2808" s="103" t="str">
        <f aca="false">IF(OR($C2808="",$D2808=0),"",$E2808/$D2808)</f>
        <v/>
      </c>
      <c r="H2808" s="0" t="str">
        <f aca="false">IF($C2808="","",IF(COUNTIF('مواد المخزون'!$A$2:$A$86,$C2808)&gt;0,"نعم","لا (خارج الجرد)"))</f>
        <v/>
      </c>
    </row>
    <row r="2809" customFormat="false" ht="15" hidden="false" customHeight="false" outlineLevel="0" collapsed="false">
      <c r="A2809" s="102"/>
      <c r="B2809" s="104"/>
      <c r="C2809" s="104"/>
      <c r="F2809" s="103" t="str">
        <f aca="false">IF(OR($C2809="",$D2809=0),"",$E2809/$D2809)</f>
        <v/>
      </c>
      <c r="H2809" s="0" t="str">
        <f aca="false">IF($C2809="","",IF(COUNTIF('مواد المخزون'!$A$2:$A$86,$C2809)&gt;0,"نعم","لا (خارج الجرد)"))</f>
        <v/>
      </c>
    </row>
    <row r="2810" customFormat="false" ht="15" hidden="false" customHeight="false" outlineLevel="0" collapsed="false">
      <c r="A2810" s="102"/>
      <c r="B2810" s="104"/>
      <c r="C2810" s="104"/>
      <c r="F2810" s="103" t="str">
        <f aca="false">IF(OR($C2810="",$D2810=0),"",$E2810/$D2810)</f>
        <v/>
      </c>
      <c r="H2810" s="0" t="str">
        <f aca="false">IF($C2810="","",IF(COUNTIF('مواد المخزون'!$A$2:$A$86,$C2810)&gt;0,"نعم","لا (خارج الجرد)"))</f>
        <v/>
      </c>
    </row>
    <row r="2811" customFormat="false" ht="15" hidden="false" customHeight="false" outlineLevel="0" collapsed="false">
      <c r="A2811" s="102"/>
      <c r="B2811" s="104"/>
      <c r="C2811" s="104"/>
      <c r="F2811" s="103" t="str">
        <f aca="false">IF(OR($C2811="",$D2811=0),"",$E2811/$D2811)</f>
        <v/>
      </c>
      <c r="H2811" s="0" t="str">
        <f aca="false">IF($C2811="","",IF(COUNTIF('مواد المخزون'!$A$2:$A$86,$C2811)&gt;0,"نعم","لا (خارج الجرد)"))</f>
        <v/>
      </c>
    </row>
    <row r="2812" customFormat="false" ht="15" hidden="false" customHeight="false" outlineLevel="0" collapsed="false">
      <c r="A2812" s="102"/>
      <c r="B2812" s="104"/>
      <c r="C2812" s="104"/>
      <c r="F2812" s="103" t="str">
        <f aca="false">IF(OR($C2812="",$D2812=0),"",$E2812/$D2812)</f>
        <v/>
      </c>
      <c r="H2812" s="0" t="str">
        <f aca="false">IF($C2812="","",IF(COUNTIF('مواد المخزون'!$A$2:$A$86,$C2812)&gt;0,"نعم","لا (خارج الجرد)"))</f>
        <v/>
      </c>
    </row>
    <row r="2813" customFormat="false" ht="15" hidden="false" customHeight="false" outlineLevel="0" collapsed="false">
      <c r="A2813" s="102"/>
      <c r="B2813" s="104"/>
      <c r="C2813" s="104"/>
      <c r="F2813" s="103" t="str">
        <f aca="false">IF(OR($C2813="",$D2813=0),"",$E2813/$D2813)</f>
        <v/>
      </c>
      <c r="H2813" s="0" t="str">
        <f aca="false">IF($C2813="","",IF(COUNTIF('مواد المخزون'!$A$2:$A$86,$C2813)&gt;0,"نعم","لا (خارج الجرد)"))</f>
        <v/>
      </c>
    </row>
    <row r="2814" customFormat="false" ht="15" hidden="false" customHeight="false" outlineLevel="0" collapsed="false">
      <c r="A2814" s="102"/>
      <c r="B2814" s="104"/>
      <c r="C2814" s="104"/>
      <c r="F2814" s="103" t="str">
        <f aca="false">IF(OR($C2814="",$D2814=0),"",$E2814/$D2814)</f>
        <v/>
      </c>
      <c r="H2814" s="0" t="str">
        <f aca="false">IF($C2814="","",IF(COUNTIF('مواد المخزون'!$A$2:$A$86,$C2814)&gt;0,"نعم","لا (خارج الجرد)"))</f>
        <v/>
      </c>
    </row>
    <row r="2815" customFormat="false" ht="15" hidden="false" customHeight="false" outlineLevel="0" collapsed="false">
      <c r="A2815" s="102"/>
      <c r="B2815" s="104"/>
      <c r="C2815" s="104"/>
      <c r="F2815" s="103" t="str">
        <f aca="false">IF(OR($C2815="",$D2815=0),"",$E2815/$D2815)</f>
        <v/>
      </c>
      <c r="H2815" s="0" t="str">
        <f aca="false">IF($C2815="","",IF(COUNTIF('مواد المخزون'!$A$2:$A$86,$C2815)&gt;0,"نعم","لا (خارج الجرد)"))</f>
        <v/>
      </c>
    </row>
    <row r="2816" customFormat="false" ht="15" hidden="false" customHeight="false" outlineLevel="0" collapsed="false">
      <c r="A2816" s="102"/>
      <c r="B2816" s="104"/>
      <c r="C2816" s="104"/>
      <c r="F2816" s="103" t="str">
        <f aca="false">IF(OR($C2816="",$D2816=0),"",$E2816/$D2816)</f>
        <v/>
      </c>
      <c r="H2816" s="0" t="str">
        <f aca="false">IF($C2816="","",IF(COUNTIF('مواد المخزون'!$A$2:$A$86,$C2816)&gt;0,"نعم","لا (خارج الجرد)"))</f>
        <v/>
      </c>
    </row>
    <row r="2817" customFormat="false" ht="15" hidden="false" customHeight="false" outlineLevel="0" collapsed="false">
      <c r="A2817" s="102"/>
      <c r="B2817" s="104"/>
      <c r="C2817" s="104"/>
      <c r="F2817" s="103" t="str">
        <f aca="false">IF(OR($C2817="",$D2817=0),"",$E2817/$D2817)</f>
        <v/>
      </c>
      <c r="H2817" s="0" t="str">
        <f aca="false">IF($C2817="","",IF(COUNTIF('مواد المخزون'!$A$2:$A$86,$C2817)&gt;0,"نعم","لا (خارج الجرد)"))</f>
        <v/>
      </c>
    </row>
    <row r="2818" customFormat="false" ht="15" hidden="false" customHeight="false" outlineLevel="0" collapsed="false">
      <c r="A2818" s="102"/>
      <c r="B2818" s="104"/>
      <c r="C2818" s="104"/>
      <c r="F2818" s="103" t="str">
        <f aca="false">IF(OR($C2818="",$D2818=0),"",$E2818/$D2818)</f>
        <v/>
      </c>
      <c r="H2818" s="0" t="str">
        <f aca="false">IF($C2818="","",IF(COUNTIF('مواد المخزون'!$A$2:$A$86,$C2818)&gt;0,"نعم","لا (خارج الجرد)"))</f>
        <v/>
      </c>
    </row>
    <row r="2819" customFormat="false" ht="15" hidden="false" customHeight="false" outlineLevel="0" collapsed="false">
      <c r="A2819" s="102"/>
      <c r="B2819" s="104"/>
      <c r="C2819" s="104"/>
      <c r="F2819" s="103" t="str">
        <f aca="false">IF(OR($C2819="",$D2819=0),"",$E2819/$D2819)</f>
        <v/>
      </c>
      <c r="H2819" s="0" t="str">
        <f aca="false">IF($C2819="","",IF(COUNTIF('مواد المخزون'!$A$2:$A$86,$C2819)&gt;0,"نعم","لا (خارج الجرد)"))</f>
        <v/>
      </c>
    </row>
    <row r="2820" customFormat="false" ht="15" hidden="false" customHeight="false" outlineLevel="0" collapsed="false">
      <c r="A2820" s="102"/>
      <c r="B2820" s="104"/>
      <c r="C2820" s="104"/>
      <c r="F2820" s="103" t="str">
        <f aca="false">IF(OR($C2820="",$D2820=0),"",$E2820/$D2820)</f>
        <v/>
      </c>
      <c r="H2820" s="0" t="str">
        <f aca="false">IF($C2820="","",IF(COUNTIF('مواد المخزون'!$A$2:$A$86,$C2820)&gt;0,"نعم","لا (خارج الجرد)"))</f>
        <v/>
      </c>
    </row>
    <row r="2821" customFormat="false" ht="15" hidden="false" customHeight="false" outlineLevel="0" collapsed="false">
      <c r="A2821" s="102"/>
      <c r="B2821" s="104"/>
      <c r="C2821" s="104"/>
      <c r="F2821" s="103" t="str">
        <f aca="false">IF(OR($C2821="",$D2821=0),"",$E2821/$D2821)</f>
        <v/>
      </c>
      <c r="H2821" s="0" t="str">
        <f aca="false">IF($C2821="","",IF(COUNTIF('مواد المخزون'!$A$2:$A$86,$C2821)&gt;0,"نعم","لا (خارج الجرد)"))</f>
        <v/>
      </c>
    </row>
    <row r="2822" customFormat="false" ht="15" hidden="false" customHeight="false" outlineLevel="0" collapsed="false">
      <c r="A2822" s="102"/>
      <c r="B2822" s="104"/>
      <c r="C2822" s="104"/>
      <c r="F2822" s="103" t="str">
        <f aca="false">IF(OR($C2822="",$D2822=0),"",$E2822/$D2822)</f>
        <v/>
      </c>
      <c r="H2822" s="0" t="str">
        <f aca="false">IF($C2822="","",IF(COUNTIF('مواد المخزون'!$A$2:$A$86,$C2822)&gt;0,"نعم","لا (خارج الجرد)"))</f>
        <v/>
      </c>
    </row>
    <row r="2823" customFormat="false" ht="15" hidden="false" customHeight="false" outlineLevel="0" collapsed="false">
      <c r="A2823" s="102"/>
      <c r="B2823" s="104"/>
      <c r="C2823" s="104"/>
      <c r="F2823" s="103" t="str">
        <f aca="false">IF(OR($C2823="",$D2823=0),"",$E2823/$D2823)</f>
        <v/>
      </c>
      <c r="H2823" s="0" t="str">
        <f aca="false">IF($C2823="","",IF(COUNTIF('مواد المخزون'!$A$2:$A$86,$C2823)&gt;0,"نعم","لا (خارج الجرد)"))</f>
        <v/>
      </c>
    </row>
    <row r="2824" customFormat="false" ht="15" hidden="false" customHeight="false" outlineLevel="0" collapsed="false">
      <c r="A2824" s="102"/>
      <c r="B2824" s="104"/>
      <c r="C2824" s="104"/>
      <c r="F2824" s="103" t="str">
        <f aca="false">IF(OR($C2824="",$D2824=0),"",$E2824/$D2824)</f>
        <v/>
      </c>
      <c r="H2824" s="0" t="str">
        <f aca="false">IF($C2824="","",IF(COUNTIF('مواد المخزون'!$A$2:$A$86,$C2824)&gt;0,"نعم","لا (خارج الجرد)"))</f>
        <v/>
      </c>
    </row>
    <row r="2825" customFormat="false" ht="15" hidden="false" customHeight="false" outlineLevel="0" collapsed="false">
      <c r="A2825" s="102"/>
      <c r="B2825" s="104"/>
      <c r="C2825" s="104"/>
      <c r="F2825" s="103" t="str">
        <f aca="false">IF(OR($C2825="",$D2825=0),"",$E2825/$D2825)</f>
        <v/>
      </c>
      <c r="H2825" s="0" t="str">
        <f aca="false">IF($C2825="","",IF(COUNTIF('مواد المخزون'!$A$2:$A$86,$C2825)&gt;0,"نعم","لا (خارج الجرد)"))</f>
        <v/>
      </c>
    </row>
    <row r="2826" customFormat="false" ht="15" hidden="false" customHeight="false" outlineLevel="0" collapsed="false">
      <c r="A2826" s="102"/>
      <c r="B2826" s="104"/>
      <c r="C2826" s="104"/>
      <c r="F2826" s="103" t="str">
        <f aca="false">IF(OR($C2826="",$D2826=0),"",$E2826/$D2826)</f>
        <v/>
      </c>
      <c r="H2826" s="0" t="str">
        <f aca="false">IF($C2826="","",IF(COUNTIF('مواد المخزون'!$A$2:$A$86,$C2826)&gt;0,"نعم","لا (خارج الجرد)"))</f>
        <v/>
      </c>
    </row>
    <row r="2827" customFormat="false" ht="15" hidden="false" customHeight="false" outlineLevel="0" collapsed="false">
      <c r="A2827" s="102"/>
      <c r="B2827" s="104"/>
      <c r="C2827" s="104"/>
      <c r="F2827" s="103" t="str">
        <f aca="false">IF(OR($C2827="",$D2827=0),"",$E2827/$D2827)</f>
        <v/>
      </c>
      <c r="H2827" s="0" t="str">
        <f aca="false">IF($C2827="","",IF(COUNTIF('مواد المخزون'!$A$2:$A$86,$C2827)&gt;0,"نعم","لا (خارج الجرد)"))</f>
        <v/>
      </c>
    </row>
    <row r="2828" customFormat="false" ht="15" hidden="false" customHeight="false" outlineLevel="0" collapsed="false">
      <c r="A2828" s="102"/>
      <c r="B2828" s="104"/>
      <c r="C2828" s="104"/>
      <c r="F2828" s="103" t="str">
        <f aca="false">IF(OR($C2828="",$D2828=0),"",$E2828/$D2828)</f>
        <v/>
      </c>
      <c r="H2828" s="0" t="str">
        <f aca="false">IF($C2828="","",IF(COUNTIF('مواد المخزون'!$A$2:$A$86,$C2828)&gt;0,"نعم","لا (خارج الجرد)"))</f>
        <v/>
      </c>
    </row>
    <row r="2829" customFormat="false" ht="15" hidden="false" customHeight="false" outlineLevel="0" collapsed="false">
      <c r="A2829" s="102"/>
      <c r="B2829" s="104"/>
      <c r="C2829" s="104"/>
      <c r="F2829" s="103" t="str">
        <f aca="false">IF(OR($C2829="",$D2829=0),"",$E2829/$D2829)</f>
        <v/>
      </c>
      <c r="H2829" s="0" t="str">
        <f aca="false">IF($C2829="","",IF(COUNTIF('مواد المخزون'!$A$2:$A$86,$C2829)&gt;0,"نعم","لا (خارج الجرد)"))</f>
        <v/>
      </c>
    </row>
    <row r="2830" customFormat="false" ht="15" hidden="false" customHeight="false" outlineLevel="0" collapsed="false">
      <c r="A2830" s="102"/>
      <c r="B2830" s="104"/>
      <c r="C2830" s="104"/>
      <c r="F2830" s="103" t="str">
        <f aca="false">IF(OR($C2830="",$D2830=0),"",$E2830/$D2830)</f>
        <v/>
      </c>
      <c r="H2830" s="0" t="str">
        <f aca="false">IF($C2830="","",IF(COUNTIF('مواد المخزون'!$A$2:$A$86,$C2830)&gt;0,"نعم","لا (خارج الجرد)"))</f>
        <v/>
      </c>
    </row>
    <row r="2831" customFormat="false" ht="15" hidden="false" customHeight="false" outlineLevel="0" collapsed="false">
      <c r="A2831" s="102"/>
      <c r="B2831" s="104"/>
      <c r="C2831" s="104"/>
      <c r="F2831" s="103" t="str">
        <f aca="false">IF(OR($C2831="",$D2831=0),"",$E2831/$D2831)</f>
        <v/>
      </c>
      <c r="H2831" s="0" t="str">
        <f aca="false">IF($C2831="","",IF(COUNTIF('مواد المخزون'!$A$2:$A$86,$C2831)&gt;0,"نعم","لا (خارج الجرد)"))</f>
        <v/>
      </c>
    </row>
    <row r="2832" customFormat="false" ht="15" hidden="false" customHeight="false" outlineLevel="0" collapsed="false">
      <c r="A2832" s="102"/>
      <c r="B2832" s="104"/>
      <c r="C2832" s="104"/>
      <c r="F2832" s="103" t="str">
        <f aca="false">IF(OR($C2832="",$D2832=0),"",$E2832/$D2832)</f>
        <v/>
      </c>
      <c r="H2832" s="0" t="str">
        <f aca="false">IF($C2832="","",IF(COUNTIF('مواد المخزون'!$A$2:$A$86,$C2832)&gt;0,"نعم","لا (خارج الجرد)"))</f>
        <v/>
      </c>
    </row>
    <row r="2833" customFormat="false" ht="15" hidden="false" customHeight="false" outlineLevel="0" collapsed="false">
      <c r="A2833" s="102"/>
      <c r="B2833" s="104"/>
      <c r="C2833" s="104"/>
      <c r="F2833" s="103" t="str">
        <f aca="false">IF(OR($C2833="",$D2833=0),"",$E2833/$D2833)</f>
        <v/>
      </c>
      <c r="H2833" s="0" t="str">
        <f aca="false">IF($C2833="","",IF(COUNTIF('مواد المخزون'!$A$2:$A$86,$C2833)&gt;0,"نعم","لا (خارج الجرد)"))</f>
        <v/>
      </c>
    </row>
    <row r="2834" customFormat="false" ht="15" hidden="false" customHeight="false" outlineLevel="0" collapsed="false">
      <c r="A2834" s="102"/>
      <c r="B2834" s="104"/>
      <c r="C2834" s="104"/>
      <c r="F2834" s="103" t="str">
        <f aca="false">IF(OR($C2834="",$D2834=0),"",$E2834/$D2834)</f>
        <v/>
      </c>
      <c r="H2834" s="0" t="str">
        <f aca="false">IF($C2834="","",IF(COUNTIF('مواد المخزون'!$A$2:$A$86,$C2834)&gt;0,"نعم","لا (خارج الجرد)"))</f>
        <v/>
      </c>
    </row>
    <row r="2835" customFormat="false" ht="15" hidden="false" customHeight="false" outlineLevel="0" collapsed="false">
      <c r="A2835" s="102"/>
      <c r="B2835" s="104"/>
      <c r="C2835" s="104"/>
      <c r="F2835" s="103" t="str">
        <f aca="false">IF(OR($C2835="",$D2835=0),"",$E2835/$D2835)</f>
        <v/>
      </c>
      <c r="H2835" s="0" t="str">
        <f aca="false">IF($C2835="","",IF(COUNTIF('مواد المخزون'!$A$2:$A$86,$C2835)&gt;0,"نعم","لا (خارج الجرد)"))</f>
        <v/>
      </c>
    </row>
    <row r="2836" customFormat="false" ht="15" hidden="false" customHeight="false" outlineLevel="0" collapsed="false">
      <c r="A2836" s="102"/>
      <c r="B2836" s="104"/>
      <c r="C2836" s="104"/>
      <c r="F2836" s="103" t="str">
        <f aca="false">IF(OR($C2836="",$D2836=0),"",$E2836/$D2836)</f>
        <v/>
      </c>
      <c r="H2836" s="0" t="str">
        <f aca="false">IF($C2836="","",IF(COUNTIF('مواد المخزون'!$A$2:$A$86,$C2836)&gt;0,"نعم","لا (خارج الجرد)"))</f>
        <v/>
      </c>
    </row>
    <row r="2837" customFormat="false" ht="15" hidden="false" customHeight="false" outlineLevel="0" collapsed="false">
      <c r="A2837" s="102"/>
      <c r="B2837" s="104"/>
      <c r="C2837" s="104"/>
      <c r="F2837" s="103" t="str">
        <f aca="false">IF(OR($C2837="",$D2837=0),"",$E2837/$D2837)</f>
        <v/>
      </c>
      <c r="H2837" s="0" t="str">
        <f aca="false">IF($C2837="","",IF(COUNTIF('مواد المخزون'!$A$2:$A$86,$C2837)&gt;0,"نعم","لا (خارج الجرد)"))</f>
        <v/>
      </c>
    </row>
    <row r="2838" customFormat="false" ht="15" hidden="false" customHeight="false" outlineLevel="0" collapsed="false">
      <c r="A2838" s="102"/>
      <c r="B2838" s="104"/>
      <c r="C2838" s="104"/>
      <c r="F2838" s="103" t="str">
        <f aca="false">IF(OR($C2838="",$D2838=0),"",$E2838/$D2838)</f>
        <v/>
      </c>
      <c r="H2838" s="0" t="str">
        <f aca="false">IF($C2838="","",IF(COUNTIF('مواد المخزون'!$A$2:$A$86,$C2838)&gt;0,"نعم","لا (خارج الجرد)"))</f>
        <v/>
      </c>
    </row>
    <row r="2839" customFormat="false" ht="15" hidden="false" customHeight="false" outlineLevel="0" collapsed="false">
      <c r="A2839" s="102"/>
      <c r="B2839" s="104"/>
      <c r="C2839" s="104"/>
      <c r="F2839" s="103" t="str">
        <f aca="false">IF(OR($C2839="",$D2839=0),"",$E2839/$D2839)</f>
        <v/>
      </c>
      <c r="H2839" s="0" t="str">
        <f aca="false">IF($C2839="","",IF(COUNTIF('مواد المخزون'!$A$2:$A$86,$C2839)&gt;0,"نعم","لا (خارج الجرد)"))</f>
        <v/>
      </c>
    </row>
    <row r="2840" customFormat="false" ht="15" hidden="false" customHeight="false" outlineLevel="0" collapsed="false">
      <c r="A2840" s="102"/>
      <c r="B2840" s="104"/>
      <c r="C2840" s="104"/>
      <c r="F2840" s="103" t="str">
        <f aca="false">IF(OR($C2840="",$D2840=0),"",$E2840/$D2840)</f>
        <v/>
      </c>
      <c r="H2840" s="0" t="str">
        <f aca="false">IF($C2840="","",IF(COUNTIF('مواد المخزون'!$A$2:$A$86,$C2840)&gt;0,"نعم","لا (خارج الجرد)"))</f>
        <v/>
      </c>
    </row>
    <row r="2841" customFormat="false" ht="15" hidden="false" customHeight="false" outlineLevel="0" collapsed="false">
      <c r="A2841" s="102"/>
      <c r="B2841" s="104"/>
      <c r="C2841" s="104"/>
      <c r="F2841" s="103" t="str">
        <f aca="false">IF(OR($C2841="",$D2841=0),"",$E2841/$D2841)</f>
        <v/>
      </c>
      <c r="H2841" s="0" t="str">
        <f aca="false">IF($C2841="","",IF(COUNTIF('مواد المخزون'!$A$2:$A$86,$C2841)&gt;0,"نعم","لا (خارج الجرد)"))</f>
        <v/>
      </c>
    </row>
    <row r="2842" customFormat="false" ht="15" hidden="false" customHeight="false" outlineLevel="0" collapsed="false">
      <c r="A2842" s="102"/>
      <c r="B2842" s="104"/>
      <c r="C2842" s="104"/>
      <c r="F2842" s="103" t="str">
        <f aca="false">IF(OR($C2842="",$D2842=0),"",$E2842/$D2842)</f>
        <v/>
      </c>
      <c r="H2842" s="0" t="str">
        <f aca="false">IF($C2842="","",IF(COUNTIF('مواد المخزون'!$A$2:$A$86,$C2842)&gt;0,"نعم","لا (خارج الجرد)"))</f>
        <v/>
      </c>
    </row>
    <row r="2843" customFormat="false" ht="15" hidden="false" customHeight="false" outlineLevel="0" collapsed="false">
      <c r="A2843" s="102"/>
      <c r="B2843" s="104"/>
      <c r="C2843" s="104"/>
      <c r="F2843" s="103" t="str">
        <f aca="false">IF(OR($C2843="",$D2843=0),"",$E2843/$D2843)</f>
        <v/>
      </c>
      <c r="H2843" s="0" t="str">
        <f aca="false">IF($C2843="","",IF(COUNTIF('مواد المخزون'!$A$2:$A$86,$C2843)&gt;0,"نعم","لا (خارج الجرد)"))</f>
        <v/>
      </c>
    </row>
    <row r="2844" customFormat="false" ht="15" hidden="false" customHeight="false" outlineLevel="0" collapsed="false">
      <c r="A2844" s="102"/>
      <c r="B2844" s="104"/>
      <c r="C2844" s="104"/>
      <c r="F2844" s="103" t="str">
        <f aca="false">IF(OR($C2844="",$D2844=0),"",$E2844/$D2844)</f>
        <v/>
      </c>
      <c r="H2844" s="0" t="str">
        <f aca="false">IF($C2844="","",IF(COUNTIF('مواد المخزون'!$A$2:$A$86,$C2844)&gt;0,"نعم","لا (خارج الجرد)"))</f>
        <v/>
      </c>
    </row>
    <row r="2845" customFormat="false" ht="15" hidden="false" customHeight="false" outlineLevel="0" collapsed="false">
      <c r="A2845" s="102"/>
      <c r="B2845" s="104"/>
      <c r="C2845" s="104"/>
      <c r="F2845" s="103" t="str">
        <f aca="false">IF(OR($C2845="",$D2845=0),"",$E2845/$D2845)</f>
        <v/>
      </c>
      <c r="H2845" s="0" t="str">
        <f aca="false">IF($C2845="","",IF(COUNTIF('مواد المخزون'!$A$2:$A$86,$C2845)&gt;0,"نعم","لا (خارج الجرد)"))</f>
        <v/>
      </c>
    </row>
    <row r="2846" customFormat="false" ht="15" hidden="false" customHeight="false" outlineLevel="0" collapsed="false">
      <c r="A2846" s="102"/>
      <c r="B2846" s="104"/>
      <c r="C2846" s="104"/>
      <c r="F2846" s="103" t="str">
        <f aca="false">IF(OR($C2846="",$D2846=0),"",$E2846/$D2846)</f>
        <v/>
      </c>
      <c r="H2846" s="0" t="str">
        <f aca="false">IF($C2846="","",IF(COUNTIF('مواد المخزون'!$A$2:$A$86,$C2846)&gt;0,"نعم","لا (خارج الجرد)"))</f>
        <v/>
      </c>
    </row>
    <row r="2847" customFormat="false" ht="15" hidden="false" customHeight="false" outlineLevel="0" collapsed="false">
      <c r="A2847" s="102"/>
      <c r="B2847" s="104"/>
      <c r="C2847" s="104"/>
      <c r="F2847" s="103" t="str">
        <f aca="false">IF(OR($C2847="",$D2847=0),"",$E2847/$D2847)</f>
        <v/>
      </c>
      <c r="H2847" s="0" t="str">
        <f aca="false">IF($C2847="","",IF(COUNTIF('مواد المخزون'!$A$2:$A$86,$C2847)&gt;0,"نعم","لا (خارج الجرد)"))</f>
        <v/>
      </c>
    </row>
    <row r="2848" customFormat="false" ht="15" hidden="false" customHeight="false" outlineLevel="0" collapsed="false">
      <c r="A2848" s="102"/>
      <c r="B2848" s="104"/>
      <c r="C2848" s="104"/>
      <c r="F2848" s="103" t="str">
        <f aca="false">IF(OR($C2848="",$D2848=0),"",$E2848/$D2848)</f>
        <v/>
      </c>
      <c r="H2848" s="0" t="str">
        <f aca="false">IF($C2848="","",IF(COUNTIF('مواد المخزون'!$A$2:$A$86,$C2848)&gt;0,"نعم","لا (خارج الجرد)"))</f>
        <v/>
      </c>
    </row>
    <row r="2849" customFormat="false" ht="15" hidden="false" customHeight="false" outlineLevel="0" collapsed="false">
      <c r="A2849" s="102"/>
      <c r="B2849" s="104"/>
      <c r="C2849" s="104"/>
      <c r="F2849" s="103" t="str">
        <f aca="false">IF(OR($C2849="",$D2849=0),"",$E2849/$D2849)</f>
        <v/>
      </c>
      <c r="H2849" s="0" t="str">
        <f aca="false">IF($C2849="","",IF(COUNTIF('مواد المخزون'!$A$2:$A$86,$C2849)&gt;0,"نعم","لا (خارج الجرد)"))</f>
        <v/>
      </c>
    </row>
    <row r="2850" customFormat="false" ht="15" hidden="false" customHeight="false" outlineLevel="0" collapsed="false">
      <c r="A2850" s="102"/>
      <c r="B2850" s="104"/>
      <c r="C2850" s="104"/>
      <c r="F2850" s="103" t="str">
        <f aca="false">IF(OR($C2850="",$D2850=0),"",$E2850/$D2850)</f>
        <v/>
      </c>
      <c r="H2850" s="0" t="str">
        <f aca="false">IF($C2850="","",IF(COUNTIF('مواد المخزون'!$A$2:$A$86,$C2850)&gt;0,"نعم","لا (خارج الجرد)"))</f>
        <v/>
      </c>
    </row>
    <row r="2851" customFormat="false" ht="15" hidden="false" customHeight="false" outlineLevel="0" collapsed="false">
      <c r="A2851" s="102"/>
      <c r="B2851" s="104"/>
      <c r="C2851" s="104"/>
      <c r="F2851" s="103" t="str">
        <f aca="false">IF(OR($C2851="",$D2851=0),"",$E2851/$D2851)</f>
        <v/>
      </c>
      <c r="H2851" s="0" t="str">
        <f aca="false">IF($C2851="","",IF(COUNTIF('مواد المخزون'!$A$2:$A$86,$C2851)&gt;0,"نعم","لا (خارج الجرد)"))</f>
        <v/>
      </c>
    </row>
    <row r="2852" customFormat="false" ht="15" hidden="false" customHeight="false" outlineLevel="0" collapsed="false">
      <c r="A2852" s="102"/>
      <c r="B2852" s="104"/>
      <c r="C2852" s="104"/>
      <c r="F2852" s="103" t="str">
        <f aca="false">IF(OR($C2852="",$D2852=0),"",$E2852/$D2852)</f>
        <v/>
      </c>
      <c r="H2852" s="0" t="str">
        <f aca="false">IF($C2852="","",IF(COUNTIF('مواد المخزون'!$A$2:$A$86,$C2852)&gt;0,"نعم","لا (خارج الجرد)"))</f>
        <v/>
      </c>
    </row>
    <row r="2853" customFormat="false" ht="15" hidden="false" customHeight="false" outlineLevel="0" collapsed="false">
      <c r="A2853" s="102"/>
      <c r="B2853" s="104"/>
      <c r="C2853" s="104"/>
      <c r="F2853" s="103" t="str">
        <f aca="false">IF(OR($C2853="",$D2853=0),"",$E2853/$D2853)</f>
        <v/>
      </c>
      <c r="H2853" s="0" t="str">
        <f aca="false">IF($C2853="","",IF(COUNTIF('مواد المخزون'!$A$2:$A$86,$C2853)&gt;0,"نعم","لا (خارج الجرد)"))</f>
        <v/>
      </c>
    </row>
    <row r="2854" customFormat="false" ht="15" hidden="false" customHeight="false" outlineLevel="0" collapsed="false">
      <c r="A2854" s="102"/>
      <c r="B2854" s="104"/>
      <c r="C2854" s="104"/>
      <c r="F2854" s="103" t="str">
        <f aca="false">IF(OR($C2854="",$D2854=0),"",$E2854/$D2854)</f>
        <v/>
      </c>
      <c r="H2854" s="0" t="str">
        <f aca="false">IF($C2854="","",IF(COUNTIF('مواد المخزون'!$A$2:$A$86,$C2854)&gt;0,"نعم","لا (خارج الجرد)"))</f>
        <v/>
      </c>
    </row>
    <row r="2855" customFormat="false" ht="15" hidden="false" customHeight="false" outlineLevel="0" collapsed="false">
      <c r="A2855" s="102"/>
      <c r="B2855" s="104"/>
      <c r="C2855" s="104"/>
      <c r="F2855" s="103" t="str">
        <f aca="false">IF(OR($C2855="",$D2855=0),"",$E2855/$D2855)</f>
        <v/>
      </c>
      <c r="H2855" s="0" t="str">
        <f aca="false">IF($C2855="","",IF(COUNTIF('مواد المخزون'!$A$2:$A$86,$C2855)&gt;0,"نعم","لا (خارج الجرد)"))</f>
        <v/>
      </c>
    </row>
    <row r="2856" customFormat="false" ht="15" hidden="false" customHeight="false" outlineLevel="0" collapsed="false">
      <c r="A2856" s="102"/>
      <c r="B2856" s="104"/>
      <c r="C2856" s="104"/>
      <c r="F2856" s="103" t="str">
        <f aca="false">IF(OR($C2856="",$D2856=0),"",$E2856/$D2856)</f>
        <v/>
      </c>
      <c r="H2856" s="0" t="str">
        <f aca="false">IF($C2856="","",IF(COUNTIF('مواد المخزون'!$A$2:$A$86,$C2856)&gt;0,"نعم","لا (خارج الجرد)"))</f>
        <v/>
      </c>
    </row>
    <row r="2857" customFormat="false" ht="15" hidden="false" customHeight="false" outlineLevel="0" collapsed="false">
      <c r="A2857" s="102"/>
      <c r="B2857" s="104"/>
      <c r="C2857" s="104"/>
      <c r="F2857" s="103" t="str">
        <f aca="false">IF(OR($C2857="",$D2857=0),"",$E2857/$D2857)</f>
        <v/>
      </c>
      <c r="H2857" s="0" t="str">
        <f aca="false">IF($C2857="","",IF(COUNTIF('مواد المخزون'!$A$2:$A$86,$C2857)&gt;0,"نعم","لا (خارج الجرد)"))</f>
        <v/>
      </c>
    </row>
    <row r="2858" customFormat="false" ht="15" hidden="false" customHeight="false" outlineLevel="0" collapsed="false">
      <c r="A2858" s="102"/>
      <c r="B2858" s="104"/>
      <c r="C2858" s="104"/>
      <c r="F2858" s="103" t="str">
        <f aca="false">IF(OR($C2858="",$D2858=0),"",$E2858/$D2858)</f>
        <v/>
      </c>
      <c r="H2858" s="0" t="str">
        <f aca="false">IF($C2858="","",IF(COUNTIF('مواد المخزون'!$A$2:$A$86,$C2858)&gt;0,"نعم","لا (خارج الجرد)"))</f>
        <v/>
      </c>
    </row>
    <row r="2859" customFormat="false" ht="15" hidden="false" customHeight="false" outlineLevel="0" collapsed="false">
      <c r="A2859" s="102"/>
      <c r="B2859" s="104"/>
      <c r="C2859" s="104"/>
      <c r="F2859" s="103" t="str">
        <f aca="false">IF(OR($C2859="",$D2859=0),"",$E2859/$D2859)</f>
        <v/>
      </c>
      <c r="H2859" s="0" t="str">
        <f aca="false">IF($C2859="","",IF(COUNTIF('مواد المخزون'!$A$2:$A$86,$C2859)&gt;0,"نعم","لا (خارج الجرد)"))</f>
        <v/>
      </c>
    </row>
    <row r="2860" customFormat="false" ht="15" hidden="false" customHeight="false" outlineLevel="0" collapsed="false">
      <c r="A2860" s="102"/>
      <c r="B2860" s="104"/>
      <c r="C2860" s="104"/>
      <c r="F2860" s="103" t="str">
        <f aca="false">IF(OR($C2860="",$D2860=0),"",$E2860/$D2860)</f>
        <v/>
      </c>
      <c r="H2860" s="0" t="str">
        <f aca="false">IF($C2860="","",IF(COUNTIF('مواد المخزون'!$A$2:$A$86,$C2860)&gt;0,"نعم","لا (خارج الجرد)"))</f>
        <v/>
      </c>
    </row>
    <row r="2861" customFormat="false" ht="15" hidden="false" customHeight="false" outlineLevel="0" collapsed="false">
      <c r="A2861" s="102"/>
      <c r="B2861" s="104"/>
      <c r="C2861" s="104"/>
      <c r="F2861" s="103" t="str">
        <f aca="false">IF(OR($C2861="",$D2861=0),"",$E2861/$D2861)</f>
        <v/>
      </c>
      <c r="H2861" s="0" t="str">
        <f aca="false">IF($C2861="","",IF(COUNTIF('مواد المخزون'!$A$2:$A$86,$C2861)&gt;0,"نعم","لا (خارج الجرد)"))</f>
        <v/>
      </c>
    </row>
    <row r="2862" customFormat="false" ht="15" hidden="false" customHeight="false" outlineLevel="0" collapsed="false">
      <c r="A2862" s="102"/>
      <c r="B2862" s="104"/>
      <c r="C2862" s="104"/>
      <c r="F2862" s="103" t="str">
        <f aca="false">IF(OR($C2862="",$D2862=0),"",$E2862/$D2862)</f>
        <v/>
      </c>
      <c r="H2862" s="0" t="str">
        <f aca="false">IF($C2862="","",IF(COUNTIF('مواد المخزون'!$A$2:$A$86,$C2862)&gt;0,"نعم","لا (خارج الجرد)"))</f>
        <v/>
      </c>
    </row>
    <row r="2863" customFormat="false" ht="15" hidden="false" customHeight="false" outlineLevel="0" collapsed="false">
      <c r="A2863" s="102"/>
      <c r="B2863" s="104"/>
      <c r="C2863" s="104"/>
      <c r="F2863" s="103" t="str">
        <f aca="false">IF(OR($C2863="",$D2863=0),"",$E2863/$D2863)</f>
        <v/>
      </c>
      <c r="H2863" s="0" t="str">
        <f aca="false">IF($C2863="","",IF(COUNTIF('مواد المخزون'!$A$2:$A$86,$C2863)&gt;0,"نعم","لا (خارج الجرد)"))</f>
        <v/>
      </c>
    </row>
    <row r="2864" customFormat="false" ht="15" hidden="false" customHeight="false" outlineLevel="0" collapsed="false">
      <c r="A2864" s="102"/>
      <c r="B2864" s="104"/>
      <c r="C2864" s="104"/>
      <c r="F2864" s="103" t="str">
        <f aca="false">IF(OR($C2864="",$D2864=0),"",$E2864/$D2864)</f>
        <v/>
      </c>
      <c r="H2864" s="0" t="str">
        <f aca="false">IF($C2864="","",IF(COUNTIF('مواد المخزون'!$A$2:$A$86,$C2864)&gt;0,"نعم","لا (خارج الجرد)"))</f>
        <v/>
      </c>
    </row>
    <row r="2865" customFormat="false" ht="15" hidden="false" customHeight="false" outlineLevel="0" collapsed="false">
      <c r="A2865" s="102"/>
      <c r="B2865" s="104"/>
      <c r="C2865" s="104"/>
      <c r="F2865" s="103" t="str">
        <f aca="false">IF(OR($C2865="",$D2865=0),"",$E2865/$D2865)</f>
        <v/>
      </c>
      <c r="H2865" s="0" t="str">
        <f aca="false">IF($C2865="","",IF(COUNTIF('مواد المخزون'!$A$2:$A$86,$C2865)&gt;0,"نعم","لا (خارج الجرد)"))</f>
        <v/>
      </c>
    </row>
    <row r="2866" customFormat="false" ht="15" hidden="false" customHeight="false" outlineLevel="0" collapsed="false">
      <c r="A2866" s="102"/>
      <c r="B2866" s="104"/>
      <c r="C2866" s="104"/>
      <c r="F2866" s="103" t="str">
        <f aca="false">IF(OR($C2866="",$D2866=0),"",$E2866/$D2866)</f>
        <v/>
      </c>
      <c r="H2866" s="0" t="str">
        <f aca="false">IF($C2866="","",IF(COUNTIF('مواد المخزون'!$A$2:$A$86,$C2866)&gt;0,"نعم","لا (خارج الجرد)"))</f>
        <v/>
      </c>
    </row>
    <row r="2867" customFormat="false" ht="15" hidden="false" customHeight="false" outlineLevel="0" collapsed="false">
      <c r="A2867" s="102"/>
      <c r="B2867" s="104"/>
      <c r="C2867" s="104"/>
      <c r="F2867" s="103" t="str">
        <f aca="false">IF(OR($C2867="",$D2867=0),"",$E2867/$D2867)</f>
        <v/>
      </c>
      <c r="H2867" s="0" t="str">
        <f aca="false">IF($C2867="","",IF(COUNTIF('مواد المخزون'!$A$2:$A$86,$C2867)&gt;0,"نعم","لا (خارج الجرد)"))</f>
        <v/>
      </c>
    </row>
    <row r="2868" customFormat="false" ht="15" hidden="false" customHeight="false" outlineLevel="0" collapsed="false">
      <c r="A2868" s="102"/>
      <c r="B2868" s="104"/>
      <c r="C2868" s="104"/>
      <c r="F2868" s="103" t="str">
        <f aca="false">IF(OR($C2868="",$D2868=0),"",$E2868/$D2868)</f>
        <v/>
      </c>
      <c r="H2868" s="0" t="str">
        <f aca="false">IF($C2868="","",IF(COUNTIF('مواد المخزون'!$A$2:$A$86,$C2868)&gt;0,"نعم","لا (خارج الجرد)"))</f>
        <v/>
      </c>
    </row>
    <row r="2869" customFormat="false" ht="15" hidden="false" customHeight="false" outlineLevel="0" collapsed="false">
      <c r="A2869" s="102"/>
      <c r="B2869" s="104"/>
      <c r="C2869" s="104"/>
      <c r="F2869" s="103" t="str">
        <f aca="false">IF(OR($C2869="",$D2869=0),"",$E2869/$D2869)</f>
        <v/>
      </c>
      <c r="H2869" s="0" t="str">
        <f aca="false">IF($C2869="","",IF(COUNTIF('مواد المخزون'!$A$2:$A$86,$C2869)&gt;0,"نعم","لا (خارج الجرد)"))</f>
        <v/>
      </c>
    </row>
    <row r="2870" customFormat="false" ht="15" hidden="false" customHeight="false" outlineLevel="0" collapsed="false">
      <c r="A2870" s="102"/>
      <c r="B2870" s="104"/>
      <c r="C2870" s="104"/>
      <c r="F2870" s="103" t="str">
        <f aca="false">IF(OR($C2870="",$D2870=0),"",$E2870/$D2870)</f>
        <v/>
      </c>
      <c r="H2870" s="0" t="str">
        <f aca="false">IF($C2870="","",IF(COUNTIF('مواد المخزون'!$A$2:$A$86,$C2870)&gt;0,"نعم","لا (خارج الجرد)"))</f>
        <v/>
      </c>
    </row>
    <row r="2871" customFormat="false" ht="15" hidden="false" customHeight="false" outlineLevel="0" collapsed="false">
      <c r="A2871" s="102"/>
      <c r="B2871" s="104"/>
      <c r="C2871" s="104"/>
      <c r="F2871" s="103" t="str">
        <f aca="false">IF(OR($C2871="",$D2871=0),"",$E2871/$D2871)</f>
        <v/>
      </c>
      <c r="H2871" s="0" t="str">
        <f aca="false">IF($C2871="","",IF(COUNTIF('مواد المخزون'!$A$2:$A$86,$C2871)&gt;0,"نعم","لا (خارج الجرد)"))</f>
        <v/>
      </c>
    </row>
    <row r="2872" customFormat="false" ht="15" hidden="false" customHeight="false" outlineLevel="0" collapsed="false">
      <c r="A2872" s="102"/>
      <c r="B2872" s="104"/>
      <c r="C2872" s="104"/>
      <c r="F2872" s="103" t="str">
        <f aca="false">IF(OR($C2872="",$D2872=0),"",$E2872/$D2872)</f>
        <v/>
      </c>
      <c r="H2872" s="0" t="str">
        <f aca="false">IF($C2872="","",IF(COUNTIF('مواد المخزون'!$A$2:$A$86,$C2872)&gt;0,"نعم","لا (خارج الجرد)"))</f>
        <v/>
      </c>
    </row>
    <row r="2873" customFormat="false" ht="15" hidden="false" customHeight="false" outlineLevel="0" collapsed="false">
      <c r="A2873" s="102"/>
      <c r="B2873" s="104"/>
      <c r="C2873" s="104"/>
      <c r="F2873" s="103" t="str">
        <f aca="false">IF(OR($C2873="",$D2873=0),"",$E2873/$D2873)</f>
        <v/>
      </c>
      <c r="H2873" s="0" t="str">
        <f aca="false">IF($C2873="","",IF(COUNTIF('مواد المخزون'!$A$2:$A$86,$C2873)&gt;0,"نعم","لا (خارج الجرد)"))</f>
        <v/>
      </c>
    </row>
    <row r="2874" customFormat="false" ht="15" hidden="false" customHeight="false" outlineLevel="0" collapsed="false">
      <c r="A2874" s="102"/>
      <c r="B2874" s="104"/>
      <c r="C2874" s="104"/>
      <c r="F2874" s="103" t="str">
        <f aca="false">IF(OR($C2874="",$D2874=0),"",$E2874/$D2874)</f>
        <v/>
      </c>
      <c r="H2874" s="0" t="str">
        <f aca="false">IF($C2874="","",IF(COUNTIF('مواد المخزون'!$A$2:$A$86,$C2874)&gt;0,"نعم","لا (خارج الجرد)"))</f>
        <v/>
      </c>
    </row>
    <row r="2875" customFormat="false" ht="15" hidden="false" customHeight="false" outlineLevel="0" collapsed="false">
      <c r="A2875" s="102"/>
      <c r="B2875" s="104"/>
      <c r="C2875" s="104"/>
      <c r="F2875" s="103" t="str">
        <f aca="false">IF(OR($C2875="",$D2875=0),"",$E2875/$D2875)</f>
        <v/>
      </c>
      <c r="H2875" s="0" t="str">
        <f aca="false">IF($C2875="","",IF(COUNTIF('مواد المخزون'!$A$2:$A$86,$C2875)&gt;0,"نعم","لا (خارج الجرد)"))</f>
        <v/>
      </c>
    </row>
    <row r="2876" customFormat="false" ht="15" hidden="false" customHeight="false" outlineLevel="0" collapsed="false">
      <c r="A2876" s="102"/>
      <c r="B2876" s="104"/>
      <c r="C2876" s="104"/>
      <c r="F2876" s="103" t="str">
        <f aca="false">IF(OR($C2876="",$D2876=0),"",$E2876/$D2876)</f>
        <v/>
      </c>
      <c r="H2876" s="0" t="str">
        <f aca="false">IF($C2876="","",IF(COUNTIF('مواد المخزون'!$A$2:$A$86,$C2876)&gt;0,"نعم","لا (خارج الجرد)"))</f>
        <v/>
      </c>
    </row>
    <row r="2877" customFormat="false" ht="15" hidden="false" customHeight="false" outlineLevel="0" collapsed="false">
      <c r="A2877" s="102"/>
      <c r="B2877" s="104"/>
      <c r="C2877" s="104"/>
      <c r="F2877" s="103" t="str">
        <f aca="false">IF(OR($C2877="",$D2877=0),"",$E2877/$D2877)</f>
        <v/>
      </c>
      <c r="H2877" s="0" t="str">
        <f aca="false">IF($C2877="","",IF(COUNTIF('مواد المخزون'!$A$2:$A$86,$C2877)&gt;0,"نعم","لا (خارج الجرد)"))</f>
        <v/>
      </c>
    </row>
    <row r="2878" customFormat="false" ht="15" hidden="false" customHeight="false" outlineLevel="0" collapsed="false">
      <c r="A2878" s="102"/>
      <c r="B2878" s="104"/>
      <c r="C2878" s="104"/>
      <c r="F2878" s="103" t="str">
        <f aca="false">IF(OR($C2878="",$D2878=0),"",$E2878/$D2878)</f>
        <v/>
      </c>
      <c r="H2878" s="0" t="str">
        <f aca="false">IF($C2878="","",IF(COUNTIF('مواد المخزون'!$A$2:$A$86,$C2878)&gt;0,"نعم","لا (خارج الجرد)"))</f>
        <v/>
      </c>
    </row>
    <row r="2879" customFormat="false" ht="15" hidden="false" customHeight="false" outlineLevel="0" collapsed="false">
      <c r="A2879" s="102"/>
      <c r="B2879" s="104"/>
      <c r="C2879" s="104"/>
      <c r="F2879" s="103" t="str">
        <f aca="false">IF(OR($C2879="",$D2879=0),"",$E2879/$D2879)</f>
        <v/>
      </c>
      <c r="H2879" s="0" t="str">
        <f aca="false">IF($C2879="","",IF(COUNTIF('مواد المخزون'!$A$2:$A$86,$C2879)&gt;0,"نعم","لا (خارج الجرد)"))</f>
        <v/>
      </c>
    </row>
    <row r="2880" customFormat="false" ht="15" hidden="false" customHeight="false" outlineLevel="0" collapsed="false">
      <c r="A2880" s="102"/>
      <c r="B2880" s="104"/>
      <c r="C2880" s="104"/>
      <c r="F2880" s="103" t="str">
        <f aca="false">IF(OR($C2880="",$D2880=0),"",$E2880/$D2880)</f>
        <v/>
      </c>
      <c r="H2880" s="0" t="str">
        <f aca="false">IF($C2880="","",IF(COUNTIF('مواد المخزون'!$A$2:$A$86,$C2880)&gt;0,"نعم","لا (خارج الجرد)"))</f>
        <v/>
      </c>
    </row>
    <row r="2881" customFormat="false" ht="15" hidden="false" customHeight="false" outlineLevel="0" collapsed="false">
      <c r="A2881" s="102"/>
      <c r="B2881" s="104"/>
      <c r="C2881" s="104"/>
      <c r="F2881" s="103" t="str">
        <f aca="false">IF(OR($C2881="",$D2881=0),"",$E2881/$D2881)</f>
        <v/>
      </c>
      <c r="H2881" s="0" t="str">
        <f aca="false">IF($C2881="","",IF(COUNTIF('مواد المخزون'!$A$2:$A$86,$C2881)&gt;0,"نعم","لا (خارج الجرد)"))</f>
        <v/>
      </c>
    </row>
    <row r="2882" customFormat="false" ht="15" hidden="false" customHeight="false" outlineLevel="0" collapsed="false">
      <c r="A2882" s="102"/>
      <c r="B2882" s="104"/>
      <c r="C2882" s="104"/>
      <c r="F2882" s="103" t="str">
        <f aca="false">IF(OR($C2882="",$D2882=0),"",$E2882/$D2882)</f>
        <v/>
      </c>
      <c r="H2882" s="0" t="str">
        <f aca="false">IF($C2882="","",IF(COUNTIF('مواد المخزون'!$A$2:$A$86,$C2882)&gt;0,"نعم","لا (خارج الجرد)"))</f>
        <v/>
      </c>
    </row>
    <row r="2883" customFormat="false" ht="15" hidden="false" customHeight="false" outlineLevel="0" collapsed="false">
      <c r="A2883" s="102"/>
      <c r="B2883" s="104"/>
      <c r="C2883" s="104"/>
      <c r="F2883" s="103" t="str">
        <f aca="false">IF(OR($C2883="",$D2883=0),"",$E2883/$D2883)</f>
        <v/>
      </c>
      <c r="H2883" s="0" t="str">
        <f aca="false">IF($C2883="","",IF(COUNTIF('مواد المخزون'!$A$2:$A$86,$C2883)&gt;0,"نعم","لا (خارج الجرد)"))</f>
        <v/>
      </c>
    </row>
    <row r="2884" customFormat="false" ht="15" hidden="false" customHeight="false" outlineLevel="0" collapsed="false">
      <c r="A2884" s="102"/>
      <c r="B2884" s="104"/>
      <c r="C2884" s="104"/>
      <c r="F2884" s="103" t="str">
        <f aca="false">IF(OR($C2884="",$D2884=0),"",$E2884/$D2884)</f>
        <v/>
      </c>
      <c r="H2884" s="0" t="str">
        <f aca="false">IF($C2884="","",IF(COUNTIF('مواد المخزون'!$A$2:$A$86,$C2884)&gt;0,"نعم","لا (خارج الجرد)"))</f>
        <v/>
      </c>
    </row>
    <row r="2885" customFormat="false" ht="15" hidden="false" customHeight="false" outlineLevel="0" collapsed="false">
      <c r="A2885" s="102"/>
      <c r="B2885" s="104"/>
      <c r="C2885" s="104"/>
      <c r="F2885" s="103" t="str">
        <f aca="false">IF(OR($C2885="",$D2885=0),"",$E2885/$D2885)</f>
        <v/>
      </c>
      <c r="H2885" s="0" t="str">
        <f aca="false">IF($C2885="","",IF(COUNTIF('مواد المخزون'!$A$2:$A$86,$C2885)&gt;0,"نعم","لا (خارج الجرد)"))</f>
        <v/>
      </c>
    </row>
    <row r="2886" customFormat="false" ht="15" hidden="false" customHeight="false" outlineLevel="0" collapsed="false">
      <c r="A2886" s="102"/>
      <c r="B2886" s="104"/>
      <c r="C2886" s="104"/>
      <c r="F2886" s="103" t="str">
        <f aca="false">IF(OR($C2886="",$D2886=0),"",$E2886/$D2886)</f>
        <v/>
      </c>
      <c r="H2886" s="0" t="str">
        <f aca="false">IF($C2886="","",IF(COUNTIF('مواد المخزون'!$A$2:$A$86,$C2886)&gt;0,"نعم","لا (خارج الجرد)"))</f>
        <v/>
      </c>
    </row>
    <row r="2887" customFormat="false" ht="15" hidden="false" customHeight="false" outlineLevel="0" collapsed="false">
      <c r="A2887" s="102"/>
      <c r="B2887" s="104"/>
      <c r="C2887" s="104"/>
      <c r="F2887" s="103" t="str">
        <f aca="false">IF(OR($C2887="",$D2887=0),"",$E2887/$D2887)</f>
        <v/>
      </c>
      <c r="H2887" s="0" t="str">
        <f aca="false">IF($C2887="","",IF(COUNTIF('مواد المخزون'!$A$2:$A$86,$C2887)&gt;0,"نعم","لا (خارج الجرد)"))</f>
        <v/>
      </c>
    </row>
    <row r="2888" customFormat="false" ht="15" hidden="false" customHeight="false" outlineLevel="0" collapsed="false">
      <c r="A2888" s="102"/>
      <c r="B2888" s="104"/>
      <c r="C2888" s="104"/>
      <c r="F2888" s="103" t="str">
        <f aca="false">IF(OR($C2888="",$D2888=0),"",$E2888/$D2888)</f>
        <v/>
      </c>
      <c r="H2888" s="0" t="str">
        <f aca="false">IF($C2888="","",IF(COUNTIF('مواد المخزون'!$A$2:$A$86,$C2888)&gt;0,"نعم","لا (خارج الجرد)"))</f>
        <v/>
      </c>
    </row>
    <row r="2889" customFormat="false" ht="15" hidden="false" customHeight="false" outlineLevel="0" collapsed="false">
      <c r="A2889" s="102"/>
      <c r="B2889" s="104"/>
      <c r="C2889" s="104"/>
      <c r="F2889" s="103" t="str">
        <f aca="false">IF(OR($C2889="",$D2889=0),"",$E2889/$D2889)</f>
        <v/>
      </c>
      <c r="H2889" s="0" t="str">
        <f aca="false">IF($C2889="","",IF(COUNTIF('مواد المخزون'!$A$2:$A$86,$C2889)&gt;0,"نعم","لا (خارج الجرد)"))</f>
        <v/>
      </c>
    </row>
    <row r="2890" customFormat="false" ht="15" hidden="false" customHeight="false" outlineLevel="0" collapsed="false">
      <c r="A2890" s="102"/>
      <c r="B2890" s="104"/>
      <c r="C2890" s="104"/>
      <c r="F2890" s="103" t="str">
        <f aca="false">IF(OR($C2890="",$D2890=0),"",$E2890/$D2890)</f>
        <v/>
      </c>
      <c r="H2890" s="0" t="str">
        <f aca="false">IF($C2890="","",IF(COUNTIF('مواد المخزون'!$A$2:$A$86,$C2890)&gt;0,"نعم","لا (خارج الجرد)"))</f>
        <v/>
      </c>
    </row>
    <row r="2891" customFormat="false" ht="15" hidden="false" customHeight="false" outlineLevel="0" collapsed="false">
      <c r="A2891" s="102"/>
      <c r="B2891" s="104"/>
      <c r="C2891" s="104"/>
      <c r="F2891" s="103" t="str">
        <f aca="false">IF(OR($C2891="",$D2891=0),"",$E2891/$D2891)</f>
        <v/>
      </c>
      <c r="H2891" s="0" t="str">
        <f aca="false">IF($C2891="","",IF(COUNTIF('مواد المخزون'!$A$2:$A$86,$C2891)&gt;0,"نعم","لا (خارج الجرد)"))</f>
        <v/>
      </c>
    </row>
    <row r="2892" customFormat="false" ht="15" hidden="false" customHeight="false" outlineLevel="0" collapsed="false">
      <c r="A2892" s="102"/>
      <c r="B2892" s="104"/>
      <c r="C2892" s="104"/>
      <c r="F2892" s="103" t="str">
        <f aca="false">IF(OR($C2892="",$D2892=0),"",$E2892/$D2892)</f>
        <v/>
      </c>
      <c r="H2892" s="0" t="str">
        <f aca="false">IF($C2892="","",IF(COUNTIF('مواد المخزون'!$A$2:$A$86,$C2892)&gt;0,"نعم","لا (خارج الجرد)"))</f>
        <v/>
      </c>
    </row>
    <row r="2893" customFormat="false" ht="15" hidden="false" customHeight="false" outlineLevel="0" collapsed="false">
      <c r="A2893" s="102"/>
      <c r="B2893" s="104"/>
      <c r="C2893" s="104"/>
      <c r="F2893" s="103" t="str">
        <f aca="false">IF(OR($C2893="",$D2893=0),"",$E2893/$D2893)</f>
        <v/>
      </c>
      <c r="H2893" s="0" t="str">
        <f aca="false">IF($C2893="","",IF(COUNTIF('مواد المخزون'!$A$2:$A$86,$C2893)&gt;0,"نعم","لا (خارج الجرد)"))</f>
        <v/>
      </c>
    </row>
    <row r="2894" customFormat="false" ht="15" hidden="false" customHeight="false" outlineLevel="0" collapsed="false">
      <c r="A2894" s="102"/>
      <c r="B2894" s="104"/>
      <c r="C2894" s="104"/>
      <c r="F2894" s="103" t="str">
        <f aca="false">IF(OR($C2894="",$D2894=0),"",$E2894/$D2894)</f>
        <v/>
      </c>
      <c r="H2894" s="0" t="str">
        <f aca="false">IF($C2894="","",IF(COUNTIF('مواد المخزون'!$A$2:$A$86,$C2894)&gt;0,"نعم","لا (خارج الجرد)"))</f>
        <v/>
      </c>
    </row>
    <row r="2895" customFormat="false" ht="15" hidden="false" customHeight="false" outlineLevel="0" collapsed="false">
      <c r="A2895" s="102"/>
      <c r="B2895" s="104"/>
      <c r="C2895" s="104"/>
      <c r="F2895" s="103" t="str">
        <f aca="false">IF(OR($C2895="",$D2895=0),"",$E2895/$D2895)</f>
        <v/>
      </c>
      <c r="H2895" s="0" t="str">
        <f aca="false">IF($C2895="","",IF(COUNTIF('مواد المخزون'!$A$2:$A$86,$C2895)&gt;0,"نعم","لا (خارج الجرد)"))</f>
        <v/>
      </c>
    </row>
    <row r="2896" customFormat="false" ht="15" hidden="false" customHeight="false" outlineLevel="0" collapsed="false">
      <c r="A2896" s="102"/>
      <c r="B2896" s="104"/>
      <c r="C2896" s="104"/>
      <c r="F2896" s="103" t="str">
        <f aca="false">IF(OR($C2896="",$D2896=0),"",$E2896/$D2896)</f>
        <v/>
      </c>
      <c r="H2896" s="0" t="str">
        <f aca="false">IF($C2896="","",IF(COUNTIF('مواد المخزون'!$A$2:$A$86,$C2896)&gt;0,"نعم","لا (خارج الجرد)"))</f>
        <v/>
      </c>
    </row>
    <row r="2897" customFormat="false" ht="15" hidden="false" customHeight="false" outlineLevel="0" collapsed="false">
      <c r="A2897" s="102"/>
      <c r="B2897" s="104"/>
      <c r="C2897" s="104"/>
      <c r="F2897" s="103" t="str">
        <f aca="false">IF(OR($C2897="",$D2897=0),"",$E2897/$D2897)</f>
        <v/>
      </c>
      <c r="H2897" s="0" t="str">
        <f aca="false">IF($C2897="","",IF(COUNTIF('مواد المخزون'!$A$2:$A$86,$C2897)&gt;0,"نعم","لا (خارج الجرد)"))</f>
        <v/>
      </c>
    </row>
    <row r="2898" customFormat="false" ht="15" hidden="false" customHeight="false" outlineLevel="0" collapsed="false">
      <c r="A2898" s="102"/>
      <c r="B2898" s="104"/>
      <c r="C2898" s="104"/>
      <c r="F2898" s="103" t="str">
        <f aca="false">IF(OR($C2898="",$D2898=0),"",$E2898/$D2898)</f>
        <v/>
      </c>
      <c r="H2898" s="0" t="str">
        <f aca="false">IF($C2898="","",IF(COUNTIF('مواد المخزون'!$A$2:$A$86,$C2898)&gt;0,"نعم","لا (خارج الجرد)"))</f>
        <v/>
      </c>
    </row>
    <row r="2899" customFormat="false" ht="15" hidden="false" customHeight="false" outlineLevel="0" collapsed="false">
      <c r="A2899" s="102"/>
      <c r="B2899" s="104"/>
      <c r="C2899" s="104"/>
      <c r="F2899" s="103" t="str">
        <f aca="false">IF(OR($C2899="",$D2899=0),"",$E2899/$D2899)</f>
        <v/>
      </c>
      <c r="H2899" s="0" t="str">
        <f aca="false">IF($C2899="","",IF(COUNTIF('مواد المخزون'!$A$2:$A$86,$C2899)&gt;0,"نعم","لا (خارج الجرد)"))</f>
        <v/>
      </c>
    </row>
    <row r="2900" customFormat="false" ht="15" hidden="false" customHeight="false" outlineLevel="0" collapsed="false">
      <c r="A2900" s="102"/>
      <c r="B2900" s="104"/>
      <c r="C2900" s="104"/>
      <c r="F2900" s="103" t="str">
        <f aca="false">IF(OR($C2900="",$D2900=0),"",$E2900/$D2900)</f>
        <v/>
      </c>
      <c r="H2900" s="0" t="str">
        <f aca="false">IF($C2900="","",IF(COUNTIF('مواد المخزون'!$A$2:$A$86,$C2900)&gt;0,"نعم","لا (خارج الجرد)"))</f>
        <v/>
      </c>
    </row>
    <row r="2901" customFormat="false" ht="15" hidden="false" customHeight="false" outlineLevel="0" collapsed="false">
      <c r="A2901" s="102"/>
      <c r="B2901" s="104"/>
      <c r="C2901" s="104"/>
      <c r="F2901" s="103" t="str">
        <f aca="false">IF(OR($C2901="",$D2901=0),"",$E2901/$D2901)</f>
        <v/>
      </c>
      <c r="H2901" s="0" t="str">
        <f aca="false">IF($C2901="","",IF(COUNTIF('مواد المخزون'!$A$2:$A$86,$C2901)&gt;0,"نعم","لا (خارج الجرد)"))</f>
        <v/>
      </c>
    </row>
    <row r="2902" customFormat="false" ht="15" hidden="false" customHeight="false" outlineLevel="0" collapsed="false">
      <c r="A2902" s="102"/>
      <c r="B2902" s="104"/>
      <c r="C2902" s="104"/>
      <c r="F2902" s="103" t="str">
        <f aca="false">IF(OR($C2902="",$D2902=0),"",$E2902/$D2902)</f>
        <v/>
      </c>
      <c r="H2902" s="0" t="str">
        <f aca="false">IF($C2902="","",IF(COUNTIF('مواد المخزون'!$A$2:$A$86,$C2902)&gt;0,"نعم","لا (خارج الجرد)"))</f>
        <v/>
      </c>
    </row>
    <row r="2903" customFormat="false" ht="15" hidden="false" customHeight="false" outlineLevel="0" collapsed="false">
      <c r="A2903" s="102"/>
      <c r="B2903" s="104"/>
      <c r="C2903" s="104"/>
      <c r="F2903" s="103" t="str">
        <f aca="false">IF(OR($C2903="",$D2903=0),"",$E2903/$D2903)</f>
        <v/>
      </c>
      <c r="H2903" s="0" t="str">
        <f aca="false">IF($C2903="","",IF(COUNTIF('مواد المخزون'!$A$2:$A$86,$C2903)&gt;0,"نعم","لا (خارج الجرد)"))</f>
        <v/>
      </c>
    </row>
    <row r="2904" customFormat="false" ht="15" hidden="false" customHeight="false" outlineLevel="0" collapsed="false">
      <c r="A2904" s="102"/>
      <c r="B2904" s="104"/>
      <c r="C2904" s="104"/>
      <c r="F2904" s="103" t="str">
        <f aca="false">IF(OR($C2904="",$D2904=0),"",$E2904/$D2904)</f>
        <v/>
      </c>
      <c r="H2904" s="0" t="str">
        <f aca="false">IF($C2904="","",IF(COUNTIF('مواد المخزون'!$A$2:$A$86,$C2904)&gt;0,"نعم","لا (خارج الجرد)"))</f>
        <v/>
      </c>
    </row>
    <row r="2905" customFormat="false" ht="15" hidden="false" customHeight="false" outlineLevel="0" collapsed="false">
      <c r="A2905" s="102"/>
      <c r="B2905" s="104"/>
      <c r="C2905" s="104"/>
      <c r="F2905" s="103" t="str">
        <f aca="false">IF(OR($C2905="",$D2905=0),"",$E2905/$D2905)</f>
        <v/>
      </c>
      <c r="H2905" s="0" t="str">
        <f aca="false">IF($C2905="","",IF(COUNTIF('مواد المخزون'!$A$2:$A$86,$C2905)&gt;0,"نعم","لا (خارج الجرد)"))</f>
        <v/>
      </c>
    </row>
    <row r="2906" customFormat="false" ht="15" hidden="false" customHeight="false" outlineLevel="0" collapsed="false">
      <c r="A2906" s="102"/>
      <c r="B2906" s="104"/>
      <c r="C2906" s="104"/>
      <c r="F2906" s="103" t="str">
        <f aca="false">IF(OR($C2906="",$D2906=0),"",$E2906/$D2906)</f>
        <v/>
      </c>
      <c r="H2906" s="0" t="str">
        <f aca="false">IF($C2906="","",IF(COUNTIF('مواد المخزون'!$A$2:$A$86,$C2906)&gt;0,"نعم","لا (خارج الجرد)"))</f>
        <v/>
      </c>
    </row>
    <row r="2907" customFormat="false" ht="15" hidden="false" customHeight="false" outlineLevel="0" collapsed="false">
      <c r="A2907" s="102"/>
      <c r="B2907" s="104"/>
      <c r="C2907" s="104"/>
      <c r="F2907" s="103" t="str">
        <f aca="false">IF(OR($C2907="",$D2907=0),"",$E2907/$D2907)</f>
        <v/>
      </c>
      <c r="H2907" s="0" t="str">
        <f aca="false">IF($C2907="","",IF(COUNTIF('مواد المخزون'!$A$2:$A$86,$C2907)&gt;0,"نعم","لا (خارج الجرد)"))</f>
        <v/>
      </c>
    </row>
    <row r="2908" customFormat="false" ht="15" hidden="false" customHeight="false" outlineLevel="0" collapsed="false">
      <c r="A2908" s="102"/>
      <c r="B2908" s="104"/>
      <c r="C2908" s="104"/>
      <c r="F2908" s="103" t="str">
        <f aca="false">IF(OR($C2908="",$D2908=0),"",$E2908/$D2908)</f>
        <v/>
      </c>
      <c r="H2908" s="0" t="str">
        <f aca="false">IF($C2908="","",IF(COUNTIF('مواد المخزون'!$A$2:$A$86,$C2908)&gt;0,"نعم","لا (خارج الجرد)"))</f>
        <v/>
      </c>
    </row>
    <row r="2909" customFormat="false" ht="15" hidden="false" customHeight="false" outlineLevel="0" collapsed="false">
      <c r="A2909" s="102"/>
      <c r="B2909" s="104"/>
      <c r="C2909" s="104"/>
      <c r="F2909" s="103" t="str">
        <f aca="false">IF(OR($C2909="",$D2909=0),"",$E2909/$D2909)</f>
        <v/>
      </c>
      <c r="H2909" s="0" t="str">
        <f aca="false">IF($C2909="","",IF(COUNTIF('مواد المخزون'!$A$2:$A$86,$C2909)&gt;0,"نعم","لا (خارج الجرد)"))</f>
        <v/>
      </c>
    </row>
    <row r="2910" customFormat="false" ht="15" hidden="false" customHeight="false" outlineLevel="0" collapsed="false">
      <c r="A2910" s="102"/>
      <c r="B2910" s="104"/>
      <c r="C2910" s="104"/>
      <c r="F2910" s="103" t="str">
        <f aca="false">IF(OR($C2910="",$D2910=0),"",$E2910/$D2910)</f>
        <v/>
      </c>
      <c r="H2910" s="0" t="str">
        <f aca="false">IF($C2910="","",IF(COUNTIF('مواد المخزون'!$A$2:$A$86,$C2910)&gt;0,"نعم","لا (خارج الجرد)"))</f>
        <v/>
      </c>
    </row>
    <row r="2911" customFormat="false" ht="15" hidden="false" customHeight="false" outlineLevel="0" collapsed="false">
      <c r="A2911" s="102"/>
      <c r="B2911" s="104"/>
      <c r="C2911" s="104"/>
      <c r="F2911" s="103" t="str">
        <f aca="false">IF(OR($C2911="",$D2911=0),"",$E2911/$D2911)</f>
        <v/>
      </c>
      <c r="H2911" s="0" t="str">
        <f aca="false">IF($C2911="","",IF(COUNTIF('مواد المخزون'!$A$2:$A$86,$C2911)&gt;0,"نعم","لا (خارج الجرد)"))</f>
        <v/>
      </c>
    </row>
    <row r="2912" customFormat="false" ht="15" hidden="false" customHeight="false" outlineLevel="0" collapsed="false">
      <c r="A2912" s="102"/>
      <c r="B2912" s="104"/>
      <c r="C2912" s="104"/>
      <c r="F2912" s="103" t="str">
        <f aca="false">IF(OR($C2912="",$D2912=0),"",$E2912/$D2912)</f>
        <v/>
      </c>
      <c r="H2912" s="0" t="str">
        <f aca="false">IF($C2912="","",IF(COUNTIF('مواد المخزون'!$A$2:$A$86,$C2912)&gt;0,"نعم","لا (خارج الجرد)"))</f>
        <v/>
      </c>
    </row>
    <row r="2913" customFormat="false" ht="15" hidden="false" customHeight="false" outlineLevel="0" collapsed="false">
      <c r="A2913" s="102"/>
      <c r="B2913" s="104"/>
      <c r="C2913" s="104"/>
      <c r="F2913" s="103" t="str">
        <f aca="false">IF(OR($C2913="",$D2913=0),"",$E2913/$D2913)</f>
        <v/>
      </c>
      <c r="H2913" s="0" t="str">
        <f aca="false">IF($C2913="","",IF(COUNTIF('مواد المخزون'!$A$2:$A$86,$C2913)&gt;0,"نعم","لا (خارج الجرد)"))</f>
        <v/>
      </c>
    </row>
    <row r="2914" customFormat="false" ht="15" hidden="false" customHeight="false" outlineLevel="0" collapsed="false">
      <c r="A2914" s="102"/>
      <c r="B2914" s="104"/>
      <c r="C2914" s="104"/>
      <c r="F2914" s="103" t="str">
        <f aca="false">IF(OR($C2914="",$D2914=0),"",$E2914/$D2914)</f>
        <v/>
      </c>
      <c r="H2914" s="0" t="str">
        <f aca="false">IF($C2914="","",IF(COUNTIF('مواد المخزون'!$A$2:$A$86,$C2914)&gt;0,"نعم","لا (خارج الجرد)"))</f>
        <v/>
      </c>
    </row>
    <row r="2915" customFormat="false" ht="15" hidden="false" customHeight="false" outlineLevel="0" collapsed="false">
      <c r="A2915" s="102"/>
      <c r="B2915" s="104"/>
      <c r="C2915" s="104"/>
      <c r="F2915" s="103" t="str">
        <f aca="false">IF(OR($C2915="",$D2915=0),"",$E2915/$D2915)</f>
        <v/>
      </c>
      <c r="H2915" s="0" t="str">
        <f aca="false">IF($C2915="","",IF(COUNTIF('مواد المخزون'!$A$2:$A$86,$C2915)&gt;0,"نعم","لا (خارج الجرد)"))</f>
        <v/>
      </c>
    </row>
    <row r="2916" customFormat="false" ht="15" hidden="false" customHeight="false" outlineLevel="0" collapsed="false">
      <c r="A2916" s="102"/>
      <c r="B2916" s="104"/>
      <c r="C2916" s="104"/>
      <c r="F2916" s="103" t="str">
        <f aca="false">IF(OR($C2916="",$D2916=0),"",$E2916/$D2916)</f>
        <v/>
      </c>
      <c r="H2916" s="0" t="str">
        <f aca="false">IF($C2916="","",IF(COUNTIF('مواد المخزون'!$A$2:$A$86,$C2916)&gt;0,"نعم","لا (خارج الجرد)"))</f>
        <v/>
      </c>
    </row>
    <row r="2917" customFormat="false" ht="15" hidden="false" customHeight="false" outlineLevel="0" collapsed="false">
      <c r="A2917" s="102"/>
      <c r="B2917" s="104"/>
      <c r="C2917" s="104"/>
      <c r="F2917" s="103" t="str">
        <f aca="false">IF(OR($C2917="",$D2917=0),"",$E2917/$D2917)</f>
        <v/>
      </c>
      <c r="H2917" s="0" t="str">
        <f aca="false">IF($C2917="","",IF(COUNTIF('مواد المخزون'!$A$2:$A$86,$C2917)&gt;0,"نعم","لا (خارج الجرد)"))</f>
        <v/>
      </c>
    </row>
    <row r="2918" customFormat="false" ht="15" hidden="false" customHeight="false" outlineLevel="0" collapsed="false">
      <c r="A2918" s="102"/>
      <c r="B2918" s="104"/>
      <c r="C2918" s="104"/>
      <c r="F2918" s="103" t="str">
        <f aca="false">IF(OR($C2918="",$D2918=0),"",$E2918/$D2918)</f>
        <v/>
      </c>
      <c r="H2918" s="0" t="str">
        <f aca="false">IF($C2918="","",IF(COUNTIF('مواد المخزون'!$A$2:$A$86,$C2918)&gt;0,"نعم","لا (خارج الجرد)"))</f>
        <v/>
      </c>
    </row>
    <row r="2919" customFormat="false" ht="15" hidden="false" customHeight="false" outlineLevel="0" collapsed="false">
      <c r="A2919" s="102"/>
      <c r="B2919" s="104"/>
      <c r="C2919" s="104"/>
      <c r="F2919" s="103" t="str">
        <f aca="false">IF(OR($C2919="",$D2919=0),"",$E2919/$D2919)</f>
        <v/>
      </c>
      <c r="H2919" s="0" t="str">
        <f aca="false">IF($C2919="","",IF(COUNTIF('مواد المخزون'!$A$2:$A$86,$C2919)&gt;0,"نعم","لا (خارج الجرد)"))</f>
        <v/>
      </c>
    </row>
    <row r="2920" customFormat="false" ht="15" hidden="false" customHeight="false" outlineLevel="0" collapsed="false">
      <c r="A2920" s="102"/>
      <c r="B2920" s="104"/>
      <c r="C2920" s="104"/>
      <c r="F2920" s="103" t="str">
        <f aca="false">IF(OR($C2920="",$D2920=0),"",$E2920/$D2920)</f>
        <v/>
      </c>
      <c r="H2920" s="0" t="str">
        <f aca="false">IF($C2920="","",IF(COUNTIF('مواد المخزون'!$A$2:$A$86,$C2920)&gt;0,"نعم","لا (خارج الجرد)"))</f>
        <v/>
      </c>
    </row>
    <row r="2921" customFormat="false" ht="15" hidden="false" customHeight="false" outlineLevel="0" collapsed="false">
      <c r="A2921" s="102"/>
      <c r="B2921" s="104"/>
      <c r="C2921" s="104"/>
      <c r="F2921" s="103" t="str">
        <f aca="false">IF(OR($C2921="",$D2921=0),"",$E2921/$D2921)</f>
        <v/>
      </c>
      <c r="H2921" s="0" t="str">
        <f aca="false">IF($C2921="","",IF(COUNTIF('مواد المخزون'!$A$2:$A$86,$C2921)&gt;0,"نعم","لا (خارج الجرد)"))</f>
        <v/>
      </c>
    </row>
    <row r="2922" customFormat="false" ht="15" hidden="false" customHeight="false" outlineLevel="0" collapsed="false">
      <c r="A2922" s="102"/>
      <c r="B2922" s="104"/>
      <c r="C2922" s="104"/>
      <c r="F2922" s="103" t="str">
        <f aca="false">IF(OR($C2922="",$D2922=0),"",$E2922/$D2922)</f>
        <v/>
      </c>
      <c r="H2922" s="0" t="str">
        <f aca="false">IF($C2922="","",IF(COUNTIF('مواد المخزون'!$A$2:$A$86,$C2922)&gt;0,"نعم","لا (خارج الجرد)"))</f>
        <v/>
      </c>
    </row>
    <row r="2923" customFormat="false" ht="15" hidden="false" customHeight="false" outlineLevel="0" collapsed="false">
      <c r="A2923" s="102"/>
      <c r="B2923" s="104"/>
      <c r="C2923" s="104"/>
      <c r="F2923" s="103" t="str">
        <f aca="false">IF(OR($C2923="",$D2923=0),"",$E2923/$D2923)</f>
        <v/>
      </c>
      <c r="H2923" s="0" t="str">
        <f aca="false">IF($C2923="","",IF(COUNTIF('مواد المخزون'!$A$2:$A$86,$C2923)&gt;0,"نعم","لا (خارج الجرد)"))</f>
        <v/>
      </c>
    </row>
    <row r="2924" customFormat="false" ht="15" hidden="false" customHeight="false" outlineLevel="0" collapsed="false">
      <c r="A2924" s="102"/>
      <c r="B2924" s="104"/>
      <c r="C2924" s="104"/>
      <c r="F2924" s="103" t="str">
        <f aca="false">IF(OR($C2924="",$D2924=0),"",$E2924/$D2924)</f>
        <v/>
      </c>
      <c r="H2924" s="0" t="str">
        <f aca="false">IF($C2924="","",IF(COUNTIF('مواد المخزون'!$A$2:$A$86,$C2924)&gt;0,"نعم","لا (خارج الجرد)"))</f>
        <v/>
      </c>
    </row>
    <row r="2925" customFormat="false" ht="15" hidden="false" customHeight="false" outlineLevel="0" collapsed="false">
      <c r="A2925" s="102"/>
      <c r="B2925" s="104"/>
      <c r="C2925" s="104"/>
      <c r="F2925" s="103" t="str">
        <f aca="false">IF(OR($C2925="",$D2925=0),"",$E2925/$D2925)</f>
        <v/>
      </c>
      <c r="H2925" s="0" t="str">
        <f aca="false">IF($C2925="","",IF(COUNTIF('مواد المخزون'!$A$2:$A$86,$C2925)&gt;0,"نعم","لا (خارج الجرد)"))</f>
        <v/>
      </c>
    </row>
    <row r="2926" customFormat="false" ht="15" hidden="false" customHeight="false" outlineLevel="0" collapsed="false">
      <c r="A2926" s="102"/>
      <c r="B2926" s="104"/>
      <c r="C2926" s="104"/>
      <c r="F2926" s="103" t="str">
        <f aca="false">IF(OR($C2926="",$D2926=0),"",$E2926/$D2926)</f>
        <v/>
      </c>
      <c r="H2926" s="0" t="str">
        <f aca="false">IF($C2926="","",IF(COUNTIF('مواد المخزون'!$A$2:$A$86,$C2926)&gt;0,"نعم","لا (خارج الجرد)"))</f>
        <v/>
      </c>
    </row>
    <row r="2927" customFormat="false" ht="15" hidden="false" customHeight="false" outlineLevel="0" collapsed="false">
      <c r="A2927" s="102"/>
      <c r="B2927" s="104"/>
      <c r="C2927" s="104"/>
      <c r="F2927" s="103" t="str">
        <f aca="false">IF(OR($C2927="",$D2927=0),"",$E2927/$D2927)</f>
        <v/>
      </c>
      <c r="H2927" s="0" t="str">
        <f aca="false">IF($C2927="","",IF(COUNTIF('مواد المخزون'!$A$2:$A$86,$C2927)&gt;0,"نعم","لا (خارج الجرد)"))</f>
        <v/>
      </c>
    </row>
    <row r="2928" customFormat="false" ht="15" hidden="false" customHeight="false" outlineLevel="0" collapsed="false">
      <c r="A2928" s="102"/>
      <c r="B2928" s="104"/>
      <c r="C2928" s="104"/>
      <c r="F2928" s="103" t="str">
        <f aca="false">IF(OR($C2928="",$D2928=0),"",$E2928/$D2928)</f>
        <v/>
      </c>
      <c r="H2928" s="0" t="str">
        <f aca="false">IF($C2928="","",IF(COUNTIF('مواد المخزون'!$A$2:$A$86,$C2928)&gt;0,"نعم","لا (خارج الجرد)"))</f>
        <v/>
      </c>
    </row>
    <row r="2929" customFormat="false" ht="15" hidden="false" customHeight="false" outlineLevel="0" collapsed="false">
      <c r="A2929" s="102"/>
      <c r="B2929" s="104"/>
      <c r="C2929" s="104"/>
      <c r="F2929" s="103" t="str">
        <f aca="false">IF(OR($C2929="",$D2929=0),"",$E2929/$D2929)</f>
        <v/>
      </c>
      <c r="H2929" s="0" t="str">
        <f aca="false">IF($C2929="","",IF(COUNTIF('مواد المخزون'!$A$2:$A$86,$C2929)&gt;0,"نعم","لا (خارج الجرد)"))</f>
        <v/>
      </c>
    </row>
    <row r="2930" customFormat="false" ht="15" hidden="false" customHeight="false" outlineLevel="0" collapsed="false">
      <c r="A2930" s="102"/>
      <c r="B2930" s="104"/>
      <c r="C2930" s="104"/>
      <c r="F2930" s="103" t="str">
        <f aca="false">IF(OR($C2930="",$D2930=0),"",$E2930/$D2930)</f>
        <v/>
      </c>
      <c r="H2930" s="0" t="str">
        <f aca="false">IF($C2930="","",IF(COUNTIF('مواد المخزون'!$A$2:$A$86,$C2930)&gt;0,"نعم","لا (خارج الجرد)"))</f>
        <v/>
      </c>
    </row>
    <row r="2931" customFormat="false" ht="15" hidden="false" customHeight="false" outlineLevel="0" collapsed="false">
      <c r="A2931" s="102"/>
      <c r="B2931" s="104"/>
      <c r="C2931" s="104"/>
      <c r="F2931" s="103" t="str">
        <f aca="false">IF(OR($C2931="",$D2931=0),"",$E2931/$D2931)</f>
        <v/>
      </c>
      <c r="H2931" s="0" t="str">
        <f aca="false">IF($C2931="","",IF(COUNTIF('مواد المخزون'!$A$2:$A$86,$C2931)&gt;0,"نعم","لا (خارج الجرد)"))</f>
        <v/>
      </c>
    </row>
    <row r="2932" customFormat="false" ht="15" hidden="false" customHeight="false" outlineLevel="0" collapsed="false">
      <c r="A2932" s="102"/>
      <c r="B2932" s="104"/>
      <c r="C2932" s="104"/>
      <c r="F2932" s="103" t="str">
        <f aca="false">IF(OR($C2932="",$D2932=0),"",$E2932/$D2932)</f>
        <v/>
      </c>
      <c r="H2932" s="0" t="str">
        <f aca="false">IF($C2932="","",IF(COUNTIF('مواد المخزون'!$A$2:$A$86,$C2932)&gt;0,"نعم","لا (خارج الجرد)"))</f>
        <v/>
      </c>
    </row>
    <row r="2933" customFormat="false" ht="15" hidden="false" customHeight="false" outlineLevel="0" collapsed="false">
      <c r="A2933" s="102"/>
      <c r="B2933" s="104"/>
      <c r="C2933" s="104"/>
      <c r="F2933" s="103" t="str">
        <f aca="false">IF(OR($C2933="",$D2933=0),"",$E2933/$D2933)</f>
        <v/>
      </c>
      <c r="H2933" s="0" t="str">
        <f aca="false">IF($C2933="","",IF(COUNTIF('مواد المخزون'!$A$2:$A$86,$C2933)&gt;0,"نعم","لا (خارج الجرد)"))</f>
        <v/>
      </c>
    </row>
    <row r="2934" customFormat="false" ht="15" hidden="false" customHeight="false" outlineLevel="0" collapsed="false">
      <c r="A2934" s="102"/>
      <c r="B2934" s="104"/>
      <c r="C2934" s="104"/>
      <c r="F2934" s="103" t="str">
        <f aca="false">IF(OR($C2934="",$D2934=0),"",$E2934/$D2934)</f>
        <v/>
      </c>
      <c r="H2934" s="0" t="str">
        <f aca="false">IF($C2934="","",IF(COUNTIF('مواد المخزون'!$A$2:$A$86,$C2934)&gt;0,"نعم","لا (خارج الجرد)"))</f>
        <v/>
      </c>
    </row>
    <row r="2935" customFormat="false" ht="15" hidden="false" customHeight="false" outlineLevel="0" collapsed="false">
      <c r="A2935" s="102"/>
      <c r="B2935" s="104"/>
      <c r="C2935" s="104"/>
      <c r="F2935" s="103" t="str">
        <f aca="false">IF(OR($C2935="",$D2935=0),"",$E2935/$D2935)</f>
        <v/>
      </c>
      <c r="H2935" s="0" t="str">
        <f aca="false">IF($C2935="","",IF(COUNTIF('مواد المخزون'!$A$2:$A$86,$C2935)&gt;0,"نعم","لا (خارج الجرد)"))</f>
        <v/>
      </c>
    </row>
    <row r="2936" customFormat="false" ht="15" hidden="false" customHeight="false" outlineLevel="0" collapsed="false">
      <c r="A2936" s="102"/>
      <c r="B2936" s="104"/>
      <c r="C2936" s="104"/>
      <c r="F2936" s="103" t="str">
        <f aca="false">IF(OR($C2936="",$D2936=0),"",$E2936/$D2936)</f>
        <v/>
      </c>
      <c r="H2936" s="0" t="str">
        <f aca="false">IF($C2936="","",IF(COUNTIF('مواد المخزون'!$A$2:$A$86,$C2936)&gt;0,"نعم","لا (خارج الجرد)"))</f>
        <v/>
      </c>
    </row>
    <row r="2937" customFormat="false" ht="15" hidden="false" customHeight="false" outlineLevel="0" collapsed="false">
      <c r="A2937" s="102"/>
      <c r="B2937" s="104"/>
      <c r="C2937" s="104"/>
      <c r="F2937" s="103" t="str">
        <f aca="false">IF(OR($C2937="",$D2937=0),"",$E2937/$D2937)</f>
        <v/>
      </c>
      <c r="H2937" s="0" t="str">
        <f aca="false">IF($C2937="","",IF(COUNTIF('مواد المخزون'!$A$2:$A$86,$C2937)&gt;0,"نعم","لا (خارج الجرد)"))</f>
        <v/>
      </c>
    </row>
    <row r="2938" customFormat="false" ht="15" hidden="false" customHeight="false" outlineLevel="0" collapsed="false">
      <c r="A2938" s="102"/>
      <c r="B2938" s="104"/>
      <c r="C2938" s="104"/>
      <c r="F2938" s="103" t="str">
        <f aca="false">IF(OR($C2938="",$D2938=0),"",$E2938/$D2938)</f>
        <v/>
      </c>
      <c r="H2938" s="0" t="str">
        <f aca="false">IF($C2938="","",IF(COUNTIF('مواد المخزون'!$A$2:$A$86,$C2938)&gt;0,"نعم","لا (خارج الجرد)"))</f>
        <v/>
      </c>
    </row>
    <row r="2939" customFormat="false" ht="15" hidden="false" customHeight="false" outlineLevel="0" collapsed="false">
      <c r="A2939" s="102"/>
      <c r="B2939" s="104"/>
      <c r="C2939" s="104"/>
      <c r="F2939" s="103" t="str">
        <f aca="false">IF(OR($C2939="",$D2939=0),"",$E2939/$D2939)</f>
        <v/>
      </c>
      <c r="H2939" s="0" t="str">
        <f aca="false">IF($C2939="","",IF(COUNTIF('مواد المخزون'!$A$2:$A$86,$C2939)&gt;0,"نعم","لا (خارج الجرد)"))</f>
        <v/>
      </c>
    </row>
    <row r="2940" customFormat="false" ht="15" hidden="false" customHeight="false" outlineLevel="0" collapsed="false">
      <c r="A2940" s="102"/>
      <c r="B2940" s="104"/>
      <c r="C2940" s="104"/>
      <c r="F2940" s="103" t="str">
        <f aca="false">IF(OR($C2940="",$D2940=0),"",$E2940/$D2940)</f>
        <v/>
      </c>
      <c r="H2940" s="0" t="str">
        <f aca="false">IF($C2940="","",IF(COUNTIF('مواد المخزون'!$A$2:$A$86,$C2940)&gt;0,"نعم","لا (خارج الجرد)"))</f>
        <v/>
      </c>
    </row>
    <row r="2941" customFormat="false" ht="15" hidden="false" customHeight="false" outlineLevel="0" collapsed="false">
      <c r="A2941" s="102"/>
      <c r="B2941" s="104"/>
      <c r="C2941" s="104"/>
      <c r="F2941" s="103" t="str">
        <f aca="false">IF(OR($C2941="",$D2941=0),"",$E2941/$D2941)</f>
        <v/>
      </c>
      <c r="H2941" s="0" t="str">
        <f aca="false">IF($C2941="","",IF(COUNTIF('مواد المخزون'!$A$2:$A$86,$C2941)&gt;0,"نعم","لا (خارج الجرد)"))</f>
        <v/>
      </c>
    </row>
    <row r="2942" customFormat="false" ht="15" hidden="false" customHeight="false" outlineLevel="0" collapsed="false">
      <c r="A2942" s="102"/>
      <c r="B2942" s="104"/>
      <c r="C2942" s="104"/>
      <c r="F2942" s="103" t="str">
        <f aca="false">IF(OR($C2942="",$D2942=0),"",$E2942/$D2942)</f>
        <v/>
      </c>
      <c r="H2942" s="0" t="str">
        <f aca="false">IF($C2942="","",IF(COUNTIF('مواد المخزون'!$A$2:$A$86,$C2942)&gt;0,"نعم","لا (خارج الجرد)"))</f>
        <v/>
      </c>
    </row>
    <row r="2943" customFormat="false" ht="15" hidden="false" customHeight="false" outlineLevel="0" collapsed="false">
      <c r="A2943" s="102"/>
      <c r="B2943" s="104"/>
      <c r="C2943" s="104"/>
      <c r="F2943" s="103" t="str">
        <f aca="false">IF(OR($C2943="",$D2943=0),"",$E2943/$D2943)</f>
        <v/>
      </c>
      <c r="H2943" s="0" t="str">
        <f aca="false">IF($C2943="","",IF(COUNTIF('مواد المخزون'!$A$2:$A$86,$C2943)&gt;0,"نعم","لا (خارج الجرد)"))</f>
        <v/>
      </c>
    </row>
    <row r="2944" customFormat="false" ht="15" hidden="false" customHeight="false" outlineLevel="0" collapsed="false">
      <c r="A2944" s="102"/>
      <c r="B2944" s="104"/>
      <c r="C2944" s="104"/>
      <c r="F2944" s="103" t="str">
        <f aca="false">IF(OR($C2944="",$D2944=0),"",$E2944/$D2944)</f>
        <v/>
      </c>
      <c r="H2944" s="0" t="str">
        <f aca="false">IF($C2944="","",IF(COUNTIF('مواد المخزون'!$A$2:$A$86,$C2944)&gt;0,"نعم","لا (خارج الجرد)"))</f>
        <v/>
      </c>
    </row>
    <row r="2945" customFormat="false" ht="15" hidden="false" customHeight="false" outlineLevel="0" collapsed="false">
      <c r="A2945" s="102"/>
      <c r="B2945" s="104"/>
      <c r="C2945" s="104"/>
      <c r="F2945" s="103" t="str">
        <f aca="false">IF(OR($C2945="",$D2945=0),"",$E2945/$D2945)</f>
        <v/>
      </c>
      <c r="H2945" s="0" t="str">
        <f aca="false">IF($C2945="","",IF(COUNTIF('مواد المخزون'!$A$2:$A$86,$C2945)&gt;0,"نعم","لا (خارج الجرد)"))</f>
        <v/>
      </c>
    </row>
    <row r="2946" customFormat="false" ht="15" hidden="false" customHeight="false" outlineLevel="0" collapsed="false">
      <c r="A2946" s="102"/>
      <c r="B2946" s="104"/>
      <c r="C2946" s="104"/>
      <c r="F2946" s="103" t="str">
        <f aca="false">IF(OR($C2946="",$D2946=0),"",$E2946/$D2946)</f>
        <v/>
      </c>
      <c r="H2946" s="0" t="str">
        <f aca="false">IF($C2946="","",IF(COUNTIF('مواد المخزون'!$A$2:$A$86,$C2946)&gt;0,"نعم","لا (خارج الجرد)"))</f>
        <v/>
      </c>
    </row>
    <row r="2947" customFormat="false" ht="15" hidden="false" customHeight="false" outlineLevel="0" collapsed="false">
      <c r="A2947" s="102"/>
      <c r="B2947" s="104"/>
      <c r="C2947" s="104"/>
      <c r="F2947" s="103" t="str">
        <f aca="false">IF(OR($C2947="",$D2947=0),"",$E2947/$D2947)</f>
        <v/>
      </c>
      <c r="H2947" s="0" t="str">
        <f aca="false">IF($C2947="","",IF(COUNTIF('مواد المخزون'!$A$2:$A$86,$C2947)&gt;0,"نعم","لا (خارج الجرد)"))</f>
        <v/>
      </c>
    </row>
    <row r="2948" customFormat="false" ht="15" hidden="false" customHeight="false" outlineLevel="0" collapsed="false">
      <c r="A2948" s="102"/>
      <c r="B2948" s="104"/>
      <c r="C2948" s="104"/>
      <c r="F2948" s="103" t="str">
        <f aca="false">IF(OR($C2948="",$D2948=0),"",$E2948/$D2948)</f>
        <v/>
      </c>
      <c r="H2948" s="0" t="str">
        <f aca="false">IF($C2948="","",IF(COUNTIF('مواد المخزون'!$A$2:$A$86,$C2948)&gt;0,"نعم","لا (خارج الجرد)"))</f>
        <v/>
      </c>
    </row>
    <row r="2949" customFormat="false" ht="15" hidden="false" customHeight="false" outlineLevel="0" collapsed="false">
      <c r="A2949" s="102"/>
      <c r="B2949" s="104"/>
      <c r="C2949" s="104"/>
      <c r="F2949" s="103" t="str">
        <f aca="false">IF(OR($C2949="",$D2949=0),"",$E2949/$D2949)</f>
        <v/>
      </c>
      <c r="H2949" s="0" t="str">
        <f aca="false">IF($C2949="","",IF(COUNTIF('مواد المخزون'!$A$2:$A$86,$C2949)&gt;0,"نعم","لا (خارج الجرد)"))</f>
        <v/>
      </c>
    </row>
    <row r="2950" customFormat="false" ht="15" hidden="false" customHeight="false" outlineLevel="0" collapsed="false">
      <c r="A2950" s="102"/>
      <c r="B2950" s="104"/>
      <c r="C2950" s="104"/>
      <c r="F2950" s="103" t="str">
        <f aca="false">IF(OR($C2950="",$D2950=0),"",$E2950/$D2950)</f>
        <v/>
      </c>
      <c r="H2950" s="0" t="str">
        <f aca="false">IF($C2950="","",IF(COUNTIF('مواد المخزون'!$A$2:$A$86,$C2950)&gt;0,"نعم","لا (خارج الجرد)"))</f>
        <v/>
      </c>
    </row>
    <row r="2951" customFormat="false" ht="15" hidden="false" customHeight="false" outlineLevel="0" collapsed="false">
      <c r="A2951" s="102"/>
      <c r="B2951" s="104"/>
      <c r="C2951" s="104"/>
      <c r="F2951" s="103" t="str">
        <f aca="false">IF(OR($C2951="",$D2951=0),"",$E2951/$D2951)</f>
        <v/>
      </c>
      <c r="H2951" s="0" t="str">
        <f aca="false">IF($C2951="","",IF(COUNTIF('مواد المخزون'!$A$2:$A$86,$C2951)&gt;0,"نعم","لا (خارج الجرد)"))</f>
        <v/>
      </c>
    </row>
    <row r="2952" customFormat="false" ht="15" hidden="false" customHeight="false" outlineLevel="0" collapsed="false">
      <c r="A2952" s="102"/>
      <c r="B2952" s="104"/>
      <c r="C2952" s="104"/>
      <c r="F2952" s="103" t="str">
        <f aca="false">IF(OR($C2952="",$D2952=0),"",$E2952/$D2952)</f>
        <v/>
      </c>
      <c r="H2952" s="0" t="str">
        <f aca="false">IF($C2952="","",IF(COUNTIF('مواد المخزون'!$A$2:$A$86,$C2952)&gt;0,"نعم","لا (خارج الجرد)"))</f>
        <v/>
      </c>
    </row>
    <row r="2953" customFormat="false" ht="15" hidden="false" customHeight="false" outlineLevel="0" collapsed="false">
      <c r="A2953" s="102"/>
      <c r="B2953" s="104"/>
      <c r="C2953" s="104"/>
      <c r="F2953" s="103" t="str">
        <f aca="false">IF(OR($C2953="",$D2953=0),"",$E2953/$D2953)</f>
        <v/>
      </c>
      <c r="H2953" s="0" t="str">
        <f aca="false">IF($C2953="","",IF(COUNTIF('مواد المخزون'!$A$2:$A$86,$C2953)&gt;0,"نعم","لا (خارج الجرد)"))</f>
        <v/>
      </c>
    </row>
    <row r="2954" customFormat="false" ht="15" hidden="false" customHeight="false" outlineLevel="0" collapsed="false">
      <c r="A2954" s="102"/>
      <c r="B2954" s="104"/>
      <c r="C2954" s="104"/>
      <c r="F2954" s="103" t="str">
        <f aca="false">IF(OR($C2954="",$D2954=0),"",$E2954/$D2954)</f>
        <v/>
      </c>
      <c r="H2954" s="0" t="str">
        <f aca="false">IF($C2954="","",IF(COUNTIF('مواد المخزون'!$A$2:$A$86,$C2954)&gt;0,"نعم","لا (خارج الجرد)"))</f>
        <v/>
      </c>
    </row>
    <row r="2955" customFormat="false" ht="15" hidden="false" customHeight="false" outlineLevel="0" collapsed="false">
      <c r="A2955" s="102"/>
      <c r="B2955" s="104"/>
      <c r="C2955" s="104"/>
      <c r="F2955" s="103" t="str">
        <f aca="false">IF(OR($C2955="",$D2955=0),"",$E2955/$D2955)</f>
        <v/>
      </c>
      <c r="H2955" s="0" t="str">
        <f aca="false">IF($C2955="","",IF(COUNTIF('مواد المخزون'!$A$2:$A$86,$C2955)&gt;0,"نعم","لا (خارج الجرد)"))</f>
        <v/>
      </c>
    </row>
    <row r="2956" customFormat="false" ht="15" hidden="false" customHeight="false" outlineLevel="0" collapsed="false">
      <c r="A2956" s="102"/>
      <c r="B2956" s="104"/>
      <c r="C2956" s="104"/>
      <c r="F2956" s="103" t="str">
        <f aca="false">IF(OR($C2956="",$D2956=0),"",$E2956/$D2956)</f>
        <v/>
      </c>
      <c r="H2956" s="0" t="str">
        <f aca="false">IF($C2956="","",IF(COUNTIF('مواد المخزون'!$A$2:$A$86,$C2956)&gt;0,"نعم","لا (خارج الجرد)"))</f>
        <v/>
      </c>
    </row>
    <row r="2957" customFormat="false" ht="15" hidden="false" customHeight="false" outlineLevel="0" collapsed="false">
      <c r="A2957" s="102"/>
      <c r="B2957" s="104"/>
      <c r="C2957" s="104"/>
      <c r="F2957" s="103" t="str">
        <f aca="false">IF(OR($C2957="",$D2957=0),"",$E2957/$D2957)</f>
        <v/>
      </c>
      <c r="H2957" s="0" t="str">
        <f aca="false">IF($C2957="","",IF(COUNTIF('مواد المخزون'!$A$2:$A$86,$C2957)&gt;0,"نعم","لا (خارج الجرد)"))</f>
        <v/>
      </c>
    </row>
    <row r="2958" customFormat="false" ht="15" hidden="false" customHeight="false" outlineLevel="0" collapsed="false">
      <c r="A2958" s="102"/>
      <c r="B2958" s="104"/>
      <c r="C2958" s="104"/>
      <c r="F2958" s="103" t="str">
        <f aca="false">IF(OR($C2958="",$D2958=0),"",$E2958/$D2958)</f>
        <v/>
      </c>
      <c r="H2958" s="0" t="str">
        <f aca="false">IF($C2958="","",IF(COUNTIF('مواد المخزون'!$A$2:$A$86,$C2958)&gt;0,"نعم","لا (خارج الجرد)"))</f>
        <v/>
      </c>
    </row>
    <row r="2959" customFormat="false" ht="15" hidden="false" customHeight="false" outlineLevel="0" collapsed="false">
      <c r="A2959" s="102"/>
      <c r="B2959" s="104"/>
      <c r="C2959" s="104"/>
      <c r="F2959" s="103" t="str">
        <f aca="false">IF(OR($C2959="",$D2959=0),"",$E2959/$D2959)</f>
        <v/>
      </c>
      <c r="H2959" s="0" t="str">
        <f aca="false">IF($C2959="","",IF(COUNTIF('مواد المخزون'!$A$2:$A$86,$C2959)&gt;0,"نعم","لا (خارج الجرد)"))</f>
        <v/>
      </c>
    </row>
    <row r="2960" customFormat="false" ht="15" hidden="false" customHeight="false" outlineLevel="0" collapsed="false">
      <c r="A2960" s="102"/>
      <c r="B2960" s="104"/>
      <c r="C2960" s="104"/>
      <c r="F2960" s="103" t="str">
        <f aca="false">IF(OR($C2960="",$D2960=0),"",$E2960/$D2960)</f>
        <v/>
      </c>
      <c r="H2960" s="0" t="str">
        <f aca="false">IF($C2960="","",IF(COUNTIF('مواد المخزون'!$A$2:$A$86,$C2960)&gt;0,"نعم","لا (خارج الجرد)"))</f>
        <v/>
      </c>
    </row>
    <row r="2961" customFormat="false" ht="15" hidden="false" customHeight="false" outlineLevel="0" collapsed="false">
      <c r="A2961" s="102"/>
      <c r="B2961" s="104"/>
      <c r="C2961" s="104"/>
      <c r="F2961" s="103" t="str">
        <f aca="false">IF(OR($C2961="",$D2961=0),"",$E2961/$D2961)</f>
        <v/>
      </c>
      <c r="H2961" s="0" t="str">
        <f aca="false">IF($C2961="","",IF(COUNTIF('مواد المخزون'!$A$2:$A$86,$C2961)&gt;0,"نعم","لا (خارج الجرد)"))</f>
        <v/>
      </c>
    </row>
    <row r="2962" customFormat="false" ht="15" hidden="false" customHeight="false" outlineLevel="0" collapsed="false">
      <c r="A2962" s="102"/>
      <c r="B2962" s="104"/>
      <c r="C2962" s="104"/>
      <c r="F2962" s="103" t="str">
        <f aca="false">IF(OR($C2962="",$D2962=0),"",$E2962/$D2962)</f>
        <v/>
      </c>
      <c r="H2962" s="0" t="str">
        <f aca="false">IF($C2962="","",IF(COUNTIF('مواد المخزون'!$A$2:$A$86,$C2962)&gt;0,"نعم","لا (خارج الجرد)"))</f>
        <v/>
      </c>
    </row>
    <row r="2963" customFormat="false" ht="15" hidden="false" customHeight="false" outlineLevel="0" collapsed="false">
      <c r="A2963" s="102"/>
      <c r="B2963" s="104"/>
      <c r="C2963" s="104"/>
      <c r="F2963" s="103" t="str">
        <f aca="false">IF(OR($C2963="",$D2963=0),"",$E2963/$D2963)</f>
        <v/>
      </c>
      <c r="H2963" s="0" t="str">
        <f aca="false">IF($C2963="","",IF(COUNTIF('مواد المخزون'!$A$2:$A$86,$C2963)&gt;0,"نعم","لا (خارج الجرد)"))</f>
        <v/>
      </c>
    </row>
    <row r="2964" customFormat="false" ht="15" hidden="false" customHeight="false" outlineLevel="0" collapsed="false">
      <c r="A2964" s="102"/>
      <c r="B2964" s="104"/>
      <c r="C2964" s="104"/>
      <c r="F2964" s="103" t="str">
        <f aca="false">IF(OR($C2964="",$D2964=0),"",$E2964/$D2964)</f>
        <v/>
      </c>
      <c r="H2964" s="0" t="str">
        <f aca="false">IF($C2964="","",IF(COUNTIF('مواد المخزون'!$A$2:$A$86,$C2964)&gt;0,"نعم","لا (خارج الجرد)"))</f>
        <v/>
      </c>
    </row>
    <row r="2965" customFormat="false" ht="15" hidden="false" customHeight="false" outlineLevel="0" collapsed="false">
      <c r="A2965" s="102"/>
      <c r="B2965" s="104"/>
      <c r="C2965" s="104"/>
      <c r="F2965" s="103" t="str">
        <f aca="false">IF(OR($C2965="",$D2965=0),"",$E2965/$D2965)</f>
        <v/>
      </c>
      <c r="H2965" s="0" t="str">
        <f aca="false">IF($C2965="","",IF(COUNTIF('مواد المخزون'!$A$2:$A$86,$C2965)&gt;0,"نعم","لا (خارج الجرد)"))</f>
        <v/>
      </c>
    </row>
    <row r="2966" customFormat="false" ht="15" hidden="false" customHeight="false" outlineLevel="0" collapsed="false">
      <c r="A2966" s="102"/>
      <c r="B2966" s="104"/>
      <c r="C2966" s="104"/>
      <c r="F2966" s="103" t="str">
        <f aca="false">IF(OR($C2966="",$D2966=0),"",$E2966/$D2966)</f>
        <v/>
      </c>
      <c r="H2966" s="0" t="str">
        <f aca="false">IF($C2966="","",IF(COUNTIF('مواد المخزون'!$A$2:$A$86,$C2966)&gt;0,"نعم","لا (خارج الجرد)"))</f>
        <v/>
      </c>
    </row>
    <row r="2967" customFormat="false" ht="15" hidden="false" customHeight="false" outlineLevel="0" collapsed="false">
      <c r="A2967" s="102"/>
      <c r="B2967" s="104"/>
      <c r="C2967" s="104"/>
      <c r="F2967" s="103" t="str">
        <f aca="false">IF(OR($C2967="",$D2967=0),"",$E2967/$D2967)</f>
        <v/>
      </c>
      <c r="H2967" s="0" t="str">
        <f aca="false">IF($C2967="","",IF(COUNTIF('مواد المخزون'!$A$2:$A$86,$C2967)&gt;0,"نعم","لا (خارج الجرد)"))</f>
        <v/>
      </c>
    </row>
    <row r="2968" customFormat="false" ht="15" hidden="false" customHeight="false" outlineLevel="0" collapsed="false">
      <c r="A2968" s="102"/>
      <c r="B2968" s="104"/>
      <c r="C2968" s="104"/>
      <c r="F2968" s="103" t="str">
        <f aca="false">IF(OR($C2968="",$D2968=0),"",$E2968/$D2968)</f>
        <v/>
      </c>
      <c r="H2968" s="0" t="str">
        <f aca="false">IF($C2968="","",IF(COUNTIF('مواد المخزون'!$A$2:$A$86,$C2968)&gt;0,"نعم","لا (خارج الجرد)"))</f>
        <v/>
      </c>
    </row>
    <row r="2969" customFormat="false" ht="15" hidden="false" customHeight="false" outlineLevel="0" collapsed="false">
      <c r="A2969" s="102"/>
      <c r="B2969" s="104"/>
      <c r="C2969" s="104"/>
      <c r="F2969" s="103" t="str">
        <f aca="false">IF(OR($C2969="",$D2969=0),"",$E2969/$D2969)</f>
        <v/>
      </c>
      <c r="H2969" s="0" t="str">
        <f aca="false">IF($C2969="","",IF(COUNTIF('مواد المخزون'!$A$2:$A$86,$C2969)&gt;0,"نعم","لا (خارج الجرد)"))</f>
        <v/>
      </c>
    </row>
    <row r="2970" customFormat="false" ht="15" hidden="false" customHeight="false" outlineLevel="0" collapsed="false">
      <c r="A2970" s="102"/>
      <c r="B2970" s="104"/>
      <c r="C2970" s="104"/>
      <c r="F2970" s="103" t="str">
        <f aca="false">IF(OR($C2970="",$D2970=0),"",$E2970/$D2970)</f>
        <v/>
      </c>
      <c r="H2970" s="0" t="str">
        <f aca="false">IF($C2970="","",IF(COUNTIF('مواد المخزون'!$A$2:$A$86,$C2970)&gt;0,"نعم","لا (خارج الجرد)"))</f>
        <v/>
      </c>
    </row>
    <row r="2971" customFormat="false" ht="15" hidden="false" customHeight="false" outlineLevel="0" collapsed="false">
      <c r="A2971" s="102"/>
      <c r="B2971" s="104"/>
      <c r="C2971" s="104"/>
      <c r="F2971" s="103" t="str">
        <f aca="false">IF(OR($C2971="",$D2971=0),"",$E2971/$D2971)</f>
        <v/>
      </c>
      <c r="H2971" s="0" t="str">
        <f aca="false">IF($C2971="","",IF(COUNTIF('مواد المخزون'!$A$2:$A$86,$C2971)&gt;0,"نعم","لا (خارج الجرد)"))</f>
        <v/>
      </c>
    </row>
    <row r="2972" customFormat="false" ht="15" hidden="false" customHeight="false" outlineLevel="0" collapsed="false">
      <c r="A2972" s="102"/>
      <c r="B2972" s="104"/>
      <c r="C2972" s="104"/>
      <c r="F2972" s="103" t="str">
        <f aca="false">IF(OR($C2972="",$D2972=0),"",$E2972/$D2972)</f>
        <v/>
      </c>
      <c r="H2972" s="0" t="str">
        <f aca="false">IF($C2972="","",IF(COUNTIF('مواد المخزون'!$A$2:$A$86,$C2972)&gt;0,"نعم","لا (خارج الجرد)"))</f>
        <v/>
      </c>
    </row>
    <row r="2973" customFormat="false" ht="15" hidden="false" customHeight="false" outlineLevel="0" collapsed="false">
      <c r="A2973" s="102"/>
      <c r="B2973" s="104"/>
      <c r="C2973" s="104"/>
      <c r="F2973" s="103" t="str">
        <f aca="false">IF(OR($C2973="",$D2973=0),"",$E2973/$D2973)</f>
        <v/>
      </c>
      <c r="H2973" s="0" t="str">
        <f aca="false">IF($C2973="","",IF(COUNTIF('مواد المخزون'!$A$2:$A$86,$C2973)&gt;0,"نعم","لا (خارج الجرد)"))</f>
        <v/>
      </c>
    </row>
    <row r="2974" customFormat="false" ht="15" hidden="false" customHeight="false" outlineLevel="0" collapsed="false">
      <c r="A2974" s="102"/>
      <c r="B2974" s="104"/>
      <c r="C2974" s="104"/>
      <c r="F2974" s="103" t="str">
        <f aca="false">IF(OR($C2974="",$D2974=0),"",$E2974/$D2974)</f>
        <v/>
      </c>
      <c r="H2974" s="0" t="str">
        <f aca="false">IF($C2974="","",IF(COUNTIF('مواد المخزون'!$A$2:$A$86,$C2974)&gt;0,"نعم","لا (خارج الجرد)"))</f>
        <v/>
      </c>
    </row>
    <row r="2975" customFormat="false" ht="15" hidden="false" customHeight="false" outlineLevel="0" collapsed="false">
      <c r="A2975" s="102"/>
      <c r="B2975" s="104"/>
      <c r="C2975" s="104"/>
      <c r="F2975" s="103" t="str">
        <f aca="false">IF(OR($C2975="",$D2975=0),"",$E2975/$D2975)</f>
        <v/>
      </c>
      <c r="H2975" s="0" t="str">
        <f aca="false">IF($C2975="","",IF(COUNTIF('مواد المخزون'!$A$2:$A$86,$C2975)&gt;0,"نعم","لا (خارج الجرد)"))</f>
        <v/>
      </c>
    </row>
    <row r="2976" customFormat="false" ht="15" hidden="false" customHeight="false" outlineLevel="0" collapsed="false">
      <c r="A2976" s="102"/>
      <c r="B2976" s="104"/>
      <c r="C2976" s="104"/>
      <c r="F2976" s="103" t="str">
        <f aca="false">IF(OR($C2976="",$D2976=0),"",$E2976/$D2976)</f>
        <v/>
      </c>
      <c r="H2976" s="0" t="str">
        <f aca="false">IF($C2976="","",IF(COUNTIF('مواد المخزون'!$A$2:$A$86,$C2976)&gt;0,"نعم","لا (خارج الجرد)"))</f>
        <v/>
      </c>
    </row>
    <row r="2977" customFormat="false" ht="15" hidden="false" customHeight="false" outlineLevel="0" collapsed="false">
      <c r="A2977" s="102"/>
      <c r="B2977" s="104"/>
      <c r="C2977" s="104"/>
      <c r="F2977" s="103" t="str">
        <f aca="false">IF(OR($C2977="",$D2977=0),"",$E2977/$D2977)</f>
        <v/>
      </c>
      <c r="H2977" s="0" t="str">
        <f aca="false">IF($C2977="","",IF(COUNTIF('مواد المخزون'!$A$2:$A$86,$C2977)&gt;0,"نعم","لا (خارج الجرد)"))</f>
        <v/>
      </c>
    </row>
    <row r="2978" customFormat="false" ht="15" hidden="false" customHeight="false" outlineLevel="0" collapsed="false">
      <c r="A2978" s="102"/>
      <c r="B2978" s="104"/>
      <c r="C2978" s="104"/>
      <c r="F2978" s="103" t="str">
        <f aca="false">IF(OR($C2978="",$D2978=0),"",$E2978/$D2978)</f>
        <v/>
      </c>
      <c r="H2978" s="0" t="str">
        <f aca="false">IF($C2978="","",IF(COUNTIF('مواد المخزون'!$A$2:$A$86,$C2978)&gt;0,"نعم","لا (خارج الجرد)"))</f>
        <v/>
      </c>
    </row>
    <row r="2979" customFormat="false" ht="15" hidden="false" customHeight="false" outlineLevel="0" collapsed="false">
      <c r="A2979" s="102"/>
      <c r="B2979" s="104"/>
      <c r="C2979" s="104"/>
      <c r="F2979" s="103" t="str">
        <f aca="false">IF(OR($C2979="",$D2979=0),"",$E2979/$D2979)</f>
        <v/>
      </c>
      <c r="H2979" s="0" t="str">
        <f aca="false">IF($C2979="","",IF(COUNTIF('مواد المخزون'!$A$2:$A$86,$C2979)&gt;0,"نعم","لا (خارج الجرد)"))</f>
        <v/>
      </c>
    </row>
    <row r="2980" customFormat="false" ht="15" hidden="false" customHeight="false" outlineLevel="0" collapsed="false">
      <c r="A2980" s="102"/>
      <c r="B2980" s="104"/>
      <c r="C2980" s="104"/>
      <c r="F2980" s="103" t="str">
        <f aca="false">IF(OR($C2980="",$D2980=0),"",$E2980/$D2980)</f>
        <v/>
      </c>
      <c r="H2980" s="0" t="str">
        <f aca="false">IF($C2980="","",IF(COUNTIF('مواد المخزون'!$A$2:$A$86,$C2980)&gt;0,"نعم","لا (خارج الجرد)"))</f>
        <v/>
      </c>
    </row>
    <row r="2981" customFormat="false" ht="15" hidden="false" customHeight="false" outlineLevel="0" collapsed="false">
      <c r="A2981" s="102"/>
      <c r="B2981" s="104"/>
      <c r="C2981" s="104"/>
      <c r="F2981" s="103" t="str">
        <f aca="false">IF(OR($C2981="",$D2981=0),"",$E2981/$D2981)</f>
        <v/>
      </c>
      <c r="H2981" s="0" t="str">
        <f aca="false">IF($C2981="","",IF(COUNTIF('مواد المخزون'!$A$2:$A$86,$C2981)&gt;0,"نعم","لا (خارج الجرد)"))</f>
        <v/>
      </c>
    </row>
    <row r="2982" customFormat="false" ht="15" hidden="false" customHeight="false" outlineLevel="0" collapsed="false">
      <c r="A2982" s="102"/>
      <c r="B2982" s="104"/>
      <c r="C2982" s="104"/>
      <c r="F2982" s="103" t="str">
        <f aca="false">IF(OR($C2982="",$D2982=0),"",$E2982/$D2982)</f>
        <v/>
      </c>
      <c r="H2982" s="0" t="str">
        <f aca="false">IF($C2982="","",IF(COUNTIF('مواد المخزون'!$A$2:$A$86,$C2982)&gt;0,"نعم","لا (خارج الجرد)"))</f>
        <v/>
      </c>
    </row>
    <row r="2983" customFormat="false" ht="15" hidden="false" customHeight="false" outlineLevel="0" collapsed="false">
      <c r="A2983" s="102"/>
      <c r="B2983" s="104"/>
      <c r="C2983" s="104"/>
      <c r="F2983" s="103" t="str">
        <f aca="false">IF(OR($C2983="",$D2983=0),"",$E2983/$D2983)</f>
        <v/>
      </c>
      <c r="H2983" s="0" t="str">
        <f aca="false">IF($C2983="","",IF(COUNTIF('مواد المخزون'!$A$2:$A$86,$C2983)&gt;0,"نعم","لا (خارج الجرد)"))</f>
        <v/>
      </c>
    </row>
    <row r="2984" customFormat="false" ht="15" hidden="false" customHeight="false" outlineLevel="0" collapsed="false">
      <c r="A2984" s="102"/>
      <c r="B2984" s="104"/>
      <c r="C2984" s="104"/>
      <c r="F2984" s="103" t="str">
        <f aca="false">IF(OR($C2984="",$D2984=0),"",$E2984/$D2984)</f>
        <v/>
      </c>
      <c r="H2984" s="0" t="str">
        <f aca="false">IF($C2984="","",IF(COUNTIF('مواد المخزون'!$A$2:$A$86,$C2984)&gt;0,"نعم","لا (خارج الجرد)"))</f>
        <v/>
      </c>
    </row>
    <row r="2985" customFormat="false" ht="15" hidden="false" customHeight="false" outlineLevel="0" collapsed="false">
      <c r="A2985" s="102"/>
      <c r="B2985" s="104"/>
      <c r="C2985" s="104"/>
      <c r="F2985" s="103" t="str">
        <f aca="false">IF(OR($C2985="",$D2985=0),"",$E2985/$D2985)</f>
        <v/>
      </c>
      <c r="H2985" s="0" t="str">
        <f aca="false">IF($C2985="","",IF(COUNTIF('مواد المخزون'!$A$2:$A$86,$C2985)&gt;0,"نعم","لا (خارج الجرد)"))</f>
        <v/>
      </c>
    </row>
    <row r="2986" customFormat="false" ht="15" hidden="false" customHeight="false" outlineLevel="0" collapsed="false">
      <c r="A2986" s="102"/>
      <c r="B2986" s="104"/>
      <c r="C2986" s="104"/>
      <c r="F2986" s="103" t="str">
        <f aca="false">IF(OR($C2986="",$D2986=0),"",$E2986/$D2986)</f>
        <v/>
      </c>
      <c r="H2986" s="0" t="str">
        <f aca="false">IF($C2986="","",IF(COUNTIF('مواد المخزون'!$A$2:$A$86,$C2986)&gt;0,"نعم","لا (خارج الجرد)"))</f>
        <v/>
      </c>
    </row>
    <row r="2987" customFormat="false" ht="15" hidden="false" customHeight="false" outlineLevel="0" collapsed="false">
      <c r="A2987" s="102"/>
      <c r="B2987" s="104"/>
      <c r="C2987" s="104"/>
      <c r="F2987" s="103" t="str">
        <f aca="false">IF(OR($C2987="",$D2987=0),"",$E2987/$D2987)</f>
        <v/>
      </c>
      <c r="H2987" s="0" t="str">
        <f aca="false">IF($C2987="","",IF(COUNTIF('مواد المخزون'!$A$2:$A$86,$C2987)&gt;0,"نعم","لا (خارج الجرد)"))</f>
        <v/>
      </c>
    </row>
    <row r="2988" customFormat="false" ht="15" hidden="false" customHeight="false" outlineLevel="0" collapsed="false">
      <c r="A2988" s="102"/>
      <c r="B2988" s="104"/>
      <c r="C2988" s="104"/>
      <c r="F2988" s="103" t="str">
        <f aca="false">IF(OR($C2988="",$D2988=0),"",$E2988/$D2988)</f>
        <v/>
      </c>
      <c r="H2988" s="0" t="str">
        <f aca="false">IF($C2988="","",IF(COUNTIF('مواد المخزون'!$A$2:$A$86,$C2988)&gt;0,"نعم","لا (خارج الجرد)"))</f>
        <v/>
      </c>
    </row>
    <row r="2989" customFormat="false" ht="15" hidden="false" customHeight="false" outlineLevel="0" collapsed="false">
      <c r="A2989" s="102"/>
      <c r="B2989" s="104"/>
      <c r="C2989" s="104"/>
      <c r="F2989" s="103" t="str">
        <f aca="false">IF(OR($C2989="",$D2989=0),"",$E2989/$D2989)</f>
        <v/>
      </c>
      <c r="H2989" s="0" t="str">
        <f aca="false">IF($C2989="","",IF(COUNTIF('مواد المخزون'!$A$2:$A$86,$C2989)&gt;0,"نعم","لا (خارج الجرد)"))</f>
        <v/>
      </c>
    </row>
    <row r="2990" customFormat="false" ht="15" hidden="false" customHeight="false" outlineLevel="0" collapsed="false">
      <c r="A2990" s="102"/>
      <c r="B2990" s="104"/>
      <c r="C2990" s="104"/>
      <c r="F2990" s="103" t="str">
        <f aca="false">IF(OR($C2990="",$D2990=0),"",$E2990/$D2990)</f>
        <v/>
      </c>
      <c r="H2990" s="0" t="str">
        <f aca="false">IF($C2990="","",IF(COUNTIF('مواد المخزون'!$A$2:$A$86,$C2990)&gt;0,"نعم","لا (خارج الجرد)"))</f>
        <v/>
      </c>
    </row>
    <row r="2991" customFormat="false" ht="15" hidden="false" customHeight="false" outlineLevel="0" collapsed="false">
      <c r="A2991" s="102"/>
      <c r="B2991" s="104"/>
      <c r="C2991" s="104"/>
      <c r="F2991" s="103" t="str">
        <f aca="false">IF(OR($C2991="",$D2991=0),"",$E2991/$D2991)</f>
        <v/>
      </c>
      <c r="H2991" s="0" t="str">
        <f aca="false">IF($C2991="","",IF(COUNTIF('مواد المخزون'!$A$2:$A$86,$C2991)&gt;0,"نعم","لا (خارج الجرد)"))</f>
        <v/>
      </c>
    </row>
    <row r="2992" customFormat="false" ht="15" hidden="false" customHeight="false" outlineLevel="0" collapsed="false">
      <c r="A2992" s="102"/>
      <c r="B2992" s="104"/>
      <c r="C2992" s="104"/>
      <c r="F2992" s="103" t="str">
        <f aca="false">IF(OR($C2992="",$D2992=0),"",$E2992/$D2992)</f>
        <v/>
      </c>
      <c r="H2992" s="0" t="str">
        <f aca="false">IF($C2992="","",IF(COUNTIF('مواد المخزون'!$A$2:$A$86,$C2992)&gt;0,"نعم","لا (خارج الجرد)"))</f>
        <v/>
      </c>
    </row>
    <row r="2993" customFormat="false" ht="15" hidden="false" customHeight="false" outlineLevel="0" collapsed="false">
      <c r="A2993" s="102"/>
      <c r="B2993" s="104"/>
      <c r="C2993" s="104"/>
      <c r="F2993" s="103" t="str">
        <f aca="false">IF(OR($C2993="",$D2993=0),"",$E2993/$D2993)</f>
        <v/>
      </c>
      <c r="H2993" s="0" t="str">
        <f aca="false">IF($C2993="","",IF(COUNTIF('مواد المخزون'!$A$2:$A$86,$C2993)&gt;0,"نعم","لا (خارج الجرد)"))</f>
        <v/>
      </c>
    </row>
    <row r="2994" customFormat="false" ht="15" hidden="false" customHeight="false" outlineLevel="0" collapsed="false">
      <c r="A2994" s="102"/>
      <c r="B2994" s="104"/>
      <c r="C2994" s="104"/>
      <c r="F2994" s="103" t="str">
        <f aca="false">IF(OR($C2994="",$D2994=0),"",$E2994/$D2994)</f>
        <v/>
      </c>
      <c r="H2994" s="0" t="str">
        <f aca="false">IF($C2994="","",IF(COUNTIF('مواد المخزون'!$A$2:$A$86,$C2994)&gt;0,"نعم","لا (خارج الجرد)"))</f>
        <v/>
      </c>
    </row>
    <row r="2995" customFormat="false" ht="15" hidden="false" customHeight="false" outlineLevel="0" collapsed="false">
      <c r="A2995" s="102"/>
      <c r="B2995" s="104"/>
      <c r="C2995" s="104"/>
      <c r="F2995" s="103" t="str">
        <f aca="false">IF(OR($C2995="",$D2995=0),"",$E2995/$D2995)</f>
        <v/>
      </c>
      <c r="H2995" s="0" t="str">
        <f aca="false">IF($C2995="","",IF(COUNTIF('مواد المخزون'!$A$2:$A$86,$C2995)&gt;0,"نعم","لا (خارج الجرد)"))</f>
        <v/>
      </c>
    </row>
    <row r="2996" customFormat="false" ht="15" hidden="false" customHeight="false" outlineLevel="0" collapsed="false">
      <c r="A2996" s="102"/>
      <c r="B2996" s="104"/>
      <c r="C2996" s="104"/>
      <c r="F2996" s="103" t="str">
        <f aca="false">IF(OR($C2996="",$D2996=0),"",$E2996/$D2996)</f>
        <v/>
      </c>
      <c r="H2996" s="0" t="str">
        <f aca="false">IF($C2996="","",IF(COUNTIF('مواد المخزون'!$A$2:$A$86,$C2996)&gt;0,"نعم","لا (خارج الجرد)"))</f>
        <v/>
      </c>
    </row>
    <row r="2997" customFormat="false" ht="15" hidden="false" customHeight="false" outlineLevel="0" collapsed="false">
      <c r="A2997" s="102"/>
      <c r="B2997" s="104"/>
      <c r="C2997" s="104"/>
      <c r="F2997" s="103" t="str">
        <f aca="false">IF(OR($C2997="",$D2997=0),"",$E2997/$D2997)</f>
        <v/>
      </c>
      <c r="H2997" s="0" t="str">
        <f aca="false">IF($C2997="","",IF(COUNTIF('مواد المخزون'!$A$2:$A$86,$C2997)&gt;0,"نعم","لا (خارج الجرد)"))</f>
        <v/>
      </c>
    </row>
    <row r="2998" customFormat="false" ht="15" hidden="false" customHeight="false" outlineLevel="0" collapsed="false">
      <c r="A2998" s="102"/>
      <c r="B2998" s="104"/>
      <c r="C2998" s="104"/>
      <c r="F2998" s="103" t="str">
        <f aca="false">IF(OR($C2998="",$D2998=0),"",$E2998/$D2998)</f>
        <v/>
      </c>
      <c r="H2998" s="0" t="str">
        <f aca="false">IF($C2998="","",IF(COUNTIF('مواد المخزون'!$A$2:$A$86,$C2998)&gt;0,"نعم","لا (خارج الجرد)"))</f>
        <v/>
      </c>
    </row>
    <row r="2999" customFormat="false" ht="15" hidden="false" customHeight="false" outlineLevel="0" collapsed="false">
      <c r="A2999" s="102"/>
      <c r="B2999" s="104"/>
      <c r="C2999" s="104"/>
      <c r="F2999" s="103" t="str">
        <f aca="false">IF(OR($C2999="",$D2999=0),"",$E2999/$D2999)</f>
        <v/>
      </c>
      <c r="H2999" s="0" t="str">
        <f aca="false">IF($C2999="","",IF(COUNTIF('مواد المخزون'!$A$2:$A$86,$C2999)&gt;0,"نعم","لا (خارج الجرد)"))</f>
        <v/>
      </c>
    </row>
    <row r="3000" customFormat="false" ht="15" hidden="false" customHeight="false" outlineLevel="0" collapsed="false">
      <c r="A3000" s="102"/>
      <c r="B3000" s="104"/>
      <c r="C3000" s="104"/>
      <c r="F3000" s="103" t="str">
        <f aca="false">IF(OR($C3000="",$D3000=0),"",$E3000/$D3000)</f>
        <v/>
      </c>
      <c r="H3000" s="0" t="str">
        <f aca="false">IF($C3000="","",IF(COUNTIF('مواد المخزون'!$A$2:$A$86,$C3000)&gt;0,"نعم","لا (خارج الجرد)"))</f>
        <v/>
      </c>
    </row>
    <row r="3001" customFormat="false" ht="15" hidden="false" customHeight="false" outlineLevel="0" collapsed="false">
      <c r="A3001" s="102"/>
      <c r="B3001" s="104"/>
      <c r="C3001" s="104"/>
      <c r="F3001" s="103" t="str">
        <f aca="false">IF(OR($C3001="",$D3001=0),"",$E3001/$D3001)</f>
        <v/>
      </c>
      <c r="H3001" s="0" t="str">
        <f aca="false">IF($C3001="","",IF(COUNTIF('مواد المخزون'!$A$2:$A$86,$C3001)&gt;0,"نعم","لا (خارج الجرد)"))</f>
        <v/>
      </c>
    </row>
    <row r="3002" customFormat="false" ht="15" hidden="false" customHeight="false" outlineLevel="0" collapsed="false">
      <c r="A3002" s="102"/>
      <c r="B3002" s="104"/>
      <c r="C3002" s="104"/>
      <c r="F3002" s="103" t="str">
        <f aca="false">IF(OR($C3002="",$D3002=0),"",$E3002/$D3002)</f>
        <v/>
      </c>
      <c r="H3002" s="0" t="str">
        <f aca="false">IF($C3002="","",IF(COUNTIF('مواد المخزون'!$A$2:$A$86,$C3002)&gt;0,"نعم","لا (خارج الجرد)"))</f>
        <v/>
      </c>
    </row>
    <row r="3003" customFormat="false" ht="15" hidden="false" customHeight="false" outlineLevel="0" collapsed="false">
      <c r="A3003" s="102"/>
      <c r="B3003" s="104"/>
      <c r="C3003" s="104"/>
      <c r="F3003" s="103" t="str">
        <f aca="false">IF(OR($C3003="",$D3003=0),"",$E3003/$D3003)</f>
        <v/>
      </c>
      <c r="H3003" s="0" t="str">
        <f aca="false">IF($C3003="","",IF(COUNTIF('مواد المخزون'!$A$2:$A$86,$C3003)&gt;0,"نعم","لا (خارج الجرد)"))</f>
        <v/>
      </c>
    </row>
    <row r="3004" customFormat="false" ht="15" hidden="false" customHeight="false" outlineLevel="0" collapsed="false">
      <c r="A3004" s="102"/>
      <c r="B3004" s="104"/>
      <c r="C3004" s="104"/>
      <c r="F3004" s="103" t="str">
        <f aca="false">IF(OR($C3004="",$D3004=0),"",$E3004/$D3004)</f>
        <v/>
      </c>
      <c r="H3004" s="0" t="str">
        <f aca="false">IF($C3004="","",IF(COUNTIF('مواد المخزون'!$A$2:$A$86,$C3004)&gt;0,"نعم","لا (خارج الجرد)"))</f>
        <v/>
      </c>
    </row>
    <row r="3005" customFormat="false" ht="15" hidden="false" customHeight="false" outlineLevel="0" collapsed="false">
      <c r="A3005" s="102"/>
      <c r="B3005" s="104"/>
      <c r="C3005" s="104"/>
      <c r="F3005" s="103" t="str">
        <f aca="false">IF(OR($C3005="",$D3005=0),"",$E3005/$D3005)</f>
        <v/>
      </c>
      <c r="H3005" s="0" t="str">
        <f aca="false">IF($C3005="","",IF(COUNTIF('مواد المخزون'!$A$2:$A$86,$C3005)&gt;0,"نعم","لا (خارج الجرد)"))</f>
        <v/>
      </c>
    </row>
    <row r="3006" customFormat="false" ht="15" hidden="false" customHeight="false" outlineLevel="0" collapsed="false">
      <c r="A3006" s="102"/>
      <c r="B3006" s="104"/>
      <c r="C3006" s="104"/>
      <c r="F3006" s="103" t="str">
        <f aca="false">IF(OR($C3006="",$D3006=0),"",$E3006/$D3006)</f>
        <v/>
      </c>
      <c r="H3006" s="0" t="str">
        <f aca="false">IF($C3006="","",IF(COUNTIF('مواد المخزون'!$A$2:$A$86,$C3006)&gt;0,"نعم","لا (خارج الجرد)"))</f>
        <v/>
      </c>
    </row>
    <row r="3007" customFormat="false" ht="15" hidden="false" customHeight="false" outlineLevel="0" collapsed="false">
      <c r="A3007" s="102"/>
      <c r="B3007" s="104"/>
      <c r="C3007" s="104"/>
      <c r="F3007" s="103" t="str">
        <f aca="false">IF(OR($C3007="",$D3007=0),"",$E3007/$D3007)</f>
        <v/>
      </c>
      <c r="H3007" s="0" t="str">
        <f aca="false">IF($C3007="","",IF(COUNTIF('مواد المخزون'!$A$2:$A$86,$C3007)&gt;0,"نعم","لا (خارج الجرد)"))</f>
        <v/>
      </c>
    </row>
    <row r="3008" customFormat="false" ht="15" hidden="false" customHeight="false" outlineLevel="0" collapsed="false">
      <c r="A3008" s="102"/>
      <c r="B3008" s="104"/>
      <c r="C3008" s="104"/>
      <c r="F3008" s="103" t="str">
        <f aca="false">IF(OR($C3008="",$D3008=0),"",$E3008/$D3008)</f>
        <v/>
      </c>
      <c r="H3008" s="0" t="str">
        <f aca="false">IF($C3008="","",IF(COUNTIF('مواد المخزون'!$A$2:$A$86,$C3008)&gt;0,"نعم","لا (خارج الجرد)"))</f>
        <v/>
      </c>
    </row>
    <row r="3009" customFormat="false" ht="15" hidden="false" customHeight="false" outlineLevel="0" collapsed="false">
      <c r="A3009" s="102"/>
      <c r="B3009" s="104"/>
      <c r="C3009" s="104"/>
      <c r="F3009" s="103" t="str">
        <f aca="false">IF(OR($C3009="",$D3009=0),"",$E3009/$D3009)</f>
        <v/>
      </c>
      <c r="H3009" s="0" t="str">
        <f aca="false">IF($C3009="","",IF(COUNTIF('مواد المخزون'!$A$2:$A$86,$C3009)&gt;0,"نعم","لا (خارج الجرد)"))</f>
        <v/>
      </c>
    </row>
    <row r="3010" customFormat="false" ht="15" hidden="false" customHeight="false" outlineLevel="0" collapsed="false">
      <c r="A3010" s="102"/>
      <c r="B3010" s="104"/>
      <c r="C3010" s="104"/>
      <c r="F3010" s="103" t="str">
        <f aca="false">IF(OR($C3010="",$D3010=0),"",$E3010/$D3010)</f>
        <v/>
      </c>
      <c r="H3010" s="0" t="str">
        <f aca="false">IF($C3010="","",IF(COUNTIF('مواد المخزون'!$A$2:$A$86,$C3010)&gt;0,"نعم","لا (خارج الجرد)"))</f>
        <v/>
      </c>
    </row>
    <row r="3011" customFormat="false" ht="15" hidden="false" customHeight="false" outlineLevel="0" collapsed="false">
      <c r="A3011" s="102"/>
      <c r="B3011" s="104"/>
      <c r="C3011" s="104"/>
      <c r="F3011" s="103" t="str">
        <f aca="false">IF(OR($C3011="",$D3011=0),"",$E3011/$D3011)</f>
        <v/>
      </c>
      <c r="H3011" s="0" t="str">
        <f aca="false">IF($C3011="","",IF(COUNTIF('مواد المخزون'!$A$2:$A$86,$C3011)&gt;0,"نعم","لا (خارج الجرد)"))</f>
        <v/>
      </c>
    </row>
    <row r="3012" customFormat="false" ht="15" hidden="false" customHeight="false" outlineLevel="0" collapsed="false">
      <c r="A3012" s="102"/>
      <c r="B3012" s="104"/>
      <c r="C3012" s="104"/>
      <c r="F3012" s="103" t="str">
        <f aca="false">IF(OR($C3012="",$D3012=0),"",$E3012/$D3012)</f>
        <v/>
      </c>
      <c r="H3012" s="0" t="str">
        <f aca="false">IF($C3012="","",IF(COUNTIF('مواد المخزون'!$A$2:$A$86,$C3012)&gt;0,"نعم","لا (خارج الجرد)"))</f>
        <v/>
      </c>
    </row>
    <row r="3013" customFormat="false" ht="15" hidden="false" customHeight="false" outlineLevel="0" collapsed="false">
      <c r="A3013" s="102"/>
      <c r="B3013" s="104"/>
      <c r="C3013" s="104"/>
      <c r="F3013" s="103" t="str">
        <f aca="false">IF(OR($C3013="",$D3013=0),"",$E3013/$D3013)</f>
        <v/>
      </c>
      <c r="H3013" s="0" t="str">
        <f aca="false">IF($C3013="","",IF(COUNTIF('مواد المخزون'!$A$2:$A$86,$C3013)&gt;0,"نعم","لا (خارج الجرد)"))</f>
        <v/>
      </c>
    </row>
    <row r="3014" customFormat="false" ht="15" hidden="false" customHeight="false" outlineLevel="0" collapsed="false">
      <c r="A3014" s="102"/>
      <c r="B3014" s="104"/>
      <c r="C3014" s="104"/>
      <c r="F3014" s="103" t="str">
        <f aca="false">IF(OR($C3014="",$D3014=0),"",$E3014/$D3014)</f>
        <v/>
      </c>
      <c r="H3014" s="0" t="str">
        <f aca="false">IF($C3014="","",IF(COUNTIF('مواد المخزون'!$A$2:$A$86,$C3014)&gt;0,"نعم","لا (خارج الجرد)"))</f>
        <v/>
      </c>
    </row>
    <row r="3015" customFormat="false" ht="15" hidden="false" customHeight="false" outlineLevel="0" collapsed="false">
      <c r="A3015" s="102"/>
      <c r="B3015" s="104"/>
      <c r="C3015" s="104"/>
      <c r="F3015" s="103" t="str">
        <f aca="false">IF(OR($C3015="",$D3015=0),"",$E3015/$D3015)</f>
        <v/>
      </c>
      <c r="H3015" s="0" t="str">
        <f aca="false">IF($C3015="","",IF(COUNTIF('مواد المخزون'!$A$2:$A$86,$C3015)&gt;0,"نعم","لا (خارج الجرد)"))</f>
        <v/>
      </c>
    </row>
    <row r="3016" customFormat="false" ht="15" hidden="false" customHeight="false" outlineLevel="0" collapsed="false">
      <c r="A3016" s="102"/>
      <c r="B3016" s="104"/>
      <c r="C3016" s="104"/>
      <c r="F3016" s="103" t="str">
        <f aca="false">IF(OR($C3016="",$D3016=0),"",$E3016/$D3016)</f>
        <v/>
      </c>
      <c r="H3016" s="0" t="str">
        <f aca="false">IF($C3016="","",IF(COUNTIF('مواد المخزون'!$A$2:$A$86,$C3016)&gt;0,"نعم","لا (خارج الجرد)"))</f>
        <v/>
      </c>
    </row>
    <row r="3017" customFormat="false" ht="15" hidden="false" customHeight="false" outlineLevel="0" collapsed="false">
      <c r="A3017" s="102"/>
      <c r="B3017" s="104"/>
      <c r="C3017" s="104"/>
      <c r="F3017" s="103" t="str">
        <f aca="false">IF(OR($C3017="",$D3017=0),"",$E3017/$D3017)</f>
        <v/>
      </c>
      <c r="H3017" s="0" t="str">
        <f aca="false">IF($C3017="","",IF(COUNTIF('مواد المخزون'!$A$2:$A$86,$C3017)&gt;0,"نعم","لا (خارج الجرد)"))</f>
        <v/>
      </c>
    </row>
    <row r="3018" customFormat="false" ht="15" hidden="false" customHeight="false" outlineLevel="0" collapsed="false">
      <c r="A3018" s="102"/>
      <c r="B3018" s="104"/>
      <c r="C3018" s="104"/>
      <c r="F3018" s="103" t="str">
        <f aca="false">IF(OR($C3018="",$D3018=0),"",$E3018/$D3018)</f>
        <v/>
      </c>
      <c r="H3018" s="0" t="str">
        <f aca="false">IF($C3018="","",IF(COUNTIF('مواد المخزون'!$A$2:$A$86,$C3018)&gt;0,"نعم","لا (خارج الجرد)"))</f>
        <v/>
      </c>
    </row>
    <row r="3019" customFormat="false" ht="15" hidden="false" customHeight="false" outlineLevel="0" collapsed="false">
      <c r="A3019" s="102"/>
      <c r="B3019" s="104"/>
      <c r="C3019" s="104"/>
      <c r="F3019" s="103" t="str">
        <f aca="false">IF(OR($C3019="",$D3019=0),"",$E3019/$D3019)</f>
        <v/>
      </c>
      <c r="H3019" s="0" t="str">
        <f aca="false">IF($C3019="","",IF(COUNTIF('مواد المخزون'!$A$2:$A$86,$C3019)&gt;0,"نعم","لا (خارج الجرد)"))</f>
        <v/>
      </c>
    </row>
    <row r="3020" customFormat="false" ht="15" hidden="false" customHeight="false" outlineLevel="0" collapsed="false">
      <c r="A3020" s="102"/>
      <c r="B3020" s="104"/>
      <c r="C3020" s="104"/>
      <c r="F3020" s="103" t="str">
        <f aca="false">IF(OR($C3020="",$D3020=0),"",$E3020/$D3020)</f>
        <v/>
      </c>
      <c r="H3020" s="0" t="str">
        <f aca="false">IF($C3020="","",IF(COUNTIF('مواد المخزون'!$A$2:$A$86,$C3020)&gt;0,"نعم","لا (خارج الجرد)"))</f>
        <v/>
      </c>
    </row>
    <row r="3021" customFormat="false" ht="15" hidden="false" customHeight="false" outlineLevel="0" collapsed="false">
      <c r="A3021" s="102"/>
      <c r="B3021" s="104"/>
      <c r="C3021" s="104"/>
      <c r="F3021" s="103" t="str">
        <f aca="false">IF(OR($C3021="",$D3021=0),"",$E3021/$D3021)</f>
        <v/>
      </c>
      <c r="H3021" s="0" t="str">
        <f aca="false">IF($C3021="","",IF(COUNTIF('مواد المخزون'!$A$2:$A$86,$C3021)&gt;0,"نعم","لا (خارج الجرد)"))</f>
        <v/>
      </c>
    </row>
    <row r="3022" customFormat="false" ht="15" hidden="false" customHeight="false" outlineLevel="0" collapsed="false">
      <c r="A3022" s="102"/>
      <c r="B3022" s="104"/>
      <c r="C3022" s="104"/>
      <c r="F3022" s="103" t="str">
        <f aca="false">IF(OR($C3022="",$D3022=0),"",$E3022/$D3022)</f>
        <v/>
      </c>
      <c r="H3022" s="0" t="str">
        <f aca="false">IF($C3022="","",IF(COUNTIF('مواد المخزون'!$A$2:$A$86,$C3022)&gt;0,"نعم","لا (خارج الجرد)"))</f>
        <v/>
      </c>
    </row>
    <row r="3023" customFormat="false" ht="15" hidden="false" customHeight="false" outlineLevel="0" collapsed="false">
      <c r="A3023" s="102"/>
      <c r="B3023" s="104"/>
      <c r="C3023" s="104"/>
      <c r="F3023" s="103" t="str">
        <f aca="false">IF(OR($C3023="",$D3023=0),"",$E3023/$D3023)</f>
        <v/>
      </c>
      <c r="H3023" s="0" t="str">
        <f aca="false">IF($C3023="","",IF(COUNTIF('مواد المخزون'!$A$2:$A$86,$C3023)&gt;0,"نعم","لا (خارج الجرد)"))</f>
        <v/>
      </c>
    </row>
    <row r="3024" customFormat="false" ht="15" hidden="false" customHeight="false" outlineLevel="0" collapsed="false">
      <c r="A3024" s="102"/>
      <c r="B3024" s="104"/>
      <c r="C3024" s="104"/>
      <c r="F3024" s="103" t="str">
        <f aca="false">IF(OR($C3024="",$D3024=0),"",$E3024/$D3024)</f>
        <v/>
      </c>
      <c r="H3024" s="0" t="str">
        <f aca="false">IF($C3024="","",IF(COUNTIF('مواد المخزون'!$A$2:$A$86,$C3024)&gt;0,"نعم","لا (خارج الجرد)"))</f>
        <v/>
      </c>
    </row>
    <row r="3025" customFormat="false" ht="15" hidden="false" customHeight="false" outlineLevel="0" collapsed="false">
      <c r="A3025" s="102"/>
      <c r="B3025" s="104"/>
      <c r="C3025" s="104"/>
      <c r="F3025" s="103" t="str">
        <f aca="false">IF(OR($C3025="",$D3025=0),"",$E3025/$D3025)</f>
        <v/>
      </c>
      <c r="H3025" s="0" t="str">
        <f aca="false">IF($C3025="","",IF(COUNTIF('مواد المخزون'!$A$2:$A$86,$C3025)&gt;0,"نعم","لا (خارج الجرد)"))</f>
        <v/>
      </c>
    </row>
    <row r="3026" customFormat="false" ht="15" hidden="false" customHeight="false" outlineLevel="0" collapsed="false">
      <c r="A3026" s="102"/>
      <c r="B3026" s="104"/>
      <c r="C3026" s="104"/>
      <c r="F3026" s="103" t="str">
        <f aca="false">IF(OR($C3026="",$D3026=0),"",$E3026/$D3026)</f>
        <v/>
      </c>
      <c r="H3026" s="0" t="str">
        <f aca="false">IF($C3026="","",IF(COUNTIF('مواد المخزون'!$A$2:$A$86,$C3026)&gt;0,"نعم","لا (خارج الجرد)"))</f>
        <v/>
      </c>
    </row>
    <row r="3027" customFormat="false" ht="15" hidden="false" customHeight="false" outlineLevel="0" collapsed="false">
      <c r="A3027" s="102"/>
      <c r="B3027" s="104"/>
      <c r="C3027" s="104"/>
      <c r="F3027" s="103" t="str">
        <f aca="false">IF(OR($C3027="",$D3027=0),"",$E3027/$D3027)</f>
        <v/>
      </c>
      <c r="H3027" s="0" t="str">
        <f aca="false">IF($C3027="","",IF(COUNTIF('مواد المخزون'!$A$2:$A$86,$C3027)&gt;0,"نعم","لا (خارج الجرد)"))</f>
        <v/>
      </c>
    </row>
    <row r="3028" customFormat="false" ht="15" hidden="false" customHeight="false" outlineLevel="0" collapsed="false">
      <c r="A3028" s="102"/>
      <c r="B3028" s="104"/>
      <c r="C3028" s="104"/>
      <c r="F3028" s="103" t="str">
        <f aca="false">IF(OR($C3028="",$D3028=0),"",$E3028/$D3028)</f>
        <v/>
      </c>
      <c r="H3028" s="0" t="str">
        <f aca="false">IF($C3028="","",IF(COUNTIF('مواد المخزون'!$A$2:$A$86,$C3028)&gt;0,"نعم","لا (خارج الجرد)"))</f>
        <v/>
      </c>
    </row>
    <row r="3029" customFormat="false" ht="15" hidden="false" customHeight="false" outlineLevel="0" collapsed="false">
      <c r="A3029" s="102"/>
      <c r="B3029" s="104"/>
      <c r="C3029" s="104"/>
      <c r="F3029" s="103" t="str">
        <f aca="false">IF(OR($C3029="",$D3029=0),"",$E3029/$D3029)</f>
        <v/>
      </c>
      <c r="H3029" s="0" t="str">
        <f aca="false">IF($C3029="","",IF(COUNTIF('مواد المخزون'!$A$2:$A$86,$C3029)&gt;0,"نعم","لا (خارج الجرد)"))</f>
        <v/>
      </c>
    </row>
    <row r="3030" customFormat="false" ht="15" hidden="false" customHeight="false" outlineLevel="0" collapsed="false">
      <c r="A3030" s="102"/>
      <c r="B3030" s="104"/>
      <c r="C3030" s="104"/>
      <c r="F3030" s="103" t="str">
        <f aca="false">IF(OR($C3030="",$D3030=0),"",$E3030/$D3030)</f>
        <v/>
      </c>
      <c r="H3030" s="0" t="str">
        <f aca="false">IF($C3030="","",IF(COUNTIF('مواد المخزون'!$A$2:$A$86,$C3030)&gt;0,"نعم","لا (خارج الجرد)"))</f>
        <v/>
      </c>
    </row>
    <row r="3031" customFormat="false" ht="15" hidden="false" customHeight="false" outlineLevel="0" collapsed="false">
      <c r="A3031" s="102"/>
      <c r="B3031" s="104"/>
      <c r="C3031" s="104"/>
      <c r="F3031" s="103" t="str">
        <f aca="false">IF(OR($C3031="",$D3031=0),"",$E3031/$D3031)</f>
        <v/>
      </c>
      <c r="H3031" s="0" t="str">
        <f aca="false">IF($C3031="","",IF(COUNTIF('مواد المخزون'!$A$2:$A$86,$C3031)&gt;0,"نعم","لا (خارج الجرد)"))</f>
        <v/>
      </c>
    </row>
    <row r="3032" customFormat="false" ht="15" hidden="false" customHeight="false" outlineLevel="0" collapsed="false">
      <c r="A3032" s="102"/>
      <c r="B3032" s="104"/>
      <c r="C3032" s="104"/>
      <c r="F3032" s="103" t="str">
        <f aca="false">IF(OR($C3032="",$D3032=0),"",$E3032/$D3032)</f>
        <v/>
      </c>
      <c r="H3032" s="0" t="str">
        <f aca="false">IF($C3032="","",IF(COUNTIF('مواد المخزون'!$A$2:$A$86,$C3032)&gt;0,"نعم","لا (خارج الجرد)"))</f>
        <v/>
      </c>
    </row>
    <row r="3033" customFormat="false" ht="15" hidden="false" customHeight="false" outlineLevel="0" collapsed="false">
      <c r="A3033" s="102"/>
      <c r="B3033" s="104"/>
      <c r="C3033" s="104"/>
      <c r="F3033" s="103" t="str">
        <f aca="false">IF(OR($C3033="",$D3033=0),"",$E3033/$D3033)</f>
        <v/>
      </c>
      <c r="H3033" s="0" t="str">
        <f aca="false">IF($C3033="","",IF(COUNTIF('مواد المخزون'!$A$2:$A$86,$C3033)&gt;0,"نعم","لا (خارج الجرد)"))</f>
        <v/>
      </c>
    </row>
    <row r="3034" customFormat="false" ht="15" hidden="false" customHeight="false" outlineLevel="0" collapsed="false">
      <c r="A3034" s="102"/>
      <c r="B3034" s="104"/>
      <c r="C3034" s="104"/>
      <c r="F3034" s="103" t="str">
        <f aca="false">IF(OR($C3034="",$D3034=0),"",$E3034/$D3034)</f>
        <v/>
      </c>
      <c r="H3034" s="0" t="str">
        <f aca="false">IF($C3034="","",IF(COUNTIF('مواد المخزون'!$A$2:$A$86,$C3034)&gt;0,"نعم","لا (خارج الجرد)"))</f>
        <v/>
      </c>
    </row>
    <row r="3035" customFormat="false" ht="15" hidden="false" customHeight="false" outlineLevel="0" collapsed="false">
      <c r="A3035" s="102"/>
      <c r="B3035" s="104"/>
      <c r="C3035" s="104"/>
      <c r="F3035" s="103" t="str">
        <f aca="false">IF(OR($C3035="",$D3035=0),"",$E3035/$D3035)</f>
        <v/>
      </c>
      <c r="H3035" s="0" t="str">
        <f aca="false">IF($C3035="","",IF(COUNTIF('مواد المخزون'!$A$2:$A$86,$C3035)&gt;0,"نعم","لا (خارج الجرد)"))</f>
        <v/>
      </c>
    </row>
    <row r="3036" customFormat="false" ht="15" hidden="false" customHeight="false" outlineLevel="0" collapsed="false">
      <c r="A3036" s="102"/>
      <c r="B3036" s="104"/>
      <c r="C3036" s="104"/>
      <c r="F3036" s="103" t="str">
        <f aca="false">IF(OR($C3036="",$D3036=0),"",$E3036/$D3036)</f>
        <v/>
      </c>
      <c r="H3036" s="0" t="str">
        <f aca="false">IF($C3036="","",IF(COUNTIF('مواد المخزون'!$A$2:$A$86,$C3036)&gt;0,"نعم","لا (خارج الجرد)"))</f>
        <v/>
      </c>
    </row>
    <row r="3037" customFormat="false" ht="15" hidden="false" customHeight="false" outlineLevel="0" collapsed="false">
      <c r="A3037" s="102"/>
      <c r="B3037" s="104"/>
      <c r="C3037" s="104"/>
      <c r="F3037" s="103" t="str">
        <f aca="false">IF(OR($C3037="",$D3037=0),"",$E3037/$D3037)</f>
        <v/>
      </c>
      <c r="H3037" s="0" t="str">
        <f aca="false">IF($C3037="","",IF(COUNTIF('مواد المخزون'!$A$2:$A$86,$C3037)&gt;0,"نعم","لا (خارج الجرد)"))</f>
        <v/>
      </c>
    </row>
    <row r="3038" customFormat="false" ht="15" hidden="false" customHeight="false" outlineLevel="0" collapsed="false">
      <c r="A3038" s="102"/>
      <c r="B3038" s="104"/>
      <c r="C3038" s="104"/>
      <c r="F3038" s="103" t="str">
        <f aca="false">IF(OR($C3038="",$D3038=0),"",$E3038/$D3038)</f>
        <v/>
      </c>
      <c r="H3038" s="0" t="str">
        <f aca="false">IF($C3038="","",IF(COUNTIF('مواد المخزون'!$A$2:$A$86,$C3038)&gt;0,"نعم","لا (خارج الجرد)"))</f>
        <v/>
      </c>
    </row>
    <row r="3039" customFormat="false" ht="15" hidden="false" customHeight="false" outlineLevel="0" collapsed="false">
      <c r="A3039" s="102"/>
      <c r="B3039" s="104"/>
      <c r="C3039" s="104"/>
      <c r="F3039" s="103" t="str">
        <f aca="false">IF(OR($C3039="",$D3039=0),"",$E3039/$D3039)</f>
        <v/>
      </c>
      <c r="H3039" s="0" t="str">
        <f aca="false">IF($C3039="","",IF(COUNTIF('مواد المخزون'!$A$2:$A$86,$C3039)&gt;0,"نعم","لا (خارج الجرد)"))</f>
        <v/>
      </c>
    </row>
    <row r="3040" customFormat="false" ht="15" hidden="false" customHeight="false" outlineLevel="0" collapsed="false">
      <c r="A3040" s="102"/>
      <c r="B3040" s="104"/>
      <c r="C3040" s="104"/>
      <c r="F3040" s="103" t="str">
        <f aca="false">IF(OR($C3040="",$D3040=0),"",$E3040/$D3040)</f>
        <v/>
      </c>
      <c r="H3040" s="0" t="str">
        <f aca="false">IF($C3040="","",IF(COUNTIF('مواد المخزون'!$A$2:$A$86,$C3040)&gt;0,"نعم","لا (خارج الجرد)"))</f>
        <v/>
      </c>
    </row>
    <row r="3041" customFormat="false" ht="15" hidden="false" customHeight="false" outlineLevel="0" collapsed="false">
      <c r="A3041" s="102"/>
      <c r="B3041" s="104"/>
      <c r="C3041" s="104"/>
      <c r="F3041" s="103" t="str">
        <f aca="false">IF(OR($C3041="",$D3041=0),"",$E3041/$D3041)</f>
        <v/>
      </c>
      <c r="H3041" s="0" t="str">
        <f aca="false">IF($C3041="","",IF(COUNTIF('مواد المخزون'!$A$2:$A$86,$C3041)&gt;0,"نعم","لا (خارج الجرد)"))</f>
        <v/>
      </c>
    </row>
    <row r="3042" customFormat="false" ht="15" hidden="false" customHeight="false" outlineLevel="0" collapsed="false">
      <c r="A3042" s="102"/>
      <c r="B3042" s="104"/>
      <c r="C3042" s="104"/>
      <c r="F3042" s="103" t="str">
        <f aca="false">IF(OR($C3042="",$D3042=0),"",$E3042/$D3042)</f>
        <v/>
      </c>
      <c r="H3042" s="0" t="str">
        <f aca="false">IF($C3042="","",IF(COUNTIF('مواد المخزون'!$A$2:$A$86,$C3042)&gt;0,"نعم","لا (خارج الجرد)"))</f>
        <v/>
      </c>
    </row>
    <row r="3043" customFormat="false" ht="15" hidden="false" customHeight="false" outlineLevel="0" collapsed="false">
      <c r="A3043" s="102"/>
      <c r="B3043" s="104"/>
      <c r="C3043" s="104"/>
      <c r="F3043" s="103" t="str">
        <f aca="false">IF(OR($C3043="",$D3043=0),"",$E3043/$D3043)</f>
        <v/>
      </c>
      <c r="H3043" s="0" t="str">
        <f aca="false">IF($C3043="","",IF(COUNTIF('مواد المخزون'!$A$2:$A$86,$C3043)&gt;0,"نعم","لا (خارج الجرد)"))</f>
        <v/>
      </c>
    </row>
    <row r="3044" customFormat="false" ht="15" hidden="false" customHeight="false" outlineLevel="0" collapsed="false">
      <c r="A3044" s="102"/>
      <c r="B3044" s="104"/>
      <c r="C3044" s="104"/>
      <c r="F3044" s="103" t="str">
        <f aca="false">IF(OR($C3044="",$D3044=0),"",$E3044/$D3044)</f>
        <v/>
      </c>
      <c r="H3044" s="0" t="str">
        <f aca="false">IF($C3044="","",IF(COUNTIF('مواد المخزون'!$A$2:$A$86,$C3044)&gt;0,"نعم","لا (خارج الجرد)"))</f>
        <v/>
      </c>
    </row>
    <row r="3045" customFormat="false" ht="15" hidden="false" customHeight="false" outlineLevel="0" collapsed="false">
      <c r="A3045" s="102"/>
      <c r="B3045" s="104"/>
      <c r="C3045" s="104"/>
      <c r="F3045" s="103" t="str">
        <f aca="false">IF(OR($C3045="",$D3045=0),"",$E3045/$D3045)</f>
        <v/>
      </c>
      <c r="H3045" s="0" t="str">
        <f aca="false">IF($C3045="","",IF(COUNTIF('مواد المخزون'!$A$2:$A$86,$C3045)&gt;0,"نعم","لا (خارج الجرد)"))</f>
        <v/>
      </c>
    </row>
    <row r="3046" customFormat="false" ht="15" hidden="false" customHeight="false" outlineLevel="0" collapsed="false">
      <c r="A3046" s="102"/>
      <c r="B3046" s="104"/>
      <c r="C3046" s="104"/>
      <c r="F3046" s="103" t="str">
        <f aca="false">IF(OR($C3046="",$D3046=0),"",$E3046/$D3046)</f>
        <v/>
      </c>
      <c r="H3046" s="0" t="str">
        <f aca="false">IF($C3046="","",IF(COUNTIF('مواد المخزون'!$A$2:$A$86,$C3046)&gt;0,"نعم","لا (خارج الجرد)"))</f>
        <v/>
      </c>
    </row>
    <row r="3047" customFormat="false" ht="15" hidden="false" customHeight="false" outlineLevel="0" collapsed="false">
      <c r="A3047" s="102"/>
      <c r="B3047" s="104"/>
      <c r="C3047" s="104"/>
      <c r="F3047" s="103" t="str">
        <f aca="false">IF(OR($C3047="",$D3047=0),"",$E3047/$D3047)</f>
        <v/>
      </c>
      <c r="H3047" s="0" t="str">
        <f aca="false">IF($C3047="","",IF(COUNTIF('مواد المخزون'!$A$2:$A$86,$C3047)&gt;0,"نعم","لا (خارج الجرد)"))</f>
        <v/>
      </c>
    </row>
    <row r="3048" customFormat="false" ht="15" hidden="false" customHeight="false" outlineLevel="0" collapsed="false">
      <c r="A3048" s="102"/>
      <c r="B3048" s="104"/>
      <c r="C3048" s="104"/>
      <c r="F3048" s="103" t="str">
        <f aca="false">IF(OR($C3048="",$D3048=0),"",$E3048/$D3048)</f>
        <v/>
      </c>
      <c r="H3048" s="0" t="str">
        <f aca="false">IF($C3048="","",IF(COUNTIF('مواد المخزون'!$A$2:$A$86,$C3048)&gt;0,"نعم","لا (خارج الجرد)"))</f>
        <v/>
      </c>
    </row>
    <row r="3049" customFormat="false" ht="15" hidden="false" customHeight="false" outlineLevel="0" collapsed="false">
      <c r="A3049" s="102"/>
      <c r="B3049" s="104"/>
      <c r="C3049" s="104"/>
      <c r="F3049" s="103" t="str">
        <f aca="false">IF(OR($C3049="",$D3049=0),"",$E3049/$D3049)</f>
        <v/>
      </c>
      <c r="H3049" s="0" t="str">
        <f aca="false">IF($C3049="","",IF(COUNTIF('مواد المخزون'!$A$2:$A$86,$C3049)&gt;0,"نعم","لا (خارج الجرد)"))</f>
        <v/>
      </c>
    </row>
    <row r="3050" customFormat="false" ht="15" hidden="false" customHeight="false" outlineLevel="0" collapsed="false">
      <c r="A3050" s="102"/>
      <c r="B3050" s="104"/>
      <c r="C3050" s="104"/>
      <c r="F3050" s="103" t="str">
        <f aca="false">IF(OR($C3050="",$D3050=0),"",$E3050/$D3050)</f>
        <v/>
      </c>
      <c r="H3050" s="0" t="str">
        <f aca="false">IF($C3050="","",IF(COUNTIF('مواد المخزون'!$A$2:$A$86,$C3050)&gt;0,"نعم","لا (خارج الجرد)"))</f>
        <v/>
      </c>
    </row>
    <row r="3051" customFormat="false" ht="15" hidden="false" customHeight="false" outlineLevel="0" collapsed="false">
      <c r="A3051" s="102"/>
      <c r="B3051" s="104"/>
      <c r="C3051" s="104"/>
      <c r="F3051" s="103" t="str">
        <f aca="false">IF(OR($C3051="",$D3051=0),"",$E3051/$D3051)</f>
        <v/>
      </c>
      <c r="H3051" s="0" t="str">
        <f aca="false">IF($C3051="","",IF(COUNTIF('مواد المخزون'!$A$2:$A$86,$C3051)&gt;0,"نعم","لا (خارج الجرد)"))</f>
        <v/>
      </c>
    </row>
    <row r="3052" customFormat="false" ht="15" hidden="false" customHeight="false" outlineLevel="0" collapsed="false">
      <c r="A3052" s="102"/>
      <c r="B3052" s="104"/>
      <c r="C3052" s="104"/>
      <c r="F3052" s="103" t="str">
        <f aca="false">IF(OR($C3052="",$D3052=0),"",$E3052/$D3052)</f>
        <v/>
      </c>
      <c r="H3052" s="0" t="str">
        <f aca="false">IF($C3052="","",IF(COUNTIF('مواد المخزون'!$A$2:$A$86,$C3052)&gt;0,"نعم","لا (خارج الجرد)"))</f>
        <v/>
      </c>
    </row>
    <row r="3053" customFormat="false" ht="15" hidden="false" customHeight="false" outlineLevel="0" collapsed="false">
      <c r="A3053" s="102"/>
      <c r="B3053" s="104"/>
      <c r="C3053" s="104"/>
      <c r="F3053" s="103" t="str">
        <f aca="false">IF(OR($C3053="",$D3053=0),"",$E3053/$D3053)</f>
        <v/>
      </c>
      <c r="H3053" s="0" t="str">
        <f aca="false">IF($C3053="","",IF(COUNTIF('مواد المخزون'!$A$2:$A$86,$C3053)&gt;0,"نعم","لا (خارج الجرد)"))</f>
        <v/>
      </c>
    </row>
    <row r="3054" customFormat="false" ht="15" hidden="false" customHeight="false" outlineLevel="0" collapsed="false">
      <c r="A3054" s="102"/>
      <c r="B3054" s="104"/>
      <c r="C3054" s="104"/>
      <c r="F3054" s="103" t="str">
        <f aca="false">IF(OR($C3054="",$D3054=0),"",$E3054/$D3054)</f>
        <v/>
      </c>
      <c r="H3054" s="0" t="str">
        <f aca="false">IF($C3054="","",IF(COUNTIF('مواد المخزون'!$A$2:$A$86,$C3054)&gt;0,"نعم","لا (خارج الجرد)"))</f>
        <v/>
      </c>
    </row>
    <row r="3055" customFormat="false" ht="15" hidden="false" customHeight="false" outlineLevel="0" collapsed="false">
      <c r="A3055" s="102"/>
      <c r="B3055" s="104"/>
      <c r="C3055" s="104"/>
      <c r="F3055" s="103" t="str">
        <f aca="false">IF(OR($C3055="",$D3055=0),"",$E3055/$D3055)</f>
        <v/>
      </c>
      <c r="H3055" s="0" t="str">
        <f aca="false">IF($C3055="","",IF(COUNTIF('مواد المخزون'!$A$2:$A$86,$C3055)&gt;0,"نعم","لا (خارج الجرد)"))</f>
        <v/>
      </c>
    </row>
    <row r="3056" customFormat="false" ht="15" hidden="false" customHeight="false" outlineLevel="0" collapsed="false">
      <c r="A3056" s="102"/>
      <c r="B3056" s="104"/>
      <c r="C3056" s="104"/>
      <c r="F3056" s="103" t="str">
        <f aca="false">IF(OR($C3056="",$D3056=0),"",$E3056/$D3056)</f>
        <v/>
      </c>
      <c r="H3056" s="0" t="str">
        <f aca="false">IF($C3056="","",IF(COUNTIF('مواد المخزون'!$A$2:$A$86,$C3056)&gt;0,"نعم","لا (خارج الجرد)"))</f>
        <v/>
      </c>
    </row>
    <row r="3057" customFormat="false" ht="15" hidden="false" customHeight="false" outlineLevel="0" collapsed="false">
      <c r="A3057" s="102"/>
      <c r="B3057" s="104"/>
      <c r="C3057" s="104"/>
      <c r="F3057" s="103" t="str">
        <f aca="false">IF(OR($C3057="",$D3057=0),"",$E3057/$D3057)</f>
        <v/>
      </c>
      <c r="H3057" s="0" t="str">
        <f aca="false">IF($C3057="","",IF(COUNTIF('مواد المخزون'!$A$2:$A$86,$C3057)&gt;0,"نعم","لا (خارج الجرد)"))</f>
        <v/>
      </c>
    </row>
    <row r="3058" customFormat="false" ht="15" hidden="false" customHeight="false" outlineLevel="0" collapsed="false">
      <c r="A3058" s="102"/>
      <c r="B3058" s="104"/>
      <c r="C3058" s="104"/>
      <c r="F3058" s="103" t="str">
        <f aca="false">IF(OR($C3058="",$D3058=0),"",$E3058/$D3058)</f>
        <v/>
      </c>
      <c r="H3058" s="0" t="str">
        <f aca="false">IF($C3058="","",IF(COUNTIF('مواد المخزون'!$A$2:$A$86,$C3058)&gt;0,"نعم","لا (خارج الجرد)"))</f>
        <v/>
      </c>
    </row>
    <row r="3059" customFormat="false" ht="15" hidden="false" customHeight="false" outlineLevel="0" collapsed="false">
      <c r="A3059" s="102"/>
      <c r="B3059" s="104"/>
      <c r="C3059" s="104"/>
      <c r="F3059" s="103" t="str">
        <f aca="false">IF(OR($C3059="",$D3059=0),"",$E3059/$D3059)</f>
        <v/>
      </c>
      <c r="H3059" s="0" t="str">
        <f aca="false">IF($C3059="","",IF(COUNTIF('مواد المخزون'!$A$2:$A$86,$C3059)&gt;0,"نعم","لا (خارج الجرد)"))</f>
        <v/>
      </c>
    </row>
    <row r="3060" customFormat="false" ht="15" hidden="false" customHeight="false" outlineLevel="0" collapsed="false">
      <c r="A3060" s="102"/>
      <c r="B3060" s="104"/>
      <c r="C3060" s="104"/>
      <c r="F3060" s="103" t="str">
        <f aca="false">IF(OR($C3060="",$D3060=0),"",$E3060/$D3060)</f>
        <v/>
      </c>
      <c r="H3060" s="0" t="str">
        <f aca="false">IF($C3060="","",IF(COUNTIF('مواد المخزون'!$A$2:$A$86,$C3060)&gt;0,"نعم","لا (خارج الجرد)"))</f>
        <v/>
      </c>
    </row>
    <row r="3061" customFormat="false" ht="15" hidden="false" customHeight="false" outlineLevel="0" collapsed="false">
      <c r="A3061" s="102"/>
      <c r="B3061" s="104"/>
      <c r="C3061" s="104"/>
      <c r="F3061" s="103" t="str">
        <f aca="false">IF(OR($C3061="",$D3061=0),"",$E3061/$D3061)</f>
        <v/>
      </c>
      <c r="H3061" s="0" t="str">
        <f aca="false">IF($C3061="","",IF(COUNTIF('مواد المخزون'!$A$2:$A$86,$C3061)&gt;0,"نعم","لا (خارج الجرد)"))</f>
        <v/>
      </c>
    </row>
    <row r="3062" customFormat="false" ht="15" hidden="false" customHeight="false" outlineLevel="0" collapsed="false">
      <c r="A3062" s="102"/>
      <c r="B3062" s="104"/>
      <c r="C3062" s="104"/>
      <c r="F3062" s="103" t="str">
        <f aca="false">IF(OR($C3062="",$D3062=0),"",$E3062/$D3062)</f>
        <v/>
      </c>
      <c r="H3062" s="0" t="str">
        <f aca="false">IF($C3062="","",IF(COUNTIF('مواد المخزون'!$A$2:$A$86,$C3062)&gt;0,"نعم","لا (خارج الجرد)"))</f>
        <v/>
      </c>
    </row>
    <row r="3063" customFormat="false" ht="15" hidden="false" customHeight="false" outlineLevel="0" collapsed="false">
      <c r="A3063" s="102"/>
      <c r="B3063" s="104"/>
      <c r="C3063" s="104"/>
      <c r="F3063" s="103" t="str">
        <f aca="false">IF(OR($C3063="",$D3063=0),"",$E3063/$D3063)</f>
        <v/>
      </c>
      <c r="H3063" s="0" t="str">
        <f aca="false">IF($C3063="","",IF(COUNTIF('مواد المخزون'!$A$2:$A$86,$C3063)&gt;0,"نعم","لا (خارج الجرد)"))</f>
        <v/>
      </c>
    </row>
    <row r="3064" customFormat="false" ht="15" hidden="false" customHeight="false" outlineLevel="0" collapsed="false">
      <c r="A3064" s="102"/>
      <c r="B3064" s="104"/>
      <c r="C3064" s="104"/>
      <c r="F3064" s="103" t="str">
        <f aca="false">IF(OR($C3064="",$D3064=0),"",$E3064/$D3064)</f>
        <v/>
      </c>
      <c r="H3064" s="0" t="str">
        <f aca="false">IF($C3064="","",IF(COUNTIF('مواد المخزون'!$A$2:$A$86,$C3064)&gt;0,"نعم","لا (خارج الجرد)"))</f>
        <v/>
      </c>
    </row>
    <row r="3065" customFormat="false" ht="15" hidden="false" customHeight="false" outlineLevel="0" collapsed="false">
      <c r="A3065" s="102"/>
      <c r="B3065" s="104"/>
      <c r="C3065" s="104"/>
      <c r="F3065" s="103" t="str">
        <f aca="false">IF(OR($C3065="",$D3065=0),"",$E3065/$D3065)</f>
        <v/>
      </c>
      <c r="H3065" s="0" t="str">
        <f aca="false">IF($C3065="","",IF(COUNTIF('مواد المخزون'!$A$2:$A$86,$C3065)&gt;0,"نعم","لا (خارج الجرد)"))</f>
        <v/>
      </c>
    </row>
    <row r="3066" customFormat="false" ht="15" hidden="false" customHeight="false" outlineLevel="0" collapsed="false">
      <c r="A3066" s="102"/>
      <c r="B3066" s="104"/>
      <c r="C3066" s="104"/>
      <c r="F3066" s="103" t="str">
        <f aca="false">IF(OR($C3066="",$D3066=0),"",$E3066/$D3066)</f>
        <v/>
      </c>
      <c r="H3066" s="0" t="str">
        <f aca="false">IF($C3066="","",IF(COUNTIF('مواد المخزون'!$A$2:$A$86,$C3066)&gt;0,"نعم","لا (خارج الجرد)"))</f>
        <v/>
      </c>
    </row>
    <row r="3067" customFormat="false" ht="15" hidden="false" customHeight="false" outlineLevel="0" collapsed="false">
      <c r="A3067" s="102"/>
      <c r="B3067" s="104"/>
      <c r="C3067" s="104"/>
      <c r="F3067" s="103" t="str">
        <f aca="false">IF(OR($C3067="",$D3067=0),"",$E3067/$D3067)</f>
        <v/>
      </c>
      <c r="H3067" s="0" t="str">
        <f aca="false">IF($C3067="","",IF(COUNTIF('مواد المخزون'!$A$2:$A$86,$C3067)&gt;0,"نعم","لا (خارج الجرد)"))</f>
        <v/>
      </c>
    </row>
    <row r="3068" customFormat="false" ht="15" hidden="false" customHeight="false" outlineLevel="0" collapsed="false">
      <c r="A3068" s="102"/>
      <c r="B3068" s="104"/>
      <c r="C3068" s="104"/>
      <c r="F3068" s="103" t="str">
        <f aca="false">IF(OR($C3068="",$D3068=0),"",$E3068/$D3068)</f>
        <v/>
      </c>
      <c r="H3068" s="0" t="str">
        <f aca="false">IF($C3068="","",IF(COUNTIF('مواد المخزون'!$A$2:$A$86,$C3068)&gt;0,"نعم","لا (خارج الجرد)"))</f>
        <v/>
      </c>
    </row>
    <row r="3069" customFormat="false" ht="15" hidden="false" customHeight="false" outlineLevel="0" collapsed="false">
      <c r="A3069" s="102"/>
      <c r="B3069" s="104"/>
      <c r="C3069" s="104"/>
      <c r="F3069" s="103" t="str">
        <f aca="false">IF(OR($C3069="",$D3069=0),"",$E3069/$D3069)</f>
        <v/>
      </c>
      <c r="H3069" s="0" t="str">
        <f aca="false">IF($C3069="","",IF(COUNTIF('مواد المخزون'!$A$2:$A$86,$C3069)&gt;0,"نعم","لا (خارج الجرد)"))</f>
        <v/>
      </c>
    </row>
    <row r="3070" customFormat="false" ht="15" hidden="false" customHeight="false" outlineLevel="0" collapsed="false">
      <c r="A3070" s="102"/>
      <c r="B3070" s="104"/>
      <c r="C3070" s="104"/>
      <c r="F3070" s="103" t="str">
        <f aca="false">IF(OR($C3070="",$D3070=0),"",$E3070/$D3070)</f>
        <v/>
      </c>
      <c r="H3070" s="0" t="str">
        <f aca="false">IF($C3070="","",IF(COUNTIF('مواد المخزون'!$A$2:$A$86,$C3070)&gt;0,"نعم","لا (خارج الجرد)"))</f>
        <v/>
      </c>
    </row>
    <row r="3071" customFormat="false" ht="15" hidden="false" customHeight="false" outlineLevel="0" collapsed="false">
      <c r="A3071" s="102"/>
      <c r="B3071" s="104"/>
      <c r="C3071" s="104"/>
      <c r="F3071" s="103" t="str">
        <f aca="false">IF(OR($C3071="",$D3071=0),"",$E3071/$D3071)</f>
        <v/>
      </c>
      <c r="H3071" s="0" t="str">
        <f aca="false">IF($C3071="","",IF(COUNTIF('مواد المخزون'!$A$2:$A$86,$C3071)&gt;0,"نعم","لا (خارج الجرد)"))</f>
        <v/>
      </c>
    </row>
    <row r="3072" customFormat="false" ht="15" hidden="false" customHeight="false" outlineLevel="0" collapsed="false">
      <c r="A3072" s="102"/>
      <c r="B3072" s="104"/>
      <c r="C3072" s="104"/>
      <c r="F3072" s="103" t="str">
        <f aca="false">IF(OR($C3072="",$D3072=0),"",$E3072/$D3072)</f>
        <v/>
      </c>
      <c r="H3072" s="0" t="str">
        <f aca="false">IF($C3072="","",IF(COUNTIF('مواد المخزون'!$A$2:$A$86,$C3072)&gt;0,"نعم","لا (خارج الجرد)"))</f>
        <v/>
      </c>
    </row>
    <row r="3073" customFormat="false" ht="15" hidden="false" customHeight="false" outlineLevel="0" collapsed="false">
      <c r="A3073" s="102"/>
      <c r="B3073" s="104"/>
      <c r="C3073" s="104"/>
      <c r="F3073" s="103" t="str">
        <f aca="false">IF(OR($C3073="",$D3073=0),"",$E3073/$D3073)</f>
        <v/>
      </c>
      <c r="H3073" s="0" t="str">
        <f aca="false">IF($C3073="","",IF(COUNTIF('مواد المخزون'!$A$2:$A$86,$C3073)&gt;0,"نعم","لا (خارج الجرد)"))</f>
        <v/>
      </c>
    </row>
    <row r="3074" customFormat="false" ht="15" hidden="false" customHeight="false" outlineLevel="0" collapsed="false">
      <c r="A3074" s="102"/>
      <c r="B3074" s="104"/>
      <c r="C3074" s="104"/>
      <c r="F3074" s="103" t="str">
        <f aca="false">IF(OR($C3074="",$D3074=0),"",$E3074/$D3074)</f>
        <v/>
      </c>
      <c r="H3074" s="0" t="str">
        <f aca="false">IF($C3074="","",IF(COUNTIF('مواد المخزون'!$A$2:$A$86,$C3074)&gt;0,"نعم","لا (خارج الجرد)"))</f>
        <v/>
      </c>
    </row>
    <row r="3075" customFormat="false" ht="15" hidden="false" customHeight="false" outlineLevel="0" collapsed="false">
      <c r="A3075" s="102"/>
      <c r="B3075" s="104"/>
      <c r="C3075" s="104"/>
      <c r="F3075" s="103" t="str">
        <f aca="false">IF(OR($C3075="",$D3075=0),"",$E3075/$D3075)</f>
        <v/>
      </c>
      <c r="H3075" s="0" t="str">
        <f aca="false">IF($C3075="","",IF(COUNTIF('مواد المخزون'!$A$2:$A$86,$C3075)&gt;0,"نعم","لا (خارج الجرد)"))</f>
        <v/>
      </c>
    </row>
    <row r="3076" customFormat="false" ht="15" hidden="false" customHeight="false" outlineLevel="0" collapsed="false">
      <c r="A3076" s="102"/>
      <c r="B3076" s="104"/>
      <c r="C3076" s="104"/>
      <c r="F3076" s="103" t="str">
        <f aca="false">IF(OR($C3076="",$D3076=0),"",$E3076/$D3076)</f>
        <v/>
      </c>
      <c r="H3076" s="0" t="str">
        <f aca="false">IF($C3076="","",IF(COUNTIF('مواد المخزون'!$A$2:$A$86,$C3076)&gt;0,"نعم","لا (خارج الجرد)"))</f>
        <v/>
      </c>
    </row>
    <row r="3077" customFormat="false" ht="15" hidden="false" customHeight="false" outlineLevel="0" collapsed="false">
      <c r="A3077" s="102"/>
      <c r="B3077" s="104"/>
      <c r="C3077" s="104"/>
      <c r="F3077" s="103" t="str">
        <f aca="false">IF(OR($C3077="",$D3077=0),"",$E3077/$D3077)</f>
        <v/>
      </c>
      <c r="H3077" s="0" t="str">
        <f aca="false">IF($C3077="","",IF(COUNTIF('مواد المخزون'!$A$2:$A$86,$C3077)&gt;0,"نعم","لا (خارج الجرد)"))</f>
        <v/>
      </c>
    </row>
    <row r="3078" customFormat="false" ht="15" hidden="false" customHeight="false" outlineLevel="0" collapsed="false">
      <c r="A3078" s="102"/>
      <c r="B3078" s="104"/>
      <c r="C3078" s="104"/>
      <c r="F3078" s="103" t="str">
        <f aca="false">IF(OR($C3078="",$D3078=0),"",$E3078/$D3078)</f>
        <v/>
      </c>
      <c r="H3078" s="0" t="str">
        <f aca="false">IF($C3078="","",IF(COUNTIF('مواد المخزون'!$A$2:$A$86,$C3078)&gt;0,"نعم","لا (خارج الجرد)"))</f>
        <v/>
      </c>
    </row>
    <row r="3079" customFormat="false" ht="15" hidden="false" customHeight="false" outlineLevel="0" collapsed="false">
      <c r="A3079" s="102"/>
      <c r="B3079" s="104"/>
      <c r="C3079" s="104"/>
      <c r="F3079" s="103" t="str">
        <f aca="false">IF(OR($C3079="",$D3079=0),"",$E3079/$D3079)</f>
        <v/>
      </c>
      <c r="H3079" s="0" t="str">
        <f aca="false">IF($C3079="","",IF(COUNTIF('مواد المخزون'!$A$2:$A$86,$C3079)&gt;0,"نعم","لا (خارج الجرد)"))</f>
        <v/>
      </c>
    </row>
    <row r="3080" customFormat="false" ht="15" hidden="false" customHeight="false" outlineLevel="0" collapsed="false">
      <c r="A3080" s="102"/>
      <c r="B3080" s="104"/>
      <c r="C3080" s="104"/>
      <c r="F3080" s="103" t="str">
        <f aca="false">IF(OR($C3080="",$D3080=0),"",$E3080/$D3080)</f>
        <v/>
      </c>
      <c r="H3080" s="0" t="str">
        <f aca="false">IF($C3080="","",IF(COUNTIF('مواد المخزون'!$A$2:$A$86,$C3080)&gt;0,"نعم","لا (خارج الجرد)"))</f>
        <v/>
      </c>
    </row>
    <row r="3081" customFormat="false" ht="15" hidden="false" customHeight="false" outlineLevel="0" collapsed="false">
      <c r="A3081" s="102"/>
      <c r="B3081" s="104"/>
      <c r="C3081" s="104"/>
      <c r="F3081" s="103" t="str">
        <f aca="false">IF(OR($C3081="",$D3081=0),"",$E3081/$D3081)</f>
        <v/>
      </c>
      <c r="H3081" s="0" t="str">
        <f aca="false">IF($C3081="","",IF(COUNTIF('مواد المخزون'!$A$2:$A$86,$C3081)&gt;0,"نعم","لا (خارج الجرد)"))</f>
        <v/>
      </c>
    </row>
    <row r="3082" customFormat="false" ht="15" hidden="false" customHeight="false" outlineLevel="0" collapsed="false">
      <c r="A3082" s="102"/>
      <c r="B3082" s="104"/>
      <c r="C3082" s="104"/>
      <c r="F3082" s="103" t="str">
        <f aca="false">IF(OR($C3082="",$D3082=0),"",$E3082/$D3082)</f>
        <v/>
      </c>
      <c r="H3082" s="0" t="str">
        <f aca="false">IF($C3082="","",IF(COUNTIF('مواد المخزون'!$A$2:$A$86,$C3082)&gt;0,"نعم","لا (خارج الجرد)"))</f>
        <v/>
      </c>
    </row>
    <row r="3083" customFormat="false" ht="15" hidden="false" customHeight="false" outlineLevel="0" collapsed="false">
      <c r="A3083" s="102"/>
      <c r="B3083" s="104"/>
      <c r="C3083" s="104"/>
      <c r="F3083" s="103" t="str">
        <f aca="false">IF(OR($C3083="",$D3083=0),"",$E3083/$D3083)</f>
        <v/>
      </c>
      <c r="H3083" s="0" t="str">
        <f aca="false">IF($C3083="","",IF(COUNTIF('مواد المخزون'!$A$2:$A$86,$C3083)&gt;0,"نعم","لا (خارج الجرد)"))</f>
        <v/>
      </c>
    </row>
    <row r="3084" customFormat="false" ht="15" hidden="false" customHeight="false" outlineLevel="0" collapsed="false">
      <c r="A3084" s="102"/>
      <c r="B3084" s="104"/>
      <c r="C3084" s="104"/>
      <c r="F3084" s="103" t="str">
        <f aca="false">IF(OR($C3084="",$D3084=0),"",$E3084/$D3084)</f>
        <v/>
      </c>
      <c r="H3084" s="0" t="str">
        <f aca="false">IF($C3084="","",IF(COUNTIF('مواد المخزون'!$A$2:$A$86,$C3084)&gt;0,"نعم","لا (خارج الجرد)"))</f>
        <v/>
      </c>
    </row>
    <row r="3085" customFormat="false" ht="15" hidden="false" customHeight="false" outlineLevel="0" collapsed="false">
      <c r="A3085" s="102"/>
      <c r="B3085" s="104"/>
      <c r="C3085" s="104"/>
      <c r="F3085" s="103" t="str">
        <f aca="false">IF(OR($C3085="",$D3085=0),"",$E3085/$D3085)</f>
        <v/>
      </c>
      <c r="H3085" s="0" t="str">
        <f aca="false">IF($C3085="","",IF(COUNTIF('مواد المخزون'!$A$2:$A$86,$C3085)&gt;0,"نعم","لا (خارج الجرد)"))</f>
        <v/>
      </c>
    </row>
    <row r="3086" customFormat="false" ht="15" hidden="false" customHeight="false" outlineLevel="0" collapsed="false">
      <c r="A3086" s="102"/>
      <c r="B3086" s="104"/>
      <c r="C3086" s="104"/>
      <c r="F3086" s="103" t="str">
        <f aca="false">IF(OR($C3086="",$D3086=0),"",$E3086/$D3086)</f>
        <v/>
      </c>
      <c r="H3086" s="0" t="str">
        <f aca="false">IF($C3086="","",IF(COUNTIF('مواد المخزون'!$A$2:$A$86,$C3086)&gt;0,"نعم","لا (خارج الجرد)"))</f>
        <v/>
      </c>
    </row>
    <row r="3087" customFormat="false" ht="15" hidden="false" customHeight="false" outlineLevel="0" collapsed="false">
      <c r="A3087" s="102"/>
      <c r="B3087" s="104"/>
      <c r="C3087" s="104"/>
      <c r="F3087" s="103" t="str">
        <f aca="false">IF(OR($C3087="",$D3087=0),"",$E3087/$D3087)</f>
        <v/>
      </c>
      <c r="H3087" s="0" t="str">
        <f aca="false">IF($C3087="","",IF(COUNTIF('مواد المخزون'!$A$2:$A$86,$C3087)&gt;0,"نعم","لا (خارج الجرد)"))</f>
        <v/>
      </c>
    </row>
    <row r="3088" customFormat="false" ht="15" hidden="false" customHeight="false" outlineLevel="0" collapsed="false">
      <c r="A3088" s="102"/>
      <c r="B3088" s="104"/>
      <c r="C3088" s="104"/>
      <c r="F3088" s="103" t="str">
        <f aca="false">IF(OR($C3088="",$D3088=0),"",$E3088/$D3088)</f>
        <v/>
      </c>
      <c r="H3088" s="0" t="str">
        <f aca="false">IF($C3088="","",IF(COUNTIF('مواد المخزون'!$A$2:$A$86,$C3088)&gt;0,"نعم","لا (خارج الجرد)"))</f>
        <v/>
      </c>
    </row>
    <row r="3089" customFormat="false" ht="15" hidden="false" customHeight="false" outlineLevel="0" collapsed="false">
      <c r="A3089" s="102"/>
      <c r="B3089" s="104"/>
      <c r="C3089" s="104"/>
      <c r="F3089" s="103" t="str">
        <f aca="false">IF(OR($C3089="",$D3089=0),"",$E3089/$D3089)</f>
        <v/>
      </c>
      <c r="H3089" s="0" t="str">
        <f aca="false">IF($C3089="","",IF(COUNTIF('مواد المخزون'!$A$2:$A$86,$C3089)&gt;0,"نعم","لا (خارج الجرد)"))</f>
        <v/>
      </c>
    </row>
    <row r="3090" customFormat="false" ht="15" hidden="false" customHeight="false" outlineLevel="0" collapsed="false">
      <c r="A3090" s="102"/>
      <c r="B3090" s="104"/>
      <c r="C3090" s="104"/>
      <c r="F3090" s="103" t="str">
        <f aca="false">IF(OR($C3090="",$D3090=0),"",$E3090/$D3090)</f>
        <v/>
      </c>
      <c r="H3090" s="0" t="str">
        <f aca="false">IF($C3090="","",IF(COUNTIF('مواد المخزون'!$A$2:$A$86,$C3090)&gt;0,"نعم","لا (خارج الجرد)"))</f>
        <v/>
      </c>
    </row>
    <row r="3091" customFormat="false" ht="15" hidden="false" customHeight="false" outlineLevel="0" collapsed="false">
      <c r="A3091" s="102"/>
      <c r="B3091" s="104"/>
      <c r="C3091" s="104"/>
      <c r="F3091" s="103" t="str">
        <f aca="false">IF(OR($C3091="",$D3091=0),"",$E3091/$D3091)</f>
        <v/>
      </c>
      <c r="H3091" s="0" t="str">
        <f aca="false">IF($C3091="","",IF(COUNTIF('مواد المخزون'!$A$2:$A$86,$C3091)&gt;0,"نعم","لا (خارج الجرد)"))</f>
        <v/>
      </c>
    </row>
    <row r="3092" customFormat="false" ht="15" hidden="false" customHeight="false" outlineLevel="0" collapsed="false">
      <c r="A3092" s="102"/>
      <c r="B3092" s="104"/>
      <c r="C3092" s="104"/>
      <c r="F3092" s="103" t="str">
        <f aca="false">IF(OR($C3092="",$D3092=0),"",$E3092/$D3092)</f>
        <v/>
      </c>
      <c r="H3092" s="0" t="str">
        <f aca="false">IF($C3092="","",IF(COUNTIF('مواد المخزون'!$A$2:$A$86,$C3092)&gt;0,"نعم","لا (خارج الجرد)"))</f>
        <v/>
      </c>
    </row>
    <row r="3093" customFormat="false" ht="15" hidden="false" customHeight="false" outlineLevel="0" collapsed="false">
      <c r="A3093" s="102"/>
      <c r="B3093" s="104"/>
      <c r="C3093" s="104"/>
      <c r="F3093" s="103" t="str">
        <f aca="false">IF(OR($C3093="",$D3093=0),"",$E3093/$D3093)</f>
        <v/>
      </c>
      <c r="H3093" s="0" t="str">
        <f aca="false">IF($C3093="","",IF(COUNTIF('مواد المخزون'!$A$2:$A$86,$C3093)&gt;0,"نعم","لا (خارج الجرد)"))</f>
        <v/>
      </c>
    </row>
    <row r="3094" customFormat="false" ht="15" hidden="false" customHeight="false" outlineLevel="0" collapsed="false">
      <c r="A3094" s="102"/>
      <c r="B3094" s="104"/>
      <c r="C3094" s="104"/>
      <c r="F3094" s="103" t="str">
        <f aca="false">IF(OR($C3094="",$D3094=0),"",$E3094/$D3094)</f>
        <v/>
      </c>
      <c r="H3094" s="0" t="str">
        <f aca="false">IF($C3094="","",IF(COUNTIF('مواد المخزون'!$A$2:$A$86,$C3094)&gt;0,"نعم","لا (خارج الجرد)"))</f>
        <v/>
      </c>
    </row>
    <row r="3095" customFormat="false" ht="15" hidden="false" customHeight="false" outlineLevel="0" collapsed="false">
      <c r="A3095" s="102"/>
      <c r="B3095" s="104"/>
      <c r="C3095" s="104"/>
      <c r="F3095" s="103" t="str">
        <f aca="false">IF(OR($C3095="",$D3095=0),"",$E3095/$D3095)</f>
        <v/>
      </c>
      <c r="H3095" s="0" t="str">
        <f aca="false">IF($C3095="","",IF(COUNTIF('مواد المخزون'!$A$2:$A$86,$C3095)&gt;0,"نعم","لا (خارج الجرد)"))</f>
        <v/>
      </c>
    </row>
    <row r="3096" customFormat="false" ht="15" hidden="false" customHeight="false" outlineLevel="0" collapsed="false">
      <c r="A3096" s="102"/>
      <c r="B3096" s="104"/>
      <c r="C3096" s="104"/>
      <c r="F3096" s="103" t="str">
        <f aca="false">IF(OR($C3096="",$D3096=0),"",$E3096/$D3096)</f>
        <v/>
      </c>
      <c r="H3096" s="0" t="str">
        <f aca="false">IF($C3096="","",IF(COUNTIF('مواد المخزون'!$A$2:$A$86,$C3096)&gt;0,"نعم","لا (خارج الجرد)"))</f>
        <v/>
      </c>
    </row>
    <row r="3097" customFormat="false" ht="15" hidden="false" customHeight="false" outlineLevel="0" collapsed="false">
      <c r="A3097" s="102"/>
      <c r="B3097" s="104"/>
      <c r="C3097" s="104"/>
      <c r="F3097" s="103" t="str">
        <f aca="false">IF(OR($C3097="",$D3097=0),"",$E3097/$D3097)</f>
        <v/>
      </c>
      <c r="H3097" s="0" t="str">
        <f aca="false">IF($C3097="","",IF(COUNTIF('مواد المخزون'!$A$2:$A$86,$C3097)&gt;0,"نعم","لا (خارج الجرد)"))</f>
        <v/>
      </c>
    </row>
    <row r="3098" customFormat="false" ht="15" hidden="false" customHeight="false" outlineLevel="0" collapsed="false">
      <c r="A3098" s="102"/>
      <c r="B3098" s="104"/>
      <c r="C3098" s="104"/>
      <c r="F3098" s="103" t="str">
        <f aca="false">IF(OR($C3098="",$D3098=0),"",$E3098/$D3098)</f>
        <v/>
      </c>
      <c r="H3098" s="0" t="str">
        <f aca="false">IF($C3098="","",IF(COUNTIF('مواد المخزون'!$A$2:$A$86,$C3098)&gt;0,"نعم","لا (خارج الجرد)"))</f>
        <v/>
      </c>
    </row>
    <row r="3099" customFormat="false" ht="15" hidden="false" customHeight="false" outlineLevel="0" collapsed="false">
      <c r="A3099" s="102"/>
      <c r="B3099" s="104"/>
      <c r="C3099" s="104"/>
      <c r="F3099" s="103" t="str">
        <f aca="false">IF(OR($C3099="",$D3099=0),"",$E3099/$D3099)</f>
        <v/>
      </c>
      <c r="H3099" s="0" t="str">
        <f aca="false">IF($C3099="","",IF(COUNTIF('مواد المخزون'!$A$2:$A$86,$C3099)&gt;0,"نعم","لا (خارج الجرد)"))</f>
        <v/>
      </c>
    </row>
    <row r="3100" customFormat="false" ht="15" hidden="false" customHeight="false" outlineLevel="0" collapsed="false">
      <c r="A3100" s="102"/>
      <c r="B3100" s="104"/>
      <c r="C3100" s="104"/>
      <c r="F3100" s="103" t="str">
        <f aca="false">IF(OR($C3100="",$D3100=0),"",$E3100/$D3100)</f>
        <v/>
      </c>
      <c r="H3100" s="0" t="str">
        <f aca="false">IF($C3100="","",IF(COUNTIF('مواد المخزون'!$A$2:$A$86,$C3100)&gt;0,"نعم","لا (خارج الجرد)"))</f>
        <v/>
      </c>
    </row>
    <row r="3101" customFormat="false" ht="15" hidden="false" customHeight="false" outlineLevel="0" collapsed="false">
      <c r="A3101" s="102"/>
      <c r="B3101" s="104"/>
      <c r="C3101" s="104"/>
      <c r="F3101" s="103" t="str">
        <f aca="false">IF(OR($C3101="",$D3101=0),"",$E3101/$D3101)</f>
        <v/>
      </c>
      <c r="H3101" s="0" t="str">
        <f aca="false">IF($C3101="","",IF(COUNTIF('مواد المخزون'!$A$2:$A$86,$C3101)&gt;0,"نعم","لا (خارج الجرد)"))</f>
        <v/>
      </c>
    </row>
    <row r="3102" customFormat="false" ht="15" hidden="false" customHeight="false" outlineLevel="0" collapsed="false">
      <c r="A3102" s="102"/>
      <c r="B3102" s="104"/>
      <c r="C3102" s="104"/>
      <c r="F3102" s="103" t="str">
        <f aca="false">IF(OR($C3102="",$D3102=0),"",$E3102/$D3102)</f>
        <v/>
      </c>
      <c r="H3102" s="0" t="str">
        <f aca="false">IF($C3102="","",IF(COUNTIF('مواد المخزون'!$A$2:$A$86,$C3102)&gt;0,"نعم","لا (خارج الجرد)"))</f>
        <v/>
      </c>
    </row>
    <row r="3103" customFormat="false" ht="15" hidden="false" customHeight="false" outlineLevel="0" collapsed="false">
      <c r="A3103" s="102"/>
      <c r="B3103" s="104"/>
      <c r="C3103" s="104"/>
      <c r="F3103" s="103" t="str">
        <f aca="false">IF(OR($C3103="",$D3103=0),"",$E3103/$D3103)</f>
        <v/>
      </c>
      <c r="H3103" s="0" t="str">
        <f aca="false">IF($C3103="","",IF(COUNTIF('مواد المخزون'!$A$2:$A$86,$C3103)&gt;0,"نعم","لا (خارج الجرد)"))</f>
        <v/>
      </c>
    </row>
    <row r="3104" customFormat="false" ht="15" hidden="false" customHeight="false" outlineLevel="0" collapsed="false">
      <c r="A3104" s="102"/>
      <c r="B3104" s="104"/>
      <c r="C3104" s="104"/>
      <c r="F3104" s="103" t="str">
        <f aca="false">IF(OR($C3104="",$D3104=0),"",$E3104/$D3104)</f>
        <v/>
      </c>
      <c r="H3104" s="0" t="str">
        <f aca="false">IF($C3104="","",IF(COUNTIF('مواد المخزون'!$A$2:$A$86,$C3104)&gt;0,"نعم","لا (خارج الجرد)"))</f>
        <v/>
      </c>
    </row>
    <row r="3105" customFormat="false" ht="15" hidden="false" customHeight="false" outlineLevel="0" collapsed="false">
      <c r="A3105" s="102"/>
      <c r="B3105" s="104"/>
      <c r="C3105" s="104"/>
      <c r="F3105" s="103" t="str">
        <f aca="false">IF(OR($C3105="",$D3105=0),"",$E3105/$D3105)</f>
        <v/>
      </c>
      <c r="H3105" s="0" t="str">
        <f aca="false">IF($C3105="","",IF(COUNTIF('مواد المخزون'!$A$2:$A$86,$C3105)&gt;0,"نعم","لا (خارج الجرد)"))</f>
        <v/>
      </c>
    </row>
    <row r="3106" customFormat="false" ht="15" hidden="false" customHeight="false" outlineLevel="0" collapsed="false">
      <c r="A3106" s="102"/>
      <c r="B3106" s="104"/>
      <c r="C3106" s="104"/>
      <c r="F3106" s="103" t="str">
        <f aca="false">IF(OR($C3106="",$D3106=0),"",$E3106/$D3106)</f>
        <v/>
      </c>
      <c r="H3106" s="0" t="str">
        <f aca="false">IF($C3106="","",IF(COUNTIF('مواد المخزون'!$A$2:$A$86,$C3106)&gt;0,"نعم","لا (خارج الجرد)"))</f>
        <v/>
      </c>
    </row>
    <row r="3107" customFormat="false" ht="15" hidden="false" customHeight="false" outlineLevel="0" collapsed="false">
      <c r="A3107" s="102"/>
      <c r="B3107" s="104"/>
      <c r="C3107" s="104"/>
      <c r="F3107" s="103" t="str">
        <f aca="false">IF(OR($C3107="",$D3107=0),"",$E3107/$D3107)</f>
        <v/>
      </c>
      <c r="H3107" s="0" t="str">
        <f aca="false">IF($C3107="","",IF(COUNTIF('مواد المخزون'!$A$2:$A$86,$C3107)&gt;0,"نعم","لا (خارج الجرد)"))</f>
        <v/>
      </c>
    </row>
    <row r="3108" customFormat="false" ht="15" hidden="false" customHeight="false" outlineLevel="0" collapsed="false">
      <c r="A3108" s="102"/>
      <c r="B3108" s="104"/>
      <c r="C3108" s="104"/>
      <c r="F3108" s="103" t="str">
        <f aca="false">IF(OR($C3108="",$D3108=0),"",$E3108/$D3108)</f>
        <v/>
      </c>
      <c r="H3108" s="0" t="str">
        <f aca="false">IF($C3108="","",IF(COUNTIF('مواد المخزون'!$A$2:$A$86,$C3108)&gt;0,"نعم","لا (خارج الجرد)"))</f>
        <v/>
      </c>
    </row>
    <row r="3109" customFormat="false" ht="15" hidden="false" customHeight="false" outlineLevel="0" collapsed="false">
      <c r="A3109" s="102"/>
      <c r="B3109" s="104"/>
      <c r="C3109" s="104"/>
      <c r="F3109" s="103" t="str">
        <f aca="false">IF(OR($C3109="",$D3109=0),"",$E3109/$D3109)</f>
        <v/>
      </c>
      <c r="H3109" s="0" t="str">
        <f aca="false">IF($C3109="","",IF(COUNTIF('مواد المخزون'!$A$2:$A$86,$C3109)&gt;0,"نعم","لا (خارج الجرد)"))</f>
        <v/>
      </c>
    </row>
    <row r="3110" customFormat="false" ht="15" hidden="false" customHeight="false" outlineLevel="0" collapsed="false">
      <c r="A3110" s="102"/>
      <c r="B3110" s="104"/>
      <c r="C3110" s="104"/>
      <c r="F3110" s="103" t="str">
        <f aca="false">IF(OR($C3110="",$D3110=0),"",$E3110/$D3110)</f>
        <v/>
      </c>
      <c r="H3110" s="0" t="str">
        <f aca="false">IF($C3110="","",IF(COUNTIF('مواد المخزون'!$A$2:$A$86,$C3110)&gt;0,"نعم","لا (خارج الجرد)"))</f>
        <v/>
      </c>
    </row>
    <row r="3111" customFormat="false" ht="15" hidden="false" customHeight="false" outlineLevel="0" collapsed="false">
      <c r="A3111" s="102"/>
      <c r="B3111" s="104"/>
      <c r="C3111" s="104"/>
      <c r="F3111" s="103" t="str">
        <f aca="false">IF(OR($C3111="",$D3111=0),"",$E3111/$D3111)</f>
        <v/>
      </c>
      <c r="H3111" s="0" t="str">
        <f aca="false">IF($C3111="","",IF(COUNTIF('مواد المخزون'!$A$2:$A$86,$C3111)&gt;0,"نعم","لا (خارج الجرد)"))</f>
        <v/>
      </c>
    </row>
    <row r="3112" customFormat="false" ht="15" hidden="false" customHeight="false" outlineLevel="0" collapsed="false">
      <c r="A3112" s="102"/>
      <c r="B3112" s="104"/>
      <c r="C3112" s="104"/>
      <c r="F3112" s="103" t="str">
        <f aca="false">IF(OR($C3112="",$D3112=0),"",$E3112/$D3112)</f>
        <v/>
      </c>
      <c r="H3112" s="0" t="str">
        <f aca="false">IF($C3112="","",IF(COUNTIF('مواد المخزون'!$A$2:$A$86,$C3112)&gt;0,"نعم","لا (خارج الجرد)"))</f>
        <v/>
      </c>
    </row>
    <row r="3113" customFormat="false" ht="15" hidden="false" customHeight="false" outlineLevel="0" collapsed="false">
      <c r="A3113" s="102"/>
      <c r="B3113" s="104"/>
      <c r="C3113" s="104"/>
      <c r="F3113" s="103" t="str">
        <f aca="false">IF(OR($C3113="",$D3113=0),"",$E3113/$D3113)</f>
        <v/>
      </c>
      <c r="H3113" s="0" t="str">
        <f aca="false">IF($C3113="","",IF(COUNTIF('مواد المخزون'!$A$2:$A$86,$C3113)&gt;0,"نعم","لا (خارج الجرد)"))</f>
        <v/>
      </c>
    </row>
    <row r="3114" customFormat="false" ht="15" hidden="false" customHeight="false" outlineLevel="0" collapsed="false">
      <c r="A3114" s="102"/>
      <c r="B3114" s="104"/>
      <c r="C3114" s="104"/>
      <c r="F3114" s="103" t="str">
        <f aca="false">IF(OR($C3114="",$D3114=0),"",$E3114/$D3114)</f>
        <v/>
      </c>
      <c r="H3114" s="0" t="str">
        <f aca="false">IF($C3114="","",IF(COUNTIF('مواد المخزون'!$A$2:$A$86,$C3114)&gt;0,"نعم","لا (خارج الجرد)"))</f>
        <v/>
      </c>
    </row>
    <row r="3115" customFormat="false" ht="15" hidden="false" customHeight="false" outlineLevel="0" collapsed="false">
      <c r="A3115" s="102"/>
      <c r="B3115" s="104"/>
      <c r="C3115" s="104"/>
      <c r="F3115" s="103" t="str">
        <f aca="false">IF(OR($C3115="",$D3115=0),"",$E3115/$D3115)</f>
        <v/>
      </c>
      <c r="H3115" s="0" t="str">
        <f aca="false">IF($C3115="","",IF(COUNTIF('مواد المخزون'!$A$2:$A$86,$C3115)&gt;0,"نعم","لا (خارج الجرد)"))</f>
        <v/>
      </c>
    </row>
    <row r="3116" customFormat="false" ht="15" hidden="false" customHeight="false" outlineLevel="0" collapsed="false">
      <c r="A3116" s="102"/>
      <c r="B3116" s="104"/>
      <c r="C3116" s="104"/>
      <c r="F3116" s="103" t="str">
        <f aca="false">IF(OR($C3116="",$D3116=0),"",$E3116/$D3116)</f>
        <v/>
      </c>
      <c r="H3116" s="0" t="str">
        <f aca="false">IF($C3116="","",IF(COUNTIF('مواد المخزون'!$A$2:$A$86,$C3116)&gt;0,"نعم","لا (خارج الجرد)"))</f>
        <v/>
      </c>
    </row>
    <row r="3117" customFormat="false" ht="15" hidden="false" customHeight="false" outlineLevel="0" collapsed="false">
      <c r="A3117" s="102"/>
      <c r="B3117" s="104"/>
      <c r="C3117" s="104"/>
      <c r="F3117" s="103" t="str">
        <f aca="false">IF(OR($C3117="",$D3117=0),"",$E3117/$D3117)</f>
        <v/>
      </c>
      <c r="H3117" s="0" t="str">
        <f aca="false">IF($C3117="","",IF(COUNTIF('مواد المخزون'!$A$2:$A$86,$C3117)&gt;0,"نعم","لا (خارج الجرد)"))</f>
        <v/>
      </c>
    </row>
    <row r="3118" customFormat="false" ht="15" hidden="false" customHeight="false" outlineLevel="0" collapsed="false">
      <c r="A3118" s="102"/>
      <c r="B3118" s="104"/>
      <c r="C3118" s="104"/>
      <c r="F3118" s="103" t="str">
        <f aca="false">IF(OR($C3118="",$D3118=0),"",$E3118/$D3118)</f>
        <v/>
      </c>
      <c r="H3118" s="0" t="str">
        <f aca="false">IF($C3118="","",IF(COUNTIF('مواد المخزون'!$A$2:$A$86,$C3118)&gt;0,"نعم","لا (خارج الجرد)"))</f>
        <v/>
      </c>
    </row>
    <row r="3119" customFormat="false" ht="15" hidden="false" customHeight="false" outlineLevel="0" collapsed="false">
      <c r="A3119" s="102"/>
      <c r="B3119" s="104"/>
      <c r="C3119" s="104"/>
      <c r="F3119" s="103" t="str">
        <f aca="false">IF(OR($C3119="",$D3119=0),"",$E3119/$D3119)</f>
        <v/>
      </c>
      <c r="H3119" s="0" t="str">
        <f aca="false">IF($C3119="","",IF(COUNTIF('مواد المخزون'!$A$2:$A$86,$C3119)&gt;0,"نعم","لا (خارج الجرد)"))</f>
        <v/>
      </c>
    </row>
    <row r="3120" customFormat="false" ht="15" hidden="false" customHeight="false" outlineLevel="0" collapsed="false">
      <c r="A3120" s="102"/>
      <c r="B3120" s="104"/>
      <c r="C3120" s="104"/>
      <c r="F3120" s="103" t="str">
        <f aca="false">IF(OR($C3120="",$D3120=0),"",$E3120/$D3120)</f>
        <v/>
      </c>
      <c r="H3120" s="0" t="str">
        <f aca="false">IF($C3120="","",IF(COUNTIF('مواد المخزون'!$A$2:$A$86,$C3120)&gt;0,"نعم","لا (خارج الجرد)"))</f>
        <v/>
      </c>
    </row>
    <row r="3121" customFormat="false" ht="15" hidden="false" customHeight="false" outlineLevel="0" collapsed="false">
      <c r="A3121" s="102"/>
      <c r="B3121" s="104"/>
      <c r="C3121" s="104"/>
      <c r="F3121" s="103" t="str">
        <f aca="false">IF(OR($C3121="",$D3121=0),"",$E3121/$D3121)</f>
        <v/>
      </c>
      <c r="H3121" s="0" t="str">
        <f aca="false">IF($C3121="","",IF(COUNTIF('مواد المخزون'!$A$2:$A$86,$C3121)&gt;0,"نعم","لا (خارج الجرد)"))</f>
        <v/>
      </c>
    </row>
    <row r="3122" customFormat="false" ht="15" hidden="false" customHeight="false" outlineLevel="0" collapsed="false">
      <c r="A3122" s="102"/>
      <c r="B3122" s="104"/>
      <c r="C3122" s="104"/>
      <c r="F3122" s="103" t="str">
        <f aca="false">IF(OR($C3122="",$D3122=0),"",$E3122/$D3122)</f>
        <v/>
      </c>
      <c r="H3122" s="0" t="str">
        <f aca="false">IF($C3122="","",IF(COUNTIF('مواد المخزون'!$A$2:$A$86,$C3122)&gt;0,"نعم","لا (خارج الجرد)"))</f>
        <v/>
      </c>
    </row>
    <row r="3123" customFormat="false" ht="15" hidden="false" customHeight="false" outlineLevel="0" collapsed="false">
      <c r="A3123" s="102"/>
      <c r="B3123" s="104"/>
      <c r="C3123" s="104"/>
      <c r="F3123" s="103" t="str">
        <f aca="false">IF(OR($C3123="",$D3123=0),"",$E3123/$D3123)</f>
        <v/>
      </c>
      <c r="H3123" s="0" t="str">
        <f aca="false">IF($C3123="","",IF(COUNTIF('مواد المخزون'!$A$2:$A$86,$C3123)&gt;0,"نعم","لا (خارج الجرد)"))</f>
        <v/>
      </c>
    </row>
    <row r="3124" customFormat="false" ht="15" hidden="false" customHeight="false" outlineLevel="0" collapsed="false">
      <c r="A3124" s="102"/>
      <c r="B3124" s="104"/>
      <c r="C3124" s="104"/>
      <c r="F3124" s="103" t="str">
        <f aca="false">IF(OR($C3124="",$D3124=0),"",$E3124/$D3124)</f>
        <v/>
      </c>
      <c r="H3124" s="0" t="str">
        <f aca="false">IF($C3124="","",IF(COUNTIF('مواد المخزون'!$A$2:$A$86,$C3124)&gt;0,"نعم","لا (خارج الجرد)"))</f>
        <v/>
      </c>
    </row>
    <row r="3125" customFormat="false" ht="15" hidden="false" customHeight="false" outlineLevel="0" collapsed="false">
      <c r="A3125" s="102"/>
      <c r="B3125" s="104"/>
      <c r="C3125" s="104"/>
      <c r="F3125" s="103" t="str">
        <f aca="false">IF(OR($C3125="",$D3125=0),"",$E3125/$D3125)</f>
        <v/>
      </c>
      <c r="H3125" s="0" t="str">
        <f aca="false">IF($C3125="","",IF(COUNTIF('مواد المخزون'!$A$2:$A$86,$C3125)&gt;0,"نعم","لا (خارج الجرد)"))</f>
        <v/>
      </c>
    </row>
    <row r="3126" customFormat="false" ht="15" hidden="false" customHeight="false" outlineLevel="0" collapsed="false">
      <c r="A3126" s="102"/>
      <c r="B3126" s="104"/>
      <c r="C3126" s="104"/>
      <c r="F3126" s="103" t="str">
        <f aca="false">IF(OR($C3126="",$D3126=0),"",$E3126/$D3126)</f>
        <v/>
      </c>
      <c r="H3126" s="0" t="str">
        <f aca="false">IF($C3126="","",IF(COUNTIF('مواد المخزون'!$A$2:$A$86,$C3126)&gt;0,"نعم","لا (خارج الجرد)"))</f>
        <v/>
      </c>
    </row>
    <row r="3127" customFormat="false" ht="15" hidden="false" customHeight="false" outlineLevel="0" collapsed="false">
      <c r="A3127" s="102"/>
      <c r="B3127" s="104"/>
      <c r="C3127" s="104"/>
      <c r="F3127" s="103" t="str">
        <f aca="false">IF(OR($C3127="",$D3127=0),"",$E3127/$D3127)</f>
        <v/>
      </c>
      <c r="H3127" s="0" t="str">
        <f aca="false">IF($C3127="","",IF(COUNTIF('مواد المخزون'!$A$2:$A$86,$C3127)&gt;0,"نعم","لا (خارج الجرد)"))</f>
        <v/>
      </c>
    </row>
    <row r="3128" customFormat="false" ht="15" hidden="false" customHeight="false" outlineLevel="0" collapsed="false">
      <c r="A3128" s="102"/>
      <c r="B3128" s="104"/>
      <c r="C3128" s="104"/>
      <c r="F3128" s="103" t="str">
        <f aca="false">IF(OR($C3128="",$D3128=0),"",$E3128/$D3128)</f>
        <v/>
      </c>
      <c r="H3128" s="0" t="str">
        <f aca="false">IF($C3128="","",IF(COUNTIF('مواد المخزون'!$A$2:$A$86,$C3128)&gt;0,"نعم","لا (خارج الجرد)"))</f>
        <v/>
      </c>
    </row>
    <row r="3129" customFormat="false" ht="15" hidden="false" customHeight="false" outlineLevel="0" collapsed="false">
      <c r="A3129" s="102"/>
      <c r="B3129" s="104"/>
      <c r="C3129" s="104"/>
      <c r="F3129" s="103" t="str">
        <f aca="false">IF(OR($C3129="",$D3129=0),"",$E3129/$D3129)</f>
        <v/>
      </c>
      <c r="H3129" s="0" t="str">
        <f aca="false">IF($C3129="","",IF(COUNTIF('مواد المخزون'!$A$2:$A$86,$C3129)&gt;0,"نعم","لا (خارج الجرد)"))</f>
        <v/>
      </c>
    </row>
    <row r="3130" customFormat="false" ht="15" hidden="false" customHeight="false" outlineLevel="0" collapsed="false">
      <c r="A3130" s="102"/>
      <c r="B3130" s="104"/>
      <c r="C3130" s="104"/>
      <c r="F3130" s="103" t="str">
        <f aca="false">IF(OR($C3130="",$D3130=0),"",$E3130/$D3130)</f>
        <v/>
      </c>
      <c r="H3130" s="0" t="str">
        <f aca="false">IF($C3130="","",IF(COUNTIF('مواد المخزون'!$A$2:$A$86,$C3130)&gt;0,"نعم","لا (خارج الجرد)"))</f>
        <v/>
      </c>
    </row>
    <row r="3131" customFormat="false" ht="15" hidden="false" customHeight="false" outlineLevel="0" collapsed="false">
      <c r="A3131" s="102"/>
      <c r="B3131" s="104"/>
      <c r="C3131" s="104"/>
      <c r="F3131" s="103" t="str">
        <f aca="false">IF(OR($C3131="",$D3131=0),"",$E3131/$D3131)</f>
        <v/>
      </c>
      <c r="H3131" s="0" t="str">
        <f aca="false">IF($C3131="","",IF(COUNTIF('مواد المخزون'!$A$2:$A$86,$C3131)&gt;0,"نعم","لا (خارج الجرد)"))</f>
        <v/>
      </c>
    </row>
    <row r="3132" customFormat="false" ht="15" hidden="false" customHeight="false" outlineLevel="0" collapsed="false">
      <c r="A3132" s="102"/>
      <c r="B3132" s="104"/>
      <c r="C3132" s="104"/>
      <c r="F3132" s="103" t="str">
        <f aca="false">IF(OR($C3132="",$D3132=0),"",$E3132/$D3132)</f>
        <v/>
      </c>
      <c r="H3132" s="0" t="str">
        <f aca="false">IF($C3132="","",IF(COUNTIF('مواد المخزون'!$A$2:$A$86,$C3132)&gt;0,"نعم","لا (خارج الجرد)"))</f>
        <v/>
      </c>
    </row>
    <row r="3133" customFormat="false" ht="15" hidden="false" customHeight="false" outlineLevel="0" collapsed="false">
      <c r="A3133" s="102"/>
      <c r="B3133" s="104"/>
      <c r="C3133" s="104"/>
      <c r="F3133" s="103" t="str">
        <f aca="false">IF(OR($C3133="",$D3133=0),"",$E3133/$D3133)</f>
        <v/>
      </c>
      <c r="H3133" s="0" t="str">
        <f aca="false">IF($C3133="","",IF(COUNTIF('مواد المخزون'!$A$2:$A$86,$C3133)&gt;0,"نعم","لا (خارج الجرد)"))</f>
        <v/>
      </c>
    </row>
    <row r="3134" customFormat="false" ht="15" hidden="false" customHeight="false" outlineLevel="0" collapsed="false">
      <c r="A3134" s="102"/>
      <c r="B3134" s="104"/>
      <c r="C3134" s="104"/>
      <c r="F3134" s="103" t="str">
        <f aca="false">IF(OR($C3134="",$D3134=0),"",$E3134/$D3134)</f>
        <v/>
      </c>
      <c r="H3134" s="0" t="str">
        <f aca="false">IF($C3134="","",IF(COUNTIF('مواد المخزون'!$A$2:$A$86,$C3134)&gt;0,"نعم","لا (خارج الجرد)"))</f>
        <v/>
      </c>
    </row>
    <row r="3135" customFormat="false" ht="15" hidden="false" customHeight="false" outlineLevel="0" collapsed="false">
      <c r="A3135" s="102"/>
      <c r="B3135" s="104"/>
      <c r="C3135" s="104"/>
      <c r="F3135" s="103" t="str">
        <f aca="false">IF(OR($C3135="",$D3135=0),"",$E3135/$D3135)</f>
        <v/>
      </c>
      <c r="H3135" s="0" t="str">
        <f aca="false">IF($C3135="","",IF(COUNTIF('مواد المخزون'!$A$2:$A$86,$C3135)&gt;0,"نعم","لا (خارج الجرد)"))</f>
        <v/>
      </c>
    </row>
    <row r="3136" customFormat="false" ht="15" hidden="false" customHeight="false" outlineLevel="0" collapsed="false">
      <c r="A3136" s="102"/>
      <c r="B3136" s="104"/>
      <c r="C3136" s="104"/>
      <c r="F3136" s="103" t="str">
        <f aca="false">IF(OR($C3136="",$D3136=0),"",$E3136/$D3136)</f>
        <v/>
      </c>
      <c r="H3136" s="0" t="str">
        <f aca="false">IF($C3136="","",IF(COUNTIF('مواد المخزون'!$A$2:$A$86,$C3136)&gt;0,"نعم","لا (خارج الجرد)"))</f>
        <v/>
      </c>
    </row>
    <row r="3137" customFormat="false" ht="15" hidden="false" customHeight="false" outlineLevel="0" collapsed="false">
      <c r="A3137" s="102"/>
      <c r="B3137" s="104"/>
      <c r="C3137" s="104"/>
      <c r="F3137" s="103" t="str">
        <f aca="false">IF(OR($C3137="",$D3137=0),"",$E3137/$D3137)</f>
        <v/>
      </c>
      <c r="H3137" s="0" t="str">
        <f aca="false">IF($C3137="","",IF(COUNTIF('مواد المخزون'!$A$2:$A$86,$C3137)&gt;0,"نعم","لا (خارج الجرد)"))</f>
        <v/>
      </c>
    </row>
    <row r="3138" customFormat="false" ht="15" hidden="false" customHeight="false" outlineLevel="0" collapsed="false">
      <c r="A3138" s="102"/>
      <c r="B3138" s="104"/>
      <c r="C3138" s="104"/>
      <c r="F3138" s="103" t="str">
        <f aca="false">IF(OR($C3138="",$D3138=0),"",$E3138/$D3138)</f>
        <v/>
      </c>
      <c r="H3138" s="0" t="str">
        <f aca="false">IF($C3138="","",IF(COUNTIF('مواد المخزون'!$A$2:$A$86,$C3138)&gt;0,"نعم","لا (خارج الجرد)"))</f>
        <v/>
      </c>
    </row>
    <row r="3139" customFormat="false" ht="15" hidden="false" customHeight="false" outlineLevel="0" collapsed="false">
      <c r="A3139" s="102"/>
      <c r="B3139" s="104"/>
      <c r="C3139" s="104"/>
      <c r="F3139" s="103" t="str">
        <f aca="false">IF(OR($C3139="",$D3139=0),"",$E3139/$D3139)</f>
        <v/>
      </c>
      <c r="H3139" s="0" t="str">
        <f aca="false">IF($C3139="","",IF(COUNTIF('مواد المخزون'!$A$2:$A$86,$C3139)&gt;0,"نعم","لا (خارج الجرد)"))</f>
        <v/>
      </c>
    </row>
    <row r="3140" customFormat="false" ht="15" hidden="false" customHeight="false" outlineLevel="0" collapsed="false">
      <c r="A3140" s="102"/>
      <c r="B3140" s="104"/>
      <c r="C3140" s="104"/>
      <c r="F3140" s="103" t="str">
        <f aca="false">IF(OR($C3140="",$D3140=0),"",$E3140/$D3140)</f>
        <v/>
      </c>
      <c r="H3140" s="0" t="str">
        <f aca="false">IF($C3140="","",IF(COUNTIF('مواد المخزون'!$A$2:$A$86,$C3140)&gt;0,"نعم","لا (خارج الجرد)"))</f>
        <v/>
      </c>
    </row>
    <row r="3141" customFormat="false" ht="15" hidden="false" customHeight="false" outlineLevel="0" collapsed="false">
      <c r="A3141" s="102"/>
      <c r="B3141" s="104"/>
      <c r="C3141" s="104"/>
      <c r="F3141" s="103" t="str">
        <f aca="false">IF(OR($C3141="",$D3141=0),"",$E3141/$D3141)</f>
        <v/>
      </c>
      <c r="H3141" s="0" t="str">
        <f aca="false">IF($C3141="","",IF(COUNTIF('مواد المخزون'!$A$2:$A$86,$C3141)&gt;0,"نعم","لا (خارج الجرد)"))</f>
        <v/>
      </c>
    </row>
    <row r="3142" customFormat="false" ht="15" hidden="false" customHeight="false" outlineLevel="0" collapsed="false">
      <c r="A3142" s="102"/>
      <c r="B3142" s="104"/>
      <c r="C3142" s="104"/>
      <c r="F3142" s="103" t="str">
        <f aca="false">IF(OR($C3142="",$D3142=0),"",$E3142/$D3142)</f>
        <v/>
      </c>
      <c r="H3142" s="0" t="str">
        <f aca="false">IF($C3142="","",IF(COUNTIF('مواد المخزون'!$A$2:$A$86,$C3142)&gt;0,"نعم","لا (خارج الجرد)"))</f>
        <v/>
      </c>
    </row>
    <row r="3143" customFormat="false" ht="15" hidden="false" customHeight="false" outlineLevel="0" collapsed="false">
      <c r="A3143" s="102"/>
      <c r="B3143" s="104"/>
      <c r="C3143" s="104"/>
      <c r="F3143" s="103" t="str">
        <f aca="false">IF(OR($C3143="",$D3143=0),"",$E3143/$D3143)</f>
        <v/>
      </c>
      <c r="H3143" s="0" t="str">
        <f aca="false">IF($C3143="","",IF(COUNTIF('مواد المخزون'!$A$2:$A$86,$C3143)&gt;0,"نعم","لا (خارج الجرد)"))</f>
        <v/>
      </c>
    </row>
    <row r="3144" customFormat="false" ht="15" hidden="false" customHeight="false" outlineLevel="0" collapsed="false">
      <c r="A3144" s="102"/>
      <c r="B3144" s="104"/>
      <c r="C3144" s="104"/>
      <c r="F3144" s="103" t="str">
        <f aca="false">IF(OR($C3144="",$D3144=0),"",$E3144/$D3144)</f>
        <v/>
      </c>
      <c r="H3144" s="0" t="str">
        <f aca="false">IF($C3144="","",IF(COUNTIF('مواد المخزون'!$A$2:$A$86,$C3144)&gt;0,"نعم","لا (خارج الجرد)"))</f>
        <v/>
      </c>
    </row>
    <row r="3145" customFormat="false" ht="15" hidden="false" customHeight="false" outlineLevel="0" collapsed="false">
      <c r="A3145" s="102"/>
      <c r="B3145" s="104"/>
      <c r="C3145" s="104"/>
      <c r="F3145" s="103" t="str">
        <f aca="false">IF(OR($C3145="",$D3145=0),"",$E3145/$D3145)</f>
        <v/>
      </c>
      <c r="H3145" s="0" t="str">
        <f aca="false">IF($C3145="","",IF(COUNTIF('مواد المخزون'!$A$2:$A$86,$C3145)&gt;0,"نعم","لا (خارج الجرد)"))</f>
        <v/>
      </c>
    </row>
    <row r="3146" customFormat="false" ht="15" hidden="false" customHeight="false" outlineLevel="0" collapsed="false">
      <c r="A3146" s="102"/>
      <c r="B3146" s="104"/>
      <c r="C3146" s="104"/>
      <c r="F3146" s="103" t="str">
        <f aca="false">IF(OR($C3146="",$D3146=0),"",$E3146/$D3146)</f>
        <v/>
      </c>
      <c r="H3146" s="0" t="str">
        <f aca="false">IF($C3146="","",IF(COUNTIF('مواد المخزون'!$A$2:$A$86,$C3146)&gt;0,"نعم","لا (خارج الجرد)"))</f>
        <v/>
      </c>
    </row>
    <row r="3147" customFormat="false" ht="15" hidden="false" customHeight="false" outlineLevel="0" collapsed="false">
      <c r="A3147" s="102"/>
      <c r="B3147" s="104"/>
      <c r="C3147" s="104"/>
      <c r="F3147" s="103" t="str">
        <f aca="false">IF(OR($C3147="",$D3147=0),"",$E3147/$D3147)</f>
        <v/>
      </c>
      <c r="H3147" s="0" t="str">
        <f aca="false">IF($C3147="","",IF(COUNTIF('مواد المخزون'!$A$2:$A$86,$C3147)&gt;0,"نعم","لا (خارج الجرد)"))</f>
        <v/>
      </c>
    </row>
    <row r="3148" customFormat="false" ht="15" hidden="false" customHeight="false" outlineLevel="0" collapsed="false">
      <c r="A3148" s="102"/>
      <c r="B3148" s="104"/>
      <c r="C3148" s="104"/>
      <c r="F3148" s="103" t="str">
        <f aca="false">IF(OR($C3148="",$D3148=0),"",$E3148/$D3148)</f>
        <v/>
      </c>
      <c r="H3148" s="0" t="str">
        <f aca="false">IF($C3148="","",IF(COUNTIF('مواد المخزون'!$A$2:$A$86,$C3148)&gt;0,"نعم","لا (خارج الجرد)"))</f>
        <v/>
      </c>
    </row>
    <row r="3149" customFormat="false" ht="15" hidden="false" customHeight="false" outlineLevel="0" collapsed="false">
      <c r="A3149" s="102"/>
      <c r="B3149" s="104"/>
      <c r="C3149" s="104"/>
      <c r="F3149" s="103" t="str">
        <f aca="false">IF(OR($C3149="",$D3149=0),"",$E3149/$D3149)</f>
        <v/>
      </c>
      <c r="H3149" s="0" t="str">
        <f aca="false">IF($C3149="","",IF(COUNTIF('مواد المخزون'!$A$2:$A$86,$C3149)&gt;0,"نعم","لا (خارج الجرد)"))</f>
        <v/>
      </c>
    </row>
    <row r="3150" customFormat="false" ht="15" hidden="false" customHeight="false" outlineLevel="0" collapsed="false">
      <c r="A3150" s="102"/>
      <c r="B3150" s="104"/>
      <c r="C3150" s="104"/>
      <c r="F3150" s="103" t="str">
        <f aca="false">IF(OR($C3150="",$D3150=0),"",$E3150/$D3150)</f>
        <v/>
      </c>
      <c r="H3150" s="0" t="str">
        <f aca="false">IF($C3150="","",IF(COUNTIF('مواد المخزون'!$A$2:$A$86,$C3150)&gt;0,"نعم","لا (خارج الجرد)"))</f>
        <v/>
      </c>
    </row>
    <row r="3151" customFormat="false" ht="15" hidden="false" customHeight="false" outlineLevel="0" collapsed="false">
      <c r="A3151" s="102"/>
      <c r="B3151" s="104"/>
      <c r="C3151" s="104"/>
      <c r="F3151" s="103" t="str">
        <f aca="false">IF(OR($C3151="",$D3151=0),"",$E3151/$D3151)</f>
        <v/>
      </c>
      <c r="H3151" s="0" t="str">
        <f aca="false">IF($C3151="","",IF(COUNTIF('مواد المخزون'!$A$2:$A$86,$C3151)&gt;0,"نعم","لا (خارج الجرد)"))</f>
        <v/>
      </c>
    </row>
    <row r="3152" customFormat="false" ht="15" hidden="false" customHeight="false" outlineLevel="0" collapsed="false">
      <c r="A3152" s="102"/>
      <c r="B3152" s="104"/>
      <c r="C3152" s="104"/>
      <c r="F3152" s="103" t="str">
        <f aca="false">IF(OR($C3152="",$D3152=0),"",$E3152/$D3152)</f>
        <v/>
      </c>
      <c r="H3152" s="0" t="str">
        <f aca="false">IF($C3152="","",IF(COUNTIF('مواد المخزون'!$A$2:$A$86,$C3152)&gt;0,"نعم","لا (خارج الجرد)"))</f>
        <v/>
      </c>
    </row>
    <row r="3153" customFormat="false" ht="15" hidden="false" customHeight="false" outlineLevel="0" collapsed="false">
      <c r="A3153" s="102"/>
      <c r="B3153" s="104"/>
      <c r="C3153" s="104"/>
      <c r="F3153" s="103" t="str">
        <f aca="false">IF(OR($C3153="",$D3153=0),"",$E3153/$D3153)</f>
        <v/>
      </c>
      <c r="H3153" s="0" t="str">
        <f aca="false">IF($C3153="","",IF(COUNTIF('مواد المخزون'!$A$2:$A$86,$C3153)&gt;0,"نعم","لا (خارج الجرد)"))</f>
        <v/>
      </c>
    </row>
    <row r="3154" customFormat="false" ht="15" hidden="false" customHeight="false" outlineLevel="0" collapsed="false">
      <c r="A3154" s="102"/>
      <c r="B3154" s="104"/>
      <c r="C3154" s="104"/>
      <c r="F3154" s="103" t="str">
        <f aca="false">IF(OR($C3154="",$D3154=0),"",$E3154/$D3154)</f>
        <v/>
      </c>
      <c r="H3154" s="0" t="str">
        <f aca="false">IF($C3154="","",IF(COUNTIF('مواد المخزون'!$A$2:$A$86,$C3154)&gt;0,"نعم","لا (خارج الجرد)"))</f>
        <v/>
      </c>
    </row>
    <row r="3155" customFormat="false" ht="15" hidden="false" customHeight="false" outlineLevel="0" collapsed="false">
      <c r="A3155" s="102"/>
      <c r="B3155" s="104"/>
      <c r="C3155" s="104"/>
      <c r="F3155" s="103" t="str">
        <f aca="false">IF(OR($C3155="",$D3155=0),"",$E3155/$D3155)</f>
        <v/>
      </c>
      <c r="H3155" s="0" t="str">
        <f aca="false">IF($C3155="","",IF(COUNTIF('مواد المخزون'!$A$2:$A$86,$C3155)&gt;0,"نعم","لا (خارج الجرد)"))</f>
        <v/>
      </c>
    </row>
    <row r="3156" customFormat="false" ht="15" hidden="false" customHeight="false" outlineLevel="0" collapsed="false">
      <c r="A3156" s="102"/>
      <c r="B3156" s="104"/>
      <c r="C3156" s="104"/>
      <c r="F3156" s="103" t="str">
        <f aca="false">IF(OR($C3156="",$D3156=0),"",$E3156/$D3156)</f>
        <v/>
      </c>
      <c r="H3156" s="0" t="str">
        <f aca="false">IF($C3156="","",IF(COUNTIF('مواد المخزون'!$A$2:$A$86,$C3156)&gt;0,"نعم","لا (خارج الجرد)"))</f>
        <v/>
      </c>
    </row>
    <row r="3157" customFormat="false" ht="15" hidden="false" customHeight="false" outlineLevel="0" collapsed="false">
      <c r="A3157" s="102"/>
      <c r="B3157" s="104"/>
      <c r="C3157" s="104"/>
      <c r="F3157" s="103" t="str">
        <f aca="false">IF(OR($C3157="",$D3157=0),"",$E3157/$D3157)</f>
        <v/>
      </c>
      <c r="H3157" s="0" t="str">
        <f aca="false">IF($C3157="","",IF(COUNTIF('مواد المخزون'!$A$2:$A$86,$C3157)&gt;0,"نعم","لا (خارج الجرد)"))</f>
        <v/>
      </c>
    </row>
    <row r="3158" customFormat="false" ht="15" hidden="false" customHeight="false" outlineLevel="0" collapsed="false">
      <c r="A3158" s="102"/>
      <c r="B3158" s="104"/>
      <c r="C3158" s="104"/>
      <c r="F3158" s="103" t="str">
        <f aca="false">IF(OR($C3158="",$D3158=0),"",$E3158/$D3158)</f>
        <v/>
      </c>
      <c r="H3158" s="0" t="str">
        <f aca="false">IF($C3158="","",IF(COUNTIF('مواد المخزون'!$A$2:$A$86,$C3158)&gt;0,"نعم","لا (خارج الجرد)"))</f>
        <v/>
      </c>
    </row>
    <row r="3159" customFormat="false" ht="15" hidden="false" customHeight="false" outlineLevel="0" collapsed="false">
      <c r="A3159" s="102"/>
      <c r="B3159" s="104"/>
      <c r="C3159" s="104"/>
      <c r="F3159" s="103" t="str">
        <f aca="false">IF(OR($C3159="",$D3159=0),"",$E3159/$D3159)</f>
        <v/>
      </c>
      <c r="H3159" s="0" t="str">
        <f aca="false">IF($C3159="","",IF(COUNTIF('مواد المخزون'!$A$2:$A$86,$C3159)&gt;0,"نعم","لا (خارج الجرد)"))</f>
        <v/>
      </c>
    </row>
    <row r="3160" customFormat="false" ht="15" hidden="false" customHeight="false" outlineLevel="0" collapsed="false">
      <c r="A3160" s="102"/>
      <c r="B3160" s="104"/>
      <c r="C3160" s="104"/>
      <c r="F3160" s="103" t="str">
        <f aca="false">IF(OR($C3160="",$D3160=0),"",$E3160/$D3160)</f>
        <v/>
      </c>
      <c r="H3160" s="0" t="str">
        <f aca="false">IF($C3160="","",IF(COUNTIF('مواد المخزون'!$A$2:$A$86,$C3160)&gt;0,"نعم","لا (خارج الجرد)"))</f>
        <v/>
      </c>
    </row>
    <row r="3161" customFormat="false" ht="15" hidden="false" customHeight="false" outlineLevel="0" collapsed="false">
      <c r="A3161" s="102"/>
      <c r="B3161" s="104"/>
      <c r="C3161" s="104"/>
      <c r="F3161" s="103" t="str">
        <f aca="false">IF(OR($C3161="",$D3161=0),"",$E3161/$D3161)</f>
        <v/>
      </c>
      <c r="H3161" s="0" t="str">
        <f aca="false">IF($C3161="","",IF(COUNTIF('مواد المخزون'!$A$2:$A$86,$C3161)&gt;0,"نعم","لا (خارج الجرد)"))</f>
        <v/>
      </c>
    </row>
    <row r="3162" customFormat="false" ht="15" hidden="false" customHeight="false" outlineLevel="0" collapsed="false">
      <c r="A3162" s="102"/>
      <c r="B3162" s="104"/>
      <c r="C3162" s="104"/>
      <c r="F3162" s="103" t="str">
        <f aca="false">IF(OR($C3162="",$D3162=0),"",$E3162/$D3162)</f>
        <v/>
      </c>
      <c r="H3162" s="0" t="str">
        <f aca="false">IF($C3162="","",IF(COUNTIF('مواد المخزون'!$A$2:$A$86,$C3162)&gt;0,"نعم","لا (خارج الجرد)"))</f>
        <v/>
      </c>
    </row>
    <row r="3163" customFormat="false" ht="15" hidden="false" customHeight="false" outlineLevel="0" collapsed="false">
      <c r="A3163" s="102"/>
      <c r="B3163" s="104"/>
      <c r="C3163" s="104"/>
      <c r="F3163" s="103" t="str">
        <f aca="false">IF(OR($C3163="",$D3163=0),"",$E3163/$D3163)</f>
        <v/>
      </c>
      <c r="H3163" s="0" t="str">
        <f aca="false">IF($C3163="","",IF(COUNTIF('مواد المخزون'!$A$2:$A$86,$C3163)&gt;0,"نعم","لا (خارج الجرد)"))</f>
        <v/>
      </c>
    </row>
    <row r="3164" customFormat="false" ht="15" hidden="false" customHeight="false" outlineLevel="0" collapsed="false">
      <c r="A3164" s="102"/>
      <c r="B3164" s="104"/>
      <c r="C3164" s="104"/>
      <c r="F3164" s="103" t="str">
        <f aca="false">IF(OR($C3164="",$D3164=0),"",$E3164/$D3164)</f>
        <v/>
      </c>
      <c r="H3164" s="0" t="str">
        <f aca="false">IF($C3164="","",IF(COUNTIF('مواد المخزون'!$A$2:$A$86,$C3164)&gt;0,"نعم","لا (خارج الجرد)"))</f>
        <v/>
      </c>
    </row>
    <row r="3165" customFormat="false" ht="15" hidden="false" customHeight="false" outlineLevel="0" collapsed="false">
      <c r="A3165" s="102"/>
      <c r="B3165" s="104"/>
      <c r="C3165" s="104"/>
      <c r="F3165" s="103" t="str">
        <f aca="false">IF(OR($C3165="",$D3165=0),"",$E3165/$D3165)</f>
        <v/>
      </c>
      <c r="H3165" s="0" t="str">
        <f aca="false">IF($C3165="","",IF(COUNTIF('مواد المخزون'!$A$2:$A$86,$C3165)&gt;0,"نعم","لا (خارج الجرد)"))</f>
        <v/>
      </c>
    </row>
    <row r="3166" customFormat="false" ht="15" hidden="false" customHeight="false" outlineLevel="0" collapsed="false">
      <c r="A3166" s="102"/>
      <c r="B3166" s="104"/>
      <c r="C3166" s="104"/>
      <c r="F3166" s="103" t="str">
        <f aca="false">IF(OR($C3166="",$D3166=0),"",$E3166/$D3166)</f>
        <v/>
      </c>
      <c r="H3166" s="0" t="str">
        <f aca="false">IF($C3166="","",IF(COUNTIF('مواد المخزون'!$A$2:$A$86,$C3166)&gt;0,"نعم","لا (خارج الجرد)"))</f>
        <v/>
      </c>
    </row>
    <row r="3167" customFormat="false" ht="15" hidden="false" customHeight="false" outlineLevel="0" collapsed="false">
      <c r="A3167" s="102"/>
      <c r="B3167" s="104"/>
      <c r="C3167" s="104"/>
      <c r="F3167" s="103" t="str">
        <f aca="false">IF(OR($C3167="",$D3167=0),"",$E3167/$D3167)</f>
        <v/>
      </c>
      <c r="H3167" s="0" t="str">
        <f aca="false">IF($C3167="","",IF(COUNTIF('مواد المخزون'!$A$2:$A$86,$C3167)&gt;0,"نعم","لا (خارج الجرد)"))</f>
        <v/>
      </c>
    </row>
    <row r="3168" customFormat="false" ht="15" hidden="false" customHeight="false" outlineLevel="0" collapsed="false">
      <c r="A3168" s="102"/>
      <c r="B3168" s="104"/>
      <c r="C3168" s="104"/>
      <c r="F3168" s="103" t="str">
        <f aca="false">IF(OR($C3168="",$D3168=0),"",$E3168/$D3168)</f>
        <v/>
      </c>
      <c r="H3168" s="0" t="str">
        <f aca="false">IF($C3168="","",IF(COUNTIF('مواد المخزون'!$A$2:$A$86,$C3168)&gt;0,"نعم","لا (خارج الجرد)"))</f>
        <v/>
      </c>
    </row>
    <row r="3169" customFormat="false" ht="15" hidden="false" customHeight="false" outlineLevel="0" collapsed="false">
      <c r="A3169" s="102"/>
      <c r="B3169" s="104"/>
      <c r="C3169" s="104"/>
      <c r="F3169" s="103" t="str">
        <f aca="false">IF(OR($C3169="",$D3169=0),"",$E3169/$D3169)</f>
        <v/>
      </c>
      <c r="H3169" s="0" t="str">
        <f aca="false">IF($C3169="","",IF(COUNTIF('مواد المخزون'!$A$2:$A$86,$C3169)&gt;0,"نعم","لا (خارج الجرد)"))</f>
        <v/>
      </c>
    </row>
    <row r="3170" customFormat="false" ht="15" hidden="false" customHeight="false" outlineLevel="0" collapsed="false">
      <c r="A3170" s="102"/>
      <c r="B3170" s="104"/>
      <c r="C3170" s="104"/>
      <c r="F3170" s="103" t="str">
        <f aca="false">IF(OR($C3170="",$D3170=0),"",$E3170/$D3170)</f>
        <v/>
      </c>
      <c r="H3170" s="0" t="str">
        <f aca="false">IF($C3170="","",IF(COUNTIF('مواد المخزون'!$A$2:$A$86,$C3170)&gt;0,"نعم","لا (خارج الجرد)"))</f>
        <v/>
      </c>
    </row>
    <row r="3171" customFormat="false" ht="15" hidden="false" customHeight="false" outlineLevel="0" collapsed="false">
      <c r="A3171" s="102"/>
      <c r="B3171" s="104"/>
      <c r="C3171" s="104"/>
      <c r="F3171" s="103" t="str">
        <f aca="false">IF(OR($C3171="",$D3171=0),"",$E3171/$D3171)</f>
        <v/>
      </c>
      <c r="H3171" s="0" t="str">
        <f aca="false">IF($C3171="","",IF(COUNTIF('مواد المخزون'!$A$2:$A$86,$C3171)&gt;0,"نعم","لا (خارج الجرد)"))</f>
        <v/>
      </c>
    </row>
    <row r="3172" customFormat="false" ht="15" hidden="false" customHeight="false" outlineLevel="0" collapsed="false">
      <c r="A3172" s="102"/>
      <c r="B3172" s="104"/>
      <c r="C3172" s="104"/>
      <c r="F3172" s="103" t="str">
        <f aca="false">IF(OR($C3172="",$D3172=0),"",$E3172/$D3172)</f>
        <v/>
      </c>
      <c r="H3172" s="0" t="str">
        <f aca="false">IF($C3172="","",IF(COUNTIF('مواد المخزون'!$A$2:$A$86,$C3172)&gt;0,"نعم","لا (خارج الجرد)"))</f>
        <v/>
      </c>
    </row>
    <row r="3173" customFormat="false" ht="15" hidden="false" customHeight="false" outlineLevel="0" collapsed="false">
      <c r="A3173" s="102"/>
      <c r="B3173" s="104"/>
      <c r="C3173" s="104"/>
      <c r="F3173" s="103" t="str">
        <f aca="false">IF(OR($C3173="",$D3173=0),"",$E3173/$D3173)</f>
        <v/>
      </c>
      <c r="H3173" s="0" t="str">
        <f aca="false">IF($C3173="","",IF(COUNTIF('مواد المخزون'!$A$2:$A$86,$C3173)&gt;0,"نعم","لا (خارج الجرد)"))</f>
        <v/>
      </c>
    </row>
    <row r="3174" customFormat="false" ht="15" hidden="false" customHeight="false" outlineLevel="0" collapsed="false">
      <c r="A3174" s="102"/>
      <c r="B3174" s="104"/>
      <c r="C3174" s="104"/>
      <c r="F3174" s="103" t="str">
        <f aca="false">IF(OR($C3174="",$D3174=0),"",$E3174/$D3174)</f>
        <v/>
      </c>
      <c r="H3174" s="0" t="str">
        <f aca="false">IF($C3174="","",IF(COUNTIF('مواد المخزون'!$A$2:$A$86,$C3174)&gt;0,"نعم","لا (خارج الجرد)"))</f>
        <v/>
      </c>
    </row>
    <row r="3175" customFormat="false" ht="15" hidden="false" customHeight="false" outlineLevel="0" collapsed="false">
      <c r="A3175" s="102"/>
      <c r="B3175" s="104"/>
      <c r="C3175" s="104"/>
      <c r="F3175" s="103" t="str">
        <f aca="false">IF(OR($C3175="",$D3175=0),"",$E3175/$D3175)</f>
        <v/>
      </c>
      <c r="H3175" s="0" t="str">
        <f aca="false">IF($C3175="","",IF(COUNTIF('مواد المخزون'!$A$2:$A$86,$C3175)&gt;0,"نعم","لا (خارج الجرد)"))</f>
        <v/>
      </c>
    </row>
    <row r="3176" customFormat="false" ht="15" hidden="false" customHeight="false" outlineLevel="0" collapsed="false">
      <c r="A3176" s="102"/>
      <c r="B3176" s="104"/>
      <c r="C3176" s="104"/>
      <c r="F3176" s="103" t="str">
        <f aca="false">IF(OR($C3176="",$D3176=0),"",$E3176/$D3176)</f>
        <v/>
      </c>
      <c r="H3176" s="0" t="str">
        <f aca="false">IF($C3176="","",IF(COUNTIF('مواد المخزون'!$A$2:$A$86,$C3176)&gt;0,"نعم","لا (خارج الجرد)"))</f>
        <v/>
      </c>
    </row>
    <row r="3177" customFormat="false" ht="15" hidden="false" customHeight="false" outlineLevel="0" collapsed="false">
      <c r="A3177" s="102"/>
      <c r="B3177" s="104"/>
      <c r="C3177" s="104"/>
      <c r="F3177" s="103" t="str">
        <f aca="false">IF(OR($C3177="",$D3177=0),"",$E3177/$D3177)</f>
        <v/>
      </c>
      <c r="H3177" s="0" t="str">
        <f aca="false">IF($C3177="","",IF(COUNTIF('مواد المخزون'!$A$2:$A$86,$C3177)&gt;0,"نعم","لا (خارج الجرد)"))</f>
        <v/>
      </c>
    </row>
    <row r="3178" customFormat="false" ht="15" hidden="false" customHeight="false" outlineLevel="0" collapsed="false">
      <c r="A3178" s="102"/>
      <c r="B3178" s="104"/>
      <c r="C3178" s="104"/>
      <c r="F3178" s="103" t="str">
        <f aca="false">IF(OR($C3178="",$D3178=0),"",$E3178/$D3178)</f>
        <v/>
      </c>
      <c r="H3178" s="0" t="str">
        <f aca="false">IF($C3178="","",IF(COUNTIF('مواد المخزون'!$A$2:$A$86,$C3178)&gt;0,"نعم","لا (خارج الجرد)"))</f>
        <v/>
      </c>
    </row>
    <row r="3179" customFormat="false" ht="15" hidden="false" customHeight="false" outlineLevel="0" collapsed="false">
      <c r="A3179" s="102"/>
      <c r="B3179" s="104"/>
      <c r="C3179" s="104"/>
      <c r="F3179" s="103" t="str">
        <f aca="false">IF(OR($C3179="",$D3179=0),"",$E3179/$D3179)</f>
        <v/>
      </c>
      <c r="H3179" s="0" t="str">
        <f aca="false">IF($C3179="","",IF(COUNTIF('مواد المخزون'!$A$2:$A$86,$C3179)&gt;0,"نعم","لا (خارج الجرد)"))</f>
        <v/>
      </c>
    </row>
    <row r="3180" customFormat="false" ht="15" hidden="false" customHeight="false" outlineLevel="0" collapsed="false">
      <c r="A3180" s="102"/>
      <c r="B3180" s="104"/>
      <c r="C3180" s="104"/>
      <c r="F3180" s="103" t="str">
        <f aca="false">IF(OR($C3180="",$D3180=0),"",$E3180/$D3180)</f>
        <v/>
      </c>
      <c r="H3180" s="0" t="str">
        <f aca="false">IF($C3180="","",IF(COUNTIF('مواد المخزون'!$A$2:$A$86,$C3180)&gt;0,"نعم","لا (خارج الجرد)"))</f>
        <v/>
      </c>
    </row>
    <row r="3181" customFormat="false" ht="15" hidden="false" customHeight="false" outlineLevel="0" collapsed="false">
      <c r="A3181" s="102"/>
      <c r="B3181" s="104"/>
      <c r="C3181" s="104"/>
      <c r="F3181" s="103" t="str">
        <f aca="false">IF(OR($C3181="",$D3181=0),"",$E3181/$D3181)</f>
        <v/>
      </c>
      <c r="H3181" s="0" t="str">
        <f aca="false">IF($C3181="","",IF(COUNTIF('مواد المخزون'!$A$2:$A$86,$C3181)&gt;0,"نعم","لا (خارج الجرد)"))</f>
        <v/>
      </c>
    </row>
    <row r="3182" customFormat="false" ht="15" hidden="false" customHeight="false" outlineLevel="0" collapsed="false">
      <c r="A3182" s="102"/>
      <c r="B3182" s="104"/>
      <c r="C3182" s="104"/>
      <c r="F3182" s="103" t="str">
        <f aca="false">IF(OR($C3182="",$D3182=0),"",$E3182/$D3182)</f>
        <v/>
      </c>
      <c r="H3182" s="0" t="str">
        <f aca="false">IF($C3182="","",IF(COUNTIF('مواد المخزون'!$A$2:$A$86,$C3182)&gt;0,"نعم","لا (خارج الجرد)"))</f>
        <v/>
      </c>
    </row>
    <row r="3183" customFormat="false" ht="15" hidden="false" customHeight="false" outlineLevel="0" collapsed="false">
      <c r="A3183" s="102"/>
      <c r="B3183" s="104"/>
      <c r="C3183" s="104"/>
      <c r="F3183" s="103" t="str">
        <f aca="false">IF(OR($C3183="",$D3183=0),"",$E3183/$D3183)</f>
        <v/>
      </c>
      <c r="H3183" s="0" t="str">
        <f aca="false">IF($C3183="","",IF(COUNTIF('مواد المخزون'!$A$2:$A$86,$C3183)&gt;0,"نعم","لا (خارج الجرد)"))</f>
        <v/>
      </c>
    </row>
    <row r="3184" customFormat="false" ht="15" hidden="false" customHeight="false" outlineLevel="0" collapsed="false">
      <c r="A3184" s="102"/>
      <c r="B3184" s="104"/>
      <c r="C3184" s="104"/>
      <c r="F3184" s="103" t="str">
        <f aca="false">IF(OR($C3184="",$D3184=0),"",$E3184/$D3184)</f>
        <v/>
      </c>
      <c r="H3184" s="0" t="str">
        <f aca="false">IF($C3184="","",IF(COUNTIF('مواد المخزون'!$A$2:$A$86,$C3184)&gt;0,"نعم","لا (خارج الجرد)"))</f>
        <v/>
      </c>
    </row>
    <row r="3185" customFormat="false" ht="15" hidden="false" customHeight="false" outlineLevel="0" collapsed="false">
      <c r="A3185" s="102"/>
      <c r="B3185" s="104"/>
      <c r="C3185" s="104"/>
      <c r="F3185" s="103" t="str">
        <f aca="false">IF(OR($C3185="",$D3185=0),"",$E3185/$D3185)</f>
        <v/>
      </c>
      <c r="H3185" s="0" t="str">
        <f aca="false">IF($C3185="","",IF(COUNTIF('مواد المخزون'!$A$2:$A$86,$C3185)&gt;0,"نعم","لا (خارج الجرد)"))</f>
        <v/>
      </c>
    </row>
    <row r="3186" customFormat="false" ht="15" hidden="false" customHeight="false" outlineLevel="0" collapsed="false">
      <c r="A3186" s="102"/>
      <c r="B3186" s="104"/>
      <c r="C3186" s="104"/>
      <c r="F3186" s="103" t="str">
        <f aca="false">IF(OR($C3186="",$D3186=0),"",$E3186/$D3186)</f>
        <v/>
      </c>
      <c r="H3186" s="0" t="str">
        <f aca="false">IF($C3186="","",IF(COUNTIF('مواد المخزون'!$A$2:$A$86,$C3186)&gt;0,"نعم","لا (خارج الجرد)"))</f>
        <v/>
      </c>
    </row>
    <row r="3187" customFormat="false" ht="15" hidden="false" customHeight="false" outlineLevel="0" collapsed="false">
      <c r="A3187" s="102"/>
      <c r="B3187" s="104"/>
      <c r="C3187" s="104"/>
      <c r="F3187" s="103" t="str">
        <f aca="false">IF(OR($C3187="",$D3187=0),"",$E3187/$D3187)</f>
        <v/>
      </c>
      <c r="H3187" s="0" t="str">
        <f aca="false">IF($C3187="","",IF(COUNTIF('مواد المخزون'!$A$2:$A$86,$C3187)&gt;0,"نعم","لا (خارج الجرد)"))</f>
        <v/>
      </c>
    </row>
    <row r="3188" customFormat="false" ht="15" hidden="false" customHeight="false" outlineLevel="0" collapsed="false">
      <c r="A3188" s="102"/>
      <c r="B3188" s="104"/>
      <c r="C3188" s="104"/>
      <c r="F3188" s="103" t="str">
        <f aca="false">IF(OR($C3188="",$D3188=0),"",$E3188/$D3188)</f>
        <v/>
      </c>
      <c r="H3188" s="0" t="str">
        <f aca="false">IF($C3188="","",IF(COUNTIF('مواد المخزون'!$A$2:$A$86,$C3188)&gt;0,"نعم","لا (خارج الجرد)"))</f>
        <v/>
      </c>
    </row>
    <row r="3189" customFormat="false" ht="15" hidden="false" customHeight="false" outlineLevel="0" collapsed="false">
      <c r="A3189" s="102"/>
      <c r="B3189" s="104"/>
      <c r="C3189" s="104"/>
      <c r="F3189" s="103" t="str">
        <f aca="false">IF(OR($C3189="",$D3189=0),"",$E3189/$D3189)</f>
        <v/>
      </c>
      <c r="H3189" s="0" t="str">
        <f aca="false">IF($C3189="","",IF(COUNTIF('مواد المخزون'!$A$2:$A$86,$C3189)&gt;0,"نعم","لا (خارج الجرد)"))</f>
        <v/>
      </c>
    </row>
    <row r="3190" customFormat="false" ht="15" hidden="false" customHeight="false" outlineLevel="0" collapsed="false">
      <c r="A3190" s="102"/>
      <c r="B3190" s="104"/>
      <c r="C3190" s="104"/>
      <c r="F3190" s="103" t="str">
        <f aca="false">IF(OR($C3190="",$D3190=0),"",$E3190/$D3190)</f>
        <v/>
      </c>
      <c r="H3190" s="0" t="str">
        <f aca="false">IF($C3190="","",IF(COUNTIF('مواد المخزون'!$A$2:$A$86,$C3190)&gt;0,"نعم","لا (خارج الجرد)"))</f>
        <v/>
      </c>
    </row>
    <row r="3191" customFormat="false" ht="15" hidden="false" customHeight="false" outlineLevel="0" collapsed="false">
      <c r="A3191" s="102"/>
      <c r="B3191" s="104"/>
      <c r="C3191" s="104"/>
      <c r="F3191" s="103" t="str">
        <f aca="false">IF(OR($C3191="",$D3191=0),"",$E3191/$D3191)</f>
        <v/>
      </c>
      <c r="H3191" s="0" t="str">
        <f aca="false">IF($C3191="","",IF(COUNTIF('مواد المخزون'!$A$2:$A$86,$C3191)&gt;0,"نعم","لا (خارج الجرد)"))</f>
        <v/>
      </c>
    </row>
    <row r="3192" customFormat="false" ht="15" hidden="false" customHeight="false" outlineLevel="0" collapsed="false">
      <c r="A3192" s="102"/>
      <c r="B3192" s="104"/>
      <c r="C3192" s="104"/>
      <c r="F3192" s="103" t="str">
        <f aca="false">IF(OR($C3192="",$D3192=0),"",$E3192/$D3192)</f>
        <v/>
      </c>
      <c r="H3192" s="0" t="str">
        <f aca="false">IF($C3192="","",IF(COUNTIF('مواد المخزون'!$A$2:$A$86,$C3192)&gt;0,"نعم","لا (خارج الجرد)"))</f>
        <v/>
      </c>
    </row>
    <row r="3193" customFormat="false" ht="15" hidden="false" customHeight="false" outlineLevel="0" collapsed="false">
      <c r="A3193" s="102"/>
      <c r="B3193" s="104"/>
      <c r="C3193" s="104"/>
      <c r="F3193" s="103" t="str">
        <f aca="false">IF(OR($C3193="",$D3193=0),"",$E3193/$D3193)</f>
        <v/>
      </c>
      <c r="H3193" s="0" t="str">
        <f aca="false">IF($C3193="","",IF(COUNTIF('مواد المخزون'!$A$2:$A$86,$C3193)&gt;0,"نعم","لا (خارج الجرد)"))</f>
        <v/>
      </c>
    </row>
    <row r="3194" customFormat="false" ht="15" hidden="false" customHeight="false" outlineLevel="0" collapsed="false">
      <c r="A3194" s="102"/>
      <c r="B3194" s="104"/>
      <c r="C3194" s="104"/>
      <c r="F3194" s="103" t="str">
        <f aca="false">IF(OR($C3194="",$D3194=0),"",$E3194/$D3194)</f>
        <v/>
      </c>
      <c r="H3194" s="0" t="str">
        <f aca="false">IF($C3194="","",IF(COUNTIF('مواد المخزون'!$A$2:$A$86,$C3194)&gt;0,"نعم","لا (خارج الجرد)"))</f>
        <v/>
      </c>
    </row>
    <row r="3195" customFormat="false" ht="15" hidden="false" customHeight="false" outlineLevel="0" collapsed="false">
      <c r="A3195" s="102"/>
      <c r="B3195" s="104"/>
      <c r="C3195" s="104"/>
      <c r="F3195" s="103" t="str">
        <f aca="false">IF(OR($C3195="",$D3195=0),"",$E3195/$D3195)</f>
        <v/>
      </c>
      <c r="H3195" s="0" t="str">
        <f aca="false">IF($C3195="","",IF(COUNTIF('مواد المخزون'!$A$2:$A$86,$C3195)&gt;0,"نعم","لا (خارج الجرد)"))</f>
        <v/>
      </c>
    </row>
    <row r="3196" customFormat="false" ht="15" hidden="false" customHeight="false" outlineLevel="0" collapsed="false">
      <c r="A3196" s="102"/>
      <c r="B3196" s="104"/>
      <c r="C3196" s="104"/>
      <c r="F3196" s="103" t="str">
        <f aca="false">IF(OR($C3196="",$D3196=0),"",$E3196/$D3196)</f>
        <v/>
      </c>
      <c r="H3196" s="0" t="str">
        <f aca="false">IF($C3196="","",IF(COUNTIF('مواد المخزون'!$A$2:$A$86,$C3196)&gt;0,"نعم","لا (خارج الجرد)"))</f>
        <v/>
      </c>
    </row>
    <row r="3197" customFormat="false" ht="15" hidden="false" customHeight="false" outlineLevel="0" collapsed="false">
      <c r="A3197" s="102"/>
      <c r="B3197" s="104"/>
      <c r="C3197" s="104"/>
      <c r="F3197" s="103" t="str">
        <f aca="false">IF(OR($C3197="",$D3197=0),"",$E3197/$D3197)</f>
        <v/>
      </c>
      <c r="H3197" s="0" t="str">
        <f aca="false">IF($C3197="","",IF(COUNTIF('مواد المخزون'!$A$2:$A$86,$C3197)&gt;0,"نعم","لا (خارج الجرد)"))</f>
        <v/>
      </c>
    </row>
    <row r="3198" customFormat="false" ht="15" hidden="false" customHeight="false" outlineLevel="0" collapsed="false">
      <c r="A3198" s="102"/>
      <c r="B3198" s="104"/>
      <c r="C3198" s="104"/>
      <c r="F3198" s="103" t="str">
        <f aca="false">IF(OR($C3198="",$D3198=0),"",$E3198/$D3198)</f>
        <v/>
      </c>
      <c r="H3198" s="0" t="str">
        <f aca="false">IF($C3198="","",IF(COUNTIF('مواد المخزون'!$A$2:$A$86,$C3198)&gt;0,"نعم","لا (خارج الجرد)"))</f>
        <v/>
      </c>
    </row>
    <row r="3199" customFormat="false" ht="15" hidden="false" customHeight="false" outlineLevel="0" collapsed="false">
      <c r="A3199" s="102"/>
      <c r="B3199" s="104"/>
      <c r="C3199" s="104"/>
      <c r="F3199" s="103" t="str">
        <f aca="false">IF(OR($C3199="",$D3199=0),"",$E3199/$D3199)</f>
        <v/>
      </c>
      <c r="H3199" s="0" t="str">
        <f aca="false">IF($C3199="","",IF(COUNTIF('مواد المخزون'!$A$2:$A$86,$C3199)&gt;0,"نعم","لا (خارج الجرد)"))</f>
        <v/>
      </c>
    </row>
    <row r="3200" customFormat="false" ht="15" hidden="false" customHeight="false" outlineLevel="0" collapsed="false">
      <c r="A3200" s="102"/>
      <c r="B3200" s="104"/>
      <c r="C3200" s="104"/>
      <c r="F3200" s="103" t="str">
        <f aca="false">IF(OR($C3200="",$D3200=0),"",$E3200/$D3200)</f>
        <v/>
      </c>
      <c r="H3200" s="0" t="str">
        <f aca="false">IF($C3200="","",IF(COUNTIF('مواد المخزون'!$A$2:$A$86,$C3200)&gt;0,"نعم","لا (خارج الجرد)"))</f>
        <v/>
      </c>
    </row>
    <row r="3201" customFormat="false" ht="15" hidden="false" customHeight="false" outlineLevel="0" collapsed="false">
      <c r="A3201" s="102"/>
      <c r="B3201" s="104"/>
      <c r="C3201" s="104"/>
      <c r="F3201" s="103" t="str">
        <f aca="false">IF(OR($C3201="",$D3201=0),"",$E3201/$D3201)</f>
        <v/>
      </c>
      <c r="H3201" s="0" t="str">
        <f aca="false">IF($C3201="","",IF(COUNTIF('مواد المخزون'!$A$2:$A$86,$C3201)&gt;0,"نعم","لا (خارج الجرد)"))</f>
        <v/>
      </c>
    </row>
    <row r="3202" customFormat="false" ht="15" hidden="false" customHeight="false" outlineLevel="0" collapsed="false">
      <c r="A3202" s="102"/>
      <c r="B3202" s="104"/>
      <c r="C3202" s="104"/>
      <c r="F3202" s="103" t="str">
        <f aca="false">IF(OR($C3202="",$D3202=0),"",$E3202/$D3202)</f>
        <v/>
      </c>
      <c r="H3202" s="0" t="str">
        <f aca="false">IF($C3202="","",IF(COUNTIF('مواد المخزون'!$A$2:$A$86,$C3202)&gt;0,"نعم","لا (خارج الجرد)"))</f>
        <v/>
      </c>
    </row>
    <row r="3203" customFormat="false" ht="15" hidden="false" customHeight="false" outlineLevel="0" collapsed="false">
      <c r="A3203" s="102"/>
      <c r="B3203" s="104"/>
      <c r="C3203" s="104"/>
      <c r="F3203" s="103" t="str">
        <f aca="false">IF(OR($C3203="",$D3203=0),"",$E3203/$D3203)</f>
        <v/>
      </c>
      <c r="H3203" s="0" t="str">
        <f aca="false">IF($C3203="","",IF(COUNTIF('مواد المخزون'!$A$2:$A$86,$C3203)&gt;0,"نعم","لا (خارج الجرد)"))</f>
        <v/>
      </c>
    </row>
    <row r="3204" customFormat="false" ht="15" hidden="false" customHeight="false" outlineLevel="0" collapsed="false">
      <c r="A3204" s="102"/>
      <c r="B3204" s="104"/>
      <c r="C3204" s="104"/>
      <c r="F3204" s="103" t="str">
        <f aca="false">IF(OR($C3204="",$D3204=0),"",$E3204/$D3204)</f>
        <v/>
      </c>
      <c r="H3204" s="0" t="str">
        <f aca="false">IF($C3204="","",IF(COUNTIF('مواد المخزون'!$A$2:$A$86,$C3204)&gt;0,"نعم","لا (خارج الجرد)"))</f>
        <v/>
      </c>
    </row>
    <row r="3205" customFormat="false" ht="15" hidden="false" customHeight="false" outlineLevel="0" collapsed="false">
      <c r="A3205" s="102"/>
      <c r="B3205" s="104"/>
      <c r="C3205" s="104"/>
      <c r="F3205" s="103" t="str">
        <f aca="false">IF(OR($C3205="",$D3205=0),"",$E3205/$D3205)</f>
        <v/>
      </c>
      <c r="H3205" s="0" t="str">
        <f aca="false">IF($C3205="","",IF(COUNTIF('مواد المخزون'!$A$2:$A$86,$C3205)&gt;0,"نعم","لا (خارج الجرد)"))</f>
        <v/>
      </c>
    </row>
    <row r="3206" customFormat="false" ht="15" hidden="false" customHeight="false" outlineLevel="0" collapsed="false">
      <c r="A3206" s="102"/>
      <c r="B3206" s="104"/>
      <c r="C3206" s="104"/>
      <c r="F3206" s="103" t="str">
        <f aca="false">IF(OR($C3206="",$D3206=0),"",$E3206/$D3206)</f>
        <v/>
      </c>
      <c r="H3206" s="0" t="str">
        <f aca="false">IF($C3206="","",IF(COUNTIF('مواد المخزون'!$A$2:$A$86,$C3206)&gt;0,"نعم","لا (خارج الجرد)"))</f>
        <v/>
      </c>
    </row>
    <row r="3207" customFormat="false" ht="15" hidden="false" customHeight="false" outlineLevel="0" collapsed="false">
      <c r="A3207" s="102"/>
      <c r="B3207" s="104"/>
      <c r="C3207" s="104"/>
      <c r="F3207" s="103" t="str">
        <f aca="false">IF(OR($C3207="",$D3207=0),"",$E3207/$D3207)</f>
        <v/>
      </c>
      <c r="H3207" s="0" t="str">
        <f aca="false">IF($C3207="","",IF(COUNTIF('مواد المخزون'!$A$2:$A$86,$C3207)&gt;0,"نعم","لا (خارج الجرد)"))</f>
        <v/>
      </c>
    </row>
    <row r="3208" customFormat="false" ht="15" hidden="false" customHeight="false" outlineLevel="0" collapsed="false">
      <c r="A3208" s="102"/>
      <c r="B3208" s="104"/>
      <c r="C3208" s="104"/>
      <c r="F3208" s="103" t="str">
        <f aca="false">IF(OR($C3208="",$D3208=0),"",$E3208/$D3208)</f>
        <v/>
      </c>
      <c r="H3208" s="0" t="str">
        <f aca="false">IF($C3208="","",IF(COUNTIF('مواد المخزون'!$A$2:$A$86,$C3208)&gt;0,"نعم","لا (خارج الجرد)"))</f>
        <v/>
      </c>
    </row>
    <row r="3209" customFormat="false" ht="15" hidden="false" customHeight="false" outlineLevel="0" collapsed="false">
      <c r="A3209" s="102"/>
      <c r="B3209" s="104"/>
      <c r="C3209" s="104"/>
      <c r="F3209" s="103" t="str">
        <f aca="false">IF(OR($C3209="",$D3209=0),"",$E3209/$D3209)</f>
        <v/>
      </c>
      <c r="H3209" s="0" t="str">
        <f aca="false">IF($C3209="","",IF(COUNTIF('مواد المخزون'!$A$2:$A$86,$C3209)&gt;0,"نعم","لا (خارج الجرد)"))</f>
        <v/>
      </c>
    </row>
    <row r="3210" customFormat="false" ht="15" hidden="false" customHeight="false" outlineLevel="0" collapsed="false">
      <c r="A3210" s="102"/>
      <c r="B3210" s="104"/>
      <c r="C3210" s="104"/>
      <c r="F3210" s="103" t="str">
        <f aca="false">IF(OR($C3210="",$D3210=0),"",$E3210/$D3210)</f>
        <v/>
      </c>
      <c r="H3210" s="0" t="str">
        <f aca="false">IF($C3210="","",IF(COUNTIF('مواد المخزون'!$A$2:$A$86,$C3210)&gt;0,"نعم","لا (خارج الجرد)"))</f>
        <v/>
      </c>
    </row>
    <row r="3211" customFormat="false" ht="15" hidden="false" customHeight="false" outlineLevel="0" collapsed="false">
      <c r="A3211" s="102"/>
      <c r="B3211" s="104"/>
      <c r="C3211" s="104"/>
      <c r="F3211" s="103" t="str">
        <f aca="false">IF(OR($C3211="",$D3211=0),"",$E3211/$D3211)</f>
        <v/>
      </c>
      <c r="H3211" s="0" t="str">
        <f aca="false">IF($C3211="","",IF(COUNTIF('مواد المخزون'!$A$2:$A$86,$C3211)&gt;0,"نعم","لا (خارج الجرد)"))</f>
        <v/>
      </c>
    </row>
    <row r="3212" customFormat="false" ht="15" hidden="false" customHeight="false" outlineLevel="0" collapsed="false">
      <c r="A3212" s="102"/>
      <c r="B3212" s="104"/>
      <c r="C3212" s="104"/>
      <c r="F3212" s="103" t="str">
        <f aca="false">IF(OR($C3212="",$D3212=0),"",$E3212/$D3212)</f>
        <v/>
      </c>
      <c r="H3212" s="0" t="str">
        <f aca="false">IF($C3212="","",IF(COUNTIF('مواد المخزون'!$A$2:$A$86,$C3212)&gt;0,"نعم","لا (خارج الجرد)"))</f>
        <v/>
      </c>
    </row>
    <row r="3213" customFormat="false" ht="15" hidden="false" customHeight="false" outlineLevel="0" collapsed="false">
      <c r="A3213" s="102"/>
      <c r="B3213" s="104"/>
      <c r="C3213" s="104"/>
      <c r="F3213" s="103" t="str">
        <f aca="false">IF(OR($C3213="",$D3213=0),"",$E3213/$D3213)</f>
        <v/>
      </c>
      <c r="H3213" s="0" t="str">
        <f aca="false">IF($C3213="","",IF(COUNTIF('مواد المخزون'!$A$2:$A$86,$C3213)&gt;0,"نعم","لا (خارج الجرد)"))</f>
        <v/>
      </c>
    </row>
    <row r="3214" customFormat="false" ht="15" hidden="false" customHeight="false" outlineLevel="0" collapsed="false">
      <c r="A3214" s="102"/>
      <c r="B3214" s="104"/>
      <c r="C3214" s="104"/>
      <c r="F3214" s="103" t="str">
        <f aca="false">IF(OR($C3214="",$D3214=0),"",$E3214/$D3214)</f>
        <v/>
      </c>
      <c r="H3214" s="0" t="str">
        <f aca="false">IF($C3214="","",IF(COUNTIF('مواد المخزون'!$A$2:$A$86,$C3214)&gt;0,"نعم","لا (خارج الجرد)"))</f>
        <v/>
      </c>
    </row>
    <row r="3215" customFormat="false" ht="15" hidden="false" customHeight="false" outlineLevel="0" collapsed="false">
      <c r="A3215" s="102"/>
      <c r="B3215" s="104"/>
      <c r="C3215" s="104"/>
      <c r="F3215" s="103" t="str">
        <f aca="false">IF(OR($C3215="",$D3215=0),"",$E3215/$D3215)</f>
        <v/>
      </c>
      <c r="H3215" s="0" t="str">
        <f aca="false">IF($C3215="","",IF(COUNTIF('مواد المخزون'!$A$2:$A$86,$C3215)&gt;0,"نعم","لا (خارج الجرد)"))</f>
        <v/>
      </c>
    </row>
    <row r="3216" customFormat="false" ht="15" hidden="false" customHeight="false" outlineLevel="0" collapsed="false">
      <c r="A3216" s="102"/>
      <c r="B3216" s="104"/>
      <c r="C3216" s="104"/>
      <c r="F3216" s="103" t="str">
        <f aca="false">IF(OR($C3216="",$D3216=0),"",$E3216/$D3216)</f>
        <v/>
      </c>
      <c r="H3216" s="0" t="str">
        <f aca="false">IF($C3216="","",IF(COUNTIF('مواد المخزون'!$A$2:$A$86,$C3216)&gt;0,"نعم","لا (خارج الجرد)"))</f>
        <v/>
      </c>
    </row>
    <row r="3217" customFormat="false" ht="15" hidden="false" customHeight="false" outlineLevel="0" collapsed="false">
      <c r="A3217" s="102"/>
      <c r="B3217" s="104"/>
      <c r="C3217" s="104"/>
      <c r="F3217" s="103" t="str">
        <f aca="false">IF(OR($C3217="",$D3217=0),"",$E3217/$D3217)</f>
        <v/>
      </c>
      <c r="H3217" s="0" t="str">
        <f aca="false">IF($C3217="","",IF(COUNTIF('مواد المخزون'!$A$2:$A$86,$C3217)&gt;0,"نعم","لا (خارج الجرد)"))</f>
        <v/>
      </c>
    </row>
    <row r="3218" customFormat="false" ht="15" hidden="false" customHeight="false" outlineLevel="0" collapsed="false">
      <c r="A3218" s="102"/>
      <c r="B3218" s="104"/>
      <c r="C3218" s="104"/>
      <c r="F3218" s="103" t="str">
        <f aca="false">IF(OR($C3218="",$D3218=0),"",$E3218/$D3218)</f>
        <v/>
      </c>
      <c r="H3218" s="0" t="str">
        <f aca="false">IF($C3218="","",IF(COUNTIF('مواد المخزون'!$A$2:$A$86,$C3218)&gt;0,"نعم","لا (خارج الجرد)"))</f>
        <v/>
      </c>
    </row>
    <row r="3219" customFormat="false" ht="15" hidden="false" customHeight="false" outlineLevel="0" collapsed="false">
      <c r="A3219" s="102"/>
      <c r="B3219" s="104"/>
      <c r="C3219" s="104"/>
      <c r="F3219" s="103" t="str">
        <f aca="false">IF(OR($C3219="",$D3219=0),"",$E3219/$D3219)</f>
        <v/>
      </c>
      <c r="H3219" s="0" t="str">
        <f aca="false">IF($C3219="","",IF(COUNTIF('مواد المخزون'!$A$2:$A$86,$C3219)&gt;0,"نعم","لا (خارج الجرد)"))</f>
        <v/>
      </c>
    </row>
    <row r="3220" customFormat="false" ht="15" hidden="false" customHeight="false" outlineLevel="0" collapsed="false">
      <c r="A3220" s="102"/>
      <c r="B3220" s="104"/>
      <c r="C3220" s="104"/>
      <c r="F3220" s="103" t="str">
        <f aca="false">IF(OR($C3220="",$D3220=0),"",$E3220/$D3220)</f>
        <v/>
      </c>
      <c r="H3220" s="0" t="str">
        <f aca="false">IF($C3220="","",IF(COUNTIF('مواد المخزون'!$A$2:$A$86,$C3220)&gt;0,"نعم","لا (خارج الجرد)"))</f>
        <v/>
      </c>
    </row>
    <row r="3221" customFormat="false" ht="15" hidden="false" customHeight="false" outlineLevel="0" collapsed="false">
      <c r="A3221" s="102"/>
      <c r="B3221" s="104"/>
      <c r="C3221" s="104"/>
      <c r="F3221" s="103" t="str">
        <f aca="false">IF(OR($C3221="",$D3221=0),"",$E3221/$D3221)</f>
        <v/>
      </c>
      <c r="H3221" s="0" t="str">
        <f aca="false">IF($C3221="","",IF(COUNTIF('مواد المخزون'!$A$2:$A$86,$C3221)&gt;0,"نعم","لا (خارج الجرد)"))</f>
        <v/>
      </c>
    </row>
    <row r="3222" customFormat="false" ht="15" hidden="false" customHeight="false" outlineLevel="0" collapsed="false">
      <c r="A3222" s="102"/>
      <c r="B3222" s="104"/>
      <c r="C3222" s="104"/>
      <c r="F3222" s="103" t="str">
        <f aca="false">IF(OR($C3222="",$D3222=0),"",$E3222/$D3222)</f>
        <v/>
      </c>
      <c r="H3222" s="0" t="str">
        <f aca="false">IF($C3222="","",IF(COUNTIF('مواد المخزون'!$A$2:$A$86,$C3222)&gt;0,"نعم","لا (خارج الجرد)"))</f>
        <v/>
      </c>
    </row>
    <row r="3223" customFormat="false" ht="15" hidden="false" customHeight="false" outlineLevel="0" collapsed="false">
      <c r="A3223" s="102"/>
      <c r="B3223" s="104"/>
      <c r="C3223" s="104"/>
      <c r="F3223" s="103" t="str">
        <f aca="false">IF(OR($C3223="",$D3223=0),"",$E3223/$D3223)</f>
        <v/>
      </c>
      <c r="H3223" s="0" t="str">
        <f aca="false">IF($C3223="","",IF(COUNTIF('مواد المخزون'!$A$2:$A$86,$C3223)&gt;0,"نعم","لا (خارج الجرد)"))</f>
        <v/>
      </c>
    </row>
    <row r="3224" customFormat="false" ht="15" hidden="false" customHeight="false" outlineLevel="0" collapsed="false">
      <c r="A3224" s="102"/>
      <c r="B3224" s="104"/>
      <c r="C3224" s="104"/>
      <c r="F3224" s="103" t="str">
        <f aca="false">IF(OR($C3224="",$D3224=0),"",$E3224/$D3224)</f>
        <v/>
      </c>
      <c r="H3224" s="0" t="str">
        <f aca="false">IF($C3224="","",IF(COUNTIF('مواد المخزون'!$A$2:$A$86,$C3224)&gt;0,"نعم","لا (خارج الجرد)"))</f>
        <v/>
      </c>
    </row>
    <row r="3225" customFormat="false" ht="15" hidden="false" customHeight="false" outlineLevel="0" collapsed="false">
      <c r="A3225" s="102"/>
      <c r="B3225" s="104"/>
      <c r="C3225" s="104"/>
      <c r="F3225" s="103" t="str">
        <f aca="false">IF(OR($C3225="",$D3225=0),"",$E3225/$D3225)</f>
        <v/>
      </c>
      <c r="H3225" s="0" t="str">
        <f aca="false">IF($C3225="","",IF(COUNTIF('مواد المخزون'!$A$2:$A$86,$C3225)&gt;0,"نعم","لا (خارج الجرد)"))</f>
        <v/>
      </c>
    </row>
    <row r="3226" customFormat="false" ht="15" hidden="false" customHeight="false" outlineLevel="0" collapsed="false">
      <c r="A3226" s="102"/>
      <c r="B3226" s="104"/>
      <c r="C3226" s="104"/>
      <c r="F3226" s="103" t="str">
        <f aca="false">IF(OR($C3226="",$D3226=0),"",$E3226/$D3226)</f>
        <v/>
      </c>
      <c r="H3226" s="0" t="str">
        <f aca="false">IF($C3226="","",IF(COUNTIF('مواد المخزون'!$A$2:$A$86,$C3226)&gt;0,"نعم","لا (خارج الجرد)"))</f>
        <v/>
      </c>
    </row>
    <row r="3227" customFormat="false" ht="15" hidden="false" customHeight="false" outlineLevel="0" collapsed="false">
      <c r="A3227" s="102"/>
      <c r="B3227" s="104"/>
      <c r="C3227" s="104"/>
      <c r="F3227" s="103" t="str">
        <f aca="false">IF(OR($C3227="",$D3227=0),"",$E3227/$D3227)</f>
        <v/>
      </c>
      <c r="H3227" s="0" t="str">
        <f aca="false">IF($C3227="","",IF(COUNTIF('مواد المخزون'!$A$2:$A$86,$C3227)&gt;0,"نعم","لا (خارج الجرد)"))</f>
        <v/>
      </c>
    </row>
    <row r="3228" customFormat="false" ht="15" hidden="false" customHeight="false" outlineLevel="0" collapsed="false">
      <c r="A3228" s="102"/>
      <c r="B3228" s="104"/>
      <c r="C3228" s="104"/>
      <c r="F3228" s="103" t="str">
        <f aca="false">IF(OR($C3228="",$D3228=0),"",$E3228/$D3228)</f>
        <v/>
      </c>
      <c r="H3228" s="0" t="str">
        <f aca="false">IF($C3228="","",IF(COUNTIF('مواد المخزون'!$A$2:$A$86,$C3228)&gt;0,"نعم","لا (خارج الجرد)"))</f>
        <v/>
      </c>
    </row>
    <row r="3229" customFormat="false" ht="15" hidden="false" customHeight="false" outlineLevel="0" collapsed="false">
      <c r="A3229" s="102"/>
      <c r="B3229" s="104"/>
      <c r="C3229" s="104"/>
      <c r="F3229" s="103" t="str">
        <f aca="false">IF(OR($C3229="",$D3229=0),"",$E3229/$D3229)</f>
        <v/>
      </c>
      <c r="H3229" s="0" t="str">
        <f aca="false">IF($C3229="","",IF(COUNTIF('مواد المخزون'!$A$2:$A$86,$C3229)&gt;0,"نعم","لا (خارج الجرد)"))</f>
        <v/>
      </c>
    </row>
    <row r="3230" customFormat="false" ht="15" hidden="false" customHeight="false" outlineLevel="0" collapsed="false">
      <c r="A3230" s="102"/>
      <c r="B3230" s="104"/>
      <c r="C3230" s="104"/>
      <c r="F3230" s="103" t="str">
        <f aca="false">IF(OR($C3230="",$D3230=0),"",$E3230/$D3230)</f>
        <v/>
      </c>
      <c r="H3230" s="0" t="str">
        <f aca="false">IF($C3230="","",IF(COUNTIF('مواد المخزون'!$A$2:$A$86,$C3230)&gt;0,"نعم","لا (خارج الجرد)"))</f>
        <v/>
      </c>
    </row>
    <row r="3231" customFormat="false" ht="15" hidden="false" customHeight="false" outlineLevel="0" collapsed="false">
      <c r="A3231" s="102"/>
      <c r="B3231" s="104"/>
      <c r="C3231" s="104"/>
      <c r="F3231" s="103" t="str">
        <f aca="false">IF(OR($C3231="",$D3231=0),"",$E3231/$D3231)</f>
        <v/>
      </c>
      <c r="H3231" s="0" t="str">
        <f aca="false">IF($C3231="","",IF(COUNTIF('مواد المخزون'!$A$2:$A$86,$C3231)&gt;0,"نعم","لا (خارج الجرد)"))</f>
        <v/>
      </c>
    </row>
    <row r="3232" customFormat="false" ht="15" hidden="false" customHeight="false" outlineLevel="0" collapsed="false">
      <c r="A3232" s="102"/>
      <c r="B3232" s="104"/>
      <c r="C3232" s="104"/>
      <c r="F3232" s="103" t="str">
        <f aca="false">IF(OR($C3232="",$D3232=0),"",$E3232/$D3232)</f>
        <v/>
      </c>
      <c r="H3232" s="0" t="str">
        <f aca="false">IF($C3232="","",IF(COUNTIF('مواد المخزون'!$A$2:$A$86,$C3232)&gt;0,"نعم","لا (خارج الجرد)"))</f>
        <v/>
      </c>
    </row>
    <row r="3233" customFormat="false" ht="15" hidden="false" customHeight="false" outlineLevel="0" collapsed="false">
      <c r="A3233" s="102"/>
      <c r="B3233" s="104"/>
      <c r="C3233" s="104"/>
      <c r="F3233" s="103" t="str">
        <f aca="false">IF(OR($C3233="",$D3233=0),"",$E3233/$D3233)</f>
        <v/>
      </c>
      <c r="H3233" s="0" t="str">
        <f aca="false">IF($C3233="","",IF(COUNTIF('مواد المخزون'!$A$2:$A$86,$C3233)&gt;0,"نعم","لا (خارج الجرد)"))</f>
        <v/>
      </c>
    </row>
    <row r="3234" customFormat="false" ht="15" hidden="false" customHeight="false" outlineLevel="0" collapsed="false">
      <c r="A3234" s="102"/>
      <c r="B3234" s="104"/>
      <c r="C3234" s="104"/>
      <c r="F3234" s="103" t="str">
        <f aca="false">IF(OR($C3234="",$D3234=0),"",$E3234/$D3234)</f>
        <v/>
      </c>
      <c r="H3234" s="0" t="str">
        <f aca="false">IF($C3234="","",IF(COUNTIF('مواد المخزون'!$A$2:$A$86,$C3234)&gt;0,"نعم","لا (خارج الجرد)"))</f>
        <v/>
      </c>
    </row>
    <row r="3235" customFormat="false" ht="15" hidden="false" customHeight="false" outlineLevel="0" collapsed="false">
      <c r="A3235" s="102"/>
      <c r="B3235" s="104"/>
      <c r="C3235" s="104"/>
      <c r="F3235" s="103" t="str">
        <f aca="false">IF(OR($C3235="",$D3235=0),"",$E3235/$D3235)</f>
        <v/>
      </c>
      <c r="H3235" s="0" t="str">
        <f aca="false">IF($C3235="","",IF(COUNTIF('مواد المخزون'!$A$2:$A$86,$C3235)&gt;0,"نعم","لا (خارج الجرد)"))</f>
        <v/>
      </c>
    </row>
    <row r="3236" customFormat="false" ht="15" hidden="false" customHeight="false" outlineLevel="0" collapsed="false">
      <c r="A3236" s="102"/>
      <c r="B3236" s="104"/>
      <c r="C3236" s="104"/>
      <c r="F3236" s="103" t="str">
        <f aca="false">IF(OR($C3236="",$D3236=0),"",$E3236/$D3236)</f>
        <v/>
      </c>
      <c r="H3236" s="0" t="str">
        <f aca="false">IF($C3236="","",IF(COUNTIF('مواد المخزون'!$A$2:$A$86,$C3236)&gt;0,"نعم","لا (خارج الجرد)"))</f>
        <v/>
      </c>
    </row>
    <row r="3237" customFormat="false" ht="15" hidden="false" customHeight="false" outlineLevel="0" collapsed="false">
      <c r="A3237" s="102"/>
      <c r="B3237" s="104"/>
      <c r="C3237" s="104"/>
      <c r="F3237" s="103" t="str">
        <f aca="false">IF(OR($C3237="",$D3237=0),"",$E3237/$D3237)</f>
        <v/>
      </c>
      <c r="H3237" s="0" t="str">
        <f aca="false">IF($C3237="","",IF(COUNTIF('مواد المخزون'!$A$2:$A$86,$C3237)&gt;0,"نعم","لا (خارج الجرد)"))</f>
        <v/>
      </c>
    </row>
    <row r="3238" customFormat="false" ht="15" hidden="false" customHeight="false" outlineLevel="0" collapsed="false">
      <c r="A3238" s="102"/>
      <c r="B3238" s="104"/>
      <c r="C3238" s="104"/>
      <c r="F3238" s="103" t="str">
        <f aca="false">IF(OR($C3238="",$D3238=0),"",$E3238/$D3238)</f>
        <v/>
      </c>
      <c r="H3238" s="0" t="str">
        <f aca="false">IF($C3238="","",IF(COUNTIF('مواد المخزون'!$A$2:$A$86,$C3238)&gt;0,"نعم","لا (خارج الجرد)"))</f>
        <v/>
      </c>
    </row>
    <row r="3239" customFormat="false" ht="15" hidden="false" customHeight="false" outlineLevel="0" collapsed="false">
      <c r="A3239" s="102"/>
      <c r="B3239" s="104"/>
      <c r="C3239" s="104"/>
      <c r="F3239" s="103" t="str">
        <f aca="false">IF(OR($C3239="",$D3239=0),"",$E3239/$D3239)</f>
        <v/>
      </c>
      <c r="H3239" s="0" t="str">
        <f aca="false">IF($C3239="","",IF(COUNTIF('مواد المخزون'!$A$2:$A$86,$C3239)&gt;0,"نعم","لا (خارج الجرد)"))</f>
        <v/>
      </c>
    </row>
    <row r="3240" customFormat="false" ht="15" hidden="false" customHeight="false" outlineLevel="0" collapsed="false">
      <c r="A3240" s="102"/>
      <c r="B3240" s="104"/>
      <c r="C3240" s="104"/>
      <c r="F3240" s="103" t="str">
        <f aca="false">IF(OR($C3240="",$D3240=0),"",$E3240/$D3240)</f>
        <v/>
      </c>
      <c r="H3240" s="0" t="str">
        <f aca="false">IF($C3240="","",IF(COUNTIF('مواد المخزون'!$A$2:$A$86,$C3240)&gt;0,"نعم","لا (خارج الجرد)"))</f>
        <v/>
      </c>
    </row>
    <row r="3241" customFormat="false" ht="15" hidden="false" customHeight="false" outlineLevel="0" collapsed="false">
      <c r="A3241" s="102"/>
      <c r="B3241" s="104"/>
      <c r="C3241" s="104"/>
      <c r="F3241" s="103" t="str">
        <f aca="false">IF(OR($C3241="",$D3241=0),"",$E3241/$D3241)</f>
        <v/>
      </c>
      <c r="H3241" s="0" t="str">
        <f aca="false">IF($C3241="","",IF(COUNTIF('مواد المخزون'!$A$2:$A$86,$C3241)&gt;0,"نعم","لا (خارج الجرد)"))</f>
        <v/>
      </c>
    </row>
    <row r="3242" customFormat="false" ht="15" hidden="false" customHeight="false" outlineLevel="0" collapsed="false">
      <c r="A3242" s="102"/>
      <c r="B3242" s="104"/>
      <c r="C3242" s="104"/>
      <c r="F3242" s="103" t="str">
        <f aca="false">IF(OR($C3242="",$D3242=0),"",$E3242/$D3242)</f>
        <v/>
      </c>
      <c r="H3242" s="0" t="str">
        <f aca="false">IF($C3242="","",IF(COUNTIF('مواد المخزون'!$A$2:$A$86,$C3242)&gt;0,"نعم","لا (خارج الجرد)"))</f>
        <v/>
      </c>
    </row>
    <row r="3243" customFormat="false" ht="15" hidden="false" customHeight="false" outlineLevel="0" collapsed="false">
      <c r="A3243" s="102"/>
      <c r="B3243" s="104"/>
      <c r="C3243" s="104"/>
      <c r="F3243" s="103" t="str">
        <f aca="false">IF(OR($C3243="",$D3243=0),"",$E3243/$D3243)</f>
        <v/>
      </c>
      <c r="H3243" s="0" t="str">
        <f aca="false">IF($C3243="","",IF(COUNTIF('مواد المخزون'!$A$2:$A$86,$C3243)&gt;0,"نعم","لا (خارج الجرد)"))</f>
        <v/>
      </c>
    </row>
    <row r="3244" customFormat="false" ht="15" hidden="false" customHeight="false" outlineLevel="0" collapsed="false">
      <c r="A3244" s="102"/>
      <c r="B3244" s="104"/>
      <c r="C3244" s="104"/>
      <c r="F3244" s="103" t="str">
        <f aca="false">IF(OR($C3244="",$D3244=0),"",$E3244/$D3244)</f>
        <v/>
      </c>
      <c r="H3244" s="0" t="str">
        <f aca="false">IF($C3244="","",IF(COUNTIF('مواد المخزون'!$A$2:$A$86,$C3244)&gt;0,"نعم","لا (خارج الجرد)"))</f>
        <v/>
      </c>
    </row>
    <row r="3245" customFormat="false" ht="15" hidden="false" customHeight="false" outlineLevel="0" collapsed="false">
      <c r="A3245" s="102"/>
      <c r="B3245" s="104"/>
      <c r="C3245" s="104"/>
      <c r="F3245" s="103" t="str">
        <f aca="false">IF(OR($C3245="",$D3245=0),"",$E3245/$D3245)</f>
        <v/>
      </c>
      <c r="H3245" s="0" t="str">
        <f aca="false">IF($C3245="","",IF(COUNTIF('مواد المخزون'!$A$2:$A$86,$C3245)&gt;0,"نعم","لا (خارج الجرد)"))</f>
        <v/>
      </c>
    </row>
    <row r="3246" customFormat="false" ht="15" hidden="false" customHeight="false" outlineLevel="0" collapsed="false">
      <c r="A3246" s="102"/>
      <c r="B3246" s="104"/>
      <c r="C3246" s="104"/>
      <c r="F3246" s="103" t="str">
        <f aca="false">IF(OR($C3246="",$D3246=0),"",$E3246/$D3246)</f>
        <v/>
      </c>
      <c r="H3246" s="0" t="str">
        <f aca="false">IF($C3246="","",IF(COUNTIF('مواد المخزون'!$A$2:$A$86,$C3246)&gt;0,"نعم","لا (خارج الجرد)"))</f>
        <v/>
      </c>
    </row>
    <row r="3247" customFormat="false" ht="15" hidden="false" customHeight="false" outlineLevel="0" collapsed="false">
      <c r="A3247" s="102"/>
      <c r="B3247" s="104"/>
      <c r="C3247" s="104"/>
      <c r="F3247" s="103" t="str">
        <f aca="false">IF(OR($C3247="",$D3247=0),"",$E3247/$D3247)</f>
        <v/>
      </c>
      <c r="H3247" s="0" t="str">
        <f aca="false">IF($C3247="","",IF(COUNTIF('مواد المخزون'!$A$2:$A$86,$C3247)&gt;0,"نعم","لا (خارج الجرد)"))</f>
        <v/>
      </c>
    </row>
    <row r="3248" customFormat="false" ht="15" hidden="false" customHeight="false" outlineLevel="0" collapsed="false">
      <c r="A3248" s="102"/>
      <c r="B3248" s="104"/>
      <c r="C3248" s="104"/>
      <c r="F3248" s="103" t="str">
        <f aca="false">IF(OR($C3248="",$D3248=0),"",$E3248/$D3248)</f>
        <v/>
      </c>
      <c r="H3248" s="0" t="str">
        <f aca="false">IF($C3248="","",IF(COUNTIF('مواد المخزون'!$A$2:$A$86,$C3248)&gt;0,"نعم","لا (خارج الجرد)"))</f>
        <v/>
      </c>
    </row>
    <row r="3249" customFormat="false" ht="15" hidden="false" customHeight="false" outlineLevel="0" collapsed="false">
      <c r="A3249" s="102"/>
      <c r="B3249" s="104"/>
      <c r="C3249" s="104"/>
      <c r="F3249" s="103" t="str">
        <f aca="false">IF(OR($C3249="",$D3249=0),"",$E3249/$D3249)</f>
        <v/>
      </c>
      <c r="H3249" s="0" t="str">
        <f aca="false">IF($C3249="","",IF(COUNTIF('مواد المخزون'!$A$2:$A$86,$C3249)&gt;0,"نعم","لا (خارج الجرد)"))</f>
        <v/>
      </c>
    </row>
    <row r="3250" customFormat="false" ht="15" hidden="false" customHeight="false" outlineLevel="0" collapsed="false">
      <c r="A3250" s="102"/>
      <c r="B3250" s="104"/>
      <c r="C3250" s="104"/>
      <c r="F3250" s="103" t="str">
        <f aca="false">IF(OR($C3250="",$D3250=0),"",$E3250/$D3250)</f>
        <v/>
      </c>
      <c r="H3250" s="0" t="str">
        <f aca="false">IF($C3250="","",IF(COUNTIF('مواد المخزون'!$A$2:$A$86,$C3250)&gt;0,"نعم","لا (خارج الجرد)"))</f>
        <v/>
      </c>
    </row>
    <row r="3251" customFormat="false" ht="15" hidden="false" customHeight="false" outlineLevel="0" collapsed="false">
      <c r="A3251" s="102"/>
      <c r="B3251" s="104"/>
      <c r="C3251" s="104"/>
      <c r="F3251" s="103" t="str">
        <f aca="false">IF(OR($C3251="",$D3251=0),"",$E3251/$D3251)</f>
        <v/>
      </c>
      <c r="H3251" s="0" t="str">
        <f aca="false">IF($C3251="","",IF(COUNTIF('مواد المخزون'!$A$2:$A$86,$C3251)&gt;0,"نعم","لا (خارج الجرد)"))</f>
        <v/>
      </c>
    </row>
    <row r="3252" customFormat="false" ht="15" hidden="false" customHeight="false" outlineLevel="0" collapsed="false">
      <c r="A3252" s="102"/>
      <c r="B3252" s="104"/>
      <c r="C3252" s="104"/>
      <c r="F3252" s="103" t="str">
        <f aca="false">IF(OR($C3252="",$D3252=0),"",$E3252/$D3252)</f>
        <v/>
      </c>
      <c r="H3252" s="0" t="str">
        <f aca="false">IF($C3252="","",IF(COUNTIF('مواد المخزون'!$A$2:$A$86,$C3252)&gt;0,"نعم","لا (خارج الجرد)"))</f>
        <v/>
      </c>
    </row>
    <row r="3253" customFormat="false" ht="15" hidden="false" customHeight="false" outlineLevel="0" collapsed="false">
      <c r="A3253" s="102"/>
      <c r="B3253" s="104"/>
      <c r="C3253" s="104"/>
      <c r="F3253" s="103" t="str">
        <f aca="false">IF(OR($C3253="",$D3253=0),"",$E3253/$D3253)</f>
        <v/>
      </c>
      <c r="H3253" s="0" t="str">
        <f aca="false">IF($C3253="","",IF(COUNTIF('مواد المخزون'!$A$2:$A$86,$C3253)&gt;0,"نعم","لا (خارج الجرد)"))</f>
        <v/>
      </c>
    </row>
    <row r="3254" customFormat="false" ht="15" hidden="false" customHeight="false" outlineLevel="0" collapsed="false">
      <c r="A3254" s="102"/>
      <c r="B3254" s="104"/>
      <c r="C3254" s="104"/>
      <c r="F3254" s="103" t="str">
        <f aca="false">IF(OR($C3254="",$D3254=0),"",$E3254/$D3254)</f>
        <v/>
      </c>
      <c r="H3254" s="0" t="str">
        <f aca="false">IF($C3254="","",IF(COUNTIF('مواد المخزون'!$A$2:$A$86,$C3254)&gt;0,"نعم","لا (خارج الجرد)"))</f>
        <v/>
      </c>
    </row>
    <row r="3255" customFormat="false" ht="15" hidden="false" customHeight="false" outlineLevel="0" collapsed="false">
      <c r="A3255" s="102"/>
      <c r="B3255" s="104"/>
      <c r="C3255" s="104"/>
      <c r="F3255" s="103" t="str">
        <f aca="false">IF(OR($C3255="",$D3255=0),"",$E3255/$D3255)</f>
        <v/>
      </c>
      <c r="H3255" s="0" t="str">
        <f aca="false">IF($C3255="","",IF(COUNTIF('مواد المخزون'!$A$2:$A$86,$C3255)&gt;0,"نعم","لا (خارج الجرد)"))</f>
        <v/>
      </c>
    </row>
    <row r="3256" customFormat="false" ht="15" hidden="false" customHeight="false" outlineLevel="0" collapsed="false">
      <c r="A3256" s="102"/>
      <c r="B3256" s="104"/>
      <c r="C3256" s="104"/>
      <c r="F3256" s="103" t="str">
        <f aca="false">IF(OR($C3256="",$D3256=0),"",$E3256/$D3256)</f>
        <v/>
      </c>
      <c r="H3256" s="0" t="str">
        <f aca="false">IF($C3256="","",IF(COUNTIF('مواد المخزون'!$A$2:$A$86,$C3256)&gt;0,"نعم","لا (خارج الجرد)"))</f>
        <v/>
      </c>
    </row>
    <row r="3257" customFormat="false" ht="15" hidden="false" customHeight="false" outlineLevel="0" collapsed="false">
      <c r="A3257" s="102"/>
      <c r="B3257" s="104"/>
      <c r="C3257" s="104"/>
      <c r="F3257" s="103" t="str">
        <f aca="false">IF(OR($C3257="",$D3257=0),"",$E3257/$D3257)</f>
        <v/>
      </c>
      <c r="H3257" s="0" t="str">
        <f aca="false">IF($C3257="","",IF(COUNTIF('مواد المخزون'!$A$2:$A$86,$C3257)&gt;0,"نعم","لا (خارج الجرد)"))</f>
        <v/>
      </c>
    </row>
    <row r="3258" customFormat="false" ht="15" hidden="false" customHeight="false" outlineLevel="0" collapsed="false">
      <c r="A3258" s="102"/>
      <c r="B3258" s="104"/>
      <c r="C3258" s="104"/>
      <c r="F3258" s="103" t="str">
        <f aca="false">IF(OR($C3258="",$D3258=0),"",$E3258/$D3258)</f>
        <v/>
      </c>
      <c r="H3258" s="0" t="str">
        <f aca="false">IF($C3258="","",IF(COUNTIF('مواد المخزون'!$A$2:$A$86,$C3258)&gt;0,"نعم","لا (خارج الجرد)"))</f>
        <v/>
      </c>
    </row>
    <row r="3259" customFormat="false" ht="15" hidden="false" customHeight="false" outlineLevel="0" collapsed="false">
      <c r="A3259" s="102"/>
      <c r="B3259" s="104"/>
      <c r="C3259" s="104"/>
      <c r="F3259" s="103" t="str">
        <f aca="false">IF(OR($C3259="",$D3259=0),"",$E3259/$D3259)</f>
        <v/>
      </c>
      <c r="H3259" s="0" t="str">
        <f aca="false">IF($C3259="","",IF(COUNTIF('مواد المخزون'!$A$2:$A$86,$C3259)&gt;0,"نعم","لا (خارج الجرد)"))</f>
        <v/>
      </c>
    </row>
    <row r="3260" customFormat="false" ht="15" hidden="false" customHeight="false" outlineLevel="0" collapsed="false">
      <c r="A3260" s="102"/>
      <c r="B3260" s="104"/>
      <c r="C3260" s="104"/>
      <c r="F3260" s="103" t="str">
        <f aca="false">IF(OR($C3260="",$D3260=0),"",$E3260/$D3260)</f>
        <v/>
      </c>
      <c r="H3260" s="0" t="str">
        <f aca="false">IF($C3260="","",IF(COUNTIF('مواد المخزون'!$A$2:$A$86,$C3260)&gt;0,"نعم","لا (خارج الجرد)"))</f>
        <v/>
      </c>
    </row>
    <row r="3261" customFormat="false" ht="15" hidden="false" customHeight="false" outlineLevel="0" collapsed="false">
      <c r="A3261" s="102"/>
      <c r="B3261" s="104"/>
      <c r="C3261" s="104"/>
      <c r="F3261" s="103" t="str">
        <f aca="false">IF(OR($C3261="",$D3261=0),"",$E3261/$D3261)</f>
        <v/>
      </c>
      <c r="H3261" s="0" t="str">
        <f aca="false">IF($C3261="","",IF(COUNTIF('مواد المخزون'!$A$2:$A$86,$C3261)&gt;0,"نعم","لا (خارج الجرد)"))</f>
        <v/>
      </c>
    </row>
    <row r="3262" customFormat="false" ht="15" hidden="false" customHeight="false" outlineLevel="0" collapsed="false">
      <c r="A3262" s="102"/>
      <c r="B3262" s="104"/>
      <c r="C3262" s="104"/>
      <c r="F3262" s="103" t="str">
        <f aca="false">IF(OR($C3262="",$D3262=0),"",$E3262/$D3262)</f>
        <v/>
      </c>
      <c r="H3262" s="0" t="str">
        <f aca="false">IF($C3262="","",IF(COUNTIF('مواد المخزون'!$A$2:$A$86,$C3262)&gt;0,"نعم","لا (خارج الجرد)"))</f>
        <v/>
      </c>
    </row>
    <row r="3263" customFormat="false" ht="15" hidden="false" customHeight="false" outlineLevel="0" collapsed="false">
      <c r="A3263" s="102"/>
      <c r="B3263" s="104"/>
      <c r="C3263" s="104"/>
      <c r="F3263" s="103" t="str">
        <f aca="false">IF(OR($C3263="",$D3263=0),"",$E3263/$D3263)</f>
        <v/>
      </c>
      <c r="H3263" s="0" t="str">
        <f aca="false">IF($C3263="","",IF(COUNTIF('مواد المخزون'!$A$2:$A$86,$C3263)&gt;0,"نعم","لا (خارج الجرد)"))</f>
        <v/>
      </c>
    </row>
    <row r="3264" customFormat="false" ht="15" hidden="false" customHeight="false" outlineLevel="0" collapsed="false">
      <c r="A3264" s="102"/>
      <c r="B3264" s="104"/>
      <c r="C3264" s="104"/>
      <c r="F3264" s="103" t="str">
        <f aca="false">IF(OR($C3264="",$D3264=0),"",$E3264/$D3264)</f>
        <v/>
      </c>
      <c r="H3264" s="0" t="str">
        <f aca="false">IF($C3264="","",IF(COUNTIF('مواد المخزون'!$A$2:$A$86,$C3264)&gt;0,"نعم","لا (خارج الجرد)"))</f>
        <v/>
      </c>
    </row>
    <row r="3265" customFormat="false" ht="15" hidden="false" customHeight="false" outlineLevel="0" collapsed="false">
      <c r="A3265" s="102"/>
      <c r="B3265" s="104"/>
      <c r="C3265" s="104"/>
      <c r="F3265" s="103" t="str">
        <f aca="false">IF(OR($C3265="",$D3265=0),"",$E3265/$D3265)</f>
        <v/>
      </c>
      <c r="H3265" s="0" t="str">
        <f aca="false">IF($C3265="","",IF(COUNTIF('مواد المخزون'!$A$2:$A$86,$C3265)&gt;0,"نعم","لا (خارج الجرد)"))</f>
        <v/>
      </c>
    </row>
    <row r="3266" customFormat="false" ht="15" hidden="false" customHeight="false" outlineLevel="0" collapsed="false">
      <c r="A3266" s="102"/>
      <c r="B3266" s="104"/>
      <c r="C3266" s="104"/>
      <c r="F3266" s="103" t="str">
        <f aca="false">IF(OR($C3266="",$D3266=0),"",$E3266/$D3266)</f>
        <v/>
      </c>
      <c r="H3266" s="0" t="str">
        <f aca="false">IF($C3266="","",IF(COUNTIF('مواد المخزون'!$A$2:$A$86,$C3266)&gt;0,"نعم","لا (خارج الجرد)"))</f>
        <v/>
      </c>
    </row>
    <row r="3267" customFormat="false" ht="15" hidden="false" customHeight="false" outlineLevel="0" collapsed="false">
      <c r="A3267" s="102"/>
      <c r="B3267" s="104"/>
      <c r="C3267" s="104"/>
      <c r="F3267" s="103" t="str">
        <f aca="false">IF(OR($C3267="",$D3267=0),"",$E3267/$D3267)</f>
        <v/>
      </c>
      <c r="H3267" s="0" t="str">
        <f aca="false">IF($C3267="","",IF(COUNTIF('مواد المخزون'!$A$2:$A$86,$C3267)&gt;0,"نعم","لا (خارج الجرد)"))</f>
        <v/>
      </c>
    </row>
    <row r="3268" customFormat="false" ht="15" hidden="false" customHeight="false" outlineLevel="0" collapsed="false">
      <c r="A3268" s="102"/>
      <c r="B3268" s="104"/>
      <c r="C3268" s="104"/>
      <c r="F3268" s="103" t="str">
        <f aca="false">IF(OR($C3268="",$D3268=0),"",$E3268/$D3268)</f>
        <v/>
      </c>
      <c r="H3268" s="0" t="str">
        <f aca="false">IF($C3268="","",IF(COUNTIF('مواد المخزون'!$A$2:$A$86,$C3268)&gt;0,"نعم","لا (خارج الجرد)"))</f>
        <v/>
      </c>
    </row>
    <row r="3269" customFormat="false" ht="15" hidden="false" customHeight="false" outlineLevel="0" collapsed="false">
      <c r="A3269" s="102"/>
      <c r="B3269" s="104"/>
      <c r="C3269" s="104"/>
      <c r="F3269" s="103" t="str">
        <f aca="false">IF(OR($C3269="",$D3269=0),"",$E3269/$D3269)</f>
        <v/>
      </c>
      <c r="H3269" s="0" t="str">
        <f aca="false">IF($C3269="","",IF(COUNTIF('مواد المخزون'!$A$2:$A$86,$C3269)&gt;0,"نعم","لا (خارج الجرد)"))</f>
        <v/>
      </c>
    </row>
    <row r="3270" customFormat="false" ht="15" hidden="false" customHeight="false" outlineLevel="0" collapsed="false">
      <c r="A3270" s="102"/>
      <c r="B3270" s="104"/>
      <c r="C3270" s="104"/>
      <c r="F3270" s="103" t="str">
        <f aca="false">IF(OR($C3270="",$D3270=0),"",$E3270/$D3270)</f>
        <v/>
      </c>
      <c r="H3270" s="0" t="str">
        <f aca="false">IF($C3270="","",IF(COUNTIF('مواد المخزون'!$A$2:$A$86,$C3270)&gt;0,"نعم","لا (خارج الجرد)"))</f>
        <v/>
      </c>
    </row>
    <row r="3271" customFormat="false" ht="15" hidden="false" customHeight="false" outlineLevel="0" collapsed="false">
      <c r="A3271" s="102"/>
      <c r="B3271" s="104"/>
      <c r="C3271" s="104"/>
      <c r="F3271" s="103" t="str">
        <f aca="false">IF(OR($C3271="",$D3271=0),"",$E3271/$D3271)</f>
        <v/>
      </c>
      <c r="H3271" s="0" t="str">
        <f aca="false">IF($C3271="","",IF(COUNTIF('مواد المخزون'!$A$2:$A$86,$C3271)&gt;0,"نعم","لا (خارج الجرد)"))</f>
        <v/>
      </c>
    </row>
    <row r="3272" customFormat="false" ht="15" hidden="false" customHeight="false" outlineLevel="0" collapsed="false">
      <c r="A3272" s="102"/>
      <c r="B3272" s="104"/>
      <c r="C3272" s="104"/>
      <c r="F3272" s="103" t="str">
        <f aca="false">IF(OR($C3272="",$D3272=0),"",$E3272/$D3272)</f>
        <v/>
      </c>
      <c r="H3272" s="0" t="str">
        <f aca="false">IF($C3272="","",IF(COUNTIF('مواد المخزون'!$A$2:$A$86,$C3272)&gt;0,"نعم","لا (خارج الجرد)"))</f>
        <v/>
      </c>
    </row>
    <row r="3273" customFormat="false" ht="15" hidden="false" customHeight="false" outlineLevel="0" collapsed="false">
      <c r="A3273" s="102"/>
      <c r="B3273" s="104"/>
      <c r="C3273" s="104"/>
      <c r="F3273" s="103" t="str">
        <f aca="false">IF(OR($C3273="",$D3273=0),"",$E3273/$D3273)</f>
        <v/>
      </c>
      <c r="H3273" s="0" t="str">
        <f aca="false">IF($C3273="","",IF(COUNTIF('مواد المخزون'!$A$2:$A$86,$C3273)&gt;0,"نعم","لا (خارج الجرد)"))</f>
        <v/>
      </c>
    </row>
    <row r="3274" customFormat="false" ht="15" hidden="false" customHeight="false" outlineLevel="0" collapsed="false">
      <c r="A3274" s="102"/>
      <c r="B3274" s="104"/>
      <c r="C3274" s="104"/>
      <c r="F3274" s="103" t="str">
        <f aca="false">IF(OR($C3274="",$D3274=0),"",$E3274/$D3274)</f>
        <v/>
      </c>
      <c r="H3274" s="0" t="str">
        <f aca="false">IF($C3274="","",IF(COUNTIF('مواد المخزون'!$A$2:$A$86,$C3274)&gt;0,"نعم","لا (خارج الجرد)"))</f>
        <v/>
      </c>
    </row>
    <row r="3275" customFormat="false" ht="15" hidden="false" customHeight="false" outlineLevel="0" collapsed="false">
      <c r="A3275" s="102"/>
      <c r="B3275" s="104"/>
      <c r="C3275" s="104"/>
      <c r="F3275" s="103" t="str">
        <f aca="false">IF(OR($C3275="",$D3275=0),"",$E3275/$D3275)</f>
        <v/>
      </c>
      <c r="H3275" s="0" t="str">
        <f aca="false">IF($C3275="","",IF(COUNTIF('مواد المخزون'!$A$2:$A$86,$C3275)&gt;0,"نعم","لا (خارج الجرد)"))</f>
        <v/>
      </c>
    </row>
    <row r="3276" customFormat="false" ht="15" hidden="false" customHeight="false" outlineLevel="0" collapsed="false">
      <c r="A3276" s="102"/>
      <c r="B3276" s="104"/>
      <c r="C3276" s="104"/>
      <c r="F3276" s="103" t="str">
        <f aca="false">IF(OR($C3276="",$D3276=0),"",$E3276/$D3276)</f>
        <v/>
      </c>
      <c r="H3276" s="0" t="str">
        <f aca="false">IF($C3276="","",IF(COUNTIF('مواد المخزون'!$A$2:$A$86,$C3276)&gt;0,"نعم","لا (خارج الجرد)"))</f>
        <v/>
      </c>
    </row>
    <row r="3277" customFormat="false" ht="15" hidden="false" customHeight="false" outlineLevel="0" collapsed="false">
      <c r="A3277" s="102"/>
      <c r="B3277" s="104"/>
      <c r="C3277" s="104"/>
      <c r="F3277" s="103" t="str">
        <f aca="false">IF(OR($C3277="",$D3277=0),"",$E3277/$D3277)</f>
        <v/>
      </c>
      <c r="H3277" s="0" t="str">
        <f aca="false">IF($C3277="","",IF(COUNTIF('مواد المخزون'!$A$2:$A$86,$C3277)&gt;0,"نعم","لا (خارج الجرد)"))</f>
        <v/>
      </c>
    </row>
    <row r="3278" customFormat="false" ht="15" hidden="false" customHeight="false" outlineLevel="0" collapsed="false">
      <c r="A3278" s="102"/>
      <c r="B3278" s="104"/>
      <c r="C3278" s="104"/>
      <c r="F3278" s="103" t="str">
        <f aca="false">IF(OR($C3278="",$D3278=0),"",$E3278/$D3278)</f>
        <v/>
      </c>
      <c r="H3278" s="0" t="str">
        <f aca="false">IF($C3278="","",IF(COUNTIF('مواد المخزون'!$A$2:$A$86,$C3278)&gt;0,"نعم","لا (خارج الجرد)"))</f>
        <v/>
      </c>
    </row>
    <row r="3279" customFormat="false" ht="15" hidden="false" customHeight="false" outlineLevel="0" collapsed="false">
      <c r="A3279" s="102"/>
      <c r="B3279" s="104"/>
      <c r="C3279" s="104"/>
      <c r="F3279" s="103" t="str">
        <f aca="false">IF(OR($C3279="",$D3279=0),"",$E3279/$D3279)</f>
        <v/>
      </c>
      <c r="H3279" s="0" t="str">
        <f aca="false">IF($C3279="","",IF(COUNTIF('مواد المخزون'!$A$2:$A$86,$C3279)&gt;0,"نعم","لا (خارج الجرد)"))</f>
        <v/>
      </c>
    </row>
    <row r="3280" customFormat="false" ht="15" hidden="false" customHeight="false" outlineLevel="0" collapsed="false">
      <c r="A3280" s="102"/>
      <c r="B3280" s="104"/>
      <c r="C3280" s="104"/>
      <c r="F3280" s="103" t="str">
        <f aca="false">IF(OR($C3280="",$D3280=0),"",$E3280/$D3280)</f>
        <v/>
      </c>
      <c r="H3280" s="0" t="str">
        <f aca="false">IF($C3280="","",IF(COUNTIF('مواد المخزون'!$A$2:$A$86,$C3280)&gt;0,"نعم","لا (خارج الجرد)"))</f>
        <v/>
      </c>
    </row>
    <row r="3281" customFormat="false" ht="15" hidden="false" customHeight="false" outlineLevel="0" collapsed="false">
      <c r="A3281" s="102"/>
      <c r="B3281" s="104"/>
      <c r="C3281" s="104"/>
      <c r="F3281" s="103" t="str">
        <f aca="false">IF(OR($C3281="",$D3281=0),"",$E3281/$D3281)</f>
        <v/>
      </c>
      <c r="H3281" s="0" t="str">
        <f aca="false">IF($C3281="","",IF(COUNTIF('مواد المخزون'!$A$2:$A$86,$C3281)&gt;0,"نعم","لا (خارج الجرد)"))</f>
        <v/>
      </c>
    </row>
    <row r="3282" customFormat="false" ht="15" hidden="false" customHeight="false" outlineLevel="0" collapsed="false">
      <c r="A3282" s="102"/>
      <c r="B3282" s="104"/>
      <c r="C3282" s="104"/>
      <c r="F3282" s="103" t="str">
        <f aca="false">IF(OR($C3282="",$D3282=0),"",$E3282/$D3282)</f>
        <v/>
      </c>
      <c r="H3282" s="0" t="str">
        <f aca="false">IF($C3282="","",IF(COUNTIF('مواد المخزون'!$A$2:$A$86,$C3282)&gt;0,"نعم","لا (خارج الجرد)"))</f>
        <v/>
      </c>
    </row>
    <row r="3283" customFormat="false" ht="15" hidden="false" customHeight="false" outlineLevel="0" collapsed="false">
      <c r="A3283" s="102"/>
      <c r="B3283" s="104"/>
      <c r="C3283" s="104"/>
      <c r="F3283" s="103" t="str">
        <f aca="false">IF(OR($C3283="",$D3283=0),"",$E3283/$D3283)</f>
        <v/>
      </c>
      <c r="H3283" s="0" t="str">
        <f aca="false">IF($C3283="","",IF(COUNTIF('مواد المخزون'!$A$2:$A$86,$C3283)&gt;0,"نعم","لا (خارج الجرد)"))</f>
        <v/>
      </c>
    </row>
    <row r="3284" customFormat="false" ht="15" hidden="false" customHeight="false" outlineLevel="0" collapsed="false">
      <c r="A3284" s="102"/>
      <c r="B3284" s="104"/>
      <c r="C3284" s="104"/>
      <c r="F3284" s="103" t="str">
        <f aca="false">IF(OR($C3284="",$D3284=0),"",$E3284/$D3284)</f>
        <v/>
      </c>
      <c r="H3284" s="0" t="str">
        <f aca="false">IF($C3284="","",IF(COUNTIF('مواد المخزون'!$A$2:$A$86,$C3284)&gt;0,"نعم","لا (خارج الجرد)"))</f>
        <v/>
      </c>
    </row>
    <row r="3285" customFormat="false" ht="15" hidden="false" customHeight="false" outlineLevel="0" collapsed="false">
      <c r="A3285" s="102"/>
      <c r="B3285" s="104"/>
      <c r="C3285" s="104"/>
      <c r="F3285" s="103" t="str">
        <f aca="false">IF(OR($C3285="",$D3285=0),"",$E3285/$D3285)</f>
        <v/>
      </c>
      <c r="H3285" s="0" t="str">
        <f aca="false">IF($C3285="","",IF(COUNTIF('مواد المخزون'!$A$2:$A$86,$C3285)&gt;0,"نعم","لا (خارج الجرد)"))</f>
        <v/>
      </c>
    </row>
    <row r="3286" customFormat="false" ht="15" hidden="false" customHeight="false" outlineLevel="0" collapsed="false">
      <c r="A3286" s="102"/>
      <c r="B3286" s="104"/>
      <c r="C3286" s="104"/>
      <c r="F3286" s="103" t="str">
        <f aca="false">IF(OR($C3286="",$D3286=0),"",$E3286/$D3286)</f>
        <v/>
      </c>
      <c r="H3286" s="0" t="str">
        <f aca="false">IF($C3286="","",IF(COUNTIF('مواد المخزون'!$A$2:$A$86,$C3286)&gt;0,"نعم","لا (خارج الجرد)"))</f>
        <v/>
      </c>
    </row>
    <row r="3287" customFormat="false" ht="15" hidden="false" customHeight="false" outlineLevel="0" collapsed="false">
      <c r="A3287" s="102"/>
      <c r="B3287" s="104"/>
      <c r="C3287" s="104"/>
      <c r="F3287" s="103" t="str">
        <f aca="false">IF(OR($C3287="",$D3287=0),"",$E3287/$D3287)</f>
        <v/>
      </c>
      <c r="H3287" s="0" t="str">
        <f aca="false">IF($C3287="","",IF(COUNTIF('مواد المخزون'!$A$2:$A$86,$C3287)&gt;0,"نعم","لا (خارج الجرد)"))</f>
        <v/>
      </c>
    </row>
    <row r="3288" customFormat="false" ht="15" hidden="false" customHeight="false" outlineLevel="0" collapsed="false">
      <c r="A3288" s="102"/>
      <c r="B3288" s="104"/>
      <c r="C3288" s="104"/>
      <c r="F3288" s="103" t="str">
        <f aca="false">IF(OR($C3288="",$D3288=0),"",$E3288/$D3288)</f>
        <v/>
      </c>
      <c r="H3288" s="0" t="str">
        <f aca="false">IF($C3288="","",IF(COUNTIF('مواد المخزون'!$A$2:$A$86,$C3288)&gt;0,"نعم","لا (خارج الجرد)"))</f>
        <v/>
      </c>
    </row>
    <row r="3289" customFormat="false" ht="15" hidden="false" customHeight="false" outlineLevel="0" collapsed="false">
      <c r="A3289" s="102"/>
      <c r="B3289" s="104"/>
      <c r="C3289" s="104"/>
      <c r="F3289" s="103" t="str">
        <f aca="false">IF(OR($C3289="",$D3289=0),"",$E3289/$D3289)</f>
        <v/>
      </c>
      <c r="H3289" s="0" t="str">
        <f aca="false">IF($C3289="","",IF(COUNTIF('مواد المخزون'!$A$2:$A$86,$C3289)&gt;0,"نعم","لا (خارج الجرد)"))</f>
        <v/>
      </c>
    </row>
    <row r="3290" customFormat="false" ht="15" hidden="false" customHeight="false" outlineLevel="0" collapsed="false">
      <c r="A3290" s="102"/>
      <c r="B3290" s="104"/>
      <c r="C3290" s="104"/>
      <c r="F3290" s="103" t="str">
        <f aca="false">IF(OR($C3290="",$D3290=0),"",$E3290/$D3290)</f>
        <v/>
      </c>
      <c r="H3290" s="0" t="str">
        <f aca="false">IF($C3290="","",IF(COUNTIF('مواد المخزون'!$A$2:$A$86,$C3290)&gt;0,"نعم","لا (خارج الجرد)"))</f>
        <v/>
      </c>
    </row>
    <row r="3291" customFormat="false" ht="15" hidden="false" customHeight="false" outlineLevel="0" collapsed="false">
      <c r="A3291" s="102"/>
      <c r="B3291" s="104"/>
      <c r="C3291" s="104"/>
      <c r="F3291" s="103" t="str">
        <f aca="false">IF(OR($C3291="",$D3291=0),"",$E3291/$D3291)</f>
        <v/>
      </c>
      <c r="H3291" s="0" t="str">
        <f aca="false">IF($C3291="","",IF(COUNTIF('مواد المخزون'!$A$2:$A$86,$C3291)&gt;0,"نعم","لا (خارج الجرد)"))</f>
        <v/>
      </c>
    </row>
    <row r="3292" customFormat="false" ht="15" hidden="false" customHeight="false" outlineLevel="0" collapsed="false">
      <c r="A3292" s="102"/>
      <c r="B3292" s="104"/>
      <c r="C3292" s="104"/>
      <c r="F3292" s="103" t="str">
        <f aca="false">IF(OR($C3292="",$D3292=0),"",$E3292/$D3292)</f>
        <v/>
      </c>
      <c r="H3292" s="0" t="str">
        <f aca="false">IF($C3292="","",IF(COUNTIF('مواد المخزون'!$A$2:$A$86,$C3292)&gt;0,"نعم","لا (خارج الجرد)"))</f>
        <v/>
      </c>
    </row>
    <row r="3293" customFormat="false" ht="15" hidden="false" customHeight="false" outlineLevel="0" collapsed="false">
      <c r="A3293" s="102"/>
      <c r="B3293" s="104"/>
      <c r="C3293" s="104"/>
      <c r="F3293" s="103" t="str">
        <f aca="false">IF(OR($C3293="",$D3293=0),"",$E3293/$D3293)</f>
        <v/>
      </c>
      <c r="H3293" s="0" t="str">
        <f aca="false">IF($C3293="","",IF(COUNTIF('مواد المخزون'!$A$2:$A$86,$C3293)&gt;0,"نعم","لا (خارج الجرد)"))</f>
        <v/>
      </c>
    </row>
    <row r="3294" customFormat="false" ht="15" hidden="false" customHeight="false" outlineLevel="0" collapsed="false">
      <c r="A3294" s="102"/>
      <c r="B3294" s="104"/>
      <c r="C3294" s="104"/>
      <c r="F3294" s="103" t="str">
        <f aca="false">IF(OR($C3294="",$D3294=0),"",$E3294/$D3294)</f>
        <v/>
      </c>
      <c r="H3294" s="0" t="str">
        <f aca="false">IF($C3294="","",IF(COUNTIF('مواد المخزون'!$A$2:$A$86,$C3294)&gt;0,"نعم","لا (خارج الجرد)"))</f>
        <v/>
      </c>
    </row>
    <row r="3295" customFormat="false" ht="15" hidden="false" customHeight="false" outlineLevel="0" collapsed="false">
      <c r="A3295" s="102"/>
      <c r="B3295" s="104"/>
      <c r="C3295" s="104"/>
      <c r="F3295" s="103" t="str">
        <f aca="false">IF(OR($C3295="",$D3295=0),"",$E3295/$D3295)</f>
        <v/>
      </c>
      <c r="H3295" s="0" t="str">
        <f aca="false">IF($C3295="","",IF(COUNTIF('مواد المخزون'!$A$2:$A$86,$C3295)&gt;0,"نعم","لا (خارج الجرد)"))</f>
        <v/>
      </c>
    </row>
    <row r="3296" customFormat="false" ht="15" hidden="false" customHeight="false" outlineLevel="0" collapsed="false">
      <c r="A3296" s="102"/>
      <c r="B3296" s="104"/>
      <c r="C3296" s="104"/>
      <c r="F3296" s="103" t="str">
        <f aca="false">IF(OR($C3296="",$D3296=0),"",$E3296/$D3296)</f>
        <v/>
      </c>
      <c r="H3296" s="0" t="str">
        <f aca="false">IF($C3296="","",IF(COUNTIF('مواد المخزون'!$A$2:$A$86,$C3296)&gt;0,"نعم","لا (خارج الجرد)"))</f>
        <v/>
      </c>
    </row>
    <row r="3297" customFormat="false" ht="15" hidden="false" customHeight="false" outlineLevel="0" collapsed="false">
      <c r="A3297" s="102"/>
      <c r="B3297" s="104"/>
      <c r="C3297" s="104"/>
      <c r="F3297" s="103" t="str">
        <f aca="false">IF(OR($C3297="",$D3297=0),"",$E3297/$D3297)</f>
        <v/>
      </c>
      <c r="H3297" s="0" t="str">
        <f aca="false">IF($C3297="","",IF(COUNTIF('مواد المخزون'!$A$2:$A$86,$C3297)&gt;0,"نعم","لا (خارج الجرد)"))</f>
        <v/>
      </c>
    </row>
    <row r="3298" customFormat="false" ht="15" hidden="false" customHeight="false" outlineLevel="0" collapsed="false">
      <c r="A3298" s="102"/>
      <c r="B3298" s="104"/>
      <c r="C3298" s="104"/>
      <c r="F3298" s="103" t="str">
        <f aca="false">IF(OR($C3298="",$D3298=0),"",$E3298/$D3298)</f>
        <v/>
      </c>
      <c r="H3298" s="0" t="str">
        <f aca="false">IF($C3298="","",IF(COUNTIF('مواد المخزون'!$A$2:$A$86,$C3298)&gt;0,"نعم","لا (خارج الجرد)"))</f>
        <v/>
      </c>
    </row>
    <row r="3299" customFormat="false" ht="15" hidden="false" customHeight="false" outlineLevel="0" collapsed="false">
      <c r="A3299" s="102"/>
      <c r="B3299" s="104"/>
      <c r="C3299" s="104"/>
      <c r="F3299" s="103" t="str">
        <f aca="false">IF(OR($C3299="",$D3299=0),"",$E3299/$D3299)</f>
        <v/>
      </c>
      <c r="H3299" s="0" t="str">
        <f aca="false">IF($C3299="","",IF(COUNTIF('مواد المخزون'!$A$2:$A$86,$C3299)&gt;0,"نعم","لا (خارج الجرد)"))</f>
        <v/>
      </c>
    </row>
    <row r="3300" customFormat="false" ht="15" hidden="false" customHeight="false" outlineLevel="0" collapsed="false">
      <c r="A3300" s="102"/>
      <c r="B3300" s="104"/>
      <c r="C3300" s="104"/>
      <c r="F3300" s="103" t="str">
        <f aca="false">IF(OR($C3300="",$D3300=0),"",$E3300/$D3300)</f>
        <v/>
      </c>
      <c r="H3300" s="0" t="str">
        <f aca="false">IF($C3300="","",IF(COUNTIF('مواد المخزون'!$A$2:$A$86,$C3300)&gt;0,"نعم","لا (خارج الجرد)"))</f>
        <v/>
      </c>
    </row>
    <row r="3301" customFormat="false" ht="15" hidden="false" customHeight="false" outlineLevel="0" collapsed="false">
      <c r="A3301" s="102"/>
      <c r="B3301" s="104"/>
      <c r="C3301" s="104"/>
      <c r="F3301" s="103" t="str">
        <f aca="false">IF(OR($C3301="",$D3301=0),"",$E3301/$D3301)</f>
        <v/>
      </c>
      <c r="H3301" s="0" t="str">
        <f aca="false">IF($C3301="","",IF(COUNTIF('مواد المخزون'!$A$2:$A$86,$C3301)&gt;0,"نعم","لا (خارج الجرد)"))</f>
        <v/>
      </c>
    </row>
    <row r="3302" customFormat="false" ht="15" hidden="false" customHeight="false" outlineLevel="0" collapsed="false">
      <c r="A3302" s="102"/>
      <c r="B3302" s="104"/>
      <c r="C3302" s="104"/>
      <c r="F3302" s="103" t="str">
        <f aca="false">IF(OR($C3302="",$D3302=0),"",$E3302/$D3302)</f>
        <v/>
      </c>
      <c r="H3302" s="0" t="str">
        <f aca="false">IF($C3302="","",IF(COUNTIF('مواد المخزون'!$A$2:$A$86,$C3302)&gt;0,"نعم","لا (خارج الجرد)"))</f>
        <v/>
      </c>
    </row>
    <row r="3303" customFormat="false" ht="15" hidden="false" customHeight="false" outlineLevel="0" collapsed="false">
      <c r="A3303" s="102"/>
      <c r="B3303" s="104"/>
      <c r="C3303" s="104"/>
      <c r="F3303" s="103" t="str">
        <f aca="false">IF(OR($C3303="",$D3303=0),"",$E3303/$D3303)</f>
        <v/>
      </c>
      <c r="H3303" s="0" t="str">
        <f aca="false">IF($C3303="","",IF(COUNTIF('مواد المخزون'!$A$2:$A$86,$C3303)&gt;0,"نعم","لا (خارج الجرد)"))</f>
        <v/>
      </c>
    </row>
    <row r="3304" customFormat="false" ht="15" hidden="false" customHeight="false" outlineLevel="0" collapsed="false">
      <c r="A3304" s="102"/>
      <c r="B3304" s="104"/>
      <c r="C3304" s="104"/>
      <c r="F3304" s="103" t="str">
        <f aca="false">IF(OR($C3304="",$D3304=0),"",$E3304/$D3304)</f>
        <v/>
      </c>
      <c r="H3304" s="0" t="str">
        <f aca="false">IF($C3304="","",IF(COUNTIF('مواد المخزون'!$A$2:$A$86,$C3304)&gt;0,"نعم","لا (خارج الجرد)"))</f>
        <v/>
      </c>
    </row>
    <row r="3305" customFormat="false" ht="15" hidden="false" customHeight="false" outlineLevel="0" collapsed="false">
      <c r="A3305" s="102"/>
      <c r="B3305" s="104"/>
      <c r="C3305" s="104"/>
      <c r="F3305" s="103" t="str">
        <f aca="false">IF(OR($C3305="",$D3305=0),"",$E3305/$D3305)</f>
        <v/>
      </c>
      <c r="H3305" s="0" t="str">
        <f aca="false">IF($C3305="","",IF(COUNTIF('مواد المخزون'!$A$2:$A$86,$C3305)&gt;0,"نعم","لا (خارج الجرد)"))</f>
        <v/>
      </c>
    </row>
    <row r="3306" customFormat="false" ht="15" hidden="false" customHeight="false" outlineLevel="0" collapsed="false">
      <c r="A3306" s="102"/>
      <c r="B3306" s="104"/>
      <c r="C3306" s="104"/>
      <c r="F3306" s="103" t="str">
        <f aca="false">IF(OR($C3306="",$D3306=0),"",$E3306/$D3306)</f>
        <v/>
      </c>
      <c r="H3306" s="0" t="str">
        <f aca="false">IF($C3306="","",IF(COUNTIF('مواد المخزون'!$A$2:$A$86,$C3306)&gt;0,"نعم","لا (خارج الجرد)"))</f>
        <v/>
      </c>
    </row>
    <row r="3307" customFormat="false" ht="15" hidden="false" customHeight="false" outlineLevel="0" collapsed="false">
      <c r="A3307" s="102"/>
      <c r="B3307" s="104"/>
      <c r="C3307" s="104"/>
      <c r="F3307" s="103" t="str">
        <f aca="false">IF(OR($C3307="",$D3307=0),"",$E3307/$D3307)</f>
        <v/>
      </c>
      <c r="H3307" s="0" t="str">
        <f aca="false">IF($C3307="","",IF(COUNTIF('مواد المخزون'!$A$2:$A$86,$C3307)&gt;0,"نعم","لا (خارج الجرد)"))</f>
        <v/>
      </c>
    </row>
    <row r="3308" customFormat="false" ht="15" hidden="false" customHeight="false" outlineLevel="0" collapsed="false">
      <c r="A3308" s="102"/>
      <c r="B3308" s="104"/>
      <c r="C3308" s="104"/>
      <c r="F3308" s="103" t="str">
        <f aca="false">IF(OR($C3308="",$D3308=0),"",$E3308/$D3308)</f>
        <v/>
      </c>
      <c r="H3308" s="0" t="str">
        <f aca="false">IF($C3308="","",IF(COUNTIF('مواد المخزون'!$A$2:$A$86,$C3308)&gt;0,"نعم","لا (خارج الجرد)"))</f>
        <v/>
      </c>
    </row>
    <row r="3309" customFormat="false" ht="15" hidden="false" customHeight="false" outlineLevel="0" collapsed="false">
      <c r="A3309" s="102"/>
      <c r="B3309" s="104"/>
      <c r="C3309" s="104"/>
      <c r="F3309" s="103" t="str">
        <f aca="false">IF(OR($C3309="",$D3309=0),"",$E3309/$D3309)</f>
        <v/>
      </c>
      <c r="H3309" s="0" t="str">
        <f aca="false">IF($C3309="","",IF(COUNTIF('مواد المخزون'!$A$2:$A$86,$C3309)&gt;0,"نعم","لا (خارج الجرد)"))</f>
        <v/>
      </c>
    </row>
    <row r="3310" customFormat="false" ht="15" hidden="false" customHeight="false" outlineLevel="0" collapsed="false">
      <c r="A3310" s="102"/>
      <c r="B3310" s="104"/>
      <c r="C3310" s="104"/>
      <c r="F3310" s="103" t="str">
        <f aca="false">IF(OR($C3310="",$D3310=0),"",$E3310/$D3310)</f>
        <v/>
      </c>
      <c r="H3310" s="0" t="str">
        <f aca="false">IF($C3310="","",IF(COUNTIF('مواد المخزون'!$A$2:$A$86,$C3310)&gt;0,"نعم","لا (خارج الجرد)"))</f>
        <v/>
      </c>
    </row>
    <row r="3311" customFormat="false" ht="15" hidden="false" customHeight="false" outlineLevel="0" collapsed="false">
      <c r="A3311" s="102"/>
      <c r="B3311" s="104"/>
      <c r="C3311" s="104"/>
      <c r="F3311" s="103" t="str">
        <f aca="false">IF(OR($C3311="",$D3311=0),"",$E3311/$D3311)</f>
        <v/>
      </c>
      <c r="H3311" s="0" t="str">
        <f aca="false">IF($C3311="","",IF(COUNTIF('مواد المخزون'!$A$2:$A$86,$C3311)&gt;0,"نعم","لا (خارج الجرد)"))</f>
        <v/>
      </c>
    </row>
    <row r="3312" customFormat="false" ht="15" hidden="false" customHeight="false" outlineLevel="0" collapsed="false">
      <c r="A3312" s="102"/>
      <c r="B3312" s="104"/>
      <c r="C3312" s="104"/>
      <c r="F3312" s="103" t="str">
        <f aca="false">IF(OR($C3312="",$D3312=0),"",$E3312/$D3312)</f>
        <v/>
      </c>
      <c r="H3312" s="0" t="str">
        <f aca="false">IF($C3312="","",IF(COUNTIF('مواد المخزون'!$A$2:$A$86,$C3312)&gt;0,"نعم","لا (خارج الجرد)"))</f>
        <v/>
      </c>
    </row>
    <row r="3313" customFormat="false" ht="15" hidden="false" customHeight="false" outlineLevel="0" collapsed="false">
      <c r="A3313" s="102"/>
      <c r="B3313" s="104"/>
      <c r="C3313" s="104"/>
      <c r="F3313" s="103" t="str">
        <f aca="false">IF(OR($C3313="",$D3313=0),"",$E3313/$D3313)</f>
        <v/>
      </c>
      <c r="H3313" s="0" t="str">
        <f aca="false">IF($C3313="","",IF(COUNTIF('مواد المخزون'!$A$2:$A$86,$C3313)&gt;0,"نعم","لا (خارج الجرد)"))</f>
        <v/>
      </c>
    </row>
    <row r="3314" customFormat="false" ht="15" hidden="false" customHeight="false" outlineLevel="0" collapsed="false">
      <c r="A3314" s="102"/>
      <c r="B3314" s="104"/>
      <c r="C3314" s="104"/>
      <c r="F3314" s="103" t="str">
        <f aca="false">IF(OR($C3314="",$D3314=0),"",$E3314/$D3314)</f>
        <v/>
      </c>
      <c r="H3314" s="0" t="str">
        <f aca="false">IF($C3314="","",IF(COUNTIF('مواد المخزون'!$A$2:$A$86,$C3314)&gt;0,"نعم","لا (خارج الجرد)"))</f>
        <v/>
      </c>
    </row>
    <row r="3315" customFormat="false" ht="15" hidden="false" customHeight="false" outlineLevel="0" collapsed="false">
      <c r="A3315" s="102"/>
      <c r="B3315" s="104"/>
      <c r="C3315" s="104"/>
      <c r="F3315" s="103" t="str">
        <f aca="false">IF(OR($C3315="",$D3315=0),"",$E3315/$D3315)</f>
        <v/>
      </c>
      <c r="H3315" s="0" t="str">
        <f aca="false">IF($C3315="","",IF(COUNTIF('مواد المخزون'!$A$2:$A$86,$C3315)&gt;0,"نعم","لا (خارج الجرد)"))</f>
        <v/>
      </c>
    </row>
    <row r="3316" customFormat="false" ht="15" hidden="false" customHeight="false" outlineLevel="0" collapsed="false">
      <c r="A3316" s="102"/>
      <c r="B3316" s="104"/>
      <c r="C3316" s="104"/>
      <c r="F3316" s="103" t="str">
        <f aca="false">IF(OR($C3316="",$D3316=0),"",$E3316/$D3316)</f>
        <v/>
      </c>
      <c r="H3316" s="0" t="str">
        <f aca="false">IF($C3316="","",IF(COUNTIF('مواد المخزون'!$A$2:$A$86,$C3316)&gt;0,"نعم","لا (خارج الجرد)"))</f>
        <v/>
      </c>
    </row>
    <row r="3317" customFormat="false" ht="15" hidden="false" customHeight="false" outlineLevel="0" collapsed="false">
      <c r="A3317" s="102"/>
      <c r="B3317" s="104"/>
      <c r="C3317" s="104"/>
      <c r="F3317" s="103" t="str">
        <f aca="false">IF(OR($C3317="",$D3317=0),"",$E3317/$D3317)</f>
        <v/>
      </c>
      <c r="H3317" s="0" t="str">
        <f aca="false">IF($C3317="","",IF(COUNTIF('مواد المخزون'!$A$2:$A$86,$C3317)&gt;0,"نعم","لا (خارج الجرد)"))</f>
        <v/>
      </c>
    </row>
    <row r="3318" customFormat="false" ht="15" hidden="false" customHeight="false" outlineLevel="0" collapsed="false">
      <c r="A3318" s="102"/>
      <c r="B3318" s="104"/>
      <c r="C3318" s="104"/>
      <c r="F3318" s="103" t="str">
        <f aca="false">IF(OR($C3318="",$D3318=0),"",$E3318/$D3318)</f>
        <v/>
      </c>
      <c r="H3318" s="0" t="str">
        <f aca="false">IF($C3318="","",IF(COUNTIF('مواد المخزون'!$A$2:$A$86,$C3318)&gt;0,"نعم","لا (خارج الجرد)"))</f>
        <v/>
      </c>
    </row>
    <row r="3319" customFormat="false" ht="15" hidden="false" customHeight="false" outlineLevel="0" collapsed="false">
      <c r="A3319" s="102"/>
      <c r="B3319" s="104"/>
      <c r="C3319" s="104"/>
      <c r="F3319" s="103" t="str">
        <f aca="false">IF(OR($C3319="",$D3319=0),"",$E3319/$D3319)</f>
        <v/>
      </c>
      <c r="H3319" s="0" t="str">
        <f aca="false">IF($C3319="","",IF(COUNTIF('مواد المخزون'!$A$2:$A$86,$C3319)&gt;0,"نعم","لا (خارج الجرد)"))</f>
        <v/>
      </c>
    </row>
    <row r="3320" customFormat="false" ht="15" hidden="false" customHeight="false" outlineLevel="0" collapsed="false">
      <c r="A3320" s="102"/>
      <c r="B3320" s="104"/>
      <c r="C3320" s="104"/>
      <c r="F3320" s="103" t="str">
        <f aca="false">IF(OR($C3320="",$D3320=0),"",$E3320/$D3320)</f>
        <v/>
      </c>
      <c r="H3320" s="0" t="str">
        <f aca="false">IF($C3320="","",IF(COUNTIF('مواد المخزون'!$A$2:$A$86,$C3320)&gt;0,"نعم","لا (خارج الجرد)"))</f>
        <v/>
      </c>
    </row>
    <row r="3321" customFormat="false" ht="15" hidden="false" customHeight="false" outlineLevel="0" collapsed="false">
      <c r="A3321" s="102"/>
      <c r="B3321" s="104"/>
      <c r="C3321" s="104"/>
      <c r="F3321" s="103" t="str">
        <f aca="false">IF(OR($C3321="",$D3321=0),"",$E3321/$D3321)</f>
        <v/>
      </c>
      <c r="H3321" s="0" t="str">
        <f aca="false">IF($C3321="","",IF(COUNTIF('مواد المخزون'!$A$2:$A$86,$C3321)&gt;0,"نعم","لا (خارج الجرد)"))</f>
        <v/>
      </c>
    </row>
    <row r="3322" customFormat="false" ht="15" hidden="false" customHeight="false" outlineLevel="0" collapsed="false">
      <c r="A3322" s="102"/>
      <c r="B3322" s="104"/>
      <c r="C3322" s="104"/>
      <c r="F3322" s="103" t="str">
        <f aca="false">IF(OR($C3322="",$D3322=0),"",$E3322/$D3322)</f>
        <v/>
      </c>
      <c r="H3322" s="0" t="str">
        <f aca="false">IF($C3322="","",IF(COUNTIF('مواد المخزون'!$A$2:$A$86,$C3322)&gt;0,"نعم","لا (خارج الجرد)"))</f>
        <v/>
      </c>
    </row>
    <row r="3323" customFormat="false" ht="15" hidden="false" customHeight="false" outlineLevel="0" collapsed="false">
      <c r="A3323" s="102"/>
      <c r="B3323" s="104"/>
      <c r="C3323" s="104"/>
      <c r="F3323" s="103" t="str">
        <f aca="false">IF(OR($C3323="",$D3323=0),"",$E3323/$D3323)</f>
        <v/>
      </c>
      <c r="H3323" s="0" t="str">
        <f aca="false">IF($C3323="","",IF(COUNTIF('مواد المخزون'!$A$2:$A$86,$C3323)&gt;0,"نعم","لا (خارج الجرد)"))</f>
        <v/>
      </c>
    </row>
    <row r="3324" customFormat="false" ht="15" hidden="false" customHeight="false" outlineLevel="0" collapsed="false">
      <c r="A3324" s="102"/>
      <c r="B3324" s="104"/>
      <c r="C3324" s="104"/>
      <c r="F3324" s="103" t="str">
        <f aca="false">IF(OR($C3324="",$D3324=0),"",$E3324/$D3324)</f>
        <v/>
      </c>
      <c r="H3324" s="0" t="str">
        <f aca="false">IF($C3324="","",IF(COUNTIF('مواد المخزون'!$A$2:$A$86,$C3324)&gt;0,"نعم","لا (خارج الجرد)"))</f>
        <v/>
      </c>
    </row>
    <row r="3325" customFormat="false" ht="15" hidden="false" customHeight="false" outlineLevel="0" collapsed="false">
      <c r="A3325" s="102"/>
      <c r="B3325" s="104"/>
      <c r="C3325" s="104"/>
      <c r="F3325" s="103" t="str">
        <f aca="false">IF(OR($C3325="",$D3325=0),"",$E3325/$D3325)</f>
        <v/>
      </c>
      <c r="H3325" s="0" t="str">
        <f aca="false">IF($C3325="","",IF(COUNTIF('مواد المخزون'!$A$2:$A$86,$C3325)&gt;0,"نعم","لا (خارج الجرد)"))</f>
        <v/>
      </c>
    </row>
    <row r="3326" customFormat="false" ht="15" hidden="false" customHeight="false" outlineLevel="0" collapsed="false">
      <c r="A3326" s="102"/>
      <c r="B3326" s="104"/>
      <c r="C3326" s="104"/>
      <c r="F3326" s="103" t="str">
        <f aca="false">IF(OR($C3326="",$D3326=0),"",$E3326/$D3326)</f>
        <v/>
      </c>
      <c r="H3326" s="0" t="str">
        <f aca="false">IF($C3326="","",IF(COUNTIF('مواد المخزون'!$A$2:$A$86,$C3326)&gt;0,"نعم","لا (خارج الجرد)"))</f>
        <v/>
      </c>
    </row>
    <row r="3327" customFormat="false" ht="15" hidden="false" customHeight="false" outlineLevel="0" collapsed="false">
      <c r="A3327" s="102"/>
      <c r="B3327" s="104"/>
      <c r="C3327" s="104"/>
      <c r="F3327" s="103" t="str">
        <f aca="false">IF(OR($C3327="",$D3327=0),"",$E3327/$D3327)</f>
        <v/>
      </c>
      <c r="H3327" s="0" t="str">
        <f aca="false">IF($C3327="","",IF(COUNTIF('مواد المخزون'!$A$2:$A$86,$C3327)&gt;0,"نعم","لا (خارج الجرد)"))</f>
        <v/>
      </c>
    </row>
    <row r="3328" customFormat="false" ht="15" hidden="false" customHeight="false" outlineLevel="0" collapsed="false">
      <c r="A3328" s="102"/>
      <c r="B3328" s="104"/>
      <c r="C3328" s="104"/>
      <c r="F3328" s="103" t="str">
        <f aca="false">IF(OR($C3328="",$D3328=0),"",$E3328/$D3328)</f>
        <v/>
      </c>
      <c r="H3328" s="0" t="str">
        <f aca="false">IF($C3328="","",IF(COUNTIF('مواد المخزون'!$A$2:$A$86,$C3328)&gt;0,"نعم","لا (خارج الجرد)"))</f>
        <v/>
      </c>
    </row>
    <row r="3329" customFormat="false" ht="15" hidden="false" customHeight="false" outlineLevel="0" collapsed="false">
      <c r="A3329" s="102"/>
      <c r="B3329" s="104"/>
      <c r="C3329" s="104"/>
      <c r="F3329" s="103" t="str">
        <f aca="false">IF(OR($C3329="",$D3329=0),"",$E3329/$D3329)</f>
        <v/>
      </c>
      <c r="H3329" s="0" t="str">
        <f aca="false">IF($C3329="","",IF(COUNTIF('مواد المخزون'!$A$2:$A$86,$C3329)&gt;0,"نعم","لا (خارج الجرد)"))</f>
        <v/>
      </c>
    </row>
    <row r="3330" customFormat="false" ht="15" hidden="false" customHeight="false" outlineLevel="0" collapsed="false">
      <c r="A3330" s="102"/>
      <c r="B3330" s="104"/>
      <c r="C3330" s="104"/>
      <c r="F3330" s="103" t="str">
        <f aca="false">IF(OR($C3330="",$D3330=0),"",$E3330/$D3330)</f>
        <v/>
      </c>
      <c r="H3330" s="0" t="str">
        <f aca="false">IF($C3330="","",IF(COUNTIF('مواد المخزون'!$A$2:$A$86,$C3330)&gt;0,"نعم","لا (خارج الجرد)"))</f>
        <v/>
      </c>
    </row>
    <row r="3331" customFormat="false" ht="15" hidden="false" customHeight="false" outlineLevel="0" collapsed="false">
      <c r="A3331" s="102"/>
      <c r="B3331" s="104"/>
      <c r="C3331" s="104"/>
      <c r="F3331" s="103" t="str">
        <f aca="false">IF(OR($C3331="",$D3331=0),"",$E3331/$D3331)</f>
        <v/>
      </c>
      <c r="H3331" s="0" t="str">
        <f aca="false">IF($C3331="","",IF(COUNTIF('مواد المخزون'!$A$2:$A$86,$C3331)&gt;0,"نعم","لا (خارج الجرد)"))</f>
        <v/>
      </c>
    </row>
    <row r="3332" customFormat="false" ht="15" hidden="false" customHeight="false" outlineLevel="0" collapsed="false">
      <c r="A3332" s="102"/>
      <c r="B3332" s="104"/>
      <c r="C3332" s="104"/>
      <c r="F3332" s="103" t="str">
        <f aca="false">IF(OR($C3332="",$D3332=0),"",$E3332/$D3332)</f>
        <v/>
      </c>
      <c r="H3332" s="0" t="str">
        <f aca="false">IF($C3332="","",IF(COUNTIF('مواد المخزون'!$A$2:$A$86,$C3332)&gt;0,"نعم","لا (خارج الجرد)"))</f>
        <v/>
      </c>
    </row>
    <row r="3333" customFormat="false" ht="15" hidden="false" customHeight="false" outlineLevel="0" collapsed="false">
      <c r="A3333" s="102"/>
      <c r="B3333" s="104"/>
      <c r="C3333" s="104"/>
      <c r="F3333" s="103" t="str">
        <f aca="false">IF(OR($C3333="",$D3333=0),"",$E3333/$D3333)</f>
        <v/>
      </c>
      <c r="H3333" s="0" t="str">
        <f aca="false">IF($C3333="","",IF(COUNTIF('مواد المخزون'!$A$2:$A$86,$C3333)&gt;0,"نعم","لا (خارج الجرد)"))</f>
        <v/>
      </c>
    </row>
    <row r="3334" customFormat="false" ht="15" hidden="false" customHeight="false" outlineLevel="0" collapsed="false">
      <c r="A3334" s="102"/>
      <c r="B3334" s="104"/>
      <c r="C3334" s="104"/>
      <c r="F3334" s="103" t="str">
        <f aca="false">IF(OR($C3334="",$D3334=0),"",$E3334/$D3334)</f>
        <v/>
      </c>
      <c r="H3334" s="0" t="str">
        <f aca="false">IF($C3334="","",IF(COUNTIF('مواد المخزون'!$A$2:$A$86,$C3334)&gt;0,"نعم","لا (خارج الجرد)"))</f>
        <v/>
      </c>
    </row>
    <row r="3335" customFormat="false" ht="15" hidden="false" customHeight="false" outlineLevel="0" collapsed="false">
      <c r="A3335" s="102"/>
      <c r="B3335" s="104"/>
      <c r="C3335" s="104"/>
      <c r="F3335" s="103" t="str">
        <f aca="false">IF(OR($C3335="",$D3335=0),"",$E3335/$D3335)</f>
        <v/>
      </c>
      <c r="H3335" s="0" t="str">
        <f aca="false">IF($C3335="","",IF(COUNTIF('مواد المخزون'!$A$2:$A$86,$C3335)&gt;0,"نعم","لا (خارج الجرد)"))</f>
        <v/>
      </c>
    </row>
    <row r="3336" customFormat="false" ht="15" hidden="false" customHeight="false" outlineLevel="0" collapsed="false">
      <c r="A3336" s="102"/>
      <c r="B3336" s="104"/>
      <c r="C3336" s="104"/>
      <c r="F3336" s="103" t="str">
        <f aca="false">IF(OR($C3336="",$D3336=0),"",$E3336/$D3336)</f>
        <v/>
      </c>
      <c r="H3336" s="0" t="str">
        <f aca="false">IF($C3336="","",IF(COUNTIF('مواد المخزون'!$A$2:$A$86,$C3336)&gt;0,"نعم","لا (خارج الجرد)"))</f>
        <v/>
      </c>
    </row>
    <row r="3337" customFormat="false" ht="15" hidden="false" customHeight="false" outlineLevel="0" collapsed="false">
      <c r="A3337" s="102"/>
      <c r="B3337" s="104"/>
      <c r="C3337" s="104"/>
      <c r="F3337" s="103" t="str">
        <f aca="false">IF(OR($C3337="",$D3337=0),"",$E3337/$D3337)</f>
        <v/>
      </c>
      <c r="H3337" s="0" t="str">
        <f aca="false">IF($C3337="","",IF(COUNTIF('مواد المخزون'!$A$2:$A$86,$C3337)&gt;0,"نعم","لا (خارج الجرد)"))</f>
        <v/>
      </c>
    </row>
    <row r="3338" customFormat="false" ht="15" hidden="false" customHeight="false" outlineLevel="0" collapsed="false">
      <c r="A3338" s="102"/>
      <c r="B3338" s="104"/>
      <c r="C3338" s="104"/>
      <c r="F3338" s="103" t="str">
        <f aca="false">IF(OR($C3338="",$D3338=0),"",$E3338/$D3338)</f>
        <v/>
      </c>
      <c r="H3338" s="0" t="str">
        <f aca="false">IF($C3338="","",IF(COUNTIF('مواد المخزون'!$A$2:$A$86,$C3338)&gt;0,"نعم","لا (خارج الجرد)"))</f>
        <v/>
      </c>
    </row>
    <row r="3339" customFormat="false" ht="15" hidden="false" customHeight="false" outlineLevel="0" collapsed="false">
      <c r="A3339" s="102"/>
      <c r="B3339" s="104"/>
      <c r="C3339" s="104"/>
      <c r="F3339" s="103" t="str">
        <f aca="false">IF(OR($C3339="",$D3339=0),"",$E3339/$D3339)</f>
        <v/>
      </c>
      <c r="H3339" s="0" t="str">
        <f aca="false">IF($C3339="","",IF(COUNTIF('مواد المخزون'!$A$2:$A$86,$C3339)&gt;0,"نعم","لا (خارج الجرد)"))</f>
        <v/>
      </c>
    </row>
    <row r="3340" customFormat="false" ht="15" hidden="false" customHeight="false" outlineLevel="0" collapsed="false">
      <c r="A3340" s="102"/>
      <c r="B3340" s="104"/>
      <c r="C3340" s="104"/>
      <c r="F3340" s="103" t="str">
        <f aca="false">IF(OR($C3340="",$D3340=0),"",$E3340/$D3340)</f>
        <v/>
      </c>
      <c r="H3340" s="0" t="str">
        <f aca="false">IF($C3340="","",IF(COUNTIF('مواد المخزون'!$A$2:$A$86,$C3340)&gt;0,"نعم","لا (خارج الجرد)"))</f>
        <v/>
      </c>
    </row>
    <row r="3341" customFormat="false" ht="15" hidden="false" customHeight="false" outlineLevel="0" collapsed="false">
      <c r="A3341" s="102"/>
      <c r="B3341" s="104"/>
      <c r="C3341" s="104"/>
      <c r="F3341" s="103" t="str">
        <f aca="false">IF(OR($C3341="",$D3341=0),"",$E3341/$D3341)</f>
        <v/>
      </c>
      <c r="H3341" s="0" t="str">
        <f aca="false">IF($C3341="","",IF(COUNTIF('مواد المخزون'!$A$2:$A$86,$C3341)&gt;0,"نعم","لا (خارج الجرد)"))</f>
        <v/>
      </c>
    </row>
    <row r="3342" customFormat="false" ht="15" hidden="false" customHeight="false" outlineLevel="0" collapsed="false">
      <c r="A3342" s="102"/>
      <c r="B3342" s="104"/>
      <c r="C3342" s="104"/>
      <c r="F3342" s="103" t="str">
        <f aca="false">IF(OR($C3342="",$D3342=0),"",$E3342/$D3342)</f>
        <v/>
      </c>
      <c r="H3342" s="0" t="str">
        <f aca="false">IF($C3342="","",IF(COUNTIF('مواد المخزون'!$A$2:$A$86,$C3342)&gt;0,"نعم","لا (خارج الجرد)"))</f>
        <v/>
      </c>
    </row>
    <row r="3343" customFormat="false" ht="15" hidden="false" customHeight="false" outlineLevel="0" collapsed="false">
      <c r="A3343" s="102"/>
      <c r="B3343" s="104"/>
      <c r="C3343" s="104"/>
      <c r="F3343" s="103" t="str">
        <f aca="false">IF(OR($C3343="",$D3343=0),"",$E3343/$D3343)</f>
        <v/>
      </c>
      <c r="H3343" s="0" t="str">
        <f aca="false">IF($C3343="","",IF(COUNTIF('مواد المخزون'!$A$2:$A$86,$C3343)&gt;0,"نعم","لا (خارج الجرد)"))</f>
        <v/>
      </c>
    </row>
    <row r="3344" customFormat="false" ht="15" hidden="false" customHeight="false" outlineLevel="0" collapsed="false">
      <c r="A3344" s="102"/>
      <c r="B3344" s="104"/>
      <c r="C3344" s="104"/>
      <c r="F3344" s="103" t="str">
        <f aca="false">IF(OR($C3344="",$D3344=0),"",$E3344/$D3344)</f>
        <v/>
      </c>
      <c r="H3344" s="0" t="str">
        <f aca="false">IF($C3344="","",IF(COUNTIF('مواد المخزون'!$A$2:$A$86,$C3344)&gt;0,"نعم","لا (خارج الجرد)"))</f>
        <v/>
      </c>
    </row>
    <row r="3345" customFormat="false" ht="15" hidden="false" customHeight="false" outlineLevel="0" collapsed="false">
      <c r="A3345" s="102"/>
      <c r="B3345" s="104"/>
      <c r="C3345" s="104"/>
      <c r="F3345" s="103" t="str">
        <f aca="false">IF(OR($C3345="",$D3345=0),"",$E3345/$D3345)</f>
        <v/>
      </c>
      <c r="H3345" s="0" t="str">
        <f aca="false">IF($C3345="","",IF(COUNTIF('مواد المخزون'!$A$2:$A$86,$C3345)&gt;0,"نعم","لا (خارج الجرد)"))</f>
        <v/>
      </c>
    </row>
    <row r="3346" customFormat="false" ht="15" hidden="false" customHeight="false" outlineLevel="0" collapsed="false">
      <c r="A3346" s="102"/>
      <c r="B3346" s="104"/>
      <c r="C3346" s="104"/>
      <c r="F3346" s="103" t="str">
        <f aca="false">IF(OR($C3346="",$D3346=0),"",$E3346/$D3346)</f>
        <v/>
      </c>
      <c r="H3346" s="0" t="str">
        <f aca="false">IF($C3346="","",IF(COUNTIF('مواد المخزون'!$A$2:$A$86,$C3346)&gt;0,"نعم","لا (خارج الجرد)"))</f>
        <v/>
      </c>
    </row>
    <row r="3347" customFormat="false" ht="15" hidden="false" customHeight="false" outlineLevel="0" collapsed="false">
      <c r="A3347" s="102"/>
      <c r="B3347" s="104"/>
      <c r="C3347" s="104"/>
      <c r="F3347" s="103" t="str">
        <f aca="false">IF(OR($C3347="",$D3347=0),"",$E3347/$D3347)</f>
        <v/>
      </c>
      <c r="H3347" s="0" t="str">
        <f aca="false">IF($C3347="","",IF(COUNTIF('مواد المخزون'!$A$2:$A$86,$C3347)&gt;0,"نعم","لا (خارج الجرد)"))</f>
        <v/>
      </c>
    </row>
    <row r="3348" customFormat="false" ht="15" hidden="false" customHeight="false" outlineLevel="0" collapsed="false">
      <c r="A3348" s="102"/>
      <c r="B3348" s="104"/>
      <c r="C3348" s="104"/>
      <c r="F3348" s="103" t="str">
        <f aca="false">IF(OR($C3348="",$D3348=0),"",$E3348/$D3348)</f>
        <v/>
      </c>
      <c r="H3348" s="0" t="str">
        <f aca="false">IF($C3348="","",IF(COUNTIF('مواد المخزون'!$A$2:$A$86,$C3348)&gt;0,"نعم","لا (خارج الجرد)"))</f>
        <v/>
      </c>
    </row>
    <row r="3349" customFormat="false" ht="15" hidden="false" customHeight="false" outlineLevel="0" collapsed="false">
      <c r="A3349" s="102"/>
      <c r="B3349" s="104"/>
      <c r="C3349" s="104"/>
      <c r="F3349" s="103" t="str">
        <f aca="false">IF(OR($C3349="",$D3349=0),"",$E3349/$D3349)</f>
        <v/>
      </c>
      <c r="H3349" s="0" t="str">
        <f aca="false">IF($C3349="","",IF(COUNTIF('مواد المخزون'!$A$2:$A$86,$C3349)&gt;0,"نعم","لا (خارج الجرد)"))</f>
        <v/>
      </c>
    </row>
    <row r="3350" customFormat="false" ht="15" hidden="false" customHeight="false" outlineLevel="0" collapsed="false">
      <c r="A3350" s="102"/>
      <c r="B3350" s="104"/>
      <c r="C3350" s="104"/>
      <c r="F3350" s="103" t="str">
        <f aca="false">IF(OR($C3350="",$D3350=0),"",$E3350/$D3350)</f>
        <v/>
      </c>
      <c r="H3350" s="0" t="str">
        <f aca="false">IF($C3350="","",IF(COUNTIF('مواد المخزون'!$A$2:$A$86,$C3350)&gt;0,"نعم","لا (خارج الجرد)"))</f>
        <v/>
      </c>
    </row>
    <row r="3351" customFormat="false" ht="15" hidden="false" customHeight="false" outlineLevel="0" collapsed="false">
      <c r="A3351" s="102"/>
      <c r="B3351" s="104"/>
      <c r="C3351" s="104"/>
      <c r="F3351" s="103" t="str">
        <f aca="false">IF(OR($C3351="",$D3351=0),"",$E3351/$D3351)</f>
        <v/>
      </c>
      <c r="H3351" s="0" t="str">
        <f aca="false">IF($C3351="","",IF(COUNTIF('مواد المخزون'!$A$2:$A$86,$C3351)&gt;0,"نعم","لا (خارج الجرد)"))</f>
        <v/>
      </c>
    </row>
    <row r="3352" customFormat="false" ht="15" hidden="false" customHeight="false" outlineLevel="0" collapsed="false">
      <c r="A3352" s="102"/>
      <c r="B3352" s="104"/>
      <c r="C3352" s="104"/>
      <c r="F3352" s="103" t="str">
        <f aca="false">IF(OR($C3352="",$D3352=0),"",$E3352/$D3352)</f>
        <v/>
      </c>
      <c r="H3352" s="0" t="str">
        <f aca="false">IF($C3352="","",IF(COUNTIF('مواد المخزون'!$A$2:$A$86,$C3352)&gt;0,"نعم","لا (خارج الجرد)"))</f>
        <v/>
      </c>
    </row>
    <row r="3353" customFormat="false" ht="15" hidden="false" customHeight="false" outlineLevel="0" collapsed="false">
      <c r="A3353" s="102"/>
      <c r="B3353" s="104"/>
      <c r="C3353" s="104"/>
      <c r="F3353" s="103" t="str">
        <f aca="false">IF(OR($C3353="",$D3353=0),"",$E3353/$D3353)</f>
        <v/>
      </c>
      <c r="H3353" s="0" t="str">
        <f aca="false">IF($C3353="","",IF(COUNTIF('مواد المخزون'!$A$2:$A$86,$C3353)&gt;0,"نعم","لا (خارج الجرد)"))</f>
        <v/>
      </c>
    </row>
    <row r="3354" customFormat="false" ht="15" hidden="false" customHeight="false" outlineLevel="0" collapsed="false">
      <c r="A3354" s="102"/>
      <c r="B3354" s="104"/>
      <c r="C3354" s="104"/>
      <c r="F3354" s="103" t="str">
        <f aca="false">IF(OR($C3354="",$D3354=0),"",$E3354/$D3354)</f>
        <v/>
      </c>
      <c r="H3354" s="0" t="str">
        <f aca="false">IF($C3354="","",IF(COUNTIF('مواد المخزون'!$A$2:$A$86,$C3354)&gt;0,"نعم","لا (خارج الجرد)"))</f>
        <v/>
      </c>
    </row>
    <row r="3355" customFormat="false" ht="15" hidden="false" customHeight="false" outlineLevel="0" collapsed="false">
      <c r="A3355" s="102"/>
      <c r="B3355" s="104"/>
      <c r="C3355" s="104"/>
      <c r="F3355" s="103" t="str">
        <f aca="false">IF(OR($C3355="",$D3355=0),"",$E3355/$D3355)</f>
        <v/>
      </c>
      <c r="H3355" s="0" t="str">
        <f aca="false">IF($C3355="","",IF(COUNTIF('مواد المخزون'!$A$2:$A$86,$C3355)&gt;0,"نعم","لا (خارج الجرد)"))</f>
        <v/>
      </c>
    </row>
    <row r="3356" customFormat="false" ht="15" hidden="false" customHeight="false" outlineLevel="0" collapsed="false">
      <c r="A3356" s="102"/>
      <c r="B3356" s="104"/>
      <c r="C3356" s="104"/>
      <c r="F3356" s="103" t="str">
        <f aca="false">IF(OR($C3356="",$D3356=0),"",$E3356/$D3356)</f>
        <v/>
      </c>
      <c r="H3356" s="0" t="str">
        <f aca="false">IF($C3356="","",IF(COUNTIF('مواد المخزون'!$A$2:$A$86,$C3356)&gt;0,"نعم","لا (خارج الجرد)"))</f>
        <v/>
      </c>
    </row>
    <row r="3357" customFormat="false" ht="15" hidden="false" customHeight="false" outlineLevel="0" collapsed="false">
      <c r="A3357" s="102"/>
      <c r="B3357" s="104"/>
      <c r="C3357" s="104"/>
      <c r="F3357" s="103" t="str">
        <f aca="false">IF(OR($C3357="",$D3357=0),"",$E3357/$D3357)</f>
        <v/>
      </c>
      <c r="H3357" s="0" t="str">
        <f aca="false">IF($C3357="","",IF(COUNTIF('مواد المخزون'!$A$2:$A$86,$C3357)&gt;0,"نعم","لا (خارج الجرد)"))</f>
        <v/>
      </c>
    </row>
    <row r="3358" customFormat="false" ht="15" hidden="false" customHeight="false" outlineLevel="0" collapsed="false">
      <c r="A3358" s="102"/>
      <c r="B3358" s="104"/>
      <c r="C3358" s="104"/>
      <c r="F3358" s="103" t="str">
        <f aca="false">IF(OR($C3358="",$D3358=0),"",$E3358/$D3358)</f>
        <v/>
      </c>
      <c r="H3358" s="0" t="str">
        <f aca="false">IF($C3358="","",IF(COUNTIF('مواد المخزون'!$A$2:$A$86,$C3358)&gt;0,"نعم","لا (خارج الجرد)"))</f>
        <v/>
      </c>
    </row>
    <row r="3359" customFormat="false" ht="15" hidden="false" customHeight="false" outlineLevel="0" collapsed="false">
      <c r="A3359" s="102"/>
      <c r="B3359" s="104"/>
      <c r="C3359" s="104"/>
      <c r="F3359" s="103" t="str">
        <f aca="false">IF(OR($C3359="",$D3359=0),"",$E3359/$D3359)</f>
        <v/>
      </c>
      <c r="H3359" s="0" t="str">
        <f aca="false">IF($C3359="","",IF(COUNTIF('مواد المخزون'!$A$2:$A$86,$C3359)&gt;0,"نعم","لا (خارج الجرد)"))</f>
        <v/>
      </c>
    </row>
    <row r="3360" customFormat="false" ht="15" hidden="false" customHeight="false" outlineLevel="0" collapsed="false">
      <c r="A3360" s="102"/>
      <c r="B3360" s="104"/>
      <c r="C3360" s="104"/>
      <c r="F3360" s="103" t="str">
        <f aca="false">IF(OR($C3360="",$D3360=0),"",$E3360/$D3360)</f>
        <v/>
      </c>
      <c r="H3360" s="0" t="str">
        <f aca="false">IF($C3360="","",IF(COUNTIF('مواد المخزون'!$A$2:$A$86,$C3360)&gt;0,"نعم","لا (خارج الجرد)"))</f>
        <v/>
      </c>
    </row>
    <row r="3361" customFormat="false" ht="15" hidden="false" customHeight="false" outlineLevel="0" collapsed="false">
      <c r="A3361" s="102"/>
      <c r="B3361" s="104"/>
      <c r="C3361" s="104"/>
      <c r="F3361" s="103" t="str">
        <f aca="false">IF(OR($C3361="",$D3361=0),"",$E3361/$D3361)</f>
        <v/>
      </c>
      <c r="H3361" s="0" t="str">
        <f aca="false">IF($C3361="","",IF(COUNTIF('مواد المخزون'!$A$2:$A$86,$C3361)&gt;0,"نعم","لا (خارج الجرد)"))</f>
        <v/>
      </c>
    </row>
    <row r="3362" customFormat="false" ht="15" hidden="false" customHeight="false" outlineLevel="0" collapsed="false">
      <c r="A3362" s="102"/>
      <c r="B3362" s="104"/>
      <c r="C3362" s="104"/>
      <c r="F3362" s="103" t="str">
        <f aca="false">IF(OR($C3362="",$D3362=0),"",$E3362/$D3362)</f>
        <v/>
      </c>
      <c r="H3362" s="0" t="str">
        <f aca="false">IF($C3362="","",IF(COUNTIF('مواد المخزون'!$A$2:$A$86,$C3362)&gt;0,"نعم","لا (خارج الجرد)"))</f>
        <v/>
      </c>
    </row>
    <row r="3363" customFormat="false" ht="15" hidden="false" customHeight="false" outlineLevel="0" collapsed="false">
      <c r="A3363" s="102"/>
      <c r="B3363" s="104"/>
      <c r="C3363" s="104"/>
      <c r="F3363" s="103" t="str">
        <f aca="false">IF(OR($C3363="",$D3363=0),"",$E3363/$D3363)</f>
        <v/>
      </c>
      <c r="H3363" s="0" t="str">
        <f aca="false">IF($C3363="","",IF(COUNTIF('مواد المخزون'!$A$2:$A$86,$C3363)&gt;0,"نعم","لا (خارج الجرد)"))</f>
        <v/>
      </c>
    </row>
    <row r="3364" customFormat="false" ht="15" hidden="false" customHeight="false" outlineLevel="0" collapsed="false">
      <c r="A3364" s="102"/>
      <c r="B3364" s="104"/>
      <c r="C3364" s="104"/>
      <c r="F3364" s="103" t="str">
        <f aca="false">IF(OR($C3364="",$D3364=0),"",$E3364/$D3364)</f>
        <v/>
      </c>
      <c r="H3364" s="0" t="str">
        <f aca="false">IF($C3364="","",IF(COUNTIF('مواد المخزون'!$A$2:$A$86,$C3364)&gt;0,"نعم","لا (خارج الجرد)"))</f>
        <v/>
      </c>
    </row>
    <row r="3365" customFormat="false" ht="15" hidden="false" customHeight="false" outlineLevel="0" collapsed="false">
      <c r="A3365" s="102"/>
      <c r="B3365" s="104"/>
      <c r="C3365" s="104"/>
      <c r="F3365" s="103" t="str">
        <f aca="false">IF(OR($C3365="",$D3365=0),"",$E3365/$D3365)</f>
        <v/>
      </c>
      <c r="H3365" s="0" t="str">
        <f aca="false">IF($C3365="","",IF(COUNTIF('مواد المخزون'!$A$2:$A$86,$C3365)&gt;0,"نعم","لا (خارج الجرد)"))</f>
        <v/>
      </c>
    </row>
    <row r="3366" customFormat="false" ht="15" hidden="false" customHeight="false" outlineLevel="0" collapsed="false">
      <c r="A3366" s="102"/>
      <c r="B3366" s="104"/>
      <c r="C3366" s="104"/>
      <c r="F3366" s="103" t="str">
        <f aca="false">IF(OR($C3366="",$D3366=0),"",$E3366/$D3366)</f>
        <v/>
      </c>
      <c r="H3366" s="0" t="str">
        <f aca="false">IF($C3366="","",IF(COUNTIF('مواد المخزون'!$A$2:$A$86,$C3366)&gt;0,"نعم","لا (خارج الجرد)"))</f>
        <v/>
      </c>
    </row>
    <row r="3367" customFormat="false" ht="15" hidden="false" customHeight="false" outlineLevel="0" collapsed="false">
      <c r="A3367" s="102"/>
      <c r="B3367" s="104"/>
      <c r="C3367" s="104"/>
      <c r="F3367" s="103" t="str">
        <f aca="false">IF(OR($C3367="",$D3367=0),"",$E3367/$D3367)</f>
        <v/>
      </c>
      <c r="H3367" s="0" t="str">
        <f aca="false">IF($C3367="","",IF(COUNTIF('مواد المخزون'!$A$2:$A$86,$C3367)&gt;0,"نعم","لا (خارج الجرد)"))</f>
        <v/>
      </c>
    </row>
    <row r="3368" customFormat="false" ht="15" hidden="false" customHeight="false" outlineLevel="0" collapsed="false">
      <c r="A3368" s="102"/>
      <c r="B3368" s="104"/>
      <c r="C3368" s="104"/>
      <c r="F3368" s="103" t="str">
        <f aca="false">IF(OR($C3368="",$D3368=0),"",$E3368/$D3368)</f>
        <v/>
      </c>
      <c r="H3368" s="0" t="str">
        <f aca="false">IF($C3368="","",IF(COUNTIF('مواد المخزون'!$A$2:$A$86,$C3368)&gt;0,"نعم","لا (خارج الجرد)"))</f>
        <v/>
      </c>
    </row>
    <row r="3369" customFormat="false" ht="15" hidden="false" customHeight="false" outlineLevel="0" collapsed="false">
      <c r="A3369" s="102"/>
      <c r="B3369" s="104"/>
      <c r="C3369" s="104"/>
      <c r="F3369" s="103" t="str">
        <f aca="false">IF(OR($C3369="",$D3369=0),"",$E3369/$D3369)</f>
        <v/>
      </c>
      <c r="H3369" s="0" t="str">
        <f aca="false">IF($C3369="","",IF(COUNTIF('مواد المخزون'!$A$2:$A$86,$C3369)&gt;0,"نعم","لا (خارج الجرد)"))</f>
        <v/>
      </c>
    </row>
    <row r="3370" customFormat="false" ht="15" hidden="false" customHeight="false" outlineLevel="0" collapsed="false">
      <c r="A3370" s="102"/>
      <c r="B3370" s="104"/>
      <c r="C3370" s="104"/>
      <c r="F3370" s="103" t="str">
        <f aca="false">IF(OR($C3370="",$D3370=0),"",$E3370/$D3370)</f>
        <v/>
      </c>
      <c r="H3370" s="0" t="str">
        <f aca="false">IF($C3370="","",IF(COUNTIF('مواد المخزون'!$A$2:$A$86,$C3370)&gt;0,"نعم","لا (خارج الجرد)"))</f>
        <v/>
      </c>
    </row>
    <row r="3371" customFormat="false" ht="15" hidden="false" customHeight="false" outlineLevel="0" collapsed="false">
      <c r="A3371" s="102"/>
      <c r="B3371" s="104"/>
      <c r="C3371" s="104"/>
      <c r="F3371" s="103" t="str">
        <f aca="false">IF(OR($C3371="",$D3371=0),"",$E3371/$D3371)</f>
        <v/>
      </c>
      <c r="H3371" s="0" t="str">
        <f aca="false">IF($C3371="","",IF(COUNTIF('مواد المخزون'!$A$2:$A$86,$C3371)&gt;0,"نعم","لا (خارج الجرد)"))</f>
        <v/>
      </c>
    </row>
    <row r="3372" customFormat="false" ht="15" hidden="false" customHeight="false" outlineLevel="0" collapsed="false">
      <c r="A3372" s="102"/>
      <c r="B3372" s="104"/>
      <c r="C3372" s="104"/>
      <c r="F3372" s="103" t="str">
        <f aca="false">IF(OR($C3372="",$D3372=0),"",$E3372/$D3372)</f>
        <v/>
      </c>
      <c r="H3372" s="0" t="str">
        <f aca="false">IF($C3372="","",IF(COUNTIF('مواد المخزون'!$A$2:$A$86,$C3372)&gt;0,"نعم","لا (خارج الجرد)"))</f>
        <v/>
      </c>
    </row>
    <row r="3373" customFormat="false" ht="15" hidden="false" customHeight="false" outlineLevel="0" collapsed="false">
      <c r="A3373" s="102"/>
      <c r="B3373" s="104"/>
      <c r="C3373" s="104"/>
      <c r="F3373" s="103" t="str">
        <f aca="false">IF(OR($C3373="",$D3373=0),"",$E3373/$D3373)</f>
        <v/>
      </c>
      <c r="H3373" s="0" t="str">
        <f aca="false">IF($C3373="","",IF(COUNTIF('مواد المخزون'!$A$2:$A$86,$C3373)&gt;0,"نعم","لا (خارج الجرد)"))</f>
        <v/>
      </c>
    </row>
    <row r="3374" customFormat="false" ht="15" hidden="false" customHeight="false" outlineLevel="0" collapsed="false">
      <c r="A3374" s="102"/>
      <c r="B3374" s="104"/>
      <c r="C3374" s="104"/>
      <c r="F3374" s="103" t="str">
        <f aca="false">IF(OR($C3374="",$D3374=0),"",$E3374/$D3374)</f>
        <v/>
      </c>
      <c r="H3374" s="0" t="str">
        <f aca="false">IF($C3374="","",IF(COUNTIF('مواد المخزون'!$A$2:$A$86,$C3374)&gt;0,"نعم","لا (خارج الجرد)"))</f>
        <v/>
      </c>
    </row>
    <row r="3375" customFormat="false" ht="15" hidden="false" customHeight="false" outlineLevel="0" collapsed="false">
      <c r="A3375" s="102"/>
      <c r="B3375" s="104"/>
      <c r="C3375" s="104"/>
      <c r="F3375" s="103" t="str">
        <f aca="false">IF(OR($C3375="",$D3375=0),"",$E3375/$D3375)</f>
        <v/>
      </c>
      <c r="H3375" s="0" t="str">
        <f aca="false">IF($C3375="","",IF(COUNTIF('مواد المخزون'!$A$2:$A$86,$C3375)&gt;0,"نعم","لا (خارج الجرد)"))</f>
        <v/>
      </c>
    </row>
    <row r="3376" customFormat="false" ht="15" hidden="false" customHeight="false" outlineLevel="0" collapsed="false">
      <c r="A3376" s="102"/>
      <c r="B3376" s="104"/>
      <c r="C3376" s="104"/>
      <c r="F3376" s="103" t="str">
        <f aca="false">IF(OR($C3376="",$D3376=0),"",$E3376/$D3376)</f>
        <v/>
      </c>
      <c r="H3376" s="0" t="str">
        <f aca="false">IF($C3376="","",IF(COUNTIF('مواد المخزون'!$A$2:$A$86,$C3376)&gt;0,"نعم","لا (خارج الجرد)"))</f>
        <v/>
      </c>
    </row>
    <row r="3377" customFormat="false" ht="15" hidden="false" customHeight="false" outlineLevel="0" collapsed="false">
      <c r="A3377" s="102"/>
      <c r="B3377" s="104"/>
      <c r="C3377" s="104"/>
      <c r="F3377" s="103" t="str">
        <f aca="false">IF(OR($C3377="",$D3377=0),"",$E3377/$D3377)</f>
        <v/>
      </c>
      <c r="H3377" s="0" t="str">
        <f aca="false">IF($C3377="","",IF(COUNTIF('مواد المخزون'!$A$2:$A$86,$C3377)&gt;0,"نعم","لا (خارج الجرد)"))</f>
        <v/>
      </c>
    </row>
    <row r="3378" customFormat="false" ht="15" hidden="false" customHeight="false" outlineLevel="0" collapsed="false">
      <c r="A3378" s="102"/>
      <c r="B3378" s="104"/>
      <c r="C3378" s="104"/>
      <c r="F3378" s="103" t="str">
        <f aca="false">IF(OR($C3378="",$D3378=0),"",$E3378/$D3378)</f>
        <v/>
      </c>
      <c r="H3378" s="0" t="str">
        <f aca="false">IF($C3378="","",IF(COUNTIF('مواد المخزون'!$A$2:$A$86,$C3378)&gt;0,"نعم","لا (خارج الجرد)"))</f>
        <v/>
      </c>
    </row>
    <row r="3379" customFormat="false" ht="15" hidden="false" customHeight="false" outlineLevel="0" collapsed="false">
      <c r="A3379" s="102"/>
      <c r="B3379" s="104"/>
      <c r="C3379" s="104"/>
      <c r="F3379" s="103" t="str">
        <f aca="false">IF(OR($C3379="",$D3379=0),"",$E3379/$D3379)</f>
        <v/>
      </c>
      <c r="H3379" s="0" t="str">
        <f aca="false">IF($C3379="","",IF(COUNTIF('مواد المخزون'!$A$2:$A$86,$C3379)&gt;0,"نعم","لا (خارج الجرد)"))</f>
        <v/>
      </c>
    </row>
    <row r="3380" customFormat="false" ht="15" hidden="false" customHeight="false" outlineLevel="0" collapsed="false">
      <c r="A3380" s="102"/>
      <c r="B3380" s="104"/>
      <c r="C3380" s="104"/>
      <c r="F3380" s="103" t="str">
        <f aca="false">IF(OR($C3380="",$D3380=0),"",$E3380/$D3380)</f>
        <v/>
      </c>
      <c r="H3380" s="0" t="str">
        <f aca="false">IF($C3380="","",IF(COUNTIF('مواد المخزون'!$A$2:$A$86,$C3380)&gt;0,"نعم","لا (خارج الجرد)"))</f>
        <v/>
      </c>
    </row>
    <row r="3381" customFormat="false" ht="15" hidden="false" customHeight="false" outlineLevel="0" collapsed="false">
      <c r="A3381" s="102"/>
      <c r="B3381" s="104"/>
      <c r="C3381" s="104"/>
      <c r="F3381" s="103" t="str">
        <f aca="false">IF(OR($C3381="",$D3381=0),"",$E3381/$D3381)</f>
        <v/>
      </c>
      <c r="H3381" s="0" t="str">
        <f aca="false">IF($C3381="","",IF(COUNTIF('مواد المخزون'!$A$2:$A$86,$C3381)&gt;0,"نعم","لا (خارج الجرد)"))</f>
        <v/>
      </c>
    </row>
    <row r="3382" customFormat="false" ht="15" hidden="false" customHeight="false" outlineLevel="0" collapsed="false">
      <c r="A3382" s="102"/>
      <c r="B3382" s="104"/>
      <c r="C3382" s="104"/>
      <c r="F3382" s="103" t="str">
        <f aca="false">IF(OR($C3382="",$D3382=0),"",$E3382/$D3382)</f>
        <v/>
      </c>
      <c r="H3382" s="0" t="str">
        <f aca="false">IF($C3382="","",IF(COUNTIF('مواد المخزون'!$A$2:$A$86,$C3382)&gt;0,"نعم","لا (خارج الجرد)"))</f>
        <v/>
      </c>
    </row>
    <row r="3383" customFormat="false" ht="15" hidden="false" customHeight="false" outlineLevel="0" collapsed="false">
      <c r="A3383" s="102"/>
      <c r="B3383" s="104"/>
      <c r="C3383" s="104"/>
      <c r="F3383" s="103" t="str">
        <f aca="false">IF(OR($C3383="",$D3383=0),"",$E3383/$D3383)</f>
        <v/>
      </c>
      <c r="H3383" s="0" t="str">
        <f aca="false">IF($C3383="","",IF(COUNTIF('مواد المخزون'!$A$2:$A$86,$C3383)&gt;0,"نعم","لا (خارج الجرد)"))</f>
        <v/>
      </c>
    </row>
    <row r="3384" customFormat="false" ht="15" hidden="false" customHeight="false" outlineLevel="0" collapsed="false">
      <c r="A3384" s="102"/>
      <c r="B3384" s="104"/>
      <c r="C3384" s="104"/>
      <c r="F3384" s="103" t="str">
        <f aca="false">IF(OR($C3384="",$D3384=0),"",$E3384/$D3384)</f>
        <v/>
      </c>
      <c r="H3384" s="0" t="str">
        <f aca="false">IF($C3384="","",IF(COUNTIF('مواد المخزون'!$A$2:$A$86,$C3384)&gt;0,"نعم","لا (خارج الجرد)"))</f>
        <v/>
      </c>
    </row>
    <row r="3385" customFormat="false" ht="15" hidden="false" customHeight="false" outlineLevel="0" collapsed="false">
      <c r="A3385" s="102"/>
      <c r="B3385" s="104"/>
      <c r="C3385" s="104"/>
      <c r="F3385" s="103" t="str">
        <f aca="false">IF(OR($C3385="",$D3385=0),"",$E3385/$D3385)</f>
        <v/>
      </c>
      <c r="H3385" s="0" t="str">
        <f aca="false">IF($C3385="","",IF(COUNTIF('مواد المخزون'!$A$2:$A$86,$C3385)&gt;0,"نعم","لا (خارج الجرد)"))</f>
        <v/>
      </c>
    </row>
    <row r="3386" customFormat="false" ht="15" hidden="false" customHeight="false" outlineLevel="0" collapsed="false">
      <c r="A3386" s="102"/>
      <c r="B3386" s="104"/>
      <c r="C3386" s="104"/>
      <c r="F3386" s="103" t="str">
        <f aca="false">IF(OR($C3386="",$D3386=0),"",$E3386/$D3386)</f>
        <v/>
      </c>
      <c r="H3386" s="0" t="str">
        <f aca="false">IF($C3386="","",IF(COUNTIF('مواد المخزون'!$A$2:$A$86,$C3386)&gt;0,"نعم","لا (خارج الجرد)"))</f>
        <v/>
      </c>
    </row>
    <row r="3387" customFormat="false" ht="15" hidden="false" customHeight="false" outlineLevel="0" collapsed="false">
      <c r="A3387" s="102"/>
      <c r="B3387" s="104"/>
      <c r="C3387" s="104"/>
      <c r="F3387" s="103" t="str">
        <f aca="false">IF(OR($C3387="",$D3387=0),"",$E3387/$D3387)</f>
        <v/>
      </c>
      <c r="H3387" s="0" t="str">
        <f aca="false">IF($C3387="","",IF(COUNTIF('مواد المخزون'!$A$2:$A$86,$C3387)&gt;0,"نعم","لا (خارج الجرد)"))</f>
        <v/>
      </c>
    </row>
    <row r="3388" customFormat="false" ht="15" hidden="false" customHeight="false" outlineLevel="0" collapsed="false">
      <c r="A3388" s="102"/>
      <c r="B3388" s="104"/>
      <c r="C3388" s="104"/>
      <c r="F3388" s="103" t="str">
        <f aca="false">IF(OR($C3388="",$D3388=0),"",$E3388/$D3388)</f>
        <v/>
      </c>
      <c r="H3388" s="0" t="str">
        <f aca="false">IF($C3388="","",IF(COUNTIF('مواد المخزون'!$A$2:$A$86,$C3388)&gt;0,"نعم","لا (خارج الجرد)"))</f>
        <v/>
      </c>
    </row>
    <row r="3389" customFormat="false" ht="15" hidden="false" customHeight="false" outlineLevel="0" collapsed="false">
      <c r="A3389" s="102"/>
      <c r="B3389" s="104"/>
      <c r="C3389" s="104"/>
      <c r="F3389" s="103" t="str">
        <f aca="false">IF(OR($C3389="",$D3389=0),"",$E3389/$D3389)</f>
        <v/>
      </c>
      <c r="H3389" s="0" t="str">
        <f aca="false">IF($C3389="","",IF(COUNTIF('مواد المخزون'!$A$2:$A$86,$C3389)&gt;0,"نعم","لا (خارج الجرد)"))</f>
        <v/>
      </c>
    </row>
    <row r="3390" customFormat="false" ht="15" hidden="false" customHeight="false" outlineLevel="0" collapsed="false">
      <c r="A3390" s="102"/>
      <c r="B3390" s="104"/>
      <c r="C3390" s="104"/>
      <c r="F3390" s="103" t="str">
        <f aca="false">IF(OR($C3390="",$D3390=0),"",$E3390/$D3390)</f>
        <v/>
      </c>
      <c r="H3390" s="0" t="str">
        <f aca="false">IF($C3390="","",IF(COUNTIF('مواد المخزون'!$A$2:$A$86,$C3390)&gt;0,"نعم","لا (خارج الجرد)"))</f>
        <v/>
      </c>
    </row>
    <row r="3391" customFormat="false" ht="15" hidden="false" customHeight="false" outlineLevel="0" collapsed="false">
      <c r="A3391" s="102"/>
      <c r="B3391" s="104"/>
      <c r="C3391" s="104"/>
      <c r="F3391" s="103" t="str">
        <f aca="false">IF(OR($C3391="",$D3391=0),"",$E3391/$D3391)</f>
        <v/>
      </c>
      <c r="H3391" s="0" t="str">
        <f aca="false">IF($C3391="","",IF(COUNTIF('مواد المخزون'!$A$2:$A$86,$C3391)&gt;0,"نعم","لا (خارج الجرد)"))</f>
        <v/>
      </c>
    </row>
    <row r="3392" customFormat="false" ht="15" hidden="false" customHeight="false" outlineLevel="0" collapsed="false">
      <c r="A3392" s="102"/>
      <c r="B3392" s="104"/>
      <c r="C3392" s="104"/>
      <c r="F3392" s="103" t="str">
        <f aca="false">IF(OR($C3392="",$D3392=0),"",$E3392/$D3392)</f>
        <v/>
      </c>
      <c r="H3392" s="0" t="str">
        <f aca="false">IF($C3392="","",IF(COUNTIF('مواد المخزون'!$A$2:$A$86,$C3392)&gt;0,"نعم","لا (خارج الجرد)"))</f>
        <v/>
      </c>
    </row>
    <row r="3393" customFormat="false" ht="15" hidden="false" customHeight="false" outlineLevel="0" collapsed="false">
      <c r="A3393" s="102"/>
      <c r="B3393" s="104"/>
      <c r="C3393" s="104"/>
      <c r="F3393" s="103" t="str">
        <f aca="false">IF(OR($C3393="",$D3393=0),"",$E3393/$D3393)</f>
        <v/>
      </c>
      <c r="H3393" s="0" t="str">
        <f aca="false">IF($C3393="","",IF(COUNTIF('مواد المخزون'!$A$2:$A$86,$C3393)&gt;0,"نعم","لا (خارج الجرد)"))</f>
        <v/>
      </c>
    </row>
    <row r="3394" customFormat="false" ht="15" hidden="false" customHeight="false" outlineLevel="0" collapsed="false">
      <c r="A3394" s="102"/>
      <c r="B3394" s="104"/>
      <c r="C3394" s="104"/>
      <c r="F3394" s="103" t="str">
        <f aca="false">IF(OR($C3394="",$D3394=0),"",$E3394/$D3394)</f>
        <v/>
      </c>
      <c r="H3394" s="0" t="str">
        <f aca="false">IF($C3394="","",IF(COUNTIF('مواد المخزون'!$A$2:$A$86,$C3394)&gt;0,"نعم","لا (خارج الجرد)"))</f>
        <v/>
      </c>
    </row>
    <row r="3395" customFormat="false" ht="15" hidden="false" customHeight="false" outlineLevel="0" collapsed="false">
      <c r="A3395" s="102"/>
      <c r="B3395" s="104"/>
      <c r="C3395" s="104"/>
      <c r="F3395" s="103" t="str">
        <f aca="false">IF(OR($C3395="",$D3395=0),"",$E3395/$D3395)</f>
        <v/>
      </c>
      <c r="H3395" s="0" t="str">
        <f aca="false">IF($C3395="","",IF(COUNTIF('مواد المخزون'!$A$2:$A$86,$C3395)&gt;0,"نعم","لا (خارج الجرد)"))</f>
        <v/>
      </c>
    </row>
    <row r="3396" customFormat="false" ht="15" hidden="false" customHeight="false" outlineLevel="0" collapsed="false">
      <c r="A3396" s="102"/>
      <c r="B3396" s="104"/>
      <c r="C3396" s="104"/>
      <c r="F3396" s="103" t="str">
        <f aca="false">IF(OR($C3396="",$D3396=0),"",$E3396/$D3396)</f>
        <v/>
      </c>
      <c r="H3396" s="0" t="str">
        <f aca="false">IF($C3396="","",IF(COUNTIF('مواد المخزون'!$A$2:$A$86,$C3396)&gt;0,"نعم","لا (خارج الجرد)"))</f>
        <v/>
      </c>
    </row>
    <row r="3397" customFormat="false" ht="15" hidden="false" customHeight="false" outlineLevel="0" collapsed="false">
      <c r="A3397" s="102"/>
      <c r="B3397" s="104"/>
      <c r="C3397" s="104"/>
      <c r="F3397" s="103" t="str">
        <f aca="false">IF(OR($C3397="",$D3397=0),"",$E3397/$D3397)</f>
        <v/>
      </c>
      <c r="H3397" s="0" t="str">
        <f aca="false">IF($C3397="","",IF(COUNTIF('مواد المخزون'!$A$2:$A$86,$C3397)&gt;0,"نعم","لا (خارج الجرد)"))</f>
        <v/>
      </c>
    </row>
    <row r="3398" customFormat="false" ht="15" hidden="false" customHeight="false" outlineLevel="0" collapsed="false">
      <c r="A3398" s="102"/>
      <c r="B3398" s="104"/>
      <c r="C3398" s="104"/>
      <c r="F3398" s="103" t="str">
        <f aca="false">IF(OR($C3398="",$D3398=0),"",$E3398/$D3398)</f>
        <v/>
      </c>
      <c r="H3398" s="0" t="str">
        <f aca="false">IF($C3398="","",IF(COUNTIF('مواد المخزون'!$A$2:$A$86,$C3398)&gt;0,"نعم","لا (خارج الجرد)"))</f>
        <v/>
      </c>
    </row>
    <row r="3399" customFormat="false" ht="15" hidden="false" customHeight="false" outlineLevel="0" collapsed="false">
      <c r="A3399" s="102"/>
      <c r="B3399" s="104"/>
      <c r="C3399" s="104"/>
      <c r="F3399" s="103" t="str">
        <f aca="false">IF(OR($C3399="",$D3399=0),"",$E3399/$D3399)</f>
        <v/>
      </c>
      <c r="H3399" s="0" t="str">
        <f aca="false">IF($C3399="","",IF(COUNTIF('مواد المخزون'!$A$2:$A$86,$C3399)&gt;0,"نعم","لا (خارج الجرد)"))</f>
        <v/>
      </c>
    </row>
    <row r="3400" customFormat="false" ht="15" hidden="false" customHeight="false" outlineLevel="0" collapsed="false">
      <c r="A3400" s="102"/>
      <c r="B3400" s="104"/>
      <c r="C3400" s="104"/>
      <c r="F3400" s="103" t="str">
        <f aca="false">IF(OR($C3400="",$D3400=0),"",$E3400/$D3400)</f>
        <v/>
      </c>
      <c r="H3400" s="0" t="str">
        <f aca="false">IF($C3400="","",IF(COUNTIF('مواد المخزون'!$A$2:$A$86,$C3400)&gt;0,"نعم","لا (خارج الجرد)"))</f>
        <v/>
      </c>
    </row>
    <row r="3401" customFormat="false" ht="15" hidden="false" customHeight="false" outlineLevel="0" collapsed="false">
      <c r="A3401" s="102"/>
      <c r="B3401" s="104"/>
      <c r="C3401" s="104"/>
      <c r="F3401" s="103" t="str">
        <f aca="false">IF(OR($C3401="",$D3401=0),"",$E3401/$D3401)</f>
        <v/>
      </c>
      <c r="H3401" s="0" t="str">
        <f aca="false">IF($C3401="","",IF(COUNTIF('مواد المخزون'!$A$2:$A$86,$C3401)&gt;0,"نعم","لا (خارج الجرد)"))</f>
        <v/>
      </c>
    </row>
    <row r="3402" customFormat="false" ht="15" hidden="false" customHeight="false" outlineLevel="0" collapsed="false">
      <c r="A3402" s="102"/>
      <c r="B3402" s="104"/>
      <c r="C3402" s="104"/>
      <c r="F3402" s="103" t="str">
        <f aca="false">IF(OR($C3402="",$D3402=0),"",$E3402/$D3402)</f>
        <v/>
      </c>
      <c r="H3402" s="0" t="str">
        <f aca="false">IF($C3402="","",IF(COUNTIF('مواد المخزون'!$A$2:$A$86,$C3402)&gt;0,"نعم","لا (خارج الجرد)"))</f>
        <v/>
      </c>
    </row>
    <row r="3403" customFormat="false" ht="15" hidden="false" customHeight="false" outlineLevel="0" collapsed="false">
      <c r="A3403" s="102"/>
      <c r="B3403" s="104"/>
      <c r="C3403" s="104"/>
      <c r="F3403" s="103" t="str">
        <f aca="false">IF(OR($C3403="",$D3403=0),"",$E3403/$D3403)</f>
        <v/>
      </c>
      <c r="H3403" s="0" t="str">
        <f aca="false">IF($C3403="","",IF(COUNTIF('مواد المخزون'!$A$2:$A$86,$C3403)&gt;0,"نعم","لا (خارج الجرد)"))</f>
        <v/>
      </c>
    </row>
    <row r="3404" customFormat="false" ht="15" hidden="false" customHeight="false" outlineLevel="0" collapsed="false">
      <c r="A3404" s="102"/>
      <c r="B3404" s="104"/>
      <c r="C3404" s="104"/>
      <c r="F3404" s="103" t="str">
        <f aca="false">IF(OR($C3404="",$D3404=0),"",$E3404/$D3404)</f>
        <v/>
      </c>
      <c r="H3404" s="0" t="str">
        <f aca="false">IF($C3404="","",IF(COUNTIF('مواد المخزون'!$A$2:$A$86,$C3404)&gt;0,"نعم","لا (خارج الجرد)"))</f>
        <v/>
      </c>
    </row>
    <row r="3405" customFormat="false" ht="15" hidden="false" customHeight="false" outlineLevel="0" collapsed="false">
      <c r="A3405" s="102"/>
      <c r="B3405" s="104"/>
      <c r="C3405" s="104"/>
      <c r="F3405" s="103" t="str">
        <f aca="false">IF(OR($C3405="",$D3405=0),"",$E3405/$D3405)</f>
        <v/>
      </c>
      <c r="H3405" s="0" t="str">
        <f aca="false">IF($C3405="","",IF(COUNTIF('مواد المخزون'!$A$2:$A$86,$C3405)&gt;0,"نعم","لا (خارج الجرد)"))</f>
        <v/>
      </c>
    </row>
    <row r="3406" customFormat="false" ht="15" hidden="false" customHeight="false" outlineLevel="0" collapsed="false">
      <c r="A3406" s="102"/>
      <c r="B3406" s="104"/>
      <c r="C3406" s="104"/>
      <c r="F3406" s="103" t="str">
        <f aca="false">IF(OR($C3406="",$D3406=0),"",$E3406/$D3406)</f>
        <v/>
      </c>
      <c r="H3406" s="0" t="str">
        <f aca="false">IF($C3406="","",IF(COUNTIF('مواد المخزون'!$A$2:$A$86,$C3406)&gt;0,"نعم","لا (خارج الجرد)"))</f>
        <v/>
      </c>
    </row>
    <row r="3407" customFormat="false" ht="15" hidden="false" customHeight="false" outlineLevel="0" collapsed="false">
      <c r="A3407" s="102"/>
      <c r="B3407" s="104"/>
      <c r="C3407" s="104"/>
      <c r="F3407" s="103" t="str">
        <f aca="false">IF(OR($C3407="",$D3407=0),"",$E3407/$D3407)</f>
        <v/>
      </c>
      <c r="H3407" s="0" t="str">
        <f aca="false">IF($C3407="","",IF(COUNTIF('مواد المخزون'!$A$2:$A$86,$C3407)&gt;0,"نعم","لا (خارج الجرد)"))</f>
        <v/>
      </c>
    </row>
    <row r="3408" customFormat="false" ht="15" hidden="false" customHeight="false" outlineLevel="0" collapsed="false">
      <c r="A3408" s="102"/>
      <c r="B3408" s="104"/>
      <c r="C3408" s="104"/>
      <c r="F3408" s="103" t="str">
        <f aca="false">IF(OR($C3408="",$D3408=0),"",$E3408/$D3408)</f>
        <v/>
      </c>
      <c r="H3408" s="0" t="str">
        <f aca="false">IF($C3408="","",IF(COUNTIF('مواد المخزون'!$A$2:$A$86,$C3408)&gt;0,"نعم","لا (خارج الجرد)"))</f>
        <v/>
      </c>
    </row>
    <row r="3409" customFormat="false" ht="15" hidden="false" customHeight="false" outlineLevel="0" collapsed="false">
      <c r="A3409" s="102"/>
      <c r="B3409" s="104"/>
      <c r="C3409" s="104"/>
      <c r="F3409" s="103" t="str">
        <f aca="false">IF(OR($C3409="",$D3409=0),"",$E3409/$D3409)</f>
        <v/>
      </c>
      <c r="H3409" s="0" t="str">
        <f aca="false">IF($C3409="","",IF(COUNTIF('مواد المخزون'!$A$2:$A$86,$C3409)&gt;0,"نعم","لا (خارج الجرد)"))</f>
        <v/>
      </c>
    </row>
    <row r="3410" customFormat="false" ht="15" hidden="false" customHeight="false" outlineLevel="0" collapsed="false">
      <c r="A3410" s="102"/>
      <c r="B3410" s="104"/>
      <c r="C3410" s="104"/>
      <c r="F3410" s="103" t="str">
        <f aca="false">IF(OR($C3410="",$D3410=0),"",$E3410/$D3410)</f>
        <v/>
      </c>
      <c r="H3410" s="0" t="str">
        <f aca="false">IF($C3410="","",IF(COUNTIF('مواد المخزون'!$A$2:$A$86,$C3410)&gt;0,"نعم","لا (خارج الجرد)"))</f>
        <v/>
      </c>
    </row>
    <row r="3411" customFormat="false" ht="15" hidden="false" customHeight="false" outlineLevel="0" collapsed="false">
      <c r="A3411" s="102"/>
      <c r="B3411" s="104"/>
      <c r="C3411" s="104"/>
      <c r="F3411" s="103" t="str">
        <f aca="false">IF(OR($C3411="",$D3411=0),"",$E3411/$D3411)</f>
        <v/>
      </c>
      <c r="H3411" s="0" t="str">
        <f aca="false">IF($C3411="","",IF(COUNTIF('مواد المخزون'!$A$2:$A$86,$C3411)&gt;0,"نعم","لا (خارج الجرد)"))</f>
        <v/>
      </c>
    </row>
    <row r="3412" customFormat="false" ht="15" hidden="false" customHeight="false" outlineLevel="0" collapsed="false">
      <c r="A3412" s="102"/>
      <c r="B3412" s="104"/>
      <c r="C3412" s="104"/>
      <c r="F3412" s="103" t="str">
        <f aca="false">IF(OR($C3412="",$D3412=0),"",$E3412/$D3412)</f>
        <v/>
      </c>
      <c r="H3412" s="0" t="str">
        <f aca="false">IF($C3412="","",IF(COUNTIF('مواد المخزون'!$A$2:$A$86,$C3412)&gt;0,"نعم","لا (خارج الجرد)"))</f>
        <v/>
      </c>
    </row>
    <row r="3413" customFormat="false" ht="15" hidden="false" customHeight="false" outlineLevel="0" collapsed="false">
      <c r="A3413" s="102"/>
      <c r="B3413" s="104"/>
      <c r="C3413" s="104"/>
      <c r="F3413" s="103" t="str">
        <f aca="false">IF(OR($C3413="",$D3413=0),"",$E3413/$D3413)</f>
        <v/>
      </c>
      <c r="H3413" s="0" t="str">
        <f aca="false">IF($C3413="","",IF(COUNTIF('مواد المخزون'!$A$2:$A$86,$C3413)&gt;0,"نعم","لا (خارج الجرد)"))</f>
        <v/>
      </c>
    </row>
    <row r="3414" customFormat="false" ht="15" hidden="false" customHeight="false" outlineLevel="0" collapsed="false">
      <c r="A3414" s="102"/>
      <c r="B3414" s="104"/>
      <c r="C3414" s="104"/>
      <c r="F3414" s="103" t="str">
        <f aca="false">IF(OR($C3414="",$D3414=0),"",$E3414/$D3414)</f>
        <v/>
      </c>
      <c r="H3414" s="0" t="str">
        <f aca="false">IF($C3414="","",IF(COUNTIF('مواد المخزون'!$A$2:$A$86,$C3414)&gt;0,"نعم","لا (خارج الجرد)"))</f>
        <v/>
      </c>
    </row>
    <row r="3415" customFormat="false" ht="15" hidden="false" customHeight="false" outlineLevel="0" collapsed="false">
      <c r="A3415" s="102"/>
      <c r="B3415" s="104"/>
      <c r="C3415" s="104"/>
      <c r="F3415" s="103" t="str">
        <f aca="false">IF(OR($C3415="",$D3415=0),"",$E3415/$D3415)</f>
        <v/>
      </c>
      <c r="H3415" s="0" t="str">
        <f aca="false">IF($C3415="","",IF(COUNTIF('مواد المخزون'!$A$2:$A$86,$C3415)&gt;0,"نعم","لا (خارج الجرد)"))</f>
        <v/>
      </c>
    </row>
    <row r="3416" customFormat="false" ht="15" hidden="false" customHeight="false" outlineLevel="0" collapsed="false">
      <c r="A3416" s="102"/>
      <c r="B3416" s="104"/>
      <c r="C3416" s="104"/>
      <c r="F3416" s="103" t="str">
        <f aca="false">IF(OR($C3416="",$D3416=0),"",$E3416/$D3416)</f>
        <v/>
      </c>
      <c r="H3416" s="0" t="str">
        <f aca="false">IF($C3416="","",IF(COUNTIF('مواد المخزون'!$A$2:$A$86,$C3416)&gt;0,"نعم","لا (خارج الجرد)"))</f>
        <v/>
      </c>
    </row>
    <row r="3417" customFormat="false" ht="15" hidden="false" customHeight="false" outlineLevel="0" collapsed="false">
      <c r="A3417" s="102"/>
      <c r="B3417" s="104"/>
      <c r="C3417" s="104"/>
      <c r="F3417" s="103" t="str">
        <f aca="false">IF(OR($C3417="",$D3417=0),"",$E3417/$D3417)</f>
        <v/>
      </c>
      <c r="H3417" s="0" t="str">
        <f aca="false">IF($C3417="","",IF(COUNTIF('مواد المخزون'!$A$2:$A$86,$C3417)&gt;0,"نعم","لا (خارج الجرد)"))</f>
        <v/>
      </c>
    </row>
    <row r="3418" customFormat="false" ht="15" hidden="false" customHeight="false" outlineLevel="0" collapsed="false">
      <c r="A3418" s="102"/>
      <c r="B3418" s="104"/>
      <c r="C3418" s="104"/>
      <c r="F3418" s="103" t="str">
        <f aca="false">IF(OR($C3418="",$D3418=0),"",$E3418/$D3418)</f>
        <v/>
      </c>
      <c r="H3418" s="0" t="str">
        <f aca="false">IF($C3418="","",IF(COUNTIF('مواد المخزون'!$A$2:$A$86,$C3418)&gt;0,"نعم","لا (خارج الجرد)"))</f>
        <v/>
      </c>
    </row>
    <row r="3419" customFormat="false" ht="15" hidden="false" customHeight="false" outlineLevel="0" collapsed="false">
      <c r="A3419" s="102"/>
      <c r="B3419" s="104"/>
      <c r="C3419" s="104"/>
      <c r="F3419" s="103" t="str">
        <f aca="false">IF(OR($C3419="",$D3419=0),"",$E3419/$D3419)</f>
        <v/>
      </c>
      <c r="H3419" s="0" t="str">
        <f aca="false">IF($C3419="","",IF(COUNTIF('مواد المخزون'!$A$2:$A$86,$C3419)&gt;0,"نعم","لا (خارج الجرد)"))</f>
        <v/>
      </c>
    </row>
    <row r="3420" customFormat="false" ht="15" hidden="false" customHeight="false" outlineLevel="0" collapsed="false">
      <c r="A3420" s="102"/>
      <c r="B3420" s="104"/>
      <c r="C3420" s="104"/>
      <c r="F3420" s="103" t="str">
        <f aca="false">IF(OR($C3420="",$D3420=0),"",$E3420/$D3420)</f>
        <v/>
      </c>
      <c r="H3420" s="0" t="str">
        <f aca="false">IF($C3420="","",IF(COUNTIF('مواد المخزون'!$A$2:$A$86,$C3420)&gt;0,"نعم","لا (خارج الجرد)"))</f>
        <v/>
      </c>
    </row>
    <row r="3421" customFormat="false" ht="15" hidden="false" customHeight="false" outlineLevel="0" collapsed="false">
      <c r="A3421" s="102"/>
      <c r="B3421" s="104"/>
      <c r="C3421" s="104"/>
      <c r="F3421" s="103" t="str">
        <f aca="false">IF(OR($C3421="",$D3421=0),"",$E3421/$D3421)</f>
        <v/>
      </c>
      <c r="H3421" s="0" t="str">
        <f aca="false">IF($C3421="","",IF(COUNTIF('مواد المخزون'!$A$2:$A$86,$C3421)&gt;0,"نعم","لا (خارج الجرد)"))</f>
        <v/>
      </c>
    </row>
    <row r="3422" customFormat="false" ht="15" hidden="false" customHeight="false" outlineLevel="0" collapsed="false">
      <c r="A3422" s="102"/>
      <c r="B3422" s="104"/>
      <c r="C3422" s="104"/>
      <c r="F3422" s="103" t="str">
        <f aca="false">IF(OR($C3422="",$D3422=0),"",$E3422/$D3422)</f>
        <v/>
      </c>
      <c r="H3422" s="0" t="str">
        <f aca="false">IF($C3422="","",IF(COUNTIF('مواد المخزون'!$A$2:$A$86,$C3422)&gt;0,"نعم","لا (خارج الجرد)"))</f>
        <v/>
      </c>
    </row>
    <row r="3423" customFormat="false" ht="15" hidden="false" customHeight="false" outlineLevel="0" collapsed="false">
      <c r="A3423" s="102"/>
      <c r="B3423" s="104"/>
      <c r="C3423" s="104"/>
      <c r="F3423" s="103" t="str">
        <f aca="false">IF(OR($C3423="",$D3423=0),"",$E3423/$D3423)</f>
        <v/>
      </c>
      <c r="H3423" s="0" t="str">
        <f aca="false">IF($C3423="","",IF(COUNTIF('مواد المخزون'!$A$2:$A$86,$C3423)&gt;0,"نعم","لا (خارج الجرد)"))</f>
        <v/>
      </c>
    </row>
    <row r="3424" customFormat="false" ht="15" hidden="false" customHeight="false" outlineLevel="0" collapsed="false">
      <c r="A3424" s="102"/>
      <c r="B3424" s="104"/>
      <c r="C3424" s="104"/>
      <c r="F3424" s="103" t="str">
        <f aca="false">IF(OR($C3424="",$D3424=0),"",$E3424/$D3424)</f>
        <v/>
      </c>
      <c r="H3424" s="0" t="str">
        <f aca="false">IF($C3424="","",IF(COUNTIF('مواد المخزون'!$A$2:$A$86,$C3424)&gt;0,"نعم","لا (خارج الجرد)"))</f>
        <v/>
      </c>
    </row>
    <row r="3425" customFormat="false" ht="15" hidden="false" customHeight="false" outlineLevel="0" collapsed="false">
      <c r="A3425" s="102"/>
      <c r="B3425" s="104"/>
      <c r="C3425" s="104"/>
      <c r="F3425" s="103" t="str">
        <f aca="false">IF(OR($C3425="",$D3425=0),"",$E3425/$D3425)</f>
        <v/>
      </c>
      <c r="H3425" s="0" t="str">
        <f aca="false">IF($C3425="","",IF(COUNTIF('مواد المخزون'!$A$2:$A$86,$C3425)&gt;0,"نعم","لا (خارج الجرد)"))</f>
        <v/>
      </c>
    </row>
    <row r="3426" customFormat="false" ht="15" hidden="false" customHeight="false" outlineLevel="0" collapsed="false">
      <c r="A3426" s="102"/>
      <c r="B3426" s="104"/>
      <c r="C3426" s="104"/>
      <c r="F3426" s="103" t="str">
        <f aca="false">IF(OR($C3426="",$D3426=0),"",$E3426/$D3426)</f>
        <v/>
      </c>
      <c r="H3426" s="0" t="str">
        <f aca="false">IF($C3426="","",IF(COUNTIF('مواد المخزون'!$A$2:$A$86,$C3426)&gt;0,"نعم","لا (خارج الجرد)"))</f>
        <v/>
      </c>
    </row>
    <row r="3427" customFormat="false" ht="15" hidden="false" customHeight="false" outlineLevel="0" collapsed="false">
      <c r="A3427" s="102"/>
      <c r="B3427" s="104"/>
      <c r="C3427" s="104"/>
      <c r="F3427" s="103" t="str">
        <f aca="false">IF(OR($C3427="",$D3427=0),"",$E3427/$D3427)</f>
        <v/>
      </c>
      <c r="H3427" s="0" t="str">
        <f aca="false">IF($C3427="","",IF(COUNTIF('مواد المخزون'!$A$2:$A$86,$C3427)&gt;0,"نعم","لا (خارج الجرد)"))</f>
        <v/>
      </c>
    </row>
    <row r="3428" customFormat="false" ht="15" hidden="false" customHeight="false" outlineLevel="0" collapsed="false">
      <c r="A3428" s="102"/>
      <c r="B3428" s="104"/>
      <c r="C3428" s="104"/>
      <c r="F3428" s="103" t="str">
        <f aca="false">IF(OR($C3428="",$D3428=0),"",$E3428/$D3428)</f>
        <v/>
      </c>
      <c r="H3428" s="0" t="str">
        <f aca="false">IF($C3428="","",IF(COUNTIF('مواد المخزون'!$A$2:$A$86,$C3428)&gt;0,"نعم","لا (خارج الجرد)"))</f>
        <v/>
      </c>
    </row>
    <row r="3429" customFormat="false" ht="15" hidden="false" customHeight="false" outlineLevel="0" collapsed="false">
      <c r="A3429" s="102"/>
      <c r="B3429" s="104"/>
      <c r="C3429" s="104"/>
      <c r="F3429" s="103" t="str">
        <f aca="false">IF(OR($C3429="",$D3429=0),"",$E3429/$D3429)</f>
        <v/>
      </c>
      <c r="H3429" s="0" t="str">
        <f aca="false">IF($C3429="","",IF(COUNTIF('مواد المخزون'!$A$2:$A$86,$C3429)&gt;0,"نعم","لا (خارج الجرد)"))</f>
        <v/>
      </c>
    </row>
    <row r="3430" customFormat="false" ht="15" hidden="false" customHeight="false" outlineLevel="0" collapsed="false">
      <c r="A3430" s="102"/>
      <c r="B3430" s="104"/>
      <c r="C3430" s="104"/>
      <c r="F3430" s="103" t="str">
        <f aca="false">IF(OR($C3430="",$D3430=0),"",$E3430/$D3430)</f>
        <v/>
      </c>
      <c r="H3430" s="0" t="str">
        <f aca="false">IF($C3430="","",IF(COUNTIF('مواد المخزون'!$A$2:$A$86,$C3430)&gt;0,"نعم","لا (خارج الجرد)"))</f>
        <v/>
      </c>
    </row>
    <row r="3431" customFormat="false" ht="15" hidden="false" customHeight="false" outlineLevel="0" collapsed="false">
      <c r="A3431" s="102"/>
      <c r="B3431" s="104"/>
      <c r="C3431" s="104"/>
      <c r="F3431" s="103" t="str">
        <f aca="false">IF(OR($C3431="",$D3431=0),"",$E3431/$D3431)</f>
        <v/>
      </c>
      <c r="H3431" s="0" t="str">
        <f aca="false">IF($C3431="","",IF(COUNTIF('مواد المخزون'!$A$2:$A$86,$C3431)&gt;0,"نعم","لا (خارج الجرد)"))</f>
        <v/>
      </c>
    </row>
    <row r="3432" customFormat="false" ht="15" hidden="false" customHeight="false" outlineLevel="0" collapsed="false">
      <c r="A3432" s="102"/>
      <c r="B3432" s="104"/>
      <c r="C3432" s="104"/>
      <c r="F3432" s="103" t="str">
        <f aca="false">IF(OR($C3432="",$D3432=0),"",$E3432/$D3432)</f>
        <v/>
      </c>
      <c r="H3432" s="0" t="str">
        <f aca="false">IF($C3432="","",IF(COUNTIF('مواد المخزون'!$A$2:$A$86,$C3432)&gt;0,"نعم","لا (خارج الجرد)"))</f>
        <v/>
      </c>
    </row>
    <row r="3433" customFormat="false" ht="15" hidden="false" customHeight="false" outlineLevel="0" collapsed="false">
      <c r="A3433" s="102"/>
      <c r="B3433" s="104"/>
      <c r="C3433" s="104"/>
      <c r="F3433" s="103" t="str">
        <f aca="false">IF(OR($C3433="",$D3433=0),"",$E3433/$D3433)</f>
        <v/>
      </c>
      <c r="H3433" s="0" t="str">
        <f aca="false">IF($C3433="","",IF(COUNTIF('مواد المخزون'!$A$2:$A$86,$C3433)&gt;0,"نعم","لا (خارج الجرد)"))</f>
        <v/>
      </c>
    </row>
    <row r="3434" customFormat="false" ht="15" hidden="false" customHeight="false" outlineLevel="0" collapsed="false">
      <c r="A3434" s="102"/>
      <c r="B3434" s="104"/>
      <c r="C3434" s="104"/>
      <c r="F3434" s="103" t="str">
        <f aca="false">IF(OR($C3434="",$D3434=0),"",$E3434/$D3434)</f>
        <v/>
      </c>
      <c r="H3434" s="0" t="str">
        <f aca="false">IF($C3434="","",IF(COUNTIF('مواد المخزون'!$A$2:$A$86,$C3434)&gt;0,"نعم","لا (خارج الجرد)"))</f>
        <v/>
      </c>
    </row>
    <row r="3435" customFormat="false" ht="15" hidden="false" customHeight="false" outlineLevel="0" collapsed="false">
      <c r="A3435" s="102"/>
      <c r="B3435" s="104"/>
      <c r="C3435" s="104"/>
      <c r="F3435" s="103" t="str">
        <f aca="false">IF(OR($C3435="",$D3435=0),"",$E3435/$D3435)</f>
        <v/>
      </c>
      <c r="H3435" s="0" t="str">
        <f aca="false">IF($C3435="","",IF(COUNTIF('مواد المخزون'!$A$2:$A$86,$C3435)&gt;0,"نعم","لا (خارج الجرد)"))</f>
        <v/>
      </c>
    </row>
    <row r="3436" customFormat="false" ht="15" hidden="false" customHeight="false" outlineLevel="0" collapsed="false">
      <c r="A3436" s="102"/>
      <c r="B3436" s="104"/>
      <c r="C3436" s="104"/>
      <c r="F3436" s="103" t="str">
        <f aca="false">IF(OR($C3436="",$D3436=0),"",$E3436/$D3436)</f>
        <v/>
      </c>
      <c r="H3436" s="0" t="str">
        <f aca="false">IF($C3436="","",IF(COUNTIF('مواد المخزون'!$A$2:$A$86,$C3436)&gt;0,"نعم","لا (خارج الجرد)"))</f>
        <v/>
      </c>
    </row>
    <row r="3437" customFormat="false" ht="15" hidden="false" customHeight="false" outlineLevel="0" collapsed="false">
      <c r="A3437" s="102"/>
      <c r="B3437" s="104"/>
      <c r="C3437" s="104"/>
      <c r="F3437" s="103" t="str">
        <f aca="false">IF(OR($C3437="",$D3437=0),"",$E3437/$D3437)</f>
        <v/>
      </c>
      <c r="H3437" s="0" t="str">
        <f aca="false">IF($C3437="","",IF(COUNTIF('مواد المخزون'!$A$2:$A$86,$C3437)&gt;0,"نعم","لا (خارج الجرد)"))</f>
        <v/>
      </c>
    </row>
    <row r="3438" customFormat="false" ht="15" hidden="false" customHeight="false" outlineLevel="0" collapsed="false">
      <c r="A3438" s="102"/>
      <c r="B3438" s="104"/>
      <c r="C3438" s="104"/>
      <c r="F3438" s="103" t="str">
        <f aca="false">IF(OR($C3438="",$D3438=0),"",$E3438/$D3438)</f>
        <v/>
      </c>
      <c r="H3438" s="0" t="str">
        <f aca="false">IF($C3438="","",IF(COUNTIF('مواد المخزون'!$A$2:$A$86,$C3438)&gt;0,"نعم","لا (خارج الجرد)"))</f>
        <v/>
      </c>
    </row>
    <row r="3439" customFormat="false" ht="15" hidden="false" customHeight="false" outlineLevel="0" collapsed="false">
      <c r="A3439" s="102"/>
      <c r="B3439" s="104"/>
      <c r="C3439" s="104"/>
      <c r="F3439" s="103" t="str">
        <f aca="false">IF(OR($C3439="",$D3439=0),"",$E3439/$D3439)</f>
        <v/>
      </c>
      <c r="H3439" s="0" t="str">
        <f aca="false">IF($C3439="","",IF(COUNTIF('مواد المخزون'!$A$2:$A$86,$C3439)&gt;0,"نعم","لا (خارج الجرد)"))</f>
        <v/>
      </c>
    </row>
    <row r="3440" customFormat="false" ht="15" hidden="false" customHeight="false" outlineLevel="0" collapsed="false">
      <c r="A3440" s="102"/>
      <c r="B3440" s="104"/>
      <c r="C3440" s="104"/>
      <c r="F3440" s="103" t="str">
        <f aca="false">IF(OR($C3440="",$D3440=0),"",$E3440/$D3440)</f>
        <v/>
      </c>
      <c r="H3440" s="0" t="str">
        <f aca="false">IF($C3440="","",IF(COUNTIF('مواد المخزون'!$A$2:$A$86,$C3440)&gt;0,"نعم","لا (خارج الجرد)"))</f>
        <v/>
      </c>
    </row>
    <row r="3441" customFormat="false" ht="15" hidden="false" customHeight="false" outlineLevel="0" collapsed="false">
      <c r="A3441" s="102"/>
      <c r="B3441" s="104"/>
      <c r="C3441" s="104"/>
      <c r="F3441" s="103" t="str">
        <f aca="false">IF(OR($C3441="",$D3441=0),"",$E3441/$D3441)</f>
        <v/>
      </c>
      <c r="H3441" s="0" t="str">
        <f aca="false">IF($C3441="","",IF(COUNTIF('مواد المخزون'!$A$2:$A$86,$C3441)&gt;0,"نعم","لا (خارج الجرد)"))</f>
        <v/>
      </c>
    </row>
    <row r="3442" customFormat="false" ht="15" hidden="false" customHeight="false" outlineLevel="0" collapsed="false">
      <c r="A3442" s="102"/>
      <c r="B3442" s="104"/>
      <c r="C3442" s="104"/>
      <c r="F3442" s="103" t="str">
        <f aca="false">IF(OR($C3442="",$D3442=0),"",$E3442/$D3442)</f>
        <v/>
      </c>
      <c r="H3442" s="0" t="str">
        <f aca="false">IF($C3442="","",IF(COUNTIF('مواد المخزون'!$A$2:$A$86,$C3442)&gt;0,"نعم","لا (خارج الجرد)"))</f>
        <v/>
      </c>
    </row>
    <row r="3443" customFormat="false" ht="15" hidden="false" customHeight="false" outlineLevel="0" collapsed="false">
      <c r="A3443" s="102"/>
      <c r="B3443" s="104"/>
      <c r="C3443" s="104"/>
      <c r="F3443" s="103" t="str">
        <f aca="false">IF(OR($C3443="",$D3443=0),"",$E3443/$D3443)</f>
        <v/>
      </c>
      <c r="H3443" s="0" t="str">
        <f aca="false">IF($C3443="","",IF(COUNTIF('مواد المخزون'!$A$2:$A$86,$C3443)&gt;0,"نعم","لا (خارج الجرد)"))</f>
        <v/>
      </c>
    </row>
    <row r="3444" customFormat="false" ht="15" hidden="false" customHeight="false" outlineLevel="0" collapsed="false">
      <c r="A3444" s="102"/>
      <c r="B3444" s="104"/>
      <c r="C3444" s="104"/>
      <c r="F3444" s="103" t="str">
        <f aca="false">IF(OR($C3444="",$D3444=0),"",$E3444/$D3444)</f>
        <v/>
      </c>
      <c r="H3444" s="0" t="str">
        <f aca="false">IF($C3444="","",IF(COUNTIF('مواد المخزون'!$A$2:$A$86,$C3444)&gt;0,"نعم","لا (خارج الجرد)"))</f>
        <v/>
      </c>
    </row>
    <row r="3445" customFormat="false" ht="15" hidden="false" customHeight="false" outlineLevel="0" collapsed="false">
      <c r="A3445" s="102"/>
      <c r="B3445" s="104"/>
      <c r="C3445" s="104"/>
      <c r="F3445" s="103" t="str">
        <f aca="false">IF(OR($C3445="",$D3445=0),"",$E3445/$D3445)</f>
        <v/>
      </c>
      <c r="H3445" s="0" t="str">
        <f aca="false">IF($C3445="","",IF(COUNTIF('مواد المخزون'!$A$2:$A$86,$C3445)&gt;0,"نعم","لا (خارج الجرد)"))</f>
        <v/>
      </c>
    </row>
    <row r="3446" customFormat="false" ht="15" hidden="false" customHeight="false" outlineLevel="0" collapsed="false">
      <c r="A3446" s="102"/>
      <c r="B3446" s="104"/>
      <c r="C3446" s="104"/>
      <c r="F3446" s="103" t="str">
        <f aca="false">IF(OR($C3446="",$D3446=0),"",$E3446/$D3446)</f>
        <v/>
      </c>
      <c r="H3446" s="0" t="str">
        <f aca="false">IF($C3446="","",IF(COUNTIF('مواد المخزون'!$A$2:$A$86,$C3446)&gt;0,"نعم","لا (خارج الجرد)"))</f>
        <v/>
      </c>
    </row>
    <row r="3447" customFormat="false" ht="15" hidden="false" customHeight="false" outlineLevel="0" collapsed="false">
      <c r="A3447" s="102"/>
      <c r="B3447" s="104"/>
      <c r="C3447" s="104"/>
      <c r="F3447" s="103" t="str">
        <f aca="false">IF(OR($C3447="",$D3447=0),"",$E3447/$D3447)</f>
        <v/>
      </c>
      <c r="H3447" s="0" t="str">
        <f aca="false">IF($C3447="","",IF(COUNTIF('مواد المخزون'!$A$2:$A$86,$C3447)&gt;0,"نعم","لا (خارج الجرد)"))</f>
        <v/>
      </c>
    </row>
    <row r="3448" customFormat="false" ht="15" hidden="false" customHeight="false" outlineLevel="0" collapsed="false">
      <c r="A3448" s="102"/>
      <c r="B3448" s="104"/>
      <c r="C3448" s="104"/>
      <c r="F3448" s="103" t="str">
        <f aca="false">IF(OR($C3448="",$D3448=0),"",$E3448/$D3448)</f>
        <v/>
      </c>
      <c r="H3448" s="0" t="str">
        <f aca="false">IF($C3448="","",IF(COUNTIF('مواد المخزون'!$A$2:$A$86,$C3448)&gt;0,"نعم","لا (خارج الجرد)"))</f>
        <v/>
      </c>
    </row>
    <row r="3449" customFormat="false" ht="15" hidden="false" customHeight="false" outlineLevel="0" collapsed="false">
      <c r="A3449" s="102"/>
      <c r="B3449" s="104"/>
      <c r="C3449" s="104"/>
      <c r="F3449" s="103" t="str">
        <f aca="false">IF(OR($C3449="",$D3449=0),"",$E3449/$D3449)</f>
        <v/>
      </c>
      <c r="H3449" s="0" t="str">
        <f aca="false">IF($C3449="","",IF(COUNTIF('مواد المخزون'!$A$2:$A$86,$C3449)&gt;0,"نعم","لا (خارج الجرد)"))</f>
        <v/>
      </c>
    </row>
    <row r="3450" customFormat="false" ht="15" hidden="false" customHeight="false" outlineLevel="0" collapsed="false">
      <c r="A3450" s="102"/>
      <c r="B3450" s="104"/>
      <c r="C3450" s="104"/>
      <c r="F3450" s="103" t="str">
        <f aca="false">IF(OR($C3450="",$D3450=0),"",$E3450/$D3450)</f>
        <v/>
      </c>
      <c r="H3450" s="0" t="str">
        <f aca="false">IF($C3450="","",IF(COUNTIF('مواد المخزون'!$A$2:$A$86,$C3450)&gt;0,"نعم","لا (خارج الجرد)"))</f>
        <v/>
      </c>
    </row>
    <row r="3451" customFormat="false" ht="15" hidden="false" customHeight="false" outlineLevel="0" collapsed="false">
      <c r="A3451" s="102"/>
      <c r="B3451" s="104"/>
      <c r="C3451" s="104"/>
      <c r="F3451" s="103" t="str">
        <f aca="false">IF(OR($C3451="",$D3451=0),"",$E3451/$D3451)</f>
        <v/>
      </c>
      <c r="H3451" s="0" t="str">
        <f aca="false">IF($C3451="","",IF(COUNTIF('مواد المخزون'!$A$2:$A$86,$C3451)&gt;0,"نعم","لا (خارج الجرد)"))</f>
        <v/>
      </c>
    </row>
    <row r="3452" customFormat="false" ht="15" hidden="false" customHeight="false" outlineLevel="0" collapsed="false">
      <c r="A3452" s="102"/>
      <c r="B3452" s="104"/>
      <c r="C3452" s="104"/>
      <c r="F3452" s="103" t="str">
        <f aca="false">IF(OR($C3452="",$D3452=0),"",$E3452/$D3452)</f>
        <v/>
      </c>
      <c r="H3452" s="0" t="str">
        <f aca="false">IF($C3452="","",IF(COUNTIF('مواد المخزون'!$A$2:$A$86,$C3452)&gt;0,"نعم","لا (خارج الجرد)"))</f>
        <v/>
      </c>
    </row>
    <row r="3453" customFormat="false" ht="15" hidden="false" customHeight="false" outlineLevel="0" collapsed="false">
      <c r="A3453" s="102"/>
      <c r="B3453" s="104"/>
      <c r="C3453" s="104"/>
      <c r="F3453" s="103" t="str">
        <f aca="false">IF(OR($C3453="",$D3453=0),"",$E3453/$D3453)</f>
        <v/>
      </c>
      <c r="H3453" s="0" t="str">
        <f aca="false">IF($C3453="","",IF(COUNTIF('مواد المخزون'!$A$2:$A$86,$C3453)&gt;0,"نعم","لا (خارج الجرد)"))</f>
        <v/>
      </c>
    </row>
    <row r="3454" customFormat="false" ht="15" hidden="false" customHeight="false" outlineLevel="0" collapsed="false">
      <c r="A3454" s="102"/>
      <c r="B3454" s="104"/>
      <c r="C3454" s="104"/>
      <c r="F3454" s="103" t="str">
        <f aca="false">IF(OR($C3454="",$D3454=0),"",$E3454/$D3454)</f>
        <v/>
      </c>
      <c r="H3454" s="0" t="str">
        <f aca="false">IF($C3454="","",IF(COUNTIF('مواد المخزون'!$A$2:$A$86,$C3454)&gt;0,"نعم","لا (خارج الجرد)"))</f>
        <v/>
      </c>
    </row>
    <row r="3455" customFormat="false" ht="15" hidden="false" customHeight="false" outlineLevel="0" collapsed="false">
      <c r="A3455" s="102"/>
      <c r="B3455" s="104"/>
      <c r="C3455" s="104"/>
      <c r="F3455" s="103" t="str">
        <f aca="false">IF(OR($C3455="",$D3455=0),"",$E3455/$D3455)</f>
        <v/>
      </c>
      <c r="H3455" s="0" t="str">
        <f aca="false">IF($C3455="","",IF(COUNTIF('مواد المخزون'!$A$2:$A$86,$C3455)&gt;0,"نعم","لا (خارج الجرد)"))</f>
        <v/>
      </c>
    </row>
    <row r="3456" customFormat="false" ht="15" hidden="false" customHeight="false" outlineLevel="0" collapsed="false">
      <c r="A3456" s="102"/>
      <c r="B3456" s="104"/>
      <c r="C3456" s="104"/>
      <c r="F3456" s="103" t="str">
        <f aca="false">IF(OR($C3456="",$D3456=0),"",$E3456/$D3456)</f>
        <v/>
      </c>
      <c r="H3456" s="0" t="str">
        <f aca="false">IF($C3456="","",IF(COUNTIF('مواد المخزون'!$A$2:$A$86,$C3456)&gt;0,"نعم","لا (خارج الجرد)"))</f>
        <v/>
      </c>
    </row>
    <row r="3457" customFormat="false" ht="15" hidden="false" customHeight="false" outlineLevel="0" collapsed="false">
      <c r="A3457" s="102"/>
      <c r="B3457" s="104"/>
      <c r="C3457" s="104"/>
      <c r="F3457" s="103" t="str">
        <f aca="false">IF(OR($C3457="",$D3457=0),"",$E3457/$D3457)</f>
        <v/>
      </c>
      <c r="H3457" s="0" t="str">
        <f aca="false">IF($C3457="","",IF(COUNTIF('مواد المخزون'!$A$2:$A$86,$C3457)&gt;0,"نعم","لا (خارج الجرد)"))</f>
        <v/>
      </c>
    </row>
    <row r="3458" customFormat="false" ht="15" hidden="false" customHeight="false" outlineLevel="0" collapsed="false">
      <c r="A3458" s="102"/>
      <c r="B3458" s="104"/>
      <c r="C3458" s="104"/>
      <c r="F3458" s="103" t="str">
        <f aca="false">IF(OR($C3458="",$D3458=0),"",$E3458/$D3458)</f>
        <v/>
      </c>
      <c r="H3458" s="0" t="str">
        <f aca="false">IF($C3458="","",IF(COUNTIF('مواد المخزون'!$A$2:$A$86,$C3458)&gt;0,"نعم","لا (خارج الجرد)"))</f>
        <v/>
      </c>
    </row>
    <row r="3459" customFormat="false" ht="15" hidden="false" customHeight="false" outlineLevel="0" collapsed="false">
      <c r="A3459" s="102"/>
      <c r="B3459" s="104"/>
      <c r="C3459" s="104"/>
      <c r="F3459" s="103" t="str">
        <f aca="false">IF(OR($C3459="",$D3459=0),"",$E3459/$D3459)</f>
        <v/>
      </c>
      <c r="H3459" s="0" t="str">
        <f aca="false">IF($C3459="","",IF(COUNTIF('مواد المخزون'!$A$2:$A$86,$C3459)&gt;0,"نعم","لا (خارج الجرد)"))</f>
        <v/>
      </c>
    </row>
    <row r="3460" customFormat="false" ht="15" hidden="false" customHeight="false" outlineLevel="0" collapsed="false">
      <c r="A3460" s="102"/>
      <c r="B3460" s="104"/>
      <c r="C3460" s="104"/>
      <c r="F3460" s="103" t="str">
        <f aca="false">IF(OR($C3460="",$D3460=0),"",$E3460/$D3460)</f>
        <v/>
      </c>
      <c r="H3460" s="0" t="str">
        <f aca="false">IF($C3460="","",IF(COUNTIF('مواد المخزون'!$A$2:$A$86,$C3460)&gt;0,"نعم","لا (خارج الجرد)"))</f>
        <v/>
      </c>
    </row>
    <row r="3461" customFormat="false" ht="15" hidden="false" customHeight="false" outlineLevel="0" collapsed="false">
      <c r="A3461" s="102"/>
      <c r="B3461" s="104"/>
      <c r="C3461" s="104"/>
      <c r="F3461" s="103" t="str">
        <f aca="false">IF(OR($C3461="",$D3461=0),"",$E3461/$D3461)</f>
        <v/>
      </c>
      <c r="H3461" s="0" t="str">
        <f aca="false">IF($C3461="","",IF(COUNTIF('مواد المخزون'!$A$2:$A$86,$C3461)&gt;0,"نعم","لا (خارج الجرد)"))</f>
        <v/>
      </c>
    </row>
    <row r="3462" customFormat="false" ht="15" hidden="false" customHeight="false" outlineLevel="0" collapsed="false">
      <c r="A3462" s="102"/>
      <c r="B3462" s="104"/>
      <c r="C3462" s="104"/>
      <c r="F3462" s="103" t="str">
        <f aca="false">IF(OR($C3462="",$D3462=0),"",$E3462/$D3462)</f>
        <v/>
      </c>
      <c r="H3462" s="0" t="str">
        <f aca="false">IF($C3462="","",IF(COUNTIF('مواد المخزون'!$A$2:$A$86,$C3462)&gt;0,"نعم","لا (خارج الجرد)"))</f>
        <v/>
      </c>
    </row>
    <row r="3463" customFormat="false" ht="15" hidden="false" customHeight="false" outlineLevel="0" collapsed="false">
      <c r="A3463" s="102"/>
      <c r="B3463" s="104"/>
      <c r="C3463" s="104"/>
      <c r="F3463" s="103" t="str">
        <f aca="false">IF(OR($C3463="",$D3463=0),"",$E3463/$D3463)</f>
        <v/>
      </c>
      <c r="H3463" s="0" t="str">
        <f aca="false">IF($C3463="","",IF(COUNTIF('مواد المخزون'!$A$2:$A$86,$C3463)&gt;0,"نعم","لا (خارج الجرد)"))</f>
        <v/>
      </c>
    </row>
    <row r="3464" customFormat="false" ht="15" hidden="false" customHeight="false" outlineLevel="0" collapsed="false">
      <c r="A3464" s="102"/>
      <c r="B3464" s="104"/>
      <c r="C3464" s="104"/>
      <c r="F3464" s="103" t="str">
        <f aca="false">IF(OR($C3464="",$D3464=0),"",$E3464/$D3464)</f>
        <v/>
      </c>
      <c r="H3464" s="0" t="str">
        <f aca="false">IF($C3464="","",IF(COUNTIF('مواد المخزون'!$A$2:$A$86,$C3464)&gt;0,"نعم","لا (خارج الجرد)"))</f>
        <v/>
      </c>
    </row>
    <row r="3465" customFormat="false" ht="15" hidden="false" customHeight="false" outlineLevel="0" collapsed="false">
      <c r="A3465" s="102"/>
      <c r="B3465" s="104"/>
      <c r="C3465" s="104"/>
      <c r="F3465" s="103" t="str">
        <f aca="false">IF(OR($C3465="",$D3465=0),"",$E3465/$D3465)</f>
        <v/>
      </c>
      <c r="H3465" s="0" t="str">
        <f aca="false">IF($C3465="","",IF(COUNTIF('مواد المخزون'!$A$2:$A$86,$C3465)&gt;0,"نعم","لا (خارج الجرد)"))</f>
        <v/>
      </c>
    </row>
    <row r="3466" customFormat="false" ht="15" hidden="false" customHeight="false" outlineLevel="0" collapsed="false">
      <c r="A3466" s="102"/>
      <c r="B3466" s="104"/>
      <c r="C3466" s="104"/>
      <c r="F3466" s="103" t="str">
        <f aca="false">IF(OR($C3466="",$D3466=0),"",$E3466/$D3466)</f>
        <v/>
      </c>
      <c r="H3466" s="0" t="str">
        <f aca="false">IF($C3466="","",IF(COUNTIF('مواد المخزون'!$A$2:$A$86,$C3466)&gt;0,"نعم","لا (خارج الجرد)"))</f>
        <v/>
      </c>
    </row>
    <row r="3467" customFormat="false" ht="15" hidden="false" customHeight="false" outlineLevel="0" collapsed="false">
      <c r="A3467" s="102"/>
      <c r="B3467" s="104"/>
      <c r="C3467" s="104"/>
      <c r="F3467" s="103" t="str">
        <f aca="false">IF(OR($C3467="",$D3467=0),"",$E3467/$D3467)</f>
        <v/>
      </c>
      <c r="H3467" s="0" t="str">
        <f aca="false">IF($C3467="","",IF(COUNTIF('مواد المخزون'!$A$2:$A$86,$C3467)&gt;0,"نعم","لا (خارج الجرد)"))</f>
        <v/>
      </c>
    </row>
    <row r="3468" customFormat="false" ht="15" hidden="false" customHeight="false" outlineLevel="0" collapsed="false">
      <c r="A3468" s="102"/>
      <c r="B3468" s="104"/>
      <c r="C3468" s="104"/>
      <c r="F3468" s="103" t="str">
        <f aca="false">IF(OR($C3468="",$D3468=0),"",$E3468/$D3468)</f>
        <v/>
      </c>
      <c r="H3468" s="0" t="str">
        <f aca="false">IF($C3468="","",IF(COUNTIF('مواد المخزون'!$A$2:$A$86,$C3468)&gt;0,"نعم","لا (خارج الجرد)"))</f>
        <v/>
      </c>
    </row>
    <row r="3469" customFormat="false" ht="15" hidden="false" customHeight="false" outlineLevel="0" collapsed="false">
      <c r="A3469" s="102"/>
      <c r="B3469" s="104"/>
      <c r="C3469" s="104"/>
      <c r="F3469" s="103" t="str">
        <f aca="false">IF(OR($C3469="",$D3469=0),"",$E3469/$D3469)</f>
        <v/>
      </c>
      <c r="H3469" s="0" t="str">
        <f aca="false">IF($C3469="","",IF(COUNTIF('مواد المخزون'!$A$2:$A$86,$C3469)&gt;0,"نعم","لا (خارج الجرد)"))</f>
        <v/>
      </c>
    </row>
    <row r="3470" customFormat="false" ht="15" hidden="false" customHeight="false" outlineLevel="0" collapsed="false">
      <c r="A3470" s="102"/>
      <c r="B3470" s="104"/>
      <c r="C3470" s="104"/>
      <c r="F3470" s="103" t="str">
        <f aca="false">IF(OR($C3470="",$D3470=0),"",$E3470/$D3470)</f>
        <v/>
      </c>
      <c r="H3470" s="0" t="str">
        <f aca="false">IF($C3470="","",IF(COUNTIF('مواد المخزون'!$A$2:$A$86,$C3470)&gt;0,"نعم","لا (خارج الجرد)"))</f>
        <v/>
      </c>
    </row>
    <row r="3471" customFormat="false" ht="15" hidden="false" customHeight="false" outlineLevel="0" collapsed="false">
      <c r="A3471" s="102"/>
      <c r="B3471" s="104"/>
      <c r="C3471" s="104"/>
      <c r="F3471" s="103" t="str">
        <f aca="false">IF(OR($C3471="",$D3471=0),"",$E3471/$D3471)</f>
        <v/>
      </c>
      <c r="H3471" s="0" t="str">
        <f aca="false">IF($C3471="","",IF(COUNTIF('مواد المخزون'!$A$2:$A$86,$C3471)&gt;0,"نعم","لا (خارج الجرد)"))</f>
        <v/>
      </c>
    </row>
    <row r="3472" customFormat="false" ht="15" hidden="false" customHeight="false" outlineLevel="0" collapsed="false">
      <c r="A3472" s="102"/>
      <c r="B3472" s="104"/>
      <c r="C3472" s="104"/>
      <c r="F3472" s="103" t="str">
        <f aca="false">IF(OR($C3472="",$D3472=0),"",$E3472/$D3472)</f>
        <v/>
      </c>
      <c r="H3472" s="0" t="str">
        <f aca="false">IF($C3472="","",IF(COUNTIF('مواد المخزون'!$A$2:$A$86,$C3472)&gt;0,"نعم","لا (خارج الجرد)"))</f>
        <v/>
      </c>
    </row>
    <row r="3473" customFormat="false" ht="15" hidden="false" customHeight="false" outlineLevel="0" collapsed="false">
      <c r="A3473" s="102"/>
      <c r="B3473" s="104"/>
      <c r="C3473" s="104"/>
      <c r="F3473" s="103" t="str">
        <f aca="false">IF(OR($C3473="",$D3473=0),"",$E3473/$D3473)</f>
        <v/>
      </c>
      <c r="H3473" s="0" t="str">
        <f aca="false">IF($C3473="","",IF(COUNTIF('مواد المخزون'!$A$2:$A$86,$C3473)&gt;0,"نعم","لا (خارج الجرد)"))</f>
        <v/>
      </c>
    </row>
    <row r="3474" customFormat="false" ht="15" hidden="false" customHeight="false" outlineLevel="0" collapsed="false">
      <c r="A3474" s="102"/>
      <c r="B3474" s="104"/>
      <c r="C3474" s="104"/>
      <c r="F3474" s="103" t="str">
        <f aca="false">IF(OR($C3474="",$D3474=0),"",$E3474/$D3474)</f>
        <v/>
      </c>
      <c r="H3474" s="0" t="str">
        <f aca="false">IF($C3474="","",IF(COUNTIF('مواد المخزون'!$A$2:$A$86,$C3474)&gt;0,"نعم","لا (خارج الجرد)"))</f>
        <v/>
      </c>
    </row>
    <row r="3475" customFormat="false" ht="15" hidden="false" customHeight="false" outlineLevel="0" collapsed="false">
      <c r="A3475" s="102"/>
      <c r="B3475" s="104"/>
      <c r="C3475" s="104"/>
      <c r="F3475" s="103" t="str">
        <f aca="false">IF(OR($C3475="",$D3475=0),"",$E3475/$D3475)</f>
        <v/>
      </c>
      <c r="H3475" s="0" t="str">
        <f aca="false">IF($C3475="","",IF(COUNTIF('مواد المخزون'!$A$2:$A$86,$C3475)&gt;0,"نعم","لا (خارج الجرد)"))</f>
        <v/>
      </c>
    </row>
    <row r="3476" customFormat="false" ht="15" hidden="false" customHeight="false" outlineLevel="0" collapsed="false">
      <c r="A3476" s="102"/>
      <c r="B3476" s="104"/>
      <c r="C3476" s="104"/>
      <c r="F3476" s="103" t="str">
        <f aca="false">IF(OR($C3476="",$D3476=0),"",$E3476/$D3476)</f>
        <v/>
      </c>
      <c r="H3476" s="0" t="str">
        <f aca="false">IF($C3476="","",IF(COUNTIF('مواد المخزون'!$A$2:$A$86,$C3476)&gt;0,"نعم","لا (خارج الجرد)"))</f>
        <v/>
      </c>
    </row>
    <row r="3477" customFormat="false" ht="15" hidden="false" customHeight="false" outlineLevel="0" collapsed="false">
      <c r="A3477" s="102"/>
      <c r="B3477" s="104"/>
      <c r="C3477" s="104"/>
      <c r="F3477" s="103" t="str">
        <f aca="false">IF(OR($C3477="",$D3477=0),"",$E3477/$D3477)</f>
        <v/>
      </c>
      <c r="H3477" s="0" t="str">
        <f aca="false">IF($C3477="","",IF(COUNTIF('مواد المخزون'!$A$2:$A$86,$C3477)&gt;0,"نعم","لا (خارج الجرد)"))</f>
        <v/>
      </c>
    </row>
    <row r="3478" customFormat="false" ht="15" hidden="false" customHeight="false" outlineLevel="0" collapsed="false">
      <c r="A3478" s="102"/>
      <c r="B3478" s="104"/>
      <c r="C3478" s="104"/>
      <c r="F3478" s="103" t="str">
        <f aca="false">IF(OR($C3478="",$D3478=0),"",$E3478/$D3478)</f>
        <v/>
      </c>
      <c r="H3478" s="0" t="str">
        <f aca="false">IF($C3478="","",IF(COUNTIF('مواد المخزون'!$A$2:$A$86,$C3478)&gt;0,"نعم","لا (خارج الجرد)"))</f>
        <v/>
      </c>
    </row>
    <row r="3479" customFormat="false" ht="15" hidden="false" customHeight="false" outlineLevel="0" collapsed="false">
      <c r="A3479" s="102"/>
      <c r="B3479" s="104"/>
      <c r="C3479" s="104"/>
      <c r="F3479" s="103" t="str">
        <f aca="false">IF(OR($C3479="",$D3479=0),"",$E3479/$D3479)</f>
        <v/>
      </c>
      <c r="H3479" s="0" t="str">
        <f aca="false">IF($C3479="","",IF(COUNTIF('مواد المخزون'!$A$2:$A$86,$C3479)&gt;0,"نعم","لا (خارج الجرد)"))</f>
        <v/>
      </c>
    </row>
    <row r="3480" customFormat="false" ht="15" hidden="false" customHeight="false" outlineLevel="0" collapsed="false">
      <c r="A3480" s="102"/>
      <c r="B3480" s="104"/>
      <c r="C3480" s="104"/>
      <c r="F3480" s="103" t="str">
        <f aca="false">IF(OR($C3480="",$D3480=0),"",$E3480/$D3480)</f>
        <v/>
      </c>
      <c r="H3480" s="0" t="str">
        <f aca="false">IF($C3480="","",IF(COUNTIF('مواد المخزون'!$A$2:$A$86,$C3480)&gt;0,"نعم","لا (خارج الجرد)"))</f>
        <v/>
      </c>
    </row>
    <row r="3481" customFormat="false" ht="15" hidden="false" customHeight="false" outlineLevel="0" collapsed="false">
      <c r="A3481" s="102"/>
      <c r="B3481" s="104"/>
      <c r="C3481" s="104"/>
      <c r="F3481" s="103" t="str">
        <f aca="false">IF(OR($C3481="",$D3481=0),"",$E3481/$D3481)</f>
        <v/>
      </c>
      <c r="H3481" s="0" t="str">
        <f aca="false">IF($C3481="","",IF(COUNTIF('مواد المخزون'!$A$2:$A$86,$C3481)&gt;0,"نعم","لا (خارج الجرد)"))</f>
        <v/>
      </c>
    </row>
    <row r="3482" customFormat="false" ht="15" hidden="false" customHeight="false" outlineLevel="0" collapsed="false">
      <c r="A3482" s="102"/>
      <c r="B3482" s="104"/>
      <c r="C3482" s="104"/>
      <c r="F3482" s="103" t="str">
        <f aca="false">IF(OR($C3482="",$D3482=0),"",$E3482/$D3482)</f>
        <v/>
      </c>
      <c r="H3482" s="0" t="str">
        <f aca="false">IF($C3482="","",IF(COUNTIF('مواد المخزون'!$A$2:$A$86,$C3482)&gt;0,"نعم","لا (خارج الجرد)"))</f>
        <v/>
      </c>
    </row>
    <row r="3483" customFormat="false" ht="15" hidden="false" customHeight="false" outlineLevel="0" collapsed="false">
      <c r="A3483" s="102"/>
      <c r="B3483" s="104"/>
      <c r="C3483" s="104"/>
      <c r="F3483" s="103" t="str">
        <f aca="false">IF(OR($C3483="",$D3483=0),"",$E3483/$D3483)</f>
        <v/>
      </c>
      <c r="H3483" s="0" t="str">
        <f aca="false">IF($C3483="","",IF(COUNTIF('مواد المخزون'!$A$2:$A$86,$C3483)&gt;0,"نعم","لا (خارج الجرد)"))</f>
        <v/>
      </c>
    </row>
    <row r="3484" customFormat="false" ht="15" hidden="false" customHeight="false" outlineLevel="0" collapsed="false">
      <c r="A3484" s="102"/>
      <c r="B3484" s="104"/>
      <c r="C3484" s="104"/>
      <c r="F3484" s="103" t="str">
        <f aca="false">IF(OR($C3484="",$D3484=0),"",$E3484/$D3484)</f>
        <v/>
      </c>
      <c r="H3484" s="0" t="str">
        <f aca="false">IF($C3484="","",IF(COUNTIF('مواد المخزون'!$A$2:$A$86,$C3484)&gt;0,"نعم","لا (خارج الجرد)"))</f>
        <v/>
      </c>
    </row>
    <row r="3485" customFormat="false" ht="15" hidden="false" customHeight="false" outlineLevel="0" collapsed="false">
      <c r="A3485" s="102"/>
      <c r="B3485" s="104"/>
      <c r="C3485" s="104"/>
      <c r="F3485" s="103" t="str">
        <f aca="false">IF(OR($C3485="",$D3485=0),"",$E3485/$D3485)</f>
        <v/>
      </c>
      <c r="H3485" s="0" t="str">
        <f aca="false">IF($C3485="","",IF(COUNTIF('مواد المخزون'!$A$2:$A$86,$C3485)&gt;0,"نعم","لا (خارج الجرد)"))</f>
        <v/>
      </c>
    </row>
    <row r="3486" customFormat="false" ht="15" hidden="false" customHeight="false" outlineLevel="0" collapsed="false">
      <c r="A3486" s="102"/>
      <c r="B3486" s="104"/>
      <c r="C3486" s="104"/>
      <c r="F3486" s="103" t="str">
        <f aca="false">IF(OR($C3486="",$D3486=0),"",$E3486/$D3486)</f>
        <v/>
      </c>
      <c r="H3486" s="0" t="str">
        <f aca="false">IF($C3486="","",IF(COUNTIF('مواد المخزون'!$A$2:$A$86,$C3486)&gt;0,"نعم","لا (خارج الجرد)"))</f>
        <v/>
      </c>
    </row>
    <row r="3487" customFormat="false" ht="15" hidden="false" customHeight="false" outlineLevel="0" collapsed="false">
      <c r="A3487" s="102"/>
      <c r="B3487" s="104"/>
      <c r="C3487" s="104"/>
      <c r="F3487" s="103" t="str">
        <f aca="false">IF(OR($C3487="",$D3487=0),"",$E3487/$D3487)</f>
        <v/>
      </c>
      <c r="H3487" s="0" t="str">
        <f aca="false">IF($C3487="","",IF(COUNTIF('مواد المخزون'!$A$2:$A$86,$C3487)&gt;0,"نعم","لا (خارج الجرد)"))</f>
        <v/>
      </c>
    </row>
    <row r="3488" customFormat="false" ht="15" hidden="false" customHeight="false" outlineLevel="0" collapsed="false">
      <c r="A3488" s="102"/>
      <c r="B3488" s="104"/>
      <c r="C3488" s="104"/>
      <c r="F3488" s="103" t="str">
        <f aca="false">IF(OR($C3488="",$D3488=0),"",$E3488/$D3488)</f>
        <v/>
      </c>
      <c r="H3488" s="0" t="str">
        <f aca="false">IF($C3488="","",IF(COUNTIF('مواد المخزون'!$A$2:$A$86,$C3488)&gt;0,"نعم","لا (خارج الجرد)"))</f>
        <v/>
      </c>
    </row>
    <row r="3489" customFormat="false" ht="15" hidden="false" customHeight="false" outlineLevel="0" collapsed="false">
      <c r="A3489" s="102"/>
      <c r="B3489" s="104"/>
      <c r="C3489" s="104"/>
      <c r="F3489" s="103" t="str">
        <f aca="false">IF(OR($C3489="",$D3489=0),"",$E3489/$D3489)</f>
        <v/>
      </c>
      <c r="H3489" s="0" t="str">
        <f aca="false">IF($C3489="","",IF(COUNTIF('مواد المخزون'!$A$2:$A$86,$C3489)&gt;0,"نعم","لا (خارج الجرد)"))</f>
        <v/>
      </c>
    </row>
    <row r="3490" customFormat="false" ht="15" hidden="false" customHeight="false" outlineLevel="0" collapsed="false">
      <c r="A3490" s="102"/>
      <c r="B3490" s="104"/>
      <c r="C3490" s="104"/>
      <c r="F3490" s="103" t="str">
        <f aca="false">IF(OR($C3490="",$D3490=0),"",$E3490/$D3490)</f>
        <v/>
      </c>
      <c r="H3490" s="0" t="str">
        <f aca="false">IF($C3490="","",IF(COUNTIF('مواد المخزون'!$A$2:$A$86,$C3490)&gt;0,"نعم","لا (خارج الجرد)"))</f>
        <v/>
      </c>
    </row>
    <row r="3491" customFormat="false" ht="15" hidden="false" customHeight="false" outlineLevel="0" collapsed="false">
      <c r="A3491" s="102"/>
      <c r="B3491" s="104"/>
      <c r="C3491" s="104"/>
      <c r="F3491" s="103" t="str">
        <f aca="false">IF(OR($C3491="",$D3491=0),"",$E3491/$D3491)</f>
        <v/>
      </c>
      <c r="H3491" s="0" t="str">
        <f aca="false">IF($C3491="","",IF(COUNTIF('مواد المخزون'!$A$2:$A$86,$C3491)&gt;0,"نعم","لا (خارج الجرد)"))</f>
        <v/>
      </c>
    </row>
    <row r="3492" customFormat="false" ht="15" hidden="false" customHeight="false" outlineLevel="0" collapsed="false">
      <c r="A3492" s="102"/>
      <c r="B3492" s="104"/>
      <c r="C3492" s="104"/>
      <c r="F3492" s="103" t="str">
        <f aca="false">IF(OR($C3492="",$D3492=0),"",$E3492/$D3492)</f>
        <v/>
      </c>
      <c r="H3492" s="0" t="str">
        <f aca="false">IF($C3492="","",IF(COUNTIF('مواد المخزون'!$A$2:$A$86,$C3492)&gt;0,"نعم","لا (خارج الجرد)"))</f>
        <v/>
      </c>
    </row>
    <row r="3493" customFormat="false" ht="15" hidden="false" customHeight="false" outlineLevel="0" collapsed="false">
      <c r="A3493" s="102"/>
      <c r="B3493" s="104"/>
      <c r="C3493" s="104"/>
      <c r="F3493" s="103" t="str">
        <f aca="false">IF(OR($C3493="",$D3493=0),"",$E3493/$D3493)</f>
        <v/>
      </c>
      <c r="H3493" s="0" t="str">
        <f aca="false">IF($C3493="","",IF(COUNTIF('مواد المخزون'!$A$2:$A$86,$C3493)&gt;0,"نعم","لا (خارج الجرد)"))</f>
        <v/>
      </c>
    </row>
    <row r="3494" customFormat="false" ht="15" hidden="false" customHeight="false" outlineLevel="0" collapsed="false">
      <c r="A3494" s="102"/>
      <c r="B3494" s="104"/>
      <c r="C3494" s="104"/>
      <c r="F3494" s="103" t="str">
        <f aca="false">IF(OR($C3494="",$D3494=0),"",$E3494/$D3494)</f>
        <v/>
      </c>
      <c r="H3494" s="0" t="str">
        <f aca="false">IF($C3494="","",IF(COUNTIF('مواد المخزون'!$A$2:$A$86,$C3494)&gt;0,"نعم","لا (خارج الجرد)"))</f>
        <v/>
      </c>
    </row>
    <row r="3495" customFormat="false" ht="15" hidden="false" customHeight="false" outlineLevel="0" collapsed="false">
      <c r="A3495" s="102"/>
      <c r="B3495" s="104"/>
      <c r="C3495" s="104"/>
      <c r="F3495" s="103" t="str">
        <f aca="false">IF(OR($C3495="",$D3495=0),"",$E3495/$D3495)</f>
        <v/>
      </c>
      <c r="H3495" s="0" t="str">
        <f aca="false">IF($C3495="","",IF(COUNTIF('مواد المخزون'!$A$2:$A$86,$C3495)&gt;0,"نعم","لا (خارج الجرد)"))</f>
        <v/>
      </c>
    </row>
    <row r="3496" customFormat="false" ht="15" hidden="false" customHeight="false" outlineLevel="0" collapsed="false">
      <c r="A3496" s="102"/>
      <c r="B3496" s="104"/>
      <c r="C3496" s="104"/>
      <c r="F3496" s="103" t="str">
        <f aca="false">IF(OR($C3496="",$D3496=0),"",$E3496/$D3496)</f>
        <v/>
      </c>
      <c r="H3496" s="0" t="str">
        <f aca="false">IF($C3496="","",IF(COUNTIF('مواد المخزون'!$A$2:$A$86,$C3496)&gt;0,"نعم","لا (خارج الجرد)"))</f>
        <v/>
      </c>
    </row>
    <row r="3497" customFormat="false" ht="15" hidden="false" customHeight="false" outlineLevel="0" collapsed="false">
      <c r="A3497" s="102"/>
      <c r="B3497" s="104"/>
      <c r="C3497" s="104"/>
      <c r="F3497" s="103" t="str">
        <f aca="false">IF(OR($C3497="",$D3497=0),"",$E3497/$D3497)</f>
        <v/>
      </c>
      <c r="H3497" s="0" t="str">
        <f aca="false">IF($C3497="","",IF(COUNTIF('مواد المخزون'!$A$2:$A$86,$C3497)&gt;0,"نعم","لا (خارج الجرد)"))</f>
        <v/>
      </c>
    </row>
    <row r="3498" customFormat="false" ht="15" hidden="false" customHeight="false" outlineLevel="0" collapsed="false">
      <c r="A3498" s="102"/>
      <c r="B3498" s="104"/>
      <c r="C3498" s="104"/>
      <c r="F3498" s="103" t="str">
        <f aca="false">IF(OR($C3498="",$D3498=0),"",$E3498/$D3498)</f>
        <v/>
      </c>
      <c r="H3498" s="0" t="str">
        <f aca="false">IF($C3498="","",IF(COUNTIF('مواد المخزون'!$A$2:$A$86,$C3498)&gt;0,"نعم","لا (خارج الجرد)"))</f>
        <v/>
      </c>
    </row>
    <row r="3499" customFormat="false" ht="15" hidden="false" customHeight="false" outlineLevel="0" collapsed="false">
      <c r="A3499" s="102"/>
      <c r="B3499" s="104"/>
      <c r="C3499" s="104"/>
      <c r="F3499" s="103" t="str">
        <f aca="false">IF(OR($C3499="",$D3499=0),"",$E3499/$D3499)</f>
        <v/>
      </c>
      <c r="H3499" s="0" t="str">
        <f aca="false">IF($C3499="","",IF(COUNTIF('مواد المخزون'!$A$2:$A$86,$C3499)&gt;0,"نعم","لا (خارج الجرد)"))</f>
        <v/>
      </c>
    </row>
    <row r="3500" customFormat="false" ht="15" hidden="false" customHeight="false" outlineLevel="0" collapsed="false">
      <c r="A3500" s="102"/>
      <c r="B3500" s="104"/>
      <c r="C3500" s="104"/>
      <c r="F3500" s="103" t="str">
        <f aca="false">IF(OR($C3500="",$D3500=0),"",$E3500/$D3500)</f>
        <v/>
      </c>
      <c r="H3500" s="0" t="str">
        <f aca="false">IF($C3500="","",IF(COUNTIF('مواد المخزون'!$A$2:$A$86,$C3500)&gt;0,"نعم","لا (خارج الجرد)"))</f>
        <v/>
      </c>
    </row>
    <row r="3501" customFormat="false" ht="15" hidden="false" customHeight="false" outlineLevel="0" collapsed="false">
      <c r="A3501" s="102"/>
      <c r="B3501" s="104"/>
      <c r="C3501" s="104"/>
      <c r="F3501" s="103" t="str">
        <f aca="false">IF(OR($C3501="",$D3501=0),"",$E3501/$D3501)</f>
        <v/>
      </c>
      <c r="H3501" s="0" t="str">
        <f aca="false">IF($C3501="","",IF(COUNTIF('مواد المخزون'!$A$2:$A$86,$C3501)&gt;0,"نعم","لا (خارج الجرد)"))</f>
        <v/>
      </c>
    </row>
    <row r="3502" customFormat="false" ht="15" hidden="false" customHeight="false" outlineLevel="0" collapsed="false">
      <c r="A3502" s="102"/>
      <c r="B3502" s="104"/>
      <c r="C3502" s="104"/>
      <c r="F3502" s="103" t="str">
        <f aca="false">IF(OR($C3502="",$D3502=0),"",$E3502/$D3502)</f>
        <v/>
      </c>
      <c r="H3502" s="0" t="str">
        <f aca="false">IF($C3502="","",IF(COUNTIF('مواد المخزون'!$A$2:$A$86,$C3502)&gt;0,"نعم","لا (خارج الجرد)"))</f>
        <v/>
      </c>
    </row>
    <row r="3503" customFormat="false" ht="15" hidden="false" customHeight="false" outlineLevel="0" collapsed="false">
      <c r="A3503" s="102"/>
      <c r="B3503" s="104"/>
      <c r="C3503" s="104"/>
      <c r="F3503" s="103" t="str">
        <f aca="false">IF(OR($C3503="",$D3503=0),"",$E3503/$D3503)</f>
        <v/>
      </c>
      <c r="H3503" s="0" t="str">
        <f aca="false">IF($C3503="","",IF(COUNTIF('مواد المخزون'!$A$2:$A$86,$C3503)&gt;0,"نعم","لا (خارج الجرد)"))</f>
        <v/>
      </c>
    </row>
    <row r="3504" customFormat="false" ht="15" hidden="false" customHeight="false" outlineLevel="0" collapsed="false">
      <c r="A3504" s="102"/>
      <c r="B3504" s="104"/>
      <c r="C3504" s="104"/>
      <c r="F3504" s="103" t="str">
        <f aca="false">IF(OR($C3504="",$D3504=0),"",$E3504/$D3504)</f>
        <v/>
      </c>
      <c r="H3504" s="0" t="str">
        <f aca="false">IF($C3504="","",IF(COUNTIF('مواد المخزون'!$A$2:$A$86,$C3504)&gt;0,"نعم","لا (خارج الجرد)"))</f>
        <v/>
      </c>
    </row>
    <row r="3505" customFormat="false" ht="15" hidden="false" customHeight="false" outlineLevel="0" collapsed="false">
      <c r="A3505" s="102"/>
      <c r="B3505" s="104"/>
      <c r="C3505" s="104"/>
      <c r="F3505" s="103" t="str">
        <f aca="false">IF(OR($C3505="",$D3505=0),"",$E3505/$D3505)</f>
        <v/>
      </c>
      <c r="H3505" s="0" t="str">
        <f aca="false">IF($C3505="","",IF(COUNTIF('مواد المخزون'!$A$2:$A$86,$C3505)&gt;0,"نعم","لا (خارج الجرد)"))</f>
        <v/>
      </c>
    </row>
    <row r="3506" customFormat="false" ht="15" hidden="false" customHeight="false" outlineLevel="0" collapsed="false">
      <c r="A3506" s="102"/>
      <c r="B3506" s="104"/>
      <c r="C3506" s="104"/>
      <c r="F3506" s="103" t="str">
        <f aca="false">IF(OR($C3506="",$D3506=0),"",$E3506/$D3506)</f>
        <v/>
      </c>
      <c r="H3506" s="0" t="str">
        <f aca="false">IF($C3506="","",IF(COUNTIF('مواد المخزون'!$A$2:$A$86,$C3506)&gt;0,"نعم","لا (خارج الجرد)"))</f>
        <v/>
      </c>
    </row>
    <row r="3507" customFormat="false" ht="15" hidden="false" customHeight="false" outlineLevel="0" collapsed="false">
      <c r="A3507" s="102"/>
      <c r="B3507" s="104"/>
      <c r="C3507" s="104"/>
      <c r="F3507" s="103" t="str">
        <f aca="false">IF(OR($C3507="",$D3507=0),"",$E3507/$D3507)</f>
        <v/>
      </c>
      <c r="H3507" s="0" t="str">
        <f aca="false">IF($C3507="","",IF(COUNTIF('مواد المخزون'!$A$2:$A$86,$C3507)&gt;0,"نعم","لا (خارج الجرد)"))</f>
        <v/>
      </c>
    </row>
    <row r="3508" customFormat="false" ht="15" hidden="false" customHeight="false" outlineLevel="0" collapsed="false">
      <c r="A3508" s="102"/>
      <c r="B3508" s="104"/>
      <c r="C3508" s="104"/>
      <c r="F3508" s="103" t="str">
        <f aca="false">IF(OR($C3508="",$D3508=0),"",$E3508/$D3508)</f>
        <v/>
      </c>
      <c r="H3508" s="0" t="str">
        <f aca="false">IF($C3508="","",IF(COUNTIF('مواد المخزون'!$A$2:$A$86,$C3508)&gt;0,"نعم","لا (خارج الجرد)"))</f>
        <v/>
      </c>
    </row>
    <row r="3509" customFormat="false" ht="15" hidden="false" customHeight="false" outlineLevel="0" collapsed="false">
      <c r="A3509" s="102"/>
      <c r="B3509" s="104"/>
      <c r="C3509" s="104"/>
      <c r="F3509" s="103" t="str">
        <f aca="false">IF(OR($C3509="",$D3509=0),"",$E3509/$D3509)</f>
        <v/>
      </c>
      <c r="H3509" s="0" t="str">
        <f aca="false">IF($C3509="","",IF(COUNTIF('مواد المخزون'!$A$2:$A$86,$C3509)&gt;0,"نعم","لا (خارج الجرد)"))</f>
        <v/>
      </c>
    </row>
    <row r="3510" customFormat="false" ht="15" hidden="false" customHeight="false" outlineLevel="0" collapsed="false">
      <c r="A3510" s="102"/>
      <c r="B3510" s="104"/>
      <c r="C3510" s="104"/>
      <c r="F3510" s="103" t="str">
        <f aca="false">IF(OR($C3510="",$D3510=0),"",$E3510/$D3510)</f>
        <v/>
      </c>
      <c r="H3510" s="0" t="str">
        <f aca="false">IF($C3510="","",IF(COUNTIF('مواد المخزون'!$A$2:$A$86,$C3510)&gt;0,"نعم","لا (خارج الجرد)"))</f>
        <v/>
      </c>
    </row>
    <row r="3511" customFormat="false" ht="15" hidden="false" customHeight="false" outlineLevel="0" collapsed="false">
      <c r="A3511" s="102"/>
      <c r="B3511" s="104"/>
      <c r="C3511" s="104"/>
      <c r="F3511" s="103" t="str">
        <f aca="false">IF(OR($C3511="",$D3511=0),"",$E3511/$D3511)</f>
        <v/>
      </c>
      <c r="H3511" s="0" t="str">
        <f aca="false">IF($C3511="","",IF(COUNTIF('مواد المخزون'!$A$2:$A$86,$C3511)&gt;0,"نعم","لا (خارج الجرد)"))</f>
        <v/>
      </c>
    </row>
    <row r="3512" customFormat="false" ht="15" hidden="false" customHeight="false" outlineLevel="0" collapsed="false">
      <c r="A3512" s="102"/>
      <c r="B3512" s="104"/>
      <c r="C3512" s="104"/>
      <c r="F3512" s="103" t="str">
        <f aca="false">IF(OR($C3512="",$D3512=0),"",$E3512/$D3512)</f>
        <v/>
      </c>
      <c r="H3512" s="0" t="str">
        <f aca="false">IF($C3512="","",IF(COUNTIF('مواد المخزون'!$A$2:$A$86,$C3512)&gt;0,"نعم","لا (خارج الجرد)"))</f>
        <v/>
      </c>
    </row>
    <row r="3513" customFormat="false" ht="15" hidden="false" customHeight="false" outlineLevel="0" collapsed="false">
      <c r="A3513" s="102"/>
      <c r="B3513" s="104"/>
      <c r="C3513" s="104"/>
      <c r="F3513" s="103" t="str">
        <f aca="false">IF(OR($C3513="",$D3513=0),"",$E3513/$D3513)</f>
        <v/>
      </c>
      <c r="H3513" s="0" t="str">
        <f aca="false">IF($C3513="","",IF(COUNTIF('مواد المخزون'!$A$2:$A$86,$C3513)&gt;0,"نعم","لا (خارج الجرد)"))</f>
        <v/>
      </c>
    </row>
    <row r="3514" customFormat="false" ht="15" hidden="false" customHeight="false" outlineLevel="0" collapsed="false">
      <c r="A3514" s="102"/>
      <c r="B3514" s="104"/>
      <c r="C3514" s="104"/>
      <c r="F3514" s="103" t="str">
        <f aca="false">IF(OR($C3514="",$D3514=0),"",$E3514/$D3514)</f>
        <v/>
      </c>
      <c r="H3514" s="0" t="str">
        <f aca="false">IF($C3514="","",IF(COUNTIF('مواد المخزون'!$A$2:$A$86,$C3514)&gt;0,"نعم","لا (خارج الجرد)"))</f>
        <v/>
      </c>
    </row>
    <row r="3515" customFormat="false" ht="15" hidden="false" customHeight="false" outlineLevel="0" collapsed="false">
      <c r="A3515" s="102"/>
      <c r="B3515" s="104"/>
      <c r="C3515" s="104"/>
      <c r="F3515" s="103" t="str">
        <f aca="false">IF(OR($C3515="",$D3515=0),"",$E3515/$D3515)</f>
        <v/>
      </c>
      <c r="H3515" s="0" t="str">
        <f aca="false">IF($C3515="","",IF(COUNTIF('مواد المخزون'!$A$2:$A$86,$C3515)&gt;0,"نعم","لا (خارج الجرد)"))</f>
        <v/>
      </c>
    </row>
    <row r="3516" customFormat="false" ht="15" hidden="false" customHeight="false" outlineLevel="0" collapsed="false">
      <c r="A3516" s="102"/>
      <c r="B3516" s="104"/>
      <c r="C3516" s="104"/>
      <c r="F3516" s="103" t="str">
        <f aca="false">IF(OR($C3516="",$D3516=0),"",$E3516/$D3516)</f>
        <v/>
      </c>
      <c r="H3516" s="0" t="str">
        <f aca="false">IF($C3516="","",IF(COUNTIF('مواد المخزون'!$A$2:$A$86,$C3516)&gt;0,"نعم","لا (خارج الجرد)"))</f>
        <v/>
      </c>
    </row>
    <row r="3517" customFormat="false" ht="15" hidden="false" customHeight="false" outlineLevel="0" collapsed="false">
      <c r="A3517" s="102"/>
      <c r="B3517" s="104"/>
      <c r="C3517" s="104"/>
      <c r="F3517" s="103" t="str">
        <f aca="false">IF(OR($C3517="",$D3517=0),"",$E3517/$D3517)</f>
        <v/>
      </c>
      <c r="H3517" s="0" t="str">
        <f aca="false">IF($C3517="","",IF(COUNTIF('مواد المخزون'!$A$2:$A$86,$C3517)&gt;0,"نعم","لا (خارج الجرد)"))</f>
        <v/>
      </c>
    </row>
    <row r="3518" customFormat="false" ht="15" hidden="false" customHeight="false" outlineLevel="0" collapsed="false">
      <c r="A3518" s="102"/>
      <c r="B3518" s="104"/>
      <c r="C3518" s="104"/>
      <c r="F3518" s="103" t="str">
        <f aca="false">IF(OR($C3518="",$D3518=0),"",$E3518/$D3518)</f>
        <v/>
      </c>
      <c r="H3518" s="0" t="str">
        <f aca="false">IF($C3518="","",IF(COUNTIF('مواد المخزون'!$A$2:$A$86,$C3518)&gt;0,"نعم","لا (خارج الجرد)"))</f>
        <v/>
      </c>
    </row>
    <row r="3519" customFormat="false" ht="15" hidden="false" customHeight="false" outlineLevel="0" collapsed="false">
      <c r="A3519" s="102"/>
      <c r="B3519" s="104"/>
      <c r="C3519" s="104"/>
      <c r="F3519" s="103" t="str">
        <f aca="false">IF(OR($C3519="",$D3519=0),"",$E3519/$D3519)</f>
        <v/>
      </c>
      <c r="H3519" s="0" t="str">
        <f aca="false">IF($C3519="","",IF(COUNTIF('مواد المخزون'!$A$2:$A$86,$C3519)&gt;0,"نعم","لا (خارج الجرد)"))</f>
        <v/>
      </c>
    </row>
    <row r="3520" customFormat="false" ht="15" hidden="false" customHeight="false" outlineLevel="0" collapsed="false">
      <c r="A3520" s="102"/>
      <c r="B3520" s="104"/>
      <c r="C3520" s="104"/>
      <c r="F3520" s="103" t="str">
        <f aca="false">IF(OR($C3520="",$D3520=0),"",$E3520/$D3520)</f>
        <v/>
      </c>
      <c r="H3520" s="0" t="str">
        <f aca="false">IF($C3520="","",IF(COUNTIF('مواد المخزون'!$A$2:$A$86,$C3520)&gt;0,"نعم","لا (خارج الجرد)"))</f>
        <v/>
      </c>
    </row>
    <row r="3521" customFormat="false" ht="15" hidden="false" customHeight="false" outlineLevel="0" collapsed="false">
      <c r="A3521" s="102"/>
      <c r="B3521" s="104"/>
      <c r="C3521" s="104"/>
      <c r="F3521" s="103" t="str">
        <f aca="false">IF(OR($C3521="",$D3521=0),"",$E3521/$D3521)</f>
        <v/>
      </c>
      <c r="H3521" s="0" t="str">
        <f aca="false">IF($C3521="","",IF(COUNTIF('مواد المخزون'!$A$2:$A$86,$C3521)&gt;0,"نعم","لا (خارج الجرد)"))</f>
        <v/>
      </c>
    </row>
    <row r="3522" customFormat="false" ht="15" hidden="false" customHeight="false" outlineLevel="0" collapsed="false">
      <c r="A3522" s="102"/>
      <c r="B3522" s="104"/>
      <c r="C3522" s="104"/>
      <c r="F3522" s="103" t="str">
        <f aca="false">IF(OR($C3522="",$D3522=0),"",$E3522/$D3522)</f>
        <v/>
      </c>
      <c r="H3522" s="0" t="str">
        <f aca="false">IF($C3522="","",IF(COUNTIF('مواد المخزون'!$A$2:$A$86,$C3522)&gt;0,"نعم","لا (خارج الجرد)"))</f>
        <v/>
      </c>
    </row>
    <row r="3523" customFormat="false" ht="15" hidden="false" customHeight="false" outlineLevel="0" collapsed="false">
      <c r="A3523" s="102"/>
      <c r="B3523" s="104"/>
      <c r="C3523" s="104"/>
      <c r="F3523" s="103" t="str">
        <f aca="false">IF(OR($C3523="",$D3523=0),"",$E3523/$D3523)</f>
        <v/>
      </c>
      <c r="H3523" s="0" t="str">
        <f aca="false">IF($C3523="","",IF(COUNTIF('مواد المخزون'!$A$2:$A$86,$C3523)&gt;0,"نعم","لا (خارج الجرد)"))</f>
        <v/>
      </c>
    </row>
    <row r="3524" customFormat="false" ht="15" hidden="false" customHeight="false" outlineLevel="0" collapsed="false">
      <c r="A3524" s="102"/>
      <c r="B3524" s="104"/>
      <c r="C3524" s="104"/>
      <c r="F3524" s="103" t="str">
        <f aca="false">IF(OR($C3524="",$D3524=0),"",$E3524/$D3524)</f>
        <v/>
      </c>
      <c r="H3524" s="0" t="str">
        <f aca="false">IF($C3524="","",IF(COUNTIF('مواد المخزون'!$A$2:$A$86,$C3524)&gt;0,"نعم","لا (خارج الجرد)"))</f>
        <v/>
      </c>
    </row>
    <row r="3525" customFormat="false" ht="15" hidden="false" customHeight="false" outlineLevel="0" collapsed="false">
      <c r="A3525" s="102"/>
      <c r="B3525" s="104"/>
      <c r="C3525" s="104"/>
      <c r="F3525" s="103" t="str">
        <f aca="false">IF(OR($C3525="",$D3525=0),"",$E3525/$D3525)</f>
        <v/>
      </c>
      <c r="H3525" s="0" t="str">
        <f aca="false">IF($C3525="","",IF(COUNTIF('مواد المخزون'!$A$2:$A$86,$C3525)&gt;0,"نعم","لا (خارج الجرد)"))</f>
        <v/>
      </c>
    </row>
    <row r="3526" customFormat="false" ht="15" hidden="false" customHeight="false" outlineLevel="0" collapsed="false">
      <c r="A3526" s="102"/>
      <c r="B3526" s="104"/>
      <c r="C3526" s="104"/>
      <c r="F3526" s="103" t="str">
        <f aca="false">IF(OR($C3526="",$D3526=0),"",$E3526/$D3526)</f>
        <v/>
      </c>
      <c r="H3526" s="0" t="str">
        <f aca="false">IF($C3526="","",IF(COUNTIF('مواد المخزون'!$A$2:$A$86,$C3526)&gt;0,"نعم","لا (خارج الجرد)"))</f>
        <v/>
      </c>
    </row>
    <row r="3527" customFormat="false" ht="15" hidden="false" customHeight="false" outlineLevel="0" collapsed="false">
      <c r="A3527" s="102"/>
      <c r="B3527" s="104"/>
      <c r="C3527" s="104"/>
      <c r="F3527" s="103" t="str">
        <f aca="false">IF(OR($C3527="",$D3527=0),"",$E3527/$D3527)</f>
        <v/>
      </c>
      <c r="H3527" s="0" t="str">
        <f aca="false">IF($C3527="","",IF(COUNTIF('مواد المخزون'!$A$2:$A$86,$C3527)&gt;0,"نعم","لا (خارج الجرد)"))</f>
        <v/>
      </c>
    </row>
    <row r="3528" customFormat="false" ht="15" hidden="false" customHeight="false" outlineLevel="0" collapsed="false">
      <c r="A3528" s="102"/>
      <c r="B3528" s="104"/>
      <c r="C3528" s="104"/>
      <c r="F3528" s="103" t="str">
        <f aca="false">IF(OR($C3528="",$D3528=0),"",$E3528/$D3528)</f>
        <v/>
      </c>
      <c r="H3528" s="0" t="str">
        <f aca="false">IF($C3528="","",IF(COUNTIF('مواد المخزون'!$A$2:$A$86,$C3528)&gt;0,"نعم","لا (خارج الجرد)"))</f>
        <v/>
      </c>
    </row>
    <row r="3529" customFormat="false" ht="15" hidden="false" customHeight="false" outlineLevel="0" collapsed="false">
      <c r="A3529" s="102"/>
      <c r="B3529" s="104"/>
      <c r="C3529" s="104"/>
      <c r="F3529" s="103" t="str">
        <f aca="false">IF(OR($C3529="",$D3529=0),"",$E3529/$D3529)</f>
        <v/>
      </c>
      <c r="H3529" s="0" t="str">
        <f aca="false">IF($C3529="","",IF(COUNTIF('مواد المخزون'!$A$2:$A$86,$C3529)&gt;0,"نعم","لا (خارج الجرد)"))</f>
        <v/>
      </c>
    </row>
    <row r="3530" customFormat="false" ht="15" hidden="false" customHeight="false" outlineLevel="0" collapsed="false">
      <c r="A3530" s="102"/>
      <c r="B3530" s="104"/>
      <c r="C3530" s="104"/>
      <c r="F3530" s="103" t="str">
        <f aca="false">IF(OR($C3530="",$D3530=0),"",$E3530/$D3530)</f>
        <v/>
      </c>
      <c r="H3530" s="0" t="str">
        <f aca="false">IF($C3530="","",IF(COUNTIF('مواد المخزون'!$A$2:$A$86,$C3530)&gt;0,"نعم","لا (خارج الجرد)"))</f>
        <v/>
      </c>
    </row>
    <row r="3531" customFormat="false" ht="15" hidden="false" customHeight="false" outlineLevel="0" collapsed="false">
      <c r="A3531" s="102"/>
      <c r="B3531" s="104"/>
      <c r="C3531" s="104"/>
      <c r="F3531" s="103" t="str">
        <f aca="false">IF(OR($C3531="",$D3531=0),"",$E3531/$D3531)</f>
        <v/>
      </c>
      <c r="H3531" s="0" t="str">
        <f aca="false">IF($C3531="","",IF(COUNTIF('مواد المخزون'!$A$2:$A$86,$C3531)&gt;0,"نعم","لا (خارج الجرد)"))</f>
        <v/>
      </c>
    </row>
    <row r="3532" customFormat="false" ht="15" hidden="false" customHeight="false" outlineLevel="0" collapsed="false">
      <c r="A3532" s="102"/>
      <c r="B3532" s="104"/>
      <c r="C3532" s="104"/>
      <c r="F3532" s="103" t="str">
        <f aca="false">IF(OR($C3532="",$D3532=0),"",$E3532/$D3532)</f>
        <v/>
      </c>
      <c r="H3532" s="0" t="str">
        <f aca="false">IF($C3532="","",IF(COUNTIF('مواد المخزون'!$A$2:$A$86,$C3532)&gt;0,"نعم","لا (خارج الجرد)"))</f>
        <v/>
      </c>
    </row>
    <row r="3533" customFormat="false" ht="15" hidden="false" customHeight="false" outlineLevel="0" collapsed="false">
      <c r="A3533" s="102"/>
      <c r="B3533" s="104"/>
      <c r="C3533" s="104"/>
      <c r="F3533" s="103" t="str">
        <f aca="false">IF(OR($C3533="",$D3533=0),"",$E3533/$D3533)</f>
        <v/>
      </c>
      <c r="H3533" s="0" t="str">
        <f aca="false">IF($C3533="","",IF(COUNTIF('مواد المخزون'!$A$2:$A$86,$C3533)&gt;0,"نعم","لا (خارج الجرد)"))</f>
        <v/>
      </c>
    </row>
    <row r="3534" customFormat="false" ht="15" hidden="false" customHeight="false" outlineLevel="0" collapsed="false">
      <c r="A3534" s="102"/>
      <c r="B3534" s="104"/>
      <c r="C3534" s="104"/>
      <c r="F3534" s="103" t="str">
        <f aca="false">IF(OR($C3534="",$D3534=0),"",$E3534/$D3534)</f>
        <v/>
      </c>
      <c r="H3534" s="0" t="str">
        <f aca="false">IF($C3534="","",IF(COUNTIF('مواد المخزون'!$A$2:$A$86,$C3534)&gt;0,"نعم","لا (خارج الجرد)"))</f>
        <v/>
      </c>
    </row>
    <row r="3535" customFormat="false" ht="15" hidden="false" customHeight="false" outlineLevel="0" collapsed="false">
      <c r="A3535" s="102"/>
      <c r="B3535" s="104"/>
      <c r="C3535" s="104"/>
      <c r="F3535" s="103" t="str">
        <f aca="false">IF(OR($C3535="",$D3535=0),"",$E3535/$D3535)</f>
        <v/>
      </c>
      <c r="H3535" s="0" t="str">
        <f aca="false">IF($C3535="","",IF(COUNTIF('مواد المخزون'!$A$2:$A$86,$C3535)&gt;0,"نعم","لا (خارج الجرد)"))</f>
        <v/>
      </c>
    </row>
    <row r="3536" customFormat="false" ht="15" hidden="false" customHeight="false" outlineLevel="0" collapsed="false">
      <c r="A3536" s="102"/>
      <c r="B3536" s="104"/>
      <c r="C3536" s="104"/>
      <c r="F3536" s="103" t="str">
        <f aca="false">IF(OR($C3536="",$D3536=0),"",$E3536/$D3536)</f>
        <v/>
      </c>
      <c r="H3536" s="0" t="str">
        <f aca="false">IF($C3536="","",IF(COUNTIF('مواد المخزون'!$A$2:$A$86,$C3536)&gt;0,"نعم","لا (خارج الجرد)"))</f>
        <v/>
      </c>
    </row>
    <row r="3537" customFormat="false" ht="15" hidden="false" customHeight="false" outlineLevel="0" collapsed="false">
      <c r="A3537" s="102"/>
      <c r="B3537" s="104"/>
      <c r="C3537" s="104"/>
      <c r="F3537" s="103" t="str">
        <f aca="false">IF(OR($C3537="",$D3537=0),"",$E3537/$D3537)</f>
        <v/>
      </c>
      <c r="H3537" s="0" t="str">
        <f aca="false">IF($C3537="","",IF(COUNTIF('مواد المخزون'!$A$2:$A$86,$C3537)&gt;0,"نعم","لا (خارج الجرد)"))</f>
        <v/>
      </c>
    </row>
    <row r="3538" customFormat="false" ht="15" hidden="false" customHeight="false" outlineLevel="0" collapsed="false">
      <c r="A3538" s="102"/>
      <c r="B3538" s="104"/>
      <c r="C3538" s="104"/>
      <c r="F3538" s="103" t="str">
        <f aca="false">IF(OR($C3538="",$D3538=0),"",$E3538/$D3538)</f>
        <v/>
      </c>
      <c r="H3538" s="0" t="str">
        <f aca="false">IF($C3538="","",IF(COUNTIF('مواد المخزون'!$A$2:$A$86,$C3538)&gt;0,"نعم","لا (خارج الجرد)"))</f>
        <v/>
      </c>
    </row>
    <row r="3539" customFormat="false" ht="15" hidden="false" customHeight="false" outlineLevel="0" collapsed="false">
      <c r="A3539" s="102"/>
      <c r="B3539" s="104"/>
      <c r="C3539" s="104"/>
      <c r="F3539" s="103" t="str">
        <f aca="false">IF(OR($C3539="",$D3539=0),"",$E3539/$D3539)</f>
        <v/>
      </c>
      <c r="H3539" s="0" t="str">
        <f aca="false">IF($C3539="","",IF(COUNTIF('مواد المخزون'!$A$2:$A$86,$C3539)&gt;0,"نعم","لا (خارج الجرد)"))</f>
        <v/>
      </c>
    </row>
    <row r="3540" customFormat="false" ht="15" hidden="false" customHeight="false" outlineLevel="0" collapsed="false">
      <c r="A3540" s="102"/>
      <c r="B3540" s="104"/>
      <c r="C3540" s="104"/>
      <c r="F3540" s="103" t="str">
        <f aca="false">IF(OR($C3540="",$D3540=0),"",$E3540/$D3540)</f>
        <v/>
      </c>
      <c r="H3540" s="0" t="str">
        <f aca="false">IF($C3540="","",IF(COUNTIF('مواد المخزون'!$A$2:$A$86,$C3540)&gt;0,"نعم","لا (خارج الجرد)"))</f>
        <v/>
      </c>
    </row>
    <row r="3541" customFormat="false" ht="15" hidden="false" customHeight="false" outlineLevel="0" collapsed="false">
      <c r="A3541" s="102"/>
      <c r="B3541" s="104"/>
      <c r="C3541" s="104"/>
      <c r="F3541" s="103" t="str">
        <f aca="false">IF(OR($C3541="",$D3541=0),"",$E3541/$D3541)</f>
        <v/>
      </c>
      <c r="H3541" s="0" t="str">
        <f aca="false">IF($C3541="","",IF(COUNTIF('مواد المخزون'!$A$2:$A$86,$C3541)&gt;0,"نعم","لا (خارج الجرد)"))</f>
        <v/>
      </c>
    </row>
    <row r="3542" customFormat="false" ht="15" hidden="false" customHeight="false" outlineLevel="0" collapsed="false">
      <c r="A3542" s="102"/>
      <c r="B3542" s="104"/>
      <c r="C3542" s="104"/>
      <c r="F3542" s="103" t="str">
        <f aca="false">IF(OR($C3542="",$D3542=0),"",$E3542/$D3542)</f>
        <v/>
      </c>
      <c r="H3542" s="0" t="str">
        <f aca="false">IF($C3542="","",IF(COUNTIF('مواد المخزون'!$A$2:$A$86,$C3542)&gt;0,"نعم","لا (خارج الجرد)"))</f>
        <v/>
      </c>
    </row>
    <row r="3543" customFormat="false" ht="15" hidden="false" customHeight="false" outlineLevel="0" collapsed="false">
      <c r="A3543" s="102"/>
      <c r="B3543" s="104"/>
      <c r="C3543" s="104"/>
      <c r="F3543" s="103" t="str">
        <f aca="false">IF(OR($C3543="",$D3543=0),"",$E3543/$D3543)</f>
        <v/>
      </c>
      <c r="H3543" s="0" t="str">
        <f aca="false">IF($C3543="","",IF(COUNTIF('مواد المخزون'!$A$2:$A$86,$C3543)&gt;0,"نعم","لا (خارج الجرد)"))</f>
        <v/>
      </c>
    </row>
    <row r="3544" customFormat="false" ht="15" hidden="false" customHeight="false" outlineLevel="0" collapsed="false">
      <c r="A3544" s="102"/>
      <c r="B3544" s="104"/>
      <c r="C3544" s="104"/>
      <c r="F3544" s="103" t="str">
        <f aca="false">IF(OR($C3544="",$D3544=0),"",$E3544/$D3544)</f>
        <v/>
      </c>
      <c r="H3544" s="0" t="str">
        <f aca="false">IF($C3544="","",IF(COUNTIF('مواد المخزون'!$A$2:$A$86,$C3544)&gt;0,"نعم","لا (خارج الجرد)"))</f>
        <v/>
      </c>
    </row>
    <row r="3545" customFormat="false" ht="15" hidden="false" customHeight="false" outlineLevel="0" collapsed="false">
      <c r="A3545" s="102"/>
      <c r="B3545" s="104"/>
      <c r="C3545" s="104"/>
      <c r="F3545" s="103" t="str">
        <f aca="false">IF(OR($C3545="",$D3545=0),"",$E3545/$D3545)</f>
        <v/>
      </c>
      <c r="H3545" s="0" t="str">
        <f aca="false">IF($C3545="","",IF(COUNTIF('مواد المخزون'!$A$2:$A$86,$C3545)&gt;0,"نعم","لا (خارج الجرد)"))</f>
        <v/>
      </c>
    </row>
    <row r="3546" customFormat="false" ht="15" hidden="false" customHeight="false" outlineLevel="0" collapsed="false">
      <c r="A3546" s="102"/>
      <c r="B3546" s="104"/>
      <c r="C3546" s="104"/>
      <c r="F3546" s="103" t="str">
        <f aca="false">IF(OR($C3546="",$D3546=0),"",$E3546/$D3546)</f>
        <v/>
      </c>
      <c r="H3546" s="0" t="str">
        <f aca="false">IF($C3546="","",IF(COUNTIF('مواد المخزون'!$A$2:$A$86,$C3546)&gt;0,"نعم","لا (خارج الجرد)"))</f>
        <v/>
      </c>
    </row>
    <row r="3547" customFormat="false" ht="15" hidden="false" customHeight="false" outlineLevel="0" collapsed="false">
      <c r="A3547" s="102"/>
      <c r="B3547" s="104"/>
      <c r="C3547" s="104"/>
      <c r="F3547" s="103" t="str">
        <f aca="false">IF(OR($C3547="",$D3547=0),"",$E3547/$D3547)</f>
        <v/>
      </c>
      <c r="H3547" s="0" t="str">
        <f aca="false">IF($C3547="","",IF(COUNTIF('مواد المخزون'!$A$2:$A$86,$C3547)&gt;0,"نعم","لا (خارج الجرد)"))</f>
        <v/>
      </c>
    </row>
    <row r="3548" customFormat="false" ht="15" hidden="false" customHeight="false" outlineLevel="0" collapsed="false">
      <c r="A3548" s="102"/>
      <c r="B3548" s="104"/>
      <c r="C3548" s="104"/>
      <c r="F3548" s="103" t="str">
        <f aca="false">IF(OR($C3548="",$D3548=0),"",$E3548/$D3548)</f>
        <v/>
      </c>
      <c r="H3548" s="0" t="str">
        <f aca="false">IF($C3548="","",IF(COUNTIF('مواد المخزون'!$A$2:$A$86,$C3548)&gt;0,"نعم","لا (خارج الجرد)"))</f>
        <v/>
      </c>
    </row>
    <row r="3549" customFormat="false" ht="15" hidden="false" customHeight="false" outlineLevel="0" collapsed="false">
      <c r="A3549" s="102"/>
      <c r="B3549" s="104"/>
      <c r="C3549" s="104"/>
      <c r="F3549" s="103" t="str">
        <f aca="false">IF(OR($C3549="",$D3549=0),"",$E3549/$D3549)</f>
        <v/>
      </c>
      <c r="H3549" s="0" t="str">
        <f aca="false">IF($C3549="","",IF(COUNTIF('مواد المخزون'!$A$2:$A$86,$C3549)&gt;0,"نعم","لا (خارج الجرد)"))</f>
        <v/>
      </c>
    </row>
    <row r="3550" customFormat="false" ht="15" hidden="false" customHeight="false" outlineLevel="0" collapsed="false">
      <c r="A3550" s="102"/>
      <c r="B3550" s="104"/>
      <c r="C3550" s="104"/>
      <c r="F3550" s="103" t="str">
        <f aca="false">IF(OR($C3550="",$D3550=0),"",$E3550/$D3550)</f>
        <v/>
      </c>
      <c r="H3550" s="0" t="str">
        <f aca="false">IF($C3550="","",IF(COUNTIF('مواد المخزون'!$A$2:$A$86,$C3550)&gt;0,"نعم","لا (خارج الجرد)"))</f>
        <v/>
      </c>
    </row>
    <row r="3551" customFormat="false" ht="15" hidden="false" customHeight="false" outlineLevel="0" collapsed="false">
      <c r="A3551" s="102"/>
      <c r="B3551" s="104"/>
      <c r="C3551" s="104"/>
      <c r="F3551" s="103" t="str">
        <f aca="false">IF(OR($C3551="",$D3551=0),"",$E3551/$D3551)</f>
        <v/>
      </c>
      <c r="H3551" s="0" t="str">
        <f aca="false">IF($C3551="","",IF(COUNTIF('مواد المخزون'!$A$2:$A$86,$C3551)&gt;0,"نعم","لا (خارج الجرد)"))</f>
        <v/>
      </c>
    </row>
    <row r="3552" customFormat="false" ht="15" hidden="false" customHeight="false" outlineLevel="0" collapsed="false">
      <c r="A3552" s="102"/>
      <c r="B3552" s="104"/>
      <c r="C3552" s="104"/>
      <c r="F3552" s="103" t="str">
        <f aca="false">IF(OR($C3552="",$D3552=0),"",$E3552/$D3552)</f>
        <v/>
      </c>
      <c r="H3552" s="0" t="str">
        <f aca="false">IF($C3552="","",IF(COUNTIF('مواد المخزون'!$A$2:$A$86,$C3552)&gt;0,"نعم","لا (خارج الجرد)"))</f>
        <v/>
      </c>
    </row>
    <row r="3553" customFormat="false" ht="15" hidden="false" customHeight="false" outlineLevel="0" collapsed="false">
      <c r="A3553" s="102"/>
      <c r="B3553" s="104"/>
      <c r="C3553" s="104"/>
      <c r="F3553" s="103" t="str">
        <f aca="false">IF(OR($C3553="",$D3553=0),"",$E3553/$D3553)</f>
        <v/>
      </c>
      <c r="H3553" s="0" t="str">
        <f aca="false">IF($C3553="","",IF(COUNTIF('مواد المخزون'!$A$2:$A$86,$C3553)&gt;0,"نعم","لا (خارج الجرد)"))</f>
        <v/>
      </c>
    </row>
    <row r="3554" customFormat="false" ht="15" hidden="false" customHeight="false" outlineLevel="0" collapsed="false">
      <c r="A3554" s="102"/>
      <c r="B3554" s="104"/>
      <c r="C3554" s="104"/>
      <c r="F3554" s="103" t="str">
        <f aca="false">IF(OR($C3554="",$D3554=0),"",$E3554/$D3554)</f>
        <v/>
      </c>
      <c r="H3554" s="0" t="str">
        <f aca="false">IF($C3554="","",IF(COUNTIF('مواد المخزون'!$A$2:$A$86,$C3554)&gt;0,"نعم","لا (خارج الجرد)"))</f>
        <v/>
      </c>
    </row>
    <row r="3555" customFormat="false" ht="15" hidden="false" customHeight="false" outlineLevel="0" collapsed="false">
      <c r="A3555" s="102"/>
      <c r="B3555" s="104"/>
      <c r="C3555" s="104"/>
      <c r="F3555" s="103" t="str">
        <f aca="false">IF(OR($C3555="",$D3555=0),"",$E3555/$D3555)</f>
        <v/>
      </c>
      <c r="H3555" s="0" t="str">
        <f aca="false">IF($C3555="","",IF(COUNTIF('مواد المخزون'!$A$2:$A$86,$C3555)&gt;0,"نعم","لا (خارج الجرد)"))</f>
        <v/>
      </c>
    </row>
    <row r="3556" customFormat="false" ht="15" hidden="false" customHeight="false" outlineLevel="0" collapsed="false">
      <c r="A3556" s="102"/>
      <c r="B3556" s="104"/>
      <c r="C3556" s="104"/>
      <c r="F3556" s="103" t="str">
        <f aca="false">IF(OR($C3556="",$D3556=0),"",$E3556/$D3556)</f>
        <v/>
      </c>
      <c r="H3556" s="0" t="str">
        <f aca="false">IF($C3556="","",IF(COUNTIF('مواد المخزون'!$A$2:$A$86,$C3556)&gt;0,"نعم","لا (خارج الجرد)"))</f>
        <v/>
      </c>
    </row>
    <row r="3557" customFormat="false" ht="15" hidden="false" customHeight="false" outlineLevel="0" collapsed="false">
      <c r="A3557" s="102"/>
      <c r="B3557" s="104"/>
      <c r="C3557" s="104"/>
      <c r="F3557" s="103" t="str">
        <f aca="false">IF(OR($C3557="",$D3557=0),"",$E3557/$D3557)</f>
        <v/>
      </c>
      <c r="H3557" s="0" t="str">
        <f aca="false">IF($C3557="","",IF(COUNTIF('مواد المخزون'!$A$2:$A$86,$C3557)&gt;0,"نعم","لا (خارج الجرد)"))</f>
        <v/>
      </c>
    </row>
    <row r="3558" customFormat="false" ht="15" hidden="false" customHeight="false" outlineLevel="0" collapsed="false">
      <c r="A3558" s="102"/>
      <c r="B3558" s="104"/>
      <c r="C3558" s="104"/>
      <c r="F3558" s="103" t="str">
        <f aca="false">IF(OR($C3558="",$D3558=0),"",$E3558/$D3558)</f>
        <v/>
      </c>
      <c r="H3558" s="0" t="str">
        <f aca="false">IF($C3558="","",IF(COUNTIF('مواد المخزون'!$A$2:$A$86,$C3558)&gt;0,"نعم","لا (خارج الجرد)"))</f>
        <v/>
      </c>
    </row>
    <row r="3559" customFormat="false" ht="15" hidden="false" customHeight="false" outlineLevel="0" collapsed="false">
      <c r="A3559" s="102"/>
      <c r="B3559" s="104"/>
      <c r="C3559" s="104"/>
      <c r="F3559" s="103" t="str">
        <f aca="false">IF(OR($C3559="",$D3559=0),"",$E3559/$D3559)</f>
        <v/>
      </c>
      <c r="H3559" s="0" t="str">
        <f aca="false">IF($C3559="","",IF(COUNTIF('مواد المخزون'!$A$2:$A$86,$C3559)&gt;0,"نعم","لا (خارج الجرد)"))</f>
        <v/>
      </c>
    </row>
    <row r="3560" customFormat="false" ht="15" hidden="false" customHeight="false" outlineLevel="0" collapsed="false">
      <c r="A3560" s="102"/>
      <c r="B3560" s="104"/>
      <c r="C3560" s="104"/>
      <c r="F3560" s="103" t="str">
        <f aca="false">IF(OR($C3560="",$D3560=0),"",$E3560/$D3560)</f>
        <v/>
      </c>
      <c r="H3560" s="0" t="str">
        <f aca="false">IF($C3560="","",IF(COUNTIF('مواد المخزون'!$A$2:$A$86,$C3560)&gt;0,"نعم","لا (خارج الجرد)"))</f>
        <v/>
      </c>
    </row>
    <row r="3561" customFormat="false" ht="15" hidden="false" customHeight="false" outlineLevel="0" collapsed="false">
      <c r="A3561" s="102"/>
      <c r="B3561" s="104"/>
      <c r="C3561" s="104"/>
      <c r="F3561" s="103" t="str">
        <f aca="false">IF(OR($C3561="",$D3561=0),"",$E3561/$D3561)</f>
        <v/>
      </c>
      <c r="H3561" s="0" t="str">
        <f aca="false">IF($C3561="","",IF(COUNTIF('مواد المخزون'!$A$2:$A$86,$C3561)&gt;0,"نعم","لا (خارج الجرد)"))</f>
        <v/>
      </c>
    </row>
    <row r="3562" customFormat="false" ht="15" hidden="false" customHeight="false" outlineLevel="0" collapsed="false">
      <c r="A3562" s="102"/>
      <c r="B3562" s="104"/>
      <c r="C3562" s="104"/>
      <c r="F3562" s="103" t="str">
        <f aca="false">IF(OR($C3562="",$D3562=0),"",$E3562/$D3562)</f>
        <v/>
      </c>
      <c r="H3562" s="0" t="str">
        <f aca="false">IF($C3562="","",IF(COUNTIF('مواد المخزون'!$A$2:$A$86,$C3562)&gt;0,"نعم","لا (خارج الجرد)"))</f>
        <v/>
      </c>
    </row>
    <row r="3563" customFormat="false" ht="15" hidden="false" customHeight="false" outlineLevel="0" collapsed="false">
      <c r="A3563" s="102"/>
      <c r="B3563" s="104"/>
      <c r="C3563" s="104"/>
      <c r="F3563" s="103" t="str">
        <f aca="false">IF(OR($C3563="",$D3563=0),"",$E3563/$D3563)</f>
        <v/>
      </c>
      <c r="H3563" s="0" t="str">
        <f aca="false">IF($C3563="","",IF(COUNTIF('مواد المخزون'!$A$2:$A$86,$C3563)&gt;0,"نعم","لا (خارج الجرد)"))</f>
        <v/>
      </c>
    </row>
    <row r="3564" customFormat="false" ht="15" hidden="false" customHeight="false" outlineLevel="0" collapsed="false">
      <c r="A3564" s="102"/>
      <c r="B3564" s="104"/>
      <c r="C3564" s="104"/>
      <c r="F3564" s="103" t="str">
        <f aca="false">IF(OR($C3564="",$D3564=0),"",$E3564/$D3564)</f>
        <v/>
      </c>
      <c r="H3564" s="0" t="str">
        <f aca="false">IF($C3564="","",IF(COUNTIF('مواد المخزون'!$A$2:$A$86,$C3564)&gt;0,"نعم","لا (خارج الجرد)"))</f>
        <v/>
      </c>
    </row>
    <row r="3565" customFormat="false" ht="15" hidden="false" customHeight="false" outlineLevel="0" collapsed="false">
      <c r="A3565" s="102"/>
      <c r="B3565" s="104"/>
      <c r="C3565" s="104"/>
      <c r="F3565" s="103" t="str">
        <f aca="false">IF(OR($C3565="",$D3565=0),"",$E3565/$D3565)</f>
        <v/>
      </c>
      <c r="H3565" s="0" t="str">
        <f aca="false">IF($C3565="","",IF(COUNTIF('مواد المخزون'!$A$2:$A$86,$C3565)&gt;0,"نعم","لا (خارج الجرد)"))</f>
        <v/>
      </c>
    </row>
    <row r="3566" customFormat="false" ht="15" hidden="false" customHeight="false" outlineLevel="0" collapsed="false">
      <c r="A3566" s="102"/>
      <c r="B3566" s="104"/>
      <c r="C3566" s="104"/>
      <c r="F3566" s="103" t="str">
        <f aca="false">IF(OR($C3566="",$D3566=0),"",$E3566/$D3566)</f>
        <v/>
      </c>
      <c r="H3566" s="0" t="str">
        <f aca="false">IF($C3566="","",IF(COUNTIF('مواد المخزون'!$A$2:$A$86,$C3566)&gt;0,"نعم","لا (خارج الجرد)"))</f>
        <v/>
      </c>
    </row>
    <row r="3567" customFormat="false" ht="15" hidden="false" customHeight="false" outlineLevel="0" collapsed="false">
      <c r="A3567" s="102"/>
      <c r="B3567" s="104"/>
      <c r="C3567" s="104"/>
      <c r="F3567" s="103" t="str">
        <f aca="false">IF(OR($C3567="",$D3567=0),"",$E3567/$D3567)</f>
        <v/>
      </c>
      <c r="H3567" s="0" t="str">
        <f aca="false">IF($C3567="","",IF(COUNTIF('مواد المخزون'!$A$2:$A$86,$C3567)&gt;0,"نعم","لا (خارج الجرد)"))</f>
        <v/>
      </c>
    </row>
    <row r="3568" customFormat="false" ht="15" hidden="false" customHeight="false" outlineLevel="0" collapsed="false">
      <c r="A3568" s="102"/>
      <c r="B3568" s="104"/>
      <c r="C3568" s="104"/>
      <c r="F3568" s="103" t="str">
        <f aca="false">IF(OR($C3568="",$D3568=0),"",$E3568/$D3568)</f>
        <v/>
      </c>
      <c r="H3568" s="0" t="str">
        <f aca="false">IF($C3568="","",IF(COUNTIF('مواد المخزون'!$A$2:$A$86,$C3568)&gt;0,"نعم","لا (خارج الجرد)"))</f>
        <v/>
      </c>
    </row>
    <row r="3569" customFormat="false" ht="15" hidden="false" customHeight="false" outlineLevel="0" collapsed="false">
      <c r="A3569" s="102"/>
      <c r="B3569" s="104"/>
      <c r="C3569" s="104"/>
      <c r="F3569" s="103" t="str">
        <f aca="false">IF(OR($C3569="",$D3569=0),"",$E3569/$D3569)</f>
        <v/>
      </c>
      <c r="H3569" s="0" t="str">
        <f aca="false">IF($C3569="","",IF(COUNTIF('مواد المخزون'!$A$2:$A$86,$C3569)&gt;0,"نعم","لا (خارج الجرد)"))</f>
        <v/>
      </c>
    </row>
    <row r="3570" customFormat="false" ht="15" hidden="false" customHeight="false" outlineLevel="0" collapsed="false">
      <c r="A3570" s="102"/>
      <c r="B3570" s="104"/>
      <c r="C3570" s="104"/>
      <c r="F3570" s="103" t="str">
        <f aca="false">IF(OR($C3570="",$D3570=0),"",$E3570/$D3570)</f>
        <v/>
      </c>
      <c r="H3570" s="0" t="str">
        <f aca="false">IF($C3570="","",IF(COUNTIF('مواد المخزون'!$A$2:$A$86,$C3570)&gt;0,"نعم","لا (خارج الجرد)"))</f>
        <v/>
      </c>
    </row>
    <row r="3571" customFormat="false" ht="15" hidden="false" customHeight="false" outlineLevel="0" collapsed="false">
      <c r="A3571" s="102"/>
      <c r="B3571" s="104"/>
      <c r="C3571" s="104"/>
      <c r="F3571" s="103" t="str">
        <f aca="false">IF(OR($C3571="",$D3571=0),"",$E3571/$D3571)</f>
        <v/>
      </c>
      <c r="H3571" s="0" t="str">
        <f aca="false">IF($C3571="","",IF(COUNTIF('مواد المخزون'!$A$2:$A$86,$C3571)&gt;0,"نعم","لا (خارج الجرد)"))</f>
        <v/>
      </c>
    </row>
    <row r="3572" customFormat="false" ht="15" hidden="false" customHeight="false" outlineLevel="0" collapsed="false">
      <c r="A3572" s="102"/>
      <c r="B3572" s="104"/>
      <c r="C3572" s="104"/>
      <c r="F3572" s="103" t="str">
        <f aca="false">IF(OR($C3572="",$D3572=0),"",$E3572/$D3572)</f>
        <v/>
      </c>
      <c r="H3572" s="0" t="str">
        <f aca="false">IF($C3572="","",IF(COUNTIF('مواد المخزون'!$A$2:$A$86,$C3572)&gt;0,"نعم","لا (خارج الجرد)"))</f>
        <v/>
      </c>
    </row>
    <row r="3573" customFormat="false" ht="15" hidden="false" customHeight="false" outlineLevel="0" collapsed="false">
      <c r="A3573" s="102"/>
      <c r="B3573" s="104"/>
      <c r="C3573" s="104"/>
      <c r="F3573" s="103" t="str">
        <f aca="false">IF(OR($C3573="",$D3573=0),"",$E3573/$D3573)</f>
        <v/>
      </c>
      <c r="H3573" s="0" t="str">
        <f aca="false">IF($C3573="","",IF(COUNTIF('مواد المخزون'!$A$2:$A$86,$C3573)&gt;0,"نعم","لا (خارج الجرد)"))</f>
        <v/>
      </c>
    </row>
    <row r="3574" customFormat="false" ht="15" hidden="false" customHeight="false" outlineLevel="0" collapsed="false">
      <c r="A3574" s="102"/>
      <c r="B3574" s="104"/>
      <c r="C3574" s="104"/>
      <c r="F3574" s="103" t="str">
        <f aca="false">IF(OR($C3574="",$D3574=0),"",$E3574/$D3574)</f>
        <v/>
      </c>
      <c r="H3574" s="0" t="str">
        <f aca="false">IF($C3574="","",IF(COUNTIF('مواد المخزون'!$A$2:$A$86,$C3574)&gt;0,"نعم","لا (خارج الجرد)"))</f>
        <v/>
      </c>
    </row>
    <row r="3575" customFormat="false" ht="15" hidden="false" customHeight="false" outlineLevel="0" collapsed="false">
      <c r="A3575" s="102"/>
      <c r="B3575" s="104"/>
      <c r="C3575" s="104"/>
      <c r="F3575" s="103" t="str">
        <f aca="false">IF(OR($C3575="",$D3575=0),"",$E3575/$D3575)</f>
        <v/>
      </c>
      <c r="H3575" s="0" t="str">
        <f aca="false">IF($C3575="","",IF(COUNTIF('مواد المخزون'!$A$2:$A$86,$C3575)&gt;0,"نعم","لا (خارج الجرد)"))</f>
        <v/>
      </c>
    </row>
    <row r="3576" customFormat="false" ht="15" hidden="false" customHeight="false" outlineLevel="0" collapsed="false">
      <c r="A3576" s="102"/>
      <c r="B3576" s="104"/>
      <c r="C3576" s="104"/>
      <c r="F3576" s="103" t="str">
        <f aca="false">IF(OR($C3576="",$D3576=0),"",$E3576/$D3576)</f>
        <v/>
      </c>
      <c r="H3576" s="0" t="str">
        <f aca="false">IF($C3576="","",IF(COUNTIF('مواد المخزون'!$A$2:$A$86,$C3576)&gt;0,"نعم","لا (خارج الجرد)"))</f>
        <v/>
      </c>
    </row>
    <row r="3577" customFormat="false" ht="15" hidden="false" customHeight="false" outlineLevel="0" collapsed="false">
      <c r="A3577" s="102"/>
      <c r="B3577" s="104"/>
      <c r="C3577" s="104"/>
      <c r="F3577" s="103" t="str">
        <f aca="false">IF(OR($C3577="",$D3577=0),"",$E3577/$D3577)</f>
        <v/>
      </c>
      <c r="H3577" s="0" t="str">
        <f aca="false">IF($C3577="","",IF(COUNTIF('مواد المخزون'!$A$2:$A$86,$C3577)&gt;0,"نعم","لا (خارج الجرد)"))</f>
        <v/>
      </c>
    </row>
    <row r="3578" customFormat="false" ht="15" hidden="false" customHeight="false" outlineLevel="0" collapsed="false">
      <c r="A3578" s="102"/>
      <c r="B3578" s="104"/>
      <c r="C3578" s="104"/>
      <c r="F3578" s="103" t="str">
        <f aca="false">IF(OR($C3578="",$D3578=0),"",$E3578/$D3578)</f>
        <v/>
      </c>
      <c r="H3578" s="0" t="str">
        <f aca="false">IF($C3578="","",IF(COUNTIF('مواد المخزون'!$A$2:$A$86,$C3578)&gt;0,"نعم","لا (خارج الجرد)"))</f>
        <v/>
      </c>
    </row>
    <row r="3579" customFormat="false" ht="15" hidden="false" customHeight="false" outlineLevel="0" collapsed="false">
      <c r="A3579" s="102"/>
      <c r="B3579" s="104"/>
      <c r="C3579" s="104"/>
      <c r="F3579" s="103" t="str">
        <f aca="false">IF(OR($C3579="",$D3579=0),"",$E3579/$D3579)</f>
        <v/>
      </c>
      <c r="H3579" s="0" t="str">
        <f aca="false">IF($C3579="","",IF(COUNTIF('مواد المخزون'!$A$2:$A$86,$C3579)&gt;0,"نعم","لا (خارج الجرد)"))</f>
        <v/>
      </c>
    </row>
    <row r="3580" customFormat="false" ht="15" hidden="false" customHeight="false" outlineLevel="0" collapsed="false">
      <c r="A3580" s="102"/>
      <c r="B3580" s="104"/>
      <c r="C3580" s="104"/>
      <c r="F3580" s="103" t="str">
        <f aca="false">IF(OR($C3580="",$D3580=0),"",$E3580/$D3580)</f>
        <v/>
      </c>
      <c r="H3580" s="0" t="str">
        <f aca="false">IF($C3580="","",IF(COUNTIF('مواد المخزون'!$A$2:$A$86,$C3580)&gt;0,"نعم","لا (خارج الجرد)"))</f>
        <v/>
      </c>
    </row>
    <row r="3581" customFormat="false" ht="15" hidden="false" customHeight="false" outlineLevel="0" collapsed="false">
      <c r="A3581" s="102"/>
      <c r="B3581" s="104"/>
      <c r="C3581" s="104"/>
      <c r="F3581" s="103" t="str">
        <f aca="false">IF(OR($C3581="",$D3581=0),"",$E3581/$D3581)</f>
        <v/>
      </c>
      <c r="H3581" s="0" t="str">
        <f aca="false">IF($C3581="","",IF(COUNTIF('مواد المخزون'!$A$2:$A$86,$C3581)&gt;0,"نعم","لا (خارج الجرد)"))</f>
        <v/>
      </c>
    </row>
    <row r="3582" customFormat="false" ht="15" hidden="false" customHeight="false" outlineLevel="0" collapsed="false">
      <c r="A3582" s="102"/>
      <c r="B3582" s="104"/>
      <c r="C3582" s="104"/>
      <c r="F3582" s="103" t="str">
        <f aca="false">IF(OR($C3582="",$D3582=0),"",$E3582/$D3582)</f>
        <v/>
      </c>
      <c r="H3582" s="0" t="str">
        <f aca="false">IF($C3582="","",IF(COUNTIF('مواد المخزون'!$A$2:$A$86,$C3582)&gt;0,"نعم","لا (خارج الجرد)"))</f>
        <v/>
      </c>
    </row>
    <row r="3583" customFormat="false" ht="15" hidden="false" customHeight="false" outlineLevel="0" collapsed="false">
      <c r="A3583" s="102"/>
      <c r="B3583" s="104"/>
      <c r="C3583" s="104"/>
      <c r="F3583" s="103" t="str">
        <f aca="false">IF(OR($C3583="",$D3583=0),"",$E3583/$D3583)</f>
        <v/>
      </c>
      <c r="H3583" s="0" t="str">
        <f aca="false">IF($C3583="","",IF(COUNTIF('مواد المخزون'!$A$2:$A$86,$C3583)&gt;0,"نعم","لا (خارج الجرد)"))</f>
        <v/>
      </c>
    </row>
    <row r="3584" customFormat="false" ht="15" hidden="false" customHeight="false" outlineLevel="0" collapsed="false">
      <c r="A3584" s="102"/>
      <c r="B3584" s="104"/>
      <c r="C3584" s="104"/>
      <c r="F3584" s="103" t="str">
        <f aca="false">IF(OR($C3584="",$D3584=0),"",$E3584/$D3584)</f>
        <v/>
      </c>
      <c r="H3584" s="0" t="str">
        <f aca="false">IF($C3584="","",IF(COUNTIF('مواد المخزون'!$A$2:$A$86,$C3584)&gt;0,"نعم","لا (خارج الجرد)"))</f>
        <v/>
      </c>
    </row>
    <row r="3585" customFormat="false" ht="15" hidden="false" customHeight="false" outlineLevel="0" collapsed="false">
      <c r="A3585" s="102"/>
      <c r="B3585" s="104"/>
      <c r="C3585" s="104"/>
      <c r="F3585" s="103" t="str">
        <f aca="false">IF(OR($C3585="",$D3585=0),"",$E3585/$D3585)</f>
        <v/>
      </c>
      <c r="H3585" s="0" t="str">
        <f aca="false">IF($C3585="","",IF(COUNTIF('مواد المخزون'!$A$2:$A$86,$C3585)&gt;0,"نعم","لا (خارج الجرد)"))</f>
        <v/>
      </c>
    </row>
    <row r="3586" customFormat="false" ht="15" hidden="false" customHeight="false" outlineLevel="0" collapsed="false">
      <c r="A3586" s="102"/>
      <c r="B3586" s="104"/>
      <c r="C3586" s="104"/>
      <c r="F3586" s="103" t="str">
        <f aca="false">IF(OR($C3586="",$D3586=0),"",$E3586/$D3586)</f>
        <v/>
      </c>
      <c r="H3586" s="0" t="str">
        <f aca="false">IF($C3586="","",IF(COUNTIF('مواد المخزون'!$A$2:$A$86,$C3586)&gt;0,"نعم","لا (خارج الجرد)"))</f>
        <v/>
      </c>
    </row>
    <row r="3587" customFormat="false" ht="15" hidden="false" customHeight="false" outlineLevel="0" collapsed="false">
      <c r="A3587" s="102"/>
      <c r="B3587" s="104"/>
      <c r="C3587" s="104"/>
      <c r="F3587" s="103" t="str">
        <f aca="false">IF(OR($C3587="",$D3587=0),"",$E3587/$D3587)</f>
        <v/>
      </c>
      <c r="H3587" s="0" t="str">
        <f aca="false">IF($C3587="","",IF(COUNTIF('مواد المخزون'!$A$2:$A$86,$C3587)&gt;0,"نعم","لا (خارج الجرد)"))</f>
        <v/>
      </c>
    </row>
    <row r="3588" customFormat="false" ht="15" hidden="false" customHeight="false" outlineLevel="0" collapsed="false">
      <c r="A3588" s="102"/>
      <c r="B3588" s="104"/>
      <c r="C3588" s="104"/>
      <c r="F3588" s="103" t="str">
        <f aca="false">IF(OR($C3588="",$D3588=0),"",$E3588/$D3588)</f>
        <v/>
      </c>
      <c r="H3588" s="0" t="str">
        <f aca="false">IF($C3588="","",IF(COUNTIF('مواد المخزون'!$A$2:$A$86,$C3588)&gt;0,"نعم","لا (خارج الجرد)"))</f>
        <v/>
      </c>
    </row>
    <row r="3589" customFormat="false" ht="15" hidden="false" customHeight="false" outlineLevel="0" collapsed="false">
      <c r="A3589" s="102"/>
      <c r="B3589" s="104"/>
      <c r="C3589" s="104"/>
      <c r="F3589" s="103" t="str">
        <f aca="false">IF(OR($C3589="",$D3589=0),"",$E3589/$D3589)</f>
        <v/>
      </c>
      <c r="H3589" s="0" t="str">
        <f aca="false">IF($C3589="","",IF(COUNTIF('مواد المخزون'!$A$2:$A$86,$C3589)&gt;0,"نعم","لا (خارج الجرد)"))</f>
        <v/>
      </c>
    </row>
    <row r="3590" customFormat="false" ht="15" hidden="false" customHeight="false" outlineLevel="0" collapsed="false">
      <c r="A3590" s="102"/>
      <c r="B3590" s="104"/>
      <c r="C3590" s="104"/>
      <c r="F3590" s="103" t="str">
        <f aca="false">IF(OR($C3590="",$D3590=0),"",$E3590/$D3590)</f>
        <v/>
      </c>
      <c r="H3590" s="0" t="str">
        <f aca="false">IF($C3590="","",IF(COUNTIF('مواد المخزون'!$A$2:$A$86,$C3590)&gt;0,"نعم","لا (خارج الجرد)"))</f>
        <v/>
      </c>
    </row>
    <row r="3591" customFormat="false" ht="15" hidden="false" customHeight="false" outlineLevel="0" collapsed="false">
      <c r="A3591" s="102"/>
      <c r="B3591" s="104"/>
      <c r="C3591" s="104"/>
      <c r="F3591" s="103" t="str">
        <f aca="false">IF(OR($C3591="",$D3591=0),"",$E3591/$D3591)</f>
        <v/>
      </c>
      <c r="H3591" s="0" t="str">
        <f aca="false">IF($C3591="","",IF(COUNTIF('مواد المخزون'!$A$2:$A$86,$C3591)&gt;0,"نعم","لا (خارج الجرد)"))</f>
        <v/>
      </c>
    </row>
    <row r="3592" customFormat="false" ht="15" hidden="false" customHeight="false" outlineLevel="0" collapsed="false">
      <c r="A3592" s="102"/>
      <c r="B3592" s="104"/>
      <c r="C3592" s="104"/>
      <c r="F3592" s="103" t="str">
        <f aca="false">IF(OR($C3592="",$D3592=0),"",$E3592/$D3592)</f>
        <v/>
      </c>
      <c r="H3592" s="0" t="str">
        <f aca="false">IF($C3592="","",IF(COUNTIF('مواد المخزون'!$A$2:$A$86,$C3592)&gt;0,"نعم","لا (خارج الجرد)"))</f>
        <v/>
      </c>
    </row>
    <row r="3593" customFormat="false" ht="15" hidden="false" customHeight="false" outlineLevel="0" collapsed="false">
      <c r="A3593" s="102"/>
      <c r="B3593" s="104"/>
      <c r="C3593" s="104"/>
      <c r="F3593" s="103" t="str">
        <f aca="false">IF(OR($C3593="",$D3593=0),"",$E3593/$D3593)</f>
        <v/>
      </c>
      <c r="H3593" s="0" t="str">
        <f aca="false">IF($C3593="","",IF(COUNTIF('مواد المخزون'!$A$2:$A$86,$C3593)&gt;0,"نعم","لا (خارج الجرد)"))</f>
        <v/>
      </c>
    </row>
    <row r="3594" customFormat="false" ht="15" hidden="false" customHeight="false" outlineLevel="0" collapsed="false">
      <c r="A3594" s="102"/>
      <c r="B3594" s="104"/>
      <c r="C3594" s="104"/>
      <c r="F3594" s="103" t="str">
        <f aca="false">IF(OR($C3594="",$D3594=0),"",$E3594/$D3594)</f>
        <v/>
      </c>
      <c r="H3594" s="0" t="str">
        <f aca="false">IF($C3594="","",IF(COUNTIF('مواد المخزون'!$A$2:$A$86,$C3594)&gt;0,"نعم","لا (خارج الجرد)"))</f>
        <v/>
      </c>
    </row>
    <row r="3595" customFormat="false" ht="15" hidden="false" customHeight="false" outlineLevel="0" collapsed="false">
      <c r="A3595" s="102"/>
      <c r="B3595" s="104"/>
      <c r="C3595" s="104"/>
      <c r="F3595" s="103" t="str">
        <f aca="false">IF(OR($C3595="",$D3595=0),"",$E3595/$D3595)</f>
        <v/>
      </c>
      <c r="H3595" s="0" t="str">
        <f aca="false">IF($C3595="","",IF(COUNTIF('مواد المخزون'!$A$2:$A$86,$C3595)&gt;0,"نعم","لا (خارج الجرد)"))</f>
        <v/>
      </c>
    </row>
    <row r="3596" customFormat="false" ht="15" hidden="false" customHeight="false" outlineLevel="0" collapsed="false">
      <c r="A3596" s="102"/>
      <c r="B3596" s="104"/>
      <c r="C3596" s="104"/>
      <c r="F3596" s="103" t="str">
        <f aca="false">IF(OR($C3596="",$D3596=0),"",$E3596/$D3596)</f>
        <v/>
      </c>
      <c r="H3596" s="0" t="str">
        <f aca="false">IF($C3596="","",IF(COUNTIF('مواد المخزون'!$A$2:$A$86,$C3596)&gt;0,"نعم","لا (خارج الجرد)"))</f>
        <v/>
      </c>
    </row>
    <row r="3597" customFormat="false" ht="15" hidden="false" customHeight="false" outlineLevel="0" collapsed="false">
      <c r="A3597" s="102"/>
      <c r="B3597" s="104"/>
      <c r="C3597" s="104"/>
      <c r="F3597" s="103" t="str">
        <f aca="false">IF(OR($C3597="",$D3597=0),"",$E3597/$D3597)</f>
        <v/>
      </c>
      <c r="H3597" s="0" t="str">
        <f aca="false">IF($C3597="","",IF(COUNTIF('مواد المخزون'!$A$2:$A$86,$C3597)&gt;0,"نعم","لا (خارج الجرد)"))</f>
        <v/>
      </c>
    </row>
    <row r="3598" customFormat="false" ht="15" hidden="false" customHeight="false" outlineLevel="0" collapsed="false">
      <c r="A3598" s="102"/>
      <c r="B3598" s="104"/>
      <c r="C3598" s="104"/>
      <c r="F3598" s="103" t="str">
        <f aca="false">IF(OR($C3598="",$D3598=0),"",$E3598/$D3598)</f>
        <v/>
      </c>
      <c r="H3598" s="0" t="str">
        <f aca="false">IF($C3598="","",IF(COUNTIF('مواد المخزون'!$A$2:$A$86,$C3598)&gt;0,"نعم","لا (خارج الجرد)"))</f>
        <v/>
      </c>
    </row>
    <row r="3599" customFormat="false" ht="15" hidden="false" customHeight="false" outlineLevel="0" collapsed="false">
      <c r="A3599" s="102"/>
      <c r="B3599" s="104"/>
      <c r="C3599" s="104"/>
      <c r="F3599" s="103" t="str">
        <f aca="false">IF(OR($C3599="",$D3599=0),"",$E3599/$D3599)</f>
        <v/>
      </c>
      <c r="H3599" s="0" t="str">
        <f aca="false">IF($C3599="","",IF(COUNTIF('مواد المخزون'!$A$2:$A$86,$C3599)&gt;0,"نعم","لا (خارج الجرد)"))</f>
        <v/>
      </c>
    </row>
    <row r="3600" customFormat="false" ht="15" hidden="false" customHeight="false" outlineLevel="0" collapsed="false">
      <c r="A3600" s="102"/>
      <c r="B3600" s="104"/>
      <c r="C3600" s="104"/>
      <c r="F3600" s="103" t="str">
        <f aca="false">IF(OR($C3600="",$D3600=0),"",$E3600/$D3600)</f>
        <v/>
      </c>
      <c r="H3600" s="0" t="str">
        <f aca="false">IF($C3600="","",IF(COUNTIF('مواد المخزون'!$A$2:$A$86,$C3600)&gt;0,"نعم","لا (خارج الجرد)"))</f>
        <v/>
      </c>
    </row>
    <row r="3601" customFormat="false" ht="15" hidden="false" customHeight="false" outlineLevel="0" collapsed="false">
      <c r="A3601" s="102"/>
      <c r="B3601" s="104"/>
      <c r="C3601" s="104"/>
      <c r="F3601" s="103" t="str">
        <f aca="false">IF(OR($C3601="",$D3601=0),"",$E3601/$D3601)</f>
        <v/>
      </c>
      <c r="H3601" s="0" t="str">
        <f aca="false">IF($C3601="","",IF(COUNTIF('مواد المخزون'!$A$2:$A$86,$C3601)&gt;0,"نعم","لا (خارج الجرد)"))</f>
        <v/>
      </c>
    </row>
    <row r="3602" customFormat="false" ht="15" hidden="false" customHeight="false" outlineLevel="0" collapsed="false">
      <c r="A3602" s="102"/>
      <c r="B3602" s="104"/>
      <c r="C3602" s="104"/>
      <c r="F3602" s="103" t="str">
        <f aca="false">IF(OR($C3602="",$D3602=0),"",$E3602/$D3602)</f>
        <v/>
      </c>
      <c r="H3602" s="0" t="str">
        <f aca="false">IF($C3602="","",IF(COUNTIF('مواد المخزون'!$A$2:$A$86,$C3602)&gt;0,"نعم","لا (خارج الجرد)"))</f>
        <v/>
      </c>
    </row>
    <row r="3603" customFormat="false" ht="15" hidden="false" customHeight="false" outlineLevel="0" collapsed="false">
      <c r="A3603" s="102"/>
      <c r="B3603" s="104"/>
      <c r="C3603" s="104"/>
      <c r="F3603" s="103" t="str">
        <f aca="false">IF(OR($C3603="",$D3603=0),"",$E3603/$D3603)</f>
        <v/>
      </c>
      <c r="H3603" s="0" t="str">
        <f aca="false">IF($C3603="","",IF(COUNTIF('مواد المخزون'!$A$2:$A$86,$C3603)&gt;0,"نعم","لا (خارج الجرد)"))</f>
        <v/>
      </c>
    </row>
    <row r="3604" customFormat="false" ht="15" hidden="false" customHeight="false" outlineLevel="0" collapsed="false">
      <c r="A3604" s="102"/>
      <c r="B3604" s="104"/>
      <c r="C3604" s="104"/>
      <c r="F3604" s="103" t="str">
        <f aca="false">IF(OR($C3604="",$D3604=0),"",$E3604/$D3604)</f>
        <v/>
      </c>
      <c r="H3604" s="0" t="str">
        <f aca="false">IF($C3604="","",IF(COUNTIF('مواد المخزون'!$A$2:$A$86,$C3604)&gt;0,"نعم","لا (خارج الجرد)"))</f>
        <v/>
      </c>
    </row>
    <row r="3605" customFormat="false" ht="15" hidden="false" customHeight="false" outlineLevel="0" collapsed="false">
      <c r="A3605" s="102"/>
      <c r="B3605" s="104"/>
      <c r="C3605" s="104"/>
      <c r="F3605" s="103" t="str">
        <f aca="false">IF(OR($C3605="",$D3605=0),"",$E3605/$D3605)</f>
        <v/>
      </c>
      <c r="H3605" s="0" t="str">
        <f aca="false">IF($C3605="","",IF(COUNTIF('مواد المخزون'!$A$2:$A$86,$C3605)&gt;0,"نعم","لا (خارج الجرد)"))</f>
        <v/>
      </c>
    </row>
    <row r="3606" customFormat="false" ht="15" hidden="false" customHeight="false" outlineLevel="0" collapsed="false">
      <c r="A3606" s="102"/>
      <c r="B3606" s="104"/>
      <c r="C3606" s="104"/>
      <c r="F3606" s="103" t="str">
        <f aca="false">IF(OR($C3606="",$D3606=0),"",$E3606/$D3606)</f>
        <v/>
      </c>
      <c r="H3606" s="0" t="str">
        <f aca="false">IF($C3606="","",IF(COUNTIF('مواد المخزون'!$A$2:$A$86,$C3606)&gt;0,"نعم","لا (خارج الجرد)"))</f>
        <v/>
      </c>
    </row>
    <row r="3607" customFormat="false" ht="15" hidden="false" customHeight="false" outlineLevel="0" collapsed="false">
      <c r="A3607" s="102"/>
      <c r="B3607" s="104"/>
      <c r="C3607" s="104"/>
      <c r="F3607" s="103" t="str">
        <f aca="false">IF(OR($C3607="",$D3607=0),"",$E3607/$D3607)</f>
        <v/>
      </c>
      <c r="H3607" s="0" t="str">
        <f aca="false">IF($C3607="","",IF(COUNTIF('مواد المخزون'!$A$2:$A$86,$C3607)&gt;0,"نعم","لا (خارج الجرد)"))</f>
        <v/>
      </c>
    </row>
    <row r="3608" customFormat="false" ht="15" hidden="false" customHeight="false" outlineLevel="0" collapsed="false">
      <c r="A3608" s="102"/>
      <c r="B3608" s="104"/>
      <c r="C3608" s="104"/>
      <c r="F3608" s="103" t="str">
        <f aca="false">IF(OR($C3608="",$D3608=0),"",$E3608/$D3608)</f>
        <v/>
      </c>
      <c r="H3608" s="0" t="str">
        <f aca="false">IF($C3608="","",IF(COUNTIF('مواد المخزون'!$A$2:$A$86,$C3608)&gt;0,"نعم","لا (خارج الجرد)"))</f>
        <v/>
      </c>
    </row>
    <row r="3609" customFormat="false" ht="15" hidden="false" customHeight="false" outlineLevel="0" collapsed="false">
      <c r="A3609" s="102"/>
      <c r="B3609" s="104"/>
      <c r="C3609" s="104"/>
      <c r="F3609" s="103" t="str">
        <f aca="false">IF(OR($C3609="",$D3609=0),"",$E3609/$D3609)</f>
        <v/>
      </c>
      <c r="H3609" s="0" t="str">
        <f aca="false">IF($C3609="","",IF(COUNTIF('مواد المخزون'!$A$2:$A$86,$C3609)&gt;0,"نعم","لا (خارج الجرد)"))</f>
        <v/>
      </c>
    </row>
    <row r="3610" customFormat="false" ht="15" hidden="false" customHeight="false" outlineLevel="0" collapsed="false">
      <c r="A3610" s="102"/>
      <c r="B3610" s="104"/>
      <c r="C3610" s="104"/>
      <c r="F3610" s="103" t="str">
        <f aca="false">IF(OR($C3610="",$D3610=0),"",$E3610/$D3610)</f>
        <v/>
      </c>
      <c r="H3610" s="0" t="str">
        <f aca="false">IF($C3610="","",IF(COUNTIF('مواد المخزون'!$A$2:$A$86,$C3610)&gt;0,"نعم","لا (خارج الجرد)"))</f>
        <v/>
      </c>
    </row>
    <row r="3611" customFormat="false" ht="15" hidden="false" customHeight="false" outlineLevel="0" collapsed="false">
      <c r="A3611" s="102"/>
      <c r="B3611" s="104"/>
      <c r="C3611" s="104"/>
      <c r="F3611" s="103" t="str">
        <f aca="false">IF(OR($C3611="",$D3611=0),"",$E3611/$D3611)</f>
        <v/>
      </c>
      <c r="H3611" s="0" t="str">
        <f aca="false">IF($C3611="","",IF(COUNTIF('مواد المخزون'!$A$2:$A$86,$C3611)&gt;0,"نعم","لا (خارج الجرد)"))</f>
        <v/>
      </c>
    </row>
    <row r="3612" customFormat="false" ht="15" hidden="false" customHeight="false" outlineLevel="0" collapsed="false">
      <c r="A3612" s="102"/>
      <c r="B3612" s="104"/>
      <c r="C3612" s="104"/>
      <c r="F3612" s="103" t="str">
        <f aca="false">IF(OR($C3612="",$D3612=0),"",$E3612/$D3612)</f>
        <v/>
      </c>
      <c r="H3612" s="0" t="str">
        <f aca="false">IF($C3612="","",IF(COUNTIF('مواد المخزون'!$A$2:$A$86,$C3612)&gt;0,"نعم","لا (خارج الجرد)"))</f>
        <v/>
      </c>
    </row>
    <row r="3613" customFormat="false" ht="15" hidden="false" customHeight="false" outlineLevel="0" collapsed="false">
      <c r="A3613" s="102"/>
      <c r="B3613" s="104"/>
      <c r="C3613" s="104"/>
      <c r="F3613" s="103" t="str">
        <f aca="false">IF(OR($C3613="",$D3613=0),"",$E3613/$D3613)</f>
        <v/>
      </c>
      <c r="H3613" s="0" t="str">
        <f aca="false">IF($C3613="","",IF(COUNTIF('مواد المخزون'!$A$2:$A$86,$C3613)&gt;0,"نعم","لا (خارج الجرد)"))</f>
        <v/>
      </c>
    </row>
    <row r="3614" customFormat="false" ht="15" hidden="false" customHeight="false" outlineLevel="0" collapsed="false">
      <c r="A3614" s="102"/>
      <c r="B3614" s="104"/>
      <c r="C3614" s="104"/>
      <c r="F3614" s="103" t="str">
        <f aca="false">IF(OR($C3614="",$D3614=0),"",$E3614/$D3614)</f>
        <v/>
      </c>
      <c r="H3614" s="0" t="str">
        <f aca="false">IF($C3614="","",IF(COUNTIF('مواد المخزون'!$A$2:$A$86,$C3614)&gt;0,"نعم","لا (خارج الجرد)"))</f>
        <v/>
      </c>
    </row>
    <row r="3615" customFormat="false" ht="15" hidden="false" customHeight="false" outlineLevel="0" collapsed="false">
      <c r="A3615" s="102"/>
      <c r="B3615" s="104"/>
      <c r="C3615" s="104"/>
      <c r="F3615" s="103" t="str">
        <f aca="false">IF(OR($C3615="",$D3615=0),"",$E3615/$D3615)</f>
        <v/>
      </c>
      <c r="H3615" s="0" t="str">
        <f aca="false">IF($C3615="","",IF(COUNTIF('مواد المخزون'!$A$2:$A$86,$C3615)&gt;0,"نعم","لا (خارج الجرد)"))</f>
        <v/>
      </c>
    </row>
    <row r="3616" customFormat="false" ht="15" hidden="false" customHeight="false" outlineLevel="0" collapsed="false">
      <c r="A3616" s="102"/>
      <c r="B3616" s="104"/>
      <c r="C3616" s="104"/>
      <c r="F3616" s="103" t="str">
        <f aca="false">IF(OR($C3616="",$D3616=0),"",$E3616/$D3616)</f>
        <v/>
      </c>
      <c r="H3616" s="0" t="str">
        <f aca="false">IF($C3616="","",IF(COUNTIF('مواد المخزون'!$A$2:$A$86,$C3616)&gt;0,"نعم","لا (خارج الجرد)"))</f>
        <v/>
      </c>
    </row>
    <row r="3617" customFormat="false" ht="15" hidden="false" customHeight="false" outlineLevel="0" collapsed="false">
      <c r="A3617" s="102"/>
      <c r="B3617" s="104"/>
      <c r="C3617" s="104"/>
      <c r="F3617" s="103" t="str">
        <f aca="false">IF(OR($C3617="",$D3617=0),"",$E3617/$D3617)</f>
        <v/>
      </c>
      <c r="H3617" s="0" t="str">
        <f aca="false">IF($C3617="","",IF(COUNTIF('مواد المخزون'!$A$2:$A$86,$C3617)&gt;0,"نعم","لا (خارج الجرد)"))</f>
        <v/>
      </c>
    </row>
    <row r="3618" customFormat="false" ht="15" hidden="false" customHeight="false" outlineLevel="0" collapsed="false">
      <c r="A3618" s="102"/>
      <c r="B3618" s="104"/>
      <c r="C3618" s="104"/>
      <c r="F3618" s="103" t="str">
        <f aca="false">IF(OR($C3618="",$D3618=0),"",$E3618/$D3618)</f>
        <v/>
      </c>
      <c r="H3618" s="0" t="str">
        <f aca="false">IF($C3618="","",IF(COUNTIF('مواد المخزون'!$A$2:$A$86,$C3618)&gt;0,"نعم","لا (خارج الجرد)"))</f>
        <v/>
      </c>
    </row>
    <row r="3619" customFormat="false" ht="15" hidden="false" customHeight="false" outlineLevel="0" collapsed="false">
      <c r="A3619" s="102"/>
      <c r="B3619" s="104"/>
      <c r="C3619" s="104"/>
      <c r="F3619" s="103" t="str">
        <f aca="false">IF(OR($C3619="",$D3619=0),"",$E3619/$D3619)</f>
        <v/>
      </c>
      <c r="H3619" s="0" t="str">
        <f aca="false">IF($C3619="","",IF(COUNTIF('مواد المخزون'!$A$2:$A$86,$C3619)&gt;0,"نعم","لا (خارج الجرد)"))</f>
        <v/>
      </c>
    </row>
    <row r="3620" customFormat="false" ht="15" hidden="false" customHeight="false" outlineLevel="0" collapsed="false">
      <c r="A3620" s="102"/>
      <c r="B3620" s="104"/>
      <c r="C3620" s="104"/>
      <c r="F3620" s="103" t="str">
        <f aca="false">IF(OR($C3620="",$D3620=0),"",$E3620/$D3620)</f>
        <v/>
      </c>
      <c r="H3620" s="0" t="str">
        <f aca="false">IF($C3620="","",IF(COUNTIF('مواد المخزون'!$A$2:$A$86,$C3620)&gt;0,"نعم","لا (خارج الجرد)"))</f>
        <v/>
      </c>
    </row>
    <row r="3621" customFormat="false" ht="15" hidden="false" customHeight="false" outlineLevel="0" collapsed="false">
      <c r="A3621" s="102"/>
      <c r="B3621" s="104"/>
      <c r="C3621" s="104"/>
      <c r="F3621" s="103" t="str">
        <f aca="false">IF(OR($C3621="",$D3621=0),"",$E3621/$D3621)</f>
        <v/>
      </c>
      <c r="H3621" s="0" t="str">
        <f aca="false">IF($C3621="","",IF(COUNTIF('مواد المخزون'!$A$2:$A$86,$C3621)&gt;0,"نعم","لا (خارج الجرد)"))</f>
        <v/>
      </c>
    </row>
    <row r="3622" customFormat="false" ht="15" hidden="false" customHeight="false" outlineLevel="0" collapsed="false">
      <c r="A3622" s="102"/>
      <c r="B3622" s="104"/>
      <c r="C3622" s="104"/>
      <c r="F3622" s="103" t="str">
        <f aca="false">IF(OR($C3622="",$D3622=0),"",$E3622/$D3622)</f>
        <v/>
      </c>
      <c r="H3622" s="0" t="str">
        <f aca="false">IF($C3622="","",IF(COUNTIF('مواد المخزون'!$A$2:$A$86,$C3622)&gt;0,"نعم","لا (خارج الجرد)"))</f>
        <v/>
      </c>
    </row>
    <row r="3623" customFormat="false" ht="15" hidden="false" customHeight="false" outlineLevel="0" collapsed="false">
      <c r="A3623" s="102"/>
      <c r="B3623" s="104"/>
      <c r="C3623" s="104"/>
      <c r="F3623" s="103" t="str">
        <f aca="false">IF(OR($C3623="",$D3623=0),"",$E3623/$D3623)</f>
        <v/>
      </c>
      <c r="H3623" s="0" t="str">
        <f aca="false">IF($C3623="","",IF(COUNTIF('مواد المخزون'!$A$2:$A$86,$C3623)&gt;0,"نعم","لا (خارج الجرد)"))</f>
        <v/>
      </c>
    </row>
    <row r="3624" customFormat="false" ht="15" hidden="false" customHeight="false" outlineLevel="0" collapsed="false">
      <c r="A3624" s="102"/>
      <c r="B3624" s="104"/>
      <c r="C3624" s="104"/>
      <c r="F3624" s="103" t="str">
        <f aca="false">IF(OR($C3624="",$D3624=0),"",$E3624/$D3624)</f>
        <v/>
      </c>
      <c r="H3624" s="0" t="str">
        <f aca="false">IF($C3624="","",IF(COUNTIF('مواد المخزون'!$A$2:$A$86,$C3624)&gt;0,"نعم","لا (خارج الجرد)"))</f>
        <v/>
      </c>
    </row>
    <row r="3625" customFormat="false" ht="15" hidden="false" customHeight="false" outlineLevel="0" collapsed="false">
      <c r="A3625" s="102"/>
      <c r="B3625" s="104"/>
      <c r="C3625" s="104"/>
      <c r="F3625" s="103" t="str">
        <f aca="false">IF(OR($C3625="",$D3625=0),"",$E3625/$D3625)</f>
        <v/>
      </c>
      <c r="H3625" s="0" t="str">
        <f aca="false">IF($C3625="","",IF(COUNTIF('مواد المخزون'!$A$2:$A$86,$C3625)&gt;0,"نعم","لا (خارج الجرد)"))</f>
        <v/>
      </c>
    </row>
    <row r="3626" customFormat="false" ht="15" hidden="false" customHeight="false" outlineLevel="0" collapsed="false">
      <c r="A3626" s="102"/>
      <c r="B3626" s="104"/>
      <c r="C3626" s="104"/>
      <c r="F3626" s="103" t="str">
        <f aca="false">IF(OR($C3626="",$D3626=0),"",$E3626/$D3626)</f>
        <v/>
      </c>
      <c r="H3626" s="0" t="str">
        <f aca="false">IF($C3626="","",IF(COUNTIF('مواد المخزون'!$A$2:$A$86,$C3626)&gt;0,"نعم","لا (خارج الجرد)"))</f>
        <v/>
      </c>
    </row>
    <row r="3627" customFormat="false" ht="15" hidden="false" customHeight="false" outlineLevel="0" collapsed="false">
      <c r="A3627" s="102"/>
      <c r="B3627" s="104"/>
      <c r="C3627" s="104"/>
      <c r="F3627" s="103" t="str">
        <f aca="false">IF(OR($C3627="",$D3627=0),"",$E3627/$D3627)</f>
        <v/>
      </c>
      <c r="H3627" s="0" t="str">
        <f aca="false">IF($C3627="","",IF(COUNTIF('مواد المخزون'!$A$2:$A$86,$C3627)&gt;0,"نعم","لا (خارج الجرد)"))</f>
        <v/>
      </c>
    </row>
    <row r="3628" customFormat="false" ht="15" hidden="false" customHeight="false" outlineLevel="0" collapsed="false">
      <c r="A3628" s="102"/>
      <c r="B3628" s="104"/>
      <c r="C3628" s="104"/>
      <c r="F3628" s="103" t="str">
        <f aca="false">IF(OR($C3628="",$D3628=0),"",$E3628/$D3628)</f>
        <v/>
      </c>
      <c r="H3628" s="0" t="str">
        <f aca="false">IF($C3628="","",IF(COUNTIF('مواد المخزون'!$A$2:$A$86,$C3628)&gt;0,"نعم","لا (خارج الجرد)"))</f>
        <v/>
      </c>
    </row>
    <row r="3629" customFormat="false" ht="15" hidden="false" customHeight="false" outlineLevel="0" collapsed="false">
      <c r="A3629" s="102"/>
      <c r="B3629" s="104"/>
      <c r="C3629" s="104"/>
      <c r="F3629" s="103" t="str">
        <f aca="false">IF(OR($C3629="",$D3629=0),"",$E3629/$D3629)</f>
        <v/>
      </c>
      <c r="H3629" s="0" t="str">
        <f aca="false">IF($C3629="","",IF(COUNTIF('مواد المخزون'!$A$2:$A$86,$C3629)&gt;0,"نعم","لا (خارج الجرد)"))</f>
        <v/>
      </c>
    </row>
    <row r="3630" customFormat="false" ht="15" hidden="false" customHeight="false" outlineLevel="0" collapsed="false">
      <c r="A3630" s="102"/>
      <c r="B3630" s="104"/>
      <c r="C3630" s="104"/>
      <c r="F3630" s="103" t="str">
        <f aca="false">IF(OR($C3630="",$D3630=0),"",$E3630/$D3630)</f>
        <v/>
      </c>
      <c r="H3630" s="0" t="str">
        <f aca="false">IF($C3630="","",IF(COUNTIF('مواد المخزون'!$A$2:$A$86,$C3630)&gt;0,"نعم","لا (خارج الجرد)"))</f>
        <v/>
      </c>
    </row>
    <row r="3631" customFormat="false" ht="15" hidden="false" customHeight="false" outlineLevel="0" collapsed="false">
      <c r="A3631" s="102"/>
      <c r="B3631" s="104"/>
      <c r="C3631" s="104"/>
      <c r="F3631" s="103" t="str">
        <f aca="false">IF(OR($C3631="",$D3631=0),"",$E3631/$D3631)</f>
        <v/>
      </c>
      <c r="H3631" s="0" t="str">
        <f aca="false">IF($C3631="","",IF(COUNTIF('مواد المخزون'!$A$2:$A$86,$C3631)&gt;0,"نعم","لا (خارج الجرد)"))</f>
        <v/>
      </c>
    </row>
    <row r="3632" customFormat="false" ht="15" hidden="false" customHeight="false" outlineLevel="0" collapsed="false">
      <c r="A3632" s="102"/>
      <c r="B3632" s="104"/>
      <c r="C3632" s="104"/>
      <c r="F3632" s="103" t="str">
        <f aca="false">IF(OR($C3632="",$D3632=0),"",$E3632/$D3632)</f>
        <v/>
      </c>
      <c r="H3632" s="0" t="str">
        <f aca="false">IF($C3632="","",IF(COUNTIF('مواد المخزون'!$A$2:$A$86,$C3632)&gt;0,"نعم","لا (خارج الجرد)"))</f>
        <v/>
      </c>
    </row>
    <row r="3633" customFormat="false" ht="15" hidden="false" customHeight="false" outlineLevel="0" collapsed="false">
      <c r="A3633" s="102"/>
      <c r="B3633" s="104"/>
      <c r="C3633" s="104"/>
      <c r="F3633" s="103" t="str">
        <f aca="false">IF(OR($C3633="",$D3633=0),"",$E3633/$D3633)</f>
        <v/>
      </c>
      <c r="H3633" s="0" t="str">
        <f aca="false">IF($C3633="","",IF(COUNTIF('مواد المخزون'!$A$2:$A$86,$C3633)&gt;0,"نعم","لا (خارج الجرد)"))</f>
        <v/>
      </c>
    </row>
    <row r="3634" customFormat="false" ht="15" hidden="false" customHeight="false" outlineLevel="0" collapsed="false">
      <c r="A3634" s="102"/>
      <c r="B3634" s="104"/>
      <c r="C3634" s="104"/>
      <c r="F3634" s="103" t="str">
        <f aca="false">IF(OR($C3634="",$D3634=0),"",$E3634/$D3634)</f>
        <v/>
      </c>
      <c r="H3634" s="0" t="str">
        <f aca="false">IF($C3634="","",IF(COUNTIF('مواد المخزون'!$A$2:$A$86,$C3634)&gt;0,"نعم","لا (خارج الجرد)"))</f>
        <v/>
      </c>
    </row>
    <row r="3635" customFormat="false" ht="15" hidden="false" customHeight="false" outlineLevel="0" collapsed="false">
      <c r="A3635" s="102"/>
      <c r="B3635" s="104"/>
      <c r="C3635" s="104"/>
      <c r="F3635" s="103" t="str">
        <f aca="false">IF(OR($C3635="",$D3635=0),"",$E3635/$D3635)</f>
        <v/>
      </c>
      <c r="H3635" s="0" t="str">
        <f aca="false">IF($C3635="","",IF(COUNTIF('مواد المخزون'!$A$2:$A$86,$C3635)&gt;0,"نعم","لا (خارج الجرد)"))</f>
        <v/>
      </c>
    </row>
    <row r="3636" customFormat="false" ht="15" hidden="false" customHeight="false" outlineLevel="0" collapsed="false">
      <c r="A3636" s="102"/>
      <c r="B3636" s="104"/>
      <c r="C3636" s="104"/>
      <c r="F3636" s="103" t="str">
        <f aca="false">IF(OR($C3636="",$D3636=0),"",$E3636/$D3636)</f>
        <v/>
      </c>
      <c r="H3636" s="0" t="str">
        <f aca="false">IF($C3636="","",IF(COUNTIF('مواد المخزون'!$A$2:$A$86,$C3636)&gt;0,"نعم","لا (خارج الجرد)"))</f>
        <v/>
      </c>
    </row>
    <row r="3637" customFormat="false" ht="15" hidden="false" customHeight="false" outlineLevel="0" collapsed="false">
      <c r="A3637" s="102"/>
      <c r="B3637" s="104"/>
      <c r="C3637" s="104"/>
      <c r="F3637" s="103" t="str">
        <f aca="false">IF(OR($C3637="",$D3637=0),"",$E3637/$D3637)</f>
        <v/>
      </c>
      <c r="H3637" s="0" t="str">
        <f aca="false">IF($C3637="","",IF(COUNTIF('مواد المخزون'!$A$2:$A$86,$C3637)&gt;0,"نعم","لا (خارج الجرد)"))</f>
        <v/>
      </c>
    </row>
    <row r="3638" customFormat="false" ht="15" hidden="false" customHeight="false" outlineLevel="0" collapsed="false">
      <c r="A3638" s="102"/>
      <c r="B3638" s="104"/>
      <c r="C3638" s="104"/>
      <c r="F3638" s="103" t="str">
        <f aca="false">IF(OR($C3638="",$D3638=0),"",$E3638/$D3638)</f>
        <v/>
      </c>
      <c r="H3638" s="0" t="str">
        <f aca="false">IF($C3638="","",IF(COUNTIF('مواد المخزون'!$A$2:$A$86,$C3638)&gt;0,"نعم","لا (خارج الجرد)"))</f>
        <v/>
      </c>
    </row>
    <row r="3639" customFormat="false" ht="15" hidden="false" customHeight="false" outlineLevel="0" collapsed="false">
      <c r="A3639" s="102"/>
      <c r="B3639" s="104"/>
      <c r="C3639" s="104"/>
      <c r="F3639" s="103" t="str">
        <f aca="false">IF(OR($C3639="",$D3639=0),"",$E3639/$D3639)</f>
        <v/>
      </c>
      <c r="H3639" s="0" t="str">
        <f aca="false">IF($C3639="","",IF(COUNTIF('مواد المخزون'!$A$2:$A$86,$C3639)&gt;0,"نعم","لا (خارج الجرد)"))</f>
        <v/>
      </c>
    </row>
    <row r="3640" customFormat="false" ht="15" hidden="false" customHeight="false" outlineLevel="0" collapsed="false">
      <c r="A3640" s="102"/>
      <c r="B3640" s="104"/>
      <c r="C3640" s="104"/>
      <c r="F3640" s="103" t="str">
        <f aca="false">IF(OR($C3640="",$D3640=0),"",$E3640/$D3640)</f>
        <v/>
      </c>
      <c r="H3640" s="0" t="str">
        <f aca="false">IF($C3640="","",IF(COUNTIF('مواد المخزون'!$A$2:$A$86,$C3640)&gt;0,"نعم","لا (خارج الجرد)"))</f>
        <v/>
      </c>
    </row>
    <row r="3641" customFormat="false" ht="15" hidden="false" customHeight="false" outlineLevel="0" collapsed="false">
      <c r="A3641" s="102"/>
      <c r="B3641" s="104"/>
      <c r="C3641" s="104"/>
      <c r="F3641" s="103" t="str">
        <f aca="false">IF(OR($C3641="",$D3641=0),"",$E3641/$D3641)</f>
        <v/>
      </c>
      <c r="H3641" s="0" t="str">
        <f aca="false">IF($C3641="","",IF(COUNTIF('مواد المخزون'!$A$2:$A$86,$C3641)&gt;0,"نعم","لا (خارج الجرد)"))</f>
        <v/>
      </c>
    </row>
    <row r="3642" customFormat="false" ht="15" hidden="false" customHeight="false" outlineLevel="0" collapsed="false">
      <c r="A3642" s="102"/>
      <c r="B3642" s="104"/>
      <c r="C3642" s="104"/>
      <c r="F3642" s="103" t="str">
        <f aca="false">IF(OR($C3642="",$D3642=0),"",$E3642/$D3642)</f>
        <v/>
      </c>
      <c r="H3642" s="0" t="str">
        <f aca="false">IF($C3642="","",IF(COUNTIF('مواد المخزون'!$A$2:$A$86,$C3642)&gt;0,"نعم","لا (خارج الجرد)"))</f>
        <v/>
      </c>
    </row>
    <row r="3643" customFormat="false" ht="15" hidden="false" customHeight="false" outlineLevel="0" collapsed="false">
      <c r="A3643" s="102"/>
      <c r="B3643" s="104"/>
      <c r="C3643" s="104"/>
      <c r="F3643" s="103" t="str">
        <f aca="false">IF(OR($C3643="",$D3643=0),"",$E3643/$D3643)</f>
        <v/>
      </c>
      <c r="H3643" s="0" t="str">
        <f aca="false">IF($C3643="","",IF(COUNTIF('مواد المخزون'!$A$2:$A$86,$C3643)&gt;0,"نعم","لا (خارج الجرد)"))</f>
        <v/>
      </c>
    </row>
    <row r="3644" customFormat="false" ht="15" hidden="false" customHeight="false" outlineLevel="0" collapsed="false">
      <c r="A3644" s="102"/>
      <c r="B3644" s="104"/>
      <c r="C3644" s="104"/>
      <c r="F3644" s="103" t="str">
        <f aca="false">IF(OR($C3644="",$D3644=0),"",$E3644/$D3644)</f>
        <v/>
      </c>
      <c r="H3644" s="0" t="str">
        <f aca="false">IF($C3644="","",IF(COUNTIF('مواد المخزون'!$A$2:$A$86,$C3644)&gt;0,"نعم","لا (خارج الجرد)"))</f>
        <v/>
      </c>
    </row>
    <row r="3645" customFormat="false" ht="15" hidden="false" customHeight="false" outlineLevel="0" collapsed="false">
      <c r="A3645" s="102"/>
      <c r="B3645" s="104"/>
      <c r="C3645" s="104"/>
      <c r="F3645" s="103" t="str">
        <f aca="false">IF(OR($C3645="",$D3645=0),"",$E3645/$D3645)</f>
        <v/>
      </c>
      <c r="H3645" s="0" t="str">
        <f aca="false">IF($C3645="","",IF(COUNTIF('مواد المخزون'!$A$2:$A$86,$C3645)&gt;0,"نعم","لا (خارج الجرد)"))</f>
        <v/>
      </c>
    </row>
    <row r="3646" customFormat="false" ht="15" hidden="false" customHeight="false" outlineLevel="0" collapsed="false">
      <c r="A3646" s="102"/>
      <c r="B3646" s="104"/>
      <c r="C3646" s="104"/>
      <c r="F3646" s="103" t="str">
        <f aca="false">IF(OR($C3646="",$D3646=0),"",$E3646/$D3646)</f>
        <v/>
      </c>
      <c r="H3646" s="0" t="str">
        <f aca="false">IF($C3646="","",IF(COUNTIF('مواد المخزون'!$A$2:$A$86,$C3646)&gt;0,"نعم","لا (خارج الجرد)"))</f>
        <v/>
      </c>
    </row>
    <row r="3647" customFormat="false" ht="15" hidden="false" customHeight="false" outlineLevel="0" collapsed="false">
      <c r="A3647" s="102"/>
      <c r="B3647" s="104"/>
      <c r="C3647" s="104"/>
      <c r="F3647" s="103" t="str">
        <f aca="false">IF(OR($C3647="",$D3647=0),"",$E3647/$D3647)</f>
        <v/>
      </c>
      <c r="H3647" s="0" t="str">
        <f aca="false">IF($C3647="","",IF(COUNTIF('مواد المخزون'!$A$2:$A$86,$C3647)&gt;0,"نعم","لا (خارج الجرد)"))</f>
        <v/>
      </c>
    </row>
    <row r="3648" customFormat="false" ht="15" hidden="false" customHeight="false" outlineLevel="0" collapsed="false">
      <c r="A3648" s="102"/>
      <c r="B3648" s="104"/>
      <c r="C3648" s="104"/>
      <c r="F3648" s="103" t="str">
        <f aca="false">IF(OR($C3648="",$D3648=0),"",$E3648/$D3648)</f>
        <v/>
      </c>
      <c r="H3648" s="0" t="str">
        <f aca="false">IF($C3648="","",IF(COUNTIF('مواد المخزون'!$A$2:$A$86,$C3648)&gt;0,"نعم","لا (خارج الجرد)"))</f>
        <v/>
      </c>
    </row>
    <row r="3649" customFormat="false" ht="15" hidden="false" customHeight="false" outlineLevel="0" collapsed="false">
      <c r="A3649" s="102"/>
      <c r="B3649" s="104"/>
      <c r="C3649" s="104"/>
      <c r="F3649" s="103" t="str">
        <f aca="false">IF(OR($C3649="",$D3649=0),"",$E3649/$D3649)</f>
        <v/>
      </c>
      <c r="H3649" s="0" t="str">
        <f aca="false">IF($C3649="","",IF(COUNTIF('مواد المخزون'!$A$2:$A$86,$C3649)&gt;0,"نعم","لا (خارج الجرد)"))</f>
        <v/>
      </c>
    </row>
    <row r="3650" customFormat="false" ht="15" hidden="false" customHeight="false" outlineLevel="0" collapsed="false">
      <c r="A3650" s="102"/>
      <c r="B3650" s="104"/>
      <c r="C3650" s="104"/>
      <c r="F3650" s="103" t="str">
        <f aca="false">IF(OR($C3650="",$D3650=0),"",$E3650/$D3650)</f>
        <v/>
      </c>
      <c r="H3650" s="0" t="str">
        <f aca="false">IF($C3650="","",IF(COUNTIF('مواد المخزون'!$A$2:$A$86,$C3650)&gt;0,"نعم","لا (خارج الجرد)"))</f>
        <v/>
      </c>
    </row>
    <row r="3651" customFormat="false" ht="15" hidden="false" customHeight="false" outlineLevel="0" collapsed="false">
      <c r="A3651" s="102"/>
      <c r="B3651" s="104"/>
      <c r="C3651" s="104"/>
      <c r="F3651" s="103" t="str">
        <f aca="false">IF(OR($C3651="",$D3651=0),"",$E3651/$D3651)</f>
        <v/>
      </c>
      <c r="H3651" s="0" t="str">
        <f aca="false">IF($C3651="","",IF(COUNTIF('مواد المخزون'!$A$2:$A$86,$C3651)&gt;0,"نعم","لا (خارج الجرد)"))</f>
        <v/>
      </c>
    </row>
    <row r="3652" customFormat="false" ht="15" hidden="false" customHeight="false" outlineLevel="0" collapsed="false">
      <c r="A3652" s="102"/>
      <c r="B3652" s="104"/>
      <c r="C3652" s="104"/>
      <c r="F3652" s="103" t="str">
        <f aca="false">IF(OR($C3652="",$D3652=0),"",$E3652/$D3652)</f>
        <v/>
      </c>
      <c r="H3652" s="0" t="str">
        <f aca="false">IF($C3652="","",IF(COUNTIF('مواد المخزون'!$A$2:$A$86,$C3652)&gt;0,"نعم","لا (خارج الجرد)"))</f>
        <v/>
      </c>
    </row>
    <row r="3653" customFormat="false" ht="15" hidden="false" customHeight="false" outlineLevel="0" collapsed="false">
      <c r="A3653" s="102"/>
      <c r="B3653" s="104"/>
      <c r="C3653" s="104"/>
      <c r="F3653" s="103" t="str">
        <f aca="false">IF(OR($C3653="",$D3653=0),"",$E3653/$D3653)</f>
        <v/>
      </c>
      <c r="H3653" s="0" t="str">
        <f aca="false">IF($C3653="","",IF(COUNTIF('مواد المخزون'!$A$2:$A$86,$C3653)&gt;0,"نعم","لا (خارج الجرد)"))</f>
        <v/>
      </c>
    </row>
    <row r="3654" customFormat="false" ht="15" hidden="false" customHeight="false" outlineLevel="0" collapsed="false">
      <c r="A3654" s="102"/>
      <c r="B3654" s="104"/>
      <c r="C3654" s="104"/>
      <c r="F3654" s="103" t="str">
        <f aca="false">IF(OR($C3654="",$D3654=0),"",$E3654/$D3654)</f>
        <v/>
      </c>
      <c r="H3654" s="0" t="str">
        <f aca="false">IF($C3654="","",IF(COUNTIF('مواد المخزون'!$A$2:$A$86,$C3654)&gt;0,"نعم","لا (خارج الجرد)"))</f>
        <v/>
      </c>
    </row>
    <row r="3655" customFormat="false" ht="15" hidden="false" customHeight="false" outlineLevel="0" collapsed="false">
      <c r="A3655" s="102"/>
      <c r="B3655" s="104"/>
      <c r="C3655" s="104"/>
      <c r="F3655" s="103" t="str">
        <f aca="false">IF(OR($C3655="",$D3655=0),"",$E3655/$D3655)</f>
        <v/>
      </c>
      <c r="H3655" s="0" t="str">
        <f aca="false">IF($C3655="","",IF(COUNTIF('مواد المخزون'!$A$2:$A$86,$C3655)&gt;0,"نعم","لا (خارج الجرد)"))</f>
        <v/>
      </c>
    </row>
    <row r="3656" customFormat="false" ht="15" hidden="false" customHeight="false" outlineLevel="0" collapsed="false">
      <c r="A3656" s="102"/>
      <c r="B3656" s="104"/>
      <c r="C3656" s="104"/>
      <c r="F3656" s="103" t="str">
        <f aca="false">IF(OR($C3656="",$D3656=0),"",$E3656/$D3656)</f>
        <v/>
      </c>
      <c r="H3656" s="0" t="str">
        <f aca="false">IF($C3656="","",IF(COUNTIF('مواد المخزون'!$A$2:$A$86,$C3656)&gt;0,"نعم","لا (خارج الجرد)"))</f>
        <v/>
      </c>
    </row>
    <row r="3657" customFormat="false" ht="15" hidden="false" customHeight="false" outlineLevel="0" collapsed="false">
      <c r="A3657" s="102"/>
      <c r="B3657" s="104"/>
      <c r="C3657" s="104"/>
      <c r="F3657" s="103" t="str">
        <f aca="false">IF(OR($C3657="",$D3657=0),"",$E3657/$D3657)</f>
        <v/>
      </c>
      <c r="H3657" s="0" t="str">
        <f aca="false">IF($C3657="","",IF(COUNTIF('مواد المخزون'!$A$2:$A$86,$C3657)&gt;0,"نعم","لا (خارج الجرد)"))</f>
        <v/>
      </c>
    </row>
    <row r="3658" customFormat="false" ht="15" hidden="false" customHeight="false" outlineLevel="0" collapsed="false">
      <c r="A3658" s="102"/>
      <c r="B3658" s="104"/>
      <c r="C3658" s="104"/>
      <c r="F3658" s="103" t="str">
        <f aca="false">IF(OR($C3658="",$D3658=0),"",$E3658/$D3658)</f>
        <v/>
      </c>
      <c r="H3658" s="0" t="str">
        <f aca="false">IF($C3658="","",IF(COUNTIF('مواد المخزون'!$A$2:$A$86,$C3658)&gt;0,"نعم","لا (خارج الجرد)"))</f>
        <v/>
      </c>
    </row>
    <row r="3659" customFormat="false" ht="15" hidden="false" customHeight="false" outlineLevel="0" collapsed="false">
      <c r="A3659" s="102"/>
      <c r="B3659" s="104"/>
      <c r="C3659" s="104"/>
      <c r="F3659" s="103" t="str">
        <f aca="false">IF(OR($C3659="",$D3659=0),"",$E3659/$D3659)</f>
        <v/>
      </c>
      <c r="H3659" s="0" t="str">
        <f aca="false">IF($C3659="","",IF(COUNTIF('مواد المخزون'!$A$2:$A$86,$C3659)&gt;0,"نعم","لا (خارج الجرد)"))</f>
        <v/>
      </c>
    </row>
    <row r="3660" customFormat="false" ht="15" hidden="false" customHeight="false" outlineLevel="0" collapsed="false">
      <c r="A3660" s="102"/>
      <c r="B3660" s="104"/>
      <c r="C3660" s="104"/>
      <c r="F3660" s="103" t="str">
        <f aca="false">IF(OR($C3660="",$D3660=0),"",$E3660/$D3660)</f>
        <v/>
      </c>
      <c r="H3660" s="0" t="str">
        <f aca="false">IF($C3660="","",IF(COUNTIF('مواد المخزون'!$A$2:$A$86,$C3660)&gt;0,"نعم","لا (خارج الجرد)"))</f>
        <v/>
      </c>
    </row>
    <row r="3661" customFormat="false" ht="15" hidden="false" customHeight="false" outlineLevel="0" collapsed="false">
      <c r="A3661" s="102"/>
      <c r="B3661" s="104"/>
      <c r="C3661" s="104"/>
      <c r="F3661" s="103" t="str">
        <f aca="false">IF(OR($C3661="",$D3661=0),"",$E3661/$D3661)</f>
        <v/>
      </c>
      <c r="H3661" s="0" t="str">
        <f aca="false">IF($C3661="","",IF(COUNTIF('مواد المخزون'!$A$2:$A$86,$C3661)&gt;0,"نعم","لا (خارج الجرد)"))</f>
        <v/>
      </c>
    </row>
    <row r="3662" customFormat="false" ht="15" hidden="false" customHeight="false" outlineLevel="0" collapsed="false">
      <c r="A3662" s="102"/>
      <c r="B3662" s="104"/>
      <c r="C3662" s="104"/>
      <c r="F3662" s="103" t="str">
        <f aca="false">IF(OR($C3662="",$D3662=0),"",$E3662/$D3662)</f>
        <v/>
      </c>
      <c r="H3662" s="0" t="str">
        <f aca="false">IF($C3662="","",IF(COUNTIF('مواد المخزون'!$A$2:$A$86,$C3662)&gt;0,"نعم","لا (خارج الجرد)"))</f>
        <v/>
      </c>
    </row>
    <row r="3663" customFormat="false" ht="15" hidden="false" customHeight="false" outlineLevel="0" collapsed="false">
      <c r="A3663" s="102"/>
      <c r="B3663" s="104"/>
      <c r="C3663" s="104"/>
      <c r="F3663" s="103" t="str">
        <f aca="false">IF(OR($C3663="",$D3663=0),"",$E3663/$D3663)</f>
        <v/>
      </c>
      <c r="H3663" s="0" t="str">
        <f aca="false">IF($C3663="","",IF(COUNTIF('مواد المخزون'!$A$2:$A$86,$C3663)&gt;0,"نعم","لا (خارج الجرد)"))</f>
        <v/>
      </c>
    </row>
    <row r="3664" customFormat="false" ht="15" hidden="false" customHeight="false" outlineLevel="0" collapsed="false">
      <c r="A3664" s="102"/>
      <c r="B3664" s="104"/>
      <c r="C3664" s="104"/>
      <c r="F3664" s="103" t="str">
        <f aca="false">IF(OR($C3664="",$D3664=0),"",$E3664/$D3664)</f>
        <v/>
      </c>
      <c r="H3664" s="0" t="str">
        <f aca="false">IF($C3664="","",IF(COUNTIF('مواد المخزون'!$A$2:$A$86,$C3664)&gt;0,"نعم","لا (خارج الجرد)"))</f>
        <v/>
      </c>
    </row>
    <row r="3665" customFormat="false" ht="15" hidden="false" customHeight="false" outlineLevel="0" collapsed="false">
      <c r="A3665" s="102"/>
      <c r="B3665" s="104"/>
      <c r="C3665" s="104"/>
      <c r="F3665" s="103" t="str">
        <f aca="false">IF(OR($C3665="",$D3665=0),"",$E3665/$D3665)</f>
        <v/>
      </c>
      <c r="H3665" s="0" t="str">
        <f aca="false">IF($C3665="","",IF(COUNTIF('مواد المخزون'!$A$2:$A$86,$C3665)&gt;0,"نعم","لا (خارج الجرد)"))</f>
        <v/>
      </c>
    </row>
    <row r="3666" customFormat="false" ht="15" hidden="false" customHeight="false" outlineLevel="0" collapsed="false">
      <c r="A3666" s="102"/>
      <c r="B3666" s="104"/>
      <c r="C3666" s="104"/>
      <c r="F3666" s="103" t="str">
        <f aca="false">IF(OR($C3666="",$D3666=0),"",$E3666/$D3666)</f>
        <v/>
      </c>
      <c r="H3666" s="0" t="str">
        <f aca="false">IF($C3666="","",IF(COUNTIF('مواد المخزون'!$A$2:$A$86,$C3666)&gt;0,"نعم","لا (خارج الجرد)"))</f>
        <v/>
      </c>
    </row>
    <row r="3667" customFormat="false" ht="15" hidden="false" customHeight="false" outlineLevel="0" collapsed="false">
      <c r="A3667" s="102"/>
      <c r="B3667" s="104"/>
      <c r="C3667" s="104"/>
      <c r="F3667" s="103" t="str">
        <f aca="false">IF(OR($C3667="",$D3667=0),"",$E3667/$D3667)</f>
        <v/>
      </c>
      <c r="H3667" s="0" t="str">
        <f aca="false">IF($C3667="","",IF(COUNTIF('مواد المخزون'!$A$2:$A$86,$C3667)&gt;0,"نعم","لا (خارج الجرد)"))</f>
        <v/>
      </c>
    </row>
    <row r="3668" customFormat="false" ht="15" hidden="false" customHeight="false" outlineLevel="0" collapsed="false">
      <c r="A3668" s="102"/>
      <c r="B3668" s="104"/>
      <c r="C3668" s="104"/>
      <c r="F3668" s="103" t="str">
        <f aca="false">IF(OR($C3668="",$D3668=0),"",$E3668/$D3668)</f>
        <v/>
      </c>
      <c r="H3668" s="0" t="str">
        <f aca="false">IF($C3668="","",IF(COUNTIF('مواد المخزون'!$A$2:$A$86,$C3668)&gt;0,"نعم","لا (خارج الجرد)"))</f>
        <v/>
      </c>
    </row>
    <row r="3669" customFormat="false" ht="15" hidden="false" customHeight="false" outlineLevel="0" collapsed="false">
      <c r="A3669" s="102"/>
      <c r="B3669" s="104"/>
      <c r="C3669" s="104"/>
      <c r="F3669" s="103" t="str">
        <f aca="false">IF(OR($C3669="",$D3669=0),"",$E3669/$D3669)</f>
        <v/>
      </c>
      <c r="H3669" s="0" t="str">
        <f aca="false">IF($C3669="","",IF(COUNTIF('مواد المخزون'!$A$2:$A$86,$C3669)&gt;0,"نعم","لا (خارج الجرد)"))</f>
        <v/>
      </c>
    </row>
    <row r="3670" customFormat="false" ht="15" hidden="false" customHeight="false" outlineLevel="0" collapsed="false">
      <c r="A3670" s="102"/>
      <c r="B3670" s="104"/>
      <c r="C3670" s="104"/>
      <c r="F3670" s="103" t="str">
        <f aca="false">IF(OR($C3670="",$D3670=0),"",$E3670/$D3670)</f>
        <v/>
      </c>
      <c r="H3670" s="0" t="str">
        <f aca="false">IF($C3670="","",IF(COUNTIF('مواد المخزون'!$A$2:$A$86,$C3670)&gt;0,"نعم","لا (خارج الجرد)"))</f>
        <v/>
      </c>
    </row>
    <row r="3671" customFormat="false" ht="15" hidden="false" customHeight="false" outlineLevel="0" collapsed="false">
      <c r="A3671" s="102"/>
      <c r="B3671" s="104"/>
      <c r="C3671" s="104"/>
      <c r="F3671" s="103" t="str">
        <f aca="false">IF(OR($C3671="",$D3671=0),"",$E3671/$D3671)</f>
        <v/>
      </c>
      <c r="H3671" s="0" t="str">
        <f aca="false">IF($C3671="","",IF(COUNTIF('مواد المخزون'!$A$2:$A$86,$C3671)&gt;0,"نعم","لا (خارج الجرد)"))</f>
        <v/>
      </c>
    </row>
    <row r="3672" customFormat="false" ht="15" hidden="false" customHeight="false" outlineLevel="0" collapsed="false">
      <c r="A3672" s="102"/>
      <c r="B3672" s="104"/>
      <c r="C3672" s="104"/>
      <c r="F3672" s="103" t="str">
        <f aca="false">IF(OR($C3672="",$D3672=0),"",$E3672/$D3672)</f>
        <v/>
      </c>
      <c r="H3672" s="0" t="str">
        <f aca="false">IF($C3672="","",IF(COUNTIF('مواد المخزون'!$A$2:$A$86,$C3672)&gt;0,"نعم","لا (خارج الجرد)"))</f>
        <v/>
      </c>
    </row>
    <row r="3673" customFormat="false" ht="15" hidden="false" customHeight="false" outlineLevel="0" collapsed="false">
      <c r="A3673" s="102"/>
      <c r="B3673" s="104"/>
      <c r="C3673" s="104"/>
      <c r="F3673" s="103" t="str">
        <f aca="false">IF(OR($C3673="",$D3673=0),"",$E3673/$D3673)</f>
        <v/>
      </c>
      <c r="H3673" s="0" t="str">
        <f aca="false">IF($C3673="","",IF(COUNTIF('مواد المخزون'!$A$2:$A$86,$C3673)&gt;0,"نعم","لا (خارج الجرد)"))</f>
        <v/>
      </c>
    </row>
    <row r="3674" customFormat="false" ht="15" hidden="false" customHeight="false" outlineLevel="0" collapsed="false">
      <c r="A3674" s="102"/>
      <c r="B3674" s="104"/>
      <c r="C3674" s="104"/>
      <c r="F3674" s="103" t="str">
        <f aca="false">IF(OR($C3674="",$D3674=0),"",$E3674/$D3674)</f>
        <v/>
      </c>
      <c r="H3674" s="0" t="str">
        <f aca="false">IF($C3674="","",IF(COUNTIF('مواد المخزون'!$A$2:$A$86,$C3674)&gt;0,"نعم","لا (خارج الجرد)"))</f>
        <v/>
      </c>
    </row>
    <row r="3675" customFormat="false" ht="15" hidden="false" customHeight="false" outlineLevel="0" collapsed="false">
      <c r="A3675" s="102"/>
      <c r="B3675" s="104"/>
      <c r="C3675" s="104"/>
      <c r="F3675" s="103" t="str">
        <f aca="false">IF(OR($C3675="",$D3675=0),"",$E3675/$D3675)</f>
        <v/>
      </c>
      <c r="H3675" s="0" t="str">
        <f aca="false">IF($C3675="","",IF(COUNTIF('مواد المخزون'!$A$2:$A$86,$C3675)&gt;0,"نعم","لا (خارج الجرد)"))</f>
        <v/>
      </c>
    </row>
    <row r="3676" customFormat="false" ht="15" hidden="false" customHeight="false" outlineLevel="0" collapsed="false">
      <c r="A3676" s="102"/>
      <c r="B3676" s="104"/>
      <c r="C3676" s="104"/>
      <c r="F3676" s="103" t="str">
        <f aca="false">IF(OR($C3676="",$D3676=0),"",$E3676/$D3676)</f>
        <v/>
      </c>
      <c r="H3676" s="0" t="str">
        <f aca="false">IF($C3676="","",IF(COUNTIF('مواد المخزون'!$A$2:$A$86,$C3676)&gt;0,"نعم","لا (خارج الجرد)"))</f>
        <v/>
      </c>
    </row>
    <row r="3677" customFormat="false" ht="15" hidden="false" customHeight="false" outlineLevel="0" collapsed="false">
      <c r="A3677" s="102"/>
      <c r="B3677" s="104"/>
      <c r="C3677" s="104"/>
      <c r="F3677" s="103" t="str">
        <f aca="false">IF(OR($C3677="",$D3677=0),"",$E3677/$D3677)</f>
        <v/>
      </c>
      <c r="H3677" s="0" t="str">
        <f aca="false">IF($C3677="","",IF(COUNTIF('مواد المخزون'!$A$2:$A$86,$C3677)&gt;0,"نعم","لا (خارج الجرد)"))</f>
        <v/>
      </c>
    </row>
    <row r="3678" customFormat="false" ht="15" hidden="false" customHeight="false" outlineLevel="0" collapsed="false">
      <c r="A3678" s="102"/>
      <c r="B3678" s="104"/>
      <c r="C3678" s="104"/>
      <c r="F3678" s="103" t="str">
        <f aca="false">IF(OR($C3678="",$D3678=0),"",$E3678/$D3678)</f>
        <v/>
      </c>
      <c r="H3678" s="0" t="str">
        <f aca="false">IF($C3678="","",IF(COUNTIF('مواد المخزون'!$A$2:$A$86,$C3678)&gt;0,"نعم","لا (خارج الجرد)"))</f>
        <v/>
      </c>
    </row>
    <row r="3679" customFormat="false" ht="15" hidden="false" customHeight="false" outlineLevel="0" collapsed="false">
      <c r="A3679" s="102"/>
      <c r="B3679" s="104"/>
      <c r="C3679" s="104"/>
      <c r="F3679" s="103" t="str">
        <f aca="false">IF(OR($C3679="",$D3679=0),"",$E3679/$D3679)</f>
        <v/>
      </c>
      <c r="H3679" s="0" t="str">
        <f aca="false">IF($C3679="","",IF(COUNTIF('مواد المخزون'!$A$2:$A$86,$C3679)&gt;0,"نعم","لا (خارج الجرد)"))</f>
        <v/>
      </c>
    </row>
    <row r="3680" customFormat="false" ht="15" hidden="false" customHeight="false" outlineLevel="0" collapsed="false">
      <c r="A3680" s="102"/>
      <c r="B3680" s="104"/>
      <c r="C3680" s="104"/>
      <c r="F3680" s="103" t="str">
        <f aca="false">IF(OR($C3680="",$D3680=0),"",$E3680/$D3680)</f>
        <v/>
      </c>
      <c r="H3680" s="0" t="str">
        <f aca="false">IF($C3680="","",IF(COUNTIF('مواد المخزون'!$A$2:$A$86,$C3680)&gt;0,"نعم","لا (خارج الجرد)"))</f>
        <v/>
      </c>
    </row>
    <row r="3681" customFormat="false" ht="15" hidden="false" customHeight="false" outlineLevel="0" collapsed="false">
      <c r="A3681" s="102"/>
      <c r="B3681" s="104"/>
      <c r="C3681" s="104"/>
      <c r="F3681" s="103" t="str">
        <f aca="false">IF(OR($C3681="",$D3681=0),"",$E3681/$D3681)</f>
        <v/>
      </c>
      <c r="H3681" s="0" t="str">
        <f aca="false">IF($C3681="","",IF(COUNTIF('مواد المخزون'!$A$2:$A$86,$C3681)&gt;0,"نعم","لا (خارج الجرد)"))</f>
        <v/>
      </c>
    </row>
    <row r="3682" customFormat="false" ht="15" hidden="false" customHeight="false" outlineLevel="0" collapsed="false">
      <c r="A3682" s="102"/>
      <c r="B3682" s="104"/>
      <c r="C3682" s="104"/>
      <c r="F3682" s="103" t="str">
        <f aca="false">IF(OR($C3682="",$D3682=0),"",$E3682/$D3682)</f>
        <v/>
      </c>
      <c r="H3682" s="0" t="str">
        <f aca="false">IF($C3682="","",IF(COUNTIF('مواد المخزون'!$A$2:$A$86,$C3682)&gt;0,"نعم","لا (خارج الجرد)"))</f>
        <v/>
      </c>
    </row>
    <row r="3683" customFormat="false" ht="15" hidden="false" customHeight="false" outlineLevel="0" collapsed="false">
      <c r="A3683" s="102"/>
      <c r="B3683" s="104"/>
      <c r="C3683" s="104"/>
      <c r="F3683" s="103" t="str">
        <f aca="false">IF(OR($C3683="",$D3683=0),"",$E3683/$D3683)</f>
        <v/>
      </c>
      <c r="H3683" s="0" t="str">
        <f aca="false">IF($C3683="","",IF(COUNTIF('مواد المخزون'!$A$2:$A$86,$C3683)&gt;0,"نعم","لا (خارج الجرد)"))</f>
        <v/>
      </c>
    </row>
    <row r="3684" customFormat="false" ht="15" hidden="false" customHeight="false" outlineLevel="0" collapsed="false">
      <c r="A3684" s="102"/>
      <c r="B3684" s="104"/>
      <c r="C3684" s="104"/>
      <c r="F3684" s="103" t="str">
        <f aca="false">IF(OR($C3684="",$D3684=0),"",$E3684/$D3684)</f>
        <v/>
      </c>
      <c r="H3684" s="0" t="str">
        <f aca="false">IF($C3684="","",IF(COUNTIF('مواد المخزون'!$A$2:$A$86,$C3684)&gt;0,"نعم","لا (خارج الجرد)"))</f>
        <v/>
      </c>
    </row>
    <row r="3685" customFormat="false" ht="15" hidden="false" customHeight="false" outlineLevel="0" collapsed="false">
      <c r="A3685" s="102"/>
      <c r="B3685" s="104"/>
      <c r="C3685" s="104"/>
      <c r="F3685" s="103" t="str">
        <f aca="false">IF(OR($C3685="",$D3685=0),"",$E3685/$D3685)</f>
        <v/>
      </c>
      <c r="H3685" s="0" t="str">
        <f aca="false">IF($C3685="","",IF(COUNTIF('مواد المخزون'!$A$2:$A$86,$C3685)&gt;0,"نعم","لا (خارج الجرد)"))</f>
        <v/>
      </c>
    </row>
    <row r="3686" customFormat="false" ht="15" hidden="false" customHeight="false" outlineLevel="0" collapsed="false">
      <c r="A3686" s="102"/>
      <c r="B3686" s="104"/>
      <c r="C3686" s="104"/>
      <c r="F3686" s="103" t="str">
        <f aca="false">IF(OR($C3686="",$D3686=0),"",$E3686/$D3686)</f>
        <v/>
      </c>
      <c r="H3686" s="0" t="str">
        <f aca="false">IF($C3686="","",IF(COUNTIF('مواد المخزون'!$A$2:$A$86,$C3686)&gt;0,"نعم","لا (خارج الجرد)"))</f>
        <v/>
      </c>
    </row>
    <row r="3687" customFormat="false" ht="15" hidden="false" customHeight="false" outlineLevel="0" collapsed="false">
      <c r="A3687" s="102"/>
      <c r="B3687" s="104"/>
      <c r="C3687" s="104"/>
      <c r="F3687" s="103" t="str">
        <f aca="false">IF(OR($C3687="",$D3687=0),"",$E3687/$D3687)</f>
        <v/>
      </c>
      <c r="H3687" s="0" t="str">
        <f aca="false">IF($C3687="","",IF(COUNTIF('مواد المخزون'!$A$2:$A$86,$C3687)&gt;0,"نعم","لا (خارج الجرد)"))</f>
        <v/>
      </c>
    </row>
    <row r="3688" customFormat="false" ht="15" hidden="false" customHeight="false" outlineLevel="0" collapsed="false">
      <c r="A3688" s="102"/>
      <c r="B3688" s="104"/>
      <c r="C3688" s="104"/>
      <c r="F3688" s="103" t="str">
        <f aca="false">IF(OR($C3688="",$D3688=0),"",$E3688/$D3688)</f>
        <v/>
      </c>
      <c r="H3688" s="0" t="str">
        <f aca="false">IF($C3688="","",IF(COUNTIF('مواد المخزون'!$A$2:$A$86,$C3688)&gt;0,"نعم","لا (خارج الجرد)"))</f>
        <v/>
      </c>
    </row>
    <row r="3689" customFormat="false" ht="15" hidden="false" customHeight="false" outlineLevel="0" collapsed="false">
      <c r="A3689" s="102"/>
      <c r="B3689" s="104"/>
      <c r="C3689" s="104"/>
      <c r="F3689" s="103" t="str">
        <f aca="false">IF(OR($C3689="",$D3689=0),"",$E3689/$D3689)</f>
        <v/>
      </c>
      <c r="H3689" s="0" t="str">
        <f aca="false">IF($C3689="","",IF(COUNTIF('مواد المخزون'!$A$2:$A$86,$C3689)&gt;0,"نعم","لا (خارج الجرد)"))</f>
        <v/>
      </c>
    </row>
    <row r="3690" customFormat="false" ht="15" hidden="false" customHeight="false" outlineLevel="0" collapsed="false">
      <c r="A3690" s="102"/>
      <c r="B3690" s="104"/>
      <c r="C3690" s="104"/>
      <c r="F3690" s="103" t="str">
        <f aca="false">IF(OR($C3690="",$D3690=0),"",$E3690/$D3690)</f>
        <v/>
      </c>
      <c r="H3690" s="0" t="str">
        <f aca="false">IF($C3690="","",IF(COUNTIF('مواد المخزون'!$A$2:$A$86,$C3690)&gt;0,"نعم","لا (خارج الجرد)"))</f>
        <v/>
      </c>
    </row>
    <row r="3691" customFormat="false" ht="15" hidden="false" customHeight="false" outlineLevel="0" collapsed="false">
      <c r="A3691" s="102"/>
      <c r="B3691" s="104"/>
      <c r="C3691" s="104"/>
      <c r="F3691" s="103" t="str">
        <f aca="false">IF(OR($C3691="",$D3691=0),"",$E3691/$D3691)</f>
        <v/>
      </c>
      <c r="H3691" s="0" t="str">
        <f aca="false">IF($C3691="","",IF(COUNTIF('مواد المخزون'!$A$2:$A$86,$C3691)&gt;0,"نعم","لا (خارج الجرد)"))</f>
        <v/>
      </c>
    </row>
    <row r="3692" customFormat="false" ht="15" hidden="false" customHeight="false" outlineLevel="0" collapsed="false">
      <c r="A3692" s="102"/>
      <c r="B3692" s="104"/>
      <c r="C3692" s="104"/>
      <c r="F3692" s="103" t="str">
        <f aca="false">IF(OR($C3692="",$D3692=0),"",$E3692/$D3692)</f>
        <v/>
      </c>
      <c r="H3692" s="0" t="str">
        <f aca="false">IF($C3692="","",IF(COUNTIF('مواد المخزون'!$A$2:$A$86,$C3692)&gt;0,"نعم","لا (خارج الجرد)"))</f>
        <v/>
      </c>
    </row>
    <row r="3693" customFormat="false" ht="15" hidden="false" customHeight="false" outlineLevel="0" collapsed="false">
      <c r="A3693" s="102"/>
      <c r="B3693" s="104"/>
      <c r="C3693" s="104"/>
      <c r="F3693" s="103" t="str">
        <f aca="false">IF(OR($C3693="",$D3693=0),"",$E3693/$D3693)</f>
        <v/>
      </c>
      <c r="H3693" s="0" t="str">
        <f aca="false">IF($C3693="","",IF(COUNTIF('مواد المخزون'!$A$2:$A$86,$C3693)&gt;0,"نعم","لا (خارج الجرد)"))</f>
        <v/>
      </c>
    </row>
    <row r="3694" customFormat="false" ht="15" hidden="false" customHeight="false" outlineLevel="0" collapsed="false">
      <c r="A3694" s="102"/>
      <c r="B3694" s="104"/>
      <c r="C3694" s="104"/>
      <c r="F3694" s="103" t="str">
        <f aca="false">IF(OR($C3694="",$D3694=0),"",$E3694/$D3694)</f>
        <v/>
      </c>
      <c r="H3694" s="0" t="str">
        <f aca="false">IF($C3694="","",IF(COUNTIF('مواد المخزون'!$A$2:$A$86,$C3694)&gt;0,"نعم","لا (خارج الجرد)"))</f>
        <v/>
      </c>
    </row>
    <row r="3695" customFormat="false" ht="15" hidden="false" customHeight="false" outlineLevel="0" collapsed="false">
      <c r="A3695" s="102"/>
      <c r="B3695" s="104"/>
      <c r="C3695" s="104"/>
      <c r="F3695" s="103" t="str">
        <f aca="false">IF(OR($C3695="",$D3695=0),"",$E3695/$D3695)</f>
        <v/>
      </c>
      <c r="H3695" s="0" t="str">
        <f aca="false">IF($C3695="","",IF(COUNTIF('مواد المخزون'!$A$2:$A$86,$C3695)&gt;0,"نعم","لا (خارج الجرد)"))</f>
        <v/>
      </c>
    </row>
    <row r="3696" customFormat="false" ht="15" hidden="false" customHeight="false" outlineLevel="0" collapsed="false">
      <c r="A3696" s="102"/>
      <c r="B3696" s="104"/>
      <c r="C3696" s="104"/>
      <c r="F3696" s="103" t="str">
        <f aca="false">IF(OR($C3696="",$D3696=0),"",$E3696/$D3696)</f>
        <v/>
      </c>
      <c r="H3696" s="0" t="str">
        <f aca="false">IF($C3696="","",IF(COUNTIF('مواد المخزون'!$A$2:$A$86,$C3696)&gt;0,"نعم","لا (خارج الجرد)"))</f>
        <v/>
      </c>
    </row>
    <row r="3697" customFormat="false" ht="15" hidden="false" customHeight="false" outlineLevel="0" collapsed="false">
      <c r="A3697" s="102"/>
      <c r="B3697" s="104"/>
      <c r="C3697" s="104"/>
      <c r="F3697" s="103" t="str">
        <f aca="false">IF(OR($C3697="",$D3697=0),"",$E3697/$D3697)</f>
        <v/>
      </c>
      <c r="H3697" s="0" t="str">
        <f aca="false">IF($C3697="","",IF(COUNTIF('مواد المخزون'!$A$2:$A$86,$C3697)&gt;0,"نعم","لا (خارج الجرد)"))</f>
        <v/>
      </c>
    </row>
    <row r="3698" customFormat="false" ht="15" hidden="false" customHeight="false" outlineLevel="0" collapsed="false">
      <c r="A3698" s="102"/>
      <c r="B3698" s="104"/>
      <c r="C3698" s="104"/>
      <c r="F3698" s="103" t="str">
        <f aca="false">IF(OR($C3698="",$D3698=0),"",$E3698/$D3698)</f>
        <v/>
      </c>
      <c r="H3698" s="0" t="str">
        <f aca="false">IF($C3698="","",IF(COUNTIF('مواد المخزون'!$A$2:$A$86,$C3698)&gt;0,"نعم","لا (خارج الجرد)"))</f>
        <v/>
      </c>
    </row>
    <row r="3699" customFormat="false" ht="15" hidden="false" customHeight="false" outlineLevel="0" collapsed="false">
      <c r="A3699" s="102"/>
      <c r="B3699" s="104"/>
      <c r="C3699" s="104"/>
      <c r="F3699" s="103" t="str">
        <f aca="false">IF(OR($C3699="",$D3699=0),"",$E3699/$D3699)</f>
        <v/>
      </c>
      <c r="H3699" s="0" t="str">
        <f aca="false">IF($C3699="","",IF(COUNTIF('مواد المخزون'!$A$2:$A$86,$C3699)&gt;0,"نعم","لا (خارج الجرد)"))</f>
        <v/>
      </c>
    </row>
    <row r="3700" customFormat="false" ht="15" hidden="false" customHeight="false" outlineLevel="0" collapsed="false">
      <c r="A3700" s="102"/>
      <c r="B3700" s="104"/>
      <c r="C3700" s="104"/>
      <c r="F3700" s="103" t="str">
        <f aca="false">IF(OR($C3700="",$D3700=0),"",$E3700/$D3700)</f>
        <v/>
      </c>
      <c r="H3700" s="0" t="str">
        <f aca="false">IF($C3700="","",IF(COUNTIF('مواد المخزون'!$A$2:$A$86,$C3700)&gt;0,"نعم","لا (خارج الجرد)"))</f>
        <v/>
      </c>
    </row>
    <row r="3701" customFormat="false" ht="15" hidden="false" customHeight="false" outlineLevel="0" collapsed="false">
      <c r="A3701" s="102"/>
      <c r="B3701" s="104"/>
      <c r="C3701" s="104"/>
      <c r="F3701" s="103" t="str">
        <f aca="false">IF(OR($C3701="",$D3701=0),"",$E3701/$D3701)</f>
        <v/>
      </c>
      <c r="H3701" s="0" t="str">
        <f aca="false">IF($C3701="","",IF(COUNTIF('مواد المخزون'!$A$2:$A$86,$C3701)&gt;0,"نعم","لا (خارج الجرد)"))</f>
        <v/>
      </c>
    </row>
    <row r="3702" customFormat="false" ht="15" hidden="false" customHeight="false" outlineLevel="0" collapsed="false">
      <c r="A3702" s="102"/>
      <c r="B3702" s="104"/>
      <c r="C3702" s="104"/>
      <c r="F3702" s="103" t="str">
        <f aca="false">IF(OR($C3702="",$D3702=0),"",$E3702/$D3702)</f>
        <v/>
      </c>
      <c r="H3702" s="0" t="str">
        <f aca="false">IF($C3702="","",IF(COUNTIF('مواد المخزون'!$A$2:$A$86,$C3702)&gt;0,"نعم","لا (خارج الجرد)"))</f>
        <v/>
      </c>
    </row>
    <row r="3703" customFormat="false" ht="15" hidden="false" customHeight="false" outlineLevel="0" collapsed="false">
      <c r="A3703" s="102"/>
      <c r="B3703" s="104"/>
      <c r="C3703" s="104"/>
      <c r="F3703" s="103" t="str">
        <f aca="false">IF(OR($C3703="",$D3703=0),"",$E3703/$D3703)</f>
        <v/>
      </c>
      <c r="H3703" s="0" t="str">
        <f aca="false">IF($C3703="","",IF(COUNTIF('مواد المخزون'!$A$2:$A$86,$C3703)&gt;0,"نعم","لا (خارج الجرد)"))</f>
        <v/>
      </c>
    </row>
    <row r="3704" customFormat="false" ht="15" hidden="false" customHeight="false" outlineLevel="0" collapsed="false">
      <c r="A3704" s="102"/>
      <c r="B3704" s="104"/>
      <c r="C3704" s="104"/>
      <c r="F3704" s="103" t="str">
        <f aca="false">IF(OR($C3704="",$D3704=0),"",$E3704/$D3704)</f>
        <v/>
      </c>
      <c r="H3704" s="0" t="str">
        <f aca="false">IF($C3704="","",IF(COUNTIF('مواد المخزون'!$A$2:$A$86,$C3704)&gt;0,"نعم","لا (خارج الجرد)"))</f>
        <v/>
      </c>
    </row>
    <row r="3705" customFormat="false" ht="15" hidden="false" customHeight="false" outlineLevel="0" collapsed="false">
      <c r="A3705" s="102"/>
      <c r="B3705" s="104"/>
      <c r="C3705" s="104"/>
      <c r="F3705" s="103" t="str">
        <f aca="false">IF(OR($C3705="",$D3705=0),"",$E3705/$D3705)</f>
        <v/>
      </c>
      <c r="H3705" s="0" t="str">
        <f aca="false">IF($C3705="","",IF(COUNTIF('مواد المخزون'!$A$2:$A$86,$C3705)&gt;0,"نعم","لا (خارج الجرد)"))</f>
        <v/>
      </c>
    </row>
    <row r="3706" customFormat="false" ht="15" hidden="false" customHeight="false" outlineLevel="0" collapsed="false">
      <c r="A3706" s="102"/>
      <c r="B3706" s="104"/>
      <c r="C3706" s="104"/>
      <c r="F3706" s="103" t="str">
        <f aca="false">IF(OR($C3706="",$D3706=0),"",$E3706/$D3706)</f>
        <v/>
      </c>
      <c r="H3706" s="0" t="str">
        <f aca="false">IF($C3706="","",IF(COUNTIF('مواد المخزون'!$A$2:$A$86,$C3706)&gt;0,"نعم","لا (خارج الجرد)"))</f>
        <v/>
      </c>
    </row>
    <row r="3707" customFormat="false" ht="15" hidden="false" customHeight="false" outlineLevel="0" collapsed="false">
      <c r="A3707" s="102"/>
      <c r="B3707" s="104"/>
      <c r="C3707" s="104"/>
      <c r="F3707" s="103" t="str">
        <f aca="false">IF(OR($C3707="",$D3707=0),"",$E3707/$D3707)</f>
        <v/>
      </c>
      <c r="H3707" s="0" t="str">
        <f aca="false">IF($C3707="","",IF(COUNTIF('مواد المخزون'!$A$2:$A$86,$C3707)&gt;0,"نعم","لا (خارج الجرد)"))</f>
        <v/>
      </c>
    </row>
    <row r="3708" customFormat="false" ht="15" hidden="false" customHeight="false" outlineLevel="0" collapsed="false">
      <c r="A3708" s="102"/>
      <c r="B3708" s="104"/>
      <c r="C3708" s="104"/>
      <c r="F3708" s="103" t="str">
        <f aca="false">IF(OR($C3708="",$D3708=0),"",$E3708/$D3708)</f>
        <v/>
      </c>
      <c r="H3708" s="0" t="str">
        <f aca="false">IF($C3708="","",IF(COUNTIF('مواد المخزون'!$A$2:$A$86,$C3708)&gt;0,"نعم","لا (خارج الجرد)"))</f>
        <v/>
      </c>
    </row>
    <row r="3709" customFormat="false" ht="15" hidden="false" customHeight="false" outlineLevel="0" collapsed="false">
      <c r="A3709" s="102"/>
      <c r="B3709" s="104"/>
      <c r="C3709" s="104"/>
      <c r="F3709" s="103" t="str">
        <f aca="false">IF(OR($C3709="",$D3709=0),"",$E3709/$D3709)</f>
        <v/>
      </c>
      <c r="H3709" s="0" t="str">
        <f aca="false">IF($C3709="","",IF(COUNTIF('مواد المخزون'!$A$2:$A$86,$C3709)&gt;0,"نعم","لا (خارج الجرد)"))</f>
        <v/>
      </c>
    </row>
    <row r="3710" customFormat="false" ht="15" hidden="false" customHeight="false" outlineLevel="0" collapsed="false">
      <c r="A3710" s="102"/>
      <c r="B3710" s="104"/>
      <c r="C3710" s="104"/>
      <c r="F3710" s="103" t="str">
        <f aca="false">IF(OR($C3710="",$D3710=0),"",$E3710/$D3710)</f>
        <v/>
      </c>
      <c r="H3710" s="0" t="str">
        <f aca="false">IF($C3710="","",IF(COUNTIF('مواد المخزون'!$A$2:$A$86,$C3710)&gt;0,"نعم","لا (خارج الجرد)"))</f>
        <v/>
      </c>
    </row>
    <row r="3711" customFormat="false" ht="15" hidden="false" customHeight="false" outlineLevel="0" collapsed="false">
      <c r="A3711" s="102"/>
      <c r="B3711" s="104"/>
      <c r="C3711" s="104"/>
      <c r="F3711" s="103" t="str">
        <f aca="false">IF(OR($C3711="",$D3711=0),"",$E3711/$D3711)</f>
        <v/>
      </c>
      <c r="H3711" s="0" t="str">
        <f aca="false">IF($C3711="","",IF(COUNTIF('مواد المخزون'!$A$2:$A$86,$C3711)&gt;0,"نعم","لا (خارج الجرد)"))</f>
        <v/>
      </c>
    </row>
    <row r="3712" customFormat="false" ht="15" hidden="false" customHeight="false" outlineLevel="0" collapsed="false">
      <c r="A3712" s="102"/>
      <c r="B3712" s="104"/>
      <c r="C3712" s="104"/>
      <c r="F3712" s="103" t="str">
        <f aca="false">IF(OR($C3712="",$D3712=0),"",$E3712/$D3712)</f>
        <v/>
      </c>
      <c r="H3712" s="0" t="str">
        <f aca="false">IF($C3712="","",IF(COUNTIF('مواد المخزون'!$A$2:$A$86,$C3712)&gt;0,"نعم","لا (خارج الجرد)"))</f>
        <v/>
      </c>
    </row>
    <row r="3713" customFormat="false" ht="15" hidden="false" customHeight="false" outlineLevel="0" collapsed="false">
      <c r="A3713" s="102"/>
      <c r="B3713" s="104"/>
      <c r="C3713" s="104"/>
      <c r="F3713" s="103" t="str">
        <f aca="false">IF(OR($C3713="",$D3713=0),"",$E3713/$D3713)</f>
        <v/>
      </c>
      <c r="H3713" s="0" t="str">
        <f aca="false">IF($C3713="","",IF(COUNTIF('مواد المخزون'!$A$2:$A$86,$C3713)&gt;0,"نعم","لا (خارج الجرد)"))</f>
        <v/>
      </c>
    </row>
    <row r="3714" customFormat="false" ht="15" hidden="false" customHeight="false" outlineLevel="0" collapsed="false">
      <c r="A3714" s="102"/>
      <c r="B3714" s="104"/>
      <c r="C3714" s="104"/>
      <c r="F3714" s="103" t="str">
        <f aca="false">IF(OR($C3714="",$D3714=0),"",$E3714/$D3714)</f>
        <v/>
      </c>
      <c r="H3714" s="0" t="str">
        <f aca="false">IF($C3714="","",IF(COUNTIF('مواد المخزون'!$A$2:$A$86,$C3714)&gt;0,"نعم","لا (خارج الجرد)"))</f>
        <v/>
      </c>
    </row>
    <row r="3715" customFormat="false" ht="15" hidden="false" customHeight="false" outlineLevel="0" collapsed="false">
      <c r="A3715" s="102"/>
      <c r="B3715" s="104"/>
      <c r="C3715" s="104"/>
      <c r="F3715" s="103" t="str">
        <f aca="false">IF(OR($C3715="",$D3715=0),"",$E3715/$D3715)</f>
        <v/>
      </c>
      <c r="H3715" s="0" t="str">
        <f aca="false">IF($C3715="","",IF(COUNTIF('مواد المخزون'!$A$2:$A$86,$C3715)&gt;0,"نعم","لا (خارج الجرد)"))</f>
        <v/>
      </c>
    </row>
    <row r="3716" customFormat="false" ht="15" hidden="false" customHeight="false" outlineLevel="0" collapsed="false">
      <c r="A3716" s="102"/>
      <c r="B3716" s="104"/>
      <c r="C3716" s="104"/>
      <c r="F3716" s="103" t="str">
        <f aca="false">IF(OR($C3716="",$D3716=0),"",$E3716/$D3716)</f>
        <v/>
      </c>
      <c r="H3716" s="0" t="str">
        <f aca="false">IF($C3716="","",IF(COUNTIF('مواد المخزون'!$A$2:$A$86,$C3716)&gt;0,"نعم","لا (خارج الجرد)"))</f>
        <v/>
      </c>
    </row>
    <row r="3717" customFormat="false" ht="15" hidden="false" customHeight="false" outlineLevel="0" collapsed="false">
      <c r="A3717" s="102"/>
      <c r="B3717" s="104"/>
      <c r="C3717" s="104"/>
      <c r="F3717" s="103" t="str">
        <f aca="false">IF(OR($C3717="",$D3717=0),"",$E3717/$D3717)</f>
        <v/>
      </c>
      <c r="H3717" s="0" t="str">
        <f aca="false">IF($C3717="","",IF(COUNTIF('مواد المخزون'!$A$2:$A$86,$C3717)&gt;0,"نعم","لا (خارج الجرد)"))</f>
        <v/>
      </c>
    </row>
    <row r="3718" customFormat="false" ht="15" hidden="false" customHeight="false" outlineLevel="0" collapsed="false">
      <c r="A3718" s="102"/>
      <c r="B3718" s="104"/>
      <c r="C3718" s="104"/>
      <c r="F3718" s="103" t="str">
        <f aca="false">IF(OR($C3718="",$D3718=0),"",$E3718/$D3718)</f>
        <v/>
      </c>
      <c r="H3718" s="0" t="str">
        <f aca="false">IF($C3718="","",IF(COUNTIF('مواد المخزون'!$A$2:$A$86,$C3718)&gt;0,"نعم","لا (خارج الجرد)"))</f>
        <v/>
      </c>
    </row>
    <row r="3719" customFormat="false" ht="15" hidden="false" customHeight="false" outlineLevel="0" collapsed="false">
      <c r="A3719" s="102"/>
      <c r="B3719" s="104"/>
      <c r="C3719" s="104"/>
      <c r="F3719" s="103" t="str">
        <f aca="false">IF(OR($C3719="",$D3719=0),"",$E3719/$D3719)</f>
        <v/>
      </c>
      <c r="H3719" s="0" t="str">
        <f aca="false">IF($C3719="","",IF(COUNTIF('مواد المخزون'!$A$2:$A$86,$C3719)&gt;0,"نعم","لا (خارج الجرد)"))</f>
        <v/>
      </c>
    </row>
    <row r="3720" customFormat="false" ht="15" hidden="false" customHeight="false" outlineLevel="0" collapsed="false">
      <c r="A3720" s="102"/>
      <c r="B3720" s="104"/>
      <c r="C3720" s="104"/>
      <c r="F3720" s="103" t="str">
        <f aca="false">IF(OR($C3720="",$D3720=0),"",$E3720/$D3720)</f>
        <v/>
      </c>
      <c r="H3720" s="0" t="str">
        <f aca="false">IF($C3720="","",IF(COUNTIF('مواد المخزون'!$A$2:$A$86,$C3720)&gt;0,"نعم","لا (خارج الجرد)"))</f>
        <v/>
      </c>
    </row>
    <row r="3721" customFormat="false" ht="15" hidden="false" customHeight="false" outlineLevel="0" collapsed="false">
      <c r="A3721" s="102"/>
      <c r="B3721" s="104"/>
      <c r="C3721" s="104"/>
      <c r="F3721" s="103" t="str">
        <f aca="false">IF(OR($C3721="",$D3721=0),"",$E3721/$D3721)</f>
        <v/>
      </c>
      <c r="H3721" s="0" t="str">
        <f aca="false">IF($C3721="","",IF(COUNTIF('مواد المخزون'!$A$2:$A$86,$C3721)&gt;0,"نعم","لا (خارج الجرد)"))</f>
        <v/>
      </c>
    </row>
    <row r="3722" customFormat="false" ht="15" hidden="false" customHeight="false" outlineLevel="0" collapsed="false">
      <c r="A3722" s="102"/>
      <c r="B3722" s="104"/>
      <c r="C3722" s="104"/>
      <c r="F3722" s="103" t="str">
        <f aca="false">IF(OR($C3722="",$D3722=0),"",$E3722/$D3722)</f>
        <v/>
      </c>
      <c r="H3722" s="0" t="str">
        <f aca="false">IF($C3722="","",IF(COUNTIF('مواد المخزون'!$A$2:$A$86,$C3722)&gt;0,"نعم","لا (خارج الجرد)"))</f>
        <v/>
      </c>
    </row>
    <row r="3723" customFormat="false" ht="15" hidden="false" customHeight="false" outlineLevel="0" collapsed="false">
      <c r="A3723" s="102"/>
      <c r="B3723" s="104"/>
      <c r="C3723" s="104"/>
      <c r="F3723" s="103" t="str">
        <f aca="false">IF(OR($C3723="",$D3723=0),"",$E3723/$D3723)</f>
        <v/>
      </c>
      <c r="H3723" s="0" t="str">
        <f aca="false">IF($C3723="","",IF(COUNTIF('مواد المخزون'!$A$2:$A$86,$C3723)&gt;0,"نعم","لا (خارج الجرد)"))</f>
        <v/>
      </c>
    </row>
    <row r="3724" customFormat="false" ht="15" hidden="false" customHeight="false" outlineLevel="0" collapsed="false">
      <c r="A3724" s="102"/>
      <c r="B3724" s="104"/>
      <c r="C3724" s="104"/>
      <c r="F3724" s="103" t="str">
        <f aca="false">IF(OR($C3724="",$D3724=0),"",$E3724/$D3724)</f>
        <v/>
      </c>
      <c r="H3724" s="0" t="str">
        <f aca="false">IF($C3724="","",IF(COUNTIF('مواد المخزون'!$A$2:$A$86,$C3724)&gt;0,"نعم","لا (خارج الجرد)"))</f>
        <v/>
      </c>
    </row>
    <row r="3725" customFormat="false" ht="15" hidden="false" customHeight="false" outlineLevel="0" collapsed="false">
      <c r="A3725" s="102"/>
      <c r="B3725" s="104"/>
      <c r="C3725" s="104"/>
      <c r="F3725" s="103" t="str">
        <f aca="false">IF(OR($C3725="",$D3725=0),"",$E3725/$D3725)</f>
        <v/>
      </c>
      <c r="H3725" s="0" t="str">
        <f aca="false">IF($C3725="","",IF(COUNTIF('مواد المخزون'!$A$2:$A$86,$C3725)&gt;0,"نعم","لا (خارج الجرد)"))</f>
        <v/>
      </c>
    </row>
    <row r="3726" customFormat="false" ht="15" hidden="false" customHeight="false" outlineLevel="0" collapsed="false">
      <c r="A3726" s="102"/>
      <c r="B3726" s="104"/>
      <c r="C3726" s="104"/>
      <c r="F3726" s="103" t="str">
        <f aca="false">IF(OR($C3726="",$D3726=0),"",$E3726/$D3726)</f>
        <v/>
      </c>
      <c r="H3726" s="0" t="str">
        <f aca="false">IF($C3726="","",IF(COUNTIF('مواد المخزون'!$A$2:$A$86,$C3726)&gt;0,"نعم","لا (خارج الجرد)"))</f>
        <v/>
      </c>
    </row>
    <row r="3727" customFormat="false" ht="15" hidden="false" customHeight="false" outlineLevel="0" collapsed="false">
      <c r="A3727" s="102"/>
      <c r="B3727" s="104"/>
      <c r="C3727" s="104"/>
      <c r="F3727" s="103" t="str">
        <f aca="false">IF(OR($C3727="",$D3727=0),"",$E3727/$D3727)</f>
        <v/>
      </c>
      <c r="H3727" s="0" t="str">
        <f aca="false">IF($C3727="","",IF(COUNTIF('مواد المخزون'!$A$2:$A$86,$C3727)&gt;0,"نعم","لا (خارج الجرد)"))</f>
        <v/>
      </c>
    </row>
    <row r="3728" customFormat="false" ht="15" hidden="false" customHeight="false" outlineLevel="0" collapsed="false">
      <c r="A3728" s="102"/>
      <c r="B3728" s="104"/>
      <c r="C3728" s="104"/>
      <c r="F3728" s="103" t="str">
        <f aca="false">IF(OR($C3728="",$D3728=0),"",$E3728/$D3728)</f>
        <v/>
      </c>
      <c r="H3728" s="0" t="str">
        <f aca="false">IF($C3728="","",IF(COUNTIF('مواد المخزون'!$A$2:$A$86,$C3728)&gt;0,"نعم","لا (خارج الجرد)"))</f>
        <v/>
      </c>
    </row>
    <row r="3729" customFormat="false" ht="15" hidden="false" customHeight="false" outlineLevel="0" collapsed="false">
      <c r="A3729" s="102"/>
      <c r="B3729" s="104"/>
      <c r="C3729" s="104"/>
      <c r="F3729" s="103" t="str">
        <f aca="false">IF(OR($C3729="",$D3729=0),"",$E3729/$D3729)</f>
        <v/>
      </c>
      <c r="H3729" s="0" t="str">
        <f aca="false">IF($C3729="","",IF(COUNTIF('مواد المخزون'!$A$2:$A$86,$C3729)&gt;0,"نعم","لا (خارج الجرد)"))</f>
        <v/>
      </c>
    </row>
    <row r="3730" customFormat="false" ht="15" hidden="false" customHeight="false" outlineLevel="0" collapsed="false">
      <c r="A3730" s="102"/>
      <c r="B3730" s="104"/>
      <c r="C3730" s="104"/>
      <c r="F3730" s="103" t="str">
        <f aca="false">IF(OR($C3730="",$D3730=0),"",$E3730/$D3730)</f>
        <v/>
      </c>
      <c r="H3730" s="0" t="str">
        <f aca="false">IF($C3730="","",IF(COUNTIF('مواد المخزون'!$A$2:$A$86,$C3730)&gt;0,"نعم","لا (خارج الجرد)"))</f>
        <v/>
      </c>
    </row>
    <row r="3731" customFormat="false" ht="15" hidden="false" customHeight="false" outlineLevel="0" collapsed="false">
      <c r="A3731" s="102"/>
      <c r="B3731" s="104"/>
      <c r="C3731" s="104"/>
      <c r="F3731" s="103" t="str">
        <f aca="false">IF(OR($C3731="",$D3731=0),"",$E3731/$D3731)</f>
        <v/>
      </c>
      <c r="H3731" s="0" t="str">
        <f aca="false">IF($C3731="","",IF(COUNTIF('مواد المخزون'!$A$2:$A$86,$C3731)&gt;0,"نعم","لا (خارج الجرد)"))</f>
        <v/>
      </c>
    </row>
    <row r="3732" customFormat="false" ht="15" hidden="false" customHeight="false" outlineLevel="0" collapsed="false">
      <c r="A3732" s="102"/>
      <c r="B3732" s="104"/>
      <c r="C3732" s="104"/>
      <c r="F3732" s="103" t="str">
        <f aca="false">IF(OR($C3732="",$D3732=0),"",$E3732/$D3732)</f>
        <v/>
      </c>
      <c r="H3732" s="0" t="str">
        <f aca="false">IF($C3732="","",IF(COUNTIF('مواد المخزون'!$A$2:$A$86,$C3732)&gt;0,"نعم","لا (خارج الجرد)"))</f>
        <v/>
      </c>
    </row>
    <row r="3733" customFormat="false" ht="15" hidden="false" customHeight="false" outlineLevel="0" collapsed="false">
      <c r="A3733" s="102"/>
      <c r="B3733" s="104"/>
      <c r="C3733" s="104"/>
      <c r="F3733" s="103" t="str">
        <f aca="false">IF(OR($C3733="",$D3733=0),"",$E3733/$D3733)</f>
        <v/>
      </c>
      <c r="H3733" s="0" t="str">
        <f aca="false">IF($C3733="","",IF(COUNTIF('مواد المخزون'!$A$2:$A$86,$C3733)&gt;0,"نعم","لا (خارج الجرد)"))</f>
        <v/>
      </c>
    </row>
    <row r="3734" customFormat="false" ht="15" hidden="false" customHeight="false" outlineLevel="0" collapsed="false">
      <c r="A3734" s="102"/>
      <c r="B3734" s="104"/>
      <c r="C3734" s="104"/>
      <c r="F3734" s="103" t="str">
        <f aca="false">IF(OR($C3734="",$D3734=0),"",$E3734/$D3734)</f>
        <v/>
      </c>
      <c r="H3734" s="0" t="str">
        <f aca="false">IF($C3734="","",IF(COUNTIF('مواد المخزون'!$A$2:$A$86,$C3734)&gt;0,"نعم","لا (خارج الجرد)"))</f>
        <v/>
      </c>
    </row>
    <row r="3735" customFormat="false" ht="15" hidden="false" customHeight="false" outlineLevel="0" collapsed="false">
      <c r="A3735" s="102"/>
      <c r="B3735" s="104"/>
      <c r="C3735" s="104"/>
      <c r="F3735" s="103" t="str">
        <f aca="false">IF(OR($C3735="",$D3735=0),"",$E3735/$D3735)</f>
        <v/>
      </c>
      <c r="H3735" s="0" t="str">
        <f aca="false">IF($C3735="","",IF(COUNTIF('مواد المخزون'!$A$2:$A$86,$C3735)&gt;0,"نعم","لا (خارج الجرد)"))</f>
        <v/>
      </c>
    </row>
    <row r="3736" customFormat="false" ht="15" hidden="false" customHeight="false" outlineLevel="0" collapsed="false">
      <c r="A3736" s="102"/>
      <c r="B3736" s="104"/>
      <c r="C3736" s="104"/>
      <c r="F3736" s="103" t="str">
        <f aca="false">IF(OR($C3736="",$D3736=0),"",$E3736/$D3736)</f>
        <v/>
      </c>
      <c r="H3736" s="0" t="str">
        <f aca="false">IF($C3736="","",IF(COUNTIF('مواد المخزون'!$A$2:$A$86,$C3736)&gt;0,"نعم","لا (خارج الجرد)"))</f>
        <v/>
      </c>
    </row>
    <row r="3737" customFormat="false" ht="15" hidden="false" customHeight="false" outlineLevel="0" collapsed="false">
      <c r="A3737" s="102"/>
      <c r="B3737" s="104"/>
      <c r="C3737" s="104"/>
      <c r="F3737" s="103" t="str">
        <f aca="false">IF(OR($C3737="",$D3737=0),"",$E3737/$D3737)</f>
        <v/>
      </c>
      <c r="H3737" s="0" t="str">
        <f aca="false">IF($C3737="","",IF(COUNTIF('مواد المخزون'!$A$2:$A$86,$C3737)&gt;0,"نعم","لا (خارج الجرد)"))</f>
        <v/>
      </c>
    </row>
    <row r="3738" customFormat="false" ht="15" hidden="false" customHeight="false" outlineLevel="0" collapsed="false">
      <c r="A3738" s="102"/>
      <c r="B3738" s="104"/>
      <c r="C3738" s="104"/>
      <c r="F3738" s="103" t="str">
        <f aca="false">IF(OR($C3738="",$D3738=0),"",$E3738/$D3738)</f>
        <v/>
      </c>
      <c r="H3738" s="0" t="str">
        <f aca="false">IF($C3738="","",IF(COUNTIF('مواد المخزون'!$A$2:$A$86,$C3738)&gt;0,"نعم","لا (خارج الجرد)"))</f>
        <v/>
      </c>
    </row>
    <row r="3739" customFormat="false" ht="15" hidden="false" customHeight="false" outlineLevel="0" collapsed="false">
      <c r="A3739" s="102"/>
      <c r="B3739" s="104"/>
      <c r="C3739" s="104"/>
      <c r="F3739" s="103" t="str">
        <f aca="false">IF(OR($C3739="",$D3739=0),"",$E3739/$D3739)</f>
        <v/>
      </c>
      <c r="H3739" s="0" t="str">
        <f aca="false">IF($C3739="","",IF(COUNTIF('مواد المخزون'!$A$2:$A$86,$C3739)&gt;0,"نعم","لا (خارج الجرد)"))</f>
        <v/>
      </c>
    </row>
    <row r="3740" customFormat="false" ht="15" hidden="false" customHeight="false" outlineLevel="0" collapsed="false">
      <c r="A3740" s="102"/>
      <c r="B3740" s="104"/>
      <c r="C3740" s="104"/>
      <c r="F3740" s="103" t="str">
        <f aca="false">IF(OR($C3740="",$D3740=0),"",$E3740/$D3740)</f>
        <v/>
      </c>
      <c r="H3740" s="0" t="str">
        <f aca="false">IF($C3740="","",IF(COUNTIF('مواد المخزون'!$A$2:$A$86,$C3740)&gt;0,"نعم","لا (خارج الجرد)"))</f>
        <v/>
      </c>
    </row>
    <row r="3741" customFormat="false" ht="15" hidden="false" customHeight="false" outlineLevel="0" collapsed="false">
      <c r="A3741" s="102"/>
      <c r="B3741" s="104"/>
      <c r="C3741" s="104"/>
      <c r="F3741" s="103" t="str">
        <f aca="false">IF(OR($C3741="",$D3741=0),"",$E3741/$D3741)</f>
        <v/>
      </c>
      <c r="H3741" s="0" t="str">
        <f aca="false">IF($C3741="","",IF(COUNTIF('مواد المخزون'!$A$2:$A$86,$C3741)&gt;0,"نعم","لا (خارج الجرد)"))</f>
        <v/>
      </c>
    </row>
    <row r="3742" customFormat="false" ht="15" hidden="false" customHeight="false" outlineLevel="0" collapsed="false">
      <c r="A3742" s="102"/>
      <c r="B3742" s="104"/>
      <c r="C3742" s="104"/>
      <c r="F3742" s="103" t="str">
        <f aca="false">IF(OR($C3742="",$D3742=0),"",$E3742/$D3742)</f>
        <v/>
      </c>
      <c r="H3742" s="0" t="str">
        <f aca="false">IF($C3742="","",IF(COUNTIF('مواد المخزون'!$A$2:$A$86,$C3742)&gt;0,"نعم","لا (خارج الجرد)"))</f>
        <v/>
      </c>
    </row>
    <row r="3743" customFormat="false" ht="15" hidden="false" customHeight="false" outlineLevel="0" collapsed="false">
      <c r="A3743" s="102"/>
      <c r="B3743" s="104"/>
      <c r="C3743" s="104"/>
      <c r="F3743" s="103" t="str">
        <f aca="false">IF(OR($C3743="",$D3743=0),"",$E3743/$D3743)</f>
        <v/>
      </c>
      <c r="H3743" s="0" t="str">
        <f aca="false">IF($C3743="","",IF(COUNTIF('مواد المخزون'!$A$2:$A$86,$C3743)&gt;0,"نعم","لا (خارج الجرد)"))</f>
        <v/>
      </c>
    </row>
    <row r="3744" customFormat="false" ht="15" hidden="false" customHeight="false" outlineLevel="0" collapsed="false">
      <c r="A3744" s="102"/>
      <c r="B3744" s="104"/>
      <c r="C3744" s="104"/>
      <c r="F3744" s="103" t="str">
        <f aca="false">IF(OR($C3744="",$D3744=0),"",$E3744/$D3744)</f>
        <v/>
      </c>
      <c r="H3744" s="0" t="str">
        <f aca="false">IF($C3744="","",IF(COUNTIF('مواد المخزون'!$A$2:$A$86,$C3744)&gt;0,"نعم","لا (خارج الجرد)"))</f>
        <v/>
      </c>
    </row>
    <row r="3745" customFormat="false" ht="15" hidden="false" customHeight="false" outlineLevel="0" collapsed="false">
      <c r="A3745" s="102"/>
      <c r="B3745" s="104"/>
      <c r="C3745" s="104"/>
      <c r="F3745" s="103" t="str">
        <f aca="false">IF(OR($C3745="",$D3745=0),"",$E3745/$D3745)</f>
        <v/>
      </c>
      <c r="H3745" s="0" t="str">
        <f aca="false">IF($C3745="","",IF(COUNTIF('مواد المخزون'!$A$2:$A$86,$C3745)&gt;0,"نعم","لا (خارج الجرد)"))</f>
        <v/>
      </c>
    </row>
    <row r="3746" customFormat="false" ht="15" hidden="false" customHeight="false" outlineLevel="0" collapsed="false">
      <c r="A3746" s="102"/>
      <c r="B3746" s="104"/>
      <c r="C3746" s="104"/>
      <c r="F3746" s="103" t="str">
        <f aca="false">IF(OR($C3746="",$D3746=0),"",$E3746/$D3746)</f>
        <v/>
      </c>
      <c r="H3746" s="0" t="str">
        <f aca="false">IF($C3746="","",IF(COUNTIF('مواد المخزون'!$A$2:$A$86,$C3746)&gt;0,"نعم","لا (خارج الجرد)"))</f>
        <v/>
      </c>
    </row>
    <row r="3747" customFormat="false" ht="15" hidden="false" customHeight="false" outlineLevel="0" collapsed="false">
      <c r="A3747" s="102"/>
      <c r="B3747" s="104"/>
      <c r="C3747" s="104"/>
      <c r="F3747" s="103" t="str">
        <f aca="false">IF(OR($C3747="",$D3747=0),"",$E3747/$D3747)</f>
        <v/>
      </c>
      <c r="H3747" s="0" t="str">
        <f aca="false">IF($C3747="","",IF(COUNTIF('مواد المخزون'!$A$2:$A$86,$C3747)&gt;0,"نعم","لا (خارج الجرد)"))</f>
        <v/>
      </c>
    </row>
    <row r="3748" customFormat="false" ht="15" hidden="false" customHeight="false" outlineLevel="0" collapsed="false">
      <c r="A3748" s="102"/>
      <c r="B3748" s="104"/>
      <c r="C3748" s="104"/>
      <c r="F3748" s="103" t="str">
        <f aca="false">IF(OR($C3748="",$D3748=0),"",$E3748/$D3748)</f>
        <v/>
      </c>
      <c r="H3748" s="0" t="str">
        <f aca="false">IF($C3748="","",IF(COUNTIF('مواد المخزون'!$A$2:$A$86,$C3748)&gt;0,"نعم","لا (خارج الجرد)"))</f>
        <v/>
      </c>
    </row>
    <row r="3749" customFormat="false" ht="15" hidden="false" customHeight="false" outlineLevel="0" collapsed="false">
      <c r="A3749" s="102"/>
      <c r="B3749" s="104"/>
      <c r="C3749" s="104"/>
      <c r="F3749" s="103" t="str">
        <f aca="false">IF(OR($C3749="",$D3749=0),"",$E3749/$D3749)</f>
        <v/>
      </c>
      <c r="H3749" s="0" t="str">
        <f aca="false">IF($C3749="","",IF(COUNTIF('مواد المخزون'!$A$2:$A$86,$C3749)&gt;0,"نعم","لا (خارج الجرد)"))</f>
        <v/>
      </c>
    </row>
    <row r="3750" customFormat="false" ht="15" hidden="false" customHeight="false" outlineLevel="0" collapsed="false">
      <c r="A3750" s="102"/>
      <c r="B3750" s="104"/>
      <c r="C3750" s="104"/>
      <c r="F3750" s="103" t="str">
        <f aca="false">IF(OR($C3750="",$D3750=0),"",$E3750/$D3750)</f>
        <v/>
      </c>
      <c r="H3750" s="0" t="str">
        <f aca="false">IF($C3750="","",IF(COUNTIF('مواد المخزون'!$A$2:$A$86,$C3750)&gt;0,"نعم","لا (خارج الجرد)"))</f>
        <v/>
      </c>
    </row>
    <row r="3751" customFormat="false" ht="15" hidden="false" customHeight="false" outlineLevel="0" collapsed="false">
      <c r="A3751" s="102"/>
      <c r="B3751" s="104"/>
      <c r="C3751" s="104"/>
      <c r="F3751" s="103" t="str">
        <f aca="false">IF(OR($C3751="",$D3751=0),"",$E3751/$D3751)</f>
        <v/>
      </c>
      <c r="H3751" s="0" t="str">
        <f aca="false">IF($C3751="","",IF(COUNTIF('مواد المخزون'!$A$2:$A$86,$C3751)&gt;0,"نعم","لا (خارج الجرد)"))</f>
        <v/>
      </c>
    </row>
    <row r="3752" customFormat="false" ht="15" hidden="false" customHeight="false" outlineLevel="0" collapsed="false">
      <c r="A3752" s="102"/>
      <c r="B3752" s="104"/>
      <c r="C3752" s="104"/>
      <c r="F3752" s="103" t="str">
        <f aca="false">IF(OR($C3752="",$D3752=0),"",$E3752/$D3752)</f>
        <v/>
      </c>
      <c r="H3752" s="0" t="str">
        <f aca="false">IF($C3752="","",IF(COUNTIF('مواد المخزون'!$A$2:$A$86,$C3752)&gt;0,"نعم","لا (خارج الجرد)"))</f>
        <v/>
      </c>
    </row>
    <row r="3753" customFormat="false" ht="15" hidden="false" customHeight="false" outlineLevel="0" collapsed="false">
      <c r="A3753" s="102"/>
      <c r="B3753" s="104"/>
      <c r="C3753" s="104"/>
      <c r="F3753" s="103" t="str">
        <f aca="false">IF(OR($C3753="",$D3753=0),"",$E3753/$D3753)</f>
        <v/>
      </c>
      <c r="H3753" s="0" t="str">
        <f aca="false">IF($C3753="","",IF(COUNTIF('مواد المخزون'!$A$2:$A$86,$C3753)&gt;0,"نعم","لا (خارج الجرد)"))</f>
        <v/>
      </c>
    </row>
    <row r="3754" customFormat="false" ht="15" hidden="false" customHeight="false" outlineLevel="0" collapsed="false">
      <c r="A3754" s="102"/>
      <c r="B3754" s="104"/>
      <c r="C3754" s="104"/>
      <c r="F3754" s="103" t="str">
        <f aca="false">IF(OR($C3754="",$D3754=0),"",$E3754/$D3754)</f>
        <v/>
      </c>
      <c r="H3754" s="0" t="str">
        <f aca="false">IF($C3754="","",IF(COUNTIF('مواد المخزون'!$A$2:$A$86,$C3754)&gt;0,"نعم","لا (خارج الجرد)"))</f>
        <v/>
      </c>
    </row>
    <row r="3755" customFormat="false" ht="15" hidden="false" customHeight="false" outlineLevel="0" collapsed="false">
      <c r="A3755" s="102"/>
      <c r="B3755" s="104"/>
      <c r="C3755" s="104"/>
      <c r="F3755" s="103" t="str">
        <f aca="false">IF(OR($C3755="",$D3755=0),"",$E3755/$D3755)</f>
        <v/>
      </c>
      <c r="H3755" s="0" t="str">
        <f aca="false">IF($C3755="","",IF(COUNTIF('مواد المخزون'!$A$2:$A$86,$C3755)&gt;0,"نعم","لا (خارج الجرد)"))</f>
        <v/>
      </c>
    </row>
    <row r="3756" customFormat="false" ht="15" hidden="false" customHeight="false" outlineLevel="0" collapsed="false">
      <c r="A3756" s="102"/>
      <c r="B3756" s="104"/>
      <c r="C3756" s="104"/>
      <c r="F3756" s="103" t="str">
        <f aca="false">IF(OR($C3756="",$D3756=0),"",$E3756/$D3756)</f>
        <v/>
      </c>
      <c r="H3756" s="0" t="str">
        <f aca="false">IF($C3756="","",IF(COUNTIF('مواد المخزون'!$A$2:$A$86,$C3756)&gt;0,"نعم","لا (خارج الجرد)"))</f>
        <v/>
      </c>
    </row>
    <row r="3757" customFormat="false" ht="15" hidden="false" customHeight="false" outlineLevel="0" collapsed="false">
      <c r="A3757" s="102"/>
      <c r="B3757" s="104"/>
      <c r="C3757" s="104"/>
      <c r="F3757" s="103" t="str">
        <f aca="false">IF(OR($C3757="",$D3757=0),"",$E3757/$D3757)</f>
        <v/>
      </c>
      <c r="H3757" s="0" t="str">
        <f aca="false">IF($C3757="","",IF(COUNTIF('مواد المخزون'!$A$2:$A$86,$C3757)&gt;0,"نعم","لا (خارج الجرد)"))</f>
        <v/>
      </c>
    </row>
    <row r="3758" customFormat="false" ht="15" hidden="false" customHeight="false" outlineLevel="0" collapsed="false">
      <c r="A3758" s="102"/>
      <c r="B3758" s="104"/>
      <c r="C3758" s="104"/>
      <c r="F3758" s="103" t="str">
        <f aca="false">IF(OR($C3758="",$D3758=0),"",$E3758/$D3758)</f>
        <v/>
      </c>
      <c r="H3758" s="0" t="str">
        <f aca="false">IF($C3758="","",IF(COUNTIF('مواد المخزون'!$A$2:$A$86,$C3758)&gt;0,"نعم","لا (خارج الجرد)"))</f>
        <v/>
      </c>
    </row>
    <row r="3759" customFormat="false" ht="15" hidden="false" customHeight="false" outlineLevel="0" collapsed="false">
      <c r="A3759" s="102"/>
      <c r="B3759" s="104"/>
      <c r="C3759" s="104"/>
      <c r="F3759" s="103" t="str">
        <f aca="false">IF(OR($C3759="",$D3759=0),"",$E3759/$D3759)</f>
        <v/>
      </c>
      <c r="H3759" s="0" t="str">
        <f aca="false">IF($C3759="","",IF(COUNTIF('مواد المخزون'!$A$2:$A$86,$C3759)&gt;0,"نعم","لا (خارج الجرد)"))</f>
        <v/>
      </c>
    </row>
    <row r="3760" customFormat="false" ht="15" hidden="false" customHeight="false" outlineLevel="0" collapsed="false">
      <c r="A3760" s="102"/>
      <c r="B3760" s="104"/>
      <c r="C3760" s="104"/>
      <c r="F3760" s="103" t="str">
        <f aca="false">IF(OR($C3760="",$D3760=0),"",$E3760/$D3760)</f>
        <v/>
      </c>
      <c r="H3760" s="0" t="str">
        <f aca="false">IF($C3760="","",IF(COUNTIF('مواد المخزون'!$A$2:$A$86,$C3760)&gt;0,"نعم","لا (خارج الجرد)"))</f>
        <v/>
      </c>
    </row>
    <row r="3761" customFormat="false" ht="15" hidden="false" customHeight="false" outlineLevel="0" collapsed="false">
      <c r="A3761" s="102"/>
      <c r="B3761" s="104"/>
      <c r="C3761" s="104"/>
      <c r="F3761" s="103" t="str">
        <f aca="false">IF(OR($C3761="",$D3761=0),"",$E3761/$D3761)</f>
        <v/>
      </c>
      <c r="H3761" s="0" t="str">
        <f aca="false">IF($C3761="","",IF(COUNTIF('مواد المخزون'!$A$2:$A$86,$C3761)&gt;0,"نعم","لا (خارج الجرد)"))</f>
        <v/>
      </c>
    </row>
    <row r="3762" customFormat="false" ht="15" hidden="false" customHeight="false" outlineLevel="0" collapsed="false">
      <c r="A3762" s="102"/>
      <c r="B3762" s="104"/>
      <c r="C3762" s="104"/>
      <c r="F3762" s="103" t="str">
        <f aca="false">IF(OR($C3762="",$D3762=0),"",$E3762/$D3762)</f>
        <v/>
      </c>
      <c r="H3762" s="0" t="str">
        <f aca="false">IF($C3762="","",IF(COUNTIF('مواد المخزون'!$A$2:$A$86,$C3762)&gt;0,"نعم","لا (خارج الجرد)"))</f>
        <v/>
      </c>
    </row>
    <row r="3763" customFormat="false" ht="15" hidden="false" customHeight="false" outlineLevel="0" collapsed="false">
      <c r="A3763" s="102"/>
      <c r="B3763" s="104"/>
      <c r="C3763" s="104"/>
      <c r="F3763" s="103" t="str">
        <f aca="false">IF(OR($C3763="",$D3763=0),"",$E3763/$D3763)</f>
        <v/>
      </c>
      <c r="H3763" s="0" t="str">
        <f aca="false">IF($C3763="","",IF(COUNTIF('مواد المخزون'!$A$2:$A$86,$C3763)&gt;0,"نعم","لا (خارج الجرد)"))</f>
        <v/>
      </c>
    </row>
    <row r="3764" customFormat="false" ht="15" hidden="false" customHeight="false" outlineLevel="0" collapsed="false">
      <c r="A3764" s="102"/>
      <c r="B3764" s="104"/>
      <c r="C3764" s="104"/>
      <c r="F3764" s="103" t="str">
        <f aca="false">IF(OR($C3764="",$D3764=0),"",$E3764/$D3764)</f>
        <v/>
      </c>
      <c r="H3764" s="0" t="str">
        <f aca="false">IF($C3764="","",IF(COUNTIF('مواد المخزون'!$A$2:$A$86,$C3764)&gt;0,"نعم","لا (خارج الجرد)"))</f>
        <v/>
      </c>
    </row>
    <row r="3765" customFormat="false" ht="15" hidden="false" customHeight="false" outlineLevel="0" collapsed="false">
      <c r="A3765" s="102"/>
      <c r="B3765" s="104"/>
      <c r="C3765" s="104"/>
      <c r="F3765" s="103" t="str">
        <f aca="false">IF(OR($C3765="",$D3765=0),"",$E3765/$D3765)</f>
        <v/>
      </c>
      <c r="H3765" s="0" t="str">
        <f aca="false">IF($C3765="","",IF(COUNTIF('مواد المخزون'!$A$2:$A$86,$C3765)&gt;0,"نعم","لا (خارج الجرد)"))</f>
        <v/>
      </c>
    </row>
    <row r="3766" customFormat="false" ht="15" hidden="false" customHeight="false" outlineLevel="0" collapsed="false">
      <c r="A3766" s="102"/>
      <c r="B3766" s="104"/>
      <c r="C3766" s="104"/>
      <c r="F3766" s="103" t="str">
        <f aca="false">IF(OR($C3766="",$D3766=0),"",$E3766/$D3766)</f>
        <v/>
      </c>
      <c r="H3766" s="0" t="str">
        <f aca="false">IF($C3766="","",IF(COUNTIF('مواد المخزون'!$A$2:$A$86,$C3766)&gt;0,"نعم","لا (خارج الجرد)"))</f>
        <v/>
      </c>
    </row>
    <row r="3767" customFormat="false" ht="15" hidden="false" customHeight="false" outlineLevel="0" collapsed="false">
      <c r="A3767" s="102"/>
      <c r="B3767" s="104"/>
      <c r="C3767" s="104"/>
      <c r="F3767" s="103" t="str">
        <f aca="false">IF(OR($C3767="",$D3767=0),"",$E3767/$D3767)</f>
        <v/>
      </c>
      <c r="H3767" s="0" t="str">
        <f aca="false">IF($C3767="","",IF(COUNTIF('مواد المخزون'!$A$2:$A$86,$C3767)&gt;0,"نعم","لا (خارج الجرد)"))</f>
        <v/>
      </c>
    </row>
    <row r="3768" customFormat="false" ht="15" hidden="false" customHeight="false" outlineLevel="0" collapsed="false">
      <c r="A3768" s="102"/>
      <c r="B3768" s="104"/>
      <c r="C3768" s="104"/>
      <c r="F3768" s="103" t="str">
        <f aca="false">IF(OR($C3768="",$D3768=0),"",$E3768/$D3768)</f>
        <v/>
      </c>
      <c r="H3768" s="0" t="str">
        <f aca="false">IF($C3768="","",IF(COUNTIF('مواد المخزون'!$A$2:$A$86,$C3768)&gt;0,"نعم","لا (خارج الجرد)"))</f>
        <v/>
      </c>
    </row>
    <row r="3769" customFormat="false" ht="15" hidden="false" customHeight="false" outlineLevel="0" collapsed="false">
      <c r="A3769" s="102"/>
      <c r="B3769" s="104"/>
      <c r="C3769" s="104"/>
      <c r="F3769" s="103" t="str">
        <f aca="false">IF(OR($C3769="",$D3769=0),"",$E3769/$D3769)</f>
        <v/>
      </c>
      <c r="H3769" s="0" t="str">
        <f aca="false">IF($C3769="","",IF(COUNTIF('مواد المخزون'!$A$2:$A$86,$C3769)&gt;0,"نعم","لا (خارج الجرد)"))</f>
        <v/>
      </c>
    </row>
    <row r="3770" customFormat="false" ht="15" hidden="false" customHeight="false" outlineLevel="0" collapsed="false">
      <c r="A3770" s="102"/>
      <c r="B3770" s="104"/>
      <c r="C3770" s="104"/>
      <c r="F3770" s="103" t="str">
        <f aca="false">IF(OR($C3770="",$D3770=0),"",$E3770/$D3770)</f>
        <v/>
      </c>
      <c r="H3770" s="0" t="str">
        <f aca="false">IF($C3770="","",IF(COUNTIF('مواد المخزون'!$A$2:$A$86,$C3770)&gt;0,"نعم","لا (خارج الجرد)"))</f>
        <v/>
      </c>
    </row>
    <row r="3771" customFormat="false" ht="15" hidden="false" customHeight="false" outlineLevel="0" collapsed="false">
      <c r="A3771" s="102"/>
      <c r="B3771" s="104"/>
      <c r="C3771" s="104"/>
      <c r="F3771" s="103" t="str">
        <f aca="false">IF(OR($C3771="",$D3771=0),"",$E3771/$D3771)</f>
        <v/>
      </c>
      <c r="H3771" s="0" t="str">
        <f aca="false">IF($C3771="","",IF(COUNTIF('مواد المخزون'!$A$2:$A$86,$C3771)&gt;0,"نعم","لا (خارج الجرد)"))</f>
        <v/>
      </c>
    </row>
    <row r="3772" customFormat="false" ht="15" hidden="false" customHeight="false" outlineLevel="0" collapsed="false">
      <c r="A3772" s="102"/>
      <c r="B3772" s="104"/>
      <c r="C3772" s="104"/>
      <c r="F3772" s="103" t="str">
        <f aca="false">IF(OR($C3772="",$D3772=0),"",$E3772/$D3772)</f>
        <v/>
      </c>
      <c r="H3772" s="0" t="str">
        <f aca="false">IF($C3772="","",IF(COUNTIF('مواد المخزون'!$A$2:$A$86,$C3772)&gt;0,"نعم","لا (خارج الجرد)"))</f>
        <v/>
      </c>
    </row>
    <row r="3773" customFormat="false" ht="15" hidden="false" customHeight="false" outlineLevel="0" collapsed="false">
      <c r="A3773" s="102"/>
      <c r="B3773" s="104"/>
      <c r="C3773" s="104"/>
      <c r="F3773" s="103" t="str">
        <f aca="false">IF(OR($C3773="",$D3773=0),"",$E3773/$D3773)</f>
        <v/>
      </c>
      <c r="H3773" s="0" t="str">
        <f aca="false">IF($C3773="","",IF(COUNTIF('مواد المخزون'!$A$2:$A$86,$C3773)&gt;0,"نعم","لا (خارج الجرد)"))</f>
        <v/>
      </c>
    </row>
    <row r="3774" customFormat="false" ht="15" hidden="false" customHeight="false" outlineLevel="0" collapsed="false">
      <c r="A3774" s="102"/>
      <c r="B3774" s="104"/>
      <c r="C3774" s="104"/>
      <c r="F3774" s="103" t="str">
        <f aca="false">IF(OR($C3774="",$D3774=0),"",$E3774/$D3774)</f>
        <v/>
      </c>
      <c r="H3774" s="0" t="str">
        <f aca="false">IF($C3774="","",IF(COUNTIF('مواد المخزون'!$A$2:$A$86,$C3774)&gt;0,"نعم","لا (خارج الجرد)"))</f>
        <v/>
      </c>
    </row>
    <row r="3775" customFormat="false" ht="15" hidden="false" customHeight="false" outlineLevel="0" collapsed="false">
      <c r="A3775" s="102"/>
      <c r="B3775" s="104"/>
      <c r="C3775" s="104"/>
      <c r="F3775" s="103" t="str">
        <f aca="false">IF(OR($C3775="",$D3775=0),"",$E3775/$D3775)</f>
        <v/>
      </c>
      <c r="H3775" s="0" t="str">
        <f aca="false">IF($C3775="","",IF(COUNTIF('مواد المخزون'!$A$2:$A$86,$C3775)&gt;0,"نعم","لا (خارج الجرد)"))</f>
        <v/>
      </c>
    </row>
    <row r="3776" customFormat="false" ht="15" hidden="false" customHeight="false" outlineLevel="0" collapsed="false">
      <c r="A3776" s="102"/>
      <c r="B3776" s="104"/>
      <c r="C3776" s="104"/>
      <c r="F3776" s="103" t="str">
        <f aca="false">IF(OR($C3776="",$D3776=0),"",$E3776/$D3776)</f>
        <v/>
      </c>
      <c r="H3776" s="0" t="str">
        <f aca="false">IF($C3776="","",IF(COUNTIF('مواد المخزون'!$A$2:$A$86,$C3776)&gt;0,"نعم","لا (خارج الجرد)"))</f>
        <v/>
      </c>
    </row>
    <row r="3777" customFormat="false" ht="15" hidden="false" customHeight="false" outlineLevel="0" collapsed="false">
      <c r="A3777" s="102"/>
      <c r="B3777" s="104"/>
      <c r="C3777" s="104"/>
      <c r="F3777" s="103" t="str">
        <f aca="false">IF(OR($C3777="",$D3777=0),"",$E3777/$D3777)</f>
        <v/>
      </c>
      <c r="H3777" s="0" t="str">
        <f aca="false">IF($C3777="","",IF(COUNTIF('مواد المخزون'!$A$2:$A$86,$C3777)&gt;0,"نعم","لا (خارج الجرد)"))</f>
        <v/>
      </c>
    </row>
    <row r="3778" customFormat="false" ht="15" hidden="false" customHeight="false" outlineLevel="0" collapsed="false">
      <c r="A3778" s="102"/>
      <c r="B3778" s="104"/>
      <c r="C3778" s="104"/>
      <c r="F3778" s="103" t="str">
        <f aca="false">IF(OR($C3778="",$D3778=0),"",$E3778/$D3778)</f>
        <v/>
      </c>
      <c r="H3778" s="0" t="str">
        <f aca="false">IF($C3778="","",IF(COUNTIF('مواد المخزون'!$A$2:$A$86,$C3778)&gt;0,"نعم","لا (خارج الجرد)"))</f>
        <v/>
      </c>
    </row>
    <row r="3779" customFormat="false" ht="15" hidden="false" customHeight="false" outlineLevel="0" collapsed="false">
      <c r="A3779" s="102"/>
      <c r="B3779" s="104"/>
      <c r="C3779" s="104"/>
      <c r="F3779" s="103" t="str">
        <f aca="false">IF(OR($C3779="",$D3779=0),"",$E3779/$D3779)</f>
        <v/>
      </c>
      <c r="H3779" s="0" t="str">
        <f aca="false">IF($C3779="","",IF(COUNTIF('مواد المخزون'!$A$2:$A$86,$C3779)&gt;0,"نعم","لا (خارج الجرد)"))</f>
        <v/>
      </c>
    </row>
    <row r="3780" customFormat="false" ht="15" hidden="false" customHeight="false" outlineLevel="0" collapsed="false">
      <c r="A3780" s="102"/>
      <c r="B3780" s="104"/>
      <c r="C3780" s="104"/>
      <c r="F3780" s="103" t="str">
        <f aca="false">IF(OR($C3780="",$D3780=0),"",$E3780/$D3780)</f>
        <v/>
      </c>
      <c r="H3780" s="0" t="str">
        <f aca="false">IF($C3780="","",IF(COUNTIF('مواد المخزون'!$A$2:$A$86,$C3780)&gt;0,"نعم","لا (خارج الجرد)"))</f>
        <v/>
      </c>
    </row>
    <row r="3781" customFormat="false" ht="15" hidden="false" customHeight="false" outlineLevel="0" collapsed="false">
      <c r="A3781" s="102"/>
      <c r="B3781" s="104"/>
      <c r="C3781" s="104"/>
      <c r="F3781" s="103" t="str">
        <f aca="false">IF(OR($C3781="",$D3781=0),"",$E3781/$D3781)</f>
        <v/>
      </c>
      <c r="H3781" s="0" t="str">
        <f aca="false">IF($C3781="","",IF(COUNTIF('مواد المخزون'!$A$2:$A$86,$C3781)&gt;0,"نعم","لا (خارج الجرد)"))</f>
        <v/>
      </c>
    </row>
    <row r="3782" customFormat="false" ht="15" hidden="false" customHeight="false" outlineLevel="0" collapsed="false">
      <c r="A3782" s="102"/>
      <c r="B3782" s="104"/>
      <c r="C3782" s="104"/>
      <c r="F3782" s="103" t="str">
        <f aca="false">IF(OR($C3782="",$D3782=0),"",$E3782/$D3782)</f>
        <v/>
      </c>
      <c r="H3782" s="0" t="str">
        <f aca="false">IF($C3782="","",IF(COUNTIF('مواد المخزون'!$A$2:$A$86,$C3782)&gt;0,"نعم","لا (خارج الجرد)"))</f>
        <v/>
      </c>
    </row>
    <row r="3783" customFormat="false" ht="15" hidden="false" customHeight="false" outlineLevel="0" collapsed="false">
      <c r="A3783" s="102"/>
      <c r="B3783" s="104"/>
      <c r="C3783" s="104"/>
      <c r="F3783" s="103" t="str">
        <f aca="false">IF(OR($C3783="",$D3783=0),"",$E3783/$D3783)</f>
        <v/>
      </c>
      <c r="H3783" s="0" t="str">
        <f aca="false">IF($C3783="","",IF(COUNTIF('مواد المخزون'!$A$2:$A$86,$C3783)&gt;0,"نعم","لا (خارج الجرد)"))</f>
        <v/>
      </c>
    </row>
    <row r="3784" customFormat="false" ht="15" hidden="false" customHeight="false" outlineLevel="0" collapsed="false">
      <c r="A3784" s="102"/>
      <c r="B3784" s="104"/>
      <c r="C3784" s="104"/>
      <c r="F3784" s="103" t="str">
        <f aca="false">IF(OR($C3784="",$D3784=0),"",$E3784/$D3784)</f>
        <v/>
      </c>
      <c r="H3784" s="0" t="str">
        <f aca="false">IF($C3784="","",IF(COUNTIF('مواد المخزون'!$A$2:$A$86,$C3784)&gt;0,"نعم","لا (خارج الجرد)"))</f>
        <v/>
      </c>
    </row>
    <row r="3785" customFormat="false" ht="15" hidden="false" customHeight="false" outlineLevel="0" collapsed="false">
      <c r="A3785" s="102"/>
      <c r="B3785" s="104"/>
      <c r="C3785" s="104"/>
      <c r="F3785" s="103" t="str">
        <f aca="false">IF(OR($C3785="",$D3785=0),"",$E3785/$D3785)</f>
        <v/>
      </c>
      <c r="H3785" s="0" t="str">
        <f aca="false">IF($C3785="","",IF(COUNTIF('مواد المخزون'!$A$2:$A$86,$C3785)&gt;0,"نعم","لا (خارج الجرد)"))</f>
        <v/>
      </c>
    </row>
    <row r="3786" customFormat="false" ht="15" hidden="false" customHeight="false" outlineLevel="0" collapsed="false">
      <c r="A3786" s="102"/>
      <c r="B3786" s="104"/>
      <c r="C3786" s="104"/>
      <c r="F3786" s="103" t="str">
        <f aca="false">IF(OR($C3786="",$D3786=0),"",$E3786/$D3786)</f>
        <v/>
      </c>
      <c r="H3786" s="0" t="str">
        <f aca="false">IF($C3786="","",IF(COUNTIF('مواد المخزون'!$A$2:$A$86,$C3786)&gt;0,"نعم","لا (خارج الجرد)"))</f>
        <v/>
      </c>
    </row>
    <row r="3787" customFormat="false" ht="15" hidden="false" customHeight="false" outlineLevel="0" collapsed="false">
      <c r="A3787" s="102"/>
      <c r="B3787" s="104"/>
      <c r="C3787" s="104"/>
      <c r="F3787" s="103" t="str">
        <f aca="false">IF(OR($C3787="",$D3787=0),"",$E3787/$D3787)</f>
        <v/>
      </c>
      <c r="H3787" s="0" t="str">
        <f aca="false">IF($C3787="","",IF(COUNTIF('مواد المخزون'!$A$2:$A$86,$C3787)&gt;0,"نعم","لا (خارج الجرد)"))</f>
        <v/>
      </c>
    </row>
    <row r="3788" customFormat="false" ht="15" hidden="false" customHeight="false" outlineLevel="0" collapsed="false">
      <c r="A3788" s="102"/>
      <c r="B3788" s="104"/>
      <c r="C3788" s="104"/>
      <c r="F3788" s="103" t="str">
        <f aca="false">IF(OR($C3788="",$D3788=0),"",$E3788/$D3788)</f>
        <v/>
      </c>
      <c r="H3788" s="0" t="str">
        <f aca="false">IF($C3788="","",IF(COUNTIF('مواد المخزون'!$A$2:$A$86,$C3788)&gt;0,"نعم","لا (خارج الجرد)"))</f>
        <v/>
      </c>
    </row>
    <row r="3789" customFormat="false" ht="15" hidden="false" customHeight="false" outlineLevel="0" collapsed="false">
      <c r="A3789" s="102"/>
      <c r="B3789" s="104"/>
      <c r="C3789" s="104"/>
      <c r="F3789" s="103" t="str">
        <f aca="false">IF(OR($C3789="",$D3789=0),"",$E3789/$D3789)</f>
        <v/>
      </c>
      <c r="H3789" s="0" t="str">
        <f aca="false">IF($C3789="","",IF(COUNTIF('مواد المخزون'!$A$2:$A$86,$C3789)&gt;0,"نعم","لا (خارج الجرد)"))</f>
        <v/>
      </c>
    </row>
    <row r="3790" customFormat="false" ht="15" hidden="false" customHeight="false" outlineLevel="0" collapsed="false">
      <c r="A3790" s="102"/>
      <c r="B3790" s="104"/>
      <c r="C3790" s="104"/>
      <c r="F3790" s="103" t="str">
        <f aca="false">IF(OR($C3790="",$D3790=0),"",$E3790/$D3790)</f>
        <v/>
      </c>
      <c r="H3790" s="0" t="str">
        <f aca="false">IF($C3790="","",IF(COUNTIF('مواد المخزون'!$A$2:$A$86,$C3790)&gt;0,"نعم","لا (خارج الجرد)"))</f>
        <v/>
      </c>
    </row>
    <row r="3791" customFormat="false" ht="15" hidden="false" customHeight="false" outlineLevel="0" collapsed="false">
      <c r="A3791" s="102"/>
      <c r="B3791" s="104"/>
      <c r="C3791" s="104"/>
      <c r="F3791" s="103" t="str">
        <f aca="false">IF(OR($C3791="",$D3791=0),"",$E3791/$D3791)</f>
        <v/>
      </c>
      <c r="H3791" s="0" t="str">
        <f aca="false">IF($C3791="","",IF(COUNTIF('مواد المخزون'!$A$2:$A$86,$C3791)&gt;0,"نعم","لا (خارج الجرد)"))</f>
        <v/>
      </c>
    </row>
    <row r="3792" customFormat="false" ht="15" hidden="false" customHeight="false" outlineLevel="0" collapsed="false">
      <c r="A3792" s="102"/>
      <c r="B3792" s="104"/>
      <c r="C3792" s="104"/>
      <c r="F3792" s="103" t="str">
        <f aca="false">IF(OR($C3792="",$D3792=0),"",$E3792/$D3792)</f>
        <v/>
      </c>
      <c r="H3792" s="0" t="str">
        <f aca="false">IF($C3792="","",IF(COUNTIF('مواد المخزون'!$A$2:$A$86,$C3792)&gt;0,"نعم","لا (خارج الجرد)"))</f>
        <v/>
      </c>
    </row>
    <row r="3793" customFormat="false" ht="15" hidden="false" customHeight="false" outlineLevel="0" collapsed="false">
      <c r="A3793" s="102"/>
      <c r="B3793" s="104"/>
      <c r="C3793" s="104"/>
      <c r="F3793" s="103" t="str">
        <f aca="false">IF(OR($C3793="",$D3793=0),"",$E3793/$D3793)</f>
        <v/>
      </c>
      <c r="H3793" s="0" t="str">
        <f aca="false">IF($C3793="","",IF(COUNTIF('مواد المخزون'!$A$2:$A$86,$C3793)&gt;0,"نعم","لا (خارج الجرد)"))</f>
        <v/>
      </c>
    </row>
    <row r="3794" customFormat="false" ht="15" hidden="false" customHeight="false" outlineLevel="0" collapsed="false">
      <c r="A3794" s="102"/>
      <c r="B3794" s="104"/>
      <c r="C3794" s="104"/>
      <c r="F3794" s="103" t="str">
        <f aca="false">IF(OR($C3794="",$D3794=0),"",$E3794/$D3794)</f>
        <v/>
      </c>
      <c r="H3794" s="0" t="str">
        <f aca="false">IF($C3794="","",IF(COUNTIF('مواد المخزون'!$A$2:$A$86,$C3794)&gt;0,"نعم","لا (خارج الجرد)"))</f>
        <v/>
      </c>
    </row>
    <row r="3795" customFormat="false" ht="15" hidden="false" customHeight="false" outlineLevel="0" collapsed="false">
      <c r="A3795" s="102"/>
      <c r="B3795" s="104"/>
      <c r="C3795" s="104"/>
      <c r="F3795" s="103" t="str">
        <f aca="false">IF(OR($C3795="",$D3795=0),"",$E3795/$D3795)</f>
        <v/>
      </c>
      <c r="H3795" s="0" t="str">
        <f aca="false">IF($C3795="","",IF(COUNTIF('مواد المخزون'!$A$2:$A$86,$C3795)&gt;0,"نعم","لا (خارج الجرد)"))</f>
        <v/>
      </c>
    </row>
    <row r="3796" customFormat="false" ht="15" hidden="false" customHeight="false" outlineLevel="0" collapsed="false">
      <c r="A3796" s="102"/>
      <c r="B3796" s="104"/>
      <c r="C3796" s="104"/>
      <c r="F3796" s="103" t="str">
        <f aca="false">IF(OR($C3796="",$D3796=0),"",$E3796/$D3796)</f>
        <v/>
      </c>
      <c r="H3796" s="0" t="str">
        <f aca="false">IF($C3796="","",IF(COUNTIF('مواد المخزون'!$A$2:$A$86,$C3796)&gt;0,"نعم","لا (خارج الجرد)"))</f>
        <v/>
      </c>
    </row>
    <row r="3797" customFormat="false" ht="15" hidden="false" customHeight="false" outlineLevel="0" collapsed="false">
      <c r="A3797" s="102"/>
      <c r="B3797" s="104"/>
      <c r="C3797" s="104"/>
      <c r="F3797" s="103" t="str">
        <f aca="false">IF(OR($C3797="",$D3797=0),"",$E3797/$D3797)</f>
        <v/>
      </c>
      <c r="H3797" s="0" t="str">
        <f aca="false">IF($C3797="","",IF(COUNTIF('مواد المخزون'!$A$2:$A$86,$C3797)&gt;0,"نعم","لا (خارج الجرد)"))</f>
        <v/>
      </c>
    </row>
    <row r="3798" customFormat="false" ht="15" hidden="false" customHeight="false" outlineLevel="0" collapsed="false">
      <c r="A3798" s="102"/>
      <c r="B3798" s="104"/>
      <c r="C3798" s="104"/>
      <c r="F3798" s="103" t="str">
        <f aca="false">IF(OR($C3798="",$D3798=0),"",$E3798/$D3798)</f>
        <v/>
      </c>
      <c r="H3798" s="0" t="str">
        <f aca="false">IF($C3798="","",IF(COUNTIF('مواد المخزون'!$A$2:$A$86,$C3798)&gt;0,"نعم","لا (خارج الجرد)"))</f>
        <v/>
      </c>
    </row>
    <row r="3799" customFormat="false" ht="15" hidden="false" customHeight="false" outlineLevel="0" collapsed="false">
      <c r="A3799" s="102"/>
      <c r="B3799" s="104"/>
      <c r="C3799" s="104"/>
      <c r="F3799" s="103" t="str">
        <f aca="false">IF(OR($C3799="",$D3799=0),"",$E3799/$D3799)</f>
        <v/>
      </c>
      <c r="H3799" s="0" t="str">
        <f aca="false">IF($C3799="","",IF(COUNTIF('مواد المخزون'!$A$2:$A$86,$C3799)&gt;0,"نعم","لا (خارج الجرد)"))</f>
        <v/>
      </c>
    </row>
    <row r="3800" customFormat="false" ht="15" hidden="false" customHeight="false" outlineLevel="0" collapsed="false">
      <c r="A3800" s="102"/>
      <c r="B3800" s="104"/>
      <c r="C3800" s="104"/>
      <c r="F3800" s="103" t="str">
        <f aca="false">IF(OR($C3800="",$D3800=0),"",$E3800/$D3800)</f>
        <v/>
      </c>
      <c r="H3800" s="0" t="str">
        <f aca="false">IF($C3800="","",IF(COUNTIF('مواد المخزون'!$A$2:$A$86,$C3800)&gt;0,"نعم","لا (خارج الجرد)"))</f>
        <v/>
      </c>
    </row>
    <row r="3801" customFormat="false" ht="15" hidden="false" customHeight="false" outlineLevel="0" collapsed="false">
      <c r="A3801" s="102"/>
      <c r="B3801" s="104"/>
      <c r="C3801" s="104"/>
      <c r="F3801" s="103" t="str">
        <f aca="false">IF(OR($C3801="",$D3801=0),"",$E3801/$D3801)</f>
        <v/>
      </c>
      <c r="H3801" s="0" t="str">
        <f aca="false">IF($C3801="","",IF(COUNTIF('مواد المخزون'!$A$2:$A$86,$C3801)&gt;0,"نعم","لا (خارج الجرد)"))</f>
        <v/>
      </c>
    </row>
    <row r="3802" customFormat="false" ht="15" hidden="false" customHeight="false" outlineLevel="0" collapsed="false">
      <c r="A3802" s="102"/>
      <c r="B3802" s="104"/>
      <c r="C3802" s="104"/>
      <c r="F3802" s="103" t="str">
        <f aca="false">IF(OR($C3802="",$D3802=0),"",$E3802/$D3802)</f>
        <v/>
      </c>
      <c r="H3802" s="0" t="str">
        <f aca="false">IF($C3802="","",IF(COUNTIF('مواد المخزون'!$A$2:$A$86,$C3802)&gt;0,"نعم","لا (خارج الجرد)"))</f>
        <v/>
      </c>
    </row>
    <row r="3803" customFormat="false" ht="15" hidden="false" customHeight="false" outlineLevel="0" collapsed="false">
      <c r="A3803" s="102"/>
      <c r="B3803" s="104"/>
      <c r="C3803" s="104"/>
      <c r="F3803" s="103" t="str">
        <f aca="false">IF(OR($C3803="",$D3803=0),"",$E3803/$D3803)</f>
        <v/>
      </c>
      <c r="H3803" s="0" t="str">
        <f aca="false">IF($C3803="","",IF(COUNTIF('مواد المخزون'!$A$2:$A$86,$C3803)&gt;0,"نعم","لا (خارج الجرد)"))</f>
        <v/>
      </c>
    </row>
    <row r="3804" customFormat="false" ht="15" hidden="false" customHeight="false" outlineLevel="0" collapsed="false">
      <c r="A3804" s="102"/>
      <c r="B3804" s="104"/>
      <c r="C3804" s="104"/>
      <c r="F3804" s="103" t="str">
        <f aca="false">IF(OR($C3804="",$D3804=0),"",$E3804/$D3804)</f>
        <v/>
      </c>
      <c r="H3804" s="0" t="str">
        <f aca="false">IF($C3804="","",IF(COUNTIF('مواد المخزون'!$A$2:$A$86,$C3804)&gt;0,"نعم","لا (خارج الجرد)"))</f>
        <v/>
      </c>
    </row>
    <row r="3805" customFormat="false" ht="15" hidden="false" customHeight="false" outlineLevel="0" collapsed="false">
      <c r="A3805" s="102"/>
      <c r="B3805" s="104"/>
      <c r="C3805" s="104"/>
      <c r="F3805" s="103" t="str">
        <f aca="false">IF(OR($C3805="",$D3805=0),"",$E3805/$D3805)</f>
        <v/>
      </c>
      <c r="H3805" s="0" t="str">
        <f aca="false">IF($C3805="","",IF(COUNTIF('مواد المخزون'!$A$2:$A$86,$C3805)&gt;0,"نعم","لا (خارج الجرد)"))</f>
        <v/>
      </c>
    </row>
    <row r="3806" customFormat="false" ht="15" hidden="false" customHeight="false" outlineLevel="0" collapsed="false">
      <c r="A3806" s="102"/>
      <c r="B3806" s="104"/>
      <c r="C3806" s="104"/>
      <c r="F3806" s="103" t="str">
        <f aca="false">IF(OR($C3806="",$D3806=0),"",$E3806/$D3806)</f>
        <v/>
      </c>
      <c r="H3806" s="0" t="str">
        <f aca="false">IF($C3806="","",IF(COUNTIF('مواد المخزون'!$A$2:$A$86,$C3806)&gt;0,"نعم","لا (خارج الجرد)"))</f>
        <v/>
      </c>
    </row>
    <row r="3807" customFormat="false" ht="15" hidden="false" customHeight="false" outlineLevel="0" collapsed="false">
      <c r="A3807" s="102"/>
      <c r="B3807" s="104"/>
      <c r="C3807" s="104"/>
      <c r="F3807" s="103" t="str">
        <f aca="false">IF(OR($C3807="",$D3807=0),"",$E3807/$D3807)</f>
        <v/>
      </c>
      <c r="H3807" s="0" t="str">
        <f aca="false">IF($C3807="","",IF(COUNTIF('مواد المخزون'!$A$2:$A$86,$C3807)&gt;0,"نعم","لا (خارج الجرد)"))</f>
        <v/>
      </c>
    </row>
    <row r="3808" customFormat="false" ht="15" hidden="false" customHeight="false" outlineLevel="0" collapsed="false">
      <c r="A3808" s="102"/>
      <c r="B3808" s="104"/>
      <c r="C3808" s="104"/>
      <c r="F3808" s="103" t="str">
        <f aca="false">IF(OR($C3808="",$D3808=0),"",$E3808/$D3808)</f>
        <v/>
      </c>
      <c r="H3808" s="0" t="str">
        <f aca="false">IF($C3808="","",IF(COUNTIF('مواد المخزون'!$A$2:$A$86,$C3808)&gt;0,"نعم","لا (خارج الجرد)"))</f>
        <v/>
      </c>
    </row>
    <row r="3809" customFormat="false" ht="15" hidden="false" customHeight="false" outlineLevel="0" collapsed="false">
      <c r="A3809" s="102"/>
      <c r="B3809" s="104"/>
      <c r="C3809" s="104"/>
      <c r="F3809" s="103" t="str">
        <f aca="false">IF(OR($C3809="",$D3809=0),"",$E3809/$D3809)</f>
        <v/>
      </c>
      <c r="H3809" s="0" t="str">
        <f aca="false">IF($C3809="","",IF(COUNTIF('مواد المخزون'!$A$2:$A$86,$C3809)&gt;0,"نعم","لا (خارج الجرد)"))</f>
        <v/>
      </c>
    </row>
    <row r="3810" customFormat="false" ht="15" hidden="false" customHeight="false" outlineLevel="0" collapsed="false">
      <c r="A3810" s="102"/>
      <c r="B3810" s="104"/>
      <c r="C3810" s="104"/>
      <c r="F3810" s="103" t="str">
        <f aca="false">IF(OR($C3810="",$D3810=0),"",$E3810/$D3810)</f>
        <v/>
      </c>
      <c r="H3810" s="0" t="str">
        <f aca="false">IF($C3810="","",IF(COUNTIF('مواد المخزون'!$A$2:$A$86,$C3810)&gt;0,"نعم","لا (خارج الجرد)"))</f>
        <v/>
      </c>
    </row>
    <row r="3811" customFormat="false" ht="15" hidden="false" customHeight="false" outlineLevel="0" collapsed="false">
      <c r="A3811" s="102"/>
      <c r="B3811" s="104"/>
      <c r="C3811" s="104"/>
      <c r="F3811" s="103" t="str">
        <f aca="false">IF(OR($C3811="",$D3811=0),"",$E3811/$D3811)</f>
        <v/>
      </c>
      <c r="H3811" s="0" t="str">
        <f aca="false">IF($C3811="","",IF(COUNTIF('مواد المخزون'!$A$2:$A$86,$C3811)&gt;0,"نعم","لا (خارج الجرد)"))</f>
        <v/>
      </c>
    </row>
    <row r="3812" customFormat="false" ht="15" hidden="false" customHeight="false" outlineLevel="0" collapsed="false">
      <c r="A3812" s="102"/>
      <c r="B3812" s="104"/>
      <c r="C3812" s="104"/>
      <c r="F3812" s="103" t="str">
        <f aca="false">IF(OR($C3812="",$D3812=0),"",$E3812/$D3812)</f>
        <v/>
      </c>
      <c r="H3812" s="0" t="str">
        <f aca="false">IF($C3812="","",IF(COUNTIF('مواد المخزون'!$A$2:$A$86,$C3812)&gt;0,"نعم","لا (خارج الجرد)"))</f>
        <v/>
      </c>
    </row>
    <row r="3813" customFormat="false" ht="15" hidden="false" customHeight="false" outlineLevel="0" collapsed="false">
      <c r="A3813" s="102"/>
      <c r="B3813" s="104"/>
      <c r="C3813" s="104"/>
      <c r="F3813" s="103" t="str">
        <f aca="false">IF(OR($C3813="",$D3813=0),"",$E3813/$D3813)</f>
        <v/>
      </c>
      <c r="H3813" s="0" t="str">
        <f aca="false">IF($C3813="","",IF(COUNTIF('مواد المخزون'!$A$2:$A$86,$C3813)&gt;0,"نعم","لا (خارج الجرد)"))</f>
        <v/>
      </c>
    </row>
    <row r="3814" customFormat="false" ht="15" hidden="false" customHeight="false" outlineLevel="0" collapsed="false">
      <c r="A3814" s="102"/>
      <c r="B3814" s="104"/>
      <c r="C3814" s="104"/>
      <c r="F3814" s="103" t="str">
        <f aca="false">IF(OR($C3814="",$D3814=0),"",$E3814/$D3814)</f>
        <v/>
      </c>
      <c r="H3814" s="0" t="str">
        <f aca="false">IF($C3814="","",IF(COUNTIF('مواد المخزون'!$A$2:$A$86,$C3814)&gt;0,"نعم","لا (خارج الجرد)"))</f>
        <v/>
      </c>
    </row>
    <row r="3815" customFormat="false" ht="15" hidden="false" customHeight="false" outlineLevel="0" collapsed="false">
      <c r="A3815" s="102"/>
      <c r="B3815" s="104"/>
      <c r="C3815" s="104"/>
      <c r="F3815" s="103" t="str">
        <f aca="false">IF(OR($C3815="",$D3815=0),"",$E3815/$D3815)</f>
        <v/>
      </c>
      <c r="H3815" s="0" t="str">
        <f aca="false">IF($C3815="","",IF(COUNTIF('مواد المخزون'!$A$2:$A$86,$C3815)&gt;0,"نعم","لا (خارج الجرد)"))</f>
        <v/>
      </c>
    </row>
    <row r="3816" customFormat="false" ht="15" hidden="false" customHeight="false" outlineLevel="0" collapsed="false">
      <c r="A3816" s="102"/>
      <c r="B3816" s="104"/>
      <c r="C3816" s="104"/>
      <c r="F3816" s="103" t="str">
        <f aca="false">IF(OR($C3816="",$D3816=0),"",$E3816/$D3816)</f>
        <v/>
      </c>
      <c r="H3816" s="0" t="str">
        <f aca="false">IF($C3816="","",IF(COUNTIF('مواد المخزون'!$A$2:$A$86,$C3816)&gt;0,"نعم","لا (خارج الجرد)"))</f>
        <v/>
      </c>
    </row>
    <row r="3817" customFormat="false" ht="15" hidden="false" customHeight="false" outlineLevel="0" collapsed="false">
      <c r="A3817" s="102"/>
      <c r="B3817" s="104"/>
      <c r="C3817" s="104"/>
      <c r="F3817" s="103" t="str">
        <f aca="false">IF(OR($C3817="",$D3817=0),"",$E3817/$D3817)</f>
        <v/>
      </c>
      <c r="H3817" s="0" t="str">
        <f aca="false">IF($C3817="","",IF(COUNTIF('مواد المخزون'!$A$2:$A$86,$C3817)&gt;0,"نعم","لا (خارج الجرد)"))</f>
        <v/>
      </c>
    </row>
    <row r="3818" customFormat="false" ht="15" hidden="false" customHeight="false" outlineLevel="0" collapsed="false">
      <c r="A3818" s="102"/>
      <c r="B3818" s="104"/>
      <c r="C3818" s="104"/>
      <c r="F3818" s="103" t="str">
        <f aca="false">IF(OR($C3818="",$D3818=0),"",$E3818/$D3818)</f>
        <v/>
      </c>
      <c r="H3818" s="0" t="str">
        <f aca="false">IF($C3818="","",IF(COUNTIF('مواد المخزون'!$A$2:$A$86,$C3818)&gt;0,"نعم","لا (خارج الجرد)"))</f>
        <v/>
      </c>
    </row>
    <row r="3819" customFormat="false" ht="15" hidden="false" customHeight="false" outlineLevel="0" collapsed="false">
      <c r="A3819" s="102"/>
      <c r="B3819" s="104"/>
      <c r="C3819" s="104"/>
      <c r="F3819" s="103" t="str">
        <f aca="false">IF(OR($C3819="",$D3819=0),"",$E3819/$D3819)</f>
        <v/>
      </c>
      <c r="H3819" s="0" t="str">
        <f aca="false">IF($C3819="","",IF(COUNTIF('مواد المخزون'!$A$2:$A$86,$C3819)&gt;0,"نعم","لا (خارج الجرد)"))</f>
        <v/>
      </c>
    </row>
    <row r="3820" customFormat="false" ht="15" hidden="false" customHeight="false" outlineLevel="0" collapsed="false">
      <c r="A3820" s="102"/>
      <c r="B3820" s="104"/>
      <c r="C3820" s="104"/>
      <c r="F3820" s="103" t="str">
        <f aca="false">IF(OR($C3820="",$D3820=0),"",$E3820/$D3820)</f>
        <v/>
      </c>
      <c r="H3820" s="0" t="str">
        <f aca="false">IF($C3820="","",IF(COUNTIF('مواد المخزون'!$A$2:$A$86,$C3820)&gt;0,"نعم","لا (خارج الجرد)"))</f>
        <v/>
      </c>
    </row>
    <row r="3821" customFormat="false" ht="15" hidden="false" customHeight="false" outlineLevel="0" collapsed="false">
      <c r="A3821" s="102"/>
      <c r="B3821" s="104"/>
      <c r="C3821" s="104"/>
      <c r="F3821" s="103" t="str">
        <f aca="false">IF(OR($C3821="",$D3821=0),"",$E3821/$D3821)</f>
        <v/>
      </c>
      <c r="H3821" s="0" t="str">
        <f aca="false">IF($C3821="","",IF(COUNTIF('مواد المخزون'!$A$2:$A$86,$C3821)&gt;0,"نعم","لا (خارج الجرد)"))</f>
        <v/>
      </c>
    </row>
    <row r="3822" customFormat="false" ht="15" hidden="false" customHeight="false" outlineLevel="0" collapsed="false">
      <c r="A3822" s="102"/>
      <c r="B3822" s="104"/>
      <c r="C3822" s="104"/>
      <c r="F3822" s="103" t="str">
        <f aca="false">IF(OR($C3822="",$D3822=0),"",$E3822/$D3822)</f>
        <v/>
      </c>
      <c r="H3822" s="0" t="str">
        <f aca="false">IF($C3822="","",IF(COUNTIF('مواد المخزون'!$A$2:$A$86,$C3822)&gt;0,"نعم","لا (خارج الجرد)"))</f>
        <v/>
      </c>
    </row>
    <row r="3823" customFormat="false" ht="15" hidden="false" customHeight="false" outlineLevel="0" collapsed="false">
      <c r="A3823" s="102"/>
      <c r="B3823" s="104"/>
      <c r="C3823" s="104"/>
      <c r="F3823" s="103" t="str">
        <f aca="false">IF(OR($C3823="",$D3823=0),"",$E3823/$D3823)</f>
        <v/>
      </c>
      <c r="H3823" s="0" t="str">
        <f aca="false">IF($C3823="","",IF(COUNTIF('مواد المخزون'!$A$2:$A$86,$C3823)&gt;0,"نعم","لا (خارج الجرد)"))</f>
        <v/>
      </c>
    </row>
    <row r="3824" customFormat="false" ht="15" hidden="false" customHeight="false" outlineLevel="0" collapsed="false">
      <c r="A3824" s="102"/>
      <c r="B3824" s="104"/>
      <c r="C3824" s="104"/>
      <c r="F3824" s="103" t="str">
        <f aca="false">IF(OR($C3824="",$D3824=0),"",$E3824/$D3824)</f>
        <v/>
      </c>
      <c r="H3824" s="0" t="str">
        <f aca="false">IF($C3824="","",IF(COUNTIF('مواد المخزون'!$A$2:$A$86,$C3824)&gt;0,"نعم","لا (خارج الجرد)"))</f>
        <v/>
      </c>
    </row>
    <row r="3825" customFormat="false" ht="15" hidden="false" customHeight="false" outlineLevel="0" collapsed="false">
      <c r="A3825" s="102"/>
      <c r="B3825" s="104"/>
      <c r="C3825" s="104"/>
      <c r="F3825" s="103" t="str">
        <f aca="false">IF(OR($C3825="",$D3825=0),"",$E3825/$D3825)</f>
        <v/>
      </c>
      <c r="H3825" s="0" t="str">
        <f aca="false">IF($C3825="","",IF(COUNTIF('مواد المخزون'!$A$2:$A$86,$C3825)&gt;0,"نعم","لا (خارج الجرد)"))</f>
        <v/>
      </c>
    </row>
    <row r="3826" customFormat="false" ht="15" hidden="false" customHeight="false" outlineLevel="0" collapsed="false">
      <c r="A3826" s="102"/>
      <c r="B3826" s="104"/>
      <c r="C3826" s="104"/>
      <c r="F3826" s="103" t="str">
        <f aca="false">IF(OR($C3826="",$D3826=0),"",$E3826/$D3826)</f>
        <v/>
      </c>
      <c r="H3826" s="0" t="str">
        <f aca="false">IF($C3826="","",IF(COUNTIF('مواد المخزون'!$A$2:$A$86,$C3826)&gt;0,"نعم","لا (خارج الجرد)"))</f>
        <v/>
      </c>
    </row>
    <row r="3827" customFormat="false" ht="15" hidden="false" customHeight="false" outlineLevel="0" collapsed="false">
      <c r="A3827" s="102"/>
      <c r="B3827" s="104"/>
      <c r="C3827" s="104"/>
      <c r="F3827" s="103" t="str">
        <f aca="false">IF(OR($C3827="",$D3827=0),"",$E3827/$D3827)</f>
        <v/>
      </c>
      <c r="H3827" s="0" t="str">
        <f aca="false">IF($C3827="","",IF(COUNTIF('مواد المخزون'!$A$2:$A$86,$C3827)&gt;0,"نعم","لا (خارج الجرد)"))</f>
        <v/>
      </c>
    </row>
    <row r="3828" customFormat="false" ht="15" hidden="false" customHeight="false" outlineLevel="0" collapsed="false">
      <c r="A3828" s="102"/>
      <c r="B3828" s="104"/>
      <c r="C3828" s="104"/>
      <c r="F3828" s="103" t="str">
        <f aca="false">IF(OR($C3828="",$D3828=0),"",$E3828/$D3828)</f>
        <v/>
      </c>
      <c r="H3828" s="0" t="str">
        <f aca="false">IF($C3828="","",IF(COUNTIF('مواد المخزون'!$A$2:$A$86,$C3828)&gt;0,"نعم","لا (خارج الجرد)"))</f>
        <v/>
      </c>
    </row>
    <row r="3829" customFormat="false" ht="15" hidden="false" customHeight="false" outlineLevel="0" collapsed="false">
      <c r="A3829" s="102"/>
      <c r="B3829" s="104"/>
      <c r="C3829" s="104"/>
      <c r="F3829" s="103" t="str">
        <f aca="false">IF(OR($C3829="",$D3829=0),"",$E3829/$D3829)</f>
        <v/>
      </c>
      <c r="H3829" s="0" t="str">
        <f aca="false">IF($C3829="","",IF(COUNTIF('مواد المخزون'!$A$2:$A$86,$C3829)&gt;0,"نعم","لا (خارج الجرد)"))</f>
        <v/>
      </c>
    </row>
    <row r="3830" customFormat="false" ht="15" hidden="false" customHeight="false" outlineLevel="0" collapsed="false">
      <c r="A3830" s="102"/>
      <c r="B3830" s="104"/>
      <c r="C3830" s="104"/>
      <c r="F3830" s="103" t="str">
        <f aca="false">IF(OR($C3830="",$D3830=0),"",$E3830/$D3830)</f>
        <v/>
      </c>
      <c r="H3830" s="0" t="str">
        <f aca="false">IF($C3830="","",IF(COUNTIF('مواد المخزون'!$A$2:$A$86,$C3830)&gt;0,"نعم","لا (خارج الجرد)"))</f>
        <v/>
      </c>
    </row>
    <row r="3831" customFormat="false" ht="15" hidden="false" customHeight="false" outlineLevel="0" collapsed="false">
      <c r="A3831" s="102"/>
      <c r="B3831" s="104"/>
      <c r="C3831" s="104"/>
      <c r="F3831" s="103" t="str">
        <f aca="false">IF(OR($C3831="",$D3831=0),"",$E3831/$D3831)</f>
        <v/>
      </c>
      <c r="H3831" s="0" t="str">
        <f aca="false">IF($C3831="","",IF(COUNTIF('مواد المخزون'!$A$2:$A$86,$C3831)&gt;0,"نعم","لا (خارج الجرد)"))</f>
        <v/>
      </c>
    </row>
    <row r="3832" customFormat="false" ht="15" hidden="false" customHeight="false" outlineLevel="0" collapsed="false">
      <c r="A3832" s="102"/>
      <c r="B3832" s="104"/>
      <c r="C3832" s="104"/>
      <c r="F3832" s="103" t="str">
        <f aca="false">IF(OR($C3832="",$D3832=0),"",$E3832/$D3832)</f>
        <v/>
      </c>
      <c r="H3832" s="0" t="str">
        <f aca="false">IF($C3832="","",IF(COUNTIF('مواد المخزون'!$A$2:$A$86,$C3832)&gt;0,"نعم","لا (خارج الجرد)"))</f>
        <v/>
      </c>
    </row>
    <row r="3833" customFormat="false" ht="15" hidden="false" customHeight="false" outlineLevel="0" collapsed="false">
      <c r="A3833" s="102"/>
      <c r="B3833" s="104"/>
      <c r="C3833" s="104"/>
      <c r="F3833" s="103" t="str">
        <f aca="false">IF(OR($C3833="",$D3833=0),"",$E3833/$D3833)</f>
        <v/>
      </c>
      <c r="H3833" s="0" t="str">
        <f aca="false">IF($C3833="","",IF(COUNTIF('مواد المخزون'!$A$2:$A$86,$C3833)&gt;0,"نعم","لا (خارج الجرد)"))</f>
        <v/>
      </c>
    </row>
    <row r="3834" customFormat="false" ht="15" hidden="false" customHeight="false" outlineLevel="0" collapsed="false">
      <c r="A3834" s="102"/>
      <c r="B3834" s="104"/>
      <c r="C3834" s="104"/>
      <c r="F3834" s="103" t="str">
        <f aca="false">IF(OR($C3834="",$D3834=0),"",$E3834/$D3834)</f>
        <v/>
      </c>
      <c r="H3834" s="0" t="str">
        <f aca="false">IF($C3834="","",IF(COUNTIF('مواد المخزون'!$A$2:$A$86,$C3834)&gt;0,"نعم","لا (خارج الجرد)"))</f>
        <v/>
      </c>
    </row>
    <row r="3835" customFormat="false" ht="15" hidden="false" customHeight="false" outlineLevel="0" collapsed="false">
      <c r="A3835" s="102"/>
      <c r="B3835" s="104"/>
      <c r="C3835" s="104"/>
      <c r="F3835" s="103" t="str">
        <f aca="false">IF(OR($C3835="",$D3835=0),"",$E3835/$D3835)</f>
        <v/>
      </c>
      <c r="H3835" s="0" t="str">
        <f aca="false">IF($C3835="","",IF(COUNTIF('مواد المخزون'!$A$2:$A$86,$C3835)&gt;0,"نعم","لا (خارج الجرد)"))</f>
        <v/>
      </c>
    </row>
    <row r="3836" customFormat="false" ht="15" hidden="false" customHeight="false" outlineLevel="0" collapsed="false">
      <c r="A3836" s="102"/>
      <c r="B3836" s="104"/>
      <c r="C3836" s="104"/>
      <c r="F3836" s="103" t="str">
        <f aca="false">IF(OR($C3836="",$D3836=0),"",$E3836/$D3836)</f>
        <v/>
      </c>
      <c r="H3836" s="0" t="str">
        <f aca="false">IF($C3836="","",IF(COUNTIF('مواد المخزون'!$A$2:$A$86,$C3836)&gt;0,"نعم","لا (خارج الجرد)"))</f>
        <v/>
      </c>
    </row>
    <row r="3837" customFormat="false" ht="15" hidden="false" customHeight="false" outlineLevel="0" collapsed="false">
      <c r="A3837" s="102"/>
      <c r="B3837" s="104"/>
      <c r="C3837" s="104"/>
      <c r="F3837" s="103" t="str">
        <f aca="false">IF(OR($C3837="",$D3837=0),"",$E3837/$D3837)</f>
        <v/>
      </c>
      <c r="H3837" s="0" t="str">
        <f aca="false">IF($C3837="","",IF(COUNTIF('مواد المخزون'!$A$2:$A$86,$C3837)&gt;0,"نعم","لا (خارج الجرد)"))</f>
        <v/>
      </c>
    </row>
    <row r="3838" customFormat="false" ht="15" hidden="false" customHeight="false" outlineLevel="0" collapsed="false">
      <c r="A3838" s="102"/>
      <c r="B3838" s="104"/>
      <c r="C3838" s="104"/>
      <c r="F3838" s="103" t="str">
        <f aca="false">IF(OR($C3838="",$D3838=0),"",$E3838/$D3838)</f>
        <v/>
      </c>
      <c r="H3838" s="0" t="str">
        <f aca="false">IF($C3838="","",IF(COUNTIF('مواد المخزون'!$A$2:$A$86,$C3838)&gt;0,"نعم","لا (خارج الجرد)"))</f>
        <v/>
      </c>
    </row>
    <row r="3839" customFormat="false" ht="15" hidden="false" customHeight="false" outlineLevel="0" collapsed="false">
      <c r="A3839" s="102"/>
      <c r="B3839" s="104"/>
      <c r="C3839" s="104"/>
      <c r="F3839" s="103" t="str">
        <f aca="false">IF(OR($C3839="",$D3839=0),"",$E3839/$D3839)</f>
        <v/>
      </c>
      <c r="H3839" s="0" t="str">
        <f aca="false">IF($C3839="","",IF(COUNTIF('مواد المخزون'!$A$2:$A$86,$C3839)&gt;0,"نعم","لا (خارج الجرد)"))</f>
        <v/>
      </c>
    </row>
    <row r="3840" customFormat="false" ht="15" hidden="false" customHeight="false" outlineLevel="0" collapsed="false">
      <c r="A3840" s="102"/>
      <c r="B3840" s="104"/>
      <c r="C3840" s="104"/>
      <c r="F3840" s="103" t="str">
        <f aca="false">IF(OR($C3840="",$D3840=0),"",$E3840/$D3840)</f>
        <v/>
      </c>
      <c r="H3840" s="0" t="str">
        <f aca="false">IF($C3840="","",IF(COUNTIF('مواد المخزون'!$A$2:$A$86,$C3840)&gt;0,"نعم","لا (خارج الجرد)"))</f>
        <v/>
      </c>
    </row>
    <row r="3841" customFormat="false" ht="15" hidden="false" customHeight="false" outlineLevel="0" collapsed="false">
      <c r="A3841" s="102"/>
      <c r="B3841" s="104"/>
      <c r="C3841" s="104"/>
      <c r="F3841" s="103" t="str">
        <f aca="false">IF(OR($C3841="",$D3841=0),"",$E3841/$D3841)</f>
        <v/>
      </c>
      <c r="H3841" s="0" t="str">
        <f aca="false">IF($C3841="","",IF(COUNTIF('مواد المخزون'!$A$2:$A$86,$C3841)&gt;0,"نعم","لا (خارج الجرد)"))</f>
        <v/>
      </c>
    </row>
    <row r="3842" customFormat="false" ht="15" hidden="false" customHeight="false" outlineLevel="0" collapsed="false">
      <c r="A3842" s="102"/>
      <c r="B3842" s="104"/>
      <c r="C3842" s="104"/>
      <c r="F3842" s="103" t="str">
        <f aca="false">IF(OR($C3842="",$D3842=0),"",$E3842/$D3842)</f>
        <v/>
      </c>
      <c r="H3842" s="0" t="str">
        <f aca="false">IF($C3842="","",IF(COUNTIF('مواد المخزون'!$A$2:$A$86,$C3842)&gt;0,"نعم","لا (خارج الجرد)"))</f>
        <v/>
      </c>
    </row>
    <row r="3843" customFormat="false" ht="15" hidden="false" customHeight="false" outlineLevel="0" collapsed="false">
      <c r="A3843" s="102"/>
      <c r="B3843" s="104"/>
      <c r="C3843" s="104"/>
      <c r="F3843" s="103" t="str">
        <f aca="false">IF(OR($C3843="",$D3843=0),"",$E3843/$D3843)</f>
        <v/>
      </c>
      <c r="H3843" s="0" t="str">
        <f aca="false">IF($C3843="","",IF(COUNTIF('مواد المخزون'!$A$2:$A$86,$C3843)&gt;0,"نعم","لا (خارج الجرد)"))</f>
        <v/>
      </c>
    </row>
    <row r="3844" customFormat="false" ht="15" hidden="false" customHeight="false" outlineLevel="0" collapsed="false">
      <c r="A3844" s="102"/>
      <c r="B3844" s="104"/>
      <c r="C3844" s="104"/>
      <c r="F3844" s="103" t="str">
        <f aca="false">IF(OR($C3844="",$D3844=0),"",$E3844/$D3844)</f>
        <v/>
      </c>
      <c r="H3844" s="0" t="str">
        <f aca="false">IF($C3844="","",IF(COUNTIF('مواد المخزون'!$A$2:$A$86,$C3844)&gt;0,"نعم","لا (خارج الجرد)"))</f>
        <v/>
      </c>
    </row>
    <row r="3845" customFormat="false" ht="15" hidden="false" customHeight="false" outlineLevel="0" collapsed="false">
      <c r="A3845" s="102"/>
      <c r="B3845" s="104"/>
      <c r="C3845" s="104"/>
      <c r="F3845" s="103" t="str">
        <f aca="false">IF(OR($C3845="",$D3845=0),"",$E3845/$D3845)</f>
        <v/>
      </c>
      <c r="H3845" s="0" t="str">
        <f aca="false">IF($C3845="","",IF(COUNTIF('مواد المخزون'!$A$2:$A$86,$C3845)&gt;0,"نعم","لا (خارج الجرد)"))</f>
        <v/>
      </c>
    </row>
    <row r="3846" customFormat="false" ht="15" hidden="false" customHeight="false" outlineLevel="0" collapsed="false">
      <c r="A3846" s="102"/>
      <c r="B3846" s="104"/>
      <c r="C3846" s="104"/>
      <c r="F3846" s="103" t="str">
        <f aca="false">IF(OR($C3846="",$D3846=0),"",$E3846/$D3846)</f>
        <v/>
      </c>
      <c r="H3846" s="0" t="str">
        <f aca="false">IF($C3846="","",IF(COUNTIF('مواد المخزون'!$A$2:$A$86,$C3846)&gt;0,"نعم","لا (خارج الجرد)"))</f>
        <v/>
      </c>
    </row>
    <row r="3847" customFormat="false" ht="15" hidden="false" customHeight="false" outlineLevel="0" collapsed="false">
      <c r="A3847" s="102"/>
      <c r="B3847" s="104"/>
      <c r="C3847" s="104"/>
      <c r="F3847" s="103" t="str">
        <f aca="false">IF(OR($C3847="",$D3847=0),"",$E3847/$D3847)</f>
        <v/>
      </c>
      <c r="H3847" s="0" t="str">
        <f aca="false">IF($C3847="","",IF(COUNTIF('مواد المخزون'!$A$2:$A$86,$C3847)&gt;0,"نعم","لا (خارج الجرد)"))</f>
        <v/>
      </c>
    </row>
    <row r="3848" customFormat="false" ht="15" hidden="false" customHeight="false" outlineLevel="0" collapsed="false">
      <c r="A3848" s="102"/>
      <c r="B3848" s="104"/>
      <c r="C3848" s="104"/>
      <c r="F3848" s="103" t="str">
        <f aca="false">IF(OR($C3848="",$D3848=0),"",$E3848/$D3848)</f>
        <v/>
      </c>
      <c r="H3848" s="0" t="str">
        <f aca="false">IF($C3848="","",IF(COUNTIF('مواد المخزون'!$A$2:$A$86,$C3848)&gt;0,"نعم","لا (خارج الجرد)"))</f>
        <v/>
      </c>
    </row>
    <row r="3849" customFormat="false" ht="15" hidden="false" customHeight="false" outlineLevel="0" collapsed="false">
      <c r="A3849" s="102"/>
      <c r="B3849" s="104"/>
      <c r="C3849" s="104"/>
      <c r="F3849" s="103" t="str">
        <f aca="false">IF(OR($C3849="",$D3849=0),"",$E3849/$D3849)</f>
        <v/>
      </c>
      <c r="H3849" s="0" t="str">
        <f aca="false">IF($C3849="","",IF(COUNTIF('مواد المخزون'!$A$2:$A$86,$C3849)&gt;0,"نعم","لا (خارج الجرد)"))</f>
        <v/>
      </c>
    </row>
    <row r="3850" customFormat="false" ht="15" hidden="false" customHeight="false" outlineLevel="0" collapsed="false">
      <c r="A3850" s="102"/>
      <c r="B3850" s="104"/>
      <c r="C3850" s="104"/>
      <c r="F3850" s="103" t="str">
        <f aca="false">IF(OR($C3850="",$D3850=0),"",$E3850/$D3850)</f>
        <v/>
      </c>
      <c r="H3850" s="0" t="str">
        <f aca="false">IF($C3850="","",IF(COUNTIF('مواد المخزون'!$A$2:$A$86,$C3850)&gt;0,"نعم","لا (خارج الجرد)"))</f>
        <v/>
      </c>
    </row>
    <row r="3851" customFormat="false" ht="15" hidden="false" customHeight="false" outlineLevel="0" collapsed="false">
      <c r="A3851" s="102"/>
      <c r="B3851" s="104"/>
      <c r="C3851" s="104"/>
      <c r="F3851" s="103" t="str">
        <f aca="false">IF(OR($C3851="",$D3851=0),"",$E3851/$D3851)</f>
        <v/>
      </c>
      <c r="H3851" s="0" t="str">
        <f aca="false">IF($C3851="","",IF(COUNTIF('مواد المخزون'!$A$2:$A$86,$C3851)&gt;0,"نعم","لا (خارج الجرد)"))</f>
        <v/>
      </c>
    </row>
    <row r="3852" customFormat="false" ht="15" hidden="false" customHeight="false" outlineLevel="0" collapsed="false">
      <c r="A3852" s="102"/>
      <c r="B3852" s="104"/>
      <c r="C3852" s="104"/>
      <c r="F3852" s="103" t="str">
        <f aca="false">IF(OR($C3852="",$D3852=0),"",$E3852/$D3852)</f>
        <v/>
      </c>
      <c r="H3852" s="0" t="str">
        <f aca="false">IF($C3852="","",IF(COUNTIF('مواد المخزون'!$A$2:$A$86,$C3852)&gt;0,"نعم","لا (خارج الجرد)"))</f>
        <v/>
      </c>
    </row>
    <row r="3853" customFormat="false" ht="15" hidden="false" customHeight="false" outlineLevel="0" collapsed="false">
      <c r="A3853" s="102"/>
      <c r="B3853" s="104"/>
      <c r="C3853" s="104"/>
      <c r="F3853" s="103" t="str">
        <f aca="false">IF(OR($C3853="",$D3853=0),"",$E3853/$D3853)</f>
        <v/>
      </c>
      <c r="H3853" s="0" t="str">
        <f aca="false">IF($C3853="","",IF(COUNTIF('مواد المخزون'!$A$2:$A$86,$C3853)&gt;0,"نعم","لا (خارج الجرد)"))</f>
        <v/>
      </c>
    </row>
    <row r="3854" customFormat="false" ht="15" hidden="false" customHeight="false" outlineLevel="0" collapsed="false">
      <c r="A3854" s="102"/>
      <c r="B3854" s="104"/>
      <c r="C3854" s="104"/>
      <c r="F3854" s="103" t="str">
        <f aca="false">IF(OR($C3854="",$D3854=0),"",$E3854/$D3854)</f>
        <v/>
      </c>
      <c r="H3854" s="0" t="str">
        <f aca="false">IF($C3854="","",IF(COUNTIF('مواد المخزون'!$A$2:$A$86,$C3854)&gt;0,"نعم","لا (خارج الجرد)"))</f>
        <v/>
      </c>
    </row>
    <row r="3855" customFormat="false" ht="15" hidden="false" customHeight="false" outlineLevel="0" collapsed="false">
      <c r="A3855" s="102"/>
      <c r="B3855" s="104"/>
      <c r="C3855" s="104"/>
      <c r="F3855" s="103" t="str">
        <f aca="false">IF(OR($C3855="",$D3855=0),"",$E3855/$D3855)</f>
        <v/>
      </c>
      <c r="H3855" s="0" t="str">
        <f aca="false">IF($C3855="","",IF(COUNTIF('مواد المخزون'!$A$2:$A$86,$C3855)&gt;0,"نعم","لا (خارج الجرد)"))</f>
        <v/>
      </c>
    </row>
    <row r="3856" customFormat="false" ht="15" hidden="false" customHeight="false" outlineLevel="0" collapsed="false">
      <c r="A3856" s="102"/>
      <c r="B3856" s="104"/>
      <c r="C3856" s="104"/>
      <c r="F3856" s="103" t="str">
        <f aca="false">IF(OR($C3856="",$D3856=0),"",$E3856/$D3856)</f>
        <v/>
      </c>
      <c r="H3856" s="0" t="str">
        <f aca="false">IF($C3856="","",IF(COUNTIF('مواد المخزون'!$A$2:$A$86,$C3856)&gt;0,"نعم","لا (خارج الجرد)"))</f>
        <v/>
      </c>
    </row>
    <row r="3857" customFormat="false" ht="15" hidden="false" customHeight="false" outlineLevel="0" collapsed="false">
      <c r="A3857" s="102"/>
      <c r="B3857" s="104"/>
      <c r="C3857" s="104"/>
      <c r="F3857" s="103" t="str">
        <f aca="false">IF(OR($C3857="",$D3857=0),"",$E3857/$D3857)</f>
        <v/>
      </c>
      <c r="H3857" s="0" t="str">
        <f aca="false">IF($C3857="","",IF(COUNTIF('مواد المخزون'!$A$2:$A$86,$C3857)&gt;0,"نعم","لا (خارج الجرد)"))</f>
        <v/>
      </c>
    </row>
    <row r="3858" customFormat="false" ht="15" hidden="false" customHeight="false" outlineLevel="0" collapsed="false">
      <c r="A3858" s="102"/>
      <c r="B3858" s="104"/>
      <c r="C3858" s="104"/>
      <c r="F3858" s="103" t="str">
        <f aca="false">IF(OR($C3858="",$D3858=0),"",$E3858/$D3858)</f>
        <v/>
      </c>
      <c r="H3858" s="0" t="str">
        <f aca="false">IF($C3858="","",IF(COUNTIF('مواد المخزون'!$A$2:$A$86,$C3858)&gt;0,"نعم","لا (خارج الجرد)"))</f>
        <v/>
      </c>
    </row>
    <row r="3859" customFormat="false" ht="15" hidden="false" customHeight="false" outlineLevel="0" collapsed="false">
      <c r="A3859" s="102"/>
      <c r="B3859" s="104"/>
      <c r="C3859" s="104"/>
      <c r="F3859" s="103" t="str">
        <f aca="false">IF(OR($C3859="",$D3859=0),"",$E3859/$D3859)</f>
        <v/>
      </c>
      <c r="H3859" s="0" t="str">
        <f aca="false">IF($C3859="","",IF(COUNTIF('مواد المخزون'!$A$2:$A$86,$C3859)&gt;0,"نعم","لا (خارج الجرد)"))</f>
        <v/>
      </c>
    </row>
    <row r="3860" customFormat="false" ht="15" hidden="false" customHeight="false" outlineLevel="0" collapsed="false">
      <c r="A3860" s="102"/>
      <c r="B3860" s="104"/>
      <c r="C3860" s="104"/>
      <c r="F3860" s="103" t="str">
        <f aca="false">IF(OR($C3860="",$D3860=0),"",$E3860/$D3860)</f>
        <v/>
      </c>
      <c r="H3860" s="0" t="str">
        <f aca="false">IF($C3860="","",IF(COUNTIF('مواد المخزون'!$A$2:$A$86,$C3860)&gt;0,"نعم","لا (خارج الجرد)"))</f>
        <v/>
      </c>
    </row>
    <row r="3861" customFormat="false" ht="15" hidden="false" customHeight="false" outlineLevel="0" collapsed="false">
      <c r="A3861" s="102"/>
      <c r="B3861" s="104"/>
      <c r="C3861" s="104"/>
      <c r="F3861" s="103" t="str">
        <f aca="false">IF(OR($C3861="",$D3861=0),"",$E3861/$D3861)</f>
        <v/>
      </c>
      <c r="H3861" s="0" t="str">
        <f aca="false">IF($C3861="","",IF(COUNTIF('مواد المخزون'!$A$2:$A$86,$C3861)&gt;0,"نعم","لا (خارج الجرد)"))</f>
        <v/>
      </c>
    </row>
    <row r="3862" customFormat="false" ht="15" hidden="false" customHeight="false" outlineLevel="0" collapsed="false">
      <c r="A3862" s="102"/>
      <c r="B3862" s="104"/>
      <c r="C3862" s="104"/>
      <c r="F3862" s="103" t="str">
        <f aca="false">IF(OR($C3862="",$D3862=0),"",$E3862/$D3862)</f>
        <v/>
      </c>
      <c r="H3862" s="0" t="str">
        <f aca="false">IF($C3862="","",IF(COUNTIF('مواد المخزون'!$A$2:$A$86,$C3862)&gt;0,"نعم","لا (خارج الجرد)"))</f>
        <v/>
      </c>
    </row>
    <row r="3863" customFormat="false" ht="15" hidden="false" customHeight="false" outlineLevel="0" collapsed="false">
      <c r="A3863" s="102"/>
      <c r="B3863" s="104"/>
      <c r="C3863" s="104"/>
      <c r="F3863" s="103" t="str">
        <f aca="false">IF(OR($C3863="",$D3863=0),"",$E3863/$D3863)</f>
        <v/>
      </c>
      <c r="H3863" s="0" t="str">
        <f aca="false">IF($C3863="","",IF(COUNTIF('مواد المخزون'!$A$2:$A$86,$C3863)&gt;0,"نعم","لا (خارج الجرد)"))</f>
        <v/>
      </c>
    </row>
    <row r="3864" customFormat="false" ht="15" hidden="false" customHeight="false" outlineLevel="0" collapsed="false">
      <c r="A3864" s="102"/>
      <c r="B3864" s="104"/>
      <c r="C3864" s="104"/>
      <c r="F3864" s="103" t="str">
        <f aca="false">IF(OR($C3864="",$D3864=0),"",$E3864/$D3864)</f>
        <v/>
      </c>
      <c r="H3864" s="0" t="str">
        <f aca="false">IF($C3864="","",IF(COUNTIF('مواد المخزون'!$A$2:$A$86,$C3864)&gt;0,"نعم","لا (خارج الجرد)"))</f>
        <v/>
      </c>
    </row>
    <row r="3865" customFormat="false" ht="15" hidden="false" customHeight="false" outlineLevel="0" collapsed="false">
      <c r="A3865" s="102"/>
      <c r="B3865" s="104"/>
      <c r="C3865" s="104"/>
      <c r="F3865" s="103" t="str">
        <f aca="false">IF(OR($C3865="",$D3865=0),"",$E3865/$D3865)</f>
        <v/>
      </c>
      <c r="H3865" s="0" t="str">
        <f aca="false">IF($C3865="","",IF(COUNTIF('مواد المخزون'!$A$2:$A$86,$C3865)&gt;0,"نعم","لا (خارج الجرد)"))</f>
        <v/>
      </c>
    </row>
    <row r="3866" customFormat="false" ht="15" hidden="false" customHeight="false" outlineLevel="0" collapsed="false">
      <c r="A3866" s="102"/>
      <c r="B3866" s="104"/>
      <c r="C3866" s="104"/>
      <c r="F3866" s="103" t="str">
        <f aca="false">IF(OR($C3866="",$D3866=0),"",$E3866/$D3866)</f>
        <v/>
      </c>
      <c r="H3866" s="0" t="str">
        <f aca="false">IF($C3866="","",IF(COUNTIF('مواد المخزون'!$A$2:$A$86,$C3866)&gt;0,"نعم","لا (خارج الجرد)"))</f>
        <v/>
      </c>
    </row>
    <row r="3867" customFormat="false" ht="15" hidden="false" customHeight="false" outlineLevel="0" collapsed="false">
      <c r="A3867" s="102"/>
      <c r="B3867" s="104"/>
      <c r="C3867" s="104"/>
      <c r="F3867" s="103" t="str">
        <f aca="false">IF(OR($C3867="",$D3867=0),"",$E3867/$D3867)</f>
        <v/>
      </c>
      <c r="H3867" s="0" t="str">
        <f aca="false">IF($C3867="","",IF(COUNTIF('مواد المخزون'!$A$2:$A$86,$C3867)&gt;0,"نعم","لا (خارج الجرد)"))</f>
        <v/>
      </c>
    </row>
    <row r="3868" customFormat="false" ht="15" hidden="false" customHeight="false" outlineLevel="0" collapsed="false">
      <c r="A3868" s="102"/>
      <c r="B3868" s="104"/>
      <c r="C3868" s="104"/>
      <c r="F3868" s="103" t="str">
        <f aca="false">IF(OR($C3868="",$D3868=0),"",$E3868/$D3868)</f>
        <v/>
      </c>
      <c r="H3868" s="0" t="str">
        <f aca="false">IF($C3868="","",IF(COUNTIF('مواد المخزون'!$A$2:$A$86,$C3868)&gt;0,"نعم","لا (خارج الجرد)"))</f>
        <v/>
      </c>
    </row>
    <row r="3869" customFormat="false" ht="15" hidden="false" customHeight="false" outlineLevel="0" collapsed="false">
      <c r="A3869" s="102"/>
      <c r="B3869" s="104"/>
      <c r="C3869" s="104"/>
      <c r="F3869" s="103" t="str">
        <f aca="false">IF(OR($C3869="",$D3869=0),"",$E3869/$D3869)</f>
        <v/>
      </c>
      <c r="H3869" s="0" t="str">
        <f aca="false">IF($C3869="","",IF(COUNTIF('مواد المخزون'!$A$2:$A$86,$C3869)&gt;0,"نعم","لا (خارج الجرد)"))</f>
        <v/>
      </c>
    </row>
    <row r="3870" customFormat="false" ht="15" hidden="false" customHeight="false" outlineLevel="0" collapsed="false">
      <c r="A3870" s="102"/>
      <c r="B3870" s="104"/>
      <c r="C3870" s="104"/>
      <c r="F3870" s="103" t="str">
        <f aca="false">IF(OR($C3870="",$D3870=0),"",$E3870/$D3870)</f>
        <v/>
      </c>
      <c r="H3870" s="0" t="str">
        <f aca="false">IF($C3870="","",IF(COUNTIF('مواد المخزون'!$A$2:$A$86,$C3870)&gt;0,"نعم","لا (خارج الجرد)"))</f>
        <v/>
      </c>
    </row>
    <row r="3871" customFormat="false" ht="15" hidden="false" customHeight="false" outlineLevel="0" collapsed="false">
      <c r="A3871" s="102"/>
      <c r="B3871" s="104"/>
      <c r="C3871" s="104"/>
      <c r="F3871" s="103" t="str">
        <f aca="false">IF(OR($C3871="",$D3871=0),"",$E3871/$D3871)</f>
        <v/>
      </c>
      <c r="H3871" s="0" t="str">
        <f aca="false">IF($C3871="","",IF(COUNTIF('مواد المخزون'!$A$2:$A$86,$C3871)&gt;0,"نعم","لا (خارج الجرد)"))</f>
        <v/>
      </c>
    </row>
    <row r="3872" customFormat="false" ht="15" hidden="false" customHeight="false" outlineLevel="0" collapsed="false">
      <c r="A3872" s="102"/>
      <c r="B3872" s="104"/>
      <c r="C3872" s="104"/>
      <c r="F3872" s="103" t="str">
        <f aca="false">IF(OR($C3872="",$D3872=0),"",$E3872/$D3872)</f>
        <v/>
      </c>
      <c r="H3872" s="0" t="str">
        <f aca="false">IF($C3872="","",IF(COUNTIF('مواد المخزون'!$A$2:$A$86,$C3872)&gt;0,"نعم","لا (خارج الجرد)"))</f>
        <v/>
      </c>
    </row>
    <row r="3873" customFormat="false" ht="15" hidden="false" customHeight="false" outlineLevel="0" collapsed="false">
      <c r="A3873" s="102"/>
      <c r="B3873" s="104"/>
      <c r="C3873" s="104"/>
      <c r="F3873" s="103" t="str">
        <f aca="false">IF(OR($C3873="",$D3873=0),"",$E3873/$D3873)</f>
        <v/>
      </c>
      <c r="H3873" s="0" t="str">
        <f aca="false">IF($C3873="","",IF(COUNTIF('مواد المخزون'!$A$2:$A$86,$C3873)&gt;0,"نعم","لا (خارج الجرد)"))</f>
        <v/>
      </c>
    </row>
    <row r="3874" customFormat="false" ht="15" hidden="false" customHeight="false" outlineLevel="0" collapsed="false">
      <c r="A3874" s="102"/>
      <c r="B3874" s="104"/>
      <c r="C3874" s="104"/>
      <c r="F3874" s="103" t="str">
        <f aca="false">IF(OR($C3874="",$D3874=0),"",$E3874/$D3874)</f>
        <v/>
      </c>
      <c r="H3874" s="0" t="str">
        <f aca="false">IF($C3874="","",IF(COUNTIF('مواد المخزون'!$A$2:$A$86,$C3874)&gt;0,"نعم","لا (خارج الجرد)"))</f>
        <v/>
      </c>
    </row>
    <row r="3875" customFormat="false" ht="15" hidden="false" customHeight="false" outlineLevel="0" collapsed="false">
      <c r="A3875" s="102"/>
      <c r="B3875" s="104"/>
      <c r="C3875" s="104"/>
      <c r="F3875" s="103" t="str">
        <f aca="false">IF(OR($C3875="",$D3875=0),"",$E3875/$D3875)</f>
        <v/>
      </c>
      <c r="H3875" s="0" t="str">
        <f aca="false">IF($C3875="","",IF(COUNTIF('مواد المخزون'!$A$2:$A$86,$C3875)&gt;0,"نعم","لا (خارج الجرد)"))</f>
        <v/>
      </c>
    </row>
    <row r="3876" customFormat="false" ht="15" hidden="false" customHeight="false" outlineLevel="0" collapsed="false">
      <c r="A3876" s="102"/>
      <c r="B3876" s="104"/>
      <c r="C3876" s="104"/>
      <c r="F3876" s="103" t="str">
        <f aca="false">IF(OR($C3876="",$D3876=0),"",$E3876/$D3876)</f>
        <v/>
      </c>
      <c r="H3876" s="0" t="str">
        <f aca="false">IF($C3876="","",IF(COUNTIF('مواد المخزون'!$A$2:$A$86,$C3876)&gt;0,"نعم","لا (خارج الجرد)"))</f>
        <v/>
      </c>
    </row>
    <row r="3877" customFormat="false" ht="15" hidden="false" customHeight="false" outlineLevel="0" collapsed="false">
      <c r="A3877" s="102"/>
      <c r="B3877" s="104"/>
      <c r="C3877" s="104"/>
      <c r="F3877" s="103" t="str">
        <f aca="false">IF(OR($C3877="",$D3877=0),"",$E3877/$D3877)</f>
        <v/>
      </c>
      <c r="H3877" s="0" t="str">
        <f aca="false">IF($C3877="","",IF(COUNTIF('مواد المخزون'!$A$2:$A$86,$C3877)&gt;0,"نعم","لا (خارج الجرد)"))</f>
        <v/>
      </c>
    </row>
    <row r="3878" customFormat="false" ht="15" hidden="false" customHeight="false" outlineLevel="0" collapsed="false">
      <c r="A3878" s="102"/>
      <c r="B3878" s="104"/>
      <c r="C3878" s="104"/>
      <c r="F3878" s="103" t="str">
        <f aca="false">IF(OR($C3878="",$D3878=0),"",$E3878/$D3878)</f>
        <v/>
      </c>
      <c r="H3878" s="0" t="str">
        <f aca="false">IF($C3878="","",IF(COUNTIF('مواد المخزون'!$A$2:$A$86,$C3878)&gt;0,"نعم","لا (خارج الجرد)"))</f>
        <v/>
      </c>
    </row>
    <row r="3879" customFormat="false" ht="15" hidden="false" customHeight="false" outlineLevel="0" collapsed="false">
      <c r="A3879" s="102"/>
      <c r="B3879" s="104"/>
      <c r="C3879" s="104"/>
      <c r="F3879" s="103" t="str">
        <f aca="false">IF(OR($C3879="",$D3879=0),"",$E3879/$D3879)</f>
        <v/>
      </c>
      <c r="H3879" s="0" t="str">
        <f aca="false">IF($C3879="","",IF(COUNTIF('مواد المخزون'!$A$2:$A$86,$C3879)&gt;0,"نعم","لا (خارج الجرد)"))</f>
        <v/>
      </c>
    </row>
    <row r="3880" customFormat="false" ht="15" hidden="false" customHeight="false" outlineLevel="0" collapsed="false">
      <c r="A3880" s="102"/>
      <c r="B3880" s="104"/>
      <c r="C3880" s="104"/>
      <c r="F3880" s="103" t="str">
        <f aca="false">IF(OR($C3880="",$D3880=0),"",$E3880/$D3880)</f>
        <v/>
      </c>
      <c r="H3880" s="0" t="str">
        <f aca="false">IF($C3880="","",IF(COUNTIF('مواد المخزون'!$A$2:$A$86,$C3880)&gt;0,"نعم","لا (خارج الجرد)"))</f>
        <v/>
      </c>
    </row>
    <row r="3881" customFormat="false" ht="15" hidden="false" customHeight="false" outlineLevel="0" collapsed="false">
      <c r="A3881" s="102"/>
      <c r="B3881" s="104"/>
      <c r="C3881" s="104"/>
      <c r="F3881" s="103" t="str">
        <f aca="false">IF(OR($C3881="",$D3881=0),"",$E3881/$D3881)</f>
        <v/>
      </c>
      <c r="H3881" s="0" t="str">
        <f aca="false">IF($C3881="","",IF(COUNTIF('مواد المخزون'!$A$2:$A$86,$C3881)&gt;0,"نعم","لا (خارج الجرد)"))</f>
        <v/>
      </c>
    </row>
    <row r="3882" customFormat="false" ht="15" hidden="false" customHeight="false" outlineLevel="0" collapsed="false">
      <c r="A3882" s="102"/>
      <c r="B3882" s="104"/>
      <c r="C3882" s="104"/>
      <c r="F3882" s="103" t="str">
        <f aca="false">IF(OR($C3882="",$D3882=0),"",$E3882/$D3882)</f>
        <v/>
      </c>
      <c r="H3882" s="0" t="str">
        <f aca="false">IF($C3882="","",IF(COUNTIF('مواد المخزون'!$A$2:$A$86,$C3882)&gt;0,"نعم","لا (خارج الجرد)"))</f>
        <v/>
      </c>
    </row>
    <row r="3883" customFormat="false" ht="15" hidden="false" customHeight="false" outlineLevel="0" collapsed="false">
      <c r="A3883" s="102"/>
      <c r="B3883" s="104"/>
      <c r="C3883" s="104"/>
      <c r="F3883" s="103" t="str">
        <f aca="false">IF(OR($C3883="",$D3883=0),"",$E3883/$D3883)</f>
        <v/>
      </c>
      <c r="H3883" s="0" t="str">
        <f aca="false">IF($C3883="","",IF(COUNTIF('مواد المخزون'!$A$2:$A$86,$C3883)&gt;0,"نعم","لا (خارج الجرد)"))</f>
        <v/>
      </c>
    </row>
    <row r="3884" customFormat="false" ht="15" hidden="false" customHeight="false" outlineLevel="0" collapsed="false">
      <c r="A3884" s="102"/>
      <c r="B3884" s="104"/>
      <c r="C3884" s="104"/>
      <c r="F3884" s="103" t="str">
        <f aca="false">IF(OR($C3884="",$D3884=0),"",$E3884/$D3884)</f>
        <v/>
      </c>
      <c r="H3884" s="0" t="str">
        <f aca="false">IF($C3884="","",IF(COUNTIF('مواد المخزون'!$A$2:$A$86,$C3884)&gt;0,"نعم","لا (خارج الجرد)"))</f>
        <v/>
      </c>
    </row>
    <row r="3885" customFormat="false" ht="15" hidden="false" customHeight="false" outlineLevel="0" collapsed="false">
      <c r="A3885" s="102"/>
      <c r="B3885" s="104"/>
      <c r="C3885" s="104"/>
      <c r="F3885" s="103" t="str">
        <f aca="false">IF(OR($C3885="",$D3885=0),"",$E3885/$D3885)</f>
        <v/>
      </c>
      <c r="H3885" s="0" t="str">
        <f aca="false">IF($C3885="","",IF(COUNTIF('مواد المخزون'!$A$2:$A$86,$C3885)&gt;0,"نعم","لا (خارج الجرد)"))</f>
        <v/>
      </c>
    </row>
    <row r="3886" customFormat="false" ht="15" hidden="false" customHeight="false" outlineLevel="0" collapsed="false">
      <c r="A3886" s="102"/>
      <c r="B3886" s="104"/>
      <c r="C3886" s="104"/>
      <c r="F3886" s="103" t="str">
        <f aca="false">IF(OR($C3886="",$D3886=0),"",$E3886/$D3886)</f>
        <v/>
      </c>
      <c r="H3886" s="0" t="str">
        <f aca="false">IF($C3886="","",IF(COUNTIF('مواد المخزون'!$A$2:$A$86,$C3886)&gt;0,"نعم","لا (خارج الجرد)"))</f>
        <v/>
      </c>
    </row>
    <row r="3887" customFormat="false" ht="15" hidden="false" customHeight="false" outlineLevel="0" collapsed="false">
      <c r="A3887" s="102"/>
      <c r="B3887" s="104"/>
      <c r="C3887" s="104"/>
      <c r="F3887" s="103" t="str">
        <f aca="false">IF(OR($C3887="",$D3887=0),"",$E3887/$D3887)</f>
        <v/>
      </c>
      <c r="H3887" s="0" t="str">
        <f aca="false">IF($C3887="","",IF(COUNTIF('مواد المخزون'!$A$2:$A$86,$C3887)&gt;0,"نعم","لا (خارج الجرد)"))</f>
        <v/>
      </c>
    </row>
    <row r="3888" customFormat="false" ht="15" hidden="false" customHeight="false" outlineLevel="0" collapsed="false">
      <c r="A3888" s="102"/>
      <c r="B3888" s="104"/>
      <c r="C3888" s="104"/>
      <c r="F3888" s="103" t="str">
        <f aca="false">IF(OR($C3888="",$D3888=0),"",$E3888/$D3888)</f>
        <v/>
      </c>
      <c r="H3888" s="0" t="str">
        <f aca="false">IF($C3888="","",IF(COUNTIF('مواد المخزون'!$A$2:$A$86,$C3888)&gt;0,"نعم","لا (خارج الجرد)"))</f>
        <v/>
      </c>
    </row>
    <row r="3889" customFormat="false" ht="15" hidden="false" customHeight="false" outlineLevel="0" collapsed="false">
      <c r="A3889" s="102"/>
      <c r="B3889" s="104"/>
      <c r="C3889" s="104"/>
      <c r="F3889" s="103" t="str">
        <f aca="false">IF(OR($C3889="",$D3889=0),"",$E3889/$D3889)</f>
        <v/>
      </c>
      <c r="H3889" s="0" t="str">
        <f aca="false">IF($C3889="","",IF(COUNTIF('مواد المخزون'!$A$2:$A$86,$C3889)&gt;0,"نعم","لا (خارج الجرد)"))</f>
        <v/>
      </c>
    </row>
    <row r="3890" customFormat="false" ht="15" hidden="false" customHeight="false" outlineLevel="0" collapsed="false">
      <c r="A3890" s="102"/>
      <c r="B3890" s="104"/>
      <c r="C3890" s="104"/>
      <c r="F3890" s="103" t="str">
        <f aca="false">IF(OR($C3890="",$D3890=0),"",$E3890/$D3890)</f>
        <v/>
      </c>
      <c r="H3890" s="0" t="str">
        <f aca="false">IF($C3890="","",IF(COUNTIF('مواد المخزون'!$A$2:$A$86,$C3890)&gt;0,"نعم","لا (خارج الجرد)"))</f>
        <v/>
      </c>
    </row>
    <row r="3891" customFormat="false" ht="15" hidden="false" customHeight="false" outlineLevel="0" collapsed="false">
      <c r="A3891" s="102"/>
      <c r="B3891" s="104"/>
      <c r="C3891" s="104"/>
      <c r="F3891" s="103" t="str">
        <f aca="false">IF(OR($C3891="",$D3891=0),"",$E3891/$D3891)</f>
        <v/>
      </c>
      <c r="H3891" s="0" t="str">
        <f aca="false">IF($C3891="","",IF(COUNTIF('مواد المخزون'!$A$2:$A$86,$C3891)&gt;0,"نعم","لا (خارج الجرد)"))</f>
        <v/>
      </c>
    </row>
    <row r="3892" customFormat="false" ht="15" hidden="false" customHeight="false" outlineLevel="0" collapsed="false">
      <c r="A3892" s="102"/>
      <c r="B3892" s="104"/>
      <c r="C3892" s="104"/>
      <c r="F3892" s="103" t="str">
        <f aca="false">IF(OR($C3892="",$D3892=0),"",$E3892/$D3892)</f>
        <v/>
      </c>
      <c r="H3892" s="0" t="str">
        <f aca="false">IF($C3892="","",IF(COUNTIF('مواد المخزون'!$A$2:$A$86,$C3892)&gt;0,"نعم","لا (خارج الجرد)"))</f>
        <v/>
      </c>
    </row>
    <row r="3893" customFormat="false" ht="15" hidden="false" customHeight="false" outlineLevel="0" collapsed="false">
      <c r="A3893" s="102"/>
      <c r="B3893" s="104"/>
      <c r="C3893" s="104"/>
      <c r="F3893" s="103" t="str">
        <f aca="false">IF(OR($C3893="",$D3893=0),"",$E3893/$D3893)</f>
        <v/>
      </c>
      <c r="H3893" s="0" t="str">
        <f aca="false">IF($C3893="","",IF(COUNTIF('مواد المخزون'!$A$2:$A$86,$C3893)&gt;0,"نعم","لا (خارج الجرد)"))</f>
        <v/>
      </c>
    </row>
    <row r="3894" customFormat="false" ht="15" hidden="false" customHeight="false" outlineLevel="0" collapsed="false">
      <c r="A3894" s="102"/>
      <c r="B3894" s="104"/>
      <c r="C3894" s="104"/>
      <c r="F3894" s="103" t="str">
        <f aca="false">IF(OR($C3894="",$D3894=0),"",$E3894/$D3894)</f>
        <v/>
      </c>
      <c r="H3894" s="0" t="str">
        <f aca="false">IF($C3894="","",IF(COUNTIF('مواد المخزون'!$A$2:$A$86,$C3894)&gt;0,"نعم","لا (خارج الجرد)"))</f>
        <v/>
      </c>
    </row>
    <row r="3895" customFormat="false" ht="15" hidden="false" customHeight="false" outlineLevel="0" collapsed="false">
      <c r="A3895" s="102"/>
      <c r="B3895" s="104"/>
      <c r="C3895" s="104"/>
      <c r="F3895" s="103" t="str">
        <f aca="false">IF(OR($C3895="",$D3895=0),"",$E3895/$D3895)</f>
        <v/>
      </c>
      <c r="H3895" s="0" t="str">
        <f aca="false">IF($C3895="","",IF(COUNTIF('مواد المخزون'!$A$2:$A$86,$C3895)&gt;0,"نعم","لا (خارج الجرد)"))</f>
        <v/>
      </c>
    </row>
    <row r="3896" customFormat="false" ht="15" hidden="false" customHeight="false" outlineLevel="0" collapsed="false">
      <c r="A3896" s="102"/>
      <c r="B3896" s="104"/>
      <c r="C3896" s="104"/>
      <c r="F3896" s="103" t="str">
        <f aca="false">IF(OR($C3896="",$D3896=0),"",$E3896/$D3896)</f>
        <v/>
      </c>
      <c r="H3896" s="0" t="str">
        <f aca="false">IF($C3896="","",IF(COUNTIF('مواد المخزون'!$A$2:$A$86,$C3896)&gt;0,"نعم","لا (خارج الجرد)"))</f>
        <v/>
      </c>
    </row>
    <row r="3897" customFormat="false" ht="15" hidden="false" customHeight="false" outlineLevel="0" collapsed="false">
      <c r="A3897" s="102"/>
      <c r="B3897" s="104"/>
      <c r="C3897" s="104"/>
      <c r="F3897" s="103" t="str">
        <f aca="false">IF(OR($C3897="",$D3897=0),"",$E3897/$D3897)</f>
        <v/>
      </c>
      <c r="H3897" s="0" t="str">
        <f aca="false">IF($C3897="","",IF(COUNTIF('مواد المخزون'!$A$2:$A$86,$C3897)&gt;0,"نعم","لا (خارج الجرد)"))</f>
        <v/>
      </c>
    </row>
    <row r="3898" customFormat="false" ht="15" hidden="false" customHeight="false" outlineLevel="0" collapsed="false">
      <c r="A3898" s="102"/>
      <c r="B3898" s="104"/>
      <c r="C3898" s="104"/>
      <c r="F3898" s="103" t="str">
        <f aca="false">IF(OR($C3898="",$D3898=0),"",$E3898/$D3898)</f>
        <v/>
      </c>
      <c r="H3898" s="0" t="str">
        <f aca="false">IF($C3898="","",IF(COUNTIF('مواد المخزون'!$A$2:$A$86,$C3898)&gt;0,"نعم","لا (خارج الجرد)"))</f>
        <v/>
      </c>
    </row>
    <row r="3899" customFormat="false" ht="15" hidden="false" customHeight="false" outlineLevel="0" collapsed="false">
      <c r="A3899" s="102"/>
      <c r="B3899" s="104"/>
      <c r="C3899" s="104"/>
      <c r="F3899" s="103" t="str">
        <f aca="false">IF(OR($C3899="",$D3899=0),"",$E3899/$D3899)</f>
        <v/>
      </c>
      <c r="H3899" s="0" t="str">
        <f aca="false">IF($C3899="","",IF(COUNTIF('مواد المخزون'!$A$2:$A$86,$C3899)&gt;0,"نعم","لا (خارج الجرد)"))</f>
        <v/>
      </c>
    </row>
    <row r="3900" customFormat="false" ht="15" hidden="false" customHeight="false" outlineLevel="0" collapsed="false">
      <c r="A3900" s="102"/>
      <c r="B3900" s="104"/>
      <c r="C3900" s="104"/>
      <c r="F3900" s="103" t="str">
        <f aca="false">IF(OR($C3900="",$D3900=0),"",$E3900/$D3900)</f>
        <v/>
      </c>
      <c r="H3900" s="0" t="str">
        <f aca="false">IF($C3900="","",IF(COUNTIF('مواد المخزون'!$A$2:$A$86,$C3900)&gt;0,"نعم","لا (خارج الجرد)"))</f>
        <v/>
      </c>
    </row>
    <row r="3901" customFormat="false" ht="15" hidden="false" customHeight="false" outlineLevel="0" collapsed="false">
      <c r="A3901" s="102"/>
      <c r="B3901" s="104"/>
      <c r="C3901" s="104"/>
      <c r="F3901" s="103" t="str">
        <f aca="false">IF(OR($C3901="",$D3901=0),"",$E3901/$D3901)</f>
        <v/>
      </c>
      <c r="H3901" s="0" t="str">
        <f aca="false">IF($C3901="","",IF(COUNTIF('مواد المخزون'!$A$2:$A$86,$C3901)&gt;0,"نعم","لا (خارج الجرد)"))</f>
        <v/>
      </c>
    </row>
    <row r="3902" customFormat="false" ht="15" hidden="false" customHeight="false" outlineLevel="0" collapsed="false">
      <c r="A3902" s="102"/>
      <c r="B3902" s="104"/>
      <c r="C3902" s="104"/>
      <c r="F3902" s="103" t="str">
        <f aca="false">IF(OR($C3902="",$D3902=0),"",$E3902/$D3902)</f>
        <v/>
      </c>
      <c r="H3902" s="0" t="str">
        <f aca="false">IF($C3902="","",IF(COUNTIF('مواد المخزون'!$A$2:$A$86,$C3902)&gt;0,"نعم","لا (خارج الجرد)"))</f>
        <v/>
      </c>
    </row>
    <row r="3903" customFormat="false" ht="15" hidden="false" customHeight="false" outlineLevel="0" collapsed="false">
      <c r="A3903" s="102"/>
      <c r="B3903" s="104"/>
      <c r="C3903" s="104"/>
      <c r="F3903" s="103" t="str">
        <f aca="false">IF(OR($C3903="",$D3903=0),"",$E3903/$D3903)</f>
        <v/>
      </c>
      <c r="H3903" s="0" t="str">
        <f aca="false">IF($C3903="","",IF(COUNTIF('مواد المخزون'!$A$2:$A$86,$C3903)&gt;0,"نعم","لا (خارج الجرد)"))</f>
        <v/>
      </c>
    </row>
    <row r="3904" customFormat="false" ht="15" hidden="false" customHeight="false" outlineLevel="0" collapsed="false">
      <c r="A3904" s="102"/>
      <c r="B3904" s="104"/>
      <c r="C3904" s="104"/>
      <c r="F3904" s="103" t="str">
        <f aca="false">IF(OR($C3904="",$D3904=0),"",$E3904/$D3904)</f>
        <v/>
      </c>
      <c r="H3904" s="0" t="str">
        <f aca="false">IF($C3904="","",IF(COUNTIF('مواد المخزون'!$A$2:$A$86,$C3904)&gt;0,"نعم","لا (خارج الجرد)"))</f>
        <v/>
      </c>
    </row>
    <row r="3905" customFormat="false" ht="15" hidden="false" customHeight="false" outlineLevel="0" collapsed="false">
      <c r="A3905" s="102"/>
      <c r="B3905" s="104"/>
      <c r="C3905" s="104"/>
      <c r="F3905" s="103" t="str">
        <f aca="false">IF(OR($C3905="",$D3905=0),"",$E3905/$D3905)</f>
        <v/>
      </c>
      <c r="H3905" s="0" t="str">
        <f aca="false">IF($C3905="","",IF(COUNTIF('مواد المخزون'!$A$2:$A$86,$C3905)&gt;0,"نعم","لا (خارج الجرد)"))</f>
        <v/>
      </c>
    </row>
    <row r="3906" customFormat="false" ht="15" hidden="false" customHeight="false" outlineLevel="0" collapsed="false">
      <c r="A3906" s="102"/>
      <c r="B3906" s="104"/>
      <c r="C3906" s="104"/>
      <c r="F3906" s="103" t="str">
        <f aca="false">IF(OR($C3906="",$D3906=0),"",$E3906/$D3906)</f>
        <v/>
      </c>
      <c r="H3906" s="0" t="str">
        <f aca="false">IF($C3906="","",IF(COUNTIF('مواد المخزون'!$A$2:$A$86,$C3906)&gt;0,"نعم","لا (خارج الجرد)"))</f>
        <v/>
      </c>
    </row>
    <row r="3907" customFormat="false" ht="15" hidden="false" customHeight="false" outlineLevel="0" collapsed="false">
      <c r="A3907" s="102"/>
      <c r="B3907" s="104"/>
      <c r="C3907" s="104"/>
      <c r="F3907" s="103" t="str">
        <f aca="false">IF(OR($C3907="",$D3907=0),"",$E3907/$D3907)</f>
        <v/>
      </c>
      <c r="H3907" s="0" t="str">
        <f aca="false">IF($C3907="","",IF(COUNTIF('مواد المخزون'!$A$2:$A$86,$C3907)&gt;0,"نعم","لا (خارج الجرد)"))</f>
        <v/>
      </c>
    </row>
    <row r="3908" customFormat="false" ht="15" hidden="false" customHeight="false" outlineLevel="0" collapsed="false">
      <c r="A3908" s="102"/>
      <c r="B3908" s="104"/>
      <c r="C3908" s="104"/>
      <c r="F3908" s="103" t="str">
        <f aca="false">IF(OR($C3908="",$D3908=0),"",$E3908/$D3908)</f>
        <v/>
      </c>
      <c r="H3908" s="0" t="str">
        <f aca="false">IF($C3908="","",IF(COUNTIF('مواد المخزون'!$A$2:$A$86,$C3908)&gt;0,"نعم","لا (خارج الجرد)"))</f>
        <v/>
      </c>
    </row>
    <row r="3909" customFormat="false" ht="15" hidden="false" customHeight="false" outlineLevel="0" collapsed="false">
      <c r="A3909" s="102"/>
      <c r="B3909" s="104"/>
      <c r="C3909" s="104"/>
      <c r="F3909" s="103" t="str">
        <f aca="false">IF(OR($C3909="",$D3909=0),"",$E3909/$D3909)</f>
        <v/>
      </c>
      <c r="H3909" s="0" t="str">
        <f aca="false">IF($C3909="","",IF(COUNTIF('مواد المخزون'!$A$2:$A$86,$C3909)&gt;0,"نعم","لا (خارج الجرد)"))</f>
        <v/>
      </c>
    </row>
    <row r="3910" customFormat="false" ht="15" hidden="false" customHeight="false" outlineLevel="0" collapsed="false">
      <c r="A3910" s="102"/>
      <c r="B3910" s="104"/>
      <c r="C3910" s="104"/>
      <c r="F3910" s="103" t="str">
        <f aca="false">IF(OR($C3910="",$D3910=0),"",$E3910/$D3910)</f>
        <v/>
      </c>
      <c r="H3910" s="0" t="str">
        <f aca="false">IF($C3910="","",IF(COUNTIF('مواد المخزون'!$A$2:$A$86,$C3910)&gt;0,"نعم","لا (خارج الجرد)"))</f>
        <v/>
      </c>
    </row>
    <row r="3911" customFormat="false" ht="15" hidden="false" customHeight="false" outlineLevel="0" collapsed="false">
      <c r="A3911" s="102"/>
      <c r="B3911" s="104"/>
      <c r="C3911" s="104"/>
      <c r="F3911" s="103" t="str">
        <f aca="false">IF(OR($C3911="",$D3911=0),"",$E3911/$D3911)</f>
        <v/>
      </c>
      <c r="H3911" s="0" t="str">
        <f aca="false">IF($C3911="","",IF(COUNTIF('مواد المخزون'!$A$2:$A$86,$C3911)&gt;0,"نعم","لا (خارج الجرد)"))</f>
        <v/>
      </c>
    </row>
    <row r="3912" customFormat="false" ht="15" hidden="false" customHeight="false" outlineLevel="0" collapsed="false">
      <c r="A3912" s="102"/>
      <c r="B3912" s="104"/>
      <c r="C3912" s="104"/>
      <c r="F3912" s="103" t="str">
        <f aca="false">IF(OR($C3912="",$D3912=0),"",$E3912/$D3912)</f>
        <v/>
      </c>
      <c r="H3912" s="0" t="str">
        <f aca="false">IF($C3912="","",IF(COUNTIF('مواد المخزون'!$A$2:$A$86,$C3912)&gt;0,"نعم","لا (خارج الجرد)"))</f>
        <v/>
      </c>
    </row>
    <row r="3913" customFormat="false" ht="15" hidden="false" customHeight="false" outlineLevel="0" collapsed="false">
      <c r="A3913" s="102"/>
      <c r="B3913" s="104"/>
      <c r="C3913" s="104"/>
      <c r="F3913" s="103" t="str">
        <f aca="false">IF(OR($C3913="",$D3913=0),"",$E3913/$D3913)</f>
        <v/>
      </c>
      <c r="H3913" s="0" t="str">
        <f aca="false">IF($C3913="","",IF(COUNTIF('مواد المخزون'!$A$2:$A$86,$C3913)&gt;0,"نعم","لا (خارج الجرد)"))</f>
        <v/>
      </c>
    </row>
    <row r="3914" customFormat="false" ht="15" hidden="false" customHeight="false" outlineLevel="0" collapsed="false">
      <c r="A3914" s="102"/>
      <c r="B3914" s="104"/>
      <c r="C3914" s="104"/>
      <c r="F3914" s="103" t="str">
        <f aca="false">IF(OR($C3914="",$D3914=0),"",$E3914/$D3914)</f>
        <v/>
      </c>
      <c r="H3914" s="0" t="str">
        <f aca="false">IF($C3914="","",IF(COUNTIF('مواد المخزون'!$A$2:$A$86,$C3914)&gt;0,"نعم","لا (خارج الجرد)"))</f>
        <v/>
      </c>
    </row>
    <row r="3915" customFormat="false" ht="15" hidden="false" customHeight="false" outlineLevel="0" collapsed="false">
      <c r="A3915" s="102"/>
      <c r="B3915" s="104"/>
      <c r="C3915" s="104"/>
      <c r="F3915" s="103" t="str">
        <f aca="false">IF(OR($C3915="",$D3915=0),"",$E3915/$D3915)</f>
        <v/>
      </c>
      <c r="H3915" s="0" t="str">
        <f aca="false">IF($C3915="","",IF(COUNTIF('مواد المخزون'!$A$2:$A$86,$C3915)&gt;0,"نعم","لا (خارج الجرد)"))</f>
        <v/>
      </c>
    </row>
    <row r="3916" customFormat="false" ht="15" hidden="false" customHeight="false" outlineLevel="0" collapsed="false">
      <c r="A3916" s="102"/>
      <c r="B3916" s="104"/>
      <c r="C3916" s="104"/>
      <c r="F3916" s="103" t="str">
        <f aca="false">IF(OR($C3916="",$D3916=0),"",$E3916/$D3916)</f>
        <v/>
      </c>
      <c r="H3916" s="0" t="str">
        <f aca="false">IF($C3916="","",IF(COUNTIF('مواد المخزون'!$A$2:$A$86,$C3916)&gt;0,"نعم","لا (خارج الجرد)"))</f>
        <v/>
      </c>
    </row>
    <row r="3917" customFormat="false" ht="15" hidden="false" customHeight="false" outlineLevel="0" collapsed="false">
      <c r="A3917" s="102"/>
      <c r="B3917" s="104"/>
      <c r="C3917" s="104"/>
      <c r="F3917" s="103" t="str">
        <f aca="false">IF(OR($C3917="",$D3917=0),"",$E3917/$D3917)</f>
        <v/>
      </c>
      <c r="H3917" s="0" t="str">
        <f aca="false">IF($C3917="","",IF(COUNTIF('مواد المخزون'!$A$2:$A$86,$C3917)&gt;0,"نعم","لا (خارج الجرد)"))</f>
        <v/>
      </c>
    </row>
    <row r="3918" customFormat="false" ht="15" hidden="false" customHeight="false" outlineLevel="0" collapsed="false">
      <c r="A3918" s="102"/>
      <c r="B3918" s="104"/>
      <c r="C3918" s="104"/>
      <c r="F3918" s="103" t="str">
        <f aca="false">IF(OR($C3918="",$D3918=0),"",$E3918/$D3918)</f>
        <v/>
      </c>
      <c r="H3918" s="0" t="str">
        <f aca="false">IF($C3918="","",IF(COUNTIF('مواد المخزون'!$A$2:$A$86,$C3918)&gt;0,"نعم","لا (خارج الجرد)"))</f>
        <v/>
      </c>
    </row>
    <row r="3919" customFormat="false" ht="15" hidden="false" customHeight="false" outlineLevel="0" collapsed="false">
      <c r="A3919" s="102"/>
      <c r="B3919" s="104"/>
      <c r="C3919" s="104"/>
      <c r="F3919" s="103" t="str">
        <f aca="false">IF(OR($C3919="",$D3919=0),"",$E3919/$D3919)</f>
        <v/>
      </c>
      <c r="H3919" s="0" t="str">
        <f aca="false">IF($C3919="","",IF(COUNTIF('مواد المخزون'!$A$2:$A$86,$C3919)&gt;0,"نعم","لا (خارج الجرد)"))</f>
        <v/>
      </c>
    </row>
    <row r="3920" customFormat="false" ht="15" hidden="false" customHeight="false" outlineLevel="0" collapsed="false">
      <c r="A3920" s="102"/>
      <c r="B3920" s="104"/>
      <c r="C3920" s="104"/>
      <c r="F3920" s="103" t="str">
        <f aca="false">IF(OR($C3920="",$D3920=0),"",$E3920/$D3920)</f>
        <v/>
      </c>
      <c r="H3920" s="0" t="str">
        <f aca="false">IF($C3920="","",IF(COUNTIF('مواد المخزون'!$A$2:$A$86,$C3920)&gt;0,"نعم","لا (خارج الجرد)"))</f>
        <v/>
      </c>
    </row>
    <row r="3921" customFormat="false" ht="15" hidden="false" customHeight="false" outlineLevel="0" collapsed="false">
      <c r="A3921" s="102"/>
      <c r="B3921" s="104"/>
      <c r="C3921" s="104"/>
      <c r="F3921" s="103" t="str">
        <f aca="false">IF(OR($C3921="",$D3921=0),"",$E3921/$D3921)</f>
        <v/>
      </c>
      <c r="H3921" s="0" t="str">
        <f aca="false">IF($C3921="","",IF(COUNTIF('مواد المخزون'!$A$2:$A$86,$C3921)&gt;0,"نعم","لا (خارج الجرد)"))</f>
        <v/>
      </c>
    </row>
    <row r="3922" customFormat="false" ht="15" hidden="false" customHeight="false" outlineLevel="0" collapsed="false">
      <c r="A3922" s="102"/>
      <c r="B3922" s="104"/>
      <c r="C3922" s="104"/>
      <c r="F3922" s="103" t="str">
        <f aca="false">IF(OR($C3922="",$D3922=0),"",$E3922/$D3922)</f>
        <v/>
      </c>
      <c r="H3922" s="0" t="str">
        <f aca="false">IF($C3922="","",IF(COUNTIF('مواد المخزون'!$A$2:$A$86,$C3922)&gt;0,"نعم","لا (خارج الجرد)"))</f>
        <v/>
      </c>
    </row>
    <row r="3923" customFormat="false" ht="15" hidden="false" customHeight="false" outlineLevel="0" collapsed="false">
      <c r="A3923" s="102"/>
      <c r="B3923" s="104"/>
      <c r="C3923" s="104"/>
      <c r="F3923" s="103" t="str">
        <f aca="false">IF(OR($C3923="",$D3923=0),"",$E3923/$D3923)</f>
        <v/>
      </c>
      <c r="H3923" s="0" t="str">
        <f aca="false">IF($C3923="","",IF(COUNTIF('مواد المخزون'!$A$2:$A$86,$C3923)&gt;0,"نعم","لا (خارج الجرد)"))</f>
        <v/>
      </c>
    </row>
    <row r="3924" customFormat="false" ht="15" hidden="false" customHeight="false" outlineLevel="0" collapsed="false">
      <c r="A3924" s="102"/>
      <c r="B3924" s="104"/>
      <c r="C3924" s="104"/>
      <c r="F3924" s="103" t="str">
        <f aca="false">IF(OR($C3924="",$D3924=0),"",$E3924/$D3924)</f>
        <v/>
      </c>
      <c r="H3924" s="0" t="str">
        <f aca="false">IF($C3924="","",IF(COUNTIF('مواد المخزون'!$A$2:$A$86,$C3924)&gt;0,"نعم","لا (خارج الجرد)"))</f>
        <v/>
      </c>
    </row>
    <row r="3925" customFormat="false" ht="15" hidden="false" customHeight="false" outlineLevel="0" collapsed="false">
      <c r="A3925" s="102"/>
      <c r="B3925" s="104"/>
      <c r="C3925" s="104"/>
      <c r="F3925" s="103" t="str">
        <f aca="false">IF(OR($C3925="",$D3925=0),"",$E3925/$D3925)</f>
        <v/>
      </c>
      <c r="H3925" s="0" t="str">
        <f aca="false">IF($C3925="","",IF(COUNTIF('مواد المخزون'!$A$2:$A$86,$C3925)&gt;0,"نعم","لا (خارج الجرد)"))</f>
        <v/>
      </c>
    </row>
    <row r="3926" customFormat="false" ht="15" hidden="false" customHeight="false" outlineLevel="0" collapsed="false">
      <c r="A3926" s="102"/>
      <c r="B3926" s="104"/>
      <c r="C3926" s="104"/>
      <c r="F3926" s="103" t="str">
        <f aca="false">IF(OR($C3926="",$D3926=0),"",$E3926/$D3926)</f>
        <v/>
      </c>
      <c r="H3926" s="0" t="str">
        <f aca="false">IF($C3926="","",IF(COUNTIF('مواد المخزون'!$A$2:$A$86,$C3926)&gt;0,"نعم","لا (خارج الجرد)"))</f>
        <v/>
      </c>
    </row>
    <row r="3927" customFormat="false" ht="15" hidden="false" customHeight="false" outlineLevel="0" collapsed="false">
      <c r="A3927" s="102"/>
      <c r="B3927" s="104"/>
      <c r="C3927" s="104"/>
      <c r="F3927" s="103" t="str">
        <f aca="false">IF(OR($C3927="",$D3927=0),"",$E3927/$D3927)</f>
        <v/>
      </c>
      <c r="H3927" s="0" t="str">
        <f aca="false">IF($C3927="","",IF(COUNTIF('مواد المخزون'!$A$2:$A$86,$C3927)&gt;0,"نعم","لا (خارج الجرد)"))</f>
        <v/>
      </c>
    </row>
    <row r="3928" customFormat="false" ht="15" hidden="false" customHeight="false" outlineLevel="0" collapsed="false">
      <c r="A3928" s="102"/>
      <c r="B3928" s="104"/>
      <c r="C3928" s="104"/>
      <c r="F3928" s="103" t="str">
        <f aca="false">IF(OR($C3928="",$D3928=0),"",$E3928/$D3928)</f>
        <v/>
      </c>
      <c r="H3928" s="0" t="str">
        <f aca="false">IF($C3928="","",IF(COUNTIF('مواد المخزون'!$A$2:$A$86,$C3928)&gt;0,"نعم","لا (خارج الجرد)"))</f>
        <v/>
      </c>
    </row>
    <row r="3929" customFormat="false" ht="15" hidden="false" customHeight="false" outlineLevel="0" collapsed="false">
      <c r="A3929" s="102"/>
      <c r="B3929" s="104"/>
      <c r="C3929" s="104"/>
      <c r="F3929" s="103" t="str">
        <f aca="false">IF(OR($C3929="",$D3929=0),"",$E3929/$D3929)</f>
        <v/>
      </c>
      <c r="H3929" s="0" t="str">
        <f aca="false">IF($C3929="","",IF(COUNTIF('مواد المخزون'!$A$2:$A$86,$C3929)&gt;0,"نعم","لا (خارج الجرد)"))</f>
        <v/>
      </c>
    </row>
    <row r="3930" customFormat="false" ht="15" hidden="false" customHeight="false" outlineLevel="0" collapsed="false">
      <c r="A3930" s="102"/>
      <c r="B3930" s="104"/>
      <c r="C3930" s="104"/>
      <c r="F3930" s="103" t="str">
        <f aca="false">IF(OR($C3930="",$D3930=0),"",$E3930/$D3930)</f>
        <v/>
      </c>
      <c r="H3930" s="0" t="str">
        <f aca="false">IF($C3930="","",IF(COUNTIF('مواد المخزون'!$A$2:$A$86,$C3930)&gt;0,"نعم","لا (خارج الجرد)"))</f>
        <v/>
      </c>
    </row>
    <row r="3931" customFormat="false" ht="15" hidden="false" customHeight="false" outlineLevel="0" collapsed="false">
      <c r="A3931" s="102"/>
      <c r="B3931" s="104"/>
      <c r="C3931" s="104"/>
      <c r="F3931" s="103" t="str">
        <f aca="false">IF(OR($C3931="",$D3931=0),"",$E3931/$D3931)</f>
        <v/>
      </c>
      <c r="H3931" s="0" t="str">
        <f aca="false">IF($C3931="","",IF(COUNTIF('مواد المخزون'!$A$2:$A$86,$C3931)&gt;0,"نعم","لا (خارج الجرد)"))</f>
        <v/>
      </c>
    </row>
    <row r="3932" customFormat="false" ht="15" hidden="false" customHeight="false" outlineLevel="0" collapsed="false">
      <c r="A3932" s="102"/>
      <c r="B3932" s="104"/>
      <c r="C3932" s="104"/>
      <c r="F3932" s="103" t="str">
        <f aca="false">IF(OR($C3932="",$D3932=0),"",$E3932/$D3932)</f>
        <v/>
      </c>
      <c r="H3932" s="0" t="str">
        <f aca="false">IF($C3932="","",IF(COUNTIF('مواد المخزون'!$A$2:$A$86,$C3932)&gt;0,"نعم","لا (خارج الجرد)"))</f>
        <v/>
      </c>
    </row>
    <row r="3933" customFormat="false" ht="15" hidden="false" customHeight="false" outlineLevel="0" collapsed="false">
      <c r="A3933" s="102"/>
      <c r="B3933" s="104"/>
      <c r="C3933" s="104"/>
      <c r="F3933" s="103" t="str">
        <f aca="false">IF(OR($C3933="",$D3933=0),"",$E3933/$D3933)</f>
        <v/>
      </c>
      <c r="H3933" s="0" t="str">
        <f aca="false">IF($C3933="","",IF(COUNTIF('مواد المخزون'!$A$2:$A$86,$C3933)&gt;0,"نعم","لا (خارج الجرد)"))</f>
        <v/>
      </c>
    </row>
    <row r="3934" customFormat="false" ht="15" hidden="false" customHeight="false" outlineLevel="0" collapsed="false">
      <c r="A3934" s="102"/>
      <c r="B3934" s="104"/>
      <c r="C3934" s="104"/>
      <c r="F3934" s="103" t="str">
        <f aca="false">IF(OR($C3934="",$D3934=0),"",$E3934/$D3934)</f>
        <v/>
      </c>
      <c r="H3934" s="0" t="str">
        <f aca="false">IF($C3934="","",IF(COUNTIF('مواد المخزون'!$A$2:$A$86,$C3934)&gt;0,"نعم","لا (خارج الجرد)"))</f>
        <v/>
      </c>
    </row>
    <row r="3935" customFormat="false" ht="15" hidden="false" customHeight="false" outlineLevel="0" collapsed="false">
      <c r="A3935" s="102"/>
      <c r="B3935" s="104"/>
      <c r="C3935" s="104"/>
      <c r="F3935" s="103" t="str">
        <f aca="false">IF(OR($C3935="",$D3935=0),"",$E3935/$D3935)</f>
        <v/>
      </c>
      <c r="H3935" s="0" t="str">
        <f aca="false">IF($C3935="","",IF(COUNTIF('مواد المخزون'!$A$2:$A$86,$C3935)&gt;0,"نعم","لا (خارج الجرد)"))</f>
        <v/>
      </c>
    </row>
    <row r="3936" customFormat="false" ht="15" hidden="false" customHeight="false" outlineLevel="0" collapsed="false">
      <c r="A3936" s="102"/>
      <c r="B3936" s="104"/>
      <c r="C3936" s="104"/>
      <c r="F3936" s="103" t="str">
        <f aca="false">IF(OR($C3936="",$D3936=0),"",$E3936/$D3936)</f>
        <v/>
      </c>
      <c r="H3936" s="0" t="str">
        <f aca="false">IF($C3936="","",IF(COUNTIF('مواد المخزون'!$A$2:$A$86,$C3936)&gt;0,"نعم","لا (خارج الجرد)"))</f>
        <v/>
      </c>
    </row>
    <row r="3937" customFormat="false" ht="15" hidden="false" customHeight="false" outlineLevel="0" collapsed="false">
      <c r="A3937" s="102"/>
      <c r="B3937" s="104"/>
      <c r="C3937" s="104"/>
      <c r="F3937" s="103" t="str">
        <f aca="false">IF(OR($C3937="",$D3937=0),"",$E3937/$D3937)</f>
        <v/>
      </c>
      <c r="H3937" s="0" t="str">
        <f aca="false">IF($C3937="","",IF(COUNTIF('مواد المخزون'!$A$2:$A$86,$C3937)&gt;0,"نعم","لا (خارج الجرد)"))</f>
        <v/>
      </c>
    </row>
    <row r="3938" customFormat="false" ht="15" hidden="false" customHeight="false" outlineLevel="0" collapsed="false">
      <c r="A3938" s="102"/>
      <c r="B3938" s="104"/>
      <c r="C3938" s="104"/>
      <c r="F3938" s="103" t="str">
        <f aca="false">IF(OR($C3938="",$D3938=0),"",$E3938/$D3938)</f>
        <v/>
      </c>
      <c r="H3938" s="0" t="str">
        <f aca="false">IF($C3938="","",IF(COUNTIF('مواد المخزون'!$A$2:$A$86,$C3938)&gt;0,"نعم","لا (خارج الجرد)"))</f>
        <v/>
      </c>
    </row>
    <row r="3939" customFormat="false" ht="15" hidden="false" customHeight="false" outlineLevel="0" collapsed="false">
      <c r="A3939" s="102"/>
      <c r="B3939" s="104"/>
      <c r="C3939" s="104"/>
      <c r="F3939" s="103" t="str">
        <f aca="false">IF(OR($C3939="",$D3939=0),"",$E3939/$D3939)</f>
        <v/>
      </c>
      <c r="H3939" s="0" t="str">
        <f aca="false">IF($C3939="","",IF(COUNTIF('مواد المخزون'!$A$2:$A$86,$C3939)&gt;0,"نعم","لا (خارج الجرد)"))</f>
        <v/>
      </c>
    </row>
    <row r="3940" customFormat="false" ht="15" hidden="false" customHeight="false" outlineLevel="0" collapsed="false">
      <c r="A3940" s="102"/>
      <c r="B3940" s="104"/>
      <c r="C3940" s="104"/>
      <c r="F3940" s="103" t="str">
        <f aca="false">IF(OR($C3940="",$D3940=0),"",$E3940/$D3940)</f>
        <v/>
      </c>
      <c r="H3940" s="0" t="str">
        <f aca="false">IF($C3940="","",IF(COUNTIF('مواد المخزون'!$A$2:$A$86,$C3940)&gt;0,"نعم","لا (خارج الجرد)"))</f>
        <v/>
      </c>
    </row>
    <row r="3941" customFormat="false" ht="15" hidden="false" customHeight="false" outlineLevel="0" collapsed="false">
      <c r="A3941" s="102"/>
      <c r="B3941" s="104"/>
      <c r="C3941" s="104"/>
      <c r="F3941" s="103" t="str">
        <f aca="false">IF(OR($C3941="",$D3941=0),"",$E3941/$D3941)</f>
        <v/>
      </c>
      <c r="H3941" s="0" t="str">
        <f aca="false">IF($C3941="","",IF(COUNTIF('مواد المخزون'!$A$2:$A$86,$C3941)&gt;0,"نعم","لا (خارج الجرد)"))</f>
        <v/>
      </c>
    </row>
    <row r="3942" customFormat="false" ht="15" hidden="false" customHeight="false" outlineLevel="0" collapsed="false">
      <c r="A3942" s="102"/>
      <c r="B3942" s="104"/>
      <c r="C3942" s="104"/>
      <c r="F3942" s="103" t="str">
        <f aca="false">IF(OR($C3942="",$D3942=0),"",$E3942/$D3942)</f>
        <v/>
      </c>
      <c r="H3942" s="0" t="str">
        <f aca="false">IF($C3942="","",IF(COUNTIF('مواد المخزون'!$A$2:$A$86,$C3942)&gt;0,"نعم","لا (خارج الجرد)"))</f>
        <v/>
      </c>
    </row>
    <row r="3943" customFormat="false" ht="15" hidden="false" customHeight="false" outlineLevel="0" collapsed="false">
      <c r="A3943" s="102"/>
      <c r="B3943" s="104"/>
      <c r="C3943" s="104"/>
      <c r="F3943" s="103" t="str">
        <f aca="false">IF(OR($C3943="",$D3943=0),"",$E3943/$D3943)</f>
        <v/>
      </c>
      <c r="H3943" s="0" t="str">
        <f aca="false">IF($C3943="","",IF(COUNTIF('مواد المخزون'!$A$2:$A$86,$C3943)&gt;0,"نعم","لا (خارج الجرد)"))</f>
        <v/>
      </c>
    </row>
    <row r="3944" customFormat="false" ht="15" hidden="false" customHeight="false" outlineLevel="0" collapsed="false">
      <c r="A3944" s="102"/>
      <c r="B3944" s="104"/>
      <c r="C3944" s="104"/>
      <c r="F3944" s="103" t="str">
        <f aca="false">IF(OR($C3944="",$D3944=0),"",$E3944/$D3944)</f>
        <v/>
      </c>
      <c r="H3944" s="0" t="str">
        <f aca="false">IF($C3944="","",IF(COUNTIF('مواد المخزون'!$A$2:$A$86,$C3944)&gt;0,"نعم","لا (خارج الجرد)"))</f>
        <v/>
      </c>
    </row>
    <row r="3945" customFormat="false" ht="15" hidden="false" customHeight="false" outlineLevel="0" collapsed="false">
      <c r="A3945" s="102"/>
      <c r="B3945" s="104"/>
      <c r="C3945" s="104"/>
      <c r="F3945" s="103" t="str">
        <f aca="false">IF(OR($C3945="",$D3945=0),"",$E3945/$D3945)</f>
        <v/>
      </c>
      <c r="H3945" s="0" t="str">
        <f aca="false">IF($C3945="","",IF(COUNTIF('مواد المخزون'!$A$2:$A$86,$C3945)&gt;0,"نعم","لا (خارج الجرد)"))</f>
        <v/>
      </c>
    </row>
    <row r="3946" customFormat="false" ht="15" hidden="false" customHeight="false" outlineLevel="0" collapsed="false">
      <c r="A3946" s="102"/>
      <c r="B3946" s="104"/>
      <c r="C3946" s="104"/>
      <c r="F3946" s="103" t="str">
        <f aca="false">IF(OR($C3946="",$D3946=0),"",$E3946/$D3946)</f>
        <v/>
      </c>
      <c r="H3946" s="0" t="str">
        <f aca="false">IF($C3946="","",IF(COUNTIF('مواد المخزون'!$A$2:$A$86,$C3946)&gt;0,"نعم","لا (خارج الجرد)"))</f>
        <v/>
      </c>
    </row>
    <row r="3947" customFormat="false" ht="15" hidden="false" customHeight="false" outlineLevel="0" collapsed="false">
      <c r="A3947" s="102"/>
      <c r="B3947" s="104"/>
      <c r="C3947" s="104"/>
      <c r="F3947" s="103" t="str">
        <f aca="false">IF(OR($C3947="",$D3947=0),"",$E3947/$D3947)</f>
        <v/>
      </c>
      <c r="H3947" s="0" t="str">
        <f aca="false">IF($C3947="","",IF(COUNTIF('مواد المخزون'!$A$2:$A$86,$C3947)&gt;0,"نعم","لا (خارج الجرد)"))</f>
        <v/>
      </c>
    </row>
    <row r="3948" customFormat="false" ht="15" hidden="false" customHeight="false" outlineLevel="0" collapsed="false">
      <c r="A3948" s="102"/>
      <c r="B3948" s="104"/>
      <c r="C3948" s="104"/>
      <c r="F3948" s="103" t="str">
        <f aca="false">IF(OR($C3948="",$D3948=0),"",$E3948/$D3948)</f>
        <v/>
      </c>
      <c r="H3948" s="0" t="str">
        <f aca="false">IF($C3948="","",IF(COUNTIF('مواد المخزون'!$A$2:$A$86,$C3948)&gt;0,"نعم","لا (خارج الجرد)"))</f>
        <v/>
      </c>
    </row>
    <row r="3949" customFormat="false" ht="15" hidden="false" customHeight="false" outlineLevel="0" collapsed="false">
      <c r="A3949" s="102"/>
      <c r="B3949" s="104"/>
      <c r="C3949" s="104"/>
      <c r="F3949" s="103" t="str">
        <f aca="false">IF(OR($C3949="",$D3949=0),"",$E3949/$D3949)</f>
        <v/>
      </c>
      <c r="H3949" s="0" t="str">
        <f aca="false">IF($C3949="","",IF(COUNTIF('مواد المخزون'!$A$2:$A$86,$C3949)&gt;0,"نعم","لا (خارج الجرد)"))</f>
        <v/>
      </c>
    </row>
    <row r="3950" customFormat="false" ht="15" hidden="false" customHeight="false" outlineLevel="0" collapsed="false">
      <c r="A3950" s="102"/>
      <c r="B3950" s="104"/>
      <c r="C3950" s="104"/>
      <c r="F3950" s="103" t="str">
        <f aca="false">IF(OR($C3950="",$D3950=0),"",$E3950/$D3950)</f>
        <v/>
      </c>
      <c r="H3950" s="0" t="str">
        <f aca="false">IF($C3950="","",IF(COUNTIF('مواد المخزون'!$A$2:$A$86,$C3950)&gt;0,"نعم","لا (خارج الجرد)"))</f>
        <v/>
      </c>
    </row>
    <row r="3951" customFormat="false" ht="15" hidden="false" customHeight="false" outlineLevel="0" collapsed="false">
      <c r="A3951" s="102"/>
      <c r="B3951" s="104"/>
      <c r="C3951" s="104"/>
      <c r="F3951" s="103" t="str">
        <f aca="false">IF(OR($C3951="",$D3951=0),"",$E3951/$D3951)</f>
        <v/>
      </c>
      <c r="H3951" s="0" t="str">
        <f aca="false">IF($C3951="","",IF(COUNTIF('مواد المخزون'!$A$2:$A$86,$C3951)&gt;0,"نعم","لا (خارج الجرد)"))</f>
        <v/>
      </c>
    </row>
    <row r="3952" customFormat="false" ht="15" hidden="false" customHeight="false" outlineLevel="0" collapsed="false">
      <c r="A3952" s="102"/>
      <c r="B3952" s="104"/>
      <c r="C3952" s="104"/>
      <c r="F3952" s="103" t="str">
        <f aca="false">IF(OR($C3952="",$D3952=0),"",$E3952/$D3952)</f>
        <v/>
      </c>
      <c r="H3952" s="0" t="str">
        <f aca="false">IF($C3952="","",IF(COUNTIF('مواد المخزون'!$A$2:$A$86,$C3952)&gt;0,"نعم","لا (خارج الجرد)"))</f>
        <v/>
      </c>
    </row>
    <row r="3953" customFormat="false" ht="15" hidden="false" customHeight="false" outlineLevel="0" collapsed="false">
      <c r="A3953" s="102"/>
      <c r="B3953" s="104"/>
      <c r="C3953" s="104"/>
      <c r="F3953" s="103" t="str">
        <f aca="false">IF(OR($C3953="",$D3953=0),"",$E3953/$D3953)</f>
        <v/>
      </c>
      <c r="H3953" s="0" t="str">
        <f aca="false">IF($C3953="","",IF(COUNTIF('مواد المخزون'!$A$2:$A$86,$C3953)&gt;0,"نعم","لا (خارج الجرد)"))</f>
        <v/>
      </c>
    </row>
    <row r="3954" customFormat="false" ht="15" hidden="false" customHeight="false" outlineLevel="0" collapsed="false">
      <c r="A3954" s="102"/>
      <c r="B3954" s="104"/>
      <c r="C3954" s="104"/>
      <c r="F3954" s="103" t="str">
        <f aca="false">IF(OR($C3954="",$D3954=0),"",$E3954/$D3954)</f>
        <v/>
      </c>
      <c r="H3954" s="0" t="str">
        <f aca="false">IF($C3954="","",IF(COUNTIF('مواد المخزون'!$A$2:$A$86,$C3954)&gt;0,"نعم","لا (خارج الجرد)"))</f>
        <v/>
      </c>
    </row>
    <row r="3955" customFormat="false" ht="15" hidden="false" customHeight="false" outlineLevel="0" collapsed="false">
      <c r="A3955" s="102"/>
      <c r="B3955" s="104"/>
      <c r="C3955" s="104"/>
      <c r="F3955" s="103" t="str">
        <f aca="false">IF(OR($C3955="",$D3955=0),"",$E3955/$D3955)</f>
        <v/>
      </c>
      <c r="H3955" s="0" t="str">
        <f aca="false">IF($C3955="","",IF(COUNTIF('مواد المخزون'!$A$2:$A$86,$C3955)&gt;0,"نعم","لا (خارج الجرد)"))</f>
        <v/>
      </c>
    </row>
    <row r="3956" customFormat="false" ht="15" hidden="false" customHeight="false" outlineLevel="0" collapsed="false">
      <c r="A3956" s="102"/>
      <c r="B3956" s="104"/>
      <c r="C3956" s="104"/>
      <c r="F3956" s="103" t="str">
        <f aca="false">IF(OR($C3956="",$D3956=0),"",$E3956/$D3956)</f>
        <v/>
      </c>
      <c r="H3956" s="0" t="str">
        <f aca="false">IF($C3956="","",IF(COUNTIF('مواد المخزون'!$A$2:$A$86,$C3956)&gt;0,"نعم","لا (خارج الجرد)"))</f>
        <v/>
      </c>
    </row>
    <row r="3957" customFormat="false" ht="15" hidden="false" customHeight="false" outlineLevel="0" collapsed="false">
      <c r="A3957" s="102"/>
      <c r="B3957" s="104"/>
      <c r="C3957" s="104"/>
      <c r="F3957" s="103" t="str">
        <f aca="false">IF(OR($C3957="",$D3957=0),"",$E3957/$D3957)</f>
        <v/>
      </c>
      <c r="H3957" s="0" t="str">
        <f aca="false">IF($C3957="","",IF(COUNTIF('مواد المخزون'!$A$2:$A$86,$C3957)&gt;0,"نعم","لا (خارج الجرد)"))</f>
        <v/>
      </c>
    </row>
    <row r="3958" customFormat="false" ht="15" hidden="false" customHeight="false" outlineLevel="0" collapsed="false">
      <c r="A3958" s="102"/>
      <c r="B3958" s="104"/>
      <c r="C3958" s="104"/>
      <c r="F3958" s="103" t="str">
        <f aca="false">IF(OR($C3958="",$D3958=0),"",$E3958/$D3958)</f>
        <v/>
      </c>
      <c r="H3958" s="0" t="str">
        <f aca="false">IF($C3958="","",IF(COUNTIF('مواد المخزون'!$A$2:$A$86,$C3958)&gt;0,"نعم","لا (خارج الجرد)"))</f>
        <v/>
      </c>
    </row>
    <row r="3959" customFormat="false" ht="15" hidden="false" customHeight="false" outlineLevel="0" collapsed="false">
      <c r="A3959" s="102"/>
      <c r="B3959" s="104"/>
      <c r="C3959" s="104"/>
      <c r="F3959" s="103" t="str">
        <f aca="false">IF(OR($C3959="",$D3959=0),"",$E3959/$D3959)</f>
        <v/>
      </c>
      <c r="H3959" s="0" t="str">
        <f aca="false">IF($C3959="","",IF(COUNTIF('مواد المخزون'!$A$2:$A$86,$C3959)&gt;0,"نعم","لا (خارج الجرد)"))</f>
        <v/>
      </c>
    </row>
    <row r="3960" customFormat="false" ht="15" hidden="false" customHeight="false" outlineLevel="0" collapsed="false">
      <c r="A3960" s="102"/>
      <c r="B3960" s="104"/>
      <c r="C3960" s="104"/>
      <c r="F3960" s="103" t="str">
        <f aca="false">IF(OR($C3960="",$D3960=0),"",$E3960/$D3960)</f>
        <v/>
      </c>
      <c r="H3960" s="0" t="str">
        <f aca="false">IF($C3960="","",IF(COUNTIF('مواد المخزون'!$A$2:$A$86,$C3960)&gt;0,"نعم","لا (خارج الجرد)"))</f>
        <v/>
      </c>
    </row>
    <row r="3961" customFormat="false" ht="15" hidden="false" customHeight="false" outlineLevel="0" collapsed="false">
      <c r="A3961" s="102"/>
      <c r="B3961" s="104"/>
      <c r="C3961" s="104"/>
      <c r="F3961" s="103" t="str">
        <f aca="false">IF(OR($C3961="",$D3961=0),"",$E3961/$D3961)</f>
        <v/>
      </c>
      <c r="H3961" s="0" t="str">
        <f aca="false">IF($C3961="","",IF(COUNTIF('مواد المخزون'!$A$2:$A$86,$C3961)&gt;0,"نعم","لا (خارج الجرد)"))</f>
        <v/>
      </c>
    </row>
    <row r="3962" customFormat="false" ht="15" hidden="false" customHeight="false" outlineLevel="0" collapsed="false">
      <c r="A3962" s="102"/>
      <c r="B3962" s="104"/>
      <c r="C3962" s="104"/>
      <c r="F3962" s="103" t="str">
        <f aca="false">IF(OR($C3962="",$D3962=0),"",$E3962/$D3962)</f>
        <v/>
      </c>
      <c r="H3962" s="0" t="str">
        <f aca="false">IF($C3962="","",IF(COUNTIF('مواد المخزون'!$A$2:$A$86,$C3962)&gt;0,"نعم","لا (خارج الجرد)"))</f>
        <v/>
      </c>
    </row>
    <row r="3963" customFormat="false" ht="15" hidden="false" customHeight="false" outlineLevel="0" collapsed="false">
      <c r="A3963" s="102"/>
      <c r="B3963" s="104"/>
      <c r="C3963" s="104"/>
      <c r="F3963" s="103" t="str">
        <f aca="false">IF(OR($C3963="",$D3963=0),"",$E3963/$D3963)</f>
        <v/>
      </c>
      <c r="H3963" s="0" t="str">
        <f aca="false">IF($C3963="","",IF(COUNTIF('مواد المخزون'!$A$2:$A$86,$C3963)&gt;0,"نعم","لا (خارج الجرد)"))</f>
        <v/>
      </c>
    </row>
    <row r="3964" customFormat="false" ht="15" hidden="false" customHeight="false" outlineLevel="0" collapsed="false">
      <c r="A3964" s="102"/>
      <c r="B3964" s="104"/>
      <c r="C3964" s="104"/>
      <c r="F3964" s="103" t="str">
        <f aca="false">IF(OR($C3964="",$D3964=0),"",$E3964/$D3964)</f>
        <v/>
      </c>
      <c r="H3964" s="0" t="str">
        <f aca="false">IF($C3964="","",IF(COUNTIF('مواد المخزون'!$A$2:$A$86,$C3964)&gt;0,"نعم","لا (خارج الجرد)"))</f>
        <v/>
      </c>
    </row>
    <row r="3965" customFormat="false" ht="15" hidden="false" customHeight="false" outlineLevel="0" collapsed="false">
      <c r="A3965" s="102"/>
      <c r="B3965" s="104"/>
      <c r="C3965" s="104"/>
      <c r="F3965" s="103" t="str">
        <f aca="false">IF(OR($C3965="",$D3965=0),"",$E3965/$D3965)</f>
        <v/>
      </c>
      <c r="H3965" s="0" t="str">
        <f aca="false">IF($C3965="","",IF(COUNTIF('مواد المخزون'!$A$2:$A$86,$C3965)&gt;0,"نعم","لا (خارج الجرد)"))</f>
        <v/>
      </c>
    </row>
    <row r="3966" customFormat="false" ht="15" hidden="false" customHeight="false" outlineLevel="0" collapsed="false">
      <c r="A3966" s="102"/>
      <c r="B3966" s="104"/>
      <c r="C3966" s="104"/>
      <c r="F3966" s="103" t="str">
        <f aca="false">IF(OR($C3966="",$D3966=0),"",$E3966/$D3966)</f>
        <v/>
      </c>
      <c r="H3966" s="0" t="str">
        <f aca="false">IF($C3966="","",IF(COUNTIF('مواد المخزون'!$A$2:$A$86,$C3966)&gt;0,"نعم","لا (خارج الجرد)"))</f>
        <v/>
      </c>
    </row>
    <row r="3967" customFormat="false" ht="15" hidden="false" customHeight="false" outlineLevel="0" collapsed="false">
      <c r="A3967" s="102"/>
      <c r="B3967" s="104"/>
      <c r="C3967" s="104"/>
      <c r="F3967" s="103" t="str">
        <f aca="false">IF(OR($C3967="",$D3967=0),"",$E3967/$D3967)</f>
        <v/>
      </c>
      <c r="H3967" s="0" t="str">
        <f aca="false">IF($C3967="","",IF(COUNTIF('مواد المخزون'!$A$2:$A$86,$C3967)&gt;0,"نعم","لا (خارج الجرد)"))</f>
        <v/>
      </c>
    </row>
    <row r="3968" customFormat="false" ht="15" hidden="false" customHeight="false" outlineLevel="0" collapsed="false">
      <c r="A3968" s="102"/>
      <c r="B3968" s="104"/>
      <c r="C3968" s="104"/>
      <c r="F3968" s="103" t="str">
        <f aca="false">IF(OR($C3968="",$D3968=0),"",$E3968/$D3968)</f>
        <v/>
      </c>
      <c r="H3968" s="0" t="str">
        <f aca="false">IF($C3968="","",IF(COUNTIF('مواد المخزون'!$A$2:$A$86,$C3968)&gt;0,"نعم","لا (خارج الجرد)"))</f>
        <v/>
      </c>
    </row>
    <row r="3969" customFormat="false" ht="15" hidden="false" customHeight="false" outlineLevel="0" collapsed="false">
      <c r="A3969" s="102"/>
      <c r="B3969" s="104"/>
      <c r="C3969" s="104"/>
      <c r="F3969" s="103" t="str">
        <f aca="false">IF(OR($C3969="",$D3969=0),"",$E3969/$D3969)</f>
        <v/>
      </c>
      <c r="H3969" s="0" t="str">
        <f aca="false">IF($C3969="","",IF(COUNTIF('مواد المخزون'!$A$2:$A$86,$C3969)&gt;0,"نعم","لا (خارج الجرد)"))</f>
        <v/>
      </c>
    </row>
    <row r="3970" customFormat="false" ht="15" hidden="false" customHeight="false" outlineLevel="0" collapsed="false">
      <c r="A3970" s="102"/>
      <c r="B3970" s="104"/>
      <c r="C3970" s="104"/>
      <c r="F3970" s="103" t="str">
        <f aca="false">IF(OR($C3970="",$D3970=0),"",$E3970/$D3970)</f>
        <v/>
      </c>
      <c r="H3970" s="0" t="str">
        <f aca="false">IF($C3970="","",IF(COUNTIF('مواد المخزون'!$A$2:$A$86,$C3970)&gt;0,"نعم","لا (خارج الجرد)"))</f>
        <v/>
      </c>
    </row>
    <row r="3971" customFormat="false" ht="15" hidden="false" customHeight="false" outlineLevel="0" collapsed="false">
      <c r="A3971" s="102"/>
      <c r="B3971" s="104"/>
      <c r="C3971" s="104"/>
      <c r="F3971" s="103" t="str">
        <f aca="false">IF(OR($C3971="",$D3971=0),"",$E3971/$D3971)</f>
        <v/>
      </c>
      <c r="H3971" s="0" t="str">
        <f aca="false">IF($C3971="","",IF(COUNTIF('مواد المخزون'!$A$2:$A$86,$C3971)&gt;0,"نعم","لا (خارج الجرد)"))</f>
        <v/>
      </c>
    </row>
    <row r="3972" customFormat="false" ht="15" hidden="false" customHeight="false" outlineLevel="0" collapsed="false">
      <c r="A3972" s="102"/>
      <c r="B3972" s="104"/>
      <c r="C3972" s="104"/>
      <c r="F3972" s="103" t="str">
        <f aca="false">IF(OR($C3972="",$D3972=0),"",$E3972/$D3972)</f>
        <v/>
      </c>
      <c r="H3972" s="0" t="str">
        <f aca="false">IF($C3972="","",IF(COUNTIF('مواد المخزون'!$A$2:$A$86,$C3972)&gt;0,"نعم","لا (خارج الجرد)"))</f>
        <v/>
      </c>
    </row>
    <row r="3973" customFormat="false" ht="15" hidden="false" customHeight="false" outlineLevel="0" collapsed="false">
      <c r="A3973" s="102"/>
      <c r="B3973" s="104"/>
      <c r="C3973" s="104"/>
      <c r="F3973" s="103" t="str">
        <f aca="false">IF(OR($C3973="",$D3973=0),"",$E3973/$D3973)</f>
        <v/>
      </c>
      <c r="H3973" s="0" t="str">
        <f aca="false">IF($C3973="","",IF(COUNTIF('مواد المخزون'!$A$2:$A$86,$C3973)&gt;0,"نعم","لا (خارج الجرد)"))</f>
        <v/>
      </c>
    </row>
    <row r="3974" customFormat="false" ht="15" hidden="false" customHeight="false" outlineLevel="0" collapsed="false">
      <c r="A3974" s="102"/>
      <c r="B3974" s="104"/>
      <c r="C3974" s="104"/>
      <c r="F3974" s="103" t="str">
        <f aca="false">IF(OR($C3974="",$D3974=0),"",$E3974/$D3974)</f>
        <v/>
      </c>
      <c r="H3974" s="0" t="str">
        <f aca="false">IF($C3974="","",IF(COUNTIF('مواد المخزون'!$A$2:$A$86,$C3974)&gt;0,"نعم","لا (خارج الجرد)"))</f>
        <v/>
      </c>
    </row>
    <row r="3975" customFormat="false" ht="15" hidden="false" customHeight="false" outlineLevel="0" collapsed="false">
      <c r="A3975" s="102"/>
      <c r="B3975" s="104"/>
      <c r="C3975" s="104"/>
      <c r="F3975" s="103" t="str">
        <f aca="false">IF(OR($C3975="",$D3975=0),"",$E3975/$D3975)</f>
        <v/>
      </c>
      <c r="H3975" s="0" t="str">
        <f aca="false">IF($C3975="","",IF(COUNTIF('مواد المخزون'!$A$2:$A$86,$C3975)&gt;0,"نعم","لا (خارج الجرد)"))</f>
        <v/>
      </c>
    </row>
    <row r="3976" customFormat="false" ht="15" hidden="false" customHeight="false" outlineLevel="0" collapsed="false">
      <c r="A3976" s="102"/>
      <c r="B3976" s="104"/>
      <c r="C3976" s="104"/>
      <c r="F3976" s="103" t="str">
        <f aca="false">IF(OR($C3976="",$D3976=0),"",$E3976/$D3976)</f>
        <v/>
      </c>
      <c r="H3976" s="0" t="str">
        <f aca="false">IF($C3976="","",IF(COUNTIF('مواد المخزون'!$A$2:$A$86,$C3976)&gt;0,"نعم","لا (خارج الجرد)"))</f>
        <v/>
      </c>
    </row>
    <row r="3977" customFormat="false" ht="15" hidden="false" customHeight="false" outlineLevel="0" collapsed="false">
      <c r="A3977" s="102"/>
      <c r="B3977" s="104"/>
      <c r="C3977" s="104"/>
      <c r="F3977" s="103" t="str">
        <f aca="false">IF(OR($C3977="",$D3977=0),"",$E3977/$D3977)</f>
        <v/>
      </c>
      <c r="H3977" s="0" t="str">
        <f aca="false">IF($C3977="","",IF(COUNTIF('مواد المخزون'!$A$2:$A$86,$C3977)&gt;0,"نعم","لا (خارج الجرد)"))</f>
        <v/>
      </c>
    </row>
    <row r="3978" customFormat="false" ht="15" hidden="false" customHeight="false" outlineLevel="0" collapsed="false">
      <c r="A3978" s="102"/>
      <c r="B3978" s="104"/>
      <c r="C3978" s="104"/>
      <c r="F3978" s="103" t="str">
        <f aca="false">IF(OR($C3978="",$D3978=0),"",$E3978/$D3978)</f>
        <v/>
      </c>
      <c r="H3978" s="0" t="str">
        <f aca="false">IF($C3978="","",IF(COUNTIF('مواد المخزون'!$A$2:$A$86,$C3978)&gt;0,"نعم","لا (خارج الجرد)"))</f>
        <v/>
      </c>
    </row>
    <row r="3979" customFormat="false" ht="15" hidden="false" customHeight="false" outlineLevel="0" collapsed="false">
      <c r="A3979" s="102"/>
      <c r="B3979" s="104"/>
      <c r="C3979" s="104"/>
      <c r="F3979" s="103" t="str">
        <f aca="false">IF(OR($C3979="",$D3979=0),"",$E3979/$D3979)</f>
        <v/>
      </c>
      <c r="H3979" s="0" t="str">
        <f aca="false">IF($C3979="","",IF(COUNTIF('مواد المخزون'!$A$2:$A$86,$C3979)&gt;0,"نعم","لا (خارج الجرد)"))</f>
        <v/>
      </c>
    </row>
    <row r="3980" customFormat="false" ht="15" hidden="false" customHeight="false" outlineLevel="0" collapsed="false">
      <c r="A3980" s="102"/>
      <c r="B3980" s="104"/>
      <c r="C3980" s="104"/>
      <c r="F3980" s="103" t="str">
        <f aca="false">IF(OR($C3980="",$D3980=0),"",$E3980/$D3980)</f>
        <v/>
      </c>
      <c r="H3980" s="0" t="str">
        <f aca="false">IF($C3980="","",IF(COUNTIF('مواد المخزون'!$A$2:$A$86,$C3980)&gt;0,"نعم","لا (خارج الجرد)"))</f>
        <v/>
      </c>
    </row>
    <row r="3981" customFormat="false" ht="15" hidden="false" customHeight="false" outlineLevel="0" collapsed="false">
      <c r="A3981" s="102"/>
      <c r="B3981" s="104"/>
      <c r="C3981" s="104"/>
      <c r="F3981" s="103" t="str">
        <f aca="false">IF(OR($C3981="",$D3981=0),"",$E3981/$D3981)</f>
        <v/>
      </c>
      <c r="H3981" s="0" t="str">
        <f aca="false">IF($C3981="","",IF(COUNTIF('مواد المخزون'!$A$2:$A$86,$C3981)&gt;0,"نعم","لا (خارج الجرد)"))</f>
        <v/>
      </c>
    </row>
    <row r="3982" customFormat="false" ht="15" hidden="false" customHeight="false" outlineLevel="0" collapsed="false">
      <c r="A3982" s="102"/>
      <c r="B3982" s="104"/>
      <c r="C3982" s="104"/>
      <c r="F3982" s="103" t="str">
        <f aca="false">IF(OR($C3982="",$D3982=0),"",$E3982/$D3982)</f>
        <v/>
      </c>
      <c r="H3982" s="0" t="str">
        <f aca="false">IF($C3982="","",IF(COUNTIF('مواد المخزون'!$A$2:$A$86,$C3982)&gt;0,"نعم","لا (خارج الجرد)"))</f>
        <v/>
      </c>
    </row>
    <row r="3983" customFormat="false" ht="15" hidden="false" customHeight="false" outlineLevel="0" collapsed="false">
      <c r="A3983" s="102"/>
      <c r="B3983" s="104"/>
      <c r="C3983" s="104"/>
      <c r="F3983" s="103" t="str">
        <f aca="false">IF(OR($C3983="",$D3983=0),"",$E3983/$D3983)</f>
        <v/>
      </c>
      <c r="H3983" s="0" t="str">
        <f aca="false">IF($C3983="","",IF(COUNTIF('مواد المخزون'!$A$2:$A$86,$C3983)&gt;0,"نعم","لا (خارج الجرد)"))</f>
        <v/>
      </c>
    </row>
    <row r="3984" customFormat="false" ht="15" hidden="false" customHeight="false" outlineLevel="0" collapsed="false">
      <c r="A3984" s="102"/>
      <c r="B3984" s="104"/>
      <c r="C3984" s="104"/>
      <c r="F3984" s="103" t="str">
        <f aca="false">IF(OR($C3984="",$D3984=0),"",$E3984/$D3984)</f>
        <v/>
      </c>
      <c r="H3984" s="0" t="str">
        <f aca="false">IF($C3984="","",IF(COUNTIF('مواد المخزون'!$A$2:$A$86,$C3984)&gt;0,"نعم","لا (خارج الجرد)"))</f>
        <v/>
      </c>
    </row>
    <row r="3985" customFormat="false" ht="15" hidden="false" customHeight="false" outlineLevel="0" collapsed="false">
      <c r="A3985" s="102"/>
      <c r="B3985" s="104"/>
      <c r="C3985" s="104"/>
      <c r="F3985" s="103" t="str">
        <f aca="false">IF(OR($C3985="",$D3985=0),"",$E3985/$D3985)</f>
        <v/>
      </c>
      <c r="H3985" s="0" t="str">
        <f aca="false">IF($C3985="","",IF(COUNTIF('مواد المخزون'!$A$2:$A$86,$C3985)&gt;0,"نعم","لا (خارج الجرد)"))</f>
        <v/>
      </c>
    </row>
    <row r="3986" customFormat="false" ht="15" hidden="false" customHeight="false" outlineLevel="0" collapsed="false">
      <c r="A3986" s="102"/>
      <c r="B3986" s="104"/>
      <c r="C3986" s="104"/>
      <c r="F3986" s="103" t="str">
        <f aca="false">IF(OR($C3986="",$D3986=0),"",$E3986/$D3986)</f>
        <v/>
      </c>
      <c r="H3986" s="0" t="str">
        <f aca="false">IF($C3986="","",IF(COUNTIF('مواد المخزون'!$A$2:$A$86,$C3986)&gt;0,"نعم","لا (خارج الجرد)"))</f>
        <v/>
      </c>
    </row>
    <row r="3987" customFormat="false" ht="15" hidden="false" customHeight="false" outlineLevel="0" collapsed="false">
      <c r="A3987" s="102"/>
      <c r="B3987" s="104"/>
      <c r="C3987" s="104"/>
      <c r="F3987" s="103" t="str">
        <f aca="false">IF(OR($C3987="",$D3987=0),"",$E3987/$D3987)</f>
        <v/>
      </c>
      <c r="H3987" s="0" t="str">
        <f aca="false">IF($C3987="","",IF(COUNTIF('مواد المخزون'!$A$2:$A$86,$C3987)&gt;0,"نعم","لا (خارج الجرد)"))</f>
        <v/>
      </c>
    </row>
    <row r="3988" customFormat="false" ht="15" hidden="false" customHeight="false" outlineLevel="0" collapsed="false">
      <c r="A3988" s="102"/>
      <c r="B3988" s="104"/>
      <c r="C3988" s="104"/>
      <c r="F3988" s="103" t="str">
        <f aca="false">IF(OR($C3988="",$D3988=0),"",$E3988/$D3988)</f>
        <v/>
      </c>
      <c r="H3988" s="0" t="str">
        <f aca="false">IF($C3988="","",IF(COUNTIF('مواد المخزون'!$A$2:$A$86,$C3988)&gt;0,"نعم","لا (خارج الجرد)"))</f>
        <v/>
      </c>
    </row>
    <row r="3989" customFormat="false" ht="15" hidden="false" customHeight="false" outlineLevel="0" collapsed="false">
      <c r="A3989" s="102"/>
      <c r="B3989" s="104"/>
      <c r="C3989" s="104"/>
      <c r="F3989" s="103" t="str">
        <f aca="false">IF(OR($C3989="",$D3989=0),"",$E3989/$D3989)</f>
        <v/>
      </c>
      <c r="H3989" s="0" t="str">
        <f aca="false">IF($C3989="","",IF(COUNTIF('مواد المخزون'!$A$2:$A$86,$C3989)&gt;0,"نعم","لا (خارج الجرد)"))</f>
        <v/>
      </c>
    </row>
    <row r="3990" customFormat="false" ht="15" hidden="false" customHeight="false" outlineLevel="0" collapsed="false">
      <c r="A3990" s="102"/>
      <c r="B3990" s="104"/>
      <c r="C3990" s="104"/>
      <c r="F3990" s="103" t="str">
        <f aca="false">IF(OR($C3990="",$D3990=0),"",$E3990/$D3990)</f>
        <v/>
      </c>
      <c r="H3990" s="0" t="str">
        <f aca="false">IF($C3990="","",IF(COUNTIF('مواد المخزون'!$A$2:$A$86,$C3990)&gt;0,"نعم","لا (خارج الجرد)"))</f>
        <v/>
      </c>
    </row>
    <row r="3991" customFormat="false" ht="15" hidden="false" customHeight="false" outlineLevel="0" collapsed="false">
      <c r="A3991" s="102"/>
      <c r="B3991" s="104"/>
      <c r="C3991" s="104"/>
      <c r="F3991" s="103" t="str">
        <f aca="false">IF(OR($C3991="",$D3991=0),"",$E3991/$D3991)</f>
        <v/>
      </c>
      <c r="H3991" s="0" t="str">
        <f aca="false">IF($C3991="","",IF(COUNTIF('مواد المخزون'!$A$2:$A$86,$C3991)&gt;0,"نعم","لا (خارج الجرد)"))</f>
        <v/>
      </c>
    </row>
    <row r="3992" customFormat="false" ht="15" hidden="false" customHeight="false" outlineLevel="0" collapsed="false">
      <c r="A3992" s="102"/>
      <c r="B3992" s="104"/>
      <c r="C3992" s="104"/>
      <c r="F3992" s="103" t="str">
        <f aca="false">IF(OR($C3992="",$D3992=0),"",$E3992/$D3992)</f>
        <v/>
      </c>
      <c r="H3992" s="0" t="str">
        <f aca="false">IF($C3992="","",IF(COUNTIF('مواد المخزون'!$A$2:$A$86,$C3992)&gt;0,"نعم","لا (خارج الجرد)"))</f>
        <v/>
      </c>
    </row>
    <row r="3993" customFormat="false" ht="15" hidden="false" customHeight="false" outlineLevel="0" collapsed="false">
      <c r="A3993" s="102"/>
      <c r="B3993" s="104"/>
      <c r="C3993" s="104"/>
      <c r="F3993" s="103" t="str">
        <f aca="false">IF(OR($C3993="",$D3993=0),"",$E3993/$D3993)</f>
        <v/>
      </c>
      <c r="H3993" s="0" t="str">
        <f aca="false">IF($C3993="","",IF(COUNTIF('مواد المخزون'!$A$2:$A$86,$C3993)&gt;0,"نعم","لا (خارج الجرد)"))</f>
        <v/>
      </c>
    </row>
    <row r="3994" customFormat="false" ht="15" hidden="false" customHeight="false" outlineLevel="0" collapsed="false">
      <c r="A3994" s="102"/>
      <c r="B3994" s="104"/>
      <c r="C3994" s="104"/>
      <c r="F3994" s="103" t="str">
        <f aca="false">IF(OR($C3994="",$D3994=0),"",$E3994/$D3994)</f>
        <v/>
      </c>
      <c r="H3994" s="0" t="str">
        <f aca="false">IF($C3994="","",IF(COUNTIF('مواد المخزون'!$A$2:$A$86,$C3994)&gt;0,"نعم","لا (خارج الجرد)"))</f>
        <v/>
      </c>
    </row>
    <row r="3995" customFormat="false" ht="15" hidden="false" customHeight="false" outlineLevel="0" collapsed="false">
      <c r="A3995" s="102"/>
      <c r="B3995" s="104"/>
      <c r="C3995" s="104"/>
      <c r="F3995" s="103" t="str">
        <f aca="false">IF(OR($C3995="",$D3995=0),"",$E3995/$D3995)</f>
        <v/>
      </c>
      <c r="H3995" s="0" t="str">
        <f aca="false">IF($C3995="","",IF(COUNTIF('مواد المخزون'!$A$2:$A$86,$C3995)&gt;0,"نعم","لا (خارج الجرد)"))</f>
        <v/>
      </c>
    </row>
    <row r="3996" customFormat="false" ht="15" hidden="false" customHeight="false" outlineLevel="0" collapsed="false">
      <c r="A3996" s="102"/>
      <c r="B3996" s="104"/>
      <c r="C3996" s="104"/>
      <c r="F3996" s="103" t="str">
        <f aca="false">IF(OR($C3996="",$D3996=0),"",$E3996/$D3996)</f>
        <v/>
      </c>
      <c r="H3996" s="0" t="str">
        <f aca="false">IF($C3996="","",IF(COUNTIF('مواد المخزون'!$A$2:$A$86,$C3996)&gt;0,"نعم","لا (خارج الجرد)"))</f>
        <v/>
      </c>
    </row>
    <row r="3997" customFormat="false" ht="15" hidden="false" customHeight="false" outlineLevel="0" collapsed="false">
      <c r="A3997" s="102"/>
      <c r="B3997" s="104"/>
      <c r="C3997" s="104"/>
      <c r="F3997" s="103" t="str">
        <f aca="false">IF(OR($C3997="",$D3997=0),"",$E3997/$D3997)</f>
        <v/>
      </c>
      <c r="H3997" s="0" t="str">
        <f aca="false">IF($C3997="","",IF(COUNTIF('مواد المخزون'!$A$2:$A$86,$C3997)&gt;0,"نعم","لا (خارج الجرد)"))</f>
        <v/>
      </c>
    </row>
    <row r="3998" customFormat="false" ht="15" hidden="false" customHeight="false" outlineLevel="0" collapsed="false">
      <c r="A3998" s="102"/>
      <c r="B3998" s="104"/>
      <c r="C3998" s="104"/>
      <c r="F3998" s="103" t="str">
        <f aca="false">IF(OR($C3998="",$D3998=0),"",$E3998/$D3998)</f>
        <v/>
      </c>
      <c r="H3998" s="0" t="str">
        <f aca="false">IF($C3998="","",IF(COUNTIF('مواد المخزون'!$A$2:$A$86,$C3998)&gt;0,"نعم","لا (خارج الجرد)"))</f>
        <v/>
      </c>
    </row>
    <row r="3999" customFormat="false" ht="15" hidden="false" customHeight="false" outlineLevel="0" collapsed="false">
      <c r="A3999" s="102"/>
      <c r="B3999" s="104"/>
      <c r="C3999" s="104"/>
      <c r="F3999" s="103" t="str">
        <f aca="false">IF(OR($C3999="",$D3999=0),"",$E3999/$D3999)</f>
        <v/>
      </c>
      <c r="H3999" s="0" t="str">
        <f aca="false">IF($C3999="","",IF(COUNTIF('مواد المخزون'!$A$2:$A$86,$C3999)&gt;0,"نعم","لا (خارج الجرد)"))</f>
        <v/>
      </c>
    </row>
    <row r="4000" customFormat="false" ht="15" hidden="false" customHeight="false" outlineLevel="0" collapsed="false">
      <c r="A4000" s="102"/>
      <c r="B4000" s="104"/>
      <c r="C4000" s="104"/>
      <c r="F4000" s="103" t="str">
        <f aca="false">IF(OR($C4000="",$D4000=0),"",$E4000/$D4000)</f>
        <v/>
      </c>
      <c r="H4000" s="0" t="str">
        <f aca="false">IF($C4000="","",IF(COUNTIF('مواد المخزون'!$A$2:$A$86,$C4000)&gt;0,"نعم","لا (خارج الجرد)"))</f>
        <v/>
      </c>
    </row>
    <row r="4001" customFormat="false" ht="15" hidden="false" customHeight="false" outlineLevel="0" collapsed="false">
      <c r="A4001" s="102"/>
      <c r="B4001" s="104"/>
      <c r="C4001" s="104"/>
      <c r="F4001" s="103" t="str">
        <f aca="false">IF(OR($C4001="",$D4001=0),"",$E4001/$D4001)</f>
        <v/>
      </c>
      <c r="H4001" s="0" t="str">
        <f aca="false">IF($C4001="","",IF(COUNTIF('مواد المخزون'!$A$2:$A$86,$C4001)&gt;0,"نعم","لا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581</v>
      </c>
      <c r="C1" s="18" t="s">
        <v>59</v>
      </c>
      <c r="D1" s="18" t="s">
        <v>720</v>
      </c>
      <c r="E1" s="18" t="s">
        <v>641</v>
      </c>
    </row>
    <row r="2" customFormat="false" ht="15" hidden="false" customHeight="false" outlineLevel="0" collapsed="false">
      <c r="A2" s="102"/>
    </row>
    <row r="3" customFormat="false" ht="15" hidden="false" customHeight="false" outlineLevel="0" collapsed="false">
      <c r="A3" s="102"/>
    </row>
    <row r="4" customFormat="false" ht="15" hidden="false" customHeight="false" outlineLevel="0" collapsed="false">
      <c r="A4" s="102"/>
    </row>
    <row r="5" customFormat="false" ht="15" hidden="false" customHeight="false" outlineLevel="0" collapsed="false">
      <c r="A5" s="102"/>
    </row>
    <row r="6" customFormat="false" ht="15" hidden="false" customHeight="false" outlineLevel="0" collapsed="false">
      <c r="A6" s="102"/>
    </row>
    <row r="7" customFormat="false" ht="15" hidden="false" customHeight="false" outlineLevel="0" collapsed="false">
      <c r="A7" s="102"/>
    </row>
    <row r="8" customFormat="false" ht="15" hidden="false" customHeight="false" outlineLevel="0" collapsed="false">
      <c r="A8" s="102"/>
    </row>
    <row r="9" customFormat="false" ht="15" hidden="false" customHeight="false" outlineLevel="0" collapsed="false">
      <c r="A9" s="102"/>
    </row>
    <row r="10" customFormat="false" ht="15" hidden="false" customHeight="false" outlineLevel="0" collapsed="false">
      <c r="A10" s="102"/>
    </row>
    <row r="11" customFormat="false" ht="15" hidden="false" customHeight="false" outlineLevel="0" collapsed="false">
      <c r="A11" s="102"/>
    </row>
    <row r="12" customFormat="false" ht="15" hidden="false" customHeight="false" outlineLevel="0" collapsed="false">
      <c r="A12" s="102"/>
    </row>
    <row r="13" customFormat="false" ht="15" hidden="false" customHeight="false" outlineLevel="0" collapsed="false">
      <c r="A13" s="102"/>
    </row>
    <row r="14" customFormat="false" ht="15" hidden="false" customHeight="false" outlineLevel="0" collapsed="false">
      <c r="A14" s="102"/>
    </row>
    <row r="15" customFormat="false" ht="15" hidden="false" customHeight="false" outlineLevel="0" collapsed="false">
      <c r="A15" s="102"/>
    </row>
    <row r="16" customFormat="false" ht="15" hidden="false" customHeight="false" outlineLevel="0" collapsed="false">
      <c r="A16" s="102"/>
    </row>
    <row r="17" customFormat="false" ht="15" hidden="false" customHeight="false" outlineLevel="0" collapsed="false">
      <c r="A17" s="102"/>
    </row>
    <row r="18" customFormat="false" ht="15" hidden="false" customHeight="false" outlineLevel="0" collapsed="false">
      <c r="A18" s="102"/>
    </row>
    <row r="19" customFormat="false" ht="15" hidden="false" customHeight="false" outlineLevel="0" collapsed="false">
      <c r="A19" s="102"/>
    </row>
    <row r="20" customFormat="false" ht="15" hidden="false" customHeight="false" outlineLevel="0" collapsed="false">
      <c r="A20" s="102"/>
    </row>
    <row r="21" customFormat="false" ht="15" hidden="false" customHeight="false" outlineLevel="0" collapsed="false">
      <c r="A21" s="102"/>
    </row>
    <row r="22" customFormat="false" ht="15" hidden="false" customHeight="false" outlineLevel="0" collapsed="false">
      <c r="A22" s="102"/>
    </row>
    <row r="23" customFormat="false" ht="15" hidden="false" customHeight="false" outlineLevel="0" collapsed="false">
      <c r="A23" s="102"/>
    </row>
    <row r="24" customFormat="false" ht="15" hidden="false" customHeight="false" outlineLevel="0" collapsed="false">
      <c r="A24" s="102"/>
    </row>
    <row r="25" customFormat="false" ht="15" hidden="false" customHeight="false" outlineLevel="0" collapsed="false">
      <c r="A25" s="102"/>
    </row>
    <row r="26" customFormat="false" ht="15" hidden="false" customHeight="false" outlineLevel="0" collapsed="false">
      <c r="A26" s="102"/>
    </row>
    <row r="27" customFormat="false" ht="15" hidden="false" customHeight="false" outlineLevel="0" collapsed="false">
      <c r="A27" s="102"/>
    </row>
    <row r="28" customFormat="false" ht="15" hidden="false" customHeight="false" outlineLevel="0" collapsed="false">
      <c r="A28" s="102"/>
    </row>
    <row r="29" customFormat="false" ht="15" hidden="false" customHeight="false" outlineLevel="0" collapsed="false">
      <c r="A29" s="102"/>
    </row>
    <row r="30" customFormat="false" ht="15" hidden="false" customHeight="false" outlineLevel="0" collapsed="false">
      <c r="A30" s="102"/>
    </row>
    <row r="31" customFormat="false" ht="15" hidden="false" customHeight="false" outlineLevel="0" collapsed="false">
      <c r="A31" s="102"/>
    </row>
    <row r="32" customFormat="false" ht="15" hidden="false" customHeight="false" outlineLevel="0" collapsed="false">
      <c r="A32" s="102"/>
    </row>
    <row r="33" customFormat="false" ht="15" hidden="false" customHeight="false" outlineLevel="0" collapsed="false">
      <c r="A33" s="102"/>
    </row>
    <row r="34" customFormat="false" ht="15" hidden="false" customHeight="false" outlineLevel="0" collapsed="false">
      <c r="A34" s="102"/>
    </row>
    <row r="35" customFormat="false" ht="15" hidden="false" customHeight="false" outlineLevel="0" collapsed="false">
      <c r="A35" s="102"/>
    </row>
    <row r="36" customFormat="false" ht="15" hidden="false" customHeight="false" outlineLevel="0" collapsed="false">
      <c r="A36" s="102"/>
    </row>
    <row r="37" customFormat="false" ht="15" hidden="false" customHeight="false" outlineLevel="0" collapsed="false">
      <c r="A37" s="102"/>
    </row>
    <row r="38" customFormat="false" ht="15" hidden="false" customHeight="false" outlineLevel="0" collapsed="false">
      <c r="A38" s="102"/>
    </row>
    <row r="39" customFormat="false" ht="15" hidden="false" customHeight="false" outlineLevel="0" collapsed="false">
      <c r="A39" s="102"/>
    </row>
    <row r="40" customFormat="false" ht="15" hidden="false" customHeight="false" outlineLevel="0" collapsed="false">
      <c r="A40" s="102"/>
    </row>
    <row r="41" customFormat="false" ht="15" hidden="false" customHeight="false" outlineLevel="0" collapsed="false">
      <c r="A41" s="102"/>
    </row>
    <row r="42" customFormat="false" ht="15" hidden="false" customHeight="false" outlineLevel="0" collapsed="false">
      <c r="A42" s="102"/>
    </row>
    <row r="43" customFormat="false" ht="15" hidden="false" customHeight="false" outlineLevel="0" collapsed="false">
      <c r="A43" s="102"/>
    </row>
    <row r="44" customFormat="false" ht="15" hidden="false" customHeight="false" outlineLevel="0" collapsed="false">
      <c r="A44" s="102"/>
    </row>
    <row r="45" customFormat="false" ht="15" hidden="false" customHeight="false" outlineLevel="0" collapsed="false">
      <c r="A45" s="102"/>
    </row>
    <row r="46" customFormat="false" ht="15" hidden="false" customHeight="false" outlineLevel="0" collapsed="false">
      <c r="A46" s="102"/>
    </row>
    <row r="47" customFormat="false" ht="15" hidden="false" customHeight="false" outlineLevel="0" collapsed="false">
      <c r="A47" s="102"/>
    </row>
    <row r="48" customFormat="false" ht="15" hidden="false" customHeight="false" outlineLevel="0" collapsed="false">
      <c r="A48" s="102"/>
    </row>
    <row r="49" customFormat="false" ht="15" hidden="false" customHeight="false" outlineLevel="0" collapsed="false">
      <c r="A49" s="102"/>
    </row>
    <row r="50" customFormat="false" ht="15" hidden="false" customHeight="false" outlineLevel="0" collapsed="false">
      <c r="A50" s="102"/>
    </row>
    <row r="51" customFormat="false" ht="15" hidden="false" customHeight="false" outlineLevel="0" collapsed="false">
      <c r="A51" s="102"/>
    </row>
    <row r="52" customFormat="false" ht="15" hidden="false" customHeight="false" outlineLevel="0" collapsed="false">
      <c r="A52" s="102"/>
    </row>
    <row r="53" customFormat="false" ht="15" hidden="false" customHeight="false" outlineLevel="0" collapsed="false">
      <c r="A53" s="102"/>
    </row>
    <row r="54" customFormat="false" ht="15" hidden="false" customHeight="false" outlineLevel="0" collapsed="false">
      <c r="A54" s="102"/>
    </row>
    <row r="55" customFormat="false" ht="15" hidden="false" customHeight="false" outlineLevel="0" collapsed="false">
      <c r="A55" s="102"/>
    </row>
    <row r="56" customFormat="false" ht="15" hidden="false" customHeight="false" outlineLevel="0" collapsed="false">
      <c r="A56" s="102"/>
    </row>
    <row r="57" customFormat="false" ht="15" hidden="false" customHeight="false" outlineLevel="0" collapsed="false">
      <c r="A57" s="102"/>
    </row>
    <row r="58" customFormat="false" ht="15" hidden="false" customHeight="false" outlineLevel="0" collapsed="false">
      <c r="A58" s="102"/>
    </row>
    <row r="59" customFormat="false" ht="15" hidden="false" customHeight="false" outlineLevel="0" collapsed="false">
      <c r="A59" s="102"/>
    </row>
    <row r="60" customFormat="false" ht="15" hidden="false" customHeight="false" outlineLevel="0" collapsed="false">
      <c r="A60" s="102"/>
    </row>
    <row r="61" customFormat="false" ht="15" hidden="false" customHeight="false" outlineLevel="0" collapsed="false">
      <c r="A61" s="102"/>
    </row>
    <row r="62" customFormat="false" ht="15" hidden="false" customHeight="false" outlineLevel="0" collapsed="false">
      <c r="A62" s="102"/>
    </row>
    <row r="63" customFormat="false" ht="15" hidden="false" customHeight="false" outlineLevel="0" collapsed="false">
      <c r="A63" s="102"/>
    </row>
    <row r="64" customFormat="false" ht="15" hidden="false" customHeight="false" outlineLevel="0" collapsed="false">
      <c r="A64" s="102"/>
    </row>
    <row r="65" customFormat="false" ht="15" hidden="false" customHeight="false" outlineLevel="0" collapsed="false">
      <c r="A65" s="102"/>
    </row>
    <row r="66" customFormat="false" ht="15" hidden="false" customHeight="false" outlineLevel="0" collapsed="false">
      <c r="A66" s="102"/>
    </row>
    <row r="67" customFormat="false" ht="15" hidden="false" customHeight="false" outlineLevel="0" collapsed="false">
      <c r="A67" s="102"/>
    </row>
    <row r="68" customFormat="false" ht="15" hidden="false" customHeight="false" outlineLevel="0" collapsed="false">
      <c r="A68" s="102"/>
    </row>
    <row r="69" customFormat="false" ht="15" hidden="false" customHeight="false" outlineLevel="0" collapsed="false">
      <c r="A69" s="102"/>
    </row>
    <row r="70" customFormat="false" ht="15" hidden="false" customHeight="false" outlineLevel="0" collapsed="false">
      <c r="A70" s="102"/>
    </row>
    <row r="71" customFormat="false" ht="15" hidden="false" customHeight="false" outlineLevel="0" collapsed="false">
      <c r="A71" s="102"/>
    </row>
    <row r="72" customFormat="false" ht="15" hidden="false" customHeight="false" outlineLevel="0" collapsed="false">
      <c r="A72" s="102"/>
    </row>
    <row r="73" customFormat="false" ht="15" hidden="false" customHeight="false" outlineLevel="0" collapsed="false">
      <c r="A73" s="102"/>
    </row>
    <row r="74" customFormat="false" ht="15" hidden="false" customHeight="false" outlineLevel="0" collapsed="false">
      <c r="A74" s="102"/>
    </row>
    <row r="75" customFormat="false" ht="15" hidden="false" customHeight="false" outlineLevel="0" collapsed="false">
      <c r="A75" s="102"/>
    </row>
    <row r="76" customFormat="false" ht="15" hidden="false" customHeight="false" outlineLevel="0" collapsed="false">
      <c r="A76" s="102"/>
    </row>
    <row r="77" customFormat="false" ht="15" hidden="false" customHeight="false" outlineLevel="0" collapsed="false">
      <c r="A77" s="102"/>
    </row>
    <row r="78" customFormat="false" ht="15" hidden="false" customHeight="false" outlineLevel="0" collapsed="false">
      <c r="A78" s="102"/>
    </row>
    <row r="79" customFormat="false" ht="15" hidden="false" customHeight="false" outlineLevel="0" collapsed="false">
      <c r="A79" s="102"/>
    </row>
    <row r="80" customFormat="false" ht="15" hidden="false" customHeight="false" outlineLevel="0" collapsed="false">
      <c r="A80" s="102"/>
    </row>
    <row r="81" customFormat="false" ht="15" hidden="false" customHeight="false" outlineLevel="0" collapsed="false">
      <c r="A81" s="102"/>
    </row>
    <row r="82" customFormat="false" ht="15" hidden="false" customHeight="false" outlineLevel="0" collapsed="false">
      <c r="A82" s="102"/>
    </row>
    <row r="83" customFormat="false" ht="15" hidden="false" customHeight="false" outlineLevel="0" collapsed="false">
      <c r="A83" s="102"/>
    </row>
    <row r="84" customFormat="false" ht="15" hidden="false" customHeight="false" outlineLevel="0" collapsed="false">
      <c r="A84" s="102"/>
    </row>
    <row r="85" customFormat="false" ht="15" hidden="false" customHeight="false" outlineLevel="0" collapsed="false">
      <c r="A85" s="102"/>
    </row>
    <row r="86" customFormat="false" ht="15" hidden="false" customHeight="false" outlineLevel="0" collapsed="false">
      <c r="A86" s="102"/>
    </row>
    <row r="87" customFormat="false" ht="15" hidden="false" customHeight="false" outlineLevel="0" collapsed="false">
      <c r="A87" s="102"/>
    </row>
    <row r="88" customFormat="false" ht="15" hidden="false" customHeight="false" outlineLevel="0" collapsed="false">
      <c r="A88" s="102"/>
    </row>
    <row r="89" customFormat="false" ht="15" hidden="false" customHeight="false" outlineLevel="0" collapsed="false">
      <c r="A89" s="102"/>
    </row>
    <row r="90" customFormat="false" ht="15" hidden="false" customHeight="false" outlineLevel="0" collapsed="false">
      <c r="A90" s="102"/>
    </row>
    <row r="91" customFormat="false" ht="15" hidden="false" customHeight="false" outlineLevel="0" collapsed="false">
      <c r="A91" s="102"/>
    </row>
    <row r="92" customFormat="false" ht="15" hidden="false" customHeight="false" outlineLevel="0" collapsed="false">
      <c r="A92" s="102"/>
    </row>
    <row r="93" customFormat="false" ht="15" hidden="false" customHeight="false" outlineLevel="0" collapsed="false">
      <c r="A93" s="102"/>
    </row>
    <row r="94" customFormat="false" ht="15" hidden="false" customHeight="false" outlineLevel="0" collapsed="false">
      <c r="A94" s="102"/>
    </row>
    <row r="95" customFormat="false" ht="15" hidden="false" customHeight="false" outlineLevel="0" collapsed="false">
      <c r="A95" s="102"/>
    </row>
    <row r="96" customFormat="false" ht="15" hidden="false" customHeight="false" outlineLevel="0" collapsed="false">
      <c r="A96" s="102"/>
    </row>
    <row r="97" customFormat="false" ht="15" hidden="false" customHeight="false" outlineLevel="0" collapsed="false">
      <c r="A97" s="102"/>
    </row>
    <row r="98" customFormat="false" ht="15" hidden="false" customHeight="false" outlineLevel="0" collapsed="false">
      <c r="A98" s="102"/>
    </row>
    <row r="99" customFormat="false" ht="15" hidden="false" customHeight="false" outlineLevel="0" collapsed="false">
      <c r="A99" s="102"/>
    </row>
    <row r="100" customFormat="false" ht="15" hidden="false" customHeight="false" outlineLevel="0" collapsed="false">
      <c r="A100" s="102"/>
    </row>
    <row r="101" customFormat="false" ht="15" hidden="false" customHeight="false" outlineLevel="0" collapsed="false">
      <c r="A101" s="102"/>
    </row>
    <row r="102" customFormat="false" ht="15" hidden="false" customHeight="false" outlineLevel="0" collapsed="false">
      <c r="A102" s="102"/>
    </row>
    <row r="103" customFormat="false" ht="15" hidden="false" customHeight="false" outlineLevel="0" collapsed="false">
      <c r="A103" s="102"/>
    </row>
    <row r="104" customFormat="false" ht="15" hidden="false" customHeight="false" outlineLevel="0" collapsed="false">
      <c r="A104" s="102"/>
    </row>
    <row r="105" customFormat="false" ht="15" hidden="false" customHeight="false" outlineLevel="0" collapsed="false">
      <c r="A105" s="102"/>
    </row>
    <row r="106" customFormat="false" ht="15" hidden="false" customHeight="false" outlineLevel="0" collapsed="false">
      <c r="A106" s="102"/>
    </row>
    <row r="107" customFormat="false" ht="15" hidden="false" customHeight="false" outlineLevel="0" collapsed="false">
      <c r="A107" s="102"/>
    </row>
    <row r="108" customFormat="false" ht="15" hidden="false" customHeight="false" outlineLevel="0" collapsed="false">
      <c r="A108" s="102"/>
    </row>
    <row r="109" customFormat="false" ht="15" hidden="false" customHeight="false" outlineLevel="0" collapsed="false">
      <c r="A109" s="102"/>
    </row>
    <row r="110" customFormat="false" ht="15" hidden="false" customHeight="false" outlineLevel="0" collapsed="false">
      <c r="A110" s="102"/>
    </row>
    <row r="111" customFormat="false" ht="15" hidden="false" customHeight="false" outlineLevel="0" collapsed="false">
      <c r="A111" s="102"/>
    </row>
    <row r="112" customFormat="false" ht="15" hidden="false" customHeight="false" outlineLevel="0" collapsed="false">
      <c r="A112" s="102"/>
    </row>
    <row r="113" customFormat="false" ht="15" hidden="false" customHeight="false" outlineLevel="0" collapsed="false">
      <c r="A113" s="102"/>
    </row>
    <row r="114" customFormat="false" ht="15" hidden="false" customHeight="false" outlineLevel="0" collapsed="false">
      <c r="A114" s="102"/>
    </row>
    <row r="115" customFormat="false" ht="15" hidden="false" customHeight="false" outlineLevel="0" collapsed="false">
      <c r="A115" s="102"/>
    </row>
    <row r="116" customFormat="false" ht="15" hidden="false" customHeight="false" outlineLevel="0" collapsed="false">
      <c r="A116" s="102"/>
    </row>
    <row r="117" customFormat="false" ht="15" hidden="false" customHeight="false" outlineLevel="0" collapsed="false">
      <c r="A117" s="102"/>
    </row>
    <row r="118" customFormat="false" ht="15" hidden="false" customHeight="false" outlineLevel="0" collapsed="false">
      <c r="A118" s="102"/>
    </row>
    <row r="119" customFormat="false" ht="15" hidden="false" customHeight="false" outlineLevel="0" collapsed="false">
      <c r="A119" s="102"/>
    </row>
    <row r="120" customFormat="false" ht="15" hidden="false" customHeight="false" outlineLevel="0" collapsed="false">
      <c r="A120" s="102"/>
    </row>
    <row r="121" customFormat="false" ht="15" hidden="false" customHeight="false" outlineLevel="0" collapsed="false">
      <c r="A121" s="102"/>
    </row>
    <row r="122" customFormat="false" ht="15" hidden="false" customHeight="false" outlineLevel="0" collapsed="false">
      <c r="A122" s="102"/>
    </row>
    <row r="123" customFormat="false" ht="15" hidden="false" customHeight="false" outlineLevel="0" collapsed="false">
      <c r="A123" s="102"/>
    </row>
    <row r="124" customFormat="false" ht="15" hidden="false" customHeight="false" outlineLevel="0" collapsed="false">
      <c r="A124" s="102"/>
    </row>
    <row r="125" customFormat="false" ht="15" hidden="false" customHeight="false" outlineLevel="0" collapsed="false">
      <c r="A125" s="102"/>
    </row>
    <row r="126" customFormat="false" ht="15" hidden="false" customHeight="false" outlineLevel="0" collapsed="false">
      <c r="A126" s="102"/>
    </row>
    <row r="127" customFormat="false" ht="15" hidden="false" customHeight="false" outlineLevel="0" collapsed="false">
      <c r="A127" s="102"/>
    </row>
    <row r="128" customFormat="false" ht="15" hidden="false" customHeight="false" outlineLevel="0" collapsed="false">
      <c r="A128" s="102"/>
    </row>
    <row r="129" customFormat="false" ht="15" hidden="false" customHeight="false" outlineLevel="0" collapsed="false">
      <c r="A129" s="102"/>
    </row>
    <row r="130" customFormat="false" ht="15" hidden="false" customHeight="false" outlineLevel="0" collapsed="false">
      <c r="A130" s="102"/>
    </row>
    <row r="131" customFormat="false" ht="15" hidden="false" customHeight="false" outlineLevel="0" collapsed="false">
      <c r="A131" s="102"/>
    </row>
    <row r="132" customFormat="false" ht="15" hidden="false" customHeight="false" outlineLevel="0" collapsed="false">
      <c r="A132" s="102"/>
    </row>
    <row r="133" customFormat="false" ht="15" hidden="false" customHeight="false" outlineLevel="0" collapsed="false">
      <c r="A133" s="102"/>
    </row>
    <row r="134" customFormat="false" ht="15" hidden="false" customHeight="false" outlineLevel="0" collapsed="false">
      <c r="A134" s="102"/>
    </row>
    <row r="135" customFormat="false" ht="15" hidden="false" customHeight="false" outlineLevel="0" collapsed="false">
      <c r="A135" s="102"/>
    </row>
    <row r="136" customFormat="false" ht="15" hidden="false" customHeight="false" outlineLevel="0" collapsed="false">
      <c r="A136" s="102"/>
    </row>
    <row r="137" customFormat="false" ht="15" hidden="false" customHeight="false" outlineLevel="0" collapsed="false">
      <c r="A137" s="102"/>
    </row>
    <row r="138" customFormat="false" ht="15" hidden="false" customHeight="false" outlineLevel="0" collapsed="false">
      <c r="A138" s="102"/>
    </row>
    <row r="139" customFormat="false" ht="15" hidden="false" customHeight="false" outlineLevel="0" collapsed="false">
      <c r="A139" s="102"/>
    </row>
    <row r="140" customFormat="false" ht="15" hidden="false" customHeight="false" outlineLevel="0" collapsed="false">
      <c r="A140" s="102"/>
    </row>
    <row r="141" customFormat="false" ht="15" hidden="false" customHeight="false" outlineLevel="0" collapsed="false">
      <c r="A141" s="102"/>
    </row>
    <row r="142" customFormat="false" ht="15" hidden="false" customHeight="false" outlineLevel="0" collapsed="false">
      <c r="A142" s="102"/>
    </row>
    <row r="143" customFormat="false" ht="15" hidden="false" customHeight="false" outlineLevel="0" collapsed="false">
      <c r="A143" s="102"/>
    </row>
    <row r="144" customFormat="false" ht="15" hidden="false" customHeight="false" outlineLevel="0" collapsed="false">
      <c r="A144" s="102"/>
    </row>
    <row r="145" customFormat="false" ht="15" hidden="false" customHeight="false" outlineLevel="0" collapsed="false">
      <c r="A145" s="102"/>
    </row>
    <row r="146" customFormat="false" ht="15" hidden="false" customHeight="false" outlineLevel="0" collapsed="false">
      <c r="A146" s="102"/>
    </row>
    <row r="147" customFormat="false" ht="15" hidden="false" customHeight="false" outlineLevel="0" collapsed="false">
      <c r="A147" s="102"/>
    </row>
    <row r="148" customFormat="false" ht="15" hidden="false" customHeight="false" outlineLevel="0" collapsed="false">
      <c r="A148" s="102"/>
    </row>
    <row r="149" customFormat="false" ht="15" hidden="false" customHeight="false" outlineLevel="0" collapsed="false">
      <c r="A149" s="102"/>
    </row>
    <row r="150" customFormat="false" ht="15" hidden="false" customHeight="false" outlineLevel="0" collapsed="false">
      <c r="A150" s="102"/>
    </row>
    <row r="151" customFormat="false" ht="15" hidden="false" customHeight="false" outlineLevel="0" collapsed="false">
      <c r="A151" s="102"/>
    </row>
    <row r="152" customFormat="false" ht="15" hidden="false" customHeight="false" outlineLevel="0" collapsed="false">
      <c r="A152" s="102"/>
    </row>
    <row r="153" customFormat="false" ht="15" hidden="false" customHeight="false" outlineLevel="0" collapsed="false">
      <c r="A153" s="102"/>
    </row>
    <row r="154" customFormat="false" ht="15" hidden="false" customHeight="false" outlineLevel="0" collapsed="false">
      <c r="A154" s="102"/>
    </row>
    <row r="155" customFormat="false" ht="15" hidden="false" customHeight="false" outlineLevel="0" collapsed="false">
      <c r="A155" s="102"/>
    </row>
    <row r="156" customFormat="false" ht="15" hidden="false" customHeight="false" outlineLevel="0" collapsed="false">
      <c r="A156" s="102"/>
    </row>
    <row r="157" customFormat="false" ht="15" hidden="false" customHeight="false" outlineLevel="0" collapsed="false">
      <c r="A157" s="102"/>
    </row>
    <row r="158" customFormat="false" ht="15" hidden="false" customHeight="false" outlineLevel="0" collapsed="false">
      <c r="A158" s="102"/>
    </row>
    <row r="159" customFormat="false" ht="15" hidden="false" customHeight="false" outlineLevel="0" collapsed="false">
      <c r="A159" s="102"/>
    </row>
    <row r="160" customFormat="false" ht="15" hidden="false" customHeight="false" outlineLevel="0" collapsed="false">
      <c r="A160" s="102"/>
    </row>
    <row r="161" customFormat="false" ht="15" hidden="false" customHeight="false" outlineLevel="0" collapsed="false">
      <c r="A161" s="102"/>
    </row>
    <row r="162" customFormat="false" ht="15" hidden="false" customHeight="false" outlineLevel="0" collapsed="false">
      <c r="A162" s="102"/>
    </row>
    <row r="163" customFormat="false" ht="15" hidden="false" customHeight="false" outlineLevel="0" collapsed="false">
      <c r="A163" s="102"/>
    </row>
    <row r="164" customFormat="false" ht="15" hidden="false" customHeight="false" outlineLevel="0" collapsed="false">
      <c r="A164" s="102"/>
    </row>
    <row r="165" customFormat="false" ht="15" hidden="false" customHeight="false" outlineLevel="0" collapsed="false">
      <c r="A165" s="102"/>
    </row>
    <row r="166" customFormat="false" ht="15" hidden="false" customHeight="false" outlineLevel="0" collapsed="false">
      <c r="A166" s="102"/>
    </row>
    <row r="167" customFormat="false" ht="15" hidden="false" customHeight="false" outlineLevel="0" collapsed="false">
      <c r="A167" s="102"/>
    </row>
    <row r="168" customFormat="false" ht="15" hidden="false" customHeight="false" outlineLevel="0" collapsed="false">
      <c r="A168" s="102"/>
    </row>
    <row r="169" customFormat="false" ht="15" hidden="false" customHeight="false" outlineLevel="0" collapsed="false">
      <c r="A169" s="102"/>
    </row>
    <row r="170" customFormat="false" ht="15" hidden="false" customHeight="false" outlineLevel="0" collapsed="false">
      <c r="A170" s="102"/>
    </row>
    <row r="171" customFormat="false" ht="15" hidden="false" customHeight="false" outlineLevel="0" collapsed="false">
      <c r="A171" s="102"/>
    </row>
    <row r="172" customFormat="false" ht="15" hidden="false" customHeight="false" outlineLevel="0" collapsed="false">
      <c r="A172" s="102"/>
    </row>
    <row r="173" customFormat="false" ht="15" hidden="false" customHeight="false" outlineLevel="0" collapsed="false">
      <c r="A173" s="102"/>
    </row>
    <row r="174" customFormat="false" ht="15" hidden="false" customHeight="false" outlineLevel="0" collapsed="false">
      <c r="A174" s="102"/>
    </row>
    <row r="175" customFormat="false" ht="15" hidden="false" customHeight="false" outlineLevel="0" collapsed="false">
      <c r="A175" s="102"/>
    </row>
    <row r="176" customFormat="false" ht="15" hidden="false" customHeight="false" outlineLevel="0" collapsed="false">
      <c r="A176" s="102"/>
    </row>
    <row r="177" customFormat="false" ht="15" hidden="false" customHeight="false" outlineLevel="0" collapsed="false">
      <c r="A177" s="102"/>
    </row>
    <row r="178" customFormat="false" ht="15" hidden="false" customHeight="false" outlineLevel="0" collapsed="false">
      <c r="A178" s="102"/>
    </row>
    <row r="179" customFormat="false" ht="15" hidden="false" customHeight="false" outlineLevel="0" collapsed="false">
      <c r="A179" s="102"/>
    </row>
    <row r="180" customFormat="false" ht="15" hidden="false" customHeight="false" outlineLevel="0" collapsed="false">
      <c r="A180" s="102"/>
    </row>
    <row r="181" customFormat="false" ht="15" hidden="false" customHeight="false" outlineLevel="0" collapsed="false">
      <c r="A181" s="102"/>
    </row>
    <row r="182" customFormat="false" ht="15" hidden="false" customHeight="false" outlineLevel="0" collapsed="false">
      <c r="A182" s="102"/>
    </row>
    <row r="183" customFormat="false" ht="15" hidden="false" customHeight="false" outlineLevel="0" collapsed="false">
      <c r="A183" s="102"/>
    </row>
    <row r="184" customFormat="false" ht="15" hidden="false" customHeight="false" outlineLevel="0" collapsed="false">
      <c r="A184" s="102"/>
    </row>
    <row r="185" customFormat="false" ht="15" hidden="false" customHeight="false" outlineLevel="0" collapsed="false">
      <c r="A185" s="102"/>
    </row>
    <row r="186" customFormat="false" ht="15" hidden="false" customHeight="false" outlineLevel="0" collapsed="false">
      <c r="A186" s="102"/>
    </row>
    <row r="187" customFormat="false" ht="15" hidden="false" customHeight="false" outlineLevel="0" collapsed="false">
      <c r="A187" s="102"/>
    </row>
    <row r="188" customFormat="false" ht="15" hidden="false" customHeight="false" outlineLevel="0" collapsed="false">
      <c r="A188" s="102"/>
    </row>
    <row r="189" customFormat="false" ht="15" hidden="false" customHeight="false" outlineLevel="0" collapsed="false">
      <c r="A189" s="102"/>
    </row>
    <row r="190" customFormat="false" ht="15" hidden="false" customHeight="false" outlineLevel="0" collapsed="false">
      <c r="A190" s="102"/>
    </row>
    <row r="191" customFormat="false" ht="15" hidden="false" customHeight="false" outlineLevel="0" collapsed="false">
      <c r="A191" s="102"/>
    </row>
    <row r="192" customFormat="false" ht="15" hidden="false" customHeight="false" outlineLevel="0" collapsed="false">
      <c r="A192" s="102"/>
    </row>
    <row r="193" customFormat="false" ht="15" hidden="false" customHeight="false" outlineLevel="0" collapsed="false">
      <c r="A193" s="102"/>
    </row>
    <row r="194" customFormat="false" ht="15" hidden="false" customHeight="false" outlineLevel="0" collapsed="false">
      <c r="A194" s="102"/>
    </row>
    <row r="195" customFormat="false" ht="15" hidden="false" customHeight="false" outlineLevel="0" collapsed="false">
      <c r="A195" s="102"/>
    </row>
    <row r="196" customFormat="false" ht="15" hidden="false" customHeight="false" outlineLevel="0" collapsed="false">
      <c r="A196" s="102"/>
    </row>
    <row r="197" customFormat="false" ht="15" hidden="false" customHeight="false" outlineLevel="0" collapsed="false">
      <c r="A197" s="102"/>
    </row>
    <row r="198" customFormat="false" ht="15" hidden="false" customHeight="false" outlineLevel="0" collapsed="false">
      <c r="A198" s="102"/>
    </row>
    <row r="199" customFormat="false" ht="15" hidden="false" customHeight="false" outlineLevel="0" collapsed="false">
      <c r="A199" s="102"/>
    </row>
    <row r="200" customFormat="false" ht="15" hidden="false" customHeight="false" outlineLevel="0" collapsed="false">
      <c r="A200" s="102"/>
    </row>
    <row r="201" customFormat="false" ht="15" hidden="false" customHeight="false" outlineLevel="0" collapsed="false">
      <c r="A201" s="102"/>
    </row>
    <row r="202" customFormat="false" ht="15" hidden="false" customHeight="false" outlineLevel="0" collapsed="false">
      <c r="A202" s="102"/>
    </row>
    <row r="203" customFormat="false" ht="15" hidden="false" customHeight="false" outlineLevel="0" collapsed="false">
      <c r="A203" s="102"/>
    </row>
    <row r="204" customFormat="false" ht="15" hidden="false" customHeight="false" outlineLevel="0" collapsed="false">
      <c r="A204" s="102"/>
    </row>
    <row r="205" customFormat="false" ht="15" hidden="false" customHeight="false" outlineLevel="0" collapsed="false">
      <c r="A205" s="102"/>
    </row>
    <row r="206" customFormat="false" ht="15" hidden="false" customHeight="false" outlineLevel="0" collapsed="false">
      <c r="A206" s="102"/>
    </row>
    <row r="207" customFormat="false" ht="15" hidden="false" customHeight="false" outlineLevel="0" collapsed="false">
      <c r="A207" s="102"/>
    </row>
    <row r="208" customFormat="false" ht="15" hidden="false" customHeight="false" outlineLevel="0" collapsed="false">
      <c r="A208" s="102"/>
    </row>
    <row r="209" customFormat="false" ht="15" hidden="false" customHeight="false" outlineLevel="0" collapsed="false">
      <c r="A209" s="102"/>
    </row>
    <row r="210" customFormat="false" ht="15" hidden="false" customHeight="false" outlineLevel="0" collapsed="false">
      <c r="A210" s="102"/>
    </row>
    <row r="211" customFormat="false" ht="15" hidden="false" customHeight="false" outlineLevel="0" collapsed="false">
      <c r="A211" s="102"/>
    </row>
    <row r="212" customFormat="false" ht="15" hidden="false" customHeight="false" outlineLevel="0" collapsed="false">
      <c r="A212" s="102"/>
    </row>
    <row r="213" customFormat="false" ht="15" hidden="false" customHeight="false" outlineLevel="0" collapsed="false">
      <c r="A213" s="102"/>
    </row>
    <row r="214" customFormat="false" ht="15" hidden="false" customHeight="false" outlineLevel="0" collapsed="false">
      <c r="A214" s="102"/>
    </row>
    <row r="215" customFormat="false" ht="15" hidden="false" customHeight="false" outlineLevel="0" collapsed="false">
      <c r="A215" s="102"/>
    </row>
    <row r="216" customFormat="false" ht="15" hidden="false" customHeight="false" outlineLevel="0" collapsed="false">
      <c r="A216" s="102"/>
    </row>
    <row r="217" customFormat="false" ht="15" hidden="false" customHeight="false" outlineLevel="0" collapsed="false">
      <c r="A217" s="102"/>
    </row>
    <row r="218" customFormat="false" ht="15" hidden="false" customHeight="false" outlineLevel="0" collapsed="false">
      <c r="A218" s="102"/>
    </row>
    <row r="219" customFormat="false" ht="15" hidden="false" customHeight="false" outlineLevel="0" collapsed="false">
      <c r="A219" s="102"/>
    </row>
    <row r="220" customFormat="false" ht="15" hidden="false" customHeight="false" outlineLevel="0" collapsed="false">
      <c r="A220" s="102"/>
    </row>
    <row r="221" customFormat="false" ht="15" hidden="false" customHeight="false" outlineLevel="0" collapsed="false">
      <c r="A221" s="102"/>
    </row>
    <row r="222" customFormat="false" ht="15" hidden="false" customHeight="false" outlineLevel="0" collapsed="false">
      <c r="A222" s="102"/>
    </row>
    <row r="223" customFormat="false" ht="15" hidden="false" customHeight="false" outlineLevel="0" collapsed="false">
      <c r="A223" s="102"/>
    </row>
    <row r="224" customFormat="false" ht="15" hidden="false" customHeight="false" outlineLevel="0" collapsed="false">
      <c r="A224" s="102"/>
    </row>
    <row r="225" customFormat="false" ht="15" hidden="false" customHeight="false" outlineLevel="0" collapsed="false">
      <c r="A225" s="102"/>
    </row>
    <row r="226" customFormat="false" ht="15" hidden="false" customHeight="false" outlineLevel="0" collapsed="false">
      <c r="A226" s="102"/>
    </row>
    <row r="227" customFormat="false" ht="15" hidden="false" customHeight="false" outlineLevel="0" collapsed="false">
      <c r="A227" s="102"/>
    </row>
    <row r="228" customFormat="false" ht="15" hidden="false" customHeight="false" outlineLevel="0" collapsed="false">
      <c r="A228" s="102"/>
    </row>
    <row r="229" customFormat="false" ht="15" hidden="false" customHeight="false" outlineLevel="0" collapsed="false">
      <c r="A229" s="102"/>
    </row>
    <row r="230" customFormat="false" ht="15" hidden="false" customHeight="false" outlineLevel="0" collapsed="false">
      <c r="A230" s="102"/>
    </row>
    <row r="231" customFormat="false" ht="15" hidden="false" customHeight="false" outlineLevel="0" collapsed="false">
      <c r="A231" s="102"/>
    </row>
    <row r="232" customFormat="false" ht="15" hidden="false" customHeight="false" outlineLevel="0" collapsed="false">
      <c r="A232" s="102"/>
    </row>
    <row r="233" customFormat="false" ht="15" hidden="false" customHeight="false" outlineLevel="0" collapsed="false">
      <c r="A233" s="102"/>
    </row>
    <row r="234" customFormat="false" ht="15" hidden="false" customHeight="false" outlineLevel="0" collapsed="false">
      <c r="A234" s="102"/>
    </row>
    <row r="235" customFormat="false" ht="15" hidden="false" customHeight="false" outlineLevel="0" collapsed="false">
      <c r="A235" s="102"/>
    </row>
    <row r="236" customFormat="false" ht="15" hidden="false" customHeight="false" outlineLevel="0" collapsed="false">
      <c r="A236" s="102"/>
    </row>
    <row r="237" customFormat="false" ht="15" hidden="false" customHeight="false" outlineLevel="0" collapsed="false">
      <c r="A237" s="102"/>
    </row>
    <row r="238" customFormat="false" ht="15" hidden="false" customHeight="false" outlineLevel="0" collapsed="false">
      <c r="A238" s="102"/>
    </row>
    <row r="239" customFormat="false" ht="15" hidden="false" customHeight="false" outlineLevel="0" collapsed="false">
      <c r="A239" s="102"/>
    </row>
    <row r="240" customFormat="false" ht="15" hidden="false" customHeight="false" outlineLevel="0" collapsed="false">
      <c r="A240" s="102"/>
    </row>
    <row r="241" customFormat="false" ht="15" hidden="false" customHeight="false" outlineLevel="0" collapsed="false">
      <c r="A241" s="102"/>
    </row>
    <row r="242" customFormat="false" ht="15" hidden="false" customHeight="false" outlineLevel="0" collapsed="false">
      <c r="A242" s="102"/>
    </row>
    <row r="243" customFormat="false" ht="15" hidden="false" customHeight="false" outlineLevel="0" collapsed="false">
      <c r="A243" s="102"/>
    </row>
    <row r="244" customFormat="false" ht="15" hidden="false" customHeight="false" outlineLevel="0" collapsed="false">
      <c r="A244" s="102"/>
    </row>
    <row r="245" customFormat="false" ht="15" hidden="false" customHeight="false" outlineLevel="0" collapsed="false">
      <c r="A245" s="102"/>
    </row>
    <row r="246" customFormat="false" ht="15" hidden="false" customHeight="false" outlineLevel="0" collapsed="false">
      <c r="A246" s="102"/>
    </row>
    <row r="247" customFormat="false" ht="15" hidden="false" customHeight="false" outlineLevel="0" collapsed="false">
      <c r="A247" s="102"/>
    </row>
    <row r="248" customFormat="false" ht="15" hidden="false" customHeight="false" outlineLevel="0" collapsed="false">
      <c r="A248" s="102"/>
    </row>
    <row r="249" customFormat="false" ht="15" hidden="false" customHeight="false" outlineLevel="0" collapsed="false">
      <c r="A249" s="102"/>
    </row>
    <row r="250" customFormat="false" ht="15" hidden="false" customHeight="false" outlineLevel="0" collapsed="false">
      <c r="A250" s="102"/>
    </row>
    <row r="251" customFormat="false" ht="15" hidden="false" customHeight="false" outlineLevel="0" collapsed="false">
      <c r="A251" s="102"/>
    </row>
    <row r="252" customFormat="false" ht="15" hidden="false" customHeight="false" outlineLevel="0" collapsed="false">
      <c r="A252" s="102"/>
    </row>
    <row r="253" customFormat="false" ht="15" hidden="false" customHeight="false" outlineLevel="0" collapsed="false">
      <c r="A253" s="102"/>
    </row>
    <row r="254" customFormat="false" ht="15" hidden="false" customHeight="false" outlineLevel="0" collapsed="false">
      <c r="A254" s="102"/>
    </row>
    <row r="255" customFormat="false" ht="15" hidden="false" customHeight="false" outlineLevel="0" collapsed="false">
      <c r="A255" s="102"/>
    </row>
    <row r="256" customFormat="false" ht="15" hidden="false" customHeight="false" outlineLevel="0" collapsed="false">
      <c r="A256" s="102"/>
    </row>
    <row r="257" customFormat="false" ht="15" hidden="false" customHeight="false" outlineLevel="0" collapsed="false">
      <c r="A257" s="102"/>
    </row>
    <row r="258" customFormat="false" ht="15" hidden="false" customHeight="false" outlineLevel="0" collapsed="false">
      <c r="A258" s="102"/>
    </row>
    <row r="259" customFormat="false" ht="15" hidden="false" customHeight="false" outlineLevel="0" collapsed="false">
      <c r="A259" s="102"/>
    </row>
    <row r="260" customFormat="false" ht="15" hidden="false" customHeight="false" outlineLevel="0" collapsed="false">
      <c r="A260" s="102"/>
    </row>
    <row r="261" customFormat="false" ht="15" hidden="false" customHeight="false" outlineLevel="0" collapsed="false">
      <c r="A261" s="102"/>
    </row>
    <row r="262" customFormat="false" ht="15" hidden="false" customHeight="false" outlineLevel="0" collapsed="false">
      <c r="A262" s="102"/>
    </row>
    <row r="263" customFormat="false" ht="15" hidden="false" customHeight="false" outlineLevel="0" collapsed="false">
      <c r="A263" s="102"/>
    </row>
    <row r="264" customFormat="false" ht="15" hidden="false" customHeight="false" outlineLevel="0" collapsed="false">
      <c r="A264" s="102"/>
    </row>
    <row r="265" customFormat="false" ht="15" hidden="false" customHeight="false" outlineLevel="0" collapsed="false">
      <c r="A265" s="102"/>
    </row>
    <row r="266" customFormat="false" ht="15" hidden="false" customHeight="false" outlineLevel="0" collapsed="false">
      <c r="A266" s="102"/>
    </row>
    <row r="267" customFormat="false" ht="15" hidden="false" customHeight="false" outlineLevel="0" collapsed="false">
      <c r="A267" s="102"/>
    </row>
    <row r="268" customFormat="false" ht="15" hidden="false" customHeight="false" outlineLevel="0" collapsed="false">
      <c r="A268" s="102"/>
    </row>
    <row r="269" customFormat="false" ht="15" hidden="false" customHeight="false" outlineLevel="0" collapsed="false">
      <c r="A269" s="102"/>
    </row>
    <row r="270" customFormat="false" ht="15" hidden="false" customHeight="false" outlineLevel="0" collapsed="false">
      <c r="A270" s="102"/>
    </row>
    <row r="271" customFormat="false" ht="15" hidden="false" customHeight="false" outlineLevel="0" collapsed="false">
      <c r="A271" s="102"/>
    </row>
    <row r="272" customFormat="false" ht="15" hidden="false" customHeight="false" outlineLevel="0" collapsed="false">
      <c r="A272" s="102"/>
    </row>
    <row r="273" customFormat="false" ht="15" hidden="false" customHeight="false" outlineLevel="0" collapsed="false">
      <c r="A273" s="102"/>
    </row>
    <row r="274" customFormat="false" ht="15" hidden="false" customHeight="false" outlineLevel="0" collapsed="false">
      <c r="A274" s="102"/>
    </row>
    <row r="275" customFormat="false" ht="15" hidden="false" customHeight="false" outlineLevel="0" collapsed="false">
      <c r="A275" s="102"/>
    </row>
    <row r="276" customFormat="false" ht="15" hidden="false" customHeight="false" outlineLevel="0" collapsed="false">
      <c r="A276" s="102"/>
    </row>
    <row r="277" customFormat="false" ht="15" hidden="false" customHeight="false" outlineLevel="0" collapsed="false">
      <c r="A277" s="102"/>
    </row>
    <row r="278" customFormat="false" ht="15" hidden="false" customHeight="false" outlineLevel="0" collapsed="false">
      <c r="A278" s="102"/>
    </row>
    <row r="279" customFormat="false" ht="15" hidden="false" customHeight="false" outlineLevel="0" collapsed="false">
      <c r="A279" s="102"/>
    </row>
    <row r="280" customFormat="false" ht="15" hidden="false" customHeight="false" outlineLevel="0" collapsed="false">
      <c r="A280" s="102"/>
    </row>
    <row r="281" customFormat="false" ht="15" hidden="false" customHeight="false" outlineLevel="0" collapsed="false">
      <c r="A281" s="102"/>
    </row>
    <row r="282" customFormat="false" ht="15" hidden="false" customHeight="false" outlineLevel="0" collapsed="false">
      <c r="A282" s="102"/>
    </row>
    <row r="283" customFormat="false" ht="15" hidden="false" customHeight="false" outlineLevel="0" collapsed="false">
      <c r="A283" s="102"/>
    </row>
    <row r="284" customFormat="false" ht="15" hidden="false" customHeight="false" outlineLevel="0" collapsed="false">
      <c r="A284" s="102"/>
    </row>
    <row r="285" customFormat="false" ht="15" hidden="false" customHeight="false" outlineLevel="0" collapsed="false">
      <c r="A285" s="102"/>
    </row>
    <row r="286" customFormat="false" ht="15" hidden="false" customHeight="false" outlineLevel="0" collapsed="false">
      <c r="A286" s="102"/>
    </row>
    <row r="287" customFormat="false" ht="15" hidden="false" customHeight="false" outlineLevel="0" collapsed="false">
      <c r="A287" s="102"/>
    </row>
    <row r="288" customFormat="false" ht="15" hidden="false" customHeight="false" outlineLevel="0" collapsed="false">
      <c r="A288" s="102"/>
    </row>
    <row r="289" customFormat="false" ht="15" hidden="false" customHeight="false" outlineLevel="0" collapsed="false">
      <c r="A289" s="102"/>
    </row>
    <row r="290" customFormat="false" ht="15" hidden="false" customHeight="false" outlineLevel="0" collapsed="false">
      <c r="A290" s="102"/>
    </row>
    <row r="291" customFormat="false" ht="15" hidden="false" customHeight="false" outlineLevel="0" collapsed="false">
      <c r="A291" s="102"/>
    </row>
    <row r="292" customFormat="false" ht="15" hidden="false" customHeight="false" outlineLevel="0" collapsed="false">
      <c r="A292" s="102"/>
    </row>
    <row r="293" customFormat="false" ht="15" hidden="false" customHeight="false" outlineLevel="0" collapsed="false">
      <c r="A293" s="102"/>
    </row>
    <row r="294" customFormat="false" ht="15" hidden="false" customHeight="false" outlineLevel="0" collapsed="false">
      <c r="A294" s="102"/>
    </row>
    <row r="295" customFormat="false" ht="15" hidden="false" customHeight="false" outlineLevel="0" collapsed="false">
      <c r="A295" s="102"/>
    </row>
    <row r="296" customFormat="false" ht="15" hidden="false" customHeight="false" outlineLevel="0" collapsed="false">
      <c r="A296" s="102"/>
    </row>
    <row r="297" customFormat="false" ht="15" hidden="false" customHeight="false" outlineLevel="0" collapsed="false">
      <c r="A297" s="102"/>
    </row>
    <row r="298" customFormat="false" ht="15" hidden="false" customHeight="false" outlineLevel="0" collapsed="false">
      <c r="A298" s="102"/>
    </row>
    <row r="299" customFormat="false" ht="15" hidden="false" customHeight="false" outlineLevel="0" collapsed="false">
      <c r="A299" s="102"/>
    </row>
    <row r="300" customFormat="false" ht="15" hidden="false" customHeight="false" outlineLevel="0" collapsed="false">
      <c r="A300" s="102"/>
    </row>
    <row r="301" customFormat="false" ht="15" hidden="false" customHeight="false" outlineLevel="0" collapsed="false">
      <c r="A301" s="102"/>
    </row>
    <row r="302" customFormat="false" ht="15" hidden="false" customHeight="false" outlineLevel="0" collapsed="false">
      <c r="A302" s="102"/>
    </row>
    <row r="303" customFormat="false" ht="15" hidden="false" customHeight="false" outlineLevel="0" collapsed="false">
      <c r="A303" s="102"/>
    </row>
    <row r="304" customFormat="false" ht="15" hidden="false" customHeight="false" outlineLevel="0" collapsed="false">
      <c r="A304" s="102"/>
    </row>
    <row r="305" customFormat="false" ht="15" hidden="false" customHeight="false" outlineLevel="0" collapsed="false">
      <c r="A305" s="102"/>
    </row>
    <row r="306" customFormat="false" ht="15" hidden="false" customHeight="false" outlineLevel="0" collapsed="false">
      <c r="A306" s="102"/>
    </row>
    <row r="307" customFormat="false" ht="15" hidden="false" customHeight="false" outlineLevel="0" collapsed="false">
      <c r="A307" s="102"/>
    </row>
    <row r="308" customFormat="false" ht="15" hidden="false" customHeight="false" outlineLevel="0" collapsed="false">
      <c r="A308" s="102"/>
    </row>
    <row r="309" customFormat="false" ht="15" hidden="false" customHeight="false" outlineLevel="0" collapsed="false">
      <c r="A309" s="102"/>
    </row>
    <row r="310" customFormat="false" ht="15" hidden="false" customHeight="false" outlineLevel="0" collapsed="false">
      <c r="A310" s="102"/>
    </row>
    <row r="311" customFormat="false" ht="15" hidden="false" customHeight="false" outlineLevel="0" collapsed="false">
      <c r="A311" s="102"/>
    </row>
    <row r="312" customFormat="false" ht="15" hidden="false" customHeight="false" outlineLevel="0" collapsed="false">
      <c r="A312" s="102"/>
    </row>
    <row r="313" customFormat="false" ht="15" hidden="false" customHeight="false" outlineLevel="0" collapsed="false">
      <c r="A313" s="102"/>
    </row>
    <row r="314" customFormat="false" ht="15" hidden="false" customHeight="false" outlineLevel="0" collapsed="false">
      <c r="A314" s="102"/>
    </row>
    <row r="315" customFormat="false" ht="15" hidden="false" customHeight="false" outlineLevel="0" collapsed="false">
      <c r="A315" s="102"/>
    </row>
    <row r="316" customFormat="false" ht="15" hidden="false" customHeight="false" outlineLevel="0" collapsed="false">
      <c r="A316" s="102"/>
    </row>
    <row r="317" customFormat="false" ht="15" hidden="false" customHeight="false" outlineLevel="0" collapsed="false">
      <c r="A317" s="102"/>
    </row>
    <row r="318" customFormat="false" ht="15" hidden="false" customHeight="false" outlineLevel="0" collapsed="false">
      <c r="A318" s="102"/>
    </row>
    <row r="319" customFormat="false" ht="15" hidden="false" customHeight="false" outlineLevel="0" collapsed="false">
      <c r="A319" s="102"/>
    </row>
    <row r="320" customFormat="false" ht="15" hidden="false" customHeight="false" outlineLevel="0" collapsed="false">
      <c r="A320" s="102"/>
    </row>
    <row r="321" customFormat="false" ht="15" hidden="false" customHeight="false" outlineLevel="0" collapsed="false">
      <c r="A321" s="102"/>
    </row>
    <row r="322" customFormat="false" ht="15" hidden="false" customHeight="false" outlineLevel="0" collapsed="false">
      <c r="A322" s="102"/>
    </row>
    <row r="323" customFormat="false" ht="15" hidden="false" customHeight="false" outlineLevel="0" collapsed="false">
      <c r="A323" s="102"/>
    </row>
    <row r="324" customFormat="false" ht="15" hidden="false" customHeight="false" outlineLevel="0" collapsed="false">
      <c r="A324" s="102"/>
    </row>
    <row r="325" customFormat="false" ht="15" hidden="false" customHeight="false" outlineLevel="0" collapsed="false">
      <c r="A325" s="102"/>
    </row>
    <row r="326" customFormat="false" ht="15" hidden="false" customHeight="false" outlineLevel="0" collapsed="false">
      <c r="A326" s="102"/>
    </row>
    <row r="327" customFormat="false" ht="15" hidden="false" customHeight="false" outlineLevel="0" collapsed="false">
      <c r="A327" s="102"/>
    </row>
    <row r="328" customFormat="false" ht="15" hidden="false" customHeight="false" outlineLevel="0" collapsed="false">
      <c r="A328" s="102"/>
    </row>
    <row r="329" customFormat="false" ht="15" hidden="false" customHeight="false" outlineLevel="0" collapsed="false">
      <c r="A329" s="102"/>
    </row>
    <row r="330" customFormat="false" ht="15" hidden="false" customHeight="false" outlineLevel="0" collapsed="false">
      <c r="A330" s="102"/>
    </row>
    <row r="331" customFormat="false" ht="15" hidden="false" customHeight="false" outlineLevel="0" collapsed="false">
      <c r="A331" s="102"/>
    </row>
    <row r="332" customFormat="false" ht="15" hidden="false" customHeight="false" outlineLevel="0" collapsed="false">
      <c r="A332" s="102"/>
    </row>
    <row r="333" customFormat="false" ht="15" hidden="false" customHeight="false" outlineLevel="0" collapsed="false">
      <c r="A333" s="102"/>
    </row>
    <row r="334" customFormat="false" ht="15" hidden="false" customHeight="false" outlineLevel="0" collapsed="false">
      <c r="A334" s="102"/>
    </row>
    <row r="335" customFormat="false" ht="15" hidden="false" customHeight="false" outlineLevel="0" collapsed="false">
      <c r="A335" s="102"/>
    </row>
    <row r="336" customFormat="false" ht="15" hidden="false" customHeight="false" outlineLevel="0" collapsed="false">
      <c r="A336" s="102"/>
    </row>
    <row r="337" customFormat="false" ht="15" hidden="false" customHeight="false" outlineLevel="0" collapsed="false">
      <c r="A337" s="102"/>
    </row>
    <row r="338" customFormat="false" ht="15" hidden="false" customHeight="false" outlineLevel="0" collapsed="false">
      <c r="A338" s="102"/>
    </row>
    <row r="339" customFormat="false" ht="15" hidden="false" customHeight="false" outlineLevel="0" collapsed="false">
      <c r="A339" s="102"/>
    </row>
    <row r="340" customFormat="false" ht="15" hidden="false" customHeight="false" outlineLevel="0" collapsed="false">
      <c r="A340" s="102"/>
    </row>
    <row r="341" customFormat="false" ht="15" hidden="false" customHeight="false" outlineLevel="0" collapsed="false">
      <c r="A341" s="102"/>
    </row>
    <row r="342" customFormat="false" ht="15" hidden="false" customHeight="false" outlineLevel="0" collapsed="false">
      <c r="A342" s="102"/>
    </row>
    <row r="343" customFormat="false" ht="15" hidden="false" customHeight="false" outlineLevel="0" collapsed="false">
      <c r="A343" s="102"/>
    </row>
    <row r="344" customFormat="false" ht="15" hidden="false" customHeight="false" outlineLevel="0" collapsed="false">
      <c r="A344" s="102"/>
    </row>
    <row r="345" customFormat="false" ht="15" hidden="false" customHeight="false" outlineLevel="0" collapsed="false">
      <c r="A345" s="102"/>
    </row>
    <row r="346" customFormat="false" ht="15" hidden="false" customHeight="false" outlineLevel="0" collapsed="false">
      <c r="A346" s="102"/>
    </row>
    <row r="347" customFormat="false" ht="15" hidden="false" customHeight="false" outlineLevel="0" collapsed="false">
      <c r="A347" s="102"/>
    </row>
    <row r="348" customFormat="false" ht="15" hidden="false" customHeight="false" outlineLevel="0" collapsed="false">
      <c r="A348" s="102"/>
    </row>
    <row r="349" customFormat="false" ht="15" hidden="false" customHeight="false" outlineLevel="0" collapsed="false">
      <c r="A349" s="102"/>
    </row>
    <row r="350" customFormat="false" ht="15" hidden="false" customHeight="false" outlineLevel="0" collapsed="false">
      <c r="A350" s="102"/>
    </row>
    <row r="351" customFormat="false" ht="15" hidden="false" customHeight="false" outlineLevel="0" collapsed="false">
      <c r="A351" s="102"/>
    </row>
    <row r="352" customFormat="false" ht="15" hidden="false" customHeight="false" outlineLevel="0" collapsed="false">
      <c r="A352" s="102"/>
    </row>
    <row r="353" customFormat="false" ht="15" hidden="false" customHeight="false" outlineLevel="0" collapsed="false">
      <c r="A353" s="102"/>
    </row>
    <row r="354" customFormat="false" ht="15" hidden="false" customHeight="false" outlineLevel="0" collapsed="false">
      <c r="A354" s="102"/>
    </row>
    <row r="355" customFormat="false" ht="15" hidden="false" customHeight="false" outlineLevel="0" collapsed="false">
      <c r="A355" s="102"/>
    </row>
    <row r="356" customFormat="false" ht="15" hidden="false" customHeight="false" outlineLevel="0" collapsed="false">
      <c r="A356" s="102"/>
    </row>
    <row r="357" customFormat="false" ht="15" hidden="false" customHeight="false" outlineLevel="0" collapsed="false">
      <c r="A357" s="102"/>
    </row>
    <row r="358" customFormat="false" ht="15" hidden="false" customHeight="false" outlineLevel="0" collapsed="false">
      <c r="A358" s="102"/>
    </row>
    <row r="359" customFormat="false" ht="15" hidden="false" customHeight="false" outlineLevel="0" collapsed="false">
      <c r="A359" s="102"/>
    </row>
    <row r="360" customFormat="false" ht="15" hidden="false" customHeight="false" outlineLevel="0" collapsed="false">
      <c r="A360" s="102"/>
    </row>
    <row r="361" customFormat="false" ht="15" hidden="false" customHeight="false" outlineLevel="0" collapsed="false">
      <c r="A361" s="102"/>
    </row>
    <row r="362" customFormat="false" ht="15" hidden="false" customHeight="false" outlineLevel="0" collapsed="false">
      <c r="A362" s="102"/>
    </row>
    <row r="363" customFormat="false" ht="15" hidden="false" customHeight="false" outlineLevel="0" collapsed="false">
      <c r="A363" s="102"/>
    </row>
    <row r="364" customFormat="false" ht="15" hidden="false" customHeight="false" outlineLevel="0" collapsed="false">
      <c r="A364" s="102"/>
    </row>
    <row r="365" customFormat="false" ht="15" hidden="false" customHeight="false" outlineLevel="0" collapsed="false">
      <c r="A365" s="102"/>
    </row>
    <row r="366" customFormat="false" ht="15" hidden="false" customHeight="false" outlineLevel="0" collapsed="false">
      <c r="A366" s="102"/>
    </row>
    <row r="367" customFormat="false" ht="15" hidden="false" customHeight="false" outlineLevel="0" collapsed="false">
      <c r="A367" s="102"/>
    </row>
    <row r="368" customFormat="false" ht="15" hidden="false" customHeight="false" outlineLevel="0" collapsed="false">
      <c r="A368" s="102"/>
    </row>
    <row r="369" customFormat="false" ht="15" hidden="false" customHeight="false" outlineLevel="0" collapsed="false">
      <c r="A369" s="102"/>
    </row>
    <row r="370" customFormat="false" ht="15" hidden="false" customHeight="false" outlineLevel="0" collapsed="false">
      <c r="A370" s="102"/>
    </row>
    <row r="371" customFormat="false" ht="15" hidden="false" customHeight="false" outlineLevel="0" collapsed="false">
      <c r="A371" s="102"/>
    </row>
    <row r="372" customFormat="false" ht="15" hidden="false" customHeight="false" outlineLevel="0" collapsed="false">
      <c r="A372" s="102"/>
    </row>
    <row r="373" customFormat="false" ht="15" hidden="false" customHeight="false" outlineLevel="0" collapsed="false">
      <c r="A373" s="102"/>
    </row>
    <row r="374" customFormat="false" ht="15" hidden="false" customHeight="false" outlineLevel="0" collapsed="false">
      <c r="A374" s="102"/>
    </row>
    <row r="375" customFormat="false" ht="15" hidden="false" customHeight="false" outlineLevel="0" collapsed="false">
      <c r="A375" s="102"/>
    </row>
    <row r="376" customFormat="false" ht="15" hidden="false" customHeight="false" outlineLevel="0" collapsed="false">
      <c r="A376" s="102"/>
    </row>
    <row r="377" customFormat="false" ht="15" hidden="false" customHeight="false" outlineLevel="0" collapsed="false">
      <c r="A377" s="102"/>
    </row>
    <row r="378" customFormat="false" ht="15" hidden="false" customHeight="false" outlineLevel="0" collapsed="false">
      <c r="A378" s="102"/>
    </row>
    <row r="379" customFormat="false" ht="15" hidden="false" customHeight="false" outlineLevel="0" collapsed="false">
      <c r="A379" s="102"/>
    </row>
    <row r="380" customFormat="false" ht="15" hidden="false" customHeight="false" outlineLevel="0" collapsed="false">
      <c r="A380" s="102"/>
    </row>
    <row r="381" customFormat="false" ht="15" hidden="false" customHeight="false" outlineLevel="0" collapsed="false">
      <c r="A381" s="102"/>
    </row>
    <row r="382" customFormat="false" ht="15" hidden="false" customHeight="false" outlineLevel="0" collapsed="false">
      <c r="A382" s="102"/>
    </row>
    <row r="383" customFormat="false" ht="15" hidden="false" customHeight="false" outlineLevel="0" collapsed="false">
      <c r="A383" s="102"/>
    </row>
    <row r="384" customFormat="false" ht="15" hidden="false" customHeight="false" outlineLevel="0" collapsed="false">
      <c r="A384" s="102"/>
    </row>
    <row r="385" customFormat="false" ht="15" hidden="false" customHeight="false" outlineLevel="0" collapsed="false">
      <c r="A385" s="102"/>
    </row>
    <row r="386" customFormat="false" ht="15" hidden="false" customHeight="false" outlineLevel="0" collapsed="false">
      <c r="A386" s="102"/>
    </row>
    <row r="387" customFormat="false" ht="15" hidden="false" customHeight="false" outlineLevel="0" collapsed="false">
      <c r="A387" s="102"/>
    </row>
    <row r="388" customFormat="false" ht="15" hidden="false" customHeight="false" outlineLevel="0" collapsed="false">
      <c r="A388" s="102"/>
    </row>
    <row r="389" customFormat="false" ht="15" hidden="false" customHeight="false" outlineLevel="0" collapsed="false">
      <c r="A389" s="102"/>
    </row>
    <row r="390" customFormat="false" ht="15" hidden="false" customHeight="false" outlineLevel="0" collapsed="false">
      <c r="A390" s="102"/>
    </row>
    <row r="391" customFormat="false" ht="15" hidden="false" customHeight="false" outlineLevel="0" collapsed="false">
      <c r="A391" s="102"/>
    </row>
    <row r="392" customFormat="false" ht="15" hidden="false" customHeight="false" outlineLevel="0" collapsed="false">
      <c r="A392" s="102"/>
    </row>
    <row r="393" customFormat="false" ht="15" hidden="false" customHeight="false" outlineLevel="0" collapsed="false">
      <c r="A393" s="102"/>
    </row>
    <row r="394" customFormat="false" ht="15" hidden="false" customHeight="false" outlineLevel="0" collapsed="false">
      <c r="A394" s="102"/>
    </row>
    <row r="395" customFormat="false" ht="15" hidden="false" customHeight="false" outlineLevel="0" collapsed="false">
      <c r="A395" s="102"/>
    </row>
    <row r="396" customFormat="false" ht="15" hidden="false" customHeight="false" outlineLevel="0" collapsed="false">
      <c r="A396" s="102"/>
    </row>
    <row r="397" customFormat="false" ht="15" hidden="false" customHeight="false" outlineLevel="0" collapsed="false">
      <c r="A397" s="102"/>
    </row>
    <row r="398" customFormat="false" ht="15" hidden="false" customHeight="false" outlineLevel="0" collapsed="false">
      <c r="A398" s="102"/>
    </row>
    <row r="399" customFormat="false" ht="15" hidden="false" customHeight="false" outlineLevel="0" collapsed="false">
      <c r="A399" s="102"/>
    </row>
    <row r="400" customFormat="false" ht="15" hidden="false" customHeight="false" outlineLevel="0" collapsed="false">
      <c r="A400" s="102"/>
    </row>
    <row r="401" customFormat="false" ht="15" hidden="false" customHeight="false" outlineLevel="0" collapsed="false">
      <c r="A401" s="102"/>
    </row>
    <row r="402" customFormat="false" ht="15" hidden="false" customHeight="false" outlineLevel="0" collapsed="false">
      <c r="A402" s="102"/>
    </row>
    <row r="403" customFormat="false" ht="15" hidden="false" customHeight="false" outlineLevel="0" collapsed="false">
      <c r="A403" s="102"/>
    </row>
    <row r="404" customFormat="false" ht="15" hidden="false" customHeight="false" outlineLevel="0" collapsed="false">
      <c r="A404" s="102"/>
    </row>
    <row r="405" customFormat="false" ht="15" hidden="false" customHeight="false" outlineLevel="0" collapsed="false">
      <c r="A405" s="102"/>
    </row>
    <row r="406" customFormat="false" ht="15" hidden="false" customHeight="false" outlineLevel="0" collapsed="false">
      <c r="A406" s="102"/>
    </row>
    <row r="407" customFormat="false" ht="15" hidden="false" customHeight="false" outlineLevel="0" collapsed="false">
      <c r="A407" s="102"/>
    </row>
    <row r="408" customFormat="false" ht="15" hidden="false" customHeight="false" outlineLevel="0" collapsed="false">
      <c r="A408" s="102"/>
    </row>
    <row r="409" customFormat="false" ht="15" hidden="false" customHeight="false" outlineLevel="0" collapsed="false">
      <c r="A409" s="102"/>
    </row>
    <row r="410" customFormat="false" ht="15" hidden="false" customHeight="false" outlineLevel="0" collapsed="false">
      <c r="A410" s="102"/>
    </row>
    <row r="411" customFormat="false" ht="15" hidden="false" customHeight="false" outlineLevel="0" collapsed="false">
      <c r="A411" s="102"/>
    </row>
    <row r="412" customFormat="false" ht="15" hidden="false" customHeight="false" outlineLevel="0" collapsed="false">
      <c r="A412" s="102"/>
    </row>
    <row r="413" customFormat="false" ht="15" hidden="false" customHeight="false" outlineLevel="0" collapsed="false">
      <c r="A413" s="102"/>
    </row>
    <row r="414" customFormat="false" ht="15" hidden="false" customHeight="false" outlineLevel="0" collapsed="false">
      <c r="A414" s="102"/>
    </row>
    <row r="415" customFormat="false" ht="15" hidden="false" customHeight="false" outlineLevel="0" collapsed="false">
      <c r="A415" s="102"/>
    </row>
    <row r="416" customFormat="false" ht="15" hidden="false" customHeight="false" outlineLevel="0" collapsed="false">
      <c r="A416" s="102"/>
    </row>
    <row r="417" customFormat="false" ht="15" hidden="false" customHeight="false" outlineLevel="0" collapsed="false">
      <c r="A417" s="102"/>
    </row>
    <row r="418" customFormat="false" ht="15" hidden="false" customHeight="false" outlineLevel="0" collapsed="false">
      <c r="A418" s="102"/>
    </row>
    <row r="419" customFormat="false" ht="15" hidden="false" customHeight="false" outlineLevel="0" collapsed="false">
      <c r="A419" s="102"/>
    </row>
    <row r="420" customFormat="false" ht="15" hidden="false" customHeight="false" outlineLevel="0" collapsed="false">
      <c r="A420" s="102"/>
    </row>
    <row r="421" customFormat="false" ht="15" hidden="false" customHeight="false" outlineLevel="0" collapsed="false">
      <c r="A421" s="102"/>
    </row>
    <row r="422" customFormat="false" ht="15" hidden="false" customHeight="false" outlineLevel="0" collapsed="false">
      <c r="A422" s="102"/>
    </row>
    <row r="423" customFormat="false" ht="15" hidden="false" customHeight="false" outlineLevel="0" collapsed="false">
      <c r="A423" s="102"/>
    </row>
    <row r="424" customFormat="false" ht="15" hidden="false" customHeight="false" outlineLevel="0" collapsed="false">
      <c r="A424" s="102"/>
    </row>
    <row r="425" customFormat="false" ht="15" hidden="false" customHeight="false" outlineLevel="0" collapsed="false">
      <c r="A425" s="102"/>
    </row>
    <row r="426" customFormat="false" ht="15" hidden="false" customHeight="false" outlineLevel="0" collapsed="false">
      <c r="A426" s="102"/>
    </row>
    <row r="427" customFormat="false" ht="15" hidden="false" customHeight="false" outlineLevel="0" collapsed="false">
      <c r="A427" s="102"/>
    </row>
    <row r="428" customFormat="false" ht="15" hidden="false" customHeight="false" outlineLevel="0" collapsed="false">
      <c r="A428" s="102"/>
    </row>
    <row r="429" customFormat="false" ht="15" hidden="false" customHeight="false" outlineLevel="0" collapsed="false">
      <c r="A429" s="102"/>
    </row>
    <row r="430" customFormat="false" ht="15" hidden="false" customHeight="false" outlineLevel="0" collapsed="false">
      <c r="A430" s="102"/>
    </row>
    <row r="431" customFormat="false" ht="15" hidden="false" customHeight="false" outlineLevel="0" collapsed="false">
      <c r="A431" s="102"/>
    </row>
    <row r="432" customFormat="false" ht="15" hidden="false" customHeight="false" outlineLevel="0" collapsed="false">
      <c r="A432" s="102"/>
    </row>
    <row r="433" customFormat="false" ht="15" hidden="false" customHeight="false" outlineLevel="0" collapsed="false">
      <c r="A433" s="102"/>
    </row>
    <row r="434" customFormat="false" ht="15" hidden="false" customHeight="false" outlineLevel="0" collapsed="false">
      <c r="A434" s="102"/>
    </row>
    <row r="435" customFormat="false" ht="15" hidden="false" customHeight="false" outlineLevel="0" collapsed="false">
      <c r="A435" s="102"/>
    </row>
    <row r="436" customFormat="false" ht="15" hidden="false" customHeight="false" outlineLevel="0" collapsed="false">
      <c r="A436" s="102"/>
    </row>
    <row r="437" customFormat="false" ht="15" hidden="false" customHeight="false" outlineLevel="0" collapsed="false">
      <c r="A437" s="102"/>
    </row>
    <row r="438" customFormat="false" ht="15" hidden="false" customHeight="false" outlineLevel="0" collapsed="false">
      <c r="A438" s="102"/>
    </row>
    <row r="439" customFormat="false" ht="15" hidden="false" customHeight="false" outlineLevel="0" collapsed="false">
      <c r="A439" s="102"/>
    </row>
    <row r="440" customFormat="false" ht="15" hidden="false" customHeight="false" outlineLevel="0" collapsed="false">
      <c r="A440" s="102"/>
    </row>
    <row r="441" customFormat="false" ht="15" hidden="false" customHeight="false" outlineLevel="0" collapsed="false">
      <c r="A441" s="102"/>
    </row>
    <row r="442" customFormat="false" ht="15" hidden="false" customHeight="false" outlineLevel="0" collapsed="false">
      <c r="A442" s="102"/>
    </row>
    <row r="443" customFormat="false" ht="15" hidden="false" customHeight="false" outlineLevel="0" collapsed="false">
      <c r="A443" s="102"/>
    </row>
    <row r="444" customFormat="false" ht="15" hidden="false" customHeight="false" outlineLevel="0" collapsed="false">
      <c r="A444" s="102"/>
    </row>
    <row r="445" customFormat="false" ht="15" hidden="false" customHeight="false" outlineLevel="0" collapsed="false">
      <c r="A445" s="102"/>
    </row>
    <row r="446" customFormat="false" ht="15" hidden="false" customHeight="false" outlineLevel="0" collapsed="false">
      <c r="A446" s="102"/>
    </row>
    <row r="447" customFormat="false" ht="15" hidden="false" customHeight="false" outlineLevel="0" collapsed="false">
      <c r="A447" s="102"/>
    </row>
    <row r="448" customFormat="false" ht="15" hidden="false" customHeight="false" outlineLevel="0" collapsed="false">
      <c r="A448" s="102"/>
    </row>
    <row r="449" customFormat="false" ht="15" hidden="false" customHeight="false" outlineLevel="0" collapsed="false">
      <c r="A449" s="102"/>
    </row>
    <row r="450" customFormat="false" ht="15" hidden="false" customHeight="false" outlineLevel="0" collapsed="false">
      <c r="A450" s="102"/>
    </row>
    <row r="451" customFormat="false" ht="15" hidden="false" customHeight="false" outlineLevel="0" collapsed="false">
      <c r="A451" s="102"/>
    </row>
    <row r="452" customFormat="false" ht="15" hidden="false" customHeight="false" outlineLevel="0" collapsed="false">
      <c r="A452" s="102"/>
    </row>
    <row r="453" customFormat="false" ht="15" hidden="false" customHeight="false" outlineLevel="0" collapsed="false">
      <c r="A453" s="102"/>
    </row>
    <row r="454" customFormat="false" ht="15" hidden="false" customHeight="false" outlineLevel="0" collapsed="false">
      <c r="A454" s="102"/>
    </row>
    <row r="455" customFormat="false" ht="15" hidden="false" customHeight="false" outlineLevel="0" collapsed="false">
      <c r="A455" s="102"/>
    </row>
    <row r="456" customFormat="false" ht="15" hidden="false" customHeight="false" outlineLevel="0" collapsed="false">
      <c r="A456" s="102"/>
    </row>
    <row r="457" customFormat="false" ht="15" hidden="false" customHeight="false" outlineLevel="0" collapsed="false">
      <c r="A457" s="102"/>
    </row>
    <row r="458" customFormat="false" ht="15" hidden="false" customHeight="false" outlineLevel="0" collapsed="false">
      <c r="A458" s="102"/>
    </row>
    <row r="459" customFormat="false" ht="15" hidden="false" customHeight="false" outlineLevel="0" collapsed="false">
      <c r="A459" s="102"/>
    </row>
    <row r="460" customFormat="false" ht="15" hidden="false" customHeight="false" outlineLevel="0" collapsed="false">
      <c r="A460" s="102"/>
    </row>
    <row r="461" customFormat="false" ht="15" hidden="false" customHeight="false" outlineLevel="0" collapsed="false">
      <c r="A461" s="102"/>
    </row>
    <row r="462" customFormat="false" ht="15" hidden="false" customHeight="false" outlineLevel="0" collapsed="false">
      <c r="A462" s="102"/>
    </row>
    <row r="463" customFormat="false" ht="15" hidden="false" customHeight="false" outlineLevel="0" collapsed="false">
      <c r="A463" s="102"/>
    </row>
    <row r="464" customFormat="false" ht="15" hidden="false" customHeight="false" outlineLevel="0" collapsed="false">
      <c r="A464" s="102"/>
    </row>
    <row r="465" customFormat="false" ht="15" hidden="false" customHeight="false" outlineLevel="0" collapsed="false">
      <c r="A465" s="102"/>
    </row>
    <row r="466" customFormat="false" ht="15" hidden="false" customHeight="false" outlineLevel="0" collapsed="false">
      <c r="A466" s="102"/>
    </row>
    <row r="467" customFormat="false" ht="15" hidden="false" customHeight="false" outlineLevel="0" collapsed="false">
      <c r="A467" s="102"/>
    </row>
    <row r="468" customFormat="false" ht="15" hidden="false" customHeight="false" outlineLevel="0" collapsed="false">
      <c r="A468" s="102"/>
    </row>
    <row r="469" customFormat="false" ht="15" hidden="false" customHeight="false" outlineLevel="0" collapsed="false">
      <c r="A469" s="102"/>
    </row>
    <row r="470" customFormat="false" ht="15" hidden="false" customHeight="false" outlineLevel="0" collapsed="false">
      <c r="A470" s="102"/>
    </row>
    <row r="471" customFormat="false" ht="15" hidden="false" customHeight="false" outlineLevel="0" collapsed="false">
      <c r="A471" s="102"/>
    </row>
    <row r="472" customFormat="false" ht="15" hidden="false" customHeight="false" outlineLevel="0" collapsed="false">
      <c r="A472" s="102"/>
    </row>
    <row r="473" customFormat="false" ht="15" hidden="false" customHeight="false" outlineLevel="0" collapsed="false">
      <c r="A473" s="102"/>
    </row>
    <row r="474" customFormat="false" ht="15" hidden="false" customHeight="false" outlineLevel="0" collapsed="false">
      <c r="A474" s="102"/>
    </row>
    <row r="475" customFormat="false" ht="15" hidden="false" customHeight="false" outlineLevel="0" collapsed="false">
      <c r="A475" s="102"/>
    </row>
    <row r="476" customFormat="false" ht="15" hidden="false" customHeight="false" outlineLevel="0" collapsed="false">
      <c r="A476" s="102"/>
    </row>
    <row r="477" customFormat="false" ht="15" hidden="false" customHeight="false" outlineLevel="0" collapsed="false">
      <c r="A477" s="102"/>
    </row>
    <row r="478" customFormat="false" ht="15" hidden="false" customHeight="false" outlineLevel="0" collapsed="false">
      <c r="A478" s="102"/>
    </row>
    <row r="479" customFormat="false" ht="15" hidden="false" customHeight="false" outlineLevel="0" collapsed="false">
      <c r="A479" s="102"/>
    </row>
    <row r="480" customFormat="false" ht="15" hidden="false" customHeight="false" outlineLevel="0" collapsed="false">
      <c r="A480" s="102"/>
    </row>
    <row r="481" customFormat="false" ht="15" hidden="false" customHeight="false" outlineLevel="0" collapsed="false">
      <c r="A481" s="102"/>
    </row>
    <row r="482" customFormat="false" ht="15" hidden="false" customHeight="false" outlineLevel="0" collapsed="false">
      <c r="A482" s="102"/>
    </row>
    <row r="483" customFormat="false" ht="15" hidden="false" customHeight="false" outlineLevel="0" collapsed="false">
      <c r="A483" s="102"/>
    </row>
    <row r="484" customFormat="false" ht="15" hidden="false" customHeight="false" outlineLevel="0" collapsed="false">
      <c r="A484" s="102"/>
    </row>
    <row r="485" customFormat="false" ht="15" hidden="false" customHeight="false" outlineLevel="0" collapsed="false">
      <c r="A485" s="102"/>
    </row>
    <row r="486" customFormat="false" ht="15" hidden="false" customHeight="false" outlineLevel="0" collapsed="false">
      <c r="A486" s="102"/>
    </row>
    <row r="487" customFormat="false" ht="15" hidden="false" customHeight="false" outlineLevel="0" collapsed="false">
      <c r="A487" s="102"/>
    </row>
    <row r="488" customFormat="false" ht="15" hidden="false" customHeight="false" outlineLevel="0" collapsed="false">
      <c r="A488" s="102"/>
    </row>
    <row r="489" customFormat="false" ht="15" hidden="false" customHeight="false" outlineLevel="0" collapsed="false">
      <c r="A489" s="102"/>
    </row>
    <row r="490" customFormat="false" ht="15" hidden="false" customHeight="false" outlineLevel="0" collapsed="false">
      <c r="A490" s="102"/>
    </row>
    <row r="491" customFormat="false" ht="15" hidden="false" customHeight="false" outlineLevel="0" collapsed="false">
      <c r="A491" s="102"/>
    </row>
    <row r="492" customFormat="false" ht="15" hidden="false" customHeight="false" outlineLevel="0" collapsed="false">
      <c r="A492" s="102"/>
    </row>
    <row r="493" customFormat="false" ht="15" hidden="false" customHeight="false" outlineLevel="0" collapsed="false">
      <c r="A493" s="102"/>
    </row>
    <row r="494" customFormat="false" ht="15" hidden="false" customHeight="false" outlineLevel="0" collapsed="false">
      <c r="A494" s="102"/>
    </row>
    <row r="495" customFormat="false" ht="15" hidden="false" customHeight="false" outlineLevel="0" collapsed="false">
      <c r="A495" s="102"/>
    </row>
    <row r="496" customFormat="false" ht="15" hidden="false" customHeight="false" outlineLevel="0" collapsed="false">
      <c r="A496" s="102"/>
    </row>
    <row r="497" customFormat="false" ht="15" hidden="false" customHeight="false" outlineLevel="0" collapsed="false">
      <c r="A497" s="102"/>
    </row>
    <row r="498" customFormat="false" ht="15" hidden="false" customHeight="false" outlineLevel="0" collapsed="false">
      <c r="A498" s="102"/>
    </row>
    <row r="499" customFormat="false" ht="15" hidden="false" customHeight="false" outlineLevel="0" collapsed="false">
      <c r="A499" s="102"/>
    </row>
    <row r="500" customFormat="false" ht="15" hidden="false" customHeight="false" outlineLevel="0" collapsed="false">
      <c r="A500" s="102"/>
    </row>
    <row r="501" customFormat="false" ht="15" hidden="false" customHeight="false" outlineLevel="0" collapsed="false">
      <c r="A501" s="102"/>
    </row>
    <row r="502" customFormat="false" ht="15" hidden="false" customHeight="false" outlineLevel="0" collapsed="false">
      <c r="A502" s="102"/>
    </row>
    <row r="503" customFormat="false" ht="15" hidden="false" customHeight="false" outlineLevel="0" collapsed="false">
      <c r="A503" s="102"/>
    </row>
    <row r="504" customFormat="false" ht="15" hidden="false" customHeight="false" outlineLevel="0" collapsed="false">
      <c r="A504" s="102"/>
    </row>
    <row r="505" customFormat="false" ht="15" hidden="false" customHeight="false" outlineLevel="0" collapsed="false">
      <c r="A505" s="102"/>
    </row>
    <row r="506" customFormat="false" ht="15" hidden="false" customHeight="false" outlineLevel="0" collapsed="false">
      <c r="A506" s="102"/>
    </row>
    <row r="507" customFormat="false" ht="15" hidden="false" customHeight="false" outlineLevel="0" collapsed="false">
      <c r="A507" s="102"/>
    </row>
    <row r="508" customFormat="false" ht="15" hidden="false" customHeight="false" outlineLevel="0" collapsed="false">
      <c r="A508" s="102"/>
    </row>
    <row r="509" customFormat="false" ht="15" hidden="false" customHeight="false" outlineLevel="0" collapsed="false">
      <c r="A509" s="102"/>
    </row>
    <row r="510" customFormat="false" ht="15" hidden="false" customHeight="false" outlineLevel="0" collapsed="false">
      <c r="A510" s="102"/>
    </row>
    <row r="511" customFormat="false" ht="15" hidden="false" customHeight="false" outlineLevel="0" collapsed="false">
      <c r="A511" s="102"/>
    </row>
    <row r="512" customFormat="false" ht="15" hidden="false" customHeight="false" outlineLevel="0" collapsed="false">
      <c r="A512" s="102"/>
    </row>
    <row r="513" customFormat="false" ht="15" hidden="false" customHeight="false" outlineLevel="0" collapsed="false">
      <c r="A513" s="102"/>
    </row>
    <row r="514" customFormat="false" ht="15" hidden="false" customHeight="false" outlineLevel="0" collapsed="false">
      <c r="A514" s="102"/>
    </row>
    <row r="515" customFormat="false" ht="15" hidden="false" customHeight="false" outlineLevel="0" collapsed="false">
      <c r="A515" s="102"/>
    </row>
    <row r="516" customFormat="false" ht="15" hidden="false" customHeight="false" outlineLevel="0" collapsed="false">
      <c r="A516" s="102"/>
    </row>
    <row r="517" customFormat="false" ht="15" hidden="false" customHeight="false" outlineLevel="0" collapsed="false">
      <c r="A517" s="102"/>
    </row>
    <row r="518" customFormat="false" ht="15" hidden="false" customHeight="false" outlineLevel="0" collapsed="false">
      <c r="A518" s="102"/>
    </row>
    <row r="519" customFormat="false" ht="15" hidden="false" customHeight="false" outlineLevel="0" collapsed="false">
      <c r="A519" s="102"/>
    </row>
    <row r="520" customFormat="false" ht="15" hidden="false" customHeight="false" outlineLevel="0" collapsed="false">
      <c r="A520" s="102"/>
    </row>
    <row r="521" customFormat="false" ht="15" hidden="false" customHeight="false" outlineLevel="0" collapsed="false">
      <c r="A521" s="102"/>
    </row>
    <row r="522" customFormat="false" ht="15" hidden="false" customHeight="false" outlineLevel="0" collapsed="false">
      <c r="A522" s="102"/>
    </row>
    <row r="523" customFormat="false" ht="15" hidden="false" customHeight="false" outlineLevel="0" collapsed="false">
      <c r="A523" s="102"/>
    </row>
    <row r="524" customFormat="false" ht="15" hidden="false" customHeight="false" outlineLevel="0" collapsed="false">
      <c r="A524" s="102"/>
    </row>
    <row r="525" customFormat="false" ht="15" hidden="false" customHeight="false" outlineLevel="0" collapsed="false">
      <c r="A525" s="102"/>
    </row>
    <row r="526" customFormat="false" ht="15" hidden="false" customHeight="false" outlineLevel="0" collapsed="false">
      <c r="A526" s="102"/>
    </row>
    <row r="527" customFormat="false" ht="15" hidden="false" customHeight="false" outlineLevel="0" collapsed="false">
      <c r="A527" s="102"/>
    </row>
    <row r="528" customFormat="false" ht="15" hidden="false" customHeight="false" outlineLevel="0" collapsed="false">
      <c r="A528" s="102"/>
    </row>
    <row r="529" customFormat="false" ht="15" hidden="false" customHeight="false" outlineLevel="0" collapsed="false">
      <c r="A529" s="102"/>
    </row>
    <row r="530" customFormat="false" ht="15" hidden="false" customHeight="false" outlineLevel="0" collapsed="false">
      <c r="A530" s="102"/>
    </row>
    <row r="531" customFormat="false" ht="15" hidden="false" customHeight="false" outlineLevel="0" collapsed="false">
      <c r="A531" s="102"/>
    </row>
    <row r="532" customFormat="false" ht="15" hidden="false" customHeight="false" outlineLevel="0" collapsed="false">
      <c r="A532" s="102"/>
    </row>
    <row r="533" customFormat="false" ht="15" hidden="false" customHeight="false" outlineLevel="0" collapsed="false">
      <c r="A533" s="102"/>
    </row>
    <row r="534" customFormat="false" ht="15" hidden="false" customHeight="false" outlineLevel="0" collapsed="false">
      <c r="A534" s="102"/>
    </row>
    <row r="535" customFormat="false" ht="15" hidden="false" customHeight="false" outlineLevel="0" collapsed="false">
      <c r="A535" s="102"/>
    </row>
    <row r="536" customFormat="false" ht="15" hidden="false" customHeight="false" outlineLevel="0" collapsed="false">
      <c r="A536" s="102"/>
    </row>
    <row r="537" customFormat="false" ht="15" hidden="false" customHeight="false" outlineLevel="0" collapsed="false">
      <c r="A537" s="102"/>
    </row>
    <row r="538" customFormat="false" ht="15" hidden="false" customHeight="false" outlineLevel="0" collapsed="false">
      <c r="A538" s="102"/>
    </row>
    <row r="539" customFormat="false" ht="15" hidden="false" customHeight="false" outlineLevel="0" collapsed="false">
      <c r="A539" s="102"/>
    </row>
    <row r="540" customFormat="false" ht="15" hidden="false" customHeight="false" outlineLevel="0" collapsed="false">
      <c r="A540" s="102"/>
    </row>
    <row r="541" customFormat="false" ht="15" hidden="false" customHeight="false" outlineLevel="0" collapsed="false">
      <c r="A541" s="102"/>
    </row>
    <row r="542" customFormat="false" ht="15" hidden="false" customHeight="false" outlineLevel="0" collapsed="false">
      <c r="A542" s="102"/>
    </row>
    <row r="543" customFormat="false" ht="15" hidden="false" customHeight="false" outlineLevel="0" collapsed="false">
      <c r="A543" s="102"/>
    </row>
    <row r="544" customFormat="false" ht="15" hidden="false" customHeight="false" outlineLevel="0" collapsed="false">
      <c r="A544" s="102"/>
    </row>
    <row r="545" customFormat="false" ht="15" hidden="false" customHeight="false" outlineLevel="0" collapsed="false">
      <c r="A545" s="102"/>
    </row>
    <row r="546" customFormat="false" ht="15" hidden="false" customHeight="false" outlineLevel="0" collapsed="false">
      <c r="A546" s="102"/>
    </row>
    <row r="547" customFormat="false" ht="15" hidden="false" customHeight="false" outlineLevel="0" collapsed="false">
      <c r="A547" s="102"/>
    </row>
    <row r="548" customFormat="false" ht="15" hidden="false" customHeight="false" outlineLevel="0" collapsed="false">
      <c r="A548" s="102"/>
    </row>
    <row r="549" customFormat="false" ht="15" hidden="false" customHeight="false" outlineLevel="0" collapsed="false">
      <c r="A549" s="102"/>
    </row>
    <row r="550" customFormat="false" ht="15" hidden="false" customHeight="false" outlineLevel="0" collapsed="false">
      <c r="A550" s="102"/>
    </row>
    <row r="551" customFormat="false" ht="15" hidden="false" customHeight="false" outlineLevel="0" collapsed="false">
      <c r="A551" s="102"/>
    </row>
    <row r="552" customFormat="false" ht="15" hidden="false" customHeight="false" outlineLevel="0" collapsed="false">
      <c r="A552" s="102"/>
    </row>
    <row r="553" customFormat="false" ht="15" hidden="false" customHeight="false" outlineLevel="0" collapsed="false">
      <c r="A553" s="102"/>
    </row>
    <row r="554" customFormat="false" ht="15" hidden="false" customHeight="false" outlineLevel="0" collapsed="false">
      <c r="A554" s="102"/>
    </row>
    <row r="555" customFormat="false" ht="15" hidden="false" customHeight="false" outlineLevel="0" collapsed="false">
      <c r="A555" s="102"/>
    </row>
    <row r="556" customFormat="false" ht="15" hidden="false" customHeight="false" outlineLevel="0" collapsed="false">
      <c r="A556" s="102"/>
    </row>
    <row r="557" customFormat="false" ht="15" hidden="false" customHeight="false" outlineLevel="0" collapsed="false">
      <c r="A557" s="102"/>
    </row>
    <row r="558" customFormat="false" ht="15" hidden="false" customHeight="false" outlineLevel="0" collapsed="false">
      <c r="A558" s="102"/>
    </row>
    <row r="559" customFormat="false" ht="15" hidden="false" customHeight="false" outlineLevel="0" collapsed="false">
      <c r="A559" s="102"/>
    </row>
    <row r="560" customFormat="false" ht="15" hidden="false" customHeight="false" outlineLevel="0" collapsed="false">
      <c r="A560" s="102"/>
    </row>
    <row r="561" customFormat="false" ht="15" hidden="false" customHeight="false" outlineLevel="0" collapsed="false">
      <c r="A561" s="102"/>
    </row>
    <row r="562" customFormat="false" ht="15" hidden="false" customHeight="false" outlineLevel="0" collapsed="false">
      <c r="A562" s="102"/>
    </row>
    <row r="563" customFormat="false" ht="15" hidden="false" customHeight="false" outlineLevel="0" collapsed="false">
      <c r="A563" s="102"/>
    </row>
    <row r="564" customFormat="false" ht="15" hidden="false" customHeight="false" outlineLevel="0" collapsed="false">
      <c r="A564" s="102"/>
    </row>
    <row r="565" customFormat="false" ht="15" hidden="false" customHeight="false" outlineLevel="0" collapsed="false">
      <c r="A565" s="102"/>
    </row>
    <row r="566" customFormat="false" ht="15" hidden="false" customHeight="false" outlineLevel="0" collapsed="false">
      <c r="A566" s="102"/>
    </row>
    <row r="567" customFormat="false" ht="15" hidden="false" customHeight="false" outlineLevel="0" collapsed="false">
      <c r="A567" s="102"/>
    </row>
    <row r="568" customFormat="false" ht="15" hidden="false" customHeight="false" outlineLevel="0" collapsed="false">
      <c r="A568" s="102"/>
    </row>
    <row r="569" customFormat="false" ht="15" hidden="false" customHeight="false" outlineLevel="0" collapsed="false">
      <c r="A569" s="102"/>
    </row>
    <row r="570" customFormat="false" ht="15" hidden="false" customHeight="false" outlineLevel="0" collapsed="false">
      <c r="A570" s="102"/>
    </row>
    <row r="571" customFormat="false" ht="15" hidden="false" customHeight="false" outlineLevel="0" collapsed="false">
      <c r="A571" s="102"/>
    </row>
    <row r="572" customFormat="false" ht="15" hidden="false" customHeight="false" outlineLevel="0" collapsed="false">
      <c r="A572" s="102"/>
    </row>
    <row r="573" customFormat="false" ht="15" hidden="false" customHeight="false" outlineLevel="0" collapsed="false">
      <c r="A573" s="102"/>
    </row>
    <row r="574" customFormat="false" ht="15" hidden="false" customHeight="false" outlineLevel="0" collapsed="false">
      <c r="A574" s="102"/>
    </row>
    <row r="575" customFormat="false" ht="15" hidden="false" customHeight="false" outlineLevel="0" collapsed="false">
      <c r="A575" s="102"/>
    </row>
    <row r="576" customFormat="false" ht="15" hidden="false" customHeight="false" outlineLevel="0" collapsed="false">
      <c r="A576" s="102"/>
    </row>
    <row r="577" customFormat="false" ht="15" hidden="false" customHeight="false" outlineLevel="0" collapsed="false">
      <c r="A577" s="102"/>
    </row>
    <row r="578" customFormat="false" ht="15" hidden="false" customHeight="false" outlineLevel="0" collapsed="false">
      <c r="A578" s="102"/>
    </row>
    <row r="579" customFormat="false" ht="15" hidden="false" customHeight="false" outlineLevel="0" collapsed="false">
      <c r="A579" s="102"/>
    </row>
    <row r="580" customFormat="false" ht="15" hidden="false" customHeight="false" outlineLevel="0" collapsed="false">
      <c r="A580" s="102"/>
    </row>
    <row r="581" customFormat="false" ht="15" hidden="false" customHeight="false" outlineLevel="0" collapsed="false">
      <c r="A581" s="102"/>
    </row>
    <row r="582" customFormat="false" ht="15" hidden="false" customHeight="false" outlineLevel="0" collapsed="false">
      <c r="A582" s="102"/>
    </row>
    <row r="583" customFormat="false" ht="15" hidden="false" customHeight="false" outlineLevel="0" collapsed="false">
      <c r="A583" s="102"/>
    </row>
    <row r="584" customFormat="false" ht="15" hidden="false" customHeight="false" outlineLevel="0" collapsed="false">
      <c r="A584" s="102"/>
    </row>
    <row r="585" customFormat="false" ht="15" hidden="false" customHeight="false" outlineLevel="0" collapsed="false">
      <c r="A585" s="102"/>
    </row>
    <row r="586" customFormat="false" ht="15" hidden="false" customHeight="false" outlineLevel="0" collapsed="false">
      <c r="A586" s="102"/>
    </row>
    <row r="587" customFormat="false" ht="15" hidden="false" customHeight="false" outlineLevel="0" collapsed="false">
      <c r="A587" s="102"/>
    </row>
    <row r="588" customFormat="false" ht="15" hidden="false" customHeight="false" outlineLevel="0" collapsed="false">
      <c r="A588" s="102"/>
    </row>
    <row r="589" customFormat="false" ht="15" hidden="false" customHeight="false" outlineLevel="0" collapsed="false">
      <c r="A589" s="102"/>
    </row>
    <row r="590" customFormat="false" ht="15" hidden="false" customHeight="false" outlineLevel="0" collapsed="false">
      <c r="A590" s="102"/>
    </row>
    <row r="591" customFormat="false" ht="15" hidden="false" customHeight="false" outlineLevel="0" collapsed="false">
      <c r="A591" s="102"/>
    </row>
    <row r="592" customFormat="false" ht="15" hidden="false" customHeight="false" outlineLevel="0" collapsed="false">
      <c r="A592" s="102"/>
    </row>
    <row r="593" customFormat="false" ht="15" hidden="false" customHeight="false" outlineLevel="0" collapsed="false">
      <c r="A593" s="102"/>
    </row>
    <row r="594" customFormat="false" ht="15" hidden="false" customHeight="false" outlineLevel="0" collapsed="false">
      <c r="A594" s="102"/>
    </row>
    <row r="595" customFormat="false" ht="15" hidden="false" customHeight="false" outlineLevel="0" collapsed="false">
      <c r="A595" s="102"/>
    </row>
    <row r="596" customFormat="false" ht="15" hidden="false" customHeight="false" outlineLevel="0" collapsed="false">
      <c r="A596" s="102"/>
    </row>
    <row r="597" customFormat="false" ht="15" hidden="false" customHeight="false" outlineLevel="0" collapsed="false">
      <c r="A597" s="102"/>
    </row>
    <row r="598" customFormat="false" ht="15" hidden="false" customHeight="false" outlineLevel="0" collapsed="false">
      <c r="A598" s="102"/>
    </row>
    <row r="599" customFormat="false" ht="15" hidden="false" customHeight="false" outlineLevel="0" collapsed="false">
      <c r="A599" s="102"/>
    </row>
    <row r="600" customFormat="false" ht="15" hidden="false" customHeight="false" outlineLevel="0" collapsed="false">
      <c r="A600" s="102"/>
    </row>
    <row r="601" customFormat="false" ht="15" hidden="false" customHeight="false" outlineLevel="0" collapsed="false">
      <c r="A601" s="102"/>
    </row>
    <row r="602" customFormat="false" ht="15" hidden="false" customHeight="false" outlineLevel="0" collapsed="false">
      <c r="A602" s="102"/>
    </row>
    <row r="603" customFormat="false" ht="15" hidden="false" customHeight="false" outlineLevel="0" collapsed="false">
      <c r="A603" s="102"/>
    </row>
    <row r="604" customFormat="false" ht="15" hidden="false" customHeight="false" outlineLevel="0" collapsed="false">
      <c r="A604" s="102"/>
    </row>
    <row r="605" customFormat="false" ht="15" hidden="false" customHeight="false" outlineLevel="0" collapsed="false">
      <c r="A605" s="102"/>
    </row>
    <row r="606" customFormat="false" ht="15" hidden="false" customHeight="false" outlineLevel="0" collapsed="false">
      <c r="A606" s="102"/>
    </row>
    <row r="607" customFormat="false" ht="15" hidden="false" customHeight="false" outlineLevel="0" collapsed="false">
      <c r="A607" s="102"/>
    </row>
    <row r="608" customFormat="false" ht="15" hidden="false" customHeight="false" outlineLevel="0" collapsed="false">
      <c r="A608" s="102"/>
    </row>
    <row r="609" customFormat="false" ht="15" hidden="false" customHeight="false" outlineLevel="0" collapsed="false">
      <c r="A609" s="102"/>
    </row>
    <row r="610" customFormat="false" ht="15" hidden="false" customHeight="false" outlineLevel="0" collapsed="false">
      <c r="A610" s="102"/>
    </row>
    <row r="611" customFormat="false" ht="15" hidden="false" customHeight="false" outlineLevel="0" collapsed="false">
      <c r="A611" s="102"/>
    </row>
    <row r="612" customFormat="false" ht="15" hidden="false" customHeight="false" outlineLevel="0" collapsed="false">
      <c r="A612" s="102"/>
    </row>
    <row r="613" customFormat="false" ht="15" hidden="false" customHeight="false" outlineLevel="0" collapsed="false">
      <c r="A613" s="102"/>
    </row>
    <row r="614" customFormat="false" ht="15" hidden="false" customHeight="false" outlineLevel="0" collapsed="false">
      <c r="A614" s="102"/>
    </row>
    <row r="615" customFormat="false" ht="15" hidden="false" customHeight="false" outlineLevel="0" collapsed="false">
      <c r="A615" s="102"/>
    </row>
    <row r="616" customFormat="false" ht="15" hidden="false" customHeight="false" outlineLevel="0" collapsed="false">
      <c r="A616" s="102"/>
    </row>
    <row r="617" customFormat="false" ht="15" hidden="false" customHeight="false" outlineLevel="0" collapsed="false">
      <c r="A617" s="102"/>
    </row>
    <row r="618" customFormat="false" ht="15" hidden="false" customHeight="false" outlineLevel="0" collapsed="false">
      <c r="A618" s="102"/>
    </row>
    <row r="619" customFormat="false" ht="15" hidden="false" customHeight="false" outlineLevel="0" collapsed="false">
      <c r="A619" s="102"/>
    </row>
    <row r="620" customFormat="false" ht="15" hidden="false" customHeight="false" outlineLevel="0" collapsed="false">
      <c r="A620" s="102"/>
    </row>
    <row r="621" customFormat="false" ht="15" hidden="false" customHeight="false" outlineLevel="0" collapsed="false">
      <c r="A621" s="102"/>
    </row>
    <row r="622" customFormat="false" ht="15" hidden="false" customHeight="false" outlineLevel="0" collapsed="false">
      <c r="A622" s="102"/>
    </row>
    <row r="623" customFormat="false" ht="15" hidden="false" customHeight="false" outlineLevel="0" collapsed="false">
      <c r="A623" s="102"/>
    </row>
    <row r="624" customFormat="false" ht="15" hidden="false" customHeight="false" outlineLevel="0" collapsed="false">
      <c r="A624" s="102"/>
    </row>
    <row r="625" customFormat="false" ht="15" hidden="false" customHeight="false" outlineLevel="0" collapsed="false">
      <c r="A625" s="102"/>
    </row>
    <row r="626" customFormat="false" ht="15" hidden="false" customHeight="false" outlineLevel="0" collapsed="false">
      <c r="A626" s="102"/>
    </row>
    <row r="627" customFormat="false" ht="15" hidden="false" customHeight="false" outlineLevel="0" collapsed="false">
      <c r="A627" s="102"/>
    </row>
    <row r="628" customFormat="false" ht="15" hidden="false" customHeight="false" outlineLevel="0" collapsed="false">
      <c r="A628" s="102"/>
    </row>
    <row r="629" customFormat="false" ht="15" hidden="false" customHeight="false" outlineLevel="0" collapsed="false">
      <c r="A629" s="102"/>
    </row>
    <row r="630" customFormat="false" ht="15" hidden="false" customHeight="false" outlineLevel="0" collapsed="false">
      <c r="A630" s="102"/>
    </row>
    <row r="631" customFormat="false" ht="15" hidden="false" customHeight="false" outlineLevel="0" collapsed="false">
      <c r="A631" s="102"/>
    </row>
    <row r="632" customFormat="false" ht="15" hidden="false" customHeight="false" outlineLevel="0" collapsed="false">
      <c r="A632" s="102"/>
    </row>
    <row r="633" customFormat="false" ht="15" hidden="false" customHeight="false" outlineLevel="0" collapsed="false">
      <c r="A633" s="102"/>
    </row>
    <row r="634" customFormat="false" ht="15" hidden="false" customHeight="false" outlineLevel="0" collapsed="false">
      <c r="A634" s="102"/>
    </row>
    <row r="635" customFormat="false" ht="15" hidden="false" customHeight="false" outlineLevel="0" collapsed="false">
      <c r="A635" s="102"/>
    </row>
    <row r="636" customFormat="false" ht="15" hidden="false" customHeight="false" outlineLevel="0" collapsed="false">
      <c r="A636" s="102"/>
    </row>
    <row r="637" customFormat="false" ht="15" hidden="false" customHeight="false" outlineLevel="0" collapsed="false">
      <c r="A637" s="102"/>
    </row>
    <row r="638" customFormat="false" ht="15" hidden="false" customHeight="false" outlineLevel="0" collapsed="false">
      <c r="A638" s="102"/>
    </row>
    <row r="639" customFormat="false" ht="15" hidden="false" customHeight="false" outlineLevel="0" collapsed="false">
      <c r="A639" s="102"/>
    </row>
    <row r="640" customFormat="false" ht="15" hidden="false" customHeight="false" outlineLevel="0" collapsed="false">
      <c r="A640" s="102"/>
    </row>
    <row r="641" customFormat="false" ht="15" hidden="false" customHeight="false" outlineLevel="0" collapsed="false">
      <c r="A641" s="102"/>
    </row>
    <row r="642" customFormat="false" ht="15" hidden="false" customHeight="false" outlineLevel="0" collapsed="false">
      <c r="A642" s="102"/>
    </row>
    <row r="643" customFormat="false" ht="15" hidden="false" customHeight="false" outlineLevel="0" collapsed="false">
      <c r="A643" s="102"/>
    </row>
    <row r="644" customFormat="false" ht="15" hidden="false" customHeight="false" outlineLevel="0" collapsed="false">
      <c r="A644" s="102"/>
    </row>
    <row r="645" customFormat="false" ht="15" hidden="false" customHeight="false" outlineLevel="0" collapsed="false">
      <c r="A645" s="102"/>
    </row>
    <row r="646" customFormat="false" ht="15" hidden="false" customHeight="false" outlineLevel="0" collapsed="false">
      <c r="A646" s="102"/>
    </row>
    <row r="647" customFormat="false" ht="15" hidden="false" customHeight="false" outlineLevel="0" collapsed="false">
      <c r="A647" s="102"/>
    </row>
    <row r="648" customFormat="false" ht="15" hidden="false" customHeight="false" outlineLevel="0" collapsed="false">
      <c r="A648" s="102"/>
    </row>
    <row r="649" customFormat="false" ht="15" hidden="false" customHeight="false" outlineLevel="0" collapsed="false">
      <c r="A649" s="102"/>
    </row>
    <row r="650" customFormat="false" ht="15" hidden="false" customHeight="false" outlineLevel="0" collapsed="false">
      <c r="A650" s="102"/>
    </row>
    <row r="651" customFormat="false" ht="15" hidden="false" customHeight="false" outlineLevel="0" collapsed="false">
      <c r="A651" s="102"/>
    </row>
    <row r="652" customFormat="false" ht="15" hidden="false" customHeight="false" outlineLevel="0" collapsed="false">
      <c r="A652" s="102"/>
    </row>
    <row r="653" customFormat="false" ht="15" hidden="false" customHeight="false" outlineLevel="0" collapsed="false">
      <c r="A653" s="102"/>
    </row>
    <row r="654" customFormat="false" ht="15" hidden="false" customHeight="false" outlineLevel="0" collapsed="false">
      <c r="A654" s="102"/>
    </row>
    <row r="655" customFormat="false" ht="15" hidden="false" customHeight="false" outlineLevel="0" collapsed="false">
      <c r="A655" s="102"/>
    </row>
    <row r="656" customFormat="false" ht="15" hidden="false" customHeight="false" outlineLevel="0" collapsed="false">
      <c r="A656" s="102"/>
    </row>
    <row r="657" customFormat="false" ht="15" hidden="false" customHeight="false" outlineLevel="0" collapsed="false">
      <c r="A657" s="102"/>
    </row>
    <row r="658" customFormat="false" ht="15" hidden="false" customHeight="false" outlineLevel="0" collapsed="false">
      <c r="A658" s="102"/>
    </row>
    <row r="659" customFormat="false" ht="15" hidden="false" customHeight="false" outlineLevel="0" collapsed="false">
      <c r="A659" s="102"/>
    </row>
    <row r="660" customFormat="false" ht="15" hidden="false" customHeight="false" outlineLevel="0" collapsed="false">
      <c r="A660" s="102"/>
    </row>
    <row r="661" customFormat="false" ht="15" hidden="false" customHeight="false" outlineLevel="0" collapsed="false">
      <c r="A661" s="102"/>
    </row>
    <row r="662" customFormat="false" ht="15" hidden="false" customHeight="false" outlineLevel="0" collapsed="false">
      <c r="A662" s="102"/>
    </row>
    <row r="663" customFormat="false" ht="15" hidden="false" customHeight="false" outlineLevel="0" collapsed="false">
      <c r="A663" s="102"/>
    </row>
    <row r="664" customFormat="false" ht="15" hidden="false" customHeight="false" outlineLevel="0" collapsed="false">
      <c r="A664" s="102"/>
    </row>
    <row r="665" customFormat="false" ht="15" hidden="false" customHeight="false" outlineLevel="0" collapsed="false">
      <c r="A665" s="102"/>
    </row>
    <row r="666" customFormat="false" ht="15" hidden="false" customHeight="false" outlineLevel="0" collapsed="false">
      <c r="A666" s="102"/>
    </row>
    <row r="667" customFormat="false" ht="15" hidden="false" customHeight="false" outlineLevel="0" collapsed="false">
      <c r="A667" s="102"/>
    </row>
    <row r="668" customFormat="false" ht="15" hidden="false" customHeight="false" outlineLevel="0" collapsed="false">
      <c r="A668" s="102"/>
    </row>
    <row r="669" customFormat="false" ht="15" hidden="false" customHeight="false" outlineLevel="0" collapsed="false">
      <c r="A669" s="102"/>
    </row>
    <row r="670" customFormat="false" ht="15" hidden="false" customHeight="false" outlineLevel="0" collapsed="false">
      <c r="A670" s="102"/>
    </row>
    <row r="671" customFormat="false" ht="15" hidden="false" customHeight="false" outlineLevel="0" collapsed="false">
      <c r="A671" s="102"/>
    </row>
    <row r="672" customFormat="false" ht="15" hidden="false" customHeight="false" outlineLevel="0" collapsed="false">
      <c r="A672" s="102"/>
    </row>
    <row r="673" customFormat="false" ht="15" hidden="false" customHeight="false" outlineLevel="0" collapsed="false">
      <c r="A673" s="102"/>
    </row>
    <row r="674" customFormat="false" ht="15" hidden="false" customHeight="false" outlineLevel="0" collapsed="false">
      <c r="A674" s="102"/>
    </row>
    <row r="675" customFormat="false" ht="15" hidden="false" customHeight="false" outlineLevel="0" collapsed="false">
      <c r="A675" s="102"/>
    </row>
    <row r="676" customFormat="false" ht="15" hidden="false" customHeight="false" outlineLevel="0" collapsed="false">
      <c r="A676" s="102"/>
    </row>
    <row r="677" customFormat="false" ht="15" hidden="false" customHeight="false" outlineLevel="0" collapsed="false">
      <c r="A677" s="102"/>
    </row>
    <row r="678" customFormat="false" ht="15" hidden="false" customHeight="false" outlineLevel="0" collapsed="false">
      <c r="A678" s="102"/>
    </row>
    <row r="679" customFormat="false" ht="15" hidden="false" customHeight="false" outlineLevel="0" collapsed="false">
      <c r="A679" s="102"/>
    </row>
    <row r="680" customFormat="false" ht="15" hidden="false" customHeight="false" outlineLevel="0" collapsed="false">
      <c r="A680" s="102"/>
    </row>
    <row r="681" customFormat="false" ht="15" hidden="false" customHeight="false" outlineLevel="0" collapsed="false">
      <c r="A681" s="102"/>
    </row>
    <row r="682" customFormat="false" ht="15" hidden="false" customHeight="false" outlineLevel="0" collapsed="false">
      <c r="A682" s="102"/>
    </row>
    <row r="683" customFormat="false" ht="15" hidden="false" customHeight="false" outlineLevel="0" collapsed="false">
      <c r="A683" s="102"/>
    </row>
    <row r="684" customFormat="false" ht="15" hidden="false" customHeight="false" outlineLevel="0" collapsed="false">
      <c r="A684" s="102"/>
    </row>
    <row r="685" customFormat="false" ht="15" hidden="false" customHeight="false" outlineLevel="0" collapsed="false">
      <c r="A685" s="102"/>
    </row>
    <row r="686" customFormat="false" ht="15" hidden="false" customHeight="false" outlineLevel="0" collapsed="false">
      <c r="A686" s="102"/>
    </row>
    <row r="687" customFormat="false" ht="15" hidden="false" customHeight="false" outlineLevel="0" collapsed="false">
      <c r="A687" s="102"/>
    </row>
    <row r="688" customFormat="false" ht="15" hidden="false" customHeight="false" outlineLevel="0" collapsed="false">
      <c r="A688" s="102"/>
    </row>
    <row r="689" customFormat="false" ht="15" hidden="false" customHeight="false" outlineLevel="0" collapsed="false">
      <c r="A689" s="102"/>
    </row>
    <row r="690" customFormat="false" ht="15" hidden="false" customHeight="false" outlineLevel="0" collapsed="false">
      <c r="A690" s="102"/>
    </row>
    <row r="691" customFormat="false" ht="15" hidden="false" customHeight="false" outlineLevel="0" collapsed="false">
      <c r="A691" s="102"/>
    </row>
    <row r="692" customFormat="false" ht="15" hidden="false" customHeight="false" outlineLevel="0" collapsed="false">
      <c r="A692" s="102"/>
    </row>
    <row r="693" customFormat="false" ht="15" hidden="false" customHeight="false" outlineLevel="0" collapsed="false">
      <c r="A693" s="102"/>
    </row>
    <row r="694" customFormat="false" ht="15" hidden="false" customHeight="false" outlineLevel="0" collapsed="false">
      <c r="A694" s="102"/>
    </row>
    <row r="695" customFormat="false" ht="15" hidden="false" customHeight="false" outlineLevel="0" collapsed="false">
      <c r="A695" s="102"/>
    </row>
    <row r="696" customFormat="false" ht="15" hidden="false" customHeight="false" outlineLevel="0" collapsed="false">
      <c r="A696" s="102"/>
    </row>
    <row r="697" customFormat="false" ht="15" hidden="false" customHeight="false" outlineLevel="0" collapsed="false">
      <c r="A697" s="102"/>
    </row>
    <row r="698" customFormat="false" ht="15" hidden="false" customHeight="false" outlineLevel="0" collapsed="false">
      <c r="A698" s="102"/>
    </row>
    <row r="699" customFormat="false" ht="15" hidden="false" customHeight="false" outlineLevel="0" collapsed="false">
      <c r="A699" s="102"/>
    </row>
    <row r="700" customFormat="false" ht="15" hidden="false" customHeight="false" outlineLevel="0" collapsed="false">
      <c r="A700" s="102"/>
    </row>
    <row r="701" customFormat="false" ht="15" hidden="false" customHeight="false" outlineLevel="0" collapsed="false">
      <c r="A701" s="102"/>
    </row>
    <row r="702" customFormat="false" ht="15" hidden="false" customHeight="false" outlineLevel="0" collapsed="false">
      <c r="A702" s="102"/>
    </row>
    <row r="703" customFormat="false" ht="15" hidden="false" customHeight="false" outlineLevel="0" collapsed="false">
      <c r="A703" s="102"/>
    </row>
    <row r="704" customFormat="false" ht="15" hidden="false" customHeight="false" outlineLevel="0" collapsed="false">
      <c r="A704" s="102"/>
    </row>
    <row r="705" customFormat="false" ht="15" hidden="false" customHeight="false" outlineLevel="0" collapsed="false">
      <c r="A705" s="102"/>
    </row>
    <row r="706" customFormat="false" ht="15" hidden="false" customHeight="false" outlineLevel="0" collapsed="false">
      <c r="A706" s="102"/>
    </row>
    <row r="707" customFormat="false" ht="15" hidden="false" customHeight="false" outlineLevel="0" collapsed="false">
      <c r="A707" s="102"/>
    </row>
    <row r="708" customFormat="false" ht="15" hidden="false" customHeight="false" outlineLevel="0" collapsed="false">
      <c r="A708" s="102"/>
    </row>
    <row r="709" customFormat="false" ht="15" hidden="false" customHeight="false" outlineLevel="0" collapsed="false">
      <c r="A709" s="102"/>
    </row>
    <row r="710" customFormat="false" ht="15" hidden="false" customHeight="false" outlineLevel="0" collapsed="false">
      <c r="A710" s="102"/>
    </row>
    <row r="711" customFormat="false" ht="15" hidden="false" customHeight="false" outlineLevel="0" collapsed="false">
      <c r="A711" s="102"/>
    </row>
    <row r="712" customFormat="false" ht="15" hidden="false" customHeight="false" outlineLevel="0" collapsed="false">
      <c r="A712" s="102"/>
    </row>
    <row r="713" customFormat="false" ht="15" hidden="false" customHeight="false" outlineLevel="0" collapsed="false">
      <c r="A713" s="102"/>
    </row>
    <row r="714" customFormat="false" ht="15" hidden="false" customHeight="false" outlineLevel="0" collapsed="false">
      <c r="A714" s="102"/>
    </row>
    <row r="715" customFormat="false" ht="15" hidden="false" customHeight="false" outlineLevel="0" collapsed="false">
      <c r="A715" s="102"/>
    </row>
    <row r="716" customFormat="false" ht="15" hidden="false" customHeight="false" outlineLevel="0" collapsed="false">
      <c r="A716" s="102"/>
    </row>
    <row r="717" customFormat="false" ht="15" hidden="false" customHeight="false" outlineLevel="0" collapsed="false">
      <c r="A717" s="102"/>
    </row>
    <row r="718" customFormat="false" ht="15" hidden="false" customHeight="false" outlineLevel="0" collapsed="false">
      <c r="A718" s="102"/>
    </row>
    <row r="719" customFormat="false" ht="15" hidden="false" customHeight="false" outlineLevel="0" collapsed="false">
      <c r="A719" s="102"/>
    </row>
    <row r="720" customFormat="false" ht="15" hidden="false" customHeight="false" outlineLevel="0" collapsed="false">
      <c r="A720" s="102"/>
    </row>
    <row r="721" customFormat="false" ht="15" hidden="false" customHeight="false" outlineLevel="0" collapsed="false">
      <c r="A721" s="102"/>
    </row>
    <row r="722" customFormat="false" ht="15" hidden="false" customHeight="false" outlineLevel="0" collapsed="false">
      <c r="A722" s="102"/>
    </row>
    <row r="723" customFormat="false" ht="15" hidden="false" customHeight="false" outlineLevel="0" collapsed="false">
      <c r="A723" s="102"/>
    </row>
    <row r="724" customFormat="false" ht="15" hidden="false" customHeight="false" outlineLevel="0" collapsed="false">
      <c r="A724" s="102"/>
    </row>
    <row r="725" customFormat="false" ht="15" hidden="false" customHeight="false" outlineLevel="0" collapsed="false">
      <c r="A725" s="102"/>
    </row>
    <row r="726" customFormat="false" ht="15" hidden="false" customHeight="false" outlineLevel="0" collapsed="false">
      <c r="A726" s="102"/>
    </row>
    <row r="727" customFormat="false" ht="15" hidden="false" customHeight="false" outlineLevel="0" collapsed="false">
      <c r="A727" s="102"/>
    </row>
    <row r="728" customFormat="false" ht="15" hidden="false" customHeight="false" outlineLevel="0" collapsed="false">
      <c r="A728" s="102"/>
    </row>
    <row r="729" customFormat="false" ht="15" hidden="false" customHeight="false" outlineLevel="0" collapsed="false">
      <c r="A729" s="102"/>
    </row>
    <row r="730" customFormat="false" ht="15" hidden="false" customHeight="false" outlineLevel="0" collapsed="false">
      <c r="A730" s="102"/>
    </row>
    <row r="731" customFormat="false" ht="15" hidden="false" customHeight="false" outlineLevel="0" collapsed="false">
      <c r="A731" s="102"/>
    </row>
    <row r="732" customFormat="false" ht="15" hidden="false" customHeight="false" outlineLevel="0" collapsed="false">
      <c r="A732" s="102"/>
    </row>
    <row r="733" customFormat="false" ht="15" hidden="false" customHeight="false" outlineLevel="0" collapsed="false">
      <c r="A733" s="102"/>
    </row>
    <row r="734" customFormat="false" ht="15" hidden="false" customHeight="false" outlineLevel="0" collapsed="false">
      <c r="A734" s="102"/>
    </row>
    <row r="735" customFormat="false" ht="15" hidden="false" customHeight="false" outlineLevel="0" collapsed="false">
      <c r="A735" s="102"/>
    </row>
    <row r="736" customFormat="false" ht="15" hidden="false" customHeight="false" outlineLevel="0" collapsed="false">
      <c r="A736" s="102"/>
    </row>
    <row r="737" customFormat="false" ht="15" hidden="false" customHeight="false" outlineLevel="0" collapsed="false">
      <c r="A737" s="102"/>
    </row>
    <row r="738" customFormat="false" ht="15" hidden="false" customHeight="false" outlineLevel="0" collapsed="false">
      <c r="A738" s="102"/>
    </row>
    <row r="739" customFormat="false" ht="15" hidden="false" customHeight="false" outlineLevel="0" collapsed="false">
      <c r="A739" s="102"/>
    </row>
    <row r="740" customFormat="false" ht="15" hidden="false" customHeight="false" outlineLevel="0" collapsed="false">
      <c r="A740" s="102"/>
    </row>
    <row r="741" customFormat="false" ht="15" hidden="false" customHeight="false" outlineLevel="0" collapsed="false">
      <c r="A741" s="102"/>
    </row>
    <row r="742" customFormat="false" ht="15" hidden="false" customHeight="false" outlineLevel="0" collapsed="false">
      <c r="A742" s="102"/>
    </row>
    <row r="743" customFormat="false" ht="15" hidden="false" customHeight="false" outlineLevel="0" collapsed="false">
      <c r="A743" s="102"/>
    </row>
    <row r="744" customFormat="false" ht="15" hidden="false" customHeight="false" outlineLevel="0" collapsed="false">
      <c r="A744" s="102"/>
    </row>
    <row r="745" customFormat="false" ht="15" hidden="false" customHeight="false" outlineLevel="0" collapsed="false">
      <c r="A745" s="102"/>
    </row>
    <row r="746" customFormat="false" ht="15" hidden="false" customHeight="false" outlineLevel="0" collapsed="false">
      <c r="A746" s="102"/>
    </row>
    <row r="747" customFormat="false" ht="15" hidden="false" customHeight="false" outlineLevel="0" collapsed="false">
      <c r="A747" s="102"/>
    </row>
    <row r="748" customFormat="false" ht="15" hidden="false" customHeight="false" outlineLevel="0" collapsed="false">
      <c r="A748" s="102"/>
    </row>
    <row r="749" customFormat="false" ht="15" hidden="false" customHeight="false" outlineLevel="0" collapsed="false">
      <c r="A749" s="102"/>
    </row>
    <row r="750" customFormat="false" ht="15" hidden="false" customHeight="false" outlineLevel="0" collapsed="false">
      <c r="A750" s="102"/>
    </row>
    <row r="751" customFormat="false" ht="15" hidden="false" customHeight="false" outlineLevel="0" collapsed="false">
      <c r="A751" s="102"/>
    </row>
    <row r="752" customFormat="false" ht="15" hidden="false" customHeight="false" outlineLevel="0" collapsed="false">
      <c r="A752" s="102"/>
    </row>
    <row r="753" customFormat="false" ht="15" hidden="false" customHeight="false" outlineLevel="0" collapsed="false">
      <c r="A753" s="102"/>
    </row>
    <row r="754" customFormat="false" ht="15" hidden="false" customHeight="false" outlineLevel="0" collapsed="false">
      <c r="A754" s="102"/>
    </row>
    <row r="755" customFormat="false" ht="15" hidden="false" customHeight="false" outlineLevel="0" collapsed="false">
      <c r="A755" s="102"/>
    </row>
    <row r="756" customFormat="false" ht="15" hidden="false" customHeight="false" outlineLevel="0" collapsed="false">
      <c r="A756" s="102"/>
    </row>
    <row r="757" customFormat="false" ht="15" hidden="false" customHeight="false" outlineLevel="0" collapsed="false">
      <c r="A757" s="102"/>
    </row>
    <row r="758" customFormat="false" ht="15" hidden="false" customHeight="false" outlineLevel="0" collapsed="false">
      <c r="A758" s="102"/>
    </row>
    <row r="759" customFormat="false" ht="15" hidden="false" customHeight="false" outlineLevel="0" collapsed="false">
      <c r="A759" s="102"/>
    </row>
    <row r="760" customFormat="false" ht="15" hidden="false" customHeight="false" outlineLevel="0" collapsed="false">
      <c r="A760" s="102"/>
    </row>
    <row r="761" customFormat="false" ht="15" hidden="false" customHeight="false" outlineLevel="0" collapsed="false">
      <c r="A761" s="102"/>
    </row>
    <row r="762" customFormat="false" ht="15" hidden="false" customHeight="false" outlineLevel="0" collapsed="false">
      <c r="A762" s="102"/>
    </row>
    <row r="763" customFormat="false" ht="15" hidden="false" customHeight="false" outlineLevel="0" collapsed="false">
      <c r="A763" s="102"/>
    </row>
    <row r="764" customFormat="false" ht="15" hidden="false" customHeight="false" outlineLevel="0" collapsed="false">
      <c r="A764" s="102"/>
    </row>
    <row r="765" customFormat="false" ht="15" hidden="false" customHeight="false" outlineLevel="0" collapsed="false">
      <c r="A765" s="102"/>
    </row>
    <row r="766" customFormat="false" ht="15" hidden="false" customHeight="false" outlineLevel="0" collapsed="false">
      <c r="A766" s="102"/>
    </row>
    <row r="767" customFormat="false" ht="15" hidden="false" customHeight="false" outlineLevel="0" collapsed="false">
      <c r="A767" s="102"/>
    </row>
    <row r="768" customFormat="false" ht="15" hidden="false" customHeight="false" outlineLevel="0" collapsed="false">
      <c r="A768" s="102"/>
    </row>
    <row r="769" customFormat="false" ht="15" hidden="false" customHeight="false" outlineLevel="0" collapsed="false">
      <c r="A769" s="102"/>
    </row>
    <row r="770" customFormat="false" ht="15" hidden="false" customHeight="false" outlineLevel="0" collapsed="false">
      <c r="A770" s="102"/>
    </row>
    <row r="771" customFormat="false" ht="15" hidden="false" customHeight="false" outlineLevel="0" collapsed="false">
      <c r="A771" s="102"/>
    </row>
    <row r="772" customFormat="false" ht="15" hidden="false" customHeight="false" outlineLevel="0" collapsed="false">
      <c r="A772" s="102"/>
    </row>
    <row r="773" customFormat="false" ht="15" hidden="false" customHeight="false" outlineLevel="0" collapsed="false">
      <c r="A773" s="102"/>
    </row>
    <row r="774" customFormat="false" ht="15" hidden="false" customHeight="false" outlineLevel="0" collapsed="false">
      <c r="A774" s="102"/>
    </row>
    <row r="775" customFormat="false" ht="15" hidden="false" customHeight="false" outlineLevel="0" collapsed="false">
      <c r="A775" s="102"/>
    </row>
    <row r="776" customFormat="false" ht="15" hidden="false" customHeight="false" outlineLevel="0" collapsed="false">
      <c r="A776" s="102"/>
    </row>
    <row r="777" customFormat="false" ht="15" hidden="false" customHeight="false" outlineLevel="0" collapsed="false">
      <c r="A777" s="102"/>
    </row>
    <row r="778" customFormat="false" ht="15" hidden="false" customHeight="false" outlineLevel="0" collapsed="false">
      <c r="A778" s="102"/>
    </row>
    <row r="779" customFormat="false" ht="15" hidden="false" customHeight="false" outlineLevel="0" collapsed="false">
      <c r="A779" s="102"/>
    </row>
    <row r="780" customFormat="false" ht="15" hidden="false" customHeight="false" outlineLevel="0" collapsed="false">
      <c r="A780" s="102"/>
    </row>
    <row r="781" customFormat="false" ht="15" hidden="false" customHeight="false" outlineLevel="0" collapsed="false">
      <c r="A781" s="102"/>
    </row>
    <row r="782" customFormat="false" ht="15" hidden="false" customHeight="false" outlineLevel="0" collapsed="false">
      <c r="A782" s="102"/>
    </row>
    <row r="783" customFormat="false" ht="15" hidden="false" customHeight="false" outlineLevel="0" collapsed="false">
      <c r="A783" s="102"/>
    </row>
    <row r="784" customFormat="false" ht="15" hidden="false" customHeight="false" outlineLevel="0" collapsed="false">
      <c r="A784" s="102"/>
    </row>
    <row r="785" customFormat="false" ht="15" hidden="false" customHeight="false" outlineLevel="0" collapsed="false">
      <c r="A785" s="102"/>
    </row>
    <row r="786" customFormat="false" ht="15" hidden="false" customHeight="false" outlineLevel="0" collapsed="false">
      <c r="A786" s="102"/>
    </row>
    <row r="787" customFormat="false" ht="15" hidden="false" customHeight="false" outlineLevel="0" collapsed="false">
      <c r="A787" s="102"/>
    </row>
    <row r="788" customFormat="false" ht="15" hidden="false" customHeight="false" outlineLevel="0" collapsed="false">
      <c r="A788" s="102"/>
    </row>
    <row r="789" customFormat="false" ht="15" hidden="false" customHeight="false" outlineLevel="0" collapsed="false">
      <c r="A789" s="102"/>
    </row>
    <row r="790" customFormat="false" ht="15" hidden="false" customHeight="false" outlineLevel="0" collapsed="false">
      <c r="A790" s="102"/>
    </row>
    <row r="791" customFormat="false" ht="15" hidden="false" customHeight="false" outlineLevel="0" collapsed="false">
      <c r="A791" s="102"/>
    </row>
    <row r="792" customFormat="false" ht="15" hidden="false" customHeight="false" outlineLevel="0" collapsed="false">
      <c r="A792" s="102"/>
    </row>
    <row r="793" customFormat="false" ht="15" hidden="false" customHeight="false" outlineLevel="0" collapsed="false">
      <c r="A793" s="102"/>
    </row>
    <row r="794" customFormat="false" ht="15" hidden="false" customHeight="false" outlineLevel="0" collapsed="false">
      <c r="A794" s="102"/>
    </row>
    <row r="795" customFormat="false" ht="15" hidden="false" customHeight="false" outlineLevel="0" collapsed="false">
      <c r="A795" s="102"/>
    </row>
    <row r="796" customFormat="false" ht="15" hidden="false" customHeight="false" outlineLevel="0" collapsed="false">
      <c r="A796" s="102"/>
    </row>
    <row r="797" customFormat="false" ht="15" hidden="false" customHeight="false" outlineLevel="0" collapsed="false">
      <c r="A797" s="102"/>
    </row>
    <row r="798" customFormat="false" ht="15" hidden="false" customHeight="false" outlineLevel="0" collapsed="false">
      <c r="A798" s="102"/>
    </row>
    <row r="799" customFormat="false" ht="15" hidden="false" customHeight="false" outlineLevel="0" collapsed="false">
      <c r="A799" s="102"/>
    </row>
    <row r="800" customFormat="false" ht="15" hidden="false" customHeight="false" outlineLevel="0" collapsed="false">
      <c r="A800" s="102"/>
    </row>
    <row r="801" customFormat="false" ht="15" hidden="false" customHeight="false" outlineLevel="0" collapsed="false">
      <c r="A801" s="102"/>
    </row>
    <row r="802" customFormat="false" ht="15" hidden="false" customHeight="false" outlineLevel="0" collapsed="false">
      <c r="A802" s="102"/>
    </row>
    <row r="803" customFormat="false" ht="15" hidden="false" customHeight="false" outlineLevel="0" collapsed="false">
      <c r="A803" s="102"/>
    </row>
    <row r="804" customFormat="false" ht="15" hidden="false" customHeight="false" outlineLevel="0" collapsed="false">
      <c r="A804" s="102"/>
    </row>
    <row r="805" customFormat="false" ht="15" hidden="false" customHeight="false" outlineLevel="0" collapsed="false">
      <c r="A805" s="102"/>
    </row>
    <row r="806" customFormat="false" ht="15" hidden="false" customHeight="false" outlineLevel="0" collapsed="false">
      <c r="A806" s="102"/>
    </row>
    <row r="807" customFormat="false" ht="15" hidden="false" customHeight="false" outlineLevel="0" collapsed="false">
      <c r="A807" s="102"/>
    </row>
    <row r="808" customFormat="false" ht="15" hidden="false" customHeight="false" outlineLevel="0" collapsed="false">
      <c r="A808" s="102"/>
    </row>
    <row r="809" customFormat="false" ht="15" hidden="false" customHeight="false" outlineLevel="0" collapsed="false">
      <c r="A809" s="102"/>
    </row>
    <row r="810" customFormat="false" ht="15" hidden="false" customHeight="false" outlineLevel="0" collapsed="false">
      <c r="A810" s="102"/>
    </row>
    <row r="811" customFormat="false" ht="15" hidden="false" customHeight="false" outlineLevel="0" collapsed="false">
      <c r="A811" s="102"/>
    </row>
    <row r="812" customFormat="false" ht="15" hidden="false" customHeight="false" outlineLevel="0" collapsed="false">
      <c r="A812" s="102"/>
    </row>
    <row r="813" customFormat="false" ht="15" hidden="false" customHeight="false" outlineLevel="0" collapsed="false">
      <c r="A813" s="102"/>
    </row>
    <row r="814" customFormat="false" ht="15" hidden="false" customHeight="false" outlineLevel="0" collapsed="false">
      <c r="A814" s="102"/>
    </row>
    <row r="815" customFormat="false" ht="15" hidden="false" customHeight="false" outlineLevel="0" collapsed="false">
      <c r="A815" s="102"/>
    </row>
    <row r="816" customFormat="false" ht="15" hidden="false" customHeight="false" outlineLevel="0" collapsed="false">
      <c r="A816" s="102"/>
    </row>
    <row r="817" customFormat="false" ht="15" hidden="false" customHeight="false" outlineLevel="0" collapsed="false">
      <c r="A817" s="102"/>
    </row>
    <row r="818" customFormat="false" ht="15" hidden="false" customHeight="false" outlineLevel="0" collapsed="false">
      <c r="A818" s="102"/>
    </row>
    <row r="819" customFormat="false" ht="15" hidden="false" customHeight="false" outlineLevel="0" collapsed="false">
      <c r="A819" s="102"/>
    </row>
    <row r="820" customFormat="false" ht="15" hidden="false" customHeight="false" outlineLevel="0" collapsed="false">
      <c r="A820" s="102"/>
    </row>
    <row r="821" customFormat="false" ht="15" hidden="false" customHeight="false" outlineLevel="0" collapsed="false">
      <c r="A821" s="102"/>
    </row>
    <row r="822" customFormat="false" ht="15" hidden="false" customHeight="false" outlineLevel="0" collapsed="false">
      <c r="A822" s="102"/>
    </row>
    <row r="823" customFormat="false" ht="15" hidden="false" customHeight="false" outlineLevel="0" collapsed="false">
      <c r="A823" s="102"/>
    </row>
    <row r="824" customFormat="false" ht="15" hidden="false" customHeight="false" outlineLevel="0" collapsed="false">
      <c r="A824" s="102"/>
    </row>
    <row r="825" customFormat="false" ht="15" hidden="false" customHeight="false" outlineLevel="0" collapsed="false">
      <c r="A825" s="102"/>
    </row>
    <row r="826" customFormat="false" ht="15" hidden="false" customHeight="false" outlineLevel="0" collapsed="false">
      <c r="A826" s="102"/>
    </row>
    <row r="827" customFormat="false" ht="15" hidden="false" customHeight="false" outlineLevel="0" collapsed="false">
      <c r="A827" s="102"/>
    </row>
    <row r="828" customFormat="false" ht="15" hidden="false" customHeight="false" outlineLevel="0" collapsed="false">
      <c r="A828" s="102"/>
    </row>
    <row r="829" customFormat="false" ht="15" hidden="false" customHeight="false" outlineLevel="0" collapsed="false">
      <c r="A829" s="102"/>
    </row>
    <row r="830" customFormat="false" ht="15" hidden="false" customHeight="false" outlineLevel="0" collapsed="false">
      <c r="A830" s="102"/>
    </row>
    <row r="831" customFormat="false" ht="15" hidden="false" customHeight="false" outlineLevel="0" collapsed="false">
      <c r="A831" s="102"/>
    </row>
    <row r="832" customFormat="false" ht="15" hidden="false" customHeight="false" outlineLevel="0" collapsed="false">
      <c r="A832" s="102"/>
    </row>
    <row r="833" customFormat="false" ht="15" hidden="false" customHeight="false" outlineLevel="0" collapsed="false">
      <c r="A833" s="102"/>
    </row>
    <row r="834" customFormat="false" ht="15" hidden="false" customHeight="false" outlineLevel="0" collapsed="false">
      <c r="A834" s="102"/>
    </row>
    <row r="835" customFormat="false" ht="15" hidden="false" customHeight="false" outlineLevel="0" collapsed="false">
      <c r="A835" s="102"/>
    </row>
    <row r="836" customFormat="false" ht="15" hidden="false" customHeight="false" outlineLevel="0" collapsed="false">
      <c r="A836" s="102"/>
    </row>
    <row r="837" customFormat="false" ht="15" hidden="false" customHeight="false" outlineLevel="0" collapsed="false">
      <c r="A837" s="102"/>
    </row>
    <row r="838" customFormat="false" ht="15" hidden="false" customHeight="false" outlineLevel="0" collapsed="false">
      <c r="A838" s="102"/>
    </row>
    <row r="839" customFormat="false" ht="15" hidden="false" customHeight="false" outlineLevel="0" collapsed="false">
      <c r="A839" s="102"/>
    </row>
    <row r="840" customFormat="false" ht="15" hidden="false" customHeight="false" outlineLevel="0" collapsed="false">
      <c r="A840" s="102"/>
    </row>
    <row r="841" customFormat="false" ht="15" hidden="false" customHeight="false" outlineLevel="0" collapsed="false">
      <c r="A841" s="102"/>
    </row>
    <row r="842" customFormat="false" ht="15" hidden="false" customHeight="false" outlineLevel="0" collapsed="false">
      <c r="A842" s="102"/>
    </row>
    <row r="843" customFormat="false" ht="15" hidden="false" customHeight="false" outlineLevel="0" collapsed="false">
      <c r="A843" s="102"/>
    </row>
    <row r="844" customFormat="false" ht="15" hidden="false" customHeight="false" outlineLevel="0" collapsed="false">
      <c r="A844" s="102"/>
    </row>
    <row r="845" customFormat="false" ht="15" hidden="false" customHeight="false" outlineLevel="0" collapsed="false">
      <c r="A845" s="102"/>
    </row>
    <row r="846" customFormat="false" ht="15" hidden="false" customHeight="false" outlineLevel="0" collapsed="false">
      <c r="A846" s="102"/>
    </row>
    <row r="847" customFormat="false" ht="15" hidden="false" customHeight="false" outlineLevel="0" collapsed="false">
      <c r="A847" s="102"/>
    </row>
    <row r="848" customFormat="false" ht="15" hidden="false" customHeight="false" outlineLevel="0" collapsed="false">
      <c r="A848" s="102"/>
    </row>
    <row r="849" customFormat="false" ht="15" hidden="false" customHeight="false" outlineLevel="0" collapsed="false">
      <c r="A849" s="102"/>
    </row>
    <row r="850" customFormat="false" ht="15" hidden="false" customHeight="false" outlineLevel="0" collapsed="false">
      <c r="A850" s="102"/>
    </row>
    <row r="851" customFormat="false" ht="15" hidden="false" customHeight="false" outlineLevel="0" collapsed="false">
      <c r="A851" s="102"/>
    </row>
    <row r="852" customFormat="false" ht="15" hidden="false" customHeight="false" outlineLevel="0" collapsed="false">
      <c r="A852" s="102"/>
    </row>
    <row r="853" customFormat="false" ht="15" hidden="false" customHeight="false" outlineLevel="0" collapsed="false">
      <c r="A853" s="102"/>
    </row>
    <row r="854" customFormat="false" ht="15" hidden="false" customHeight="false" outlineLevel="0" collapsed="false">
      <c r="A854" s="102"/>
    </row>
    <row r="855" customFormat="false" ht="15" hidden="false" customHeight="false" outlineLevel="0" collapsed="false">
      <c r="A855" s="102"/>
    </row>
    <row r="856" customFormat="false" ht="15" hidden="false" customHeight="false" outlineLevel="0" collapsed="false">
      <c r="A856" s="102"/>
    </row>
    <row r="857" customFormat="false" ht="15" hidden="false" customHeight="false" outlineLevel="0" collapsed="false">
      <c r="A857" s="102"/>
    </row>
    <row r="858" customFormat="false" ht="15" hidden="false" customHeight="false" outlineLevel="0" collapsed="false">
      <c r="A858" s="102"/>
    </row>
    <row r="859" customFormat="false" ht="15" hidden="false" customHeight="false" outlineLevel="0" collapsed="false">
      <c r="A859" s="102"/>
    </row>
    <row r="860" customFormat="false" ht="15" hidden="false" customHeight="false" outlineLevel="0" collapsed="false">
      <c r="A860" s="102"/>
    </row>
    <row r="861" customFormat="false" ht="15" hidden="false" customHeight="false" outlineLevel="0" collapsed="false">
      <c r="A861" s="102"/>
    </row>
    <row r="862" customFormat="false" ht="15" hidden="false" customHeight="false" outlineLevel="0" collapsed="false">
      <c r="A862" s="102"/>
    </row>
    <row r="863" customFormat="false" ht="15" hidden="false" customHeight="false" outlineLevel="0" collapsed="false">
      <c r="A863" s="102"/>
    </row>
    <row r="864" customFormat="false" ht="15" hidden="false" customHeight="false" outlineLevel="0" collapsed="false">
      <c r="A864" s="102"/>
    </row>
    <row r="865" customFormat="false" ht="15" hidden="false" customHeight="false" outlineLevel="0" collapsed="false">
      <c r="A865" s="102"/>
    </row>
    <row r="866" customFormat="false" ht="15" hidden="false" customHeight="false" outlineLevel="0" collapsed="false">
      <c r="A866" s="102"/>
    </row>
    <row r="867" customFormat="false" ht="15" hidden="false" customHeight="false" outlineLevel="0" collapsed="false">
      <c r="A867" s="102"/>
    </row>
    <row r="868" customFormat="false" ht="15" hidden="false" customHeight="false" outlineLevel="0" collapsed="false">
      <c r="A868" s="102"/>
    </row>
    <row r="869" customFormat="false" ht="15" hidden="false" customHeight="false" outlineLevel="0" collapsed="false">
      <c r="A869" s="102"/>
    </row>
    <row r="870" customFormat="false" ht="15" hidden="false" customHeight="false" outlineLevel="0" collapsed="false">
      <c r="A870" s="102"/>
    </row>
    <row r="871" customFormat="false" ht="15" hidden="false" customHeight="false" outlineLevel="0" collapsed="false">
      <c r="A871" s="102"/>
    </row>
    <row r="872" customFormat="false" ht="15" hidden="false" customHeight="false" outlineLevel="0" collapsed="false">
      <c r="A872" s="102"/>
    </row>
    <row r="873" customFormat="false" ht="15" hidden="false" customHeight="false" outlineLevel="0" collapsed="false">
      <c r="A873" s="102"/>
    </row>
    <row r="874" customFormat="false" ht="15" hidden="false" customHeight="false" outlineLevel="0" collapsed="false">
      <c r="A874" s="102"/>
    </row>
    <row r="875" customFormat="false" ht="15" hidden="false" customHeight="false" outlineLevel="0" collapsed="false">
      <c r="A875" s="102"/>
    </row>
    <row r="876" customFormat="false" ht="15" hidden="false" customHeight="false" outlineLevel="0" collapsed="false">
      <c r="A876" s="102"/>
    </row>
    <row r="877" customFormat="false" ht="15" hidden="false" customHeight="false" outlineLevel="0" collapsed="false">
      <c r="A877" s="102"/>
    </row>
    <row r="878" customFormat="false" ht="15" hidden="false" customHeight="false" outlineLevel="0" collapsed="false">
      <c r="A878" s="102"/>
    </row>
    <row r="879" customFormat="false" ht="15" hidden="false" customHeight="false" outlineLevel="0" collapsed="false">
      <c r="A879" s="102"/>
    </row>
    <row r="880" customFormat="false" ht="15" hidden="false" customHeight="false" outlineLevel="0" collapsed="false">
      <c r="A880" s="102"/>
    </row>
    <row r="881" customFormat="false" ht="15" hidden="false" customHeight="false" outlineLevel="0" collapsed="false">
      <c r="A881" s="102"/>
    </row>
    <row r="882" customFormat="false" ht="15" hidden="false" customHeight="false" outlineLevel="0" collapsed="false">
      <c r="A882" s="102"/>
    </row>
    <row r="883" customFormat="false" ht="15" hidden="false" customHeight="false" outlineLevel="0" collapsed="false">
      <c r="A883" s="102"/>
    </row>
    <row r="884" customFormat="false" ht="15" hidden="false" customHeight="false" outlineLevel="0" collapsed="false">
      <c r="A884" s="102"/>
    </row>
    <row r="885" customFormat="false" ht="15" hidden="false" customHeight="false" outlineLevel="0" collapsed="false">
      <c r="A885" s="102"/>
    </row>
    <row r="886" customFormat="false" ht="15" hidden="false" customHeight="false" outlineLevel="0" collapsed="false">
      <c r="A886" s="102"/>
    </row>
    <row r="887" customFormat="false" ht="15" hidden="false" customHeight="false" outlineLevel="0" collapsed="false">
      <c r="A887" s="102"/>
    </row>
    <row r="888" customFormat="false" ht="15" hidden="false" customHeight="false" outlineLevel="0" collapsed="false">
      <c r="A888" s="102"/>
    </row>
    <row r="889" customFormat="false" ht="15" hidden="false" customHeight="false" outlineLevel="0" collapsed="false">
      <c r="A889" s="102"/>
    </row>
    <row r="890" customFormat="false" ht="15" hidden="false" customHeight="false" outlineLevel="0" collapsed="false">
      <c r="A890" s="102"/>
    </row>
    <row r="891" customFormat="false" ht="15" hidden="false" customHeight="false" outlineLevel="0" collapsed="false">
      <c r="A891" s="102"/>
    </row>
    <row r="892" customFormat="false" ht="15" hidden="false" customHeight="false" outlineLevel="0" collapsed="false">
      <c r="A892" s="102"/>
    </row>
    <row r="893" customFormat="false" ht="15" hidden="false" customHeight="false" outlineLevel="0" collapsed="false">
      <c r="A893" s="102"/>
    </row>
    <row r="894" customFormat="false" ht="15" hidden="false" customHeight="false" outlineLevel="0" collapsed="false">
      <c r="A894" s="102"/>
    </row>
    <row r="895" customFormat="false" ht="15" hidden="false" customHeight="false" outlineLevel="0" collapsed="false">
      <c r="A895" s="102"/>
    </row>
    <row r="896" customFormat="false" ht="15" hidden="false" customHeight="false" outlineLevel="0" collapsed="false">
      <c r="A896" s="102"/>
    </row>
    <row r="897" customFormat="false" ht="15" hidden="false" customHeight="false" outlineLevel="0" collapsed="false">
      <c r="A897" s="102"/>
    </row>
    <row r="898" customFormat="false" ht="15" hidden="false" customHeight="false" outlineLevel="0" collapsed="false">
      <c r="A898" s="102"/>
    </row>
    <row r="899" customFormat="false" ht="15" hidden="false" customHeight="false" outlineLevel="0" collapsed="false">
      <c r="A899" s="102"/>
    </row>
    <row r="900" customFormat="false" ht="15" hidden="false" customHeight="false" outlineLevel="0" collapsed="false">
      <c r="A900" s="102"/>
    </row>
    <row r="901" customFormat="false" ht="15" hidden="false" customHeight="false" outlineLevel="0" collapsed="false">
      <c r="A901" s="102"/>
    </row>
    <row r="902" customFormat="false" ht="15" hidden="false" customHeight="false" outlineLevel="0" collapsed="false">
      <c r="A902" s="102"/>
    </row>
    <row r="903" customFormat="false" ht="15" hidden="false" customHeight="false" outlineLevel="0" collapsed="false">
      <c r="A903" s="102"/>
    </row>
    <row r="904" customFormat="false" ht="15" hidden="false" customHeight="false" outlineLevel="0" collapsed="false">
      <c r="A904" s="102"/>
    </row>
    <row r="905" customFormat="false" ht="15" hidden="false" customHeight="false" outlineLevel="0" collapsed="false">
      <c r="A905" s="102"/>
    </row>
    <row r="906" customFormat="false" ht="15" hidden="false" customHeight="false" outlineLevel="0" collapsed="false">
      <c r="A906" s="102"/>
    </row>
    <row r="907" customFormat="false" ht="15" hidden="false" customHeight="false" outlineLevel="0" collapsed="false">
      <c r="A907" s="102"/>
    </row>
    <row r="908" customFormat="false" ht="15" hidden="false" customHeight="false" outlineLevel="0" collapsed="false">
      <c r="A908" s="102"/>
    </row>
    <row r="909" customFormat="false" ht="15" hidden="false" customHeight="false" outlineLevel="0" collapsed="false">
      <c r="A909" s="102"/>
    </row>
    <row r="910" customFormat="false" ht="15" hidden="false" customHeight="false" outlineLevel="0" collapsed="false">
      <c r="A910" s="102"/>
    </row>
    <row r="911" customFormat="false" ht="15" hidden="false" customHeight="false" outlineLevel="0" collapsed="false">
      <c r="A911" s="102"/>
    </row>
    <row r="912" customFormat="false" ht="15" hidden="false" customHeight="false" outlineLevel="0" collapsed="false">
      <c r="A912" s="102"/>
    </row>
    <row r="913" customFormat="false" ht="15" hidden="false" customHeight="false" outlineLevel="0" collapsed="false">
      <c r="A913" s="102"/>
    </row>
    <row r="914" customFormat="false" ht="15" hidden="false" customHeight="false" outlineLevel="0" collapsed="false">
      <c r="A914" s="102"/>
    </row>
    <row r="915" customFormat="false" ht="15" hidden="false" customHeight="false" outlineLevel="0" collapsed="false">
      <c r="A915" s="102"/>
    </row>
    <row r="916" customFormat="false" ht="15" hidden="false" customHeight="false" outlineLevel="0" collapsed="false">
      <c r="A916" s="102"/>
    </row>
    <row r="917" customFormat="false" ht="15" hidden="false" customHeight="false" outlineLevel="0" collapsed="false">
      <c r="A917" s="102"/>
    </row>
    <row r="918" customFormat="false" ht="15" hidden="false" customHeight="false" outlineLevel="0" collapsed="false">
      <c r="A918" s="102"/>
    </row>
    <row r="919" customFormat="false" ht="15" hidden="false" customHeight="false" outlineLevel="0" collapsed="false">
      <c r="A919" s="102"/>
    </row>
    <row r="920" customFormat="false" ht="15" hidden="false" customHeight="false" outlineLevel="0" collapsed="false">
      <c r="A920" s="102"/>
    </row>
    <row r="921" customFormat="false" ht="15" hidden="false" customHeight="false" outlineLevel="0" collapsed="false">
      <c r="A921" s="102"/>
    </row>
    <row r="922" customFormat="false" ht="15" hidden="false" customHeight="false" outlineLevel="0" collapsed="false">
      <c r="A922" s="102"/>
    </row>
    <row r="923" customFormat="false" ht="15" hidden="false" customHeight="false" outlineLevel="0" collapsed="false">
      <c r="A923" s="102"/>
    </row>
    <row r="924" customFormat="false" ht="15" hidden="false" customHeight="false" outlineLevel="0" collapsed="false">
      <c r="A924" s="102"/>
    </row>
    <row r="925" customFormat="false" ht="15" hidden="false" customHeight="false" outlineLevel="0" collapsed="false">
      <c r="A925" s="102"/>
    </row>
    <row r="926" customFormat="false" ht="15" hidden="false" customHeight="false" outlineLevel="0" collapsed="false">
      <c r="A926" s="102"/>
    </row>
    <row r="927" customFormat="false" ht="15" hidden="false" customHeight="false" outlineLevel="0" collapsed="false">
      <c r="A927" s="102"/>
    </row>
    <row r="928" customFormat="false" ht="15" hidden="false" customHeight="false" outlineLevel="0" collapsed="false">
      <c r="A928" s="102"/>
    </row>
    <row r="929" customFormat="false" ht="15" hidden="false" customHeight="false" outlineLevel="0" collapsed="false">
      <c r="A929" s="102"/>
    </row>
    <row r="930" customFormat="false" ht="15" hidden="false" customHeight="false" outlineLevel="0" collapsed="false">
      <c r="A930" s="102"/>
    </row>
    <row r="931" customFormat="false" ht="15" hidden="false" customHeight="false" outlineLevel="0" collapsed="false">
      <c r="A931" s="102"/>
    </row>
    <row r="932" customFormat="false" ht="15" hidden="false" customHeight="false" outlineLevel="0" collapsed="false">
      <c r="A932" s="102"/>
    </row>
    <row r="933" customFormat="false" ht="15" hidden="false" customHeight="false" outlineLevel="0" collapsed="false">
      <c r="A933" s="102"/>
    </row>
    <row r="934" customFormat="false" ht="15" hidden="false" customHeight="false" outlineLevel="0" collapsed="false">
      <c r="A934" s="102"/>
    </row>
    <row r="935" customFormat="false" ht="15" hidden="false" customHeight="false" outlineLevel="0" collapsed="false">
      <c r="A935" s="102"/>
    </row>
    <row r="936" customFormat="false" ht="15" hidden="false" customHeight="false" outlineLevel="0" collapsed="false">
      <c r="A936" s="102"/>
    </row>
    <row r="937" customFormat="false" ht="15" hidden="false" customHeight="false" outlineLevel="0" collapsed="false">
      <c r="A937" s="102"/>
    </row>
    <row r="938" customFormat="false" ht="15" hidden="false" customHeight="false" outlineLevel="0" collapsed="false">
      <c r="A938" s="102"/>
    </row>
    <row r="939" customFormat="false" ht="15" hidden="false" customHeight="false" outlineLevel="0" collapsed="false">
      <c r="A939" s="102"/>
    </row>
    <row r="940" customFormat="false" ht="15" hidden="false" customHeight="false" outlineLevel="0" collapsed="false">
      <c r="A940" s="102"/>
    </row>
    <row r="941" customFormat="false" ht="15" hidden="false" customHeight="false" outlineLevel="0" collapsed="false">
      <c r="A941" s="102"/>
    </row>
    <row r="942" customFormat="false" ht="15" hidden="false" customHeight="false" outlineLevel="0" collapsed="false">
      <c r="A942" s="102"/>
    </row>
    <row r="943" customFormat="false" ht="15" hidden="false" customHeight="false" outlineLevel="0" collapsed="false">
      <c r="A943" s="102"/>
    </row>
    <row r="944" customFormat="false" ht="15" hidden="false" customHeight="false" outlineLevel="0" collapsed="false">
      <c r="A944" s="102"/>
    </row>
    <row r="945" customFormat="false" ht="15" hidden="false" customHeight="false" outlineLevel="0" collapsed="false">
      <c r="A945" s="102"/>
    </row>
    <row r="946" customFormat="false" ht="15" hidden="false" customHeight="false" outlineLevel="0" collapsed="false">
      <c r="A946" s="102"/>
    </row>
    <row r="947" customFormat="false" ht="15" hidden="false" customHeight="false" outlineLevel="0" collapsed="false">
      <c r="A947" s="102"/>
    </row>
    <row r="948" customFormat="false" ht="15" hidden="false" customHeight="false" outlineLevel="0" collapsed="false">
      <c r="A948" s="102"/>
    </row>
    <row r="949" customFormat="false" ht="15" hidden="false" customHeight="false" outlineLevel="0" collapsed="false">
      <c r="A949" s="102"/>
    </row>
    <row r="950" customFormat="false" ht="15" hidden="false" customHeight="false" outlineLevel="0" collapsed="false">
      <c r="A950" s="102"/>
    </row>
    <row r="951" customFormat="false" ht="15" hidden="false" customHeight="false" outlineLevel="0" collapsed="false">
      <c r="A951" s="102"/>
    </row>
    <row r="952" customFormat="false" ht="15" hidden="false" customHeight="false" outlineLevel="0" collapsed="false">
      <c r="A952" s="102"/>
    </row>
    <row r="953" customFormat="false" ht="15" hidden="false" customHeight="false" outlineLevel="0" collapsed="false">
      <c r="A953" s="102"/>
    </row>
    <row r="954" customFormat="false" ht="15" hidden="false" customHeight="false" outlineLevel="0" collapsed="false">
      <c r="A954" s="102"/>
    </row>
    <row r="955" customFormat="false" ht="15" hidden="false" customHeight="false" outlineLevel="0" collapsed="false">
      <c r="A955" s="102"/>
    </row>
    <row r="956" customFormat="false" ht="15" hidden="false" customHeight="false" outlineLevel="0" collapsed="false">
      <c r="A956" s="102"/>
    </row>
    <row r="957" customFormat="false" ht="15" hidden="false" customHeight="false" outlineLevel="0" collapsed="false">
      <c r="A957" s="102"/>
    </row>
    <row r="958" customFormat="false" ht="15" hidden="false" customHeight="false" outlineLevel="0" collapsed="false">
      <c r="A958" s="102"/>
    </row>
    <row r="959" customFormat="false" ht="15" hidden="false" customHeight="false" outlineLevel="0" collapsed="false">
      <c r="A959" s="102"/>
    </row>
    <row r="960" customFormat="false" ht="15" hidden="false" customHeight="false" outlineLevel="0" collapsed="false">
      <c r="A960" s="102"/>
    </row>
    <row r="961" customFormat="false" ht="15" hidden="false" customHeight="false" outlineLevel="0" collapsed="false">
      <c r="A961" s="102"/>
    </row>
    <row r="962" customFormat="false" ht="15" hidden="false" customHeight="false" outlineLevel="0" collapsed="false">
      <c r="A962" s="102"/>
    </row>
    <row r="963" customFormat="false" ht="15" hidden="false" customHeight="false" outlineLevel="0" collapsed="false">
      <c r="A963" s="102"/>
    </row>
    <row r="964" customFormat="false" ht="15" hidden="false" customHeight="false" outlineLevel="0" collapsed="false">
      <c r="A964" s="102"/>
    </row>
    <row r="965" customFormat="false" ht="15" hidden="false" customHeight="false" outlineLevel="0" collapsed="false">
      <c r="A965" s="102"/>
    </row>
    <row r="966" customFormat="false" ht="15" hidden="false" customHeight="false" outlineLevel="0" collapsed="false">
      <c r="A966" s="102"/>
    </row>
    <row r="967" customFormat="false" ht="15" hidden="false" customHeight="false" outlineLevel="0" collapsed="false">
      <c r="A967" s="102"/>
    </row>
    <row r="968" customFormat="false" ht="15" hidden="false" customHeight="false" outlineLevel="0" collapsed="false">
      <c r="A968" s="102"/>
    </row>
    <row r="969" customFormat="false" ht="15" hidden="false" customHeight="false" outlineLevel="0" collapsed="false">
      <c r="A969" s="102"/>
    </row>
    <row r="970" customFormat="false" ht="15" hidden="false" customHeight="false" outlineLevel="0" collapsed="false">
      <c r="A970" s="102"/>
    </row>
    <row r="971" customFormat="false" ht="15" hidden="false" customHeight="false" outlineLevel="0" collapsed="false">
      <c r="A971" s="102"/>
    </row>
    <row r="972" customFormat="false" ht="15" hidden="false" customHeight="false" outlineLevel="0" collapsed="false">
      <c r="A972" s="102"/>
    </row>
    <row r="973" customFormat="false" ht="15" hidden="false" customHeight="false" outlineLevel="0" collapsed="false">
      <c r="A973" s="102"/>
    </row>
    <row r="974" customFormat="false" ht="15" hidden="false" customHeight="false" outlineLevel="0" collapsed="false">
      <c r="A974" s="102"/>
    </row>
    <row r="975" customFormat="false" ht="15" hidden="false" customHeight="false" outlineLevel="0" collapsed="false">
      <c r="A975" s="102"/>
    </row>
    <row r="976" customFormat="false" ht="15" hidden="false" customHeight="false" outlineLevel="0" collapsed="false">
      <c r="A976" s="102"/>
    </row>
    <row r="977" customFormat="false" ht="15" hidden="false" customHeight="false" outlineLevel="0" collapsed="false">
      <c r="A977" s="102"/>
    </row>
    <row r="978" customFormat="false" ht="15" hidden="false" customHeight="false" outlineLevel="0" collapsed="false">
      <c r="A978" s="102"/>
    </row>
    <row r="979" customFormat="false" ht="15" hidden="false" customHeight="false" outlineLevel="0" collapsed="false">
      <c r="A979" s="102"/>
    </row>
    <row r="980" customFormat="false" ht="15" hidden="false" customHeight="false" outlineLevel="0" collapsed="false">
      <c r="A980" s="102"/>
    </row>
    <row r="981" customFormat="false" ht="15" hidden="false" customHeight="false" outlineLevel="0" collapsed="false">
      <c r="A981" s="102"/>
    </row>
    <row r="982" customFormat="false" ht="15" hidden="false" customHeight="false" outlineLevel="0" collapsed="false">
      <c r="A982" s="102"/>
    </row>
    <row r="983" customFormat="false" ht="15" hidden="false" customHeight="false" outlineLevel="0" collapsed="false">
      <c r="A983" s="102"/>
    </row>
    <row r="984" customFormat="false" ht="15" hidden="false" customHeight="false" outlineLevel="0" collapsed="false">
      <c r="A984" s="102"/>
    </row>
    <row r="985" customFormat="false" ht="15" hidden="false" customHeight="false" outlineLevel="0" collapsed="false">
      <c r="A985" s="102"/>
    </row>
    <row r="986" customFormat="false" ht="15" hidden="false" customHeight="false" outlineLevel="0" collapsed="false">
      <c r="A986" s="102"/>
    </row>
    <row r="987" customFormat="false" ht="15" hidden="false" customHeight="false" outlineLevel="0" collapsed="false">
      <c r="A987" s="102"/>
    </row>
    <row r="988" customFormat="false" ht="15" hidden="false" customHeight="false" outlineLevel="0" collapsed="false">
      <c r="A988" s="102"/>
    </row>
    <row r="989" customFormat="false" ht="15" hidden="false" customHeight="false" outlineLevel="0" collapsed="false">
      <c r="A989" s="102"/>
    </row>
    <row r="990" customFormat="false" ht="15" hidden="false" customHeight="false" outlineLevel="0" collapsed="false">
      <c r="A990" s="102"/>
    </row>
    <row r="991" customFormat="false" ht="15" hidden="false" customHeight="false" outlineLevel="0" collapsed="false">
      <c r="A991" s="102"/>
    </row>
    <row r="992" customFormat="false" ht="15" hidden="false" customHeight="false" outlineLevel="0" collapsed="false">
      <c r="A992" s="102"/>
    </row>
    <row r="993" customFormat="false" ht="15" hidden="false" customHeight="false" outlineLevel="0" collapsed="false">
      <c r="A993" s="102"/>
    </row>
    <row r="994" customFormat="false" ht="15" hidden="false" customHeight="false" outlineLevel="0" collapsed="false">
      <c r="A994" s="102"/>
    </row>
    <row r="995" customFormat="false" ht="15" hidden="false" customHeight="false" outlineLevel="0" collapsed="false">
      <c r="A995" s="102"/>
    </row>
    <row r="996" customFormat="false" ht="15" hidden="false" customHeight="false" outlineLevel="0" collapsed="false">
      <c r="A996" s="102"/>
    </row>
    <row r="997" customFormat="false" ht="15" hidden="false" customHeight="false" outlineLevel="0" collapsed="false">
      <c r="A997" s="102"/>
    </row>
    <row r="998" customFormat="false" ht="15" hidden="false" customHeight="false" outlineLevel="0" collapsed="false">
      <c r="A998" s="102"/>
    </row>
    <row r="999" customFormat="false" ht="15" hidden="false" customHeight="false" outlineLevel="0" collapsed="false">
      <c r="A999" s="102"/>
    </row>
    <row r="1000" customFormat="false" ht="15" hidden="false" customHeight="false" outlineLevel="0" collapsed="false">
      <c r="A1000" s="102"/>
    </row>
    <row r="1001" customFormat="false" ht="15" hidden="false" customHeight="false" outlineLevel="0" collapsed="false">
      <c r="A1001" s="102"/>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581</v>
      </c>
      <c r="C1" s="18" t="s">
        <v>59</v>
      </c>
      <c r="D1" s="18" t="s">
        <v>721</v>
      </c>
      <c r="E1" s="18" t="s">
        <v>694</v>
      </c>
      <c r="F1" s="18" t="s">
        <v>722</v>
      </c>
    </row>
    <row r="2" customFormat="false" ht="15" hidden="false" customHeight="false" outlineLevel="0" collapsed="false">
      <c r="A2" s="102"/>
      <c r="B2" s="104"/>
      <c r="C2" s="104"/>
    </row>
    <row r="3" customFormat="false" ht="15" hidden="false" customHeight="false" outlineLevel="0" collapsed="false">
      <c r="A3" s="102"/>
      <c r="B3" s="104"/>
      <c r="C3" s="104"/>
    </row>
    <row r="4" customFormat="false" ht="15" hidden="false" customHeight="false" outlineLevel="0" collapsed="false">
      <c r="A4" s="102"/>
      <c r="B4" s="104"/>
      <c r="C4" s="104"/>
    </row>
    <row r="5" customFormat="false" ht="15" hidden="false" customHeight="false" outlineLevel="0" collapsed="false">
      <c r="A5" s="102"/>
      <c r="B5" s="104"/>
      <c r="C5" s="104"/>
    </row>
    <row r="6" customFormat="false" ht="15" hidden="false" customHeight="false" outlineLevel="0" collapsed="false">
      <c r="A6" s="102"/>
      <c r="B6" s="104"/>
      <c r="C6" s="104"/>
    </row>
    <row r="7" customFormat="false" ht="15" hidden="false" customHeight="false" outlineLevel="0" collapsed="false">
      <c r="A7" s="102"/>
      <c r="B7" s="104"/>
      <c r="C7" s="104"/>
    </row>
    <row r="8" customFormat="false" ht="15" hidden="false" customHeight="false" outlineLevel="0" collapsed="false">
      <c r="A8" s="102"/>
      <c r="B8" s="104"/>
      <c r="C8" s="104"/>
    </row>
    <row r="9" customFormat="false" ht="15" hidden="false" customHeight="false" outlineLevel="0" collapsed="false">
      <c r="A9" s="102"/>
      <c r="B9" s="104"/>
      <c r="C9" s="104"/>
    </row>
    <row r="10" customFormat="false" ht="15" hidden="false" customHeight="false" outlineLevel="0" collapsed="false">
      <c r="A10" s="102"/>
      <c r="B10" s="104"/>
      <c r="C10" s="104"/>
    </row>
    <row r="11" customFormat="false" ht="15" hidden="false" customHeight="false" outlineLevel="0" collapsed="false">
      <c r="A11" s="102"/>
      <c r="B11" s="104"/>
      <c r="C11" s="104"/>
    </row>
    <row r="12" customFormat="false" ht="15" hidden="false" customHeight="false" outlineLevel="0" collapsed="false">
      <c r="A12" s="102"/>
      <c r="B12" s="104"/>
      <c r="C12" s="104"/>
    </row>
    <row r="13" customFormat="false" ht="15" hidden="false" customHeight="false" outlineLevel="0" collapsed="false">
      <c r="A13" s="102"/>
      <c r="B13" s="104"/>
      <c r="C13" s="104"/>
    </row>
    <row r="14" customFormat="false" ht="15" hidden="false" customHeight="false" outlineLevel="0" collapsed="false">
      <c r="A14" s="102"/>
      <c r="B14" s="104"/>
      <c r="C14" s="104"/>
    </row>
    <row r="15" customFormat="false" ht="15" hidden="false" customHeight="false" outlineLevel="0" collapsed="false">
      <c r="A15" s="102"/>
      <c r="B15" s="104"/>
      <c r="C15" s="104"/>
    </row>
    <row r="16" customFormat="false" ht="15" hidden="false" customHeight="false" outlineLevel="0" collapsed="false">
      <c r="A16" s="102"/>
      <c r="B16" s="104"/>
      <c r="C16" s="104"/>
    </row>
    <row r="17" customFormat="false" ht="15" hidden="false" customHeight="false" outlineLevel="0" collapsed="false">
      <c r="A17" s="102"/>
      <c r="B17" s="104"/>
      <c r="C17" s="104"/>
    </row>
    <row r="18" customFormat="false" ht="15" hidden="false" customHeight="false" outlineLevel="0" collapsed="false">
      <c r="A18" s="102"/>
      <c r="B18" s="104"/>
      <c r="C18" s="104"/>
    </row>
    <row r="19" customFormat="false" ht="15" hidden="false" customHeight="false" outlineLevel="0" collapsed="false">
      <c r="A19" s="102"/>
      <c r="B19" s="104"/>
      <c r="C19" s="104"/>
    </row>
    <row r="20" customFormat="false" ht="15" hidden="false" customHeight="false" outlineLevel="0" collapsed="false">
      <c r="A20" s="102"/>
      <c r="B20" s="104"/>
      <c r="C20" s="104"/>
    </row>
    <row r="21" customFormat="false" ht="15" hidden="false" customHeight="false" outlineLevel="0" collapsed="false">
      <c r="A21" s="102"/>
      <c r="B21" s="104"/>
      <c r="C21" s="104"/>
    </row>
    <row r="22" customFormat="false" ht="15" hidden="false" customHeight="false" outlineLevel="0" collapsed="false">
      <c r="A22" s="102"/>
      <c r="B22" s="104"/>
      <c r="C22" s="104"/>
    </row>
    <row r="23" customFormat="false" ht="15" hidden="false" customHeight="false" outlineLevel="0" collapsed="false">
      <c r="A23" s="102"/>
      <c r="B23" s="104"/>
      <c r="C23" s="104"/>
    </row>
    <row r="24" customFormat="false" ht="15" hidden="false" customHeight="false" outlineLevel="0" collapsed="false">
      <c r="A24" s="102"/>
      <c r="B24" s="104"/>
      <c r="C24" s="104"/>
    </row>
    <row r="25" customFormat="false" ht="15" hidden="false" customHeight="false" outlineLevel="0" collapsed="false">
      <c r="A25" s="102"/>
      <c r="B25" s="104"/>
      <c r="C25" s="104"/>
    </row>
    <row r="26" customFormat="false" ht="15" hidden="false" customHeight="false" outlineLevel="0" collapsed="false">
      <c r="A26" s="102"/>
      <c r="B26" s="104"/>
      <c r="C26" s="104"/>
    </row>
    <row r="27" customFormat="false" ht="15" hidden="false" customHeight="false" outlineLevel="0" collapsed="false">
      <c r="A27" s="102"/>
      <c r="B27" s="104"/>
      <c r="C27" s="104"/>
    </row>
    <row r="28" customFormat="false" ht="15" hidden="false" customHeight="false" outlineLevel="0" collapsed="false">
      <c r="A28" s="102"/>
      <c r="B28" s="104"/>
      <c r="C28" s="104"/>
    </row>
    <row r="29" customFormat="false" ht="15" hidden="false" customHeight="false" outlineLevel="0" collapsed="false">
      <c r="A29" s="102"/>
      <c r="B29" s="104"/>
      <c r="C29" s="104"/>
    </row>
    <row r="30" customFormat="false" ht="15" hidden="false" customHeight="false" outlineLevel="0" collapsed="false">
      <c r="A30" s="102"/>
      <c r="B30" s="104"/>
      <c r="C30" s="104"/>
    </row>
    <row r="31" customFormat="false" ht="15" hidden="false" customHeight="false" outlineLevel="0" collapsed="false">
      <c r="A31" s="102"/>
      <c r="B31" s="104"/>
      <c r="C31" s="104"/>
    </row>
    <row r="32" customFormat="false" ht="15" hidden="false" customHeight="false" outlineLevel="0" collapsed="false">
      <c r="A32" s="102"/>
      <c r="B32" s="104"/>
      <c r="C32" s="104"/>
    </row>
    <row r="33" customFormat="false" ht="15" hidden="false" customHeight="false" outlineLevel="0" collapsed="false">
      <c r="A33" s="102"/>
      <c r="B33" s="104"/>
      <c r="C33" s="104"/>
    </row>
    <row r="34" customFormat="false" ht="15" hidden="false" customHeight="false" outlineLevel="0" collapsed="false">
      <c r="A34" s="102"/>
      <c r="B34" s="104"/>
      <c r="C34" s="104"/>
    </row>
    <row r="35" customFormat="false" ht="15" hidden="false" customHeight="false" outlineLevel="0" collapsed="false">
      <c r="A35" s="102"/>
      <c r="B35" s="104"/>
      <c r="C35" s="104"/>
    </row>
    <row r="36" customFormat="false" ht="15" hidden="false" customHeight="false" outlineLevel="0" collapsed="false">
      <c r="A36" s="102"/>
      <c r="B36" s="104"/>
      <c r="C36" s="104"/>
    </row>
    <row r="37" customFormat="false" ht="15" hidden="false" customHeight="false" outlineLevel="0" collapsed="false">
      <c r="A37" s="102"/>
      <c r="B37" s="104"/>
      <c r="C37" s="104"/>
    </row>
    <row r="38" customFormat="false" ht="15" hidden="false" customHeight="false" outlineLevel="0" collapsed="false">
      <c r="A38" s="102"/>
      <c r="B38" s="104"/>
      <c r="C38" s="104"/>
    </row>
    <row r="39" customFormat="false" ht="15" hidden="false" customHeight="false" outlineLevel="0" collapsed="false">
      <c r="A39" s="102"/>
      <c r="B39" s="104"/>
      <c r="C39" s="104"/>
    </row>
    <row r="40" customFormat="false" ht="15" hidden="false" customHeight="false" outlineLevel="0" collapsed="false">
      <c r="A40" s="102"/>
      <c r="B40" s="104"/>
      <c r="C40" s="104"/>
    </row>
    <row r="41" customFormat="false" ht="15" hidden="false" customHeight="false" outlineLevel="0" collapsed="false">
      <c r="A41" s="102"/>
      <c r="B41" s="104"/>
      <c r="C41" s="104"/>
    </row>
    <row r="42" customFormat="false" ht="15" hidden="false" customHeight="false" outlineLevel="0" collapsed="false">
      <c r="A42" s="102"/>
      <c r="B42" s="104"/>
      <c r="C42" s="104"/>
    </row>
    <row r="43" customFormat="false" ht="15" hidden="false" customHeight="false" outlineLevel="0" collapsed="false">
      <c r="A43" s="102"/>
      <c r="B43" s="104"/>
      <c r="C43" s="104"/>
    </row>
    <row r="44" customFormat="false" ht="15" hidden="false" customHeight="false" outlineLevel="0" collapsed="false">
      <c r="A44" s="102"/>
      <c r="B44" s="104"/>
      <c r="C44" s="104"/>
    </row>
    <row r="45" customFormat="false" ht="15" hidden="false" customHeight="false" outlineLevel="0" collapsed="false">
      <c r="A45" s="102"/>
      <c r="B45" s="104"/>
      <c r="C45" s="104"/>
    </row>
    <row r="46" customFormat="false" ht="15" hidden="false" customHeight="false" outlineLevel="0" collapsed="false">
      <c r="A46" s="102"/>
      <c r="B46" s="104"/>
      <c r="C46" s="104"/>
    </row>
    <row r="47" customFormat="false" ht="15" hidden="false" customHeight="false" outlineLevel="0" collapsed="false">
      <c r="A47" s="102"/>
      <c r="B47" s="104"/>
      <c r="C47" s="104"/>
    </row>
    <row r="48" customFormat="false" ht="15" hidden="false" customHeight="false" outlineLevel="0" collapsed="false">
      <c r="A48" s="102"/>
      <c r="B48" s="104"/>
      <c r="C48" s="104"/>
    </row>
    <row r="49" customFormat="false" ht="15" hidden="false" customHeight="false" outlineLevel="0" collapsed="false">
      <c r="A49" s="102"/>
      <c r="B49" s="104"/>
      <c r="C49" s="104"/>
    </row>
    <row r="50" customFormat="false" ht="15" hidden="false" customHeight="false" outlineLevel="0" collapsed="false">
      <c r="A50" s="102"/>
      <c r="B50" s="104"/>
      <c r="C50" s="104"/>
    </row>
    <row r="51" customFormat="false" ht="15" hidden="false" customHeight="false" outlineLevel="0" collapsed="false">
      <c r="A51" s="102"/>
      <c r="B51" s="104"/>
      <c r="C51" s="104"/>
    </row>
    <row r="52" customFormat="false" ht="15" hidden="false" customHeight="false" outlineLevel="0" collapsed="false">
      <c r="A52" s="102"/>
      <c r="B52" s="104"/>
      <c r="C52" s="104"/>
    </row>
    <row r="53" customFormat="false" ht="15" hidden="false" customHeight="false" outlineLevel="0" collapsed="false">
      <c r="A53" s="102"/>
      <c r="B53" s="104"/>
      <c r="C53" s="104"/>
    </row>
    <row r="54" customFormat="false" ht="15" hidden="false" customHeight="false" outlineLevel="0" collapsed="false">
      <c r="A54" s="102"/>
      <c r="B54" s="104"/>
      <c r="C54" s="104"/>
    </row>
    <row r="55" customFormat="false" ht="15" hidden="false" customHeight="false" outlineLevel="0" collapsed="false">
      <c r="A55" s="102"/>
      <c r="B55" s="104"/>
      <c r="C55" s="104"/>
    </row>
    <row r="56" customFormat="false" ht="15" hidden="false" customHeight="false" outlineLevel="0" collapsed="false">
      <c r="A56" s="102"/>
      <c r="B56" s="104"/>
      <c r="C56" s="104"/>
    </row>
    <row r="57" customFormat="false" ht="15" hidden="false" customHeight="false" outlineLevel="0" collapsed="false">
      <c r="A57" s="102"/>
      <c r="B57" s="104"/>
      <c r="C57" s="104"/>
    </row>
    <row r="58" customFormat="false" ht="15" hidden="false" customHeight="false" outlineLevel="0" collapsed="false">
      <c r="A58" s="102"/>
      <c r="B58" s="104"/>
      <c r="C58" s="104"/>
    </row>
    <row r="59" customFormat="false" ht="15" hidden="false" customHeight="false" outlineLevel="0" collapsed="false">
      <c r="A59" s="102"/>
      <c r="B59" s="104"/>
      <c r="C59" s="104"/>
    </row>
    <row r="60" customFormat="false" ht="15" hidden="false" customHeight="false" outlineLevel="0" collapsed="false">
      <c r="A60" s="102"/>
      <c r="B60" s="104"/>
      <c r="C60" s="104"/>
    </row>
    <row r="61" customFormat="false" ht="15" hidden="false" customHeight="false" outlineLevel="0" collapsed="false">
      <c r="A61" s="102"/>
      <c r="B61" s="104"/>
      <c r="C61" s="104"/>
    </row>
    <row r="62" customFormat="false" ht="15" hidden="false" customHeight="false" outlineLevel="0" collapsed="false">
      <c r="A62" s="102"/>
      <c r="B62" s="104"/>
      <c r="C62" s="104"/>
    </row>
    <row r="63" customFormat="false" ht="15" hidden="false" customHeight="false" outlineLevel="0" collapsed="false">
      <c r="A63" s="102"/>
      <c r="B63" s="104"/>
      <c r="C63" s="104"/>
    </row>
    <row r="64" customFormat="false" ht="15" hidden="false" customHeight="false" outlineLevel="0" collapsed="false">
      <c r="A64" s="102"/>
      <c r="B64" s="104"/>
      <c r="C64" s="104"/>
    </row>
    <row r="65" customFormat="false" ht="15" hidden="false" customHeight="false" outlineLevel="0" collapsed="false">
      <c r="A65" s="102"/>
      <c r="B65" s="104"/>
      <c r="C65" s="104"/>
    </row>
    <row r="66" customFormat="false" ht="15" hidden="false" customHeight="false" outlineLevel="0" collapsed="false">
      <c r="A66" s="102"/>
      <c r="B66" s="104"/>
      <c r="C66" s="104"/>
    </row>
    <row r="67" customFormat="false" ht="15" hidden="false" customHeight="false" outlineLevel="0" collapsed="false">
      <c r="A67" s="102"/>
      <c r="B67" s="104"/>
      <c r="C67" s="104"/>
    </row>
    <row r="68" customFormat="false" ht="15" hidden="false" customHeight="false" outlineLevel="0" collapsed="false">
      <c r="A68" s="102"/>
      <c r="B68" s="104"/>
      <c r="C68" s="104"/>
    </row>
    <row r="69" customFormat="false" ht="15" hidden="false" customHeight="false" outlineLevel="0" collapsed="false">
      <c r="A69" s="102"/>
      <c r="B69" s="104"/>
      <c r="C69" s="104"/>
    </row>
    <row r="70" customFormat="false" ht="15" hidden="false" customHeight="false" outlineLevel="0" collapsed="false">
      <c r="A70" s="102"/>
      <c r="B70" s="104"/>
      <c r="C70" s="104"/>
    </row>
    <row r="71" customFormat="false" ht="15" hidden="false" customHeight="false" outlineLevel="0" collapsed="false">
      <c r="A71" s="102"/>
      <c r="B71" s="104"/>
      <c r="C71" s="104"/>
    </row>
    <row r="72" customFormat="false" ht="15" hidden="false" customHeight="false" outlineLevel="0" collapsed="false">
      <c r="A72" s="102"/>
      <c r="B72" s="104"/>
      <c r="C72" s="104"/>
    </row>
    <row r="73" customFormat="false" ht="15" hidden="false" customHeight="false" outlineLevel="0" collapsed="false">
      <c r="A73" s="102"/>
      <c r="B73" s="104"/>
      <c r="C73" s="104"/>
    </row>
    <row r="74" customFormat="false" ht="15" hidden="false" customHeight="false" outlineLevel="0" collapsed="false">
      <c r="A74" s="102"/>
      <c r="B74" s="104"/>
      <c r="C74" s="104"/>
    </row>
    <row r="75" customFormat="false" ht="15" hidden="false" customHeight="false" outlineLevel="0" collapsed="false">
      <c r="A75" s="102"/>
      <c r="B75" s="104"/>
      <c r="C75" s="104"/>
    </row>
    <row r="76" customFormat="false" ht="15" hidden="false" customHeight="false" outlineLevel="0" collapsed="false">
      <c r="A76" s="102"/>
      <c r="B76" s="104"/>
      <c r="C76" s="104"/>
    </row>
    <row r="77" customFormat="false" ht="15" hidden="false" customHeight="false" outlineLevel="0" collapsed="false">
      <c r="A77" s="102"/>
      <c r="B77" s="104"/>
      <c r="C77" s="104"/>
    </row>
    <row r="78" customFormat="false" ht="15" hidden="false" customHeight="false" outlineLevel="0" collapsed="false">
      <c r="A78" s="102"/>
      <c r="B78" s="104"/>
      <c r="C78" s="104"/>
    </row>
    <row r="79" customFormat="false" ht="15" hidden="false" customHeight="false" outlineLevel="0" collapsed="false">
      <c r="A79" s="102"/>
      <c r="B79" s="104"/>
      <c r="C79" s="104"/>
    </row>
    <row r="80" customFormat="false" ht="15" hidden="false" customHeight="false" outlineLevel="0" collapsed="false">
      <c r="A80" s="102"/>
      <c r="B80" s="104"/>
      <c r="C80" s="104"/>
    </row>
    <row r="81" customFormat="false" ht="15" hidden="false" customHeight="false" outlineLevel="0" collapsed="false">
      <c r="A81" s="102"/>
      <c r="B81" s="104"/>
      <c r="C81" s="104"/>
    </row>
    <row r="82" customFormat="false" ht="15" hidden="false" customHeight="false" outlineLevel="0" collapsed="false">
      <c r="A82" s="102"/>
      <c r="B82" s="104"/>
      <c r="C82" s="104"/>
    </row>
    <row r="83" customFormat="false" ht="15" hidden="false" customHeight="false" outlineLevel="0" collapsed="false">
      <c r="A83" s="102"/>
      <c r="B83" s="104"/>
      <c r="C83" s="104"/>
    </row>
    <row r="84" customFormat="false" ht="15" hidden="false" customHeight="false" outlineLevel="0" collapsed="false">
      <c r="A84" s="102"/>
      <c r="B84" s="104"/>
      <c r="C84" s="104"/>
    </row>
    <row r="85" customFormat="false" ht="15" hidden="false" customHeight="false" outlineLevel="0" collapsed="false">
      <c r="A85" s="102"/>
      <c r="B85" s="104"/>
      <c r="C85" s="104"/>
    </row>
    <row r="86" customFormat="false" ht="15" hidden="false" customHeight="false" outlineLevel="0" collapsed="false">
      <c r="A86" s="102"/>
      <c r="B86" s="104"/>
      <c r="C86" s="104"/>
    </row>
    <row r="87" customFormat="false" ht="15" hidden="false" customHeight="false" outlineLevel="0" collapsed="false">
      <c r="A87" s="102"/>
      <c r="B87" s="104"/>
      <c r="C87" s="104"/>
    </row>
    <row r="88" customFormat="false" ht="15" hidden="false" customHeight="false" outlineLevel="0" collapsed="false">
      <c r="A88" s="102"/>
      <c r="B88" s="104"/>
      <c r="C88" s="104"/>
    </row>
    <row r="89" customFormat="false" ht="15" hidden="false" customHeight="false" outlineLevel="0" collapsed="false">
      <c r="A89" s="102"/>
      <c r="B89" s="104"/>
      <c r="C89" s="104"/>
    </row>
    <row r="90" customFormat="false" ht="15" hidden="false" customHeight="false" outlineLevel="0" collapsed="false">
      <c r="A90" s="102"/>
      <c r="B90" s="104"/>
      <c r="C90" s="104"/>
    </row>
    <row r="91" customFormat="false" ht="15" hidden="false" customHeight="false" outlineLevel="0" collapsed="false">
      <c r="A91" s="102"/>
      <c r="B91" s="104"/>
      <c r="C91" s="104"/>
    </row>
    <row r="92" customFormat="false" ht="15" hidden="false" customHeight="false" outlineLevel="0" collapsed="false">
      <c r="A92" s="102"/>
      <c r="B92" s="104"/>
      <c r="C92" s="104"/>
    </row>
    <row r="93" customFormat="false" ht="15" hidden="false" customHeight="false" outlineLevel="0" collapsed="false">
      <c r="A93" s="102"/>
      <c r="B93" s="104"/>
      <c r="C93" s="104"/>
    </row>
    <row r="94" customFormat="false" ht="15" hidden="false" customHeight="false" outlineLevel="0" collapsed="false">
      <c r="A94" s="102"/>
      <c r="B94" s="104"/>
      <c r="C94" s="104"/>
    </row>
    <row r="95" customFormat="false" ht="15" hidden="false" customHeight="false" outlineLevel="0" collapsed="false">
      <c r="A95" s="102"/>
      <c r="B95" s="104"/>
      <c r="C95" s="104"/>
    </row>
    <row r="96" customFormat="false" ht="15" hidden="false" customHeight="false" outlineLevel="0" collapsed="false">
      <c r="A96" s="102"/>
      <c r="B96" s="104"/>
      <c r="C96" s="104"/>
    </row>
    <row r="97" customFormat="false" ht="15" hidden="false" customHeight="false" outlineLevel="0" collapsed="false">
      <c r="A97" s="102"/>
      <c r="B97" s="104"/>
      <c r="C97" s="104"/>
    </row>
    <row r="98" customFormat="false" ht="15" hidden="false" customHeight="false" outlineLevel="0" collapsed="false">
      <c r="A98" s="102"/>
      <c r="B98" s="104"/>
      <c r="C98" s="104"/>
    </row>
    <row r="99" customFormat="false" ht="15" hidden="false" customHeight="false" outlineLevel="0" collapsed="false">
      <c r="A99" s="102"/>
      <c r="B99" s="104"/>
      <c r="C99" s="104"/>
    </row>
    <row r="100" customFormat="false" ht="15" hidden="false" customHeight="false" outlineLevel="0" collapsed="false">
      <c r="A100" s="102"/>
      <c r="B100" s="104"/>
      <c r="C100" s="104"/>
    </row>
    <row r="101" customFormat="false" ht="15" hidden="false" customHeight="false" outlineLevel="0" collapsed="false">
      <c r="A101" s="102"/>
      <c r="B101" s="104"/>
      <c r="C101" s="104"/>
    </row>
    <row r="102" customFormat="false" ht="15" hidden="false" customHeight="false" outlineLevel="0" collapsed="false">
      <c r="A102" s="102"/>
      <c r="B102" s="104"/>
      <c r="C102" s="104"/>
    </row>
    <row r="103" customFormat="false" ht="15" hidden="false" customHeight="false" outlineLevel="0" collapsed="false">
      <c r="A103" s="102"/>
      <c r="B103" s="104"/>
      <c r="C103" s="104"/>
    </row>
    <row r="104" customFormat="false" ht="15" hidden="false" customHeight="false" outlineLevel="0" collapsed="false">
      <c r="A104" s="102"/>
      <c r="B104" s="104"/>
      <c r="C104" s="104"/>
    </row>
    <row r="105" customFormat="false" ht="15" hidden="false" customHeight="false" outlineLevel="0" collapsed="false">
      <c r="A105" s="102"/>
      <c r="B105" s="104"/>
      <c r="C105" s="104"/>
    </row>
    <row r="106" customFormat="false" ht="15" hidden="false" customHeight="false" outlineLevel="0" collapsed="false">
      <c r="A106" s="102"/>
      <c r="B106" s="104"/>
      <c r="C106" s="104"/>
    </row>
    <row r="107" customFormat="false" ht="15" hidden="false" customHeight="false" outlineLevel="0" collapsed="false">
      <c r="A107" s="102"/>
      <c r="B107" s="104"/>
      <c r="C107" s="104"/>
    </row>
    <row r="108" customFormat="false" ht="15" hidden="false" customHeight="false" outlineLevel="0" collapsed="false">
      <c r="A108" s="102"/>
      <c r="B108" s="104"/>
      <c r="C108" s="104"/>
    </row>
    <row r="109" customFormat="false" ht="15" hidden="false" customHeight="false" outlineLevel="0" collapsed="false">
      <c r="A109" s="102"/>
      <c r="B109" s="104"/>
      <c r="C109" s="104"/>
    </row>
    <row r="110" customFormat="false" ht="15" hidden="false" customHeight="false" outlineLevel="0" collapsed="false">
      <c r="A110" s="102"/>
      <c r="B110" s="104"/>
      <c r="C110" s="104"/>
    </row>
    <row r="111" customFormat="false" ht="15" hidden="false" customHeight="false" outlineLevel="0" collapsed="false">
      <c r="A111" s="102"/>
      <c r="B111" s="104"/>
      <c r="C111" s="104"/>
    </row>
    <row r="112" customFormat="false" ht="15" hidden="false" customHeight="false" outlineLevel="0" collapsed="false">
      <c r="A112" s="102"/>
      <c r="B112" s="104"/>
      <c r="C112" s="104"/>
    </row>
    <row r="113" customFormat="false" ht="15" hidden="false" customHeight="false" outlineLevel="0" collapsed="false">
      <c r="A113" s="102"/>
      <c r="B113" s="104"/>
      <c r="C113" s="104"/>
    </row>
    <row r="114" customFormat="false" ht="15" hidden="false" customHeight="false" outlineLevel="0" collapsed="false">
      <c r="A114" s="102"/>
      <c r="B114" s="104"/>
      <c r="C114" s="104"/>
    </row>
    <row r="115" customFormat="false" ht="15" hidden="false" customHeight="false" outlineLevel="0" collapsed="false">
      <c r="A115" s="102"/>
      <c r="B115" s="104"/>
      <c r="C115" s="104"/>
    </row>
    <row r="116" customFormat="false" ht="15" hidden="false" customHeight="false" outlineLevel="0" collapsed="false">
      <c r="A116" s="102"/>
      <c r="B116" s="104"/>
      <c r="C116" s="104"/>
    </row>
    <row r="117" customFormat="false" ht="15" hidden="false" customHeight="false" outlineLevel="0" collapsed="false">
      <c r="A117" s="102"/>
      <c r="B117" s="104"/>
      <c r="C117" s="104"/>
    </row>
    <row r="118" customFormat="false" ht="15" hidden="false" customHeight="false" outlineLevel="0" collapsed="false">
      <c r="A118" s="102"/>
      <c r="B118" s="104"/>
      <c r="C118" s="104"/>
    </row>
    <row r="119" customFormat="false" ht="15" hidden="false" customHeight="false" outlineLevel="0" collapsed="false">
      <c r="A119" s="102"/>
      <c r="B119" s="104"/>
      <c r="C119" s="104"/>
    </row>
    <row r="120" customFormat="false" ht="15" hidden="false" customHeight="false" outlineLevel="0" collapsed="false">
      <c r="A120" s="102"/>
      <c r="B120" s="104"/>
      <c r="C120" s="104"/>
    </row>
    <row r="121" customFormat="false" ht="15" hidden="false" customHeight="false" outlineLevel="0" collapsed="false">
      <c r="A121" s="102"/>
      <c r="B121" s="104"/>
      <c r="C121" s="104"/>
    </row>
    <row r="122" customFormat="false" ht="15" hidden="false" customHeight="false" outlineLevel="0" collapsed="false">
      <c r="A122" s="102"/>
      <c r="B122" s="104"/>
      <c r="C122" s="104"/>
    </row>
    <row r="123" customFormat="false" ht="15" hidden="false" customHeight="false" outlineLevel="0" collapsed="false">
      <c r="A123" s="102"/>
      <c r="B123" s="104"/>
      <c r="C123" s="104"/>
    </row>
    <row r="124" customFormat="false" ht="15" hidden="false" customHeight="false" outlineLevel="0" collapsed="false">
      <c r="A124" s="102"/>
      <c r="B124" s="104"/>
      <c r="C124" s="104"/>
    </row>
    <row r="125" customFormat="false" ht="15" hidden="false" customHeight="false" outlineLevel="0" collapsed="false">
      <c r="A125" s="102"/>
      <c r="B125" s="104"/>
      <c r="C125" s="104"/>
    </row>
    <row r="126" customFormat="false" ht="15" hidden="false" customHeight="false" outlineLevel="0" collapsed="false">
      <c r="A126" s="102"/>
      <c r="B126" s="104"/>
      <c r="C126" s="104"/>
    </row>
    <row r="127" customFormat="false" ht="15" hidden="false" customHeight="false" outlineLevel="0" collapsed="false">
      <c r="A127" s="102"/>
      <c r="B127" s="104"/>
      <c r="C127" s="104"/>
    </row>
    <row r="128" customFormat="false" ht="15" hidden="false" customHeight="false" outlineLevel="0" collapsed="false">
      <c r="A128" s="102"/>
      <c r="B128" s="104"/>
      <c r="C128" s="104"/>
    </row>
    <row r="129" customFormat="false" ht="15" hidden="false" customHeight="false" outlineLevel="0" collapsed="false">
      <c r="A129" s="102"/>
      <c r="B129" s="104"/>
      <c r="C129" s="104"/>
    </row>
    <row r="130" customFormat="false" ht="15" hidden="false" customHeight="false" outlineLevel="0" collapsed="false">
      <c r="A130" s="102"/>
      <c r="B130" s="104"/>
      <c r="C130" s="104"/>
    </row>
    <row r="131" customFormat="false" ht="15" hidden="false" customHeight="false" outlineLevel="0" collapsed="false">
      <c r="A131" s="102"/>
      <c r="B131" s="104"/>
      <c r="C131" s="104"/>
    </row>
    <row r="132" customFormat="false" ht="15" hidden="false" customHeight="false" outlineLevel="0" collapsed="false">
      <c r="A132" s="102"/>
      <c r="B132" s="104"/>
      <c r="C132" s="104"/>
    </row>
    <row r="133" customFormat="false" ht="15" hidden="false" customHeight="false" outlineLevel="0" collapsed="false">
      <c r="A133" s="102"/>
      <c r="B133" s="104"/>
      <c r="C133" s="104"/>
    </row>
    <row r="134" customFormat="false" ht="15" hidden="false" customHeight="false" outlineLevel="0" collapsed="false">
      <c r="A134" s="102"/>
      <c r="B134" s="104"/>
      <c r="C134" s="104"/>
    </row>
    <row r="135" customFormat="false" ht="15" hidden="false" customHeight="false" outlineLevel="0" collapsed="false">
      <c r="A135" s="102"/>
      <c r="B135" s="104"/>
      <c r="C135" s="104"/>
    </row>
    <row r="136" customFormat="false" ht="15" hidden="false" customHeight="false" outlineLevel="0" collapsed="false">
      <c r="A136" s="102"/>
      <c r="B136" s="104"/>
      <c r="C136" s="104"/>
    </row>
    <row r="137" customFormat="false" ht="15" hidden="false" customHeight="false" outlineLevel="0" collapsed="false">
      <c r="A137" s="102"/>
      <c r="B137" s="104"/>
      <c r="C137" s="104"/>
    </row>
    <row r="138" customFormat="false" ht="15" hidden="false" customHeight="false" outlineLevel="0" collapsed="false">
      <c r="A138" s="102"/>
      <c r="B138" s="104"/>
      <c r="C138" s="104"/>
    </row>
    <row r="139" customFormat="false" ht="15" hidden="false" customHeight="false" outlineLevel="0" collapsed="false">
      <c r="A139" s="102"/>
      <c r="B139" s="104"/>
      <c r="C139" s="104"/>
    </row>
    <row r="140" customFormat="false" ht="15" hidden="false" customHeight="false" outlineLevel="0" collapsed="false">
      <c r="A140" s="102"/>
      <c r="B140" s="104"/>
      <c r="C140" s="104"/>
    </row>
    <row r="141" customFormat="false" ht="15" hidden="false" customHeight="false" outlineLevel="0" collapsed="false">
      <c r="A141" s="102"/>
      <c r="B141" s="104"/>
      <c r="C141" s="104"/>
    </row>
    <row r="142" customFormat="false" ht="15" hidden="false" customHeight="false" outlineLevel="0" collapsed="false">
      <c r="A142" s="102"/>
      <c r="B142" s="104"/>
      <c r="C142" s="104"/>
    </row>
    <row r="143" customFormat="false" ht="15" hidden="false" customHeight="false" outlineLevel="0" collapsed="false">
      <c r="A143" s="102"/>
      <c r="B143" s="104"/>
      <c r="C143" s="104"/>
    </row>
    <row r="144" customFormat="false" ht="15" hidden="false" customHeight="false" outlineLevel="0" collapsed="false">
      <c r="A144" s="102"/>
      <c r="B144" s="104"/>
      <c r="C144" s="104"/>
    </row>
    <row r="145" customFormat="false" ht="15" hidden="false" customHeight="false" outlineLevel="0" collapsed="false">
      <c r="A145" s="102"/>
      <c r="B145" s="104"/>
      <c r="C145" s="104"/>
    </row>
    <row r="146" customFormat="false" ht="15" hidden="false" customHeight="false" outlineLevel="0" collapsed="false">
      <c r="A146" s="102"/>
      <c r="B146" s="104"/>
      <c r="C146" s="104"/>
    </row>
    <row r="147" customFormat="false" ht="15" hidden="false" customHeight="false" outlineLevel="0" collapsed="false">
      <c r="A147" s="102"/>
      <c r="B147" s="104"/>
      <c r="C147" s="104"/>
    </row>
    <row r="148" customFormat="false" ht="15" hidden="false" customHeight="false" outlineLevel="0" collapsed="false">
      <c r="A148" s="102"/>
      <c r="B148" s="104"/>
      <c r="C148" s="104"/>
    </row>
    <row r="149" customFormat="false" ht="15" hidden="false" customHeight="false" outlineLevel="0" collapsed="false">
      <c r="A149" s="102"/>
      <c r="B149" s="104"/>
      <c r="C149" s="104"/>
    </row>
    <row r="150" customFormat="false" ht="15" hidden="false" customHeight="false" outlineLevel="0" collapsed="false">
      <c r="A150" s="102"/>
      <c r="B150" s="104"/>
      <c r="C150" s="104"/>
    </row>
    <row r="151" customFormat="false" ht="15" hidden="false" customHeight="false" outlineLevel="0" collapsed="false">
      <c r="A151" s="102"/>
      <c r="B151" s="104"/>
      <c r="C151" s="104"/>
    </row>
    <row r="152" customFormat="false" ht="15" hidden="false" customHeight="false" outlineLevel="0" collapsed="false">
      <c r="A152" s="102"/>
      <c r="B152" s="104"/>
      <c r="C152" s="104"/>
    </row>
    <row r="153" customFormat="false" ht="15" hidden="false" customHeight="false" outlineLevel="0" collapsed="false">
      <c r="A153" s="102"/>
      <c r="B153" s="104"/>
      <c r="C153" s="104"/>
    </row>
    <row r="154" customFormat="false" ht="15" hidden="false" customHeight="false" outlineLevel="0" collapsed="false">
      <c r="A154" s="102"/>
      <c r="B154" s="104"/>
      <c r="C154" s="104"/>
    </row>
    <row r="155" customFormat="false" ht="15" hidden="false" customHeight="false" outlineLevel="0" collapsed="false">
      <c r="A155" s="102"/>
      <c r="B155" s="104"/>
      <c r="C155" s="104"/>
    </row>
    <row r="156" customFormat="false" ht="15" hidden="false" customHeight="false" outlineLevel="0" collapsed="false">
      <c r="A156" s="102"/>
      <c r="B156" s="104"/>
      <c r="C156" s="104"/>
    </row>
    <row r="157" customFormat="false" ht="15" hidden="false" customHeight="false" outlineLevel="0" collapsed="false">
      <c r="A157" s="102"/>
      <c r="B157" s="104"/>
      <c r="C157" s="104"/>
    </row>
    <row r="158" customFormat="false" ht="15" hidden="false" customHeight="false" outlineLevel="0" collapsed="false">
      <c r="A158" s="102"/>
      <c r="B158" s="104"/>
      <c r="C158" s="104"/>
    </row>
    <row r="159" customFormat="false" ht="15" hidden="false" customHeight="false" outlineLevel="0" collapsed="false">
      <c r="A159" s="102"/>
      <c r="B159" s="104"/>
      <c r="C159" s="104"/>
    </row>
    <row r="160" customFormat="false" ht="15" hidden="false" customHeight="false" outlineLevel="0" collapsed="false">
      <c r="A160" s="102"/>
      <c r="B160" s="104"/>
      <c r="C160" s="104"/>
    </row>
    <row r="161" customFormat="false" ht="15" hidden="false" customHeight="false" outlineLevel="0" collapsed="false">
      <c r="A161" s="102"/>
      <c r="B161" s="104"/>
      <c r="C161" s="104"/>
    </row>
    <row r="162" customFormat="false" ht="15" hidden="false" customHeight="false" outlineLevel="0" collapsed="false">
      <c r="A162" s="102"/>
      <c r="B162" s="104"/>
      <c r="C162" s="104"/>
    </row>
    <row r="163" customFormat="false" ht="15" hidden="false" customHeight="false" outlineLevel="0" collapsed="false">
      <c r="A163" s="102"/>
      <c r="B163" s="104"/>
      <c r="C163" s="104"/>
    </row>
    <row r="164" customFormat="false" ht="15" hidden="false" customHeight="false" outlineLevel="0" collapsed="false">
      <c r="A164" s="102"/>
      <c r="B164" s="104"/>
      <c r="C164" s="104"/>
    </row>
    <row r="165" customFormat="false" ht="15" hidden="false" customHeight="false" outlineLevel="0" collapsed="false">
      <c r="A165" s="102"/>
      <c r="B165" s="104"/>
      <c r="C165" s="104"/>
    </row>
    <row r="166" customFormat="false" ht="15" hidden="false" customHeight="false" outlineLevel="0" collapsed="false">
      <c r="A166" s="102"/>
      <c r="B166" s="104"/>
      <c r="C166" s="104"/>
    </row>
    <row r="167" customFormat="false" ht="15" hidden="false" customHeight="false" outlineLevel="0" collapsed="false">
      <c r="A167" s="102"/>
      <c r="B167" s="104"/>
      <c r="C167" s="104"/>
    </row>
    <row r="168" customFormat="false" ht="15" hidden="false" customHeight="false" outlineLevel="0" collapsed="false">
      <c r="A168" s="102"/>
      <c r="B168" s="104"/>
      <c r="C168" s="104"/>
    </row>
    <row r="169" customFormat="false" ht="15" hidden="false" customHeight="false" outlineLevel="0" collapsed="false">
      <c r="A169" s="102"/>
      <c r="B169" s="104"/>
      <c r="C169" s="104"/>
    </row>
    <row r="170" customFormat="false" ht="15" hidden="false" customHeight="false" outlineLevel="0" collapsed="false">
      <c r="A170" s="102"/>
      <c r="B170" s="104"/>
      <c r="C170" s="104"/>
    </row>
    <row r="171" customFormat="false" ht="15" hidden="false" customHeight="false" outlineLevel="0" collapsed="false">
      <c r="A171" s="102"/>
      <c r="B171" s="104"/>
      <c r="C171" s="104"/>
    </row>
    <row r="172" customFormat="false" ht="15" hidden="false" customHeight="false" outlineLevel="0" collapsed="false">
      <c r="A172" s="102"/>
      <c r="B172" s="104"/>
      <c r="C172" s="104"/>
    </row>
    <row r="173" customFormat="false" ht="15" hidden="false" customHeight="false" outlineLevel="0" collapsed="false">
      <c r="A173" s="102"/>
      <c r="B173" s="104"/>
      <c r="C173" s="104"/>
    </row>
    <row r="174" customFormat="false" ht="15" hidden="false" customHeight="false" outlineLevel="0" collapsed="false">
      <c r="A174" s="102"/>
      <c r="B174" s="104"/>
      <c r="C174" s="104"/>
    </row>
    <row r="175" customFormat="false" ht="15" hidden="false" customHeight="false" outlineLevel="0" collapsed="false">
      <c r="A175" s="102"/>
      <c r="B175" s="104"/>
      <c r="C175" s="104"/>
    </row>
    <row r="176" customFormat="false" ht="15" hidden="false" customHeight="false" outlineLevel="0" collapsed="false">
      <c r="A176" s="102"/>
      <c r="B176" s="104"/>
      <c r="C176" s="104"/>
    </row>
    <row r="177" customFormat="false" ht="15" hidden="false" customHeight="false" outlineLevel="0" collapsed="false">
      <c r="A177" s="102"/>
      <c r="B177" s="104"/>
      <c r="C177" s="104"/>
    </row>
    <row r="178" customFormat="false" ht="15" hidden="false" customHeight="false" outlineLevel="0" collapsed="false">
      <c r="A178" s="102"/>
      <c r="B178" s="104"/>
      <c r="C178" s="104"/>
    </row>
    <row r="179" customFormat="false" ht="15" hidden="false" customHeight="false" outlineLevel="0" collapsed="false">
      <c r="A179" s="102"/>
      <c r="B179" s="104"/>
      <c r="C179" s="104"/>
    </row>
    <row r="180" customFormat="false" ht="15" hidden="false" customHeight="false" outlineLevel="0" collapsed="false">
      <c r="A180" s="102"/>
      <c r="B180" s="104"/>
      <c r="C180" s="104"/>
    </row>
    <row r="181" customFormat="false" ht="15" hidden="false" customHeight="false" outlineLevel="0" collapsed="false">
      <c r="A181" s="102"/>
      <c r="B181" s="104"/>
      <c r="C181" s="104"/>
    </row>
    <row r="182" customFormat="false" ht="15" hidden="false" customHeight="false" outlineLevel="0" collapsed="false">
      <c r="A182" s="102"/>
      <c r="B182" s="104"/>
      <c r="C182" s="104"/>
    </row>
    <row r="183" customFormat="false" ht="15" hidden="false" customHeight="false" outlineLevel="0" collapsed="false">
      <c r="A183" s="102"/>
      <c r="B183" s="104"/>
      <c r="C183" s="104"/>
    </row>
    <row r="184" customFormat="false" ht="15" hidden="false" customHeight="false" outlineLevel="0" collapsed="false">
      <c r="A184" s="102"/>
      <c r="B184" s="104"/>
      <c r="C184" s="104"/>
    </row>
    <row r="185" customFormat="false" ht="15" hidden="false" customHeight="false" outlineLevel="0" collapsed="false">
      <c r="A185" s="102"/>
      <c r="B185" s="104"/>
      <c r="C185" s="104"/>
    </row>
    <row r="186" customFormat="false" ht="15" hidden="false" customHeight="false" outlineLevel="0" collapsed="false">
      <c r="A186" s="102"/>
      <c r="B186" s="104"/>
      <c r="C186" s="104"/>
    </row>
    <row r="187" customFormat="false" ht="15" hidden="false" customHeight="false" outlineLevel="0" collapsed="false">
      <c r="A187" s="102"/>
      <c r="B187" s="104"/>
      <c r="C187" s="104"/>
    </row>
    <row r="188" customFormat="false" ht="15" hidden="false" customHeight="false" outlineLevel="0" collapsed="false">
      <c r="A188" s="102"/>
      <c r="B188" s="104"/>
      <c r="C188" s="104"/>
    </row>
    <row r="189" customFormat="false" ht="15" hidden="false" customHeight="false" outlineLevel="0" collapsed="false">
      <c r="A189" s="102"/>
      <c r="B189" s="104"/>
      <c r="C189" s="104"/>
    </row>
    <row r="190" customFormat="false" ht="15" hidden="false" customHeight="false" outlineLevel="0" collapsed="false">
      <c r="A190" s="102"/>
      <c r="B190" s="104"/>
      <c r="C190" s="104"/>
    </row>
    <row r="191" customFormat="false" ht="15" hidden="false" customHeight="false" outlineLevel="0" collapsed="false">
      <c r="A191" s="102"/>
      <c r="B191" s="104"/>
      <c r="C191" s="104"/>
    </row>
    <row r="192" customFormat="false" ht="15" hidden="false" customHeight="false" outlineLevel="0" collapsed="false">
      <c r="A192" s="102"/>
      <c r="B192" s="104"/>
      <c r="C192" s="104"/>
    </row>
    <row r="193" customFormat="false" ht="15" hidden="false" customHeight="false" outlineLevel="0" collapsed="false">
      <c r="A193" s="102"/>
      <c r="B193" s="104"/>
      <c r="C193" s="104"/>
    </row>
    <row r="194" customFormat="false" ht="15" hidden="false" customHeight="false" outlineLevel="0" collapsed="false">
      <c r="A194" s="102"/>
      <c r="B194" s="104"/>
      <c r="C194" s="104"/>
    </row>
    <row r="195" customFormat="false" ht="15" hidden="false" customHeight="false" outlineLevel="0" collapsed="false">
      <c r="A195" s="102"/>
      <c r="B195" s="104"/>
      <c r="C195" s="104"/>
    </row>
    <row r="196" customFormat="false" ht="15" hidden="false" customHeight="false" outlineLevel="0" collapsed="false">
      <c r="A196" s="102"/>
      <c r="B196" s="104"/>
      <c r="C196" s="104"/>
    </row>
    <row r="197" customFormat="false" ht="15" hidden="false" customHeight="false" outlineLevel="0" collapsed="false">
      <c r="A197" s="102"/>
      <c r="B197" s="104"/>
      <c r="C197" s="104"/>
    </row>
    <row r="198" customFormat="false" ht="15" hidden="false" customHeight="false" outlineLevel="0" collapsed="false">
      <c r="A198" s="102"/>
      <c r="B198" s="104"/>
      <c r="C198" s="104"/>
    </row>
    <row r="199" customFormat="false" ht="15" hidden="false" customHeight="false" outlineLevel="0" collapsed="false">
      <c r="A199" s="102"/>
      <c r="B199" s="104"/>
      <c r="C199" s="104"/>
    </row>
    <row r="200" customFormat="false" ht="15" hidden="false" customHeight="false" outlineLevel="0" collapsed="false">
      <c r="A200" s="102"/>
      <c r="B200" s="104"/>
      <c r="C200" s="104"/>
    </row>
    <row r="201" customFormat="false" ht="15" hidden="false" customHeight="false" outlineLevel="0" collapsed="false">
      <c r="A201" s="102"/>
      <c r="B201" s="104"/>
      <c r="C201" s="104"/>
    </row>
    <row r="202" customFormat="false" ht="15" hidden="false" customHeight="false" outlineLevel="0" collapsed="false">
      <c r="A202" s="102"/>
      <c r="B202" s="104"/>
      <c r="C202" s="104"/>
    </row>
    <row r="203" customFormat="false" ht="15" hidden="false" customHeight="false" outlineLevel="0" collapsed="false">
      <c r="A203" s="102"/>
      <c r="B203" s="104"/>
      <c r="C203" s="104"/>
    </row>
    <row r="204" customFormat="false" ht="15" hidden="false" customHeight="false" outlineLevel="0" collapsed="false">
      <c r="A204" s="102"/>
      <c r="B204" s="104"/>
      <c r="C204" s="104"/>
    </row>
    <row r="205" customFormat="false" ht="15" hidden="false" customHeight="false" outlineLevel="0" collapsed="false">
      <c r="A205" s="102"/>
      <c r="B205" s="104"/>
      <c r="C205" s="104"/>
    </row>
    <row r="206" customFormat="false" ht="15" hidden="false" customHeight="false" outlineLevel="0" collapsed="false">
      <c r="A206" s="102"/>
      <c r="B206" s="104"/>
      <c r="C206" s="104"/>
    </row>
    <row r="207" customFormat="false" ht="15" hidden="false" customHeight="false" outlineLevel="0" collapsed="false">
      <c r="A207" s="102"/>
      <c r="B207" s="104"/>
      <c r="C207" s="104"/>
    </row>
    <row r="208" customFormat="false" ht="15" hidden="false" customHeight="false" outlineLevel="0" collapsed="false">
      <c r="A208" s="102"/>
      <c r="B208" s="104"/>
      <c r="C208" s="104"/>
    </row>
    <row r="209" customFormat="false" ht="15" hidden="false" customHeight="false" outlineLevel="0" collapsed="false">
      <c r="A209" s="102"/>
      <c r="B209" s="104"/>
      <c r="C209" s="104"/>
    </row>
    <row r="210" customFormat="false" ht="15" hidden="false" customHeight="false" outlineLevel="0" collapsed="false">
      <c r="A210" s="102"/>
      <c r="B210" s="104"/>
      <c r="C210" s="104"/>
    </row>
    <row r="211" customFormat="false" ht="15" hidden="false" customHeight="false" outlineLevel="0" collapsed="false">
      <c r="A211" s="102"/>
      <c r="B211" s="104"/>
      <c r="C211" s="104"/>
    </row>
    <row r="212" customFormat="false" ht="15" hidden="false" customHeight="false" outlineLevel="0" collapsed="false">
      <c r="A212" s="102"/>
      <c r="B212" s="104"/>
      <c r="C212" s="104"/>
    </row>
    <row r="213" customFormat="false" ht="15" hidden="false" customHeight="false" outlineLevel="0" collapsed="false">
      <c r="A213" s="102"/>
      <c r="B213" s="104"/>
      <c r="C213" s="104"/>
    </row>
    <row r="214" customFormat="false" ht="15" hidden="false" customHeight="false" outlineLevel="0" collapsed="false">
      <c r="A214" s="102"/>
      <c r="B214" s="104"/>
      <c r="C214" s="104"/>
    </row>
    <row r="215" customFormat="false" ht="15" hidden="false" customHeight="false" outlineLevel="0" collapsed="false">
      <c r="A215" s="102"/>
      <c r="B215" s="104"/>
      <c r="C215" s="104"/>
    </row>
    <row r="216" customFormat="false" ht="15" hidden="false" customHeight="false" outlineLevel="0" collapsed="false">
      <c r="A216" s="102"/>
      <c r="B216" s="104"/>
      <c r="C216" s="104"/>
    </row>
    <row r="217" customFormat="false" ht="15" hidden="false" customHeight="false" outlineLevel="0" collapsed="false">
      <c r="A217" s="102"/>
      <c r="B217" s="104"/>
      <c r="C217" s="104"/>
    </row>
    <row r="218" customFormat="false" ht="15" hidden="false" customHeight="false" outlineLevel="0" collapsed="false">
      <c r="A218" s="102"/>
      <c r="B218" s="104"/>
      <c r="C218" s="104"/>
    </row>
    <row r="219" customFormat="false" ht="15" hidden="false" customHeight="false" outlineLevel="0" collapsed="false">
      <c r="A219" s="102"/>
      <c r="B219" s="104"/>
      <c r="C219" s="104"/>
    </row>
    <row r="220" customFormat="false" ht="15" hidden="false" customHeight="false" outlineLevel="0" collapsed="false">
      <c r="A220" s="102"/>
      <c r="B220" s="104"/>
      <c r="C220" s="104"/>
    </row>
    <row r="221" customFormat="false" ht="15" hidden="false" customHeight="false" outlineLevel="0" collapsed="false">
      <c r="A221" s="102"/>
      <c r="B221" s="104"/>
      <c r="C221" s="104"/>
    </row>
    <row r="222" customFormat="false" ht="15" hidden="false" customHeight="false" outlineLevel="0" collapsed="false">
      <c r="A222" s="102"/>
      <c r="B222" s="104"/>
      <c r="C222" s="104"/>
    </row>
    <row r="223" customFormat="false" ht="15" hidden="false" customHeight="false" outlineLevel="0" collapsed="false">
      <c r="A223" s="102"/>
      <c r="B223" s="104"/>
      <c r="C223" s="104"/>
    </row>
    <row r="224" customFormat="false" ht="15" hidden="false" customHeight="false" outlineLevel="0" collapsed="false">
      <c r="A224" s="102"/>
      <c r="B224" s="104"/>
      <c r="C224" s="104"/>
    </row>
    <row r="225" customFormat="false" ht="15" hidden="false" customHeight="false" outlineLevel="0" collapsed="false">
      <c r="A225" s="102"/>
      <c r="B225" s="104"/>
      <c r="C225" s="104"/>
    </row>
    <row r="226" customFormat="false" ht="15" hidden="false" customHeight="false" outlineLevel="0" collapsed="false">
      <c r="A226" s="102"/>
      <c r="B226" s="104"/>
      <c r="C226" s="104"/>
    </row>
    <row r="227" customFormat="false" ht="15" hidden="false" customHeight="false" outlineLevel="0" collapsed="false">
      <c r="A227" s="102"/>
      <c r="B227" s="104"/>
      <c r="C227" s="104"/>
    </row>
    <row r="228" customFormat="false" ht="15" hidden="false" customHeight="false" outlineLevel="0" collapsed="false">
      <c r="A228" s="102"/>
      <c r="B228" s="104"/>
      <c r="C228" s="104"/>
    </row>
    <row r="229" customFormat="false" ht="15" hidden="false" customHeight="false" outlineLevel="0" collapsed="false">
      <c r="A229" s="102"/>
      <c r="B229" s="104"/>
      <c r="C229" s="104"/>
    </row>
    <row r="230" customFormat="false" ht="15" hidden="false" customHeight="false" outlineLevel="0" collapsed="false">
      <c r="A230" s="102"/>
      <c r="B230" s="104"/>
      <c r="C230" s="104"/>
    </row>
    <row r="231" customFormat="false" ht="15" hidden="false" customHeight="false" outlineLevel="0" collapsed="false">
      <c r="A231" s="102"/>
      <c r="B231" s="104"/>
      <c r="C231" s="104"/>
    </row>
    <row r="232" customFormat="false" ht="15" hidden="false" customHeight="false" outlineLevel="0" collapsed="false">
      <c r="A232" s="102"/>
      <c r="B232" s="104"/>
      <c r="C232" s="104"/>
    </row>
    <row r="233" customFormat="false" ht="15" hidden="false" customHeight="false" outlineLevel="0" collapsed="false">
      <c r="A233" s="102"/>
      <c r="B233" s="104"/>
      <c r="C233" s="104"/>
    </row>
    <row r="234" customFormat="false" ht="15" hidden="false" customHeight="false" outlineLevel="0" collapsed="false">
      <c r="A234" s="102"/>
      <c r="B234" s="104"/>
      <c r="C234" s="104"/>
    </row>
    <row r="235" customFormat="false" ht="15" hidden="false" customHeight="false" outlineLevel="0" collapsed="false">
      <c r="A235" s="102"/>
      <c r="B235" s="104"/>
      <c r="C235" s="104"/>
    </row>
    <row r="236" customFormat="false" ht="15" hidden="false" customHeight="false" outlineLevel="0" collapsed="false">
      <c r="A236" s="102"/>
      <c r="B236" s="104"/>
      <c r="C236" s="104"/>
    </row>
    <row r="237" customFormat="false" ht="15" hidden="false" customHeight="false" outlineLevel="0" collapsed="false">
      <c r="A237" s="102"/>
      <c r="B237" s="104"/>
      <c r="C237" s="104"/>
    </row>
    <row r="238" customFormat="false" ht="15" hidden="false" customHeight="false" outlineLevel="0" collapsed="false">
      <c r="A238" s="102"/>
      <c r="B238" s="104"/>
      <c r="C238" s="104"/>
    </row>
    <row r="239" customFormat="false" ht="15" hidden="false" customHeight="false" outlineLevel="0" collapsed="false">
      <c r="A239" s="102"/>
      <c r="B239" s="104"/>
      <c r="C239" s="104"/>
    </row>
    <row r="240" customFormat="false" ht="15" hidden="false" customHeight="false" outlineLevel="0" collapsed="false">
      <c r="A240" s="102"/>
      <c r="B240" s="104"/>
      <c r="C240" s="104"/>
    </row>
    <row r="241" customFormat="false" ht="15" hidden="false" customHeight="false" outlineLevel="0" collapsed="false">
      <c r="A241" s="102"/>
      <c r="B241" s="104"/>
      <c r="C241" s="104"/>
    </row>
    <row r="242" customFormat="false" ht="15" hidden="false" customHeight="false" outlineLevel="0" collapsed="false">
      <c r="A242" s="102"/>
      <c r="B242" s="104"/>
      <c r="C242" s="104"/>
    </row>
    <row r="243" customFormat="false" ht="15" hidden="false" customHeight="false" outlineLevel="0" collapsed="false">
      <c r="A243" s="102"/>
      <c r="B243" s="104"/>
      <c r="C243" s="104"/>
    </row>
    <row r="244" customFormat="false" ht="15" hidden="false" customHeight="false" outlineLevel="0" collapsed="false">
      <c r="A244" s="102"/>
      <c r="B244" s="104"/>
      <c r="C244" s="104"/>
    </row>
    <row r="245" customFormat="false" ht="15" hidden="false" customHeight="false" outlineLevel="0" collapsed="false">
      <c r="A245" s="102"/>
      <c r="B245" s="104"/>
      <c r="C245" s="104"/>
    </row>
    <row r="246" customFormat="false" ht="15" hidden="false" customHeight="false" outlineLevel="0" collapsed="false">
      <c r="A246" s="102"/>
      <c r="B246" s="104"/>
      <c r="C246" s="104"/>
    </row>
    <row r="247" customFormat="false" ht="15" hidden="false" customHeight="false" outlineLevel="0" collapsed="false">
      <c r="A247" s="102"/>
      <c r="B247" s="104"/>
      <c r="C247" s="104"/>
    </row>
    <row r="248" customFormat="false" ht="15" hidden="false" customHeight="false" outlineLevel="0" collapsed="false">
      <c r="A248" s="102"/>
      <c r="B248" s="104"/>
      <c r="C248" s="104"/>
    </row>
    <row r="249" customFormat="false" ht="15" hidden="false" customHeight="false" outlineLevel="0" collapsed="false">
      <c r="A249" s="102"/>
      <c r="B249" s="104"/>
      <c r="C249" s="104"/>
    </row>
    <row r="250" customFormat="false" ht="15" hidden="false" customHeight="false" outlineLevel="0" collapsed="false">
      <c r="A250" s="102"/>
      <c r="B250" s="104"/>
      <c r="C250" s="104"/>
    </row>
    <row r="251" customFormat="false" ht="15" hidden="false" customHeight="false" outlineLevel="0" collapsed="false">
      <c r="A251" s="102"/>
      <c r="B251" s="104"/>
      <c r="C251" s="104"/>
    </row>
    <row r="252" customFormat="false" ht="15" hidden="false" customHeight="false" outlineLevel="0" collapsed="false">
      <c r="A252" s="102"/>
      <c r="B252" s="104"/>
      <c r="C252" s="104"/>
    </row>
    <row r="253" customFormat="false" ht="15" hidden="false" customHeight="false" outlineLevel="0" collapsed="false">
      <c r="A253" s="102"/>
      <c r="B253" s="104"/>
      <c r="C253" s="104"/>
    </row>
    <row r="254" customFormat="false" ht="15" hidden="false" customHeight="false" outlineLevel="0" collapsed="false">
      <c r="A254" s="102"/>
      <c r="B254" s="104"/>
      <c r="C254" s="104"/>
    </row>
    <row r="255" customFormat="false" ht="15" hidden="false" customHeight="false" outlineLevel="0" collapsed="false">
      <c r="A255" s="102"/>
      <c r="B255" s="104"/>
      <c r="C255" s="104"/>
    </row>
    <row r="256" customFormat="false" ht="15" hidden="false" customHeight="false" outlineLevel="0" collapsed="false">
      <c r="A256" s="102"/>
      <c r="B256" s="104"/>
      <c r="C256" s="104"/>
    </row>
    <row r="257" customFormat="false" ht="15" hidden="false" customHeight="false" outlineLevel="0" collapsed="false">
      <c r="A257" s="102"/>
      <c r="B257" s="104"/>
      <c r="C257" s="104"/>
    </row>
    <row r="258" customFormat="false" ht="15" hidden="false" customHeight="false" outlineLevel="0" collapsed="false">
      <c r="A258" s="102"/>
      <c r="B258" s="104"/>
      <c r="C258" s="104"/>
    </row>
    <row r="259" customFormat="false" ht="15" hidden="false" customHeight="false" outlineLevel="0" collapsed="false">
      <c r="A259" s="102"/>
      <c r="B259" s="104"/>
      <c r="C259" s="104"/>
    </row>
    <row r="260" customFormat="false" ht="15" hidden="false" customHeight="false" outlineLevel="0" collapsed="false">
      <c r="A260" s="102"/>
      <c r="B260" s="104"/>
      <c r="C260" s="104"/>
    </row>
    <row r="261" customFormat="false" ht="15" hidden="false" customHeight="false" outlineLevel="0" collapsed="false">
      <c r="A261" s="102"/>
      <c r="B261" s="104"/>
      <c r="C261" s="104"/>
    </row>
    <row r="262" customFormat="false" ht="15" hidden="false" customHeight="false" outlineLevel="0" collapsed="false">
      <c r="A262" s="102"/>
      <c r="B262" s="104"/>
      <c r="C262" s="104"/>
    </row>
    <row r="263" customFormat="false" ht="15" hidden="false" customHeight="false" outlineLevel="0" collapsed="false">
      <c r="A263" s="102"/>
      <c r="B263" s="104"/>
      <c r="C263" s="104"/>
    </row>
    <row r="264" customFormat="false" ht="15" hidden="false" customHeight="false" outlineLevel="0" collapsed="false">
      <c r="A264" s="102"/>
      <c r="B264" s="104"/>
      <c r="C264" s="104"/>
    </row>
    <row r="265" customFormat="false" ht="15" hidden="false" customHeight="false" outlineLevel="0" collapsed="false">
      <c r="A265" s="102"/>
      <c r="B265" s="104"/>
      <c r="C265" s="104"/>
    </row>
    <row r="266" customFormat="false" ht="15" hidden="false" customHeight="false" outlineLevel="0" collapsed="false">
      <c r="A266" s="102"/>
      <c r="B266" s="104"/>
      <c r="C266" s="104"/>
    </row>
    <row r="267" customFormat="false" ht="15" hidden="false" customHeight="false" outlineLevel="0" collapsed="false">
      <c r="A267" s="102"/>
      <c r="B267" s="104"/>
      <c r="C267" s="104"/>
    </row>
    <row r="268" customFormat="false" ht="15" hidden="false" customHeight="false" outlineLevel="0" collapsed="false">
      <c r="A268" s="102"/>
      <c r="B268" s="104"/>
      <c r="C268" s="104"/>
    </row>
    <row r="269" customFormat="false" ht="15" hidden="false" customHeight="false" outlineLevel="0" collapsed="false">
      <c r="A269" s="102"/>
      <c r="B269" s="104"/>
      <c r="C269" s="104"/>
    </row>
    <row r="270" customFormat="false" ht="15" hidden="false" customHeight="false" outlineLevel="0" collapsed="false">
      <c r="A270" s="102"/>
      <c r="B270" s="104"/>
      <c r="C270" s="104"/>
    </row>
    <row r="271" customFormat="false" ht="15" hidden="false" customHeight="false" outlineLevel="0" collapsed="false">
      <c r="A271" s="102"/>
      <c r="B271" s="104"/>
      <c r="C271" s="104"/>
    </row>
    <row r="272" customFormat="false" ht="15" hidden="false" customHeight="false" outlineLevel="0" collapsed="false">
      <c r="A272" s="102"/>
      <c r="B272" s="104"/>
      <c r="C272" s="104"/>
    </row>
    <row r="273" customFormat="false" ht="15" hidden="false" customHeight="false" outlineLevel="0" collapsed="false">
      <c r="A273" s="102"/>
      <c r="B273" s="104"/>
      <c r="C273" s="104"/>
    </row>
    <row r="274" customFormat="false" ht="15" hidden="false" customHeight="false" outlineLevel="0" collapsed="false">
      <c r="A274" s="102"/>
      <c r="B274" s="104"/>
      <c r="C274" s="104"/>
    </row>
    <row r="275" customFormat="false" ht="15" hidden="false" customHeight="false" outlineLevel="0" collapsed="false">
      <c r="A275" s="102"/>
      <c r="B275" s="104"/>
      <c r="C275" s="104"/>
    </row>
    <row r="276" customFormat="false" ht="15" hidden="false" customHeight="false" outlineLevel="0" collapsed="false">
      <c r="A276" s="102"/>
      <c r="B276" s="104"/>
      <c r="C276" s="104"/>
    </row>
    <row r="277" customFormat="false" ht="15" hidden="false" customHeight="false" outlineLevel="0" collapsed="false">
      <c r="A277" s="102"/>
      <c r="B277" s="104"/>
      <c r="C277" s="104"/>
    </row>
    <row r="278" customFormat="false" ht="15" hidden="false" customHeight="false" outlineLevel="0" collapsed="false">
      <c r="A278" s="102"/>
      <c r="B278" s="104"/>
      <c r="C278" s="104"/>
    </row>
    <row r="279" customFormat="false" ht="15" hidden="false" customHeight="false" outlineLevel="0" collapsed="false">
      <c r="A279" s="102"/>
      <c r="B279" s="104"/>
      <c r="C279" s="104"/>
    </row>
    <row r="280" customFormat="false" ht="15" hidden="false" customHeight="false" outlineLevel="0" collapsed="false">
      <c r="A280" s="102"/>
      <c r="B280" s="104"/>
      <c r="C280" s="104"/>
    </row>
    <row r="281" customFormat="false" ht="15" hidden="false" customHeight="false" outlineLevel="0" collapsed="false">
      <c r="A281" s="102"/>
      <c r="B281" s="104"/>
      <c r="C281" s="104"/>
    </row>
    <row r="282" customFormat="false" ht="15" hidden="false" customHeight="false" outlineLevel="0" collapsed="false">
      <c r="A282" s="102"/>
      <c r="B282" s="104"/>
      <c r="C282" s="104"/>
    </row>
    <row r="283" customFormat="false" ht="15" hidden="false" customHeight="false" outlineLevel="0" collapsed="false">
      <c r="A283" s="102"/>
      <c r="B283" s="104"/>
      <c r="C283" s="104"/>
    </row>
    <row r="284" customFormat="false" ht="15" hidden="false" customHeight="false" outlineLevel="0" collapsed="false">
      <c r="A284" s="102"/>
      <c r="B284" s="104"/>
      <c r="C284" s="104"/>
    </row>
    <row r="285" customFormat="false" ht="15" hidden="false" customHeight="false" outlineLevel="0" collapsed="false">
      <c r="A285" s="102"/>
      <c r="B285" s="104"/>
      <c r="C285" s="104"/>
    </row>
    <row r="286" customFormat="false" ht="15" hidden="false" customHeight="false" outlineLevel="0" collapsed="false">
      <c r="A286" s="102"/>
      <c r="B286" s="104"/>
      <c r="C286" s="104"/>
    </row>
    <row r="287" customFormat="false" ht="15" hidden="false" customHeight="false" outlineLevel="0" collapsed="false">
      <c r="A287" s="102"/>
      <c r="B287" s="104"/>
      <c r="C287" s="104"/>
    </row>
    <row r="288" customFormat="false" ht="15" hidden="false" customHeight="false" outlineLevel="0" collapsed="false">
      <c r="A288" s="102"/>
      <c r="B288" s="104"/>
      <c r="C288" s="104"/>
    </row>
    <row r="289" customFormat="false" ht="15" hidden="false" customHeight="false" outlineLevel="0" collapsed="false">
      <c r="A289" s="102"/>
      <c r="B289" s="104"/>
      <c r="C289" s="104"/>
    </row>
    <row r="290" customFormat="false" ht="15" hidden="false" customHeight="false" outlineLevel="0" collapsed="false">
      <c r="A290" s="102"/>
      <c r="B290" s="104"/>
      <c r="C290" s="104"/>
    </row>
    <row r="291" customFormat="false" ht="15" hidden="false" customHeight="false" outlineLevel="0" collapsed="false">
      <c r="A291" s="102"/>
      <c r="B291" s="104"/>
      <c r="C291" s="104"/>
    </row>
    <row r="292" customFormat="false" ht="15" hidden="false" customHeight="false" outlineLevel="0" collapsed="false">
      <c r="A292" s="102"/>
      <c r="B292" s="104"/>
      <c r="C292" s="104"/>
    </row>
    <row r="293" customFormat="false" ht="15" hidden="false" customHeight="false" outlineLevel="0" collapsed="false">
      <c r="A293" s="102"/>
      <c r="B293" s="104"/>
      <c r="C293" s="104"/>
    </row>
    <row r="294" customFormat="false" ht="15" hidden="false" customHeight="false" outlineLevel="0" collapsed="false">
      <c r="A294" s="102"/>
      <c r="B294" s="104"/>
      <c r="C294" s="104"/>
    </row>
    <row r="295" customFormat="false" ht="15" hidden="false" customHeight="false" outlineLevel="0" collapsed="false">
      <c r="A295" s="102"/>
      <c r="B295" s="104"/>
      <c r="C295" s="104"/>
    </row>
    <row r="296" customFormat="false" ht="15" hidden="false" customHeight="false" outlineLevel="0" collapsed="false">
      <c r="A296" s="102"/>
      <c r="B296" s="104"/>
      <c r="C296" s="104"/>
    </row>
    <row r="297" customFormat="false" ht="15" hidden="false" customHeight="false" outlineLevel="0" collapsed="false">
      <c r="A297" s="102"/>
      <c r="B297" s="104"/>
      <c r="C297" s="104"/>
    </row>
    <row r="298" customFormat="false" ht="15" hidden="false" customHeight="false" outlineLevel="0" collapsed="false">
      <c r="A298" s="102"/>
      <c r="B298" s="104"/>
      <c r="C298" s="104"/>
    </row>
    <row r="299" customFormat="false" ht="15" hidden="false" customHeight="false" outlineLevel="0" collapsed="false">
      <c r="A299" s="102"/>
      <c r="B299" s="104"/>
      <c r="C299" s="104"/>
    </row>
    <row r="300" customFormat="false" ht="15" hidden="false" customHeight="false" outlineLevel="0" collapsed="false">
      <c r="A300" s="102"/>
      <c r="B300" s="104"/>
      <c r="C300" s="104"/>
    </row>
    <row r="301" customFormat="false" ht="15" hidden="false" customHeight="false" outlineLevel="0" collapsed="false">
      <c r="A301" s="102"/>
      <c r="B301" s="104"/>
      <c r="C301" s="104"/>
    </row>
    <row r="302" customFormat="false" ht="15" hidden="false" customHeight="false" outlineLevel="0" collapsed="false">
      <c r="A302" s="102"/>
      <c r="B302" s="104"/>
      <c r="C302" s="104"/>
    </row>
    <row r="303" customFormat="false" ht="15" hidden="false" customHeight="false" outlineLevel="0" collapsed="false">
      <c r="A303" s="102"/>
      <c r="B303" s="104"/>
      <c r="C303" s="104"/>
    </row>
    <row r="304" customFormat="false" ht="15" hidden="false" customHeight="false" outlineLevel="0" collapsed="false">
      <c r="A304" s="102"/>
      <c r="B304" s="104"/>
      <c r="C304" s="104"/>
    </row>
    <row r="305" customFormat="false" ht="15" hidden="false" customHeight="false" outlineLevel="0" collapsed="false">
      <c r="A305" s="102"/>
      <c r="B305" s="104"/>
      <c r="C305" s="104"/>
    </row>
    <row r="306" customFormat="false" ht="15" hidden="false" customHeight="false" outlineLevel="0" collapsed="false">
      <c r="A306" s="102"/>
      <c r="B306" s="104"/>
      <c r="C306" s="104"/>
    </row>
    <row r="307" customFormat="false" ht="15" hidden="false" customHeight="false" outlineLevel="0" collapsed="false">
      <c r="A307" s="102"/>
      <c r="B307" s="104"/>
      <c r="C307" s="104"/>
    </row>
    <row r="308" customFormat="false" ht="15" hidden="false" customHeight="false" outlineLevel="0" collapsed="false">
      <c r="A308" s="102"/>
      <c r="B308" s="104"/>
      <c r="C308" s="104"/>
    </row>
    <row r="309" customFormat="false" ht="15" hidden="false" customHeight="false" outlineLevel="0" collapsed="false">
      <c r="A309" s="102"/>
      <c r="B309" s="104"/>
      <c r="C309" s="104"/>
    </row>
    <row r="310" customFormat="false" ht="15" hidden="false" customHeight="false" outlineLevel="0" collapsed="false">
      <c r="A310" s="102"/>
      <c r="B310" s="104"/>
      <c r="C310" s="104"/>
    </row>
    <row r="311" customFormat="false" ht="15" hidden="false" customHeight="false" outlineLevel="0" collapsed="false">
      <c r="A311" s="102"/>
      <c r="B311" s="104"/>
      <c r="C311" s="104"/>
    </row>
    <row r="312" customFormat="false" ht="15" hidden="false" customHeight="false" outlineLevel="0" collapsed="false">
      <c r="A312" s="102"/>
      <c r="B312" s="104"/>
      <c r="C312" s="104"/>
    </row>
    <row r="313" customFormat="false" ht="15" hidden="false" customHeight="false" outlineLevel="0" collapsed="false">
      <c r="A313" s="102"/>
      <c r="B313" s="104"/>
      <c r="C313" s="104"/>
    </row>
    <row r="314" customFormat="false" ht="15" hidden="false" customHeight="false" outlineLevel="0" collapsed="false">
      <c r="A314" s="102"/>
      <c r="B314" s="104"/>
      <c r="C314" s="104"/>
    </row>
    <row r="315" customFormat="false" ht="15" hidden="false" customHeight="false" outlineLevel="0" collapsed="false">
      <c r="A315" s="102"/>
      <c r="B315" s="104"/>
      <c r="C315" s="104"/>
    </row>
    <row r="316" customFormat="false" ht="15" hidden="false" customHeight="false" outlineLevel="0" collapsed="false">
      <c r="A316" s="102"/>
      <c r="B316" s="104"/>
      <c r="C316" s="104"/>
    </row>
    <row r="317" customFormat="false" ht="15" hidden="false" customHeight="false" outlineLevel="0" collapsed="false">
      <c r="A317" s="102"/>
      <c r="B317" s="104"/>
      <c r="C317" s="104"/>
    </row>
    <row r="318" customFormat="false" ht="15" hidden="false" customHeight="false" outlineLevel="0" collapsed="false">
      <c r="A318" s="102"/>
      <c r="B318" s="104"/>
      <c r="C318" s="104"/>
    </row>
    <row r="319" customFormat="false" ht="15" hidden="false" customHeight="false" outlineLevel="0" collapsed="false">
      <c r="A319" s="102"/>
      <c r="B319" s="104"/>
      <c r="C319" s="104"/>
    </row>
    <row r="320" customFormat="false" ht="15" hidden="false" customHeight="false" outlineLevel="0" collapsed="false">
      <c r="A320" s="102"/>
      <c r="B320" s="104"/>
      <c r="C320" s="104"/>
    </row>
    <row r="321" customFormat="false" ht="15" hidden="false" customHeight="false" outlineLevel="0" collapsed="false">
      <c r="A321" s="102"/>
      <c r="B321" s="104"/>
      <c r="C321" s="104"/>
    </row>
    <row r="322" customFormat="false" ht="15" hidden="false" customHeight="false" outlineLevel="0" collapsed="false">
      <c r="A322" s="102"/>
      <c r="B322" s="104"/>
      <c r="C322" s="104"/>
    </row>
    <row r="323" customFormat="false" ht="15" hidden="false" customHeight="false" outlineLevel="0" collapsed="false">
      <c r="A323" s="102"/>
      <c r="B323" s="104"/>
      <c r="C323" s="104"/>
    </row>
    <row r="324" customFormat="false" ht="15" hidden="false" customHeight="false" outlineLevel="0" collapsed="false">
      <c r="A324" s="102"/>
      <c r="B324" s="104"/>
      <c r="C324" s="104"/>
    </row>
    <row r="325" customFormat="false" ht="15" hidden="false" customHeight="false" outlineLevel="0" collapsed="false">
      <c r="A325" s="102"/>
      <c r="B325" s="104"/>
      <c r="C325" s="104"/>
    </row>
    <row r="326" customFormat="false" ht="15" hidden="false" customHeight="false" outlineLevel="0" collapsed="false">
      <c r="A326" s="102"/>
      <c r="B326" s="104"/>
      <c r="C326" s="104"/>
    </row>
    <row r="327" customFormat="false" ht="15" hidden="false" customHeight="false" outlineLevel="0" collapsed="false">
      <c r="A327" s="102"/>
      <c r="B327" s="104"/>
      <c r="C327" s="104"/>
    </row>
    <row r="328" customFormat="false" ht="15" hidden="false" customHeight="false" outlineLevel="0" collapsed="false">
      <c r="A328" s="102"/>
      <c r="B328" s="104"/>
      <c r="C328" s="104"/>
    </row>
    <row r="329" customFormat="false" ht="15" hidden="false" customHeight="false" outlineLevel="0" collapsed="false">
      <c r="A329" s="102"/>
      <c r="B329" s="104"/>
      <c r="C329" s="104"/>
    </row>
    <row r="330" customFormat="false" ht="15" hidden="false" customHeight="false" outlineLevel="0" collapsed="false">
      <c r="A330" s="102"/>
      <c r="B330" s="104"/>
      <c r="C330" s="104"/>
    </row>
    <row r="331" customFormat="false" ht="15" hidden="false" customHeight="false" outlineLevel="0" collapsed="false">
      <c r="A331" s="102"/>
      <c r="B331" s="104"/>
      <c r="C331" s="104"/>
    </row>
    <row r="332" customFormat="false" ht="15" hidden="false" customHeight="false" outlineLevel="0" collapsed="false">
      <c r="A332" s="102"/>
      <c r="B332" s="104"/>
      <c r="C332" s="104"/>
    </row>
    <row r="333" customFormat="false" ht="15" hidden="false" customHeight="false" outlineLevel="0" collapsed="false">
      <c r="A333" s="102"/>
      <c r="B333" s="104"/>
      <c r="C333" s="104"/>
    </row>
    <row r="334" customFormat="false" ht="15" hidden="false" customHeight="false" outlineLevel="0" collapsed="false">
      <c r="A334" s="102"/>
      <c r="B334" s="104"/>
      <c r="C334" s="104"/>
    </row>
    <row r="335" customFormat="false" ht="15" hidden="false" customHeight="false" outlineLevel="0" collapsed="false">
      <c r="A335" s="102"/>
      <c r="B335" s="104"/>
      <c r="C335" s="104"/>
    </row>
    <row r="336" customFormat="false" ht="15" hidden="false" customHeight="false" outlineLevel="0" collapsed="false">
      <c r="A336" s="102"/>
      <c r="B336" s="104"/>
      <c r="C336" s="104"/>
    </row>
    <row r="337" customFormat="false" ht="15" hidden="false" customHeight="false" outlineLevel="0" collapsed="false">
      <c r="A337" s="102"/>
      <c r="B337" s="104"/>
      <c r="C337" s="104"/>
    </row>
    <row r="338" customFormat="false" ht="15" hidden="false" customHeight="false" outlineLevel="0" collapsed="false">
      <c r="A338" s="102"/>
      <c r="B338" s="104"/>
      <c r="C338" s="104"/>
    </row>
    <row r="339" customFormat="false" ht="15" hidden="false" customHeight="false" outlineLevel="0" collapsed="false">
      <c r="A339" s="102"/>
      <c r="B339" s="104"/>
      <c r="C339" s="104"/>
    </row>
    <row r="340" customFormat="false" ht="15" hidden="false" customHeight="false" outlineLevel="0" collapsed="false">
      <c r="A340" s="102"/>
      <c r="B340" s="104"/>
      <c r="C340" s="104"/>
    </row>
    <row r="341" customFormat="false" ht="15" hidden="false" customHeight="false" outlineLevel="0" collapsed="false">
      <c r="A341" s="102"/>
      <c r="B341" s="104"/>
      <c r="C341" s="104"/>
    </row>
    <row r="342" customFormat="false" ht="15" hidden="false" customHeight="false" outlineLevel="0" collapsed="false">
      <c r="A342" s="102"/>
      <c r="B342" s="104"/>
      <c r="C342" s="104"/>
    </row>
    <row r="343" customFormat="false" ht="15" hidden="false" customHeight="false" outlineLevel="0" collapsed="false">
      <c r="A343" s="102"/>
      <c r="B343" s="104"/>
      <c r="C343" s="104"/>
    </row>
    <row r="344" customFormat="false" ht="15" hidden="false" customHeight="false" outlineLevel="0" collapsed="false">
      <c r="A344" s="102"/>
      <c r="B344" s="104"/>
      <c r="C344" s="104"/>
    </row>
    <row r="345" customFormat="false" ht="15" hidden="false" customHeight="false" outlineLevel="0" collapsed="false">
      <c r="A345" s="102"/>
      <c r="B345" s="104"/>
      <c r="C345" s="104"/>
    </row>
    <row r="346" customFormat="false" ht="15" hidden="false" customHeight="false" outlineLevel="0" collapsed="false">
      <c r="A346" s="102"/>
      <c r="B346" s="104"/>
      <c r="C346" s="104"/>
    </row>
    <row r="347" customFormat="false" ht="15" hidden="false" customHeight="false" outlineLevel="0" collapsed="false">
      <c r="A347" s="102"/>
      <c r="B347" s="104"/>
      <c r="C347" s="104"/>
    </row>
    <row r="348" customFormat="false" ht="15" hidden="false" customHeight="false" outlineLevel="0" collapsed="false">
      <c r="A348" s="102"/>
      <c r="B348" s="104"/>
      <c r="C348" s="104"/>
    </row>
    <row r="349" customFormat="false" ht="15" hidden="false" customHeight="false" outlineLevel="0" collapsed="false">
      <c r="A349" s="102"/>
      <c r="B349" s="104"/>
      <c r="C349" s="104"/>
    </row>
    <row r="350" customFormat="false" ht="15" hidden="false" customHeight="false" outlineLevel="0" collapsed="false">
      <c r="A350" s="102"/>
      <c r="B350" s="104"/>
      <c r="C350" s="104"/>
    </row>
    <row r="351" customFormat="false" ht="15" hidden="false" customHeight="false" outlineLevel="0" collapsed="false">
      <c r="A351" s="102"/>
      <c r="B351" s="104"/>
      <c r="C351" s="104"/>
    </row>
    <row r="352" customFormat="false" ht="15" hidden="false" customHeight="false" outlineLevel="0" collapsed="false">
      <c r="A352" s="102"/>
      <c r="B352" s="104"/>
      <c r="C352" s="104"/>
    </row>
    <row r="353" customFormat="false" ht="15" hidden="false" customHeight="false" outlineLevel="0" collapsed="false">
      <c r="A353" s="102"/>
      <c r="B353" s="104"/>
      <c r="C353" s="104"/>
    </row>
    <row r="354" customFormat="false" ht="15" hidden="false" customHeight="false" outlineLevel="0" collapsed="false">
      <c r="A354" s="102"/>
      <c r="B354" s="104"/>
      <c r="C354" s="104"/>
    </row>
    <row r="355" customFormat="false" ht="15" hidden="false" customHeight="false" outlineLevel="0" collapsed="false">
      <c r="A355" s="102"/>
      <c r="B355" s="104"/>
      <c r="C355" s="104"/>
    </row>
    <row r="356" customFormat="false" ht="15" hidden="false" customHeight="false" outlineLevel="0" collapsed="false">
      <c r="A356" s="102"/>
      <c r="B356" s="104"/>
      <c r="C356" s="104"/>
    </row>
    <row r="357" customFormat="false" ht="15" hidden="false" customHeight="false" outlineLevel="0" collapsed="false">
      <c r="A357" s="102"/>
      <c r="B357" s="104"/>
      <c r="C357" s="104"/>
    </row>
    <row r="358" customFormat="false" ht="15" hidden="false" customHeight="false" outlineLevel="0" collapsed="false">
      <c r="A358" s="102"/>
      <c r="B358" s="104"/>
      <c r="C358" s="104"/>
    </row>
    <row r="359" customFormat="false" ht="15" hidden="false" customHeight="false" outlineLevel="0" collapsed="false">
      <c r="A359" s="102"/>
      <c r="B359" s="104"/>
      <c r="C359" s="104"/>
    </row>
    <row r="360" customFormat="false" ht="15" hidden="false" customHeight="false" outlineLevel="0" collapsed="false">
      <c r="A360" s="102"/>
      <c r="B360" s="104"/>
      <c r="C360" s="104"/>
    </row>
    <row r="361" customFormat="false" ht="15" hidden="false" customHeight="false" outlineLevel="0" collapsed="false">
      <c r="A361" s="102"/>
      <c r="B361" s="104"/>
      <c r="C361" s="104"/>
    </row>
    <row r="362" customFormat="false" ht="15" hidden="false" customHeight="false" outlineLevel="0" collapsed="false">
      <c r="A362" s="102"/>
      <c r="B362" s="104"/>
      <c r="C362" s="104"/>
    </row>
    <row r="363" customFormat="false" ht="15" hidden="false" customHeight="false" outlineLevel="0" collapsed="false">
      <c r="A363" s="102"/>
      <c r="B363" s="104"/>
      <c r="C363" s="104"/>
    </row>
    <row r="364" customFormat="false" ht="15" hidden="false" customHeight="false" outlineLevel="0" collapsed="false">
      <c r="A364" s="102"/>
      <c r="B364" s="104"/>
      <c r="C364" s="104"/>
    </row>
    <row r="365" customFormat="false" ht="15" hidden="false" customHeight="false" outlineLevel="0" collapsed="false">
      <c r="A365" s="102"/>
      <c r="B365" s="104"/>
      <c r="C365" s="104"/>
    </row>
    <row r="366" customFormat="false" ht="15" hidden="false" customHeight="false" outlineLevel="0" collapsed="false">
      <c r="A366" s="102"/>
      <c r="B366" s="104"/>
      <c r="C366" s="104"/>
    </row>
    <row r="367" customFormat="false" ht="15" hidden="false" customHeight="false" outlineLevel="0" collapsed="false">
      <c r="A367" s="102"/>
      <c r="B367" s="104"/>
      <c r="C367" s="104"/>
    </row>
    <row r="368" customFormat="false" ht="15" hidden="false" customHeight="false" outlineLevel="0" collapsed="false">
      <c r="A368" s="102"/>
      <c r="B368" s="104"/>
      <c r="C368" s="104"/>
    </row>
    <row r="369" customFormat="false" ht="15" hidden="false" customHeight="false" outlineLevel="0" collapsed="false">
      <c r="A369" s="102"/>
      <c r="B369" s="104"/>
      <c r="C369" s="104"/>
    </row>
    <row r="370" customFormat="false" ht="15" hidden="false" customHeight="false" outlineLevel="0" collapsed="false">
      <c r="A370" s="102"/>
      <c r="B370" s="104"/>
      <c r="C370" s="104"/>
    </row>
    <row r="371" customFormat="false" ht="15" hidden="false" customHeight="false" outlineLevel="0" collapsed="false">
      <c r="A371" s="102"/>
      <c r="B371" s="104"/>
      <c r="C371" s="104"/>
    </row>
    <row r="372" customFormat="false" ht="15" hidden="false" customHeight="false" outlineLevel="0" collapsed="false">
      <c r="A372" s="102"/>
      <c r="B372" s="104"/>
      <c r="C372" s="104"/>
    </row>
    <row r="373" customFormat="false" ht="15" hidden="false" customHeight="false" outlineLevel="0" collapsed="false">
      <c r="A373" s="102"/>
      <c r="B373" s="104"/>
      <c r="C373" s="104"/>
    </row>
    <row r="374" customFormat="false" ht="15" hidden="false" customHeight="false" outlineLevel="0" collapsed="false">
      <c r="A374" s="102"/>
      <c r="B374" s="104"/>
      <c r="C374" s="104"/>
    </row>
    <row r="375" customFormat="false" ht="15" hidden="false" customHeight="false" outlineLevel="0" collapsed="false">
      <c r="A375" s="102"/>
      <c r="B375" s="104"/>
      <c r="C375" s="104"/>
    </row>
    <row r="376" customFormat="false" ht="15" hidden="false" customHeight="false" outlineLevel="0" collapsed="false">
      <c r="A376" s="102"/>
      <c r="B376" s="104"/>
      <c r="C376" s="104"/>
    </row>
    <row r="377" customFormat="false" ht="15" hidden="false" customHeight="false" outlineLevel="0" collapsed="false">
      <c r="A377" s="102"/>
      <c r="B377" s="104"/>
      <c r="C377" s="104"/>
    </row>
    <row r="378" customFormat="false" ht="15" hidden="false" customHeight="false" outlineLevel="0" collapsed="false">
      <c r="A378" s="102"/>
      <c r="B378" s="104"/>
      <c r="C378" s="104"/>
    </row>
    <row r="379" customFormat="false" ht="15" hidden="false" customHeight="false" outlineLevel="0" collapsed="false">
      <c r="A379" s="102"/>
      <c r="B379" s="104"/>
      <c r="C379" s="104"/>
    </row>
    <row r="380" customFormat="false" ht="15" hidden="false" customHeight="false" outlineLevel="0" collapsed="false">
      <c r="A380" s="102"/>
      <c r="B380" s="104"/>
      <c r="C380" s="104"/>
    </row>
    <row r="381" customFormat="false" ht="15" hidden="false" customHeight="false" outlineLevel="0" collapsed="false">
      <c r="A381" s="102"/>
      <c r="B381" s="104"/>
      <c r="C381" s="104"/>
    </row>
    <row r="382" customFormat="false" ht="15" hidden="false" customHeight="false" outlineLevel="0" collapsed="false">
      <c r="A382" s="102"/>
      <c r="B382" s="104"/>
      <c r="C382" s="104"/>
    </row>
    <row r="383" customFormat="false" ht="15" hidden="false" customHeight="false" outlineLevel="0" collapsed="false">
      <c r="A383" s="102"/>
      <c r="B383" s="104"/>
      <c r="C383" s="104"/>
    </row>
    <row r="384" customFormat="false" ht="15" hidden="false" customHeight="false" outlineLevel="0" collapsed="false">
      <c r="A384" s="102"/>
      <c r="B384" s="104"/>
      <c r="C384" s="104"/>
    </row>
    <row r="385" customFormat="false" ht="15" hidden="false" customHeight="false" outlineLevel="0" collapsed="false">
      <c r="A385" s="102"/>
      <c r="B385" s="104"/>
      <c r="C385" s="104"/>
    </row>
    <row r="386" customFormat="false" ht="15" hidden="false" customHeight="false" outlineLevel="0" collapsed="false">
      <c r="A386" s="102"/>
      <c r="B386" s="104"/>
      <c r="C386" s="104"/>
    </row>
    <row r="387" customFormat="false" ht="15" hidden="false" customHeight="false" outlineLevel="0" collapsed="false">
      <c r="A387" s="102"/>
      <c r="B387" s="104"/>
      <c r="C387" s="104"/>
    </row>
    <row r="388" customFormat="false" ht="15" hidden="false" customHeight="false" outlineLevel="0" collapsed="false">
      <c r="A388" s="102"/>
      <c r="B388" s="104"/>
      <c r="C388" s="104"/>
    </row>
    <row r="389" customFormat="false" ht="15" hidden="false" customHeight="false" outlineLevel="0" collapsed="false">
      <c r="A389" s="102"/>
      <c r="B389" s="104"/>
      <c r="C389" s="104"/>
    </row>
    <row r="390" customFormat="false" ht="15" hidden="false" customHeight="false" outlineLevel="0" collapsed="false">
      <c r="A390" s="102"/>
      <c r="B390" s="104"/>
      <c r="C390" s="104"/>
    </row>
    <row r="391" customFormat="false" ht="15" hidden="false" customHeight="false" outlineLevel="0" collapsed="false">
      <c r="A391" s="102"/>
      <c r="B391" s="104"/>
      <c r="C391" s="104"/>
    </row>
    <row r="392" customFormat="false" ht="15" hidden="false" customHeight="false" outlineLevel="0" collapsed="false">
      <c r="A392" s="102"/>
      <c r="B392" s="104"/>
      <c r="C392" s="104"/>
    </row>
    <row r="393" customFormat="false" ht="15" hidden="false" customHeight="false" outlineLevel="0" collapsed="false">
      <c r="A393" s="102"/>
      <c r="B393" s="104"/>
      <c r="C393" s="104"/>
    </row>
    <row r="394" customFormat="false" ht="15" hidden="false" customHeight="false" outlineLevel="0" collapsed="false">
      <c r="A394" s="102"/>
      <c r="B394" s="104"/>
      <c r="C394" s="104"/>
    </row>
    <row r="395" customFormat="false" ht="15" hidden="false" customHeight="false" outlineLevel="0" collapsed="false">
      <c r="A395" s="102"/>
      <c r="B395" s="104"/>
      <c r="C395" s="104"/>
    </row>
    <row r="396" customFormat="false" ht="15" hidden="false" customHeight="false" outlineLevel="0" collapsed="false">
      <c r="A396" s="102"/>
      <c r="B396" s="104"/>
      <c r="C396" s="104"/>
    </row>
    <row r="397" customFormat="false" ht="15" hidden="false" customHeight="false" outlineLevel="0" collapsed="false">
      <c r="A397" s="102"/>
      <c r="B397" s="104"/>
      <c r="C397" s="104"/>
    </row>
    <row r="398" customFormat="false" ht="15" hidden="false" customHeight="false" outlineLevel="0" collapsed="false">
      <c r="A398" s="102"/>
      <c r="B398" s="104"/>
      <c r="C398" s="104"/>
    </row>
    <row r="399" customFormat="false" ht="15" hidden="false" customHeight="false" outlineLevel="0" collapsed="false">
      <c r="A399" s="102"/>
      <c r="B399" s="104"/>
      <c r="C399" s="104"/>
    </row>
    <row r="400" customFormat="false" ht="15" hidden="false" customHeight="false" outlineLevel="0" collapsed="false">
      <c r="A400" s="102"/>
      <c r="B400" s="104"/>
      <c r="C400" s="104"/>
    </row>
    <row r="401" customFormat="false" ht="15" hidden="false" customHeight="false" outlineLevel="0" collapsed="false">
      <c r="A401" s="102"/>
      <c r="B401" s="104"/>
      <c r="C401" s="104"/>
    </row>
    <row r="402" customFormat="false" ht="15" hidden="false" customHeight="false" outlineLevel="0" collapsed="false">
      <c r="A402" s="102"/>
      <c r="B402" s="104"/>
      <c r="C402" s="104"/>
    </row>
    <row r="403" customFormat="false" ht="15" hidden="false" customHeight="false" outlineLevel="0" collapsed="false">
      <c r="A403" s="102"/>
      <c r="B403" s="104"/>
      <c r="C403" s="104"/>
    </row>
    <row r="404" customFormat="false" ht="15" hidden="false" customHeight="false" outlineLevel="0" collapsed="false">
      <c r="A404" s="102"/>
      <c r="B404" s="104"/>
      <c r="C404" s="104"/>
    </row>
    <row r="405" customFormat="false" ht="15" hidden="false" customHeight="false" outlineLevel="0" collapsed="false">
      <c r="A405" s="102"/>
      <c r="B405" s="104"/>
      <c r="C405" s="104"/>
    </row>
    <row r="406" customFormat="false" ht="15" hidden="false" customHeight="false" outlineLevel="0" collapsed="false">
      <c r="A406" s="102"/>
      <c r="B406" s="104"/>
      <c r="C406" s="104"/>
    </row>
    <row r="407" customFormat="false" ht="15" hidden="false" customHeight="false" outlineLevel="0" collapsed="false">
      <c r="A407" s="102"/>
      <c r="B407" s="104"/>
      <c r="C407" s="104"/>
    </row>
    <row r="408" customFormat="false" ht="15" hidden="false" customHeight="false" outlineLevel="0" collapsed="false">
      <c r="A408" s="102"/>
      <c r="B408" s="104"/>
      <c r="C408" s="104"/>
    </row>
    <row r="409" customFormat="false" ht="15" hidden="false" customHeight="false" outlineLevel="0" collapsed="false">
      <c r="A409" s="102"/>
      <c r="B409" s="104"/>
      <c r="C409" s="104"/>
    </row>
    <row r="410" customFormat="false" ht="15" hidden="false" customHeight="false" outlineLevel="0" collapsed="false">
      <c r="A410" s="102"/>
      <c r="B410" s="104"/>
      <c r="C410" s="104"/>
    </row>
    <row r="411" customFormat="false" ht="15" hidden="false" customHeight="false" outlineLevel="0" collapsed="false">
      <c r="A411" s="102"/>
      <c r="B411" s="104"/>
      <c r="C411" s="104"/>
    </row>
    <row r="412" customFormat="false" ht="15" hidden="false" customHeight="false" outlineLevel="0" collapsed="false">
      <c r="A412" s="102"/>
      <c r="B412" s="104"/>
      <c r="C412" s="104"/>
    </row>
    <row r="413" customFormat="false" ht="15" hidden="false" customHeight="false" outlineLevel="0" collapsed="false">
      <c r="A413" s="102"/>
      <c r="B413" s="104"/>
      <c r="C413" s="104"/>
    </row>
    <row r="414" customFormat="false" ht="15" hidden="false" customHeight="false" outlineLevel="0" collapsed="false">
      <c r="A414" s="102"/>
      <c r="B414" s="104"/>
      <c r="C414" s="104"/>
    </row>
    <row r="415" customFormat="false" ht="15" hidden="false" customHeight="false" outlineLevel="0" collapsed="false">
      <c r="A415" s="102"/>
      <c r="B415" s="104"/>
      <c r="C415" s="104"/>
    </row>
    <row r="416" customFormat="false" ht="15" hidden="false" customHeight="false" outlineLevel="0" collapsed="false">
      <c r="A416" s="102"/>
      <c r="B416" s="104"/>
      <c r="C416" s="104"/>
    </row>
    <row r="417" customFormat="false" ht="15" hidden="false" customHeight="false" outlineLevel="0" collapsed="false">
      <c r="A417" s="102"/>
      <c r="B417" s="104"/>
      <c r="C417" s="104"/>
    </row>
    <row r="418" customFormat="false" ht="15" hidden="false" customHeight="false" outlineLevel="0" collapsed="false">
      <c r="A418" s="102"/>
      <c r="B418" s="104"/>
      <c r="C418" s="104"/>
    </row>
    <row r="419" customFormat="false" ht="15" hidden="false" customHeight="false" outlineLevel="0" collapsed="false">
      <c r="A419" s="102"/>
      <c r="B419" s="104"/>
      <c r="C419" s="104"/>
    </row>
    <row r="420" customFormat="false" ht="15" hidden="false" customHeight="false" outlineLevel="0" collapsed="false">
      <c r="A420" s="102"/>
      <c r="B420" s="104"/>
      <c r="C420" s="104"/>
    </row>
    <row r="421" customFormat="false" ht="15" hidden="false" customHeight="false" outlineLevel="0" collapsed="false">
      <c r="A421" s="102"/>
      <c r="B421" s="104"/>
      <c r="C421" s="104"/>
    </row>
    <row r="422" customFormat="false" ht="15" hidden="false" customHeight="false" outlineLevel="0" collapsed="false">
      <c r="A422" s="102"/>
      <c r="B422" s="104"/>
      <c r="C422" s="104"/>
    </row>
    <row r="423" customFormat="false" ht="15" hidden="false" customHeight="false" outlineLevel="0" collapsed="false">
      <c r="A423" s="102"/>
      <c r="B423" s="104"/>
      <c r="C423" s="104"/>
    </row>
    <row r="424" customFormat="false" ht="15" hidden="false" customHeight="false" outlineLevel="0" collapsed="false">
      <c r="A424" s="102"/>
      <c r="B424" s="104"/>
      <c r="C424" s="104"/>
    </row>
    <row r="425" customFormat="false" ht="15" hidden="false" customHeight="false" outlineLevel="0" collapsed="false">
      <c r="A425" s="102"/>
      <c r="B425" s="104"/>
      <c r="C425" s="104"/>
    </row>
    <row r="426" customFormat="false" ht="15" hidden="false" customHeight="false" outlineLevel="0" collapsed="false">
      <c r="A426" s="102"/>
      <c r="B426" s="104"/>
      <c r="C426" s="104"/>
    </row>
    <row r="427" customFormat="false" ht="15" hidden="false" customHeight="false" outlineLevel="0" collapsed="false">
      <c r="A427" s="102"/>
      <c r="B427" s="104"/>
      <c r="C427" s="104"/>
    </row>
    <row r="428" customFormat="false" ht="15" hidden="false" customHeight="false" outlineLevel="0" collapsed="false">
      <c r="A428" s="102"/>
      <c r="B428" s="104"/>
      <c r="C428" s="104"/>
    </row>
    <row r="429" customFormat="false" ht="15" hidden="false" customHeight="false" outlineLevel="0" collapsed="false">
      <c r="A429" s="102"/>
      <c r="B429" s="104"/>
      <c r="C429" s="104"/>
    </row>
    <row r="430" customFormat="false" ht="15" hidden="false" customHeight="false" outlineLevel="0" collapsed="false">
      <c r="A430" s="102"/>
      <c r="B430" s="104"/>
      <c r="C430" s="104"/>
    </row>
    <row r="431" customFormat="false" ht="15" hidden="false" customHeight="false" outlineLevel="0" collapsed="false">
      <c r="A431" s="102"/>
      <c r="B431" s="104"/>
      <c r="C431" s="104"/>
    </row>
    <row r="432" customFormat="false" ht="15" hidden="false" customHeight="false" outlineLevel="0" collapsed="false">
      <c r="A432" s="102"/>
      <c r="B432" s="104"/>
      <c r="C432" s="104"/>
    </row>
    <row r="433" customFormat="false" ht="15" hidden="false" customHeight="false" outlineLevel="0" collapsed="false">
      <c r="A433" s="102"/>
      <c r="B433" s="104"/>
      <c r="C433" s="104"/>
    </row>
    <row r="434" customFormat="false" ht="15" hidden="false" customHeight="false" outlineLevel="0" collapsed="false">
      <c r="A434" s="102"/>
      <c r="B434" s="104"/>
      <c r="C434" s="104"/>
    </row>
    <row r="435" customFormat="false" ht="15" hidden="false" customHeight="false" outlineLevel="0" collapsed="false">
      <c r="A435" s="102"/>
      <c r="B435" s="104"/>
      <c r="C435" s="104"/>
    </row>
    <row r="436" customFormat="false" ht="15" hidden="false" customHeight="false" outlineLevel="0" collapsed="false">
      <c r="A436" s="102"/>
      <c r="B436" s="104"/>
      <c r="C436" s="104"/>
    </row>
    <row r="437" customFormat="false" ht="15" hidden="false" customHeight="false" outlineLevel="0" collapsed="false">
      <c r="A437" s="102"/>
      <c r="B437" s="104"/>
      <c r="C437" s="104"/>
    </row>
    <row r="438" customFormat="false" ht="15" hidden="false" customHeight="false" outlineLevel="0" collapsed="false">
      <c r="A438" s="102"/>
      <c r="B438" s="104"/>
      <c r="C438" s="104"/>
    </row>
    <row r="439" customFormat="false" ht="15" hidden="false" customHeight="false" outlineLevel="0" collapsed="false">
      <c r="A439" s="102"/>
      <c r="B439" s="104"/>
      <c r="C439" s="104"/>
    </row>
    <row r="440" customFormat="false" ht="15" hidden="false" customHeight="false" outlineLevel="0" collapsed="false">
      <c r="A440" s="102"/>
      <c r="B440" s="104"/>
      <c r="C440" s="104"/>
    </row>
    <row r="441" customFormat="false" ht="15" hidden="false" customHeight="false" outlineLevel="0" collapsed="false">
      <c r="A441" s="102"/>
      <c r="B441" s="104"/>
      <c r="C441" s="104"/>
    </row>
    <row r="442" customFormat="false" ht="15" hidden="false" customHeight="false" outlineLevel="0" collapsed="false">
      <c r="A442" s="102"/>
      <c r="B442" s="104"/>
      <c r="C442" s="104"/>
    </row>
    <row r="443" customFormat="false" ht="15" hidden="false" customHeight="false" outlineLevel="0" collapsed="false">
      <c r="A443" s="102"/>
      <c r="B443" s="104"/>
      <c r="C443" s="104"/>
    </row>
    <row r="444" customFormat="false" ht="15" hidden="false" customHeight="false" outlineLevel="0" collapsed="false">
      <c r="A444" s="102"/>
      <c r="B444" s="104"/>
      <c r="C444" s="104"/>
    </row>
    <row r="445" customFormat="false" ht="15" hidden="false" customHeight="false" outlineLevel="0" collapsed="false">
      <c r="A445" s="102"/>
      <c r="B445" s="104"/>
      <c r="C445" s="104"/>
    </row>
    <row r="446" customFormat="false" ht="15" hidden="false" customHeight="false" outlineLevel="0" collapsed="false">
      <c r="A446" s="102"/>
      <c r="B446" s="104"/>
      <c r="C446" s="104"/>
    </row>
    <row r="447" customFormat="false" ht="15" hidden="false" customHeight="false" outlineLevel="0" collapsed="false">
      <c r="A447" s="102"/>
      <c r="B447" s="104"/>
      <c r="C447" s="104"/>
    </row>
    <row r="448" customFormat="false" ht="15" hidden="false" customHeight="false" outlineLevel="0" collapsed="false">
      <c r="A448" s="102"/>
      <c r="B448" s="104"/>
      <c r="C448" s="104"/>
    </row>
    <row r="449" customFormat="false" ht="15" hidden="false" customHeight="false" outlineLevel="0" collapsed="false">
      <c r="A449" s="102"/>
      <c r="B449" s="104"/>
      <c r="C449" s="104"/>
    </row>
    <row r="450" customFormat="false" ht="15" hidden="false" customHeight="false" outlineLevel="0" collapsed="false">
      <c r="A450" s="102"/>
      <c r="B450" s="104"/>
      <c r="C450" s="104"/>
    </row>
    <row r="451" customFormat="false" ht="15" hidden="false" customHeight="false" outlineLevel="0" collapsed="false">
      <c r="A451" s="102"/>
      <c r="B451" s="104"/>
      <c r="C451" s="104"/>
    </row>
    <row r="452" customFormat="false" ht="15" hidden="false" customHeight="false" outlineLevel="0" collapsed="false">
      <c r="A452" s="102"/>
      <c r="B452" s="104"/>
      <c r="C452" s="104"/>
    </row>
    <row r="453" customFormat="false" ht="15" hidden="false" customHeight="false" outlineLevel="0" collapsed="false">
      <c r="A453" s="102"/>
      <c r="B453" s="104"/>
      <c r="C453" s="104"/>
    </row>
    <row r="454" customFormat="false" ht="15" hidden="false" customHeight="false" outlineLevel="0" collapsed="false">
      <c r="A454" s="102"/>
      <c r="B454" s="104"/>
      <c r="C454" s="104"/>
    </row>
    <row r="455" customFormat="false" ht="15" hidden="false" customHeight="false" outlineLevel="0" collapsed="false">
      <c r="A455" s="102"/>
      <c r="B455" s="104"/>
      <c r="C455" s="104"/>
    </row>
    <row r="456" customFormat="false" ht="15" hidden="false" customHeight="false" outlineLevel="0" collapsed="false">
      <c r="A456" s="102"/>
      <c r="B456" s="104"/>
      <c r="C456" s="104"/>
    </row>
    <row r="457" customFormat="false" ht="15" hidden="false" customHeight="false" outlineLevel="0" collapsed="false">
      <c r="A457" s="102"/>
      <c r="B457" s="104"/>
      <c r="C457" s="104"/>
    </row>
    <row r="458" customFormat="false" ht="15" hidden="false" customHeight="false" outlineLevel="0" collapsed="false">
      <c r="A458" s="102"/>
      <c r="B458" s="104"/>
      <c r="C458" s="104"/>
    </row>
    <row r="459" customFormat="false" ht="15" hidden="false" customHeight="false" outlineLevel="0" collapsed="false">
      <c r="A459" s="102"/>
      <c r="B459" s="104"/>
      <c r="C459" s="104"/>
    </row>
    <row r="460" customFormat="false" ht="15" hidden="false" customHeight="false" outlineLevel="0" collapsed="false">
      <c r="A460" s="102"/>
      <c r="B460" s="104"/>
      <c r="C460" s="104"/>
    </row>
    <row r="461" customFormat="false" ht="15" hidden="false" customHeight="false" outlineLevel="0" collapsed="false">
      <c r="A461" s="102"/>
      <c r="B461" s="104"/>
      <c r="C461" s="104"/>
    </row>
    <row r="462" customFormat="false" ht="15" hidden="false" customHeight="false" outlineLevel="0" collapsed="false">
      <c r="A462" s="102"/>
      <c r="B462" s="104"/>
      <c r="C462" s="104"/>
    </row>
    <row r="463" customFormat="false" ht="15" hidden="false" customHeight="false" outlineLevel="0" collapsed="false">
      <c r="A463" s="102"/>
      <c r="B463" s="104"/>
      <c r="C463" s="104"/>
    </row>
    <row r="464" customFormat="false" ht="15" hidden="false" customHeight="false" outlineLevel="0" collapsed="false">
      <c r="A464" s="102"/>
      <c r="B464" s="104"/>
      <c r="C464" s="104"/>
    </row>
    <row r="465" customFormat="false" ht="15" hidden="false" customHeight="false" outlineLevel="0" collapsed="false">
      <c r="A465" s="102"/>
      <c r="B465" s="104"/>
      <c r="C465" s="104"/>
    </row>
    <row r="466" customFormat="false" ht="15" hidden="false" customHeight="false" outlineLevel="0" collapsed="false">
      <c r="A466" s="102"/>
      <c r="B466" s="104"/>
      <c r="C466" s="104"/>
    </row>
    <row r="467" customFormat="false" ht="15" hidden="false" customHeight="false" outlineLevel="0" collapsed="false">
      <c r="A467" s="102"/>
      <c r="B467" s="104"/>
      <c r="C467" s="104"/>
    </row>
    <row r="468" customFormat="false" ht="15" hidden="false" customHeight="false" outlineLevel="0" collapsed="false">
      <c r="A468" s="102"/>
      <c r="B468" s="104"/>
      <c r="C468" s="104"/>
    </row>
    <row r="469" customFormat="false" ht="15" hidden="false" customHeight="false" outlineLevel="0" collapsed="false">
      <c r="A469" s="102"/>
      <c r="B469" s="104"/>
      <c r="C469" s="104"/>
    </row>
    <row r="470" customFormat="false" ht="15" hidden="false" customHeight="false" outlineLevel="0" collapsed="false">
      <c r="A470" s="102"/>
      <c r="B470" s="104"/>
      <c r="C470" s="104"/>
    </row>
    <row r="471" customFormat="false" ht="15" hidden="false" customHeight="false" outlineLevel="0" collapsed="false">
      <c r="A471" s="102"/>
      <c r="B471" s="104"/>
      <c r="C471" s="104"/>
    </row>
    <row r="472" customFormat="false" ht="15" hidden="false" customHeight="false" outlineLevel="0" collapsed="false">
      <c r="A472" s="102"/>
      <c r="B472" s="104"/>
      <c r="C472" s="104"/>
    </row>
    <row r="473" customFormat="false" ht="15" hidden="false" customHeight="false" outlineLevel="0" collapsed="false">
      <c r="A473" s="102"/>
      <c r="B473" s="104"/>
      <c r="C473" s="104"/>
    </row>
    <row r="474" customFormat="false" ht="15" hidden="false" customHeight="false" outlineLevel="0" collapsed="false">
      <c r="A474" s="102"/>
      <c r="B474" s="104"/>
      <c r="C474" s="104"/>
    </row>
    <row r="475" customFormat="false" ht="15" hidden="false" customHeight="false" outlineLevel="0" collapsed="false">
      <c r="A475" s="102"/>
      <c r="B475" s="104"/>
      <c r="C475" s="104"/>
    </row>
    <row r="476" customFormat="false" ht="15" hidden="false" customHeight="false" outlineLevel="0" collapsed="false">
      <c r="A476" s="102"/>
      <c r="B476" s="104"/>
      <c r="C476" s="104"/>
    </row>
    <row r="477" customFormat="false" ht="15" hidden="false" customHeight="false" outlineLevel="0" collapsed="false">
      <c r="A477" s="102"/>
      <c r="B477" s="104"/>
      <c r="C477" s="104"/>
    </row>
    <row r="478" customFormat="false" ht="15" hidden="false" customHeight="false" outlineLevel="0" collapsed="false">
      <c r="A478" s="102"/>
      <c r="B478" s="104"/>
      <c r="C478" s="104"/>
    </row>
    <row r="479" customFormat="false" ht="15" hidden="false" customHeight="false" outlineLevel="0" collapsed="false">
      <c r="A479" s="102"/>
      <c r="B479" s="104"/>
      <c r="C479" s="104"/>
    </row>
    <row r="480" customFormat="false" ht="15" hidden="false" customHeight="false" outlineLevel="0" collapsed="false">
      <c r="A480" s="102"/>
      <c r="B480" s="104"/>
      <c r="C480" s="104"/>
    </row>
    <row r="481" customFormat="false" ht="15" hidden="false" customHeight="false" outlineLevel="0" collapsed="false">
      <c r="A481" s="102"/>
      <c r="B481" s="104"/>
      <c r="C481" s="104"/>
    </row>
    <row r="482" customFormat="false" ht="15" hidden="false" customHeight="false" outlineLevel="0" collapsed="false">
      <c r="A482" s="102"/>
      <c r="B482" s="104"/>
      <c r="C482" s="104"/>
    </row>
    <row r="483" customFormat="false" ht="15" hidden="false" customHeight="false" outlineLevel="0" collapsed="false">
      <c r="A483" s="102"/>
      <c r="B483" s="104"/>
      <c r="C483" s="104"/>
    </row>
    <row r="484" customFormat="false" ht="15" hidden="false" customHeight="false" outlineLevel="0" collapsed="false">
      <c r="A484" s="102"/>
      <c r="B484" s="104"/>
      <c r="C484" s="104"/>
    </row>
    <row r="485" customFormat="false" ht="15" hidden="false" customHeight="false" outlineLevel="0" collapsed="false">
      <c r="A485" s="102"/>
      <c r="B485" s="104"/>
      <c r="C485" s="104"/>
    </row>
    <row r="486" customFormat="false" ht="15" hidden="false" customHeight="false" outlineLevel="0" collapsed="false">
      <c r="A486" s="102"/>
      <c r="B486" s="104"/>
      <c r="C486" s="104"/>
    </row>
    <row r="487" customFormat="false" ht="15" hidden="false" customHeight="false" outlineLevel="0" collapsed="false">
      <c r="A487" s="102"/>
      <c r="B487" s="104"/>
      <c r="C487" s="104"/>
    </row>
    <row r="488" customFormat="false" ht="15" hidden="false" customHeight="false" outlineLevel="0" collapsed="false">
      <c r="A488" s="102"/>
      <c r="B488" s="104"/>
      <c r="C488" s="104"/>
    </row>
    <row r="489" customFormat="false" ht="15" hidden="false" customHeight="false" outlineLevel="0" collapsed="false">
      <c r="A489" s="102"/>
      <c r="B489" s="104"/>
      <c r="C489" s="104"/>
    </row>
    <row r="490" customFormat="false" ht="15" hidden="false" customHeight="false" outlineLevel="0" collapsed="false">
      <c r="A490" s="102"/>
      <c r="B490" s="104"/>
      <c r="C490" s="104"/>
    </row>
    <row r="491" customFormat="false" ht="15" hidden="false" customHeight="false" outlineLevel="0" collapsed="false">
      <c r="A491" s="102"/>
      <c r="B491" s="104"/>
      <c r="C491" s="104"/>
    </row>
    <row r="492" customFormat="false" ht="15" hidden="false" customHeight="false" outlineLevel="0" collapsed="false">
      <c r="A492" s="102"/>
      <c r="B492" s="104"/>
      <c r="C492" s="104"/>
    </row>
    <row r="493" customFormat="false" ht="15" hidden="false" customHeight="false" outlineLevel="0" collapsed="false">
      <c r="A493" s="102"/>
      <c r="B493" s="104"/>
      <c r="C493" s="104"/>
    </row>
    <row r="494" customFormat="false" ht="15" hidden="false" customHeight="false" outlineLevel="0" collapsed="false">
      <c r="A494" s="102"/>
      <c r="B494" s="104"/>
      <c r="C494" s="104"/>
    </row>
    <row r="495" customFormat="false" ht="15" hidden="false" customHeight="false" outlineLevel="0" collapsed="false">
      <c r="A495" s="102"/>
      <c r="B495" s="104"/>
      <c r="C495" s="104"/>
    </row>
    <row r="496" customFormat="false" ht="15" hidden="false" customHeight="false" outlineLevel="0" collapsed="false">
      <c r="A496" s="102"/>
      <c r="B496" s="104"/>
      <c r="C496" s="104"/>
    </row>
    <row r="497" customFormat="false" ht="15" hidden="false" customHeight="false" outlineLevel="0" collapsed="false">
      <c r="A497" s="102"/>
      <c r="B497" s="104"/>
      <c r="C497" s="104"/>
    </row>
    <row r="498" customFormat="false" ht="15" hidden="false" customHeight="false" outlineLevel="0" collapsed="false">
      <c r="A498" s="102"/>
      <c r="B498" s="104"/>
      <c r="C498" s="104"/>
    </row>
    <row r="499" customFormat="false" ht="15" hidden="false" customHeight="false" outlineLevel="0" collapsed="false">
      <c r="A499" s="102"/>
      <c r="B499" s="104"/>
      <c r="C499" s="104"/>
    </row>
    <row r="500" customFormat="false" ht="15" hidden="false" customHeight="false" outlineLevel="0" collapsed="false">
      <c r="A500" s="102"/>
      <c r="B500" s="104"/>
      <c r="C500" s="104"/>
    </row>
    <row r="501" customFormat="false" ht="15" hidden="false" customHeight="false" outlineLevel="0" collapsed="false">
      <c r="A501" s="102"/>
      <c r="B501" s="104"/>
      <c r="C501" s="104"/>
    </row>
    <row r="502" customFormat="false" ht="15" hidden="false" customHeight="false" outlineLevel="0" collapsed="false">
      <c r="A502" s="102"/>
      <c r="B502" s="104"/>
      <c r="C502" s="104"/>
    </row>
    <row r="503" customFormat="false" ht="15" hidden="false" customHeight="false" outlineLevel="0" collapsed="false">
      <c r="A503" s="102"/>
      <c r="B503" s="104"/>
      <c r="C503" s="104"/>
    </row>
    <row r="504" customFormat="false" ht="15" hidden="false" customHeight="false" outlineLevel="0" collapsed="false">
      <c r="A504" s="102"/>
      <c r="B504" s="104"/>
      <c r="C504" s="104"/>
    </row>
    <row r="505" customFormat="false" ht="15" hidden="false" customHeight="false" outlineLevel="0" collapsed="false">
      <c r="A505" s="102"/>
      <c r="B505" s="104"/>
      <c r="C505" s="104"/>
    </row>
    <row r="506" customFormat="false" ht="15" hidden="false" customHeight="false" outlineLevel="0" collapsed="false">
      <c r="A506" s="102"/>
      <c r="B506" s="104"/>
      <c r="C506" s="104"/>
    </row>
    <row r="507" customFormat="false" ht="15" hidden="false" customHeight="false" outlineLevel="0" collapsed="false">
      <c r="A507" s="102"/>
      <c r="B507" s="104"/>
      <c r="C507" s="104"/>
    </row>
    <row r="508" customFormat="false" ht="15" hidden="false" customHeight="false" outlineLevel="0" collapsed="false">
      <c r="A508" s="102"/>
      <c r="B508" s="104"/>
      <c r="C508" s="104"/>
    </row>
    <row r="509" customFormat="false" ht="15" hidden="false" customHeight="false" outlineLevel="0" collapsed="false">
      <c r="A509" s="102"/>
      <c r="B509" s="104"/>
      <c r="C509" s="104"/>
    </row>
    <row r="510" customFormat="false" ht="15" hidden="false" customHeight="false" outlineLevel="0" collapsed="false">
      <c r="A510" s="102"/>
      <c r="B510" s="104"/>
      <c r="C510" s="104"/>
    </row>
    <row r="511" customFormat="false" ht="15" hidden="false" customHeight="false" outlineLevel="0" collapsed="false">
      <c r="A511" s="102"/>
      <c r="B511" s="104"/>
      <c r="C511" s="104"/>
    </row>
    <row r="512" customFormat="false" ht="15" hidden="false" customHeight="false" outlineLevel="0" collapsed="false">
      <c r="A512" s="102"/>
      <c r="B512" s="104"/>
      <c r="C512" s="104"/>
    </row>
    <row r="513" customFormat="false" ht="15" hidden="false" customHeight="false" outlineLevel="0" collapsed="false">
      <c r="A513" s="102"/>
      <c r="B513" s="104"/>
      <c r="C513" s="104"/>
    </row>
    <row r="514" customFormat="false" ht="15" hidden="false" customHeight="false" outlineLevel="0" collapsed="false">
      <c r="A514" s="102"/>
      <c r="B514" s="104"/>
      <c r="C514" s="104"/>
    </row>
    <row r="515" customFormat="false" ht="15" hidden="false" customHeight="false" outlineLevel="0" collapsed="false">
      <c r="A515" s="102"/>
      <c r="B515" s="104"/>
      <c r="C515" s="104"/>
    </row>
    <row r="516" customFormat="false" ht="15" hidden="false" customHeight="false" outlineLevel="0" collapsed="false">
      <c r="A516" s="102"/>
      <c r="B516" s="104"/>
      <c r="C516" s="104"/>
    </row>
    <row r="517" customFormat="false" ht="15" hidden="false" customHeight="false" outlineLevel="0" collapsed="false">
      <c r="A517" s="102"/>
      <c r="B517" s="104"/>
      <c r="C517" s="104"/>
    </row>
    <row r="518" customFormat="false" ht="15" hidden="false" customHeight="false" outlineLevel="0" collapsed="false">
      <c r="A518" s="102"/>
      <c r="B518" s="104"/>
      <c r="C518" s="104"/>
    </row>
    <row r="519" customFormat="false" ht="15" hidden="false" customHeight="false" outlineLevel="0" collapsed="false">
      <c r="A519" s="102"/>
      <c r="B519" s="104"/>
      <c r="C519" s="104"/>
    </row>
    <row r="520" customFormat="false" ht="15" hidden="false" customHeight="false" outlineLevel="0" collapsed="false">
      <c r="A520" s="102"/>
      <c r="B520" s="104"/>
      <c r="C520" s="104"/>
    </row>
    <row r="521" customFormat="false" ht="15" hidden="false" customHeight="false" outlineLevel="0" collapsed="false">
      <c r="A521" s="102"/>
      <c r="B521" s="104"/>
      <c r="C521" s="104"/>
    </row>
    <row r="522" customFormat="false" ht="15" hidden="false" customHeight="false" outlineLevel="0" collapsed="false">
      <c r="A522" s="102"/>
      <c r="B522" s="104"/>
      <c r="C522" s="104"/>
    </row>
    <row r="523" customFormat="false" ht="15" hidden="false" customHeight="false" outlineLevel="0" collapsed="false">
      <c r="A523" s="102"/>
      <c r="B523" s="104"/>
      <c r="C523" s="104"/>
    </row>
    <row r="524" customFormat="false" ht="15" hidden="false" customHeight="false" outlineLevel="0" collapsed="false">
      <c r="A524" s="102"/>
      <c r="B524" s="104"/>
      <c r="C524" s="104"/>
    </row>
    <row r="525" customFormat="false" ht="15" hidden="false" customHeight="false" outlineLevel="0" collapsed="false">
      <c r="A525" s="102"/>
      <c r="B525" s="104"/>
      <c r="C525" s="104"/>
    </row>
    <row r="526" customFormat="false" ht="15" hidden="false" customHeight="false" outlineLevel="0" collapsed="false">
      <c r="A526" s="102"/>
      <c r="B526" s="104"/>
      <c r="C526" s="104"/>
    </row>
    <row r="527" customFormat="false" ht="15" hidden="false" customHeight="false" outlineLevel="0" collapsed="false">
      <c r="A527" s="102"/>
      <c r="B527" s="104"/>
      <c r="C527" s="104"/>
    </row>
    <row r="528" customFormat="false" ht="15" hidden="false" customHeight="false" outlineLevel="0" collapsed="false">
      <c r="A528" s="102"/>
      <c r="B528" s="104"/>
      <c r="C528" s="104"/>
    </row>
    <row r="529" customFormat="false" ht="15" hidden="false" customHeight="false" outlineLevel="0" collapsed="false">
      <c r="A529" s="102"/>
      <c r="B529" s="104"/>
      <c r="C529" s="104"/>
    </row>
    <row r="530" customFormat="false" ht="15" hidden="false" customHeight="false" outlineLevel="0" collapsed="false">
      <c r="A530" s="102"/>
      <c r="B530" s="104"/>
      <c r="C530" s="104"/>
    </row>
    <row r="531" customFormat="false" ht="15" hidden="false" customHeight="false" outlineLevel="0" collapsed="false">
      <c r="A531" s="102"/>
      <c r="B531" s="104"/>
      <c r="C531" s="104"/>
    </row>
    <row r="532" customFormat="false" ht="15" hidden="false" customHeight="false" outlineLevel="0" collapsed="false">
      <c r="A532" s="102"/>
      <c r="B532" s="104"/>
      <c r="C532" s="104"/>
    </row>
    <row r="533" customFormat="false" ht="15" hidden="false" customHeight="false" outlineLevel="0" collapsed="false">
      <c r="A533" s="102"/>
      <c r="B533" s="104"/>
      <c r="C533" s="104"/>
    </row>
    <row r="534" customFormat="false" ht="15" hidden="false" customHeight="false" outlineLevel="0" collapsed="false">
      <c r="A534" s="102"/>
      <c r="B534" s="104"/>
      <c r="C534" s="104"/>
    </row>
    <row r="535" customFormat="false" ht="15" hidden="false" customHeight="false" outlineLevel="0" collapsed="false">
      <c r="A535" s="102"/>
      <c r="B535" s="104"/>
      <c r="C535" s="104"/>
    </row>
    <row r="536" customFormat="false" ht="15" hidden="false" customHeight="false" outlineLevel="0" collapsed="false">
      <c r="A536" s="102"/>
      <c r="B536" s="104"/>
      <c r="C536" s="104"/>
    </row>
    <row r="537" customFormat="false" ht="15" hidden="false" customHeight="false" outlineLevel="0" collapsed="false">
      <c r="A537" s="102"/>
      <c r="B537" s="104"/>
      <c r="C537" s="104"/>
    </row>
    <row r="538" customFormat="false" ht="15" hidden="false" customHeight="false" outlineLevel="0" collapsed="false">
      <c r="A538" s="102"/>
      <c r="B538" s="104"/>
      <c r="C538" s="104"/>
    </row>
    <row r="539" customFormat="false" ht="15" hidden="false" customHeight="false" outlineLevel="0" collapsed="false">
      <c r="A539" s="102"/>
      <c r="B539" s="104"/>
      <c r="C539" s="104"/>
    </row>
    <row r="540" customFormat="false" ht="15" hidden="false" customHeight="false" outlineLevel="0" collapsed="false">
      <c r="A540" s="102"/>
      <c r="B540" s="104"/>
      <c r="C540" s="104"/>
    </row>
    <row r="541" customFormat="false" ht="15" hidden="false" customHeight="false" outlineLevel="0" collapsed="false">
      <c r="A541" s="102"/>
      <c r="B541" s="104"/>
      <c r="C541" s="104"/>
    </row>
    <row r="542" customFormat="false" ht="15" hidden="false" customHeight="false" outlineLevel="0" collapsed="false">
      <c r="A542" s="102"/>
      <c r="B542" s="104"/>
      <c r="C542" s="104"/>
    </row>
    <row r="543" customFormat="false" ht="15" hidden="false" customHeight="false" outlineLevel="0" collapsed="false">
      <c r="A543" s="102"/>
      <c r="B543" s="104"/>
      <c r="C543" s="104"/>
    </row>
    <row r="544" customFormat="false" ht="15" hidden="false" customHeight="false" outlineLevel="0" collapsed="false">
      <c r="A544" s="102"/>
      <c r="B544" s="104"/>
      <c r="C544" s="104"/>
    </row>
    <row r="545" customFormat="false" ht="15" hidden="false" customHeight="false" outlineLevel="0" collapsed="false">
      <c r="A545" s="102"/>
      <c r="B545" s="104"/>
      <c r="C545" s="104"/>
    </row>
    <row r="546" customFormat="false" ht="15" hidden="false" customHeight="false" outlineLevel="0" collapsed="false">
      <c r="A546" s="102"/>
      <c r="B546" s="104"/>
      <c r="C546" s="104"/>
    </row>
    <row r="547" customFormat="false" ht="15" hidden="false" customHeight="false" outlineLevel="0" collapsed="false">
      <c r="A547" s="102"/>
      <c r="B547" s="104"/>
      <c r="C547" s="104"/>
    </row>
    <row r="548" customFormat="false" ht="15" hidden="false" customHeight="false" outlineLevel="0" collapsed="false">
      <c r="A548" s="102"/>
      <c r="B548" s="104"/>
      <c r="C548" s="104"/>
    </row>
    <row r="549" customFormat="false" ht="15" hidden="false" customHeight="false" outlineLevel="0" collapsed="false">
      <c r="A549" s="102"/>
      <c r="B549" s="104"/>
      <c r="C549" s="104"/>
    </row>
    <row r="550" customFormat="false" ht="15" hidden="false" customHeight="false" outlineLevel="0" collapsed="false">
      <c r="A550" s="102"/>
      <c r="B550" s="104"/>
      <c r="C550" s="104"/>
    </row>
    <row r="551" customFormat="false" ht="15" hidden="false" customHeight="false" outlineLevel="0" collapsed="false">
      <c r="A551" s="102"/>
      <c r="B551" s="104"/>
      <c r="C551" s="104"/>
    </row>
    <row r="552" customFormat="false" ht="15" hidden="false" customHeight="false" outlineLevel="0" collapsed="false">
      <c r="A552" s="102"/>
      <c r="B552" s="104"/>
      <c r="C552" s="104"/>
    </row>
    <row r="553" customFormat="false" ht="15" hidden="false" customHeight="false" outlineLevel="0" collapsed="false">
      <c r="A553" s="102"/>
      <c r="B553" s="104"/>
      <c r="C553" s="104"/>
    </row>
    <row r="554" customFormat="false" ht="15" hidden="false" customHeight="false" outlineLevel="0" collapsed="false">
      <c r="A554" s="102"/>
      <c r="B554" s="104"/>
      <c r="C554" s="104"/>
    </row>
    <row r="555" customFormat="false" ht="15" hidden="false" customHeight="false" outlineLevel="0" collapsed="false">
      <c r="A555" s="102"/>
      <c r="B555" s="104"/>
      <c r="C555" s="104"/>
    </row>
    <row r="556" customFormat="false" ht="15" hidden="false" customHeight="false" outlineLevel="0" collapsed="false">
      <c r="A556" s="102"/>
      <c r="B556" s="104"/>
      <c r="C556" s="104"/>
    </row>
    <row r="557" customFormat="false" ht="15" hidden="false" customHeight="false" outlineLevel="0" collapsed="false">
      <c r="A557" s="102"/>
      <c r="B557" s="104"/>
      <c r="C557" s="104"/>
    </row>
    <row r="558" customFormat="false" ht="15" hidden="false" customHeight="false" outlineLevel="0" collapsed="false">
      <c r="A558" s="102"/>
      <c r="B558" s="104"/>
      <c r="C558" s="104"/>
    </row>
    <row r="559" customFormat="false" ht="15" hidden="false" customHeight="false" outlineLevel="0" collapsed="false">
      <c r="A559" s="102"/>
      <c r="B559" s="104"/>
      <c r="C559" s="104"/>
    </row>
    <row r="560" customFormat="false" ht="15" hidden="false" customHeight="false" outlineLevel="0" collapsed="false">
      <c r="A560" s="102"/>
      <c r="B560" s="104"/>
      <c r="C560" s="104"/>
    </row>
    <row r="561" customFormat="false" ht="15" hidden="false" customHeight="false" outlineLevel="0" collapsed="false">
      <c r="A561" s="102"/>
      <c r="B561" s="104"/>
      <c r="C561" s="104"/>
    </row>
    <row r="562" customFormat="false" ht="15" hidden="false" customHeight="false" outlineLevel="0" collapsed="false">
      <c r="A562" s="102"/>
      <c r="B562" s="104"/>
      <c r="C562" s="104"/>
    </row>
    <row r="563" customFormat="false" ht="15" hidden="false" customHeight="false" outlineLevel="0" collapsed="false">
      <c r="A563" s="102"/>
      <c r="B563" s="104"/>
      <c r="C563" s="104"/>
    </row>
    <row r="564" customFormat="false" ht="15" hidden="false" customHeight="false" outlineLevel="0" collapsed="false">
      <c r="A564" s="102"/>
      <c r="B564" s="104"/>
      <c r="C564" s="104"/>
    </row>
    <row r="565" customFormat="false" ht="15" hidden="false" customHeight="false" outlineLevel="0" collapsed="false">
      <c r="A565" s="102"/>
      <c r="B565" s="104"/>
      <c r="C565" s="104"/>
    </row>
    <row r="566" customFormat="false" ht="15" hidden="false" customHeight="false" outlineLevel="0" collapsed="false">
      <c r="A566" s="102"/>
      <c r="B566" s="104"/>
      <c r="C566" s="104"/>
    </row>
    <row r="567" customFormat="false" ht="15" hidden="false" customHeight="false" outlineLevel="0" collapsed="false">
      <c r="A567" s="102"/>
      <c r="B567" s="104"/>
      <c r="C567" s="104"/>
    </row>
    <row r="568" customFormat="false" ht="15" hidden="false" customHeight="false" outlineLevel="0" collapsed="false">
      <c r="A568" s="102"/>
      <c r="B568" s="104"/>
      <c r="C568" s="104"/>
    </row>
    <row r="569" customFormat="false" ht="15" hidden="false" customHeight="false" outlineLevel="0" collapsed="false">
      <c r="A569" s="102"/>
      <c r="B569" s="104"/>
      <c r="C569" s="104"/>
    </row>
    <row r="570" customFormat="false" ht="15" hidden="false" customHeight="false" outlineLevel="0" collapsed="false">
      <c r="A570" s="102"/>
      <c r="B570" s="104"/>
      <c r="C570" s="104"/>
    </row>
    <row r="571" customFormat="false" ht="15" hidden="false" customHeight="false" outlineLevel="0" collapsed="false">
      <c r="A571" s="102"/>
      <c r="B571" s="104"/>
      <c r="C571" s="104"/>
    </row>
    <row r="572" customFormat="false" ht="15" hidden="false" customHeight="false" outlineLevel="0" collapsed="false">
      <c r="A572" s="102"/>
      <c r="B572" s="104"/>
      <c r="C572" s="104"/>
    </row>
    <row r="573" customFormat="false" ht="15" hidden="false" customHeight="false" outlineLevel="0" collapsed="false">
      <c r="A573" s="102"/>
      <c r="B573" s="104"/>
      <c r="C573" s="104"/>
    </row>
    <row r="574" customFormat="false" ht="15" hidden="false" customHeight="false" outlineLevel="0" collapsed="false">
      <c r="A574" s="102"/>
      <c r="B574" s="104"/>
      <c r="C574" s="104"/>
    </row>
    <row r="575" customFormat="false" ht="15" hidden="false" customHeight="false" outlineLevel="0" collapsed="false">
      <c r="A575" s="102"/>
      <c r="B575" s="104"/>
      <c r="C575" s="104"/>
    </row>
    <row r="576" customFormat="false" ht="15" hidden="false" customHeight="false" outlineLevel="0" collapsed="false">
      <c r="A576" s="102"/>
      <c r="B576" s="104"/>
      <c r="C576" s="104"/>
    </row>
    <row r="577" customFormat="false" ht="15" hidden="false" customHeight="false" outlineLevel="0" collapsed="false">
      <c r="A577" s="102"/>
      <c r="B577" s="104"/>
      <c r="C577" s="104"/>
    </row>
    <row r="578" customFormat="false" ht="15" hidden="false" customHeight="false" outlineLevel="0" collapsed="false">
      <c r="A578" s="102"/>
      <c r="B578" s="104"/>
      <c r="C578" s="104"/>
    </row>
    <row r="579" customFormat="false" ht="15" hidden="false" customHeight="false" outlineLevel="0" collapsed="false">
      <c r="A579" s="102"/>
      <c r="B579" s="104"/>
      <c r="C579" s="104"/>
    </row>
    <row r="580" customFormat="false" ht="15" hidden="false" customHeight="false" outlineLevel="0" collapsed="false">
      <c r="A580" s="102"/>
      <c r="B580" s="104"/>
      <c r="C580" s="104"/>
    </row>
    <row r="581" customFormat="false" ht="15" hidden="false" customHeight="false" outlineLevel="0" collapsed="false">
      <c r="A581" s="102"/>
      <c r="B581" s="104"/>
      <c r="C581" s="104"/>
    </row>
    <row r="582" customFormat="false" ht="15" hidden="false" customHeight="false" outlineLevel="0" collapsed="false">
      <c r="A582" s="102"/>
      <c r="B582" s="104"/>
      <c r="C582" s="104"/>
    </row>
    <row r="583" customFormat="false" ht="15" hidden="false" customHeight="false" outlineLevel="0" collapsed="false">
      <c r="A583" s="102"/>
      <c r="B583" s="104"/>
      <c r="C583" s="104"/>
    </row>
    <row r="584" customFormat="false" ht="15" hidden="false" customHeight="false" outlineLevel="0" collapsed="false">
      <c r="A584" s="102"/>
      <c r="B584" s="104"/>
      <c r="C584" s="104"/>
    </row>
    <row r="585" customFormat="false" ht="15" hidden="false" customHeight="false" outlineLevel="0" collapsed="false">
      <c r="A585" s="102"/>
      <c r="B585" s="104"/>
      <c r="C585" s="104"/>
    </row>
    <row r="586" customFormat="false" ht="15" hidden="false" customHeight="false" outlineLevel="0" collapsed="false">
      <c r="A586" s="102"/>
      <c r="B586" s="104"/>
      <c r="C586" s="104"/>
    </row>
    <row r="587" customFormat="false" ht="15" hidden="false" customHeight="false" outlineLevel="0" collapsed="false">
      <c r="A587" s="102"/>
      <c r="B587" s="104"/>
      <c r="C587" s="104"/>
    </row>
    <row r="588" customFormat="false" ht="15" hidden="false" customHeight="false" outlineLevel="0" collapsed="false">
      <c r="A588" s="102"/>
      <c r="B588" s="104"/>
      <c r="C588" s="104"/>
    </row>
    <row r="589" customFormat="false" ht="15" hidden="false" customHeight="false" outlineLevel="0" collapsed="false">
      <c r="A589" s="102"/>
      <c r="B589" s="104"/>
      <c r="C589" s="104"/>
    </row>
    <row r="590" customFormat="false" ht="15" hidden="false" customHeight="false" outlineLevel="0" collapsed="false">
      <c r="A590" s="102"/>
      <c r="B590" s="104"/>
      <c r="C590" s="104"/>
    </row>
    <row r="591" customFormat="false" ht="15" hidden="false" customHeight="false" outlineLevel="0" collapsed="false">
      <c r="A591" s="102"/>
      <c r="B591" s="104"/>
      <c r="C591" s="104"/>
    </row>
    <row r="592" customFormat="false" ht="15" hidden="false" customHeight="false" outlineLevel="0" collapsed="false">
      <c r="A592" s="102"/>
      <c r="B592" s="104"/>
      <c r="C592" s="104"/>
    </row>
    <row r="593" customFormat="false" ht="15" hidden="false" customHeight="false" outlineLevel="0" collapsed="false">
      <c r="A593" s="102"/>
      <c r="B593" s="104"/>
      <c r="C593" s="104"/>
    </row>
    <row r="594" customFormat="false" ht="15" hidden="false" customHeight="false" outlineLevel="0" collapsed="false">
      <c r="A594" s="102"/>
      <c r="B594" s="104"/>
      <c r="C594" s="104"/>
    </row>
    <row r="595" customFormat="false" ht="15" hidden="false" customHeight="false" outlineLevel="0" collapsed="false">
      <c r="A595" s="102"/>
      <c r="B595" s="104"/>
      <c r="C595" s="104"/>
    </row>
    <row r="596" customFormat="false" ht="15" hidden="false" customHeight="false" outlineLevel="0" collapsed="false">
      <c r="A596" s="102"/>
      <c r="B596" s="104"/>
      <c r="C596" s="104"/>
    </row>
    <row r="597" customFormat="false" ht="15" hidden="false" customHeight="false" outlineLevel="0" collapsed="false">
      <c r="A597" s="102"/>
      <c r="B597" s="104"/>
      <c r="C597" s="104"/>
    </row>
    <row r="598" customFormat="false" ht="15" hidden="false" customHeight="false" outlineLevel="0" collapsed="false">
      <c r="A598" s="102"/>
      <c r="B598" s="104"/>
      <c r="C598" s="104"/>
    </row>
    <row r="599" customFormat="false" ht="15" hidden="false" customHeight="false" outlineLevel="0" collapsed="false">
      <c r="A599" s="102"/>
      <c r="B599" s="104"/>
      <c r="C599" s="104"/>
    </row>
    <row r="600" customFormat="false" ht="15" hidden="false" customHeight="false" outlineLevel="0" collapsed="false">
      <c r="A600" s="102"/>
      <c r="B600" s="104"/>
      <c r="C600" s="104"/>
    </row>
    <row r="601" customFormat="false" ht="15" hidden="false" customHeight="false" outlineLevel="0" collapsed="false">
      <c r="A601" s="102"/>
      <c r="B601" s="104"/>
      <c r="C601" s="104"/>
    </row>
    <row r="602" customFormat="false" ht="15" hidden="false" customHeight="false" outlineLevel="0" collapsed="false">
      <c r="A602" s="102"/>
      <c r="B602" s="104"/>
      <c r="C602" s="104"/>
    </row>
    <row r="603" customFormat="false" ht="15" hidden="false" customHeight="false" outlineLevel="0" collapsed="false">
      <c r="A603" s="102"/>
      <c r="B603" s="104"/>
      <c r="C603" s="104"/>
    </row>
    <row r="604" customFormat="false" ht="15" hidden="false" customHeight="false" outlineLevel="0" collapsed="false">
      <c r="A604" s="102"/>
      <c r="B604" s="104"/>
      <c r="C604" s="104"/>
    </row>
    <row r="605" customFormat="false" ht="15" hidden="false" customHeight="false" outlineLevel="0" collapsed="false">
      <c r="A605" s="102"/>
      <c r="B605" s="104"/>
      <c r="C605" s="104"/>
    </row>
    <row r="606" customFormat="false" ht="15" hidden="false" customHeight="false" outlineLevel="0" collapsed="false">
      <c r="A606" s="102"/>
      <c r="B606" s="104"/>
      <c r="C606" s="104"/>
    </row>
    <row r="607" customFormat="false" ht="15" hidden="false" customHeight="false" outlineLevel="0" collapsed="false">
      <c r="A607" s="102"/>
      <c r="B607" s="104"/>
      <c r="C607" s="104"/>
    </row>
    <row r="608" customFormat="false" ht="15" hidden="false" customHeight="false" outlineLevel="0" collapsed="false">
      <c r="A608" s="102"/>
      <c r="B608" s="104"/>
      <c r="C608" s="104"/>
    </row>
    <row r="609" customFormat="false" ht="15" hidden="false" customHeight="false" outlineLevel="0" collapsed="false">
      <c r="A609" s="102"/>
      <c r="B609" s="104"/>
      <c r="C609" s="104"/>
    </row>
    <row r="610" customFormat="false" ht="15" hidden="false" customHeight="false" outlineLevel="0" collapsed="false">
      <c r="A610" s="102"/>
      <c r="B610" s="104"/>
      <c r="C610" s="104"/>
    </row>
    <row r="611" customFormat="false" ht="15" hidden="false" customHeight="false" outlineLevel="0" collapsed="false">
      <c r="A611" s="102"/>
      <c r="B611" s="104"/>
      <c r="C611" s="104"/>
    </row>
    <row r="612" customFormat="false" ht="15" hidden="false" customHeight="false" outlineLevel="0" collapsed="false">
      <c r="A612" s="102"/>
      <c r="B612" s="104"/>
      <c r="C612" s="104"/>
    </row>
    <row r="613" customFormat="false" ht="15" hidden="false" customHeight="false" outlineLevel="0" collapsed="false">
      <c r="A613" s="102"/>
      <c r="B613" s="104"/>
      <c r="C613" s="104"/>
    </row>
    <row r="614" customFormat="false" ht="15" hidden="false" customHeight="false" outlineLevel="0" collapsed="false">
      <c r="A614" s="102"/>
      <c r="B614" s="104"/>
      <c r="C614" s="104"/>
    </row>
    <row r="615" customFormat="false" ht="15" hidden="false" customHeight="false" outlineLevel="0" collapsed="false">
      <c r="A615" s="102"/>
      <c r="B615" s="104"/>
      <c r="C615" s="104"/>
    </row>
    <row r="616" customFormat="false" ht="15" hidden="false" customHeight="false" outlineLevel="0" collapsed="false">
      <c r="A616" s="102"/>
      <c r="B616" s="104"/>
      <c r="C616" s="104"/>
    </row>
    <row r="617" customFormat="false" ht="15" hidden="false" customHeight="false" outlineLevel="0" collapsed="false">
      <c r="A617" s="102"/>
      <c r="B617" s="104"/>
      <c r="C617" s="104"/>
    </row>
    <row r="618" customFormat="false" ht="15" hidden="false" customHeight="false" outlineLevel="0" collapsed="false">
      <c r="A618" s="102"/>
      <c r="B618" s="104"/>
      <c r="C618" s="104"/>
    </row>
    <row r="619" customFormat="false" ht="15" hidden="false" customHeight="false" outlineLevel="0" collapsed="false">
      <c r="A619" s="102"/>
      <c r="B619" s="104"/>
      <c r="C619" s="104"/>
    </row>
    <row r="620" customFormat="false" ht="15" hidden="false" customHeight="false" outlineLevel="0" collapsed="false">
      <c r="A620" s="102"/>
      <c r="B620" s="104"/>
      <c r="C620" s="104"/>
    </row>
    <row r="621" customFormat="false" ht="15" hidden="false" customHeight="false" outlineLevel="0" collapsed="false">
      <c r="A621" s="102"/>
      <c r="B621" s="104"/>
      <c r="C621" s="104"/>
    </row>
    <row r="622" customFormat="false" ht="15" hidden="false" customHeight="false" outlineLevel="0" collapsed="false">
      <c r="A622" s="102"/>
      <c r="B622" s="104"/>
      <c r="C622" s="104"/>
    </row>
    <row r="623" customFormat="false" ht="15" hidden="false" customHeight="false" outlineLevel="0" collapsed="false">
      <c r="A623" s="102"/>
      <c r="B623" s="104"/>
      <c r="C623" s="104"/>
    </row>
    <row r="624" customFormat="false" ht="15" hidden="false" customHeight="false" outlineLevel="0" collapsed="false">
      <c r="A624" s="102"/>
      <c r="B624" s="104"/>
      <c r="C624" s="104"/>
    </row>
    <row r="625" customFormat="false" ht="15" hidden="false" customHeight="false" outlineLevel="0" collapsed="false">
      <c r="A625" s="102"/>
      <c r="B625" s="104"/>
      <c r="C625" s="104"/>
    </row>
    <row r="626" customFormat="false" ht="15" hidden="false" customHeight="false" outlineLevel="0" collapsed="false">
      <c r="A626" s="102"/>
      <c r="B626" s="104"/>
      <c r="C626" s="104"/>
    </row>
    <row r="627" customFormat="false" ht="15" hidden="false" customHeight="false" outlineLevel="0" collapsed="false">
      <c r="A627" s="102"/>
      <c r="B627" s="104"/>
      <c r="C627" s="104"/>
    </row>
    <row r="628" customFormat="false" ht="15" hidden="false" customHeight="false" outlineLevel="0" collapsed="false">
      <c r="A628" s="102"/>
      <c r="B628" s="104"/>
      <c r="C628" s="104"/>
    </row>
    <row r="629" customFormat="false" ht="15" hidden="false" customHeight="false" outlineLevel="0" collapsed="false">
      <c r="A629" s="102"/>
      <c r="B629" s="104"/>
      <c r="C629" s="104"/>
    </row>
    <row r="630" customFormat="false" ht="15" hidden="false" customHeight="false" outlineLevel="0" collapsed="false">
      <c r="A630" s="102"/>
      <c r="B630" s="104"/>
      <c r="C630" s="104"/>
    </row>
    <row r="631" customFormat="false" ht="15" hidden="false" customHeight="false" outlineLevel="0" collapsed="false">
      <c r="A631" s="102"/>
      <c r="B631" s="104"/>
      <c r="C631" s="104"/>
    </row>
    <row r="632" customFormat="false" ht="15" hidden="false" customHeight="false" outlineLevel="0" collapsed="false">
      <c r="A632" s="102"/>
      <c r="B632" s="104"/>
      <c r="C632" s="104"/>
    </row>
    <row r="633" customFormat="false" ht="15" hidden="false" customHeight="false" outlineLevel="0" collapsed="false">
      <c r="A633" s="102"/>
      <c r="B633" s="104"/>
      <c r="C633" s="104"/>
    </row>
    <row r="634" customFormat="false" ht="15" hidden="false" customHeight="false" outlineLevel="0" collapsed="false">
      <c r="A634" s="102"/>
      <c r="B634" s="104"/>
      <c r="C634" s="104"/>
    </row>
    <row r="635" customFormat="false" ht="15" hidden="false" customHeight="false" outlineLevel="0" collapsed="false">
      <c r="A635" s="102"/>
      <c r="B635" s="104"/>
      <c r="C635" s="104"/>
    </row>
    <row r="636" customFormat="false" ht="15" hidden="false" customHeight="false" outlineLevel="0" collapsed="false">
      <c r="A636" s="102"/>
      <c r="B636" s="104"/>
      <c r="C636" s="104"/>
    </row>
    <row r="637" customFormat="false" ht="15" hidden="false" customHeight="false" outlineLevel="0" collapsed="false">
      <c r="A637" s="102"/>
      <c r="B637" s="104"/>
      <c r="C637" s="104"/>
    </row>
    <row r="638" customFormat="false" ht="15" hidden="false" customHeight="false" outlineLevel="0" collapsed="false">
      <c r="A638" s="102"/>
      <c r="B638" s="104"/>
      <c r="C638" s="104"/>
    </row>
    <row r="639" customFormat="false" ht="15" hidden="false" customHeight="false" outlineLevel="0" collapsed="false">
      <c r="A639" s="102"/>
      <c r="B639" s="104"/>
      <c r="C639" s="104"/>
    </row>
    <row r="640" customFormat="false" ht="15" hidden="false" customHeight="false" outlineLevel="0" collapsed="false">
      <c r="A640" s="102"/>
      <c r="B640" s="104"/>
      <c r="C640" s="104"/>
    </row>
    <row r="641" customFormat="false" ht="15" hidden="false" customHeight="false" outlineLevel="0" collapsed="false">
      <c r="A641" s="102"/>
      <c r="B641" s="104"/>
      <c r="C641" s="104"/>
    </row>
    <row r="642" customFormat="false" ht="15" hidden="false" customHeight="false" outlineLevel="0" collapsed="false">
      <c r="A642" s="102"/>
      <c r="B642" s="104"/>
      <c r="C642" s="104"/>
    </row>
    <row r="643" customFormat="false" ht="15" hidden="false" customHeight="false" outlineLevel="0" collapsed="false">
      <c r="A643" s="102"/>
      <c r="B643" s="104"/>
      <c r="C643" s="104"/>
    </row>
    <row r="644" customFormat="false" ht="15" hidden="false" customHeight="false" outlineLevel="0" collapsed="false">
      <c r="A644" s="102"/>
      <c r="B644" s="104"/>
      <c r="C644" s="104"/>
    </row>
    <row r="645" customFormat="false" ht="15" hidden="false" customHeight="false" outlineLevel="0" collapsed="false">
      <c r="A645" s="102"/>
      <c r="B645" s="104"/>
      <c r="C645" s="104"/>
    </row>
    <row r="646" customFormat="false" ht="15" hidden="false" customHeight="false" outlineLevel="0" collapsed="false">
      <c r="A646" s="102"/>
      <c r="B646" s="104"/>
      <c r="C646" s="104"/>
    </row>
    <row r="647" customFormat="false" ht="15" hidden="false" customHeight="false" outlineLevel="0" collapsed="false">
      <c r="A647" s="102"/>
      <c r="B647" s="104"/>
      <c r="C647" s="104"/>
    </row>
    <row r="648" customFormat="false" ht="15" hidden="false" customHeight="false" outlineLevel="0" collapsed="false">
      <c r="A648" s="102"/>
      <c r="B648" s="104"/>
      <c r="C648" s="104"/>
    </row>
    <row r="649" customFormat="false" ht="15" hidden="false" customHeight="false" outlineLevel="0" collapsed="false">
      <c r="A649" s="102"/>
      <c r="B649" s="104"/>
      <c r="C649" s="104"/>
    </row>
    <row r="650" customFormat="false" ht="15" hidden="false" customHeight="false" outlineLevel="0" collapsed="false">
      <c r="A650" s="102"/>
      <c r="B650" s="104"/>
      <c r="C650" s="104"/>
    </row>
    <row r="651" customFormat="false" ht="15" hidden="false" customHeight="false" outlineLevel="0" collapsed="false">
      <c r="A651" s="102"/>
      <c r="B651" s="104"/>
      <c r="C651" s="104"/>
    </row>
    <row r="652" customFormat="false" ht="15" hidden="false" customHeight="false" outlineLevel="0" collapsed="false">
      <c r="A652" s="102"/>
      <c r="B652" s="104"/>
      <c r="C652" s="104"/>
    </row>
    <row r="653" customFormat="false" ht="15" hidden="false" customHeight="false" outlineLevel="0" collapsed="false">
      <c r="A653" s="102"/>
      <c r="B653" s="104"/>
      <c r="C653" s="104"/>
    </row>
    <row r="654" customFormat="false" ht="15" hidden="false" customHeight="false" outlineLevel="0" collapsed="false">
      <c r="A654" s="102"/>
      <c r="B654" s="104"/>
      <c r="C654" s="104"/>
    </row>
    <row r="655" customFormat="false" ht="15" hidden="false" customHeight="false" outlineLevel="0" collapsed="false">
      <c r="A655" s="102"/>
      <c r="B655" s="104"/>
      <c r="C655" s="104"/>
    </row>
    <row r="656" customFormat="false" ht="15" hidden="false" customHeight="false" outlineLevel="0" collapsed="false">
      <c r="A656" s="102"/>
      <c r="B656" s="104"/>
      <c r="C656" s="104"/>
    </row>
    <row r="657" customFormat="false" ht="15" hidden="false" customHeight="false" outlineLevel="0" collapsed="false">
      <c r="A657" s="102"/>
      <c r="B657" s="104"/>
      <c r="C657" s="104"/>
    </row>
    <row r="658" customFormat="false" ht="15" hidden="false" customHeight="false" outlineLevel="0" collapsed="false">
      <c r="A658" s="102"/>
      <c r="B658" s="104"/>
      <c r="C658" s="104"/>
    </row>
    <row r="659" customFormat="false" ht="15" hidden="false" customHeight="false" outlineLevel="0" collapsed="false">
      <c r="A659" s="102"/>
      <c r="B659" s="104"/>
      <c r="C659" s="104"/>
    </row>
    <row r="660" customFormat="false" ht="15" hidden="false" customHeight="false" outlineLevel="0" collapsed="false">
      <c r="A660" s="102"/>
      <c r="B660" s="104"/>
      <c r="C660" s="104"/>
    </row>
    <row r="661" customFormat="false" ht="15" hidden="false" customHeight="false" outlineLevel="0" collapsed="false">
      <c r="A661" s="102"/>
      <c r="B661" s="104"/>
      <c r="C661" s="104"/>
    </row>
    <row r="662" customFormat="false" ht="15" hidden="false" customHeight="false" outlineLevel="0" collapsed="false">
      <c r="A662" s="102"/>
      <c r="B662" s="104"/>
      <c r="C662" s="104"/>
    </row>
    <row r="663" customFormat="false" ht="15" hidden="false" customHeight="false" outlineLevel="0" collapsed="false">
      <c r="A663" s="102"/>
      <c r="B663" s="104"/>
      <c r="C663" s="104"/>
    </row>
    <row r="664" customFormat="false" ht="15" hidden="false" customHeight="false" outlineLevel="0" collapsed="false">
      <c r="A664" s="102"/>
      <c r="B664" s="104"/>
      <c r="C664" s="104"/>
    </row>
    <row r="665" customFormat="false" ht="15" hidden="false" customHeight="false" outlineLevel="0" collapsed="false">
      <c r="A665" s="102"/>
      <c r="B665" s="104"/>
      <c r="C665" s="104"/>
    </row>
    <row r="666" customFormat="false" ht="15" hidden="false" customHeight="false" outlineLevel="0" collapsed="false">
      <c r="A666" s="102"/>
      <c r="B666" s="104"/>
      <c r="C666" s="104"/>
    </row>
    <row r="667" customFormat="false" ht="15" hidden="false" customHeight="false" outlineLevel="0" collapsed="false">
      <c r="A667" s="102"/>
      <c r="B667" s="104"/>
      <c r="C667" s="104"/>
    </row>
    <row r="668" customFormat="false" ht="15" hidden="false" customHeight="false" outlineLevel="0" collapsed="false">
      <c r="A668" s="102"/>
      <c r="B668" s="104"/>
      <c r="C668" s="104"/>
    </row>
    <row r="669" customFormat="false" ht="15" hidden="false" customHeight="false" outlineLevel="0" collapsed="false">
      <c r="A669" s="102"/>
      <c r="B669" s="104"/>
      <c r="C669" s="104"/>
    </row>
    <row r="670" customFormat="false" ht="15" hidden="false" customHeight="false" outlineLevel="0" collapsed="false">
      <c r="A670" s="102"/>
      <c r="B670" s="104"/>
      <c r="C670" s="104"/>
    </row>
    <row r="671" customFormat="false" ht="15" hidden="false" customHeight="false" outlineLevel="0" collapsed="false">
      <c r="A671" s="102"/>
      <c r="B671" s="104"/>
      <c r="C671" s="104"/>
    </row>
    <row r="672" customFormat="false" ht="15" hidden="false" customHeight="false" outlineLevel="0" collapsed="false">
      <c r="A672" s="102"/>
      <c r="B672" s="104"/>
      <c r="C672" s="104"/>
    </row>
    <row r="673" customFormat="false" ht="15" hidden="false" customHeight="false" outlineLevel="0" collapsed="false">
      <c r="A673" s="102"/>
      <c r="B673" s="104"/>
      <c r="C673" s="104"/>
    </row>
    <row r="674" customFormat="false" ht="15" hidden="false" customHeight="false" outlineLevel="0" collapsed="false">
      <c r="A674" s="102"/>
      <c r="B674" s="104"/>
      <c r="C674" s="104"/>
    </row>
    <row r="675" customFormat="false" ht="15" hidden="false" customHeight="false" outlineLevel="0" collapsed="false">
      <c r="A675" s="102"/>
      <c r="B675" s="104"/>
      <c r="C675" s="104"/>
    </row>
    <row r="676" customFormat="false" ht="15" hidden="false" customHeight="false" outlineLevel="0" collapsed="false">
      <c r="A676" s="102"/>
      <c r="B676" s="104"/>
      <c r="C676" s="104"/>
    </row>
    <row r="677" customFormat="false" ht="15" hidden="false" customHeight="false" outlineLevel="0" collapsed="false">
      <c r="A677" s="102"/>
      <c r="B677" s="104"/>
      <c r="C677" s="104"/>
    </row>
    <row r="678" customFormat="false" ht="15" hidden="false" customHeight="false" outlineLevel="0" collapsed="false">
      <c r="A678" s="102"/>
      <c r="B678" s="104"/>
      <c r="C678" s="104"/>
    </row>
    <row r="679" customFormat="false" ht="15" hidden="false" customHeight="false" outlineLevel="0" collapsed="false">
      <c r="A679" s="102"/>
      <c r="B679" s="104"/>
      <c r="C679" s="104"/>
    </row>
    <row r="680" customFormat="false" ht="15" hidden="false" customHeight="false" outlineLevel="0" collapsed="false">
      <c r="A680" s="102"/>
      <c r="B680" s="104"/>
      <c r="C680" s="104"/>
    </row>
    <row r="681" customFormat="false" ht="15" hidden="false" customHeight="false" outlineLevel="0" collapsed="false">
      <c r="A681" s="102"/>
      <c r="B681" s="104"/>
      <c r="C681" s="104"/>
    </row>
    <row r="682" customFormat="false" ht="15" hidden="false" customHeight="false" outlineLevel="0" collapsed="false">
      <c r="A682" s="102"/>
      <c r="B682" s="104"/>
      <c r="C682" s="104"/>
    </row>
    <row r="683" customFormat="false" ht="15" hidden="false" customHeight="false" outlineLevel="0" collapsed="false">
      <c r="A683" s="102"/>
      <c r="B683" s="104"/>
      <c r="C683" s="104"/>
    </row>
    <row r="684" customFormat="false" ht="15" hidden="false" customHeight="false" outlineLevel="0" collapsed="false">
      <c r="A684" s="102"/>
      <c r="B684" s="104"/>
      <c r="C684" s="104"/>
    </row>
    <row r="685" customFormat="false" ht="15" hidden="false" customHeight="false" outlineLevel="0" collapsed="false">
      <c r="A685" s="102"/>
      <c r="B685" s="104"/>
      <c r="C685" s="104"/>
    </row>
    <row r="686" customFormat="false" ht="15" hidden="false" customHeight="false" outlineLevel="0" collapsed="false">
      <c r="A686" s="102"/>
      <c r="B686" s="104"/>
      <c r="C686" s="104"/>
    </row>
    <row r="687" customFormat="false" ht="15" hidden="false" customHeight="false" outlineLevel="0" collapsed="false">
      <c r="A687" s="102"/>
      <c r="B687" s="104"/>
      <c r="C687" s="104"/>
    </row>
    <row r="688" customFormat="false" ht="15" hidden="false" customHeight="false" outlineLevel="0" collapsed="false">
      <c r="A688" s="102"/>
      <c r="B688" s="104"/>
      <c r="C688" s="104"/>
    </row>
    <row r="689" customFormat="false" ht="15" hidden="false" customHeight="false" outlineLevel="0" collapsed="false">
      <c r="A689" s="102"/>
      <c r="B689" s="104"/>
      <c r="C689" s="104"/>
    </row>
    <row r="690" customFormat="false" ht="15" hidden="false" customHeight="false" outlineLevel="0" collapsed="false">
      <c r="A690" s="102"/>
      <c r="B690" s="104"/>
      <c r="C690" s="104"/>
    </row>
    <row r="691" customFormat="false" ht="15" hidden="false" customHeight="false" outlineLevel="0" collapsed="false">
      <c r="A691" s="102"/>
      <c r="B691" s="104"/>
      <c r="C691" s="104"/>
    </row>
    <row r="692" customFormat="false" ht="15" hidden="false" customHeight="false" outlineLevel="0" collapsed="false">
      <c r="A692" s="102"/>
      <c r="B692" s="104"/>
      <c r="C692" s="104"/>
    </row>
    <row r="693" customFormat="false" ht="15" hidden="false" customHeight="false" outlineLevel="0" collapsed="false">
      <c r="A693" s="102"/>
      <c r="B693" s="104"/>
      <c r="C693" s="104"/>
    </row>
    <row r="694" customFormat="false" ht="15" hidden="false" customHeight="false" outlineLevel="0" collapsed="false">
      <c r="A694" s="102"/>
      <c r="B694" s="104"/>
      <c r="C694" s="104"/>
    </row>
    <row r="695" customFormat="false" ht="15" hidden="false" customHeight="false" outlineLevel="0" collapsed="false">
      <c r="A695" s="102"/>
      <c r="B695" s="104"/>
      <c r="C695" s="104"/>
    </row>
    <row r="696" customFormat="false" ht="15" hidden="false" customHeight="false" outlineLevel="0" collapsed="false">
      <c r="A696" s="102"/>
      <c r="B696" s="104"/>
      <c r="C696" s="104"/>
    </row>
    <row r="697" customFormat="false" ht="15" hidden="false" customHeight="false" outlineLevel="0" collapsed="false">
      <c r="A697" s="102"/>
      <c r="B697" s="104"/>
      <c r="C697" s="104"/>
    </row>
    <row r="698" customFormat="false" ht="15" hidden="false" customHeight="false" outlineLevel="0" collapsed="false">
      <c r="A698" s="102"/>
      <c r="B698" s="104"/>
      <c r="C698" s="104"/>
    </row>
    <row r="699" customFormat="false" ht="15" hidden="false" customHeight="false" outlineLevel="0" collapsed="false">
      <c r="A699" s="102"/>
      <c r="B699" s="104"/>
      <c r="C699" s="104"/>
    </row>
    <row r="700" customFormat="false" ht="15" hidden="false" customHeight="false" outlineLevel="0" collapsed="false">
      <c r="A700" s="102"/>
      <c r="B700" s="104"/>
      <c r="C700" s="104"/>
    </row>
    <row r="701" customFormat="false" ht="15" hidden="false" customHeight="false" outlineLevel="0" collapsed="false">
      <c r="A701" s="102"/>
      <c r="B701" s="104"/>
      <c r="C701" s="104"/>
    </row>
    <row r="702" customFormat="false" ht="15" hidden="false" customHeight="false" outlineLevel="0" collapsed="false">
      <c r="A702" s="102"/>
      <c r="B702" s="104"/>
      <c r="C702" s="104"/>
    </row>
    <row r="703" customFormat="false" ht="15" hidden="false" customHeight="false" outlineLevel="0" collapsed="false">
      <c r="A703" s="102"/>
      <c r="B703" s="104"/>
      <c r="C703" s="104"/>
    </row>
    <row r="704" customFormat="false" ht="15" hidden="false" customHeight="false" outlineLevel="0" collapsed="false">
      <c r="A704" s="102"/>
      <c r="B704" s="104"/>
      <c r="C704" s="104"/>
    </row>
    <row r="705" customFormat="false" ht="15" hidden="false" customHeight="false" outlineLevel="0" collapsed="false">
      <c r="A705" s="102"/>
      <c r="B705" s="104"/>
      <c r="C705" s="104"/>
    </row>
    <row r="706" customFormat="false" ht="15" hidden="false" customHeight="false" outlineLevel="0" collapsed="false">
      <c r="A706" s="102"/>
      <c r="B706" s="104"/>
      <c r="C706" s="104"/>
    </row>
    <row r="707" customFormat="false" ht="15" hidden="false" customHeight="false" outlineLevel="0" collapsed="false">
      <c r="A707" s="102"/>
      <c r="B707" s="104"/>
      <c r="C707" s="104"/>
    </row>
    <row r="708" customFormat="false" ht="15" hidden="false" customHeight="false" outlineLevel="0" collapsed="false">
      <c r="A708" s="102"/>
      <c r="B708" s="104"/>
      <c r="C708" s="104"/>
    </row>
    <row r="709" customFormat="false" ht="15" hidden="false" customHeight="false" outlineLevel="0" collapsed="false">
      <c r="A709" s="102"/>
      <c r="B709" s="104"/>
      <c r="C709" s="104"/>
    </row>
    <row r="710" customFormat="false" ht="15" hidden="false" customHeight="false" outlineLevel="0" collapsed="false">
      <c r="A710" s="102"/>
      <c r="B710" s="104"/>
      <c r="C710" s="104"/>
    </row>
    <row r="711" customFormat="false" ht="15" hidden="false" customHeight="false" outlineLevel="0" collapsed="false">
      <c r="A711" s="102"/>
      <c r="B711" s="104"/>
      <c r="C711" s="104"/>
    </row>
    <row r="712" customFormat="false" ht="15" hidden="false" customHeight="false" outlineLevel="0" collapsed="false">
      <c r="A712" s="102"/>
      <c r="B712" s="104"/>
      <c r="C712" s="104"/>
    </row>
    <row r="713" customFormat="false" ht="15" hidden="false" customHeight="false" outlineLevel="0" collapsed="false">
      <c r="A713" s="102"/>
      <c r="B713" s="104"/>
      <c r="C713" s="104"/>
    </row>
    <row r="714" customFormat="false" ht="15" hidden="false" customHeight="false" outlineLevel="0" collapsed="false">
      <c r="A714" s="102"/>
      <c r="B714" s="104"/>
      <c r="C714" s="104"/>
    </row>
    <row r="715" customFormat="false" ht="15" hidden="false" customHeight="false" outlineLevel="0" collapsed="false">
      <c r="A715" s="102"/>
      <c r="B715" s="104"/>
      <c r="C715" s="104"/>
    </row>
    <row r="716" customFormat="false" ht="15" hidden="false" customHeight="false" outlineLevel="0" collapsed="false">
      <c r="A716" s="102"/>
      <c r="B716" s="104"/>
      <c r="C716" s="104"/>
    </row>
    <row r="717" customFormat="false" ht="15" hidden="false" customHeight="false" outlineLevel="0" collapsed="false">
      <c r="A717" s="102"/>
      <c r="B717" s="104"/>
      <c r="C717" s="104"/>
    </row>
    <row r="718" customFormat="false" ht="15" hidden="false" customHeight="false" outlineLevel="0" collapsed="false">
      <c r="A718" s="102"/>
      <c r="B718" s="104"/>
      <c r="C718" s="104"/>
    </row>
    <row r="719" customFormat="false" ht="15" hidden="false" customHeight="false" outlineLevel="0" collapsed="false">
      <c r="A719" s="102"/>
      <c r="B719" s="104"/>
      <c r="C719" s="104"/>
    </row>
    <row r="720" customFormat="false" ht="15" hidden="false" customHeight="false" outlineLevel="0" collapsed="false">
      <c r="A720" s="102"/>
      <c r="B720" s="104"/>
      <c r="C720" s="104"/>
    </row>
    <row r="721" customFormat="false" ht="15" hidden="false" customHeight="false" outlineLevel="0" collapsed="false">
      <c r="A721" s="102"/>
      <c r="B721" s="104"/>
      <c r="C721" s="104"/>
    </row>
    <row r="722" customFormat="false" ht="15" hidden="false" customHeight="false" outlineLevel="0" collapsed="false">
      <c r="A722" s="102"/>
      <c r="B722" s="104"/>
      <c r="C722" s="104"/>
    </row>
    <row r="723" customFormat="false" ht="15" hidden="false" customHeight="false" outlineLevel="0" collapsed="false">
      <c r="A723" s="102"/>
      <c r="B723" s="104"/>
      <c r="C723" s="104"/>
    </row>
    <row r="724" customFormat="false" ht="15" hidden="false" customHeight="false" outlineLevel="0" collapsed="false">
      <c r="A724" s="102"/>
      <c r="B724" s="104"/>
      <c r="C724" s="104"/>
    </row>
    <row r="725" customFormat="false" ht="15" hidden="false" customHeight="false" outlineLevel="0" collapsed="false">
      <c r="A725" s="102"/>
      <c r="B725" s="104"/>
      <c r="C725" s="104"/>
    </row>
    <row r="726" customFormat="false" ht="15" hidden="false" customHeight="false" outlineLevel="0" collapsed="false">
      <c r="A726" s="102"/>
      <c r="B726" s="104"/>
      <c r="C726" s="104"/>
    </row>
    <row r="727" customFormat="false" ht="15" hidden="false" customHeight="false" outlineLevel="0" collapsed="false">
      <c r="A727" s="102"/>
      <c r="B727" s="104"/>
      <c r="C727" s="104"/>
    </row>
    <row r="728" customFormat="false" ht="15" hidden="false" customHeight="false" outlineLevel="0" collapsed="false">
      <c r="A728" s="102"/>
      <c r="B728" s="104"/>
      <c r="C728" s="104"/>
    </row>
    <row r="729" customFormat="false" ht="15" hidden="false" customHeight="false" outlineLevel="0" collapsed="false">
      <c r="A729" s="102"/>
      <c r="B729" s="104"/>
      <c r="C729" s="104"/>
    </row>
    <row r="730" customFormat="false" ht="15" hidden="false" customHeight="false" outlineLevel="0" collapsed="false">
      <c r="A730" s="102"/>
      <c r="B730" s="104"/>
      <c r="C730" s="104"/>
    </row>
    <row r="731" customFormat="false" ht="15" hidden="false" customHeight="false" outlineLevel="0" collapsed="false">
      <c r="A731" s="102"/>
      <c r="B731" s="104"/>
      <c r="C731" s="104"/>
    </row>
    <row r="732" customFormat="false" ht="15" hidden="false" customHeight="false" outlineLevel="0" collapsed="false">
      <c r="A732" s="102"/>
      <c r="B732" s="104"/>
      <c r="C732" s="104"/>
    </row>
    <row r="733" customFormat="false" ht="15" hidden="false" customHeight="false" outlineLevel="0" collapsed="false">
      <c r="A733" s="102"/>
      <c r="B733" s="104"/>
      <c r="C733" s="104"/>
    </row>
    <row r="734" customFormat="false" ht="15" hidden="false" customHeight="false" outlineLevel="0" collapsed="false">
      <c r="A734" s="102"/>
      <c r="B734" s="104"/>
      <c r="C734" s="104"/>
    </row>
    <row r="735" customFormat="false" ht="15" hidden="false" customHeight="false" outlineLevel="0" collapsed="false">
      <c r="A735" s="102"/>
      <c r="B735" s="104"/>
      <c r="C735" s="104"/>
    </row>
    <row r="736" customFormat="false" ht="15" hidden="false" customHeight="false" outlineLevel="0" collapsed="false">
      <c r="A736" s="102"/>
      <c r="B736" s="104"/>
      <c r="C736" s="104"/>
    </row>
    <row r="737" customFormat="false" ht="15" hidden="false" customHeight="false" outlineLevel="0" collapsed="false">
      <c r="A737" s="102"/>
      <c r="B737" s="104"/>
      <c r="C737" s="104"/>
    </row>
    <row r="738" customFormat="false" ht="15" hidden="false" customHeight="false" outlineLevel="0" collapsed="false">
      <c r="A738" s="102"/>
      <c r="B738" s="104"/>
      <c r="C738" s="104"/>
    </row>
    <row r="739" customFormat="false" ht="15" hidden="false" customHeight="false" outlineLevel="0" collapsed="false">
      <c r="A739" s="102"/>
      <c r="B739" s="104"/>
      <c r="C739" s="104"/>
    </row>
    <row r="740" customFormat="false" ht="15" hidden="false" customHeight="false" outlineLevel="0" collapsed="false">
      <c r="A740" s="102"/>
      <c r="B740" s="104"/>
      <c r="C740" s="104"/>
    </row>
    <row r="741" customFormat="false" ht="15" hidden="false" customHeight="false" outlineLevel="0" collapsed="false">
      <c r="A741" s="102"/>
      <c r="B741" s="104"/>
      <c r="C741" s="104"/>
    </row>
    <row r="742" customFormat="false" ht="15" hidden="false" customHeight="false" outlineLevel="0" collapsed="false">
      <c r="A742" s="102"/>
      <c r="B742" s="104"/>
      <c r="C742" s="104"/>
    </row>
    <row r="743" customFormat="false" ht="15" hidden="false" customHeight="false" outlineLevel="0" collapsed="false">
      <c r="A743" s="102"/>
      <c r="B743" s="104"/>
      <c r="C743" s="104"/>
    </row>
    <row r="744" customFormat="false" ht="15" hidden="false" customHeight="false" outlineLevel="0" collapsed="false">
      <c r="A744" s="102"/>
      <c r="B744" s="104"/>
      <c r="C744" s="104"/>
    </row>
    <row r="745" customFormat="false" ht="15" hidden="false" customHeight="false" outlineLevel="0" collapsed="false">
      <c r="A745" s="102"/>
      <c r="B745" s="104"/>
      <c r="C745" s="104"/>
    </row>
    <row r="746" customFormat="false" ht="15" hidden="false" customHeight="false" outlineLevel="0" collapsed="false">
      <c r="A746" s="102"/>
      <c r="B746" s="104"/>
      <c r="C746" s="104"/>
    </row>
    <row r="747" customFormat="false" ht="15" hidden="false" customHeight="false" outlineLevel="0" collapsed="false">
      <c r="A747" s="102"/>
      <c r="B747" s="104"/>
      <c r="C747" s="104"/>
    </row>
    <row r="748" customFormat="false" ht="15" hidden="false" customHeight="false" outlineLevel="0" collapsed="false">
      <c r="A748" s="102"/>
      <c r="B748" s="104"/>
      <c r="C748" s="104"/>
    </row>
    <row r="749" customFormat="false" ht="15" hidden="false" customHeight="false" outlineLevel="0" collapsed="false">
      <c r="A749" s="102"/>
      <c r="B749" s="104"/>
      <c r="C749" s="104"/>
    </row>
    <row r="750" customFormat="false" ht="15" hidden="false" customHeight="false" outlineLevel="0" collapsed="false">
      <c r="A750" s="102"/>
      <c r="B750" s="104"/>
      <c r="C750" s="104"/>
    </row>
    <row r="751" customFormat="false" ht="15" hidden="false" customHeight="false" outlineLevel="0" collapsed="false">
      <c r="A751" s="102"/>
      <c r="B751" s="104"/>
      <c r="C751" s="104"/>
    </row>
    <row r="752" customFormat="false" ht="15" hidden="false" customHeight="false" outlineLevel="0" collapsed="false">
      <c r="A752" s="102"/>
      <c r="B752" s="104"/>
      <c r="C752" s="104"/>
    </row>
    <row r="753" customFormat="false" ht="15" hidden="false" customHeight="false" outlineLevel="0" collapsed="false">
      <c r="A753" s="102"/>
      <c r="B753" s="104"/>
      <c r="C753" s="104"/>
    </row>
    <row r="754" customFormat="false" ht="15" hidden="false" customHeight="false" outlineLevel="0" collapsed="false">
      <c r="A754" s="102"/>
      <c r="B754" s="104"/>
      <c r="C754" s="104"/>
    </row>
    <row r="755" customFormat="false" ht="15" hidden="false" customHeight="false" outlineLevel="0" collapsed="false">
      <c r="A755" s="102"/>
      <c r="B755" s="104"/>
      <c r="C755" s="104"/>
    </row>
    <row r="756" customFormat="false" ht="15" hidden="false" customHeight="false" outlineLevel="0" collapsed="false">
      <c r="A756" s="102"/>
      <c r="B756" s="104"/>
      <c r="C756" s="104"/>
    </row>
    <row r="757" customFormat="false" ht="15" hidden="false" customHeight="false" outlineLevel="0" collapsed="false">
      <c r="A757" s="102"/>
      <c r="B757" s="104"/>
      <c r="C757" s="104"/>
    </row>
    <row r="758" customFormat="false" ht="15" hidden="false" customHeight="false" outlineLevel="0" collapsed="false">
      <c r="A758" s="102"/>
      <c r="B758" s="104"/>
      <c r="C758" s="104"/>
    </row>
    <row r="759" customFormat="false" ht="15" hidden="false" customHeight="false" outlineLevel="0" collapsed="false">
      <c r="A759" s="102"/>
      <c r="B759" s="104"/>
      <c r="C759" s="104"/>
    </row>
    <row r="760" customFormat="false" ht="15" hidden="false" customHeight="false" outlineLevel="0" collapsed="false">
      <c r="A760" s="102"/>
      <c r="B760" s="104"/>
      <c r="C760" s="104"/>
    </row>
    <row r="761" customFormat="false" ht="15" hidden="false" customHeight="false" outlineLevel="0" collapsed="false">
      <c r="A761" s="102"/>
      <c r="B761" s="104"/>
      <c r="C761" s="104"/>
    </row>
    <row r="762" customFormat="false" ht="15" hidden="false" customHeight="false" outlineLevel="0" collapsed="false">
      <c r="A762" s="102"/>
      <c r="B762" s="104"/>
      <c r="C762" s="104"/>
    </row>
    <row r="763" customFormat="false" ht="15" hidden="false" customHeight="false" outlineLevel="0" collapsed="false">
      <c r="A763" s="102"/>
      <c r="B763" s="104"/>
      <c r="C763" s="104"/>
    </row>
    <row r="764" customFormat="false" ht="15" hidden="false" customHeight="false" outlineLevel="0" collapsed="false">
      <c r="A764" s="102"/>
      <c r="B764" s="104"/>
      <c r="C764" s="104"/>
    </row>
    <row r="765" customFormat="false" ht="15" hidden="false" customHeight="false" outlineLevel="0" collapsed="false">
      <c r="A765" s="102"/>
      <c r="B765" s="104"/>
      <c r="C765" s="104"/>
    </row>
    <row r="766" customFormat="false" ht="15" hidden="false" customHeight="false" outlineLevel="0" collapsed="false">
      <c r="A766" s="102"/>
      <c r="B766" s="104"/>
      <c r="C766" s="104"/>
    </row>
    <row r="767" customFormat="false" ht="15" hidden="false" customHeight="false" outlineLevel="0" collapsed="false">
      <c r="A767" s="102"/>
      <c r="B767" s="104"/>
      <c r="C767" s="104"/>
    </row>
    <row r="768" customFormat="false" ht="15" hidden="false" customHeight="false" outlineLevel="0" collapsed="false">
      <c r="A768" s="102"/>
      <c r="B768" s="104"/>
      <c r="C768" s="104"/>
    </row>
    <row r="769" customFormat="false" ht="15" hidden="false" customHeight="false" outlineLevel="0" collapsed="false">
      <c r="A769" s="102"/>
      <c r="B769" s="104"/>
      <c r="C769" s="104"/>
    </row>
    <row r="770" customFormat="false" ht="15" hidden="false" customHeight="false" outlineLevel="0" collapsed="false">
      <c r="A770" s="102"/>
      <c r="B770" s="104"/>
      <c r="C770" s="104"/>
    </row>
    <row r="771" customFormat="false" ht="15" hidden="false" customHeight="false" outlineLevel="0" collapsed="false">
      <c r="A771" s="102"/>
      <c r="B771" s="104"/>
      <c r="C771" s="104"/>
    </row>
    <row r="772" customFormat="false" ht="15" hidden="false" customHeight="false" outlineLevel="0" collapsed="false">
      <c r="A772" s="102"/>
      <c r="B772" s="104"/>
      <c r="C772" s="104"/>
    </row>
    <row r="773" customFormat="false" ht="15" hidden="false" customHeight="false" outlineLevel="0" collapsed="false">
      <c r="A773" s="102"/>
      <c r="B773" s="104"/>
      <c r="C773" s="104"/>
    </row>
    <row r="774" customFormat="false" ht="15" hidden="false" customHeight="false" outlineLevel="0" collapsed="false">
      <c r="A774" s="102"/>
      <c r="B774" s="104"/>
      <c r="C774" s="104"/>
    </row>
    <row r="775" customFormat="false" ht="15" hidden="false" customHeight="false" outlineLevel="0" collapsed="false">
      <c r="A775" s="102"/>
      <c r="B775" s="104"/>
      <c r="C775" s="104"/>
    </row>
    <row r="776" customFormat="false" ht="15" hidden="false" customHeight="false" outlineLevel="0" collapsed="false">
      <c r="A776" s="102"/>
      <c r="B776" s="104"/>
      <c r="C776" s="104"/>
    </row>
    <row r="777" customFormat="false" ht="15" hidden="false" customHeight="false" outlineLevel="0" collapsed="false">
      <c r="A777" s="102"/>
      <c r="B777" s="104"/>
      <c r="C777" s="104"/>
    </row>
    <row r="778" customFormat="false" ht="15" hidden="false" customHeight="false" outlineLevel="0" collapsed="false">
      <c r="A778" s="102"/>
      <c r="B778" s="104"/>
      <c r="C778" s="104"/>
    </row>
    <row r="779" customFormat="false" ht="15" hidden="false" customHeight="false" outlineLevel="0" collapsed="false">
      <c r="A779" s="102"/>
      <c r="B779" s="104"/>
      <c r="C779" s="104"/>
    </row>
    <row r="780" customFormat="false" ht="15" hidden="false" customHeight="false" outlineLevel="0" collapsed="false">
      <c r="A780" s="102"/>
      <c r="B780" s="104"/>
      <c r="C780" s="104"/>
    </row>
    <row r="781" customFormat="false" ht="15" hidden="false" customHeight="false" outlineLevel="0" collapsed="false">
      <c r="A781" s="102"/>
      <c r="B781" s="104"/>
      <c r="C781" s="104"/>
    </row>
    <row r="782" customFormat="false" ht="15" hidden="false" customHeight="false" outlineLevel="0" collapsed="false">
      <c r="A782" s="102"/>
      <c r="B782" s="104"/>
      <c r="C782" s="104"/>
    </row>
    <row r="783" customFormat="false" ht="15" hidden="false" customHeight="false" outlineLevel="0" collapsed="false">
      <c r="A783" s="102"/>
      <c r="B783" s="104"/>
      <c r="C783" s="104"/>
    </row>
    <row r="784" customFormat="false" ht="15" hidden="false" customHeight="false" outlineLevel="0" collapsed="false">
      <c r="A784" s="102"/>
      <c r="B784" s="104"/>
      <c r="C784" s="104"/>
    </row>
    <row r="785" customFormat="false" ht="15" hidden="false" customHeight="false" outlineLevel="0" collapsed="false">
      <c r="A785" s="102"/>
      <c r="B785" s="104"/>
      <c r="C785" s="104"/>
    </row>
    <row r="786" customFormat="false" ht="15" hidden="false" customHeight="false" outlineLevel="0" collapsed="false">
      <c r="A786" s="102"/>
      <c r="B786" s="104"/>
      <c r="C786" s="104"/>
    </row>
    <row r="787" customFormat="false" ht="15" hidden="false" customHeight="false" outlineLevel="0" collapsed="false">
      <c r="A787" s="102"/>
      <c r="B787" s="104"/>
      <c r="C787" s="104"/>
    </row>
    <row r="788" customFormat="false" ht="15" hidden="false" customHeight="false" outlineLevel="0" collapsed="false">
      <c r="A788" s="102"/>
      <c r="B788" s="104"/>
      <c r="C788" s="104"/>
    </row>
    <row r="789" customFormat="false" ht="15" hidden="false" customHeight="false" outlineLevel="0" collapsed="false">
      <c r="A789" s="102"/>
      <c r="B789" s="104"/>
      <c r="C789" s="104"/>
    </row>
    <row r="790" customFormat="false" ht="15" hidden="false" customHeight="false" outlineLevel="0" collapsed="false">
      <c r="A790" s="102"/>
      <c r="B790" s="104"/>
      <c r="C790" s="104"/>
    </row>
    <row r="791" customFormat="false" ht="15" hidden="false" customHeight="false" outlineLevel="0" collapsed="false">
      <c r="A791" s="102"/>
      <c r="B791" s="104"/>
      <c r="C791" s="104"/>
    </row>
    <row r="792" customFormat="false" ht="15" hidden="false" customHeight="false" outlineLevel="0" collapsed="false">
      <c r="A792" s="102"/>
      <c r="B792" s="104"/>
      <c r="C792" s="104"/>
    </row>
    <row r="793" customFormat="false" ht="15" hidden="false" customHeight="false" outlineLevel="0" collapsed="false">
      <c r="A793" s="102"/>
      <c r="B793" s="104"/>
      <c r="C793" s="104"/>
    </row>
    <row r="794" customFormat="false" ht="15" hidden="false" customHeight="false" outlineLevel="0" collapsed="false">
      <c r="A794" s="102"/>
      <c r="B794" s="104"/>
      <c r="C794" s="104"/>
    </row>
    <row r="795" customFormat="false" ht="15" hidden="false" customHeight="false" outlineLevel="0" collapsed="false">
      <c r="A795" s="102"/>
      <c r="B795" s="104"/>
      <c r="C795" s="104"/>
    </row>
    <row r="796" customFormat="false" ht="15" hidden="false" customHeight="false" outlineLevel="0" collapsed="false">
      <c r="A796" s="102"/>
      <c r="B796" s="104"/>
      <c r="C796" s="104"/>
    </row>
    <row r="797" customFormat="false" ht="15" hidden="false" customHeight="false" outlineLevel="0" collapsed="false">
      <c r="A797" s="102"/>
      <c r="B797" s="104"/>
      <c r="C797" s="104"/>
    </row>
    <row r="798" customFormat="false" ht="15" hidden="false" customHeight="false" outlineLevel="0" collapsed="false">
      <c r="A798" s="102"/>
      <c r="B798" s="104"/>
      <c r="C798" s="104"/>
    </row>
    <row r="799" customFormat="false" ht="15" hidden="false" customHeight="false" outlineLevel="0" collapsed="false">
      <c r="A799" s="102"/>
      <c r="B799" s="104"/>
      <c r="C799" s="104"/>
    </row>
    <row r="800" customFormat="false" ht="15" hidden="false" customHeight="false" outlineLevel="0" collapsed="false">
      <c r="A800" s="102"/>
      <c r="B800" s="104"/>
      <c r="C800" s="104"/>
    </row>
    <row r="801" customFormat="false" ht="15" hidden="false" customHeight="false" outlineLevel="0" collapsed="false">
      <c r="A801" s="102"/>
      <c r="B801" s="104"/>
      <c r="C801" s="104"/>
    </row>
    <row r="802" customFormat="false" ht="15" hidden="false" customHeight="false" outlineLevel="0" collapsed="false">
      <c r="A802" s="102"/>
      <c r="B802" s="104"/>
      <c r="C802" s="104"/>
    </row>
    <row r="803" customFormat="false" ht="15" hidden="false" customHeight="false" outlineLevel="0" collapsed="false">
      <c r="A803" s="102"/>
      <c r="B803" s="104"/>
      <c r="C803" s="104"/>
    </row>
    <row r="804" customFormat="false" ht="15" hidden="false" customHeight="false" outlineLevel="0" collapsed="false">
      <c r="A804" s="102"/>
      <c r="B804" s="104"/>
      <c r="C804" s="104"/>
    </row>
    <row r="805" customFormat="false" ht="15" hidden="false" customHeight="false" outlineLevel="0" collapsed="false">
      <c r="A805" s="102"/>
      <c r="B805" s="104"/>
      <c r="C805" s="104"/>
    </row>
    <row r="806" customFormat="false" ht="15" hidden="false" customHeight="false" outlineLevel="0" collapsed="false">
      <c r="A806" s="102"/>
      <c r="B806" s="104"/>
      <c r="C806" s="104"/>
    </row>
    <row r="807" customFormat="false" ht="15" hidden="false" customHeight="false" outlineLevel="0" collapsed="false">
      <c r="A807" s="102"/>
      <c r="B807" s="104"/>
      <c r="C807" s="104"/>
    </row>
    <row r="808" customFormat="false" ht="15" hidden="false" customHeight="false" outlineLevel="0" collapsed="false">
      <c r="A808" s="102"/>
      <c r="B808" s="104"/>
      <c r="C808" s="104"/>
    </row>
    <row r="809" customFormat="false" ht="15" hidden="false" customHeight="false" outlineLevel="0" collapsed="false">
      <c r="A809" s="102"/>
      <c r="B809" s="104"/>
      <c r="C809" s="104"/>
    </row>
    <row r="810" customFormat="false" ht="15" hidden="false" customHeight="false" outlineLevel="0" collapsed="false">
      <c r="A810" s="102"/>
      <c r="B810" s="104"/>
      <c r="C810" s="104"/>
    </row>
    <row r="811" customFormat="false" ht="15" hidden="false" customHeight="false" outlineLevel="0" collapsed="false">
      <c r="A811" s="102"/>
      <c r="B811" s="104"/>
      <c r="C811" s="104"/>
    </row>
    <row r="812" customFormat="false" ht="15" hidden="false" customHeight="false" outlineLevel="0" collapsed="false">
      <c r="A812" s="102"/>
      <c r="B812" s="104"/>
      <c r="C812" s="104"/>
    </row>
    <row r="813" customFormat="false" ht="15" hidden="false" customHeight="false" outlineLevel="0" collapsed="false">
      <c r="A813" s="102"/>
      <c r="B813" s="104"/>
      <c r="C813" s="104"/>
    </row>
    <row r="814" customFormat="false" ht="15" hidden="false" customHeight="false" outlineLevel="0" collapsed="false">
      <c r="A814" s="102"/>
      <c r="B814" s="104"/>
      <c r="C814" s="104"/>
    </row>
    <row r="815" customFormat="false" ht="15" hidden="false" customHeight="false" outlineLevel="0" collapsed="false">
      <c r="A815" s="102"/>
      <c r="B815" s="104"/>
      <c r="C815" s="104"/>
    </row>
    <row r="816" customFormat="false" ht="15" hidden="false" customHeight="false" outlineLevel="0" collapsed="false">
      <c r="A816" s="102"/>
      <c r="B816" s="104"/>
      <c r="C816" s="104"/>
    </row>
    <row r="817" customFormat="false" ht="15" hidden="false" customHeight="false" outlineLevel="0" collapsed="false">
      <c r="A817" s="102"/>
      <c r="B817" s="104"/>
      <c r="C817" s="104"/>
    </row>
    <row r="818" customFormat="false" ht="15" hidden="false" customHeight="false" outlineLevel="0" collapsed="false">
      <c r="A818" s="102"/>
      <c r="B818" s="104"/>
      <c r="C818" s="104"/>
    </row>
    <row r="819" customFormat="false" ht="15" hidden="false" customHeight="false" outlineLevel="0" collapsed="false">
      <c r="A819" s="102"/>
      <c r="B819" s="104"/>
      <c r="C819" s="104"/>
    </row>
    <row r="820" customFormat="false" ht="15" hidden="false" customHeight="false" outlineLevel="0" collapsed="false">
      <c r="A820" s="102"/>
      <c r="B820" s="104"/>
      <c r="C820" s="104"/>
    </row>
    <row r="821" customFormat="false" ht="15" hidden="false" customHeight="false" outlineLevel="0" collapsed="false">
      <c r="A821" s="102"/>
      <c r="B821" s="104"/>
      <c r="C821" s="104"/>
    </row>
    <row r="822" customFormat="false" ht="15" hidden="false" customHeight="false" outlineLevel="0" collapsed="false">
      <c r="A822" s="102"/>
      <c r="B822" s="104"/>
      <c r="C822" s="104"/>
    </row>
    <row r="823" customFormat="false" ht="15" hidden="false" customHeight="false" outlineLevel="0" collapsed="false">
      <c r="A823" s="102"/>
      <c r="B823" s="104"/>
      <c r="C823" s="104"/>
    </row>
    <row r="824" customFormat="false" ht="15" hidden="false" customHeight="false" outlineLevel="0" collapsed="false">
      <c r="A824" s="102"/>
      <c r="B824" s="104"/>
      <c r="C824" s="104"/>
    </row>
    <row r="825" customFormat="false" ht="15" hidden="false" customHeight="false" outlineLevel="0" collapsed="false">
      <c r="A825" s="102"/>
      <c r="B825" s="104"/>
      <c r="C825" s="104"/>
    </row>
    <row r="826" customFormat="false" ht="15" hidden="false" customHeight="false" outlineLevel="0" collapsed="false">
      <c r="A826" s="102"/>
      <c r="B826" s="104"/>
      <c r="C826" s="104"/>
    </row>
    <row r="827" customFormat="false" ht="15" hidden="false" customHeight="false" outlineLevel="0" collapsed="false">
      <c r="A827" s="102"/>
      <c r="B827" s="104"/>
      <c r="C827" s="104"/>
    </row>
    <row r="828" customFormat="false" ht="15" hidden="false" customHeight="false" outlineLevel="0" collapsed="false">
      <c r="A828" s="102"/>
      <c r="B828" s="104"/>
      <c r="C828" s="104"/>
    </row>
    <row r="829" customFormat="false" ht="15" hidden="false" customHeight="false" outlineLevel="0" collapsed="false">
      <c r="A829" s="102"/>
      <c r="B829" s="104"/>
      <c r="C829" s="104"/>
    </row>
    <row r="830" customFormat="false" ht="15" hidden="false" customHeight="false" outlineLevel="0" collapsed="false">
      <c r="A830" s="102"/>
      <c r="B830" s="104"/>
      <c r="C830" s="104"/>
    </row>
    <row r="831" customFormat="false" ht="15" hidden="false" customHeight="false" outlineLevel="0" collapsed="false">
      <c r="A831" s="102"/>
      <c r="B831" s="104"/>
      <c r="C831" s="104"/>
    </row>
    <row r="832" customFormat="false" ht="15" hidden="false" customHeight="false" outlineLevel="0" collapsed="false">
      <c r="A832" s="102"/>
      <c r="B832" s="104"/>
      <c r="C832" s="104"/>
    </row>
    <row r="833" customFormat="false" ht="15" hidden="false" customHeight="false" outlineLevel="0" collapsed="false">
      <c r="A833" s="102"/>
      <c r="B833" s="104"/>
      <c r="C833" s="104"/>
    </row>
    <row r="834" customFormat="false" ht="15" hidden="false" customHeight="false" outlineLevel="0" collapsed="false">
      <c r="A834" s="102"/>
      <c r="B834" s="104"/>
      <c r="C834" s="104"/>
    </row>
    <row r="835" customFormat="false" ht="15" hidden="false" customHeight="false" outlineLevel="0" collapsed="false">
      <c r="A835" s="102"/>
      <c r="B835" s="104"/>
      <c r="C835" s="104"/>
    </row>
    <row r="836" customFormat="false" ht="15" hidden="false" customHeight="false" outlineLevel="0" collapsed="false">
      <c r="A836" s="102"/>
      <c r="B836" s="104"/>
      <c r="C836" s="104"/>
    </row>
    <row r="837" customFormat="false" ht="15" hidden="false" customHeight="false" outlineLevel="0" collapsed="false">
      <c r="A837" s="102"/>
      <c r="B837" s="104"/>
      <c r="C837" s="104"/>
    </row>
    <row r="838" customFormat="false" ht="15" hidden="false" customHeight="false" outlineLevel="0" collapsed="false">
      <c r="A838" s="102"/>
      <c r="B838" s="104"/>
      <c r="C838" s="104"/>
    </row>
    <row r="839" customFormat="false" ht="15" hidden="false" customHeight="false" outlineLevel="0" collapsed="false">
      <c r="A839" s="102"/>
      <c r="B839" s="104"/>
      <c r="C839" s="104"/>
    </row>
    <row r="840" customFormat="false" ht="15" hidden="false" customHeight="false" outlineLevel="0" collapsed="false">
      <c r="A840" s="102"/>
      <c r="B840" s="104"/>
      <c r="C840" s="104"/>
    </row>
    <row r="841" customFormat="false" ht="15" hidden="false" customHeight="false" outlineLevel="0" collapsed="false">
      <c r="A841" s="102"/>
      <c r="B841" s="104"/>
      <c r="C841" s="104"/>
    </row>
    <row r="842" customFormat="false" ht="15" hidden="false" customHeight="false" outlineLevel="0" collapsed="false">
      <c r="A842" s="102"/>
      <c r="B842" s="104"/>
      <c r="C842" s="104"/>
    </row>
    <row r="843" customFormat="false" ht="15" hidden="false" customHeight="false" outlineLevel="0" collapsed="false">
      <c r="A843" s="102"/>
      <c r="B843" s="104"/>
      <c r="C843" s="104"/>
    </row>
    <row r="844" customFormat="false" ht="15" hidden="false" customHeight="false" outlineLevel="0" collapsed="false">
      <c r="A844" s="102"/>
      <c r="B844" s="104"/>
      <c r="C844" s="104"/>
    </row>
    <row r="845" customFormat="false" ht="15" hidden="false" customHeight="false" outlineLevel="0" collapsed="false">
      <c r="A845" s="102"/>
      <c r="B845" s="104"/>
      <c r="C845" s="104"/>
    </row>
    <row r="846" customFormat="false" ht="15" hidden="false" customHeight="false" outlineLevel="0" collapsed="false">
      <c r="A846" s="102"/>
      <c r="B846" s="104"/>
      <c r="C846" s="104"/>
    </row>
    <row r="847" customFormat="false" ht="15" hidden="false" customHeight="false" outlineLevel="0" collapsed="false">
      <c r="A847" s="102"/>
      <c r="B847" s="104"/>
      <c r="C847" s="104"/>
    </row>
    <row r="848" customFormat="false" ht="15" hidden="false" customHeight="false" outlineLevel="0" collapsed="false">
      <c r="A848" s="102"/>
      <c r="B848" s="104"/>
      <c r="C848" s="104"/>
    </row>
    <row r="849" customFormat="false" ht="15" hidden="false" customHeight="false" outlineLevel="0" collapsed="false">
      <c r="A849" s="102"/>
      <c r="B849" s="104"/>
      <c r="C849" s="104"/>
    </row>
    <row r="850" customFormat="false" ht="15" hidden="false" customHeight="false" outlineLevel="0" collapsed="false">
      <c r="A850" s="102"/>
      <c r="B850" s="104"/>
      <c r="C850" s="104"/>
    </row>
    <row r="851" customFormat="false" ht="15" hidden="false" customHeight="false" outlineLevel="0" collapsed="false">
      <c r="A851" s="102"/>
      <c r="B851" s="104"/>
      <c r="C851" s="104"/>
    </row>
    <row r="852" customFormat="false" ht="15" hidden="false" customHeight="false" outlineLevel="0" collapsed="false">
      <c r="A852" s="102"/>
      <c r="B852" s="104"/>
      <c r="C852" s="104"/>
    </row>
    <row r="853" customFormat="false" ht="15" hidden="false" customHeight="false" outlineLevel="0" collapsed="false">
      <c r="A853" s="102"/>
      <c r="B853" s="104"/>
      <c r="C853" s="104"/>
    </row>
    <row r="854" customFormat="false" ht="15" hidden="false" customHeight="false" outlineLevel="0" collapsed="false">
      <c r="A854" s="102"/>
      <c r="B854" s="104"/>
      <c r="C854" s="104"/>
    </row>
    <row r="855" customFormat="false" ht="15" hidden="false" customHeight="false" outlineLevel="0" collapsed="false">
      <c r="A855" s="102"/>
      <c r="B855" s="104"/>
      <c r="C855" s="104"/>
    </row>
    <row r="856" customFormat="false" ht="15" hidden="false" customHeight="false" outlineLevel="0" collapsed="false">
      <c r="A856" s="102"/>
      <c r="B856" s="104"/>
      <c r="C856" s="104"/>
    </row>
    <row r="857" customFormat="false" ht="15" hidden="false" customHeight="false" outlineLevel="0" collapsed="false">
      <c r="A857" s="102"/>
      <c r="B857" s="104"/>
      <c r="C857" s="104"/>
    </row>
    <row r="858" customFormat="false" ht="15" hidden="false" customHeight="false" outlineLevel="0" collapsed="false">
      <c r="A858" s="102"/>
      <c r="B858" s="104"/>
      <c r="C858" s="104"/>
    </row>
    <row r="859" customFormat="false" ht="15" hidden="false" customHeight="false" outlineLevel="0" collapsed="false">
      <c r="A859" s="102"/>
      <c r="B859" s="104"/>
      <c r="C859" s="104"/>
    </row>
    <row r="860" customFormat="false" ht="15" hidden="false" customHeight="false" outlineLevel="0" collapsed="false">
      <c r="A860" s="102"/>
      <c r="B860" s="104"/>
      <c r="C860" s="104"/>
    </row>
    <row r="861" customFormat="false" ht="15" hidden="false" customHeight="false" outlineLevel="0" collapsed="false">
      <c r="A861" s="102"/>
      <c r="B861" s="104"/>
      <c r="C861" s="104"/>
    </row>
    <row r="862" customFormat="false" ht="15" hidden="false" customHeight="false" outlineLevel="0" collapsed="false">
      <c r="A862" s="102"/>
      <c r="B862" s="104"/>
      <c r="C862" s="104"/>
    </row>
    <row r="863" customFormat="false" ht="15" hidden="false" customHeight="false" outlineLevel="0" collapsed="false">
      <c r="A863" s="102"/>
      <c r="B863" s="104"/>
      <c r="C863" s="104"/>
    </row>
    <row r="864" customFormat="false" ht="15" hidden="false" customHeight="false" outlineLevel="0" collapsed="false">
      <c r="A864" s="102"/>
      <c r="B864" s="104"/>
      <c r="C864" s="104"/>
    </row>
    <row r="865" customFormat="false" ht="15" hidden="false" customHeight="false" outlineLevel="0" collapsed="false">
      <c r="A865" s="102"/>
      <c r="B865" s="104"/>
      <c r="C865" s="104"/>
    </row>
    <row r="866" customFormat="false" ht="15" hidden="false" customHeight="false" outlineLevel="0" collapsed="false">
      <c r="A866" s="102"/>
      <c r="B866" s="104"/>
      <c r="C866" s="104"/>
    </row>
    <row r="867" customFormat="false" ht="15" hidden="false" customHeight="false" outlineLevel="0" collapsed="false">
      <c r="A867" s="102"/>
      <c r="B867" s="104"/>
      <c r="C867" s="104"/>
    </row>
    <row r="868" customFormat="false" ht="15" hidden="false" customHeight="false" outlineLevel="0" collapsed="false">
      <c r="A868" s="102"/>
      <c r="B868" s="104"/>
      <c r="C868" s="104"/>
    </row>
    <row r="869" customFormat="false" ht="15" hidden="false" customHeight="false" outlineLevel="0" collapsed="false">
      <c r="A869" s="102"/>
      <c r="B869" s="104"/>
      <c r="C869" s="104"/>
    </row>
    <row r="870" customFormat="false" ht="15" hidden="false" customHeight="false" outlineLevel="0" collapsed="false">
      <c r="A870" s="102"/>
      <c r="B870" s="104"/>
      <c r="C870" s="104"/>
    </row>
    <row r="871" customFormat="false" ht="15" hidden="false" customHeight="false" outlineLevel="0" collapsed="false">
      <c r="A871" s="102"/>
      <c r="B871" s="104"/>
      <c r="C871" s="104"/>
    </row>
    <row r="872" customFormat="false" ht="15" hidden="false" customHeight="false" outlineLevel="0" collapsed="false">
      <c r="A872" s="102"/>
      <c r="B872" s="104"/>
      <c r="C872" s="104"/>
    </row>
    <row r="873" customFormat="false" ht="15" hidden="false" customHeight="false" outlineLevel="0" collapsed="false">
      <c r="A873" s="102"/>
      <c r="B873" s="104"/>
      <c r="C873" s="104"/>
    </row>
    <row r="874" customFormat="false" ht="15" hidden="false" customHeight="false" outlineLevel="0" collapsed="false">
      <c r="A874" s="102"/>
      <c r="B874" s="104"/>
      <c r="C874" s="104"/>
    </row>
    <row r="875" customFormat="false" ht="15" hidden="false" customHeight="false" outlineLevel="0" collapsed="false">
      <c r="A875" s="102"/>
      <c r="B875" s="104"/>
      <c r="C875" s="104"/>
    </row>
    <row r="876" customFormat="false" ht="15" hidden="false" customHeight="false" outlineLevel="0" collapsed="false">
      <c r="A876" s="102"/>
      <c r="B876" s="104"/>
      <c r="C876" s="104"/>
    </row>
    <row r="877" customFormat="false" ht="15" hidden="false" customHeight="false" outlineLevel="0" collapsed="false">
      <c r="A877" s="102"/>
      <c r="B877" s="104"/>
      <c r="C877" s="104"/>
    </row>
    <row r="878" customFormat="false" ht="15" hidden="false" customHeight="false" outlineLevel="0" collapsed="false">
      <c r="A878" s="102"/>
      <c r="B878" s="104"/>
      <c r="C878" s="104"/>
    </row>
    <row r="879" customFormat="false" ht="15" hidden="false" customHeight="false" outlineLevel="0" collapsed="false">
      <c r="A879" s="102"/>
      <c r="B879" s="104"/>
      <c r="C879" s="104"/>
    </row>
    <row r="880" customFormat="false" ht="15" hidden="false" customHeight="false" outlineLevel="0" collapsed="false">
      <c r="A880" s="102"/>
      <c r="B880" s="104"/>
      <c r="C880" s="104"/>
    </row>
    <row r="881" customFormat="false" ht="15" hidden="false" customHeight="false" outlineLevel="0" collapsed="false">
      <c r="A881" s="102"/>
      <c r="B881" s="104"/>
      <c r="C881" s="104"/>
    </row>
    <row r="882" customFormat="false" ht="15" hidden="false" customHeight="false" outlineLevel="0" collapsed="false">
      <c r="A882" s="102"/>
      <c r="B882" s="104"/>
      <c r="C882" s="104"/>
    </row>
    <row r="883" customFormat="false" ht="15" hidden="false" customHeight="false" outlineLevel="0" collapsed="false">
      <c r="A883" s="102"/>
      <c r="B883" s="104"/>
      <c r="C883" s="104"/>
    </row>
    <row r="884" customFormat="false" ht="15" hidden="false" customHeight="false" outlineLevel="0" collapsed="false">
      <c r="A884" s="102"/>
      <c r="B884" s="104"/>
      <c r="C884" s="104"/>
    </row>
    <row r="885" customFormat="false" ht="15" hidden="false" customHeight="false" outlineLevel="0" collapsed="false">
      <c r="A885" s="102"/>
      <c r="B885" s="104"/>
      <c r="C885" s="104"/>
    </row>
    <row r="886" customFormat="false" ht="15" hidden="false" customHeight="false" outlineLevel="0" collapsed="false">
      <c r="A886" s="102"/>
      <c r="B886" s="104"/>
      <c r="C886" s="104"/>
    </row>
    <row r="887" customFormat="false" ht="15" hidden="false" customHeight="false" outlineLevel="0" collapsed="false">
      <c r="A887" s="102"/>
      <c r="B887" s="104"/>
      <c r="C887" s="104"/>
    </row>
    <row r="888" customFormat="false" ht="15" hidden="false" customHeight="false" outlineLevel="0" collapsed="false">
      <c r="A888" s="102"/>
      <c r="B888" s="104"/>
      <c r="C888" s="104"/>
    </row>
    <row r="889" customFormat="false" ht="15" hidden="false" customHeight="false" outlineLevel="0" collapsed="false">
      <c r="A889" s="102"/>
      <c r="B889" s="104"/>
      <c r="C889" s="104"/>
    </row>
    <row r="890" customFormat="false" ht="15" hidden="false" customHeight="false" outlineLevel="0" collapsed="false">
      <c r="A890" s="102"/>
      <c r="B890" s="104"/>
      <c r="C890" s="104"/>
    </row>
    <row r="891" customFormat="false" ht="15" hidden="false" customHeight="false" outlineLevel="0" collapsed="false">
      <c r="A891" s="102"/>
      <c r="B891" s="104"/>
      <c r="C891" s="104"/>
    </row>
    <row r="892" customFormat="false" ht="15" hidden="false" customHeight="false" outlineLevel="0" collapsed="false">
      <c r="A892" s="102"/>
      <c r="B892" s="104"/>
      <c r="C892" s="104"/>
    </row>
    <row r="893" customFormat="false" ht="15" hidden="false" customHeight="false" outlineLevel="0" collapsed="false">
      <c r="A893" s="102"/>
      <c r="B893" s="104"/>
      <c r="C893" s="104"/>
    </row>
    <row r="894" customFormat="false" ht="15" hidden="false" customHeight="false" outlineLevel="0" collapsed="false">
      <c r="A894" s="102"/>
      <c r="B894" s="104"/>
      <c r="C894" s="104"/>
    </row>
    <row r="895" customFormat="false" ht="15" hidden="false" customHeight="false" outlineLevel="0" collapsed="false">
      <c r="A895" s="102"/>
      <c r="B895" s="104"/>
      <c r="C895" s="104"/>
    </row>
    <row r="896" customFormat="false" ht="15" hidden="false" customHeight="false" outlineLevel="0" collapsed="false">
      <c r="A896" s="102"/>
      <c r="B896" s="104"/>
      <c r="C896" s="104"/>
    </row>
    <row r="897" customFormat="false" ht="15" hidden="false" customHeight="false" outlineLevel="0" collapsed="false">
      <c r="A897" s="102"/>
      <c r="B897" s="104"/>
      <c r="C897" s="104"/>
    </row>
    <row r="898" customFormat="false" ht="15" hidden="false" customHeight="false" outlineLevel="0" collapsed="false">
      <c r="A898" s="102"/>
      <c r="B898" s="104"/>
      <c r="C898" s="104"/>
    </row>
    <row r="899" customFormat="false" ht="15" hidden="false" customHeight="false" outlineLevel="0" collapsed="false">
      <c r="A899" s="102"/>
      <c r="B899" s="104"/>
      <c r="C899" s="104"/>
    </row>
    <row r="900" customFormat="false" ht="15" hidden="false" customHeight="false" outlineLevel="0" collapsed="false">
      <c r="A900" s="102"/>
      <c r="B900" s="104"/>
      <c r="C900" s="104"/>
    </row>
    <row r="901" customFormat="false" ht="15" hidden="false" customHeight="false" outlineLevel="0" collapsed="false">
      <c r="A901" s="102"/>
      <c r="B901" s="104"/>
      <c r="C901" s="104"/>
    </row>
    <row r="902" customFormat="false" ht="15" hidden="false" customHeight="false" outlineLevel="0" collapsed="false">
      <c r="A902" s="102"/>
      <c r="B902" s="104"/>
      <c r="C902" s="104"/>
    </row>
    <row r="903" customFormat="false" ht="15" hidden="false" customHeight="false" outlineLevel="0" collapsed="false">
      <c r="A903" s="102"/>
      <c r="B903" s="104"/>
      <c r="C903" s="104"/>
    </row>
    <row r="904" customFormat="false" ht="15" hidden="false" customHeight="false" outlineLevel="0" collapsed="false">
      <c r="A904" s="102"/>
      <c r="B904" s="104"/>
      <c r="C904" s="104"/>
    </row>
    <row r="905" customFormat="false" ht="15" hidden="false" customHeight="false" outlineLevel="0" collapsed="false">
      <c r="A905" s="102"/>
      <c r="B905" s="104"/>
      <c r="C905" s="104"/>
    </row>
    <row r="906" customFormat="false" ht="15" hidden="false" customHeight="false" outlineLevel="0" collapsed="false">
      <c r="A906" s="102"/>
      <c r="B906" s="104"/>
      <c r="C906" s="104"/>
    </row>
    <row r="907" customFormat="false" ht="15" hidden="false" customHeight="false" outlineLevel="0" collapsed="false">
      <c r="A907" s="102"/>
      <c r="B907" s="104"/>
      <c r="C907" s="104"/>
    </row>
    <row r="908" customFormat="false" ht="15" hidden="false" customHeight="false" outlineLevel="0" collapsed="false">
      <c r="A908" s="102"/>
      <c r="B908" s="104"/>
      <c r="C908" s="104"/>
    </row>
    <row r="909" customFormat="false" ht="15" hidden="false" customHeight="false" outlineLevel="0" collapsed="false">
      <c r="A909" s="102"/>
      <c r="B909" s="104"/>
      <c r="C909" s="104"/>
    </row>
    <row r="910" customFormat="false" ht="15" hidden="false" customHeight="false" outlineLevel="0" collapsed="false">
      <c r="A910" s="102"/>
      <c r="B910" s="104"/>
      <c r="C910" s="104"/>
    </row>
    <row r="911" customFormat="false" ht="15" hidden="false" customHeight="false" outlineLevel="0" collapsed="false">
      <c r="A911" s="102"/>
      <c r="B911" s="104"/>
      <c r="C911" s="104"/>
    </row>
    <row r="912" customFormat="false" ht="15" hidden="false" customHeight="false" outlineLevel="0" collapsed="false">
      <c r="A912" s="102"/>
      <c r="B912" s="104"/>
      <c r="C912" s="104"/>
    </row>
    <row r="913" customFormat="false" ht="15" hidden="false" customHeight="false" outlineLevel="0" collapsed="false">
      <c r="A913" s="102"/>
      <c r="B913" s="104"/>
      <c r="C913" s="104"/>
    </row>
    <row r="914" customFormat="false" ht="15" hidden="false" customHeight="false" outlineLevel="0" collapsed="false">
      <c r="A914" s="102"/>
      <c r="B914" s="104"/>
      <c r="C914" s="104"/>
    </row>
    <row r="915" customFormat="false" ht="15" hidden="false" customHeight="false" outlineLevel="0" collapsed="false">
      <c r="A915" s="102"/>
      <c r="B915" s="104"/>
      <c r="C915" s="104"/>
    </row>
    <row r="916" customFormat="false" ht="15" hidden="false" customHeight="false" outlineLevel="0" collapsed="false">
      <c r="A916" s="102"/>
      <c r="B916" s="104"/>
      <c r="C916" s="104"/>
    </row>
    <row r="917" customFormat="false" ht="15" hidden="false" customHeight="false" outlineLevel="0" collapsed="false">
      <c r="A917" s="102"/>
      <c r="B917" s="104"/>
      <c r="C917" s="104"/>
    </row>
    <row r="918" customFormat="false" ht="15" hidden="false" customHeight="false" outlineLevel="0" collapsed="false">
      <c r="A918" s="102"/>
      <c r="B918" s="104"/>
      <c r="C918" s="104"/>
    </row>
    <row r="919" customFormat="false" ht="15" hidden="false" customHeight="false" outlineLevel="0" collapsed="false">
      <c r="A919" s="102"/>
      <c r="B919" s="104"/>
      <c r="C919" s="104"/>
    </row>
    <row r="920" customFormat="false" ht="15" hidden="false" customHeight="false" outlineLevel="0" collapsed="false">
      <c r="A920" s="102"/>
      <c r="B920" s="104"/>
      <c r="C920" s="104"/>
    </row>
    <row r="921" customFormat="false" ht="15" hidden="false" customHeight="false" outlineLevel="0" collapsed="false">
      <c r="A921" s="102"/>
      <c r="B921" s="104"/>
      <c r="C921" s="104"/>
    </row>
    <row r="922" customFormat="false" ht="15" hidden="false" customHeight="false" outlineLevel="0" collapsed="false">
      <c r="A922" s="102"/>
      <c r="B922" s="104"/>
      <c r="C922" s="104"/>
    </row>
    <row r="923" customFormat="false" ht="15" hidden="false" customHeight="false" outlineLevel="0" collapsed="false">
      <c r="A923" s="102"/>
      <c r="B923" s="104"/>
      <c r="C923" s="104"/>
    </row>
    <row r="924" customFormat="false" ht="15" hidden="false" customHeight="false" outlineLevel="0" collapsed="false">
      <c r="A924" s="102"/>
      <c r="B924" s="104"/>
      <c r="C924" s="104"/>
    </row>
    <row r="925" customFormat="false" ht="15" hidden="false" customHeight="false" outlineLevel="0" collapsed="false">
      <c r="A925" s="102"/>
      <c r="B925" s="104"/>
      <c r="C925" s="104"/>
    </row>
    <row r="926" customFormat="false" ht="15" hidden="false" customHeight="false" outlineLevel="0" collapsed="false">
      <c r="A926" s="102"/>
      <c r="B926" s="104"/>
      <c r="C926" s="104"/>
    </row>
    <row r="927" customFormat="false" ht="15" hidden="false" customHeight="false" outlineLevel="0" collapsed="false">
      <c r="A927" s="102"/>
      <c r="B927" s="104"/>
      <c r="C927" s="104"/>
    </row>
    <row r="928" customFormat="false" ht="15" hidden="false" customHeight="false" outlineLevel="0" collapsed="false">
      <c r="A928" s="102"/>
      <c r="B928" s="104"/>
      <c r="C928" s="104"/>
    </row>
    <row r="929" customFormat="false" ht="15" hidden="false" customHeight="false" outlineLevel="0" collapsed="false">
      <c r="A929" s="102"/>
      <c r="B929" s="104"/>
      <c r="C929" s="104"/>
    </row>
    <row r="930" customFormat="false" ht="15" hidden="false" customHeight="false" outlineLevel="0" collapsed="false">
      <c r="A930" s="102"/>
      <c r="B930" s="104"/>
      <c r="C930" s="104"/>
    </row>
    <row r="931" customFormat="false" ht="15" hidden="false" customHeight="false" outlineLevel="0" collapsed="false">
      <c r="A931" s="102"/>
      <c r="B931" s="104"/>
      <c r="C931" s="104"/>
    </row>
    <row r="932" customFormat="false" ht="15" hidden="false" customHeight="false" outlineLevel="0" collapsed="false">
      <c r="A932" s="102"/>
      <c r="B932" s="104"/>
      <c r="C932" s="104"/>
    </row>
    <row r="933" customFormat="false" ht="15" hidden="false" customHeight="false" outlineLevel="0" collapsed="false">
      <c r="A933" s="102"/>
      <c r="B933" s="104"/>
      <c r="C933" s="104"/>
    </row>
    <row r="934" customFormat="false" ht="15" hidden="false" customHeight="false" outlineLevel="0" collapsed="false">
      <c r="A934" s="102"/>
      <c r="B934" s="104"/>
      <c r="C934" s="104"/>
    </row>
    <row r="935" customFormat="false" ht="15" hidden="false" customHeight="false" outlineLevel="0" collapsed="false">
      <c r="A935" s="102"/>
      <c r="B935" s="104"/>
      <c r="C935" s="104"/>
    </row>
    <row r="936" customFormat="false" ht="15" hidden="false" customHeight="false" outlineLevel="0" collapsed="false">
      <c r="A936" s="102"/>
      <c r="B936" s="104"/>
      <c r="C936" s="104"/>
    </row>
    <row r="937" customFormat="false" ht="15" hidden="false" customHeight="false" outlineLevel="0" collapsed="false">
      <c r="A937" s="102"/>
      <c r="B937" s="104"/>
      <c r="C937" s="104"/>
    </row>
    <row r="938" customFormat="false" ht="15" hidden="false" customHeight="false" outlineLevel="0" collapsed="false">
      <c r="A938" s="102"/>
      <c r="B938" s="104"/>
      <c r="C938" s="104"/>
    </row>
    <row r="939" customFormat="false" ht="15" hidden="false" customHeight="false" outlineLevel="0" collapsed="false">
      <c r="A939" s="102"/>
      <c r="B939" s="104"/>
      <c r="C939" s="104"/>
    </row>
    <row r="940" customFormat="false" ht="15" hidden="false" customHeight="false" outlineLevel="0" collapsed="false">
      <c r="A940" s="102"/>
      <c r="B940" s="104"/>
      <c r="C940" s="104"/>
    </row>
    <row r="941" customFormat="false" ht="15" hidden="false" customHeight="false" outlineLevel="0" collapsed="false">
      <c r="A941" s="102"/>
      <c r="B941" s="104"/>
      <c r="C941" s="104"/>
    </row>
    <row r="942" customFormat="false" ht="15" hidden="false" customHeight="false" outlineLevel="0" collapsed="false">
      <c r="A942" s="102"/>
      <c r="B942" s="104"/>
      <c r="C942" s="104"/>
    </row>
    <row r="943" customFormat="false" ht="15" hidden="false" customHeight="false" outlineLevel="0" collapsed="false">
      <c r="A943" s="102"/>
      <c r="B943" s="104"/>
      <c r="C943" s="104"/>
    </row>
    <row r="944" customFormat="false" ht="15" hidden="false" customHeight="false" outlineLevel="0" collapsed="false">
      <c r="A944" s="102"/>
      <c r="B944" s="104"/>
      <c r="C944" s="104"/>
    </row>
    <row r="945" customFormat="false" ht="15" hidden="false" customHeight="false" outlineLevel="0" collapsed="false">
      <c r="A945" s="102"/>
      <c r="B945" s="104"/>
      <c r="C945" s="104"/>
    </row>
    <row r="946" customFormat="false" ht="15" hidden="false" customHeight="false" outlineLevel="0" collapsed="false">
      <c r="A946" s="102"/>
      <c r="B946" s="104"/>
      <c r="C946" s="104"/>
    </row>
    <row r="947" customFormat="false" ht="15" hidden="false" customHeight="false" outlineLevel="0" collapsed="false">
      <c r="A947" s="102"/>
      <c r="B947" s="104"/>
      <c r="C947" s="104"/>
    </row>
    <row r="948" customFormat="false" ht="15" hidden="false" customHeight="false" outlineLevel="0" collapsed="false">
      <c r="A948" s="102"/>
      <c r="B948" s="104"/>
      <c r="C948" s="104"/>
    </row>
    <row r="949" customFormat="false" ht="15" hidden="false" customHeight="false" outlineLevel="0" collapsed="false">
      <c r="A949" s="102"/>
      <c r="B949" s="104"/>
      <c r="C949" s="104"/>
    </row>
    <row r="950" customFormat="false" ht="15" hidden="false" customHeight="false" outlineLevel="0" collapsed="false">
      <c r="A950" s="102"/>
      <c r="B950" s="104"/>
      <c r="C950" s="104"/>
    </row>
    <row r="951" customFormat="false" ht="15" hidden="false" customHeight="false" outlineLevel="0" collapsed="false">
      <c r="A951" s="102"/>
      <c r="B951" s="104"/>
      <c r="C951" s="104"/>
    </row>
    <row r="952" customFormat="false" ht="15" hidden="false" customHeight="false" outlineLevel="0" collapsed="false">
      <c r="A952" s="102"/>
      <c r="B952" s="104"/>
      <c r="C952" s="104"/>
    </row>
    <row r="953" customFormat="false" ht="15" hidden="false" customHeight="false" outlineLevel="0" collapsed="false">
      <c r="A953" s="102"/>
      <c r="B953" s="104"/>
      <c r="C953" s="104"/>
    </row>
    <row r="954" customFormat="false" ht="15" hidden="false" customHeight="false" outlineLevel="0" collapsed="false">
      <c r="A954" s="102"/>
      <c r="B954" s="104"/>
      <c r="C954" s="104"/>
    </row>
    <row r="955" customFormat="false" ht="15" hidden="false" customHeight="false" outlineLevel="0" collapsed="false">
      <c r="A955" s="102"/>
      <c r="B955" s="104"/>
      <c r="C955" s="104"/>
    </row>
    <row r="956" customFormat="false" ht="15" hidden="false" customHeight="false" outlineLevel="0" collapsed="false">
      <c r="A956" s="102"/>
      <c r="B956" s="104"/>
      <c r="C956" s="104"/>
    </row>
    <row r="957" customFormat="false" ht="15" hidden="false" customHeight="false" outlineLevel="0" collapsed="false">
      <c r="A957" s="102"/>
      <c r="B957" s="104"/>
      <c r="C957" s="104"/>
    </row>
    <row r="958" customFormat="false" ht="15" hidden="false" customHeight="false" outlineLevel="0" collapsed="false">
      <c r="A958" s="102"/>
      <c r="B958" s="104"/>
      <c r="C958" s="104"/>
    </row>
    <row r="959" customFormat="false" ht="15" hidden="false" customHeight="false" outlineLevel="0" collapsed="false">
      <c r="A959" s="102"/>
      <c r="B959" s="104"/>
      <c r="C959" s="104"/>
    </row>
    <row r="960" customFormat="false" ht="15" hidden="false" customHeight="false" outlineLevel="0" collapsed="false">
      <c r="A960" s="102"/>
      <c r="B960" s="104"/>
      <c r="C960" s="104"/>
    </row>
    <row r="961" customFormat="false" ht="15" hidden="false" customHeight="false" outlineLevel="0" collapsed="false">
      <c r="A961" s="102"/>
      <c r="B961" s="104"/>
      <c r="C961" s="104"/>
    </row>
    <row r="962" customFormat="false" ht="15" hidden="false" customHeight="false" outlineLevel="0" collapsed="false">
      <c r="A962" s="102"/>
      <c r="B962" s="104"/>
      <c r="C962" s="104"/>
    </row>
    <row r="963" customFormat="false" ht="15" hidden="false" customHeight="false" outlineLevel="0" collapsed="false">
      <c r="A963" s="102"/>
      <c r="B963" s="104"/>
      <c r="C963" s="104"/>
    </row>
    <row r="964" customFormat="false" ht="15" hidden="false" customHeight="false" outlineLevel="0" collapsed="false">
      <c r="A964" s="102"/>
      <c r="B964" s="104"/>
      <c r="C964" s="104"/>
    </row>
    <row r="965" customFormat="false" ht="15" hidden="false" customHeight="false" outlineLevel="0" collapsed="false">
      <c r="A965" s="102"/>
      <c r="B965" s="104"/>
      <c r="C965" s="104"/>
    </row>
    <row r="966" customFormat="false" ht="15" hidden="false" customHeight="false" outlineLevel="0" collapsed="false">
      <c r="A966" s="102"/>
      <c r="B966" s="104"/>
      <c r="C966" s="104"/>
    </row>
    <row r="967" customFormat="false" ht="15" hidden="false" customHeight="false" outlineLevel="0" collapsed="false">
      <c r="A967" s="102"/>
      <c r="B967" s="104"/>
      <c r="C967" s="104"/>
    </row>
    <row r="968" customFormat="false" ht="15" hidden="false" customHeight="false" outlineLevel="0" collapsed="false">
      <c r="A968" s="102"/>
      <c r="B968" s="104"/>
      <c r="C968" s="104"/>
    </row>
    <row r="969" customFormat="false" ht="15" hidden="false" customHeight="false" outlineLevel="0" collapsed="false">
      <c r="A969" s="102"/>
      <c r="B969" s="104"/>
      <c r="C969" s="104"/>
    </row>
    <row r="970" customFormat="false" ht="15" hidden="false" customHeight="false" outlineLevel="0" collapsed="false">
      <c r="A970" s="102"/>
      <c r="B970" s="104"/>
      <c r="C970" s="104"/>
    </row>
    <row r="971" customFormat="false" ht="15" hidden="false" customHeight="false" outlineLevel="0" collapsed="false">
      <c r="A971" s="102"/>
      <c r="B971" s="104"/>
      <c r="C971" s="104"/>
    </row>
    <row r="972" customFormat="false" ht="15" hidden="false" customHeight="false" outlineLevel="0" collapsed="false">
      <c r="A972" s="102"/>
      <c r="B972" s="104"/>
      <c r="C972" s="104"/>
    </row>
    <row r="973" customFormat="false" ht="15" hidden="false" customHeight="false" outlineLevel="0" collapsed="false">
      <c r="A973" s="102"/>
      <c r="B973" s="104"/>
      <c r="C973" s="104"/>
    </row>
    <row r="974" customFormat="false" ht="15" hidden="false" customHeight="false" outlineLevel="0" collapsed="false">
      <c r="A974" s="102"/>
      <c r="B974" s="104"/>
      <c r="C974" s="104"/>
    </row>
    <row r="975" customFormat="false" ht="15" hidden="false" customHeight="false" outlineLevel="0" collapsed="false">
      <c r="A975" s="102"/>
      <c r="B975" s="104"/>
      <c r="C975" s="104"/>
    </row>
    <row r="976" customFormat="false" ht="15" hidden="false" customHeight="false" outlineLevel="0" collapsed="false">
      <c r="A976" s="102"/>
      <c r="B976" s="104"/>
      <c r="C976" s="104"/>
    </row>
    <row r="977" customFormat="false" ht="15" hidden="false" customHeight="false" outlineLevel="0" collapsed="false">
      <c r="A977" s="102"/>
      <c r="B977" s="104"/>
      <c r="C977" s="104"/>
    </row>
    <row r="978" customFormat="false" ht="15" hidden="false" customHeight="false" outlineLevel="0" collapsed="false">
      <c r="A978" s="102"/>
      <c r="B978" s="104"/>
      <c r="C978" s="104"/>
    </row>
    <row r="979" customFormat="false" ht="15" hidden="false" customHeight="false" outlineLevel="0" collapsed="false">
      <c r="A979" s="102"/>
      <c r="B979" s="104"/>
      <c r="C979" s="104"/>
    </row>
    <row r="980" customFormat="false" ht="15" hidden="false" customHeight="false" outlineLevel="0" collapsed="false">
      <c r="A980" s="102"/>
      <c r="B980" s="104"/>
      <c r="C980" s="104"/>
    </row>
    <row r="981" customFormat="false" ht="15" hidden="false" customHeight="false" outlineLevel="0" collapsed="false">
      <c r="A981" s="102"/>
      <c r="B981" s="104"/>
      <c r="C981" s="104"/>
    </row>
    <row r="982" customFormat="false" ht="15" hidden="false" customHeight="false" outlineLevel="0" collapsed="false">
      <c r="A982" s="102"/>
      <c r="B982" s="104"/>
      <c r="C982" s="104"/>
    </row>
    <row r="983" customFormat="false" ht="15" hidden="false" customHeight="false" outlineLevel="0" collapsed="false">
      <c r="A983" s="102"/>
      <c r="B983" s="104"/>
      <c r="C983" s="104"/>
    </row>
    <row r="984" customFormat="false" ht="15" hidden="false" customHeight="false" outlineLevel="0" collapsed="false">
      <c r="A984" s="102"/>
      <c r="B984" s="104"/>
      <c r="C984" s="104"/>
    </row>
    <row r="985" customFormat="false" ht="15" hidden="false" customHeight="false" outlineLevel="0" collapsed="false">
      <c r="A985" s="102"/>
      <c r="B985" s="104"/>
      <c r="C985" s="104"/>
    </row>
    <row r="986" customFormat="false" ht="15" hidden="false" customHeight="false" outlineLevel="0" collapsed="false">
      <c r="A986" s="102"/>
      <c r="B986" s="104"/>
      <c r="C986" s="104"/>
    </row>
    <row r="987" customFormat="false" ht="15" hidden="false" customHeight="false" outlineLevel="0" collapsed="false">
      <c r="A987" s="102"/>
      <c r="B987" s="104"/>
      <c r="C987" s="104"/>
    </row>
    <row r="988" customFormat="false" ht="15" hidden="false" customHeight="false" outlineLevel="0" collapsed="false">
      <c r="A988" s="102"/>
      <c r="B988" s="104"/>
      <c r="C988" s="104"/>
    </row>
    <row r="989" customFormat="false" ht="15" hidden="false" customHeight="false" outlineLevel="0" collapsed="false">
      <c r="A989" s="102"/>
      <c r="B989" s="104"/>
      <c r="C989" s="104"/>
    </row>
    <row r="990" customFormat="false" ht="15" hidden="false" customHeight="false" outlineLevel="0" collapsed="false">
      <c r="A990" s="102"/>
      <c r="B990" s="104"/>
      <c r="C990" s="104"/>
    </row>
    <row r="991" customFormat="false" ht="15" hidden="false" customHeight="false" outlineLevel="0" collapsed="false">
      <c r="A991" s="102"/>
      <c r="B991" s="104"/>
      <c r="C991" s="104"/>
    </row>
    <row r="992" customFormat="false" ht="15" hidden="false" customHeight="false" outlineLevel="0" collapsed="false">
      <c r="A992" s="102"/>
      <c r="B992" s="104"/>
      <c r="C992" s="104"/>
    </row>
    <row r="993" customFormat="false" ht="15" hidden="false" customHeight="false" outlineLevel="0" collapsed="false">
      <c r="A993" s="102"/>
      <c r="B993" s="104"/>
      <c r="C993" s="104"/>
    </row>
    <row r="994" customFormat="false" ht="15" hidden="false" customHeight="false" outlineLevel="0" collapsed="false">
      <c r="A994" s="102"/>
      <c r="B994" s="104"/>
      <c r="C994" s="104"/>
    </row>
    <row r="995" customFormat="false" ht="15" hidden="false" customHeight="false" outlineLevel="0" collapsed="false">
      <c r="A995" s="102"/>
      <c r="B995" s="104"/>
      <c r="C995" s="104"/>
    </row>
    <row r="996" customFormat="false" ht="15" hidden="false" customHeight="false" outlineLevel="0" collapsed="false">
      <c r="A996" s="102"/>
      <c r="B996" s="104"/>
      <c r="C996" s="104"/>
    </row>
    <row r="997" customFormat="false" ht="15" hidden="false" customHeight="false" outlineLevel="0" collapsed="false">
      <c r="A997" s="102"/>
      <c r="B997" s="104"/>
      <c r="C997" s="104"/>
    </row>
    <row r="998" customFormat="false" ht="15" hidden="false" customHeight="false" outlineLevel="0" collapsed="false">
      <c r="A998" s="102"/>
      <c r="B998" s="104"/>
      <c r="C998" s="104"/>
    </row>
    <row r="999" customFormat="false" ht="15" hidden="false" customHeight="false" outlineLevel="0" collapsed="false">
      <c r="A999" s="102"/>
      <c r="B999" s="104"/>
      <c r="C999" s="104"/>
    </row>
    <row r="1000" customFormat="false" ht="15" hidden="false" customHeight="false" outlineLevel="0" collapsed="false">
      <c r="A1000" s="102"/>
      <c r="B1000" s="104"/>
      <c r="C1000" s="104"/>
    </row>
    <row r="1001" customFormat="false" ht="15" hidden="false" customHeight="false" outlineLevel="0" collapsed="false">
      <c r="A1001" s="102"/>
      <c r="B1001" s="104"/>
      <c r="C1001" s="104"/>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723</v>
      </c>
    </row>
    <row r="2" customFormat="false" ht="15" hidden="false" customHeight="false" outlineLevel="0" collapsed="false">
      <c r="A2" s="104" t="s">
        <v>724</v>
      </c>
      <c r="B2" s="106" t="s">
        <v>32</v>
      </c>
    </row>
    <row r="3" customFormat="false" ht="15" hidden="false" customHeight="false" outlineLevel="0" collapsed="false">
      <c r="A3" s="104" t="s">
        <v>725</v>
      </c>
      <c r="B3" s="102" t="n">
        <f aca="false">'إعدادات المخزون'!$B$4</f>
        <v>46307</v>
      </c>
    </row>
    <row r="4" customFormat="false" ht="15" hidden="false" customHeight="false" outlineLevel="0" collapsed="false">
      <c r="A4" s="17" t="s">
        <v>726</v>
      </c>
    </row>
    <row r="6" customFormat="false" ht="51.75" hidden="false" customHeight="true" outlineLevel="0" collapsed="false">
      <c r="A6" s="18" t="s">
        <v>59</v>
      </c>
      <c r="B6" s="18" t="s">
        <v>663</v>
      </c>
      <c r="C6" s="18" t="s">
        <v>696</v>
      </c>
      <c r="D6" s="18" t="s">
        <v>727</v>
      </c>
      <c r="E6" s="18" t="s">
        <v>728</v>
      </c>
      <c r="F6" s="18" t="s">
        <v>729</v>
      </c>
      <c r="G6" s="18" t="s">
        <v>730</v>
      </c>
      <c r="H6" s="18" t="s">
        <v>731</v>
      </c>
      <c r="I6" s="18" t="s">
        <v>732</v>
      </c>
      <c r="J6" s="18" t="s">
        <v>733</v>
      </c>
      <c r="K6" s="18" t="s">
        <v>734</v>
      </c>
      <c r="L6" s="18" t="s">
        <v>735</v>
      </c>
      <c r="M6" s="18" t="s">
        <v>60</v>
      </c>
      <c r="N6" s="18" t="s">
        <v>736</v>
      </c>
      <c r="O6" s="18" t="s">
        <v>737</v>
      </c>
      <c r="P6" s="18" t="s">
        <v>738</v>
      </c>
      <c r="Q6" s="18" t="s">
        <v>739</v>
      </c>
      <c r="R6" s="18" t="s">
        <v>740</v>
      </c>
      <c r="S6" s="18" t="s">
        <v>741</v>
      </c>
      <c r="T6" s="18" t="s">
        <v>742</v>
      </c>
      <c r="U6" s="18" t="s">
        <v>743</v>
      </c>
      <c r="V6" s="18" t="s">
        <v>744</v>
      </c>
      <c r="W6" s="18" t="s">
        <v>745</v>
      </c>
      <c r="X6" s="18" t="s">
        <v>746</v>
      </c>
      <c r="Y6" s="18" t="s">
        <v>747</v>
      </c>
      <c r="Z6" s="18" t="s">
        <v>748</v>
      </c>
      <c r="AA6" s="18" t="s">
        <v>749</v>
      </c>
      <c r="AB6" s="18" t="s">
        <v>750</v>
      </c>
      <c r="AC6" s="18" t="s">
        <v>751</v>
      </c>
    </row>
    <row r="7" customFormat="false" ht="15" hidden="false" customHeight="false" outlineLevel="0" collapsed="false">
      <c r="A7" s="34" t="str">
        <f aca="false">'مواد المخزون'!A2</f>
        <v>اطباق سيلفر مكرونة</v>
      </c>
      <c r="B7" s="36" t="str">
        <f aca="false">'مواد المخزون'!B2</f>
        <v>قطعة</v>
      </c>
      <c r="C7" s="107" t="n">
        <f aca="false">'مواد المخزون'!E2</f>
        <v>3.3</v>
      </c>
      <c r="D7" s="108" t="n">
        <f aca="false">'جرد أول المدة'!C5</f>
        <v>165</v>
      </c>
      <c r="E7" s="108" t="n">
        <f aca="false">SUMIFS('مشتريات يومية'!$D$2:$D$4001,'مشتريات يومية'!$B$2:$B$4001,$B$2,'مشتريات يومية'!$C$2:$C$4001,$A7,'مشتريات يومية'!$A$2:$A$4001,"&gt;="&amp;'إعدادات المخزون'!$B$5,'مشتريات يومية'!$A$2:$A$4001,"&lt;="&amp;'إعدادات المخزون'!$B$4)</f>
        <v>100</v>
      </c>
      <c r="F7" s="108"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8"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8" t="n">
        <f aca="false">SUMPRODUCT('مصفوفة الاستهلاك'!$B$2:$B$172,'متجهات المبيعات'!$C$2:$C$172)/'مواد المخزون'!$D$2</f>
        <v>0</v>
      </c>
      <c r="I7" s="108"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8" t="n">
        <f aca="false">D7+E7+F7-G7-H7-I7</f>
        <v>265</v>
      </c>
      <c r="K7" s="36" t="str">
        <f aca="false">IF(COUNTIFS('جرد فعلي'!$B$2:$B$12001,$B$2,'جرد فعلي'!$C$2:$C$12001,$A7,'جرد فعلي'!$A$2:$A$12001,'إعدادات المخزون'!$B$4)&gt;0,"نعم","لا")</f>
        <v>لا</v>
      </c>
      <c r="L7" s="109" t="str">
        <f aca="false">IF(K7="نعم",SUMIFS('جرد فعلي'!$D$2:$D$12001,'جرد فعلي'!$B$2:$B$12001,$B$2,'جرد فعلي'!$C$2:$C$12001,$A7,'جرد فعلي'!$A$2:$A$12001,'إعدادات المخزون'!$B$4),"")</f>
        <v/>
      </c>
      <c r="M7" s="108" t="str">
        <f aca="false">IF(K7="نعم",L7-J7,"")</f>
        <v/>
      </c>
      <c r="N7" s="110" t="str">
        <f aca="false">IF(K7="نعم",IF(J7=0,IF(M7=0,0,SIGN(M7)),M7/ABS(J7)),"")</f>
        <v/>
      </c>
      <c r="O7" s="107" t="str">
        <f aca="false">IF(K7="نعم",M7*C7,"")</f>
        <v/>
      </c>
      <c r="P7" s="36" t="str">
        <f aca="false">IF(K7&lt;&gt;"نعم","لم يُجرد",IF(ABS(N7)&lt;='إعدادات المخزون'!$B$7,"مطابق",IF(M7&lt;0,"عجز","زيادة")))</f>
        <v>لم يُجرد</v>
      </c>
      <c r="Q7" s="108" t="n">
        <f aca="false">J7-Z7</f>
        <v>265</v>
      </c>
      <c r="R7" s="108"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8" t="str">
        <f aca="false">IF(AND(K7="نعم",R7&lt;&gt;""),(L7-J7)-(R7-Q7),"")</f>
        <v/>
      </c>
      <c r="T7" s="107" t="str">
        <f aca="false">IF(S7="","",S7*C7)</f>
        <v/>
      </c>
      <c r="U7" s="108" t="n">
        <f aca="false">IF(K7="نعم",L7,J7)</f>
        <v>265</v>
      </c>
      <c r="V7" s="108" t="n">
        <f aca="false">SUMPRODUCT('مصفوفة الاستهلاك'!$B$2:$B$172,'متجهات المبيعات'!$D$2:$D$172)/'مواد المخزون'!$D$2/MAX(1,MIN('إعدادات المخزون'!$B$11,'إعدادات المخزون'!$B$4-'إعدادات المخزون'!$B$5+1))</f>
        <v>0</v>
      </c>
      <c r="W7" s="108" t="n">
        <f aca="false">IF(V7&lt;=0,0,ROUNDUP(MAX(0,V7*('إعدادات المخزون'!$B$8+'إعدادات المخزون'!$B$9+'إعدادات المخزون'!$B$10)-MAX(U7,0))/'مواد المخزون'!$F2,0)*'مواد المخزون'!$F2)</f>
        <v>0</v>
      </c>
      <c r="X7" s="107" t="n">
        <f aca="false">IF(AND(K7="نعم",O7&lt;0),-O7+ROW()*0.000000001,0)</f>
        <v>0</v>
      </c>
      <c r="Y7" s="107" t="n">
        <f aca="false">IF(AND(K7="نعم",O7&gt;0),O7+ROW()*0.000000001,0)</f>
        <v>0</v>
      </c>
      <c r="Z7" s="108"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المبيعات'!$B$2:$B$172)/'مواد المخزون'!$D$2</f>
        <v>0</v>
      </c>
      <c r="AA7" s="107" t="n">
        <f aca="false">IF(K7="نعم",O7,0)</f>
        <v>0</v>
      </c>
      <c r="AB7" s="107" t="n">
        <f aca="false">IF(K7="نعم",J7*C7,0)</f>
        <v>0</v>
      </c>
      <c r="AC7" s="107" t="n">
        <f aca="false">IF(T7="",0,T7)</f>
        <v>0</v>
      </c>
    </row>
    <row r="8" customFormat="false" ht="15" hidden="false" customHeight="false" outlineLevel="0" collapsed="false">
      <c r="A8" s="34" t="str">
        <f aca="false">'مواد المخزون'!A3</f>
        <v>اطباق فوم كيلو</v>
      </c>
      <c r="B8" s="36" t="str">
        <f aca="false">'مواد المخزون'!B3</f>
        <v>قطعة</v>
      </c>
      <c r="C8" s="107" t="n">
        <f aca="false">'مواد المخزون'!E3</f>
        <v>0.8</v>
      </c>
      <c r="D8" s="108" t="n">
        <f aca="false">'جرد أول المدة'!C6</f>
        <v>299</v>
      </c>
      <c r="E8" s="108" t="n">
        <f aca="false">SUMIFS('مشتريات يومية'!$D$2:$D$4001,'مشتريات يومية'!$B$2:$B$4001,$B$2,'مشتريات يومية'!$C$2:$C$4001,$A8,'مشتريات يومية'!$A$2:$A$4001,"&gt;="&amp;'إعدادات المخزون'!$B$5,'مشتريات يومية'!$A$2:$A$4001,"&lt;="&amp;'إعدادات المخزون'!$B$4)</f>
        <v>600</v>
      </c>
      <c r="F8" s="108"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8"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8" t="n">
        <f aca="false">SUMPRODUCT('مصفوفة الاستهلاك'!$C$2:$C$172,'متجهات المبيعات'!$C$2:$C$172)/'مواد المخزون'!$D$3</f>
        <v>0</v>
      </c>
      <c r="I8" s="108"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8" t="n">
        <f aca="false">D8+E8+F8-G8-H8-I8</f>
        <v>899</v>
      </c>
      <c r="K8" s="36" t="str">
        <f aca="false">IF(COUNTIFS('جرد فعلي'!$B$2:$B$12001,$B$2,'جرد فعلي'!$C$2:$C$12001,$A8,'جرد فعلي'!$A$2:$A$12001,'إعدادات المخزون'!$B$4)&gt;0,"نعم","لا")</f>
        <v>لا</v>
      </c>
      <c r="L8" s="109" t="str">
        <f aca="false">IF(K8="نعم",SUMIFS('جرد فعلي'!$D$2:$D$12001,'جرد فعلي'!$B$2:$B$12001,$B$2,'جرد فعلي'!$C$2:$C$12001,$A8,'جرد فعلي'!$A$2:$A$12001,'إعدادات المخزون'!$B$4),"")</f>
        <v/>
      </c>
      <c r="M8" s="108" t="str">
        <f aca="false">IF(K8="نعم",L8-J8,"")</f>
        <v/>
      </c>
      <c r="N8" s="110" t="str">
        <f aca="false">IF(K8="نعم",IF(J8=0,IF(M8=0,0,SIGN(M8)),M8/ABS(J8)),"")</f>
        <v/>
      </c>
      <c r="O8" s="107" t="str">
        <f aca="false">IF(K8="نعم",M8*C8,"")</f>
        <v/>
      </c>
      <c r="P8" s="36" t="str">
        <f aca="false">IF(K8&lt;&gt;"نعم","لم يُجرد",IF(ABS(N8)&lt;='إعدادات المخزون'!$B$7,"مطابق",IF(M8&lt;0,"عجز","زيادة")))</f>
        <v>لم يُجرد</v>
      </c>
      <c r="Q8" s="108" t="n">
        <f aca="false">J8-Z8</f>
        <v>899</v>
      </c>
      <c r="R8" s="108"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8" t="str">
        <f aca="false">IF(AND(K8="نعم",R8&lt;&gt;""),(L8-J8)-(R8-Q8),"")</f>
        <v/>
      </c>
      <c r="T8" s="107" t="str">
        <f aca="false">IF(S8="","",S8*C8)</f>
        <v/>
      </c>
      <c r="U8" s="108" t="n">
        <f aca="false">IF(K8="نعم",L8,J8)</f>
        <v>899</v>
      </c>
      <c r="V8" s="108" t="n">
        <f aca="false">SUMPRODUCT('مصفوفة الاستهلاك'!$C$2:$C$172,'متجهات المبيعات'!$D$2:$D$172)/'مواد المخزون'!$D$3/MAX(1,MIN('إعدادات المخزون'!$B$11,'إعدادات المخزون'!$B$4-'إعدادات المخزون'!$B$5+1))</f>
        <v>0</v>
      </c>
      <c r="W8" s="108" t="n">
        <f aca="false">IF(V8&lt;=0,0,ROUNDUP(MAX(0,V8*('إعدادات المخزون'!$B$8+'إعدادات المخزون'!$B$9+'إعدادات المخزون'!$B$10)-MAX(U8,0))/'مواد المخزون'!$F3,0)*'مواد المخزون'!$F3)</f>
        <v>0</v>
      </c>
      <c r="X8" s="107" t="n">
        <f aca="false">IF(AND(K8="نعم",O8&lt;0),-O8+ROW()*0.000000001,0)</f>
        <v>0</v>
      </c>
      <c r="Y8" s="107" t="n">
        <f aca="false">IF(AND(K8="نعم",O8&gt;0),O8+ROW()*0.000000001,0)</f>
        <v>0</v>
      </c>
      <c r="Z8" s="108"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المبيعات'!$B$2:$B$172)/'مواد المخزون'!$D$3</f>
        <v>0</v>
      </c>
      <c r="AA8" s="107" t="n">
        <f aca="false">IF(K8="نعم",O8,0)</f>
        <v>0</v>
      </c>
      <c r="AB8" s="107" t="n">
        <f aca="false">IF(K8="نعم",J8*C8,0)</f>
        <v>0</v>
      </c>
      <c r="AC8" s="107"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7" t="n">
        <f aca="false">'مواد المخزون'!E4</f>
        <v>70</v>
      </c>
      <c r="D9" s="108" t="n">
        <f aca="false">'جرد أول المدة'!C7</f>
        <v>17</v>
      </c>
      <c r="E9" s="108" t="n">
        <f aca="false">SUMIFS('مشتريات يومية'!$D$2:$D$4001,'مشتريات يومية'!$B$2:$B$4001,$B$2,'مشتريات يومية'!$C$2:$C$4001,$A9,'مشتريات يومية'!$A$2:$A$4001,"&gt;="&amp;'إعدادات المخزون'!$B$5,'مشتريات يومية'!$A$2:$A$4001,"&lt;="&amp;'إعدادات المخزون'!$B$4)</f>
        <v>25</v>
      </c>
      <c r="F9" s="108"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8"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8" t="n">
        <f aca="false">SUMPRODUCT('مصفوفة الاستهلاك'!$D$2:$D$172,'متجهات المبيعات'!$C$2:$C$172)/'مواد المخزون'!$D$4</f>
        <v>0</v>
      </c>
      <c r="I9" s="108"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8" t="n">
        <f aca="false">D9+E9+F9-G9-H9-I9</f>
        <v>42</v>
      </c>
      <c r="K9" s="36" t="str">
        <f aca="false">IF(COUNTIFS('جرد فعلي'!$B$2:$B$12001,$B$2,'جرد فعلي'!$C$2:$C$12001,$A9,'جرد فعلي'!$A$2:$A$12001,'إعدادات المخزون'!$B$4)&gt;0,"نعم","لا")</f>
        <v>لا</v>
      </c>
      <c r="L9" s="109" t="str">
        <f aca="false">IF(K9="نعم",SUMIFS('جرد فعلي'!$D$2:$D$12001,'جرد فعلي'!$B$2:$B$12001,$B$2,'جرد فعلي'!$C$2:$C$12001,$A9,'جرد فعلي'!$A$2:$A$12001,'إعدادات المخزون'!$B$4),"")</f>
        <v/>
      </c>
      <c r="M9" s="108" t="str">
        <f aca="false">IF(K9="نعم",L9-J9,"")</f>
        <v/>
      </c>
      <c r="N9" s="110" t="str">
        <f aca="false">IF(K9="نعم",IF(J9=0,IF(M9=0,0,SIGN(M9)),M9/ABS(J9)),"")</f>
        <v/>
      </c>
      <c r="O9" s="107" t="str">
        <f aca="false">IF(K9="نعم",M9*C9,"")</f>
        <v/>
      </c>
      <c r="P9" s="36" t="str">
        <f aca="false">IF(K9&lt;&gt;"نعم","لم يُجرد",IF(ABS(N9)&lt;='إعدادات المخزون'!$B$7,"مطابق",IF(M9&lt;0,"عجز","زيادة")))</f>
        <v>لم يُجرد</v>
      </c>
      <c r="Q9" s="108" t="n">
        <f aca="false">J9-Z9</f>
        <v>42</v>
      </c>
      <c r="R9" s="108"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8" t="str">
        <f aca="false">IF(AND(K9="نعم",R9&lt;&gt;""),(L9-J9)-(R9-Q9),"")</f>
        <v/>
      </c>
      <c r="T9" s="107" t="str">
        <f aca="false">IF(S9="","",S9*C9)</f>
        <v/>
      </c>
      <c r="U9" s="108" t="n">
        <f aca="false">IF(K9="نعم",L9,J9)</f>
        <v>42</v>
      </c>
      <c r="V9" s="108" t="n">
        <f aca="false">SUMPRODUCT('مصفوفة الاستهلاك'!$D$2:$D$172,'متجهات المبيعات'!$D$2:$D$172)/'مواد المخزون'!$D$4/MAX(1,MIN('إعدادات المخزون'!$B$11,'إعدادات المخزون'!$B$4-'إعدادات المخزون'!$B$5+1))</f>
        <v>0</v>
      </c>
      <c r="W9" s="108" t="n">
        <f aca="false">IF(V9&lt;=0,0,ROUNDUP(MAX(0,V9*('إعدادات المخزون'!$B$8+'إعدادات المخزون'!$B$9+'إعدادات المخزون'!$B$10)-MAX(U9,0))/'مواد المخزون'!$F4,0)*'مواد المخزون'!$F4)</f>
        <v>0</v>
      </c>
      <c r="X9" s="107" t="n">
        <f aca="false">IF(AND(K9="نعم",O9&lt;0),-O9+ROW()*0.000000001,0)</f>
        <v>0</v>
      </c>
      <c r="Y9" s="107" t="n">
        <f aca="false">IF(AND(K9="نعم",O9&gt;0),O9+ROW()*0.000000001,0)</f>
        <v>0</v>
      </c>
      <c r="Z9" s="108"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المبيعات'!$B$2:$B$172)/'مواد المخزون'!$D$4</f>
        <v>0</v>
      </c>
      <c r="AA9" s="107" t="n">
        <f aca="false">IF(K9="نعم",O9,0)</f>
        <v>0</v>
      </c>
      <c r="AB9" s="107" t="n">
        <f aca="false">IF(K9="نعم",J9*C9,0)</f>
        <v>0</v>
      </c>
      <c r="AC9" s="107"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7" t="n">
        <f aca="false">'مواد المخزون'!E5</f>
        <v>70</v>
      </c>
      <c r="D10" s="108" t="n">
        <f aca="false">'جرد أول المدة'!C8</f>
        <v>10</v>
      </c>
      <c r="E10" s="108" t="n">
        <f aca="false">SUMIFS('مشتريات يومية'!$D$2:$D$4001,'مشتريات يومية'!$B$2:$B$4001,$B$2,'مشتريات يومية'!$C$2:$C$4001,$A10,'مشتريات يومية'!$A$2:$A$4001,"&gt;="&amp;'إعدادات المخزون'!$B$5,'مشتريات يومية'!$A$2:$A$4001,"&lt;="&amp;'إعدادات المخزون'!$B$4)</f>
        <v>32</v>
      </c>
      <c r="F10" s="108"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8"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8" t="n">
        <f aca="false">SUMPRODUCT('مصفوفة الاستهلاك'!$E$2:$E$172,'متجهات المبيعات'!$C$2:$C$172)/'مواد المخزون'!$D$5</f>
        <v>0</v>
      </c>
      <c r="I10" s="108"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8" t="n">
        <f aca="false">D10+E10+F10-G10-H10-I10</f>
        <v>42</v>
      </c>
      <c r="K10" s="36" t="str">
        <f aca="false">IF(COUNTIFS('جرد فعلي'!$B$2:$B$12001,$B$2,'جرد فعلي'!$C$2:$C$12001,$A10,'جرد فعلي'!$A$2:$A$12001,'إعدادات المخزون'!$B$4)&gt;0,"نعم","لا")</f>
        <v>لا</v>
      </c>
      <c r="L10" s="109" t="str">
        <f aca="false">IF(K10="نعم",SUMIFS('جرد فعلي'!$D$2:$D$12001,'جرد فعلي'!$B$2:$B$12001,$B$2,'جرد فعلي'!$C$2:$C$12001,$A10,'جرد فعلي'!$A$2:$A$12001,'إعدادات المخزون'!$B$4),"")</f>
        <v/>
      </c>
      <c r="M10" s="108" t="str">
        <f aca="false">IF(K10="نعم",L10-J10,"")</f>
        <v/>
      </c>
      <c r="N10" s="110" t="str">
        <f aca="false">IF(K10="نعم",IF(J10=0,IF(M10=0,0,SIGN(M10)),M10/ABS(J10)),"")</f>
        <v/>
      </c>
      <c r="O10" s="107" t="str">
        <f aca="false">IF(K10="نعم",M10*C10,"")</f>
        <v/>
      </c>
      <c r="P10" s="36" t="str">
        <f aca="false">IF(K10&lt;&gt;"نعم","لم يُجرد",IF(ABS(N10)&lt;='إعدادات المخزون'!$B$7,"مطابق",IF(M10&lt;0,"عجز","زيادة")))</f>
        <v>لم يُجرد</v>
      </c>
      <c r="Q10" s="108" t="n">
        <f aca="false">J10-Z10</f>
        <v>42</v>
      </c>
      <c r="R10" s="108"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8" t="str">
        <f aca="false">IF(AND(K10="نعم",R10&lt;&gt;""),(L10-J10)-(R10-Q10),"")</f>
        <v/>
      </c>
      <c r="T10" s="107" t="str">
        <f aca="false">IF(S10="","",S10*C10)</f>
        <v/>
      </c>
      <c r="U10" s="108" t="n">
        <f aca="false">IF(K10="نعم",L10,J10)</f>
        <v>42</v>
      </c>
      <c r="V10" s="108" t="n">
        <f aca="false">SUMPRODUCT('مصفوفة الاستهلاك'!$E$2:$E$172,'متجهات المبيعات'!$D$2:$D$172)/'مواد المخزون'!$D$5/MAX(1,MIN('إعدادات المخزون'!$B$11,'إعدادات المخزون'!$B$4-'إعدادات المخزون'!$B$5+1))</f>
        <v>0</v>
      </c>
      <c r="W10" s="108" t="n">
        <f aca="false">IF(V10&lt;=0,0,ROUNDUP(MAX(0,V10*('إعدادات المخزون'!$B$8+'إعدادات المخزون'!$B$9+'إعدادات المخزون'!$B$10)-MAX(U10,0))/'مواد المخزون'!$F5,0)*'مواد المخزون'!$F5)</f>
        <v>0</v>
      </c>
      <c r="X10" s="107" t="n">
        <f aca="false">IF(AND(K10="نعم",O10&lt;0),-O10+ROW()*0.000000001,0)</f>
        <v>0</v>
      </c>
      <c r="Y10" s="107" t="n">
        <f aca="false">IF(AND(K10="نعم",O10&gt;0),O10+ROW()*0.000000001,0)</f>
        <v>0</v>
      </c>
      <c r="Z10" s="108"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المبيعات'!$B$2:$B$172)/'مواد المخزون'!$D$5</f>
        <v>0</v>
      </c>
      <c r="AA10" s="107" t="n">
        <f aca="false">IF(K10="نعم",O10,0)</f>
        <v>0</v>
      </c>
      <c r="AB10" s="107" t="n">
        <f aca="false">IF(K10="نعم",J10*C10,0)</f>
        <v>0</v>
      </c>
      <c r="AC10" s="107"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7" t="n">
        <f aca="false">'مواد المخزون'!E6</f>
        <v>18</v>
      </c>
      <c r="D11" s="108" t="n">
        <f aca="false">'جرد أول المدة'!C9</f>
        <v>41</v>
      </c>
      <c r="E11" s="108" t="n">
        <f aca="false">SUMIFS('مشتريات يومية'!$D$2:$D$4001,'مشتريات يومية'!$B$2:$B$4001,$B$2,'مشتريات يومية'!$C$2:$C$4001,$A11,'مشتريات يومية'!$A$2:$A$4001,"&gt;="&amp;'إعدادات المخزون'!$B$5,'مشتريات يومية'!$A$2:$A$4001,"&lt;="&amp;'إعدادات المخزون'!$B$4)</f>
        <v>165</v>
      </c>
      <c r="F11" s="108"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8"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8" t="n">
        <f aca="false">SUMPRODUCT('مصفوفة الاستهلاك'!$F$2:$F$172,'متجهات المبيعات'!$C$2:$C$172)/'مواد المخزون'!$D$6</f>
        <v>0</v>
      </c>
      <c r="I11" s="108"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8" t="n">
        <f aca="false">D11+E11+F11-G11-H11-I11</f>
        <v>206</v>
      </c>
      <c r="K11" s="36" t="str">
        <f aca="false">IF(COUNTIFS('جرد فعلي'!$B$2:$B$12001,$B$2,'جرد فعلي'!$C$2:$C$12001,$A11,'جرد فعلي'!$A$2:$A$12001,'إعدادات المخزون'!$B$4)&gt;0,"نعم","لا")</f>
        <v>لا</v>
      </c>
      <c r="L11" s="109" t="str">
        <f aca="false">IF(K11="نعم",SUMIFS('جرد فعلي'!$D$2:$D$12001,'جرد فعلي'!$B$2:$B$12001,$B$2,'جرد فعلي'!$C$2:$C$12001,$A11,'جرد فعلي'!$A$2:$A$12001,'إعدادات المخزون'!$B$4),"")</f>
        <v/>
      </c>
      <c r="M11" s="108" t="str">
        <f aca="false">IF(K11="نعم",L11-J11,"")</f>
        <v/>
      </c>
      <c r="N11" s="110" t="str">
        <f aca="false">IF(K11="نعم",IF(J11=0,IF(M11=0,0,SIGN(M11)),M11/ABS(J11)),"")</f>
        <v/>
      </c>
      <c r="O11" s="107" t="str">
        <f aca="false">IF(K11="نعم",M11*C11,"")</f>
        <v/>
      </c>
      <c r="P11" s="36" t="str">
        <f aca="false">IF(K11&lt;&gt;"نعم","لم يُجرد",IF(ABS(N11)&lt;='إعدادات المخزون'!$B$7,"مطابق",IF(M11&lt;0,"عجز","زيادة")))</f>
        <v>لم يُجرد</v>
      </c>
      <c r="Q11" s="108" t="n">
        <f aca="false">J11-Z11</f>
        <v>206</v>
      </c>
      <c r="R11" s="108"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8" t="str">
        <f aca="false">IF(AND(K11="نعم",R11&lt;&gt;""),(L11-J11)-(R11-Q11),"")</f>
        <v/>
      </c>
      <c r="T11" s="107" t="str">
        <f aca="false">IF(S11="","",S11*C11)</f>
        <v/>
      </c>
      <c r="U11" s="108" t="n">
        <f aca="false">IF(K11="نعم",L11,J11)</f>
        <v>206</v>
      </c>
      <c r="V11" s="108" t="n">
        <f aca="false">SUMPRODUCT('مصفوفة الاستهلاك'!$F$2:$F$172,'متجهات المبيعات'!$D$2:$D$172)/'مواد المخزون'!$D$6/MAX(1,MIN('إعدادات المخزون'!$B$11,'إعدادات المخزون'!$B$4-'إعدادات المخزون'!$B$5+1))</f>
        <v>0</v>
      </c>
      <c r="W11" s="108" t="n">
        <f aca="false">IF(V11&lt;=0,0,ROUNDUP(MAX(0,V11*('إعدادات المخزون'!$B$8+'إعدادات المخزون'!$B$9+'إعدادات المخزون'!$B$10)-MAX(U11,0))/'مواد المخزون'!$F6,0)*'مواد المخزون'!$F6)</f>
        <v>0</v>
      </c>
      <c r="X11" s="107" t="n">
        <f aca="false">IF(AND(K11="نعم",O11&lt;0),-O11+ROW()*0.000000001,0)</f>
        <v>0</v>
      </c>
      <c r="Y11" s="107" t="n">
        <f aca="false">IF(AND(K11="نعم",O11&gt;0),O11+ROW()*0.000000001,0)</f>
        <v>0</v>
      </c>
      <c r="Z11" s="108"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المبيعات'!$B$2:$B$172)/'مواد المخزون'!$D$6</f>
        <v>0</v>
      </c>
      <c r="AA11" s="107" t="n">
        <f aca="false">IF(K11="نعم",O11,0)</f>
        <v>0</v>
      </c>
      <c r="AB11" s="107" t="n">
        <f aca="false">IF(K11="نعم",J11*C11,0)</f>
        <v>0</v>
      </c>
      <c r="AC11" s="107"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7" t="n">
        <f aca="false">'مواد المخزون'!E7</f>
        <v>35</v>
      </c>
      <c r="D12" s="108" t="n">
        <f aca="false">'جرد أول المدة'!C10</f>
        <v>55</v>
      </c>
      <c r="E12" s="108" t="n">
        <f aca="false">SUMIFS('مشتريات يومية'!$D$2:$D$4001,'مشتريات يومية'!$B$2:$B$4001,$B$2,'مشتريات يومية'!$C$2:$C$4001,$A12,'مشتريات يومية'!$A$2:$A$4001,"&gt;="&amp;'إعدادات المخزون'!$B$5,'مشتريات يومية'!$A$2:$A$4001,"&lt;="&amp;'إعدادات المخزون'!$B$4)</f>
        <v>520</v>
      </c>
      <c r="F12" s="108"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8"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8" t="n">
        <f aca="false">SUMPRODUCT('مصفوفة الاستهلاك'!$G$2:$G$172,'متجهات المبيعات'!$C$2:$C$172)/'مواد المخزون'!$D$7</f>
        <v>0</v>
      </c>
      <c r="I12" s="108"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8" t="n">
        <f aca="false">D12+E12+F12-G12-H12-I12</f>
        <v>575</v>
      </c>
      <c r="K12" s="36" t="str">
        <f aca="false">IF(COUNTIFS('جرد فعلي'!$B$2:$B$12001,$B$2,'جرد فعلي'!$C$2:$C$12001,$A12,'جرد فعلي'!$A$2:$A$12001,'إعدادات المخزون'!$B$4)&gt;0,"نعم","لا")</f>
        <v>لا</v>
      </c>
      <c r="L12" s="109" t="str">
        <f aca="false">IF(K12="نعم",SUMIFS('جرد فعلي'!$D$2:$D$12001,'جرد فعلي'!$B$2:$B$12001,$B$2,'جرد فعلي'!$C$2:$C$12001,$A12,'جرد فعلي'!$A$2:$A$12001,'إعدادات المخزون'!$B$4),"")</f>
        <v/>
      </c>
      <c r="M12" s="108" t="str">
        <f aca="false">IF(K12="نعم",L12-J12,"")</f>
        <v/>
      </c>
      <c r="N12" s="110" t="str">
        <f aca="false">IF(K12="نعم",IF(J12=0,IF(M12=0,0,SIGN(M12)),M12/ABS(J12)),"")</f>
        <v/>
      </c>
      <c r="O12" s="107" t="str">
        <f aca="false">IF(K12="نعم",M12*C12,"")</f>
        <v/>
      </c>
      <c r="P12" s="36" t="str">
        <f aca="false">IF(K12&lt;&gt;"نعم","لم يُجرد",IF(ABS(N12)&lt;='إعدادات المخزون'!$B$7,"مطابق",IF(M12&lt;0,"عجز","زيادة")))</f>
        <v>لم يُجرد</v>
      </c>
      <c r="Q12" s="108" t="n">
        <f aca="false">J12-Z12</f>
        <v>575</v>
      </c>
      <c r="R12" s="108"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8" t="str">
        <f aca="false">IF(AND(K12="نعم",R12&lt;&gt;""),(L12-J12)-(R12-Q12),"")</f>
        <v/>
      </c>
      <c r="T12" s="107" t="str">
        <f aca="false">IF(S12="","",S12*C12)</f>
        <v/>
      </c>
      <c r="U12" s="108" t="n">
        <f aca="false">IF(K12="نعم",L12,J12)</f>
        <v>575</v>
      </c>
      <c r="V12" s="108" t="n">
        <f aca="false">SUMPRODUCT('مصفوفة الاستهلاك'!$G$2:$G$172,'متجهات المبيعات'!$D$2:$D$172)/'مواد المخزون'!$D$7/MAX(1,MIN('إعدادات المخزون'!$B$11,'إعدادات المخزون'!$B$4-'إعدادات المخزون'!$B$5+1))</f>
        <v>0</v>
      </c>
      <c r="W12" s="108" t="n">
        <f aca="false">IF(V12&lt;=0,0,ROUNDUP(MAX(0,V12*('إعدادات المخزون'!$B$8+'إعدادات المخزون'!$B$9+'إعدادات المخزون'!$B$10)-MAX(U12,0))/'مواد المخزون'!$F7,0)*'مواد المخزون'!$F7)</f>
        <v>0</v>
      </c>
      <c r="X12" s="107" t="n">
        <f aca="false">IF(AND(K12="نعم",O12&lt;0),-O12+ROW()*0.000000001,0)</f>
        <v>0</v>
      </c>
      <c r="Y12" s="107" t="n">
        <f aca="false">IF(AND(K12="نعم",O12&gt;0),O12+ROW()*0.000000001,0)</f>
        <v>0</v>
      </c>
      <c r="Z12" s="108"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المبيعات'!$B$2:$B$172)/'مواد المخزون'!$D$7</f>
        <v>0</v>
      </c>
      <c r="AA12" s="107" t="n">
        <f aca="false">IF(K12="نعم",O12,0)</f>
        <v>0</v>
      </c>
      <c r="AB12" s="107" t="n">
        <f aca="false">IF(K12="نعم",J12*C12,0)</f>
        <v>0</v>
      </c>
      <c r="AC12" s="107"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7" t="n">
        <f aca="false">'مواد المخزون'!E8</f>
        <v>46.6667</v>
      </c>
      <c r="D13" s="108" t="n">
        <f aca="false">'جرد أول المدة'!C11</f>
        <v>49</v>
      </c>
      <c r="E13" s="108" t="n">
        <f aca="false">SUMIFS('مشتريات يومية'!$D$2:$D$4001,'مشتريات يومية'!$B$2:$B$4001,$B$2,'مشتريات يومية'!$C$2:$C$4001,$A13,'مشتريات يومية'!$A$2:$A$4001,"&gt;="&amp;'إعدادات المخزون'!$B$5,'مشتريات يومية'!$A$2:$A$4001,"&lt;="&amp;'إعدادات المخزون'!$B$4)</f>
        <v>60</v>
      </c>
      <c r="F13" s="108"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8"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8" t="n">
        <f aca="false">SUMPRODUCT('مصفوفة الاستهلاك'!$H$2:$H$172,'متجهات المبيعات'!$C$2:$C$172)/'مواد المخزون'!$D$8</f>
        <v>0</v>
      </c>
      <c r="I13" s="108"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8" t="n">
        <f aca="false">D13+E13+F13-G13-H13-I13</f>
        <v>109</v>
      </c>
      <c r="K13" s="36" t="str">
        <f aca="false">IF(COUNTIFS('جرد فعلي'!$B$2:$B$12001,$B$2,'جرد فعلي'!$C$2:$C$12001,$A13,'جرد فعلي'!$A$2:$A$12001,'إعدادات المخزون'!$B$4)&gt;0,"نعم","لا")</f>
        <v>لا</v>
      </c>
      <c r="L13" s="109" t="str">
        <f aca="false">IF(K13="نعم",SUMIFS('جرد فعلي'!$D$2:$D$12001,'جرد فعلي'!$B$2:$B$12001,$B$2,'جرد فعلي'!$C$2:$C$12001,$A13,'جرد فعلي'!$A$2:$A$12001,'إعدادات المخزون'!$B$4),"")</f>
        <v/>
      </c>
      <c r="M13" s="108" t="str">
        <f aca="false">IF(K13="نعم",L13-J13,"")</f>
        <v/>
      </c>
      <c r="N13" s="110" t="str">
        <f aca="false">IF(K13="نعم",IF(J13=0,IF(M13=0,0,SIGN(M13)),M13/ABS(J13)),"")</f>
        <v/>
      </c>
      <c r="O13" s="107" t="str">
        <f aca="false">IF(K13="نعم",M13*C13,"")</f>
        <v/>
      </c>
      <c r="P13" s="36" t="str">
        <f aca="false">IF(K13&lt;&gt;"نعم","لم يُجرد",IF(ABS(N13)&lt;='إعدادات المخزون'!$B$7,"مطابق",IF(M13&lt;0,"عجز","زيادة")))</f>
        <v>لم يُجرد</v>
      </c>
      <c r="Q13" s="108" t="n">
        <f aca="false">J13-Z13</f>
        <v>109</v>
      </c>
      <c r="R13" s="108"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8" t="str">
        <f aca="false">IF(AND(K13="نعم",R13&lt;&gt;""),(L13-J13)-(R13-Q13),"")</f>
        <v/>
      </c>
      <c r="T13" s="107" t="str">
        <f aca="false">IF(S13="","",S13*C13)</f>
        <v/>
      </c>
      <c r="U13" s="108" t="n">
        <f aca="false">IF(K13="نعم",L13,J13)</f>
        <v>109</v>
      </c>
      <c r="V13" s="108" t="n">
        <f aca="false">SUMPRODUCT('مصفوفة الاستهلاك'!$H$2:$H$172,'متجهات المبيعات'!$D$2:$D$172)/'مواد المخزون'!$D$8/MAX(1,MIN('إعدادات المخزون'!$B$11,'إعدادات المخزون'!$B$4-'إعدادات المخزون'!$B$5+1))</f>
        <v>0</v>
      </c>
      <c r="W13" s="108" t="n">
        <f aca="false">IF(V13&lt;=0,0,ROUNDUP(MAX(0,V13*('إعدادات المخزون'!$B$8+'إعدادات المخزون'!$B$9+'إعدادات المخزون'!$B$10)-MAX(U13,0))/'مواد المخزون'!$F8,0)*'مواد المخزون'!$F8)</f>
        <v>0</v>
      </c>
      <c r="X13" s="107" t="n">
        <f aca="false">IF(AND(K13="نعم",O13&lt;0),-O13+ROW()*0.000000001,0)</f>
        <v>0</v>
      </c>
      <c r="Y13" s="107" t="n">
        <f aca="false">IF(AND(K13="نعم",O13&gt;0),O13+ROW()*0.000000001,0)</f>
        <v>0</v>
      </c>
      <c r="Z13" s="108"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المبيعات'!$B$2:$B$172)/'مواد المخزون'!$D$8</f>
        <v>0</v>
      </c>
      <c r="AA13" s="107" t="n">
        <f aca="false">IF(K13="نعم",O13,0)</f>
        <v>0</v>
      </c>
      <c r="AB13" s="107" t="n">
        <f aca="false">IF(K13="نعم",J13*C13,0)</f>
        <v>0</v>
      </c>
      <c r="AC13" s="107"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7" t="n">
        <f aca="false">'مواد المخزون'!E9</f>
        <v>5.65</v>
      </c>
      <c r="D14" s="108" t="n">
        <f aca="false">'جرد أول المدة'!C12</f>
        <v>53</v>
      </c>
      <c r="E14" s="108" t="n">
        <f aca="false">SUMIFS('مشتريات يومية'!$D$2:$D$4001,'مشتريات يومية'!$B$2:$B$4001,$B$2,'مشتريات يومية'!$C$2:$C$4001,$A14,'مشتريات يومية'!$A$2:$A$4001,"&gt;="&amp;'إعدادات المخزون'!$B$5,'مشتريات يومية'!$A$2:$A$4001,"&lt;="&amp;'إعدادات المخزون'!$B$4)</f>
        <v>100</v>
      </c>
      <c r="F14" s="108"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8"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8" t="n">
        <f aca="false">SUMPRODUCT('مصفوفة الاستهلاك'!$I$2:$I$172,'متجهات المبيعات'!$C$2:$C$172)/'مواد المخزون'!$D$9</f>
        <v>0</v>
      </c>
      <c r="I14" s="108"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8" t="n">
        <f aca="false">D14+E14+F14-G14-H14-I14</f>
        <v>153</v>
      </c>
      <c r="K14" s="36" t="str">
        <f aca="false">IF(COUNTIFS('جرد فعلي'!$B$2:$B$12001,$B$2,'جرد فعلي'!$C$2:$C$12001,$A14,'جرد فعلي'!$A$2:$A$12001,'إعدادات المخزون'!$B$4)&gt;0,"نعم","لا")</f>
        <v>لا</v>
      </c>
      <c r="L14" s="109" t="str">
        <f aca="false">IF(K14="نعم",SUMIFS('جرد فعلي'!$D$2:$D$12001,'جرد فعلي'!$B$2:$B$12001,$B$2,'جرد فعلي'!$C$2:$C$12001,$A14,'جرد فعلي'!$A$2:$A$12001,'إعدادات المخزون'!$B$4),"")</f>
        <v/>
      </c>
      <c r="M14" s="108" t="str">
        <f aca="false">IF(K14="نعم",L14-J14,"")</f>
        <v/>
      </c>
      <c r="N14" s="110" t="str">
        <f aca="false">IF(K14="نعم",IF(J14=0,IF(M14=0,0,SIGN(M14)),M14/ABS(J14)),"")</f>
        <v/>
      </c>
      <c r="O14" s="107" t="str">
        <f aca="false">IF(K14="نعم",M14*C14,"")</f>
        <v/>
      </c>
      <c r="P14" s="36" t="str">
        <f aca="false">IF(K14&lt;&gt;"نعم","لم يُجرد",IF(ABS(N14)&lt;='إعدادات المخزون'!$B$7,"مطابق",IF(M14&lt;0,"عجز","زيادة")))</f>
        <v>لم يُجرد</v>
      </c>
      <c r="Q14" s="108" t="n">
        <f aca="false">J14-Z14</f>
        <v>153</v>
      </c>
      <c r="R14" s="108"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8" t="str">
        <f aca="false">IF(AND(K14="نعم",R14&lt;&gt;""),(L14-J14)-(R14-Q14),"")</f>
        <v/>
      </c>
      <c r="T14" s="107" t="str">
        <f aca="false">IF(S14="","",S14*C14)</f>
        <v/>
      </c>
      <c r="U14" s="108" t="n">
        <f aca="false">IF(K14="نعم",L14,J14)</f>
        <v>153</v>
      </c>
      <c r="V14" s="108" t="n">
        <f aca="false">SUMPRODUCT('مصفوفة الاستهلاك'!$I$2:$I$172,'متجهات المبيعات'!$D$2:$D$172)/'مواد المخزون'!$D$9/MAX(1,MIN('إعدادات المخزون'!$B$11,'إعدادات المخزون'!$B$4-'إعدادات المخزون'!$B$5+1))</f>
        <v>0</v>
      </c>
      <c r="W14" s="108" t="n">
        <f aca="false">IF(V14&lt;=0,0,ROUNDUP(MAX(0,V14*('إعدادات المخزون'!$B$8+'إعدادات المخزون'!$B$9+'إعدادات المخزون'!$B$10)-MAX(U14,0))/'مواد المخزون'!$F9,0)*'مواد المخزون'!$F9)</f>
        <v>0</v>
      </c>
      <c r="X14" s="107" t="n">
        <f aca="false">IF(AND(K14="نعم",O14&lt;0),-O14+ROW()*0.000000001,0)</f>
        <v>0</v>
      </c>
      <c r="Y14" s="107" t="n">
        <f aca="false">IF(AND(K14="نعم",O14&gt;0),O14+ROW()*0.000000001,0)</f>
        <v>0</v>
      </c>
      <c r="Z14" s="108"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المبيعات'!$B$2:$B$172)/'مواد المخزون'!$D$9</f>
        <v>0</v>
      </c>
      <c r="AA14" s="107" t="n">
        <f aca="false">IF(K14="نعم",O14,0)</f>
        <v>0</v>
      </c>
      <c r="AB14" s="107" t="n">
        <f aca="false">IF(K14="نعم",J14*C14,0)</f>
        <v>0</v>
      </c>
      <c r="AC14" s="107"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7" t="n">
        <f aca="false">'مواد المخزون'!E10</f>
        <v>9</v>
      </c>
      <c r="D15" s="108" t="n">
        <f aca="false">'جرد أول المدة'!C13</f>
        <v>12</v>
      </c>
      <c r="E15" s="108" t="n">
        <f aca="false">SUMIFS('مشتريات يومية'!$D$2:$D$4001,'مشتريات يومية'!$B$2:$B$4001,$B$2,'مشتريات يومية'!$C$2:$C$4001,$A15,'مشتريات يومية'!$A$2:$A$4001,"&gt;="&amp;'إعدادات المخزون'!$B$5,'مشتريات يومية'!$A$2:$A$4001,"&lt;="&amp;'إعدادات المخزون'!$B$4)</f>
        <v>570</v>
      </c>
      <c r="F15" s="108"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8"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8" t="n">
        <f aca="false">SUMPRODUCT('مصفوفة الاستهلاك'!$J$2:$J$172,'متجهات المبيعات'!$C$2:$C$172)/'مواد المخزون'!$D$10</f>
        <v>0</v>
      </c>
      <c r="I15" s="108"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8" t="n">
        <f aca="false">D15+E15+F15-G15-H15-I15</f>
        <v>582</v>
      </c>
      <c r="K15" s="36" t="str">
        <f aca="false">IF(COUNTIFS('جرد فعلي'!$B$2:$B$12001,$B$2,'جرد فعلي'!$C$2:$C$12001,$A15,'جرد فعلي'!$A$2:$A$12001,'إعدادات المخزون'!$B$4)&gt;0,"نعم","لا")</f>
        <v>لا</v>
      </c>
      <c r="L15" s="109" t="str">
        <f aca="false">IF(K15="نعم",SUMIFS('جرد فعلي'!$D$2:$D$12001,'جرد فعلي'!$B$2:$B$12001,$B$2,'جرد فعلي'!$C$2:$C$12001,$A15,'جرد فعلي'!$A$2:$A$12001,'إعدادات المخزون'!$B$4),"")</f>
        <v/>
      </c>
      <c r="M15" s="108" t="str">
        <f aca="false">IF(K15="نعم",L15-J15,"")</f>
        <v/>
      </c>
      <c r="N15" s="110" t="str">
        <f aca="false">IF(K15="نعم",IF(J15=0,IF(M15=0,0,SIGN(M15)),M15/ABS(J15)),"")</f>
        <v/>
      </c>
      <c r="O15" s="107" t="str">
        <f aca="false">IF(K15="نعم",M15*C15,"")</f>
        <v/>
      </c>
      <c r="P15" s="36" t="str">
        <f aca="false">IF(K15&lt;&gt;"نعم","لم يُجرد",IF(ABS(N15)&lt;='إعدادات المخزون'!$B$7,"مطابق",IF(M15&lt;0,"عجز","زيادة")))</f>
        <v>لم يُجرد</v>
      </c>
      <c r="Q15" s="108" t="n">
        <f aca="false">J15-Z15</f>
        <v>582</v>
      </c>
      <c r="R15" s="108"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8" t="str">
        <f aca="false">IF(AND(K15="نعم",R15&lt;&gt;""),(L15-J15)-(R15-Q15),"")</f>
        <v/>
      </c>
      <c r="T15" s="107" t="str">
        <f aca="false">IF(S15="","",S15*C15)</f>
        <v/>
      </c>
      <c r="U15" s="108" t="n">
        <f aca="false">IF(K15="نعم",L15,J15)</f>
        <v>582</v>
      </c>
      <c r="V15" s="108" t="n">
        <f aca="false">SUMPRODUCT('مصفوفة الاستهلاك'!$J$2:$J$172,'متجهات المبيعات'!$D$2:$D$172)/'مواد المخزون'!$D$10/MAX(1,MIN('إعدادات المخزون'!$B$11,'إعدادات المخزون'!$B$4-'إعدادات المخزون'!$B$5+1))</f>
        <v>0</v>
      </c>
      <c r="W15" s="108" t="n">
        <f aca="false">IF(V15&lt;=0,0,ROUNDUP(MAX(0,V15*('إعدادات المخزون'!$B$8+'إعدادات المخزون'!$B$9+'إعدادات المخزون'!$B$10)-MAX(U15,0))/'مواد المخزون'!$F10,0)*'مواد المخزون'!$F10)</f>
        <v>0</v>
      </c>
      <c r="X15" s="107" t="n">
        <f aca="false">IF(AND(K15="نعم",O15&lt;0),-O15+ROW()*0.000000001,0)</f>
        <v>0</v>
      </c>
      <c r="Y15" s="107" t="n">
        <f aca="false">IF(AND(K15="نعم",O15&gt;0),O15+ROW()*0.000000001,0)</f>
        <v>0</v>
      </c>
      <c r="Z15" s="108"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المبيعات'!$B$2:$B$172)/'مواد المخزون'!$D$10</f>
        <v>0</v>
      </c>
      <c r="AA15" s="107" t="n">
        <f aca="false">IF(K15="نعم",O15,0)</f>
        <v>0</v>
      </c>
      <c r="AB15" s="107" t="n">
        <f aca="false">IF(K15="نعم",J15*C15,0)</f>
        <v>0</v>
      </c>
      <c r="AC15" s="107"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7" t="n">
        <f aca="false">'مواد المخزون'!E11</f>
        <v>95</v>
      </c>
      <c r="D16" s="108" t="n">
        <f aca="false">'جرد أول المدة'!C14</f>
        <v>10</v>
      </c>
      <c r="E16" s="108" t="n">
        <f aca="false">SUMIFS('مشتريات يومية'!$D$2:$D$4001,'مشتريات يومية'!$B$2:$B$4001,$B$2,'مشتريات يومية'!$C$2:$C$4001,$A16,'مشتريات يومية'!$A$2:$A$4001,"&gt;="&amp;'إعدادات المخزون'!$B$5,'مشتريات يومية'!$A$2:$A$4001,"&lt;="&amp;'إعدادات المخزون'!$B$4)</f>
        <v>30</v>
      </c>
      <c r="F16" s="108"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8"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8" t="n">
        <f aca="false">SUMPRODUCT('مصفوفة الاستهلاك'!$K$2:$K$172,'متجهات المبيعات'!$C$2:$C$172)/'مواد المخزون'!$D$11</f>
        <v>0</v>
      </c>
      <c r="I16" s="108"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8" t="n">
        <f aca="false">D16+E16+F16-G16-H16-I16</f>
        <v>40</v>
      </c>
      <c r="K16" s="36" t="str">
        <f aca="false">IF(COUNTIFS('جرد فعلي'!$B$2:$B$12001,$B$2,'جرد فعلي'!$C$2:$C$12001,$A16,'جرد فعلي'!$A$2:$A$12001,'إعدادات المخزون'!$B$4)&gt;0,"نعم","لا")</f>
        <v>لا</v>
      </c>
      <c r="L16" s="109" t="str">
        <f aca="false">IF(K16="نعم",SUMIFS('جرد فعلي'!$D$2:$D$12001,'جرد فعلي'!$B$2:$B$12001,$B$2,'جرد فعلي'!$C$2:$C$12001,$A16,'جرد فعلي'!$A$2:$A$12001,'إعدادات المخزون'!$B$4),"")</f>
        <v/>
      </c>
      <c r="M16" s="108" t="str">
        <f aca="false">IF(K16="نعم",L16-J16,"")</f>
        <v/>
      </c>
      <c r="N16" s="110" t="str">
        <f aca="false">IF(K16="نعم",IF(J16=0,IF(M16=0,0,SIGN(M16)),M16/ABS(J16)),"")</f>
        <v/>
      </c>
      <c r="O16" s="107" t="str">
        <f aca="false">IF(K16="نعم",M16*C16,"")</f>
        <v/>
      </c>
      <c r="P16" s="36" t="str">
        <f aca="false">IF(K16&lt;&gt;"نعم","لم يُجرد",IF(ABS(N16)&lt;='إعدادات المخزون'!$B$7,"مطابق",IF(M16&lt;0,"عجز","زيادة")))</f>
        <v>لم يُجرد</v>
      </c>
      <c r="Q16" s="108" t="n">
        <f aca="false">J16-Z16</f>
        <v>40</v>
      </c>
      <c r="R16" s="108"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8" t="str">
        <f aca="false">IF(AND(K16="نعم",R16&lt;&gt;""),(L16-J16)-(R16-Q16),"")</f>
        <v/>
      </c>
      <c r="T16" s="107" t="str">
        <f aca="false">IF(S16="","",S16*C16)</f>
        <v/>
      </c>
      <c r="U16" s="108" t="n">
        <f aca="false">IF(K16="نعم",L16,J16)</f>
        <v>40</v>
      </c>
      <c r="V16" s="108" t="n">
        <f aca="false">SUMPRODUCT('مصفوفة الاستهلاك'!$K$2:$K$172,'متجهات المبيعات'!$D$2:$D$172)/'مواد المخزون'!$D$11/MAX(1,MIN('إعدادات المخزون'!$B$11,'إعدادات المخزون'!$B$4-'إعدادات المخزون'!$B$5+1))</f>
        <v>0</v>
      </c>
      <c r="W16" s="108" t="n">
        <f aca="false">IF(V16&lt;=0,0,ROUNDUP(MAX(0,V16*('إعدادات المخزون'!$B$8+'إعدادات المخزون'!$B$9+'إعدادات المخزون'!$B$10)-MAX(U16,0))/'مواد المخزون'!$F11,0)*'مواد المخزون'!$F11)</f>
        <v>0</v>
      </c>
      <c r="X16" s="107" t="n">
        <f aca="false">IF(AND(K16="نعم",O16&lt;0),-O16+ROW()*0.000000001,0)</f>
        <v>0</v>
      </c>
      <c r="Y16" s="107" t="n">
        <f aca="false">IF(AND(K16="نعم",O16&gt;0),O16+ROW()*0.000000001,0)</f>
        <v>0</v>
      </c>
      <c r="Z16" s="108"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المبيعات'!$B$2:$B$172)/'مواد المخزون'!$D$11</f>
        <v>0</v>
      </c>
      <c r="AA16" s="107" t="n">
        <f aca="false">IF(K16="نعم",O16,0)</f>
        <v>0</v>
      </c>
      <c r="AB16" s="107" t="n">
        <f aca="false">IF(K16="نعم",J16*C16,0)</f>
        <v>0</v>
      </c>
      <c r="AC16" s="107"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7" t="n">
        <f aca="false">'مواد المخزون'!E12</f>
        <v>34</v>
      </c>
      <c r="D17" s="108" t="n">
        <f aca="false">'جرد أول المدة'!C15</f>
        <v>65</v>
      </c>
      <c r="E17" s="108" t="n">
        <f aca="false">SUMIFS('مشتريات يومية'!$D$2:$D$4001,'مشتريات يومية'!$B$2:$B$4001,$B$2,'مشتريات يومية'!$C$2:$C$4001,$A17,'مشتريات يومية'!$A$2:$A$4001,"&gt;="&amp;'إعدادات المخزون'!$B$5,'مشتريات يومية'!$A$2:$A$4001,"&lt;="&amp;'إعدادات المخزون'!$B$4)</f>
        <v>550</v>
      </c>
      <c r="F17" s="108"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8"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8" t="n">
        <f aca="false">SUMPRODUCT('مصفوفة الاستهلاك'!$L$2:$L$172,'متجهات المبيعات'!$C$2:$C$172)/'مواد المخزون'!$D$12</f>
        <v>0</v>
      </c>
      <c r="I17" s="108"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8" t="n">
        <f aca="false">D17+E17+F17-G17-H17-I17</f>
        <v>615</v>
      </c>
      <c r="K17" s="36" t="str">
        <f aca="false">IF(COUNTIFS('جرد فعلي'!$B$2:$B$12001,$B$2,'جرد فعلي'!$C$2:$C$12001,$A17,'جرد فعلي'!$A$2:$A$12001,'إعدادات المخزون'!$B$4)&gt;0,"نعم","لا")</f>
        <v>لا</v>
      </c>
      <c r="L17" s="109" t="str">
        <f aca="false">IF(K17="نعم",SUMIFS('جرد فعلي'!$D$2:$D$12001,'جرد فعلي'!$B$2:$B$12001,$B$2,'جرد فعلي'!$C$2:$C$12001,$A17,'جرد فعلي'!$A$2:$A$12001,'إعدادات المخزون'!$B$4),"")</f>
        <v/>
      </c>
      <c r="M17" s="108" t="str">
        <f aca="false">IF(K17="نعم",L17-J17,"")</f>
        <v/>
      </c>
      <c r="N17" s="110" t="str">
        <f aca="false">IF(K17="نعم",IF(J17=0,IF(M17=0,0,SIGN(M17)),M17/ABS(J17)),"")</f>
        <v/>
      </c>
      <c r="O17" s="107" t="str">
        <f aca="false">IF(K17="نعم",M17*C17,"")</f>
        <v/>
      </c>
      <c r="P17" s="36" t="str">
        <f aca="false">IF(K17&lt;&gt;"نعم","لم يُجرد",IF(ABS(N17)&lt;='إعدادات المخزون'!$B$7,"مطابق",IF(M17&lt;0,"عجز","زيادة")))</f>
        <v>لم يُجرد</v>
      </c>
      <c r="Q17" s="108" t="n">
        <f aca="false">J17-Z17</f>
        <v>615</v>
      </c>
      <c r="R17" s="108"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8" t="str">
        <f aca="false">IF(AND(K17="نعم",R17&lt;&gt;""),(L17-J17)-(R17-Q17),"")</f>
        <v/>
      </c>
      <c r="T17" s="107" t="str">
        <f aca="false">IF(S17="","",S17*C17)</f>
        <v/>
      </c>
      <c r="U17" s="108" t="n">
        <f aca="false">IF(K17="نعم",L17,J17)</f>
        <v>615</v>
      </c>
      <c r="V17" s="108" t="n">
        <f aca="false">SUMPRODUCT('مصفوفة الاستهلاك'!$L$2:$L$172,'متجهات المبيعات'!$D$2:$D$172)/'مواد المخزون'!$D$12/MAX(1,MIN('إعدادات المخزون'!$B$11,'إعدادات المخزون'!$B$4-'إعدادات المخزون'!$B$5+1))</f>
        <v>0</v>
      </c>
      <c r="W17" s="108" t="n">
        <f aca="false">IF(V17&lt;=0,0,ROUNDUP(MAX(0,V17*('إعدادات المخزون'!$B$8+'إعدادات المخزون'!$B$9+'إعدادات المخزون'!$B$10)-MAX(U17,0))/'مواد المخزون'!$F12,0)*'مواد المخزون'!$F12)</f>
        <v>0</v>
      </c>
      <c r="X17" s="107" t="n">
        <f aca="false">IF(AND(K17="نعم",O17&lt;0),-O17+ROW()*0.000000001,0)</f>
        <v>0</v>
      </c>
      <c r="Y17" s="107" t="n">
        <f aca="false">IF(AND(K17="نعم",O17&gt;0),O17+ROW()*0.000000001,0)</f>
        <v>0</v>
      </c>
      <c r="Z17" s="108"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المبيعات'!$B$2:$B$172)/'مواد المخزون'!$D$12</f>
        <v>0</v>
      </c>
      <c r="AA17" s="107" t="n">
        <f aca="false">IF(K17="نعم",O17,0)</f>
        <v>0</v>
      </c>
      <c r="AB17" s="107" t="n">
        <f aca="false">IF(K17="نعم",J17*C17,0)</f>
        <v>0</v>
      </c>
      <c r="AC17" s="107"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7" t="n">
        <f aca="false">'مواد المخزون'!E13</f>
        <v>45</v>
      </c>
      <c r="D18" s="108" t="n">
        <f aca="false">'جرد أول المدة'!C16</f>
        <v>32</v>
      </c>
      <c r="E18" s="108" t="n">
        <f aca="false">SUMIFS('مشتريات يومية'!$D$2:$D$4001,'مشتريات يومية'!$B$2:$B$4001,$B$2,'مشتريات يومية'!$C$2:$C$4001,$A18,'مشتريات يومية'!$A$2:$A$4001,"&gt;="&amp;'إعدادات المخزون'!$B$5,'مشتريات يومية'!$A$2:$A$4001,"&lt;="&amp;'إعدادات المخزون'!$B$4)</f>
        <v>80</v>
      </c>
      <c r="F18" s="108"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8"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8" t="n">
        <f aca="false">SUMPRODUCT('مصفوفة الاستهلاك'!$M$2:$M$172,'متجهات المبيعات'!$C$2:$C$172)/'مواد المخزون'!$D$13</f>
        <v>0</v>
      </c>
      <c r="I18" s="108"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8" t="n">
        <f aca="false">D18+E18+F18-G18-H18-I18</f>
        <v>112</v>
      </c>
      <c r="K18" s="36" t="str">
        <f aca="false">IF(COUNTIFS('جرد فعلي'!$B$2:$B$12001,$B$2,'جرد فعلي'!$C$2:$C$12001,$A18,'جرد فعلي'!$A$2:$A$12001,'إعدادات المخزون'!$B$4)&gt;0,"نعم","لا")</f>
        <v>لا</v>
      </c>
      <c r="L18" s="109" t="str">
        <f aca="false">IF(K18="نعم",SUMIFS('جرد فعلي'!$D$2:$D$12001,'جرد فعلي'!$B$2:$B$12001,$B$2,'جرد فعلي'!$C$2:$C$12001,$A18,'جرد فعلي'!$A$2:$A$12001,'إعدادات المخزون'!$B$4),"")</f>
        <v/>
      </c>
      <c r="M18" s="108" t="str">
        <f aca="false">IF(K18="نعم",L18-J18,"")</f>
        <v/>
      </c>
      <c r="N18" s="110" t="str">
        <f aca="false">IF(K18="نعم",IF(J18=0,IF(M18=0,0,SIGN(M18)),M18/ABS(J18)),"")</f>
        <v/>
      </c>
      <c r="O18" s="107" t="str">
        <f aca="false">IF(K18="نعم",M18*C18,"")</f>
        <v/>
      </c>
      <c r="P18" s="36" t="str">
        <f aca="false">IF(K18&lt;&gt;"نعم","لم يُجرد",IF(ABS(N18)&lt;='إعدادات المخزون'!$B$7,"مطابق",IF(M18&lt;0,"عجز","زيادة")))</f>
        <v>لم يُجرد</v>
      </c>
      <c r="Q18" s="108" t="n">
        <f aca="false">J18-Z18</f>
        <v>112</v>
      </c>
      <c r="R18" s="108"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8" t="str">
        <f aca="false">IF(AND(K18="نعم",R18&lt;&gt;""),(L18-J18)-(R18-Q18),"")</f>
        <v/>
      </c>
      <c r="T18" s="107" t="str">
        <f aca="false">IF(S18="","",S18*C18)</f>
        <v/>
      </c>
      <c r="U18" s="108" t="n">
        <f aca="false">IF(K18="نعم",L18,J18)</f>
        <v>112</v>
      </c>
      <c r="V18" s="108" t="n">
        <f aca="false">SUMPRODUCT('مصفوفة الاستهلاك'!$M$2:$M$172,'متجهات المبيعات'!$D$2:$D$172)/'مواد المخزون'!$D$13/MAX(1,MIN('إعدادات المخزون'!$B$11,'إعدادات المخزون'!$B$4-'إعدادات المخزون'!$B$5+1))</f>
        <v>0</v>
      </c>
      <c r="W18" s="108" t="n">
        <f aca="false">IF(V18&lt;=0,0,ROUNDUP(MAX(0,V18*('إعدادات المخزون'!$B$8+'إعدادات المخزون'!$B$9+'إعدادات المخزون'!$B$10)-MAX(U18,0))/'مواد المخزون'!$F13,0)*'مواد المخزون'!$F13)</f>
        <v>0</v>
      </c>
      <c r="X18" s="107" t="n">
        <f aca="false">IF(AND(K18="نعم",O18&lt;0),-O18+ROW()*0.000000001,0)</f>
        <v>0</v>
      </c>
      <c r="Y18" s="107" t="n">
        <f aca="false">IF(AND(K18="نعم",O18&gt;0),O18+ROW()*0.000000001,0)</f>
        <v>0</v>
      </c>
      <c r="Z18" s="108"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المبيعات'!$B$2:$B$172)/'مواد المخزون'!$D$13</f>
        <v>0</v>
      </c>
      <c r="AA18" s="107" t="n">
        <f aca="false">IF(K18="نعم",O18,0)</f>
        <v>0</v>
      </c>
      <c r="AB18" s="107" t="n">
        <f aca="false">IF(K18="نعم",J18*C18,0)</f>
        <v>0</v>
      </c>
      <c r="AC18" s="107"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7" t="n">
        <f aca="false">'مواد المخزون'!E14</f>
        <v>26.9708</v>
      </c>
      <c r="D19" s="108" t="n">
        <f aca="false">'جرد أول المدة'!C17</f>
        <v>12</v>
      </c>
      <c r="E19" s="108" t="n">
        <f aca="false">SUMIFS('مشتريات يومية'!$D$2:$D$4001,'مشتريات يومية'!$B$2:$B$4001,$B$2,'مشتريات يومية'!$C$2:$C$4001,$A19,'مشتريات يومية'!$A$2:$A$4001,"&gt;="&amp;'إعدادات المخزون'!$B$5,'مشتريات يومية'!$A$2:$A$4001,"&lt;="&amp;'إعدادات المخزون'!$B$4)</f>
        <v>67</v>
      </c>
      <c r="F19" s="108"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8"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8" t="n">
        <f aca="false">SUMPRODUCT('مصفوفة الاستهلاك'!$N$2:$N$172,'متجهات المبيعات'!$C$2:$C$172)/'مواد المخزون'!$D$14</f>
        <v>0</v>
      </c>
      <c r="I19" s="108"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8" t="n">
        <f aca="false">D19+E19+F19-G19-H19-I19</f>
        <v>79</v>
      </c>
      <c r="K19" s="36" t="str">
        <f aca="false">IF(COUNTIFS('جرد فعلي'!$B$2:$B$12001,$B$2,'جرد فعلي'!$C$2:$C$12001,$A19,'جرد فعلي'!$A$2:$A$12001,'إعدادات المخزون'!$B$4)&gt;0,"نعم","لا")</f>
        <v>لا</v>
      </c>
      <c r="L19" s="109" t="str">
        <f aca="false">IF(K19="نعم",SUMIFS('جرد فعلي'!$D$2:$D$12001,'جرد فعلي'!$B$2:$B$12001,$B$2,'جرد فعلي'!$C$2:$C$12001,$A19,'جرد فعلي'!$A$2:$A$12001,'إعدادات المخزون'!$B$4),"")</f>
        <v/>
      </c>
      <c r="M19" s="108" t="str">
        <f aca="false">IF(K19="نعم",L19-J19,"")</f>
        <v/>
      </c>
      <c r="N19" s="110" t="str">
        <f aca="false">IF(K19="نعم",IF(J19=0,IF(M19=0,0,SIGN(M19)),M19/ABS(J19)),"")</f>
        <v/>
      </c>
      <c r="O19" s="107" t="str">
        <f aca="false">IF(K19="نعم",M19*C19,"")</f>
        <v/>
      </c>
      <c r="P19" s="36" t="str">
        <f aca="false">IF(K19&lt;&gt;"نعم","لم يُجرد",IF(ABS(N19)&lt;='إعدادات المخزون'!$B$7,"مطابق",IF(M19&lt;0,"عجز","زيادة")))</f>
        <v>لم يُجرد</v>
      </c>
      <c r="Q19" s="108" t="n">
        <f aca="false">J19-Z19</f>
        <v>79</v>
      </c>
      <c r="R19" s="108"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8" t="str">
        <f aca="false">IF(AND(K19="نعم",R19&lt;&gt;""),(L19-J19)-(R19-Q19),"")</f>
        <v/>
      </c>
      <c r="T19" s="107" t="str">
        <f aca="false">IF(S19="","",S19*C19)</f>
        <v/>
      </c>
      <c r="U19" s="108" t="n">
        <f aca="false">IF(K19="نعم",L19,J19)</f>
        <v>79</v>
      </c>
      <c r="V19" s="108" t="n">
        <f aca="false">SUMPRODUCT('مصفوفة الاستهلاك'!$N$2:$N$172,'متجهات المبيعات'!$D$2:$D$172)/'مواد المخزون'!$D$14/MAX(1,MIN('إعدادات المخزون'!$B$11,'إعدادات المخزون'!$B$4-'إعدادات المخزون'!$B$5+1))</f>
        <v>0</v>
      </c>
      <c r="W19" s="108" t="n">
        <f aca="false">IF(V19&lt;=0,0,ROUNDUP(MAX(0,V19*('إعدادات المخزون'!$B$8+'إعدادات المخزون'!$B$9+'إعدادات المخزون'!$B$10)-MAX(U19,0))/'مواد المخزون'!$F14,0)*'مواد المخزون'!$F14)</f>
        <v>0</v>
      </c>
      <c r="X19" s="107" t="n">
        <f aca="false">IF(AND(K19="نعم",O19&lt;0),-O19+ROW()*0.000000001,0)</f>
        <v>0</v>
      </c>
      <c r="Y19" s="107" t="n">
        <f aca="false">IF(AND(K19="نعم",O19&gt;0),O19+ROW()*0.000000001,0)</f>
        <v>0</v>
      </c>
      <c r="Z19" s="108"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المبيعات'!$B$2:$B$172)/'مواد المخزون'!$D$14</f>
        <v>0</v>
      </c>
      <c r="AA19" s="107" t="n">
        <f aca="false">IF(K19="نعم",O19,0)</f>
        <v>0</v>
      </c>
      <c r="AB19" s="107" t="n">
        <f aca="false">IF(K19="نعم",J19*C19,0)</f>
        <v>0</v>
      </c>
      <c r="AC19" s="107"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7" t="n">
        <f aca="false">'مواد المخزون'!E15</f>
        <v>33.982</v>
      </c>
      <c r="D20" s="108" t="n">
        <f aca="false">'جرد أول المدة'!C18</f>
        <v>26.5</v>
      </c>
      <c r="E20" s="108" t="n">
        <f aca="false">SUMIFS('مشتريات يومية'!$D$2:$D$4001,'مشتريات يومية'!$B$2:$B$4001,$B$2,'مشتريات يومية'!$C$2:$C$4001,$A20,'مشتريات يومية'!$A$2:$A$4001,"&gt;="&amp;'إعدادات المخزون'!$B$5,'مشتريات يومية'!$A$2:$A$4001,"&lt;="&amp;'إعدادات المخزون'!$B$4)</f>
        <v>243</v>
      </c>
      <c r="F20" s="108"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8"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8" t="n">
        <f aca="false">SUMPRODUCT('مصفوفة الاستهلاك'!$O$2:$O$172,'متجهات المبيعات'!$C$2:$C$172)/'مواد المخزون'!$D$15</f>
        <v>0</v>
      </c>
      <c r="I20" s="108"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8" t="n">
        <f aca="false">D20+E20+F20-G20-H20-I20</f>
        <v>269.5</v>
      </c>
      <c r="K20" s="36" t="str">
        <f aca="false">IF(COUNTIFS('جرد فعلي'!$B$2:$B$12001,$B$2,'جرد فعلي'!$C$2:$C$12001,$A20,'جرد فعلي'!$A$2:$A$12001,'إعدادات المخزون'!$B$4)&gt;0,"نعم","لا")</f>
        <v>لا</v>
      </c>
      <c r="L20" s="109" t="str">
        <f aca="false">IF(K20="نعم",SUMIFS('جرد فعلي'!$D$2:$D$12001,'جرد فعلي'!$B$2:$B$12001,$B$2,'جرد فعلي'!$C$2:$C$12001,$A20,'جرد فعلي'!$A$2:$A$12001,'إعدادات المخزون'!$B$4),"")</f>
        <v/>
      </c>
      <c r="M20" s="108" t="str">
        <f aca="false">IF(K20="نعم",L20-J20,"")</f>
        <v/>
      </c>
      <c r="N20" s="110" t="str">
        <f aca="false">IF(K20="نعم",IF(J20=0,IF(M20=0,0,SIGN(M20)),M20/ABS(J20)),"")</f>
        <v/>
      </c>
      <c r="O20" s="107" t="str">
        <f aca="false">IF(K20="نعم",M20*C20,"")</f>
        <v/>
      </c>
      <c r="P20" s="36" t="str">
        <f aca="false">IF(K20&lt;&gt;"نعم","لم يُجرد",IF(ABS(N20)&lt;='إعدادات المخزون'!$B$7,"مطابق",IF(M20&lt;0,"عجز","زيادة")))</f>
        <v>لم يُجرد</v>
      </c>
      <c r="Q20" s="108" t="n">
        <f aca="false">J20-Z20</f>
        <v>269.5</v>
      </c>
      <c r="R20" s="108"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8" t="str">
        <f aca="false">IF(AND(K20="نعم",R20&lt;&gt;""),(L20-J20)-(R20-Q20),"")</f>
        <v/>
      </c>
      <c r="T20" s="107" t="str">
        <f aca="false">IF(S20="","",S20*C20)</f>
        <v/>
      </c>
      <c r="U20" s="108" t="n">
        <f aca="false">IF(K20="نعم",L20,J20)</f>
        <v>269.5</v>
      </c>
      <c r="V20" s="108" t="n">
        <f aca="false">SUMPRODUCT('مصفوفة الاستهلاك'!$O$2:$O$172,'متجهات المبيعات'!$D$2:$D$172)/'مواد المخزون'!$D$15/MAX(1,MIN('إعدادات المخزون'!$B$11,'إعدادات المخزون'!$B$4-'إعدادات المخزون'!$B$5+1))</f>
        <v>0</v>
      </c>
      <c r="W20" s="108" t="n">
        <f aca="false">IF(V20&lt;=0,0,ROUNDUP(MAX(0,V20*('إعدادات المخزون'!$B$8+'إعدادات المخزون'!$B$9+'إعدادات المخزون'!$B$10)-MAX(U20,0))/'مواد المخزون'!$F15,0)*'مواد المخزون'!$F15)</f>
        <v>0</v>
      </c>
      <c r="X20" s="107" t="n">
        <f aca="false">IF(AND(K20="نعم",O20&lt;0),-O20+ROW()*0.000000001,0)</f>
        <v>0</v>
      </c>
      <c r="Y20" s="107" t="n">
        <f aca="false">IF(AND(K20="نعم",O20&gt;0),O20+ROW()*0.000000001,0)</f>
        <v>0</v>
      </c>
      <c r="Z20" s="108"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المبيعات'!$B$2:$B$172)/'مواد المخزون'!$D$15</f>
        <v>0</v>
      </c>
      <c r="AA20" s="107" t="n">
        <f aca="false">IF(K20="نعم",O20,0)</f>
        <v>0</v>
      </c>
      <c r="AB20" s="107" t="n">
        <f aca="false">IF(K20="نعم",J20*C20,0)</f>
        <v>0</v>
      </c>
      <c r="AC20" s="107"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7" t="n">
        <f aca="false">'مواد المخزون'!E16</f>
        <v>48.7817</v>
      </c>
      <c r="D21" s="108" t="n">
        <f aca="false">'جرد أول المدة'!C19</f>
        <v>31</v>
      </c>
      <c r="E21" s="108" t="n">
        <f aca="false">SUMIFS('مشتريات يومية'!$D$2:$D$4001,'مشتريات يومية'!$B$2:$B$4001,$B$2,'مشتريات يومية'!$C$2:$C$4001,$A21,'مشتريات يومية'!$A$2:$A$4001,"&gt;="&amp;'إعدادات المخزون'!$B$5,'مشتريات يومية'!$A$2:$A$4001,"&lt;="&amp;'إعدادات المخزون'!$B$4)</f>
        <v>57</v>
      </c>
      <c r="F21" s="108"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8"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8" t="n">
        <f aca="false">SUMPRODUCT('مصفوفة الاستهلاك'!$P$2:$P$172,'متجهات المبيعات'!$C$2:$C$172)/'مواد المخزون'!$D$16</f>
        <v>0</v>
      </c>
      <c r="I21" s="108"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8" t="n">
        <f aca="false">D21+E21+F21-G21-H21-I21</f>
        <v>88</v>
      </c>
      <c r="K21" s="36" t="str">
        <f aca="false">IF(COUNTIFS('جرد فعلي'!$B$2:$B$12001,$B$2,'جرد فعلي'!$C$2:$C$12001,$A21,'جرد فعلي'!$A$2:$A$12001,'إعدادات المخزون'!$B$4)&gt;0,"نعم","لا")</f>
        <v>لا</v>
      </c>
      <c r="L21" s="109" t="str">
        <f aca="false">IF(K21="نعم",SUMIFS('جرد فعلي'!$D$2:$D$12001,'جرد فعلي'!$B$2:$B$12001,$B$2,'جرد فعلي'!$C$2:$C$12001,$A21,'جرد فعلي'!$A$2:$A$12001,'إعدادات المخزون'!$B$4),"")</f>
        <v/>
      </c>
      <c r="M21" s="108" t="str">
        <f aca="false">IF(K21="نعم",L21-J21,"")</f>
        <v/>
      </c>
      <c r="N21" s="110" t="str">
        <f aca="false">IF(K21="نعم",IF(J21=0,IF(M21=0,0,SIGN(M21)),M21/ABS(J21)),"")</f>
        <v/>
      </c>
      <c r="O21" s="107" t="str">
        <f aca="false">IF(K21="نعم",M21*C21,"")</f>
        <v/>
      </c>
      <c r="P21" s="36" t="str">
        <f aca="false">IF(K21&lt;&gt;"نعم","لم يُجرد",IF(ABS(N21)&lt;='إعدادات المخزون'!$B$7,"مطابق",IF(M21&lt;0,"عجز","زيادة")))</f>
        <v>لم يُجرد</v>
      </c>
      <c r="Q21" s="108" t="n">
        <f aca="false">J21-Z21</f>
        <v>88</v>
      </c>
      <c r="R21" s="108"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8" t="str">
        <f aca="false">IF(AND(K21="نعم",R21&lt;&gt;""),(L21-J21)-(R21-Q21),"")</f>
        <v/>
      </c>
      <c r="T21" s="107" t="str">
        <f aca="false">IF(S21="","",S21*C21)</f>
        <v/>
      </c>
      <c r="U21" s="108" t="n">
        <f aca="false">IF(K21="نعم",L21,J21)</f>
        <v>88</v>
      </c>
      <c r="V21" s="108" t="n">
        <f aca="false">SUMPRODUCT('مصفوفة الاستهلاك'!$P$2:$P$172,'متجهات المبيعات'!$D$2:$D$172)/'مواد المخزون'!$D$16/MAX(1,MIN('إعدادات المخزون'!$B$11,'إعدادات المخزون'!$B$4-'إعدادات المخزون'!$B$5+1))</f>
        <v>0</v>
      </c>
      <c r="W21" s="108" t="n">
        <f aca="false">IF(V21&lt;=0,0,ROUNDUP(MAX(0,V21*('إعدادات المخزون'!$B$8+'إعدادات المخزون'!$B$9+'إعدادات المخزون'!$B$10)-MAX(U21,0))/'مواد المخزون'!$F16,0)*'مواد المخزون'!$F16)</f>
        <v>0</v>
      </c>
      <c r="X21" s="107" t="n">
        <f aca="false">IF(AND(K21="نعم",O21&lt;0),-O21+ROW()*0.000000001,0)</f>
        <v>0</v>
      </c>
      <c r="Y21" s="107" t="n">
        <f aca="false">IF(AND(K21="نعم",O21&gt;0),O21+ROW()*0.000000001,0)</f>
        <v>0</v>
      </c>
      <c r="Z21" s="108"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المبيعات'!$B$2:$B$172)/'مواد المخزون'!$D$16</f>
        <v>0</v>
      </c>
      <c r="AA21" s="107" t="n">
        <f aca="false">IF(K21="نعم",O21,0)</f>
        <v>0</v>
      </c>
      <c r="AB21" s="107" t="n">
        <f aca="false">IF(K21="نعم",J21*C21,0)</f>
        <v>0</v>
      </c>
      <c r="AC21" s="107"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7" t="n">
        <f aca="false">'مواد المخزون'!E17</f>
        <v>30</v>
      </c>
      <c r="D22" s="108" t="n">
        <f aca="false">'جرد أول المدة'!C20</f>
        <v>43</v>
      </c>
      <c r="E22" s="108" t="n">
        <f aca="false">SUMIFS('مشتريات يومية'!$D$2:$D$4001,'مشتريات يومية'!$B$2:$B$4001,$B$2,'مشتريات يومية'!$C$2:$C$4001,$A22,'مشتريات يومية'!$A$2:$A$4001,"&gt;="&amp;'إعدادات المخزون'!$B$5,'مشتريات يومية'!$A$2:$A$4001,"&lt;="&amp;'إعدادات المخزون'!$B$4)</f>
        <v>100</v>
      </c>
      <c r="F22" s="108"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8"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8" t="n">
        <f aca="false">SUMPRODUCT('مصفوفة الاستهلاك'!$Q$2:$Q$172,'متجهات المبيعات'!$C$2:$C$172)/'مواد المخزون'!$D$17</f>
        <v>0</v>
      </c>
      <c r="I22" s="108"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8" t="n">
        <f aca="false">D22+E22+F22-G22-H22-I22</f>
        <v>143</v>
      </c>
      <c r="K22" s="36" t="str">
        <f aca="false">IF(COUNTIFS('جرد فعلي'!$B$2:$B$12001,$B$2,'جرد فعلي'!$C$2:$C$12001,$A22,'جرد فعلي'!$A$2:$A$12001,'إعدادات المخزون'!$B$4)&gt;0,"نعم","لا")</f>
        <v>لا</v>
      </c>
      <c r="L22" s="109" t="str">
        <f aca="false">IF(K22="نعم",SUMIFS('جرد فعلي'!$D$2:$D$12001,'جرد فعلي'!$B$2:$B$12001,$B$2,'جرد فعلي'!$C$2:$C$12001,$A22,'جرد فعلي'!$A$2:$A$12001,'إعدادات المخزون'!$B$4),"")</f>
        <v/>
      </c>
      <c r="M22" s="108" t="str">
        <f aca="false">IF(K22="نعم",L22-J22,"")</f>
        <v/>
      </c>
      <c r="N22" s="110" t="str">
        <f aca="false">IF(K22="نعم",IF(J22=0,IF(M22=0,0,SIGN(M22)),M22/ABS(J22)),"")</f>
        <v/>
      </c>
      <c r="O22" s="107" t="str">
        <f aca="false">IF(K22="نعم",M22*C22,"")</f>
        <v/>
      </c>
      <c r="P22" s="36" t="str">
        <f aca="false">IF(K22&lt;&gt;"نعم","لم يُجرد",IF(ABS(N22)&lt;='إعدادات المخزون'!$B$7,"مطابق",IF(M22&lt;0,"عجز","زيادة")))</f>
        <v>لم يُجرد</v>
      </c>
      <c r="Q22" s="108" t="n">
        <f aca="false">J22-Z22</f>
        <v>143</v>
      </c>
      <c r="R22" s="108"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8" t="str">
        <f aca="false">IF(AND(K22="نعم",R22&lt;&gt;""),(L22-J22)-(R22-Q22),"")</f>
        <v/>
      </c>
      <c r="T22" s="107" t="str">
        <f aca="false">IF(S22="","",S22*C22)</f>
        <v/>
      </c>
      <c r="U22" s="108" t="n">
        <f aca="false">IF(K22="نعم",L22,J22)</f>
        <v>143</v>
      </c>
      <c r="V22" s="108" t="n">
        <f aca="false">SUMPRODUCT('مصفوفة الاستهلاك'!$Q$2:$Q$172,'متجهات المبيعات'!$D$2:$D$172)/'مواد المخزون'!$D$17/MAX(1,MIN('إعدادات المخزون'!$B$11,'إعدادات المخزون'!$B$4-'إعدادات المخزون'!$B$5+1))</f>
        <v>0</v>
      </c>
      <c r="W22" s="108" t="n">
        <f aca="false">IF(V22&lt;=0,0,ROUNDUP(MAX(0,V22*('إعدادات المخزون'!$B$8+'إعدادات المخزون'!$B$9+'إعدادات المخزون'!$B$10)-MAX(U22,0))/'مواد المخزون'!$F17,0)*'مواد المخزون'!$F17)</f>
        <v>0</v>
      </c>
      <c r="X22" s="107" t="n">
        <f aca="false">IF(AND(K22="نعم",O22&lt;0),-O22+ROW()*0.000000001,0)</f>
        <v>0</v>
      </c>
      <c r="Y22" s="107" t="n">
        <f aca="false">IF(AND(K22="نعم",O22&gt;0),O22+ROW()*0.000000001,0)</f>
        <v>0</v>
      </c>
      <c r="Z22" s="108"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المبيعات'!$B$2:$B$172)/'مواد المخزون'!$D$17</f>
        <v>0</v>
      </c>
      <c r="AA22" s="107" t="n">
        <f aca="false">IF(K22="نعم",O22,0)</f>
        <v>0</v>
      </c>
      <c r="AB22" s="107" t="n">
        <f aca="false">IF(K22="نعم",J22*C22,0)</f>
        <v>0</v>
      </c>
      <c r="AC22" s="107"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7" t="n">
        <f aca="false">'مواد المخزون'!E18</f>
        <v>29</v>
      </c>
      <c r="D23" s="108" t="n">
        <f aca="false">'جرد أول المدة'!C21</f>
        <v>0</v>
      </c>
      <c r="E23" s="108" t="n">
        <f aca="false">SUMIFS('مشتريات يومية'!$D$2:$D$4001,'مشتريات يومية'!$B$2:$B$4001,$B$2,'مشتريات يومية'!$C$2:$C$4001,$A23,'مشتريات يومية'!$A$2:$A$4001,"&gt;="&amp;'إعدادات المخزون'!$B$5,'مشتريات يومية'!$A$2:$A$4001,"&lt;="&amp;'إعدادات المخزون'!$B$4)</f>
        <v>0</v>
      </c>
      <c r="F23" s="108"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8"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8" t="n">
        <f aca="false">SUMPRODUCT('مصفوفة الاستهلاك'!$R$2:$R$172,'متجهات المبيعات'!$C$2:$C$172)/'مواد المخزون'!$D$18</f>
        <v>0</v>
      </c>
      <c r="I23" s="108"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8" t="n">
        <f aca="false">D23+E23+F23-G23-H23-I23</f>
        <v>0</v>
      </c>
      <c r="K23" s="36" t="str">
        <f aca="false">IF(COUNTIFS('جرد فعلي'!$B$2:$B$12001,$B$2,'جرد فعلي'!$C$2:$C$12001,$A23,'جرد فعلي'!$A$2:$A$12001,'إعدادات المخزون'!$B$4)&gt;0,"نعم","لا")</f>
        <v>لا</v>
      </c>
      <c r="L23" s="109" t="str">
        <f aca="false">IF(K23="نعم",SUMIFS('جرد فعلي'!$D$2:$D$12001,'جرد فعلي'!$B$2:$B$12001,$B$2,'جرد فعلي'!$C$2:$C$12001,$A23,'جرد فعلي'!$A$2:$A$12001,'إعدادات المخزون'!$B$4),"")</f>
        <v/>
      </c>
      <c r="M23" s="108" t="str">
        <f aca="false">IF(K23="نعم",L23-J23,"")</f>
        <v/>
      </c>
      <c r="N23" s="110" t="str">
        <f aca="false">IF(K23="نعم",IF(J23=0,IF(M23=0,0,SIGN(M23)),M23/ABS(J23)),"")</f>
        <v/>
      </c>
      <c r="O23" s="107" t="str">
        <f aca="false">IF(K23="نعم",M23*C23,"")</f>
        <v/>
      </c>
      <c r="P23" s="36" t="str">
        <f aca="false">IF(K23&lt;&gt;"نعم","لم يُجرد",IF(ABS(N23)&lt;='إعدادات المخزون'!$B$7,"مطابق",IF(M23&lt;0,"عجز","زيادة")))</f>
        <v>لم يُجرد</v>
      </c>
      <c r="Q23" s="108" t="n">
        <f aca="false">J23-Z23</f>
        <v>0</v>
      </c>
      <c r="R23" s="108"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8" t="str">
        <f aca="false">IF(AND(K23="نعم",R23&lt;&gt;""),(L23-J23)-(R23-Q23),"")</f>
        <v/>
      </c>
      <c r="T23" s="107" t="str">
        <f aca="false">IF(S23="","",S23*C23)</f>
        <v/>
      </c>
      <c r="U23" s="108" t="n">
        <f aca="false">IF(K23="نعم",L23,J23)</f>
        <v>0</v>
      </c>
      <c r="V23" s="108" t="n">
        <f aca="false">SUMPRODUCT('مصفوفة الاستهلاك'!$R$2:$R$172,'متجهات المبيعات'!$D$2:$D$172)/'مواد المخزون'!$D$18/MAX(1,MIN('إعدادات المخزون'!$B$11,'إعدادات المخزون'!$B$4-'إعدادات المخزون'!$B$5+1))</f>
        <v>0</v>
      </c>
      <c r="W23" s="108" t="n">
        <f aca="false">IF(V23&lt;=0,0,ROUNDUP(MAX(0,V23*('إعدادات المخزون'!$B$8+'إعدادات المخزون'!$B$9+'إعدادات المخزون'!$B$10)-MAX(U23,0))/'مواد المخزون'!$F18,0)*'مواد المخزون'!$F18)</f>
        <v>0</v>
      </c>
      <c r="X23" s="107" t="n">
        <f aca="false">IF(AND(K23="نعم",O23&lt;0),-O23+ROW()*0.000000001,0)</f>
        <v>0</v>
      </c>
      <c r="Y23" s="107" t="n">
        <f aca="false">IF(AND(K23="نعم",O23&gt;0),O23+ROW()*0.000000001,0)</f>
        <v>0</v>
      </c>
      <c r="Z23" s="108"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المبيعات'!$B$2:$B$172)/'مواد المخزون'!$D$18</f>
        <v>0</v>
      </c>
      <c r="AA23" s="107" t="n">
        <f aca="false">IF(K23="نعم",O23,0)</f>
        <v>0</v>
      </c>
      <c r="AB23" s="107" t="n">
        <f aca="false">IF(K23="نعم",J23*C23,0)</f>
        <v>0</v>
      </c>
      <c r="AC23" s="107"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7" t="n">
        <f aca="false">'مواد المخزون'!E19</f>
        <v>25</v>
      </c>
      <c r="D24" s="108" t="n">
        <f aca="false">'جرد أول المدة'!C22</f>
        <v>14</v>
      </c>
      <c r="E24" s="108" t="n">
        <f aca="false">SUMIFS('مشتريات يومية'!$D$2:$D$4001,'مشتريات يومية'!$B$2:$B$4001,$B$2,'مشتريات يومية'!$C$2:$C$4001,$A24,'مشتريات يومية'!$A$2:$A$4001,"&gt;="&amp;'إعدادات المخزون'!$B$5,'مشتريات يومية'!$A$2:$A$4001,"&lt;="&amp;'إعدادات المخزون'!$B$4)</f>
        <v>30</v>
      </c>
      <c r="F24" s="108"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8"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8" t="n">
        <f aca="false">SUMPRODUCT('مصفوفة الاستهلاك'!$S$2:$S$172,'متجهات المبيعات'!$C$2:$C$172)/'مواد المخزون'!$D$19</f>
        <v>0</v>
      </c>
      <c r="I24" s="108"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8" t="n">
        <f aca="false">D24+E24+F24-G24-H24-I24</f>
        <v>44</v>
      </c>
      <c r="K24" s="36" t="str">
        <f aca="false">IF(COUNTIFS('جرد فعلي'!$B$2:$B$12001,$B$2,'جرد فعلي'!$C$2:$C$12001,$A24,'جرد فعلي'!$A$2:$A$12001,'إعدادات المخزون'!$B$4)&gt;0,"نعم","لا")</f>
        <v>لا</v>
      </c>
      <c r="L24" s="109" t="str">
        <f aca="false">IF(K24="نعم",SUMIFS('جرد فعلي'!$D$2:$D$12001,'جرد فعلي'!$B$2:$B$12001,$B$2,'جرد فعلي'!$C$2:$C$12001,$A24,'جرد فعلي'!$A$2:$A$12001,'إعدادات المخزون'!$B$4),"")</f>
        <v/>
      </c>
      <c r="M24" s="108" t="str">
        <f aca="false">IF(K24="نعم",L24-J24,"")</f>
        <v/>
      </c>
      <c r="N24" s="110" t="str">
        <f aca="false">IF(K24="نعم",IF(J24=0,IF(M24=0,0,SIGN(M24)),M24/ABS(J24)),"")</f>
        <v/>
      </c>
      <c r="O24" s="107" t="str">
        <f aca="false">IF(K24="نعم",M24*C24,"")</f>
        <v/>
      </c>
      <c r="P24" s="36" t="str">
        <f aca="false">IF(K24&lt;&gt;"نعم","لم يُجرد",IF(ABS(N24)&lt;='إعدادات المخزون'!$B$7,"مطابق",IF(M24&lt;0,"عجز","زيادة")))</f>
        <v>لم يُجرد</v>
      </c>
      <c r="Q24" s="108" t="n">
        <f aca="false">J24-Z24</f>
        <v>44</v>
      </c>
      <c r="R24" s="108"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8" t="str">
        <f aca="false">IF(AND(K24="نعم",R24&lt;&gt;""),(L24-J24)-(R24-Q24),"")</f>
        <v/>
      </c>
      <c r="T24" s="107" t="str">
        <f aca="false">IF(S24="","",S24*C24)</f>
        <v/>
      </c>
      <c r="U24" s="108" t="n">
        <f aca="false">IF(K24="نعم",L24,J24)</f>
        <v>44</v>
      </c>
      <c r="V24" s="108" t="n">
        <f aca="false">SUMPRODUCT('مصفوفة الاستهلاك'!$S$2:$S$172,'متجهات المبيعات'!$D$2:$D$172)/'مواد المخزون'!$D$19/MAX(1,MIN('إعدادات المخزون'!$B$11,'إعدادات المخزون'!$B$4-'إعدادات المخزون'!$B$5+1))</f>
        <v>0</v>
      </c>
      <c r="W24" s="108" t="n">
        <f aca="false">IF(V24&lt;=0,0,ROUNDUP(MAX(0,V24*('إعدادات المخزون'!$B$8+'إعدادات المخزون'!$B$9+'إعدادات المخزون'!$B$10)-MAX(U24,0))/'مواد المخزون'!$F19,0)*'مواد المخزون'!$F19)</f>
        <v>0</v>
      </c>
      <c r="X24" s="107" t="n">
        <f aca="false">IF(AND(K24="نعم",O24&lt;0),-O24+ROW()*0.000000001,0)</f>
        <v>0</v>
      </c>
      <c r="Y24" s="107" t="n">
        <f aca="false">IF(AND(K24="نعم",O24&gt;0),O24+ROW()*0.000000001,0)</f>
        <v>0</v>
      </c>
      <c r="Z24" s="108"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المبيعات'!$B$2:$B$172)/'مواد المخزون'!$D$19</f>
        <v>0</v>
      </c>
      <c r="AA24" s="107" t="n">
        <f aca="false">IF(K24="نعم",O24,0)</f>
        <v>0</v>
      </c>
      <c r="AB24" s="107" t="n">
        <f aca="false">IF(K24="نعم",J24*C24,0)</f>
        <v>0</v>
      </c>
      <c r="AC24" s="107"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7" t="n">
        <f aca="false">'مواد المخزون'!E20</f>
        <v>21</v>
      </c>
      <c r="D25" s="108" t="n">
        <f aca="false">'جرد أول المدة'!C23</f>
        <v>38</v>
      </c>
      <c r="E25" s="108" t="n">
        <f aca="false">SUMIFS('مشتريات يومية'!$D$2:$D$4001,'مشتريات يومية'!$B$2:$B$4001,$B$2,'مشتريات يومية'!$C$2:$C$4001,$A25,'مشتريات يومية'!$A$2:$A$4001,"&gt;="&amp;'إعدادات المخزون'!$B$5,'مشتريات يومية'!$A$2:$A$4001,"&lt;="&amp;'إعدادات المخزون'!$B$4)</f>
        <v>10</v>
      </c>
      <c r="F25" s="108"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8"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8" t="n">
        <f aca="false">SUMPRODUCT('مصفوفة الاستهلاك'!$T$2:$T$172,'متجهات المبيعات'!$C$2:$C$172)/'مواد المخزون'!$D$20</f>
        <v>0</v>
      </c>
      <c r="I25" s="108"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8" t="n">
        <f aca="false">D25+E25+F25-G25-H25-I25</f>
        <v>48</v>
      </c>
      <c r="K25" s="36" t="str">
        <f aca="false">IF(COUNTIFS('جرد فعلي'!$B$2:$B$12001,$B$2,'جرد فعلي'!$C$2:$C$12001,$A25,'جرد فعلي'!$A$2:$A$12001,'إعدادات المخزون'!$B$4)&gt;0,"نعم","لا")</f>
        <v>لا</v>
      </c>
      <c r="L25" s="109" t="str">
        <f aca="false">IF(K25="نعم",SUMIFS('جرد فعلي'!$D$2:$D$12001,'جرد فعلي'!$B$2:$B$12001,$B$2,'جرد فعلي'!$C$2:$C$12001,$A25,'جرد فعلي'!$A$2:$A$12001,'إعدادات المخزون'!$B$4),"")</f>
        <v/>
      </c>
      <c r="M25" s="108" t="str">
        <f aca="false">IF(K25="نعم",L25-J25,"")</f>
        <v/>
      </c>
      <c r="N25" s="110" t="str">
        <f aca="false">IF(K25="نعم",IF(J25=0,IF(M25=0,0,SIGN(M25)),M25/ABS(J25)),"")</f>
        <v/>
      </c>
      <c r="O25" s="107" t="str">
        <f aca="false">IF(K25="نعم",M25*C25,"")</f>
        <v/>
      </c>
      <c r="P25" s="36" t="str">
        <f aca="false">IF(K25&lt;&gt;"نعم","لم يُجرد",IF(ABS(N25)&lt;='إعدادات المخزون'!$B$7,"مطابق",IF(M25&lt;0,"عجز","زيادة")))</f>
        <v>لم يُجرد</v>
      </c>
      <c r="Q25" s="108" t="n">
        <f aca="false">J25-Z25</f>
        <v>48</v>
      </c>
      <c r="R25" s="108"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8" t="str">
        <f aca="false">IF(AND(K25="نعم",R25&lt;&gt;""),(L25-J25)-(R25-Q25),"")</f>
        <v/>
      </c>
      <c r="T25" s="107" t="str">
        <f aca="false">IF(S25="","",S25*C25)</f>
        <v/>
      </c>
      <c r="U25" s="108" t="n">
        <f aca="false">IF(K25="نعم",L25,J25)</f>
        <v>48</v>
      </c>
      <c r="V25" s="108" t="n">
        <f aca="false">SUMPRODUCT('مصفوفة الاستهلاك'!$T$2:$T$172,'متجهات المبيعات'!$D$2:$D$172)/'مواد المخزون'!$D$20/MAX(1,MIN('إعدادات المخزون'!$B$11,'إعدادات المخزون'!$B$4-'إعدادات المخزون'!$B$5+1))</f>
        <v>0</v>
      </c>
      <c r="W25" s="108" t="n">
        <f aca="false">IF(V25&lt;=0,0,ROUNDUP(MAX(0,V25*('إعدادات المخزون'!$B$8+'إعدادات المخزون'!$B$9+'إعدادات المخزون'!$B$10)-MAX(U25,0))/'مواد المخزون'!$F20,0)*'مواد المخزون'!$F20)</f>
        <v>0</v>
      </c>
      <c r="X25" s="107" t="n">
        <f aca="false">IF(AND(K25="نعم",O25&lt;0),-O25+ROW()*0.000000001,0)</f>
        <v>0</v>
      </c>
      <c r="Y25" s="107" t="n">
        <f aca="false">IF(AND(K25="نعم",O25&gt;0),O25+ROW()*0.000000001,0)</f>
        <v>0</v>
      </c>
      <c r="Z25" s="108"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المبيعات'!$B$2:$B$172)/'مواد المخزون'!$D$20</f>
        <v>0</v>
      </c>
      <c r="AA25" s="107" t="n">
        <f aca="false">IF(K25="نعم",O25,0)</f>
        <v>0</v>
      </c>
      <c r="AB25" s="107" t="n">
        <f aca="false">IF(K25="نعم",J25*C25,0)</f>
        <v>0</v>
      </c>
      <c r="AC25" s="107"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7" t="n">
        <f aca="false">'مواد المخزون'!E21</f>
        <v>23</v>
      </c>
      <c r="D26" s="108" t="n">
        <f aca="false">'جرد أول المدة'!C24</f>
        <v>6</v>
      </c>
      <c r="E26" s="108" t="n">
        <f aca="false">SUMIFS('مشتريات يومية'!$D$2:$D$4001,'مشتريات يومية'!$B$2:$B$4001,$B$2,'مشتريات يومية'!$C$2:$C$4001,$A26,'مشتريات يومية'!$A$2:$A$4001,"&gt;="&amp;'إعدادات المخزون'!$B$5,'مشتريات يومية'!$A$2:$A$4001,"&lt;="&amp;'إعدادات المخزون'!$B$4)</f>
        <v>40</v>
      </c>
      <c r="F26" s="108"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8"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8" t="n">
        <f aca="false">SUMPRODUCT('مصفوفة الاستهلاك'!$U$2:$U$172,'متجهات المبيعات'!$C$2:$C$172)/'مواد المخزون'!$D$21</f>
        <v>0</v>
      </c>
      <c r="I26" s="108"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8" t="n">
        <f aca="false">D26+E26+F26-G26-H26-I26</f>
        <v>46</v>
      </c>
      <c r="K26" s="36" t="str">
        <f aca="false">IF(COUNTIFS('جرد فعلي'!$B$2:$B$12001,$B$2,'جرد فعلي'!$C$2:$C$12001,$A26,'جرد فعلي'!$A$2:$A$12001,'إعدادات المخزون'!$B$4)&gt;0,"نعم","لا")</f>
        <v>لا</v>
      </c>
      <c r="L26" s="109" t="str">
        <f aca="false">IF(K26="نعم",SUMIFS('جرد فعلي'!$D$2:$D$12001,'جرد فعلي'!$B$2:$B$12001,$B$2,'جرد فعلي'!$C$2:$C$12001,$A26,'جرد فعلي'!$A$2:$A$12001,'إعدادات المخزون'!$B$4),"")</f>
        <v/>
      </c>
      <c r="M26" s="108" t="str">
        <f aca="false">IF(K26="نعم",L26-J26,"")</f>
        <v/>
      </c>
      <c r="N26" s="110" t="str">
        <f aca="false">IF(K26="نعم",IF(J26=0,IF(M26=0,0,SIGN(M26)),M26/ABS(J26)),"")</f>
        <v/>
      </c>
      <c r="O26" s="107" t="str">
        <f aca="false">IF(K26="نعم",M26*C26,"")</f>
        <v/>
      </c>
      <c r="P26" s="36" t="str">
        <f aca="false">IF(K26&lt;&gt;"نعم","لم يُجرد",IF(ABS(N26)&lt;='إعدادات المخزون'!$B$7,"مطابق",IF(M26&lt;0,"عجز","زيادة")))</f>
        <v>لم يُجرد</v>
      </c>
      <c r="Q26" s="108" t="n">
        <f aca="false">J26-Z26</f>
        <v>46</v>
      </c>
      <c r="R26" s="108"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8" t="str">
        <f aca="false">IF(AND(K26="نعم",R26&lt;&gt;""),(L26-J26)-(R26-Q26),"")</f>
        <v/>
      </c>
      <c r="T26" s="107" t="str">
        <f aca="false">IF(S26="","",S26*C26)</f>
        <v/>
      </c>
      <c r="U26" s="108" t="n">
        <f aca="false">IF(K26="نعم",L26,J26)</f>
        <v>46</v>
      </c>
      <c r="V26" s="108" t="n">
        <f aca="false">SUMPRODUCT('مصفوفة الاستهلاك'!$U$2:$U$172,'متجهات المبيعات'!$D$2:$D$172)/'مواد المخزون'!$D$21/MAX(1,MIN('إعدادات المخزون'!$B$11,'إعدادات المخزون'!$B$4-'إعدادات المخزون'!$B$5+1))</f>
        <v>0</v>
      </c>
      <c r="W26" s="108" t="n">
        <f aca="false">IF(V26&lt;=0,0,ROUNDUP(MAX(0,V26*('إعدادات المخزون'!$B$8+'إعدادات المخزون'!$B$9+'إعدادات المخزون'!$B$10)-MAX(U26,0))/'مواد المخزون'!$F21,0)*'مواد المخزون'!$F21)</f>
        <v>0</v>
      </c>
      <c r="X26" s="107" t="n">
        <f aca="false">IF(AND(K26="نعم",O26&lt;0),-O26+ROW()*0.000000001,0)</f>
        <v>0</v>
      </c>
      <c r="Y26" s="107" t="n">
        <f aca="false">IF(AND(K26="نعم",O26&gt;0),O26+ROW()*0.000000001,0)</f>
        <v>0</v>
      </c>
      <c r="Z26" s="108"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المبيعات'!$B$2:$B$172)/'مواد المخزون'!$D$21</f>
        <v>0</v>
      </c>
      <c r="AA26" s="107" t="n">
        <f aca="false">IF(K26="نعم",O26,0)</f>
        <v>0</v>
      </c>
      <c r="AB26" s="107" t="n">
        <f aca="false">IF(K26="نعم",J26*C26,0)</f>
        <v>0</v>
      </c>
      <c r="AC26" s="107"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7" t="n">
        <f aca="false">'مواد المخزون'!E22</f>
        <v>20</v>
      </c>
      <c r="D27" s="108" t="n">
        <f aca="false">'جرد أول المدة'!C25</f>
        <v>75</v>
      </c>
      <c r="E27" s="108" t="n">
        <f aca="false">SUMIFS('مشتريات يومية'!$D$2:$D$4001,'مشتريات يومية'!$B$2:$B$4001,$B$2,'مشتريات يومية'!$C$2:$C$4001,$A27,'مشتريات يومية'!$A$2:$A$4001,"&gt;="&amp;'إعدادات المخزون'!$B$5,'مشتريات يومية'!$A$2:$A$4001,"&lt;="&amp;'إعدادات المخزون'!$B$4)</f>
        <v>705</v>
      </c>
      <c r="F27" s="108"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8"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8" t="n">
        <f aca="false">SUMPRODUCT('مصفوفة الاستهلاك'!$V$2:$V$172,'متجهات المبيعات'!$C$2:$C$172)/'مواد المخزون'!$D$22</f>
        <v>0</v>
      </c>
      <c r="I27" s="108"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8" t="n">
        <f aca="false">D27+E27+F27-G27-H27-I27</f>
        <v>780</v>
      </c>
      <c r="K27" s="36" t="str">
        <f aca="false">IF(COUNTIFS('جرد فعلي'!$B$2:$B$12001,$B$2,'جرد فعلي'!$C$2:$C$12001,$A27,'جرد فعلي'!$A$2:$A$12001,'إعدادات المخزون'!$B$4)&gt;0,"نعم","لا")</f>
        <v>لا</v>
      </c>
      <c r="L27" s="109" t="str">
        <f aca="false">IF(K27="نعم",SUMIFS('جرد فعلي'!$D$2:$D$12001,'جرد فعلي'!$B$2:$B$12001,$B$2,'جرد فعلي'!$C$2:$C$12001,$A27,'جرد فعلي'!$A$2:$A$12001,'إعدادات المخزون'!$B$4),"")</f>
        <v/>
      </c>
      <c r="M27" s="108" t="str">
        <f aca="false">IF(K27="نعم",L27-J27,"")</f>
        <v/>
      </c>
      <c r="N27" s="110" t="str">
        <f aca="false">IF(K27="نعم",IF(J27=0,IF(M27=0,0,SIGN(M27)),M27/ABS(J27)),"")</f>
        <v/>
      </c>
      <c r="O27" s="107" t="str">
        <f aca="false">IF(K27="نعم",M27*C27,"")</f>
        <v/>
      </c>
      <c r="P27" s="36" t="str">
        <f aca="false">IF(K27&lt;&gt;"نعم","لم يُجرد",IF(ABS(N27)&lt;='إعدادات المخزون'!$B$7,"مطابق",IF(M27&lt;0,"عجز","زيادة")))</f>
        <v>لم يُجرد</v>
      </c>
      <c r="Q27" s="108" t="n">
        <f aca="false">J27-Z27</f>
        <v>780</v>
      </c>
      <c r="R27" s="108"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8" t="str">
        <f aca="false">IF(AND(K27="نعم",R27&lt;&gt;""),(L27-J27)-(R27-Q27),"")</f>
        <v/>
      </c>
      <c r="T27" s="107" t="str">
        <f aca="false">IF(S27="","",S27*C27)</f>
        <v/>
      </c>
      <c r="U27" s="108" t="n">
        <f aca="false">IF(K27="نعم",L27,J27)</f>
        <v>780</v>
      </c>
      <c r="V27" s="108" t="n">
        <f aca="false">SUMPRODUCT('مصفوفة الاستهلاك'!$V$2:$V$172,'متجهات المبيعات'!$D$2:$D$172)/'مواد المخزون'!$D$22/MAX(1,MIN('إعدادات المخزون'!$B$11,'إعدادات المخزون'!$B$4-'إعدادات المخزون'!$B$5+1))</f>
        <v>0</v>
      </c>
      <c r="W27" s="108" t="n">
        <f aca="false">IF(V27&lt;=0,0,ROUNDUP(MAX(0,V27*('إعدادات المخزون'!$B$8+'إعدادات المخزون'!$B$9+'إعدادات المخزون'!$B$10)-MAX(U27,0))/'مواد المخزون'!$F22,0)*'مواد المخزون'!$F22)</f>
        <v>0</v>
      </c>
      <c r="X27" s="107" t="n">
        <f aca="false">IF(AND(K27="نعم",O27&lt;0),-O27+ROW()*0.000000001,0)</f>
        <v>0</v>
      </c>
      <c r="Y27" s="107" t="n">
        <f aca="false">IF(AND(K27="نعم",O27&gt;0),O27+ROW()*0.000000001,0)</f>
        <v>0</v>
      </c>
      <c r="Z27" s="108"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المبيعات'!$B$2:$B$172)/'مواد المخزون'!$D$22</f>
        <v>0</v>
      </c>
      <c r="AA27" s="107" t="n">
        <f aca="false">IF(K27="نعم",O27,0)</f>
        <v>0</v>
      </c>
      <c r="AB27" s="107" t="n">
        <f aca="false">IF(K27="نعم",J27*C27,0)</f>
        <v>0</v>
      </c>
      <c r="AC27" s="107"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7" t="n">
        <f aca="false">'مواد المخزون'!E23</f>
        <v>27.1395</v>
      </c>
      <c r="D28" s="108" t="n">
        <f aca="false">'جرد أول المدة'!C26</f>
        <v>40</v>
      </c>
      <c r="E28" s="108" t="n">
        <f aca="false">SUMIFS('مشتريات يومية'!$D$2:$D$4001,'مشتريات يومية'!$B$2:$B$4001,$B$2,'مشتريات يومية'!$C$2:$C$4001,$A28,'مشتريات يومية'!$A$2:$A$4001,"&gt;="&amp;'إعدادات المخزون'!$B$5,'مشتريات يومية'!$A$2:$A$4001,"&lt;="&amp;'إعدادات المخزون'!$B$4)</f>
        <v>120</v>
      </c>
      <c r="F28" s="108"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8"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8" t="n">
        <f aca="false">SUMPRODUCT('مصفوفة الاستهلاك'!$W$2:$W$172,'متجهات المبيعات'!$C$2:$C$172)/'مواد المخزون'!$D$23</f>
        <v>0</v>
      </c>
      <c r="I28" s="108"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8" t="n">
        <f aca="false">D28+E28+F28-G28-H28-I28</f>
        <v>160</v>
      </c>
      <c r="K28" s="36" t="str">
        <f aca="false">IF(COUNTIFS('جرد فعلي'!$B$2:$B$12001,$B$2,'جرد فعلي'!$C$2:$C$12001,$A28,'جرد فعلي'!$A$2:$A$12001,'إعدادات المخزون'!$B$4)&gt;0,"نعم","لا")</f>
        <v>لا</v>
      </c>
      <c r="L28" s="109" t="str">
        <f aca="false">IF(K28="نعم",SUMIFS('جرد فعلي'!$D$2:$D$12001,'جرد فعلي'!$B$2:$B$12001,$B$2,'جرد فعلي'!$C$2:$C$12001,$A28,'جرد فعلي'!$A$2:$A$12001,'إعدادات المخزون'!$B$4),"")</f>
        <v/>
      </c>
      <c r="M28" s="108" t="str">
        <f aca="false">IF(K28="نعم",L28-J28,"")</f>
        <v/>
      </c>
      <c r="N28" s="110" t="str">
        <f aca="false">IF(K28="نعم",IF(J28=0,IF(M28=0,0,SIGN(M28)),M28/ABS(J28)),"")</f>
        <v/>
      </c>
      <c r="O28" s="107" t="str">
        <f aca="false">IF(K28="نعم",M28*C28,"")</f>
        <v/>
      </c>
      <c r="P28" s="36" t="str">
        <f aca="false">IF(K28&lt;&gt;"نعم","لم يُجرد",IF(ABS(N28)&lt;='إعدادات المخزون'!$B$7,"مطابق",IF(M28&lt;0,"عجز","زيادة")))</f>
        <v>لم يُجرد</v>
      </c>
      <c r="Q28" s="108" t="n">
        <f aca="false">J28-Z28</f>
        <v>160</v>
      </c>
      <c r="R28" s="108"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8" t="str">
        <f aca="false">IF(AND(K28="نعم",R28&lt;&gt;""),(L28-J28)-(R28-Q28),"")</f>
        <v/>
      </c>
      <c r="T28" s="107" t="str">
        <f aca="false">IF(S28="","",S28*C28)</f>
        <v/>
      </c>
      <c r="U28" s="108" t="n">
        <f aca="false">IF(K28="نعم",L28,J28)</f>
        <v>160</v>
      </c>
      <c r="V28" s="108" t="n">
        <f aca="false">SUMPRODUCT('مصفوفة الاستهلاك'!$W$2:$W$172,'متجهات المبيعات'!$D$2:$D$172)/'مواد المخزون'!$D$23/MAX(1,MIN('إعدادات المخزون'!$B$11,'إعدادات المخزون'!$B$4-'إعدادات المخزون'!$B$5+1))</f>
        <v>0</v>
      </c>
      <c r="W28" s="108" t="n">
        <f aca="false">IF(V28&lt;=0,0,ROUNDUP(MAX(0,V28*('إعدادات المخزون'!$B$8+'إعدادات المخزون'!$B$9+'إعدادات المخزون'!$B$10)-MAX(U28,0))/'مواد المخزون'!$F23,0)*'مواد المخزون'!$F23)</f>
        <v>0</v>
      </c>
      <c r="X28" s="107" t="n">
        <f aca="false">IF(AND(K28="نعم",O28&lt;0),-O28+ROW()*0.000000001,0)</f>
        <v>0</v>
      </c>
      <c r="Y28" s="107" t="n">
        <f aca="false">IF(AND(K28="نعم",O28&gt;0),O28+ROW()*0.000000001,0)</f>
        <v>0</v>
      </c>
      <c r="Z28" s="108"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المبيعات'!$B$2:$B$172)/'مواد المخزون'!$D$23</f>
        <v>0</v>
      </c>
      <c r="AA28" s="107" t="n">
        <f aca="false">IF(K28="نعم",O28,0)</f>
        <v>0</v>
      </c>
      <c r="AB28" s="107" t="n">
        <f aca="false">IF(K28="نعم",J28*C28,0)</f>
        <v>0</v>
      </c>
      <c r="AC28" s="107"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7" t="n">
        <f aca="false">'مواد المخزون'!E24</f>
        <v>17.5</v>
      </c>
      <c r="D29" s="108" t="n">
        <f aca="false">'جرد أول المدة'!C27</f>
        <v>68</v>
      </c>
      <c r="E29" s="108" t="n">
        <f aca="false">SUMIFS('مشتريات يومية'!$D$2:$D$4001,'مشتريات يومية'!$B$2:$B$4001,$B$2,'مشتريات يومية'!$C$2:$C$4001,$A29,'مشتريات يومية'!$A$2:$A$4001,"&gt;="&amp;'إعدادات المخزون'!$B$5,'مشتريات يومية'!$A$2:$A$4001,"&lt;="&amp;'إعدادات المخزون'!$B$4)</f>
        <v>1005</v>
      </c>
      <c r="F29" s="108"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8"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8" t="n">
        <f aca="false">SUMPRODUCT('مصفوفة الاستهلاك'!$X$2:$X$172,'متجهات المبيعات'!$C$2:$C$172)/'مواد المخزون'!$D$24</f>
        <v>0</v>
      </c>
      <c r="I29" s="108"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8" t="n">
        <f aca="false">D29+E29+F29-G29-H29-I29</f>
        <v>1073</v>
      </c>
      <c r="K29" s="36" t="str">
        <f aca="false">IF(COUNTIFS('جرد فعلي'!$B$2:$B$12001,$B$2,'جرد فعلي'!$C$2:$C$12001,$A29,'جرد فعلي'!$A$2:$A$12001,'إعدادات المخزون'!$B$4)&gt;0,"نعم","لا")</f>
        <v>لا</v>
      </c>
      <c r="L29" s="109" t="str">
        <f aca="false">IF(K29="نعم",SUMIFS('جرد فعلي'!$D$2:$D$12001,'جرد فعلي'!$B$2:$B$12001,$B$2,'جرد فعلي'!$C$2:$C$12001,$A29,'جرد فعلي'!$A$2:$A$12001,'إعدادات المخزون'!$B$4),"")</f>
        <v/>
      </c>
      <c r="M29" s="108" t="str">
        <f aca="false">IF(K29="نعم",L29-J29,"")</f>
        <v/>
      </c>
      <c r="N29" s="110" t="str">
        <f aca="false">IF(K29="نعم",IF(J29=0,IF(M29=0,0,SIGN(M29)),M29/ABS(J29)),"")</f>
        <v/>
      </c>
      <c r="O29" s="107" t="str">
        <f aca="false">IF(K29="نعم",M29*C29,"")</f>
        <v/>
      </c>
      <c r="P29" s="36" t="str">
        <f aca="false">IF(K29&lt;&gt;"نعم","لم يُجرد",IF(ABS(N29)&lt;='إعدادات المخزون'!$B$7,"مطابق",IF(M29&lt;0,"عجز","زيادة")))</f>
        <v>لم يُجرد</v>
      </c>
      <c r="Q29" s="108" t="n">
        <f aca="false">J29-Z29</f>
        <v>1073</v>
      </c>
      <c r="R29" s="108"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8" t="str">
        <f aca="false">IF(AND(K29="نعم",R29&lt;&gt;""),(L29-J29)-(R29-Q29),"")</f>
        <v/>
      </c>
      <c r="T29" s="107" t="str">
        <f aca="false">IF(S29="","",S29*C29)</f>
        <v/>
      </c>
      <c r="U29" s="108" t="n">
        <f aca="false">IF(K29="نعم",L29,J29)</f>
        <v>1073</v>
      </c>
      <c r="V29" s="108" t="n">
        <f aca="false">SUMPRODUCT('مصفوفة الاستهلاك'!$X$2:$X$172,'متجهات المبيعات'!$D$2:$D$172)/'مواد المخزون'!$D$24/MAX(1,MIN('إعدادات المخزون'!$B$11,'إعدادات المخزون'!$B$4-'إعدادات المخزون'!$B$5+1))</f>
        <v>0</v>
      </c>
      <c r="W29" s="108" t="n">
        <f aca="false">IF(V29&lt;=0,0,ROUNDUP(MAX(0,V29*('إعدادات المخزون'!$B$8+'إعدادات المخزون'!$B$9+'إعدادات المخزون'!$B$10)-MAX(U29,0))/'مواد المخزون'!$F24,0)*'مواد المخزون'!$F24)</f>
        <v>0</v>
      </c>
      <c r="X29" s="107" t="n">
        <f aca="false">IF(AND(K29="نعم",O29&lt;0),-O29+ROW()*0.000000001,0)</f>
        <v>0</v>
      </c>
      <c r="Y29" s="107" t="n">
        <f aca="false">IF(AND(K29="نعم",O29&gt;0),O29+ROW()*0.000000001,0)</f>
        <v>0</v>
      </c>
      <c r="Z29" s="108"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المبيعات'!$B$2:$B$172)/'مواد المخزون'!$D$24</f>
        <v>0</v>
      </c>
      <c r="AA29" s="107" t="n">
        <f aca="false">IF(K29="نعم",O29,0)</f>
        <v>0</v>
      </c>
      <c r="AB29" s="107" t="n">
        <f aca="false">IF(K29="نعم",J29*C29,0)</f>
        <v>0</v>
      </c>
      <c r="AC29" s="107"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7" t="n">
        <f aca="false">'مواد المخزون'!E25</f>
        <v>25</v>
      </c>
      <c r="D30" s="108" t="n">
        <f aca="false">'جرد أول المدة'!C28</f>
        <v>60</v>
      </c>
      <c r="E30" s="108" t="n">
        <f aca="false">SUMIFS('مشتريات يومية'!$D$2:$D$4001,'مشتريات يومية'!$B$2:$B$4001,$B$2,'مشتريات يومية'!$C$2:$C$4001,$A30,'مشتريات يومية'!$A$2:$A$4001,"&gt;="&amp;'إعدادات المخزون'!$B$5,'مشتريات يومية'!$A$2:$A$4001,"&lt;="&amp;'إعدادات المخزون'!$B$4)</f>
        <v>70</v>
      </c>
      <c r="F30" s="108"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8"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8" t="n">
        <f aca="false">SUMPRODUCT('مصفوفة الاستهلاك'!$Y$2:$Y$172,'متجهات المبيعات'!$C$2:$C$172)/'مواد المخزون'!$D$25</f>
        <v>0</v>
      </c>
      <c r="I30" s="108"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8" t="n">
        <f aca="false">D30+E30+F30-G30-H30-I30</f>
        <v>130</v>
      </c>
      <c r="K30" s="36" t="str">
        <f aca="false">IF(COUNTIFS('جرد فعلي'!$B$2:$B$12001,$B$2,'جرد فعلي'!$C$2:$C$12001,$A30,'جرد فعلي'!$A$2:$A$12001,'إعدادات المخزون'!$B$4)&gt;0,"نعم","لا")</f>
        <v>لا</v>
      </c>
      <c r="L30" s="109" t="str">
        <f aca="false">IF(K30="نعم",SUMIFS('جرد فعلي'!$D$2:$D$12001,'جرد فعلي'!$B$2:$B$12001,$B$2,'جرد فعلي'!$C$2:$C$12001,$A30,'جرد فعلي'!$A$2:$A$12001,'إعدادات المخزون'!$B$4),"")</f>
        <v/>
      </c>
      <c r="M30" s="108" t="str">
        <f aca="false">IF(K30="نعم",L30-J30,"")</f>
        <v/>
      </c>
      <c r="N30" s="110" t="str">
        <f aca="false">IF(K30="نعم",IF(J30=0,IF(M30=0,0,SIGN(M30)),M30/ABS(J30)),"")</f>
        <v/>
      </c>
      <c r="O30" s="107" t="str">
        <f aca="false">IF(K30="نعم",M30*C30,"")</f>
        <v/>
      </c>
      <c r="P30" s="36" t="str">
        <f aca="false">IF(K30&lt;&gt;"نعم","لم يُجرد",IF(ABS(N30)&lt;='إعدادات المخزون'!$B$7,"مطابق",IF(M30&lt;0,"عجز","زيادة")))</f>
        <v>لم يُجرد</v>
      </c>
      <c r="Q30" s="108" t="n">
        <f aca="false">J30-Z30</f>
        <v>130</v>
      </c>
      <c r="R30" s="108"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8" t="str">
        <f aca="false">IF(AND(K30="نعم",R30&lt;&gt;""),(L30-J30)-(R30-Q30),"")</f>
        <v/>
      </c>
      <c r="T30" s="107" t="str">
        <f aca="false">IF(S30="","",S30*C30)</f>
        <v/>
      </c>
      <c r="U30" s="108" t="n">
        <f aca="false">IF(K30="نعم",L30,J30)</f>
        <v>130</v>
      </c>
      <c r="V30" s="108" t="n">
        <f aca="false">SUMPRODUCT('مصفوفة الاستهلاك'!$Y$2:$Y$172,'متجهات المبيعات'!$D$2:$D$172)/'مواد المخزون'!$D$25/MAX(1,MIN('إعدادات المخزون'!$B$11,'إعدادات المخزون'!$B$4-'إعدادات المخزون'!$B$5+1))</f>
        <v>0</v>
      </c>
      <c r="W30" s="108" t="n">
        <f aca="false">IF(V30&lt;=0,0,ROUNDUP(MAX(0,V30*('إعدادات المخزون'!$B$8+'إعدادات المخزون'!$B$9+'إعدادات المخزون'!$B$10)-MAX(U30,0))/'مواد المخزون'!$F25,0)*'مواد المخزون'!$F25)</f>
        <v>0</v>
      </c>
      <c r="X30" s="107" t="n">
        <f aca="false">IF(AND(K30="نعم",O30&lt;0),-O30+ROW()*0.000000001,0)</f>
        <v>0</v>
      </c>
      <c r="Y30" s="107" t="n">
        <f aca="false">IF(AND(K30="نعم",O30&gt;0),O30+ROW()*0.000000001,0)</f>
        <v>0</v>
      </c>
      <c r="Z30" s="108"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المبيعات'!$B$2:$B$172)/'مواد المخزون'!$D$25</f>
        <v>0</v>
      </c>
      <c r="AA30" s="107" t="n">
        <f aca="false">IF(K30="نعم",O30,0)</f>
        <v>0</v>
      </c>
      <c r="AB30" s="107" t="n">
        <f aca="false">IF(K30="نعم",J30*C30,0)</f>
        <v>0</v>
      </c>
      <c r="AC30" s="107"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7" t="n">
        <f aca="false">'مواد المخزون'!E26</f>
        <v>100</v>
      </c>
      <c r="D31" s="108" t="n">
        <f aca="false">'جرد أول المدة'!C29</f>
        <v>0.21</v>
      </c>
      <c r="E31" s="108" t="n">
        <f aca="false">SUMIFS('مشتريات يومية'!$D$2:$D$4001,'مشتريات يومية'!$B$2:$B$4001,$B$2,'مشتريات يومية'!$C$2:$C$4001,$A31,'مشتريات يومية'!$A$2:$A$4001,"&gt;="&amp;'إعدادات المخزون'!$B$5,'مشتريات يومية'!$A$2:$A$4001,"&lt;="&amp;'إعدادات المخزون'!$B$4)</f>
        <v>1.5</v>
      </c>
      <c r="F31" s="108"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8"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8" t="n">
        <f aca="false">SUMPRODUCT('مصفوفة الاستهلاك'!$Z$2:$Z$172,'متجهات المبيعات'!$C$2:$C$172)/'مواد المخزون'!$D$26</f>
        <v>0</v>
      </c>
      <c r="I31" s="108"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8" t="n">
        <f aca="false">D31+E31+F31-G31-H31-I31</f>
        <v>1.71</v>
      </c>
      <c r="K31" s="36" t="str">
        <f aca="false">IF(COUNTIFS('جرد فعلي'!$B$2:$B$12001,$B$2,'جرد فعلي'!$C$2:$C$12001,$A31,'جرد فعلي'!$A$2:$A$12001,'إعدادات المخزون'!$B$4)&gt;0,"نعم","لا")</f>
        <v>لا</v>
      </c>
      <c r="L31" s="109" t="str">
        <f aca="false">IF(K31="نعم",SUMIFS('جرد فعلي'!$D$2:$D$12001,'جرد فعلي'!$B$2:$B$12001,$B$2,'جرد فعلي'!$C$2:$C$12001,$A31,'جرد فعلي'!$A$2:$A$12001,'إعدادات المخزون'!$B$4),"")</f>
        <v/>
      </c>
      <c r="M31" s="108" t="str">
        <f aca="false">IF(K31="نعم",L31-J31,"")</f>
        <v/>
      </c>
      <c r="N31" s="110" t="str">
        <f aca="false">IF(K31="نعم",IF(J31=0,IF(M31=0,0,SIGN(M31)),M31/ABS(J31)),"")</f>
        <v/>
      </c>
      <c r="O31" s="107" t="str">
        <f aca="false">IF(K31="نعم",M31*C31,"")</f>
        <v/>
      </c>
      <c r="P31" s="36" t="str">
        <f aca="false">IF(K31&lt;&gt;"نعم","لم يُجرد",IF(ABS(N31)&lt;='إعدادات المخزون'!$B$7,"مطابق",IF(M31&lt;0,"عجز","زيادة")))</f>
        <v>لم يُجرد</v>
      </c>
      <c r="Q31" s="108" t="n">
        <f aca="false">J31-Z31</f>
        <v>1.71</v>
      </c>
      <c r="R31" s="108"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8" t="str">
        <f aca="false">IF(AND(K31="نعم",R31&lt;&gt;""),(L31-J31)-(R31-Q31),"")</f>
        <v/>
      </c>
      <c r="T31" s="107" t="str">
        <f aca="false">IF(S31="","",S31*C31)</f>
        <v/>
      </c>
      <c r="U31" s="108" t="n">
        <f aca="false">IF(K31="نعم",L31,J31)</f>
        <v>1.71</v>
      </c>
      <c r="V31" s="108" t="n">
        <f aca="false">SUMPRODUCT('مصفوفة الاستهلاك'!$Z$2:$Z$172,'متجهات المبيعات'!$D$2:$D$172)/'مواد المخزون'!$D$26/MAX(1,MIN('إعدادات المخزون'!$B$11,'إعدادات المخزون'!$B$4-'إعدادات المخزون'!$B$5+1))</f>
        <v>0</v>
      </c>
      <c r="W31" s="108" t="n">
        <f aca="false">IF(V31&lt;=0,0,ROUNDUP(MAX(0,V31*('إعدادات المخزون'!$B$8+'إعدادات المخزون'!$B$9+'إعدادات المخزون'!$B$10)-MAX(U31,0))/'مواد المخزون'!$F26,0)*'مواد المخزون'!$F26)</f>
        <v>0</v>
      </c>
      <c r="X31" s="107" t="n">
        <f aca="false">IF(AND(K31="نعم",O31&lt;0),-O31+ROW()*0.000000001,0)</f>
        <v>0</v>
      </c>
      <c r="Y31" s="107" t="n">
        <f aca="false">IF(AND(K31="نعم",O31&gt;0),O31+ROW()*0.000000001,0)</f>
        <v>0</v>
      </c>
      <c r="Z31" s="108"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المبيعات'!$B$2:$B$172)/'مواد المخزون'!$D$26</f>
        <v>0</v>
      </c>
      <c r="AA31" s="107" t="n">
        <f aca="false">IF(K31="نعم",O31,0)</f>
        <v>0</v>
      </c>
      <c r="AB31" s="107" t="n">
        <f aca="false">IF(K31="نعم",J31*C31,0)</f>
        <v>0</v>
      </c>
      <c r="AC31" s="107"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7" t="n">
        <f aca="false">'مواد المخزون'!E27</f>
        <v>104.58</v>
      </c>
      <c r="D32" s="108" t="n">
        <f aca="false">'جرد أول المدة'!C30</f>
        <v>0.3</v>
      </c>
      <c r="E32" s="108" t="n">
        <f aca="false">SUMIFS('مشتريات يومية'!$D$2:$D$4001,'مشتريات يومية'!$B$2:$B$4001,$B$2,'مشتريات يومية'!$C$2:$C$4001,$A32,'مشتريات يومية'!$A$2:$A$4001,"&gt;="&amp;'إعدادات المخزون'!$B$5,'مشتريات يومية'!$A$2:$A$4001,"&lt;="&amp;'إعدادات المخزون'!$B$4)</f>
        <v>0</v>
      </c>
      <c r="F32" s="108"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8"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8" t="n">
        <f aca="false">SUMPRODUCT('مصفوفة الاستهلاك'!$AA$2:$AA$172,'متجهات المبيعات'!$C$2:$C$172)/'مواد المخزون'!$D$27</f>
        <v>0</v>
      </c>
      <c r="I32" s="108"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8" t="n">
        <f aca="false">D32+E32+F32-G32-H32-I32</f>
        <v>0.3</v>
      </c>
      <c r="K32" s="36" t="str">
        <f aca="false">IF(COUNTIFS('جرد فعلي'!$B$2:$B$12001,$B$2,'جرد فعلي'!$C$2:$C$12001,$A32,'جرد فعلي'!$A$2:$A$12001,'إعدادات المخزون'!$B$4)&gt;0,"نعم","لا")</f>
        <v>لا</v>
      </c>
      <c r="L32" s="109" t="str">
        <f aca="false">IF(K32="نعم",SUMIFS('جرد فعلي'!$D$2:$D$12001,'جرد فعلي'!$B$2:$B$12001,$B$2,'جرد فعلي'!$C$2:$C$12001,$A32,'جرد فعلي'!$A$2:$A$12001,'إعدادات المخزون'!$B$4),"")</f>
        <v/>
      </c>
      <c r="M32" s="108" t="str">
        <f aca="false">IF(K32="نعم",L32-J32,"")</f>
        <v/>
      </c>
      <c r="N32" s="110" t="str">
        <f aca="false">IF(K32="نعم",IF(J32=0,IF(M32=0,0,SIGN(M32)),M32/ABS(J32)),"")</f>
        <v/>
      </c>
      <c r="O32" s="107" t="str">
        <f aca="false">IF(K32="نعم",M32*C32,"")</f>
        <v/>
      </c>
      <c r="P32" s="36" t="str">
        <f aca="false">IF(K32&lt;&gt;"نعم","لم يُجرد",IF(ABS(N32)&lt;='إعدادات المخزون'!$B$7,"مطابق",IF(M32&lt;0,"عجز","زيادة")))</f>
        <v>لم يُجرد</v>
      </c>
      <c r="Q32" s="108" t="n">
        <f aca="false">J32-Z32</f>
        <v>0.3</v>
      </c>
      <c r="R32" s="108"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8" t="str">
        <f aca="false">IF(AND(K32="نعم",R32&lt;&gt;""),(L32-J32)-(R32-Q32),"")</f>
        <v/>
      </c>
      <c r="T32" s="107" t="str">
        <f aca="false">IF(S32="","",S32*C32)</f>
        <v/>
      </c>
      <c r="U32" s="108" t="n">
        <f aca="false">IF(K32="نعم",L32,J32)</f>
        <v>0.3</v>
      </c>
      <c r="V32" s="108" t="n">
        <f aca="false">SUMPRODUCT('مصفوفة الاستهلاك'!$AA$2:$AA$172,'متجهات المبيعات'!$D$2:$D$172)/'مواد المخزون'!$D$27/MAX(1,MIN('إعدادات المخزون'!$B$11,'إعدادات المخزون'!$B$4-'إعدادات المخزون'!$B$5+1))</f>
        <v>0</v>
      </c>
      <c r="W32" s="108" t="n">
        <f aca="false">IF(V32&lt;=0,0,ROUNDUP(MAX(0,V32*('إعدادات المخزون'!$B$8+'إعدادات المخزون'!$B$9+'إعدادات المخزون'!$B$10)-MAX(U32,0))/'مواد المخزون'!$F27,0)*'مواد المخزون'!$F27)</f>
        <v>0</v>
      </c>
      <c r="X32" s="107" t="n">
        <f aca="false">IF(AND(K32="نعم",O32&lt;0),-O32+ROW()*0.000000001,0)</f>
        <v>0</v>
      </c>
      <c r="Y32" s="107" t="n">
        <f aca="false">IF(AND(K32="نعم",O32&gt;0),O32+ROW()*0.000000001,0)</f>
        <v>0</v>
      </c>
      <c r="Z32" s="108"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المبيعات'!$B$2:$B$172)/'مواد المخزون'!$D$27</f>
        <v>0</v>
      </c>
      <c r="AA32" s="107" t="n">
        <f aca="false">IF(K32="نعم",O32,0)</f>
        <v>0</v>
      </c>
      <c r="AB32" s="107" t="n">
        <f aca="false">IF(K32="نعم",J32*C32,0)</f>
        <v>0</v>
      </c>
      <c r="AC32" s="107"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7" t="n">
        <f aca="false">'مواد المخزون'!E28</f>
        <v>100</v>
      </c>
      <c r="D33" s="108" t="n">
        <f aca="false">'جرد أول المدة'!C31</f>
        <v>1</v>
      </c>
      <c r="E33" s="108" t="n">
        <f aca="false">SUMIFS('مشتريات يومية'!$D$2:$D$4001,'مشتريات يومية'!$B$2:$B$4001,$B$2,'مشتريات يومية'!$C$2:$C$4001,$A33,'مشتريات يومية'!$A$2:$A$4001,"&gt;="&amp;'إعدادات المخزون'!$B$5,'مشتريات يومية'!$A$2:$A$4001,"&lt;="&amp;'إعدادات المخزون'!$B$4)</f>
        <v>1.5</v>
      </c>
      <c r="F33" s="108"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8"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8" t="n">
        <f aca="false">SUMPRODUCT('مصفوفة الاستهلاك'!$AB$2:$AB$172,'متجهات المبيعات'!$C$2:$C$172)/'مواد المخزون'!$D$28</f>
        <v>0</v>
      </c>
      <c r="I33" s="108"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8" t="n">
        <f aca="false">D33+E33+F33-G33-H33-I33</f>
        <v>2.5</v>
      </c>
      <c r="K33" s="36" t="str">
        <f aca="false">IF(COUNTIFS('جرد فعلي'!$B$2:$B$12001,$B$2,'جرد فعلي'!$C$2:$C$12001,$A33,'جرد فعلي'!$A$2:$A$12001,'إعدادات المخزون'!$B$4)&gt;0,"نعم","لا")</f>
        <v>لا</v>
      </c>
      <c r="L33" s="109" t="str">
        <f aca="false">IF(K33="نعم",SUMIFS('جرد فعلي'!$D$2:$D$12001,'جرد فعلي'!$B$2:$B$12001,$B$2,'جرد فعلي'!$C$2:$C$12001,$A33,'جرد فعلي'!$A$2:$A$12001,'إعدادات المخزون'!$B$4),"")</f>
        <v/>
      </c>
      <c r="M33" s="108" t="str">
        <f aca="false">IF(K33="نعم",L33-J33,"")</f>
        <v/>
      </c>
      <c r="N33" s="110" t="str">
        <f aca="false">IF(K33="نعم",IF(J33=0,IF(M33=0,0,SIGN(M33)),M33/ABS(J33)),"")</f>
        <v/>
      </c>
      <c r="O33" s="107" t="str">
        <f aca="false">IF(K33="نعم",M33*C33,"")</f>
        <v/>
      </c>
      <c r="P33" s="36" t="str">
        <f aca="false">IF(K33&lt;&gt;"نعم","لم يُجرد",IF(ABS(N33)&lt;='إعدادات المخزون'!$B$7,"مطابق",IF(M33&lt;0,"عجز","زيادة")))</f>
        <v>لم يُجرد</v>
      </c>
      <c r="Q33" s="108" t="n">
        <f aca="false">J33-Z33</f>
        <v>2.5</v>
      </c>
      <c r="R33" s="108"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8" t="str">
        <f aca="false">IF(AND(K33="نعم",R33&lt;&gt;""),(L33-J33)-(R33-Q33),"")</f>
        <v/>
      </c>
      <c r="T33" s="107" t="str">
        <f aca="false">IF(S33="","",S33*C33)</f>
        <v/>
      </c>
      <c r="U33" s="108" t="n">
        <f aca="false">IF(K33="نعم",L33,J33)</f>
        <v>2.5</v>
      </c>
      <c r="V33" s="108" t="n">
        <f aca="false">SUMPRODUCT('مصفوفة الاستهلاك'!$AB$2:$AB$172,'متجهات المبيعات'!$D$2:$D$172)/'مواد المخزون'!$D$28/MAX(1,MIN('إعدادات المخزون'!$B$11,'إعدادات المخزون'!$B$4-'إعدادات المخزون'!$B$5+1))</f>
        <v>0</v>
      </c>
      <c r="W33" s="108" t="n">
        <f aca="false">IF(V33&lt;=0,0,ROUNDUP(MAX(0,V33*('إعدادات المخزون'!$B$8+'إعدادات المخزون'!$B$9+'إعدادات المخزون'!$B$10)-MAX(U33,0))/'مواد المخزون'!$F28,0)*'مواد المخزون'!$F28)</f>
        <v>0</v>
      </c>
      <c r="X33" s="107" t="n">
        <f aca="false">IF(AND(K33="نعم",O33&lt;0),-O33+ROW()*0.000000001,0)</f>
        <v>0</v>
      </c>
      <c r="Y33" s="107" t="n">
        <f aca="false">IF(AND(K33="نعم",O33&gt;0),O33+ROW()*0.000000001,0)</f>
        <v>0</v>
      </c>
      <c r="Z33" s="108"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المبيعات'!$B$2:$B$172)/'مواد المخزون'!$D$28</f>
        <v>0</v>
      </c>
      <c r="AA33" s="107" t="n">
        <f aca="false">IF(K33="نعم",O33,0)</f>
        <v>0</v>
      </c>
      <c r="AB33" s="107" t="n">
        <f aca="false">IF(K33="نعم",J33*C33,0)</f>
        <v>0</v>
      </c>
      <c r="AC33" s="107"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7" t="n">
        <f aca="false">'مواد المخزون'!E29</f>
        <v>41</v>
      </c>
      <c r="D34" s="108" t="n">
        <f aca="false">'جرد أول المدة'!C32</f>
        <v>5.25</v>
      </c>
      <c r="E34" s="108" t="n">
        <f aca="false">SUMIFS('مشتريات يومية'!$D$2:$D$4001,'مشتريات يومية'!$B$2:$B$4001,$B$2,'مشتريات يومية'!$C$2:$C$4001,$A34,'مشتريات يومية'!$A$2:$A$4001,"&gt;="&amp;'إعدادات المخزون'!$B$5,'مشتريات يومية'!$A$2:$A$4001,"&lt;="&amp;'إعدادات المخزون'!$B$4)</f>
        <v>30</v>
      </c>
      <c r="F34" s="108"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8"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8" t="n">
        <f aca="false">SUMPRODUCT('مصفوفة الاستهلاك'!$AC$2:$AC$172,'متجهات المبيعات'!$C$2:$C$172)/'مواد المخزون'!$D$29</f>
        <v>0</v>
      </c>
      <c r="I34" s="108"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8" t="n">
        <f aca="false">D34+E34+F34-G34-H34-I34</f>
        <v>35.25</v>
      </c>
      <c r="K34" s="36" t="str">
        <f aca="false">IF(COUNTIFS('جرد فعلي'!$B$2:$B$12001,$B$2,'جرد فعلي'!$C$2:$C$12001,$A34,'جرد فعلي'!$A$2:$A$12001,'إعدادات المخزون'!$B$4)&gt;0,"نعم","لا")</f>
        <v>لا</v>
      </c>
      <c r="L34" s="109" t="str">
        <f aca="false">IF(K34="نعم",SUMIFS('جرد فعلي'!$D$2:$D$12001,'جرد فعلي'!$B$2:$B$12001,$B$2,'جرد فعلي'!$C$2:$C$12001,$A34,'جرد فعلي'!$A$2:$A$12001,'إعدادات المخزون'!$B$4),"")</f>
        <v/>
      </c>
      <c r="M34" s="108" t="str">
        <f aca="false">IF(K34="نعم",L34-J34,"")</f>
        <v/>
      </c>
      <c r="N34" s="110" t="str">
        <f aca="false">IF(K34="نعم",IF(J34=0,IF(M34=0,0,SIGN(M34)),M34/ABS(J34)),"")</f>
        <v/>
      </c>
      <c r="O34" s="107" t="str">
        <f aca="false">IF(K34="نعم",M34*C34,"")</f>
        <v/>
      </c>
      <c r="P34" s="36" t="str">
        <f aca="false">IF(K34&lt;&gt;"نعم","لم يُجرد",IF(ABS(N34)&lt;='إعدادات المخزون'!$B$7,"مطابق",IF(M34&lt;0,"عجز","زيادة")))</f>
        <v>لم يُجرد</v>
      </c>
      <c r="Q34" s="108" t="n">
        <f aca="false">J34-Z34</f>
        <v>35.25</v>
      </c>
      <c r="R34" s="108"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8" t="str">
        <f aca="false">IF(AND(K34="نعم",R34&lt;&gt;""),(L34-J34)-(R34-Q34),"")</f>
        <v/>
      </c>
      <c r="T34" s="107" t="str">
        <f aca="false">IF(S34="","",S34*C34)</f>
        <v/>
      </c>
      <c r="U34" s="108" t="n">
        <f aca="false">IF(K34="نعم",L34,J34)</f>
        <v>35.25</v>
      </c>
      <c r="V34" s="108" t="n">
        <f aca="false">SUMPRODUCT('مصفوفة الاستهلاك'!$AC$2:$AC$172,'متجهات المبيعات'!$D$2:$D$172)/'مواد المخزون'!$D$29/MAX(1,MIN('إعدادات المخزون'!$B$11,'إعدادات المخزون'!$B$4-'إعدادات المخزون'!$B$5+1))</f>
        <v>0</v>
      </c>
      <c r="W34" s="108" t="n">
        <f aca="false">IF(V34&lt;=0,0,ROUNDUP(MAX(0,V34*('إعدادات المخزون'!$B$8+'إعدادات المخزون'!$B$9+'إعدادات المخزون'!$B$10)-MAX(U34,0))/'مواد المخزون'!$F29,0)*'مواد المخزون'!$F29)</f>
        <v>0</v>
      </c>
      <c r="X34" s="107" t="n">
        <f aca="false">IF(AND(K34="نعم",O34&lt;0),-O34+ROW()*0.000000001,0)</f>
        <v>0</v>
      </c>
      <c r="Y34" s="107" t="n">
        <f aca="false">IF(AND(K34="نعم",O34&gt;0),O34+ROW()*0.000000001,0)</f>
        <v>0</v>
      </c>
      <c r="Z34" s="108"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المبيعات'!$B$2:$B$172)/'مواد المخزون'!$D$29</f>
        <v>0</v>
      </c>
      <c r="AA34" s="107" t="n">
        <f aca="false">IF(K34="نعم",O34,0)</f>
        <v>0</v>
      </c>
      <c r="AB34" s="107" t="n">
        <f aca="false">IF(K34="نعم",J34*C34,0)</f>
        <v>0</v>
      </c>
      <c r="AC34" s="107"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7" t="n">
        <f aca="false">'مواد المخزون'!E30</f>
        <v>25</v>
      </c>
      <c r="D35" s="108" t="n">
        <f aca="false">'جرد أول المدة'!C33</f>
        <v>0</v>
      </c>
      <c r="E35" s="108" t="n">
        <f aca="false">SUMIFS('مشتريات يومية'!$D$2:$D$4001,'مشتريات يومية'!$B$2:$B$4001,$B$2,'مشتريات يومية'!$C$2:$C$4001,$A35,'مشتريات يومية'!$A$2:$A$4001,"&gt;="&amp;'إعدادات المخزون'!$B$5,'مشتريات يومية'!$A$2:$A$4001,"&lt;="&amp;'إعدادات المخزون'!$B$4)</f>
        <v>0</v>
      </c>
      <c r="F35" s="108"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8"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8" t="n">
        <f aca="false">SUMPRODUCT('مصفوفة الاستهلاك'!$AD$2:$AD$172,'متجهات المبيعات'!$C$2:$C$172)/'مواد المخزون'!$D$30</f>
        <v>0</v>
      </c>
      <c r="I35" s="108"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8" t="n">
        <f aca="false">D35+E35+F35-G35-H35-I35</f>
        <v>0</v>
      </c>
      <c r="K35" s="36" t="str">
        <f aca="false">IF(COUNTIFS('جرد فعلي'!$B$2:$B$12001,$B$2,'جرد فعلي'!$C$2:$C$12001,$A35,'جرد فعلي'!$A$2:$A$12001,'إعدادات المخزون'!$B$4)&gt;0,"نعم","لا")</f>
        <v>لا</v>
      </c>
      <c r="L35" s="109" t="str">
        <f aca="false">IF(K35="نعم",SUMIFS('جرد فعلي'!$D$2:$D$12001,'جرد فعلي'!$B$2:$B$12001,$B$2,'جرد فعلي'!$C$2:$C$12001,$A35,'جرد فعلي'!$A$2:$A$12001,'إعدادات المخزون'!$B$4),"")</f>
        <v/>
      </c>
      <c r="M35" s="108" t="str">
        <f aca="false">IF(K35="نعم",L35-J35,"")</f>
        <v/>
      </c>
      <c r="N35" s="110" t="str">
        <f aca="false">IF(K35="نعم",IF(J35=0,IF(M35=0,0,SIGN(M35)),M35/ABS(J35)),"")</f>
        <v/>
      </c>
      <c r="O35" s="107" t="str">
        <f aca="false">IF(K35="نعم",M35*C35,"")</f>
        <v/>
      </c>
      <c r="P35" s="36" t="str">
        <f aca="false">IF(K35&lt;&gt;"نعم","لم يُجرد",IF(ABS(N35)&lt;='إعدادات المخزون'!$B$7,"مطابق",IF(M35&lt;0,"عجز","زيادة")))</f>
        <v>لم يُجرد</v>
      </c>
      <c r="Q35" s="108" t="n">
        <f aca="false">J35-Z35</f>
        <v>0</v>
      </c>
      <c r="R35" s="108"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8" t="str">
        <f aca="false">IF(AND(K35="نعم",R35&lt;&gt;""),(L35-J35)-(R35-Q35),"")</f>
        <v/>
      </c>
      <c r="T35" s="107" t="str">
        <f aca="false">IF(S35="","",S35*C35)</f>
        <v/>
      </c>
      <c r="U35" s="108" t="n">
        <f aca="false">IF(K35="نعم",L35,J35)</f>
        <v>0</v>
      </c>
      <c r="V35" s="108" t="n">
        <f aca="false">SUMPRODUCT('مصفوفة الاستهلاك'!$AD$2:$AD$172,'متجهات المبيعات'!$D$2:$D$172)/'مواد المخزون'!$D$30/MAX(1,MIN('إعدادات المخزون'!$B$11,'إعدادات المخزون'!$B$4-'إعدادات المخزون'!$B$5+1))</f>
        <v>0</v>
      </c>
      <c r="W35" s="108" t="n">
        <f aca="false">IF(V35&lt;=0,0,ROUNDUP(MAX(0,V35*('إعدادات المخزون'!$B$8+'إعدادات المخزون'!$B$9+'إعدادات المخزون'!$B$10)-MAX(U35,0))/'مواد المخزون'!$F30,0)*'مواد المخزون'!$F30)</f>
        <v>0</v>
      </c>
      <c r="X35" s="107" t="n">
        <f aca="false">IF(AND(K35="نعم",O35&lt;0),-O35+ROW()*0.000000001,0)</f>
        <v>0</v>
      </c>
      <c r="Y35" s="107" t="n">
        <f aca="false">IF(AND(K35="نعم",O35&gt;0),O35+ROW()*0.000000001,0)</f>
        <v>0</v>
      </c>
      <c r="Z35" s="108"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المبيعات'!$B$2:$B$172)/'مواد المخزون'!$D$30</f>
        <v>0</v>
      </c>
      <c r="AA35" s="107" t="n">
        <f aca="false">IF(K35="نعم",O35,0)</f>
        <v>0</v>
      </c>
      <c r="AB35" s="107" t="n">
        <f aca="false">IF(K35="نعم",J35*C35,0)</f>
        <v>0</v>
      </c>
      <c r="AC35" s="107" t="n">
        <f aca="false">IF(T35="",0,T35)</f>
        <v>0</v>
      </c>
    </row>
    <row r="36" customFormat="false" ht="15" hidden="false" customHeight="false" outlineLevel="0" collapsed="false">
      <c r="A36" s="34" t="str">
        <f aca="false">'مواد المخزون'!A31</f>
        <v>بصل</v>
      </c>
      <c r="B36" s="36" t="str">
        <f aca="false">'مواد المخزون'!B31</f>
        <v>كجم</v>
      </c>
      <c r="C36" s="107" t="n">
        <f aca="false">'مواد المخزون'!E31</f>
        <v>18</v>
      </c>
      <c r="D36" s="108" t="n">
        <f aca="false">'جرد أول المدة'!C34</f>
        <v>1.5</v>
      </c>
      <c r="E36" s="108" t="n">
        <f aca="false">SUMIFS('مشتريات يومية'!$D$2:$D$4001,'مشتريات يومية'!$B$2:$B$4001,$B$2,'مشتريات يومية'!$C$2:$C$4001,$A36,'مشتريات يومية'!$A$2:$A$4001,"&gt;="&amp;'إعدادات المخزون'!$B$5,'مشتريات يومية'!$A$2:$A$4001,"&lt;="&amp;'إعدادات المخزون'!$B$4)</f>
        <v>2</v>
      </c>
      <c r="F36" s="108"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8"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8" t="n">
        <f aca="false">SUMPRODUCT('مصفوفة الاستهلاك'!$AE$2:$AE$172,'متجهات المبيعات'!$C$2:$C$172)/'مواد المخزون'!$D$31</f>
        <v>0</v>
      </c>
      <c r="I36" s="108"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8" t="n">
        <f aca="false">D36+E36+F36-G36-H36-I36</f>
        <v>3.5</v>
      </c>
      <c r="K36" s="36" t="str">
        <f aca="false">IF(COUNTIFS('جرد فعلي'!$B$2:$B$12001,$B$2,'جرد فعلي'!$C$2:$C$12001,$A36,'جرد فعلي'!$A$2:$A$12001,'إعدادات المخزون'!$B$4)&gt;0,"نعم","لا")</f>
        <v>لا</v>
      </c>
      <c r="L36" s="109" t="str">
        <f aca="false">IF(K36="نعم",SUMIFS('جرد فعلي'!$D$2:$D$12001,'جرد فعلي'!$B$2:$B$12001,$B$2,'جرد فعلي'!$C$2:$C$12001,$A36,'جرد فعلي'!$A$2:$A$12001,'إعدادات المخزون'!$B$4),"")</f>
        <v/>
      </c>
      <c r="M36" s="108" t="str">
        <f aca="false">IF(K36="نعم",L36-J36,"")</f>
        <v/>
      </c>
      <c r="N36" s="110" t="str">
        <f aca="false">IF(K36="نعم",IF(J36=0,IF(M36=0,0,SIGN(M36)),M36/ABS(J36)),"")</f>
        <v/>
      </c>
      <c r="O36" s="107" t="str">
        <f aca="false">IF(K36="نعم",M36*C36,"")</f>
        <v/>
      </c>
      <c r="P36" s="36" t="str">
        <f aca="false">IF(K36&lt;&gt;"نعم","لم يُجرد",IF(ABS(N36)&lt;='إعدادات المخزون'!$B$7,"مطابق",IF(M36&lt;0,"عجز","زيادة")))</f>
        <v>لم يُجرد</v>
      </c>
      <c r="Q36" s="108" t="n">
        <f aca="false">J36-Z36</f>
        <v>3.5</v>
      </c>
      <c r="R36" s="108"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8" t="str">
        <f aca="false">IF(AND(K36="نعم",R36&lt;&gt;""),(L36-J36)-(R36-Q36),"")</f>
        <v/>
      </c>
      <c r="T36" s="107" t="str">
        <f aca="false">IF(S36="","",S36*C36)</f>
        <v/>
      </c>
      <c r="U36" s="108" t="n">
        <f aca="false">IF(K36="نعم",L36,J36)</f>
        <v>3.5</v>
      </c>
      <c r="V36" s="108" t="n">
        <f aca="false">SUMPRODUCT('مصفوفة الاستهلاك'!$AE$2:$AE$172,'متجهات المبيعات'!$D$2:$D$172)/'مواد المخزون'!$D$31/MAX(1,MIN('إعدادات المخزون'!$B$11,'إعدادات المخزون'!$B$4-'إعدادات المخزون'!$B$5+1))</f>
        <v>0</v>
      </c>
      <c r="W36" s="108" t="n">
        <f aca="false">IF(V36&lt;=0,0,ROUNDUP(MAX(0,V36*('إعدادات المخزون'!$B$8+'إعدادات المخزون'!$B$9+'إعدادات المخزون'!$B$10)-MAX(U36,0))/'مواد المخزون'!$F31,0)*'مواد المخزون'!$F31)</f>
        <v>0</v>
      </c>
      <c r="X36" s="107" t="n">
        <f aca="false">IF(AND(K36="نعم",O36&lt;0),-O36+ROW()*0.000000001,0)</f>
        <v>0</v>
      </c>
      <c r="Y36" s="107" t="n">
        <f aca="false">IF(AND(K36="نعم",O36&gt;0),O36+ROW()*0.000000001,0)</f>
        <v>0</v>
      </c>
      <c r="Z36" s="108"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المبيعات'!$B$2:$B$172)/'مواد المخزون'!$D$31</f>
        <v>0</v>
      </c>
      <c r="AA36" s="107" t="n">
        <f aca="false">IF(K36="نعم",O36,0)</f>
        <v>0</v>
      </c>
      <c r="AB36" s="107" t="n">
        <f aca="false">IF(K36="نعم",J36*C36,0)</f>
        <v>0</v>
      </c>
      <c r="AC36" s="107"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7" t="n">
        <f aca="false">'مواد المخزون'!E32</f>
        <v>730</v>
      </c>
      <c r="D37" s="108" t="n">
        <f aca="false">'جرد أول المدة'!C35</f>
        <v>0.5</v>
      </c>
      <c r="E37" s="108" t="n">
        <f aca="false">SUMIFS('مشتريات يومية'!$D$2:$D$4001,'مشتريات يومية'!$B$2:$B$4001,$B$2,'مشتريات يومية'!$C$2:$C$4001,$A37,'مشتريات يومية'!$A$2:$A$4001,"&gt;="&amp;'إعدادات المخزون'!$B$5,'مشتريات يومية'!$A$2:$A$4001,"&lt;="&amp;'إعدادات المخزون'!$B$4)</f>
        <v>2</v>
      </c>
      <c r="F37" s="108"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8"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8" t="n">
        <f aca="false">SUMPRODUCT('مصفوفة الاستهلاك'!$AF$2:$AF$172,'متجهات المبيعات'!$C$2:$C$172)/'مواد المخزون'!$D$32</f>
        <v>0</v>
      </c>
      <c r="I37" s="108"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8" t="n">
        <f aca="false">D37+E37+F37-G37-H37-I37</f>
        <v>2.5</v>
      </c>
      <c r="K37" s="36" t="str">
        <f aca="false">IF(COUNTIFS('جرد فعلي'!$B$2:$B$12001,$B$2,'جرد فعلي'!$C$2:$C$12001,$A37,'جرد فعلي'!$A$2:$A$12001,'إعدادات المخزون'!$B$4)&gt;0,"نعم","لا")</f>
        <v>لا</v>
      </c>
      <c r="L37" s="109" t="str">
        <f aca="false">IF(K37="نعم",SUMIFS('جرد فعلي'!$D$2:$D$12001,'جرد فعلي'!$B$2:$B$12001,$B$2,'جرد فعلي'!$C$2:$C$12001,$A37,'جرد فعلي'!$A$2:$A$12001,'إعدادات المخزون'!$B$4),"")</f>
        <v/>
      </c>
      <c r="M37" s="108" t="str">
        <f aca="false">IF(K37="نعم",L37-J37,"")</f>
        <v/>
      </c>
      <c r="N37" s="110" t="str">
        <f aca="false">IF(K37="نعم",IF(J37=0,IF(M37=0,0,SIGN(M37)),M37/ABS(J37)),"")</f>
        <v/>
      </c>
      <c r="O37" s="107" t="str">
        <f aca="false">IF(K37="نعم",M37*C37,"")</f>
        <v/>
      </c>
      <c r="P37" s="36" t="str">
        <f aca="false">IF(K37&lt;&gt;"نعم","لم يُجرد",IF(ABS(N37)&lt;='إعدادات المخزون'!$B$7,"مطابق",IF(M37&lt;0,"عجز","زيادة")))</f>
        <v>لم يُجرد</v>
      </c>
      <c r="Q37" s="108" t="n">
        <f aca="false">J37-Z37</f>
        <v>2.5</v>
      </c>
      <c r="R37" s="108"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8" t="str">
        <f aca="false">IF(AND(K37="نعم",R37&lt;&gt;""),(L37-J37)-(R37-Q37),"")</f>
        <v/>
      </c>
      <c r="T37" s="107" t="str">
        <f aca="false">IF(S37="","",S37*C37)</f>
        <v/>
      </c>
      <c r="U37" s="108" t="n">
        <f aca="false">IF(K37="نعم",L37,J37)</f>
        <v>2.5</v>
      </c>
      <c r="V37" s="108" t="n">
        <f aca="false">SUMPRODUCT('مصفوفة الاستهلاك'!$AF$2:$AF$172,'متجهات المبيعات'!$D$2:$D$172)/'مواد المخزون'!$D$32/MAX(1,MIN('إعدادات المخزون'!$B$11,'إعدادات المخزون'!$B$4-'إعدادات المخزون'!$B$5+1))</f>
        <v>0</v>
      </c>
      <c r="W37" s="108" t="n">
        <f aca="false">IF(V37&lt;=0,0,ROUNDUP(MAX(0,V37*('إعدادات المخزون'!$B$8+'إعدادات المخزون'!$B$9+'إعدادات المخزون'!$B$10)-MAX(U37,0))/'مواد المخزون'!$F32,0)*'مواد المخزون'!$F32)</f>
        <v>0</v>
      </c>
      <c r="X37" s="107" t="n">
        <f aca="false">IF(AND(K37="نعم",O37&lt;0),-O37+ROW()*0.000000001,0)</f>
        <v>0</v>
      </c>
      <c r="Y37" s="107" t="n">
        <f aca="false">IF(AND(K37="نعم",O37&gt;0),O37+ROW()*0.000000001,0)</f>
        <v>0</v>
      </c>
      <c r="Z37" s="108"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المبيعات'!$B$2:$B$172)/'مواد المخزون'!$D$32</f>
        <v>0</v>
      </c>
      <c r="AA37" s="107" t="n">
        <f aca="false">IF(K37="نعم",O37,0)</f>
        <v>0</v>
      </c>
      <c r="AB37" s="107" t="n">
        <f aca="false">IF(K37="نعم",J37*C37,0)</f>
        <v>0</v>
      </c>
      <c r="AC37" s="107"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7" t="n">
        <f aca="false">'مواد المخزون'!E33</f>
        <v>17.1875</v>
      </c>
      <c r="D38" s="108" t="n">
        <f aca="false">'جرد أول المدة'!C36</f>
        <v>0</v>
      </c>
      <c r="E38" s="108" t="n">
        <f aca="false">SUMIFS('مشتريات يومية'!$D$2:$D$4001,'مشتريات يومية'!$B$2:$B$4001,$B$2,'مشتريات يومية'!$C$2:$C$4001,$A38,'مشتريات يومية'!$A$2:$A$4001,"&gt;="&amp;'إعدادات المخزون'!$B$5,'مشتريات يومية'!$A$2:$A$4001,"&lt;="&amp;'إعدادات المخزون'!$B$4)</f>
        <v>7</v>
      </c>
      <c r="F38" s="108"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8"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8" t="n">
        <f aca="false">SUMPRODUCT('مصفوفة الاستهلاك'!$AG$2:$AG$172,'متجهات المبيعات'!$C$2:$C$172)/'مواد المخزون'!$D$33</f>
        <v>0</v>
      </c>
      <c r="I38" s="108"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8" t="n">
        <f aca="false">D38+E38+F38-G38-H38-I38</f>
        <v>7</v>
      </c>
      <c r="K38" s="36" t="str">
        <f aca="false">IF(COUNTIFS('جرد فعلي'!$B$2:$B$12001,$B$2,'جرد فعلي'!$C$2:$C$12001,$A38,'جرد فعلي'!$A$2:$A$12001,'إعدادات المخزون'!$B$4)&gt;0,"نعم","لا")</f>
        <v>لا</v>
      </c>
      <c r="L38" s="109" t="str">
        <f aca="false">IF(K38="نعم",SUMIFS('جرد فعلي'!$D$2:$D$12001,'جرد فعلي'!$B$2:$B$12001,$B$2,'جرد فعلي'!$C$2:$C$12001,$A38,'جرد فعلي'!$A$2:$A$12001,'إعدادات المخزون'!$B$4),"")</f>
        <v/>
      </c>
      <c r="M38" s="108" t="str">
        <f aca="false">IF(K38="نعم",L38-J38,"")</f>
        <v/>
      </c>
      <c r="N38" s="110" t="str">
        <f aca="false">IF(K38="نعم",IF(J38=0,IF(M38=0,0,SIGN(M38)),M38/ABS(J38)),"")</f>
        <v/>
      </c>
      <c r="O38" s="107" t="str">
        <f aca="false">IF(K38="نعم",M38*C38,"")</f>
        <v/>
      </c>
      <c r="P38" s="36" t="str">
        <f aca="false">IF(K38&lt;&gt;"نعم","لم يُجرد",IF(ABS(N38)&lt;='إعدادات المخزون'!$B$7,"مطابق",IF(M38&lt;0,"عجز","زيادة")))</f>
        <v>لم يُجرد</v>
      </c>
      <c r="Q38" s="108" t="n">
        <f aca="false">J38-Z38</f>
        <v>7</v>
      </c>
      <c r="R38" s="108"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8" t="str">
        <f aca="false">IF(AND(K38="نعم",R38&lt;&gt;""),(L38-J38)-(R38-Q38),"")</f>
        <v/>
      </c>
      <c r="T38" s="107" t="str">
        <f aca="false">IF(S38="","",S38*C38)</f>
        <v/>
      </c>
      <c r="U38" s="108" t="n">
        <f aca="false">IF(K38="نعم",L38,J38)</f>
        <v>7</v>
      </c>
      <c r="V38" s="108" t="n">
        <f aca="false">SUMPRODUCT('مصفوفة الاستهلاك'!$AG$2:$AG$172,'متجهات المبيعات'!$D$2:$D$172)/'مواد المخزون'!$D$33/MAX(1,MIN('إعدادات المخزون'!$B$11,'إعدادات المخزون'!$B$4-'إعدادات المخزون'!$B$5+1))</f>
        <v>0</v>
      </c>
      <c r="W38" s="108" t="n">
        <f aca="false">IF(V38&lt;=0,0,ROUNDUP(MAX(0,V38*('إعدادات المخزون'!$B$8+'إعدادات المخزون'!$B$9+'إعدادات المخزون'!$B$10)-MAX(U38,0))/'مواد المخزون'!$F33,0)*'مواد المخزون'!$F33)</f>
        <v>0</v>
      </c>
      <c r="X38" s="107" t="n">
        <f aca="false">IF(AND(K38="نعم",O38&lt;0),-O38+ROW()*0.000000001,0)</f>
        <v>0</v>
      </c>
      <c r="Y38" s="107" t="n">
        <f aca="false">IF(AND(K38="نعم",O38&gt;0),O38+ROW()*0.000000001,0)</f>
        <v>0</v>
      </c>
      <c r="Z38" s="108"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المبيعات'!$B$2:$B$172)/'مواد المخزون'!$D$33</f>
        <v>0</v>
      </c>
      <c r="AA38" s="107" t="n">
        <f aca="false">IF(K38="نعم",O38,0)</f>
        <v>0</v>
      </c>
      <c r="AB38" s="107" t="n">
        <f aca="false">IF(K38="نعم",J38*C38,0)</f>
        <v>0</v>
      </c>
      <c r="AC38" s="107" t="n">
        <f aca="false">IF(T38="",0,T38)</f>
        <v>0</v>
      </c>
    </row>
    <row r="39" customFormat="false" ht="15" hidden="false" customHeight="false" outlineLevel="0" collapsed="false">
      <c r="A39" s="34" t="str">
        <f aca="false">'مواد المخزون'!A34</f>
        <v>بيبسي لتر</v>
      </c>
      <c r="B39" s="36" t="str">
        <f aca="false">'مواد المخزون'!B34</f>
        <v>لتر</v>
      </c>
      <c r="C39" s="107" t="n">
        <f aca="false">'مواد المخزون'!E34</f>
        <v>30</v>
      </c>
      <c r="D39" s="108" t="n">
        <f aca="false">'جرد أول المدة'!C37</f>
        <v>0</v>
      </c>
      <c r="E39" s="108" t="n">
        <f aca="false">SUMIFS('مشتريات يومية'!$D$2:$D$4001,'مشتريات يومية'!$B$2:$B$4001,$B$2,'مشتريات يومية'!$C$2:$C$4001,$A39,'مشتريات يومية'!$A$2:$A$4001,"&gt;="&amp;'إعدادات المخزون'!$B$5,'مشتريات يومية'!$A$2:$A$4001,"&lt;="&amp;'إعدادات المخزون'!$B$4)</f>
        <v>0</v>
      </c>
      <c r="F39" s="108"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8"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8" t="n">
        <f aca="false">SUMPRODUCT('مصفوفة الاستهلاك'!$AH$2:$AH$172,'متجهات المبيعات'!$C$2:$C$172)/'مواد المخزون'!$D$34</f>
        <v>0</v>
      </c>
      <c r="I39" s="108"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8" t="n">
        <f aca="false">D39+E39+F39-G39-H39-I39</f>
        <v>0</v>
      </c>
      <c r="K39" s="36" t="str">
        <f aca="false">IF(COUNTIFS('جرد فعلي'!$B$2:$B$12001,$B$2,'جرد فعلي'!$C$2:$C$12001,$A39,'جرد فعلي'!$A$2:$A$12001,'إعدادات المخزون'!$B$4)&gt;0,"نعم","لا")</f>
        <v>لا</v>
      </c>
      <c r="L39" s="109" t="str">
        <f aca="false">IF(K39="نعم",SUMIFS('جرد فعلي'!$D$2:$D$12001,'جرد فعلي'!$B$2:$B$12001,$B$2,'جرد فعلي'!$C$2:$C$12001,$A39,'جرد فعلي'!$A$2:$A$12001,'إعدادات المخزون'!$B$4),"")</f>
        <v/>
      </c>
      <c r="M39" s="108" t="str">
        <f aca="false">IF(K39="نعم",L39-J39,"")</f>
        <v/>
      </c>
      <c r="N39" s="110" t="str">
        <f aca="false">IF(K39="نعم",IF(J39=0,IF(M39=0,0,SIGN(M39)),M39/ABS(J39)),"")</f>
        <v/>
      </c>
      <c r="O39" s="107" t="str">
        <f aca="false">IF(K39="نعم",M39*C39,"")</f>
        <v/>
      </c>
      <c r="P39" s="36" t="str">
        <f aca="false">IF(K39&lt;&gt;"نعم","لم يُجرد",IF(ABS(N39)&lt;='إعدادات المخزون'!$B$7,"مطابق",IF(M39&lt;0,"عجز","زيادة")))</f>
        <v>لم يُجرد</v>
      </c>
      <c r="Q39" s="108" t="n">
        <f aca="false">J39-Z39</f>
        <v>0</v>
      </c>
      <c r="R39" s="108"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8" t="str">
        <f aca="false">IF(AND(K39="نعم",R39&lt;&gt;""),(L39-J39)-(R39-Q39),"")</f>
        <v/>
      </c>
      <c r="T39" s="107" t="str">
        <f aca="false">IF(S39="","",S39*C39)</f>
        <v/>
      </c>
      <c r="U39" s="108" t="n">
        <f aca="false">IF(K39="نعم",L39,J39)</f>
        <v>0</v>
      </c>
      <c r="V39" s="108" t="n">
        <f aca="false">SUMPRODUCT('مصفوفة الاستهلاك'!$AH$2:$AH$172,'متجهات المبيعات'!$D$2:$D$172)/'مواد المخزون'!$D$34/MAX(1,MIN('إعدادات المخزون'!$B$11,'إعدادات المخزون'!$B$4-'إعدادات المخزون'!$B$5+1))</f>
        <v>0</v>
      </c>
      <c r="W39" s="108" t="n">
        <f aca="false">IF(V39&lt;=0,0,ROUNDUP(MAX(0,V39*('إعدادات المخزون'!$B$8+'إعدادات المخزون'!$B$9+'إعدادات المخزون'!$B$10)-MAX(U39,0))/'مواد المخزون'!$F34,0)*'مواد المخزون'!$F34)</f>
        <v>0</v>
      </c>
      <c r="X39" s="107" t="n">
        <f aca="false">IF(AND(K39="نعم",O39&lt;0),-O39+ROW()*0.000000001,0)</f>
        <v>0</v>
      </c>
      <c r="Y39" s="107" t="n">
        <f aca="false">IF(AND(K39="نعم",O39&gt;0),O39+ROW()*0.000000001,0)</f>
        <v>0</v>
      </c>
      <c r="Z39" s="108"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المبيعات'!$B$2:$B$172)/'مواد المخزون'!$D$34</f>
        <v>0</v>
      </c>
      <c r="AA39" s="107" t="n">
        <f aca="false">IF(K39="نعم",O39,0)</f>
        <v>0</v>
      </c>
      <c r="AB39" s="107" t="n">
        <f aca="false">IF(K39="نعم",J39*C39,0)</f>
        <v>0</v>
      </c>
      <c r="AC39" s="107"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7" t="n">
        <f aca="false">'مواد المخزون'!E35</f>
        <v>105</v>
      </c>
      <c r="D40" s="108" t="n">
        <f aca="false">'جرد أول المدة'!C38</f>
        <v>0</v>
      </c>
      <c r="E40" s="108" t="n">
        <f aca="false">SUMIFS('مشتريات يومية'!$D$2:$D$4001,'مشتريات يومية'!$B$2:$B$4001,$B$2,'مشتريات يومية'!$C$2:$C$4001,$A40,'مشتريات يومية'!$A$2:$A$4001,"&gt;="&amp;'إعدادات المخزون'!$B$5,'مشتريات يومية'!$A$2:$A$4001,"&lt;="&amp;'إعدادات المخزون'!$B$4)</f>
        <v>0</v>
      </c>
      <c r="F40" s="108"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8"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8" t="n">
        <f aca="false">SUMPRODUCT('مصفوفة الاستهلاك'!$AI$2:$AI$172,'متجهات المبيعات'!$C$2:$C$172)/'مواد المخزون'!$D$35</f>
        <v>0</v>
      </c>
      <c r="I40" s="108"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8" t="n">
        <f aca="false">D40+E40+F40-G40-H40-I40</f>
        <v>0</v>
      </c>
      <c r="K40" s="36" t="str">
        <f aca="false">IF(COUNTIFS('جرد فعلي'!$B$2:$B$12001,$B$2,'جرد فعلي'!$C$2:$C$12001,$A40,'جرد فعلي'!$A$2:$A$12001,'إعدادات المخزون'!$B$4)&gt;0,"نعم","لا")</f>
        <v>لا</v>
      </c>
      <c r="L40" s="109" t="str">
        <f aca="false">IF(K40="نعم",SUMIFS('جرد فعلي'!$D$2:$D$12001,'جرد فعلي'!$B$2:$B$12001,$B$2,'جرد فعلي'!$C$2:$C$12001,$A40,'جرد فعلي'!$A$2:$A$12001,'إعدادات المخزون'!$B$4),"")</f>
        <v/>
      </c>
      <c r="M40" s="108" t="str">
        <f aca="false">IF(K40="نعم",L40-J40,"")</f>
        <v/>
      </c>
      <c r="N40" s="110" t="str">
        <f aca="false">IF(K40="نعم",IF(J40=0,IF(M40=0,0,SIGN(M40)),M40/ABS(J40)),"")</f>
        <v/>
      </c>
      <c r="O40" s="107" t="str">
        <f aca="false">IF(K40="نعم",M40*C40,"")</f>
        <v/>
      </c>
      <c r="P40" s="36" t="str">
        <f aca="false">IF(K40&lt;&gt;"نعم","لم يُجرد",IF(ABS(N40)&lt;='إعدادات المخزون'!$B$7,"مطابق",IF(M40&lt;0,"عجز","زيادة")))</f>
        <v>لم يُجرد</v>
      </c>
      <c r="Q40" s="108" t="n">
        <f aca="false">J40-Z40</f>
        <v>0</v>
      </c>
      <c r="R40" s="108"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8" t="str">
        <f aca="false">IF(AND(K40="نعم",R40&lt;&gt;""),(L40-J40)-(R40-Q40),"")</f>
        <v/>
      </c>
      <c r="T40" s="107" t="str">
        <f aca="false">IF(S40="","",S40*C40)</f>
        <v/>
      </c>
      <c r="U40" s="108" t="n">
        <f aca="false">IF(K40="نعم",L40,J40)</f>
        <v>0</v>
      </c>
      <c r="V40" s="108" t="n">
        <f aca="false">SUMPRODUCT('مصفوفة الاستهلاك'!$AI$2:$AI$172,'متجهات المبيعات'!$D$2:$D$172)/'مواد المخزون'!$D$35/MAX(1,MIN('إعدادات المخزون'!$B$11,'إعدادات المخزون'!$B$4-'إعدادات المخزون'!$B$5+1))</f>
        <v>0</v>
      </c>
      <c r="W40" s="108" t="n">
        <f aca="false">IF(V40&lt;=0,0,ROUNDUP(MAX(0,V40*('إعدادات المخزون'!$B$8+'إعدادات المخزون'!$B$9+'إعدادات المخزون'!$B$10)-MAX(U40,0))/'مواد المخزون'!$F35,0)*'مواد المخزون'!$F35)</f>
        <v>0</v>
      </c>
      <c r="X40" s="107" t="n">
        <f aca="false">IF(AND(K40="نعم",O40&lt;0),-O40+ROW()*0.000000001,0)</f>
        <v>0</v>
      </c>
      <c r="Y40" s="107" t="n">
        <f aca="false">IF(AND(K40="نعم",O40&gt;0),O40+ROW()*0.000000001,0)</f>
        <v>0</v>
      </c>
      <c r="Z40" s="108"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المبيعات'!$B$2:$B$172)/'مواد المخزون'!$D$35</f>
        <v>0</v>
      </c>
      <c r="AA40" s="107" t="n">
        <f aca="false">IF(K40="نعم",O40,0)</f>
        <v>0</v>
      </c>
      <c r="AB40" s="107" t="n">
        <f aca="false">IF(K40="نعم",J40*C40,0)</f>
        <v>0</v>
      </c>
      <c r="AC40" s="107"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7" t="n">
        <f aca="false">'مواد المخزون'!E36</f>
        <v>9</v>
      </c>
      <c r="D41" s="108" t="n">
        <f aca="false">'جرد أول المدة'!C39</f>
        <v>100</v>
      </c>
      <c r="E41" s="108" t="n">
        <f aca="false">SUMIFS('مشتريات يومية'!$D$2:$D$4001,'مشتريات يومية'!$B$2:$B$4001,$B$2,'مشتريات يومية'!$C$2:$C$4001,$A41,'مشتريات يومية'!$A$2:$A$4001,"&gt;="&amp;'إعدادات المخزون'!$B$5,'مشتريات يومية'!$A$2:$A$4001,"&lt;="&amp;'إعدادات المخزون'!$B$4)</f>
        <v>100</v>
      </c>
      <c r="F41" s="108"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8"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8" t="n">
        <f aca="false">SUMPRODUCT('مصفوفة الاستهلاك'!$AJ$2:$AJ$172,'متجهات المبيعات'!$C$2:$C$172)/'مواد المخزون'!$D$36</f>
        <v>0</v>
      </c>
      <c r="I41" s="108"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8" t="n">
        <f aca="false">D41+E41+F41-G41-H41-I41</f>
        <v>200</v>
      </c>
      <c r="K41" s="36" t="str">
        <f aca="false">IF(COUNTIFS('جرد فعلي'!$B$2:$B$12001,$B$2,'جرد فعلي'!$C$2:$C$12001,$A41,'جرد فعلي'!$A$2:$A$12001,'إعدادات المخزون'!$B$4)&gt;0,"نعم","لا")</f>
        <v>لا</v>
      </c>
      <c r="L41" s="109" t="str">
        <f aca="false">IF(K41="نعم",SUMIFS('جرد فعلي'!$D$2:$D$12001,'جرد فعلي'!$B$2:$B$12001,$B$2,'جرد فعلي'!$C$2:$C$12001,$A41,'جرد فعلي'!$A$2:$A$12001,'إعدادات المخزون'!$B$4),"")</f>
        <v/>
      </c>
      <c r="M41" s="108" t="str">
        <f aca="false">IF(K41="نعم",L41-J41,"")</f>
        <v/>
      </c>
      <c r="N41" s="110" t="str">
        <f aca="false">IF(K41="نعم",IF(J41=0,IF(M41=0,0,SIGN(M41)),M41/ABS(J41)),"")</f>
        <v/>
      </c>
      <c r="O41" s="107" t="str">
        <f aca="false">IF(K41="نعم",M41*C41,"")</f>
        <v/>
      </c>
      <c r="P41" s="36" t="str">
        <f aca="false">IF(K41&lt;&gt;"نعم","لم يُجرد",IF(ABS(N41)&lt;='إعدادات المخزون'!$B$7,"مطابق",IF(M41&lt;0,"عجز","زيادة")))</f>
        <v>لم يُجرد</v>
      </c>
      <c r="Q41" s="108" t="n">
        <f aca="false">J41-Z41</f>
        <v>200</v>
      </c>
      <c r="R41" s="108"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8" t="str">
        <f aca="false">IF(AND(K41="نعم",R41&lt;&gt;""),(L41-J41)-(R41-Q41),"")</f>
        <v/>
      </c>
      <c r="T41" s="107" t="str">
        <f aca="false">IF(S41="","",S41*C41)</f>
        <v/>
      </c>
      <c r="U41" s="108" t="n">
        <f aca="false">IF(K41="نعم",L41,J41)</f>
        <v>200</v>
      </c>
      <c r="V41" s="108" t="n">
        <f aca="false">SUMPRODUCT('مصفوفة الاستهلاك'!$AJ$2:$AJ$172,'متجهات المبيعات'!$D$2:$D$172)/'مواد المخزون'!$D$36/MAX(1,MIN('إعدادات المخزون'!$B$11,'إعدادات المخزون'!$B$4-'إعدادات المخزون'!$B$5+1))</f>
        <v>0</v>
      </c>
      <c r="W41" s="108" t="n">
        <f aca="false">IF(V41&lt;=0,0,ROUNDUP(MAX(0,V41*('إعدادات المخزون'!$B$8+'إعدادات المخزون'!$B$9+'إعدادات المخزون'!$B$10)-MAX(U41,0))/'مواد المخزون'!$F36,0)*'مواد المخزون'!$F36)</f>
        <v>0</v>
      </c>
      <c r="X41" s="107" t="n">
        <f aca="false">IF(AND(K41="نعم",O41&lt;0),-O41+ROW()*0.000000001,0)</f>
        <v>0</v>
      </c>
      <c r="Y41" s="107" t="n">
        <f aca="false">IF(AND(K41="نعم",O41&gt;0),O41+ROW()*0.000000001,0)</f>
        <v>0</v>
      </c>
      <c r="Z41" s="108"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المبيعات'!$B$2:$B$172)/'مواد المخزون'!$D$36</f>
        <v>0</v>
      </c>
      <c r="AA41" s="107" t="n">
        <f aca="false">IF(K41="نعم",O41,0)</f>
        <v>0</v>
      </c>
      <c r="AB41" s="107" t="n">
        <f aca="false">IF(K41="نعم",J41*C41,0)</f>
        <v>0</v>
      </c>
      <c r="AC41" s="107" t="n">
        <f aca="false">IF(T41="",0,T41)</f>
        <v>0</v>
      </c>
    </row>
    <row r="42" customFormat="false" ht="15" hidden="false" customHeight="false" outlineLevel="0" collapsed="false">
      <c r="A42" s="34" t="str">
        <f aca="false">'مواد المخزون'!A37</f>
        <v>جوزهند</v>
      </c>
      <c r="B42" s="36" t="str">
        <f aca="false">'مواد المخزون'!B37</f>
        <v>كجم</v>
      </c>
      <c r="C42" s="107" t="n">
        <f aca="false">'مواد المخزون'!E37</f>
        <v>200</v>
      </c>
      <c r="D42" s="108" t="n">
        <f aca="false">'جرد أول المدة'!C40</f>
        <v>0.45</v>
      </c>
      <c r="E42" s="108" t="n">
        <f aca="false">SUMIFS('مشتريات يومية'!$D$2:$D$4001,'مشتريات يومية'!$B$2:$B$4001,$B$2,'مشتريات يومية'!$C$2:$C$4001,$A42,'مشتريات يومية'!$A$2:$A$4001,"&gt;="&amp;'إعدادات المخزون'!$B$5,'مشتريات يومية'!$A$2:$A$4001,"&lt;="&amp;'إعدادات المخزون'!$B$4)</f>
        <v>0.5</v>
      </c>
      <c r="F42" s="108"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8"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8" t="n">
        <f aca="false">SUMPRODUCT('مصفوفة الاستهلاك'!$AK$2:$AK$172,'متجهات المبيعات'!$C$2:$C$172)/'مواد المخزون'!$D$37</f>
        <v>0</v>
      </c>
      <c r="I42" s="108"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8" t="n">
        <f aca="false">D42+E42+F42-G42-H42-I42</f>
        <v>0.95</v>
      </c>
      <c r="K42" s="36" t="str">
        <f aca="false">IF(COUNTIFS('جرد فعلي'!$B$2:$B$12001,$B$2,'جرد فعلي'!$C$2:$C$12001,$A42,'جرد فعلي'!$A$2:$A$12001,'إعدادات المخزون'!$B$4)&gt;0,"نعم","لا")</f>
        <v>لا</v>
      </c>
      <c r="L42" s="109" t="str">
        <f aca="false">IF(K42="نعم",SUMIFS('جرد فعلي'!$D$2:$D$12001,'جرد فعلي'!$B$2:$B$12001,$B$2,'جرد فعلي'!$C$2:$C$12001,$A42,'جرد فعلي'!$A$2:$A$12001,'إعدادات المخزون'!$B$4),"")</f>
        <v/>
      </c>
      <c r="M42" s="108" t="str">
        <f aca="false">IF(K42="نعم",L42-J42,"")</f>
        <v/>
      </c>
      <c r="N42" s="110" t="str">
        <f aca="false">IF(K42="نعم",IF(J42=0,IF(M42=0,0,SIGN(M42)),M42/ABS(J42)),"")</f>
        <v/>
      </c>
      <c r="O42" s="107" t="str">
        <f aca="false">IF(K42="نعم",M42*C42,"")</f>
        <v/>
      </c>
      <c r="P42" s="36" t="str">
        <f aca="false">IF(K42&lt;&gt;"نعم","لم يُجرد",IF(ABS(N42)&lt;='إعدادات المخزون'!$B$7,"مطابق",IF(M42&lt;0,"عجز","زيادة")))</f>
        <v>لم يُجرد</v>
      </c>
      <c r="Q42" s="108" t="n">
        <f aca="false">J42-Z42</f>
        <v>0.95</v>
      </c>
      <c r="R42" s="108"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8" t="str">
        <f aca="false">IF(AND(K42="نعم",R42&lt;&gt;""),(L42-J42)-(R42-Q42),"")</f>
        <v/>
      </c>
      <c r="T42" s="107" t="str">
        <f aca="false">IF(S42="","",S42*C42)</f>
        <v/>
      </c>
      <c r="U42" s="108" t="n">
        <f aca="false">IF(K42="نعم",L42,J42)</f>
        <v>0.95</v>
      </c>
      <c r="V42" s="108" t="n">
        <f aca="false">SUMPRODUCT('مصفوفة الاستهلاك'!$AK$2:$AK$172,'متجهات المبيعات'!$D$2:$D$172)/'مواد المخزون'!$D$37/MAX(1,MIN('إعدادات المخزون'!$B$11,'إعدادات المخزون'!$B$4-'إعدادات المخزون'!$B$5+1))</f>
        <v>0</v>
      </c>
      <c r="W42" s="108" t="n">
        <f aca="false">IF(V42&lt;=0,0,ROUNDUP(MAX(0,V42*('إعدادات المخزون'!$B$8+'إعدادات المخزون'!$B$9+'إعدادات المخزون'!$B$10)-MAX(U42,0))/'مواد المخزون'!$F37,0)*'مواد المخزون'!$F37)</f>
        <v>0</v>
      </c>
      <c r="X42" s="107" t="n">
        <f aca="false">IF(AND(K42="نعم",O42&lt;0),-O42+ROW()*0.000000001,0)</f>
        <v>0</v>
      </c>
      <c r="Y42" s="107" t="n">
        <f aca="false">IF(AND(K42="نعم",O42&gt;0),O42+ROW()*0.000000001,0)</f>
        <v>0</v>
      </c>
      <c r="Z42" s="108"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المبيعات'!$B$2:$B$172)/'مواد المخزون'!$D$37</f>
        <v>0</v>
      </c>
      <c r="AA42" s="107" t="n">
        <f aca="false">IF(K42="نعم",O42,0)</f>
        <v>0</v>
      </c>
      <c r="AB42" s="107" t="n">
        <f aca="false">IF(K42="نعم",J42*C42,0)</f>
        <v>0</v>
      </c>
      <c r="AC42" s="107" t="n">
        <f aca="false">IF(T42="",0,T42)</f>
        <v>0</v>
      </c>
    </row>
    <row r="43" customFormat="false" ht="15" hidden="false" customHeight="false" outlineLevel="0" collapsed="false">
      <c r="A43" s="34" t="str">
        <f aca="false">'مواد المخزون'!A38</f>
        <v>خيار مخلل</v>
      </c>
      <c r="B43" s="36" t="str">
        <f aca="false">'مواد المخزون'!B38</f>
        <v>كجم</v>
      </c>
      <c r="C43" s="107" t="n">
        <f aca="false">'مواد المخزون'!E38</f>
        <v>30</v>
      </c>
      <c r="D43" s="108" t="n">
        <f aca="false">'جرد أول المدة'!C41</f>
        <v>6</v>
      </c>
      <c r="E43" s="108" t="n">
        <f aca="false">SUMIFS('مشتريات يومية'!$D$2:$D$4001,'مشتريات يومية'!$B$2:$B$4001,$B$2,'مشتريات يومية'!$C$2:$C$4001,$A43,'مشتريات يومية'!$A$2:$A$4001,"&gt;="&amp;'إعدادات المخزون'!$B$5,'مشتريات يومية'!$A$2:$A$4001,"&lt;="&amp;'إعدادات المخزون'!$B$4)</f>
        <v>0</v>
      </c>
      <c r="F43" s="108"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8"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8" t="n">
        <f aca="false">SUMPRODUCT('مصفوفة الاستهلاك'!$AL$2:$AL$172,'متجهات المبيعات'!$C$2:$C$172)/'مواد المخزون'!$D$38</f>
        <v>0</v>
      </c>
      <c r="I43" s="108"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8" t="n">
        <f aca="false">D43+E43+F43-G43-H43-I43</f>
        <v>6</v>
      </c>
      <c r="K43" s="36" t="str">
        <f aca="false">IF(COUNTIFS('جرد فعلي'!$B$2:$B$12001,$B$2,'جرد فعلي'!$C$2:$C$12001,$A43,'جرد فعلي'!$A$2:$A$12001,'إعدادات المخزون'!$B$4)&gt;0,"نعم","لا")</f>
        <v>لا</v>
      </c>
      <c r="L43" s="109" t="str">
        <f aca="false">IF(K43="نعم",SUMIFS('جرد فعلي'!$D$2:$D$12001,'جرد فعلي'!$B$2:$B$12001,$B$2,'جرد فعلي'!$C$2:$C$12001,$A43,'جرد فعلي'!$A$2:$A$12001,'إعدادات المخزون'!$B$4),"")</f>
        <v/>
      </c>
      <c r="M43" s="108" t="str">
        <f aca="false">IF(K43="نعم",L43-J43,"")</f>
        <v/>
      </c>
      <c r="N43" s="110" t="str">
        <f aca="false">IF(K43="نعم",IF(J43=0,IF(M43=0,0,SIGN(M43)),M43/ABS(J43)),"")</f>
        <v/>
      </c>
      <c r="O43" s="107" t="str">
        <f aca="false">IF(K43="نعم",M43*C43,"")</f>
        <v/>
      </c>
      <c r="P43" s="36" t="str">
        <f aca="false">IF(K43&lt;&gt;"نعم","لم يُجرد",IF(ABS(N43)&lt;='إعدادات المخزون'!$B$7,"مطابق",IF(M43&lt;0,"عجز","زيادة")))</f>
        <v>لم يُجرد</v>
      </c>
      <c r="Q43" s="108" t="n">
        <f aca="false">J43-Z43</f>
        <v>6</v>
      </c>
      <c r="R43" s="108"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8" t="str">
        <f aca="false">IF(AND(K43="نعم",R43&lt;&gt;""),(L43-J43)-(R43-Q43),"")</f>
        <v/>
      </c>
      <c r="T43" s="107" t="str">
        <f aca="false">IF(S43="","",S43*C43)</f>
        <v/>
      </c>
      <c r="U43" s="108" t="n">
        <f aca="false">IF(K43="نعم",L43,J43)</f>
        <v>6</v>
      </c>
      <c r="V43" s="108" t="n">
        <f aca="false">SUMPRODUCT('مصفوفة الاستهلاك'!$AL$2:$AL$172,'متجهات المبيعات'!$D$2:$D$172)/'مواد المخزون'!$D$38/MAX(1,MIN('إعدادات المخزون'!$B$11,'إعدادات المخزون'!$B$4-'إعدادات المخزون'!$B$5+1))</f>
        <v>0</v>
      </c>
      <c r="W43" s="108" t="n">
        <f aca="false">IF(V43&lt;=0,0,ROUNDUP(MAX(0,V43*('إعدادات المخزون'!$B$8+'إعدادات المخزون'!$B$9+'إعدادات المخزون'!$B$10)-MAX(U43,0))/'مواد المخزون'!$F38,0)*'مواد المخزون'!$F38)</f>
        <v>0</v>
      </c>
      <c r="X43" s="107" t="n">
        <f aca="false">IF(AND(K43="نعم",O43&lt;0),-O43+ROW()*0.000000001,0)</f>
        <v>0</v>
      </c>
      <c r="Y43" s="107" t="n">
        <f aca="false">IF(AND(K43="نعم",O43&gt;0),O43+ROW()*0.000000001,0)</f>
        <v>0</v>
      </c>
      <c r="Z43" s="108"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المبيعات'!$B$2:$B$172)/'مواد المخزون'!$D$38</f>
        <v>0</v>
      </c>
      <c r="AA43" s="107" t="n">
        <f aca="false">IF(K43="نعم",O43,0)</f>
        <v>0</v>
      </c>
      <c r="AB43" s="107" t="n">
        <f aca="false">IF(K43="نعم",J43*C43,0)</f>
        <v>0</v>
      </c>
      <c r="AC43" s="107" t="n">
        <f aca="false">IF(T43="",0,T43)</f>
        <v>0</v>
      </c>
    </row>
    <row r="44" customFormat="false" ht="15" hidden="false" customHeight="false" outlineLevel="0" collapsed="false">
      <c r="A44" s="34" t="str">
        <f aca="false">'مواد المخزون'!A39</f>
        <v>دقيق</v>
      </c>
      <c r="B44" s="36" t="str">
        <f aca="false">'مواد المخزون'!B39</f>
        <v>كجم</v>
      </c>
      <c r="C44" s="107" t="n">
        <f aca="false">'مواد المخزون'!E39</f>
        <v>20.3571</v>
      </c>
      <c r="D44" s="108" t="n">
        <f aca="false">'جرد أول المدة'!C42</f>
        <v>12</v>
      </c>
      <c r="E44" s="108" t="n">
        <f aca="false">SUMIFS('مشتريات يومية'!$D$2:$D$4001,'مشتريات يومية'!$B$2:$B$4001,$B$2,'مشتريات يومية'!$C$2:$C$4001,$A44,'مشتريات يومية'!$A$2:$A$4001,"&gt;="&amp;'إعدادات المخزون'!$B$5,'مشتريات يومية'!$A$2:$A$4001,"&lt;="&amp;'إعدادات المخزون'!$B$4)</f>
        <v>45</v>
      </c>
      <c r="F44" s="108"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8"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8" t="n">
        <f aca="false">SUMPRODUCT('مصفوفة الاستهلاك'!$AM$2:$AM$172,'متجهات المبيعات'!$C$2:$C$172)/'مواد المخزون'!$D$39</f>
        <v>0</v>
      </c>
      <c r="I44" s="108"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8" t="n">
        <f aca="false">D44+E44+F44-G44-H44-I44</f>
        <v>57</v>
      </c>
      <c r="K44" s="36" t="str">
        <f aca="false">IF(COUNTIFS('جرد فعلي'!$B$2:$B$12001,$B$2,'جرد فعلي'!$C$2:$C$12001,$A44,'جرد فعلي'!$A$2:$A$12001,'إعدادات المخزون'!$B$4)&gt;0,"نعم","لا")</f>
        <v>لا</v>
      </c>
      <c r="L44" s="109" t="str">
        <f aca="false">IF(K44="نعم",SUMIFS('جرد فعلي'!$D$2:$D$12001,'جرد فعلي'!$B$2:$B$12001,$B$2,'جرد فعلي'!$C$2:$C$12001,$A44,'جرد فعلي'!$A$2:$A$12001,'إعدادات المخزون'!$B$4),"")</f>
        <v/>
      </c>
      <c r="M44" s="108" t="str">
        <f aca="false">IF(K44="نعم",L44-J44,"")</f>
        <v/>
      </c>
      <c r="N44" s="110" t="str">
        <f aca="false">IF(K44="نعم",IF(J44=0,IF(M44=0,0,SIGN(M44)),M44/ABS(J44)),"")</f>
        <v/>
      </c>
      <c r="O44" s="107" t="str">
        <f aca="false">IF(K44="نعم",M44*C44,"")</f>
        <v/>
      </c>
      <c r="P44" s="36" t="str">
        <f aca="false">IF(K44&lt;&gt;"نعم","لم يُجرد",IF(ABS(N44)&lt;='إعدادات المخزون'!$B$7,"مطابق",IF(M44&lt;0,"عجز","زيادة")))</f>
        <v>لم يُجرد</v>
      </c>
      <c r="Q44" s="108" t="n">
        <f aca="false">J44-Z44</f>
        <v>57</v>
      </c>
      <c r="R44" s="108"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8" t="str">
        <f aca="false">IF(AND(K44="نعم",R44&lt;&gt;""),(L44-J44)-(R44-Q44),"")</f>
        <v/>
      </c>
      <c r="T44" s="107" t="str">
        <f aca="false">IF(S44="","",S44*C44)</f>
        <v/>
      </c>
      <c r="U44" s="108" t="n">
        <f aca="false">IF(K44="نعم",L44,J44)</f>
        <v>57</v>
      </c>
      <c r="V44" s="108" t="n">
        <f aca="false">SUMPRODUCT('مصفوفة الاستهلاك'!$AM$2:$AM$172,'متجهات المبيعات'!$D$2:$D$172)/'مواد المخزون'!$D$39/MAX(1,MIN('إعدادات المخزون'!$B$11,'إعدادات المخزون'!$B$4-'إعدادات المخزون'!$B$5+1))</f>
        <v>0</v>
      </c>
      <c r="W44" s="108" t="n">
        <f aca="false">IF(V44&lt;=0,0,ROUNDUP(MAX(0,V44*('إعدادات المخزون'!$B$8+'إعدادات المخزون'!$B$9+'إعدادات المخزون'!$B$10)-MAX(U44,0))/'مواد المخزون'!$F39,0)*'مواد المخزون'!$F39)</f>
        <v>0</v>
      </c>
      <c r="X44" s="107" t="n">
        <f aca="false">IF(AND(K44="نعم",O44&lt;0),-O44+ROW()*0.000000001,0)</f>
        <v>0</v>
      </c>
      <c r="Y44" s="107" t="n">
        <f aca="false">IF(AND(K44="نعم",O44&gt;0),O44+ROW()*0.000000001,0)</f>
        <v>0</v>
      </c>
      <c r="Z44" s="108"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المبيعات'!$B$2:$B$172)/'مواد المخزون'!$D$39</f>
        <v>0</v>
      </c>
      <c r="AA44" s="107" t="n">
        <f aca="false">IF(K44="نعم",O44,0)</f>
        <v>0</v>
      </c>
      <c r="AB44" s="107" t="n">
        <f aca="false">IF(K44="نعم",J44*C44,0)</f>
        <v>0</v>
      </c>
      <c r="AC44" s="107" t="n">
        <f aca="false">IF(T44="",0,T44)</f>
        <v>0</v>
      </c>
    </row>
    <row r="45" customFormat="false" ht="15" hidden="false" customHeight="false" outlineLevel="0" collapsed="false">
      <c r="A45" s="34" t="str">
        <f aca="false">'مواد المخزون'!A40</f>
        <v>زبدة</v>
      </c>
      <c r="B45" s="36" t="str">
        <f aca="false">'مواد المخزون'!B40</f>
        <v>كجم</v>
      </c>
      <c r="C45" s="107" t="n">
        <f aca="false">'مواد المخزون'!E40</f>
        <v>120</v>
      </c>
      <c r="D45" s="108" t="n">
        <f aca="false">'جرد أول المدة'!C43</f>
        <v>3.556</v>
      </c>
      <c r="E45" s="108" t="n">
        <f aca="false">SUMIFS('مشتريات يومية'!$D$2:$D$4001,'مشتريات يومية'!$B$2:$B$4001,$B$2,'مشتريات يومية'!$C$2:$C$4001,$A45,'مشتريات يومية'!$A$2:$A$4001,"&gt;="&amp;'إعدادات المخزون'!$B$5,'مشتريات يومية'!$A$2:$A$4001,"&lt;="&amp;'إعدادات المخزون'!$B$4)</f>
        <v>10</v>
      </c>
      <c r="F45" s="108"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8"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8" t="n">
        <f aca="false">SUMPRODUCT('مصفوفة الاستهلاك'!$AN$2:$AN$172,'متجهات المبيعات'!$C$2:$C$172)/'مواد المخزون'!$D$40</f>
        <v>0</v>
      </c>
      <c r="I45" s="108"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8" t="n">
        <f aca="false">D45+E45+F45-G45-H45-I45</f>
        <v>13.556</v>
      </c>
      <c r="K45" s="36" t="str">
        <f aca="false">IF(COUNTIFS('جرد فعلي'!$B$2:$B$12001,$B$2,'جرد فعلي'!$C$2:$C$12001,$A45,'جرد فعلي'!$A$2:$A$12001,'إعدادات المخزون'!$B$4)&gt;0,"نعم","لا")</f>
        <v>لا</v>
      </c>
      <c r="L45" s="109" t="str">
        <f aca="false">IF(K45="نعم",SUMIFS('جرد فعلي'!$D$2:$D$12001,'جرد فعلي'!$B$2:$B$12001,$B$2,'جرد فعلي'!$C$2:$C$12001,$A45,'جرد فعلي'!$A$2:$A$12001,'إعدادات المخزون'!$B$4),"")</f>
        <v/>
      </c>
      <c r="M45" s="108" t="str">
        <f aca="false">IF(K45="نعم",L45-J45,"")</f>
        <v/>
      </c>
      <c r="N45" s="110" t="str">
        <f aca="false">IF(K45="نعم",IF(J45=0,IF(M45=0,0,SIGN(M45)),M45/ABS(J45)),"")</f>
        <v/>
      </c>
      <c r="O45" s="107" t="str">
        <f aca="false">IF(K45="نعم",M45*C45,"")</f>
        <v/>
      </c>
      <c r="P45" s="36" t="str">
        <f aca="false">IF(K45&lt;&gt;"نعم","لم يُجرد",IF(ABS(N45)&lt;='إعدادات المخزون'!$B$7,"مطابق",IF(M45&lt;0,"عجز","زيادة")))</f>
        <v>لم يُجرد</v>
      </c>
      <c r="Q45" s="108" t="n">
        <f aca="false">J45-Z45</f>
        <v>13.556</v>
      </c>
      <c r="R45" s="108"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8" t="str">
        <f aca="false">IF(AND(K45="نعم",R45&lt;&gt;""),(L45-J45)-(R45-Q45),"")</f>
        <v/>
      </c>
      <c r="T45" s="107" t="str">
        <f aca="false">IF(S45="","",S45*C45)</f>
        <v/>
      </c>
      <c r="U45" s="108" t="n">
        <f aca="false">IF(K45="نعم",L45,J45)</f>
        <v>13.556</v>
      </c>
      <c r="V45" s="108" t="n">
        <f aca="false">SUMPRODUCT('مصفوفة الاستهلاك'!$AN$2:$AN$172,'متجهات المبيعات'!$D$2:$D$172)/'مواد المخزون'!$D$40/MAX(1,MIN('إعدادات المخزون'!$B$11,'إعدادات المخزون'!$B$4-'إعدادات المخزون'!$B$5+1))</f>
        <v>0</v>
      </c>
      <c r="W45" s="108" t="n">
        <f aca="false">IF(V45&lt;=0,0,ROUNDUP(MAX(0,V45*('إعدادات المخزون'!$B$8+'إعدادات المخزون'!$B$9+'إعدادات المخزون'!$B$10)-MAX(U45,0))/'مواد المخزون'!$F40,0)*'مواد المخزون'!$F40)</f>
        <v>0</v>
      </c>
      <c r="X45" s="107" t="n">
        <f aca="false">IF(AND(K45="نعم",O45&lt;0),-O45+ROW()*0.000000001,0)</f>
        <v>0</v>
      </c>
      <c r="Y45" s="107" t="n">
        <f aca="false">IF(AND(K45="نعم",O45&gt;0),O45+ROW()*0.000000001,0)</f>
        <v>0</v>
      </c>
      <c r="Z45" s="108"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المبيعات'!$B$2:$B$172)/'مواد المخزون'!$D$40</f>
        <v>0</v>
      </c>
      <c r="AA45" s="107" t="n">
        <f aca="false">IF(K45="نعم",O45,0)</f>
        <v>0</v>
      </c>
      <c r="AB45" s="107" t="n">
        <f aca="false">IF(K45="نعم",J45*C45,0)</f>
        <v>0</v>
      </c>
      <c r="AC45" s="107" t="n">
        <f aca="false">IF(T45="",0,T45)</f>
        <v>0</v>
      </c>
    </row>
    <row r="46" customFormat="false" ht="15" hidden="false" customHeight="false" outlineLevel="0" collapsed="false">
      <c r="A46" s="34" t="str">
        <f aca="false">'مواد المخزون'!A41</f>
        <v>زبيب</v>
      </c>
      <c r="B46" s="36" t="str">
        <f aca="false">'مواد المخزون'!B41</f>
        <v>كجم</v>
      </c>
      <c r="C46" s="107" t="n">
        <f aca="false">'مواد المخزون'!E41</f>
        <v>220</v>
      </c>
      <c r="D46" s="108" t="n">
        <f aca="false">'جرد أول المدة'!C44</f>
        <v>0.875</v>
      </c>
      <c r="E46" s="108" t="n">
        <f aca="false">SUMIFS('مشتريات يومية'!$D$2:$D$4001,'مشتريات يومية'!$B$2:$B$4001,$B$2,'مشتريات يومية'!$C$2:$C$4001,$A46,'مشتريات يومية'!$A$2:$A$4001,"&gt;="&amp;'إعدادات المخزون'!$B$5,'مشتريات يومية'!$A$2:$A$4001,"&lt;="&amp;'إعدادات المخزون'!$B$4)</f>
        <v>0.5</v>
      </c>
      <c r="F46" s="108"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8"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8" t="n">
        <f aca="false">SUMPRODUCT('مصفوفة الاستهلاك'!$AO$2:$AO$172,'متجهات المبيعات'!$C$2:$C$172)/'مواد المخزون'!$D$41</f>
        <v>0</v>
      </c>
      <c r="I46" s="108"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8" t="n">
        <f aca="false">D46+E46+F46-G46-H46-I46</f>
        <v>1.375</v>
      </c>
      <c r="K46" s="36" t="str">
        <f aca="false">IF(COUNTIFS('جرد فعلي'!$B$2:$B$12001,$B$2,'جرد فعلي'!$C$2:$C$12001,$A46,'جرد فعلي'!$A$2:$A$12001,'إعدادات المخزون'!$B$4)&gt;0,"نعم","لا")</f>
        <v>لا</v>
      </c>
      <c r="L46" s="109" t="str">
        <f aca="false">IF(K46="نعم",SUMIFS('جرد فعلي'!$D$2:$D$12001,'جرد فعلي'!$B$2:$B$12001,$B$2,'جرد فعلي'!$C$2:$C$12001,$A46,'جرد فعلي'!$A$2:$A$12001,'إعدادات المخزون'!$B$4),"")</f>
        <v/>
      </c>
      <c r="M46" s="108" t="str">
        <f aca="false">IF(K46="نعم",L46-J46,"")</f>
        <v/>
      </c>
      <c r="N46" s="110" t="str">
        <f aca="false">IF(K46="نعم",IF(J46=0,IF(M46=0,0,SIGN(M46)),M46/ABS(J46)),"")</f>
        <v/>
      </c>
      <c r="O46" s="107" t="str">
        <f aca="false">IF(K46="نعم",M46*C46,"")</f>
        <v/>
      </c>
      <c r="P46" s="36" t="str">
        <f aca="false">IF(K46&lt;&gt;"نعم","لم يُجرد",IF(ABS(N46)&lt;='إعدادات المخزون'!$B$7,"مطابق",IF(M46&lt;0,"عجز","زيادة")))</f>
        <v>لم يُجرد</v>
      </c>
      <c r="Q46" s="108" t="n">
        <f aca="false">J46-Z46</f>
        <v>1.375</v>
      </c>
      <c r="R46" s="108"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8" t="str">
        <f aca="false">IF(AND(K46="نعم",R46&lt;&gt;""),(L46-J46)-(R46-Q46),"")</f>
        <v/>
      </c>
      <c r="T46" s="107" t="str">
        <f aca="false">IF(S46="","",S46*C46)</f>
        <v/>
      </c>
      <c r="U46" s="108" t="n">
        <f aca="false">IF(K46="نعم",L46,J46)</f>
        <v>1.375</v>
      </c>
      <c r="V46" s="108" t="n">
        <f aca="false">SUMPRODUCT('مصفوفة الاستهلاك'!$AO$2:$AO$172,'متجهات المبيعات'!$D$2:$D$172)/'مواد المخزون'!$D$41/MAX(1,MIN('إعدادات المخزون'!$B$11,'إعدادات المخزون'!$B$4-'إعدادات المخزون'!$B$5+1))</f>
        <v>0</v>
      </c>
      <c r="W46" s="108" t="n">
        <f aca="false">IF(V46&lt;=0,0,ROUNDUP(MAX(0,V46*('إعدادات المخزون'!$B$8+'إعدادات المخزون'!$B$9+'إعدادات المخزون'!$B$10)-MAX(U46,0))/'مواد المخزون'!$F41,0)*'مواد المخزون'!$F41)</f>
        <v>0</v>
      </c>
      <c r="X46" s="107" t="n">
        <f aca="false">IF(AND(K46="نعم",O46&lt;0),-O46+ROW()*0.000000001,0)</f>
        <v>0</v>
      </c>
      <c r="Y46" s="107" t="n">
        <f aca="false">IF(AND(K46="نعم",O46&gt;0),O46+ROW()*0.000000001,0)</f>
        <v>0</v>
      </c>
      <c r="Z46" s="108"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المبيعات'!$B$2:$B$172)/'مواد المخزون'!$D$41</f>
        <v>0</v>
      </c>
      <c r="AA46" s="107" t="n">
        <f aca="false">IF(K46="نعم",O46,0)</f>
        <v>0</v>
      </c>
      <c r="AB46" s="107" t="n">
        <f aca="false">IF(K46="نعم",J46*C46,0)</f>
        <v>0</v>
      </c>
      <c r="AC46" s="107" t="n">
        <f aca="false">IF(T46="",0,T46)</f>
        <v>0</v>
      </c>
    </row>
    <row r="47" customFormat="false" ht="15" hidden="false" customHeight="false" outlineLevel="0" collapsed="false">
      <c r="A47" s="34" t="str">
        <f aca="false">'مواد المخزون'!A42</f>
        <v>زيتون</v>
      </c>
      <c r="B47" s="36" t="str">
        <f aca="false">'مواد المخزون'!B42</f>
        <v>كجم</v>
      </c>
      <c r="C47" s="107" t="n">
        <f aca="false">'مواد المخزون'!E42</f>
        <v>95</v>
      </c>
      <c r="D47" s="108" t="n">
        <f aca="false">'جرد أول المدة'!C45</f>
        <v>16.25</v>
      </c>
      <c r="E47" s="108" t="n">
        <f aca="false">SUMIFS('مشتريات يومية'!$D$2:$D$4001,'مشتريات يومية'!$B$2:$B$4001,$B$2,'مشتريات يومية'!$C$2:$C$4001,$A47,'مشتريات يومية'!$A$2:$A$4001,"&gt;="&amp;'إعدادات المخزون'!$B$5,'مشتريات يومية'!$A$2:$A$4001,"&lt;="&amp;'إعدادات المخزون'!$B$4)</f>
        <v>15</v>
      </c>
      <c r="F47" s="108"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8"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8" t="n">
        <f aca="false">SUMPRODUCT('مصفوفة الاستهلاك'!$AP$2:$AP$172,'متجهات المبيعات'!$C$2:$C$172)/'مواد المخزون'!$D$42</f>
        <v>0</v>
      </c>
      <c r="I47" s="108"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8" t="n">
        <f aca="false">D47+E47+F47-G47-H47-I47</f>
        <v>31.25</v>
      </c>
      <c r="K47" s="36" t="str">
        <f aca="false">IF(COUNTIFS('جرد فعلي'!$B$2:$B$12001,$B$2,'جرد فعلي'!$C$2:$C$12001,$A47,'جرد فعلي'!$A$2:$A$12001,'إعدادات المخزون'!$B$4)&gt;0,"نعم","لا")</f>
        <v>لا</v>
      </c>
      <c r="L47" s="109" t="str">
        <f aca="false">IF(K47="نعم",SUMIFS('جرد فعلي'!$D$2:$D$12001,'جرد فعلي'!$B$2:$B$12001,$B$2,'جرد فعلي'!$C$2:$C$12001,$A47,'جرد فعلي'!$A$2:$A$12001,'إعدادات المخزون'!$B$4),"")</f>
        <v/>
      </c>
      <c r="M47" s="108" t="str">
        <f aca="false">IF(K47="نعم",L47-J47,"")</f>
        <v/>
      </c>
      <c r="N47" s="110" t="str">
        <f aca="false">IF(K47="نعم",IF(J47=0,IF(M47=0,0,SIGN(M47)),M47/ABS(J47)),"")</f>
        <v/>
      </c>
      <c r="O47" s="107" t="str">
        <f aca="false">IF(K47="نعم",M47*C47,"")</f>
        <v/>
      </c>
      <c r="P47" s="36" t="str">
        <f aca="false">IF(K47&lt;&gt;"نعم","لم يُجرد",IF(ABS(N47)&lt;='إعدادات المخزون'!$B$7,"مطابق",IF(M47&lt;0,"عجز","زيادة")))</f>
        <v>لم يُجرد</v>
      </c>
      <c r="Q47" s="108" t="n">
        <f aca="false">J47-Z47</f>
        <v>31.25</v>
      </c>
      <c r="R47" s="108"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8" t="str">
        <f aca="false">IF(AND(K47="نعم",R47&lt;&gt;""),(L47-J47)-(R47-Q47),"")</f>
        <v/>
      </c>
      <c r="T47" s="107" t="str">
        <f aca="false">IF(S47="","",S47*C47)</f>
        <v/>
      </c>
      <c r="U47" s="108" t="n">
        <f aca="false">IF(K47="نعم",L47,J47)</f>
        <v>31.25</v>
      </c>
      <c r="V47" s="108" t="n">
        <f aca="false">SUMPRODUCT('مصفوفة الاستهلاك'!$AP$2:$AP$172,'متجهات المبيعات'!$D$2:$D$172)/'مواد المخزون'!$D$42/MAX(1,MIN('إعدادات المخزون'!$B$11,'إعدادات المخزون'!$B$4-'إعدادات المخزون'!$B$5+1))</f>
        <v>0</v>
      </c>
      <c r="W47" s="108" t="n">
        <f aca="false">IF(V47&lt;=0,0,ROUNDUP(MAX(0,V47*('إعدادات المخزون'!$B$8+'إعدادات المخزون'!$B$9+'إعدادات المخزون'!$B$10)-MAX(U47,0))/'مواد المخزون'!$F42,0)*'مواد المخزون'!$F42)</f>
        <v>0</v>
      </c>
      <c r="X47" s="107" t="n">
        <f aca="false">IF(AND(K47="نعم",O47&lt;0),-O47+ROW()*0.000000001,0)</f>
        <v>0</v>
      </c>
      <c r="Y47" s="107" t="n">
        <f aca="false">IF(AND(K47="نعم",O47&gt;0),O47+ROW()*0.000000001,0)</f>
        <v>0</v>
      </c>
      <c r="Z47" s="108"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المبيعات'!$B$2:$B$172)/'مواد المخزون'!$D$42</f>
        <v>0</v>
      </c>
      <c r="AA47" s="107" t="n">
        <f aca="false">IF(K47="نعم",O47,0)</f>
        <v>0</v>
      </c>
      <c r="AB47" s="107" t="n">
        <f aca="false">IF(K47="نعم",J47*C47,0)</f>
        <v>0</v>
      </c>
      <c r="AC47" s="107" t="n">
        <f aca="false">IF(T47="",0,T47)</f>
        <v>0</v>
      </c>
    </row>
    <row r="48" customFormat="false" ht="15" hidden="false" customHeight="false" outlineLevel="0" collapsed="false">
      <c r="A48" s="34" t="str">
        <f aca="false">'مواد المخزون'!A43</f>
        <v>سكر بودرة</v>
      </c>
      <c r="B48" s="36" t="str">
        <f aca="false">'مواد المخزون'!B43</f>
        <v>كجم</v>
      </c>
      <c r="C48" s="107" t="n">
        <f aca="false">'مواد المخزون'!E43</f>
        <v>30.6593</v>
      </c>
      <c r="D48" s="108" t="n">
        <f aca="false">'جرد أول المدة'!C46</f>
        <v>5.845</v>
      </c>
      <c r="E48" s="108" t="n">
        <f aca="false">SUMIFS('مشتريات يومية'!$D$2:$D$4001,'مشتريات يومية'!$B$2:$B$4001,$B$2,'مشتريات يومية'!$C$2:$C$4001,$A48,'مشتريات يومية'!$A$2:$A$4001,"&gt;="&amp;'إعدادات المخزون'!$B$5,'مشتريات يومية'!$A$2:$A$4001,"&lt;="&amp;'إعدادات المخزون'!$B$4)</f>
        <v>29</v>
      </c>
      <c r="F48" s="108"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8"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8" t="n">
        <f aca="false">SUMPRODUCT('مصفوفة الاستهلاك'!$AQ$2:$AQ$172,'متجهات المبيعات'!$C$2:$C$172)/'مواد المخزون'!$D$43</f>
        <v>0</v>
      </c>
      <c r="I48" s="108"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8" t="n">
        <f aca="false">D48+E48+F48-G48-H48-I48</f>
        <v>34.845</v>
      </c>
      <c r="K48" s="36" t="str">
        <f aca="false">IF(COUNTIFS('جرد فعلي'!$B$2:$B$12001,$B$2,'جرد فعلي'!$C$2:$C$12001,$A48,'جرد فعلي'!$A$2:$A$12001,'إعدادات المخزون'!$B$4)&gt;0,"نعم","لا")</f>
        <v>لا</v>
      </c>
      <c r="L48" s="109" t="str">
        <f aca="false">IF(K48="نعم",SUMIFS('جرد فعلي'!$D$2:$D$12001,'جرد فعلي'!$B$2:$B$12001,$B$2,'جرد فعلي'!$C$2:$C$12001,$A48,'جرد فعلي'!$A$2:$A$12001,'إعدادات المخزون'!$B$4),"")</f>
        <v/>
      </c>
      <c r="M48" s="108" t="str">
        <f aca="false">IF(K48="نعم",L48-J48,"")</f>
        <v/>
      </c>
      <c r="N48" s="110" t="str">
        <f aca="false">IF(K48="نعم",IF(J48=0,IF(M48=0,0,SIGN(M48)),M48/ABS(J48)),"")</f>
        <v/>
      </c>
      <c r="O48" s="107" t="str">
        <f aca="false">IF(K48="نعم",M48*C48,"")</f>
        <v/>
      </c>
      <c r="P48" s="36" t="str">
        <f aca="false">IF(K48&lt;&gt;"نعم","لم يُجرد",IF(ABS(N48)&lt;='إعدادات المخزون'!$B$7,"مطابق",IF(M48&lt;0,"عجز","زيادة")))</f>
        <v>لم يُجرد</v>
      </c>
      <c r="Q48" s="108" t="n">
        <f aca="false">J48-Z48</f>
        <v>34.845</v>
      </c>
      <c r="R48" s="108"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8" t="str">
        <f aca="false">IF(AND(K48="نعم",R48&lt;&gt;""),(L48-J48)-(R48-Q48),"")</f>
        <v/>
      </c>
      <c r="T48" s="107" t="str">
        <f aca="false">IF(S48="","",S48*C48)</f>
        <v/>
      </c>
      <c r="U48" s="108" t="n">
        <f aca="false">IF(K48="نعم",L48,J48)</f>
        <v>34.845</v>
      </c>
      <c r="V48" s="108" t="n">
        <f aca="false">SUMPRODUCT('مصفوفة الاستهلاك'!$AQ$2:$AQ$172,'متجهات المبيعات'!$D$2:$D$172)/'مواد المخزون'!$D$43/MAX(1,MIN('إعدادات المخزون'!$B$11,'إعدادات المخزون'!$B$4-'إعدادات المخزون'!$B$5+1))</f>
        <v>0</v>
      </c>
      <c r="W48" s="108" t="n">
        <f aca="false">IF(V48&lt;=0,0,ROUNDUP(MAX(0,V48*('إعدادات المخزون'!$B$8+'إعدادات المخزون'!$B$9+'إعدادات المخزون'!$B$10)-MAX(U48,0))/'مواد المخزون'!$F43,0)*'مواد المخزون'!$F43)</f>
        <v>0</v>
      </c>
      <c r="X48" s="107" t="n">
        <f aca="false">IF(AND(K48="نعم",O48&lt;0),-O48+ROW()*0.000000001,0)</f>
        <v>0</v>
      </c>
      <c r="Y48" s="107" t="n">
        <f aca="false">IF(AND(K48="نعم",O48&gt;0),O48+ROW()*0.000000001,0)</f>
        <v>0</v>
      </c>
      <c r="Z48" s="108"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المبيعات'!$B$2:$B$172)/'مواد المخزون'!$D$43</f>
        <v>0</v>
      </c>
      <c r="AA48" s="107" t="n">
        <f aca="false">IF(K48="نعم",O48,0)</f>
        <v>0</v>
      </c>
      <c r="AB48" s="107" t="n">
        <f aca="false">IF(K48="نعم",J48*C48,0)</f>
        <v>0</v>
      </c>
      <c r="AC48" s="107" t="n">
        <f aca="false">IF(T48="",0,T48)</f>
        <v>0</v>
      </c>
    </row>
    <row r="49" customFormat="false" ht="15" hidden="false" customHeight="false" outlineLevel="0" collapsed="false">
      <c r="A49" s="34" t="str">
        <f aca="false">'مواد المخزون'!A44</f>
        <v>سمنة الشيخ</v>
      </c>
      <c r="B49" s="36" t="str">
        <f aca="false">'مواد المخزون'!B44</f>
        <v>كجم</v>
      </c>
      <c r="C49" s="107" t="n">
        <f aca="false">'مواد المخزون'!E44</f>
        <v>380</v>
      </c>
      <c r="D49" s="108" t="n">
        <f aca="false">'جرد أول المدة'!C47</f>
        <v>1.25</v>
      </c>
      <c r="E49" s="108" t="n">
        <f aca="false">SUMIFS('مشتريات يومية'!$D$2:$D$4001,'مشتريات يومية'!$B$2:$B$4001,$B$2,'مشتريات يومية'!$C$2:$C$4001,$A49,'مشتريات يومية'!$A$2:$A$4001,"&gt;="&amp;'إعدادات المخزون'!$B$5,'مشتريات يومية'!$A$2:$A$4001,"&lt;="&amp;'إعدادات المخزون'!$B$4)</f>
        <v>5</v>
      </c>
      <c r="F49" s="108"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8"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8" t="n">
        <f aca="false">SUMPRODUCT('مصفوفة الاستهلاك'!$AR$2:$AR$172,'متجهات المبيعات'!$C$2:$C$172)/'مواد المخزون'!$D$44</f>
        <v>0</v>
      </c>
      <c r="I49" s="108"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8" t="n">
        <f aca="false">D49+E49+F49-G49-H49-I49</f>
        <v>6.25</v>
      </c>
      <c r="K49" s="36" t="str">
        <f aca="false">IF(COUNTIFS('جرد فعلي'!$B$2:$B$12001,$B$2,'جرد فعلي'!$C$2:$C$12001,$A49,'جرد فعلي'!$A$2:$A$12001,'إعدادات المخزون'!$B$4)&gt;0,"نعم","لا")</f>
        <v>لا</v>
      </c>
      <c r="L49" s="109" t="str">
        <f aca="false">IF(K49="نعم",SUMIFS('جرد فعلي'!$D$2:$D$12001,'جرد فعلي'!$B$2:$B$12001,$B$2,'جرد فعلي'!$C$2:$C$12001,$A49,'جرد فعلي'!$A$2:$A$12001,'إعدادات المخزون'!$B$4),"")</f>
        <v/>
      </c>
      <c r="M49" s="108" t="str">
        <f aca="false">IF(K49="نعم",L49-J49,"")</f>
        <v/>
      </c>
      <c r="N49" s="110" t="str">
        <f aca="false">IF(K49="نعم",IF(J49=0,IF(M49=0,0,SIGN(M49)),M49/ABS(J49)),"")</f>
        <v/>
      </c>
      <c r="O49" s="107" t="str">
        <f aca="false">IF(K49="نعم",M49*C49,"")</f>
        <v/>
      </c>
      <c r="P49" s="36" t="str">
        <f aca="false">IF(K49&lt;&gt;"نعم","لم يُجرد",IF(ABS(N49)&lt;='إعدادات المخزون'!$B$7,"مطابق",IF(M49&lt;0,"عجز","زيادة")))</f>
        <v>لم يُجرد</v>
      </c>
      <c r="Q49" s="108" t="n">
        <f aca="false">J49-Z49</f>
        <v>6.25</v>
      </c>
      <c r="R49" s="108"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8" t="str">
        <f aca="false">IF(AND(K49="نعم",R49&lt;&gt;""),(L49-J49)-(R49-Q49),"")</f>
        <v/>
      </c>
      <c r="T49" s="107" t="str">
        <f aca="false">IF(S49="","",S49*C49)</f>
        <v/>
      </c>
      <c r="U49" s="108" t="n">
        <f aca="false">IF(K49="نعم",L49,J49)</f>
        <v>6.25</v>
      </c>
      <c r="V49" s="108" t="n">
        <f aca="false">SUMPRODUCT('مصفوفة الاستهلاك'!$AR$2:$AR$172,'متجهات المبيعات'!$D$2:$D$172)/'مواد المخزون'!$D$44/MAX(1,MIN('إعدادات المخزون'!$B$11,'إعدادات المخزون'!$B$4-'إعدادات المخزون'!$B$5+1))</f>
        <v>0</v>
      </c>
      <c r="W49" s="108" t="n">
        <f aca="false">IF(V49&lt;=0,0,ROUNDUP(MAX(0,V49*('إعدادات المخزون'!$B$8+'إعدادات المخزون'!$B$9+'إعدادات المخزون'!$B$10)-MAX(U49,0))/'مواد المخزون'!$F44,0)*'مواد المخزون'!$F44)</f>
        <v>0</v>
      </c>
      <c r="X49" s="107" t="n">
        <f aca="false">IF(AND(K49="نعم",O49&lt;0),-O49+ROW()*0.000000001,0)</f>
        <v>0</v>
      </c>
      <c r="Y49" s="107" t="n">
        <f aca="false">IF(AND(K49="نعم",O49&gt;0),O49+ROW()*0.000000001,0)</f>
        <v>0</v>
      </c>
      <c r="Z49" s="108"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المبيعات'!$B$2:$B$172)/'مواد المخزون'!$D$44</f>
        <v>0</v>
      </c>
      <c r="AA49" s="107" t="n">
        <f aca="false">IF(K49="نعم",O49,0)</f>
        <v>0</v>
      </c>
      <c r="AB49" s="107" t="n">
        <f aca="false">IF(K49="نعم",J49*C49,0)</f>
        <v>0</v>
      </c>
      <c r="AC49" s="107" t="n">
        <f aca="false">IF(T49="",0,T49)</f>
        <v>0</v>
      </c>
    </row>
    <row r="50" customFormat="false" ht="15" hidden="false" customHeight="false" outlineLevel="0" collapsed="false">
      <c r="A50" s="34" t="str">
        <f aca="false">'مواد المخزون'!A45</f>
        <v>سيلفر رول</v>
      </c>
      <c r="B50" s="36" t="str">
        <f aca="false">'مواد المخزون'!B45</f>
        <v>رول</v>
      </c>
      <c r="C50" s="107" t="n">
        <f aca="false">'مواد المخزون'!E45</f>
        <v>503.78</v>
      </c>
      <c r="D50" s="108" t="n">
        <f aca="false">'جرد أول المدة'!C48</f>
        <v>1.5</v>
      </c>
      <c r="E50" s="108" t="n">
        <f aca="false">SUMIFS('مشتريات يومية'!$D$2:$D$4001,'مشتريات يومية'!$B$2:$B$4001,$B$2,'مشتريات يومية'!$C$2:$C$4001,$A50,'مشتريات يومية'!$A$2:$A$4001,"&gt;="&amp;'إعدادات المخزون'!$B$5,'مشتريات يومية'!$A$2:$A$4001,"&lt;="&amp;'إعدادات المخزون'!$B$4)</f>
        <v>0</v>
      </c>
      <c r="F50" s="108"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8"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8" t="n">
        <f aca="false">SUMPRODUCT('مصفوفة الاستهلاك'!$AS$2:$AS$172,'متجهات المبيعات'!$C$2:$C$172)/'مواد المخزون'!$D$45</f>
        <v>0</v>
      </c>
      <c r="I50" s="108"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8" t="n">
        <f aca="false">D50+E50+F50-G50-H50-I50</f>
        <v>1.5</v>
      </c>
      <c r="K50" s="36" t="str">
        <f aca="false">IF(COUNTIFS('جرد فعلي'!$B$2:$B$12001,$B$2,'جرد فعلي'!$C$2:$C$12001,$A50,'جرد فعلي'!$A$2:$A$12001,'إعدادات المخزون'!$B$4)&gt;0,"نعم","لا")</f>
        <v>لا</v>
      </c>
      <c r="L50" s="109" t="str">
        <f aca="false">IF(K50="نعم",SUMIFS('جرد فعلي'!$D$2:$D$12001,'جرد فعلي'!$B$2:$B$12001,$B$2,'جرد فعلي'!$C$2:$C$12001,$A50,'جرد فعلي'!$A$2:$A$12001,'إعدادات المخزون'!$B$4),"")</f>
        <v/>
      </c>
      <c r="M50" s="108" t="str">
        <f aca="false">IF(K50="نعم",L50-J50,"")</f>
        <v/>
      </c>
      <c r="N50" s="110" t="str">
        <f aca="false">IF(K50="نعم",IF(J50=0,IF(M50=0,0,SIGN(M50)),M50/ABS(J50)),"")</f>
        <v/>
      </c>
      <c r="O50" s="107" t="str">
        <f aca="false">IF(K50="نعم",M50*C50,"")</f>
        <v/>
      </c>
      <c r="P50" s="36" t="str">
        <f aca="false">IF(K50&lt;&gt;"نعم","لم يُجرد",IF(ABS(N50)&lt;='إعدادات المخزون'!$B$7,"مطابق",IF(M50&lt;0,"عجز","زيادة")))</f>
        <v>لم يُجرد</v>
      </c>
      <c r="Q50" s="108" t="n">
        <f aca="false">J50-Z50</f>
        <v>1.5</v>
      </c>
      <c r="R50" s="108"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8" t="str">
        <f aca="false">IF(AND(K50="نعم",R50&lt;&gt;""),(L50-J50)-(R50-Q50),"")</f>
        <v/>
      </c>
      <c r="T50" s="107" t="str">
        <f aca="false">IF(S50="","",S50*C50)</f>
        <v/>
      </c>
      <c r="U50" s="108" t="n">
        <f aca="false">IF(K50="نعم",L50,J50)</f>
        <v>1.5</v>
      </c>
      <c r="V50" s="108" t="n">
        <f aca="false">SUMPRODUCT('مصفوفة الاستهلاك'!$AS$2:$AS$172,'متجهات المبيعات'!$D$2:$D$172)/'مواد المخزون'!$D$45/MAX(1,MIN('إعدادات المخزون'!$B$11,'إعدادات المخزون'!$B$4-'إعدادات المخزون'!$B$5+1))</f>
        <v>0</v>
      </c>
      <c r="W50" s="108" t="n">
        <f aca="false">IF(V50&lt;=0,0,ROUNDUP(MAX(0,V50*('إعدادات المخزون'!$B$8+'إعدادات المخزون'!$B$9+'إعدادات المخزون'!$B$10)-MAX(U50,0))/'مواد المخزون'!$F45,0)*'مواد المخزون'!$F45)</f>
        <v>0</v>
      </c>
      <c r="X50" s="107" t="n">
        <f aca="false">IF(AND(K50="نعم",O50&lt;0),-O50+ROW()*0.000000001,0)</f>
        <v>0</v>
      </c>
      <c r="Y50" s="107" t="n">
        <f aca="false">IF(AND(K50="نعم",O50&gt;0),O50+ROW()*0.000000001,0)</f>
        <v>0</v>
      </c>
      <c r="Z50" s="108"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المبيعات'!$B$2:$B$172)/'مواد المخزون'!$D$45</f>
        <v>0</v>
      </c>
      <c r="AA50" s="107" t="n">
        <f aca="false">IF(K50="نعم",O50,0)</f>
        <v>0</v>
      </c>
      <c r="AB50" s="107" t="n">
        <f aca="false">IF(K50="نعم",J50*C50,0)</f>
        <v>0</v>
      </c>
      <c r="AC50" s="107"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7" t="n">
        <f aca="false">'مواد المخزون'!E46</f>
        <v>135</v>
      </c>
      <c r="D51" s="108" t="n">
        <f aca="false">'جرد أول المدة'!C49</f>
        <v>0.5</v>
      </c>
      <c r="E51" s="108" t="n">
        <f aca="false">SUMIFS('مشتريات يومية'!$D$2:$D$4001,'مشتريات يومية'!$B$2:$B$4001,$B$2,'مشتريات يومية'!$C$2:$C$4001,$A51,'مشتريات يومية'!$A$2:$A$4001,"&gt;="&amp;'إعدادات المخزون'!$B$5,'مشتريات يومية'!$A$2:$A$4001,"&lt;="&amp;'إعدادات المخزون'!$B$4)</f>
        <v>3</v>
      </c>
      <c r="F51" s="108"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8"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8" t="n">
        <f aca="false">SUMPRODUCT('مصفوفة الاستهلاك'!$AT$2:$AT$172,'متجهات المبيعات'!$C$2:$C$172)/'مواد المخزون'!$D$46</f>
        <v>0</v>
      </c>
      <c r="I51" s="108"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8" t="n">
        <f aca="false">D51+E51+F51-G51-H51-I51</f>
        <v>3.5</v>
      </c>
      <c r="K51" s="36" t="str">
        <f aca="false">IF(COUNTIFS('جرد فعلي'!$B$2:$B$12001,$B$2,'جرد فعلي'!$C$2:$C$12001,$A51,'جرد فعلي'!$A$2:$A$12001,'إعدادات المخزون'!$B$4)&gt;0,"نعم","لا")</f>
        <v>لا</v>
      </c>
      <c r="L51" s="109" t="str">
        <f aca="false">IF(K51="نعم",SUMIFS('جرد فعلي'!$D$2:$D$12001,'جرد فعلي'!$B$2:$B$12001,$B$2,'جرد فعلي'!$C$2:$C$12001,$A51,'جرد فعلي'!$A$2:$A$12001,'إعدادات المخزون'!$B$4),"")</f>
        <v/>
      </c>
      <c r="M51" s="108" t="str">
        <f aca="false">IF(K51="نعم",L51-J51,"")</f>
        <v/>
      </c>
      <c r="N51" s="110" t="str">
        <f aca="false">IF(K51="نعم",IF(J51=0,IF(M51=0,0,SIGN(M51)),M51/ABS(J51)),"")</f>
        <v/>
      </c>
      <c r="O51" s="107" t="str">
        <f aca="false">IF(K51="نعم",M51*C51,"")</f>
        <v/>
      </c>
      <c r="P51" s="36" t="str">
        <f aca="false">IF(K51&lt;&gt;"نعم","لم يُجرد",IF(ABS(N51)&lt;='إعدادات المخزون'!$B$7,"مطابق",IF(M51&lt;0,"عجز","زيادة")))</f>
        <v>لم يُجرد</v>
      </c>
      <c r="Q51" s="108" t="n">
        <f aca="false">J51-Z51</f>
        <v>3.5</v>
      </c>
      <c r="R51" s="108"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8" t="str">
        <f aca="false">IF(AND(K51="نعم",R51&lt;&gt;""),(L51-J51)-(R51-Q51),"")</f>
        <v/>
      </c>
      <c r="T51" s="107" t="str">
        <f aca="false">IF(S51="","",S51*C51)</f>
        <v/>
      </c>
      <c r="U51" s="108" t="n">
        <f aca="false">IF(K51="نعم",L51,J51)</f>
        <v>3.5</v>
      </c>
      <c r="V51" s="108" t="n">
        <f aca="false">SUMPRODUCT('مصفوفة الاستهلاك'!$AT$2:$AT$172,'متجهات المبيعات'!$D$2:$D$172)/'مواد المخزون'!$D$46/MAX(1,MIN('إعدادات المخزون'!$B$11,'إعدادات المخزون'!$B$4-'إعدادات المخزون'!$B$5+1))</f>
        <v>0</v>
      </c>
      <c r="W51" s="108" t="n">
        <f aca="false">IF(V51&lt;=0,0,ROUNDUP(MAX(0,V51*('إعدادات المخزون'!$B$8+'إعدادات المخزون'!$B$9+'إعدادات المخزون'!$B$10)-MAX(U51,0))/'مواد المخزون'!$F46,0)*'مواد المخزون'!$F46)</f>
        <v>0</v>
      </c>
      <c r="X51" s="107" t="n">
        <f aca="false">IF(AND(K51="نعم",O51&lt;0),-O51+ROW()*0.000000001,0)</f>
        <v>0</v>
      </c>
      <c r="Y51" s="107" t="n">
        <f aca="false">IF(AND(K51="نعم",O51&gt;0),O51+ROW()*0.000000001,0)</f>
        <v>0</v>
      </c>
      <c r="Z51" s="108"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المبيعات'!$B$2:$B$172)/'مواد المخزون'!$D$46</f>
        <v>0</v>
      </c>
      <c r="AA51" s="107" t="n">
        <f aca="false">IF(K51="نعم",O51,0)</f>
        <v>0</v>
      </c>
      <c r="AB51" s="107" t="n">
        <f aca="false">IF(K51="نعم",J51*C51,0)</f>
        <v>0</v>
      </c>
      <c r="AC51" s="107"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7" t="n">
        <f aca="false">'مواد المخزون'!E47</f>
        <v>0.3</v>
      </c>
      <c r="D52" s="108" t="n">
        <f aca="false">'جرد أول المدة'!C50</f>
        <v>500</v>
      </c>
      <c r="E52" s="108" t="n">
        <f aca="false">SUMIFS('مشتريات يومية'!$D$2:$D$4001,'مشتريات يومية'!$B$2:$B$4001,$B$2,'مشتريات يومية'!$C$2:$C$4001,$A52,'مشتريات يومية'!$A$2:$A$4001,"&gt;="&amp;'إعدادات المخزون'!$B$5,'مشتريات يومية'!$A$2:$A$4001,"&lt;="&amp;'إعدادات المخزون'!$B$4)</f>
        <v>2000</v>
      </c>
      <c r="F52" s="108"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8"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8" t="n">
        <f aca="false">SUMPRODUCT('مصفوفة الاستهلاك'!$AU$2:$AU$172,'متجهات المبيعات'!$C$2:$C$172)/'مواد المخزون'!$D$47</f>
        <v>0</v>
      </c>
      <c r="I52" s="108"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8" t="n">
        <f aca="false">D52+E52+F52-G52-H52-I52</f>
        <v>2500</v>
      </c>
      <c r="K52" s="36" t="str">
        <f aca="false">IF(COUNTIFS('جرد فعلي'!$B$2:$B$12001,$B$2,'جرد فعلي'!$C$2:$C$12001,$A52,'جرد فعلي'!$A$2:$A$12001,'إعدادات المخزون'!$B$4)&gt;0,"نعم","لا")</f>
        <v>لا</v>
      </c>
      <c r="L52" s="109" t="str">
        <f aca="false">IF(K52="نعم",SUMIFS('جرد فعلي'!$D$2:$D$12001,'جرد فعلي'!$B$2:$B$12001,$B$2,'جرد فعلي'!$C$2:$C$12001,$A52,'جرد فعلي'!$A$2:$A$12001,'إعدادات المخزون'!$B$4),"")</f>
        <v/>
      </c>
      <c r="M52" s="108" t="str">
        <f aca="false">IF(K52="نعم",L52-J52,"")</f>
        <v/>
      </c>
      <c r="N52" s="110" t="str">
        <f aca="false">IF(K52="نعم",IF(J52=0,IF(M52=0,0,SIGN(M52)),M52/ABS(J52)),"")</f>
        <v/>
      </c>
      <c r="O52" s="107" t="str">
        <f aca="false">IF(K52="نعم",M52*C52,"")</f>
        <v/>
      </c>
      <c r="P52" s="36" t="str">
        <f aca="false">IF(K52&lt;&gt;"نعم","لم يُجرد",IF(ABS(N52)&lt;='إعدادات المخزون'!$B$7,"مطابق",IF(M52&lt;0,"عجز","زيادة")))</f>
        <v>لم يُجرد</v>
      </c>
      <c r="Q52" s="108" t="n">
        <f aca="false">J52-Z52</f>
        <v>2500</v>
      </c>
      <c r="R52" s="108"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8" t="str">
        <f aca="false">IF(AND(K52="نعم",R52&lt;&gt;""),(L52-J52)-(R52-Q52),"")</f>
        <v/>
      </c>
      <c r="T52" s="107" t="str">
        <f aca="false">IF(S52="","",S52*C52)</f>
        <v/>
      </c>
      <c r="U52" s="108" t="n">
        <f aca="false">IF(K52="نعم",L52,J52)</f>
        <v>2500</v>
      </c>
      <c r="V52" s="108" t="n">
        <f aca="false">SUMPRODUCT('مصفوفة الاستهلاك'!$AU$2:$AU$172,'متجهات المبيعات'!$D$2:$D$172)/'مواد المخزون'!$D$47/MAX(1,MIN('إعدادات المخزون'!$B$11,'إعدادات المخزون'!$B$4-'إعدادات المخزون'!$B$5+1))</f>
        <v>0</v>
      </c>
      <c r="W52" s="108" t="n">
        <f aca="false">IF(V52&lt;=0,0,ROUNDUP(MAX(0,V52*('إعدادات المخزون'!$B$8+'إعدادات المخزون'!$B$9+'إعدادات المخزون'!$B$10)-MAX(U52,0))/'مواد المخزون'!$F47,0)*'مواد المخزون'!$F47)</f>
        <v>0</v>
      </c>
      <c r="X52" s="107" t="n">
        <f aca="false">IF(AND(K52="نعم",O52&lt;0),-O52+ROW()*0.000000001,0)</f>
        <v>0</v>
      </c>
      <c r="Y52" s="107" t="n">
        <f aca="false">IF(AND(K52="نعم",O52&gt;0),O52+ROW()*0.000000001,0)</f>
        <v>0</v>
      </c>
      <c r="Z52" s="108"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المبيعات'!$B$2:$B$172)/'مواد المخزون'!$D$47</f>
        <v>0</v>
      </c>
      <c r="AA52" s="107" t="n">
        <f aca="false">IF(K52="نعم",O52,0)</f>
        <v>0</v>
      </c>
      <c r="AB52" s="107" t="n">
        <f aca="false">IF(K52="نعم",J52*C52,0)</f>
        <v>0</v>
      </c>
      <c r="AC52" s="107"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7" t="n">
        <f aca="false">'مواد المخزون'!E48</f>
        <v>127.6582</v>
      </c>
      <c r="D53" s="108" t="n">
        <f aca="false">'جرد أول المدة'!C51</f>
        <v>8.5</v>
      </c>
      <c r="E53" s="108" t="n">
        <f aca="false">SUMIFS('مشتريات يومية'!$D$2:$D$4001,'مشتريات يومية'!$B$2:$B$4001,$B$2,'مشتريات يومية'!$C$2:$C$4001,$A53,'مشتريات يومية'!$A$2:$A$4001,"&gt;="&amp;'إعدادات المخزون'!$B$5,'مشتريات يومية'!$A$2:$A$4001,"&lt;="&amp;'إعدادات المخزون'!$B$4)</f>
        <v>29</v>
      </c>
      <c r="F53" s="108"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8"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8" t="n">
        <f aca="false">SUMPRODUCT('مصفوفة الاستهلاك'!$AV$2:$AV$172,'متجهات المبيعات'!$C$2:$C$172)/'مواد المخزون'!$D$48</f>
        <v>0</v>
      </c>
      <c r="I53" s="108"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8" t="n">
        <f aca="false">D53+E53+F53-G53-H53-I53</f>
        <v>37.5</v>
      </c>
      <c r="K53" s="36" t="str">
        <f aca="false">IF(COUNTIFS('جرد فعلي'!$B$2:$B$12001,$B$2,'جرد فعلي'!$C$2:$C$12001,$A53,'جرد فعلي'!$A$2:$A$12001,'إعدادات المخزون'!$B$4)&gt;0,"نعم","لا")</f>
        <v>لا</v>
      </c>
      <c r="L53" s="109" t="str">
        <f aca="false">IF(K53="نعم",SUMIFS('جرد فعلي'!$D$2:$D$12001,'جرد فعلي'!$B$2:$B$12001,$B$2,'جرد فعلي'!$C$2:$C$12001,$A53,'جرد فعلي'!$A$2:$A$12001,'إعدادات المخزون'!$B$4),"")</f>
        <v/>
      </c>
      <c r="M53" s="108" t="str">
        <f aca="false">IF(K53="نعم",L53-J53,"")</f>
        <v/>
      </c>
      <c r="N53" s="110" t="str">
        <f aca="false">IF(K53="نعم",IF(J53=0,IF(M53=0,0,SIGN(M53)),M53/ABS(J53)),"")</f>
        <v/>
      </c>
      <c r="O53" s="107" t="str">
        <f aca="false">IF(K53="نعم",M53*C53,"")</f>
        <v/>
      </c>
      <c r="P53" s="36" t="str">
        <f aca="false">IF(K53&lt;&gt;"نعم","لم يُجرد",IF(ABS(N53)&lt;='إعدادات المخزون'!$B$7,"مطابق",IF(M53&lt;0,"عجز","زيادة")))</f>
        <v>لم يُجرد</v>
      </c>
      <c r="Q53" s="108" t="n">
        <f aca="false">J53-Z53</f>
        <v>37.5</v>
      </c>
      <c r="R53" s="108"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8" t="str">
        <f aca="false">IF(AND(K53="نعم",R53&lt;&gt;""),(L53-J53)-(R53-Q53),"")</f>
        <v/>
      </c>
      <c r="T53" s="107" t="str">
        <f aca="false">IF(S53="","",S53*C53)</f>
        <v/>
      </c>
      <c r="U53" s="108" t="n">
        <f aca="false">IF(K53="نعم",L53,J53)</f>
        <v>37.5</v>
      </c>
      <c r="V53" s="108" t="n">
        <f aca="false">SUMPRODUCT('مصفوفة الاستهلاك'!$AV$2:$AV$172,'متجهات المبيعات'!$D$2:$D$172)/'مواد المخزون'!$D$48/MAX(1,MIN('إعدادات المخزون'!$B$11,'إعدادات المخزون'!$B$4-'إعدادات المخزون'!$B$5+1))</f>
        <v>0</v>
      </c>
      <c r="W53" s="108" t="n">
        <f aca="false">IF(V53&lt;=0,0,ROUNDUP(MAX(0,V53*('إعدادات المخزون'!$B$8+'إعدادات المخزون'!$B$9+'إعدادات المخزون'!$B$10)-MAX(U53,0))/'مواد المخزون'!$F48,0)*'مواد المخزون'!$F48)</f>
        <v>0</v>
      </c>
      <c r="X53" s="107" t="n">
        <f aca="false">IF(AND(K53="نعم",O53&lt;0),-O53+ROW()*0.000000001,0)</f>
        <v>0</v>
      </c>
      <c r="Y53" s="107" t="n">
        <f aca="false">IF(AND(K53="نعم",O53&gt;0),O53+ROW()*0.000000001,0)</f>
        <v>0</v>
      </c>
      <c r="Z53" s="108"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المبيعات'!$B$2:$B$172)/'مواد المخزون'!$D$48</f>
        <v>0</v>
      </c>
      <c r="AA53" s="107" t="n">
        <f aca="false">IF(K53="نعم",O53,0)</f>
        <v>0</v>
      </c>
      <c r="AB53" s="107" t="n">
        <f aca="false">IF(K53="نعم",J53*C53,0)</f>
        <v>0</v>
      </c>
      <c r="AC53" s="107"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7" t="n">
        <f aca="false">'مواد المخزون'!E49</f>
        <v>100</v>
      </c>
      <c r="D54" s="108" t="n">
        <f aca="false">'جرد أول المدة'!C52</f>
        <v>5.5</v>
      </c>
      <c r="E54" s="108" t="n">
        <f aca="false">SUMIFS('مشتريات يومية'!$D$2:$D$4001,'مشتريات يومية'!$B$2:$B$4001,$B$2,'مشتريات يومية'!$C$2:$C$4001,$A54,'مشتريات يومية'!$A$2:$A$4001,"&gt;="&amp;'إعدادات المخزون'!$B$5,'مشتريات يومية'!$A$2:$A$4001,"&lt;="&amp;'إعدادات المخزون'!$B$4)</f>
        <v>4</v>
      </c>
      <c r="F54" s="108"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8"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8" t="n">
        <f aca="false">SUMPRODUCT('مصفوفة الاستهلاك'!$AW$2:$AW$172,'متجهات المبيعات'!$C$2:$C$172)/'مواد المخزون'!$D$49</f>
        <v>0</v>
      </c>
      <c r="I54" s="108"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8" t="n">
        <f aca="false">D54+E54+F54-G54-H54-I54</f>
        <v>9.5</v>
      </c>
      <c r="K54" s="36" t="str">
        <f aca="false">IF(COUNTIFS('جرد فعلي'!$B$2:$B$12001,$B$2,'جرد فعلي'!$C$2:$C$12001,$A54,'جرد فعلي'!$A$2:$A$12001,'إعدادات المخزون'!$B$4)&gt;0,"نعم","لا")</f>
        <v>لا</v>
      </c>
      <c r="L54" s="109" t="str">
        <f aca="false">IF(K54="نعم",SUMIFS('جرد فعلي'!$D$2:$D$12001,'جرد فعلي'!$B$2:$B$12001,$B$2,'جرد فعلي'!$C$2:$C$12001,$A54,'جرد فعلي'!$A$2:$A$12001,'إعدادات المخزون'!$B$4),"")</f>
        <v/>
      </c>
      <c r="M54" s="108" t="str">
        <f aca="false">IF(K54="نعم",L54-J54,"")</f>
        <v/>
      </c>
      <c r="N54" s="110" t="str">
        <f aca="false">IF(K54="نعم",IF(J54=0,IF(M54=0,0,SIGN(M54)),M54/ABS(J54)),"")</f>
        <v/>
      </c>
      <c r="O54" s="107" t="str">
        <f aca="false">IF(K54="نعم",M54*C54,"")</f>
        <v/>
      </c>
      <c r="P54" s="36" t="str">
        <f aca="false">IF(K54&lt;&gt;"نعم","لم يُجرد",IF(ABS(N54)&lt;='إعدادات المخزون'!$B$7,"مطابق",IF(M54&lt;0,"عجز","زيادة")))</f>
        <v>لم يُجرد</v>
      </c>
      <c r="Q54" s="108" t="n">
        <f aca="false">J54-Z54</f>
        <v>9.5</v>
      </c>
      <c r="R54" s="108"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8" t="str">
        <f aca="false">IF(AND(K54="نعم",R54&lt;&gt;""),(L54-J54)-(R54-Q54),"")</f>
        <v/>
      </c>
      <c r="T54" s="107" t="str">
        <f aca="false">IF(S54="","",S54*C54)</f>
        <v/>
      </c>
      <c r="U54" s="108" t="n">
        <f aca="false">IF(K54="نعم",L54,J54)</f>
        <v>9.5</v>
      </c>
      <c r="V54" s="108" t="n">
        <f aca="false">SUMPRODUCT('مصفوفة الاستهلاك'!$AW$2:$AW$172,'متجهات المبيعات'!$D$2:$D$172)/'مواد المخزون'!$D$49/MAX(1,MIN('إعدادات المخزون'!$B$11,'إعدادات المخزون'!$B$4-'إعدادات المخزون'!$B$5+1))</f>
        <v>0</v>
      </c>
      <c r="W54" s="108" t="n">
        <f aca="false">IF(V54&lt;=0,0,ROUNDUP(MAX(0,V54*('إعدادات المخزون'!$B$8+'إعدادات المخزون'!$B$9+'إعدادات المخزون'!$B$10)-MAX(U54,0))/'مواد المخزون'!$F49,0)*'مواد المخزون'!$F49)</f>
        <v>0</v>
      </c>
      <c r="X54" s="107" t="n">
        <f aca="false">IF(AND(K54="نعم",O54&lt;0),-O54+ROW()*0.000000001,0)</f>
        <v>0</v>
      </c>
      <c r="Y54" s="107" t="n">
        <f aca="false">IF(AND(K54="نعم",O54&gt;0),O54+ROW()*0.000000001,0)</f>
        <v>0</v>
      </c>
      <c r="Z54" s="108"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المبيعات'!$B$2:$B$172)/'مواد المخزون'!$D$49</f>
        <v>0</v>
      </c>
      <c r="AA54" s="107" t="n">
        <f aca="false">IF(K54="نعم",O54,0)</f>
        <v>0</v>
      </c>
      <c r="AB54" s="107" t="n">
        <f aca="false">IF(K54="نعم",J54*C54,0)</f>
        <v>0</v>
      </c>
      <c r="AC54" s="107" t="n">
        <f aca="false">IF(T54="",0,T54)</f>
        <v>0</v>
      </c>
    </row>
    <row r="55" customFormat="false" ht="15" hidden="false" customHeight="false" outlineLevel="0" collapsed="false">
      <c r="A55" s="34" t="str">
        <f aca="false">'مواد المخزون'!A50</f>
        <v>صلصة مصنع</v>
      </c>
      <c r="B55" s="36" t="str">
        <f aca="false">'مواد المخزون'!B50</f>
        <v>كجم</v>
      </c>
      <c r="C55" s="107" t="n">
        <f aca="false">'مواد المخزون'!E50</f>
        <v>32</v>
      </c>
      <c r="D55" s="108" t="n">
        <f aca="false">'جرد أول المدة'!C53</f>
        <v>8</v>
      </c>
      <c r="E55" s="108" t="n">
        <f aca="false">SUMIFS('مشتريات يومية'!$D$2:$D$4001,'مشتريات يومية'!$B$2:$B$4001,$B$2,'مشتريات يومية'!$C$2:$C$4001,$A55,'مشتريات يومية'!$A$2:$A$4001,"&gt;="&amp;'إعدادات المخزون'!$B$5,'مشتريات يومية'!$A$2:$A$4001,"&lt;="&amp;'إعدادات المخزون'!$B$4)</f>
        <v>26</v>
      </c>
      <c r="F55" s="108"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8"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8" t="n">
        <f aca="false">SUMPRODUCT('مصفوفة الاستهلاك'!$AX$2:$AX$172,'متجهات المبيعات'!$C$2:$C$172)/'مواد المخزون'!$D$50</f>
        <v>0</v>
      </c>
      <c r="I55" s="108"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8" t="n">
        <f aca="false">D55+E55+F55-G55-H55-I55</f>
        <v>34</v>
      </c>
      <c r="K55" s="36" t="str">
        <f aca="false">IF(COUNTIFS('جرد فعلي'!$B$2:$B$12001,$B$2,'جرد فعلي'!$C$2:$C$12001,$A55,'جرد فعلي'!$A$2:$A$12001,'إعدادات المخزون'!$B$4)&gt;0,"نعم","لا")</f>
        <v>لا</v>
      </c>
      <c r="L55" s="109" t="str">
        <f aca="false">IF(K55="نعم",SUMIFS('جرد فعلي'!$D$2:$D$12001,'جرد فعلي'!$B$2:$B$12001,$B$2,'جرد فعلي'!$C$2:$C$12001,$A55,'جرد فعلي'!$A$2:$A$12001,'إعدادات المخزون'!$B$4),"")</f>
        <v/>
      </c>
      <c r="M55" s="108" t="str">
        <f aca="false">IF(K55="نعم",L55-J55,"")</f>
        <v/>
      </c>
      <c r="N55" s="110" t="str">
        <f aca="false">IF(K55="نعم",IF(J55=0,IF(M55=0,0,SIGN(M55)),M55/ABS(J55)),"")</f>
        <v/>
      </c>
      <c r="O55" s="107" t="str">
        <f aca="false">IF(K55="نعم",M55*C55,"")</f>
        <v/>
      </c>
      <c r="P55" s="36" t="str">
        <f aca="false">IF(K55&lt;&gt;"نعم","لم يُجرد",IF(ABS(N55)&lt;='إعدادات المخزون'!$B$7,"مطابق",IF(M55&lt;0,"عجز","زيادة")))</f>
        <v>لم يُجرد</v>
      </c>
      <c r="Q55" s="108" t="n">
        <f aca="false">J55-Z55</f>
        <v>34</v>
      </c>
      <c r="R55" s="108"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8" t="str">
        <f aca="false">IF(AND(K55="نعم",R55&lt;&gt;""),(L55-J55)-(R55-Q55),"")</f>
        <v/>
      </c>
      <c r="T55" s="107" t="str">
        <f aca="false">IF(S55="","",S55*C55)</f>
        <v/>
      </c>
      <c r="U55" s="108" t="n">
        <f aca="false">IF(K55="نعم",L55,J55)</f>
        <v>34</v>
      </c>
      <c r="V55" s="108" t="n">
        <f aca="false">SUMPRODUCT('مصفوفة الاستهلاك'!$AX$2:$AX$172,'متجهات المبيعات'!$D$2:$D$172)/'مواد المخزون'!$D$50/MAX(1,MIN('إعدادات المخزون'!$B$11,'إعدادات المخزون'!$B$4-'إعدادات المخزون'!$B$5+1))</f>
        <v>0</v>
      </c>
      <c r="W55" s="108" t="n">
        <f aca="false">IF(V55&lt;=0,0,ROUNDUP(MAX(0,V55*('إعدادات المخزون'!$B$8+'إعدادات المخزون'!$B$9+'إعدادات المخزون'!$B$10)-MAX(U55,0))/'مواد المخزون'!$F50,0)*'مواد المخزون'!$F50)</f>
        <v>0</v>
      </c>
      <c r="X55" s="107" t="n">
        <f aca="false">IF(AND(K55="نعم",O55&lt;0),-O55+ROW()*0.000000001,0)</f>
        <v>0</v>
      </c>
      <c r="Y55" s="107" t="n">
        <f aca="false">IF(AND(K55="نعم",O55&gt;0),O55+ROW()*0.000000001,0)</f>
        <v>0</v>
      </c>
      <c r="Z55" s="108"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المبيعات'!$B$2:$B$172)/'مواد المخزون'!$D$50</f>
        <v>0</v>
      </c>
      <c r="AA55" s="107" t="n">
        <f aca="false">IF(K55="نعم",O55,0)</f>
        <v>0</v>
      </c>
      <c r="AB55" s="107" t="n">
        <f aca="false">IF(K55="نعم",J55*C55,0)</f>
        <v>0</v>
      </c>
      <c r="AC55" s="107"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7" t="n">
        <f aca="false">'مواد المخزون'!E51</f>
        <v>70</v>
      </c>
      <c r="D56" s="108" t="n">
        <f aca="false">'جرد أول المدة'!C54</f>
        <v>4.5</v>
      </c>
      <c r="E56" s="108" t="n">
        <f aca="false">SUMIFS('مشتريات يومية'!$D$2:$D$4001,'مشتريات يومية'!$B$2:$B$4001,$B$2,'مشتريات يومية'!$C$2:$C$4001,$A56,'مشتريات يومية'!$A$2:$A$4001,"&gt;="&amp;'إعدادات المخزون'!$B$5,'مشتريات يومية'!$A$2:$A$4001,"&lt;="&amp;'إعدادات المخزون'!$B$4)</f>
        <v>13.5</v>
      </c>
      <c r="F56" s="108"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8"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8" t="n">
        <f aca="false">SUMPRODUCT('مصفوفة الاستهلاك'!$AY$2:$AY$172,'متجهات المبيعات'!$C$2:$C$172)/'مواد المخزون'!$D$51</f>
        <v>0</v>
      </c>
      <c r="I56" s="108"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8" t="n">
        <f aca="false">D56+E56+F56-G56-H56-I56</f>
        <v>18</v>
      </c>
      <c r="K56" s="36" t="str">
        <f aca="false">IF(COUNTIFS('جرد فعلي'!$B$2:$B$12001,$B$2,'جرد فعلي'!$C$2:$C$12001,$A56,'جرد فعلي'!$A$2:$A$12001,'إعدادات المخزون'!$B$4)&gt;0,"نعم","لا")</f>
        <v>لا</v>
      </c>
      <c r="L56" s="109" t="str">
        <f aca="false">IF(K56="نعم",SUMIFS('جرد فعلي'!$D$2:$D$12001,'جرد فعلي'!$B$2:$B$12001,$B$2,'جرد فعلي'!$C$2:$C$12001,$A56,'جرد فعلي'!$A$2:$A$12001,'إعدادات المخزون'!$B$4),"")</f>
        <v/>
      </c>
      <c r="M56" s="108" t="str">
        <f aca="false">IF(K56="نعم",L56-J56,"")</f>
        <v/>
      </c>
      <c r="N56" s="110" t="str">
        <f aca="false">IF(K56="نعم",IF(J56=0,IF(M56=0,0,SIGN(M56)),M56/ABS(J56)),"")</f>
        <v/>
      </c>
      <c r="O56" s="107" t="str">
        <f aca="false">IF(K56="نعم",M56*C56,"")</f>
        <v/>
      </c>
      <c r="P56" s="36" t="str">
        <f aca="false">IF(K56&lt;&gt;"نعم","لم يُجرد",IF(ABS(N56)&lt;='إعدادات المخزون'!$B$7,"مطابق",IF(M56&lt;0,"عجز","زيادة")))</f>
        <v>لم يُجرد</v>
      </c>
      <c r="Q56" s="108" t="n">
        <f aca="false">J56-Z56</f>
        <v>18</v>
      </c>
      <c r="R56" s="108"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8" t="str">
        <f aca="false">IF(AND(K56="نعم",R56&lt;&gt;""),(L56-J56)-(R56-Q56),"")</f>
        <v/>
      </c>
      <c r="T56" s="107" t="str">
        <f aca="false">IF(S56="","",S56*C56)</f>
        <v/>
      </c>
      <c r="U56" s="108" t="n">
        <f aca="false">IF(K56="نعم",L56,J56)</f>
        <v>18</v>
      </c>
      <c r="V56" s="108" t="n">
        <f aca="false">SUMPRODUCT('مصفوفة الاستهلاك'!$AY$2:$AY$172,'متجهات المبيعات'!$D$2:$D$172)/'مواد المخزون'!$D$51/MAX(1,MIN('إعدادات المخزون'!$B$11,'إعدادات المخزون'!$B$4-'إعدادات المخزون'!$B$5+1))</f>
        <v>0</v>
      </c>
      <c r="W56" s="108" t="n">
        <f aca="false">IF(V56&lt;=0,0,ROUNDUP(MAX(0,V56*('إعدادات المخزون'!$B$8+'إعدادات المخزون'!$B$9+'إعدادات المخزون'!$B$10)-MAX(U56,0))/'مواد المخزون'!$F51,0)*'مواد المخزون'!$F51)</f>
        <v>0</v>
      </c>
      <c r="X56" s="107" t="n">
        <f aca="false">IF(AND(K56="نعم",O56&lt;0),-O56+ROW()*0.000000001,0)</f>
        <v>0</v>
      </c>
      <c r="Y56" s="107" t="n">
        <f aca="false">IF(AND(K56="نعم",O56&gt;0),O56+ROW()*0.000000001,0)</f>
        <v>0</v>
      </c>
      <c r="Z56" s="108"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المبيعات'!$B$2:$B$172)/'مواد المخزون'!$D$51</f>
        <v>0</v>
      </c>
      <c r="AA56" s="107" t="n">
        <f aca="false">IF(K56="نعم",O56,0)</f>
        <v>0</v>
      </c>
      <c r="AB56" s="107" t="n">
        <f aca="false">IF(K56="نعم",J56*C56,0)</f>
        <v>0</v>
      </c>
      <c r="AC56" s="107"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7" t="n">
        <f aca="false">'مواد المخزون'!E52</f>
        <v>140</v>
      </c>
      <c r="D57" s="108" t="n">
        <f aca="false">'جرد أول المدة'!C55</f>
        <v>5.25</v>
      </c>
      <c r="E57" s="108" t="n">
        <f aca="false">SUMIFS('مشتريات يومية'!$D$2:$D$4001,'مشتريات يومية'!$B$2:$B$4001,$B$2,'مشتريات يومية'!$C$2:$C$4001,$A57,'مشتريات يومية'!$A$2:$A$4001,"&gt;="&amp;'إعدادات المخزون'!$B$5,'مشتريات يومية'!$A$2:$A$4001,"&lt;="&amp;'إعدادات المخزون'!$B$4)</f>
        <v>5</v>
      </c>
      <c r="F57" s="108"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8"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8" t="n">
        <f aca="false">SUMPRODUCT('مصفوفة الاستهلاك'!$AZ$2:$AZ$172,'متجهات المبيعات'!$C$2:$C$172)/'مواد المخزون'!$D$52</f>
        <v>0</v>
      </c>
      <c r="I57" s="108"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8" t="n">
        <f aca="false">D57+E57+F57-G57-H57-I57</f>
        <v>10.25</v>
      </c>
      <c r="K57" s="36" t="str">
        <f aca="false">IF(COUNTIFS('جرد فعلي'!$B$2:$B$12001,$B$2,'جرد فعلي'!$C$2:$C$12001,$A57,'جرد فعلي'!$A$2:$A$12001,'إعدادات المخزون'!$B$4)&gt;0,"نعم","لا")</f>
        <v>لا</v>
      </c>
      <c r="L57" s="109" t="str">
        <f aca="false">IF(K57="نعم",SUMIFS('جرد فعلي'!$D$2:$D$12001,'جرد فعلي'!$B$2:$B$12001,$B$2,'جرد فعلي'!$C$2:$C$12001,$A57,'جرد فعلي'!$A$2:$A$12001,'إعدادات المخزون'!$B$4),"")</f>
        <v/>
      </c>
      <c r="M57" s="108" t="str">
        <f aca="false">IF(K57="نعم",L57-J57,"")</f>
        <v/>
      </c>
      <c r="N57" s="110" t="str">
        <f aca="false">IF(K57="نعم",IF(J57=0,IF(M57=0,0,SIGN(M57)),M57/ABS(J57)),"")</f>
        <v/>
      </c>
      <c r="O57" s="107" t="str">
        <f aca="false">IF(K57="نعم",M57*C57,"")</f>
        <v/>
      </c>
      <c r="P57" s="36" t="str">
        <f aca="false">IF(K57&lt;&gt;"نعم","لم يُجرد",IF(ABS(N57)&lt;='إعدادات المخزون'!$B$7,"مطابق",IF(M57&lt;0,"عجز","زيادة")))</f>
        <v>لم يُجرد</v>
      </c>
      <c r="Q57" s="108" t="n">
        <f aca="false">J57-Z57</f>
        <v>10.25</v>
      </c>
      <c r="R57" s="108"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8" t="str">
        <f aca="false">IF(AND(K57="نعم",R57&lt;&gt;""),(L57-J57)-(R57-Q57),"")</f>
        <v/>
      </c>
      <c r="T57" s="107" t="str">
        <f aca="false">IF(S57="","",S57*C57)</f>
        <v/>
      </c>
      <c r="U57" s="108" t="n">
        <f aca="false">IF(K57="نعم",L57,J57)</f>
        <v>10.25</v>
      </c>
      <c r="V57" s="108" t="n">
        <f aca="false">SUMPRODUCT('مصفوفة الاستهلاك'!$AZ$2:$AZ$172,'متجهات المبيعات'!$D$2:$D$172)/'مواد المخزون'!$D$52/MAX(1,MIN('إعدادات المخزون'!$B$11,'إعدادات المخزون'!$B$4-'إعدادات المخزون'!$B$5+1))</f>
        <v>0</v>
      </c>
      <c r="W57" s="108" t="n">
        <f aca="false">IF(V57&lt;=0,0,ROUNDUP(MAX(0,V57*('إعدادات المخزون'!$B$8+'إعدادات المخزون'!$B$9+'إعدادات المخزون'!$B$10)-MAX(U57,0))/'مواد المخزون'!$F52,0)*'مواد المخزون'!$F52)</f>
        <v>0</v>
      </c>
      <c r="X57" s="107" t="n">
        <f aca="false">IF(AND(K57="نعم",O57&lt;0),-O57+ROW()*0.000000001,0)</f>
        <v>0</v>
      </c>
      <c r="Y57" s="107" t="n">
        <f aca="false">IF(AND(K57="نعم",O57&gt;0),O57+ROW()*0.000000001,0)</f>
        <v>0</v>
      </c>
      <c r="Z57" s="108"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المبيعات'!$B$2:$B$172)/'مواد المخزون'!$D$52</f>
        <v>0</v>
      </c>
      <c r="AA57" s="107" t="n">
        <f aca="false">IF(K57="نعم",O57,0)</f>
        <v>0</v>
      </c>
      <c r="AB57" s="107" t="n">
        <f aca="false">IF(K57="نعم",J57*C57,0)</f>
        <v>0</v>
      </c>
      <c r="AC57" s="107"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7" t="n">
        <f aca="false">'مواد المخزون'!E53</f>
        <v>105</v>
      </c>
      <c r="D58" s="108" t="n">
        <f aca="false">'جرد أول المدة'!C56</f>
        <v>6.5</v>
      </c>
      <c r="E58" s="108" t="n">
        <f aca="false">SUMIFS('مشتريات يومية'!$D$2:$D$4001,'مشتريات يومية'!$B$2:$B$4001,$B$2,'مشتريات يومية'!$C$2:$C$4001,$A58,'مشتريات يومية'!$A$2:$A$4001,"&gt;="&amp;'إعدادات المخزون'!$B$5,'مشتريات يومية'!$A$2:$A$4001,"&lt;="&amp;'إعدادات المخزون'!$B$4)</f>
        <v>10</v>
      </c>
      <c r="F58" s="108"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8"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8" t="n">
        <f aca="false">SUMPRODUCT('مصفوفة الاستهلاك'!$BA$2:$BA$172,'متجهات المبيعات'!$C$2:$C$172)/'مواد المخزون'!$D$53</f>
        <v>0</v>
      </c>
      <c r="I58" s="108"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8" t="n">
        <f aca="false">D58+E58+F58-G58-H58-I58</f>
        <v>16.5</v>
      </c>
      <c r="K58" s="36" t="str">
        <f aca="false">IF(COUNTIFS('جرد فعلي'!$B$2:$B$12001,$B$2,'جرد فعلي'!$C$2:$C$12001,$A58,'جرد فعلي'!$A$2:$A$12001,'إعدادات المخزون'!$B$4)&gt;0,"نعم","لا")</f>
        <v>لا</v>
      </c>
      <c r="L58" s="109" t="str">
        <f aca="false">IF(K58="نعم",SUMIFS('جرد فعلي'!$D$2:$D$12001,'جرد فعلي'!$B$2:$B$12001,$B$2,'جرد فعلي'!$C$2:$C$12001,$A58,'جرد فعلي'!$A$2:$A$12001,'إعدادات المخزون'!$B$4),"")</f>
        <v/>
      </c>
      <c r="M58" s="108" t="str">
        <f aca="false">IF(K58="نعم",L58-J58,"")</f>
        <v/>
      </c>
      <c r="N58" s="110" t="str">
        <f aca="false">IF(K58="نعم",IF(J58=0,IF(M58=0,0,SIGN(M58)),M58/ABS(J58)),"")</f>
        <v/>
      </c>
      <c r="O58" s="107" t="str">
        <f aca="false">IF(K58="نعم",M58*C58,"")</f>
        <v/>
      </c>
      <c r="P58" s="36" t="str">
        <f aca="false">IF(K58&lt;&gt;"نعم","لم يُجرد",IF(ABS(N58)&lt;='إعدادات المخزون'!$B$7,"مطابق",IF(M58&lt;0,"عجز","زيادة")))</f>
        <v>لم يُجرد</v>
      </c>
      <c r="Q58" s="108" t="n">
        <f aca="false">J58-Z58</f>
        <v>16.5</v>
      </c>
      <c r="R58" s="108"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8" t="str">
        <f aca="false">IF(AND(K58="نعم",R58&lt;&gt;""),(L58-J58)-(R58-Q58),"")</f>
        <v/>
      </c>
      <c r="T58" s="107" t="str">
        <f aca="false">IF(S58="","",S58*C58)</f>
        <v/>
      </c>
      <c r="U58" s="108" t="n">
        <f aca="false">IF(K58="نعم",L58,J58)</f>
        <v>16.5</v>
      </c>
      <c r="V58" s="108" t="n">
        <f aca="false">SUMPRODUCT('مصفوفة الاستهلاك'!$BA$2:$BA$172,'متجهات المبيعات'!$D$2:$D$172)/'مواد المخزون'!$D$53/MAX(1,MIN('إعدادات المخزون'!$B$11,'إعدادات المخزون'!$B$4-'إعدادات المخزون'!$B$5+1))</f>
        <v>0</v>
      </c>
      <c r="W58" s="108" t="n">
        <f aca="false">IF(V58&lt;=0,0,ROUNDUP(MAX(0,V58*('إعدادات المخزون'!$B$8+'إعدادات المخزون'!$B$9+'إعدادات المخزون'!$B$10)-MAX(U58,0))/'مواد المخزون'!$F53,0)*'مواد المخزون'!$F53)</f>
        <v>0</v>
      </c>
      <c r="X58" s="107" t="n">
        <f aca="false">IF(AND(K58="نعم",O58&lt;0),-O58+ROW()*0.000000001,0)</f>
        <v>0</v>
      </c>
      <c r="Y58" s="107" t="n">
        <f aca="false">IF(AND(K58="نعم",O58&gt;0),O58+ROW()*0.000000001,0)</f>
        <v>0</v>
      </c>
      <c r="Z58" s="108"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المبيعات'!$B$2:$B$172)/'مواد المخزون'!$D$53</f>
        <v>0</v>
      </c>
      <c r="AA58" s="107" t="n">
        <f aca="false">IF(K58="نعم",O58,0)</f>
        <v>0</v>
      </c>
      <c r="AB58" s="107" t="n">
        <f aca="false">IF(K58="نعم",J58*C58,0)</f>
        <v>0</v>
      </c>
      <c r="AC58" s="107"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7" t="n">
        <f aca="false">'مواد المخزون'!E54</f>
        <v>140</v>
      </c>
      <c r="D59" s="108" t="n">
        <f aca="false">'جرد أول المدة'!C57</f>
        <v>6</v>
      </c>
      <c r="E59" s="108" t="n">
        <f aca="false">SUMIFS('مشتريات يومية'!$D$2:$D$4001,'مشتريات يومية'!$B$2:$B$4001,$B$2,'مشتريات يومية'!$C$2:$C$4001,$A59,'مشتريات يومية'!$A$2:$A$4001,"&gt;="&amp;'إعدادات المخزون'!$B$5,'مشتريات يومية'!$A$2:$A$4001,"&lt;="&amp;'إعدادات المخزون'!$B$4)</f>
        <v>15</v>
      </c>
      <c r="F59" s="108"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8"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8" t="n">
        <f aca="false">SUMPRODUCT('مصفوفة الاستهلاك'!$BB$2:$BB$172,'متجهات المبيعات'!$C$2:$C$172)/'مواد المخزون'!$D$54</f>
        <v>0</v>
      </c>
      <c r="I59" s="108"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8" t="n">
        <f aca="false">D59+E59+F59-G59-H59-I59</f>
        <v>21</v>
      </c>
      <c r="K59" s="36" t="str">
        <f aca="false">IF(COUNTIFS('جرد فعلي'!$B$2:$B$12001,$B$2,'جرد فعلي'!$C$2:$C$12001,$A59,'جرد فعلي'!$A$2:$A$12001,'إعدادات المخزون'!$B$4)&gt;0,"نعم","لا")</f>
        <v>لا</v>
      </c>
      <c r="L59" s="109" t="str">
        <f aca="false">IF(K59="نعم",SUMIFS('جرد فعلي'!$D$2:$D$12001,'جرد فعلي'!$B$2:$B$12001,$B$2,'جرد فعلي'!$C$2:$C$12001,$A59,'جرد فعلي'!$A$2:$A$12001,'إعدادات المخزون'!$B$4),"")</f>
        <v/>
      </c>
      <c r="M59" s="108" t="str">
        <f aca="false">IF(K59="نعم",L59-J59,"")</f>
        <v/>
      </c>
      <c r="N59" s="110" t="str">
        <f aca="false">IF(K59="نعم",IF(J59=0,IF(M59=0,0,SIGN(M59)),M59/ABS(J59)),"")</f>
        <v/>
      </c>
      <c r="O59" s="107" t="str">
        <f aca="false">IF(K59="نعم",M59*C59,"")</f>
        <v/>
      </c>
      <c r="P59" s="36" t="str">
        <f aca="false">IF(K59&lt;&gt;"نعم","لم يُجرد",IF(ABS(N59)&lt;='إعدادات المخزون'!$B$7,"مطابق",IF(M59&lt;0,"عجز","زيادة")))</f>
        <v>لم يُجرد</v>
      </c>
      <c r="Q59" s="108" t="n">
        <f aca="false">J59-Z59</f>
        <v>21</v>
      </c>
      <c r="R59" s="108"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8" t="str">
        <f aca="false">IF(AND(K59="نعم",R59&lt;&gt;""),(L59-J59)-(R59-Q59),"")</f>
        <v/>
      </c>
      <c r="T59" s="107" t="str">
        <f aca="false">IF(S59="","",S59*C59)</f>
        <v/>
      </c>
      <c r="U59" s="108" t="n">
        <f aca="false">IF(K59="نعم",L59,J59)</f>
        <v>21</v>
      </c>
      <c r="V59" s="108" t="n">
        <f aca="false">SUMPRODUCT('مصفوفة الاستهلاك'!$BB$2:$BB$172,'متجهات المبيعات'!$D$2:$D$172)/'مواد المخزون'!$D$54/MAX(1,MIN('إعدادات المخزون'!$B$11,'إعدادات المخزون'!$B$4-'إعدادات المخزون'!$B$5+1))</f>
        <v>0</v>
      </c>
      <c r="W59" s="108" t="n">
        <f aca="false">IF(V59&lt;=0,0,ROUNDUP(MAX(0,V59*('إعدادات المخزون'!$B$8+'إعدادات المخزون'!$B$9+'إعدادات المخزون'!$B$10)-MAX(U59,0))/'مواد المخزون'!$F54,0)*'مواد المخزون'!$F54)</f>
        <v>0</v>
      </c>
      <c r="X59" s="107" t="n">
        <f aca="false">IF(AND(K59="نعم",O59&lt;0),-O59+ROW()*0.000000001,0)</f>
        <v>0</v>
      </c>
      <c r="Y59" s="107" t="n">
        <f aca="false">IF(AND(K59="نعم",O59&gt;0),O59+ROW()*0.000000001,0)</f>
        <v>0</v>
      </c>
      <c r="Z59" s="108"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المبيعات'!$B$2:$B$172)/'مواد المخزون'!$D$54</f>
        <v>0</v>
      </c>
      <c r="AA59" s="107" t="n">
        <f aca="false">IF(K59="نعم",O59,0)</f>
        <v>0</v>
      </c>
      <c r="AB59" s="107" t="n">
        <f aca="false">IF(K59="نعم",J59*C59,0)</f>
        <v>0</v>
      </c>
      <c r="AC59" s="107" t="n">
        <f aca="false">IF(T59="",0,T59)</f>
        <v>0</v>
      </c>
    </row>
    <row r="60" customFormat="false" ht="15" hidden="false" customHeight="false" outlineLevel="0" collapsed="false">
      <c r="A60" s="34" t="str">
        <f aca="false">'مواد المخزون'!A55</f>
        <v>طماطم</v>
      </c>
      <c r="B60" s="36" t="str">
        <f aca="false">'مواد المخزون'!B55</f>
        <v>كجم</v>
      </c>
      <c r="C60" s="107" t="n">
        <f aca="false">'مواد المخزون'!E55</f>
        <v>21</v>
      </c>
      <c r="D60" s="108" t="n">
        <f aca="false">'جرد أول المدة'!C58</f>
        <v>15</v>
      </c>
      <c r="E60" s="108" t="n">
        <f aca="false">SUMIFS('مشتريات يومية'!$D$2:$D$4001,'مشتريات يومية'!$B$2:$B$4001,$B$2,'مشتريات يومية'!$C$2:$C$4001,$A60,'مشتريات يومية'!$A$2:$A$4001,"&gt;="&amp;'إعدادات المخزون'!$B$5,'مشتريات يومية'!$A$2:$A$4001,"&lt;="&amp;'إعدادات المخزون'!$B$4)</f>
        <v>135</v>
      </c>
      <c r="F60" s="108"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8"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8" t="n">
        <f aca="false">SUMPRODUCT('مصفوفة الاستهلاك'!$BC$2:$BC$172,'متجهات المبيعات'!$C$2:$C$172)/'مواد المخزون'!$D$55</f>
        <v>0</v>
      </c>
      <c r="I60" s="108"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8" t="n">
        <f aca="false">D60+E60+F60-G60-H60-I60</f>
        <v>150</v>
      </c>
      <c r="K60" s="36" t="str">
        <f aca="false">IF(COUNTIFS('جرد فعلي'!$B$2:$B$12001,$B$2,'جرد فعلي'!$C$2:$C$12001,$A60,'جرد فعلي'!$A$2:$A$12001,'إعدادات المخزون'!$B$4)&gt;0,"نعم","لا")</f>
        <v>لا</v>
      </c>
      <c r="L60" s="109" t="str">
        <f aca="false">IF(K60="نعم",SUMIFS('جرد فعلي'!$D$2:$D$12001,'جرد فعلي'!$B$2:$B$12001,$B$2,'جرد فعلي'!$C$2:$C$12001,$A60,'جرد فعلي'!$A$2:$A$12001,'إعدادات المخزون'!$B$4),"")</f>
        <v/>
      </c>
      <c r="M60" s="108" t="str">
        <f aca="false">IF(K60="نعم",L60-J60,"")</f>
        <v/>
      </c>
      <c r="N60" s="110" t="str">
        <f aca="false">IF(K60="نعم",IF(J60=0,IF(M60=0,0,SIGN(M60)),M60/ABS(J60)),"")</f>
        <v/>
      </c>
      <c r="O60" s="107" t="str">
        <f aca="false">IF(K60="نعم",M60*C60,"")</f>
        <v/>
      </c>
      <c r="P60" s="36" t="str">
        <f aca="false">IF(K60&lt;&gt;"نعم","لم يُجرد",IF(ABS(N60)&lt;='إعدادات المخزون'!$B$7,"مطابق",IF(M60&lt;0,"عجز","زيادة")))</f>
        <v>لم يُجرد</v>
      </c>
      <c r="Q60" s="108" t="n">
        <f aca="false">J60-Z60</f>
        <v>150</v>
      </c>
      <c r="R60" s="108"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8" t="str">
        <f aca="false">IF(AND(K60="نعم",R60&lt;&gt;""),(L60-J60)-(R60-Q60),"")</f>
        <v/>
      </c>
      <c r="T60" s="107" t="str">
        <f aca="false">IF(S60="","",S60*C60)</f>
        <v/>
      </c>
      <c r="U60" s="108" t="n">
        <f aca="false">IF(K60="نعم",L60,J60)</f>
        <v>150</v>
      </c>
      <c r="V60" s="108" t="n">
        <f aca="false">SUMPRODUCT('مصفوفة الاستهلاك'!$BC$2:$BC$172,'متجهات المبيعات'!$D$2:$D$172)/'مواد المخزون'!$D$55/MAX(1,MIN('إعدادات المخزون'!$B$11,'إعدادات المخزون'!$B$4-'إعدادات المخزون'!$B$5+1))</f>
        <v>0</v>
      </c>
      <c r="W60" s="108" t="n">
        <f aca="false">IF(V60&lt;=0,0,ROUNDUP(MAX(0,V60*('إعدادات المخزون'!$B$8+'إعدادات المخزون'!$B$9+'إعدادات المخزون'!$B$10)-MAX(U60,0))/'مواد المخزون'!$F55,0)*'مواد المخزون'!$F55)</f>
        <v>0</v>
      </c>
      <c r="X60" s="107" t="n">
        <f aca="false">IF(AND(K60="نعم",O60&lt;0),-O60+ROW()*0.000000001,0)</f>
        <v>0</v>
      </c>
      <c r="Y60" s="107" t="n">
        <f aca="false">IF(AND(K60="نعم",O60&gt;0),O60+ROW()*0.000000001,0)</f>
        <v>0</v>
      </c>
      <c r="Z60" s="108"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المبيعات'!$B$2:$B$172)/'مواد المخزون'!$D$55</f>
        <v>0</v>
      </c>
      <c r="AA60" s="107" t="n">
        <f aca="false">IF(K60="نعم",O60,0)</f>
        <v>0</v>
      </c>
      <c r="AB60" s="107" t="n">
        <f aca="false">IF(K60="نعم",J60*C60,0)</f>
        <v>0</v>
      </c>
      <c r="AC60" s="107" t="n">
        <f aca="false">IF(T60="",0,T60)</f>
        <v>0</v>
      </c>
    </row>
    <row r="61" customFormat="false" ht="15" hidden="false" customHeight="false" outlineLevel="0" collapsed="false">
      <c r="A61" s="34" t="str">
        <f aca="false">'مواد المخزون'!A56</f>
        <v>عجين بيتزا</v>
      </c>
      <c r="B61" s="36" t="str">
        <f aca="false">'مواد المخزون'!B56</f>
        <v>كجم</v>
      </c>
      <c r="C61" s="107" t="n">
        <f aca="false">'مواد المخزون'!E56</f>
        <v>22</v>
      </c>
      <c r="D61" s="108" t="n">
        <f aca="false">'جرد أول المدة'!C59</f>
        <v>21</v>
      </c>
      <c r="E61" s="108" t="n">
        <f aca="false">SUMIFS('مشتريات يومية'!$D$2:$D$4001,'مشتريات يومية'!$B$2:$B$4001,$B$2,'مشتريات يومية'!$C$2:$C$4001,$A61,'مشتريات يومية'!$A$2:$A$4001,"&gt;="&amp;'إعدادات المخزون'!$B$5,'مشتريات يومية'!$A$2:$A$4001,"&lt;="&amp;'إعدادات المخزون'!$B$4)</f>
        <v>161.5</v>
      </c>
      <c r="F61" s="108"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8"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8" t="n">
        <f aca="false">SUMPRODUCT('مصفوفة الاستهلاك'!$BD$2:$BD$172,'متجهات المبيعات'!$C$2:$C$172)/'مواد المخزون'!$D$56</f>
        <v>0</v>
      </c>
      <c r="I61" s="108"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8" t="n">
        <f aca="false">D61+E61+F61-G61-H61-I61</f>
        <v>182.5</v>
      </c>
      <c r="K61" s="36" t="str">
        <f aca="false">IF(COUNTIFS('جرد فعلي'!$B$2:$B$12001,$B$2,'جرد فعلي'!$C$2:$C$12001,$A61,'جرد فعلي'!$A$2:$A$12001,'إعدادات المخزون'!$B$4)&gt;0,"نعم","لا")</f>
        <v>لا</v>
      </c>
      <c r="L61" s="109" t="str">
        <f aca="false">IF(K61="نعم",SUMIFS('جرد فعلي'!$D$2:$D$12001,'جرد فعلي'!$B$2:$B$12001,$B$2,'جرد فعلي'!$C$2:$C$12001,$A61,'جرد فعلي'!$A$2:$A$12001,'إعدادات المخزون'!$B$4),"")</f>
        <v/>
      </c>
      <c r="M61" s="108" t="str">
        <f aca="false">IF(K61="نعم",L61-J61,"")</f>
        <v/>
      </c>
      <c r="N61" s="110" t="str">
        <f aca="false">IF(K61="نعم",IF(J61=0,IF(M61=0,0,SIGN(M61)),M61/ABS(J61)),"")</f>
        <v/>
      </c>
      <c r="O61" s="107" t="str">
        <f aca="false">IF(K61="نعم",M61*C61,"")</f>
        <v/>
      </c>
      <c r="P61" s="36" t="str">
        <f aca="false">IF(K61&lt;&gt;"نعم","لم يُجرد",IF(ABS(N61)&lt;='إعدادات المخزون'!$B$7,"مطابق",IF(M61&lt;0,"عجز","زيادة")))</f>
        <v>لم يُجرد</v>
      </c>
      <c r="Q61" s="108" t="n">
        <f aca="false">J61-Z61</f>
        <v>182.5</v>
      </c>
      <c r="R61" s="108"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8" t="str">
        <f aca="false">IF(AND(K61="نعم",R61&lt;&gt;""),(L61-J61)-(R61-Q61),"")</f>
        <v/>
      </c>
      <c r="T61" s="107" t="str">
        <f aca="false">IF(S61="","",S61*C61)</f>
        <v/>
      </c>
      <c r="U61" s="108" t="n">
        <f aca="false">IF(K61="نعم",L61,J61)</f>
        <v>182.5</v>
      </c>
      <c r="V61" s="108" t="n">
        <f aca="false">SUMPRODUCT('مصفوفة الاستهلاك'!$BD$2:$BD$172,'متجهات المبيعات'!$D$2:$D$172)/'مواد المخزون'!$D$56/MAX(1,MIN('إعدادات المخزون'!$B$11,'إعدادات المخزون'!$B$4-'إعدادات المخزون'!$B$5+1))</f>
        <v>0</v>
      </c>
      <c r="W61" s="108" t="n">
        <f aca="false">IF(V61&lt;=0,0,ROUNDUP(MAX(0,V61*('إعدادات المخزون'!$B$8+'إعدادات المخزون'!$B$9+'إعدادات المخزون'!$B$10)-MAX(U61,0))/'مواد المخزون'!$F56,0)*'مواد المخزون'!$F56)</f>
        <v>0</v>
      </c>
      <c r="X61" s="107" t="n">
        <f aca="false">IF(AND(K61="نعم",O61&lt;0),-O61+ROW()*0.000000001,0)</f>
        <v>0</v>
      </c>
      <c r="Y61" s="107" t="n">
        <f aca="false">IF(AND(K61="نعم",O61&gt;0),O61+ROW()*0.000000001,0)</f>
        <v>0</v>
      </c>
      <c r="Z61" s="108"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المبيعات'!$B$2:$B$172)/'مواد المخزون'!$D$56</f>
        <v>0</v>
      </c>
      <c r="AA61" s="107" t="n">
        <f aca="false">IF(K61="نعم",O61,0)</f>
        <v>0</v>
      </c>
      <c r="AB61" s="107" t="n">
        <f aca="false">IF(K61="نعم",J61*C61,0)</f>
        <v>0</v>
      </c>
      <c r="AC61" s="107" t="n">
        <f aca="false">IF(T61="",0,T61)</f>
        <v>0</v>
      </c>
    </row>
    <row r="62" customFormat="false" ht="15" hidden="false" customHeight="false" outlineLevel="0" collapsed="false">
      <c r="A62" s="34" t="str">
        <f aca="false">'مواد المخزون'!A57</f>
        <v>عجين فطير</v>
      </c>
      <c r="B62" s="36" t="str">
        <f aca="false">'مواد المخزون'!B57</f>
        <v>قطعة</v>
      </c>
      <c r="C62" s="107" t="n">
        <f aca="false">'مواد المخزون'!E57</f>
        <v>4</v>
      </c>
      <c r="D62" s="108" t="n">
        <f aca="false">'جرد أول المدة'!C60</f>
        <v>105</v>
      </c>
      <c r="E62" s="108" t="n">
        <f aca="false">SUMIFS('مشتريات يومية'!$D$2:$D$4001,'مشتريات يومية'!$B$2:$B$4001,$B$2,'مشتريات يومية'!$C$2:$C$4001,$A62,'مشتريات يومية'!$A$2:$A$4001,"&gt;="&amp;'إعدادات المخزون'!$B$5,'مشتريات يومية'!$A$2:$A$4001,"&lt;="&amp;'إعدادات المخزون'!$B$4)</f>
        <v>1945</v>
      </c>
      <c r="F62" s="108"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8"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8" t="n">
        <f aca="false">SUMPRODUCT('مصفوفة الاستهلاك'!$BE$2:$BE$172,'متجهات المبيعات'!$C$2:$C$172)/'مواد المخزون'!$D$57</f>
        <v>0</v>
      </c>
      <c r="I62" s="108"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8" t="n">
        <f aca="false">D62+E62+F62-G62-H62-I62</f>
        <v>2050</v>
      </c>
      <c r="K62" s="36" t="str">
        <f aca="false">IF(COUNTIFS('جرد فعلي'!$B$2:$B$12001,$B$2,'جرد فعلي'!$C$2:$C$12001,$A62,'جرد فعلي'!$A$2:$A$12001,'إعدادات المخزون'!$B$4)&gt;0,"نعم","لا")</f>
        <v>لا</v>
      </c>
      <c r="L62" s="109" t="str">
        <f aca="false">IF(K62="نعم",SUMIFS('جرد فعلي'!$D$2:$D$12001,'جرد فعلي'!$B$2:$B$12001,$B$2,'جرد فعلي'!$C$2:$C$12001,$A62,'جرد فعلي'!$A$2:$A$12001,'إعدادات المخزون'!$B$4),"")</f>
        <v/>
      </c>
      <c r="M62" s="108" t="str">
        <f aca="false">IF(K62="نعم",L62-J62,"")</f>
        <v/>
      </c>
      <c r="N62" s="110" t="str">
        <f aca="false">IF(K62="نعم",IF(J62=0,IF(M62=0,0,SIGN(M62)),M62/ABS(J62)),"")</f>
        <v/>
      </c>
      <c r="O62" s="107" t="str">
        <f aca="false">IF(K62="نعم",M62*C62,"")</f>
        <v/>
      </c>
      <c r="P62" s="36" t="str">
        <f aca="false">IF(K62&lt;&gt;"نعم","لم يُجرد",IF(ABS(N62)&lt;='إعدادات المخزون'!$B$7,"مطابق",IF(M62&lt;0,"عجز","زيادة")))</f>
        <v>لم يُجرد</v>
      </c>
      <c r="Q62" s="108" t="n">
        <f aca="false">J62-Z62</f>
        <v>2050</v>
      </c>
      <c r="R62" s="108"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8" t="str">
        <f aca="false">IF(AND(K62="نعم",R62&lt;&gt;""),(L62-J62)-(R62-Q62),"")</f>
        <v/>
      </c>
      <c r="T62" s="107" t="str">
        <f aca="false">IF(S62="","",S62*C62)</f>
        <v/>
      </c>
      <c r="U62" s="108" t="n">
        <f aca="false">IF(K62="نعم",L62,J62)</f>
        <v>2050</v>
      </c>
      <c r="V62" s="108" t="n">
        <f aca="false">SUMPRODUCT('مصفوفة الاستهلاك'!$BE$2:$BE$172,'متجهات المبيعات'!$D$2:$D$172)/'مواد المخزون'!$D$57/MAX(1,MIN('إعدادات المخزون'!$B$11,'إعدادات المخزون'!$B$4-'إعدادات المخزون'!$B$5+1))</f>
        <v>0</v>
      </c>
      <c r="W62" s="108" t="n">
        <f aca="false">IF(V62&lt;=0,0,ROUNDUP(MAX(0,V62*('إعدادات المخزون'!$B$8+'إعدادات المخزون'!$B$9+'إعدادات المخزون'!$B$10)-MAX(U62,0))/'مواد المخزون'!$F57,0)*'مواد المخزون'!$F57)</f>
        <v>0</v>
      </c>
      <c r="X62" s="107" t="n">
        <f aca="false">IF(AND(K62="نعم",O62&lt;0),-O62+ROW()*0.000000001,0)</f>
        <v>0</v>
      </c>
      <c r="Y62" s="107" t="n">
        <f aca="false">IF(AND(K62="نعم",O62&gt;0),O62+ROW()*0.000000001,0)</f>
        <v>0</v>
      </c>
      <c r="Z62" s="108"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المبيعات'!$B$2:$B$172)/'مواد المخزون'!$D$57</f>
        <v>0</v>
      </c>
      <c r="AA62" s="107" t="n">
        <f aca="false">IF(K62="نعم",O62,0)</f>
        <v>0</v>
      </c>
      <c r="AB62" s="107" t="n">
        <f aca="false">IF(K62="نعم",J62*C62,0)</f>
        <v>0</v>
      </c>
      <c r="AC62" s="107" t="n">
        <f aca="false">IF(T62="",0,T62)</f>
        <v>0</v>
      </c>
    </row>
    <row r="63" customFormat="false" ht="15" hidden="false" customHeight="false" outlineLevel="0" collapsed="false">
      <c r="A63" s="34" t="str">
        <f aca="false">'مواد المخزون'!A58</f>
        <v>عسل ابيض</v>
      </c>
      <c r="B63" s="36" t="str">
        <f aca="false">'مواد المخزون'!B58</f>
        <v>كجم</v>
      </c>
      <c r="C63" s="107" t="n">
        <f aca="false">'مواد المخزون'!E58</f>
        <v>140</v>
      </c>
      <c r="D63" s="108" t="n">
        <f aca="false">'جرد أول المدة'!C61</f>
        <v>1.5</v>
      </c>
      <c r="E63" s="108" t="n">
        <f aca="false">SUMIFS('مشتريات يومية'!$D$2:$D$4001,'مشتريات يومية'!$B$2:$B$4001,$B$2,'مشتريات يومية'!$C$2:$C$4001,$A63,'مشتريات يومية'!$A$2:$A$4001,"&gt;="&amp;'إعدادات المخزون'!$B$5,'مشتريات يومية'!$A$2:$A$4001,"&lt;="&amp;'إعدادات المخزون'!$B$4)</f>
        <v>2</v>
      </c>
      <c r="F63" s="108"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8"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8" t="n">
        <f aca="false">SUMPRODUCT('مصفوفة الاستهلاك'!$BF$2:$BF$172,'متجهات المبيعات'!$C$2:$C$172)/'مواد المخزون'!$D$58</f>
        <v>0</v>
      </c>
      <c r="I63" s="108"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8" t="n">
        <f aca="false">D63+E63+F63-G63-H63-I63</f>
        <v>3.5</v>
      </c>
      <c r="K63" s="36" t="str">
        <f aca="false">IF(COUNTIFS('جرد فعلي'!$B$2:$B$12001,$B$2,'جرد فعلي'!$C$2:$C$12001,$A63,'جرد فعلي'!$A$2:$A$12001,'إعدادات المخزون'!$B$4)&gt;0,"نعم","لا")</f>
        <v>لا</v>
      </c>
      <c r="L63" s="109" t="str">
        <f aca="false">IF(K63="نعم",SUMIFS('جرد فعلي'!$D$2:$D$12001,'جرد فعلي'!$B$2:$B$12001,$B$2,'جرد فعلي'!$C$2:$C$12001,$A63,'جرد فعلي'!$A$2:$A$12001,'إعدادات المخزون'!$B$4),"")</f>
        <v/>
      </c>
      <c r="M63" s="108" t="str">
        <f aca="false">IF(K63="نعم",L63-J63,"")</f>
        <v/>
      </c>
      <c r="N63" s="110" t="str">
        <f aca="false">IF(K63="نعم",IF(J63=0,IF(M63=0,0,SIGN(M63)),M63/ABS(J63)),"")</f>
        <v/>
      </c>
      <c r="O63" s="107" t="str">
        <f aca="false">IF(K63="نعم",M63*C63,"")</f>
        <v/>
      </c>
      <c r="P63" s="36" t="str">
        <f aca="false">IF(K63&lt;&gt;"نعم","لم يُجرد",IF(ABS(N63)&lt;='إعدادات المخزون'!$B$7,"مطابق",IF(M63&lt;0,"عجز","زيادة")))</f>
        <v>لم يُجرد</v>
      </c>
      <c r="Q63" s="108" t="n">
        <f aca="false">J63-Z63</f>
        <v>3.5</v>
      </c>
      <c r="R63" s="108"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8" t="str">
        <f aca="false">IF(AND(K63="نعم",R63&lt;&gt;""),(L63-J63)-(R63-Q63),"")</f>
        <v/>
      </c>
      <c r="T63" s="107" t="str">
        <f aca="false">IF(S63="","",S63*C63)</f>
        <v/>
      </c>
      <c r="U63" s="108" t="n">
        <f aca="false">IF(K63="نعم",L63,J63)</f>
        <v>3.5</v>
      </c>
      <c r="V63" s="108" t="n">
        <f aca="false">SUMPRODUCT('مصفوفة الاستهلاك'!$BF$2:$BF$172,'متجهات المبيعات'!$D$2:$D$172)/'مواد المخزون'!$D$58/MAX(1,MIN('إعدادات المخزون'!$B$11,'إعدادات المخزون'!$B$4-'إعدادات المخزون'!$B$5+1))</f>
        <v>0</v>
      </c>
      <c r="W63" s="108" t="n">
        <f aca="false">IF(V63&lt;=0,0,ROUNDUP(MAX(0,V63*('إعدادات المخزون'!$B$8+'إعدادات المخزون'!$B$9+'إعدادات المخزون'!$B$10)-MAX(U63,0))/'مواد المخزون'!$F58,0)*'مواد المخزون'!$F58)</f>
        <v>0</v>
      </c>
      <c r="X63" s="107" t="n">
        <f aca="false">IF(AND(K63="نعم",O63&lt;0),-O63+ROW()*0.000000001,0)</f>
        <v>0</v>
      </c>
      <c r="Y63" s="107" t="n">
        <f aca="false">IF(AND(K63="نعم",O63&gt;0),O63+ROW()*0.000000001,0)</f>
        <v>0</v>
      </c>
      <c r="Z63" s="108"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المبيعات'!$B$2:$B$172)/'مواد المخزون'!$D$58</f>
        <v>0</v>
      </c>
      <c r="AA63" s="107" t="n">
        <f aca="false">IF(K63="نعم",O63,0)</f>
        <v>0</v>
      </c>
      <c r="AB63" s="107" t="n">
        <f aca="false">IF(K63="نعم",J63*C63,0)</f>
        <v>0</v>
      </c>
      <c r="AC63" s="107"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7" t="n">
        <f aca="false">'مواد المخزون'!E59</f>
        <v>5.5</v>
      </c>
      <c r="D64" s="108" t="n">
        <f aca="false">'جرد أول المدة'!C62</f>
        <v>1336</v>
      </c>
      <c r="E64" s="108" t="n">
        <f aca="false">SUMIFS('مشتريات يومية'!$D$2:$D$4001,'مشتريات يومية'!$B$2:$B$4001,$B$2,'مشتريات يومية'!$C$2:$C$4001,$A64,'مشتريات يومية'!$A$2:$A$4001,"&gt;="&amp;'إعدادات المخزون'!$B$5,'مشتريات يومية'!$A$2:$A$4001,"&lt;="&amp;'إعدادات المخزون'!$B$4)</f>
        <v>0</v>
      </c>
      <c r="F64" s="108"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8"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8" t="n">
        <f aca="false">SUMPRODUCT('مصفوفة الاستهلاك'!$BG$2:$BG$172,'متجهات المبيعات'!$C$2:$C$172)/'مواد المخزون'!$D$59</f>
        <v>0</v>
      </c>
      <c r="I64" s="108"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8" t="n">
        <f aca="false">D64+E64+F64-G64-H64-I64</f>
        <v>1336</v>
      </c>
      <c r="K64" s="36" t="str">
        <f aca="false">IF(COUNTIFS('جرد فعلي'!$B$2:$B$12001,$B$2,'جرد فعلي'!$C$2:$C$12001,$A64,'جرد فعلي'!$A$2:$A$12001,'إعدادات المخزون'!$B$4)&gt;0,"نعم","لا")</f>
        <v>لا</v>
      </c>
      <c r="L64" s="109" t="str">
        <f aca="false">IF(K64="نعم",SUMIFS('جرد فعلي'!$D$2:$D$12001,'جرد فعلي'!$B$2:$B$12001,$B$2,'جرد فعلي'!$C$2:$C$12001,$A64,'جرد فعلي'!$A$2:$A$12001,'إعدادات المخزون'!$B$4),"")</f>
        <v/>
      </c>
      <c r="M64" s="108" t="str">
        <f aca="false">IF(K64="نعم",L64-J64,"")</f>
        <v/>
      </c>
      <c r="N64" s="110" t="str">
        <f aca="false">IF(K64="نعم",IF(J64=0,IF(M64=0,0,SIGN(M64)),M64/ABS(J64)),"")</f>
        <v/>
      </c>
      <c r="O64" s="107" t="str">
        <f aca="false">IF(K64="نعم",M64*C64,"")</f>
        <v/>
      </c>
      <c r="P64" s="36" t="str">
        <f aca="false">IF(K64&lt;&gt;"نعم","لم يُجرد",IF(ABS(N64)&lt;='إعدادات المخزون'!$B$7,"مطابق",IF(M64&lt;0,"عجز","زيادة")))</f>
        <v>لم يُجرد</v>
      </c>
      <c r="Q64" s="108" t="n">
        <f aca="false">J64-Z64</f>
        <v>1336</v>
      </c>
      <c r="R64" s="108"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8" t="str">
        <f aca="false">IF(AND(K64="نعم",R64&lt;&gt;""),(L64-J64)-(R64-Q64),"")</f>
        <v/>
      </c>
      <c r="T64" s="107" t="str">
        <f aca="false">IF(S64="","",S64*C64)</f>
        <v/>
      </c>
      <c r="U64" s="108" t="n">
        <f aca="false">IF(K64="نعم",L64,J64)</f>
        <v>1336</v>
      </c>
      <c r="V64" s="108" t="n">
        <f aca="false">SUMPRODUCT('مصفوفة الاستهلاك'!$BG$2:$BG$172,'متجهات المبيعات'!$D$2:$D$172)/'مواد المخزون'!$D$59/MAX(1,MIN('إعدادات المخزون'!$B$11,'إعدادات المخزون'!$B$4-'إعدادات المخزون'!$B$5+1))</f>
        <v>0</v>
      </c>
      <c r="W64" s="108" t="n">
        <f aca="false">IF(V64&lt;=0,0,ROUNDUP(MAX(0,V64*('إعدادات المخزون'!$B$8+'إعدادات المخزون'!$B$9+'إعدادات المخزون'!$B$10)-MAX(U64,0))/'مواد المخزون'!$F59,0)*'مواد المخزون'!$F59)</f>
        <v>0</v>
      </c>
      <c r="X64" s="107" t="n">
        <f aca="false">IF(AND(K64="نعم",O64&lt;0),-O64+ROW()*0.000000001,0)</f>
        <v>0</v>
      </c>
      <c r="Y64" s="107" t="n">
        <f aca="false">IF(AND(K64="نعم",O64&gt;0),O64+ROW()*0.000000001,0)</f>
        <v>0</v>
      </c>
      <c r="Z64" s="108"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المبيعات'!$B$2:$B$172)/'مواد المخزون'!$D$59</f>
        <v>0</v>
      </c>
      <c r="AA64" s="107" t="n">
        <f aca="false">IF(K64="نعم",O64,0)</f>
        <v>0</v>
      </c>
      <c r="AB64" s="107" t="n">
        <f aca="false">IF(K64="نعم",J64*C64,0)</f>
        <v>0</v>
      </c>
      <c r="AC64" s="107"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7" t="n">
        <f aca="false">'مواد المخزون'!E60</f>
        <v>4.5</v>
      </c>
      <c r="D65" s="108" t="n">
        <f aca="false">'جرد أول المدة'!C63</f>
        <v>1130</v>
      </c>
      <c r="E65" s="108" t="n">
        <f aca="false">SUMIFS('مشتريات يومية'!$D$2:$D$4001,'مشتريات يومية'!$B$2:$B$4001,$B$2,'مشتريات يومية'!$C$2:$C$4001,$A65,'مشتريات يومية'!$A$2:$A$4001,"&gt;="&amp;'إعدادات المخزون'!$B$5,'مشتريات يومية'!$A$2:$A$4001,"&lt;="&amp;'إعدادات المخزون'!$B$4)</f>
        <v>450</v>
      </c>
      <c r="F65" s="108"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8"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8" t="n">
        <f aca="false">SUMPRODUCT('مصفوفة الاستهلاك'!$BH$2:$BH$172,'متجهات المبيعات'!$C$2:$C$172)/'مواد المخزون'!$D$60</f>
        <v>0</v>
      </c>
      <c r="I65" s="108"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8" t="n">
        <f aca="false">D65+E65+F65-G65-H65-I65</f>
        <v>1580</v>
      </c>
      <c r="K65" s="36" t="str">
        <f aca="false">IF(COUNTIFS('جرد فعلي'!$B$2:$B$12001,$B$2,'جرد فعلي'!$C$2:$C$12001,$A65,'جرد فعلي'!$A$2:$A$12001,'إعدادات المخزون'!$B$4)&gt;0,"نعم","لا")</f>
        <v>لا</v>
      </c>
      <c r="L65" s="109" t="str">
        <f aca="false">IF(K65="نعم",SUMIFS('جرد فعلي'!$D$2:$D$12001,'جرد فعلي'!$B$2:$B$12001,$B$2,'جرد فعلي'!$C$2:$C$12001,$A65,'جرد فعلي'!$A$2:$A$12001,'إعدادات المخزون'!$B$4),"")</f>
        <v/>
      </c>
      <c r="M65" s="108" t="str">
        <f aca="false">IF(K65="نعم",L65-J65,"")</f>
        <v/>
      </c>
      <c r="N65" s="110" t="str">
        <f aca="false">IF(K65="نعم",IF(J65=0,IF(M65=0,0,SIGN(M65)),M65/ABS(J65)),"")</f>
        <v/>
      </c>
      <c r="O65" s="107" t="str">
        <f aca="false">IF(K65="نعم",M65*C65,"")</f>
        <v/>
      </c>
      <c r="P65" s="36" t="str">
        <f aca="false">IF(K65&lt;&gt;"نعم","لم يُجرد",IF(ABS(N65)&lt;='إعدادات المخزون'!$B$7,"مطابق",IF(M65&lt;0,"عجز","زيادة")))</f>
        <v>لم يُجرد</v>
      </c>
      <c r="Q65" s="108" t="n">
        <f aca="false">J65-Z65</f>
        <v>1580</v>
      </c>
      <c r="R65" s="108"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8" t="str">
        <f aca="false">IF(AND(K65="نعم",R65&lt;&gt;""),(L65-J65)-(R65-Q65),"")</f>
        <v/>
      </c>
      <c r="T65" s="107" t="str">
        <f aca="false">IF(S65="","",S65*C65)</f>
        <v/>
      </c>
      <c r="U65" s="108" t="n">
        <f aca="false">IF(K65="نعم",L65,J65)</f>
        <v>1580</v>
      </c>
      <c r="V65" s="108" t="n">
        <f aca="false">SUMPRODUCT('مصفوفة الاستهلاك'!$BH$2:$BH$172,'متجهات المبيعات'!$D$2:$D$172)/'مواد المخزون'!$D$60/MAX(1,MIN('إعدادات المخزون'!$B$11,'إعدادات المخزون'!$B$4-'إعدادات المخزون'!$B$5+1))</f>
        <v>0</v>
      </c>
      <c r="W65" s="108" t="n">
        <f aca="false">IF(V65&lt;=0,0,ROUNDUP(MAX(0,V65*('إعدادات المخزون'!$B$8+'إعدادات المخزون'!$B$9+'إعدادات المخزون'!$B$10)-MAX(U65,0))/'مواد المخزون'!$F60,0)*'مواد المخزون'!$F60)</f>
        <v>0</v>
      </c>
      <c r="X65" s="107" t="n">
        <f aca="false">IF(AND(K65="نعم",O65&lt;0),-O65+ROW()*0.000000001,0)</f>
        <v>0</v>
      </c>
      <c r="Y65" s="107" t="n">
        <f aca="false">IF(AND(K65="نعم",O65&gt;0),O65+ROW()*0.000000001,0)</f>
        <v>0</v>
      </c>
      <c r="Z65" s="108"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المبيعات'!$B$2:$B$172)/'مواد المخزون'!$D$60</f>
        <v>0</v>
      </c>
      <c r="AA65" s="107" t="n">
        <f aca="false">IF(K65="نعم",O65,0)</f>
        <v>0</v>
      </c>
      <c r="AB65" s="107" t="n">
        <f aca="false">IF(K65="نعم",J65*C65,0)</f>
        <v>0</v>
      </c>
      <c r="AC65" s="107"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7" t="n">
        <f aca="false">'مواد المخزون'!E61</f>
        <v>1.7</v>
      </c>
      <c r="D66" s="108" t="n">
        <f aca="false">'جرد أول المدة'!C64</f>
        <v>13</v>
      </c>
      <c r="E66" s="108" t="n">
        <f aca="false">SUMIFS('مشتريات يومية'!$D$2:$D$4001,'مشتريات يومية'!$B$2:$B$4001,$B$2,'مشتريات يومية'!$C$2:$C$4001,$A66,'مشتريات يومية'!$A$2:$A$4001,"&gt;="&amp;'إعدادات المخزون'!$B$5,'مشتريات يومية'!$A$2:$A$4001,"&lt;="&amp;'إعدادات المخزون'!$B$4)</f>
        <v>50</v>
      </c>
      <c r="F66" s="108"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8"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8" t="n">
        <f aca="false">SUMPRODUCT('مصفوفة الاستهلاك'!$BI$2:$BI$172,'متجهات المبيعات'!$C$2:$C$172)/'مواد المخزون'!$D$61</f>
        <v>0</v>
      </c>
      <c r="I66" s="108"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8" t="n">
        <f aca="false">D66+E66+F66-G66-H66-I66</f>
        <v>63</v>
      </c>
      <c r="K66" s="36" t="str">
        <f aca="false">IF(COUNTIFS('جرد فعلي'!$B$2:$B$12001,$B$2,'جرد فعلي'!$C$2:$C$12001,$A66,'جرد فعلي'!$A$2:$A$12001,'إعدادات المخزون'!$B$4)&gt;0,"نعم","لا")</f>
        <v>لا</v>
      </c>
      <c r="L66" s="109" t="str">
        <f aca="false">IF(K66="نعم",SUMIFS('جرد فعلي'!$D$2:$D$12001,'جرد فعلي'!$B$2:$B$12001,$B$2,'جرد فعلي'!$C$2:$C$12001,$A66,'جرد فعلي'!$A$2:$A$12001,'إعدادات المخزون'!$B$4),"")</f>
        <v/>
      </c>
      <c r="M66" s="108" t="str">
        <f aca="false">IF(K66="نعم",L66-J66,"")</f>
        <v/>
      </c>
      <c r="N66" s="110" t="str">
        <f aca="false">IF(K66="نعم",IF(J66=0,IF(M66=0,0,SIGN(M66)),M66/ABS(J66)),"")</f>
        <v/>
      </c>
      <c r="O66" s="107" t="str">
        <f aca="false">IF(K66="نعم",M66*C66,"")</f>
        <v/>
      </c>
      <c r="P66" s="36" t="str">
        <f aca="false">IF(K66&lt;&gt;"نعم","لم يُجرد",IF(ABS(N66)&lt;='إعدادات المخزون'!$B$7,"مطابق",IF(M66&lt;0,"عجز","زيادة")))</f>
        <v>لم يُجرد</v>
      </c>
      <c r="Q66" s="108" t="n">
        <f aca="false">J66-Z66</f>
        <v>63</v>
      </c>
      <c r="R66" s="108"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8" t="str">
        <f aca="false">IF(AND(K66="نعم",R66&lt;&gt;""),(L66-J66)-(R66-Q66),"")</f>
        <v/>
      </c>
      <c r="T66" s="107" t="str">
        <f aca="false">IF(S66="","",S66*C66)</f>
        <v/>
      </c>
      <c r="U66" s="108" t="n">
        <f aca="false">IF(K66="نعم",L66,J66)</f>
        <v>63</v>
      </c>
      <c r="V66" s="108" t="n">
        <f aca="false">SUMPRODUCT('مصفوفة الاستهلاك'!$BI$2:$BI$172,'متجهات المبيعات'!$D$2:$D$172)/'مواد المخزون'!$D$61/MAX(1,MIN('إعدادات المخزون'!$B$11,'إعدادات المخزون'!$B$4-'إعدادات المخزون'!$B$5+1))</f>
        <v>0</v>
      </c>
      <c r="W66" s="108" t="n">
        <f aca="false">IF(V66&lt;=0,0,ROUNDUP(MAX(0,V66*('إعدادات المخزون'!$B$8+'إعدادات المخزون'!$B$9+'إعدادات المخزون'!$B$10)-MAX(U66,0))/'مواد المخزون'!$F61,0)*'مواد المخزون'!$F61)</f>
        <v>0</v>
      </c>
      <c r="X66" s="107" t="n">
        <f aca="false">IF(AND(K66="نعم",O66&lt;0),-O66+ROW()*0.000000001,0)</f>
        <v>0</v>
      </c>
      <c r="Y66" s="107" t="n">
        <f aca="false">IF(AND(K66="نعم",O66&gt;0),O66+ROW()*0.000000001,0)</f>
        <v>0</v>
      </c>
      <c r="Z66" s="108"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المبيعات'!$B$2:$B$172)/'مواد المخزون'!$D$61</f>
        <v>0</v>
      </c>
      <c r="AA66" s="107" t="n">
        <f aca="false">IF(K66="نعم",O66,0)</f>
        <v>0</v>
      </c>
      <c r="AB66" s="107" t="n">
        <f aca="false">IF(K66="نعم",J66*C66,0)</f>
        <v>0</v>
      </c>
      <c r="AC66" s="107"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7" t="n">
        <f aca="false">'مواد المخزون'!E62</f>
        <v>2</v>
      </c>
      <c r="D67" s="108" t="n">
        <f aca="false">'جرد أول المدة'!C65</f>
        <v>10</v>
      </c>
      <c r="E67" s="108" t="n">
        <f aca="false">SUMIFS('مشتريات يومية'!$D$2:$D$4001,'مشتريات يومية'!$B$2:$B$4001,$B$2,'مشتريات يومية'!$C$2:$C$4001,$A67,'مشتريات يومية'!$A$2:$A$4001,"&gt;="&amp;'إعدادات المخزون'!$B$5,'مشتريات يومية'!$A$2:$A$4001,"&lt;="&amp;'إعدادات المخزون'!$B$4)</f>
        <v>50</v>
      </c>
      <c r="F67" s="108"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8"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8" t="n">
        <f aca="false">SUMPRODUCT('مصفوفة الاستهلاك'!$BJ$2:$BJ$172,'متجهات المبيعات'!$C$2:$C$172)/'مواد المخزون'!$D$62</f>
        <v>0</v>
      </c>
      <c r="I67" s="108"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8" t="n">
        <f aca="false">D67+E67+F67-G67-H67-I67</f>
        <v>60</v>
      </c>
      <c r="K67" s="36" t="str">
        <f aca="false">IF(COUNTIFS('جرد فعلي'!$B$2:$B$12001,$B$2,'جرد فعلي'!$C$2:$C$12001,$A67,'جرد فعلي'!$A$2:$A$12001,'إعدادات المخزون'!$B$4)&gt;0,"نعم","لا")</f>
        <v>لا</v>
      </c>
      <c r="L67" s="109" t="str">
        <f aca="false">IF(K67="نعم",SUMIFS('جرد فعلي'!$D$2:$D$12001,'جرد فعلي'!$B$2:$B$12001,$B$2,'جرد فعلي'!$C$2:$C$12001,$A67,'جرد فعلي'!$A$2:$A$12001,'إعدادات المخزون'!$B$4),"")</f>
        <v/>
      </c>
      <c r="M67" s="108" t="str">
        <f aca="false">IF(K67="نعم",L67-J67,"")</f>
        <v/>
      </c>
      <c r="N67" s="110" t="str">
        <f aca="false">IF(K67="نعم",IF(J67=0,IF(M67=0,0,SIGN(M67)),M67/ABS(J67)),"")</f>
        <v/>
      </c>
      <c r="O67" s="107" t="str">
        <f aca="false">IF(K67="نعم",M67*C67,"")</f>
        <v/>
      </c>
      <c r="P67" s="36" t="str">
        <f aca="false">IF(K67&lt;&gt;"نعم","لم يُجرد",IF(ABS(N67)&lt;='إعدادات المخزون'!$B$7,"مطابق",IF(M67&lt;0,"عجز","زيادة")))</f>
        <v>لم يُجرد</v>
      </c>
      <c r="Q67" s="108" t="n">
        <f aca="false">J67-Z67</f>
        <v>60</v>
      </c>
      <c r="R67" s="108"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8" t="str">
        <f aca="false">IF(AND(K67="نعم",R67&lt;&gt;""),(L67-J67)-(R67-Q67),"")</f>
        <v/>
      </c>
      <c r="T67" s="107" t="str">
        <f aca="false">IF(S67="","",S67*C67)</f>
        <v/>
      </c>
      <c r="U67" s="108" t="n">
        <f aca="false">IF(K67="نعم",L67,J67)</f>
        <v>60</v>
      </c>
      <c r="V67" s="108" t="n">
        <f aca="false">SUMPRODUCT('مصفوفة الاستهلاك'!$BJ$2:$BJ$172,'متجهات المبيعات'!$D$2:$D$172)/'مواد المخزون'!$D$62/MAX(1,MIN('إعدادات المخزون'!$B$11,'إعدادات المخزون'!$B$4-'إعدادات المخزون'!$B$5+1))</f>
        <v>0</v>
      </c>
      <c r="W67" s="108" t="n">
        <f aca="false">IF(V67&lt;=0,0,ROUNDUP(MAX(0,V67*('إعدادات المخزون'!$B$8+'إعدادات المخزون'!$B$9+'إعدادات المخزون'!$B$10)-MAX(U67,0))/'مواد المخزون'!$F62,0)*'مواد المخزون'!$F62)</f>
        <v>0</v>
      </c>
      <c r="X67" s="107" t="n">
        <f aca="false">IF(AND(K67="نعم",O67&lt;0),-O67+ROW()*0.000000001,0)</f>
        <v>0</v>
      </c>
      <c r="Y67" s="107" t="n">
        <f aca="false">IF(AND(K67="نعم",O67&gt;0),O67+ROW()*0.000000001,0)</f>
        <v>0</v>
      </c>
      <c r="Z67" s="108"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المبيعات'!$B$2:$B$172)/'مواد المخزون'!$D$62</f>
        <v>0</v>
      </c>
      <c r="AA67" s="107" t="n">
        <f aca="false">IF(K67="نعم",O67,0)</f>
        <v>0</v>
      </c>
      <c r="AB67" s="107" t="n">
        <f aca="false">IF(K67="نعم",J67*C67,0)</f>
        <v>0</v>
      </c>
      <c r="AC67" s="107"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7" t="n">
        <f aca="false">'مواد المخزون'!E63</f>
        <v>3.1</v>
      </c>
      <c r="D68" s="108" t="n">
        <f aca="false">'جرد أول المدة'!C66</f>
        <v>0</v>
      </c>
      <c r="E68" s="108" t="n">
        <f aca="false">SUMIFS('مشتريات يومية'!$D$2:$D$4001,'مشتريات يومية'!$B$2:$B$4001,$B$2,'مشتريات يومية'!$C$2:$C$4001,$A68,'مشتريات يومية'!$A$2:$A$4001,"&gt;="&amp;'إعدادات المخزون'!$B$5,'مشتريات يومية'!$A$2:$A$4001,"&lt;="&amp;'إعدادات المخزون'!$B$4)</f>
        <v>100</v>
      </c>
      <c r="F68" s="108"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8"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8" t="n">
        <f aca="false">SUMPRODUCT('مصفوفة الاستهلاك'!$BK$2:$BK$172,'متجهات المبيعات'!$C$2:$C$172)/'مواد المخزون'!$D$63</f>
        <v>0</v>
      </c>
      <c r="I68" s="108"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8" t="n">
        <f aca="false">D68+E68+F68-G68-H68-I68</f>
        <v>100</v>
      </c>
      <c r="K68" s="36" t="str">
        <f aca="false">IF(COUNTIFS('جرد فعلي'!$B$2:$B$12001,$B$2,'جرد فعلي'!$C$2:$C$12001,$A68,'جرد فعلي'!$A$2:$A$12001,'إعدادات المخزون'!$B$4)&gt;0,"نعم","لا")</f>
        <v>لا</v>
      </c>
      <c r="L68" s="109" t="str">
        <f aca="false">IF(K68="نعم",SUMIFS('جرد فعلي'!$D$2:$D$12001,'جرد فعلي'!$B$2:$B$12001,$B$2,'جرد فعلي'!$C$2:$C$12001,$A68,'جرد فعلي'!$A$2:$A$12001,'إعدادات المخزون'!$B$4),"")</f>
        <v/>
      </c>
      <c r="M68" s="108" t="str">
        <f aca="false">IF(K68="نعم",L68-J68,"")</f>
        <v/>
      </c>
      <c r="N68" s="110" t="str">
        <f aca="false">IF(K68="نعم",IF(J68=0,IF(M68=0,0,SIGN(M68)),M68/ABS(J68)),"")</f>
        <v/>
      </c>
      <c r="O68" s="107" t="str">
        <f aca="false">IF(K68="نعم",M68*C68,"")</f>
        <v/>
      </c>
      <c r="P68" s="36" t="str">
        <f aca="false">IF(K68&lt;&gt;"نعم","لم يُجرد",IF(ABS(N68)&lt;='إعدادات المخزون'!$B$7,"مطابق",IF(M68&lt;0,"عجز","زيادة")))</f>
        <v>لم يُجرد</v>
      </c>
      <c r="Q68" s="108" t="n">
        <f aca="false">J68-Z68</f>
        <v>100</v>
      </c>
      <c r="R68" s="108"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8" t="str">
        <f aca="false">IF(AND(K68="نعم",R68&lt;&gt;""),(L68-J68)-(R68-Q68),"")</f>
        <v/>
      </c>
      <c r="T68" s="107" t="str">
        <f aca="false">IF(S68="","",S68*C68)</f>
        <v/>
      </c>
      <c r="U68" s="108" t="n">
        <f aca="false">IF(K68="نعم",L68,J68)</f>
        <v>100</v>
      </c>
      <c r="V68" s="108" t="n">
        <f aca="false">SUMPRODUCT('مصفوفة الاستهلاك'!$BK$2:$BK$172,'متجهات المبيعات'!$D$2:$D$172)/'مواد المخزون'!$D$63/MAX(1,MIN('إعدادات المخزون'!$B$11,'إعدادات المخزون'!$B$4-'إعدادات المخزون'!$B$5+1))</f>
        <v>0</v>
      </c>
      <c r="W68" s="108" t="n">
        <f aca="false">IF(V68&lt;=0,0,ROUNDUP(MAX(0,V68*('إعدادات المخزون'!$B$8+'إعدادات المخزون'!$B$9+'إعدادات المخزون'!$B$10)-MAX(U68,0))/'مواد المخزون'!$F63,0)*'مواد المخزون'!$F63)</f>
        <v>0</v>
      </c>
      <c r="X68" s="107" t="n">
        <f aca="false">IF(AND(K68="نعم",O68&lt;0),-O68+ROW()*0.000000001,0)</f>
        <v>0</v>
      </c>
      <c r="Y68" s="107" t="n">
        <f aca="false">IF(AND(K68="نعم",O68&gt;0),O68+ROW()*0.000000001,0)</f>
        <v>0</v>
      </c>
      <c r="Z68" s="108"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المبيعات'!$B$2:$B$172)/'مواد المخزون'!$D$63</f>
        <v>0</v>
      </c>
      <c r="AA68" s="107" t="n">
        <f aca="false">IF(K68="نعم",O68,0)</f>
        <v>0</v>
      </c>
      <c r="AB68" s="107" t="n">
        <f aca="false">IF(K68="نعم",J68*C68,0)</f>
        <v>0</v>
      </c>
      <c r="AC68" s="107"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7" t="n">
        <f aca="false">'مواد المخزون'!E64</f>
        <v>42.03</v>
      </c>
      <c r="D69" s="108" t="n">
        <f aca="false">'جرد أول المدة'!C67</f>
        <v>4</v>
      </c>
      <c r="E69" s="108" t="n">
        <f aca="false">SUMIFS('مشتريات يومية'!$D$2:$D$4001,'مشتريات يومية'!$B$2:$B$4001,$B$2,'مشتريات يومية'!$C$2:$C$4001,$A69,'مشتريات يومية'!$A$2:$A$4001,"&gt;="&amp;'إعدادات المخزون'!$B$5,'مشتريات يومية'!$A$2:$A$4001,"&lt;="&amp;'إعدادات المخزون'!$B$4)</f>
        <v>0</v>
      </c>
      <c r="F69" s="108"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8"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8" t="n">
        <f aca="false">SUMPRODUCT('مصفوفة الاستهلاك'!$BL$2:$BL$172,'متجهات المبيعات'!$C$2:$C$172)/'مواد المخزون'!$D$64</f>
        <v>0</v>
      </c>
      <c r="I69" s="108"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8" t="n">
        <f aca="false">D69+E69+F69-G69-H69-I69</f>
        <v>4</v>
      </c>
      <c r="K69" s="36" t="str">
        <f aca="false">IF(COUNTIFS('جرد فعلي'!$B$2:$B$12001,$B$2,'جرد فعلي'!$C$2:$C$12001,$A69,'جرد فعلي'!$A$2:$A$12001,'إعدادات المخزون'!$B$4)&gt;0,"نعم","لا")</f>
        <v>لا</v>
      </c>
      <c r="L69" s="109" t="str">
        <f aca="false">IF(K69="نعم",SUMIFS('جرد فعلي'!$D$2:$D$12001,'جرد فعلي'!$B$2:$B$12001,$B$2,'جرد فعلي'!$C$2:$C$12001,$A69,'جرد فعلي'!$A$2:$A$12001,'إعدادات المخزون'!$B$4),"")</f>
        <v/>
      </c>
      <c r="M69" s="108" t="str">
        <f aca="false">IF(K69="نعم",L69-J69,"")</f>
        <v/>
      </c>
      <c r="N69" s="110" t="str">
        <f aca="false">IF(K69="نعم",IF(J69=0,IF(M69=0,0,SIGN(M69)),M69/ABS(J69)),"")</f>
        <v/>
      </c>
      <c r="O69" s="107" t="str">
        <f aca="false">IF(K69="نعم",M69*C69,"")</f>
        <v/>
      </c>
      <c r="P69" s="36" t="str">
        <f aca="false">IF(K69&lt;&gt;"نعم","لم يُجرد",IF(ABS(N69)&lt;='إعدادات المخزون'!$B$7,"مطابق",IF(M69&lt;0,"عجز","زيادة")))</f>
        <v>لم يُجرد</v>
      </c>
      <c r="Q69" s="108" t="n">
        <f aca="false">J69-Z69</f>
        <v>4</v>
      </c>
      <c r="R69" s="108"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8" t="str">
        <f aca="false">IF(AND(K69="نعم",R69&lt;&gt;""),(L69-J69)-(R69-Q69),"")</f>
        <v/>
      </c>
      <c r="T69" s="107" t="str">
        <f aca="false">IF(S69="","",S69*C69)</f>
        <v/>
      </c>
      <c r="U69" s="108" t="n">
        <f aca="false">IF(K69="نعم",L69,J69)</f>
        <v>4</v>
      </c>
      <c r="V69" s="108" t="n">
        <f aca="false">SUMPRODUCT('مصفوفة الاستهلاك'!$BL$2:$BL$172,'متجهات المبيعات'!$D$2:$D$172)/'مواد المخزون'!$D$64/MAX(1,MIN('إعدادات المخزون'!$B$11,'إعدادات المخزون'!$B$4-'إعدادات المخزون'!$B$5+1))</f>
        <v>0</v>
      </c>
      <c r="W69" s="108" t="n">
        <f aca="false">IF(V69&lt;=0,0,ROUNDUP(MAX(0,V69*('إعدادات المخزون'!$B$8+'إعدادات المخزون'!$B$9+'إعدادات المخزون'!$B$10)-MAX(U69,0))/'مواد المخزون'!$F64,0)*'مواد المخزون'!$F64)</f>
        <v>0</v>
      </c>
      <c r="X69" s="107" t="n">
        <f aca="false">IF(AND(K69="نعم",O69&lt;0),-O69+ROW()*0.000000001,0)</f>
        <v>0</v>
      </c>
      <c r="Y69" s="107" t="n">
        <f aca="false">IF(AND(K69="نعم",O69&gt;0),O69+ROW()*0.000000001,0)</f>
        <v>0</v>
      </c>
      <c r="Z69" s="108"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المبيعات'!$B$2:$B$172)/'مواد المخزون'!$D$64</f>
        <v>0</v>
      </c>
      <c r="AA69" s="107" t="n">
        <f aca="false">IF(K69="نعم",O69,0)</f>
        <v>0</v>
      </c>
      <c r="AB69" s="107" t="n">
        <f aca="false">IF(K69="نعم",J69*C69,0)</f>
        <v>0</v>
      </c>
      <c r="AC69" s="107"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7" t="n">
        <f aca="false">'مواد المخزون'!E65</f>
        <v>150</v>
      </c>
      <c r="D70" s="108" t="n">
        <f aca="false">'جرد أول المدة'!C68</f>
        <v>0</v>
      </c>
      <c r="E70" s="108" t="n">
        <f aca="false">SUMIFS('مشتريات يومية'!$D$2:$D$4001,'مشتريات يومية'!$B$2:$B$4001,$B$2,'مشتريات يومية'!$C$2:$C$4001,$A70,'مشتريات يومية'!$A$2:$A$4001,"&gt;="&amp;'إعدادات المخزون'!$B$5,'مشتريات يومية'!$A$2:$A$4001,"&lt;="&amp;'إعدادات المخزون'!$B$4)</f>
        <v>0</v>
      </c>
      <c r="F70" s="108"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8"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8" t="n">
        <f aca="false">SUMPRODUCT('مصفوفة الاستهلاك'!$BM$2:$BM$172,'متجهات المبيعات'!$C$2:$C$172)/'مواد المخزون'!$D$65</f>
        <v>0</v>
      </c>
      <c r="I70" s="108"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8" t="n">
        <f aca="false">D70+E70+F70-G70-H70-I70</f>
        <v>0</v>
      </c>
      <c r="K70" s="36" t="str">
        <f aca="false">IF(COUNTIFS('جرد فعلي'!$B$2:$B$12001,$B$2,'جرد فعلي'!$C$2:$C$12001,$A70,'جرد فعلي'!$A$2:$A$12001,'إعدادات المخزون'!$B$4)&gt;0,"نعم","لا")</f>
        <v>لا</v>
      </c>
      <c r="L70" s="109" t="str">
        <f aca="false">IF(K70="نعم",SUMIFS('جرد فعلي'!$D$2:$D$12001,'جرد فعلي'!$B$2:$B$12001,$B$2,'جرد فعلي'!$C$2:$C$12001,$A70,'جرد فعلي'!$A$2:$A$12001,'إعدادات المخزون'!$B$4),"")</f>
        <v/>
      </c>
      <c r="M70" s="108" t="str">
        <f aca="false">IF(K70="نعم",L70-J70,"")</f>
        <v/>
      </c>
      <c r="N70" s="110" t="str">
        <f aca="false">IF(K70="نعم",IF(J70=0,IF(M70=0,0,SIGN(M70)),M70/ABS(J70)),"")</f>
        <v/>
      </c>
      <c r="O70" s="107" t="str">
        <f aca="false">IF(K70="نعم",M70*C70,"")</f>
        <v/>
      </c>
      <c r="P70" s="36" t="str">
        <f aca="false">IF(K70&lt;&gt;"نعم","لم يُجرد",IF(ABS(N70)&lt;='إعدادات المخزون'!$B$7,"مطابق",IF(M70&lt;0,"عجز","زيادة")))</f>
        <v>لم يُجرد</v>
      </c>
      <c r="Q70" s="108" t="n">
        <f aca="false">J70-Z70</f>
        <v>0</v>
      </c>
      <c r="R70" s="108"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8" t="str">
        <f aca="false">IF(AND(K70="نعم",R70&lt;&gt;""),(L70-J70)-(R70-Q70),"")</f>
        <v/>
      </c>
      <c r="T70" s="107" t="str">
        <f aca="false">IF(S70="","",S70*C70)</f>
        <v/>
      </c>
      <c r="U70" s="108" t="n">
        <f aca="false">IF(K70="نعم",L70,J70)</f>
        <v>0</v>
      </c>
      <c r="V70" s="108" t="n">
        <f aca="false">SUMPRODUCT('مصفوفة الاستهلاك'!$BM$2:$BM$172,'متجهات المبيعات'!$D$2:$D$172)/'مواد المخزون'!$D$65/MAX(1,MIN('إعدادات المخزون'!$B$11,'إعدادات المخزون'!$B$4-'إعدادات المخزون'!$B$5+1))</f>
        <v>0</v>
      </c>
      <c r="W70" s="108" t="n">
        <f aca="false">IF(V70&lt;=0,0,ROUNDUP(MAX(0,V70*('إعدادات المخزون'!$B$8+'إعدادات المخزون'!$B$9+'إعدادات المخزون'!$B$10)-MAX(U70,0))/'مواد المخزون'!$F65,0)*'مواد المخزون'!$F65)</f>
        <v>0</v>
      </c>
      <c r="X70" s="107" t="n">
        <f aca="false">IF(AND(K70="نعم",O70&lt;0),-O70+ROW()*0.000000001,0)</f>
        <v>0</v>
      </c>
      <c r="Y70" s="107" t="n">
        <f aca="false">IF(AND(K70="نعم",O70&gt;0),O70+ROW()*0.000000001,0)</f>
        <v>0</v>
      </c>
      <c r="Z70" s="108"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المبيعات'!$B$2:$B$172)/'مواد المخزون'!$D$65</f>
        <v>0</v>
      </c>
      <c r="AA70" s="107" t="n">
        <f aca="false">IF(K70="نعم",O70,0)</f>
        <v>0</v>
      </c>
      <c r="AB70" s="107" t="n">
        <f aca="false">IF(K70="نعم",J70*C70,0)</f>
        <v>0</v>
      </c>
      <c r="AC70" s="107" t="n">
        <f aca="false">IF(T70="",0,T70)</f>
        <v>0</v>
      </c>
    </row>
    <row r="71" customFormat="false" ht="15" hidden="false" customHeight="false" outlineLevel="0" collapsed="false">
      <c r="A71" s="34" t="str">
        <f aca="false">'مواد المخزون'!A66</f>
        <v>فلفل كوبي</v>
      </c>
      <c r="B71" s="36" t="str">
        <f aca="false">'مواد المخزون'!B66</f>
        <v>كجم</v>
      </c>
      <c r="C71" s="107" t="n">
        <f aca="false">'مواد المخزون'!E66</f>
        <v>27</v>
      </c>
      <c r="D71" s="108" t="n">
        <f aca="false">'جرد أول المدة'!C69</f>
        <v>7</v>
      </c>
      <c r="E71" s="108" t="n">
        <f aca="false">SUMIFS('مشتريات يومية'!$D$2:$D$4001,'مشتريات يومية'!$B$2:$B$4001,$B$2,'مشتريات يومية'!$C$2:$C$4001,$A71,'مشتريات يومية'!$A$2:$A$4001,"&gt;="&amp;'إعدادات المخزون'!$B$5,'مشتريات يومية'!$A$2:$A$4001,"&lt;="&amp;'إعدادات المخزون'!$B$4)</f>
        <v>70.5</v>
      </c>
      <c r="F71" s="108"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8"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8" t="n">
        <f aca="false">SUMPRODUCT('مصفوفة الاستهلاك'!$BN$2:$BN$172,'متجهات المبيعات'!$C$2:$C$172)/'مواد المخزون'!$D$66</f>
        <v>0</v>
      </c>
      <c r="I71" s="108"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8" t="n">
        <f aca="false">D71+E71+F71-G71-H71-I71</f>
        <v>77.5</v>
      </c>
      <c r="K71" s="36" t="str">
        <f aca="false">IF(COUNTIFS('جرد فعلي'!$B$2:$B$12001,$B$2,'جرد فعلي'!$C$2:$C$12001,$A71,'جرد فعلي'!$A$2:$A$12001,'إعدادات المخزون'!$B$4)&gt;0,"نعم","لا")</f>
        <v>لا</v>
      </c>
      <c r="L71" s="109" t="str">
        <f aca="false">IF(K71="نعم",SUMIFS('جرد فعلي'!$D$2:$D$12001,'جرد فعلي'!$B$2:$B$12001,$B$2,'جرد فعلي'!$C$2:$C$12001,$A71,'جرد فعلي'!$A$2:$A$12001,'إعدادات المخزون'!$B$4),"")</f>
        <v/>
      </c>
      <c r="M71" s="108" t="str">
        <f aca="false">IF(K71="نعم",L71-J71,"")</f>
        <v/>
      </c>
      <c r="N71" s="110" t="str">
        <f aca="false">IF(K71="نعم",IF(J71=0,IF(M71=0,0,SIGN(M71)),M71/ABS(J71)),"")</f>
        <v/>
      </c>
      <c r="O71" s="107" t="str">
        <f aca="false">IF(K71="نعم",M71*C71,"")</f>
        <v/>
      </c>
      <c r="P71" s="36" t="str">
        <f aca="false">IF(K71&lt;&gt;"نعم","لم يُجرد",IF(ABS(N71)&lt;='إعدادات المخزون'!$B$7,"مطابق",IF(M71&lt;0,"عجز","زيادة")))</f>
        <v>لم يُجرد</v>
      </c>
      <c r="Q71" s="108" t="n">
        <f aca="false">J71-Z71</f>
        <v>77.5</v>
      </c>
      <c r="R71" s="108"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8" t="str">
        <f aca="false">IF(AND(K71="نعم",R71&lt;&gt;""),(L71-J71)-(R71-Q71),"")</f>
        <v/>
      </c>
      <c r="T71" s="107" t="str">
        <f aca="false">IF(S71="","",S71*C71)</f>
        <v/>
      </c>
      <c r="U71" s="108" t="n">
        <f aca="false">IF(K71="نعم",L71,J71)</f>
        <v>77.5</v>
      </c>
      <c r="V71" s="108" t="n">
        <f aca="false">SUMPRODUCT('مصفوفة الاستهلاك'!$BN$2:$BN$172,'متجهات المبيعات'!$D$2:$D$172)/'مواد المخزون'!$D$66/MAX(1,MIN('إعدادات المخزون'!$B$11,'إعدادات المخزون'!$B$4-'إعدادات المخزون'!$B$5+1))</f>
        <v>0</v>
      </c>
      <c r="W71" s="108" t="n">
        <f aca="false">IF(V71&lt;=0,0,ROUNDUP(MAX(0,V71*('إعدادات المخزون'!$B$8+'إعدادات المخزون'!$B$9+'إعدادات المخزون'!$B$10)-MAX(U71,0))/'مواد المخزون'!$F66,0)*'مواد المخزون'!$F66)</f>
        <v>0</v>
      </c>
      <c r="X71" s="107" t="n">
        <f aca="false">IF(AND(K71="نعم",O71&lt;0),-O71+ROW()*0.000000001,0)</f>
        <v>0</v>
      </c>
      <c r="Y71" s="107" t="n">
        <f aca="false">IF(AND(K71="نعم",O71&gt;0),O71+ROW()*0.000000001,0)</f>
        <v>0</v>
      </c>
      <c r="Z71" s="108"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المبيعات'!$B$2:$B$172)/'مواد المخزون'!$D$66</f>
        <v>0</v>
      </c>
      <c r="AA71" s="107" t="n">
        <f aca="false">IF(K71="نعم",O71,0)</f>
        <v>0</v>
      </c>
      <c r="AB71" s="107" t="n">
        <f aca="false">IF(K71="نعم",J71*C71,0)</f>
        <v>0</v>
      </c>
      <c r="AC71" s="107"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7" t="n">
        <f aca="false">'مواد المخزون'!E67</f>
        <v>7</v>
      </c>
      <c r="D72" s="108" t="n">
        <f aca="false">'جرد أول المدة'!C70</f>
        <v>65</v>
      </c>
      <c r="E72" s="108" t="n">
        <f aca="false">SUMIFS('مشتريات يومية'!$D$2:$D$4001,'مشتريات يومية'!$B$2:$B$4001,$B$2,'مشتريات يومية'!$C$2:$C$4001,$A72,'مشتريات يومية'!$A$2:$A$4001,"&gt;="&amp;'إعدادات المخزون'!$B$5,'مشتريات يومية'!$A$2:$A$4001,"&lt;="&amp;'إعدادات المخزون'!$B$4)</f>
        <v>564</v>
      </c>
      <c r="F72" s="108"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8"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8" t="n">
        <f aca="false">SUMPRODUCT('مصفوفة الاستهلاك'!$BO$2:$BO$172,'متجهات المبيعات'!$C$2:$C$172)/'مواد المخزون'!$D$67</f>
        <v>0</v>
      </c>
      <c r="I72" s="108"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8" t="n">
        <f aca="false">D72+E72+F72-G72-H72-I72</f>
        <v>629</v>
      </c>
      <c r="K72" s="36" t="str">
        <f aca="false">IF(COUNTIFS('جرد فعلي'!$B$2:$B$12001,$B$2,'جرد فعلي'!$C$2:$C$12001,$A72,'جرد فعلي'!$A$2:$A$12001,'إعدادات المخزون'!$B$4)&gt;0,"نعم","لا")</f>
        <v>لا</v>
      </c>
      <c r="L72" s="109" t="str">
        <f aca="false">IF(K72="نعم",SUMIFS('جرد فعلي'!$D$2:$D$12001,'جرد فعلي'!$B$2:$B$12001,$B$2,'جرد فعلي'!$C$2:$C$12001,$A72,'جرد فعلي'!$A$2:$A$12001,'إعدادات المخزون'!$B$4),"")</f>
        <v/>
      </c>
      <c r="M72" s="108" t="str">
        <f aca="false">IF(K72="نعم",L72-J72,"")</f>
        <v/>
      </c>
      <c r="N72" s="110" t="str">
        <f aca="false">IF(K72="نعم",IF(J72=0,IF(M72=0,0,SIGN(M72)),M72/ABS(J72)),"")</f>
        <v/>
      </c>
      <c r="O72" s="107" t="str">
        <f aca="false">IF(K72="نعم",M72*C72,"")</f>
        <v/>
      </c>
      <c r="P72" s="36" t="str">
        <f aca="false">IF(K72&lt;&gt;"نعم","لم يُجرد",IF(ABS(N72)&lt;='إعدادات المخزون'!$B$7,"مطابق",IF(M72&lt;0,"عجز","زيادة")))</f>
        <v>لم يُجرد</v>
      </c>
      <c r="Q72" s="108" t="n">
        <f aca="false">J72-Z72</f>
        <v>629</v>
      </c>
      <c r="R72" s="108"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8" t="str">
        <f aca="false">IF(AND(K72="نعم",R72&lt;&gt;""),(L72-J72)-(R72-Q72),"")</f>
        <v/>
      </c>
      <c r="T72" s="107" t="str">
        <f aca="false">IF(S72="","",S72*C72)</f>
        <v/>
      </c>
      <c r="U72" s="108" t="n">
        <f aca="false">IF(K72="نعم",L72,J72)</f>
        <v>629</v>
      </c>
      <c r="V72" s="108" t="n">
        <f aca="false">SUMPRODUCT('مصفوفة الاستهلاك'!$BO$2:$BO$172,'متجهات المبيعات'!$D$2:$D$172)/'مواد المخزون'!$D$67/MAX(1,MIN('إعدادات المخزون'!$B$11,'إعدادات المخزون'!$B$4-'إعدادات المخزون'!$B$5+1))</f>
        <v>0</v>
      </c>
      <c r="W72" s="108" t="n">
        <f aca="false">IF(V72&lt;=0,0,ROUNDUP(MAX(0,V72*('إعدادات المخزون'!$B$8+'إعدادات المخزون'!$B$9+'إعدادات المخزون'!$B$10)-MAX(U72,0))/'مواد المخزون'!$F67,0)*'مواد المخزون'!$F67)</f>
        <v>0</v>
      </c>
      <c r="X72" s="107" t="n">
        <f aca="false">IF(AND(K72="نعم",O72&lt;0),-O72+ROW()*0.000000001,0)</f>
        <v>0</v>
      </c>
      <c r="Y72" s="107" t="n">
        <f aca="false">IF(AND(K72="نعم",O72&gt;0),O72+ROW()*0.000000001,0)</f>
        <v>0</v>
      </c>
      <c r="Z72" s="108"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المبيعات'!$B$2:$B$172)/'مواد المخزون'!$D$67</f>
        <v>0</v>
      </c>
      <c r="AA72" s="107" t="n">
        <f aca="false">IF(K72="نعم",O72,0)</f>
        <v>0</v>
      </c>
      <c r="AB72" s="107" t="n">
        <f aca="false">IF(K72="نعم",J72*C72,0)</f>
        <v>0</v>
      </c>
      <c r="AC72" s="107" t="n">
        <f aca="false">IF(T72="",0,T72)</f>
        <v>0</v>
      </c>
    </row>
    <row r="73" customFormat="false" ht="15" hidden="false" customHeight="false" outlineLevel="0" collapsed="false">
      <c r="A73" s="34" t="str">
        <f aca="false">'مواد المخزون'!A68</f>
        <v>كاتشب ظرف</v>
      </c>
      <c r="B73" s="36" t="str">
        <f aca="false">'مواد المخزون'!B68</f>
        <v>قطعة</v>
      </c>
      <c r="C73" s="107" t="n">
        <f aca="false">'مواد المخزون'!E68</f>
        <v>0.3</v>
      </c>
      <c r="D73" s="108" t="n">
        <f aca="false">'جرد أول المدة'!C71</f>
        <v>250</v>
      </c>
      <c r="E73" s="108" t="n">
        <f aca="false">SUMIFS('مشتريات يومية'!$D$2:$D$4001,'مشتريات يومية'!$B$2:$B$4001,$B$2,'مشتريات يومية'!$C$2:$C$4001,$A73,'مشتريات يومية'!$A$2:$A$4001,"&gt;="&amp;'إعدادات المخزون'!$B$5,'مشتريات يومية'!$A$2:$A$4001,"&lt;="&amp;'إعدادات المخزون'!$B$4)</f>
        <v>4000</v>
      </c>
      <c r="F73" s="108"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8"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8" t="n">
        <f aca="false">SUMPRODUCT('مصفوفة الاستهلاك'!$BP$2:$BP$172,'متجهات المبيعات'!$C$2:$C$172)/'مواد المخزون'!$D$68</f>
        <v>0</v>
      </c>
      <c r="I73" s="108"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8" t="n">
        <f aca="false">D73+E73+F73-G73-H73-I73</f>
        <v>4250</v>
      </c>
      <c r="K73" s="36" t="str">
        <f aca="false">IF(COUNTIFS('جرد فعلي'!$B$2:$B$12001,$B$2,'جرد فعلي'!$C$2:$C$12001,$A73,'جرد فعلي'!$A$2:$A$12001,'إعدادات المخزون'!$B$4)&gt;0,"نعم","لا")</f>
        <v>لا</v>
      </c>
      <c r="L73" s="109" t="str">
        <f aca="false">IF(K73="نعم",SUMIFS('جرد فعلي'!$D$2:$D$12001,'جرد فعلي'!$B$2:$B$12001,$B$2,'جرد فعلي'!$C$2:$C$12001,$A73,'جرد فعلي'!$A$2:$A$12001,'إعدادات المخزون'!$B$4),"")</f>
        <v/>
      </c>
      <c r="M73" s="108" t="str">
        <f aca="false">IF(K73="نعم",L73-J73,"")</f>
        <v/>
      </c>
      <c r="N73" s="110" t="str">
        <f aca="false">IF(K73="نعم",IF(J73=0,IF(M73=0,0,SIGN(M73)),M73/ABS(J73)),"")</f>
        <v/>
      </c>
      <c r="O73" s="107" t="str">
        <f aca="false">IF(K73="نعم",M73*C73,"")</f>
        <v/>
      </c>
      <c r="P73" s="36" t="str">
        <f aca="false">IF(K73&lt;&gt;"نعم","لم يُجرد",IF(ABS(N73)&lt;='إعدادات المخزون'!$B$7,"مطابق",IF(M73&lt;0,"عجز","زيادة")))</f>
        <v>لم يُجرد</v>
      </c>
      <c r="Q73" s="108" t="n">
        <f aca="false">J73-Z73</f>
        <v>4250</v>
      </c>
      <c r="R73" s="108"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8" t="str">
        <f aca="false">IF(AND(K73="نعم",R73&lt;&gt;""),(L73-J73)-(R73-Q73),"")</f>
        <v/>
      </c>
      <c r="T73" s="107" t="str">
        <f aca="false">IF(S73="","",S73*C73)</f>
        <v/>
      </c>
      <c r="U73" s="108" t="n">
        <f aca="false">IF(K73="نعم",L73,J73)</f>
        <v>4250</v>
      </c>
      <c r="V73" s="108" t="n">
        <f aca="false">SUMPRODUCT('مصفوفة الاستهلاك'!$BP$2:$BP$172,'متجهات المبيعات'!$D$2:$D$172)/'مواد المخزون'!$D$68/MAX(1,MIN('إعدادات المخزون'!$B$11,'إعدادات المخزون'!$B$4-'إعدادات المخزون'!$B$5+1))</f>
        <v>0</v>
      </c>
      <c r="W73" s="108" t="n">
        <f aca="false">IF(V73&lt;=0,0,ROUNDUP(MAX(0,V73*('إعدادات المخزون'!$B$8+'إعدادات المخزون'!$B$9+'إعدادات المخزون'!$B$10)-MAX(U73,0))/'مواد المخزون'!$F68,0)*'مواد المخزون'!$F68)</f>
        <v>0</v>
      </c>
      <c r="X73" s="107" t="n">
        <f aca="false">IF(AND(K73="نعم",O73&lt;0),-O73+ROW()*0.000000001,0)</f>
        <v>0</v>
      </c>
      <c r="Y73" s="107" t="n">
        <f aca="false">IF(AND(K73="نعم",O73&gt;0),O73+ROW()*0.000000001,0)</f>
        <v>0</v>
      </c>
      <c r="Z73" s="108"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المبيعات'!$B$2:$B$172)/'مواد المخزون'!$D$68</f>
        <v>0</v>
      </c>
      <c r="AA73" s="107" t="n">
        <f aca="false">IF(K73="نعم",O73,0)</f>
        <v>0</v>
      </c>
      <c r="AB73" s="107" t="n">
        <f aca="false">IF(K73="نعم",J73*C73,0)</f>
        <v>0</v>
      </c>
      <c r="AC73" s="107" t="n">
        <f aca="false">IF(T73="",0,T73)</f>
        <v>0</v>
      </c>
    </row>
    <row r="74" customFormat="false" ht="15" hidden="false" customHeight="false" outlineLevel="0" collapsed="false">
      <c r="A74" s="34" t="str">
        <f aca="false">'مواد المخزون'!A69</f>
        <v>كاستر بودر</v>
      </c>
      <c r="B74" s="36" t="str">
        <f aca="false">'مواد المخزون'!B69</f>
        <v>كجم</v>
      </c>
      <c r="C74" s="107" t="n">
        <f aca="false">'مواد المخزون'!E69</f>
        <v>90</v>
      </c>
      <c r="D74" s="108" t="n">
        <f aca="false">'جرد أول المدة'!C72</f>
        <v>1.25</v>
      </c>
      <c r="E74" s="108" t="n">
        <f aca="false">SUMIFS('مشتريات يومية'!$D$2:$D$4001,'مشتريات يومية'!$B$2:$B$4001,$B$2,'مشتريات يومية'!$C$2:$C$4001,$A74,'مشتريات يومية'!$A$2:$A$4001,"&gt;="&amp;'إعدادات المخزون'!$B$5,'مشتريات يومية'!$A$2:$A$4001,"&lt;="&amp;'إعدادات المخزون'!$B$4)</f>
        <v>14.4</v>
      </c>
      <c r="F74" s="108"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8"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8" t="n">
        <f aca="false">SUMPRODUCT('مصفوفة الاستهلاك'!$BQ$2:$BQ$172,'متجهات المبيعات'!$C$2:$C$172)/'مواد المخزون'!$D$69</f>
        <v>0</v>
      </c>
      <c r="I74" s="108"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8" t="n">
        <f aca="false">D74+E74+F74-G74-H74-I74</f>
        <v>15.65</v>
      </c>
      <c r="K74" s="36" t="str">
        <f aca="false">IF(COUNTIFS('جرد فعلي'!$B$2:$B$12001,$B$2,'جرد فعلي'!$C$2:$C$12001,$A74,'جرد فعلي'!$A$2:$A$12001,'إعدادات المخزون'!$B$4)&gt;0,"نعم","لا")</f>
        <v>لا</v>
      </c>
      <c r="L74" s="109" t="str">
        <f aca="false">IF(K74="نعم",SUMIFS('جرد فعلي'!$D$2:$D$12001,'جرد فعلي'!$B$2:$B$12001,$B$2,'جرد فعلي'!$C$2:$C$12001,$A74,'جرد فعلي'!$A$2:$A$12001,'إعدادات المخزون'!$B$4),"")</f>
        <v/>
      </c>
      <c r="M74" s="108" t="str">
        <f aca="false">IF(K74="نعم",L74-J74,"")</f>
        <v/>
      </c>
      <c r="N74" s="110" t="str">
        <f aca="false">IF(K74="نعم",IF(J74=0,IF(M74=0,0,SIGN(M74)),M74/ABS(J74)),"")</f>
        <v/>
      </c>
      <c r="O74" s="107" t="str">
        <f aca="false">IF(K74="نعم",M74*C74,"")</f>
        <v/>
      </c>
      <c r="P74" s="36" t="str">
        <f aca="false">IF(K74&lt;&gt;"نعم","لم يُجرد",IF(ABS(N74)&lt;='إعدادات المخزون'!$B$7,"مطابق",IF(M74&lt;0,"عجز","زيادة")))</f>
        <v>لم يُجرد</v>
      </c>
      <c r="Q74" s="108" t="n">
        <f aca="false">J74-Z74</f>
        <v>15.65</v>
      </c>
      <c r="R74" s="108"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8" t="str">
        <f aca="false">IF(AND(K74="نعم",R74&lt;&gt;""),(L74-J74)-(R74-Q74),"")</f>
        <v/>
      </c>
      <c r="T74" s="107" t="str">
        <f aca="false">IF(S74="","",S74*C74)</f>
        <v/>
      </c>
      <c r="U74" s="108" t="n">
        <f aca="false">IF(K74="نعم",L74,J74)</f>
        <v>15.65</v>
      </c>
      <c r="V74" s="108" t="n">
        <f aca="false">SUMPRODUCT('مصفوفة الاستهلاك'!$BQ$2:$BQ$172,'متجهات المبيعات'!$D$2:$D$172)/'مواد المخزون'!$D$69/MAX(1,MIN('إعدادات المخزون'!$B$11,'إعدادات المخزون'!$B$4-'إعدادات المخزون'!$B$5+1))</f>
        <v>0</v>
      </c>
      <c r="W74" s="108" t="n">
        <f aca="false">IF(V74&lt;=0,0,ROUNDUP(MAX(0,V74*('إعدادات المخزون'!$B$8+'إعدادات المخزون'!$B$9+'إعدادات المخزون'!$B$10)-MAX(U74,0))/'مواد المخزون'!$F69,0)*'مواد المخزون'!$F69)</f>
        <v>0</v>
      </c>
      <c r="X74" s="107" t="n">
        <f aca="false">IF(AND(K74="نعم",O74&lt;0),-O74+ROW()*0.000000001,0)</f>
        <v>0</v>
      </c>
      <c r="Y74" s="107" t="n">
        <f aca="false">IF(AND(K74="نعم",O74&gt;0),O74+ROW()*0.000000001,0)</f>
        <v>0</v>
      </c>
      <c r="Z74" s="108"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المبيعات'!$B$2:$B$172)/'مواد المخزون'!$D$69</f>
        <v>0</v>
      </c>
      <c r="AA74" s="107" t="n">
        <f aca="false">IF(K74="نعم",O74,0)</f>
        <v>0</v>
      </c>
      <c r="AB74" s="107" t="n">
        <f aca="false">IF(K74="نعم",J74*C74,0)</f>
        <v>0</v>
      </c>
      <c r="AC74" s="107"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7" t="n">
        <f aca="false">'مواد المخزون'!E70</f>
        <v>0.5</v>
      </c>
      <c r="D75" s="108" t="n">
        <f aca="false">'جرد أول المدة'!C73</f>
        <v>475</v>
      </c>
      <c r="E75" s="108" t="n">
        <f aca="false">SUMIFS('مشتريات يومية'!$D$2:$D$4001,'مشتريات يومية'!$B$2:$B$4001,$B$2,'مشتريات يومية'!$C$2:$C$4001,$A75,'مشتريات يومية'!$A$2:$A$4001,"&gt;="&amp;'إعدادات المخزون'!$B$5,'مشتريات يومية'!$A$2:$A$4001,"&lt;="&amp;'إعدادات المخزون'!$B$4)</f>
        <v>1200</v>
      </c>
      <c r="F75" s="108"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8"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8" t="n">
        <f aca="false">SUMPRODUCT('مصفوفة الاستهلاك'!$BR$2:$BR$172,'متجهات المبيعات'!$C$2:$C$172)/'مواد المخزون'!$D$70</f>
        <v>0</v>
      </c>
      <c r="I75" s="108"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8" t="n">
        <f aca="false">D75+E75+F75-G75-H75-I75</f>
        <v>1675</v>
      </c>
      <c r="K75" s="36" t="str">
        <f aca="false">IF(COUNTIFS('جرد فعلي'!$B$2:$B$12001,$B$2,'جرد فعلي'!$C$2:$C$12001,$A75,'جرد فعلي'!$A$2:$A$12001,'إعدادات المخزون'!$B$4)&gt;0,"نعم","لا")</f>
        <v>لا</v>
      </c>
      <c r="L75" s="109" t="str">
        <f aca="false">IF(K75="نعم",SUMIFS('جرد فعلي'!$D$2:$D$12001,'جرد فعلي'!$B$2:$B$12001,$B$2,'جرد فعلي'!$C$2:$C$12001,$A75,'جرد فعلي'!$A$2:$A$12001,'إعدادات المخزون'!$B$4),"")</f>
        <v/>
      </c>
      <c r="M75" s="108" t="str">
        <f aca="false">IF(K75="نعم",L75-J75,"")</f>
        <v/>
      </c>
      <c r="N75" s="110" t="str">
        <f aca="false">IF(K75="نعم",IF(J75=0,IF(M75=0,0,SIGN(M75)),M75/ABS(J75)),"")</f>
        <v/>
      </c>
      <c r="O75" s="107" t="str">
        <f aca="false">IF(K75="نعم",M75*C75,"")</f>
        <v/>
      </c>
      <c r="P75" s="36" t="str">
        <f aca="false">IF(K75&lt;&gt;"نعم","لم يُجرد",IF(ABS(N75)&lt;='إعدادات المخزون'!$B$7,"مطابق",IF(M75&lt;0,"عجز","زيادة")))</f>
        <v>لم يُجرد</v>
      </c>
      <c r="Q75" s="108" t="n">
        <f aca="false">J75-Z75</f>
        <v>1675</v>
      </c>
      <c r="R75" s="108"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8" t="str">
        <f aca="false">IF(AND(K75="نعم",R75&lt;&gt;""),(L75-J75)-(R75-Q75),"")</f>
        <v/>
      </c>
      <c r="T75" s="107" t="str">
        <f aca="false">IF(S75="","",S75*C75)</f>
        <v/>
      </c>
      <c r="U75" s="108" t="n">
        <f aca="false">IF(K75="نعم",L75,J75)</f>
        <v>1675</v>
      </c>
      <c r="V75" s="108" t="n">
        <f aca="false">SUMPRODUCT('مصفوفة الاستهلاك'!$BR$2:$BR$172,'متجهات المبيعات'!$D$2:$D$172)/'مواد المخزون'!$D$70/MAX(1,MIN('إعدادات المخزون'!$B$11,'إعدادات المخزون'!$B$4-'إعدادات المخزون'!$B$5+1))</f>
        <v>0</v>
      </c>
      <c r="W75" s="108" t="n">
        <f aca="false">IF(V75&lt;=0,0,ROUNDUP(MAX(0,V75*('إعدادات المخزون'!$B$8+'إعدادات المخزون'!$B$9+'إعدادات المخزون'!$B$10)-MAX(U75,0))/'مواد المخزون'!$F70,0)*'مواد المخزون'!$F70)</f>
        <v>0</v>
      </c>
      <c r="X75" s="107" t="n">
        <f aca="false">IF(AND(K75="نعم",O75&lt;0),-O75+ROW()*0.000000001,0)</f>
        <v>0</v>
      </c>
      <c r="Y75" s="107" t="n">
        <f aca="false">IF(AND(K75="نعم",O75&gt;0),O75+ROW()*0.000000001,0)</f>
        <v>0</v>
      </c>
      <c r="Z75" s="108"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المبيعات'!$B$2:$B$172)/'مواد المخزون'!$D$70</f>
        <v>0</v>
      </c>
      <c r="AA75" s="107" t="n">
        <f aca="false">IF(K75="نعم",O75,0)</f>
        <v>0</v>
      </c>
      <c r="AB75" s="107" t="n">
        <f aca="false">IF(K75="نعم",J75*C75,0)</f>
        <v>0</v>
      </c>
      <c r="AC75" s="107" t="n">
        <f aca="false">IF(T75="",0,T75)</f>
        <v>0</v>
      </c>
    </row>
    <row r="76" customFormat="false" ht="15" hidden="false" customHeight="false" outlineLevel="0" collapsed="false">
      <c r="A76" s="34" t="str">
        <f aca="false">'مواد المخزون'!A71</f>
        <v>كريز احمر</v>
      </c>
      <c r="B76" s="36" t="str">
        <f aca="false">'مواد المخزون'!B71</f>
        <v>كجم</v>
      </c>
      <c r="C76" s="107" t="n">
        <f aca="false">'مواد المخزون'!E71</f>
        <v>420</v>
      </c>
      <c r="D76" s="108" t="n">
        <f aca="false">'جرد أول المدة'!C74</f>
        <v>0.8</v>
      </c>
      <c r="E76" s="108" t="n">
        <f aca="false">SUMIFS('مشتريات يومية'!$D$2:$D$4001,'مشتريات يومية'!$B$2:$B$4001,$B$2,'مشتريات يومية'!$C$2:$C$4001,$A76,'مشتريات يومية'!$A$2:$A$4001,"&gt;="&amp;'إعدادات المخزون'!$B$5,'مشتريات يومية'!$A$2:$A$4001,"&lt;="&amp;'إعدادات المخزون'!$B$4)</f>
        <v>3</v>
      </c>
      <c r="F76" s="108"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8"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8" t="n">
        <f aca="false">SUMPRODUCT('مصفوفة الاستهلاك'!$BS$2:$BS$172,'متجهات المبيعات'!$C$2:$C$172)/'مواد المخزون'!$D$71</f>
        <v>0</v>
      </c>
      <c r="I76" s="108"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8" t="n">
        <f aca="false">D76+E76+F76-G76-H76-I76</f>
        <v>3.8</v>
      </c>
      <c r="K76" s="36" t="str">
        <f aca="false">IF(COUNTIFS('جرد فعلي'!$B$2:$B$12001,$B$2,'جرد فعلي'!$C$2:$C$12001,$A76,'جرد فعلي'!$A$2:$A$12001,'إعدادات المخزون'!$B$4)&gt;0,"نعم","لا")</f>
        <v>لا</v>
      </c>
      <c r="L76" s="109" t="str">
        <f aca="false">IF(K76="نعم",SUMIFS('جرد فعلي'!$D$2:$D$12001,'جرد فعلي'!$B$2:$B$12001,$B$2,'جرد فعلي'!$C$2:$C$12001,$A76,'جرد فعلي'!$A$2:$A$12001,'إعدادات المخزون'!$B$4),"")</f>
        <v/>
      </c>
      <c r="M76" s="108" t="str">
        <f aca="false">IF(K76="نعم",L76-J76,"")</f>
        <v/>
      </c>
      <c r="N76" s="110" t="str">
        <f aca="false">IF(K76="نعم",IF(J76=0,IF(M76=0,0,SIGN(M76)),M76/ABS(J76)),"")</f>
        <v/>
      </c>
      <c r="O76" s="107" t="str">
        <f aca="false">IF(K76="نعم",M76*C76,"")</f>
        <v/>
      </c>
      <c r="P76" s="36" t="str">
        <f aca="false">IF(K76&lt;&gt;"نعم","لم يُجرد",IF(ABS(N76)&lt;='إعدادات المخزون'!$B$7,"مطابق",IF(M76&lt;0,"عجز","زيادة")))</f>
        <v>لم يُجرد</v>
      </c>
      <c r="Q76" s="108" t="n">
        <f aca="false">J76-Z76</f>
        <v>3.8</v>
      </c>
      <c r="R76" s="108"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8" t="str">
        <f aca="false">IF(AND(K76="نعم",R76&lt;&gt;""),(L76-J76)-(R76-Q76),"")</f>
        <v/>
      </c>
      <c r="T76" s="107" t="str">
        <f aca="false">IF(S76="","",S76*C76)</f>
        <v/>
      </c>
      <c r="U76" s="108" t="n">
        <f aca="false">IF(K76="نعم",L76,J76)</f>
        <v>3.8</v>
      </c>
      <c r="V76" s="108" t="n">
        <f aca="false">SUMPRODUCT('مصفوفة الاستهلاك'!$BS$2:$BS$172,'متجهات المبيعات'!$D$2:$D$172)/'مواد المخزون'!$D$71/MAX(1,MIN('إعدادات المخزون'!$B$11,'إعدادات المخزون'!$B$4-'إعدادات المخزون'!$B$5+1))</f>
        <v>0</v>
      </c>
      <c r="W76" s="108" t="n">
        <f aca="false">IF(V76&lt;=0,0,ROUNDUP(MAX(0,V76*('إعدادات المخزون'!$B$8+'إعدادات المخزون'!$B$9+'إعدادات المخزون'!$B$10)-MAX(U76,0))/'مواد المخزون'!$F71,0)*'مواد المخزون'!$F71)</f>
        <v>0</v>
      </c>
      <c r="X76" s="107" t="n">
        <f aca="false">IF(AND(K76="نعم",O76&lt;0),-O76+ROW()*0.000000001,0)</f>
        <v>0</v>
      </c>
      <c r="Y76" s="107" t="n">
        <f aca="false">IF(AND(K76="نعم",O76&gt;0),O76+ROW()*0.000000001,0)</f>
        <v>0</v>
      </c>
      <c r="Z76" s="108"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المبيعات'!$B$2:$B$172)/'مواد المخزون'!$D$71</f>
        <v>0</v>
      </c>
      <c r="AA76" s="107" t="n">
        <f aca="false">IF(K76="نعم",O76,0)</f>
        <v>0</v>
      </c>
      <c r="AB76" s="107" t="n">
        <f aca="false">IF(K76="نعم",J76*C76,0)</f>
        <v>0</v>
      </c>
      <c r="AC76" s="107"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7" t="n">
        <f aca="false">'مواد المخزون'!E72</f>
        <v>2</v>
      </c>
      <c r="D77" s="108" t="n">
        <f aca="false">'جرد أول المدة'!C75</f>
        <v>190</v>
      </c>
      <c r="E77" s="108" t="n">
        <f aca="false">SUMIFS('مشتريات يومية'!$D$2:$D$4001,'مشتريات يومية'!$B$2:$B$4001,$B$2,'مشتريات يومية'!$C$2:$C$4001,$A77,'مشتريات يومية'!$A$2:$A$4001,"&gt;="&amp;'إعدادات المخزون'!$B$5,'مشتريات يومية'!$A$2:$A$4001,"&lt;="&amp;'إعدادات المخزون'!$B$4)</f>
        <v>0</v>
      </c>
      <c r="F77" s="108"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8"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8" t="n">
        <f aca="false">SUMPRODUCT('مصفوفة الاستهلاك'!$BT$2:$BT$172,'متجهات المبيعات'!$C$2:$C$172)/'مواد المخزون'!$D$72</f>
        <v>0</v>
      </c>
      <c r="I77" s="108"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8" t="n">
        <f aca="false">D77+E77+F77-G77-H77-I77</f>
        <v>190</v>
      </c>
      <c r="K77" s="36" t="str">
        <f aca="false">IF(COUNTIFS('جرد فعلي'!$B$2:$B$12001,$B$2,'جرد فعلي'!$C$2:$C$12001,$A77,'جرد فعلي'!$A$2:$A$12001,'إعدادات المخزون'!$B$4)&gt;0,"نعم","لا")</f>
        <v>لا</v>
      </c>
      <c r="L77" s="109" t="str">
        <f aca="false">IF(K77="نعم",SUMIFS('جرد فعلي'!$D$2:$D$12001,'جرد فعلي'!$B$2:$B$12001,$B$2,'جرد فعلي'!$C$2:$C$12001,$A77,'جرد فعلي'!$A$2:$A$12001,'إعدادات المخزون'!$B$4),"")</f>
        <v/>
      </c>
      <c r="M77" s="108" t="str">
        <f aca="false">IF(K77="نعم",L77-J77,"")</f>
        <v/>
      </c>
      <c r="N77" s="110" t="str">
        <f aca="false">IF(K77="نعم",IF(J77=0,IF(M77=0,0,SIGN(M77)),M77/ABS(J77)),"")</f>
        <v/>
      </c>
      <c r="O77" s="107" t="str">
        <f aca="false">IF(K77="نعم",M77*C77,"")</f>
        <v/>
      </c>
      <c r="P77" s="36" t="str">
        <f aca="false">IF(K77&lt;&gt;"نعم","لم يُجرد",IF(ABS(N77)&lt;='إعدادات المخزون'!$B$7,"مطابق",IF(M77&lt;0,"عجز","زيادة")))</f>
        <v>لم يُجرد</v>
      </c>
      <c r="Q77" s="108" t="n">
        <f aca="false">J77-Z77</f>
        <v>190</v>
      </c>
      <c r="R77" s="108"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8" t="str">
        <f aca="false">IF(AND(K77="نعم",R77&lt;&gt;""),(L77-J77)-(R77-Q77),"")</f>
        <v/>
      </c>
      <c r="T77" s="107" t="str">
        <f aca="false">IF(S77="","",S77*C77)</f>
        <v/>
      </c>
      <c r="U77" s="108" t="n">
        <f aca="false">IF(K77="نعم",L77,J77)</f>
        <v>190</v>
      </c>
      <c r="V77" s="108" t="n">
        <f aca="false">SUMPRODUCT('مصفوفة الاستهلاك'!$BT$2:$BT$172,'متجهات المبيعات'!$D$2:$D$172)/'مواد المخزون'!$D$72/MAX(1,MIN('إعدادات المخزون'!$B$11,'إعدادات المخزون'!$B$4-'إعدادات المخزون'!$B$5+1))</f>
        <v>0</v>
      </c>
      <c r="W77" s="108" t="n">
        <f aca="false">IF(V77&lt;=0,0,ROUNDUP(MAX(0,V77*('إعدادات المخزون'!$B$8+'إعدادات المخزون'!$B$9+'إعدادات المخزون'!$B$10)-MAX(U77,0))/'مواد المخزون'!$F72,0)*'مواد المخزون'!$F72)</f>
        <v>0</v>
      </c>
      <c r="X77" s="107" t="n">
        <f aca="false">IF(AND(K77="نعم",O77&lt;0),-O77+ROW()*0.000000001,0)</f>
        <v>0</v>
      </c>
      <c r="Y77" s="107" t="n">
        <f aca="false">IF(AND(K77="نعم",O77&gt;0),O77+ROW()*0.000000001,0)</f>
        <v>0</v>
      </c>
      <c r="Z77" s="108"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المبيعات'!$B$2:$B$172)/'مواد المخزون'!$D$72</f>
        <v>0</v>
      </c>
      <c r="AA77" s="107" t="n">
        <f aca="false">IF(K77="نعم",O77,0)</f>
        <v>0</v>
      </c>
      <c r="AB77" s="107" t="n">
        <f aca="false">IF(K77="نعم",J77*C77,0)</f>
        <v>0</v>
      </c>
      <c r="AC77" s="107" t="n">
        <f aca="false">IF(T77="",0,T77)</f>
        <v>0</v>
      </c>
    </row>
    <row r="78" customFormat="false" ht="15" hidden="false" customHeight="false" outlineLevel="0" collapsed="false">
      <c r="A78" s="34" t="str">
        <f aca="false">'مواد المخزون'!A73</f>
        <v>لبن</v>
      </c>
      <c r="B78" s="36" t="str">
        <f aca="false">'مواد المخزون'!B73</f>
        <v>لتر</v>
      </c>
      <c r="C78" s="107" t="n">
        <f aca="false">'مواد المخزون'!E73</f>
        <v>20.6667</v>
      </c>
      <c r="D78" s="108" t="n">
        <f aca="false">'جرد أول المدة'!C76</f>
        <v>3</v>
      </c>
      <c r="E78" s="108" t="n">
        <f aca="false">SUMIFS('مشتريات يومية'!$D$2:$D$4001,'مشتريات يومية'!$B$2:$B$4001,$B$2,'مشتريات يومية'!$C$2:$C$4001,$A78,'مشتريات يومية'!$A$2:$A$4001,"&gt;="&amp;'إعدادات المخزون'!$B$5,'مشتريات يومية'!$A$2:$A$4001,"&lt;="&amp;'إعدادات المخزون'!$B$4)</f>
        <v>110</v>
      </c>
      <c r="F78" s="108"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8"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8" t="n">
        <f aca="false">SUMPRODUCT('مصفوفة الاستهلاك'!$BU$2:$BU$172,'متجهات المبيعات'!$C$2:$C$172)/'مواد المخزون'!$D$73</f>
        <v>0</v>
      </c>
      <c r="I78" s="108"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8" t="n">
        <f aca="false">D78+E78+F78-G78-H78-I78</f>
        <v>113</v>
      </c>
      <c r="K78" s="36" t="str">
        <f aca="false">IF(COUNTIFS('جرد فعلي'!$B$2:$B$12001,$B$2,'جرد فعلي'!$C$2:$C$12001,$A78,'جرد فعلي'!$A$2:$A$12001,'إعدادات المخزون'!$B$4)&gt;0,"نعم","لا")</f>
        <v>لا</v>
      </c>
      <c r="L78" s="109" t="str">
        <f aca="false">IF(K78="نعم",SUMIFS('جرد فعلي'!$D$2:$D$12001,'جرد فعلي'!$B$2:$B$12001,$B$2,'جرد فعلي'!$C$2:$C$12001,$A78,'جرد فعلي'!$A$2:$A$12001,'إعدادات المخزون'!$B$4),"")</f>
        <v/>
      </c>
      <c r="M78" s="108" t="str">
        <f aca="false">IF(K78="نعم",L78-J78,"")</f>
        <v/>
      </c>
      <c r="N78" s="110" t="str">
        <f aca="false">IF(K78="نعم",IF(J78=0,IF(M78=0,0,SIGN(M78)),M78/ABS(J78)),"")</f>
        <v/>
      </c>
      <c r="O78" s="107" t="str">
        <f aca="false">IF(K78="نعم",M78*C78,"")</f>
        <v/>
      </c>
      <c r="P78" s="36" t="str">
        <f aca="false">IF(K78&lt;&gt;"نعم","لم يُجرد",IF(ABS(N78)&lt;='إعدادات المخزون'!$B$7,"مطابق",IF(M78&lt;0,"عجز","زيادة")))</f>
        <v>لم يُجرد</v>
      </c>
      <c r="Q78" s="108" t="n">
        <f aca="false">J78-Z78</f>
        <v>113</v>
      </c>
      <c r="R78" s="108"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8" t="str">
        <f aca="false">IF(AND(K78="نعم",R78&lt;&gt;""),(L78-J78)-(R78-Q78),"")</f>
        <v/>
      </c>
      <c r="T78" s="107" t="str">
        <f aca="false">IF(S78="","",S78*C78)</f>
        <v/>
      </c>
      <c r="U78" s="108" t="n">
        <f aca="false">IF(K78="نعم",L78,J78)</f>
        <v>113</v>
      </c>
      <c r="V78" s="108" t="n">
        <f aca="false">SUMPRODUCT('مصفوفة الاستهلاك'!$BU$2:$BU$172,'متجهات المبيعات'!$D$2:$D$172)/'مواد المخزون'!$D$73/MAX(1,MIN('إعدادات المخزون'!$B$11,'إعدادات المخزون'!$B$4-'إعدادات المخزون'!$B$5+1))</f>
        <v>0</v>
      </c>
      <c r="W78" s="108" t="n">
        <f aca="false">IF(V78&lt;=0,0,ROUNDUP(MAX(0,V78*('إعدادات المخزون'!$B$8+'إعدادات المخزون'!$B$9+'إعدادات المخزون'!$B$10)-MAX(U78,0))/'مواد المخزون'!$F73,0)*'مواد المخزون'!$F73)</f>
        <v>0</v>
      </c>
      <c r="X78" s="107" t="n">
        <f aca="false">IF(AND(K78="نعم",O78&lt;0),-O78+ROW()*0.000000001,0)</f>
        <v>0</v>
      </c>
      <c r="Y78" s="107" t="n">
        <f aca="false">IF(AND(K78="نعم",O78&gt;0),O78+ROW()*0.000000001,0)</f>
        <v>0</v>
      </c>
      <c r="Z78" s="108"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المبيعات'!$B$2:$B$172)/'مواد المخزون'!$D$73</f>
        <v>0</v>
      </c>
      <c r="AA78" s="107" t="n">
        <f aca="false">IF(K78="نعم",O78,0)</f>
        <v>0</v>
      </c>
      <c r="AB78" s="107" t="n">
        <f aca="false">IF(K78="نعم",J78*C78,0)</f>
        <v>0</v>
      </c>
      <c r="AC78" s="107"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7" t="n">
        <f aca="false">'مواد المخزون'!E74</f>
        <v>135</v>
      </c>
      <c r="D79" s="108" t="n">
        <f aca="false">'جرد أول المدة'!C77</f>
        <v>1</v>
      </c>
      <c r="E79" s="108" t="n">
        <f aca="false">SUMIFS('مشتريات يومية'!$D$2:$D$4001,'مشتريات يومية'!$B$2:$B$4001,$B$2,'مشتريات يومية'!$C$2:$C$4001,$A79,'مشتريات يومية'!$A$2:$A$4001,"&gt;="&amp;'إعدادات المخزون'!$B$5,'مشتريات يومية'!$A$2:$A$4001,"&lt;="&amp;'إعدادات المخزون'!$B$4)</f>
        <v>1</v>
      </c>
      <c r="F79" s="108"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8"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8" t="n">
        <f aca="false">SUMPRODUCT('مصفوفة الاستهلاك'!$BV$2:$BV$172,'متجهات المبيعات'!$C$2:$C$172)/'مواد المخزون'!$D$74</f>
        <v>0</v>
      </c>
      <c r="I79" s="108"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8" t="n">
        <f aca="false">D79+E79+F79-G79-H79-I79</f>
        <v>2</v>
      </c>
      <c r="K79" s="36" t="str">
        <f aca="false">IF(COUNTIFS('جرد فعلي'!$B$2:$B$12001,$B$2,'جرد فعلي'!$C$2:$C$12001,$A79,'جرد فعلي'!$A$2:$A$12001,'إعدادات المخزون'!$B$4)&gt;0,"نعم","لا")</f>
        <v>لا</v>
      </c>
      <c r="L79" s="109" t="str">
        <f aca="false">IF(K79="نعم",SUMIFS('جرد فعلي'!$D$2:$D$12001,'جرد فعلي'!$B$2:$B$12001,$B$2,'جرد فعلي'!$C$2:$C$12001,$A79,'جرد فعلي'!$A$2:$A$12001,'إعدادات المخزون'!$B$4),"")</f>
        <v/>
      </c>
      <c r="M79" s="108" t="str">
        <f aca="false">IF(K79="نعم",L79-J79,"")</f>
        <v/>
      </c>
      <c r="N79" s="110" t="str">
        <f aca="false">IF(K79="نعم",IF(J79=0,IF(M79=0,0,SIGN(M79)),M79/ABS(J79)),"")</f>
        <v/>
      </c>
      <c r="O79" s="107" t="str">
        <f aca="false">IF(K79="نعم",M79*C79,"")</f>
        <v/>
      </c>
      <c r="P79" s="36" t="str">
        <f aca="false">IF(K79&lt;&gt;"نعم","لم يُجرد",IF(ABS(N79)&lt;='إعدادات المخزون'!$B$7,"مطابق",IF(M79&lt;0,"عجز","زيادة")))</f>
        <v>لم يُجرد</v>
      </c>
      <c r="Q79" s="108" t="n">
        <f aca="false">J79-Z79</f>
        <v>2</v>
      </c>
      <c r="R79" s="108"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8" t="str">
        <f aca="false">IF(AND(K79="نعم",R79&lt;&gt;""),(L79-J79)-(R79-Q79),"")</f>
        <v/>
      </c>
      <c r="T79" s="107" t="str">
        <f aca="false">IF(S79="","",S79*C79)</f>
        <v/>
      </c>
      <c r="U79" s="108" t="n">
        <f aca="false">IF(K79="نعم",L79,J79)</f>
        <v>2</v>
      </c>
      <c r="V79" s="108" t="n">
        <f aca="false">SUMPRODUCT('مصفوفة الاستهلاك'!$BV$2:$BV$172,'متجهات المبيعات'!$D$2:$D$172)/'مواد المخزون'!$D$74/MAX(1,MIN('إعدادات المخزون'!$B$11,'إعدادات المخزون'!$B$4-'إعدادات المخزون'!$B$5+1))</f>
        <v>0</v>
      </c>
      <c r="W79" s="108" t="n">
        <f aca="false">IF(V79&lt;=0,0,ROUNDUP(MAX(0,V79*('إعدادات المخزون'!$B$8+'إعدادات المخزون'!$B$9+'إعدادات المخزون'!$B$10)-MAX(U79,0))/'مواد المخزون'!$F74,0)*'مواد المخزون'!$F74)</f>
        <v>0</v>
      </c>
      <c r="X79" s="107" t="n">
        <f aca="false">IF(AND(K79="نعم",O79&lt;0),-O79+ROW()*0.000000001,0)</f>
        <v>0</v>
      </c>
      <c r="Y79" s="107" t="n">
        <f aca="false">IF(AND(K79="نعم",O79&gt;0),O79+ROW()*0.000000001,0)</f>
        <v>0</v>
      </c>
      <c r="Z79" s="108"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المبيعات'!$B$2:$B$172)/'مواد المخزون'!$D$74</f>
        <v>0</v>
      </c>
      <c r="AA79" s="107" t="n">
        <f aca="false">IF(K79="نعم",O79,0)</f>
        <v>0</v>
      </c>
      <c r="AB79" s="107" t="n">
        <f aca="false">IF(K79="نعم",J79*C79,0)</f>
        <v>0</v>
      </c>
      <c r="AC79" s="107" t="n">
        <f aca="false">IF(T79="",0,T79)</f>
        <v>0</v>
      </c>
    </row>
    <row r="80" customFormat="false" ht="15" hidden="false" customHeight="false" outlineLevel="0" collapsed="false">
      <c r="A80" s="34" t="str">
        <f aca="false">'مواد المخزون'!A75</f>
        <v>مشروم فريش</v>
      </c>
      <c r="B80" s="36" t="str">
        <f aca="false">'مواد المخزون'!B75</f>
        <v>كجم</v>
      </c>
      <c r="C80" s="107" t="n">
        <f aca="false">'مواد المخزون'!E75</f>
        <v>151.2027</v>
      </c>
      <c r="D80" s="108" t="n">
        <f aca="false">'جرد أول المدة'!C78</f>
        <v>2.1</v>
      </c>
      <c r="E80" s="108" t="n">
        <f aca="false">SUMIFS('مشتريات يومية'!$D$2:$D$4001,'مشتريات يومية'!$B$2:$B$4001,$B$2,'مشتريات يومية'!$C$2:$C$4001,$A80,'مشتريات يومية'!$A$2:$A$4001,"&gt;="&amp;'إعدادات المخزون'!$B$5,'مشتريات يومية'!$A$2:$A$4001,"&lt;="&amp;'إعدادات المخزون'!$B$4)</f>
        <v>0</v>
      </c>
      <c r="F80" s="108"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8"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8" t="n">
        <f aca="false">SUMPRODUCT('مصفوفة الاستهلاك'!$BW$2:$BW$172,'متجهات المبيعات'!$C$2:$C$172)/'مواد المخزون'!$D$75</f>
        <v>0</v>
      </c>
      <c r="I80" s="108"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8" t="n">
        <f aca="false">D80+E80+F80-G80-H80-I80</f>
        <v>2.1</v>
      </c>
      <c r="K80" s="36" t="str">
        <f aca="false">IF(COUNTIFS('جرد فعلي'!$B$2:$B$12001,$B$2,'جرد فعلي'!$C$2:$C$12001,$A80,'جرد فعلي'!$A$2:$A$12001,'إعدادات المخزون'!$B$4)&gt;0,"نعم","لا")</f>
        <v>لا</v>
      </c>
      <c r="L80" s="109" t="str">
        <f aca="false">IF(K80="نعم",SUMIFS('جرد فعلي'!$D$2:$D$12001,'جرد فعلي'!$B$2:$B$12001,$B$2,'جرد فعلي'!$C$2:$C$12001,$A80,'جرد فعلي'!$A$2:$A$12001,'إعدادات المخزون'!$B$4),"")</f>
        <v/>
      </c>
      <c r="M80" s="108" t="str">
        <f aca="false">IF(K80="نعم",L80-J80,"")</f>
        <v/>
      </c>
      <c r="N80" s="110" t="str">
        <f aca="false">IF(K80="نعم",IF(J80=0,IF(M80=0,0,SIGN(M80)),M80/ABS(J80)),"")</f>
        <v/>
      </c>
      <c r="O80" s="107" t="str">
        <f aca="false">IF(K80="نعم",M80*C80,"")</f>
        <v/>
      </c>
      <c r="P80" s="36" t="str">
        <f aca="false">IF(K80&lt;&gt;"نعم","لم يُجرد",IF(ABS(N80)&lt;='إعدادات المخزون'!$B$7,"مطابق",IF(M80&lt;0,"عجز","زيادة")))</f>
        <v>لم يُجرد</v>
      </c>
      <c r="Q80" s="108" t="n">
        <f aca="false">J80-Z80</f>
        <v>2.1</v>
      </c>
      <c r="R80" s="108"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8" t="str">
        <f aca="false">IF(AND(K80="نعم",R80&lt;&gt;""),(L80-J80)-(R80-Q80),"")</f>
        <v/>
      </c>
      <c r="T80" s="107" t="str">
        <f aca="false">IF(S80="","",S80*C80)</f>
        <v/>
      </c>
      <c r="U80" s="108" t="n">
        <f aca="false">IF(K80="نعم",L80,J80)</f>
        <v>2.1</v>
      </c>
      <c r="V80" s="108" t="n">
        <f aca="false">SUMPRODUCT('مصفوفة الاستهلاك'!$BW$2:$BW$172,'متجهات المبيعات'!$D$2:$D$172)/'مواد المخزون'!$D$75/MAX(1,MIN('إعدادات المخزون'!$B$11,'إعدادات المخزون'!$B$4-'إعدادات المخزون'!$B$5+1))</f>
        <v>0</v>
      </c>
      <c r="W80" s="108" t="n">
        <f aca="false">IF(V80&lt;=0,0,ROUNDUP(MAX(0,V80*('إعدادات المخزون'!$B$8+'إعدادات المخزون'!$B$9+'إعدادات المخزون'!$B$10)-MAX(U80,0))/'مواد المخزون'!$F75,0)*'مواد المخزون'!$F75)</f>
        <v>0</v>
      </c>
      <c r="X80" s="107" t="n">
        <f aca="false">IF(AND(K80="نعم",O80&lt;0),-O80+ROW()*0.000000001,0)</f>
        <v>0</v>
      </c>
      <c r="Y80" s="107" t="n">
        <f aca="false">IF(AND(K80="نعم",O80&gt;0),O80+ROW()*0.000000001,0)</f>
        <v>0</v>
      </c>
      <c r="Z80" s="108"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المبيعات'!$B$2:$B$172)/'مواد المخزون'!$D$75</f>
        <v>0</v>
      </c>
      <c r="AA80" s="107" t="n">
        <f aca="false">IF(K80="نعم",O80,0)</f>
        <v>0</v>
      </c>
      <c r="AB80" s="107" t="n">
        <f aca="false">IF(K80="نعم",J80*C80,0)</f>
        <v>0</v>
      </c>
      <c r="AC80" s="107" t="n">
        <f aca="false">IF(T80="",0,T80)</f>
        <v>0</v>
      </c>
    </row>
    <row r="81" customFormat="false" ht="15" hidden="false" customHeight="false" outlineLevel="0" collapsed="false">
      <c r="A81" s="34" t="str">
        <f aca="false">'مواد المخزون'!A76</f>
        <v>مكرونة خام</v>
      </c>
      <c r="B81" s="36" t="str">
        <f aca="false">'مواد المخزون'!B76</f>
        <v>كجم</v>
      </c>
      <c r="C81" s="107" t="n">
        <f aca="false">'مواد المخزون'!E76</f>
        <v>24</v>
      </c>
      <c r="D81" s="108" t="n">
        <f aca="false">'جرد أول المدة'!C79</f>
        <v>25</v>
      </c>
      <c r="E81" s="108" t="n">
        <f aca="false">SUMIFS('مشتريات يومية'!$D$2:$D$4001,'مشتريات يومية'!$B$2:$B$4001,$B$2,'مشتريات يومية'!$C$2:$C$4001,$A81,'مشتريات يومية'!$A$2:$A$4001,"&gt;="&amp;'إعدادات المخزون'!$B$5,'مشتريات يومية'!$A$2:$A$4001,"&lt;="&amp;'إعدادات المخزون'!$B$4)</f>
        <v>10</v>
      </c>
      <c r="F81" s="108"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8"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8" t="n">
        <f aca="false">SUMPRODUCT('مصفوفة الاستهلاك'!$BX$2:$BX$172,'متجهات المبيعات'!$C$2:$C$172)/'مواد المخزون'!$D$76</f>
        <v>0</v>
      </c>
      <c r="I81" s="108"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8" t="n">
        <f aca="false">D81+E81+F81-G81-H81-I81</f>
        <v>35</v>
      </c>
      <c r="K81" s="36" t="str">
        <f aca="false">IF(COUNTIFS('جرد فعلي'!$B$2:$B$12001,$B$2,'جرد فعلي'!$C$2:$C$12001,$A81,'جرد فعلي'!$A$2:$A$12001,'إعدادات المخزون'!$B$4)&gt;0,"نعم","لا")</f>
        <v>لا</v>
      </c>
      <c r="L81" s="109" t="str">
        <f aca="false">IF(K81="نعم",SUMIFS('جرد فعلي'!$D$2:$D$12001,'جرد فعلي'!$B$2:$B$12001,$B$2,'جرد فعلي'!$C$2:$C$12001,$A81,'جرد فعلي'!$A$2:$A$12001,'إعدادات المخزون'!$B$4),"")</f>
        <v/>
      </c>
      <c r="M81" s="108" t="str">
        <f aca="false">IF(K81="نعم",L81-J81,"")</f>
        <v/>
      </c>
      <c r="N81" s="110" t="str">
        <f aca="false">IF(K81="نعم",IF(J81=0,IF(M81=0,0,SIGN(M81)),M81/ABS(J81)),"")</f>
        <v/>
      </c>
      <c r="O81" s="107" t="str">
        <f aca="false">IF(K81="نعم",M81*C81,"")</f>
        <v/>
      </c>
      <c r="P81" s="36" t="str">
        <f aca="false">IF(K81&lt;&gt;"نعم","لم يُجرد",IF(ABS(N81)&lt;='إعدادات المخزون'!$B$7,"مطابق",IF(M81&lt;0,"عجز","زيادة")))</f>
        <v>لم يُجرد</v>
      </c>
      <c r="Q81" s="108" t="n">
        <f aca="false">J81-Z81</f>
        <v>35</v>
      </c>
      <c r="R81" s="108"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8" t="str">
        <f aca="false">IF(AND(K81="نعم",R81&lt;&gt;""),(L81-J81)-(R81-Q81),"")</f>
        <v/>
      </c>
      <c r="T81" s="107" t="str">
        <f aca="false">IF(S81="","",S81*C81)</f>
        <v/>
      </c>
      <c r="U81" s="108" t="n">
        <f aca="false">IF(K81="نعم",L81,J81)</f>
        <v>35</v>
      </c>
      <c r="V81" s="108" t="n">
        <f aca="false">SUMPRODUCT('مصفوفة الاستهلاك'!$BX$2:$BX$172,'متجهات المبيعات'!$D$2:$D$172)/'مواد المخزون'!$D$76/MAX(1,MIN('إعدادات المخزون'!$B$11,'إعدادات المخزون'!$B$4-'إعدادات المخزون'!$B$5+1))</f>
        <v>0</v>
      </c>
      <c r="W81" s="108" t="n">
        <f aca="false">IF(V81&lt;=0,0,ROUNDUP(MAX(0,V81*('إعدادات المخزون'!$B$8+'إعدادات المخزون'!$B$9+'إعدادات المخزون'!$B$10)-MAX(U81,0))/'مواد المخزون'!$F76,0)*'مواد المخزون'!$F76)</f>
        <v>0</v>
      </c>
      <c r="X81" s="107" t="n">
        <f aca="false">IF(AND(K81="نعم",O81&lt;0),-O81+ROW()*0.000000001,0)</f>
        <v>0</v>
      </c>
      <c r="Y81" s="107" t="n">
        <f aca="false">IF(AND(K81="نعم",O81&gt;0),O81+ROW()*0.000000001,0)</f>
        <v>0</v>
      </c>
      <c r="Z81" s="108"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المبيعات'!$B$2:$B$172)/'مواد المخزون'!$D$76</f>
        <v>0</v>
      </c>
      <c r="AA81" s="107" t="n">
        <f aca="false">IF(K81="نعم",O81,0)</f>
        <v>0</v>
      </c>
      <c r="AB81" s="107" t="n">
        <f aca="false">IF(K81="نعم",J81*C81,0)</f>
        <v>0</v>
      </c>
      <c r="AC81" s="107"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7" t="n">
        <f aca="false">'مواد المخزون'!E77</f>
        <v>610</v>
      </c>
      <c r="D82" s="108" t="n">
        <f aca="false">'جرد أول المدة'!C80</f>
        <v>1.25</v>
      </c>
      <c r="E82" s="108" t="n">
        <f aca="false">SUMIFS('مشتريات يومية'!$D$2:$D$4001,'مشتريات يومية'!$B$2:$B$4001,$B$2,'مشتريات يومية'!$C$2:$C$4001,$A82,'مشتريات يومية'!$A$2:$A$4001,"&gt;="&amp;'إعدادات المخزون'!$B$5,'مشتريات يومية'!$A$2:$A$4001,"&lt;="&amp;'إعدادات المخزون'!$B$4)</f>
        <v>1</v>
      </c>
      <c r="F82" s="108"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8"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8" t="n">
        <f aca="false">SUMPRODUCT('مصفوفة الاستهلاك'!$BY$2:$BY$172,'متجهات المبيعات'!$C$2:$C$172)/'مواد المخزون'!$D$77</f>
        <v>0</v>
      </c>
      <c r="I82" s="108"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8" t="n">
        <f aca="false">D82+E82+F82-G82-H82-I82</f>
        <v>2.25</v>
      </c>
      <c r="K82" s="36" t="str">
        <f aca="false">IF(COUNTIFS('جرد فعلي'!$B$2:$B$12001,$B$2,'جرد فعلي'!$C$2:$C$12001,$A82,'جرد فعلي'!$A$2:$A$12001,'إعدادات المخزون'!$B$4)&gt;0,"نعم","لا")</f>
        <v>لا</v>
      </c>
      <c r="L82" s="109" t="str">
        <f aca="false">IF(K82="نعم",SUMIFS('جرد فعلي'!$D$2:$D$12001,'جرد فعلي'!$B$2:$B$12001,$B$2,'جرد فعلي'!$C$2:$C$12001,$A82,'جرد فعلي'!$A$2:$A$12001,'إعدادات المخزون'!$B$4),"")</f>
        <v/>
      </c>
      <c r="M82" s="108" t="str">
        <f aca="false">IF(K82="نعم",L82-J82,"")</f>
        <v/>
      </c>
      <c r="N82" s="110" t="str">
        <f aca="false">IF(K82="نعم",IF(J82=0,IF(M82=0,0,SIGN(M82)),M82/ABS(J82)),"")</f>
        <v/>
      </c>
      <c r="O82" s="107" t="str">
        <f aca="false">IF(K82="نعم",M82*C82,"")</f>
        <v/>
      </c>
      <c r="P82" s="36" t="str">
        <f aca="false">IF(K82&lt;&gt;"نعم","لم يُجرد",IF(ABS(N82)&lt;='إعدادات المخزون'!$B$7,"مطابق",IF(M82&lt;0,"عجز","زيادة")))</f>
        <v>لم يُجرد</v>
      </c>
      <c r="Q82" s="108" t="n">
        <f aca="false">J82-Z82</f>
        <v>2.25</v>
      </c>
      <c r="R82" s="108"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8" t="str">
        <f aca="false">IF(AND(K82="نعم",R82&lt;&gt;""),(L82-J82)-(R82-Q82),"")</f>
        <v/>
      </c>
      <c r="T82" s="107" t="str">
        <f aca="false">IF(S82="","",S82*C82)</f>
        <v/>
      </c>
      <c r="U82" s="108" t="n">
        <f aca="false">IF(K82="نعم",L82,J82)</f>
        <v>2.25</v>
      </c>
      <c r="V82" s="108" t="n">
        <f aca="false">SUMPRODUCT('مصفوفة الاستهلاك'!$BY$2:$BY$172,'متجهات المبيعات'!$D$2:$D$172)/'مواد المخزون'!$D$77/MAX(1,MIN('إعدادات المخزون'!$B$11,'إعدادات المخزون'!$B$4-'إعدادات المخزون'!$B$5+1))</f>
        <v>0</v>
      </c>
      <c r="W82" s="108" t="n">
        <f aca="false">IF(V82&lt;=0,0,ROUNDUP(MAX(0,V82*('إعدادات المخزون'!$B$8+'إعدادات المخزون'!$B$9+'إعدادات المخزون'!$B$10)-MAX(U82,0))/'مواد المخزون'!$F77,0)*'مواد المخزون'!$F77)</f>
        <v>0</v>
      </c>
      <c r="X82" s="107" t="n">
        <f aca="false">IF(AND(K82="نعم",O82&lt;0),-O82+ROW()*0.000000001,0)</f>
        <v>0</v>
      </c>
      <c r="Y82" s="107" t="n">
        <f aca="false">IF(AND(K82="نعم",O82&gt;0),O82+ROW()*0.000000001,0)</f>
        <v>0</v>
      </c>
      <c r="Z82" s="108"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المبيعات'!$B$2:$B$172)/'مواد المخزون'!$D$77</f>
        <v>0</v>
      </c>
      <c r="AA82" s="107" t="n">
        <f aca="false">IF(K82="نعم",O82,0)</f>
        <v>0</v>
      </c>
      <c r="AB82" s="107" t="n">
        <f aca="false">IF(K82="نعم",J82*C82,0)</f>
        <v>0</v>
      </c>
      <c r="AC82" s="107"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7" t="n">
        <f aca="false">'مواد المخزون'!E78</f>
        <v>45.8125</v>
      </c>
      <c r="D83" s="108" t="n">
        <f aca="false">'جرد أول المدة'!C81</f>
        <v>40</v>
      </c>
      <c r="E83" s="108" t="n">
        <f aca="false">SUMIFS('مشتريات يومية'!$D$2:$D$4001,'مشتريات يومية'!$B$2:$B$4001,$B$2,'مشتريات يومية'!$C$2:$C$4001,$A83,'مشتريات يومية'!$A$2:$A$4001,"&gt;="&amp;'إعدادات المخزون'!$B$5,'مشتريات يومية'!$A$2:$A$4001,"&lt;="&amp;'إعدادات المخزون'!$B$4)</f>
        <v>1</v>
      </c>
      <c r="F83" s="108"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8"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8" t="n">
        <f aca="false">SUMPRODUCT('مصفوفة الاستهلاك'!$BZ$2:$BZ$172,'متجهات المبيعات'!$C$2:$C$172)/'مواد المخزون'!$D$78</f>
        <v>0</v>
      </c>
      <c r="I83" s="108"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8" t="n">
        <f aca="false">D83+E83+F83-G83-H83-I83</f>
        <v>41</v>
      </c>
      <c r="K83" s="36" t="str">
        <f aca="false">IF(COUNTIFS('جرد فعلي'!$B$2:$B$12001,$B$2,'جرد فعلي'!$C$2:$C$12001,$A83,'جرد فعلي'!$A$2:$A$12001,'إعدادات المخزون'!$B$4)&gt;0,"نعم","لا")</f>
        <v>لا</v>
      </c>
      <c r="L83" s="109" t="str">
        <f aca="false">IF(K83="نعم",SUMIFS('جرد فعلي'!$D$2:$D$12001,'جرد فعلي'!$B$2:$B$12001,$B$2,'جرد فعلي'!$C$2:$C$12001,$A83,'جرد فعلي'!$A$2:$A$12001,'إعدادات المخزون'!$B$4),"")</f>
        <v/>
      </c>
      <c r="M83" s="108" t="str">
        <f aca="false">IF(K83="نعم",L83-J83,"")</f>
        <v/>
      </c>
      <c r="N83" s="110" t="str">
        <f aca="false">IF(K83="نعم",IF(J83=0,IF(M83=0,0,SIGN(M83)),M83/ABS(J83)),"")</f>
        <v/>
      </c>
      <c r="O83" s="107" t="str">
        <f aca="false">IF(K83="نعم",M83*C83,"")</f>
        <v/>
      </c>
      <c r="P83" s="36" t="str">
        <f aca="false">IF(K83&lt;&gt;"نعم","لم يُجرد",IF(ABS(N83)&lt;='إعدادات المخزون'!$B$7,"مطابق",IF(M83&lt;0,"عجز","زيادة")))</f>
        <v>لم يُجرد</v>
      </c>
      <c r="Q83" s="108" t="n">
        <f aca="false">J83-Z83</f>
        <v>41</v>
      </c>
      <c r="R83" s="108"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8" t="str">
        <f aca="false">IF(AND(K83="نعم",R83&lt;&gt;""),(L83-J83)-(R83-Q83),"")</f>
        <v/>
      </c>
      <c r="T83" s="107" t="str">
        <f aca="false">IF(S83="","",S83*C83)</f>
        <v/>
      </c>
      <c r="U83" s="108" t="n">
        <f aca="false">IF(K83="نعم",L83,J83)</f>
        <v>41</v>
      </c>
      <c r="V83" s="108" t="n">
        <f aca="false">SUMPRODUCT('مصفوفة الاستهلاك'!$BZ$2:$BZ$172,'متجهات المبيعات'!$D$2:$D$172)/'مواد المخزون'!$D$78/MAX(1,MIN('إعدادات المخزون'!$B$11,'إعدادات المخزون'!$B$4-'إعدادات المخزون'!$B$5+1))</f>
        <v>0</v>
      </c>
      <c r="W83" s="108" t="n">
        <f aca="false">IF(V83&lt;=0,0,ROUNDUP(MAX(0,V83*('إعدادات المخزون'!$B$8+'إعدادات المخزون'!$B$9+'إعدادات المخزون'!$B$10)-MAX(U83,0))/'مواد المخزون'!$F78,0)*'مواد المخزون'!$F78)</f>
        <v>0</v>
      </c>
      <c r="X83" s="107" t="n">
        <f aca="false">IF(AND(K83="نعم",O83&lt;0),-O83+ROW()*0.000000001,0)</f>
        <v>0</v>
      </c>
      <c r="Y83" s="107" t="n">
        <f aca="false">IF(AND(K83="نعم",O83&gt;0),O83+ROW()*0.000000001,0)</f>
        <v>0</v>
      </c>
      <c r="Z83" s="108"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المبيعات'!$B$2:$B$172)/'مواد المخزون'!$D$78</f>
        <v>0</v>
      </c>
      <c r="AA83" s="107" t="n">
        <f aca="false">IF(K83="نعم",O83,0)</f>
        <v>0</v>
      </c>
      <c r="AB83" s="107" t="n">
        <f aca="false">IF(K83="نعم",J83*C83,0)</f>
        <v>0</v>
      </c>
      <c r="AC83" s="107"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7" t="n">
        <f aca="false">'مواد المخزون'!E79</f>
        <v>200</v>
      </c>
      <c r="D84" s="108" t="n">
        <f aca="false">'جرد أول المدة'!C82</f>
        <v>1</v>
      </c>
      <c r="E84" s="108" t="n">
        <f aca="false">SUMIFS('مشتريات يومية'!$D$2:$D$4001,'مشتريات يومية'!$B$2:$B$4001,$B$2,'مشتريات يومية'!$C$2:$C$4001,$A84,'مشتريات يومية'!$A$2:$A$4001,"&gt;="&amp;'إعدادات المخزون'!$B$5,'مشتريات يومية'!$A$2:$A$4001,"&lt;="&amp;'إعدادات المخزون'!$B$4)</f>
        <v>2.5</v>
      </c>
      <c r="F84" s="108"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8"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8" t="n">
        <f aca="false">SUMPRODUCT('مصفوفة الاستهلاك'!$CA$2:$CA$172,'متجهات المبيعات'!$C$2:$C$172)/'مواد المخزون'!$D$79</f>
        <v>0</v>
      </c>
      <c r="I84" s="108"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8" t="n">
        <f aca="false">D84+E84+F84-G84-H84-I84</f>
        <v>3.5</v>
      </c>
      <c r="K84" s="36" t="str">
        <f aca="false">IF(COUNTIFS('جرد فعلي'!$B$2:$B$12001,$B$2,'جرد فعلي'!$C$2:$C$12001,$A84,'جرد فعلي'!$A$2:$A$12001,'إعدادات المخزون'!$B$4)&gt;0,"نعم","لا")</f>
        <v>لا</v>
      </c>
      <c r="L84" s="109" t="str">
        <f aca="false">IF(K84="نعم",SUMIFS('جرد فعلي'!$D$2:$D$12001,'جرد فعلي'!$B$2:$B$12001,$B$2,'جرد فعلي'!$C$2:$C$12001,$A84,'جرد فعلي'!$A$2:$A$12001,'إعدادات المخزون'!$B$4),"")</f>
        <v/>
      </c>
      <c r="M84" s="108" t="str">
        <f aca="false">IF(K84="نعم",L84-J84,"")</f>
        <v/>
      </c>
      <c r="N84" s="110" t="str">
        <f aca="false">IF(K84="نعم",IF(J84=0,IF(M84=0,0,SIGN(M84)),M84/ABS(J84)),"")</f>
        <v/>
      </c>
      <c r="O84" s="107" t="str">
        <f aca="false">IF(K84="نعم",M84*C84,"")</f>
        <v/>
      </c>
      <c r="P84" s="36" t="str">
        <f aca="false">IF(K84&lt;&gt;"نعم","لم يُجرد",IF(ABS(N84)&lt;='إعدادات المخزون'!$B$7,"مطابق",IF(M84&lt;0,"عجز","زيادة")))</f>
        <v>لم يُجرد</v>
      </c>
      <c r="Q84" s="108" t="n">
        <f aca="false">J84-Z84</f>
        <v>3.5</v>
      </c>
      <c r="R84" s="108"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8" t="str">
        <f aca="false">IF(AND(K84="نعم",R84&lt;&gt;""),(L84-J84)-(R84-Q84),"")</f>
        <v/>
      </c>
      <c r="T84" s="107" t="str">
        <f aca="false">IF(S84="","",S84*C84)</f>
        <v/>
      </c>
      <c r="U84" s="108" t="n">
        <f aca="false">IF(K84="نعم",L84,J84)</f>
        <v>3.5</v>
      </c>
      <c r="V84" s="108" t="n">
        <f aca="false">SUMPRODUCT('مصفوفة الاستهلاك'!$CA$2:$CA$172,'متجهات المبيعات'!$D$2:$D$172)/'مواد المخزون'!$D$79/MAX(1,MIN('إعدادات المخزون'!$B$11,'إعدادات المخزون'!$B$4-'إعدادات المخزون'!$B$5+1))</f>
        <v>0</v>
      </c>
      <c r="W84" s="108" t="n">
        <f aca="false">IF(V84&lt;=0,0,ROUNDUP(MAX(0,V84*('إعدادات المخزون'!$B$8+'إعدادات المخزون'!$B$9+'إعدادات المخزون'!$B$10)-MAX(U84,0))/'مواد المخزون'!$F79,0)*'مواد المخزون'!$F79)</f>
        <v>0</v>
      </c>
      <c r="X84" s="107" t="n">
        <f aca="false">IF(AND(K84="نعم",O84&lt;0),-O84+ROW()*0.000000001,0)</f>
        <v>0</v>
      </c>
      <c r="Y84" s="107" t="n">
        <f aca="false">IF(AND(K84="نعم",O84&gt;0),O84+ROW()*0.000000001,0)</f>
        <v>0</v>
      </c>
      <c r="Z84" s="108"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المبيعات'!$B$2:$B$172)/'مواد المخزون'!$D$79</f>
        <v>0</v>
      </c>
      <c r="AA84" s="107" t="n">
        <f aca="false">IF(K84="نعم",O84,0)</f>
        <v>0</v>
      </c>
      <c r="AB84" s="107" t="n">
        <f aca="false">IF(K84="نعم",J84*C84,0)</f>
        <v>0</v>
      </c>
      <c r="AC84" s="107"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7" t="n">
        <f aca="false">'مواد المخزون'!E80</f>
        <v>4.47</v>
      </c>
      <c r="D85" s="108" t="n">
        <f aca="false">'جرد أول المدة'!C83</f>
        <v>1190</v>
      </c>
      <c r="E85" s="108" t="n">
        <f aca="false">SUMIFS('مشتريات يومية'!$D$2:$D$4001,'مشتريات يومية'!$B$2:$B$4001,$B$2,'مشتريات يومية'!$C$2:$C$4001,$A85,'مشتريات يومية'!$A$2:$A$4001,"&gt;="&amp;'إعدادات المخزون'!$B$5,'مشتريات يومية'!$A$2:$A$4001,"&lt;="&amp;'إعدادات المخزون'!$B$4)</f>
        <v>0</v>
      </c>
      <c r="F85" s="108"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8"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8" t="n">
        <f aca="false">SUMPRODUCT('مصفوفة الاستهلاك'!$CB$2:$CB$172,'متجهات المبيعات'!$C$2:$C$172)/'مواد المخزون'!$D$80</f>
        <v>0</v>
      </c>
      <c r="I85" s="108"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8" t="n">
        <f aca="false">D85+E85+F85-G85-H85-I85</f>
        <v>1190</v>
      </c>
      <c r="K85" s="36" t="str">
        <f aca="false">IF(COUNTIFS('جرد فعلي'!$B$2:$B$12001,$B$2,'جرد فعلي'!$C$2:$C$12001,$A85,'جرد فعلي'!$A$2:$A$12001,'إعدادات المخزون'!$B$4)&gt;0,"نعم","لا")</f>
        <v>لا</v>
      </c>
      <c r="L85" s="109" t="str">
        <f aca="false">IF(K85="نعم",SUMIFS('جرد فعلي'!$D$2:$D$12001,'جرد فعلي'!$B$2:$B$12001,$B$2,'جرد فعلي'!$C$2:$C$12001,$A85,'جرد فعلي'!$A$2:$A$12001,'إعدادات المخزون'!$B$4),"")</f>
        <v/>
      </c>
      <c r="M85" s="108" t="str">
        <f aca="false">IF(K85="نعم",L85-J85,"")</f>
        <v/>
      </c>
      <c r="N85" s="110" t="str">
        <f aca="false">IF(K85="نعم",IF(J85=0,IF(M85=0,0,SIGN(M85)),M85/ABS(J85)),"")</f>
        <v/>
      </c>
      <c r="O85" s="107" t="str">
        <f aca="false">IF(K85="نعم",M85*C85,"")</f>
        <v/>
      </c>
      <c r="P85" s="36" t="str">
        <f aca="false">IF(K85&lt;&gt;"نعم","لم يُجرد",IF(ABS(N85)&lt;='إعدادات المخزون'!$B$7,"مطابق",IF(M85&lt;0,"عجز","زيادة")))</f>
        <v>لم يُجرد</v>
      </c>
      <c r="Q85" s="108" t="n">
        <f aca="false">J85-Z85</f>
        <v>1190</v>
      </c>
      <c r="R85" s="108"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8" t="str">
        <f aca="false">IF(AND(K85="نعم",R85&lt;&gt;""),(L85-J85)-(R85-Q85),"")</f>
        <v/>
      </c>
      <c r="T85" s="107" t="str">
        <f aca="false">IF(S85="","",S85*C85)</f>
        <v/>
      </c>
      <c r="U85" s="108" t="n">
        <f aca="false">IF(K85="نعم",L85,J85)</f>
        <v>1190</v>
      </c>
      <c r="V85" s="108" t="n">
        <f aca="false">SUMPRODUCT('مصفوفة الاستهلاك'!$CB$2:$CB$172,'متجهات المبيعات'!$D$2:$D$172)/'مواد المخزون'!$D$80/MAX(1,MIN('إعدادات المخزون'!$B$11,'إعدادات المخزون'!$B$4-'إعدادات المخزون'!$B$5+1))</f>
        <v>0</v>
      </c>
      <c r="W85" s="108" t="n">
        <f aca="false">IF(V85&lt;=0,0,ROUNDUP(MAX(0,V85*('إعدادات المخزون'!$B$8+'إعدادات المخزون'!$B$9+'إعدادات المخزون'!$B$10)-MAX(U85,0))/'مواد المخزون'!$F80,0)*'مواد المخزون'!$F80)</f>
        <v>0</v>
      </c>
      <c r="X85" s="107" t="n">
        <f aca="false">IF(AND(K85="نعم",O85&lt;0),-O85+ROW()*0.000000001,0)</f>
        <v>0</v>
      </c>
      <c r="Y85" s="107" t="n">
        <f aca="false">IF(AND(K85="نعم",O85&gt;0),O85+ROW()*0.000000001,0)</f>
        <v>0</v>
      </c>
      <c r="Z85" s="108"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المبيعات'!$B$2:$B$172)/'مواد المخزون'!$D$80</f>
        <v>0</v>
      </c>
      <c r="AA85" s="107" t="n">
        <f aca="false">IF(K85="نعم",O85,0)</f>
        <v>0</v>
      </c>
      <c r="AB85" s="107" t="n">
        <f aca="false">IF(K85="نعم",J85*C85,0)</f>
        <v>0</v>
      </c>
      <c r="AC85" s="107"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7" t="n">
        <f aca="false">'مواد المخزون'!E81</f>
        <v>220.02</v>
      </c>
      <c r="D86" s="108" t="n">
        <f aca="false">'جرد أول المدة'!C84</f>
        <v>-1.98</v>
      </c>
      <c r="E86" s="108" t="n">
        <f aca="false">SUMIFS('مشتريات يومية'!$D$2:$D$4001,'مشتريات يومية'!$B$2:$B$4001,$B$2,'مشتريات يومية'!$C$2:$C$4001,$A86,'مشتريات يومية'!$A$2:$A$4001,"&gt;="&amp;'إعدادات المخزون'!$B$5,'مشتريات يومية'!$A$2:$A$4001,"&lt;="&amp;'إعدادات المخزون'!$B$4)</f>
        <v>0</v>
      </c>
      <c r="F86" s="108"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8"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8" t="n">
        <f aca="false">SUMPRODUCT('مصفوفة الاستهلاك'!$CC$2:$CC$172,'متجهات المبيعات'!$C$2:$C$172)/'مواد المخزون'!$D$81</f>
        <v>0</v>
      </c>
      <c r="I86" s="108"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8" t="n">
        <f aca="false">D86+E86+F86-G86-H86-I86</f>
        <v>-1.98</v>
      </c>
      <c r="K86" s="36" t="str">
        <f aca="false">IF(COUNTIFS('جرد فعلي'!$B$2:$B$12001,$B$2,'جرد فعلي'!$C$2:$C$12001,$A86,'جرد فعلي'!$A$2:$A$12001,'إعدادات المخزون'!$B$4)&gt;0,"نعم","لا")</f>
        <v>لا</v>
      </c>
      <c r="L86" s="109" t="str">
        <f aca="false">IF(K86="نعم",SUMIFS('جرد فعلي'!$D$2:$D$12001,'جرد فعلي'!$B$2:$B$12001,$B$2,'جرد فعلي'!$C$2:$C$12001,$A86,'جرد فعلي'!$A$2:$A$12001,'إعدادات المخزون'!$B$4),"")</f>
        <v/>
      </c>
      <c r="M86" s="108" t="str">
        <f aca="false">IF(K86="نعم",L86-J86,"")</f>
        <v/>
      </c>
      <c r="N86" s="110" t="str">
        <f aca="false">IF(K86="نعم",IF(J86=0,IF(M86=0,0,SIGN(M86)),M86/ABS(J86)),"")</f>
        <v/>
      </c>
      <c r="O86" s="107" t="str">
        <f aca="false">IF(K86="نعم",M86*C86,"")</f>
        <v/>
      </c>
      <c r="P86" s="36" t="str">
        <f aca="false">IF(K86&lt;&gt;"نعم","لم يُجرد",IF(ABS(N86)&lt;='إعدادات المخزون'!$B$7,"مطابق",IF(M86&lt;0,"عجز","زيادة")))</f>
        <v>لم يُجرد</v>
      </c>
      <c r="Q86" s="108" t="n">
        <f aca="false">J86-Z86</f>
        <v>-1.98</v>
      </c>
      <c r="R86" s="108"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8" t="str">
        <f aca="false">IF(AND(K86="نعم",R86&lt;&gt;""),(L86-J86)-(R86-Q86),"")</f>
        <v/>
      </c>
      <c r="T86" s="107" t="str">
        <f aca="false">IF(S86="","",S86*C86)</f>
        <v/>
      </c>
      <c r="U86" s="108" t="n">
        <f aca="false">IF(K86="نعم",L86,J86)</f>
        <v>-1.98</v>
      </c>
      <c r="V86" s="108" t="n">
        <f aca="false">SUMPRODUCT('مصفوفة الاستهلاك'!$CC$2:$CC$172,'متجهات المبيعات'!$D$2:$D$172)/'مواد المخزون'!$D$81/MAX(1,MIN('إعدادات المخزون'!$B$11,'إعدادات المخزون'!$B$4-'إعدادات المخزون'!$B$5+1))</f>
        <v>0</v>
      </c>
      <c r="W86" s="108" t="n">
        <f aca="false">IF(V86&lt;=0,0,ROUNDUP(MAX(0,V86*('إعدادات المخزون'!$B$8+'إعدادات المخزون'!$B$9+'إعدادات المخزون'!$B$10)-MAX(U86,0))/'مواد المخزون'!$F81,0)*'مواد المخزون'!$F81)</f>
        <v>0</v>
      </c>
      <c r="X86" s="107" t="n">
        <f aca="false">IF(AND(K86="نعم",O86&lt;0),-O86+ROW()*0.000000001,0)</f>
        <v>0</v>
      </c>
      <c r="Y86" s="107" t="n">
        <f aca="false">IF(AND(K86="نعم",O86&gt;0),O86+ROW()*0.000000001,0)</f>
        <v>0</v>
      </c>
      <c r="Z86" s="108"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المبيعات'!$B$2:$B$172)/'مواد المخزون'!$D$81</f>
        <v>0</v>
      </c>
      <c r="AA86" s="107" t="n">
        <f aca="false">IF(K86="نعم",O86,0)</f>
        <v>0</v>
      </c>
      <c r="AB86" s="107" t="n">
        <f aca="false">IF(K86="نعم",J86*C86,0)</f>
        <v>0</v>
      </c>
      <c r="AC86" s="107"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7" t="n">
        <f aca="false">'مواد المخزون'!E82</f>
        <v>219.23</v>
      </c>
      <c r="D87" s="108" t="n">
        <f aca="false">'جرد أول المدة'!C85</f>
        <v>0</v>
      </c>
      <c r="E87" s="108" t="n">
        <f aca="false">SUMIFS('مشتريات يومية'!$D$2:$D$4001,'مشتريات يومية'!$B$2:$B$4001,$B$2,'مشتريات يومية'!$C$2:$C$4001,$A87,'مشتريات يومية'!$A$2:$A$4001,"&gt;="&amp;'إعدادات المخزون'!$B$5,'مشتريات يومية'!$A$2:$A$4001,"&lt;="&amp;'إعدادات المخزون'!$B$4)</f>
        <v>0</v>
      </c>
      <c r="F87" s="108"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8"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8" t="n">
        <f aca="false">SUMPRODUCT('مصفوفة الاستهلاك'!$CD$2:$CD$172,'متجهات المبيعات'!$C$2:$C$172)/'مواد المخزون'!$D$82</f>
        <v>0</v>
      </c>
      <c r="I87" s="108"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8" t="n">
        <f aca="false">D87+E87+F87-G87-H87-I87</f>
        <v>0</v>
      </c>
      <c r="K87" s="36" t="str">
        <f aca="false">IF(COUNTIFS('جرد فعلي'!$B$2:$B$12001,$B$2,'جرد فعلي'!$C$2:$C$12001,$A87,'جرد فعلي'!$A$2:$A$12001,'إعدادات المخزون'!$B$4)&gt;0,"نعم","لا")</f>
        <v>لا</v>
      </c>
      <c r="L87" s="109" t="str">
        <f aca="false">IF(K87="نعم",SUMIFS('جرد فعلي'!$D$2:$D$12001,'جرد فعلي'!$B$2:$B$12001,$B$2,'جرد فعلي'!$C$2:$C$12001,$A87,'جرد فعلي'!$A$2:$A$12001,'إعدادات المخزون'!$B$4),"")</f>
        <v/>
      </c>
      <c r="M87" s="108" t="str">
        <f aca="false">IF(K87="نعم",L87-J87,"")</f>
        <v/>
      </c>
      <c r="N87" s="110" t="str">
        <f aca="false">IF(K87="نعم",IF(J87=0,IF(M87=0,0,SIGN(M87)),M87/ABS(J87)),"")</f>
        <v/>
      </c>
      <c r="O87" s="107" t="str">
        <f aca="false">IF(K87="نعم",M87*C87,"")</f>
        <v/>
      </c>
      <c r="P87" s="36" t="str">
        <f aca="false">IF(K87&lt;&gt;"نعم","لم يُجرد",IF(ABS(N87)&lt;='إعدادات المخزون'!$B$7,"مطابق",IF(M87&lt;0,"عجز","زيادة")))</f>
        <v>لم يُجرد</v>
      </c>
      <c r="Q87" s="108" t="n">
        <f aca="false">J87-Z87</f>
        <v>0</v>
      </c>
      <c r="R87" s="108"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8" t="str">
        <f aca="false">IF(AND(K87="نعم",R87&lt;&gt;""),(L87-J87)-(R87-Q87),"")</f>
        <v/>
      </c>
      <c r="T87" s="107" t="str">
        <f aca="false">IF(S87="","",S87*C87)</f>
        <v/>
      </c>
      <c r="U87" s="108" t="n">
        <f aca="false">IF(K87="نعم",L87,J87)</f>
        <v>0</v>
      </c>
      <c r="V87" s="108" t="n">
        <f aca="false">SUMPRODUCT('مصفوفة الاستهلاك'!$CD$2:$CD$172,'متجهات المبيعات'!$D$2:$D$172)/'مواد المخزون'!$D$82/MAX(1,MIN('إعدادات المخزون'!$B$11,'إعدادات المخزون'!$B$4-'إعدادات المخزون'!$B$5+1))</f>
        <v>0</v>
      </c>
      <c r="W87" s="108" t="n">
        <f aca="false">IF(V87&lt;=0,0,ROUNDUP(MAX(0,V87*('إعدادات المخزون'!$B$8+'إعدادات المخزون'!$B$9+'إعدادات المخزون'!$B$10)-MAX(U87,0))/'مواد المخزون'!$F82,0)*'مواد المخزون'!$F82)</f>
        <v>0</v>
      </c>
      <c r="X87" s="107" t="n">
        <f aca="false">IF(AND(K87="نعم",O87&lt;0),-O87+ROW()*0.000000001,0)</f>
        <v>0</v>
      </c>
      <c r="Y87" s="107" t="n">
        <f aca="false">IF(AND(K87="نعم",O87&gt;0),O87+ROW()*0.000000001,0)</f>
        <v>0</v>
      </c>
      <c r="Z87" s="108"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المبيعات'!$B$2:$B$172)/'مواد المخزون'!$D$82</f>
        <v>0</v>
      </c>
      <c r="AA87" s="107" t="n">
        <f aca="false">IF(K87="نعم",O87,0)</f>
        <v>0</v>
      </c>
      <c r="AB87" s="107" t="n">
        <f aca="false">IF(K87="نعم",J87*C87,0)</f>
        <v>0</v>
      </c>
      <c r="AC87" s="107"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7" t="n">
        <f aca="false">'مواد المخزون'!E83</f>
        <v>6</v>
      </c>
      <c r="D88" s="108" t="n">
        <f aca="false">'جرد أول المدة'!C86</f>
        <v>0</v>
      </c>
      <c r="E88" s="108" t="n">
        <f aca="false">SUMIFS('مشتريات يومية'!$D$2:$D$4001,'مشتريات يومية'!$B$2:$B$4001,$B$2,'مشتريات يومية'!$C$2:$C$4001,$A88,'مشتريات يومية'!$A$2:$A$4001,"&gt;="&amp;'إعدادات المخزون'!$B$5,'مشتريات يومية'!$A$2:$A$4001,"&lt;="&amp;'إعدادات المخزون'!$B$4)</f>
        <v>0</v>
      </c>
      <c r="F88" s="108"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8"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8" t="n">
        <f aca="false">SUMPRODUCT('مصفوفة الاستهلاك'!$CE$2:$CE$172,'متجهات المبيعات'!$C$2:$C$172)/'مواد المخزون'!$D$83</f>
        <v>0</v>
      </c>
      <c r="I88" s="108"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8" t="n">
        <f aca="false">D88+E88+F88-G88-H88-I88</f>
        <v>0</v>
      </c>
      <c r="K88" s="36" t="str">
        <f aca="false">IF(COUNTIFS('جرد فعلي'!$B$2:$B$12001,$B$2,'جرد فعلي'!$C$2:$C$12001,$A88,'جرد فعلي'!$A$2:$A$12001,'إعدادات المخزون'!$B$4)&gt;0,"نعم","لا")</f>
        <v>لا</v>
      </c>
      <c r="L88" s="109" t="str">
        <f aca="false">IF(K88="نعم",SUMIFS('جرد فعلي'!$D$2:$D$12001,'جرد فعلي'!$B$2:$B$12001,$B$2,'جرد فعلي'!$C$2:$C$12001,$A88,'جرد فعلي'!$A$2:$A$12001,'إعدادات المخزون'!$B$4),"")</f>
        <v/>
      </c>
      <c r="M88" s="108" t="str">
        <f aca="false">IF(K88="نعم",L88-J88,"")</f>
        <v/>
      </c>
      <c r="N88" s="110" t="str">
        <f aca="false">IF(K88="نعم",IF(J88=0,IF(M88=0,0,SIGN(M88)),M88/ABS(J88)),"")</f>
        <v/>
      </c>
      <c r="O88" s="107" t="str">
        <f aca="false">IF(K88="نعم",M88*C88,"")</f>
        <v/>
      </c>
      <c r="P88" s="36" t="str">
        <f aca="false">IF(K88&lt;&gt;"نعم","لم يُجرد",IF(ABS(N88)&lt;='إعدادات المخزون'!$B$7,"مطابق",IF(M88&lt;0,"عجز","زيادة")))</f>
        <v>لم يُجرد</v>
      </c>
      <c r="Q88" s="108" t="n">
        <f aca="false">J88-Z88</f>
        <v>0</v>
      </c>
      <c r="R88" s="108"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8" t="str">
        <f aca="false">IF(AND(K88="نعم",R88&lt;&gt;""),(L88-J88)-(R88-Q88),"")</f>
        <v/>
      </c>
      <c r="T88" s="107" t="str">
        <f aca="false">IF(S88="","",S88*C88)</f>
        <v/>
      </c>
      <c r="U88" s="108" t="n">
        <f aca="false">IF(K88="نعم",L88,J88)</f>
        <v>0</v>
      </c>
      <c r="V88" s="108" t="n">
        <f aca="false">SUMPRODUCT('مصفوفة الاستهلاك'!$CE$2:$CE$172,'متجهات المبيعات'!$D$2:$D$172)/'مواد المخزون'!$D$83/MAX(1,MIN('إعدادات المخزون'!$B$11,'إعدادات المخزون'!$B$4-'إعدادات المخزون'!$B$5+1))</f>
        <v>0</v>
      </c>
      <c r="W88" s="108" t="n">
        <f aca="false">IF(V88&lt;=0,0,ROUNDUP(MAX(0,V88*('إعدادات المخزون'!$B$8+'إعدادات المخزون'!$B$9+'إعدادات المخزون'!$B$10)-MAX(U88,0))/'مواد المخزون'!$F83,0)*'مواد المخزون'!$F83)</f>
        <v>0</v>
      </c>
      <c r="X88" s="107" t="n">
        <f aca="false">IF(AND(K88="نعم",O88&lt;0),-O88+ROW()*0.000000001,0)</f>
        <v>0</v>
      </c>
      <c r="Y88" s="107" t="n">
        <f aca="false">IF(AND(K88="نعم",O88&gt;0),O88+ROW()*0.000000001,0)</f>
        <v>0</v>
      </c>
      <c r="Z88" s="108"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المبيعات'!$B$2:$B$172)/'مواد المخزون'!$D$83</f>
        <v>0</v>
      </c>
      <c r="AA88" s="107" t="n">
        <f aca="false">IF(K88="نعم",O88,0)</f>
        <v>0</v>
      </c>
      <c r="AB88" s="107" t="n">
        <f aca="false">IF(K88="نعم",J88*C88,0)</f>
        <v>0</v>
      </c>
      <c r="AC88" s="107"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7" t="n">
        <f aca="false">'مواد المخزون'!E84</f>
        <v>0.3</v>
      </c>
      <c r="D89" s="108" t="n">
        <f aca="false">'جرد أول المدة'!C87</f>
        <v>179</v>
      </c>
      <c r="E89" s="108" t="n">
        <f aca="false">SUMIFS('مشتريات يومية'!$D$2:$D$4001,'مشتريات يومية'!$B$2:$B$4001,$B$2,'مشتريات يومية'!$C$2:$C$4001,$A89,'مشتريات يومية'!$A$2:$A$4001,"&gt;="&amp;'إعدادات المخزون'!$B$5,'مشتريات يومية'!$A$2:$A$4001,"&lt;="&amp;'إعدادات المخزون'!$B$4)</f>
        <v>0</v>
      </c>
      <c r="F89" s="108"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8"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8" t="n">
        <f aca="false">SUMPRODUCT('مصفوفة الاستهلاك'!$CF$2:$CF$172,'متجهات المبيعات'!$C$2:$C$172)/'مواد المخزون'!$D$84</f>
        <v>0</v>
      </c>
      <c r="I89" s="108"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8" t="n">
        <f aca="false">D89+E89+F89-G89-H89-I89</f>
        <v>179</v>
      </c>
      <c r="K89" s="36" t="str">
        <f aca="false">IF(COUNTIFS('جرد فعلي'!$B$2:$B$12001,$B$2,'جرد فعلي'!$C$2:$C$12001,$A89,'جرد فعلي'!$A$2:$A$12001,'إعدادات المخزون'!$B$4)&gt;0,"نعم","لا")</f>
        <v>لا</v>
      </c>
      <c r="L89" s="109" t="str">
        <f aca="false">IF(K89="نعم",SUMIFS('جرد فعلي'!$D$2:$D$12001,'جرد فعلي'!$B$2:$B$12001,$B$2,'جرد فعلي'!$C$2:$C$12001,$A89,'جرد فعلي'!$A$2:$A$12001,'إعدادات المخزون'!$B$4),"")</f>
        <v/>
      </c>
      <c r="M89" s="108" t="str">
        <f aca="false">IF(K89="نعم",L89-J89,"")</f>
        <v/>
      </c>
      <c r="N89" s="110" t="str">
        <f aca="false">IF(K89="نعم",IF(J89=0,IF(M89=0,0,SIGN(M89)),M89/ABS(J89)),"")</f>
        <v/>
      </c>
      <c r="O89" s="107" t="str">
        <f aca="false">IF(K89="نعم",M89*C89,"")</f>
        <v/>
      </c>
      <c r="P89" s="36" t="str">
        <f aca="false">IF(K89&lt;&gt;"نعم","لم يُجرد",IF(ABS(N89)&lt;='إعدادات المخزون'!$B$7,"مطابق",IF(M89&lt;0,"عجز","زيادة")))</f>
        <v>لم يُجرد</v>
      </c>
      <c r="Q89" s="108" t="n">
        <f aca="false">J89-Z89</f>
        <v>179</v>
      </c>
      <c r="R89" s="108"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8" t="str">
        <f aca="false">IF(AND(K89="نعم",R89&lt;&gt;""),(L89-J89)-(R89-Q89),"")</f>
        <v/>
      </c>
      <c r="T89" s="107" t="str">
        <f aca="false">IF(S89="","",S89*C89)</f>
        <v/>
      </c>
      <c r="U89" s="108" t="n">
        <f aca="false">IF(K89="نعم",L89,J89)</f>
        <v>179</v>
      </c>
      <c r="V89" s="108" t="n">
        <f aca="false">SUMPRODUCT('مصفوفة الاستهلاك'!$CF$2:$CF$172,'متجهات المبيعات'!$D$2:$D$172)/'مواد المخزون'!$D$84/MAX(1,MIN('إعدادات المخزون'!$B$11,'إعدادات المخزون'!$B$4-'إعدادات المخزون'!$B$5+1))</f>
        <v>0</v>
      </c>
      <c r="W89" s="108" t="n">
        <f aca="false">IF(V89&lt;=0,0,ROUNDUP(MAX(0,V89*('إعدادات المخزون'!$B$8+'إعدادات المخزون'!$B$9+'إعدادات المخزون'!$B$10)-MAX(U89,0))/'مواد المخزون'!$F84,0)*'مواد المخزون'!$F84)</f>
        <v>0</v>
      </c>
      <c r="X89" s="107" t="n">
        <f aca="false">IF(AND(K89="نعم",O89&lt;0),-O89+ROW()*0.000000001,0)</f>
        <v>0</v>
      </c>
      <c r="Y89" s="107" t="n">
        <f aca="false">IF(AND(K89="نعم",O89&gt;0),O89+ROW()*0.000000001,0)</f>
        <v>0</v>
      </c>
      <c r="Z89" s="108"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المبيعات'!$B$2:$B$172)/'مواد المخزون'!$D$84</f>
        <v>0</v>
      </c>
      <c r="AA89" s="107" t="n">
        <f aca="false">IF(K89="نعم",O89,0)</f>
        <v>0</v>
      </c>
      <c r="AB89" s="107" t="n">
        <f aca="false">IF(K89="نعم",J89*C89,0)</f>
        <v>0</v>
      </c>
      <c r="AC89" s="107"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7" t="n">
        <f aca="false">'مواد المخزون'!E85</f>
        <v>4.44</v>
      </c>
      <c r="D90" s="108" t="n">
        <f aca="false">'جرد أول المدة'!C88</f>
        <v>1350</v>
      </c>
      <c r="E90" s="108" t="n">
        <f aca="false">SUMIFS('مشتريات يومية'!$D$2:$D$4001,'مشتريات يومية'!$B$2:$B$4001,$B$2,'مشتريات يومية'!$C$2:$C$4001,$A90,'مشتريات يومية'!$A$2:$A$4001,"&gt;="&amp;'إعدادات المخزون'!$B$5,'مشتريات يومية'!$A$2:$A$4001,"&lt;="&amp;'إعدادات المخزون'!$B$4)</f>
        <v>0</v>
      </c>
      <c r="F90" s="108"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8"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8" t="n">
        <f aca="false">SUMPRODUCT('مصفوفة الاستهلاك'!$CG$2:$CG$172,'متجهات المبيعات'!$C$2:$C$172)/'مواد المخزون'!$D$85</f>
        <v>0</v>
      </c>
      <c r="I90" s="108"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8" t="n">
        <f aca="false">D90+E90+F90-G90-H90-I90</f>
        <v>1350</v>
      </c>
      <c r="K90" s="36" t="str">
        <f aca="false">IF(COUNTIFS('جرد فعلي'!$B$2:$B$12001,$B$2,'جرد فعلي'!$C$2:$C$12001,$A90,'جرد فعلي'!$A$2:$A$12001,'إعدادات المخزون'!$B$4)&gt;0,"نعم","لا")</f>
        <v>لا</v>
      </c>
      <c r="L90" s="109" t="str">
        <f aca="false">IF(K90="نعم",SUMIFS('جرد فعلي'!$D$2:$D$12001,'جرد فعلي'!$B$2:$B$12001,$B$2,'جرد فعلي'!$C$2:$C$12001,$A90,'جرد فعلي'!$A$2:$A$12001,'إعدادات المخزون'!$B$4),"")</f>
        <v/>
      </c>
      <c r="M90" s="108" t="str">
        <f aca="false">IF(K90="نعم",L90-J90,"")</f>
        <v/>
      </c>
      <c r="N90" s="110" t="str">
        <f aca="false">IF(K90="نعم",IF(J90=0,IF(M90=0,0,SIGN(M90)),M90/ABS(J90)),"")</f>
        <v/>
      </c>
      <c r="O90" s="107" t="str">
        <f aca="false">IF(K90="نعم",M90*C90,"")</f>
        <v/>
      </c>
      <c r="P90" s="36" t="str">
        <f aca="false">IF(K90&lt;&gt;"نعم","لم يُجرد",IF(ABS(N90)&lt;='إعدادات المخزون'!$B$7,"مطابق",IF(M90&lt;0,"عجز","زيادة")))</f>
        <v>لم يُجرد</v>
      </c>
      <c r="Q90" s="108" t="n">
        <f aca="false">J90-Z90</f>
        <v>1350</v>
      </c>
      <c r="R90" s="108"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8" t="str">
        <f aca="false">IF(AND(K90="نعم",R90&lt;&gt;""),(L90-J90)-(R90-Q90),"")</f>
        <v/>
      </c>
      <c r="T90" s="107" t="str">
        <f aca="false">IF(S90="","",S90*C90)</f>
        <v/>
      </c>
      <c r="U90" s="108" t="n">
        <f aca="false">IF(K90="نعم",L90,J90)</f>
        <v>1350</v>
      </c>
      <c r="V90" s="108" t="n">
        <f aca="false">SUMPRODUCT('مصفوفة الاستهلاك'!$CG$2:$CG$172,'متجهات المبيعات'!$D$2:$D$172)/'مواد المخزون'!$D$85/MAX(1,MIN('إعدادات المخزون'!$B$11,'إعدادات المخزون'!$B$4-'إعدادات المخزون'!$B$5+1))</f>
        <v>0</v>
      </c>
      <c r="W90" s="108" t="n">
        <f aca="false">IF(V90&lt;=0,0,ROUNDUP(MAX(0,V90*('إعدادات المخزون'!$B$8+'إعدادات المخزون'!$B$9+'إعدادات المخزون'!$B$10)-MAX(U90,0))/'مواد المخزون'!$F85,0)*'مواد المخزون'!$F85)</f>
        <v>0</v>
      </c>
      <c r="X90" s="107" t="n">
        <f aca="false">IF(AND(K90="نعم",O90&lt;0),-O90+ROW()*0.000000001,0)</f>
        <v>0</v>
      </c>
      <c r="Y90" s="107" t="n">
        <f aca="false">IF(AND(K90="نعم",O90&gt;0),O90+ROW()*0.000000001,0)</f>
        <v>0</v>
      </c>
      <c r="Z90" s="108"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المبيعات'!$B$2:$B$172)/'مواد المخزون'!$D$85</f>
        <v>0</v>
      </c>
      <c r="AA90" s="107" t="n">
        <f aca="false">IF(K90="نعم",O90,0)</f>
        <v>0</v>
      </c>
      <c r="AB90" s="107" t="n">
        <f aca="false">IF(K90="نعم",J90*C90,0)</f>
        <v>0</v>
      </c>
      <c r="AC90" s="107"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7" t="n">
        <f aca="false">'مواد المخزون'!E86</f>
        <v>8</v>
      </c>
      <c r="D91" s="108" t="n">
        <f aca="false">'جرد أول المدة'!C89</f>
        <v>91</v>
      </c>
      <c r="E91" s="108" t="n">
        <f aca="false">SUMIFS('مشتريات يومية'!$D$2:$D$4001,'مشتريات يومية'!$B$2:$B$4001,$B$2,'مشتريات يومية'!$C$2:$C$4001,$A91,'مشتريات يومية'!$A$2:$A$4001,"&gt;="&amp;'إعدادات المخزون'!$B$5,'مشتريات يومية'!$A$2:$A$4001,"&lt;="&amp;'إعدادات المخزون'!$B$4)</f>
        <v>10</v>
      </c>
      <c r="F91" s="108"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8"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8" t="n">
        <f aca="false">SUMPRODUCT('مصفوفة الاستهلاك'!$CH$2:$CH$172,'متجهات المبيعات'!$C$2:$C$172)/'مواد المخزون'!$D$86</f>
        <v>0</v>
      </c>
      <c r="I91" s="108"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8" t="n">
        <f aca="false">D91+E91+F91-G91-H91-I91</f>
        <v>101</v>
      </c>
      <c r="K91" s="36" t="str">
        <f aca="false">IF(COUNTIFS('جرد فعلي'!$B$2:$B$12001,$B$2,'جرد فعلي'!$C$2:$C$12001,$A91,'جرد فعلي'!$A$2:$A$12001,'إعدادات المخزون'!$B$4)&gt;0,"نعم","لا")</f>
        <v>لا</v>
      </c>
      <c r="L91" s="109" t="str">
        <f aca="false">IF(K91="نعم",SUMIFS('جرد فعلي'!$D$2:$D$12001,'جرد فعلي'!$B$2:$B$12001,$B$2,'جرد فعلي'!$C$2:$C$12001,$A91,'جرد فعلي'!$A$2:$A$12001,'إعدادات المخزون'!$B$4),"")</f>
        <v/>
      </c>
      <c r="M91" s="108" t="str">
        <f aca="false">IF(K91="نعم",L91-J91,"")</f>
        <v/>
      </c>
      <c r="N91" s="110" t="str">
        <f aca="false">IF(K91="نعم",IF(J91=0,IF(M91=0,0,SIGN(M91)),M91/ABS(J91)),"")</f>
        <v/>
      </c>
      <c r="O91" s="107" t="str">
        <f aca="false">IF(K91="نعم",M91*C91,"")</f>
        <v/>
      </c>
      <c r="P91" s="36" t="str">
        <f aca="false">IF(K91&lt;&gt;"نعم","لم يُجرد",IF(ABS(N91)&lt;='إعدادات المخزون'!$B$7,"مطابق",IF(M91&lt;0,"عجز","زيادة")))</f>
        <v>لم يُجرد</v>
      </c>
      <c r="Q91" s="108" t="n">
        <f aca="false">J91-Z91</f>
        <v>101</v>
      </c>
      <c r="R91" s="108"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8" t="str">
        <f aca="false">IF(AND(K91="نعم",R91&lt;&gt;""),(L91-J91)-(R91-Q91),"")</f>
        <v/>
      </c>
      <c r="T91" s="107" t="str">
        <f aca="false">IF(S91="","",S91*C91)</f>
        <v/>
      </c>
      <c r="U91" s="108" t="n">
        <f aca="false">IF(K91="نعم",L91,J91)</f>
        <v>101</v>
      </c>
      <c r="V91" s="108" t="n">
        <f aca="false">SUMPRODUCT('مصفوفة الاستهلاك'!$CH$2:$CH$172,'متجهات المبيعات'!$D$2:$D$172)/'مواد المخزون'!$D$86/MAX(1,MIN('إعدادات المخزون'!$B$11,'إعدادات المخزون'!$B$4-'إعدادات المخزون'!$B$5+1))</f>
        <v>0</v>
      </c>
      <c r="W91" s="108" t="n">
        <f aca="false">IF(V91&lt;=0,0,ROUNDUP(MAX(0,V91*('إعدادات المخزون'!$B$8+'إعدادات المخزون'!$B$9+'إعدادات المخزون'!$B$10)-MAX(U91,0))/'مواد المخزون'!$F86,0)*'مواد المخزون'!$F86)</f>
        <v>0</v>
      </c>
      <c r="X91" s="107" t="n">
        <f aca="false">IF(AND(K91="نعم",O91&lt;0),-O91+ROW()*0.000000001,0)</f>
        <v>0</v>
      </c>
      <c r="Y91" s="107" t="n">
        <f aca="false">IF(AND(K91="نعم",O91&gt;0),O91+ROW()*0.000000001,0)</f>
        <v>0</v>
      </c>
      <c r="Z91" s="108"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المبيعات'!$B$2:$B$172)/'مواد المخزون'!$D$86</f>
        <v>0</v>
      </c>
      <c r="AA91" s="107" t="n">
        <f aca="false">IF(K91="نعم",O91,0)</f>
        <v>0</v>
      </c>
      <c r="AB91" s="107" t="n">
        <f aca="false">IF(K91="نعم",J91*C91,0)</f>
        <v>0</v>
      </c>
      <c r="AC91" s="107" t="n">
        <f aca="false">IF(T91="",0,T91)</f>
        <v>0</v>
      </c>
    </row>
    <row r="93" customFormat="false" ht="15" hidden="false" customHeight="false" outlineLevel="0" collapsed="false">
      <c r="A93" s="33" t="s">
        <v>752</v>
      </c>
      <c r="O93" s="111"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753</v>
      </c>
    </row>
    <row r="2" customFormat="false" ht="15" hidden="false" customHeight="false" outlineLevel="0" collapsed="false">
      <c r="A2" s="104" t="s">
        <v>724</v>
      </c>
      <c r="B2" s="106" t="s">
        <v>33</v>
      </c>
    </row>
    <row r="3" customFormat="false" ht="15" hidden="false" customHeight="false" outlineLevel="0" collapsed="false">
      <c r="A3" s="104" t="s">
        <v>725</v>
      </c>
      <c r="B3" s="102" t="n">
        <f aca="false">'إعدادات المخزون'!$B$4</f>
        <v>46307</v>
      </c>
    </row>
    <row r="4" customFormat="false" ht="15" hidden="false" customHeight="false" outlineLevel="0" collapsed="false">
      <c r="A4" s="17" t="s">
        <v>726</v>
      </c>
    </row>
    <row r="6" customFormat="false" ht="51.75" hidden="false" customHeight="true" outlineLevel="0" collapsed="false">
      <c r="A6" s="18" t="s">
        <v>59</v>
      </c>
      <c r="B6" s="18" t="s">
        <v>663</v>
      </c>
      <c r="C6" s="18" t="s">
        <v>696</v>
      </c>
      <c r="D6" s="18" t="s">
        <v>727</v>
      </c>
      <c r="E6" s="18" t="s">
        <v>728</v>
      </c>
      <c r="F6" s="18" t="s">
        <v>729</v>
      </c>
      <c r="G6" s="18" t="s">
        <v>730</v>
      </c>
      <c r="H6" s="18" t="s">
        <v>731</v>
      </c>
      <c r="I6" s="18" t="s">
        <v>732</v>
      </c>
      <c r="J6" s="18" t="s">
        <v>733</v>
      </c>
      <c r="K6" s="18" t="s">
        <v>734</v>
      </c>
      <c r="L6" s="18" t="s">
        <v>735</v>
      </c>
      <c r="M6" s="18" t="s">
        <v>60</v>
      </c>
      <c r="N6" s="18" t="s">
        <v>736</v>
      </c>
      <c r="O6" s="18" t="s">
        <v>737</v>
      </c>
      <c r="P6" s="18" t="s">
        <v>738</v>
      </c>
      <c r="Q6" s="18" t="s">
        <v>739</v>
      </c>
      <c r="R6" s="18" t="s">
        <v>740</v>
      </c>
      <c r="S6" s="18" t="s">
        <v>741</v>
      </c>
      <c r="T6" s="18" t="s">
        <v>742</v>
      </c>
      <c r="U6" s="18" t="s">
        <v>743</v>
      </c>
      <c r="V6" s="18" t="s">
        <v>744</v>
      </c>
      <c r="W6" s="18" t="s">
        <v>745</v>
      </c>
      <c r="X6" s="18" t="s">
        <v>746</v>
      </c>
      <c r="Y6" s="18" t="s">
        <v>747</v>
      </c>
      <c r="Z6" s="18" t="s">
        <v>748</v>
      </c>
      <c r="AA6" s="18" t="s">
        <v>749</v>
      </c>
      <c r="AB6" s="18" t="s">
        <v>750</v>
      </c>
      <c r="AC6" s="18" t="s">
        <v>751</v>
      </c>
    </row>
    <row r="7" customFormat="false" ht="15" hidden="false" customHeight="false" outlineLevel="0" collapsed="false">
      <c r="A7" s="34" t="str">
        <f aca="false">'مواد المخزون'!A2</f>
        <v>اطباق سيلفر مكرونة</v>
      </c>
      <c r="B7" s="36" t="str">
        <f aca="false">'مواد المخزون'!B2</f>
        <v>قطعة</v>
      </c>
      <c r="C7" s="107" t="n">
        <f aca="false">'مواد المخزون'!E2</f>
        <v>3.3</v>
      </c>
      <c r="D7" s="108" t="n">
        <f aca="false">'جرد أول المدة'!D5</f>
        <v>150</v>
      </c>
      <c r="E7" s="108" t="n">
        <f aca="false">SUMIFS('مشتريات يومية'!$D$2:$D$4001,'مشتريات يومية'!$B$2:$B$4001,$B$2,'مشتريات يومية'!$C$2:$C$4001,$A7,'مشتريات يومية'!$A$2:$A$4001,"&gt;="&amp;'إعدادات المخزون'!$B$5,'مشتريات يومية'!$A$2:$A$4001,"&lt;="&amp;'إعدادات المخزون'!$B$4)</f>
        <v>0</v>
      </c>
      <c r="F7" s="108"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8"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8" t="n">
        <f aca="false">SUMPRODUCT('مصفوفة الاستهلاك'!$B$2:$B$172,'متجهات المبيعات'!$F$2:$F$172)/'مواد المخزون'!$D$2</f>
        <v>0</v>
      </c>
      <c r="I7" s="108"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8" t="n">
        <f aca="false">D7+E7+F7-G7-H7-I7</f>
        <v>150</v>
      </c>
      <c r="K7" s="36" t="str">
        <f aca="false">IF(COUNTIFS('جرد فعلي'!$B$2:$B$12001,$B$2,'جرد فعلي'!$C$2:$C$12001,$A7,'جرد فعلي'!$A$2:$A$12001,'إعدادات المخزون'!$B$4)&gt;0,"نعم","لا")</f>
        <v>لا</v>
      </c>
      <c r="L7" s="109" t="str">
        <f aca="false">IF(K7="نعم",SUMIFS('جرد فعلي'!$D$2:$D$12001,'جرد فعلي'!$B$2:$B$12001,$B$2,'جرد فعلي'!$C$2:$C$12001,$A7,'جرد فعلي'!$A$2:$A$12001,'إعدادات المخزون'!$B$4),"")</f>
        <v/>
      </c>
      <c r="M7" s="108" t="str">
        <f aca="false">IF(K7="نعم",L7-J7,"")</f>
        <v/>
      </c>
      <c r="N7" s="110" t="str">
        <f aca="false">IF(K7="نعم",IF(J7=0,IF(M7=0,0,SIGN(M7)),M7/ABS(J7)),"")</f>
        <v/>
      </c>
      <c r="O7" s="107" t="str">
        <f aca="false">IF(K7="نعم",M7*C7,"")</f>
        <v/>
      </c>
      <c r="P7" s="36" t="str">
        <f aca="false">IF(K7&lt;&gt;"نعم","لم يُجرد",IF(ABS(N7)&lt;='إعدادات المخزون'!$B$7,"مطابق",IF(M7&lt;0,"عجز","زيادة")))</f>
        <v>لم يُجرد</v>
      </c>
      <c r="Q7" s="108" t="n">
        <f aca="false">J7-Z7</f>
        <v>150</v>
      </c>
      <c r="R7" s="108"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8" t="str">
        <f aca="false">IF(AND(K7="نعم",R7&lt;&gt;""),(L7-J7)-(R7-Q7),"")</f>
        <v/>
      </c>
      <c r="T7" s="107" t="str">
        <f aca="false">IF(S7="","",S7*C7)</f>
        <v/>
      </c>
      <c r="U7" s="108" t="n">
        <f aca="false">IF(K7="نعم",L7,J7)</f>
        <v>150</v>
      </c>
      <c r="V7" s="108" t="n">
        <f aca="false">SUMPRODUCT('مصفوفة الاستهلاك'!$B$2:$B$172,'متجهات المبيعات'!$G$2:$G$172)/'مواد المخزون'!$D$2/MAX(1,MIN('إعدادات المخزون'!$B$11,'إعدادات المخزون'!$B$4-'إعدادات المخزون'!$B$5+1))</f>
        <v>0</v>
      </c>
      <c r="W7" s="108" t="n">
        <f aca="false">IF(V7&lt;=0,0,ROUNDUP(MAX(0,V7*('إعدادات المخزون'!$B$8+'إعدادات المخزون'!$B$9+'إعدادات المخزون'!$B$10)-MAX(U7,0))/'مواد المخزون'!$F2,0)*'مواد المخزون'!$F2)</f>
        <v>0</v>
      </c>
      <c r="X7" s="107" t="n">
        <f aca="false">IF(AND(K7="نعم",O7&lt;0),-O7+ROW()*0.000000001,0)</f>
        <v>0</v>
      </c>
      <c r="Y7" s="107" t="n">
        <f aca="false">IF(AND(K7="نعم",O7&gt;0),O7+ROW()*0.000000001,0)</f>
        <v>0</v>
      </c>
      <c r="Z7" s="108"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المبيعات'!$E$2:$E$172)/'مواد المخزون'!$D$2</f>
        <v>0</v>
      </c>
      <c r="AA7" s="107" t="n">
        <f aca="false">IF(K7="نعم",O7,0)</f>
        <v>0</v>
      </c>
      <c r="AB7" s="107" t="n">
        <f aca="false">IF(K7="نعم",J7*C7,0)</f>
        <v>0</v>
      </c>
      <c r="AC7" s="107" t="n">
        <f aca="false">IF(T7="",0,T7)</f>
        <v>0</v>
      </c>
    </row>
    <row r="8" customFormat="false" ht="15" hidden="false" customHeight="false" outlineLevel="0" collapsed="false">
      <c r="A8" s="34" t="str">
        <f aca="false">'مواد المخزون'!A3</f>
        <v>اطباق فوم كيلو</v>
      </c>
      <c r="B8" s="36" t="str">
        <f aca="false">'مواد المخزون'!B3</f>
        <v>قطعة</v>
      </c>
      <c r="C8" s="107" t="n">
        <f aca="false">'مواد المخزون'!E3</f>
        <v>0.8</v>
      </c>
      <c r="D8" s="108" t="n">
        <f aca="false">'جرد أول المدة'!D6</f>
        <v>875</v>
      </c>
      <c r="E8" s="108" t="n">
        <f aca="false">SUMIFS('مشتريات يومية'!$D$2:$D$4001,'مشتريات يومية'!$B$2:$B$4001,$B$2,'مشتريات يومية'!$C$2:$C$4001,$A8,'مشتريات يومية'!$A$2:$A$4001,"&gt;="&amp;'إعدادات المخزون'!$B$5,'مشتريات يومية'!$A$2:$A$4001,"&lt;="&amp;'إعدادات المخزون'!$B$4)</f>
        <v>400</v>
      </c>
      <c r="F8" s="108"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8"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8" t="n">
        <f aca="false">SUMPRODUCT('مصفوفة الاستهلاك'!$C$2:$C$172,'متجهات المبيعات'!$F$2:$F$172)/'مواد المخزون'!$D$3</f>
        <v>0</v>
      </c>
      <c r="I8" s="108"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8" t="n">
        <f aca="false">D8+E8+F8-G8-H8-I8</f>
        <v>1275</v>
      </c>
      <c r="K8" s="36" t="str">
        <f aca="false">IF(COUNTIFS('جرد فعلي'!$B$2:$B$12001,$B$2,'جرد فعلي'!$C$2:$C$12001,$A8,'جرد فعلي'!$A$2:$A$12001,'إعدادات المخزون'!$B$4)&gt;0,"نعم","لا")</f>
        <v>لا</v>
      </c>
      <c r="L8" s="109" t="str">
        <f aca="false">IF(K8="نعم",SUMIFS('جرد فعلي'!$D$2:$D$12001,'جرد فعلي'!$B$2:$B$12001,$B$2,'جرد فعلي'!$C$2:$C$12001,$A8,'جرد فعلي'!$A$2:$A$12001,'إعدادات المخزون'!$B$4),"")</f>
        <v/>
      </c>
      <c r="M8" s="108" t="str">
        <f aca="false">IF(K8="نعم",L8-J8,"")</f>
        <v/>
      </c>
      <c r="N8" s="110" t="str">
        <f aca="false">IF(K8="نعم",IF(J8=0,IF(M8=0,0,SIGN(M8)),M8/ABS(J8)),"")</f>
        <v/>
      </c>
      <c r="O8" s="107" t="str">
        <f aca="false">IF(K8="نعم",M8*C8,"")</f>
        <v/>
      </c>
      <c r="P8" s="36" t="str">
        <f aca="false">IF(K8&lt;&gt;"نعم","لم يُجرد",IF(ABS(N8)&lt;='إعدادات المخزون'!$B$7,"مطابق",IF(M8&lt;0,"عجز","زيادة")))</f>
        <v>لم يُجرد</v>
      </c>
      <c r="Q8" s="108" t="n">
        <f aca="false">J8-Z8</f>
        <v>1275</v>
      </c>
      <c r="R8" s="108"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8" t="str">
        <f aca="false">IF(AND(K8="نعم",R8&lt;&gt;""),(L8-J8)-(R8-Q8),"")</f>
        <v/>
      </c>
      <c r="T8" s="107" t="str">
        <f aca="false">IF(S8="","",S8*C8)</f>
        <v/>
      </c>
      <c r="U8" s="108" t="n">
        <f aca="false">IF(K8="نعم",L8,J8)</f>
        <v>1275</v>
      </c>
      <c r="V8" s="108" t="n">
        <f aca="false">SUMPRODUCT('مصفوفة الاستهلاك'!$C$2:$C$172,'متجهات المبيعات'!$G$2:$G$172)/'مواد المخزون'!$D$3/MAX(1,MIN('إعدادات المخزون'!$B$11,'إعدادات المخزون'!$B$4-'إعدادات المخزون'!$B$5+1))</f>
        <v>0</v>
      </c>
      <c r="W8" s="108" t="n">
        <f aca="false">IF(V8&lt;=0,0,ROUNDUP(MAX(0,V8*('إعدادات المخزون'!$B$8+'إعدادات المخزون'!$B$9+'إعدادات المخزون'!$B$10)-MAX(U8,0))/'مواد المخزون'!$F3,0)*'مواد المخزون'!$F3)</f>
        <v>0</v>
      </c>
      <c r="X8" s="107" t="n">
        <f aca="false">IF(AND(K8="نعم",O8&lt;0),-O8+ROW()*0.000000001,0)</f>
        <v>0</v>
      </c>
      <c r="Y8" s="107" t="n">
        <f aca="false">IF(AND(K8="نعم",O8&gt;0),O8+ROW()*0.000000001,0)</f>
        <v>0</v>
      </c>
      <c r="Z8" s="108"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المبيعات'!$E$2:$E$172)/'مواد المخزون'!$D$3</f>
        <v>0</v>
      </c>
      <c r="AA8" s="107" t="n">
        <f aca="false">IF(K8="نعم",O8,0)</f>
        <v>0</v>
      </c>
      <c r="AB8" s="107" t="n">
        <f aca="false">IF(K8="نعم",J8*C8,0)</f>
        <v>0</v>
      </c>
      <c r="AC8" s="107"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7" t="n">
        <f aca="false">'مواد المخزون'!E4</f>
        <v>70</v>
      </c>
      <c r="D9" s="108" t="n">
        <f aca="false">'جرد أول المدة'!D7</f>
        <v>15.991</v>
      </c>
      <c r="E9" s="108" t="n">
        <f aca="false">SUMIFS('مشتريات يومية'!$D$2:$D$4001,'مشتريات يومية'!$B$2:$B$4001,$B$2,'مشتريات يومية'!$C$2:$C$4001,$A9,'مشتريات يومية'!$A$2:$A$4001,"&gt;="&amp;'إعدادات المخزون'!$B$5,'مشتريات يومية'!$A$2:$A$4001,"&lt;="&amp;'إعدادات المخزون'!$B$4)</f>
        <v>25</v>
      </c>
      <c r="F9" s="108"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8"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8" t="n">
        <f aca="false">SUMPRODUCT('مصفوفة الاستهلاك'!$D$2:$D$172,'متجهات المبيعات'!$F$2:$F$172)/'مواد المخزون'!$D$4</f>
        <v>0</v>
      </c>
      <c r="I9" s="108"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8" t="n">
        <f aca="false">D9+E9+F9-G9-H9-I9</f>
        <v>40.991</v>
      </c>
      <c r="K9" s="36" t="str">
        <f aca="false">IF(COUNTIFS('جرد فعلي'!$B$2:$B$12001,$B$2,'جرد فعلي'!$C$2:$C$12001,$A9,'جرد فعلي'!$A$2:$A$12001,'إعدادات المخزون'!$B$4)&gt;0,"نعم","لا")</f>
        <v>لا</v>
      </c>
      <c r="L9" s="109" t="str">
        <f aca="false">IF(K9="نعم",SUMIFS('جرد فعلي'!$D$2:$D$12001,'جرد فعلي'!$B$2:$B$12001,$B$2,'جرد فعلي'!$C$2:$C$12001,$A9,'جرد فعلي'!$A$2:$A$12001,'إعدادات المخزون'!$B$4),"")</f>
        <v/>
      </c>
      <c r="M9" s="108" t="str">
        <f aca="false">IF(K9="نعم",L9-J9,"")</f>
        <v/>
      </c>
      <c r="N9" s="110" t="str">
        <f aca="false">IF(K9="نعم",IF(J9=0,IF(M9=0,0,SIGN(M9)),M9/ABS(J9)),"")</f>
        <v/>
      </c>
      <c r="O9" s="107" t="str">
        <f aca="false">IF(K9="نعم",M9*C9,"")</f>
        <v/>
      </c>
      <c r="P9" s="36" t="str">
        <f aca="false">IF(K9&lt;&gt;"نعم","لم يُجرد",IF(ABS(N9)&lt;='إعدادات المخزون'!$B$7,"مطابق",IF(M9&lt;0,"عجز","زيادة")))</f>
        <v>لم يُجرد</v>
      </c>
      <c r="Q9" s="108" t="n">
        <f aca="false">J9-Z9</f>
        <v>40.991</v>
      </c>
      <c r="R9" s="108"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8" t="str">
        <f aca="false">IF(AND(K9="نعم",R9&lt;&gt;""),(L9-J9)-(R9-Q9),"")</f>
        <v/>
      </c>
      <c r="T9" s="107" t="str">
        <f aca="false">IF(S9="","",S9*C9)</f>
        <v/>
      </c>
      <c r="U9" s="108" t="n">
        <f aca="false">IF(K9="نعم",L9,J9)</f>
        <v>40.991</v>
      </c>
      <c r="V9" s="108" t="n">
        <f aca="false">SUMPRODUCT('مصفوفة الاستهلاك'!$D$2:$D$172,'متجهات المبيعات'!$G$2:$G$172)/'مواد المخزون'!$D$4/MAX(1,MIN('إعدادات المخزون'!$B$11,'إعدادات المخزون'!$B$4-'إعدادات المخزون'!$B$5+1))</f>
        <v>0</v>
      </c>
      <c r="W9" s="108" t="n">
        <f aca="false">IF(V9&lt;=0,0,ROUNDUP(MAX(0,V9*('إعدادات المخزون'!$B$8+'إعدادات المخزون'!$B$9+'إعدادات المخزون'!$B$10)-MAX(U9,0))/'مواد المخزون'!$F4,0)*'مواد المخزون'!$F4)</f>
        <v>0</v>
      </c>
      <c r="X9" s="107" t="n">
        <f aca="false">IF(AND(K9="نعم",O9&lt;0),-O9+ROW()*0.000000001,0)</f>
        <v>0</v>
      </c>
      <c r="Y9" s="107" t="n">
        <f aca="false">IF(AND(K9="نعم",O9&gt;0),O9+ROW()*0.000000001,0)</f>
        <v>0</v>
      </c>
      <c r="Z9" s="108"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المبيعات'!$E$2:$E$172)/'مواد المخزون'!$D$4</f>
        <v>0</v>
      </c>
      <c r="AA9" s="107" t="n">
        <f aca="false">IF(K9="نعم",O9,0)</f>
        <v>0</v>
      </c>
      <c r="AB9" s="107" t="n">
        <f aca="false">IF(K9="نعم",J9*C9,0)</f>
        <v>0</v>
      </c>
      <c r="AC9" s="107"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7" t="n">
        <f aca="false">'مواد المخزون'!E5</f>
        <v>70</v>
      </c>
      <c r="D10" s="108" t="n">
        <f aca="false">'جرد أول المدة'!D8</f>
        <v>7.91</v>
      </c>
      <c r="E10" s="108" t="n">
        <f aca="false">SUMIFS('مشتريات يومية'!$D$2:$D$4001,'مشتريات يومية'!$B$2:$B$4001,$B$2,'مشتريات يومية'!$C$2:$C$4001,$A10,'مشتريات يومية'!$A$2:$A$4001,"&gt;="&amp;'إعدادات المخزون'!$B$5,'مشتريات يومية'!$A$2:$A$4001,"&lt;="&amp;'إعدادات المخزون'!$B$4)</f>
        <v>25</v>
      </c>
      <c r="F10" s="108"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8"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8" t="n">
        <f aca="false">SUMPRODUCT('مصفوفة الاستهلاك'!$E$2:$E$172,'متجهات المبيعات'!$F$2:$F$172)/'مواد المخزون'!$D$5</f>
        <v>0</v>
      </c>
      <c r="I10" s="108"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8" t="n">
        <f aca="false">D10+E10+F10-G10-H10-I10</f>
        <v>32.91</v>
      </c>
      <c r="K10" s="36" t="str">
        <f aca="false">IF(COUNTIFS('جرد فعلي'!$B$2:$B$12001,$B$2,'جرد فعلي'!$C$2:$C$12001,$A10,'جرد فعلي'!$A$2:$A$12001,'إعدادات المخزون'!$B$4)&gt;0,"نعم","لا")</f>
        <v>لا</v>
      </c>
      <c r="L10" s="109" t="str">
        <f aca="false">IF(K10="نعم",SUMIFS('جرد فعلي'!$D$2:$D$12001,'جرد فعلي'!$B$2:$B$12001,$B$2,'جرد فعلي'!$C$2:$C$12001,$A10,'جرد فعلي'!$A$2:$A$12001,'إعدادات المخزون'!$B$4),"")</f>
        <v/>
      </c>
      <c r="M10" s="108" t="str">
        <f aca="false">IF(K10="نعم",L10-J10,"")</f>
        <v/>
      </c>
      <c r="N10" s="110" t="str">
        <f aca="false">IF(K10="نعم",IF(J10=0,IF(M10=0,0,SIGN(M10)),M10/ABS(J10)),"")</f>
        <v/>
      </c>
      <c r="O10" s="107" t="str">
        <f aca="false">IF(K10="نعم",M10*C10,"")</f>
        <v/>
      </c>
      <c r="P10" s="36" t="str">
        <f aca="false">IF(K10&lt;&gt;"نعم","لم يُجرد",IF(ABS(N10)&lt;='إعدادات المخزون'!$B$7,"مطابق",IF(M10&lt;0,"عجز","زيادة")))</f>
        <v>لم يُجرد</v>
      </c>
      <c r="Q10" s="108" t="n">
        <f aca="false">J10-Z10</f>
        <v>32.91</v>
      </c>
      <c r="R10" s="108"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8" t="str">
        <f aca="false">IF(AND(K10="نعم",R10&lt;&gt;""),(L10-J10)-(R10-Q10),"")</f>
        <v/>
      </c>
      <c r="T10" s="107" t="str">
        <f aca="false">IF(S10="","",S10*C10)</f>
        <v/>
      </c>
      <c r="U10" s="108" t="n">
        <f aca="false">IF(K10="نعم",L10,J10)</f>
        <v>32.91</v>
      </c>
      <c r="V10" s="108" t="n">
        <f aca="false">SUMPRODUCT('مصفوفة الاستهلاك'!$E$2:$E$172,'متجهات المبيعات'!$G$2:$G$172)/'مواد المخزون'!$D$5/MAX(1,MIN('إعدادات المخزون'!$B$11,'إعدادات المخزون'!$B$4-'إعدادات المخزون'!$B$5+1))</f>
        <v>0</v>
      </c>
      <c r="W10" s="108" t="n">
        <f aca="false">IF(V10&lt;=0,0,ROUNDUP(MAX(0,V10*('إعدادات المخزون'!$B$8+'إعدادات المخزون'!$B$9+'إعدادات المخزون'!$B$10)-MAX(U10,0))/'مواد المخزون'!$F5,0)*'مواد المخزون'!$F5)</f>
        <v>0</v>
      </c>
      <c r="X10" s="107" t="n">
        <f aca="false">IF(AND(K10="نعم",O10&lt;0),-O10+ROW()*0.000000001,0)</f>
        <v>0</v>
      </c>
      <c r="Y10" s="107" t="n">
        <f aca="false">IF(AND(K10="نعم",O10&gt;0),O10+ROW()*0.000000001,0)</f>
        <v>0</v>
      </c>
      <c r="Z10" s="108"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المبيعات'!$E$2:$E$172)/'مواد المخزون'!$D$5</f>
        <v>0</v>
      </c>
      <c r="AA10" s="107" t="n">
        <f aca="false">IF(K10="نعم",O10,0)</f>
        <v>0</v>
      </c>
      <c r="AB10" s="107" t="n">
        <f aca="false">IF(K10="نعم",J10*C10,0)</f>
        <v>0</v>
      </c>
      <c r="AC10" s="107"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7" t="n">
        <f aca="false">'مواد المخزون'!E6</f>
        <v>18</v>
      </c>
      <c r="D11" s="108" t="n">
        <f aca="false">'جرد أول المدة'!D9</f>
        <v>54</v>
      </c>
      <c r="E11" s="108" t="n">
        <f aca="false">SUMIFS('مشتريات يومية'!$D$2:$D$4001,'مشتريات يومية'!$B$2:$B$4001,$B$2,'مشتريات يومية'!$C$2:$C$4001,$A11,'مشتريات يومية'!$A$2:$A$4001,"&gt;="&amp;'إعدادات المخزون'!$B$5,'مشتريات يومية'!$A$2:$A$4001,"&lt;="&amp;'إعدادات المخزون'!$B$4)</f>
        <v>215</v>
      </c>
      <c r="F11" s="108"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8"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8" t="n">
        <f aca="false">SUMPRODUCT('مصفوفة الاستهلاك'!$F$2:$F$172,'متجهات المبيعات'!$F$2:$F$172)/'مواد المخزون'!$D$6</f>
        <v>0</v>
      </c>
      <c r="I11" s="108"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8" t="n">
        <f aca="false">D11+E11+F11-G11-H11-I11</f>
        <v>269</v>
      </c>
      <c r="K11" s="36" t="str">
        <f aca="false">IF(COUNTIFS('جرد فعلي'!$B$2:$B$12001,$B$2,'جرد فعلي'!$C$2:$C$12001,$A11,'جرد فعلي'!$A$2:$A$12001,'إعدادات المخزون'!$B$4)&gt;0,"نعم","لا")</f>
        <v>لا</v>
      </c>
      <c r="L11" s="109" t="str">
        <f aca="false">IF(K11="نعم",SUMIFS('جرد فعلي'!$D$2:$D$12001,'جرد فعلي'!$B$2:$B$12001,$B$2,'جرد فعلي'!$C$2:$C$12001,$A11,'جرد فعلي'!$A$2:$A$12001,'إعدادات المخزون'!$B$4),"")</f>
        <v/>
      </c>
      <c r="M11" s="108" t="str">
        <f aca="false">IF(K11="نعم",L11-J11,"")</f>
        <v/>
      </c>
      <c r="N11" s="110" t="str">
        <f aca="false">IF(K11="نعم",IF(J11=0,IF(M11=0,0,SIGN(M11)),M11/ABS(J11)),"")</f>
        <v/>
      </c>
      <c r="O11" s="107" t="str">
        <f aca="false">IF(K11="نعم",M11*C11,"")</f>
        <v/>
      </c>
      <c r="P11" s="36" t="str">
        <f aca="false">IF(K11&lt;&gt;"نعم","لم يُجرد",IF(ABS(N11)&lt;='إعدادات المخزون'!$B$7,"مطابق",IF(M11&lt;0,"عجز","زيادة")))</f>
        <v>لم يُجرد</v>
      </c>
      <c r="Q11" s="108" t="n">
        <f aca="false">J11-Z11</f>
        <v>269</v>
      </c>
      <c r="R11" s="108"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8" t="str">
        <f aca="false">IF(AND(K11="نعم",R11&lt;&gt;""),(L11-J11)-(R11-Q11),"")</f>
        <v/>
      </c>
      <c r="T11" s="107" t="str">
        <f aca="false">IF(S11="","",S11*C11)</f>
        <v/>
      </c>
      <c r="U11" s="108" t="n">
        <f aca="false">IF(K11="نعم",L11,J11)</f>
        <v>269</v>
      </c>
      <c r="V11" s="108" t="n">
        <f aca="false">SUMPRODUCT('مصفوفة الاستهلاك'!$F$2:$F$172,'متجهات المبيعات'!$G$2:$G$172)/'مواد المخزون'!$D$6/MAX(1,MIN('إعدادات المخزون'!$B$11,'إعدادات المخزون'!$B$4-'إعدادات المخزون'!$B$5+1))</f>
        <v>0</v>
      </c>
      <c r="W11" s="108" t="n">
        <f aca="false">IF(V11&lt;=0,0,ROUNDUP(MAX(0,V11*('إعدادات المخزون'!$B$8+'إعدادات المخزون'!$B$9+'إعدادات المخزون'!$B$10)-MAX(U11,0))/'مواد المخزون'!$F6,0)*'مواد المخزون'!$F6)</f>
        <v>0</v>
      </c>
      <c r="X11" s="107" t="n">
        <f aca="false">IF(AND(K11="نعم",O11&lt;0),-O11+ROW()*0.000000001,0)</f>
        <v>0</v>
      </c>
      <c r="Y11" s="107" t="n">
        <f aca="false">IF(AND(K11="نعم",O11&gt;0),O11+ROW()*0.000000001,0)</f>
        <v>0</v>
      </c>
      <c r="Z11" s="108"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المبيعات'!$E$2:$E$172)/'مواد المخزون'!$D$6</f>
        <v>0</v>
      </c>
      <c r="AA11" s="107" t="n">
        <f aca="false">IF(K11="نعم",O11,0)</f>
        <v>0</v>
      </c>
      <c r="AB11" s="107" t="n">
        <f aca="false">IF(K11="نعم",J11*C11,0)</f>
        <v>0</v>
      </c>
      <c r="AC11" s="107"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7" t="n">
        <f aca="false">'مواد المخزون'!E7</f>
        <v>35</v>
      </c>
      <c r="D12" s="108" t="n">
        <f aca="false">'جرد أول المدة'!D10</f>
        <v>26</v>
      </c>
      <c r="E12" s="108" t="n">
        <f aca="false">SUMIFS('مشتريات يومية'!$D$2:$D$4001,'مشتريات يومية'!$B$2:$B$4001,$B$2,'مشتريات يومية'!$C$2:$C$4001,$A12,'مشتريات يومية'!$A$2:$A$4001,"&gt;="&amp;'إعدادات المخزون'!$B$5,'مشتريات يومية'!$A$2:$A$4001,"&lt;="&amp;'إعدادات المخزون'!$B$4)</f>
        <v>410</v>
      </c>
      <c r="F12" s="108"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8"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8" t="n">
        <f aca="false">SUMPRODUCT('مصفوفة الاستهلاك'!$G$2:$G$172,'متجهات المبيعات'!$F$2:$F$172)/'مواد المخزون'!$D$7</f>
        <v>0</v>
      </c>
      <c r="I12" s="108"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8" t="n">
        <f aca="false">D12+E12+F12-G12-H12-I12</f>
        <v>436</v>
      </c>
      <c r="K12" s="36" t="str">
        <f aca="false">IF(COUNTIFS('جرد فعلي'!$B$2:$B$12001,$B$2,'جرد فعلي'!$C$2:$C$12001,$A12,'جرد فعلي'!$A$2:$A$12001,'إعدادات المخزون'!$B$4)&gt;0,"نعم","لا")</f>
        <v>لا</v>
      </c>
      <c r="L12" s="109" t="str">
        <f aca="false">IF(K12="نعم",SUMIFS('جرد فعلي'!$D$2:$D$12001,'جرد فعلي'!$B$2:$B$12001,$B$2,'جرد فعلي'!$C$2:$C$12001,$A12,'جرد فعلي'!$A$2:$A$12001,'إعدادات المخزون'!$B$4),"")</f>
        <v/>
      </c>
      <c r="M12" s="108" t="str">
        <f aca="false">IF(K12="نعم",L12-J12,"")</f>
        <v/>
      </c>
      <c r="N12" s="110" t="str">
        <f aca="false">IF(K12="نعم",IF(J12=0,IF(M12=0,0,SIGN(M12)),M12/ABS(J12)),"")</f>
        <v/>
      </c>
      <c r="O12" s="107" t="str">
        <f aca="false">IF(K12="نعم",M12*C12,"")</f>
        <v/>
      </c>
      <c r="P12" s="36" t="str">
        <f aca="false">IF(K12&lt;&gt;"نعم","لم يُجرد",IF(ABS(N12)&lt;='إعدادات المخزون'!$B$7,"مطابق",IF(M12&lt;0,"عجز","زيادة")))</f>
        <v>لم يُجرد</v>
      </c>
      <c r="Q12" s="108" t="n">
        <f aca="false">J12-Z12</f>
        <v>436</v>
      </c>
      <c r="R12" s="108"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8" t="str">
        <f aca="false">IF(AND(K12="نعم",R12&lt;&gt;""),(L12-J12)-(R12-Q12),"")</f>
        <v/>
      </c>
      <c r="T12" s="107" t="str">
        <f aca="false">IF(S12="","",S12*C12)</f>
        <v/>
      </c>
      <c r="U12" s="108" t="n">
        <f aca="false">IF(K12="نعم",L12,J12)</f>
        <v>436</v>
      </c>
      <c r="V12" s="108" t="n">
        <f aca="false">SUMPRODUCT('مصفوفة الاستهلاك'!$G$2:$G$172,'متجهات المبيعات'!$G$2:$G$172)/'مواد المخزون'!$D$7/MAX(1,MIN('إعدادات المخزون'!$B$11,'إعدادات المخزون'!$B$4-'إعدادات المخزون'!$B$5+1))</f>
        <v>0</v>
      </c>
      <c r="W12" s="108" t="n">
        <f aca="false">IF(V12&lt;=0,0,ROUNDUP(MAX(0,V12*('إعدادات المخزون'!$B$8+'إعدادات المخزون'!$B$9+'إعدادات المخزون'!$B$10)-MAX(U12,0))/'مواد المخزون'!$F7,0)*'مواد المخزون'!$F7)</f>
        <v>0</v>
      </c>
      <c r="X12" s="107" t="n">
        <f aca="false">IF(AND(K12="نعم",O12&lt;0),-O12+ROW()*0.000000001,0)</f>
        <v>0</v>
      </c>
      <c r="Y12" s="107" t="n">
        <f aca="false">IF(AND(K12="نعم",O12&gt;0),O12+ROW()*0.000000001,0)</f>
        <v>0</v>
      </c>
      <c r="Z12" s="108"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المبيعات'!$E$2:$E$172)/'مواد المخزون'!$D$7</f>
        <v>0</v>
      </c>
      <c r="AA12" s="107" t="n">
        <f aca="false">IF(K12="نعم",O12,0)</f>
        <v>0</v>
      </c>
      <c r="AB12" s="107" t="n">
        <f aca="false">IF(K12="نعم",J12*C12,0)</f>
        <v>0</v>
      </c>
      <c r="AC12" s="107"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7" t="n">
        <f aca="false">'مواد المخزون'!E8</f>
        <v>46.6667</v>
      </c>
      <c r="D13" s="108" t="n">
        <f aca="false">'جرد أول المدة'!D11</f>
        <v>35.5</v>
      </c>
      <c r="E13" s="108" t="n">
        <f aca="false">SUMIFS('مشتريات يومية'!$D$2:$D$4001,'مشتريات يومية'!$B$2:$B$4001,$B$2,'مشتريات يومية'!$C$2:$C$4001,$A13,'مشتريات يومية'!$A$2:$A$4001,"&gt;="&amp;'إعدادات المخزون'!$B$5,'مشتريات يومية'!$A$2:$A$4001,"&lt;="&amp;'إعدادات المخزون'!$B$4)</f>
        <v>60</v>
      </c>
      <c r="F13" s="108"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8"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8" t="n">
        <f aca="false">SUMPRODUCT('مصفوفة الاستهلاك'!$H$2:$H$172,'متجهات المبيعات'!$F$2:$F$172)/'مواد المخزون'!$D$8</f>
        <v>0</v>
      </c>
      <c r="I13" s="108"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8" t="n">
        <f aca="false">D13+E13+F13-G13-H13-I13</f>
        <v>95.5</v>
      </c>
      <c r="K13" s="36" t="str">
        <f aca="false">IF(COUNTIFS('جرد فعلي'!$B$2:$B$12001,$B$2,'جرد فعلي'!$C$2:$C$12001,$A13,'جرد فعلي'!$A$2:$A$12001,'إعدادات المخزون'!$B$4)&gt;0,"نعم","لا")</f>
        <v>لا</v>
      </c>
      <c r="L13" s="109" t="str">
        <f aca="false">IF(K13="نعم",SUMIFS('جرد فعلي'!$D$2:$D$12001,'جرد فعلي'!$B$2:$B$12001,$B$2,'جرد فعلي'!$C$2:$C$12001,$A13,'جرد فعلي'!$A$2:$A$12001,'إعدادات المخزون'!$B$4),"")</f>
        <v/>
      </c>
      <c r="M13" s="108" t="str">
        <f aca="false">IF(K13="نعم",L13-J13,"")</f>
        <v/>
      </c>
      <c r="N13" s="110" t="str">
        <f aca="false">IF(K13="نعم",IF(J13=0,IF(M13=0,0,SIGN(M13)),M13/ABS(J13)),"")</f>
        <v/>
      </c>
      <c r="O13" s="107" t="str">
        <f aca="false">IF(K13="نعم",M13*C13,"")</f>
        <v/>
      </c>
      <c r="P13" s="36" t="str">
        <f aca="false">IF(K13&lt;&gt;"نعم","لم يُجرد",IF(ABS(N13)&lt;='إعدادات المخزون'!$B$7,"مطابق",IF(M13&lt;0,"عجز","زيادة")))</f>
        <v>لم يُجرد</v>
      </c>
      <c r="Q13" s="108" t="n">
        <f aca="false">J13-Z13</f>
        <v>95.5</v>
      </c>
      <c r="R13" s="108"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8" t="str">
        <f aca="false">IF(AND(K13="نعم",R13&lt;&gt;""),(L13-J13)-(R13-Q13),"")</f>
        <v/>
      </c>
      <c r="T13" s="107" t="str">
        <f aca="false">IF(S13="","",S13*C13)</f>
        <v/>
      </c>
      <c r="U13" s="108" t="n">
        <f aca="false">IF(K13="نعم",L13,J13)</f>
        <v>95.5</v>
      </c>
      <c r="V13" s="108" t="n">
        <f aca="false">SUMPRODUCT('مصفوفة الاستهلاك'!$H$2:$H$172,'متجهات المبيعات'!$G$2:$G$172)/'مواد المخزون'!$D$8/MAX(1,MIN('إعدادات المخزون'!$B$11,'إعدادات المخزون'!$B$4-'إعدادات المخزون'!$B$5+1))</f>
        <v>0</v>
      </c>
      <c r="W13" s="108" t="n">
        <f aca="false">IF(V13&lt;=0,0,ROUNDUP(MAX(0,V13*('إعدادات المخزون'!$B$8+'إعدادات المخزون'!$B$9+'إعدادات المخزون'!$B$10)-MAX(U13,0))/'مواد المخزون'!$F8,0)*'مواد المخزون'!$F8)</f>
        <v>0</v>
      </c>
      <c r="X13" s="107" t="n">
        <f aca="false">IF(AND(K13="نعم",O13&lt;0),-O13+ROW()*0.000000001,0)</f>
        <v>0</v>
      </c>
      <c r="Y13" s="107" t="n">
        <f aca="false">IF(AND(K13="نعم",O13&gt;0),O13+ROW()*0.000000001,0)</f>
        <v>0</v>
      </c>
      <c r="Z13" s="108"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المبيعات'!$E$2:$E$172)/'مواد المخزون'!$D$8</f>
        <v>0</v>
      </c>
      <c r="AA13" s="107" t="n">
        <f aca="false">IF(K13="نعم",O13,0)</f>
        <v>0</v>
      </c>
      <c r="AB13" s="107" t="n">
        <f aca="false">IF(K13="نعم",J13*C13,0)</f>
        <v>0</v>
      </c>
      <c r="AC13" s="107"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7" t="n">
        <f aca="false">'مواد المخزون'!E9</f>
        <v>5.65</v>
      </c>
      <c r="D14" s="108" t="n">
        <f aca="false">'جرد أول المدة'!D12</f>
        <v>72</v>
      </c>
      <c r="E14" s="108" t="n">
        <f aca="false">SUMIFS('مشتريات يومية'!$D$2:$D$4001,'مشتريات يومية'!$B$2:$B$4001,$B$2,'مشتريات يومية'!$C$2:$C$4001,$A14,'مشتريات يومية'!$A$2:$A$4001,"&gt;="&amp;'إعدادات المخزون'!$B$5,'مشتريات يومية'!$A$2:$A$4001,"&lt;="&amp;'إعدادات المخزون'!$B$4)</f>
        <v>75</v>
      </c>
      <c r="F14" s="108"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8"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8" t="n">
        <f aca="false">SUMPRODUCT('مصفوفة الاستهلاك'!$I$2:$I$172,'متجهات المبيعات'!$F$2:$F$172)/'مواد المخزون'!$D$9</f>
        <v>0</v>
      </c>
      <c r="I14" s="108"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8" t="n">
        <f aca="false">D14+E14+F14-G14-H14-I14</f>
        <v>147</v>
      </c>
      <c r="K14" s="36" t="str">
        <f aca="false">IF(COUNTIFS('جرد فعلي'!$B$2:$B$12001,$B$2,'جرد فعلي'!$C$2:$C$12001,$A14,'جرد فعلي'!$A$2:$A$12001,'إعدادات المخزون'!$B$4)&gt;0,"نعم","لا")</f>
        <v>لا</v>
      </c>
      <c r="L14" s="109" t="str">
        <f aca="false">IF(K14="نعم",SUMIFS('جرد فعلي'!$D$2:$D$12001,'جرد فعلي'!$B$2:$B$12001,$B$2,'جرد فعلي'!$C$2:$C$12001,$A14,'جرد فعلي'!$A$2:$A$12001,'إعدادات المخزون'!$B$4),"")</f>
        <v/>
      </c>
      <c r="M14" s="108" t="str">
        <f aca="false">IF(K14="نعم",L14-J14,"")</f>
        <v/>
      </c>
      <c r="N14" s="110" t="str">
        <f aca="false">IF(K14="نعم",IF(J14=0,IF(M14=0,0,SIGN(M14)),M14/ABS(J14)),"")</f>
        <v/>
      </c>
      <c r="O14" s="107" t="str">
        <f aca="false">IF(K14="نعم",M14*C14,"")</f>
        <v/>
      </c>
      <c r="P14" s="36" t="str">
        <f aca="false">IF(K14&lt;&gt;"نعم","لم يُجرد",IF(ABS(N14)&lt;='إعدادات المخزون'!$B$7,"مطابق",IF(M14&lt;0,"عجز","زيادة")))</f>
        <v>لم يُجرد</v>
      </c>
      <c r="Q14" s="108" t="n">
        <f aca="false">J14-Z14</f>
        <v>147</v>
      </c>
      <c r="R14" s="108"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8" t="str">
        <f aca="false">IF(AND(K14="نعم",R14&lt;&gt;""),(L14-J14)-(R14-Q14),"")</f>
        <v/>
      </c>
      <c r="T14" s="107" t="str">
        <f aca="false">IF(S14="","",S14*C14)</f>
        <v/>
      </c>
      <c r="U14" s="108" t="n">
        <f aca="false">IF(K14="نعم",L14,J14)</f>
        <v>147</v>
      </c>
      <c r="V14" s="108" t="n">
        <f aca="false">SUMPRODUCT('مصفوفة الاستهلاك'!$I$2:$I$172,'متجهات المبيعات'!$G$2:$G$172)/'مواد المخزون'!$D$9/MAX(1,MIN('إعدادات المخزون'!$B$11,'إعدادات المخزون'!$B$4-'إعدادات المخزون'!$B$5+1))</f>
        <v>0</v>
      </c>
      <c r="W14" s="108" t="n">
        <f aca="false">IF(V14&lt;=0,0,ROUNDUP(MAX(0,V14*('إعدادات المخزون'!$B$8+'إعدادات المخزون'!$B$9+'إعدادات المخزون'!$B$10)-MAX(U14,0))/'مواد المخزون'!$F9,0)*'مواد المخزون'!$F9)</f>
        <v>0</v>
      </c>
      <c r="X14" s="107" t="n">
        <f aca="false">IF(AND(K14="نعم",O14&lt;0),-O14+ROW()*0.000000001,0)</f>
        <v>0</v>
      </c>
      <c r="Y14" s="107" t="n">
        <f aca="false">IF(AND(K14="نعم",O14&gt;0),O14+ROW()*0.000000001,0)</f>
        <v>0</v>
      </c>
      <c r="Z14" s="108"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المبيعات'!$E$2:$E$172)/'مواد المخزون'!$D$9</f>
        <v>0</v>
      </c>
      <c r="AA14" s="107" t="n">
        <f aca="false">IF(K14="نعم",O14,0)</f>
        <v>0</v>
      </c>
      <c r="AB14" s="107" t="n">
        <f aca="false">IF(K14="نعم",J14*C14,0)</f>
        <v>0</v>
      </c>
      <c r="AC14" s="107"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7" t="n">
        <f aca="false">'مواد المخزون'!E10</f>
        <v>9</v>
      </c>
      <c r="D15" s="108" t="n">
        <f aca="false">'جرد أول المدة'!D13</f>
        <v>2</v>
      </c>
      <c r="E15" s="108" t="n">
        <f aca="false">SUMIFS('مشتريات يومية'!$D$2:$D$4001,'مشتريات يومية'!$B$2:$B$4001,$B$2,'مشتريات يومية'!$C$2:$C$4001,$A15,'مشتريات يومية'!$A$2:$A$4001,"&gt;="&amp;'إعدادات المخزون'!$B$5,'مشتريات يومية'!$A$2:$A$4001,"&lt;="&amp;'إعدادات المخزون'!$B$4)</f>
        <v>600</v>
      </c>
      <c r="F15" s="108"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8"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8" t="n">
        <f aca="false">SUMPRODUCT('مصفوفة الاستهلاك'!$J$2:$J$172,'متجهات المبيعات'!$F$2:$F$172)/'مواد المخزون'!$D$10</f>
        <v>0</v>
      </c>
      <c r="I15" s="108"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8" t="n">
        <f aca="false">D15+E15+F15-G15-H15-I15</f>
        <v>602</v>
      </c>
      <c r="K15" s="36" t="str">
        <f aca="false">IF(COUNTIFS('جرد فعلي'!$B$2:$B$12001,$B$2,'جرد فعلي'!$C$2:$C$12001,$A15,'جرد فعلي'!$A$2:$A$12001,'إعدادات المخزون'!$B$4)&gt;0,"نعم","لا")</f>
        <v>لا</v>
      </c>
      <c r="L15" s="109" t="str">
        <f aca="false">IF(K15="نعم",SUMIFS('جرد فعلي'!$D$2:$D$12001,'جرد فعلي'!$B$2:$B$12001,$B$2,'جرد فعلي'!$C$2:$C$12001,$A15,'جرد فعلي'!$A$2:$A$12001,'إعدادات المخزون'!$B$4),"")</f>
        <v/>
      </c>
      <c r="M15" s="108" t="str">
        <f aca="false">IF(K15="نعم",L15-J15,"")</f>
        <v/>
      </c>
      <c r="N15" s="110" t="str">
        <f aca="false">IF(K15="نعم",IF(J15=0,IF(M15=0,0,SIGN(M15)),M15/ABS(J15)),"")</f>
        <v/>
      </c>
      <c r="O15" s="107" t="str">
        <f aca="false">IF(K15="نعم",M15*C15,"")</f>
        <v/>
      </c>
      <c r="P15" s="36" t="str">
        <f aca="false">IF(K15&lt;&gt;"نعم","لم يُجرد",IF(ABS(N15)&lt;='إعدادات المخزون'!$B$7,"مطابق",IF(M15&lt;0,"عجز","زيادة")))</f>
        <v>لم يُجرد</v>
      </c>
      <c r="Q15" s="108" t="n">
        <f aca="false">J15-Z15</f>
        <v>602</v>
      </c>
      <c r="R15" s="108"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8" t="str">
        <f aca="false">IF(AND(K15="نعم",R15&lt;&gt;""),(L15-J15)-(R15-Q15),"")</f>
        <v/>
      </c>
      <c r="T15" s="107" t="str">
        <f aca="false">IF(S15="","",S15*C15)</f>
        <v/>
      </c>
      <c r="U15" s="108" t="n">
        <f aca="false">IF(K15="نعم",L15,J15)</f>
        <v>602</v>
      </c>
      <c r="V15" s="108" t="n">
        <f aca="false">SUMPRODUCT('مصفوفة الاستهلاك'!$J$2:$J$172,'متجهات المبيعات'!$G$2:$G$172)/'مواد المخزون'!$D$10/MAX(1,MIN('إعدادات المخزون'!$B$11,'إعدادات المخزون'!$B$4-'إعدادات المخزون'!$B$5+1))</f>
        <v>0</v>
      </c>
      <c r="W15" s="108" t="n">
        <f aca="false">IF(V15&lt;=0,0,ROUNDUP(MAX(0,V15*('إعدادات المخزون'!$B$8+'إعدادات المخزون'!$B$9+'إعدادات المخزون'!$B$10)-MAX(U15,0))/'مواد المخزون'!$F10,0)*'مواد المخزون'!$F10)</f>
        <v>0</v>
      </c>
      <c r="X15" s="107" t="n">
        <f aca="false">IF(AND(K15="نعم",O15&lt;0),-O15+ROW()*0.000000001,0)</f>
        <v>0</v>
      </c>
      <c r="Y15" s="107" t="n">
        <f aca="false">IF(AND(K15="نعم",O15&gt;0),O15+ROW()*0.000000001,0)</f>
        <v>0</v>
      </c>
      <c r="Z15" s="108"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المبيعات'!$E$2:$E$172)/'مواد المخزون'!$D$10</f>
        <v>0</v>
      </c>
      <c r="AA15" s="107" t="n">
        <f aca="false">IF(K15="نعم",O15,0)</f>
        <v>0</v>
      </c>
      <c r="AB15" s="107" t="n">
        <f aca="false">IF(K15="نعم",J15*C15,0)</f>
        <v>0</v>
      </c>
      <c r="AC15" s="107"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7" t="n">
        <f aca="false">'مواد المخزون'!E11</f>
        <v>95</v>
      </c>
      <c r="D16" s="108" t="n">
        <f aca="false">'جرد أول المدة'!D14</f>
        <v>16.5</v>
      </c>
      <c r="E16" s="108" t="n">
        <f aca="false">SUMIFS('مشتريات يومية'!$D$2:$D$4001,'مشتريات يومية'!$B$2:$B$4001,$B$2,'مشتريات يومية'!$C$2:$C$4001,$A16,'مشتريات يومية'!$A$2:$A$4001,"&gt;="&amp;'إعدادات المخزون'!$B$5,'مشتريات يومية'!$A$2:$A$4001,"&lt;="&amp;'إعدادات المخزون'!$B$4)</f>
        <v>11</v>
      </c>
      <c r="F16" s="108"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8"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8" t="n">
        <f aca="false">SUMPRODUCT('مصفوفة الاستهلاك'!$K$2:$K$172,'متجهات المبيعات'!$F$2:$F$172)/'مواد المخزون'!$D$11</f>
        <v>0</v>
      </c>
      <c r="I16" s="108"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8" t="n">
        <f aca="false">D16+E16+F16-G16-H16-I16</f>
        <v>27.5</v>
      </c>
      <c r="K16" s="36" t="str">
        <f aca="false">IF(COUNTIFS('جرد فعلي'!$B$2:$B$12001,$B$2,'جرد فعلي'!$C$2:$C$12001,$A16,'جرد فعلي'!$A$2:$A$12001,'إعدادات المخزون'!$B$4)&gt;0,"نعم","لا")</f>
        <v>لا</v>
      </c>
      <c r="L16" s="109" t="str">
        <f aca="false">IF(K16="نعم",SUMIFS('جرد فعلي'!$D$2:$D$12001,'جرد فعلي'!$B$2:$B$12001,$B$2,'جرد فعلي'!$C$2:$C$12001,$A16,'جرد فعلي'!$A$2:$A$12001,'إعدادات المخزون'!$B$4),"")</f>
        <v/>
      </c>
      <c r="M16" s="108" t="str">
        <f aca="false">IF(K16="نعم",L16-J16,"")</f>
        <v/>
      </c>
      <c r="N16" s="110" t="str">
        <f aca="false">IF(K16="نعم",IF(J16=0,IF(M16=0,0,SIGN(M16)),M16/ABS(J16)),"")</f>
        <v/>
      </c>
      <c r="O16" s="107" t="str">
        <f aca="false">IF(K16="نعم",M16*C16,"")</f>
        <v/>
      </c>
      <c r="P16" s="36" t="str">
        <f aca="false">IF(K16&lt;&gt;"نعم","لم يُجرد",IF(ABS(N16)&lt;='إعدادات المخزون'!$B$7,"مطابق",IF(M16&lt;0,"عجز","زيادة")))</f>
        <v>لم يُجرد</v>
      </c>
      <c r="Q16" s="108" t="n">
        <f aca="false">J16-Z16</f>
        <v>27.5</v>
      </c>
      <c r="R16" s="108"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8" t="str">
        <f aca="false">IF(AND(K16="نعم",R16&lt;&gt;""),(L16-J16)-(R16-Q16),"")</f>
        <v/>
      </c>
      <c r="T16" s="107" t="str">
        <f aca="false">IF(S16="","",S16*C16)</f>
        <v/>
      </c>
      <c r="U16" s="108" t="n">
        <f aca="false">IF(K16="نعم",L16,J16)</f>
        <v>27.5</v>
      </c>
      <c r="V16" s="108" t="n">
        <f aca="false">SUMPRODUCT('مصفوفة الاستهلاك'!$K$2:$K$172,'متجهات المبيعات'!$G$2:$G$172)/'مواد المخزون'!$D$11/MAX(1,MIN('إعدادات المخزون'!$B$11,'إعدادات المخزون'!$B$4-'إعدادات المخزون'!$B$5+1))</f>
        <v>0</v>
      </c>
      <c r="W16" s="108" t="n">
        <f aca="false">IF(V16&lt;=0,0,ROUNDUP(MAX(0,V16*('إعدادات المخزون'!$B$8+'إعدادات المخزون'!$B$9+'إعدادات المخزون'!$B$10)-MAX(U16,0))/'مواد المخزون'!$F11,0)*'مواد المخزون'!$F11)</f>
        <v>0</v>
      </c>
      <c r="X16" s="107" t="n">
        <f aca="false">IF(AND(K16="نعم",O16&lt;0),-O16+ROW()*0.000000001,0)</f>
        <v>0</v>
      </c>
      <c r="Y16" s="107" t="n">
        <f aca="false">IF(AND(K16="نعم",O16&gt;0),O16+ROW()*0.000000001,0)</f>
        <v>0</v>
      </c>
      <c r="Z16" s="108"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المبيعات'!$E$2:$E$172)/'مواد المخزون'!$D$11</f>
        <v>0</v>
      </c>
      <c r="AA16" s="107" t="n">
        <f aca="false">IF(K16="نعم",O16,0)</f>
        <v>0</v>
      </c>
      <c r="AB16" s="107" t="n">
        <f aca="false">IF(K16="نعم",J16*C16,0)</f>
        <v>0</v>
      </c>
      <c r="AC16" s="107"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7" t="n">
        <f aca="false">'مواد المخزون'!E12</f>
        <v>34</v>
      </c>
      <c r="D17" s="108" t="n">
        <f aca="false">'جرد أول المدة'!D15</f>
        <v>5</v>
      </c>
      <c r="E17" s="108" t="n">
        <f aca="false">SUMIFS('مشتريات يومية'!$D$2:$D$4001,'مشتريات يومية'!$B$2:$B$4001,$B$2,'مشتريات يومية'!$C$2:$C$4001,$A17,'مشتريات يومية'!$A$2:$A$4001,"&gt;="&amp;'إعدادات المخزون'!$B$5,'مشتريات يومية'!$A$2:$A$4001,"&lt;="&amp;'إعدادات المخزون'!$B$4)</f>
        <v>480</v>
      </c>
      <c r="F17" s="108"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8"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8" t="n">
        <f aca="false">SUMPRODUCT('مصفوفة الاستهلاك'!$L$2:$L$172,'متجهات المبيعات'!$F$2:$F$172)/'مواد المخزون'!$D$12</f>
        <v>0</v>
      </c>
      <c r="I17" s="108"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8" t="n">
        <f aca="false">D17+E17+F17-G17-H17-I17</f>
        <v>485</v>
      </c>
      <c r="K17" s="36" t="str">
        <f aca="false">IF(COUNTIFS('جرد فعلي'!$B$2:$B$12001,$B$2,'جرد فعلي'!$C$2:$C$12001,$A17,'جرد فعلي'!$A$2:$A$12001,'إعدادات المخزون'!$B$4)&gt;0,"نعم","لا")</f>
        <v>لا</v>
      </c>
      <c r="L17" s="109" t="str">
        <f aca="false">IF(K17="نعم",SUMIFS('جرد فعلي'!$D$2:$D$12001,'جرد فعلي'!$B$2:$B$12001,$B$2,'جرد فعلي'!$C$2:$C$12001,$A17,'جرد فعلي'!$A$2:$A$12001,'إعدادات المخزون'!$B$4),"")</f>
        <v/>
      </c>
      <c r="M17" s="108" t="str">
        <f aca="false">IF(K17="نعم",L17-J17,"")</f>
        <v/>
      </c>
      <c r="N17" s="110" t="str">
        <f aca="false">IF(K17="نعم",IF(J17=0,IF(M17=0,0,SIGN(M17)),M17/ABS(J17)),"")</f>
        <v/>
      </c>
      <c r="O17" s="107" t="str">
        <f aca="false">IF(K17="نعم",M17*C17,"")</f>
        <v/>
      </c>
      <c r="P17" s="36" t="str">
        <f aca="false">IF(K17&lt;&gt;"نعم","لم يُجرد",IF(ABS(N17)&lt;='إعدادات المخزون'!$B$7,"مطابق",IF(M17&lt;0,"عجز","زيادة")))</f>
        <v>لم يُجرد</v>
      </c>
      <c r="Q17" s="108" t="n">
        <f aca="false">J17-Z17</f>
        <v>485</v>
      </c>
      <c r="R17" s="108"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8" t="str">
        <f aca="false">IF(AND(K17="نعم",R17&lt;&gt;""),(L17-J17)-(R17-Q17),"")</f>
        <v/>
      </c>
      <c r="T17" s="107" t="str">
        <f aca="false">IF(S17="","",S17*C17)</f>
        <v/>
      </c>
      <c r="U17" s="108" t="n">
        <f aca="false">IF(K17="نعم",L17,J17)</f>
        <v>485</v>
      </c>
      <c r="V17" s="108" t="n">
        <f aca="false">SUMPRODUCT('مصفوفة الاستهلاك'!$L$2:$L$172,'متجهات المبيعات'!$G$2:$G$172)/'مواد المخزون'!$D$12/MAX(1,MIN('إعدادات المخزون'!$B$11,'إعدادات المخزون'!$B$4-'إعدادات المخزون'!$B$5+1))</f>
        <v>0</v>
      </c>
      <c r="W17" s="108" t="n">
        <f aca="false">IF(V17&lt;=0,0,ROUNDUP(MAX(0,V17*('إعدادات المخزون'!$B$8+'إعدادات المخزون'!$B$9+'إعدادات المخزون'!$B$10)-MAX(U17,0))/'مواد المخزون'!$F12,0)*'مواد المخزون'!$F12)</f>
        <v>0</v>
      </c>
      <c r="X17" s="107" t="n">
        <f aca="false">IF(AND(K17="نعم",O17&lt;0),-O17+ROW()*0.000000001,0)</f>
        <v>0</v>
      </c>
      <c r="Y17" s="107" t="n">
        <f aca="false">IF(AND(K17="نعم",O17&gt;0),O17+ROW()*0.000000001,0)</f>
        <v>0</v>
      </c>
      <c r="Z17" s="108"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المبيعات'!$E$2:$E$172)/'مواد المخزون'!$D$12</f>
        <v>0</v>
      </c>
      <c r="AA17" s="107" t="n">
        <f aca="false">IF(K17="نعم",O17,0)</f>
        <v>0</v>
      </c>
      <c r="AB17" s="107" t="n">
        <f aca="false">IF(K17="نعم",J17*C17,0)</f>
        <v>0</v>
      </c>
      <c r="AC17" s="107"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7" t="n">
        <f aca="false">'مواد المخزون'!E13</f>
        <v>45</v>
      </c>
      <c r="D18" s="108" t="n">
        <f aca="false">'جرد أول المدة'!D16</f>
        <v>43</v>
      </c>
      <c r="E18" s="108" t="n">
        <f aca="false">SUMIFS('مشتريات يومية'!$D$2:$D$4001,'مشتريات يومية'!$B$2:$B$4001,$B$2,'مشتريات يومية'!$C$2:$C$4001,$A18,'مشتريات يومية'!$A$2:$A$4001,"&gt;="&amp;'إعدادات المخزون'!$B$5,'مشتريات يومية'!$A$2:$A$4001,"&lt;="&amp;'إعدادات المخزون'!$B$4)</f>
        <v>90</v>
      </c>
      <c r="F18" s="108"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8"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8" t="n">
        <f aca="false">SUMPRODUCT('مصفوفة الاستهلاك'!$M$2:$M$172,'متجهات المبيعات'!$F$2:$F$172)/'مواد المخزون'!$D$13</f>
        <v>0</v>
      </c>
      <c r="I18" s="108"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8" t="n">
        <f aca="false">D18+E18+F18-G18-H18-I18</f>
        <v>133</v>
      </c>
      <c r="K18" s="36" t="str">
        <f aca="false">IF(COUNTIFS('جرد فعلي'!$B$2:$B$12001,$B$2,'جرد فعلي'!$C$2:$C$12001,$A18,'جرد فعلي'!$A$2:$A$12001,'إعدادات المخزون'!$B$4)&gt;0,"نعم","لا")</f>
        <v>لا</v>
      </c>
      <c r="L18" s="109" t="str">
        <f aca="false">IF(K18="نعم",SUMIFS('جرد فعلي'!$D$2:$D$12001,'جرد فعلي'!$B$2:$B$12001,$B$2,'جرد فعلي'!$C$2:$C$12001,$A18,'جرد فعلي'!$A$2:$A$12001,'إعدادات المخزون'!$B$4),"")</f>
        <v/>
      </c>
      <c r="M18" s="108" t="str">
        <f aca="false">IF(K18="نعم",L18-J18,"")</f>
        <v/>
      </c>
      <c r="N18" s="110" t="str">
        <f aca="false">IF(K18="نعم",IF(J18=0,IF(M18=0,0,SIGN(M18)),M18/ABS(J18)),"")</f>
        <v/>
      </c>
      <c r="O18" s="107" t="str">
        <f aca="false">IF(K18="نعم",M18*C18,"")</f>
        <v/>
      </c>
      <c r="P18" s="36" t="str">
        <f aca="false">IF(K18&lt;&gt;"نعم","لم يُجرد",IF(ABS(N18)&lt;='إعدادات المخزون'!$B$7,"مطابق",IF(M18&lt;0,"عجز","زيادة")))</f>
        <v>لم يُجرد</v>
      </c>
      <c r="Q18" s="108" t="n">
        <f aca="false">J18-Z18</f>
        <v>133</v>
      </c>
      <c r="R18" s="108"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8" t="str">
        <f aca="false">IF(AND(K18="نعم",R18&lt;&gt;""),(L18-J18)-(R18-Q18),"")</f>
        <v/>
      </c>
      <c r="T18" s="107" t="str">
        <f aca="false">IF(S18="","",S18*C18)</f>
        <v/>
      </c>
      <c r="U18" s="108" t="n">
        <f aca="false">IF(K18="نعم",L18,J18)</f>
        <v>133</v>
      </c>
      <c r="V18" s="108" t="n">
        <f aca="false">SUMPRODUCT('مصفوفة الاستهلاك'!$M$2:$M$172,'متجهات المبيعات'!$G$2:$G$172)/'مواد المخزون'!$D$13/MAX(1,MIN('إعدادات المخزون'!$B$11,'إعدادات المخزون'!$B$4-'إعدادات المخزون'!$B$5+1))</f>
        <v>0</v>
      </c>
      <c r="W18" s="108" t="n">
        <f aca="false">IF(V18&lt;=0,0,ROUNDUP(MAX(0,V18*('إعدادات المخزون'!$B$8+'إعدادات المخزون'!$B$9+'إعدادات المخزون'!$B$10)-MAX(U18,0))/'مواد المخزون'!$F13,0)*'مواد المخزون'!$F13)</f>
        <v>0</v>
      </c>
      <c r="X18" s="107" t="n">
        <f aca="false">IF(AND(K18="نعم",O18&lt;0),-O18+ROW()*0.000000001,0)</f>
        <v>0</v>
      </c>
      <c r="Y18" s="107" t="n">
        <f aca="false">IF(AND(K18="نعم",O18&gt;0),O18+ROW()*0.000000001,0)</f>
        <v>0</v>
      </c>
      <c r="Z18" s="108"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المبيعات'!$E$2:$E$172)/'مواد المخزون'!$D$13</f>
        <v>0</v>
      </c>
      <c r="AA18" s="107" t="n">
        <f aca="false">IF(K18="نعم",O18,0)</f>
        <v>0</v>
      </c>
      <c r="AB18" s="107" t="n">
        <f aca="false">IF(K18="نعم",J18*C18,0)</f>
        <v>0</v>
      </c>
      <c r="AC18" s="107"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7" t="n">
        <f aca="false">'مواد المخزون'!E14</f>
        <v>26.9708</v>
      </c>
      <c r="D19" s="108" t="n">
        <f aca="false">'جرد أول المدة'!D17</f>
        <v>8.5</v>
      </c>
      <c r="E19" s="108" t="n">
        <f aca="false">SUMIFS('مشتريات يومية'!$D$2:$D$4001,'مشتريات يومية'!$B$2:$B$4001,$B$2,'مشتريات يومية'!$C$2:$C$4001,$A19,'مشتريات يومية'!$A$2:$A$4001,"&gt;="&amp;'إعدادات المخزون'!$B$5,'مشتريات يومية'!$A$2:$A$4001,"&lt;="&amp;'إعدادات المخزون'!$B$4)</f>
        <v>40</v>
      </c>
      <c r="F19" s="108"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8"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8" t="n">
        <f aca="false">SUMPRODUCT('مصفوفة الاستهلاك'!$N$2:$N$172,'متجهات المبيعات'!$F$2:$F$172)/'مواد المخزون'!$D$14</f>
        <v>0</v>
      </c>
      <c r="I19" s="108"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8" t="n">
        <f aca="false">D19+E19+F19-G19-H19-I19</f>
        <v>48.5</v>
      </c>
      <c r="K19" s="36" t="str">
        <f aca="false">IF(COUNTIFS('جرد فعلي'!$B$2:$B$12001,$B$2,'جرد فعلي'!$C$2:$C$12001,$A19,'جرد فعلي'!$A$2:$A$12001,'إعدادات المخزون'!$B$4)&gt;0,"نعم","لا")</f>
        <v>لا</v>
      </c>
      <c r="L19" s="109" t="str">
        <f aca="false">IF(K19="نعم",SUMIFS('جرد فعلي'!$D$2:$D$12001,'جرد فعلي'!$B$2:$B$12001,$B$2,'جرد فعلي'!$C$2:$C$12001,$A19,'جرد فعلي'!$A$2:$A$12001,'إعدادات المخزون'!$B$4),"")</f>
        <v/>
      </c>
      <c r="M19" s="108" t="str">
        <f aca="false">IF(K19="نعم",L19-J19,"")</f>
        <v/>
      </c>
      <c r="N19" s="110" t="str">
        <f aca="false">IF(K19="نعم",IF(J19=0,IF(M19=0,0,SIGN(M19)),M19/ABS(J19)),"")</f>
        <v/>
      </c>
      <c r="O19" s="107" t="str">
        <f aca="false">IF(K19="نعم",M19*C19,"")</f>
        <v/>
      </c>
      <c r="P19" s="36" t="str">
        <f aca="false">IF(K19&lt;&gt;"نعم","لم يُجرد",IF(ABS(N19)&lt;='إعدادات المخزون'!$B$7,"مطابق",IF(M19&lt;0,"عجز","زيادة")))</f>
        <v>لم يُجرد</v>
      </c>
      <c r="Q19" s="108" t="n">
        <f aca="false">J19-Z19</f>
        <v>48.5</v>
      </c>
      <c r="R19" s="108"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8" t="str">
        <f aca="false">IF(AND(K19="نعم",R19&lt;&gt;""),(L19-J19)-(R19-Q19),"")</f>
        <v/>
      </c>
      <c r="T19" s="107" t="str">
        <f aca="false">IF(S19="","",S19*C19)</f>
        <v/>
      </c>
      <c r="U19" s="108" t="n">
        <f aca="false">IF(K19="نعم",L19,J19)</f>
        <v>48.5</v>
      </c>
      <c r="V19" s="108" t="n">
        <f aca="false">SUMPRODUCT('مصفوفة الاستهلاك'!$N$2:$N$172,'متجهات المبيعات'!$G$2:$G$172)/'مواد المخزون'!$D$14/MAX(1,MIN('إعدادات المخزون'!$B$11,'إعدادات المخزون'!$B$4-'إعدادات المخزون'!$B$5+1))</f>
        <v>0</v>
      </c>
      <c r="W19" s="108" t="n">
        <f aca="false">IF(V19&lt;=0,0,ROUNDUP(MAX(0,V19*('إعدادات المخزون'!$B$8+'إعدادات المخزون'!$B$9+'إعدادات المخزون'!$B$10)-MAX(U19,0))/'مواد المخزون'!$F14,0)*'مواد المخزون'!$F14)</f>
        <v>0</v>
      </c>
      <c r="X19" s="107" t="n">
        <f aca="false">IF(AND(K19="نعم",O19&lt;0),-O19+ROW()*0.000000001,0)</f>
        <v>0</v>
      </c>
      <c r="Y19" s="107" t="n">
        <f aca="false">IF(AND(K19="نعم",O19&gt;0),O19+ROW()*0.000000001,0)</f>
        <v>0</v>
      </c>
      <c r="Z19" s="108"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المبيعات'!$E$2:$E$172)/'مواد المخزون'!$D$14</f>
        <v>0</v>
      </c>
      <c r="AA19" s="107" t="n">
        <f aca="false">IF(K19="نعم",O19,0)</f>
        <v>0</v>
      </c>
      <c r="AB19" s="107" t="n">
        <f aca="false">IF(K19="نعم",J19*C19,0)</f>
        <v>0</v>
      </c>
      <c r="AC19" s="107"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7" t="n">
        <f aca="false">'مواد المخزون'!E15</f>
        <v>33.982</v>
      </c>
      <c r="D20" s="108" t="n">
        <f aca="false">'جرد أول المدة'!D18</f>
        <v>34</v>
      </c>
      <c r="E20" s="108" t="n">
        <f aca="false">SUMIFS('مشتريات يومية'!$D$2:$D$4001,'مشتريات يومية'!$B$2:$B$4001,$B$2,'مشتريات يومية'!$C$2:$C$4001,$A20,'مشتريات يومية'!$A$2:$A$4001,"&gt;="&amp;'إعدادات المخزون'!$B$5,'مشتريات يومية'!$A$2:$A$4001,"&lt;="&amp;'إعدادات المخزون'!$B$4)</f>
        <v>158</v>
      </c>
      <c r="F20" s="108"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8"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8" t="n">
        <f aca="false">SUMPRODUCT('مصفوفة الاستهلاك'!$O$2:$O$172,'متجهات المبيعات'!$F$2:$F$172)/'مواد المخزون'!$D$15</f>
        <v>0</v>
      </c>
      <c r="I20" s="108"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8" t="n">
        <f aca="false">D20+E20+F20-G20-H20-I20</f>
        <v>192</v>
      </c>
      <c r="K20" s="36" t="str">
        <f aca="false">IF(COUNTIFS('جرد فعلي'!$B$2:$B$12001,$B$2,'جرد فعلي'!$C$2:$C$12001,$A20,'جرد فعلي'!$A$2:$A$12001,'إعدادات المخزون'!$B$4)&gt;0,"نعم","لا")</f>
        <v>لا</v>
      </c>
      <c r="L20" s="109" t="str">
        <f aca="false">IF(K20="نعم",SUMIFS('جرد فعلي'!$D$2:$D$12001,'جرد فعلي'!$B$2:$B$12001,$B$2,'جرد فعلي'!$C$2:$C$12001,$A20,'جرد فعلي'!$A$2:$A$12001,'إعدادات المخزون'!$B$4),"")</f>
        <v/>
      </c>
      <c r="M20" s="108" t="str">
        <f aca="false">IF(K20="نعم",L20-J20,"")</f>
        <v/>
      </c>
      <c r="N20" s="110" t="str">
        <f aca="false">IF(K20="نعم",IF(J20=0,IF(M20=0,0,SIGN(M20)),M20/ABS(J20)),"")</f>
        <v/>
      </c>
      <c r="O20" s="107" t="str">
        <f aca="false">IF(K20="نعم",M20*C20,"")</f>
        <v/>
      </c>
      <c r="P20" s="36" t="str">
        <f aca="false">IF(K20&lt;&gt;"نعم","لم يُجرد",IF(ABS(N20)&lt;='إعدادات المخزون'!$B$7,"مطابق",IF(M20&lt;0,"عجز","زيادة")))</f>
        <v>لم يُجرد</v>
      </c>
      <c r="Q20" s="108" t="n">
        <f aca="false">J20-Z20</f>
        <v>192</v>
      </c>
      <c r="R20" s="108"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8" t="str">
        <f aca="false">IF(AND(K20="نعم",R20&lt;&gt;""),(L20-J20)-(R20-Q20),"")</f>
        <v/>
      </c>
      <c r="T20" s="107" t="str">
        <f aca="false">IF(S20="","",S20*C20)</f>
        <v/>
      </c>
      <c r="U20" s="108" t="n">
        <f aca="false">IF(K20="نعم",L20,J20)</f>
        <v>192</v>
      </c>
      <c r="V20" s="108" t="n">
        <f aca="false">SUMPRODUCT('مصفوفة الاستهلاك'!$O$2:$O$172,'متجهات المبيعات'!$G$2:$G$172)/'مواد المخزون'!$D$15/MAX(1,MIN('إعدادات المخزون'!$B$11,'إعدادات المخزون'!$B$4-'إعدادات المخزون'!$B$5+1))</f>
        <v>0</v>
      </c>
      <c r="W20" s="108" t="n">
        <f aca="false">IF(V20&lt;=0,0,ROUNDUP(MAX(0,V20*('إعدادات المخزون'!$B$8+'إعدادات المخزون'!$B$9+'إعدادات المخزون'!$B$10)-MAX(U20,0))/'مواد المخزون'!$F15,0)*'مواد المخزون'!$F15)</f>
        <v>0</v>
      </c>
      <c r="X20" s="107" t="n">
        <f aca="false">IF(AND(K20="نعم",O20&lt;0),-O20+ROW()*0.000000001,0)</f>
        <v>0</v>
      </c>
      <c r="Y20" s="107" t="n">
        <f aca="false">IF(AND(K20="نعم",O20&gt;0),O20+ROW()*0.000000001,0)</f>
        <v>0</v>
      </c>
      <c r="Z20" s="108"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المبيعات'!$E$2:$E$172)/'مواد المخزون'!$D$15</f>
        <v>0</v>
      </c>
      <c r="AA20" s="107" t="n">
        <f aca="false">IF(K20="نعم",O20,0)</f>
        <v>0</v>
      </c>
      <c r="AB20" s="107" t="n">
        <f aca="false">IF(K20="نعم",J20*C20,0)</f>
        <v>0</v>
      </c>
      <c r="AC20" s="107"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7" t="n">
        <f aca="false">'مواد المخزون'!E16</f>
        <v>48.7817</v>
      </c>
      <c r="D21" s="108" t="n">
        <f aca="false">'جرد أول المدة'!D19</f>
        <v>61.5</v>
      </c>
      <c r="E21" s="108" t="n">
        <f aca="false">SUMIFS('مشتريات يومية'!$D$2:$D$4001,'مشتريات يومية'!$B$2:$B$4001,$B$2,'مشتريات يومية'!$C$2:$C$4001,$A21,'مشتريات يومية'!$A$2:$A$4001,"&gt;="&amp;'إعدادات المخزون'!$B$5,'مشتريات يومية'!$A$2:$A$4001,"&lt;="&amp;'إعدادات المخزون'!$B$4)</f>
        <v>40</v>
      </c>
      <c r="F21" s="108"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8"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8" t="n">
        <f aca="false">SUMPRODUCT('مصفوفة الاستهلاك'!$P$2:$P$172,'متجهات المبيعات'!$F$2:$F$172)/'مواد المخزون'!$D$16</f>
        <v>0</v>
      </c>
      <c r="I21" s="108"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8" t="n">
        <f aca="false">D21+E21+F21-G21-H21-I21</f>
        <v>101.5</v>
      </c>
      <c r="K21" s="36" t="str">
        <f aca="false">IF(COUNTIFS('جرد فعلي'!$B$2:$B$12001,$B$2,'جرد فعلي'!$C$2:$C$12001,$A21,'جرد فعلي'!$A$2:$A$12001,'إعدادات المخزون'!$B$4)&gt;0,"نعم","لا")</f>
        <v>لا</v>
      </c>
      <c r="L21" s="109" t="str">
        <f aca="false">IF(K21="نعم",SUMIFS('جرد فعلي'!$D$2:$D$12001,'جرد فعلي'!$B$2:$B$12001,$B$2,'جرد فعلي'!$C$2:$C$12001,$A21,'جرد فعلي'!$A$2:$A$12001,'إعدادات المخزون'!$B$4),"")</f>
        <v/>
      </c>
      <c r="M21" s="108" t="str">
        <f aca="false">IF(K21="نعم",L21-J21,"")</f>
        <v/>
      </c>
      <c r="N21" s="110" t="str">
        <f aca="false">IF(K21="نعم",IF(J21=0,IF(M21=0,0,SIGN(M21)),M21/ABS(J21)),"")</f>
        <v/>
      </c>
      <c r="O21" s="107" t="str">
        <f aca="false">IF(K21="نعم",M21*C21,"")</f>
        <v/>
      </c>
      <c r="P21" s="36" t="str">
        <f aca="false">IF(K21&lt;&gt;"نعم","لم يُجرد",IF(ABS(N21)&lt;='إعدادات المخزون'!$B$7,"مطابق",IF(M21&lt;0,"عجز","زيادة")))</f>
        <v>لم يُجرد</v>
      </c>
      <c r="Q21" s="108" t="n">
        <f aca="false">J21-Z21</f>
        <v>101.5</v>
      </c>
      <c r="R21" s="108"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8" t="str">
        <f aca="false">IF(AND(K21="نعم",R21&lt;&gt;""),(L21-J21)-(R21-Q21),"")</f>
        <v/>
      </c>
      <c r="T21" s="107" t="str">
        <f aca="false">IF(S21="","",S21*C21)</f>
        <v/>
      </c>
      <c r="U21" s="108" t="n">
        <f aca="false">IF(K21="نعم",L21,J21)</f>
        <v>101.5</v>
      </c>
      <c r="V21" s="108" t="n">
        <f aca="false">SUMPRODUCT('مصفوفة الاستهلاك'!$P$2:$P$172,'متجهات المبيعات'!$G$2:$G$172)/'مواد المخزون'!$D$16/MAX(1,MIN('إعدادات المخزون'!$B$11,'إعدادات المخزون'!$B$4-'إعدادات المخزون'!$B$5+1))</f>
        <v>0</v>
      </c>
      <c r="W21" s="108" t="n">
        <f aca="false">IF(V21&lt;=0,0,ROUNDUP(MAX(0,V21*('إعدادات المخزون'!$B$8+'إعدادات المخزون'!$B$9+'إعدادات المخزون'!$B$10)-MAX(U21,0))/'مواد المخزون'!$F16,0)*'مواد المخزون'!$F16)</f>
        <v>0</v>
      </c>
      <c r="X21" s="107" t="n">
        <f aca="false">IF(AND(K21="نعم",O21&lt;0),-O21+ROW()*0.000000001,0)</f>
        <v>0</v>
      </c>
      <c r="Y21" s="107" t="n">
        <f aca="false">IF(AND(K21="نعم",O21&gt;0),O21+ROW()*0.000000001,0)</f>
        <v>0</v>
      </c>
      <c r="Z21" s="108"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المبيعات'!$E$2:$E$172)/'مواد المخزون'!$D$16</f>
        <v>0</v>
      </c>
      <c r="AA21" s="107" t="n">
        <f aca="false">IF(K21="نعم",O21,0)</f>
        <v>0</v>
      </c>
      <c r="AB21" s="107" t="n">
        <f aca="false">IF(K21="نعم",J21*C21,0)</f>
        <v>0</v>
      </c>
      <c r="AC21" s="107"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7" t="n">
        <f aca="false">'مواد المخزون'!E17</f>
        <v>30</v>
      </c>
      <c r="D22" s="108" t="n">
        <f aca="false">'جرد أول المدة'!D20</f>
        <v>42.5</v>
      </c>
      <c r="E22" s="108" t="n">
        <f aca="false">SUMIFS('مشتريات يومية'!$D$2:$D$4001,'مشتريات يومية'!$B$2:$B$4001,$B$2,'مشتريات يومية'!$C$2:$C$4001,$A22,'مشتريات يومية'!$A$2:$A$4001,"&gt;="&amp;'إعدادات المخزون'!$B$5,'مشتريات يومية'!$A$2:$A$4001,"&lt;="&amp;'إعدادات المخزون'!$B$4)</f>
        <v>60</v>
      </c>
      <c r="F22" s="108"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8"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8" t="n">
        <f aca="false">SUMPRODUCT('مصفوفة الاستهلاك'!$Q$2:$Q$172,'متجهات المبيعات'!$F$2:$F$172)/'مواد المخزون'!$D$17</f>
        <v>0</v>
      </c>
      <c r="I22" s="108"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8" t="n">
        <f aca="false">D22+E22+F22-G22-H22-I22</f>
        <v>102.5</v>
      </c>
      <c r="K22" s="36" t="str">
        <f aca="false">IF(COUNTIFS('جرد فعلي'!$B$2:$B$12001,$B$2,'جرد فعلي'!$C$2:$C$12001,$A22,'جرد فعلي'!$A$2:$A$12001,'إعدادات المخزون'!$B$4)&gt;0,"نعم","لا")</f>
        <v>لا</v>
      </c>
      <c r="L22" s="109" t="str">
        <f aca="false">IF(K22="نعم",SUMIFS('جرد فعلي'!$D$2:$D$12001,'جرد فعلي'!$B$2:$B$12001,$B$2,'جرد فعلي'!$C$2:$C$12001,$A22,'جرد فعلي'!$A$2:$A$12001,'إعدادات المخزون'!$B$4),"")</f>
        <v/>
      </c>
      <c r="M22" s="108" t="str">
        <f aca="false">IF(K22="نعم",L22-J22,"")</f>
        <v/>
      </c>
      <c r="N22" s="110" t="str">
        <f aca="false">IF(K22="نعم",IF(J22=0,IF(M22=0,0,SIGN(M22)),M22/ABS(J22)),"")</f>
        <v/>
      </c>
      <c r="O22" s="107" t="str">
        <f aca="false">IF(K22="نعم",M22*C22,"")</f>
        <v/>
      </c>
      <c r="P22" s="36" t="str">
        <f aca="false">IF(K22&lt;&gt;"نعم","لم يُجرد",IF(ABS(N22)&lt;='إعدادات المخزون'!$B$7,"مطابق",IF(M22&lt;0,"عجز","زيادة")))</f>
        <v>لم يُجرد</v>
      </c>
      <c r="Q22" s="108" t="n">
        <f aca="false">J22-Z22</f>
        <v>102.5</v>
      </c>
      <c r="R22" s="108"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8" t="str">
        <f aca="false">IF(AND(K22="نعم",R22&lt;&gt;""),(L22-J22)-(R22-Q22),"")</f>
        <v/>
      </c>
      <c r="T22" s="107" t="str">
        <f aca="false">IF(S22="","",S22*C22)</f>
        <v/>
      </c>
      <c r="U22" s="108" t="n">
        <f aca="false">IF(K22="نعم",L22,J22)</f>
        <v>102.5</v>
      </c>
      <c r="V22" s="108" t="n">
        <f aca="false">SUMPRODUCT('مصفوفة الاستهلاك'!$Q$2:$Q$172,'متجهات المبيعات'!$G$2:$G$172)/'مواد المخزون'!$D$17/MAX(1,MIN('إعدادات المخزون'!$B$11,'إعدادات المخزون'!$B$4-'إعدادات المخزون'!$B$5+1))</f>
        <v>0</v>
      </c>
      <c r="W22" s="108" t="n">
        <f aca="false">IF(V22&lt;=0,0,ROUNDUP(MAX(0,V22*('إعدادات المخزون'!$B$8+'إعدادات المخزون'!$B$9+'إعدادات المخزون'!$B$10)-MAX(U22,0))/'مواد المخزون'!$F17,0)*'مواد المخزون'!$F17)</f>
        <v>0</v>
      </c>
      <c r="X22" s="107" t="n">
        <f aca="false">IF(AND(K22="نعم",O22&lt;0),-O22+ROW()*0.000000001,0)</f>
        <v>0</v>
      </c>
      <c r="Y22" s="107" t="n">
        <f aca="false">IF(AND(K22="نعم",O22&gt;0),O22+ROW()*0.000000001,0)</f>
        <v>0</v>
      </c>
      <c r="Z22" s="108"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المبيعات'!$E$2:$E$172)/'مواد المخزون'!$D$17</f>
        <v>0</v>
      </c>
      <c r="AA22" s="107" t="n">
        <f aca="false">IF(K22="نعم",O22,0)</f>
        <v>0</v>
      </c>
      <c r="AB22" s="107" t="n">
        <f aca="false">IF(K22="نعم",J22*C22,0)</f>
        <v>0</v>
      </c>
      <c r="AC22" s="107"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7" t="n">
        <f aca="false">'مواد المخزون'!E18</f>
        <v>29</v>
      </c>
      <c r="D23" s="108" t="n">
        <f aca="false">'جرد أول المدة'!D21</f>
        <v>36</v>
      </c>
      <c r="E23" s="108" t="n">
        <f aca="false">SUMIFS('مشتريات يومية'!$D$2:$D$4001,'مشتريات يومية'!$B$2:$B$4001,$B$2,'مشتريات يومية'!$C$2:$C$4001,$A23,'مشتريات يومية'!$A$2:$A$4001,"&gt;="&amp;'إعدادات المخزون'!$B$5,'مشتريات يومية'!$A$2:$A$4001,"&lt;="&amp;'إعدادات المخزون'!$B$4)</f>
        <v>0</v>
      </c>
      <c r="F23" s="108"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8"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8" t="n">
        <f aca="false">SUMPRODUCT('مصفوفة الاستهلاك'!$R$2:$R$172,'متجهات المبيعات'!$F$2:$F$172)/'مواد المخزون'!$D$18</f>
        <v>0</v>
      </c>
      <c r="I23" s="108"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8" t="n">
        <f aca="false">D23+E23+F23-G23-H23-I23</f>
        <v>36</v>
      </c>
      <c r="K23" s="36" t="str">
        <f aca="false">IF(COUNTIFS('جرد فعلي'!$B$2:$B$12001,$B$2,'جرد فعلي'!$C$2:$C$12001,$A23,'جرد فعلي'!$A$2:$A$12001,'إعدادات المخزون'!$B$4)&gt;0,"نعم","لا")</f>
        <v>لا</v>
      </c>
      <c r="L23" s="109" t="str">
        <f aca="false">IF(K23="نعم",SUMIFS('جرد فعلي'!$D$2:$D$12001,'جرد فعلي'!$B$2:$B$12001,$B$2,'جرد فعلي'!$C$2:$C$12001,$A23,'جرد فعلي'!$A$2:$A$12001,'إعدادات المخزون'!$B$4),"")</f>
        <v/>
      </c>
      <c r="M23" s="108" t="str">
        <f aca="false">IF(K23="نعم",L23-J23,"")</f>
        <v/>
      </c>
      <c r="N23" s="110" t="str">
        <f aca="false">IF(K23="نعم",IF(J23=0,IF(M23=0,0,SIGN(M23)),M23/ABS(J23)),"")</f>
        <v/>
      </c>
      <c r="O23" s="107" t="str">
        <f aca="false">IF(K23="نعم",M23*C23,"")</f>
        <v/>
      </c>
      <c r="P23" s="36" t="str">
        <f aca="false">IF(K23&lt;&gt;"نعم","لم يُجرد",IF(ABS(N23)&lt;='إعدادات المخزون'!$B$7,"مطابق",IF(M23&lt;0,"عجز","زيادة")))</f>
        <v>لم يُجرد</v>
      </c>
      <c r="Q23" s="108" t="n">
        <f aca="false">J23-Z23</f>
        <v>36</v>
      </c>
      <c r="R23" s="108"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8" t="str">
        <f aca="false">IF(AND(K23="نعم",R23&lt;&gt;""),(L23-J23)-(R23-Q23),"")</f>
        <v/>
      </c>
      <c r="T23" s="107" t="str">
        <f aca="false">IF(S23="","",S23*C23)</f>
        <v/>
      </c>
      <c r="U23" s="108" t="n">
        <f aca="false">IF(K23="نعم",L23,J23)</f>
        <v>36</v>
      </c>
      <c r="V23" s="108" t="n">
        <f aca="false">SUMPRODUCT('مصفوفة الاستهلاك'!$R$2:$R$172,'متجهات المبيعات'!$G$2:$G$172)/'مواد المخزون'!$D$18/MAX(1,MIN('إعدادات المخزون'!$B$11,'إعدادات المخزون'!$B$4-'إعدادات المخزون'!$B$5+1))</f>
        <v>0</v>
      </c>
      <c r="W23" s="108" t="n">
        <f aca="false">IF(V23&lt;=0,0,ROUNDUP(MAX(0,V23*('إعدادات المخزون'!$B$8+'إعدادات المخزون'!$B$9+'إعدادات المخزون'!$B$10)-MAX(U23,0))/'مواد المخزون'!$F18,0)*'مواد المخزون'!$F18)</f>
        <v>0</v>
      </c>
      <c r="X23" s="107" t="n">
        <f aca="false">IF(AND(K23="نعم",O23&lt;0),-O23+ROW()*0.000000001,0)</f>
        <v>0</v>
      </c>
      <c r="Y23" s="107" t="n">
        <f aca="false">IF(AND(K23="نعم",O23&gt;0),O23+ROW()*0.000000001,0)</f>
        <v>0</v>
      </c>
      <c r="Z23" s="108"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المبيعات'!$E$2:$E$172)/'مواد المخزون'!$D$18</f>
        <v>0</v>
      </c>
      <c r="AA23" s="107" t="n">
        <f aca="false">IF(K23="نعم",O23,0)</f>
        <v>0</v>
      </c>
      <c r="AB23" s="107" t="n">
        <f aca="false">IF(K23="نعم",J23*C23,0)</f>
        <v>0</v>
      </c>
      <c r="AC23" s="107"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7" t="n">
        <f aca="false">'مواد المخزون'!E19</f>
        <v>25</v>
      </c>
      <c r="D24" s="108" t="n">
        <f aca="false">'جرد أول المدة'!D22</f>
        <v>19</v>
      </c>
      <c r="E24" s="108" t="n">
        <f aca="false">SUMIFS('مشتريات يومية'!$D$2:$D$4001,'مشتريات يومية'!$B$2:$B$4001,$B$2,'مشتريات يومية'!$C$2:$C$4001,$A24,'مشتريات يومية'!$A$2:$A$4001,"&gt;="&amp;'إعدادات المخزون'!$B$5,'مشتريات يومية'!$A$2:$A$4001,"&lt;="&amp;'إعدادات المخزون'!$B$4)</f>
        <v>0</v>
      </c>
      <c r="F24" s="108"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8"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8" t="n">
        <f aca="false">SUMPRODUCT('مصفوفة الاستهلاك'!$S$2:$S$172,'متجهات المبيعات'!$F$2:$F$172)/'مواد المخزون'!$D$19</f>
        <v>0</v>
      </c>
      <c r="I24" s="108"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8" t="n">
        <f aca="false">D24+E24+F24-G24-H24-I24</f>
        <v>19</v>
      </c>
      <c r="K24" s="36" t="str">
        <f aca="false">IF(COUNTIFS('جرد فعلي'!$B$2:$B$12001,$B$2,'جرد فعلي'!$C$2:$C$12001,$A24,'جرد فعلي'!$A$2:$A$12001,'إعدادات المخزون'!$B$4)&gt;0,"نعم","لا")</f>
        <v>لا</v>
      </c>
      <c r="L24" s="109" t="str">
        <f aca="false">IF(K24="نعم",SUMIFS('جرد فعلي'!$D$2:$D$12001,'جرد فعلي'!$B$2:$B$12001,$B$2,'جرد فعلي'!$C$2:$C$12001,$A24,'جرد فعلي'!$A$2:$A$12001,'إعدادات المخزون'!$B$4),"")</f>
        <v/>
      </c>
      <c r="M24" s="108" t="str">
        <f aca="false">IF(K24="نعم",L24-J24,"")</f>
        <v/>
      </c>
      <c r="N24" s="110" t="str">
        <f aca="false">IF(K24="نعم",IF(J24=0,IF(M24=0,0,SIGN(M24)),M24/ABS(J24)),"")</f>
        <v/>
      </c>
      <c r="O24" s="107" t="str">
        <f aca="false">IF(K24="نعم",M24*C24,"")</f>
        <v/>
      </c>
      <c r="P24" s="36" t="str">
        <f aca="false">IF(K24&lt;&gt;"نعم","لم يُجرد",IF(ABS(N24)&lt;='إعدادات المخزون'!$B$7,"مطابق",IF(M24&lt;0,"عجز","زيادة")))</f>
        <v>لم يُجرد</v>
      </c>
      <c r="Q24" s="108" t="n">
        <f aca="false">J24-Z24</f>
        <v>19</v>
      </c>
      <c r="R24" s="108"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8" t="str">
        <f aca="false">IF(AND(K24="نعم",R24&lt;&gt;""),(L24-J24)-(R24-Q24),"")</f>
        <v/>
      </c>
      <c r="T24" s="107" t="str">
        <f aca="false">IF(S24="","",S24*C24)</f>
        <v/>
      </c>
      <c r="U24" s="108" t="n">
        <f aca="false">IF(K24="نعم",L24,J24)</f>
        <v>19</v>
      </c>
      <c r="V24" s="108" t="n">
        <f aca="false">SUMPRODUCT('مصفوفة الاستهلاك'!$S$2:$S$172,'متجهات المبيعات'!$G$2:$G$172)/'مواد المخزون'!$D$19/MAX(1,MIN('إعدادات المخزون'!$B$11,'إعدادات المخزون'!$B$4-'إعدادات المخزون'!$B$5+1))</f>
        <v>0</v>
      </c>
      <c r="W24" s="108" t="n">
        <f aca="false">IF(V24&lt;=0,0,ROUNDUP(MAX(0,V24*('إعدادات المخزون'!$B$8+'إعدادات المخزون'!$B$9+'إعدادات المخزون'!$B$10)-MAX(U24,0))/'مواد المخزون'!$F19,0)*'مواد المخزون'!$F19)</f>
        <v>0</v>
      </c>
      <c r="X24" s="107" t="n">
        <f aca="false">IF(AND(K24="نعم",O24&lt;0),-O24+ROW()*0.000000001,0)</f>
        <v>0</v>
      </c>
      <c r="Y24" s="107" t="n">
        <f aca="false">IF(AND(K24="نعم",O24&gt;0),O24+ROW()*0.000000001,0)</f>
        <v>0</v>
      </c>
      <c r="Z24" s="108"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المبيعات'!$E$2:$E$172)/'مواد المخزون'!$D$19</f>
        <v>0</v>
      </c>
      <c r="AA24" s="107" t="n">
        <f aca="false">IF(K24="نعم",O24,0)</f>
        <v>0</v>
      </c>
      <c r="AB24" s="107" t="n">
        <f aca="false">IF(K24="نعم",J24*C24,0)</f>
        <v>0</v>
      </c>
      <c r="AC24" s="107"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7" t="n">
        <f aca="false">'مواد المخزون'!E20</f>
        <v>21</v>
      </c>
      <c r="D25" s="108" t="n">
        <f aca="false">'جرد أول المدة'!D23</f>
        <v>24</v>
      </c>
      <c r="E25" s="108" t="n">
        <f aca="false">SUMIFS('مشتريات يومية'!$D$2:$D$4001,'مشتريات يومية'!$B$2:$B$4001,$B$2,'مشتريات يومية'!$C$2:$C$4001,$A25,'مشتريات يومية'!$A$2:$A$4001,"&gt;="&amp;'إعدادات المخزون'!$B$5,'مشتريات يومية'!$A$2:$A$4001,"&lt;="&amp;'إعدادات المخزون'!$B$4)</f>
        <v>10</v>
      </c>
      <c r="F25" s="108"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8"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8" t="n">
        <f aca="false">SUMPRODUCT('مصفوفة الاستهلاك'!$T$2:$T$172,'متجهات المبيعات'!$F$2:$F$172)/'مواد المخزون'!$D$20</f>
        <v>0</v>
      </c>
      <c r="I25" s="108"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8" t="n">
        <f aca="false">D25+E25+F25-G25-H25-I25</f>
        <v>34</v>
      </c>
      <c r="K25" s="36" t="str">
        <f aca="false">IF(COUNTIFS('جرد فعلي'!$B$2:$B$12001,$B$2,'جرد فعلي'!$C$2:$C$12001,$A25,'جرد فعلي'!$A$2:$A$12001,'إعدادات المخزون'!$B$4)&gt;0,"نعم","لا")</f>
        <v>لا</v>
      </c>
      <c r="L25" s="109" t="str">
        <f aca="false">IF(K25="نعم",SUMIFS('جرد فعلي'!$D$2:$D$12001,'جرد فعلي'!$B$2:$B$12001,$B$2,'جرد فعلي'!$C$2:$C$12001,$A25,'جرد فعلي'!$A$2:$A$12001,'إعدادات المخزون'!$B$4),"")</f>
        <v/>
      </c>
      <c r="M25" s="108" t="str">
        <f aca="false">IF(K25="نعم",L25-J25,"")</f>
        <v/>
      </c>
      <c r="N25" s="110" t="str">
        <f aca="false">IF(K25="نعم",IF(J25=0,IF(M25=0,0,SIGN(M25)),M25/ABS(J25)),"")</f>
        <v/>
      </c>
      <c r="O25" s="107" t="str">
        <f aca="false">IF(K25="نعم",M25*C25,"")</f>
        <v/>
      </c>
      <c r="P25" s="36" t="str">
        <f aca="false">IF(K25&lt;&gt;"نعم","لم يُجرد",IF(ABS(N25)&lt;='إعدادات المخزون'!$B$7,"مطابق",IF(M25&lt;0,"عجز","زيادة")))</f>
        <v>لم يُجرد</v>
      </c>
      <c r="Q25" s="108" t="n">
        <f aca="false">J25-Z25</f>
        <v>34</v>
      </c>
      <c r="R25" s="108"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8" t="str">
        <f aca="false">IF(AND(K25="نعم",R25&lt;&gt;""),(L25-J25)-(R25-Q25),"")</f>
        <v/>
      </c>
      <c r="T25" s="107" t="str">
        <f aca="false">IF(S25="","",S25*C25)</f>
        <v/>
      </c>
      <c r="U25" s="108" t="n">
        <f aca="false">IF(K25="نعم",L25,J25)</f>
        <v>34</v>
      </c>
      <c r="V25" s="108" t="n">
        <f aca="false">SUMPRODUCT('مصفوفة الاستهلاك'!$T$2:$T$172,'متجهات المبيعات'!$G$2:$G$172)/'مواد المخزون'!$D$20/MAX(1,MIN('إعدادات المخزون'!$B$11,'إعدادات المخزون'!$B$4-'إعدادات المخزون'!$B$5+1))</f>
        <v>0</v>
      </c>
      <c r="W25" s="108" t="n">
        <f aca="false">IF(V25&lt;=0,0,ROUNDUP(MAX(0,V25*('إعدادات المخزون'!$B$8+'إعدادات المخزون'!$B$9+'إعدادات المخزون'!$B$10)-MAX(U25,0))/'مواد المخزون'!$F20,0)*'مواد المخزون'!$F20)</f>
        <v>0</v>
      </c>
      <c r="X25" s="107" t="n">
        <f aca="false">IF(AND(K25="نعم",O25&lt;0),-O25+ROW()*0.000000001,0)</f>
        <v>0</v>
      </c>
      <c r="Y25" s="107" t="n">
        <f aca="false">IF(AND(K25="نعم",O25&gt;0),O25+ROW()*0.000000001,0)</f>
        <v>0</v>
      </c>
      <c r="Z25" s="108"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المبيعات'!$E$2:$E$172)/'مواد المخزون'!$D$20</f>
        <v>0</v>
      </c>
      <c r="AA25" s="107" t="n">
        <f aca="false">IF(K25="نعم",O25,0)</f>
        <v>0</v>
      </c>
      <c r="AB25" s="107" t="n">
        <f aca="false">IF(K25="نعم",J25*C25,0)</f>
        <v>0</v>
      </c>
      <c r="AC25" s="107"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7" t="n">
        <f aca="false">'مواد المخزون'!E21</f>
        <v>23</v>
      </c>
      <c r="D26" s="108" t="n">
        <f aca="false">'جرد أول المدة'!D24</f>
        <v>6</v>
      </c>
      <c r="E26" s="108" t="n">
        <f aca="false">SUMIFS('مشتريات يومية'!$D$2:$D$4001,'مشتريات يومية'!$B$2:$B$4001,$B$2,'مشتريات يومية'!$C$2:$C$4001,$A26,'مشتريات يومية'!$A$2:$A$4001,"&gt;="&amp;'إعدادات المخزون'!$B$5,'مشتريات يومية'!$A$2:$A$4001,"&lt;="&amp;'إعدادات المخزون'!$B$4)</f>
        <v>16</v>
      </c>
      <c r="F26" s="108"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8"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8" t="n">
        <f aca="false">SUMPRODUCT('مصفوفة الاستهلاك'!$U$2:$U$172,'متجهات المبيعات'!$F$2:$F$172)/'مواد المخزون'!$D$21</f>
        <v>0</v>
      </c>
      <c r="I26" s="108"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8" t="n">
        <f aca="false">D26+E26+F26-G26-H26-I26</f>
        <v>22</v>
      </c>
      <c r="K26" s="36" t="str">
        <f aca="false">IF(COUNTIFS('جرد فعلي'!$B$2:$B$12001,$B$2,'جرد فعلي'!$C$2:$C$12001,$A26,'جرد فعلي'!$A$2:$A$12001,'إعدادات المخزون'!$B$4)&gt;0,"نعم","لا")</f>
        <v>لا</v>
      </c>
      <c r="L26" s="109" t="str">
        <f aca="false">IF(K26="نعم",SUMIFS('جرد فعلي'!$D$2:$D$12001,'جرد فعلي'!$B$2:$B$12001,$B$2,'جرد فعلي'!$C$2:$C$12001,$A26,'جرد فعلي'!$A$2:$A$12001,'إعدادات المخزون'!$B$4),"")</f>
        <v/>
      </c>
      <c r="M26" s="108" t="str">
        <f aca="false">IF(K26="نعم",L26-J26,"")</f>
        <v/>
      </c>
      <c r="N26" s="110" t="str">
        <f aca="false">IF(K26="نعم",IF(J26=0,IF(M26=0,0,SIGN(M26)),M26/ABS(J26)),"")</f>
        <v/>
      </c>
      <c r="O26" s="107" t="str">
        <f aca="false">IF(K26="نعم",M26*C26,"")</f>
        <v/>
      </c>
      <c r="P26" s="36" t="str">
        <f aca="false">IF(K26&lt;&gt;"نعم","لم يُجرد",IF(ABS(N26)&lt;='إعدادات المخزون'!$B$7,"مطابق",IF(M26&lt;0,"عجز","زيادة")))</f>
        <v>لم يُجرد</v>
      </c>
      <c r="Q26" s="108" t="n">
        <f aca="false">J26-Z26</f>
        <v>22</v>
      </c>
      <c r="R26" s="108"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8" t="str">
        <f aca="false">IF(AND(K26="نعم",R26&lt;&gt;""),(L26-J26)-(R26-Q26),"")</f>
        <v/>
      </c>
      <c r="T26" s="107" t="str">
        <f aca="false">IF(S26="","",S26*C26)</f>
        <v/>
      </c>
      <c r="U26" s="108" t="n">
        <f aca="false">IF(K26="نعم",L26,J26)</f>
        <v>22</v>
      </c>
      <c r="V26" s="108" t="n">
        <f aca="false">SUMPRODUCT('مصفوفة الاستهلاك'!$U$2:$U$172,'متجهات المبيعات'!$G$2:$G$172)/'مواد المخزون'!$D$21/MAX(1,MIN('إعدادات المخزون'!$B$11,'إعدادات المخزون'!$B$4-'إعدادات المخزون'!$B$5+1))</f>
        <v>0</v>
      </c>
      <c r="W26" s="108" t="n">
        <f aca="false">IF(V26&lt;=0,0,ROUNDUP(MAX(0,V26*('إعدادات المخزون'!$B$8+'إعدادات المخزون'!$B$9+'إعدادات المخزون'!$B$10)-MAX(U26,0))/'مواد المخزون'!$F21,0)*'مواد المخزون'!$F21)</f>
        <v>0</v>
      </c>
      <c r="X26" s="107" t="n">
        <f aca="false">IF(AND(K26="نعم",O26&lt;0),-O26+ROW()*0.000000001,0)</f>
        <v>0</v>
      </c>
      <c r="Y26" s="107" t="n">
        <f aca="false">IF(AND(K26="نعم",O26&gt;0),O26+ROW()*0.000000001,0)</f>
        <v>0</v>
      </c>
      <c r="Z26" s="108"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المبيعات'!$E$2:$E$172)/'مواد المخزون'!$D$21</f>
        <v>0</v>
      </c>
      <c r="AA26" s="107" t="n">
        <f aca="false">IF(K26="نعم",O26,0)</f>
        <v>0</v>
      </c>
      <c r="AB26" s="107" t="n">
        <f aca="false">IF(K26="نعم",J26*C26,0)</f>
        <v>0</v>
      </c>
      <c r="AC26" s="107"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7" t="n">
        <f aca="false">'مواد المخزون'!E22</f>
        <v>20</v>
      </c>
      <c r="D27" s="108" t="n">
        <f aca="false">'جرد أول المدة'!D25</f>
        <v>61.5</v>
      </c>
      <c r="E27" s="108" t="n">
        <f aca="false">SUMIFS('مشتريات يومية'!$D$2:$D$4001,'مشتريات يومية'!$B$2:$B$4001,$B$2,'مشتريات يومية'!$C$2:$C$4001,$A27,'مشتريات يومية'!$A$2:$A$4001,"&gt;="&amp;'إعدادات المخزون'!$B$5,'مشتريات يومية'!$A$2:$A$4001,"&lt;="&amp;'إعدادات المخزون'!$B$4)</f>
        <v>555</v>
      </c>
      <c r="F27" s="108"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8"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8" t="n">
        <f aca="false">SUMPRODUCT('مصفوفة الاستهلاك'!$V$2:$V$172,'متجهات المبيعات'!$F$2:$F$172)/'مواد المخزون'!$D$22</f>
        <v>0</v>
      </c>
      <c r="I27" s="108"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8" t="n">
        <f aca="false">D27+E27+F27-G27-H27-I27</f>
        <v>616.5</v>
      </c>
      <c r="K27" s="36" t="str">
        <f aca="false">IF(COUNTIFS('جرد فعلي'!$B$2:$B$12001,$B$2,'جرد فعلي'!$C$2:$C$12001,$A27,'جرد فعلي'!$A$2:$A$12001,'إعدادات المخزون'!$B$4)&gt;0,"نعم","لا")</f>
        <v>لا</v>
      </c>
      <c r="L27" s="109" t="str">
        <f aca="false">IF(K27="نعم",SUMIFS('جرد فعلي'!$D$2:$D$12001,'جرد فعلي'!$B$2:$B$12001,$B$2,'جرد فعلي'!$C$2:$C$12001,$A27,'جرد فعلي'!$A$2:$A$12001,'إعدادات المخزون'!$B$4),"")</f>
        <v/>
      </c>
      <c r="M27" s="108" t="str">
        <f aca="false">IF(K27="نعم",L27-J27,"")</f>
        <v/>
      </c>
      <c r="N27" s="110" t="str">
        <f aca="false">IF(K27="نعم",IF(J27=0,IF(M27=0,0,SIGN(M27)),M27/ABS(J27)),"")</f>
        <v/>
      </c>
      <c r="O27" s="107" t="str">
        <f aca="false">IF(K27="نعم",M27*C27,"")</f>
        <v/>
      </c>
      <c r="P27" s="36" t="str">
        <f aca="false">IF(K27&lt;&gt;"نعم","لم يُجرد",IF(ABS(N27)&lt;='إعدادات المخزون'!$B$7,"مطابق",IF(M27&lt;0,"عجز","زيادة")))</f>
        <v>لم يُجرد</v>
      </c>
      <c r="Q27" s="108" t="n">
        <f aca="false">J27-Z27</f>
        <v>616.5</v>
      </c>
      <c r="R27" s="108"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8" t="str">
        <f aca="false">IF(AND(K27="نعم",R27&lt;&gt;""),(L27-J27)-(R27-Q27),"")</f>
        <v/>
      </c>
      <c r="T27" s="107" t="str">
        <f aca="false">IF(S27="","",S27*C27)</f>
        <v/>
      </c>
      <c r="U27" s="108" t="n">
        <f aca="false">IF(K27="نعم",L27,J27)</f>
        <v>616.5</v>
      </c>
      <c r="V27" s="108" t="n">
        <f aca="false">SUMPRODUCT('مصفوفة الاستهلاك'!$V$2:$V$172,'متجهات المبيعات'!$G$2:$G$172)/'مواد المخزون'!$D$22/MAX(1,MIN('إعدادات المخزون'!$B$11,'إعدادات المخزون'!$B$4-'إعدادات المخزون'!$B$5+1))</f>
        <v>0</v>
      </c>
      <c r="W27" s="108" t="n">
        <f aca="false">IF(V27&lt;=0,0,ROUNDUP(MAX(0,V27*('إعدادات المخزون'!$B$8+'إعدادات المخزون'!$B$9+'إعدادات المخزون'!$B$10)-MAX(U27,0))/'مواد المخزون'!$F22,0)*'مواد المخزون'!$F22)</f>
        <v>0</v>
      </c>
      <c r="X27" s="107" t="n">
        <f aca="false">IF(AND(K27="نعم",O27&lt;0),-O27+ROW()*0.000000001,0)</f>
        <v>0</v>
      </c>
      <c r="Y27" s="107" t="n">
        <f aca="false">IF(AND(K27="نعم",O27&gt;0),O27+ROW()*0.000000001,0)</f>
        <v>0</v>
      </c>
      <c r="Z27" s="108"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المبيعات'!$E$2:$E$172)/'مواد المخزون'!$D$22</f>
        <v>0</v>
      </c>
      <c r="AA27" s="107" t="n">
        <f aca="false">IF(K27="نعم",O27,0)</f>
        <v>0</v>
      </c>
      <c r="AB27" s="107" t="n">
        <f aca="false">IF(K27="نعم",J27*C27,0)</f>
        <v>0</v>
      </c>
      <c r="AC27" s="107"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7" t="n">
        <f aca="false">'مواد المخزون'!E23</f>
        <v>27.1395</v>
      </c>
      <c r="D28" s="108" t="n">
        <f aca="false">'جرد أول المدة'!D26</f>
        <v>75</v>
      </c>
      <c r="E28" s="108" t="n">
        <f aca="false">SUMIFS('مشتريات يومية'!$D$2:$D$4001,'مشتريات يومية'!$B$2:$B$4001,$B$2,'مشتريات يومية'!$C$2:$C$4001,$A28,'مشتريات يومية'!$A$2:$A$4001,"&gt;="&amp;'إعدادات المخزون'!$B$5,'مشتريات يومية'!$A$2:$A$4001,"&lt;="&amp;'إعدادات المخزون'!$B$4)</f>
        <v>110</v>
      </c>
      <c r="F28" s="108"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8"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8" t="n">
        <f aca="false">SUMPRODUCT('مصفوفة الاستهلاك'!$W$2:$W$172,'متجهات المبيعات'!$F$2:$F$172)/'مواد المخزون'!$D$23</f>
        <v>0</v>
      </c>
      <c r="I28" s="108"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8" t="n">
        <f aca="false">D28+E28+F28-G28-H28-I28</f>
        <v>185</v>
      </c>
      <c r="K28" s="36" t="str">
        <f aca="false">IF(COUNTIFS('جرد فعلي'!$B$2:$B$12001,$B$2,'جرد فعلي'!$C$2:$C$12001,$A28,'جرد فعلي'!$A$2:$A$12001,'إعدادات المخزون'!$B$4)&gt;0,"نعم","لا")</f>
        <v>لا</v>
      </c>
      <c r="L28" s="109" t="str">
        <f aca="false">IF(K28="نعم",SUMIFS('جرد فعلي'!$D$2:$D$12001,'جرد فعلي'!$B$2:$B$12001,$B$2,'جرد فعلي'!$C$2:$C$12001,$A28,'جرد فعلي'!$A$2:$A$12001,'إعدادات المخزون'!$B$4),"")</f>
        <v/>
      </c>
      <c r="M28" s="108" t="str">
        <f aca="false">IF(K28="نعم",L28-J28,"")</f>
        <v/>
      </c>
      <c r="N28" s="110" t="str">
        <f aca="false">IF(K28="نعم",IF(J28=0,IF(M28=0,0,SIGN(M28)),M28/ABS(J28)),"")</f>
        <v/>
      </c>
      <c r="O28" s="107" t="str">
        <f aca="false">IF(K28="نعم",M28*C28,"")</f>
        <v/>
      </c>
      <c r="P28" s="36" t="str">
        <f aca="false">IF(K28&lt;&gt;"نعم","لم يُجرد",IF(ABS(N28)&lt;='إعدادات المخزون'!$B$7,"مطابق",IF(M28&lt;0,"عجز","زيادة")))</f>
        <v>لم يُجرد</v>
      </c>
      <c r="Q28" s="108" t="n">
        <f aca="false">J28-Z28</f>
        <v>185</v>
      </c>
      <c r="R28" s="108"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8" t="str">
        <f aca="false">IF(AND(K28="نعم",R28&lt;&gt;""),(L28-J28)-(R28-Q28),"")</f>
        <v/>
      </c>
      <c r="T28" s="107" t="str">
        <f aca="false">IF(S28="","",S28*C28)</f>
        <v/>
      </c>
      <c r="U28" s="108" t="n">
        <f aca="false">IF(K28="نعم",L28,J28)</f>
        <v>185</v>
      </c>
      <c r="V28" s="108" t="n">
        <f aca="false">SUMPRODUCT('مصفوفة الاستهلاك'!$W$2:$W$172,'متجهات المبيعات'!$G$2:$G$172)/'مواد المخزون'!$D$23/MAX(1,MIN('إعدادات المخزون'!$B$11,'إعدادات المخزون'!$B$4-'إعدادات المخزون'!$B$5+1))</f>
        <v>0</v>
      </c>
      <c r="W28" s="108" t="n">
        <f aca="false">IF(V28&lt;=0,0,ROUNDUP(MAX(0,V28*('إعدادات المخزون'!$B$8+'إعدادات المخزون'!$B$9+'إعدادات المخزون'!$B$10)-MAX(U28,0))/'مواد المخزون'!$F23,0)*'مواد المخزون'!$F23)</f>
        <v>0</v>
      </c>
      <c r="X28" s="107" t="n">
        <f aca="false">IF(AND(K28="نعم",O28&lt;0),-O28+ROW()*0.000000001,0)</f>
        <v>0</v>
      </c>
      <c r="Y28" s="107" t="n">
        <f aca="false">IF(AND(K28="نعم",O28&gt;0),O28+ROW()*0.000000001,0)</f>
        <v>0</v>
      </c>
      <c r="Z28" s="108"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المبيعات'!$E$2:$E$172)/'مواد المخزون'!$D$23</f>
        <v>0</v>
      </c>
      <c r="AA28" s="107" t="n">
        <f aca="false">IF(K28="نعم",O28,0)</f>
        <v>0</v>
      </c>
      <c r="AB28" s="107" t="n">
        <f aca="false">IF(K28="نعم",J28*C28,0)</f>
        <v>0</v>
      </c>
      <c r="AC28" s="107"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7" t="n">
        <f aca="false">'مواد المخزون'!E24</f>
        <v>17.5</v>
      </c>
      <c r="D29" s="108" t="n">
        <f aca="false">'جرد أول المدة'!D27</f>
        <v>86</v>
      </c>
      <c r="E29" s="108" t="n">
        <f aca="false">SUMIFS('مشتريات يومية'!$D$2:$D$4001,'مشتريات يومية'!$B$2:$B$4001,$B$2,'مشتريات يومية'!$C$2:$C$4001,$A29,'مشتريات يومية'!$A$2:$A$4001,"&gt;="&amp;'إعدادات المخزون'!$B$5,'مشتريات يومية'!$A$2:$A$4001,"&lt;="&amp;'إعدادات المخزون'!$B$4)</f>
        <v>810</v>
      </c>
      <c r="F29" s="108"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8"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8" t="n">
        <f aca="false">SUMPRODUCT('مصفوفة الاستهلاك'!$X$2:$X$172,'متجهات المبيعات'!$F$2:$F$172)/'مواد المخزون'!$D$24</f>
        <v>0</v>
      </c>
      <c r="I29" s="108"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8" t="n">
        <f aca="false">D29+E29+F29-G29-H29-I29</f>
        <v>896</v>
      </c>
      <c r="K29" s="36" t="str">
        <f aca="false">IF(COUNTIFS('جرد فعلي'!$B$2:$B$12001,$B$2,'جرد فعلي'!$C$2:$C$12001,$A29,'جرد فعلي'!$A$2:$A$12001,'إعدادات المخزون'!$B$4)&gt;0,"نعم","لا")</f>
        <v>لا</v>
      </c>
      <c r="L29" s="109" t="str">
        <f aca="false">IF(K29="نعم",SUMIFS('جرد فعلي'!$D$2:$D$12001,'جرد فعلي'!$B$2:$B$12001,$B$2,'جرد فعلي'!$C$2:$C$12001,$A29,'جرد فعلي'!$A$2:$A$12001,'إعدادات المخزون'!$B$4),"")</f>
        <v/>
      </c>
      <c r="M29" s="108" t="str">
        <f aca="false">IF(K29="نعم",L29-J29,"")</f>
        <v/>
      </c>
      <c r="N29" s="110" t="str">
        <f aca="false">IF(K29="نعم",IF(J29=0,IF(M29=0,0,SIGN(M29)),M29/ABS(J29)),"")</f>
        <v/>
      </c>
      <c r="O29" s="107" t="str">
        <f aca="false">IF(K29="نعم",M29*C29,"")</f>
        <v/>
      </c>
      <c r="P29" s="36" t="str">
        <f aca="false">IF(K29&lt;&gt;"نعم","لم يُجرد",IF(ABS(N29)&lt;='إعدادات المخزون'!$B$7,"مطابق",IF(M29&lt;0,"عجز","زيادة")))</f>
        <v>لم يُجرد</v>
      </c>
      <c r="Q29" s="108" t="n">
        <f aca="false">J29-Z29</f>
        <v>896</v>
      </c>
      <c r="R29" s="108"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8" t="str">
        <f aca="false">IF(AND(K29="نعم",R29&lt;&gt;""),(L29-J29)-(R29-Q29),"")</f>
        <v/>
      </c>
      <c r="T29" s="107" t="str">
        <f aca="false">IF(S29="","",S29*C29)</f>
        <v/>
      </c>
      <c r="U29" s="108" t="n">
        <f aca="false">IF(K29="نعم",L29,J29)</f>
        <v>896</v>
      </c>
      <c r="V29" s="108" t="n">
        <f aca="false">SUMPRODUCT('مصفوفة الاستهلاك'!$X$2:$X$172,'متجهات المبيعات'!$G$2:$G$172)/'مواد المخزون'!$D$24/MAX(1,MIN('إعدادات المخزون'!$B$11,'إعدادات المخزون'!$B$4-'إعدادات المخزون'!$B$5+1))</f>
        <v>0</v>
      </c>
      <c r="W29" s="108" t="n">
        <f aca="false">IF(V29&lt;=0,0,ROUNDUP(MAX(0,V29*('إعدادات المخزون'!$B$8+'إعدادات المخزون'!$B$9+'إعدادات المخزون'!$B$10)-MAX(U29,0))/'مواد المخزون'!$F24,0)*'مواد المخزون'!$F24)</f>
        <v>0</v>
      </c>
      <c r="X29" s="107" t="n">
        <f aca="false">IF(AND(K29="نعم",O29&lt;0),-O29+ROW()*0.000000001,0)</f>
        <v>0</v>
      </c>
      <c r="Y29" s="107" t="n">
        <f aca="false">IF(AND(K29="نعم",O29&gt;0),O29+ROW()*0.000000001,0)</f>
        <v>0</v>
      </c>
      <c r="Z29" s="108"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المبيعات'!$E$2:$E$172)/'مواد المخزون'!$D$24</f>
        <v>0</v>
      </c>
      <c r="AA29" s="107" t="n">
        <f aca="false">IF(K29="نعم",O29,0)</f>
        <v>0</v>
      </c>
      <c r="AB29" s="107" t="n">
        <f aca="false">IF(K29="نعم",J29*C29,0)</f>
        <v>0</v>
      </c>
      <c r="AC29" s="107"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7" t="n">
        <f aca="false">'مواد المخزون'!E25</f>
        <v>25</v>
      </c>
      <c r="D30" s="108" t="n">
        <f aca="false">'جرد أول المدة'!D28</f>
        <v>39</v>
      </c>
      <c r="E30" s="108" t="n">
        <f aca="false">SUMIFS('مشتريات يومية'!$D$2:$D$4001,'مشتريات يومية'!$B$2:$B$4001,$B$2,'مشتريات يومية'!$C$2:$C$4001,$A30,'مشتريات يومية'!$A$2:$A$4001,"&gt;="&amp;'إعدادات المخزون'!$B$5,'مشتريات يومية'!$A$2:$A$4001,"&lt;="&amp;'إعدادات المخزون'!$B$4)</f>
        <v>200</v>
      </c>
      <c r="F30" s="108"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8"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8" t="n">
        <f aca="false">SUMPRODUCT('مصفوفة الاستهلاك'!$Y$2:$Y$172,'متجهات المبيعات'!$F$2:$F$172)/'مواد المخزون'!$D$25</f>
        <v>0</v>
      </c>
      <c r="I30" s="108"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8" t="n">
        <f aca="false">D30+E30+F30-G30-H30-I30</f>
        <v>239</v>
      </c>
      <c r="K30" s="36" t="str">
        <f aca="false">IF(COUNTIFS('جرد فعلي'!$B$2:$B$12001,$B$2,'جرد فعلي'!$C$2:$C$12001,$A30,'جرد فعلي'!$A$2:$A$12001,'إعدادات المخزون'!$B$4)&gt;0,"نعم","لا")</f>
        <v>لا</v>
      </c>
      <c r="L30" s="109" t="str">
        <f aca="false">IF(K30="نعم",SUMIFS('جرد فعلي'!$D$2:$D$12001,'جرد فعلي'!$B$2:$B$12001,$B$2,'جرد فعلي'!$C$2:$C$12001,$A30,'جرد فعلي'!$A$2:$A$12001,'إعدادات المخزون'!$B$4),"")</f>
        <v/>
      </c>
      <c r="M30" s="108" t="str">
        <f aca="false">IF(K30="نعم",L30-J30,"")</f>
        <v/>
      </c>
      <c r="N30" s="110" t="str">
        <f aca="false">IF(K30="نعم",IF(J30=0,IF(M30=0,0,SIGN(M30)),M30/ABS(J30)),"")</f>
        <v/>
      </c>
      <c r="O30" s="107" t="str">
        <f aca="false">IF(K30="نعم",M30*C30,"")</f>
        <v/>
      </c>
      <c r="P30" s="36" t="str">
        <f aca="false">IF(K30&lt;&gt;"نعم","لم يُجرد",IF(ABS(N30)&lt;='إعدادات المخزون'!$B$7,"مطابق",IF(M30&lt;0,"عجز","زيادة")))</f>
        <v>لم يُجرد</v>
      </c>
      <c r="Q30" s="108" t="n">
        <f aca="false">J30-Z30</f>
        <v>239</v>
      </c>
      <c r="R30" s="108"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8" t="str">
        <f aca="false">IF(AND(K30="نعم",R30&lt;&gt;""),(L30-J30)-(R30-Q30),"")</f>
        <v/>
      </c>
      <c r="T30" s="107" t="str">
        <f aca="false">IF(S30="","",S30*C30)</f>
        <v/>
      </c>
      <c r="U30" s="108" t="n">
        <f aca="false">IF(K30="نعم",L30,J30)</f>
        <v>239</v>
      </c>
      <c r="V30" s="108" t="n">
        <f aca="false">SUMPRODUCT('مصفوفة الاستهلاك'!$Y$2:$Y$172,'متجهات المبيعات'!$G$2:$G$172)/'مواد المخزون'!$D$25/MAX(1,MIN('إعدادات المخزون'!$B$11,'إعدادات المخزون'!$B$4-'إعدادات المخزون'!$B$5+1))</f>
        <v>0</v>
      </c>
      <c r="W30" s="108" t="n">
        <f aca="false">IF(V30&lt;=0,0,ROUNDUP(MAX(0,V30*('إعدادات المخزون'!$B$8+'إعدادات المخزون'!$B$9+'إعدادات المخزون'!$B$10)-MAX(U30,0))/'مواد المخزون'!$F25,0)*'مواد المخزون'!$F25)</f>
        <v>0</v>
      </c>
      <c r="X30" s="107" t="n">
        <f aca="false">IF(AND(K30="نعم",O30&lt;0),-O30+ROW()*0.000000001,0)</f>
        <v>0</v>
      </c>
      <c r="Y30" s="107" t="n">
        <f aca="false">IF(AND(K30="نعم",O30&gt;0),O30+ROW()*0.000000001,0)</f>
        <v>0</v>
      </c>
      <c r="Z30" s="108"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المبيعات'!$E$2:$E$172)/'مواد المخزون'!$D$25</f>
        <v>0</v>
      </c>
      <c r="AA30" s="107" t="n">
        <f aca="false">IF(K30="نعم",O30,0)</f>
        <v>0</v>
      </c>
      <c r="AB30" s="107" t="n">
        <f aca="false">IF(K30="نعم",J30*C30,0)</f>
        <v>0</v>
      </c>
      <c r="AC30" s="107"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7" t="n">
        <f aca="false">'مواد المخزون'!E26</f>
        <v>100</v>
      </c>
      <c r="D31" s="108" t="n">
        <f aca="false">'جرد أول المدة'!D29</f>
        <v>1</v>
      </c>
      <c r="E31" s="108" t="n">
        <f aca="false">SUMIFS('مشتريات يومية'!$D$2:$D$4001,'مشتريات يومية'!$B$2:$B$4001,$B$2,'مشتريات يومية'!$C$2:$C$4001,$A31,'مشتريات يومية'!$A$2:$A$4001,"&gt;="&amp;'إعدادات المخزون'!$B$5,'مشتريات يومية'!$A$2:$A$4001,"&lt;="&amp;'إعدادات المخزون'!$B$4)</f>
        <v>0</v>
      </c>
      <c r="F31" s="108"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8"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8" t="n">
        <f aca="false">SUMPRODUCT('مصفوفة الاستهلاك'!$Z$2:$Z$172,'متجهات المبيعات'!$F$2:$F$172)/'مواد المخزون'!$D$26</f>
        <v>0</v>
      </c>
      <c r="I31" s="108"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8" t="n">
        <f aca="false">D31+E31+F31-G31-H31-I31</f>
        <v>1</v>
      </c>
      <c r="K31" s="36" t="str">
        <f aca="false">IF(COUNTIFS('جرد فعلي'!$B$2:$B$12001,$B$2,'جرد فعلي'!$C$2:$C$12001,$A31,'جرد فعلي'!$A$2:$A$12001,'إعدادات المخزون'!$B$4)&gt;0,"نعم","لا")</f>
        <v>لا</v>
      </c>
      <c r="L31" s="109" t="str">
        <f aca="false">IF(K31="نعم",SUMIFS('جرد فعلي'!$D$2:$D$12001,'جرد فعلي'!$B$2:$B$12001,$B$2,'جرد فعلي'!$C$2:$C$12001,$A31,'جرد فعلي'!$A$2:$A$12001,'إعدادات المخزون'!$B$4),"")</f>
        <v/>
      </c>
      <c r="M31" s="108" t="str">
        <f aca="false">IF(K31="نعم",L31-J31,"")</f>
        <v/>
      </c>
      <c r="N31" s="110" t="str">
        <f aca="false">IF(K31="نعم",IF(J31=0,IF(M31=0,0,SIGN(M31)),M31/ABS(J31)),"")</f>
        <v/>
      </c>
      <c r="O31" s="107" t="str">
        <f aca="false">IF(K31="نعم",M31*C31,"")</f>
        <v/>
      </c>
      <c r="P31" s="36" t="str">
        <f aca="false">IF(K31&lt;&gt;"نعم","لم يُجرد",IF(ABS(N31)&lt;='إعدادات المخزون'!$B$7,"مطابق",IF(M31&lt;0,"عجز","زيادة")))</f>
        <v>لم يُجرد</v>
      </c>
      <c r="Q31" s="108" t="n">
        <f aca="false">J31-Z31</f>
        <v>1</v>
      </c>
      <c r="R31" s="108"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8" t="str">
        <f aca="false">IF(AND(K31="نعم",R31&lt;&gt;""),(L31-J31)-(R31-Q31),"")</f>
        <v/>
      </c>
      <c r="T31" s="107" t="str">
        <f aca="false">IF(S31="","",S31*C31)</f>
        <v/>
      </c>
      <c r="U31" s="108" t="n">
        <f aca="false">IF(K31="نعم",L31,J31)</f>
        <v>1</v>
      </c>
      <c r="V31" s="108" t="n">
        <f aca="false">SUMPRODUCT('مصفوفة الاستهلاك'!$Z$2:$Z$172,'متجهات المبيعات'!$G$2:$G$172)/'مواد المخزون'!$D$26/MAX(1,MIN('إعدادات المخزون'!$B$11,'إعدادات المخزون'!$B$4-'إعدادات المخزون'!$B$5+1))</f>
        <v>0</v>
      </c>
      <c r="W31" s="108" t="n">
        <f aca="false">IF(V31&lt;=0,0,ROUNDUP(MAX(0,V31*('إعدادات المخزون'!$B$8+'إعدادات المخزون'!$B$9+'إعدادات المخزون'!$B$10)-MAX(U31,0))/'مواد المخزون'!$F26,0)*'مواد المخزون'!$F26)</f>
        <v>0</v>
      </c>
      <c r="X31" s="107" t="n">
        <f aca="false">IF(AND(K31="نعم",O31&lt;0),-O31+ROW()*0.000000001,0)</f>
        <v>0</v>
      </c>
      <c r="Y31" s="107" t="n">
        <f aca="false">IF(AND(K31="نعم",O31&gt;0),O31+ROW()*0.000000001,0)</f>
        <v>0</v>
      </c>
      <c r="Z31" s="108"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المبيعات'!$E$2:$E$172)/'مواد المخزون'!$D$26</f>
        <v>0</v>
      </c>
      <c r="AA31" s="107" t="n">
        <f aca="false">IF(K31="نعم",O31,0)</f>
        <v>0</v>
      </c>
      <c r="AB31" s="107" t="n">
        <f aca="false">IF(K31="نعم",J31*C31,0)</f>
        <v>0</v>
      </c>
      <c r="AC31" s="107"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7" t="n">
        <f aca="false">'مواد المخزون'!E27</f>
        <v>104.58</v>
      </c>
      <c r="D32" s="108" t="n">
        <f aca="false">'جرد أول المدة'!D30</f>
        <v>0.35</v>
      </c>
      <c r="E32" s="108" t="n">
        <f aca="false">SUMIFS('مشتريات يومية'!$D$2:$D$4001,'مشتريات يومية'!$B$2:$B$4001,$B$2,'مشتريات يومية'!$C$2:$C$4001,$A32,'مشتريات يومية'!$A$2:$A$4001,"&gt;="&amp;'إعدادات المخزون'!$B$5,'مشتريات يومية'!$A$2:$A$4001,"&lt;="&amp;'إعدادات المخزون'!$B$4)</f>
        <v>0</v>
      </c>
      <c r="F32" s="108"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8"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8" t="n">
        <f aca="false">SUMPRODUCT('مصفوفة الاستهلاك'!$AA$2:$AA$172,'متجهات المبيعات'!$F$2:$F$172)/'مواد المخزون'!$D$27</f>
        <v>0</v>
      </c>
      <c r="I32" s="108"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8" t="n">
        <f aca="false">D32+E32+F32-G32-H32-I32</f>
        <v>0.35</v>
      </c>
      <c r="K32" s="36" t="str">
        <f aca="false">IF(COUNTIFS('جرد فعلي'!$B$2:$B$12001,$B$2,'جرد فعلي'!$C$2:$C$12001,$A32,'جرد فعلي'!$A$2:$A$12001,'إعدادات المخزون'!$B$4)&gt;0,"نعم","لا")</f>
        <v>لا</v>
      </c>
      <c r="L32" s="109" t="str">
        <f aca="false">IF(K32="نعم",SUMIFS('جرد فعلي'!$D$2:$D$12001,'جرد فعلي'!$B$2:$B$12001,$B$2,'جرد فعلي'!$C$2:$C$12001,$A32,'جرد فعلي'!$A$2:$A$12001,'إعدادات المخزون'!$B$4),"")</f>
        <v/>
      </c>
      <c r="M32" s="108" t="str">
        <f aca="false">IF(K32="نعم",L32-J32,"")</f>
        <v/>
      </c>
      <c r="N32" s="110" t="str">
        <f aca="false">IF(K32="نعم",IF(J32=0,IF(M32=0,0,SIGN(M32)),M32/ABS(J32)),"")</f>
        <v/>
      </c>
      <c r="O32" s="107" t="str">
        <f aca="false">IF(K32="نعم",M32*C32,"")</f>
        <v/>
      </c>
      <c r="P32" s="36" t="str">
        <f aca="false">IF(K32&lt;&gt;"نعم","لم يُجرد",IF(ABS(N32)&lt;='إعدادات المخزون'!$B$7,"مطابق",IF(M32&lt;0,"عجز","زيادة")))</f>
        <v>لم يُجرد</v>
      </c>
      <c r="Q32" s="108" t="n">
        <f aca="false">J32-Z32</f>
        <v>0.35</v>
      </c>
      <c r="R32" s="108"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8" t="str">
        <f aca="false">IF(AND(K32="نعم",R32&lt;&gt;""),(L32-J32)-(R32-Q32),"")</f>
        <v/>
      </c>
      <c r="T32" s="107" t="str">
        <f aca="false">IF(S32="","",S32*C32)</f>
        <v/>
      </c>
      <c r="U32" s="108" t="n">
        <f aca="false">IF(K32="نعم",L32,J32)</f>
        <v>0.35</v>
      </c>
      <c r="V32" s="108" t="n">
        <f aca="false">SUMPRODUCT('مصفوفة الاستهلاك'!$AA$2:$AA$172,'متجهات المبيعات'!$G$2:$G$172)/'مواد المخزون'!$D$27/MAX(1,MIN('إعدادات المخزون'!$B$11,'إعدادات المخزون'!$B$4-'إعدادات المخزون'!$B$5+1))</f>
        <v>0</v>
      </c>
      <c r="W32" s="108" t="n">
        <f aca="false">IF(V32&lt;=0,0,ROUNDUP(MAX(0,V32*('إعدادات المخزون'!$B$8+'إعدادات المخزون'!$B$9+'إعدادات المخزون'!$B$10)-MAX(U32,0))/'مواد المخزون'!$F27,0)*'مواد المخزون'!$F27)</f>
        <v>0</v>
      </c>
      <c r="X32" s="107" t="n">
        <f aca="false">IF(AND(K32="نعم",O32&lt;0),-O32+ROW()*0.000000001,0)</f>
        <v>0</v>
      </c>
      <c r="Y32" s="107" t="n">
        <f aca="false">IF(AND(K32="نعم",O32&gt;0),O32+ROW()*0.000000001,0)</f>
        <v>0</v>
      </c>
      <c r="Z32" s="108"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المبيعات'!$E$2:$E$172)/'مواد المخزون'!$D$27</f>
        <v>0</v>
      </c>
      <c r="AA32" s="107" t="n">
        <f aca="false">IF(K32="نعم",O32,0)</f>
        <v>0</v>
      </c>
      <c r="AB32" s="107" t="n">
        <f aca="false">IF(K32="نعم",J32*C32,0)</f>
        <v>0</v>
      </c>
      <c r="AC32" s="107"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7" t="n">
        <f aca="false">'مواد المخزون'!E28</f>
        <v>100</v>
      </c>
      <c r="D33" s="108" t="n">
        <f aca="false">'جرد أول المدة'!D31</f>
        <v>1.57</v>
      </c>
      <c r="E33" s="108" t="n">
        <f aca="false">SUMIFS('مشتريات يومية'!$D$2:$D$4001,'مشتريات يومية'!$B$2:$B$4001,$B$2,'مشتريات يومية'!$C$2:$C$4001,$A33,'مشتريات يومية'!$A$2:$A$4001,"&gt;="&amp;'إعدادات المخزون'!$B$5,'مشتريات يومية'!$A$2:$A$4001,"&lt;="&amp;'إعدادات المخزون'!$B$4)</f>
        <v>0</v>
      </c>
      <c r="F33" s="108"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8"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8" t="n">
        <f aca="false">SUMPRODUCT('مصفوفة الاستهلاك'!$AB$2:$AB$172,'متجهات المبيعات'!$F$2:$F$172)/'مواد المخزون'!$D$28</f>
        <v>0</v>
      </c>
      <c r="I33" s="108"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8" t="n">
        <f aca="false">D33+E33+F33-G33-H33-I33</f>
        <v>1.57</v>
      </c>
      <c r="K33" s="36" t="str">
        <f aca="false">IF(COUNTIFS('جرد فعلي'!$B$2:$B$12001,$B$2,'جرد فعلي'!$C$2:$C$12001,$A33,'جرد فعلي'!$A$2:$A$12001,'إعدادات المخزون'!$B$4)&gt;0,"نعم","لا")</f>
        <v>لا</v>
      </c>
      <c r="L33" s="109" t="str">
        <f aca="false">IF(K33="نعم",SUMIFS('جرد فعلي'!$D$2:$D$12001,'جرد فعلي'!$B$2:$B$12001,$B$2,'جرد فعلي'!$C$2:$C$12001,$A33,'جرد فعلي'!$A$2:$A$12001,'إعدادات المخزون'!$B$4),"")</f>
        <v/>
      </c>
      <c r="M33" s="108" t="str">
        <f aca="false">IF(K33="نعم",L33-J33,"")</f>
        <v/>
      </c>
      <c r="N33" s="110" t="str">
        <f aca="false">IF(K33="نعم",IF(J33=0,IF(M33=0,0,SIGN(M33)),M33/ABS(J33)),"")</f>
        <v/>
      </c>
      <c r="O33" s="107" t="str">
        <f aca="false">IF(K33="نعم",M33*C33,"")</f>
        <v/>
      </c>
      <c r="P33" s="36" t="str">
        <f aca="false">IF(K33&lt;&gt;"نعم","لم يُجرد",IF(ABS(N33)&lt;='إعدادات المخزون'!$B$7,"مطابق",IF(M33&lt;0,"عجز","زيادة")))</f>
        <v>لم يُجرد</v>
      </c>
      <c r="Q33" s="108" t="n">
        <f aca="false">J33-Z33</f>
        <v>1.57</v>
      </c>
      <c r="R33" s="108"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8" t="str">
        <f aca="false">IF(AND(K33="نعم",R33&lt;&gt;""),(L33-J33)-(R33-Q33),"")</f>
        <v/>
      </c>
      <c r="T33" s="107" t="str">
        <f aca="false">IF(S33="","",S33*C33)</f>
        <v/>
      </c>
      <c r="U33" s="108" t="n">
        <f aca="false">IF(K33="نعم",L33,J33)</f>
        <v>1.57</v>
      </c>
      <c r="V33" s="108" t="n">
        <f aca="false">SUMPRODUCT('مصفوفة الاستهلاك'!$AB$2:$AB$172,'متجهات المبيعات'!$G$2:$G$172)/'مواد المخزون'!$D$28/MAX(1,MIN('إعدادات المخزون'!$B$11,'إعدادات المخزون'!$B$4-'إعدادات المخزون'!$B$5+1))</f>
        <v>0</v>
      </c>
      <c r="W33" s="108" t="n">
        <f aca="false">IF(V33&lt;=0,0,ROUNDUP(MAX(0,V33*('إعدادات المخزون'!$B$8+'إعدادات المخزون'!$B$9+'إعدادات المخزون'!$B$10)-MAX(U33,0))/'مواد المخزون'!$F28,0)*'مواد المخزون'!$F28)</f>
        <v>0</v>
      </c>
      <c r="X33" s="107" t="n">
        <f aca="false">IF(AND(K33="نعم",O33&lt;0),-O33+ROW()*0.000000001,0)</f>
        <v>0</v>
      </c>
      <c r="Y33" s="107" t="n">
        <f aca="false">IF(AND(K33="نعم",O33&gt;0),O33+ROW()*0.000000001,0)</f>
        <v>0</v>
      </c>
      <c r="Z33" s="108"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المبيعات'!$E$2:$E$172)/'مواد المخزون'!$D$28</f>
        <v>0</v>
      </c>
      <c r="AA33" s="107" t="n">
        <f aca="false">IF(K33="نعم",O33,0)</f>
        <v>0</v>
      </c>
      <c r="AB33" s="107" t="n">
        <f aca="false">IF(K33="نعم",J33*C33,0)</f>
        <v>0</v>
      </c>
      <c r="AC33" s="107"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7" t="n">
        <f aca="false">'مواد المخزون'!E29</f>
        <v>41</v>
      </c>
      <c r="D34" s="108" t="n">
        <f aca="false">'جرد أول المدة'!D32</f>
        <v>5.5</v>
      </c>
      <c r="E34" s="108" t="n">
        <f aca="false">SUMIFS('مشتريات يومية'!$D$2:$D$4001,'مشتريات يومية'!$B$2:$B$4001,$B$2,'مشتريات يومية'!$C$2:$C$4001,$A34,'مشتريات يومية'!$A$2:$A$4001,"&gt;="&amp;'إعدادات المخزون'!$B$5,'مشتريات يومية'!$A$2:$A$4001,"&lt;="&amp;'إعدادات المخزون'!$B$4)</f>
        <v>20</v>
      </c>
      <c r="F34" s="108"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8"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8" t="n">
        <f aca="false">SUMPRODUCT('مصفوفة الاستهلاك'!$AC$2:$AC$172,'متجهات المبيعات'!$F$2:$F$172)/'مواد المخزون'!$D$29</f>
        <v>0</v>
      </c>
      <c r="I34" s="108"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8" t="n">
        <f aca="false">D34+E34+F34-G34-H34-I34</f>
        <v>25.5</v>
      </c>
      <c r="K34" s="36" t="str">
        <f aca="false">IF(COUNTIFS('جرد فعلي'!$B$2:$B$12001,$B$2,'جرد فعلي'!$C$2:$C$12001,$A34,'جرد فعلي'!$A$2:$A$12001,'إعدادات المخزون'!$B$4)&gt;0,"نعم","لا")</f>
        <v>لا</v>
      </c>
      <c r="L34" s="109" t="str">
        <f aca="false">IF(K34="نعم",SUMIFS('جرد فعلي'!$D$2:$D$12001,'جرد فعلي'!$B$2:$B$12001,$B$2,'جرد فعلي'!$C$2:$C$12001,$A34,'جرد فعلي'!$A$2:$A$12001,'إعدادات المخزون'!$B$4),"")</f>
        <v/>
      </c>
      <c r="M34" s="108" t="str">
        <f aca="false">IF(K34="نعم",L34-J34,"")</f>
        <v/>
      </c>
      <c r="N34" s="110" t="str">
        <f aca="false">IF(K34="نعم",IF(J34=0,IF(M34=0,0,SIGN(M34)),M34/ABS(J34)),"")</f>
        <v/>
      </c>
      <c r="O34" s="107" t="str">
        <f aca="false">IF(K34="نعم",M34*C34,"")</f>
        <v/>
      </c>
      <c r="P34" s="36" t="str">
        <f aca="false">IF(K34&lt;&gt;"نعم","لم يُجرد",IF(ABS(N34)&lt;='إعدادات المخزون'!$B$7,"مطابق",IF(M34&lt;0,"عجز","زيادة")))</f>
        <v>لم يُجرد</v>
      </c>
      <c r="Q34" s="108" t="n">
        <f aca="false">J34-Z34</f>
        <v>25.5</v>
      </c>
      <c r="R34" s="108"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8" t="str">
        <f aca="false">IF(AND(K34="نعم",R34&lt;&gt;""),(L34-J34)-(R34-Q34),"")</f>
        <v/>
      </c>
      <c r="T34" s="107" t="str">
        <f aca="false">IF(S34="","",S34*C34)</f>
        <v/>
      </c>
      <c r="U34" s="108" t="n">
        <f aca="false">IF(K34="نعم",L34,J34)</f>
        <v>25.5</v>
      </c>
      <c r="V34" s="108" t="n">
        <f aca="false">SUMPRODUCT('مصفوفة الاستهلاك'!$AC$2:$AC$172,'متجهات المبيعات'!$G$2:$G$172)/'مواد المخزون'!$D$29/MAX(1,MIN('إعدادات المخزون'!$B$11,'إعدادات المخزون'!$B$4-'إعدادات المخزون'!$B$5+1))</f>
        <v>0</v>
      </c>
      <c r="W34" s="108" t="n">
        <f aca="false">IF(V34&lt;=0,0,ROUNDUP(MAX(0,V34*('إعدادات المخزون'!$B$8+'إعدادات المخزون'!$B$9+'إعدادات المخزون'!$B$10)-MAX(U34,0))/'مواد المخزون'!$F29,0)*'مواد المخزون'!$F29)</f>
        <v>0</v>
      </c>
      <c r="X34" s="107" t="n">
        <f aca="false">IF(AND(K34="نعم",O34&lt;0),-O34+ROW()*0.000000001,0)</f>
        <v>0</v>
      </c>
      <c r="Y34" s="107" t="n">
        <f aca="false">IF(AND(K34="نعم",O34&gt;0),O34+ROW()*0.000000001,0)</f>
        <v>0</v>
      </c>
      <c r="Z34" s="108"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المبيعات'!$E$2:$E$172)/'مواد المخزون'!$D$29</f>
        <v>0</v>
      </c>
      <c r="AA34" s="107" t="n">
        <f aca="false">IF(K34="نعم",O34,0)</f>
        <v>0</v>
      </c>
      <c r="AB34" s="107" t="n">
        <f aca="false">IF(K34="نعم",J34*C34,0)</f>
        <v>0</v>
      </c>
      <c r="AC34" s="107"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7" t="n">
        <f aca="false">'مواد المخزون'!E30</f>
        <v>25</v>
      </c>
      <c r="D35" s="108" t="n">
        <f aca="false">'جرد أول المدة'!D33</f>
        <v>0</v>
      </c>
      <c r="E35" s="108" t="n">
        <f aca="false">SUMIFS('مشتريات يومية'!$D$2:$D$4001,'مشتريات يومية'!$B$2:$B$4001,$B$2,'مشتريات يومية'!$C$2:$C$4001,$A35,'مشتريات يومية'!$A$2:$A$4001,"&gt;="&amp;'إعدادات المخزون'!$B$5,'مشتريات يومية'!$A$2:$A$4001,"&lt;="&amp;'إعدادات المخزون'!$B$4)</f>
        <v>0</v>
      </c>
      <c r="F35" s="108"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8"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8" t="n">
        <f aca="false">SUMPRODUCT('مصفوفة الاستهلاك'!$AD$2:$AD$172,'متجهات المبيعات'!$F$2:$F$172)/'مواد المخزون'!$D$30</f>
        <v>0</v>
      </c>
      <c r="I35" s="108"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8" t="n">
        <f aca="false">D35+E35+F35-G35-H35-I35</f>
        <v>0</v>
      </c>
      <c r="K35" s="36" t="str">
        <f aca="false">IF(COUNTIFS('جرد فعلي'!$B$2:$B$12001,$B$2,'جرد فعلي'!$C$2:$C$12001,$A35,'جرد فعلي'!$A$2:$A$12001,'إعدادات المخزون'!$B$4)&gt;0,"نعم","لا")</f>
        <v>لا</v>
      </c>
      <c r="L35" s="109" t="str">
        <f aca="false">IF(K35="نعم",SUMIFS('جرد فعلي'!$D$2:$D$12001,'جرد فعلي'!$B$2:$B$12001,$B$2,'جرد فعلي'!$C$2:$C$12001,$A35,'جرد فعلي'!$A$2:$A$12001,'إعدادات المخزون'!$B$4),"")</f>
        <v/>
      </c>
      <c r="M35" s="108" t="str">
        <f aca="false">IF(K35="نعم",L35-J35,"")</f>
        <v/>
      </c>
      <c r="N35" s="110" t="str">
        <f aca="false">IF(K35="نعم",IF(J35=0,IF(M35=0,0,SIGN(M35)),M35/ABS(J35)),"")</f>
        <v/>
      </c>
      <c r="O35" s="107" t="str">
        <f aca="false">IF(K35="نعم",M35*C35,"")</f>
        <v/>
      </c>
      <c r="P35" s="36" t="str">
        <f aca="false">IF(K35&lt;&gt;"نعم","لم يُجرد",IF(ABS(N35)&lt;='إعدادات المخزون'!$B$7,"مطابق",IF(M35&lt;0,"عجز","زيادة")))</f>
        <v>لم يُجرد</v>
      </c>
      <c r="Q35" s="108" t="n">
        <f aca="false">J35-Z35</f>
        <v>0</v>
      </c>
      <c r="R35" s="108"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8" t="str">
        <f aca="false">IF(AND(K35="نعم",R35&lt;&gt;""),(L35-J35)-(R35-Q35),"")</f>
        <v/>
      </c>
      <c r="T35" s="107" t="str">
        <f aca="false">IF(S35="","",S35*C35)</f>
        <v/>
      </c>
      <c r="U35" s="108" t="n">
        <f aca="false">IF(K35="نعم",L35,J35)</f>
        <v>0</v>
      </c>
      <c r="V35" s="108" t="n">
        <f aca="false">SUMPRODUCT('مصفوفة الاستهلاك'!$AD$2:$AD$172,'متجهات المبيعات'!$G$2:$G$172)/'مواد المخزون'!$D$30/MAX(1,MIN('إعدادات المخزون'!$B$11,'إعدادات المخزون'!$B$4-'إعدادات المخزون'!$B$5+1))</f>
        <v>0</v>
      </c>
      <c r="W35" s="108" t="n">
        <f aca="false">IF(V35&lt;=0,0,ROUNDUP(MAX(0,V35*('إعدادات المخزون'!$B$8+'إعدادات المخزون'!$B$9+'إعدادات المخزون'!$B$10)-MAX(U35,0))/'مواد المخزون'!$F30,0)*'مواد المخزون'!$F30)</f>
        <v>0</v>
      </c>
      <c r="X35" s="107" t="n">
        <f aca="false">IF(AND(K35="نعم",O35&lt;0),-O35+ROW()*0.000000001,0)</f>
        <v>0</v>
      </c>
      <c r="Y35" s="107" t="n">
        <f aca="false">IF(AND(K35="نعم",O35&gt;0),O35+ROW()*0.000000001,0)</f>
        <v>0</v>
      </c>
      <c r="Z35" s="108"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المبيعات'!$E$2:$E$172)/'مواد المخزون'!$D$30</f>
        <v>0</v>
      </c>
      <c r="AA35" s="107" t="n">
        <f aca="false">IF(K35="نعم",O35,0)</f>
        <v>0</v>
      </c>
      <c r="AB35" s="107" t="n">
        <f aca="false">IF(K35="نعم",J35*C35,0)</f>
        <v>0</v>
      </c>
      <c r="AC35" s="107" t="n">
        <f aca="false">IF(T35="",0,T35)</f>
        <v>0</v>
      </c>
    </row>
    <row r="36" customFormat="false" ht="15" hidden="false" customHeight="false" outlineLevel="0" collapsed="false">
      <c r="A36" s="34" t="str">
        <f aca="false">'مواد المخزون'!A31</f>
        <v>بصل</v>
      </c>
      <c r="B36" s="36" t="str">
        <f aca="false">'مواد المخزون'!B31</f>
        <v>كجم</v>
      </c>
      <c r="C36" s="107" t="n">
        <f aca="false">'مواد المخزون'!E31</f>
        <v>18</v>
      </c>
      <c r="D36" s="108" t="n">
        <f aca="false">'جرد أول المدة'!D34</f>
        <v>1.6</v>
      </c>
      <c r="E36" s="108" t="n">
        <f aca="false">SUMIFS('مشتريات يومية'!$D$2:$D$4001,'مشتريات يومية'!$B$2:$B$4001,$B$2,'مشتريات يومية'!$C$2:$C$4001,$A36,'مشتريات يومية'!$A$2:$A$4001,"&gt;="&amp;'إعدادات المخزون'!$B$5,'مشتريات يومية'!$A$2:$A$4001,"&lt;="&amp;'إعدادات المخزون'!$B$4)</f>
        <v>4</v>
      </c>
      <c r="F36" s="108"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8"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8" t="n">
        <f aca="false">SUMPRODUCT('مصفوفة الاستهلاك'!$AE$2:$AE$172,'متجهات المبيعات'!$F$2:$F$172)/'مواد المخزون'!$D$31</f>
        <v>0</v>
      </c>
      <c r="I36" s="108"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8" t="n">
        <f aca="false">D36+E36+F36-G36-H36-I36</f>
        <v>5.6</v>
      </c>
      <c r="K36" s="36" t="str">
        <f aca="false">IF(COUNTIFS('جرد فعلي'!$B$2:$B$12001,$B$2,'جرد فعلي'!$C$2:$C$12001,$A36,'جرد فعلي'!$A$2:$A$12001,'إعدادات المخزون'!$B$4)&gt;0,"نعم","لا")</f>
        <v>لا</v>
      </c>
      <c r="L36" s="109" t="str">
        <f aca="false">IF(K36="نعم",SUMIFS('جرد فعلي'!$D$2:$D$12001,'جرد فعلي'!$B$2:$B$12001,$B$2,'جرد فعلي'!$C$2:$C$12001,$A36,'جرد فعلي'!$A$2:$A$12001,'إعدادات المخزون'!$B$4),"")</f>
        <v/>
      </c>
      <c r="M36" s="108" t="str">
        <f aca="false">IF(K36="نعم",L36-J36,"")</f>
        <v/>
      </c>
      <c r="N36" s="110" t="str">
        <f aca="false">IF(K36="نعم",IF(J36=0,IF(M36=0,0,SIGN(M36)),M36/ABS(J36)),"")</f>
        <v/>
      </c>
      <c r="O36" s="107" t="str">
        <f aca="false">IF(K36="نعم",M36*C36,"")</f>
        <v/>
      </c>
      <c r="P36" s="36" t="str">
        <f aca="false">IF(K36&lt;&gt;"نعم","لم يُجرد",IF(ABS(N36)&lt;='إعدادات المخزون'!$B$7,"مطابق",IF(M36&lt;0,"عجز","زيادة")))</f>
        <v>لم يُجرد</v>
      </c>
      <c r="Q36" s="108" t="n">
        <f aca="false">J36-Z36</f>
        <v>5.6</v>
      </c>
      <c r="R36" s="108"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8" t="str">
        <f aca="false">IF(AND(K36="نعم",R36&lt;&gt;""),(L36-J36)-(R36-Q36),"")</f>
        <v/>
      </c>
      <c r="T36" s="107" t="str">
        <f aca="false">IF(S36="","",S36*C36)</f>
        <v/>
      </c>
      <c r="U36" s="108" t="n">
        <f aca="false">IF(K36="نعم",L36,J36)</f>
        <v>5.6</v>
      </c>
      <c r="V36" s="108" t="n">
        <f aca="false">SUMPRODUCT('مصفوفة الاستهلاك'!$AE$2:$AE$172,'متجهات المبيعات'!$G$2:$G$172)/'مواد المخزون'!$D$31/MAX(1,MIN('إعدادات المخزون'!$B$11,'إعدادات المخزون'!$B$4-'إعدادات المخزون'!$B$5+1))</f>
        <v>0</v>
      </c>
      <c r="W36" s="108" t="n">
        <f aca="false">IF(V36&lt;=0,0,ROUNDUP(MAX(0,V36*('إعدادات المخزون'!$B$8+'إعدادات المخزون'!$B$9+'إعدادات المخزون'!$B$10)-MAX(U36,0))/'مواد المخزون'!$F31,0)*'مواد المخزون'!$F31)</f>
        <v>0</v>
      </c>
      <c r="X36" s="107" t="n">
        <f aca="false">IF(AND(K36="نعم",O36&lt;0),-O36+ROW()*0.000000001,0)</f>
        <v>0</v>
      </c>
      <c r="Y36" s="107" t="n">
        <f aca="false">IF(AND(K36="نعم",O36&gt;0),O36+ROW()*0.000000001,0)</f>
        <v>0</v>
      </c>
      <c r="Z36" s="108"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المبيعات'!$E$2:$E$172)/'مواد المخزون'!$D$31</f>
        <v>0</v>
      </c>
      <c r="AA36" s="107" t="n">
        <f aca="false">IF(K36="نعم",O36,0)</f>
        <v>0</v>
      </c>
      <c r="AB36" s="107" t="n">
        <f aca="false">IF(K36="نعم",J36*C36,0)</f>
        <v>0</v>
      </c>
      <c r="AC36" s="107"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7" t="n">
        <f aca="false">'مواد المخزون'!E32</f>
        <v>730</v>
      </c>
      <c r="D37" s="108" t="n">
        <f aca="false">'جرد أول المدة'!D35</f>
        <v>2.835</v>
      </c>
      <c r="E37" s="108" t="n">
        <f aca="false">SUMIFS('مشتريات يومية'!$D$2:$D$4001,'مشتريات يومية'!$B$2:$B$4001,$B$2,'مشتريات يومية'!$C$2:$C$4001,$A37,'مشتريات يومية'!$A$2:$A$4001,"&gt;="&amp;'إعدادات المخزون'!$B$5,'مشتريات يومية'!$A$2:$A$4001,"&lt;="&amp;'إعدادات المخزون'!$B$4)</f>
        <v>1</v>
      </c>
      <c r="F37" s="108"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8"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8" t="n">
        <f aca="false">SUMPRODUCT('مصفوفة الاستهلاك'!$AF$2:$AF$172,'متجهات المبيعات'!$F$2:$F$172)/'مواد المخزون'!$D$32</f>
        <v>0</v>
      </c>
      <c r="I37" s="108"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8" t="n">
        <f aca="false">D37+E37+F37-G37-H37-I37</f>
        <v>3.835</v>
      </c>
      <c r="K37" s="36" t="str">
        <f aca="false">IF(COUNTIFS('جرد فعلي'!$B$2:$B$12001,$B$2,'جرد فعلي'!$C$2:$C$12001,$A37,'جرد فعلي'!$A$2:$A$12001,'إعدادات المخزون'!$B$4)&gt;0,"نعم","لا")</f>
        <v>لا</v>
      </c>
      <c r="L37" s="109" t="str">
        <f aca="false">IF(K37="نعم",SUMIFS('جرد فعلي'!$D$2:$D$12001,'جرد فعلي'!$B$2:$B$12001,$B$2,'جرد فعلي'!$C$2:$C$12001,$A37,'جرد فعلي'!$A$2:$A$12001,'إعدادات المخزون'!$B$4),"")</f>
        <v/>
      </c>
      <c r="M37" s="108" t="str">
        <f aca="false">IF(K37="نعم",L37-J37,"")</f>
        <v/>
      </c>
      <c r="N37" s="110" t="str">
        <f aca="false">IF(K37="نعم",IF(J37=0,IF(M37=0,0,SIGN(M37)),M37/ABS(J37)),"")</f>
        <v/>
      </c>
      <c r="O37" s="107" t="str">
        <f aca="false">IF(K37="نعم",M37*C37,"")</f>
        <v/>
      </c>
      <c r="P37" s="36" t="str">
        <f aca="false">IF(K37&lt;&gt;"نعم","لم يُجرد",IF(ABS(N37)&lt;='إعدادات المخزون'!$B$7,"مطابق",IF(M37&lt;0,"عجز","زيادة")))</f>
        <v>لم يُجرد</v>
      </c>
      <c r="Q37" s="108" t="n">
        <f aca="false">J37-Z37</f>
        <v>3.835</v>
      </c>
      <c r="R37" s="108"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8" t="str">
        <f aca="false">IF(AND(K37="نعم",R37&lt;&gt;""),(L37-J37)-(R37-Q37),"")</f>
        <v/>
      </c>
      <c r="T37" s="107" t="str">
        <f aca="false">IF(S37="","",S37*C37)</f>
        <v/>
      </c>
      <c r="U37" s="108" t="n">
        <f aca="false">IF(K37="نعم",L37,J37)</f>
        <v>3.835</v>
      </c>
      <c r="V37" s="108" t="n">
        <f aca="false">SUMPRODUCT('مصفوفة الاستهلاك'!$AF$2:$AF$172,'متجهات المبيعات'!$G$2:$G$172)/'مواد المخزون'!$D$32/MAX(1,MIN('إعدادات المخزون'!$B$11,'إعدادات المخزون'!$B$4-'إعدادات المخزون'!$B$5+1))</f>
        <v>0</v>
      </c>
      <c r="W37" s="108" t="n">
        <f aca="false">IF(V37&lt;=0,0,ROUNDUP(MAX(0,V37*('إعدادات المخزون'!$B$8+'إعدادات المخزون'!$B$9+'إعدادات المخزون'!$B$10)-MAX(U37,0))/'مواد المخزون'!$F32,0)*'مواد المخزون'!$F32)</f>
        <v>0</v>
      </c>
      <c r="X37" s="107" t="n">
        <f aca="false">IF(AND(K37="نعم",O37&lt;0),-O37+ROW()*0.000000001,0)</f>
        <v>0</v>
      </c>
      <c r="Y37" s="107" t="n">
        <f aca="false">IF(AND(K37="نعم",O37&gt;0),O37+ROW()*0.000000001,0)</f>
        <v>0</v>
      </c>
      <c r="Z37" s="108"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المبيعات'!$E$2:$E$172)/'مواد المخزون'!$D$32</f>
        <v>0</v>
      </c>
      <c r="AA37" s="107" t="n">
        <f aca="false">IF(K37="نعم",O37,0)</f>
        <v>0</v>
      </c>
      <c r="AB37" s="107" t="n">
        <f aca="false">IF(K37="نعم",J37*C37,0)</f>
        <v>0</v>
      </c>
      <c r="AC37" s="107"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7" t="n">
        <f aca="false">'مواد المخزون'!E33</f>
        <v>17.1875</v>
      </c>
      <c r="D38" s="108" t="n">
        <f aca="false">'جرد أول المدة'!D36</f>
        <v>0</v>
      </c>
      <c r="E38" s="108" t="n">
        <f aca="false">SUMIFS('مشتريات يومية'!$D$2:$D$4001,'مشتريات يومية'!$B$2:$B$4001,$B$2,'مشتريات يومية'!$C$2:$C$4001,$A38,'مشتريات يومية'!$A$2:$A$4001,"&gt;="&amp;'إعدادات المخزون'!$B$5,'مشتريات يومية'!$A$2:$A$4001,"&lt;="&amp;'إعدادات المخزون'!$B$4)</f>
        <v>8</v>
      </c>
      <c r="F38" s="108"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8"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8" t="n">
        <f aca="false">SUMPRODUCT('مصفوفة الاستهلاك'!$AG$2:$AG$172,'متجهات المبيعات'!$F$2:$F$172)/'مواد المخزون'!$D$33</f>
        <v>0</v>
      </c>
      <c r="I38" s="108"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8" t="n">
        <f aca="false">D38+E38+F38-G38-H38-I38</f>
        <v>8</v>
      </c>
      <c r="K38" s="36" t="str">
        <f aca="false">IF(COUNTIFS('جرد فعلي'!$B$2:$B$12001,$B$2,'جرد فعلي'!$C$2:$C$12001,$A38,'جرد فعلي'!$A$2:$A$12001,'إعدادات المخزون'!$B$4)&gt;0,"نعم","لا")</f>
        <v>لا</v>
      </c>
      <c r="L38" s="109" t="str">
        <f aca="false">IF(K38="نعم",SUMIFS('جرد فعلي'!$D$2:$D$12001,'جرد فعلي'!$B$2:$B$12001,$B$2,'جرد فعلي'!$C$2:$C$12001,$A38,'جرد فعلي'!$A$2:$A$12001,'إعدادات المخزون'!$B$4),"")</f>
        <v/>
      </c>
      <c r="M38" s="108" t="str">
        <f aca="false">IF(K38="نعم",L38-J38,"")</f>
        <v/>
      </c>
      <c r="N38" s="110" t="str">
        <f aca="false">IF(K38="نعم",IF(J38=0,IF(M38=0,0,SIGN(M38)),M38/ABS(J38)),"")</f>
        <v/>
      </c>
      <c r="O38" s="107" t="str">
        <f aca="false">IF(K38="نعم",M38*C38,"")</f>
        <v/>
      </c>
      <c r="P38" s="36" t="str">
        <f aca="false">IF(K38&lt;&gt;"نعم","لم يُجرد",IF(ABS(N38)&lt;='إعدادات المخزون'!$B$7,"مطابق",IF(M38&lt;0,"عجز","زيادة")))</f>
        <v>لم يُجرد</v>
      </c>
      <c r="Q38" s="108" t="n">
        <f aca="false">J38-Z38</f>
        <v>8</v>
      </c>
      <c r="R38" s="108"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8" t="str">
        <f aca="false">IF(AND(K38="نعم",R38&lt;&gt;""),(L38-J38)-(R38-Q38),"")</f>
        <v/>
      </c>
      <c r="T38" s="107" t="str">
        <f aca="false">IF(S38="","",S38*C38)</f>
        <v/>
      </c>
      <c r="U38" s="108" t="n">
        <f aca="false">IF(K38="نعم",L38,J38)</f>
        <v>8</v>
      </c>
      <c r="V38" s="108" t="n">
        <f aca="false">SUMPRODUCT('مصفوفة الاستهلاك'!$AG$2:$AG$172,'متجهات المبيعات'!$G$2:$G$172)/'مواد المخزون'!$D$33/MAX(1,MIN('إعدادات المخزون'!$B$11,'إعدادات المخزون'!$B$4-'إعدادات المخزون'!$B$5+1))</f>
        <v>0</v>
      </c>
      <c r="W38" s="108" t="n">
        <f aca="false">IF(V38&lt;=0,0,ROUNDUP(MAX(0,V38*('إعدادات المخزون'!$B$8+'إعدادات المخزون'!$B$9+'إعدادات المخزون'!$B$10)-MAX(U38,0))/'مواد المخزون'!$F33,0)*'مواد المخزون'!$F33)</f>
        <v>0</v>
      </c>
      <c r="X38" s="107" t="n">
        <f aca="false">IF(AND(K38="نعم",O38&lt;0),-O38+ROW()*0.000000001,0)</f>
        <v>0</v>
      </c>
      <c r="Y38" s="107" t="n">
        <f aca="false">IF(AND(K38="نعم",O38&gt;0),O38+ROW()*0.000000001,0)</f>
        <v>0</v>
      </c>
      <c r="Z38" s="108"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المبيعات'!$E$2:$E$172)/'مواد المخزون'!$D$33</f>
        <v>0</v>
      </c>
      <c r="AA38" s="107" t="n">
        <f aca="false">IF(K38="نعم",O38,0)</f>
        <v>0</v>
      </c>
      <c r="AB38" s="107" t="n">
        <f aca="false">IF(K38="نعم",J38*C38,0)</f>
        <v>0</v>
      </c>
      <c r="AC38" s="107" t="n">
        <f aca="false">IF(T38="",0,T38)</f>
        <v>0</v>
      </c>
    </row>
    <row r="39" customFormat="false" ht="15" hidden="false" customHeight="false" outlineLevel="0" collapsed="false">
      <c r="A39" s="34" t="str">
        <f aca="false">'مواد المخزون'!A34</f>
        <v>بيبسي لتر</v>
      </c>
      <c r="B39" s="36" t="str">
        <f aca="false">'مواد المخزون'!B34</f>
        <v>لتر</v>
      </c>
      <c r="C39" s="107" t="n">
        <f aca="false">'مواد المخزون'!E34</f>
        <v>30</v>
      </c>
      <c r="D39" s="108" t="n">
        <f aca="false">'جرد أول المدة'!D37</f>
        <v>0</v>
      </c>
      <c r="E39" s="108" t="n">
        <f aca="false">SUMIFS('مشتريات يومية'!$D$2:$D$4001,'مشتريات يومية'!$B$2:$B$4001,$B$2,'مشتريات يومية'!$C$2:$C$4001,$A39,'مشتريات يومية'!$A$2:$A$4001,"&gt;="&amp;'إعدادات المخزون'!$B$5,'مشتريات يومية'!$A$2:$A$4001,"&lt;="&amp;'إعدادات المخزون'!$B$4)</f>
        <v>1</v>
      </c>
      <c r="F39" s="108"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8"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8" t="n">
        <f aca="false">SUMPRODUCT('مصفوفة الاستهلاك'!$AH$2:$AH$172,'متجهات المبيعات'!$F$2:$F$172)/'مواد المخزون'!$D$34</f>
        <v>0</v>
      </c>
      <c r="I39" s="108"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8" t="n">
        <f aca="false">D39+E39+F39-G39-H39-I39</f>
        <v>1</v>
      </c>
      <c r="K39" s="36" t="str">
        <f aca="false">IF(COUNTIFS('جرد فعلي'!$B$2:$B$12001,$B$2,'جرد فعلي'!$C$2:$C$12001,$A39,'جرد فعلي'!$A$2:$A$12001,'إعدادات المخزون'!$B$4)&gt;0,"نعم","لا")</f>
        <v>لا</v>
      </c>
      <c r="L39" s="109" t="str">
        <f aca="false">IF(K39="نعم",SUMIFS('جرد فعلي'!$D$2:$D$12001,'جرد فعلي'!$B$2:$B$12001,$B$2,'جرد فعلي'!$C$2:$C$12001,$A39,'جرد فعلي'!$A$2:$A$12001,'إعدادات المخزون'!$B$4),"")</f>
        <v/>
      </c>
      <c r="M39" s="108" t="str">
        <f aca="false">IF(K39="نعم",L39-J39,"")</f>
        <v/>
      </c>
      <c r="N39" s="110" t="str">
        <f aca="false">IF(K39="نعم",IF(J39=0,IF(M39=0,0,SIGN(M39)),M39/ABS(J39)),"")</f>
        <v/>
      </c>
      <c r="O39" s="107" t="str">
        <f aca="false">IF(K39="نعم",M39*C39,"")</f>
        <v/>
      </c>
      <c r="P39" s="36" t="str">
        <f aca="false">IF(K39&lt;&gt;"نعم","لم يُجرد",IF(ABS(N39)&lt;='إعدادات المخزون'!$B$7,"مطابق",IF(M39&lt;0,"عجز","زيادة")))</f>
        <v>لم يُجرد</v>
      </c>
      <c r="Q39" s="108" t="n">
        <f aca="false">J39-Z39</f>
        <v>1</v>
      </c>
      <c r="R39" s="108"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8" t="str">
        <f aca="false">IF(AND(K39="نعم",R39&lt;&gt;""),(L39-J39)-(R39-Q39),"")</f>
        <v/>
      </c>
      <c r="T39" s="107" t="str">
        <f aca="false">IF(S39="","",S39*C39)</f>
        <v/>
      </c>
      <c r="U39" s="108" t="n">
        <f aca="false">IF(K39="نعم",L39,J39)</f>
        <v>1</v>
      </c>
      <c r="V39" s="108" t="n">
        <f aca="false">SUMPRODUCT('مصفوفة الاستهلاك'!$AH$2:$AH$172,'متجهات المبيعات'!$G$2:$G$172)/'مواد المخزون'!$D$34/MAX(1,MIN('إعدادات المخزون'!$B$11,'إعدادات المخزون'!$B$4-'إعدادات المخزون'!$B$5+1))</f>
        <v>0</v>
      </c>
      <c r="W39" s="108" t="n">
        <f aca="false">IF(V39&lt;=0,0,ROUNDUP(MAX(0,V39*('إعدادات المخزون'!$B$8+'إعدادات المخزون'!$B$9+'إعدادات المخزون'!$B$10)-MAX(U39,0))/'مواد المخزون'!$F34,0)*'مواد المخزون'!$F34)</f>
        <v>0</v>
      </c>
      <c r="X39" s="107" t="n">
        <f aca="false">IF(AND(K39="نعم",O39&lt;0),-O39+ROW()*0.000000001,0)</f>
        <v>0</v>
      </c>
      <c r="Y39" s="107" t="n">
        <f aca="false">IF(AND(K39="نعم",O39&gt;0),O39+ROW()*0.000000001,0)</f>
        <v>0</v>
      </c>
      <c r="Z39" s="108"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المبيعات'!$E$2:$E$172)/'مواد المخزون'!$D$34</f>
        <v>0</v>
      </c>
      <c r="AA39" s="107" t="n">
        <f aca="false">IF(K39="نعم",O39,0)</f>
        <v>0</v>
      </c>
      <c r="AB39" s="107" t="n">
        <f aca="false">IF(K39="نعم",J39*C39,0)</f>
        <v>0</v>
      </c>
      <c r="AC39" s="107"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7" t="n">
        <f aca="false">'مواد المخزون'!E35</f>
        <v>105</v>
      </c>
      <c r="D40" s="108" t="n">
        <f aca="false">'جرد أول المدة'!D38</f>
        <v>0.825</v>
      </c>
      <c r="E40" s="108" t="n">
        <f aca="false">SUMIFS('مشتريات يومية'!$D$2:$D$4001,'مشتريات يومية'!$B$2:$B$4001,$B$2,'مشتريات يومية'!$C$2:$C$4001,$A40,'مشتريات يومية'!$A$2:$A$4001,"&gt;="&amp;'إعدادات المخزون'!$B$5,'مشتريات يومية'!$A$2:$A$4001,"&lt;="&amp;'إعدادات المخزون'!$B$4)</f>
        <v>0</v>
      </c>
      <c r="F40" s="108"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8"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8" t="n">
        <f aca="false">SUMPRODUCT('مصفوفة الاستهلاك'!$AI$2:$AI$172,'متجهات المبيعات'!$F$2:$F$172)/'مواد المخزون'!$D$35</f>
        <v>0</v>
      </c>
      <c r="I40" s="108"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8" t="n">
        <f aca="false">D40+E40+F40-G40-H40-I40</f>
        <v>0.825</v>
      </c>
      <c r="K40" s="36" t="str">
        <f aca="false">IF(COUNTIFS('جرد فعلي'!$B$2:$B$12001,$B$2,'جرد فعلي'!$C$2:$C$12001,$A40,'جرد فعلي'!$A$2:$A$12001,'إعدادات المخزون'!$B$4)&gt;0,"نعم","لا")</f>
        <v>لا</v>
      </c>
      <c r="L40" s="109" t="str">
        <f aca="false">IF(K40="نعم",SUMIFS('جرد فعلي'!$D$2:$D$12001,'جرد فعلي'!$B$2:$B$12001,$B$2,'جرد فعلي'!$C$2:$C$12001,$A40,'جرد فعلي'!$A$2:$A$12001,'إعدادات المخزون'!$B$4),"")</f>
        <v/>
      </c>
      <c r="M40" s="108" t="str">
        <f aca="false">IF(K40="نعم",L40-J40,"")</f>
        <v/>
      </c>
      <c r="N40" s="110" t="str">
        <f aca="false">IF(K40="نعم",IF(J40=0,IF(M40=0,0,SIGN(M40)),M40/ABS(J40)),"")</f>
        <v/>
      </c>
      <c r="O40" s="107" t="str">
        <f aca="false">IF(K40="نعم",M40*C40,"")</f>
        <v/>
      </c>
      <c r="P40" s="36" t="str">
        <f aca="false">IF(K40&lt;&gt;"نعم","لم يُجرد",IF(ABS(N40)&lt;='إعدادات المخزون'!$B$7,"مطابق",IF(M40&lt;0,"عجز","زيادة")))</f>
        <v>لم يُجرد</v>
      </c>
      <c r="Q40" s="108" t="n">
        <f aca="false">J40-Z40</f>
        <v>0.825</v>
      </c>
      <c r="R40" s="108"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8" t="str">
        <f aca="false">IF(AND(K40="نعم",R40&lt;&gt;""),(L40-J40)-(R40-Q40),"")</f>
        <v/>
      </c>
      <c r="T40" s="107" t="str">
        <f aca="false">IF(S40="","",S40*C40)</f>
        <v/>
      </c>
      <c r="U40" s="108" t="n">
        <f aca="false">IF(K40="نعم",L40,J40)</f>
        <v>0.825</v>
      </c>
      <c r="V40" s="108" t="n">
        <f aca="false">SUMPRODUCT('مصفوفة الاستهلاك'!$AI$2:$AI$172,'متجهات المبيعات'!$G$2:$G$172)/'مواد المخزون'!$D$35/MAX(1,MIN('إعدادات المخزون'!$B$11,'إعدادات المخزون'!$B$4-'إعدادات المخزون'!$B$5+1))</f>
        <v>0</v>
      </c>
      <c r="W40" s="108" t="n">
        <f aca="false">IF(V40&lt;=0,0,ROUNDUP(MAX(0,V40*('إعدادات المخزون'!$B$8+'إعدادات المخزون'!$B$9+'إعدادات المخزون'!$B$10)-MAX(U40,0))/'مواد المخزون'!$F35,0)*'مواد المخزون'!$F35)</f>
        <v>0</v>
      </c>
      <c r="X40" s="107" t="n">
        <f aca="false">IF(AND(K40="نعم",O40&lt;0),-O40+ROW()*0.000000001,0)</f>
        <v>0</v>
      </c>
      <c r="Y40" s="107" t="n">
        <f aca="false">IF(AND(K40="نعم",O40&gt;0),O40+ROW()*0.000000001,0)</f>
        <v>0</v>
      </c>
      <c r="Z40" s="108"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المبيعات'!$E$2:$E$172)/'مواد المخزون'!$D$35</f>
        <v>0</v>
      </c>
      <c r="AA40" s="107" t="n">
        <f aca="false">IF(K40="نعم",O40,0)</f>
        <v>0</v>
      </c>
      <c r="AB40" s="107" t="n">
        <f aca="false">IF(K40="نعم",J40*C40,0)</f>
        <v>0</v>
      </c>
      <c r="AC40" s="107"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7" t="n">
        <f aca="false">'مواد المخزون'!E36</f>
        <v>9</v>
      </c>
      <c r="D41" s="108" t="n">
        <f aca="false">'جرد أول المدة'!D39</f>
        <v>50</v>
      </c>
      <c r="E41" s="108" t="n">
        <f aca="false">SUMIFS('مشتريات يومية'!$D$2:$D$4001,'مشتريات يومية'!$B$2:$B$4001,$B$2,'مشتريات يومية'!$C$2:$C$4001,$A41,'مشتريات يومية'!$A$2:$A$4001,"&gt;="&amp;'إعدادات المخزون'!$B$5,'مشتريات يومية'!$A$2:$A$4001,"&lt;="&amp;'إعدادات المخزون'!$B$4)</f>
        <v>100</v>
      </c>
      <c r="F41" s="108"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8"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8" t="n">
        <f aca="false">SUMPRODUCT('مصفوفة الاستهلاك'!$AJ$2:$AJ$172,'متجهات المبيعات'!$F$2:$F$172)/'مواد المخزون'!$D$36</f>
        <v>0</v>
      </c>
      <c r="I41" s="108"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8" t="n">
        <f aca="false">D41+E41+F41-G41-H41-I41</f>
        <v>150</v>
      </c>
      <c r="K41" s="36" t="str">
        <f aca="false">IF(COUNTIFS('جرد فعلي'!$B$2:$B$12001,$B$2,'جرد فعلي'!$C$2:$C$12001,$A41,'جرد فعلي'!$A$2:$A$12001,'إعدادات المخزون'!$B$4)&gt;0,"نعم","لا")</f>
        <v>لا</v>
      </c>
      <c r="L41" s="109" t="str">
        <f aca="false">IF(K41="نعم",SUMIFS('جرد فعلي'!$D$2:$D$12001,'جرد فعلي'!$B$2:$B$12001,$B$2,'جرد فعلي'!$C$2:$C$12001,$A41,'جرد فعلي'!$A$2:$A$12001,'إعدادات المخزون'!$B$4),"")</f>
        <v/>
      </c>
      <c r="M41" s="108" t="str">
        <f aca="false">IF(K41="نعم",L41-J41,"")</f>
        <v/>
      </c>
      <c r="N41" s="110" t="str">
        <f aca="false">IF(K41="نعم",IF(J41=0,IF(M41=0,0,SIGN(M41)),M41/ABS(J41)),"")</f>
        <v/>
      </c>
      <c r="O41" s="107" t="str">
        <f aca="false">IF(K41="نعم",M41*C41,"")</f>
        <v/>
      </c>
      <c r="P41" s="36" t="str">
        <f aca="false">IF(K41&lt;&gt;"نعم","لم يُجرد",IF(ABS(N41)&lt;='إعدادات المخزون'!$B$7,"مطابق",IF(M41&lt;0,"عجز","زيادة")))</f>
        <v>لم يُجرد</v>
      </c>
      <c r="Q41" s="108" t="n">
        <f aca="false">J41-Z41</f>
        <v>150</v>
      </c>
      <c r="R41" s="108"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8" t="str">
        <f aca="false">IF(AND(K41="نعم",R41&lt;&gt;""),(L41-J41)-(R41-Q41),"")</f>
        <v/>
      </c>
      <c r="T41" s="107" t="str">
        <f aca="false">IF(S41="","",S41*C41)</f>
        <v/>
      </c>
      <c r="U41" s="108" t="n">
        <f aca="false">IF(K41="نعم",L41,J41)</f>
        <v>150</v>
      </c>
      <c r="V41" s="108" t="n">
        <f aca="false">SUMPRODUCT('مصفوفة الاستهلاك'!$AJ$2:$AJ$172,'متجهات المبيعات'!$G$2:$G$172)/'مواد المخزون'!$D$36/MAX(1,MIN('إعدادات المخزون'!$B$11,'إعدادات المخزون'!$B$4-'إعدادات المخزون'!$B$5+1))</f>
        <v>0</v>
      </c>
      <c r="W41" s="108" t="n">
        <f aca="false">IF(V41&lt;=0,0,ROUNDUP(MAX(0,V41*('إعدادات المخزون'!$B$8+'إعدادات المخزون'!$B$9+'إعدادات المخزون'!$B$10)-MAX(U41,0))/'مواد المخزون'!$F36,0)*'مواد المخزون'!$F36)</f>
        <v>0</v>
      </c>
      <c r="X41" s="107" t="n">
        <f aca="false">IF(AND(K41="نعم",O41&lt;0),-O41+ROW()*0.000000001,0)</f>
        <v>0</v>
      </c>
      <c r="Y41" s="107" t="n">
        <f aca="false">IF(AND(K41="نعم",O41&gt;0),O41+ROW()*0.000000001,0)</f>
        <v>0</v>
      </c>
      <c r="Z41" s="108"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المبيعات'!$E$2:$E$172)/'مواد المخزون'!$D$36</f>
        <v>0</v>
      </c>
      <c r="AA41" s="107" t="n">
        <f aca="false">IF(K41="نعم",O41,0)</f>
        <v>0</v>
      </c>
      <c r="AB41" s="107" t="n">
        <f aca="false">IF(K41="نعم",J41*C41,0)</f>
        <v>0</v>
      </c>
      <c r="AC41" s="107" t="n">
        <f aca="false">IF(T41="",0,T41)</f>
        <v>0</v>
      </c>
    </row>
    <row r="42" customFormat="false" ht="15" hidden="false" customHeight="false" outlineLevel="0" collapsed="false">
      <c r="A42" s="34" t="str">
        <f aca="false">'مواد المخزون'!A37</f>
        <v>جوزهند</v>
      </c>
      <c r="B42" s="36" t="str">
        <f aca="false">'مواد المخزون'!B37</f>
        <v>كجم</v>
      </c>
      <c r="C42" s="107" t="n">
        <f aca="false">'مواد المخزون'!E37</f>
        <v>200</v>
      </c>
      <c r="D42" s="108" t="n">
        <f aca="false">'جرد أول المدة'!D40</f>
        <v>0.65</v>
      </c>
      <c r="E42" s="108" t="n">
        <f aca="false">SUMIFS('مشتريات يومية'!$D$2:$D$4001,'مشتريات يومية'!$B$2:$B$4001,$B$2,'مشتريات يومية'!$C$2:$C$4001,$A42,'مشتريات يومية'!$A$2:$A$4001,"&gt;="&amp;'إعدادات المخزون'!$B$5,'مشتريات يومية'!$A$2:$A$4001,"&lt;="&amp;'إعدادات المخزون'!$B$4)</f>
        <v>0</v>
      </c>
      <c r="F42" s="108"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8"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8" t="n">
        <f aca="false">SUMPRODUCT('مصفوفة الاستهلاك'!$AK$2:$AK$172,'متجهات المبيعات'!$F$2:$F$172)/'مواد المخزون'!$D$37</f>
        <v>0</v>
      </c>
      <c r="I42" s="108"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8" t="n">
        <f aca="false">D42+E42+F42-G42-H42-I42</f>
        <v>0.65</v>
      </c>
      <c r="K42" s="36" t="str">
        <f aca="false">IF(COUNTIFS('جرد فعلي'!$B$2:$B$12001,$B$2,'جرد فعلي'!$C$2:$C$12001,$A42,'جرد فعلي'!$A$2:$A$12001,'إعدادات المخزون'!$B$4)&gt;0,"نعم","لا")</f>
        <v>لا</v>
      </c>
      <c r="L42" s="109" t="str">
        <f aca="false">IF(K42="نعم",SUMIFS('جرد فعلي'!$D$2:$D$12001,'جرد فعلي'!$B$2:$B$12001,$B$2,'جرد فعلي'!$C$2:$C$12001,$A42,'جرد فعلي'!$A$2:$A$12001,'إعدادات المخزون'!$B$4),"")</f>
        <v/>
      </c>
      <c r="M42" s="108" t="str">
        <f aca="false">IF(K42="نعم",L42-J42,"")</f>
        <v/>
      </c>
      <c r="N42" s="110" t="str">
        <f aca="false">IF(K42="نعم",IF(J42=0,IF(M42=0,0,SIGN(M42)),M42/ABS(J42)),"")</f>
        <v/>
      </c>
      <c r="O42" s="107" t="str">
        <f aca="false">IF(K42="نعم",M42*C42,"")</f>
        <v/>
      </c>
      <c r="P42" s="36" t="str">
        <f aca="false">IF(K42&lt;&gt;"نعم","لم يُجرد",IF(ABS(N42)&lt;='إعدادات المخزون'!$B$7,"مطابق",IF(M42&lt;0,"عجز","زيادة")))</f>
        <v>لم يُجرد</v>
      </c>
      <c r="Q42" s="108" t="n">
        <f aca="false">J42-Z42</f>
        <v>0.65</v>
      </c>
      <c r="R42" s="108"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8" t="str">
        <f aca="false">IF(AND(K42="نعم",R42&lt;&gt;""),(L42-J42)-(R42-Q42),"")</f>
        <v/>
      </c>
      <c r="T42" s="107" t="str">
        <f aca="false">IF(S42="","",S42*C42)</f>
        <v/>
      </c>
      <c r="U42" s="108" t="n">
        <f aca="false">IF(K42="نعم",L42,J42)</f>
        <v>0.65</v>
      </c>
      <c r="V42" s="108" t="n">
        <f aca="false">SUMPRODUCT('مصفوفة الاستهلاك'!$AK$2:$AK$172,'متجهات المبيعات'!$G$2:$G$172)/'مواد المخزون'!$D$37/MAX(1,MIN('إعدادات المخزون'!$B$11,'إعدادات المخزون'!$B$4-'إعدادات المخزون'!$B$5+1))</f>
        <v>0</v>
      </c>
      <c r="W42" s="108" t="n">
        <f aca="false">IF(V42&lt;=0,0,ROUNDUP(MAX(0,V42*('إعدادات المخزون'!$B$8+'إعدادات المخزون'!$B$9+'إعدادات المخزون'!$B$10)-MAX(U42,0))/'مواد المخزون'!$F37,0)*'مواد المخزون'!$F37)</f>
        <v>0</v>
      </c>
      <c r="X42" s="107" t="n">
        <f aca="false">IF(AND(K42="نعم",O42&lt;0),-O42+ROW()*0.000000001,0)</f>
        <v>0</v>
      </c>
      <c r="Y42" s="107" t="n">
        <f aca="false">IF(AND(K42="نعم",O42&gt;0),O42+ROW()*0.000000001,0)</f>
        <v>0</v>
      </c>
      <c r="Z42" s="108"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المبيعات'!$E$2:$E$172)/'مواد المخزون'!$D$37</f>
        <v>0</v>
      </c>
      <c r="AA42" s="107" t="n">
        <f aca="false">IF(K42="نعم",O42,0)</f>
        <v>0</v>
      </c>
      <c r="AB42" s="107" t="n">
        <f aca="false">IF(K42="نعم",J42*C42,0)</f>
        <v>0</v>
      </c>
      <c r="AC42" s="107" t="n">
        <f aca="false">IF(T42="",0,T42)</f>
        <v>0</v>
      </c>
    </row>
    <row r="43" customFormat="false" ht="15" hidden="false" customHeight="false" outlineLevel="0" collapsed="false">
      <c r="A43" s="34" t="str">
        <f aca="false">'مواد المخزون'!A38</f>
        <v>خيار مخلل</v>
      </c>
      <c r="B43" s="36" t="str">
        <f aca="false">'مواد المخزون'!B38</f>
        <v>كجم</v>
      </c>
      <c r="C43" s="107" t="n">
        <f aca="false">'مواد المخزون'!E38</f>
        <v>30</v>
      </c>
      <c r="D43" s="108" t="n">
        <f aca="false">'جرد أول المدة'!D41</f>
        <v>4.545</v>
      </c>
      <c r="E43" s="108" t="n">
        <f aca="false">SUMIFS('مشتريات يومية'!$D$2:$D$4001,'مشتريات يومية'!$B$2:$B$4001,$B$2,'مشتريات يومية'!$C$2:$C$4001,$A43,'مشتريات يومية'!$A$2:$A$4001,"&gt;="&amp;'إعدادات المخزون'!$B$5,'مشتريات يومية'!$A$2:$A$4001,"&lt;="&amp;'إعدادات المخزون'!$B$4)</f>
        <v>5</v>
      </c>
      <c r="F43" s="108"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8"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8" t="n">
        <f aca="false">SUMPRODUCT('مصفوفة الاستهلاك'!$AL$2:$AL$172,'متجهات المبيعات'!$F$2:$F$172)/'مواد المخزون'!$D$38</f>
        <v>0</v>
      </c>
      <c r="I43" s="108"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8" t="n">
        <f aca="false">D43+E43+F43-G43-H43-I43</f>
        <v>9.545</v>
      </c>
      <c r="K43" s="36" t="str">
        <f aca="false">IF(COUNTIFS('جرد فعلي'!$B$2:$B$12001,$B$2,'جرد فعلي'!$C$2:$C$12001,$A43,'جرد فعلي'!$A$2:$A$12001,'إعدادات المخزون'!$B$4)&gt;0,"نعم","لا")</f>
        <v>لا</v>
      </c>
      <c r="L43" s="109" t="str">
        <f aca="false">IF(K43="نعم",SUMIFS('جرد فعلي'!$D$2:$D$12001,'جرد فعلي'!$B$2:$B$12001,$B$2,'جرد فعلي'!$C$2:$C$12001,$A43,'جرد فعلي'!$A$2:$A$12001,'إعدادات المخزون'!$B$4),"")</f>
        <v/>
      </c>
      <c r="M43" s="108" t="str">
        <f aca="false">IF(K43="نعم",L43-J43,"")</f>
        <v/>
      </c>
      <c r="N43" s="110" t="str">
        <f aca="false">IF(K43="نعم",IF(J43=0,IF(M43=0,0,SIGN(M43)),M43/ABS(J43)),"")</f>
        <v/>
      </c>
      <c r="O43" s="107" t="str">
        <f aca="false">IF(K43="نعم",M43*C43,"")</f>
        <v/>
      </c>
      <c r="P43" s="36" t="str">
        <f aca="false">IF(K43&lt;&gt;"نعم","لم يُجرد",IF(ABS(N43)&lt;='إعدادات المخزون'!$B$7,"مطابق",IF(M43&lt;0,"عجز","زيادة")))</f>
        <v>لم يُجرد</v>
      </c>
      <c r="Q43" s="108" t="n">
        <f aca="false">J43-Z43</f>
        <v>9.545</v>
      </c>
      <c r="R43" s="108"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8" t="str">
        <f aca="false">IF(AND(K43="نعم",R43&lt;&gt;""),(L43-J43)-(R43-Q43),"")</f>
        <v/>
      </c>
      <c r="T43" s="107" t="str">
        <f aca="false">IF(S43="","",S43*C43)</f>
        <v/>
      </c>
      <c r="U43" s="108" t="n">
        <f aca="false">IF(K43="نعم",L43,J43)</f>
        <v>9.545</v>
      </c>
      <c r="V43" s="108" t="n">
        <f aca="false">SUMPRODUCT('مصفوفة الاستهلاك'!$AL$2:$AL$172,'متجهات المبيعات'!$G$2:$G$172)/'مواد المخزون'!$D$38/MAX(1,MIN('إعدادات المخزون'!$B$11,'إعدادات المخزون'!$B$4-'إعدادات المخزون'!$B$5+1))</f>
        <v>0</v>
      </c>
      <c r="W43" s="108" t="n">
        <f aca="false">IF(V43&lt;=0,0,ROUNDUP(MAX(0,V43*('إعدادات المخزون'!$B$8+'إعدادات المخزون'!$B$9+'إعدادات المخزون'!$B$10)-MAX(U43,0))/'مواد المخزون'!$F38,0)*'مواد المخزون'!$F38)</f>
        <v>0</v>
      </c>
      <c r="X43" s="107" t="n">
        <f aca="false">IF(AND(K43="نعم",O43&lt;0),-O43+ROW()*0.000000001,0)</f>
        <v>0</v>
      </c>
      <c r="Y43" s="107" t="n">
        <f aca="false">IF(AND(K43="نعم",O43&gt;0),O43+ROW()*0.000000001,0)</f>
        <v>0</v>
      </c>
      <c r="Z43" s="108"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المبيعات'!$E$2:$E$172)/'مواد المخزون'!$D$38</f>
        <v>0</v>
      </c>
      <c r="AA43" s="107" t="n">
        <f aca="false">IF(K43="نعم",O43,0)</f>
        <v>0</v>
      </c>
      <c r="AB43" s="107" t="n">
        <f aca="false">IF(K43="نعم",J43*C43,0)</f>
        <v>0</v>
      </c>
      <c r="AC43" s="107" t="n">
        <f aca="false">IF(T43="",0,T43)</f>
        <v>0</v>
      </c>
    </row>
    <row r="44" customFormat="false" ht="15" hidden="false" customHeight="false" outlineLevel="0" collapsed="false">
      <c r="A44" s="34" t="str">
        <f aca="false">'مواد المخزون'!A39</f>
        <v>دقيق</v>
      </c>
      <c r="B44" s="36" t="str">
        <f aca="false">'مواد المخزون'!B39</f>
        <v>كجم</v>
      </c>
      <c r="C44" s="107" t="n">
        <f aca="false">'مواد المخزون'!E39</f>
        <v>20.3571</v>
      </c>
      <c r="D44" s="108" t="n">
        <f aca="false">'جرد أول المدة'!D42</f>
        <v>8.014</v>
      </c>
      <c r="E44" s="108" t="n">
        <f aca="false">SUMIFS('مشتريات يومية'!$D$2:$D$4001,'مشتريات يومية'!$B$2:$B$4001,$B$2,'مشتريات يومية'!$C$2:$C$4001,$A44,'مشتريات يومية'!$A$2:$A$4001,"&gt;="&amp;'إعدادات المخزون'!$B$5,'مشتريات يومية'!$A$2:$A$4001,"&lt;="&amp;'إعدادات المخزون'!$B$4)</f>
        <v>25</v>
      </c>
      <c r="F44" s="108"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8"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8" t="n">
        <f aca="false">SUMPRODUCT('مصفوفة الاستهلاك'!$AM$2:$AM$172,'متجهات المبيعات'!$F$2:$F$172)/'مواد المخزون'!$D$39</f>
        <v>0</v>
      </c>
      <c r="I44" s="108"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8" t="n">
        <f aca="false">D44+E44+F44-G44-H44-I44</f>
        <v>33.014</v>
      </c>
      <c r="K44" s="36" t="str">
        <f aca="false">IF(COUNTIFS('جرد فعلي'!$B$2:$B$12001,$B$2,'جرد فعلي'!$C$2:$C$12001,$A44,'جرد فعلي'!$A$2:$A$12001,'إعدادات المخزون'!$B$4)&gt;0,"نعم","لا")</f>
        <v>لا</v>
      </c>
      <c r="L44" s="109" t="str">
        <f aca="false">IF(K44="نعم",SUMIFS('جرد فعلي'!$D$2:$D$12001,'جرد فعلي'!$B$2:$B$12001,$B$2,'جرد فعلي'!$C$2:$C$12001,$A44,'جرد فعلي'!$A$2:$A$12001,'إعدادات المخزون'!$B$4),"")</f>
        <v/>
      </c>
      <c r="M44" s="108" t="str">
        <f aca="false">IF(K44="نعم",L44-J44,"")</f>
        <v/>
      </c>
      <c r="N44" s="110" t="str">
        <f aca="false">IF(K44="نعم",IF(J44=0,IF(M44=0,0,SIGN(M44)),M44/ABS(J44)),"")</f>
        <v/>
      </c>
      <c r="O44" s="107" t="str">
        <f aca="false">IF(K44="نعم",M44*C44,"")</f>
        <v/>
      </c>
      <c r="P44" s="36" t="str">
        <f aca="false">IF(K44&lt;&gt;"نعم","لم يُجرد",IF(ABS(N44)&lt;='إعدادات المخزون'!$B$7,"مطابق",IF(M44&lt;0,"عجز","زيادة")))</f>
        <v>لم يُجرد</v>
      </c>
      <c r="Q44" s="108" t="n">
        <f aca="false">J44-Z44</f>
        <v>33.014</v>
      </c>
      <c r="R44" s="108"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8" t="str">
        <f aca="false">IF(AND(K44="نعم",R44&lt;&gt;""),(L44-J44)-(R44-Q44),"")</f>
        <v/>
      </c>
      <c r="T44" s="107" t="str">
        <f aca="false">IF(S44="","",S44*C44)</f>
        <v/>
      </c>
      <c r="U44" s="108" t="n">
        <f aca="false">IF(K44="نعم",L44,J44)</f>
        <v>33.014</v>
      </c>
      <c r="V44" s="108" t="n">
        <f aca="false">SUMPRODUCT('مصفوفة الاستهلاك'!$AM$2:$AM$172,'متجهات المبيعات'!$G$2:$G$172)/'مواد المخزون'!$D$39/MAX(1,MIN('إعدادات المخزون'!$B$11,'إعدادات المخزون'!$B$4-'إعدادات المخزون'!$B$5+1))</f>
        <v>0</v>
      </c>
      <c r="W44" s="108" t="n">
        <f aca="false">IF(V44&lt;=0,0,ROUNDUP(MAX(0,V44*('إعدادات المخزون'!$B$8+'إعدادات المخزون'!$B$9+'إعدادات المخزون'!$B$10)-MAX(U44,0))/'مواد المخزون'!$F39,0)*'مواد المخزون'!$F39)</f>
        <v>0</v>
      </c>
      <c r="X44" s="107" t="n">
        <f aca="false">IF(AND(K44="نعم",O44&lt;0),-O44+ROW()*0.000000001,0)</f>
        <v>0</v>
      </c>
      <c r="Y44" s="107" t="n">
        <f aca="false">IF(AND(K44="نعم",O44&gt;0),O44+ROW()*0.000000001,0)</f>
        <v>0</v>
      </c>
      <c r="Z44" s="108"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المبيعات'!$E$2:$E$172)/'مواد المخزون'!$D$39</f>
        <v>0</v>
      </c>
      <c r="AA44" s="107" t="n">
        <f aca="false">IF(K44="نعم",O44,0)</f>
        <v>0</v>
      </c>
      <c r="AB44" s="107" t="n">
        <f aca="false">IF(K44="نعم",J44*C44,0)</f>
        <v>0</v>
      </c>
      <c r="AC44" s="107" t="n">
        <f aca="false">IF(T44="",0,T44)</f>
        <v>0</v>
      </c>
    </row>
    <row r="45" customFormat="false" ht="15" hidden="false" customHeight="false" outlineLevel="0" collapsed="false">
      <c r="A45" s="34" t="str">
        <f aca="false">'مواد المخزون'!A40</f>
        <v>زبدة</v>
      </c>
      <c r="B45" s="36" t="str">
        <f aca="false">'مواد المخزون'!B40</f>
        <v>كجم</v>
      </c>
      <c r="C45" s="107" t="n">
        <f aca="false">'مواد المخزون'!E40</f>
        <v>120</v>
      </c>
      <c r="D45" s="108" t="n">
        <f aca="false">'جرد أول المدة'!D43</f>
        <v>1.38</v>
      </c>
      <c r="E45" s="108" t="n">
        <f aca="false">SUMIFS('مشتريات يومية'!$D$2:$D$4001,'مشتريات يومية'!$B$2:$B$4001,$B$2,'مشتريات يومية'!$C$2:$C$4001,$A45,'مشتريات يومية'!$A$2:$A$4001,"&gt;="&amp;'إعدادات المخزون'!$B$5,'مشتريات يومية'!$A$2:$A$4001,"&lt;="&amp;'إعدادات المخزون'!$B$4)</f>
        <v>10</v>
      </c>
      <c r="F45" s="108"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8"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8" t="n">
        <f aca="false">SUMPRODUCT('مصفوفة الاستهلاك'!$AN$2:$AN$172,'متجهات المبيعات'!$F$2:$F$172)/'مواد المخزون'!$D$40</f>
        <v>0</v>
      </c>
      <c r="I45" s="108"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8" t="n">
        <f aca="false">D45+E45+F45-G45-H45-I45</f>
        <v>11.38</v>
      </c>
      <c r="K45" s="36" t="str">
        <f aca="false">IF(COUNTIFS('جرد فعلي'!$B$2:$B$12001,$B$2,'جرد فعلي'!$C$2:$C$12001,$A45,'جرد فعلي'!$A$2:$A$12001,'إعدادات المخزون'!$B$4)&gt;0,"نعم","لا")</f>
        <v>لا</v>
      </c>
      <c r="L45" s="109" t="str">
        <f aca="false">IF(K45="نعم",SUMIFS('جرد فعلي'!$D$2:$D$12001,'جرد فعلي'!$B$2:$B$12001,$B$2,'جرد فعلي'!$C$2:$C$12001,$A45,'جرد فعلي'!$A$2:$A$12001,'إعدادات المخزون'!$B$4),"")</f>
        <v/>
      </c>
      <c r="M45" s="108" t="str">
        <f aca="false">IF(K45="نعم",L45-J45,"")</f>
        <v/>
      </c>
      <c r="N45" s="110" t="str">
        <f aca="false">IF(K45="نعم",IF(J45=0,IF(M45=0,0,SIGN(M45)),M45/ABS(J45)),"")</f>
        <v/>
      </c>
      <c r="O45" s="107" t="str">
        <f aca="false">IF(K45="نعم",M45*C45,"")</f>
        <v/>
      </c>
      <c r="P45" s="36" t="str">
        <f aca="false">IF(K45&lt;&gt;"نعم","لم يُجرد",IF(ABS(N45)&lt;='إعدادات المخزون'!$B$7,"مطابق",IF(M45&lt;0,"عجز","زيادة")))</f>
        <v>لم يُجرد</v>
      </c>
      <c r="Q45" s="108" t="n">
        <f aca="false">J45-Z45</f>
        <v>11.38</v>
      </c>
      <c r="R45" s="108"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8" t="str">
        <f aca="false">IF(AND(K45="نعم",R45&lt;&gt;""),(L45-J45)-(R45-Q45),"")</f>
        <v/>
      </c>
      <c r="T45" s="107" t="str">
        <f aca="false">IF(S45="","",S45*C45)</f>
        <v/>
      </c>
      <c r="U45" s="108" t="n">
        <f aca="false">IF(K45="نعم",L45,J45)</f>
        <v>11.38</v>
      </c>
      <c r="V45" s="108" t="n">
        <f aca="false">SUMPRODUCT('مصفوفة الاستهلاك'!$AN$2:$AN$172,'متجهات المبيعات'!$G$2:$G$172)/'مواد المخزون'!$D$40/MAX(1,MIN('إعدادات المخزون'!$B$11,'إعدادات المخزون'!$B$4-'إعدادات المخزون'!$B$5+1))</f>
        <v>0</v>
      </c>
      <c r="W45" s="108" t="n">
        <f aca="false">IF(V45&lt;=0,0,ROUNDUP(MAX(0,V45*('إعدادات المخزون'!$B$8+'إعدادات المخزون'!$B$9+'إعدادات المخزون'!$B$10)-MAX(U45,0))/'مواد المخزون'!$F40,0)*'مواد المخزون'!$F40)</f>
        <v>0</v>
      </c>
      <c r="X45" s="107" t="n">
        <f aca="false">IF(AND(K45="نعم",O45&lt;0),-O45+ROW()*0.000000001,0)</f>
        <v>0</v>
      </c>
      <c r="Y45" s="107" t="n">
        <f aca="false">IF(AND(K45="نعم",O45&gt;0),O45+ROW()*0.000000001,0)</f>
        <v>0</v>
      </c>
      <c r="Z45" s="108"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المبيعات'!$E$2:$E$172)/'مواد المخزون'!$D$40</f>
        <v>0</v>
      </c>
      <c r="AA45" s="107" t="n">
        <f aca="false">IF(K45="نعم",O45,0)</f>
        <v>0</v>
      </c>
      <c r="AB45" s="107" t="n">
        <f aca="false">IF(K45="نعم",J45*C45,0)</f>
        <v>0</v>
      </c>
      <c r="AC45" s="107" t="n">
        <f aca="false">IF(T45="",0,T45)</f>
        <v>0</v>
      </c>
    </row>
    <row r="46" customFormat="false" ht="15" hidden="false" customHeight="false" outlineLevel="0" collapsed="false">
      <c r="A46" s="34" t="str">
        <f aca="false">'مواد المخزون'!A41</f>
        <v>زبيب</v>
      </c>
      <c r="B46" s="36" t="str">
        <f aca="false">'مواد المخزون'!B41</f>
        <v>كجم</v>
      </c>
      <c r="C46" s="107" t="n">
        <f aca="false">'مواد المخزون'!E41</f>
        <v>220</v>
      </c>
      <c r="D46" s="108" t="n">
        <f aca="false">'جرد أول المدة'!D44</f>
        <v>0.46</v>
      </c>
      <c r="E46" s="108" t="n">
        <f aca="false">SUMIFS('مشتريات يومية'!$D$2:$D$4001,'مشتريات يومية'!$B$2:$B$4001,$B$2,'مشتريات يومية'!$C$2:$C$4001,$A46,'مشتريات يومية'!$A$2:$A$4001,"&gt;="&amp;'إعدادات المخزون'!$B$5,'مشتريات يومية'!$A$2:$A$4001,"&lt;="&amp;'إعدادات المخزون'!$B$4)</f>
        <v>0.5</v>
      </c>
      <c r="F46" s="108"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8"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8" t="n">
        <f aca="false">SUMPRODUCT('مصفوفة الاستهلاك'!$AO$2:$AO$172,'متجهات المبيعات'!$F$2:$F$172)/'مواد المخزون'!$D$41</f>
        <v>0</v>
      </c>
      <c r="I46" s="108"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8" t="n">
        <f aca="false">D46+E46+F46-G46-H46-I46</f>
        <v>0.96</v>
      </c>
      <c r="K46" s="36" t="str">
        <f aca="false">IF(COUNTIFS('جرد فعلي'!$B$2:$B$12001,$B$2,'جرد فعلي'!$C$2:$C$12001,$A46,'جرد فعلي'!$A$2:$A$12001,'إعدادات المخزون'!$B$4)&gt;0,"نعم","لا")</f>
        <v>لا</v>
      </c>
      <c r="L46" s="109" t="str">
        <f aca="false">IF(K46="نعم",SUMIFS('جرد فعلي'!$D$2:$D$12001,'جرد فعلي'!$B$2:$B$12001,$B$2,'جرد فعلي'!$C$2:$C$12001,$A46,'جرد فعلي'!$A$2:$A$12001,'إعدادات المخزون'!$B$4),"")</f>
        <v/>
      </c>
      <c r="M46" s="108" t="str">
        <f aca="false">IF(K46="نعم",L46-J46,"")</f>
        <v/>
      </c>
      <c r="N46" s="110" t="str">
        <f aca="false">IF(K46="نعم",IF(J46=0,IF(M46=0,0,SIGN(M46)),M46/ABS(J46)),"")</f>
        <v/>
      </c>
      <c r="O46" s="107" t="str">
        <f aca="false">IF(K46="نعم",M46*C46,"")</f>
        <v/>
      </c>
      <c r="P46" s="36" t="str">
        <f aca="false">IF(K46&lt;&gt;"نعم","لم يُجرد",IF(ABS(N46)&lt;='إعدادات المخزون'!$B$7,"مطابق",IF(M46&lt;0,"عجز","زيادة")))</f>
        <v>لم يُجرد</v>
      </c>
      <c r="Q46" s="108" t="n">
        <f aca="false">J46-Z46</f>
        <v>0.96</v>
      </c>
      <c r="R46" s="108"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8" t="str">
        <f aca="false">IF(AND(K46="نعم",R46&lt;&gt;""),(L46-J46)-(R46-Q46),"")</f>
        <v/>
      </c>
      <c r="T46" s="107" t="str">
        <f aca="false">IF(S46="","",S46*C46)</f>
        <v/>
      </c>
      <c r="U46" s="108" t="n">
        <f aca="false">IF(K46="نعم",L46,J46)</f>
        <v>0.96</v>
      </c>
      <c r="V46" s="108" t="n">
        <f aca="false">SUMPRODUCT('مصفوفة الاستهلاك'!$AO$2:$AO$172,'متجهات المبيعات'!$G$2:$G$172)/'مواد المخزون'!$D$41/MAX(1,MIN('إعدادات المخزون'!$B$11,'إعدادات المخزون'!$B$4-'إعدادات المخزون'!$B$5+1))</f>
        <v>0</v>
      </c>
      <c r="W46" s="108" t="n">
        <f aca="false">IF(V46&lt;=0,0,ROUNDUP(MAX(0,V46*('إعدادات المخزون'!$B$8+'إعدادات المخزون'!$B$9+'إعدادات المخزون'!$B$10)-MAX(U46,0))/'مواد المخزون'!$F41,0)*'مواد المخزون'!$F41)</f>
        <v>0</v>
      </c>
      <c r="X46" s="107" t="n">
        <f aca="false">IF(AND(K46="نعم",O46&lt;0),-O46+ROW()*0.000000001,0)</f>
        <v>0</v>
      </c>
      <c r="Y46" s="107" t="n">
        <f aca="false">IF(AND(K46="نعم",O46&gt;0),O46+ROW()*0.000000001,0)</f>
        <v>0</v>
      </c>
      <c r="Z46" s="108"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المبيعات'!$E$2:$E$172)/'مواد المخزون'!$D$41</f>
        <v>0</v>
      </c>
      <c r="AA46" s="107" t="n">
        <f aca="false">IF(K46="نعم",O46,0)</f>
        <v>0</v>
      </c>
      <c r="AB46" s="107" t="n">
        <f aca="false">IF(K46="نعم",J46*C46,0)</f>
        <v>0</v>
      </c>
      <c r="AC46" s="107" t="n">
        <f aca="false">IF(T46="",0,T46)</f>
        <v>0</v>
      </c>
    </row>
    <row r="47" customFormat="false" ht="15" hidden="false" customHeight="false" outlineLevel="0" collapsed="false">
      <c r="A47" s="34" t="str">
        <f aca="false">'مواد المخزون'!A42</f>
        <v>زيتون</v>
      </c>
      <c r="B47" s="36" t="str">
        <f aca="false">'مواد المخزون'!B42</f>
        <v>كجم</v>
      </c>
      <c r="C47" s="107" t="n">
        <f aca="false">'مواد المخزون'!E42</f>
        <v>95</v>
      </c>
      <c r="D47" s="108" t="n">
        <f aca="false">'جرد أول المدة'!D45</f>
        <v>7.325</v>
      </c>
      <c r="E47" s="108" t="n">
        <f aca="false">SUMIFS('مشتريات يومية'!$D$2:$D$4001,'مشتريات يومية'!$B$2:$B$4001,$B$2,'مشتريات يومية'!$C$2:$C$4001,$A47,'مشتريات يومية'!$A$2:$A$4001,"&gt;="&amp;'إعدادات المخزون'!$B$5,'مشتريات يومية'!$A$2:$A$4001,"&lt;="&amp;'إعدادات المخزون'!$B$4)</f>
        <v>20</v>
      </c>
      <c r="F47" s="108"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8"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8" t="n">
        <f aca="false">SUMPRODUCT('مصفوفة الاستهلاك'!$AP$2:$AP$172,'متجهات المبيعات'!$F$2:$F$172)/'مواد المخزون'!$D$42</f>
        <v>0</v>
      </c>
      <c r="I47" s="108"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8" t="n">
        <f aca="false">D47+E47+F47-G47-H47-I47</f>
        <v>27.325</v>
      </c>
      <c r="K47" s="36" t="str">
        <f aca="false">IF(COUNTIFS('جرد فعلي'!$B$2:$B$12001,$B$2,'جرد فعلي'!$C$2:$C$12001,$A47,'جرد فعلي'!$A$2:$A$12001,'إعدادات المخزون'!$B$4)&gt;0,"نعم","لا")</f>
        <v>لا</v>
      </c>
      <c r="L47" s="109" t="str">
        <f aca="false">IF(K47="نعم",SUMIFS('جرد فعلي'!$D$2:$D$12001,'جرد فعلي'!$B$2:$B$12001,$B$2,'جرد فعلي'!$C$2:$C$12001,$A47,'جرد فعلي'!$A$2:$A$12001,'إعدادات المخزون'!$B$4),"")</f>
        <v/>
      </c>
      <c r="M47" s="108" t="str">
        <f aca="false">IF(K47="نعم",L47-J47,"")</f>
        <v/>
      </c>
      <c r="N47" s="110" t="str">
        <f aca="false">IF(K47="نعم",IF(J47=0,IF(M47=0,0,SIGN(M47)),M47/ABS(J47)),"")</f>
        <v/>
      </c>
      <c r="O47" s="107" t="str">
        <f aca="false">IF(K47="نعم",M47*C47,"")</f>
        <v/>
      </c>
      <c r="P47" s="36" t="str">
        <f aca="false">IF(K47&lt;&gt;"نعم","لم يُجرد",IF(ABS(N47)&lt;='إعدادات المخزون'!$B$7,"مطابق",IF(M47&lt;0,"عجز","زيادة")))</f>
        <v>لم يُجرد</v>
      </c>
      <c r="Q47" s="108" t="n">
        <f aca="false">J47-Z47</f>
        <v>27.325</v>
      </c>
      <c r="R47" s="108"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8" t="str">
        <f aca="false">IF(AND(K47="نعم",R47&lt;&gt;""),(L47-J47)-(R47-Q47),"")</f>
        <v/>
      </c>
      <c r="T47" s="107" t="str">
        <f aca="false">IF(S47="","",S47*C47)</f>
        <v/>
      </c>
      <c r="U47" s="108" t="n">
        <f aca="false">IF(K47="نعم",L47,J47)</f>
        <v>27.325</v>
      </c>
      <c r="V47" s="108" t="n">
        <f aca="false">SUMPRODUCT('مصفوفة الاستهلاك'!$AP$2:$AP$172,'متجهات المبيعات'!$G$2:$G$172)/'مواد المخزون'!$D$42/MAX(1,MIN('إعدادات المخزون'!$B$11,'إعدادات المخزون'!$B$4-'إعدادات المخزون'!$B$5+1))</f>
        <v>0</v>
      </c>
      <c r="W47" s="108" t="n">
        <f aca="false">IF(V47&lt;=0,0,ROUNDUP(MAX(0,V47*('إعدادات المخزون'!$B$8+'إعدادات المخزون'!$B$9+'إعدادات المخزون'!$B$10)-MAX(U47,0))/'مواد المخزون'!$F42,0)*'مواد المخزون'!$F42)</f>
        <v>0</v>
      </c>
      <c r="X47" s="107" t="n">
        <f aca="false">IF(AND(K47="نعم",O47&lt;0),-O47+ROW()*0.000000001,0)</f>
        <v>0</v>
      </c>
      <c r="Y47" s="107" t="n">
        <f aca="false">IF(AND(K47="نعم",O47&gt;0),O47+ROW()*0.000000001,0)</f>
        <v>0</v>
      </c>
      <c r="Z47" s="108"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المبيعات'!$E$2:$E$172)/'مواد المخزون'!$D$42</f>
        <v>0</v>
      </c>
      <c r="AA47" s="107" t="n">
        <f aca="false">IF(K47="نعم",O47,0)</f>
        <v>0</v>
      </c>
      <c r="AB47" s="107" t="n">
        <f aca="false">IF(K47="نعم",J47*C47,0)</f>
        <v>0</v>
      </c>
      <c r="AC47" s="107" t="n">
        <f aca="false">IF(T47="",0,T47)</f>
        <v>0</v>
      </c>
    </row>
    <row r="48" customFormat="false" ht="15" hidden="false" customHeight="false" outlineLevel="0" collapsed="false">
      <c r="A48" s="34" t="str">
        <f aca="false">'مواد المخزون'!A43</f>
        <v>سكر بودرة</v>
      </c>
      <c r="B48" s="36" t="str">
        <f aca="false">'مواد المخزون'!B43</f>
        <v>كجم</v>
      </c>
      <c r="C48" s="107" t="n">
        <f aca="false">'مواد المخزون'!E43</f>
        <v>30.6593</v>
      </c>
      <c r="D48" s="108" t="n">
        <f aca="false">'جرد أول المدة'!D46</f>
        <v>7.764</v>
      </c>
      <c r="E48" s="108" t="n">
        <f aca="false">SUMIFS('مشتريات يومية'!$D$2:$D$4001,'مشتريات يومية'!$B$2:$B$4001,$B$2,'مشتريات يومية'!$C$2:$C$4001,$A48,'مشتريات يومية'!$A$2:$A$4001,"&gt;="&amp;'إعدادات المخزون'!$B$5,'مشتريات يومية'!$A$2:$A$4001,"&lt;="&amp;'إعدادات المخزون'!$B$4)</f>
        <v>68</v>
      </c>
      <c r="F48" s="108"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8"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8" t="n">
        <f aca="false">SUMPRODUCT('مصفوفة الاستهلاك'!$AQ$2:$AQ$172,'متجهات المبيعات'!$F$2:$F$172)/'مواد المخزون'!$D$43</f>
        <v>0</v>
      </c>
      <c r="I48" s="108"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8" t="n">
        <f aca="false">D48+E48+F48-G48-H48-I48</f>
        <v>75.764</v>
      </c>
      <c r="K48" s="36" t="str">
        <f aca="false">IF(COUNTIFS('جرد فعلي'!$B$2:$B$12001,$B$2,'جرد فعلي'!$C$2:$C$12001,$A48,'جرد فعلي'!$A$2:$A$12001,'إعدادات المخزون'!$B$4)&gt;0,"نعم","لا")</f>
        <v>لا</v>
      </c>
      <c r="L48" s="109" t="str">
        <f aca="false">IF(K48="نعم",SUMIFS('جرد فعلي'!$D$2:$D$12001,'جرد فعلي'!$B$2:$B$12001,$B$2,'جرد فعلي'!$C$2:$C$12001,$A48,'جرد فعلي'!$A$2:$A$12001,'إعدادات المخزون'!$B$4),"")</f>
        <v/>
      </c>
      <c r="M48" s="108" t="str">
        <f aca="false">IF(K48="نعم",L48-J48,"")</f>
        <v/>
      </c>
      <c r="N48" s="110" t="str">
        <f aca="false">IF(K48="نعم",IF(J48=0,IF(M48=0,0,SIGN(M48)),M48/ABS(J48)),"")</f>
        <v/>
      </c>
      <c r="O48" s="107" t="str">
        <f aca="false">IF(K48="نعم",M48*C48,"")</f>
        <v/>
      </c>
      <c r="P48" s="36" t="str">
        <f aca="false">IF(K48&lt;&gt;"نعم","لم يُجرد",IF(ABS(N48)&lt;='إعدادات المخزون'!$B$7,"مطابق",IF(M48&lt;0,"عجز","زيادة")))</f>
        <v>لم يُجرد</v>
      </c>
      <c r="Q48" s="108" t="n">
        <f aca="false">J48-Z48</f>
        <v>75.764</v>
      </c>
      <c r="R48" s="108"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8" t="str">
        <f aca="false">IF(AND(K48="نعم",R48&lt;&gt;""),(L48-J48)-(R48-Q48),"")</f>
        <v/>
      </c>
      <c r="T48" s="107" t="str">
        <f aca="false">IF(S48="","",S48*C48)</f>
        <v/>
      </c>
      <c r="U48" s="108" t="n">
        <f aca="false">IF(K48="نعم",L48,J48)</f>
        <v>75.764</v>
      </c>
      <c r="V48" s="108" t="n">
        <f aca="false">SUMPRODUCT('مصفوفة الاستهلاك'!$AQ$2:$AQ$172,'متجهات المبيعات'!$G$2:$G$172)/'مواد المخزون'!$D$43/MAX(1,MIN('إعدادات المخزون'!$B$11,'إعدادات المخزون'!$B$4-'إعدادات المخزون'!$B$5+1))</f>
        <v>0</v>
      </c>
      <c r="W48" s="108" t="n">
        <f aca="false">IF(V48&lt;=0,0,ROUNDUP(MAX(0,V48*('إعدادات المخزون'!$B$8+'إعدادات المخزون'!$B$9+'إعدادات المخزون'!$B$10)-MAX(U48,0))/'مواد المخزون'!$F43,0)*'مواد المخزون'!$F43)</f>
        <v>0</v>
      </c>
      <c r="X48" s="107" t="n">
        <f aca="false">IF(AND(K48="نعم",O48&lt;0),-O48+ROW()*0.000000001,0)</f>
        <v>0</v>
      </c>
      <c r="Y48" s="107" t="n">
        <f aca="false">IF(AND(K48="نعم",O48&gt;0),O48+ROW()*0.000000001,0)</f>
        <v>0</v>
      </c>
      <c r="Z48" s="108"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المبيعات'!$E$2:$E$172)/'مواد المخزون'!$D$43</f>
        <v>0</v>
      </c>
      <c r="AA48" s="107" t="n">
        <f aca="false">IF(K48="نعم",O48,0)</f>
        <v>0</v>
      </c>
      <c r="AB48" s="107" t="n">
        <f aca="false">IF(K48="نعم",J48*C48,0)</f>
        <v>0</v>
      </c>
      <c r="AC48" s="107" t="n">
        <f aca="false">IF(T48="",0,T48)</f>
        <v>0</v>
      </c>
    </row>
    <row r="49" customFormat="false" ht="15" hidden="false" customHeight="false" outlineLevel="0" collapsed="false">
      <c r="A49" s="34" t="str">
        <f aca="false">'مواد المخزون'!A44</f>
        <v>سمنة الشيخ</v>
      </c>
      <c r="B49" s="36" t="str">
        <f aca="false">'مواد المخزون'!B44</f>
        <v>كجم</v>
      </c>
      <c r="C49" s="107" t="n">
        <f aca="false">'مواد المخزون'!E44</f>
        <v>380</v>
      </c>
      <c r="D49" s="108" t="n">
        <f aca="false">'جرد أول المدة'!D47</f>
        <v>1.798</v>
      </c>
      <c r="E49" s="108" t="n">
        <f aca="false">SUMIFS('مشتريات يومية'!$D$2:$D$4001,'مشتريات يومية'!$B$2:$B$4001,$B$2,'مشتريات يومية'!$C$2:$C$4001,$A49,'مشتريات يومية'!$A$2:$A$4001,"&gt;="&amp;'إعدادات المخزون'!$B$5,'مشتريات يومية'!$A$2:$A$4001,"&lt;="&amp;'إعدادات المخزون'!$B$4)</f>
        <v>4</v>
      </c>
      <c r="F49" s="108"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8"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8" t="n">
        <f aca="false">SUMPRODUCT('مصفوفة الاستهلاك'!$AR$2:$AR$172,'متجهات المبيعات'!$F$2:$F$172)/'مواد المخزون'!$D$44</f>
        <v>0</v>
      </c>
      <c r="I49" s="108"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8" t="n">
        <f aca="false">D49+E49+F49-G49-H49-I49</f>
        <v>5.798</v>
      </c>
      <c r="K49" s="36" t="str">
        <f aca="false">IF(COUNTIFS('جرد فعلي'!$B$2:$B$12001,$B$2,'جرد فعلي'!$C$2:$C$12001,$A49,'جرد فعلي'!$A$2:$A$12001,'إعدادات المخزون'!$B$4)&gt;0,"نعم","لا")</f>
        <v>لا</v>
      </c>
      <c r="L49" s="109" t="str">
        <f aca="false">IF(K49="نعم",SUMIFS('جرد فعلي'!$D$2:$D$12001,'جرد فعلي'!$B$2:$B$12001,$B$2,'جرد فعلي'!$C$2:$C$12001,$A49,'جرد فعلي'!$A$2:$A$12001,'إعدادات المخزون'!$B$4),"")</f>
        <v/>
      </c>
      <c r="M49" s="108" t="str">
        <f aca="false">IF(K49="نعم",L49-J49,"")</f>
        <v/>
      </c>
      <c r="N49" s="110" t="str">
        <f aca="false">IF(K49="نعم",IF(J49=0,IF(M49=0,0,SIGN(M49)),M49/ABS(J49)),"")</f>
        <v/>
      </c>
      <c r="O49" s="107" t="str">
        <f aca="false">IF(K49="نعم",M49*C49,"")</f>
        <v/>
      </c>
      <c r="P49" s="36" t="str">
        <f aca="false">IF(K49&lt;&gt;"نعم","لم يُجرد",IF(ABS(N49)&lt;='إعدادات المخزون'!$B$7,"مطابق",IF(M49&lt;0,"عجز","زيادة")))</f>
        <v>لم يُجرد</v>
      </c>
      <c r="Q49" s="108" t="n">
        <f aca="false">J49-Z49</f>
        <v>5.798</v>
      </c>
      <c r="R49" s="108"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8" t="str">
        <f aca="false">IF(AND(K49="نعم",R49&lt;&gt;""),(L49-J49)-(R49-Q49),"")</f>
        <v/>
      </c>
      <c r="T49" s="107" t="str">
        <f aca="false">IF(S49="","",S49*C49)</f>
        <v/>
      </c>
      <c r="U49" s="108" t="n">
        <f aca="false">IF(K49="نعم",L49,J49)</f>
        <v>5.798</v>
      </c>
      <c r="V49" s="108" t="n">
        <f aca="false">SUMPRODUCT('مصفوفة الاستهلاك'!$AR$2:$AR$172,'متجهات المبيعات'!$G$2:$G$172)/'مواد المخزون'!$D$44/MAX(1,MIN('إعدادات المخزون'!$B$11,'إعدادات المخزون'!$B$4-'إعدادات المخزون'!$B$5+1))</f>
        <v>0</v>
      </c>
      <c r="W49" s="108" t="n">
        <f aca="false">IF(V49&lt;=0,0,ROUNDUP(MAX(0,V49*('إعدادات المخزون'!$B$8+'إعدادات المخزون'!$B$9+'إعدادات المخزون'!$B$10)-MAX(U49,0))/'مواد المخزون'!$F44,0)*'مواد المخزون'!$F44)</f>
        <v>0</v>
      </c>
      <c r="X49" s="107" t="n">
        <f aca="false">IF(AND(K49="نعم",O49&lt;0),-O49+ROW()*0.000000001,0)</f>
        <v>0</v>
      </c>
      <c r="Y49" s="107" t="n">
        <f aca="false">IF(AND(K49="نعم",O49&gt;0),O49+ROW()*0.000000001,0)</f>
        <v>0</v>
      </c>
      <c r="Z49" s="108"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المبيعات'!$E$2:$E$172)/'مواد المخزون'!$D$44</f>
        <v>0</v>
      </c>
      <c r="AA49" s="107" t="n">
        <f aca="false">IF(K49="نعم",O49,0)</f>
        <v>0</v>
      </c>
      <c r="AB49" s="107" t="n">
        <f aca="false">IF(K49="نعم",J49*C49,0)</f>
        <v>0</v>
      </c>
      <c r="AC49" s="107" t="n">
        <f aca="false">IF(T49="",0,T49)</f>
        <v>0</v>
      </c>
    </row>
    <row r="50" customFormat="false" ht="15" hidden="false" customHeight="false" outlineLevel="0" collapsed="false">
      <c r="A50" s="34" t="str">
        <f aca="false">'مواد المخزون'!A45</f>
        <v>سيلفر رول</v>
      </c>
      <c r="B50" s="36" t="str">
        <f aca="false">'مواد المخزون'!B45</f>
        <v>رول</v>
      </c>
      <c r="C50" s="107" t="n">
        <f aca="false">'مواد المخزون'!E45</f>
        <v>503.78</v>
      </c>
      <c r="D50" s="108" t="n">
        <f aca="false">'جرد أول المدة'!D48</f>
        <v>0.985</v>
      </c>
      <c r="E50" s="108" t="n">
        <f aca="false">SUMIFS('مشتريات يومية'!$D$2:$D$4001,'مشتريات يومية'!$B$2:$B$4001,$B$2,'مشتريات يومية'!$C$2:$C$4001,$A50,'مشتريات يومية'!$A$2:$A$4001,"&gt;="&amp;'إعدادات المخزون'!$B$5,'مشتريات يومية'!$A$2:$A$4001,"&lt;="&amp;'إعدادات المخزون'!$B$4)</f>
        <v>1</v>
      </c>
      <c r="F50" s="108"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8"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8" t="n">
        <f aca="false">SUMPRODUCT('مصفوفة الاستهلاك'!$AS$2:$AS$172,'متجهات المبيعات'!$F$2:$F$172)/'مواد المخزون'!$D$45</f>
        <v>0</v>
      </c>
      <c r="I50" s="108"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8" t="n">
        <f aca="false">D50+E50+F50-G50-H50-I50</f>
        <v>1.985</v>
      </c>
      <c r="K50" s="36" t="str">
        <f aca="false">IF(COUNTIFS('جرد فعلي'!$B$2:$B$12001,$B$2,'جرد فعلي'!$C$2:$C$12001,$A50,'جرد فعلي'!$A$2:$A$12001,'إعدادات المخزون'!$B$4)&gt;0,"نعم","لا")</f>
        <v>لا</v>
      </c>
      <c r="L50" s="109" t="str">
        <f aca="false">IF(K50="نعم",SUMIFS('جرد فعلي'!$D$2:$D$12001,'جرد فعلي'!$B$2:$B$12001,$B$2,'جرد فعلي'!$C$2:$C$12001,$A50,'جرد فعلي'!$A$2:$A$12001,'إعدادات المخزون'!$B$4),"")</f>
        <v/>
      </c>
      <c r="M50" s="108" t="str">
        <f aca="false">IF(K50="نعم",L50-J50,"")</f>
        <v/>
      </c>
      <c r="N50" s="110" t="str">
        <f aca="false">IF(K50="نعم",IF(J50=0,IF(M50=0,0,SIGN(M50)),M50/ABS(J50)),"")</f>
        <v/>
      </c>
      <c r="O50" s="107" t="str">
        <f aca="false">IF(K50="نعم",M50*C50,"")</f>
        <v/>
      </c>
      <c r="P50" s="36" t="str">
        <f aca="false">IF(K50&lt;&gt;"نعم","لم يُجرد",IF(ABS(N50)&lt;='إعدادات المخزون'!$B$7,"مطابق",IF(M50&lt;0,"عجز","زيادة")))</f>
        <v>لم يُجرد</v>
      </c>
      <c r="Q50" s="108" t="n">
        <f aca="false">J50-Z50</f>
        <v>1.985</v>
      </c>
      <c r="R50" s="108"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8" t="str">
        <f aca="false">IF(AND(K50="نعم",R50&lt;&gt;""),(L50-J50)-(R50-Q50),"")</f>
        <v/>
      </c>
      <c r="T50" s="107" t="str">
        <f aca="false">IF(S50="","",S50*C50)</f>
        <v/>
      </c>
      <c r="U50" s="108" t="n">
        <f aca="false">IF(K50="نعم",L50,J50)</f>
        <v>1.985</v>
      </c>
      <c r="V50" s="108" t="n">
        <f aca="false">SUMPRODUCT('مصفوفة الاستهلاك'!$AS$2:$AS$172,'متجهات المبيعات'!$G$2:$G$172)/'مواد المخزون'!$D$45/MAX(1,MIN('إعدادات المخزون'!$B$11,'إعدادات المخزون'!$B$4-'إعدادات المخزون'!$B$5+1))</f>
        <v>0</v>
      </c>
      <c r="W50" s="108" t="n">
        <f aca="false">IF(V50&lt;=0,0,ROUNDUP(MAX(0,V50*('إعدادات المخزون'!$B$8+'إعدادات المخزون'!$B$9+'إعدادات المخزون'!$B$10)-MAX(U50,0))/'مواد المخزون'!$F45,0)*'مواد المخزون'!$F45)</f>
        <v>0</v>
      </c>
      <c r="X50" s="107" t="n">
        <f aca="false">IF(AND(K50="نعم",O50&lt;0),-O50+ROW()*0.000000001,0)</f>
        <v>0</v>
      </c>
      <c r="Y50" s="107" t="n">
        <f aca="false">IF(AND(K50="نعم",O50&gt;0),O50+ROW()*0.000000001,0)</f>
        <v>0</v>
      </c>
      <c r="Z50" s="108"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المبيعات'!$E$2:$E$172)/'مواد المخزون'!$D$45</f>
        <v>0</v>
      </c>
      <c r="AA50" s="107" t="n">
        <f aca="false">IF(K50="نعم",O50,0)</f>
        <v>0</v>
      </c>
      <c r="AB50" s="107" t="n">
        <f aca="false">IF(K50="نعم",J50*C50,0)</f>
        <v>0</v>
      </c>
      <c r="AC50" s="107"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7" t="n">
        <f aca="false">'مواد المخزون'!E46</f>
        <v>135</v>
      </c>
      <c r="D51" s="108" t="n">
        <f aca="false">'جرد أول المدة'!D49</f>
        <v>0.5</v>
      </c>
      <c r="E51" s="108" t="n">
        <f aca="false">SUMIFS('مشتريات يومية'!$D$2:$D$4001,'مشتريات يومية'!$B$2:$B$4001,$B$2,'مشتريات يومية'!$C$2:$C$4001,$A51,'مشتريات يومية'!$A$2:$A$4001,"&gt;="&amp;'إعدادات المخزون'!$B$5,'مشتريات يومية'!$A$2:$A$4001,"&lt;="&amp;'إعدادات المخزون'!$B$4)</f>
        <v>0</v>
      </c>
      <c r="F51" s="108"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8"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8" t="n">
        <f aca="false">SUMPRODUCT('مصفوفة الاستهلاك'!$AT$2:$AT$172,'متجهات المبيعات'!$F$2:$F$172)/'مواد المخزون'!$D$46</f>
        <v>0</v>
      </c>
      <c r="I51" s="108"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8" t="n">
        <f aca="false">D51+E51+F51-G51-H51-I51</f>
        <v>0.5</v>
      </c>
      <c r="K51" s="36" t="str">
        <f aca="false">IF(COUNTIFS('جرد فعلي'!$B$2:$B$12001,$B$2,'جرد فعلي'!$C$2:$C$12001,$A51,'جرد فعلي'!$A$2:$A$12001,'إعدادات المخزون'!$B$4)&gt;0,"نعم","لا")</f>
        <v>لا</v>
      </c>
      <c r="L51" s="109" t="str">
        <f aca="false">IF(K51="نعم",SUMIFS('جرد فعلي'!$D$2:$D$12001,'جرد فعلي'!$B$2:$B$12001,$B$2,'جرد فعلي'!$C$2:$C$12001,$A51,'جرد فعلي'!$A$2:$A$12001,'إعدادات المخزون'!$B$4),"")</f>
        <v/>
      </c>
      <c r="M51" s="108" t="str">
        <f aca="false">IF(K51="نعم",L51-J51,"")</f>
        <v/>
      </c>
      <c r="N51" s="110" t="str">
        <f aca="false">IF(K51="نعم",IF(J51=0,IF(M51=0,0,SIGN(M51)),M51/ABS(J51)),"")</f>
        <v/>
      </c>
      <c r="O51" s="107" t="str">
        <f aca="false">IF(K51="نعم",M51*C51,"")</f>
        <v/>
      </c>
      <c r="P51" s="36" t="str">
        <f aca="false">IF(K51&lt;&gt;"نعم","لم يُجرد",IF(ABS(N51)&lt;='إعدادات المخزون'!$B$7,"مطابق",IF(M51&lt;0,"عجز","زيادة")))</f>
        <v>لم يُجرد</v>
      </c>
      <c r="Q51" s="108" t="n">
        <f aca="false">J51-Z51</f>
        <v>0.5</v>
      </c>
      <c r="R51" s="108"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8" t="str">
        <f aca="false">IF(AND(K51="نعم",R51&lt;&gt;""),(L51-J51)-(R51-Q51),"")</f>
        <v/>
      </c>
      <c r="T51" s="107" t="str">
        <f aca="false">IF(S51="","",S51*C51)</f>
        <v/>
      </c>
      <c r="U51" s="108" t="n">
        <f aca="false">IF(K51="نعم",L51,J51)</f>
        <v>0.5</v>
      </c>
      <c r="V51" s="108" t="n">
        <f aca="false">SUMPRODUCT('مصفوفة الاستهلاك'!$AT$2:$AT$172,'متجهات المبيعات'!$G$2:$G$172)/'مواد المخزون'!$D$46/MAX(1,MIN('إعدادات المخزون'!$B$11,'إعدادات المخزون'!$B$4-'إعدادات المخزون'!$B$5+1))</f>
        <v>0</v>
      </c>
      <c r="W51" s="108" t="n">
        <f aca="false">IF(V51&lt;=0,0,ROUNDUP(MAX(0,V51*('إعدادات المخزون'!$B$8+'إعدادات المخزون'!$B$9+'إعدادات المخزون'!$B$10)-MAX(U51,0))/'مواد المخزون'!$F46,0)*'مواد المخزون'!$F46)</f>
        <v>0</v>
      </c>
      <c r="X51" s="107" t="n">
        <f aca="false">IF(AND(K51="نعم",O51&lt;0),-O51+ROW()*0.000000001,0)</f>
        <v>0</v>
      </c>
      <c r="Y51" s="107" t="n">
        <f aca="false">IF(AND(K51="نعم",O51&gt;0),O51+ROW()*0.000000001,0)</f>
        <v>0</v>
      </c>
      <c r="Z51" s="108"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المبيعات'!$E$2:$E$172)/'مواد المخزون'!$D$46</f>
        <v>0</v>
      </c>
      <c r="AA51" s="107" t="n">
        <f aca="false">IF(K51="نعم",O51,0)</f>
        <v>0</v>
      </c>
      <c r="AB51" s="107" t="n">
        <f aca="false">IF(K51="نعم",J51*C51,0)</f>
        <v>0</v>
      </c>
      <c r="AC51" s="107"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7" t="n">
        <f aca="false">'مواد المخزون'!E47</f>
        <v>0.3</v>
      </c>
      <c r="D52" s="108" t="n">
        <f aca="false">'جرد أول المدة'!D50</f>
        <v>2800</v>
      </c>
      <c r="E52" s="108" t="n">
        <f aca="false">SUMIFS('مشتريات يومية'!$D$2:$D$4001,'مشتريات يومية'!$B$2:$B$4001,$B$2,'مشتريات يومية'!$C$2:$C$4001,$A52,'مشتريات يومية'!$A$2:$A$4001,"&gt;="&amp;'إعدادات المخزون'!$B$5,'مشتريات يومية'!$A$2:$A$4001,"&lt;="&amp;'إعدادات المخزون'!$B$4)</f>
        <v>0</v>
      </c>
      <c r="F52" s="108"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8"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8" t="n">
        <f aca="false">SUMPRODUCT('مصفوفة الاستهلاك'!$AU$2:$AU$172,'متجهات المبيعات'!$F$2:$F$172)/'مواد المخزون'!$D$47</f>
        <v>0</v>
      </c>
      <c r="I52" s="108"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8" t="n">
        <f aca="false">D52+E52+F52-G52-H52-I52</f>
        <v>2800</v>
      </c>
      <c r="K52" s="36" t="str">
        <f aca="false">IF(COUNTIFS('جرد فعلي'!$B$2:$B$12001,$B$2,'جرد فعلي'!$C$2:$C$12001,$A52,'جرد فعلي'!$A$2:$A$12001,'إعدادات المخزون'!$B$4)&gt;0,"نعم","لا")</f>
        <v>لا</v>
      </c>
      <c r="L52" s="109" t="str">
        <f aca="false">IF(K52="نعم",SUMIFS('جرد فعلي'!$D$2:$D$12001,'جرد فعلي'!$B$2:$B$12001,$B$2,'جرد فعلي'!$C$2:$C$12001,$A52,'جرد فعلي'!$A$2:$A$12001,'إعدادات المخزون'!$B$4),"")</f>
        <v/>
      </c>
      <c r="M52" s="108" t="str">
        <f aca="false">IF(K52="نعم",L52-J52,"")</f>
        <v/>
      </c>
      <c r="N52" s="110" t="str">
        <f aca="false">IF(K52="نعم",IF(J52=0,IF(M52=0,0,SIGN(M52)),M52/ABS(J52)),"")</f>
        <v/>
      </c>
      <c r="O52" s="107" t="str">
        <f aca="false">IF(K52="نعم",M52*C52,"")</f>
        <v/>
      </c>
      <c r="P52" s="36" t="str">
        <f aca="false">IF(K52&lt;&gt;"نعم","لم يُجرد",IF(ABS(N52)&lt;='إعدادات المخزون'!$B$7,"مطابق",IF(M52&lt;0,"عجز","زيادة")))</f>
        <v>لم يُجرد</v>
      </c>
      <c r="Q52" s="108" t="n">
        <f aca="false">J52-Z52</f>
        <v>2800</v>
      </c>
      <c r="R52" s="108"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8" t="str">
        <f aca="false">IF(AND(K52="نعم",R52&lt;&gt;""),(L52-J52)-(R52-Q52),"")</f>
        <v/>
      </c>
      <c r="T52" s="107" t="str">
        <f aca="false">IF(S52="","",S52*C52)</f>
        <v/>
      </c>
      <c r="U52" s="108" t="n">
        <f aca="false">IF(K52="نعم",L52,J52)</f>
        <v>2800</v>
      </c>
      <c r="V52" s="108" t="n">
        <f aca="false">SUMPRODUCT('مصفوفة الاستهلاك'!$AU$2:$AU$172,'متجهات المبيعات'!$G$2:$G$172)/'مواد المخزون'!$D$47/MAX(1,MIN('إعدادات المخزون'!$B$11,'إعدادات المخزون'!$B$4-'إعدادات المخزون'!$B$5+1))</f>
        <v>0</v>
      </c>
      <c r="W52" s="108" t="n">
        <f aca="false">IF(V52&lt;=0,0,ROUNDUP(MAX(0,V52*('إعدادات المخزون'!$B$8+'إعدادات المخزون'!$B$9+'إعدادات المخزون'!$B$10)-MAX(U52,0))/'مواد المخزون'!$F47,0)*'مواد المخزون'!$F47)</f>
        <v>0</v>
      </c>
      <c r="X52" s="107" t="n">
        <f aca="false">IF(AND(K52="نعم",O52&lt;0),-O52+ROW()*0.000000001,0)</f>
        <v>0</v>
      </c>
      <c r="Y52" s="107" t="n">
        <f aca="false">IF(AND(K52="نعم",O52&gt;0),O52+ROW()*0.000000001,0)</f>
        <v>0</v>
      </c>
      <c r="Z52" s="108"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المبيعات'!$E$2:$E$172)/'مواد المخزون'!$D$47</f>
        <v>0</v>
      </c>
      <c r="AA52" s="107" t="n">
        <f aca="false">IF(K52="نعم",O52,0)</f>
        <v>0</v>
      </c>
      <c r="AB52" s="107" t="n">
        <f aca="false">IF(K52="نعم",J52*C52,0)</f>
        <v>0</v>
      </c>
      <c r="AC52" s="107"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7" t="n">
        <f aca="false">'مواد المخزون'!E48</f>
        <v>127.6582</v>
      </c>
      <c r="D53" s="108" t="n">
        <f aca="false">'جرد أول المدة'!D51</f>
        <v>5.3</v>
      </c>
      <c r="E53" s="108" t="n">
        <f aca="false">SUMIFS('مشتريات يومية'!$D$2:$D$4001,'مشتريات يومية'!$B$2:$B$4001,$B$2,'مشتريات يومية'!$C$2:$C$4001,$A53,'مشتريات يومية'!$A$2:$A$4001,"&gt;="&amp;'إعدادات المخزون'!$B$5,'مشتريات يومية'!$A$2:$A$4001,"&lt;="&amp;'إعدادات المخزون'!$B$4)</f>
        <v>25</v>
      </c>
      <c r="F53" s="108"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8"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8" t="n">
        <f aca="false">SUMPRODUCT('مصفوفة الاستهلاك'!$AV$2:$AV$172,'متجهات المبيعات'!$F$2:$F$172)/'مواد المخزون'!$D$48</f>
        <v>0</v>
      </c>
      <c r="I53" s="108"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8" t="n">
        <f aca="false">D53+E53+F53-G53-H53-I53</f>
        <v>30.3</v>
      </c>
      <c r="K53" s="36" t="str">
        <f aca="false">IF(COUNTIFS('جرد فعلي'!$B$2:$B$12001,$B$2,'جرد فعلي'!$C$2:$C$12001,$A53,'جرد فعلي'!$A$2:$A$12001,'إعدادات المخزون'!$B$4)&gt;0,"نعم","لا")</f>
        <v>لا</v>
      </c>
      <c r="L53" s="109" t="str">
        <f aca="false">IF(K53="نعم",SUMIFS('جرد فعلي'!$D$2:$D$12001,'جرد فعلي'!$B$2:$B$12001,$B$2,'جرد فعلي'!$C$2:$C$12001,$A53,'جرد فعلي'!$A$2:$A$12001,'إعدادات المخزون'!$B$4),"")</f>
        <v/>
      </c>
      <c r="M53" s="108" t="str">
        <f aca="false">IF(K53="نعم",L53-J53,"")</f>
        <v/>
      </c>
      <c r="N53" s="110" t="str">
        <f aca="false">IF(K53="نعم",IF(J53=0,IF(M53=0,0,SIGN(M53)),M53/ABS(J53)),"")</f>
        <v/>
      </c>
      <c r="O53" s="107" t="str">
        <f aca="false">IF(K53="نعم",M53*C53,"")</f>
        <v/>
      </c>
      <c r="P53" s="36" t="str">
        <f aca="false">IF(K53&lt;&gt;"نعم","لم يُجرد",IF(ABS(N53)&lt;='إعدادات المخزون'!$B$7,"مطابق",IF(M53&lt;0,"عجز","زيادة")))</f>
        <v>لم يُجرد</v>
      </c>
      <c r="Q53" s="108" t="n">
        <f aca="false">J53-Z53</f>
        <v>30.3</v>
      </c>
      <c r="R53" s="108"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8" t="str">
        <f aca="false">IF(AND(K53="نعم",R53&lt;&gt;""),(L53-J53)-(R53-Q53),"")</f>
        <v/>
      </c>
      <c r="T53" s="107" t="str">
        <f aca="false">IF(S53="","",S53*C53)</f>
        <v/>
      </c>
      <c r="U53" s="108" t="n">
        <f aca="false">IF(K53="نعم",L53,J53)</f>
        <v>30.3</v>
      </c>
      <c r="V53" s="108" t="n">
        <f aca="false">SUMPRODUCT('مصفوفة الاستهلاك'!$AV$2:$AV$172,'متجهات المبيعات'!$G$2:$G$172)/'مواد المخزون'!$D$48/MAX(1,MIN('إعدادات المخزون'!$B$11,'إعدادات المخزون'!$B$4-'إعدادات المخزون'!$B$5+1))</f>
        <v>0</v>
      </c>
      <c r="W53" s="108" t="n">
        <f aca="false">IF(V53&lt;=0,0,ROUNDUP(MAX(0,V53*('إعدادات المخزون'!$B$8+'إعدادات المخزون'!$B$9+'إعدادات المخزون'!$B$10)-MAX(U53,0))/'مواد المخزون'!$F48,0)*'مواد المخزون'!$F48)</f>
        <v>0</v>
      </c>
      <c r="X53" s="107" t="n">
        <f aca="false">IF(AND(K53="نعم",O53&lt;0),-O53+ROW()*0.000000001,0)</f>
        <v>0</v>
      </c>
      <c r="Y53" s="107" t="n">
        <f aca="false">IF(AND(K53="نعم",O53&gt;0),O53+ROW()*0.000000001,0)</f>
        <v>0</v>
      </c>
      <c r="Z53" s="108"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المبيعات'!$E$2:$E$172)/'مواد المخزون'!$D$48</f>
        <v>0</v>
      </c>
      <c r="AA53" s="107" t="n">
        <f aca="false">IF(K53="نعم",O53,0)</f>
        <v>0</v>
      </c>
      <c r="AB53" s="107" t="n">
        <f aca="false">IF(K53="نعم",J53*C53,0)</f>
        <v>0</v>
      </c>
      <c r="AC53" s="107"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7" t="n">
        <f aca="false">'مواد المخزون'!E49</f>
        <v>100</v>
      </c>
      <c r="D54" s="108" t="n">
        <f aca="false">'جرد أول المدة'!D52</f>
        <v>6</v>
      </c>
      <c r="E54" s="108" t="n">
        <f aca="false">SUMIFS('مشتريات يومية'!$D$2:$D$4001,'مشتريات يومية'!$B$2:$B$4001,$B$2,'مشتريات يومية'!$C$2:$C$4001,$A54,'مشتريات يومية'!$A$2:$A$4001,"&gt;="&amp;'إعدادات المخزون'!$B$5,'مشتريات يومية'!$A$2:$A$4001,"&lt;="&amp;'إعدادات المخزون'!$B$4)</f>
        <v>0</v>
      </c>
      <c r="F54" s="108"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8"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8" t="n">
        <f aca="false">SUMPRODUCT('مصفوفة الاستهلاك'!$AW$2:$AW$172,'متجهات المبيعات'!$F$2:$F$172)/'مواد المخزون'!$D$49</f>
        <v>0</v>
      </c>
      <c r="I54" s="108"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8" t="n">
        <f aca="false">D54+E54+F54-G54-H54-I54</f>
        <v>6</v>
      </c>
      <c r="K54" s="36" t="str">
        <f aca="false">IF(COUNTIFS('جرد فعلي'!$B$2:$B$12001,$B$2,'جرد فعلي'!$C$2:$C$12001,$A54,'جرد فعلي'!$A$2:$A$12001,'إعدادات المخزون'!$B$4)&gt;0,"نعم","لا")</f>
        <v>لا</v>
      </c>
      <c r="L54" s="109" t="str">
        <f aca="false">IF(K54="نعم",SUMIFS('جرد فعلي'!$D$2:$D$12001,'جرد فعلي'!$B$2:$B$12001,$B$2,'جرد فعلي'!$C$2:$C$12001,$A54,'جرد فعلي'!$A$2:$A$12001,'إعدادات المخزون'!$B$4),"")</f>
        <v/>
      </c>
      <c r="M54" s="108" t="str">
        <f aca="false">IF(K54="نعم",L54-J54,"")</f>
        <v/>
      </c>
      <c r="N54" s="110" t="str">
        <f aca="false">IF(K54="نعم",IF(J54=0,IF(M54=0,0,SIGN(M54)),M54/ABS(J54)),"")</f>
        <v/>
      </c>
      <c r="O54" s="107" t="str">
        <f aca="false">IF(K54="نعم",M54*C54,"")</f>
        <v/>
      </c>
      <c r="P54" s="36" t="str">
        <f aca="false">IF(K54&lt;&gt;"نعم","لم يُجرد",IF(ABS(N54)&lt;='إعدادات المخزون'!$B$7,"مطابق",IF(M54&lt;0,"عجز","زيادة")))</f>
        <v>لم يُجرد</v>
      </c>
      <c r="Q54" s="108" t="n">
        <f aca="false">J54-Z54</f>
        <v>6</v>
      </c>
      <c r="R54" s="108"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8" t="str">
        <f aca="false">IF(AND(K54="نعم",R54&lt;&gt;""),(L54-J54)-(R54-Q54),"")</f>
        <v/>
      </c>
      <c r="T54" s="107" t="str">
        <f aca="false">IF(S54="","",S54*C54)</f>
        <v/>
      </c>
      <c r="U54" s="108" t="n">
        <f aca="false">IF(K54="نعم",L54,J54)</f>
        <v>6</v>
      </c>
      <c r="V54" s="108" t="n">
        <f aca="false">SUMPRODUCT('مصفوفة الاستهلاك'!$AW$2:$AW$172,'متجهات المبيعات'!$G$2:$G$172)/'مواد المخزون'!$D$49/MAX(1,MIN('إعدادات المخزون'!$B$11,'إعدادات المخزون'!$B$4-'إعدادات المخزون'!$B$5+1))</f>
        <v>0</v>
      </c>
      <c r="W54" s="108" t="n">
        <f aca="false">IF(V54&lt;=0,0,ROUNDUP(MAX(0,V54*('إعدادات المخزون'!$B$8+'إعدادات المخزون'!$B$9+'إعدادات المخزون'!$B$10)-MAX(U54,0))/'مواد المخزون'!$F49,0)*'مواد المخزون'!$F49)</f>
        <v>0</v>
      </c>
      <c r="X54" s="107" t="n">
        <f aca="false">IF(AND(K54="نعم",O54&lt;0),-O54+ROW()*0.000000001,0)</f>
        <v>0</v>
      </c>
      <c r="Y54" s="107" t="n">
        <f aca="false">IF(AND(K54="نعم",O54&gt;0),O54+ROW()*0.000000001,0)</f>
        <v>0</v>
      </c>
      <c r="Z54" s="108"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المبيعات'!$E$2:$E$172)/'مواد المخزون'!$D$49</f>
        <v>0</v>
      </c>
      <c r="AA54" s="107" t="n">
        <f aca="false">IF(K54="نعم",O54,0)</f>
        <v>0</v>
      </c>
      <c r="AB54" s="107" t="n">
        <f aca="false">IF(K54="نعم",J54*C54,0)</f>
        <v>0</v>
      </c>
      <c r="AC54" s="107" t="n">
        <f aca="false">IF(T54="",0,T54)</f>
        <v>0</v>
      </c>
    </row>
    <row r="55" customFormat="false" ht="15" hidden="false" customHeight="false" outlineLevel="0" collapsed="false">
      <c r="A55" s="34" t="str">
        <f aca="false">'مواد المخزون'!A50</f>
        <v>صلصة مصنع</v>
      </c>
      <c r="B55" s="36" t="str">
        <f aca="false">'مواد المخزون'!B50</f>
        <v>كجم</v>
      </c>
      <c r="C55" s="107" t="n">
        <f aca="false">'مواد المخزون'!E50</f>
        <v>32</v>
      </c>
      <c r="D55" s="108" t="n">
        <f aca="false">'جرد أول المدة'!D53</f>
        <v>7.797</v>
      </c>
      <c r="E55" s="108" t="n">
        <f aca="false">SUMIFS('مشتريات يومية'!$D$2:$D$4001,'مشتريات يومية'!$B$2:$B$4001,$B$2,'مشتريات يومية'!$C$2:$C$4001,$A55,'مشتريات يومية'!$A$2:$A$4001,"&gt;="&amp;'إعدادات المخزون'!$B$5,'مشتريات يومية'!$A$2:$A$4001,"&lt;="&amp;'إعدادات المخزون'!$B$4)</f>
        <v>26</v>
      </c>
      <c r="F55" s="108"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8"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8" t="n">
        <f aca="false">SUMPRODUCT('مصفوفة الاستهلاك'!$AX$2:$AX$172,'متجهات المبيعات'!$F$2:$F$172)/'مواد المخزون'!$D$50</f>
        <v>0</v>
      </c>
      <c r="I55" s="108"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8" t="n">
        <f aca="false">D55+E55+F55-G55-H55-I55</f>
        <v>33.797</v>
      </c>
      <c r="K55" s="36" t="str">
        <f aca="false">IF(COUNTIFS('جرد فعلي'!$B$2:$B$12001,$B$2,'جرد فعلي'!$C$2:$C$12001,$A55,'جرد فعلي'!$A$2:$A$12001,'إعدادات المخزون'!$B$4)&gt;0,"نعم","لا")</f>
        <v>لا</v>
      </c>
      <c r="L55" s="109" t="str">
        <f aca="false">IF(K55="نعم",SUMIFS('جرد فعلي'!$D$2:$D$12001,'جرد فعلي'!$B$2:$B$12001,$B$2,'جرد فعلي'!$C$2:$C$12001,$A55,'جرد فعلي'!$A$2:$A$12001,'إعدادات المخزون'!$B$4),"")</f>
        <v/>
      </c>
      <c r="M55" s="108" t="str">
        <f aca="false">IF(K55="نعم",L55-J55,"")</f>
        <v/>
      </c>
      <c r="N55" s="110" t="str">
        <f aca="false">IF(K55="نعم",IF(J55=0,IF(M55=0,0,SIGN(M55)),M55/ABS(J55)),"")</f>
        <v/>
      </c>
      <c r="O55" s="107" t="str">
        <f aca="false">IF(K55="نعم",M55*C55,"")</f>
        <v/>
      </c>
      <c r="P55" s="36" t="str">
        <f aca="false">IF(K55&lt;&gt;"نعم","لم يُجرد",IF(ABS(N55)&lt;='إعدادات المخزون'!$B$7,"مطابق",IF(M55&lt;0,"عجز","زيادة")))</f>
        <v>لم يُجرد</v>
      </c>
      <c r="Q55" s="108" t="n">
        <f aca="false">J55-Z55</f>
        <v>33.797</v>
      </c>
      <c r="R55" s="108"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8" t="str">
        <f aca="false">IF(AND(K55="نعم",R55&lt;&gt;""),(L55-J55)-(R55-Q55),"")</f>
        <v/>
      </c>
      <c r="T55" s="107" t="str">
        <f aca="false">IF(S55="","",S55*C55)</f>
        <v/>
      </c>
      <c r="U55" s="108" t="n">
        <f aca="false">IF(K55="نعم",L55,J55)</f>
        <v>33.797</v>
      </c>
      <c r="V55" s="108" t="n">
        <f aca="false">SUMPRODUCT('مصفوفة الاستهلاك'!$AX$2:$AX$172,'متجهات المبيعات'!$G$2:$G$172)/'مواد المخزون'!$D$50/MAX(1,MIN('إعدادات المخزون'!$B$11,'إعدادات المخزون'!$B$4-'إعدادات المخزون'!$B$5+1))</f>
        <v>0</v>
      </c>
      <c r="W55" s="108" t="n">
        <f aca="false">IF(V55&lt;=0,0,ROUNDUP(MAX(0,V55*('إعدادات المخزون'!$B$8+'إعدادات المخزون'!$B$9+'إعدادات المخزون'!$B$10)-MAX(U55,0))/'مواد المخزون'!$F50,0)*'مواد المخزون'!$F50)</f>
        <v>0</v>
      </c>
      <c r="X55" s="107" t="n">
        <f aca="false">IF(AND(K55="نعم",O55&lt;0),-O55+ROW()*0.000000001,0)</f>
        <v>0</v>
      </c>
      <c r="Y55" s="107" t="n">
        <f aca="false">IF(AND(K55="نعم",O55&gt;0),O55+ROW()*0.000000001,0)</f>
        <v>0</v>
      </c>
      <c r="Z55" s="108"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المبيعات'!$E$2:$E$172)/'مواد المخزون'!$D$50</f>
        <v>0</v>
      </c>
      <c r="AA55" s="107" t="n">
        <f aca="false">IF(K55="نعم",O55,0)</f>
        <v>0</v>
      </c>
      <c r="AB55" s="107" t="n">
        <f aca="false">IF(K55="نعم",J55*C55,0)</f>
        <v>0</v>
      </c>
      <c r="AC55" s="107"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7" t="n">
        <f aca="false">'مواد المخزون'!E51</f>
        <v>70</v>
      </c>
      <c r="D56" s="108" t="n">
        <f aca="false">'جرد أول المدة'!D54</f>
        <v>6.95</v>
      </c>
      <c r="E56" s="108" t="n">
        <f aca="false">SUMIFS('مشتريات يومية'!$D$2:$D$4001,'مشتريات يومية'!$B$2:$B$4001,$B$2,'مشتريات يومية'!$C$2:$C$4001,$A56,'مشتريات يومية'!$A$2:$A$4001,"&gt;="&amp;'إعدادات المخزون'!$B$5,'مشتريات يومية'!$A$2:$A$4001,"&lt;="&amp;'إعدادات المخزون'!$B$4)</f>
        <v>9</v>
      </c>
      <c r="F56" s="108"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8"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8" t="n">
        <f aca="false">SUMPRODUCT('مصفوفة الاستهلاك'!$AY$2:$AY$172,'متجهات المبيعات'!$F$2:$F$172)/'مواد المخزون'!$D$51</f>
        <v>0</v>
      </c>
      <c r="I56" s="108"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8" t="n">
        <f aca="false">D56+E56+F56-G56-H56-I56</f>
        <v>15.95</v>
      </c>
      <c r="K56" s="36" t="str">
        <f aca="false">IF(COUNTIFS('جرد فعلي'!$B$2:$B$12001,$B$2,'جرد فعلي'!$C$2:$C$12001,$A56,'جرد فعلي'!$A$2:$A$12001,'إعدادات المخزون'!$B$4)&gt;0,"نعم","لا")</f>
        <v>لا</v>
      </c>
      <c r="L56" s="109" t="str">
        <f aca="false">IF(K56="نعم",SUMIFS('جرد فعلي'!$D$2:$D$12001,'جرد فعلي'!$B$2:$B$12001,$B$2,'جرد فعلي'!$C$2:$C$12001,$A56,'جرد فعلي'!$A$2:$A$12001,'إعدادات المخزون'!$B$4),"")</f>
        <v/>
      </c>
      <c r="M56" s="108" t="str">
        <f aca="false">IF(K56="نعم",L56-J56,"")</f>
        <v/>
      </c>
      <c r="N56" s="110" t="str">
        <f aca="false">IF(K56="نعم",IF(J56=0,IF(M56=0,0,SIGN(M56)),M56/ABS(J56)),"")</f>
        <v/>
      </c>
      <c r="O56" s="107" t="str">
        <f aca="false">IF(K56="نعم",M56*C56,"")</f>
        <v/>
      </c>
      <c r="P56" s="36" t="str">
        <f aca="false">IF(K56&lt;&gt;"نعم","لم يُجرد",IF(ABS(N56)&lt;='إعدادات المخزون'!$B$7,"مطابق",IF(M56&lt;0,"عجز","زيادة")))</f>
        <v>لم يُجرد</v>
      </c>
      <c r="Q56" s="108" t="n">
        <f aca="false">J56-Z56</f>
        <v>15.95</v>
      </c>
      <c r="R56" s="108"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8" t="str">
        <f aca="false">IF(AND(K56="نعم",R56&lt;&gt;""),(L56-J56)-(R56-Q56),"")</f>
        <v/>
      </c>
      <c r="T56" s="107" t="str">
        <f aca="false">IF(S56="","",S56*C56)</f>
        <v/>
      </c>
      <c r="U56" s="108" t="n">
        <f aca="false">IF(K56="نعم",L56,J56)</f>
        <v>15.95</v>
      </c>
      <c r="V56" s="108" t="n">
        <f aca="false">SUMPRODUCT('مصفوفة الاستهلاك'!$AY$2:$AY$172,'متجهات المبيعات'!$G$2:$G$172)/'مواد المخزون'!$D$51/MAX(1,MIN('إعدادات المخزون'!$B$11,'إعدادات المخزون'!$B$4-'إعدادات المخزون'!$B$5+1))</f>
        <v>0</v>
      </c>
      <c r="W56" s="108" t="n">
        <f aca="false">IF(V56&lt;=0,0,ROUNDUP(MAX(0,V56*('إعدادات المخزون'!$B$8+'إعدادات المخزون'!$B$9+'إعدادات المخزون'!$B$10)-MAX(U56,0))/'مواد المخزون'!$F51,0)*'مواد المخزون'!$F51)</f>
        <v>0</v>
      </c>
      <c r="X56" s="107" t="n">
        <f aca="false">IF(AND(K56="نعم",O56&lt;0),-O56+ROW()*0.000000001,0)</f>
        <v>0</v>
      </c>
      <c r="Y56" s="107" t="n">
        <f aca="false">IF(AND(K56="نعم",O56&gt;0),O56+ROW()*0.000000001,0)</f>
        <v>0</v>
      </c>
      <c r="Z56" s="108"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المبيعات'!$E$2:$E$172)/'مواد المخزون'!$D$51</f>
        <v>0</v>
      </c>
      <c r="AA56" s="107" t="n">
        <f aca="false">IF(K56="نعم",O56,0)</f>
        <v>0</v>
      </c>
      <c r="AB56" s="107" t="n">
        <f aca="false">IF(K56="نعم",J56*C56,0)</f>
        <v>0</v>
      </c>
      <c r="AC56" s="107"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7" t="n">
        <f aca="false">'مواد المخزون'!E52</f>
        <v>140</v>
      </c>
      <c r="D57" s="108" t="n">
        <f aca="false">'جرد أول المدة'!D55</f>
        <v>4.3</v>
      </c>
      <c r="E57" s="108" t="n">
        <f aca="false">SUMIFS('مشتريات يومية'!$D$2:$D$4001,'مشتريات يومية'!$B$2:$B$4001,$B$2,'مشتريات يومية'!$C$2:$C$4001,$A57,'مشتريات يومية'!$A$2:$A$4001,"&gt;="&amp;'إعدادات المخزون'!$B$5,'مشتريات يومية'!$A$2:$A$4001,"&lt;="&amp;'إعدادات المخزون'!$B$4)</f>
        <v>5</v>
      </c>
      <c r="F57" s="108"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8"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8" t="n">
        <f aca="false">SUMPRODUCT('مصفوفة الاستهلاك'!$AZ$2:$AZ$172,'متجهات المبيعات'!$F$2:$F$172)/'مواد المخزون'!$D$52</f>
        <v>0</v>
      </c>
      <c r="I57" s="108"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8" t="n">
        <f aca="false">D57+E57+F57-G57-H57-I57</f>
        <v>9.3</v>
      </c>
      <c r="K57" s="36" t="str">
        <f aca="false">IF(COUNTIFS('جرد فعلي'!$B$2:$B$12001,$B$2,'جرد فعلي'!$C$2:$C$12001,$A57,'جرد فعلي'!$A$2:$A$12001,'إعدادات المخزون'!$B$4)&gt;0,"نعم","لا")</f>
        <v>لا</v>
      </c>
      <c r="L57" s="109" t="str">
        <f aca="false">IF(K57="نعم",SUMIFS('جرد فعلي'!$D$2:$D$12001,'جرد فعلي'!$B$2:$B$12001,$B$2,'جرد فعلي'!$C$2:$C$12001,$A57,'جرد فعلي'!$A$2:$A$12001,'إعدادات المخزون'!$B$4),"")</f>
        <v/>
      </c>
      <c r="M57" s="108" t="str">
        <f aca="false">IF(K57="نعم",L57-J57,"")</f>
        <v/>
      </c>
      <c r="N57" s="110" t="str">
        <f aca="false">IF(K57="نعم",IF(J57=0,IF(M57=0,0,SIGN(M57)),M57/ABS(J57)),"")</f>
        <v/>
      </c>
      <c r="O57" s="107" t="str">
        <f aca="false">IF(K57="نعم",M57*C57,"")</f>
        <v/>
      </c>
      <c r="P57" s="36" t="str">
        <f aca="false">IF(K57&lt;&gt;"نعم","لم يُجرد",IF(ABS(N57)&lt;='إعدادات المخزون'!$B$7,"مطابق",IF(M57&lt;0,"عجز","زيادة")))</f>
        <v>لم يُجرد</v>
      </c>
      <c r="Q57" s="108" t="n">
        <f aca="false">J57-Z57</f>
        <v>9.3</v>
      </c>
      <c r="R57" s="108"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8" t="str">
        <f aca="false">IF(AND(K57="نعم",R57&lt;&gt;""),(L57-J57)-(R57-Q57),"")</f>
        <v/>
      </c>
      <c r="T57" s="107" t="str">
        <f aca="false">IF(S57="","",S57*C57)</f>
        <v/>
      </c>
      <c r="U57" s="108" t="n">
        <f aca="false">IF(K57="نعم",L57,J57)</f>
        <v>9.3</v>
      </c>
      <c r="V57" s="108" t="n">
        <f aca="false">SUMPRODUCT('مصفوفة الاستهلاك'!$AZ$2:$AZ$172,'متجهات المبيعات'!$G$2:$G$172)/'مواد المخزون'!$D$52/MAX(1,MIN('إعدادات المخزون'!$B$11,'إعدادات المخزون'!$B$4-'إعدادات المخزون'!$B$5+1))</f>
        <v>0</v>
      </c>
      <c r="W57" s="108" t="n">
        <f aca="false">IF(V57&lt;=0,0,ROUNDUP(MAX(0,V57*('إعدادات المخزون'!$B$8+'إعدادات المخزون'!$B$9+'إعدادات المخزون'!$B$10)-MAX(U57,0))/'مواد المخزون'!$F52,0)*'مواد المخزون'!$F52)</f>
        <v>0</v>
      </c>
      <c r="X57" s="107" t="n">
        <f aca="false">IF(AND(K57="نعم",O57&lt;0),-O57+ROW()*0.000000001,0)</f>
        <v>0</v>
      </c>
      <c r="Y57" s="107" t="n">
        <f aca="false">IF(AND(K57="نعم",O57&gt;0),O57+ROW()*0.000000001,0)</f>
        <v>0</v>
      </c>
      <c r="Z57" s="108"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المبيعات'!$E$2:$E$172)/'مواد المخزون'!$D$52</f>
        <v>0</v>
      </c>
      <c r="AA57" s="107" t="n">
        <f aca="false">IF(K57="نعم",O57,0)</f>
        <v>0</v>
      </c>
      <c r="AB57" s="107" t="n">
        <f aca="false">IF(K57="نعم",J57*C57,0)</f>
        <v>0</v>
      </c>
      <c r="AC57" s="107"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7" t="n">
        <f aca="false">'مواد المخزون'!E53</f>
        <v>105</v>
      </c>
      <c r="D58" s="108" t="n">
        <f aca="false">'جرد أول المدة'!D56</f>
        <v>3.6</v>
      </c>
      <c r="E58" s="108" t="n">
        <f aca="false">SUMIFS('مشتريات يومية'!$D$2:$D$4001,'مشتريات يومية'!$B$2:$B$4001,$B$2,'مشتريات يومية'!$C$2:$C$4001,$A58,'مشتريات يومية'!$A$2:$A$4001,"&gt;="&amp;'إعدادات المخزون'!$B$5,'مشتريات يومية'!$A$2:$A$4001,"&lt;="&amp;'إعدادات المخزون'!$B$4)</f>
        <v>10</v>
      </c>
      <c r="F58" s="108"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8"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8" t="n">
        <f aca="false">SUMPRODUCT('مصفوفة الاستهلاك'!$BA$2:$BA$172,'متجهات المبيعات'!$F$2:$F$172)/'مواد المخزون'!$D$53</f>
        <v>0</v>
      </c>
      <c r="I58" s="108"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8" t="n">
        <f aca="false">D58+E58+F58-G58-H58-I58</f>
        <v>13.6</v>
      </c>
      <c r="K58" s="36" t="str">
        <f aca="false">IF(COUNTIFS('جرد فعلي'!$B$2:$B$12001,$B$2,'جرد فعلي'!$C$2:$C$12001,$A58,'جرد فعلي'!$A$2:$A$12001,'إعدادات المخزون'!$B$4)&gt;0,"نعم","لا")</f>
        <v>لا</v>
      </c>
      <c r="L58" s="109" t="str">
        <f aca="false">IF(K58="نعم",SUMIFS('جرد فعلي'!$D$2:$D$12001,'جرد فعلي'!$B$2:$B$12001,$B$2,'جرد فعلي'!$C$2:$C$12001,$A58,'جرد فعلي'!$A$2:$A$12001,'إعدادات المخزون'!$B$4),"")</f>
        <v/>
      </c>
      <c r="M58" s="108" t="str">
        <f aca="false">IF(K58="نعم",L58-J58,"")</f>
        <v/>
      </c>
      <c r="N58" s="110" t="str">
        <f aca="false">IF(K58="نعم",IF(J58=0,IF(M58=0,0,SIGN(M58)),M58/ABS(J58)),"")</f>
        <v/>
      </c>
      <c r="O58" s="107" t="str">
        <f aca="false">IF(K58="نعم",M58*C58,"")</f>
        <v/>
      </c>
      <c r="P58" s="36" t="str">
        <f aca="false">IF(K58&lt;&gt;"نعم","لم يُجرد",IF(ABS(N58)&lt;='إعدادات المخزون'!$B$7,"مطابق",IF(M58&lt;0,"عجز","زيادة")))</f>
        <v>لم يُجرد</v>
      </c>
      <c r="Q58" s="108" t="n">
        <f aca="false">J58-Z58</f>
        <v>13.6</v>
      </c>
      <c r="R58" s="108"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8" t="str">
        <f aca="false">IF(AND(K58="نعم",R58&lt;&gt;""),(L58-J58)-(R58-Q58),"")</f>
        <v/>
      </c>
      <c r="T58" s="107" t="str">
        <f aca="false">IF(S58="","",S58*C58)</f>
        <v/>
      </c>
      <c r="U58" s="108" t="n">
        <f aca="false">IF(K58="نعم",L58,J58)</f>
        <v>13.6</v>
      </c>
      <c r="V58" s="108" t="n">
        <f aca="false">SUMPRODUCT('مصفوفة الاستهلاك'!$BA$2:$BA$172,'متجهات المبيعات'!$G$2:$G$172)/'مواد المخزون'!$D$53/MAX(1,MIN('إعدادات المخزون'!$B$11,'إعدادات المخزون'!$B$4-'إعدادات المخزون'!$B$5+1))</f>
        <v>0</v>
      </c>
      <c r="W58" s="108" t="n">
        <f aca="false">IF(V58&lt;=0,0,ROUNDUP(MAX(0,V58*('إعدادات المخزون'!$B$8+'إعدادات المخزون'!$B$9+'إعدادات المخزون'!$B$10)-MAX(U58,0))/'مواد المخزون'!$F53,0)*'مواد المخزون'!$F53)</f>
        <v>0</v>
      </c>
      <c r="X58" s="107" t="n">
        <f aca="false">IF(AND(K58="نعم",O58&lt;0),-O58+ROW()*0.000000001,0)</f>
        <v>0</v>
      </c>
      <c r="Y58" s="107" t="n">
        <f aca="false">IF(AND(K58="نعم",O58&gt;0),O58+ROW()*0.000000001,0)</f>
        <v>0</v>
      </c>
      <c r="Z58" s="108"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المبيعات'!$E$2:$E$172)/'مواد المخزون'!$D$53</f>
        <v>0</v>
      </c>
      <c r="AA58" s="107" t="n">
        <f aca="false">IF(K58="نعم",O58,0)</f>
        <v>0</v>
      </c>
      <c r="AB58" s="107" t="n">
        <f aca="false">IF(K58="نعم",J58*C58,0)</f>
        <v>0</v>
      </c>
      <c r="AC58" s="107"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7" t="n">
        <f aca="false">'مواد المخزون'!E54</f>
        <v>140</v>
      </c>
      <c r="D59" s="108" t="n">
        <f aca="false">'جرد أول المدة'!D57</f>
        <v>6.795</v>
      </c>
      <c r="E59" s="108" t="n">
        <f aca="false">SUMIFS('مشتريات يومية'!$D$2:$D$4001,'مشتريات يومية'!$B$2:$B$4001,$B$2,'مشتريات يومية'!$C$2:$C$4001,$A59,'مشتريات يومية'!$A$2:$A$4001,"&gt;="&amp;'إعدادات المخزون'!$B$5,'مشتريات يومية'!$A$2:$A$4001,"&lt;="&amp;'إعدادات المخزون'!$B$4)</f>
        <v>10</v>
      </c>
      <c r="F59" s="108"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8"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8" t="n">
        <f aca="false">SUMPRODUCT('مصفوفة الاستهلاك'!$BB$2:$BB$172,'متجهات المبيعات'!$F$2:$F$172)/'مواد المخزون'!$D$54</f>
        <v>0</v>
      </c>
      <c r="I59" s="108"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8" t="n">
        <f aca="false">D59+E59+F59-G59-H59-I59</f>
        <v>16.795</v>
      </c>
      <c r="K59" s="36" t="str">
        <f aca="false">IF(COUNTIFS('جرد فعلي'!$B$2:$B$12001,$B$2,'جرد فعلي'!$C$2:$C$12001,$A59,'جرد فعلي'!$A$2:$A$12001,'إعدادات المخزون'!$B$4)&gt;0,"نعم","لا")</f>
        <v>لا</v>
      </c>
      <c r="L59" s="109" t="str">
        <f aca="false">IF(K59="نعم",SUMIFS('جرد فعلي'!$D$2:$D$12001,'جرد فعلي'!$B$2:$B$12001,$B$2,'جرد فعلي'!$C$2:$C$12001,$A59,'جرد فعلي'!$A$2:$A$12001,'إعدادات المخزون'!$B$4),"")</f>
        <v/>
      </c>
      <c r="M59" s="108" t="str">
        <f aca="false">IF(K59="نعم",L59-J59,"")</f>
        <v/>
      </c>
      <c r="N59" s="110" t="str">
        <f aca="false">IF(K59="نعم",IF(J59=0,IF(M59=0,0,SIGN(M59)),M59/ABS(J59)),"")</f>
        <v/>
      </c>
      <c r="O59" s="107" t="str">
        <f aca="false">IF(K59="نعم",M59*C59,"")</f>
        <v/>
      </c>
      <c r="P59" s="36" t="str">
        <f aca="false">IF(K59&lt;&gt;"نعم","لم يُجرد",IF(ABS(N59)&lt;='إعدادات المخزون'!$B$7,"مطابق",IF(M59&lt;0,"عجز","زيادة")))</f>
        <v>لم يُجرد</v>
      </c>
      <c r="Q59" s="108" t="n">
        <f aca="false">J59-Z59</f>
        <v>16.795</v>
      </c>
      <c r="R59" s="108"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8" t="str">
        <f aca="false">IF(AND(K59="نعم",R59&lt;&gt;""),(L59-J59)-(R59-Q59),"")</f>
        <v/>
      </c>
      <c r="T59" s="107" t="str">
        <f aca="false">IF(S59="","",S59*C59)</f>
        <v/>
      </c>
      <c r="U59" s="108" t="n">
        <f aca="false">IF(K59="نعم",L59,J59)</f>
        <v>16.795</v>
      </c>
      <c r="V59" s="108" t="n">
        <f aca="false">SUMPRODUCT('مصفوفة الاستهلاك'!$BB$2:$BB$172,'متجهات المبيعات'!$G$2:$G$172)/'مواد المخزون'!$D$54/MAX(1,MIN('إعدادات المخزون'!$B$11,'إعدادات المخزون'!$B$4-'إعدادات المخزون'!$B$5+1))</f>
        <v>0</v>
      </c>
      <c r="W59" s="108" t="n">
        <f aca="false">IF(V59&lt;=0,0,ROUNDUP(MAX(0,V59*('إعدادات المخزون'!$B$8+'إعدادات المخزون'!$B$9+'إعدادات المخزون'!$B$10)-MAX(U59,0))/'مواد المخزون'!$F54,0)*'مواد المخزون'!$F54)</f>
        <v>0</v>
      </c>
      <c r="X59" s="107" t="n">
        <f aca="false">IF(AND(K59="نعم",O59&lt;0),-O59+ROW()*0.000000001,0)</f>
        <v>0</v>
      </c>
      <c r="Y59" s="107" t="n">
        <f aca="false">IF(AND(K59="نعم",O59&gt;0),O59+ROW()*0.000000001,0)</f>
        <v>0</v>
      </c>
      <c r="Z59" s="108"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المبيعات'!$E$2:$E$172)/'مواد المخزون'!$D$54</f>
        <v>0</v>
      </c>
      <c r="AA59" s="107" t="n">
        <f aca="false">IF(K59="نعم",O59,0)</f>
        <v>0</v>
      </c>
      <c r="AB59" s="107" t="n">
        <f aca="false">IF(K59="نعم",J59*C59,0)</f>
        <v>0</v>
      </c>
      <c r="AC59" s="107" t="n">
        <f aca="false">IF(T59="",0,T59)</f>
        <v>0</v>
      </c>
    </row>
    <row r="60" customFormat="false" ht="15" hidden="false" customHeight="false" outlineLevel="0" collapsed="false">
      <c r="A60" s="34" t="str">
        <f aca="false">'مواد المخزون'!A55</f>
        <v>طماطم</v>
      </c>
      <c r="B60" s="36" t="str">
        <f aca="false">'مواد المخزون'!B55</f>
        <v>كجم</v>
      </c>
      <c r="C60" s="107" t="n">
        <f aca="false">'مواد المخزون'!E55</f>
        <v>21</v>
      </c>
      <c r="D60" s="108" t="n">
        <f aca="false">'جرد أول المدة'!D58</f>
        <v>6.55</v>
      </c>
      <c r="E60" s="108" t="n">
        <f aca="false">SUMIFS('مشتريات يومية'!$D$2:$D$4001,'مشتريات يومية'!$B$2:$B$4001,$B$2,'مشتريات يومية'!$C$2:$C$4001,$A60,'مشتريات يومية'!$A$2:$A$4001,"&gt;="&amp;'إعدادات المخزون'!$B$5,'مشتريات يومية'!$A$2:$A$4001,"&lt;="&amp;'إعدادات المخزون'!$B$4)</f>
        <v>99</v>
      </c>
      <c r="F60" s="108"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8"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8" t="n">
        <f aca="false">SUMPRODUCT('مصفوفة الاستهلاك'!$BC$2:$BC$172,'متجهات المبيعات'!$F$2:$F$172)/'مواد المخزون'!$D$55</f>
        <v>0</v>
      </c>
      <c r="I60" s="108"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8" t="n">
        <f aca="false">D60+E60+F60-G60-H60-I60</f>
        <v>105.55</v>
      </c>
      <c r="K60" s="36" t="str">
        <f aca="false">IF(COUNTIFS('جرد فعلي'!$B$2:$B$12001,$B$2,'جرد فعلي'!$C$2:$C$12001,$A60,'جرد فعلي'!$A$2:$A$12001,'إعدادات المخزون'!$B$4)&gt;0,"نعم","لا")</f>
        <v>لا</v>
      </c>
      <c r="L60" s="109" t="str">
        <f aca="false">IF(K60="نعم",SUMIFS('جرد فعلي'!$D$2:$D$12001,'جرد فعلي'!$B$2:$B$12001,$B$2,'جرد فعلي'!$C$2:$C$12001,$A60,'جرد فعلي'!$A$2:$A$12001,'إعدادات المخزون'!$B$4),"")</f>
        <v/>
      </c>
      <c r="M60" s="108" t="str">
        <f aca="false">IF(K60="نعم",L60-J60,"")</f>
        <v/>
      </c>
      <c r="N60" s="110" t="str">
        <f aca="false">IF(K60="نعم",IF(J60=0,IF(M60=0,0,SIGN(M60)),M60/ABS(J60)),"")</f>
        <v/>
      </c>
      <c r="O60" s="107" t="str">
        <f aca="false">IF(K60="نعم",M60*C60,"")</f>
        <v/>
      </c>
      <c r="P60" s="36" t="str">
        <f aca="false">IF(K60&lt;&gt;"نعم","لم يُجرد",IF(ABS(N60)&lt;='إعدادات المخزون'!$B$7,"مطابق",IF(M60&lt;0,"عجز","زيادة")))</f>
        <v>لم يُجرد</v>
      </c>
      <c r="Q60" s="108" t="n">
        <f aca="false">J60-Z60</f>
        <v>105.55</v>
      </c>
      <c r="R60" s="108"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8" t="str">
        <f aca="false">IF(AND(K60="نعم",R60&lt;&gt;""),(L60-J60)-(R60-Q60),"")</f>
        <v/>
      </c>
      <c r="T60" s="107" t="str">
        <f aca="false">IF(S60="","",S60*C60)</f>
        <v/>
      </c>
      <c r="U60" s="108" t="n">
        <f aca="false">IF(K60="نعم",L60,J60)</f>
        <v>105.55</v>
      </c>
      <c r="V60" s="108" t="n">
        <f aca="false">SUMPRODUCT('مصفوفة الاستهلاك'!$BC$2:$BC$172,'متجهات المبيعات'!$G$2:$G$172)/'مواد المخزون'!$D$55/MAX(1,MIN('إعدادات المخزون'!$B$11,'إعدادات المخزون'!$B$4-'إعدادات المخزون'!$B$5+1))</f>
        <v>0</v>
      </c>
      <c r="W60" s="108" t="n">
        <f aca="false">IF(V60&lt;=0,0,ROUNDUP(MAX(0,V60*('إعدادات المخزون'!$B$8+'إعدادات المخزون'!$B$9+'إعدادات المخزون'!$B$10)-MAX(U60,0))/'مواد المخزون'!$F55,0)*'مواد المخزون'!$F55)</f>
        <v>0</v>
      </c>
      <c r="X60" s="107" t="n">
        <f aca="false">IF(AND(K60="نعم",O60&lt;0),-O60+ROW()*0.000000001,0)</f>
        <v>0</v>
      </c>
      <c r="Y60" s="107" t="n">
        <f aca="false">IF(AND(K60="نعم",O60&gt;0),O60+ROW()*0.000000001,0)</f>
        <v>0</v>
      </c>
      <c r="Z60" s="108"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المبيعات'!$E$2:$E$172)/'مواد المخزون'!$D$55</f>
        <v>0</v>
      </c>
      <c r="AA60" s="107" t="n">
        <f aca="false">IF(K60="نعم",O60,0)</f>
        <v>0</v>
      </c>
      <c r="AB60" s="107" t="n">
        <f aca="false">IF(K60="نعم",J60*C60,0)</f>
        <v>0</v>
      </c>
      <c r="AC60" s="107" t="n">
        <f aca="false">IF(T60="",0,T60)</f>
        <v>0</v>
      </c>
    </row>
    <row r="61" customFormat="false" ht="15" hidden="false" customHeight="false" outlineLevel="0" collapsed="false">
      <c r="A61" s="34" t="str">
        <f aca="false">'مواد المخزون'!A56</f>
        <v>عجين بيتزا</v>
      </c>
      <c r="B61" s="36" t="str">
        <f aca="false">'مواد المخزون'!B56</f>
        <v>كجم</v>
      </c>
      <c r="C61" s="107" t="n">
        <f aca="false">'مواد المخزون'!E56</f>
        <v>22</v>
      </c>
      <c r="D61" s="108" t="n">
        <f aca="false">'جرد أول المدة'!D59</f>
        <v>25</v>
      </c>
      <c r="E61" s="108" t="n">
        <f aca="false">SUMIFS('مشتريات يومية'!$D$2:$D$4001,'مشتريات يومية'!$B$2:$B$4001,$B$2,'مشتريات يومية'!$C$2:$C$4001,$A61,'مشتريات يومية'!$A$2:$A$4001,"&gt;="&amp;'إعدادات المخزون'!$B$5,'مشتريات يومية'!$A$2:$A$4001,"&lt;="&amp;'إعدادات المخزون'!$B$4)</f>
        <v>135</v>
      </c>
      <c r="F61" s="108"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8"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8" t="n">
        <f aca="false">SUMPRODUCT('مصفوفة الاستهلاك'!$BD$2:$BD$172,'متجهات المبيعات'!$F$2:$F$172)/'مواد المخزون'!$D$56</f>
        <v>0</v>
      </c>
      <c r="I61" s="108"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8" t="n">
        <f aca="false">D61+E61+F61-G61-H61-I61</f>
        <v>160</v>
      </c>
      <c r="K61" s="36" t="str">
        <f aca="false">IF(COUNTIFS('جرد فعلي'!$B$2:$B$12001,$B$2,'جرد فعلي'!$C$2:$C$12001,$A61,'جرد فعلي'!$A$2:$A$12001,'إعدادات المخزون'!$B$4)&gt;0,"نعم","لا")</f>
        <v>لا</v>
      </c>
      <c r="L61" s="109" t="str">
        <f aca="false">IF(K61="نعم",SUMIFS('جرد فعلي'!$D$2:$D$12001,'جرد فعلي'!$B$2:$B$12001,$B$2,'جرد فعلي'!$C$2:$C$12001,$A61,'جرد فعلي'!$A$2:$A$12001,'إعدادات المخزون'!$B$4),"")</f>
        <v/>
      </c>
      <c r="M61" s="108" t="str">
        <f aca="false">IF(K61="نعم",L61-J61,"")</f>
        <v/>
      </c>
      <c r="N61" s="110" t="str">
        <f aca="false">IF(K61="نعم",IF(J61=0,IF(M61=0,0,SIGN(M61)),M61/ABS(J61)),"")</f>
        <v/>
      </c>
      <c r="O61" s="107" t="str">
        <f aca="false">IF(K61="نعم",M61*C61,"")</f>
        <v/>
      </c>
      <c r="P61" s="36" t="str">
        <f aca="false">IF(K61&lt;&gt;"نعم","لم يُجرد",IF(ABS(N61)&lt;='إعدادات المخزون'!$B$7,"مطابق",IF(M61&lt;0,"عجز","زيادة")))</f>
        <v>لم يُجرد</v>
      </c>
      <c r="Q61" s="108" t="n">
        <f aca="false">J61-Z61</f>
        <v>160</v>
      </c>
      <c r="R61" s="108"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8" t="str">
        <f aca="false">IF(AND(K61="نعم",R61&lt;&gt;""),(L61-J61)-(R61-Q61),"")</f>
        <v/>
      </c>
      <c r="T61" s="107" t="str">
        <f aca="false">IF(S61="","",S61*C61)</f>
        <v/>
      </c>
      <c r="U61" s="108" t="n">
        <f aca="false">IF(K61="نعم",L61,J61)</f>
        <v>160</v>
      </c>
      <c r="V61" s="108" t="n">
        <f aca="false">SUMPRODUCT('مصفوفة الاستهلاك'!$BD$2:$BD$172,'متجهات المبيعات'!$G$2:$G$172)/'مواد المخزون'!$D$56/MAX(1,MIN('إعدادات المخزون'!$B$11,'إعدادات المخزون'!$B$4-'إعدادات المخزون'!$B$5+1))</f>
        <v>0</v>
      </c>
      <c r="W61" s="108" t="n">
        <f aca="false">IF(V61&lt;=0,0,ROUNDUP(MAX(0,V61*('إعدادات المخزون'!$B$8+'إعدادات المخزون'!$B$9+'إعدادات المخزون'!$B$10)-MAX(U61,0))/'مواد المخزون'!$F56,0)*'مواد المخزون'!$F56)</f>
        <v>0</v>
      </c>
      <c r="X61" s="107" t="n">
        <f aca="false">IF(AND(K61="نعم",O61&lt;0),-O61+ROW()*0.000000001,0)</f>
        <v>0</v>
      </c>
      <c r="Y61" s="107" t="n">
        <f aca="false">IF(AND(K61="نعم",O61&gt;0),O61+ROW()*0.000000001,0)</f>
        <v>0</v>
      </c>
      <c r="Z61" s="108"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المبيعات'!$E$2:$E$172)/'مواد المخزون'!$D$56</f>
        <v>0</v>
      </c>
      <c r="AA61" s="107" t="n">
        <f aca="false">IF(K61="نعم",O61,0)</f>
        <v>0</v>
      </c>
      <c r="AB61" s="107" t="n">
        <f aca="false">IF(K61="نعم",J61*C61,0)</f>
        <v>0</v>
      </c>
      <c r="AC61" s="107" t="n">
        <f aca="false">IF(T61="",0,T61)</f>
        <v>0</v>
      </c>
    </row>
    <row r="62" customFormat="false" ht="15" hidden="false" customHeight="false" outlineLevel="0" collapsed="false">
      <c r="A62" s="34" t="str">
        <f aca="false">'مواد المخزون'!A57</f>
        <v>عجين فطير</v>
      </c>
      <c r="B62" s="36" t="str">
        <f aca="false">'مواد المخزون'!B57</f>
        <v>قطعة</v>
      </c>
      <c r="C62" s="107" t="n">
        <f aca="false">'مواد المخزون'!E57</f>
        <v>4</v>
      </c>
      <c r="D62" s="108" t="n">
        <f aca="false">'جرد أول المدة'!D60</f>
        <v>199</v>
      </c>
      <c r="E62" s="108" t="n">
        <f aca="false">SUMIFS('مشتريات يومية'!$D$2:$D$4001,'مشتريات يومية'!$B$2:$B$4001,$B$2,'مشتريات يومية'!$C$2:$C$4001,$A62,'مشتريات يومية'!$A$2:$A$4001,"&gt;="&amp;'إعدادات المخزون'!$B$5,'مشتريات يومية'!$A$2:$A$4001,"&lt;="&amp;'إعدادات المخزون'!$B$4)</f>
        <v>1400</v>
      </c>
      <c r="F62" s="108"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8"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8" t="n">
        <f aca="false">SUMPRODUCT('مصفوفة الاستهلاك'!$BE$2:$BE$172,'متجهات المبيعات'!$F$2:$F$172)/'مواد المخزون'!$D$57</f>
        <v>0</v>
      </c>
      <c r="I62" s="108"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8" t="n">
        <f aca="false">D62+E62+F62-G62-H62-I62</f>
        <v>1599</v>
      </c>
      <c r="K62" s="36" t="str">
        <f aca="false">IF(COUNTIFS('جرد فعلي'!$B$2:$B$12001,$B$2,'جرد فعلي'!$C$2:$C$12001,$A62,'جرد فعلي'!$A$2:$A$12001,'إعدادات المخزون'!$B$4)&gt;0,"نعم","لا")</f>
        <v>لا</v>
      </c>
      <c r="L62" s="109" t="str">
        <f aca="false">IF(K62="نعم",SUMIFS('جرد فعلي'!$D$2:$D$12001,'جرد فعلي'!$B$2:$B$12001,$B$2,'جرد فعلي'!$C$2:$C$12001,$A62,'جرد فعلي'!$A$2:$A$12001,'إعدادات المخزون'!$B$4),"")</f>
        <v/>
      </c>
      <c r="M62" s="108" t="str">
        <f aca="false">IF(K62="نعم",L62-J62,"")</f>
        <v/>
      </c>
      <c r="N62" s="110" t="str">
        <f aca="false">IF(K62="نعم",IF(J62=0,IF(M62=0,0,SIGN(M62)),M62/ABS(J62)),"")</f>
        <v/>
      </c>
      <c r="O62" s="107" t="str">
        <f aca="false">IF(K62="نعم",M62*C62,"")</f>
        <v/>
      </c>
      <c r="P62" s="36" t="str">
        <f aca="false">IF(K62&lt;&gt;"نعم","لم يُجرد",IF(ABS(N62)&lt;='إعدادات المخزون'!$B$7,"مطابق",IF(M62&lt;0,"عجز","زيادة")))</f>
        <v>لم يُجرد</v>
      </c>
      <c r="Q62" s="108" t="n">
        <f aca="false">J62-Z62</f>
        <v>1599</v>
      </c>
      <c r="R62" s="108"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8" t="str">
        <f aca="false">IF(AND(K62="نعم",R62&lt;&gt;""),(L62-J62)-(R62-Q62),"")</f>
        <v/>
      </c>
      <c r="T62" s="107" t="str">
        <f aca="false">IF(S62="","",S62*C62)</f>
        <v/>
      </c>
      <c r="U62" s="108" t="n">
        <f aca="false">IF(K62="نعم",L62,J62)</f>
        <v>1599</v>
      </c>
      <c r="V62" s="108" t="n">
        <f aca="false">SUMPRODUCT('مصفوفة الاستهلاك'!$BE$2:$BE$172,'متجهات المبيعات'!$G$2:$G$172)/'مواد المخزون'!$D$57/MAX(1,MIN('إعدادات المخزون'!$B$11,'إعدادات المخزون'!$B$4-'إعدادات المخزون'!$B$5+1))</f>
        <v>0</v>
      </c>
      <c r="W62" s="108" t="n">
        <f aca="false">IF(V62&lt;=0,0,ROUNDUP(MAX(0,V62*('إعدادات المخزون'!$B$8+'إعدادات المخزون'!$B$9+'إعدادات المخزون'!$B$10)-MAX(U62,0))/'مواد المخزون'!$F57,0)*'مواد المخزون'!$F57)</f>
        <v>0</v>
      </c>
      <c r="X62" s="107" t="n">
        <f aca="false">IF(AND(K62="نعم",O62&lt;0),-O62+ROW()*0.000000001,0)</f>
        <v>0</v>
      </c>
      <c r="Y62" s="107" t="n">
        <f aca="false">IF(AND(K62="نعم",O62&gt;0),O62+ROW()*0.000000001,0)</f>
        <v>0</v>
      </c>
      <c r="Z62" s="108"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المبيعات'!$E$2:$E$172)/'مواد المخزون'!$D$57</f>
        <v>0</v>
      </c>
      <c r="AA62" s="107" t="n">
        <f aca="false">IF(K62="نعم",O62,0)</f>
        <v>0</v>
      </c>
      <c r="AB62" s="107" t="n">
        <f aca="false">IF(K62="نعم",J62*C62,0)</f>
        <v>0</v>
      </c>
      <c r="AC62" s="107" t="n">
        <f aca="false">IF(T62="",0,T62)</f>
        <v>0</v>
      </c>
    </row>
    <row r="63" customFormat="false" ht="15" hidden="false" customHeight="false" outlineLevel="0" collapsed="false">
      <c r="A63" s="34" t="str">
        <f aca="false">'مواد المخزون'!A58</f>
        <v>عسل ابيض</v>
      </c>
      <c r="B63" s="36" t="str">
        <f aca="false">'مواد المخزون'!B58</f>
        <v>كجم</v>
      </c>
      <c r="C63" s="107" t="n">
        <f aca="false">'مواد المخزون'!E58</f>
        <v>140</v>
      </c>
      <c r="D63" s="108" t="n">
        <f aca="false">'جرد أول المدة'!D61</f>
        <v>1.8</v>
      </c>
      <c r="E63" s="108" t="n">
        <f aca="false">SUMIFS('مشتريات يومية'!$D$2:$D$4001,'مشتريات يومية'!$B$2:$B$4001,$B$2,'مشتريات يومية'!$C$2:$C$4001,$A63,'مشتريات يومية'!$A$2:$A$4001,"&gt;="&amp;'إعدادات المخزون'!$B$5,'مشتريات يومية'!$A$2:$A$4001,"&lt;="&amp;'إعدادات المخزون'!$B$4)</f>
        <v>0</v>
      </c>
      <c r="F63" s="108"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8"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8" t="n">
        <f aca="false">SUMPRODUCT('مصفوفة الاستهلاك'!$BF$2:$BF$172,'متجهات المبيعات'!$F$2:$F$172)/'مواد المخزون'!$D$58</f>
        <v>0</v>
      </c>
      <c r="I63" s="108"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8" t="n">
        <f aca="false">D63+E63+F63-G63-H63-I63</f>
        <v>1.8</v>
      </c>
      <c r="K63" s="36" t="str">
        <f aca="false">IF(COUNTIFS('جرد فعلي'!$B$2:$B$12001,$B$2,'جرد فعلي'!$C$2:$C$12001,$A63,'جرد فعلي'!$A$2:$A$12001,'إعدادات المخزون'!$B$4)&gt;0,"نعم","لا")</f>
        <v>لا</v>
      </c>
      <c r="L63" s="109" t="str">
        <f aca="false">IF(K63="نعم",SUMIFS('جرد فعلي'!$D$2:$D$12001,'جرد فعلي'!$B$2:$B$12001,$B$2,'جرد فعلي'!$C$2:$C$12001,$A63,'جرد فعلي'!$A$2:$A$12001,'إعدادات المخزون'!$B$4),"")</f>
        <v/>
      </c>
      <c r="M63" s="108" t="str">
        <f aca="false">IF(K63="نعم",L63-J63,"")</f>
        <v/>
      </c>
      <c r="N63" s="110" t="str">
        <f aca="false">IF(K63="نعم",IF(J63=0,IF(M63=0,0,SIGN(M63)),M63/ABS(J63)),"")</f>
        <v/>
      </c>
      <c r="O63" s="107" t="str">
        <f aca="false">IF(K63="نعم",M63*C63,"")</f>
        <v/>
      </c>
      <c r="P63" s="36" t="str">
        <f aca="false">IF(K63&lt;&gt;"نعم","لم يُجرد",IF(ABS(N63)&lt;='إعدادات المخزون'!$B$7,"مطابق",IF(M63&lt;0,"عجز","زيادة")))</f>
        <v>لم يُجرد</v>
      </c>
      <c r="Q63" s="108" t="n">
        <f aca="false">J63-Z63</f>
        <v>1.8</v>
      </c>
      <c r="R63" s="108"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8" t="str">
        <f aca="false">IF(AND(K63="نعم",R63&lt;&gt;""),(L63-J63)-(R63-Q63),"")</f>
        <v/>
      </c>
      <c r="T63" s="107" t="str">
        <f aca="false">IF(S63="","",S63*C63)</f>
        <v/>
      </c>
      <c r="U63" s="108" t="n">
        <f aca="false">IF(K63="نعم",L63,J63)</f>
        <v>1.8</v>
      </c>
      <c r="V63" s="108" t="n">
        <f aca="false">SUMPRODUCT('مصفوفة الاستهلاك'!$BF$2:$BF$172,'متجهات المبيعات'!$G$2:$G$172)/'مواد المخزون'!$D$58/MAX(1,MIN('إعدادات المخزون'!$B$11,'إعدادات المخزون'!$B$4-'إعدادات المخزون'!$B$5+1))</f>
        <v>0</v>
      </c>
      <c r="W63" s="108" t="n">
        <f aca="false">IF(V63&lt;=0,0,ROUNDUP(MAX(0,V63*('إعدادات المخزون'!$B$8+'إعدادات المخزون'!$B$9+'إعدادات المخزون'!$B$10)-MAX(U63,0))/'مواد المخزون'!$F58,0)*'مواد المخزون'!$F58)</f>
        <v>0</v>
      </c>
      <c r="X63" s="107" t="n">
        <f aca="false">IF(AND(K63="نعم",O63&lt;0),-O63+ROW()*0.000000001,0)</f>
        <v>0</v>
      </c>
      <c r="Y63" s="107" t="n">
        <f aca="false">IF(AND(K63="نعم",O63&gt;0),O63+ROW()*0.000000001,0)</f>
        <v>0</v>
      </c>
      <c r="Z63" s="108"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المبيعات'!$E$2:$E$172)/'مواد المخزون'!$D$58</f>
        <v>0</v>
      </c>
      <c r="AA63" s="107" t="n">
        <f aca="false">IF(K63="نعم",O63,0)</f>
        <v>0</v>
      </c>
      <c r="AB63" s="107" t="n">
        <f aca="false">IF(K63="نعم",J63*C63,0)</f>
        <v>0</v>
      </c>
      <c r="AC63" s="107"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7" t="n">
        <f aca="false">'مواد المخزون'!E59</f>
        <v>5.5</v>
      </c>
      <c r="D64" s="108" t="n">
        <f aca="false">'جرد أول المدة'!D62</f>
        <v>1050</v>
      </c>
      <c r="E64" s="108" t="n">
        <f aca="false">SUMIFS('مشتريات يومية'!$D$2:$D$4001,'مشتريات يومية'!$B$2:$B$4001,$B$2,'مشتريات يومية'!$C$2:$C$4001,$A64,'مشتريات يومية'!$A$2:$A$4001,"&gt;="&amp;'إعدادات المخزون'!$B$5,'مشتريات يومية'!$A$2:$A$4001,"&lt;="&amp;'إعدادات المخزون'!$B$4)</f>
        <v>0</v>
      </c>
      <c r="F64" s="108"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8"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8" t="n">
        <f aca="false">SUMPRODUCT('مصفوفة الاستهلاك'!$BG$2:$BG$172,'متجهات المبيعات'!$F$2:$F$172)/'مواد المخزون'!$D$59</f>
        <v>0</v>
      </c>
      <c r="I64" s="108"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8" t="n">
        <f aca="false">D64+E64+F64-G64-H64-I64</f>
        <v>1050</v>
      </c>
      <c r="K64" s="36" t="str">
        <f aca="false">IF(COUNTIFS('جرد فعلي'!$B$2:$B$12001,$B$2,'جرد فعلي'!$C$2:$C$12001,$A64,'جرد فعلي'!$A$2:$A$12001,'إعدادات المخزون'!$B$4)&gt;0,"نعم","لا")</f>
        <v>لا</v>
      </c>
      <c r="L64" s="109" t="str">
        <f aca="false">IF(K64="نعم",SUMIFS('جرد فعلي'!$D$2:$D$12001,'جرد فعلي'!$B$2:$B$12001,$B$2,'جرد فعلي'!$C$2:$C$12001,$A64,'جرد فعلي'!$A$2:$A$12001,'إعدادات المخزون'!$B$4),"")</f>
        <v/>
      </c>
      <c r="M64" s="108" t="str">
        <f aca="false">IF(K64="نعم",L64-J64,"")</f>
        <v/>
      </c>
      <c r="N64" s="110" t="str">
        <f aca="false">IF(K64="نعم",IF(J64=0,IF(M64=0,0,SIGN(M64)),M64/ABS(J64)),"")</f>
        <v/>
      </c>
      <c r="O64" s="107" t="str">
        <f aca="false">IF(K64="نعم",M64*C64,"")</f>
        <v/>
      </c>
      <c r="P64" s="36" t="str">
        <f aca="false">IF(K64&lt;&gt;"نعم","لم يُجرد",IF(ABS(N64)&lt;='إعدادات المخزون'!$B$7,"مطابق",IF(M64&lt;0,"عجز","زيادة")))</f>
        <v>لم يُجرد</v>
      </c>
      <c r="Q64" s="108" t="n">
        <f aca="false">J64-Z64</f>
        <v>1050</v>
      </c>
      <c r="R64" s="108"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8" t="str">
        <f aca="false">IF(AND(K64="نعم",R64&lt;&gt;""),(L64-J64)-(R64-Q64),"")</f>
        <v/>
      </c>
      <c r="T64" s="107" t="str">
        <f aca="false">IF(S64="","",S64*C64)</f>
        <v/>
      </c>
      <c r="U64" s="108" t="n">
        <f aca="false">IF(K64="نعم",L64,J64)</f>
        <v>1050</v>
      </c>
      <c r="V64" s="108" t="n">
        <f aca="false">SUMPRODUCT('مصفوفة الاستهلاك'!$BG$2:$BG$172,'متجهات المبيعات'!$G$2:$G$172)/'مواد المخزون'!$D$59/MAX(1,MIN('إعدادات المخزون'!$B$11,'إعدادات المخزون'!$B$4-'إعدادات المخزون'!$B$5+1))</f>
        <v>0</v>
      </c>
      <c r="W64" s="108" t="n">
        <f aca="false">IF(V64&lt;=0,0,ROUNDUP(MAX(0,V64*('إعدادات المخزون'!$B$8+'إعدادات المخزون'!$B$9+'إعدادات المخزون'!$B$10)-MAX(U64,0))/'مواد المخزون'!$F59,0)*'مواد المخزون'!$F59)</f>
        <v>0</v>
      </c>
      <c r="X64" s="107" t="n">
        <f aca="false">IF(AND(K64="نعم",O64&lt;0),-O64+ROW()*0.000000001,0)</f>
        <v>0</v>
      </c>
      <c r="Y64" s="107" t="n">
        <f aca="false">IF(AND(K64="نعم",O64&gt;0),O64+ROW()*0.000000001,0)</f>
        <v>0</v>
      </c>
      <c r="Z64" s="108"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المبيعات'!$E$2:$E$172)/'مواد المخزون'!$D$59</f>
        <v>0</v>
      </c>
      <c r="AA64" s="107" t="n">
        <f aca="false">IF(K64="نعم",O64,0)</f>
        <v>0</v>
      </c>
      <c r="AB64" s="107" t="n">
        <f aca="false">IF(K64="نعم",J64*C64,0)</f>
        <v>0</v>
      </c>
      <c r="AC64" s="107"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7" t="n">
        <f aca="false">'مواد المخزون'!E60</f>
        <v>4.5</v>
      </c>
      <c r="D65" s="108" t="n">
        <f aca="false">'جرد أول المدة'!D63</f>
        <v>4000</v>
      </c>
      <c r="E65" s="108" t="n">
        <f aca="false">SUMIFS('مشتريات يومية'!$D$2:$D$4001,'مشتريات يومية'!$B$2:$B$4001,$B$2,'مشتريات يومية'!$C$2:$C$4001,$A65,'مشتريات يومية'!$A$2:$A$4001,"&gt;="&amp;'إعدادات المخزون'!$B$5,'مشتريات يومية'!$A$2:$A$4001,"&lt;="&amp;'إعدادات المخزون'!$B$4)</f>
        <v>0</v>
      </c>
      <c r="F65" s="108"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8"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8" t="n">
        <f aca="false">SUMPRODUCT('مصفوفة الاستهلاك'!$BH$2:$BH$172,'متجهات المبيعات'!$F$2:$F$172)/'مواد المخزون'!$D$60</f>
        <v>0</v>
      </c>
      <c r="I65" s="108"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8" t="n">
        <f aca="false">D65+E65+F65-G65-H65-I65</f>
        <v>4000</v>
      </c>
      <c r="K65" s="36" t="str">
        <f aca="false">IF(COUNTIFS('جرد فعلي'!$B$2:$B$12001,$B$2,'جرد فعلي'!$C$2:$C$12001,$A65,'جرد فعلي'!$A$2:$A$12001,'إعدادات المخزون'!$B$4)&gt;0,"نعم","لا")</f>
        <v>لا</v>
      </c>
      <c r="L65" s="109" t="str">
        <f aca="false">IF(K65="نعم",SUMIFS('جرد فعلي'!$D$2:$D$12001,'جرد فعلي'!$B$2:$B$12001,$B$2,'جرد فعلي'!$C$2:$C$12001,$A65,'جرد فعلي'!$A$2:$A$12001,'إعدادات المخزون'!$B$4),"")</f>
        <v/>
      </c>
      <c r="M65" s="108" t="str">
        <f aca="false">IF(K65="نعم",L65-J65,"")</f>
        <v/>
      </c>
      <c r="N65" s="110" t="str">
        <f aca="false">IF(K65="نعم",IF(J65=0,IF(M65=0,0,SIGN(M65)),M65/ABS(J65)),"")</f>
        <v/>
      </c>
      <c r="O65" s="107" t="str">
        <f aca="false">IF(K65="نعم",M65*C65,"")</f>
        <v/>
      </c>
      <c r="P65" s="36" t="str">
        <f aca="false">IF(K65&lt;&gt;"نعم","لم يُجرد",IF(ABS(N65)&lt;='إعدادات المخزون'!$B$7,"مطابق",IF(M65&lt;0,"عجز","زيادة")))</f>
        <v>لم يُجرد</v>
      </c>
      <c r="Q65" s="108" t="n">
        <f aca="false">J65-Z65</f>
        <v>4000</v>
      </c>
      <c r="R65" s="108"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8" t="str">
        <f aca="false">IF(AND(K65="نعم",R65&lt;&gt;""),(L65-J65)-(R65-Q65),"")</f>
        <v/>
      </c>
      <c r="T65" s="107" t="str">
        <f aca="false">IF(S65="","",S65*C65)</f>
        <v/>
      </c>
      <c r="U65" s="108" t="n">
        <f aca="false">IF(K65="نعم",L65,J65)</f>
        <v>4000</v>
      </c>
      <c r="V65" s="108" t="n">
        <f aca="false">SUMPRODUCT('مصفوفة الاستهلاك'!$BH$2:$BH$172,'متجهات المبيعات'!$G$2:$G$172)/'مواد المخزون'!$D$60/MAX(1,MIN('إعدادات المخزون'!$B$11,'إعدادات المخزون'!$B$4-'إعدادات المخزون'!$B$5+1))</f>
        <v>0</v>
      </c>
      <c r="W65" s="108" t="n">
        <f aca="false">IF(V65&lt;=0,0,ROUNDUP(MAX(0,V65*('إعدادات المخزون'!$B$8+'إعدادات المخزون'!$B$9+'إعدادات المخزون'!$B$10)-MAX(U65,0))/'مواد المخزون'!$F60,0)*'مواد المخزون'!$F60)</f>
        <v>0</v>
      </c>
      <c r="X65" s="107" t="n">
        <f aca="false">IF(AND(K65="نعم",O65&lt;0),-O65+ROW()*0.000000001,0)</f>
        <v>0</v>
      </c>
      <c r="Y65" s="107" t="n">
        <f aca="false">IF(AND(K65="نعم",O65&gt;0),O65+ROW()*0.000000001,0)</f>
        <v>0</v>
      </c>
      <c r="Z65" s="108"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المبيعات'!$E$2:$E$172)/'مواد المخزون'!$D$60</f>
        <v>0</v>
      </c>
      <c r="AA65" s="107" t="n">
        <f aca="false">IF(K65="نعم",O65,0)</f>
        <v>0</v>
      </c>
      <c r="AB65" s="107" t="n">
        <f aca="false">IF(K65="نعم",J65*C65,0)</f>
        <v>0</v>
      </c>
      <c r="AC65" s="107"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7" t="n">
        <f aca="false">'مواد المخزون'!E61</f>
        <v>1.7</v>
      </c>
      <c r="D66" s="108" t="n">
        <f aca="false">'جرد أول المدة'!D64</f>
        <v>220</v>
      </c>
      <c r="E66" s="108" t="n">
        <f aca="false">SUMIFS('مشتريات يومية'!$D$2:$D$4001,'مشتريات يومية'!$B$2:$B$4001,$B$2,'مشتريات يومية'!$C$2:$C$4001,$A66,'مشتريات يومية'!$A$2:$A$4001,"&gt;="&amp;'إعدادات المخزون'!$B$5,'مشتريات يومية'!$A$2:$A$4001,"&lt;="&amp;'إعدادات المخزون'!$B$4)</f>
        <v>0</v>
      </c>
      <c r="F66" s="108"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8"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8" t="n">
        <f aca="false">SUMPRODUCT('مصفوفة الاستهلاك'!$BI$2:$BI$172,'متجهات المبيعات'!$F$2:$F$172)/'مواد المخزون'!$D$61</f>
        <v>0</v>
      </c>
      <c r="I66" s="108"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8" t="n">
        <f aca="false">D66+E66+F66-G66-H66-I66</f>
        <v>220</v>
      </c>
      <c r="K66" s="36" t="str">
        <f aca="false">IF(COUNTIFS('جرد فعلي'!$B$2:$B$12001,$B$2,'جرد فعلي'!$C$2:$C$12001,$A66,'جرد فعلي'!$A$2:$A$12001,'إعدادات المخزون'!$B$4)&gt;0,"نعم","لا")</f>
        <v>لا</v>
      </c>
      <c r="L66" s="109" t="str">
        <f aca="false">IF(K66="نعم",SUMIFS('جرد فعلي'!$D$2:$D$12001,'جرد فعلي'!$B$2:$B$12001,$B$2,'جرد فعلي'!$C$2:$C$12001,$A66,'جرد فعلي'!$A$2:$A$12001,'إعدادات المخزون'!$B$4),"")</f>
        <v/>
      </c>
      <c r="M66" s="108" t="str">
        <f aca="false">IF(K66="نعم",L66-J66,"")</f>
        <v/>
      </c>
      <c r="N66" s="110" t="str">
        <f aca="false">IF(K66="نعم",IF(J66=0,IF(M66=0,0,SIGN(M66)),M66/ABS(J66)),"")</f>
        <v/>
      </c>
      <c r="O66" s="107" t="str">
        <f aca="false">IF(K66="نعم",M66*C66,"")</f>
        <v/>
      </c>
      <c r="P66" s="36" t="str">
        <f aca="false">IF(K66&lt;&gt;"نعم","لم يُجرد",IF(ABS(N66)&lt;='إعدادات المخزون'!$B$7,"مطابق",IF(M66&lt;0,"عجز","زيادة")))</f>
        <v>لم يُجرد</v>
      </c>
      <c r="Q66" s="108" t="n">
        <f aca="false">J66-Z66</f>
        <v>220</v>
      </c>
      <c r="R66" s="108"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8" t="str">
        <f aca="false">IF(AND(K66="نعم",R66&lt;&gt;""),(L66-J66)-(R66-Q66),"")</f>
        <v/>
      </c>
      <c r="T66" s="107" t="str">
        <f aca="false">IF(S66="","",S66*C66)</f>
        <v/>
      </c>
      <c r="U66" s="108" t="n">
        <f aca="false">IF(K66="نعم",L66,J66)</f>
        <v>220</v>
      </c>
      <c r="V66" s="108" t="n">
        <f aca="false">SUMPRODUCT('مصفوفة الاستهلاك'!$BI$2:$BI$172,'متجهات المبيعات'!$G$2:$G$172)/'مواد المخزون'!$D$61/MAX(1,MIN('إعدادات المخزون'!$B$11,'إعدادات المخزون'!$B$4-'إعدادات المخزون'!$B$5+1))</f>
        <v>0</v>
      </c>
      <c r="W66" s="108" t="n">
        <f aca="false">IF(V66&lt;=0,0,ROUNDUP(MAX(0,V66*('إعدادات المخزون'!$B$8+'إعدادات المخزون'!$B$9+'إعدادات المخزون'!$B$10)-MAX(U66,0))/'مواد المخزون'!$F61,0)*'مواد المخزون'!$F61)</f>
        <v>0</v>
      </c>
      <c r="X66" s="107" t="n">
        <f aca="false">IF(AND(K66="نعم",O66&lt;0),-O66+ROW()*0.000000001,0)</f>
        <v>0</v>
      </c>
      <c r="Y66" s="107" t="n">
        <f aca="false">IF(AND(K66="نعم",O66&gt;0),O66+ROW()*0.000000001,0)</f>
        <v>0</v>
      </c>
      <c r="Z66" s="108"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المبيعات'!$E$2:$E$172)/'مواد المخزون'!$D$61</f>
        <v>0</v>
      </c>
      <c r="AA66" s="107" t="n">
        <f aca="false">IF(K66="نعم",O66,0)</f>
        <v>0</v>
      </c>
      <c r="AB66" s="107" t="n">
        <f aca="false">IF(K66="نعم",J66*C66,0)</f>
        <v>0</v>
      </c>
      <c r="AC66" s="107"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7" t="n">
        <f aca="false">'مواد المخزون'!E62</f>
        <v>2</v>
      </c>
      <c r="D67" s="108" t="n">
        <f aca="false">'جرد أول المدة'!D65</f>
        <v>40</v>
      </c>
      <c r="E67" s="108" t="n">
        <f aca="false">SUMIFS('مشتريات يومية'!$D$2:$D$4001,'مشتريات يومية'!$B$2:$B$4001,$B$2,'مشتريات يومية'!$C$2:$C$4001,$A67,'مشتريات يومية'!$A$2:$A$4001,"&gt;="&amp;'إعدادات المخزون'!$B$5,'مشتريات يومية'!$A$2:$A$4001,"&lt;="&amp;'إعدادات المخزون'!$B$4)</f>
        <v>50</v>
      </c>
      <c r="F67" s="108"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8"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8" t="n">
        <f aca="false">SUMPRODUCT('مصفوفة الاستهلاك'!$BJ$2:$BJ$172,'متجهات المبيعات'!$F$2:$F$172)/'مواد المخزون'!$D$62</f>
        <v>0</v>
      </c>
      <c r="I67" s="108"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8" t="n">
        <f aca="false">D67+E67+F67-G67-H67-I67</f>
        <v>90</v>
      </c>
      <c r="K67" s="36" t="str">
        <f aca="false">IF(COUNTIFS('جرد فعلي'!$B$2:$B$12001,$B$2,'جرد فعلي'!$C$2:$C$12001,$A67,'جرد فعلي'!$A$2:$A$12001,'إعدادات المخزون'!$B$4)&gt;0,"نعم","لا")</f>
        <v>لا</v>
      </c>
      <c r="L67" s="109" t="str">
        <f aca="false">IF(K67="نعم",SUMIFS('جرد فعلي'!$D$2:$D$12001,'جرد فعلي'!$B$2:$B$12001,$B$2,'جرد فعلي'!$C$2:$C$12001,$A67,'جرد فعلي'!$A$2:$A$12001,'إعدادات المخزون'!$B$4),"")</f>
        <v/>
      </c>
      <c r="M67" s="108" t="str">
        <f aca="false">IF(K67="نعم",L67-J67,"")</f>
        <v/>
      </c>
      <c r="N67" s="110" t="str">
        <f aca="false">IF(K67="نعم",IF(J67=0,IF(M67=0,0,SIGN(M67)),M67/ABS(J67)),"")</f>
        <v/>
      </c>
      <c r="O67" s="107" t="str">
        <f aca="false">IF(K67="نعم",M67*C67,"")</f>
        <v/>
      </c>
      <c r="P67" s="36" t="str">
        <f aca="false">IF(K67&lt;&gt;"نعم","لم يُجرد",IF(ABS(N67)&lt;='إعدادات المخزون'!$B$7,"مطابق",IF(M67&lt;0,"عجز","زيادة")))</f>
        <v>لم يُجرد</v>
      </c>
      <c r="Q67" s="108" t="n">
        <f aca="false">J67-Z67</f>
        <v>90</v>
      </c>
      <c r="R67" s="108"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8" t="str">
        <f aca="false">IF(AND(K67="نعم",R67&lt;&gt;""),(L67-J67)-(R67-Q67),"")</f>
        <v/>
      </c>
      <c r="T67" s="107" t="str">
        <f aca="false">IF(S67="","",S67*C67)</f>
        <v/>
      </c>
      <c r="U67" s="108" t="n">
        <f aca="false">IF(K67="نعم",L67,J67)</f>
        <v>90</v>
      </c>
      <c r="V67" s="108" t="n">
        <f aca="false">SUMPRODUCT('مصفوفة الاستهلاك'!$BJ$2:$BJ$172,'متجهات المبيعات'!$G$2:$G$172)/'مواد المخزون'!$D$62/MAX(1,MIN('إعدادات المخزون'!$B$11,'إعدادات المخزون'!$B$4-'إعدادات المخزون'!$B$5+1))</f>
        <v>0</v>
      </c>
      <c r="W67" s="108" t="n">
        <f aca="false">IF(V67&lt;=0,0,ROUNDUP(MAX(0,V67*('إعدادات المخزون'!$B$8+'إعدادات المخزون'!$B$9+'إعدادات المخزون'!$B$10)-MAX(U67,0))/'مواد المخزون'!$F62,0)*'مواد المخزون'!$F62)</f>
        <v>0</v>
      </c>
      <c r="X67" s="107" t="n">
        <f aca="false">IF(AND(K67="نعم",O67&lt;0),-O67+ROW()*0.000000001,0)</f>
        <v>0</v>
      </c>
      <c r="Y67" s="107" t="n">
        <f aca="false">IF(AND(K67="نعم",O67&gt;0),O67+ROW()*0.000000001,0)</f>
        <v>0</v>
      </c>
      <c r="Z67" s="108"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المبيعات'!$E$2:$E$172)/'مواد المخزون'!$D$62</f>
        <v>0</v>
      </c>
      <c r="AA67" s="107" t="n">
        <f aca="false">IF(K67="نعم",O67,0)</f>
        <v>0</v>
      </c>
      <c r="AB67" s="107" t="n">
        <f aca="false">IF(K67="نعم",J67*C67,0)</f>
        <v>0</v>
      </c>
      <c r="AC67" s="107"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7" t="n">
        <f aca="false">'مواد المخزون'!E63</f>
        <v>3.1</v>
      </c>
      <c r="D68" s="108" t="n">
        <f aca="false">'جرد أول المدة'!D66</f>
        <v>38</v>
      </c>
      <c r="E68" s="108" t="n">
        <f aca="false">SUMIFS('مشتريات يومية'!$D$2:$D$4001,'مشتريات يومية'!$B$2:$B$4001,$B$2,'مشتريات يومية'!$C$2:$C$4001,$A68,'مشتريات يومية'!$A$2:$A$4001,"&gt;="&amp;'إعدادات المخزون'!$B$5,'مشتريات يومية'!$A$2:$A$4001,"&lt;="&amp;'إعدادات المخزون'!$B$4)</f>
        <v>50</v>
      </c>
      <c r="F68" s="108"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8"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8" t="n">
        <f aca="false">SUMPRODUCT('مصفوفة الاستهلاك'!$BK$2:$BK$172,'متجهات المبيعات'!$F$2:$F$172)/'مواد المخزون'!$D$63</f>
        <v>0</v>
      </c>
      <c r="I68" s="108"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8" t="n">
        <f aca="false">D68+E68+F68-G68-H68-I68</f>
        <v>88</v>
      </c>
      <c r="K68" s="36" t="str">
        <f aca="false">IF(COUNTIFS('جرد فعلي'!$B$2:$B$12001,$B$2,'جرد فعلي'!$C$2:$C$12001,$A68,'جرد فعلي'!$A$2:$A$12001,'إعدادات المخزون'!$B$4)&gt;0,"نعم","لا")</f>
        <v>لا</v>
      </c>
      <c r="L68" s="109" t="str">
        <f aca="false">IF(K68="نعم",SUMIFS('جرد فعلي'!$D$2:$D$12001,'جرد فعلي'!$B$2:$B$12001,$B$2,'جرد فعلي'!$C$2:$C$12001,$A68,'جرد فعلي'!$A$2:$A$12001,'إعدادات المخزون'!$B$4),"")</f>
        <v/>
      </c>
      <c r="M68" s="108" t="str">
        <f aca="false">IF(K68="نعم",L68-J68,"")</f>
        <v/>
      </c>
      <c r="N68" s="110" t="str">
        <f aca="false">IF(K68="نعم",IF(J68=0,IF(M68=0,0,SIGN(M68)),M68/ABS(J68)),"")</f>
        <v/>
      </c>
      <c r="O68" s="107" t="str">
        <f aca="false">IF(K68="نعم",M68*C68,"")</f>
        <v/>
      </c>
      <c r="P68" s="36" t="str">
        <f aca="false">IF(K68&lt;&gt;"نعم","لم يُجرد",IF(ABS(N68)&lt;='إعدادات المخزون'!$B$7,"مطابق",IF(M68&lt;0,"عجز","زيادة")))</f>
        <v>لم يُجرد</v>
      </c>
      <c r="Q68" s="108" t="n">
        <f aca="false">J68-Z68</f>
        <v>88</v>
      </c>
      <c r="R68" s="108"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8" t="str">
        <f aca="false">IF(AND(K68="نعم",R68&lt;&gt;""),(L68-J68)-(R68-Q68),"")</f>
        <v/>
      </c>
      <c r="T68" s="107" t="str">
        <f aca="false">IF(S68="","",S68*C68)</f>
        <v/>
      </c>
      <c r="U68" s="108" t="n">
        <f aca="false">IF(K68="نعم",L68,J68)</f>
        <v>88</v>
      </c>
      <c r="V68" s="108" t="n">
        <f aca="false">SUMPRODUCT('مصفوفة الاستهلاك'!$BK$2:$BK$172,'متجهات المبيعات'!$G$2:$G$172)/'مواد المخزون'!$D$63/MAX(1,MIN('إعدادات المخزون'!$B$11,'إعدادات المخزون'!$B$4-'إعدادات المخزون'!$B$5+1))</f>
        <v>0</v>
      </c>
      <c r="W68" s="108" t="n">
        <f aca="false">IF(V68&lt;=0,0,ROUNDUP(MAX(0,V68*('إعدادات المخزون'!$B$8+'إعدادات المخزون'!$B$9+'إعدادات المخزون'!$B$10)-MAX(U68,0))/'مواد المخزون'!$F63,0)*'مواد المخزون'!$F63)</f>
        <v>0</v>
      </c>
      <c r="X68" s="107" t="n">
        <f aca="false">IF(AND(K68="نعم",O68&lt;0),-O68+ROW()*0.000000001,0)</f>
        <v>0</v>
      </c>
      <c r="Y68" s="107" t="n">
        <f aca="false">IF(AND(K68="نعم",O68&gt;0),O68+ROW()*0.000000001,0)</f>
        <v>0</v>
      </c>
      <c r="Z68" s="108"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المبيعات'!$E$2:$E$172)/'مواد المخزون'!$D$63</f>
        <v>0</v>
      </c>
      <c r="AA68" s="107" t="n">
        <f aca="false">IF(K68="نعم",O68,0)</f>
        <v>0</v>
      </c>
      <c r="AB68" s="107" t="n">
        <f aca="false">IF(K68="نعم",J68*C68,0)</f>
        <v>0</v>
      </c>
      <c r="AC68" s="107"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7" t="n">
        <f aca="false">'مواد المخزون'!E64</f>
        <v>42.03</v>
      </c>
      <c r="D69" s="108" t="n">
        <f aca="false">'جرد أول المدة'!D67</f>
        <v>6</v>
      </c>
      <c r="E69" s="108" t="n">
        <f aca="false">SUMIFS('مشتريات يومية'!$D$2:$D$4001,'مشتريات يومية'!$B$2:$B$4001,$B$2,'مشتريات يومية'!$C$2:$C$4001,$A69,'مشتريات يومية'!$A$2:$A$4001,"&gt;="&amp;'إعدادات المخزون'!$B$5,'مشتريات يومية'!$A$2:$A$4001,"&lt;="&amp;'إعدادات المخزون'!$B$4)</f>
        <v>0</v>
      </c>
      <c r="F69" s="108"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8"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8" t="n">
        <f aca="false">SUMPRODUCT('مصفوفة الاستهلاك'!$BL$2:$BL$172,'متجهات المبيعات'!$F$2:$F$172)/'مواد المخزون'!$D$64</f>
        <v>0</v>
      </c>
      <c r="I69" s="108"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8" t="n">
        <f aca="false">D69+E69+F69-G69-H69-I69</f>
        <v>6</v>
      </c>
      <c r="K69" s="36" t="str">
        <f aca="false">IF(COUNTIFS('جرد فعلي'!$B$2:$B$12001,$B$2,'جرد فعلي'!$C$2:$C$12001,$A69,'جرد فعلي'!$A$2:$A$12001,'إعدادات المخزون'!$B$4)&gt;0,"نعم","لا")</f>
        <v>لا</v>
      </c>
      <c r="L69" s="109" t="str">
        <f aca="false">IF(K69="نعم",SUMIFS('جرد فعلي'!$D$2:$D$12001,'جرد فعلي'!$B$2:$B$12001,$B$2,'جرد فعلي'!$C$2:$C$12001,$A69,'جرد فعلي'!$A$2:$A$12001,'إعدادات المخزون'!$B$4),"")</f>
        <v/>
      </c>
      <c r="M69" s="108" t="str">
        <f aca="false">IF(K69="نعم",L69-J69,"")</f>
        <v/>
      </c>
      <c r="N69" s="110" t="str">
        <f aca="false">IF(K69="نعم",IF(J69=0,IF(M69=0,0,SIGN(M69)),M69/ABS(J69)),"")</f>
        <v/>
      </c>
      <c r="O69" s="107" t="str">
        <f aca="false">IF(K69="نعم",M69*C69,"")</f>
        <v/>
      </c>
      <c r="P69" s="36" t="str">
        <f aca="false">IF(K69&lt;&gt;"نعم","لم يُجرد",IF(ABS(N69)&lt;='إعدادات المخزون'!$B$7,"مطابق",IF(M69&lt;0,"عجز","زيادة")))</f>
        <v>لم يُجرد</v>
      </c>
      <c r="Q69" s="108" t="n">
        <f aca="false">J69-Z69</f>
        <v>6</v>
      </c>
      <c r="R69" s="108"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8" t="str">
        <f aca="false">IF(AND(K69="نعم",R69&lt;&gt;""),(L69-J69)-(R69-Q69),"")</f>
        <v/>
      </c>
      <c r="T69" s="107" t="str">
        <f aca="false">IF(S69="","",S69*C69)</f>
        <v/>
      </c>
      <c r="U69" s="108" t="n">
        <f aca="false">IF(K69="نعم",L69,J69)</f>
        <v>6</v>
      </c>
      <c r="V69" s="108" t="n">
        <f aca="false">SUMPRODUCT('مصفوفة الاستهلاك'!$BL$2:$BL$172,'متجهات المبيعات'!$G$2:$G$172)/'مواد المخزون'!$D$64/MAX(1,MIN('إعدادات المخزون'!$B$11,'إعدادات المخزون'!$B$4-'إعدادات المخزون'!$B$5+1))</f>
        <v>0</v>
      </c>
      <c r="W69" s="108" t="n">
        <f aca="false">IF(V69&lt;=0,0,ROUNDUP(MAX(0,V69*('إعدادات المخزون'!$B$8+'إعدادات المخزون'!$B$9+'إعدادات المخزون'!$B$10)-MAX(U69,0))/'مواد المخزون'!$F64,0)*'مواد المخزون'!$F64)</f>
        <v>0</v>
      </c>
      <c r="X69" s="107" t="n">
        <f aca="false">IF(AND(K69="نعم",O69&lt;0),-O69+ROW()*0.000000001,0)</f>
        <v>0</v>
      </c>
      <c r="Y69" s="107" t="n">
        <f aca="false">IF(AND(K69="نعم",O69&gt;0),O69+ROW()*0.000000001,0)</f>
        <v>0</v>
      </c>
      <c r="Z69" s="108"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المبيعات'!$E$2:$E$172)/'مواد المخزون'!$D$64</f>
        <v>0</v>
      </c>
      <c r="AA69" s="107" t="n">
        <f aca="false">IF(K69="نعم",O69,0)</f>
        <v>0</v>
      </c>
      <c r="AB69" s="107" t="n">
        <f aca="false">IF(K69="نعم",J69*C69,0)</f>
        <v>0</v>
      </c>
      <c r="AC69" s="107"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7" t="n">
        <f aca="false">'مواد المخزون'!E65</f>
        <v>150</v>
      </c>
      <c r="D70" s="108" t="n">
        <f aca="false">'جرد أول المدة'!D68</f>
        <v>0</v>
      </c>
      <c r="E70" s="108" t="n">
        <f aca="false">SUMIFS('مشتريات يومية'!$D$2:$D$4001,'مشتريات يومية'!$B$2:$B$4001,$B$2,'مشتريات يومية'!$C$2:$C$4001,$A70,'مشتريات يومية'!$A$2:$A$4001,"&gt;="&amp;'إعدادات المخزون'!$B$5,'مشتريات يومية'!$A$2:$A$4001,"&lt;="&amp;'إعدادات المخزون'!$B$4)</f>
        <v>0</v>
      </c>
      <c r="F70" s="108"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8"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8" t="n">
        <f aca="false">SUMPRODUCT('مصفوفة الاستهلاك'!$BM$2:$BM$172,'متجهات المبيعات'!$F$2:$F$172)/'مواد المخزون'!$D$65</f>
        <v>0</v>
      </c>
      <c r="I70" s="108"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8" t="n">
        <f aca="false">D70+E70+F70-G70-H70-I70</f>
        <v>0</v>
      </c>
      <c r="K70" s="36" t="str">
        <f aca="false">IF(COUNTIFS('جرد فعلي'!$B$2:$B$12001,$B$2,'جرد فعلي'!$C$2:$C$12001,$A70,'جرد فعلي'!$A$2:$A$12001,'إعدادات المخزون'!$B$4)&gt;0,"نعم","لا")</f>
        <v>لا</v>
      </c>
      <c r="L70" s="109" t="str">
        <f aca="false">IF(K70="نعم",SUMIFS('جرد فعلي'!$D$2:$D$12001,'جرد فعلي'!$B$2:$B$12001,$B$2,'جرد فعلي'!$C$2:$C$12001,$A70,'جرد فعلي'!$A$2:$A$12001,'إعدادات المخزون'!$B$4),"")</f>
        <v/>
      </c>
      <c r="M70" s="108" t="str">
        <f aca="false">IF(K70="نعم",L70-J70,"")</f>
        <v/>
      </c>
      <c r="N70" s="110" t="str">
        <f aca="false">IF(K70="نعم",IF(J70=0,IF(M70=0,0,SIGN(M70)),M70/ABS(J70)),"")</f>
        <v/>
      </c>
      <c r="O70" s="107" t="str">
        <f aca="false">IF(K70="نعم",M70*C70,"")</f>
        <v/>
      </c>
      <c r="P70" s="36" t="str">
        <f aca="false">IF(K70&lt;&gt;"نعم","لم يُجرد",IF(ABS(N70)&lt;='إعدادات المخزون'!$B$7,"مطابق",IF(M70&lt;0,"عجز","زيادة")))</f>
        <v>لم يُجرد</v>
      </c>
      <c r="Q70" s="108" t="n">
        <f aca="false">J70-Z70</f>
        <v>0</v>
      </c>
      <c r="R70" s="108"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8" t="str">
        <f aca="false">IF(AND(K70="نعم",R70&lt;&gt;""),(L70-J70)-(R70-Q70),"")</f>
        <v/>
      </c>
      <c r="T70" s="107" t="str">
        <f aca="false">IF(S70="","",S70*C70)</f>
        <v/>
      </c>
      <c r="U70" s="108" t="n">
        <f aca="false">IF(K70="نعم",L70,J70)</f>
        <v>0</v>
      </c>
      <c r="V70" s="108" t="n">
        <f aca="false">SUMPRODUCT('مصفوفة الاستهلاك'!$BM$2:$BM$172,'متجهات المبيعات'!$G$2:$G$172)/'مواد المخزون'!$D$65/MAX(1,MIN('إعدادات المخزون'!$B$11,'إعدادات المخزون'!$B$4-'إعدادات المخزون'!$B$5+1))</f>
        <v>0</v>
      </c>
      <c r="W70" s="108" t="n">
        <f aca="false">IF(V70&lt;=0,0,ROUNDUP(MAX(0,V70*('إعدادات المخزون'!$B$8+'إعدادات المخزون'!$B$9+'إعدادات المخزون'!$B$10)-MAX(U70,0))/'مواد المخزون'!$F65,0)*'مواد المخزون'!$F65)</f>
        <v>0</v>
      </c>
      <c r="X70" s="107" t="n">
        <f aca="false">IF(AND(K70="نعم",O70&lt;0),-O70+ROW()*0.000000001,0)</f>
        <v>0</v>
      </c>
      <c r="Y70" s="107" t="n">
        <f aca="false">IF(AND(K70="نعم",O70&gt;0),O70+ROW()*0.000000001,0)</f>
        <v>0</v>
      </c>
      <c r="Z70" s="108"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المبيعات'!$E$2:$E$172)/'مواد المخزون'!$D$65</f>
        <v>0</v>
      </c>
      <c r="AA70" s="107" t="n">
        <f aca="false">IF(K70="نعم",O70,0)</f>
        <v>0</v>
      </c>
      <c r="AB70" s="107" t="n">
        <f aca="false">IF(K70="نعم",J70*C70,0)</f>
        <v>0</v>
      </c>
      <c r="AC70" s="107" t="n">
        <f aca="false">IF(T70="",0,T70)</f>
        <v>0</v>
      </c>
    </row>
    <row r="71" customFormat="false" ht="15" hidden="false" customHeight="false" outlineLevel="0" collapsed="false">
      <c r="A71" s="34" t="str">
        <f aca="false">'مواد المخزون'!A66</f>
        <v>فلفل كوبي</v>
      </c>
      <c r="B71" s="36" t="str">
        <f aca="false">'مواد المخزون'!B66</f>
        <v>كجم</v>
      </c>
      <c r="C71" s="107" t="n">
        <f aca="false">'مواد المخزون'!E66</f>
        <v>27</v>
      </c>
      <c r="D71" s="108" t="n">
        <f aca="false">'جرد أول المدة'!D69</f>
        <v>5.185</v>
      </c>
      <c r="E71" s="108" t="n">
        <f aca="false">SUMIFS('مشتريات يومية'!$D$2:$D$4001,'مشتريات يومية'!$B$2:$B$4001,$B$2,'مشتريات يومية'!$C$2:$C$4001,$A71,'مشتريات يومية'!$A$2:$A$4001,"&gt;="&amp;'إعدادات المخزون'!$B$5,'مشتريات يومية'!$A$2:$A$4001,"&lt;="&amp;'إعدادات المخزون'!$B$4)</f>
        <v>69</v>
      </c>
      <c r="F71" s="108"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8"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8" t="n">
        <f aca="false">SUMPRODUCT('مصفوفة الاستهلاك'!$BN$2:$BN$172,'متجهات المبيعات'!$F$2:$F$172)/'مواد المخزون'!$D$66</f>
        <v>0</v>
      </c>
      <c r="I71" s="108"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8" t="n">
        <f aca="false">D71+E71+F71-G71-H71-I71</f>
        <v>74.185</v>
      </c>
      <c r="K71" s="36" t="str">
        <f aca="false">IF(COUNTIFS('جرد فعلي'!$B$2:$B$12001,$B$2,'جرد فعلي'!$C$2:$C$12001,$A71,'جرد فعلي'!$A$2:$A$12001,'إعدادات المخزون'!$B$4)&gt;0,"نعم","لا")</f>
        <v>لا</v>
      </c>
      <c r="L71" s="109" t="str">
        <f aca="false">IF(K71="نعم",SUMIFS('جرد فعلي'!$D$2:$D$12001,'جرد فعلي'!$B$2:$B$12001,$B$2,'جرد فعلي'!$C$2:$C$12001,$A71,'جرد فعلي'!$A$2:$A$12001,'إعدادات المخزون'!$B$4),"")</f>
        <v/>
      </c>
      <c r="M71" s="108" t="str">
        <f aca="false">IF(K71="نعم",L71-J71,"")</f>
        <v/>
      </c>
      <c r="N71" s="110" t="str">
        <f aca="false">IF(K71="نعم",IF(J71=0,IF(M71=0,0,SIGN(M71)),M71/ABS(J71)),"")</f>
        <v/>
      </c>
      <c r="O71" s="107" t="str">
        <f aca="false">IF(K71="نعم",M71*C71,"")</f>
        <v/>
      </c>
      <c r="P71" s="36" t="str">
        <f aca="false">IF(K71&lt;&gt;"نعم","لم يُجرد",IF(ABS(N71)&lt;='إعدادات المخزون'!$B$7,"مطابق",IF(M71&lt;0,"عجز","زيادة")))</f>
        <v>لم يُجرد</v>
      </c>
      <c r="Q71" s="108" t="n">
        <f aca="false">J71-Z71</f>
        <v>74.185</v>
      </c>
      <c r="R71" s="108"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8" t="str">
        <f aca="false">IF(AND(K71="نعم",R71&lt;&gt;""),(L71-J71)-(R71-Q71),"")</f>
        <v/>
      </c>
      <c r="T71" s="107" t="str">
        <f aca="false">IF(S71="","",S71*C71)</f>
        <v/>
      </c>
      <c r="U71" s="108" t="n">
        <f aca="false">IF(K71="نعم",L71,J71)</f>
        <v>74.185</v>
      </c>
      <c r="V71" s="108" t="n">
        <f aca="false">SUMPRODUCT('مصفوفة الاستهلاك'!$BN$2:$BN$172,'متجهات المبيعات'!$G$2:$G$172)/'مواد المخزون'!$D$66/MAX(1,MIN('إعدادات المخزون'!$B$11,'إعدادات المخزون'!$B$4-'إعدادات المخزون'!$B$5+1))</f>
        <v>0</v>
      </c>
      <c r="W71" s="108" t="n">
        <f aca="false">IF(V71&lt;=0,0,ROUNDUP(MAX(0,V71*('إعدادات المخزون'!$B$8+'إعدادات المخزون'!$B$9+'إعدادات المخزون'!$B$10)-MAX(U71,0))/'مواد المخزون'!$F66,0)*'مواد المخزون'!$F66)</f>
        <v>0</v>
      </c>
      <c r="X71" s="107" t="n">
        <f aca="false">IF(AND(K71="نعم",O71&lt;0),-O71+ROW()*0.000000001,0)</f>
        <v>0</v>
      </c>
      <c r="Y71" s="107" t="n">
        <f aca="false">IF(AND(K71="نعم",O71&gt;0),O71+ROW()*0.000000001,0)</f>
        <v>0</v>
      </c>
      <c r="Z71" s="108"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المبيعات'!$E$2:$E$172)/'مواد المخزون'!$D$66</f>
        <v>0</v>
      </c>
      <c r="AA71" s="107" t="n">
        <f aca="false">IF(K71="نعم",O71,0)</f>
        <v>0</v>
      </c>
      <c r="AB71" s="107" t="n">
        <f aca="false">IF(K71="نعم",J71*C71,0)</f>
        <v>0</v>
      </c>
      <c r="AC71" s="107"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7" t="n">
        <f aca="false">'مواد المخزون'!E67</f>
        <v>7</v>
      </c>
      <c r="D72" s="108" t="n">
        <f aca="false">'جرد أول المدة'!D70</f>
        <v>84</v>
      </c>
      <c r="E72" s="108" t="n">
        <f aca="false">SUMIFS('مشتريات يومية'!$D$2:$D$4001,'مشتريات يومية'!$B$2:$B$4001,$B$2,'مشتريات يومية'!$C$2:$C$4001,$A72,'مشتريات يومية'!$A$2:$A$4001,"&gt;="&amp;'إعدادات المخزون'!$B$5,'مشتريات يومية'!$A$2:$A$4001,"&lt;="&amp;'إعدادات المخزون'!$B$4)</f>
        <v>576</v>
      </c>
      <c r="F72" s="108"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8"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8" t="n">
        <f aca="false">SUMPRODUCT('مصفوفة الاستهلاك'!$BO$2:$BO$172,'متجهات المبيعات'!$F$2:$F$172)/'مواد المخزون'!$D$67</f>
        <v>0</v>
      </c>
      <c r="I72" s="108"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8" t="n">
        <f aca="false">D72+E72+F72-G72-H72-I72</f>
        <v>660</v>
      </c>
      <c r="K72" s="36" t="str">
        <f aca="false">IF(COUNTIFS('جرد فعلي'!$B$2:$B$12001,$B$2,'جرد فعلي'!$C$2:$C$12001,$A72,'جرد فعلي'!$A$2:$A$12001,'إعدادات المخزون'!$B$4)&gt;0,"نعم","لا")</f>
        <v>لا</v>
      </c>
      <c r="L72" s="109" t="str">
        <f aca="false">IF(K72="نعم",SUMIFS('جرد فعلي'!$D$2:$D$12001,'جرد فعلي'!$B$2:$B$12001,$B$2,'جرد فعلي'!$C$2:$C$12001,$A72,'جرد فعلي'!$A$2:$A$12001,'إعدادات المخزون'!$B$4),"")</f>
        <v/>
      </c>
      <c r="M72" s="108" t="str">
        <f aca="false">IF(K72="نعم",L72-J72,"")</f>
        <v/>
      </c>
      <c r="N72" s="110" t="str">
        <f aca="false">IF(K72="نعم",IF(J72=0,IF(M72=0,0,SIGN(M72)),M72/ABS(J72)),"")</f>
        <v/>
      </c>
      <c r="O72" s="107" t="str">
        <f aca="false">IF(K72="نعم",M72*C72,"")</f>
        <v/>
      </c>
      <c r="P72" s="36" t="str">
        <f aca="false">IF(K72&lt;&gt;"نعم","لم يُجرد",IF(ABS(N72)&lt;='إعدادات المخزون'!$B$7,"مطابق",IF(M72&lt;0,"عجز","زيادة")))</f>
        <v>لم يُجرد</v>
      </c>
      <c r="Q72" s="108" t="n">
        <f aca="false">J72-Z72</f>
        <v>660</v>
      </c>
      <c r="R72" s="108"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8" t="str">
        <f aca="false">IF(AND(K72="نعم",R72&lt;&gt;""),(L72-J72)-(R72-Q72),"")</f>
        <v/>
      </c>
      <c r="T72" s="107" t="str">
        <f aca="false">IF(S72="","",S72*C72)</f>
        <v/>
      </c>
      <c r="U72" s="108" t="n">
        <f aca="false">IF(K72="نعم",L72,J72)</f>
        <v>660</v>
      </c>
      <c r="V72" s="108" t="n">
        <f aca="false">SUMPRODUCT('مصفوفة الاستهلاك'!$BO$2:$BO$172,'متجهات المبيعات'!$G$2:$G$172)/'مواد المخزون'!$D$67/MAX(1,MIN('إعدادات المخزون'!$B$11,'إعدادات المخزون'!$B$4-'إعدادات المخزون'!$B$5+1))</f>
        <v>0</v>
      </c>
      <c r="W72" s="108" t="n">
        <f aca="false">IF(V72&lt;=0,0,ROUNDUP(MAX(0,V72*('إعدادات المخزون'!$B$8+'إعدادات المخزون'!$B$9+'إعدادات المخزون'!$B$10)-MAX(U72,0))/'مواد المخزون'!$F67,0)*'مواد المخزون'!$F67)</f>
        <v>0</v>
      </c>
      <c r="X72" s="107" t="n">
        <f aca="false">IF(AND(K72="نعم",O72&lt;0),-O72+ROW()*0.000000001,0)</f>
        <v>0</v>
      </c>
      <c r="Y72" s="107" t="n">
        <f aca="false">IF(AND(K72="نعم",O72&gt;0),O72+ROW()*0.000000001,0)</f>
        <v>0</v>
      </c>
      <c r="Z72" s="108"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المبيعات'!$E$2:$E$172)/'مواد المخزون'!$D$67</f>
        <v>0</v>
      </c>
      <c r="AA72" s="107" t="n">
        <f aca="false">IF(K72="نعم",O72,0)</f>
        <v>0</v>
      </c>
      <c r="AB72" s="107" t="n">
        <f aca="false">IF(K72="نعم",J72*C72,0)</f>
        <v>0</v>
      </c>
      <c r="AC72" s="107" t="n">
        <f aca="false">IF(T72="",0,T72)</f>
        <v>0</v>
      </c>
    </row>
    <row r="73" customFormat="false" ht="15" hidden="false" customHeight="false" outlineLevel="0" collapsed="false">
      <c r="A73" s="34" t="str">
        <f aca="false">'مواد المخزون'!A68</f>
        <v>كاتشب ظرف</v>
      </c>
      <c r="B73" s="36" t="str">
        <f aca="false">'مواد المخزون'!B68</f>
        <v>قطعة</v>
      </c>
      <c r="C73" s="107" t="n">
        <f aca="false">'مواد المخزون'!E68</f>
        <v>0.3</v>
      </c>
      <c r="D73" s="108" t="n">
        <f aca="false">'جرد أول المدة'!D71</f>
        <v>534</v>
      </c>
      <c r="E73" s="108" t="n">
        <f aca="false">SUMIFS('مشتريات يومية'!$D$2:$D$4001,'مشتريات يومية'!$B$2:$B$4001,$B$2,'مشتريات يومية'!$C$2:$C$4001,$A73,'مشتريات يومية'!$A$2:$A$4001,"&gt;="&amp;'إعدادات المخزون'!$B$5,'مشتريات يومية'!$A$2:$A$4001,"&lt;="&amp;'إعدادات المخزون'!$B$4)</f>
        <v>5000</v>
      </c>
      <c r="F73" s="108"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8"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8" t="n">
        <f aca="false">SUMPRODUCT('مصفوفة الاستهلاك'!$BP$2:$BP$172,'متجهات المبيعات'!$F$2:$F$172)/'مواد المخزون'!$D$68</f>
        <v>0</v>
      </c>
      <c r="I73" s="108"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8" t="n">
        <f aca="false">D73+E73+F73-G73-H73-I73</f>
        <v>5534</v>
      </c>
      <c r="K73" s="36" t="str">
        <f aca="false">IF(COUNTIFS('جرد فعلي'!$B$2:$B$12001,$B$2,'جرد فعلي'!$C$2:$C$12001,$A73,'جرد فعلي'!$A$2:$A$12001,'إعدادات المخزون'!$B$4)&gt;0,"نعم","لا")</f>
        <v>لا</v>
      </c>
      <c r="L73" s="109" t="str">
        <f aca="false">IF(K73="نعم",SUMIFS('جرد فعلي'!$D$2:$D$12001,'جرد فعلي'!$B$2:$B$12001,$B$2,'جرد فعلي'!$C$2:$C$12001,$A73,'جرد فعلي'!$A$2:$A$12001,'إعدادات المخزون'!$B$4),"")</f>
        <v/>
      </c>
      <c r="M73" s="108" t="str">
        <f aca="false">IF(K73="نعم",L73-J73,"")</f>
        <v/>
      </c>
      <c r="N73" s="110" t="str">
        <f aca="false">IF(K73="نعم",IF(J73=0,IF(M73=0,0,SIGN(M73)),M73/ABS(J73)),"")</f>
        <v/>
      </c>
      <c r="O73" s="107" t="str">
        <f aca="false">IF(K73="نعم",M73*C73,"")</f>
        <v/>
      </c>
      <c r="P73" s="36" t="str">
        <f aca="false">IF(K73&lt;&gt;"نعم","لم يُجرد",IF(ABS(N73)&lt;='إعدادات المخزون'!$B$7,"مطابق",IF(M73&lt;0,"عجز","زيادة")))</f>
        <v>لم يُجرد</v>
      </c>
      <c r="Q73" s="108" t="n">
        <f aca="false">J73-Z73</f>
        <v>5534</v>
      </c>
      <c r="R73" s="108"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8" t="str">
        <f aca="false">IF(AND(K73="نعم",R73&lt;&gt;""),(L73-J73)-(R73-Q73),"")</f>
        <v/>
      </c>
      <c r="T73" s="107" t="str">
        <f aca="false">IF(S73="","",S73*C73)</f>
        <v/>
      </c>
      <c r="U73" s="108" t="n">
        <f aca="false">IF(K73="نعم",L73,J73)</f>
        <v>5534</v>
      </c>
      <c r="V73" s="108" t="n">
        <f aca="false">SUMPRODUCT('مصفوفة الاستهلاك'!$BP$2:$BP$172,'متجهات المبيعات'!$G$2:$G$172)/'مواد المخزون'!$D$68/MAX(1,MIN('إعدادات المخزون'!$B$11,'إعدادات المخزون'!$B$4-'إعدادات المخزون'!$B$5+1))</f>
        <v>0</v>
      </c>
      <c r="W73" s="108" t="n">
        <f aca="false">IF(V73&lt;=0,0,ROUNDUP(MAX(0,V73*('إعدادات المخزون'!$B$8+'إعدادات المخزون'!$B$9+'إعدادات المخزون'!$B$10)-MAX(U73,0))/'مواد المخزون'!$F68,0)*'مواد المخزون'!$F68)</f>
        <v>0</v>
      </c>
      <c r="X73" s="107" t="n">
        <f aca="false">IF(AND(K73="نعم",O73&lt;0),-O73+ROW()*0.000000001,0)</f>
        <v>0</v>
      </c>
      <c r="Y73" s="107" t="n">
        <f aca="false">IF(AND(K73="نعم",O73&gt;0),O73+ROW()*0.000000001,0)</f>
        <v>0</v>
      </c>
      <c r="Z73" s="108"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المبيعات'!$E$2:$E$172)/'مواد المخزون'!$D$68</f>
        <v>0</v>
      </c>
      <c r="AA73" s="107" t="n">
        <f aca="false">IF(K73="نعم",O73,0)</f>
        <v>0</v>
      </c>
      <c r="AB73" s="107" t="n">
        <f aca="false">IF(K73="نعم",J73*C73,0)</f>
        <v>0</v>
      </c>
      <c r="AC73" s="107" t="n">
        <f aca="false">IF(T73="",0,T73)</f>
        <v>0</v>
      </c>
    </row>
    <row r="74" customFormat="false" ht="15" hidden="false" customHeight="false" outlineLevel="0" collapsed="false">
      <c r="A74" s="34" t="str">
        <f aca="false">'مواد المخزون'!A69</f>
        <v>كاستر بودر</v>
      </c>
      <c r="B74" s="36" t="str">
        <f aca="false">'مواد المخزون'!B69</f>
        <v>كجم</v>
      </c>
      <c r="C74" s="107" t="n">
        <f aca="false">'مواد المخزون'!E69</f>
        <v>90</v>
      </c>
      <c r="D74" s="108" t="n">
        <f aca="false">'جرد أول المدة'!D72</f>
        <v>0.7</v>
      </c>
      <c r="E74" s="108" t="n">
        <f aca="false">SUMIFS('مشتريات يومية'!$D$2:$D$4001,'مشتريات يومية'!$B$2:$B$4001,$B$2,'مشتريات يومية'!$C$2:$C$4001,$A74,'مشتريات يومية'!$A$2:$A$4001,"&gt;="&amp;'إعدادات المخزون'!$B$5,'مشتريات يومية'!$A$2:$A$4001,"&lt;="&amp;'إعدادات المخزون'!$B$4)</f>
        <v>14.4</v>
      </c>
      <c r="F74" s="108"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8"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8" t="n">
        <f aca="false">SUMPRODUCT('مصفوفة الاستهلاك'!$BQ$2:$BQ$172,'متجهات المبيعات'!$F$2:$F$172)/'مواد المخزون'!$D$69</f>
        <v>0</v>
      </c>
      <c r="I74" s="108"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8" t="n">
        <f aca="false">D74+E74+F74-G74-H74-I74</f>
        <v>15.1</v>
      </c>
      <c r="K74" s="36" t="str">
        <f aca="false">IF(COUNTIFS('جرد فعلي'!$B$2:$B$12001,$B$2,'جرد فعلي'!$C$2:$C$12001,$A74,'جرد فعلي'!$A$2:$A$12001,'إعدادات المخزون'!$B$4)&gt;0,"نعم","لا")</f>
        <v>لا</v>
      </c>
      <c r="L74" s="109" t="str">
        <f aca="false">IF(K74="نعم",SUMIFS('جرد فعلي'!$D$2:$D$12001,'جرد فعلي'!$B$2:$B$12001,$B$2,'جرد فعلي'!$C$2:$C$12001,$A74,'جرد فعلي'!$A$2:$A$12001,'إعدادات المخزون'!$B$4),"")</f>
        <v/>
      </c>
      <c r="M74" s="108" t="str">
        <f aca="false">IF(K74="نعم",L74-J74,"")</f>
        <v/>
      </c>
      <c r="N74" s="110" t="str">
        <f aca="false">IF(K74="نعم",IF(J74=0,IF(M74=0,0,SIGN(M74)),M74/ABS(J74)),"")</f>
        <v/>
      </c>
      <c r="O74" s="107" t="str">
        <f aca="false">IF(K74="نعم",M74*C74,"")</f>
        <v/>
      </c>
      <c r="P74" s="36" t="str">
        <f aca="false">IF(K74&lt;&gt;"نعم","لم يُجرد",IF(ABS(N74)&lt;='إعدادات المخزون'!$B$7,"مطابق",IF(M74&lt;0,"عجز","زيادة")))</f>
        <v>لم يُجرد</v>
      </c>
      <c r="Q74" s="108" t="n">
        <f aca="false">J74-Z74</f>
        <v>15.1</v>
      </c>
      <c r="R74" s="108"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8" t="str">
        <f aca="false">IF(AND(K74="نعم",R74&lt;&gt;""),(L74-J74)-(R74-Q74),"")</f>
        <v/>
      </c>
      <c r="T74" s="107" t="str">
        <f aca="false">IF(S74="","",S74*C74)</f>
        <v/>
      </c>
      <c r="U74" s="108" t="n">
        <f aca="false">IF(K74="نعم",L74,J74)</f>
        <v>15.1</v>
      </c>
      <c r="V74" s="108" t="n">
        <f aca="false">SUMPRODUCT('مصفوفة الاستهلاك'!$BQ$2:$BQ$172,'متجهات المبيعات'!$G$2:$G$172)/'مواد المخزون'!$D$69/MAX(1,MIN('إعدادات المخزون'!$B$11,'إعدادات المخزون'!$B$4-'إعدادات المخزون'!$B$5+1))</f>
        <v>0</v>
      </c>
      <c r="W74" s="108" t="n">
        <f aca="false">IF(V74&lt;=0,0,ROUNDUP(MAX(0,V74*('إعدادات المخزون'!$B$8+'إعدادات المخزون'!$B$9+'إعدادات المخزون'!$B$10)-MAX(U74,0))/'مواد المخزون'!$F69,0)*'مواد المخزون'!$F69)</f>
        <v>0</v>
      </c>
      <c r="X74" s="107" t="n">
        <f aca="false">IF(AND(K74="نعم",O74&lt;0),-O74+ROW()*0.000000001,0)</f>
        <v>0</v>
      </c>
      <c r="Y74" s="107" t="n">
        <f aca="false">IF(AND(K74="نعم",O74&gt;0),O74+ROW()*0.000000001,0)</f>
        <v>0</v>
      </c>
      <c r="Z74" s="108"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المبيعات'!$E$2:$E$172)/'مواد المخزون'!$D$69</f>
        <v>0</v>
      </c>
      <c r="AA74" s="107" t="n">
        <f aca="false">IF(K74="نعم",O74,0)</f>
        <v>0</v>
      </c>
      <c r="AB74" s="107" t="n">
        <f aca="false">IF(K74="نعم",J74*C74,0)</f>
        <v>0</v>
      </c>
      <c r="AC74" s="107"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7" t="n">
        <f aca="false">'مواد المخزون'!E70</f>
        <v>0.5</v>
      </c>
      <c r="D75" s="108" t="n">
        <f aca="false">'جرد أول المدة'!D73</f>
        <v>387</v>
      </c>
      <c r="E75" s="108" t="n">
        <f aca="false">SUMIFS('مشتريات يومية'!$D$2:$D$4001,'مشتريات يومية'!$B$2:$B$4001,$B$2,'مشتريات يومية'!$C$2:$C$4001,$A75,'مشتريات يومية'!$A$2:$A$4001,"&gt;="&amp;'إعدادات المخزون'!$B$5,'مشتريات يومية'!$A$2:$A$4001,"&lt;="&amp;'إعدادات المخزون'!$B$4)</f>
        <v>600</v>
      </c>
      <c r="F75" s="108"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8"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8" t="n">
        <f aca="false">SUMPRODUCT('مصفوفة الاستهلاك'!$BR$2:$BR$172,'متجهات المبيعات'!$F$2:$F$172)/'مواد المخزون'!$D$70</f>
        <v>0</v>
      </c>
      <c r="I75" s="108"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8" t="n">
        <f aca="false">D75+E75+F75-G75-H75-I75</f>
        <v>987</v>
      </c>
      <c r="K75" s="36" t="str">
        <f aca="false">IF(COUNTIFS('جرد فعلي'!$B$2:$B$12001,$B$2,'جرد فعلي'!$C$2:$C$12001,$A75,'جرد فعلي'!$A$2:$A$12001,'إعدادات المخزون'!$B$4)&gt;0,"نعم","لا")</f>
        <v>لا</v>
      </c>
      <c r="L75" s="109" t="str">
        <f aca="false">IF(K75="نعم",SUMIFS('جرد فعلي'!$D$2:$D$12001,'جرد فعلي'!$B$2:$B$12001,$B$2,'جرد فعلي'!$C$2:$C$12001,$A75,'جرد فعلي'!$A$2:$A$12001,'إعدادات المخزون'!$B$4),"")</f>
        <v/>
      </c>
      <c r="M75" s="108" t="str">
        <f aca="false">IF(K75="نعم",L75-J75,"")</f>
        <v/>
      </c>
      <c r="N75" s="110" t="str">
        <f aca="false">IF(K75="نعم",IF(J75=0,IF(M75=0,0,SIGN(M75)),M75/ABS(J75)),"")</f>
        <v/>
      </c>
      <c r="O75" s="107" t="str">
        <f aca="false">IF(K75="نعم",M75*C75,"")</f>
        <v/>
      </c>
      <c r="P75" s="36" t="str">
        <f aca="false">IF(K75&lt;&gt;"نعم","لم يُجرد",IF(ABS(N75)&lt;='إعدادات المخزون'!$B$7,"مطابق",IF(M75&lt;0,"عجز","زيادة")))</f>
        <v>لم يُجرد</v>
      </c>
      <c r="Q75" s="108" t="n">
        <f aca="false">J75-Z75</f>
        <v>987</v>
      </c>
      <c r="R75" s="108"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8" t="str">
        <f aca="false">IF(AND(K75="نعم",R75&lt;&gt;""),(L75-J75)-(R75-Q75),"")</f>
        <v/>
      </c>
      <c r="T75" s="107" t="str">
        <f aca="false">IF(S75="","",S75*C75)</f>
        <v/>
      </c>
      <c r="U75" s="108" t="n">
        <f aca="false">IF(K75="نعم",L75,J75)</f>
        <v>987</v>
      </c>
      <c r="V75" s="108" t="n">
        <f aca="false">SUMPRODUCT('مصفوفة الاستهلاك'!$BR$2:$BR$172,'متجهات المبيعات'!$G$2:$G$172)/'مواد المخزون'!$D$70/MAX(1,MIN('إعدادات المخزون'!$B$11,'إعدادات المخزون'!$B$4-'إعدادات المخزون'!$B$5+1))</f>
        <v>0</v>
      </c>
      <c r="W75" s="108" t="n">
        <f aca="false">IF(V75&lt;=0,0,ROUNDUP(MAX(0,V75*('إعدادات المخزون'!$B$8+'إعدادات المخزون'!$B$9+'إعدادات المخزون'!$B$10)-MAX(U75,0))/'مواد المخزون'!$F70,0)*'مواد المخزون'!$F70)</f>
        <v>0</v>
      </c>
      <c r="X75" s="107" t="n">
        <f aca="false">IF(AND(K75="نعم",O75&lt;0),-O75+ROW()*0.000000001,0)</f>
        <v>0</v>
      </c>
      <c r="Y75" s="107" t="n">
        <f aca="false">IF(AND(K75="نعم",O75&gt;0),O75+ROW()*0.000000001,0)</f>
        <v>0</v>
      </c>
      <c r="Z75" s="108"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المبيعات'!$E$2:$E$172)/'مواد المخزون'!$D$70</f>
        <v>0</v>
      </c>
      <c r="AA75" s="107" t="n">
        <f aca="false">IF(K75="نعم",O75,0)</f>
        <v>0</v>
      </c>
      <c r="AB75" s="107" t="n">
        <f aca="false">IF(K75="نعم",J75*C75,0)</f>
        <v>0</v>
      </c>
      <c r="AC75" s="107" t="n">
        <f aca="false">IF(T75="",0,T75)</f>
        <v>0</v>
      </c>
    </row>
    <row r="76" customFormat="false" ht="15" hidden="false" customHeight="false" outlineLevel="0" collapsed="false">
      <c r="A76" s="34" t="str">
        <f aca="false">'مواد المخزون'!A71</f>
        <v>كريز احمر</v>
      </c>
      <c r="B76" s="36" t="str">
        <f aca="false">'مواد المخزون'!B71</f>
        <v>كجم</v>
      </c>
      <c r="C76" s="107" t="n">
        <f aca="false">'مواد المخزون'!E71</f>
        <v>420</v>
      </c>
      <c r="D76" s="108" t="n">
        <f aca="false">'جرد أول المدة'!D74</f>
        <v>0.67</v>
      </c>
      <c r="E76" s="108" t="n">
        <f aca="false">SUMIFS('مشتريات يومية'!$D$2:$D$4001,'مشتريات يومية'!$B$2:$B$4001,$B$2,'مشتريات يومية'!$C$2:$C$4001,$A76,'مشتريات يومية'!$A$2:$A$4001,"&gt;="&amp;'إعدادات المخزون'!$B$5,'مشتريات يومية'!$A$2:$A$4001,"&lt;="&amp;'إعدادات المخزون'!$B$4)</f>
        <v>3</v>
      </c>
      <c r="F76" s="108"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8"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8" t="n">
        <f aca="false">SUMPRODUCT('مصفوفة الاستهلاك'!$BS$2:$BS$172,'متجهات المبيعات'!$F$2:$F$172)/'مواد المخزون'!$D$71</f>
        <v>0</v>
      </c>
      <c r="I76" s="108"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8" t="n">
        <f aca="false">D76+E76+F76-G76-H76-I76</f>
        <v>3.67</v>
      </c>
      <c r="K76" s="36" t="str">
        <f aca="false">IF(COUNTIFS('جرد فعلي'!$B$2:$B$12001,$B$2,'جرد فعلي'!$C$2:$C$12001,$A76,'جرد فعلي'!$A$2:$A$12001,'إعدادات المخزون'!$B$4)&gt;0,"نعم","لا")</f>
        <v>لا</v>
      </c>
      <c r="L76" s="109" t="str">
        <f aca="false">IF(K76="نعم",SUMIFS('جرد فعلي'!$D$2:$D$12001,'جرد فعلي'!$B$2:$B$12001,$B$2,'جرد فعلي'!$C$2:$C$12001,$A76,'جرد فعلي'!$A$2:$A$12001,'إعدادات المخزون'!$B$4),"")</f>
        <v/>
      </c>
      <c r="M76" s="108" t="str">
        <f aca="false">IF(K76="نعم",L76-J76,"")</f>
        <v/>
      </c>
      <c r="N76" s="110" t="str">
        <f aca="false">IF(K76="نعم",IF(J76=0,IF(M76=0,0,SIGN(M76)),M76/ABS(J76)),"")</f>
        <v/>
      </c>
      <c r="O76" s="107" t="str">
        <f aca="false">IF(K76="نعم",M76*C76,"")</f>
        <v/>
      </c>
      <c r="P76" s="36" t="str">
        <f aca="false">IF(K76&lt;&gt;"نعم","لم يُجرد",IF(ABS(N76)&lt;='إعدادات المخزون'!$B$7,"مطابق",IF(M76&lt;0,"عجز","زيادة")))</f>
        <v>لم يُجرد</v>
      </c>
      <c r="Q76" s="108" t="n">
        <f aca="false">J76-Z76</f>
        <v>3.67</v>
      </c>
      <c r="R76" s="108"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8" t="str">
        <f aca="false">IF(AND(K76="نعم",R76&lt;&gt;""),(L76-J76)-(R76-Q76),"")</f>
        <v/>
      </c>
      <c r="T76" s="107" t="str">
        <f aca="false">IF(S76="","",S76*C76)</f>
        <v/>
      </c>
      <c r="U76" s="108" t="n">
        <f aca="false">IF(K76="نعم",L76,J76)</f>
        <v>3.67</v>
      </c>
      <c r="V76" s="108" t="n">
        <f aca="false">SUMPRODUCT('مصفوفة الاستهلاك'!$BS$2:$BS$172,'متجهات المبيعات'!$G$2:$G$172)/'مواد المخزون'!$D$71/MAX(1,MIN('إعدادات المخزون'!$B$11,'إعدادات المخزون'!$B$4-'إعدادات المخزون'!$B$5+1))</f>
        <v>0</v>
      </c>
      <c r="W76" s="108" t="n">
        <f aca="false">IF(V76&lt;=0,0,ROUNDUP(MAX(0,V76*('إعدادات المخزون'!$B$8+'إعدادات المخزون'!$B$9+'إعدادات المخزون'!$B$10)-MAX(U76,0))/'مواد المخزون'!$F71,0)*'مواد المخزون'!$F71)</f>
        <v>0</v>
      </c>
      <c r="X76" s="107" t="n">
        <f aca="false">IF(AND(K76="نعم",O76&lt;0),-O76+ROW()*0.000000001,0)</f>
        <v>0</v>
      </c>
      <c r="Y76" s="107" t="n">
        <f aca="false">IF(AND(K76="نعم",O76&gt;0),O76+ROW()*0.000000001,0)</f>
        <v>0</v>
      </c>
      <c r="Z76" s="108"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المبيعات'!$E$2:$E$172)/'مواد المخزون'!$D$71</f>
        <v>0</v>
      </c>
      <c r="AA76" s="107" t="n">
        <f aca="false">IF(K76="نعم",O76,0)</f>
        <v>0</v>
      </c>
      <c r="AB76" s="107" t="n">
        <f aca="false">IF(K76="نعم",J76*C76,0)</f>
        <v>0</v>
      </c>
      <c r="AC76" s="107"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7" t="n">
        <f aca="false">'مواد المخزون'!E72</f>
        <v>2</v>
      </c>
      <c r="D77" s="108" t="n">
        <f aca="false">'جرد أول المدة'!D75</f>
        <v>275</v>
      </c>
      <c r="E77" s="108" t="n">
        <f aca="false">SUMIFS('مشتريات يومية'!$D$2:$D$4001,'مشتريات يومية'!$B$2:$B$4001,$B$2,'مشتريات يومية'!$C$2:$C$4001,$A77,'مشتريات يومية'!$A$2:$A$4001,"&gt;="&amp;'إعدادات المخزون'!$B$5,'مشتريات يومية'!$A$2:$A$4001,"&lt;="&amp;'إعدادات المخزون'!$B$4)</f>
        <v>0</v>
      </c>
      <c r="F77" s="108"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8"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8" t="n">
        <f aca="false">SUMPRODUCT('مصفوفة الاستهلاك'!$BT$2:$BT$172,'متجهات المبيعات'!$F$2:$F$172)/'مواد المخزون'!$D$72</f>
        <v>0</v>
      </c>
      <c r="I77" s="108"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8" t="n">
        <f aca="false">D77+E77+F77-G77-H77-I77</f>
        <v>275</v>
      </c>
      <c r="K77" s="36" t="str">
        <f aca="false">IF(COUNTIFS('جرد فعلي'!$B$2:$B$12001,$B$2,'جرد فعلي'!$C$2:$C$12001,$A77,'جرد فعلي'!$A$2:$A$12001,'إعدادات المخزون'!$B$4)&gt;0,"نعم","لا")</f>
        <v>لا</v>
      </c>
      <c r="L77" s="109" t="str">
        <f aca="false">IF(K77="نعم",SUMIFS('جرد فعلي'!$D$2:$D$12001,'جرد فعلي'!$B$2:$B$12001,$B$2,'جرد فعلي'!$C$2:$C$12001,$A77,'جرد فعلي'!$A$2:$A$12001,'إعدادات المخزون'!$B$4),"")</f>
        <v/>
      </c>
      <c r="M77" s="108" t="str">
        <f aca="false">IF(K77="نعم",L77-J77,"")</f>
        <v/>
      </c>
      <c r="N77" s="110" t="str">
        <f aca="false">IF(K77="نعم",IF(J77=0,IF(M77=0,0,SIGN(M77)),M77/ABS(J77)),"")</f>
        <v/>
      </c>
      <c r="O77" s="107" t="str">
        <f aca="false">IF(K77="نعم",M77*C77,"")</f>
        <v/>
      </c>
      <c r="P77" s="36" t="str">
        <f aca="false">IF(K77&lt;&gt;"نعم","لم يُجرد",IF(ABS(N77)&lt;='إعدادات المخزون'!$B$7,"مطابق",IF(M77&lt;0,"عجز","زيادة")))</f>
        <v>لم يُجرد</v>
      </c>
      <c r="Q77" s="108" t="n">
        <f aca="false">J77-Z77</f>
        <v>275</v>
      </c>
      <c r="R77" s="108"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8" t="str">
        <f aca="false">IF(AND(K77="نعم",R77&lt;&gt;""),(L77-J77)-(R77-Q77),"")</f>
        <v/>
      </c>
      <c r="T77" s="107" t="str">
        <f aca="false">IF(S77="","",S77*C77)</f>
        <v/>
      </c>
      <c r="U77" s="108" t="n">
        <f aca="false">IF(K77="نعم",L77,J77)</f>
        <v>275</v>
      </c>
      <c r="V77" s="108" t="n">
        <f aca="false">SUMPRODUCT('مصفوفة الاستهلاك'!$BT$2:$BT$172,'متجهات المبيعات'!$G$2:$G$172)/'مواد المخزون'!$D$72/MAX(1,MIN('إعدادات المخزون'!$B$11,'إعدادات المخزون'!$B$4-'إعدادات المخزون'!$B$5+1))</f>
        <v>0</v>
      </c>
      <c r="W77" s="108" t="n">
        <f aca="false">IF(V77&lt;=0,0,ROUNDUP(MAX(0,V77*('إعدادات المخزون'!$B$8+'إعدادات المخزون'!$B$9+'إعدادات المخزون'!$B$10)-MAX(U77,0))/'مواد المخزون'!$F72,0)*'مواد المخزون'!$F72)</f>
        <v>0</v>
      </c>
      <c r="X77" s="107" t="n">
        <f aca="false">IF(AND(K77="نعم",O77&lt;0),-O77+ROW()*0.000000001,0)</f>
        <v>0</v>
      </c>
      <c r="Y77" s="107" t="n">
        <f aca="false">IF(AND(K77="نعم",O77&gt;0),O77+ROW()*0.000000001,0)</f>
        <v>0</v>
      </c>
      <c r="Z77" s="108"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المبيعات'!$E$2:$E$172)/'مواد المخزون'!$D$72</f>
        <v>0</v>
      </c>
      <c r="AA77" s="107" t="n">
        <f aca="false">IF(K77="نعم",O77,0)</f>
        <v>0</v>
      </c>
      <c r="AB77" s="107" t="n">
        <f aca="false">IF(K77="نعم",J77*C77,0)</f>
        <v>0</v>
      </c>
      <c r="AC77" s="107" t="n">
        <f aca="false">IF(T77="",0,T77)</f>
        <v>0</v>
      </c>
    </row>
    <row r="78" customFormat="false" ht="15" hidden="false" customHeight="false" outlineLevel="0" collapsed="false">
      <c r="A78" s="34" t="str">
        <f aca="false">'مواد المخزون'!A73</f>
        <v>لبن</v>
      </c>
      <c r="B78" s="36" t="str">
        <f aca="false">'مواد المخزون'!B73</f>
        <v>لتر</v>
      </c>
      <c r="C78" s="107" t="n">
        <f aca="false">'مواد المخزون'!E73</f>
        <v>20.6667</v>
      </c>
      <c r="D78" s="108" t="n">
        <f aca="false">'جرد أول المدة'!D76</f>
        <v>1.735</v>
      </c>
      <c r="E78" s="108" t="n">
        <f aca="false">SUMIFS('مشتريات يومية'!$D$2:$D$4001,'مشتريات يومية'!$B$2:$B$4001,$B$2,'مشتريات يومية'!$C$2:$C$4001,$A78,'مشتريات يومية'!$A$2:$A$4001,"&gt;="&amp;'إعدادات المخزون'!$B$5,'مشتريات يومية'!$A$2:$A$4001,"&lt;="&amp;'إعدادات المخزون'!$B$4)</f>
        <v>120</v>
      </c>
      <c r="F78" s="108"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8"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8" t="n">
        <f aca="false">SUMPRODUCT('مصفوفة الاستهلاك'!$BU$2:$BU$172,'متجهات المبيعات'!$F$2:$F$172)/'مواد المخزون'!$D$73</f>
        <v>0</v>
      </c>
      <c r="I78" s="108"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8" t="n">
        <f aca="false">D78+E78+F78-G78-H78-I78</f>
        <v>121.735</v>
      </c>
      <c r="K78" s="36" t="str">
        <f aca="false">IF(COUNTIFS('جرد فعلي'!$B$2:$B$12001,$B$2,'جرد فعلي'!$C$2:$C$12001,$A78,'جرد فعلي'!$A$2:$A$12001,'إعدادات المخزون'!$B$4)&gt;0,"نعم","لا")</f>
        <v>لا</v>
      </c>
      <c r="L78" s="109" t="str">
        <f aca="false">IF(K78="نعم",SUMIFS('جرد فعلي'!$D$2:$D$12001,'جرد فعلي'!$B$2:$B$12001,$B$2,'جرد فعلي'!$C$2:$C$12001,$A78,'جرد فعلي'!$A$2:$A$12001,'إعدادات المخزون'!$B$4),"")</f>
        <v/>
      </c>
      <c r="M78" s="108" t="str">
        <f aca="false">IF(K78="نعم",L78-J78,"")</f>
        <v/>
      </c>
      <c r="N78" s="110" t="str">
        <f aca="false">IF(K78="نعم",IF(J78=0,IF(M78=0,0,SIGN(M78)),M78/ABS(J78)),"")</f>
        <v/>
      </c>
      <c r="O78" s="107" t="str">
        <f aca="false">IF(K78="نعم",M78*C78,"")</f>
        <v/>
      </c>
      <c r="P78" s="36" t="str">
        <f aca="false">IF(K78&lt;&gt;"نعم","لم يُجرد",IF(ABS(N78)&lt;='إعدادات المخزون'!$B$7,"مطابق",IF(M78&lt;0,"عجز","زيادة")))</f>
        <v>لم يُجرد</v>
      </c>
      <c r="Q78" s="108" t="n">
        <f aca="false">J78-Z78</f>
        <v>121.735</v>
      </c>
      <c r="R78" s="108"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8" t="str">
        <f aca="false">IF(AND(K78="نعم",R78&lt;&gt;""),(L78-J78)-(R78-Q78),"")</f>
        <v/>
      </c>
      <c r="T78" s="107" t="str">
        <f aca="false">IF(S78="","",S78*C78)</f>
        <v/>
      </c>
      <c r="U78" s="108" t="n">
        <f aca="false">IF(K78="نعم",L78,J78)</f>
        <v>121.735</v>
      </c>
      <c r="V78" s="108" t="n">
        <f aca="false">SUMPRODUCT('مصفوفة الاستهلاك'!$BU$2:$BU$172,'متجهات المبيعات'!$G$2:$G$172)/'مواد المخزون'!$D$73/MAX(1,MIN('إعدادات المخزون'!$B$11,'إعدادات المخزون'!$B$4-'إعدادات المخزون'!$B$5+1))</f>
        <v>0</v>
      </c>
      <c r="W78" s="108" t="n">
        <f aca="false">IF(V78&lt;=0,0,ROUNDUP(MAX(0,V78*('إعدادات المخزون'!$B$8+'إعدادات المخزون'!$B$9+'إعدادات المخزون'!$B$10)-MAX(U78,0))/'مواد المخزون'!$F73,0)*'مواد المخزون'!$F73)</f>
        <v>0</v>
      </c>
      <c r="X78" s="107" t="n">
        <f aca="false">IF(AND(K78="نعم",O78&lt;0),-O78+ROW()*0.000000001,0)</f>
        <v>0</v>
      </c>
      <c r="Y78" s="107" t="n">
        <f aca="false">IF(AND(K78="نعم",O78&gt;0),O78+ROW()*0.000000001,0)</f>
        <v>0</v>
      </c>
      <c r="Z78" s="108"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المبيعات'!$E$2:$E$172)/'مواد المخزون'!$D$73</f>
        <v>0</v>
      </c>
      <c r="AA78" s="107" t="n">
        <f aca="false">IF(K78="نعم",O78,0)</f>
        <v>0</v>
      </c>
      <c r="AB78" s="107" t="n">
        <f aca="false">IF(K78="نعم",J78*C78,0)</f>
        <v>0</v>
      </c>
      <c r="AC78" s="107"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7" t="n">
        <f aca="false">'مواد المخزون'!E74</f>
        <v>135</v>
      </c>
      <c r="D79" s="108" t="n">
        <f aca="false">'جرد أول المدة'!D77</f>
        <v>0.3</v>
      </c>
      <c r="E79" s="108" t="n">
        <f aca="false">SUMIFS('مشتريات يومية'!$D$2:$D$4001,'مشتريات يومية'!$B$2:$B$4001,$B$2,'مشتريات يومية'!$C$2:$C$4001,$A79,'مشتريات يومية'!$A$2:$A$4001,"&gt;="&amp;'إعدادات المخزون'!$B$5,'مشتريات يومية'!$A$2:$A$4001,"&lt;="&amp;'إعدادات المخزون'!$B$4)</f>
        <v>1</v>
      </c>
      <c r="F79" s="108"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8"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8" t="n">
        <f aca="false">SUMPRODUCT('مصفوفة الاستهلاك'!$BV$2:$BV$172,'متجهات المبيعات'!$F$2:$F$172)/'مواد المخزون'!$D$74</f>
        <v>0</v>
      </c>
      <c r="I79" s="108"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8" t="n">
        <f aca="false">D79+E79+F79-G79-H79-I79</f>
        <v>1.3</v>
      </c>
      <c r="K79" s="36" t="str">
        <f aca="false">IF(COUNTIFS('جرد فعلي'!$B$2:$B$12001,$B$2,'جرد فعلي'!$C$2:$C$12001,$A79,'جرد فعلي'!$A$2:$A$12001,'إعدادات المخزون'!$B$4)&gt;0,"نعم","لا")</f>
        <v>لا</v>
      </c>
      <c r="L79" s="109" t="str">
        <f aca="false">IF(K79="نعم",SUMIFS('جرد فعلي'!$D$2:$D$12001,'جرد فعلي'!$B$2:$B$12001,$B$2,'جرد فعلي'!$C$2:$C$12001,$A79,'جرد فعلي'!$A$2:$A$12001,'إعدادات المخزون'!$B$4),"")</f>
        <v/>
      </c>
      <c r="M79" s="108" t="str">
        <f aca="false">IF(K79="نعم",L79-J79,"")</f>
        <v/>
      </c>
      <c r="N79" s="110" t="str">
        <f aca="false">IF(K79="نعم",IF(J79=0,IF(M79=0,0,SIGN(M79)),M79/ABS(J79)),"")</f>
        <v/>
      </c>
      <c r="O79" s="107" t="str">
        <f aca="false">IF(K79="نعم",M79*C79,"")</f>
        <v/>
      </c>
      <c r="P79" s="36" t="str">
        <f aca="false">IF(K79&lt;&gt;"نعم","لم يُجرد",IF(ABS(N79)&lt;='إعدادات المخزون'!$B$7,"مطابق",IF(M79&lt;0,"عجز","زيادة")))</f>
        <v>لم يُجرد</v>
      </c>
      <c r="Q79" s="108" t="n">
        <f aca="false">J79-Z79</f>
        <v>1.3</v>
      </c>
      <c r="R79" s="108"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8" t="str">
        <f aca="false">IF(AND(K79="نعم",R79&lt;&gt;""),(L79-J79)-(R79-Q79),"")</f>
        <v/>
      </c>
      <c r="T79" s="107" t="str">
        <f aca="false">IF(S79="","",S79*C79)</f>
        <v/>
      </c>
      <c r="U79" s="108" t="n">
        <f aca="false">IF(K79="نعم",L79,J79)</f>
        <v>1.3</v>
      </c>
      <c r="V79" s="108" t="n">
        <f aca="false">SUMPRODUCT('مصفوفة الاستهلاك'!$BV$2:$BV$172,'متجهات المبيعات'!$G$2:$G$172)/'مواد المخزون'!$D$74/MAX(1,MIN('إعدادات المخزون'!$B$11,'إعدادات المخزون'!$B$4-'إعدادات المخزون'!$B$5+1))</f>
        <v>0</v>
      </c>
      <c r="W79" s="108" t="n">
        <f aca="false">IF(V79&lt;=0,0,ROUNDUP(MAX(0,V79*('إعدادات المخزون'!$B$8+'إعدادات المخزون'!$B$9+'إعدادات المخزون'!$B$10)-MAX(U79,0))/'مواد المخزون'!$F74,0)*'مواد المخزون'!$F74)</f>
        <v>0</v>
      </c>
      <c r="X79" s="107" t="n">
        <f aca="false">IF(AND(K79="نعم",O79&lt;0),-O79+ROW()*0.000000001,0)</f>
        <v>0</v>
      </c>
      <c r="Y79" s="107" t="n">
        <f aca="false">IF(AND(K79="نعم",O79&gt;0),O79+ROW()*0.000000001,0)</f>
        <v>0</v>
      </c>
      <c r="Z79" s="108"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المبيعات'!$E$2:$E$172)/'مواد المخزون'!$D$74</f>
        <v>0</v>
      </c>
      <c r="AA79" s="107" t="n">
        <f aca="false">IF(K79="نعم",O79,0)</f>
        <v>0</v>
      </c>
      <c r="AB79" s="107" t="n">
        <f aca="false">IF(K79="نعم",J79*C79,0)</f>
        <v>0</v>
      </c>
      <c r="AC79" s="107" t="n">
        <f aca="false">IF(T79="",0,T79)</f>
        <v>0</v>
      </c>
    </row>
    <row r="80" customFormat="false" ht="15" hidden="false" customHeight="false" outlineLevel="0" collapsed="false">
      <c r="A80" s="34" t="str">
        <f aca="false">'مواد المخزون'!A75</f>
        <v>مشروم فريش</v>
      </c>
      <c r="B80" s="36" t="str">
        <f aca="false">'مواد المخزون'!B75</f>
        <v>كجم</v>
      </c>
      <c r="C80" s="107" t="n">
        <f aca="false">'مواد المخزون'!E75</f>
        <v>151.2027</v>
      </c>
      <c r="D80" s="108" t="n">
        <f aca="false">'جرد أول المدة'!D78</f>
        <v>0.6</v>
      </c>
      <c r="E80" s="108" t="n">
        <f aca="false">SUMIFS('مشتريات يومية'!$D$2:$D$4001,'مشتريات يومية'!$B$2:$B$4001,$B$2,'مشتريات يومية'!$C$2:$C$4001,$A80,'مشتريات يومية'!$A$2:$A$4001,"&gt;="&amp;'إعدادات المخزون'!$B$5,'مشتريات يومية'!$A$2:$A$4001,"&lt;="&amp;'إعدادات المخزون'!$B$4)</f>
        <v>2</v>
      </c>
      <c r="F80" s="108"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8"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8" t="n">
        <f aca="false">SUMPRODUCT('مصفوفة الاستهلاك'!$BW$2:$BW$172,'متجهات المبيعات'!$F$2:$F$172)/'مواد المخزون'!$D$75</f>
        <v>0</v>
      </c>
      <c r="I80" s="108"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8" t="n">
        <f aca="false">D80+E80+F80-G80-H80-I80</f>
        <v>2.6</v>
      </c>
      <c r="K80" s="36" t="str">
        <f aca="false">IF(COUNTIFS('جرد فعلي'!$B$2:$B$12001,$B$2,'جرد فعلي'!$C$2:$C$12001,$A80,'جرد فعلي'!$A$2:$A$12001,'إعدادات المخزون'!$B$4)&gt;0,"نعم","لا")</f>
        <v>لا</v>
      </c>
      <c r="L80" s="109" t="str">
        <f aca="false">IF(K80="نعم",SUMIFS('جرد فعلي'!$D$2:$D$12001,'جرد فعلي'!$B$2:$B$12001,$B$2,'جرد فعلي'!$C$2:$C$12001,$A80,'جرد فعلي'!$A$2:$A$12001,'إعدادات المخزون'!$B$4),"")</f>
        <v/>
      </c>
      <c r="M80" s="108" t="str">
        <f aca="false">IF(K80="نعم",L80-J80,"")</f>
        <v/>
      </c>
      <c r="N80" s="110" t="str">
        <f aca="false">IF(K80="نعم",IF(J80=0,IF(M80=0,0,SIGN(M80)),M80/ABS(J80)),"")</f>
        <v/>
      </c>
      <c r="O80" s="107" t="str">
        <f aca="false">IF(K80="نعم",M80*C80,"")</f>
        <v/>
      </c>
      <c r="P80" s="36" t="str">
        <f aca="false">IF(K80&lt;&gt;"نعم","لم يُجرد",IF(ABS(N80)&lt;='إعدادات المخزون'!$B$7,"مطابق",IF(M80&lt;0,"عجز","زيادة")))</f>
        <v>لم يُجرد</v>
      </c>
      <c r="Q80" s="108" t="n">
        <f aca="false">J80-Z80</f>
        <v>2.6</v>
      </c>
      <c r="R80" s="108"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8" t="str">
        <f aca="false">IF(AND(K80="نعم",R80&lt;&gt;""),(L80-J80)-(R80-Q80),"")</f>
        <v/>
      </c>
      <c r="T80" s="107" t="str">
        <f aca="false">IF(S80="","",S80*C80)</f>
        <v/>
      </c>
      <c r="U80" s="108" t="n">
        <f aca="false">IF(K80="نعم",L80,J80)</f>
        <v>2.6</v>
      </c>
      <c r="V80" s="108" t="n">
        <f aca="false">SUMPRODUCT('مصفوفة الاستهلاك'!$BW$2:$BW$172,'متجهات المبيعات'!$G$2:$G$172)/'مواد المخزون'!$D$75/MAX(1,MIN('إعدادات المخزون'!$B$11,'إعدادات المخزون'!$B$4-'إعدادات المخزون'!$B$5+1))</f>
        <v>0</v>
      </c>
      <c r="W80" s="108" t="n">
        <f aca="false">IF(V80&lt;=0,0,ROUNDUP(MAX(0,V80*('إعدادات المخزون'!$B$8+'إعدادات المخزون'!$B$9+'إعدادات المخزون'!$B$10)-MAX(U80,0))/'مواد المخزون'!$F75,0)*'مواد المخزون'!$F75)</f>
        <v>0</v>
      </c>
      <c r="X80" s="107" t="n">
        <f aca="false">IF(AND(K80="نعم",O80&lt;0),-O80+ROW()*0.000000001,0)</f>
        <v>0</v>
      </c>
      <c r="Y80" s="107" t="n">
        <f aca="false">IF(AND(K80="نعم",O80&gt;0),O80+ROW()*0.000000001,0)</f>
        <v>0</v>
      </c>
      <c r="Z80" s="108"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المبيعات'!$E$2:$E$172)/'مواد المخزون'!$D$75</f>
        <v>0</v>
      </c>
      <c r="AA80" s="107" t="n">
        <f aca="false">IF(K80="نعم",O80,0)</f>
        <v>0</v>
      </c>
      <c r="AB80" s="107" t="n">
        <f aca="false">IF(K80="نعم",J80*C80,0)</f>
        <v>0</v>
      </c>
      <c r="AC80" s="107" t="n">
        <f aca="false">IF(T80="",0,T80)</f>
        <v>0</v>
      </c>
    </row>
    <row r="81" customFormat="false" ht="15" hidden="false" customHeight="false" outlineLevel="0" collapsed="false">
      <c r="A81" s="34" t="str">
        <f aca="false">'مواد المخزون'!A76</f>
        <v>مكرونة خام</v>
      </c>
      <c r="B81" s="36" t="str">
        <f aca="false">'مواد المخزون'!B76</f>
        <v>كجم</v>
      </c>
      <c r="C81" s="107" t="n">
        <f aca="false">'مواد المخزون'!E76</f>
        <v>24</v>
      </c>
      <c r="D81" s="108" t="n">
        <f aca="false">'جرد أول المدة'!D79</f>
        <v>8.8</v>
      </c>
      <c r="E81" s="108" t="n">
        <f aca="false">SUMIFS('مشتريات يومية'!$D$2:$D$4001,'مشتريات يومية'!$B$2:$B$4001,$B$2,'مشتريات يومية'!$C$2:$C$4001,$A81,'مشتريات يومية'!$A$2:$A$4001,"&gt;="&amp;'إعدادات المخزون'!$B$5,'مشتريات يومية'!$A$2:$A$4001,"&lt;="&amp;'إعدادات المخزون'!$B$4)</f>
        <v>10</v>
      </c>
      <c r="F81" s="108"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8"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8" t="n">
        <f aca="false">SUMPRODUCT('مصفوفة الاستهلاك'!$BX$2:$BX$172,'متجهات المبيعات'!$F$2:$F$172)/'مواد المخزون'!$D$76</f>
        <v>0</v>
      </c>
      <c r="I81" s="108"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8" t="n">
        <f aca="false">D81+E81+F81-G81-H81-I81</f>
        <v>18.8</v>
      </c>
      <c r="K81" s="36" t="str">
        <f aca="false">IF(COUNTIFS('جرد فعلي'!$B$2:$B$12001,$B$2,'جرد فعلي'!$C$2:$C$12001,$A81,'جرد فعلي'!$A$2:$A$12001,'إعدادات المخزون'!$B$4)&gt;0,"نعم","لا")</f>
        <v>لا</v>
      </c>
      <c r="L81" s="109" t="str">
        <f aca="false">IF(K81="نعم",SUMIFS('جرد فعلي'!$D$2:$D$12001,'جرد فعلي'!$B$2:$B$12001,$B$2,'جرد فعلي'!$C$2:$C$12001,$A81,'جرد فعلي'!$A$2:$A$12001,'إعدادات المخزون'!$B$4),"")</f>
        <v/>
      </c>
      <c r="M81" s="108" t="str">
        <f aca="false">IF(K81="نعم",L81-J81,"")</f>
        <v/>
      </c>
      <c r="N81" s="110" t="str">
        <f aca="false">IF(K81="نعم",IF(J81=0,IF(M81=0,0,SIGN(M81)),M81/ABS(J81)),"")</f>
        <v/>
      </c>
      <c r="O81" s="107" t="str">
        <f aca="false">IF(K81="نعم",M81*C81,"")</f>
        <v/>
      </c>
      <c r="P81" s="36" t="str">
        <f aca="false">IF(K81&lt;&gt;"نعم","لم يُجرد",IF(ABS(N81)&lt;='إعدادات المخزون'!$B$7,"مطابق",IF(M81&lt;0,"عجز","زيادة")))</f>
        <v>لم يُجرد</v>
      </c>
      <c r="Q81" s="108" t="n">
        <f aca="false">J81-Z81</f>
        <v>18.8</v>
      </c>
      <c r="R81" s="108"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8" t="str">
        <f aca="false">IF(AND(K81="نعم",R81&lt;&gt;""),(L81-J81)-(R81-Q81),"")</f>
        <v/>
      </c>
      <c r="T81" s="107" t="str">
        <f aca="false">IF(S81="","",S81*C81)</f>
        <v/>
      </c>
      <c r="U81" s="108" t="n">
        <f aca="false">IF(K81="نعم",L81,J81)</f>
        <v>18.8</v>
      </c>
      <c r="V81" s="108" t="n">
        <f aca="false">SUMPRODUCT('مصفوفة الاستهلاك'!$BX$2:$BX$172,'متجهات المبيعات'!$G$2:$G$172)/'مواد المخزون'!$D$76/MAX(1,MIN('إعدادات المخزون'!$B$11,'إعدادات المخزون'!$B$4-'إعدادات المخزون'!$B$5+1))</f>
        <v>0</v>
      </c>
      <c r="W81" s="108" t="n">
        <f aca="false">IF(V81&lt;=0,0,ROUNDUP(MAX(0,V81*('إعدادات المخزون'!$B$8+'إعدادات المخزون'!$B$9+'إعدادات المخزون'!$B$10)-MAX(U81,0))/'مواد المخزون'!$F76,0)*'مواد المخزون'!$F76)</f>
        <v>0</v>
      </c>
      <c r="X81" s="107" t="n">
        <f aca="false">IF(AND(K81="نعم",O81&lt;0),-O81+ROW()*0.000000001,0)</f>
        <v>0</v>
      </c>
      <c r="Y81" s="107" t="n">
        <f aca="false">IF(AND(K81="نعم",O81&gt;0),O81+ROW()*0.000000001,0)</f>
        <v>0</v>
      </c>
      <c r="Z81" s="108"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المبيعات'!$E$2:$E$172)/'مواد المخزون'!$D$76</f>
        <v>0</v>
      </c>
      <c r="AA81" s="107" t="n">
        <f aca="false">IF(K81="نعم",O81,0)</f>
        <v>0</v>
      </c>
      <c r="AB81" s="107" t="n">
        <f aca="false">IF(K81="نعم",J81*C81,0)</f>
        <v>0</v>
      </c>
      <c r="AC81" s="107"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7" t="n">
        <f aca="false">'مواد المخزون'!E77</f>
        <v>610</v>
      </c>
      <c r="D82" s="108" t="n">
        <f aca="false">'جرد أول المدة'!D80</f>
        <v>1</v>
      </c>
      <c r="E82" s="108" t="n">
        <f aca="false">SUMIFS('مشتريات يومية'!$D$2:$D$4001,'مشتريات يومية'!$B$2:$B$4001,$B$2,'مشتريات يومية'!$C$2:$C$4001,$A82,'مشتريات يومية'!$A$2:$A$4001,"&gt;="&amp;'إعدادات المخزون'!$B$5,'مشتريات يومية'!$A$2:$A$4001,"&lt;="&amp;'إعدادات المخزون'!$B$4)</f>
        <v>1</v>
      </c>
      <c r="F82" s="108"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8"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8" t="n">
        <f aca="false">SUMPRODUCT('مصفوفة الاستهلاك'!$BY$2:$BY$172,'متجهات المبيعات'!$F$2:$F$172)/'مواد المخزون'!$D$77</f>
        <v>0</v>
      </c>
      <c r="I82" s="108"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8" t="n">
        <f aca="false">D82+E82+F82-G82-H82-I82</f>
        <v>2</v>
      </c>
      <c r="K82" s="36" t="str">
        <f aca="false">IF(COUNTIFS('جرد فعلي'!$B$2:$B$12001,$B$2,'جرد فعلي'!$C$2:$C$12001,$A82,'جرد فعلي'!$A$2:$A$12001,'إعدادات المخزون'!$B$4)&gt;0,"نعم","لا")</f>
        <v>لا</v>
      </c>
      <c r="L82" s="109" t="str">
        <f aca="false">IF(K82="نعم",SUMIFS('جرد فعلي'!$D$2:$D$12001,'جرد فعلي'!$B$2:$B$12001,$B$2,'جرد فعلي'!$C$2:$C$12001,$A82,'جرد فعلي'!$A$2:$A$12001,'إعدادات المخزون'!$B$4),"")</f>
        <v/>
      </c>
      <c r="M82" s="108" t="str">
        <f aca="false">IF(K82="نعم",L82-J82,"")</f>
        <v/>
      </c>
      <c r="N82" s="110" t="str">
        <f aca="false">IF(K82="نعم",IF(J82=0,IF(M82=0,0,SIGN(M82)),M82/ABS(J82)),"")</f>
        <v/>
      </c>
      <c r="O82" s="107" t="str">
        <f aca="false">IF(K82="نعم",M82*C82,"")</f>
        <v/>
      </c>
      <c r="P82" s="36" t="str">
        <f aca="false">IF(K82&lt;&gt;"نعم","لم يُجرد",IF(ABS(N82)&lt;='إعدادات المخزون'!$B$7,"مطابق",IF(M82&lt;0,"عجز","زيادة")))</f>
        <v>لم يُجرد</v>
      </c>
      <c r="Q82" s="108" t="n">
        <f aca="false">J82-Z82</f>
        <v>2</v>
      </c>
      <c r="R82" s="108"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8" t="str">
        <f aca="false">IF(AND(K82="نعم",R82&lt;&gt;""),(L82-J82)-(R82-Q82),"")</f>
        <v/>
      </c>
      <c r="T82" s="107" t="str">
        <f aca="false">IF(S82="","",S82*C82)</f>
        <v/>
      </c>
      <c r="U82" s="108" t="n">
        <f aca="false">IF(K82="نعم",L82,J82)</f>
        <v>2</v>
      </c>
      <c r="V82" s="108" t="n">
        <f aca="false">SUMPRODUCT('مصفوفة الاستهلاك'!$BY$2:$BY$172,'متجهات المبيعات'!$G$2:$G$172)/'مواد المخزون'!$D$77/MAX(1,MIN('إعدادات المخزون'!$B$11,'إعدادات المخزون'!$B$4-'إعدادات المخزون'!$B$5+1))</f>
        <v>0</v>
      </c>
      <c r="W82" s="108" t="n">
        <f aca="false">IF(V82&lt;=0,0,ROUNDUP(MAX(0,V82*('إعدادات المخزون'!$B$8+'إعدادات المخزون'!$B$9+'إعدادات المخزون'!$B$10)-MAX(U82,0))/'مواد المخزون'!$F77,0)*'مواد المخزون'!$F77)</f>
        <v>0</v>
      </c>
      <c r="X82" s="107" t="n">
        <f aca="false">IF(AND(K82="نعم",O82&lt;0),-O82+ROW()*0.000000001,0)</f>
        <v>0</v>
      </c>
      <c r="Y82" s="107" t="n">
        <f aca="false">IF(AND(K82="نعم",O82&gt;0),O82+ROW()*0.000000001,0)</f>
        <v>0</v>
      </c>
      <c r="Z82" s="108"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المبيعات'!$E$2:$E$172)/'مواد المخزون'!$D$77</f>
        <v>0</v>
      </c>
      <c r="AA82" s="107" t="n">
        <f aca="false">IF(K82="نعم",O82,0)</f>
        <v>0</v>
      </c>
      <c r="AB82" s="107" t="n">
        <f aca="false">IF(K82="نعم",J82*C82,0)</f>
        <v>0</v>
      </c>
      <c r="AC82" s="107"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7" t="n">
        <f aca="false">'مواد المخزون'!E78</f>
        <v>45.8125</v>
      </c>
      <c r="D83" s="108" t="n">
        <f aca="false">'جرد أول المدة'!D81</f>
        <v>6.143</v>
      </c>
      <c r="E83" s="108" t="n">
        <f aca="false">SUMIFS('مشتريات يومية'!$D$2:$D$4001,'مشتريات يومية'!$B$2:$B$4001,$B$2,'مشتريات يومية'!$C$2:$C$4001,$A83,'مشتريات يومية'!$A$2:$A$4001,"&gt;="&amp;'إعدادات المخزون'!$B$5,'مشتريات يومية'!$A$2:$A$4001,"&lt;="&amp;'إعدادات المخزون'!$B$4)</f>
        <v>1</v>
      </c>
      <c r="F83" s="108"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8"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8" t="n">
        <f aca="false">SUMPRODUCT('مصفوفة الاستهلاك'!$BZ$2:$BZ$172,'متجهات المبيعات'!$F$2:$F$172)/'مواد المخزون'!$D$78</f>
        <v>0</v>
      </c>
      <c r="I83" s="108"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8" t="n">
        <f aca="false">D83+E83+F83-G83-H83-I83</f>
        <v>7.143</v>
      </c>
      <c r="K83" s="36" t="str">
        <f aca="false">IF(COUNTIFS('جرد فعلي'!$B$2:$B$12001,$B$2,'جرد فعلي'!$C$2:$C$12001,$A83,'جرد فعلي'!$A$2:$A$12001,'إعدادات المخزون'!$B$4)&gt;0,"نعم","لا")</f>
        <v>لا</v>
      </c>
      <c r="L83" s="109" t="str">
        <f aca="false">IF(K83="نعم",SUMIFS('جرد فعلي'!$D$2:$D$12001,'جرد فعلي'!$B$2:$B$12001,$B$2,'جرد فعلي'!$C$2:$C$12001,$A83,'جرد فعلي'!$A$2:$A$12001,'إعدادات المخزون'!$B$4),"")</f>
        <v/>
      </c>
      <c r="M83" s="108" t="str">
        <f aca="false">IF(K83="نعم",L83-J83,"")</f>
        <v/>
      </c>
      <c r="N83" s="110" t="str">
        <f aca="false">IF(K83="نعم",IF(J83=0,IF(M83=0,0,SIGN(M83)),M83/ABS(J83)),"")</f>
        <v/>
      </c>
      <c r="O83" s="107" t="str">
        <f aca="false">IF(K83="نعم",M83*C83,"")</f>
        <v/>
      </c>
      <c r="P83" s="36" t="str">
        <f aca="false">IF(K83&lt;&gt;"نعم","لم يُجرد",IF(ABS(N83)&lt;='إعدادات المخزون'!$B$7,"مطابق",IF(M83&lt;0,"عجز","زيادة")))</f>
        <v>لم يُجرد</v>
      </c>
      <c r="Q83" s="108" t="n">
        <f aca="false">J83-Z83</f>
        <v>7.143</v>
      </c>
      <c r="R83" s="108"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8" t="str">
        <f aca="false">IF(AND(K83="نعم",R83&lt;&gt;""),(L83-J83)-(R83-Q83),"")</f>
        <v/>
      </c>
      <c r="T83" s="107" t="str">
        <f aca="false">IF(S83="","",S83*C83)</f>
        <v/>
      </c>
      <c r="U83" s="108" t="n">
        <f aca="false">IF(K83="نعم",L83,J83)</f>
        <v>7.143</v>
      </c>
      <c r="V83" s="108" t="n">
        <f aca="false">SUMPRODUCT('مصفوفة الاستهلاك'!$BZ$2:$BZ$172,'متجهات المبيعات'!$G$2:$G$172)/'مواد المخزون'!$D$78/MAX(1,MIN('إعدادات المخزون'!$B$11,'إعدادات المخزون'!$B$4-'إعدادات المخزون'!$B$5+1))</f>
        <v>0</v>
      </c>
      <c r="W83" s="108" t="n">
        <f aca="false">IF(V83&lt;=0,0,ROUNDUP(MAX(0,V83*('إعدادات المخزون'!$B$8+'إعدادات المخزون'!$B$9+'إعدادات المخزون'!$B$10)-MAX(U83,0))/'مواد المخزون'!$F78,0)*'مواد المخزون'!$F78)</f>
        <v>0</v>
      </c>
      <c r="X83" s="107" t="n">
        <f aca="false">IF(AND(K83="نعم",O83&lt;0),-O83+ROW()*0.000000001,0)</f>
        <v>0</v>
      </c>
      <c r="Y83" s="107" t="n">
        <f aca="false">IF(AND(K83="نعم",O83&gt;0),O83+ROW()*0.000000001,0)</f>
        <v>0</v>
      </c>
      <c r="Z83" s="108"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المبيعات'!$E$2:$E$172)/'مواد المخزون'!$D$78</f>
        <v>0</v>
      </c>
      <c r="AA83" s="107" t="n">
        <f aca="false">IF(K83="نعم",O83,0)</f>
        <v>0</v>
      </c>
      <c r="AB83" s="107" t="n">
        <f aca="false">IF(K83="نعم",J83*C83,0)</f>
        <v>0</v>
      </c>
      <c r="AC83" s="107"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7" t="n">
        <f aca="false">'مواد المخزون'!E79</f>
        <v>200</v>
      </c>
      <c r="D84" s="108" t="n">
        <f aca="false">'جرد أول المدة'!D82</f>
        <v>7.55</v>
      </c>
      <c r="E84" s="108" t="n">
        <f aca="false">SUMIFS('مشتريات يومية'!$D$2:$D$4001,'مشتريات يومية'!$B$2:$B$4001,$B$2,'مشتريات يومية'!$C$2:$C$4001,$A84,'مشتريات يومية'!$A$2:$A$4001,"&gt;="&amp;'إعدادات المخزون'!$B$5,'مشتريات يومية'!$A$2:$A$4001,"&lt;="&amp;'إعدادات المخزون'!$B$4)</f>
        <v>0</v>
      </c>
      <c r="F84" s="108"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8"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8" t="n">
        <f aca="false">SUMPRODUCT('مصفوفة الاستهلاك'!$CA$2:$CA$172,'متجهات المبيعات'!$F$2:$F$172)/'مواد المخزون'!$D$79</f>
        <v>0</v>
      </c>
      <c r="I84" s="108"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8" t="n">
        <f aca="false">D84+E84+F84-G84-H84-I84</f>
        <v>7.55</v>
      </c>
      <c r="K84" s="36" t="str">
        <f aca="false">IF(COUNTIFS('جرد فعلي'!$B$2:$B$12001,$B$2,'جرد فعلي'!$C$2:$C$12001,$A84,'جرد فعلي'!$A$2:$A$12001,'إعدادات المخزون'!$B$4)&gt;0,"نعم","لا")</f>
        <v>لا</v>
      </c>
      <c r="L84" s="109" t="str">
        <f aca="false">IF(K84="نعم",SUMIFS('جرد فعلي'!$D$2:$D$12001,'جرد فعلي'!$B$2:$B$12001,$B$2,'جرد فعلي'!$C$2:$C$12001,$A84,'جرد فعلي'!$A$2:$A$12001,'إعدادات المخزون'!$B$4),"")</f>
        <v/>
      </c>
      <c r="M84" s="108" t="str">
        <f aca="false">IF(K84="نعم",L84-J84,"")</f>
        <v/>
      </c>
      <c r="N84" s="110" t="str">
        <f aca="false">IF(K84="نعم",IF(J84=0,IF(M84=0,0,SIGN(M84)),M84/ABS(J84)),"")</f>
        <v/>
      </c>
      <c r="O84" s="107" t="str">
        <f aca="false">IF(K84="نعم",M84*C84,"")</f>
        <v/>
      </c>
      <c r="P84" s="36" t="str">
        <f aca="false">IF(K84&lt;&gt;"نعم","لم يُجرد",IF(ABS(N84)&lt;='إعدادات المخزون'!$B$7,"مطابق",IF(M84&lt;0,"عجز","زيادة")))</f>
        <v>لم يُجرد</v>
      </c>
      <c r="Q84" s="108" t="n">
        <f aca="false">J84-Z84</f>
        <v>7.55</v>
      </c>
      <c r="R84" s="108"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8" t="str">
        <f aca="false">IF(AND(K84="نعم",R84&lt;&gt;""),(L84-J84)-(R84-Q84),"")</f>
        <v/>
      </c>
      <c r="T84" s="107" t="str">
        <f aca="false">IF(S84="","",S84*C84)</f>
        <v/>
      </c>
      <c r="U84" s="108" t="n">
        <f aca="false">IF(K84="نعم",L84,J84)</f>
        <v>7.55</v>
      </c>
      <c r="V84" s="108" t="n">
        <f aca="false">SUMPRODUCT('مصفوفة الاستهلاك'!$CA$2:$CA$172,'متجهات المبيعات'!$G$2:$G$172)/'مواد المخزون'!$D$79/MAX(1,MIN('إعدادات المخزون'!$B$11,'إعدادات المخزون'!$B$4-'إعدادات المخزون'!$B$5+1))</f>
        <v>0</v>
      </c>
      <c r="W84" s="108" t="n">
        <f aca="false">IF(V84&lt;=0,0,ROUNDUP(MAX(0,V84*('إعدادات المخزون'!$B$8+'إعدادات المخزون'!$B$9+'إعدادات المخزون'!$B$10)-MAX(U84,0))/'مواد المخزون'!$F79,0)*'مواد المخزون'!$F79)</f>
        <v>0</v>
      </c>
      <c r="X84" s="107" t="n">
        <f aca="false">IF(AND(K84="نعم",O84&lt;0),-O84+ROW()*0.000000001,0)</f>
        <v>0</v>
      </c>
      <c r="Y84" s="107" t="n">
        <f aca="false">IF(AND(K84="نعم",O84&gt;0),O84+ROW()*0.000000001,0)</f>
        <v>0</v>
      </c>
      <c r="Z84" s="108"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المبيعات'!$E$2:$E$172)/'مواد المخزون'!$D$79</f>
        <v>0</v>
      </c>
      <c r="AA84" s="107" t="n">
        <f aca="false">IF(K84="نعم",O84,0)</f>
        <v>0</v>
      </c>
      <c r="AB84" s="107" t="n">
        <f aca="false">IF(K84="نعم",J84*C84,0)</f>
        <v>0</v>
      </c>
      <c r="AC84" s="107"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7" t="n">
        <f aca="false">'مواد المخزون'!E80</f>
        <v>4.47</v>
      </c>
      <c r="D85" s="108" t="n">
        <f aca="false">'جرد أول المدة'!D83</f>
        <v>1800</v>
      </c>
      <c r="E85" s="108" t="n">
        <f aca="false">SUMIFS('مشتريات يومية'!$D$2:$D$4001,'مشتريات يومية'!$B$2:$B$4001,$B$2,'مشتريات يومية'!$C$2:$C$4001,$A85,'مشتريات يومية'!$A$2:$A$4001,"&gt;="&amp;'إعدادات المخزون'!$B$5,'مشتريات يومية'!$A$2:$A$4001,"&lt;="&amp;'إعدادات المخزون'!$B$4)</f>
        <v>0</v>
      </c>
      <c r="F85" s="108"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8"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8" t="n">
        <f aca="false">SUMPRODUCT('مصفوفة الاستهلاك'!$CB$2:$CB$172,'متجهات المبيعات'!$F$2:$F$172)/'مواد المخزون'!$D$80</f>
        <v>0</v>
      </c>
      <c r="I85" s="108"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8" t="n">
        <f aca="false">D85+E85+F85-G85-H85-I85</f>
        <v>1800</v>
      </c>
      <c r="K85" s="36" t="str">
        <f aca="false">IF(COUNTIFS('جرد فعلي'!$B$2:$B$12001,$B$2,'جرد فعلي'!$C$2:$C$12001,$A85,'جرد فعلي'!$A$2:$A$12001,'إعدادات المخزون'!$B$4)&gt;0,"نعم","لا")</f>
        <v>لا</v>
      </c>
      <c r="L85" s="109" t="str">
        <f aca="false">IF(K85="نعم",SUMIFS('جرد فعلي'!$D$2:$D$12001,'جرد فعلي'!$B$2:$B$12001,$B$2,'جرد فعلي'!$C$2:$C$12001,$A85,'جرد فعلي'!$A$2:$A$12001,'إعدادات المخزون'!$B$4),"")</f>
        <v/>
      </c>
      <c r="M85" s="108" t="str">
        <f aca="false">IF(K85="نعم",L85-J85,"")</f>
        <v/>
      </c>
      <c r="N85" s="110" t="str">
        <f aca="false">IF(K85="نعم",IF(J85=0,IF(M85=0,0,SIGN(M85)),M85/ABS(J85)),"")</f>
        <v/>
      </c>
      <c r="O85" s="107" t="str">
        <f aca="false">IF(K85="نعم",M85*C85,"")</f>
        <v/>
      </c>
      <c r="P85" s="36" t="str">
        <f aca="false">IF(K85&lt;&gt;"نعم","لم يُجرد",IF(ABS(N85)&lt;='إعدادات المخزون'!$B$7,"مطابق",IF(M85&lt;0,"عجز","زيادة")))</f>
        <v>لم يُجرد</v>
      </c>
      <c r="Q85" s="108" t="n">
        <f aca="false">J85-Z85</f>
        <v>1800</v>
      </c>
      <c r="R85" s="108"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8" t="str">
        <f aca="false">IF(AND(K85="نعم",R85&lt;&gt;""),(L85-J85)-(R85-Q85),"")</f>
        <v/>
      </c>
      <c r="T85" s="107" t="str">
        <f aca="false">IF(S85="","",S85*C85)</f>
        <v/>
      </c>
      <c r="U85" s="108" t="n">
        <f aca="false">IF(K85="نعم",L85,J85)</f>
        <v>1800</v>
      </c>
      <c r="V85" s="108" t="n">
        <f aca="false">SUMPRODUCT('مصفوفة الاستهلاك'!$CB$2:$CB$172,'متجهات المبيعات'!$G$2:$G$172)/'مواد المخزون'!$D$80/MAX(1,MIN('إعدادات المخزون'!$B$11,'إعدادات المخزون'!$B$4-'إعدادات المخزون'!$B$5+1))</f>
        <v>0</v>
      </c>
      <c r="W85" s="108" t="n">
        <f aca="false">IF(V85&lt;=0,0,ROUNDUP(MAX(0,V85*('إعدادات المخزون'!$B$8+'إعدادات المخزون'!$B$9+'إعدادات المخزون'!$B$10)-MAX(U85,0))/'مواد المخزون'!$F80,0)*'مواد المخزون'!$F80)</f>
        <v>0</v>
      </c>
      <c r="X85" s="107" t="n">
        <f aca="false">IF(AND(K85="نعم",O85&lt;0),-O85+ROW()*0.000000001,0)</f>
        <v>0</v>
      </c>
      <c r="Y85" s="107" t="n">
        <f aca="false">IF(AND(K85="نعم",O85&gt;0),O85+ROW()*0.000000001,0)</f>
        <v>0</v>
      </c>
      <c r="Z85" s="108"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المبيعات'!$E$2:$E$172)/'مواد المخزون'!$D$80</f>
        <v>0</v>
      </c>
      <c r="AA85" s="107" t="n">
        <f aca="false">IF(K85="نعم",O85,0)</f>
        <v>0</v>
      </c>
      <c r="AB85" s="107" t="n">
        <f aca="false">IF(K85="نعم",J85*C85,0)</f>
        <v>0</v>
      </c>
      <c r="AC85" s="107"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7" t="n">
        <f aca="false">'مواد المخزون'!E81</f>
        <v>220.02</v>
      </c>
      <c r="D86" s="108" t="n">
        <f aca="false">'جرد أول المدة'!D84</f>
        <v>2.7</v>
      </c>
      <c r="E86" s="108" t="n">
        <f aca="false">SUMIFS('مشتريات يومية'!$D$2:$D$4001,'مشتريات يومية'!$B$2:$B$4001,$B$2,'مشتريات يومية'!$C$2:$C$4001,$A86,'مشتريات يومية'!$A$2:$A$4001,"&gt;="&amp;'إعدادات المخزون'!$B$5,'مشتريات يومية'!$A$2:$A$4001,"&lt;="&amp;'إعدادات المخزون'!$B$4)</f>
        <v>0</v>
      </c>
      <c r="F86" s="108"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8"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8" t="n">
        <f aca="false">SUMPRODUCT('مصفوفة الاستهلاك'!$CC$2:$CC$172,'متجهات المبيعات'!$F$2:$F$172)/'مواد المخزون'!$D$81</f>
        <v>0</v>
      </c>
      <c r="I86" s="108"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8" t="n">
        <f aca="false">D86+E86+F86-G86-H86-I86</f>
        <v>2.7</v>
      </c>
      <c r="K86" s="36" t="str">
        <f aca="false">IF(COUNTIFS('جرد فعلي'!$B$2:$B$12001,$B$2,'جرد فعلي'!$C$2:$C$12001,$A86,'جرد فعلي'!$A$2:$A$12001,'إعدادات المخزون'!$B$4)&gt;0,"نعم","لا")</f>
        <v>لا</v>
      </c>
      <c r="L86" s="109" t="str">
        <f aca="false">IF(K86="نعم",SUMIFS('جرد فعلي'!$D$2:$D$12001,'جرد فعلي'!$B$2:$B$12001,$B$2,'جرد فعلي'!$C$2:$C$12001,$A86,'جرد فعلي'!$A$2:$A$12001,'إعدادات المخزون'!$B$4),"")</f>
        <v/>
      </c>
      <c r="M86" s="108" t="str">
        <f aca="false">IF(K86="نعم",L86-J86,"")</f>
        <v/>
      </c>
      <c r="N86" s="110" t="str">
        <f aca="false">IF(K86="نعم",IF(J86=0,IF(M86=0,0,SIGN(M86)),M86/ABS(J86)),"")</f>
        <v/>
      </c>
      <c r="O86" s="107" t="str">
        <f aca="false">IF(K86="نعم",M86*C86,"")</f>
        <v/>
      </c>
      <c r="P86" s="36" t="str">
        <f aca="false">IF(K86&lt;&gt;"نعم","لم يُجرد",IF(ABS(N86)&lt;='إعدادات المخزون'!$B$7,"مطابق",IF(M86&lt;0,"عجز","زيادة")))</f>
        <v>لم يُجرد</v>
      </c>
      <c r="Q86" s="108" t="n">
        <f aca="false">J86-Z86</f>
        <v>2.7</v>
      </c>
      <c r="R86" s="108"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8" t="str">
        <f aca="false">IF(AND(K86="نعم",R86&lt;&gt;""),(L86-J86)-(R86-Q86),"")</f>
        <v/>
      </c>
      <c r="T86" s="107" t="str">
        <f aca="false">IF(S86="","",S86*C86)</f>
        <v/>
      </c>
      <c r="U86" s="108" t="n">
        <f aca="false">IF(K86="نعم",L86,J86)</f>
        <v>2.7</v>
      </c>
      <c r="V86" s="108" t="n">
        <f aca="false">SUMPRODUCT('مصفوفة الاستهلاك'!$CC$2:$CC$172,'متجهات المبيعات'!$G$2:$G$172)/'مواد المخزون'!$D$81/MAX(1,MIN('إعدادات المخزون'!$B$11,'إعدادات المخزون'!$B$4-'إعدادات المخزون'!$B$5+1))</f>
        <v>0</v>
      </c>
      <c r="W86" s="108" t="n">
        <f aca="false">IF(V86&lt;=0,0,ROUNDUP(MAX(0,V86*('إعدادات المخزون'!$B$8+'إعدادات المخزون'!$B$9+'إعدادات المخزون'!$B$10)-MAX(U86,0))/'مواد المخزون'!$F81,0)*'مواد المخزون'!$F81)</f>
        <v>0</v>
      </c>
      <c r="X86" s="107" t="n">
        <f aca="false">IF(AND(K86="نعم",O86&lt;0),-O86+ROW()*0.000000001,0)</f>
        <v>0</v>
      </c>
      <c r="Y86" s="107" t="n">
        <f aca="false">IF(AND(K86="نعم",O86&gt;0),O86+ROW()*0.000000001,0)</f>
        <v>0</v>
      </c>
      <c r="Z86" s="108"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المبيعات'!$E$2:$E$172)/'مواد المخزون'!$D$81</f>
        <v>0</v>
      </c>
      <c r="AA86" s="107" t="n">
        <f aca="false">IF(K86="نعم",O86,0)</f>
        <v>0</v>
      </c>
      <c r="AB86" s="107" t="n">
        <f aca="false">IF(K86="نعم",J86*C86,0)</f>
        <v>0</v>
      </c>
      <c r="AC86" s="107"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7" t="n">
        <f aca="false">'مواد المخزون'!E82</f>
        <v>219.23</v>
      </c>
      <c r="D87" s="108" t="n">
        <f aca="false">'جرد أول المدة'!D85</f>
        <v>3.57</v>
      </c>
      <c r="E87" s="108" t="n">
        <f aca="false">SUMIFS('مشتريات يومية'!$D$2:$D$4001,'مشتريات يومية'!$B$2:$B$4001,$B$2,'مشتريات يومية'!$C$2:$C$4001,$A87,'مشتريات يومية'!$A$2:$A$4001,"&gt;="&amp;'إعدادات المخزون'!$B$5,'مشتريات يومية'!$A$2:$A$4001,"&lt;="&amp;'إعدادات المخزون'!$B$4)</f>
        <v>0</v>
      </c>
      <c r="F87" s="108"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8"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8" t="n">
        <f aca="false">SUMPRODUCT('مصفوفة الاستهلاك'!$CD$2:$CD$172,'متجهات المبيعات'!$F$2:$F$172)/'مواد المخزون'!$D$82</f>
        <v>0</v>
      </c>
      <c r="I87" s="108"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8" t="n">
        <f aca="false">D87+E87+F87-G87-H87-I87</f>
        <v>3.57</v>
      </c>
      <c r="K87" s="36" t="str">
        <f aca="false">IF(COUNTIFS('جرد فعلي'!$B$2:$B$12001,$B$2,'جرد فعلي'!$C$2:$C$12001,$A87,'جرد فعلي'!$A$2:$A$12001,'إعدادات المخزون'!$B$4)&gt;0,"نعم","لا")</f>
        <v>لا</v>
      </c>
      <c r="L87" s="109" t="str">
        <f aca="false">IF(K87="نعم",SUMIFS('جرد فعلي'!$D$2:$D$12001,'جرد فعلي'!$B$2:$B$12001,$B$2,'جرد فعلي'!$C$2:$C$12001,$A87,'جرد فعلي'!$A$2:$A$12001,'إعدادات المخزون'!$B$4),"")</f>
        <v/>
      </c>
      <c r="M87" s="108" t="str">
        <f aca="false">IF(K87="نعم",L87-J87,"")</f>
        <v/>
      </c>
      <c r="N87" s="110" t="str">
        <f aca="false">IF(K87="نعم",IF(J87=0,IF(M87=0,0,SIGN(M87)),M87/ABS(J87)),"")</f>
        <v/>
      </c>
      <c r="O87" s="107" t="str">
        <f aca="false">IF(K87="نعم",M87*C87,"")</f>
        <v/>
      </c>
      <c r="P87" s="36" t="str">
        <f aca="false">IF(K87&lt;&gt;"نعم","لم يُجرد",IF(ABS(N87)&lt;='إعدادات المخزون'!$B$7,"مطابق",IF(M87&lt;0,"عجز","زيادة")))</f>
        <v>لم يُجرد</v>
      </c>
      <c r="Q87" s="108" t="n">
        <f aca="false">J87-Z87</f>
        <v>3.57</v>
      </c>
      <c r="R87" s="108"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8" t="str">
        <f aca="false">IF(AND(K87="نعم",R87&lt;&gt;""),(L87-J87)-(R87-Q87),"")</f>
        <v/>
      </c>
      <c r="T87" s="107" t="str">
        <f aca="false">IF(S87="","",S87*C87)</f>
        <v/>
      </c>
      <c r="U87" s="108" t="n">
        <f aca="false">IF(K87="نعم",L87,J87)</f>
        <v>3.57</v>
      </c>
      <c r="V87" s="108" t="n">
        <f aca="false">SUMPRODUCT('مصفوفة الاستهلاك'!$CD$2:$CD$172,'متجهات المبيعات'!$G$2:$G$172)/'مواد المخزون'!$D$82/MAX(1,MIN('إعدادات المخزون'!$B$11,'إعدادات المخزون'!$B$4-'إعدادات المخزون'!$B$5+1))</f>
        <v>0</v>
      </c>
      <c r="W87" s="108" t="n">
        <f aca="false">IF(V87&lt;=0,0,ROUNDUP(MAX(0,V87*('إعدادات المخزون'!$B$8+'إعدادات المخزون'!$B$9+'إعدادات المخزون'!$B$10)-MAX(U87,0))/'مواد المخزون'!$F82,0)*'مواد المخزون'!$F82)</f>
        <v>0</v>
      </c>
      <c r="X87" s="107" t="n">
        <f aca="false">IF(AND(K87="نعم",O87&lt;0),-O87+ROW()*0.000000001,0)</f>
        <v>0</v>
      </c>
      <c r="Y87" s="107" t="n">
        <f aca="false">IF(AND(K87="نعم",O87&gt;0),O87+ROW()*0.000000001,0)</f>
        <v>0</v>
      </c>
      <c r="Z87" s="108"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المبيعات'!$E$2:$E$172)/'مواد المخزون'!$D$82</f>
        <v>0</v>
      </c>
      <c r="AA87" s="107" t="n">
        <f aca="false">IF(K87="نعم",O87,0)</f>
        <v>0</v>
      </c>
      <c r="AB87" s="107" t="n">
        <f aca="false">IF(K87="نعم",J87*C87,0)</f>
        <v>0</v>
      </c>
      <c r="AC87" s="107"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7" t="n">
        <f aca="false">'مواد المخزون'!E83</f>
        <v>6</v>
      </c>
      <c r="D88" s="108" t="n">
        <f aca="false">'جرد أول المدة'!D86</f>
        <v>12</v>
      </c>
      <c r="E88" s="108" t="n">
        <f aca="false">SUMIFS('مشتريات يومية'!$D$2:$D$4001,'مشتريات يومية'!$B$2:$B$4001,$B$2,'مشتريات يومية'!$C$2:$C$4001,$A88,'مشتريات يومية'!$A$2:$A$4001,"&gt;="&amp;'إعدادات المخزون'!$B$5,'مشتريات يومية'!$A$2:$A$4001,"&lt;="&amp;'إعدادات المخزون'!$B$4)</f>
        <v>0</v>
      </c>
      <c r="F88" s="108"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8"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8" t="n">
        <f aca="false">SUMPRODUCT('مصفوفة الاستهلاك'!$CE$2:$CE$172,'متجهات المبيعات'!$F$2:$F$172)/'مواد المخزون'!$D$83</f>
        <v>0</v>
      </c>
      <c r="I88" s="108"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8" t="n">
        <f aca="false">D88+E88+F88-G88-H88-I88</f>
        <v>12</v>
      </c>
      <c r="K88" s="36" t="str">
        <f aca="false">IF(COUNTIFS('جرد فعلي'!$B$2:$B$12001,$B$2,'جرد فعلي'!$C$2:$C$12001,$A88,'جرد فعلي'!$A$2:$A$12001,'إعدادات المخزون'!$B$4)&gt;0,"نعم","لا")</f>
        <v>لا</v>
      </c>
      <c r="L88" s="109" t="str">
        <f aca="false">IF(K88="نعم",SUMIFS('جرد فعلي'!$D$2:$D$12001,'جرد فعلي'!$B$2:$B$12001,$B$2,'جرد فعلي'!$C$2:$C$12001,$A88,'جرد فعلي'!$A$2:$A$12001,'إعدادات المخزون'!$B$4),"")</f>
        <v/>
      </c>
      <c r="M88" s="108" t="str">
        <f aca="false">IF(K88="نعم",L88-J88,"")</f>
        <v/>
      </c>
      <c r="N88" s="110" t="str">
        <f aca="false">IF(K88="نعم",IF(J88=0,IF(M88=0,0,SIGN(M88)),M88/ABS(J88)),"")</f>
        <v/>
      </c>
      <c r="O88" s="107" t="str">
        <f aca="false">IF(K88="نعم",M88*C88,"")</f>
        <v/>
      </c>
      <c r="P88" s="36" t="str">
        <f aca="false">IF(K88&lt;&gt;"نعم","لم يُجرد",IF(ABS(N88)&lt;='إعدادات المخزون'!$B$7,"مطابق",IF(M88&lt;0,"عجز","زيادة")))</f>
        <v>لم يُجرد</v>
      </c>
      <c r="Q88" s="108" t="n">
        <f aca="false">J88-Z88</f>
        <v>12</v>
      </c>
      <c r="R88" s="108"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8" t="str">
        <f aca="false">IF(AND(K88="نعم",R88&lt;&gt;""),(L88-J88)-(R88-Q88),"")</f>
        <v/>
      </c>
      <c r="T88" s="107" t="str">
        <f aca="false">IF(S88="","",S88*C88)</f>
        <v/>
      </c>
      <c r="U88" s="108" t="n">
        <f aca="false">IF(K88="نعم",L88,J88)</f>
        <v>12</v>
      </c>
      <c r="V88" s="108" t="n">
        <f aca="false">SUMPRODUCT('مصفوفة الاستهلاك'!$CE$2:$CE$172,'متجهات المبيعات'!$G$2:$G$172)/'مواد المخزون'!$D$83/MAX(1,MIN('إعدادات المخزون'!$B$11,'إعدادات المخزون'!$B$4-'إعدادات المخزون'!$B$5+1))</f>
        <v>0</v>
      </c>
      <c r="W88" s="108" t="n">
        <f aca="false">IF(V88&lt;=0,0,ROUNDUP(MAX(0,V88*('إعدادات المخزون'!$B$8+'إعدادات المخزون'!$B$9+'إعدادات المخزون'!$B$10)-MAX(U88,0))/'مواد المخزون'!$F83,0)*'مواد المخزون'!$F83)</f>
        <v>0</v>
      </c>
      <c r="X88" s="107" t="n">
        <f aca="false">IF(AND(K88="نعم",O88&lt;0),-O88+ROW()*0.000000001,0)</f>
        <v>0</v>
      </c>
      <c r="Y88" s="107" t="n">
        <f aca="false">IF(AND(K88="نعم",O88&gt;0),O88+ROW()*0.000000001,0)</f>
        <v>0</v>
      </c>
      <c r="Z88" s="108"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المبيعات'!$E$2:$E$172)/'مواد المخزون'!$D$83</f>
        <v>0</v>
      </c>
      <c r="AA88" s="107" t="n">
        <f aca="false">IF(K88="نعم",O88,0)</f>
        <v>0</v>
      </c>
      <c r="AB88" s="107" t="n">
        <f aca="false">IF(K88="نعم",J88*C88,0)</f>
        <v>0</v>
      </c>
      <c r="AC88" s="107"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7" t="n">
        <f aca="false">'مواد المخزون'!E84</f>
        <v>0.3</v>
      </c>
      <c r="D89" s="108" t="n">
        <f aca="false">'جرد أول المدة'!D87</f>
        <v>200</v>
      </c>
      <c r="E89" s="108" t="n">
        <f aca="false">SUMIFS('مشتريات يومية'!$D$2:$D$4001,'مشتريات يومية'!$B$2:$B$4001,$B$2,'مشتريات يومية'!$C$2:$C$4001,$A89,'مشتريات يومية'!$A$2:$A$4001,"&gt;="&amp;'إعدادات المخزون'!$B$5,'مشتريات يومية'!$A$2:$A$4001,"&lt;="&amp;'إعدادات المخزون'!$B$4)</f>
        <v>0</v>
      </c>
      <c r="F89" s="108"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8"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8" t="n">
        <f aca="false">SUMPRODUCT('مصفوفة الاستهلاك'!$CF$2:$CF$172,'متجهات المبيعات'!$F$2:$F$172)/'مواد المخزون'!$D$84</f>
        <v>0</v>
      </c>
      <c r="I89" s="108"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8" t="n">
        <f aca="false">D89+E89+F89-G89-H89-I89</f>
        <v>200</v>
      </c>
      <c r="K89" s="36" t="str">
        <f aca="false">IF(COUNTIFS('جرد فعلي'!$B$2:$B$12001,$B$2,'جرد فعلي'!$C$2:$C$12001,$A89,'جرد فعلي'!$A$2:$A$12001,'إعدادات المخزون'!$B$4)&gt;0,"نعم","لا")</f>
        <v>لا</v>
      </c>
      <c r="L89" s="109" t="str">
        <f aca="false">IF(K89="نعم",SUMIFS('جرد فعلي'!$D$2:$D$12001,'جرد فعلي'!$B$2:$B$12001,$B$2,'جرد فعلي'!$C$2:$C$12001,$A89,'جرد فعلي'!$A$2:$A$12001,'إعدادات المخزون'!$B$4),"")</f>
        <v/>
      </c>
      <c r="M89" s="108" t="str">
        <f aca="false">IF(K89="نعم",L89-J89,"")</f>
        <v/>
      </c>
      <c r="N89" s="110" t="str">
        <f aca="false">IF(K89="نعم",IF(J89=0,IF(M89=0,0,SIGN(M89)),M89/ABS(J89)),"")</f>
        <v/>
      </c>
      <c r="O89" s="107" t="str">
        <f aca="false">IF(K89="نعم",M89*C89,"")</f>
        <v/>
      </c>
      <c r="P89" s="36" t="str">
        <f aca="false">IF(K89&lt;&gt;"نعم","لم يُجرد",IF(ABS(N89)&lt;='إعدادات المخزون'!$B$7,"مطابق",IF(M89&lt;0,"عجز","زيادة")))</f>
        <v>لم يُجرد</v>
      </c>
      <c r="Q89" s="108" t="n">
        <f aca="false">J89-Z89</f>
        <v>200</v>
      </c>
      <c r="R89" s="108"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8" t="str">
        <f aca="false">IF(AND(K89="نعم",R89&lt;&gt;""),(L89-J89)-(R89-Q89),"")</f>
        <v/>
      </c>
      <c r="T89" s="107" t="str">
        <f aca="false">IF(S89="","",S89*C89)</f>
        <v/>
      </c>
      <c r="U89" s="108" t="n">
        <f aca="false">IF(K89="نعم",L89,J89)</f>
        <v>200</v>
      </c>
      <c r="V89" s="108" t="n">
        <f aca="false">SUMPRODUCT('مصفوفة الاستهلاك'!$CF$2:$CF$172,'متجهات المبيعات'!$G$2:$G$172)/'مواد المخزون'!$D$84/MAX(1,MIN('إعدادات المخزون'!$B$11,'إعدادات المخزون'!$B$4-'إعدادات المخزون'!$B$5+1))</f>
        <v>0</v>
      </c>
      <c r="W89" s="108" t="n">
        <f aca="false">IF(V89&lt;=0,0,ROUNDUP(MAX(0,V89*('إعدادات المخزون'!$B$8+'إعدادات المخزون'!$B$9+'إعدادات المخزون'!$B$10)-MAX(U89,0))/'مواد المخزون'!$F84,0)*'مواد المخزون'!$F84)</f>
        <v>0</v>
      </c>
      <c r="X89" s="107" t="n">
        <f aca="false">IF(AND(K89="نعم",O89&lt;0),-O89+ROW()*0.000000001,0)</f>
        <v>0</v>
      </c>
      <c r="Y89" s="107" t="n">
        <f aca="false">IF(AND(K89="نعم",O89&gt;0),O89+ROW()*0.000000001,0)</f>
        <v>0</v>
      </c>
      <c r="Z89" s="108"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المبيعات'!$E$2:$E$172)/'مواد المخزون'!$D$84</f>
        <v>0</v>
      </c>
      <c r="AA89" s="107" t="n">
        <f aca="false">IF(K89="نعم",O89,0)</f>
        <v>0</v>
      </c>
      <c r="AB89" s="107" t="n">
        <f aca="false">IF(K89="نعم",J89*C89,0)</f>
        <v>0</v>
      </c>
      <c r="AC89" s="107"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7" t="n">
        <f aca="false">'مواد المخزون'!E85</f>
        <v>4.44</v>
      </c>
      <c r="D90" s="108" t="n">
        <f aca="false">'جرد أول المدة'!D88</f>
        <v>1450</v>
      </c>
      <c r="E90" s="108" t="n">
        <f aca="false">SUMIFS('مشتريات يومية'!$D$2:$D$4001,'مشتريات يومية'!$B$2:$B$4001,$B$2,'مشتريات يومية'!$C$2:$C$4001,$A90,'مشتريات يومية'!$A$2:$A$4001,"&gt;="&amp;'إعدادات المخزون'!$B$5,'مشتريات يومية'!$A$2:$A$4001,"&lt;="&amp;'إعدادات المخزون'!$B$4)</f>
        <v>0</v>
      </c>
      <c r="F90" s="108"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8"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8" t="n">
        <f aca="false">SUMPRODUCT('مصفوفة الاستهلاك'!$CG$2:$CG$172,'متجهات المبيعات'!$F$2:$F$172)/'مواد المخزون'!$D$85</f>
        <v>0</v>
      </c>
      <c r="I90" s="108"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8" t="n">
        <f aca="false">D90+E90+F90-G90-H90-I90</f>
        <v>1450</v>
      </c>
      <c r="K90" s="36" t="str">
        <f aca="false">IF(COUNTIFS('جرد فعلي'!$B$2:$B$12001,$B$2,'جرد فعلي'!$C$2:$C$12001,$A90,'جرد فعلي'!$A$2:$A$12001,'إعدادات المخزون'!$B$4)&gt;0,"نعم","لا")</f>
        <v>لا</v>
      </c>
      <c r="L90" s="109" t="str">
        <f aca="false">IF(K90="نعم",SUMIFS('جرد فعلي'!$D$2:$D$12001,'جرد فعلي'!$B$2:$B$12001,$B$2,'جرد فعلي'!$C$2:$C$12001,$A90,'جرد فعلي'!$A$2:$A$12001,'إعدادات المخزون'!$B$4),"")</f>
        <v/>
      </c>
      <c r="M90" s="108" t="str">
        <f aca="false">IF(K90="نعم",L90-J90,"")</f>
        <v/>
      </c>
      <c r="N90" s="110" t="str">
        <f aca="false">IF(K90="نعم",IF(J90=0,IF(M90=0,0,SIGN(M90)),M90/ABS(J90)),"")</f>
        <v/>
      </c>
      <c r="O90" s="107" t="str">
        <f aca="false">IF(K90="نعم",M90*C90,"")</f>
        <v/>
      </c>
      <c r="P90" s="36" t="str">
        <f aca="false">IF(K90&lt;&gt;"نعم","لم يُجرد",IF(ABS(N90)&lt;='إعدادات المخزون'!$B$7,"مطابق",IF(M90&lt;0,"عجز","زيادة")))</f>
        <v>لم يُجرد</v>
      </c>
      <c r="Q90" s="108" t="n">
        <f aca="false">J90-Z90</f>
        <v>1450</v>
      </c>
      <c r="R90" s="108"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8" t="str">
        <f aca="false">IF(AND(K90="نعم",R90&lt;&gt;""),(L90-J90)-(R90-Q90),"")</f>
        <v/>
      </c>
      <c r="T90" s="107" t="str">
        <f aca="false">IF(S90="","",S90*C90)</f>
        <v/>
      </c>
      <c r="U90" s="108" t="n">
        <f aca="false">IF(K90="نعم",L90,J90)</f>
        <v>1450</v>
      </c>
      <c r="V90" s="108" t="n">
        <f aca="false">SUMPRODUCT('مصفوفة الاستهلاك'!$CG$2:$CG$172,'متجهات المبيعات'!$G$2:$G$172)/'مواد المخزون'!$D$85/MAX(1,MIN('إعدادات المخزون'!$B$11,'إعدادات المخزون'!$B$4-'إعدادات المخزون'!$B$5+1))</f>
        <v>0</v>
      </c>
      <c r="W90" s="108" t="n">
        <f aca="false">IF(V90&lt;=0,0,ROUNDUP(MAX(0,V90*('إعدادات المخزون'!$B$8+'إعدادات المخزون'!$B$9+'إعدادات المخزون'!$B$10)-MAX(U90,0))/'مواد المخزون'!$F85,0)*'مواد المخزون'!$F85)</f>
        <v>0</v>
      </c>
      <c r="X90" s="107" t="n">
        <f aca="false">IF(AND(K90="نعم",O90&lt;0),-O90+ROW()*0.000000001,0)</f>
        <v>0</v>
      </c>
      <c r="Y90" s="107" t="n">
        <f aca="false">IF(AND(K90="نعم",O90&gt;0),O90+ROW()*0.000000001,0)</f>
        <v>0</v>
      </c>
      <c r="Z90" s="108"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المبيعات'!$E$2:$E$172)/'مواد المخزون'!$D$85</f>
        <v>0</v>
      </c>
      <c r="AA90" s="107" t="n">
        <f aca="false">IF(K90="نعم",O90,0)</f>
        <v>0</v>
      </c>
      <c r="AB90" s="107" t="n">
        <f aca="false">IF(K90="نعم",J90*C90,0)</f>
        <v>0</v>
      </c>
      <c r="AC90" s="107"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7" t="n">
        <f aca="false">'مواد المخزون'!E86</f>
        <v>8</v>
      </c>
      <c r="D91" s="108" t="n">
        <f aca="false">'جرد أول المدة'!D89</f>
        <v>32</v>
      </c>
      <c r="E91" s="108" t="n">
        <f aca="false">SUMIFS('مشتريات يومية'!$D$2:$D$4001,'مشتريات يومية'!$B$2:$B$4001,$B$2,'مشتريات يومية'!$C$2:$C$4001,$A91,'مشتريات يومية'!$A$2:$A$4001,"&gt;="&amp;'إعدادات المخزون'!$B$5,'مشتريات يومية'!$A$2:$A$4001,"&lt;="&amp;'إعدادات المخزون'!$B$4)</f>
        <v>0</v>
      </c>
      <c r="F91" s="108"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8"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8" t="n">
        <f aca="false">SUMPRODUCT('مصفوفة الاستهلاك'!$CH$2:$CH$172,'متجهات المبيعات'!$F$2:$F$172)/'مواد المخزون'!$D$86</f>
        <v>0</v>
      </c>
      <c r="I91" s="108"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8" t="n">
        <f aca="false">D91+E91+F91-G91-H91-I91</f>
        <v>32</v>
      </c>
      <c r="K91" s="36" t="str">
        <f aca="false">IF(COUNTIFS('جرد فعلي'!$B$2:$B$12001,$B$2,'جرد فعلي'!$C$2:$C$12001,$A91,'جرد فعلي'!$A$2:$A$12001,'إعدادات المخزون'!$B$4)&gt;0,"نعم","لا")</f>
        <v>لا</v>
      </c>
      <c r="L91" s="109" t="str">
        <f aca="false">IF(K91="نعم",SUMIFS('جرد فعلي'!$D$2:$D$12001,'جرد فعلي'!$B$2:$B$12001,$B$2,'جرد فعلي'!$C$2:$C$12001,$A91,'جرد فعلي'!$A$2:$A$12001,'إعدادات المخزون'!$B$4),"")</f>
        <v/>
      </c>
      <c r="M91" s="108" t="str">
        <f aca="false">IF(K91="نعم",L91-J91,"")</f>
        <v/>
      </c>
      <c r="N91" s="110" t="str">
        <f aca="false">IF(K91="نعم",IF(J91=0,IF(M91=0,0,SIGN(M91)),M91/ABS(J91)),"")</f>
        <v/>
      </c>
      <c r="O91" s="107" t="str">
        <f aca="false">IF(K91="نعم",M91*C91,"")</f>
        <v/>
      </c>
      <c r="P91" s="36" t="str">
        <f aca="false">IF(K91&lt;&gt;"نعم","لم يُجرد",IF(ABS(N91)&lt;='إعدادات المخزون'!$B$7,"مطابق",IF(M91&lt;0,"عجز","زيادة")))</f>
        <v>لم يُجرد</v>
      </c>
      <c r="Q91" s="108" t="n">
        <f aca="false">J91-Z91</f>
        <v>32</v>
      </c>
      <c r="R91" s="108"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8" t="str">
        <f aca="false">IF(AND(K91="نعم",R91&lt;&gt;""),(L91-J91)-(R91-Q91),"")</f>
        <v/>
      </c>
      <c r="T91" s="107" t="str">
        <f aca="false">IF(S91="","",S91*C91)</f>
        <v/>
      </c>
      <c r="U91" s="108" t="n">
        <f aca="false">IF(K91="نعم",L91,J91)</f>
        <v>32</v>
      </c>
      <c r="V91" s="108" t="n">
        <f aca="false">SUMPRODUCT('مصفوفة الاستهلاك'!$CH$2:$CH$172,'متجهات المبيعات'!$G$2:$G$172)/'مواد المخزون'!$D$86/MAX(1,MIN('إعدادات المخزون'!$B$11,'إعدادات المخزون'!$B$4-'إعدادات المخزون'!$B$5+1))</f>
        <v>0</v>
      </c>
      <c r="W91" s="108" t="n">
        <f aca="false">IF(V91&lt;=0,0,ROUNDUP(MAX(0,V91*('إعدادات المخزون'!$B$8+'إعدادات المخزون'!$B$9+'إعدادات المخزون'!$B$10)-MAX(U91,0))/'مواد المخزون'!$F86,0)*'مواد المخزون'!$F86)</f>
        <v>0</v>
      </c>
      <c r="X91" s="107" t="n">
        <f aca="false">IF(AND(K91="نعم",O91&lt;0),-O91+ROW()*0.000000001,0)</f>
        <v>0</v>
      </c>
      <c r="Y91" s="107" t="n">
        <f aca="false">IF(AND(K91="نعم",O91&gt;0),O91+ROW()*0.000000001,0)</f>
        <v>0</v>
      </c>
      <c r="Z91" s="108"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المبيعات'!$E$2:$E$172)/'مواد المخزون'!$D$86</f>
        <v>0</v>
      </c>
      <c r="AA91" s="107" t="n">
        <f aca="false">IF(K91="نعم",O91,0)</f>
        <v>0</v>
      </c>
      <c r="AB91" s="107" t="n">
        <f aca="false">IF(K91="نعم",J91*C91,0)</f>
        <v>0</v>
      </c>
      <c r="AC91" s="107" t="n">
        <f aca="false">IF(T91="",0,T91)</f>
        <v>0</v>
      </c>
    </row>
    <row r="93" customFormat="false" ht="15" hidden="false" customHeight="false" outlineLevel="0" collapsed="false">
      <c r="A93" s="33" t="s">
        <v>752</v>
      </c>
      <c r="O93" s="111"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754</v>
      </c>
    </row>
    <row r="2" customFormat="false" ht="15" hidden="false" customHeight="false" outlineLevel="0" collapsed="false">
      <c r="A2" s="104" t="s">
        <v>724</v>
      </c>
      <c r="B2" s="106" t="s">
        <v>34</v>
      </c>
    </row>
    <row r="3" customFormat="false" ht="15" hidden="false" customHeight="false" outlineLevel="0" collapsed="false">
      <c r="A3" s="104" t="s">
        <v>725</v>
      </c>
      <c r="B3" s="102" t="n">
        <f aca="false">'إعدادات المخزون'!$B$4</f>
        <v>46307</v>
      </c>
    </row>
    <row r="4" customFormat="false" ht="15" hidden="false" customHeight="false" outlineLevel="0" collapsed="false">
      <c r="A4" s="17" t="s">
        <v>726</v>
      </c>
    </row>
    <row r="6" customFormat="false" ht="51.75" hidden="false" customHeight="true" outlineLevel="0" collapsed="false">
      <c r="A6" s="18" t="s">
        <v>59</v>
      </c>
      <c r="B6" s="18" t="s">
        <v>663</v>
      </c>
      <c r="C6" s="18" t="s">
        <v>696</v>
      </c>
      <c r="D6" s="18" t="s">
        <v>727</v>
      </c>
      <c r="E6" s="18" t="s">
        <v>728</v>
      </c>
      <c r="F6" s="18" t="s">
        <v>729</v>
      </c>
      <c r="G6" s="18" t="s">
        <v>730</v>
      </c>
      <c r="H6" s="18" t="s">
        <v>731</v>
      </c>
      <c r="I6" s="18" t="s">
        <v>732</v>
      </c>
      <c r="J6" s="18" t="s">
        <v>733</v>
      </c>
      <c r="K6" s="18" t="s">
        <v>734</v>
      </c>
      <c r="L6" s="18" t="s">
        <v>735</v>
      </c>
      <c r="M6" s="18" t="s">
        <v>60</v>
      </c>
      <c r="N6" s="18" t="s">
        <v>736</v>
      </c>
      <c r="O6" s="18" t="s">
        <v>737</v>
      </c>
      <c r="P6" s="18" t="s">
        <v>738</v>
      </c>
      <c r="Q6" s="18" t="s">
        <v>739</v>
      </c>
      <c r="R6" s="18" t="s">
        <v>740</v>
      </c>
      <c r="S6" s="18" t="s">
        <v>741</v>
      </c>
      <c r="T6" s="18" t="s">
        <v>742</v>
      </c>
      <c r="U6" s="18" t="s">
        <v>743</v>
      </c>
      <c r="V6" s="18" t="s">
        <v>744</v>
      </c>
      <c r="W6" s="18" t="s">
        <v>745</v>
      </c>
      <c r="X6" s="18" t="s">
        <v>746</v>
      </c>
      <c r="Y6" s="18" t="s">
        <v>747</v>
      </c>
      <c r="Z6" s="18" t="s">
        <v>748</v>
      </c>
      <c r="AA6" s="18" t="s">
        <v>749</v>
      </c>
      <c r="AB6" s="18" t="s">
        <v>750</v>
      </c>
      <c r="AC6" s="18" t="s">
        <v>751</v>
      </c>
    </row>
    <row r="7" customFormat="false" ht="15" hidden="false" customHeight="false" outlineLevel="0" collapsed="false">
      <c r="A7" s="34" t="str">
        <f aca="false">'مواد المخزون'!A2</f>
        <v>اطباق سيلفر مكرونة</v>
      </c>
      <c r="B7" s="36" t="str">
        <f aca="false">'مواد المخزون'!B2</f>
        <v>قطعة</v>
      </c>
      <c r="C7" s="107" t="n">
        <f aca="false">'مواد المخزون'!E2</f>
        <v>3.3</v>
      </c>
      <c r="D7" s="108" t="n">
        <f aca="false">'جرد أول المدة'!E5</f>
        <v>215</v>
      </c>
      <c r="E7" s="108" t="n">
        <f aca="false">SUMIFS('مشتريات يومية'!$D$2:$D$4001,'مشتريات يومية'!$B$2:$B$4001,$B$2,'مشتريات يومية'!$C$2:$C$4001,$A7,'مشتريات يومية'!$A$2:$A$4001,"&gt;="&amp;'إعدادات المخزون'!$B$5,'مشتريات يومية'!$A$2:$A$4001,"&lt;="&amp;'إعدادات المخزون'!$B$4)</f>
        <v>0</v>
      </c>
      <c r="F7" s="108"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8"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8" t="n">
        <f aca="false">SUMPRODUCT('مصفوفة الاستهلاك'!$B$2:$B$172,'متجهات المبيعات'!$I$2:$I$172)/'مواد المخزون'!$D$2</f>
        <v>0</v>
      </c>
      <c r="I7" s="108"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8" t="n">
        <f aca="false">D7+E7+F7-G7-H7-I7</f>
        <v>215</v>
      </c>
      <c r="K7" s="36" t="str">
        <f aca="false">IF(COUNTIFS('جرد فعلي'!$B$2:$B$12001,$B$2,'جرد فعلي'!$C$2:$C$12001,$A7,'جرد فعلي'!$A$2:$A$12001,'إعدادات المخزون'!$B$4)&gt;0,"نعم","لا")</f>
        <v>لا</v>
      </c>
      <c r="L7" s="109" t="str">
        <f aca="false">IF(K7="نعم",SUMIFS('جرد فعلي'!$D$2:$D$12001,'جرد فعلي'!$B$2:$B$12001,$B$2,'جرد فعلي'!$C$2:$C$12001,$A7,'جرد فعلي'!$A$2:$A$12001,'إعدادات المخزون'!$B$4),"")</f>
        <v/>
      </c>
      <c r="M7" s="108" t="str">
        <f aca="false">IF(K7="نعم",L7-J7,"")</f>
        <v/>
      </c>
      <c r="N7" s="110" t="str">
        <f aca="false">IF(K7="نعم",IF(J7=0,IF(M7=0,0,SIGN(M7)),M7/ABS(J7)),"")</f>
        <v/>
      </c>
      <c r="O7" s="107" t="str">
        <f aca="false">IF(K7="نعم",M7*C7,"")</f>
        <v/>
      </c>
      <c r="P7" s="36" t="str">
        <f aca="false">IF(K7&lt;&gt;"نعم","لم يُجرد",IF(ABS(N7)&lt;='إعدادات المخزون'!$B$7,"مطابق",IF(M7&lt;0,"عجز","زيادة")))</f>
        <v>لم يُجرد</v>
      </c>
      <c r="Q7" s="108" t="n">
        <f aca="false">J7-Z7</f>
        <v>215</v>
      </c>
      <c r="R7" s="108"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8" t="str">
        <f aca="false">IF(AND(K7="نعم",R7&lt;&gt;""),(L7-J7)-(R7-Q7),"")</f>
        <v/>
      </c>
      <c r="T7" s="107" t="str">
        <f aca="false">IF(S7="","",S7*C7)</f>
        <v/>
      </c>
      <c r="U7" s="108" t="n">
        <f aca="false">IF(K7="نعم",L7,J7)</f>
        <v>215</v>
      </c>
      <c r="V7" s="108" t="n">
        <f aca="false">SUMPRODUCT('مصفوفة الاستهلاك'!$B$2:$B$172,'متجهات المبيعات'!$J$2:$J$172)/'مواد المخزون'!$D$2/MAX(1,MIN('إعدادات المخزون'!$B$11,'إعدادات المخزون'!$B$4-'إعدادات المخزون'!$B$5+1))</f>
        <v>0</v>
      </c>
      <c r="W7" s="108" t="n">
        <f aca="false">IF(V7&lt;=0,0,ROUNDUP(MAX(0,V7*('إعدادات المخزون'!$B$8+'إعدادات المخزون'!$B$9+'إعدادات المخزون'!$B$10)-MAX(U7,0))/'مواد المخزون'!$F2,0)*'مواد المخزون'!$F2)</f>
        <v>0</v>
      </c>
      <c r="X7" s="107" t="n">
        <f aca="false">IF(AND(K7="نعم",O7&lt;0),-O7+ROW()*0.000000001,0)</f>
        <v>0</v>
      </c>
      <c r="Y7" s="107" t="n">
        <f aca="false">IF(AND(K7="نعم",O7&gt;0),O7+ROW()*0.000000001,0)</f>
        <v>0</v>
      </c>
      <c r="Z7" s="108"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المبيعات'!$H$2:$H$172)/'مواد المخزون'!$D$2</f>
        <v>0</v>
      </c>
      <c r="AA7" s="107" t="n">
        <f aca="false">IF(K7="نعم",O7,0)</f>
        <v>0</v>
      </c>
      <c r="AB7" s="107" t="n">
        <f aca="false">IF(K7="نعم",J7*C7,0)</f>
        <v>0</v>
      </c>
      <c r="AC7" s="107" t="n">
        <f aca="false">IF(T7="",0,T7)</f>
        <v>0</v>
      </c>
    </row>
    <row r="8" customFormat="false" ht="15" hidden="false" customHeight="false" outlineLevel="0" collapsed="false">
      <c r="A8" s="34" t="str">
        <f aca="false">'مواد المخزون'!A3</f>
        <v>اطباق فوم كيلو</v>
      </c>
      <c r="B8" s="36" t="str">
        <f aca="false">'مواد المخزون'!B3</f>
        <v>قطعة</v>
      </c>
      <c r="C8" s="107" t="n">
        <f aca="false">'مواد المخزون'!E3</f>
        <v>0.8</v>
      </c>
      <c r="D8" s="108" t="n">
        <f aca="false">'جرد أول المدة'!E6</f>
        <v>243</v>
      </c>
      <c r="E8" s="108" t="n">
        <f aca="false">SUMIFS('مشتريات يومية'!$D$2:$D$4001,'مشتريات يومية'!$B$2:$B$4001,$B$2,'مشتريات يومية'!$C$2:$C$4001,$A8,'مشتريات يومية'!$A$2:$A$4001,"&gt;="&amp;'إعدادات المخزون'!$B$5,'مشتريات يومية'!$A$2:$A$4001,"&lt;="&amp;'إعدادات المخزون'!$B$4)</f>
        <v>1000</v>
      </c>
      <c r="F8" s="108"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8"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8" t="n">
        <f aca="false">SUMPRODUCT('مصفوفة الاستهلاك'!$C$2:$C$172,'متجهات المبيعات'!$I$2:$I$172)/'مواد المخزون'!$D$3</f>
        <v>0</v>
      </c>
      <c r="I8" s="108"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8" t="n">
        <f aca="false">D8+E8+F8-G8-H8-I8</f>
        <v>1243</v>
      </c>
      <c r="K8" s="36" t="str">
        <f aca="false">IF(COUNTIFS('جرد فعلي'!$B$2:$B$12001,$B$2,'جرد فعلي'!$C$2:$C$12001,$A8,'جرد فعلي'!$A$2:$A$12001,'إعدادات المخزون'!$B$4)&gt;0,"نعم","لا")</f>
        <v>لا</v>
      </c>
      <c r="L8" s="109" t="str">
        <f aca="false">IF(K8="نعم",SUMIFS('جرد فعلي'!$D$2:$D$12001,'جرد فعلي'!$B$2:$B$12001,$B$2,'جرد فعلي'!$C$2:$C$12001,$A8,'جرد فعلي'!$A$2:$A$12001,'إعدادات المخزون'!$B$4),"")</f>
        <v/>
      </c>
      <c r="M8" s="108" t="str">
        <f aca="false">IF(K8="نعم",L8-J8,"")</f>
        <v/>
      </c>
      <c r="N8" s="110" t="str">
        <f aca="false">IF(K8="نعم",IF(J8=0,IF(M8=0,0,SIGN(M8)),M8/ABS(J8)),"")</f>
        <v/>
      </c>
      <c r="O8" s="107" t="str">
        <f aca="false">IF(K8="نعم",M8*C8,"")</f>
        <v/>
      </c>
      <c r="P8" s="36" t="str">
        <f aca="false">IF(K8&lt;&gt;"نعم","لم يُجرد",IF(ABS(N8)&lt;='إعدادات المخزون'!$B$7,"مطابق",IF(M8&lt;0,"عجز","زيادة")))</f>
        <v>لم يُجرد</v>
      </c>
      <c r="Q8" s="108" t="n">
        <f aca="false">J8-Z8</f>
        <v>1243</v>
      </c>
      <c r="R8" s="108"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8" t="str">
        <f aca="false">IF(AND(K8="نعم",R8&lt;&gt;""),(L8-J8)-(R8-Q8),"")</f>
        <v/>
      </c>
      <c r="T8" s="107" t="str">
        <f aca="false">IF(S8="","",S8*C8)</f>
        <v/>
      </c>
      <c r="U8" s="108" t="n">
        <f aca="false">IF(K8="نعم",L8,J8)</f>
        <v>1243</v>
      </c>
      <c r="V8" s="108" t="n">
        <f aca="false">SUMPRODUCT('مصفوفة الاستهلاك'!$C$2:$C$172,'متجهات المبيعات'!$J$2:$J$172)/'مواد المخزون'!$D$3/MAX(1,MIN('إعدادات المخزون'!$B$11,'إعدادات المخزون'!$B$4-'إعدادات المخزون'!$B$5+1))</f>
        <v>0</v>
      </c>
      <c r="W8" s="108" t="n">
        <f aca="false">IF(V8&lt;=0,0,ROUNDUP(MAX(0,V8*('إعدادات المخزون'!$B$8+'إعدادات المخزون'!$B$9+'إعدادات المخزون'!$B$10)-MAX(U8,0))/'مواد المخزون'!$F3,0)*'مواد المخزون'!$F3)</f>
        <v>0</v>
      </c>
      <c r="X8" s="107" t="n">
        <f aca="false">IF(AND(K8="نعم",O8&lt;0),-O8+ROW()*0.000000001,0)</f>
        <v>0</v>
      </c>
      <c r="Y8" s="107" t="n">
        <f aca="false">IF(AND(K8="نعم",O8&gt;0),O8+ROW()*0.000000001,0)</f>
        <v>0</v>
      </c>
      <c r="Z8" s="108"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المبيعات'!$H$2:$H$172)/'مواد المخزون'!$D$3</f>
        <v>0</v>
      </c>
      <c r="AA8" s="107" t="n">
        <f aca="false">IF(K8="نعم",O8,0)</f>
        <v>0</v>
      </c>
      <c r="AB8" s="107" t="n">
        <f aca="false">IF(K8="نعم",J8*C8,0)</f>
        <v>0</v>
      </c>
      <c r="AC8" s="107"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7" t="n">
        <f aca="false">'مواد المخزون'!E4</f>
        <v>70</v>
      </c>
      <c r="D9" s="108" t="n">
        <f aca="false">'جرد أول المدة'!E7</f>
        <v>22.98</v>
      </c>
      <c r="E9" s="108" t="n">
        <f aca="false">SUMIFS('مشتريات يومية'!$D$2:$D$4001,'مشتريات يومية'!$B$2:$B$4001,$B$2,'مشتريات يومية'!$C$2:$C$4001,$A9,'مشتريات يومية'!$A$2:$A$4001,"&gt;="&amp;'إعدادات المخزون'!$B$5,'مشتريات يومية'!$A$2:$A$4001,"&lt;="&amp;'إعدادات المخزون'!$B$4)</f>
        <v>25</v>
      </c>
      <c r="F9" s="108"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8"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8" t="n">
        <f aca="false">SUMPRODUCT('مصفوفة الاستهلاك'!$D$2:$D$172,'متجهات المبيعات'!$I$2:$I$172)/'مواد المخزون'!$D$4</f>
        <v>0</v>
      </c>
      <c r="I9" s="108"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8" t="n">
        <f aca="false">D9+E9+F9-G9-H9-I9</f>
        <v>47.98</v>
      </c>
      <c r="K9" s="36" t="str">
        <f aca="false">IF(COUNTIFS('جرد فعلي'!$B$2:$B$12001,$B$2,'جرد فعلي'!$C$2:$C$12001,$A9,'جرد فعلي'!$A$2:$A$12001,'إعدادات المخزون'!$B$4)&gt;0,"نعم","لا")</f>
        <v>لا</v>
      </c>
      <c r="L9" s="109" t="str">
        <f aca="false">IF(K9="نعم",SUMIFS('جرد فعلي'!$D$2:$D$12001,'جرد فعلي'!$B$2:$B$12001,$B$2,'جرد فعلي'!$C$2:$C$12001,$A9,'جرد فعلي'!$A$2:$A$12001,'إعدادات المخزون'!$B$4),"")</f>
        <v/>
      </c>
      <c r="M9" s="108" t="str">
        <f aca="false">IF(K9="نعم",L9-J9,"")</f>
        <v/>
      </c>
      <c r="N9" s="110" t="str">
        <f aca="false">IF(K9="نعم",IF(J9=0,IF(M9=0,0,SIGN(M9)),M9/ABS(J9)),"")</f>
        <v/>
      </c>
      <c r="O9" s="107" t="str">
        <f aca="false">IF(K9="نعم",M9*C9,"")</f>
        <v/>
      </c>
      <c r="P9" s="36" t="str">
        <f aca="false">IF(K9&lt;&gt;"نعم","لم يُجرد",IF(ABS(N9)&lt;='إعدادات المخزون'!$B$7,"مطابق",IF(M9&lt;0,"عجز","زيادة")))</f>
        <v>لم يُجرد</v>
      </c>
      <c r="Q9" s="108" t="n">
        <f aca="false">J9-Z9</f>
        <v>47.98</v>
      </c>
      <c r="R9" s="108"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8" t="str">
        <f aca="false">IF(AND(K9="نعم",R9&lt;&gt;""),(L9-J9)-(R9-Q9),"")</f>
        <v/>
      </c>
      <c r="T9" s="107" t="str">
        <f aca="false">IF(S9="","",S9*C9)</f>
        <v/>
      </c>
      <c r="U9" s="108" t="n">
        <f aca="false">IF(K9="نعم",L9,J9)</f>
        <v>47.98</v>
      </c>
      <c r="V9" s="108" t="n">
        <f aca="false">SUMPRODUCT('مصفوفة الاستهلاك'!$D$2:$D$172,'متجهات المبيعات'!$J$2:$J$172)/'مواد المخزون'!$D$4/MAX(1,MIN('إعدادات المخزون'!$B$11,'إعدادات المخزون'!$B$4-'إعدادات المخزون'!$B$5+1))</f>
        <v>0</v>
      </c>
      <c r="W9" s="108" t="n">
        <f aca="false">IF(V9&lt;=0,0,ROUNDUP(MAX(0,V9*('إعدادات المخزون'!$B$8+'إعدادات المخزون'!$B$9+'إعدادات المخزون'!$B$10)-MAX(U9,0))/'مواد المخزون'!$F4,0)*'مواد المخزون'!$F4)</f>
        <v>0</v>
      </c>
      <c r="X9" s="107" t="n">
        <f aca="false">IF(AND(K9="نعم",O9&lt;0),-O9+ROW()*0.000000001,0)</f>
        <v>0</v>
      </c>
      <c r="Y9" s="107" t="n">
        <f aca="false">IF(AND(K9="نعم",O9&gt;0),O9+ROW()*0.000000001,0)</f>
        <v>0</v>
      </c>
      <c r="Z9" s="108"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المبيعات'!$H$2:$H$172)/'مواد المخزون'!$D$4</f>
        <v>0</v>
      </c>
      <c r="AA9" s="107" t="n">
        <f aca="false">IF(K9="نعم",O9,0)</f>
        <v>0</v>
      </c>
      <c r="AB9" s="107" t="n">
        <f aca="false">IF(K9="نعم",J9*C9,0)</f>
        <v>0</v>
      </c>
      <c r="AC9" s="107"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7" t="n">
        <f aca="false">'مواد المخزون'!E5</f>
        <v>70</v>
      </c>
      <c r="D10" s="108" t="n">
        <f aca="false">'جرد أول المدة'!E8</f>
        <v>22.75</v>
      </c>
      <c r="E10" s="108" t="n">
        <f aca="false">SUMIFS('مشتريات يومية'!$D$2:$D$4001,'مشتريات يومية'!$B$2:$B$4001,$B$2,'مشتريات يومية'!$C$2:$C$4001,$A10,'مشتريات يومية'!$A$2:$A$4001,"&gt;="&amp;'إعدادات المخزون'!$B$5,'مشتريات يومية'!$A$2:$A$4001,"&lt;="&amp;'إعدادات المخزون'!$B$4)</f>
        <v>25</v>
      </c>
      <c r="F10" s="108"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8"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8" t="n">
        <f aca="false">SUMPRODUCT('مصفوفة الاستهلاك'!$E$2:$E$172,'متجهات المبيعات'!$I$2:$I$172)/'مواد المخزون'!$D$5</f>
        <v>0</v>
      </c>
      <c r="I10" s="108"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8" t="n">
        <f aca="false">D10+E10+F10-G10-H10-I10</f>
        <v>47.75</v>
      </c>
      <c r="K10" s="36" t="str">
        <f aca="false">IF(COUNTIFS('جرد فعلي'!$B$2:$B$12001,$B$2,'جرد فعلي'!$C$2:$C$12001,$A10,'جرد فعلي'!$A$2:$A$12001,'إعدادات المخزون'!$B$4)&gt;0,"نعم","لا")</f>
        <v>لا</v>
      </c>
      <c r="L10" s="109" t="str">
        <f aca="false">IF(K10="نعم",SUMIFS('جرد فعلي'!$D$2:$D$12001,'جرد فعلي'!$B$2:$B$12001,$B$2,'جرد فعلي'!$C$2:$C$12001,$A10,'جرد فعلي'!$A$2:$A$12001,'إعدادات المخزون'!$B$4),"")</f>
        <v/>
      </c>
      <c r="M10" s="108" t="str">
        <f aca="false">IF(K10="نعم",L10-J10,"")</f>
        <v/>
      </c>
      <c r="N10" s="110" t="str">
        <f aca="false">IF(K10="نعم",IF(J10=0,IF(M10=0,0,SIGN(M10)),M10/ABS(J10)),"")</f>
        <v/>
      </c>
      <c r="O10" s="107" t="str">
        <f aca="false">IF(K10="نعم",M10*C10,"")</f>
        <v/>
      </c>
      <c r="P10" s="36" t="str">
        <f aca="false">IF(K10&lt;&gt;"نعم","لم يُجرد",IF(ABS(N10)&lt;='إعدادات المخزون'!$B$7,"مطابق",IF(M10&lt;0,"عجز","زيادة")))</f>
        <v>لم يُجرد</v>
      </c>
      <c r="Q10" s="108" t="n">
        <f aca="false">J10-Z10</f>
        <v>47.75</v>
      </c>
      <c r="R10" s="108"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8" t="str">
        <f aca="false">IF(AND(K10="نعم",R10&lt;&gt;""),(L10-J10)-(R10-Q10),"")</f>
        <v/>
      </c>
      <c r="T10" s="107" t="str">
        <f aca="false">IF(S10="","",S10*C10)</f>
        <v/>
      </c>
      <c r="U10" s="108" t="n">
        <f aca="false">IF(K10="نعم",L10,J10)</f>
        <v>47.75</v>
      </c>
      <c r="V10" s="108" t="n">
        <f aca="false">SUMPRODUCT('مصفوفة الاستهلاك'!$E$2:$E$172,'متجهات المبيعات'!$J$2:$J$172)/'مواد المخزون'!$D$5/MAX(1,MIN('إعدادات المخزون'!$B$11,'إعدادات المخزون'!$B$4-'إعدادات المخزون'!$B$5+1))</f>
        <v>0</v>
      </c>
      <c r="W10" s="108" t="n">
        <f aca="false">IF(V10&lt;=0,0,ROUNDUP(MAX(0,V10*('إعدادات المخزون'!$B$8+'إعدادات المخزون'!$B$9+'إعدادات المخزون'!$B$10)-MAX(U10,0))/'مواد المخزون'!$F5,0)*'مواد المخزون'!$F5)</f>
        <v>0</v>
      </c>
      <c r="X10" s="107" t="n">
        <f aca="false">IF(AND(K10="نعم",O10&lt;0),-O10+ROW()*0.000000001,0)</f>
        <v>0</v>
      </c>
      <c r="Y10" s="107" t="n">
        <f aca="false">IF(AND(K10="نعم",O10&gt;0),O10+ROW()*0.000000001,0)</f>
        <v>0</v>
      </c>
      <c r="Z10" s="108"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المبيعات'!$H$2:$H$172)/'مواد المخزون'!$D$5</f>
        <v>0</v>
      </c>
      <c r="AA10" s="107" t="n">
        <f aca="false">IF(K10="نعم",O10,0)</f>
        <v>0</v>
      </c>
      <c r="AB10" s="107" t="n">
        <f aca="false">IF(K10="نعم",J10*C10,0)</f>
        <v>0</v>
      </c>
      <c r="AC10" s="107"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7" t="n">
        <f aca="false">'مواد المخزون'!E6</f>
        <v>18</v>
      </c>
      <c r="D11" s="108" t="n">
        <f aca="false">'جرد أول المدة'!E9</f>
        <v>68</v>
      </c>
      <c r="E11" s="108" t="n">
        <f aca="false">SUMIFS('مشتريات يومية'!$D$2:$D$4001,'مشتريات يومية'!$B$2:$B$4001,$B$2,'مشتريات يومية'!$C$2:$C$4001,$A11,'مشتريات يومية'!$A$2:$A$4001,"&gt;="&amp;'إعدادات المخزون'!$B$5,'مشتريات يومية'!$A$2:$A$4001,"&lt;="&amp;'إعدادات المخزون'!$B$4)</f>
        <v>249</v>
      </c>
      <c r="F11" s="108"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8"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8" t="n">
        <f aca="false">SUMPRODUCT('مصفوفة الاستهلاك'!$F$2:$F$172,'متجهات المبيعات'!$I$2:$I$172)/'مواد المخزون'!$D$6</f>
        <v>0</v>
      </c>
      <c r="I11" s="108"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8" t="n">
        <f aca="false">D11+E11+F11-G11-H11-I11</f>
        <v>317</v>
      </c>
      <c r="K11" s="36" t="str">
        <f aca="false">IF(COUNTIFS('جرد فعلي'!$B$2:$B$12001,$B$2,'جرد فعلي'!$C$2:$C$12001,$A11,'جرد فعلي'!$A$2:$A$12001,'إعدادات المخزون'!$B$4)&gt;0,"نعم","لا")</f>
        <v>لا</v>
      </c>
      <c r="L11" s="109" t="str">
        <f aca="false">IF(K11="نعم",SUMIFS('جرد فعلي'!$D$2:$D$12001,'جرد فعلي'!$B$2:$B$12001,$B$2,'جرد فعلي'!$C$2:$C$12001,$A11,'جرد فعلي'!$A$2:$A$12001,'إعدادات المخزون'!$B$4),"")</f>
        <v/>
      </c>
      <c r="M11" s="108" t="str">
        <f aca="false">IF(K11="نعم",L11-J11,"")</f>
        <v/>
      </c>
      <c r="N11" s="110" t="str">
        <f aca="false">IF(K11="نعم",IF(J11=0,IF(M11=0,0,SIGN(M11)),M11/ABS(J11)),"")</f>
        <v/>
      </c>
      <c r="O11" s="107" t="str">
        <f aca="false">IF(K11="نعم",M11*C11,"")</f>
        <v/>
      </c>
      <c r="P11" s="36" t="str">
        <f aca="false">IF(K11&lt;&gt;"نعم","لم يُجرد",IF(ABS(N11)&lt;='إعدادات المخزون'!$B$7,"مطابق",IF(M11&lt;0,"عجز","زيادة")))</f>
        <v>لم يُجرد</v>
      </c>
      <c r="Q11" s="108" t="n">
        <f aca="false">J11-Z11</f>
        <v>317</v>
      </c>
      <c r="R11" s="108"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8" t="str">
        <f aca="false">IF(AND(K11="نعم",R11&lt;&gt;""),(L11-J11)-(R11-Q11),"")</f>
        <v/>
      </c>
      <c r="T11" s="107" t="str">
        <f aca="false">IF(S11="","",S11*C11)</f>
        <v/>
      </c>
      <c r="U11" s="108" t="n">
        <f aca="false">IF(K11="نعم",L11,J11)</f>
        <v>317</v>
      </c>
      <c r="V11" s="108" t="n">
        <f aca="false">SUMPRODUCT('مصفوفة الاستهلاك'!$F$2:$F$172,'متجهات المبيعات'!$J$2:$J$172)/'مواد المخزون'!$D$6/MAX(1,MIN('إعدادات المخزون'!$B$11,'إعدادات المخزون'!$B$4-'إعدادات المخزون'!$B$5+1))</f>
        <v>0</v>
      </c>
      <c r="W11" s="108" t="n">
        <f aca="false">IF(V11&lt;=0,0,ROUNDUP(MAX(0,V11*('إعدادات المخزون'!$B$8+'إعدادات المخزون'!$B$9+'إعدادات المخزون'!$B$10)-MAX(U11,0))/'مواد المخزون'!$F6,0)*'مواد المخزون'!$F6)</f>
        <v>0</v>
      </c>
      <c r="X11" s="107" t="n">
        <f aca="false">IF(AND(K11="نعم",O11&lt;0),-O11+ROW()*0.000000001,0)</f>
        <v>0</v>
      </c>
      <c r="Y11" s="107" t="n">
        <f aca="false">IF(AND(K11="نعم",O11&gt;0),O11+ROW()*0.000000001,0)</f>
        <v>0</v>
      </c>
      <c r="Z11" s="108"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المبيعات'!$H$2:$H$172)/'مواد المخزون'!$D$6</f>
        <v>0</v>
      </c>
      <c r="AA11" s="107" t="n">
        <f aca="false">IF(K11="نعم",O11,0)</f>
        <v>0</v>
      </c>
      <c r="AB11" s="107" t="n">
        <f aca="false">IF(K11="نعم",J11*C11,0)</f>
        <v>0</v>
      </c>
      <c r="AC11" s="107"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7" t="n">
        <f aca="false">'مواد المخزون'!E7</f>
        <v>35</v>
      </c>
      <c r="D12" s="108" t="n">
        <f aca="false">'جرد أول المدة'!E10</f>
        <v>64</v>
      </c>
      <c r="E12" s="108" t="n">
        <f aca="false">SUMIFS('مشتريات يومية'!$D$2:$D$4001,'مشتريات يومية'!$B$2:$B$4001,$B$2,'مشتريات يومية'!$C$2:$C$4001,$A12,'مشتريات يومية'!$A$2:$A$4001,"&gt;="&amp;'إعدادات المخزون'!$B$5,'مشتريات يومية'!$A$2:$A$4001,"&lt;="&amp;'إعدادات المخزون'!$B$4)</f>
        <v>470</v>
      </c>
      <c r="F12" s="108"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8"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8" t="n">
        <f aca="false">SUMPRODUCT('مصفوفة الاستهلاك'!$G$2:$G$172,'متجهات المبيعات'!$I$2:$I$172)/'مواد المخزون'!$D$7</f>
        <v>0</v>
      </c>
      <c r="I12" s="108"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8" t="n">
        <f aca="false">D12+E12+F12-G12-H12-I12</f>
        <v>534</v>
      </c>
      <c r="K12" s="36" t="str">
        <f aca="false">IF(COUNTIFS('جرد فعلي'!$B$2:$B$12001,$B$2,'جرد فعلي'!$C$2:$C$12001,$A12,'جرد فعلي'!$A$2:$A$12001,'إعدادات المخزون'!$B$4)&gt;0,"نعم","لا")</f>
        <v>لا</v>
      </c>
      <c r="L12" s="109" t="str">
        <f aca="false">IF(K12="نعم",SUMIFS('جرد فعلي'!$D$2:$D$12001,'جرد فعلي'!$B$2:$B$12001,$B$2,'جرد فعلي'!$C$2:$C$12001,$A12,'جرد فعلي'!$A$2:$A$12001,'إعدادات المخزون'!$B$4),"")</f>
        <v/>
      </c>
      <c r="M12" s="108" t="str">
        <f aca="false">IF(K12="نعم",L12-J12,"")</f>
        <v/>
      </c>
      <c r="N12" s="110" t="str">
        <f aca="false">IF(K12="نعم",IF(J12=0,IF(M12=0,0,SIGN(M12)),M12/ABS(J12)),"")</f>
        <v/>
      </c>
      <c r="O12" s="107" t="str">
        <f aca="false">IF(K12="نعم",M12*C12,"")</f>
        <v/>
      </c>
      <c r="P12" s="36" t="str">
        <f aca="false">IF(K12&lt;&gt;"نعم","لم يُجرد",IF(ABS(N12)&lt;='إعدادات المخزون'!$B$7,"مطابق",IF(M12&lt;0,"عجز","زيادة")))</f>
        <v>لم يُجرد</v>
      </c>
      <c r="Q12" s="108" t="n">
        <f aca="false">J12-Z12</f>
        <v>534</v>
      </c>
      <c r="R12" s="108"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8" t="str">
        <f aca="false">IF(AND(K12="نعم",R12&lt;&gt;""),(L12-J12)-(R12-Q12),"")</f>
        <v/>
      </c>
      <c r="T12" s="107" t="str">
        <f aca="false">IF(S12="","",S12*C12)</f>
        <v/>
      </c>
      <c r="U12" s="108" t="n">
        <f aca="false">IF(K12="نعم",L12,J12)</f>
        <v>534</v>
      </c>
      <c r="V12" s="108" t="n">
        <f aca="false">SUMPRODUCT('مصفوفة الاستهلاك'!$G$2:$G$172,'متجهات المبيعات'!$J$2:$J$172)/'مواد المخزون'!$D$7/MAX(1,MIN('إعدادات المخزون'!$B$11,'إعدادات المخزون'!$B$4-'إعدادات المخزون'!$B$5+1))</f>
        <v>0</v>
      </c>
      <c r="W12" s="108" t="n">
        <f aca="false">IF(V12&lt;=0,0,ROUNDUP(MAX(0,V12*('إعدادات المخزون'!$B$8+'إعدادات المخزون'!$B$9+'إعدادات المخزون'!$B$10)-MAX(U12,0))/'مواد المخزون'!$F7,0)*'مواد المخزون'!$F7)</f>
        <v>0</v>
      </c>
      <c r="X12" s="107" t="n">
        <f aca="false">IF(AND(K12="نعم",O12&lt;0),-O12+ROW()*0.000000001,0)</f>
        <v>0</v>
      </c>
      <c r="Y12" s="107" t="n">
        <f aca="false">IF(AND(K12="نعم",O12&gt;0),O12+ROW()*0.000000001,0)</f>
        <v>0</v>
      </c>
      <c r="Z12" s="108"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المبيعات'!$H$2:$H$172)/'مواد المخزون'!$D$7</f>
        <v>0</v>
      </c>
      <c r="AA12" s="107" t="n">
        <f aca="false">IF(K12="نعم",O12,0)</f>
        <v>0</v>
      </c>
      <c r="AB12" s="107" t="n">
        <f aca="false">IF(K12="نعم",J12*C12,0)</f>
        <v>0</v>
      </c>
      <c r="AC12" s="107"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7" t="n">
        <f aca="false">'مواد المخزون'!E8</f>
        <v>46.6667</v>
      </c>
      <c r="D13" s="108" t="n">
        <f aca="false">'جرد أول المدة'!E11</f>
        <v>98.5</v>
      </c>
      <c r="E13" s="108" t="n">
        <f aca="false">SUMIFS('مشتريات يومية'!$D$2:$D$4001,'مشتريات يومية'!$B$2:$B$4001,$B$2,'مشتريات يومية'!$C$2:$C$4001,$A13,'مشتريات يومية'!$A$2:$A$4001,"&gt;="&amp;'إعدادات المخزون'!$B$5,'مشتريات يومية'!$A$2:$A$4001,"&lt;="&amp;'إعدادات المخزون'!$B$4)</f>
        <v>80</v>
      </c>
      <c r="F13" s="108"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8"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8" t="n">
        <f aca="false">SUMPRODUCT('مصفوفة الاستهلاك'!$H$2:$H$172,'متجهات المبيعات'!$I$2:$I$172)/'مواد المخزون'!$D$8</f>
        <v>0</v>
      </c>
      <c r="I13" s="108"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8" t="n">
        <f aca="false">D13+E13+F13-G13-H13-I13</f>
        <v>178.5</v>
      </c>
      <c r="K13" s="36" t="str">
        <f aca="false">IF(COUNTIFS('جرد فعلي'!$B$2:$B$12001,$B$2,'جرد فعلي'!$C$2:$C$12001,$A13,'جرد فعلي'!$A$2:$A$12001,'إعدادات المخزون'!$B$4)&gt;0,"نعم","لا")</f>
        <v>لا</v>
      </c>
      <c r="L13" s="109" t="str">
        <f aca="false">IF(K13="نعم",SUMIFS('جرد فعلي'!$D$2:$D$12001,'جرد فعلي'!$B$2:$B$12001,$B$2,'جرد فعلي'!$C$2:$C$12001,$A13,'جرد فعلي'!$A$2:$A$12001,'إعدادات المخزون'!$B$4),"")</f>
        <v/>
      </c>
      <c r="M13" s="108" t="str">
        <f aca="false">IF(K13="نعم",L13-J13,"")</f>
        <v/>
      </c>
      <c r="N13" s="110" t="str">
        <f aca="false">IF(K13="نعم",IF(J13=0,IF(M13=0,0,SIGN(M13)),M13/ABS(J13)),"")</f>
        <v/>
      </c>
      <c r="O13" s="107" t="str">
        <f aca="false">IF(K13="نعم",M13*C13,"")</f>
        <v/>
      </c>
      <c r="P13" s="36" t="str">
        <f aca="false">IF(K13&lt;&gt;"نعم","لم يُجرد",IF(ABS(N13)&lt;='إعدادات المخزون'!$B$7,"مطابق",IF(M13&lt;0,"عجز","زيادة")))</f>
        <v>لم يُجرد</v>
      </c>
      <c r="Q13" s="108" t="n">
        <f aca="false">J13-Z13</f>
        <v>178.5</v>
      </c>
      <c r="R13" s="108"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8" t="str">
        <f aca="false">IF(AND(K13="نعم",R13&lt;&gt;""),(L13-J13)-(R13-Q13),"")</f>
        <v/>
      </c>
      <c r="T13" s="107" t="str">
        <f aca="false">IF(S13="","",S13*C13)</f>
        <v/>
      </c>
      <c r="U13" s="108" t="n">
        <f aca="false">IF(K13="نعم",L13,J13)</f>
        <v>178.5</v>
      </c>
      <c r="V13" s="108" t="n">
        <f aca="false">SUMPRODUCT('مصفوفة الاستهلاك'!$H$2:$H$172,'متجهات المبيعات'!$J$2:$J$172)/'مواد المخزون'!$D$8/MAX(1,MIN('إعدادات المخزون'!$B$11,'إعدادات المخزون'!$B$4-'إعدادات المخزون'!$B$5+1))</f>
        <v>0</v>
      </c>
      <c r="W13" s="108" t="n">
        <f aca="false">IF(V13&lt;=0,0,ROUNDUP(MAX(0,V13*('إعدادات المخزون'!$B$8+'إعدادات المخزون'!$B$9+'إعدادات المخزون'!$B$10)-MAX(U13,0))/'مواد المخزون'!$F8,0)*'مواد المخزون'!$F8)</f>
        <v>0</v>
      </c>
      <c r="X13" s="107" t="n">
        <f aca="false">IF(AND(K13="نعم",O13&lt;0),-O13+ROW()*0.000000001,0)</f>
        <v>0</v>
      </c>
      <c r="Y13" s="107" t="n">
        <f aca="false">IF(AND(K13="نعم",O13&gt;0),O13+ROW()*0.000000001,0)</f>
        <v>0</v>
      </c>
      <c r="Z13" s="108"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المبيعات'!$H$2:$H$172)/'مواد المخزون'!$D$8</f>
        <v>0</v>
      </c>
      <c r="AA13" s="107" t="n">
        <f aca="false">IF(K13="نعم",O13,0)</f>
        <v>0</v>
      </c>
      <c r="AB13" s="107" t="n">
        <f aca="false">IF(K13="نعم",J13*C13,0)</f>
        <v>0</v>
      </c>
      <c r="AC13" s="107"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7" t="n">
        <f aca="false">'مواد المخزون'!E9</f>
        <v>5.65</v>
      </c>
      <c r="D14" s="108" t="n">
        <f aca="false">'جرد أول المدة'!E12</f>
        <v>33</v>
      </c>
      <c r="E14" s="108" t="n">
        <f aca="false">SUMIFS('مشتريات يومية'!$D$2:$D$4001,'مشتريات يومية'!$B$2:$B$4001,$B$2,'مشتريات يومية'!$C$2:$C$4001,$A14,'مشتريات يومية'!$A$2:$A$4001,"&gt;="&amp;'إعدادات المخزون'!$B$5,'مشتريات يومية'!$A$2:$A$4001,"&lt;="&amp;'إعدادات المخزون'!$B$4)</f>
        <v>225</v>
      </c>
      <c r="F14" s="108"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8"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8" t="n">
        <f aca="false">SUMPRODUCT('مصفوفة الاستهلاك'!$I$2:$I$172,'متجهات المبيعات'!$I$2:$I$172)/'مواد المخزون'!$D$9</f>
        <v>0</v>
      </c>
      <c r="I14" s="108"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8" t="n">
        <f aca="false">D14+E14+F14-G14-H14-I14</f>
        <v>258</v>
      </c>
      <c r="K14" s="36" t="str">
        <f aca="false">IF(COUNTIFS('جرد فعلي'!$B$2:$B$12001,$B$2,'جرد فعلي'!$C$2:$C$12001,$A14,'جرد فعلي'!$A$2:$A$12001,'إعدادات المخزون'!$B$4)&gt;0,"نعم","لا")</f>
        <v>لا</v>
      </c>
      <c r="L14" s="109" t="str">
        <f aca="false">IF(K14="نعم",SUMIFS('جرد فعلي'!$D$2:$D$12001,'جرد فعلي'!$B$2:$B$12001,$B$2,'جرد فعلي'!$C$2:$C$12001,$A14,'جرد فعلي'!$A$2:$A$12001,'إعدادات المخزون'!$B$4),"")</f>
        <v/>
      </c>
      <c r="M14" s="108" t="str">
        <f aca="false">IF(K14="نعم",L14-J14,"")</f>
        <v/>
      </c>
      <c r="N14" s="110" t="str">
        <f aca="false">IF(K14="نعم",IF(J14=0,IF(M14=0,0,SIGN(M14)),M14/ABS(J14)),"")</f>
        <v/>
      </c>
      <c r="O14" s="107" t="str">
        <f aca="false">IF(K14="نعم",M14*C14,"")</f>
        <v/>
      </c>
      <c r="P14" s="36" t="str">
        <f aca="false">IF(K14&lt;&gt;"نعم","لم يُجرد",IF(ABS(N14)&lt;='إعدادات المخزون'!$B$7,"مطابق",IF(M14&lt;0,"عجز","زيادة")))</f>
        <v>لم يُجرد</v>
      </c>
      <c r="Q14" s="108" t="n">
        <f aca="false">J14-Z14</f>
        <v>258</v>
      </c>
      <c r="R14" s="108"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8" t="str">
        <f aca="false">IF(AND(K14="نعم",R14&lt;&gt;""),(L14-J14)-(R14-Q14),"")</f>
        <v/>
      </c>
      <c r="T14" s="107" t="str">
        <f aca="false">IF(S14="","",S14*C14)</f>
        <v/>
      </c>
      <c r="U14" s="108" t="n">
        <f aca="false">IF(K14="نعم",L14,J14)</f>
        <v>258</v>
      </c>
      <c r="V14" s="108" t="n">
        <f aca="false">SUMPRODUCT('مصفوفة الاستهلاك'!$I$2:$I$172,'متجهات المبيعات'!$J$2:$J$172)/'مواد المخزون'!$D$9/MAX(1,MIN('إعدادات المخزون'!$B$11,'إعدادات المخزون'!$B$4-'إعدادات المخزون'!$B$5+1))</f>
        <v>0</v>
      </c>
      <c r="W14" s="108" t="n">
        <f aca="false">IF(V14&lt;=0,0,ROUNDUP(MAX(0,V14*('إعدادات المخزون'!$B$8+'إعدادات المخزون'!$B$9+'إعدادات المخزون'!$B$10)-MAX(U14,0))/'مواد المخزون'!$F9,0)*'مواد المخزون'!$F9)</f>
        <v>0</v>
      </c>
      <c r="X14" s="107" t="n">
        <f aca="false">IF(AND(K14="نعم",O14&lt;0),-O14+ROW()*0.000000001,0)</f>
        <v>0</v>
      </c>
      <c r="Y14" s="107" t="n">
        <f aca="false">IF(AND(K14="نعم",O14&gt;0),O14+ROW()*0.000000001,0)</f>
        <v>0</v>
      </c>
      <c r="Z14" s="108"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المبيعات'!$H$2:$H$172)/'مواد المخزون'!$D$9</f>
        <v>0</v>
      </c>
      <c r="AA14" s="107" t="n">
        <f aca="false">IF(K14="نعم",O14,0)</f>
        <v>0</v>
      </c>
      <c r="AB14" s="107" t="n">
        <f aca="false">IF(K14="نعم",J14*C14,0)</f>
        <v>0</v>
      </c>
      <c r="AC14" s="107"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7" t="n">
        <f aca="false">'مواد المخزون'!E10</f>
        <v>9</v>
      </c>
      <c r="D15" s="108" t="n">
        <f aca="false">'جرد أول المدة'!E13</f>
        <v>44</v>
      </c>
      <c r="E15" s="108" t="n">
        <f aca="false">SUMIFS('مشتريات يومية'!$D$2:$D$4001,'مشتريات يومية'!$B$2:$B$4001,$B$2,'مشتريات يومية'!$C$2:$C$4001,$A15,'مشتريات يومية'!$A$2:$A$4001,"&gt;="&amp;'إعدادات المخزون'!$B$5,'مشتريات يومية'!$A$2:$A$4001,"&lt;="&amp;'إعدادات المخزون'!$B$4)</f>
        <v>600</v>
      </c>
      <c r="F15" s="108"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8"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8" t="n">
        <f aca="false">SUMPRODUCT('مصفوفة الاستهلاك'!$J$2:$J$172,'متجهات المبيعات'!$I$2:$I$172)/'مواد المخزون'!$D$10</f>
        <v>0</v>
      </c>
      <c r="I15" s="108"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8" t="n">
        <f aca="false">D15+E15+F15-G15-H15-I15</f>
        <v>644</v>
      </c>
      <c r="K15" s="36" t="str">
        <f aca="false">IF(COUNTIFS('جرد فعلي'!$B$2:$B$12001,$B$2,'جرد فعلي'!$C$2:$C$12001,$A15,'جرد فعلي'!$A$2:$A$12001,'إعدادات المخزون'!$B$4)&gt;0,"نعم","لا")</f>
        <v>لا</v>
      </c>
      <c r="L15" s="109" t="str">
        <f aca="false">IF(K15="نعم",SUMIFS('جرد فعلي'!$D$2:$D$12001,'جرد فعلي'!$B$2:$B$12001,$B$2,'جرد فعلي'!$C$2:$C$12001,$A15,'جرد فعلي'!$A$2:$A$12001,'إعدادات المخزون'!$B$4),"")</f>
        <v/>
      </c>
      <c r="M15" s="108" t="str">
        <f aca="false">IF(K15="نعم",L15-J15,"")</f>
        <v/>
      </c>
      <c r="N15" s="110" t="str">
        <f aca="false">IF(K15="نعم",IF(J15=0,IF(M15=0,0,SIGN(M15)),M15/ABS(J15)),"")</f>
        <v/>
      </c>
      <c r="O15" s="107" t="str">
        <f aca="false">IF(K15="نعم",M15*C15,"")</f>
        <v/>
      </c>
      <c r="P15" s="36" t="str">
        <f aca="false">IF(K15&lt;&gt;"نعم","لم يُجرد",IF(ABS(N15)&lt;='إعدادات المخزون'!$B$7,"مطابق",IF(M15&lt;0,"عجز","زيادة")))</f>
        <v>لم يُجرد</v>
      </c>
      <c r="Q15" s="108" t="n">
        <f aca="false">J15-Z15</f>
        <v>644</v>
      </c>
      <c r="R15" s="108"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8" t="str">
        <f aca="false">IF(AND(K15="نعم",R15&lt;&gt;""),(L15-J15)-(R15-Q15),"")</f>
        <v/>
      </c>
      <c r="T15" s="107" t="str">
        <f aca="false">IF(S15="","",S15*C15)</f>
        <v/>
      </c>
      <c r="U15" s="108" t="n">
        <f aca="false">IF(K15="نعم",L15,J15)</f>
        <v>644</v>
      </c>
      <c r="V15" s="108" t="n">
        <f aca="false">SUMPRODUCT('مصفوفة الاستهلاك'!$J$2:$J$172,'متجهات المبيعات'!$J$2:$J$172)/'مواد المخزون'!$D$10/MAX(1,MIN('إعدادات المخزون'!$B$11,'إعدادات المخزون'!$B$4-'إعدادات المخزون'!$B$5+1))</f>
        <v>0</v>
      </c>
      <c r="W15" s="108" t="n">
        <f aca="false">IF(V15&lt;=0,0,ROUNDUP(MAX(0,V15*('إعدادات المخزون'!$B$8+'إعدادات المخزون'!$B$9+'إعدادات المخزون'!$B$10)-MAX(U15,0))/'مواد المخزون'!$F10,0)*'مواد المخزون'!$F10)</f>
        <v>0</v>
      </c>
      <c r="X15" s="107" t="n">
        <f aca="false">IF(AND(K15="نعم",O15&lt;0),-O15+ROW()*0.000000001,0)</f>
        <v>0</v>
      </c>
      <c r="Y15" s="107" t="n">
        <f aca="false">IF(AND(K15="نعم",O15&gt;0),O15+ROW()*0.000000001,0)</f>
        <v>0</v>
      </c>
      <c r="Z15" s="108"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المبيعات'!$H$2:$H$172)/'مواد المخزون'!$D$10</f>
        <v>0</v>
      </c>
      <c r="AA15" s="107" t="n">
        <f aca="false">IF(K15="نعم",O15,0)</f>
        <v>0</v>
      </c>
      <c r="AB15" s="107" t="n">
        <f aca="false">IF(K15="نعم",J15*C15,0)</f>
        <v>0</v>
      </c>
      <c r="AC15" s="107"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7" t="n">
        <f aca="false">'مواد المخزون'!E11</f>
        <v>95</v>
      </c>
      <c r="D16" s="108" t="n">
        <f aca="false">'جرد أول المدة'!E14</f>
        <v>12</v>
      </c>
      <c r="E16" s="108" t="n">
        <f aca="false">SUMIFS('مشتريات يومية'!$D$2:$D$4001,'مشتريات يومية'!$B$2:$B$4001,$B$2,'مشتريات يومية'!$C$2:$C$4001,$A16,'مشتريات يومية'!$A$2:$A$4001,"&gt;="&amp;'إعدادات المخزون'!$B$5,'مشتريات يومية'!$A$2:$A$4001,"&lt;="&amp;'إعدادات المخزون'!$B$4)</f>
        <v>10</v>
      </c>
      <c r="F16" s="108"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8"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8" t="n">
        <f aca="false">SUMPRODUCT('مصفوفة الاستهلاك'!$K$2:$K$172,'متجهات المبيعات'!$I$2:$I$172)/'مواد المخزون'!$D$11</f>
        <v>0</v>
      </c>
      <c r="I16" s="108"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8" t="n">
        <f aca="false">D16+E16+F16-G16-H16-I16</f>
        <v>22</v>
      </c>
      <c r="K16" s="36" t="str">
        <f aca="false">IF(COUNTIFS('جرد فعلي'!$B$2:$B$12001,$B$2,'جرد فعلي'!$C$2:$C$12001,$A16,'جرد فعلي'!$A$2:$A$12001,'إعدادات المخزون'!$B$4)&gt;0,"نعم","لا")</f>
        <v>لا</v>
      </c>
      <c r="L16" s="109" t="str">
        <f aca="false">IF(K16="نعم",SUMIFS('جرد فعلي'!$D$2:$D$12001,'جرد فعلي'!$B$2:$B$12001,$B$2,'جرد فعلي'!$C$2:$C$12001,$A16,'جرد فعلي'!$A$2:$A$12001,'إعدادات المخزون'!$B$4),"")</f>
        <v/>
      </c>
      <c r="M16" s="108" t="str">
        <f aca="false">IF(K16="نعم",L16-J16,"")</f>
        <v/>
      </c>
      <c r="N16" s="110" t="str">
        <f aca="false">IF(K16="نعم",IF(J16=0,IF(M16=0,0,SIGN(M16)),M16/ABS(J16)),"")</f>
        <v/>
      </c>
      <c r="O16" s="107" t="str">
        <f aca="false">IF(K16="نعم",M16*C16,"")</f>
        <v/>
      </c>
      <c r="P16" s="36" t="str">
        <f aca="false">IF(K16&lt;&gt;"نعم","لم يُجرد",IF(ABS(N16)&lt;='إعدادات المخزون'!$B$7,"مطابق",IF(M16&lt;0,"عجز","زيادة")))</f>
        <v>لم يُجرد</v>
      </c>
      <c r="Q16" s="108" t="n">
        <f aca="false">J16-Z16</f>
        <v>22</v>
      </c>
      <c r="R16" s="108"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8" t="str">
        <f aca="false">IF(AND(K16="نعم",R16&lt;&gt;""),(L16-J16)-(R16-Q16),"")</f>
        <v/>
      </c>
      <c r="T16" s="107" t="str">
        <f aca="false">IF(S16="","",S16*C16)</f>
        <v/>
      </c>
      <c r="U16" s="108" t="n">
        <f aca="false">IF(K16="نعم",L16,J16)</f>
        <v>22</v>
      </c>
      <c r="V16" s="108" t="n">
        <f aca="false">SUMPRODUCT('مصفوفة الاستهلاك'!$K$2:$K$172,'متجهات المبيعات'!$J$2:$J$172)/'مواد المخزون'!$D$11/MAX(1,MIN('إعدادات المخزون'!$B$11,'إعدادات المخزون'!$B$4-'إعدادات المخزون'!$B$5+1))</f>
        <v>0</v>
      </c>
      <c r="W16" s="108" t="n">
        <f aca="false">IF(V16&lt;=0,0,ROUNDUP(MAX(0,V16*('إعدادات المخزون'!$B$8+'إعدادات المخزون'!$B$9+'إعدادات المخزون'!$B$10)-MAX(U16,0))/'مواد المخزون'!$F11,0)*'مواد المخزون'!$F11)</f>
        <v>0</v>
      </c>
      <c r="X16" s="107" t="n">
        <f aca="false">IF(AND(K16="نعم",O16&lt;0),-O16+ROW()*0.000000001,0)</f>
        <v>0</v>
      </c>
      <c r="Y16" s="107" t="n">
        <f aca="false">IF(AND(K16="نعم",O16&gt;0),O16+ROW()*0.000000001,0)</f>
        <v>0</v>
      </c>
      <c r="Z16" s="108"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المبيعات'!$H$2:$H$172)/'مواد المخزون'!$D$11</f>
        <v>0</v>
      </c>
      <c r="AA16" s="107" t="n">
        <f aca="false">IF(K16="نعم",O16,0)</f>
        <v>0</v>
      </c>
      <c r="AB16" s="107" t="n">
        <f aca="false">IF(K16="نعم",J16*C16,0)</f>
        <v>0</v>
      </c>
      <c r="AC16" s="107"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7" t="n">
        <f aca="false">'مواد المخزون'!E12</f>
        <v>34</v>
      </c>
      <c r="D17" s="108" t="n">
        <f aca="false">'جرد أول المدة'!E15</f>
        <v>62</v>
      </c>
      <c r="E17" s="108" t="n">
        <f aca="false">SUMIFS('مشتريات يومية'!$D$2:$D$4001,'مشتريات يومية'!$B$2:$B$4001,$B$2,'مشتريات يومية'!$C$2:$C$4001,$A17,'مشتريات يومية'!$A$2:$A$4001,"&gt;="&amp;'إعدادات المخزون'!$B$5,'مشتريات يومية'!$A$2:$A$4001,"&lt;="&amp;'إعدادات المخزون'!$B$4)</f>
        <v>541</v>
      </c>
      <c r="F17" s="108"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8"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8" t="n">
        <f aca="false">SUMPRODUCT('مصفوفة الاستهلاك'!$L$2:$L$172,'متجهات المبيعات'!$I$2:$I$172)/'مواد المخزون'!$D$12</f>
        <v>0</v>
      </c>
      <c r="I17" s="108"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8" t="n">
        <f aca="false">D17+E17+F17-G17-H17-I17</f>
        <v>603</v>
      </c>
      <c r="K17" s="36" t="str">
        <f aca="false">IF(COUNTIFS('جرد فعلي'!$B$2:$B$12001,$B$2,'جرد فعلي'!$C$2:$C$12001,$A17,'جرد فعلي'!$A$2:$A$12001,'إعدادات المخزون'!$B$4)&gt;0,"نعم","لا")</f>
        <v>لا</v>
      </c>
      <c r="L17" s="109" t="str">
        <f aca="false">IF(K17="نعم",SUMIFS('جرد فعلي'!$D$2:$D$12001,'جرد فعلي'!$B$2:$B$12001,$B$2,'جرد فعلي'!$C$2:$C$12001,$A17,'جرد فعلي'!$A$2:$A$12001,'إعدادات المخزون'!$B$4),"")</f>
        <v/>
      </c>
      <c r="M17" s="108" t="str">
        <f aca="false">IF(K17="نعم",L17-J17,"")</f>
        <v/>
      </c>
      <c r="N17" s="110" t="str">
        <f aca="false">IF(K17="نعم",IF(J17=0,IF(M17=0,0,SIGN(M17)),M17/ABS(J17)),"")</f>
        <v/>
      </c>
      <c r="O17" s="107" t="str">
        <f aca="false">IF(K17="نعم",M17*C17,"")</f>
        <v/>
      </c>
      <c r="P17" s="36" t="str">
        <f aca="false">IF(K17&lt;&gt;"نعم","لم يُجرد",IF(ABS(N17)&lt;='إعدادات المخزون'!$B$7,"مطابق",IF(M17&lt;0,"عجز","زيادة")))</f>
        <v>لم يُجرد</v>
      </c>
      <c r="Q17" s="108" t="n">
        <f aca="false">J17-Z17</f>
        <v>603</v>
      </c>
      <c r="R17" s="108"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8" t="str">
        <f aca="false">IF(AND(K17="نعم",R17&lt;&gt;""),(L17-J17)-(R17-Q17),"")</f>
        <v/>
      </c>
      <c r="T17" s="107" t="str">
        <f aca="false">IF(S17="","",S17*C17)</f>
        <v/>
      </c>
      <c r="U17" s="108" t="n">
        <f aca="false">IF(K17="نعم",L17,J17)</f>
        <v>603</v>
      </c>
      <c r="V17" s="108" t="n">
        <f aca="false">SUMPRODUCT('مصفوفة الاستهلاك'!$L$2:$L$172,'متجهات المبيعات'!$J$2:$J$172)/'مواد المخزون'!$D$12/MAX(1,MIN('إعدادات المخزون'!$B$11,'إعدادات المخزون'!$B$4-'إعدادات المخزون'!$B$5+1))</f>
        <v>0</v>
      </c>
      <c r="W17" s="108" t="n">
        <f aca="false">IF(V17&lt;=0,0,ROUNDUP(MAX(0,V17*('إعدادات المخزون'!$B$8+'إعدادات المخزون'!$B$9+'إعدادات المخزون'!$B$10)-MAX(U17,0))/'مواد المخزون'!$F12,0)*'مواد المخزون'!$F12)</f>
        <v>0</v>
      </c>
      <c r="X17" s="107" t="n">
        <f aca="false">IF(AND(K17="نعم",O17&lt;0),-O17+ROW()*0.000000001,0)</f>
        <v>0</v>
      </c>
      <c r="Y17" s="107" t="n">
        <f aca="false">IF(AND(K17="نعم",O17&gt;0),O17+ROW()*0.000000001,0)</f>
        <v>0</v>
      </c>
      <c r="Z17" s="108"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المبيعات'!$H$2:$H$172)/'مواد المخزون'!$D$12</f>
        <v>0</v>
      </c>
      <c r="AA17" s="107" t="n">
        <f aca="false">IF(K17="نعم",O17,0)</f>
        <v>0</v>
      </c>
      <c r="AB17" s="107" t="n">
        <f aca="false">IF(K17="نعم",J17*C17,0)</f>
        <v>0</v>
      </c>
      <c r="AC17" s="107"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7" t="n">
        <f aca="false">'مواد المخزون'!E13</f>
        <v>45</v>
      </c>
      <c r="D18" s="108" t="n">
        <f aca="false">'جرد أول المدة'!E16</f>
        <v>26</v>
      </c>
      <c r="E18" s="108" t="n">
        <f aca="false">SUMIFS('مشتريات يومية'!$D$2:$D$4001,'مشتريات يومية'!$B$2:$B$4001,$B$2,'مشتريات يومية'!$C$2:$C$4001,$A18,'مشتريات يومية'!$A$2:$A$4001,"&gt;="&amp;'إعدادات المخزون'!$B$5,'مشتريات يومية'!$A$2:$A$4001,"&lt;="&amp;'إعدادات المخزون'!$B$4)</f>
        <v>100</v>
      </c>
      <c r="F18" s="108"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8"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8" t="n">
        <f aca="false">SUMPRODUCT('مصفوفة الاستهلاك'!$M$2:$M$172,'متجهات المبيعات'!$I$2:$I$172)/'مواد المخزون'!$D$13</f>
        <v>0</v>
      </c>
      <c r="I18" s="108"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8" t="n">
        <f aca="false">D18+E18+F18-G18-H18-I18</f>
        <v>126</v>
      </c>
      <c r="K18" s="36" t="str">
        <f aca="false">IF(COUNTIFS('جرد فعلي'!$B$2:$B$12001,$B$2,'جرد فعلي'!$C$2:$C$12001,$A18,'جرد فعلي'!$A$2:$A$12001,'إعدادات المخزون'!$B$4)&gt;0,"نعم","لا")</f>
        <v>لا</v>
      </c>
      <c r="L18" s="109" t="str">
        <f aca="false">IF(K18="نعم",SUMIFS('جرد فعلي'!$D$2:$D$12001,'جرد فعلي'!$B$2:$B$12001,$B$2,'جرد فعلي'!$C$2:$C$12001,$A18,'جرد فعلي'!$A$2:$A$12001,'إعدادات المخزون'!$B$4),"")</f>
        <v/>
      </c>
      <c r="M18" s="108" t="str">
        <f aca="false">IF(K18="نعم",L18-J18,"")</f>
        <v/>
      </c>
      <c r="N18" s="110" t="str">
        <f aca="false">IF(K18="نعم",IF(J18=0,IF(M18=0,0,SIGN(M18)),M18/ABS(J18)),"")</f>
        <v/>
      </c>
      <c r="O18" s="107" t="str">
        <f aca="false">IF(K18="نعم",M18*C18,"")</f>
        <v/>
      </c>
      <c r="P18" s="36" t="str">
        <f aca="false">IF(K18&lt;&gt;"نعم","لم يُجرد",IF(ABS(N18)&lt;='إعدادات المخزون'!$B$7,"مطابق",IF(M18&lt;0,"عجز","زيادة")))</f>
        <v>لم يُجرد</v>
      </c>
      <c r="Q18" s="108" t="n">
        <f aca="false">J18-Z18</f>
        <v>126</v>
      </c>
      <c r="R18" s="108"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8" t="str">
        <f aca="false">IF(AND(K18="نعم",R18&lt;&gt;""),(L18-J18)-(R18-Q18),"")</f>
        <v/>
      </c>
      <c r="T18" s="107" t="str">
        <f aca="false">IF(S18="","",S18*C18)</f>
        <v/>
      </c>
      <c r="U18" s="108" t="n">
        <f aca="false">IF(K18="نعم",L18,J18)</f>
        <v>126</v>
      </c>
      <c r="V18" s="108" t="n">
        <f aca="false">SUMPRODUCT('مصفوفة الاستهلاك'!$M$2:$M$172,'متجهات المبيعات'!$J$2:$J$172)/'مواد المخزون'!$D$13/MAX(1,MIN('إعدادات المخزون'!$B$11,'إعدادات المخزون'!$B$4-'إعدادات المخزون'!$B$5+1))</f>
        <v>0</v>
      </c>
      <c r="W18" s="108" t="n">
        <f aca="false">IF(V18&lt;=0,0,ROUNDUP(MAX(0,V18*('إعدادات المخزون'!$B$8+'إعدادات المخزون'!$B$9+'إعدادات المخزون'!$B$10)-MAX(U18,0))/'مواد المخزون'!$F13,0)*'مواد المخزون'!$F13)</f>
        <v>0</v>
      </c>
      <c r="X18" s="107" t="n">
        <f aca="false">IF(AND(K18="نعم",O18&lt;0),-O18+ROW()*0.000000001,0)</f>
        <v>0</v>
      </c>
      <c r="Y18" s="107" t="n">
        <f aca="false">IF(AND(K18="نعم",O18&gt;0),O18+ROW()*0.000000001,0)</f>
        <v>0</v>
      </c>
      <c r="Z18" s="108"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المبيعات'!$H$2:$H$172)/'مواد المخزون'!$D$13</f>
        <v>0</v>
      </c>
      <c r="AA18" s="107" t="n">
        <f aca="false">IF(K18="نعم",O18,0)</f>
        <v>0</v>
      </c>
      <c r="AB18" s="107" t="n">
        <f aca="false">IF(K18="نعم",J18*C18,0)</f>
        <v>0</v>
      </c>
      <c r="AC18" s="107"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7" t="n">
        <f aca="false">'مواد المخزون'!E14</f>
        <v>26.9708</v>
      </c>
      <c r="D19" s="108" t="n">
        <f aca="false">'جرد أول المدة'!E17</f>
        <v>13</v>
      </c>
      <c r="E19" s="108" t="n">
        <f aca="false">SUMIFS('مشتريات يومية'!$D$2:$D$4001,'مشتريات يومية'!$B$2:$B$4001,$B$2,'مشتريات يومية'!$C$2:$C$4001,$A19,'مشتريات يومية'!$A$2:$A$4001,"&gt;="&amp;'إعدادات المخزون'!$B$5,'مشتريات يومية'!$A$2:$A$4001,"&lt;="&amp;'إعدادات المخزون'!$B$4)</f>
        <v>64</v>
      </c>
      <c r="F19" s="108"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8"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8" t="n">
        <f aca="false">SUMPRODUCT('مصفوفة الاستهلاك'!$N$2:$N$172,'متجهات المبيعات'!$I$2:$I$172)/'مواد المخزون'!$D$14</f>
        <v>0</v>
      </c>
      <c r="I19" s="108"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8" t="n">
        <f aca="false">D19+E19+F19-G19-H19-I19</f>
        <v>77</v>
      </c>
      <c r="K19" s="36" t="str">
        <f aca="false">IF(COUNTIFS('جرد فعلي'!$B$2:$B$12001,$B$2,'جرد فعلي'!$C$2:$C$12001,$A19,'جرد فعلي'!$A$2:$A$12001,'إعدادات المخزون'!$B$4)&gt;0,"نعم","لا")</f>
        <v>لا</v>
      </c>
      <c r="L19" s="109" t="str">
        <f aca="false">IF(K19="نعم",SUMIFS('جرد فعلي'!$D$2:$D$12001,'جرد فعلي'!$B$2:$B$12001,$B$2,'جرد فعلي'!$C$2:$C$12001,$A19,'جرد فعلي'!$A$2:$A$12001,'إعدادات المخزون'!$B$4),"")</f>
        <v/>
      </c>
      <c r="M19" s="108" t="str">
        <f aca="false">IF(K19="نعم",L19-J19,"")</f>
        <v/>
      </c>
      <c r="N19" s="110" t="str">
        <f aca="false">IF(K19="نعم",IF(J19=0,IF(M19=0,0,SIGN(M19)),M19/ABS(J19)),"")</f>
        <v/>
      </c>
      <c r="O19" s="107" t="str">
        <f aca="false">IF(K19="نعم",M19*C19,"")</f>
        <v/>
      </c>
      <c r="P19" s="36" t="str">
        <f aca="false">IF(K19&lt;&gt;"نعم","لم يُجرد",IF(ABS(N19)&lt;='إعدادات المخزون'!$B$7,"مطابق",IF(M19&lt;0,"عجز","زيادة")))</f>
        <v>لم يُجرد</v>
      </c>
      <c r="Q19" s="108" t="n">
        <f aca="false">J19-Z19</f>
        <v>77</v>
      </c>
      <c r="R19" s="108"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8" t="str">
        <f aca="false">IF(AND(K19="نعم",R19&lt;&gt;""),(L19-J19)-(R19-Q19),"")</f>
        <v/>
      </c>
      <c r="T19" s="107" t="str">
        <f aca="false">IF(S19="","",S19*C19)</f>
        <v/>
      </c>
      <c r="U19" s="108" t="n">
        <f aca="false">IF(K19="نعم",L19,J19)</f>
        <v>77</v>
      </c>
      <c r="V19" s="108" t="n">
        <f aca="false">SUMPRODUCT('مصفوفة الاستهلاك'!$N$2:$N$172,'متجهات المبيعات'!$J$2:$J$172)/'مواد المخزون'!$D$14/MAX(1,MIN('إعدادات المخزون'!$B$11,'إعدادات المخزون'!$B$4-'إعدادات المخزون'!$B$5+1))</f>
        <v>0</v>
      </c>
      <c r="W19" s="108" t="n">
        <f aca="false">IF(V19&lt;=0,0,ROUNDUP(MAX(0,V19*('إعدادات المخزون'!$B$8+'إعدادات المخزون'!$B$9+'إعدادات المخزون'!$B$10)-MAX(U19,0))/'مواد المخزون'!$F14,0)*'مواد المخزون'!$F14)</f>
        <v>0</v>
      </c>
      <c r="X19" s="107" t="n">
        <f aca="false">IF(AND(K19="نعم",O19&lt;0),-O19+ROW()*0.000000001,0)</f>
        <v>0</v>
      </c>
      <c r="Y19" s="107" t="n">
        <f aca="false">IF(AND(K19="نعم",O19&gt;0),O19+ROW()*0.000000001,0)</f>
        <v>0</v>
      </c>
      <c r="Z19" s="108"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المبيعات'!$H$2:$H$172)/'مواد المخزون'!$D$14</f>
        <v>0</v>
      </c>
      <c r="AA19" s="107" t="n">
        <f aca="false">IF(K19="نعم",O19,0)</f>
        <v>0</v>
      </c>
      <c r="AB19" s="107" t="n">
        <f aca="false">IF(K19="نعم",J19*C19,0)</f>
        <v>0</v>
      </c>
      <c r="AC19" s="107"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7" t="n">
        <f aca="false">'مواد المخزون'!E15</f>
        <v>33.982</v>
      </c>
      <c r="D20" s="108" t="n">
        <f aca="false">'جرد أول المدة'!E18</f>
        <v>48</v>
      </c>
      <c r="E20" s="108" t="n">
        <f aca="false">SUMIFS('مشتريات يومية'!$D$2:$D$4001,'مشتريات يومية'!$B$2:$B$4001,$B$2,'مشتريات يومية'!$C$2:$C$4001,$A20,'مشتريات يومية'!$A$2:$A$4001,"&gt;="&amp;'إعدادات المخزون'!$B$5,'مشتريات يومية'!$A$2:$A$4001,"&lt;="&amp;'إعدادات المخزون'!$B$4)</f>
        <v>210</v>
      </c>
      <c r="F20" s="108"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8"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8" t="n">
        <f aca="false">SUMPRODUCT('مصفوفة الاستهلاك'!$O$2:$O$172,'متجهات المبيعات'!$I$2:$I$172)/'مواد المخزون'!$D$15</f>
        <v>0</v>
      </c>
      <c r="I20" s="108"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8" t="n">
        <f aca="false">D20+E20+F20-G20-H20-I20</f>
        <v>258</v>
      </c>
      <c r="K20" s="36" t="str">
        <f aca="false">IF(COUNTIFS('جرد فعلي'!$B$2:$B$12001,$B$2,'جرد فعلي'!$C$2:$C$12001,$A20,'جرد فعلي'!$A$2:$A$12001,'إعدادات المخزون'!$B$4)&gt;0,"نعم","لا")</f>
        <v>لا</v>
      </c>
      <c r="L20" s="109" t="str">
        <f aca="false">IF(K20="نعم",SUMIFS('جرد فعلي'!$D$2:$D$12001,'جرد فعلي'!$B$2:$B$12001,$B$2,'جرد فعلي'!$C$2:$C$12001,$A20,'جرد فعلي'!$A$2:$A$12001,'إعدادات المخزون'!$B$4),"")</f>
        <v/>
      </c>
      <c r="M20" s="108" t="str">
        <f aca="false">IF(K20="نعم",L20-J20,"")</f>
        <v/>
      </c>
      <c r="N20" s="110" t="str">
        <f aca="false">IF(K20="نعم",IF(J20=0,IF(M20=0,0,SIGN(M20)),M20/ABS(J20)),"")</f>
        <v/>
      </c>
      <c r="O20" s="107" t="str">
        <f aca="false">IF(K20="نعم",M20*C20,"")</f>
        <v/>
      </c>
      <c r="P20" s="36" t="str">
        <f aca="false">IF(K20&lt;&gt;"نعم","لم يُجرد",IF(ABS(N20)&lt;='إعدادات المخزون'!$B$7,"مطابق",IF(M20&lt;0,"عجز","زيادة")))</f>
        <v>لم يُجرد</v>
      </c>
      <c r="Q20" s="108" t="n">
        <f aca="false">J20-Z20</f>
        <v>258</v>
      </c>
      <c r="R20" s="108"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8" t="str">
        <f aca="false">IF(AND(K20="نعم",R20&lt;&gt;""),(L20-J20)-(R20-Q20),"")</f>
        <v/>
      </c>
      <c r="T20" s="107" t="str">
        <f aca="false">IF(S20="","",S20*C20)</f>
        <v/>
      </c>
      <c r="U20" s="108" t="n">
        <f aca="false">IF(K20="نعم",L20,J20)</f>
        <v>258</v>
      </c>
      <c r="V20" s="108" t="n">
        <f aca="false">SUMPRODUCT('مصفوفة الاستهلاك'!$O$2:$O$172,'متجهات المبيعات'!$J$2:$J$172)/'مواد المخزون'!$D$15/MAX(1,MIN('إعدادات المخزون'!$B$11,'إعدادات المخزون'!$B$4-'إعدادات المخزون'!$B$5+1))</f>
        <v>0</v>
      </c>
      <c r="W20" s="108" t="n">
        <f aca="false">IF(V20&lt;=0,0,ROUNDUP(MAX(0,V20*('إعدادات المخزون'!$B$8+'إعدادات المخزون'!$B$9+'إعدادات المخزون'!$B$10)-MAX(U20,0))/'مواد المخزون'!$F15,0)*'مواد المخزون'!$F15)</f>
        <v>0</v>
      </c>
      <c r="X20" s="107" t="n">
        <f aca="false">IF(AND(K20="نعم",O20&lt;0),-O20+ROW()*0.000000001,0)</f>
        <v>0</v>
      </c>
      <c r="Y20" s="107" t="n">
        <f aca="false">IF(AND(K20="نعم",O20&gt;0),O20+ROW()*0.000000001,0)</f>
        <v>0</v>
      </c>
      <c r="Z20" s="108"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المبيعات'!$H$2:$H$172)/'مواد المخزون'!$D$15</f>
        <v>0</v>
      </c>
      <c r="AA20" s="107" t="n">
        <f aca="false">IF(K20="نعم",O20,0)</f>
        <v>0</v>
      </c>
      <c r="AB20" s="107" t="n">
        <f aca="false">IF(K20="نعم",J20*C20,0)</f>
        <v>0</v>
      </c>
      <c r="AC20" s="107"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7" t="n">
        <f aca="false">'مواد المخزون'!E16</f>
        <v>48.7817</v>
      </c>
      <c r="D21" s="108" t="n">
        <f aca="false">'جرد أول المدة'!E19</f>
        <v>59.5</v>
      </c>
      <c r="E21" s="108" t="n">
        <f aca="false">SUMIFS('مشتريات يومية'!$D$2:$D$4001,'مشتريات يومية'!$B$2:$B$4001,$B$2,'مشتريات يومية'!$C$2:$C$4001,$A21,'مشتريات يومية'!$A$2:$A$4001,"&gt;="&amp;'إعدادات المخزون'!$B$5,'مشتريات يومية'!$A$2:$A$4001,"&lt;="&amp;'إعدادات المخزون'!$B$4)</f>
        <v>40</v>
      </c>
      <c r="F21" s="108"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8"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8" t="n">
        <f aca="false">SUMPRODUCT('مصفوفة الاستهلاك'!$P$2:$P$172,'متجهات المبيعات'!$I$2:$I$172)/'مواد المخزون'!$D$16</f>
        <v>0</v>
      </c>
      <c r="I21" s="108"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8" t="n">
        <f aca="false">D21+E21+F21-G21-H21-I21</f>
        <v>99.5</v>
      </c>
      <c r="K21" s="36" t="str">
        <f aca="false">IF(COUNTIFS('جرد فعلي'!$B$2:$B$12001,$B$2,'جرد فعلي'!$C$2:$C$12001,$A21,'جرد فعلي'!$A$2:$A$12001,'إعدادات المخزون'!$B$4)&gt;0,"نعم","لا")</f>
        <v>لا</v>
      </c>
      <c r="L21" s="109" t="str">
        <f aca="false">IF(K21="نعم",SUMIFS('جرد فعلي'!$D$2:$D$12001,'جرد فعلي'!$B$2:$B$12001,$B$2,'جرد فعلي'!$C$2:$C$12001,$A21,'جرد فعلي'!$A$2:$A$12001,'إعدادات المخزون'!$B$4),"")</f>
        <v/>
      </c>
      <c r="M21" s="108" t="str">
        <f aca="false">IF(K21="نعم",L21-J21,"")</f>
        <v/>
      </c>
      <c r="N21" s="110" t="str">
        <f aca="false">IF(K21="نعم",IF(J21=0,IF(M21=0,0,SIGN(M21)),M21/ABS(J21)),"")</f>
        <v/>
      </c>
      <c r="O21" s="107" t="str">
        <f aca="false">IF(K21="نعم",M21*C21,"")</f>
        <v/>
      </c>
      <c r="P21" s="36" t="str">
        <f aca="false">IF(K21&lt;&gt;"نعم","لم يُجرد",IF(ABS(N21)&lt;='إعدادات المخزون'!$B$7,"مطابق",IF(M21&lt;0,"عجز","زيادة")))</f>
        <v>لم يُجرد</v>
      </c>
      <c r="Q21" s="108" t="n">
        <f aca="false">J21-Z21</f>
        <v>99.5</v>
      </c>
      <c r="R21" s="108"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8" t="str">
        <f aca="false">IF(AND(K21="نعم",R21&lt;&gt;""),(L21-J21)-(R21-Q21),"")</f>
        <v/>
      </c>
      <c r="T21" s="107" t="str">
        <f aca="false">IF(S21="","",S21*C21)</f>
        <v/>
      </c>
      <c r="U21" s="108" t="n">
        <f aca="false">IF(K21="نعم",L21,J21)</f>
        <v>99.5</v>
      </c>
      <c r="V21" s="108" t="n">
        <f aca="false">SUMPRODUCT('مصفوفة الاستهلاك'!$P$2:$P$172,'متجهات المبيعات'!$J$2:$J$172)/'مواد المخزون'!$D$16/MAX(1,MIN('إعدادات المخزون'!$B$11,'إعدادات المخزون'!$B$4-'إعدادات المخزون'!$B$5+1))</f>
        <v>0</v>
      </c>
      <c r="W21" s="108" t="n">
        <f aca="false">IF(V21&lt;=0,0,ROUNDUP(MAX(0,V21*('إعدادات المخزون'!$B$8+'إعدادات المخزون'!$B$9+'إعدادات المخزون'!$B$10)-MAX(U21,0))/'مواد المخزون'!$F16,0)*'مواد المخزون'!$F16)</f>
        <v>0</v>
      </c>
      <c r="X21" s="107" t="n">
        <f aca="false">IF(AND(K21="نعم",O21&lt;0),-O21+ROW()*0.000000001,0)</f>
        <v>0</v>
      </c>
      <c r="Y21" s="107" t="n">
        <f aca="false">IF(AND(K21="نعم",O21&gt;0),O21+ROW()*0.000000001,0)</f>
        <v>0</v>
      </c>
      <c r="Z21" s="108"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المبيعات'!$H$2:$H$172)/'مواد المخزون'!$D$16</f>
        <v>0</v>
      </c>
      <c r="AA21" s="107" t="n">
        <f aca="false">IF(K21="نعم",O21,0)</f>
        <v>0</v>
      </c>
      <c r="AB21" s="107" t="n">
        <f aca="false">IF(K21="نعم",J21*C21,0)</f>
        <v>0</v>
      </c>
      <c r="AC21" s="107"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7" t="n">
        <f aca="false">'مواد المخزون'!E17</f>
        <v>30</v>
      </c>
      <c r="D22" s="108" t="n">
        <f aca="false">'جرد أول المدة'!E20</f>
        <v>28</v>
      </c>
      <c r="E22" s="108" t="n">
        <f aca="false">SUMIFS('مشتريات يومية'!$D$2:$D$4001,'مشتريات يومية'!$B$2:$B$4001,$B$2,'مشتريات يومية'!$C$2:$C$4001,$A22,'مشتريات يومية'!$A$2:$A$4001,"&gt;="&amp;'إعدادات المخزون'!$B$5,'مشتريات يومية'!$A$2:$A$4001,"&lt;="&amp;'إعدادات المخزون'!$B$4)</f>
        <v>120</v>
      </c>
      <c r="F22" s="108"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8"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8" t="n">
        <f aca="false">SUMPRODUCT('مصفوفة الاستهلاك'!$Q$2:$Q$172,'متجهات المبيعات'!$I$2:$I$172)/'مواد المخزون'!$D$17</f>
        <v>0</v>
      </c>
      <c r="I22" s="108"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8" t="n">
        <f aca="false">D22+E22+F22-G22-H22-I22</f>
        <v>148</v>
      </c>
      <c r="K22" s="36" t="str">
        <f aca="false">IF(COUNTIFS('جرد فعلي'!$B$2:$B$12001,$B$2,'جرد فعلي'!$C$2:$C$12001,$A22,'جرد فعلي'!$A$2:$A$12001,'إعدادات المخزون'!$B$4)&gt;0,"نعم","لا")</f>
        <v>لا</v>
      </c>
      <c r="L22" s="109" t="str">
        <f aca="false">IF(K22="نعم",SUMIFS('جرد فعلي'!$D$2:$D$12001,'جرد فعلي'!$B$2:$B$12001,$B$2,'جرد فعلي'!$C$2:$C$12001,$A22,'جرد فعلي'!$A$2:$A$12001,'إعدادات المخزون'!$B$4),"")</f>
        <v/>
      </c>
      <c r="M22" s="108" t="str">
        <f aca="false">IF(K22="نعم",L22-J22,"")</f>
        <v/>
      </c>
      <c r="N22" s="110" t="str">
        <f aca="false">IF(K22="نعم",IF(J22=0,IF(M22=0,0,SIGN(M22)),M22/ABS(J22)),"")</f>
        <v/>
      </c>
      <c r="O22" s="107" t="str">
        <f aca="false">IF(K22="نعم",M22*C22,"")</f>
        <v/>
      </c>
      <c r="P22" s="36" t="str">
        <f aca="false">IF(K22&lt;&gt;"نعم","لم يُجرد",IF(ABS(N22)&lt;='إعدادات المخزون'!$B$7,"مطابق",IF(M22&lt;0,"عجز","زيادة")))</f>
        <v>لم يُجرد</v>
      </c>
      <c r="Q22" s="108" t="n">
        <f aca="false">J22-Z22</f>
        <v>148</v>
      </c>
      <c r="R22" s="108"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8" t="str">
        <f aca="false">IF(AND(K22="نعم",R22&lt;&gt;""),(L22-J22)-(R22-Q22),"")</f>
        <v/>
      </c>
      <c r="T22" s="107" t="str">
        <f aca="false">IF(S22="","",S22*C22)</f>
        <v/>
      </c>
      <c r="U22" s="108" t="n">
        <f aca="false">IF(K22="نعم",L22,J22)</f>
        <v>148</v>
      </c>
      <c r="V22" s="108" t="n">
        <f aca="false">SUMPRODUCT('مصفوفة الاستهلاك'!$Q$2:$Q$172,'متجهات المبيعات'!$J$2:$J$172)/'مواد المخزون'!$D$17/MAX(1,MIN('إعدادات المخزون'!$B$11,'إعدادات المخزون'!$B$4-'إعدادات المخزون'!$B$5+1))</f>
        <v>0</v>
      </c>
      <c r="W22" s="108" t="n">
        <f aca="false">IF(V22&lt;=0,0,ROUNDUP(MAX(0,V22*('إعدادات المخزون'!$B$8+'إعدادات المخزون'!$B$9+'إعدادات المخزون'!$B$10)-MAX(U22,0))/'مواد المخزون'!$F17,0)*'مواد المخزون'!$F17)</f>
        <v>0</v>
      </c>
      <c r="X22" s="107" t="n">
        <f aca="false">IF(AND(K22="نعم",O22&lt;0),-O22+ROW()*0.000000001,0)</f>
        <v>0</v>
      </c>
      <c r="Y22" s="107" t="n">
        <f aca="false">IF(AND(K22="نعم",O22&gt;0),O22+ROW()*0.000000001,0)</f>
        <v>0</v>
      </c>
      <c r="Z22" s="108"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المبيعات'!$H$2:$H$172)/'مواد المخزون'!$D$17</f>
        <v>0</v>
      </c>
      <c r="AA22" s="107" t="n">
        <f aca="false">IF(K22="نعم",O22,0)</f>
        <v>0</v>
      </c>
      <c r="AB22" s="107" t="n">
        <f aca="false">IF(K22="نعم",J22*C22,0)</f>
        <v>0</v>
      </c>
      <c r="AC22" s="107"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7" t="n">
        <f aca="false">'مواد المخزون'!E18</f>
        <v>29</v>
      </c>
      <c r="D23" s="108" t="n">
        <f aca="false">'جرد أول المدة'!E21</f>
        <v>0</v>
      </c>
      <c r="E23" s="108" t="n">
        <f aca="false">SUMIFS('مشتريات يومية'!$D$2:$D$4001,'مشتريات يومية'!$B$2:$B$4001,$B$2,'مشتريات يومية'!$C$2:$C$4001,$A23,'مشتريات يومية'!$A$2:$A$4001,"&gt;="&amp;'إعدادات المخزون'!$B$5,'مشتريات يومية'!$A$2:$A$4001,"&lt;="&amp;'إعدادات المخزون'!$B$4)</f>
        <v>0</v>
      </c>
      <c r="F23" s="108"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8"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8" t="n">
        <f aca="false">SUMPRODUCT('مصفوفة الاستهلاك'!$R$2:$R$172,'متجهات المبيعات'!$I$2:$I$172)/'مواد المخزون'!$D$18</f>
        <v>0</v>
      </c>
      <c r="I23" s="108"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8" t="n">
        <f aca="false">D23+E23+F23-G23-H23-I23</f>
        <v>0</v>
      </c>
      <c r="K23" s="36" t="str">
        <f aca="false">IF(COUNTIFS('جرد فعلي'!$B$2:$B$12001,$B$2,'جرد فعلي'!$C$2:$C$12001,$A23,'جرد فعلي'!$A$2:$A$12001,'إعدادات المخزون'!$B$4)&gt;0,"نعم","لا")</f>
        <v>لا</v>
      </c>
      <c r="L23" s="109" t="str">
        <f aca="false">IF(K23="نعم",SUMIFS('جرد فعلي'!$D$2:$D$12001,'جرد فعلي'!$B$2:$B$12001,$B$2,'جرد فعلي'!$C$2:$C$12001,$A23,'جرد فعلي'!$A$2:$A$12001,'إعدادات المخزون'!$B$4),"")</f>
        <v/>
      </c>
      <c r="M23" s="108" t="str">
        <f aca="false">IF(K23="نعم",L23-J23,"")</f>
        <v/>
      </c>
      <c r="N23" s="110" t="str">
        <f aca="false">IF(K23="نعم",IF(J23=0,IF(M23=0,0,SIGN(M23)),M23/ABS(J23)),"")</f>
        <v/>
      </c>
      <c r="O23" s="107" t="str">
        <f aca="false">IF(K23="نعم",M23*C23,"")</f>
        <v/>
      </c>
      <c r="P23" s="36" t="str">
        <f aca="false">IF(K23&lt;&gt;"نعم","لم يُجرد",IF(ABS(N23)&lt;='إعدادات المخزون'!$B$7,"مطابق",IF(M23&lt;0,"عجز","زيادة")))</f>
        <v>لم يُجرد</v>
      </c>
      <c r="Q23" s="108" t="n">
        <f aca="false">J23-Z23</f>
        <v>0</v>
      </c>
      <c r="R23" s="108"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8" t="str">
        <f aca="false">IF(AND(K23="نعم",R23&lt;&gt;""),(L23-J23)-(R23-Q23),"")</f>
        <v/>
      </c>
      <c r="T23" s="107" t="str">
        <f aca="false">IF(S23="","",S23*C23)</f>
        <v/>
      </c>
      <c r="U23" s="108" t="n">
        <f aca="false">IF(K23="نعم",L23,J23)</f>
        <v>0</v>
      </c>
      <c r="V23" s="108" t="n">
        <f aca="false">SUMPRODUCT('مصفوفة الاستهلاك'!$R$2:$R$172,'متجهات المبيعات'!$J$2:$J$172)/'مواد المخزون'!$D$18/MAX(1,MIN('إعدادات المخزون'!$B$11,'إعدادات المخزون'!$B$4-'إعدادات المخزون'!$B$5+1))</f>
        <v>0</v>
      </c>
      <c r="W23" s="108" t="n">
        <f aca="false">IF(V23&lt;=0,0,ROUNDUP(MAX(0,V23*('إعدادات المخزون'!$B$8+'إعدادات المخزون'!$B$9+'إعدادات المخزون'!$B$10)-MAX(U23,0))/'مواد المخزون'!$F18,0)*'مواد المخزون'!$F18)</f>
        <v>0</v>
      </c>
      <c r="X23" s="107" t="n">
        <f aca="false">IF(AND(K23="نعم",O23&lt;0),-O23+ROW()*0.000000001,0)</f>
        <v>0</v>
      </c>
      <c r="Y23" s="107" t="n">
        <f aca="false">IF(AND(K23="نعم",O23&gt;0),O23+ROW()*0.000000001,0)</f>
        <v>0</v>
      </c>
      <c r="Z23" s="108"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المبيعات'!$H$2:$H$172)/'مواد المخزون'!$D$18</f>
        <v>0</v>
      </c>
      <c r="AA23" s="107" t="n">
        <f aca="false">IF(K23="نعم",O23,0)</f>
        <v>0</v>
      </c>
      <c r="AB23" s="107" t="n">
        <f aca="false">IF(K23="نعم",J23*C23,0)</f>
        <v>0</v>
      </c>
      <c r="AC23" s="107"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7" t="n">
        <f aca="false">'مواد المخزون'!E19</f>
        <v>25</v>
      </c>
      <c r="D24" s="108" t="n">
        <f aca="false">'جرد أول المدة'!E22</f>
        <v>21</v>
      </c>
      <c r="E24" s="108" t="n">
        <f aca="false">SUMIFS('مشتريات يومية'!$D$2:$D$4001,'مشتريات يومية'!$B$2:$B$4001,$B$2,'مشتريات يومية'!$C$2:$C$4001,$A24,'مشتريات يومية'!$A$2:$A$4001,"&gt;="&amp;'إعدادات المخزون'!$B$5,'مشتريات يومية'!$A$2:$A$4001,"&lt;="&amp;'إعدادات المخزون'!$B$4)</f>
        <v>0</v>
      </c>
      <c r="F24" s="108"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8"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8" t="n">
        <f aca="false">SUMPRODUCT('مصفوفة الاستهلاك'!$S$2:$S$172,'متجهات المبيعات'!$I$2:$I$172)/'مواد المخزون'!$D$19</f>
        <v>0</v>
      </c>
      <c r="I24" s="108"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8" t="n">
        <f aca="false">D24+E24+F24-G24-H24-I24</f>
        <v>21</v>
      </c>
      <c r="K24" s="36" t="str">
        <f aca="false">IF(COUNTIFS('جرد فعلي'!$B$2:$B$12001,$B$2,'جرد فعلي'!$C$2:$C$12001,$A24,'جرد فعلي'!$A$2:$A$12001,'إعدادات المخزون'!$B$4)&gt;0,"نعم","لا")</f>
        <v>لا</v>
      </c>
      <c r="L24" s="109" t="str">
        <f aca="false">IF(K24="نعم",SUMIFS('جرد فعلي'!$D$2:$D$12001,'جرد فعلي'!$B$2:$B$12001,$B$2,'جرد فعلي'!$C$2:$C$12001,$A24,'جرد فعلي'!$A$2:$A$12001,'إعدادات المخزون'!$B$4),"")</f>
        <v/>
      </c>
      <c r="M24" s="108" t="str">
        <f aca="false">IF(K24="نعم",L24-J24,"")</f>
        <v/>
      </c>
      <c r="N24" s="110" t="str">
        <f aca="false">IF(K24="نعم",IF(J24=0,IF(M24=0,0,SIGN(M24)),M24/ABS(J24)),"")</f>
        <v/>
      </c>
      <c r="O24" s="107" t="str">
        <f aca="false">IF(K24="نعم",M24*C24,"")</f>
        <v/>
      </c>
      <c r="P24" s="36" t="str">
        <f aca="false">IF(K24&lt;&gt;"نعم","لم يُجرد",IF(ABS(N24)&lt;='إعدادات المخزون'!$B$7,"مطابق",IF(M24&lt;0,"عجز","زيادة")))</f>
        <v>لم يُجرد</v>
      </c>
      <c r="Q24" s="108" t="n">
        <f aca="false">J24-Z24</f>
        <v>21</v>
      </c>
      <c r="R24" s="108"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8" t="str">
        <f aca="false">IF(AND(K24="نعم",R24&lt;&gt;""),(L24-J24)-(R24-Q24),"")</f>
        <v/>
      </c>
      <c r="T24" s="107" t="str">
        <f aca="false">IF(S24="","",S24*C24)</f>
        <v/>
      </c>
      <c r="U24" s="108" t="n">
        <f aca="false">IF(K24="نعم",L24,J24)</f>
        <v>21</v>
      </c>
      <c r="V24" s="108" t="n">
        <f aca="false">SUMPRODUCT('مصفوفة الاستهلاك'!$S$2:$S$172,'متجهات المبيعات'!$J$2:$J$172)/'مواد المخزون'!$D$19/MAX(1,MIN('إعدادات المخزون'!$B$11,'إعدادات المخزون'!$B$4-'إعدادات المخزون'!$B$5+1))</f>
        <v>0</v>
      </c>
      <c r="W24" s="108" t="n">
        <f aca="false">IF(V24&lt;=0,0,ROUNDUP(MAX(0,V24*('إعدادات المخزون'!$B$8+'إعدادات المخزون'!$B$9+'إعدادات المخزون'!$B$10)-MAX(U24,0))/'مواد المخزون'!$F19,0)*'مواد المخزون'!$F19)</f>
        <v>0</v>
      </c>
      <c r="X24" s="107" t="n">
        <f aca="false">IF(AND(K24="نعم",O24&lt;0),-O24+ROW()*0.000000001,0)</f>
        <v>0</v>
      </c>
      <c r="Y24" s="107" t="n">
        <f aca="false">IF(AND(K24="نعم",O24&gt;0),O24+ROW()*0.000000001,0)</f>
        <v>0</v>
      </c>
      <c r="Z24" s="108"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المبيعات'!$H$2:$H$172)/'مواد المخزون'!$D$19</f>
        <v>0</v>
      </c>
      <c r="AA24" s="107" t="n">
        <f aca="false">IF(K24="نعم",O24,0)</f>
        <v>0</v>
      </c>
      <c r="AB24" s="107" t="n">
        <f aca="false">IF(K24="نعم",J24*C24,0)</f>
        <v>0</v>
      </c>
      <c r="AC24" s="107"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7" t="n">
        <f aca="false">'مواد المخزون'!E20</f>
        <v>21</v>
      </c>
      <c r="D25" s="108" t="n">
        <f aca="false">'جرد أول المدة'!E23</f>
        <v>13.5</v>
      </c>
      <c r="E25" s="108" t="n">
        <f aca="false">SUMIFS('مشتريات يومية'!$D$2:$D$4001,'مشتريات يومية'!$B$2:$B$4001,$B$2,'مشتريات يومية'!$C$2:$C$4001,$A25,'مشتريات يومية'!$A$2:$A$4001,"&gt;="&amp;'إعدادات المخزون'!$B$5,'مشتريات يومية'!$A$2:$A$4001,"&lt;="&amp;'إعدادات المخزون'!$B$4)</f>
        <v>20</v>
      </c>
      <c r="F25" s="108"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8"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8" t="n">
        <f aca="false">SUMPRODUCT('مصفوفة الاستهلاك'!$T$2:$T$172,'متجهات المبيعات'!$I$2:$I$172)/'مواد المخزون'!$D$20</f>
        <v>0</v>
      </c>
      <c r="I25" s="108"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8" t="n">
        <f aca="false">D25+E25+F25-G25-H25-I25</f>
        <v>33.5</v>
      </c>
      <c r="K25" s="36" t="str">
        <f aca="false">IF(COUNTIFS('جرد فعلي'!$B$2:$B$12001,$B$2,'جرد فعلي'!$C$2:$C$12001,$A25,'جرد فعلي'!$A$2:$A$12001,'إعدادات المخزون'!$B$4)&gt;0,"نعم","لا")</f>
        <v>لا</v>
      </c>
      <c r="L25" s="109" t="str">
        <f aca="false">IF(K25="نعم",SUMIFS('جرد فعلي'!$D$2:$D$12001,'جرد فعلي'!$B$2:$B$12001,$B$2,'جرد فعلي'!$C$2:$C$12001,$A25,'جرد فعلي'!$A$2:$A$12001,'إعدادات المخزون'!$B$4),"")</f>
        <v/>
      </c>
      <c r="M25" s="108" t="str">
        <f aca="false">IF(K25="نعم",L25-J25,"")</f>
        <v/>
      </c>
      <c r="N25" s="110" t="str">
        <f aca="false">IF(K25="نعم",IF(J25=0,IF(M25=0,0,SIGN(M25)),M25/ABS(J25)),"")</f>
        <v/>
      </c>
      <c r="O25" s="107" t="str">
        <f aca="false">IF(K25="نعم",M25*C25,"")</f>
        <v/>
      </c>
      <c r="P25" s="36" t="str">
        <f aca="false">IF(K25&lt;&gt;"نعم","لم يُجرد",IF(ABS(N25)&lt;='إعدادات المخزون'!$B$7,"مطابق",IF(M25&lt;0,"عجز","زيادة")))</f>
        <v>لم يُجرد</v>
      </c>
      <c r="Q25" s="108" t="n">
        <f aca="false">J25-Z25</f>
        <v>33.5</v>
      </c>
      <c r="R25" s="108"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8" t="str">
        <f aca="false">IF(AND(K25="نعم",R25&lt;&gt;""),(L25-J25)-(R25-Q25),"")</f>
        <v/>
      </c>
      <c r="T25" s="107" t="str">
        <f aca="false">IF(S25="","",S25*C25)</f>
        <v/>
      </c>
      <c r="U25" s="108" t="n">
        <f aca="false">IF(K25="نعم",L25,J25)</f>
        <v>33.5</v>
      </c>
      <c r="V25" s="108" t="n">
        <f aca="false">SUMPRODUCT('مصفوفة الاستهلاك'!$T$2:$T$172,'متجهات المبيعات'!$J$2:$J$172)/'مواد المخزون'!$D$20/MAX(1,MIN('إعدادات المخزون'!$B$11,'إعدادات المخزون'!$B$4-'إعدادات المخزون'!$B$5+1))</f>
        <v>0</v>
      </c>
      <c r="W25" s="108" t="n">
        <f aca="false">IF(V25&lt;=0,0,ROUNDUP(MAX(0,V25*('إعدادات المخزون'!$B$8+'إعدادات المخزون'!$B$9+'إعدادات المخزون'!$B$10)-MAX(U25,0))/'مواد المخزون'!$F20,0)*'مواد المخزون'!$F20)</f>
        <v>0</v>
      </c>
      <c r="X25" s="107" t="n">
        <f aca="false">IF(AND(K25="نعم",O25&lt;0),-O25+ROW()*0.000000001,0)</f>
        <v>0</v>
      </c>
      <c r="Y25" s="107" t="n">
        <f aca="false">IF(AND(K25="نعم",O25&gt;0),O25+ROW()*0.000000001,0)</f>
        <v>0</v>
      </c>
      <c r="Z25" s="108"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المبيعات'!$H$2:$H$172)/'مواد المخزون'!$D$20</f>
        <v>0</v>
      </c>
      <c r="AA25" s="107" t="n">
        <f aca="false">IF(K25="نعم",O25,0)</f>
        <v>0</v>
      </c>
      <c r="AB25" s="107" t="n">
        <f aca="false">IF(K25="نعم",J25*C25,0)</f>
        <v>0</v>
      </c>
      <c r="AC25" s="107"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7" t="n">
        <f aca="false">'مواد المخزون'!E21</f>
        <v>23</v>
      </c>
      <c r="D26" s="108" t="n">
        <f aca="false">'جرد أول المدة'!E24</f>
        <v>4</v>
      </c>
      <c r="E26" s="108" t="n">
        <f aca="false">SUMIFS('مشتريات يومية'!$D$2:$D$4001,'مشتريات يومية'!$B$2:$B$4001,$B$2,'مشتريات يومية'!$C$2:$C$4001,$A26,'مشتريات يومية'!$A$2:$A$4001,"&gt;="&amp;'إعدادات المخزون'!$B$5,'مشتريات يومية'!$A$2:$A$4001,"&lt;="&amp;'إعدادات المخزون'!$B$4)</f>
        <v>30</v>
      </c>
      <c r="F26" s="108"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8"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8" t="n">
        <f aca="false">SUMPRODUCT('مصفوفة الاستهلاك'!$U$2:$U$172,'متجهات المبيعات'!$I$2:$I$172)/'مواد المخزون'!$D$21</f>
        <v>0</v>
      </c>
      <c r="I26" s="108"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8" t="n">
        <f aca="false">D26+E26+F26-G26-H26-I26</f>
        <v>34</v>
      </c>
      <c r="K26" s="36" t="str">
        <f aca="false">IF(COUNTIFS('جرد فعلي'!$B$2:$B$12001,$B$2,'جرد فعلي'!$C$2:$C$12001,$A26,'جرد فعلي'!$A$2:$A$12001,'إعدادات المخزون'!$B$4)&gt;0,"نعم","لا")</f>
        <v>لا</v>
      </c>
      <c r="L26" s="109" t="str">
        <f aca="false">IF(K26="نعم",SUMIFS('جرد فعلي'!$D$2:$D$12001,'جرد فعلي'!$B$2:$B$12001,$B$2,'جرد فعلي'!$C$2:$C$12001,$A26,'جرد فعلي'!$A$2:$A$12001,'إعدادات المخزون'!$B$4),"")</f>
        <v/>
      </c>
      <c r="M26" s="108" t="str">
        <f aca="false">IF(K26="نعم",L26-J26,"")</f>
        <v/>
      </c>
      <c r="N26" s="110" t="str">
        <f aca="false">IF(K26="نعم",IF(J26=0,IF(M26=0,0,SIGN(M26)),M26/ABS(J26)),"")</f>
        <v/>
      </c>
      <c r="O26" s="107" t="str">
        <f aca="false">IF(K26="نعم",M26*C26,"")</f>
        <v/>
      </c>
      <c r="P26" s="36" t="str">
        <f aca="false">IF(K26&lt;&gt;"نعم","لم يُجرد",IF(ABS(N26)&lt;='إعدادات المخزون'!$B$7,"مطابق",IF(M26&lt;0,"عجز","زيادة")))</f>
        <v>لم يُجرد</v>
      </c>
      <c r="Q26" s="108" t="n">
        <f aca="false">J26-Z26</f>
        <v>34</v>
      </c>
      <c r="R26" s="108"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8" t="str">
        <f aca="false">IF(AND(K26="نعم",R26&lt;&gt;""),(L26-J26)-(R26-Q26),"")</f>
        <v/>
      </c>
      <c r="T26" s="107" t="str">
        <f aca="false">IF(S26="","",S26*C26)</f>
        <v/>
      </c>
      <c r="U26" s="108" t="n">
        <f aca="false">IF(K26="نعم",L26,J26)</f>
        <v>34</v>
      </c>
      <c r="V26" s="108" t="n">
        <f aca="false">SUMPRODUCT('مصفوفة الاستهلاك'!$U$2:$U$172,'متجهات المبيعات'!$J$2:$J$172)/'مواد المخزون'!$D$21/MAX(1,MIN('إعدادات المخزون'!$B$11,'إعدادات المخزون'!$B$4-'إعدادات المخزون'!$B$5+1))</f>
        <v>0</v>
      </c>
      <c r="W26" s="108" t="n">
        <f aca="false">IF(V26&lt;=0,0,ROUNDUP(MAX(0,V26*('إعدادات المخزون'!$B$8+'إعدادات المخزون'!$B$9+'إعدادات المخزون'!$B$10)-MAX(U26,0))/'مواد المخزون'!$F21,0)*'مواد المخزون'!$F21)</f>
        <v>0</v>
      </c>
      <c r="X26" s="107" t="n">
        <f aca="false">IF(AND(K26="نعم",O26&lt;0),-O26+ROW()*0.000000001,0)</f>
        <v>0</v>
      </c>
      <c r="Y26" s="107" t="n">
        <f aca="false">IF(AND(K26="نعم",O26&gt;0),O26+ROW()*0.000000001,0)</f>
        <v>0</v>
      </c>
      <c r="Z26" s="108"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المبيعات'!$H$2:$H$172)/'مواد المخزون'!$D$21</f>
        <v>0</v>
      </c>
      <c r="AA26" s="107" t="n">
        <f aca="false">IF(K26="نعم",O26,0)</f>
        <v>0</v>
      </c>
      <c r="AB26" s="107" t="n">
        <f aca="false">IF(K26="نعم",J26*C26,0)</f>
        <v>0</v>
      </c>
      <c r="AC26" s="107"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7" t="n">
        <f aca="false">'مواد المخزون'!E22</f>
        <v>20</v>
      </c>
      <c r="D27" s="108" t="n">
        <f aca="false">'جرد أول المدة'!E25</f>
        <v>174</v>
      </c>
      <c r="E27" s="108" t="n">
        <f aca="false">SUMIFS('مشتريات يومية'!$D$2:$D$4001,'مشتريات يومية'!$B$2:$B$4001,$B$2,'مشتريات يومية'!$C$2:$C$4001,$A27,'مشتريات يومية'!$A$2:$A$4001,"&gt;="&amp;'إعدادات المخزون'!$B$5,'مشتريات يومية'!$A$2:$A$4001,"&lt;="&amp;'إعدادات المخزون'!$B$4)</f>
        <v>780</v>
      </c>
      <c r="F27" s="108"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8"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8" t="n">
        <f aca="false">SUMPRODUCT('مصفوفة الاستهلاك'!$V$2:$V$172,'متجهات المبيعات'!$I$2:$I$172)/'مواد المخزون'!$D$22</f>
        <v>0</v>
      </c>
      <c r="I27" s="108"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8" t="n">
        <f aca="false">D27+E27+F27-G27-H27-I27</f>
        <v>954</v>
      </c>
      <c r="K27" s="36" t="str">
        <f aca="false">IF(COUNTIFS('جرد فعلي'!$B$2:$B$12001,$B$2,'جرد فعلي'!$C$2:$C$12001,$A27,'جرد فعلي'!$A$2:$A$12001,'إعدادات المخزون'!$B$4)&gt;0,"نعم","لا")</f>
        <v>لا</v>
      </c>
      <c r="L27" s="109" t="str">
        <f aca="false">IF(K27="نعم",SUMIFS('جرد فعلي'!$D$2:$D$12001,'جرد فعلي'!$B$2:$B$12001,$B$2,'جرد فعلي'!$C$2:$C$12001,$A27,'جرد فعلي'!$A$2:$A$12001,'إعدادات المخزون'!$B$4),"")</f>
        <v/>
      </c>
      <c r="M27" s="108" t="str">
        <f aca="false">IF(K27="نعم",L27-J27,"")</f>
        <v/>
      </c>
      <c r="N27" s="110" t="str">
        <f aca="false">IF(K27="نعم",IF(J27=0,IF(M27=0,0,SIGN(M27)),M27/ABS(J27)),"")</f>
        <v/>
      </c>
      <c r="O27" s="107" t="str">
        <f aca="false">IF(K27="نعم",M27*C27,"")</f>
        <v/>
      </c>
      <c r="P27" s="36" t="str">
        <f aca="false">IF(K27&lt;&gt;"نعم","لم يُجرد",IF(ABS(N27)&lt;='إعدادات المخزون'!$B$7,"مطابق",IF(M27&lt;0,"عجز","زيادة")))</f>
        <v>لم يُجرد</v>
      </c>
      <c r="Q27" s="108" t="n">
        <f aca="false">J27-Z27</f>
        <v>954</v>
      </c>
      <c r="R27" s="108"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8" t="str">
        <f aca="false">IF(AND(K27="نعم",R27&lt;&gt;""),(L27-J27)-(R27-Q27),"")</f>
        <v/>
      </c>
      <c r="T27" s="107" t="str">
        <f aca="false">IF(S27="","",S27*C27)</f>
        <v/>
      </c>
      <c r="U27" s="108" t="n">
        <f aca="false">IF(K27="نعم",L27,J27)</f>
        <v>954</v>
      </c>
      <c r="V27" s="108" t="n">
        <f aca="false">SUMPRODUCT('مصفوفة الاستهلاك'!$V$2:$V$172,'متجهات المبيعات'!$J$2:$J$172)/'مواد المخزون'!$D$22/MAX(1,MIN('إعدادات المخزون'!$B$11,'إعدادات المخزون'!$B$4-'إعدادات المخزون'!$B$5+1))</f>
        <v>0</v>
      </c>
      <c r="W27" s="108" t="n">
        <f aca="false">IF(V27&lt;=0,0,ROUNDUP(MAX(0,V27*('إعدادات المخزون'!$B$8+'إعدادات المخزون'!$B$9+'إعدادات المخزون'!$B$10)-MAX(U27,0))/'مواد المخزون'!$F22,0)*'مواد المخزون'!$F22)</f>
        <v>0</v>
      </c>
      <c r="X27" s="107" t="n">
        <f aca="false">IF(AND(K27="نعم",O27&lt;0),-O27+ROW()*0.000000001,0)</f>
        <v>0</v>
      </c>
      <c r="Y27" s="107" t="n">
        <f aca="false">IF(AND(K27="نعم",O27&gt;0),O27+ROW()*0.000000001,0)</f>
        <v>0</v>
      </c>
      <c r="Z27" s="108"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المبيعات'!$H$2:$H$172)/'مواد المخزون'!$D$22</f>
        <v>0</v>
      </c>
      <c r="AA27" s="107" t="n">
        <f aca="false">IF(K27="نعم",O27,0)</f>
        <v>0</v>
      </c>
      <c r="AB27" s="107" t="n">
        <f aca="false">IF(K27="نعم",J27*C27,0)</f>
        <v>0</v>
      </c>
      <c r="AC27" s="107"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7" t="n">
        <f aca="false">'مواد المخزون'!E23</f>
        <v>27.1395</v>
      </c>
      <c r="D28" s="108" t="n">
        <f aca="false">'جرد أول المدة'!E26</f>
        <v>0</v>
      </c>
      <c r="E28" s="108" t="n">
        <f aca="false">SUMIFS('مشتريات يومية'!$D$2:$D$4001,'مشتريات يومية'!$B$2:$B$4001,$B$2,'مشتريات يومية'!$C$2:$C$4001,$A28,'مشتريات يومية'!$A$2:$A$4001,"&gt;="&amp;'إعدادات المخزون'!$B$5,'مشتريات يومية'!$A$2:$A$4001,"&lt;="&amp;'إعدادات المخزون'!$B$4)</f>
        <v>0</v>
      </c>
      <c r="F28" s="108"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8"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8" t="n">
        <f aca="false">SUMPRODUCT('مصفوفة الاستهلاك'!$W$2:$W$172,'متجهات المبيعات'!$I$2:$I$172)/'مواد المخزون'!$D$23</f>
        <v>0</v>
      </c>
      <c r="I28" s="108"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8" t="n">
        <f aca="false">D28+E28+F28-G28-H28-I28</f>
        <v>0</v>
      </c>
      <c r="K28" s="36" t="str">
        <f aca="false">IF(COUNTIFS('جرد فعلي'!$B$2:$B$12001,$B$2,'جرد فعلي'!$C$2:$C$12001,$A28,'جرد فعلي'!$A$2:$A$12001,'إعدادات المخزون'!$B$4)&gt;0,"نعم","لا")</f>
        <v>لا</v>
      </c>
      <c r="L28" s="109" t="str">
        <f aca="false">IF(K28="نعم",SUMIFS('جرد فعلي'!$D$2:$D$12001,'جرد فعلي'!$B$2:$B$12001,$B$2,'جرد فعلي'!$C$2:$C$12001,$A28,'جرد فعلي'!$A$2:$A$12001,'إعدادات المخزون'!$B$4),"")</f>
        <v/>
      </c>
      <c r="M28" s="108" t="str">
        <f aca="false">IF(K28="نعم",L28-J28,"")</f>
        <v/>
      </c>
      <c r="N28" s="110" t="str">
        <f aca="false">IF(K28="نعم",IF(J28=0,IF(M28=0,0,SIGN(M28)),M28/ABS(J28)),"")</f>
        <v/>
      </c>
      <c r="O28" s="107" t="str">
        <f aca="false">IF(K28="نعم",M28*C28,"")</f>
        <v/>
      </c>
      <c r="P28" s="36" t="str">
        <f aca="false">IF(K28&lt;&gt;"نعم","لم يُجرد",IF(ABS(N28)&lt;='إعدادات المخزون'!$B$7,"مطابق",IF(M28&lt;0,"عجز","زيادة")))</f>
        <v>لم يُجرد</v>
      </c>
      <c r="Q28" s="108" t="n">
        <f aca="false">J28-Z28</f>
        <v>0</v>
      </c>
      <c r="R28" s="108"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8" t="str">
        <f aca="false">IF(AND(K28="نعم",R28&lt;&gt;""),(L28-J28)-(R28-Q28),"")</f>
        <v/>
      </c>
      <c r="T28" s="107" t="str">
        <f aca="false">IF(S28="","",S28*C28)</f>
        <v/>
      </c>
      <c r="U28" s="108" t="n">
        <f aca="false">IF(K28="نعم",L28,J28)</f>
        <v>0</v>
      </c>
      <c r="V28" s="108" t="n">
        <f aca="false">SUMPRODUCT('مصفوفة الاستهلاك'!$W$2:$W$172,'متجهات المبيعات'!$J$2:$J$172)/'مواد المخزون'!$D$23/MAX(1,MIN('إعدادات المخزون'!$B$11,'إعدادات المخزون'!$B$4-'إعدادات المخزون'!$B$5+1))</f>
        <v>0</v>
      </c>
      <c r="W28" s="108" t="n">
        <f aca="false">IF(V28&lt;=0,0,ROUNDUP(MAX(0,V28*('إعدادات المخزون'!$B$8+'إعدادات المخزون'!$B$9+'إعدادات المخزون'!$B$10)-MAX(U28,0))/'مواد المخزون'!$F23,0)*'مواد المخزون'!$F23)</f>
        <v>0</v>
      </c>
      <c r="X28" s="107" t="n">
        <f aca="false">IF(AND(K28="نعم",O28&lt;0),-O28+ROW()*0.000000001,0)</f>
        <v>0</v>
      </c>
      <c r="Y28" s="107" t="n">
        <f aca="false">IF(AND(K28="نعم",O28&gt;0),O28+ROW()*0.000000001,0)</f>
        <v>0</v>
      </c>
      <c r="Z28" s="108"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المبيعات'!$H$2:$H$172)/'مواد المخزون'!$D$23</f>
        <v>0</v>
      </c>
      <c r="AA28" s="107" t="n">
        <f aca="false">IF(K28="نعم",O28,0)</f>
        <v>0</v>
      </c>
      <c r="AB28" s="107" t="n">
        <f aca="false">IF(K28="نعم",J28*C28,0)</f>
        <v>0</v>
      </c>
      <c r="AC28" s="107"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7" t="n">
        <f aca="false">'مواد المخزون'!E24</f>
        <v>17.5</v>
      </c>
      <c r="D29" s="108" t="n">
        <f aca="false">'جرد أول المدة'!E27</f>
        <v>92</v>
      </c>
      <c r="E29" s="108" t="n">
        <f aca="false">SUMIFS('مشتريات يومية'!$D$2:$D$4001,'مشتريات يومية'!$B$2:$B$4001,$B$2,'مشتريات يومية'!$C$2:$C$4001,$A29,'مشتريات يومية'!$A$2:$A$4001,"&gt;="&amp;'إعدادات المخزون'!$B$5,'مشتريات يومية'!$A$2:$A$4001,"&lt;="&amp;'إعدادات المخزون'!$B$4)</f>
        <v>1320</v>
      </c>
      <c r="F29" s="108"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8"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8" t="n">
        <f aca="false">SUMPRODUCT('مصفوفة الاستهلاك'!$X$2:$X$172,'متجهات المبيعات'!$I$2:$I$172)/'مواد المخزون'!$D$24</f>
        <v>0</v>
      </c>
      <c r="I29" s="108"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8" t="n">
        <f aca="false">D29+E29+F29-G29-H29-I29</f>
        <v>1412</v>
      </c>
      <c r="K29" s="36" t="str">
        <f aca="false">IF(COUNTIFS('جرد فعلي'!$B$2:$B$12001,$B$2,'جرد فعلي'!$C$2:$C$12001,$A29,'جرد فعلي'!$A$2:$A$12001,'إعدادات المخزون'!$B$4)&gt;0,"نعم","لا")</f>
        <v>لا</v>
      </c>
      <c r="L29" s="109" t="str">
        <f aca="false">IF(K29="نعم",SUMIFS('جرد فعلي'!$D$2:$D$12001,'جرد فعلي'!$B$2:$B$12001,$B$2,'جرد فعلي'!$C$2:$C$12001,$A29,'جرد فعلي'!$A$2:$A$12001,'إعدادات المخزون'!$B$4),"")</f>
        <v/>
      </c>
      <c r="M29" s="108" t="str">
        <f aca="false">IF(K29="نعم",L29-J29,"")</f>
        <v/>
      </c>
      <c r="N29" s="110" t="str">
        <f aca="false">IF(K29="نعم",IF(J29=0,IF(M29=0,0,SIGN(M29)),M29/ABS(J29)),"")</f>
        <v/>
      </c>
      <c r="O29" s="107" t="str">
        <f aca="false">IF(K29="نعم",M29*C29,"")</f>
        <v/>
      </c>
      <c r="P29" s="36" t="str">
        <f aca="false">IF(K29&lt;&gt;"نعم","لم يُجرد",IF(ABS(N29)&lt;='إعدادات المخزون'!$B$7,"مطابق",IF(M29&lt;0,"عجز","زيادة")))</f>
        <v>لم يُجرد</v>
      </c>
      <c r="Q29" s="108" t="n">
        <f aca="false">J29-Z29</f>
        <v>1412</v>
      </c>
      <c r="R29" s="108"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8" t="str">
        <f aca="false">IF(AND(K29="نعم",R29&lt;&gt;""),(L29-J29)-(R29-Q29),"")</f>
        <v/>
      </c>
      <c r="T29" s="107" t="str">
        <f aca="false">IF(S29="","",S29*C29)</f>
        <v/>
      </c>
      <c r="U29" s="108" t="n">
        <f aca="false">IF(K29="نعم",L29,J29)</f>
        <v>1412</v>
      </c>
      <c r="V29" s="108" t="n">
        <f aca="false">SUMPRODUCT('مصفوفة الاستهلاك'!$X$2:$X$172,'متجهات المبيعات'!$J$2:$J$172)/'مواد المخزون'!$D$24/MAX(1,MIN('إعدادات المخزون'!$B$11,'إعدادات المخزون'!$B$4-'إعدادات المخزون'!$B$5+1))</f>
        <v>0</v>
      </c>
      <c r="W29" s="108" t="n">
        <f aca="false">IF(V29&lt;=0,0,ROUNDUP(MAX(0,V29*('إعدادات المخزون'!$B$8+'إعدادات المخزون'!$B$9+'إعدادات المخزون'!$B$10)-MAX(U29,0))/'مواد المخزون'!$F24,0)*'مواد المخزون'!$F24)</f>
        <v>0</v>
      </c>
      <c r="X29" s="107" t="n">
        <f aca="false">IF(AND(K29="نعم",O29&lt;0),-O29+ROW()*0.000000001,0)</f>
        <v>0</v>
      </c>
      <c r="Y29" s="107" t="n">
        <f aca="false">IF(AND(K29="نعم",O29&gt;0),O29+ROW()*0.000000001,0)</f>
        <v>0</v>
      </c>
      <c r="Z29" s="108"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المبيعات'!$H$2:$H$172)/'مواد المخزون'!$D$24</f>
        <v>0</v>
      </c>
      <c r="AA29" s="107" t="n">
        <f aca="false">IF(K29="نعم",O29,0)</f>
        <v>0</v>
      </c>
      <c r="AB29" s="107" t="n">
        <f aca="false">IF(K29="نعم",J29*C29,0)</f>
        <v>0</v>
      </c>
      <c r="AC29" s="107"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7" t="n">
        <f aca="false">'مواد المخزون'!E25</f>
        <v>25</v>
      </c>
      <c r="D30" s="108" t="n">
        <f aca="false">'جرد أول المدة'!E28</f>
        <v>0</v>
      </c>
      <c r="E30" s="108" t="n">
        <f aca="false">SUMIFS('مشتريات يومية'!$D$2:$D$4001,'مشتريات يومية'!$B$2:$B$4001,$B$2,'مشتريات يومية'!$C$2:$C$4001,$A30,'مشتريات يومية'!$A$2:$A$4001,"&gt;="&amp;'إعدادات المخزون'!$B$5,'مشتريات يومية'!$A$2:$A$4001,"&lt;="&amp;'إعدادات المخزون'!$B$4)</f>
        <v>0</v>
      </c>
      <c r="F30" s="108"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8"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8" t="n">
        <f aca="false">SUMPRODUCT('مصفوفة الاستهلاك'!$Y$2:$Y$172,'متجهات المبيعات'!$I$2:$I$172)/'مواد المخزون'!$D$25</f>
        <v>0</v>
      </c>
      <c r="I30" s="108"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8" t="n">
        <f aca="false">D30+E30+F30-G30-H30-I30</f>
        <v>0</v>
      </c>
      <c r="K30" s="36" t="str">
        <f aca="false">IF(COUNTIFS('جرد فعلي'!$B$2:$B$12001,$B$2,'جرد فعلي'!$C$2:$C$12001,$A30,'جرد فعلي'!$A$2:$A$12001,'إعدادات المخزون'!$B$4)&gt;0,"نعم","لا")</f>
        <v>لا</v>
      </c>
      <c r="L30" s="109" t="str">
        <f aca="false">IF(K30="نعم",SUMIFS('جرد فعلي'!$D$2:$D$12001,'جرد فعلي'!$B$2:$B$12001,$B$2,'جرد فعلي'!$C$2:$C$12001,$A30,'جرد فعلي'!$A$2:$A$12001,'إعدادات المخزون'!$B$4),"")</f>
        <v/>
      </c>
      <c r="M30" s="108" t="str">
        <f aca="false">IF(K30="نعم",L30-J30,"")</f>
        <v/>
      </c>
      <c r="N30" s="110" t="str">
        <f aca="false">IF(K30="نعم",IF(J30=0,IF(M30=0,0,SIGN(M30)),M30/ABS(J30)),"")</f>
        <v/>
      </c>
      <c r="O30" s="107" t="str">
        <f aca="false">IF(K30="نعم",M30*C30,"")</f>
        <v/>
      </c>
      <c r="P30" s="36" t="str">
        <f aca="false">IF(K30&lt;&gt;"نعم","لم يُجرد",IF(ABS(N30)&lt;='إعدادات المخزون'!$B$7,"مطابق",IF(M30&lt;0,"عجز","زيادة")))</f>
        <v>لم يُجرد</v>
      </c>
      <c r="Q30" s="108" t="n">
        <f aca="false">J30-Z30</f>
        <v>0</v>
      </c>
      <c r="R30" s="108"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8" t="str">
        <f aca="false">IF(AND(K30="نعم",R30&lt;&gt;""),(L30-J30)-(R30-Q30),"")</f>
        <v/>
      </c>
      <c r="T30" s="107" t="str">
        <f aca="false">IF(S30="","",S30*C30)</f>
        <v/>
      </c>
      <c r="U30" s="108" t="n">
        <f aca="false">IF(K30="نعم",L30,J30)</f>
        <v>0</v>
      </c>
      <c r="V30" s="108" t="n">
        <f aca="false">SUMPRODUCT('مصفوفة الاستهلاك'!$Y$2:$Y$172,'متجهات المبيعات'!$J$2:$J$172)/'مواد المخزون'!$D$25/MAX(1,MIN('إعدادات المخزون'!$B$11,'إعدادات المخزون'!$B$4-'إعدادات المخزون'!$B$5+1))</f>
        <v>0</v>
      </c>
      <c r="W30" s="108" t="n">
        <f aca="false">IF(V30&lt;=0,0,ROUNDUP(MAX(0,V30*('إعدادات المخزون'!$B$8+'إعدادات المخزون'!$B$9+'إعدادات المخزون'!$B$10)-MAX(U30,0))/'مواد المخزون'!$F25,0)*'مواد المخزون'!$F25)</f>
        <v>0</v>
      </c>
      <c r="X30" s="107" t="n">
        <f aca="false">IF(AND(K30="نعم",O30&lt;0),-O30+ROW()*0.000000001,0)</f>
        <v>0</v>
      </c>
      <c r="Y30" s="107" t="n">
        <f aca="false">IF(AND(K30="نعم",O30&gt;0),O30+ROW()*0.000000001,0)</f>
        <v>0</v>
      </c>
      <c r="Z30" s="108"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المبيعات'!$H$2:$H$172)/'مواد المخزون'!$D$25</f>
        <v>0</v>
      </c>
      <c r="AA30" s="107" t="n">
        <f aca="false">IF(K30="نعم",O30,0)</f>
        <v>0</v>
      </c>
      <c r="AB30" s="107" t="n">
        <f aca="false">IF(K30="نعم",J30*C30,0)</f>
        <v>0</v>
      </c>
      <c r="AC30" s="107"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7" t="n">
        <f aca="false">'مواد المخزون'!E26</f>
        <v>100</v>
      </c>
      <c r="D31" s="108" t="n">
        <f aca="false">'جرد أول المدة'!E29</f>
        <v>0.7</v>
      </c>
      <c r="E31" s="108" t="n">
        <f aca="false">SUMIFS('مشتريات يومية'!$D$2:$D$4001,'مشتريات يومية'!$B$2:$B$4001,$B$2,'مشتريات يومية'!$C$2:$C$4001,$A31,'مشتريات يومية'!$A$2:$A$4001,"&gt;="&amp;'إعدادات المخزون'!$B$5,'مشتريات يومية'!$A$2:$A$4001,"&lt;="&amp;'إعدادات المخزون'!$B$4)</f>
        <v>0</v>
      </c>
      <c r="F31" s="108"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8"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8" t="n">
        <f aca="false">SUMPRODUCT('مصفوفة الاستهلاك'!$Z$2:$Z$172,'متجهات المبيعات'!$I$2:$I$172)/'مواد المخزون'!$D$26</f>
        <v>0</v>
      </c>
      <c r="I31" s="108"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8" t="n">
        <f aca="false">D31+E31+F31-G31-H31-I31</f>
        <v>0.7</v>
      </c>
      <c r="K31" s="36" t="str">
        <f aca="false">IF(COUNTIFS('جرد فعلي'!$B$2:$B$12001,$B$2,'جرد فعلي'!$C$2:$C$12001,$A31,'جرد فعلي'!$A$2:$A$12001,'إعدادات المخزون'!$B$4)&gt;0,"نعم","لا")</f>
        <v>لا</v>
      </c>
      <c r="L31" s="109" t="str">
        <f aca="false">IF(K31="نعم",SUMIFS('جرد فعلي'!$D$2:$D$12001,'جرد فعلي'!$B$2:$B$12001,$B$2,'جرد فعلي'!$C$2:$C$12001,$A31,'جرد فعلي'!$A$2:$A$12001,'إعدادات المخزون'!$B$4),"")</f>
        <v/>
      </c>
      <c r="M31" s="108" t="str">
        <f aca="false">IF(K31="نعم",L31-J31,"")</f>
        <v/>
      </c>
      <c r="N31" s="110" t="str">
        <f aca="false">IF(K31="نعم",IF(J31=0,IF(M31=0,0,SIGN(M31)),M31/ABS(J31)),"")</f>
        <v/>
      </c>
      <c r="O31" s="107" t="str">
        <f aca="false">IF(K31="نعم",M31*C31,"")</f>
        <v/>
      </c>
      <c r="P31" s="36" t="str">
        <f aca="false">IF(K31&lt;&gt;"نعم","لم يُجرد",IF(ABS(N31)&lt;='إعدادات المخزون'!$B$7,"مطابق",IF(M31&lt;0,"عجز","زيادة")))</f>
        <v>لم يُجرد</v>
      </c>
      <c r="Q31" s="108" t="n">
        <f aca="false">J31-Z31</f>
        <v>0.7</v>
      </c>
      <c r="R31" s="108"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8" t="str">
        <f aca="false">IF(AND(K31="نعم",R31&lt;&gt;""),(L31-J31)-(R31-Q31),"")</f>
        <v/>
      </c>
      <c r="T31" s="107" t="str">
        <f aca="false">IF(S31="","",S31*C31)</f>
        <v/>
      </c>
      <c r="U31" s="108" t="n">
        <f aca="false">IF(K31="نعم",L31,J31)</f>
        <v>0.7</v>
      </c>
      <c r="V31" s="108" t="n">
        <f aca="false">SUMPRODUCT('مصفوفة الاستهلاك'!$Z$2:$Z$172,'متجهات المبيعات'!$J$2:$J$172)/'مواد المخزون'!$D$26/MAX(1,MIN('إعدادات المخزون'!$B$11,'إعدادات المخزون'!$B$4-'إعدادات المخزون'!$B$5+1))</f>
        <v>0</v>
      </c>
      <c r="W31" s="108" t="n">
        <f aca="false">IF(V31&lt;=0,0,ROUNDUP(MAX(0,V31*('إعدادات المخزون'!$B$8+'إعدادات المخزون'!$B$9+'إعدادات المخزون'!$B$10)-MAX(U31,0))/'مواد المخزون'!$F26,0)*'مواد المخزون'!$F26)</f>
        <v>0</v>
      </c>
      <c r="X31" s="107" t="n">
        <f aca="false">IF(AND(K31="نعم",O31&lt;0),-O31+ROW()*0.000000001,0)</f>
        <v>0</v>
      </c>
      <c r="Y31" s="107" t="n">
        <f aca="false">IF(AND(K31="نعم",O31&gt;0),O31+ROW()*0.000000001,0)</f>
        <v>0</v>
      </c>
      <c r="Z31" s="108"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المبيعات'!$H$2:$H$172)/'مواد المخزون'!$D$26</f>
        <v>0</v>
      </c>
      <c r="AA31" s="107" t="n">
        <f aca="false">IF(K31="نعم",O31,0)</f>
        <v>0</v>
      </c>
      <c r="AB31" s="107" t="n">
        <f aca="false">IF(K31="نعم",J31*C31,0)</f>
        <v>0</v>
      </c>
      <c r="AC31" s="107"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7" t="n">
        <f aca="false">'مواد المخزون'!E27</f>
        <v>104.58</v>
      </c>
      <c r="D32" s="108" t="n">
        <f aca="false">'جرد أول المدة'!E30</f>
        <v>0.75</v>
      </c>
      <c r="E32" s="108" t="n">
        <f aca="false">SUMIFS('مشتريات يومية'!$D$2:$D$4001,'مشتريات يومية'!$B$2:$B$4001,$B$2,'مشتريات يومية'!$C$2:$C$4001,$A32,'مشتريات يومية'!$A$2:$A$4001,"&gt;="&amp;'إعدادات المخزون'!$B$5,'مشتريات يومية'!$A$2:$A$4001,"&lt;="&amp;'إعدادات المخزون'!$B$4)</f>
        <v>0</v>
      </c>
      <c r="F32" s="108"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8"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8" t="n">
        <f aca="false">SUMPRODUCT('مصفوفة الاستهلاك'!$AA$2:$AA$172,'متجهات المبيعات'!$I$2:$I$172)/'مواد المخزون'!$D$27</f>
        <v>0</v>
      </c>
      <c r="I32" s="108"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8" t="n">
        <f aca="false">D32+E32+F32-G32-H32-I32</f>
        <v>0.75</v>
      </c>
      <c r="K32" s="36" t="str">
        <f aca="false">IF(COUNTIFS('جرد فعلي'!$B$2:$B$12001,$B$2,'جرد فعلي'!$C$2:$C$12001,$A32,'جرد فعلي'!$A$2:$A$12001,'إعدادات المخزون'!$B$4)&gt;0,"نعم","لا")</f>
        <v>لا</v>
      </c>
      <c r="L32" s="109" t="str">
        <f aca="false">IF(K32="نعم",SUMIFS('جرد فعلي'!$D$2:$D$12001,'جرد فعلي'!$B$2:$B$12001,$B$2,'جرد فعلي'!$C$2:$C$12001,$A32,'جرد فعلي'!$A$2:$A$12001,'إعدادات المخزون'!$B$4),"")</f>
        <v/>
      </c>
      <c r="M32" s="108" t="str">
        <f aca="false">IF(K32="نعم",L32-J32,"")</f>
        <v/>
      </c>
      <c r="N32" s="110" t="str">
        <f aca="false">IF(K32="نعم",IF(J32=0,IF(M32=0,0,SIGN(M32)),M32/ABS(J32)),"")</f>
        <v/>
      </c>
      <c r="O32" s="107" t="str">
        <f aca="false">IF(K32="نعم",M32*C32,"")</f>
        <v/>
      </c>
      <c r="P32" s="36" t="str">
        <f aca="false">IF(K32&lt;&gt;"نعم","لم يُجرد",IF(ABS(N32)&lt;='إعدادات المخزون'!$B$7,"مطابق",IF(M32&lt;0,"عجز","زيادة")))</f>
        <v>لم يُجرد</v>
      </c>
      <c r="Q32" s="108" t="n">
        <f aca="false">J32-Z32</f>
        <v>0.75</v>
      </c>
      <c r="R32" s="108"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8" t="str">
        <f aca="false">IF(AND(K32="نعم",R32&lt;&gt;""),(L32-J32)-(R32-Q32),"")</f>
        <v/>
      </c>
      <c r="T32" s="107" t="str">
        <f aca="false">IF(S32="","",S32*C32)</f>
        <v/>
      </c>
      <c r="U32" s="108" t="n">
        <f aca="false">IF(K32="نعم",L32,J32)</f>
        <v>0.75</v>
      </c>
      <c r="V32" s="108" t="n">
        <f aca="false">SUMPRODUCT('مصفوفة الاستهلاك'!$AA$2:$AA$172,'متجهات المبيعات'!$J$2:$J$172)/'مواد المخزون'!$D$27/MAX(1,MIN('إعدادات المخزون'!$B$11,'إعدادات المخزون'!$B$4-'إعدادات المخزون'!$B$5+1))</f>
        <v>0</v>
      </c>
      <c r="W32" s="108" t="n">
        <f aca="false">IF(V32&lt;=0,0,ROUNDUP(MAX(0,V32*('إعدادات المخزون'!$B$8+'إعدادات المخزون'!$B$9+'إعدادات المخزون'!$B$10)-MAX(U32,0))/'مواد المخزون'!$F27,0)*'مواد المخزون'!$F27)</f>
        <v>0</v>
      </c>
      <c r="X32" s="107" t="n">
        <f aca="false">IF(AND(K32="نعم",O32&lt;0),-O32+ROW()*0.000000001,0)</f>
        <v>0</v>
      </c>
      <c r="Y32" s="107" t="n">
        <f aca="false">IF(AND(K32="نعم",O32&gt;0),O32+ROW()*0.000000001,0)</f>
        <v>0</v>
      </c>
      <c r="Z32" s="108"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المبيعات'!$H$2:$H$172)/'مواد المخزون'!$D$27</f>
        <v>0</v>
      </c>
      <c r="AA32" s="107" t="n">
        <f aca="false">IF(K32="نعم",O32,0)</f>
        <v>0</v>
      </c>
      <c r="AB32" s="107" t="n">
        <f aca="false">IF(K32="نعم",J32*C32,0)</f>
        <v>0</v>
      </c>
      <c r="AC32" s="107"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7" t="n">
        <f aca="false">'مواد المخزون'!E28</f>
        <v>100</v>
      </c>
      <c r="D33" s="108" t="n">
        <f aca="false">'جرد أول المدة'!E31</f>
        <v>1.05</v>
      </c>
      <c r="E33" s="108" t="n">
        <f aca="false">SUMIFS('مشتريات يومية'!$D$2:$D$4001,'مشتريات يومية'!$B$2:$B$4001,$B$2,'مشتريات يومية'!$C$2:$C$4001,$A33,'مشتريات يومية'!$A$2:$A$4001,"&gt;="&amp;'إعدادات المخزون'!$B$5,'مشتريات يومية'!$A$2:$A$4001,"&lt;="&amp;'إعدادات المخزون'!$B$4)</f>
        <v>0</v>
      </c>
      <c r="F33" s="108"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8"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8" t="n">
        <f aca="false">SUMPRODUCT('مصفوفة الاستهلاك'!$AB$2:$AB$172,'متجهات المبيعات'!$I$2:$I$172)/'مواد المخزون'!$D$28</f>
        <v>0</v>
      </c>
      <c r="I33" s="108"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8" t="n">
        <f aca="false">D33+E33+F33-G33-H33-I33</f>
        <v>1.05</v>
      </c>
      <c r="K33" s="36" t="str">
        <f aca="false">IF(COUNTIFS('جرد فعلي'!$B$2:$B$12001,$B$2,'جرد فعلي'!$C$2:$C$12001,$A33,'جرد فعلي'!$A$2:$A$12001,'إعدادات المخزون'!$B$4)&gt;0,"نعم","لا")</f>
        <v>لا</v>
      </c>
      <c r="L33" s="109" t="str">
        <f aca="false">IF(K33="نعم",SUMIFS('جرد فعلي'!$D$2:$D$12001,'جرد فعلي'!$B$2:$B$12001,$B$2,'جرد فعلي'!$C$2:$C$12001,$A33,'جرد فعلي'!$A$2:$A$12001,'إعدادات المخزون'!$B$4),"")</f>
        <v/>
      </c>
      <c r="M33" s="108" t="str">
        <f aca="false">IF(K33="نعم",L33-J33,"")</f>
        <v/>
      </c>
      <c r="N33" s="110" t="str">
        <f aca="false">IF(K33="نعم",IF(J33=0,IF(M33=0,0,SIGN(M33)),M33/ABS(J33)),"")</f>
        <v/>
      </c>
      <c r="O33" s="107" t="str">
        <f aca="false">IF(K33="نعم",M33*C33,"")</f>
        <v/>
      </c>
      <c r="P33" s="36" t="str">
        <f aca="false">IF(K33&lt;&gt;"نعم","لم يُجرد",IF(ABS(N33)&lt;='إعدادات المخزون'!$B$7,"مطابق",IF(M33&lt;0,"عجز","زيادة")))</f>
        <v>لم يُجرد</v>
      </c>
      <c r="Q33" s="108" t="n">
        <f aca="false">J33-Z33</f>
        <v>1.05</v>
      </c>
      <c r="R33" s="108"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8" t="str">
        <f aca="false">IF(AND(K33="نعم",R33&lt;&gt;""),(L33-J33)-(R33-Q33),"")</f>
        <v/>
      </c>
      <c r="T33" s="107" t="str">
        <f aca="false">IF(S33="","",S33*C33)</f>
        <v/>
      </c>
      <c r="U33" s="108" t="n">
        <f aca="false">IF(K33="نعم",L33,J33)</f>
        <v>1.05</v>
      </c>
      <c r="V33" s="108" t="n">
        <f aca="false">SUMPRODUCT('مصفوفة الاستهلاك'!$AB$2:$AB$172,'متجهات المبيعات'!$J$2:$J$172)/'مواد المخزون'!$D$28/MAX(1,MIN('إعدادات المخزون'!$B$11,'إعدادات المخزون'!$B$4-'إعدادات المخزون'!$B$5+1))</f>
        <v>0</v>
      </c>
      <c r="W33" s="108" t="n">
        <f aca="false">IF(V33&lt;=0,0,ROUNDUP(MAX(0,V33*('إعدادات المخزون'!$B$8+'إعدادات المخزون'!$B$9+'إعدادات المخزون'!$B$10)-MAX(U33,0))/'مواد المخزون'!$F28,0)*'مواد المخزون'!$F28)</f>
        <v>0</v>
      </c>
      <c r="X33" s="107" t="n">
        <f aca="false">IF(AND(K33="نعم",O33&lt;0),-O33+ROW()*0.000000001,0)</f>
        <v>0</v>
      </c>
      <c r="Y33" s="107" t="n">
        <f aca="false">IF(AND(K33="نعم",O33&gt;0),O33+ROW()*0.000000001,0)</f>
        <v>0</v>
      </c>
      <c r="Z33" s="108"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المبيعات'!$H$2:$H$172)/'مواد المخزون'!$D$28</f>
        <v>0</v>
      </c>
      <c r="AA33" s="107" t="n">
        <f aca="false">IF(K33="نعم",O33,0)</f>
        <v>0</v>
      </c>
      <c r="AB33" s="107" t="n">
        <f aca="false">IF(K33="نعم",J33*C33,0)</f>
        <v>0</v>
      </c>
      <c r="AC33" s="107"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7" t="n">
        <f aca="false">'مواد المخزون'!E29</f>
        <v>41</v>
      </c>
      <c r="D34" s="108" t="n">
        <f aca="false">'جرد أول المدة'!E32</f>
        <v>13.6</v>
      </c>
      <c r="E34" s="108" t="n">
        <f aca="false">SUMIFS('مشتريات يومية'!$D$2:$D$4001,'مشتريات يومية'!$B$2:$B$4001,$B$2,'مشتريات يومية'!$C$2:$C$4001,$A34,'مشتريات يومية'!$A$2:$A$4001,"&gt;="&amp;'إعدادات المخزون'!$B$5,'مشتريات يومية'!$A$2:$A$4001,"&lt;="&amp;'إعدادات المخزون'!$B$4)</f>
        <v>20</v>
      </c>
      <c r="F34" s="108"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8"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8" t="n">
        <f aca="false">SUMPRODUCT('مصفوفة الاستهلاك'!$AC$2:$AC$172,'متجهات المبيعات'!$I$2:$I$172)/'مواد المخزون'!$D$29</f>
        <v>0</v>
      </c>
      <c r="I34" s="108"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8" t="n">
        <f aca="false">D34+E34+F34-G34-H34-I34</f>
        <v>33.6</v>
      </c>
      <c r="K34" s="36" t="str">
        <f aca="false">IF(COUNTIFS('جرد فعلي'!$B$2:$B$12001,$B$2,'جرد فعلي'!$C$2:$C$12001,$A34,'جرد فعلي'!$A$2:$A$12001,'إعدادات المخزون'!$B$4)&gt;0,"نعم","لا")</f>
        <v>لا</v>
      </c>
      <c r="L34" s="109" t="str">
        <f aca="false">IF(K34="نعم",SUMIFS('جرد فعلي'!$D$2:$D$12001,'جرد فعلي'!$B$2:$B$12001,$B$2,'جرد فعلي'!$C$2:$C$12001,$A34,'جرد فعلي'!$A$2:$A$12001,'إعدادات المخزون'!$B$4),"")</f>
        <v/>
      </c>
      <c r="M34" s="108" t="str">
        <f aca="false">IF(K34="نعم",L34-J34,"")</f>
        <v/>
      </c>
      <c r="N34" s="110" t="str">
        <f aca="false">IF(K34="نعم",IF(J34=0,IF(M34=0,0,SIGN(M34)),M34/ABS(J34)),"")</f>
        <v/>
      </c>
      <c r="O34" s="107" t="str">
        <f aca="false">IF(K34="نعم",M34*C34,"")</f>
        <v/>
      </c>
      <c r="P34" s="36" t="str">
        <f aca="false">IF(K34&lt;&gt;"نعم","لم يُجرد",IF(ABS(N34)&lt;='إعدادات المخزون'!$B$7,"مطابق",IF(M34&lt;0,"عجز","زيادة")))</f>
        <v>لم يُجرد</v>
      </c>
      <c r="Q34" s="108" t="n">
        <f aca="false">J34-Z34</f>
        <v>33.6</v>
      </c>
      <c r="R34" s="108"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8" t="str">
        <f aca="false">IF(AND(K34="نعم",R34&lt;&gt;""),(L34-J34)-(R34-Q34),"")</f>
        <v/>
      </c>
      <c r="T34" s="107" t="str">
        <f aca="false">IF(S34="","",S34*C34)</f>
        <v/>
      </c>
      <c r="U34" s="108" t="n">
        <f aca="false">IF(K34="نعم",L34,J34)</f>
        <v>33.6</v>
      </c>
      <c r="V34" s="108" t="n">
        <f aca="false">SUMPRODUCT('مصفوفة الاستهلاك'!$AC$2:$AC$172,'متجهات المبيعات'!$J$2:$J$172)/'مواد المخزون'!$D$29/MAX(1,MIN('إعدادات المخزون'!$B$11,'إعدادات المخزون'!$B$4-'إعدادات المخزون'!$B$5+1))</f>
        <v>0</v>
      </c>
      <c r="W34" s="108" t="n">
        <f aca="false">IF(V34&lt;=0,0,ROUNDUP(MAX(0,V34*('إعدادات المخزون'!$B$8+'إعدادات المخزون'!$B$9+'إعدادات المخزون'!$B$10)-MAX(U34,0))/'مواد المخزون'!$F29,0)*'مواد المخزون'!$F29)</f>
        <v>0</v>
      </c>
      <c r="X34" s="107" t="n">
        <f aca="false">IF(AND(K34="نعم",O34&lt;0),-O34+ROW()*0.000000001,0)</f>
        <v>0</v>
      </c>
      <c r="Y34" s="107" t="n">
        <f aca="false">IF(AND(K34="نعم",O34&gt;0),O34+ROW()*0.000000001,0)</f>
        <v>0</v>
      </c>
      <c r="Z34" s="108"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المبيعات'!$H$2:$H$172)/'مواد المخزون'!$D$29</f>
        <v>0</v>
      </c>
      <c r="AA34" s="107" t="n">
        <f aca="false">IF(K34="نعم",O34,0)</f>
        <v>0</v>
      </c>
      <c r="AB34" s="107" t="n">
        <f aca="false">IF(K34="نعم",J34*C34,0)</f>
        <v>0</v>
      </c>
      <c r="AC34" s="107"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7" t="n">
        <f aca="false">'مواد المخزون'!E30</f>
        <v>25</v>
      </c>
      <c r="D35" s="108" t="n">
        <f aca="false">'جرد أول المدة'!E33</f>
        <v>0</v>
      </c>
      <c r="E35" s="108" t="n">
        <f aca="false">SUMIFS('مشتريات يومية'!$D$2:$D$4001,'مشتريات يومية'!$B$2:$B$4001,$B$2,'مشتريات يومية'!$C$2:$C$4001,$A35,'مشتريات يومية'!$A$2:$A$4001,"&gt;="&amp;'إعدادات المخزون'!$B$5,'مشتريات يومية'!$A$2:$A$4001,"&lt;="&amp;'إعدادات المخزون'!$B$4)</f>
        <v>0</v>
      </c>
      <c r="F35" s="108"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8"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8" t="n">
        <f aca="false">SUMPRODUCT('مصفوفة الاستهلاك'!$AD$2:$AD$172,'متجهات المبيعات'!$I$2:$I$172)/'مواد المخزون'!$D$30</f>
        <v>0</v>
      </c>
      <c r="I35" s="108"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8" t="n">
        <f aca="false">D35+E35+F35-G35-H35-I35</f>
        <v>0</v>
      </c>
      <c r="K35" s="36" t="str">
        <f aca="false">IF(COUNTIFS('جرد فعلي'!$B$2:$B$12001,$B$2,'جرد فعلي'!$C$2:$C$12001,$A35,'جرد فعلي'!$A$2:$A$12001,'إعدادات المخزون'!$B$4)&gt;0,"نعم","لا")</f>
        <v>لا</v>
      </c>
      <c r="L35" s="109" t="str">
        <f aca="false">IF(K35="نعم",SUMIFS('جرد فعلي'!$D$2:$D$12001,'جرد فعلي'!$B$2:$B$12001,$B$2,'جرد فعلي'!$C$2:$C$12001,$A35,'جرد فعلي'!$A$2:$A$12001,'إعدادات المخزون'!$B$4),"")</f>
        <v/>
      </c>
      <c r="M35" s="108" t="str">
        <f aca="false">IF(K35="نعم",L35-J35,"")</f>
        <v/>
      </c>
      <c r="N35" s="110" t="str">
        <f aca="false">IF(K35="نعم",IF(J35=0,IF(M35=0,0,SIGN(M35)),M35/ABS(J35)),"")</f>
        <v/>
      </c>
      <c r="O35" s="107" t="str">
        <f aca="false">IF(K35="نعم",M35*C35,"")</f>
        <v/>
      </c>
      <c r="P35" s="36" t="str">
        <f aca="false">IF(K35&lt;&gt;"نعم","لم يُجرد",IF(ABS(N35)&lt;='إعدادات المخزون'!$B$7,"مطابق",IF(M35&lt;0,"عجز","زيادة")))</f>
        <v>لم يُجرد</v>
      </c>
      <c r="Q35" s="108" t="n">
        <f aca="false">J35-Z35</f>
        <v>0</v>
      </c>
      <c r="R35" s="108"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8" t="str">
        <f aca="false">IF(AND(K35="نعم",R35&lt;&gt;""),(L35-J35)-(R35-Q35),"")</f>
        <v/>
      </c>
      <c r="T35" s="107" t="str">
        <f aca="false">IF(S35="","",S35*C35)</f>
        <v/>
      </c>
      <c r="U35" s="108" t="n">
        <f aca="false">IF(K35="نعم",L35,J35)</f>
        <v>0</v>
      </c>
      <c r="V35" s="108" t="n">
        <f aca="false">SUMPRODUCT('مصفوفة الاستهلاك'!$AD$2:$AD$172,'متجهات المبيعات'!$J$2:$J$172)/'مواد المخزون'!$D$30/MAX(1,MIN('إعدادات المخزون'!$B$11,'إعدادات المخزون'!$B$4-'إعدادات المخزون'!$B$5+1))</f>
        <v>0</v>
      </c>
      <c r="W35" s="108" t="n">
        <f aca="false">IF(V35&lt;=0,0,ROUNDUP(MAX(0,V35*('إعدادات المخزون'!$B$8+'إعدادات المخزون'!$B$9+'إعدادات المخزون'!$B$10)-MAX(U35,0))/'مواد المخزون'!$F30,0)*'مواد المخزون'!$F30)</f>
        <v>0</v>
      </c>
      <c r="X35" s="107" t="n">
        <f aca="false">IF(AND(K35="نعم",O35&lt;0),-O35+ROW()*0.000000001,0)</f>
        <v>0</v>
      </c>
      <c r="Y35" s="107" t="n">
        <f aca="false">IF(AND(K35="نعم",O35&gt;0),O35+ROW()*0.000000001,0)</f>
        <v>0</v>
      </c>
      <c r="Z35" s="108"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المبيعات'!$H$2:$H$172)/'مواد المخزون'!$D$30</f>
        <v>0</v>
      </c>
      <c r="AA35" s="107" t="n">
        <f aca="false">IF(K35="نعم",O35,0)</f>
        <v>0</v>
      </c>
      <c r="AB35" s="107" t="n">
        <f aca="false">IF(K35="نعم",J35*C35,0)</f>
        <v>0</v>
      </c>
      <c r="AC35" s="107" t="n">
        <f aca="false">IF(T35="",0,T35)</f>
        <v>0</v>
      </c>
    </row>
    <row r="36" customFormat="false" ht="15" hidden="false" customHeight="false" outlineLevel="0" collapsed="false">
      <c r="A36" s="34" t="str">
        <f aca="false">'مواد المخزون'!A31</f>
        <v>بصل</v>
      </c>
      <c r="B36" s="36" t="str">
        <f aca="false">'مواد المخزون'!B31</f>
        <v>كجم</v>
      </c>
      <c r="C36" s="107" t="n">
        <f aca="false">'مواد المخزون'!E31</f>
        <v>18</v>
      </c>
      <c r="D36" s="108" t="n">
        <f aca="false">'جرد أول المدة'!E34</f>
        <v>0</v>
      </c>
      <c r="E36" s="108" t="n">
        <f aca="false">SUMIFS('مشتريات يومية'!$D$2:$D$4001,'مشتريات يومية'!$B$2:$B$4001,$B$2,'مشتريات يومية'!$C$2:$C$4001,$A36,'مشتريات يومية'!$A$2:$A$4001,"&gt;="&amp;'إعدادات المخزون'!$B$5,'مشتريات يومية'!$A$2:$A$4001,"&lt;="&amp;'إعدادات المخزون'!$B$4)</f>
        <v>0</v>
      </c>
      <c r="F36" s="108"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8"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8" t="n">
        <f aca="false">SUMPRODUCT('مصفوفة الاستهلاك'!$AE$2:$AE$172,'متجهات المبيعات'!$I$2:$I$172)/'مواد المخزون'!$D$31</f>
        <v>0</v>
      </c>
      <c r="I36" s="108"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8" t="n">
        <f aca="false">D36+E36+F36-G36-H36-I36</f>
        <v>0</v>
      </c>
      <c r="K36" s="36" t="str">
        <f aca="false">IF(COUNTIFS('جرد فعلي'!$B$2:$B$12001,$B$2,'جرد فعلي'!$C$2:$C$12001,$A36,'جرد فعلي'!$A$2:$A$12001,'إعدادات المخزون'!$B$4)&gt;0,"نعم","لا")</f>
        <v>لا</v>
      </c>
      <c r="L36" s="109" t="str">
        <f aca="false">IF(K36="نعم",SUMIFS('جرد فعلي'!$D$2:$D$12001,'جرد فعلي'!$B$2:$B$12001,$B$2,'جرد فعلي'!$C$2:$C$12001,$A36,'جرد فعلي'!$A$2:$A$12001,'إعدادات المخزون'!$B$4),"")</f>
        <v/>
      </c>
      <c r="M36" s="108" t="str">
        <f aca="false">IF(K36="نعم",L36-J36,"")</f>
        <v/>
      </c>
      <c r="N36" s="110" t="str">
        <f aca="false">IF(K36="نعم",IF(J36=0,IF(M36=0,0,SIGN(M36)),M36/ABS(J36)),"")</f>
        <v/>
      </c>
      <c r="O36" s="107" t="str">
        <f aca="false">IF(K36="نعم",M36*C36,"")</f>
        <v/>
      </c>
      <c r="P36" s="36" t="str">
        <f aca="false">IF(K36&lt;&gt;"نعم","لم يُجرد",IF(ABS(N36)&lt;='إعدادات المخزون'!$B$7,"مطابق",IF(M36&lt;0,"عجز","زيادة")))</f>
        <v>لم يُجرد</v>
      </c>
      <c r="Q36" s="108" t="n">
        <f aca="false">J36-Z36</f>
        <v>0</v>
      </c>
      <c r="R36" s="108"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8" t="str">
        <f aca="false">IF(AND(K36="نعم",R36&lt;&gt;""),(L36-J36)-(R36-Q36),"")</f>
        <v/>
      </c>
      <c r="T36" s="107" t="str">
        <f aca="false">IF(S36="","",S36*C36)</f>
        <v/>
      </c>
      <c r="U36" s="108" t="n">
        <f aca="false">IF(K36="نعم",L36,J36)</f>
        <v>0</v>
      </c>
      <c r="V36" s="108" t="n">
        <f aca="false">SUMPRODUCT('مصفوفة الاستهلاك'!$AE$2:$AE$172,'متجهات المبيعات'!$J$2:$J$172)/'مواد المخزون'!$D$31/MAX(1,MIN('إعدادات المخزون'!$B$11,'إعدادات المخزون'!$B$4-'إعدادات المخزون'!$B$5+1))</f>
        <v>0</v>
      </c>
      <c r="W36" s="108" t="n">
        <f aca="false">IF(V36&lt;=0,0,ROUNDUP(MAX(0,V36*('إعدادات المخزون'!$B$8+'إعدادات المخزون'!$B$9+'إعدادات المخزون'!$B$10)-MAX(U36,0))/'مواد المخزون'!$F31,0)*'مواد المخزون'!$F31)</f>
        <v>0</v>
      </c>
      <c r="X36" s="107" t="n">
        <f aca="false">IF(AND(K36="نعم",O36&lt;0),-O36+ROW()*0.000000001,0)</f>
        <v>0</v>
      </c>
      <c r="Y36" s="107" t="n">
        <f aca="false">IF(AND(K36="نعم",O36&gt;0),O36+ROW()*0.000000001,0)</f>
        <v>0</v>
      </c>
      <c r="Z36" s="108"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المبيعات'!$H$2:$H$172)/'مواد المخزون'!$D$31</f>
        <v>0</v>
      </c>
      <c r="AA36" s="107" t="n">
        <f aca="false">IF(K36="نعم",O36,0)</f>
        <v>0</v>
      </c>
      <c r="AB36" s="107" t="n">
        <f aca="false">IF(K36="نعم",J36*C36,0)</f>
        <v>0</v>
      </c>
      <c r="AC36" s="107"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7" t="n">
        <f aca="false">'مواد المخزون'!E32</f>
        <v>730</v>
      </c>
      <c r="D37" s="108" t="n">
        <f aca="false">'جرد أول المدة'!E35</f>
        <v>5</v>
      </c>
      <c r="E37" s="108" t="n">
        <f aca="false">SUMIFS('مشتريات يومية'!$D$2:$D$4001,'مشتريات يومية'!$B$2:$B$4001,$B$2,'مشتريات يومية'!$C$2:$C$4001,$A37,'مشتريات يومية'!$A$2:$A$4001,"&gt;="&amp;'إعدادات المخزون'!$B$5,'مشتريات يومية'!$A$2:$A$4001,"&lt;="&amp;'إعدادات المخزون'!$B$4)</f>
        <v>0</v>
      </c>
      <c r="F37" s="108"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8"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8" t="n">
        <f aca="false">SUMPRODUCT('مصفوفة الاستهلاك'!$AF$2:$AF$172,'متجهات المبيعات'!$I$2:$I$172)/'مواد المخزون'!$D$32</f>
        <v>0</v>
      </c>
      <c r="I37" s="108"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8" t="n">
        <f aca="false">D37+E37+F37-G37-H37-I37</f>
        <v>5</v>
      </c>
      <c r="K37" s="36" t="str">
        <f aca="false">IF(COUNTIFS('جرد فعلي'!$B$2:$B$12001,$B$2,'جرد فعلي'!$C$2:$C$12001,$A37,'جرد فعلي'!$A$2:$A$12001,'إعدادات المخزون'!$B$4)&gt;0,"نعم","لا")</f>
        <v>لا</v>
      </c>
      <c r="L37" s="109" t="str">
        <f aca="false">IF(K37="نعم",SUMIFS('جرد فعلي'!$D$2:$D$12001,'جرد فعلي'!$B$2:$B$12001,$B$2,'جرد فعلي'!$C$2:$C$12001,$A37,'جرد فعلي'!$A$2:$A$12001,'إعدادات المخزون'!$B$4),"")</f>
        <v/>
      </c>
      <c r="M37" s="108" t="str">
        <f aca="false">IF(K37="نعم",L37-J37,"")</f>
        <v/>
      </c>
      <c r="N37" s="110" t="str">
        <f aca="false">IF(K37="نعم",IF(J37=0,IF(M37=0,0,SIGN(M37)),M37/ABS(J37)),"")</f>
        <v/>
      </c>
      <c r="O37" s="107" t="str">
        <f aca="false">IF(K37="نعم",M37*C37,"")</f>
        <v/>
      </c>
      <c r="P37" s="36" t="str">
        <f aca="false">IF(K37&lt;&gt;"نعم","لم يُجرد",IF(ABS(N37)&lt;='إعدادات المخزون'!$B$7,"مطابق",IF(M37&lt;0,"عجز","زيادة")))</f>
        <v>لم يُجرد</v>
      </c>
      <c r="Q37" s="108" t="n">
        <f aca="false">J37-Z37</f>
        <v>5</v>
      </c>
      <c r="R37" s="108"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8" t="str">
        <f aca="false">IF(AND(K37="نعم",R37&lt;&gt;""),(L37-J37)-(R37-Q37),"")</f>
        <v/>
      </c>
      <c r="T37" s="107" t="str">
        <f aca="false">IF(S37="","",S37*C37)</f>
        <v/>
      </c>
      <c r="U37" s="108" t="n">
        <f aca="false">IF(K37="نعم",L37,J37)</f>
        <v>5</v>
      </c>
      <c r="V37" s="108" t="n">
        <f aca="false">SUMPRODUCT('مصفوفة الاستهلاك'!$AF$2:$AF$172,'متجهات المبيعات'!$J$2:$J$172)/'مواد المخزون'!$D$32/MAX(1,MIN('إعدادات المخزون'!$B$11,'إعدادات المخزون'!$B$4-'إعدادات المخزون'!$B$5+1))</f>
        <v>0</v>
      </c>
      <c r="W37" s="108" t="n">
        <f aca="false">IF(V37&lt;=0,0,ROUNDUP(MAX(0,V37*('إعدادات المخزون'!$B$8+'إعدادات المخزون'!$B$9+'إعدادات المخزون'!$B$10)-MAX(U37,0))/'مواد المخزون'!$F32,0)*'مواد المخزون'!$F32)</f>
        <v>0</v>
      </c>
      <c r="X37" s="107" t="n">
        <f aca="false">IF(AND(K37="نعم",O37&lt;0),-O37+ROW()*0.000000001,0)</f>
        <v>0</v>
      </c>
      <c r="Y37" s="107" t="n">
        <f aca="false">IF(AND(K37="نعم",O37&gt;0),O37+ROW()*0.000000001,0)</f>
        <v>0</v>
      </c>
      <c r="Z37" s="108"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المبيعات'!$H$2:$H$172)/'مواد المخزون'!$D$32</f>
        <v>0</v>
      </c>
      <c r="AA37" s="107" t="n">
        <f aca="false">IF(K37="نعم",O37,0)</f>
        <v>0</v>
      </c>
      <c r="AB37" s="107" t="n">
        <f aca="false">IF(K37="نعم",J37*C37,0)</f>
        <v>0</v>
      </c>
      <c r="AC37" s="107"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7" t="n">
        <f aca="false">'مواد المخزون'!E33</f>
        <v>17.1875</v>
      </c>
      <c r="D38" s="108" t="n">
        <f aca="false">'جرد أول المدة'!E36</f>
        <v>0</v>
      </c>
      <c r="E38" s="108" t="n">
        <f aca="false">SUMIFS('مشتريات يومية'!$D$2:$D$4001,'مشتريات يومية'!$B$2:$B$4001,$B$2,'مشتريات يومية'!$C$2:$C$4001,$A38,'مشتريات يومية'!$A$2:$A$4001,"&gt;="&amp;'إعدادات المخزون'!$B$5,'مشتريات يومية'!$A$2:$A$4001,"&lt;="&amp;'إعدادات المخزون'!$B$4)</f>
        <v>1</v>
      </c>
      <c r="F38" s="108"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8"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8" t="n">
        <f aca="false">SUMPRODUCT('مصفوفة الاستهلاك'!$AG$2:$AG$172,'متجهات المبيعات'!$I$2:$I$172)/'مواد المخزون'!$D$33</f>
        <v>0</v>
      </c>
      <c r="I38" s="108"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8" t="n">
        <f aca="false">D38+E38+F38-G38-H38-I38</f>
        <v>1</v>
      </c>
      <c r="K38" s="36" t="str">
        <f aca="false">IF(COUNTIFS('جرد فعلي'!$B$2:$B$12001,$B$2,'جرد فعلي'!$C$2:$C$12001,$A38,'جرد فعلي'!$A$2:$A$12001,'إعدادات المخزون'!$B$4)&gt;0,"نعم","لا")</f>
        <v>لا</v>
      </c>
      <c r="L38" s="109" t="str">
        <f aca="false">IF(K38="نعم",SUMIFS('جرد فعلي'!$D$2:$D$12001,'جرد فعلي'!$B$2:$B$12001,$B$2,'جرد فعلي'!$C$2:$C$12001,$A38,'جرد فعلي'!$A$2:$A$12001,'إعدادات المخزون'!$B$4),"")</f>
        <v/>
      </c>
      <c r="M38" s="108" t="str">
        <f aca="false">IF(K38="نعم",L38-J38,"")</f>
        <v/>
      </c>
      <c r="N38" s="110" t="str">
        <f aca="false">IF(K38="نعم",IF(J38=0,IF(M38=0,0,SIGN(M38)),M38/ABS(J38)),"")</f>
        <v/>
      </c>
      <c r="O38" s="107" t="str">
        <f aca="false">IF(K38="نعم",M38*C38,"")</f>
        <v/>
      </c>
      <c r="P38" s="36" t="str">
        <f aca="false">IF(K38&lt;&gt;"نعم","لم يُجرد",IF(ABS(N38)&lt;='إعدادات المخزون'!$B$7,"مطابق",IF(M38&lt;0,"عجز","زيادة")))</f>
        <v>لم يُجرد</v>
      </c>
      <c r="Q38" s="108" t="n">
        <f aca="false">J38-Z38</f>
        <v>1</v>
      </c>
      <c r="R38" s="108"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8" t="str">
        <f aca="false">IF(AND(K38="نعم",R38&lt;&gt;""),(L38-J38)-(R38-Q38),"")</f>
        <v/>
      </c>
      <c r="T38" s="107" t="str">
        <f aca="false">IF(S38="","",S38*C38)</f>
        <v/>
      </c>
      <c r="U38" s="108" t="n">
        <f aca="false">IF(K38="نعم",L38,J38)</f>
        <v>1</v>
      </c>
      <c r="V38" s="108" t="n">
        <f aca="false">SUMPRODUCT('مصفوفة الاستهلاك'!$AG$2:$AG$172,'متجهات المبيعات'!$J$2:$J$172)/'مواد المخزون'!$D$33/MAX(1,MIN('إعدادات المخزون'!$B$11,'إعدادات المخزون'!$B$4-'إعدادات المخزون'!$B$5+1))</f>
        <v>0</v>
      </c>
      <c r="W38" s="108" t="n">
        <f aca="false">IF(V38&lt;=0,0,ROUNDUP(MAX(0,V38*('إعدادات المخزون'!$B$8+'إعدادات المخزون'!$B$9+'إعدادات المخزون'!$B$10)-MAX(U38,0))/'مواد المخزون'!$F33,0)*'مواد المخزون'!$F33)</f>
        <v>0</v>
      </c>
      <c r="X38" s="107" t="n">
        <f aca="false">IF(AND(K38="نعم",O38&lt;0),-O38+ROW()*0.000000001,0)</f>
        <v>0</v>
      </c>
      <c r="Y38" s="107" t="n">
        <f aca="false">IF(AND(K38="نعم",O38&gt;0),O38+ROW()*0.000000001,0)</f>
        <v>0</v>
      </c>
      <c r="Z38" s="108"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المبيعات'!$H$2:$H$172)/'مواد المخزون'!$D$33</f>
        <v>0</v>
      </c>
      <c r="AA38" s="107" t="n">
        <f aca="false">IF(K38="نعم",O38,0)</f>
        <v>0</v>
      </c>
      <c r="AB38" s="107" t="n">
        <f aca="false">IF(K38="نعم",J38*C38,0)</f>
        <v>0</v>
      </c>
      <c r="AC38" s="107" t="n">
        <f aca="false">IF(T38="",0,T38)</f>
        <v>0</v>
      </c>
    </row>
    <row r="39" customFormat="false" ht="15" hidden="false" customHeight="false" outlineLevel="0" collapsed="false">
      <c r="A39" s="34" t="str">
        <f aca="false">'مواد المخزون'!A34</f>
        <v>بيبسي لتر</v>
      </c>
      <c r="B39" s="36" t="str">
        <f aca="false">'مواد المخزون'!B34</f>
        <v>لتر</v>
      </c>
      <c r="C39" s="107" t="n">
        <f aca="false">'مواد المخزون'!E34</f>
        <v>30</v>
      </c>
      <c r="D39" s="108" t="n">
        <f aca="false">'جرد أول المدة'!E37</f>
        <v>0</v>
      </c>
      <c r="E39" s="108" t="n">
        <f aca="false">SUMIFS('مشتريات يومية'!$D$2:$D$4001,'مشتريات يومية'!$B$2:$B$4001,$B$2,'مشتريات يومية'!$C$2:$C$4001,$A39,'مشتريات يومية'!$A$2:$A$4001,"&gt;="&amp;'إعدادات المخزون'!$B$5,'مشتريات يومية'!$A$2:$A$4001,"&lt;="&amp;'إعدادات المخزون'!$B$4)</f>
        <v>0</v>
      </c>
      <c r="F39" s="108"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8"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8" t="n">
        <f aca="false">SUMPRODUCT('مصفوفة الاستهلاك'!$AH$2:$AH$172,'متجهات المبيعات'!$I$2:$I$172)/'مواد المخزون'!$D$34</f>
        <v>0</v>
      </c>
      <c r="I39" s="108"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8" t="n">
        <f aca="false">D39+E39+F39-G39-H39-I39</f>
        <v>0</v>
      </c>
      <c r="K39" s="36" t="str">
        <f aca="false">IF(COUNTIFS('جرد فعلي'!$B$2:$B$12001,$B$2,'جرد فعلي'!$C$2:$C$12001,$A39,'جرد فعلي'!$A$2:$A$12001,'إعدادات المخزون'!$B$4)&gt;0,"نعم","لا")</f>
        <v>لا</v>
      </c>
      <c r="L39" s="109" t="str">
        <f aca="false">IF(K39="نعم",SUMIFS('جرد فعلي'!$D$2:$D$12001,'جرد فعلي'!$B$2:$B$12001,$B$2,'جرد فعلي'!$C$2:$C$12001,$A39,'جرد فعلي'!$A$2:$A$12001,'إعدادات المخزون'!$B$4),"")</f>
        <v/>
      </c>
      <c r="M39" s="108" t="str">
        <f aca="false">IF(K39="نعم",L39-J39,"")</f>
        <v/>
      </c>
      <c r="N39" s="110" t="str">
        <f aca="false">IF(K39="نعم",IF(J39=0,IF(M39=0,0,SIGN(M39)),M39/ABS(J39)),"")</f>
        <v/>
      </c>
      <c r="O39" s="107" t="str">
        <f aca="false">IF(K39="نعم",M39*C39,"")</f>
        <v/>
      </c>
      <c r="P39" s="36" t="str">
        <f aca="false">IF(K39&lt;&gt;"نعم","لم يُجرد",IF(ABS(N39)&lt;='إعدادات المخزون'!$B$7,"مطابق",IF(M39&lt;0,"عجز","زيادة")))</f>
        <v>لم يُجرد</v>
      </c>
      <c r="Q39" s="108" t="n">
        <f aca="false">J39-Z39</f>
        <v>0</v>
      </c>
      <c r="R39" s="108"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8" t="str">
        <f aca="false">IF(AND(K39="نعم",R39&lt;&gt;""),(L39-J39)-(R39-Q39),"")</f>
        <v/>
      </c>
      <c r="T39" s="107" t="str">
        <f aca="false">IF(S39="","",S39*C39)</f>
        <v/>
      </c>
      <c r="U39" s="108" t="n">
        <f aca="false">IF(K39="نعم",L39,J39)</f>
        <v>0</v>
      </c>
      <c r="V39" s="108" t="n">
        <f aca="false">SUMPRODUCT('مصفوفة الاستهلاك'!$AH$2:$AH$172,'متجهات المبيعات'!$J$2:$J$172)/'مواد المخزون'!$D$34/MAX(1,MIN('إعدادات المخزون'!$B$11,'إعدادات المخزون'!$B$4-'إعدادات المخزون'!$B$5+1))</f>
        <v>0</v>
      </c>
      <c r="W39" s="108" t="n">
        <f aca="false">IF(V39&lt;=0,0,ROUNDUP(MAX(0,V39*('إعدادات المخزون'!$B$8+'إعدادات المخزون'!$B$9+'إعدادات المخزون'!$B$10)-MAX(U39,0))/'مواد المخزون'!$F34,0)*'مواد المخزون'!$F34)</f>
        <v>0</v>
      </c>
      <c r="X39" s="107" t="n">
        <f aca="false">IF(AND(K39="نعم",O39&lt;0),-O39+ROW()*0.000000001,0)</f>
        <v>0</v>
      </c>
      <c r="Y39" s="107" t="n">
        <f aca="false">IF(AND(K39="نعم",O39&gt;0),O39+ROW()*0.000000001,0)</f>
        <v>0</v>
      </c>
      <c r="Z39" s="108"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المبيعات'!$H$2:$H$172)/'مواد المخزون'!$D$34</f>
        <v>0</v>
      </c>
      <c r="AA39" s="107" t="n">
        <f aca="false">IF(K39="نعم",O39,0)</f>
        <v>0</v>
      </c>
      <c r="AB39" s="107" t="n">
        <f aca="false">IF(K39="نعم",J39*C39,0)</f>
        <v>0</v>
      </c>
      <c r="AC39" s="107"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7" t="n">
        <f aca="false">'مواد المخزون'!E35</f>
        <v>105</v>
      </c>
      <c r="D40" s="108" t="n">
        <f aca="false">'جرد أول المدة'!E38</f>
        <v>0</v>
      </c>
      <c r="E40" s="108" t="n">
        <f aca="false">SUMIFS('مشتريات يومية'!$D$2:$D$4001,'مشتريات يومية'!$B$2:$B$4001,$B$2,'مشتريات يومية'!$C$2:$C$4001,$A40,'مشتريات يومية'!$A$2:$A$4001,"&gt;="&amp;'إعدادات المخزون'!$B$5,'مشتريات يومية'!$A$2:$A$4001,"&lt;="&amp;'إعدادات المخزون'!$B$4)</f>
        <v>0</v>
      </c>
      <c r="F40" s="108"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8"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8" t="n">
        <f aca="false">SUMPRODUCT('مصفوفة الاستهلاك'!$AI$2:$AI$172,'متجهات المبيعات'!$I$2:$I$172)/'مواد المخزون'!$D$35</f>
        <v>0</v>
      </c>
      <c r="I40" s="108"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8" t="n">
        <f aca="false">D40+E40+F40-G40-H40-I40</f>
        <v>0</v>
      </c>
      <c r="K40" s="36" t="str">
        <f aca="false">IF(COUNTIFS('جرد فعلي'!$B$2:$B$12001,$B$2,'جرد فعلي'!$C$2:$C$12001,$A40,'جرد فعلي'!$A$2:$A$12001,'إعدادات المخزون'!$B$4)&gt;0,"نعم","لا")</f>
        <v>لا</v>
      </c>
      <c r="L40" s="109" t="str">
        <f aca="false">IF(K40="نعم",SUMIFS('جرد فعلي'!$D$2:$D$12001,'جرد فعلي'!$B$2:$B$12001,$B$2,'جرد فعلي'!$C$2:$C$12001,$A40,'جرد فعلي'!$A$2:$A$12001,'إعدادات المخزون'!$B$4),"")</f>
        <v/>
      </c>
      <c r="M40" s="108" t="str">
        <f aca="false">IF(K40="نعم",L40-J40,"")</f>
        <v/>
      </c>
      <c r="N40" s="110" t="str">
        <f aca="false">IF(K40="نعم",IF(J40=0,IF(M40=0,0,SIGN(M40)),M40/ABS(J40)),"")</f>
        <v/>
      </c>
      <c r="O40" s="107" t="str">
        <f aca="false">IF(K40="نعم",M40*C40,"")</f>
        <v/>
      </c>
      <c r="P40" s="36" t="str">
        <f aca="false">IF(K40&lt;&gt;"نعم","لم يُجرد",IF(ABS(N40)&lt;='إعدادات المخزون'!$B$7,"مطابق",IF(M40&lt;0,"عجز","زيادة")))</f>
        <v>لم يُجرد</v>
      </c>
      <c r="Q40" s="108" t="n">
        <f aca="false">J40-Z40</f>
        <v>0</v>
      </c>
      <c r="R40" s="108"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8" t="str">
        <f aca="false">IF(AND(K40="نعم",R40&lt;&gt;""),(L40-J40)-(R40-Q40),"")</f>
        <v/>
      </c>
      <c r="T40" s="107" t="str">
        <f aca="false">IF(S40="","",S40*C40)</f>
        <v/>
      </c>
      <c r="U40" s="108" t="n">
        <f aca="false">IF(K40="نعم",L40,J40)</f>
        <v>0</v>
      </c>
      <c r="V40" s="108" t="n">
        <f aca="false">SUMPRODUCT('مصفوفة الاستهلاك'!$AI$2:$AI$172,'متجهات المبيعات'!$J$2:$J$172)/'مواد المخزون'!$D$35/MAX(1,MIN('إعدادات المخزون'!$B$11,'إعدادات المخزون'!$B$4-'إعدادات المخزون'!$B$5+1))</f>
        <v>0</v>
      </c>
      <c r="W40" s="108" t="n">
        <f aca="false">IF(V40&lt;=0,0,ROUNDUP(MAX(0,V40*('إعدادات المخزون'!$B$8+'إعدادات المخزون'!$B$9+'إعدادات المخزون'!$B$10)-MAX(U40,0))/'مواد المخزون'!$F35,0)*'مواد المخزون'!$F35)</f>
        <v>0</v>
      </c>
      <c r="X40" s="107" t="n">
        <f aca="false">IF(AND(K40="نعم",O40&lt;0),-O40+ROW()*0.000000001,0)</f>
        <v>0</v>
      </c>
      <c r="Y40" s="107" t="n">
        <f aca="false">IF(AND(K40="نعم",O40&gt;0),O40+ROW()*0.000000001,0)</f>
        <v>0</v>
      </c>
      <c r="Z40" s="108"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المبيعات'!$H$2:$H$172)/'مواد المخزون'!$D$35</f>
        <v>0</v>
      </c>
      <c r="AA40" s="107" t="n">
        <f aca="false">IF(K40="نعم",O40,0)</f>
        <v>0</v>
      </c>
      <c r="AB40" s="107" t="n">
        <f aca="false">IF(K40="نعم",J40*C40,0)</f>
        <v>0</v>
      </c>
      <c r="AC40" s="107"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7" t="n">
        <f aca="false">'مواد المخزون'!E36</f>
        <v>9</v>
      </c>
      <c r="D41" s="108" t="n">
        <f aca="false">'جرد أول المدة'!E39</f>
        <v>68</v>
      </c>
      <c r="E41" s="108" t="n">
        <f aca="false">SUMIFS('مشتريات يومية'!$D$2:$D$4001,'مشتريات يومية'!$B$2:$B$4001,$B$2,'مشتريات يومية'!$C$2:$C$4001,$A41,'مشتريات يومية'!$A$2:$A$4001,"&gt;="&amp;'إعدادات المخزون'!$B$5,'مشتريات يومية'!$A$2:$A$4001,"&lt;="&amp;'إعدادات المخزون'!$B$4)</f>
        <v>0</v>
      </c>
      <c r="F41" s="108"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8"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8" t="n">
        <f aca="false">SUMPRODUCT('مصفوفة الاستهلاك'!$AJ$2:$AJ$172,'متجهات المبيعات'!$I$2:$I$172)/'مواد المخزون'!$D$36</f>
        <v>0</v>
      </c>
      <c r="I41" s="108"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8" t="n">
        <f aca="false">D41+E41+F41-G41-H41-I41</f>
        <v>68</v>
      </c>
      <c r="K41" s="36" t="str">
        <f aca="false">IF(COUNTIFS('جرد فعلي'!$B$2:$B$12001,$B$2,'جرد فعلي'!$C$2:$C$12001,$A41,'جرد فعلي'!$A$2:$A$12001,'إعدادات المخزون'!$B$4)&gt;0,"نعم","لا")</f>
        <v>لا</v>
      </c>
      <c r="L41" s="109" t="str">
        <f aca="false">IF(K41="نعم",SUMIFS('جرد فعلي'!$D$2:$D$12001,'جرد فعلي'!$B$2:$B$12001,$B$2,'جرد فعلي'!$C$2:$C$12001,$A41,'جرد فعلي'!$A$2:$A$12001,'إعدادات المخزون'!$B$4),"")</f>
        <v/>
      </c>
      <c r="M41" s="108" t="str">
        <f aca="false">IF(K41="نعم",L41-J41,"")</f>
        <v/>
      </c>
      <c r="N41" s="110" t="str">
        <f aca="false">IF(K41="نعم",IF(J41=0,IF(M41=0,0,SIGN(M41)),M41/ABS(J41)),"")</f>
        <v/>
      </c>
      <c r="O41" s="107" t="str">
        <f aca="false">IF(K41="نعم",M41*C41,"")</f>
        <v/>
      </c>
      <c r="P41" s="36" t="str">
        <f aca="false">IF(K41&lt;&gt;"نعم","لم يُجرد",IF(ABS(N41)&lt;='إعدادات المخزون'!$B$7,"مطابق",IF(M41&lt;0,"عجز","زيادة")))</f>
        <v>لم يُجرد</v>
      </c>
      <c r="Q41" s="108" t="n">
        <f aca="false">J41-Z41</f>
        <v>68</v>
      </c>
      <c r="R41" s="108"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8" t="str">
        <f aca="false">IF(AND(K41="نعم",R41&lt;&gt;""),(L41-J41)-(R41-Q41),"")</f>
        <v/>
      </c>
      <c r="T41" s="107" t="str">
        <f aca="false">IF(S41="","",S41*C41)</f>
        <v/>
      </c>
      <c r="U41" s="108" t="n">
        <f aca="false">IF(K41="نعم",L41,J41)</f>
        <v>68</v>
      </c>
      <c r="V41" s="108" t="n">
        <f aca="false">SUMPRODUCT('مصفوفة الاستهلاك'!$AJ$2:$AJ$172,'متجهات المبيعات'!$J$2:$J$172)/'مواد المخزون'!$D$36/MAX(1,MIN('إعدادات المخزون'!$B$11,'إعدادات المخزون'!$B$4-'إعدادات المخزون'!$B$5+1))</f>
        <v>0</v>
      </c>
      <c r="W41" s="108" t="n">
        <f aca="false">IF(V41&lt;=0,0,ROUNDUP(MAX(0,V41*('إعدادات المخزون'!$B$8+'إعدادات المخزون'!$B$9+'إعدادات المخزون'!$B$10)-MAX(U41,0))/'مواد المخزون'!$F36,0)*'مواد المخزون'!$F36)</f>
        <v>0</v>
      </c>
      <c r="X41" s="107" t="n">
        <f aca="false">IF(AND(K41="نعم",O41&lt;0),-O41+ROW()*0.000000001,0)</f>
        <v>0</v>
      </c>
      <c r="Y41" s="107" t="n">
        <f aca="false">IF(AND(K41="نعم",O41&gt;0),O41+ROW()*0.000000001,0)</f>
        <v>0</v>
      </c>
      <c r="Z41" s="108"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المبيعات'!$H$2:$H$172)/'مواد المخزون'!$D$36</f>
        <v>0</v>
      </c>
      <c r="AA41" s="107" t="n">
        <f aca="false">IF(K41="نعم",O41,0)</f>
        <v>0</v>
      </c>
      <c r="AB41" s="107" t="n">
        <f aca="false">IF(K41="نعم",J41*C41,0)</f>
        <v>0</v>
      </c>
      <c r="AC41" s="107" t="n">
        <f aca="false">IF(T41="",0,T41)</f>
        <v>0</v>
      </c>
    </row>
    <row r="42" customFormat="false" ht="15" hidden="false" customHeight="false" outlineLevel="0" collapsed="false">
      <c r="A42" s="34" t="str">
        <f aca="false">'مواد المخزون'!A37</f>
        <v>جوزهند</v>
      </c>
      <c r="B42" s="36" t="str">
        <f aca="false">'مواد المخزون'!B37</f>
        <v>كجم</v>
      </c>
      <c r="C42" s="107" t="n">
        <f aca="false">'مواد المخزون'!E37</f>
        <v>200</v>
      </c>
      <c r="D42" s="108" t="n">
        <f aca="false">'جرد أول المدة'!E40</f>
        <v>0.65</v>
      </c>
      <c r="E42" s="108" t="n">
        <f aca="false">SUMIFS('مشتريات يومية'!$D$2:$D$4001,'مشتريات يومية'!$B$2:$B$4001,$B$2,'مشتريات يومية'!$C$2:$C$4001,$A42,'مشتريات يومية'!$A$2:$A$4001,"&gt;="&amp;'إعدادات المخزون'!$B$5,'مشتريات يومية'!$A$2:$A$4001,"&lt;="&amp;'إعدادات المخزون'!$B$4)</f>
        <v>1.5</v>
      </c>
      <c r="F42" s="108"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8"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8" t="n">
        <f aca="false">SUMPRODUCT('مصفوفة الاستهلاك'!$AK$2:$AK$172,'متجهات المبيعات'!$I$2:$I$172)/'مواد المخزون'!$D$37</f>
        <v>0</v>
      </c>
      <c r="I42" s="108"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8" t="n">
        <f aca="false">D42+E42+F42-G42-H42-I42</f>
        <v>2.15</v>
      </c>
      <c r="K42" s="36" t="str">
        <f aca="false">IF(COUNTIFS('جرد فعلي'!$B$2:$B$12001,$B$2,'جرد فعلي'!$C$2:$C$12001,$A42,'جرد فعلي'!$A$2:$A$12001,'إعدادات المخزون'!$B$4)&gt;0,"نعم","لا")</f>
        <v>لا</v>
      </c>
      <c r="L42" s="109" t="str">
        <f aca="false">IF(K42="نعم",SUMIFS('جرد فعلي'!$D$2:$D$12001,'جرد فعلي'!$B$2:$B$12001,$B$2,'جرد فعلي'!$C$2:$C$12001,$A42,'جرد فعلي'!$A$2:$A$12001,'إعدادات المخزون'!$B$4),"")</f>
        <v/>
      </c>
      <c r="M42" s="108" t="str">
        <f aca="false">IF(K42="نعم",L42-J42,"")</f>
        <v/>
      </c>
      <c r="N42" s="110" t="str">
        <f aca="false">IF(K42="نعم",IF(J42=0,IF(M42=0,0,SIGN(M42)),M42/ABS(J42)),"")</f>
        <v/>
      </c>
      <c r="O42" s="107" t="str">
        <f aca="false">IF(K42="نعم",M42*C42,"")</f>
        <v/>
      </c>
      <c r="P42" s="36" t="str">
        <f aca="false">IF(K42&lt;&gt;"نعم","لم يُجرد",IF(ABS(N42)&lt;='إعدادات المخزون'!$B$7,"مطابق",IF(M42&lt;0,"عجز","زيادة")))</f>
        <v>لم يُجرد</v>
      </c>
      <c r="Q42" s="108" t="n">
        <f aca="false">J42-Z42</f>
        <v>2.15</v>
      </c>
      <c r="R42" s="108"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8" t="str">
        <f aca="false">IF(AND(K42="نعم",R42&lt;&gt;""),(L42-J42)-(R42-Q42),"")</f>
        <v/>
      </c>
      <c r="T42" s="107" t="str">
        <f aca="false">IF(S42="","",S42*C42)</f>
        <v/>
      </c>
      <c r="U42" s="108" t="n">
        <f aca="false">IF(K42="نعم",L42,J42)</f>
        <v>2.15</v>
      </c>
      <c r="V42" s="108" t="n">
        <f aca="false">SUMPRODUCT('مصفوفة الاستهلاك'!$AK$2:$AK$172,'متجهات المبيعات'!$J$2:$J$172)/'مواد المخزون'!$D$37/MAX(1,MIN('إعدادات المخزون'!$B$11,'إعدادات المخزون'!$B$4-'إعدادات المخزون'!$B$5+1))</f>
        <v>0</v>
      </c>
      <c r="W42" s="108" t="n">
        <f aca="false">IF(V42&lt;=0,0,ROUNDUP(MAX(0,V42*('إعدادات المخزون'!$B$8+'إعدادات المخزون'!$B$9+'إعدادات المخزون'!$B$10)-MAX(U42,0))/'مواد المخزون'!$F37,0)*'مواد المخزون'!$F37)</f>
        <v>0</v>
      </c>
      <c r="X42" s="107" t="n">
        <f aca="false">IF(AND(K42="نعم",O42&lt;0),-O42+ROW()*0.000000001,0)</f>
        <v>0</v>
      </c>
      <c r="Y42" s="107" t="n">
        <f aca="false">IF(AND(K42="نعم",O42&gt;0),O42+ROW()*0.000000001,0)</f>
        <v>0</v>
      </c>
      <c r="Z42" s="108"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المبيعات'!$H$2:$H$172)/'مواد المخزون'!$D$37</f>
        <v>0</v>
      </c>
      <c r="AA42" s="107" t="n">
        <f aca="false">IF(K42="نعم",O42,0)</f>
        <v>0</v>
      </c>
      <c r="AB42" s="107" t="n">
        <f aca="false">IF(K42="نعم",J42*C42,0)</f>
        <v>0</v>
      </c>
      <c r="AC42" s="107" t="n">
        <f aca="false">IF(T42="",0,T42)</f>
        <v>0</v>
      </c>
    </row>
    <row r="43" customFormat="false" ht="15" hidden="false" customHeight="false" outlineLevel="0" collapsed="false">
      <c r="A43" s="34" t="str">
        <f aca="false">'مواد المخزون'!A38</f>
        <v>خيار مخلل</v>
      </c>
      <c r="B43" s="36" t="str">
        <f aca="false">'مواد المخزون'!B38</f>
        <v>كجم</v>
      </c>
      <c r="C43" s="107" t="n">
        <f aca="false">'مواد المخزون'!E38</f>
        <v>30</v>
      </c>
      <c r="D43" s="108" t="n">
        <f aca="false">'جرد أول المدة'!E41</f>
        <v>6.5</v>
      </c>
      <c r="E43" s="108" t="n">
        <f aca="false">SUMIFS('مشتريات يومية'!$D$2:$D$4001,'مشتريات يومية'!$B$2:$B$4001,$B$2,'مشتريات يومية'!$C$2:$C$4001,$A43,'مشتريات يومية'!$A$2:$A$4001,"&gt;="&amp;'إعدادات المخزون'!$B$5,'مشتريات يومية'!$A$2:$A$4001,"&lt;="&amp;'إعدادات المخزون'!$B$4)</f>
        <v>0</v>
      </c>
      <c r="F43" s="108"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8"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8" t="n">
        <f aca="false">SUMPRODUCT('مصفوفة الاستهلاك'!$AL$2:$AL$172,'متجهات المبيعات'!$I$2:$I$172)/'مواد المخزون'!$D$38</f>
        <v>0</v>
      </c>
      <c r="I43" s="108"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8" t="n">
        <f aca="false">D43+E43+F43-G43-H43-I43</f>
        <v>6.5</v>
      </c>
      <c r="K43" s="36" t="str">
        <f aca="false">IF(COUNTIFS('جرد فعلي'!$B$2:$B$12001,$B$2,'جرد فعلي'!$C$2:$C$12001,$A43,'جرد فعلي'!$A$2:$A$12001,'إعدادات المخزون'!$B$4)&gt;0,"نعم","لا")</f>
        <v>لا</v>
      </c>
      <c r="L43" s="109" t="str">
        <f aca="false">IF(K43="نعم",SUMIFS('جرد فعلي'!$D$2:$D$12001,'جرد فعلي'!$B$2:$B$12001,$B$2,'جرد فعلي'!$C$2:$C$12001,$A43,'جرد فعلي'!$A$2:$A$12001,'إعدادات المخزون'!$B$4),"")</f>
        <v/>
      </c>
      <c r="M43" s="108" t="str">
        <f aca="false">IF(K43="نعم",L43-J43,"")</f>
        <v/>
      </c>
      <c r="N43" s="110" t="str">
        <f aca="false">IF(K43="نعم",IF(J43=0,IF(M43=0,0,SIGN(M43)),M43/ABS(J43)),"")</f>
        <v/>
      </c>
      <c r="O43" s="107" t="str">
        <f aca="false">IF(K43="نعم",M43*C43,"")</f>
        <v/>
      </c>
      <c r="P43" s="36" t="str">
        <f aca="false">IF(K43&lt;&gt;"نعم","لم يُجرد",IF(ABS(N43)&lt;='إعدادات المخزون'!$B$7,"مطابق",IF(M43&lt;0,"عجز","زيادة")))</f>
        <v>لم يُجرد</v>
      </c>
      <c r="Q43" s="108" t="n">
        <f aca="false">J43-Z43</f>
        <v>6.5</v>
      </c>
      <c r="R43" s="108"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8" t="str">
        <f aca="false">IF(AND(K43="نعم",R43&lt;&gt;""),(L43-J43)-(R43-Q43),"")</f>
        <v/>
      </c>
      <c r="T43" s="107" t="str">
        <f aca="false">IF(S43="","",S43*C43)</f>
        <v/>
      </c>
      <c r="U43" s="108" t="n">
        <f aca="false">IF(K43="نعم",L43,J43)</f>
        <v>6.5</v>
      </c>
      <c r="V43" s="108" t="n">
        <f aca="false">SUMPRODUCT('مصفوفة الاستهلاك'!$AL$2:$AL$172,'متجهات المبيعات'!$J$2:$J$172)/'مواد المخزون'!$D$38/MAX(1,MIN('إعدادات المخزون'!$B$11,'إعدادات المخزون'!$B$4-'إعدادات المخزون'!$B$5+1))</f>
        <v>0</v>
      </c>
      <c r="W43" s="108" t="n">
        <f aca="false">IF(V43&lt;=0,0,ROUNDUP(MAX(0,V43*('إعدادات المخزون'!$B$8+'إعدادات المخزون'!$B$9+'إعدادات المخزون'!$B$10)-MAX(U43,0))/'مواد المخزون'!$F38,0)*'مواد المخزون'!$F38)</f>
        <v>0</v>
      </c>
      <c r="X43" s="107" t="n">
        <f aca="false">IF(AND(K43="نعم",O43&lt;0),-O43+ROW()*0.000000001,0)</f>
        <v>0</v>
      </c>
      <c r="Y43" s="107" t="n">
        <f aca="false">IF(AND(K43="نعم",O43&gt;0),O43+ROW()*0.000000001,0)</f>
        <v>0</v>
      </c>
      <c r="Z43" s="108"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المبيعات'!$H$2:$H$172)/'مواد المخزون'!$D$38</f>
        <v>0</v>
      </c>
      <c r="AA43" s="107" t="n">
        <f aca="false">IF(K43="نعم",O43,0)</f>
        <v>0</v>
      </c>
      <c r="AB43" s="107" t="n">
        <f aca="false">IF(K43="نعم",J43*C43,0)</f>
        <v>0</v>
      </c>
      <c r="AC43" s="107" t="n">
        <f aca="false">IF(T43="",0,T43)</f>
        <v>0</v>
      </c>
    </row>
    <row r="44" customFormat="false" ht="15" hidden="false" customHeight="false" outlineLevel="0" collapsed="false">
      <c r="A44" s="34" t="str">
        <f aca="false">'مواد المخزون'!A39</f>
        <v>دقيق</v>
      </c>
      <c r="B44" s="36" t="str">
        <f aca="false">'مواد المخزون'!B39</f>
        <v>كجم</v>
      </c>
      <c r="C44" s="107" t="n">
        <f aca="false">'مواد المخزون'!E39</f>
        <v>20.3571</v>
      </c>
      <c r="D44" s="108" t="n">
        <f aca="false">'جرد أول المدة'!E42</f>
        <v>50.255</v>
      </c>
      <c r="E44" s="108" t="n">
        <f aca="false">SUMIFS('مشتريات يومية'!$D$2:$D$4001,'مشتريات يومية'!$B$2:$B$4001,$B$2,'مشتريات يومية'!$C$2:$C$4001,$A44,'مشتريات يومية'!$A$2:$A$4001,"&gt;="&amp;'إعدادات المخزون'!$B$5,'مشتريات يومية'!$A$2:$A$4001,"&lt;="&amp;'إعدادات المخزون'!$B$4)</f>
        <v>0</v>
      </c>
      <c r="F44" s="108"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8"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8" t="n">
        <f aca="false">SUMPRODUCT('مصفوفة الاستهلاك'!$AM$2:$AM$172,'متجهات المبيعات'!$I$2:$I$172)/'مواد المخزون'!$D$39</f>
        <v>0</v>
      </c>
      <c r="I44" s="108"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8" t="n">
        <f aca="false">D44+E44+F44-G44-H44-I44</f>
        <v>50.255</v>
      </c>
      <c r="K44" s="36" t="str">
        <f aca="false">IF(COUNTIFS('جرد فعلي'!$B$2:$B$12001,$B$2,'جرد فعلي'!$C$2:$C$12001,$A44,'جرد فعلي'!$A$2:$A$12001,'إعدادات المخزون'!$B$4)&gt;0,"نعم","لا")</f>
        <v>لا</v>
      </c>
      <c r="L44" s="109" t="str">
        <f aca="false">IF(K44="نعم",SUMIFS('جرد فعلي'!$D$2:$D$12001,'جرد فعلي'!$B$2:$B$12001,$B$2,'جرد فعلي'!$C$2:$C$12001,$A44,'جرد فعلي'!$A$2:$A$12001,'إعدادات المخزون'!$B$4),"")</f>
        <v/>
      </c>
      <c r="M44" s="108" t="str">
        <f aca="false">IF(K44="نعم",L44-J44,"")</f>
        <v/>
      </c>
      <c r="N44" s="110" t="str">
        <f aca="false">IF(K44="نعم",IF(J44=0,IF(M44=0,0,SIGN(M44)),M44/ABS(J44)),"")</f>
        <v/>
      </c>
      <c r="O44" s="107" t="str">
        <f aca="false">IF(K44="نعم",M44*C44,"")</f>
        <v/>
      </c>
      <c r="P44" s="36" t="str">
        <f aca="false">IF(K44&lt;&gt;"نعم","لم يُجرد",IF(ABS(N44)&lt;='إعدادات المخزون'!$B$7,"مطابق",IF(M44&lt;0,"عجز","زيادة")))</f>
        <v>لم يُجرد</v>
      </c>
      <c r="Q44" s="108" t="n">
        <f aca="false">J44-Z44</f>
        <v>50.255</v>
      </c>
      <c r="R44" s="108"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8" t="str">
        <f aca="false">IF(AND(K44="نعم",R44&lt;&gt;""),(L44-J44)-(R44-Q44),"")</f>
        <v/>
      </c>
      <c r="T44" s="107" t="str">
        <f aca="false">IF(S44="","",S44*C44)</f>
        <v/>
      </c>
      <c r="U44" s="108" t="n">
        <f aca="false">IF(K44="نعم",L44,J44)</f>
        <v>50.255</v>
      </c>
      <c r="V44" s="108" t="n">
        <f aca="false">SUMPRODUCT('مصفوفة الاستهلاك'!$AM$2:$AM$172,'متجهات المبيعات'!$J$2:$J$172)/'مواد المخزون'!$D$39/MAX(1,MIN('إعدادات المخزون'!$B$11,'إعدادات المخزون'!$B$4-'إعدادات المخزون'!$B$5+1))</f>
        <v>0</v>
      </c>
      <c r="W44" s="108" t="n">
        <f aca="false">IF(V44&lt;=0,0,ROUNDUP(MAX(0,V44*('إعدادات المخزون'!$B$8+'إعدادات المخزون'!$B$9+'إعدادات المخزون'!$B$10)-MAX(U44,0))/'مواد المخزون'!$F39,0)*'مواد المخزون'!$F39)</f>
        <v>0</v>
      </c>
      <c r="X44" s="107" t="n">
        <f aca="false">IF(AND(K44="نعم",O44&lt;0),-O44+ROW()*0.000000001,0)</f>
        <v>0</v>
      </c>
      <c r="Y44" s="107" t="n">
        <f aca="false">IF(AND(K44="نعم",O44&gt;0),O44+ROW()*0.000000001,0)</f>
        <v>0</v>
      </c>
      <c r="Z44" s="108"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المبيعات'!$H$2:$H$172)/'مواد المخزون'!$D$39</f>
        <v>0</v>
      </c>
      <c r="AA44" s="107" t="n">
        <f aca="false">IF(K44="نعم",O44,0)</f>
        <v>0</v>
      </c>
      <c r="AB44" s="107" t="n">
        <f aca="false">IF(K44="نعم",J44*C44,0)</f>
        <v>0</v>
      </c>
      <c r="AC44" s="107" t="n">
        <f aca="false">IF(T44="",0,T44)</f>
        <v>0</v>
      </c>
    </row>
    <row r="45" customFormat="false" ht="15" hidden="false" customHeight="false" outlineLevel="0" collapsed="false">
      <c r="A45" s="34" t="str">
        <f aca="false">'مواد المخزون'!A40</f>
        <v>زبدة</v>
      </c>
      <c r="B45" s="36" t="str">
        <f aca="false">'مواد المخزون'!B40</f>
        <v>كجم</v>
      </c>
      <c r="C45" s="107" t="n">
        <f aca="false">'مواد المخزون'!E40</f>
        <v>120</v>
      </c>
      <c r="D45" s="108" t="n">
        <f aca="false">'جرد أول المدة'!E43</f>
        <v>1.528</v>
      </c>
      <c r="E45" s="108" t="n">
        <f aca="false">SUMIFS('مشتريات يومية'!$D$2:$D$4001,'مشتريات يومية'!$B$2:$B$4001,$B$2,'مشتريات يومية'!$C$2:$C$4001,$A45,'مشتريات يومية'!$A$2:$A$4001,"&gt;="&amp;'إعدادات المخزون'!$B$5,'مشتريات يومية'!$A$2:$A$4001,"&lt;="&amp;'إعدادات المخزون'!$B$4)</f>
        <v>9</v>
      </c>
      <c r="F45" s="108"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8"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8" t="n">
        <f aca="false">SUMPRODUCT('مصفوفة الاستهلاك'!$AN$2:$AN$172,'متجهات المبيعات'!$I$2:$I$172)/'مواد المخزون'!$D$40</f>
        <v>0</v>
      </c>
      <c r="I45" s="108"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8" t="n">
        <f aca="false">D45+E45+F45-G45-H45-I45</f>
        <v>10.528</v>
      </c>
      <c r="K45" s="36" t="str">
        <f aca="false">IF(COUNTIFS('جرد فعلي'!$B$2:$B$12001,$B$2,'جرد فعلي'!$C$2:$C$12001,$A45,'جرد فعلي'!$A$2:$A$12001,'إعدادات المخزون'!$B$4)&gt;0,"نعم","لا")</f>
        <v>لا</v>
      </c>
      <c r="L45" s="109" t="str">
        <f aca="false">IF(K45="نعم",SUMIFS('جرد فعلي'!$D$2:$D$12001,'جرد فعلي'!$B$2:$B$12001,$B$2,'جرد فعلي'!$C$2:$C$12001,$A45,'جرد فعلي'!$A$2:$A$12001,'إعدادات المخزون'!$B$4),"")</f>
        <v/>
      </c>
      <c r="M45" s="108" t="str">
        <f aca="false">IF(K45="نعم",L45-J45,"")</f>
        <v/>
      </c>
      <c r="N45" s="110" t="str">
        <f aca="false">IF(K45="نعم",IF(J45=0,IF(M45=0,0,SIGN(M45)),M45/ABS(J45)),"")</f>
        <v/>
      </c>
      <c r="O45" s="107" t="str">
        <f aca="false">IF(K45="نعم",M45*C45,"")</f>
        <v/>
      </c>
      <c r="P45" s="36" t="str">
        <f aca="false">IF(K45&lt;&gt;"نعم","لم يُجرد",IF(ABS(N45)&lt;='إعدادات المخزون'!$B$7,"مطابق",IF(M45&lt;0,"عجز","زيادة")))</f>
        <v>لم يُجرد</v>
      </c>
      <c r="Q45" s="108" t="n">
        <f aca="false">J45-Z45</f>
        <v>10.528</v>
      </c>
      <c r="R45" s="108"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8" t="str">
        <f aca="false">IF(AND(K45="نعم",R45&lt;&gt;""),(L45-J45)-(R45-Q45),"")</f>
        <v/>
      </c>
      <c r="T45" s="107" t="str">
        <f aca="false">IF(S45="","",S45*C45)</f>
        <v/>
      </c>
      <c r="U45" s="108" t="n">
        <f aca="false">IF(K45="نعم",L45,J45)</f>
        <v>10.528</v>
      </c>
      <c r="V45" s="108" t="n">
        <f aca="false">SUMPRODUCT('مصفوفة الاستهلاك'!$AN$2:$AN$172,'متجهات المبيعات'!$J$2:$J$172)/'مواد المخزون'!$D$40/MAX(1,MIN('إعدادات المخزون'!$B$11,'إعدادات المخزون'!$B$4-'إعدادات المخزون'!$B$5+1))</f>
        <v>0</v>
      </c>
      <c r="W45" s="108" t="n">
        <f aca="false">IF(V45&lt;=0,0,ROUNDUP(MAX(0,V45*('إعدادات المخزون'!$B$8+'إعدادات المخزون'!$B$9+'إعدادات المخزون'!$B$10)-MAX(U45,0))/'مواد المخزون'!$F40,0)*'مواد المخزون'!$F40)</f>
        <v>0</v>
      </c>
      <c r="X45" s="107" t="n">
        <f aca="false">IF(AND(K45="نعم",O45&lt;0),-O45+ROW()*0.000000001,0)</f>
        <v>0</v>
      </c>
      <c r="Y45" s="107" t="n">
        <f aca="false">IF(AND(K45="نعم",O45&gt;0),O45+ROW()*0.000000001,0)</f>
        <v>0</v>
      </c>
      <c r="Z45" s="108"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المبيعات'!$H$2:$H$172)/'مواد المخزون'!$D$40</f>
        <v>0</v>
      </c>
      <c r="AA45" s="107" t="n">
        <f aca="false">IF(K45="نعم",O45,0)</f>
        <v>0</v>
      </c>
      <c r="AB45" s="107" t="n">
        <f aca="false">IF(K45="نعم",J45*C45,0)</f>
        <v>0</v>
      </c>
      <c r="AC45" s="107" t="n">
        <f aca="false">IF(T45="",0,T45)</f>
        <v>0</v>
      </c>
    </row>
    <row r="46" customFormat="false" ht="15" hidden="false" customHeight="false" outlineLevel="0" collapsed="false">
      <c r="A46" s="34" t="str">
        <f aca="false">'مواد المخزون'!A41</f>
        <v>زبيب</v>
      </c>
      <c r="B46" s="36" t="str">
        <f aca="false">'مواد المخزون'!B41</f>
        <v>كجم</v>
      </c>
      <c r="C46" s="107" t="n">
        <f aca="false">'مواد المخزون'!E41</f>
        <v>220</v>
      </c>
      <c r="D46" s="108" t="n">
        <f aca="false">'جرد أول المدة'!E44</f>
        <v>0.94</v>
      </c>
      <c r="E46" s="108" t="n">
        <f aca="false">SUMIFS('مشتريات يومية'!$D$2:$D$4001,'مشتريات يومية'!$B$2:$B$4001,$B$2,'مشتريات يومية'!$C$2:$C$4001,$A46,'مشتريات يومية'!$A$2:$A$4001,"&gt;="&amp;'إعدادات المخزون'!$B$5,'مشتريات يومية'!$A$2:$A$4001,"&lt;="&amp;'إعدادات المخزون'!$B$4)</f>
        <v>1.5</v>
      </c>
      <c r="F46" s="108"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8"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8" t="n">
        <f aca="false">SUMPRODUCT('مصفوفة الاستهلاك'!$AO$2:$AO$172,'متجهات المبيعات'!$I$2:$I$172)/'مواد المخزون'!$D$41</f>
        <v>0</v>
      </c>
      <c r="I46" s="108"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8" t="n">
        <f aca="false">D46+E46+F46-G46-H46-I46</f>
        <v>2.44</v>
      </c>
      <c r="K46" s="36" t="str">
        <f aca="false">IF(COUNTIFS('جرد فعلي'!$B$2:$B$12001,$B$2,'جرد فعلي'!$C$2:$C$12001,$A46,'جرد فعلي'!$A$2:$A$12001,'إعدادات المخزون'!$B$4)&gt;0,"نعم","لا")</f>
        <v>لا</v>
      </c>
      <c r="L46" s="109" t="str">
        <f aca="false">IF(K46="نعم",SUMIFS('جرد فعلي'!$D$2:$D$12001,'جرد فعلي'!$B$2:$B$12001,$B$2,'جرد فعلي'!$C$2:$C$12001,$A46,'جرد فعلي'!$A$2:$A$12001,'إعدادات المخزون'!$B$4),"")</f>
        <v/>
      </c>
      <c r="M46" s="108" t="str">
        <f aca="false">IF(K46="نعم",L46-J46,"")</f>
        <v/>
      </c>
      <c r="N46" s="110" t="str">
        <f aca="false">IF(K46="نعم",IF(J46=0,IF(M46=0,0,SIGN(M46)),M46/ABS(J46)),"")</f>
        <v/>
      </c>
      <c r="O46" s="107" t="str">
        <f aca="false">IF(K46="نعم",M46*C46,"")</f>
        <v/>
      </c>
      <c r="P46" s="36" t="str">
        <f aca="false">IF(K46&lt;&gt;"نعم","لم يُجرد",IF(ABS(N46)&lt;='إعدادات المخزون'!$B$7,"مطابق",IF(M46&lt;0,"عجز","زيادة")))</f>
        <v>لم يُجرد</v>
      </c>
      <c r="Q46" s="108" t="n">
        <f aca="false">J46-Z46</f>
        <v>2.44</v>
      </c>
      <c r="R46" s="108"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8" t="str">
        <f aca="false">IF(AND(K46="نعم",R46&lt;&gt;""),(L46-J46)-(R46-Q46),"")</f>
        <v/>
      </c>
      <c r="T46" s="107" t="str">
        <f aca="false">IF(S46="","",S46*C46)</f>
        <v/>
      </c>
      <c r="U46" s="108" t="n">
        <f aca="false">IF(K46="نعم",L46,J46)</f>
        <v>2.44</v>
      </c>
      <c r="V46" s="108" t="n">
        <f aca="false">SUMPRODUCT('مصفوفة الاستهلاك'!$AO$2:$AO$172,'متجهات المبيعات'!$J$2:$J$172)/'مواد المخزون'!$D$41/MAX(1,MIN('إعدادات المخزون'!$B$11,'إعدادات المخزون'!$B$4-'إعدادات المخزون'!$B$5+1))</f>
        <v>0</v>
      </c>
      <c r="W46" s="108" t="n">
        <f aca="false">IF(V46&lt;=0,0,ROUNDUP(MAX(0,V46*('إعدادات المخزون'!$B$8+'إعدادات المخزون'!$B$9+'إعدادات المخزون'!$B$10)-MAX(U46,0))/'مواد المخزون'!$F41,0)*'مواد المخزون'!$F41)</f>
        <v>0</v>
      </c>
      <c r="X46" s="107" t="n">
        <f aca="false">IF(AND(K46="نعم",O46&lt;0),-O46+ROW()*0.000000001,0)</f>
        <v>0</v>
      </c>
      <c r="Y46" s="107" t="n">
        <f aca="false">IF(AND(K46="نعم",O46&gt;0),O46+ROW()*0.000000001,0)</f>
        <v>0</v>
      </c>
      <c r="Z46" s="108"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المبيعات'!$H$2:$H$172)/'مواد المخزون'!$D$41</f>
        <v>0</v>
      </c>
      <c r="AA46" s="107" t="n">
        <f aca="false">IF(K46="نعم",O46,0)</f>
        <v>0</v>
      </c>
      <c r="AB46" s="107" t="n">
        <f aca="false">IF(K46="نعم",J46*C46,0)</f>
        <v>0</v>
      </c>
      <c r="AC46" s="107" t="n">
        <f aca="false">IF(T46="",0,T46)</f>
        <v>0</v>
      </c>
    </row>
    <row r="47" customFormat="false" ht="15" hidden="false" customHeight="false" outlineLevel="0" collapsed="false">
      <c r="A47" s="34" t="str">
        <f aca="false">'مواد المخزون'!A42</f>
        <v>زيتون</v>
      </c>
      <c r="B47" s="36" t="str">
        <f aca="false">'مواد المخزون'!B42</f>
        <v>كجم</v>
      </c>
      <c r="C47" s="107" t="n">
        <f aca="false">'مواد المخزون'!E42</f>
        <v>95</v>
      </c>
      <c r="D47" s="108" t="n">
        <f aca="false">'جرد أول المدة'!E45</f>
        <v>9.57</v>
      </c>
      <c r="E47" s="108" t="n">
        <f aca="false">SUMIFS('مشتريات يومية'!$D$2:$D$4001,'مشتريات يومية'!$B$2:$B$4001,$B$2,'مشتريات يومية'!$C$2:$C$4001,$A47,'مشتريات يومية'!$A$2:$A$4001,"&gt;="&amp;'إعدادات المخزون'!$B$5,'مشتريات يومية'!$A$2:$A$4001,"&lt;="&amp;'إعدادات المخزون'!$B$4)</f>
        <v>25</v>
      </c>
      <c r="F47" s="108"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8"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8" t="n">
        <f aca="false">SUMPRODUCT('مصفوفة الاستهلاك'!$AP$2:$AP$172,'متجهات المبيعات'!$I$2:$I$172)/'مواد المخزون'!$D$42</f>
        <v>0</v>
      </c>
      <c r="I47" s="108"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8" t="n">
        <f aca="false">D47+E47+F47-G47-H47-I47</f>
        <v>34.57</v>
      </c>
      <c r="K47" s="36" t="str">
        <f aca="false">IF(COUNTIFS('جرد فعلي'!$B$2:$B$12001,$B$2,'جرد فعلي'!$C$2:$C$12001,$A47,'جرد فعلي'!$A$2:$A$12001,'إعدادات المخزون'!$B$4)&gt;0,"نعم","لا")</f>
        <v>لا</v>
      </c>
      <c r="L47" s="109" t="str">
        <f aca="false">IF(K47="نعم",SUMIFS('جرد فعلي'!$D$2:$D$12001,'جرد فعلي'!$B$2:$B$12001,$B$2,'جرد فعلي'!$C$2:$C$12001,$A47,'جرد فعلي'!$A$2:$A$12001,'إعدادات المخزون'!$B$4),"")</f>
        <v/>
      </c>
      <c r="M47" s="108" t="str">
        <f aca="false">IF(K47="نعم",L47-J47,"")</f>
        <v/>
      </c>
      <c r="N47" s="110" t="str">
        <f aca="false">IF(K47="نعم",IF(J47=0,IF(M47=0,0,SIGN(M47)),M47/ABS(J47)),"")</f>
        <v/>
      </c>
      <c r="O47" s="107" t="str">
        <f aca="false">IF(K47="نعم",M47*C47,"")</f>
        <v/>
      </c>
      <c r="P47" s="36" t="str">
        <f aca="false">IF(K47&lt;&gt;"نعم","لم يُجرد",IF(ABS(N47)&lt;='إعدادات المخزون'!$B$7,"مطابق",IF(M47&lt;0,"عجز","زيادة")))</f>
        <v>لم يُجرد</v>
      </c>
      <c r="Q47" s="108" t="n">
        <f aca="false">J47-Z47</f>
        <v>34.57</v>
      </c>
      <c r="R47" s="108"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8" t="str">
        <f aca="false">IF(AND(K47="نعم",R47&lt;&gt;""),(L47-J47)-(R47-Q47),"")</f>
        <v/>
      </c>
      <c r="T47" s="107" t="str">
        <f aca="false">IF(S47="","",S47*C47)</f>
        <v/>
      </c>
      <c r="U47" s="108" t="n">
        <f aca="false">IF(K47="نعم",L47,J47)</f>
        <v>34.57</v>
      </c>
      <c r="V47" s="108" t="n">
        <f aca="false">SUMPRODUCT('مصفوفة الاستهلاك'!$AP$2:$AP$172,'متجهات المبيعات'!$J$2:$J$172)/'مواد المخزون'!$D$42/MAX(1,MIN('إعدادات المخزون'!$B$11,'إعدادات المخزون'!$B$4-'إعدادات المخزون'!$B$5+1))</f>
        <v>0</v>
      </c>
      <c r="W47" s="108" t="n">
        <f aca="false">IF(V47&lt;=0,0,ROUNDUP(MAX(0,V47*('إعدادات المخزون'!$B$8+'إعدادات المخزون'!$B$9+'إعدادات المخزون'!$B$10)-MAX(U47,0))/'مواد المخزون'!$F42,0)*'مواد المخزون'!$F42)</f>
        <v>0</v>
      </c>
      <c r="X47" s="107" t="n">
        <f aca="false">IF(AND(K47="نعم",O47&lt;0),-O47+ROW()*0.000000001,0)</f>
        <v>0</v>
      </c>
      <c r="Y47" s="107" t="n">
        <f aca="false">IF(AND(K47="نعم",O47&gt;0),O47+ROW()*0.000000001,0)</f>
        <v>0</v>
      </c>
      <c r="Z47" s="108"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المبيعات'!$H$2:$H$172)/'مواد المخزون'!$D$42</f>
        <v>0</v>
      </c>
      <c r="AA47" s="107" t="n">
        <f aca="false">IF(K47="نعم",O47,0)</f>
        <v>0</v>
      </c>
      <c r="AB47" s="107" t="n">
        <f aca="false">IF(K47="نعم",J47*C47,0)</f>
        <v>0</v>
      </c>
      <c r="AC47" s="107" t="n">
        <f aca="false">IF(T47="",0,T47)</f>
        <v>0</v>
      </c>
    </row>
    <row r="48" customFormat="false" ht="15" hidden="false" customHeight="false" outlineLevel="0" collapsed="false">
      <c r="A48" s="34" t="str">
        <f aca="false">'مواد المخزون'!A43</f>
        <v>سكر بودرة</v>
      </c>
      <c r="B48" s="36" t="str">
        <f aca="false">'مواد المخزون'!B43</f>
        <v>كجم</v>
      </c>
      <c r="C48" s="107" t="n">
        <f aca="false">'مواد المخزون'!E43</f>
        <v>30.6593</v>
      </c>
      <c r="D48" s="108" t="n">
        <f aca="false">'جرد أول المدة'!E46</f>
        <v>4.821</v>
      </c>
      <c r="E48" s="108" t="n">
        <f aca="false">SUMIFS('مشتريات يومية'!$D$2:$D$4001,'مشتريات يومية'!$B$2:$B$4001,$B$2,'مشتريات يومية'!$C$2:$C$4001,$A48,'مشتريات يومية'!$A$2:$A$4001,"&gt;="&amp;'إعدادات المخزون'!$B$5,'مشتريات يومية'!$A$2:$A$4001,"&lt;="&amp;'إعدادات المخزون'!$B$4)</f>
        <v>85</v>
      </c>
      <c r="F48" s="108"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8"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8" t="n">
        <f aca="false">SUMPRODUCT('مصفوفة الاستهلاك'!$AQ$2:$AQ$172,'متجهات المبيعات'!$I$2:$I$172)/'مواد المخزون'!$D$43</f>
        <v>0</v>
      </c>
      <c r="I48" s="108"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8" t="n">
        <f aca="false">D48+E48+F48-G48-H48-I48</f>
        <v>89.821</v>
      </c>
      <c r="K48" s="36" t="str">
        <f aca="false">IF(COUNTIFS('جرد فعلي'!$B$2:$B$12001,$B$2,'جرد فعلي'!$C$2:$C$12001,$A48,'جرد فعلي'!$A$2:$A$12001,'إعدادات المخزون'!$B$4)&gt;0,"نعم","لا")</f>
        <v>لا</v>
      </c>
      <c r="L48" s="109" t="str">
        <f aca="false">IF(K48="نعم",SUMIFS('جرد فعلي'!$D$2:$D$12001,'جرد فعلي'!$B$2:$B$12001,$B$2,'جرد فعلي'!$C$2:$C$12001,$A48,'جرد فعلي'!$A$2:$A$12001,'إعدادات المخزون'!$B$4),"")</f>
        <v/>
      </c>
      <c r="M48" s="108" t="str">
        <f aca="false">IF(K48="نعم",L48-J48,"")</f>
        <v/>
      </c>
      <c r="N48" s="110" t="str">
        <f aca="false">IF(K48="نعم",IF(J48=0,IF(M48=0,0,SIGN(M48)),M48/ABS(J48)),"")</f>
        <v/>
      </c>
      <c r="O48" s="107" t="str">
        <f aca="false">IF(K48="نعم",M48*C48,"")</f>
        <v/>
      </c>
      <c r="P48" s="36" t="str">
        <f aca="false">IF(K48&lt;&gt;"نعم","لم يُجرد",IF(ABS(N48)&lt;='إعدادات المخزون'!$B$7,"مطابق",IF(M48&lt;0,"عجز","زيادة")))</f>
        <v>لم يُجرد</v>
      </c>
      <c r="Q48" s="108" t="n">
        <f aca="false">J48-Z48</f>
        <v>89.821</v>
      </c>
      <c r="R48" s="108"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8" t="str">
        <f aca="false">IF(AND(K48="نعم",R48&lt;&gt;""),(L48-J48)-(R48-Q48),"")</f>
        <v/>
      </c>
      <c r="T48" s="107" t="str">
        <f aca="false">IF(S48="","",S48*C48)</f>
        <v/>
      </c>
      <c r="U48" s="108" t="n">
        <f aca="false">IF(K48="نعم",L48,J48)</f>
        <v>89.821</v>
      </c>
      <c r="V48" s="108" t="n">
        <f aca="false">SUMPRODUCT('مصفوفة الاستهلاك'!$AQ$2:$AQ$172,'متجهات المبيعات'!$J$2:$J$172)/'مواد المخزون'!$D$43/MAX(1,MIN('إعدادات المخزون'!$B$11,'إعدادات المخزون'!$B$4-'إعدادات المخزون'!$B$5+1))</f>
        <v>0</v>
      </c>
      <c r="W48" s="108" t="n">
        <f aca="false">IF(V48&lt;=0,0,ROUNDUP(MAX(0,V48*('إعدادات المخزون'!$B$8+'إعدادات المخزون'!$B$9+'إعدادات المخزون'!$B$10)-MAX(U48,0))/'مواد المخزون'!$F43,0)*'مواد المخزون'!$F43)</f>
        <v>0</v>
      </c>
      <c r="X48" s="107" t="n">
        <f aca="false">IF(AND(K48="نعم",O48&lt;0),-O48+ROW()*0.000000001,0)</f>
        <v>0</v>
      </c>
      <c r="Y48" s="107" t="n">
        <f aca="false">IF(AND(K48="نعم",O48&gt;0),O48+ROW()*0.000000001,0)</f>
        <v>0</v>
      </c>
      <c r="Z48" s="108"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المبيعات'!$H$2:$H$172)/'مواد المخزون'!$D$43</f>
        <v>0</v>
      </c>
      <c r="AA48" s="107" t="n">
        <f aca="false">IF(K48="نعم",O48,0)</f>
        <v>0</v>
      </c>
      <c r="AB48" s="107" t="n">
        <f aca="false">IF(K48="نعم",J48*C48,0)</f>
        <v>0</v>
      </c>
      <c r="AC48" s="107" t="n">
        <f aca="false">IF(T48="",0,T48)</f>
        <v>0</v>
      </c>
    </row>
    <row r="49" customFormat="false" ht="15" hidden="false" customHeight="false" outlineLevel="0" collapsed="false">
      <c r="A49" s="34" t="str">
        <f aca="false">'مواد المخزون'!A44</f>
        <v>سمنة الشيخ</v>
      </c>
      <c r="B49" s="36" t="str">
        <f aca="false">'مواد المخزون'!B44</f>
        <v>كجم</v>
      </c>
      <c r="C49" s="107" t="n">
        <f aca="false">'مواد المخزون'!E44</f>
        <v>380</v>
      </c>
      <c r="D49" s="108" t="n">
        <f aca="false">'جرد أول المدة'!E47</f>
        <v>5.06</v>
      </c>
      <c r="E49" s="108" t="n">
        <f aca="false">SUMIFS('مشتريات يومية'!$D$2:$D$4001,'مشتريات يومية'!$B$2:$B$4001,$B$2,'مشتريات يومية'!$C$2:$C$4001,$A49,'مشتريات يومية'!$A$2:$A$4001,"&gt;="&amp;'إعدادات المخزون'!$B$5,'مشتريات يومية'!$A$2:$A$4001,"&lt;="&amp;'إعدادات المخزون'!$B$4)</f>
        <v>2</v>
      </c>
      <c r="F49" s="108"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8"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8" t="n">
        <f aca="false">SUMPRODUCT('مصفوفة الاستهلاك'!$AR$2:$AR$172,'متجهات المبيعات'!$I$2:$I$172)/'مواد المخزون'!$D$44</f>
        <v>0</v>
      </c>
      <c r="I49" s="108"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8" t="n">
        <f aca="false">D49+E49+F49-G49-H49-I49</f>
        <v>7.06</v>
      </c>
      <c r="K49" s="36" t="str">
        <f aca="false">IF(COUNTIFS('جرد فعلي'!$B$2:$B$12001,$B$2,'جرد فعلي'!$C$2:$C$12001,$A49,'جرد فعلي'!$A$2:$A$12001,'إعدادات المخزون'!$B$4)&gt;0,"نعم","لا")</f>
        <v>لا</v>
      </c>
      <c r="L49" s="109" t="str">
        <f aca="false">IF(K49="نعم",SUMIFS('جرد فعلي'!$D$2:$D$12001,'جرد فعلي'!$B$2:$B$12001,$B$2,'جرد فعلي'!$C$2:$C$12001,$A49,'جرد فعلي'!$A$2:$A$12001,'إعدادات المخزون'!$B$4),"")</f>
        <v/>
      </c>
      <c r="M49" s="108" t="str">
        <f aca="false">IF(K49="نعم",L49-J49,"")</f>
        <v/>
      </c>
      <c r="N49" s="110" t="str">
        <f aca="false">IF(K49="نعم",IF(J49=0,IF(M49=0,0,SIGN(M49)),M49/ABS(J49)),"")</f>
        <v/>
      </c>
      <c r="O49" s="107" t="str">
        <f aca="false">IF(K49="نعم",M49*C49,"")</f>
        <v/>
      </c>
      <c r="P49" s="36" t="str">
        <f aca="false">IF(K49&lt;&gt;"نعم","لم يُجرد",IF(ABS(N49)&lt;='إعدادات المخزون'!$B$7,"مطابق",IF(M49&lt;0,"عجز","زيادة")))</f>
        <v>لم يُجرد</v>
      </c>
      <c r="Q49" s="108" t="n">
        <f aca="false">J49-Z49</f>
        <v>7.06</v>
      </c>
      <c r="R49" s="108"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8" t="str">
        <f aca="false">IF(AND(K49="نعم",R49&lt;&gt;""),(L49-J49)-(R49-Q49),"")</f>
        <v/>
      </c>
      <c r="T49" s="107" t="str">
        <f aca="false">IF(S49="","",S49*C49)</f>
        <v/>
      </c>
      <c r="U49" s="108" t="n">
        <f aca="false">IF(K49="نعم",L49,J49)</f>
        <v>7.06</v>
      </c>
      <c r="V49" s="108" t="n">
        <f aca="false">SUMPRODUCT('مصفوفة الاستهلاك'!$AR$2:$AR$172,'متجهات المبيعات'!$J$2:$J$172)/'مواد المخزون'!$D$44/MAX(1,MIN('إعدادات المخزون'!$B$11,'إعدادات المخزون'!$B$4-'إعدادات المخزون'!$B$5+1))</f>
        <v>0</v>
      </c>
      <c r="W49" s="108" t="n">
        <f aca="false">IF(V49&lt;=0,0,ROUNDUP(MAX(0,V49*('إعدادات المخزون'!$B$8+'إعدادات المخزون'!$B$9+'إعدادات المخزون'!$B$10)-MAX(U49,0))/'مواد المخزون'!$F44,0)*'مواد المخزون'!$F44)</f>
        <v>0</v>
      </c>
      <c r="X49" s="107" t="n">
        <f aca="false">IF(AND(K49="نعم",O49&lt;0),-O49+ROW()*0.000000001,0)</f>
        <v>0</v>
      </c>
      <c r="Y49" s="107" t="n">
        <f aca="false">IF(AND(K49="نعم",O49&gt;0),O49+ROW()*0.000000001,0)</f>
        <v>0</v>
      </c>
      <c r="Z49" s="108"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المبيعات'!$H$2:$H$172)/'مواد المخزون'!$D$44</f>
        <v>0</v>
      </c>
      <c r="AA49" s="107" t="n">
        <f aca="false">IF(K49="نعم",O49,0)</f>
        <v>0</v>
      </c>
      <c r="AB49" s="107" t="n">
        <f aca="false">IF(K49="نعم",J49*C49,0)</f>
        <v>0</v>
      </c>
      <c r="AC49" s="107" t="n">
        <f aca="false">IF(T49="",0,T49)</f>
        <v>0</v>
      </c>
    </row>
    <row r="50" customFormat="false" ht="15" hidden="false" customHeight="false" outlineLevel="0" collapsed="false">
      <c r="A50" s="34" t="str">
        <f aca="false">'مواد المخزون'!A45</f>
        <v>سيلفر رول</v>
      </c>
      <c r="B50" s="36" t="str">
        <f aca="false">'مواد المخزون'!B45</f>
        <v>رول</v>
      </c>
      <c r="C50" s="107" t="n">
        <f aca="false">'مواد المخزون'!E45</f>
        <v>503.78</v>
      </c>
      <c r="D50" s="108" t="n">
        <f aca="false">'جرد أول المدة'!E48</f>
        <v>1.92</v>
      </c>
      <c r="E50" s="108" t="n">
        <f aca="false">SUMIFS('مشتريات يومية'!$D$2:$D$4001,'مشتريات يومية'!$B$2:$B$4001,$B$2,'مشتريات يومية'!$C$2:$C$4001,$A50,'مشتريات يومية'!$A$2:$A$4001,"&gt;="&amp;'إعدادات المخزون'!$B$5,'مشتريات يومية'!$A$2:$A$4001,"&lt;="&amp;'إعدادات المخزون'!$B$4)</f>
        <v>0</v>
      </c>
      <c r="F50" s="108"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8"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8" t="n">
        <f aca="false">SUMPRODUCT('مصفوفة الاستهلاك'!$AS$2:$AS$172,'متجهات المبيعات'!$I$2:$I$172)/'مواد المخزون'!$D$45</f>
        <v>0</v>
      </c>
      <c r="I50" s="108"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8" t="n">
        <f aca="false">D50+E50+F50-G50-H50-I50</f>
        <v>1.92</v>
      </c>
      <c r="K50" s="36" t="str">
        <f aca="false">IF(COUNTIFS('جرد فعلي'!$B$2:$B$12001,$B$2,'جرد فعلي'!$C$2:$C$12001,$A50,'جرد فعلي'!$A$2:$A$12001,'إعدادات المخزون'!$B$4)&gt;0,"نعم","لا")</f>
        <v>لا</v>
      </c>
      <c r="L50" s="109" t="str">
        <f aca="false">IF(K50="نعم",SUMIFS('جرد فعلي'!$D$2:$D$12001,'جرد فعلي'!$B$2:$B$12001,$B$2,'جرد فعلي'!$C$2:$C$12001,$A50,'جرد فعلي'!$A$2:$A$12001,'إعدادات المخزون'!$B$4),"")</f>
        <v/>
      </c>
      <c r="M50" s="108" t="str">
        <f aca="false">IF(K50="نعم",L50-J50,"")</f>
        <v/>
      </c>
      <c r="N50" s="110" t="str">
        <f aca="false">IF(K50="نعم",IF(J50=0,IF(M50=0,0,SIGN(M50)),M50/ABS(J50)),"")</f>
        <v/>
      </c>
      <c r="O50" s="107" t="str">
        <f aca="false">IF(K50="نعم",M50*C50,"")</f>
        <v/>
      </c>
      <c r="P50" s="36" t="str">
        <f aca="false">IF(K50&lt;&gt;"نعم","لم يُجرد",IF(ABS(N50)&lt;='إعدادات المخزون'!$B$7,"مطابق",IF(M50&lt;0,"عجز","زيادة")))</f>
        <v>لم يُجرد</v>
      </c>
      <c r="Q50" s="108" t="n">
        <f aca="false">J50-Z50</f>
        <v>1.92</v>
      </c>
      <c r="R50" s="108"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8" t="str">
        <f aca="false">IF(AND(K50="نعم",R50&lt;&gt;""),(L50-J50)-(R50-Q50),"")</f>
        <v/>
      </c>
      <c r="T50" s="107" t="str">
        <f aca="false">IF(S50="","",S50*C50)</f>
        <v/>
      </c>
      <c r="U50" s="108" t="n">
        <f aca="false">IF(K50="نعم",L50,J50)</f>
        <v>1.92</v>
      </c>
      <c r="V50" s="108" t="n">
        <f aca="false">SUMPRODUCT('مصفوفة الاستهلاك'!$AS$2:$AS$172,'متجهات المبيعات'!$J$2:$J$172)/'مواد المخزون'!$D$45/MAX(1,MIN('إعدادات المخزون'!$B$11,'إعدادات المخزون'!$B$4-'إعدادات المخزون'!$B$5+1))</f>
        <v>0</v>
      </c>
      <c r="W50" s="108" t="n">
        <f aca="false">IF(V50&lt;=0,0,ROUNDUP(MAX(0,V50*('إعدادات المخزون'!$B$8+'إعدادات المخزون'!$B$9+'إعدادات المخزون'!$B$10)-MAX(U50,0))/'مواد المخزون'!$F45,0)*'مواد المخزون'!$F45)</f>
        <v>0</v>
      </c>
      <c r="X50" s="107" t="n">
        <f aca="false">IF(AND(K50="نعم",O50&lt;0),-O50+ROW()*0.000000001,0)</f>
        <v>0</v>
      </c>
      <c r="Y50" s="107" t="n">
        <f aca="false">IF(AND(K50="نعم",O50&gt;0),O50+ROW()*0.000000001,0)</f>
        <v>0</v>
      </c>
      <c r="Z50" s="108"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المبيعات'!$H$2:$H$172)/'مواد المخزون'!$D$45</f>
        <v>0</v>
      </c>
      <c r="AA50" s="107" t="n">
        <f aca="false">IF(K50="نعم",O50,0)</f>
        <v>0</v>
      </c>
      <c r="AB50" s="107" t="n">
        <f aca="false">IF(K50="نعم",J50*C50,0)</f>
        <v>0</v>
      </c>
      <c r="AC50" s="107"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7" t="n">
        <f aca="false">'مواد المخزون'!E46</f>
        <v>135</v>
      </c>
      <c r="D51" s="108" t="n">
        <f aca="false">'جرد أول المدة'!E49</f>
        <v>1</v>
      </c>
      <c r="E51" s="108" t="n">
        <f aca="false">SUMIFS('مشتريات يومية'!$D$2:$D$4001,'مشتريات يومية'!$B$2:$B$4001,$B$2,'مشتريات يومية'!$C$2:$C$4001,$A51,'مشتريات يومية'!$A$2:$A$4001,"&gt;="&amp;'إعدادات المخزون'!$B$5,'مشتريات يومية'!$A$2:$A$4001,"&lt;="&amp;'إعدادات المخزون'!$B$4)</f>
        <v>1</v>
      </c>
      <c r="F51" s="108"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8"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8" t="n">
        <f aca="false">SUMPRODUCT('مصفوفة الاستهلاك'!$AT$2:$AT$172,'متجهات المبيعات'!$I$2:$I$172)/'مواد المخزون'!$D$46</f>
        <v>0</v>
      </c>
      <c r="I51" s="108"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8" t="n">
        <f aca="false">D51+E51+F51-G51-H51-I51</f>
        <v>2</v>
      </c>
      <c r="K51" s="36" t="str">
        <f aca="false">IF(COUNTIFS('جرد فعلي'!$B$2:$B$12001,$B$2,'جرد فعلي'!$C$2:$C$12001,$A51,'جرد فعلي'!$A$2:$A$12001,'إعدادات المخزون'!$B$4)&gt;0,"نعم","لا")</f>
        <v>لا</v>
      </c>
      <c r="L51" s="109" t="str">
        <f aca="false">IF(K51="نعم",SUMIFS('جرد فعلي'!$D$2:$D$12001,'جرد فعلي'!$B$2:$B$12001,$B$2,'جرد فعلي'!$C$2:$C$12001,$A51,'جرد فعلي'!$A$2:$A$12001,'إعدادات المخزون'!$B$4),"")</f>
        <v/>
      </c>
      <c r="M51" s="108" t="str">
        <f aca="false">IF(K51="نعم",L51-J51,"")</f>
        <v/>
      </c>
      <c r="N51" s="110" t="str">
        <f aca="false">IF(K51="نعم",IF(J51=0,IF(M51=0,0,SIGN(M51)),M51/ABS(J51)),"")</f>
        <v/>
      </c>
      <c r="O51" s="107" t="str">
        <f aca="false">IF(K51="نعم",M51*C51,"")</f>
        <v/>
      </c>
      <c r="P51" s="36" t="str">
        <f aca="false">IF(K51&lt;&gt;"نعم","لم يُجرد",IF(ABS(N51)&lt;='إعدادات المخزون'!$B$7,"مطابق",IF(M51&lt;0,"عجز","زيادة")))</f>
        <v>لم يُجرد</v>
      </c>
      <c r="Q51" s="108" t="n">
        <f aca="false">J51-Z51</f>
        <v>2</v>
      </c>
      <c r="R51" s="108"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8" t="str">
        <f aca="false">IF(AND(K51="نعم",R51&lt;&gt;""),(L51-J51)-(R51-Q51),"")</f>
        <v/>
      </c>
      <c r="T51" s="107" t="str">
        <f aca="false">IF(S51="","",S51*C51)</f>
        <v/>
      </c>
      <c r="U51" s="108" t="n">
        <f aca="false">IF(K51="نعم",L51,J51)</f>
        <v>2</v>
      </c>
      <c r="V51" s="108" t="n">
        <f aca="false">SUMPRODUCT('مصفوفة الاستهلاك'!$AT$2:$AT$172,'متجهات المبيعات'!$J$2:$J$172)/'مواد المخزون'!$D$46/MAX(1,MIN('إعدادات المخزون'!$B$11,'إعدادات المخزون'!$B$4-'إعدادات المخزون'!$B$5+1))</f>
        <v>0</v>
      </c>
      <c r="W51" s="108" t="n">
        <f aca="false">IF(V51&lt;=0,0,ROUNDUP(MAX(0,V51*('إعدادات المخزون'!$B$8+'إعدادات المخزون'!$B$9+'إعدادات المخزون'!$B$10)-MAX(U51,0))/'مواد المخزون'!$F46,0)*'مواد المخزون'!$F46)</f>
        <v>0</v>
      </c>
      <c r="X51" s="107" t="n">
        <f aca="false">IF(AND(K51="نعم",O51&lt;0),-O51+ROW()*0.000000001,0)</f>
        <v>0</v>
      </c>
      <c r="Y51" s="107" t="n">
        <f aca="false">IF(AND(K51="نعم",O51&gt;0),O51+ROW()*0.000000001,0)</f>
        <v>0</v>
      </c>
      <c r="Z51" s="108"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المبيعات'!$H$2:$H$172)/'مواد المخزون'!$D$46</f>
        <v>0</v>
      </c>
      <c r="AA51" s="107" t="n">
        <f aca="false">IF(K51="نعم",O51,0)</f>
        <v>0</v>
      </c>
      <c r="AB51" s="107" t="n">
        <f aca="false">IF(K51="نعم",J51*C51,0)</f>
        <v>0</v>
      </c>
      <c r="AC51" s="107"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7" t="n">
        <f aca="false">'مواد المخزون'!E47</f>
        <v>0.3</v>
      </c>
      <c r="D52" s="108" t="n">
        <f aca="false">'جرد أول المدة'!E50</f>
        <v>1058</v>
      </c>
      <c r="E52" s="108" t="n">
        <f aca="false">SUMIFS('مشتريات يومية'!$D$2:$D$4001,'مشتريات يومية'!$B$2:$B$4001,$B$2,'مشتريات يومية'!$C$2:$C$4001,$A52,'مشتريات يومية'!$A$2:$A$4001,"&gt;="&amp;'إعدادات المخزون'!$B$5,'مشتريات يومية'!$A$2:$A$4001,"&lt;="&amp;'إعدادات المخزون'!$B$4)</f>
        <v>4000</v>
      </c>
      <c r="F52" s="108"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8"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8" t="n">
        <f aca="false">SUMPRODUCT('مصفوفة الاستهلاك'!$AU$2:$AU$172,'متجهات المبيعات'!$I$2:$I$172)/'مواد المخزون'!$D$47</f>
        <v>0</v>
      </c>
      <c r="I52" s="108"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8" t="n">
        <f aca="false">D52+E52+F52-G52-H52-I52</f>
        <v>5058</v>
      </c>
      <c r="K52" s="36" t="str">
        <f aca="false">IF(COUNTIFS('جرد فعلي'!$B$2:$B$12001,$B$2,'جرد فعلي'!$C$2:$C$12001,$A52,'جرد فعلي'!$A$2:$A$12001,'إعدادات المخزون'!$B$4)&gt;0,"نعم","لا")</f>
        <v>لا</v>
      </c>
      <c r="L52" s="109" t="str">
        <f aca="false">IF(K52="نعم",SUMIFS('جرد فعلي'!$D$2:$D$12001,'جرد فعلي'!$B$2:$B$12001,$B$2,'جرد فعلي'!$C$2:$C$12001,$A52,'جرد فعلي'!$A$2:$A$12001,'إعدادات المخزون'!$B$4),"")</f>
        <v/>
      </c>
      <c r="M52" s="108" t="str">
        <f aca="false">IF(K52="نعم",L52-J52,"")</f>
        <v/>
      </c>
      <c r="N52" s="110" t="str">
        <f aca="false">IF(K52="نعم",IF(J52=0,IF(M52=0,0,SIGN(M52)),M52/ABS(J52)),"")</f>
        <v/>
      </c>
      <c r="O52" s="107" t="str">
        <f aca="false">IF(K52="نعم",M52*C52,"")</f>
        <v/>
      </c>
      <c r="P52" s="36" t="str">
        <f aca="false">IF(K52&lt;&gt;"نعم","لم يُجرد",IF(ABS(N52)&lt;='إعدادات المخزون'!$B$7,"مطابق",IF(M52&lt;0,"عجز","زيادة")))</f>
        <v>لم يُجرد</v>
      </c>
      <c r="Q52" s="108" t="n">
        <f aca="false">J52-Z52</f>
        <v>5058</v>
      </c>
      <c r="R52" s="108"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8" t="str">
        <f aca="false">IF(AND(K52="نعم",R52&lt;&gt;""),(L52-J52)-(R52-Q52),"")</f>
        <v/>
      </c>
      <c r="T52" s="107" t="str">
        <f aca="false">IF(S52="","",S52*C52)</f>
        <v/>
      </c>
      <c r="U52" s="108" t="n">
        <f aca="false">IF(K52="نعم",L52,J52)</f>
        <v>5058</v>
      </c>
      <c r="V52" s="108" t="n">
        <f aca="false">SUMPRODUCT('مصفوفة الاستهلاك'!$AU$2:$AU$172,'متجهات المبيعات'!$J$2:$J$172)/'مواد المخزون'!$D$47/MAX(1,MIN('إعدادات المخزون'!$B$11,'إعدادات المخزون'!$B$4-'إعدادات المخزون'!$B$5+1))</f>
        <v>0</v>
      </c>
      <c r="W52" s="108" t="n">
        <f aca="false">IF(V52&lt;=0,0,ROUNDUP(MAX(0,V52*('إعدادات المخزون'!$B$8+'إعدادات المخزون'!$B$9+'إعدادات المخزون'!$B$10)-MAX(U52,0))/'مواد المخزون'!$F47,0)*'مواد المخزون'!$F47)</f>
        <v>0</v>
      </c>
      <c r="X52" s="107" t="n">
        <f aca="false">IF(AND(K52="نعم",O52&lt;0),-O52+ROW()*0.000000001,0)</f>
        <v>0</v>
      </c>
      <c r="Y52" s="107" t="n">
        <f aca="false">IF(AND(K52="نعم",O52&gt;0),O52+ROW()*0.000000001,0)</f>
        <v>0</v>
      </c>
      <c r="Z52" s="108"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المبيعات'!$H$2:$H$172)/'مواد المخزون'!$D$47</f>
        <v>0</v>
      </c>
      <c r="AA52" s="107" t="n">
        <f aca="false">IF(K52="نعم",O52,0)</f>
        <v>0</v>
      </c>
      <c r="AB52" s="107" t="n">
        <f aca="false">IF(K52="نعم",J52*C52,0)</f>
        <v>0</v>
      </c>
      <c r="AC52" s="107"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7" t="n">
        <f aca="false">'مواد المخزون'!E48</f>
        <v>127.6582</v>
      </c>
      <c r="D53" s="108" t="n">
        <f aca="false">'جرد أول المدة'!E51</f>
        <v>7.485</v>
      </c>
      <c r="E53" s="108" t="n">
        <f aca="false">SUMIFS('مشتريات يومية'!$D$2:$D$4001,'مشتريات يومية'!$B$2:$B$4001,$B$2,'مشتريات يومية'!$C$2:$C$4001,$A53,'مشتريات يومية'!$A$2:$A$4001,"&gt;="&amp;'إعدادات المخزون'!$B$5,'مشتريات يومية'!$A$2:$A$4001,"&lt;="&amp;'إعدادات المخزون'!$B$4)</f>
        <v>25</v>
      </c>
      <c r="F53" s="108"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8"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8" t="n">
        <f aca="false">SUMPRODUCT('مصفوفة الاستهلاك'!$AV$2:$AV$172,'متجهات المبيعات'!$I$2:$I$172)/'مواد المخزون'!$D$48</f>
        <v>0</v>
      </c>
      <c r="I53" s="108"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8" t="n">
        <f aca="false">D53+E53+F53-G53-H53-I53</f>
        <v>32.485</v>
      </c>
      <c r="K53" s="36" t="str">
        <f aca="false">IF(COUNTIFS('جرد فعلي'!$B$2:$B$12001,$B$2,'جرد فعلي'!$C$2:$C$12001,$A53,'جرد فعلي'!$A$2:$A$12001,'إعدادات المخزون'!$B$4)&gt;0,"نعم","لا")</f>
        <v>لا</v>
      </c>
      <c r="L53" s="109" t="str">
        <f aca="false">IF(K53="نعم",SUMIFS('جرد فعلي'!$D$2:$D$12001,'جرد فعلي'!$B$2:$B$12001,$B$2,'جرد فعلي'!$C$2:$C$12001,$A53,'جرد فعلي'!$A$2:$A$12001,'إعدادات المخزون'!$B$4),"")</f>
        <v/>
      </c>
      <c r="M53" s="108" t="str">
        <f aca="false">IF(K53="نعم",L53-J53,"")</f>
        <v/>
      </c>
      <c r="N53" s="110" t="str">
        <f aca="false">IF(K53="نعم",IF(J53=0,IF(M53=0,0,SIGN(M53)),M53/ABS(J53)),"")</f>
        <v/>
      </c>
      <c r="O53" s="107" t="str">
        <f aca="false">IF(K53="نعم",M53*C53,"")</f>
        <v/>
      </c>
      <c r="P53" s="36" t="str">
        <f aca="false">IF(K53&lt;&gt;"نعم","لم يُجرد",IF(ABS(N53)&lt;='إعدادات المخزون'!$B$7,"مطابق",IF(M53&lt;0,"عجز","زيادة")))</f>
        <v>لم يُجرد</v>
      </c>
      <c r="Q53" s="108" t="n">
        <f aca="false">J53-Z53</f>
        <v>32.485</v>
      </c>
      <c r="R53" s="108"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8" t="str">
        <f aca="false">IF(AND(K53="نعم",R53&lt;&gt;""),(L53-J53)-(R53-Q53),"")</f>
        <v/>
      </c>
      <c r="T53" s="107" t="str">
        <f aca="false">IF(S53="","",S53*C53)</f>
        <v/>
      </c>
      <c r="U53" s="108" t="n">
        <f aca="false">IF(K53="نعم",L53,J53)</f>
        <v>32.485</v>
      </c>
      <c r="V53" s="108" t="n">
        <f aca="false">SUMPRODUCT('مصفوفة الاستهلاك'!$AV$2:$AV$172,'متجهات المبيعات'!$J$2:$J$172)/'مواد المخزون'!$D$48/MAX(1,MIN('إعدادات المخزون'!$B$11,'إعدادات المخزون'!$B$4-'إعدادات المخزون'!$B$5+1))</f>
        <v>0</v>
      </c>
      <c r="W53" s="108" t="n">
        <f aca="false">IF(V53&lt;=0,0,ROUNDUP(MAX(0,V53*('إعدادات المخزون'!$B$8+'إعدادات المخزون'!$B$9+'إعدادات المخزون'!$B$10)-MAX(U53,0))/'مواد المخزون'!$F48,0)*'مواد المخزون'!$F48)</f>
        <v>0</v>
      </c>
      <c r="X53" s="107" t="n">
        <f aca="false">IF(AND(K53="نعم",O53&lt;0),-O53+ROW()*0.000000001,0)</f>
        <v>0</v>
      </c>
      <c r="Y53" s="107" t="n">
        <f aca="false">IF(AND(K53="نعم",O53&gt;0),O53+ROW()*0.000000001,0)</f>
        <v>0</v>
      </c>
      <c r="Z53" s="108"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المبيعات'!$H$2:$H$172)/'مواد المخزون'!$D$48</f>
        <v>0</v>
      </c>
      <c r="AA53" s="107" t="n">
        <f aca="false">IF(K53="نعم",O53,0)</f>
        <v>0</v>
      </c>
      <c r="AB53" s="107" t="n">
        <f aca="false">IF(K53="نعم",J53*C53,0)</f>
        <v>0</v>
      </c>
      <c r="AC53" s="107"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7" t="n">
        <f aca="false">'مواد المخزون'!E49</f>
        <v>100</v>
      </c>
      <c r="D54" s="108" t="n">
        <f aca="false">'جرد أول المدة'!E52</f>
        <v>4.07</v>
      </c>
      <c r="E54" s="108" t="n">
        <f aca="false">SUMIFS('مشتريات يومية'!$D$2:$D$4001,'مشتريات يومية'!$B$2:$B$4001,$B$2,'مشتريات يومية'!$C$2:$C$4001,$A54,'مشتريات يومية'!$A$2:$A$4001,"&gt;="&amp;'إعدادات المخزون'!$B$5,'مشتريات يومية'!$A$2:$A$4001,"&lt;="&amp;'إعدادات المخزون'!$B$4)</f>
        <v>4</v>
      </c>
      <c r="F54" s="108"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8"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8" t="n">
        <f aca="false">SUMPRODUCT('مصفوفة الاستهلاك'!$AW$2:$AW$172,'متجهات المبيعات'!$I$2:$I$172)/'مواد المخزون'!$D$49</f>
        <v>0</v>
      </c>
      <c r="I54" s="108"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8" t="n">
        <f aca="false">D54+E54+F54-G54-H54-I54</f>
        <v>8.07</v>
      </c>
      <c r="K54" s="36" t="str">
        <f aca="false">IF(COUNTIFS('جرد فعلي'!$B$2:$B$12001,$B$2,'جرد فعلي'!$C$2:$C$12001,$A54,'جرد فعلي'!$A$2:$A$12001,'إعدادات المخزون'!$B$4)&gt;0,"نعم","لا")</f>
        <v>لا</v>
      </c>
      <c r="L54" s="109" t="str">
        <f aca="false">IF(K54="نعم",SUMIFS('جرد فعلي'!$D$2:$D$12001,'جرد فعلي'!$B$2:$B$12001,$B$2,'جرد فعلي'!$C$2:$C$12001,$A54,'جرد فعلي'!$A$2:$A$12001,'إعدادات المخزون'!$B$4),"")</f>
        <v/>
      </c>
      <c r="M54" s="108" t="str">
        <f aca="false">IF(K54="نعم",L54-J54,"")</f>
        <v/>
      </c>
      <c r="N54" s="110" t="str">
        <f aca="false">IF(K54="نعم",IF(J54=0,IF(M54=0,0,SIGN(M54)),M54/ABS(J54)),"")</f>
        <v/>
      </c>
      <c r="O54" s="107" t="str">
        <f aca="false">IF(K54="نعم",M54*C54,"")</f>
        <v/>
      </c>
      <c r="P54" s="36" t="str">
        <f aca="false">IF(K54&lt;&gt;"نعم","لم يُجرد",IF(ABS(N54)&lt;='إعدادات المخزون'!$B$7,"مطابق",IF(M54&lt;0,"عجز","زيادة")))</f>
        <v>لم يُجرد</v>
      </c>
      <c r="Q54" s="108" t="n">
        <f aca="false">J54-Z54</f>
        <v>8.07</v>
      </c>
      <c r="R54" s="108"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8" t="str">
        <f aca="false">IF(AND(K54="نعم",R54&lt;&gt;""),(L54-J54)-(R54-Q54),"")</f>
        <v/>
      </c>
      <c r="T54" s="107" t="str">
        <f aca="false">IF(S54="","",S54*C54)</f>
        <v/>
      </c>
      <c r="U54" s="108" t="n">
        <f aca="false">IF(K54="نعم",L54,J54)</f>
        <v>8.07</v>
      </c>
      <c r="V54" s="108" t="n">
        <f aca="false">SUMPRODUCT('مصفوفة الاستهلاك'!$AW$2:$AW$172,'متجهات المبيعات'!$J$2:$J$172)/'مواد المخزون'!$D$49/MAX(1,MIN('إعدادات المخزون'!$B$11,'إعدادات المخزون'!$B$4-'إعدادات المخزون'!$B$5+1))</f>
        <v>0</v>
      </c>
      <c r="W54" s="108" t="n">
        <f aca="false">IF(V54&lt;=0,0,ROUNDUP(MAX(0,V54*('إعدادات المخزون'!$B$8+'إعدادات المخزون'!$B$9+'إعدادات المخزون'!$B$10)-MAX(U54,0))/'مواد المخزون'!$F49,0)*'مواد المخزون'!$F49)</f>
        <v>0</v>
      </c>
      <c r="X54" s="107" t="n">
        <f aca="false">IF(AND(K54="نعم",O54&lt;0),-O54+ROW()*0.000000001,0)</f>
        <v>0</v>
      </c>
      <c r="Y54" s="107" t="n">
        <f aca="false">IF(AND(K54="نعم",O54&gt;0),O54+ROW()*0.000000001,0)</f>
        <v>0</v>
      </c>
      <c r="Z54" s="108"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المبيعات'!$H$2:$H$172)/'مواد المخزون'!$D$49</f>
        <v>0</v>
      </c>
      <c r="AA54" s="107" t="n">
        <f aca="false">IF(K54="نعم",O54,0)</f>
        <v>0</v>
      </c>
      <c r="AB54" s="107" t="n">
        <f aca="false">IF(K54="نعم",J54*C54,0)</f>
        <v>0</v>
      </c>
      <c r="AC54" s="107" t="n">
        <f aca="false">IF(T54="",0,T54)</f>
        <v>0</v>
      </c>
    </row>
    <row r="55" customFormat="false" ht="15" hidden="false" customHeight="false" outlineLevel="0" collapsed="false">
      <c r="A55" s="34" t="str">
        <f aca="false">'مواد المخزون'!A50</f>
        <v>صلصة مصنع</v>
      </c>
      <c r="B55" s="36" t="str">
        <f aca="false">'مواد المخزون'!B50</f>
        <v>كجم</v>
      </c>
      <c r="C55" s="107" t="n">
        <f aca="false">'مواد المخزون'!E50</f>
        <v>32</v>
      </c>
      <c r="D55" s="108" t="n">
        <f aca="false">'جرد أول المدة'!E53</f>
        <v>6.526</v>
      </c>
      <c r="E55" s="108" t="n">
        <f aca="false">SUMIFS('مشتريات يومية'!$D$2:$D$4001,'مشتريات يومية'!$B$2:$B$4001,$B$2,'مشتريات يومية'!$C$2:$C$4001,$A55,'مشتريات يومية'!$A$2:$A$4001,"&gt;="&amp;'إعدادات المخزون'!$B$5,'مشتريات يومية'!$A$2:$A$4001,"&lt;="&amp;'إعدادات المخزون'!$B$4)</f>
        <v>21</v>
      </c>
      <c r="F55" s="108"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8"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8" t="n">
        <f aca="false">SUMPRODUCT('مصفوفة الاستهلاك'!$AX$2:$AX$172,'متجهات المبيعات'!$I$2:$I$172)/'مواد المخزون'!$D$50</f>
        <v>0</v>
      </c>
      <c r="I55" s="108"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8" t="n">
        <f aca="false">D55+E55+F55-G55-H55-I55</f>
        <v>27.526</v>
      </c>
      <c r="K55" s="36" t="str">
        <f aca="false">IF(COUNTIFS('جرد فعلي'!$B$2:$B$12001,$B$2,'جرد فعلي'!$C$2:$C$12001,$A55,'جرد فعلي'!$A$2:$A$12001,'إعدادات المخزون'!$B$4)&gt;0,"نعم","لا")</f>
        <v>لا</v>
      </c>
      <c r="L55" s="109" t="str">
        <f aca="false">IF(K55="نعم",SUMIFS('جرد فعلي'!$D$2:$D$12001,'جرد فعلي'!$B$2:$B$12001,$B$2,'جرد فعلي'!$C$2:$C$12001,$A55,'جرد فعلي'!$A$2:$A$12001,'إعدادات المخزون'!$B$4),"")</f>
        <v/>
      </c>
      <c r="M55" s="108" t="str">
        <f aca="false">IF(K55="نعم",L55-J55,"")</f>
        <v/>
      </c>
      <c r="N55" s="110" t="str">
        <f aca="false">IF(K55="نعم",IF(J55=0,IF(M55=0,0,SIGN(M55)),M55/ABS(J55)),"")</f>
        <v/>
      </c>
      <c r="O55" s="107" t="str">
        <f aca="false">IF(K55="نعم",M55*C55,"")</f>
        <v/>
      </c>
      <c r="P55" s="36" t="str">
        <f aca="false">IF(K55&lt;&gt;"نعم","لم يُجرد",IF(ABS(N55)&lt;='إعدادات المخزون'!$B$7,"مطابق",IF(M55&lt;0,"عجز","زيادة")))</f>
        <v>لم يُجرد</v>
      </c>
      <c r="Q55" s="108" t="n">
        <f aca="false">J55-Z55</f>
        <v>27.526</v>
      </c>
      <c r="R55" s="108"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8" t="str">
        <f aca="false">IF(AND(K55="نعم",R55&lt;&gt;""),(L55-J55)-(R55-Q55),"")</f>
        <v/>
      </c>
      <c r="T55" s="107" t="str">
        <f aca="false">IF(S55="","",S55*C55)</f>
        <v/>
      </c>
      <c r="U55" s="108" t="n">
        <f aca="false">IF(K55="نعم",L55,J55)</f>
        <v>27.526</v>
      </c>
      <c r="V55" s="108" t="n">
        <f aca="false">SUMPRODUCT('مصفوفة الاستهلاك'!$AX$2:$AX$172,'متجهات المبيعات'!$J$2:$J$172)/'مواد المخزون'!$D$50/MAX(1,MIN('إعدادات المخزون'!$B$11,'إعدادات المخزون'!$B$4-'إعدادات المخزون'!$B$5+1))</f>
        <v>0</v>
      </c>
      <c r="W55" s="108" t="n">
        <f aca="false">IF(V55&lt;=0,0,ROUNDUP(MAX(0,V55*('إعدادات المخزون'!$B$8+'إعدادات المخزون'!$B$9+'إعدادات المخزون'!$B$10)-MAX(U55,0))/'مواد المخزون'!$F50,0)*'مواد المخزون'!$F50)</f>
        <v>0</v>
      </c>
      <c r="X55" s="107" t="n">
        <f aca="false">IF(AND(K55="نعم",O55&lt;0),-O55+ROW()*0.000000001,0)</f>
        <v>0</v>
      </c>
      <c r="Y55" s="107" t="n">
        <f aca="false">IF(AND(K55="نعم",O55&gt;0),O55+ROW()*0.000000001,0)</f>
        <v>0</v>
      </c>
      <c r="Z55" s="108"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المبيعات'!$H$2:$H$172)/'مواد المخزون'!$D$50</f>
        <v>0</v>
      </c>
      <c r="AA55" s="107" t="n">
        <f aca="false">IF(K55="نعم",O55,0)</f>
        <v>0</v>
      </c>
      <c r="AB55" s="107" t="n">
        <f aca="false">IF(K55="نعم",J55*C55,0)</f>
        <v>0</v>
      </c>
      <c r="AC55" s="107"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7" t="n">
        <f aca="false">'مواد المخزون'!E51</f>
        <v>70</v>
      </c>
      <c r="D56" s="108" t="n">
        <f aca="false">'جرد أول المدة'!E54</f>
        <v>4.3</v>
      </c>
      <c r="E56" s="108" t="n">
        <f aca="false">SUMIFS('مشتريات يومية'!$D$2:$D$4001,'مشتريات يومية'!$B$2:$B$4001,$B$2,'مشتريات يومية'!$C$2:$C$4001,$A56,'مشتريات يومية'!$A$2:$A$4001,"&gt;="&amp;'إعدادات المخزون'!$B$5,'مشتريات يومية'!$A$2:$A$4001,"&lt;="&amp;'إعدادات المخزون'!$B$4)</f>
        <v>9</v>
      </c>
      <c r="F56" s="108"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8"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8" t="n">
        <f aca="false">SUMPRODUCT('مصفوفة الاستهلاك'!$AY$2:$AY$172,'متجهات المبيعات'!$I$2:$I$172)/'مواد المخزون'!$D$51</f>
        <v>0</v>
      </c>
      <c r="I56" s="108"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8" t="n">
        <f aca="false">D56+E56+F56-G56-H56-I56</f>
        <v>13.3</v>
      </c>
      <c r="K56" s="36" t="str">
        <f aca="false">IF(COUNTIFS('جرد فعلي'!$B$2:$B$12001,$B$2,'جرد فعلي'!$C$2:$C$12001,$A56,'جرد فعلي'!$A$2:$A$12001,'إعدادات المخزون'!$B$4)&gt;0,"نعم","لا")</f>
        <v>لا</v>
      </c>
      <c r="L56" s="109" t="str">
        <f aca="false">IF(K56="نعم",SUMIFS('جرد فعلي'!$D$2:$D$12001,'جرد فعلي'!$B$2:$B$12001,$B$2,'جرد فعلي'!$C$2:$C$12001,$A56,'جرد فعلي'!$A$2:$A$12001,'إعدادات المخزون'!$B$4),"")</f>
        <v/>
      </c>
      <c r="M56" s="108" t="str">
        <f aca="false">IF(K56="نعم",L56-J56,"")</f>
        <v/>
      </c>
      <c r="N56" s="110" t="str">
        <f aca="false">IF(K56="نعم",IF(J56=0,IF(M56=0,0,SIGN(M56)),M56/ABS(J56)),"")</f>
        <v/>
      </c>
      <c r="O56" s="107" t="str">
        <f aca="false">IF(K56="نعم",M56*C56,"")</f>
        <v/>
      </c>
      <c r="P56" s="36" t="str">
        <f aca="false">IF(K56&lt;&gt;"نعم","لم يُجرد",IF(ABS(N56)&lt;='إعدادات المخزون'!$B$7,"مطابق",IF(M56&lt;0,"عجز","زيادة")))</f>
        <v>لم يُجرد</v>
      </c>
      <c r="Q56" s="108" t="n">
        <f aca="false">J56-Z56</f>
        <v>13.3</v>
      </c>
      <c r="R56" s="108"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8" t="str">
        <f aca="false">IF(AND(K56="نعم",R56&lt;&gt;""),(L56-J56)-(R56-Q56),"")</f>
        <v/>
      </c>
      <c r="T56" s="107" t="str">
        <f aca="false">IF(S56="","",S56*C56)</f>
        <v/>
      </c>
      <c r="U56" s="108" t="n">
        <f aca="false">IF(K56="نعم",L56,J56)</f>
        <v>13.3</v>
      </c>
      <c r="V56" s="108" t="n">
        <f aca="false">SUMPRODUCT('مصفوفة الاستهلاك'!$AY$2:$AY$172,'متجهات المبيعات'!$J$2:$J$172)/'مواد المخزون'!$D$51/MAX(1,MIN('إعدادات المخزون'!$B$11,'إعدادات المخزون'!$B$4-'إعدادات المخزون'!$B$5+1))</f>
        <v>0</v>
      </c>
      <c r="W56" s="108" t="n">
        <f aca="false">IF(V56&lt;=0,0,ROUNDUP(MAX(0,V56*('إعدادات المخزون'!$B$8+'إعدادات المخزون'!$B$9+'إعدادات المخزون'!$B$10)-MAX(U56,0))/'مواد المخزون'!$F51,0)*'مواد المخزون'!$F51)</f>
        <v>0</v>
      </c>
      <c r="X56" s="107" t="n">
        <f aca="false">IF(AND(K56="نعم",O56&lt;0),-O56+ROW()*0.000000001,0)</f>
        <v>0</v>
      </c>
      <c r="Y56" s="107" t="n">
        <f aca="false">IF(AND(K56="نعم",O56&gt;0),O56+ROW()*0.000000001,0)</f>
        <v>0</v>
      </c>
      <c r="Z56" s="108"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المبيعات'!$H$2:$H$172)/'مواد المخزون'!$D$51</f>
        <v>0</v>
      </c>
      <c r="AA56" s="107" t="n">
        <f aca="false">IF(K56="نعم",O56,0)</f>
        <v>0</v>
      </c>
      <c r="AB56" s="107" t="n">
        <f aca="false">IF(K56="نعم",J56*C56,0)</f>
        <v>0</v>
      </c>
      <c r="AC56" s="107"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7" t="n">
        <f aca="false">'مواد المخزون'!E52</f>
        <v>140</v>
      </c>
      <c r="D57" s="108" t="n">
        <f aca="false">'جرد أول المدة'!E55</f>
        <v>3.25</v>
      </c>
      <c r="E57" s="108" t="n">
        <f aca="false">SUMIFS('مشتريات يومية'!$D$2:$D$4001,'مشتريات يومية'!$B$2:$B$4001,$B$2,'مشتريات يومية'!$C$2:$C$4001,$A57,'مشتريات يومية'!$A$2:$A$4001,"&gt;="&amp;'إعدادات المخزون'!$B$5,'مشتريات يومية'!$A$2:$A$4001,"&lt;="&amp;'إعدادات المخزون'!$B$4)</f>
        <v>9</v>
      </c>
      <c r="F57" s="108"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8"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8" t="n">
        <f aca="false">SUMPRODUCT('مصفوفة الاستهلاك'!$AZ$2:$AZ$172,'متجهات المبيعات'!$I$2:$I$172)/'مواد المخزون'!$D$52</f>
        <v>0</v>
      </c>
      <c r="I57" s="108"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8" t="n">
        <f aca="false">D57+E57+F57-G57-H57-I57</f>
        <v>12.25</v>
      </c>
      <c r="K57" s="36" t="str">
        <f aca="false">IF(COUNTIFS('جرد فعلي'!$B$2:$B$12001,$B$2,'جرد فعلي'!$C$2:$C$12001,$A57,'جرد فعلي'!$A$2:$A$12001,'إعدادات المخزون'!$B$4)&gt;0,"نعم","لا")</f>
        <v>لا</v>
      </c>
      <c r="L57" s="109" t="str">
        <f aca="false">IF(K57="نعم",SUMIFS('جرد فعلي'!$D$2:$D$12001,'جرد فعلي'!$B$2:$B$12001,$B$2,'جرد فعلي'!$C$2:$C$12001,$A57,'جرد فعلي'!$A$2:$A$12001,'إعدادات المخزون'!$B$4),"")</f>
        <v/>
      </c>
      <c r="M57" s="108" t="str">
        <f aca="false">IF(K57="نعم",L57-J57,"")</f>
        <v/>
      </c>
      <c r="N57" s="110" t="str">
        <f aca="false">IF(K57="نعم",IF(J57=0,IF(M57=0,0,SIGN(M57)),M57/ABS(J57)),"")</f>
        <v/>
      </c>
      <c r="O57" s="107" t="str">
        <f aca="false">IF(K57="نعم",M57*C57,"")</f>
        <v/>
      </c>
      <c r="P57" s="36" t="str">
        <f aca="false">IF(K57&lt;&gt;"نعم","لم يُجرد",IF(ABS(N57)&lt;='إعدادات المخزون'!$B$7,"مطابق",IF(M57&lt;0,"عجز","زيادة")))</f>
        <v>لم يُجرد</v>
      </c>
      <c r="Q57" s="108" t="n">
        <f aca="false">J57-Z57</f>
        <v>12.25</v>
      </c>
      <c r="R57" s="108"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8" t="str">
        <f aca="false">IF(AND(K57="نعم",R57&lt;&gt;""),(L57-J57)-(R57-Q57),"")</f>
        <v/>
      </c>
      <c r="T57" s="107" t="str">
        <f aca="false">IF(S57="","",S57*C57)</f>
        <v/>
      </c>
      <c r="U57" s="108" t="n">
        <f aca="false">IF(K57="نعم",L57,J57)</f>
        <v>12.25</v>
      </c>
      <c r="V57" s="108" t="n">
        <f aca="false">SUMPRODUCT('مصفوفة الاستهلاك'!$AZ$2:$AZ$172,'متجهات المبيعات'!$J$2:$J$172)/'مواد المخزون'!$D$52/MAX(1,MIN('إعدادات المخزون'!$B$11,'إعدادات المخزون'!$B$4-'إعدادات المخزون'!$B$5+1))</f>
        <v>0</v>
      </c>
      <c r="W57" s="108" t="n">
        <f aca="false">IF(V57&lt;=0,0,ROUNDUP(MAX(0,V57*('إعدادات المخزون'!$B$8+'إعدادات المخزون'!$B$9+'إعدادات المخزون'!$B$10)-MAX(U57,0))/'مواد المخزون'!$F52,0)*'مواد المخزون'!$F52)</f>
        <v>0</v>
      </c>
      <c r="X57" s="107" t="n">
        <f aca="false">IF(AND(K57="نعم",O57&lt;0),-O57+ROW()*0.000000001,0)</f>
        <v>0</v>
      </c>
      <c r="Y57" s="107" t="n">
        <f aca="false">IF(AND(K57="نعم",O57&gt;0),O57+ROW()*0.000000001,0)</f>
        <v>0</v>
      </c>
      <c r="Z57" s="108"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المبيعات'!$H$2:$H$172)/'مواد المخزون'!$D$52</f>
        <v>0</v>
      </c>
      <c r="AA57" s="107" t="n">
        <f aca="false">IF(K57="نعم",O57,0)</f>
        <v>0</v>
      </c>
      <c r="AB57" s="107" t="n">
        <f aca="false">IF(K57="نعم",J57*C57,0)</f>
        <v>0</v>
      </c>
      <c r="AC57" s="107"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7" t="n">
        <f aca="false">'مواد المخزون'!E53</f>
        <v>105</v>
      </c>
      <c r="D58" s="108" t="n">
        <f aca="false">'جرد أول المدة'!E56</f>
        <v>5.31</v>
      </c>
      <c r="E58" s="108" t="n">
        <f aca="false">SUMIFS('مشتريات يومية'!$D$2:$D$4001,'مشتريات يومية'!$B$2:$B$4001,$B$2,'مشتريات يومية'!$C$2:$C$4001,$A58,'مشتريات يومية'!$A$2:$A$4001,"&gt;="&amp;'إعدادات المخزون'!$B$5,'مشتريات يومية'!$A$2:$A$4001,"&lt;="&amp;'إعدادات المخزون'!$B$4)</f>
        <v>15</v>
      </c>
      <c r="F58" s="108"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8"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8" t="n">
        <f aca="false">SUMPRODUCT('مصفوفة الاستهلاك'!$BA$2:$BA$172,'متجهات المبيعات'!$I$2:$I$172)/'مواد المخزون'!$D$53</f>
        <v>0</v>
      </c>
      <c r="I58" s="108"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8" t="n">
        <f aca="false">D58+E58+F58-G58-H58-I58</f>
        <v>20.31</v>
      </c>
      <c r="K58" s="36" t="str">
        <f aca="false">IF(COUNTIFS('جرد فعلي'!$B$2:$B$12001,$B$2,'جرد فعلي'!$C$2:$C$12001,$A58,'جرد فعلي'!$A$2:$A$12001,'إعدادات المخزون'!$B$4)&gt;0,"نعم","لا")</f>
        <v>لا</v>
      </c>
      <c r="L58" s="109" t="str">
        <f aca="false">IF(K58="نعم",SUMIFS('جرد فعلي'!$D$2:$D$12001,'جرد فعلي'!$B$2:$B$12001,$B$2,'جرد فعلي'!$C$2:$C$12001,$A58,'جرد فعلي'!$A$2:$A$12001,'إعدادات المخزون'!$B$4),"")</f>
        <v/>
      </c>
      <c r="M58" s="108" t="str">
        <f aca="false">IF(K58="نعم",L58-J58,"")</f>
        <v/>
      </c>
      <c r="N58" s="110" t="str">
        <f aca="false">IF(K58="نعم",IF(J58=0,IF(M58=0,0,SIGN(M58)),M58/ABS(J58)),"")</f>
        <v/>
      </c>
      <c r="O58" s="107" t="str">
        <f aca="false">IF(K58="نعم",M58*C58,"")</f>
        <v/>
      </c>
      <c r="P58" s="36" t="str">
        <f aca="false">IF(K58&lt;&gt;"نعم","لم يُجرد",IF(ABS(N58)&lt;='إعدادات المخزون'!$B$7,"مطابق",IF(M58&lt;0,"عجز","زيادة")))</f>
        <v>لم يُجرد</v>
      </c>
      <c r="Q58" s="108" t="n">
        <f aca="false">J58-Z58</f>
        <v>20.31</v>
      </c>
      <c r="R58" s="108"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8" t="str">
        <f aca="false">IF(AND(K58="نعم",R58&lt;&gt;""),(L58-J58)-(R58-Q58),"")</f>
        <v/>
      </c>
      <c r="T58" s="107" t="str">
        <f aca="false">IF(S58="","",S58*C58)</f>
        <v/>
      </c>
      <c r="U58" s="108" t="n">
        <f aca="false">IF(K58="نعم",L58,J58)</f>
        <v>20.31</v>
      </c>
      <c r="V58" s="108" t="n">
        <f aca="false">SUMPRODUCT('مصفوفة الاستهلاك'!$BA$2:$BA$172,'متجهات المبيعات'!$J$2:$J$172)/'مواد المخزون'!$D$53/MAX(1,MIN('إعدادات المخزون'!$B$11,'إعدادات المخزون'!$B$4-'إعدادات المخزون'!$B$5+1))</f>
        <v>0</v>
      </c>
      <c r="W58" s="108" t="n">
        <f aca="false">IF(V58&lt;=0,0,ROUNDUP(MAX(0,V58*('إعدادات المخزون'!$B$8+'إعدادات المخزون'!$B$9+'إعدادات المخزون'!$B$10)-MAX(U58,0))/'مواد المخزون'!$F53,0)*'مواد المخزون'!$F53)</f>
        <v>0</v>
      </c>
      <c r="X58" s="107" t="n">
        <f aca="false">IF(AND(K58="نعم",O58&lt;0),-O58+ROW()*0.000000001,0)</f>
        <v>0</v>
      </c>
      <c r="Y58" s="107" t="n">
        <f aca="false">IF(AND(K58="نعم",O58&gt;0),O58+ROW()*0.000000001,0)</f>
        <v>0</v>
      </c>
      <c r="Z58" s="108"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المبيعات'!$H$2:$H$172)/'مواد المخزون'!$D$53</f>
        <v>0</v>
      </c>
      <c r="AA58" s="107" t="n">
        <f aca="false">IF(K58="نعم",O58,0)</f>
        <v>0</v>
      </c>
      <c r="AB58" s="107" t="n">
        <f aca="false">IF(K58="نعم",J58*C58,0)</f>
        <v>0</v>
      </c>
      <c r="AC58" s="107"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7" t="n">
        <f aca="false">'مواد المخزون'!E54</f>
        <v>140</v>
      </c>
      <c r="D59" s="108" t="n">
        <f aca="false">'جرد أول المدة'!E57</f>
        <v>3.04</v>
      </c>
      <c r="E59" s="108" t="n">
        <f aca="false">SUMIFS('مشتريات يومية'!$D$2:$D$4001,'مشتريات يومية'!$B$2:$B$4001,$B$2,'مشتريات يومية'!$C$2:$C$4001,$A59,'مشتريات يومية'!$A$2:$A$4001,"&gt;="&amp;'إعدادات المخزون'!$B$5,'مشتريات يومية'!$A$2:$A$4001,"&lt;="&amp;'إعدادات المخزون'!$B$4)</f>
        <v>20</v>
      </c>
      <c r="F59" s="108"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8"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8" t="n">
        <f aca="false">SUMPRODUCT('مصفوفة الاستهلاك'!$BB$2:$BB$172,'متجهات المبيعات'!$I$2:$I$172)/'مواد المخزون'!$D$54</f>
        <v>0</v>
      </c>
      <c r="I59" s="108"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8" t="n">
        <f aca="false">D59+E59+F59-G59-H59-I59</f>
        <v>23.04</v>
      </c>
      <c r="K59" s="36" t="str">
        <f aca="false">IF(COUNTIFS('جرد فعلي'!$B$2:$B$12001,$B$2,'جرد فعلي'!$C$2:$C$12001,$A59,'جرد فعلي'!$A$2:$A$12001,'إعدادات المخزون'!$B$4)&gt;0,"نعم","لا")</f>
        <v>لا</v>
      </c>
      <c r="L59" s="109" t="str">
        <f aca="false">IF(K59="نعم",SUMIFS('جرد فعلي'!$D$2:$D$12001,'جرد فعلي'!$B$2:$B$12001,$B$2,'جرد فعلي'!$C$2:$C$12001,$A59,'جرد فعلي'!$A$2:$A$12001,'إعدادات المخزون'!$B$4),"")</f>
        <v/>
      </c>
      <c r="M59" s="108" t="str">
        <f aca="false">IF(K59="نعم",L59-J59,"")</f>
        <v/>
      </c>
      <c r="N59" s="110" t="str">
        <f aca="false">IF(K59="نعم",IF(J59=0,IF(M59=0,0,SIGN(M59)),M59/ABS(J59)),"")</f>
        <v/>
      </c>
      <c r="O59" s="107" t="str">
        <f aca="false">IF(K59="نعم",M59*C59,"")</f>
        <v/>
      </c>
      <c r="P59" s="36" t="str">
        <f aca="false">IF(K59&lt;&gt;"نعم","لم يُجرد",IF(ABS(N59)&lt;='إعدادات المخزون'!$B$7,"مطابق",IF(M59&lt;0,"عجز","زيادة")))</f>
        <v>لم يُجرد</v>
      </c>
      <c r="Q59" s="108" t="n">
        <f aca="false">J59-Z59</f>
        <v>23.04</v>
      </c>
      <c r="R59" s="108"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8" t="str">
        <f aca="false">IF(AND(K59="نعم",R59&lt;&gt;""),(L59-J59)-(R59-Q59),"")</f>
        <v/>
      </c>
      <c r="T59" s="107" t="str">
        <f aca="false">IF(S59="","",S59*C59)</f>
        <v/>
      </c>
      <c r="U59" s="108" t="n">
        <f aca="false">IF(K59="نعم",L59,J59)</f>
        <v>23.04</v>
      </c>
      <c r="V59" s="108" t="n">
        <f aca="false">SUMPRODUCT('مصفوفة الاستهلاك'!$BB$2:$BB$172,'متجهات المبيعات'!$J$2:$J$172)/'مواد المخزون'!$D$54/MAX(1,MIN('إعدادات المخزون'!$B$11,'إعدادات المخزون'!$B$4-'إعدادات المخزون'!$B$5+1))</f>
        <v>0</v>
      </c>
      <c r="W59" s="108" t="n">
        <f aca="false">IF(V59&lt;=0,0,ROUNDUP(MAX(0,V59*('إعدادات المخزون'!$B$8+'إعدادات المخزون'!$B$9+'إعدادات المخزون'!$B$10)-MAX(U59,0))/'مواد المخزون'!$F54,0)*'مواد المخزون'!$F54)</f>
        <v>0</v>
      </c>
      <c r="X59" s="107" t="n">
        <f aca="false">IF(AND(K59="نعم",O59&lt;0),-O59+ROW()*0.000000001,0)</f>
        <v>0</v>
      </c>
      <c r="Y59" s="107" t="n">
        <f aca="false">IF(AND(K59="نعم",O59&gt;0),O59+ROW()*0.000000001,0)</f>
        <v>0</v>
      </c>
      <c r="Z59" s="108"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المبيعات'!$H$2:$H$172)/'مواد المخزون'!$D$54</f>
        <v>0</v>
      </c>
      <c r="AA59" s="107" t="n">
        <f aca="false">IF(K59="نعم",O59,0)</f>
        <v>0</v>
      </c>
      <c r="AB59" s="107" t="n">
        <f aca="false">IF(K59="نعم",J59*C59,0)</f>
        <v>0</v>
      </c>
      <c r="AC59" s="107" t="n">
        <f aca="false">IF(T59="",0,T59)</f>
        <v>0</v>
      </c>
    </row>
    <row r="60" customFormat="false" ht="15" hidden="false" customHeight="false" outlineLevel="0" collapsed="false">
      <c r="A60" s="34" t="str">
        <f aca="false">'مواد المخزون'!A55</f>
        <v>طماطم</v>
      </c>
      <c r="B60" s="36" t="str">
        <f aca="false">'مواد المخزون'!B55</f>
        <v>كجم</v>
      </c>
      <c r="C60" s="107" t="n">
        <f aca="false">'مواد المخزون'!E55</f>
        <v>21</v>
      </c>
      <c r="D60" s="108" t="n">
        <f aca="false">'جرد أول المدة'!E58</f>
        <v>3.485</v>
      </c>
      <c r="E60" s="108" t="n">
        <f aca="false">SUMIFS('مشتريات يومية'!$D$2:$D$4001,'مشتريات يومية'!$B$2:$B$4001,$B$2,'مشتريات يومية'!$C$2:$C$4001,$A60,'مشتريات يومية'!$A$2:$A$4001,"&gt;="&amp;'إعدادات المخزون'!$B$5,'مشتريات يومية'!$A$2:$A$4001,"&lt;="&amp;'إعدادات المخزون'!$B$4)</f>
        <v>133</v>
      </c>
      <c r="F60" s="108"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8"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8" t="n">
        <f aca="false">SUMPRODUCT('مصفوفة الاستهلاك'!$BC$2:$BC$172,'متجهات المبيعات'!$I$2:$I$172)/'مواد المخزون'!$D$55</f>
        <v>0</v>
      </c>
      <c r="I60" s="108"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8" t="n">
        <f aca="false">D60+E60+F60-G60-H60-I60</f>
        <v>136.485</v>
      </c>
      <c r="K60" s="36" t="str">
        <f aca="false">IF(COUNTIFS('جرد فعلي'!$B$2:$B$12001,$B$2,'جرد فعلي'!$C$2:$C$12001,$A60,'جرد فعلي'!$A$2:$A$12001,'إعدادات المخزون'!$B$4)&gt;0,"نعم","لا")</f>
        <v>لا</v>
      </c>
      <c r="L60" s="109" t="str">
        <f aca="false">IF(K60="نعم",SUMIFS('جرد فعلي'!$D$2:$D$12001,'جرد فعلي'!$B$2:$B$12001,$B$2,'جرد فعلي'!$C$2:$C$12001,$A60,'جرد فعلي'!$A$2:$A$12001,'إعدادات المخزون'!$B$4),"")</f>
        <v/>
      </c>
      <c r="M60" s="108" t="str">
        <f aca="false">IF(K60="نعم",L60-J60,"")</f>
        <v/>
      </c>
      <c r="N60" s="110" t="str">
        <f aca="false">IF(K60="نعم",IF(J60=0,IF(M60=0,0,SIGN(M60)),M60/ABS(J60)),"")</f>
        <v/>
      </c>
      <c r="O60" s="107" t="str">
        <f aca="false">IF(K60="نعم",M60*C60,"")</f>
        <v/>
      </c>
      <c r="P60" s="36" t="str">
        <f aca="false">IF(K60&lt;&gt;"نعم","لم يُجرد",IF(ABS(N60)&lt;='إعدادات المخزون'!$B$7,"مطابق",IF(M60&lt;0,"عجز","زيادة")))</f>
        <v>لم يُجرد</v>
      </c>
      <c r="Q60" s="108" t="n">
        <f aca="false">J60-Z60</f>
        <v>136.485</v>
      </c>
      <c r="R60" s="108"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8" t="str">
        <f aca="false">IF(AND(K60="نعم",R60&lt;&gt;""),(L60-J60)-(R60-Q60),"")</f>
        <v/>
      </c>
      <c r="T60" s="107" t="str">
        <f aca="false">IF(S60="","",S60*C60)</f>
        <v/>
      </c>
      <c r="U60" s="108" t="n">
        <f aca="false">IF(K60="نعم",L60,J60)</f>
        <v>136.485</v>
      </c>
      <c r="V60" s="108" t="n">
        <f aca="false">SUMPRODUCT('مصفوفة الاستهلاك'!$BC$2:$BC$172,'متجهات المبيعات'!$J$2:$J$172)/'مواد المخزون'!$D$55/MAX(1,MIN('إعدادات المخزون'!$B$11,'إعدادات المخزون'!$B$4-'إعدادات المخزون'!$B$5+1))</f>
        <v>0</v>
      </c>
      <c r="W60" s="108" t="n">
        <f aca="false">IF(V60&lt;=0,0,ROUNDUP(MAX(0,V60*('إعدادات المخزون'!$B$8+'إعدادات المخزون'!$B$9+'إعدادات المخزون'!$B$10)-MAX(U60,0))/'مواد المخزون'!$F55,0)*'مواد المخزون'!$F55)</f>
        <v>0</v>
      </c>
      <c r="X60" s="107" t="n">
        <f aca="false">IF(AND(K60="نعم",O60&lt;0),-O60+ROW()*0.000000001,0)</f>
        <v>0</v>
      </c>
      <c r="Y60" s="107" t="n">
        <f aca="false">IF(AND(K60="نعم",O60&gt;0),O60+ROW()*0.000000001,0)</f>
        <v>0</v>
      </c>
      <c r="Z60" s="108"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المبيعات'!$H$2:$H$172)/'مواد المخزون'!$D$55</f>
        <v>0</v>
      </c>
      <c r="AA60" s="107" t="n">
        <f aca="false">IF(K60="نعم",O60,0)</f>
        <v>0</v>
      </c>
      <c r="AB60" s="107" t="n">
        <f aca="false">IF(K60="نعم",J60*C60,0)</f>
        <v>0</v>
      </c>
      <c r="AC60" s="107" t="n">
        <f aca="false">IF(T60="",0,T60)</f>
        <v>0</v>
      </c>
    </row>
    <row r="61" customFormat="false" ht="15" hidden="false" customHeight="false" outlineLevel="0" collapsed="false">
      <c r="A61" s="34" t="str">
        <f aca="false">'مواد المخزون'!A56</f>
        <v>عجين بيتزا</v>
      </c>
      <c r="B61" s="36" t="str">
        <f aca="false">'مواد المخزون'!B56</f>
        <v>كجم</v>
      </c>
      <c r="C61" s="107" t="n">
        <f aca="false">'مواد المخزون'!E56</f>
        <v>22</v>
      </c>
      <c r="D61" s="108" t="n">
        <f aca="false">'جرد أول المدة'!E59</f>
        <v>44.18</v>
      </c>
      <c r="E61" s="108" t="n">
        <f aca="false">SUMIFS('مشتريات يومية'!$D$2:$D$4001,'مشتريات يومية'!$B$2:$B$4001,$B$2,'مشتريات يومية'!$C$2:$C$4001,$A61,'مشتريات يومية'!$A$2:$A$4001,"&gt;="&amp;'إعدادات المخزون'!$B$5,'مشتريات يومية'!$A$2:$A$4001,"&lt;="&amp;'إعدادات المخزون'!$B$4)</f>
        <v>159.5</v>
      </c>
      <c r="F61" s="108"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8"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8" t="n">
        <f aca="false">SUMPRODUCT('مصفوفة الاستهلاك'!$BD$2:$BD$172,'متجهات المبيعات'!$I$2:$I$172)/'مواد المخزون'!$D$56</f>
        <v>0</v>
      </c>
      <c r="I61" s="108"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8" t="n">
        <f aca="false">D61+E61+F61-G61-H61-I61</f>
        <v>203.68</v>
      </c>
      <c r="K61" s="36" t="str">
        <f aca="false">IF(COUNTIFS('جرد فعلي'!$B$2:$B$12001,$B$2,'جرد فعلي'!$C$2:$C$12001,$A61,'جرد فعلي'!$A$2:$A$12001,'إعدادات المخزون'!$B$4)&gt;0,"نعم","لا")</f>
        <v>لا</v>
      </c>
      <c r="L61" s="109" t="str">
        <f aca="false">IF(K61="نعم",SUMIFS('جرد فعلي'!$D$2:$D$12001,'جرد فعلي'!$B$2:$B$12001,$B$2,'جرد فعلي'!$C$2:$C$12001,$A61,'جرد فعلي'!$A$2:$A$12001,'إعدادات المخزون'!$B$4),"")</f>
        <v/>
      </c>
      <c r="M61" s="108" t="str">
        <f aca="false">IF(K61="نعم",L61-J61,"")</f>
        <v/>
      </c>
      <c r="N61" s="110" t="str">
        <f aca="false">IF(K61="نعم",IF(J61=0,IF(M61=0,0,SIGN(M61)),M61/ABS(J61)),"")</f>
        <v/>
      </c>
      <c r="O61" s="107" t="str">
        <f aca="false">IF(K61="نعم",M61*C61,"")</f>
        <v/>
      </c>
      <c r="P61" s="36" t="str">
        <f aca="false">IF(K61&lt;&gt;"نعم","لم يُجرد",IF(ABS(N61)&lt;='إعدادات المخزون'!$B$7,"مطابق",IF(M61&lt;0,"عجز","زيادة")))</f>
        <v>لم يُجرد</v>
      </c>
      <c r="Q61" s="108" t="n">
        <f aca="false">J61-Z61</f>
        <v>203.68</v>
      </c>
      <c r="R61" s="108"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8" t="str">
        <f aca="false">IF(AND(K61="نعم",R61&lt;&gt;""),(L61-J61)-(R61-Q61),"")</f>
        <v/>
      </c>
      <c r="T61" s="107" t="str">
        <f aca="false">IF(S61="","",S61*C61)</f>
        <v/>
      </c>
      <c r="U61" s="108" t="n">
        <f aca="false">IF(K61="نعم",L61,J61)</f>
        <v>203.68</v>
      </c>
      <c r="V61" s="108" t="n">
        <f aca="false">SUMPRODUCT('مصفوفة الاستهلاك'!$BD$2:$BD$172,'متجهات المبيعات'!$J$2:$J$172)/'مواد المخزون'!$D$56/MAX(1,MIN('إعدادات المخزون'!$B$11,'إعدادات المخزون'!$B$4-'إعدادات المخزون'!$B$5+1))</f>
        <v>0</v>
      </c>
      <c r="W61" s="108" t="n">
        <f aca="false">IF(V61&lt;=0,0,ROUNDUP(MAX(0,V61*('إعدادات المخزون'!$B$8+'إعدادات المخزون'!$B$9+'إعدادات المخزون'!$B$10)-MAX(U61,0))/'مواد المخزون'!$F56,0)*'مواد المخزون'!$F56)</f>
        <v>0</v>
      </c>
      <c r="X61" s="107" t="n">
        <f aca="false">IF(AND(K61="نعم",O61&lt;0),-O61+ROW()*0.000000001,0)</f>
        <v>0</v>
      </c>
      <c r="Y61" s="107" t="n">
        <f aca="false">IF(AND(K61="نعم",O61&gt;0),O61+ROW()*0.000000001,0)</f>
        <v>0</v>
      </c>
      <c r="Z61" s="108"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المبيعات'!$H$2:$H$172)/'مواد المخزون'!$D$56</f>
        <v>0</v>
      </c>
      <c r="AA61" s="107" t="n">
        <f aca="false">IF(K61="نعم",O61,0)</f>
        <v>0</v>
      </c>
      <c r="AB61" s="107" t="n">
        <f aca="false">IF(K61="نعم",J61*C61,0)</f>
        <v>0</v>
      </c>
      <c r="AC61" s="107" t="n">
        <f aca="false">IF(T61="",0,T61)</f>
        <v>0</v>
      </c>
    </row>
    <row r="62" customFormat="false" ht="15" hidden="false" customHeight="false" outlineLevel="0" collapsed="false">
      <c r="A62" s="34" t="str">
        <f aca="false">'مواد المخزون'!A57</f>
        <v>عجين فطير</v>
      </c>
      <c r="B62" s="36" t="str">
        <f aca="false">'مواد المخزون'!B57</f>
        <v>قطعة</v>
      </c>
      <c r="C62" s="107" t="n">
        <f aca="false">'مواد المخزون'!E57</f>
        <v>4</v>
      </c>
      <c r="D62" s="108" t="n">
        <f aca="false">'جرد أول المدة'!E60</f>
        <v>109</v>
      </c>
      <c r="E62" s="108" t="n">
        <f aca="false">SUMIFS('مشتريات يومية'!$D$2:$D$4001,'مشتريات يومية'!$B$2:$B$4001,$B$2,'مشتريات يومية'!$C$2:$C$4001,$A62,'مشتريات يومية'!$A$2:$A$4001,"&gt;="&amp;'إعدادات المخزون'!$B$5,'مشتريات يومية'!$A$2:$A$4001,"&lt;="&amp;'إعدادات المخزون'!$B$4)</f>
        <v>1943</v>
      </c>
      <c r="F62" s="108"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8"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8" t="n">
        <f aca="false">SUMPRODUCT('مصفوفة الاستهلاك'!$BE$2:$BE$172,'متجهات المبيعات'!$I$2:$I$172)/'مواد المخزون'!$D$57</f>
        <v>0</v>
      </c>
      <c r="I62" s="108"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8" t="n">
        <f aca="false">D62+E62+F62-G62-H62-I62</f>
        <v>2052</v>
      </c>
      <c r="K62" s="36" t="str">
        <f aca="false">IF(COUNTIFS('جرد فعلي'!$B$2:$B$12001,$B$2,'جرد فعلي'!$C$2:$C$12001,$A62,'جرد فعلي'!$A$2:$A$12001,'إعدادات المخزون'!$B$4)&gt;0,"نعم","لا")</f>
        <v>لا</v>
      </c>
      <c r="L62" s="109" t="str">
        <f aca="false">IF(K62="نعم",SUMIFS('جرد فعلي'!$D$2:$D$12001,'جرد فعلي'!$B$2:$B$12001,$B$2,'جرد فعلي'!$C$2:$C$12001,$A62,'جرد فعلي'!$A$2:$A$12001,'إعدادات المخزون'!$B$4),"")</f>
        <v/>
      </c>
      <c r="M62" s="108" t="str">
        <f aca="false">IF(K62="نعم",L62-J62,"")</f>
        <v/>
      </c>
      <c r="N62" s="110" t="str">
        <f aca="false">IF(K62="نعم",IF(J62=0,IF(M62=0,0,SIGN(M62)),M62/ABS(J62)),"")</f>
        <v/>
      </c>
      <c r="O62" s="107" t="str">
        <f aca="false">IF(K62="نعم",M62*C62,"")</f>
        <v/>
      </c>
      <c r="P62" s="36" t="str">
        <f aca="false">IF(K62&lt;&gt;"نعم","لم يُجرد",IF(ABS(N62)&lt;='إعدادات المخزون'!$B$7,"مطابق",IF(M62&lt;0,"عجز","زيادة")))</f>
        <v>لم يُجرد</v>
      </c>
      <c r="Q62" s="108" t="n">
        <f aca="false">J62-Z62</f>
        <v>2052</v>
      </c>
      <c r="R62" s="108"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8" t="str">
        <f aca="false">IF(AND(K62="نعم",R62&lt;&gt;""),(L62-J62)-(R62-Q62),"")</f>
        <v/>
      </c>
      <c r="T62" s="107" t="str">
        <f aca="false">IF(S62="","",S62*C62)</f>
        <v/>
      </c>
      <c r="U62" s="108" t="n">
        <f aca="false">IF(K62="نعم",L62,J62)</f>
        <v>2052</v>
      </c>
      <c r="V62" s="108" t="n">
        <f aca="false">SUMPRODUCT('مصفوفة الاستهلاك'!$BE$2:$BE$172,'متجهات المبيعات'!$J$2:$J$172)/'مواد المخزون'!$D$57/MAX(1,MIN('إعدادات المخزون'!$B$11,'إعدادات المخزون'!$B$4-'إعدادات المخزون'!$B$5+1))</f>
        <v>0</v>
      </c>
      <c r="W62" s="108" t="n">
        <f aca="false">IF(V62&lt;=0,0,ROUNDUP(MAX(0,V62*('إعدادات المخزون'!$B$8+'إعدادات المخزون'!$B$9+'إعدادات المخزون'!$B$10)-MAX(U62,0))/'مواد المخزون'!$F57,0)*'مواد المخزون'!$F57)</f>
        <v>0</v>
      </c>
      <c r="X62" s="107" t="n">
        <f aca="false">IF(AND(K62="نعم",O62&lt;0),-O62+ROW()*0.000000001,0)</f>
        <v>0</v>
      </c>
      <c r="Y62" s="107" t="n">
        <f aca="false">IF(AND(K62="نعم",O62&gt;0),O62+ROW()*0.000000001,0)</f>
        <v>0</v>
      </c>
      <c r="Z62" s="108"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المبيعات'!$H$2:$H$172)/'مواد المخزون'!$D$57</f>
        <v>0</v>
      </c>
      <c r="AA62" s="107" t="n">
        <f aca="false">IF(K62="نعم",O62,0)</f>
        <v>0</v>
      </c>
      <c r="AB62" s="107" t="n">
        <f aca="false">IF(K62="نعم",J62*C62,0)</f>
        <v>0</v>
      </c>
      <c r="AC62" s="107" t="n">
        <f aca="false">IF(T62="",0,T62)</f>
        <v>0</v>
      </c>
    </row>
    <row r="63" customFormat="false" ht="15" hidden="false" customHeight="false" outlineLevel="0" collapsed="false">
      <c r="A63" s="34" t="str">
        <f aca="false">'مواد المخزون'!A58</f>
        <v>عسل ابيض</v>
      </c>
      <c r="B63" s="36" t="str">
        <f aca="false">'مواد المخزون'!B58</f>
        <v>كجم</v>
      </c>
      <c r="C63" s="107" t="n">
        <f aca="false">'مواد المخزون'!E58</f>
        <v>140</v>
      </c>
      <c r="D63" s="108" t="n">
        <f aca="false">'جرد أول المدة'!E61</f>
        <v>0.6</v>
      </c>
      <c r="E63" s="108" t="n">
        <f aca="false">SUMIFS('مشتريات يومية'!$D$2:$D$4001,'مشتريات يومية'!$B$2:$B$4001,$B$2,'مشتريات يومية'!$C$2:$C$4001,$A63,'مشتريات يومية'!$A$2:$A$4001,"&gt;="&amp;'إعدادات المخزون'!$B$5,'مشتريات يومية'!$A$2:$A$4001,"&lt;="&amp;'إعدادات المخزون'!$B$4)</f>
        <v>1</v>
      </c>
      <c r="F63" s="108"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8"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8" t="n">
        <f aca="false">SUMPRODUCT('مصفوفة الاستهلاك'!$BF$2:$BF$172,'متجهات المبيعات'!$I$2:$I$172)/'مواد المخزون'!$D$58</f>
        <v>0</v>
      </c>
      <c r="I63" s="108"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8" t="n">
        <f aca="false">D63+E63+F63-G63-H63-I63</f>
        <v>1.6</v>
      </c>
      <c r="K63" s="36" t="str">
        <f aca="false">IF(COUNTIFS('جرد فعلي'!$B$2:$B$12001,$B$2,'جرد فعلي'!$C$2:$C$12001,$A63,'جرد فعلي'!$A$2:$A$12001,'إعدادات المخزون'!$B$4)&gt;0,"نعم","لا")</f>
        <v>لا</v>
      </c>
      <c r="L63" s="109" t="str">
        <f aca="false">IF(K63="نعم",SUMIFS('جرد فعلي'!$D$2:$D$12001,'جرد فعلي'!$B$2:$B$12001,$B$2,'جرد فعلي'!$C$2:$C$12001,$A63,'جرد فعلي'!$A$2:$A$12001,'إعدادات المخزون'!$B$4),"")</f>
        <v/>
      </c>
      <c r="M63" s="108" t="str">
        <f aca="false">IF(K63="نعم",L63-J63,"")</f>
        <v/>
      </c>
      <c r="N63" s="110" t="str">
        <f aca="false">IF(K63="نعم",IF(J63=0,IF(M63=0,0,SIGN(M63)),M63/ABS(J63)),"")</f>
        <v/>
      </c>
      <c r="O63" s="107" t="str">
        <f aca="false">IF(K63="نعم",M63*C63,"")</f>
        <v/>
      </c>
      <c r="P63" s="36" t="str">
        <f aca="false">IF(K63&lt;&gt;"نعم","لم يُجرد",IF(ABS(N63)&lt;='إعدادات المخزون'!$B$7,"مطابق",IF(M63&lt;0,"عجز","زيادة")))</f>
        <v>لم يُجرد</v>
      </c>
      <c r="Q63" s="108" t="n">
        <f aca="false">J63-Z63</f>
        <v>1.6</v>
      </c>
      <c r="R63" s="108"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8" t="str">
        <f aca="false">IF(AND(K63="نعم",R63&lt;&gt;""),(L63-J63)-(R63-Q63),"")</f>
        <v/>
      </c>
      <c r="T63" s="107" t="str">
        <f aca="false">IF(S63="","",S63*C63)</f>
        <v/>
      </c>
      <c r="U63" s="108" t="n">
        <f aca="false">IF(K63="نعم",L63,J63)</f>
        <v>1.6</v>
      </c>
      <c r="V63" s="108" t="n">
        <f aca="false">SUMPRODUCT('مصفوفة الاستهلاك'!$BF$2:$BF$172,'متجهات المبيعات'!$J$2:$J$172)/'مواد المخزون'!$D$58/MAX(1,MIN('إعدادات المخزون'!$B$11,'إعدادات المخزون'!$B$4-'إعدادات المخزون'!$B$5+1))</f>
        <v>0</v>
      </c>
      <c r="W63" s="108" t="n">
        <f aca="false">IF(V63&lt;=0,0,ROUNDUP(MAX(0,V63*('إعدادات المخزون'!$B$8+'إعدادات المخزون'!$B$9+'إعدادات المخزون'!$B$10)-MAX(U63,0))/'مواد المخزون'!$F58,0)*'مواد المخزون'!$F58)</f>
        <v>0</v>
      </c>
      <c r="X63" s="107" t="n">
        <f aca="false">IF(AND(K63="نعم",O63&lt;0),-O63+ROW()*0.000000001,0)</f>
        <v>0</v>
      </c>
      <c r="Y63" s="107" t="n">
        <f aca="false">IF(AND(K63="نعم",O63&gt;0),O63+ROW()*0.000000001,0)</f>
        <v>0</v>
      </c>
      <c r="Z63" s="108"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المبيعات'!$H$2:$H$172)/'مواد المخزون'!$D$58</f>
        <v>0</v>
      </c>
      <c r="AA63" s="107" t="n">
        <f aca="false">IF(K63="نعم",O63,0)</f>
        <v>0</v>
      </c>
      <c r="AB63" s="107" t="n">
        <f aca="false">IF(K63="نعم",J63*C63,0)</f>
        <v>0</v>
      </c>
      <c r="AC63" s="107"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7" t="n">
        <f aca="false">'مواد المخزون'!E59</f>
        <v>5.5</v>
      </c>
      <c r="D64" s="108" t="n">
        <f aca="false">'جرد أول المدة'!E62</f>
        <v>996</v>
      </c>
      <c r="E64" s="108" t="n">
        <f aca="false">SUMIFS('مشتريات يومية'!$D$2:$D$4001,'مشتريات يومية'!$B$2:$B$4001,$B$2,'مشتريات يومية'!$C$2:$C$4001,$A64,'مشتريات يومية'!$A$2:$A$4001,"&gt;="&amp;'إعدادات المخزون'!$B$5,'مشتريات يومية'!$A$2:$A$4001,"&lt;="&amp;'إعدادات المخزون'!$B$4)</f>
        <v>0</v>
      </c>
      <c r="F64" s="108"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8"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8" t="n">
        <f aca="false">SUMPRODUCT('مصفوفة الاستهلاك'!$BG$2:$BG$172,'متجهات المبيعات'!$I$2:$I$172)/'مواد المخزون'!$D$59</f>
        <v>0</v>
      </c>
      <c r="I64" s="108"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8" t="n">
        <f aca="false">D64+E64+F64-G64-H64-I64</f>
        <v>996</v>
      </c>
      <c r="K64" s="36" t="str">
        <f aca="false">IF(COUNTIFS('جرد فعلي'!$B$2:$B$12001,$B$2,'جرد فعلي'!$C$2:$C$12001,$A64,'جرد فعلي'!$A$2:$A$12001,'إعدادات المخزون'!$B$4)&gt;0,"نعم","لا")</f>
        <v>لا</v>
      </c>
      <c r="L64" s="109" t="str">
        <f aca="false">IF(K64="نعم",SUMIFS('جرد فعلي'!$D$2:$D$12001,'جرد فعلي'!$B$2:$B$12001,$B$2,'جرد فعلي'!$C$2:$C$12001,$A64,'جرد فعلي'!$A$2:$A$12001,'إعدادات المخزون'!$B$4),"")</f>
        <v/>
      </c>
      <c r="M64" s="108" t="str">
        <f aca="false">IF(K64="نعم",L64-J64,"")</f>
        <v/>
      </c>
      <c r="N64" s="110" t="str">
        <f aca="false">IF(K64="نعم",IF(J64=0,IF(M64=0,0,SIGN(M64)),M64/ABS(J64)),"")</f>
        <v/>
      </c>
      <c r="O64" s="107" t="str">
        <f aca="false">IF(K64="نعم",M64*C64,"")</f>
        <v/>
      </c>
      <c r="P64" s="36" t="str">
        <f aca="false">IF(K64&lt;&gt;"نعم","لم يُجرد",IF(ABS(N64)&lt;='إعدادات المخزون'!$B$7,"مطابق",IF(M64&lt;0,"عجز","زيادة")))</f>
        <v>لم يُجرد</v>
      </c>
      <c r="Q64" s="108" t="n">
        <f aca="false">J64-Z64</f>
        <v>996</v>
      </c>
      <c r="R64" s="108"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8" t="str">
        <f aca="false">IF(AND(K64="نعم",R64&lt;&gt;""),(L64-J64)-(R64-Q64),"")</f>
        <v/>
      </c>
      <c r="T64" s="107" t="str">
        <f aca="false">IF(S64="","",S64*C64)</f>
        <v/>
      </c>
      <c r="U64" s="108" t="n">
        <f aca="false">IF(K64="نعم",L64,J64)</f>
        <v>996</v>
      </c>
      <c r="V64" s="108" t="n">
        <f aca="false">SUMPRODUCT('مصفوفة الاستهلاك'!$BG$2:$BG$172,'متجهات المبيعات'!$J$2:$J$172)/'مواد المخزون'!$D$59/MAX(1,MIN('إعدادات المخزون'!$B$11,'إعدادات المخزون'!$B$4-'إعدادات المخزون'!$B$5+1))</f>
        <v>0</v>
      </c>
      <c r="W64" s="108" t="n">
        <f aca="false">IF(V64&lt;=0,0,ROUNDUP(MAX(0,V64*('إعدادات المخزون'!$B$8+'إعدادات المخزون'!$B$9+'إعدادات المخزون'!$B$10)-MAX(U64,0))/'مواد المخزون'!$F59,0)*'مواد المخزون'!$F59)</f>
        <v>0</v>
      </c>
      <c r="X64" s="107" t="n">
        <f aca="false">IF(AND(K64="نعم",O64&lt;0),-O64+ROW()*0.000000001,0)</f>
        <v>0</v>
      </c>
      <c r="Y64" s="107" t="n">
        <f aca="false">IF(AND(K64="نعم",O64&gt;0),O64+ROW()*0.000000001,0)</f>
        <v>0</v>
      </c>
      <c r="Z64" s="108"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المبيعات'!$H$2:$H$172)/'مواد المخزون'!$D$59</f>
        <v>0</v>
      </c>
      <c r="AA64" s="107" t="n">
        <f aca="false">IF(K64="نعم",O64,0)</f>
        <v>0</v>
      </c>
      <c r="AB64" s="107" t="n">
        <f aca="false">IF(K64="نعم",J64*C64,0)</f>
        <v>0</v>
      </c>
      <c r="AC64" s="107"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7" t="n">
        <f aca="false">'مواد المخزون'!E60</f>
        <v>4.5</v>
      </c>
      <c r="D65" s="108" t="n">
        <f aca="false">'جرد أول المدة'!E63</f>
        <v>4995</v>
      </c>
      <c r="E65" s="108" t="n">
        <f aca="false">SUMIFS('مشتريات يومية'!$D$2:$D$4001,'مشتريات يومية'!$B$2:$B$4001,$B$2,'مشتريات يومية'!$C$2:$C$4001,$A65,'مشتريات يومية'!$A$2:$A$4001,"&gt;="&amp;'إعدادات المخزون'!$B$5,'مشتريات يومية'!$A$2:$A$4001,"&lt;="&amp;'إعدادات المخزون'!$B$4)</f>
        <v>0</v>
      </c>
      <c r="F65" s="108"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8"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8" t="n">
        <f aca="false">SUMPRODUCT('مصفوفة الاستهلاك'!$BH$2:$BH$172,'متجهات المبيعات'!$I$2:$I$172)/'مواد المخزون'!$D$60</f>
        <v>0</v>
      </c>
      <c r="I65" s="108"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8" t="n">
        <f aca="false">D65+E65+F65-G65-H65-I65</f>
        <v>4995</v>
      </c>
      <c r="K65" s="36" t="str">
        <f aca="false">IF(COUNTIFS('جرد فعلي'!$B$2:$B$12001,$B$2,'جرد فعلي'!$C$2:$C$12001,$A65,'جرد فعلي'!$A$2:$A$12001,'إعدادات المخزون'!$B$4)&gt;0,"نعم","لا")</f>
        <v>لا</v>
      </c>
      <c r="L65" s="109" t="str">
        <f aca="false">IF(K65="نعم",SUMIFS('جرد فعلي'!$D$2:$D$12001,'جرد فعلي'!$B$2:$B$12001,$B$2,'جرد فعلي'!$C$2:$C$12001,$A65,'جرد فعلي'!$A$2:$A$12001,'إعدادات المخزون'!$B$4),"")</f>
        <v/>
      </c>
      <c r="M65" s="108" t="str">
        <f aca="false">IF(K65="نعم",L65-J65,"")</f>
        <v/>
      </c>
      <c r="N65" s="110" t="str">
        <f aca="false">IF(K65="نعم",IF(J65=0,IF(M65=0,0,SIGN(M65)),M65/ABS(J65)),"")</f>
        <v/>
      </c>
      <c r="O65" s="107" t="str">
        <f aca="false">IF(K65="نعم",M65*C65,"")</f>
        <v/>
      </c>
      <c r="P65" s="36" t="str">
        <f aca="false">IF(K65&lt;&gt;"نعم","لم يُجرد",IF(ABS(N65)&lt;='إعدادات المخزون'!$B$7,"مطابق",IF(M65&lt;0,"عجز","زيادة")))</f>
        <v>لم يُجرد</v>
      </c>
      <c r="Q65" s="108" t="n">
        <f aca="false">J65-Z65</f>
        <v>4995</v>
      </c>
      <c r="R65" s="108"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8" t="str">
        <f aca="false">IF(AND(K65="نعم",R65&lt;&gt;""),(L65-J65)-(R65-Q65),"")</f>
        <v/>
      </c>
      <c r="T65" s="107" t="str">
        <f aca="false">IF(S65="","",S65*C65)</f>
        <v/>
      </c>
      <c r="U65" s="108" t="n">
        <f aca="false">IF(K65="نعم",L65,J65)</f>
        <v>4995</v>
      </c>
      <c r="V65" s="108" t="n">
        <f aca="false">SUMPRODUCT('مصفوفة الاستهلاك'!$BH$2:$BH$172,'متجهات المبيعات'!$J$2:$J$172)/'مواد المخزون'!$D$60/MAX(1,MIN('إعدادات المخزون'!$B$11,'إعدادات المخزون'!$B$4-'إعدادات المخزون'!$B$5+1))</f>
        <v>0</v>
      </c>
      <c r="W65" s="108" t="n">
        <f aca="false">IF(V65&lt;=0,0,ROUNDUP(MAX(0,V65*('إعدادات المخزون'!$B$8+'إعدادات المخزون'!$B$9+'إعدادات المخزون'!$B$10)-MAX(U65,0))/'مواد المخزون'!$F60,0)*'مواد المخزون'!$F60)</f>
        <v>0</v>
      </c>
      <c r="X65" s="107" t="n">
        <f aca="false">IF(AND(K65="نعم",O65&lt;0),-O65+ROW()*0.000000001,0)</f>
        <v>0</v>
      </c>
      <c r="Y65" s="107" t="n">
        <f aca="false">IF(AND(K65="نعم",O65&gt;0),O65+ROW()*0.000000001,0)</f>
        <v>0</v>
      </c>
      <c r="Z65" s="108"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المبيعات'!$H$2:$H$172)/'مواد المخزون'!$D$60</f>
        <v>0</v>
      </c>
      <c r="AA65" s="107" t="n">
        <f aca="false">IF(K65="نعم",O65,0)</f>
        <v>0</v>
      </c>
      <c r="AB65" s="107" t="n">
        <f aca="false">IF(K65="نعم",J65*C65,0)</f>
        <v>0</v>
      </c>
      <c r="AC65" s="107"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7" t="n">
        <f aca="false">'مواد المخزون'!E61</f>
        <v>1.7</v>
      </c>
      <c r="D66" s="108" t="n">
        <f aca="false">'جرد أول المدة'!E64</f>
        <v>39</v>
      </c>
      <c r="E66" s="108" t="n">
        <f aca="false">SUMIFS('مشتريات يومية'!$D$2:$D$4001,'مشتريات يومية'!$B$2:$B$4001,$B$2,'مشتريات يومية'!$C$2:$C$4001,$A66,'مشتريات يومية'!$A$2:$A$4001,"&gt;="&amp;'إعدادات المخزون'!$B$5,'مشتريات يومية'!$A$2:$A$4001,"&lt;="&amp;'إعدادات المخزون'!$B$4)</f>
        <v>50</v>
      </c>
      <c r="F66" s="108"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8"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8" t="n">
        <f aca="false">SUMPRODUCT('مصفوفة الاستهلاك'!$BI$2:$BI$172,'متجهات المبيعات'!$I$2:$I$172)/'مواد المخزون'!$D$61</f>
        <v>0</v>
      </c>
      <c r="I66" s="108"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8" t="n">
        <f aca="false">D66+E66+F66-G66-H66-I66</f>
        <v>89</v>
      </c>
      <c r="K66" s="36" t="str">
        <f aca="false">IF(COUNTIFS('جرد فعلي'!$B$2:$B$12001,$B$2,'جرد فعلي'!$C$2:$C$12001,$A66,'جرد فعلي'!$A$2:$A$12001,'إعدادات المخزون'!$B$4)&gt;0,"نعم","لا")</f>
        <v>لا</v>
      </c>
      <c r="L66" s="109" t="str">
        <f aca="false">IF(K66="نعم",SUMIFS('جرد فعلي'!$D$2:$D$12001,'جرد فعلي'!$B$2:$B$12001,$B$2,'جرد فعلي'!$C$2:$C$12001,$A66,'جرد فعلي'!$A$2:$A$12001,'إعدادات المخزون'!$B$4),"")</f>
        <v/>
      </c>
      <c r="M66" s="108" t="str">
        <f aca="false">IF(K66="نعم",L66-J66,"")</f>
        <v/>
      </c>
      <c r="N66" s="110" t="str">
        <f aca="false">IF(K66="نعم",IF(J66=0,IF(M66=0,0,SIGN(M66)),M66/ABS(J66)),"")</f>
        <v/>
      </c>
      <c r="O66" s="107" t="str">
        <f aca="false">IF(K66="نعم",M66*C66,"")</f>
        <v/>
      </c>
      <c r="P66" s="36" t="str">
        <f aca="false">IF(K66&lt;&gt;"نعم","لم يُجرد",IF(ABS(N66)&lt;='إعدادات المخزون'!$B$7,"مطابق",IF(M66&lt;0,"عجز","زيادة")))</f>
        <v>لم يُجرد</v>
      </c>
      <c r="Q66" s="108" t="n">
        <f aca="false">J66-Z66</f>
        <v>89</v>
      </c>
      <c r="R66" s="108"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8" t="str">
        <f aca="false">IF(AND(K66="نعم",R66&lt;&gt;""),(L66-J66)-(R66-Q66),"")</f>
        <v/>
      </c>
      <c r="T66" s="107" t="str">
        <f aca="false">IF(S66="","",S66*C66)</f>
        <v/>
      </c>
      <c r="U66" s="108" t="n">
        <f aca="false">IF(K66="نعم",L66,J66)</f>
        <v>89</v>
      </c>
      <c r="V66" s="108" t="n">
        <f aca="false">SUMPRODUCT('مصفوفة الاستهلاك'!$BI$2:$BI$172,'متجهات المبيعات'!$J$2:$J$172)/'مواد المخزون'!$D$61/MAX(1,MIN('إعدادات المخزون'!$B$11,'إعدادات المخزون'!$B$4-'إعدادات المخزون'!$B$5+1))</f>
        <v>0</v>
      </c>
      <c r="W66" s="108" t="n">
        <f aca="false">IF(V66&lt;=0,0,ROUNDUP(MAX(0,V66*('إعدادات المخزون'!$B$8+'إعدادات المخزون'!$B$9+'إعدادات المخزون'!$B$10)-MAX(U66,0))/'مواد المخزون'!$F61,0)*'مواد المخزون'!$F61)</f>
        <v>0</v>
      </c>
      <c r="X66" s="107" t="n">
        <f aca="false">IF(AND(K66="نعم",O66&lt;0),-O66+ROW()*0.000000001,0)</f>
        <v>0</v>
      </c>
      <c r="Y66" s="107" t="n">
        <f aca="false">IF(AND(K66="نعم",O66&gt;0),O66+ROW()*0.000000001,0)</f>
        <v>0</v>
      </c>
      <c r="Z66" s="108"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المبيعات'!$H$2:$H$172)/'مواد المخزون'!$D$61</f>
        <v>0</v>
      </c>
      <c r="AA66" s="107" t="n">
        <f aca="false">IF(K66="نعم",O66,0)</f>
        <v>0</v>
      </c>
      <c r="AB66" s="107" t="n">
        <f aca="false">IF(K66="نعم",J66*C66,0)</f>
        <v>0</v>
      </c>
      <c r="AC66" s="107"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7" t="n">
        <f aca="false">'مواد المخزون'!E62</f>
        <v>2</v>
      </c>
      <c r="D67" s="108" t="n">
        <f aca="false">'جرد أول المدة'!E65</f>
        <v>87</v>
      </c>
      <c r="E67" s="108" t="n">
        <f aca="false">SUMIFS('مشتريات يومية'!$D$2:$D$4001,'مشتريات يومية'!$B$2:$B$4001,$B$2,'مشتريات يومية'!$C$2:$C$4001,$A67,'مشتريات يومية'!$A$2:$A$4001,"&gt;="&amp;'إعدادات المخزون'!$B$5,'مشتريات يومية'!$A$2:$A$4001,"&lt;="&amp;'إعدادات المخزون'!$B$4)</f>
        <v>0</v>
      </c>
      <c r="F67" s="108"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8"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8" t="n">
        <f aca="false">SUMPRODUCT('مصفوفة الاستهلاك'!$BJ$2:$BJ$172,'متجهات المبيعات'!$I$2:$I$172)/'مواد المخزون'!$D$62</f>
        <v>0</v>
      </c>
      <c r="I67" s="108"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8" t="n">
        <f aca="false">D67+E67+F67-G67-H67-I67</f>
        <v>87</v>
      </c>
      <c r="K67" s="36" t="str">
        <f aca="false">IF(COUNTIFS('جرد فعلي'!$B$2:$B$12001,$B$2,'جرد فعلي'!$C$2:$C$12001,$A67,'جرد فعلي'!$A$2:$A$12001,'إعدادات المخزون'!$B$4)&gt;0,"نعم","لا")</f>
        <v>لا</v>
      </c>
      <c r="L67" s="109" t="str">
        <f aca="false">IF(K67="نعم",SUMIFS('جرد فعلي'!$D$2:$D$12001,'جرد فعلي'!$B$2:$B$12001,$B$2,'جرد فعلي'!$C$2:$C$12001,$A67,'جرد فعلي'!$A$2:$A$12001,'إعدادات المخزون'!$B$4),"")</f>
        <v/>
      </c>
      <c r="M67" s="108" t="str">
        <f aca="false">IF(K67="نعم",L67-J67,"")</f>
        <v/>
      </c>
      <c r="N67" s="110" t="str">
        <f aca="false">IF(K67="نعم",IF(J67=0,IF(M67=0,0,SIGN(M67)),M67/ABS(J67)),"")</f>
        <v/>
      </c>
      <c r="O67" s="107" t="str">
        <f aca="false">IF(K67="نعم",M67*C67,"")</f>
        <v/>
      </c>
      <c r="P67" s="36" t="str">
        <f aca="false">IF(K67&lt;&gt;"نعم","لم يُجرد",IF(ABS(N67)&lt;='إعدادات المخزون'!$B$7,"مطابق",IF(M67&lt;0,"عجز","زيادة")))</f>
        <v>لم يُجرد</v>
      </c>
      <c r="Q67" s="108" t="n">
        <f aca="false">J67-Z67</f>
        <v>87</v>
      </c>
      <c r="R67" s="108"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8" t="str">
        <f aca="false">IF(AND(K67="نعم",R67&lt;&gt;""),(L67-J67)-(R67-Q67),"")</f>
        <v/>
      </c>
      <c r="T67" s="107" t="str">
        <f aca="false">IF(S67="","",S67*C67)</f>
        <v/>
      </c>
      <c r="U67" s="108" t="n">
        <f aca="false">IF(K67="نعم",L67,J67)</f>
        <v>87</v>
      </c>
      <c r="V67" s="108" t="n">
        <f aca="false">SUMPRODUCT('مصفوفة الاستهلاك'!$BJ$2:$BJ$172,'متجهات المبيعات'!$J$2:$J$172)/'مواد المخزون'!$D$62/MAX(1,MIN('إعدادات المخزون'!$B$11,'إعدادات المخزون'!$B$4-'إعدادات المخزون'!$B$5+1))</f>
        <v>0</v>
      </c>
      <c r="W67" s="108" t="n">
        <f aca="false">IF(V67&lt;=0,0,ROUNDUP(MAX(0,V67*('إعدادات المخزون'!$B$8+'إعدادات المخزون'!$B$9+'إعدادات المخزون'!$B$10)-MAX(U67,0))/'مواد المخزون'!$F62,0)*'مواد المخزون'!$F62)</f>
        <v>0</v>
      </c>
      <c r="X67" s="107" t="n">
        <f aca="false">IF(AND(K67="نعم",O67&lt;0),-O67+ROW()*0.000000001,0)</f>
        <v>0</v>
      </c>
      <c r="Y67" s="107" t="n">
        <f aca="false">IF(AND(K67="نعم",O67&gt;0),O67+ROW()*0.000000001,0)</f>
        <v>0</v>
      </c>
      <c r="Z67" s="108"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المبيعات'!$H$2:$H$172)/'مواد المخزون'!$D$62</f>
        <v>0</v>
      </c>
      <c r="AA67" s="107" t="n">
        <f aca="false">IF(K67="نعم",O67,0)</f>
        <v>0</v>
      </c>
      <c r="AB67" s="107" t="n">
        <f aca="false">IF(K67="نعم",J67*C67,0)</f>
        <v>0</v>
      </c>
      <c r="AC67" s="107"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7" t="n">
        <f aca="false">'مواد المخزون'!E63</f>
        <v>3.1</v>
      </c>
      <c r="D68" s="108" t="n">
        <f aca="false">'جرد أول المدة'!E66</f>
        <v>99</v>
      </c>
      <c r="E68" s="108" t="n">
        <f aca="false">SUMIFS('مشتريات يومية'!$D$2:$D$4001,'مشتريات يومية'!$B$2:$B$4001,$B$2,'مشتريات يومية'!$C$2:$C$4001,$A68,'مشتريات يومية'!$A$2:$A$4001,"&gt;="&amp;'إعدادات المخزون'!$B$5,'مشتريات يومية'!$A$2:$A$4001,"&lt;="&amp;'إعدادات المخزون'!$B$4)</f>
        <v>50</v>
      </c>
      <c r="F68" s="108"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8"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8" t="n">
        <f aca="false">SUMPRODUCT('مصفوفة الاستهلاك'!$BK$2:$BK$172,'متجهات المبيعات'!$I$2:$I$172)/'مواد المخزون'!$D$63</f>
        <v>0</v>
      </c>
      <c r="I68" s="108"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8" t="n">
        <f aca="false">D68+E68+F68-G68-H68-I68</f>
        <v>149</v>
      </c>
      <c r="K68" s="36" t="str">
        <f aca="false">IF(COUNTIFS('جرد فعلي'!$B$2:$B$12001,$B$2,'جرد فعلي'!$C$2:$C$12001,$A68,'جرد فعلي'!$A$2:$A$12001,'إعدادات المخزون'!$B$4)&gt;0,"نعم","لا")</f>
        <v>لا</v>
      </c>
      <c r="L68" s="109" t="str">
        <f aca="false">IF(K68="نعم",SUMIFS('جرد فعلي'!$D$2:$D$12001,'جرد فعلي'!$B$2:$B$12001,$B$2,'جرد فعلي'!$C$2:$C$12001,$A68,'جرد فعلي'!$A$2:$A$12001,'إعدادات المخزون'!$B$4),"")</f>
        <v/>
      </c>
      <c r="M68" s="108" t="str">
        <f aca="false">IF(K68="نعم",L68-J68,"")</f>
        <v/>
      </c>
      <c r="N68" s="110" t="str">
        <f aca="false">IF(K68="نعم",IF(J68=0,IF(M68=0,0,SIGN(M68)),M68/ABS(J68)),"")</f>
        <v/>
      </c>
      <c r="O68" s="107" t="str">
        <f aca="false">IF(K68="نعم",M68*C68,"")</f>
        <v/>
      </c>
      <c r="P68" s="36" t="str">
        <f aca="false">IF(K68&lt;&gt;"نعم","لم يُجرد",IF(ABS(N68)&lt;='إعدادات المخزون'!$B$7,"مطابق",IF(M68&lt;0,"عجز","زيادة")))</f>
        <v>لم يُجرد</v>
      </c>
      <c r="Q68" s="108" t="n">
        <f aca="false">J68-Z68</f>
        <v>149</v>
      </c>
      <c r="R68" s="108"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8" t="str">
        <f aca="false">IF(AND(K68="نعم",R68&lt;&gt;""),(L68-J68)-(R68-Q68),"")</f>
        <v/>
      </c>
      <c r="T68" s="107" t="str">
        <f aca="false">IF(S68="","",S68*C68)</f>
        <v/>
      </c>
      <c r="U68" s="108" t="n">
        <f aca="false">IF(K68="نعم",L68,J68)</f>
        <v>149</v>
      </c>
      <c r="V68" s="108" t="n">
        <f aca="false">SUMPRODUCT('مصفوفة الاستهلاك'!$BK$2:$BK$172,'متجهات المبيعات'!$J$2:$J$172)/'مواد المخزون'!$D$63/MAX(1,MIN('إعدادات المخزون'!$B$11,'إعدادات المخزون'!$B$4-'إعدادات المخزون'!$B$5+1))</f>
        <v>0</v>
      </c>
      <c r="W68" s="108" t="n">
        <f aca="false">IF(V68&lt;=0,0,ROUNDUP(MAX(0,V68*('إعدادات المخزون'!$B$8+'إعدادات المخزون'!$B$9+'إعدادات المخزون'!$B$10)-MAX(U68,0))/'مواد المخزون'!$F63,0)*'مواد المخزون'!$F63)</f>
        <v>0</v>
      </c>
      <c r="X68" s="107" t="n">
        <f aca="false">IF(AND(K68="نعم",O68&lt;0),-O68+ROW()*0.000000001,0)</f>
        <v>0</v>
      </c>
      <c r="Y68" s="107" t="n">
        <f aca="false">IF(AND(K68="نعم",O68&gt;0),O68+ROW()*0.000000001,0)</f>
        <v>0</v>
      </c>
      <c r="Z68" s="108"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المبيعات'!$H$2:$H$172)/'مواد المخزون'!$D$63</f>
        <v>0</v>
      </c>
      <c r="AA68" s="107" t="n">
        <f aca="false">IF(K68="نعم",O68,0)</f>
        <v>0</v>
      </c>
      <c r="AB68" s="107" t="n">
        <f aca="false">IF(K68="نعم",J68*C68,0)</f>
        <v>0</v>
      </c>
      <c r="AC68" s="107"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7" t="n">
        <f aca="false">'مواد المخزون'!E64</f>
        <v>42.03</v>
      </c>
      <c r="D69" s="108" t="n">
        <f aca="false">'جرد أول المدة'!E67</f>
        <v>6</v>
      </c>
      <c r="E69" s="108" t="n">
        <f aca="false">SUMIFS('مشتريات يومية'!$D$2:$D$4001,'مشتريات يومية'!$B$2:$B$4001,$B$2,'مشتريات يومية'!$C$2:$C$4001,$A69,'مشتريات يومية'!$A$2:$A$4001,"&gt;="&amp;'إعدادات المخزون'!$B$5,'مشتريات يومية'!$A$2:$A$4001,"&lt;="&amp;'إعدادات المخزون'!$B$4)</f>
        <v>0</v>
      </c>
      <c r="F69" s="108"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8"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8" t="n">
        <f aca="false">SUMPRODUCT('مصفوفة الاستهلاك'!$BL$2:$BL$172,'متجهات المبيعات'!$I$2:$I$172)/'مواد المخزون'!$D$64</f>
        <v>0</v>
      </c>
      <c r="I69" s="108"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8" t="n">
        <f aca="false">D69+E69+F69-G69-H69-I69</f>
        <v>6</v>
      </c>
      <c r="K69" s="36" t="str">
        <f aca="false">IF(COUNTIFS('جرد فعلي'!$B$2:$B$12001,$B$2,'جرد فعلي'!$C$2:$C$12001,$A69,'جرد فعلي'!$A$2:$A$12001,'إعدادات المخزون'!$B$4)&gt;0,"نعم","لا")</f>
        <v>لا</v>
      </c>
      <c r="L69" s="109" t="str">
        <f aca="false">IF(K69="نعم",SUMIFS('جرد فعلي'!$D$2:$D$12001,'جرد فعلي'!$B$2:$B$12001,$B$2,'جرد فعلي'!$C$2:$C$12001,$A69,'جرد فعلي'!$A$2:$A$12001,'إعدادات المخزون'!$B$4),"")</f>
        <v/>
      </c>
      <c r="M69" s="108" t="str">
        <f aca="false">IF(K69="نعم",L69-J69,"")</f>
        <v/>
      </c>
      <c r="N69" s="110" t="str">
        <f aca="false">IF(K69="نعم",IF(J69=0,IF(M69=0,0,SIGN(M69)),M69/ABS(J69)),"")</f>
        <v/>
      </c>
      <c r="O69" s="107" t="str">
        <f aca="false">IF(K69="نعم",M69*C69,"")</f>
        <v/>
      </c>
      <c r="P69" s="36" t="str">
        <f aca="false">IF(K69&lt;&gt;"نعم","لم يُجرد",IF(ABS(N69)&lt;='إعدادات المخزون'!$B$7,"مطابق",IF(M69&lt;0,"عجز","زيادة")))</f>
        <v>لم يُجرد</v>
      </c>
      <c r="Q69" s="108" t="n">
        <f aca="false">J69-Z69</f>
        <v>6</v>
      </c>
      <c r="R69" s="108"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8" t="str">
        <f aca="false">IF(AND(K69="نعم",R69&lt;&gt;""),(L69-J69)-(R69-Q69),"")</f>
        <v/>
      </c>
      <c r="T69" s="107" t="str">
        <f aca="false">IF(S69="","",S69*C69)</f>
        <v/>
      </c>
      <c r="U69" s="108" t="n">
        <f aca="false">IF(K69="نعم",L69,J69)</f>
        <v>6</v>
      </c>
      <c r="V69" s="108" t="n">
        <f aca="false">SUMPRODUCT('مصفوفة الاستهلاك'!$BL$2:$BL$172,'متجهات المبيعات'!$J$2:$J$172)/'مواد المخزون'!$D$64/MAX(1,MIN('إعدادات المخزون'!$B$11,'إعدادات المخزون'!$B$4-'إعدادات المخزون'!$B$5+1))</f>
        <v>0</v>
      </c>
      <c r="W69" s="108" t="n">
        <f aca="false">IF(V69&lt;=0,0,ROUNDUP(MAX(0,V69*('إعدادات المخزون'!$B$8+'إعدادات المخزون'!$B$9+'إعدادات المخزون'!$B$10)-MAX(U69,0))/'مواد المخزون'!$F64,0)*'مواد المخزون'!$F64)</f>
        <v>0</v>
      </c>
      <c r="X69" s="107" t="n">
        <f aca="false">IF(AND(K69="نعم",O69&lt;0),-O69+ROW()*0.000000001,0)</f>
        <v>0</v>
      </c>
      <c r="Y69" s="107" t="n">
        <f aca="false">IF(AND(K69="نعم",O69&gt;0),O69+ROW()*0.000000001,0)</f>
        <v>0</v>
      </c>
      <c r="Z69" s="108"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المبيعات'!$H$2:$H$172)/'مواد المخزون'!$D$64</f>
        <v>0</v>
      </c>
      <c r="AA69" s="107" t="n">
        <f aca="false">IF(K69="نعم",O69,0)</f>
        <v>0</v>
      </c>
      <c r="AB69" s="107" t="n">
        <f aca="false">IF(K69="نعم",J69*C69,0)</f>
        <v>0</v>
      </c>
      <c r="AC69" s="107"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7" t="n">
        <f aca="false">'مواد المخزون'!E65</f>
        <v>150</v>
      </c>
      <c r="D70" s="108" t="n">
        <f aca="false">'جرد أول المدة'!E68</f>
        <v>0</v>
      </c>
      <c r="E70" s="108" t="n">
        <f aca="false">SUMIFS('مشتريات يومية'!$D$2:$D$4001,'مشتريات يومية'!$B$2:$B$4001,$B$2,'مشتريات يومية'!$C$2:$C$4001,$A70,'مشتريات يومية'!$A$2:$A$4001,"&gt;="&amp;'إعدادات المخزون'!$B$5,'مشتريات يومية'!$A$2:$A$4001,"&lt;="&amp;'إعدادات المخزون'!$B$4)</f>
        <v>0</v>
      </c>
      <c r="F70" s="108"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8"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8" t="n">
        <f aca="false">SUMPRODUCT('مصفوفة الاستهلاك'!$BM$2:$BM$172,'متجهات المبيعات'!$I$2:$I$172)/'مواد المخزون'!$D$65</f>
        <v>0</v>
      </c>
      <c r="I70" s="108"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8" t="n">
        <f aca="false">D70+E70+F70-G70-H70-I70</f>
        <v>0</v>
      </c>
      <c r="K70" s="36" t="str">
        <f aca="false">IF(COUNTIFS('جرد فعلي'!$B$2:$B$12001,$B$2,'جرد فعلي'!$C$2:$C$12001,$A70,'جرد فعلي'!$A$2:$A$12001,'إعدادات المخزون'!$B$4)&gt;0,"نعم","لا")</f>
        <v>لا</v>
      </c>
      <c r="L70" s="109" t="str">
        <f aca="false">IF(K70="نعم",SUMIFS('جرد فعلي'!$D$2:$D$12001,'جرد فعلي'!$B$2:$B$12001,$B$2,'جرد فعلي'!$C$2:$C$12001,$A70,'جرد فعلي'!$A$2:$A$12001,'إعدادات المخزون'!$B$4),"")</f>
        <v/>
      </c>
      <c r="M70" s="108" t="str">
        <f aca="false">IF(K70="نعم",L70-J70,"")</f>
        <v/>
      </c>
      <c r="N70" s="110" t="str">
        <f aca="false">IF(K70="نعم",IF(J70=0,IF(M70=0,0,SIGN(M70)),M70/ABS(J70)),"")</f>
        <v/>
      </c>
      <c r="O70" s="107" t="str">
        <f aca="false">IF(K70="نعم",M70*C70,"")</f>
        <v/>
      </c>
      <c r="P70" s="36" t="str">
        <f aca="false">IF(K70&lt;&gt;"نعم","لم يُجرد",IF(ABS(N70)&lt;='إعدادات المخزون'!$B$7,"مطابق",IF(M70&lt;0,"عجز","زيادة")))</f>
        <v>لم يُجرد</v>
      </c>
      <c r="Q70" s="108" t="n">
        <f aca="false">J70-Z70</f>
        <v>0</v>
      </c>
      <c r="R70" s="108"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8" t="str">
        <f aca="false">IF(AND(K70="نعم",R70&lt;&gt;""),(L70-J70)-(R70-Q70),"")</f>
        <v/>
      </c>
      <c r="T70" s="107" t="str">
        <f aca="false">IF(S70="","",S70*C70)</f>
        <v/>
      </c>
      <c r="U70" s="108" t="n">
        <f aca="false">IF(K70="نعم",L70,J70)</f>
        <v>0</v>
      </c>
      <c r="V70" s="108" t="n">
        <f aca="false">SUMPRODUCT('مصفوفة الاستهلاك'!$BM$2:$BM$172,'متجهات المبيعات'!$J$2:$J$172)/'مواد المخزون'!$D$65/MAX(1,MIN('إعدادات المخزون'!$B$11,'إعدادات المخزون'!$B$4-'إعدادات المخزون'!$B$5+1))</f>
        <v>0</v>
      </c>
      <c r="W70" s="108" t="n">
        <f aca="false">IF(V70&lt;=0,0,ROUNDUP(MAX(0,V70*('إعدادات المخزون'!$B$8+'إعدادات المخزون'!$B$9+'إعدادات المخزون'!$B$10)-MAX(U70,0))/'مواد المخزون'!$F65,0)*'مواد المخزون'!$F65)</f>
        <v>0</v>
      </c>
      <c r="X70" s="107" t="n">
        <f aca="false">IF(AND(K70="نعم",O70&lt;0),-O70+ROW()*0.000000001,0)</f>
        <v>0</v>
      </c>
      <c r="Y70" s="107" t="n">
        <f aca="false">IF(AND(K70="نعم",O70&gt;0),O70+ROW()*0.000000001,0)</f>
        <v>0</v>
      </c>
      <c r="Z70" s="108"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المبيعات'!$H$2:$H$172)/'مواد المخزون'!$D$65</f>
        <v>0</v>
      </c>
      <c r="AA70" s="107" t="n">
        <f aca="false">IF(K70="نعم",O70,0)</f>
        <v>0</v>
      </c>
      <c r="AB70" s="107" t="n">
        <f aca="false">IF(K70="نعم",J70*C70,0)</f>
        <v>0</v>
      </c>
      <c r="AC70" s="107" t="n">
        <f aca="false">IF(T70="",0,T70)</f>
        <v>0</v>
      </c>
    </row>
    <row r="71" customFormat="false" ht="15" hidden="false" customHeight="false" outlineLevel="0" collapsed="false">
      <c r="A71" s="34" t="str">
        <f aca="false">'مواد المخزون'!A66</f>
        <v>فلفل كوبي</v>
      </c>
      <c r="B71" s="36" t="str">
        <f aca="false">'مواد المخزون'!B66</f>
        <v>كجم</v>
      </c>
      <c r="C71" s="107" t="n">
        <f aca="false">'مواد المخزون'!E66</f>
        <v>27</v>
      </c>
      <c r="D71" s="108" t="n">
        <f aca="false">'جرد أول المدة'!E69</f>
        <v>2.8</v>
      </c>
      <c r="E71" s="108" t="n">
        <f aca="false">SUMIFS('مشتريات يومية'!$D$2:$D$4001,'مشتريات يومية'!$B$2:$B$4001,$B$2,'مشتريات يومية'!$C$2:$C$4001,$A71,'مشتريات يومية'!$A$2:$A$4001,"&gt;="&amp;'إعدادات المخزون'!$B$5,'مشتريات يومية'!$A$2:$A$4001,"&lt;="&amp;'إعدادات المخزون'!$B$4)</f>
        <v>74.5</v>
      </c>
      <c r="F71" s="108"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8"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8" t="n">
        <f aca="false">SUMPRODUCT('مصفوفة الاستهلاك'!$BN$2:$BN$172,'متجهات المبيعات'!$I$2:$I$172)/'مواد المخزون'!$D$66</f>
        <v>0</v>
      </c>
      <c r="I71" s="108"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8" t="n">
        <f aca="false">D71+E71+F71-G71-H71-I71</f>
        <v>77.3</v>
      </c>
      <c r="K71" s="36" t="str">
        <f aca="false">IF(COUNTIFS('جرد فعلي'!$B$2:$B$12001,$B$2,'جرد فعلي'!$C$2:$C$12001,$A71,'جرد فعلي'!$A$2:$A$12001,'إعدادات المخزون'!$B$4)&gt;0,"نعم","لا")</f>
        <v>لا</v>
      </c>
      <c r="L71" s="109" t="str">
        <f aca="false">IF(K71="نعم",SUMIFS('جرد فعلي'!$D$2:$D$12001,'جرد فعلي'!$B$2:$B$12001,$B$2,'جرد فعلي'!$C$2:$C$12001,$A71,'جرد فعلي'!$A$2:$A$12001,'إعدادات المخزون'!$B$4),"")</f>
        <v/>
      </c>
      <c r="M71" s="108" t="str">
        <f aca="false">IF(K71="نعم",L71-J71,"")</f>
        <v/>
      </c>
      <c r="N71" s="110" t="str">
        <f aca="false">IF(K71="نعم",IF(J71=0,IF(M71=0,0,SIGN(M71)),M71/ABS(J71)),"")</f>
        <v/>
      </c>
      <c r="O71" s="107" t="str">
        <f aca="false">IF(K71="نعم",M71*C71,"")</f>
        <v/>
      </c>
      <c r="P71" s="36" t="str">
        <f aca="false">IF(K71&lt;&gt;"نعم","لم يُجرد",IF(ABS(N71)&lt;='إعدادات المخزون'!$B$7,"مطابق",IF(M71&lt;0,"عجز","زيادة")))</f>
        <v>لم يُجرد</v>
      </c>
      <c r="Q71" s="108" t="n">
        <f aca="false">J71-Z71</f>
        <v>77.3</v>
      </c>
      <c r="R71" s="108"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8" t="str">
        <f aca="false">IF(AND(K71="نعم",R71&lt;&gt;""),(L71-J71)-(R71-Q71),"")</f>
        <v/>
      </c>
      <c r="T71" s="107" t="str">
        <f aca="false">IF(S71="","",S71*C71)</f>
        <v/>
      </c>
      <c r="U71" s="108" t="n">
        <f aca="false">IF(K71="نعم",L71,J71)</f>
        <v>77.3</v>
      </c>
      <c r="V71" s="108" t="n">
        <f aca="false">SUMPRODUCT('مصفوفة الاستهلاك'!$BN$2:$BN$172,'متجهات المبيعات'!$J$2:$J$172)/'مواد المخزون'!$D$66/MAX(1,MIN('إعدادات المخزون'!$B$11,'إعدادات المخزون'!$B$4-'إعدادات المخزون'!$B$5+1))</f>
        <v>0</v>
      </c>
      <c r="W71" s="108" t="n">
        <f aca="false">IF(V71&lt;=0,0,ROUNDUP(MAX(0,V71*('إعدادات المخزون'!$B$8+'إعدادات المخزون'!$B$9+'إعدادات المخزون'!$B$10)-MAX(U71,0))/'مواد المخزون'!$F66,0)*'مواد المخزون'!$F66)</f>
        <v>0</v>
      </c>
      <c r="X71" s="107" t="n">
        <f aca="false">IF(AND(K71="نعم",O71&lt;0),-O71+ROW()*0.000000001,0)</f>
        <v>0</v>
      </c>
      <c r="Y71" s="107" t="n">
        <f aca="false">IF(AND(K71="نعم",O71&gt;0),O71+ROW()*0.000000001,0)</f>
        <v>0</v>
      </c>
      <c r="Z71" s="108"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المبيعات'!$H$2:$H$172)/'مواد المخزون'!$D$66</f>
        <v>0</v>
      </c>
      <c r="AA71" s="107" t="n">
        <f aca="false">IF(K71="نعم",O71,0)</f>
        <v>0</v>
      </c>
      <c r="AB71" s="107" t="n">
        <f aca="false">IF(K71="نعم",J71*C71,0)</f>
        <v>0</v>
      </c>
      <c r="AC71" s="107"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7" t="n">
        <f aca="false">'مواد المخزون'!E67</f>
        <v>7</v>
      </c>
      <c r="D72" s="108" t="n">
        <f aca="false">'جرد أول المدة'!E70</f>
        <v>85</v>
      </c>
      <c r="E72" s="108" t="n">
        <f aca="false">SUMIFS('مشتريات يومية'!$D$2:$D$4001,'مشتريات يومية'!$B$2:$B$4001,$B$2,'مشتريات يومية'!$C$2:$C$4001,$A72,'مشتريات يومية'!$A$2:$A$4001,"&gt;="&amp;'إعدادات المخزون'!$B$5,'مشتريات يومية'!$A$2:$A$4001,"&lt;="&amp;'إعدادات المخزون'!$B$4)</f>
        <v>576</v>
      </c>
      <c r="F72" s="108"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8"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8" t="n">
        <f aca="false">SUMPRODUCT('مصفوفة الاستهلاك'!$BO$2:$BO$172,'متجهات المبيعات'!$I$2:$I$172)/'مواد المخزون'!$D$67</f>
        <v>0</v>
      </c>
      <c r="I72" s="108"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8" t="n">
        <f aca="false">D72+E72+F72-G72-H72-I72</f>
        <v>661</v>
      </c>
      <c r="K72" s="36" t="str">
        <f aca="false">IF(COUNTIFS('جرد فعلي'!$B$2:$B$12001,$B$2,'جرد فعلي'!$C$2:$C$12001,$A72,'جرد فعلي'!$A$2:$A$12001,'إعدادات المخزون'!$B$4)&gt;0,"نعم","لا")</f>
        <v>لا</v>
      </c>
      <c r="L72" s="109" t="str">
        <f aca="false">IF(K72="نعم",SUMIFS('جرد فعلي'!$D$2:$D$12001,'جرد فعلي'!$B$2:$B$12001,$B$2,'جرد فعلي'!$C$2:$C$12001,$A72,'جرد فعلي'!$A$2:$A$12001,'إعدادات المخزون'!$B$4),"")</f>
        <v/>
      </c>
      <c r="M72" s="108" t="str">
        <f aca="false">IF(K72="نعم",L72-J72,"")</f>
        <v/>
      </c>
      <c r="N72" s="110" t="str">
        <f aca="false">IF(K72="نعم",IF(J72=0,IF(M72=0,0,SIGN(M72)),M72/ABS(J72)),"")</f>
        <v/>
      </c>
      <c r="O72" s="107" t="str">
        <f aca="false">IF(K72="نعم",M72*C72,"")</f>
        <v/>
      </c>
      <c r="P72" s="36" t="str">
        <f aca="false">IF(K72&lt;&gt;"نعم","لم يُجرد",IF(ABS(N72)&lt;='إعدادات المخزون'!$B$7,"مطابق",IF(M72&lt;0,"عجز","زيادة")))</f>
        <v>لم يُجرد</v>
      </c>
      <c r="Q72" s="108" t="n">
        <f aca="false">J72-Z72</f>
        <v>661</v>
      </c>
      <c r="R72" s="108"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8" t="str">
        <f aca="false">IF(AND(K72="نعم",R72&lt;&gt;""),(L72-J72)-(R72-Q72),"")</f>
        <v/>
      </c>
      <c r="T72" s="107" t="str">
        <f aca="false">IF(S72="","",S72*C72)</f>
        <v/>
      </c>
      <c r="U72" s="108" t="n">
        <f aca="false">IF(K72="نعم",L72,J72)</f>
        <v>661</v>
      </c>
      <c r="V72" s="108" t="n">
        <f aca="false">SUMPRODUCT('مصفوفة الاستهلاك'!$BO$2:$BO$172,'متجهات المبيعات'!$J$2:$J$172)/'مواد المخزون'!$D$67/MAX(1,MIN('إعدادات المخزون'!$B$11,'إعدادات المخزون'!$B$4-'إعدادات المخزون'!$B$5+1))</f>
        <v>0</v>
      </c>
      <c r="W72" s="108" t="n">
        <f aca="false">IF(V72&lt;=0,0,ROUNDUP(MAX(0,V72*('إعدادات المخزون'!$B$8+'إعدادات المخزون'!$B$9+'إعدادات المخزون'!$B$10)-MAX(U72,0))/'مواد المخزون'!$F67,0)*'مواد المخزون'!$F67)</f>
        <v>0</v>
      </c>
      <c r="X72" s="107" t="n">
        <f aca="false">IF(AND(K72="نعم",O72&lt;0),-O72+ROW()*0.000000001,0)</f>
        <v>0</v>
      </c>
      <c r="Y72" s="107" t="n">
        <f aca="false">IF(AND(K72="نعم",O72&gt;0),O72+ROW()*0.000000001,0)</f>
        <v>0</v>
      </c>
      <c r="Z72" s="108"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المبيعات'!$H$2:$H$172)/'مواد المخزون'!$D$67</f>
        <v>0</v>
      </c>
      <c r="AA72" s="107" t="n">
        <f aca="false">IF(K72="نعم",O72,0)</f>
        <v>0</v>
      </c>
      <c r="AB72" s="107" t="n">
        <f aca="false">IF(K72="نعم",J72*C72,0)</f>
        <v>0</v>
      </c>
      <c r="AC72" s="107" t="n">
        <f aca="false">IF(T72="",0,T72)</f>
        <v>0</v>
      </c>
    </row>
    <row r="73" customFormat="false" ht="15" hidden="false" customHeight="false" outlineLevel="0" collapsed="false">
      <c r="A73" s="34" t="str">
        <f aca="false">'مواد المخزون'!A68</f>
        <v>كاتشب ظرف</v>
      </c>
      <c r="B73" s="36" t="str">
        <f aca="false">'مواد المخزون'!B68</f>
        <v>قطعة</v>
      </c>
      <c r="C73" s="107" t="n">
        <f aca="false">'مواد المخزون'!E68</f>
        <v>0.3</v>
      </c>
      <c r="D73" s="108" t="n">
        <f aca="false">'جرد أول المدة'!E71</f>
        <v>3577</v>
      </c>
      <c r="E73" s="108" t="n">
        <f aca="false">SUMIFS('مشتريات يومية'!$D$2:$D$4001,'مشتريات يومية'!$B$2:$B$4001,$B$2,'مشتريات يومية'!$C$2:$C$4001,$A73,'مشتريات يومية'!$A$2:$A$4001,"&gt;="&amp;'إعدادات المخزون'!$B$5,'مشتريات يومية'!$A$2:$A$4001,"&lt;="&amp;'إعدادات المخزون'!$B$4)</f>
        <v>4000</v>
      </c>
      <c r="F73" s="108"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8"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8" t="n">
        <f aca="false">SUMPRODUCT('مصفوفة الاستهلاك'!$BP$2:$BP$172,'متجهات المبيعات'!$I$2:$I$172)/'مواد المخزون'!$D$68</f>
        <v>0</v>
      </c>
      <c r="I73" s="108"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8" t="n">
        <f aca="false">D73+E73+F73-G73-H73-I73</f>
        <v>7577</v>
      </c>
      <c r="K73" s="36" t="str">
        <f aca="false">IF(COUNTIFS('جرد فعلي'!$B$2:$B$12001,$B$2,'جرد فعلي'!$C$2:$C$12001,$A73,'جرد فعلي'!$A$2:$A$12001,'إعدادات المخزون'!$B$4)&gt;0,"نعم","لا")</f>
        <v>لا</v>
      </c>
      <c r="L73" s="109" t="str">
        <f aca="false">IF(K73="نعم",SUMIFS('جرد فعلي'!$D$2:$D$12001,'جرد فعلي'!$B$2:$B$12001,$B$2,'جرد فعلي'!$C$2:$C$12001,$A73,'جرد فعلي'!$A$2:$A$12001,'إعدادات المخزون'!$B$4),"")</f>
        <v/>
      </c>
      <c r="M73" s="108" t="str">
        <f aca="false">IF(K73="نعم",L73-J73,"")</f>
        <v/>
      </c>
      <c r="N73" s="110" t="str">
        <f aca="false">IF(K73="نعم",IF(J73=0,IF(M73=0,0,SIGN(M73)),M73/ABS(J73)),"")</f>
        <v/>
      </c>
      <c r="O73" s="107" t="str">
        <f aca="false">IF(K73="نعم",M73*C73,"")</f>
        <v/>
      </c>
      <c r="P73" s="36" t="str">
        <f aca="false">IF(K73&lt;&gt;"نعم","لم يُجرد",IF(ABS(N73)&lt;='إعدادات المخزون'!$B$7,"مطابق",IF(M73&lt;0,"عجز","زيادة")))</f>
        <v>لم يُجرد</v>
      </c>
      <c r="Q73" s="108" t="n">
        <f aca="false">J73-Z73</f>
        <v>7577</v>
      </c>
      <c r="R73" s="108"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8" t="str">
        <f aca="false">IF(AND(K73="نعم",R73&lt;&gt;""),(L73-J73)-(R73-Q73),"")</f>
        <v/>
      </c>
      <c r="T73" s="107" t="str">
        <f aca="false">IF(S73="","",S73*C73)</f>
        <v/>
      </c>
      <c r="U73" s="108" t="n">
        <f aca="false">IF(K73="نعم",L73,J73)</f>
        <v>7577</v>
      </c>
      <c r="V73" s="108" t="n">
        <f aca="false">SUMPRODUCT('مصفوفة الاستهلاك'!$BP$2:$BP$172,'متجهات المبيعات'!$J$2:$J$172)/'مواد المخزون'!$D$68/MAX(1,MIN('إعدادات المخزون'!$B$11,'إعدادات المخزون'!$B$4-'إعدادات المخزون'!$B$5+1))</f>
        <v>0</v>
      </c>
      <c r="W73" s="108" t="n">
        <f aca="false">IF(V73&lt;=0,0,ROUNDUP(MAX(0,V73*('إعدادات المخزون'!$B$8+'إعدادات المخزون'!$B$9+'إعدادات المخزون'!$B$10)-MAX(U73,0))/'مواد المخزون'!$F68,0)*'مواد المخزون'!$F68)</f>
        <v>0</v>
      </c>
      <c r="X73" s="107" t="n">
        <f aca="false">IF(AND(K73="نعم",O73&lt;0),-O73+ROW()*0.000000001,0)</f>
        <v>0</v>
      </c>
      <c r="Y73" s="107" t="n">
        <f aca="false">IF(AND(K73="نعم",O73&gt;0),O73+ROW()*0.000000001,0)</f>
        <v>0</v>
      </c>
      <c r="Z73" s="108"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المبيعات'!$H$2:$H$172)/'مواد المخزون'!$D$68</f>
        <v>0</v>
      </c>
      <c r="AA73" s="107" t="n">
        <f aca="false">IF(K73="نعم",O73,0)</f>
        <v>0</v>
      </c>
      <c r="AB73" s="107" t="n">
        <f aca="false">IF(K73="نعم",J73*C73,0)</f>
        <v>0</v>
      </c>
      <c r="AC73" s="107" t="n">
        <f aca="false">IF(T73="",0,T73)</f>
        <v>0</v>
      </c>
    </row>
    <row r="74" customFormat="false" ht="15" hidden="false" customHeight="false" outlineLevel="0" collapsed="false">
      <c r="A74" s="34" t="str">
        <f aca="false">'مواد المخزون'!A69</f>
        <v>كاستر بودر</v>
      </c>
      <c r="B74" s="36" t="str">
        <f aca="false">'مواد المخزون'!B69</f>
        <v>كجم</v>
      </c>
      <c r="C74" s="107" t="n">
        <f aca="false">'مواد المخزون'!E69</f>
        <v>90</v>
      </c>
      <c r="D74" s="108" t="n">
        <f aca="false">'جرد أول المدة'!E72</f>
        <v>7.3</v>
      </c>
      <c r="E74" s="108" t="n">
        <f aca="false">SUMIFS('مشتريات يومية'!$D$2:$D$4001,'مشتريات يومية'!$B$2:$B$4001,$B$2,'مشتريات يومية'!$C$2:$C$4001,$A74,'مشتريات يومية'!$A$2:$A$4001,"&gt;="&amp;'إعدادات المخزون'!$B$5,'مشتريات يومية'!$A$2:$A$4001,"&lt;="&amp;'إعدادات المخزون'!$B$4)</f>
        <v>7.2</v>
      </c>
      <c r="F74" s="108"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8"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8" t="n">
        <f aca="false">SUMPRODUCT('مصفوفة الاستهلاك'!$BQ$2:$BQ$172,'متجهات المبيعات'!$I$2:$I$172)/'مواد المخزون'!$D$69</f>
        <v>0</v>
      </c>
      <c r="I74" s="108"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8" t="n">
        <f aca="false">D74+E74+F74-G74-H74-I74</f>
        <v>14.5</v>
      </c>
      <c r="K74" s="36" t="str">
        <f aca="false">IF(COUNTIFS('جرد فعلي'!$B$2:$B$12001,$B$2,'جرد فعلي'!$C$2:$C$12001,$A74,'جرد فعلي'!$A$2:$A$12001,'إعدادات المخزون'!$B$4)&gt;0,"نعم","لا")</f>
        <v>لا</v>
      </c>
      <c r="L74" s="109" t="str">
        <f aca="false">IF(K74="نعم",SUMIFS('جرد فعلي'!$D$2:$D$12001,'جرد فعلي'!$B$2:$B$12001,$B$2,'جرد فعلي'!$C$2:$C$12001,$A74,'جرد فعلي'!$A$2:$A$12001,'إعدادات المخزون'!$B$4),"")</f>
        <v/>
      </c>
      <c r="M74" s="108" t="str">
        <f aca="false">IF(K74="نعم",L74-J74,"")</f>
        <v/>
      </c>
      <c r="N74" s="110" t="str">
        <f aca="false">IF(K74="نعم",IF(J74=0,IF(M74=0,0,SIGN(M74)),M74/ABS(J74)),"")</f>
        <v/>
      </c>
      <c r="O74" s="107" t="str">
        <f aca="false">IF(K74="نعم",M74*C74,"")</f>
        <v/>
      </c>
      <c r="P74" s="36" t="str">
        <f aca="false">IF(K74&lt;&gt;"نعم","لم يُجرد",IF(ABS(N74)&lt;='إعدادات المخزون'!$B$7,"مطابق",IF(M74&lt;0,"عجز","زيادة")))</f>
        <v>لم يُجرد</v>
      </c>
      <c r="Q74" s="108" t="n">
        <f aca="false">J74-Z74</f>
        <v>14.5</v>
      </c>
      <c r="R74" s="108"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8" t="str">
        <f aca="false">IF(AND(K74="نعم",R74&lt;&gt;""),(L74-J74)-(R74-Q74),"")</f>
        <v/>
      </c>
      <c r="T74" s="107" t="str">
        <f aca="false">IF(S74="","",S74*C74)</f>
        <v/>
      </c>
      <c r="U74" s="108" t="n">
        <f aca="false">IF(K74="نعم",L74,J74)</f>
        <v>14.5</v>
      </c>
      <c r="V74" s="108" t="n">
        <f aca="false">SUMPRODUCT('مصفوفة الاستهلاك'!$BQ$2:$BQ$172,'متجهات المبيعات'!$J$2:$J$172)/'مواد المخزون'!$D$69/MAX(1,MIN('إعدادات المخزون'!$B$11,'إعدادات المخزون'!$B$4-'إعدادات المخزون'!$B$5+1))</f>
        <v>0</v>
      </c>
      <c r="W74" s="108" t="n">
        <f aca="false">IF(V74&lt;=0,0,ROUNDUP(MAX(0,V74*('إعدادات المخزون'!$B$8+'إعدادات المخزون'!$B$9+'إعدادات المخزون'!$B$10)-MAX(U74,0))/'مواد المخزون'!$F69,0)*'مواد المخزون'!$F69)</f>
        <v>0</v>
      </c>
      <c r="X74" s="107" t="n">
        <f aca="false">IF(AND(K74="نعم",O74&lt;0),-O74+ROW()*0.000000001,0)</f>
        <v>0</v>
      </c>
      <c r="Y74" s="107" t="n">
        <f aca="false">IF(AND(K74="نعم",O74&gt;0),O74+ROW()*0.000000001,0)</f>
        <v>0</v>
      </c>
      <c r="Z74" s="108"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المبيعات'!$H$2:$H$172)/'مواد المخزون'!$D$69</f>
        <v>0</v>
      </c>
      <c r="AA74" s="107" t="n">
        <f aca="false">IF(K74="نعم",O74,0)</f>
        <v>0</v>
      </c>
      <c r="AB74" s="107" t="n">
        <f aca="false">IF(K74="نعم",J74*C74,0)</f>
        <v>0</v>
      </c>
      <c r="AC74" s="107"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7" t="n">
        <f aca="false">'مواد المخزون'!E70</f>
        <v>0.5</v>
      </c>
      <c r="D75" s="108" t="n">
        <f aca="false">'جرد أول المدة'!E73</f>
        <v>1661</v>
      </c>
      <c r="E75" s="108" t="n">
        <f aca="false">SUMIFS('مشتريات يومية'!$D$2:$D$4001,'مشتريات يومية'!$B$2:$B$4001,$B$2,'مشتريات يومية'!$C$2:$C$4001,$A75,'مشتريات يومية'!$A$2:$A$4001,"&gt;="&amp;'إعدادات المخزون'!$B$5,'مشتريات يومية'!$A$2:$A$4001,"&lt;="&amp;'إعدادات المخزون'!$B$4)</f>
        <v>3300</v>
      </c>
      <c r="F75" s="108"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8"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8" t="n">
        <f aca="false">SUMPRODUCT('مصفوفة الاستهلاك'!$BR$2:$BR$172,'متجهات المبيعات'!$I$2:$I$172)/'مواد المخزون'!$D$70</f>
        <v>0</v>
      </c>
      <c r="I75" s="108"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8" t="n">
        <f aca="false">D75+E75+F75-G75-H75-I75</f>
        <v>4961</v>
      </c>
      <c r="K75" s="36" t="str">
        <f aca="false">IF(COUNTIFS('جرد فعلي'!$B$2:$B$12001,$B$2,'جرد فعلي'!$C$2:$C$12001,$A75,'جرد فعلي'!$A$2:$A$12001,'إعدادات المخزون'!$B$4)&gt;0,"نعم","لا")</f>
        <v>لا</v>
      </c>
      <c r="L75" s="109" t="str">
        <f aca="false">IF(K75="نعم",SUMIFS('جرد فعلي'!$D$2:$D$12001,'جرد فعلي'!$B$2:$B$12001,$B$2,'جرد فعلي'!$C$2:$C$12001,$A75,'جرد فعلي'!$A$2:$A$12001,'إعدادات المخزون'!$B$4),"")</f>
        <v/>
      </c>
      <c r="M75" s="108" t="str">
        <f aca="false">IF(K75="نعم",L75-J75,"")</f>
        <v/>
      </c>
      <c r="N75" s="110" t="str">
        <f aca="false">IF(K75="نعم",IF(J75=0,IF(M75=0,0,SIGN(M75)),M75/ABS(J75)),"")</f>
        <v/>
      </c>
      <c r="O75" s="107" t="str">
        <f aca="false">IF(K75="نعم",M75*C75,"")</f>
        <v/>
      </c>
      <c r="P75" s="36" t="str">
        <f aca="false">IF(K75&lt;&gt;"نعم","لم يُجرد",IF(ABS(N75)&lt;='إعدادات المخزون'!$B$7,"مطابق",IF(M75&lt;0,"عجز","زيادة")))</f>
        <v>لم يُجرد</v>
      </c>
      <c r="Q75" s="108" t="n">
        <f aca="false">J75-Z75</f>
        <v>4961</v>
      </c>
      <c r="R75" s="108"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8" t="str">
        <f aca="false">IF(AND(K75="نعم",R75&lt;&gt;""),(L75-J75)-(R75-Q75),"")</f>
        <v/>
      </c>
      <c r="T75" s="107" t="str">
        <f aca="false">IF(S75="","",S75*C75)</f>
        <v/>
      </c>
      <c r="U75" s="108" t="n">
        <f aca="false">IF(K75="نعم",L75,J75)</f>
        <v>4961</v>
      </c>
      <c r="V75" s="108" t="n">
        <f aca="false">SUMPRODUCT('مصفوفة الاستهلاك'!$BR$2:$BR$172,'متجهات المبيعات'!$J$2:$J$172)/'مواد المخزون'!$D$70/MAX(1,MIN('إعدادات المخزون'!$B$11,'إعدادات المخزون'!$B$4-'إعدادات المخزون'!$B$5+1))</f>
        <v>0</v>
      </c>
      <c r="W75" s="108" t="n">
        <f aca="false">IF(V75&lt;=0,0,ROUNDUP(MAX(0,V75*('إعدادات المخزون'!$B$8+'إعدادات المخزون'!$B$9+'إعدادات المخزون'!$B$10)-MAX(U75,0))/'مواد المخزون'!$F70,0)*'مواد المخزون'!$F70)</f>
        <v>0</v>
      </c>
      <c r="X75" s="107" t="n">
        <f aca="false">IF(AND(K75="نعم",O75&lt;0),-O75+ROW()*0.000000001,0)</f>
        <v>0</v>
      </c>
      <c r="Y75" s="107" t="n">
        <f aca="false">IF(AND(K75="نعم",O75&gt;0),O75+ROW()*0.000000001,0)</f>
        <v>0</v>
      </c>
      <c r="Z75" s="108"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المبيعات'!$H$2:$H$172)/'مواد المخزون'!$D$70</f>
        <v>0</v>
      </c>
      <c r="AA75" s="107" t="n">
        <f aca="false">IF(K75="نعم",O75,0)</f>
        <v>0</v>
      </c>
      <c r="AB75" s="107" t="n">
        <f aca="false">IF(K75="نعم",J75*C75,0)</f>
        <v>0</v>
      </c>
      <c r="AC75" s="107" t="n">
        <f aca="false">IF(T75="",0,T75)</f>
        <v>0</v>
      </c>
    </row>
    <row r="76" customFormat="false" ht="15" hidden="false" customHeight="false" outlineLevel="0" collapsed="false">
      <c r="A76" s="34" t="str">
        <f aca="false">'مواد المخزون'!A71</f>
        <v>كريز احمر</v>
      </c>
      <c r="B76" s="36" t="str">
        <f aca="false">'مواد المخزون'!B71</f>
        <v>كجم</v>
      </c>
      <c r="C76" s="107" t="n">
        <f aca="false">'مواد المخزون'!E71</f>
        <v>420</v>
      </c>
      <c r="D76" s="108" t="n">
        <f aca="false">'جرد أول المدة'!E74</f>
        <v>1.8</v>
      </c>
      <c r="E76" s="108" t="n">
        <f aca="false">SUMIFS('مشتريات يومية'!$D$2:$D$4001,'مشتريات يومية'!$B$2:$B$4001,$B$2,'مشتريات يومية'!$C$2:$C$4001,$A76,'مشتريات يومية'!$A$2:$A$4001,"&gt;="&amp;'إعدادات المخزون'!$B$5,'مشتريات يومية'!$A$2:$A$4001,"&lt;="&amp;'إعدادات المخزون'!$B$4)</f>
        <v>0</v>
      </c>
      <c r="F76" s="108"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8"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8" t="n">
        <f aca="false">SUMPRODUCT('مصفوفة الاستهلاك'!$BS$2:$BS$172,'متجهات المبيعات'!$I$2:$I$172)/'مواد المخزون'!$D$71</f>
        <v>0</v>
      </c>
      <c r="I76" s="108"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8" t="n">
        <f aca="false">D76+E76+F76-G76-H76-I76</f>
        <v>1.8</v>
      </c>
      <c r="K76" s="36" t="str">
        <f aca="false">IF(COUNTIFS('جرد فعلي'!$B$2:$B$12001,$B$2,'جرد فعلي'!$C$2:$C$12001,$A76,'جرد فعلي'!$A$2:$A$12001,'إعدادات المخزون'!$B$4)&gt;0,"نعم","لا")</f>
        <v>لا</v>
      </c>
      <c r="L76" s="109" t="str">
        <f aca="false">IF(K76="نعم",SUMIFS('جرد فعلي'!$D$2:$D$12001,'جرد فعلي'!$B$2:$B$12001,$B$2,'جرد فعلي'!$C$2:$C$12001,$A76,'جرد فعلي'!$A$2:$A$12001,'إعدادات المخزون'!$B$4),"")</f>
        <v/>
      </c>
      <c r="M76" s="108" t="str">
        <f aca="false">IF(K76="نعم",L76-J76,"")</f>
        <v/>
      </c>
      <c r="N76" s="110" t="str">
        <f aca="false">IF(K76="نعم",IF(J76=0,IF(M76=0,0,SIGN(M76)),M76/ABS(J76)),"")</f>
        <v/>
      </c>
      <c r="O76" s="107" t="str">
        <f aca="false">IF(K76="نعم",M76*C76,"")</f>
        <v/>
      </c>
      <c r="P76" s="36" t="str">
        <f aca="false">IF(K76&lt;&gt;"نعم","لم يُجرد",IF(ABS(N76)&lt;='إعدادات المخزون'!$B$7,"مطابق",IF(M76&lt;0,"عجز","زيادة")))</f>
        <v>لم يُجرد</v>
      </c>
      <c r="Q76" s="108" t="n">
        <f aca="false">J76-Z76</f>
        <v>1.8</v>
      </c>
      <c r="R76" s="108"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8" t="str">
        <f aca="false">IF(AND(K76="نعم",R76&lt;&gt;""),(L76-J76)-(R76-Q76),"")</f>
        <v/>
      </c>
      <c r="T76" s="107" t="str">
        <f aca="false">IF(S76="","",S76*C76)</f>
        <v/>
      </c>
      <c r="U76" s="108" t="n">
        <f aca="false">IF(K76="نعم",L76,J76)</f>
        <v>1.8</v>
      </c>
      <c r="V76" s="108" t="n">
        <f aca="false">SUMPRODUCT('مصفوفة الاستهلاك'!$BS$2:$BS$172,'متجهات المبيعات'!$J$2:$J$172)/'مواد المخزون'!$D$71/MAX(1,MIN('إعدادات المخزون'!$B$11,'إعدادات المخزون'!$B$4-'إعدادات المخزون'!$B$5+1))</f>
        <v>0</v>
      </c>
      <c r="W76" s="108" t="n">
        <f aca="false">IF(V76&lt;=0,0,ROUNDUP(MAX(0,V76*('إعدادات المخزون'!$B$8+'إعدادات المخزون'!$B$9+'إعدادات المخزون'!$B$10)-MAX(U76,0))/'مواد المخزون'!$F71,0)*'مواد المخزون'!$F71)</f>
        <v>0</v>
      </c>
      <c r="X76" s="107" t="n">
        <f aca="false">IF(AND(K76="نعم",O76&lt;0),-O76+ROW()*0.000000001,0)</f>
        <v>0</v>
      </c>
      <c r="Y76" s="107" t="n">
        <f aca="false">IF(AND(K76="نعم",O76&gt;0),O76+ROW()*0.000000001,0)</f>
        <v>0</v>
      </c>
      <c r="Z76" s="108"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المبيعات'!$H$2:$H$172)/'مواد المخزون'!$D$71</f>
        <v>0</v>
      </c>
      <c r="AA76" s="107" t="n">
        <f aca="false">IF(K76="نعم",O76,0)</f>
        <v>0</v>
      </c>
      <c r="AB76" s="107" t="n">
        <f aca="false">IF(K76="نعم",J76*C76,0)</f>
        <v>0</v>
      </c>
      <c r="AC76" s="107"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7" t="n">
        <f aca="false">'مواد المخزون'!E72</f>
        <v>2</v>
      </c>
      <c r="D77" s="108" t="n">
        <f aca="false">'جرد أول المدة'!E75</f>
        <v>74</v>
      </c>
      <c r="E77" s="108" t="n">
        <f aca="false">SUMIFS('مشتريات يومية'!$D$2:$D$4001,'مشتريات يومية'!$B$2:$B$4001,$B$2,'مشتريات يومية'!$C$2:$C$4001,$A77,'مشتريات يومية'!$A$2:$A$4001,"&gt;="&amp;'إعدادات المخزون'!$B$5,'مشتريات يومية'!$A$2:$A$4001,"&lt;="&amp;'إعدادات المخزون'!$B$4)</f>
        <v>400</v>
      </c>
      <c r="F77" s="108"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8"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8" t="n">
        <f aca="false">SUMPRODUCT('مصفوفة الاستهلاك'!$BT$2:$BT$172,'متجهات المبيعات'!$I$2:$I$172)/'مواد المخزون'!$D$72</f>
        <v>0</v>
      </c>
      <c r="I77" s="108"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8" t="n">
        <f aca="false">D77+E77+F77-G77-H77-I77</f>
        <v>474</v>
      </c>
      <c r="K77" s="36" t="str">
        <f aca="false">IF(COUNTIFS('جرد فعلي'!$B$2:$B$12001,$B$2,'جرد فعلي'!$C$2:$C$12001,$A77,'جرد فعلي'!$A$2:$A$12001,'إعدادات المخزون'!$B$4)&gt;0,"نعم","لا")</f>
        <v>لا</v>
      </c>
      <c r="L77" s="109" t="str">
        <f aca="false">IF(K77="نعم",SUMIFS('جرد فعلي'!$D$2:$D$12001,'جرد فعلي'!$B$2:$B$12001,$B$2,'جرد فعلي'!$C$2:$C$12001,$A77,'جرد فعلي'!$A$2:$A$12001,'إعدادات المخزون'!$B$4),"")</f>
        <v/>
      </c>
      <c r="M77" s="108" t="str">
        <f aca="false">IF(K77="نعم",L77-J77,"")</f>
        <v/>
      </c>
      <c r="N77" s="110" t="str">
        <f aca="false">IF(K77="نعم",IF(J77=0,IF(M77=0,0,SIGN(M77)),M77/ABS(J77)),"")</f>
        <v/>
      </c>
      <c r="O77" s="107" t="str">
        <f aca="false">IF(K77="نعم",M77*C77,"")</f>
        <v/>
      </c>
      <c r="P77" s="36" t="str">
        <f aca="false">IF(K77&lt;&gt;"نعم","لم يُجرد",IF(ABS(N77)&lt;='إعدادات المخزون'!$B$7,"مطابق",IF(M77&lt;0,"عجز","زيادة")))</f>
        <v>لم يُجرد</v>
      </c>
      <c r="Q77" s="108" t="n">
        <f aca="false">J77-Z77</f>
        <v>474</v>
      </c>
      <c r="R77" s="108"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8" t="str">
        <f aca="false">IF(AND(K77="نعم",R77&lt;&gt;""),(L77-J77)-(R77-Q77),"")</f>
        <v/>
      </c>
      <c r="T77" s="107" t="str">
        <f aca="false">IF(S77="","",S77*C77)</f>
        <v/>
      </c>
      <c r="U77" s="108" t="n">
        <f aca="false">IF(K77="نعم",L77,J77)</f>
        <v>474</v>
      </c>
      <c r="V77" s="108" t="n">
        <f aca="false">SUMPRODUCT('مصفوفة الاستهلاك'!$BT$2:$BT$172,'متجهات المبيعات'!$J$2:$J$172)/'مواد المخزون'!$D$72/MAX(1,MIN('إعدادات المخزون'!$B$11,'إعدادات المخزون'!$B$4-'إعدادات المخزون'!$B$5+1))</f>
        <v>0</v>
      </c>
      <c r="W77" s="108" t="n">
        <f aca="false">IF(V77&lt;=0,0,ROUNDUP(MAX(0,V77*('إعدادات المخزون'!$B$8+'إعدادات المخزون'!$B$9+'إعدادات المخزون'!$B$10)-MAX(U77,0))/'مواد المخزون'!$F72,0)*'مواد المخزون'!$F72)</f>
        <v>0</v>
      </c>
      <c r="X77" s="107" t="n">
        <f aca="false">IF(AND(K77="نعم",O77&lt;0),-O77+ROW()*0.000000001,0)</f>
        <v>0</v>
      </c>
      <c r="Y77" s="107" t="n">
        <f aca="false">IF(AND(K77="نعم",O77&gt;0),O77+ROW()*0.000000001,0)</f>
        <v>0</v>
      </c>
      <c r="Z77" s="108"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المبيعات'!$H$2:$H$172)/'مواد المخزون'!$D$72</f>
        <v>0</v>
      </c>
      <c r="AA77" s="107" t="n">
        <f aca="false">IF(K77="نعم",O77,0)</f>
        <v>0</v>
      </c>
      <c r="AB77" s="107" t="n">
        <f aca="false">IF(K77="نعم",J77*C77,0)</f>
        <v>0</v>
      </c>
      <c r="AC77" s="107" t="n">
        <f aca="false">IF(T77="",0,T77)</f>
        <v>0</v>
      </c>
    </row>
    <row r="78" customFormat="false" ht="15" hidden="false" customHeight="false" outlineLevel="0" collapsed="false">
      <c r="A78" s="34" t="str">
        <f aca="false">'مواد المخزون'!A73</f>
        <v>لبن</v>
      </c>
      <c r="B78" s="36" t="str">
        <f aca="false">'مواد المخزون'!B73</f>
        <v>لتر</v>
      </c>
      <c r="C78" s="107" t="n">
        <f aca="false">'مواد المخزون'!E73</f>
        <v>20.6667</v>
      </c>
      <c r="D78" s="108" t="n">
        <f aca="false">'جرد أول المدة'!E76</f>
        <v>9.068</v>
      </c>
      <c r="E78" s="108" t="n">
        <f aca="false">SUMIFS('مشتريات يومية'!$D$2:$D$4001,'مشتريات يومية'!$B$2:$B$4001,$B$2,'مشتريات يومية'!$C$2:$C$4001,$A78,'مشتريات يومية'!$A$2:$A$4001,"&gt;="&amp;'إعدادات المخزون'!$B$5,'مشتريات يومية'!$A$2:$A$4001,"&lt;="&amp;'إعدادات المخزون'!$B$4)</f>
        <v>100</v>
      </c>
      <c r="F78" s="108"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8"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8" t="n">
        <f aca="false">SUMPRODUCT('مصفوفة الاستهلاك'!$BU$2:$BU$172,'متجهات المبيعات'!$I$2:$I$172)/'مواد المخزون'!$D$73</f>
        <v>0</v>
      </c>
      <c r="I78" s="108"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8" t="n">
        <f aca="false">D78+E78+F78-G78-H78-I78</f>
        <v>109.068</v>
      </c>
      <c r="K78" s="36" t="str">
        <f aca="false">IF(COUNTIFS('جرد فعلي'!$B$2:$B$12001,$B$2,'جرد فعلي'!$C$2:$C$12001,$A78,'جرد فعلي'!$A$2:$A$12001,'إعدادات المخزون'!$B$4)&gt;0,"نعم","لا")</f>
        <v>لا</v>
      </c>
      <c r="L78" s="109" t="str">
        <f aca="false">IF(K78="نعم",SUMIFS('جرد فعلي'!$D$2:$D$12001,'جرد فعلي'!$B$2:$B$12001,$B$2,'جرد فعلي'!$C$2:$C$12001,$A78,'جرد فعلي'!$A$2:$A$12001,'إعدادات المخزون'!$B$4),"")</f>
        <v/>
      </c>
      <c r="M78" s="108" t="str">
        <f aca="false">IF(K78="نعم",L78-J78,"")</f>
        <v/>
      </c>
      <c r="N78" s="110" t="str">
        <f aca="false">IF(K78="نعم",IF(J78=0,IF(M78=0,0,SIGN(M78)),M78/ABS(J78)),"")</f>
        <v/>
      </c>
      <c r="O78" s="107" t="str">
        <f aca="false">IF(K78="نعم",M78*C78,"")</f>
        <v/>
      </c>
      <c r="P78" s="36" t="str">
        <f aca="false">IF(K78&lt;&gt;"نعم","لم يُجرد",IF(ABS(N78)&lt;='إعدادات المخزون'!$B$7,"مطابق",IF(M78&lt;0,"عجز","زيادة")))</f>
        <v>لم يُجرد</v>
      </c>
      <c r="Q78" s="108" t="n">
        <f aca="false">J78-Z78</f>
        <v>109.068</v>
      </c>
      <c r="R78" s="108"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8" t="str">
        <f aca="false">IF(AND(K78="نعم",R78&lt;&gt;""),(L78-J78)-(R78-Q78),"")</f>
        <v/>
      </c>
      <c r="T78" s="107" t="str">
        <f aca="false">IF(S78="","",S78*C78)</f>
        <v/>
      </c>
      <c r="U78" s="108" t="n">
        <f aca="false">IF(K78="نعم",L78,J78)</f>
        <v>109.068</v>
      </c>
      <c r="V78" s="108" t="n">
        <f aca="false">SUMPRODUCT('مصفوفة الاستهلاك'!$BU$2:$BU$172,'متجهات المبيعات'!$J$2:$J$172)/'مواد المخزون'!$D$73/MAX(1,MIN('إعدادات المخزون'!$B$11,'إعدادات المخزون'!$B$4-'إعدادات المخزون'!$B$5+1))</f>
        <v>0</v>
      </c>
      <c r="W78" s="108" t="n">
        <f aca="false">IF(V78&lt;=0,0,ROUNDUP(MAX(0,V78*('إعدادات المخزون'!$B$8+'إعدادات المخزون'!$B$9+'إعدادات المخزون'!$B$10)-MAX(U78,0))/'مواد المخزون'!$F73,0)*'مواد المخزون'!$F73)</f>
        <v>0</v>
      </c>
      <c r="X78" s="107" t="n">
        <f aca="false">IF(AND(K78="نعم",O78&lt;0),-O78+ROW()*0.000000001,0)</f>
        <v>0</v>
      </c>
      <c r="Y78" s="107" t="n">
        <f aca="false">IF(AND(K78="نعم",O78&gt;0),O78+ROW()*0.000000001,0)</f>
        <v>0</v>
      </c>
      <c r="Z78" s="108"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المبيعات'!$H$2:$H$172)/'مواد المخزون'!$D$73</f>
        <v>0</v>
      </c>
      <c r="AA78" s="107" t="n">
        <f aca="false">IF(K78="نعم",O78,0)</f>
        <v>0</v>
      </c>
      <c r="AB78" s="107" t="n">
        <f aca="false">IF(K78="نعم",J78*C78,0)</f>
        <v>0</v>
      </c>
      <c r="AC78" s="107"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7" t="n">
        <f aca="false">'مواد المخزون'!E74</f>
        <v>135</v>
      </c>
      <c r="D79" s="108" t="n">
        <f aca="false">'جرد أول المدة'!E77</f>
        <v>0.975</v>
      </c>
      <c r="E79" s="108" t="n">
        <f aca="false">SUMIFS('مشتريات يومية'!$D$2:$D$4001,'مشتريات يومية'!$B$2:$B$4001,$B$2,'مشتريات يومية'!$C$2:$C$4001,$A79,'مشتريات يومية'!$A$2:$A$4001,"&gt;="&amp;'إعدادات المخزون'!$B$5,'مشتريات يومية'!$A$2:$A$4001,"&lt;="&amp;'إعدادات المخزون'!$B$4)</f>
        <v>1</v>
      </c>
      <c r="F79" s="108"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8"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8" t="n">
        <f aca="false">SUMPRODUCT('مصفوفة الاستهلاك'!$BV$2:$BV$172,'متجهات المبيعات'!$I$2:$I$172)/'مواد المخزون'!$D$74</f>
        <v>0</v>
      </c>
      <c r="I79" s="108"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8" t="n">
        <f aca="false">D79+E79+F79-G79-H79-I79</f>
        <v>1.975</v>
      </c>
      <c r="K79" s="36" t="str">
        <f aca="false">IF(COUNTIFS('جرد فعلي'!$B$2:$B$12001,$B$2,'جرد فعلي'!$C$2:$C$12001,$A79,'جرد فعلي'!$A$2:$A$12001,'إعدادات المخزون'!$B$4)&gt;0,"نعم","لا")</f>
        <v>لا</v>
      </c>
      <c r="L79" s="109" t="str">
        <f aca="false">IF(K79="نعم",SUMIFS('جرد فعلي'!$D$2:$D$12001,'جرد فعلي'!$B$2:$B$12001,$B$2,'جرد فعلي'!$C$2:$C$12001,$A79,'جرد فعلي'!$A$2:$A$12001,'إعدادات المخزون'!$B$4),"")</f>
        <v/>
      </c>
      <c r="M79" s="108" t="str">
        <f aca="false">IF(K79="نعم",L79-J79,"")</f>
        <v/>
      </c>
      <c r="N79" s="110" t="str">
        <f aca="false">IF(K79="نعم",IF(J79=0,IF(M79=0,0,SIGN(M79)),M79/ABS(J79)),"")</f>
        <v/>
      </c>
      <c r="O79" s="107" t="str">
        <f aca="false">IF(K79="نعم",M79*C79,"")</f>
        <v/>
      </c>
      <c r="P79" s="36" t="str">
        <f aca="false">IF(K79&lt;&gt;"نعم","لم يُجرد",IF(ABS(N79)&lt;='إعدادات المخزون'!$B$7,"مطابق",IF(M79&lt;0,"عجز","زيادة")))</f>
        <v>لم يُجرد</v>
      </c>
      <c r="Q79" s="108" t="n">
        <f aca="false">J79-Z79</f>
        <v>1.975</v>
      </c>
      <c r="R79" s="108"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8" t="str">
        <f aca="false">IF(AND(K79="نعم",R79&lt;&gt;""),(L79-J79)-(R79-Q79),"")</f>
        <v/>
      </c>
      <c r="T79" s="107" t="str">
        <f aca="false">IF(S79="","",S79*C79)</f>
        <v/>
      </c>
      <c r="U79" s="108" t="n">
        <f aca="false">IF(K79="نعم",L79,J79)</f>
        <v>1.975</v>
      </c>
      <c r="V79" s="108" t="n">
        <f aca="false">SUMPRODUCT('مصفوفة الاستهلاك'!$BV$2:$BV$172,'متجهات المبيعات'!$J$2:$J$172)/'مواد المخزون'!$D$74/MAX(1,MIN('إعدادات المخزون'!$B$11,'إعدادات المخزون'!$B$4-'إعدادات المخزون'!$B$5+1))</f>
        <v>0</v>
      </c>
      <c r="W79" s="108" t="n">
        <f aca="false">IF(V79&lt;=0,0,ROUNDUP(MAX(0,V79*('إعدادات المخزون'!$B$8+'إعدادات المخزون'!$B$9+'إعدادات المخزون'!$B$10)-MAX(U79,0))/'مواد المخزون'!$F74,0)*'مواد المخزون'!$F74)</f>
        <v>0</v>
      </c>
      <c r="X79" s="107" t="n">
        <f aca="false">IF(AND(K79="نعم",O79&lt;0),-O79+ROW()*0.000000001,0)</f>
        <v>0</v>
      </c>
      <c r="Y79" s="107" t="n">
        <f aca="false">IF(AND(K79="نعم",O79&gt;0),O79+ROW()*0.000000001,0)</f>
        <v>0</v>
      </c>
      <c r="Z79" s="108"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المبيعات'!$H$2:$H$172)/'مواد المخزون'!$D$74</f>
        <v>0</v>
      </c>
      <c r="AA79" s="107" t="n">
        <f aca="false">IF(K79="نعم",O79,0)</f>
        <v>0</v>
      </c>
      <c r="AB79" s="107" t="n">
        <f aca="false">IF(K79="نعم",J79*C79,0)</f>
        <v>0</v>
      </c>
      <c r="AC79" s="107" t="n">
        <f aca="false">IF(T79="",0,T79)</f>
        <v>0</v>
      </c>
    </row>
    <row r="80" customFormat="false" ht="15" hidden="false" customHeight="false" outlineLevel="0" collapsed="false">
      <c r="A80" s="34" t="str">
        <f aca="false">'مواد المخزون'!A75</f>
        <v>مشروم فريش</v>
      </c>
      <c r="B80" s="36" t="str">
        <f aca="false">'مواد المخزون'!B75</f>
        <v>كجم</v>
      </c>
      <c r="C80" s="107" t="n">
        <f aca="false">'مواد المخزون'!E75</f>
        <v>151.2027</v>
      </c>
      <c r="D80" s="108" t="n">
        <f aca="false">'جرد أول المدة'!E78</f>
        <v>0</v>
      </c>
      <c r="E80" s="108" t="n">
        <f aca="false">SUMIFS('مشتريات يومية'!$D$2:$D$4001,'مشتريات يومية'!$B$2:$B$4001,$B$2,'مشتريات يومية'!$C$2:$C$4001,$A80,'مشتريات يومية'!$A$2:$A$4001,"&gt;="&amp;'إعدادات المخزون'!$B$5,'مشتريات يومية'!$A$2:$A$4001,"&lt;="&amp;'إعدادات المخزون'!$B$4)</f>
        <v>3.82</v>
      </c>
      <c r="F80" s="108"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8"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8" t="n">
        <f aca="false">SUMPRODUCT('مصفوفة الاستهلاك'!$BW$2:$BW$172,'متجهات المبيعات'!$I$2:$I$172)/'مواد المخزون'!$D$75</f>
        <v>0</v>
      </c>
      <c r="I80" s="108"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8" t="n">
        <f aca="false">D80+E80+F80-G80-H80-I80</f>
        <v>3.82</v>
      </c>
      <c r="K80" s="36" t="str">
        <f aca="false">IF(COUNTIFS('جرد فعلي'!$B$2:$B$12001,$B$2,'جرد فعلي'!$C$2:$C$12001,$A80,'جرد فعلي'!$A$2:$A$12001,'إعدادات المخزون'!$B$4)&gt;0,"نعم","لا")</f>
        <v>لا</v>
      </c>
      <c r="L80" s="109" t="str">
        <f aca="false">IF(K80="نعم",SUMIFS('جرد فعلي'!$D$2:$D$12001,'جرد فعلي'!$B$2:$B$12001,$B$2,'جرد فعلي'!$C$2:$C$12001,$A80,'جرد فعلي'!$A$2:$A$12001,'إعدادات المخزون'!$B$4),"")</f>
        <v/>
      </c>
      <c r="M80" s="108" t="str">
        <f aca="false">IF(K80="نعم",L80-J80,"")</f>
        <v/>
      </c>
      <c r="N80" s="110" t="str">
        <f aca="false">IF(K80="نعم",IF(J80=0,IF(M80=0,0,SIGN(M80)),M80/ABS(J80)),"")</f>
        <v/>
      </c>
      <c r="O80" s="107" t="str">
        <f aca="false">IF(K80="نعم",M80*C80,"")</f>
        <v/>
      </c>
      <c r="P80" s="36" t="str">
        <f aca="false">IF(K80&lt;&gt;"نعم","لم يُجرد",IF(ABS(N80)&lt;='إعدادات المخزون'!$B$7,"مطابق",IF(M80&lt;0,"عجز","زيادة")))</f>
        <v>لم يُجرد</v>
      </c>
      <c r="Q80" s="108" t="n">
        <f aca="false">J80-Z80</f>
        <v>3.82</v>
      </c>
      <c r="R80" s="108"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8" t="str">
        <f aca="false">IF(AND(K80="نعم",R80&lt;&gt;""),(L80-J80)-(R80-Q80),"")</f>
        <v/>
      </c>
      <c r="T80" s="107" t="str">
        <f aca="false">IF(S80="","",S80*C80)</f>
        <v/>
      </c>
      <c r="U80" s="108" t="n">
        <f aca="false">IF(K80="نعم",L80,J80)</f>
        <v>3.82</v>
      </c>
      <c r="V80" s="108" t="n">
        <f aca="false">SUMPRODUCT('مصفوفة الاستهلاك'!$BW$2:$BW$172,'متجهات المبيعات'!$J$2:$J$172)/'مواد المخزون'!$D$75/MAX(1,MIN('إعدادات المخزون'!$B$11,'إعدادات المخزون'!$B$4-'إعدادات المخزون'!$B$5+1))</f>
        <v>0</v>
      </c>
      <c r="W80" s="108" t="n">
        <f aca="false">IF(V80&lt;=0,0,ROUNDUP(MAX(0,V80*('إعدادات المخزون'!$B$8+'إعدادات المخزون'!$B$9+'إعدادات المخزون'!$B$10)-MAX(U80,0))/'مواد المخزون'!$F75,0)*'مواد المخزون'!$F75)</f>
        <v>0</v>
      </c>
      <c r="X80" s="107" t="n">
        <f aca="false">IF(AND(K80="نعم",O80&lt;0),-O80+ROW()*0.000000001,0)</f>
        <v>0</v>
      </c>
      <c r="Y80" s="107" t="n">
        <f aca="false">IF(AND(K80="نعم",O80&gt;0),O80+ROW()*0.000000001,0)</f>
        <v>0</v>
      </c>
      <c r="Z80" s="108"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المبيعات'!$H$2:$H$172)/'مواد المخزون'!$D$75</f>
        <v>0</v>
      </c>
      <c r="AA80" s="107" t="n">
        <f aca="false">IF(K80="نعم",O80,0)</f>
        <v>0</v>
      </c>
      <c r="AB80" s="107" t="n">
        <f aca="false">IF(K80="نعم",J80*C80,0)</f>
        <v>0</v>
      </c>
      <c r="AC80" s="107" t="n">
        <f aca="false">IF(T80="",0,T80)</f>
        <v>0</v>
      </c>
    </row>
    <row r="81" customFormat="false" ht="15" hidden="false" customHeight="false" outlineLevel="0" collapsed="false">
      <c r="A81" s="34" t="str">
        <f aca="false">'مواد المخزون'!A76</f>
        <v>مكرونة خام</v>
      </c>
      <c r="B81" s="36" t="str">
        <f aca="false">'مواد المخزون'!B76</f>
        <v>كجم</v>
      </c>
      <c r="C81" s="107" t="n">
        <f aca="false">'مواد المخزون'!E76</f>
        <v>24</v>
      </c>
      <c r="D81" s="108" t="n">
        <f aca="false">'جرد أول المدة'!E79</f>
        <v>20.25</v>
      </c>
      <c r="E81" s="108" t="n">
        <f aca="false">SUMIFS('مشتريات يومية'!$D$2:$D$4001,'مشتريات يومية'!$B$2:$B$4001,$B$2,'مشتريات يومية'!$C$2:$C$4001,$A81,'مشتريات يومية'!$A$2:$A$4001,"&gt;="&amp;'إعدادات المخزون'!$B$5,'مشتريات يومية'!$A$2:$A$4001,"&lt;="&amp;'إعدادات المخزون'!$B$4)</f>
        <v>10</v>
      </c>
      <c r="F81" s="108"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8"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8" t="n">
        <f aca="false">SUMPRODUCT('مصفوفة الاستهلاك'!$BX$2:$BX$172,'متجهات المبيعات'!$I$2:$I$172)/'مواد المخزون'!$D$76</f>
        <v>0</v>
      </c>
      <c r="I81" s="108"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8" t="n">
        <f aca="false">D81+E81+F81-G81-H81-I81</f>
        <v>30.25</v>
      </c>
      <c r="K81" s="36" t="str">
        <f aca="false">IF(COUNTIFS('جرد فعلي'!$B$2:$B$12001,$B$2,'جرد فعلي'!$C$2:$C$12001,$A81,'جرد فعلي'!$A$2:$A$12001,'إعدادات المخزون'!$B$4)&gt;0,"نعم","لا")</f>
        <v>لا</v>
      </c>
      <c r="L81" s="109" t="str">
        <f aca="false">IF(K81="نعم",SUMIFS('جرد فعلي'!$D$2:$D$12001,'جرد فعلي'!$B$2:$B$12001,$B$2,'جرد فعلي'!$C$2:$C$12001,$A81,'جرد فعلي'!$A$2:$A$12001,'إعدادات المخزون'!$B$4),"")</f>
        <v/>
      </c>
      <c r="M81" s="108" t="str">
        <f aca="false">IF(K81="نعم",L81-J81,"")</f>
        <v/>
      </c>
      <c r="N81" s="110" t="str">
        <f aca="false">IF(K81="نعم",IF(J81=0,IF(M81=0,0,SIGN(M81)),M81/ABS(J81)),"")</f>
        <v/>
      </c>
      <c r="O81" s="107" t="str">
        <f aca="false">IF(K81="نعم",M81*C81,"")</f>
        <v/>
      </c>
      <c r="P81" s="36" t="str">
        <f aca="false">IF(K81&lt;&gt;"نعم","لم يُجرد",IF(ABS(N81)&lt;='إعدادات المخزون'!$B$7,"مطابق",IF(M81&lt;0,"عجز","زيادة")))</f>
        <v>لم يُجرد</v>
      </c>
      <c r="Q81" s="108" t="n">
        <f aca="false">J81-Z81</f>
        <v>30.25</v>
      </c>
      <c r="R81" s="108"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8" t="str">
        <f aca="false">IF(AND(K81="نعم",R81&lt;&gt;""),(L81-J81)-(R81-Q81),"")</f>
        <v/>
      </c>
      <c r="T81" s="107" t="str">
        <f aca="false">IF(S81="","",S81*C81)</f>
        <v/>
      </c>
      <c r="U81" s="108" t="n">
        <f aca="false">IF(K81="نعم",L81,J81)</f>
        <v>30.25</v>
      </c>
      <c r="V81" s="108" t="n">
        <f aca="false">SUMPRODUCT('مصفوفة الاستهلاك'!$BX$2:$BX$172,'متجهات المبيعات'!$J$2:$J$172)/'مواد المخزون'!$D$76/MAX(1,MIN('إعدادات المخزون'!$B$11,'إعدادات المخزون'!$B$4-'إعدادات المخزون'!$B$5+1))</f>
        <v>0</v>
      </c>
      <c r="W81" s="108" t="n">
        <f aca="false">IF(V81&lt;=0,0,ROUNDUP(MAX(0,V81*('إعدادات المخزون'!$B$8+'إعدادات المخزون'!$B$9+'إعدادات المخزون'!$B$10)-MAX(U81,0))/'مواد المخزون'!$F76,0)*'مواد المخزون'!$F76)</f>
        <v>0</v>
      </c>
      <c r="X81" s="107" t="n">
        <f aca="false">IF(AND(K81="نعم",O81&lt;0),-O81+ROW()*0.000000001,0)</f>
        <v>0</v>
      </c>
      <c r="Y81" s="107" t="n">
        <f aca="false">IF(AND(K81="نعم",O81&gt;0),O81+ROW()*0.000000001,0)</f>
        <v>0</v>
      </c>
      <c r="Z81" s="108"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المبيعات'!$H$2:$H$172)/'مواد المخزون'!$D$76</f>
        <v>0</v>
      </c>
      <c r="AA81" s="107" t="n">
        <f aca="false">IF(K81="نعم",O81,0)</f>
        <v>0</v>
      </c>
      <c r="AB81" s="107" t="n">
        <f aca="false">IF(K81="نعم",J81*C81,0)</f>
        <v>0</v>
      </c>
      <c r="AC81" s="107"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7" t="n">
        <f aca="false">'مواد المخزون'!E77</f>
        <v>610</v>
      </c>
      <c r="D82" s="108" t="n">
        <f aca="false">'جرد أول المدة'!E80</f>
        <v>1</v>
      </c>
      <c r="E82" s="108" t="n">
        <f aca="false">SUMIFS('مشتريات يومية'!$D$2:$D$4001,'مشتريات يومية'!$B$2:$B$4001,$B$2,'مشتريات يومية'!$C$2:$C$4001,$A82,'مشتريات يومية'!$A$2:$A$4001,"&gt;="&amp;'إعدادات المخزون'!$B$5,'مشتريات يومية'!$A$2:$A$4001,"&lt;="&amp;'إعدادات المخزون'!$B$4)</f>
        <v>0</v>
      </c>
      <c r="F82" s="108"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8"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8" t="n">
        <f aca="false">SUMPRODUCT('مصفوفة الاستهلاك'!$BY$2:$BY$172,'متجهات المبيعات'!$I$2:$I$172)/'مواد المخزون'!$D$77</f>
        <v>0</v>
      </c>
      <c r="I82" s="108"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8" t="n">
        <f aca="false">D82+E82+F82-G82-H82-I82</f>
        <v>1</v>
      </c>
      <c r="K82" s="36" t="str">
        <f aca="false">IF(COUNTIFS('جرد فعلي'!$B$2:$B$12001,$B$2,'جرد فعلي'!$C$2:$C$12001,$A82,'جرد فعلي'!$A$2:$A$12001,'إعدادات المخزون'!$B$4)&gt;0,"نعم","لا")</f>
        <v>لا</v>
      </c>
      <c r="L82" s="109" t="str">
        <f aca="false">IF(K82="نعم",SUMIFS('جرد فعلي'!$D$2:$D$12001,'جرد فعلي'!$B$2:$B$12001,$B$2,'جرد فعلي'!$C$2:$C$12001,$A82,'جرد فعلي'!$A$2:$A$12001,'إعدادات المخزون'!$B$4),"")</f>
        <v/>
      </c>
      <c r="M82" s="108" t="str">
        <f aca="false">IF(K82="نعم",L82-J82,"")</f>
        <v/>
      </c>
      <c r="N82" s="110" t="str">
        <f aca="false">IF(K82="نعم",IF(J82=0,IF(M82=0,0,SIGN(M82)),M82/ABS(J82)),"")</f>
        <v/>
      </c>
      <c r="O82" s="107" t="str">
        <f aca="false">IF(K82="نعم",M82*C82,"")</f>
        <v/>
      </c>
      <c r="P82" s="36" t="str">
        <f aca="false">IF(K82&lt;&gt;"نعم","لم يُجرد",IF(ABS(N82)&lt;='إعدادات المخزون'!$B$7,"مطابق",IF(M82&lt;0,"عجز","زيادة")))</f>
        <v>لم يُجرد</v>
      </c>
      <c r="Q82" s="108" t="n">
        <f aca="false">J82-Z82</f>
        <v>1</v>
      </c>
      <c r="R82" s="108"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8" t="str">
        <f aca="false">IF(AND(K82="نعم",R82&lt;&gt;""),(L82-J82)-(R82-Q82),"")</f>
        <v/>
      </c>
      <c r="T82" s="107" t="str">
        <f aca="false">IF(S82="","",S82*C82)</f>
        <v/>
      </c>
      <c r="U82" s="108" t="n">
        <f aca="false">IF(K82="نعم",L82,J82)</f>
        <v>1</v>
      </c>
      <c r="V82" s="108" t="n">
        <f aca="false">SUMPRODUCT('مصفوفة الاستهلاك'!$BY$2:$BY$172,'متجهات المبيعات'!$J$2:$J$172)/'مواد المخزون'!$D$77/MAX(1,MIN('إعدادات المخزون'!$B$11,'إعدادات المخزون'!$B$4-'إعدادات المخزون'!$B$5+1))</f>
        <v>0</v>
      </c>
      <c r="W82" s="108" t="n">
        <f aca="false">IF(V82&lt;=0,0,ROUNDUP(MAX(0,V82*('إعدادات المخزون'!$B$8+'إعدادات المخزون'!$B$9+'إعدادات المخزون'!$B$10)-MAX(U82,0))/'مواد المخزون'!$F77,0)*'مواد المخزون'!$F77)</f>
        <v>0</v>
      </c>
      <c r="X82" s="107" t="n">
        <f aca="false">IF(AND(K82="نعم",O82&lt;0),-O82+ROW()*0.000000001,0)</f>
        <v>0</v>
      </c>
      <c r="Y82" s="107" t="n">
        <f aca="false">IF(AND(K82="نعم",O82&gt;0),O82+ROW()*0.000000001,0)</f>
        <v>0</v>
      </c>
      <c r="Z82" s="108"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المبيعات'!$H$2:$H$172)/'مواد المخزون'!$D$77</f>
        <v>0</v>
      </c>
      <c r="AA82" s="107" t="n">
        <f aca="false">IF(K82="نعم",O82,0)</f>
        <v>0</v>
      </c>
      <c r="AB82" s="107" t="n">
        <f aca="false">IF(K82="نعم",J82*C82,0)</f>
        <v>0</v>
      </c>
      <c r="AC82" s="107"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7" t="n">
        <f aca="false">'مواد المخزون'!E78</f>
        <v>45.8125</v>
      </c>
      <c r="D83" s="108" t="n">
        <f aca="false">'جرد أول المدة'!E81</f>
        <v>3.855</v>
      </c>
      <c r="E83" s="108" t="n">
        <f aca="false">SUMIFS('مشتريات يومية'!$D$2:$D$4001,'مشتريات يومية'!$B$2:$B$4001,$B$2,'مشتريات يومية'!$C$2:$C$4001,$A83,'مشتريات يومية'!$A$2:$A$4001,"&gt;="&amp;'إعدادات المخزون'!$B$5,'مشتريات يومية'!$A$2:$A$4001,"&lt;="&amp;'إعدادات المخزون'!$B$4)</f>
        <v>0</v>
      </c>
      <c r="F83" s="108"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8"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8" t="n">
        <f aca="false">SUMPRODUCT('مصفوفة الاستهلاك'!$BZ$2:$BZ$172,'متجهات المبيعات'!$I$2:$I$172)/'مواد المخزون'!$D$78</f>
        <v>0</v>
      </c>
      <c r="I83" s="108"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8" t="n">
        <f aca="false">D83+E83+F83-G83-H83-I83</f>
        <v>3.855</v>
      </c>
      <c r="K83" s="36" t="str">
        <f aca="false">IF(COUNTIFS('جرد فعلي'!$B$2:$B$12001,$B$2,'جرد فعلي'!$C$2:$C$12001,$A83,'جرد فعلي'!$A$2:$A$12001,'إعدادات المخزون'!$B$4)&gt;0,"نعم","لا")</f>
        <v>لا</v>
      </c>
      <c r="L83" s="109" t="str">
        <f aca="false">IF(K83="نعم",SUMIFS('جرد فعلي'!$D$2:$D$12001,'جرد فعلي'!$B$2:$B$12001,$B$2,'جرد فعلي'!$C$2:$C$12001,$A83,'جرد فعلي'!$A$2:$A$12001,'إعدادات المخزون'!$B$4),"")</f>
        <v/>
      </c>
      <c r="M83" s="108" t="str">
        <f aca="false">IF(K83="نعم",L83-J83,"")</f>
        <v/>
      </c>
      <c r="N83" s="110" t="str">
        <f aca="false">IF(K83="نعم",IF(J83=0,IF(M83=0,0,SIGN(M83)),M83/ABS(J83)),"")</f>
        <v/>
      </c>
      <c r="O83" s="107" t="str">
        <f aca="false">IF(K83="نعم",M83*C83,"")</f>
        <v/>
      </c>
      <c r="P83" s="36" t="str">
        <f aca="false">IF(K83&lt;&gt;"نعم","لم يُجرد",IF(ABS(N83)&lt;='إعدادات المخزون'!$B$7,"مطابق",IF(M83&lt;0,"عجز","زيادة")))</f>
        <v>لم يُجرد</v>
      </c>
      <c r="Q83" s="108" t="n">
        <f aca="false">J83-Z83</f>
        <v>3.855</v>
      </c>
      <c r="R83" s="108"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8" t="str">
        <f aca="false">IF(AND(K83="نعم",R83&lt;&gt;""),(L83-J83)-(R83-Q83),"")</f>
        <v/>
      </c>
      <c r="T83" s="107" t="str">
        <f aca="false">IF(S83="","",S83*C83)</f>
        <v/>
      </c>
      <c r="U83" s="108" t="n">
        <f aca="false">IF(K83="نعم",L83,J83)</f>
        <v>3.855</v>
      </c>
      <c r="V83" s="108" t="n">
        <f aca="false">SUMPRODUCT('مصفوفة الاستهلاك'!$BZ$2:$BZ$172,'متجهات المبيعات'!$J$2:$J$172)/'مواد المخزون'!$D$78/MAX(1,MIN('إعدادات المخزون'!$B$11,'إعدادات المخزون'!$B$4-'إعدادات المخزون'!$B$5+1))</f>
        <v>0</v>
      </c>
      <c r="W83" s="108" t="n">
        <f aca="false">IF(V83&lt;=0,0,ROUNDUP(MAX(0,V83*('إعدادات المخزون'!$B$8+'إعدادات المخزون'!$B$9+'إعدادات المخزون'!$B$10)-MAX(U83,0))/'مواد المخزون'!$F78,0)*'مواد المخزون'!$F78)</f>
        <v>0</v>
      </c>
      <c r="X83" s="107" t="n">
        <f aca="false">IF(AND(K83="نعم",O83&lt;0),-O83+ROW()*0.000000001,0)</f>
        <v>0</v>
      </c>
      <c r="Y83" s="107" t="n">
        <f aca="false">IF(AND(K83="نعم",O83&gt;0),O83+ROW()*0.000000001,0)</f>
        <v>0</v>
      </c>
      <c r="Z83" s="108"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المبيعات'!$H$2:$H$172)/'مواد المخزون'!$D$78</f>
        <v>0</v>
      </c>
      <c r="AA83" s="107" t="n">
        <f aca="false">IF(K83="نعم",O83,0)</f>
        <v>0</v>
      </c>
      <c r="AB83" s="107" t="n">
        <f aca="false">IF(K83="نعم",J83*C83,0)</f>
        <v>0</v>
      </c>
      <c r="AC83" s="107"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7" t="n">
        <f aca="false">'مواد المخزون'!E79</f>
        <v>200</v>
      </c>
      <c r="D84" s="108" t="n">
        <f aca="false">'جرد أول المدة'!E82</f>
        <v>2</v>
      </c>
      <c r="E84" s="108" t="n">
        <f aca="false">SUMIFS('مشتريات يومية'!$D$2:$D$4001,'مشتريات يومية'!$B$2:$B$4001,$B$2,'مشتريات يومية'!$C$2:$C$4001,$A84,'مشتريات يومية'!$A$2:$A$4001,"&gt;="&amp;'إعدادات المخزون'!$B$5,'مشتريات يومية'!$A$2:$A$4001,"&lt;="&amp;'إعدادات المخزون'!$B$4)</f>
        <v>0</v>
      </c>
      <c r="F84" s="108"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8"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8" t="n">
        <f aca="false">SUMPRODUCT('مصفوفة الاستهلاك'!$CA$2:$CA$172,'متجهات المبيعات'!$I$2:$I$172)/'مواد المخزون'!$D$79</f>
        <v>0</v>
      </c>
      <c r="I84" s="108"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8" t="n">
        <f aca="false">D84+E84+F84-G84-H84-I84</f>
        <v>2</v>
      </c>
      <c r="K84" s="36" t="str">
        <f aca="false">IF(COUNTIFS('جرد فعلي'!$B$2:$B$12001,$B$2,'جرد فعلي'!$C$2:$C$12001,$A84,'جرد فعلي'!$A$2:$A$12001,'إعدادات المخزون'!$B$4)&gt;0,"نعم","لا")</f>
        <v>لا</v>
      </c>
      <c r="L84" s="109" t="str">
        <f aca="false">IF(K84="نعم",SUMIFS('جرد فعلي'!$D$2:$D$12001,'جرد فعلي'!$B$2:$B$12001,$B$2,'جرد فعلي'!$C$2:$C$12001,$A84,'جرد فعلي'!$A$2:$A$12001,'إعدادات المخزون'!$B$4),"")</f>
        <v/>
      </c>
      <c r="M84" s="108" t="str">
        <f aca="false">IF(K84="نعم",L84-J84,"")</f>
        <v/>
      </c>
      <c r="N84" s="110" t="str">
        <f aca="false">IF(K84="نعم",IF(J84=0,IF(M84=0,0,SIGN(M84)),M84/ABS(J84)),"")</f>
        <v/>
      </c>
      <c r="O84" s="107" t="str">
        <f aca="false">IF(K84="نعم",M84*C84,"")</f>
        <v/>
      </c>
      <c r="P84" s="36" t="str">
        <f aca="false">IF(K84&lt;&gt;"نعم","لم يُجرد",IF(ABS(N84)&lt;='إعدادات المخزون'!$B$7,"مطابق",IF(M84&lt;0,"عجز","زيادة")))</f>
        <v>لم يُجرد</v>
      </c>
      <c r="Q84" s="108" t="n">
        <f aca="false">J84-Z84</f>
        <v>2</v>
      </c>
      <c r="R84" s="108"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8" t="str">
        <f aca="false">IF(AND(K84="نعم",R84&lt;&gt;""),(L84-J84)-(R84-Q84),"")</f>
        <v/>
      </c>
      <c r="T84" s="107" t="str">
        <f aca="false">IF(S84="","",S84*C84)</f>
        <v/>
      </c>
      <c r="U84" s="108" t="n">
        <f aca="false">IF(K84="نعم",L84,J84)</f>
        <v>2</v>
      </c>
      <c r="V84" s="108" t="n">
        <f aca="false">SUMPRODUCT('مصفوفة الاستهلاك'!$CA$2:$CA$172,'متجهات المبيعات'!$J$2:$J$172)/'مواد المخزون'!$D$79/MAX(1,MIN('إعدادات المخزون'!$B$11,'إعدادات المخزون'!$B$4-'إعدادات المخزون'!$B$5+1))</f>
        <v>0</v>
      </c>
      <c r="W84" s="108" t="n">
        <f aca="false">IF(V84&lt;=0,0,ROUNDUP(MAX(0,V84*('إعدادات المخزون'!$B$8+'إعدادات المخزون'!$B$9+'إعدادات المخزون'!$B$10)-MAX(U84,0))/'مواد المخزون'!$F79,0)*'مواد المخزون'!$F79)</f>
        <v>0</v>
      </c>
      <c r="X84" s="107" t="n">
        <f aca="false">IF(AND(K84="نعم",O84&lt;0),-O84+ROW()*0.000000001,0)</f>
        <v>0</v>
      </c>
      <c r="Y84" s="107" t="n">
        <f aca="false">IF(AND(K84="نعم",O84&gt;0),O84+ROW()*0.000000001,0)</f>
        <v>0</v>
      </c>
      <c r="Z84" s="108"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المبيعات'!$H$2:$H$172)/'مواد المخزون'!$D$79</f>
        <v>0</v>
      </c>
      <c r="AA84" s="107" t="n">
        <f aca="false">IF(K84="نعم",O84,0)</f>
        <v>0</v>
      </c>
      <c r="AB84" s="107" t="n">
        <f aca="false">IF(K84="نعم",J84*C84,0)</f>
        <v>0</v>
      </c>
      <c r="AC84" s="107"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7" t="n">
        <f aca="false">'مواد المخزون'!E80</f>
        <v>4.47</v>
      </c>
      <c r="D85" s="108" t="n">
        <f aca="false">'جرد أول المدة'!E83</f>
        <v>1505</v>
      </c>
      <c r="E85" s="108" t="n">
        <f aca="false">SUMIFS('مشتريات يومية'!$D$2:$D$4001,'مشتريات يومية'!$B$2:$B$4001,$B$2,'مشتريات يومية'!$C$2:$C$4001,$A85,'مشتريات يومية'!$A$2:$A$4001,"&gt;="&amp;'إعدادات المخزون'!$B$5,'مشتريات يومية'!$A$2:$A$4001,"&lt;="&amp;'إعدادات المخزون'!$B$4)</f>
        <v>0</v>
      </c>
      <c r="F85" s="108"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8"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8" t="n">
        <f aca="false">SUMPRODUCT('مصفوفة الاستهلاك'!$CB$2:$CB$172,'متجهات المبيعات'!$I$2:$I$172)/'مواد المخزون'!$D$80</f>
        <v>0</v>
      </c>
      <c r="I85" s="108"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8" t="n">
        <f aca="false">D85+E85+F85-G85-H85-I85</f>
        <v>1505</v>
      </c>
      <c r="K85" s="36" t="str">
        <f aca="false">IF(COUNTIFS('جرد فعلي'!$B$2:$B$12001,$B$2,'جرد فعلي'!$C$2:$C$12001,$A85,'جرد فعلي'!$A$2:$A$12001,'إعدادات المخزون'!$B$4)&gt;0,"نعم","لا")</f>
        <v>لا</v>
      </c>
      <c r="L85" s="109" t="str">
        <f aca="false">IF(K85="نعم",SUMIFS('جرد فعلي'!$D$2:$D$12001,'جرد فعلي'!$B$2:$B$12001,$B$2,'جرد فعلي'!$C$2:$C$12001,$A85,'جرد فعلي'!$A$2:$A$12001,'إعدادات المخزون'!$B$4),"")</f>
        <v/>
      </c>
      <c r="M85" s="108" t="str">
        <f aca="false">IF(K85="نعم",L85-J85,"")</f>
        <v/>
      </c>
      <c r="N85" s="110" t="str">
        <f aca="false">IF(K85="نعم",IF(J85=0,IF(M85=0,0,SIGN(M85)),M85/ABS(J85)),"")</f>
        <v/>
      </c>
      <c r="O85" s="107" t="str">
        <f aca="false">IF(K85="نعم",M85*C85,"")</f>
        <v/>
      </c>
      <c r="P85" s="36" t="str">
        <f aca="false">IF(K85&lt;&gt;"نعم","لم يُجرد",IF(ABS(N85)&lt;='إعدادات المخزون'!$B$7,"مطابق",IF(M85&lt;0,"عجز","زيادة")))</f>
        <v>لم يُجرد</v>
      </c>
      <c r="Q85" s="108" t="n">
        <f aca="false">J85-Z85</f>
        <v>1505</v>
      </c>
      <c r="R85" s="108"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8" t="str">
        <f aca="false">IF(AND(K85="نعم",R85&lt;&gt;""),(L85-J85)-(R85-Q85),"")</f>
        <v/>
      </c>
      <c r="T85" s="107" t="str">
        <f aca="false">IF(S85="","",S85*C85)</f>
        <v/>
      </c>
      <c r="U85" s="108" t="n">
        <f aca="false">IF(K85="نعم",L85,J85)</f>
        <v>1505</v>
      </c>
      <c r="V85" s="108" t="n">
        <f aca="false">SUMPRODUCT('مصفوفة الاستهلاك'!$CB$2:$CB$172,'متجهات المبيعات'!$J$2:$J$172)/'مواد المخزون'!$D$80/MAX(1,MIN('إعدادات المخزون'!$B$11,'إعدادات المخزون'!$B$4-'إعدادات المخزون'!$B$5+1))</f>
        <v>0</v>
      </c>
      <c r="W85" s="108" t="n">
        <f aca="false">IF(V85&lt;=0,0,ROUNDUP(MAX(0,V85*('إعدادات المخزون'!$B$8+'إعدادات المخزون'!$B$9+'إعدادات المخزون'!$B$10)-MAX(U85,0))/'مواد المخزون'!$F80,0)*'مواد المخزون'!$F80)</f>
        <v>0</v>
      </c>
      <c r="X85" s="107" t="n">
        <f aca="false">IF(AND(K85="نعم",O85&lt;0),-O85+ROW()*0.000000001,0)</f>
        <v>0</v>
      </c>
      <c r="Y85" s="107" t="n">
        <f aca="false">IF(AND(K85="نعم",O85&gt;0),O85+ROW()*0.000000001,0)</f>
        <v>0</v>
      </c>
      <c r="Z85" s="108"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المبيعات'!$H$2:$H$172)/'مواد المخزون'!$D$80</f>
        <v>0</v>
      </c>
      <c r="AA85" s="107" t="n">
        <f aca="false">IF(K85="نعم",O85,0)</f>
        <v>0</v>
      </c>
      <c r="AB85" s="107" t="n">
        <f aca="false">IF(K85="نعم",J85*C85,0)</f>
        <v>0</v>
      </c>
      <c r="AC85" s="107"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7" t="n">
        <f aca="false">'مواد المخزون'!E81</f>
        <v>220.02</v>
      </c>
      <c r="D86" s="108" t="n">
        <f aca="false">'جرد أول المدة'!E84</f>
        <v>0</v>
      </c>
      <c r="E86" s="108" t="n">
        <f aca="false">SUMIFS('مشتريات يومية'!$D$2:$D$4001,'مشتريات يومية'!$B$2:$B$4001,$B$2,'مشتريات يومية'!$C$2:$C$4001,$A86,'مشتريات يومية'!$A$2:$A$4001,"&gt;="&amp;'إعدادات المخزون'!$B$5,'مشتريات يومية'!$A$2:$A$4001,"&lt;="&amp;'إعدادات المخزون'!$B$4)</f>
        <v>0</v>
      </c>
      <c r="F86" s="108"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8"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8" t="n">
        <f aca="false">SUMPRODUCT('مصفوفة الاستهلاك'!$CC$2:$CC$172,'متجهات المبيعات'!$I$2:$I$172)/'مواد المخزون'!$D$81</f>
        <v>0</v>
      </c>
      <c r="I86" s="108"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8" t="n">
        <f aca="false">D86+E86+F86-G86-H86-I86</f>
        <v>0</v>
      </c>
      <c r="K86" s="36" t="str">
        <f aca="false">IF(COUNTIFS('جرد فعلي'!$B$2:$B$12001,$B$2,'جرد فعلي'!$C$2:$C$12001,$A86,'جرد فعلي'!$A$2:$A$12001,'إعدادات المخزون'!$B$4)&gt;0,"نعم","لا")</f>
        <v>لا</v>
      </c>
      <c r="L86" s="109" t="str">
        <f aca="false">IF(K86="نعم",SUMIFS('جرد فعلي'!$D$2:$D$12001,'جرد فعلي'!$B$2:$B$12001,$B$2,'جرد فعلي'!$C$2:$C$12001,$A86,'جرد فعلي'!$A$2:$A$12001,'إعدادات المخزون'!$B$4),"")</f>
        <v/>
      </c>
      <c r="M86" s="108" t="str">
        <f aca="false">IF(K86="نعم",L86-J86,"")</f>
        <v/>
      </c>
      <c r="N86" s="110" t="str">
        <f aca="false">IF(K86="نعم",IF(J86=0,IF(M86=0,0,SIGN(M86)),M86/ABS(J86)),"")</f>
        <v/>
      </c>
      <c r="O86" s="107" t="str">
        <f aca="false">IF(K86="نعم",M86*C86,"")</f>
        <v/>
      </c>
      <c r="P86" s="36" t="str">
        <f aca="false">IF(K86&lt;&gt;"نعم","لم يُجرد",IF(ABS(N86)&lt;='إعدادات المخزون'!$B$7,"مطابق",IF(M86&lt;0,"عجز","زيادة")))</f>
        <v>لم يُجرد</v>
      </c>
      <c r="Q86" s="108" t="n">
        <f aca="false">J86-Z86</f>
        <v>0</v>
      </c>
      <c r="R86" s="108"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8" t="str">
        <f aca="false">IF(AND(K86="نعم",R86&lt;&gt;""),(L86-J86)-(R86-Q86),"")</f>
        <v/>
      </c>
      <c r="T86" s="107" t="str">
        <f aca="false">IF(S86="","",S86*C86)</f>
        <v/>
      </c>
      <c r="U86" s="108" t="n">
        <f aca="false">IF(K86="نعم",L86,J86)</f>
        <v>0</v>
      </c>
      <c r="V86" s="108" t="n">
        <f aca="false">SUMPRODUCT('مصفوفة الاستهلاك'!$CC$2:$CC$172,'متجهات المبيعات'!$J$2:$J$172)/'مواد المخزون'!$D$81/MAX(1,MIN('إعدادات المخزون'!$B$11,'إعدادات المخزون'!$B$4-'إعدادات المخزون'!$B$5+1))</f>
        <v>0</v>
      </c>
      <c r="W86" s="108" t="n">
        <f aca="false">IF(V86&lt;=0,0,ROUNDUP(MAX(0,V86*('إعدادات المخزون'!$B$8+'إعدادات المخزون'!$B$9+'إعدادات المخزون'!$B$10)-MAX(U86,0))/'مواد المخزون'!$F81,0)*'مواد المخزون'!$F81)</f>
        <v>0</v>
      </c>
      <c r="X86" s="107" t="n">
        <f aca="false">IF(AND(K86="نعم",O86&lt;0),-O86+ROW()*0.000000001,0)</f>
        <v>0</v>
      </c>
      <c r="Y86" s="107" t="n">
        <f aca="false">IF(AND(K86="نعم",O86&gt;0),O86+ROW()*0.000000001,0)</f>
        <v>0</v>
      </c>
      <c r="Z86" s="108"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المبيعات'!$H$2:$H$172)/'مواد المخزون'!$D$81</f>
        <v>0</v>
      </c>
      <c r="AA86" s="107" t="n">
        <f aca="false">IF(K86="نعم",O86,0)</f>
        <v>0</v>
      </c>
      <c r="AB86" s="107" t="n">
        <f aca="false">IF(K86="نعم",J86*C86,0)</f>
        <v>0</v>
      </c>
      <c r="AC86" s="107"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7" t="n">
        <f aca="false">'مواد المخزون'!E82</f>
        <v>219.23</v>
      </c>
      <c r="D87" s="108" t="n">
        <f aca="false">'جرد أول المدة'!E85</f>
        <v>0.77</v>
      </c>
      <c r="E87" s="108" t="n">
        <f aca="false">SUMIFS('مشتريات يومية'!$D$2:$D$4001,'مشتريات يومية'!$B$2:$B$4001,$B$2,'مشتريات يومية'!$C$2:$C$4001,$A87,'مشتريات يومية'!$A$2:$A$4001,"&gt;="&amp;'إعدادات المخزون'!$B$5,'مشتريات يومية'!$A$2:$A$4001,"&lt;="&amp;'إعدادات المخزون'!$B$4)</f>
        <v>0</v>
      </c>
      <c r="F87" s="108"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8"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8" t="n">
        <f aca="false">SUMPRODUCT('مصفوفة الاستهلاك'!$CD$2:$CD$172,'متجهات المبيعات'!$I$2:$I$172)/'مواد المخزون'!$D$82</f>
        <v>0</v>
      </c>
      <c r="I87" s="108"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8" t="n">
        <f aca="false">D87+E87+F87-G87-H87-I87</f>
        <v>0.77</v>
      </c>
      <c r="K87" s="36" t="str">
        <f aca="false">IF(COUNTIFS('جرد فعلي'!$B$2:$B$12001,$B$2,'جرد فعلي'!$C$2:$C$12001,$A87,'جرد فعلي'!$A$2:$A$12001,'إعدادات المخزون'!$B$4)&gt;0,"نعم","لا")</f>
        <v>لا</v>
      </c>
      <c r="L87" s="109" t="str">
        <f aca="false">IF(K87="نعم",SUMIFS('جرد فعلي'!$D$2:$D$12001,'جرد فعلي'!$B$2:$B$12001,$B$2,'جرد فعلي'!$C$2:$C$12001,$A87,'جرد فعلي'!$A$2:$A$12001,'إعدادات المخزون'!$B$4),"")</f>
        <v/>
      </c>
      <c r="M87" s="108" t="str">
        <f aca="false">IF(K87="نعم",L87-J87,"")</f>
        <v/>
      </c>
      <c r="N87" s="110" t="str">
        <f aca="false">IF(K87="نعم",IF(J87=0,IF(M87=0,0,SIGN(M87)),M87/ABS(J87)),"")</f>
        <v/>
      </c>
      <c r="O87" s="107" t="str">
        <f aca="false">IF(K87="نعم",M87*C87,"")</f>
        <v/>
      </c>
      <c r="P87" s="36" t="str">
        <f aca="false">IF(K87&lt;&gt;"نعم","لم يُجرد",IF(ABS(N87)&lt;='إعدادات المخزون'!$B$7,"مطابق",IF(M87&lt;0,"عجز","زيادة")))</f>
        <v>لم يُجرد</v>
      </c>
      <c r="Q87" s="108" t="n">
        <f aca="false">J87-Z87</f>
        <v>0.77</v>
      </c>
      <c r="R87" s="108"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8" t="str">
        <f aca="false">IF(AND(K87="نعم",R87&lt;&gt;""),(L87-J87)-(R87-Q87),"")</f>
        <v/>
      </c>
      <c r="T87" s="107" t="str">
        <f aca="false">IF(S87="","",S87*C87)</f>
        <v/>
      </c>
      <c r="U87" s="108" t="n">
        <f aca="false">IF(K87="نعم",L87,J87)</f>
        <v>0.77</v>
      </c>
      <c r="V87" s="108" t="n">
        <f aca="false">SUMPRODUCT('مصفوفة الاستهلاك'!$CD$2:$CD$172,'متجهات المبيعات'!$J$2:$J$172)/'مواد المخزون'!$D$82/MAX(1,MIN('إعدادات المخزون'!$B$11,'إعدادات المخزون'!$B$4-'إعدادات المخزون'!$B$5+1))</f>
        <v>0</v>
      </c>
      <c r="W87" s="108" t="n">
        <f aca="false">IF(V87&lt;=0,0,ROUNDUP(MAX(0,V87*('إعدادات المخزون'!$B$8+'إعدادات المخزون'!$B$9+'إعدادات المخزون'!$B$10)-MAX(U87,0))/'مواد المخزون'!$F82,0)*'مواد المخزون'!$F82)</f>
        <v>0</v>
      </c>
      <c r="X87" s="107" t="n">
        <f aca="false">IF(AND(K87="نعم",O87&lt;0),-O87+ROW()*0.000000001,0)</f>
        <v>0</v>
      </c>
      <c r="Y87" s="107" t="n">
        <f aca="false">IF(AND(K87="نعم",O87&gt;0),O87+ROW()*0.000000001,0)</f>
        <v>0</v>
      </c>
      <c r="Z87" s="108"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المبيعات'!$H$2:$H$172)/'مواد المخزون'!$D$82</f>
        <v>0</v>
      </c>
      <c r="AA87" s="107" t="n">
        <f aca="false">IF(K87="نعم",O87,0)</f>
        <v>0</v>
      </c>
      <c r="AB87" s="107" t="n">
        <f aca="false">IF(K87="نعم",J87*C87,0)</f>
        <v>0</v>
      </c>
      <c r="AC87" s="107"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7" t="n">
        <f aca="false">'مواد المخزون'!E83</f>
        <v>6</v>
      </c>
      <c r="D88" s="108" t="n">
        <f aca="false">'جرد أول المدة'!E86</f>
        <v>0</v>
      </c>
      <c r="E88" s="108" t="n">
        <f aca="false">SUMIFS('مشتريات يومية'!$D$2:$D$4001,'مشتريات يومية'!$B$2:$B$4001,$B$2,'مشتريات يومية'!$C$2:$C$4001,$A88,'مشتريات يومية'!$A$2:$A$4001,"&gt;="&amp;'إعدادات المخزون'!$B$5,'مشتريات يومية'!$A$2:$A$4001,"&lt;="&amp;'إعدادات المخزون'!$B$4)</f>
        <v>0</v>
      </c>
      <c r="F88" s="108"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8"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8" t="n">
        <f aca="false">SUMPRODUCT('مصفوفة الاستهلاك'!$CE$2:$CE$172,'متجهات المبيعات'!$I$2:$I$172)/'مواد المخزون'!$D$83</f>
        <v>0</v>
      </c>
      <c r="I88" s="108"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8" t="n">
        <f aca="false">D88+E88+F88-G88-H88-I88</f>
        <v>0</v>
      </c>
      <c r="K88" s="36" t="str">
        <f aca="false">IF(COUNTIFS('جرد فعلي'!$B$2:$B$12001,$B$2,'جرد فعلي'!$C$2:$C$12001,$A88,'جرد فعلي'!$A$2:$A$12001,'إعدادات المخزون'!$B$4)&gt;0,"نعم","لا")</f>
        <v>لا</v>
      </c>
      <c r="L88" s="109" t="str">
        <f aca="false">IF(K88="نعم",SUMIFS('جرد فعلي'!$D$2:$D$12001,'جرد فعلي'!$B$2:$B$12001,$B$2,'جرد فعلي'!$C$2:$C$12001,$A88,'جرد فعلي'!$A$2:$A$12001,'إعدادات المخزون'!$B$4),"")</f>
        <v/>
      </c>
      <c r="M88" s="108" t="str">
        <f aca="false">IF(K88="نعم",L88-J88,"")</f>
        <v/>
      </c>
      <c r="N88" s="110" t="str">
        <f aca="false">IF(K88="نعم",IF(J88=0,IF(M88=0,0,SIGN(M88)),M88/ABS(J88)),"")</f>
        <v/>
      </c>
      <c r="O88" s="107" t="str">
        <f aca="false">IF(K88="نعم",M88*C88,"")</f>
        <v/>
      </c>
      <c r="P88" s="36" t="str">
        <f aca="false">IF(K88&lt;&gt;"نعم","لم يُجرد",IF(ABS(N88)&lt;='إعدادات المخزون'!$B$7,"مطابق",IF(M88&lt;0,"عجز","زيادة")))</f>
        <v>لم يُجرد</v>
      </c>
      <c r="Q88" s="108" t="n">
        <f aca="false">J88-Z88</f>
        <v>0</v>
      </c>
      <c r="R88" s="108"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8" t="str">
        <f aca="false">IF(AND(K88="نعم",R88&lt;&gt;""),(L88-J88)-(R88-Q88),"")</f>
        <v/>
      </c>
      <c r="T88" s="107" t="str">
        <f aca="false">IF(S88="","",S88*C88)</f>
        <v/>
      </c>
      <c r="U88" s="108" t="n">
        <f aca="false">IF(K88="نعم",L88,J88)</f>
        <v>0</v>
      </c>
      <c r="V88" s="108" t="n">
        <f aca="false">SUMPRODUCT('مصفوفة الاستهلاك'!$CE$2:$CE$172,'متجهات المبيعات'!$J$2:$J$172)/'مواد المخزون'!$D$83/MAX(1,MIN('إعدادات المخزون'!$B$11,'إعدادات المخزون'!$B$4-'إعدادات المخزون'!$B$5+1))</f>
        <v>0</v>
      </c>
      <c r="W88" s="108" t="n">
        <f aca="false">IF(V88&lt;=0,0,ROUNDUP(MAX(0,V88*('إعدادات المخزون'!$B$8+'إعدادات المخزون'!$B$9+'إعدادات المخزون'!$B$10)-MAX(U88,0))/'مواد المخزون'!$F83,0)*'مواد المخزون'!$F83)</f>
        <v>0</v>
      </c>
      <c r="X88" s="107" t="n">
        <f aca="false">IF(AND(K88="نعم",O88&lt;0),-O88+ROW()*0.000000001,0)</f>
        <v>0</v>
      </c>
      <c r="Y88" s="107" t="n">
        <f aca="false">IF(AND(K88="نعم",O88&gt;0),O88+ROW()*0.000000001,0)</f>
        <v>0</v>
      </c>
      <c r="Z88" s="108"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المبيعات'!$H$2:$H$172)/'مواد المخزون'!$D$83</f>
        <v>0</v>
      </c>
      <c r="AA88" s="107" t="n">
        <f aca="false">IF(K88="نعم",O88,0)</f>
        <v>0</v>
      </c>
      <c r="AB88" s="107" t="n">
        <f aca="false">IF(K88="نعم",J88*C88,0)</f>
        <v>0</v>
      </c>
      <c r="AC88" s="107"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7" t="n">
        <f aca="false">'مواد المخزون'!E84</f>
        <v>0.3</v>
      </c>
      <c r="D89" s="108" t="n">
        <f aca="false">'جرد أول المدة'!E87</f>
        <v>207</v>
      </c>
      <c r="E89" s="108" t="n">
        <f aca="false">SUMIFS('مشتريات يومية'!$D$2:$D$4001,'مشتريات يومية'!$B$2:$B$4001,$B$2,'مشتريات يومية'!$C$2:$C$4001,$A89,'مشتريات يومية'!$A$2:$A$4001,"&gt;="&amp;'إعدادات المخزون'!$B$5,'مشتريات يومية'!$A$2:$A$4001,"&lt;="&amp;'إعدادات المخزون'!$B$4)</f>
        <v>300</v>
      </c>
      <c r="F89" s="108"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8"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8" t="n">
        <f aca="false">SUMPRODUCT('مصفوفة الاستهلاك'!$CF$2:$CF$172,'متجهات المبيعات'!$I$2:$I$172)/'مواد المخزون'!$D$84</f>
        <v>0</v>
      </c>
      <c r="I89" s="108"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8" t="n">
        <f aca="false">D89+E89+F89-G89-H89-I89</f>
        <v>507</v>
      </c>
      <c r="K89" s="36" t="str">
        <f aca="false">IF(COUNTIFS('جرد فعلي'!$B$2:$B$12001,$B$2,'جرد فعلي'!$C$2:$C$12001,$A89,'جرد فعلي'!$A$2:$A$12001,'إعدادات المخزون'!$B$4)&gt;0,"نعم","لا")</f>
        <v>لا</v>
      </c>
      <c r="L89" s="109" t="str">
        <f aca="false">IF(K89="نعم",SUMIFS('جرد فعلي'!$D$2:$D$12001,'جرد فعلي'!$B$2:$B$12001,$B$2,'جرد فعلي'!$C$2:$C$12001,$A89,'جرد فعلي'!$A$2:$A$12001,'إعدادات المخزون'!$B$4),"")</f>
        <v/>
      </c>
      <c r="M89" s="108" t="str">
        <f aca="false">IF(K89="نعم",L89-J89,"")</f>
        <v/>
      </c>
      <c r="N89" s="110" t="str">
        <f aca="false">IF(K89="نعم",IF(J89=0,IF(M89=0,0,SIGN(M89)),M89/ABS(J89)),"")</f>
        <v/>
      </c>
      <c r="O89" s="107" t="str">
        <f aca="false">IF(K89="نعم",M89*C89,"")</f>
        <v/>
      </c>
      <c r="P89" s="36" t="str">
        <f aca="false">IF(K89&lt;&gt;"نعم","لم يُجرد",IF(ABS(N89)&lt;='إعدادات المخزون'!$B$7,"مطابق",IF(M89&lt;0,"عجز","زيادة")))</f>
        <v>لم يُجرد</v>
      </c>
      <c r="Q89" s="108" t="n">
        <f aca="false">J89-Z89</f>
        <v>507</v>
      </c>
      <c r="R89" s="108"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8" t="str">
        <f aca="false">IF(AND(K89="نعم",R89&lt;&gt;""),(L89-J89)-(R89-Q89),"")</f>
        <v/>
      </c>
      <c r="T89" s="107" t="str">
        <f aca="false">IF(S89="","",S89*C89)</f>
        <v/>
      </c>
      <c r="U89" s="108" t="n">
        <f aca="false">IF(K89="نعم",L89,J89)</f>
        <v>507</v>
      </c>
      <c r="V89" s="108" t="n">
        <f aca="false">SUMPRODUCT('مصفوفة الاستهلاك'!$CF$2:$CF$172,'متجهات المبيعات'!$J$2:$J$172)/'مواد المخزون'!$D$84/MAX(1,MIN('إعدادات المخزون'!$B$11,'إعدادات المخزون'!$B$4-'إعدادات المخزون'!$B$5+1))</f>
        <v>0</v>
      </c>
      <c r="W89" s="108" t="n">
        <f aca="false">IF(V89&lt;=0,0,ROUNDUP(MAX(0,V89*('إعدادات المخزون'!$B$8+'إعدادات المخزون'!$B$9+'إعدادات المخزون'!$B$10)-MAX(U89,0))/'مواد المخزون'!$F84,0)*'مواد المخزون'!$F84)</f>
        <v>0</v>
      </c>
      <c r="X89" s="107" t="n">
        <f aca="false">IF(AND(K89="نعم",O89&lt;0),-O89+ROW()*0.000000001,0)</f>
        <v>0</v>
      </c>
      <c r="Y89" s="107" t="n">
        <f aca="false">IF(AND(K89="نعم",O89&gt;0),O89+ROW()*0.000000001,0)</f>
        <v>0</v>
      </c>
      <c r="Z89" s="108"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المبيعات'!$H$2:$H$172)/'مواد المخزون'!$D$84</f>
        <v>0</v>
      </c>
      <c r="AA89" s="107" t="n">
        <f aca="false">IF(K89="نعم",O89,0)</f>
        <v>0</v>
      </c>
      <c r="AB89" s="107" t="n">
        <f aca="false">IF(K89="نعم",J89*C89,0)</f>
        <v>0</v>
      </c>
      <c r="AC89" s="107"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7" t="n">
        <f aca="false">'مواد المخزون'!E85</f>
        <v>4.44</v>
      </c>
      <c r="D90" s="108" t="n">
        <f aca="false">'جرد أول المدة'!E88</f>
        <v>1724</v>
      </c>
      <c r="E90" s="108" t="n">
        <f aca="false">SUMIFS('مشتريات يومية'!$D$2:$D$4001,'مشتريات يومية'!$B$2:$B$4001,$B$2,'مشتريات يومية'!$C$2:$C$4001,$A90,'مشتريات يومية'!$A$2:$A$4001,"&gt;="&amp;'إعدادات المخزون'!$B$5,'مشتريات يومية'!$A$2:$A$4001,"&lt;="&amp;'إعدادات المخزون'!$B$4)</f>
        <v>0</v>
      </c>
      <c r="F90" s="108"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8"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8" t="n">
        <f aca="false">SUMPRODUCT('مصفوفة الاستهلاك'!$CG$2:$CG$172,'متجهات المبيعات'!$I$2:$I$172)/'مواد المخزون'!$D$85</f>
        <v>0</v>
      </c>
      <c r="I90" s="108"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8" t="n">
        <f aca="false">D90+E90+F90-G90-H90-I90</f>
        <v>1724</v>
      </c>
      <c r="K90" s="36" t="str">
        <f aca="false">IF(COUNTIFS('جرد فعلي'!$B$2:$B$12001,$B$2,'جرد فعلي'!$C$2:$C$12001,$A90,'جرد فعلي'!$A$2:$A$12001,'إعدادات المخزون'!$B$4)&gt;0,"نعم","لا")</f>
        <v>لا</v>
      </c>
      <c r="L90" s="109" t="str">
        <f aca="false">IF(K90="نعم",SUMIFS('جرد فعلي'!$D$2:$D$12001,'جرد فعلي'!$B$2:$B$12001,$B$2,'جرد فعلي'!$C$2:$C$12001,$A90,'جرد فعلي'!$A$2:$A$12001,'إعدادات المخزون'!$B$4),"")</f>
        <v/>
      </c>
      <c r="M90" s="108" t="str">
        <f aca="false">IF(K90="نعم",L90-J90,"")</f>
        <v/>
      </c>
      <c r="N90" s="110" t="str">
        <f aca="false">IF(K90="نعم",IF(J90=0,IF(M90=0,0,SIGN(M90)),M90/ABS(J90)),"")</f>
        <v/>
      </c>
      <c r="O90" s="107" t="str">
        <f aca="false">IF(K90="نعم",M90*C90,"")</f>
        <v/>
      </c>
      <c r="P90" s="36" t="str">
        <f aca="false">IF(K90&lt;&gt;"نعم","لم يُجرد",IF(ABS(N90)&lt;='إعدادات المخزون'!$B$7,"مطابق",IF(M90&lt;0,"عجز","زيادة")))</f>
        <v>لم يُجرد</v>
      </c>
      <c r="Q90" s="108" t="n">
        <f aca="false">J90-Z90</f>
        <v>1724</v>
      </c>
      <c r="R90" s="108"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8" t="str">
        <f aca="false">IF(AND(K90="نعم",R90&lt;&gt;""),(L90-J90)-(R90-Q90),"")</f>
        <v/>
      </c>
      <c r="T90" s="107" t="str">
        <f aca="false">IF(S90="","",S90*C90)</f>
        <v/>
      </c>
      <c r="U90" s="108" t="n">
        <f aca="false">IF(K90="نعم",L90,J90)</f>
        <v>1724</v>
      </c>
      <c r="V90" s="108" t="n">
        <f aca="false">SUMPRODUCT('مصفوفة الاستهلاك'!$CG$2:$CG$172,'متجهات المبيعات'!$J$2:$J$172)/'مواد المخزون'!$D$85/MAX(1,MIN('إعدادات المخزون'!$B$11,'إعدادات المخزون'!$B$4-'إعدادات المخزون'!$B$5+1))</f>
        <v>0</v>
      </c>
      <c r="W90" s="108" t="n">
        <f aca="false">IF(V90&lt;=0,0,ROUNDUP(MAX(0,V90*('إعدادات المخزون'!$B$8+'إعدادات المخزون'!$B$9+'إعدادات المخزون'!$B$10)-MAX(U90,0))/'مواد المخزون'!$F85,0)*'مواد المخزون'!$F85)</f>
        <v>0</v>
      </c>
      <c r="X90" s="107" t="n">
        <f aca="false">IF(AND(K90="نعم",O90&lt;0),-O90+ROW()*0.000000001,0)</f>
        <v>0</v>
      </c>
      <c r="Y90" s="107" t="n">
        <f aca="false">IF(AND(K90="نعم",O90&gt;0),O90+ROW()*0.000000001,0)</f>
        <v>0</v>
      </c>
      <c r="Z90" s="108"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المبيعات'!$H$2:$H$172)/'مواد المخزون'!$D$85</f>
        <v>0</v>
      </c>
      <c r="AA90" s="107" t="n">
        <f aca="false">IF(K90="نعم",O90,0)</f>
        <v>0</v>
      </c>
      <c r="AB90" s="107" t="n">
        <f aca="false">IF(K90="نعم",J90*C90,0)</f>
        <v>0</v>
      </c>
      <c r="AC90" s="107"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7" t="n">
        <f aca="false">'مواد المخزون'!E86</f>
        <v>8</v>
      </c>
      <c r="D91" s="108" t="n">
        <f aca="false">'جرد أول المدة'!E89</f>
        <v>34</v>
      </c>
      <c r="E91" s="108" t="n">
        <f aca="false">SUMIFS('مشتريات يومية'!$D$2:$D$4001,'مشتريات يومية'!$B$2:$B$4001,$B$2,'مشتريات يومية'!$C$2:$C$4001,$A91,'مشتريات يومية'!$A$2:$A$4001,"&gt;="&amp;'إعدادات المخزون'!$B$5,'مشتريات يومية'!$A$2:$A$4001,"&lt;="&amp;'إعدادات المخزون'!$B$4)</f>
        <v>0</v>
      </c>
      <c r="F91" s="108"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8"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8" t="n">
        <f aca="false">SUMPRODUCT('مصفوفة الاستهلاك'!$CH$2:$CH$172,'متجهات المبيعات'!$I$2:$I$172)/'مواد المخزون'!$D$86</f>
        <v>0</v>
      </c>
      <c r="I91" s="108"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8" t="n">
        <f aca="false">D91+E91+F91-G91-H91-I91</f>
        <v>34</v>
      </c>
      <c r="K91" s="36" t="str">
        <f aca="false">IF(COUNTIFS('جرد فعلي'!$B$2:$B$12001,$B$2,'جرد فعلي'!$C$2:$C$12001,$A91,'جرد فعلي'!$A$2:$A$12001,'إعدادات المخزون'!$B$4)&gt;0,"نعم","لا")</f>
        <v>لا</v>
      </c>
      <c r="L91" s="109" t="str">
        <f aca="false">IF(K91="نعم",SUMIFS('جرد فعلي'!$D$2:$D$12001,'جرد فعلي'!$B$2:$B$12001,$B$2,'جرد فعلي'!$C$2:$C$12001,$A91,'جرد فعلي'!$A$2:$A$12001,'إعدادات المخزون'!$B$4),"")</f>
        <v/>
      </c>
      <c r="M91" s="108" t="str">
        <f aca="false">IF(K91="نعم",L91-J91,"")</f>
        <v/>
      </c>
      <c r="N91" s="110" t="str">
        <f aca="false">IF(K91="نعم",IF(J91=0,IF(M91=0,0,SIGN(M91)),M91/ABS(J91)),"")</f>
        <v/>
      </c>
      <c r="O91" s="107" t="str">
        <f aca="false">IF(K91="نعم",M91*C91,"")</f>
        <v/>
      </c>
      <c r="P91" s="36" t="str">
        <f aca="false">IF(K91&lt;&gt;"نعم","لم يُجرد",IF(ABS(N91)&lt;='إعدادات المخزون'!$B$7,"مطابق",IF(M91&lt;0,"عجز","زيادة")))</f>
        <v>لم يُجرد</v>
      </c>
      <c r="Q91" s="108" t="n">
        <f aca="false">J91-Z91</f>
        <v>34</v>
      </c>
      <c r="R91" s="108"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8" t="str">
        <f aca="false">IF(AND(K91="نعم",R91&lt;&gt;""),(L91-J91)-(R91-Q91),"")</f>
        <v/>
      </c>
      <c r="T91" s="107" t="str">
        <f aca="false">IF(S91="","",S91*C91)</f>
        <v/>
      </c>
      <c r="U91" s="108" t="n">
        <f aca="false">IF(K91="نعم",L91,J91)</f>
        <v>34</v>
      </c>
      <c r="V91" s="108" t="n">
        <f aca="false">SUMPRODUCT('مصفوفة الاستهلاك'!$CH$2:$CH$172,'متجهات المبيعات'!$J$2:$J$172)/'مواد المخزون'!$D$86/MAX(1,MIN('إعدادات المخزون'!$B$11,'إعدادات المخزون'!$B$4-'إعدادات المخزون'!$B$5+1))</f>
        <v>0</v>
      </c>
      <c r="W91" s="108" t="n">
        <f aca="false">IF(V91&lt;=0,0,ROUNDUP(MAX(0,V91*('إعدادات المخزون'!$B$8+'إعدادات المخزون'!$B$9+'إعدادات المخزون'!$B$10)-MAX(U91,0))/'مواد المخزون'!$F86,0)*'مواد المخزون'!$F86)</f>
        <v>0</v>
      </c>
      <c r="X91" s="107" t="n">
        <f aca="false">IF(AND(K91="نعم",O91&lt;0),-O91+ROW()*0.000000001,0)</f>
        <v>0</v>
      </c>
      <c r="Y91" s="107" t="n">
        <f aca="false">IF(AND(K91="نعم",O91&gt;0),O91+ROW()*0.000000001,0)</f>
        <v>0</v>
      </c>
      <c r="Z91" s="108"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المبيعات'!$H$2:$H$172)/'مواد المخزون'!$D$86</f>
        <v>0</v>
      </c>
      <c r="AA91" s="107" t="n">
        <f aca="false">IF(K91="نعم",O91,0)</f>
        <v>0</v>
      </c>
      <c r="AB91" s="107" t="n">
        <f aca="false">IF(K91="نعم",J91*C91,0)</f>
        <v>0</v>
      </c>
      <c r="AC91" s="107" t="n">
        <f aca="false">IF(T91="",0,T91)</f>
        <v>0</v>
      </c>
    </row>
    <row r="93" customFormat="false" ht="15" hidden="false" customHeight="false" outlineLevel="0" collapsed="false">
      <c r="A93" s="33" t="s">
        <v>752</v>
      </c>
      <c r="O93" s="111"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0" t="s">
        <v>755</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756</v>
      </c>
    </row>
    <row r="5" customFormat="false" ht="43.5" hidden="false" customHeight="true" outlineLevel="0" collapsed="false">
      <c r="A5" s="18" t="s">
        <v>757</v>
      </c>
      <c r="B5" s="18" t="s">
        <v>59</v>
      </c>
      <c r="C5" s="18" t="s">
        <v>758</v>
      </c>
      <c r="D5" s="18" t="s">
        <v>759</v>
      </c>
      <c r="E5" s="18" t="s">
        <v>760</v>
      </c>
      <c r="F5" s="18" t="s">
        <v>761</v>
      </c>
      <c r="G5" s="18" t="s">
        <v>762</v>
      </c>
      <c r="H5" s="18" t="s">
        <v>763</v>
      </c>
      <c r="I5" s="18" t="s">
        <v>764</v>
      </c>
      <c r="J5" s="18" t="s">
        <v>765</v>
      </c>
      <c r="K5" s="18" t="s">
        <v>766</v>
      </c>
      <c r="L5" s="18" t="s">
        <v>767</v>
      </c>
      <c r="M5" s="18" t="s">
        <v>768</v>
      </c>
      <c r="N5" s="18" t="s">
        <v>769</v>
      </c>
    </row>
    <row r="6" customFormat="false" ht="15" hidden="false" customHeight="false" outlineLevel="0" collapsed="false">
      <c r="A6" s="36" t="n">
        <v>1</v>
      </c>
      <c r="B6" s="34" t="str">
        <f aca="false">IFERROR(INDEX('مواد المخزون'!$A$2:$A$86,MATCH($A6,'مواد المخزون'!$H$2:$H$86,0)),"")</f>
        <v>بشاميل مصنع</v>
      </c>
      <c r="C6" s="36" t="str">
        <f aca="false">IF($B6="","",INDEX('مواد المخزون'!$B$2:$B$86,MATCH($B6,'مواد المخزون'!$A$2:$A$86,0)))</f>
        <v>كجم</v>
      </c>
      <c r="D6" s="108" t="n">
        <f aca="false">IF($B6="","",INDEX('جرد - محرم بك'!$U$7:$U$91,MATCH($B6,'جرد - محرم بك'!$A$7:$A$91,0)))</f>
        <v>35.25</v>
      </c>
      <c r="E6" s="108" t="n">
        <f aca="false">IF($B6="","",INDEX('جرد - محرم بك'!$V$7:$V$91,MATCH($B6,'جرد - محرم بك'!$A$7:$A$91,0)))</f>
        <v>0</v>
      </c>
      <c r="F6" s="108" t="n">
        <f aca="false">IF($B6="","",INDEX('جرد - محرم بك'!$W$7:$W$91,MATCH($B6,'جرد - محرم بك'!$A$7:$A$91,0)))</f>
        <v>0</v>
      </c>
      <c r="G6" s="108" t="n">
        <f aca="false">IF($B6="","",INDEX('جرد - ابراهيمية'!$U$7:$U$91,MATCH($B6,'جرد - ابراهيمية'!$A$7:$A$91,0)))</f>
        <v>25.5</v>
      </c>
      <c r="H6" s="108" t="n">
        <f aca="false">IF($B6="","",INDEX('جرد - ابراهيمية'!$V$7:$V$91,MATCH($B6,'جرد - ابراهيمية'!$A$7:$A$91,0)))</f>
        <v>0</v>
      </c>
      <c r="I6" s="108" t="n">
        <f aca="false">IF($B6="","",INDEX('جرد - ابراهيمية'!$W$7:$W$91,MATCH($B6,'جرد - ابراهيمية'!$A$7:$A$91,0)))</f>
        <v>0</v>
      </c>
      <c r="J6" s="108" t="n">
        <f aca="false">IF($B6="","",INDEX('جرد - عصافرة'!$U$7:$U$91,MATCH($B6,'جرد - عصافرة'!$A$7:$A$91,0)))</f>
        <v>33.6</v>
      </c>
      <c r="K6" s="108" t="n">
        <f aca="false">IF($B6="","",INDEX('جرد - عصافرة'!$V$7:$V$91,MATCH($B6,'جرد - عصافرة'!$A$7:$A$91,0)))</f>
        <v>0</v>
      </c>
      <c r="L6" s="108" t="n">
        <f aca="false">IF($B6="","",INDEX('جرد - عصافرة'!$W$7:$W$91,MATCH($B6,'جرد - عصافرة'!$A$7:$A$91,0)))</f>
        <v>0</v>
      </c>
      <c r="M6" s="112" t="n">
        <f aca="false">IF($B6="","",F6+I6+L6)</f>
        <v>0</v>
      </c>
      <c r="N6" s="39" t="n">
        <f aca="false">IF($B6="","",M6*INDEX('مواد المخزون'!$E$2:$E$86,MATCH($B6,'مواد المخزون'!$A$2:$A$86,0)))</f>
        <v>0</v>
      </c>
    </row>
    <row r="7" customFormat="false" ht="15" hidden="false" customHeight="false" outlineLevel="0" collapsed="false">
      <c r="A7" s="36" t="n">
        <v>2</v>
      </c>
      <c r="B7" s="34" t="str">
        <f aca="false">IFERROR(INDEX('مواد المخزون'!$A$2:$A$86,MATCH($A7,'مواد المخزون'!$H$2:$H$86,0)),"")</f>
        <v>بشاميل مصنع صيامي</v>
      </c>
      <c r="C7" s="36" t="str">
        <f aca="false">IF($B7="","",INDEX('مواد المخزون'!$B$2:$B$86,MATCH($B7,'مواد المخزون'!$A$2:$A$86,0)))</f>
        <v>كجم</v>
      </c>
      <c r="D7" s="108" t="n">
        <f aca="false">IF($B7="","",INDEX('جرد - محرم بك'!$U$7:$U$91,MATCH($B7,'جرد - محرم بك'!$A$7:$A$91,0)))</f>
        <v>0</v>
      </c>
      <c r="E7" s="108" t="n">
        <f aca="false">IF($B7="","",INDEX('جرد - محرم بك'!$V$7:$V$91,MATCH($B7,'جرد - محرم بك'!$A$7:$A$91,0)))</f>
        <v>0</v>
      </c>
      <c r="F7" s="108" t="n">
        <f aca="false">IF($B7="","",INDEX('جرد - محرم بك'!$W$7:$W$91,MATCH($B7,'جرد - محرم بك'!$A$7:$A$91,0)))</f>
        <v>0</v>
      </c>
      <c r="G7" s="108" t="n">
        <f aca="false">IF($B7="","",INDEX('جرد - ابراهيمية'!$U$7:$U$91,MATCH($B7,'جرد - ابراهيمية'!$A$7:$A$91,0)))</f>
        <v>0</v>
      </c>
      <c r="H7" s="108" t="n">
        <f aca="false">IF($B7="","",INDEX('جرد - ابراهيمية'!$V$7:$V$91,MATCH($B7,'جرد - ابراهيمية'!$A$7:$A$91,0)))</f>
        <v>0</v>
      </c>
      <c r="I7" s="108" t="n">
        <f aca="false">IF($B7="","",INDEX('جرد - ابراهيمية'!$W$7:$W$91,MATCH($B7,'جرد - ابراهيمية'!$A$7:$A$91,0)))</f>
        <v>0</v>
      </c>
      <c r="J7" s="108" t="n">
        <f aca="false">IF($B7="","",INDEX('جرد - عصافرة'!$U$7:$U$91,MATCH($B7,'جرد - عصافرة'!$A$7:$A$91,0)))</f>
        <v>0</v>
      </c>
      <c r="K7" s="108" t="n">
        <f aca="false">IF($B7="","",INDEX('جرد - عصافرة'!$V$7:$V$91,MATCH($B7,'جرد - عصافرة'!$A$7:$A$91,0)))</f>
        <v>0</v>
      </c>
      <c r="L7" s="108" t="n">
        <f aca="false">IF($B7="","",INDEX('جرد - عصافرة'!$W$7:$W$91,MATCH($B7,'جرد - عصافرة'!$A$7:$A$91,0)))</f>
        <v>0</v>
      </c>
      <c r="M7" s="112" t="n">
        <f aca="false">IF($B7="","",F7+I7+L7)</f>
        <v>0</v>
      </c>
      <c r="N7" s="39" t="n">
        <f aca="false">IF($B7="","",M7*INDEX('مواد المخزون'!$E$2:$E$86,MATCH($B7,'مواد المخزون'!$A$2:$A$86,0)))</f>
        <v>0</v>
      </c>
    </row>
    <row r="8" customFormat="false" ht="15" hidden="false" customHeight="false" outlineLevel="0" collapsed="false">
      <c r="A8" s="36" t="n">
        <v>3</v>
      </c>
      <c r="B8" s="34" t="str">
        <f aca="false">IFERROR(INDEX('مواد المخزون'!$A$2:$A$86,MATCH($A8,'مواد المخزون'!$H$2:$H$86,0)),"")</f>
        <v>صلصة مصنع</v>
      </c>
      <c r="C8" s="36" t="str">
        <f aca="false">IF($B8="","",INDEX('مواد المخزون'!$B$2:$B$86,MATCH($B8,'مواد المخزون'!$A$2:$A$86,0)))</f>
        <v>كجم</v>
      </c>
      <c r="D8" s="108" t="n">
        <f aca="false">IF($B8="","",INDEX('جرد - محرم بك'!$U$7:$U$91,MATCH($B8,'جرد - محرم بك'!$A$7:$A$91,0)))</f>
        <v>34</v>
      </c>
      <c r="E8" s="108" t="n">
        <f aca="false">IF($B8="","",INDEX('جرد - محرم بك'!$V$7:$V$91,MATCH($B8,'جرد - محرم بك'!$A$7:$A$91,0)))</f>
        <v>0</v>
      </c>
      <c r="F8" s="108" t="n">
        <f aca="false">IF($B8="","",INDEX('جرد - محرم بك'!$W$7:$W$91,MATCH($B8,'جرد - محرم بك'!$A$7:$A$91,0)))</f>
        <v>0</v>
      </c>
      <c r="G8" s="108" t="n">
        <f aca="false">IF($B8="","",INDEX('جرد - ابراهيمية'!$U$7:$U$91,MATCH($B8,'جرد - ابراهيمية'!$A$7:$A$91,0)))</f>
        <v>33.797</v>
      </c>
      <c r="H8" s="108" t="n">
        <f aca="false">IF($B8="","",INDEX('جرد - ابراهيمية'!$V$7:$V$91,MATCH($B8,'جرد - ابراهيمية'!$A$7:$A$91,0)))</f>
        <v>0</v>
      </c>
      <c r="I8" s="108" t="n">
        <f aca="false">IF($B8="","",INDEX('جرد - ابراهيمية'!$W$7:$W$91,MATCH($B8,'جرد - ابراهيمية'!$A$7:$A$91,0)))</f>
        <v>0</v>
      </c>
      <c r="J8" s="108" t="n">
        <f aca="false">IF($B8="","",INDEX('جرد - عصافرة'!$U$7:$U$91,MATCH($B8,'جرد - عصافرة'!$A$7:$A$91,0)))</f>
        <v>27.526</v>
      </c>
      <c r="K8" s="108" t="n">
        <f aca="false">IF($B8="","",INDEX('جرد - عصافرة'!$V$7:$V$91,MATCH($B8,'جرد - عصافرة'!$A$7:$A$91,0)))</f>
        <v>0</v>
      </c>
      <c r="L8" s="108" t="n">
        <f aca="false">IF($B8="","",INDEX('جرد - عصافرة'!$W$7:$W$91,MATCH($B8,'جرد - عصافرة'!$A$7:$A$91,0)))</f>
        <v>0</v>
      </c>
      <c r="M8" s="112" t="n">
        <f aca="false">IF($B8="","",F8+I8+L8)</f>
        <v>0</v>
      </c>
      <c r="N8" s="39" t="n">
        <f aca="false">IF($B8="","",M8*INDEX('مواد المخزون'!$E$2:$E$86,MATCH($B8,'مواد المخزون'!$A$2:$A$86,0)))</f>
        <v>0</v>
      </c>
    </row>
    <row r="9" customFormat="false" ht="15" hidden="false" customHeight="false" outlineLevel="0" collapsed="false">
      <c r="A9" s="36" t="n">
        <v>4</v>
      </c>
      <c r="B9" s="34" t="str">
        <f aca="false">IFERROR(INDEX('مواد المخزون'!$A$2:$A$86,MATCH($A9,'مواد المخزون'!$H$2:$H$86,0)),"")</f>
        <v>عجين بيتزا</v>
      </c>
      <c r="C9" s="36" t="str">
        <f aca="false">IF($B9="","",INDEX('مواد المخزون'!$B$2:$B$86,MATCH($B9,'مواد المخزون'!$A$2:$A$86,0)))</f>
        <v>كجم</v>
      </c>
      <c r="D9" s="108" t="n">
        <f aca="false">IF($B9="","",INDEX('جرد - محرم بك'!$U$7:$U$91,MATCH($B9,'جرد - محرم بك'!$A$7:$A$91,0)))</f>
        <v>182.5</v>
      </c>
      <c r="E9" s="108" t="n">
        <f aca="false">IF($B9="","",INDEX('جرد - محرم بك'!$V$7:$V$91,MATCH($B9,'جرد - محرم بك'!$A$7:$A$91,0)))</f>
        <v>0</v>
      </c>
      <c r="F9" s="108" t="n">
        <f aca="false">IF($B9="","",INDEX('جرد - محرم بك'!$W$7:$W$91,MATCH($B9,'جرد - محرم بك'!$A$7:$A$91,0)))</f>
        <v>0</v>
      </c>
      <c r="G9" s="108" t="n">
        <f aca="false">IF($B9="","",INDEX('جرد - ابراهيمية'!$U$7:$U$91,MATCH($B9,'جرد - ابراهيمية'!$A$7:$A$91,0)))</f>
        <v>160</v>
      </c>
      <c r="H9" s="108" t="n">
        <f aca="false">IF($B9="","",INDEX('جرد - ابراهيمية'!$V$7:$V$91,MATCH($B9,'جرد - ابراهيمية'!$A$7:$A$91,0)))</f>
        <v>0</v>
      </c>
      <c r="I9" s="108" t="n">
        <f aca="false">IF($B9="","",INDEX('جرد - ابراهيمية'!$W$7:$W$91,MATCH($B9,'جرد - ابراهيمية'!$A$7:$A$91,0)))</f>
        <v>0</v>
      </c>
      <c r="J9" s="108" t="n">
        <f aca="false">IF($B9="","",INDEX('جرد - عصافرة'!$U$7:$U$91,MATCH($B9,'جرد - عصافرة'!$A$7:$A$91,0)))</f>
        <v>203.68</v>
      </c>
      <c r="K9" s="108" t="n">
        <f aca="false">IF($B9="","",INDEX('جرد - عصافرة'!$V$7:$V$91,MATCH($B9,'جرد - عصافرة'!$A$7:$A$91,0)))</f>
        <v>0</v>
      </c>
      <c r="L9" s="108" t="n">
        <f aca="false">IF($B9="","",INDEX('جرد - عصافرة'!$W$7:$W$91,MATCH($B9,'جرد - عصافرة'!$A$7:$A$91,0)))</f>
        <v>0</v>
      </c>
      <c r="M9" s="112" t="n">
        <f aca="false">IF($B9="","",F9+I9+L9)</f>
        <v>0</v>
      </c>
      <c r="N9" s="39" t="n">
        <f aca="false">IF($B9="","",M9*INDEX('مواد المخزون'!$E$2:$E$86,MATCH($B9,'مواد المخزون'!$A$2:$A$86,0)))</f>
        <v>0</v>
      </c>
    </row>
    <row r="10" customFormat="false" ht="15" hidden="false" customHeight="false" outlineLevel="0" collapsed="false">
      <c r="A10" s="36" t="n">
        <v>5</v>
      </c>
      <c r="B10" s="34" t="str">
        <f aca="false">IFERROR(INDEX('مواد المخزون'!$A$2:$A$86,MATCH($A10,'مواد المخزون'!$H$2:$H$86,0)),"")</f>
        <v>عجين فطير</v>
      </c>
      <c r="C10" s="36" t="str">
        <f aca="false">IF($B10="","",INDEX('مواد المخزون'!$B$2:$B$86,MATCH($B10,'مواد المخزون'!$A$2:$A$86,0)))</f>
        <v>قطعة</v>
      </c>
      <c r="D10" s="108" t="n">
        <f aca="false">IF($B10="","",INDEX('جرد - محرم بك'!$U$7:$U$91,MATCH($B10,'جرد - محرم بك'!$A$7:$A$91,0)))</f>
        <v>2050</v>
      </c>
      <c r="E10" s="108" t="n">
        <f aca="false">IF($B10="","",INDEX('جرد - محرم بك'!$V$7:$V$91,MATCH($B10,'جرد - محرم بك'!$A$7:$A$91,0)))</f>
        <v>0</v>
      </c>
      <c r="F10" s="108" t="n">
        <f aca="false">IF($B10="","",INDEX('جرد - محرم بك'!$W$7:$W$91,MATCH($B10,'جرد - محرم بك'!$A$7:$A$91,0)))</f>
        <v>0</v>
      </c>
      <c r="G10" s="108" t="n">
        <f aca="false">IF($B10="","",INDEX('جرد - ابراهيمية'!$U$7:$U$91,MATCH($B10,'جرد - ابراهيمية'!$A$7:$A$91,0)))</f>
        <v>1599</v>
      </c>
      <c r="H10" s="108" t="n">
        <f aca="false">IF($B10="","",INDEX('جرد - ابراهيمية'!$V$7:$V$91,MATCH($B10,'جرد - ابراهيمية'!$A$7:$A$91,0)))</f>
        <v>0</v>
      </c>
      <c r="I10" s="108" t="n">
        <f aca="false">IF($B10="","",INDEX('جرد - ابراهيمية'!$W$7:$W$91,MATCH($B10,'جرد - ابراهيمية'!$A$7:$A$91,0)))</f>
        <v>0</v>
      </c>
      <c r="J10" s="108" t="n">
        <f aca="false">IF($B10="","",INDEX('جرد - عصافرة'!$U$7:$U$91,MATCH($B10,'جرد - عصافرة'!$A$7:$A$91,0)))</f>
        <v>2052</v>
      </c>
      <c r="K10" s="108" t="n">
        <f aca="false">IF($B10="","",INDEX('جرد - عصافرة'!$V$7:$V$91,MATCH($B10,'جرد - عصافرة'!$A$7:$A$91,0)))</f>
        <v>0</v>
      </c>
      <c r="L10" s="108" t="n">
        <f aca="false">IF($B10="","",INDEX('جرد - عصافرة'!$W$7:$W$91,MATCH($B10,'جرد - عصافرة'!$A$7:$A$91,0)))</f>
        <v>0</v>
      </c>
      <c r="M10" s="112" t="n">
        <f aca="false">IF($B10="","",F10+I10+L10)</f>
        <v>0</v>
      </c>
      <c r="N10" s="39" t="n">
        <f aca="false">IF($B10="","",M10*INDEX('مواد المخزون'!$E$2:$E$86,MATCH($B10,'مواد المخزون'!$A$2:$A$86,0)))</f>
        <v>0</v>
      </c>
    </row>
    <row r="11" customFormat="false" ht="15" hidden="false" customHeight="false" outlineLevel="0" collapsed="false">
      <c r="A11" s="36" t="n">
        <v>6</v>
      </c>
      <c r="B11" s="34" t="str">
        <f aca="false">IFERROR(INDEX('مواد المخزون'!$A$2:$A$86,MATCH($A11,'مواد المخزون'!$H$2:$H$86,0)),"")</f>
        <v/>
      </c>
      <c r="C11" s="36" t="str">
        <f aca="false">IF($B11="","",INDEX('مواد المخزون'!$B$2:$B$86,MATCH($B11,'مواد المخزون'!$A$2:$A$86,0)))</f>
        <v/>
      </c>
      <c r="D11" s="108" t="str">
        <f aca="false">IF($B11="","",INDEX('جرد - محرم بك'!$U$7:$U$91,MATCH($B11,'جرد - محرم بك'!$A$7:$A$91,0)))</f>
        <v/>
      </c>
      <c r="E11" s="108" t="str">
        <f aca="false">IF($B11="","",INDEX('جرد - محرم بك'!$V$7:$V$91,MATCH($B11,'جرد - محرم بك'!$A$7:$A$91,0)))</f>
        <v/>
      </c>
      <c r="F11" s="108" t="str">
        <f aca="false">IF($B11="","",INDEX('جرد - محرم بك'!$W$7:$W$91,MATCH($B11,'جرد - محرم بك'!$A$7:$A$91,0)))</f>
        <v/>
      </c>
      <c r="G11" s="108" t="str">
        <f aca="false">IF($B11="","",INDEX('جرد - ابراهيمية'!$U$7:$U$91,MATCH($B11,'جرد - ابراهيمية'!$A$7:$A$91,0)))</f>
        <v/>
      </c>
      <c r="H11" s="108" t="str">
        <f aca="false">IF($B11="","",INDEX('جرد - ابراهيمية'!$V$7:$V$91,MATCH($B11,'جرد - ابراهيمية'!$A$7:$A$91,0)))</f>
        <v/>
      </c>
      <c r="I11" s="108" t="str">
        <f aca="false">IF($B11="","",INDEX('جرد - ابراهيمية'!$W$7:$W$91,MATCH($B11,'جرد - ابراهيمية'!$A$7:$A$91,0)))</f>
        <v/>
      </c>
      <c r="J11" s="108" t="str">
        <f aca="false">IF($B11="","",INDEX('جرد - عصافرة'!$U$7:$U$91,MATCH($B11,'جرد - عصافرة'!$A$7:$A$91,0)))</f>
        <v/>
      </c>
      <c r="K11" s="108" t="str">
        <f aca="false">IF($B11="","",INDEX('جرد - عصافرة'!$V$7:$V$91,MATCH($B11,'جرد - عصافرة'!$A$7:$A$91,0)))</f>
        <v/>
      </c>
      <c r="L11" s="108" t="str">
        <f aca="false">IF($B11="","",INDEX('جرد - عصافرة'!$W$7:$W$91,MATCH($B11,'جرد - عصافرة'!$A$7:$A$91,0)))</f>
        <v/>
      </c>
      <c r="M11" s="112" t="str">
        <f aca="false">IF($B11="","",F11+I11+L11)</f>
        <v/>
      </c>
      <c r="N11" s="39" t="str">
        <f aca="false">IF($B11="","",M11*INDEX('مواد المخزون'!$E$2:$E$86,MATCH($B11,'مواد المخزون'!$A$2:$A$86,0)))</f>
        <v/>
      </c>
    </row>
    <row r="12" customFormat="false" ht="15" hidden="false" customHeight="false" outlineLevel="0" collapsed="false">
      <c r="A12" s="36" t="n">
        <v>7</v>
      </c>
      <c r="B12" s="34" t="str">
        <f aca="false">IFERROR(INDEX('مواد المخزون'!$A$2:$A$86,MATCH($A12,'مواد المخزون'!$H$2:$H$86,0)),"")</f>
        <v/>
      </c>
      <c r="C12" s="36" t="str">
        <f aca="false">IF($B12="","",INDEX('مواد المخزون'!$B$2:$B$86,MATCH($B12,'مواد المخزون'!$A$2:$A$86,0)))</f>
        <v/>
      </c>
      <c r="D12" s="108" t="str">
        <f aca="false">IF($B12="","",INDEX('جرد - محرم بك'!$U$7:$U$91,MATCH($B12,'جرد - محرم بك'!$A$7:$A$91,0)))</f>
        <v/>
      </c>
      <c r="E12" s="108" t="str">
        <f aca="false">IF($B12="","",INDEX('جرد - محرم بك'!$V$7:$V$91,MATCH($B12,'جرد - محرم بك'!$A$7:$A$91,0)))</f>
        <v/>
      </c>
      <c r="F12" s="108" t="str">
        <f aca="false">IF($B12="","",INDEX('جرد - محرم بك'!$W$7:$W$91,MATCH($B12,'جرد - محرم بك'!$A$7:$A$91,0)))</f>
        <v/>
      </c>
      <c r="G12" s="108" t="str">
        <f aca="false">IF($B12="","",INDEX('جرد - ابراهيمية'!$U$7:$U$91,MATCH($B12,'جرد - ابراهيمية'!$A$7:$A$91,0)))</f>
        <v/>
      </c>
      <c r="H12" s="108" t="str">
        <f aca="false">IF($B12="","",INDEX('جرد - ابراهيمية'!$V$7:$V$91,MATCH($B12,'جرد - ابراهيمية'!$A$7:$A$91,0)))</f>
        <v/>
      </c>
      <c r="I12" s="108" t="str">
        <f aca="false">IF($B12="","",INDEX('جرد - ابراهيمية'!$W$7:$W$91,MATCH($B12,'جرد - ابراهيمية'!$A$7:$A$91,0)))</f>
        <v/>
      </c>
      <c r="J12" s="108" t="str">
        <f aca="false">IF($B12="","",INDEX('جرد - عصافرة'!$U$7:$U$91,MATCH($B12,'جرد - عصافرة'!$A$7:$A$91,0)))</f>
        <v/>
      </c>
      <c r="K12" s="108" t="str">
        <f aca="false">IF($B12="","",INDEX('جرد - عصافرة'!$V$7:$V$91,MATCH($B12,'جرد - عصافرة'!$A$7:$A$91,0)))</f>
        <v/>
      </c>
      <c r="L12" s="108" t="str">
        <f aca="false">IF($B12="","",INDEX('جرد - عصافرة'!$W$7:$W$91,MATCH($B12,'جرد - عصافرة'!$A$7:$A$91,0)))</f>
        <v/>
      </c>
      <c r="M12" s="112" t="str">
        <f aca="false">IF($B12="","",F12+I12+L12)</f>
        <v/>
      </c>
      <c r="N12" s="39" t="str">
        <f aca="false">IF($B12="","",M12*INDEX('مواد المخزون'!$E$2:$E$86,MATCH($B12,'مواد المخزون'!$A$2:$A$86,0)))</f>
        <v/>
      </c>
    </row>
    <row r="13" customFormat="false" ht="15" hidden="false" customHeight="false" outlineLevel="0" collapsed="false">
      <c r="A13" s="36" t="n">
        <v>8</v>
      </c>
      <c r="B13" s="34" t="str">
        <f aca="false">IFERROR(INDEX('مواد المخزون'!$A$2:$A$86,MATCH($A13,'مواد المخزون'!$H$2:$H$86,0)),"")</f>
        <v/>
      </c>
      <c r="C13" s="36" t="str">
        <f aca="false">IF($B13="","",INDEX('مواد المخزون'!$B$2:$B$86,MATCH($B13,'مواد المخزون'!$A$2:$A$86,0)))</f>
        <v/>
      </c>
      <c r="D13" s="108" t="str">
        <f aca="false">IF($B13="","",INDEX('جرد - محرم بك'!$U$7:$U$91,MATCH($B13,'جرد - محرم بك'!$A$7:$A$91,0)))</f>
        <v/>
      </c>
      <c r="E13" s="108" t="str">
        <f aca="false">IF($B13="","",INDEX('جرد - محرم بك'!$V$7:$V$91,MATCH($B13,'جرد - محرم بك'!$A$7:$A$91,0)))</f>
        <v/>
      </c>
      <c r="F13" s="108" t="str">
        <f aca="false">IF($B13="","",INDEX('جرد - محرم بك'!$W$7:$W$91,MATCH($B13,'جرد - محرم بك'!$A$7:$A$91,0)))</f>
        <v/>
      </c>
      <c r="G13" s="108" t="str">
        <f aca="false">IF($B13="","",INDEX('جرد - ابراهيمية'!$U$7:$U$91,MATCH($B13,'جرد - ابراهيمية'!$A$7:$A$91,0)))</f>
        <v/>
      </c>
      <c r="H13" s="108" t="str">
        <f aca="false">IF($B13="","",INDEX('جرد - ابراهيمية'!$V$7:$V$91,MATCH($B13,'جرد - ابراهيمية'!$A$7:$A$91,0)))</f>
        <v/>
      </c>
      <c r="I13" s="108" t="str">
        <f aca="false">IF($B13="","",INDEX('جرد - ابراهيمية'!$W$7:$W$91,MATCH($B13,'جرد - ابراهيمية'!$A$7:$A$91,0)))</f>
        <v/>
      </c>
      <c r="J13" s="108" t="str">
        <f aca="false">IF($B13="","",INDEX('جرد - عصافرة'!$U$7:$U$91,MATCH($B13,'جرد - عصافرة'!$A$7:$A$91,0)))</f>
        <v/>
      </c>
      <c r="K13" s="108" t="str">
        <f aca="false">IF($B13="","",INDEX('جرد - عصافرة'!$V$7:$V$91,MATCH($B13,'جرد - عصافرة'!$A$7:$A$91,0)))</f>
        <v/>
      </c>
      <c r="L13" s="108" t="str">
        <f aca="false">IF($B13="","",INDEX('جرد - عصافرة'!$W$7:$W$91,MATCH($B13,'جرد - عصافرة'!$A$7:$A$91,0)))</f>
        <v/>
      </c>
      <c r="M13" s="112" t="str">
        <f aca="false">IF($B13="","",F13+I13+L13)</f>
        <v/>
      </c>
      <c r="N13" s="39" t="str">
        <f aca="false">IF($B13="","",M13*INDEX('مواد المخزون'!$E$2:$E$86,MATCH($B13,'مواد المخزون'!$A$2:$A$86,0)))</f>
        <v/>
      </c>
    </row>
    <row r="14" customFormat="false" ht="15" hidden="false" customHeight="false" outlineLevel="0" collapsed="false">
      <c r="A14" s="36" t="n">
        <v>9</v>
      </c>
      <c r="B14" s="34" t="str">
        <f aca="false">IFERROR(INDEX('مواد المخزون'!$A$2:$A$86,MATCH($A14,'مواد المخزون'!$H$2:$H$86,0)),"")</f>
        <v/>
      </c>
      <c r="C14" s="36" t="str">
        <f aca="false">IF($B14="","",INDEX('مواد المخزون'!$B$2:$B$86,MATCH($B14,'مواد المخزون'!$A$2:$A$86,0)))</f>
        <v/>
      </c>
      <c r="D14" s="108" t="str">
        <f aca="false">IF($B14="","",INDEX('جرد - محرم بك'!$U$7:$U$91,MATCH($B14,'جرد - محرم بك'!$A$7:$A$91,0)))</f>
        <v/>
      </c>
      <c r="E14" s="108" t="str">
        <f aca="false">IF($B14="","",INDEX('جرد - محرم بك'!$V$7:$V$91,MATCH($B14,'جرد - محرم بك'!$A$7:$A$91,0)))</f>
        <v/>
      </c>
      <c r="F14" s="108" t="str">
        <f aca="false">IF($B14="","",INDEX('جرد - محرم بك'!$W$7:$W$91,MATCH($B14,'جرد - محرم بك'!$A$7:$A$91,0)))</f>
        <v/>
      </c>
      <c r="G14" s="108" t="str">
        <f aca="false">IF($B14="","",INDEX('جرد - ابراهيمية'!$U$7:$U$91,MATCH($B14,'جرد - ابراهيمية'!$A$7:$A$91,0)))</f>
        <v/>
      </c>
      <c r="H14" s="108" t="str">
        <f aca="false">IF($B14="","",INDEX('جرد - ابراهيمية'!$V$7:$V$91,MATCH($B14,'جرد - ابراهيمية'!$A$7:$A$91,0)))</f>
        <v/>
      </c>
      <c r="I14" s="108" t="str">
        <f aca="false">IF($B14="","",INDEX('جرد - ابراهيمية'!$W$7:$W$91,MATCH($B14,'جرد - ابراهيمية'!$A$7:$A$91,0)))</f>
        <v/>
      </c>
      <c r="J14" s="108" t="str">
        <f aca="false">IF($B14="","",INDEX('جرد - عصافرة'!$U$7:$U$91,MATCH($B14,'جرد - عصافرة'!$A$7:$A$91,0)))</f>
        <v/>
      </c>
      <c r="K14" s="108" t="str">
        <f aca="false">IF($B14="","",INDEX('جرد - عصافرة'!$V$7:$V$91,MATCH($B14,'جرد - عصافرة'!$A$7:$A$91,0)))</f>
        <v/>
      </c>
      <c r="L14" s="108" t="str">
        <f aca="false">IF($B14="","",INDEX('جرد - عصافرة'!$W$7:$W$91,MATCH($B14,'جرد - عصافرة'!$A$7:$A$91,0)))</f>
        <v/>
      </c>
      <c r="M14" s="112" t="str">
        <f aca="false">IF($B14="","",F14+I14+L14)</f>
        <v/>
      </c>
      <c r="N14" s="39" t="str">
        <f aca="false">IF($B14="","",M14*INDEX('مواد المخزون'!$E$2:$E$86,MATCH($B14,'مواد المخزون'!$A$2:$A$86,0)))</f>
        <v/>
      </c>
    </row>
    <row r="15" customFormat="false" ht="15" hidden="false" customHeight="false" outlineLevel="0" collapsed="false">
      <c r="A15" s="36" t="n">
        <v>10</v>
      </c>
      <c r="B15" s="34" t="str">
        <f aca="false">IFERROR(INDEX('مواد المخزون'!$A$2:$A$86,MATCH($A15,'مواد المخزون'!$H$2:$H$86,0)),"")</f>
        <v/>
      </c>
      <c r="C15" s="36" t="str">
        <f aca="false">IF($B15="","",INDEX('مواد المخزون'!$B$2:$B$86,MATCH($B15,'مواد المخزون'!$A$2:$A$86,0)))</f>
        <v/>
      </c>
      <c r="D15" s="108" t="str">
        <f aca="false">IF($B15="","",INDEX('جرد - محرم بك'!$U$7:$U$91,MATCH($B15,'جرد - محرم بك'!$A$7:$A$91,0)))</f>
        <v/>
      </c>
      <c r="E15" s="108" t="str">
        <f aca="false">IF($B15="","",INDEX('جرد - محرم بك'!$V$7:$V$91,MATCH($B15,'جرد - محرم بك'!$A$7:$A$91,0)))</f>
        <v/>
      </c>
      <c r="F15" s="108" t="str">
        <f aca="false">IF($B15="","",INDEX('جرد - محرم بك'!$W$7:$W$91,MATCH($B15,'جرد - محرم بك'!$A$7:$A$91,0)))</f>
        <v/>
      </c>
      <c r="G15" s="108" t="str">
        <f aca="false">IF($B15="","",INDEX('جرد - ابراهيمية'!$U$7:$U$91,MATCH($B15,'جرد - ابراهيمية'!$A$7:$A$91,0)))</f>
        <v/>
      </c>
      <c r="H15" s="108" t="str">
        <f aca="false">IF($B15="","",INDEX('جرد - ابراهيمية'!$V$7:$V$91,MATCH($B15,'جرد - ابراهيمية'!$A$7:$A$91,0)))</f>
        <v/>
      </c>
      <c r="I15" s="108" t="str">
        <f aca="false">IF($B15="","",INDEX('جرد - ابراهيمية'!$W$7:$W$91,MATCH($B15,'جرد - ابراهيمية'!$A$7:$A$91,0)))</f>
        <v/>
      </c>
      <c r="J15" s="108" t="str">
        <f aca="false">IF($B15="","",INDEX('جرد - عصافرة'!$U$7:$U$91,MATCH($B15,'جرد - عصافرة'!$A$7:$A$91,0)))</f>
        <v/>
      </c>
      <c r="K15" s="108" t="str">
        <f aca="false">IF($B15="","",INDEX('جرد - عصافرة'!$V$7:$V$91,MATCH($B15,'جرد - عصافرة'!$A$7:$A$91,0)))</f>
        <v/>
      </c>
      <c r="L15" s="108" t="str">
        <f aca="false">IF($B15="","",INDEX('جرد - عصافرة'!$W$7:$W$91,MATCH($B15,'جرد - عصافرة'!$A$7:$A$91,0)))</f>
        <v/>
      </c>
      <c r="M15" s="112" t="str">
        <f aca="false">IF($B15="","",F15+I15+L15)</f>
        <v/>
      </c>
      <c r="N15" s="39" t="str">
        <f aca="false">IF($B15="","",M15*INDEX('مواد المخزون'!$E$2:$E$86,MATCH($B15,'مواد المخزون'!$A$2:$A$86,0)))</f>
        <v/>
      </c>
    </row>
    <row r="16" customFormat="false" ht="15" hidden="false" customHeight="false" outlineLevel="0" collapsed="false">
      <c r="A16" s="36" t="n">
        <v>11</v>
      </c>
      <c r="B16" s="34" t="str">
        <f aca="false">IFERROR(INDEX('مواد المخزون'!$A$2:$A$86,MATCH($A16,'مواد المخزون'!$H$2:$H$86,0)),"")</f>
        <v/>
      </c>
      <c r="C16" s="36" t="str">
        <f aca="false">IF($B16="","",INDEX('مواد المخزون'!$B$2:$B$86,MATCH($B16,'مواد المخزون'!$A$2:$A$86,0)))</f>
        <v/>
      </c>
      <c r="D16" s="108" t="str">
        <f aca="false">IF($B16="","",INDEX('جرد - محرم بك'!$U$7:$U$91,MATCH($B16,'جرد - محرم بك'!$A$7:$A$91,0)))</f>
        <v/>
      </c>
      <c r="E16" s="108" t="str">
        <f aca="false">IF($B16="","",INDEX('جرد - محرم بك'!$V$7:$V$91,MATCH($B16,'جرد - محرم بك'!$A$7:$A$91,0)))</f>
        <v/>
      </c>
      <c r="F16" s="108" t="str">
        <f aca="false">IF($B16="","",INDEX('جرد - محرم بك'!$W$7:$W$91,MATCH($B16,'جرد - محرم بك'!$A$7:$A$91,0)))</f>
        <v/>
      </c>
      <c r="G16" s="108" t="str">
        <f aca="false">IF($B16="","",INDEX('جرد - ابراهيمية'!$U$7:$U$91,MATCH($B16,'جرد - ابراهيمية'!$A$7:$A$91,0)))</f>
        <v/>
      </c>
      <c r="H16" s="108" t="str">
        <f aca="false">IF($B16="","",INDEX('جرد - ابراهيمية'!$V$7:$V$91,MATCH($B16,'جرد - ابراهيمية'!$A$7:$A$91,0)))</f>
        <v/>
      </c>
      <c r="I16" s="108" t="str">
        <f aca="false">IF($B16="","",INDEX('جرد - ابراهيمية'!$W$7:$W$91,MATCH($B16,'جرد - ابراهيمية'!$A$7:$A$91,0)))</f>
        <v/>
      </c>
      <c r="J16" s="108" t="str">
        <f aca="false">IF($B16="","",INDEX('جرد - عصافرة'!$U$7:$U$91,MATCH($B16,'جرد - عصافرة'!$A$7:$A$91,0)))</f>
        <v/>
      </c>
      <c r="K16" s="108" t="str">
        <f aca="false">IF($B16="","",INDEX('جرد - عصافرة'!$V$7:$V$91,MATCH($B16,'جرد - عصافرة'!$A$7:$A$91,0)))</f>
        <v/>
      </c>
      <c r="L16" s="108" t="str">
        <f aca="false">IF($B16="","",INDEX('جرد - عصافرة'!$W$7:$W$91,MATCH($B16,'جرد - عصافرة'!$A$7:$A$91,0)))</f>
        <v/>
      </c>
      <c r="M16" s="112" t="str">
        <f aca="false">IF($B16="","",F16+I16+L16)</f>
        <v/>
      </c>
      <c r="N16" s="39" t="str">
        <f aca="false">IF($B16="","",M16*INDEX('مواد المخزون'!$E$2:$E$86,MATCH($B16,'مواد المخزون'!$A$2:$A$86,0)))</f>
        <v/>
      </c>
    </row>
    <row r="17" customFormat="false" ht="15" hidden="false" customHeight="false" outlineLevel="0" collapsed="false">
      <c r="A17" s="36" t="n">
        <v>12</v>
      </c>
      <c r="B17" s="34" t="str">
        <f aca="false">IFERROR(INDEX('مواد المخزون'!$A$2:$A$86,MATCH($A17,'مواد المخزون'!$H$2:$H$86,0)),"")</f>
        <v/>
      </c>
      <c r="C17" s="36" t="str">
        <f aca="false">IF($B17="","",INDEX('مواد المخزون'!$B$2:$B$86,MATCH($B17,'مواد المخزون'!$A$2:$A$86,0)))</f>
        <v/>
      </c>
      <c r="D17" s="108" t="str">
        <f aca="false">IF($B17="","",INDEX('جرد - محرم بك'!$U$7:$U$91,MATCH($B17,'جرد - محرم بك'!$A$7:$A$91,0)))</f>
        <v/>
      </c>
      <c r="E17" s="108" t="str">
        <f aca="false">IF($B17="","",INDEX('جرد - محرم بك'!$V$7:$V$91,MATCH($B17,'جرد - محرم بك'!$A$7:$A$91,0)))</f>
        <v/>
      </c>
      <c r="F17" s="108" t="str">
        <f aca="false">IF($B17="","",INDEX('جرد - محرم بك'!$W$7:$W$91,MATCH($B17,'جرد - محرم بك'!$A$7:$A$91,0)))</f>
        <v/>
      </c>
      <c r="G17" s="108" t="str">
        <f aca="false">IF($B17="","",INDEX('جرد - ابراهيمية'!$U$7:$U$91,MATCH($B17,'جرد - ابراهيمية'!$A$7:$A$91,0)))</f>
        <v/>
      </c>
      <c r="H17" s="108" t="str">
        <f aca="false">IF($B17="","",INDEX('جرد - ابراهيمية'!$V$7:$V$91,MATCH($B17,'جرد - ابراهيمية'!$A$7:$A$91,0)))</f>
        <v/>
      </c>
      <c r="I17" s="108" t="str">
        <f aca="false">IF($B17="","",INDEX('جرد - ابراهيمية'!$W$7:$W$91,MATCH($B17,'جرد - ابراهيمية'!$A$7:$A$91,0)))</f>
        <v/>
      </c>
      <c r="J17" s="108" t="str">
        <f aca="false">IF($B17="","",INDEX('جرد - عصافرة'!$U$7:$U$91,MATCH($B17,'جرد - عصافرة'!$A$7:$A$91,0)))</f>
        <v/>
      </c>
      <c r="K17" s="108" t="str">
        <f aca="false">IF($B17="","",INDEX('جرد - عصافرة'!$V$7:$V$91,MATCH($B17,'جرد - عصافرة'!$A$7:$A$91,0)))</f>
        <v/>
      </c>
      <c r="L17" s="108" t="str">
        <f aca="false">IF($B17="","",INDEX('جرد - عصافرة'!$W$7:$W$91,MATCH($B17,'جرد - عصافرة'!$A$7:$A$91,0)))</f>
        <v/>
      </c>
      <c r="M17" s="112" t="str">
        <f aca="false">IF($B17="","",F17+I17+L17)</f>
        <v/>
      </c>
      <c r="N17" s="39" t="str">
        <f aca="false">IF($B17="","",M17*INDEX('مواد المخزون'!$E$2:$E$86,MATCH($B17,'مواد المخزون'!$A$2:$A$86,0)))</f>
        <v/>
      </c>
    </row>
    <row r="18" customFormat="false" ht="15" hidden="false" customHeight="false" outlineLevel="0" collapsed="false">
      <c r="A18" s="36" t="n">
        <v>13</v>
      </c>
      <c r="B18" s="34" t="str">
        <f aca="false">IFERROR(INDEX('مواد المخزون'!$A$2:$A$86,MATCH($A18,'مواد المخزون'!$H$2:$H$86,0)),"")</f>
        <v/>
      </c>
      <c r="C18" s="36" t="str">
        <f aca="false">IF($B18="","",INDEX('مواد المخزون'!$B$2:$B$86,MATCH($B18,'مواد المخزون'!$A$2:$A$86,0)))</f>
        <v/>
      </c>
      <c r="D18" s="108" t="str">
        <f aca="false">IF($B18="","",INDEX('جرد - محرم بك'!$U$7:$U$91,MATCH($B18,'جرد - محرم بك'!$A$7:$A$91,0)))</f>
        <v/>
      </c>
      <c r="E18" s="108" t="str">
        <f aca="false">IF($B18="","",INDEX('جرد - محرم بك'!$V$7:$V$91,MATCH($B18,'جرد - محرم بك'!$A$7:$A$91,0)))</f>
        <v/>
      </c>
      <c r="F18" s="108" t="str">
        <f aca="false">IF($B18="","",INDEX('جرد - محرم بك'!$W$7:$W$91,MATCH($B18,'جرد - محرم بك'!$A$7:$A$91,0)))</f>
        <v/>
      </c>
      <c r="G18" s="108" t="str">
        <f aca="false">IF($B18="","",INDEX('جرد - ابراهيمية'!$U$7:$U$91,MATCH($B18,'جرد - ابراهيمية'!$A$7:$A$91,0)))</f>
        <v/>
      </c>
      <c r="H18" s="108" t="str">
        <f aca="false">IF($B18="","",INDEX('جرد - ابراهيمية'!$V$7:$V$91,MATCH($B18,'جرد - ابراهيمية'!$A$7:$A$91,0)))</f>
        <v/>
      </c>
      <c r="I18" s="108" t="str">
        <f aca="false">IF($B18="","",INDEX('جرد - ابراهيمية'!$W$7:$W$91,MATCH($B18,'جرد - ابراهيمية'!$A$7:$A$91,0)))</f>
        <v/>
      </c>
      <c r="J18" s="108" t="str">
        <f aca="false">IF($B18="","",INDEX('جرد - عصافرة'!$U$7:$U$91,MATCH($B18,'جرد - عصافرة'!$A$7:$A$91,0)))</f>
        <v/>
      </c>
      <c r="K18" s="108" t="str">
        <f aca="false">IF($B18="","",INDEX('جرد - عصافرة'!$V$7:$V$91,MATCH($B18,'جرد - عصافرة'!$A$7:$A$91,0)))</f>
        <v/>
      </c>
      <c r="L18" s="108" t="str">
        <f aca="false">IF($B18="","",INDEX('جرد - عصافرة'!$W$7:$W$91,MATCH($B18,'جرد - عصافرة'!$A$7:$A$91,0)))</f>
        <v/>
      </c>
      <c r="M18" s="112" t="str">
        <f aca="false">IF($B18="","",F18+I18+L18)</f>
        <v/>
      </c>
      <c r="N18" s="39" t="str">
        <f aca="false">IF($B18="","",M18*INDEX('مواد المخزون'!$E$2:$E$86,MATCH($B18,'مواد المخزون'!$A$2:$A$86,0)))</f>
        <v/>
      </c>
    </row>
    <row r="19" customFormat="false" ht="15" hidden="false" customHeight="false" outlineLevel="0" collapsed="false">
      <c r="A19" s="36" t="n">
        <v>14</v>
      </c>
      <c r="B19" s="34" t="str">
        <f aca="false">IFERROR(INDEX('مواد المخزون'!$A$2:$A$86,MATCH($A19,'مواد المخزون'!$H$2:$H$86,0)),"")</f>
        <v/>
      </c>
      <c r="C19" s="36" t="str">
        <f aca="false">IF($B19="","",INDEX('مواد المخزون'!$B$2:$B$86,MATCH($B19,'مواد المخزون'!$A$2:$A$86,0)))</f>
        <v/>
      </c>
      <c r="D19" s="108" t="str">
        <f aca="false">IF($B19="","",INDEX('جرد - محرم بك'!$U$7:$U$91,MATCH($B19,'جرد - محرم بك'!$A$7:$A$91,0)))</f>
        <v/>
      </c>
      <c r="E19" s="108" t="str">
        <f aca="false">IF($B19="","",INDEX('جرد - محرم بك'!$V$7:$V$91,MATCH($B19,'جرد - محرم بك'!$A$7:$A$91,0)))</f>
        <v/>
      </c>
      <c r="F19" s="108" t="str">
        <f aca="false">IF($B19="","",INDEX('جرد - محرم بك'!$W$7:$W$91,MATCH($B19,'جرد - محرم بك'!$A$7:$A$91,0)))</f>
        <v/>
      </c>
      <c r="G19" s="108" t="str">
        <f aca="false">IF($B19="","",INDEX('جرد - ابراهيمية'!$U$7:$U$91,MATCH($B19,'جرد - ابراهيمية'!$A$7:$A$91,0)))</f>
        <v/>
      </c>
      <c r="H19" s="108" t="str">
        <f aca="false">IF($B19="","",INDEX('جرد - ابراهيمية'!$V$7:$V$91,MATCH($B19,'جرد - ابراهيمية'!$A$7:$A$91,0)))</f>
        <v/>
      </c>
      <c r="I19" s="108" t="str">
        <f aca="false">IF($B19="","",INDEX('جرد - ابراهيمية'!$W$7:$W$91,MATCH($B19,'جرد - ابراهيمية'!$A$7:$A$91,0)))</f>
        <v/>
      </c>
      <c r="J19" s="108" t="str">
        <f aca="false">IF($B19="","",INDEX('جرد - عصافرة'!$U$7:$U$91,MATCH($B19,'جرد - عصافرة'!$A$7:$A$91,0)))</f>
        <v/>
      </c>
      <c r="K19" s="108" t="str">
        <f aca="false">IF($B19="","",INDEX('جرد - عصافرة'!$V$7:$V$91,MATCH($B19,'جرد - عصافرة'!$A$7:$A$91,0)))</f>
        <v/>
      </c>
      <c r="L19" s="108" t="str">
        <f aca="false">IF($B19="","",INDEX('جرد - عصافرة'!$W$7:$W$91,MATCH($B19,'جرد - عصافرة'!$A$7:$A$91,0)))</f>
        <v/>
      </c>
      <c r="M19" s="112" t="str">
        <f aca="false">IF($B19="","",F19+I19+L19)</f>
        <v/>
      </c>
      <c r="N19" s="39" t="str">
        <f aca="false">IF($B19="","",M19*INDEX('مواد المخزون'!$E$2:$E$86,MATCH($B19,'مواد المخزون'!$A$2:$A$86,0)))</f>
        <v/>
      </c>
    </row>
    <row r="20" customFormat="false" ht="15" hidden="false" customHeight="false" outlineLevel="0" collapsed="false">
      <c r="A20" s="36" t="n">
        <v>15</v>
      </c>
      <c r="B20" s="34" t="str">
        <f aca="false">IFERROR(INDEX('مواد المخزون'!$A$2:$A$86,MATCH($A20,'مواد المخزون'!$H$2:$H$86,0)),"")</f>
        <v/>
      </c>
      <c r="C20" s="36" t="str">
        <f aca="false">IF($B20="","",INDEX('مواد المخزون'!$B$2:$B$86,MATCH($B20,'مواد المخزون'!$A$2:$A$86,0)))</f>
        <v/>
      </c>
      <c r="D20" s="108" t="str">
        <f aca="false">IF($B20="","",INDEX('جرد - محرم بك'!$U$7:$U$91,MATCH($B20,'جرد - محرم بك'!$A$7:$A$91,0)))</f>
        <v/>
      </c>
      <c r="E20" s="108" t="str">
        <f aca="false">IF($B20="","",INDEX('جرد - محرم بك'!$V$7:$V$91,MATCH($B20,'جرد - محرم بك'!$A$7:$A$91,0)))</f>
        <v/>
      </c>
      <c r="F20" s="108" t="str">
        <f aca="false">IF($B20="","",INDEX('جرد - محرم بك'!$W$7:$W$91,MATCH($B20,'جرد - محرم بك'!$A$7:$A$91,0)))</f>
        <v/>
      </c>
      <c r="G20" s="108" t="str">
        <f aca="false">IF($B20="","",INDEX('جرد - ابراهيمية'!$U$7:$U$91,MATCH($B20,'جرد - ابراهيمية'!$A$7:$A$91,0)))</f>
        <v/>
      </c>
      <c r="H20" s="108" t="str">
        <f aca="false">IF($B20="","",INDEX('جرد - ابراهيمية'!$V$7:$V$91,MATCH($B20,'جرد - ابراهيمية'!$A$7:$A$91,0)))</f>
        <v/>
      </c>
      <c r="I20" s="108" t="str">
        <f aca="false">IF($B20="","",INDEX('جرد - ابراهيمية'!$W$7:$W$91,MATCH($B20,'جرد - ابراهيمية'!$A$7:$A$91,0)))</f>
        <v/>
      </c>
      <c r="J20" s="108" t="str">
        <f aca="false">IF($B20="","",INDEX('جرد - عصافرة'!$U$7:$U$91,MATCH($B20,'جرد - عصافرة'!$A$7:$A$91,0)))</f>
        <v/>
      </c>
      <c r="K20" s="108" t="str">
        <f aca="false">IF($B20="","",INDEX('جرد - عصافرة'!$V$7:$V$91,MATCH($B20,'جرد - عصافرة'!$A$7:$A$91,0)))</f>
        <v/>
      </c>
      <c r="L20" s="108" t="str">
        <f aca="false">IF($B20="","",INDEX('جرد - عصافرة'!$W$7:$W$91,MATCH($B20,'جرد - عصافرة'!$A$7:$A$91,0)))</f>
        <v/>
      </c>
      <c r="M20" s="112" t="str">
        <f aca="false">IF($B20="","",F20+I20+L20)</f>
        <v/>
      </c>
      <c r="N20" s="39" t="str">
        <f aca="false">IF($B20="","",M20*INDEX('مواد المخزون'!$E$2:$E$86,MATCH($B20,'مواد المخزون'!$A$2:$A$86,0)))</f>
        <v/>
      </c>
    </row>
    <row r="21" customFormat="false" ht="15" hidden="false" customHeight="false" outlineLevel="0" collapsed="false">
      <c r="A21" s="36" t="n">
        <v>16</v>
      </c>
      <c r="B21" s="34" t="str">
        <f aca="false">IFERROR(INDEX('مواد المخزون'!$A$2:$A$86,MATCH($A21,'مواد المخزون'!$H$2:$H$86,0)),"")</f>
        <v/>
      </c>
      <c r="C21" s="36" t="str">
        <f aca="false">IF($B21="","",INDEX('مواد المخزون'!$B$2:$B$86,MATCH($B21,'مواد المخزون'!$A$2:$A$86,0)))</f>
        <v/>
      </c>
      <c r="D21" s="108" t="str">
        <f aca="false">IF($B21="","",INDEX('جرد - محرم بك'!$U$7:$U$91,MATCH($B21,'جرد - محرم بك'!$A$7:$A$91,0)))</f>
        <v/>
      </c>
      <c r="E21" s="108" t="str">
        <f aca="false">IF($B21="","",INDEX('جرد - محرم بك'!$V$7:$V$91,MATCH($B21,'جرد - محرم بك'!$A$7:$A$91,0)))</f>
        <v/>
      </c>
      <c r="F21" s="108" t="str">
        <f aca="false">IF($B21="","",INDEX('جرد - محرم بك'!$W$7:$W$91,MATCH($B21,'جرد - محرم بك'!$A$7:$A$91,0)))</f>
        <v/>
      </c>
      <c r="G21" s="108" t="str">
        <f aca="false">IF($B21="","",INDEX('جرد - ابراهيمية'!$U$7:$U$91,MATCH($B21,'جرد - ابراهيمية'!$A$7:$A$91,0)))</f>
        <v/>
      </c>
      <c r="H21" s="108" t="str">
        <f aca="false">IF($B21="","",INDEX('جرد - ابراهيمية'!$V$7:$V$91,MATCH($B21,'جرد - ابراهيمية'!$A$7:$A$91,0)))</f>
        <v/>
      </c>
      <c r="I21" s="108" t="str">
        <f aca="false">IF($B21="","",INDEX('جرد - ابراهيمية'!$W$7:$W$91,MATCH($B21,'جرد - ابراهيمية'!$A$7:$A$91,0)))</f>
        <v/>
      </c>
      <c r="J21" s="108" t="str">
        <f aca="false">IF($B21="","",INDEX('جرد - عصافرة'!$U$7:$U$91,MATCH($B21,'جرد - عصافرة'!$A$7:$A$91,0)))</f>
        <v/>
      </c>
      <c r="K21" s="108" t="str">
        <f aca="false">IF($B21="","",INDEX('جرد - عصافرة'!$V$7:$V$91,MATCH($B21,'جرد - عصافرة'!$A$7:$A$91,0)))</f>
        <v/>
      </c>
      <c r="L21" s="108" t="str">
        <f aca="false">IF($B21="","",INDEX('جرد - عصافرة'!$W$7:$W$91,MATCH($B21,'جرد - عصافرة'!$A$7:$A$91,0)))</f>
        <v/>
      </c>
      <c r="M21" s="112" t="str">
        <f aca="false">IF($B21="","",F21+I21+L21)</f>
        <v/>
      </c>
      <c r="N21" s="39" t="str">
        <f aca="false">IF($B21="","",M21*INDEX('مواد المخزون'!$E$2:$E$86,MATCH($B21,'مواد المخزون'!$A$2:$A$86,0)))</f>
        <v/>
      </c>
    </row>
    <row r="22" customFormat="false" ht="15" hidden="false" customHeight="false" outlineLevel="0" collapsed="false">
      <c r="A22" s="36" t="n">
        <v>17</v>
      </c>
      <c r="B22" s="34" t="str">
        <f aca="false">IFERROR(INDEX('مواد المخزون'!$A$2:$A$86,MATCH($A22,'مواد المخزون'!$H$2:$H$86,0)),"")</f>
        <v/>
      </c>
      <c r="C22" s="36" t="str">
        <f aca="false">IF($B22="","",INDEX('مواد المخزون'!$B$2:$B$86,MATCH($B22,'مواد المخزون'!$A$2:$A$86,0)))</f>
        <v/>
      </c>
      <c r="D22" s="108" t="str">
        <f aca="false">IF($B22="","",INDEX('جرد - محرم بك'!$U$7:$U$91,MATCH($B22,'جرد - محرم بك'!$A$7:$A$91,0)))</f>
        <v/>
      </c>
      <c r="E22" s="108" t="str">
        <f aca="false">IF($B22="","",INDEX('جرد - محرم بك'!$V$7:$V$91,MATCH($B22,'جرد - محرم بك'!$A$7:$A$91,0)))</f>
        <v/>
      </c>
      <c r="F22" s="108" t="str">
        <f aca="false">IF($B22="","",INDEX('جرد - محرم بك'!$W$7:$W$91,MATCH($B22,'جرد - محرم بك'!$A$7:$A$91,0)))</f>
        <v/>
      </c>
      <c r="G22" s="108" t="str">
        <f aca="false">IF($B22="","",INDEX('جرد - ابراهيمية'!$U$7:$U$91,MATCH($B22,'جرد - ابراهيمية'!$A$7:$A$91,0)))</f>
        <v/>
      </c>
      <c r="H22" s="108" t="str">
        <f aca="false">IF($B22="","",INDEX('جرد - ابراهيمية'!$V$7:$V$91,MATCH($B22,'جرد - ابراهيمية'!$A$7:$A$91,0)))</f>
        <v/>
      </c>
      <c r="I22" s="108" t="str">
        <f aca="false">IF($B22="","",INDEX('جرد - ابراهيمية'!$W$7:$W$91,MATCH($B22,'جرد - ابراهيمية'!$A$7:$A$91,0)))</f>
        <v/>
      </c>
      <c r="J22" s="108" t="str">
        <f aca="false">IF($B22="","",INDEX('جرد - عصافرة'!$U$7:$U$91,MATCH($B22,'جرد - عصافرة'!$A$7:$A$91,0)))</f>
        <v/>
      </c>
      <c r="K22" s="108" t="str">
        <f aca="false">IF($B22="","",INDEX('جرد - عصافرة'!$V$7:$V$91,MATCH($B22,'جرد - عصافرة'!$A$7:$A$91,0)))</f>
        <v/>
      </c>
      <c r="L22" s="108" t="str">
        <f aca="false">IF($B22="","",INDEX('جرد - عصافرة'!$W$7:$W$91,MATCH($B22,'جرد - عصافرة'!$A$7:$A$91,0)))</f>
        <v/>
      </c>
      <c r="M22" s="112" t="str">
        <f aca="false">IF($B22="","",F22+I22+L22)</f>
        <v/>
      </c>
      <c r="N22" s="39" t="str">
        <f aca="false">IF($B22="","",M22*INDEX('مواد المخزون'!$E$2:$E$86,MATCH($B22,'مواد المخزون'!$A$2:$A$86,0)))</f>
        <v/>
      </c>
    </row>
    <row r="23" customFormat="false" ht="15" hidden="false" customHeight="false" outlineLevel="0" collapsed="false">
      <c r="A23" s="36" t="n">
        <v>18</v>
      </c>
      <c r="B23" s="34" t="str">
        <f aca="false">IFERROR(INDEX('مواد المخزون'!$A$2:$A$86,MATCH($A23,'مواد المخزون'!$H$2:$H$86,0)),"")</f>
        <v/>
      </c>
      <c r="C23" s="36" t="str">
        <f aca="false">IF($B23="","",INDEX('مواد المخزون'!$B$2:$B$86,MATCH($B23,'مواد المخزون'!$A$2:$A$86,0)))</f>
        <v/>
      </c>
      <c r="D23" s="108" t="str">
        <f aca="false">IF($B23="","",INDEX('جرد - محرم بك'!$U$7:$U$91,MATCH($B23,'جرد - محرم بك'!$A$7:$A$91,0)))</f>
        <v/>
      </c>
      <c r="E23" s="108" t="str">
        <f aca="false">IF($B23="","",INDEX('جرد - محرم بك'!$V$7:$V$91,MATCH($B23,'جرد - محرم بك'!$A$7:$A$91,0)))</f>
        <v/>
      </c>
      <c r="F23" s="108" t="str">
        <f aca="false">IF($B23="","",INDEX('جرد - محرم بك'!$W$7:$W$91,MATCH($B23,'جرد - محرم بك'!$A$7:$A$91,0)))</f>
        <v/>
      </c>
      <c r="G23" s="108" t="str">
        <f aca="false">IF($B23="","",INDEX('جرد - ابراهيمية'!$U$7:$U$91,MATCH($B23,'جرد - ابراهيمية'!$A$7:$A$91,0)))</f>
        <v/>
      </c>
      <c r="H23" s="108" t="str">
        <f aca="false">IF($B23="","",INDEX('جرد - ابراهيمية'!$V$7:$V$91,MATCH($B23,'جرد - ابراهيمية'!$A$7:$A$91,0)))</f>
        <v/>
      </c>
      <c r="I23" s="108" t="str">
        <f aca="false">IF($B23="","",INDEX('جرد - ابراهيمية'!$W$7:$W$91,MATCH($B23,'جرد - ابراهيمية'!$A$7:$A$91,0)))</f>
        <v/>
      </c>
      <c r="J23" s="108" t="str">
        <f aca="false">IF($B23="","",INDEX('جرد - عصافرة'!$U$7:$U$91,MATCH($B23,'جرد - عصافرة'!$A$7:$A$91,0)))</f>
        <v/>
      </c>
      <c r="K23" s="108" t="str">
        <f aca="false">IF($B23="","",INDEX('جرد - عصافرة'!$V$7:$V$91,MATCH($B23,'جرد - عصافرة'!$A$7:$A$91,0)))</f>
        <v/>
      </c>
      <c r="L23" s="108" t="str">
        <f aca="false">IF($B23="","",INDEX('جرد - عصافرة'!$W$7:$W$91,MATCH($B23,'جرد - عصافرة'!$A$7:$A$91,0)))</f>
        <v/>
      </c>
      <c r="M23" s="112" t="str">
        <f aca="false">IF($B23="","",F23+I23+L23)</f>
        <v/>
      </c>
      <c r="N23" s="39" t="str">
        <f aca="false">IF($B23="","",M23*INDEX('مواد المخزون'!$E$2:$E$86,MATCH($B23,'مواد المخزون'!$A$2:$A$86,0)))</f>
        <v/>
      </c>
    </row>
    <row r="24" customFormat="false" ht="15" hidden="false" customHeight="false" outlineLevel="0" collapsed="false">
      <c r="A24" s="36" t="n">
        <v>19</v>
      </c>
      <c r="B24" s="34" t="str">
        <f aca="false">IFERROR(INDEX('مواد المخزون'!$A$2:$A$86,MATCH($A24,'مواد المخزون'!$H$2:$H$86,0)),"")</f>
        <v/>
      </c>
      <c r="C24" s="36" t="str">
        <f aca="false">IF($B24="","",INDEX('مواد المخزون'!$B$2:$B$86,MATCH($B24,'مواد المخزون'!$A$2:$A$86,0)))</f>
        <v/>
      </c>
      <c r="D24" s="108" t="str">
        <f aca="false">IF($B24="","",INDEX('جرد - محرم بك'!$U$7:$U$91,MATCH($B24,'جرد - محرم بك'!$A$7:$A$91,0)))</f>
        <v/>
      </c>
      <c r="E24" s="108" t="str">
        <f aca="false">IF($B24="","",INDEX('جرد - محرم بك'!$V$7:$V$91,MATCH($B24,'جرد - محرم بك'!$A$7:$A$91,0)))</f>
        <v/>
      </c>
      <c r="F24" s="108" t="str">
        <f aca="false">IF($B24="","",INDEX('جرد - محرم بك'!$W$7:$W$91,MATCH($B24,'جرد - محرم بك'!$A$7:$A$91,0)))</f>
        <v/>
      </c>
      <c r="G24" s="108" t="str">
        <f aca="false">IF($B24="","",INDEX('جرد - ابراهيمية'!$U$7:$U$91,MATCH($B24,'جرد - ابراهيمية'!$A$7:$A$91,0)))</f>
        <v/>
      </c>
      <c r="H24" s="108" t="str">
        <f aca="false">IF($B24="","",INDEX('جرد - ابراهيمية'!$V$7:$V$91,MATCH($B24,'جرد - ابراهيمية'!$A$7:$A$91,0)))</f>
        <v/>
      </c>
      <c r="I24" s="108" t="str">
        <f aca="false">IF($B24="","",INDEX('جرد - ابراهيمية'!$W$7:$W$91,MATCH($B24,'جرد - ابراهيمية'!$A$7:$A$91,0)))</f>
        <v/>
      </c>
      <c r="J24" s="108" t="str">
        <f aca="false">IF($B24="","",INDEX('جرد - عصافرة'!$U$7:$U$91,MATCH($B24,'جرد - عصافرة'!$A$7:$A$91,0)))</f>
        <v/>
      </c>
      <c r="K24" s="108" t="str">
        <f aca="false">IF($B24="","",INDEX('جرد - عصافرة'!$V$7:$V$91,MATCH($B24,'جرد - عصافرة'!$A$7:$A$91,0)))</f>
        <v/>
      </c>
      <c r="L24" s="108" t="str">
        <f aca="false">IF($B24="","",INDEX('جرد - عصافرة'!$W$7:$W$91,MATCH($B24,'جرد - عصافرة'!$A$7:$A$91,0)))</f>
        <v/>
      </c>
      <c r="M24" s="112" t="str">
        <f aca="false">IF($B24="","",F24+I24+L24)</f>
        <v/>
      </c>
      <c r="N24" s="39" t="str">
        <f aca="false">IF($B24="","",M24*INDEX('مواد المخزون'!$E$2:$E$86,MATCH($B24,'مواد المخزون'!$A$2:$A$86,0)))</f>
        <v/>
      </c>
    </row>
    <row r="25" customFormat="false" ht="15" hidden="false" customHeight="false" outlineLevel="0" collapsed="false">
      <c r="A25" s="36" t="n">
        <v>20</v>
      </c>
      <c r="B25" s="34" t="str">
        <f aca="false">IFERROR(INDEX('مواد المخزون'!$A$2:$A$86,MATCH($A25,'مواد المخزون'!$H$2:$H$86,0)),"")</f>
        <v/>
      </c>
      <c r="C25" s="36" t="str">
        <f aca="false">IF($B25="","",INDEX('مواد المخزون'!$B$2:$B$86,MATCH($B25,'مواد المخزون'!$A$2:$A$86,0)))</f>
        <v/>
      </c>
      <c r="D25" s="108" t="str">
        <f aca="false">IF($B25="","",INDEX('جرد - محرم بك'!$U$7:$U$91,MATCH($B25,'جرد - محرم بك'!$A$7:$A$91,0)))</f>
        <v/>
      </c>
      <c r="E25" s="108" t="str">
        <f aca="false">IF($B25="","",INDEX('جرد - محرم بك'!$V$7:$V$91,MATCH($B25,'جرد - محرم بك'!$A$7:$A$91,0)))</f>
        <v/>
      </c>
      <c r="F25" s="108" t="str">
        <f aca="false">IF($B25="","",INDEX('جرد - محرم بك'!$W$7:$W$91,MATCH($B25,'جرد - محرم بك'!$A$7:$A$91,0)))</f>
        <v/>
      </c>
      <c r="G25" s="108" t="str">
        <f aca="false">IF($B25="","",INDEX('جرد - ابراهيمية'!$U$7:$U$91,MATCH($B25,'جرد - ابراهيمية'!$A$7:$A$91,0)))</f>
        <v/>
      </c>
      <c r="H25" s="108" t="str">
        <f aca="false">IF($B25="","",INDEX('جرد - ابراهيمية'!$V$7:$V$91,MATCH($B25,'جرد - ابراهيمية'!$A$7:$A$91,0)))</f>
        <v/>
      </c>
      <c r="I25" s="108" t="str">
        <f aca="false">IF($B25="","",INDEX('جرد - ابراهيمية'!$W$7:$W$91,MATCH($B25,'جرد - ابراهيمية'!$A$7:$A$91,0)))</f>
        <v/>
      </c>
      <c r="J25" s="108" t="str">
        <f aca="false">IF($B25="","",INDEX('جرد - عصافرة'!$U$7:$U$91,MATCH($B25,'جرد - عصافرة'!$A$7:$A$91,0)))</f>
        <v/>
      </c>
      <c r="K25" s="108" t="str">
        <f aca="false">IF($B25="","",INDEX('جرد - عصافرة'!$V$7:$V$91,MATCH($B25,'جرد - عصافرة'!$A$7:$A$91,0)))</f>
        <v/>
      </c>
      <c r="L25" s="108" t="str">
        <f aca="false">IF($B25="","",INDEX('جرد - عصافرة'!$W$7:$W$91,MATCH($B25,'جرد - عصافرة'!$A$7:$A$91,0)))</f>
        <v/>
      </c>
      <c r="M25" s="112" t="str">
        <f aca="false">IF($B25="","",F25+I25+L25)</f>
        <v/>
      </c>
      <c r="N25" s="39" t="str">
        <f aca="false">IF($B25="","",M25*INDEX('مواد المخزون'!$E$2:$E$86,MATCH($B25,'مواد المخزون'!$A$2:$A$86,0)))</f>
        <v/>
      </c>
    </row>
    <row r="26" customFormat="false" ht="15" hidden="false" customHeight="false" outlineLevel="0" collapsed="false">
      <c r="A26" s="36" t="n">
        <v>21</v>
      </c>
      <c r="B26" s="34" t="str">
        <f aca="false">IFERROR(INDEX('مواد المخزون'!$A$2:$A$86,MATCH($A26,'مواد المخزون'!$H$2:$H$86,0)),"")</f>
        <v/>
      </c>
      <c r="C26" s="36" t="str">
        <f aca="false">IF($B26="","",INDEX('مواد المخزون'!$B$2:$B$86,MATCH($B26,'مواد المخزون'!$A$2:$A$86,0)))</f>
        <v/>
      </c>
      <c r="D26" s="108" t="str">
        <f aca="false">IF($B26="","",INDEX('جرد - محرم بك'!$U$7:$U$91,MATCH($B26,'جرد - محرم بك'!$A$7:$A$91,0)))</f>
        <v/>
      </c>
      <c r="E26" s="108" t="str">
        <f aca="false">IF($B26="","",INDEX('جرد - محرم بك'!$V$7:$V$91,MATCH($B26,'جرد - محرم بك'!$A$7:$A$91,0)))</f>
        <v/>
      </c>
      <c r="F26" s="108" t="str">
        <f aca="false">IF($B26="","",INDEX('جرد - محرم بك'!$W$7:$W$91,MATCH($B26,'جرد - محرم بك'!$A$7:$A$91,0)))</f>
        <v/>
      </c>
      <c r="G26" s="108" t="str">
        <f aca="false">IF($B26="","",INDEX('جرد - ابراهيمية'!$U$7:$U$91,MATCH($B26,'جرد - ابراهيمية'!$A$7:$A$91,0)))</f>
        <v/>
      </c>
      <c r="H26" s="108" t="str">
        <f aca="false">IF($B26="","",INDEX('جرد - ابراهيمية'!$V$7:$V$91,MATCH($B26,'جرد - ابراهيمية'!$A$7:$A$91,0)))</f>
        <v/>
      </c>
      <c r="I26" s="108" t="str">
        <f aca="false">IF($B26="","",INDEX('جرد - ابراهيمية'!$W$7:$W$91,MATCH($B26,'جرد - ابراهيمية'!$A$7:$A$91,0)))</f>
        <v/>
      </c>
      <c r="J26" s="108" t="str">
        <f aca="false">IF($B26="","",INDEX('جرد - عصافرة'!$U$7:$U$91,MATCH($B26,'جرد - عصافرة'!$A$7:$A$91,0)))</f>
        <v/>
      </c>
      <c r="K26" s="108" t="str">
        <f aca="false">IF($B26="","",INDEX('جرد - عصافرة'!$V$7:$V$91,MATCH($B26,'جرد - عصافرة'!$A$7:$A$91,0)))</f>
        <v/>
      </c>
      <c r="L26" s="108" t="str">
        <f aca="false">IF($B26="","",INDEX('جرد - عصافرة'!$W$7:$W$91,MATCH($B26,'جرد - عصافرة'!$A$7:$A$91,0)))</f>
        <v/>
      </c>
      <c r="M26" s="112" t="str">
        <f aca="false">IF($B26="","",F26+I26+L26)</f>
        <v/>
      </c>
      <c r="N26" s="39" t="str">
        <f aca="false">IF($B26="","",M26*INDEX('مواد المخزون'!$E$2:$E$86,MATCH($B26,'مواد المخزون'!$A$2:$A$86,0)))</f>
        <v/>
      </c>
    </row>
    <row r="27" customFormat="false" ht="15" hidden="false" customHeight="false" outlineLevel="0" collapsed="false">
      <c r="A27" s="36" t="n">
        <v>22</v>
      </c>
      <c r="B27" s="34" t="str">
        <f aca="false">IFERROR(INDEX('مواد المخزون'!$A$2:$A$86,MATCH($A27,'مواد المخزون'!$H$2:$H$86,0)),"")</f>
        <v/>
      </c>
      <c r="C27" s="36" t="str">
        <f aca="false">IF($B27="","",INDEX('مواد المخزون'!$B$2:$B$86,MATCH($B27,'مواد المخزون'!$A$2:$A$86,0)))</f>
        <v/>
      </c>
      <c r="D27" s="108" t="str">
        <f aca="false">IF($B27="","",INDEX('جرد - محرم بك'!$U$7:$U$91,MATCH($B27,'جرد - محرم بك'!$A$7:$A$91,0)))</f>
        <v/>
      </c>
      <c r="E27" s="108" t="str">
        <f aca="false">IF($B27="","",INDEX('جرد - محرم بك'!$V$7:$V$91,MATCH($B27,'جرد - محرم بك'!$A$7:$A$91,0)))</f>
        <v/>
      </c>
      <c r="F27" s="108" t="str">
        <f aca="false">IF($B27="","",INDEX('جرد - محرم بك'!$W$7:$W$91,MATCH($B27,'جرد - محرم بك'!$A$7:$A$91,0)))</f>
        <v/>
      </c>
      <c r="G27" s="108" t="str">
        <f aca="false">IF($B27="","",INDEX('جرد - ابراهيمية'!$U$7:$U$91,MATCH($B27,'جرد - ابراهيمية'!$A$7:$A$91,0)))</f>
        <v/>
      </c>
      <c r="H27" s="108" t="str">
        <f aca="false">IF($B27="","",INDEX('جرد - ابراهيمية'!$V$7:$V$91,MATCH($B27,'جرد - ابراهيمية'!$A$7:$A$91,0)))</f>
        <v/>
      </c>
      <c r="I27" s="108" t="str">
        <f aca="false">IF($B27="","",INDEX('جرد - ابراهيمية'!$W$7:$W$91,MATCH($B27,'جرد - ابراهيمية'!$A$7:$A$91,0)))</f>
        <v/>
      </c>
      <c r="J27" s="108" t="str">
        <f aca="false">IF($B27="","",INDEX('جرد - عصافرة'!$U$7:$U$91,MATCH($B27,'جرد - عصافرة'!$A$7:$A$91,0)))</f>
        <v/>
      </c>
      <c r="K27" s="108" t="str">
        <f aca="false">IF($B27="","",INDEX('جرد - عصافرة'!$V$7:$V$91,MATCH($B27,'جرد - عصافرة'!$A$7:$A$91,0)))</f>
        <v/>
      </c>
      <c r="L27" s="108" t="str">
        <f aca="false">IF($B27="","",INDEX('جرد - عصافرة'!$W$7:$W$91,MATCH($B27,'جرد - عصافرة'!$A$7:$A$91,0)))</f>
        <v/>
      </c>
      <c r="M27" s="112" t="str">
        <f aca="false">IF($B27="","",F27+I27+L27)</f>
        <v/>
      </c>
      <c r="N27" s="39" t="str">
        <f aca="false">IF($B27="","",M27*INDEX('مواد المخزون'!$E$2:$E$86,MATCH($B27,'مواد المخزون'!$A$2:$A$86,0)))</f>
        <v/>
      </c>
    </row>
    <row r="28" customFormat="false" ht="15" hidden="false" customHeight="false" outlineLevel="0" collapsed="false">
      <c r="A28" s="36" t="n">
        <v>23</v>
      </c>
      <c r="B28" s="34" t="str">
        <f aca="false">IFERROR(INDEX('مواد المخزون'!$A$2:$A$86,MATCH($A28,'مواد المخزون'!$H$2:$H$86,0)),"")</f>
        <v/>
      </c>
      <c r="C28" s="36" t="str">
        <f aca="false">IF($B28="","",INDEX('مواد المخزون'!$B$2:$B$86,MATCH($B28,'مواد المخزون'!$A$2:$A$86,0)))</f>
        <v/>
      </c>
      <c r="D28" s="108" t="str">
        <f aca="false">IF($B28="","",INDEX('جرد - محرم بك'!$U$7:$U$91,MATCH($B28,'جرد - محرم بك'!$A$7:$A$91,0)))</f>
        <v/>
      </c>
      <c r="E28" s="108" t="str">
        <f aca="false">IF($B28="","",INDEX('جرد - محرم بك'!$V$7:$V$91,MATCH($B28,'جرد - محرم بك'!$A$7:$A$91,0)))</f>
        <v/>
      </c>
      <c r="F28" s="108" t="str">
        <f aca="false">IF($B28="","",INDEX('جرد - محرم بك'!$W$7:$W$91,MATCH($B28,'جرد - محرم بك'!$A$7:$A$91,0)))</f>
        <v/>
      </c>
      <c r="G28" s="108" t="str">
        <f aca="false">IF($B28="","",INDEX('جرد - ابراهيمية'!$U$7:$U$91,MATCH($B28,'جرد - ابراهيمية'!$A$7:$A$91,0)))</f>
        <v/>
      </c>
      <c r="H28" s="108" t="str">
        <f aca="false">IF($B28="","",INDEX('جرد - ابراهيمية'!$V$7:$V$91,MATCH($B28,'جرد - ابراهيمية'!$A$7:$A$91,0)))</f>
        <v/>
      </c>
      <c r="I28" s="108" t="str">
        <f aca="false">IF($B28="","",INDEX('جرد - ابراهيمية'!$W$7:$W$91,MATCH($B28,'جرد - ابراهيمية'!$A$7:$A$91,0)))</f>
        <v/>
      </c>
      <c r="J28" s="108" t="str">
        <f aca="false">IF($B28="","",INDEX('جرد - عصافرة'!$U$7:$U$91,MATCH($B28,'جرد - عصافرة'!$A$7:$A$91,0)))</f>
        <v/>
      </c>
      <c r="K28" s="108" t="str">
        <f aca="false">IF($B28="","",INDEX('جرد - عصافرة'!$V$7:$V$91,MATCH($B28,'جرد - عصافرة'!$A$7:$A$91,0)))</f>
        <v/>
      </c>
      <c r="L28" s="108" t="str">
        <f aca="false">IF($B28="","",INDEX('جرد - عصافرة'!$W$7:$W$91,MATCH($B28,'جرد - عصافرة'!$A$7:$A$91,0)))</f>
        <v/>
      </c>
      <c r="M28" s="112" t="str">
        <f aca="false">IF($B28="","",F28+I28+L28)</f>
        <v/>
      </c>
      <c r="N28" s="39" t="str">
        <f aca="false">IF($B28="","",M28*INDEX('مواد المخزون'!$E$2:$E$86,MATCH($B28,'مواد المخزون'!$A$2:$A$86,0)))</f>
        <v/>
      </c>
    </row>
    <row r="29" customFormat="false" ht="15" hidden="false" customHeight="false" outlineLevel="0" collapsed="false">
      <c r="A29" s="36" t="n">
        <v>24</v>
      </c>
      <c r="B29" s="34" t="str">
        <f aca="false">IFERROR(INDEX('مواد المخزون'!$A$2:$A$86,MATCH($A29,'مواد المخزون'!$H$2:$H$86,0)),"")</f>
        <v/>
      </c>
      <c r="C29" s="36" t="str">
        <f aca="false">IF($B29="","",INDEX('مواد المخزون'!$B$2:$B$86,MATCH($B29,'مواد المخزون'!$A$2:$A$86,0)))</f>
        <v/>
      </c>
      <c r="D29" s="108" t="str">
        <f aca="false">IF($B29="","",INDEX('جرد - محرم بك'!$U$7:$U$91,MATCH($B29,'جرد - محرم بك'!$A$7:$A$91,0)))</f>
        <v/>
      </c>
      <c r="E29" s="108" t="str">
        <f aca="false">IF($B29="","",INDEX('جرد - محرم بك'!$V$7:$V$91,MATCH($B29,'جرد - محرم بك'!$A$7:$A$91,0)))</f>
        <v/>
      </c>
      <c r="F29" s="108" t="str">
        <f aca="false">IF($B29="","",INDEX('جرد - محرم بك'!$W$7:$W$91,MATCH($B29,'جرد - محرم بك'!$A$7:$A$91,0)))</f>
        <v/>
      </c>
      <c r="G29" s="108" t="str">
        <f aca="false">IF($B29="","",INDEX('جرد - ابراهيمية'!$U$7:$U$91,MATCH($B29,'جرد - ابراهيمية'!$A$7:$A$91,0)))</f>
        <v/>
      </c>
      <c r="H29" s="108" t="str">
        <f aca="false">IF($B29="","",INDEX('جرد - ابراهيمية'!$V$7:$V$91,MATCH($B29,'جرد - ابراهيمية'!$A$7:$A$91,0)))</f>
        <v/>
      </c>
      <c r="I29" s="108" t="str">
        <f aca="false">IF($B29="","",INDEX('جرد - ابراهيمية'!$W$7:$W$91,MATCH($B29,'جرد - ابراهيمية'!$A$7:$A$91,0)))</f>
        <v/>
      </c>
      <c r="J29" s="108" t="str">
        <f aca="false">IF($B29="","",INDEX('جرد - عصافرة'!$U$7:$U$91,MATCH($B29,'جرد - عصافرة'!$A$7:$A$91,0)))</f>
        <v/>
      </c>
      <c r="K29" s="108" t="str">
        <f aca="false">IF($B29="","",INDEX('جرد - عصافرة'!$V$7:$V$91,MATCH($B29,'جرد - عصافرة'!$A$7:$A$91,0)))</f>
        <v/>
      </c>
      <c r="L29" s="108" t="str">
        <f aca="false">IF($B29="","",INDEX('جرد - عصافرة'!$W$7:$W$91,MATCH($B29,'جرد - عصافرة'!$A$7:$A$91,0)))</f>
        <v/>
      </c>
      <c r="M29" s="112" t="str">
        <f aca="false">IF($B29="","",F29+I29+L29)</f>
        <v/>
      </c>
      <c r="N29" s="39" t="str">
        <f aca="false">IF($B29="","",M29*INDEX('مواد المخزون'!$E$2:$E$86,MATCH($B29,'مواد المخزون'!$A$2:$A$86,0)))</f>
        <v/>
      </c>
    </row>
    <row r="30" customFormat="false" ht="15" hidden="false" customHeight="false" outlineLevel="0" collapsed="false">
      <c r="A30" s="36" t="n">
        <v>25</v>
      </c>
      <c r="B30" s="34" t="str">
        <f aca="false">IFERROR(INDEX('مواد المخزون'!$A$2:$A$86,MATCH($A30,'مواد المخزون'!$H$2:$H$86,0)),"")</f>
        <v/>
      </c>
      <c r="C30" s="36" t="str">
        <f aca="false">IF($B30="","",INDEX('مواد المخزون'!$B$2:$B$86,MATCH($B30,'مواد المخزون'!$A$2:$A$86,0)))</f>
        <v/>
      </c>
      <c r="D30" s="108" t="str">
        <f aca="false">IF($B30="","",INDEX('جرد - محرم بك'!$U$7:$U$91,MATCH($B30,'جرد - محرم بك'!$A$7:$A$91,0)))</f>
        <v/>
      </c>
      <c r="E30" s="108" t="str">
        <f aca="false">IF($B30="","",INDEX('جرد - محرم بك'!$V$7:$V$91,MATCH($B30,'جرد - محرم بك'!$A$7:$A$91,0)))</f>
        <v/>
      </c>
      <c r="F30" s="108" t="str">
        <f aca="false">IF($B30="","",INDEX('جرد - محرم بك'!$W$7:$W$91,MATCH($B30,'جرد - محرم بك'!$A$7:$A$91,0)))</f>
        <v/>
      </c>
      <c r="G30" s="108" t="str">
        <f aca="false">IF($B30="","",INDEX('جرد - ابراهيمية'!$U$7:$U$91,MATCH($B30,'جرد - ابراهيمية'!$A$7:$A$91,0)))</f>
        <v/>
      </c>
      <c r="H30" s="108" t="str">
        <f aca="false">IF($B30="","",INDEX('جرد - ابراهيمية'!$V$7:$V$91,MATCH($B30,'جرد - ابراهيمية'!$A$7:$A$91,0)))</f>
        <v/>
      </c>
      <c r="I30" s="108" t="str">
        <f aca="false">IF($B30="","",INDEX('جرد - ابراهيمية'!$W$7:$W$91,MATCH($B30,'جرد - ابراهيمية'!$A$7:$A$91,0)))</f>
        <v/>
      </c>
      <c r="J30" s="108" t="str">
        <f aca="false">IF($B30="","",INDEX('جرد - عصافرة'!$U$7:$U$91,MATCH($B30,'جرد - عصافرة'!$A$7:$A$91,0)))</f>
        <v/>
      </c>
      <c r="K30" s="108" t="str">
        <f aca="false">IF($B30="","",INDEX('جرد - عصافرة'!$V$7:$V$91,MATCH($B30,'جرد - عصافرة'!$A$7:$A$91,0)))</f>
        <v/>
      </c>
      <c r="L30" s="108" t="str">
        <f aca="false">IF($B30="","",INDEX('جرد - عصافرة'!$W$7:$W$91,MATCH($B30,'جرد - عصافرة'!$A$7:$A$91,0)))</f>
        <v/>
      </c>
      <c r="M30" s="112" t="str">
        <f aca="false">IF($B30="","",F30+I30+L30)</f>
        <v/>
      </c>
      <c r="N30" s="39" t="str">
        <f aca="false">IF($B30="","",M30*INDEX('مواد المخزون'!$E$2:$E$86,MATCH($B30,'مواد المخزون'!$A$2:$A$86,0)))</f>
        <v/>
      </c>
    </row>
    <row r="31" customFormat="false" ht="15" hidden="false" customHeight="false" outlineLevel="0" collapsed="false">
      <c r="A31" s="36" t="n">
        <v>26</v>
      </c>
      <c r="B31" s="34" t="str">
        <f aca="false">IFERROR(INDEX('مواد المخزون'!$A$2:$A$86,MATCH($A31,'مواد المخزون'!$H$2:$H$86,0)),"")</f>
        <v/>
      </c>
      <c r="C31" s="36" t="str">
        <f aca="false">IF($B31="","",INDEX('مواد المخزون'!$B$2:$B$86,MATCH($B31,'مواد المخزون'!$A$2:$A$86,0)))</f>
        <v/>
      </c>
      <c r="D31" s="108" t="str">
        <f aca="false">IF($B31="","",INDEX('جرد - محرم بك'!$U$7:$U$91,MATCH($B31,'جرد - محرم بك'!$A$7:$A$91,0)))</f>
        <v/>
      </c>
      <c r="E31" s="108" t="str">
        <f aca="false">IF($B31="","",INDEX('جرد - محرم بك'!$V$7:$V$91,MATCH($B31,'جرد - محرم بك'!$A$7:$A$91,0)))</f>
        <v/>
      </c>
      <c r="F31" s="108" t="str">
        <f aca="false">IF($B31="","",INDEX('جرد - محرم بك'!$W$7:$W$91,MATCH($B31,'جرد - محرم بك'!$A$7:$A$91,0)))</f>
        <v/>
      </c>
      <c r="G31" s="108" t="str">
        <f aca="false">IF($B31="","",INDEX('جرد - ابراهيمية'!$U$7:$U$91,MATCH($B31,'جرد - ابراهيمية'!$A$7:$A$91,0)))</f>
        <v/>
      </c>
      <c r="H31" s="108" t="str">
        <f aca="false">IF($B31="","",INDEX('جرد - ابراهيمية'!$V$7:$V$91,MATCH($B31,'جرد - ابراهيمية'!$A$7:$A$91,0)))</f>
        <v/>
      </c>
      <c r="I31" s="108" t="str">
        <f aca="false">IF($B31="","",INDEX('جرد - ابراهيمية'!$W$7:$W$91,MATCH($B31,'جرد - ابراهيمية'!$A$7:$A$91,0)))</f>
        <v/>
      </c>
      <c r="J31" s="108" t="str">
        <f aca="false">IF($B31="","",INDEX('جرد - عصافرة'!$U$7:$U$91,MATCH($B31,'جرد - عصافرة'!$A$7:$A$91,0)))</f>
        <v/>
      </c>
      <c r="K31" s="108" t="str">
        <f aca="false">IF($B31="","",INDEX('جرد - عصافرة'!$V$7:$V$91,MATCH($B31,'جرد - عصافرة'!$A$7:$A$91,0)))</f>
        <v/>
      </c>
      <c r="L31" s="108" t="str">
        <f aca="false">IF($B31="","",INDEX('جرد - عصافرة'!$W$7:$W$91,MATCH($B31,'جرد - عصافرة'!$A$7:$A$91,0)))</f>
        <v/>
      </c>
      <c r="M31" s="112" t="str">
        <f aca="false">IF($B31="","",F31+I31+L31)</f>
        <v/>
      </c>
      <c r="N31" s="39" t="str">
        <f aca="false">IF($B31="","",M31*INDEX('مواد المخزون'!$E$2:$E$86,MATCH($B31,'مواد المخزون'!$A$2:$A$86,0)))</f>
        <v/>
      </c>
    </row>
    <row r="32" customFormat="false" ht="15" hidden="false" customHeight="false" outlineLevel="0" collapsed="false">
      <c r="A32" s="36" t="n">
        <v>27</v>
      </c>
      <c r="B32" s="34" t="str">
        <f aca="false">IFERROR(INDEX('مواد المخزون'!$A$2:$A$86,MATCH($A32,'مواد المخزون'!$H$2:$H$86,0)),"")</f>
        <v/>
      </c>
      <c r="C32" s="36" t="str">
        <f aca="false">IF($B32="","",INDEX('مواد المخزون'!$B$2:$B$86,MATCH($B32,'مواد المخزون'!$A$2:$A$86,0)))</f>
        <v/>
      </c>
      <c r="D32" s="108" t="str">
        <f aca="false">IF($B32="","",INDEX('جرد - محرم بك'!$U$7:$U$91,MATCH($B32,'جرد - محرم بك'!$A$7:$A$91,0)))</f>
        <v/>
      </c>
      <c r="E32" s="108" t="str">
        <f aca="false">IF($B32="","",INDEX('جرد - محرم بك'!$V$7:$V$91,MATCH($B32,'جرد - محرم بك'!$A$7:$A$91,0)))</f>
        <v/>
      </c>
      <c r="F32" s="108" t="str">
        <f aca="false">IF($B32="","",INDEX('جرد - محرم بك'!$W$7:$W$91,MATCH($B32,'جرد - محرم بك'!$A$7:$A$91,0)))</f>
        <v/>
      </c>
      <c r="G32" s="108" t="str">
        <f aca="false">IF($B32="","",INDEX('جرد - ابراهيمية'!$U$7:$U$91,MATCH($B32,'جرد - ابراهيمية'!$A$7:$A$91,0)))</f>
        <v/>
      </c>
      <c r="H32" s="108" t="str">
        <f aca="false">IF($B32="","",INDEX('جرد - ابراهيمية'!$V$7:$V$91,MATCH($B32,'جرد - ابراهيمية'!$A$7:$A$91,0)))</f>
        <v/>
      </c>
      <c r="I32" s="108" t="str">
        <f aca="false">IF($B32="","",INDEX('جرد - ابراهيمية'!$W$7:$W$91,MATCH($B32,'جرد - ابراهيمية'!$A$7:$A$91,0)))</f>
        <v/>
      </c>
      <c r="J32" s="108" t="str">
        <f aca="false">IF($B32="","",INDEX('جرد - عصافرة'!$U$7:$U$91,MATCH($B32,'جرد - عصافرة'!$A$7:$A$91,0)))</f>
        <v/>
      </c>
      <c r="K32" s="108" t="str">
        <f aca="false">IF($B32="","",INDEX('جرد - عصافرة'!$V$7:$V$91,MATCH($B32,'جرد - عصافرة'!$A$7:$A$91,0)))</f>
        <v/>
      </c>
      <c r="L32" s="108" t="str">
        <f aca="false">IF($B32="","",INDEX('جرد - عصافرة'!$W$7:$W$91,MATCH($B32,'جرد - عصافرة'!$A$7:$A$91,0)))</f>
        <v/>
      </c>
      <c r="M32" s="112" t="str">
        <f aca="false">IF($B32="","",F32+I32+L32)</f>
        <v/>
      </c>
      <c r="N32" s="39" t="str">
        <f aca="false">IF($B32="","",M32*INDEX('مواد المخزون'!$E$2:$E$86,MATCH($B32,'مواد المخزون'!$A$2:$A$86,0)))</f>
        <v/>
      </c>
    </row>
    <row r="33" customFormat="false" ht="15" hidden="false" customHeight="false" outlineLevel="0" collapsed="false">
      <c r="A33" s="36" t="n">
        <v>28</v>
      </c>
      <c r="B33" s="34" t="str">
        <f aca="false">IFERROR(INDEX('مواد المخزون'!$A$2:$A$86,MATCH($A33,'مواد المخزون'!$H$2:$H$86,0)),"")</f>
        <v/>
      </c>
      <c r="C33" s="36" t="str">
        <f aca="false">IF($B33="","",INDEX('مواد المخزون'!$B$2:$B$86,MATCH($B33,'مواد المخزون'!$A$2:$A$86,0)))</f>
        <v/>
      </c>
      <c r="D33" s="108" t="str">
        <f aca="false">IF($B33="","",INDEX('جرد - محرم بك'!$U$7:$U$91,MATCH($B33,'جرد - محرم بك'!$A$7:$A$91,0)))</f>
        <v/>
      </c>
      <c r="E33" s="108" t="str">
        <f aca="false">IF($B33="","",INDEX('جرد - محرم بك'!$V$7:$V$91,MATCH($B33,'جرد - محرم بك'!$A$7:$A$91,0)))</f>
        <v/>
      </c>
      <c r="F33" s="108" t="str">
        <f aca="false">IF($B33="","",INDEX('جرد - محرم بك'!$W$7:$W$91,MATCH($B33,'جرد - محرم بك'!$A$7:$A$91,0)))</f>
        <v/>
      </c>
      <c r="G33" s="108" t="str">
        <f aca="false">IF($B33="","",INDEX('جرد - ابراهيمية'!$U$7:$U$91,MATCH($B33,'جرد - ابراهيمية'!$A$7:$A$91,0)))</f>
        <v/>
      </c>
      <c r="H33" s="108" t="str">
        <f aca="false">IF($B33="","",INDEX('جرد - ابراهيمية'!$V$7:$V$91,MATCH($B33,'جرد - ابراهيمية'!$A$7:$A$91,0)))</f>
        <v/>
      </c>
      <c r="I33" s="108" t="str">
        <f aca="false">IF($B33="","",INDEX('جرد - ابراهيمية'!$W$7:$W$91,MATCH($B33,'جرد - ابراهيمية'!$A$7:$A$91,0)))</f>
        <v/>
      </c>
      <c r="J33" s="108" t="str">
        <f aca="false">IF($B33="","",INDEX('جرد - عصافرة'!$U$7:$U$91,MATCH($B33,'جرد - عصافرة'!$A$7:$A$91,0)))</f>
        <v/>
      </c>
      <c r="K33" s="108" t="str">
        <f aca="false">IF($B33="","",INDEX('جرد - عصافرة'!$V$7:$V$91,MATCH($B33,'جرد - عصافرة'!$A$7:$A$91,0)))</f>
        <v/>
      </c>
      <c r="L33" s="108" t="str">
        <f aca="false">IF($B33="","",INDEX('جرد - عصافرة'!$W$7:$W$91,MATCH($B33,'جرد - عصافرة'!$A$7:$A$91,0)))</f>
        <v/>
      </c>
      <c r="M33" s="112" t="str">
        <f aca="false">IF($B33="","",F33+I33+L33)</f>
        <v/>
      </c>
      <c r="N33" s="39" t="str">
        <f aca="false">IF($B33="","",M33*INDEX('مواد المخزون'!$E$2:$E$86,MATCH($B33,'مواد المخزون'!$A$2:$A$86,0)))</f>
        <v/>
      </c>
    </row>
    <row r="34" customFormat="false" ht="15" hidden="false" customHeight="false" outlineLevel="0" collapsed="false">
      <c r="A34" s="36" t="n">
        <v>29</v>
      </c>
      <c r="B34" s="34" t="str">
        <f aca="false">IFERROR(INDEX('مواد المخزون'!$A$2:$A$86,MATCH($A34,'مواد المخزون'!$H$2:$H$86,0)),"")</f>
        <v/>
      </c>
      <c r="C34" s="36" t="str">
        <f aca="false">IF($B34="","",INDEX('مواد المخزون'!$B$2:$B$86,MATCH($B34,'مواد المخزون'!$A$2:$A$86,0)))</f>
        <v/>
      </c>
      <c r="D34" s="108" t="str">
        <f aca="false">IF($B34="","",INDEX('جرد - محرم بك'!$U$7:$U$91,MATCH($B34,'جرد - محرم بك'!$A$7:$A$91,0)))</f>
        <v/>
      </c>
      <c r="E34" s="108" t="str">
        <f aca="false">IF($B34="","",INDEX('جرد - محرم بك'!$V$7:$V$91,MATCH($B34,'جرد - محرم بك'!$A$7:$A$91,0)))</f>
        <v/>
      </c>
      <c r="F34" s="108" t="str">
        <f aca="false">IF($B34="","",INDEX('جرد - محرم بك'!$W$7:$W$91,MATCH($B34,'جرد - محرم بك'!$A$7:$A$91,0)))</f>
        <v/>
      </c>
      <c r="G34" s="108" t="str">
        <f aca="false">IF($B34="","",INDEX('جرد - ابراهيمية'!$U$7:$U$91,MATCH($B34,'جرد - ابراهيمية'!$A$7:$A$91,0)))</f>
        <v/>
      </c>
      <c r="H34" s="108" t="str">
        <f aca="false">IF($B34="","",INDEX('جرد - ابراهيمية'!$V$7:$V$91,MATCH($B34,'جرد - ابراهيمية'!$A$7:$A$91,0)))</f>
        <v/>
      </c>
      <c r="I34" s="108" t="str">
        <f aca="false">IF($B34="","",INDEX('جرد - ابراهيمية'!$W$7:$W$91,MATCH($B34,'جرد - ابراهيمية'!$A$7:$A$91,0)))</f>
        <v/>
      </c>
      <c r="J34" s="108" t="str">
        <f aca="false">IF($B34="","",INDEX('جرد - عصافرة'!$U$7:$U$91,MATCH($B34,'جرد - عصافرة'!$A$7:$A$91,0)))</f>
        <v/>
      </c>
      <c r="K34" s="108" t="str">
        <f aca="false">IF($B34="","",INDEX('جرد - عصافرة'!$V$7:$V$91,MATCH($B34,'جرد - عصافرة'!$A$7:$A$91,0)))</f>
        <v/>
      </c>
      <c r="L34" s="108" t="str">
        <f aca="false">IF($B34="","",INDEX('جرد - عصافرة'!$W$7:$W$91,MATCH($B34,'جرد - عصافرة'!$A$7:$A$91,0)))</f>
        <v/>
      </c>
      <c r="M34" s="112" t="str">
        <f aca="false">IF($B34="","",F34+I34+L34)</f>
        <v/>
      </c>
      <c r="N34" s="39" t="str">
        <f aca="false">IF($B34="","",M34*INDEX('مواد المخزون'!$E$2:$E$86,MATCH($B34,'مواد المخزون'!$A$2:$A$86,0)))</f>
        <v/>
      </c>
    </row>
    <row r="35" customFormat="false" ht="15" hidden="false" customHeight="false" outlineLevel="0" collapsed="false">
      <c r="A35" s="36" t="n">
        <v>30</v>
      </c>
      <c r="B35" s="34" t="str">
        <f aca="false">IFERROR(INDEX('مواد المخزون'!$A$2:$A$86,MATCH($A35,'مواد المخزون'!$H$2:$H$86,0)),"")</f>
        <v/>
      </c>
      <c r="C35" s="36" t="str">
        <f aca="false">IF($B35="","",INDEX('مواد المخزون'!$B$2:$B$86,MATCH($B35,'مواد المخزون'!$A$2:$A$86,0)))</f>
        <v/>
      </c>
      <c r="D35" s="108" t="str">
        <f aca="false">IF($B35="","",INDEX('جرد - محرم بك'!$U$7:$U$91,MATCH($B35,'جرد - محرم بك'!$A$7:$A$91,0)))</f>
        <v/>
      </c>
      <c r="E35" s="108" t="str">
        <f aca="false">IF($B35="","",INDEX('جرد - محرم بك'!$V$7:$V$91,MATCH($B35,'جرد - محرم بك'!$A$7:$A$91,0)))</f>
        <v/>
      </c>
      <c r="F35" s="108" t="str">
        <f aca="false">IF($B35="","",INDEX('جرد - محرم بك'!$W$7:$W$91,MATCH($B35,'جرد - محرم بك'!$A$7:$A$91,0)))</f>
        <v/>
      </c>
      <c r="G35" s="108" t="str">
        <f aca="false">IF($B35="","",INDEX('جرد - ابراهيمية'!$U$7:$U$91,MATCH($B35,'جرد - ابراهيمية'!$A$7:$A$91,0)))</f>
        <v/>
      </c>
      <c r="H35" s="108" t="str">
        <f aca="false">IF($B35="","",INDEX('جرد - ابراهيمية'!$V$7:$V$91,MATCH($B35,'جرد - ابراهيمية'!$A$7:$A$91,0)))</f>
        <v/>
      </c>
      <c r="I35" s="108" t="str">
        <f aca="false">IF($B35="","",INDEX('جرد - ابراهيمية'!$W$7:$W$91,MATCH($B35,'جرد - ابراهيمية'!$A$7:$A$91,0)))</f>
        <v/>
      </c>
      <c r="J35" s="108" t="str">
        <f aca="false">IF($B35="","",INDEX('جرد - عصافرة'!$U$7:$U$91,MATCH($B35,'جرد - عصافرة'!$A$7:$A$91,0)))</f>
        <v/>
      </c>
      <c r="K35" s="108" t="str">
        <f aca="false">IF($B35="","",INDEX('جرد - عصافرة'!$V$7:$V$91,MATCH($B35,'جرد - عصافرة'!$A$7:$A$91,0)))</f>
        <v/>
      </c>
      <c r="L35" s="108" t="str">
        <f aca="false">IF($B35="","",INDEX('جرد - عصافرة'!$W$7:$W$91,MATCH($B35,'جرد - عصافرة'!$A$7:$A$91,0)))</f>
        <v/>
      </c>
      <c r="M35" s="112" t="str">
        <f aca="false">IF($B35="","",F35+I35+L35)</f>
        <v/>
      </c>
      <c r="N35" s="39" t="str">
        <f aca="false">IF($B35="","",M35*INDEX('مواد المخزون'!$E$2:$E$86,MATCH($B35,'مواد المخزون'!$A$2:$A$86,0)))</f>
        <v/>
      </c>
    </row>
    <row r="36" customFormat="false" ht="15" hidden="false" customHeight="false" outlineLevel="0" collapsed="false">
      <c r="A36" s="36" t="n">
        <v>31</v>
      </c>
      <c r="B36" s="34" t="str">
        <f aca="false">IFERROR(INDEX('مواد المخزون'!$A$2:$A$86,MATCH($A36,'مواد المخزون'!$H$2:$H$86,0)),"")</f>
        <v/>
      </c>
      <c r="C36" s="36" t="str">
        <f aca="false">IF($B36="","",INDEX('مواد المخزون'!$B$2:$B$86,MATCH($B36,'مواد المخزون'!$A$2:$A$86,0)))</f>
        <v/>
      </c>
      <c r="D36" s="108" t="str">
        <f aca="false">IF($B36="","",INDEX('جرد - محرم بك'!$U$7:$U$91,MATCH($B36,'جرد - محرم بك'!$A$7:$A$91,0)))</f>
        <v/>
      </c>
      <c r="E36" s="108" t="str">
        <f aca="false">IF($B36="","",INDEX('جرد - محرم بك'!$V$7:$V$91,MATCH($B36,'جرد - محرم بك'!$A$7:$A$91,0)))</f>
        <v/>
      </c>
      <c r="F36" s="108" t="str">
        <f aca="false">IF($B36="","",INDEX('جرد - محرم بك'!$W$7:$W$91,MATCH($B36,'جرد - محرم بك'!$A$7:$A$91,0)))</f>
        <v/>
      </c>
      <c r="G36" s="108" t="str">
        <f aca="false">IF($B36="","",INDEX('جرد - ابراهيمية'!$U$7:$U$91,MATCH($B36,'جرد - ابراهيمية'!$A$7:$A$91,0)))</f>
        <v/>
      </c>
      <c r="H36" s="108" t="str">
        <f aca="false">IF($B36="","",INDEX('جرد - ابراهيمية'!$V$7:$V$91,MATCH($B36,'جرد - ابراهيمية'!$A$7:$A$91,0)))</f>
        <v/>
      </c>
      <c r="I36" s="108" t="str">
        <f aca="false">IF($B36="","",INDEX('جرد - ابراهيمية'!$W$7:$W$91,MATCH($B36,'جرد - ابراهيمية'!$A$7:$A$91,0)))</f>
        <v/>
      </c>
      <c r="J36" s="108" t="str">
        <f aca="false">IF($B36="","",INDEX('جرد - عصافرة'!$U$7:$U$91,MATCH($B36,'جرد - عصافرة'!$A$7:$A$91,0)))</f>
        <v/>
      </c>
      <c r="K36" s="108" t="str">
        <f aca="false">IF($B36="","",INDEX('جرد - عصافرة'!$V$7:$V$91,MATCH($B36,'جرد - عصافرة'!$A$7:$A$91,0)))</f>
        <v/>
      </c>
      <c r="L36" s="108" t="str">
        <f aca="false">IF($B36="","",INDEX('جرد - عصافرة'!$W$7:$W$91,MATCH($B36,'جرد - عصافرة'!$A$7:$A$91,0)))</f>
        <v/>
      </c>
      <c r="M36" s="112" t="str">
        <f aca="false">IF($B36="","",F36+I36+L36)</f>
        <v/>
      </c>
      <c r="N36" s="39" t="str">
        <f aca="false">IF($B36="","",M36*INDEX('مواد المخزون'!$E$2:$E$86,MATCH($B36,'مواد المخزون'!$A$2:$A$86,0)))</f>
        <v/>
      </c>
    </row>
    <row r="37" customFormat="false" ht="15" hidden="false" customHeight="false" outlineLevel="0" collapsed="false">
      <c r="A37" s="36" t="n">
        <v>32</v>
      </c>
      <c r="B37" s="34" t="str">
        <f aca="false">IFERROR(INDEX('مواد المخزون'!$A$2:$A$86,MATCH($A37,'مواد المخزون'!$H$2:$H$86,0)),"")</f>
        <v/>
      </c>
      <c r="C37" s="36" t="str">
        <f aca="false">IF($B37="","",INDEX('مواد المخزون'!$B$2:$B$86,MATCH($B37,'مواد المخزون'!$A$2:$A$86,0)))</f>
        <v/>
      </c>
      <c r="D37" s="108" t="str">
        <f aca="false">IF($B37="","",INDEX('جرد - محرم بك'!$U$7:$U$91,MATCH($B37,'جرد - محرم بك'!$A$7:$A$91,0)))</f>
        <v/>
      </c>
      <c r="E37" s="108" t="str">
        <f aca="false">IF($B37="","",INDEX('جرد - محرم بك'!$V$7:$V$91,MATCH($B37,'جرد - محرم بك'!$A$7:$A$91,0)))</f>
        <v/>
      </c>
      <c r="F37" s="108" t="str">
        <f aca="false">IF($B37="","",INDEX('جرد - محرم بك'!$W$7:$W$91,MATCH($B37,'جرد - محرم بك'!$A$7:$A$91,0)))</f>
        <v/>
      </c>
      <c r="G37" s="108" t="str">
        <f aca="false">IF($B37="","",INDEX('جرد - ابراهيمية'!$U$7:$U$91,MATCH($B37,'جرد - ابراهيمية'!$A$7:$A$91,0)))</f>
        <v/>
      </c>
      <c r="H37" s="108" t="str">
        <f aca="false">IF($B37="","",INDEX('جرد - ابراهيمية'!$V$7:$V$91,MATCH($B37,'جرد - ابراهيمية'!$A$7:$A$91,0)))</f>
        <v/>
      </c>
      <c r="I37" s="108" t="str">
        <f aca="false">IF($B37="","",INDEX('جرد - ابراهيمية'!$W$7:$W$91,MATCH($B37,'جرد - ابراهيمية'!$A$7:$A$91,0)))</f>
        <v/>
      </c>
      <c r="J37" s="108" t="str">
        <f aca="false">IF($B37="","",INDEX('جرد - عصافرة'!$U$7:$U$91,MATCH($B37,'جرد - عصافرة'!$A$7:$A$91,0)))</f>
        <v/>
      </c>
      <c r="K37" s="108" t="str">
        <f aca="false">IF($B37="","",INDEX('جرد - عصافرة'!$V$7:$V$91,MATCH($B37,'جرد - عصافرة'!$A$7:$A$91,0)))</f>
        <v/>
      </c>
      <c r="L37" s="108" t="str">
        <f aca="false">IF($B37="","",INDEX('جرد - عصافرة'!$W$7:$W$91,MATCH($B37,'جرد - عصافرة'!$A$7:$A$91,0)))</f>
        <v/>
      </c>
      <c r="M37" s="112" t="str">
        <f aca="false">IF($B37="","",F37+I37+L37)</f>
        <v/>
      </c>
      <c r="N37" s="39" t="str">
        <f aca="false">IF($B37="","",M37*INDEX('مواد المخزون'!$E$2:$E$86,MATCH($B37,'مواد المخزون'!$A$2:$A$86,0)))</f>
        <v/>
      </c>
    </row>
    <row r="38" customFormat="false" ht="15" hidden="false" customHeight="false" outlineLevel="0" collapsed="false">
      <c r="A38" s="36" t="n">
        <v>33</v>
      </c>
      <c r="B38" s="34" t="str">
        <f aca="false">IFERROR(INDEX('مواد المخزون'!$A$2:$A$86,MATCH($A38,'مواد المخزون'!$H$2:$H$86,0)),"")</f>
        <v/>
      </c>
      <c r="C38" s="36" t="str">
        <f aca="false">IF($B38="","",INDEX('مواد المخزون'!$B$2:$B$86,MATCH($B38,'مواد المخزون'!$A$2:$A$86,0)))</f>
        <v/>
      </c>
      <c r="D38" s="108" t="str">
        <f aca="false">IF($B38="","",INDEX('جرد - محرم بك'!$U$7:$U$91,MATCH($B38,'جرد - محرم بك'!$A$7:$A$91,0)))</f>
        <v/>
      </c>
      <c r="E38" s="108" t="str">
        <f aca="false">IF($B38="","",INDEX('جرد - محرم بك'!$V$7:$V$91,MATCH($B38,'جرد - محرم بك'!$A$7:$A$91,0)))</f>
        <v/>
      </c>
      <c r="F38" s="108" t="str">
        <f aca="false">IF($B38="","",INDEX('جرد - محرم بك'!$W$7:$W$91,MATCH($B38,'جرد - محرم بك'!$A$7:$A$91,0)))</f>
        <v/>
      </c>
      <c r="G38" s="108" t="str">
        <f aca="false">IF($B38="","",INDEX('جرد - ابراهيمية'!$U$7:$U$91,MATCH($B38,'جرد - ابراهيمية'!$A$7:$A$91,0)))</f>
        <v/>
      </c>
      <c r="H38" s="108" t="str">
        <f aca="false">IF($B38="","",INDEX('جرد - ابراهيمية'!$V$7:$V$91,MATCH($B38,'جرد - ابراهيمية'!$A$7:$A$91,0)))</f>
        <v/>
      </c>
      <c r="I38" s="108" t="str">
        <f aca="false">IF($B38="","",INDEX('جرد - ابراهيمية'!$W$7:$W$91,MATCH($B38,'جرد - ابراهيمية'!$A$7:$A$91,0)))</f>
        <v/>
      </c>
      <c r="J38" s="108" t="str">
        <f aca="false">IF($B38="","",INDEX('جرد - عصافرة'!$U$7:$U$91,MATCH($B38,'جرد - عصافرة'!$A$7:$A$91,0)))</f>
        <v/>
      </c>
      <c r="K38" s="108" t="str">
        <f aca="false">IF($B38="","",INDEX('جرد - عصافرة'!$V$7:$V$91,MATCH($B38,'جرد - عصافرة'!$A$7:$A$91,0)))</f>
        <v/>
      </c>
      <c r="L38" s="108" t="str">
        <f aca="false">IF($B38="","",INDEX('جرد - عصافرة'!$W$7:$W$91,MATCH($B38,'جرد - عصافرة'!$A$7:$A$91,0)))</f>
        <v/>
      </c>
      <c r="M38" s="112" t="str">
        <f aca="false">IF($B38="","",F38+I38+L38)</f>
        <v/>
      </c>
      <c r="N38" s="39" t="str">
        <f aca="false">IF($B38="","",M38*INDEX('مواد المخزون'!$E$2:$E$86,MATCH($B38,'مواد المخزون'!$A$2:$A$86,0)))</f>
        <v/>
      </c>
    </row>
    <row r="39" customFormat="false" ht="15" hidden="false" customHeight="false" outlineLevel="0" collapsed="false">
      <c r="A39" s="36" t="n">
        <v>34</v>
      </c>
      <c r="B39" s="34" t="str">
        <f aca="false">IFERROR(INDEX('مواد المخزون'!$A$2:$A$86,MATCH($A39,'مواد المخزون'!$H$2:$H$86,0)),"")</f>
        <v/>
      </c>
      <c r="C39" s="36" t="str">
        <f aca="false">IF($B39="","",INDEX('مواد المخزون'!$B$2:$B$86,MATCH($B39,'مواد المخزون'!$A$2:$A$86,0)))</f>
        <v/>
      </c>
      <c r="D39" s="108" t="str">
        <f aca="false">IF($B39="","",INDEX('جرد - محرم بك'!$U$7:$U$91,MATCH($B39,'جرد - محرم بك'!$A$7:$A$91,0)))</f>
        <v/>
      </c>
      <c r="E39" s="108" t="str">
        <f aca="false">IF($B39="","",INDEX('جرد - محرم بك'!$V$7:$V$91,MATCH($B39,'جرد - محرم بك'!$A$7:$A$91,0)))</f>
        <v/>
      </c>
      <c r="F39" s="108" t="str">
        <f aca="false">IF($B39="","",INDEX('جرد - محرم بك'!$W$7:$W$91,MATCH($B39,'جرد - محرم بك'!$A$7:$A$91,0)))</f>
        <v/>
      </c>
      <c r="G39" s="108" t="str">
        <f aca="false">IF($B39="","",INDEX('جرد - ابراهيمية'!$U$7:$U$91,MATCH($B39,'جرد - ابراهيمية'!$A$7:$A$91,0)))</f>
        <v/>
      </c>
      <c r="H39" s="108" t="str">
        <f aca="false">IF($B39="","",INDEX('جرد - ابراهيمية'!$V$7:$V$91,MATCH($B39,'جرد - ابراهيمية'!$A$7:$A$91,0)))</f>
        <v/>
      </c>
      <c r="I39" s="108" t="str">
        <f aca="false">IF($B39="","",INDEX('جرد - ابراهيمية'!$W$7:$W$91,MATCH($B39,'جرد - ابراهيمية'!$A$7:$A$91,0)))</f>
        <v/>
      </c>
      <c r="J39" s="108" t="str">
        <f aca="false">IF($B39="","",INDEX('جرد - عصافرة'!$U$7:$U$91,MATCH($B39,'جرد - عصافرة'!$A$7:$A$91,0)))</f>
        <v/>
      </c>
      <c r="K39" s="108" t="str">
        <f aca="false">IF($B39="","",INDEX('جرد - عصافرة'!$V$7:$V$91,MATCH($B39,'جرد - عصافرة'!$A$7:$A$91,0)))</f>
        <v/>
      </c>
      <c r="L39" s="108" t="str">
        <f aca="false">IF($B39="","",INDEX('جرد - عصافرة'!$W$7:$W$91,MATCH($B39,'جرد - عصافرة'!$A$7:$A$91,0)))</f>
        <v/>
      </c>
      <c r="M39" s="112" t="str">
        <f aca="false">IF($B39="","",F39+I39+L39)</f>
        <v/>
      </c>
      <c r="N39" s="39" t="str">
        <f aca="false">IF($B39="","",M39*INDEX('مواد المخزون'!$E$2:$E$86,MATCH($B39,'مواد المخزون'!$A$2:$A$86,0)))</f>
        <v/>
      </c>
    </row>
    <row r="40" customFormat="false" ht="15" hidden="false" customHeight="false" outlineLevel="0" collapsed="false">
      <c r="A40" s="36" t="n">
        <v>35</v>
      </c>
      <c r="B40" s="34" t="str">
        <f aca="false">IFERROR(INDEX('مواد المخزون'!$A$2:$A$86,MATCH($A40,'مواد المخزون'!$H$2:$H$86,0)),"")</f>
        <v/>
      </c>
      <c r="C40" s="36" t="str">
        <f aca="false">IF($B40="","",INDEX('مواد المخزون'!$B$2:$B$86,MATCH($B40,'مواد المخزون'!$A$2:$A$86,0)))</f>
        <v/>
      </c>
      <c r="D40" s="108" t="str">
        <f aca="false">IF($B40="","",INDEX('جرد - محرم بك'!$U$7:$U$91,MATCH($B40,'جرد - محرم بك'!$A$7:$A$91,0)))</f>
        <v/>
      </c>
      <c r="E40" s="108" t="str">
        <f aca="false">IF($B40="","",INDEX('جرد - محرم بك'!$V$7:$V$91,MATCH($B40,'جرد - محرم بك'!$A$7:$A$91,0)))</f>
        <v/>
      </c>
      <c r="F40" s="108" t="str">
        <f aca="false">IF($B40="","",INDEX('جرد - محرم بك'!$W$7:$W$91,MATCH($B40,'جرد - محرم بك'!$A$7:$A$91,0)))</f>
        <v/>
      </c>
      <c r="G40" s="108" t="str">
        <f aca="false">IF($B40="","",INDEX('جرد - ابراهيمية'!$U$7:$U$91,MATCH($B40,'جرد - ابراهيمية'!$A$7:$A$91,0)))</f>
        <v/>
      </c>
      <c r="H40" s="108" t="str">
        <f aca="false">IF($B40="","",INDEX('جرد - ابراهيمية'!$V$7:$V$91,MATCH($B40,'جرد - ابراهيمية'!$A$7:$A$91,0)))</f>
        <v/>
      </c>
      <c r="I40" s="108" t="str">
        <f aca="false">IF($B40="","",INDEX('جرد - ابراهيمية'!$W$7:$W$91,MATCH($B40,'جرد - ابراهيمية'!$A$7:$A$91,0)))</f>
        <v/>
      </c>
      <c r="J40" s="108" t="str">
        <f aca="false">IF($B40="","",INDEX('جرد - عصافرة'!$U$7:$U$91,MATCH($B40,'جرد - عصافرة'!$A$7:$A$91,0)))</f>
        <v/>
      </c>
      <c r="K40" s="108" t="str">
        <f aca="false">IF($B40="","",INDEX('جرد - عصافرة'!$V$7:$V$91,MATCH($B40,'جرد - عصافرة'!$A$7:$A$91,0)))</f>
        <v/>
      </c>
      <c r="L40" s="108" t="str">
        <f aca="false">IF($B40="","",INDEX('جرد - عصافرة'!$W$7:$W$91,MATCH($B40,'جرد - عصافرة'!$A$7:$A$91,0)))</f>
        <v/>
      </c>
      <c r="M40" s="112" t="str">
        <f aca="false">IF($B40="","",F40+I40+L40)</f>
        <v/>
      </c>
      <c r="N40" s="39" t="str">
        <f aca="false">IF($B40="","",M40*INDEX('مواد المخزون'!$E$2:$E$86,MATCH($B40,'مواد المخزون'!$A$2:$A$86,0)))</f>
        <v/>
      </c>
    </row>
    <row r="41" customFormat="false" ht="15" hidden="false" customHeight="false" outlineLevel="0" collapsed="false">
      <c r="A41" s="36" t="n">
        <v>36</v>
      </c>
      <c r="B41" s="34" t="str">
        <f aca="false">IFERROR(INDEX('مواد المخزون'!$A$2:$A$86,MATCH($A41,'مواد المخزون'!$H$2:$H$86,0)),"")</f>
        <v/>
      </c>
      <c r="C41" s="36" t="str">
        <f aca="false">IF($B41="","",INDEX('مواد المخزون'!$B$2:$B$86,MATCH($B41,'مواد المخزون'!$A$2:$A$86,0)))</f>
        <v/>
      </c>
      <c r="D41" s="108" t="str">
        <f aca="false">IF($B41="","",INDEX('جرد - محرم بك'!$U$7:$U$91,MATCH($B41,'جرد - محرم بك'!$A$7:$A$91,0)))</f>
        <v/>
      </c>
      <c r="E41" s="108" t="str">
        <f aca="false">IF($B41="","",INDEX('جرد - محرم بك'!$V$7:$V$91,MATCH($B41,'جرد - محرم بك'!$A$7:$A$91,0)))</f>
        <v/>
      </c>
      <c r="F41" s="108" t="str">
        <f aca="false">IF($B41="","",INDEX('جرد - محرم بك'!$W$7:$W$91,MATCH($B41,'جرد - محرم بك'!$A$7:$A$91,0)))</f>
        <v/>
      </c>
      <c r="G41" s="108" t="str">
        <f aca="false">IF($B41="","",INDEX('جرد - ابراهيمية'!$U$7:$U$91,MATCH($B41,'جرد - ابراهيمية'!$A$7:$A$91,0)))</f>
        <v/>
      </c>
      <c r="H41" s="108" t="str">
        <f aca="false">IF($B41="","",INDEX('جرد - ابراهيمية'!$V$7:$V$91,MATCH($B41,'جرد - ابراهيمية'!$A$7:$A$91,0)))</f>
        <v/>
      </c>
      <c r="I41" s="108" t="str">
        <f aca="false">IF($B41="","",INDEX('جرد - ابراهيمية'!$W$7:$W$91,MATCH($B41,'جرد - ابراهيمية'!$A$7:$A$91,0)))</f>
        <v/>
      </c>
      <c r="J41" s="108" t="str">
        <f aca="false">IF($B41="","",INDEX('جرد - عصافرة'!$U$7:$U$91,MATCH($B41,'جرد - عصافرة'!$A$7:$A$91,0)))</f>
        <v/>
      </c>
      <c r="K41" s="108" t="str">
        <f aca="false">IF($B41="","",INDEX('جرد - عصافرة'!$V$7:$V$91,MATCH($B41,'جرد - عصافرة'!$A$7:$A$91,0)))</f>
        <v/>
      </c>
      <c r="L41" s="108" t="str">
        <f aca="false">IF($B41="","",INDEX('جرد - عصافرة'!$W$7:$W$91,MATCH($B41,'جرد - عصافرة'!$A$7:$A$91,0)))</f>
        <v/>
      </c>
      <c r="M41" s="112" t="str">
        <f aca="false">IF($B41="","",F41+I41+L41)</f>
        <v/>
      </c>
      <c r="N41" s="39" t="str">
        <f aca="false">IF($B41="","",M41*INDEX('مواد المخزون'!$E$2:$E$86,MATCH($B41,'مواد المخزون'!$A$2:$A$86,0)))</f>
        <v/>
      </c>
    </row>
    <row r="42" customFormat="false" ht="15" hidden="false" customHeight="false" outlineLevel="0" collapsed="false">
      <c r="A42" s="36" t="n">
        <v>37</v>
      </c>
      <c r="B42" s="34" t="str">
        <f aca="false">IFERROR(INDEX('مواد المخزون'!$A$2:$A$86,MATCH($A42,'مواد المخزون'!$H$2:$H$86,0)),"")</f>
        <v/>
      </c>
      <c r="C42" s="36" t="str">
        <f aca="false">IF($B42="","",INDEX('مواد المخزون'!$B$2:$B$86,MATCH($B42,'مواد المخزون'!$A$2:$A$86,0)))</f>
        <v/>
      </c>
      <c r="D42" s="108" t="str">
        <f aca="false">IF($B42="","",INDEX('جرد - محرم بك'!$U$7:$U$91,MATCH($B42,'جرد - محرم بك'!$A$7:$A$91,0)))</f>
        <v/>
      </c>
      <c r="E42" s="108" t="str">
        <f aca="false">IF($B42="","",INDEX('جرد - محرم بك'!$V$7:$V$91,MATCH($B42,'جرد - محرم بك'!$A$7:$A$91,0)))</f>
        <v/>
      </c>
      <c r="F42" s="108" t="str">
        <f aca="false">IF($B42="","",INDEX('جرد - محرم بك'!$W$7:$W$91,MATCH($B42,'جرد - محرم بك'!$A$7:$A$91,0)))</f>
        <v/>
      </c>
      <c r="G42" s="108" t="str">
        <f aca="false">IF($B42="","",INDEX('جرد - ابراهيمية'!$U$7:$U$91,MATCH($B42,'جرد - ابراهيمية'!$A$7:$A$91,0)))</f>
        <v/>
      </c>
      <c r="H42" s="108" t="str">
        <f aca="false">IF($B42="","",INDEX('جرد - ابراهيمية'!$V$7:$V$91,MATCH($B42,'جرد - ابراهيمية'!$A$7:$A$91,0)))</f>
        <v/>
      </c>
      <c r="I42" s="108" t="str">
        <f aca="false">IF($B42="","",INDEX('جرد - ابراهيمية'!$W$7:$W$91,MATCH($B42,'جرد - ابراهيمية'!$A$7:$A$91,0)))</f>
        <v/>
      </c>
      <c r="J42" s="108" t="str">
        <f aca="false">IF($B42="","",INDEX('جرد - عصافرة'!$U$7:$U$91,MATCH($B42,'جرد - عصافرة'!$A$7:$A$91,0)))</f>
        <v/>
      </c>
      <c r="K42" s="108" t="str">
        <f aca="false">IF($B42="","",INDEX('جرد - عصافرة'!$V$7:$V$91,MATCH($B42,'جرد - عصافرة'!$A$7:$A$91,0)))</f>
        <v/>
      </c>
      <c r="L42" s="108" t="str">
        <f aca="false">IF($B42="","",INDEX('جرد - عصافرة'!$W$7:$W$91,MATCH($B42,'جرد - عصافرة'!$A$7:$A$91,0)))</f>
        <v/>
      </c>
      <c r="M42" s="112" t="str">
        <f aca="false">IF($B42="","",F42+I42+L42)</f>
        <v/>
      </c>
      <c r="N42" s="39" t="str">
        <f aca="false">IF($B42="","",M42*INDEX('مواد المخزون'!$E$2:$E$86,MATCH($B42,'مواد المخزون'!$A$2:$A$86,0)))</f>
        <v/>
      </c>
    </row>
    <row r="43" customFormat="false" ht="15" hidden="false" customHeight="false" outlineLevel="0" collapsed="false">
      <c r="A43" s="36" t="n">
        <v>38</v>
      </c>
      <c r="B43" s="34" t="str">
        <f aca="false">IFERROR(INDEX('مواد المخزون'!$A$2:$A$86,MATCH($A43,'مواد المخزون'!$H$2:$H$86,0)),"")</f>
        <v/>
      </c>
      <c r="C43" s="36" t="str">
        <f aca="false">IF($B43="","",INDEX('مواد المخزون'!$B$2:$B$86,MATCH($B43,'مواد المخزون'!$A$2:$A$86,0)))</f>
        <v/>
      </c>
      <c r="D43" s="108" t="str">
        <f aca="false">IF($B43="","",INDEX('جرد - محرم بك'!$U$7:$U$91,MATCH($B43,'جرد - محرم بك'!$A$7:$A$91,0)))</f>
        <v/>
      </c>
      <c r="E43" s="108" t="str">
        <f aca="false">IF($B43="","",INDEX('جرد - محرم بك'!$V$7:$V$91,MATCH($B43,'جرد - محرم بك'!$A$7:$A$91,0)))</f>
        <v/>
      </c>
      <c r="F43" s="108" t="str">
        <f aca="false">IF($B43="","",INDEX('جرد - محرم بك'!$W$7:$W$91,MATCH($B43,'جرد - محرم بك'!$A$7:$A$91,0)))</f>
        <v/>
      </c>
      <c r="G43" s="108" t="str">
        <f aca="false">IF($B43="","",INDEX('جرد - ابراهيمية'!$U$7:$U$91,MATCH($B43,'جرد - ابراهيمية'!$A$7:$A$91,0)))</f>
        <v/>
      </c>
      <c r="H43" s="108" t="str">
        <f aca="false">IF($B43="","",INDEX('جرد - ابراهيمية'!$V$7:$V$91,MATCH($B43,'جرد - ابراهيمية'!$A$7:$A$91,0)))</f>
        <v/>
      </c>
      <c r="I43" s="108" t="str">
        <f aca="false">IF($B43="","",INDEX('جرد - ابراهيمية'!$W$7:$W$91,MATCH($B43,'جرد - ابراهيمية'!$A$7:$A$91,0)))</f>
        <v/>
      </c>
      <c r="J43" s="108" t="str">
        <f aca="false">IF($B43="","",INDEX('جرد - عصافرة'!$U$7:$U$91,MATCH($B43,'جرد - عصافرة'!$A$7:$A$91,0)))</f>
        <v/>
      </c>
      <c r="K43" s="108" t="str">
        <f aca="false">IF($B43="","",INDEX('جرد - عصافرة'!$V$7:$V$91,MATCH($B43,'جرد - عصافرة'!$A$7:$A$91,0)))</f>
        <v/>
      </c>
      <c r="L43" s="108" t="str">
        <f aca="false">IF($B43="","",INDEX('جرد - عصافرة'!$W$7:$W$91,MATCH($B43,'جرد - عصافرة'!$A$7:$A$91,0)))</f>
        <v/>
      </c>
      <c r="M43" s="112" t="str">
        <f aca="false">IF($B43="","",F43+I43+L43)</f>
        <v/>
      </c>
      <c r="N43" s="39" t="str">
        <f aca="false">IF($B43="","",M43*INDEX('مواد المخزون'!$E$2:$E$86,MATCH($B43,'مواد المخزون'!$A$2:$A$86,0)))</f>
        <v/>
      </c>
    </row>
    <row r="44" customFormat="false" ht="15" hidden="false" customHeight="false" outlineLevel="0" collapsed="false">
      <c r="A44" s="36" t="n">
        <v>39</v>
      </c>
      <c r="B44" s="34" t="str">
        <f aca="false">IFERROR(INDEX('مواد المخزون'!$A$2:$A$86,MATCH($A44,'مواد المخزون'!$H$2:$H$86,0)),"")</f>
        <v/>
      </c>
      <c r="C44" s="36" t="str">
        <f aca="false">IF($B44="","",INDEX('مواد المخزون'!$B$2:$B$86,MATCH($B44,'مواد المخزون'!$A$2:$A$86,0)))</f>
        <v/>
      </c>
      <c r="D44" s="108" t="str">
        <f aca="false">IF($B44="","",INDEX('جرد - محرم بك'!$U$7:$U$91,MATCH($B44,'جرد - محرم بك'!$A$7:$A$91,0)))</f>
        <v/>
      </c>
      <c r="E44" s="108" t="str">
        <f aca="false">IF($B44="","",INDEX('جرد - محرم بك'!$V$7:$V$91,MATCH($B44,'جرد - محرم بك'!$A$7:$A$91,0)))</f>
        <v/>
      </c>
      <c r="F44" s="108" t="str">
        <f aca="false">IF($B44="","",INDEX('جرد - محرم بك'!$W$7:$W$91,MATCH($B44,'جرد - محرم بك'!$A$7:$A$91,0)))</f>
        <v/>
      </c>
      <c r="G44" s="108" t="str">
        <f aca="false">IF($B44="","",INDEX('جرد - ابراهيمية'!$U$7:$U$91,MATCH($B44,'جرد - ابراهيمية'!$A$7:$A$91,0)))</f>
        <v/>
      </c>
      <c r="H44" s="108" t="str">
        <f aca="false">IF($B44="","",INDEX('جرد - ابراهيمية'!$V$7:$V$91,MATCH($B44,'جرد - ابراهيمية'!$A$7:$A$91,0)))</f>
        <v/>
      </c>
      <c r="I44" s="108" t="str">
        <f aca="false">IF($B44="","",INDEX('جرد - ابراهيمية'!$W$7:$W$91,MATCH($B44,'جرد - ابراهيمية'!$A$7:$A$91,0)))</f>
        <v/>
      </c>
      <c r="J44" s="108" t="str">
        <f aca="false">IF($B44="","",INDEX('جرد - عصافرة'!$U$7:$U$91,MATCH($B44,'جرد - عصافرة'!$A$7:$A$91,0)))</f>
        <v/>
      </c>
      <c r="K44" s="108" t="str">
        <f aca="false">IF($B44="","",INDEX('جرد - عصافرة'!$V$7:$V$91,MATCH($B44,'جرد - عصافرة'!$A$7:$A$91,0)))</f>
        <v/>
      </c>
      <c r="L44" s="108" t="str">
        <f aca="false">IF($B44="","",INDEX('جرد - عصافرة'!$W$7:$W$91,MATCH($B44,'جرد - عصافرة'!$A$7:$A$91,0)))</f>
        <v/>
      </c>
      <c r="M44" s="112" t="str">
        <f aca="false">IF($B44="","",F44+I44+L44)</f>
        <v/>
      </c>
      <c r="N44" s="39" t="str">
        <f aca="false">IF($B44="","",M44*INDEX('مواد المخزون'!$E$2:$E$86,MATCH($B44,'مواد المخزون'!$A$2:$A$86,0)))</f>
        <v/>
      </c>
    </row>
    <row r="45" customFormat="false" ht="15" hidden="false" customHeight="false" outlineLevel="0" collapsed="false">
      <c r="A45" s="36" t="n">
        <v>40</v>
      </c>
      <c r="B45" s="34" t="str">
        <f aca="false">IFERROR(INDEX('مواد المخزون'!$A$2:$A$86,MATCH($A45,'مواد المخزون'!$H$2:$H$86,0)),"")</f>
        <v/>
      </c>
      <c r="C45" s="36" t="str">
        <f aca="false">IF($B45="","",INDEX('مواد المخزون'!$B$2:$B$86,MATCH($B45,'مواد المخزون'!$A$2:$A$86,0)))</f>
        <v/>
      </c>
      <c r="D45" s="108" t="str">
        <f aca="false">IF($B45="","",INDEX('جرد - محرم بك'!$U$7:$U$91,MATCH($B45,'جرد - محرم بك'!$A$7:$A$91,0)))</f>
        <v/>
      </c>
      <c r="E45" s="108" t="str">
        <f aca="false">IF($B45="","",INDEX('جرد - محرم بك'!$V$7:$V$91,MATCH($B45,'جرد - محرم بك'!$A$7:$A$91,0)))</f>
        <v/>
      </c>
      <c r="F45" s="108" t="str">
        <f aca="false">IF($B45="","",INDEX('جرد - محرم بك'!$W$7:$W$91,MATCH($B45,'جرد - محرم بك'!$A$7:$A$91,0)))</f>
        <v/>
      </c>
      <c r="G45" s="108" t="str">
        <f aca="false">IF($B45="","",INDEX('جرد - ابراهيمية'!$U$7:$U$91,MATCH($B45,'جرد - ابراهيمية'!$A$7:$A$91,0)))</f>
        <v/>
      </c>
      <c r="H45" s="108" t="str">
        <f aca="false">IF($B45="","",INDEX('جرد - ابراهيمية'!$V$7:$V$91,MATCH($B45,'جرد - ابراهيمية'!$A$7:$A$91,0)))</f>
        <v/>
      </c>
      <c r="I45" s="108" t="str">
        <f aca="false">IF($B45="","",INDEX('جرد - ابراهيمية'!$W$7:$W$91,MATCH($B45,'جرد - ابراهيمية'!$A$7:$A$91,0)))</f>
        <v/>
      </c>
      <c r="J45" s="108" t="str">
        <f aca="false">IF($B45="","",INDEX('جرد - عصافرة'!$U$7:$U$91,MATCH($B45,'جرد - عصافرة'!$A$7:$A$91,0)))</f>
        <v/>
      </c>
      <c r="K45" s="108" t="str">
        <f aca="false">IF($B45="","",INDEX('جرد - عصافرة'!$V$7:$V$91,MATCH($B45,'جرد - عصافرة'!$A$7:$A$91,0)))</f>
        <v/>
      </c>
      <c r="L45" s="108" t="str">
        <f aca="false">IF($B45="","",INDEX('جرد - عصافرة'!$W$7:$W$91,MATCH($B45,'جرد - عصافرة'!$A$7:$A$91,0)))</f>
        <v/>
      </c>
      <c r="M45" s="112" t="str">
        <f aca="false">IF($B45="","",F45+I45+L45)</f>
        <v/>
      </c>
      <c r="N45" s="39" t="str">
        <f aca="false">IF($B45="","",M45*INDEX('مواد المخزون'!$E$2:$E$86,MATCH($B45,'مواد المخزون'!$A$2:$A$86,0)))</f>
        <v/>
      </c>
    </row>
    <row r="46" customFormat="false" ht="15" hidden="false" customHeight="false" outlineLevel="0" collapsed="false">
      <c r="A46" s="36" t="n">
        <v>41</v>
      </c>
      <c r="B46" s="34" t="str">
        <f aca="false">IFERROR(INDEX('مواد المخزون'!$A$2:$A$86,MATCH($A46,'مواد المخزون'!$H$2:$H$86,0)),"")</f>
        <v/>
      </c>
      <c r="C46" s="36" t="str">
        <f aca="false">IF($B46="","",INDEX('مواد المخزون'!$B$2:$B$86,MATCH($B46,'مواد المخزون'!$A$2:$A$86,0)))</f>
        <v/>
      </c>
      <c r="D46" s="108" t="str">
        <f aca="false">IF($B46="","",INDEX('جرد - محرم بك'!$U$7:$U$91,MATCH($B46,'جرد - محرم بك'!$A$7:$A$91,0)))</f>
        <v/>
      </c>
      <c r="E46" s="108" t="str">
        <f aca="false">IF($B46="","",INDEX('جرد - محرم بك'!$V$7:$V$91,MATCH($B46,'جرد - محرم بك'!$A$7:$A$91,0)))</f>
        <v/>
      </c>
      <c r="F46" s="108" t="str">
        <f aca="false">IF($B46="","",INDEX('جرد - محرم بك'!$W$7:$W$91,MATCH($B46,'جرد - محرم بك'!$A$7:$A$91,0)))</f>
        <v/>
      </c>
      <c r="G46" s="108" t="str">
        <f aca="false">IF($B46="","",INDEX('جرد - ابراهيمية'!$U$7:$U$91,MATCH($B46,'جرد - ابراهيمية'!$A$7:$A$91,0)))</f>
        <v/>
      </c>
      <c r="H46" s="108" t="str">
        <f aca="false">IF($B46="","",INDEX('جرد - ابراهيمية'!$V$7:$V$91,MATCH($B46,'جرد - ابراهيمية'!$A$7:$A$91,0)))</f>
        <v/>
      </c>
      <c r="I46" s="108" t="str">
        <f aca="false">IF($B46="","",INDEX('جرد - ابراهيمية'!$W$7:$W$91,MATCH($B46,'جرد - ابراهيمية'!$A$7:$A$91,0)))</f>
        <v/>
      </c>
      <c r="J46" s="108" t="str">
        <f aca="false">IF($B46="","",INDEX('جرد - عصافرة'!$U$7:$U$91,MATCH($B46,'جرد - عصافرة'!$A$7:$A$91,0)))</f>
        <v/>
      </c>
      <c r="K46" s="108" t="str">
        <f aca="false">IF($B46="","",INDEX('جرد - عصافرة'!$V$7:$V$91,MATCH($B46,'جرد - عصافرة'!$A$7:$A$91,0)))</f>
        <v/>
      </c>
      <c r="L46" s="108" t="str">
        <f aca="false">IF($B46="","",INDEX('جرد - عصافرة'!$W$7:$W$91,MATCH($B46,'جرد - عصافرة'!$A$7:$A$91,0)))</f>
        <v/>
      </c>
      <c r="M46" s="112" t="str">
        <f aca="false">IF($B46="","",F46+I46+L46)</f>
        <v/>
      </c>
      <c r="N46" s="39" t="str">
        <f aca="false">IF($B46="","",M46*INDEX('مواد المخزون'!$E$2:$E$86,MATCH($B46,'مواد المخزون'!$A$2:$A$86,0)))</f>
        <v/>
      </c>
    </row>
    <row r="47" customFormat="false" ht="15" hidden="false" customHeight="false" outlineLevel="0" collapsed="false">
      <c r="A47" s="36" t="n">
        <v>42</v>
      </c>
      <c r="B47" s="34" t="str">
        <f aca="false">IFERROR(INDEX('مواد المخزون'!$A$2:$A$86,MATCH($A47,'مواد المخزون'!$H$2:$H$86,0)),"")</f>
        <v/>
      </c>
      <c r="C47" s="36" t="str">
        <f aca="false">IF($B47="","",INDEX('مواد المخزون'!$B$2:$B$86,MATCH($B47,'مواد المخزون'!$A$2:$A$86,0)))</f>
        <v/>
      </c>
      <c r="D47" s="108" t="str">
        <f aca="false">IF($B47="","",INDEX('جرد - محرم بك'!$U$7:$U$91,MATCH($B47,'جرد - محرم بك'!$A$7:$A$91,0)))</f>
        <v/>
      </c>
      <c r="E47" s="108" t="str">
        <f aca="false">IF($B47="","",INDEX('جرد - محرم بك'!$V$7:$V$91,MATCH($B47,'جرد - محرم بك'!$A$7:$A$91,0)))</f>
        <v/>
      </c>
      <c r="F47" s="108" t="str">
        <f aca="false">IF($B47="","",INDEX('جرد - محرم بك'!$W$7:$W$91,MATCH($B47,'جرد - محرم بك'!$A$7:$A$91,0)))</f>
        <v/>
      </c>
      <c r="G47" s="108" t="str">
        <f aca="false">IF($B47="","",INDEX('جرد - ابراهيمية'!$U$7:$U$91,MATCH($B47,'جرد - ابراهيمية'!$A$7:$A$91,0)))</f>
        <v/>
      </c>
      <c r="H47" s="108" t="str">
        <f aca="false">IF($B47="","",INDEX('جرد - ابراهيمية'!$V$7:$V$91,MATCH($B47,'جرد - ابراهيمية'!$A$7:$A$91,0)))</f>
        <v/>
      </c>
      <c r="I47" s="108" t="str">
        <f aca="false">IF($B47="","",INDEX('جرد - ابراهيمية'!$W$7:$W$91,MATCH($B47,'جرد - ابراهيمية'!$A$7:$A$91,0)))</f>
        <v/>
      </c>
      <c r="J47" s="108" t="str">
        <f aca="false">IF($B47="","",INDEX('جرد - عصافرة'!$U$7:$U$91,MATCH($B47,'جرد - عصافرة'!$A$7:$A$91,0)))</f>
        <v/>
      </c>
      <c r="K47" s="108" t="str">
        <f aca="false">IF($B47="","",INDEX('جرد - عصافرة'!$V$7:$V$91,MATCH($B47,'جرد - عصافرة'!$A$7:$A$91,0)))</f>
        <v/>
      </c>
      <c r="L47" s="108" t="str">
        <f aca="false">IF($B47="","",INDEX('جرد - عصافرة'!$W$7:$W$91,MATCH($B47,'جرد - عصافرة'!$A$7:$A$91,0)))</f>
        <v/>
      </c>
      <c r="M47" s="112" t="str">
        <f aca="false">IF($B47="","",F47+I47+L47)</f>
        <v/>
      </c>
      <c r="N47" s="39" t="str">
        <f aca="false">IF($B47="","",M47*INDEX('مواد المخزون'!$E$2:$E$86,MATCH($B47,'مواد المخزون'!$A$2:$A$86,0)))</f>
        <v/>
      </c>
    </row>
    <row r="48" customFormat="false" ht="15" hidden="false" customHeight="false" outlineLevel="0" collapsed="false">
      <c r="A48" s="36" t="n">
        <v>43</v>
      </c>
      <c r="B48" s="34" t="str">
        <f aca="false">IFERROR(INDEX('مواد المخزون'!$A$2:$A$86,MATCH($A48,'مواد المخزون'!$H$2:$H$86,0)),"")</f>
        <v/>
      </c>
      <c r="C48" s="36" t="str">
        <f aca="false">IF($B48="","",INDEX('مواد المخزون'!$B$2:$B$86,MATCH($B48,'مواد المخزون'!$A$2:$A$86,0)))</f>
        <v/>
      </c>
      <c r="D48" s="108" t="str">
        <f aca="false">IF($B48="","",INDEX('جرد - محرم بك'!$U$7:$U$91,MATCH($B48,'جرد - محرم بك'!$A$7:$A$91,0)))</f>
        <v/>
      </c>
      <c r="E48" s="108" t="str">
        <f aca="false">IF($B48="","",INDEX('جرد - محرم بك'!$V$7:$V$91,MATCH($B48,'جرد - محرم بك'!$A$7:$A$91,0)))</f>
        <v/>
      </c>
      <c r="F48" s="108" t="str">
        <f aca="false">IF($B48="","",INDEX('جرد - محرم بك'!$W$7:$W$91,MATCH($B48,'جرد - محرم بك'!$A$7:$A$91,0)))</f>
        <v/>
      </c>
      <c r="G48" s="108" t="str">
        <f aca="false">IF($B48="","",INDEX('جرد - ابراهيمية'!$U$7:$U$91,MATCH($B48,'جرد - ابراهيمية'!$A$7:$A$91,0)))</f>
        <v/>
      </c>
      <c r="H48" s="108" t="str">
        <f aca="false">IF($B48="","",INDEX('جرد - ابراهيمية'!$V$7:$V$91,MATCH($B48,'جرد - ابراهيمية'!$A$7:$A$91,0)))</f>
        <v/>
      </c>
      <c r="I48" s="108" t="str">
        <f aca="false">IF($B48="","",INDEX('جرد - ابراهيمية'!$W$7:$W$91,MATCH($B48,'جرد - ابراهيمية'!$A$7:$A$91,0)))</f>
        <v/>
      </c>
      <c r="J48" s="108" t="str">
        <f aca="false">IF($B48="","",INDEX('جرد - عصافرة'!$U$7:$U$91,MATCH($B48,'جرد - عصافرة'!$A$7:$A$91,0)))</f>
        <v/>
      </c>
      <c r="K48" s="108" t="str">
        <f aca="false">IF($B48="","",INDEX('جرد - عصافرة'!$V$7:$V$91,MATCH($B48,'جرد - عصافرة'!$A$7:$A$91,0)))</f>
        <v/>
      </c>
      <c r="L48" s="108" t="str">
        <f aca="false">IF($B48="","",INDEX('جرد - عصافرة'!$W$7:$W$91,MATCH($B48,'جرد - عصافرة'!$A$7:$A$91,0)))</f>
        <v/>
      </c>
      <c r="M48" s="112" t="str">
        <f aca="false">IF($B48="","",F48+I48+L48)</f>
        <v/>
      </c>
      <c r="N48" s="39" t="str">
        <f aca="false">IF($B48="","",M48*INDEX('مواد المخزون'!$E$2:$E$86,MATCH($B48,'مواد المخزون'!$A$2:$A$86,0)))</f>
        <v/>
      </c>
    </row>
    <row r="49" customFormat="false" ht="15" hidden="false" customHeight="false" outlineLevel="0" collapsed="false">
      <c r="A49" s="36" t="n">
        <v>44</v>
      </c>
      <c r="B49" s="34" t="str">
        <f aca="false">IFERROR(INDEX('مواد المخزون'!$A$2:$A$86,MATCH($A49,'مواد المخزون'!$H$2:$H$86,0)),"")</f>
        <v/>
      </c>
      <c r="C49" s="36" t="str">
        <f aca="false">IF($B49="","",INDEX('مواد المخزون'!$B$2:$B$86,MATCH($B49,'مواد المخزون'!$A$2:$A$86,0)))</f>
        <v/>
      </c>
      <c r="D49" s="108" t="str">
        <f aca="false">IF($B49="","",INDEX('جرد - محرم بك'!$U$7:$U$91,MATCH($B49,'جرد - محرم بك'!$A$7:$A$91,0)))</f>
        <v/>
      </c>
      <c r="E49" s="108" t="str">
        <f aca="false">IF($B49="","",INDEX('جرد - محرم بك'!$V$7:$V$91,MATCH($B49,'جرد - محرم بك'!$A$7:$A$91,0)))</f>
        <v/>
      </c>
      <c r="F49" s="108" t="str">
        <f aca="false">IF($B49="","",INDEX('جرد - محرم بك'!$W$7:$W$91,MATCH($B49,'جرد - محرم بك'!$A$7:$A$91,0)))</f>
        <v/>
      </c>
      <c r="G49" s="108" t="str">
        <f aca="false">IF($B49="","",INDEX('جرد - ابراهيمية'!$U$7:$U$91,MATCH($B49,'جرد - ابراهيمية'!$A$7:$A$91,0)))</f>
        <v/>
      </c>
      <c r="H49" s="108" t="str">
        <f aca="false">IF($B49="","",INDEX('جرد - ابراهيمية'!$V$7:$V$91,MATCH($B49,'جرد - ابراهيمية'!$A$7:$A$91,0)))</f>
        <v/>
      </c>
      <c r="I49" s="108" t="str">
        <f aca="false">IF($B49="","",INDEX('جرد - ابراهيمية'!$W$7:$W$91,MATCH($B49,'جرد - ابراهيمية'!$A$7:$A$91,0)))</f>
        <v/>
      </c>
      <c r="J49" s="108" t="str">
        <f aca="false">IF($B49="","",INDEX('جرد - عصافرة'!$U$7:$U$91,MATCH($B49,'جرد - عصافرة'!$A$7:$A$91,0)))</f>
        <v/>
      </c>
      <c r="K49" s="108" t="str">
        <f aca="false">IF($B49="","",INDEX('جرد - عصافرة'!$V$7:$V$91,MATCH($B49,'جرد - عصافرة'!$A$7:$A$91,0)))</f>
        <v/>
      </c>
      <c r="L49" s="108" t="str">
        <f aca="false">IF($B49="","",INDEX('جرد - عصافرة'!$W$7:$W$91,MATCH($B49,'جرد - عصافرة'!$A$7:$A$91,0)))</f>
        <v/>
      </c>
      <c r="M49" s="112" t="str">
        <f aca="false">IF($B49="","",F49+I49+L49)</f>
        <v/>
      </c>
      <c r="N49" s="39" t="str">
        <f aca="false">IF($B49="","",M49*INDEX('مواد المخزون'!$E$2:$E$86,MATCH($B49,'مواد المخزون'!$A$2:$A$86,0)))</f>
        <v/>
      </c>
    </row>
    <row r="50" customFormat="false" ht="15" hidden="false" customHeight="false" outlineLevel="0" collapsed="false">
      <c r="A50" s="36" t="n">
        <v>45</v>
      </c>
      <c r="B50" s="34" t="str">
        <f aca="false">IFERROR(INDEX('مواد المخزون'!$A$2:$A$86,MATCH($A50,'مواد المخزون'!$H$2:$H$86,0)),"")</f>
        <v/>
      </c>
      <c r="C50" s="36" t="str">
        <f aca="false">IF($B50="","",INDEX('مواد المخزون'!$B$2:$B$86,MATCH($B50,'مواد المخزون'!$A$2:$A$86,0)))</f>
        <v/>
      </c>
      <c r="D50" s="108" t="str">
        <f aca="false">IF($B50="","",INDEX('جرد - محرم بك'!$U$7:$U$91,MATCH($B50,'جرد - محرم بك'!$A$7:$A$91,0)))</f>
        <v/>
      </c>
      <c r="E50" s="108" t="str">
        <f aca="false">IF($B50="","",INDEX('جرد - محرم بك'!$V$7:$V$91,MATCH($B50,'جرد - محرم بك'!$A$7:$A$91,0)))</f>
        <v/>
      </c>
      <c r="F50" s="108" t="str">
        <f aca="false">IF($B50="","",INDEX('جرد - محرم بك'!$W$7:$W$91,MATCH($B50,'جرد - محرم بك'!$A$7:$A$91,0)))</f>
        <v/>
      </c>
      <c r="G50" s="108" t="str">
        <f aca="false">IF($B50="","",INDEX('جرد - ابراهيمية'!$U$7:$U$91,MATCH($B50,'جرد - ابراهيمية'!$A$7:$A$91,0)))</f>
        <v/>
      </c>
      <c r="H50" s="108" t="str">
        <f aca="false">IF($B50="","",INDEX('جرد - ابراهيمية'!$V$7:$V$91,MATCH($B50,'جرد - ابراهيمية'!$A$7:$A$91,0)))</f>
        <v/>
      </c>
      <c r="I50" s="108" t="str">
        <f aca="false">IF($B50="","",INDEX('جرد - ابراهيمية'!$W$7:$W$91,MATCH($B50,'جرد - ابراهيمية'!$A$7:$A$91,0)))</f>
        <v/>
      </c>
      <c r="J50" s="108" t="str">
        <f aca="false">IF($B50="","",INDEX('جرد - عصافرة'!$U$7:$U$91,MATCH($B50,'جرد - عصافرة'!$A$7:$A$91,0)))</f>
        <v/>
      </c>
      <c r="K50" s="108" t="str">
        <f aca="false">IF($B50="","",INDEX('جرد - عصافرة'!$V$7:$V$91,MATCH($B50,'جرد - عصافرة'!$A$7:$A$91,0)))</f>
        <v/>
      </c>
      <c r="L50" s="108" t="str">
        <f aca="false">IF($B50="","",INDEX('جرد - عصافرة'!$W$7:$W$91,MATCH($B50,'جرد - عصافرة'!$A$7:$A$91,0)))</f>
        <v/>
      </c>
      <c r="M50" s="112" t="str">
        <f aca="false">IF($B50="","",F50+I50+L50)</f>
        <v/>
      </c>
      <c r="N50" s="39" t="str">
        <f aca="false">IF($B50="","",M50*INDEX('مواد المخزون'!$E$2:$E$86,MATCH($B50,'مواد المخزون'!$A$2:$A$86,0)))</f>
        <v/>
      </c>
    </row>
    <row r="51" customFormat="false" ht="15" hidden="false" customHeight="false" outlineLevel="0" collapsed="false">
      <c r="A51" s="36" t="n">
        <v>46</v>
      </c>
      <c r="B51" s="34" t="str">
        <f aca="false">IFERROR(INDEX('مواد المخزون'!$A$2:$A$86,MATCH($A51,'مواد المخزون'!$H$2:$H$86,0)),"")</f>
        <v/>
      </c>
      <c r="C51" s="36" t="str">
        <f aca="false">IF($B51="","",INDEX('مواد المخزون'!$B$2:$B$86,MATCH($B51,'مواد المخزون'!$A$2:$A$86,0)))</f>
        <v/>
      </c>
      <c r="D51" s="108" t="str">
        <f aca="false">IF($B51="","",INDEX('جرد - محرم بك'!$U$7:$U$91,MATCH($B51,'جرد - محرم بك'!$A$7:$A$91,0)))</f>
        <v/>
      </c>
      <c r="E51" s="108" t="str">
        <f aca="false">IF($B51="","",INDEX('جرد - محرم بك'!$V$7:$V$91,MATCH($B51,'جرد - محرم بك'!$A$7:$A$91,0)))</f>
        <v/>
      </c>
      <c r="F51" s="108" t="str">
        <f aca="false">IF($B51="","",INDEX('جرد - محرم بك'!$W$7:$W$91,MATCH($B51,'جرد - محرم بك'!$A$7:$A$91,0)))</f>
        <v/>
      </c>
      <c r="G51" s="108" t="str">
        <f aca="false">IF($B51="","",INDEX('جرد - ابراهيمية'!$U$7:$U$91,MATCH($B51,'جرد - ابراهيمية'!$A$7:$A$91,0)))</f>
        <v/>
      </c>
      <c r="H51" s="108" t="str">
        <f aca="false">IF($B51="","",INDEX('جرد - ابراهيمية'!$V$7:$V$91,MATCH($B51,'جرد - ابراهيمية'!$A$7:$A$91,0)))</f>
        <v/>
      </c>
      <c r="I51" s="108" t="str">
        <f aca="false">IF($B51="","",INDEX('جرد - ابراهيمية'!$W$7:$W$91,MATCH($B51,'جرد - ابراهيمية'!$A$7:$A$91,0)))</f>
        <v/>
      </c>
      <c r="J51" s="108" t="str">
        <f aca="false">IF($B51="","",INDEX('جرد - عصافرة'!$U$7:$U$91,MATCH($B51,'جرد - عصافرة'!$A$7:$A$91,0)))</f>
        <v/>
      </c>
      <c r="K51" s="108" t="str">
        <f aca="false">IF($B51="","",INDEX('جرد - عصافرة'!$V$7:$V$91,MATCH($B51,'جرد - عصافرة'!$A$7:$A$91,0)))</f>
        <v/>
      </c>
      <c r="L51" s="108" t="str">
        <f aca="false">IF($B51="","",INDEX('جرد - عصافرة'!$W$7:$W$91,MATCH($B51,'جرد - عصافرة'!$A$7:$A$91,0)))</f>
        <v/>
      </c>
      <c r="M51" s="112" t="str">
        <f aca="false">IF($B51="","",F51+I51+L51)</f>
        <v/>
      </c>
      <c r="N51" s="39" t="str">
        <f aca="false">IF($B51="","",M51*INDEX('مواد المخزون'!$E$2:$E$86,MATCH($B51,'مواد المخزون'!$A$2:$A$86,0)))</f>
        <v/>
      </c>
    </row>
    <row r="52" customFormat="false" ht="15" hidden="false" customHeight="false" outlineLevel="0" collapsed="false">
      <c r="A52" s="36" t="n">
        <v>47</v>
      </c>
      <c r="B52" s="34" t="str">
        <f aca="false">IFERROR(INDEX('مواد المخزون'!$A$2:$A$86,MATCH($A52,'مواد المخزون'!$H$2:$H$86,0)),"")</f>
        <v/>
      </c>
      <c r="C52" s="36" t="str">
        <f aca="false">IF($B52="","",INDEX('مواد المخزون'!$B$2:$B$86,MATCH($B52,'مواد المخزون'!$A$2:$A$86,0)))</f>
        <v/>
      </c>
      <c r="D52" s="108" t="str">
        <f aca="false">IF($B52="","",INDEX('جرد - محرم بك'!$U$7:$U$91,MATCH($B52,'جرد - محرم بك'!$A$7:$A$91,0)))</f>
        <v/>
      </c>
      <c r="E52" s="108" t="str">
        <f aca="false">IF($B52="","",INDEX('جرد - محرم بك'!$V$7:$V$91,MATCH($B52,'جرد - محرم بك'!$A$7:$A$91,0)))</f>
        <v/>
      </c>
      <c r="F52" s="108" t="str">
        <f aca="false">IF($B52="","",INDEX('جرد - محرم بك'!$W$7:$W$91,MATCH($B52,'جرد - محرم بك'!$A$7:$A$91,0)))</f>
        <v/>
      </c>
      <c r="G52" s="108" t="str">
        <f aca="false">IF($B52="","",INDEX('جرد - ابراهيمية'!$U$7:$U$91,MATCH($B52,'جرد - ابراهيمية'!$A$7:$A$91,0)))</f>
        <v/>
      </c>
      <c r="H52" s="108" t="str">
        <f aca="false">IF($B52="","",INDEX('جرد - ابراهيمية'!$V$7:$V$91,MATCH($B52,'جرد - ابراهيمية'!$A$7:$A$91,0)))</f>
        <v/>
      </c>
      <c r="I52" s="108" t="str">
        <f aca="false">IF($B52="","",INDEX('جرد - ابراهيمية'!$W$7:$W$91,MATCH($B52,'جرد - ابراهيمية'!$A$7:$A$91,0)))</f>
        <v/>
      </c>
      <c r="J52" s="108" t="str">
        <f aca="false">IF($B52="","",INDEX('جرد - عصافرة'!$U$7:$U$91,MATCH($B52,'جرد - عصافرة'!$A$7:$A$91,0)))</f>
        <v/>
      </c>
      <c r="K52" s="108" t="str">
        <f aca="false">IF($B52="","",INDEX('جرد - عصافرة'!$V$7:$V$91,MATCH($B52,'جرد - عصافرة'!$A$7:$A$91,0)))</f>
        <v/>
      </c>
      <c r="L52" s="108" t="str">
        <f aca="false">IF($B52="","",INDEX('جرد - عصافرة'!$W$7:$W$91,MATCH($B52,'جرد - عصافرة'!$A$7:$A$91,0)))</f>
        <v/>
      </c>
      <c r="M52" s="112" t="str">
        <f aca="false">IF($B52="","",F52+I52+L52)</f>
        <v/>
      </c>
      <c r="N52" s="39" t="str">
        <f aca="false">IF($B52="","",M52*INDEX('مواد المخزون'!$E$2:$E$86,MATCH($B52,'مواد المخزون'!$A$2:$A$86,0)))</f>
        <v/>
      </c>
    </row>
    <row r="53" customFormat="false" ht="15" hidden="false" customHeight="false" outlineLevel="0" collapsed="false">
      <c r="A53" s="36" t="n">
        <v>48</v>
      </c>
      <c r="B53" s="34" t="str">
        <f aca="false">IFERROR(INDEX('مواد المخزون'!$A$2:$A$86,MATCH($A53,'مواد المخزون'!$H$2:$H$86,0)),"")</f>
        <v/>
      </c>
      <c r="C53" s="36" t="str">
        <f aca="false">IF($B53="","",INDEX('مواد المخزون'!$B$2:$B$86,MATCH($B53,'مواد المخزون'!$A$2:$A$86,0)))</f>
        <v/>
      </c>
      <c r="D53" s="108" t="str">
        <f aca="false">IF($B53="","",INDEX('جرد - محرم بك'!$U$7:$U$91,MATCH($B53,'جرد - محرم بك'!$A$7:$A$91,0)))</f>
        <v/>
      </c>
      <c r="E53" s="108" t="str">
        <f aca="false">IF($B53="","",INDEX('جرد - محرم بك'!$V$7:$V$91,MATCH($B53,'جرد - محرم بك'!$A$7:$A$91,0)))</f>
        <v/>
      </c>
      <c r="F53" s="108" t="str">
        <f aca="false">IF($B53="","",INDEX('جرد - محرم بك'!$W$7:$W$91,MATCH($B53,'جرد - محرم بك'!$A$7:$A$91,0)))</f>
        <v/>
      </c>
      <c r="G53" s="108" t="str">
        <f aca="false">IF($B53="","",INDEX('جرد - ابراهيمية'!$U$7:$U$91,MATCH($B53,'جرد - ابراهيمية'!$A$7:$A$91,0)))</f>
        <v/>
      </c>
      <c r="H53" s="108" t="str">
        <f aca="false">IF($B53="","",INDEX('جرد - ابراهيمية'!$V$7:$V$91,MATCH($B53,'جرد - ابراهيمية'!$A$7:$A$91,0)))</f>
        <v/>
      </c>
      <c r="I53" s="108" t="str">
        <f aca="false">IF($B53="","",INDEX('جرد - ابراهيمية'!$W$7:$W$91,MATCH($B53,'جرد - ابراهيمية'!$A$7:$A$91,0)))</f>
        <v/>
      </c>
      <c r="J53" s="108" t="str">
        <f aca="false">IF($B53="","",INDEX('جرد - عصافرة'!$U$7:$U$91,MATCH($B53,'جرد - عصافرة'!$A$7:$A$91,0)))</f>
        <v/>
      </c>
      <c r="K53" s="108" t="str">
        <f aca="false">IF($B53="","",INDEX('جرد - عصافرة'!$V$7:$V$91,MATCH($B53,'جرد - عصافرة'!$A$7:$A$91,0)))</f>
        <v/>
      </c>
      <c r="L53" s="108" t="str">
        <f aca="false">IF($B53="","",INDEX('جرد - عصافرة'!$W$7:$W$91,MATCH($B53,'جرد - عصافرة'!$A$7:$A$91,0)))</f>
        <v/>
      </c>
      <c r="M53" s="112" t="str">
        <f aca="false">IF($B53="","",F53+I53+L53)</f>
        <v/>
      </c>
      <c r="N53" s="39" t="str">
        <f aca="false">IF($B53="","",M53*INDEX('مواد المخزون'!$E$2:$E$86,MATCH($B53,'مواد المخزون'!$A$2:$A$86,0)))</f>
        <v/>
      </c>
    </row>
    <row r="54" customFormat="false" ht="15" hidden="false" customHeight="false" outlineLevel="0" collapsed="false">
      <c r="A54" s="36" t="n">
        <v>49</v>
      </c>
      <c r="B54" s="34" t="str">
        <f aca="false">IFERROR(INDEX('مواد المخزون'!$A$2:$A$86,MATCH($A54,'مواد المخزون'!$H$2:$H$86,0)),"")</f>
        <v/>
      </c>
      <c r="C54" s="36" t="str">
        <f aca="false">IF($B54="","",INDEX('مواد المخزون'!$B$2:$B$86,MATCH($B54,'مواد المخزون'!$A$2:$A$86,0)))</f>
        <v/>
      </c>
      <c r="D54" s="108" t="str">
        <f aca="false">IF($B54="","",INDEX('جرد - محرم بك'!$U$7:$U$91,MATCH($B54,'جرد - محرم بك'!$A$7:$A$91,0)))</f>
        <v/>
      </c>
      <c r="E54" s="108" t="str">
        <f aca="false">IF($B54="","",INDEX('جرد - محرم بك'!$V$7:$V$91,MATCH($B54,'جرد - محرم بك'!$A$7:$A$91,0)))</f>
        <v/>
      </c>
      <c r="F54" s="108" t="str">
        <f aca="false">IF($B54="","",INDEX('جرد - محرم بك'!$W$7:$W$91,MATCH($B54,'جرد - محرم بك'!$A$7:$A$91,0)))</f>
        <v/>
      </c>
      <c r="G54" s="108" t="str">
        <f aca="false">IF($B54="","",INDEX('جرد - ابراهيمية'!$U$7:$U$91,MATCH($B54,'جرد - ابراهيمية'!$A$7:$A$91,0)))</f>
        <v/>
      </c>
      <c r="H54" s="108" t="str">
        <f aca="false">IF($B54="","",INDEX('جرد - ابراهيمية'!$V$7:$V$91,MATCH($B54,'جرد - ابراهيمية'!$A$7:$A$91,0)))</f>
        <v/>
      </c>
      <c r="I54" s="108" t="str">
        <f aca="false">IF($B54="","",INDEX('جرد - ابراهيمية'!$W$7:$W$91,MATCH($B54,'جرد - ابراهيمية'!$A$7:$A$91,0)))</f>
        <v/>
      </c>
      <c r="J54" s="108" t="str">
        <f aca="false">IF($B54="","",INDEX('جرد - عصافرة'!$U$7:$U$91,MATCH($B54,'جرد - عصافرة'!$A$7:$A$91,0)))</f>
        <v/>
      </c>
      <c r="K54" s="108" t="str">
        <f aca="false">IF($B54="","",INDEX('جرد - عصافرة'!$V$7:$V$91,MATCH($B54,'جرد - عصافرة'!$A$7:$A$91,0)))</f>
        <v/>
      </c>
      <c r="L54" s="108" t="str">
        <f aca="false">IF($B54="","",INDEX('جرد - عصافرة'!$W$7:$W$91,MATCH($B54,'جرد - عصافرة'!$A$7:$A$91,0)))</f>
        <v/>
      </c>
      <c r="M54" s="112" t="str">
        <f aca="false">IF($B54="","",F54+I54+L54)</f>
        <v/>
      </c>
      <c r="N54" s="39" t="str">
        <f aca="false">IF($B54="","",M54*INDEX('مواد المخزون'!$E$2:$E$86,MATCH($B54,'مواد المخزون'!$A$2:$A$86,0)))</f>
        <v/>
      </c>
    </row>
    <row r="55" customFormat="false" ht="15" hidden="false" customHeight="false" outlineLevel="0" collapsed="false">
      <c r="A55" s="36" t="n">
        <v>50</v>
      </c>
      <c r="B55" s="34" t="str">
        <f aca="false">IFERROR(INDEX('مواد المخزون'!$A$2:$A$86,MATCH($A55,'مواد المخزون'!$H$2:$H$86,0)),"")</f>
        <v/>
      </c>
      <c r="C55" s="36" t="str">
        <f aca="false">IF($B55="","",INDEX('مواد المخزون'!$B$2:$B$86,MATCH($B55,'مواد المخزون'!$A$2:$A$86,0)))</f>
        <v/>
      </c>
      <c r="D55" s="108" t="str">
        <f aca="false">IF($B55="","",INDEX('جرد - محرم بك'!$U$7:$U$91,MATCH($B55,'جرد - محرم بك'!$A$7:$A$91,0)))</f>
        <v/>
      </c>
      <c r="E55" s="108" t="str">
        <f aca="false">IF($B55="","",INDEX('جرد - محرم بك'!$V$7:$V$91,MATCH($B55,'جرد - محرم بك'!$A$7:$A$91,0)))</f>
        <v/>
      </c>
      <c r="F55" s="108" t="str">
        <f aca="false">IF($B55="","",INDEX('جرد - محرم بك'!$W$7:$W$91,MATCH($B55,'جرد - محرم بك'!$A$7:$A$91,0)))</f>
        <v/>
      </c>
      <c r="G55" s="108" t="str">
        <f aca="false">IF($B55="","",INDEX('جرد - ابراهيمية'!$U$7:$U$91,MATCH($B55,'جرد - ابراهيمية'!$A$7:$A$91,0)))</f>
        <v/>
      </c>
      <c r="H55" s="108" t="str">
        <f aca="false">IF($B55="","",INDEX('جرد - ابراهيمية'!$V$7:$V$91,MATCH($B55,'جرد - ابراهيمية'!$A$7:$A$91,0)))</f>
        <v/>
      </c>
      <c r="I55" s="108" t="str">
        <f aca="false">IF($B55="","",INDEX('جرد - ابراهيمية'!$W$7:$W$91,MATCH($B55,'جرد - ابراهيمية'!$A$7:$A$91,0)))</f>
        <v/>
      </c>
      <c r="J55" s="108" t="str">
        <f aca="false">IF($B55="","",INDEX('جرد - عصافرة'!$U$7:$U$91,MATCH($B55,'جرد - عصافرة'!$A$7:$A$91,0)))</f>
        <v/>
      </c>
      <c r="K55" s="108" t="str">
        <f aca="false">IF($B55="","",INDEX('جرد - عصافرة'!$V$7:$V$91,MATCH($B55,'جرد - عصافرة'!$A$7:$A$91,0)))</f>
        <v/>
      </c>
      <c r="L55" s="108" t="str">
        <f aca="false">IF($B55="","",INDEX('جرد - عصافرة'!$W$7:$W$91,MATCH($B55,'جرد - عصافرة'!$A$7:$A$91,0)))</f>
        <v/>
      </c>
      <c r="M55" s="112" t="str">
        <f aca="false">IF($B55="","",F55+I55+L55)</f>
        <v/>
      </c>
      <c r="N55" s="39" t="str">
        <f aca="false">IF($B55="","",M55*INDEX('مواد المخزون'!$E$2:$E$86,MATCH($B55,'مواد المخزون'!$A$2:$A$86,0)))</f>
        <v/>
      </c>
    </row>
    <row r="56" customFormat="false" ht="15" hidden="false" customHeight="false" outlineLevel="0" collapsed="false">
      <c r="A56" s="36" t="n">
        <v>51</v>
      </c>
      <c r="B56" s="34" t="str">
        <f aca="false">IFERROR(INDEX('مواد المخزون'!$A$2:$A$86,MATCH($A56,'مواد المخزون'!$H$2:$H$86,0)),"")</f>
        <v/>
      </c>
      <c r="C56" s="36" t="str">
        <f aca="false">IF($B56="","",INDEX('مواد المخزون'!$B$2:$B$86,MATCH($B56,'مواد المخزون'!$A$2:$A$86,0)))</f>
        <v/>
      </c>
      <c r="D56" s="108" t="str">
        <f aca="false">IF($B56="","",INDEX('جرد - محرم بك'!$U$7:$U$91,MATCH($B56,'جرد - محرم بك'!$A$7:$A$91,0)))</f>
        <v/>
      </c>
      <c r="E56" s="108" t="str">
        <f aca="false">IF($B56="","",INDEX('جرد - محرم بك'!$V$7:$V$91,MATCH($B56,'جرد - محرم بك'!$A$7:$A$91,0)))</f>
        <v/>
      </c>
      <c r="F56" s="108" t="str">
        <f aca="false">IF($B56="","",INDEX('جرد - محرم بك'!$W$7:$W$91,MATCH($B56,'جرد - محرم بك'!$A$7:$A$91,0)))</f>
        <v/>
      </c>
      <c r="G56" s="108" t="str">
        <f aca="false">IF($B56="","",INDEX('جرد - ابراهيمية'!$U$7:$U$91,MATCH($B56,'جرد - ابراهيمية'!$A$7:$A$91,0)))</f>
        <v/>
      </c>
      <c r="H56" s="108" t="str">
        <f aca="false">IF($B56="","",INDEX('جرد - ابراهيمية'!$V$7:$V$91,MATCH($B56,'جرد - ابراهيمية'!$A$7:$A$91,0)))</f>
        <v/>
      </c>
      <c r="I56" s="108" t="str">
        <f aca="false">IF($B56="","",INDEX('جرد - ابراهيمية'!$W$7:$W$91,MATCH($B56,'جرد - ابراهيمية'!$A$7:$A$91,0)))</f>
        <v/>
      </c>
      <c r="J56" s="108" t="str">
        <f aca="false">IF($B56="","",INDEX('جرد - عصافرة'!$U$7:$U$91,MATCH($B56,'جرد - عصافرة'!$A$7:$A$91,0)))</f>
        <v/>
      </c>
      <c r="K56" s="108" t="str">
        <f aca="false">IF($B56="","",INDEX('جرد - عصافرة'!$V$7:$V$91,MATCH($B56,'جرد - عصافرة'!$A$7:$A$91,0)))</f>
        <v/>
      </c>
      <c r="L56" s="108" t="str">
        <f aca="false">IF($B56="","",INDEX('جرد - عصافرة'!$W$7:$W$91,MATCH($B56,'جرد - عصافرة'!$A$7:$A$91,0)))</f>
        <v/>
      </c>
      <c r="M56" s="112" t="str">
        <f aca="false">IF($B56="","",F56+I56+L56)</f>
        <v/>
      </c>
      <c r="N56" s="39" t="str">
        <f aca="false">IF($B56="","",M56*INDEX('مواد المخزون'!$E$2:$E$86,MATCH($B56,'مواد المخزون'!$A$2:$A$86,0)))</f>
        <v/>
      </c>
    </row>
    <row r="57" customFormat="false" ht="15" hidden="false" customHeight="false" outlineLevel="0" collapsed="false">
      <c r="A57" s="36" t="n">
        <v>52</v>
      </c>
      <c r="B57" s="34" t="str">
        <f aca="false">IFERROR(INDEX('مواد المخزون'!$A$2:$A$86,MATCH($A57,'مواد المخزون'!$H$2:$H$86,0)),"")</f>
        <v/>
      </c>
      <c r="C57" s="36" t="str">
        <f aca="false">IF($B57="","",INDEX('مواد المخزون'!$B$2:$B$86,MATCH($B57,'مواد المخزون'!$A$2:$A$86,0)))</f>
        <v/>
      </c>
      <c r="D57" s="108" t="str">
        <f aca="false">IF($B57="","",INDEX('جرد - محرم بك'!$U$7:$U$91,MATCH($B57,'جرد - محرم بك'!$A$7:$A$91,0)))</f>
        <v/>
      </c>
      <c r="E57" s="108" t="str">
        <f aca="false">IF($B57="","",INDEX('جرد - محرم بك'!$V$7:$V$91,MATCH($B57,'جرد - محرم بك'!$A$7:$A$91,0)))</f>
        <v/>
      </c>
      <c r="F57" s="108" t="str">
        <f aca="false">IF($B57="","",INDEX('جرد - محرم بك'!$W$7:$W$91,MATCH($B57,'جرد - محرم بك'!$A$7:$A$91,0)))</f>
        <v/>
      </c>
      <c r="G57" s="108" t="str">
        <f aca="false">IF($B57="","",INDEX('جرد - ابراهيمية'!$U$7:$U$91,MATCH($B57,'جرد - ابراهيمية'!$A$7:$A$91,0)))</f>
        <v/>
      </c>
      <c r="H57" s="108" t="str">
        <f aca="false">IF($B57="","",INDEX('جرد - ابراهيمية'!$V$7:$V$91,MATCH($B57,'جرد - ابراهيمية'!$A$7:$A$91,0)))</f>
        <v/>
      </c>
      <c r="I57" s="108" t="str">
        <f aca="false">IF($B57="","",INDEX('جرد - ابراهيمية'!$W$7:$W$91,MATCH($B57,'جرد - ابراهيمية'!$A$7:$A$91,0)))</f>
        <v/>
      </c>
      <c r="J57" s="108" t="str">
        <f aca="false">IF($B57="","",INDEX('جرد - عصافرة'!$U$7:$U$91,MATCH($B57,'جرد - عصافرة'!$A$7:$A$91,0)))</f>
        <v/>
      </c>
      <c r="K57" s="108" t="str">
        <f aca="false">IF($B57="","",INDEX('جرد - عصافرة'!$V$7:$V$91,MATCH($B57,'جرد - عصافرة'!$A$7:$A$91,0)))</f>
        <v/>
      </c>
      <c r="L57" s="108" t="str">
        <f aca="false">IF($B57="","",INDEX('جرد - عصافرة'!$W$7:$W$91,MATCH($B57,'جرد - عصافرة'!$A$7:$A$91,0)))</f>
        <v/>
      </c>
      <c r="M57" s="112" t="str">
        <f aca="false">IF($B57="","",F57+I57+L57)</f>
        <v/>
      </c>
      <c r="N57" s="39" t="str">
        <f aca="false">IF($B57="","",M57*INDEX('مواد المخزون'!$E$2:$E$86,MATCH($B57,'مواد المخزون'!$A$2:$A$86,0)))</f>
        <v/>
      </c>
    </row>
    <row r="58" customFormat="false" ht="15" hidden="false" customHeight="false" outlineLevel="0" collapsed="false">
      <c r="A58" s="36" t="n">
        <v>53</v>
      </c>
      <c r="B58" s="34" t="str">
        <f aca="false">IFERROR(INDEX('مواد المخزون'!$A$2:$A$86,MATCH($A58,'مواد المخزون'!$H$2:$H$86,0)),"")</f>
        <v/>
      </c>
      <c r="C58" s="36" t="str">
        <f aca="false">IF($B58="","",INDEX('مواد المخزون'!$B$2:$B$86,MATCH($B58,'مواد المخزون'!$A$2:$A$86,0)))</f>
        <v/>
      </c>
      <c r="D58" s="108" t="str">
        <f aca="false">IF($B58="","",INDEX('جرد - محرم بك'!$U$7:$U$91,MATCH($B58,'جرد - محرم بك'!$A$7:$A$91,0)))</f>
        <v/>
      </c>
      <c r="E58" s="108" t="str">
        <f aca="false">IF($B58="","",INDEX('جرد - محرم بك'!$V$7:$V$91,MATCH($B58,'جرد - محرم بك'!$A$7:$A$91,0)))</f>
        <v/>
      </c>
      <c r="F58" s="108" t="str">
        <f aca="false">IF($B58="","",INDEX('جرد - محرم بك'!$W$7:$W$91,MATCH($B58,'جرد - محرم بك'!$A$7:$A$91,0)))</f>
        <v/>
      </c>
      <c r="G58" s="108" t="str">
        <f aca="false">IF($B58="","",INDEX('جرد - ابراهيمية'!$U$7:$U$91,MATCH($B58,'جرد - ابراهيمية'!$A$7:$A$91,0)))</f>
        <v/>
      </c>
      <c r="H58" s="108" t="str">
        <f aca="false">IF($B58="","",INDEX('جرد - ابراهيمية'!$V$7:$V$91,MATCH($B58,'جرد - ابراهيمية'!$A$7:$A$91,0)))</f>
        <v/>
      </c>
      <c r="I58" s="108" t="str">
        <f aca="false">IF($B58="","",INDEX('جرد - ابراهيمية'!$W$7:$W$91,MATCH($B58,'جرد - ابراهيمية'!$A$7:$A$91,0)))</f>
        <v/>
      </c>
      <c r="J58" s="108" t="str">
        <f aca="false">IF($B58="","",INDEX('جرد - عصافرة'!$U$7:$U$91,MATCH($B58,'جرد - عصافرة'!$A$7:$A$91,0)))</f>
        <v/>
      </c>
      <c r="K58" s="108" t="str">
        <f aca="false">IF($B58="","",INDEX('جرد - عصافرة'!$V$7:$V$91,MATCH($B58,'جرد - عصافرة'!$A$7:$A$91,0)))</f>
        <v/>
      </c>
      <c r="L58" s="108" t="str">
        <f aca="false">IF($B58="","",INDEX('جرد - عصافرة'!$W$7:$W$91,MATCH($B58,'جرد - عصافرة'!$A$7:$A$91,0)))</f>
        <v/>
      </c>
      <c r="M58" s="112" t="str">
        <f aca="false">IF($B58="","",F58+I58+L58)</f>
        <v/>
      </c>
      <c r="N58" s="39" t="str">
        <f aca="false">IF($B58="","",M58*INDEX('مواد المخزون'!$E$2:$E$86,MATCH($B58,'مواد المخزون'!$A$2:$A$86,0)))</f>
        <v/>
      </c>
    </row>
    <row r="59" customFormat="false" ht="15" hidden="false" customHeight="false" outlineLevel="0" collapsed="false">
      <c r="A59" s="36" t="n">
        <v>54</v>
      </c>
      <c r="B59" s="34" t="str">
        <f aca="false">IFERROR(INDEX('مواد المخزون'!$A$2:$A$86,MATCH($A59,'مواد المخزون'!$H$2:$H$86,0)),"")</f>
        <v/>
      </c>
      <c r="C59" s="36" t="str">
        <f aca="false">IF($B59="","",INDEX('مواد المخزون'!$B$2:$B$86,MATCH($B59,'مواد المخزون'!$A$2:$A$86,0)))</f>
        <v/>
      </c>
      <c r="D59" s="108" t="str">
        <f aca="false">IF($B59="","",INDEX('جرد - محرم بك'!$U$7:$U$91,MATCH($B59,'جرد - محرم بك'!$A$7:$A$91,0)))</f>
        <v/>
      </c>
      <c r="E59" s="108" t="str">
        <f aca="false">IF($B59="","",INDEX('جرد - محرم بك'!$V$7:$V$91,MATCH($B59,'جرد - محرم بك'!$A$7:$A$91,0)))</f>
        <v/>
      </c>
      <c r="F59" s="108" t="str">
        <f aca="false">IF($B59="","",INDEX('جرد - محرم بك'!$W$7:$W$91,MATCH($B59,'جرد - محرم بك'!$A$7:$A$91,0)))</f>
        <v/>
      </c>
      <c r="G59" s="108" t="str">
        <f aca="false">IF($B59="","",INDEX('جرد - ابراهيمية'!$U$7:$U$91,MATCH($B59,'جرد - ابراهيمية'!$A$7:$A$91,0)))</f>
        <v/>
      </c>
      <c r="H59" s="108" t="str">
        <f aca="false">IF($B59="","",INDEX('جرد - ابراهيمية'!$V$7:$V$91,MATCH($B59,'جرد - ابراهيمية'!$A$7:$A$91,0)))</f>
        <v/>
      </c>
      <c r="I59" s="108" t="str">
        <f aca="false">IF($B59="","",INDEX('جرد - ابراهيمية'!$W$7:$W$91,MATCH($B59,'جرد - ابراهيمية'!$A$7:$A$91,0)))</f>
        <v/>
      </c>
      <c r="J59" s="108" t="str">
        <f aca="false">IF($B59="","",INDEX('جرد - عصافرة'!$U$7:$U$91,MATCH($B59,'جرد - عصافرة'!$A$7:$A$91,0)))</f>
        <v/>
      </c>
      <c r="K59" s="108" t="str">
        <f aca="false">IF($B59="","",INDEX('جرد - عصافرة'!$V$7:$V$91,MATCH($B59,'جرد - عصافرة'!$A$7:$A$91,0)))</f>
        <v/>
      </c>
      <c r="L59" s="108" t="str">
        <f aca="false">IF($B59="","",INDEX('جرد - عصافرة'!$W$7:$W$91,MATCH($B59,'جرد - عصافرة'!$A$7:$A$91,0)))</f>
        <v/>
      </c>
      <c r="M59" s="112" t="str">
        <f aca="false">IF($B59="","",F59+I59+L59)</f>
        <v/>
      </c>
      <c r="N59" s="39" t="str">
        <f aca="false">IF($B59="","",M59*INDEX('مواد المخزون'!$E$2:$E$86,MATCH($B59,'مواد المخزون'!$A$2:$A$86,0)))</f>
        <v/>
      </c>
    </row>
    <row r="60" customFormat="false" ht="15" hidden="false" customHeight="false" outlineLevel="0" collapsed="false">
      <c r="A60" s="36" t="n">
        <v>55</v>
      </c>
      <c r="B60" s="34" t="str">
        <f aca="false">IFERROR(INDEX('مواد المخزون'!$A$2:$A$86,MATCH($A60,'مواد المخزون'!$H$2:$H$86,0)),"")</f>
        <v/>
      </c>
      <c r="C60" s="36" t="str">
        <f aca="false">IF($B60="","",INDEX('مواد المخزون'!$B$2:$B$86,MATCH($B60,'مواد المخزون'!$A$2:$A$86,0)))</f>
        <v/>
      </c>
      <c r="D60" s="108" t="str">
        <f aca="false">IF($B60="","",INDEX('جرد - محرم بك'!$U$7:$U$91,MATCH($B60,'جرد - محرم بك'!$A$7:$A$91,0)))</f>
        <v/>
      </c>
      <c r="E60" s="108" t="str">
        <f aca="false">IF($B60="","",INDEX('جرد - محرم بك'!$V$7:$V$91,MATCH($B60,'جرد - محرم بك'!$A$7:$A$91,0)))</f>
        <v/>
      </c>
      <c r="F60" s="108" t="str">
        <f aca="false">IF($B60="","",INDEX('جرد - محرم بك'!$W$7:$W$91,MATCH($B60,'جرد - محرم بك'!$A$7:$A$91,0)))</f>
        <v/>
      </c>
      <c r="G60" s="108" t="str">
        <f aca="false">IF($B60="","",INDEX('جرد - ابراهيمية'!$U$7:$U$91,MATCH($B60,'جرد - ابراهيمية'!$A$7:$A$91,0)))</f>
        <v/>
      </c>
      <c r="H60" s="108" t="str">
        <f aca="false">IF($B60="","",INDEX('جرد - ابراهيمية'!$V$7:$V$91,MATCH($B60,'جرد - ابراهيمية'!$A$7:$A$91,0)))</f>
        <v/>
      </c>
      <c r="I60" s="108" t="str">
        <f aca="false">IF($B60="","",INDEX('جرد - ابراهيمية'!$W$7:$W$91,MATCH($B60,'جرد - ابراهيمية'!$A$7:$A$91,0)))</f>
        <v/>
      </c>
      <c r="J60" s="108" t="str">
        <f aca="false">IF($B60="","",INDEX('جرد - عصافرة'!$U$7:$U$91,MATCH($B60,'جرد - عصافرة'!$A$7:$A$91,0)))</f>
        <v/>
      </c>
      <c r="K60" s="108" t="str">
        <f aca="false">IF($B60="","",INDEX('جرد - عصافرة'!$V$7:$V$91,MATCH($B60,'جرد - عصافرة'!$A$7:$A$91,0)))</f>
        <v/>
      </c>
      <c r="L60" s="108" t="str">
        <f aca="false">IF($B60="","",INDEX('جرد - عصافرة'!$W$7:$W$91,MATCH($B60,'جرد - عصافرة'!$A$7:$A$91,0)))</f>
        <v/>
      </c>
      <c r="M60" s="112" t="str">
        <f aca="false">IF($B60="","",F60+I60+L60)</f>
        <v/>
      </c>
      <c r="N60" s="39" t="str">
        <f aca="false">IF($B60="","",M60*INDEX('مواد المخزون'!$E$2:$E$86,MATCH($B60,'مواد المخزون'!$A$2:$A$86,0)))</f>
        <v/>
      </c>
    </row>
    <row r="61" customFormat="false" ht="15" hidden="false" customHeight="false" outlineLevel="0" collapsed="false">
      <c r="A61" s="36" t="n">
        <v>56</v>
      </c>
      <c r="B61" s="34" t="str">
        <f aca="false">IFERROR(INDEX('مواد المخزون'!$A$2:$A$86,MATCH($A61,'مواد المخزون'!$H$2:$H$86,0)),"")</f>
        <v/>
      </c>
      <c r="C61" s="36" t="str">
        <f aca="false">IF($B61="","",INDEX('مواد المخزون'!$B$2:$B$86,MATCH($B61,'مواد المخزون'!$A$2:$A$86,0)))</f>
        <v/>
      </c>
      <c r="D61" s="108" t="str">
        <f aca="false">IF($B61="","",INDEX('جرد - محرم بك'!$U$7:$U$91,MATCH($B61,'جرد - محرم بك'!$A$7:$A$91,0)))</f>
        <v/>
      </c>
      <c r="E61" s="108" t="str">
        <f aca="false">IF($B61="","",INDEX('جرد - محرم بك'!$V$7:$V$91,MATCH($B61,'جرد - محرم بك'!$A$7:$A$91,0)))</f>
        <v/>
      </c>
      <c r="F61" s="108" t="str">
        <f aca="false">IF($B61="","",INDEX('جرد - محرم بك'!$W$7:$W$91,MATCH($B61,'جرد - محرم بك'!$A$7:$A$91,0)))</f>
        <v/>
      </c>
      <c r="G61" s="108" t="str">
        <f aca="false">IF($B61="","",INDEX('جرد - ابراهيمية'!$U$7:$U$91,MATCH($B61,'جرد - ابراهيمية'!$A$7:$A$91,0)))</f>
        <v/>
      </c>
      <c r="H61" s="108" t="str">
        <f aca="false">IF($B61="","",INDEX('جرد - ابراهيمية'!$V$7:$V$91,MATCH($B61,'جرد - ابراهيمية'!$A$7:$A$91,0)))</f>
        <v/>
      </c>
      <c r="I61" s="108" t="str">
        <f aca="false">IF($B61="","",INDEX('جرد - ابراهيمية'!$W$7:$W$91,MATCH($B61,'جرد - ابراهيمية'!$A$7:$A$91,0)))</f>
        <v/>
      </c>
      <c r="J61" s="108" t="str">
        <f aca="false">IF($B61="","",INDEX('جرد - عصافرة'!$U$7:$U$91,MATCH($B61,'جرد - عصافرة'!$A$7:$A$91,0)))</f>
        <v/>
      </c>
      <c r="K61" s="108" t="str">
        <f aca="false">IF($B61="","",INDEX('جرد - عصافرة'!$V$7:$V$91,MATCH($B61,'جرد - عصافرة'!$A$7:$A$91,0)))</f>
        <v/>
      </c>
      <c r="L61" s="108" t="str">
        <f aca="false">IF($B61="","",INDEX('جرد - عصافرة'!$W$7:$W$91,MATCH($B61,'جرد - عصافرة'!$A$7:$A$91,0)))</f>
        <v/>
      </c>
      <c r="M61" s="112" t="str">
        <f aca="false">IF($B61="","",F61+I61+L61)</f>
        <v/>
      </c>
      <c r="N61" s="39" t="str">
        <f aca="false">IF($B61="","",M61*INDEX('مواد المخزون'!$E$2:$E$86,MATCH($B61,'مواد المخزون'!$A$2:$A$86,0)))</f>
        <v/>
      </c>
    </row>
    <row r="62" customFormat="false" ht="15" hidden="false" customHeight="false" outlineLevel="0" collapsed="false">
      <c r="A62" s="36" t="n">
        <v>57</v>
      </c>
      <c r="B62" s="34" t="str">
        <f aca="false">IFERROR(INDEX('مواد المخزون'!$A$2:$A$86,MATCH($A62,'مواد المخزون'!$H$2:$H$86,0)),"")</f>
        <v/>
      </c>
      <c r="C62" s="36" t="str">
        <f aca="false">IF($B62="","",INDEX('مواد المخزون'!$B$2:$B$86,MATCH($B62,'مواد المخزون'!$A$2:$A$86,0)))</f>
        <v/>
      </c>
      <c r="D62" s="108" t="str">
        <f aca="false">IF($B62="","",INDEX('جرد - محرم بك'!$U$7:$U$91,MATCH($B62,'جرد - محرم بك'!$A$7:$A$91,0)))</f>
        <v/>
      </c>
      <c r="E62" s="108" t="str">
        <f aca="false">IF($B62="","",INDEX('جرد - محرم بك'!$V$7:$V$91,MATCH($B62,'جرد - محرم بك'!$A$7:$A$91,0)))</f>
        <v/>
      </c>
      <c r="F62" s="108" t="str">
        <f aca="false">IF($B62="","",INDEX('جرد - محرم بك'!$W$7:$W$91,MATCH($B62,'جرد - محرم بك'!$A$7:$A$91,0)))</f>
        <v/>
      </c>
      <c r="G62" s="108" t="str">
        <f aca="false">IF($B62="","",INDEX('جرد - ابراهيمية'!$U$7:$U$91,MATCH($B62,'جرد - ابراهيمية'!$A$7:$A$91,0)))</f>
        <v/>
      </c>
      <c r="H62" s="108" t="str">
        <f aca="false">IF($B62="","",INDEX('جرد - ابراهيمية'!$V$7:$V$91,MATCH($B62,'جرد - ابراهيمية'!$A$7:$A$91,0)))</f>
        <v/>
      </c>
      <c r="I62" s="108" t="str">
        <f aca="false">IF($B62="","",INDEX('جرد - ابراهيمية'!$W$7:$W$91,MATCH($B62,'جرد - ابراهيمية'!$A$7:$A$91,0)))</f>
        <v/>
      </c>
      <c r="J62" s="108" t="str">
        <f aca="false">IF($B62="","",INDEX('جرد - عصافرة'!$U$7:$U$91,MATCH($B62,'جرد - عصافرة'!$A$7:$A$91,0)))</f>
        <v/>
      </c>
      <c r="K62" s="108" t="str">
        <f aca="false">IF($B62="","",INDEX('جرد - عصافرة'!$V$7:$V$91,MATCH($B62,'جرد - عصافرة'!$A$7:$A$91,0)))</f>
        <v/>
      </c>
      <c r="L62" s="108" t="str">
        <f aca="false">IF($B62="","",INDEX('جرد - عصافرة'!$W$7:$W$91,MATCH($B62,'جرد - عصافرة'!$A$7:$A$91,0)))</f>
        <v/>
      </c>
      <c r="M62" s="112" t="str">
        <f aca="false">IF($B62="","",F62+I62+L62)</f>
        <v/>
      </c>
      <c r="N62" s="39" t="str">
        <f aca="false">IF($B62="","",M62*INDEX('مواد المخزون'!$E$2:$E$86,MATCH($B62,'مواد المخزون'!$A$2:$A$86,0)))</f>
        <v/>
      </c>
    </row>
    <row r="63" customFormat="false" ht="15" hidden="false" customHeight="false" outlineLevel="0" collapsed="false">
      <c r="A63" s="36" t="n">
        <v>58</v>
      </c>
      <c r="B63" s="34" t="str">
        <f aca="false">IFERROR(INDEX('مواد المخزون'!$A$2:$A$86,MATCH($A63,'مواد المخزون'!$H$2:$H$86,0)),"")</f>
        <v/>
      </c>
      <c r="C63" s="36" t="str">
        <f aca="false">IF($B63="","",INDEX('مواد المخزون'!$B$2:$B$86,MATCH($B63,'مواد المخزون'!$A$2:$A$86,0)))</f>
        <v/>
      </c>
      <c r="D63" s="108" t="str">
        <f aca="false">IF($B63="","",INDEX('جرد - محرم بك'!$U$7:$U$91,MATCH($B63,'جرد - محرم بك'!$A$7:$A$91,0)))</f>
        <v/>
      </c>
      <c r="E63" s="108" t="str">
        <f aca="false">IF($B63="","",INDEX('جرد - محرم بك'!$V$7:$V$91,MATCH($B63,'جرد - محرم بك'!$A$7:$A$91,0)))</f>
        <v/>
      </c>
      <c r="F63" s="108" t="str">
        <f aca="false">IF($B63="","",INDEX('جرد - محرم بك'!$W$7:$W$91,MATCH($B63,'جرد - محرم بك'!$A$7:$A$91,0)))</f>
        <v/>
      </c>
      <c r="G63" s="108" t="str">
        <f aca="false">IF($B63="","",INDEX('جرد - ابراهيمية'!$U$7:$U$91,MATCH($B63,'جرد - ابراهيمية'!$A$7:$A$91,0)))</f>
        <v/>
      </c>
      <c r="H63" s="108" t="str">
        <f aca="false">IF($B63="","",INDEX('جرد - ابراهيمية'!$V$7:$V$91,MATCH($B63,'جرد - ابراهيمية'!$A$7:$A$91,0)))</f>
        <v/>
      </c>
      <c r="I63" s="108" t="str">
        <f aca="false">IF($B63="","",INDEX('جرد - ابراهيمية'!$W$7:$W$91,MATCH($B63,'جرد - ابراهيمية'!$A$7:$A$91,0)))</f>
        <v/>
      </c>
      <c r="J63" s="108" t="str">
        <f aca="false">IF($B63="","",INDEX('جرد - عصافرة'!$U$7:$U$91,MATCH($B63,'جرد - عصافرة'!$A$7:$A$91,0)))</f>
        <v/>
      </c>
      <c r="K63" s="108" t="str">
        <f aca="false">IF($B63="","",INDEX('جرد - عصافرة'!$V$7:$V$91,MATCH($B63,'جرد - عصافرة'!$A$7:$A$91,0)))</f>
        <v/>
      </c>
      <c r="L63" s="108" t="str">
        <f aca="false">IF($B63="","",INDEX('جرد - عصافرة'!$W$7:$W$91,MATCH($B63,'جرد - عصافرة'!$A$7:$A$91,0)))</f>
        <v/>
      </c>
      <c r="M63" s="112" t="str">
        <f aca="false">IF($B63="","",F63+I63+L63)</f>
        <v/>
      </c>
      <c r="N63" s="39" t="str">
        <f aca="false">IF($B63="","",M63*INDEX('مواد المخزون'!$E$2:$E$86,MATCH($B63,'مواد المخزون'!$A$2:$A$86,0)))</f>
        <v/>
      </c>
    </row>
    <row r="64" customFormat="false" ht="15" hidden="false" customHeight="false" outlineLevel="0" collapsed="false">
      <c r="A64" s="36" t="n">
        <v>59</v>
      </c>
      <c r="B64" s="34" t="str">
        <f aca="false">IFERROR(INDEX('مواد المخزون'!$A$2:$A$86,MATCH($A64,'مواد المخزون'!$H$2:$H$86,0)),"")</f>
        <v/>
      </c>
      <c r="C64" s="36" t="str">
        <f aca="false">IF($B64="","",INDEX('مواد المخزون'!$B$2:$B$86,MATCH($B64,'مواد المخزون'!$A$2:$A$86,0)))</f>
        <v/>
      </c>
      <c r="D64" s="108" t="str">
        <f aca="false">IF($B64="","",INDEX('جرد - محرم بك'!$U$7:$U$91,MATCH($B64,'جرد - محرم بك'!$A$7:$A$91,0)))</f>
        <v/>
      </c>
      <c r="E64" s="108" t="str">
        <f aca="false">IF($B64="","",INDEX('جرد - محرم بك'!$V$7:$V$91,MATCH($B64,'جرد - محرم بك'!$A$7:$A$91,0)))</f>
        <v/>
      </c>
      <c r="F64" s="108" t="str">
        <f aca="false">IF($B64="","",INDEX('جرد - محرم بك'!$W$7:$W$91,MATCH($B64,'جرد - محرم بك'!$A$7:$A$91,0)))</f>
        <v/>
      </c>
      <c r="G64" s="108" t="str">
        <f aca="false">IF($B64="","",INDEX('جرد - ابراهيمية'!$U$7:$U$91,MATCH($B64,'جرد - ابراهيمية'!$A$7:$A$91,0)))</f>
        <v/>
      </c>
      <c r="H64" s="108" t="str">
        <f aca="false">IF($B64="","",INDEX('جرد - ابراهيمية'!$V$7:$V$91,MATCH($B64,'جرد - ابراهيمية'!$A$7:$A$91,0)))</f>
        <v/>
      </c>
      <c r="I64" s="108" t="str">
        <f aca="false">IF($B64="","",INDEX('جرد - ابراهيمية'!$W$7:$W$91,MATCH($B64,'جرد - ابراهيمية'!$A$7:$A$91,0)))</f>
        <v/>
      </c>
      <c r="J64" s="108" t="str">
        <f aca="false">IF($B64="","",INDEX('جرد - عصافرة'!$U$7:$U$91,MATCH($B64,'جرد - عصافرة'!$A$7:$A$91,0)))</f>
        <v/>
      </c>
      <c r="K64" s="108" t="str">
        <f aca="false">IF($B64="","",INDEX('جرد - عصافرة'!$V$7:$V$91,MATCH($B64,'جرد - عصافرة'!$A$7:$A$91,0)))</f>
        <v/>
      </c>
      <c r="L64" s="108" t="str">
        <f aca="false">IF($B64="","",INDEX('جرد - عصافرة'!$W$7:$W$91,MATCH($B64,'جرد - عصافرة'!$A$7:$A$91,0)))</f>
        <v/>
      </c>
      <c r="M64" s="112" t="str">
        <f aca="false">IF($B64="","",F64+I64+L64)</f>
        <v/>
      </c>
      <c r="N64" s="39" t="str">
        <f aca="false">IF($B64="","",M64*INDEX('مواد المخزون'!$E$2:$E$86,MATCH($B64,'مواد المخزون'!$A$2:$A$86,0)))</f>
        <v/>
      </c>
    </row>
    <row r="65" customFormat="false" ht="15" hidden="false" customHeight="false" outlineLevel="0" collapsed="false">
      <c r="A65" s="36" t="n">
        <v>60</v>
      </c>
      <c r="B65" s="34" t="str">
        <f aca="false">IFERROR(INDEX('مواد المخزون'!$A$2:$A$86,MATCH($A65,'مواد المخزون'!$H$2:$H$86,0)),"")</f>
        <v/>
      </c>
      <c r="C65" s="36" t="str">
        <f aca="false">IF($B65="","",INDEX('مواد المخزون'!$B$2:$B$86,MATCH($B65,'مواد المخزون'!$A$2:$A$86,0)))</f>
        <v/>
      </c>
      <c r="D65" s="108" t="str">
        <f aca="false">IF($B65="","",INDEX('جرد - محرم بك'!$U$7:$U$91,MATCH($B65,'جرد - محرم بك'!$A$7:$A$91,0)))</f>
        <v/>
      </c>
      <c r="E65" s="108" t="str">
        <f aca="false">IF($B65="","",INDEX('جرد - محرم بك'!$V$7:$V$91,MATCH($B65,'جرد - محرم بك'!$A$7:$A$91,0)))</f>
        <v/>
      </c>
      <c r="F65" s="108" t="str">
        <f aca="false">IF($B65="","",INDEX('جرد - محرم بك'!$W$7:$W$91,MATCH($B65,'جرد - محرم بك'!$A$7:$A$91,0)))</f>
        <v/>
      </c>
      <c r="G65" s="108" t="str">
        <f aca="false">IF($B65="","",INDEX('جرد - ابراهيمية'!$U$7:$U$91,MATCH($B65,'جرد - ابراهيمية'!$A$7:$A$91,0)))</f>
        <v/>
      </c>
      <c r="H65" s="108" t="str">
        <f aca="false">IF($B65="","",INDEX('جرد - ابراهيمية'!$V$7:$V$91,MATCH($B65,'جرد - ابراهيمية'!$A$7:$A$91,0)))</f>
        <v/>
      </c>
      <c r="I65" s="108" t="str">
        <f aca="false">IF($B65="","",INDEX('جرد - ابراهيمية'!$W$7:$W$91,MATCH($B65,'جرد - ابراهيمية'!$A$7:$A$91,0)))</f>
        <v/>
      </c>
      <c r="J65" s="108" t="str">
        <f aca="false">IF($B65="","",INDEX('جرد - عصافرة'!$U$7:$U$91,MATCH($B65,'جرد - عصافرة'!$A$7:$A$91,0)))</f>
        <v/>
      </c>
      <c r="K65" s="108" t="str">
        <f aca="false">IF($B65="","",INDEX('جرد - عصافرة'!$V$7:$V$91,MATCH($B65,'جرد - عصافرة'!$A$7:$A$91,0)))</f>
        <v/>
      </c>
      <c r="L65" s="108" t="str">
        <f aca="false">IF($B65="","",INDEX('جرد - عصافرة'!$W$7:$W$91,MATCH($B65,'جرد - عصافرة'!$A$7:$A$91,0)))</f>
        <v/>
      </c>
      <c r="M65" s="112" t="str">
        <f aca="false">IF($B65="","",F65+I65+L65)</f>
        <v/>
      </c>
      <c r="N65" s="39" t="str">
        <f aca="false">IF($B65="","",M65*INDEX('مواد المخزون'!$E$2:$E$86,MATCH($B65,'مواد المخزون'!$A$2:$A$86,0)))</f>
        <v/>
      </c>
    </row>
    <row r="66" customFormat="false" ht="15" hidden="false" customHeight="false" outlineLevel="0" collapsed="false">
      <c r="B66" s="33" t="s">
        <v>770</v>
      </c>
      <c r="N66" s="101" t="n">
        <f aca="false">SUM(N6:N65)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771</v>
      </c>
      <c r="B1" s="113" t="s">
        <v>122</v>
      </c>
      <c r="C1" s="113" t="s">
        <v>125</v>
      </c>
      <c r="D1" s="113" t="s">
        <v>133</v>
      </c>
      <c r="E1" s="113" t="s">
        <v>136</v>
      </c>
      <c r="F1" s="113" t="s">
        <v>140</v>
      </c>
      <c r="G1" s="113" t="s">
        <v>142</v>
      </c>
      <c r="H1" s="113" t="s">
        <v>144</v>
      </c>
      <c r="I1" s="113" t="s">
        <v>146</v>
      </c>
      <c r="J1" s="113" t="s">
        <v>148</v>
      </c>
      <c r="K1" s="113" t="s">
        <v>150</v>
      </c>
      <c r="L1" s="113" t="s">
        <v>152</v>
      </c>
      <c r="M1" s="113" t="s">
        <v>154</v>
      </c>
      <c r="N1" s="113" t="s">
        <v>156</v>
      </c>
      <c r="O1" s="113" t="s">
        <v>158</v>
      </c>
      <c r="P1" s="113" t="s">
        <v>160</v>
      </c>
      <c r="Q1" s="113" t="s">
        <v>162</v>
      </c>
      <c r="R1" s="113" t="s">
        <v>164</v>
      </c>
      <c r="S1" s="113" t="s">
        <v>166</v>
      </c>
      <c r="T1" s="113" t="s">
        <v>168</v>
      </c>
      <c r="U1" s="113" t="s">
        <v>170</v>
      </c>
      <c r="V1" s="113" t="s">
        <v>172</v>
      </c>
      <c r="W1" s="113" t="s">
        <v>174</v>
      </c>
      <c r="X1" s="113" t="s">
        <v>176</v>
      </c>
      <c r="Y1" s="113" t="s">
        <v>178</v>
      </c>
      <c r="Z1" s="113" t="s">
        <v>180</v>
      </c>
      <c r="AA1" s="113" t="s">
        <v>183</v>
      </c>
      <c r="AB1" s="113" t="s">
        <v>185</v>
      </c>
      <c r="AC1" s="113" t="s">
        <v>186</v>
      </c>
      <c r="AD1" s="113" t="s">
        <v>188</v>
      </c>
      <c r="AE1" s="113" t="s">
        <v>190</v>
      </c>
      <c r="AF1" s="113" t="s">
        <v>192</v>
      </c>
      <c r="AG1" s="113" t="s">
        <v>202</v>
      </c>
      <c r="AH1" s="113" t="s">
        <v>204</v>
      </c>
      <c r="AI1" s="113" t="s">
        <v>207</v>
      </c>
      <c r="AJ1" s="113" t="s">
        <v>211</v>
      </c>
      <c r="AK1" s="113" t="s">
        <v>214</v>
      </c>
      <c r="AL1" s="113" t="s">
        <v>217</v>
      </c>
      <c r="AM1" s="113" t="s">
        <v>218</v>
      </c>
      <c r="AN1" s="113" t="s">
        <v>220</v>
      </c>
      <c r="AO1" s="113" t="s">
        <v>221</v>
      </c>
      <c r="AP1" s="113" t="s">
        <v>227</v>
      </c>
      <c r="AQ1" s="113" t="s">
        <v>229</v>
      </c>
      <c r="AR1" s="113" t="s">
        <v>232</v>
      </c>
      <c r="AS1" s="113" t="s">
        <v>234</v>
      </c>
      <c r="AT1" s="113" t="s">
        <v>239</v>
      </c>
      <c r="AU1" s="113" t="s">
        <v>243</v>
      </c>
      <c r="AV1" s="113" t="s">
        <v>245</v>
      </c>
      <c r="AW1" s="113" t="s">
        <v>247</v>
      </c>
      <c r="AX1" s="113" t="s">
        <v>250</v>
      </c>
      <c r="AY1" s="113" t="s">
        <v>252</v>
      </c>
      <c r="AZ1" s="113" t="s">
        <v>254</v>
      </c>
      <c r="BA1" s="113" t="s">
        <v>256</v>
      </c>
      <c r="BB1" s="113" t="s">
        <v>258</v>
      </c>
      <c r="BC1" s="113" t="s">
        <v>260</v>
      </c>
      <c r="BD1" s="113" t="s">
        <v>262</v>
      </c>
      <c r="BE1" s="113" t="s">
        <v>264</v>
      </c>
      <c r="BF1" s="113" t="s">
        <v>266</v>
      </c>
      <c r="BG1" s="113" t="s">
        <v>268</v>
      </c>
      <c r="BH1" s="113" t="s">
        <v>270</v>
      </c>
      <c r="BI1" s="113" t="s">
        <v>274</v>
      </c>
      <c r="BJ1" s="113" t="s">
        <v>276</v>
      </c>
      <c r="BK1" s="113" t="s">
        <v>278</v>
      </c>
      <c r="BL1" s="113" t="s">
        <v>280</v>
      </c>
      <c r="BM1" s="113" t="s">
        <v>282</v>
      </c>
      <c r="BN1" s="113" t="s">
        <v>284</v>
      </c>
      <c r="BO1" s="113" t="s">
        <v>288</v>
      </c>
      <c r="BP1" s="113" t="s">
        <v>290</v>
      </c>
      <c r="BQ1" s="113" t="s">
        <v>291</v>
      </c>
      <c r="BR1" s="113" t="s">
        <v>293</v>
      </c>
      <c r="BS1" s="113" t="s">
        <v>295</v>
      </c>
      <c r="BT1" s="113" t="s">
        <v>297</v>
      </c>
      <c r="BU1" s="113" t="s">
        <v>298</v>
      </c>
      <c r="BV1" s="113" t="s">
        <v>302</v>
      </c>
      <c r="BW1" s="113" t="s">
        <v>307</v>
      </c>
      <c r="BX1" s="113" t="s">
        <v>309</v>
      </c>
      <c r="BY1" s="113" t="s">
        <v>317</v>
      </c>
      <c r="BZ1" s="113" t="s">
        <v>319</v>
      </c>
      <c r="CA1" s="113" t="s">
        <v>322</v>
      </c>
      <c r="CB1" s="113" t="s">
        <v>328</v>
      </c>
      <c r="CC1" s="113" t="s">
        <v>336</v>
      </c>
      <c r="CD1" s="113" t="s">
        <v>338</v>
      </c>
      <c r="CE1" s="113" t="s">
        <v>340</v>
      </c>
      <c r="CF1" s="113" t="s">
        <v>342</v>
      </c>
      <c r="CG1" s="113" t="s">
        <v>344</v>
      </c>
      <c r="CH1" s="113" t="s">
        <v>346</v>
      </c>
    </row>
    <row r="2" customFormat="false" ht="15" hidden="false" customHeight="false" outlineLevel="0" collapsed="false">
      <c r="A2" s="114" t="str">
        <f aca="false">المنيو!B2</f>
        <v>بيتزا مارجريتا وسط</v>
      </c>
      <c r="B2" s="115" t="n">
        <f aca="false">SUMIFS(الريسبي!$C$2:$C$1800,الريسبي!$A$2:$A$1800,$A2,الريسبي!$B$2:$B$1800,B$1)</f>
        <v>0</v>
      </c>
      <c r="C2" s="115" t="n">
        <f aca="false">SUMIFS(الريسبي!$C$2:$C$1800,الريسبي!$A$2:$A$1800,$A2,الريسبي!$B$2:$B$1800,C$1)</f>
        <v>0</v>
      </c>
      <c r="D2" s="115" t="n">
        <f aca="false">SUMIFS(الريسبي!$C$2:$C$1800,الريسبي!$A$2:$A$1800,$A2,الريسبي!$B$2:$B$1800,D$1)</f>
        <v>1</v>
      </c>
      <c r="E2" s="115" t="n">
        <f aca="false">SUMIFS(الريسبي!$C$2:$C$1800,الريسبي!$A$2:$A$1800,$A2,الريسبي!$B$2:$B$1800,E$1)</f>
        <v>0</v>
      </c>
      <c r="F2" s="115" t="n">
        <f aca="false">SUMIFS(الريسبي!$C$2:$C$1800,الريسبي!$A$2:$A$1800,$A2,الريسبي!$B$2:$B$1800,F$1)</f>
        <v>0</v>
      </c>
      <c r="G2" s="115" t="n">
        <f aca="false">SUMIFS(الريسبي!$C$2:$C$1800,الريسبي!$A$2:$A$1800,$A2,الريسبي!$B$2:$B$1800,G$1)</f>
        <v>0</v>
      </c>
      <c r="H2" s="115" t="n">
        <f aca="false">SUMIFS(الريسبي!$C$2:$C$1800,الريسبي!$A$2:$A$1800,$A2,الريسبي!$B$2:$B$1800,H$1)</f>
        <v>0</v>
      </c>
      <c r="I2" s="115" t="n">
        <f aca="false">SUMIFS(الريسبي!$C$2:$C$1800,الريسبي!$A$2:$A$1800,$A2,الريسبي!$B$2:$B$1800,I$1)</f>
        <v>0</v>
      </c>
      <c r="J2" s="115" t="n">
        <f aca="false">SUMIFS(الريسبي!$C$2:$C$1800,الريسبي!$A$2:$A$1800,$A2,الريسبي!$B$2:$B$1800,J$1)</f>
        <v>0</v>
      </c>
      <c r="K2" s="115" t="n">
        <f aca="false">SUMIFS(الريسبي!$C$2:$C$1800,الريسبي!$A$2:$A$1800,$A2,الريسبي!$B$2:$B$1800,K$1)</f>
        <v>0</v>
      </c>
      <c r="L2" s="115" t="n">
        <f aca="false">SUMIFS(الريسبي!$C$2:$C$1800,الريسبي!$A$2:$A$1800,$A2,الريسبي!$B$2:$B$1800,L$1)</f>
        <v>0</v>
      </c>
      <c r="M2" s="115" t="n">
        <f aca="false">SUMIFS(الريسبي!$C$2:$C$1800,الريسبي!$A$2:$A$1800,$A2,الريسبي!$B$2:$B$1800,M$1)</f>
        <v>0</v>
      </c>
      <c r="N2" s="115" t="n">
        <f aca="false">SUMIFS(الريسبي!$C$2:$C$1800,الريسبي!$A$2:$A$1800,$A2,الريسبي!$B$2:$B$1800,N$1)</f>
        <v>0</v>
      </c>
      <c r="O2" s="115" t="n">
        <f aca="false">SUMIFS(الريسبي!$C$2:$C$1800,الريسبي!$A$2:$A$1800,$A2,الريسبي!$B$2:$B$1800,O$1)</f>
        <v>0</v>
      </c>
      <c r="P2" s="115" t="n">
        <f aca="false">SUMIFS(الريسبي!$C$2:$C$1800,الريسبي!$A$2:$A$1800,$A2,الريسبي!$B$2:$B$1800,P$1)</f>
        <v>0</v>
      </c>
      <c r="Q2" s="115" t="n">
        <f aca="false">SUMIFS(الريسبي!$C$2:$C$1800,الريسبي!$A$2:$A$1800,$A2,الريسبي!$B$2:$B$1800,Q$1)</f>
        <v>0</v>
      </c>
      <c r="R2" s="115" t="n">
        <f aca="false">SUMIFS(الريسبي!$C$2:$C$1800,الريسبي!$A$2:$A$1800,$A2,الريسبي!$B$2:$B$1800,R$1)</f>
        <v>0</v>
      </c>
      <c r="S2" s="115" t="n">
        <f aca="false">SUMIFS(الريسبي!$C$2:$C$1800,الريسبي!$A$2:$A$1800,$A2,الريسبي!$B$2:$B$1800,S$1)</f>
        <v>0</v>
      </c>
      <c r="T2" s="115" t="n">
        <f aca="false">SUMIFS(الريسبي!$C$2:$C$1800,الريسبي!$A$2:$A$1800,$A2,الريسبي!$B$2:$B$1800,T$1)</f>
        <v>0</v>
      </c>
      <c r="U2" s="115" t="n">
        <f aca="false">SUMIFS(الريسبي!$C$2:$C$1800,الريسبي!$A$2:$A$1800,$A2,الريسبي!$B$2:$B$1800,U$1)</f>
        <v>0</v>
      </c>
      <c r="V2" s="115" t="n">
        <f aca="false">SUMIFS(الريسبي!$C$2:$C$1800,الريسبي!$A$2:$A$1800,$A2,الريسبي!$B$2:$B$1800,V$1)</f>
        <v>1</v>
      </c>
      <c r="W2" s="115" t="n">
        <f aca="false">SUMIFS(الريسبي!$C$2:$C$1800,الريسبي!$A$2:$A$1800,$A2,الريسبي!$B$2:$B$1800,W$1)</f>
        <v>0</v>
      </c>
      <c r="X2" s="115" t="n">
        <f aca="false">SUMIFS(الريسبي!$C$2:$C$1800,الريسبي!$A$2:$A$1800,$A2,الريسبي!$B$2:$B$1800,X$1)</f>
        <v>0</v>
      </c>
      <c r="Y2" s="115" t="n">
        <f aca="false">SUMIFS(الريسبي!$C$2:$C$1800,الريسبي!$A$2:$A$1800,$A2,الريسبي!$B$2:$B$1800,Y$1)</f>
        <v>0</v>
      </c>
      <c r="Z2" s="115" t="n">
        <f aca="false">SUMIFS(الريسبي!$C$2:$C$1800,الريسبي!$A$2:$A$1800,$A2,الريسبي!$B$2:$B$1800,Z$1)</f>
        <v>0</v>
      </c>
      <c r="AA2" s="115" t="n">
        <f aca="false">SUMIFS(الريسبي!$C$2:$C$1800,الريسبي!$A$2:$A$1800,$A2,الريسبي!$B$2:$B$1800,AA$1)</f>
        <v>0</v>
      </c>
      <c r="AB2" s="115" t="n">
        <f aca="false">SUMIFS(الريسبي!$C$2:$C$1800,الريسبي!$A$2:$A$1800,$A2,الريسبي!$B$2:$B$1800,AB$1)</f>
        <v>0</v>
      </c>
      <c r="AC2" s="115" t="n">
        <f aca="false">SUMIFS(الريسبي!$C$2:$C$1800,الريسبي!$A$2:$A$1800,$A2,الريسبي!$B$2:$B$1800,AC$1)</f>
        <v>0</v>
      </c>
      <c r="AD2" s="115" t="n">
        <f aca="false">SUMIFS(الريسبي!$C$2:$C$1800,الريسبي!$A$2:$A$1800,$A2,الريسبي!$B$2:$B$1800,AD$1)</f>
        <v>0</v>
      </c>
      <c r="AE2" s="115" t="n">
        <f aca="false">SUMIFS(الريسبي!$C$2:$C$1800,الريسبي!$A$2:$A$1800,$A2,الريسبي!$B$2:$B$1800,AE$1)</f>
        <v>0</v>
      </c>
      <c r="AF2" s="115" t="n">
        <f aca="false">SUMIFS(الريسبي!$C$2:$C$1800,الريسبي!$A$2:$A$1800,$A2,الريسبي!$B$2:$B$1800,AF$1)</f>
        <v>0</v>
      </c>
      <c r="AG2" s="115" t="n">
        <f aca="false">SUMIFS(الريسبي!$C$2:$C$1800,الريسبي!$A$2:$A$1800,$A2,الريسبي!$B$2:$B$1800,AG$1)</f>
        <v>0</v>
      </c>
      <c r="AH2" s="115" t="n">
        <f aca="false">SUMIFS(الريسبي!$C$2:$C$1800,الريسبي!$A$2:$A$1800,$A2,الريسبي!$B$2:$B$1800,AH$1)</f>
        <v>0</v>
      </c>
      <c r="AI2" s="115" t="n">
        <f aca="false">SUMIFS(الريسبي!$C$2:$C$1800,الريسبي!$A$2:$A$1800,$A2,الريسبي!$B$2:$B$1800,AI$1)</f>
        <v>0</v>
      </c>
      <c r="AJ2" s="115" t="n">
        <f aca="false">SUMIFS(الريسبي!$C$2:$C$1800,الريسبي!$A$2:$A$1800,$A2,الريسبي!$B$2:$B$1800,AJ$1)</f>
        <v>2</v>
      </c>
      <c r="AK2" s="115" t="n">
        <f aca="false">SUMIFS(الريسبي!$C$2:$C$1800,الريسبي!$A$2:$A$1800,$A2,الريسبي!$B$2:$B$1800,AK$1)</f>
        <v>0</v>
      </c>
      <c r="AL2" s="115" t="n">
        <f aca="false">SUMIFS(الريسبي!$C$2:$C$1800,الريسبي!$A$2:$A$1800,$A2,الريسبي!$B$2:$B$1800,AL$1)</f>
        <v>0</v>
      </c>
      <c r="AM2" s="115"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15"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15" t="n">
        <f aca="false">SUMIFS(الريسبي!$C$2:$C$1800,الريسبي!$A$2:$A$1800,$A2,الريسبي!$B$2:$B$1800,AO$1)</f>
        <v>0</v>
      </c>
      <c r="AP2" s="115" t="n">
        <f aca="false">SUMIFS(الريسبي!$C$2:$C$1800,الريسبي!$A$2:$A$1800,$A2,الريسبي!$B$2:$B$1800,AP$1)</f>
        <v>0.02</v>
      </c>
      <c r="AQ2" s="115"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15" t="n">
        <f aca="false">SUMIFS(الريسبي!$C$2:$C$1800,الريسبي!$A$2:$A$1800,$A2,الريسبي!$B$2:$B$1800,AR$1)</f>
        <v>0</v>
      </c>
      <c r="AS2" s="115" t="n">
        <f aca="false">SUMIFS(الريسبي!$C$2:$C$1800,الريسبي!$A$2:$A$1800,$A2,الريسبي!$B$2:$B$1800,AS$1)</f>
        <v>0</v>
      </c>
      <c r="AT2" s="115" t="n">
        <f aca="false">SUMIFS(الريسبي!$C$2:$C$1800,الريسبي!$A$2:$A$1800,$A2,الريسبي!$B$2:$B$1800,AT$1)</f>
        <v>0</v>
      </c>
      <c r="AU2" s="115" t="n">
        <f aca="false">SUMIFS(الريسبي!$C$2:$C$1800,الريسبي!$A$2:$A$1800,$A2,الريسبي!$B$2:$B$1800,AU$1)</f>
        <v>0</v>
      </c>
      <c r="AV2" s="115" t="n">
        <f aca="false">SUMIFS(الريسبي!$C$2:$C$1800,الريسبي!$A$2:$A$1800,$A2,الريسبي!$B$2:$B$1800,AV$1)</f>
        <v>0</v>
      </c>
      <c r="AW2" s="115" t="n">
        <f aca="false">SUMIFS(الريسبي!$C$2:$C$1800,الريسبي!$A$2:$A$1800,$A2,الريسبي!$B$2:$B$1800,AW$1)</f>
        <v>0</v>
      </c>
      <c r="AX2" s="115" t="n">
        <f aca="false">SUMIFS(الريسبي!$C$2:$C$1800,الريسبي!$A$2:$A$1800,$A2,الريسبي!$B$2:$B$1800,AX$1)</f>
        <v>0.04</v>
      </c>
      <c r="AY2" s="115" t="n">
        <f aca="false">SUMIFS(الريسبي!$C$2:$C$1800,الريسبي!$A$2:$A$1800,$A2,الريسبي!$B$2:$B$1800,AY$1)</f>
        <v>0</v>
      </c>
      <c r="AZ2" s="115" t="n">
        <f aca="false">SUMIFS(الريسبي!$C$2:$C$1800,الريسبي!$A$2:$A$1800,$A2,الريسبي!$B$2:$B$1800,AZ$1)</f>
        <v>0</v>
      </c>
      <c r="BA2" s="115" t="n">
        <f aca="false">SUMIFS(الريسبي!$C$2:$C$1800,الريسبي!$A$2:$A$1800,$A2,الريسبي!$B$2:$B$1800,BA$1)</f>
        <v>0</v>
      </c>
      <c r="BB2" s="115" t="n">
        <f aca="false">SUMIFS(الريسبي!$C$2:$C$1800,الريسبي!$A$2:$A$1800,$A2,الريسبي!$B$2:$B$1800,BB$1)</f>
        <v>0</v>
      </c>
      <c r="BC2" s="115" t="n">
        <f aca="false">SUMIFS(الريسبي!$C$2:$C$1800,الريسبي!$A$2:$A$1800,$A2,الريسبي!$B$2:$B$1800,BC$1)</f>
        <v>0.03</v>
      </c>
      <c r="BD2" s="115" t="n">
        <f aca="false">SUMIFS(الريسبي!$C$2:$C$1800,الريسبي!$A$2:$A$1800,$A2,الريسبي!$B$2:$B$1800,BD$1)</f>
        <v>0.22</v>
      </c>
      <c r="BE2" s="115" t="n">
        <f aca="false">SUMIFS(الريسبي!$C$2:$C$1800,الريسبي!$A$2:$A$1800,$A2,الريسبي!$B$2:$B$1800,BE$1)</f>
        <v>0</v>
      </c>
      <c r="BF2" s="115" t="n">
        <f aca="false">SUMIFS(الريسبي!$C$2:$C$1800,الريسبي!$A$2:$A$1800,$A2,الريسبي!$B$2:$B$1800,BF$1)</f>
        <v>0</v>
      </c>
      <c r="BG2" s="115" t="n">
        <f aca="false">SUMIFS(الريسبي!$C$2:$C$1800,الريسبي!$A$2:$A$1800,$A2,الريسبي!$B$2:$B$1800,BG$1)</f>
        <v>0</v>
      </c>
      <c r="BH2" s="115" t="n">
        <f aca="false">SUMIFS(الريسبي!$C$2:$C$1800,الريسبي!$A$2:$A$1800,$A2,الريسبي!$B$2:$B$1800,BH$1)</f>
        <v>1</v>
      </c>
      <c r="BI2" s="115" t="n">
        <f aca="false">SUMIFS(الريسبي!$C$2:$C$1800,الريسبي!$A$2:$A$1800,$A2,الريسبي!$B$2:$B$1800,BI$1)</f>
        <v>0</v>
      </c>
      <c r="BJ2" s="115" t="n">
        <f aca="false">SUMIFS(الريسبي!$C$2:$C$1800,الريسبي!$A$2:$A$1800,$A2,الريسبي!$B$2:$B$1800,BJ$1)</f>
        <v>0</v>
      </c>
      <c r="BK2" s="115" t="n">
        <f aca="false">SUMIFS(الريسبي!$C$2:$C$1800,الريسبي!$A$2:$A$1800,$A2,الريسبي!$B$2:$B$1800,BK$1)</f>
        <v>0</v>
      </c>
      <c r="BL2" s="115" t="n">
        <f aca="false">SUMIFS(الريسبي!$C$2:$C$1800,الريسبي!$A$2:$A$1800,$A2,الريسبي!$B$2:$B$1800,BL$1)</f>
        <v>0</v>
      </c>
      <c r="BM2" s="115" t="n">
        <f aca="false">SUMIFS(الريسبي!$C$2:$C$1800,الريسبي!$A$2:$A$1800,$A2,الريسبي!$B$2:$B$1800,BM$1)</f>
        <v>0</v>
      </c>
      <c r="BN2" s="115" t="n">
        <f aca="false">SUMIFS(الريسبي!$C$2:$C$1800,الريسبي!$A$2:$A$1800,$A2,الريسبي!$B$2:$B$1800,BN$1)</f>
        <v>0.02</v>
      </c>
      <c r="BO2" s="115" t="n">
        <f aca="false">SUMIFS(الريسبي!$C$2:$C$1800,الريسبي!$A$2:$A$1800,$A2,الريسبي!$B$2:$B$1800,BO$1)</f>
        <v>0</v>
      </c>
      <c r="BP2" s="115" t="n">
        <f aca="false">SUMIFS(الريسبي!$C$2:$C$1800,الريسبي!$A$2:$A$1800,$A2,الريسبي!$B$2:$B$1800,BP$1)</f>
        <v>2</v>
      </c>
      <c r="BQ2" s="115"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15" t="n">
        <f aca="false">SUMIFS(الريسبي!$C$2:$C$1800,الريسبي!$A$2:$A$1800,$A2,الريسبي!$B$2:$B$1800,BR$1)</f>
        <v>1</v>
      </c>
      <c r="BS2" s="115" t="n">
        <f aca="false">SUMIFS(الريسبي!$C$2:$C$1800,الريسبي!$A$2:$A$1800,$A2,الريسبي!$B$2:$B$1800,BS$1)</f>
        <v>0</v>
      </c>
      <c r="BT2" s="115" t="n">
        <f aca="false">SUMIFS(الريسبي!$C$2:$C$1800,الريسبي!$A$2:$A$1800,$A2,الريسبي!$B$2:$B$1800,BT$1)</f>
        <v>0</v>
      </c>
      <c r="BU2" s="115"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15" t="n">
        <f aca="false">SUMIFS(الريسبي!$C$2:$C$1800,الريسبي!$A$2:$A$1800,$A2,الريسبي!$B$2:$B$1800,BV$1)</f>
        <v>0</v>
      </c>
      <c r="BW2" s="115" t="n">
        <f aca="false">SUMIFS(الريسبي!$C$2:$C$1800,الريسبي!$A$2:$A$1800,$A2,الريسبي!$B$2:$B$1800,BW$1)</f>
        <v>0</v>
      </c>
      <c r="BX2" s="115" t="n">
        <f aca="false">SUMIFS(الريسبي!$C$2:$C$1800,الريسبي!$A$2:$A$1800,$A2,الريسبي!$B$2:$B$1800,BX$1)</f>
        <v>0</v>
      </c>
      <c r="BY2" s="115" t="n">
        <f aca="false">SUMIFS(الريسبي!$C$2:$C$1800,الريسبي!$A$2:$A$1800,$A2,الريسبي!$B$2:$B$1800,BY$1)</f>
        <v>0</v>
      </c>
      <c r="BZ2" s="115" t="n">
        <f aca="false">SUMIFS(الريسبي!$C$2:$C$1800,الريسبي!$A$2:$A$1800,$A2,الريسبي!$B$2:$B$1800,BZ$1)</f>
        <v>1</v>
      </c>
      <c r="CA2" s="115" t="n">
        <f aca="false">SUMIFS(الريسبي!$C$2:$C$1800,الريسبي!$A$2:$A$1800,$A2,الريسبي!$B$2:$B$1800,CA$1)</f>
        <v>1</v>
      </c>
      <c r="CB2" s="115" t="n">
        <f aca="false">SUMIFS(الريسبي!$C$2:$C$1800,الريسبي!$A$2:$A$1800,$A2,الريسبي!$B$2:$B$1800,CB$1)</f>
        <v>0</v>
      </c>
      <c r="CC2" s="115" t="n">
        <f aca="false">SUMIFS(الريسبي!$C$2:$C$1800,الريسبي!$A$2:$A$1800,$A2,الريسبي!$B$2:$B$1800,CC$1)</f>
        <v>0</v>
      </c>
      <c r="CD2" s="115" t="n">
        <f aca="false">SUMIFS(الريسبي!$C$2:$C$1800,الريسبي!$A$2:$A$1800,$A2,الريسبي!$B$2:$B$1800,CD$1)</f>
        <v>0</v>
      </c>
      <c r="CE2" s="115" t="n">
        <f aca="false">SUMIFS(الريسبي!$C$2:$C$1800,الريسبي!$A$2:$A$1800,$A2,الريسبي!$B$2:$B$1800,CE$1)</f>
        <v>0</v>
      </c>
      <c r="CF2" s="115" t="n">
        <f aca="false">SUMIFS(الريسبي!$C$2:$C$1800,الريسبي!$A$2:$A$1800,$A2,الريسبي!$B$2:$B$1800,CF$1)</f>
        <v>0</v>
      </c>
      <c r="CG2" s="115" t="n">
        <f aca="false">SUMIFS(الريسبي!$C$2:$C$1800,الريسبي!$A$2:$A$1800,$A2,الريسبي!$B$2:$B$1800,CG$1)</f>
        <v>0</v>
      </c>
      <c r="CH2" s="115" t="n">
        <f aca="false">SUMIFS(الريسبي!$C$2:$C$1800,الريسبي!$A$2:$A$1800,$A2,الريسبي!$B$2:$B$1800,CH$1)</f>
        <v>0</v>
      </c>
    </row>
    <row r="3" customFormat="false" ht="15" hidden="false" customHeight="false" outlineLevel="0" collapsed="false">
      <c r="A3" s="114" t="str">
        <f aca="false">المنيو!B3</f>
        <v>بيتزا مارجريتا حجم اكبر</v>
      </c>
      <c r="B3" s="115" t="n">
        <f aca="false">SUMIFS(الريسبي!$C$2:$C$1800,الريسبي!$A$2:$A$1800,$A3,الريسبي!$B$2:$B$1800,B$1)</f>
        <v>0</v>
      </c>
      <c r="C3" s="115" t="n">
        <f aca="false">SUMIFS(الريسبي!$C$2:$C$1800,الريسبي!$A$2:$A$1800,$A3,الريسبي!$B$2:$B$1800,C$1)</f>
        <v>0</v>
      </c>
      <c r="D3" s="115" t="n">
        <f aca="false">SUMIFS(الريسبي!$C$2:$C$1800,الريسبي!$A$2:$A$1800,$A3,الريسبي!$B$2:$B$1800,D$1)</f>
        <v>1</v>
      </c>
      <c r="E3" s="115" t="n">
        <f aca="false">SUMIFS(الريسبي!$C$2:$C$1800,الريسبي!$A$2:$A$1800,$A3,الريسبي!$B$2:$B$1800,E$1)</f>
        <v>0</v>
      </c>
      <c r="F3" s="115" t="n">
        <f aca="false">SUMIFS(الريسبي!$C$2:$C$1800,الريسبي!$A$2:$A$1800,$A3,الريسبي!$B$2:$B$1800,F$1)</f>
        <v>0</v>
      </c>
      <c r="G3" s="115" t="n">
        <f aca="false">SUMIFS(الريسبي!$C$2:$C$1800,الريسبي!$A$2:$A$1800,$A3,الريسبي!$B$2:$B$1800,G$1)</f>
        <v>0</v>
      </c>
      <c r="H3" s="115" t="n">
        <f aca="false">SUMIFS(الريسبي!$C$2:$C$1800,الريسبي!$A$2:$A$1800,$A3,الريسبي!$B$2:$B$1800,H$1)</f>
        <v>0</v>
      </c>
      <c r="I3" s="115" t="n">
        <f aca="false">SUMIFS(الريسبي!$C$2:$C$1800,الريسبي!$A$2:$A$1800,$A3,الريسبي!$B$2:$B$1800,I$1)</f>
        <v>0</v>
      </c>
      <c r="J3" s="115" t="n">
        <f aca="false">SUMIFS(الريسبي!$C$2:$C$1800,الريسبي!$A$2:$A$1800,$A3,الريسبي!$B$2:$B$1800,J$1)</f>
        <v>0</v>
      </c>
      <c r="K3" s="115" t="n">
        <f aca="false">SUMIFS(الريسبي!$C$2:$C$1800,الريسبي!$A$2:$A$1800,$A3,الريسبي!$B$2:$B$1800,K$1)</f>
        <v>0</v>
      </c>
      <c r="L3" s="115" t="n">
        <f aca="false">SUMIFS(الريسبي!$C$2:$C$1800,الريسبي!$A$2:$A$1800,$A3,الريسبي!$B$2:$B$1800,L$1)</f>
        <v>0</v>
      </c>
      <c r="M3" s="115" t="n">
        <f aca="false">SUMIFS(الريسبي!$C$2:$C$1800,الريسبي!$A$2:$A$1800,$A3,الريسبي!$B$2:$B$1800,M$1)</f>
        <v>0</v>
      </c>
      <c r="N3" s="115" t="n">
        <f aca="false">SUMIFS(الريسبي!$C$2:$C$1800,الريسبي!$A$2:$A$1800,$A3,الريسبي!$B$2:$B$1800,N$1)</f>
        <v>0</v>
      </c>
      <c r="O3" s="115" t="n">
        <f aca="false">SUMIFS(الريسبي!$C$2:$C$1800,الريسبي!$A$2:$A$1800,$A3,الريسبي!$B$2:$B$1800,O$1)</f>
        <v>0</v>
      </c>
      <c r="P3" s="115" t="n">
        <f aca="false">SUMIFS(الريسبي!$C$2:$C$1800,الريسبي!$A$2:$A$1800,$A3,الريسبي!$B$2:$B$1800,P$1)</f>
        <v>0</v>
      </c>
      <c r="Q3" s="115" t="n">
        <f aca="false">SUMIFS(الريسبي!$C$2:$C$1800,الريسبي!$A$2:$A$1800,$A3,الريسبي!$B$2:$B$1800,Q$1)</f>
        <v>0</v>
      </c>
      <c r="R3" s="115" t="n">
        <f aca="false">SUMIFS(الريسبي!$C$2:$C$1800,الريسبي!$A$2:$A$1800,$A3,الريسبي!$B$2:$B$1800,R$1)</f>
        <v>0</v>
      </c>
      <c r="S3" s="115" t="n">
        <f aca="false">SUMIFS(الريسبي!$C$2:$C$1800,الريسبي!$A$2:$A$1800,$A3,الريسبي!$B$2:$B$1800,S$1)</f>
        <v>0</v>
      </c>
      <c r="T3" s="115" t="n">
        <f aca="false">SUMIFS(الريسبي!$C$2:$C$1800,الريسبي!$A$2:$A$1800,$A3,الريسبي!$B$2:$B$1800,T$1)</f>
        <v>0</v>
      </c>
      <c r="U3" s="115" t="n">
        <f aca="false">SUMIFS(الريسبي!$C$2:$C$1800,الريسبي!$A$2:$A$1800,$A3,الريسبي!$B$2:$B$1800,U$1)</f>
        <v>0</v>
      </c>
      <c r="V3" s="115" t="n">
        <f aca="false">SUMIFS(الريسبي!$C$2:$C$1800,الريسبي!$A$2:$A$1800,$A3,الريسبي!$B$2:$B$1800,V$1)</f>
        <v>0</v>
      </c>
      <c r="W3" s="115" t="n">
        <f aca="false">SUMIFS(الريسبي!$C$2:$C$1800,الريسبي!$A$2:$A$1800,$A3,الريسبي!$B$2:$B$1800,W$1)</f>
        <v>1</v>
      </c>
      <c r="X3" s="115" t="n">
        <f aca="false">SUMIFS(الريسبي!$C$2:$C$1800,الريسبي!$A$2:$A$1800,$A3,الريسبي!$B$2:$B$1800,X$1)</f>
        <v>0</v>
      </c>
      <c r="Y3" s="115" t="n">
        <f aca="false">SUMIFS(الريسبي!$C$2:$C$1800,الريسبي!$A$2:$A$1800,$A3,الريسبي!$B$2:$B$1800,Y$1)</f>
        <v>0</v>
      </c>
      <c r="Z3" s="115" t="n">
        <f aca="false">SUMIFS(الريسبي!$C$2:$C$1800,الريسبي!$A$2:$A$1800,$A3,الريسبي!$B$2:$B$1800,Z$1)</f>
        <v>0</v>
      </c>
      <c r="AA3" s="115" t="n">
        <f aca="false">SUMIFS(الريسبي!$C$2:$C$1800,الريسبي!$A$2:$A$1800,$A3,الريسبي!$B$2:$B$1800,AA$1)</f>
        <v>0</v>
      </c>
      <c r="AB3" s="115" t="n">
        <f aca="false">SUMIFS(الريسبي!$C$2:$C$1800,الريسبي!$A$2:$A$1800,$A3,الريسبي!$B$2:$B$1800,AB$1)</f>
        <v>0</v>
      </c>
      <c r="AC3" s="115" t="n">
        <f aca="false">SUMIFS(الريسبي!$C$2:$C$1800,الريسبي!$A$2:$A$1800,$A3,الريسبي!$B$2:$B$1800,AC$1)</f>
        <v>0</v>
      </c>
      <c r="AD3" s="115" t="n">
        <f aca="false">SUMIFS(الريسبي!$C$2:$C$1800,الريسبي!$A$2:$A$1800,$A3,الريسبي!$B$2:$B$1800,AD$1)</f>
        <v>0</v>
      </c>
      <c r="AE3" s="115" t="n">
        <f aca="false">SUMIFS(الريسبي!$C$2:$C$1800,الريسبي!$A$2:$A$1800,$A3,الريسبي!$B$2:$B$1800,AE$1)</f>
        <v>0</v>
      </c>
      <c r="AF3" s="115" t="n">
        <f aca="false">SUMIFS(الريسبي!$C$2:$C$1800,الريسبي!$A$2:$A$1800,$A3,الريسبي!$B$2:$B$1800,AF$1)</f>
        <v>0</v>
      </c>
      <c r="AG3" s="115" t="n">
        <f aca="false">SUMIFS(الريسبي!$C$2:$C$1800,الريسبي!$A$2:$A$1800,$A3,الريسبي!$B$2:$B$1800,AG$1)</f>
        <v>0</v>
      </c>
      <c r="AH3" s="115" t="n">
        <f aca="false">SUMIFS(الريسبي!$C$2:$C$1800,الريسبي!$A$2:$A$1800,$A3,الريسبي!$B$2:$B$1800,AH$1)</f>
        <v>0</v>
      </c>
      <c r="AI3" s="115" t="n">
        <f aca="false">SUMIFS(الريسبي!$C$2:$C$1800,الريسبي!$A$2:$A$1800,$A3,الريسبي!$B$2:$B$1800,AI$1)</f>
        <v>0</v>
      </c>
      <c r="AJ3" s="115" t="n">
        <f aca="false">SUMIFS(الريسبي!$C$2:$C$1800,الريسبي!$A$2:$A$1800,$A3,الريسبي!$B$2:$B$1800,AJ$1)</f>
        <v>2</v>
      </c>
      <c r="AK3" s="115" t="n">
        <f aca="false">SUMIFS(الريسبي!$C$2:$C$1800,الريسبي!$A$2:$A$1800,$A3,الريسبي!$B$2:$B$1800,AK$1)</f>
        <v>0</v>
      </c>
      <c r="AL3" s="115" t="n">
        <f aca="false">SUMIFS(الريسبي!$C$2:$C$1800,الريسبي!$A$2:$A$1800,$A3,الريسبي!$B$2:$B$1800,AL$1)</f>
        <v>0</v>
      </c>
      <c r="AM3" s="115"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15"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15" t="n">
        <f aca="false">SUMIFS(الريسبي!$C$2:$C$1800,الريسبي!$A$2:$A$1800,$A3,الريسبي!$B$2:$B$1800,AO$1)</f>
        <v>0</v>
      </c>
      <c r="AP3" s="115" t="n">
        <f aca="false">SUMIFS(الريسبي!$C$2:$C$1800,الريسبي!$A$2:$A$1800,$A3,الريسبي!$B$2:$B$1800,AP$1)</f>
        <v>0.03</v>
      </c>
      <c r="AQ3" s="115"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15" t="n">
        <f aca="false">SUMIFS(الريسبي!$C$2:$C$1800,الريسبي!$A$2:$A$1800,$A3,الريسبي!$B$2:$B$1800,AR$1)</f>
        <v>0</v>
      </c>
      <c r="AS3" s="115" t="n">
        <f aca="false">SUMIFS(الريسبي!$C$2:$C$1800,الريسبي!$A$2:$A$1800,$A3,الريسبي!$B$2:$B$1800,AS$1)</f>
        <v>0</v>
      </c>
      <c r="AT3" s="115" t="n">
        <f aca="false">SUMIFS(الريسبي!$C$2:$C$1800,الريسبي!$A$2:$A$1800,$A3,الريسبي!$B$2:$B$1800,AT$1)</f>
        <v>0</v>
      </c>
      <c r="AU3" s="115" t="n">
        <f aca="false">SUMIFS(الريسبي!$C$2:$C$1800,الريسبي!$A$2:$A$1800,$A3,الريسبي!$B$2:$B$1800,AU$1)</f>
        <v>0</v>
      </c>
      <c r="AV3" s="115" t="n">
        <f aca="false">SUMIFS(الريسبي!$C$2:$C$1800,الريسبي!$A$2:$A$1800,$A3,الريسبي!$B$2:$B$1800,AV$1)</f>
        <v>0</v>
      </c>
      <c r="AW3" s="115" t="n">
        <f aca="false">SUMIFS(الريسبي!$C$2:$C$1800,الريسبي!$A$2:$A$1800,$A3,الريسبي!$B$2:$B$1800,AW$1)</f>
        <v>0</v>
      </c>
      <c r="AX3" s="115" t="n">
        <f aca="false">SUMIFS(الريسبي!$C$2:$C$1800,الريسبي!$A$2:$A$1800,$A3,الريسبي!$B$2:$B$1800,AX$1)</f>
        <v>0.06</v>
      </c>
      <c r="AY3" s="115" t="n">
        <f aca="false">SUMIFS(الريسبي!$C$2:$C$1800,الريسبي!$A$2:$A$1800,$A3,الريسبي!$B$2:$B$1800,AY$1)</f>
        <v>0</v>
      </c>
      <c r="AZ3" s="115" t="n">
        <f aca="false">SUMIFS(الريسبي!$C$2:$C$1800,الريسبي!$A$2:$A$1800,$A3,الريسبي!$B$2:$B$1800,AZ$1)</f>
        <v>0</v>
      </c>
      <c r="BA3" s="115" t="n">
        <f aca="false">SUMIFS(الريسبي!$C$2:$C$1800,الريسبي!$A$2:$A$1800,$A3,الريسبي!$B$2:$B$1800,BA$1)</f>
        <v>0</v>
      </c>
      <c r="BB3" s="115" t="n">
        <f aca="false">SUMIFS(الريسبي!$C$2:$C$1800,الريسبي!$A$2:$A$1800,$A3,الريسبي!$B$2:$B$1800,BB$1)</f>
        <v>0</v>
      </c>
      <c r="BC3" s="115" t="n">
        <f aca="false">SUMIFS(الريسبي!$C$2:$C$1800,الريسبي!$A$2:$A$1800,$A3,الريسبي!$B$2:$B$1800,BC$1)</f>
        <v>0.045</v>
      </c>
      <c r="BD3" s="115" t="n">
        <f aca="false">SUMIFS(الريسبي!$C$2:$C$1800,الريسبي!$A$2:$A$1800,$A3,الريسبي!$B$2:$B$1800,BD$1)</f>
        <v>0.3</v>
      </c>
      <c r="BE3" s="115" t="n">
        <f aca="false">SUMIFS(الريسبي!$C$2:$C$1800,الريسبي!$A$2:$A$1800,$A3,الريسبي!$B$2:$B$1800,BE$1)</f>
        <v>0</v>
      </c>
      <c r="BF3" s="115" t="n">
        <f aca="false">SUMIFS(الريسبي!$C$2:$C$1800,الريسبي!$A$2:$A$1800,$A3,الريسبي!$B$2:$B$1800,BF$1)</f>
        <v>0</v>
      </c>
      <c r="BG3" s="115" t="n">
        <f aca="false">SUMIFS(الريسبي!$C$2:$C$1800,الريسبي!$A$2:$A$1800,$A3,الريسبي!$B$2:$B$1800,BG$1)</f>
        <v>1</v>
      </c>
      <c r="BH3" s="115" t="n">
        <f aca="false">SUMIFS(الريسبي!$C$2:$C$1800,الريسبي!$A$2:$A$1800,$A3,الريسبي!$B$2:$B$1800,BH$1)</f>
        <v>0</v>
      </c>
      <c r="BI3" s="115" t="n">
        <f aca="false">SUMIFS(الريسبي!$C$2:$C$1800,الريسبي!$A$2:$A$1800,$A3,الريسبي!$B$2:$B$1800,BI$1)</f>
        <v>0</v>
      </c>
      <c r="BJ3" s="115" t="n">
        <f aca="false">SUMIFS(الريسبي!$C$2:$C$1800,الريسبي!$A$2:$A$1800,$A3,الريسبي!$B$2:$B$1800,BJ$1)</f>
        <v>0</v>
      </c>
      <c r="BK3" s="115" t="n">
        <f aca="false">SUMIFS(الريسبي!$C$2:$C$1800,الريسبي!$A$2:$A$1800,$A3,الريسبي!$B$2:$B$1800,BK$1)</f>
        <v>0</v>
      </c>
      <c r="BL3" s="115" t="n">
        <f aca="false">SUMIFS(الريسبي!$C$2:$C$1800,الريسبي!$A$2:$A$1800,$A3,الريسبي!$B$2:$B$1800,BL$1)</f>
        <v>0</v>
      </c>
      <c r="BM3" s="115" t="n">
        <f aca="false">SUMIFS(الريسبي!$C$2:$C$1800,الريسبي!$A$2:$A$1800,$A3,الريسبي!$B$2:$B$1800,BM$1)</f>
        <v>0</v>
      </c>
      <c r="BN3" s="115" t="n">
        <f aca="false">SUMIFS(الريسبي!$C$2:$C$1800,الريسبي!$A$2:$A$1800,$A3,الريسبي!$B$2:$B$1800,BN$1)</f>
        <v>0.03</v>
      </c>
      <c r="BO3" s="115" t="n">
        <f aca="false">SUMIFS(الريسبي!$C$2:$C$1800,الريسبي!$A$2:$A$1800,$A3,الريسبي!$B$2:$B$1800,BO$1)</f>
        <v>0</v>
      </c>
      <c r="BP3" s="115" t="n">
        <f aca="false">SUMIFS(الريسبي!$C$2:$C$1800,الريسبي!$A$2:$A$1800,$A3,الريسبي!$B$2:$B$1800,BP$1)</f>
        <v>3</v>
      </c>
      <c r="BQ3" s="115"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15" t="n">
        <f aca="false">SUMIFS(الريسبي!$C$2:$C$1800,الريسبي!$A$2:$A$1800,$A3,الريسبي!$B$2:$B$1800,BR$1)</f>
        <v>1</v>
      </c>
      <c r="BS3" s="115" t="n">
        <f aca="false">SUMIFS(الريسبي!$C$2:$C$1800,الريسبي!$A$2:$A$1800,$A3,الريسبي!$B$2:$B$1800,BS$1)</f>
        <v>0</v>
      </c>
      <c r="BT3" s="115" t="n">
        <f aca="false">SUMIFS(الريسبي!$C$2:$C$1800,الريسبي!$A$2:$A$1800,$A3,الريسبي!$B$2:$B$1800,BT$1)</f>
        <v>0</v>
      </c>
      <c r="BU3" s="115"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15" t="n">
        <f aca="false">SUMIFS(الريسبي!$C$2:$C$1800,الريسبي!$A$2:$A$1800,$A3,الريسبي!$B$2:$B$1800,BV$1)</f>
        <v>0</v>
      </c>
      <c r="BW3" s="115" t="n">
        <f aca="false">SUMIFS(الريسبي!$C$2:$C$1800,الريسبي!$A$2:$A$1800,$A3,الريسبي!$B$2:$B$1800,BW$1)</f>
        <v>0</v>
      </c>
      <c r="BX3" s="115" t="n">
        <f aca="false">SUMIFS(الريسبي!$C$2:$C$1800,الريسبي!$A$2:$A$1800,$A3,الريسبي!$B$2:$B$1800,BX$1)</f>
        <v>0</v>
      </c>
      <c r="BY3" s="115" t="n">
        <f aca="false">SUMIFS(الريسبي!$C$2:$C$1800,الريسبي!$A$2:$A$1800,$A3,الريسبي!$B$2:$B$1800,BY$1)</f>
        <v>0</v>
      </c>
      <c r="BZ3" s="115" t="n">
        <f aca="false">SUMIFS(الريسبي!$C$2:$C$1800,الريسبي!$A$2:$A$1800,$A3,الريسبي!$B$2:$B$1800,BZ$1)</f>
        <v>1</v>
      </c>
      <c r="CA3" s="115" t="n">
        <f aca="false">SUMIFS(الريسبي!$C$2:$C$1800,الريسبي!$A$2:$A$1800,$A3,الريسبي!$B$2:$B$1800,CA$1)</f>
        <v>1</v>
      </c>
      <c r="CB3" s="115" t="n">
        <f aca="false">SUMIFS(الريسبي!$C$2:$C$1800,الريسبي!$A$2:$A$1800,$A3,الريسبي!$B$2:$B$1800,CB$1)</f>
        <v>0</v>
      </c>
      <c r="CC3" s="115" t="n">
        <f aca="false">SUMIFS(الريسبي!$C$2:$C$1800,الريسبي!$A$2:$A$1800,$A3,الريسبي!$B$2:$B$1800,CC$1)</f>
        <v>0</v>
      </c>
      <c r="CD3" s="115" t="n">
        <f aca="false">SUMIFS(الريسبي!$C$2:$C$1800,الريسبي!$A$2:$A$1800,$A3,الريسبي!$B$2:$B$1800,CD$1)</f>
        <v>0</v>
      </c>
      <c r="CE3" s="115" t="n">
        <f aca="false">SUMIFS(الريسبي!$C$2:$C$1800,الريسبي!$A$2:$A$1800,$A3,الريسبي!$B$2:$B$1800,CE$1)</f>
        <v>0</v>
      </c>
      <c r="CF3" s="115" t="n">
        <f aca="false">SUMIFS(الريسبي!$C$2:$C$1800,الريسبي!$A$2:$A$1800,$A3,الريسبي!$B$2:$B$1800,CF$1)</f>
        <v>0</v>
      </c>
      <c r="CG3" s="115" t="n">
        <f aca="false">SUMIFS(الريسبي!$C$2:$C$1800,الريسبي!$A$2:$A$1800,$A3,الريسبي!$B$2:$B$1800,CG$1)</f>
        <v>0</v>
      </c>
      <c r="CH3" s="115" t="n">
        <f aca="false">SUMIFS(الريسبي!$C$2:$C$1800,الريسبي!$A$2:$A$1800,$A3,الريسبي!$B$2:$B$1800,CH$1)</f>
        <v>0</v>
      </c>
    </row>
    <row r="4" customFormat="false" ht="15" hidden="false" customHeight="false" outlineLevel="0" collapsed="false">
      <c r="A4" s="114" t="str">
        <f aca="false">المنيو!B4</f>
        <v>بيتزا بسطرمة وسط</v>
      </c>
      <c r="B4" s="115" t="n">
        <f aca="false">SUMIFS(الريسبي!$C$2:$C$1800,الريسبي!$A$2:$A$1800,$A4,الريسبي!$B$2:$B$1800,B$1)</f>
        <v>0</v>
      </c>
      <c r="C4" s="115" t="n">
        <f aca="false">SUMIFS(الريسبي!$C$2:$C$1800,الريسبي!$A$2:$A$1800,$A4,الريسبي!$B$2:$B$1800,C$1)</f>
        <v>0</v>
      </c>
      <c r="D4" s="115" t="n">
        <f aca="false">SUMIFS(الريسبي!$C$2:$C$1800,الريسبي!$A$2:$A$1800,$A4,الريسبي!$B$2:$B$1800,D$1)</f>
        <v>1</v>
      </c>
      <c r="E4" s="115" t="n">
        <f aca="false">SUMIFS(الريسبي!$C$2:$C$1800,الريسبي!$A$2:$A$1800,$A4,الريسبي!$B$2:$B$1800,E$1)</f>
        <v>0</v>
      </c>
      <c r="F4" s="115" t="n">
        <f aca="false">SUMIFS(الريسبي!$C$2:$C$1800,الريسبي!$A$2:$A$1800,$A4,الريسبي!$B$2:$B$1800,F$1)</f>
        <v>0</v>
      </c>
      <c r="G4" s="115" t="n">
        <f aca="false">SUMIFS(الريسبي!$C$2:$C$1800,الريسبي!$A$2:$A$1800,$A4,الريسبي!$B$2:$B$1800,G$1)</f>
        <v>1</v>
      </c>
      <c r="H4" s="115" t="n">
        <f aca="false">SUMIFS(الريسبي!$C$2:$C$1800,الريسبي!$A$2:$A$1800,$A4,الريسبي!$B$2:$B$1800,H$1)</f>
        <v>0</v>
      </c>
      <c r="I4" s="115" t="n">
        <f aca="false">SUMIFS(الريسبي!$C$2:$C$1800,الريسبي!$A$2:$A$1800,$A4,الريسبي!$B$2:$B$1800,I$1)</f>
        <v>0</v>
      </c>
      <c r="J4" s="115" t="n">
        <f aca="false">SUMIFS(الريسبي!$C$2:$C$1800,الريسبي!$A$2:$A$1800,$A4,الريسبي!$B$2:$B$1800,J$1)</f>
        <v>0</v>
      </c>
      <c r="K4" s="115" t="n">
        <f aca="false">SUMIFS(الريسبي!$C$2:$C$1800,الريسبي!$A$2:$A$1800,$A4,الريسبي!$B$2:$B$1800,K$1)</f>
        <v>0</v>
      </c>
      <c r="L4" s="115" t="n">
        <f aca="false">SUMIFS(الريسبي!$C$2:$C$1800,الريسبي!$A$2:$A$1800,$A4,الريسبي!$B$2:$B$1800,L$1)</f>
        <v>0</v>
      </c>
      <c r="M4" s="115" t="n">
        <f aca="false">SUMIFS(الريسبي!$C$2:$C$1800,الريسبي!$A$2:$A$1800,$A4,الريسبي!$B$2:$B$1800,M$1)</f>
        <v>0</v>
      </c>
      <c r="N4" s="115" t="n">
        <f aca="false">SUMIFS(الريسبي!$C$2:$C$1800,الريسبي!$A$2:$A$1800,$A4,الريسبي!$B$2:$B$1800,N$1)</f>
        <v>0</v>
      </c>
      <c r="O4" s="115" t="n">
        <f aca="false">SUMIFS(الريسبي!$C$2:$C$1800,الريسبي!$A$2:$A$1800,$A4,الريسبي!$B$2:$B$1800,O$1)</f>
        <v>0</v>
      </c>
      <c r="P4" s="115" t="n">
        <f aca="false">SUMIFS(الريسبي!$C$2:$C$1800,الريسبي!$A$2:$A$1800,$A4,الريسبي!$B$2:$B$1800,P$1)</f>
        <v>0</v>
      </c>
      <c r="Q4" s="115" t="n">
        <f aca="false">SUMIFS(الريسبي!$C$2:$C$1800,الريسبي!$A$2:$A$1800,$A4,الريسبي!$B$2:$B$1800,Q$1)</f>
        <v>0</v>
      </c>
      <c r="R4" s="115" t="n">
        <f aca="false">SUMIFS(الريسبي!$C$2:$C$1800,الريسبي!$A$2:$A$1800,$A4,الريسبي!$B$2:$B$1800,R$1)</f>
        <v>0</v>
      </c>
      <c r="S4" s="115" t="n">
        <f aca="false">SUMIFS(الريسبي!$C$2:$C$1800,الريسبي!$A$2:$A$1800,$A4,الريسبي!$B$2:$B$1800,S$1)</f>
        <v>0</v>
      </c>
      <c r="T4" s="115" t="n">
        <f aca="false">SUMIFS(الريسبي!$C$2:$C$1800,الريسبي!$A$2:$A$1800,$A4,الريسبي!$B$2:$B$1800,T$1)</f>
        <v>0</v>
      </c>
      <c r="U4" s="115" t="n">
        <f aca="false">SUMIFS(الريسبي!$C$2:$C$1800,الريسبي!$A$2:$A$1800,$A4,الريسبي!$B$2:$B$1800,U$1)</f>
        <v>0</v>
      </c>
      <c r="V4" s="115" t="n">
        <f aca="false">SUMIFS(الريسبي!$C$2:$C$1800,الريسبي!$A$2:$A$1800,$A4,الريسبي!$B$2:$B$1800,V$1)</f>
        <v>1</v>
      </c>
      <c r="W4" s="115" t="n">
        <f aca="false">SUMIFS(الريسبي!$C$2:$C$1800,الريسبي!$A$2:$A$1800,$A4,الريسبي!$B$2:$B$1800,W$1)</f>
        <v>0</v>
      </c>
      <c r="X4" s="115" t="n">
        <f aca="false">SUMIFS(الريسبي!$C$2:$C$1800,الريسبي!$A$2:$A$1800,$A4,الريسبي!$B$2:$B$1800,X$1)</f>
        <v>0</v>
      </c>
      <c r="Y4" s="115" t="n">
        <f aca="false">SUMIFS(الريسبي!$C$2:$C$1800,الريسبي!$A$2:$A$1800,$A4,الريسبي!$B$2:$B$1800,Y$1)</f>
        <v>0</v>
      </c>
      <c r="Z4" s="115" t="n">
        <f aca="false">SUMIFS(الريسبي!$C$2:$C$1800,الريسبي!$A$2:$A$1800,$A4,الريسبي!$B$2:$B$1800,Z$1)</f>
        <v>0</v>
      </c>
      <c r="AA4" s="115" t="n">
        <f aca="false">SUMIFS(الريسبي!$C$2:$C$1800,الريسبي!$A$2:$A$1800,$A4,الريسبي!$B$2:$B$1800,AA$1)</f>
        <v>0</v>
      </c>
      <c r="AB4" s="115" t="n">
        <f aca="false">SUMIFS(الريسبي!$C$2:$C$1800,الريسبي!$A$2:$A$1800,$A4,الريسبي!$B$2:$B$1800,AB$1)</f>
        <v>0</v>
      </c>
      <c r="AC4" s="115" t="n">
        <f aca="false">SUMIFS(الريسبي!$C$2:$C$1800,الريسبي!$A$2:$A$1800,$A4,الريسبي!$B$2:$B$1800,AC$1)</f>
        <v>0</v>
      </c>
      <c r="AD4" s="115" t="n">
        <f aca="false">SUMIFS(الريسبي!$C$2:$C$1800,الريسبي!$A$2:$A$1800,$A4,الريسبي!$B$2:$B$1800,AD$1)</f>
        <v>0</v>
      </c>
      <c r="AE4" s="115" t="n">
        <f aca="false">SUMIFS(الريسبي!$C$2:$C$1800,الريسبي!$A$2:$A$1800,$A4,الريسبي!$B$2:$B$1800,AE$1)</f>
        <v>0</v>
      </c>
      <c r="AF4" s="115" t="n">
        <f aca="false">SUMIFS(الريسبي!$C$2:$C$1800,الريسبي!$A$2:$A$1800,$A4,الريسبي!$B$2:$B$1800,AF$1)</f>
        <v>0</v>
      </c>
      <c r="AG4" s="115" t="n">
        <f aca="false">SUMIFS(الريسبي!$C$2:$C$1800,الريسبي!$A$2:$A$1800,$A4,الريسبي!$B$2:$B$1800,AG$1)</f>
        <v>0</v>
      </c>
      <c r="AH4" s="115" t="n">
        <f aca="false">SUMIFS(الريسبي!$C$2:$C$1800,الريسبي!$A$2:$A$1800,$A4,الريسبي!$B$2:$B$1800,AH$1)</f>
        <v>0</v>
      </c>
      <c r="AI4" s="115" t="n">
        <f aca="false">SUMIFS(الريسبي!$C$2:$C$1800,الريسبي!$A$2:$A$1800,$A4,الريسبي!$B$2:$B$1800,AI$1)</f>
        <v>0</v>
      </c>
      <c r="AJ4" s="115" t="n">
        <f aca="false">SUMIFS(الريسبي!$C$2:$C$1800,الريسبي!$A$2:$A$1800,$A4,الريسبي!$B$2:$B$1800,AJ$1)</f>
        <v>2</v>
      </c>
      <c r="AK4" s="115" t="n">
        <f aca="false">SUMIFS(الريسبي!$C$2:$C$1800,الريسبي!$A$2:$A$1800,$A4,الريسبي!$B$2:$B$1800,AK$1)</f>
        <v>0</v>
      </c>
      <c r="AL4" s="115" t="n">
        <f aca="false">SUMIFS(الريسبي!$C$2:$C$1800,الريسبي!$A$2:$A$1800,$A4,الريسبي!$B$2:$B$1800,AL$1)</f>
        <v>0</v>
      </c>
      <c r="AM4" s="115"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15"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15" t="n">
        <f aca="false">SUMIFS(الريسبي!$C$2:$C$1800,الريسبي!$A$2:$A$1800,$A4,الريسبي!$B$2:$B$1800,AO$1)</f>
        <v>0</v>
      </c>
      <c r="AP4" s="115" t="n">
        <f aca="false">SUMIFS(الريسبي!$C$2:$C$1800,الريسبي!$A$2:$A$1800,$A4,الريسبي!$B$2:$B$1800,AP$1)</f>
        <v>0.02</v>
      </c>
      <c r="AQ4" s="115"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15" t="n">
        <f aca="false">SUMIFS(الريسبي!$C$2:$C$1800,الريسبي!$A$2:$A$1800,$A4,الريسبي!$B$2:$B$1800,AR$1)</f>
        <v>0</v>
      </c>
      <c r="AS4" s="115" t="n">
        <f aca="false">SUMIFS(الريسبي!$C$2:$C$1800,الريسبي!$A$2:$A$1800,$A4,الريسبي!$B$2:$B$1800,AS$1)</f>
        <v>0</v>
      </c>
      <c r="AT4" s="115" t="n">
        <f aca="false">SUMIFS(الريسبي!$C$2:$C$1800,الريسبي!$A$2:$A$1800,$A4,الريسبي!$B$2:$B$1800,AT$1)</f>
        <v>0</v>
      </c>
      <c r="AU4" s="115" t="n">
        <f aca="false">SUMIFS(الريسبي!$C$2:$C$1800,الريسبي!$A$2:$A$1800,$A4,الريسبي!$B$2:$B$1800,AU$1)</f>
        <v>0</v>
      </c>
      <c r="AV4" s="115" t="n">
        <f aca="false">SUMIFS(الريسبي!$C$2:$C$1800,الريسبي!$A$2:$A$1800,$A4,الريسبي!$B$2:$B$1800,AV$1)</f>
        <v>0</v>
      </c>
      <c r="AW4" s="115" t="n">
        <f aca="false">SUMIFS(الريسبي!$C$2:$C$1800,الريسبي!$A$2:$A$1800,$A4,الريسبي!$B$2:$B$1800,AW$1)</f>
        <v>0</v>
      </c>
      <c r="AX4" s="115" t="n">
        <f aca="false">SUMIFS(الريسبي!$C$2:$C$1800,الريسبي!$A$2:$A$1800,$A4,الريسبي!$B$2:$B$1800,AX$1)</f>
        <v>0.04</v>
      </c>
      <c r="AY4" s="115" t="n">
        <f aca="false">SUMIFS(الريسبي!$C$2:$C$1800,الريسبي!$A$2:$A$1800,$A4,الريسبي!$B$2:$B$1800,AY$1)</f>
        <v>0</v>
      </c>
      <c r="AZ4" s="115" t="n">
        <f aca="false">SUMIFS(الريسبي!$C$2:$C$1800,الريسبي!$A$2:$A$1800,$A4,الريسبي!$B$2:$B$1800,AZ$1)</f>
        <v>0</v>
      </c>
      <c r="BA4" s="115" t="n">
        <f aca="false">SUMIFS(الريسبي!$C$2:$C$1800,الريسبي!$A$2:$A$1800,$A4,الريسبي!$B$2:$B$1800,BA$1)</f>
        <v>0</v>
      </c>
      <c r="BB4" s="115" t="n">
        <f aca="false">SUMIFS(الريسبي!$C$2:$C$1800,الريسبي!$A$2:$A$1800,$A4,الريسبي!$B$2:$B$1800,BB$1)</f>
        <v>0</v>
      </c>
      <c r="BC4" s="115" t="n">
        <f aca="false">SUMIFS(الريسبي!$C$2:$C$1800,الريسبي!$A$2:$A$1800,$A4,الريسبي!$B$2:$B$1800,BC$1)</f>
        <v>0.03</v>
      </c>
      <c r="BD4" s="115" t="n">
        <f aca="false">SUMIFS(الريسبي!$C$2:$C$1800,الريسبي!$A$2:$A$1800,$A4,الريسبي!$B$2:$B$1800,BD$1)</f>
        <v>0.22</v>
      </c>
      <c r="BE4" s="115" t="n">
        <f aca="false">SUMIFS(الريسبي!$C$2:$C$1800,الريسبي!$A$2:$A$1800,$A4,الريسبي!$B$2:$B$1800,BE$1)</f>
        <v>0</v>
      </c>
      <c r="BF4" s="115" t="n">
        <f aca="false">SUMIFS(الريسبي!$C$2:$C$1800,الريسبي!$A$2:$A$1800,$A4,الريسبي!$B$2:$B$1800,BF$1)</f>
        <v>0</v>
      </c>
      <c r="BG4" s="115" t="n">
        <f aca="false">SUMIFS(الريسبي!$C$2:$C$1800,الريسبي!$A$2:$A$1800,$A4,الريسبي!$B$2:$B$1800,BG$1)</f>
        <v>0</v>
      </c>
      <c r="BH4" s="115" t="n">
        <f aca="false">SUMIFS(الريسبي!$C$2:$C$1800,الريسبي!$A$2:$A$1800,$A4,الريسبي!$B$2:$B$1800,BH$1)</f>
        <v>1</v>
      </c>
      <c r="BI4" s="115" t="n">
        <f aca="false">SUMIFS(الريسبي!$C$2:$C$1800,الريسبي!$A$2:$A$1800,$A4,الريسبي!$B$2:$B$1800,BI$1)</f>
        <v>0</v>
      </c>
      <c r="BJ4" s="115" t="n">
        <f aca="false">SUMIFS(الريسبي!$C$2:$C$1800,الريسبي!$A$2:$A$1800,$A4,الريسبي!$B$2:$B$1800,BJ$1)</f>
        <v>0</v>
      </c>
      <c r="BK4" s="115" t="n">
        <f aca="false">SUMIFS(الريسبي!$C$2:$C$1800,الريسبي!$A$2:$A$1800,$A4,الريسبي!$B$2:$B$1800,BK$1)</f>
        <v>0</v>
      </c>
      <c r="BL4" s="115" t="n">
        <f aca="false">SUMIFS(الريسبي!$C$2:$C$1800,الريسبي!$A$2:$A$1800,$A4,الريسبي!$B$2:$B$1800,BL$1)</f>
        <v>0</v>
      </c>
      <c r="BM4" s="115" t="n">
        <f aca="false">SUMIFS(الريسبي!$C$2:$C$1800,الريسبي!$A$2:$A$1800,$A4,الريسبي!$B$2:$B$1800,BM$1)</f>
        <v>0</v>
      </c>
      <c r="BN4" s="115" t="n">
        <f aca="false">SUMIFS(الريسبي!$C$2:$C$1800,الريسبي!$A$2:$A$1800,$A4,الريسبي!$B$2:$B$1800,BN$1)</f>
        <v>0.02</v>
      </c>
      <c r="BO4" s="115" t="n">
        <f aca="false">SUMIFS(الريسبي!$C$2:$C$1800,الريسبي!$A$2:$A$1800,$A4,الريسبي!$B$2:$B$1800,BO$1)</f>
        <v>0</v>
      </c>
      <c r="BP4" s="115" t="n">
        <f aca="false">SUMIFS(الريسبي!$C$2:$C$1800,الريسبي!$A$2:$A$1800,$A4,الريسبي!$B$2:$B$1800,BP$1)</f>
        <v>2</v>
      </c>
      <c r="BQ4" s="115"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15" t="n">
        <f aca="false">SUMIFS(الريسبي!$C$2:$C$1800,الريسبي!$A$2:$A$1800,$A4,الريسبي!$B$2:$B$1800,BR$1)</f>
        <v>1</v>
      </c>
      <c r="BS4" s="115" t="n">
        <f aca="false">SUMIFS(الريسبي!$C$2:$C$1800,الريسبي!$A$2:$A$1800,$A4,الريسبي!$B$2:$B$1800,BS$1)</f>
        <v>0</v>
      </c>
      <c r="BT4" s="115" t="n">
        <f aca="false">SUMIFS(الريسبي!$C$2:$C$1800,الريسبي!$A$2:$A$1800,$A4,الريسبي!$B$2:$B$1800,BT$1)</f>
        <v>0</v>
      </c>
      <c r="BU4" s="115"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15" t="n">
        <f aca="false">SUMIFS(الريسبي!$C$2:$C$1800,الريسبي!$A$2:$A$1800,$A4,الريسبي!$B$2:$B$1800,BV$1)</f>
        <v>0</v>
      </c>
      <c r="BW4" s="115" t="n">
        <f aca="false">SUMIFS(الريسبي!$C$2:$C$1800,الريسبي!$A$2:$A$1800,$A4,الريسبي!$B$2:$B$1800,BW$1)</f>
        <v>0</v>
      </c>
      <c r="BX4" s="115" t="n">
        <f aca="false">SUMIFS(الريسبي!$C$2:$C$1800,الريسبي!$A$2:$A$1800,$A4,الريسبي!$B$2:$B$1800,BX$1)</f>
        <v>0</v>
      </c>
      <c r="BY4" s="115" t="n">
        <f aca="false">SUMIFS(الريسبي!$C$2:$C$1800,الريسبي!$A$2:$A$1800,$A4,الريسبي!$B$2:$B$1800,BY$1)</f>
        <v>0</v>
      </c>
      <c r="BZ4" s="115" t="n">
        <f aca="false">SUMIFS(الريسبي!$C$2:$C$1800,الريسبي!$A$2:$A$1800,$A4,الريسبي!$B$2:$B$1800,BZ$1)</f>
        <v>1</v>
      </c>
      <c r="CA4" s="115" t="n">
        <f aca="false">SUMIFS(الريسبي!$C$2:$C$1800,الريسبي!$A$2:$A$1800,$A4,الريسبي!$B$2:$B$1800,CA$1)</f>
        <v>1</v>
      </c>
      <c r="CB4" s="115" t="n">
        <f aca="false">SUMIFS(الريسبي!$C$2:$C$1800,الريسبي!$A$2:$A$1800,$A4,الريسبي!$B$2:$B$1800,CB$1)</f>
        <v>0</v>
      </c>
      <c r="CC4" s="115" t="n">
        <f aca="false">SUMIFS(الريسبي!$C$2:$C$1800,الريسبي!$A$2:$A$1800,$A4,الريسبي!$B$2:$B$1800,CC$1)</f>
        <v>0</v>
      </c>
      <c r="CD4" s="115" t="n">
        <f aca="false">SUMIFS(الريسبي!$C$2:$C$1800,الريسبي!$A$2:$A$1800,$A4,الريسبي!$B$2:$B$1800,CD$1)</f>
        <v>0</v>
      </c>
      <c r="CE4" s="115" t="n">
        <f aca="false">SUMIFS(الريسبي!$C$2:$C$1800,الريسبي!$A$2:$A$1800,$A4,الريسبي!$B$2:$B$1800,CE$1)</f>
        <v>0</v>
      </c>
      <c r="CF4" s="115" t="n">
        <f aca="false">SUMIFS(الريسبي!$C$2:$C$1800,الريسبي!$A$2:$A$1800,$A4,الريسبي!$B$2:$B$1800,CF$1)</f>
        <v>0</v>
      </c>
      <c r="CG4" s="115" t="n">
        <f aca="false">SUMIFS(الريسبي!$C$2:$C$1800,الريسبي!$A$2:$A$1800,$A4,الريسبي!$B$2:$B$1800,CG$1)</f>
        <v>0</v>
      </c>
      <c r="CH4" s="115" t="n">
        <f aca="false">SUMIFS(الريسبي!$C$2:$C$1800,الريسبي!$A$2:$A$1800,$A4,الريسبي!$B$2:$B$1800,CH$1)</f>
        <v>0</v>
      </c>
    </row>
    <row r="5" customFormat="false" ht="15" hidden="false" customHeight="false" outlineLevel="0" collapsed="false">
      <c r="A5" s="114" t="str">
        <f aca="false">المنيو!B5</f>
        <v>بيتزا بسطرمة حجم اكبر</v>
      </c>
      <c r="B5" s="115" t="n">
        <f aca="false">SUMIFS(الريسبي!$C$2:$C$1800,الريسبي!$A$2:$A$1800,$A5,الريسبي!$B$2:$B$1800,B$1)</f>
        <v>0</v>
      </c>
      <c r="C5" s="115" t="n">
        <f aca="false">SUMIFS(الريسبي!$C$2:$C$1800,الريسبي!$A$2:$A$1800,$A5,الريسبي!$B$2:$B$1800,C$1)</f>
        <v>0</v>
      </c>
      <c r="D5" s="115" t="n">
        <f aca="false">SUMIFS(الريسبي!$C$2:$C$1800,الريسبي!$A$2:$A$1800,$A5,الريسبي!$B$2:$B$1800,D$1)</f>
        <v>1</v>
      </c>
      <c r="E5" s="115" t="n">
        <f aca="false">SUMIFS(الريسبي!$C$2:$C$1800,الريسبي!$A$2:$A$1800,$A5,الريسبي!$B$2:$B$1800,E$1)</f>
        <v>0</v>
      </c>
      <c r="F5" s="115" t="n">
        <f aca="false">SUMIFS(الريسبي!$C$2:$C$1800,الريسبي!$A$2:$A$1800,$A5,الريسبي!$B$2:$B$1800,F$1)</f>
        <v>0</v>
      </c>
      <c r="G5" s="115" t="n">
        <f aca="false">SUMIFS(الريسبي!$C$2:$C$1800,الريسبي!$A$2:$A$1800,$A5,الريسبي!$B$2:$B$1800,G$1)</f>
        <v>0</v>
      </c>
      <c r="H5" s="115" t="n">
        <f aca="false">SUMIFS(الريسبي!$C$2:$C$1800,الريسبي!$A$2:$A$1800,$A5,الريسبي!$B$2:$B$1800,H$1)</f>
        <v>1</v>
      </c>
      <c r="I5" s="115" t="n">
        <f aca="false">SUMIFS(الريسبي!$C$2:$C$1800,الريسبي!$A$2:$A$1800,$A5,الريسبي!$B$2:$B$1800,I$1)</f>
        <v>0</v>
      </c>
      <c r="J5" s="115" t="n">
        <f aca="false">SUMIFS(الريسبي!$C$2:$C$1800,الريسبي!$A$2:$A$1800,$A5,الريسبي!$B$2:$B$1800,J$1)</f>
        <v>0</v>
      </c>
      <c r="K5" s="115" t="n">
        <f aca="false">SUMIFS(الريسبي!$C$2:$C$1800,الريسبي!$A$2:$A$1800,$A5,الريسبي!$B$2:$B$1800,K$1)</f>
        <v>0</v>
      </c>
      <c r="L5" s="115" t="n">
        <f aca="false">SUMIFS(الريسبي!$C$2:$C$1800,الريسبي!$A$2:$A$1800,$A5,الريسبي!$B$2:$B$1800,L$1)</f>
        <v>0</v>
      </c>
      <c r="M5" s="115" t="n">
        <f aca="false">SUMIFS(الريسبي!$C$2:$C$1800,الريسبي!$A$2:$A$1800,$A5,الريسبي!$B$2:$B$1800,M$1)</f>
        <v>0</v>
      </c>
      <c r="N5" s="115" t="n">
        <f aca="false">SUMIFS(الريسبي!$C$2:$C$1800,الريسبي!$A$2:$A$1800,$A5,الريسبي!$B$2:$B$1800,N$1)</f>
        <v>0</v>
      </c>
      <c r="O5" s="115" t="n">
        <f aca="false">SUMIFS(الريسبي!$C$2:$C$1800,الريسبي!$A$2:$A$1800,$A5,الريسبي!$B$2:$B$1800,O$1)</f>
        <v>0</v>
      </c>
      <c r="P5" s="115" t="n">
        <f aca="false">SUMIFS(الريسبي!$C$2:$C$1800,الريسبي!$A$2:$A$1800,$A5,الريسبي!$B$2:$B$1800,P$1)</f>
        <v>0</v>
      </c>
      <c r="Q5" s="115" t="n">
        <f aca="false">SUMIFS(الريسبي!$C$2:$C$1800,الريسبي!$A$2:$A$1800,$A5,الريسبي!$B$2:$B$1800,Q$1)</f>
        <v>0</v>
      </c>
      <c r="R5" s="115" t="n">
        <f aca="false">SUMIFS(الريسبي!$C$2:$C$1800,الريسبي!$A$2:$A$1800,$A5,الريسبي!$B$2:$B$1800,R$1)</f>
        <v>0</v>
      </c>
      <c r="S5" s="115" t="n">
        <f aca="false">SUMIFS(الريسبي!$C$2:$C$1800,الريسبي!$A$2:$A$1800,$A5,الريسبي!$B$2:$B$1800,S$1)</f>
        <v>0</v>
      </c>
      <c r="T5" s="115" t="n">
        <f aca="false">SUMIFS(الريسبي!$C$2:$C$1800,الريسبي!$A$2:$A$1800,$A5,الريسبي!$B$2:$B$1800,T$1)</f>
        <v>0</v>
      </c>
      <c r="U5" s="115" t="n">
        <f aca="false">SUMIFS(الريسبي!$C$2:$C$1800,الريسبي!$A$2:$A$1800,$A5,الريسبي!$B$2:$B$1800,U$1)</f>
        <v>0</v>
      </c>
      <c r="V5" s="115" t="n">
        <f aca="false">SUMIFS(الريسبي!$C$2:$C$1800,الريسبي!$A$2:$A$1800,$A5,الريسبي!$B$2:$B$1800,V$1)</f>
        <v>0</v>
      </c>
      <c r="W5" s="115" t="n">
        <f aca="false">SUMIFS(الريسبي!$C$2:$C$1800,الريسبي!$A$2:$A$1800,$A5,الريسبي!$B$2:$B$1800,W$1)</f>
        <v>1</v>
      </c>
      <c r="X5" s="115" t="n">
        <f aca="false">SUMIFS(الريسبي!$C$2:$C$1800,الريسبي!$A$2:$A$1800,$A5,الريسبي!$B$2:$B$1800,X$1)</f>
        <v>0</v>
      </c>
      <c r="Y5" s="115" t="n">
        <f aca="false">SUMIFS(الريسبي!$C$2:$C$1800,الريسبي!$A$2:$A$1800,$A5,الريسبي!$B$2:$B$1800,Y$1)</f>
        <v>0</v>
      </c>
      <c r="Z5" s="115" t="n">
        <f aca="false">SUMIFS(الريسبي!$C$2:$C$1800,الريسبي!$A$2:$A$1800,$A5,الريسبي!$B$2:$B$1800,Z$1)</f>
        <v>0</v>
      </c>
      <c r="AA5" s="115" t="n">
        <f aca="false">SUMIFS(الريسبي!$C$2:$C$1800,الريسبي!$A$2:$A$1800,$A5,الريسبي!$B$2:$B$1800,AA$1)</f>
        <v>0</v>
      </c>
      <c r="AB5" s="115" t="n">
        <f aca="false">SUMIFS(الريسبي!$C$2:$C$1800,الريسبي!$A$2:$A$1800,$A5,الريسبي!$B$2:$B$1800,AB$1)</f>
        <v>0</v>
      </c>
      <c r="AC5" s="115" t="n">
        <f aca="false">SUMIFS(الريسبي!$C$2:$C$1800,الريسبي!$A$2:$A$1800,$A5,الريسبي!$B$2:$B$1800,AC$1)</f>
        <v>0</v>
      </c>
      <c r="AD5" s="115" t="n">
        <f aca="false">SUMIFS(الريسبي!$C$2:$C$1800,الريسبي!$A$2:$A$1800,$A5,الريسبي!$B$2:$B$1800,AD$1)</f>
        <v>0</v>
      </c>
      <c r="AE5" s="115" t="n">
        <f aca="false">SUMIFS(الريسبي!$C$2:$C$1800,الريسبي!$A$2:$A$1800,$A5,الريسبي!$B$2:$B$1800,AE$1)</f>
        <v>0</v>
      </c>
      <c r="AF5" s="115" t="n">
        <f aca="false">SUMIFS(الريسبي!$C$2:$C$1800,الريسبي!$A$2:$A$1800,$A5,الريسبي!$B$2:$B$1800,AF$1)</f>
        <v>0</v>
      </c>
      <c r="AG5" s="115" t="n">
        <f aca="false">SUMIFS(الريسبي!$C$2:$C$1800,الريسبي!$A$2:$A$1800,$A5,الريسبي!$B$2:$B$1800,AG$1)</f>
        <v>0</v>
      </c>
      <c r="AH5" s="115" t="n">
        <f aca="false">SUMIFS(الريسبي!$C$2:$C$1800,الريسبي!$A$2:$A$1800,$A5,الريسبي!$B$2:$B$1800,AH$1)</f>
        <v>0</v>
      </c>
      <c r="AI5" s="115" t="n">
        <f aca="false">SUMIFS(الريسبي!$C$2:$C$1800,الريسبي!$A$2:$A$1800,$A5,الريسبي!$B$2:$B$1800,AI$1)</f>
        <v>0</v>
      </c>
      <c r="AJ5" s="115" t="n">
        <f aca="false">SUMIFS(الريسبي!$C$2:$C$1800,الريسبي!$A$2:$A$1800,$A5,الريسبي!$B$2:$B$1800,AJ$1)</f>
        <v>2</v>
      </c>
      <c r="AK5" s="115" t="n">
        <f aca="false">SUMIFS(الريسبي!$C$2:$C$1800,الريسبي!$A$2:$A$1800,$A5,الريسبي!$B$2:$B$1800,AK$1)</f>
        <v>0</v>
      </c>
      <c r="AL5" s="115" t="n">
        <f aca="false">SUMIFS(الريسبي!$C$2:$C$1800,الريسبي!$A$2:$A$1800,$A5,الريسبي!$B$2:$B$1800,AL$1)</f>
        <v>0</v>
      </c>
      <c r="AM5" s="115"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15"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15" t="n">
        <f aca="false">SUMIFS(الريسبي!$C$2:$C$1800,الريسبي!$A$2:$A$1800,$A5,الريسبي!$B$2:$B$1800,AO$1)</f>
        <v>0</v>
      </c>
      <c r="AP5" s="115" t="n">
        <f aca="false">SUMIFS(الريسبي!$C$2:$C$1800,الريسبي!$A$2:$A$1800,$A5,الريسبي!$B$2:$B$1800,AP$1)</f>
        <v>0.03</v>
      </c>
      <c r="AQ5" s="115"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15" t="n">
        <f aca="false">SUMIFS(الريسبي!$C$2:$C$1800,الريسبي!$A$2:$A$1800,$A5,الريسبي!$B$2:$B$1800,AR$1)</f>
        <v>0</v>
      </c>
      <c r="AS5" s="115" t="n">
        <f aca="false">SUMIFS(الريسبي!$C$2:$C$1800,الريسبي!$A$2:$A$1800,$A5,الريسبي!$B$2:$B$1800,AS$1)</f>
        <v>0</v>
      </c>
      <c r="AT5" s="115" t="n">
        <f aca="false">SUMIFS(الريسبي!$C$2:$C$1800,الريسبي!$A$2:$A$1800,$A5,الريسبي!$B$2:$B$1800,AT$1)</f>
        <v>0</v>
      </c>
      <c r="AU5" s="115" t="n">
        <f aca="false">SUMIFS(الريسبي!$C$2:$C$1800,الريسبي!$A$2:$A$1800,$A5,الريسبي!$B$2:$B$1800,AU$1)</f>
        <v>0</v>
      </c>
      <c r="AV5" s="115" t="n">
        <f aca="false">SUMIFS(الريسبي!$C$2:$C$1800,الريسبي!$A$2:$A$1800,$A5,الريسبي!$B$2:$B$1800,AV$1)</f>
        <v>0</v>
      </c>
      <c r="AW5" s="115" t="n">
        <f aca="false">SUMIFS(الريسبي!$C$2:$C$1800,الريسبي!$A$2:$A$1800,$A5,الريسبي!$B$2:$B$1800,AW$1)</f>
        <v>0</v>
      </c>
      <c r="AX5" s="115" t="n">
        <f aca="false">SUMIFS(الريسبي!$C$2:$C$1800,الريسبي!$A$2:$A$1800,$A5,الريسبي!$B$2:$B$1800,AX$1)</f>
        <v>0.06</v>
      </c>
      <c r="AY5" s="115" t="n">
        <f aca="false">SUMIFS(الريسبي!$C$2:$C$1800,الريسبي!$A$2:$A$1800,$A5,الريسبي!$B$2:$B$1800,AY$1)</f>
        <v>0</v>
      </c>
      <c r="AZ5" s="115" t="n">
        <f aca="false">SUMIFS(الريسبي!$C$2:$C$1800,الريسبي!$A$2:$A$1800,$A5,الريسبي!$B$2:$B$1800,AZ$1)</f>
        <v>0</v>
      </c>
      <c r="BA5" s="115" t="n">
        <f aca="false">SUMIFS(الريسبي!$C$2:$C$1800,الريسبي!$A$2:$A$1800,$A5,الريسبي!$B$2:$B$1800,BA$1)</f>
        <v>0</v>
      </c>
      <c r="BB5" s="115" t="n">
        <f aca="false">SUMIFS(الريسبي!$C$2:$C$1800,الريسبي!$A$2:$A$1800,$A5,الريسبي!$B$2:$B$1800,BB$1)</f>
        <v>0</v>
      </c>
      <c r="BC5" s="115" t="n">
        <f aca="false">SUMIFS(الريسبي!$C$2:$C$1800,الريسبي!$A$2:$A$1800,$A5,الريسبي!$B$2:$B$1800,BC$1)</f>
        <v>0.045</v>
      </c>
      <c r="BD5" s="115" t="n">
        <f aca="false">SUMIFS(الريسبي!$C$2:$C$1800,الريسبي!$A$2:$A$1800,$A5,الريسبي!$B$2:$B$1800,BD$1)</f>
        <v>0.3</v>
      </c>
      <c r="BE5" s="115" t="n">
        <f aca="false">SUMIFS(الريسبي!$C$2:$C$1800,الريسبي!$A$2:$A$1800,$A5,الريسبي!$B$2:$B$1800,BE$1)</f>
        <v>0</v>
      </c>
      <c r="BF5" s="115" t="n">
        <f aca="false">SUMIFS(الريسبي!$C$2:$C$1800,الريسبي!$A$2:$A$1800,$A5,الريسبي!$B$2:$B$1800,BF$1)</f>
        <v>0</v>
      </c>
      <c r="BG5" s="115" t="n">
        <f aca="false">SUMIFS(الريسبي!$C$2:$C$1800,الريسبي!$A$2:$A$1800,$A5,الريسبي!$B$2:$B$1800,BG$1)</f>
        <v>1</v>
      </c>
      <c r="BH5" s="115" t="n">
        <f aca="false">SUMIFS(الريسبي!$C$2:$C$1800,الريسبي!$A$2:$A$1800,$A5,الريسبي!$B$2:$B$1800,BH$1)</f>
        <v>0</v>
      </c>
      <c r="BI5" s="115" t="n">
        <f aca="false">SUMIFS(الريسبي!$C$2:$C$1800,الريسبي!$A$2:$A$1800,$A5,الريسبي!$B$2:$B$1800,BI$1)</f>
        <v>0</v>
      </c>
      <c r="BJ5" s="115" t="n">
        <f aca="false">SUMIFS(الريسبي!$C$2:$C$1800,الريسبي!$A$2:$A$1800,$A5,الريسبي!$B$2:$B$1800,BJ$1)</f>
        <v>0</v>
      </c>
      <c r="BK5" s="115" t="n">
        <f aca="false">SUMIFS(الريسبي!$C$2:$C$1800,الريسبي!$A$2:$A$1800,$A5,الريسبي!$B$2:$B$1800,BK$1)</f>
        <v>0</v>
      </c>
      <c r="BL5" s="115" t="n">
        <f aca="false">SUMIFS(الريسبي!$C$2:$C$1800,الريسبي!$A$2:$A$1800,$A5,الريسبي!$B$2:$B$1800,BL$1)</f>
        <v>0</v>
      </c>
      <c r="BM5" s="115" t="n">
        <f aca="false">SUMIFS(الريسبي!$C$2:$C$1800,الريسبي!$A$2:$A$1800,$A5,الريسبي!$B$2:$B$1800,BM$1)</f>
        <v>0</v>
      </c>
      <c r="BN5" s="115" t="n">
        <f aca="false">SUMIFS(الريسبي!$C$2:$C$1800,الريسبي!$A$2:$A$1800,$A5,الريسبي!$B$2:$B$1800,BN$1)</f>
        <v>0.03</v>
      </c>
      <c r="BO5" s="115" t="n">
        <f aca="false">SUMIFS(الريسبي!$C$2:$C$1800,الريسبي!$A$2:$A$1800,$A5,الريسبي!$B$2:$B$1800,BO$1)</f>
        <v>0</v>
      </c>
      <c r="BP5" s="115" t="n">
        <f aca="false">SUMIFS(الريسبي!$C$2:$C$1800,الريسبي!$A$2:$A$1800,$A5,الريسبي!$B$2:$B$1800,BP$1)</f>
        <v>3</v>
      </c>
      <c r="BQ5" s="115"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15" t="n">
        <f aca="false">SUMIFS(الريسبي!$C$2:$C$1800,الريسبي!$A$2:$A$1800,$A5,الريسبي!$B$2:$B$1800,BR$1)</f>
        <v>1</v>
      </c>
      <c r="BS5" s="115" t="n">
        <f aca="false">SUMIFS(الريسبي!$C$2:$C$1800,الريسبي!$A$2:$A$1800,$A5,الريسبي!$B$2:$B$1800,BS$1)</f>
        <v>0</v>
      </c>
      <c r="BT5" s="115" t="n">
        <f aca="false">SUMIFS(الريسبي!$C$2:$C$1800,الريسبي!$A$2:$A$1800,$A5,الريسبي!$B$2:$B$1800,BT$1)</f>
        <v>0</v>
      </c>
      <c r="BU5" s="115"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15" t="n">
        <f aca="false">SUMIFS(الريسبي!$C$2:$C$1800,الريسبي!$A$2:$A$1800,$A5,الريسبي!$B$2:$B$1800,BV$1)</f>
        <v>0</v>
      </c>
      <c r="BW5" s="115" t="n">
        <f aca="false">SUMIFS(الريسبي!$C$2:$C$1800,الريسبي!$A$2:$A$1800,$A5,الريسبي!$B$2:$B$1800,BW$1)</f>
        <v>0</v>
      </c>
      <c r="BX5" s="115" t="n">
        <f aca="false">SUMIFS(الريسبي!$C$2:$C$1800,الريسبي!$A$2:$A$1800,$A5,الريسبي!$B$2:$B$1800,BX$1)</f>
        <v>0</v>
      </c>
      <c r="BY5" s="115" t="n">
        <f aca="false">SUMIFS(الريسبي!$C$2:$C$1800,الريسبي!$A$2:$A$1800,$A5,الريسبي!$B$2:$B$1800,BY$1)</f>
        <v>0</v>
      </c>
      <c r="BZ5" s="115" t="n">
        <f aca="false">SUMIFS(الريسبي!$C$2:$C$1800,الريسبي!$A$2:$A$1800,$A5,الريسبي!$B$2:$B$1800,BZ$1)</f>
        <v>1</v>
      </c>
      <c r="CA5" s="115" t="n">
        <f aca="false">SUMIFS(الريسبي!$C$2:$C$1800,الريسبي!$A$2:$A$1800,$A5,الريسبي!$B$2:$B$1800,CA$1)</f>
        <v>1</v>
      </c>
      <c r="CB5" s="115" t="n">
        <f aca="false">SUMIFS(الريسبي!$C$2:$C$1800,الريسبي!$A$2:$A$1800,$A5,الريسبي!$B$2:$B$1800,CB$1)</f>
        <v>0</v>
      </c>
      <c r="CC5" s="115" t="n">
        <f aca="false">SUMIFS(الريسبي!$C$2:$C$1800,الريسبي!$A$2:$A$1800,$A5,الريسبي!$B$2:$B$1800,CC$1)</f>
        <v>0</v>
      </c>
      <c r="CD5" s="115" t="n">
        <f aca="false">SUMIFS(الريسبي!$C$2:$C$1800,الريسبي!$A$2:$A$1800,$A5,الريسبي!$B$2:$B$1800,CD$1)</f>
        <v>0</v>
      </c>
      <c r="CE5" s="115" t="n">
        <f aca="false">SUMIFS(الريسبي!$C$2:$C$1800,الريسبي!$A$2:$A$1800,$A5,الريسبي!$B$2:$B$1800,CE$1)</f>
        <v>0</v>
      </c>
      <c r="CF5" s="115" t="n">
        <f aca="false">SUMIFS(الريسبي!$C$2:$C$1800,الريسبي!$A$2:$A$1800,$A5,الريسبي!$B$2:$B$1800,CF$1)</f>
        <v>0</v>
      </c>
      <c r="CG5" s="115" t="n">
        <f aca="false">SUMIFS(الريسبي!$C$2:$C$1800,الريسبي!$A$2:$A$1800,$A5,الريسبي!$B$2:$B$1800,CG$1)</f>
        <v>0</v>
      </c>
      <c r="CH5" s="115" t="n">
        <f aca="false">SUMIFS(الريسبي!$C$2:$C$1800,الريسبي!$A$2:$A$1800,$A5,الريسبي!$B$2:$B$1800,CH$1)</f>
        <v>0</v>
      </c>
    </row>
    <row r="6" customFormat="false" ht="15" hidden="false" customHeight="false" outlineLevel="0" collapsed="false">
      <c r="A6" s="114" t="str">
        <f aca="false">المنيو!B6</f>
        <v>بيتزا سدق وسط</v>
      </c>
      <c r="B6" s="115" t="n">
        <f aca="false">SUMIFS(الريسبي!$C$2:$C$1800,الريسبي!$A$2:$A$1800,$A6,الريسبي!$B$2:$B$1800,B$1)</f>
        <v>0</v>
      </c>
      <c r="C6" s="115" t="n">
        <f aca="false">SUMIFS(الريسبي!$C$2:$C$1800,الريسبي!$A$2:$A$1800,$A6,الريسبي!$B$2:$B$1800,C$1)</f>
        <v>0</v>
      </c>
      <c r="D6" s="115" t="n">
        <f aca="false">SUMIFS(الريسبي!$C$2:$C$1800,الريسبي!$A$2:$A$1800,$A6,الريسبي!$B$2:$B$1800,D$1)</f>
        <v>1</v>
      </c>
      <c r="E6" s="115" t="n">
        <f aca="false">SUMIFS(الريسبي!$C$2:$C$1800,الريسبي!$A$2:$A$1800,$A6,الريسبي!$B$2:$B$1800,E$1)</f>
        <v>0</v>
      </c>
      <c r="F6" s="115" t="n">
        <f aca="false">SUMIFS(الريسبي!$C$2:$C$1800,الريسبي!$A$2:$A$1800,$A6,الريسبي!$B$2:$B$1800,F$1)</f>
        <v>0</v>
      </c>
      <c r="G6" s="115" t="n">
        <f aca="false">SUMIFS(الريسبي!$C$2:$C$1800,الريسبي!$A$2:$A$1800,$A6,الريسبي!$B$2:$B$1800,G$1)</f>
        <v>0</v>
      </c>
      <c r="H6" s="115" t="n">
        <f aca="false">SUMIFS(الريسبي!$C$2:$C$1800,الريسبي!$A$2:$A$1800,$A6,الريسبي!$B$2:$B$1800,H$1)</f>
        <v>0</v>
      </c>
      <c r="I6" s="115" t="n">
        <f aca="false">SUMIFS(الريسبي!$C$2:$C$1800,الريسبي!$A$2:$A$1800,$A6,الريسبي!$B$2:$B$1800,I$1)</f>
        <v>0</v>
      </c>
      <c r="J6" s="115" t="n">
        <f aca="false">SUMIFS(الريسبي!$C$2:$C$1800,الريسبي!$A$2:$A$1800,$A6,الريسبي!$B$2:$B$1800,J$1)</f>
        <v>0</v>
      </c>
      <c r="K6" s="115" t="n">
        <f aca="false">SUMIFS(الريسبي!$C$2:$C$1800,الريسبي!$A$2:$A$1800,$A6,الريسبي!$B$2:$B$1800,K$1)</f>
        <v>0</v>
      </c>
      <c r="L6" s="115" t="n">
        <f aca="false">SUMIFS(الريسبي!$C$2:$C$1800,الريسبي!$A$2:$A$1800,$A6,الريسبي!$B$2:$B$1800,L$1)</f>
        <v>1</v>
      </c>
      <c r="M6" s="115" t="n">
        <f aca="false">SUMIFS(الريسبي!$C$2:$C$1800,الريسبي!$A$2:$A$1800,$A6,الريسبي!$B$2:$B$1800,M$1)</f>
        <v>0</v>
      </c>
      <c r="N6" s="115" t="n">
        <f aca="false">SUMIFS(الريسبي!$C$2:$C$1800,الريسبي!$A$2:$A$1800,$A6,الريسبي!$B$2:$B$1800,N$1)</f>
        <v>0</v>
      </c>
      <c r="O6" s="115" t="n">
        <f aca="false">SUMIFS(الريسبي!$C$2:$C$1800,الريسبي!$A$2:$A$1800,$A6,الريسبي!$B$2:$B$1800,O$1)</f>
        <v>0</v>
      </c>
      <c r="P6" s="115" t="n">
        <f aca="false">SUMIFS(الريسبي!$C$2:$C$1800,الريسبي!$A$2:$A$1800,$A6,الريسبي!$B$2:$B$1800,P$1)</f>
        <v>0</v>
      </c>
      <c r="Q6" s="115" t="n">
        <f aca="false">SUMIFS(الريسبي!$C$2:$C$1800,الريسبي!$A$2:$A$1800,$A6,الريسبي!$B$2:$B$1800,Q$1)</f>
        <v>0</v>
      </c>
      <c r="R6" s="115" t="n">
        <f aca="false">SUMIFS(الريسبي!$C$2:$C$1800,الريسبي!$A$2:$A$1800,$A6,الريسبي!$B$2:$B$1800,R$1)</f>
        <v>0</v>
      </c>
      <c r="S6" s="115" t="n">
        <f aca="false">SUMIFS(الريسبي!$C$2:$C$1800,الريسبي!$A$2:$A$1800,$A6,الريسبي!$B$2:$B$1800,S$1)</f>
        <v>0</v>
      </c>
      <c r="T6" s="115" t="n">
        <f aca="false">SUMIFS(الريسبي!$C$2:$C$1800,الريسبي!$A$2:$A$1800,$A6,الريسبي!$B$2:$B$1800,T$1)</f>
        <v>0</v>
      </c>
      <c r="U6" s="115" t="n">
        <f aca="false">SUMIFS(الريسبي!$C$2:$C$1800,الريسبي!$A$2:$A$1800,$A6,الريسبي!$B$2:$B$1800,U$1)</f>
        <v>0</v>
      </c>
      <c r="V6" s="115" t="n">
        <f aca="false">SUMIFS(الريسبي!$C$2:$C$1800,الريسبي!$A$2:$A$1800,$A6,الريسبي!$B$2:$B$1800,V$1)</f>
        <v>1</v>
      </c>
      <c r="W6" s="115" t="n">
        <f aca="false">SUMIFS(الريسبي!$C$2:$C$1800,الريسبي!$A$2:$A$1800,$A6,الريسبي!$B$2:$B$1800,W$1)</f>
        <v>0</v>
      </c>
      <c r="X6" s="115" t="n">
        <f aca="false">SUMIFS(الريسبي!$C$2:$C$1800,الريسبي!$A$2:$A$1800,$A6,الريسبي!$B$2:$B$1800,X$1)</f>
        <v>0</v>
      </c>
      <c r="Y6" s="115" t="n">
        <f aca="false">SUMIFS(الريسبي!$C$2:$C$1800,الريسبي!$A$2:$A$1800,$A6,الريسبي!$B$2:$B$1800,Y$1)</f>
        <v>0</v>
      </c>
      <c r="Z6" s="115" t="n">
        <f aca="false">SUMIFS(الريسبي!$C$2:$C$1800,الريسبي!$A$2:$A$1800,$A6,الريسبي!$B$2:$B$1800,Z$1)</f>
        <v>0</v>
      </c>
      <c r="AA6" s="115" t="n">
        <f aca="false">SUMIFS(الريسبي!$C$2:$C$1800,الريسبي!$A$2:$A$1800,$A6,الريسبي!$B$2:$B$1800,AA$1)</f>
        <v>0</v>
      </c>
      <c r="AB6" s="115" t="n">
        <f aca="false">SUMIFS(الريسبي!$C$2:$C$1800,الريسبي!$A$2:$A$1800,$A6,الريسبي!$B$2:$B$1800,AB$1)</f>
        <v>0</v>
      </c>
      <c r="AC6" s="115" t="n">
        <f aca="false">SUMIFS(الريسبي!$C$2:$C$1800,الريسبي!$A$2:$A$1800,$A6,الريسبي!$B$2:$B$1800,AC$1)</f>
        <v>0</v>
      </c>
      <c r="AD6" s="115" t="n">
        <f aca="false">SUMIFS(الريسبي!$C$2:$C$1800,الريسبي!$A$2:$A$1800,$A6,الريسبي!$B$2:$B$1800,AD$1)</f>
        <v>0</v>
      </c>
      <c r="AE6" s="115" t="n">
        <f aca="false">SUMIFS(الريسبي!$C$2:$C$1800,الريسبي!$A$2:$A$1800,$A6,الريسبي!$B$2:$B$1800,AE$1)</f>
        <v>0</v>
      </c>
      <c r="AF6" s="115" t="n">
        <f aca="false">SUMIFS(الريسبي!$C$2:$C$1800,الريسبي!$A$2:$A$1800,$A6,الريسبي!$B$2:$B$1800,AF$1)</f>
        <v>0</v>
      </c>
      <c r="AG6" s="115" t="n">
        <f aca="false">SUMIFS(الريسبي!$C$2:$C$1800,الريسبي!$A$2:$A$1800,$A6,الريسبي!$B$2:$B$1800,AG$1)</f>
        <v>0</v>
      </c>
      <c r="AH6" s="115" t="n">
        <f aca="false">SUMIFS(الريسبي!$C$2:$C$1800,الريسبي!$A$2:$A$1800,$A6,الريسبي!$B$2:$B$1800,AH$1)</f>
        <v>0</v>
      </c>
      <c r="AI6" s="115" t="n">
        <f aca="false">SUMIFS(الريسبي!$C$2:$C$1800,الريسبي!$A$2:$A$1800,$A6,الريسبي!$B$2:$B$1800,AI$1)</f>
        <v>0</v>
      </c>
      <c r="AJ6" s="115" t="n">
        <f aca="false">SUMIFS(الريسبي!$C$2:$C$1800,الريسبي!$A$2:$A$1800,$A6,الريسبي!$B$2:$B$1800,AJ$1)</f>
        <v>2</v>
      </c>
      <c r="AK6" s="115" t="n">
        <f aca="false">SUMIFS(الريسبي!$C$2:$C$1800,الريسبي!$A$2:$A$1800,$A6,الريسبي!$B$2:$B$1800,AK$1)</f>
        <v>0</v>
      </c>
      <c r="AL6" s="115" t="n">
        <f aca="false">SUMIFS(الريسبي!$C$2:$C$1800,الريسبي!$A$2:$A$1800,$A6,الريسبي!$B$2:$B$1800,AL$1)</f>
        <v>0</v>
      </c>
      <c r="AM6" s="115"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15"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15" t="n">
        <f aca="false">SUMIFS(الريسبي!$C$2:$C$1800,الريسبي!$A$2:$A$1800,$A6,الريسبي!$B$2:$B$1800,AO$1)</f>
        <v>0</v>
      </c>
      <c r="AP6" s="115" t="n">
        <f aca="false">SUMIFS(الريسبي!$C$2:$C$1800,الريسبي!$A$2:$A$1800,$A6,الريسبي!$B$2:$B$1800,AP$1)</f>
        <v>0.02</v>
      </c>
      <c r="AQ6" s="115"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15" t="n">
        <f aca="false">SUMIFS(الريسبي!$C$2:$C$1800,الريسبي!$A$2:$A$1800,$A6,الريسبي!$B$2:$B$1800,AR$1)</f>
        <v>0</v>
      </c>
      <c r="AS6" s="115" t="n">
        <f aca="false">SUMIFS(الريسبي!$C$2:$C$1800,الريسبي!$A$2:$A$1800,$A6,الريسبي!$B$2:$B$1800,AS$1)</f>
        <v>0</v>
      </c>
      <c r="AT6" s="115" t="n">
        <f aca="false">SUMIFS(الريسبي!$C$2:$C$1800,الريسبي!$A$2:$A$1800,$A6,الريسبي!$B$2:$B$1800,AT$1)</f>
        <v>0</v>
      </c>
      <c r="AU6" s="115" t="n">
        <f aca="false">SUMIFS(الريسبي!$C$2:$C$1800,الريسبي!$A$2:$A$1800,$A6,الريسبي!$B$2:$B$1800,AU$1)</f>
        <v>0</v>
      </c>
      <c r="AV6" s="115" t="n">
        <f aca="false">SUMIFS(الريسبي!$C$2:$C$1800,الريسبي!$A$2:$A$1800,$A6,الريسبي!$B$2:$B$1800,AV$1)</f>
        <v>0</v>
      </c>
      <c r="AW6" s="115" t="n">
        <f aca="false">SUMIFS(الريسبي!$C$2:$C$1800,الريسبي!$A$2:$A$1800,$A6,الريسبي!$B$2:$B$1800,AW$1)</f>
        <v>0</v>
      </c>
      <c r="AX6" s="115" t="n">
        <f aca="false">SUMIFS(الريسبي!$C$2:$C$1800,الريسبي!$A$2:$A$1800,$A6,الريسبي!$B$2:$B$1800,AX$1)</f>
        <v>0.04</v>
      </c>
      <c r="AY6" s="115" t="n">
        <f aca="false">SUMIFS(الريسبي!$C$2:$C$1800,الريسبي!$A$2:$A$1800,$A6,الريسبي!$B$2:$B$1800,AY$1)</f>
        <v>0</v>
      </c>
      <c r="AZ6" s="115" t="n">
        <f aca="false">SUMIFS(الريسبي!$C$2:$C$1800,الريسبي!$A$2:$A$1800,$A6,الريسبي!$B$2:$B$1800,AZ$1)</f>
        <v>0</v>
      </c>
      <c r="BA6" s="115" t="n">
        <f aca="false">SUMIFS(الريسبي!$C$2:$C$1800,الريسبي!$A$2:$A$1800,$A6,الريسبي!$B$2:$B$1800,BA$1)</f>
        <v>0</v>
      </c>
      <c r="BB6" s="115" t="n">
        <f aca="false">SUMIFS(الريسبي!$C$2:$C$1800,الريسبي!$A$2:$A$1800,$A6,الريسبي!$B$2:$B$1800,BB$1)</f>
        <v>0</v>
      </c>
      <c r="BC6" s="115" t="n">
        <f aca="false">SUMIFS(الريسبي!$C$2:$C$1800,الريسبي!$A$2:$A$1800,$A6,الريسبي!$B$2:$B$1800,BC$1)</f>
        <v>0.03</v>
      </c>
      <c r="BD6" s="115" t="n">
        <f aca="false">SUMIFS(الريسبي!$C$2:$C$1800,الريسبي!$A$2:$A$1800,$A6,الريسبي!$B$2:$B$1800,BD$1)</f>
        <v>0.22</v>
      </c>
      <c r="BE6" s="115" t="n">
        <f aca="false">SUMIFS(الريسبي!$C$2:$C$1800,الريسبي!$A$2:$A$1800,$A6,الريسبي!$B$2:$B$1800,BE$1)</f>
        <v>0</v>
      </c>
      <c r="BF6" s="115" t="n">
        <f aca="false">SUMIFS(الريسبي!$C$2:$C$1800,الريسبي!$A$2:$A$1800,$A6,الريسبي!$B$2:$B$1800,BF$1)</f>
        <v>0</v>
      </c>
      <c r="BG6" s="115" t="n">
        <f aca="false">SUMIFS(الريسبي!$C$2:$C$1800,الريسبي!$A$2:$A$1800,$A6,الريسبي!$B$2:$B$1800,BG$1)</f>
        <v>0</v>
      </c>
      <c r="BH6" s="115" t="n">
        <f aca="false">SUMIFS(الريسبي!$C$2:$C$1800,الريسبي!$A$2:$A$1800,$A6,الريسبي!$B$2:$B$1800,BH$1)</f>
        <v>1</v>
      </c>
      <c r="BI6" s="115" t="n">
        <f aca="false">SUMIFS(الريسبي!$C$2:$C$1800,الريسبي!$A$2:$A$1800,$A6,الريسبي!$B$2:$B$1800,BI$1)</f>
        <v>0</v>
      </c>
      <c r="BJ6" s="115" t="n">
        <f aca="false">SUMIFS(الريسبي!$C$2:$C$1800,الريسبي!$A$2:$A$1800,$A6,الريسبي!$B$2:$B$1800,BJ$1)</f>
        <v>0</v>
      </c>
      <c r="BK6" s="115" t="n">
        <f aca="false">SUMIFS(الريسبي!$C$2:$C$1800,الريسبي!$A$2:$A$1800,$A6,الريسبي!$B$2:$B$1800,BK$1)</f>
        <v>0</v>
      </c>
      <c r="BL6" s="115" t="n">
        <f aca="false">SUMIFS(الريسبي!$C$2:$C$1800,الريسبي!$A$2:$A$1800,$A6,الريسبي!$B$2:$B$1800,BL$1)</f>
        <v>0</v>
      </c>
      <c r="BM6" s="115" t="n">
        <f aca="false">SUMIFS(الريسبي!$C$2:$C$1800,الريسبي!$A$2:$A$1800,$A6,الريسبي!$B$2:$B$1800,BM$1)</f>
        <v>0</v>
      </c>
      <c r="BN6" s="115" t="n">
        <f aca="false">SUMIFS(الريسبي!$C$2:$C$1800,الريسبي!$A$2:$A$1800,$A6,الريسبي!$B$2:$B$1800,BN$1)</f>
        <v>0.02</v>
      </c>
      <c r="BO6" s="115" t="n">
        <f aca="false">SUMIFS(الريسبي!$C$2:$C$1800,الريسبي!$A$2:$A$1800,$A6,الريسبي!$B$2:$B$1800,BO$1)</f>
        <v>0</v>
      </c>
      <c r="BP6" s="115" t="n">
        <f aca="false">SUMIFS(الريسبي!$C$2:$C$1800,الريسبي!$A$2:$A$1800,$A6,الريسبي!$B$2:$B$1800,BP$1)</f>
        <v>2</v>
      </c>
      <c r="BQ6" s="115"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15" t="n">
        <f aca="false">SUMIFS(الريسبي!$C$2:$C$1800,الريسبي!$A$2:$A$1800,$A6,الريسبي!$B$2:$B$1800,BR$1)</f>
        <v>1</v>
      </c>
      <c r="BS6" s="115" t="n">
        <f aca="false">SUMIFS(الريسبي!$C$2:$C$1800,الريسبي!$A$2:$A$1800,$A6,الريسبي!$B$2:$B$1800,BS$1)</f>
        <v>0</v>
      </c>
      <c r="BT6" s="115" t="n">
        <f aca="false">SUMIFS(الريسبي!$C$2:$C$1800,الريسبي!$A$2:$A$1800,$A6,الريسبي!$B$2:$B$1800,BT$1)</f>
        <v>0</v>
      </c>
      <c r="BU6" s="115"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15" t="n">
        <f aca="false">SUMIFS(الريسبي!$C$2:$C$1800,الريسبي!$A$2:$A$1800,$A6,الريسبي!$B$2:$B$1800,BV$1)</f>
        <v>0</v>
      </c>
      <c r="BW6" s="115" t="n">
        <f aca="false">SUMIFS(الريسبي!$C$2:$C$1800,الريسبي!$A$2:$A$1800,$A6,الريسبي!$B$2:$B$1800,BW$1)</f>
        <v>0</v>
      </c>
      <c r="BX6" s="115" t="n">
        <f aca="false">SUMIFS(الريسبي!$C$2:$C$1800,الريسبي!$A$2:$A$1800,$A6,الريسبي!$B$2:$B$1800,BX$1)</f>
        <v>0</v>
      </c>
      <c r="BY6" s="115" t="n">
        <f aca="false">SUMIFS(الريسبي!$C$2:$C$1800,الريسبي!$A$2:$A$1800,$A6,الريسبي!$B$2:$B$1800,BY$1)</f>
        <v>0</v>
      </c>
      <c r="BZ6" s="115" t="n">
        <f aca="false">SUMIFS(الريسبي!$C$2:$C$1800,الريسبي!$A$2:$A$1800,$A6,الريسبي!$B$2:$B$1800,BZ$1)</f>
        <v>1</v>
      </c>
      <c r="CA6" s="115" t="n">
        <f aca="false">SUMIFS(الريسبي!$C$2:$C$1800,الريسبي!$A$2:$A$1800,$A6,الريسبي!$B$2:$B$1800,CA$1)</f>
        <v>1</v>
      </c>
      <c r="CB6" s="115" t="n">
        <f aca="false">SUMIFS(الريسبي!$C$2:$C$1800,الريسبي!$A$2:$A$1800,$A6,الريسبي!$B$2:$B$1800,CB$1)</f>
        <v>0</v>
      </c>
      <c r="CC6" s="115" t="n">
        <f aca="false">SUMIFS(الريسبي!$C$2:$C$1800,الريسبي!$A$2:$A$1800,$A6,الريسبي!$B$2:$B$1800,CC$1)</f>
        <v>0</v>
      </c>
      <c r="CD6" s="115" t="n">
        <f aca="false">SUMIFS(الريسبي!$C$2:$C$1800,الريسبي!$A$2:$A$1800,$A6,الريسبي!$B$2:$B$1800,CD$1)</f>
        <v>0</v>
      </c>
      <c r="CE6" s="115" t="n">
        <f aca="false">SUMIFS(الريسبي!$C$2:$C$1800,الريسبي!$A$2:$A$1800,$A6,الريسبي!$B$2:$B$1800,CE$1)</f>
        <v>0</v>
      </c>
      <c r="CF6" s="115" t="n">
        <f aca="false">SUMIFS(الريسبي!$C$2:$C$1800,الريسبي!$A$2:$A$1800,$A6,الريسبي!$B$2:$B$1800,CF$1)</f>
        <v>0</v>
      </c>
      <c r="CG6" s="115" t="n">
        <f aca="false">SUMIFS(الريسبي!$C$2:$C$1800,الريسبي!$A$2:$A$1800,$A6,الريسبي!$B$2:$B$1800,CG$1)</f>
        <v>0</v>
      </c>
      <c r="CH6" s="115" t="n">
        <f aca="false">SUMIFS(الريسبي!$C$2:$C$1800,الريسبي!$A$2:$A$1800,$A6,الريسبي!$B$2:$B$1800,CH$1)</f>
        <v>0</v>
      </c>
    </row>
    <row r="7" customFormat="false" ht="15" hidden="false" customHeight="false" outlineLevel="0" collapsed="false">
      <c r="A7" s="114" t="str">
        <f aca="false">المنيو!B7</f>
        <v>بيتزا سدق حجم اكبر</v>
      </c>
      <c r="B7" s="115" t="n">
        <f aca="false">SUMIFS(الريسبي!$C$2:$C$1800,الريسبي!$A$2:$A$1800,$A7,الريسبي!$B$2:$B$1800,B$1)</f>
        <v>0</v>
      </c>
      <c r="C7" s="115" t="n">
        <f aca="false">SUMIFS(الريسبي!$C$2:$C$1800,الريسبي!$A$2:$A$1800,$A7,الريسبي!$B$2:$B$1800,C$1)</f>
        <v>0</v>
      </c>
      <c r="D7" s="115" t="n">
        <f aca="false">SUMIFS(الريسبي!$C$2:$C$1800,الريسبي!$A$2:$A$1800,$A7,الريسبي!$B$2:$B$1800,D$1)</f>
        <v>1</v>
      </c>
      <c r="E7" s="115" t="n">
        <f aca="false">SUMIFS(الريسبي!$C$2:$C$1800,الريسبي!$A$2:$A$1800,$A7,الريسبي!$B$2:$B$1800,E$1)</f>
        <v>0</v>
      </c>
      <c r="F7" s="115" t="n">
        <f aca="false">SUMIFS(الريسبي!$C$2:$C$1800,الريسبي!$A$2:$A$1800,$A7,الريسبي!$B$2:$B$1800,F$1)</f>
        <v>0</v>
      </c>
      <c r="G7" s="115" t="n">
        <f aca="false">SUMIFS(الريسبي!$C$2:$C$1800,الريسبي!$A$2:$A$1800,$A7,الريسبي!$B$2:$B$1800,G$1)</f>
        <v>0</v>
      </c>
      <c r="H7" s="115" t="n">
        <f aca="false">SUMIFS(الريسبي!$C$2:$C$1800,الريسبي!$A$2:$A$1800,$A7,الريسبي!$B$2:$B$1800,H$1)</f>
        <v>0</v>
      </c>
      <c r="I7" s="115" t="n">
        <f aca="false">SUMIFS(الريسبي!$C$2:$C$1800,الريسبي!$A$2:$A$1800,$A7,الريسبي!$B$2:$B$1800,I$1)</f>
        <v>0</v>
      </c>
      <c r="J7" s="115" t="n">
        <f aca="false">SUMIFS(الريسبي!$C$2:$C$1800,الريسبي!$A$2:$A$1800,$A7,الريسبي!$B$2:$B$1800,J$1)</f>
        <v>0</v>
      </c>
      <c r="K7" s="115" t="n">
        <f aca="false">SUMIFS(الريسبي!$C$2:$C$1800,الريسبي!$A$2:$A$1800,$A7,الريسبي!$B$2:$B$1800,K$1)</f>
        <v>0</v>
      </c>
      <c r="L7" s="115" t="n">
        <f aca="false">SUMIFS(الريسبي!$C$2:$C$1800,الريسبي!$A$2:$A$1800,$A7,الريسبي!$B$2:$B$1800,L$1)</f>
        <v>0</v>
      </c>
      <c r="M7" s="115" t="n">
        <f aca="false">SUMIFS(الريسبي!$C$2:$C$1800,الريسبي!$A$2:$A$1800,$A7,الريسبي!$B$2:$B$1800,M$1)</f>
        <v>1</v>
      </c>
      <c r="N7" s="115" t="n">
        <f aca="false">SUMIFS(الريسبي!$C$2:$C$1800,الريسبي!$A$2:$A$1800,$A7,الريسبي!$B$2:$B$1800,N$1)</f>
        <v>0</v>
      </c>
      <c r="O7" s="115" t="n">
        <f aca="false">SUMIFS(الريسبي!$C$2:$C$1800,الريسبي!$A$2:$A$1800,$A7,الريسبي!$B$2:$B$1800,O$1)</f>
        <v>0</v>
      </c>
      <c r="P7" s="115" t="n">
        <f aca="false">SUMIFS(الريسبي!$C$2:$C$1800,الريسبي!$A$2:$A$1800,$A7,الريسبي!$B$2:$B$1800,P$1)</f>
        <v>0</v>
      </c>
      <c r="Q7" s="115" t="n">
        <f aca="false">SUMIFS(الريسبي!$C$2:$C$1800,الريسبي!$A$2:$A$1800,$A7,الريسبي!$B$2:$B$1800,Q$1)</f>
        <v>0</v>
      </c>
      <c r="R7" s="115" t="n">
        <f aca="false">SUMIFS(الريسبي!$C$2:$C$1800,الريسبي!$A$2:$A$1800,$A7,الريسبي!$B$2:$B$1800,R$1)</f>
        <v>0</v>
      </c>
      <c r="S7" s="115" t="n">
        <f aca="false">SUMIFS(الريسبي!$C$2:$C$1800,الريسبي!$A$2:$A$1800,$A7,الريسبي!$B$2:$B$1800,S$1)</f>
        <v>0</v>
      </c>
      <c r="T7" s="115" t="n">
        <f aca="false">SUMIFS(الريسبي!$C$2:$C$1800,الريسبي!$A$2:$A$1800,$A7,الريسبي!$B$2:$B$1800,T$1)</f>
        <v>0</v>
      </c>
      <c r="U7" s="115" t="n">
        <f aca="false">SUMIFS(الريسبي!$C$2:$C$1800,الريسبي!$A$2:$A$1800,$A7,الريسبي!$B$2:$B$1800,U$1)</f>
        <v>0</v>
      </c>
      <c r="V7" s="115" t="n">
        <f aca="false">SUMIFS(الريسبي!$C$2:$C$1800,الريسبي!$A$2:$A$1800,$A7,الريسبي!$B$2:$B$1800,V$1)</f>
        <v>0</v>
      </c>
      <c r="W7" s="115" t="n">
        <f aca="false">SUMIFS(الريسبي!$C$2:$C$1800,الريسبي!$A$2:$A$1800,$A7,الريسبي!$B$2:$B$1800,W$1)</f>
        <v>1</v>
      </c>
      <c r="X7" s="115" t="n">
        <f aca="false">SUMIFS(الريسبي!$C$2:$C$1800,الريسبي!$A$2:$A$1800,$A7,الريسبي!$B$2:$B$1800,X$1)</f>
        <v>0</v>
      </c>
      <c r="Y7" s="115" t="n">
        <f aca="false">SUMIFS(الريسبي!$C$2:$C$1800,الريسبي!$A$2:$A$1800,$A7,الريسبي!$B$2:$B$1800,Y$1)</f>
        <v>0</v>
      </c>
      <c r="Z7" s="115" t="n">
        <f aca="false">SUMIFS(الريسبي!$C$2:$C$1800,الريسبي!$A$2:$A$1800,$A7,الريسبي!$B$2:$B$1800,Z$1)</f>
        <v>0</v>
      </c>
      <c r="AA7" s="115" t="n">
        <f aca="false">SUMIFS(الريسبي!$C$2:$C$1800,الريسبي!$A$2:$A$1800,$A7,الريسبي!$B$2:$B$1800,AA$1)</f>
        <v>0</v>
      </c>
      <c r="AB7" s="115" t="n">
        <f aca="false">SUMIFS(الريسبي!$C$2:$C$1800,الريسبي!$A$2:$A$1800,$A7,الريسبي!$B$2:$B$1800,AB$1)</f>
        <v>0</v>
      </c>
      <c r="AC7" s="115" t="n">
        <f aca="false">SUMIFS(الريسبي!$C$2:$C$1800,الريسبي!$A$2:$A$1800,$A7,الريسبي!$B$2:$B$1800,AC$1)</f>
        <v>0</v>
      </c>
      <c r="AD7" s="115" t="n">
        <f aca="false">SUMIFS(الريسبي!$C$2:$C$1800,الريسبي!$A$2:$A$1800,$A7,الريسبي!$B$2:$B$1800,AD$1)</f>
        <v>0</v>
      </c>
      <c r="AE7" s="115" t="n">
        <f aca="false">SUMIFS(الريسبي!$C$2:$C$1800,الريسبي!$A$2:$A$1800,$A7,الريسبي!$B$2:$B$1800,AE$1)</f>
        <v>0</v>
      </c>
      <c r="AF7" s="115" t="n">
        <f aca="false">SUMIFS(الريسبي!$C$2:$C$1800,الريسبي!$A$2:$A$1800,$A7,الريسبي!$B$2:$B$1800,AF$1)</f>
        <v>0</v>
      </c>
      <c r="AG7" s="115" t="n">
        <f aca="false">SUMIFS(الريسبي!$C$2:$C$1800,الريسبي!$A$2:$A$1800,$A7,الريسبي!$B$2:$B$1800,AG$1)</f>
        <v>0</v>
      </c>
      <c r="AH7" s="115" t="n">
        <f aca="false">SUMIFS(الريسبي!$C$2:$C$1800,الريسبي!$A$2:$A$1800,$A7,الريسبي!$B$2:$B$1800,AH$1)</f>
        <v>0</v>
      </c>
      <c r="AI7" s="115" t="n">
        <f aca="false">SUMIFS(الريسبي!$C$2:$C$1800,الريسبي!$A$2:$A$1800,$A7,الريسبي!$B$2:$B$1800,AI$1)</f>
        <v>0</v>
      </c>
      <c r="AJ7" s="115" t="n">
        <f aca="false">SUMIFS(الريسبي!$C$2:$C$1800,الريسبي!$A$2:$A$1800,$A7,الريسبي!$B$2:$B$1800,AJ$1)</f>
        <v>2</v>
      </c>
      <c r="AK7" s="115" t="n">
        <f aca="false">SUMIFS(الريسبي!$C$2:$C$1800,الريسبي!$A$2:$A$1800,$A7,الريسبي!$B$2:$B$1800,AK$1)</f>
        <v>0</v>
      </c>
      <c r="AL7" s="115" t="n">
        <f aca="false">SUMIFS(الريسبي!$C$2:$C$1800,الريسبي!$A$2:$A$1800,$A7,الريسبي!$B$2:$B$1800,AL$1)</f>
        <v>0</v>
      </c>
      <c r="AM7" s="115"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15"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15" t="n">
        <f aca="false">SUMIFS(الريسبي!$C$2:$C$1800,الريسبي!$A$2:$A$1800,$A7,الريسبي!$B$2:$B$1800,AO$1)</f>
        <v>0</v>
      </c>
      <c r="AP7" s="115" t="n">
        <f aca="false">SUMIFS(الريسبي!$C$2:$C$1800,الريسبي!$A$2:$A$1800,$A7,الريسبي!$B$2:$B$1800,AP$1)</f>
        <v>0.03</v>
      </c>
      <c r="AQ7" s="115"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15" t="n">
        <f aca="false">SUMIFS(الريسبي!$C$2:$C$1800,الريسبي!$A$2:$A$1800,$A7,الريسبي!$B$2:$B$1800,AR$1)</f>
        <v>0</v>
      </c>
      <c r="AS7" s="115" t="n">
        <f aca="false">SUMIFS(الريسبي!$C$2:$C$1800,الريسبي!$A$2:$A$1800,$A7,الريسبي!$B$2:$B$1800,AS$1)</f>
        <v>0</v>
      </c>
      <c r="AT7" s="115" t="n">
        <f aca="false">SUMIFS(الريسبي!$C$2:$C$1800,الريسبي!$A$2:$A$1800,$A7,الريسبي!$B$2:$B$1800,AT$1)</f>
        <v>0</v>
      </c>
      <c r="AU7" s="115" t="n">
        <f aca="false">SUMIFS(الريسبي!$C$2:$C$1800,الريسبي!$A$2:$A$1800,$A7,الريسبي!$B$2:$B$1800,AU$1)</f>
        <v>0</v>
      </c>
      <c r="AV7" s="115" t="n">
        <f aca="false">SUMIFS(الريسبي!$C$2:$C$1800,الريسبي!$A$2:$A$1800,$A7,الريسبي!$B$2:$B$1800,AV$1)</f>
        <v>0</v>
      </c>
      <c r="AW7" s="115" t="n">
        <f aca="false">SUMIFS(الريسبي!$C$2:$C$1800,الريسبي!$A$2:$A$1800,$A7,الريسبي!$B$2:$B$1800,AW$1)</f>
        <v>0</v>
      </c>
      <c r="AX7" s="115" t="n">
        <f aca="false">SUMIFS(الريسبي!$C$2:$C$1800,الريسبي!$A$2:$A$1800,$A7,الريسبي!$B$2:$B$1800,AX$1)</f>
        <v>0.06</v>
      </c>
      <c r="AY7" s="115" t="n">
        <f aca="false">SUMIFS(الريسبي!$C$2:$C$1800,الريسبي!$A$2:$A$1800,$A7,الريسبي!$B$2:$B$1800,AY$1)</f>
        <v>0</v>
      </c>
      <c r="AZ7" s="115" t="n">
        <f aca="false">SUMIFS(الريسبي!$C$2:$C$1800,الريسبي!$A$2:$A$1800,$A7,الريسبي!$B$2:$B$1800,AZ$1)</f>
        <v>0</v>
      </c>
      <c r="BA7" s="115" t="n">
        <f aca="false">SUMIFS(الريسبي!$C$2:$C$1800,الريسبي!$A$2:$A$1800,$A7,الريسبي!$B$2:$B$1800,BA$1)</f>
        <v>0</v>
      </c>
      <c r="BB7" s="115" t="n">
        <f aca="false">SUMIFS(الريسبي!$C$2:$C$1800,الريسبي!$A$2:$A$1800,$A7,الريسبي!$B$2:$B$1800,BB$1)</f>
        <v>0</v>
      </c>
      <c r="BC7" s="115" t="n">
        <f aca="false">SUMIFS(الريسبي!$C$2:$C$1800,الريسبي!$A$2:$A$1800,$A7,الريسبي!$B$2:$B$1800,BC$1)</f>
        <v>0.045</v>
      </c>
      <c r="BD7" s="115" t="n">
        <f aca="false">SUMIFS(الريسبي!$C$2:$C$1800,الريسبي!$A$2:$A$1800,$A7,الريسبي!$B$2:$B$1800,BD$1)</f>
        <v>0.3</v>
      </c>
      <c r="BE7" s="115" t="n">
        <f aca="false">SUMIFS(الريسبي!$C$2:$C$1800,الريسبي!$A$2:$A$1800,$A7,الريسبي!$B$2:$B$1800,BE$1)</f>
        <v>0</v>
      </c>
      <c r="BF7" s="115" t="n">
        <f aca="false">SUMIFS(الريسبي!$C$2:$C$1800,الريسبي!$A$2:$A$1800,$A7,الريسبي!$B$2:$B$1800,BF$1)</f>
        <v>0</v>
      </c>
      <c r="BG7" s="115" t="n">
        <f aca="false">SUMIFS(الريسبي!$C$2:$C$1800,الريسبي!$A$2:$A$1800,$A7,الريسبي!$B$2:$B$1800,BG$1)</f>
        <v>1</v>
      </c>
      <c r="BH7" s="115" t="n">
        <f aca="false">SUMIFS(الريسبي!$C$2:$C$1800,الريسبي!$A$2:$A$1800,$A7,الريسبي!$B$2:$B$1800,BH$1)</f>
        <v>0</v>
      </c>
      <c r="BI7" s="115" t="n">
        <f aca="false">SUMIFS(الريسبي!$C$2:$C$1800,الريسبي!$A$2:$A$1800,$A7,الريسبي!$B$2:$B$1800,BI$1)</f>
        <v>0</v>
      </c>
      <c r="BJ7" s="115" t="n">
        <f aca="false">SUMIFS(الريسبي!$C$2:$C$1800,الريسبي!$A$2:$A$1800,$A7,الريسبي!$B$2:$B$1800,BJ$1)</f>
        <v>0</v>
      </c>
      <c r="BK7" s="115" t="n">
        <f aca="false">SUMIFS(الريسبي!$C$2:$C$1800,الريسبي!$A$2:$A$1800,$A7,الريسبي!$B$2:$B$1800,BK$1)</f>
        <v>0</v>
      </c>
      <c r="BL7" s="115" t="n">
        <f aca="false">SUMIFS(الريسبي!$C$2:$C$1800,الريسبي!$A$2:$A$1800,$A7,الريسبي!$B$2:$B$1800,BL$1)</f>
        <v>0</v>
      </c>
      <c r="BM7" s="115" t="n">
        <f aca="false">SUMIFS(الريسبي!$C$2:$C$1800,الريسبي!$A$2:$A$1800,$A7,الريسبي!$B$2:$B$1800,BM$1)</f>
        <v>0</v>
      </c>
      <c r="BN7" s="115" t="n">
        <f aca="false">SUMIFS(الريسبي!$C$2:$C$1800,الريسبي!$A$2:$A$1800,$A7,الريسبي!$B$2:$B$1800,BN$1)</f>
        <v>0.03</v>
      </c>
      <c r="BO7" s="115" t="n">
        <f aca="false">SUMIFS(الريسبي!$C$2:$C$1800,الريسبي!$A$2:$A$1800,$A7,الريسبي!$B$2:$B$1800,BO$1)</f>
        <v>0</v>
      </c>
      <c r="BP7" s="115" t="n">
        <f aca="false">SUMIFS(الريسبي!$C$2:$C$1800,الريسبي!$A$2:$A$1800,$A7,الريسبي!$B$2:$B$1800,BP$1)</f>
        <v>3</v>
      </c>
      <c r="BQ7" s="115"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15" t="n">
        <f aca="false">SUMIFS(الريسبي!$C$2:$C$1800,الريسبي!$A$2:$A$1800,$A7,الريسبي!$B$2:$B$1800,BR$1)</f>
        <v>1</v>
      </c>
      <c r="BS7" s="115" t="n">
        <f aca="false">SUMIFS(الريسبي!$C$2:$C$1800,الريسبي!$A$2:$A$1800,$A7,الريسبي!$B$2:$B$1800,BS$1)</f>
        <v>0</v>
      </c>
      <c r="BT7" s="115" t="n">
        <f aca="false">SUMIFS(الريسبي!$C$2:$C$1800,الريسبي!$A$2:$A$1800,$A7,الريسبي!$B$2:$B$1800,BT$1)</f>
        <v>0</v>
      </c>
      <c r="BU7" s="115"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15" t="n">
        <f aca="false">SUMIFS(الريسبي!$C$2:$C$1800,الريسبي!$A$2:$A$1800,$A7,الريسبي!$B$2:$B$1800,BV$1)</f>
        <v>0</v>
      </c>
      <c r="BW7" s="115" t="n">
        <f aca="false">SUMIFS(الريسبي!$C$2:$C$1800,الريسبي!$A$2:$A$1800,$A7,الريسبي!$B$2:$B$1800,BW$1)</f>
        <v>0</v>
      </c>
      <c r="BX7" s="115" t="n">
        <f aca="false">SUMIFS(الريسبي!$C$2:$C$1800,الريسبي!$A$2:$A$1800,$A7,الريسبي!$B$2:$B$1800,BX$1)</f>
        <v>0</v>
      </c>
      <c r="BY7" s="115" t="n">
        <f aca="false">SUMIFS(الريسبي!$C$2:$C$1800,الريسبي!$A$2:$A$1800,$A7,الريسبي!$B$2:$B$1800,BY$1)</f>
        <v>0</v>
      </c>
      <c r="BZ7" s="115" t="n">
        <f aca="false">SUMIFS(الريسبي!$C$2:$C$1800,الريسبي!$A$2:$A$1800,$A7,الريسبي!$B$2:$B$1800,BZ$1)</f>
        <v>1</v>
      </c>
      <c r="CA7" s="115" t="n">
        <f aca="false">SUMIFS(الريسبي!$C$2:$C$1800,الريسبي!$A$2:$A$1800,$A7,الريسبي!$B$2:$B$1800,CA$1)</f>
        <v>1</v>
      </c>
      <c r="CB7" s="115" t="n">
        <f aca="false">SUMIFS(الريسبي!$C$2:$C$1800,الريسبي!$A$2:$A$1800,$A7,الريسبي!$B$2:$B$1800,CB$1)</f>
        <v>0</v>
      </c>
      <c r="CC7" s="115" t="n">
        <f aca="false">SUMIFS(الريسبي!$C$2:$C$1800,الريسبي!$A$2:$A$1800,$A7,الريسبي!$B$2:$B$1800,CC$1)</f>
        <v>0</v>
      </c>
      <c r="CD7" s="115" t="n">
        <f aca="false">SUMIFS(الريسبي!$C$2:$C$1800,الريسبي!$A$2:$A$1800,$A7,الريسبي!$B$2:$B$1800,CD$1)</f>
        <v>0</v>
      </c>
      <c r="CE7" s="115" t="n">
        <f aca="false">SUMIFS(الريسبي!$C$2:$C$1800,الريسبي!$A$2:$A$1800,$A7,الريسبي!$B$2:$B$1800,CE$1)</f>
        <v>0</v>
      </c>
      <c r="CF7" s="115" t="n">
        <f aca="false">SUMIFS(الريسبي!$C$2:$C$1800,الريسبي!$A$2:$A$1800,$A7,الريسبي!$B$2:$B$1800,CF$1)</f>
        <v>0</v>
      </c>
      <c r="CG7" s="115" t="n">
        <f aca="false">SUMIFS(الريسبي!$C$2:$C$1800,الريسبي!$A$2:$A$1800,$A7,الريسبي!$B$2:$B$1800,CG$1)</f>
        <v>0</v>
      </c>
      <c r="CH7" s="115" t="n">
        <f aca="false">SUMIFS(الريسبي!$C$2:$C$1800,الريسبي!$A$2:$A$1800,$A7,الريسبي!$B$2:$B$1800,CH$1)</f>
        <v>0</v>
      </c>
    </row>
    <row r="8" customFormat="false" ht="15" hidden="false" customHeight="false" outlineLevel="0" collapsed="false">
      <c r="A8" s="114" t="str">
        <f aca="false">المنيو!B8</f>
        <v>بيتزا دبل سلامي / بيبروني وسط</v>
      </c>
      <c r="B8" s="115" t="n">
        <f aca="false">SUMIFS(الريسبي!$C$2:$C$1800,الريسبي!$A$2:$A$1800,$A8,الريسبي!$B$2:$B$1800,B$1)</f>
        <v>0</v>
      </c>
      <c r="C8" s="115" t="n">
        <f aca="false">SUMIFS(الريسبي!$C$2:$C$1800,الريسبي!$A$2:$A$1800,$A8,الريسبي!$B$2:$B$1800,C$1)</f>
        <v>0</v>
      </c>
      <c r="D8" s="115" t="n">
        <f aca="false">SUMIFS(الريسبي!$C$2:$C$1800,الريسبي!$A$2:$A$1800,$A8,الريسبي!$B$2:$B$1800,D$1)</f>
        <v>1</v>
      </c>
      <c r="E8" s="115" t="n">
        <f aca="false">SUMIFS(الريسبي!$C$2:$C$1800,الريسبي!$A$2:$A$1800,$A8,الريسبي!$B$2:$B$1800,E$1)</f>
        <v>0</v>
      </c>
      <c r="F8" s="115" t="n">
        <f aca="false">SUMIFS(الريسبي!$C$2:$C$1800,الريسبي!$A$2:$A$1800,$A8,الريسبي!$B$2:$B$1800,F$1)</f>
        <v>0</v>
      </c>
      <c r="G8" s="115" t="n">
        <f aca="false">SUMIFS(الريسبي!$C$2:$C$1800,الريسبي!$A$2:$A$1800,$A8,الريسبي!$B$2:$B$1800,G$1)</f>
        <v>0</v>
      </c>
      <c r="H8" s="115" t="n">
        <f aca="false">SUMIFS(الريسبي!$C$2:$C$1800,الريسبي!$A$2:$A$1800,$A8,الريسبي!$B$2:$B$1800,H$1)</f>
        <v>0</v>
      </c>
      <c r="I8" s="115" t="n">
        <f aca="false">SUMIFS(الريسبي!$C$2:$C$1800,الريسبي!$A$2:$A$1800,$A8,الريسبي!$B$2:$B$1800,I$1)</f>
        <v>0</v>
      </c>
      <c r="J8" s="115" t="n">
        <f aca="false">SUMIFS(الريسبي!$C$2:$C$1800,الريسبي!$A$2:$A$1800,$A8,الريسبي!$B$2:$B$1800,J$1)</f>
        <v>0</v>
      </c>
      <c r="K8" s="115" t="n">
        <f aca="false">SUMIFS(الريسبي!$C$2:$C$1800,الريسبي!$A$2:$A$1800,$A8,الريسبي!$B$2:$B$1800,K$1)</f>
        <v>0</v>
      </c>
      <c r="L8" s="115" t="n">
        <f aca="false">SUMIFS(الريسبي!$C$2:$C$1800,الريسبي!$A$2:$A$1800,$A8,الريسبي!$B$2:$B$1800,L$1)</f>
        <v>0</v>
      </c>
      <c r="M8" s="115" t="n">
        <f aca="false">SUMIFS(الريسبي!$C$2:$C$1800,الريسبي!$A$2:$A$1800,$A8,الريسبي!$B$2:$B$1800,M$1)</f>
        <v>0</v>
      </c>
      <c r="N8" s="115" t="n">
        <f aca="false">SUMIFS(الريسبي!$C$2:$C$1800,الريسبي!$A$2:$A$1800,$A8,الريسبي!$B$2:$B$1800,N$1)</f>
        <v>1</v>
      </c>
      <c r="O8" s="115" t="n">
        <f aca="false">SUMIFS(الريسبي!$C$2:$C$1800,الريسبي!$A$2:$A$1800,$A8,الريسبي!$B$2:$B$1800,O$1)</f>
        <v>0</v>
      </c>
      <c r="P8" s="115" t="n">
        <f aca="false">SUMIFS(الريسبي!$C$2:$C$1800,الريسبي!$A$2:$A$1800,$A8,الريسبي!$B$2:$B$1800,P$1)</f>
        <v>0</v>
      </c>
      <c r="Q8" s="115" t="n">
        <f aca="false">SUMIFS(الريسبي!$C$2:$C$1800,الريسبي!$A$2:$A$1800,$A8,الريسبي!$B$2:$B$1800,Q$1)</f>
        <v>0</v>
      </c>
      <c r="R8" s="115" t="n">
        <f aca="false">SUMIFS(الريسبي!$C$2:$C$1800,الريسبي!$A$2:$A$1800,$A8,الريسبي!$B$2:$B$1800,R$1)</f>
        <v>0</v>
      </c>
      <c r="S8" s="115" t="n">
        <f aca="false">SUMIFS(الريسبي!$C$2:$C$1800,الريسبي!$A$2:$A$1800,$A8,الريسبي!$B$2:$B$1800,S$1)</f>
        <v>0</v>
      </c>
      <c r="T8" s="115" t="n">
        <f aca="false">SUMIFS(الريسبي!$C$2:$C$1800,الريسبي!$A$2:$A$1800,$A8,الريسبي!$B$2:$B$1800,T$1)</f>
        <v>0</v>
      </c>
      <c r="U8" s="115" t="n">
        <f aca="false">SUMIFS(الريسبي!$C$2:$C$1800,الريسبي!$A$2:$A$1800,$A8,الريسبي!$B$2:$B$1800,U$1)</f>
        <v>0</v>
      </c>
      <c r="V8" s="115" t="n">
        <f aca="false">SUMIFS(الريسبي!$C$2:$C$1800,الريسبي!$A$2:$A$1800,$A8,الريسبي!$B$2:$B$1800,V$1)</f>
        <v>1</v>
      </c>
      <c r="W8" s="115" t="n">
        <f aca="false">SUMIFS(الريسبي!$C$2:$C$1800,الريسبي!$A$2:$A$1800,$A8,الريسبي!$B$2:$B$1800,W$1)</f>
        <v>0</v>
      </c>
      <c r="X8" s="115" t="n">
        <f aca="false">SUMIFS(الريسبي!$C$2:$C$1800,الريسبي!$A$2:$A$1800,$A8,الريسبي!$B$2:$B$1800,X$1)</f>
        <v>0</v>
      </c>
      <c r="Y8" s="115" t="n">
        <f aca="false">SUMIFS(الريسبي!$C$2:$C$1800,الريسبي!$A$2:$A$1800,$A8,الريسبي!$B$2:$B$1800,Y$1)</f>
        <v>0</v>
      </c>
      <c r="Z8" s="115" t="n">
        <f aca="false">SUMIFS(الريسبي!$C$2:$C$1800,الريسبي!$A$2:$A$1800,$A8,الريسبي!$B$2:$B$1800,Z$1)</f>
        <v>0</v>
      </c>
      <c r="AA8" s="115" t="n">
        <f aca="false">SUMIFS(الريسبي!$C$2:$C$1800,الريسبي!$A$2:$A$1800,$A8,الريسبي!$B$2:$B$1800,AA$1)</f>
        <v>0</v>
      </c>
      <c r="AB8" s="115" t="n">
        <f aca="false">SUMIFS(الريسبي!$C$2:$C$1800,الريسبي!$A$2:$A$1800,$A8,الريسبي!$B$2:$B$1800,AB$1)</f>
        <v>0</v>
      </c>
      <c r="AC8" s="115" t="n">
        <f aca="false">SUMIFS(الريسبي!$C$2:$C$1800,الريسبي!$A$2:$A$1800,$A8,الريسبي!$B$2:$B$1800,AC$1)</f>
        <v>0</v>
      </c>
      <c r="AD8" s="115" t="n">
        <f aca="false">SUMIFS(الريسبي!$C$2:$C$1800,الريسبي!$A$2:$A$1800,$A8,الريسبي!$B$2:$B$1800,AD$1)</f>
        <v>0</v>
      </c>
      <c r="AE8" s="115" t="n">
        <f aca="false">SUMIFS(الريسبي!$C$2:$C$1800,الريسبي!$A$2:$A$1800,$A8,الريسبي!$B$2:$B$1800,AE$1)</f>
        <v>0</v>
      </c>
      <c r="AF8" s="115" t="n">
        <f aca="false">SUMIFS(الريسبي!$C$2:$C$1800,الريسبي!$A$2:$A$1800,$A8,الريسبي!$B$2:$B$1800,AF$1)</f>
        <v>0</v>
      </c>
      <c r="AG8" s="115" t="n">
        <f aca="false">SUMIFS(الريسبي!$C$2:$C$1800,الريسبي!$A$2:$A$1800,$A8,الريسبي!$B$2:$B$1800,AG$1)</f>
        <v>0</v>
      </c>
      <c r="AH8" s="115" t="n">
        <f aca="false">SUMIFS(الريسبي!$C$2:$C$1800,الريسبي!$A$2:$A$1800,$A8,الريسبي!$B$2:$B$1800,AH$1)</f>
        <v>0</v>
      </c>
      <c r="AI8" s="115" t="n">
        <f aca="false">SUMIFS(الريسبي!$C$2:$C$1800,الريسبي!$A$2:$A$1800,$A8,الريسبي!$B$2:$B$1800,AI$1)</f>
        <v>0</v>
      </c>
      <c r="AJ8" s="115" t="n">
        <f aca="false">SUMIFS(الريسبي!$C$2:$C$1800,الريسبي!$A$2:$A$1800,$A8,الريسبي!$B$2:$B$1800,AJ$1)</f>
        <v>2</v>
      </c>
      <c r="AK8" s="115" t="n">
        <f aca="false">SUMIFS(الريسبي!$C$2:$C$1800,الريسبي!$A$2:$A$1800,$A8,الريسبي!$B$2:$B$1800,AK$1)</f>
        <v>0</v>
      </c>
      <c r="AL8" s="115" t="n">
        <f aca="false">SUMIFS(الريسبي!$C$2:$C$1800,الريسبي!$A$2:$A$1800,$A8,الريسبي!$B$2:$B$1800,AL$1)</f>
        <v>0</v>
      </c>
      <c r="AM8" s="115"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15"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15" t="n">
        <f aca="false">SUMIFS(الريسبي!$C$2:$C$1800,الريسبي!$A$2:$A$1800,$A8,الريسبي!$B$2:$B$1800,AO$1)</f>
        <v>0</v>
      </c>
      <c r="AP8" s="115" t="n">
        <f aca="false">SUMIFS(الريسبي!$C$2:$C$1800,الريسبي!$A$2:$A$1800,$A8,الريسبي!$B$2:$B$1800,AP$1)</f>
        <v>0.02</v>
      </c>
      <c r="AQ8" s="115"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15" t="n">
        <f aca="false">SUMIFS(الريسبي!$C$2:$C$1800,الريسبي!$A$2:$A$1800,$A8,الريسبي!$B$2:$B$1800,AR$1)</f>
        <v>0</v>
      </c>
      <c r="AS8" s="115" t="n">
        <f aca="false">SUMIFS(الريسبي!$C$2:$C$1800,الريسبي!$A$2:$A$1800,$A8,الريسبي!$B$2:$B$1800,AS$1)</f>
        <v>0</v>
      </c>
      <c r="AT8" s="115" t="n">
        <f aca="false">SUMIFS(الريسبي!$C$2:$C$1800,الريسبي!$A$2:$A$1800,$A8,الريسبي!$B$2:$B$1800,AT$1)</f>
        <v>0</v>
      </c>
      <c r="AU8" s="115" t="n">
        <f aca="false">SUMIFS(الريسبي!$C$2:$C$1800,الريسبي!$A$2:$A$1800,$A8,الريسبي!$B$2:$B$1800,AU$1)</f>
        <v>0</v>
      </c>
      <c r="AV8" s="115" t="n">
        <f aca="false">SUMIFS(الريسبي!$C$2:$C$1800,الريسبي!$A$2:$A$1800,$A8,الريسبي!$B$2:$B$1800,AV$1)</f>
        <v>0</v>
      </c>
      <c r="AW8" s="115" t="n">
        <f aca="false">SUMIFS(الريسبي!$C$2:$C$1800,الريسبي!$A$2:$A$1800,$A8,الريسبي!$B$2:$B$1800,AW$1)</f>
        <v>0</v>
      </c>
      <c r="AX8" s="115" t="n">
        <f aca="false">SUMIFS(الريسبي!$C$2:$C$1800,الريسبي!$A$2:$A$1800,$A8,الريسبي!$B$2:$B$1800,AX$1)</f>
        <v>0.04</v>
      </c>
      <c r="AY8" s="115" t="n">
        <f aca="false">SUMIFS(الريسبي!$C$2:$C$1800,الريسبي!$A$2:$A$1800,$A8,الريسبي!$B$2:$B$1800,AY$1)</f>
        <v>0</v>
      </c>
      <c r="AZ8" s="115" t="n">
        <f aca="false">SUMIFS(الريسبي!$C$2:$C$1800,الريسبي!$A$2:$A$1800,$A8,الريسبي!$B$2:$B$1800,AZ$1)</f>
        <v>0</v>
      </c>
      <c r="BA8" s="115" t="n">
        <f aca="false">SUMIFS(الريسبي!$C$2:$C$1800,الريسبي!$A$2:$A$1800,$A8,الريسبي!$B$2:$B$1800,BA$1)</f>
        <v>0</v>
      </c>
      <c r="BB8" s="115" t="n">
        <f aca="false">SUMIFS(الريسبي!$C$2:$C$1800,الريسبي!$A$2:$A$1800,$A8,الريسبي!$B$2:$B$1800,BB$1)</f>
        <v>0</v>
      </c>
      <c r="BC8" s="115" t="n">
        <f aca="false">SUMIFS(الريسبي!$C$2:$C$1800,الريسبي!$A$2:$A$1800,$A8,الريسبي!$B$2:$B$1800,BC$1)</f>
        <v>0.03</v>
      </c>
      <c r="BD8" s="115" t="n">
        <f aca="false">SUMIFS(الريسبي!$C$2:$C$1800,الريسبي!$A$2:$A$1800,$A8,الريسبي!$B$2:$B$1800,BD$1)</f>
        <v>0.22</v>
      </c>
      <c r="BE8" s="115" t="n">
        <f aca="false">SUMIFS(الريسبي!$C$2:$C$1800,الريسبي!$A$2:$A$1800,$A8,الريسبي!$B$2:$B$1800,BE$1)</f>
        <v>0</v>
      </c>
      <c r="BF8" s="115" t="n">
        <f aca="false">SUMIFS(الريسبي!$C$2:$C$1800,الريسبي!$A$2:$A$1800,$A8,الريسبي!$B$2:$B$1800,BF$1)</f>
        <v>0</v>
      </c>
      <c r="BG8" s="115" t="n">
        <f aca="false">SUMIFS(الريسبي!$C$2:$C$1800,الريسبي!$A$2:$A$1800,$A8,الريسبي!$B$2:$B$1800,BG$1)</f>
        <v>0</v>
      </c>
      <c r="BH8" s="115" t="n">
        <f aca="false">SUMIFS(الريسبي!$C$2:$C$1800,الريسبي!$A$2:$A$1800,$A8,الريسبي!$B$2:$B$1800,BH$1)</f>
        <v>1</v>
      </c>
      <c r="BI8" s="115" t="n">
        <f aca="false">SUMIFS(الريسبي!$C$2:$C$1800,الريسبي!$A$2:$A$1800,$A8,الريسبي!$B$2:$B$1800,BI$1)</f>
        <v>0</v>
      </c>
      <c r="BJ8" s="115" t="n">
        <f aca="false">SUMIFS(الريسبي!$C$2:$C$1800,الريسبي!$A$2:$A$1800,$A8,الريسبي!$B$2:$B$1800,BJ$1)</f>
        <v>0</v>
      </c>
      <c r="BK8" s="115" t="n">
        <f aca="false">SUMIFS(الريسبي!$C$2:$C$1800,الريسبي!$A$2:$A$1800,$A8,الريسبي!$B$2:$B$1800,BK$1)</f>
        <v>0</v>
      </c>
      <c r="BL8" s="115" t="n">
        <f aca="false">SUMIFS(الريسبي!$C$2:$C$1800,الريسبي!$A$2:$A$1800,$A8,الريسبي!$B$2:$B$1800,BL$1)</f>
        <v>0</v>
      </c>
      <c r="BM8" s="115" t="n">
        <f aca="false">SUMIFS(الريسبي!$C$2:$C$1800,الريسبي!$A$2:$A$1800,$A8,الريسبي!$B$2:$B$1800,BM$1)</f>
        <v>0</v>
      </c>
      <c r="BN8" s="115" t="n">
        <f aca="false">SUMIFS(الريسبي!$C$2:$C$1800,الريسبي!$A$2:$A$1800,$A8,الريسبي!$B$2:$B$1800,BN$1)</f>
        <v>0.02</v>
      </c>
      <c r="BO8" s="115" t="n">
        <f aca="false">SUMIFS(الريسبي!$C$2:$C$1800,الريسبي!$A$2:$A$1800,$A8,الريسبي!$B$2:$B$1800,BO$1)</f>
        <v>0</v>
      </c>
      <c r="BP8" s="115" t="n">
        <f aca="false">SUMIFS(الريسبي!$C$2:$C$1800,الريسبي!$A$2:$A$1800,$A8,الريسبي!$B$2:$B$1800,BP$1)</f>
        <v>2</v>
      </c>
      <c r="BQ8" s="115"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15" t="n">
        <f aca="false">SUMIFS(الريسبي!$C$2:$C$1800,الريسبي!$A$2:$A$1800,$A8,الريسبي!$B$2:$B$1800,BR$1)</f>
        <v>1</v>
      </c>
      <c r="BS8" s="115" t="n">
        <f aca="false">SUMIFS(الريسبي!$C$2:$C$1800,الريسبي!$A$2:$A$1800,$A8,الريسبي!$B$2:$B$1800,BS$1)</f>
        <v>0</v>
      </c>
      <c r="BT8" s="115" t="n">
        <f aca="false">SUMIFS(الريسبي!$C$2:$C$1800,الريسبي!$A$2:$A$1800,$A8,الريسبي!$B$2:$B$1800,BT$1)</f>
        <v>0</v>
      </c>
      <c r="BU8" s="115"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15" t="n">
        <f aca="false">SUMIFS(الريسبي!$C$2:$C$1800,الريسبي!$A$2:$A$1800,$A8,الريسبي!$B$2:$B$1800,BV$1)</f>
        <v>0</v>
      </c>
      <c r="BW8" s="115" t="n">
        <f aca="false">SUMIFS(الريسبي!$C$2:$C$1800,الريسبي!$A$2:$A$1800,$A8,الريسبي!$B$2:$B$1800,BW$1)</f>
        <v>0</v>
      </c>
      <c r="BX8" s="115" t="n">
        <f aca="false">SUMIFS(الريسبي!$C$2:$C$1800,الريسبي!$A$2:$A$1800,$A8,الريسبي!$B$2:$B$1800,BX$1)</f>
        <v>0</v>
      </c>
      <c r="BY8" s="115" t="n">
        <f aca="false">SUMIFS(الريسبي!$C$2:$C$1800,الريسبي!$A$2:$A$1800,$A8,الريسبي!$B$2:$B$1800,BY$1)</f>
        <v>0</v>
      </c>
      <c r="BZ8" s="115" t="n">
        <f aca="false">SUMIFS(الريسبي!$C$2:$C$1800,الريسبي!$A$2:$A$1800,$A8,الريسبي!$B$2:$B$1800,BZ$1)</f>
        <v>1</v>
      </c>
      <c r="CA8" s="115" t="n">
        <f aca="false">SUMIFS(الريسبي!$C$2:$C$1800,الريسبي!$A$2:$A$1800,$A8,الريسبي!$B$2:$B$1800,CA$1)</f>
        <v>1</v>
      </c>
      <c r="CB8" s="115" t="n">
        <f aca="false">SUMIFS(الريسبي!$C$2:$C$1800,الريسبي!$A$2:$A$1800,$A8,الريسبي!$B$2:$B$1800,CB$1)</f>
        <v>0</v>
      </c>
      <c r="CC8" s="115" t="n">
        <f aca="false">SUMIFS(الريسبي!$C$2:$C$1800,الريسبي!$A$2:$A$1800,$A8,الريسبي!$B$2:$B$1800,CC$1)</f>
        <v>0</v>
      </c>
      <c r="CD8" s="115" t="n">
        <f aca="false">SUMIFS(الريسبي!$C$2:$C$1800,الريسبي!$A$2:$A$1800,$A8,الريسبي!$B$2:$B$1800,CD$1)</f>
        <v>0</v>
      </c>
      <c r="CE8" s="115" t="n">
        <f aca="false">SUMIFS(الريسبي!$C$2:$C$1800,الريسبي!$A$2:$A$1800,$A8,الريسبي!$B$2:$B$1800,CE$1)</f>
        <v>0</v>
      </c>
      <c r="CF8" s="115" t="n">
        <f aca="false">SUMIFS(الريسبي!$C$2:$C$1800,الريسبي!$A$2:$A$1800,$A8,الريسبي!$B$2:$B$1800,CF$1)</f>
        <v>0</v>
      </c>
      <c r="CG8" s="115" t="n">
        <f aca="false">SUMIFS(الريسبي!$C$2:$C$1800,الريسبي!$A$2:$A$1800,$A8,الريسبي!$B$2:$B$1800,CG$1)</f>
        <v>0</v>
      </c>
      <c r="CH8" s="115" t="n">
        <f aca="false">SUMIFS(الريسبي!$C$2:$C$1800,الريسبي!$A$2:$A$1800,$A8,الريسبي!$B$2:$B$1800,CH$1)</f>
        <v>0</v>
      </c>
    </row>
    <row r="9" customFormat="false" ht="15" hidden="false" customHeight="false" outlineLevel="0" collapsed="false">
      <c r="A9" s="114" t="str">
        <f aca="false">المنيو!B9</f>
        <v>بيتزا دبل سلامي / بيبروني حجم اكبر</v>
      </c>
      <c r="B9" s="115" t="n">
        <f aca="false">SUMIFS(الريسبي!$C$2:$C$1800,الريسبي!$A$2:$A$1800,$A9,الريسبي!$B$2:$B$1800,B$1)</f>
        <v>0</v>
      </c>
      <c r="C9" s="115" t="n">
        <f aca="false">SUMIFS(الريسبي!$C$2:$C$1800,الريسبي!$A$2:$A$1800,$A9,الريسبي!$B$2:$B$1800,C$1)</f>
        <v>0</v>
      </c>
      <c r="D9" s="115" t="n">
        <f aca="false">SUMIFS(الريسبي!$C$2:$C$1800,الريسبي!$A$2:$A$1800,$A9,الريسبي!$B$2:$B$1800,D$1)</f>
        <v>1</v>
      </c>
      <c r="E9" s="115" t="n">
        <f aca="false">SUMIFS(الريسبي!$C$2:$C$1800,الريسبي!$A$2:$A$1800,$A9,الريسبي!$B$2:$B$1800,E$1)</f>
        <v>0</v>
      </c>
      <c r="F9" s="115" t="n">
        <f aca="false">SUMIFS(الريسبي!$C$2:$C$1800,الريسبي!$A$2:$A$1800,$A9,الريسبي!$B$2:$B$1800,F$1)</f>
        <v>0</v>
      </c>
      <c r="G9" s="115" t="n">
        <f aca="false">SUMIFS(الريسبي!$C$2:$C$1800,الريسبي!$A$2:$A$1800,$A9,الريسبي!$B$2:$B$1800,G$1)</f>
        <v>0</v>
      </c>
      <c r="H9" s="115" t="n">
        <f aca="false">SUMIFS(الريسبي!$C$2:$C$1800,الريسبي!$A$2:$A$1800,$A9,الريسبي!$B$2:$B$1800,H$1)</f>
        <v>0</v>
      </c>
      <c r="I9" s="115" t="n">
        <f aca="false">SUMIFS(الريسبي!$C$2:$C$1800,الريسبي!$A$2:$A$1800,$A9,الريسبي!$B$2:$B$1800,I$1)</f>
        <v>0</v>
      </c>
      <c r="J9" s="115" t="n">
        <f aca="false">SUMIFS(الريسبي!$C$2:$C$1800,الريسبي!$A$2:$A$1800,$A9,الريسبي!$B$2:$B$1800,J$1)</f>
        <v>0</v>
      </c>
      <c r="K9" s="115" t="n">
        <f aca="false">SUMIFS(الريسبي!$C$2:$C$1800,الريسبي!$A$2:$A$1800,$A9,الريسبي!$B$2:$B$1800,K$1)</f>
        <v>0</v>
      </c>
      <c r="L9" s="115" t="n">
        <f aca="false">SUMIFS(الريسبي!$C$2:$C$1800,الريسبي!$A$2:$A$1800,$A9,الريسبي!$B$2:$B$1800,L$1)</f>
        <v>0</v>
      </c>
      <c r="M9" s="115" t="n">
        <f aca="false">SUMIFS(الريسبي!$C$2:$C$1800,الريسبي!$A$2:$A$1800,$A9,الريسبي!$B$2:$B$1800,M$1)</f>
        <v>0</v>
      </c>
      <c r="N9" s="115" t="n">
        <f aca="false">SUMIFS(الريسبي!$C$2:$C$1800,الريسبي!$A$2:$A$1800,$A9,الريسبي!$B$2:$B$1800,N$1)</f>
        <v>1.5</v>
      </c>
      <c r="O9" s="115" t="n">
        <f aca="false">SUMIFS(الريسبي!$C$2:$C$1800,الريسبي!$A$2:$A$1800,$A9,الريسبي!$B$2:$B$1800,O$1)</f>
        <v>0</v>
      </c>
      <c r="P9" s="115" t="n">
        <f aca="false">SUMIFS(الريسبي!$C$2:$C$1800,الريسبي!$A$2:$A$1800,$A9,الريسبي!$B$2:$B$1800,P$1)</f>
        <v>0</v>
      </c>
      <c r="Q9" s="115" t="n">
        <f aca="false">SUMIFS(الريسبي!$C$2:$C$1800,الريسبي!$A$2:$A$1800,$A9,الريسبي!$B$2:$B$1800,Q$1)</f>
        <v>0</v>
      </c>
      <c r="R9" s="115" t="n">
        <f aca="false">SUMIFS(الريسبي!$C$2:$C$1800,الريسبي!$A$2:$A$1800,$A9,الريسبي!$B$2:$B$1800,R$1)</f>
        <v>0</v>
      </c>
      <c r="S9" s="115" t="n">
        <f aca="false">SUMIFS(الريسبي!$C$2:$C$1800,الريسبي!$A$2:$A$1800,$A9,الريسبي!$B$2:$B$1800,S$1)</f>
        <v>0</v>
      </c>
      <c r="T9" s="115" t="n">
        <f aca="false">SUMIFS(الريسبي!$C$2:$C$1800,الريسبي!$A$2:$A$1800,$A9,الريسبي!$B$2:$B$1800,T$1)</f>
        <v>0</v>
      </c>
      <c r="U9" s="115" t="n">
        <f aca="false">SUMIFS(الريسبي!$C$2:$C$1800,الريسبي!$A$2:$A$1800,$A9,الريسبي!$B$2:$B$1800,U$1)</f>
        <v>0</v>
      </c>
      <c r="V9" s="115" t="n">
        <f aca="false">SUMIFS(الريسبي!$C$2:$C$1800,الريسبي!$A$2:$A$1800,$A9,الريسبي!$B$2:$B$1800,V$1)</f>
        <v>0</v>
      </c>
      <c r="W9" s="115" t="n">
        <f aca="false">SUMIFS(الريسبي!$C$2:$C$1800,الريسبي!$A$2:$A$1800,$A9,الريسبي!$B$2:$B$1800,W$1)</f>
        <v>1</v>
      </c>
      <c r="X9" s="115" t="n">
        <f aca="false">SUMIFS(الريسبي!$C$2:$C$1800,الريسبي!$A$2:$A$1800,$A9,الريسبي!$B$2:$B$1800,X$1)</f>
        <v>0</v>
      </c>
      <c r="Y9" s="115" t="n">
        <f aca="false">SUMIFS(الريسبي!$C$2:$C$1800,الريسبي!$A$2:$A$1800,$A9,الريسبي!$B$2:$B$1800,Y$1)</f>
        <v>0</v>
      </c>
      <c r="Z9" s="115" t="n">
        <f aca="false">SUMIFS(الريسبي!$C$2:$C$1800,الريسبي!$A$2:$A$1800,$A9,الريسبي!$B$2:$B$1800,Z$1)</f>
        <v>0</v>
      </c>
      <c r="AA9" s="115" t="n">
        <f aca="false">SUMIFS(الريسبي!$C$2:$C$1800,الريسبي!$A$2:$A$1800,$A9,الريسبي!$B$2:$B$1800,AA$1)</f>
        <v>0</v>
      </c>
      <c r="AB9" s="115" t="n">
        <f aca="false">SUMIFS(الريسبي!$C$2:$C$1800,الريسبي!$A$2:$A$1800,$A9,الريسبي!$B$2:$B$1800,AB$1)</f>
        <v>0</v>
      </c>
      <c r="AC9" s="115" t="n">
        <f aca="false">SUMIFS(الريسبي!$C$2:$C$1800,الريسبي!$A$2:$A$1800,$A9,الريسبي!$B$2:$B$1800,AC$1)</f>
        <v>0</v>
      </c>
      <c r="AD9" s="115" t="n">
        <f aca="false">SUMIFS(الريسبي!$C$2:$C$1800,الريسبي!$A$2:$A$1800,$A9,الريسبي!$B$2:$B$1800,AD$1)</f>
        <v>0</v>
      </c>
      <c r="AE9" s="115" t="n">
        <f aca="false">SUMIFS(الريسبي!$C$2:$C$1800,الريسبي!$A$2:$A$1800,$A9,الريسبي!$B$2:$B$1800,AE$1)</f>
        <v>0</v>
      </c>
      <c r="AF9" s="115" t="n">
        <f aca="false">SUMIFS(الريسبي!$C$2:$C$1800,الريسبي!$A$2:$A$1800,$A9,الريسبي!$B$2:$B$1800,AF$1)</f>
        <v>0</v>
      </c>
      <c r="AG9" s="115" t="n">
        <f aca="false">SUMIFS(الريسبي!$C$2:$C$1800,الريسبي!$A$2:$A$1800,$A9,الريسبي!$B$2:$B$1800,AG$1)</f>
        <v>0</v>
      </c>
      <c r="AH9" s="115" t="n">
        <f aca="false">SUMIFS(الريسبي!$C$2:$C$1800,الريسبي!$A$2:$A$1800,$A9,الريسبي!$B$2:$B$1800,AH$1)</f>
        <v>0</v>
      </c>
      <c r="AI9" s="115" t="n">
        <f aca="false">SUMIFS(الريسبي!$C$2:$C$1800,الريسبي!$A$2:$A$1800,$A9,الريسبي!$B$2:$B$1800,AI$1)</f>
        <v>0</v>
      </c>
      <c r="AJ9" s="115" t="n">
        <f aca="false">SUMIFS(الريسبي!$C$2:$C$1800,الريسبي!$A$2:$A$1800,$A9,الريسبي!$B$2:$B$1800,AJ$1)</f>
        <v>2</v>
      </c>
      <c r="AK9" s="115" t="n">
        <f aca="false">SUMIFS(الريسبي!$C$2:$C$1800,الريسبي!$A$2:$A$1800,$A9,الريسبي!$B$2:$B$1800,AK$1)</f>
        <v>0</v>
      </c>
      <c r="AL9" s="115" t="n">
        <f aca="false">SUMIFS(الريسبي!$C$2:$C$1800,الريسبي!$A$2:$A$1800,$A9,الريسبي!$B$2:$B$1800,AL$1)</f>
        <v>0</v>
      </c>
      <c r="AM9" s="115"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15"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15" t="n">
        <f aca="false">SUMIFS(الريسبي!$C$2:$C$1800,الريسبي!$A$2:$A$1800,$A9,الريسبي!$B$2:$B$1800,AO$1)</f>
        <v>0</v>
      </c>
      <c r="AP9" s="115" t="n">
        <f aca="false">SUMIFS(الريسبي!$C$2:$C$1800,الريسبي!$A$2:$A$1800,$A9,الريسبي!$B$2:$B$1800,AP$1)</f>
        <v>0.03</v>
      </c>
      <c r="AQ9" s="115"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15" t="n">
        <f aca="false">SUMIFS(الريسبي!$C$2:$C$1800,الريسبي!$A$2:$A$1800,$A9,الريسبي!$B$2:$B$1800,AR$1)</f>
        <v>0</v>
      </c>
      <c r="AS9" s="115" t="n">
        <f aca="false">SUMIFS(الريسبي!$C$2:$C$1800,الريسبي!$A$2:$A$1800,$A9,الريسبي!$B$2:$B$1800,AS$1)</f>
        <v>0</v>
      </c>
      <c r="AT9" s="115" t="n">
        <f aca="false">SUMIFS(الريسبي!$C$2:$C$1800,الريسبي!$A$2:$A$1800,$A9,الريسبي!$B$2:$B$1800,AT$1)</f>
        <v>0</v>
      </c>
      <c r="AU9" s="115" t="n">
        <f aca="false">SUMIFS(الريسبي!$C$2:$C$1800,الريسبي!$A$2:$A$1800,$A9,الريسبي!$B$2:$B$1800,AU$1)</f>
        <v>0</v>
      </c>
      <c r="AV9" s="115" t="n">
        <f aca="false">SUMIFS(الريسبي!$C$2:$C$1800,الريسبي!$A$2:$A$1800,$A9,الريسبي!$B$2:$B$1800,AV$1)</f>
        <v>0</v>
      </c>
      <c r="AW9" s="115" t="n">
        <f aca="false">SUMIFS(الريسبي!$C$2:$C$1800,الريسبي!$A$2:$A$1800,$A9,الريسبي!$B$2:$B$1800,AW$1)</f>
        <v>0</v>
      </c>
      <c r="AX9" s="115" t="n">
        <f aca="false">SUMIFS(الريسبي!$C$2:$C$1800,الريسبي!$A$2:$A$1800,$A9,الريسبي!$B$2:$B$1800,AX$1)</f>
        <v>0.06</v>
      </c>
      <c r="AY9" s="115" t="n">
        <f aca="false">SUMIFS(الريسبي!$C$2:$C$1800,الريسبي!$A$2:$A$1800,$A9,الريسبي!$B$2:$B$1800,AY$1)</f>
        <v>0</v>
      </c>
      <c r="AZ9" s="115" t="n">
        <f aca="false">SUMIFS(الريسبي!$C$2:$C$1800,الريسبي!$A$2:$A$1800,$A9,الريسبي!$B$2:$B$1800,AZ$1)</f>
        <v>0</v>
      </c>
      <c r="BA9" s="115" t="n">
        <f aca="false">SUMIFS(الريسبي!$C$2:$C$1800,الريسبي!$A$2:$A$1800,$A9,الريسبي!$B$2:$B$1800,BA$1)</f>
        <v>0</v>
      </c>
      <c r="BB9" s="115" t="n">
        <f aca="false">SUMIFS(الريسبي!$C$2:$C$1800,الريسبي!$A$2:$A$1800,$A9,الريسبي!$B$2:$B$1800,BB$1)</f>
        <v>0</v>
      </c>
      <c r="BC9" s="115" t="n">
        <f aca="false">SUMIFS(الريسبي!$C$2:$C$1800,الريسبي!$A$2:$A$1800,$A9,الريسبي!$B$2:$B$1800,BC$1)</f>
        <v>0.045</v>
      </c>
      <c r="BD9" s="115" t="n">
        <f aca="false">SUMIFS(الريسبي!$C$2:$C$1800,الريسبي!$A$2:$A$1800,$A9,الريسبي!$B$2:$B$1800,BD$1)</f>
        <v>0.3</v>
      </c>
      <c r="BE9" s="115" t="n">
        <f aca="false">SUMIFS(الريسبي!$C$2:$C$1800,الريسبي!$A$2:$A$1800,$A9,الريسبي!$B$2:$B$1800,BE$1)</f>
        <v>0</v>
      </c>
      <c r="BF9" s="115" t="n">
        <f aca="false">SUMIFS(الريسبي!$C$2:$C$1800,الريسبي!$A$2:$A$1800,$A9,الريسبي!$B$2:$B$1800,BF$1)</f>
        <v>0</v>
      </c>
      <c r="BG9" s="115" t="n">
        <f aca="false">SUMIFS(الريسبي!$C$2:$C$1800,الريسبي!$A$2:$A$1800,$A9,الريسبي!$B$2:$B$1800,BG$1)</f>
        <v>1</v>
      </c>
      <c r="BH9" s="115" t="n">
        <f aca="false">SUMIFS(الريسبي!$C$2:$C$1800,الريسبي!$A$2:$A$1800,$A9,الريسبي!$B$2:$B$1800,BH$1)</f>
        <v>0</v>
      </c>
      <c r="BI9" s="115" t="n">
        <f aca="false">SUMIFS(الريسبي!$C$2:$C$1800,الريسبي!$A$2:$A$1800,$A9,الريسبي!$B$2:$B$1800,BI$1)</f>
        <v>0</v>
      </c>
      <c r="BJ9" s="115" t="n">
        <f aca="false">SUMIFS(الريسبي!$C$2:$C$1800,الريسبي!$A$2:$A$1800,$A9,الريسبي!$B$2:$B$1800,BJ$1)</f>
        <v>0</v>
      </c>
      <c r="BK9" s="115" t="n">
        <f aca="false">SUMIFS(الريسبي!$C$2:$C$1800,الريسبي!$A$2:$A$1800,$A9,الريسبي!$B$2:$B$1800,BK$1)</f>
        <v>0</v>
      </c>
      <c r="BL9" s="115" t="n">
        <f aca="false">SUMIFS(الريسبي!$C$2:$C$1800,الريسبي!$A$2:$A$1800,$A9,الريسبي!$B$2:$B$1800,BL$1)</f>
        <v>0</v>
      </c>
      <c r="BM9" s="115" t="n">
        <f aca="false">SUMIFS(الريسبي!$C$2:$C$1800,الريسبي!$A$2:$A$1800,$A9,الريسبي!$B$2:$B$1800,BM$1)</f>
        <v>0</v>
      </c>
      <c r="BN9" s="115" t="n">
        <f aca="false">SUMIFS(الريسبي!$C$2:$C$1800,الريسبي!$A$2:$A$1800,$A9,الريسبي!$B$2:$B$1800,BN$1)</f>
        <v>0.03</v>
      </c>
      <c r="BO9" s="115" t="n">
        <f aca="false">SUMIFS(الريسبي!$C$2:$C$1800,الريسبي!$A$2:$A$1800,$A9,الريسبي!$B$2:$B$1800,BO$1)</f>
        <v>0</v>
      </c>
      <c r="BP9" s="115" t="n">
        <f aca="false">SUMIFS(الريسبي!$C$2:$C$1800,الريسبي!$A$2:$A$1800,$A9,الريسبي!$B$2:$B$1800,BP$1)</f>
        <v>3</v>
      </c>
      <c r="BQ9" s="115"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15" t="n">
        <f aca="false">SUMIFS(الريسبي!$C$2:$C$1800,الريسبي!$A$2:$A$1800,$A9,الريسبي!$B$2:$B$1800,BR$1)</f>
        <v>1</v>
      </c>
      <c r="BS9" s="115" t="n">
        <f aca="false">SUMIFS(الريسبي!$C$2:$C$1800,الريسبي!$A$2:$A$1800,$A9,الريسبي!$B$2:$B$1800,BS$1)</f>
        <v>0</v>
      </c>
      <c r="BT9" s="115" t="n">
        <f aca="false">SUMIFS(الريسبي!$C$2:$C$1800,الريسبي!$A$2:$A$1800,$A9,الريسبي!$B$2:$B$1800,BT$1)</f>
        <v>0</v>
      </c>
      <c r="BU9" s="115"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15" t="n">
        <f aca="false">SUMIFS(الريسبي!$C$2:$C$1800,الريسبي!$A$2:$A$1800,$A9,الريسبي!$B$2:$B$1800,BV$1)</f>
        <v>0</v>
      </c>
      <c r="BW9" s="115" t="n">
        <f aca="false">SUMIFS(الريسبي!$C$2:$C$1800,الريسبي!$A$2:$A$1800,$A9,الريسبي!$B$2:$B$1800,BW$1)</f>
        <v>0</v>
      </c>
      <c r="BX9" s="115" t="n">
        <f aca="false">SUMIFS(الريسبي!$C$2:$C$1800,الريسبي!$A$2:$A$1800,$A9,الريسبي!$B$2:$B$1800,BX$1)</f>
        <v>0</v>
      </c>
      <c r="BY9" s="115" t="n">
        <f aca="false">SUMIFS(الريسبي!$C$2:$C$1800,الريسبي!$A$2:$A$1800,$A9,الريسبي!$B$2:$B$1800,BY$1)</f>
        <v>0</v>
      </c>
      <c r="BZ9" s="115" t="n">
        <f aca="false">SUMIFS(الريسبي!$C$2:$C$1800,الريسبي!$A$2:$A$1800,$A9,الريسبي!$B$2:$B$1800,BZ$1)</f>
        <v>1</v>
      </c>
      <c r="CA9" s="115" t="n">
        <f aca="false">SUMIFS(الريسبي!$C$2:$C$1800,الريسبي!$A$2:$A$1800,$A9,الريسبي!$B$2:$B$1800,CA$1)</f>
        <v>1</v>
      </c>
      <c r="CB9" s="115" t="n">
        <f aca="false">SUMIFS(الريسبي!$C$2:$C$1800,الريسبي!$A$2:$A$1800,$A9,الريسبي!$B$2:$B$1800,CB$1)</f>
        <v>0</v>
      </c>
      <c r="CC9" s="115" t="n">
        <f aca="false">SUMIFS(الريسبي!$C$2:$C$1800,الريسبي!$A$2:$A$1800,$A9,الريسبي!$B$2:$B$1800,CC$1)</f>
        <v>0</v>
      </c>
      <c r="CD9" s="115" t="n">
        <f aca="false">SUMIFS(الريسبي!$C$2:$C$1800,الريسبي!$A$2:$A$1800,$A9,الريسبي!$B$2:$B$1800,CD$1)</f>
        <v>0</v>
      </c>
      <c r="CE9" s="115" t="n">
        <f aca="false">SUMIFS(الريسبي!$C$2:$C$1800,الريسبي!$A$2:$A$1800,$A9,الريسبي!$B$2:$B$1800,CE$1)</f>
        <v>0</v>
      </c>
      <c r="CF9" s="115" t="n">
        <f aca="false">SUMIFS(الريسبي!$C$2:$C$1800,الريسبي!$A$2:$A$1800,$A9,الريسبي!$B$2:$B$1800,CF$1)</f>
        <v>0</v>
      </c>
      <c r="CG9" s="115" t="n">
        <f aca="false">SUMIFS(الريسبي!$C$2:$C$1800,الريسبي!$A$2:$A$1800,$A9,الريسبي!$B$2:$B$1800,CG$1)</f>
        <v>0</v>
      </c>
      <c r="CH9" s="115" t="n">
        <f aca="false">SUMIFS(الريسبي!$C$2:$C$1800,الريسبي!$A$2:$A$1800,$A9,الريسبي!$B$2:$B$1800,CH$1)</f>
        <v>0</v>
      </c>
    </row>
    <row r="10" customFormat="false" ht="15" hidden="false" customHeight="false" outlineLevel="0" collapsed="false">
      <c r="A10" s="114" t="str">
        <f aca="false">المنيو!B10</f>
        <v>بيتزا مشكل جبن وسط</v>
      </c>
      <c r="B10" s="115" t="n">
        <f aca="false">SUMIFS(الريسبي!$C$2:$C$1800,الريسبي!$A$2:$A$1800,$A10,الريسبي!$B$2:$B$1800,B$1)</f>
        <v>0</v>
      </c>
      <c r="C10" s="115" t="n">
        <f aca="false">SUMIFS(الريسبي!$C$2:$C$1800,الريسبي!$A$2:$A$1800,$A10,الريسبي!$B$2:$B$1800,C$1)</f>
        <v>0</v>
      </c>
      <c r="D10" s="115" t="n">
        <f aca="false">SUMIFS(الريسبي!$C$2:$C$1800,الريسبي!$A$2:$A$1800,$A10,الريسبي!$B$2:$B$1800,D$1)</f>
        <v>1</v>
      </c>
      <c r="E10" s="115" t="n">
        <f aca="false">SUMIFS(الريسبي!$C$2:$C$1800,الريسبي!$A$2:$A$1800,$A10,الريسبي!$B$2:$B$1800,E$1)</f>
        <v>0</v>
      </c>
      <c r="F10" s="115" t="n">
        <f aca="false">SUMIFS(الريسبي!$C$2:$C$1800,الريسبي!$A$2:$A$1800,$A10,الريسبي!$B$2:$B$1800,F$1)</f>
        <v>0</v>
      </c>
      <c r="G10" s="115" t="n">
        <f aca="false">SUMIFS(الريسبي!$C$2:$C$1800,الريسبي!$A$2:$A$1800,$A10,الريسبي!$B$2:$B$1800,G$1)</f>
        <v>0</v>
      </c>
      <c r="H10" s="115" t="n">
        <f aca="false">SUMIFS(الريسبي!$C$2:$C$1800,الريسبي!$A$2:$A$1800,$A10,الريسبي!$B$2:$B$1800,H$1)</f>
        <v>0</v>
      </c>
      <c r="I10" s="115" t="n">
        <f aca="false">SUMIFS(الريسبي!$C$2:$C$1800,الريسبي!$A$2:$A$1800,$A10,الريسبي!$B$2:$B$1800,I$1)</f>
        <v>0</v>
      </c>
      <c r="J10" s="115" t="n">
        <f aca="false">SUMIFS(الريسبي!$C$2:$C$1800,الريسبي!$A$2:$A$1800,$A10,الريسبي!$B$2:$B$1800,J$1)</f>
        <v>1</v>
      </c>
      <c r="K10" s="115" t="n">
        <f aca="false">SUMIFS(الريسبي!$C$2:$C$1800,الريسبي!$A$2:$A$1800,$A10,الريسبي!$B$2:$B$1800,K$1)</f>
        <v>0</v>
      </c>
      <c r="L10" s="115" t="n">
        <f aca="false">SUMIFS(الريسبي!$C$2:$C$1800,الريسبي!$A$2:$A$1800,$A10,الريسبي!$B$2:$B$1800,L$1)</f>
        <v>0</v>
      </c>
      <c r="M10" s="115" t="n">
        <f aca="false">SUMIFS(الريسبي!$C$2:$C$1800,الريسبي!$A$2:$A$1800,$A10,الريسبي!$B$2:$B$1800,M$1)</f>
        <v>0</v>
      </c>
      <c r="N10" s="115" t="n">
        <f aca="false">SUMIFS(الريسبي!$C$2:$C$1800,الريسبي!$A$2:$A$1800,$A10,الريسبي!$B$2:$B$1800,N$1)</f>
        <v>0</v>
      </c>
      <c r="O10" s="115" t="n">
        <f aca="false">SUMIFS(الريسبي!$C$2:$C$1800,الريسبي!$A$2:$A$1800,$A10,الريسبي!$B$2:$B$1800,O$1)</f>
        <v>0</v>
      </c>
      <c r="P10" s="115" t="n">
        <f aca="false">SUMIFS(الريسبي!$C$2:$C$1800,الريسبي!$A$2:$A$1800,$A10,الريسبي!$B$2:$B$1800,P$1)</f>
        <v>0</v>
      </c>
      <c r="Q10" s="115" t="n">
        <f aca="false">SUMIFS(الريسبي!$C$2:$C$1800,الريسبي!$A$2:$A$1800,$A10,الريسبي!$B$2:$B$1800,Q$1)</f>
        <v>0</v>
      </c>
      <c r="R10" s="115" t="n">
        <f aca="false">SUMIFS(الريسبي!$C$2:$C$1800,الريسبي!$A$2:$A$1800,$A10,الريسبي!$B$2:$B$1800,R$1)</f>
        <v>0</v>
      </c>
      <c r="S10" s="115" t="n">
        <f aca="false">SUMIFS(الريسبي!$C$2:$C$1800,الريسبي!$A$2:$A$1800,$A10,الريسبي!$B$2:$B$1800,S$1)</f>
        <v>0</v>
      </c>
      <c r="T10" s="115" t="n">
        <f aca="false">SUMIFS(الريسبي!$C$2:$C$1800,الريسبي!$A$2:$A$1800,$A10,الريسبي!$B$2:$B$1800,T$1)</f>
        <v>0</v>
      </c>
      <c r="U10" s="115" t="n">
        <f aca="false">SUMIFS(الريسبي!$C$2:$C$1800,الريسبي!$A$2:$A$1800,$A10,الريسبي!$B$2:$B$1800,U$1)</f>
        <v>0</v>
      </c>
      <c r="V10" s="115" t="n">
        <f aca="false">SUMIFS(الريسبي!$C$2:$C$1800,الريسبي!$A$2:$A$1800,$A10,الريسبي!$B$2:$B$1800,V$1)</f>
        <v>1</v>
      </c>
      <c r="W10" s="115" t="n">
        <f aca="false">SUMIFS(الريسبي!$C$2:$C$1800,الريسبي!$A$2:$A$1800,$A10,الريسبي!$B$2:$B$1800,W$1)</f>
        <v>0</v>
      </c>
      <c r="X10" s="115" t="n">
        <f aca="false">SUMIFS(الريسبي!$C$2:$C$1800,الريسبي!$A$2:$A$1800,$A10,الريسبي!$B$2:$B$1800,X$1)</f>
        <v>0</v>
      </c>
      <c r="Y10" s="115" t="n">
        <f aca="false">SUMIFS(الريسبي!$C$2:$C$1800,الريسبي!$A$2:$A$1800,$A10,الريسبي!$B$2:$B$1800,Y$1)</f>
        <v>0</v>
      </c>
      <c r="Z10" s="115" t="n">
        <f aca="false">SUMIFS(الريسبي!$C$2:$C$1800,الريسبي!$A$2:$A$1800,$A10,الريسبي!$B$2:$B$1800,Z$1)</f>
        <v>0</v>
      </c>
      <c r="AA10" s="115" t="n">
        <f aca="false">SUMIFS(الريسبي!$C$2:$C$1800,الريسبي!$A$2:$A$1800,$A10,الريسبي!$B$2:$B$1800,AA$1)</f>
        <v>0</v>
      </c>
      <c r="AB10" s="115" t="n">
        <f aca="false">SUMIFS(الريسبي!$C$2:$C$1800,الريسبي!$A$2:$A$1800,$A10,الريسبي!$B$2:$B$1800,AB$1)</f>
        <v>0</v>
      </c>
      <c r="AC10" s="115" t="n">
        <f aca="false">SUMIFS(الريسبي!$C$2:$C$1800,الريسبي!$A$2:$A$1800,$A10,الريسبي!$B$2:$B$1800,AC$1)</f>
        <v>0</v>
      </c>
      <c r="AD10" s="115" t="n">
        <f aca="false">SUMIFS(الريسبي!$C$2:$C$1800,الريسبي!$A$2:$A$1800,$A10,الريسبي!$B$2:$B$1800,AD$1)</f>
        <v>0</v>
      </c>
      <c r="AE10" s="115" t="n">
        <f aca="false">SUMIFS(الريسبي!$C$2:$C$1800,الريسبي!$A$2:$A$1800,$A10,الريسبي!$B$2:$B$1800,AE$1)</f>
        <v>0</v>
      </c>
      <c r="AF10" s="115" t="n">
        <f aca="false">SUMIFS(الريسبي!$C$2:$C$1800,الريسبي!$A$2:$A$1800,$A10,الريسبي!$B$2:$B$1800,AF$1)</f>
        <v>0</v>
      </c>
      <c r="AG10" s="115" t="n">
        <f aca="false">SUMIFS(الريسبي!$C$2:$C$1800,الريسبي!$A$2:$A$1800,$A10,الريسبي!$B$2:$B$1800,AG$1)</f>
        <v>0</v>
      </c>
      <c r="AH10" s="115" t="n">
        <f aca="false">SUMIFS(الريسبي!$C$2:$C$1800,الريسبي!$A$2:$A$1800,$A10,الريسبي!$B$2:$B$1800,AH$1)</f>
        <v>0</v>
      </c>
      <c r="AI10" s="115" t="n">
        <f aca="false">SUMIFS(الريسبي!$C$2:$C$1800,الريسبي!$A$2:$A$1800,$A10,الريسبي!$B$2:$B$1800,AI$1)</f>
        <v>0</v>
      </c>
      <c r="AJ10" s="115" t="n">
        <f aca="false">SUMIFS(الريسبي!$C$2:$C$1800,الريسبي!$A$2:$A$1800,$A10,الريسبي!$B$2:$B$1800,AJ$1)</f>
        <v>2</v>
      </c>
      <c r="AK10" s="115" t="n">
        <f aca="false">SUMIFS(الريسبي!$C$2:$C$1800,الريسبي!$A$2:$A$1800,$A10,الريسبي!$B$2:$B$1800,AK$1)</f>
        <v>0</v>
      </c>
      <c r="AL10" s="115" t="n">
        <f aca="false">SUMIFS(الريسبي!$C$2:$C$1800,الريسبي!$A$2:$A$1800,$A10,الريسبي!$B$2:$B$1800,AL$1)</f>
        <v>0</v>
      </c>
      <c r="AM10" s="115"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15"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15" t="n">
        <f aca="false">SUMIFS(الريسبي!$C$2:$C$1800,الريسبي!$A$2:$A$1800,$A10,الريسبي!$B$2:$B$1800,AO$1)</f>
        <v>0</v>
      </c>
      <c r="AP10" s="115" t="n">
        <f aca="false">SUMIFS(الريسبي!$C$2:$C$1800,الريسبي!$A$2:$A$1800,$A10,الريسبي!$B$2:$B$1800,AP$1)</f>
        <v>0.02</v>
      </c>
      <c r="AQ10" s="115"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15" t="n">
        <f aca="false">SUMIFS(الريسبي!$C$2:$C$1800,الريسبي!$A$2:$A$1800,$A10,الريسبي!$B$2:$B$1800,AR$1)</f>
        <v>0</v>
      </c>
      <c r="AS10" s="115" t="n">
        <f aca="false">SUMIFS(الريسبي!$C$2:$C$1800,الريسبي!$A$2:$A$1800,$A10,الريسبي!$B$2:$B$1800,AS$1)</f>
        <v>0</v>
      </c>
      <c r="AT10" s="115" t="n">
        <f aca="false">SUMIFS(الريسبي!$C$2:$C$1800,الريسبي!$A$2:$A$1800,$A10,الريسبي!$B$2:$B$1800,AT$1)</f>
        <v>0</v>
      </c>
      <c r="AU10" s="115" t="n">
        <f aca="false">SUMIFS(الريسبي!$C$2:$C$1800,الريسبي!$A$2:$A$1800,$A10,الريسبي!$B$2:$B$1800,AU$1)</f>
        <v>0</v>
      </c>
      <c r="AV10" s="115" t="n">
        <f aca="false">SUMIFS(الريسبي!$C$2:$C$1800,الريسبي!$A$2:$A$1800,$A10,الريسبي!$B$2:$B$1800,AV$1)</f>
        <v>0</v>
      </c>
      <c r="AW10" s="115" t="n">
        <f aca="false">SUMIFS(الريسبي!$C$2:$C$1800,الريسبي!$A$2:$A$1800,$A10,الريسبي!$B$2:$B$1800,AW$1)</f>
        <v>0</v>
      </c>
      <c r="AX10" s="115" t="n">
        <f aca="false">SUMIFS(الريسبي!$C$2:$C$1800,الريسبي!$A$2:$A$1800,$A10,الريسبي!$B$2:$B$1800,AX$1)</f>
        <v>0.04</v>
      </c>
      <c r="AY10" s="115" t="n">
        <f aca="false">SUMIFS(الريسبي!$C$2:$C$1800,الريسبي!$A$2:$A$1800,$A10,الريسبي!$B$2:$B$1800,AY$1)</f>
        <v>0</v>
      </c>
      <c r="AZ10" s="115" t="n">
        <f aca="false">SUMIFS(الريسبي!$C$2:$C$1800,الريسبي!$A$2:$A$1800,$A10,الريسبي!$B$2:$B$1800,AZ$1)</f>
        <v>0</v>
      </c>
      <c r="BA10" s="115" t="n">
        <f aca="false">SUMIFS(الريسبي!$C$2:$C$1800,الريسبي!$A$2:$A$1800,$A10,الريسبي!$B$2:$B$1800,BA$1)</f>
        <v>0</v>
      </c>
      <c r="BB10" s="115" t="n">
        <f aca="false">SUMIFS(الريسبي!$C$2:$C$1800,الريسبي!$A$2:$A$1800,$A10,الريسبي!$B$2:$B$1800,BB$1)</f>
        <v>0.1</v>
      </c>
      <c r="BC10" s="115" t="n">
        <f aca="false">SUMIFS(الريسبي!$C$2:$C$1800,الريسبي!$A$2:$A$1800,$A10,الريسبي!$B$2:$B$1800,BC$1)</f>
        <v>0.03</v>
      </c>
      <c r="BD10" s="115" t="n">
        <f aca="false">SUMIFS(الريسبي!$C$2:$C$1800,الريسبي!$A$2:$A$1800,$A10,الريسبي!$B$2:$B$1800,BD$1)</f>
        <v>0.22</v>
      </c>
      <c r="BE10" s="115" t="n">
        <f aca="false">SUMIFS(الريسبي!$C$2:$C$1800,الريسبي!$A$2:$A$1800,$A10,الريسبي!$B$2:$B$1800,BE$1)</f>
        <v>0</v>
      </c>
      <c r="BF10" s="115" t="n">
        <f aca="false">SUMIFS(الريسبي!$C$2:$C$1800,الريسبي!$A$2:$A$1800,$A10,الريسبي!$B$2:$B$1800,BF$1)</f>
        <v>0</v>
      </c>
      <c r="BG10" s="115" t="n">
        <f aca="false">SUMIFS(الريسبي!$C$2:$C$1800,الريسبي!$A$2:$A$1800,$A10,الريسبي!$B$2:$B$1800,BG$1)</f>
        <v>0</v>
      </c>
      <c r="BH10" s="115" t="n">
        <f aca="false">SUMIFS(الريسبي!$C$2:$C$1800,الريسبي!$A$2:$A$1800,$A10,الريسبي!$B$2:$B$1800,BH$1)</f>
        <v>1</v>
      </c>
      <c r="BI10" s="115" t="n">
        <f aca="false">SUMIFS(الريسبي!$C$2:$C$1800,الريسبي!$A$2:$A$1800,$A10,الريسبي!$B$2:$B$1800,BI$1)</f>
        <v>0</v>
      </c>
      <c r="BJ10" s="115" t="n">
        <f aca="false">SUMIFS(الريسبي!$C$2:$C$1800,الريسبي!$A$2:$A$1800,$A10,الريسبي!$B$2:$B$1800,BJ$1)</f>
        <v>0</v>
      </c>
      <c r="BK10" s="115" t="n">
        <f aca="false">SUMIFS(الريسبي!$C$2:$C$1800,الريسبي!$A$2:$A$1800,$A10,الريسبي!$B$2:$B$1800,BK$1)</f>
        <v>0</v>
      </c>
      <c r="BL10" s="115" t="n">
        <f aca="false">SUMIFS(الريسبي!$C$2:$C$1800,الريسبي!$A$2:$A$1800,$A10,الريسبي!$B$2:$B$1800,BL$1)</f>
        <v>0</v>
      </c>
      <c r="BM10" s="115" t="n">
        <f aca="false">SUMIFS(الريسبي!$C$2:$C$1800,الريسبي!$A$2:$A$1800,$A10,الريسبي!$B$2:$B$1800,BM$1)</f>
        <v>0</v>
      </c>
      <c r="BN10" s="115" t="n">
        <f aca="false">SUMIFS(الريسبي!$C$2:$C$1800,الريسبي!$A$2:$A$1800,$A10,الريسبي!$B$2:$B$1800,BN$1)</f>
        <v>0.02</v>
      </c>
      <c r="BO10" s="115" t="n">
        <f aca="false">SUMIFS(الريسبي!$C$2:$C$1800,الريسبي!$A$2:$A$1800,$A10,الريسبي!$B$2:$B$1800,BO$1)</f>
        <v>2</v>
      </c>
      <c r="BP10" s="115" t="n">
        <f aca="false">SUMIFS(الريسبي!$C$2:$C$1800,الريسبي!$A$2:$A$1800,$A10,الريسبي!$B$2:$B$1800,BP$1)</f>
        <v>2</v>
      </c>
      <c r="BQ10" s="115"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15" t="n">
        <f aca="false">SUMIFS(الريسبي!$C$2:$C$1800,الريسبي!$A$2:$A$1800,$A10,الريسبي!$B$2:$B$1800,BR$1)</f>
        <v>1</v>
      </c>
      <c r="BS10" s="115" t="n">
        <f aca="false">SUMIFS(الريسبي!$C$2:$C$1800,الريسبي!$A$2:$A$1800,$A10,الريسبي!$B$2:$B$1800,BS$1)</f>
        <v>0</v>
      </c>
      <c r="BT10" s="115" t="n">
        <f aca="false">SUMIFS(الريسبي!$C$2:$C$1800,الريسبي!$A$2:$A$1800,$A10,الريسبي!$B$2:$B$1800,BT$1)</f>
        <v>0</v>
      </c>
      <c r="BU10" s="115"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15" t="n">
        <f aca="false">SUMIFS(الريسبي!$C$2:$C$1800,الريسبي!$A$2:$A$1800,$A10,الريسبي!$B$2:$B$1800,BV$1)</f>
        <v>0</v>
      </c>
      <c r="BW10" s="115" t="n">
        <f aca="false">SUMIFS(الريسبي!$C$2:$C$1800,الريسبي!$A$2:$A$1800,$A10,الريسبي!$B$2:$B$1800,BW$1)</f>
        <v>0</v>
      </c>
      <c r="BX10" s="115" t="n">
        <f aca="false">SUMIFS(الريسبي!$C$2:$C$1800,الريسبي!$A$2:$A$1800,$A10,الريسبي!$B$2:$B$1800,BX$1)</f>
        <v>0</v>
      </c>
      <c r="BY10" s="115" t="n">
        <f aca="false">SUMIFS(الريسبي!$C$2:$C$1800,الريسبي!$A$2:$A$1800,$A10,الريسبي!$B$2:$B$1800,BY$1)</f>
        <v>0</v>
      </c>
      <c r="BZ10" s="115" t="n">
        <f aca="false">SUMIFS(الريسبي!$C$2:$C$1800,الريسبي!$A$2:$A$1800,$A10,الريسبي!$B$2:$B$1800,BZ$1)</f>
        <v>1</v>
      </c>
      <c r="CA10" s="115" t="n">
        <f aca="false">SUMIFS(الريسبي!$C$2:$C$1800,الريسبي!$A$2:$A$1800,$A10,الريسبي!$B$2:$B$1800,CA$1)</f>
        <v>1</v>
      </c>
      <c r="CB10" s="115" t="n">
        <f aca="false">SUMIFS(الريسبي!$C$2:$C$1800,الريسبي!$A$2:$A$1800,$A10,الريسبي!$B$2:$B$1800,CB$1)</f>
        <v>0</v>
      </c>
      <c r="CC10" s="115" t="n">
        <f aca="false">SUMIFS(الريسبي!$C$2:$C$1800,الريسبي!$A$2:$A$1800,$A10,الريسبي!$B$2:$B$1800,CC$1)</f>
        <v>0</v>
      </c>
      <c r="CD10" s="115" t="n">
        <f aca="false">SUMIFS(الريسبي!$C$2:$C$1800,الريسبي!$A$2:$A$1800,$A10,الريسبي!$B$2:$B$1800,CD$1)</f>
        <v>0</v>
      </c>
      <c r="CE10" s="115" t="n">
        <f aca="false">SUMIFS(الريسبي!$C$2:$C$1800,الريسبي!$A$2:$A$1800,$A10,الريسبي!$B$2:$B$1800,CE$1)</f>
        <v>0</v>
      </c>
      <c r="CF10" s="115" t="n">
        <f aca="false">SUMIFS(الريسبي!$C$2:$C$1800,الريسبي!$A$2:$A$1800,$A10,الريسبي!$B$2:$B$1800,CF$1)</f>
        <v>0</v>
      </c>
      <c r="CG10" s="115" t="n">
        <f aca="false">SUMIFS(الريسبي!$C$2:$C$1800,الريسبي!$A$2:$A$1800,$A10,الريسبي!$B$2:$B$1800,CG$1)</f>
        <v>0</v>
      </c>
      <c r="CH10" s="115" t="n">
        <f aca="false">SUMIFS(الريسبي!$C$2:$C$1800,الريسبي!$A$2:$A$1800,$A10,الريسبي!$B$2:$B$1800,CH$1)</f>
        <v>0</v>
      </c>
    </row>
    <row r="11" customFormat="false" ht="15" hidden="false" customHeight="false" outlineLevel="0" collapsed="false">
      <c r="A11" s="114" t="str">
        <f aca="false">المنيو!B11</f>
        <v>بيتزا مشكل جبن حجم اكبر</v>
      </c>
      <c r="B11" s="115" t="n">
        <f aca="false">SUMIFS(الريسبي!$C$2:$C$1800,الريسبي!$A$2:$A$1800,$A11,الريسبي!$B$2:$B$1800,B$1)</f>
        <v>0</v>
      </c>
      <c r="C11" s="115" t="n">
        <f aca="false">SUMIFS(الريسبي!$C$2:$C$1800,الريسبي!$A$2:$A$1800,$A11,الريسبي!$B$2:$B$1800,C$1)</f>
        <v>0</v>
      </c>
      <c r="D11" s="115" t="n">
        <f aca="false">SUMIFS(الريسبي!$C$2:$C$1800,الريسبي!$A$2:$A$1800,$A11,الريسبي!$B$2:$B$1800,D$1)</f>
        <v>1</v>
      </c>
      <c r="E11" s="115" t="n">
        <f aca="false">SUMIFS(الريسبي!$C$2:$C$1800,الريسبي!$A$2:$A$1800,$A11,الريسبي!$B$2:$B$1800,E$1)</f>
        <v>0</v>
      </c>
      <c r="F11" s="115" t="n">
        <f aca="false">SUMIFS(الريسبي!$C$2:$C$1800,الريسبي!$A$2:$A$1800,$A11,الريسبي!$B$2:$B$1800,F$1)</f>
        <v>0</v>
      </c>
      <c r="G11" s="115" t="n">
        <f aca="false">SUMIFS(الريسبي!$C$2:$C$1800,الريسبي!$A$2:$A$1800,$A11,الريسبي!$B$2:$B$1800,G$1)</f>
        <v>0</v>
      </c>
      <c r="H11" s="115" t="n">
        <f aca="false">SUMIFS(الريسبي!$C$2:$C$1800,الريسبي!$A$2:$A$1800,$A11,الريسبي!$B$2:$B$1800,H$1)</f>
        <v>0</v>
      </c>
      <c r="I11" s="115" t="n">
        <f aca="false">SUMIFS(الريسبي!$C$2:$C$1800,الريسبي!$A$2:$A$1800,$A11,الريسبي!$B$2:$B$1800,I$1)</f>
        <v>0</v>
      </c>
      <c r="J11" s="115" t="n">
        <f aca="false">SUMIFS(الريسبي!$C$2:$C$1800,الريسبي!$A$2:$A$1800,$A11,الريسبي!$B$2:$B$1800,J$1)</f>
        <v>1.5</v>
      </c>
      <c r="K11" s="115" t="n">
        <f aca="false">SUMIFS(الريسبي!$C$2:$C$1800,الريسبي!$A$2:$A$1800,$A11,الريسبي!$B$2:$B$1800,K$1)</f>
        <v>0</v>
      </c>
      <c r="L11" s="115" t="n">
        <f aca="false">SUMIFS(الريسبي!$C$2:$C$1800,الريسبي!$A$2:$A$1800,$A11,الريسبي!$B$2:$B$1800,L$1)</f>
        <v>0</v>
      </c>
      <c r="M11" s="115" t="n">
        <f aca="false">SUMIFS(الريسبي!$C$2:$C$1800,الريسبي!$A$2:$A$1800,$A11,الريسبي!$B$2:$B$1800,M$1)</f>
        <v>0</v>
      </c>
      <c r="N11" s="115" t="n">
        <f aca="false">SUMIFS(الريسبي!$C$2:$C$1800,الريسبي!$A$2:$A$1800,$A11,الريسبي!$B$2:$B$1800,N$1)</f>
        <v>0</v>
      </c>
      <c r="O11" s="115" t="n">
        <f aca="false">SUMIFS(الريسبي!$C$2:$C$1800,الريسبي!$A$2:$A$1800,$A11,الريسبي!$B$2:$B$1800,O$1)</f>
        <v>0</v>
      </c>
      <c r="P11" s="115" t="n">
        <f aca="false">SUMIFS(الريسبي!$C$2:$C$1800,الريسبي!$A$2:$A$1800,$A11,الريسبي!$B$2:$B$1800,P$1)</f>
        <v>0</v>
      </c>
      <c r="Q11" s="115" t="n">
        <f aca="false">SUMIFS(الريسبي!$C$2:$C$1800,الريسبي!$A$2:$A$1800,$A11,الريسبي!$B$2:$B$1800,Q$1)</f>
        <v>0</v>
      </c>
      <c r="R11" s="115" t="n">
        <f aca="false">SUMIFS(الريسبي!$C$2:$C$1800,الريسبي!$A$2:$A$1800,$A11,الريسبي!$B$2:$B$1800,R$1)</f>
        <v>0</v>
      </c>
      <c r="S11" s="115" t="n">
        <f aca="false">SUMIFS(الريسبي!$C$2:$C$1800,الريسبي!$A$2:$A$1800,$A11,الريسبي!$B$2:$B$1800,S$1)</f>
        <v>0</v>
      </c>
      <c r="T11" s="115" t="n">
        <f aca="false">SUMIFS(الريسبي!$C$2:$C$1800,الريسبي!$A$2:$A$1800,$A11,الريسبي!$B$2:$B$1800,T$1)</f>
        <v>0</v>
      </c>
      <c r="U11" s="115" t="n">
        <f aca="false">SUMIFS(الريسبي!$C$2:$C$1800,الريسبي!$A$2:$A$1800,$A11,الريسبي!$B$2:$B$1800,U$1)</f>
        <v>0</v>
      </c>
      <c r="V11" s="115" t="n">
        <f aca="false">SUMIFS(الريسبي!$C$2:$C$1800,الريسبي!$A$2:$A$1800,$A11,الريسبي!$B$2:$B$1800,V$1)</f>
        <v>0</v>
      </c>
      <c r="W11" s="115" t="n">
        <f aca="false">SUMIFS(الريسبي!$C$2:$C$1800,الريسبي!$A$2:$A$1800,$A11,الريسبي!$B$2:$B$1800,W$1)</f>
        <v>1</v>
      </c>
      <c r="X11" s="115" t="n">
        <f aca="false">SUMIFS(الريسبي!$C$2:$C$1800,الريسبي!$A$2:$A$1800,$A11,الريسبي!$B$2:$B$1800,X$1)</f>
        <v>0</v>
      </c>
      <c r="Y11" s="115" t="n">
        <f aca="false">SUMIFS(الريسبي!$C$2:$C$1800,الريسبي!$A$2:$A$1800,$A11,الريسبي!$B$2:$B$1800,Y$1)</f>
        <v>0</v>
      </c>
      <c r="Z11" s="115" t="n">
        <f aca="false">SUMIFS(الريسبي!$C$2:$C$1800,الريسبي!$A$2:$A$1800,$A11,الريسبي!$B$2:$B$1800,Z$1)</f>
        <v>0</v>
      </c>
      <c r="AA11" s="115" t="n">
        <f aca="false">SUMIFS(الريسبي!$C$2:$C$1800,الريسبي!$A$2:$A$1800,$A11,الريسبي!$B$2:$B$1800,AA$1)</f>
        <v>0</v>
      </c>
      <c r="AB11" s="115" t="n">
        <f aca="false">SUMIFS(الريسبي!$C$2:$C$1800,الريسبي!$A$2:$A$1800,$A11,الريسبي!$B$2:$B$1800,AB$1)</f>
        <v>0</v>
      </c>
      <c r="AC11" s="115" t="n">
        <f aca="false">SUMIFS(الريسبي!$C$2:$C$1800,الريسبي!$A$2:$A$1800,$A11,الريسبي!$B$2:$B$1800,AC$1)</f>
        <v>0</v>
      </c>
      <c r="AD11" s="115" t="n">
        <f aca="false">SUMIFS(الريسبي!$C$2:$C$1800,الريسبي!$A$2:$A$1800,$A11,الريسبي!$B$2:$B$1800,AD$1)</f>
        <v>0</v>
      </c>
      <c r="AE11" s="115" t="n">
        <f aca="false">SUMIFS(الريسبي!$C$2:$C$1800,الريسبي!$A$2:$A$1800,$A11,الريسبي!$B$2:$B$1800,AE$1)</f>
        <v>0</v>
      </c>
      <c r="AF11" s="115" t="n">
        <f aca="false">SUMIFS(الريسبي!$C$2:$C$1800,الريسبي!$A$2:$A$1800,$A11,الريسبي!$B$2:$B$1800,AF$1)</f>
        <v>0</v>
      </c>
      <c r="AG11" s="115" t="n">
        <f aca="false">SUMIFS(الريسبي!$C$2:$C$1800,الريسبي!$A$2:$A$1800,$A11,الريسبي!$B$2:$B$1800,AG$1)</f>
        <v>0</v>
      </c>
      <c r="AH11" s="115" t="n">
        <f aca="false">SUMIFS(الريسبي!$C$2:$C$1800,الريسبي!$A$2:$A$1800,$A11,الريسبي!$B$2:$B$1800,AH$1)</f>
        <v>0</v>
      </c>
      <c r="AI11" s="115" t="n">
        <f aca="false">SUMIFS(الريسبي!$C$2:$C$1800,الريسبي!$A$2:$A$1800,$A11,الريسبي!$B$2:$B$1800,AI$1)</f>
        <v>0</v>
      </c>
      <c r="AJ11" s="115" t="n">
        <f aca="false">SUMIFS(الريسبي!$C$2:$C$1800,الريسبي!$A$2:$A$1800,$A11,الريسبي!$B$2:$B$1800,AJ$1)</f>
        <v>2</v>
      </c>
      <c r="AK11" s="115" t="n">
        <f aca="false">SUMIFS(الريسبي!$C$2:$C$1800,الريسبي!$A$2:$A$1800,$A11,الريسبي!$B$2:$B$1800,AK$1)</f>
        <v>0</v>
      </c>
      <c r="AL11" s="115" t="n">
        <f aca="false">SUMIFS(الريسبي!$C$2:$C$1800,الريسبي!$A$2:$A$1800,$A11,الريسبي!$B$2:$B$1800,AL$1)</f>
        <v>0</v>
      </c>
      <c r="AM11" s="115"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15"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15" t="n">
        <f aca="false">SUMIFS(الريسبي!$C$2:$C$1800,الريسبي!$A$2:$A$1800,$A11,الريسبي!$B$2:$B$1800,AO$1)</f>
        <v>0</v>
      </c>
      <c r="AP11" s="115" t="n">
        <f aca="false">SUMIFS(الريسبي!$C$2:$C$1800,الريسبي!$A$2:$A$1800,$A11,الريسبي!$B$2:$B$1800,AP$1)</f>
        <v>0.03</v>
      </c>
      <c r="AQ11" s="115"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15" t="n">
        <f aca="false">SUMIFS(الريسبي!$C$2:$C$1800,الريسبي!$A$2:$A$1800,$A11,الريسبي!$B$2:$B$1800,AR$1)</f>
        <v>0</v>
      </c>
      <c r="AS11" s="115" t="n">
        <f aca="false">SUMIFS(الريسبي!$C$2:$C$1800,الريسبي!$A$2:$A$1800,$A11,الريسبي!$B$2:$B$1800,AS$1)</f>
        <v>0</v>
      </c>
      <c r="AT11" s="115" t="n">
        <f aca="false">SUMIFS(الريسبي!$C$2:$C$1800,الريسبي!$A$2:$A$1800,$A11,الريسبي!$B$2:$B$1800,AT$1)</f>
        <v>0</v>
      </c>
      <c r="AU11" s="115" t="n">
        <f aca="false">SUMIFS(الريسبي!$C$2:$C$1800,الريسبي!$A$2:$A$1800,$A11,الريسبي!$B$2:$B$1800,AU$1)</f>
        <v>0</v>
      </c>
      <c r="AV11" s="115" t="n">
        <f aca="false">SUMIFS(الريسبي!$C$2:$C$1800,الريسبي!$A$2:$A$1800,$A11,الريسبي!$B$2:$B$1800,AV$1)</f>
        <v>0</v>
      </c>
      <c r="AW11" s="115" t="n">
        <f aca="false">SUMIFS(الريسبي!$C$2:$C$1800,الريسبي!$A$2:$A$1800,$A11,الريسبي!$B$2:$B$1800,AW$1)</f>
        <v>0</v>
      </c>
      <c r="AX11" s="115" t="n">
        <f aca="false">SUMIFS(الريسبي!$C$2:$C$1800,الريسبي!$A$2:$A$1800,$A11,الريسبي!$B$2:$B$1800,AX$1)</f>
        <v>0.06</v>
      </c>
      <c r="AY11" s="115" t="n">
        <f aca="false">SUMIFS(الريسبي!$C$2:$C$1800,الريسبي!$A$2:$A$1800,$A11,الريسبي!$B$2:$B$1800,AY$1)</f>
        <v>0</v>
      </c>
      <c r="AZ11" s="115" t="n">
        <f aca="false">SUMIFS(الريسبي!$C$2:$C$1800,الريسبي!$A$2:$A$1800,$A11,الريسبي!$B$2:$B$1800,AZ$1)</f>
        <v>0</v>
      </c>
      <c r="BA11" s="115" t="n">
        <f aca="false">SUMIFS(الريسبي!$C$2:$C$1800,الريسبي!$A$2:$A$1800,$A11,الريسبي!$B$2:$B$1800,BA$1)</f>
        <v>0</v>
      </c>
      <c r="BB11" s="115" t="n">
        <f aca="false">SUMIFS(الريسبي!$C$2:$C$1800,الريسبي!$A$2:$A$1800,$A11,الريسبي!$B$2:$B$1800,BB$1)</f>
        <v>0.15</v>
      </c>
      <c r="BC11" s="115" t="n">
        <f aca="false">SUMIFS(الريسبي!$C$2:$C$1800,الريسبي!$A$2:$A$1800,$A11,الريسبي!$B$2:$B$1800,BC$1)</f>
        <v>0.045</v>
      </c>
      <c r="BD11" s="115" t="n">
        <f aca="false">SUMIFS(الريسبي!$C$2:$C$1800,الريسبي!$A$2:$A$1800,$A11,الريسبي!$B$2:$B$1800,BD$1)</f>
        <v>0.3</v>
      </c>
      <c r="BE11" s="115" t="n">
        <f aca="false">SUMIFS(الريسبي!$C$2:$C$1800,الريسبي!$A$2:$A$1800,$A11,الريسبي!$B$2:$B$1800,BE$1)</f>
        <v>0</v>
      </c>
      <c r="BF11" s="115" t="n">
        <f aca="false">SUMIFS(الريسبي!$C$2:$C$1800,الريسبي!$A$2:$A$1800,$A11,الريسبي!$B$2:$B$1800,BF$1)</f>
        <v>0</v>
      </c>
      <c r="BG11" s="115" t="n">
        <f aca="false">SUMIFS(الريسبي!$C$2:$C$1800,الريسبي!$A$2:$A$1800,$A11,الريسبي!$B$2:$B$1800,BG$1)</f>
        <v>1</v>
      </c>
      <c r="BH11" s="115" t="n">
        <f aca="false">SUMIFS(الريسبي!$C$2:$C$1800,الريسبي!$A$2:$A$1800,$A11,الريسبي!$B$2:$B$1800,BH$1)</f>
        <v>0</v>
      </c>
      <c r="BI11" s="115" t="n">
        <f aca="false">SUMIFS(الريسبي!$C$2:$C$1800,الريسبي!$A$2:$A$1800,$A11,الريسبي!$B$2:$B$1800,BI$1)</f>
        <v>0</v>
      </c>
      <c r="BJ11" s="115" t="n">
        <f aca="false">SUMIFS(الريسبي!$C$2:$C$1800,الريسبي!$A$2:$A$1800,$A11,الريسبي!$B$2:$B$1800,BJ$1)</f>
        <v>0</v>
      </c>
      <c r="BK11" s="115" t="n">
        <f aca="false">SUMIFS(الريسبي!$C$2:$C$1800,الريسبي!$A$2:$A$1800,$A11,الريسبي!$B$2:$B$1800,BK$1)</f>
        <v>0</v>
      </c>
      <c r="BL11" s="115" t="n">
        <f aca="false">SUMIFS(الريسبي!$C$2:$C$1800,الريسبي!$A$2:$A$1800,$A11,الريسبي!$B$2:$B$1800,BL$1)</f>
        <v>0</v>
      </c>
      <c r="BM11" s="115" t="n">
        <f aca="false">SUMIFS(الريسبي!$C$2:$C$1800,الريسبي!$A$2:$A$1800,$A11,الريسبي!$B$2:$B$1800,BM$1)</f>
        <v>0</v>
      </c>
      <c r="BN11" s="115" t="n">
        <f aca="false">SUMIFS(الريسبي!$C$2:$C$1800,الريسبي!$A$2:$A$1800,$A11,الريسبي!$B$2:$B$1800,BN$1)</f>
        <v>0.03</v>
      </c>
      <c r="BO11" s="115" t="n">
        <f aca="false">SUMIFS(الريسبي!$C$2:$C$1800,الريسبي!$A$2:$A$1800,$A11,الريسبي!$B$2:$B$1800,BO$1)</f>
        <v>3</v>
      </c>
      <c r="BP11" s="115" t="n">
        <f aca="false">SUMIFS(الريسبي!$C$2:$C$1800,الريسبي!$A$2:$A$1800,$A11,الريسبي!$B$2:$B$1800,BP$1)</f>
        <v>3</v>
      </c>
      <c r="BQ11" s="115"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15" t="n">
        <f aca="false">SUMIFS(الريسبي!$C$2:$C$1800,الريسبي!$A$2:$A$1800,$A11,الريسبي!$B$2:$B$1800,BR$1)</f>
        <v>1</v>
      </c>
      <c r="BS11" s="115" t="n">
        <f aca="false">SUMIFS(الريسبي!$C$2:$C$1800,الريسبي!$A$2:$A$1800,$A11,الريسبي!$B$2:$B$1800,BS$1)</f>
        <v>0</v>
      </c>
      <c r="BT11" s="115" t="n">
        <f aca="false">SUMIFS(الريسبي!$C$2:$C$1800,الريسبي!$A$2:$A$1800,$A11,الريسبي!$B$2:$B$1800,BT$1)</f>
        <v>0</v>
      </c>
      <c r="BU11" s="115"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15" t="n">
        <f aca="false">SUMIFS(الريسبي!$C$2:$C$1800,الريسبي!$A$2:$A$1800,$A11,الريسبي!$B$2:$B$1800,BV$1)</f>
        <v>0</v>
      </c>
      <c r="BW11" s="115" t="n">
        <f aca="false">SUMIFS(الريسبي!$C$2:$C$1800,الريسبي!$A$2:$A$1800,$A11,الريسبي!$B$2:$B$1800,BW$1)</f>
        <v>0</v>
      </c>
      <c r="BX11" s="115" t="n">
        <f aca="false">SUMIFS(الريسبي!$C$2:$C$1800,الريسبي!$A$2:$A$1800,$A11,الريسبي!$B$2:$B$1800,BX$1)</f>
        <v>0</v>
      </c>
      <c r="BY11" s="115" t="n">
        <f aca="false">SUMIFS(الريسبي!$C$2:$C$1800,الريسبي!$A$2:$A$1800,$A11,الريسبي!$B$2:$B$1800,BY$1)</f>
        <v>0</v>
      </c>
      <c r="BZ11" s="115" t="n">
        <f aca="false">SUMIFS(الريسبي!$C$2:$C$1800,الريسبي!$A$2:$A$1800,$A11,الريسبي!$B$2:$B$1800,BZ$1)</f>
        <v>1</v>
      </c>
      <c r="CA11" s="115" t="n">
        <f aca="false">SUMIFS(الريسبي!$C$2:$C$1800,الريسبي!$A$2:$A$1800,$A11,الريسبي!$B$2:$B$1800,CA$1)</f>
        <v>1</v>
      </c>
      <c r="CB11" s="115" t="n">
        <f aca="false">SUMIFS(الريسبي!$C$2:$C$1800,الريسبي!$A$2:$A$1800,$A11,الريسبي!$B$2:$B$1800,CB$1)</f>
        <v>0</v>
      </c>
      <c r="CC11" s="115" t="n">
        <f aca="false">SUMIFS(الريسبي!$C$2:$C$1800,الريسبي!$A$2:$A$1800,$A11,الريسبي!$B$2:$B$1800,CC$1)</f>
        <v>0</v>
      </c>
      <c r="CD11" s="115" t="n">
        <f aca="false">SUMIFS(الريسبي!$C$2:$C$1800,الريسبي!$A$2:$A$1800,$A11,الريسبي!$B$2:$B$1800,CD$1)</f>
        <v>0</v>
      </c>
      <c r="CE11" s="115" t="n">
        <f aca="false">SUMIFS(الريسبي!$C$2:$C$1800,الريسبي!$A$2:$A$1800,$A11,الريسبي!$B$2:$B$1800,CE$1)</f>
        <v>0</v>
      </c>
      <c r="CF11" s="115" t="n">
        <f aca="false">SUMIFS(الريسبي!$C$2:$C$1800,الريسبي!$A$2:$A$1800,$A11,الريسبي!$B$2:$B$1800,CF$1)</f>
        <v>0</v>
      </c>
      <c r="CG11" s="115" t="n">
        <f aca="false">SUMIFS(الريسبي!$C$2:$C$1800,الريسبي!$A$2:$A$1800,$A11,الريسبي!$B$2:$B$1800,CG$1)</f>
        <v>0</v>
      </c>
      <c r="CH11" s="115" t="n">
        <f aca="false">SUMIFS(الريسبي!$C$2:$C$1800,الريسبي!$A$2:$A$1800,$A11,الريسبي!$B$2:$B$1800,CH$1)</f>
        <v>0</v>
      </c>
    </row>
    <row r="12" customFormat="false" ht="15" hidden="false" customHeight="false" outlineLevel="0" collapsed="false">
      <c r="A12" s="114" t="str">
        <f aca="false">المنيو!B12</f>
        <v>بيتزا فراخ رانش وسط</v>
      </c>
      <c r="B12" s="115" t="n">
        <f aca="false">SUMIFS(الريسبي!$C$2:$C$1800,الريسبي!$A$2:$A$1800,$A12,الريسبي!$B$2:$B$1800,B$1)</f>
        <v>0</v>
      </c>
      <c r="C12" s="115" t="n">
        <f aca="false">SUMIFS(الريسبي!$C$2:$C$1800,الريسبي!$A$2:$A$1800,$A12,الريسبي!$B$2:$B$1800,C$1)</f>
        <v>0</v>
      </c>
      <c r="D12" s="115" t="n">
        <f aca="false">SUMIFS(الريسبي!$C$2:$C$1800,الريسبي!$A$2:$A$1800,$A12,الريسبي!$B$2:$B$1800,D$1)</f>
        <v>1</v>
      </c>
      <c r="E12" s="115" t="n">
        <f aca="false">SUMIFS(الريسبي!$C$2:$C$1800,الريسبي!$A$2:$A$1800,$A12,الريسبي!$B$2:$B$1800,E$1)</f>
        <v>0</v>
      </c>
      <c r="F12" s="115" t="n">
        <f aca="false">SUMIFS(الريسبي!$C$2:$C$1800,الريسبي!$A$2:$A$1800,$A12,الريسبي!$B$2:$B$1800,F$1)</f>
        <v>0</v>
      </c>
      <c r="G12" s="115" t="n">
        <f aca="false">SUMIFS(الريسبي!$C$2:$C$1800,الريسبي!$A$2:$A$1800,$A12,الريسبي!$B$2:$B$1800,G$1)</f>
        <v>0</v>
      </c>
      <c r="H12" s="115" t="n">
        <f aca="false">SUMIFS(الريسبي!$C$2:$C$1800,الريسبي!$A$2:$A$1800,$A12,الريسبي!$B$2:$B$1800,H$1)</f>
        <v>0</v>
      </c>
      <c r="I12" s="115" t="n">
        <f aca="false">SUMIFS(الريسبي!$C$2:$C$1800,الريسبي!$A$2:$A$1800,$A12,الريسبي!$B$2:$B$1800,I$1)</f>
        <v>0</v>
      </c>
      <c r="J12" s="115" t="n">
        <f aca="false">SUMIFS(الريسبي!$C$2:$C$1800,الريسبي!$A$2:$A$1800,$A12,الريسبي!$B$2:$B$1800,J$1)</f>
        <v>0</v>
      </c>
      <c r="K12" s="115" t="n">
        <f aca="false">SUMIFS(الريسبي!$C$2:$C$1800,الريسبي!$A$2:$A$1800,$A12,الريسبي!$B$2:$B$1800,K$1)</f>
        <v>0</v>
      </c>
      <c r="L12" s="115" t="n">
        <f aca="false">SUMIFS(الريسبي!$C$2:$C$1800,الريسبي!$A$2:$A$1800,$A12,الريسبي!$B$2:$B$1800,L$1)</f>
        <v>0</v>
      </c>
      <c r="M12" s="115" t="n">
        <f aca="false">SUMIFS(الريسبي!$C$2:$C$1800,الريسبي!$A$2:$A$1800,$A12,الريسبي!$B$2:$B$1800,M$1)</f>
        <v>0</v>
      </c>
      <c r="N12" s="115" t="n">
        <f aca="false">SUMIFS(الريسبي!$C$2:$C$1800,الريسبي!$A$2:$A$1800,$A12,الريسبي!$B$2:$B$1800,N$1)</f>
        <v>0</v>
      </c>
      <c r="O12" s="115" t="n">
        <f aca="false">SUMIFS(الريسبي!$C$2:$C$1800,الريسبي!$A$2:$A$1800,$A12,الريسبي!$B$2:$B$1800,O$1)</f>
        <v>1</v>
      </c>
      <c r="P12" s="115" t="n">
        <f aca="false">SUMIFS(الريسبي!$C$2:$C$1800,الريسبي!$A$2:$A$1800,$A12,الريسبي!$B$2:$B$1800,P$1)</f>
        <v>0</v>
      </c>
      <c r="Q12" s="115" t="n">
        <f aca="false">SUMIFS(الريسبي!$C$2:$C$1800,الريسبي!$A$2:$A$1800,$A12,الريسبي!$B$2:$B$1800,Q$1)</f>
        <v>0</v>
      </c>
      <c r="R12" s="115" t="n">
        <f aca="false">SUMIFS(الريسبي!$C$2:$C$1800,الريسبي!$A$2:$A$1800,$A12,الريسبي!$B$2:$B$1800,R$1)</f>
        <v>0</v>
      </c>
      <c r="S12" s="115" t="n">
        <f aca="false">SUMIFS(الريسبي!$C$2:$C$1800,الريسبي!$A$2:$A$1800,$A12,الريسبي!$B$2:$B$1800,S$1)</f>
        <v>0</v>
      </c>
      <c r="T12" s="115" t="n">
        <f aca="false">SUMIFS(الريسبي!$C$2:$C$1800,الريسبي!$A$2:$A$1800,$A12,الريسبي!$B$2:$B$1800,T$1)</f>
        <v>0</v>
      </c>
      <c r="U12" s="115" t="n">
        <f aca="false">SUMIFS(الريسبي!$C$2:$C$1800,الريسبي!$A$2:$A$1800,$A12,الريسبي!$B$2:$B$1800,U$1)</f>
        <v>0</v>
      </c>
      <c r="V12" s="115" t="n">
        <f aca="false">SUMIFS(الريسبي!$C$2:$C$1800,الريسبي!$A$2:$A$1800,$A12,الريسبي!$B$2:$B$1800,V$1)</f>
        <v>1</v>
      </c>
      <c r="W12" s="115" t="n">
        <f aca="false">SUMIFS(الريسبي!$C$2:$C$1800,الريسبي!$A$2:$A$1800,$A12,الريسبي!$B$2:$B$1800,W$1)</f>
        <v>0</v>
      </c>
      <c r="X12" s="115" t="n">
        <f aca="false">SUMIFS(الريسبي!$C$2:$C$1800,الريسبي!$A$2:$A$1800,$A12,الريسبي!$B$2:$B$1800,X$1)</f>
        <v>0</v>
      </c>
      <c r="Y12" s="115" t="n">
        <f aca="false">SUMIFS(الريسبي!$C$2:$C$1800,الريسبي!$A$2:$A$1800,$A12,الريسبي!$B$2:$B$1800,Y$1)</f>
        <v>0</v>
      </c>
      <c r="Z12" s="115" t="n">
        <f aca="false">SUMIFS(الريسبي!$C$2:$C$1800,الريسبي!$A$2:$A$1800,$A12,الريسبي!$B$2:$B$1800,Z$1)</f>
        <v>0</v>
      </c>
      <c r="AA12" s="115" t="n">
        <f aca="false">SUMIFS(الريسبي!$C$2:$C$1800,الريسبي!$A$2:$A$1800,$A12,الريسبي!$B$2:$B$1800,AA$1)</f>
        <v>0</v>
      </c>
      <c r="AB12" s="115" t="n">
        <f aca="false">SUMIFS(الريسبي!$C$2:$C$1800,الريسبي!$A$2:$A$1800,$A12,الريسبي!$B$2:$B$1800,AB$1)</f>
        <v>0</v>
      </c>
      <c r="AC12" s="115" t="n">
        <f aca="false">SUMIFS(الريسبي!$C$2:$C$1800,الريسبي!$A$2:$A$1800,$A12,الريسبي!$B$2:$B$1800,AC$1)</f>
        <v>0</v>
      </c>
      <c r="AD12" s="115" t="n">
        <f aca="false">SUMIFS(الريسبي!$C$2:$C$1800,الريسبي!$A$2:$A$1800,$A12,الريسبي!$B$2:$B$1800,AD$1)</f>
        <v>0</v>
      </c>
      <c r="AE12" s="115" t="n">
        <f aca="false">SUMIFS(الريسبي!$C$2:$C$1800,الريسبي!$A$2:$A$1800,$A12,الريسبي!$B$2:$B$1800,AE$1)</f>
        <v>0</v>
      </c>
      <c r="AF12" s="115" t="n">
        <f aca="false">SUMIFS(الريسبي!$C$2:$C$1800,الريسبي!$A$2:$A$1800,$A12,الريسبي!$B$2:$B$1800,AF$1)</f>
        <v>0</v>
      </c>
      <c r="AG12" s="115" t="n">
        <f aca="false">SUMIFS(الريسبي!$C$2:$C$1800,الريسبي!$A$2:$A$1800,$A12,الريسبي!$B$2:$B$1800,AG$1)</f>
        <v>0</v>
      </c>
      <c r="AH12" s="115" t="n">
        <f aca="false">SUMIFS(الريسبي!$C$2:$C$1800,الريسبي!$A$2:$A$1800,$A12,الريسبي!$B$2:$B$1800,AH$1)</f>
        <v>0</v>
      </c>
      <c r="AI12" s="115" t="n">
        <f aca="false">SUMIFS(الريسبي!$C$2:$C$1800,الريسبي!$A$2:$A$1800,$A12,الريسبي!$B$2:$B$1800,AI$1)</f>
        <v>0</v>
      </c>
      <c r="AJ12" s="115" t="n">
        <f aca="false">SUMIFS(الريسبي!$C$2:$C$1800,الريسبي!$A$2:$A$1800,$A12,الريسبي!$B$2:$B$1800,AJ$1)</f>
        <v>2</v>
      </c>
      <c r="AK12" s="115" t="n">
        <f aca="false">SUMIFS(الريسبي!$C$2:$C$1800,الريسبي!$A$2:$A$1800,$A12,الريسبي!$B$2:$B$1800,AK$1)</f>
        <v>0</v>
      </c>
      <c r="AL12" s="115" t="n">
        <f aca="false">SUMIFS(الريسبي!$C$2:$C$1800,الريسبي!$A$2:$A$1800,$A12,الريسبي!$B$2:$B$1800,AL$1)</f>
        <v>0</v>
      </c>
      <c r="AM12" s="115"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15"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15" t="n">
        <f aca="false">SUMIFS(الريسبي!$C$2:$C$1800,الريسبي!$A$2:$A$1800,$A12,الريسبي!$B$2:$B$1800,AO$1)</f>
        <v>0</v>
      </c>
      <c r="AP12" s="115" t="n">
        <f aca="false">SUMIFS(الريسبي!$C$2:$C$1800,الريسبي!$A$2:$A$1800,$A12,الريسبي!$B$2:$B$1800,AP$1)</f>
        <v>0.02</v>
      </c>
      <c r="AQ12" s="115"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15" t="n">
        <f aca="false">SUMIFS(الريسبي!$C$2:$C$1800,الريسبي!$A$2:$A$1800,$A12,الريسبي!$B$2:$B$1800,AR$1)</f>
        <v>0</v>
      </c>
      <c r="AS12" s="115" t="n">
        <f aca="false">SUMIFS(الريسبي!$C$2:$C$1800,الريسبي!$A$2:$A$1800,$A12,الريسبي!$B$2:$B$1800,AS$1)</f>
        <v>0</v>
      </c>
      <c r="AT12" s="115" t="n">
        <f aca="false">SUMIFS(الريسبي!$C$2:$C$1800,الريسبي!$A$2:$A$1800,$A12,الريسبي!$B$2:$B$1800,AT$1)</f>
        <v>0</v>
      </c>
      <c r="AU12" s="115" t="n">
        <f aca="false">SUMIFS(الريسبي!$C$2:$C$1800,الريسبي!$A$2:$A$1800,$A12,الريسبي!$B$2:$B$1800,AU$1)</f>
        <v>0</v>
      </c>
      <c r="AV12" s="115" t="n">
        <f aca="false">SUMIFS(الريسبي!$C$2:$C$1800,الريسبي!$A$2:$A$1800,$A12,الريسبي!$B$2:$B$1800,AV$1)</f>
        <v>0</v>
      </c>
      <c r="AW12" s="115" t="n">
        <f aca="false">SUMIFS(الريسبي!$C$2:$C$1800,الريسبي!$A$2:$A$1800,$A12,الريسبي!$B$2:$B$1800,AW$1)</f>
        <v>0</v>
      </c>
      <c r="AX12" s="115" t="n">
        <f aca="false">SUMIFS(الريسبي!$C$2:$C$1800,الريسبي!$A$2:$A$1800,$A12,الريسبي!$B$2:$B$1800,AX$1)</f>
        <v>0.04</v>
      </c>
      <c r="AY12" s="115" t="n">
        <f aca="false">SUMIFS(الريسبي!$C$2:$C$1800,الريسبي!$A$2:$A$1800,$A12,الريسبي!$B$2:$B$1800,AY$1)</f>
        <v>0</v>
      </c>
      <c r="AZ12" s="115" t="n">
        <f aca="false">SUMIFS(الريسبي!$C$2:$C$1800,الريسبي!$A$2:$A$1800,$A12,الريسبي!$B$2:$B$1800,AZ$1)</f>
        <v>0</v>
      </c>
      <c r="BA12" s="115" t="n">
        <f aca="false">SUMIFS(الريسبي!$C$2:$C$1800,الريسبي!$A$2:$A$1800,$A12,الريسبي!$B$2:$B$1800,BA$1)</f>
        <v>0.1</v>
      </c>
      <c r="BB12" s="115" t="n">
        <f aca="false">SUMIFS(الريسبي!$C$2:$C$1800,الريسبي!$A$2:$A$1800,$A12,الريسبي!$B$2:$B$1800,BB$1)</f>
        <v>0</v>
      </c>
      <c r="BC12" s="115" t="n">
        <f aca="false">SUMIFS(الريسبي!$C$2:$C$1800,الريسبي!$A$2:$A$1800,$A12,الريسبي!$B$2:$B$1800,BC$1)</f>
        <v>0.03</v>
      </c>
      <c r="BD12" s="115" t="n">
        <f aca="false">SUMIFS(الريسبي!$C$2:$C$1800,الريسبي!$A$2:$A$1800,$A12,الريسبي!$B$2:$B$1800,BD$1)</f>
        <v>0.22</v>
      </c>
      <c r="BE12" s="115" t="n">
        <f aca="false">SUMIFS(الريسبي!$C$2:$C$1800,الريسبي!$A$2:$A$1800,$A12,الريسبي!$B$2:$B$1800,BE$1)</f>
        <v>0</v>
      </c>
      <c r="BF12" s="115" t="n">
        <f aca="false">SUMIFS(الريسبي!$C$2:$C$1800,الريسبي!$A$2:$A$1800,$A12,الريسبي!$B$2:$B$1800,BF$1)</f>
        <v>0</v>
      </c>
      <c r="BG12" s="115" t="n">
        <f aca="false">SUMIFS(الريسبي!$C$2:$C$1800,الريسبي!$A$2:$A$1800,$A12,الريسبي!$B$2:$B$1800,BG$1)</f>
        <v>0</v>
      </c>
      <c r="BH12" s="115" t="n">
        <f aca="false">SUMIFS(الريسبي!$C$2:$C$1800,الريسبي!$A$2:$A$1800,$A12,الريسبي!$B$2:$B$1800,BH$1)</f>
        <v>1</v>
      </c>
      <c r="BI12" s="115" t="n">
        <f aca="false">SUMIFS(الريسبي!$C$2:$C$1800,الريسبي!$A$2:$A$1800,$A12,الريسبي!$B$2:$B$1800,BI$1)</f>
        <v>0</v>
      </c>
      <c r="BJ12" s="115" t="n">
        <f aca="false">SUMIFS(الريسبي!$C$2:$C$1800,الريسبي!$A$2:$A$1800,$A12,الريسبي!$B$2:$B$1800,BJ$1)</f>
        <v>0</v>
      </c>
      <c r="BK12" s="115" t="n">
        <f aca="false">SUMIFS(الريسبي!$C$2:$C$1800,الريسبي!$A$2:$A$1800,$A12,الريسبي!$B$2:$B$1800,BK$1)</f>
        <v>0</v>
      </c>
      <c r="BL12" s="115" t="n">
        <f aca="false">SUMIFS(الريسبي!$C$2:$C$1800,الريسبي!$A$2:$A$1800,$A12,الريسبي!$B$2:$B$1800,BL$1)</f>
        <v>0</v>
      </c>
      <c r="BM12" s="115" t="n">
        <f aca="false">SUMIFS(الريسبي!$C$2:$C$1800,الريسبي!$A$2:$A$1800,$A12,الريسبي!$B$2:$B$1800,BM$1)</f>
        <v>0</v>
      </c>
      <c r="BN12" s="115" t="n">
        <f aca="false">SUMIFS(الريسبي!$C$2:$C$1800,الريسبي!$A$2:$A$1800,$A12,الريسبي!$B$2:$B$1800,BN$1)</f>
        <v>0.02</v>
      </c>
      <c r="BO12" s="115" t="n">
        <f aca="false">SUMIFS(الريسبي!$C$2:$C$1800,الريسبي!$A$2:$A$1800,$A12,الريسبي!$B$2:$B$1800,BO$1)</f>
        <v>0</v>
      </c>
      <c r="BP12" s="115" t="n">
        <f aca="false">SUMIFS(الريسبي!$C$2:$C$1800,الريسبي!$A$2:$A$1800,$A12,الريسبي!$B$2:$B$1800,BP$1)</f>
        <v>2</v>
      </c>
      <c r="BQ12" s="115"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15" t="n">
        <f aca="false">SUMIFS(الريسبي!$C$2:$C$1800,الريسبي!$A$2:$A$1800,$A12,الريسبي!$B$2:$B$1800,BR$1)</f>
        <v>1</v>
      </c>
      <c r="BS12" s="115" t="n">
        <f aca="false">SUMIFS(الريسبي!$C$2:$C$1800,الريسبي!$A$2:$A$1800,$A12,الريسبي!$B$2:$B$1800,BS$1)</f>
        <v>0</v>
      </c>
      <c r="BT12" s="115" t="n">
        <f aca="false">SUMIFS(الريسبي!$C$2:$C$1800,الريسبي!$A$2:$A$1800,$A12,الريسبي!$B$2:$B$1800,BT$1)</f>
        <v>0</v>
      </c>
      <c r="BU12" s="115"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15" t="n">
        <f aca="false">SUMIFS(الريسبي!$C$2:$C$1800,الريسبي!$A$2:$A$1800,$A12,الريسبي!$B$2:$B$1800,BV$1)</f>
        <v>0</v>
      </c>
      <c r="BW12" s="115" t="n">
        <f aca="false">SUMIFS(الريسبي!$C$2:$C$1800,الريسبي!$A$2:$A$1800,$A12,الريسبي!$B$2:$B$1800,BW$1)</f>
        <v>0</v>
      </c>
      <c r="BX12" s="115" t="n">
        <f aca="false">SUMIFS(الريسبي!$C$2:$C$1800,الريسبي!$A$2:$A$1800,$A12,الريسبي!$B$2:$B$1800,BX$1)</f>
        <v>0</v>
      </c>
      <c r="BY12" s="115" t="n">
        <f aca="false">SUMIFS(الريسبي!$C$2:$C$1800,الريسبي!$A$2:$A$1800,$A12,الريسبي!$B$2:$B$1800,BY$1)</f>
        <v>0</v>
      </c>
      <c r="BZ12" s="115" t="n">
        <f aca="false">SUMIFS(الريسبي!$C$2:$C$1800,الريسبي!$A$2:$A$1800,$A12,الريسبي!$B$2:$B$1800,BZ$1)</f>
        <v>1</v>
      </c>
      <c r="CA12" s="115" t="n">
        <f aca="false">SUMIFS(الريسبي!$C$2:$C$1800,الريسبي!$A$2:$A$1800,$A12,الريسبي!$B$2:$B$1800,CA$1)</f>
        <v>1</v>
      </c>
      <c r="CB12" s="115" t="n">
        <f aca="false">SUMIFS(الريسبي!$C$2:$C$1800,الريسبي!$A$2:$A$1800,$A12,الريسبي!$B$2:$B$1800,CB$1)</f>
        <v>0</v>
      </c>
      <c r="CC12" s="115" t="n">
        <f aca="false">SUMIFS(الريسبي!$C$2:$C$1800,الريسبي!$A$2:$A$1800,$A12,الريسبي!$B$2:$B$1800,CC$1)</f>
        <v>0</v>
      </c>
      <c r="CD12" s="115" t="n">
        <f aca="false">SUMIFS(الريسبي!$C$2:$C$1800,الريسبي!$A$2:$A$1800,$A12,الريسبي!$B$2:$B$1800,CD$1)</f>
        <v>0</v>
      </c>
      <c r="CE12" s="115" t="n">
        <f aca="false">SUMIFS(الريسبي!$C$2:$C$1800,الريسبي!$A$2:$A$1800,$A12,الريسبي!$B$2:$B$1800,CE$1)</f>
        <v>0</v>
      </c>
      <c r="CF12" s="115" t="n">
        <f aca="false">SUMIFS(الريسبي!$C$2:$C$1800,الريسبي!$A$2:$A$1800,$A12,الريسبي!$B$2:$B$1800,CF$1)</f>
        <v>0</v>
      </c>
      <c r="CG12" s="115" t="n">
        <f aca="false">SUMIFS(الريسبي!$C$2:$C$1800,الريسبي!$A$2:$A$1800,$A12,الريسبي!$B$2:$B$1800,CG$1)</f>
        <v>0</v>
      </c>
      <c r="CH12" s="115" t="n">
        <f aca="false">SUMIFS(الريسبي!$C$2:$C$1800,الريسبي!$A$2:$A$1800,$A12,الريسبي!$B$2:$B$1800,CH$1)</f>
        <v>0</v>
      </c>
    </row>
    <row r="13" customFormat="false" ht="15" hidden="false" customHeight="false" outlineLevel="0" collapsed="false">
      <c r="A13" s="114" t="str">
        <f aca="false">المنيو!B13</f>
        <v>بيتزا فراخ رانش حجم اكبر</v>
      </c>
      <c r="B13" s="115" t="n">
        <f aca="false">SUMIFS(الريسبي!$C$2:$C$1800,الريسبي!$A$2:$A$1800,$A13,الريسبي!$B$2:$B$1800,B$1)</f>
        <v>0</v>
      </c>
      <c r="C13" s="115" t="n">
        <f aca="false">SUMIFS(الريسبي!$C$2:$C$1800,الريسبي!$A$2:$A$1800,$A13,الريسبي!$B$2:$B$1800,C$1)</f>
        <v>0</v>
      </c>
      <c r="D13" s="115" t="n">
        <f aca="false">SUMIFS(الريسبي!$C$2:$C$1800,الريسبي!$A$2:$A$1800,$A13,الريسبي!$B$2:$B$1800,D$1)</f>
        <v>1</v>
      </c>
      <c r="E13" s="115" t="n">
        <f aca="false">SUMIFS(الريسبي!$C$2:$C$1800,الريسبي!$A$2:$A$1800,$A13,الريسبي!$B$2:$B$1800,E$1)</f>
        <v>0</v>
      </c>
      <c r="F13" s="115" t="n">
        <f aca="false">SUMIFS(الريسبي!$C$2:$C$1800,الريسبي!$A$2:$A$1800,$A13,الريسبي!$B$2:$B$1800,F$1)</f>
        <v>0</v>
      </c>
      <c r="G13" s="115" t="n">
        <f aca="false">SUMIFS(الريسبي!$C$2:$C$1800,الريسبي!$A$2:$A$1800,$A13,الريسبي!$B$2:$B$1800,G$1)</f>
        <v>0</v>
      </c>
      <c r="H13" s="115" t="n">
        <f aca="false">SUMIFS(الريسبي!$C$2:$C$1800,الريسبي!$A$2:$A$1800,$A13,الريسبي!$B$2:$B$1800,H$1)</f>
        <v>0</v>
      </c>
      <c r="I13" s="115" t="n">
        <f aca="false">SUMIFS(الريسبي!$C$2:$C$1800,الريسبي!$A$2:$A$1800,$A13,الريسبي!$B$2:$B$1800,I$1)</f>
        <v>0</v>
      </c>
      <c r="J13" s="115" t="n">
        <f aca="false">SUMIFS(الريسبي!$C$2:$C$1800,الريسبي!$A$2:$A$1800,$A13,الريسبي!$B$2:$B$1800,J$1)</f>
        <v>0</v>
      </c>
      <c r="K13" s="115" t="n">
        <f aca="false">SUMIFS(الريسبي!$C$2:$C$1800,الريسبي!$A$2:$A$1800,$A13,الريسبي!$B$2:$B$1800,K$1)</f>
        <v>0</v>
      </c>
      <c r="L13" s="115" t="n">
        <f aca="false">SUMIFS(الريسبي!$C$2:$C$1800,الريسبي!$A$2:$A$1800,$A13,الريسبي!$B$2:$B$1800,L$1)</f>
        <v>0</v>
      </c>
      <c r="M13" s="115" t="n">
        <f aca="false">SUMIFS(الريسبي!$C$2:$C$1800,الريسبي!$A$2:$A$1800,$A13,الريسبي!$B$2:$B$1800,M$1)</f>
        <v>0</v>
      </c>
      <c r="N13" s="115" t="n">
        <f aca="false">SUMIFS(الريسبي!$C$2:$C$1800,الريسبي!$A$2:$A$1800,$A13,الريسبي!$B$2:$B$1800,N$1)</f>
        <v>0</v>
      </c>
      <c r="O13" s="115" t="n">
        <f aca="false">SUMIFS(الريسبي!$C$2:$C$1800,الريسبي!$A$2:$A$1800,$A13,الريسبي!$B$2:$B$1800,O$1)</f>
        <v>0</v>
      </c>
      <c r="P13" s="115" t="n">
        <f aca="false">SUMIFS(الريسبي!$C$2:$C$1800,الريسبي!$A$2:$A$1800,$A13,الريسبي!$B$2:$B$1800,P$1)</f>
        <v>1</v>
      </c>
      <c r="Q13" s="115" t="n">
        <f aca="false">SUMIFS(الريسبي!$C$2:$C$1800,الريسبي!$A$2:$A$1800,$A13,الريسبي!$B$2:$B$1800,Q$1)</f>
        <v>0</v>
      </c>
      <c r="R13" s="115" t="n">
        <f aca="false">SUMIFS(الريسبي!$C$2:$C$1800,الريسبي!$A$2:$A$1800,$A13,الريسبي!$B$2:$B$1800,R$1)</f>
        <v>0</v>
      </c>
      <c r="S13" s="115" t="n">
        <f aca="false">SUMIFS(الريسبي!$C$2:$C$1800,الريسبي!$A$2:$A$1800,$A13,الريسبي!$B$2:$B$1800,S$1)</f>
        <v>0</v>
      </c>
      <c r="T13" s="115" t="n">
        <f aca="false">SUMIFS(الريسبي!$C$2:$C$1800,الريسبي!$A$2:$A$1800,$A13,الريسبي!$B$2:$B$1800,T$1)</f>
        <v>0</v>
      </c>
      <c r="U13" s="115" t="n">
        <f aca="false">SUMIFS(الريسبي!$C$2:$C$1800,الريسبي!$A$2:$A$1800,$A13,الريسبي!$B$2:$B$1800,U$1)</f>
        <v>0</v>
      </c>
      <c r="V13" s="115" t="n">
        <f aca="false">SUMIFS(الريسبي!$C$2:$C$1800,الريسبي!$A$2:$A$1800,$A13,الريسبي!$B$2:$B$1800,V$1)</f>
        <v>0</v>
      </c>
      <c r="W13" s="115" t="n">
        <f aca="false">SUMIFS(الريسبي!$C$2:$C$1800,الريسبي!$A$2:$A$1800,$A13,الريسبي!$B$2:$B$1800,W$1)</f>
        <v>1</v>
      </c>
      <c r="X13" s="115" t="n">
        <f aca="false">SUMIFS(الريسبي!$C$2:$C$1800,الريسبي!$A$2:$A$1800,$A13,الريسبي!$B$2:$B$1800,X$1)</f>
        <v>0</v>
      </c>
      <c r="Y13" s="115" t="n">
        <f aca="false">SUMIFS(الريسبي!$C$2:$C$1800,الريسبي!$A$2:$A$1800,$A13,الريسبي!$B$2:$B$1800,Y$1)</f>
        <v>0</v>
      </c>
      <c r="Z13" s="115" t="n">
        <f aca="false">SUMIFS(الريسبي!$C$2:$C$1800,الريسبي!$A$2:$A$1800,$A13,الريسبي!$B$2:$B$1800,Z$1)</f>
        <v>0</v>
      </c>
      <c r="AA13" s="115" t="n">
        <f aca="false">SUMIFS(الريسبي!$C$2:$C$1800,الريسبي!$A$2:$A$1800,$A13,الريسبي!$B$2:$B$1800,AA$1)</f>
        <v>0</v>
      </c>
      <c r="AB13" s="115" t="n">
        <f aca="false">SUMIFS(الريسبي!$C$2:$C$1800,الريسبي!$A$2:$A$1800,$A13,الريسبي!$B$2:$B$1800,AB$1)</f>
        <v>0</v>
      </c>
      <c r="AC13" s="115" t="n">
        <f aca="false">SUMIFS(الريسبي!$C$2:$C$1800,الريسبي!$A$2:$A$1800,$A13,الريسبي!$B$2:$B$1800,AC$1)</f>
        <v>0</v>
      </c>
      <c r="AD13" s="115" t="n">
        <f aca="false">SUMIFS(الريسبي!$C$2:$C$1800,الريسبي!$A$2:$A$1800,$A13,الريسبي!$B$2:$B$1800,AD$1)</f>
        <v>0</v>
      </c>
      <c r="AE13" s="115" t="n">
        <f aca="false">SUMIFS(الريسبي!$C$2:$C$1800,الريسبي!$A$2:$A$1800,$A13,الريسبي!$B$2:$B$1800,AE$1)</f>
        <v>0</v>
      </c>
      <c r="AF13" s="115" t="n">
        <f aca="false">SUMIFS(الريسبي!$C$2:$C$1800,الريسبي!$A$2:$A$1800,$A13,الريسبي!$B$2:$B$1800,AF$1)</f>
        <v>0</v>
      </c>
      <c r="AG13" s="115" t="n">
        <f aca="false">SUMIFS(الريسبي!$C$2:$C$1800,الريسبي!$A$2:$A$1800,$A13,الريسبي!$B$2:$B$1800,AG$1)</f>
        <v>0</v>
      </c>
      <c r="AH13" s="115" t="n">
        <f aca="false">SUMIFS(الريسبي!$C$2:$C$1800,الريسبي!$A$2:$A$1800,$A13,الريسبي!$B$2:$B$1800,AH$1)</f>
        <v>0</v>
      </c>
      <c r="AI13" s="115" t="n">
        <f aca="false">SUMIFS(الريسبي!$C$2:$C$1800,الريسبي!$A$2:$A$1800,$A13,الريسبي!$B$2:$B$1800,AI$1)</f>
        <v>0</v>
      </c>
      <c r="AJ13" s="115" t="n">
        <f aca="false">SUMIFS(الريسبي!$C$2:$C$1800,الريسبي!$A$2:$A$1800,$A13,الريسبي!$B$2:$B$1800,AJ$1)</f>
        <v>2</v>
      </c>
      <c r="AK13" s="115" t="n">
        <f aca="false">SUMIFS(الريسبي!$C$2:$C$1800,الريسبي!$A$2:$A$1800,$A13,الريسبي!$B$2:$B$1800,AK$1)</f>
        <v>0</v>
      </c>
      <c r="AL13" s="115" t="n">
        <f aca="false">SUMIFS(الريسبي!$C$2:$C$1800,الريسبي!$A$2:$A$1800,$A13,الريسبي!$B$2:$B$1800,AL$1)</f>
        <v>0</v>
      </c>
      <c r="AM13" s="115"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15"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15" t="n">
        <f aca="false">SUMIFS(الريسبي!$C$2:$C$1800,الريسبي!$A$2:$A$1800,$A13,الريسبي!$B$2:$B$1800,AO$1)</f>
        <v>0</v>
      </c>
      <c r="AP13" s="115" t="n">
        <f aca="false">SUMIFS(الريسبي!$C$2:$C$1800,الريسبي!$A$2:$A$1800,$A13,الريسبي!$B$2:$B$1800,AP$1)</f>
        <v>0.03</v>
      </c>
      <c r="AQ13" s="115"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15" t="n">
        <f aca="false">SUMIFS(الريسبي!$C$2:$C$1800,الريسبي!$A$2:$A$1800,$A13,الريسبي!$B$2:$B$1800,AR$1)</f>
        <v>0</v>
      </c>
      <c r="AS13" s="115" t="n">
        <f aca="false">SUMIFS(الريسبي!$C$2:$C$1800,الريسبي!$A$2:$A$1800,$A13,الريسبي!$B$2:$B$1800,AS$1)</f>
        <v>0</v>
      </c>
      <c r="AT13" s="115" t="n">
        <f aca="false">SUMIFS(الريسبي!$C$2:$C$1800,الريسبي!$A$2:$A$1800,$A13,الريسبي!$B$2:$B$1800,AT$1)</f>
        <v>0</v>
      </c>
      <c r="AU13" s="115" t="n">
        <f aca="false">SUMIFS(الريسبي!$C$2:$C$1800,الريسبي!$A$2:$A$1800,$A13,الريسبي!$B$2:$B$1800,AU$1)</f>
        <v>0</v>
      </c>
      <c r="AV13" s="115" t="n">
        <f aca="false">SUMIFS(الريسبي!$C$2:$C$1800,الريسبي!$A$2:$A$1800,$A13,الريسبي!$B$2:$B$1800,AV$1)</f>
        <v>0</v>
      </c>
      <c r="AW13" s="115" t="n">
        <f aca="false">SUMIFS(الريسبي!$C$2:$C$1800,الريسبي!$A$2:$A$1800,$A13,الريسبي!$B$2:$B$1800,AW$1)</f>
        <v>0</v>
      </c>
      <c r="AX13" s="115" t="n">
        <f aca="false">SUMIFS(الريسبي!$C$2:$C$1800,الريسبي!$A$2:$A$1800,$A13,الريسبي!$B$2:$B$1800,AX$1)</f>
        <v>0.06</v>
      </c>
      <c r="AY13" s="115" t="n">
        <f aca="false">SUMIFS(الريسبي!$C$2:$C$1800,الريسبي!$A$2:$A$1800,$A13,الريسبي!$B$2:$B$1800,AY$1)</f>
        <v>0</v>
      </c>
      <c r="AZ13" s="115" t="n">
        <f aca="false">SUMIFS(الريسبي!$C$2:$C$1800,الريسبي!$A$2:$A$1800,$A13,الريسبي!$B$2:$B$1800,AZ$1)</f>
        <v>0</v>
      </c>
      <c r="BA13" s="115" t="n">
        <f aca="false">SUMIFS(الريسبي!$C$2:$C$1800,الريسبي!$A$2:$A$1800,$A13,الريسبي!$B$2:$B$1800,BA$1)</f>
        <v>0.15</v>
      </c>
      <c r="BB13" s="115" t="n">
        <f aca="false">SUMIFS(الريسبي!$C$2:$C$1800,الريسبي!$A$2:$A$1800,$A13,الريسبي!$B$2:$B$1800,BB$1)</f>
        <v>0</v>
      </c>
      <c r="BC13" s="115" t="n">
        <f aca="false">SUMIFS(الريسبي!$C$2:$C$1800,الريسبي!$A$2:$A$1800,$A13,الريسبي!$B$2:$B$1800,BC$1)</f>
        <v>0.045</v>
      </c>
      <c r="BD13" s="115" t="n">
        <f aca="false">SUMIFS(الريسبي!$C$2:$C$1800,الريسبي!$A$2:$A$1800,$A13,الريسبي!$B$2:$B$1800,BD$1)</f>
        <v>0.3</v>
      </c>
      <c r="BE13" s="115" t="n">
        <f aca="false">SUMIFS(الريسبي!$C$2:$C$1800,الريسبي!$A$2:$A$1800,$A13,الريسبي!$B$2:$B$1800,BE$1)</f>
        <v>0</v>
      </c>
      <c r="BF13" s="115" t="n">
        <f aca="false">SUMIFS(الريسبي!$C$2:$C$1800,الريسبي!$A$2:$A$1800,$A13,الريسبي!$B$2:$B$1800,BF$1)</f>
        <v>0</v>
      </c>
      <c r="BG13" s="115" t="n">
        <f aca="false">SUMIFS(الريسبي!$C$2:$C$1800,الريسبي!$A$2:$A$1800,$A13,الريسبي!$B$2:$B$1800,BG$1)</f>
        <v>1</v>
      </c>
      <c r="BH13" s="115" t="n">
        <f aca="false">SUMIFS(الريسبي!$C$2:$C$1800,الريسبي!$A$2:$A$1800,$A13,الريسبي!$B$2:$B$1800,BH$1)</f>
        <v>0</v>
      </c>
      <c r="BI13" s="115" t="n">
        <f aca="false">SUMIFS(الريسبي!$C$2:$C$1800,الريسبي!$A$2:$A$1800,$A13,الريسبي!$B$2:$B$1800,BI$1)</f>
        <v>0</v>
      </c>
      <c r="BJ13" s="115" t="n">
        <f aca="false">SUMIFS(الريسبي!$C$2:$C$1800,الريسبي!$A$2:$A$1800,$A13,الريسبي!$B$2:$B$1800,BJ$1)</f>
        <v>0</v>
      </c>
      <c r="BK13" s="115" t="n">
        <f aca="false">SUMIFS(الريسبي!$C$2:$C$1800,الريسبي!$A$2:$A$1800,$A13,الريسبي!$B$2:$B$1800,BK$1)</f>
        <v>0</v>
      </c>
      <c r="BL13" s="115" t="n">
        <f aca="false">SUMIFS(الريسبي!$C$2:$C$1800,الريسبي!$A$2:$A$1800,$A13,الريسبي!$B$2:$B$1800,BL$1)</f>
        <v>0</v>
      </c>
      <c r="BM13" s="115" t="n">
        <f aca="false">SUMIFS(الريسبي!$C$2:$C$1800,الريسبي!$A$2:$A$1800,$A13,الريسبي!$B$2:$B$1800,BM$1)</f>
        <v>0</v>
      </c>
      <c r="BN13" s="115" t="n">
        <f aca="false">SUMIFS(الريسبي!$C$2:$C$1800,الريسبي!$A$2:$A$1800,$A13,الريسبي!$B$2:$B$1800,BN$1)</f>
        <v>0.03</v>
      </c>
      <c r="BO13" s="115" t="n">
        <f aca="false">SUMIFS(الريسبي!$C$2:$C$1800,الريسبي!$A$2:$A$1800,$A13,الريسبي!$B$2:$B$1800,BO$1)</f>
        <v>0</v>
      </c>
      <c r="BP13" s="115" t="n">
        <f aca="false">SUMIFS(الريسبي!$C$2:$C$1800,الريسبي!$A$2:$A$1800,$A13,الريسبي!$B$2:$B$1800,BP$1)</f>
        <v>3</v>
      </c>
      <c r="BQ13" s="115"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15" t="n">
        <f aca="false">SUMIFS(الريسبي!$C$2:$C$1800,الريسبي!$A$2:$A$1800,$A13,الريسبي!$B$2:$B$1800,BR$1)</f>
        <v>1</v>
      </c>
      <c r="BS13" s="115" t="n">
        <f aca="false">SUMIFS(الريسبي!$C$2:$C$1800,الريسبي!$A$2:$A$1800,$A13,الريسبي!$B$2:$B$1800,BS$1)</f>
        <v>0</v>
      </c>
      <c r="BT13" s="115" t="n">
        <f aca="false">SUMIFS(الريسبي!$C$2:$C$1800,الريسبي!$A$2:$A$1800,$A13,الريسبي!$B$2:$B$1800,BT$1)</f>
        <v>0</v>
      </c>
      <c r="BU13" s="115"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15" t="n">
        <f aca="false">SUMIFS(الريسبي!$C$2:$C$1800,الريسبي!$A$2:$A$1800,$A13,الريسبي!$B$2:$B$1800,BV$1)</f>
        <v>0</v>
      </c>
      <c r="BW13" s="115" t="n">
        <f aca="false">SUMIFS(الريسبي!$C$2:$C$1800,الريسبي!$A$2:$A$1800,$A13,الريسبي!$B$2:$B$1800,BW$1)</f>
        <v>0</v>
      </c>
      <c r="BX13" s="115" t="n">
        <f aca="false">SUMIFS(الريسبي!$C$2:$C$1800,الريسبي!$A$2:$A$1800,$A13,الريسبي!$B$2:$B$1800,BX$1)</f>
        <v>0</v>
      </c>
      <c r="BY13" s="115" t="n">
        <f aca="false">SUMIFS(الريسبي!$C$2:$C$1800,الريسبي!$A$2:$A$1800,$A13,الريسبي!$B$2:$B$1800,BY$1)</f>
        <v>0</v>
      </c>
      <c r="BZ13" s="115" t="n">
        <f aca="false">SUMIFS(الريسبي!$C$2:$C$1800,الريسبي!$A$2:$A$1800,$A13,الريسبي!$B$2:$B$1800,BZ$1)</f>
        <v>1</v>
      </c>
      <c r="CA13" s="115" t="n">
        <f aca="false">SUMIFS(الريسبي!$C$2:$C$1800,الريسبي!$A$2:$A$1800,$A13,الريسبي!$B$2:$B$1800,CA$1)</f>
        <v>1</v>
      </c>
      <c r="CB13" s="115" t="n">
        <f aca="false">SUMIFS(الريسبي!$C$2:$C$1800,الريسبي!$A$2:$A$1800,$A13,الريسبي!$B$2:$B$1800,CB$1)</f>
        <v>0</v>
      </c>
      <c r="CC13" s="115" t="n">
        <f aca="false">SUMIFS(الريسبي!$C$2:$C$1800,الريسبي!$A$2:$A$1800,$A13,الريسبي!$B$2:$B$1800,CC$1)</f>
        <v>0</v>
      </c>
      <c r="CD13" s="115" t="n">
        <f aca="false">SUMIFS(الريسبي!$C$2:$C$1800,الريسبي!$A$2:$A$1800,$A13,الريسبي!$B$2:$B$1800,CD$1)</f>
        <v>0</v>
      </c>
      <c r="CE13" s="115" t="n">
        <f aca="false">SUMIFS(الريسبي!$C$2:$C$1800,الريسبي!$A$2:$A$1800,$A13,الريسبي!$B$2:$B$1800,CE$1)</f>
        <v>0</v>
      </c>
      <c r="CF13" s="115" t="n">
        <f aca="false">SUMIFS(الريسبي!$C$2:$C$1800,الريسبي!$A$2:$A$1800,$A13,الريسبي!$B$2:$B$1800,CF$1)</f>
        <v>0</v>
      </c>
      <c r="CG13" s="115" t="n">
        <f aca="false">SUMIFS(الريسبي!$C$2:$C$1800,الريسبي!$A$2:$A$1800,$A13,الريسبي!$B$2:$B$1800,CG$1)</f>
        <v>0</v>
      </c>
      <c r="CH13" s="115" t="n">
        <f aca="false">SUMIFS(الريسبي!$C$2:$C$1800,الريسبي!$A$2:$A$1800,$A13,الريسبي!$B$2:$B$1800,CH$1)</f>
        <v>0</v>
      </c>
    </row>
    <row r="14" customFormat="false" ht="15" hidden="false" customHeight="false" outlineLevel="0" collapsed="false">
      <c r="A14" s="114" t="str">
        <f aca="false">المنيو!B14</f>
        <v>بيتزا فراخ باربيكيو وسط</v>
      </c>
      <c r="B14" s="115" t="n">
        <f aca="false">SUMIFS(الريسبي!$C$2:$C$1800,الريسبي!$A$2:$A$1800,$A14,الريسبي!$B$2:$B$1800,B$1)</f>
        <v>0</v>
      </c>
      <c r="C14" s="115" t="n">
        <f aca="false">SUMIFS(الريسبي!$C$2:$C$1800,الريسبي!$A$2:$A$1800,$A14,الريسبي!$B$2:$B$1800,C$1)</f>
        <v>0</v>
      </c>
      <c r="D14" s="115" t="n">
        <f aca="false">SUMIFS(الريسبي!$C$2:$C$1800,الريسبي!$A$2:$A$1800,$A14,الريسبي!$B$2:$B$1800,D$1)</f>
        <v>1</v>
      </c>
      <c r="E14" s="115" t="n">
        <f aca="false">SUMIFS(الريسبي!$C$2:$C$1800,الريسبي!$A$2:$A$1800,$A14,الريسبي!$B$2:$B$1800,E$1)</f>
        <v>0</v>
      </c>
      <c r="F14" s="115" t="n">
        <f aca="false">SUMIFS(الريسبي!$C$2:$C$1800,الريسبي!$A$2:$A$1800,$A14,الريسبي!$B$2:$B$1800,F$1)</f>
        <v>0</v>
      </c>
      <c r="G14" s="115" t="n">
        <f aca="false">SUMIFS(الريسبي!$C$2:$C$1800,الريسبي!$A$2:$A$1800,$A14,الريسبي!$B$2:$B$1800,G$1)</f>
        <v>0</v>
      </c>
      <c r="H14" s="115" t="n">
        <f aca="false">SUMIFS(الريسبي!$C$2:$C$1800,الريسبي!$A$2:$A$1800,$A14,الريسبي!$B$2:$B$1800,H$1)</f>
        <v>0</v>
      </c>
      <c r="I14" s="115" t="n">
        <f aca="false">SUMIFS(الريسبي!$C$2:$C$1800,الريسبي!$A$2:$A$1800,$A14,الريسبي!$B$2:$B$1800,I$1)</f>
        <v>0</v>
      </c>
      <c r="J14" s="115" t="n">
        <f aca="false">SUMIFS(الريسبي!$C$2:$C$1800,الريسبي!$A$2:$A$1800,$A14,الريسبي!$B$2:$B$1800,J$1)</f>
        <v>0</v>
      </c>
      <c r="K14" s="115" t="n">
        <f aca="false">SUMIFS(الريسبي!$C$2:$C$1800,الريسبي!$A$2:$A$1800,$A14,الريسبي!$B$2:$B$1800,K$1)</f>
        <v>0</v>
      </c>
      <c r="L14" s="115" t="n">
        <f aca="false">SUMIFS(الريسبي!$C$2:$C$1800,الريسبي!$A$2:$A$1800,$A14,الريسبي!$B$2:$B$1800,L$1)</f>
        <v>0</v>
      </c>
      <c r="M14" s="115" t="n">
        <f aca="false">SUMIFS(الريسبي!$C$2:$C$1800,الريسبي!$A$2:$A$1800,$A14,الريسبي!$B$2:$B$1800,M$1)</f>
        <v>0</v>
      </c>
      <c r="N14" s="115" t="n">
        <f aca="false">SUMIFS(الريسبي!$C$2:$C$1800,الريسبي!$A$2:$A$1800,$A14,الريسبي!$B$2:$B$1800,N$1)</f>
        <v>0</v>
      </c>
      <c r="O14" s="115" t="n">
        <f aca="false">SUMIFS(الريسبي!$C$2:$C$1800,الريسبي!$A$2:$A$1800,$A14,الريسبي!$B$2:$B$1800,O$1)</f>
        <v>1</v>
      </c>
      <c r="P14" s="115" t="n">
        <f aca="false">SUMIFS(الريسبي!$C$2:$C$1800,الريسبي!$A$2:$A$1800,$A14,الريسبي!$B$2:$B$1800,P$1)</f>
        <v>0</v>
      </c>
      <c r="Q14" s="115" t="n">
        <f aca="false">SUMIFS(الريسبي!$C$2:$C$1800,الريسبي!$A$2:$A$1800,$A14,الريسبي!$B$2:$B$1800,Q$1)</f>
        <v>0</v>
      </c>
      <c r="R14" s="115" t="n">
        <f aca="false">SUMIFS(الريسبي!$C$2:$C$1800,الريسبي!$A$2:$A$1800,$A14,الريسبي!$B$2:$B$1800,R$1)</f>
        <v>0</v>
      </c>
      <c r="S14" s="115" t="n">
        <f aca="false">SUMIFS(الريسبي!$C$2:$C$1800,الريسبي!$A$2:$A$1800,$A14,الريسبي!$B$2:$B$1800,S$1)</f>
        <v>0</v>
      </c>
      <c r="T14" s="115" t="n">
        <f aca="false">SUMIFS(الريسبي!$C$2:$C$1800,الريسبي!$A$2:$A$1800,$A14,الريسبي!$B$2:$B$1800,T$1)</f>
        <v>0</v>
      </c>
      <c r="U14" s="115" t="n">
        <f aca="false">SUMIFS(الريسبي!$C$2:$C$1800,الريسبي!$A$2:$A$1800,$A14,الريسبي!$B$2:$B$1800,U$1)</f>
        <v>0</v>
      </c>
      <c r="V14" s="115" t="n">
        <f aca="false">SUMIFS(الريسبي!$C$2:$C$1800,الريسبي!$A$2:$A$1800,$A14,الريسبي!$B$2:$B$1800,V$1)</f>
        <v>1</v>
      </c>
      <c r="W14" s="115" t="n">
        <f aca="false">SUMIFS(الريسبي!$C$2:$C$1800,الريسبي!$A$2:$A$1800,$A14,الريسبي!$B$2:$B$1800,W$1)</f>
        <v>0</v>
      </c>
      <c r="X14" s="115" t="n">
        <f aca="false">SUMIFS(الريسبي!$C$2:$C$1800,الريسبي!$A$2:$A$1800,$A14,الريسبي!$B$2:$B$1800,X$1)</f>
        <v>0</v>
      </c>
      <c r="Y14" s="115" t="n">
        <f aca="false">SUMIFS(الريسبي!$C$2:$C$1800,الريسبي!$A$2:$A$1800,$A14,الريسبي!$B$2:$B$1800,Y$1)</f>
        <v>0</v>
      </c>
      <c r="Z14" s="115" t="n">
        <f aca="false">SUMIFS(الريسبي!$C$2:$C$1800,الريسبي!$A$2:$A$1800,$A14,الريسبي!$B$2:$B$1800,Z$1)</f>
        <v>0</v>
      </c>
      <c r="AA14" s="115" t="n">
        <f aca="false">SUMIFS(الريسبي!$C$2:$C$1800,الريسبي!$A$2:$A$1800,$A14,الريسبي!$B$2:$B$1800,AA$1)</f>
        <v>0</v>
      </c>
      <c r="AB14" s="115" t="n">
        <f aca="false">SUMIFS(الريسبي!$C$2:$C$1800,الريسبي!$A$2:$A$1800,$A14,الريسبي!$B$2:$B$1800,AB$1)</f>
        <v>0</v>
      </c>
      <c r="AC14" s="115" t="n">
        <f aca="false">SUMIFS(الريسبي!$C$2:$C$1800,الريسبي!$A$2:$A$1800,$A14,الريسبي!$B$2:$B$1800,AC$1)</f>
        <v>0</v>
      </c>
      <c r="AD14" s="115" t="n">
        <f aca="false">SUMIFS(الريسبي!$C$2:$C$1800,الريسبي!$A$2:$A$1800,$A14,الريسبي!$B$2:$B$1800,AD$1)</f>
        <v>0</v>
      </c>
      <c r="AE14" s="115" t="n">
        <f aca="false">SUMIFS(الريسبي!$C$2:$C$1800,الريسبي!$A$2:$A$1800,$A14,الريسبي!$B$2:$B$1800,AE$1)</f>
        <v>0</v>
      </c>
      <c r="AF14" s="115" t="n">
        <f aca="false">SUMIFS(الريسبي!$C$2:$C$1800,الريسبي!$A$2:$A$1800,$A14,الريسبي!$B$2:$B$1800,AF$1)</f>
        <v>0</v>
      </c>
      <c r="AG14" s="115" t="n">
        <f aca="false">SUMIFS(الريسبي!$C$2:$C$1800,الريسبي!$A$2:$A$1800,$A14,الريسبي!$B$2:$B$1800,AG$1)</f>
        <v>0</v>
      </c>
      <c r="AH14" s="115" t="n">
        <f aca="false">SUMIFS(الريسبي!$C$2:$C$1800,الريسبي!$A$2:$A$1800,$A14,الريسبي!$B$2:$B$1800,AH$1)</f>
        <v>0</v>
      </c>
      <c r="AI14" s="115" t="n">
        <f aca="false">SUMIFS(الريسبي!$C$2:$C$1800,الريسبي!$A$2:$A$1800,$A14,الريسبي!$B$2:$B$1800,AI$1)</f>
        <v>0</v>
      </c>
      <c r="AJ14" s="115" t="n">
        <f aca="false">SUMIFS(الريسبي!$C$2:$C$1800,الريسبي!$A$2:$A$1800,$A14,الريسبي!$B$2:$B$1800,AJ$1)</f>
        <v>2</v>
      </c>
      <c r="AK14" s="115" t="n">
        <f aca="false">SUMIFS(الريسبي!$C$2:$C$1800,الريسبي!$A$2:$A$1800,$A14,الريسبي!$B$2:$B$1800,AK$1)</f>
        <v>0</v>
      </c>
      <c r="AL14" s="115" t="n">
        <f aca="false">SUMIFS(الريسبي!$C$2:$C$1800,الريسبي!$A$2:$A$1800,$A14,الريسبي!$B$2:$B$1800,AL$1)</f>
        <v>0</v>
      </c>
      <c r="AM14" s="115"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15"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15" t="n">
        <f aca="false">SUMIFS(الريسبي!$C$2:$C$1800,الريسبي!$A$2:$A$1800,$A14,الريسبي!$B$2:$B$1800,AO$1)</f>
        <v>0</v>
      </c>
      <c r="AP14" s="115" t="n">
        <f aca="false">SUMIFS(الريسبي!$C$2:$C$1800,الريسبي!$A$2:$A$1800,$A14,الريسبي!$B$2:$B$1800,AP$1)</f>
        <v>0.02</v>
      </c>
      <c r="AQ14" s="115"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15" t="n">
        <f aca="false">SUMIFS(الريسبي!$C$2:$C$1800,الريسبي!$A$2:$A$1800,$A14,الريسبي!$B$2:$B$1800,AR$1)</f>
        <v>0</v>
      </c>
      <c r="AS14" s="115" t="n">
        <f aca="false">SUMIFS(الريسبي!$C$2:$C$1800,الريسبي!$A$2:$A$1800,$A14,الريسبي!$B$2:$B$1800,AS$1)</f>
        <v>0</v>
      </c>
      <c r="AT14" s="115" t="n">
        <f aca="false">SUMIFS(الريسبي!$C$2:$C$1800,الريسبي!$A$2:$A$1800,$A14,الريسبي!$B$2:$B$1800,AT$1)</f>
        <v>0</v>
      </c>
      <c r="AU14" s="115" t="n">
        <f aca="false">SUMIFS(الريسبي!$C$2:$C$1800,الريسبي!$A$2:$A$1800,$A14,الريسبي!$B$2:$B$1800,AU$1)</f>
        <v>0</v>
      </c>
      <c r="AV14" s="115" t="n">
        <f aca="false">SUMIFS(الريسبي!$C$2:$C$1800,الريسبي!$A$2:$A$1800,$A14,الريسبي!$B$2:$B$1800,AV$1)</f>
        <v>0</v>
      </c>
      <c r="AW14" s="115" t="n">
        <f aca="false">SUMIFS(الريسبي!$C$2:$C$1800,الريسبي!$A$2:$A$1800,$A14,الريسبي!$B$2:$B$1800,AW$1)</f>
        <v>0</v>
      </c>
      <c r="AX14" s="115" t="n">
        <f aca="false">SUMIFS(الريسبي!$C$2:$C$1800,الريسبي!$A$2:$A$1800,$A14,الريسبي!$B$2:$B$1800,AX$1)</f>
        <v>0.04</v>
      </c>
      <c r="AY14" s="115" t="n">
        <f aca="false">SUMIFS(الريسبي!$C$2:$C$1800,الريسبي!$A$2:$A$1800,$A14,الريسبي!$B$2:$B$1800,AY$1)</f>
        <v>0.1</v>
      </c>
      <c r="AZ14" s="115" t="n">
        <f aca="false">SUMIFS(الريسبي!$C$2:$C$1800,الريسبي!$A$2:$A$1800,$A14,الريسبي!$B$2:$B$1800,AZ$1)</f>
        <v>0</v>
      </c>
      <c r="BA14" s="115" t="n">
        <f aca="false">SUMIFS(الريسبي!$C$2:$C$1800,الريسبي!$A$2:$A$1800,$A14,الريسبي!$B$2:$B$1800,BA$1)</f>
        <v>0</v>
      </c>
      <c r="BB14" s="115" t="n">
        <f aca="false">SUMIFS(الريسبي!$C$2:$C$1800,الريسبي!$A$2:$A$1800,$A14,الريسبي!$B$2:$B$1800,BB$1)</f>
        <v>0</v>
      </c>
      <c r="BC14" s="115" t="n">
        <f aca="false">SUMIFS(الريسبي!$C$2:$C$1800,الريسبي!$A$2:$A$1800,$A14,الريسبي!$B$2:$B$1800,BC$1)</f>
        <v>0.03</v>
      </c>
      <c r="BD14" s="115" t="n">
        <f aca="false">SUMIFS(الريسبي!$C$2:$C$1800,الريسبي!$A$2:$A$1800,$A14,الريسبي!$B$2:$B$1800,BD$1)</f>
        <v>0.22</v>
      </c>
      <c r="BE14" s="115" t="n">
        <f aca="false">SUMIFS(الريسبي!$C$2:$C$1800,الريسبي!$A$2:$A$1800,$A14,الريسبي!$B$2:$B$1800,BE$1)</f>
        <v>0</v>
      </c>
      <c r="BF14" s="115" t="n">
        <f aca="false">SUMIFS(الريسبي!$C$2:$C$1800,الريسبي!$A$2:$A$1800,$A14,الريسبي!$B$2:$B$1800,BF$1)</f>
        <v>0</v>
      </c>
      <c r="BG14" s="115" t="n">
        <f aca="false">SUMIFS(الريسبي!$C$2:$C$1800,الريسبي!$A$2:$A$1800,$A14,الريسبي!$B$2:$B$1800,BG$1)</f>
        <v>0</v>
      </c>
      <c r="BH14" s="115" t="n">
        <f aca="false">SUMIFS(الريسبي!$C$2:$C$1800,الريسبي!$A$2:$A$1800,$A14,الريسبي!$B$2:$B$1800,BH$1)</f>
        <v>1</v>
      </c>
      <c r="BI14" s="115" t="n">
        <f aca="false">SUMIFS(الريسبي!$C$2:$C$1800,الريسبي!$A$2:$A$1800,$A14,الريسبي!$B$2:$B$1800,BI$1)</f>
        <v>0</v>
      </c>
      <c r="BJ14" s="115" t="n">
        <f aca="false">SUMIFS(الريسبي!$C$2:$C$1800,الريسبي!$A$2:$A$1800,$A14,الريسبي!$B$2:$B$1800,BJ$1)</f>
        <v>0</v>
      </c>
      <c r="BK14" s="115" t="n">
        <f aca="false">SUMIFS(الريسبي!$C$2:$C$1800,الريسبي!$A$2:$A$1800,$A14,الريسبي!$B$2:$B$1800,BK$1)</f>
        <v>0</v>
      </c>
      <c r="BL14" s="115" t="n">
        <f aca="false">SUMIFS(الريسبي!$C$2:$C$1800,الريسبي!$A$2:$A$1800,$A14,الريسبي!$B$2:$B$1800,BL$1)</f>
        <v>0</v>
      </c>
      <c r="BM14" s="115" t="n">
        <f aca="false">SUMIFS(الريسبي!$C$2:$C$1800,الريسبي!$A$2:$A$1800,$A14,الريسبي!$B$2:$B$1800,BM$1)</f>
        <v>0</v>
      </c>
      <c r="BN14" s="115" t="n">
        <f aca="false">SUMIFS(الريسبي!$C$2:$C$1800,الريسبي!$A$2:$A$1800,$A14,الريسبي!$B$2:$B$1800,BN$1)</f>
        <v>0.02</v>
      </c>
      <c r="BO14" s="115" t="n">
        <f aca="false">SUMIFS(الريسبي!$C$2:$C$1800,الريسبي!$A$2:$A$1800,$A14,الريسبي!$B$2:$B$1800,BO$1)</f>
        <v>0</v>
      </c>
      <c r="BP14" s="115" t="n">
        <f aca="false">SUMIFS(الريسبي!$C$2:$C$1800,الريسبي!$A$2:$A$1800,$A14,الريسبي!$B$2:$B$1800,BP$1)</f>
        <v>2</v>
      </c>
      <c r="BQ14" s="115"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15" t="n">
        <f aca="false">SUMIFS(الريسبي!$C$2:$C$1800,الريسبي!$A$2:$A$1800,$A14,الريسبي!$B$2:$B$1800,BR$1)</f>
        <v>1</v>
      </c>
      <c r="BS14" s="115" t="n">
        <f aca="false">SUMIFS(الريسبي!$C$2:$C$1800,الريسبي!$A$2:$A$1800,$A14,الريسبي!$B$2:$B$1800,BS$1)</f>
        <v>0</v>
      </c>
      <c r="BT14" s="115" t="n">
        <f aca="false">SUMIFS(الريسبي!$C$2:$C$1800,الريسبي!$A$2:$A$1800,$A14,الريسبي!$B$2:$B$1800,BT$1)</f>
        <v>0</v>
      </c>
      <c r="BU14" s="115"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15" t="n">
        <f aca="false">SUMIFS(الريسبي!$C$2:$C$1800,الريسبي!$A$2:$A$1800,$A14,الريسبي!$B$2:$B$1800,BV$1)</f>
        <v>0</v>
      </c>
      <c r="BW14" s="115" t="n">
        <f aca="false">SUMIFS(الريسبي!$C$2:$C$1800,الريسبي!$A$2:$A$1800,$A14,الريسبي!$B$2:$B$1800,BW$1)</f>
        <v>0</v>
      </c>
      <c r="BX14" s="115" t="n">
        <f aca="false">SUMIFS(الريسبي!$C$2:$C$1800,الريسبي!$A$2:$A$1800,$A14,الريسبي!$B$2:$B$1800,BX$1)</f>
        <v>0</v>
      </c>
      <c r="BY14" s="115" t="n">
        <f aca="false">SUMIFS(الريسبي!$C$2:$C$1800,الريسبي!$A$2:$A$1800,$A14,الريسبي!$B$2:$B$1800,BY$1)</f>
        <v>0</v>
      </c>
      <c r="BZ14" s="115" t="n">
        <f aca="false">SUMIFS(الريسبي!$C$2:$C$1800,الريسبي!$A$2:$A$1800,$A14,الريسبي!$B$2:$B$1800,BZ$1)</f>
        <v>1</v>
      </c>
      <c r="CA14" s="115" t="n">
        <f aca="false">SUMIFS(الريسبي!$C$2:$C$1800,الريسبي!$A$2:$A$1800,$A14,الريسبي!$B$2:$B$1800,CA$1)</f>
        <v>1</v>
      </c>
      <c r="CB14" s="115" t="n">
        <f aca="false">SUMIFS(الريسبي!$C$2:$C$1800,الريسبي!$A$2:$A$1800,$A14,الريسبي!$B$2:$B$1800,CB$1)</f>
        <v>0</v>
      </c>
      <c r="CC14" s="115" t="n">
        <f aca="false">SUMIFS(الريسبي!$C$2:$C$1800,الريسبي!$A$2:$A$1800,$A14,الريسبي!$B$2:$B$1800,CC$1)</f>
        <v>0</v>
      </c>
      <c r="CD14" s="115" t="n">
        <f aca="false">SUMIFS(الريسبي!$C$2:$C$1800,الريسبي!$A$2:$A$1800,$A14,الريسبي!$B$2:$B$1800,CD$1)</f>
        <v>0</v>
      </c>
      <c r="CE14" s="115" t="n">
        <f aca="false">SUMIFS(الريسبي!$C$2:$C$1800,الريسبي!$A$2:$A$1800,$A14,الريسبي!$B$2:$B$1800,CE$1)</f>
        <v>0</v>
      </c>
      <c r="CF14" s="115" t="n">
        <f aca="false">SUMIFS(الريسبي!$C$2:$C$1800,الريسبي!$A$2:$A$1800,$A14,الريسبي!$B$2:$B$1800,CF$1)</f>
        <v>0</v>
      </c>
      <c r="CG14" s="115" t="n">
        <f aca="false">SUMIFS(الريسبي!$C$2:$C$1800,الريسبي!$A$2:$A$1800,$A14,الريسبي!$B$2:$B$1800,CG$1)</f>
        <v>0</v>
      </c>
      <c r="CH14" s="115" t="n">
        <f aca="false">SUMIFS(الريسبي!$C$2:$C$1800,الريسبي!$A$2:$A$1800,$A14,الريسبي!$B$2:$B$1800,CH$1)</f>
        <v>0</v>
      </c>
    </row>
    <row r="15" customFormat="false" ht="15" hidden="false" customHeight="false" outlineLevel="0" collapsed="false">
      <c r="A15" s="114" t="str">
        <f aca="false">المنيو!B15</f>
        <v>بيتزا فراخ باربيكيو حجم اكبر</v>
      </c>
      <c r="B15" s="115" t="n">
        <f aca="false">SUMIFS(الريسبي!$C$2:$C$1800,الريسبي!$A$2:$A$1800,$A15,الريسبي!$B$2:$B$1800,B$1)</f>
        <v>0</v>
      </c>
      <c r="C15" s="115" t="n">
        <f aca="false">SUMIFS(الريسبي!$C$2:$C$1800,الريسبي!$A$2:$A$1800,$A15,الريسبي!$B$2:$B$1800,C$1)</f>
        <v>0</v>
      </c>
      <c r="D15" s="115" t="n">
        <f aca="false">SUMIFS(الريسبي!$C$2:$C$1800,الريسبي!$A$2:$A$1800,$A15,الريسبي!$B$2:$B$1800,D$1)</f>
        <v>1</v>
      </c>
      <c r="E15" s="115" t="n">
        <f aca="false">SUMIFS(الريسبي!$C$2:$C$1800,الريسبي!$A$2:$A$1800,$A15,الريسبي!$B$2:$B$1800,E$1)</f>
        <v>0</v>
      </c>
      <c r="F15" s="115" t="n">
        <f aca="false">SUMIFS(الريسبي!$C$2:$C$1800,الريسبي!$A$2:$A$1800,$A15,الريسبي!$B$2:$B$1800,F$1)</f>
        <v>0</v>
      </c>
      <c r="G15" s="115" t="n">
        <f aca="false">SUMIFS(الريسبي!$C$2:$C$1800,الريسبي!$A$2:$A$1800,$A15,الريسبي!$B$2:$B$1800,G$1)</f>
        <v>0</v>
      </c>
      <c r="H15" s="115" t="n">
        <f aca="false">SUMIFS(الريسبي!$C$2:$C$1800,الريسبي!$A$2:$A$1800,$A15,الريسبي!$B$2:$B$1800,H$1)</f>
        <v>0</v>
      </c>
      <c r="I15" s="115" t="n">
        <f aca="false">SUMIFS(الريسبي!$C$2:$C$1800,الريسبي!$A$2:$A$1800,$A15,الريسبي!$B$2:$B$1800,I$1)</f>
        <v>0</v>
      </c>
      <c r="J15" s="115" t="n">
        <f aca="false">SUMIFS(الريسبي!$C$2:$C$1800,الريسبي!$A$2:$A$1800,$A15,الريسبي!$B$2:$B$1800,J$1)</f>
        <v>0</v>
      </c>
      <c r="K15" s="115" t="n">
        <f aca="false">SUMIFS(الريسبي!$C$2:$C$1800,الريسبي!$A$2:$A$1800,$A15,الريسبي!$B$2:$B$1800,K$1)</f>
        <v>0</v>
      </c>
      <c r="L15" s="115" t="n">
        <f aca="false">SUMIFS(الريسبي!$C$2:$C$1800,الريسبي!$A$2:$A$1800,$A15,الريسبي!$B$2:$B$1800,L$1)</f>
        <v>0</v>
      </c>
      <c r="M15" s="115" t="n">
        <f aca="false">SUMIFS(الريسبي!$C$2:$C$1800,الريسبي!$A$2:$A$1800,$A15,الريسبي!$B$2:$B$1800,M$1)</f>
        <v>0</v>
      </c>
      <c r="N15" s="115" t="n">
        <f aca="false">SUMIFS(الريسبي!$C$2:$C$1800,الريسبي!$A$2:$A$1800,$A15,الريسبي!$B$2:$B$1800,N$1)</f>
        <v>0</v>
      </c>
      <c r="O15" s="115" t="n">
        <f aca="false">SUMIFS(الريسبي!$C$2:$C$1800,الريسبي!$A$2:$A$1800,$A15,الريسبي!$B$2:$B$1800,O$1)</f>
        <v>0</v>
      </c>
      <c r="P15" s="115" t="n">
        <f aca="false">SUMIFS(الريسبي!$C$2:$C$1800,الريسبي!$A$2:$A$1800,$A15,الريسبي!$B$2:$B$1800,P$1)</f>
        <v>1</v>
      </c>
      <c r="Q15" s="115" t="n">
        <f aca="false">SUMIFS(الريسبي!$C$2:$C$1800,الريسبي!$A$2:$A$1800,$A15,الريسبي!$B$2:$B$1800,Q$1)</f>
        <v>0</v>
      </c>
      <c r="R15" s="115" t="n">
        <f aca="false">SUMIFS(الريسبي!$C$2:$C$1800,الريسبي!$A$2:$A$1800,$A15,الريسبي!$B$2:$B$1800,R$1)</f>
        <v>0</v>
      </c>
      <c r="S15" s="115" t="n">
        <f aca="false">SUMIFS(الريسبي!$C$2:$C$1800,الريسبي!$A$2:$A$1800,$A15,الريسبي!$B$2:$B$1800,S$1)</f>
        <v>0</v>
      </c>
      <c r="T15" s="115" t="n">
        <f aca="false">SUMIFS(الريسبي!$C$2:$C$1800,الريسبي!$A$2:$A$1800,$A15,الريسبي!$B$2:$B$1800,T$1)</f>
        <v>0</v>
      </c>
      <c r="U15" s="115" t="n">
        <f aca="false">SUMIFS(الريسبي!$C$2:$C$1800,الريسبي!$A$2:$A$1800,$A15,الريسبي!$B$2:$B$1800,U$1)</f>
        <v>0</v>
      </c>
      <c r="V15" s="115" t="n">
        <f aca="false">SUMIFS(الريسبي!$C$2:$C$1800,الريسبي!$A$2:$A$1800,$A15,الريسبي!$B$2:$B$1800,V$1)</f>
        <v>0</v>
      </c>
      <c r="W15" s="115" t="n">
        <f aca="false">SUMIFS(الريسبي!$C$2:$C$1800,الريسبي!$A$2:$A$1800,$A15,الريسبي!$B$2:$B$1800,W$1)</f>
        <v>1</v>
      </c>
      <c r="X15" s="115" t="n">
        <f aca="false">SUMIFS(الريسبي!$C$2:$C$1800,الريسبي!$A$2:$A$1800,$A15,الريسبي!$B$2:$B$1800,X$1)</f>
        <v>0</v>
      </c>
      <c r="Y15" s="115" t="n">
        <f aca="false">SUMIFS(الريسبي!$C$2:$C$1800,الريسبي!$A$2:$A$1800,$A15,الريسبي!$B$2:$B$1800,Y$1)</f>
        <v>0</v>
      </c>
      <c r="Z15" s="115" t="n">
        <f aca="false">SUMIFS(الريسبي!$C$2:$C$1800,الريسبي!$A$2:$A$1800,$A15,الريسبي!$B$2:$B$1800,Z$1)</f>
        <v>0</v>
      </c>
      <c r="AA15" s="115" t="n">
        <f aca="false">SUMIFS(الريسبي!$C$2:$C$1800,الريسبي!$A$2:$A$1800,$A15,الريسبي!$B$2:$B$1800,AA$1)</f>
        <v>0</v>
      </c>
      <c r="AB15" s="115" t="n">
        <f aca="false">SUMIFS(الريسبي!$C$2:$C$1800,الريسبي!$A$2:$A$1800,$A15,الريسبي!$B$2:$B$1800,AB$1)</f>
        <v>0</v>
      </c>
      <c r="AC15" s="115" t="n">
        <f aca="false">SUMIFS(الريسبي!$C$2:$C$1800,الريسبي!$A$2:$A$1800,$A15,الريسبي!$B$2:$B$1800,AC$1)</f>
        <v>0</v>
      </c>
      <c r="AD15" s="115" t="n">
        <f aca="false">SUMIFS(الريسبي!$C$2:$C$1800,الريسبي!$A$2:$A$1800,$A15,الريسبي!$B$2:$B$1800,AD$1)</f>
        <v>0</v>
      </c>
      <c r="AE15" s="115" t="n">
        <f aca="false">SUMIFS(الريسبي!$C$2:$C$1800,الريسبي!$A$2:$A$1800,$A15,الريسبي!$B$2:$B$1800,AE$1)</f>
        <v>0</v>
      </c>
      <c r="AF15" s="115" t="n">
        <f aca="false">SUMIFS(الريسبي!$C$2:$C$1800,الريسبي!$A$2:$A$1800,$A15,الريسبي!$B$2:$B$1800,AF$1)</f>
        <v>0</v>
      </c>
      <c r="AG15" s="115" t="n">
        <f aca="false">SUMIFS(الريسبي!$C$2:$C$1800,الريسبي!$A$2:$A$1800,$A15,الريسبي!$B$2:$B$1800,AG$1)</f>
        <v>0</v>
      </c>
      <c r="AH15" s="115" t="n">
        <f aca="false">SUMIFS(الريسبي!$C$2:$C$1800,الريسبي!$A$2:$A$1800,$A15,الريسبي!$B$2:$B$1800,AH$1)</f>
        <v>0</v>
      </c>
      <c r="AI15" s="115" t="n">
        <f aca="false">SUMIFS(الريسبي!$C$2:$C$1800,الريسبي!$A$2:$A$1800,$A15,الريسبي!$B$2:$B$1800,AI$1)</f>
        <v>0</v>
      </c>
      <c r="AJ15" s="115" t="n">
        <f aca="false">SUMIFS(الريسبي!$C$2:$C$1800,الريسبي!$A$2:$A$1800,$A15,الريسبي!$B$2:$B$1800,AJ$1)</f>
        <v>2</v>
      </c>
      <c r="AK15" s="115" t="n">
        <f aca="false">SUMIFS(الريسبي!$C$2:$C$1800,الريسبي!$A$2:$A$1800,$A15,الريسبي!$B$2:$B$1800,AK$1)</f>
        <v>0</v>
      </c>
      <c r="AL15" s="115" t="n">
        <f aca="false">SUMIFS(الريسبي!$C$2:$C$1800,الريسبي!$A$2:$A$1800,$A15,الريسبي!$B$2:$B$1800,AL$1)</f>
        <v>0</v>
      </c>
      <c r="AM15" s="115"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15"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15" t="n">
        <f aca="false">SUMIFS(الريسبي!$C$2:$C$1800,الريسبي!$A$2:$A$1800,$A15,الريسبي!$B$2:$B$1800,AO$1)</f>
        <v>0</v>
      </c>
      <c r="AP15" s="115" t="n">
        <f aca="false">SUMIFS(الريسبي!$C$2:$C$1800,الريسبي!$A$2:$A$1800,$A15,الريسبي!$B$2:$B$1800,AP$1)</f>
        <v>0.03</v>
      </c>
      <c r="AQ15" s="115"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15" t="n">
        <f aca="false">SUMIFS(الريسبي!$C$2:$C$1800,الريسبي!$A$2:$A$1800,$A15,الريسبي!$B$2:$B$1800,AR$1)</f>
        <v>0</v>
      </c>
      <c r="AS15" s="115" t="n">
        <f aca="false">SUMIFS(الريسبي!$C$2:$C$1800,الريسبي!$A$2:$A$1800,$A15,الريسبي!$B$2:$B$1800,AS$1)</f>
        <v>0</v>
      </c>
      <c r="AT15" s="115" t="n">
        <f aca="false">SUMIFS(الريسبي!$C$2:$C$1800,الريسبي!$A$2:$A$1800,$A15,الريسبي!$B$2:$B$1800,AT$1)</f>
        <v>0</v>
      </c>
      <c r="AU15" s="115" t="n">
        <f aca="false">SUMIFS(الريسبي!$C$2:$C$1800,الريسبي!$A$2:$A$1800,$A15,الريسبي!$B$2:$B$1800,AU$1)</f>
        <v>0</v>
      </c>
      <c r="AV15" s="115" t="n">
        <f aca="false">SUMIFS(الريسبي!$C$2:$C$1800,الريسبي!$A$2:$A$1800,$A15,الريسبي!$B$2:$B$1800,AV$1)</f>
        <v>0</v>
      </c>
      <c r="AW15" s="115" t="n">
        <f aca="false">SUMIFS(الريسبي!$C$2:$C$1800,الريسبي!$A$2:$A$1800,$A15,الريسبي!$B$2:$B$1800,AW$1)</f>
        <v>0</v>
      </c>
      <c r="AX15" s="115" t="n">
        <f aca="false">SUMIFS(الريسبي!$C$2:$C$1800,الريسبي!$A$2:$A$1800,$A15,الريسبي!$B$2:$B$1800,AX$1)</f>
        <v>0.06</v>
      </c>
      <c r="AY15" s="115" t="n">
        <f aca="false">SUMIFS(الريسبي!$C$2:$C$1800,الريسبي!$A$2:$A$1800,$A15,الريسبي!$B$2:$B$1800,AY$1)</f>
        <v>0.15</v>
      </c>
      <c r="AZ15" s="115" t="n">
        <f aca="false">SUMIFS(الريسبي!$C$2:$C$1800,الريسبي!$A$2:$A$1800,$A15,الريسبي!$B$2:$B$1800,AZ$1)</f>
        <v>0</v>
      </c>
      <c r="BA15" s="115" t="n">
        <f aca="false">SUMIFS(الريسبي!$C$2:$C$1800,الريسبي!$A$2:$A$1800,$A15,الريسبي!$B$2:$B$1800,BA$1)</f>
        <v>0</v>
      </c>
      <c r="BB15" s="115" t="n">
        <f aca="false">SUMIFS(الريسبي!$C$2:$C$1800,الريسبي!$A$2:$A$1800,$A15,الريسبي!$B$2:$B$1800,BB$1)</f>
        <v>0</v>
      </c>
      <c r="BC15" s="115" t="n">
        <f aca="false">SUMIFS(الريسبي!$C$2:$C$1800,الريسبي!$A$2:$A$1800,$A15,الريسبي!$B$2:$B$1800,BC$1)</f>
        <v>0.045</v>
      </c>
      <c r="BD15" s="115" t="n">
        <f aca="false">SUMIFS(الريسبي!$C$2:$C$1800,الريسبي!$A$2:$A$1800,$A15,الريسبي!$B$2:$B$1800,BD$1)</f>
        <v>0.3</v>
      </c>
      <c r="BE15" s="115" t="n">
        <f aca="false">SUMIFS(الريسبي!$C$2:$C$1800,الريسبي!$A$2:$A$1800,$A15,الريسبي!$B$2:$B$1800,BE$1)</f>
        <v>0</v>
      </c>
      <c r="BF15" s="115" t="n">
        <f aca="false">SUMIFS(الريسبي!$C$2:$C$1800,الريسبي!$A$2:$A$1800,$A15,الريسبي!$B$2:$B$1800,BF$1)</f>
        <v>0</v>
      </c>
      <c r="BG15" s="115" t="n">
        <f aca="false">SUMIFS(الريسبي!$C$2:$C$1800,الريسبي!$A$2:$A$1800,$A15,الريسبي!$B$2:$B$1800,BG$1)</f>
        <v>1</v>
      </c>
      <c r="BH15" s="115" t="n">
        <f aca="false">SUMIFS(الريسبي!$C$2:$C$1800,الريسبي!$A$2:$A$1800,$A15,الريسبي!$B$2:$B$1800,BH$1)</f>
        <v>0</v>
      </c>
      <c r="BI15" s="115" t="n">
        <f aca="false">SUMIFS(الريسبي!$C$2:$C$1800,الريسبي!$A$2:$A$1800,$A15,الريسبي!$B$2:$B$1800,BI$1)</f>
        <v>0</v>
      </c>
      <c r="BJ15" s="115" t="n">
        <f aca="false">SUMIFS(الريسبي!$C$2:$C$1800,الريسبي!$A$2:$A$1800,$A15,الريسبي!$B$2:$B$1800,BJ$1)</f>
        <v>0</v>
      </c>
      <c r="BK15" s="115" t="n">
        <f aca="false">SUMIFS(الريسبي!$C$2:$C$1800,الريسبي!$A$2:$A$1800,$A15,الريسبي!$B$2:$B$1800,BK$1)</f>
        <v>0</v>
      </c>
      <c r="BL15" s="115" t="n">
        <f aca="false">SUMIFS(الريسبي!$C$2:$C$1800,الريسبي!$A$2:$A$1800,$A15,الريسبي!$B$2:$B$1800,BL$1)</f>
        <v>0</v>
      </c>
      <c r="BM15" s="115" t="n">
        <f aca="false">SUMIFS(الريسبي!$C$2:$C$1800,الريسبي!$A$2:$A$1800,$A15,الريسبي!$B$2:$B$1800,BM$1)</f>
        <v>0</v>
      </c>
      <c r="BN15" s="115" t="n">
        <f aca="false">SUMIFS(الريسبي!$C$2:$C$1800,الريسبي!$A$2:$A$1800,$A15,الريسبي!$B$2:$B$1800,BN$1)</f>
        <v>0.03</v>
      </c>
      <c r="BO15" s="115" t="n">
        <f aca="false">SUMIFS(الريسبي!$C$2:$C$1800,الريسبي!$A$2:$A$1800,$A15,الريسبي!$B$2:$B$1800,BO$1)</f>
        <v>0</v>
      </c>
      <c r="BP15" s="115" t="n">
        <f aca="false">SUMIFS(الريسبي!$C$2:$C$1800,الريسبي!$A$2:$A$1800,$A15,الريسبي!$B$2:$B$1800,BP$1)</f>
        <v>3</v>
      </c>
      <c r="BQ15" s="115"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15" t="n">
        <f aca="false">SUMIFS(الريسبي!$C$2:$C$1800,الريسبي!$A$2:$A$1800,$A15,الريسبي!$B$2:$B$1800,BR$1)</f>
        <v>1</v>
      </c>
      <c r="BS15" s="115" t="n">
        <f aca="false">SUMIFS(الريسبي!$C$2:$C$1800,الريسبي!$A$2:$A$1800,$A15,الريسبي!$B$2:$B$1800,BS$1)</f>
        <v>0</v>
      </c>
      <c r="BT15" s="115" t="n">
        <f aca="false">SUMIFS(الريسبي!$C$2:$C$1800,الريسبي!$A$2:$A$1800,$A15,الريسبي!$B$2:$B$1800,BT$1)</f>
        <v>0</v>
      </c>
      <c r="BU15" s="115"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15" t="n">
        <f aca="false">SUMIFS(الريسبي!$C$2:$C$1800,الريسبي!$A$2:$A$1800,$A15,الريسبي!$B$2:$B$1800,BV$1)</f>
        <v>0</v>
      </c>
      <c r="BW15" s="115" t="n">
        <f aca="false">SUMIFS(الريسبي!$C$2:$C$1800,الريسبي!$A$2:$A$1800,$A15,الريسبي!$B$2:$B$1800,BW$1)</f>
        <v>0</v>
      </c>
      <c r="BX15" s="115" t="n">
        <f aca="false">SUMIFS(الريسبي!$C$2:$C$1800,الريسبي!$A$2:$A$1800,$A15,الريسبي!$B$2:$B$1800,BX$1)</f>
        <v>0</v>
      </c>
      <c r="BY15" s="115" t="n">
        <f aca="false">SUMIFS(الريسبي!$C$2:$C$1800,الريسبي!$A$2:$A$1800,$A15,الريسبي!$B$2:$B$1800,BY$1)</f>
        <v>0</v>
      </c>
      <c r="BZ15" s="115" t="n">
        <f aca="false">SUMIFS(الريسبي!$C$2:$C$1800,الريسبي!$A$2:$A$1800,$A15,الريسبي!$B$2:$B$1800,BZ$1)</f>
        <v>1</v>
      </c>
      <c r="CA15" s="115" t="n">
        <f aca="false">SUMIFS(الريسبي!$C$2:$C$1800,الريسبي!$A$2:$A$1800,$A15,الريسبي!$B$2:$B$1800,CA$1)</f>
        <v>1</v>
      </c>
      <c r="CB15" s="115" t="n">
        <f aca="false">SUMIFS(الريسبي!$C$2:$C$1800,الريسبي!$A$2:$A$1800,$A15,الريسبي!$B$2:$B$1800,CB$1)</f>
        <v>0</v>
      </c>
      <c r="CC15" s="115" t="n">
        <f aca="false">SUMIFS(الريسبي!$C$2:$C$1800,الريسبي!$A$2:$A$1800,$A15,الريسبي!$B$2:$B$1800,CC$1)</f>
        <v>0</v>
      </c>
      <c r="CD15" s="115" t="n">
        <f aca="false">SUMIFS(الريسبي!$C$2:$C$1800,الريسبي!$A$2:$A$1800,$A15,الريسبي!$B$2:$B$1800,CD$1)</f>
        <v>0</v>
      </c>
      <c r="CE15" s="115" t="n">
        <f aca="false">SUMIFS(الريسبي!$C$2:$C$1800,الريسبي!$A$2:$A$1800,$A15,الريسبي!$B$2:$B$1800,CE$1)</f>
        <v>0</v>
      </c>
      <c r="CF15" s="115" t="n">
        <f aca="false">SUMIFS(الريسبي!$C$2:$C$1800,الريسبي!$A$2:$A$1800,$A15,الريسبي!$B$2:$B$1800,CF$1)</f>
        <v>0</v>
      </c>
      <c r="CG15" s="115" t="n">
        <f aca="false">SUMIFS(الريسبي!$C$2:$C$1800,الريسبي!$A$2:$A$1800,$A15,الريسبي!$B$2:$B$1800,CG$1)</f>
        <v>0</v>
      </c>
      <c r="CH15" s="115" t="n">
        <f aca="false">SUMIFS(الريسبي!$C$2:$C$1800,الريسبي!$A$2:$A$1800,$A15,الريسبي!$B$2:$B$1800,CH$1)</f>
        <v>0</v>
      </c>
    </row>
    <row r="16" customFormat="false" ht="15" hidden="false" customHeight="false" outlineLevel="0" collapsed="false">
      <c r="A16" s="114" t="str">
        <f aca="false">المنيو!B16</f>
        <v>بيتزا فراخ كريسبي رانش وسط</v>
      </c>
      <c r="B16" s="115" t="n">
        <f aca="false">SUMIFS(الريسبي!$C$2:$C$1800,الريسبي!$A$2:$A$1800,$A16,الريسبي!$B$2:$B$1800,B$1)</f>
        <v>0</v>
      </c>
      <c r="C16" s="115" t="n">
        <f aca="false">SUMIFS(الريسبي!$C$2:$C$1800,الريسبي!$A$2:$A$1800,$A16,الريسبي!$B$2:$B$1800,C$1)</f>
        <v>0</v>
      </c>
      <c r="D16" s="115" t="n">
        <f aca="false">SUMIFS(الريسبي!$C$2:$C$1800,الريسبي!$A$2:$A$1800,$A16,الريسبي!$B$2:$B$1800,D$1)</f>
        <v>1</v>
      </c>
      <c r="E16" s="115" t="n">
        <f aca="false">SUMIFS(الريسبي!$C$2:$C$1800,الريسبي!$A$2:$A$1800,$A16,الريسبي!$B$2:$B$1800,E$1)</f>
        <v>0</v>
      </c>
      <c r="F16" s="115" t="n">
        <f aca="false">SUMIFS(الريسبي!$C$2:$C$1800,الريسبي!$A$2:$A$1800,$A16,الريسبي!$B$2:$B$1800,F$1)</f>
        <v>0</v>
      </c>
      <c r="G16" s="115" t="n">
        <f aca="false">SUMIFS(الريسبي!$C$2:$C$1800,الريسبي!$A$2:$A$1800,$A16,الريسبي!$B$2:$B$1800,G$1)</f>
        <v>0</v>
      </c>
      <c r="H16" s="115" t="n">
        <f aca="false">SUMIFS(الريسبي!$C$2:$C$1800,الريسبي!$A$2:$A$1800,$A16,الريسبي!$B$2:$B$1800,H$1)</f>
        <v>0</v>
      </c>
      <c r="I16" s="115" t="n">
        <f aca="false">SUMIFS(الريسبي!$C$2:$C$1800,الريسبي!$A$2:$A$1800,$A16,الريسبي!$B$2:$B$1800,I$1)</f>
        <v>0</v>
      </c>
      <c r="J16" s="115" t="n">
        <f aca="false">SUMIFS(الريسبي!$C$2:$C$1800,الريسبي!$A$2:$A$1800,$A16,الريسبي!$B$2:$B$1800,J$1)</f>
        <v>0</v>
      </c>
      <c r="K16" s="115" t="n">
        <f aca="false">SUMIFS(الريسبي!$C$2:$C$1800,الريسبي!$A$2:$A$1800,$A16,الريسبي!$B$2:$B$1800,K$1)</f>
        <v>0</v>
      </c>
      <c r="L16" s="115" t="n">
        <f aca="false">SUMIFS(الريسبي!$C$2:$C$1800,الريسبي!$A$2:$A$1800,$A16,الريسبي!$B$2:$B$1800,L$1)</f>
        <v>0</v>
      </c>
      <c r="M16" s="115" t="n">
        <f aca="false">SUMIFS(الريسبي!$C$2:$C$1800,الريسبي!$A$2:$A$1800,$A16,الريسبي!$B$2:$B$1800,M$1)</f>
        <v>0</v>
      </c>
      <c r="N16" s="115" t="n">
        <f aca="false">SUMIFS(الريسبي!$C$2:$C$1800,الريسبي!$A$2:$A$1800,$A16,الريسبي!$B$2:$B$1800,N$1)</f>
        <v>0</v>
      </c>
      <c r="O16" s="115" t="n">
        <f aca="false">SUMIFS(الريسبي!$C$2:$C$1800,الريسبي!$A$2:$A$1800,$A16,الريسبي!$B$2:$B$1800,O$1)</f>
        <v>0</v>
      </c>
      <c r="P16" s="115" t="n">
        <f aca="false">SUMIFS(الريسبي!$C$2:$C$1800,الريسبي!$A$2:$A$1800,$A16,الريسبي!$B$2:$B$1800,P$1)</f>
        <v>0</v>
      </c>
      <c r="Q16" s="115" t="n">
        <f aca="false">SUMIFS(الريسبي!$C$2:$C$1800,الريسبي!$A$2:$A$1800,$A16,الريسبي!$B$2:$B$1800,Q$1)</f>
        <v>1</v>
      </c>
      <c r="R16" s="115" t="n">
        <f aca="false">SUMIFS(الريسبي!$C$2:$C$1800,الريسبي!$A$2:$A$1800,$A16,الريسبي!$B$2:$B$1800,R$1)</f>
        <v>0</v>
      </c>
      <c r="S16" s="115" t="n">
        <f aca="false">SUMIFS(الريسبي!$C$2:$C$1800,الريسبي!$A$2:$A$1800,$A16,الريسبي!$B$2:$B$1800,S$1)</f>
        <v>0</v>
      </c>
      <c r="T16" s="115" t="n">
        <f aca="false">SUMIFS(الريسبي!$C$2:$C$1800,الريسبي!$A$2:$A$1800,$A16,الريسبي!$B$2:$B$1800,T$1)</f>
        <v>0</v>
      </c>
      <c r="U16" s="115" t="n">
        <f aca="false">SUMIFS(الريسبي!$C$2:$C$1800,الريسبي!$A$2:$A$1800,$A16,الريسبي!$B$2:$B$1800,U$1)</f>
        <v>0</v>
      </c>
      <c r="V16" s="115" t="n">
        <f aca="false">SUMIFS(الريسبي!$C$2:$C$1800,الريسبي!$A$2:$A$1800,$A16,الريسبي!$B$2:$B$1800,V$1)</f>
        <v>1</v>
      </c>
      <c r="W16" s="115" t="n">
        <f aca="false">SUMIFS(الريسبي!$C$2:$C$1800,الريسبي!$A$2:$A$1800,$A16,الريسبي!$B$2:$B$1800,W$1)</f>
        <v>0</v>
      </c>
      <c r="X16" s="115" t="n">
        <f aca="false">SUMIFS(الريسبي!$C$2:$C$1800,الريسبي!$A$2:$A$1800,$A16,الريسبي!$B$2:$B$1800,X$1)</f>
        <v>0</v>
      </c>
      <c r="Y16" s="115" t="n">
        <f aca="false">SUMIFS(الريسبي!$C$2:$C$1800,الريسبي!$A$2:$A$1800,$A16,الريسبي!$B$2:$B$1800,Y$1)</f>
        <v>0</v>
      </c>
      <c r="Z16" s="115" t="n">
        <f aca="false">SUMIFS(الريسبي!$C$2:$C$1800,الريسبي!$A$2:$A$1800,$A16,الريسبي!$B$2:$B$1800,Z$1)</f>
        <v>0</v>
      </c>
      <c r="AA16" s="115" t="n">
        <f aca="false">SUMIFS(الريسبي!$C$2:$C$1800,الريسبي!$A$2:$A$1800,$A16,الريسبي!$B$2:$B$1800,AA$1)</f>
        <v>0</v>
      </c>
      <c r="AB16" s="115" t="n">
        <f aca="false">SUMIFS(الريسبي!$C$2:$C$1800,الريسبي!$A$2:$A$1800,$A16,الريسبي!$B$2:$B$1800,AB$1)</f>
        <v>0</v>
      </c>
      <c r="AC16" s="115" t="n">
        <f aca="false">SUMIFS(الريسبي!$C$2:$C$1800,الريسبي!$A$2:$A$1800,$A16,الريسبي!$B$2:$B$1800,AC$1)</f>
        <v>0</v>
      </c>
      <c r="AD16" s="115" t="n">
        <f aca="false">SUMIFS(الريسبي!$C$2:$C$1800,الريسبي!$A$2:$A$1800,$A16,الريسبي!$B$2:$B$1800,AD$1)</f>
        <v>0</v>
      </c>
      <c r="AE16" s="115" t="n">
        <f aca="false">SUMIFS(الريسبي!$C$2:$C$1800,الريسبي!$A$2:$A$1800,$A16,الريسبي!$B$2:$B$1800,AE$1)</f>
        <v>0</v>
      </c>
      <c r="AF16" s="115" t="n">
        <f aca="false">SUMIFS(الريسبي!$C$2:$C$1800,الريسبي!$A$2:$A$1800,$A16,الريسبي!$B$2:$B$1800,AF$1)</f>
        <v>0</v>
      </c>
      <c r="AG16" s="115" t="n">
        <f aca="false">SUMIFS(الريسبي!$C$2:$C$1800,الريسبي!$A$2:$A$1800,$A16,الريسبي!$B$2:$B$1800,AG$1)</f>
        <v>0</v>
      </c>
      <c r="AH16" s="115" t="n">
        <f aca="false">SUMIFS(الريسبي!$C$2:$C$1800,الريسبي!$A$2:$A$1800,$A16,الريسبي!$B$2:$B$1800,AH$1)</f>
        <v>0</v>
      </c>
      <c r="AI16" s="115" t="n">
        <f aca="false">SUMIFS(الريسبي!$C$2:$C$1800,الريسبي!$A$2:$A$1800,$A16,الريسبي!$B$2:$B$1800,AI$1)</f>
        <v>0</v>
      </c>
      <c r="AJ16" s="115" t="n">
        <f aca="false">SUMIFS(الريسبي!$C$2:$C$1800,الريسبي!$A$2:$A$1800,$A16,الريسبي!$B$2:$B$1800,AJ$1)</f>
        <v>2</v>
      </c>
      <c r="AK16" s="115" t="n">
        <f aca="false">SUMIFS(الريسبي!$C$2:$C$1800,الريسبي!$A$2:$A$1800,$A16,الريسبي!$B$2:$B$1800,AK$1)</f>
        <v>0</v>
      </c>
      <c r="AL16" s="115" t="n">
        <f aca="false">SUMIFS(الريسبي!$C$2:$C$1800,الريسبي!$A$2:$A$1800,$A16,الريسبي!$B$2:$B$1800,AL$1)</f>
        <v>0</v>
      </c>
      <c r="AM16" s="115"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15"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15" t="n">
        <f aca="false">SUMIFS(الريسبي!$C$2:$C$1800,الريسبي!$A$2:$A$1800,$A16,الريسبي!$B$2:$B$1800,AO$1)</f>
        <v>0</v>
      </c>
      <c r="AP16" s="115" t="n">
        <f aca="false">SUMIFS(الريسبي!$C$2:$C$1800,الريسبي!$A$2:$A$1800,$A16,الريسبي!$B$2:$B$1800,AP$1)</f>
        <v>0.02</v>
      </c>
      <c r="AQ16" s="115"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15" t="n">
        <f aca="false">SUMIFS(الريسبي!$C$2:$C$1800,الريسبي!$A$2:$A$1800,$A16,الريسبي!$B$2:$B$1800,AR$1)</f>
        <v>0</v>
      </c>
      <c r="AS16" s="115" t="n">
        <f aca="false">SUMIFS(الريسبي!$C$2:$C$1800,الريسبي!$A$2:$A$1800,$A16,الريسبي!$B$2:$B$1800,AS$1)</f>
        <v>0</v>
      </c>
      <c r="AT16" s="115" t="n">
        <f aca="false">SUMIFS(الريسبي!$C$2:$C$1800,الريسبي!$A$2:$A$1800,$A16,الريسبي!$B$2:$B$1800,AT$1)</f>
        <v>0</v>
      </c>
      <c r="AU16" s="115" t="n">
        <f aca="false">SUMIFS(الريسبي!$C$2:$C$1800,الريسبي!$A$2:$A$1800,$A16,الريسبي!$B$2:$B$1800,AU$1)</f>
        <v>0</v>
      </c>
      <c r="AV16" s="115" t="n">
        <f aca="false">SUMIFS(الريسبي!$C$2:$C$1800,الريسبي!$A$2:$A$1800,$A16,الريسبي!$B$2:$B$1800,AV$1)</f>
        <v>0</v>
      </c>
      <c r="AW16" s="115" t="n">
        <f aca="false">SUMIFS(الريسبي!$C$2:$C$1800,الريسبي!$A$2:$A$1800,$A16,الريسبي!$B$2:$B$1800,AW$1)</f>
        <v>0</v>
      </c>
      <c r="AX16" s="115" t="n">
        <f aca="false">SUMIFS(الريسبي!$C$2:$C$1800,الريسبي!$A$2:$A$1800,$A16,الريسبي!$B$2:$B$1800,AX$1)</f>
        <v>0.04</v>
      </c>
      <c r="AY16" s="115" t="n">
        <f aca="false">SUMIFS(الريسبي!$C$2:$C$1800,الريسبي!$A$2:$A$1800,$A16,الريسبي!$B$2:$B$1800,AY$1)</f>
        <v>0</v>
      </c>
      <c r="AZ16" s="115" t="n">
        <f aca="false">SUMIFS(الريسبي!$C$2:$C$1800,الريسبي!$A$2:$A$1800,$A16,الريسبي!$B$2:$B$1800,AZ$1)</f>
        <v>0</v>
      </c>
      <c r="BA16" s="115" t="n">
        <f aca="false">SUMIFS(الريسبي!$C$2:$C$1800,الريسبي!$A$2:$A$1800,$A16,الريسبي!$B$2:$B$1800,BA$1)</f>
        <v>0.1</v>
      </c>
      <c r="BB16" s="115" t="n">
        <f aca="false">SUMIFS(الريسبي!$C$2:$C$1800,الريسبي!$A$2:$A$1800,$A16,الريسبي!$B$2:$B$1800,BB$1)</f>
        <v>0</v>
      </c>
      <c r="BC16" s="115" t="n">
        <f aca="false">SUMIFS(الريسبي!$C$2:$C$1800,الريسبي!$A$2:$A$1800,$A16,الريسبي!$B$2:$B$1800,BC$1)</f>
        <v>0.03</v>
      </c>
      <c r="BD16" s="115" t="n">
        <f aca="false">SUMIFS(الريسبي!$C$2:$C$1800,الريسبي!$A$2:$A$1800,$A16,الريسبي!$B$2:$B$1800,BD$1)</f>
        <v>0.22</v>
      </c>
      <c r="BE16" s="115" t="n">
        <f aca="false">SUMIFS(الريسبي!$C$2:$C$1800,الريسبي!$A$2:$A$1800,$A16,الريسبي!$B$2:$B$1800,BE$1)</f>
        <v>0</v>
      </c>
      <c r="BF16" s="115" t="n">
        <f aca="false">SUMIFS(الريسبي!$C$2:$C$1800,الريسبي!$A$2:$A$1800,$A16,الريسبي!$B$2:$B$1800,BF$1)</f>
        <v>0</v>
      </c>
      <c r="BG16" s="115" t="n">
        <f aca="false">SUMIFS(الريسبي!$C$2:$C$1800,الريسبي!$A$2:$A$1800,$A16,الريسبي!$B$2:$B$1800,BG$1)</f>
        <v>0</v>
      </c>
      <c r="BH16" s="115" t="n">
        <f aca="false">SUMIFS(الريسبي!$C$2:$C$1800,الريسبي!$A$2:$A$1800,$A16,الريسبي!$B$2:$B$1800,BH$1)</f>
        <v>1</v>
      </c>
      <c r="BI16" s="115" t="n">
        <f aca="false">SUMIFS(الريسبي!$C$2:$C$1800,الريسبي!$A$2:$A$1800,$A16,الريسبي!$B$2:$B$1800,BI$1)</f>
        <v>0</v>
      </c>
      <c r="BJ16" s="115" t="n">
        <f aca="false">SUMIFS(الريسبي!$C$2:$C$1800,الريسبي!$A$2:$A$1800,$A16,الريسبي!$B$2:$B$1800,BJ$1)</f>
        <v>0</v>
      </c>
      <c r="BK16" s="115" t="n">
        <f aca="false">SUMIFS(الريسبي!$C$2:$C$1800,الريسبي!$A$2:$A$1800,$A16,الريسبي!$B$2:$B$1800,BK$1)</f>
        <v>0</v>
      </c>
      <c r="BL16" s="115" t="n">
        <f aca="false">SUMIFS(الريسبي!$C$2:$C$1800,الريسبي!$A$2:$A$1800,$A16,الريسبي!$B$2:$B$1800,BL$1)</f>
        <v>0</v>
      </c>
      <c r="BM16" s="115" t="n">
        <f aca="false">SUMIFS(الريسبي!$C$2:$C$1800,الريسبي!$A$2:$A$1800,$A16,الريسبي!$B$2:$B$1800,BM$1)</f>
        <v>0</v>
      </c>
      <c r="BN16" s="115" t="n">
        <f aca="false">SUMIFS(الريسبي!$C$2:$C$1800,الريسبي!$A$2:$A$1800,$A16,الريسبي!$B$2:$B$1800,BN$1)</f>
        <v>0.02</v>
      </c>
      <c r="BO16" s="115" t="n">
        <f aca="false">SUMIFS(الريسبي!$C$2:$C$1800,الريسبي!$A$2:$A$1800,$A16,الريسبي!$B$2:$B$1800,BO$1)</f>
        <v>0</v>
      </c>
      <c r="BP16" s="115" t="n">
        <f aca="false">SUMIFS(الريسبي!$C$2:$C$1800,الريسبي!$A$2:$A$1800,$A16,الريسبي!$B$2:$B$1800,BP$1)</f>
        <v>2</v>
      </c>
      <c r="BQ16" s="115"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15" t="n">
        <f aca="false">SUMIFS(الريسبي!$C$2:$C$1800,الريسبي!$A$2:$A$1800,$A16,الريسبي!$B$2:$B$1800,BR$1)</f>
        <v>1</v>
      </c>
      <c r="BS16" s="115" t="n">
        <f aca="false">SUMIFS(الريسبي!$C$2:$C$1800,الريسبي!$A$2:$A$1800,$A16,الريسبي!$B$2:$B$1800,BS$1)</f>
        <v>0</v>
      </c>
      <c r="BT16" s="115" t="n">
        <f aca="false">SUMIFS(الريسبي!$C$2:$C$1800,الريسبي!$A$2:$A$1800,$A16,الريسبي!$B$2:$B$1800,BT$1)</f>
        <v>0</v>
      </c>
      <c r="BU16" s="115"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15" t="n">
        <f aca="false">SUMIFS(الريسبي!$C$2:$C$1800,الريسبي!$A$2:$A$1800,$A16,الريسبي!$B$2:$B$1800,BV$1)</f>
        <v>0</v>
      </c>
      <c r="BW16" s="115" t="n">
        <f aca="false">SUMIFS(الريسبي!$C$2:$C$1800,الريسبي!$A$2:$A$1800,$A16,الريسبي!$B$2:$B$1800,BW$1)</f>
        <v>0</v>
      </c>
      <c r="BX16" s="115" t="n">
        <f aca="false">SUMIFS(الريسبي!$C$2:$C$1800,الريسبي!$A$2:$A$1800,$A16,الريسبي!$B$2:$B$1800,BX$1)</f>
        <v>0</v>
      </c>
      <c r="BY16" s="115" t="n">
        <f aca="false">SUMIFS(الريسبي!$C$2:$C$1800,الريسبي!$A$2:$A$1800,$A16,الريسبي!$B$2:$B$1800,BY$1)</f>
        <v>0</v>
      </c>
      <c r="BZ16" s="115" t="n">
        <f aca="false">SUMIFS(الريسبي!$C$2:$C$1800,الريسبي!$A$2:$A$1800,$A16,الريسبي!$B$2:$B$1800,BZ$1)</f>
        <v>1</v>
      </c>
      <c r="CA16" s="115" t="n">
        <f aca="false">SUMIFS(الريسبي!$C$2:$C$1800,الريسبي!$A$2:$A$1800,$A16,الريسبي!$B$2:$B$1800,CA$1)</f>
        <v>1</v>
      </c>
      <c r="CB16" s="115" t="n">
        <f aca="false">SUMIFS(الريسبي!$C$2:$C$1800,الريسبي!$A$2:$A$1800,$A16,الريسبي!$B$2:$B$1800,CB$1)</f>
        <v>0</v>
      </c>
      <c r="CC16" s="115" t="n">
        <f aca="false">SUMIFS(الريسبي!$C$2:$C$1800,الريسبي!$A$2:$A$1800,$A16,الريسبي!$B$2:$B$1800,CC$1)</f>
        <v>0</v>
      </c>
      <c r="CD16" s="115" t="n">
        <f aca="false">SUMIFS(الريسبي!$C$2:$C$1800,الريسبي!$A$2:$A$1800,$A16,الريسبي!$B$2:$B$1800,CD$1)</f>
        <v>0</v>
      </c>
      <c r="CE16" s="115" t="n">
        <f aca="false">SUMIFS(الريسبي!$C$2:$C$1800,الريسبي!$A$2:$A$1800,$A16,الريسبي!$B$2:$B$1800,CE$1)</f>
        <v>0</v>
      </c>
      <c r="CF16" s="115" t="n">
        <f aca="false">SUMIFS(الريسبي!$C$2:$C$1800,الريسبي!$A$2:$A$1800,$A16,الريسبي!$B$2:$B$1800,CF$1)</f>
        <v>0</v>
      </c>
      <c r="CG16" s="115" t="n">
        <f aca="false">SUMIFS(الريسبي!$C$2:$C$1800,الريسبي!$A$2:$A$1800,$A16,الريسبي!$B$2:$B$1800,CG$1)</f>
        <v>0</v>
      </c>
      <c r="CH16" s="115" t="n">
        <f aca="false">SUMIFS(الريسبي!$C$2:$C$1800,الريسبي!$A$2:$A$1800,$A16,الريسبي!$B$2:$B$1800,CH$1)</f>
        <v>0</v>
      </c>
    </row>
    <row r="17" customFormat="false" ht="15" hidden="false" customHeight="false" outlineLevel="0" collapsed="false">
      <c r="A17" s="114" t="str">
        <f aca="false">المنيو!B17</f>
        <v>بيتزا فراخ كريسبي رانش حجم اكبر</v>
      </c>
      <c r="B17" s="115" t="n">
        <f aca="false">SUMIFS(الريسبي!$C$2:$C$1800,الريسبي!$A$2:$A$1800,$A17,الريسبي!$B$2:$B$1800,B$1)</f>
        <v>0</v>
      </c>
      <c r="C17" s="115" t="n">
        <f aca="false">SUMIFS(الريسبي!$C$2:$C$1800,الريسبي!$A$2:$A$1800,$A17,الريسبي!$B$2:$B$1800,C$1)</f>
        <v>0</v>
      </c>
      <c r="D17" s="115" t="n">
        <f aca="false">SUMIFS(الريسبي!$C$2:$C$1800,الريسبي!$A$2:$A$1800,$A17,الريسبي!$B$2:$B$1800,D$1)</f>
        <v>1</v>
      </c>
      <c r="E17" s="115" t="n">
        <f aca="false">SUMIFS(الريسبي!$C$2:$C$1800,الريسبي!$A$2:$A$1800,$A17,الريسبي!$B$2:$B$1800,E$1)</f>
        <v>0</v>
      </c>
      <c r="F17" s="115" t="n">
        <f aca="false">SUMIFS(الريسبي!$C$2:$C$1800,الريسبي!$A$2:$A$1800,$A17,الريسبي!$B$2:$B$1800,F$1)</f>
        <v>0</v>
      </c>
      <c r="G17" s="115" t="n">
        <f aca="false">SUMIFS(الريسبي!$C$2:$C$1800,الريسبي!$A$2:$A$1800,$A17,الريسبي!$B$2:$B$1800,G$1)</f>
        <v>0</v>
      </c>
      <c r="H17" s="115" t="n">
        <f aca="false">SUMIFS(الريسبي!$C$2:$C$1800,الريسبي!$A$2:$A$1800,$A17,الريسبي!$B$2:$B$1800,H$1)</f>
        <v>0</v>
      </c>
      <c r="I17" s="115" t="n">
        <f aca="false">SUMIFS(الريسبي!$C$2:$C$1800,الريسبي!$A$2:$A$1800,$A17,الريسبي!$B$2:$B$1800,I$1)</f>
        <v>0</v>
      </c>
      <c r="J17" s="115" t="n">
        <f aca="false">SUMIFS(الريسبي!$C$2:$C$1800,الريسبي!$A$2:$A$1800,$A17,الريسبي!$B$2:$B$1800,J$1)</f>
        <v>0</v>
      </c>
      <c r="K17" s="115" t="n">
        <f aca="false">SUMIFS(الريسبي!$C$2:$C$1800,الريسبي!$A$2:$A$1800,$A17,الريسبي!$B$2:$B$1800,K$1)</f>
        <v>0</v>
      </c>
      <c r="L17" s="115" t="n">
        <f aca="false">SUMIFS(الريسبي!$C$2:$C$1800,الريسبي!$A$2:$A$1800,$A17,الريسبي!$B$2:$B$1800,L$1)</f>
        <v>0</v>
      </c>
      <c r="M17" s="115" t="n">
        <f aca="false">SUMIFS(الريسبي!$C$2:$C$1800,الريسبي!$A$2:$A$1800,$A17,الريسبي!$B$2:$B$1800,M$1)</f>
        <v>0</v>
      </c>
      <c r="N17" s="115" t="n">
        <f aca="false">SUMIFS(الريسبي!$C$2:$C$1800,الريسبي!$A$2:$A$1800,$A17,الريسبي!$B$2:$B$1800,N$1)</f>
        <v>0</v>
      </c>
      <c r="O17" s="115" t="n">
        <f aca="false">SUMIFS(الريسبي!$C$2:$C$1800,الريسبي!$A$2:$A$1800,$A17,الريسبي!$B$2:$B$1800,O$1)</f>
        <v>0</v>
      </c>
      <c r="P17" s="115" t="n">
        <f aca="false">SUMIFS(الريسبي!$C$2:$C$1800,الريسبي!$A$2:$A$1800,$A17,الريسبي!$B$2:$B$1800,P$1)</f>
        <v>0</v>
      </c>
      <c r="Q17" s="115" t="n">
        <f aca="false">SUMIFS(الريسبي!$C$2:$C$1800,الريسبي!$A$2:$A$1800,$A17,الريسبي!$B$2:$B$1800,Q$1)</f>
        <v>0</v>
      </c>
      <c r="R17" s="115" t="n">
        <f aca="false">SUMIFS(الريسبي!$C$2:$C$1800,الريسبي!$A$2:$A$1800,$A17,الريسبي!$B$2:$B$1800,R$1)</f>
        <v>1</v>
      </c>
      <c r="S17" s="115" t="n">
        <f aca="false">SUMIFS(الريسبي!$C$2:$C$1800,الريسبي!$A$2:$A$1800,$A17,الريسبي!$B$2:$B$1800,S$1)</f>
        <v>0</v>
      </c>
      <c r="T17" s="115" t="n">
        <f aca="false">SUMIFS(الريسبي!$C$2:$C$1800,الريسبي!$A$2:$A$1800,$A17,الريسبي!$B$2:$B$1800,T$1)</f>
        <v>0</v>
      </c>
      <c r="U17" s="115" t="n">
        <f aca="false">SUMIFS(الريسبي!$C$2:$C$1800,الريسبي!$A$2:$A$1800,$A17,الريسبي!$B$2:$B$1800,U$1)</f>
        <v>0</v>
      </c>
      <c r="V17" s="115" t="n">
        <f aca="false">SUMIFS(الريسبي!$C$2:$C$1800,الريسبي!$A$2:$A$1800,$A17,الريسبي!$B$2:$B$1800,V$1)</f>
        <v>0</v>
      </c>
      <c r="W17" s="115" t="n">
        <f aca="false">SUMIFS(الريسبي!$C$2:$C$1800,الريسبي!$A$2:$A$1800,$A17,الريسبي!$B$2:$B$1800,W$1)</f>
        <v>1</v>
      </c>
      <c r="X17" s="115" t="n">
        <f aca="false">SUMIFS(الريسبي!$C$2:$C$1800,الريسبي!$A$2:$A$1800,$A17,الريسبي!$B$2:$B$1800,X$1)</f>
        <v>0</v>
      </c>
      <c r="Y17" s="115" t="n">
        <f aca="false">SUMIFS(الريسبي!$C$2:$C$1800,الريسبي!$A$2:$A$1800,$A17,الريسبي!$B$2:$B$1800,Y$1)</f>
        <v>0</v>
      </c>
      <c r="Z17" s="115" t="n">
        <f aca="false">SUMIFS(الريسبي!$C$2:$C$1800,الريسبي!$A$2:$A$1800,$A17,الريسبي!$B$2:$B$1800,Z$1)</f>
        <v>0</v>
      </c>
      <c r="AA17" s="115" t="n">
        <f aca="false">SUMIFS(الريسبي!$C$2:$C$1800,الريسبي!$A$2:$A$1800,$A17,الريسبي!$B$2:$B$1800,AA$1)</f>
        <v>0</v>
      </c>
      <c r="AB17" s="115" t="n">
        <f aca="false">SUMIFS(الريسبي!$C$2:$C$1800,الريسبي!$A$2:$A$1800,$A17,الريسبي!$B$2:$B$1800,AB$1)</f>
        <v>0</v>
      </c>
      <c r="AC17" s="115" t="n">
        <f aca="false">SUMIFS(الريسبي!$C$2:$C$1800,الريسبي!$A$2:$A$1800,$A17,الريسبي!$B$2:$B$1800,AC$1)</f>
        <v>0</v>
      </c>
      <c r="AD17" s="115" t="n">
        <f aca="false">SUMIFS(الريسبي!$C$2:$C$1800,الريسبي!$A$2:$A$1800,$A17,الريسبي!$B$2:$B$1800,AD$1)</f>
        <v>0</v>
      </c>
      <c r="AE17" s="115" t="n">
        <f aca="false">SUMIFS(الريسبي!$C$2:$C$1800,الريسبي!$A$2:$A$1800,$A17,الريسبي!$B$2:$B$1800,AE$1)</f>
        <v>0</v>
      </c>
      <c r="AF17" s="115" t="n">
        <f aca="false">SUMIFS(الريسبي!$C$2:$C$1800,الريسبي!$A$2:$A$1800,$A17,الريسبي!$B$2:$B$1800,AF$1)</f>
        <v>0</v>
      </c>
      <c r="AG17" s="115" t="n">
        <f aca="false">SUMIFS(الريسبي!$C$2:$C$1800,الريسبي!$A$2:$A$1800,$A17,الريسبي!$B$2:$B$1800,AG$1)</f>
        <v>0</v>
      </c>
      <c r="AH17" s="115" t="n">
        <f aca="false">SUMIFS(الريسبي!$C$2:$C$1800,الريسبي!$A$2:$A$1800,$A17,الريسبي!$B$2:$B$1800,AH$1)</f>
        <v>0</v>
      </c>
      <c r="AI17" s="115" t="n">
        <f aca="false">SUMIFS(الريسبي!$C$2:$C$1800,الريسبي!$A$2:$A$1800,$A17,الريسبي!$B$2:$B$1800,AI$1)</f>
        <v>0</v>
      </c>
      <c r="AJ17" s="115" t="n">
        <f aca="false">SUMIFS(الريسبي!$C$2:$C$1800,الريسبي!$A$2:$A$1800,$A17,الريسبي!$B$2:$B$1800,AJ$1)</f>
        <v>2</v>
      </c>
      <c r="AK17" s="115" t="n">
        <f aca="false">SUMIFS(الريسبي!$C$2:$C$1800,الريسبي!$A$2:$A$1800,$A17,الريسبي!$B$2:$B$1800,AK$1)</f>
        <v>0</v>
      </c>
      <c r="AL17" s="115" t="n">
        <f aca="false">SUMIFS(الريسبي!$C$2:$C$1800,الريسبي!$A$2:$A$1800,$A17,الريسبي!$B$2:$B$1800,AL$1)</f>
        <v>0</v>
      </c>
      <c r="AM17" s="115"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15"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15" t="n">
        <f aca="false">SUMIFS(الريسبي!$C$2:$C$1800,الريسبي!$A$2:$A$1800,$A17,الريسبي!$B$2:$B$1800,AO$1)</f>
        <v>0</v>
      </c>
      <c r="AP17" s="115" t="n">
        <f aca="false">SUMIFS(الريسبي!$C$2:$C$1800,الريسبي!$A$2:$A$1800,$A17,الريسبي!$B$2:$B$1800,AP$1)</f>
        <v>0.03</v>
      </c>
      <c r="AQ17" s="115"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15" t="n">
        <f aca="false">SUMIFS(الريسبي!$C$2:$C$1800,الريسبي!$A$2:$A$1800,$A17,الريسبي!$B$2:$B$1800,AR$1)</f>
        <v>0</v>
      </c>
      <c r="AS17" s="115" t="n">
        <f aca="false">SUMIFS(الريسبي!$C$2:$C$1800,الريسبي!$A$2:$A$1800,$A17,الريسبي!$B$2:$B$1800,AS$1)</f>
        <v>0</v>
      </c>
      <c r="AT17" s="115" t="n">
        <f aca="false">SUMIFS(الريسبي!$C$2:$C$1800,الريسبي!$A$2:$A$1800,$A17,الريسبي!$B$2:$B$1800,AT$1)</f>
        <v>0</v>
      </c>
      <c r="AU17" s="115" t="n">
        <f aca="false">SUMIFS(الريسبي!$C$2:$C$1800,الريسبي!$A$2:$A$1800,$A17,الريسبي!$B$2:$B$1800,AU$1)</f>
        <v>0</v>
      </c>
      <c r="AV17" s="115" t="n">
        <f aca="false">SUMIFS(الريسبي!$C$2:$C$1800,الريسبي!$A$2:$A$1800,$A17,الريسبي!$B$2:$B$1800,AV$1)</f>
        <v>0</v>
      </c>
      <c r="AW17" s="115" t="n">
        <f aca="false">SUMIFS(الريسبي!$C$2:$C$1800,الريسبي!$A$2:$A$1800,$A17,الريسبي!$B$2:$B$1800,AW$1)</f>
        <v>0</v>
      </c>
      <c r="AX17" s="115" t="n">
        <f aca="false">SUMIFS(الريسبي!$C$2:$C$1800,الريسبي!$A$2:$A$1800,$A17,الريسبي!$B$2:$B$1800,AX$1)</f>
        <v>0.06</v>
      </c>
      <c r="AY17" s="115" t="n">
        <f aca="false">SUMIFS(الريسبي!$C$2:$C$1800,الريسبي!$A$2:$A$1800,$A17,الريسبي!$B$2:$B$1800,AY$1)</f>
        <v>0</v>
      </c>
      <c r="AZ17" s="115" t="n">
        <f aca="false">SUMIFS(الريسبي!$C$2:$C$1800,الريسبي!$A$2:$A$1800,$A17,الريسبي!$B$2:$B$1800,AZ$1)</f>
        <v>0</v>
      </c>
      <c r="BA17" s="115" t="n">
        <f aca="false">SUMIFS(الريسبي!$C$2:$C$1800,الريسبي!$A$2:$A$1800,$A17,الريسبي!$B$2:$B$1800,BA$1)</f>
        <v>0.15</v>
      </c>
      <c r="BB17" s="115" t="n">
        <f aca="false">SUMIFS(الريسبي!$C$2:$C$1800,الريسبي!$A$2:$A$1800,$A17,الريسبي!$B$2:$B$1800,BB$1)</f>
        <v>0</v>
      </c>
      <c r="BC17" s="115" t="n">
        <f aca="false">SUMIFS(الريسبي!$C$2:$C$1800,الريسبي!$A$2:$A$1800,$A17,الريسبي!$B$2:$B$1800,BC$1)</f>
        <v>0.045</v>
      </c>
      <c r="BD17" s="115" t="n">
        <f aca="false">SUMIFS(الريسبي!$C$2:$C$1800,الريسبي!$A$2:$A$1800,$A17,الريسبي!$B$2:$B$1800,BD$1)</f>
        <v>0.3</v>
      </c>
      <c r="BE17" s="115" t="n">
        <f aca="false">SUMIFS(الريسبي!$C$2:$C$1800,الريسبي!$A$2:$A$1800,$A17,الريسبي!$B$2:$B$1800,BE$1)</f>
        <v>0</v>
      </c>
      <c r="BF17" s="115" t="n">
        <f aca="false">SUMIFS(الريسبي!$C$2:$C$1800,الريسبي!$A$2:$A$1800,$A17,الريسبي!$B$2:$B$1800,BF$1)</f>
        <v>0</v>
      </c>
      <c r="BG17" s="115" t="n">
        <f aca="false">SUMIFS(الريسبي!$C$2:$C$1800,الريسبي!$A$2:$A$1800,$A17,الريسبي!$B$2:$B$1800,BG$1)</f>
        <v>1</v>
      </c>
      <c r="BH17" s="115" t="n">
        <f aca="false">SUMIFS(الريسبي!$C$2:$C$1800,الريسبي!$A$2:$A$1800,$A17,الريسبي!$B$2:$B$1800,BH$1)</f>
        <v>0</v>
      </c>
      <c r="BI17" s="115" t="n">
        <f aca="false">SUMIFS(الريسبي!$C$2:$C$1800,الريسبي!$A$2:$A$1800,$A17,الريسبي!$B$2:$B$1800,BI$1)</f>
        <v>0</v>
      </c>
      <c r="BJ17" s="115" t="n">
        <f aca="false">SUMIFS(الريسبي!$C$2:$C$1800,الريسبي!$A$2:$A$1800,$A17,الريسبي!$B$2:$B$1800,BJ$1)</f>
        <v>0</v>
      </c>
      <c r="BK17" s="115" t="n">
        <f aca="false">SUMIFS(الريسبي!$C$2:$C$1800,الريسبي!$A$2:$A$1800,$A17,الريسبي!$B$2:$B$1800,BK$1)</f>
        <v>0</v>
      </c>
      <c r="BL17" s="115" t="n">
        <f aca="false">SUMIFS(الريسبي!$C$2:$C$1800,الريسبي!$A$2:$A$1800,$A17,الريسبي!$B$2:$B$1800,BL$1)</f>
        <v>0</v>
      </c>
      <c r="BM17" s="115" t="n">
        <f aca="false">SUMIFS(الريسبي!$C$2:$C$1800,الريسبي!$A$2:$A$1800,$A17,الريسبي!$B$2:$B$1800,BM$1)</f>
        <v>0</v>
      </c>
      <c r="BN17" s="115" t="n">
        <f aca="false">SUMIFS(الريسبي!$C$2:$C$1800,الريسبي!$A$2:$A$1800,$A17,الريسبي!$B$2:$B$1800,BN$1)</f>
        <v>0.03</v>
      </c>
      <c r="BO17" s="115" t="n">
        <f aca="false">SUMIFS(الريسبي!$C$2:$C$1800,الريسبي!$A$2:$A$1800,$A17,الريسبي!$B$2:$B$1800,BO$1)</f>
        <v>0</v>
      </c>
      <c r="BP17" s="115" t="n">
        <f aca="false">SUMIFS(الريسبي!$C$2:$C$1800,الريسبي!$A$2:$A$1800,$A17,الريسبي!$B$2:$B$1800,BP$1)</f>
        <v>3</v>
      </c>
      <c r="BQ17" s="115"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15" t="n">
        <f aca="false">SUMIFS(الريسبي!$C$2:$C$1800,الريسبي!$A$2:$A$1800,$A17,الريسبي!$B$2:$B$1800,BR$1)</f>
        <v>1</v>
      </c>
      <c r="BS17" s="115" t="n">
        <f aca="false">SUMIFS(الريسبي!$C$2:$C$1800,الريسبي!$A$2:$A$1800,$A17,الريسبي!$B$2:$B$1800,BS$1)</f>
        <v>0</v>
      </c>
      <c r="BT17" s="115" t="n">
        <f aca="false">SUMIFS(الريسبي!$C$2:$C$1800,الريسبي!$A$2:$A$1800,$A17,الريسبي!$B$2:$B$1800,BT$1)</f>
        <v>0</v>
      </c>
      <c r="BU17" s="115"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15" t="n">
        <f aca="false">SUMIFS(الريسبي!$C$2:$C$1800,الريسبي!$A$2:$A$1800,$A17,الريسبي!$B$2:$B$1800,BV$1)</f>
        <v>0</v>
      </c>
      <c r="BW17" s="115" t="n">
        <f aca="false">SUMIFS(الريسبي!$C$2:$C$1800,الريسبي!$A$2:$A$1800,$A17,الريسبي!$B$2:$B$1800,BW$1)</f>
        <v>0</v>
      </c>
      <c r="BX17" s="115" t="n">
        <f aca="false">SUMIFS(الريسبي!$C$2:$C$1800,الريسبي!$A$2:$A$1800,$A17,الريسبي!$B$2:$B$1800,BX$1)</f>
        <v>0</v>
      </c>
      <c r="BY17" s="115" t="n">
        <f aca="false">SUMIFS(الريسبي!$C$2:$C$1800,الريسبي!$A$2:$A$1800,$A17,الريسبي!$B$2:$B$1800,BY$1)</f>
        <v>0</v>
      </c>
      <c r="BZ17" s="115" t="n">
        <f aca="false">SUMIFS(الريسبي!$C$2:$C$1800,الريسبي!$A$2:$A$1800,$A17,الريسبي!$B$2:$B$1800,BZ$1)</f>
        <v>1</v>
      </c>
      <c r="CA17" s="115" t="n">
        <f aca="false">SUMIFS(الريسبي!$C$2:$C$1800,الريسبي!$A$2:$A$1800,$A17,الريسبي!$B$2:$B$1800,CA$1)</f>
        <v>1</v>
      </c>
      <c r="CB17" s="115" t="n">
        <f aca="false">SUMIFS(الريسبي!$C$2:$C$1800,الريسبي!$A$2:$A$1800,$A17,الريسبي!$B$2:$B$1800,CB$1)</f>
        <v>0</v>
      </c>
      <c r="CC17" s="115" t="n">
        <f aca="false">SUMIFS(الريسبي!$C$2:$C$1800,الريسبي!$A$2:$A$1800,$A17,الريسبي!$B$2:$B$1800,CC$1)</f>
        <v>0</v>
      </c>
      <c r="CD17" s="115" t="n">
        <f aca="false">SUMIFS(الريسبي!$C$2:$C$1800,الريسبي!$A$2:$A$1800,$A17,الريسبي!$B$2:$B$1800,CD$1)</f>
        <v>0</v>
      </c>
      <c r="CE17" s="115" t="n">
        <f aca="false">SUMIFS(الريسبي!$C$2:$C$1800,الريسبي!$A$2:$A$1800,$A17,الريسبي!$B$2:$B$1800,CE$1)</f>
        <v>0</v>
      </c>
      <c r="CF17" s="115" t="n">
        <f aca="false">SUMIFS(الريسبي!$C$2:$C$1800,الريسبي!$A$2:$A$1800,$A17,الريسبي!$B$2:$B$1800,CF$1)</f>
        <v>0</v>
      </c>
      <c r="CG17" s="115" t="n">
        <f aca="false">SUMIFS(الريسبي!$C$2:$C$1800,الريسبي!$A$2:$A$1800,$A17,الريسبي!$B$2:$B$1800,CG$1)</f>
        <v>0</v>
      </c>
      <c r="CH17" s="115" t="n">
        <f aca="false">SUMIFS(الريسبي!$C$2:$C$1800,الريسبي!$A$2:$A$1800,$A17,الريسبي!$B$2:$B$1800,CH$1)</f>
        <v>0</v>
      </c>
    </row>
    <row r="18" customFormat="false" ht="15" hidden="false" customHeight="false" outlineLevel="0" collapsed="false">
      <c r="A18" s="114" t="str">
        <f aca="false">المنيو!B18</f>
        <v>بيتزا فراخ كريسبي شيدر وسط</v>
      </c>
      <c r="B18" s="115" t="n">
        <f aca="false">SUMIFS(الريسبي!$C$2:$C$1800,الريسبي!$A$2:$A$1800,$A18,الريسبي!$B$2:$B$1800,B$1)</f>
        <v>0</v>
      </c>
      <c r="C18" s="115" t="n">
        <f aca="false">SUMIFS(الريسبي!$C$2:$C$1800,الريسبي!$A$2:$A$1800,$A18,الريسبي!$B$2:$B$1800,C$1)</f>
        <v>0</v>
      </c>
      <c r="D18" s="115" t="n">
        <f aca="false">SUMIFS(الريسبي!$C$2:$C$1800,الريسبي!$A$2:$A$1800,$A18,الريسبي!$B$2:$B$1800,D$1)</f>
        <v>1</v>
      </c>
      <c r="E18" s="115" t="n">
        <f aca="false">SUMIFS(الريسبي!$C$2:$C$1800,الريسبي!$A$2:$A$1800,$A18,الريسبي!$B$2:$B$1800,E$1)</f>
        <v>0</v>
      </c>
      <c r="F18" s="115" t="n">
        <f aca="false">SUMIFS(الريسبي!$C$2:$C$1800,الريسبي!$A$2:$A$1800,$A18,الريسبي!$B$2:$B$1800,F$1)</f>
        <v>0</v>
      </c>
      <c r="G18" s="115" t="n">
        <f aca="false">SUMIFS(الريسبي!$C$2:$C$1800,الريسبي!$A$2:$A$1800,$A18,الريسبي!$B$2:$B$1800,G$1)</f>
        <v>0</v>
      </c>
      <c r="H18" s="115" t="n">
        <f aca="false">SUMIFS(الريسبي!$C$2:$C$1800,الريسبي!$A$2:$A$1800,$A18,الريسبي!$B$2:$B$1800,H$1)</f>
        <v>0</v>
      </c>
      <c r="I18" s="115" t="n">
        <f aca="false">SUMIFS(الريسبي!$C$2:$C$1800,الريسبي!$A$2:$A$1800,$A18,الريسبي!$B$2:$B$1800,I$1)</f>
        <v>0</v>
      </c>
      <c r="J18" s="115" t="n">
        <f aca="false">SUMIFS(الريسبي!$C$2:$C$1800,الريسبي!$A$2:$A$1800,$A18,الريسبي!$B$2:$B$1800,J$1)</f>
        <v>0</v>
      </c>
      <c r="K18" s="115" t="n">
        <f aca="false">SUMIFS(الريسبي!$C$2:$C$1800,الريسبي!$A$2:$A$1800,$A18,الريسبي!$B$2:$B$1800,K$1)</f>
        <v>0</v>
      </c>
      <c r="L18" s="115" t="n">
        <f aca="false">SUMIFS(الريسبي!$C$2:$C$1800,الريسبي!$A$2:$A$1800,$A18,الريسبي!$B$2:$B$1800,L$1)</f>
        <v>0</v>
      </c>
      <c r="M18" s="115" t="n">
        <f aca="false">SUMIFS(الريسبي!$C$2:$C$1800,الريسبي!$A$2:$A$1800,$A18,الريسبي!$B$2:$B$1800,M$1)</f>
        <v>0</v>
      </c>
      <c r="N18" s="115" t="n">
        <f aca="false">SUMIFS(الريسبي!$C$2:$C$1800,الريسبي!$A$2:$A$1800,$A18,الريسبي!$B$2:$B$1800,N$1)</f>
        <v>0</v>
      </c>
      <c r="O18" s="115" t="n">
        <f aca="false">SUMIFS(الريسبي!$C$2:$C$1800,الريسبي!$A$2:$A$1800,$A18,الريسبي!$B$2:$B$1800,O$1)</f>
        <v>0</v>
      </c>
      <c r="P18" s="115" t="n">
        <f aca="false">SUMIFS(الريسبي!$C$2:$C$1800,الريسبي!$A$2:$A$1800,$A18,الريسبي!$B$2:$B$1800,P$1)</f>
        <v>0</v>
      </c>
      <c r="Q18" s="115" t="n">
        <f aca="false">SUMIFS(الريسبي!$C$2:$C$1800,الريسبي!$A$2:$A$1800,$A18,الريسبي!$B$2:$B$1800,Q$1)</f>
        <v>1</v>
      </c>
      <c r="R18" s="115" t="n">
        <f aca="false">SUMIFS(الريسبي!$C$2:$C$1800,الريسبي!$A$2:$A$1800,$A18,الريسبي!$B$2:$B$1800,R$1)</f>
        <v>0</v>
      </c>
      <c r="S18" s="115" t="n">
        <f aca="false">SUMIFS(الريسبي!$C$2:$C$1800,الريسبي!$A$2:$A$1800,$A18,الريسبي!$B$2:$B$1800,S$1)</f>
        <v>0</v>
      </c>
      <c r="T18" s="115" t="n">
        <f aca="false">SUMIFS(الريسبي!$C$2:$C$1800,الريسبي!$A$2:$A$1800,$A18,الريسبي!$B$2:$B$1800,T$1)</f>
        <v>0</v>
      </c>
      <c r="U18" s="115" t="n">
        <f aca="false">SUMIFS(الريسبي!$C$2:$C$1800,الريسبي!$A$2:$A$1800,$A18,الريسبي!$B$2:$B$1800,U$1)</f>
        <v>0</v>
      </c>
      <c r="V18" s="115" t="n">
        <f aca="false">SUMIFS(الريسبي!$C$2:$C$1800,الريسبي!$A$2:$A$1800,$A18,الريسبي!$B$2:$B$1800,V$1)</f>
        <v>1</v>
      </c>
      <c r="W18" s="115" t="n">
        <f aca="false">SUMIFS(الريسبي!$C$2:$C$1800,الريسبي!$A$2:$A$1800,$A18,الريسبي!$B$2:$B$1800,W$1)</f>
        <v>0</v>
      </c>
      <c r="X18" s="115" t="n">
        <f aca="false">SUMIFS(الريسبي!$C$2:$C$1800,الريسبي!$A$2:$A$1800,$A18,الريسبي!$B$2:$B$1800,X$1)</f>
        <v>0</v>
      </c>
      <c r="Y18" s="115" t="n">
        <f aca="false">SUMIFS(الريسبي!$C$2:$C$1800,الريسبي!$A$2:$A$1800,$A18,الريسبي!$B$2:$B$1800,Y$1)</f>
        <v>0</v>
      </c>
      <c r="Z18" s="115" t="n">
        <f aca="false">SUMIFS(الريسبي!$C$2:$C$1800,الريسبي!$A$2:$A$1800,$A18,الريسبي!$B$2:$B$1800,Z$1)</f>
        <v>0</v>
      </c>
      <c r="AA18" s="115" t="n">
        <f aca="false">SUMIFS(الريسبي!$C$2:$C$1800,الريسبي!$A$2:$A$1800,$A18,الريسبي!$B$2:$B$1800,AA$1)</f>
        <v>0</v>
      </c>
      <c r="AB18" s="115" t="n">
        <f aca="false">SUMIFS(الريسبي!$C$2:$C$1800,الريسبي!$A$2:$A$1800,$A18,الريسبي!$B$2:$B$1800,AB$1)</f>
        <v>0</v>
      </c>
      <c r="AC18" s="115" t="n">
        <f aca="false">SUMIFS(الريسبي!$C$2:$C$1800,الريسبي!$A$2:$A$1800,$A18,الريسبي!$B$2:$B$1800,AC$1)</f>
        <v>0</v>
      </c>
      <c r="AD18" s="115" t="n">
        <f aca="false">SUMIFS(الريسبي!$C$2:$C$1800,الريسبي!$A$2:$A$1800,$A18,الريسبي!$B$2:$B$1800,AD$1)</f>
        <v>0</v>
      </c>
      <c r="AE18" s="115" t="n">
        <f aca="false">SUMIFS(الريسبي!$C$2:$C$1800,الريسبي!$A$2:$A$1800,$A18,الريسبي!$B$2:$B$1800,AE$1)</f>
        <v>0</v>
      </c>
      <c r="AF18" s="115" t="n">
        <f aca="false">SUMIFS(الريسبي!$C$2:$C$1800,الريسبي!$A$2:$A$1800,$A18,الريسبي!$B$2:$B$1800,AF$1)</f>
        <v>0</v>
      </c>
      <c r="AG18" s="115" t="n">
        <f aca="false">SUMIFS(الريسبي!$C$2:$C$1800,الريسبي!$A$2:$A$1800,$A18,الريسبي!$B$2:$B$1800,AG$1)</f>
        <v>0</v>
      </c>
      <c r="AH18" s="115" t="n">
        <f aca="false">SUMIFS(الريسبي!$C$2:$C$1800,الريسبي!$A$2:$A$1800,$A18,الريسبي!$B$2:$B$1800,AH$1)</f>
        <v>0</v>
      </c>
      <c r="AI18" s="115" t="n">
        <f aca="false">SUMIFS(الريسبي!$C$2:$C$1800,الريسبي!$A$2:$A$1800,$A18,الريسبي!$B$2:$B$1800,AI$1)</f>
        <v>0</v>
      </c>
      <c r="AJ18" s="115" t="n">
        <f aca="false">SUMIFS(الريسبي!$C$2:$C$1800,الريسبي!$A$2:$A$1800,$A18,الريسبي!$B$2:$B$1800,AJ$1)</f>
        <v>2</v>
      </c>
      <c r="AK18" s="115" t="n">
        <f aca="false">SUMIFS(الريسبي!$C$2:$C$1800,الريسبي!$A$2:$A$1800,$A18,الريسبي!$B$2:$B$1800,AK$1)</f>
        <v>0</v>
      </c>
      <c r="AL18" s="115" t="n">
        <f aca="false">SUMIFS(الريسبي!$C$2:$C$1800,الريسبي!$A$2:$A$1800,$A18,الريسبي!$B$2:$B$1800,AL$1)</f>
        <v>0</v>
      </c>
      <c r="AM18" s="115"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15"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15" t="n">
        <f aca="false">SUMIFS(الريسبي!$C$2:$C$1800,الريسبي!$A$2:$A$1800,$A18,الريسبي!$B$2:$B$1800,AO$1)</f>
        <v>0</v>
      </c>
      <c r="AP18" s="115" t="n">
        <f aca="false">SUMIFS(الريسبي!$C$2:$C$1800,الريسبي!$A$2:$A$1800,$A18,الريسبي!$B$2:$B$1800,AP$1)</f>
        <v>0.02</v>
      </c>
      <c r="AQ18" s="115"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15" t="n">
        <f aca="false">SUMIFS(الريسبي!$C$2:$C$1800,الريسبي!$A$2:$A$1800,$A18,الريسبي!$B$2:$B$1800,AR$1)</f>
        <v>0</v>
      </c>
      <c r="AS18" s="115" t="n">
        <f aca="false">SUMIFS(الريسبي!$C$2:$C$1800,الريسبي!$A$2:$A$1800,$A18,الريسبي!$B$2:$B$1800,AS$1)</f>
        <v>0</v>
      </c>
      <c r="AT18" s="115" t="n">
        <f aca="false">SUMIFS(الريسبي!$C$2:$C$1800,الريسبي!$A$2:$A$1800,$A18,الريسبي!$B$2:$B$1800,AT$1)</f>
        <v>0</v>
      </c>
      <c r="AU18" s="115" t="n">
        <f aca="false">SUMIFS(الريسبي!$C$2:$C$1800,الريسبي!$A$2:$A$1800,$A18,الريسبي!$B$2:$B$1800,AU$1)</f>
        <v>0</v>
      </c>
      <c r="AV18" s="115" t="n">
        <f aca="false">SUMIFS(الريسبي!$C$2:$C$1800,الريسبي!$A$2:$A$1800,$A18,الريسبي!$B$2:$B$1800,AV$1)</f>
        <v>0</v>
      </c>
      <c r="AW18" s="115" t="n">
        <f aca="false">SUMIFS(الريسبي!$C$2:$C$1800,الريسبي!$A$2:$A$1800,$A18,الريسبي!$B$2:$B$1800,AW$1)</f>
        <v>0</v>
      </c>
      <c r="AX18" s="115" t="n">
        <f aca="false">SUMIFS(الريسبي!$C$2:$C$1800,الريسبي!$A$2:$A$1800,$A18,الريسبي!$B$2:$B$1800,AX$1)</f>
        <v>0.04</v>
      </c>
      <c r="AY18" s="115" t="n">
        <f aca="false">SUMIFS(الريسبي!$C$2:$C$1800,الريسبي!$A$2:$A$1800,$A18,الريسبي!$B$2:$B$1800,AY$1)</f>
        <v>0</v>
      </c>
      <c r="AZ18" s="115" t="n">
        <f aca="false">SUMIFS(الريسبي!$C$2:$C$1800,الريسبي!$A$2:$A$1800,$A18,الريسبي!$B$2:$B$1800,AZ$1)</f>
        <v>0</v>
      </c>
      <c r="BA18" s="115" t="n">
        <f aca="false">SUMIFS(الريسبي!$C$2:$C$1800,الريسبي!$A$2:$A$1800,$A18,الريسبي!$B$2:$B$1800,BA$1)</f>
        <v>0</v>
      </c>
      <c r="BB18" s="115" t="n">
        <f aca="false">SUMIFS(الريسبي!$C$2:$C$1800,الريسبي!$A$2:$A$1800,$A18,الريسبي!$B$2:$B$1800,BB$1)</f>
        <v>0.1</v>
      </c>
      <c r="BC18" s="115" t="n">
        <f aca="false">SUMIFS(الريسبي!$C$2:$C$1800,الريسبي!$A$2:$A$1800,$A18,الريسبي!$B$2:$B$1800,BC$1)</f>
        <v>0.03</v>
      </c>
      <c r="BD18" s="115" t="n">
        <f aca="false">SUMIFS(الريسبي!$C$2:$C$1800,الريسبي!$A$2:$A$1800,$A18,الريسبي!$B$2:$B$1800,BD$1)</f>
        <v>0.22</v>
      </c>
      <c r="BE18" s="115" t="n">
        <f aca="false">SUMIFS(الريسبي!$C$2:$C$1800,الريسبي!$A$2:$A$1800,$A18,الريسبي!$B$2:$B$1800,BE$1)</f>
        <v>0</v>
      </c>
      <c r="BF18" s="115" t="n">
        <f aca="false">SUMIFS(الريسبي!$C$2:$C$1800,الريسبي!$A$2:$A$1800,$A18,الريسبي!$B$2:$B$1800,BF$1)</f>
        <v>0</v>
      </c>
      <c r="BG18" s="115" t="n">
        <f aca="false">SUMIFS(الريسبي!$C$2:$C$1800,الريسبي!$A$2:$A$1800,$A18,الريسبي!$B$2:$B$1800,BG$1)</f>
        <v>0</v>
      </c>
      <c r="BH18" s="115" t="n">
        <f aca="false">SUMIFS(الريسبي!$C$2:$C$1800,الريسبي!$A$2:$A$1800,$A18,الريسبي!$B$2:$B$1800,BH$1)</f>
        <v>1</v>
      </c>
      <c r="BI18" s="115" t="n">
        <f aca="false">SUMIFS(الريسبي!$C$2:$C$1800,الريسبي!$A$2:$A$1800,$A18,الريسبي!$B$2:$B$1800,BI$1)</f>
        <v>0</v>
      </c>
      <c r="BJ18" s="115" t="n">
        <f aca="false">SUMIFS(الريسبي!$C$2:$C$1800,الريسبي!$A$2:$A$1800,$A18,الريسبي!$B$2:$B$1800,BJ$1)</f>
        <v>0</v>
      </c>
      <c r="BK18" s="115" t="n">
        <f aca="false">SUMIFS(الريسبي!$C$2:$C$1800,الريسبي!$A$2:$A$1800,$A18,الريسبي!$B$2:$B$1800,BK$1)</f>
        <v>0</v>
      </c>
      <c r="BL18" s="115" t="n">
        <f aca="false">SUMIFS(الريسبي!$C$2:$C$1800,الريسبي!$A$2:$A$1800,$A18,الريسبي!$B$2:$B$1800,BL$1)</f>
        <v>0</v>
      </c>
      <c r="BM18" s="115" t="n">
        <f aca="false">SUMIFS(الريسبي!$C$2:$C$1800,الريسبي!$A$2:$A$1800,$A18,الريسبي!$B$2:$B$1800,BM$1)</f>
        <v>0</v>
      </c>
      <c r="BN18" s="115" t="n">
        <f aca="false">SUMIFS(الريسبي!$C$2:$C$1800,الريسبي!$A$2:$A$1800,$A18,الريسبي!$B$2:$B$1800,BN$1)</f>
        <v>0.02</v>
      </c>
      <c r="BO18" s="115" t="n">
        <f aca="false">SUMIFS(الريسبي!$C$2:$C$1800,الريسبي!$A$2:$A$1800,$A18,الريسبي!$B$2:$B$1800,BO$1)</f>
        <v>0</v>
      </c>
      <c r="BP18" s="115" t="n">
        <f aca="false">SUMIFS(الريسبي!$C$2:$C$1800,الريسبي!$A$2:$A$1800,$A18,الريسبي!$B$2:$B$1800,BP$1)</f>
        <v>2</v>
      </c>
      <c r="BQ18" s="115"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15" t="n">
        <f aca="false">SUMIFS(الريسبي!$C$2:$C$1800,الريسبي!$A$2:$A$1800,$A18,الريسبي!$B$2:$B$1800,BR$1)</f>
        <v>1</v>
      </c>
      <c r="BS18" s="115" t="n">
        <f aca="false">SUMIFS(الريسبي!$C$2:$C$1800,الريسبي!$A$2:$A$1800,$A18,الريسبي!$B$2:$B$1800,BS$1)</f>
        <v>0</v>
      </c>
      <c r="BT18" s="115" t="n">
        <f aca="false">SUMIFS(الريسبي!$C$2:$C$1800,الريسبي!$A$2:$A$1800,$A18,الريسبي!$B$2:$B$1800,BT$1)</f>
        <v>0</v>
      </c>
      <c r="BU18" s="115"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15" t="n">
        <f aca="false">SUMIFS(الريسبي!$C$2:$C$1800,الريسبي!$A$2:$A$1800,$A18,الريسبي!$B$2:$B$1800,BV$1)</f>
        <v>0</v>
      </c>
      <c r="BW18" s="115" t="n">
        <f aca="false">SUMIFS(الريسبي!$C$2:$C$1800,الريسبي!$A$2:$A$1800,$A18,الريسبي!$B$2:$B$1800,BW$1)</f>
        <v>0</v>
      </c>
      <c r="BX18" s="115" t="n">
        <f aca="false">SUMIFS(الريسبي!$C$2:$C$1800,الريسبي!$A$2:$A$1800,$A18,الريسبي!$B$2:$B$1800,BX$1)</f>
        <v>0</v>
      </c>
      <c r="BY18" s="115" t="n">
        <f aca="false">SUMIFS(الريسبي!$C$2:$C$1800,الريسبي!$A$2:$A$1800,$A18,الريسبي!$B$2:$B$1800,BY$1)</f>
        <v>0</v>
      </c>
      <c r="BZ18" s="115" t="n">
        <f aca="false">SUMIFS(الريسبي!$C$2:$C$1800,الريسبي!$A$2:$A$1800,$A18,الريسبي!$B$2:$B$1800,BZ$1)</f>
        <v>1</v>
      </c>
      <c r="CA18" s="115" t="n">
        <f aca="false">SUMIFS(الريسبي!$C$2:$C$1800,الريسبي!$A$2:$A$1800,$A18,الريسبي!$B$2:$B$1800,CA$1)</f>
        <v>1</v>
      </c>
      <c r="CB18" s="115" t="n">
        <f aca="false">SUMIFS(الريسبي!$C$2:$C$1800,الريسبي!$A$2:$A$1800,$A18,الريسبي!$B$2:$B$1800,CB$1)</f>
        <v>0</v>
      </c>
      <c r="CC18" s="115" t="n">
        <f aca="false">SUMIFS(الريسبي!$C$2:$C$1800,الريسبي!$A$2:$A$1800,$A18,الريسبي!$B$2:$B$1800,CC$1)</f>
        <v>0</v>
      </c>
      <c r="CD18" s="115" t="n">
        <f aca="false">SUMIFS(الريسبي!$C$2:$C$1800,الريسبي!$A$2:$A$1800,$A18,الريسبي!$B$2:$B$1800,CD$1)</f>
        <v>0</v>
      </c>
      <c r="CE18" s="115" t="n">
        <f aca="false">SUMIFS(الريسبي!$C$2:$C$1800,الريسبي!$A$2:$A$1800,$A18,الريسبي!$B$2:$B$1800,CE$1)</f>
        <v>0</v>
      </c>
      <c r="CF18" s="115" t="n">
        <f aca="false">SUMIFS(الريسبي!$C$2:$C$1800,الريسبي!$A$2:$A$1800,$A18,الريسبي!$B$2:$B$1800,CF$1)</f>
        <v>0</v>
      </c>
      <c r="CG18" s="115" t="n">
        <f aca="false">SUMIFS(الريسبي!$C$2:$C$1800,الريسبي!$A$2:$A$1800,$A18,الريسبي!$B$2:$B$1800,CG$1)</f>
        <v>0</v>
      </c>
      <c r="CH18" s="115" t="n">
        <f aca="false">SUMIFS(الريسبي!$C$2:$C$1800,الريسبي!$A$2:$A$1800,$A18,الريسبي!$B$2:$B$1800,CH$1)</f>
        <v>0</v>
      </c>
    </row>
    <row r="19" customFormat="false" ht="15" hidden="false" customHeight="false" outlineLevel="0" collapsed="false">
      <c r="A19" s="114" t="str">
        <f aca="false">المنيو!B19</f>
        <v>بيتزا فراخ كريسبي شيدر حجم اكبر</v>
      </c>
      <c r="B19" s="115" t="n">
        <f aca="false">SUMIFS(الريسبي!$C$2:$C$1800,الريسبي!$A$2:$A$1800,$A19,الريسبي!$B$2:$B$1800,B$1)</f>
        <v>0</v>
      </c>
      <c r="C19" s="115" t="n">
        <f aca="false">SUMIFS(الريسبي!$C$2:$C$1800,الريسبي!$A$2:$A$1800,$A19,الريسبي!$B$2:$B$1800,C$1)</f>
        <v>0</v>
      </c>
      <c r="D19" s="115" t="n">
        <f aca="false">SUMIFS(الريسبي!$C$2:$C$1800,الريسبي!$A$2:$A$1800,$A19,الريسبي!$B$2:$B$1800,D$1)</f>
        <v>1</v>
      </c>
      <c r="E19" s="115" t="n">
        <f aca="false">SUMIFS(الريسبي!$C$2:$C$1800,الريسبي!$A$2:$A$1800,$A19,الريسبي!$B$2:$B$1800,E$1)</f>
        <v>0</v>
      </c>
      <c r="F19" s="115" t="n">
        <f aca="false">SUMIFS(الريسبي!$C$2:$C$1800,الريسبي!$A$2:$A$1800,$A19,الريسبي!$B$2:$B$1800,F$1)</f>
        <v>0</v>
      </c>
      <c r="G19" s="115" t="n">
        <f aca="false">SUMIFS(الريسبي!$C$2:$C$1800,الريسبي!$A$2:$A$1800,$A19,الريسبي!$B$2:$B$1800,G$1)</f>
        <v>0</v>
      </c>
      <c r="H19" s="115" t="n">
        <f aca="false">SUMIFS(الريسبي!$C$2:$C$1800,الريسبي!$A$2:$A$1800,$A19,الريسبي!$B$2:$B$1800,H$1)</f>
        <v>0</v>
      </c>
      <c r="I19" s="115" t="n">
        <f aca="false">SUMIFS(الريسبي!$C$2:$C$1800,الريسبي!$A$2:$A$1800,$A19,الريسبي!$B$2:$B$1800,I$1)</f>
        <v>0</v>
      </c>
      <c r="J19" s="115" t="n">
        <f aca="false">SUMIFS(الريسبي!$C$2:$C$1800,الريسبي!$A$2:$A$1800,$A19,الريسبي!$B$2:$B$1800,J$1)</f>
        <v>0</v>
      </c>
      <c r="K19" s="115" t="n">
        <f aca="false">SUMIFS(الريسبي!$C$2:$C$1800,الريسبي!$A$2:$A$1800,$A19,الريسبي!$B$2:$B$1800,K$1)</f>
        <v>0</v>
      </c>
      <c r="L19" s="115" t="n">
        <f aca="false">SUMIFS(الريسبي!$C$2:$C$1800,الريسبي!$A$2:$A$1800,$A19,الريسبي!$B$2:$B$1800,L$1)</f>
        <v>0</v>
      </c>
      <c r="M19" s="115" t="n">
        <f aca="false">SUMIFS(الريسبي!$C$2:$C$1800,الريسبي!$A$2:$A$1800,$A19,الريسبي!$B$2:$B$1800,M$1)</f>
        <v>0</v>
      </c>
      <c r="N19" s="115" t="n">
        <f aca="false">SUMIFS(الريسبي!$C$2:$C$1800,الريسبي!$A$2:$A$1800,$A19,الريسبي!$B$2:$B$1800,N$1)</f>
        <v>0</v>
      </c>
      <c r="O19" s="115" t="n">
        <f aca="false">SUMIFS(الريسبي!$C$2:$C$1800,الريسبي!$A$2:$A$1800,$A19,الريسبي!$B$2:$B$1800,O$1)</f>
        <v>0</v>
      </c>
      <c r="P19" s="115" t="n">
        <f aca="false">SUMIFS(الريسبي!$C$2:$C$1800,الريسبي!$A$2:$A$1800,$A19,الريسبي!$B$2:$B$1800,P$1)</f>
        <v>0</v>
      </c>
      <c r="Q19" s="115" t="n">
        <f aca="false">SUMIFS(الريسبي!$C$2:$C$1800,الريسبي!$A$2:$A$1800,$A19,الريسبي!$B$2:$B$1800,Q$1)</f>
        <v>0</v>
      </c>
      <c r="R19" s="115" t="n">
        <f aca="false">SUMIFS(الريسبي!$C$2:$C$1800,الريسبي!$A$2:$A$1800,$A19,الريسبي!$B$2:$B$1800,R$1)</f>
        <v>1</v>
      </c>
      <c r="S19" s="115" t="n">
        <f aca="false">SUMIFS(الريسبي!$C$2:$C$1800,الريسبي!$A$2:$A$1800,$A19,الريسبي!$B$2:$B$1800,S$1)</f>
        <v>0</v>
      </c>
      <c r="T19" s="115" t="n">
        <f aca="false">SUMIFS(الريسبي!$C$2:$C$1800,الريسبي!$A$2:$A$1800,$A19,الريسبي!$B$2:$B$1800,T$1)</f>
        <v>0</v>
      </c>
      <c r="U19" s="115" t="n">
        <f aca="false">SUMIFS(الريسبي!$C$2:$C$1800,الريسبي!$A$2:$A$1800,$A19,الريسبي!$B$2:$B$1800,U$1)</f>
        <v>0</v>
      </c>
      <c r="V19" s="115" t="n">
        <f aca="false">SUMIFS(الريسبي!$C$2:$C$1800,الريسبي!$A$2:$A$1800,$A19,الريسبي!$B$2:$B$1800,V$1)</f>
        <v>0</v>
      </c>
      <c r="W19" s="115" t="n">
        <f aca="false">SUMIFS(الريسبي!$C$2:$C$1800,الريسبي!$A$2:$A$1800,$A19,الريسبي!$B$2:$B$1800,W$1)</f>
        <v>1</v>
      </c>
      <c r="X19" s="115" t="n">
        <f aca="false">SUMIFS(الريسبي!$C$2:$C$1800,الريسبي!$A$2:$A$1800,$A19,الريسبي!$B$2:$B$1800,X$1)</f>
        <v>0</v>
      </c>
      <c r="Y19" s="115" t="n">
        <f aca="false">SUMIFS(الريسبي!$C$2:$C$1800,الريسبي!$A$2:$A$1800,$A19,الريسبي!$B$2:$B$1800,Y$1)</f>
        <v>0</v>
      </c>
      <c r="Z19" s="115" t="n">
        <f aca="false">SUMIFS(الريسبي!$C$2:$C$1800,الريسبي!$A$2:$A$1800,$A19,الريسبي!$B$2:$B$1800,Z$1)</f>
        <v>0</v>
      </c>
      <c r="AA19" s="115" t="n">
        <f aca="false">SUMIFS(الريسبي!$C$2:$C$1800,الريسبي!$A$2:$A$1800,$A19,الريسبي!$B$2:$B$1800,AA$1)</f>
        <v>0</v>
      </c>
      <c r="AB19" s="115" t="n">
        <f aca="false">SUMIFS(الريسبي!$C$2:$C$1800,الريسبي!$A$2:$A$1800,$A19,الريسبي!$B$2:$B$1800,AB$1)</f>
        <v>0</v>
      </c>
      <c r="AC19" s="115" t="n">
        <f aca="false">SUMIFS(الريسبي!$C$2:$C$1800,الريسبي!$A$2:$A$1800,$A19,الريسبي!$B$2:$B$1800,AC$1)</f>
        <v>0</v>
      </c>
      <c r="AD19" s="115" t="n">
        <f aca="false">SUMIFS(الريسبي!$C$2:$C$1800,الريسبي!$A$2:$A$1800,$A19,الريسبي!$B$2:$B$1800,AD$1)</f>
        <v>0</v>
      </c>
      <c r="AE19" s="115" t="n">
        <f aca="false">SUMIFS(الريسبي!$C$2:$C$1800,الريسبي!$A$2:$A$1800,$A19,الريسبي!$B$2:$B$1800,AE$1)</f>
        <v>0</v>
      </c>
      <c r="AF19" s="115" t="n">
        <f aca="false">SUMIFS(الريسبي!$C$2:$C$1800,الريسبي!$A$2:$A$1800,$A19,الريسبي!$B$2:$B$1800,AF$1)</f>
        <v>0</v>
      </c>
      <c r="AG19" s="115" t="n">
        <f aca="false">SUMIFS(الريسبي!$C$2:$C$1800,الريسبي!$A$2:$A$1800,$A19,الريسبي!$B$2:$B$1800,AG$1)</f>
        <v>0</v>
      </c>
      <c r="AH19" s="115" t="n">
        <f aca="false">SUMIFS(الريسبي!$C$2:$C$1800,الريسبي!$A$2:$A$1800,$A19,الريسبي!$B$2:$B$1800,AH$1)</f>
        <v>0</v>
      </c>
      <c r="AI19" s="115" t="n">
        <f aca="false">SUMIFS(الريسبي!$C$2:$C$1800,الريسبي!$A$2:$A$1800,$A19,الريسبي!$B$2:$B$1800,AI$1)</f>
        <v>0</v>
      </c>
      <c r="AJ19" s="115" t="n">
        <f aca="false">SUMIFS(الريسبي!$C$2:$C$1800,الريسبي!$A$2:$A$1800,$A19,الريسبي!$B$2:$B$1800,AJ$1)</f>
        <v>2</v>
      </c>
      <c r="AK19" s="115" t="n">
        <f aca="false">SUMIFS(الريسبي!$C$2:$C$1800,الريسبي!$A$2:$A$1800,$A19,الريسبي!$B$2:$B$1800,AK$1)</f>
        <v>0</v>
      </c>
      <c r="AL19" s="115" t="n">
        <f aca="false">SUMIFS(الريسبي!$C$2:$C$1800,الريسبي!$A$2:$A$1800,$A19,الريسبي!$B$2:$B$1800,AL$1)</f>
        <v>0</v>
      </c>
      <c r="AM19" s="115"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15"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15" t="n">
        <f aca="false">SUMIFS(الريسبي!$C$2:$C$1800,الريسبي!$A$2:$A$1800,$A19,الريسبي!$B$2:$B$1800,AO$1)</f>
        <v>0</v>
      </c>
      <c r="AP19" s="115" t="n">
        <f aca="false">SUMIFS(الريسبي!$C$2:$C$1800,الريسبي!$A$2:$A$1800,$A19,الريسبي!$B$2:$B$1800,AP$1)</f>
        <v>0.03</v>
      </c>
      <c r="AQ19" s="115"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15" t="n">
        <f aca="false">SUMIFS(الريسبي!$C$2:$C$1800,الريسبي!$A$2:$A$1800,$A19,الريسبي!$B$2:$B$1800,AR$1)</f>
        <v>0</v>
      </c>
      <c r="AS19" s="115" t="n">
        <f aca="false">SUMIFS(الريسبي!$C$2:$C$1800,الريسبي!$A$2:$A$1800,$A19,الريسبي!$B$2:$B$1800,AS$1)</f>
        <v>0</v>
      </c>
      <c r="AT19" s="115" t="n">
        <f aca="false">SUMIFS(الريسبي!$C$2:$C$1800,الريسبي!$A$2:$A$1800,$A19,الريسبي!$B$2:$B$1800,AT$1)</f>
        <v>0</v>
      </c>
      <c r="AU19" s="115" t="n">
        <f aca="false">SUMIFS(الريسبي!$C$2:$C$1800,الريسبي!$A$2:$A$1800,$A19,الريسبي!$B$2:$B$1800,AU$1)</f>
        <v>0</v>
      </c>
      <c r="AV19" s="115" t="n">
        <f aca="false">SUMIFS(الريسبي!$C$2:$C$1800,الريسبي!$A$2:$A$1800,$A19,الريسبي!$B$2:$B$1800,AV$1)</f>
        <v>0</v>
      </c>
      <c r="AW19" s="115" t="n">
        <f aca="false">SUMIFS(الريسبي!$C$2:$C$1800,الريسبي!$A$2:$A$1800,$A19,الريسبي!$B$2:$B$1800,AW$1)</f>
        <v>0</v>
      </c>
      <c r="AX19" s="115" t="n">
        <f aca="false">SUMIFS(الريسبي!$C$2:$C$1800,الريسبي!$A$2:$A$1800,$A19,الريسبي!$B$2:$B$1800,AX$1)</f>
        <v>0.06</v>
      </c>
      <c r="AY19" s="115" t="n">
        <f aca="false">SUMIFS(الريسبي!$C$2:$C$1800,الريسبي!$A$2:$A$1800,$A19,الريسبي!$B$2:$B$1800,AY$1)</f>
        <v>0</v>
      </c>
      <c r="AZ19" s="115" t="n">
        <f aca="false">SUMIFS(الريسبي!$C$2:$C$1800,الريسبي!$A$2:$A$1800,$A19,الريسبي!$B$2:$B$1800,AZ$1)</f>
        <v>0</v>
      </c>
      <c r="BA19" s="115" t="n">
        <f aca="false">SUMIFS(الريسبي!$C$2:$C$1800,الريسبي!$A$2:$A$1800,$A19,الريسبي!$B$2:$B$1800,BA$1)</f>
        <v>0</v>
      </c>
      <c r="BB19" s="115" t="n">
        <f aca="false">SUMIFS(الريسبي!$C$2:$C$1800,الريسبي!$A$2:$A$1800,$A19,الريسبي!$B$2:$B$1800,BB$1)</f>
        <v>0.15</v>
      </c>
      <c r="BC19" s="115" t="n">
        <f aca="false">SUMIFS(الريسبي!$C$2:$C$1800,الريسبي!$A$2:$A$1800,$A19,الريسبي!$B$2:$B$1800,BC$1)</f>
        <v>0.045</v>
      </c>
      <c r="BD19" s="115" t="n">
        <f aca="false">SUMIFS(الريسبي!$C$2:$C$1800,الريسبي!$A$2:$A$1800,$A19,الريسبي!$B$2:$B$1800,BD$1)</f>
        <v>0.3</v>
      </c>
      <c r="BE19" s="115" t="n">
        <f aca="false">SUMIFS(الريسبي!$C$2:$C$1800,الريسبي!$A$2:$A$1800,$A19,الريسبي!$B$2:$B$1800,BE$1)</f>
        <v>0</v>
      </c>
      <c r="BF19" s="115" t="n">
        <f aca="false">SUMIFS(الريسبي!$C$2:$C$1800,الريسبي!$A$2:$A$1800,$A19,الريسبي!$B$2:$B$1800,BF$1)</f>
        <v>0</v>
      </c>
      <c r="BG19" s="115" t="n">
        <f aca="false">SUMIFS(الريسبي!$C$2:$C$1800,الريسبي!$A$2:$A$1800,$A19,الريسبي!$B$2:$B$1800,BG$1)</f>
        <v>1</v>
      </c>
      <c r="BH19" s="115" t="n">
        <f aca="false">SUMIFS(الريسبي!$C$2:$C$1800,الريسبي!$A$2:$A$1800,$A19,الريسبي!$B$2:$B$1800,BH$1)</f>
        <v>0</v>
      </c>
      <c r="BI19" s="115" t="n">
        <f aca="false">SUMIFS(الريسبي!$C$2:$C$1800,الريسبي!$A$2:$A$1800,$A19,الريسبي!$B$2:$B$1800,BI$1)</f>
        <v>0</v>
      </c>
      <c r="BJ19" s="115" t="n">
        <f aca="false">SUMIFS(الريسبي!$C$2:$C$1800,الريسبي!$A$2:$A$1800,$A19,الريسبي!$B$2:$B$1800,BJ$1)</f>
        <v>0</v>
      </c>
      <c r="BK19" s="115" t="n">
        <f aca="false">SUMIFS(الريسبي!$C$2:$C$1800,الريسبي!$A$2:$A$1800,$A19,الريسبي!$B$2:$B$1800,BK$1)</f>
        <v>0</v>
      </c>
      <c r="BL19" s="115" t="n">
        <f aca="false">SUMIFS(الريسبي!$C$2:$C$1800,الريسبي!$A$2:$A$1800,$A19,الريسبي!$B$2:$B$1800,BL$1)</f>
        <v>0</v>
      </c>
      <c r="BM19" s="115" t="n">
        <f aca="false">SUMIFS(الريسبي!$C$2:$C$1800,الريسبي!$A$2:$A$1800,$A19,الريسبي!$B$2:$B$1800,BM$1)</f>
        <v>0</v>
      </c>
      <c r="BN19" s="115" t="n">
        <f aca="false">SUMIFS(الريسبي!$C$2:$C$1800,الريسبي!$A$2:$A$1800,$A19,الريسبي!$B$2:$B$1800,BN$1)</f>
        <v>0.03</v>
      </c>
      <c r="BO19" s="115" t="n">
        <f aca="false">SUMIFS(الريسبي!$C$2:$C$1800,الريسبي!$A$2:$A$1800,$A19,الريسبي!$B$2:$B$1800,BO$1)</f>
        <v>0</v>
      </c>
      <c r="BP19" s="115" t="n">
        <f aca="false">SUMIFS(الريسبي!$C$2:$C$1800,الريسبي!$A$2:$A$1800,$A19,الريسبي!$B$2:$B$1800,BP$1)</f>
        <v>3</v>
      </c>
      <c r="BQ19" s="115"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15" t="n">
        <f aca="false">SUMIFS(الريسبي!$C$2:$C$1800,الريسبي!$A$2:$A$1800,$A19,الريسبي!$B$2:$B$1800,BR$1)</f>
        <v>1</v>
      </c>
      <c r="BS19" s="115" t="n">
        <f aca="false">SUMIFS(الريسبي!$C$2:$C$1800,الريسبي!$A$2:$A$1800,$A19,الريسبي!$B$2:$B$1800,BS$1)</f>
        <v>0</v>
      </c>
      <c r="BT19" s="115" t="n">
        <f aca="false">SUMIFS(الريسبي!$C$2:$C$1800,الريسبي!$A$2:$A$1800,$A19,الريسبي!$B$2:$B$1800,BT$1)</f>
        <v>0</v>
      </c>
      <c r="BU19" s="115"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15" t="n">
        <f aca="false">SUMIFS(الريسبي!$C$2:$C$1800,الريسبي!$A$2:$A$1800,$A19,الريسبي!$B$2:$B$1800,BV$1)</f>
        <v>0</v>
      </c>
      <c r="BW19" s="115" t="n">
        <f aca="false">SUMIFS(الريسبي!$C$2:$C$1800,الريسبي!$A$2:$A$1800,$A19,الريسبي!$B$2:$B$1800,BW$1)</f>
        <v>0</v>
      </c>
      <c r="BX19" s="115" t="n">
        <f aca="false">SUMIFS(الريسبي!$C$2:$C$1800,الريسبي!$A$2:$A$1800,$A19,الريسبي!$B$2:$B$1800,BX$1)</f>
        <v>0</v>
      </c>
      <c r="BY19" s="115" t="n">
        <f aca="false">SUMIFS(الريسبي!$C$2:$C$1800,الريسبي!$A$2:$A$1800,$A19,الريسبي!$B$2:$B$1800,BY$1)</f>
        <v>0</v>
      </c>
      <c r="BZ19" s="115" t="n">
        <f aca="false">SUMIFS(الريسبي!$C$2:$C$1800,الريسبي!$A$2:$A$1800,$A19,الريسبي!$B$2:$B$1800,BZ$1)</f>
        <v>1</v>
      </c>
      <c r="CA19" s="115" t="n">
        <f aca="false">SUMIFS(الريسبي!$C$2:$C$1800,الريسبي!$A$2:$A$1800,$A19,الريسبي!$B$2:$B$1800,CA$1)</f>
        <v>1</v>
      </c>
      <c r="CB19" s="115" t="n">
        <f aca="false">SUMIFS(الريسبي!$C$2:$C$1800,الريسبي!$A$2:$A$1800,$A19,الريسبي!$B$2:$B$1800,CB$1)</f>
        <v>0</v>
      </c>
      <c r="CC19" s="115" t="n">
        <f aca="false">SUMIFS(الريسبي!$C$2:$C$1800,الريسبي!$A$2:$A$1800,$A19,الريسبي!$B$2:$B$1800,CC$1)</f>
        <v>0</v>
      </c>
      <c r="CD19" s="115" t="n">
        <f aca="false">SUMIFS(الريسبي!$C$2:$C$1800,الريسبي!$A$2:$A$1800,$A19,الريسبي!$B$2:$B$1800,CD$1)</f>
        <v>0</v>
      </c>
      <c r="CE19" s="115" t="n">
        <f aca="false">SUMIFS(الريسبي!$C$2:$C$1800,الريسبي!$A$2:$A$1800,$A19,الريسبي!$B$2:$B$1800,CE$1)</f>
        <v>0</v>
      </c>
      <c r="CF19" s="115" t="n">
        <f aca="false">SUMIFS(الريسبي!$C$2:$C$1800,الريسبي!$A$2:$A$1800,$A19,الريسبي!$B$2:$B$1800,CF$1)</f>
        <v>0</v>
      </c>
      <c r="CG19" s="115" t="n">
        <f aca="false">SUMIFS(الريسبي!$C$2:$C$1800,الريسبي!$A$2:$A$1800,$A19,الريسبي!$B$2:$B$1800,CG$1)</f>
        <v>0</v>
      </c>
      <c r="CH19" s="115" t="n">
        <f aca="false">SUMIFS(الريسبي!$C$2:$C$1800,الريسبي!$A$2:$A$1800,$A19,الريسبي!$B$2:$B$1800,CH$1)</f>
        <v>0</v>
      </c>
    </row>
    <row r="20" customFormat="false" ht="15" hidden="false" customHeight="false" outlineLevel="0" collapsed="false">
      <c r="A20" s="114" t="str">
        <f aca="false">المنيو!B20</f>
        <v>بيتزا مشكل لحوم النكش وسط</v>
      </c>
      <c r="B20" s="115" t="n">
        <f aca="false">SUMIFS(الريسبي!$C$2:$C$1800,الريسبي!$A$2:$A$1800,$A20,الريسبي!$B$2:$B$1800,B$1)</f>
        <v>0</v>
      </c>
      <c r="C20" s="115" t="n">
        <f aca="false">SUMIFS(الريسبي!$C$2:$C$1800,الريسبي!$A$2:$A$1800,$A20,الريسبي!$B$2:$B$1800,C$1)</f>
        <v>0</v>
      </c>
      <c r="D20" s="115" t="n">
        <f aca="false">SUMIFS(الريسبي!$C$2:$C$1800,الريسبي!$A$2:$A$1800,$A20,الريسبي!$B$2:$B$1800,D$1)</f>
        <v>1</v>
      </c>
      <c r="E20" s="115" t="n">
        <f aca="false">SUMIFS(الريسبي!$C$2:$C$1800,الريسبي!$A$2:$A$1800,$A20,الريسبي!$B$2:$B$1800,E$1)</f>
        <v>0</v>
      </c>
      <c r="F20" s="115" t="n">
        <f aca="false">SUMIFS(الريسبي!$C$2:$C$1800,الريسبي!$A$2:$A$1800,$A20,الريسبي!$B$2:$B$1800,F$1)</f>
        <v>0</v>
      </c>
      <c r="G20" s="115" t="n">
        <f aca="false">SUMIFS(الريسبي!$C$2:$C$1800,الريسبي!$A$2:$A$1800,$A20,الريسبي!$B$2:$B$1800,G$1)</f>
        <v>1</v>
      </c>
      <c r="H20" s="115" t="n">
        <f aca="false">SUMIFS(الريسبي!$C$2:$C$1800,الريسبي!$A$2:$A$1800,$A20,الريسبي!$B$2:$B$1800,H$1)</f>
        <v>0</v>
      </c>
      <c r="I20" s="115" t="n">
        <f aca="false">SUMIFS(الريسبي!$C$2:$C$1800,الريسبي!$A$2:$A$1800,$A20,الريسبي!$B$2:$B$1800,I$1)</f>
        <v>0</v>
      </c>
      <c r="J20" s="115" t="n">
        <f aca="false">SUMIFS(الريسبي!$C$2:$C$1800,الريسبي!$A$2:$A$1800,$A20,الريسبي!$B$2:$B$1800,J$1)</f>
        <v>0</v>
      </c>
      <c r="K20" s="115" t="n">
        <f aca="false">SUMIFS(الريسبي!$C$2:$C$1800,الريسبي!$A$2:$A$1800,$A20,الريسبي!$B$2:$B$1800,K$1)</f>
        <v>0</v>
      </c>
      <c r="L20" s="115" t="n">
        <f aca="false">SUMIFS(الريسبي!$C$2:$C$1800,الريسبي!$A$2:$A$1800,$A20,الريسبي!$B$2:$B$1800,L$1)</f>
        <v>1</v>
      </c>
      <c r="M20" s="115" t="n">
        <f aca="false">SUMIFS(الريسبي!$C$2:$C$1800,الريسبي!$A$2:$A$1800,$A20,الريسبي!$B$2:$B$1800,M$1)</f>
        <v>0</v>
      </c>
      <c r="N20" s="115" t="n">
        <f aca="false">SUMIFS(الريسبي!$C$2:$C$1800,الريسبي!$A$2:$A$1800,$A20,الريسبي!$B$2:$B$1800,N$1)</f>
        <v>0</v>
      </c>
      <c r="O20" s="115" t="n">
        <f aca="false">SUMIFS(الريسبي!$C$2:$C$1800,الريسبي!$A$2:$A$1800,$A20,الريسبي!$B$2:$B$1800,O$1)</f>
        <v>0</v>
      </c>
      <c r="P20" s="115" t="n">
        <f aca="false">SUMIFS(الريسبي!$C$2:$C$1800,الريسبي!$A$2:$A$1800,$A20,الريسبي!$B$2:$B$1800,P$1)</f>
        <v>0</v>
      </c>
      <c r="Q20" s="115" t="n">
        <f aca="false">SUMIFS(الريسبي!$C$2:$C$1800,الريسبي!$A$2:$A$1800,$A20,الريسبي!$B$2:$B$1800,Q$1)</f>
        <v>0</v>
      </c>
      <c r="R20" s="115" t="n">
        <f aca="false">SUMIFS(الريسبي!$C$2:$C$1800,الريسبي!$A$2:$A$1800,$A20,الريسبي!$B$2:$B$1800,R$1)</f>
        <v>0</v>
      </c>
      <c r="S20" s="115" t="n">
        <f aca="false">SUMIFS(الريسبي!$C$2:$C$1800,الريسبي!$A$2:$A$1800,$A20,الريسبي!$B$2:$B$1800,S$1)</f>
        <v>0</v>
      </c>
      <c r="T20" s="115" t="n">
        <f aca="false">SUMIFS(الريسبي!$C$2:$C$1800,الريسبي!$A$2:$A$1800,$A20,الريسبي!$B$2:$B$1800,T$1)</f>
        <v>1</v>
      </c>
      <c r="U20" s="115" t="n">
        <f aca="false">SUMIFS(الريسبي!$C$2:$C$1800,الريسبي!$A$2:$A$1800,$A20,الريسبي!$B$2:$B$1800,U$1)</f>
        <v>0</v>
      </c>
      <c r="V20" s="115" t="n">
        <f aca="false">SUMIFS(الريسبي!$C$2:$C$1800,الريسبي!$A$2:$A$1800,$A20,الريسبي!$B$2:$B$1800,V$1)</f>
        <v>1</v>
      </c>
      <c r="W20" s="115" t="n">
        <f aca="false">SUMIFS(الريسبي!$C$2:$C$1800,الريسبي!$A$2:$A$1800,$A20,الريسبي!$B$2:$B$1800,W$1)</f>
        <v>0</v>
      </c>
      <c r="X20" s="115" t="n">
        <f aca="false">SUMIFS(الريسبي!$C$2:$C$1800,الريسبي!$A$2:$A$1800,$A20,الريسبي!$B$2:$B$1800,X$1)</f>
        <v>0</v>
      </c>
      <c r="Y20" s="115" t="n">
        <f aca="false">SUMIFS(الريسبي!$C$2:$C$1800,الريسبي!$A$2:$A$1800,$A20,الريسبي!$B$2:$B$1800,Y$1)</f>
        <v>0</v>
      </c>
      <c r="Z20" s="115" t="n">
        <f aca="false">SUMIFS(الريسبي!$C$2:$C$1800,الريسبي!$A$2:$A$1800,$A20,الريسبي!$B$2:$B$1800,Z$1)</f>
        <v>0</v>
      </c>
      <c r="AA20" s="115" t="n">
        <f aca="false">SUMIFS(الريسبي!$C$2:$C$1800,الريسبي!$A$2:$A$1800,$A20,الريسبي!$B$2:$B$1800,AA$1)</f>
        <v>0</v>
      </c>
      <c r="AB20" s="115" t="n">
        <f aca="false">SUMIFS(الريسبي!$C$2:$C$1800,الريسبي!$A$2:$A$1800,$A20,الريسبي!$B$2:$B$1800,AB$1)</f>
        <v>0</v>
      </c>
      <c r="AC20" s="115" t="n">
        <f aca="false">SUMIFS(الريسبي!$C$2:$C$1800,الريسبي!$A$2:$A$1800,$A20,الريسبي!$B$2:$B$1800,AC$1)</f>
        <v>0</v>
      </c>
      <c r="AD20" s="115" t="n">
        <f aca="false">SUMIFS(الريسبي!$C$2:$C$1800,الريسبي!$A$2:$A$1800,$A20,الريسبي!$B$2:$B$1800,AD$1)</f>
        <v>0</v>
      </c>
      <c r="AE20" s="115" t="n">
        <f aca="false">SUMIFS(الريسبي!$C$2:$C$1800,الريسبي!$A$2:$A$1800,$A20,الريسبي!$B$2:$B$1800,AE$1)</f>
        <v>0</v>
      </c>
      <c r="AF20" s="115" t="n">
        <f aca="false">SUMIFS(الريسبي!$C$2:$C$1800,الريسبي!$A$2:$A$1800,$A20,الريسبي!$B$2:$B$1800,AF$1)</f>
        <v>0</v>
      </c>
      <c r="AG20" s="115" t="n">
        <f aca="false">SUMIFS(الريسبي!$C$2:$C$1800,الريسبي!$A$2:$A$1800,$A20,الريسبي!$B$2:$B$1800,AG$1)</f>
        <v>0</v>
      </c>
      <c r="AH20" s="115" t="n">
        <f aca="false">SUMIFS(الريسبي!$C$2:$C$1800,الريسبي!$A$2:$A$1800,$A20,الريسبي!$B$2:$B$1800,AH$1)</f>
        <v>0</v>
      </c>
      <c r="AI20" s="115" t="n">
        <f aca="false">SUMIFS(الريسبي!$C$2:$C$1800,الريسبي!$A$2:$A$1800,$A20,الريسبي!$B$2:$B$1800,AI$1)</f>
        <v>0</v>
      </c>
      <c r="AJ20" s="115" t="n">
        <f aca="false">SUMIFS(الريسبي!$C$2:$C$1800,الريسبي!$A$2:$A$1800,$A20,الريسبي!$B$2:$B$1800,AJ$1)</f>
        <v>2</v>
      </c>
      <c r="AK20" s="115" t="n">
        <f aca="false">SUMIFS(الريسبي!$C$2:$C$1800,الريسبي!$A$2:$A$1800,$A20,الريسبي!$B$2:$B$1800,AK$1)</f>
        <v>0</v>
      </c>
      <c r="AL20" s="115" t="n">
        <f aca="false">SUMIFS(الريسبي!$C$2:$C$1800,الريسبي!$A$2:$A$1800,$A20,الريسبي!$B$2:$B$1800,AL$1)</f>
        <v>0</v>
      </c>
      <c r="AM20" s="115"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15"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15" t="n">
        <f aca="false">SUMIFS(الريسبي!$C$2:$C$1800,الريسبي!$A$2:$A$1800,$A20,الريسبي!$B$2:$B$1800,AO$1)</f>
        <v>0</v>
      </c>
      <c r="AP20" s="115" t="n">
        <f aca="false">SUMIFS(الريسبي!$C$2:$C$1800,الريسبي!$A$2:$A$1800,$A20,الريسبي!$B$2:$B$1800,AP$1)</f>
        <v>0.02</v>
      </c>
      <c r="AQ20" s="115"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15" t="n">
        <f aca="false">SUMIFS(الريسبي!$C$2:$C$1800,الريسبي!$A$2:$A$1800,$A20,الريسبي!$B$2:$B$1800,AR$1)</f>
        <v>0</v>
      </c>
      <c r="AS20" s="115" t="n">
        <f aca="false">SUMIFS(الريسبي!$C$2:$C$1800,الريسبي!$A$2:$A$1800,$A20,الريسبي!$B$2:$B$1800,AS$1)</f>
        <v>0</v>
      </c>
      <c r="AT20" s="115" t="n">
        <f aca="false">SUMIFS(الريسبي!$C$2:$C$1800,الريسبي!$A$2:$A$1800,$A20,الريسبي!$B$2:$B$1800,AT$1)</f>
        <v>0</v>
      </c>
      <c r="AU20" s="115" t="n">
        <f aca="false">SUMIFS(الريسبي!$C$2:$C$1800,الريسبي!$A$2:$A$1800,$A20,الريسبي!$B$2:$B$1800,AU$1)</f>
        <v>0</v>
      </c>
      <c r="AV20" s="115" t="n">
        <f aca="false">SUMIFS(الريسبي!$C$2:$C$1800,الريسبي!$A$2:$A$1800,$A20,الريسبي!$B$2:$B$1800,AV$1)</f>
        <v>0</v>
      </c>
      <c r="AW20" s="115" t="n">
        <f aca="false">SUMIFS(الريسبي!$C$2:$C$1800,الريسبي!$A$2:$A$1800,$A20,الريسبي!$B$2:$B$1800,AW$1)</f>
        <v>0</v>
      </c>
      <c r="AX20" s="115" t="n">
        <f aca="false">SUMIFS(الريسبي!$C$2:$C$1800,الريسبي!$A$2:$A$1800,$A20,الريسبي!$B$2:$B$1800,AX$1)</f>
        <v>0.04</v>
      </c>
      <c r="AY20" s="115" t="n">
        <f aca="false">SUMIFS(الريسبي!$C$2:$C$1800,الريسبي!$A$2:$A$1800,$A20,الريسبي!$B$2:$B$1800,AY$1)</f>
        <v>0</v>
      </c>
      <c r="AZ20" s="115" t="n">
        <f aca="false">SUMIFS(الريسبي!$C$2:$C$1800,الريسبي!$A$2:$A$1800,$A20,الريسبي!$B$2:$B$1800,AZ$1)</f>
        <v>0</v>
      </c>
      <c r="BA20" s="115" t="n">
        <f aca="false">SUMIFS(الريسبي!$C$2:$C$1800,الريسبي!$A$2:$A$1800,$A20,الريسبي!$B$2:$B$1800,BA$1)</f>
        <v>0</v>
      </c>
      <c r="BB20" s="115" t="n">
        <f aca="false">SUMIFS(الريسبي!$C$2:$C$1800,الريسبي!$A$2:$A$1800,$A20,الريسبي!$B$2:$B$1800,BB$1)</f>
        <v>0</v>
      </c>
      <c r="BC20" s="115" t="n">
        <f aca="false">SUMIFS(الريسبي!$C$2:$C$1800,الريسبي!$A$2:$A$1800,$A20,الريسبي!$B$2:$B$1800,BC$1)</f>
        <v>0.03</v>
      </c>
      <c r="BD20" s="115" t="n">
        <f aca="false">SUMIFS(الريسبي!$C$2:$C$1800,الريسبي!$A$2:$A$1800,$A20,الريسبي!$B$2:$B$1800,BD$1)</f>
        <v>0.22</v>
      </c>
      <c r="BE20" s="115" t="n">
        <f aca="false">SUMIFS(الريسبي!$C$2:$C$1800,الريسبي!$A$2:$A$1800,$A20,الريسبي!$B$2:$B$1800,BE$1)</f>
        <v>0</v>
      </c>
      <c r="BF20" s="115" t="n">
        <f aca="false">SUMIFS(الريسبي!$C$2:$C$1800,الريسبي!$A$2:$A$1800,$A20,الريسبي!$B$2:$B$1800,BF$1)</f>
        <v>0</v>
      </c>
      <c r="BG20" s="115" t="n">
        <f aca="false">SUMIFS(الريسبي!$C$2:$C$1800,الريسبي!$A$2:$A$1800,$A20,الريسبي!$B$2:$B$1800,BG$1)</f>
        <v>0</v>
      </c>
      <c r="BH20" s="115" t="n">
        <f aca="false">SUMIFS(الريسبي!$C$2:$C$1800,الريسبي!$A$2:$A$1800,$A20,الريسبي!$B$2:$B$1800,BH$1)</f>
        <v>1</v>
      </c>
      <c r="BI20" s="115" t="n">
        <f aca="false">SUMIFS(الريسبي!$C$2:$C$1800,الريسبي!$A$2:$A$1800,$A20,الريسبي!$B$2:$B$1800,BI$1)</f>
        <v>0</v>
      </c>
      <c r="BJ20" s="115" t="n">
        <f aca="false">SUMIFS(الريسبي!$C$2:$C$1800,الريسبي!$A$2:$A$1800,$A20,الريسبي!$B$2:$B$1800,BJ$1)</f>
        <v>0</v>
      </c>
      <c r="BK20" s="115" t="n">
        <f aca="false">SUMIFS(الريسبي!$C$2:$C$1800,الريسبي!$A$2:$A$1800,$A20,الريسبي!$B$2:$B$1800,BK$1)</f>
        <v>0</v>
      </c>
      <c r="BL20" s="115" t="n">
        <f aca="false">SUMIFS(الريسبي!$C$2:$C$1800,الريسبي!$A$2:$A$1800,$A20,الريسبي!$B$2:$B$1800,BL$1)</f>
        <v>0</v>
      </c>
      <c r="BM20" s="115" t="n">
        <f aca="false">SUMIFS(الريسبي!$C$2:$C$1800,الريسبي!$A$2:$A$1800,$A20,الريسبي!$B$2:$B$1800,BM$1)</f>
        <v>0</v>
      </c>
      <c r="BN20" s="115" t="n">
        <f aca="false">SUMIFS(الريسبي!$C$2:$C$1800,الريسبي!$A$2:$A$1800,$A20,الريسبي!$B$2:$B$1800,BN$1)</f>
        <v>0.02</v>
      </c>
      <c r="BO20" s="115" t="n">
        <f aca="false">SUMIFS(الريسبي!$C$2:$C$1800,الريسبي!$A$2:$A$1800,$A20,الريسبي!$B$2:$B$1800,BO$1)</f>
        <v>0</v>
      </c>
      <c r="BP20" s="115" t="n">
        <f aca="false">SUMIFS(الريسبي!$C$2:$C$1800,الريسبي!$A$2:$A$1800,$A20,الريسبي!$B$2:$B$1800,BP$1)</f>
        <v>2</v>
      </c>
      <c r="BQ20" s="115"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15" t="n">
        <f aca="false">SUMIFS(الريسبي!$C$2:$C$1800,الريسبي!$A$2:$A$1800,$A20,الريسبي!$B$2:$B$1800,BR$1)</f>
        <v>1</v>
      </c>
      <c r="BS20" s="115" t="n">
        <f aca="false">SUMIFS(الريسبي!$C$2:$C$1800,الريسبي!$A$2:$A$1800,$A20,الريسبي!$B$2:$B$1800,BS$1)</f>
        <v>0</v>
      </c>
      <c r="BT20" s="115" t="n">
        <f aca="false">SUMIFS(الريسبي!$C$2:$C$1800,الريسبي!$A$2:$A$1800,$A20,الريسبي!$B$2:$B$1800,BT$1)</f>
        <v>0</v>
      </c>
      <c r="BU20" s="115"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15" t="n">
        <f aca="false">SUMIFS(الريسبي!$C$2:$C$1800,الريسبي!$A$2:$A$1800,$A20,الريسبي!$B$2:$B$1800,BV$1)</f>
        <v>0</v>
      </c>
      <c r="BW20" s="115" t="n">
        <f aca="false">SUMIFS(الريسبي!$C$2:$C$1800,الريسبي!$A$2:$A$1800,$A20,الريسبي!$B$2:$B$1800,BW$1)</f>
        <v>0</v>
      </c>
      <c r="BX20" s="115" t="n">
        <f aca="false">SUMIFS(الريسبي!$C$2:$C$1800,الريسبي!$A$2:$A$1800,$A20,الريسبي!$B$2:$B$1800,BX$1)</f>
        <v>0</v>
      </c>
      <c r="BY20" s="115" t="n">
        <f aca="false">SUMIFS(الريسبي!$C$2:$C$1800,الريسبي!$A$2:$A$1800,$A20,الريسبي!$B$2:$B$1800,BY$1)</f>
        <v>0</v>
      </c>
      <c r="BZ20" s="115" t="n">
        <f aca="false">SUMIFS(الريسبي!$C$2:$C$1800,الريسبي!$A$2:$A$1800,$A20,الريسبي!$B$2:$B$1800,BZ$1)</f>
        <v>1</v>
      </c>
      <c r="CA20" s="115" t="n">
        <f aca="false">SUMIFS(الريسبي!$C$2:$C$1800,الريسبي!$A$2:$A$1800,$A20,الريسبي!$B$2:$B$1800,CA$1)</f>
        <v>1</v>
      </c>
      <c r="CB20" s="115" t="n">
        <f aca="false">SUMIFS(الريسبي!$C$2:$C$1800,الريسبي!$A$2:$A$1800,$A20,الريسبي!$B$2:$B$1800,CB$1)</f>
        <v>0</v>
      </c>
      <c r="CC20" s="115" t="n">
        <f aca="false">SUMIFS(الريسبي!$C$2:$C$1800,الريسبي!$A$2:$A$1800,$A20,الريسبي!$B$2:$B$1800,CC$1)</f>
        <v>0</v>
      </c>
      <c r="CD20" s="115" t="n">
        <f aca="false">SUMIFS(الريسبي!$C$2:$C$1800,الريسبي!$A$2:$A$1800,$A20,الريسبي!$B$2:$B$1800,CD$1)</f>
        <v>0</v>
      </c>
      <c r="CE20" s="115" t="n">
        <f aca="false">SUMIFS(الريسبي!$C$2:$C$1800,الريسبي!$A$2:$A$1800,$A20,الريسبي!$B$2:$B$1800,CE$1)</f>
        <v>0</v>
      </c>
      <c r="CF20" s="115" t="n">
        <f aca="false">SUMIFS(الريسبي!$C$2:$C$1800,الريسبي!$A$2:$A$1800,$A20,الريسبي!$B$2:$B$1800,CF$1)</f>
        <v>0</v>
      </c>
      <c r="CG20" s="115" t="n">
        <f aca="false">SUMIFS(الريسبي!$C$2:$C$1800,الريسبي!$A$2:$A$1800,$A20,الريسبي!$B$2:$B$1800,CG$1)</f>
        <v>0</v>
      </c>
      <c r="CH20" s="115" t="n">
        <f aca="false">SUMIFS(الريسبي!$C$2:$C$1800,الريسبي!$A$2:$A$1800,$A20,الريسبي!$B$2:$B$1800,CH$1)</f>
        <v>0</v>
      </c>
    </row>
    <row r="21" customFormat="false" ht="15" hidden="false" customHeight="false" outlineLevel="0" collapsed="false">
      <c r="A21" s="114" t="str">
        <f aca="false">المنيو!B21</f>
        <v>بيتزا مشكل لحوم النكش حجم اكبر</v>
      </c>
      <c r="B21" s="115" t="n">
        <f aca="false">SUMIFS(الريسبي!$C$2:$C$1800,الريسبي!$A$2:$A$1800,$A21,الريسبي!$B$2:$B$1800,B$1)</f>
        <v>0</v>
      </c>
      <c r="C21" s="115" t="n">
        <f aca="false">SUMIFS(الريسبي!$C$2:$C$1800,الريسبي!$A$2:$A$1800,$A21,الريسبي!$B$2:$B$1800,C$1)</f>
        <v>0</v>
      </c>
      <c r="D21" s="115" t="n">
        <f aca="false">SUMIFS(الريسبي!$C$2:$C$1800,الريسبي!$A$2:$A$1800,$A21,الريسبي!$B$2:$B$1800,D$1)</f>
        <v>1</v>
      </c>
      <c r="E21" s="115" t="n">
        <f aca="false">SUMIFS(الريسبي!$C$2:$C$1800,الريسبي!$A$2:$A$1800,$A21,الريسبي!$B$2:$B$1800,E$1)</f>
        <v>0</v>
      </c>
      <c r="F21" s="115" t="n">
        <f aca="false">SUMIFS(الريسبي!$C$2:$C$1800,الريسبي!$A$2:$A$1800,$A21,الريسبي!$B$2:$B$1800,F$1)</f>
        <v>0</v>
      </c>
      <c r="G21" s="115" t="n">
        <f aca="false">SUMIFS(الريسبي!$C$2:$C$1800,الريسبي!$A$2:$A$1800,$A21,الريسبي!$B$2:$B$1800,G$1)</f>
        <v>0</v>
      </c>
      <c r="H21" s="115" t="n">
        <f aca="false">SUMIFS(الريسبي!$C$2:$C$1800,الريسبي!$A$2:$A$1800,$A21,الريسبي!$B$2:$B$1800,H$1)</f>
        <v>1</v>
      </c>
      <c r="I21" s="115" t="n">
        <f aca="false">SUMIFS(الريسبي!$C$2:$C$1800,الريسبي!$A$2:$A$1800,$A21,الريسبي!$B$2:$B$1800,I$1)</f>
        <v>0</v>
      </c>
      <c r="J21" s="115" t="n">
        <f aca="false">SUMIFS(الريسبي!$C$2:$C$1800,الريسبي!$A$2:$A$1800,$A21,الريسبي!$B$2:$B$1800,J$1)</f>
        <v>0</v>
      </c>
      <c r="K21" s="115" t="n">
        <f aca="false">SUMIFS(الريسبي!$C$2:$C$1800,الريسبي!$A$2:$A$1800,$A21,الريسبي!$B$2:$B$1800,K$1)</f>
        <v>0</v>
      </c>
      <c r="L21" s="115" t="n">
        <f aca="false">SUMIFS(الريسبي!$C$2:$C$1800,الريسبي!$A$2:$A$1800,$A21,الريسبي!$B$2:$B$1800,L$1)</f>
        <v>0</v>
      </c>
      <c r="M21" s="115" t="n">
        <f aca="false">SUMIFS(الريسبي!$C$2:$C$1800,الريسبي!$A$2:$A$1800,$A21,الريسبي!$B$2:$B$1800,M$1)</f>
        <v>1</v>
      </c>
      <c r="N21" s="115" t="n">
        <f aca="false">SUMIFS(الريسبي!$C$2:$C$1800,الريسبي!$A$2:$A$1800,$A21,الريسبي!$B$2:$B$1800,N$1)</f>
        <v>0</v>
      </c>
      <c r="O21" s="115" t="n">
        <f aca="false">SUMIFS(الريسبي!$C$2:$C$1800,الريسبي!$A$2:$A$1800,$A21,الريسبي!$B$2:$B$1800,O$1)</f>
        <v>0</v>
      </c>
      <c r="P21" s="115" t="n">
        <f aca="false">SUMIFS(الريسبي!$C$2:$C$1800,الريسبي!$A$2:$A$1800,$A21,الريسبي!$B$2:$B$1800,P$1)</f>
        <v>0</v>
      </c>
      <c r="Q21" s="115" t="n">
        <f aca="false">SUMIFS(الريسبي!$C$2:$C$1800,الريسبي!$A$2:$A$1800,$A21,الريسبي!$B$2:$B$1800,Q$1)</f>
        <v>0</v>
      </c>
      <c r="R21" s="115" t="n">
        <f aca="false">SUMIFS(الريسبي!$C$2:$C$1800,الريسبي!$A$2:$A$1800,$A21,الريسبي!$B$2:$B$1800,R$1)</f>
        <v>0</v>
      </c>
      <c r="S21" s="115" t="n">
        <f aca="false">SUMIFS(الريسبي!$C$2:$C$1800,الريسبي!$A$2:$A$1800,$A21,الريسبي!$B$2:$B$1800,S$1)</f>
        <v>0</v>
      </c>
      <c r="T21" s="115" t="n">
        <f aca="false">SUMIFS(الريسبي!$C$2:$C$1800,الريسبي!$A$2:$A$1800,$A21,الريسبي!$B$2:$B$1800,T$1)</f>
        <v>1</v>
      </c>
      <c r="U21" s="115" t="n">
        <f aca="false">SUMIFS(الريسبي!$C$2:$C$1800,الريسبي!$A$2:$A$1800,$A21,الريسبي!$B$2:$B$1800,U$1)</f>
        <v>0</v>
      </c>
      <c r="V21" s="115" t="n">
        <f aca="false">SUMIFS(الريسبي!$C$2:$C$1800,الريسبي!$A$2:$A$1800,$A21,الريسبي!$B$2:$B$1800,V$1)</f>
        <v>0</v>
      </c>
      <c r="W21" s="115" t="n">
        <f aca="false">SUMIFS(الريسبي!$C$2:$C$1800,الريسبي!$A$2:$A$1800,$A21,الريسبي!$B$2:$B$1800,W$1)</f>
        <v>1</v>
      </c>
      <c r="X21" s="115" t="n">
        <f aca="false">SUMIFS(الريسبي!$C$2:$C$1800,الريسبي!$A$2:$A$1800,$A21,الريسبي!$B$2:$B$1800,X$1)</f>
        <v>0</v>
      </c>
      <c r="Y21" s="115" t="n">
        <f aca="false">SUMIFS(الريسبي!$C$2:$C$1800,الريسبي!$A$2:$A$1800,$A21,الريسبي!$B$2:$B$1800,Y$1)</f>
        <v>0</v>
      </c>
      <c r="Z21" s="115" t="n">
        <f aca="false">SUMIFS(الريسبي!$C$2:$C$1800,الريسبي!$A$2:$A$1800,$A21,الريسبي!$B$2:$B$1800,Z$1)</f>
        <v>0</v>
      </c>
      <c r="AA21" s="115" t="n">
        <f aca="false">SUMIFS(الريسبي!$C$2:$C$1800,الريسبي!$A$2:$A$1800,$A21,الريسبي!$B$2:$B$1800,AA$1)</f>
        <v>0</v>
      </c>
      <c r="AB21" s="115" t="n">
        <f aca="false">SUMIFS(الريسبي!$C$2:$C$1800,الريسبي!$A$2:$A$1800,$A21,الريسبي!$B$2:$B$1800,AB$1)</f>
        <v>0</v>
      </c>
      <c r="AC21" s="115" t="n">
        <f aca="false">SUMIFS(الريسبي!$C$2:$C$1800,الريسبي!$A$2:$A$1800,$A21,الريسبي!$B$2:$B$1800,AC$1)</f>
        <v>0</v>
      </c>
      <c r="AD21" s="115" t="n">
        <f aca="false">SUMIFS(الريسبي!$C$2:$C$1800,الريسبي!$A$2:$A$1800,$A21,الريسبي!$B$2:$B$1800,AD$1)</f>
        <v>0</v>
      </c>
      <c r="AE21" s="115" t="n">
        <f aca="false">SUMIFS(الريسبي!$C$2:$C$1800,الريسبي!$A$2:$A$1800,$A21,الريسبي!$B$2:$B$1800,AE$1)</f>
        <v>0</v>
      </c>
      <c r="AF21" s="115" t="n">
        <f aca="false">SUMIFS(الريسبي!$C$2:$C$1800,الريسبي!$A$2:$A$1800,$A21,الريسبي!$B$2:$B$1800,AF$1)</f>
        <v>0</v>
      </c>
      <c r="AG21" s="115" t="n">
        <f aca="false">SUMIFS(الريسبي!$C$2:$C$1800,الريسبي!$A$2:$A$1800,$A21,الريسبي!$B$2:$B$1800,AG$1)</f>
        <v>0</v>
      </c>
      <c r="AH21" s="115" t="n">
        <f aca="false">SUMIFS(الريسبي!$C$2:$C$1800,الريسبي!$A$2:$A$1800,$A21,الريسبي!$B$2:$B$1800,AH$1)</f>
        <v>0</v>
      </c>
      <c r="AI21" s="115" t="n">
        <f aca="false">SUMIFS(الريسبي!$C$2:$C$1800,الريسبي!$A$2:$A$1800,$A21,الريسبي!$B$2:$B$1800,AI$1)</f>
        <v>0</v>
      </c>
      <c r="AJ21" s="115" t="n">
        <f aca="false">SUMIFS(الريسبي!$C$2:$C$1800,الريسبي!$A$2:$A$1800,$A21,الريسبي!$B$2:$B$1800,AJ$1)</f>
        <v>2</v>
      </c>
      <c r="AK21" s="115" t="n">
        <f aca="false">SUMIFS(الريسبي!$C$2:$C$1800,الريسبي!$A$2:$A$1800,$A21,الريسبي!$B$2:$B$1800,AK$1)</f>
        <v>0</v>
      </c>
      <c r="AL21" s="115" t="n">
        <f aca="false">SUMIFS(الريسبي!$C$2:$C$1800,الريسبي!$A$2:$A$1800,$A21,الريسبي!$B$2:$B$1800,AL$1)</f>
        <v>0</v>
      </c>
      <c r="AM21" s="115"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15"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15" t="n">
        <f aca="false">SUMIFS(الريسبي!$C$2:$C$1800,الريسبي!$A$2:$A$1800,$A21,الريسبي!$B$2:$B$1800,AO$1)</f>
        <v>0</v>
      </c>
      <c r="AP21" s="115" t="n">
        <f aca="false">SUMIFS(الريسبي!$C$2:$C$1800,الريسبي!$A$2:$A$1800,$A21,الريسبي!$B$2:$B$1800,AP$1)</f>
        <v>0.03</v>
      </c>
      <c r="AQ21" s="115"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15" t="n">
        <f aca="false">SUMIFS(الريسبي!$C$2:$C$1800,الريسبي!$A$2:$A$1800,$A21,الريسبي!$B$2:$B$1800,AR$1)</f>
        <v>0</v>
      </c>
      <c r="AS21" s="115" t="n">
        <f aca="false">SUMIFS(الريسبي!$C$2:$C$1800,الريسبي!$A$2:$A$1800,$A21,الريسبي!$B$2:$B$1800,AS$1)</f>
        <v>0</v>
      </c>
      <c r="AT21" s="115" t="n">
        <f aca="false">SUMIFS(الريسبي!$C$2:$C$1800,الريسبي!$A$2:$A$1800,$A21,الريسبي!$B$2:$B$1800,AT$1)</f>
        <v>0</v>
      </c>
      <c r="AU21" s="115" t="n">
        <f aca="false">SUMIFS(الريسبي!$C$2:$C$1800,الريسبي!$A$2:$A$1800,$A21,الريسبي!$B$2:$B$1800,AU$1)</f>
        <v>0</v>
      </c>
      <c r="AV21" s="115" t="n">
        <f aca="false">SUMIFS(الريسبي!$C$2:$C$1800,الريسبي!$A$2:$A$1800,$A21,الريسبي!$B$2:$B$1800,AV$1)</f>
        <v>0</v>
      </c>
      <c r="AW21" s="115" t="n">
        <f aca="false">SUMIFS(الريسبي!$C$2:$C$1800,الريسبي!$A$2:$A$1800,$A21,الريسبي!$B$2:$B$1800,AW$1)</f>
        <v>0</v>
      </c>
      <c r="AX21" s="115" t="n">
        <f aca="false">SUMIFS(الريسبي!$C$2:$C$1800,الريسبي!$A$2:$A$1800,$A21,الريسبي!$B$2:$B$1800,AX$1)</f>
        <v>0.06</v>
      </c>
      <c r="AY21" s="115" t="n">
        <f aca="false">SUMIFS(الريسبي!$C$2:$C$1800,الريسبي!$A$2:$A$1800,$A21,الريسبي!$B$2:$B$1800,AY$1)</f>
        <v>0</v>
      </c>
      <c r="AZ21" s="115" t="n">
        <f aca="false">SUMIFS(الريسبي!$C$2:$C$1800,الريسبي!$A$2:$A$1800,$A21,الريسبي!$B$2:$B$1800,AZ$1)</f>
        <v>0</v>
      </c>
      <c r="BA21" s="115" t="n">
        <f aca="false">SUMIFS(الريسبي!$C$2:$C$1800,الريسبي!$A$2:$A$1800,$A21,الريسبي!$B$2:$B$1800,BA$1)</f>
        <v>0</v>
      </c>
      <c r="BB21" s="115" t="n">
        <f aca="false">SUMIFS(الريسبي!$C$2:$C$1800,الريسبي!$A$2:$A$1800,$A21,الريسبي!$B$2:$B$1800,BB$1)</f>
        <v>0</v>
      </c>
      <c r="BC21" s="115" t="n">
        <f aca="false">SUMIFS(الريسبي!$C$2:$C$1800,الريسبي!$A$2:$A$1800,$A21,الريسبي!$B$2:$B$1800,BC$1)</f>
        <v>0.045</v>
      </c>
      <c r="BD21" s="115" t="n">
        <f aca="false">SUMIFS(الريسبي!$C$2:$C$1800,الريسبي!$A$2:$A$1800,$A21,الريسبي!$B$2:$B$1800,BD$1)</f>
        <v>0.3</v>
      </c>
      <c r="BE21" s="115" t="n">
        <f aca="false">SUMIFS(الريسبي!$C$2:$C$1800,الريسبي!$A$2:$A$1800,$A21,الريسبي!$B$2:$B$1800,BE$1)</f>
        <v>0</v>
      </c>
      <c r="BF21" s="115" t="n">
        <f aca="false">SUMIFS(الريسبي!$C$2:$C$1800,الريسبي!$A$2:$A$1800,$A21,الريسبي!$B$2:$B$1800,BF$1)</f>
        <v>0</v>
      </c>
      <c r="BG21" s="115" t="n">
        <f aca="false">SUMIFS(الريسبي!$C$2:$C$1800,الريسبي!$A$2:$A$1800,$A21,الريسبي!$B$2:$B$1800,BG$1)</f>
        <v>1</v>
      </c>
      <c r="BH21" s="115" t="n">
        <f aca="false">SUMIFS(الريسبي!$C$2:$C$1800,الريسبي!$A$2:$A$1800,$A21,الريسبي!$B$2:$B$1800,BH$1)</f>
        <v>0</v>
      </c>
      <c r="BI21" s="115" t="n">
        <f aca="false">SUMIFS(الريسبي!$C$2:$C$1800,الريسبي!$A$2:$A$1800,$A21,الريسبي!$B$2:$B$1800,BI$1)</f>
        <v>0</v>
      </c>
      <c r="BJ21" s="115" t="n">
        <f aca="false">SUMIFS(الريسبي!$C$2:$C$1800,الريسبي!$A$2:$A$1800,$A21,الريسبي!$B$2:$B$1800,BJ$1)</f>
        <v>0</v>
      </c>
      <c r="BK21" s="115" t="n">
        <f aca="false">SUMIFS(الريسبي!$C$2:$C$1800,الريسبي!$A$2:$A$1800,$A21,الريسبي!$B$2:$B$1800,BK$1)</f>
        <v>0</v>
      </c>
      <c r="BL21" s="115" t="n">
        <f aca="false">SUMIFS(الريسبي!$C$2:$C$1800,الريسبي!$A$2:$A$1800,$A21,الريسبي!$B$2:$B$1800,BL$1)</f>
        <v>0</v>
      </c>
      <c r="BM21" s="115" t="n">
        <f aca="false">SUMIFS(الريسبي!$C$2:$C$1800,الريسبي!$A$2:$A$1800,$A21,الريسبي!$B$2:$B$1800,BM$1)</f>
        <v>0</v>
      </c>
      <c r="BN21" s="115" t="n">
        <f aca="false">SUMIFS(الريسبي!$C$2:$C$1800,الريسبي!$A$2:$A$1800,$A21,الريسبي!$B$2:$B$1800,BN$1)</f>
        <v>0.03</v>
      </c>
      <c r="BO21" s="115" t="n">
        <f aca="false">SUMIFS(الريسبي!$C$2:$C$1800,الريسبي!$A$2:$A$1800,$A21,الريسبي!$B$2:$B$1800,BO$1)</f>
        <v>0</v>
      </c>
      <c r="BP21" s="115" t="n">
        <f aca="false">SUMIFS(الريسبي!$C$2:$C$1800,الريسبي!$A$2:$A$1800,$A21,الريسبي!$B$2:$B$1800,BP$1)</f>
        <v>3</v>
      </c>
      <c r="BQ21" s="115"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15" t="n">
        <f aca="false">SUMIFS(الريسبي!$C$2:$C$1800,الريسبي!$A$2:$A$1800,$A21,الريسبي!$B$2:$B$1800,BR$1)</f>
        <v>1</v>
      </c>
      <c r="BS21" s="115" t="n">
        <f aca="false">SUMIFS(الريسبي!$C$2:$C$1800,الريسبي!$A$2:$A$1800,$A21,الريسبي!$B$2:$B$1800,BS$1)</f>
        <v>0</v>
      </c>
      <c r="BT21" s="115" t="n">
        <f aca="false">SUMIFS(الريسبي!$C$2:$C$1800,الريسبي!$A$2:$A$1800,$A21,الريسبي!$B$2:$B$1800,BT$1)</f>
        <v>0</v>
      </c>
      <c r="BU21" s="115"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15" t="n">
        <f aca="false">SUMIFS(الريسبي!$C$2:$C$1800,الريسبي!$A$2:$A$1800,$A21,الريسبي!$B$2:$B$1800,BV$1)</f>
        <v>0</v>
      </c>
      <c r="BW21" s="115" t="n">
        <f aca="false">SUMIFS(الريسبي!$C$2:$C$1800,الريسبي!$A$2:$A$1800,$A21,الريسبي!$B$2:$B$1800,BW$1)</f>
        <v>0</v>
      </c>
      <c r="BX21" s="115" t="n">
        <f aca="false">SUMIFS(الريسبي!$C$2:$C$1800,الريسبي!$A$2:$A$1800,$A21,الريسبي!$B$2:$B$1800,BX$1)</f>
        <v>0</v>
      </c>
      <c r="BY21" s="115" t="n">
        <f aca="false">SUMIFS(الريسبي!$C$2:$C$1800,الريسبي!$A$2:$A$1800,$A21,الريسبي!$B$2:$B$1800,BY$1)</f>
        <v>0</v>
      </c>
      <c r="BZ21" s="115" t="n">
        <f aca="false">SUMIFS(الريسبي!$C$2:$C$1800,الريسبي!$A$2:$A$1800,$A21,الريسبي!$B$2:$B$1800,BZ$1)</f>
        <v>1</v>
      </c>
      <c r="CA21" s="115" t="n">
        <f aca="false">SUMIFS(الريسبي!$C$2:$C$1800,الريسبي!$A$2:$A$1800,$A21,الريسبي!$B$2:$B$1800,CA$1)</f>
        <v>1</v>
      </c>
      <c r="CB21" s="115" t="n">
        <f aca="false">SUMIFS(الريسبي!$C$2:$C$1800,الريسبي!$A$2:$A$1800,$A21,الريسبي!$B$2:$B$1800,CB$1)</f>
        <v>0</v>
      </c>
      <c r="CC21" s="115" t="n">
        <f aca="false">SUMIFS(الريسبي!$C$2:$C$1800,الريسبي!$A$2:$A$1800,$A21,الريسبي!$B$2:$B$1800,CC$1)</f>
        <v>0</v>
      </c>
      <c r="CD21" s="115" t="n">
        <f aca="false">SUMIFS(الريسبي!$C$2:$C$1800,الريسبي!$A$2:$A$1800,$A21,الريسبي!$B$2:$B$1800,CD$1)</f>
        <v>0</v>
      </c>
      <c r="CE21" s="115" t="n">
        <f aca="false">SUMIFS(الريسبي!$C$2:$C$1800,الريسبي!$A$2:$A$1800,$A21,الريسبي!$B$2:$B$1800,CE$1)</f>
        <v>0</v>
      </c>
      <c r="CF21" s="115" t="n">
        <f aca="false">SUMIFS(الريسبي!$C$2:$C$1800,الريسبي!$A$2:$A$1800,$A21,الريسبي!$B$2:$B$1800,CF$1)</f>
        <v>0</v>
      </c>
      <c r="CG21" s="115" t="n">
        <f aca="false">SUMIFS(الريسبي!$C$2:$C$1800,الريسبي!$A$2:$A$1800,$A21,الريسبي!$B$2:$B$1800,CG$1)</f>
        <v>0</v>
      </c>
      <c r="CH21" s="115" t="n">
        <f aca="false">SUMIFS(الريسبي!$C$2:$C$1800,الريسبي!$A$2:$A$1800,$A21,الريسبي!$B$2:$B$1800,CH$1)</f>
        <v>0</v>
      </c>
    </row>
    <row r="22" customFormat="false" ht="15" hidden="false" customHeight="false" outlineLevel="0" collapsed="false">
      <c r="A22" s="114" t="str">
        <f aca="false">المنيو!B22</f>
        <v>بيتزا جمبري وسط</v>
      </c>
      <c r="B22" s="115" t="n">
        <f aca="false">SUMIFS(الريسبي!$C$2:$C$1800,الريسبي!$A$2:$A$1800,$A22,الريسبي!$B$2:$B$1800,B$1)</f>
        <v>0</v>
      </c>
      <c r="C22" s="115" t="n">
        <f aca="false">SUMIFS(الريسبي!$C$2:$C$1800,الريسبي!$A$2:$A$1800,$A22,الريسبي!$B$2:$B$1800,C$1)</f>
        <v>0</v>
      </c>
      <c r="D22" s="115" t="n">
        <f aca="false">SUMIFS(الريسبي!$C$2:$C$1800,الريسبي!$A$2:$A$1800,$A22,الريسبي!$B$2:$B$1800,D$1)</f>
        <v>1</v>
      </c>
      <c r="E22" s="115" t="n">
        <f aca="false">SUMIFS(الريسبي!$C$2:$C$1800,الريسبي!$A$2:$A$1800,$A22,الريسبي!$B$2:$B$1800,E$1)</f>
        <v>0</v>
      </c>
      <c r="F22" s="115" t="n">
        <f aca="false">SUMIFS(الريسبي!$C$2:$C$1800,الريسبي!$A$2:$A$1800,$A22,الريسبي!$B$2:$B$1800,F$1)</f>
        <v>0</v>
      </c>
      <c r="G22" s="115" t="n">
        <f aca="false">SUMIFS(الريسبي!$C$2:$C$1800,الريسبي!$A$2:$A$1800,$A22,الريسبي!$B$2:$B$1800,G$1)</f>
        <v>0</v>
      </c>
      <c r="H22" s="115" t="n">
        <f aca="false">SUMIFS(الريسبي!$C$2:$C$1800,الريسبي!$A$2:$A$1800,$A22,الريسبي!$B$2:$B$1800,H$1)</f>
        <v>0</v>
      </c>
      <c r="I22" s="115" t="n">
        <f aca="false">SUMIFS(الريسبي!$C$2:$C$1800,الريسبي!$A$2:$A$1800,$A22,الريسبي!$B$2:$B$1800,I$1)</f>
        <v>0</v>
      </c>
      <c r="J22" s="115" t="n">
        <f aca="false">SUMIFS(الريسبي!$C$2:$C$1800,الريسبي!$A$2:$A$1800,$A22,الريسبي!$B$2:$B$1800,J$1)</f>
        <v>0</v>
      </c>
      <c r="K22" s="115" t="n">
        <f aca="false">SUMIFS(الريسبي!$C$2:$C$1800,الريسبي!$A$2:$A$1800,$A22,الريسبي!$B$2:$B$1800,K$1)</f>
        <v>1</v>
      </c>
      <c r="L22" s="115" t="n">
        <f aca="false">SUMIFS(الريسبي!$C$2:$C$1800,الريسبي!$A$2:$A$1800,$A22,الريسبي!$B$2:$B$1800,L$1)</f>
        <v>0</v>
      </c>
      <c r="M22" s="115" t="n">
        <f aca="false">SUMIFS(الريسبي!$C$2:$C$1800,الريسبي!$A$2:$A$1800,$A22,الريسبي!$B$2:$B$1800,M$1)</f>
        <v>0</v>
      </c>
      <c r="N22" s="115" t="n">
        <f aca="false">SUMIFS(الريسبي!$C$2:$C$1800,الريسبي!$A$2:$A$1800,$A22,الريسبي!$B$2:$B$1800,N$1)</f>
        <v>0</v>
      </c>
      <c r="O22" s="115" t="n">
        <f aca="false">SUMIFS(الريسبي!$C$2:$C$1800,الريسبي!$A$2:$A$1800,$A22,الريسبي!$B$2:$B$1800,O$1)</f>
        <v>0</v>
      </c>
      <c r="P22" s="115" t="n">
        <f aca="false">SUMIFS(الريسبي!$C$2:$C$1800,الريسبي!$A$2:$A$1800,$A22,الريسبي!$B$2:$B$1800,P$1)</f>
        <v>0</v>
      </c>
      <c r="Q22" s="115" t="n">
        <f aca="false">SUMIFS(الريسبي!$C$2:$C$1800,الريسبي!$A$2:$A$1800,$A22,الريسبي!$B$2:$B$1800,Q$1)</f>
        <v>0</v>
      </c>
      <c r="R22" s="115" t="n">
        <f aca="false">SUMIFS(الريسبي!$C$2:$C$1800,الريسبي!$A$2:$A$1800,$A22,الريسبي!$B$2:$B$1800,R$1)</f>
        <v>0</v>
      </c>
      <c r="S22" s="115" t="n">
        <f aca="false">SUMIFS(الريسبي!$C$2:$C$1800,الريسبي!$A$2:$A$1800,$A22,الريسبي!$B$2:$B$1800,S$1)</f>
        <v>0</v>
      </c>
      <c r="T22" s="115" t="n">
        <f aca="false">SUMIFS(الريسبي!$C$2:$C$1800,الريسبي!$A$2:$A$1800,$A22,الريسبي!$B$2:$B$1800,T$1)</f>
        <v>0</v>
      </c>
      <c r="U22" s="115" t="n">
        <f aca="false">SUMIFS(الريسبي!$C$2:$C$1800,الريسبي!$A$2:$A$1800,$A22,الريسبي!$B$2:$B$1800,U$1)</f>
        <v>0</v>
      </c>
      <c r="V22" s="115" t="n">
        <f aca="false">SUMIFS(الريسبي!$C$2:$C$1800,الريسبي!$A$2:$A$1800,$A22,الريسبي!$B$2:$B$1800,V$1)</f>
        <v>1</v>
      </c>
      <c r="W22" s="115" t="n">
        <f aca="false">SUMIFS(الريسبي!$C$2:$C$1800,الريسبي!$A$2:$A$1800,$A22,الريسبي!$B$2:$B$1800,W$1)</f>
        <v>0</v>
      </c>
      <c r="X22" s="115" t="n">
        <f aca="false">SUMIFS(الريسبي!$C$2:$C$1800,الريسبي!$A$2:$A$1800,$A22,الريسبي!$B$2:$B$1800,X$1)</f>
        <v>0</v>
      </c>
      <c r="Y22" s="115" t="n">
        <f aca="false">SUMIFS(الريسبي!$C$2:$C$1800,الريسبي!$A$2:$A$1800,$A22,الريسبي!$B$2:$B$1800,Y$1)</f>
        <v>0</v>
      </c>
      <c r="Z22" s="115" t="n">
        <f aca="false">SUMIFS(الريسبي!$C$2:$C$1800,الريسبي!$A$2:$A$1800,$A22,الريسبي!$B$2:$B$1800,Z$1)</f>
        <v>0</v>
      </c>
      <c r="AA22" s="115" t="n">
        <f aca="false">SUMIFS(الريسبي!$C$2:$C$1800,الريسبي!$A$2:$A$1800,$A22,الريسبي!$B$2:$B$1800,AA$1)</f>
        <v>0</v>
      </c>
      <c r="AB22" s="115" t="n">
        <f aca="false">SUMIFS(الريسبي!$C$2:$C$1800,الريسبي!$A$2:$A$1800,$A22,الريسبي!$B$2:$B$1800,AB$1)</f>
        <v>0</v>
      </c>
      <c r="AC22" s="115" t="n">
        <f aca="false">SUMIFS(الريسبي!$C$2:$C$1800,الريسبي!$A$2:$A$1800,$A22,الريسبي!$B$2:$B$1800,AC$1)</f>
        <v>0</v>
      </c>
      <c r="AD22" s="115" t="n">
        <f aca="false">SUMIFS(الريسبي!$C$2:$C$1800,الريسبي!$A$2:$A$1800,$A22,الريسبي!$B$2:$B$1800,AD$1)</f>
        <v>0</v>
      </c>
      <c r="AE22" s="115" t="n">
        <f aca="false">SUMIFS(الريسبي!$C$2:$C$1800,الريسبي!$A$2:$A$1800,$A22,الريسبي!$B$2:$B$1800,AE$1)</f>
        <v>0</v>
      </c>
      <c r="AF22" s="115" t="n">
        <f aca="false">SUMIFS(الريسبي!$C$2:$C$1800,الريسبي!$A$2:$A$1800,$A22,الريسبي!$B$2:$B$1800,AF$1)</f>
        <v>0</v>
      </c>
      <c r="AG22" s="115" t="n">
        <f aca="false">SUMIFS(الريسبي!$C$2:$C$1800,الريسبي!$A$2:$A$1800,$A22,الريسبي!$B$2:$B$1800,AG$1)</f>
        <v>0</v>
      </c>
      <c r="AH22" s="115" t="n">
        <f aca="false">SUMIFS(الريسبي!$C$2:$C$1800,الريسبي!$A$2:$A$1800,$A22,الريسبي!$B$2:$B$1800,AH$1)</f>
        <v>0</v>
      </c>
      <c r="AI22" s="115" t="n">
        <f aca="false">SUMIFS(الريسبي!$C$2:$C$1800,الريسبي!$A$2:$A$1800,$A22,الريسبي!$B$2:$B$1800,AI$1)</f>
        <v>0</v>
      </c>
      <c r="AJ22" s="115" t="n">
        <f aca="false">SUMIFS(الريسبي!$C$2:$C$1800,الريسبي!$A$2:$A$1800,$A22,الريسبي!$B$2:$B$1800,AJ$1)</f>
        <v>2</v>
      </c>
      <c r="AK22" s="115" t="n">
        <f aca="false">SUMIFS(الريسبي!$C$2:$C$1800,الريسبي!$A$2:$A$1800,$A22,الريسبي!$B$2:$B$1800,AK$1)</f>
        <v>0</v>
      </c>
      <c r="AL22" s="115" t="n">
        <f aca="false">SUMIFS(الريسبي!$C$2:$C$1800,الريسبي!$A$2:$A$1800,$A22,الريسبي!$B$2:$B$1800,AL$1)</f>
        <v>0</v>
      </c>
      <c r="AM22" s="115"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15"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15" t="n">
        <f aca="false">SUMIFS(الريسبي!$C$2:$C$1800,الريسبي!$A$2:$A$1800,$A22,الريسبي!$B$2:$B$1800,AO$1)</f>
        <v>0</v>
      </c>
      <c r="AP22" s="115" t="n">
        <f aca="false">SUMIFS(الريسبي!$C$2:$C$1800,الريسبي!$A$2:$A$1800,$A22,الريسبي!$B$2:$B$1800,AP$1)</f>
        <v>0.02</v>
      </c>
      <c r="AQ22" s="115"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15" t="n">
        <f aca="false">SUMIFS(الريسبي!$C$2:$C$1800,الريسبي!$A$2:$A$1800,$A22,الريسبي!$B$2:$B$1800,AR$1)</f>
        <v>0</v>
      </c>
      <c r="AS22" s="115" t="n">
        <f aca="false">SUMIFS(الريسبي!$C$2:$C$1800,الريسبي!$A$2:$A$1800,$A22,الريسبي!$B$2:$B$1800,AS$1)</f>
        <v>0</v>
      </c>
      <c r="AT22" s="115" t="n">
        <f aca="false">SUMIFS(الريسبي!$C$2:$C$1800,الريسبي!$A$2:$A$1800,$A22,الريسبي!$B$2:$B$1800,AT$1)</f>
        <v>0</v>
      </c>
      <c r="AU22" s="115" t="n">
        <f aca="false">SUMIFS(الريسبي!$C$2:$C$1800,الريسبي!$A$2:$A$1800,$A22,الريسبي!$B$2:$B$1800,AU$1)</f>
        <v>0</v>
      </c>
      <c r="AV22" s="115" t="n">
        <f aca="false">SUMIFS(الريسبي!$C$2:$C$1800,الريسبي!$A$2:$A$1800,$A22,الريسبي!$B$2:$B$1800,AV$1)</f>
        <v>0</v>
      </c>
      <c r="AW22" s="115" t="n">
        <f aca="false">SUMIFS(الريسبي!$C$2:$C$1800,الريسبي!$A$2:$A$1800,$A22,الريسبي!$B$2:$B$1800,AW$1)</f>
        <v>0</v>
      </c>
      <c r="AX22" s="115" t="n">
        <f aca="false">SUMIFS(الريسبي!$C$2:$C$1800,الريسبي!$A$2:$A$1800,$A22,الريسبي!$B$2:$B$1800,AX$1)</f>
        <v>0.04</v>
      </c>
      <c r="AY22" s="115" t="n">
        <f aca="false">SUMIFS(الريسبي!$C$2:$C$1800,الريسبي!$A$2:$A$1800,$A22,الريسبي!$B$2:$B$1800,AY$1)</f>
        <v>0</v>
      </c>
      <c r="AZ22" s="115" t="n">
        <f aca="false">SUMIFS(الريسبي!$C$2:$C$1800,الريسبي!$A$2:$A$1800,$A22,الريسبي!$B$2:$B$1800,AZ$1)</f>
        <v>0</v>
      </c>
      <c r="BA22" s="115" t="n">
        <f aca="false">SUMIFS(الريسبي!$C$2:$C$1800,الريسبي!$A$2:$A$1800,$A22,الريسبي!$B$2:$B$1800,BA$1)</f>
        <v>0</v>
      </c>
      <c r="BB22" s="115" t="n">
        <f aca="false">SUMIFS(الريسبي!$C$2:$C$1800,الريسبي!$A$2:$A$1800,$A22,الريسبي!$B$2:$B$1800,BB$1)</f>
        <v>0</v>
      </c>
      <c r="BC22" s="115" t="n">
        <f aca="false">SUMIFS(الريسبي!$C$2:$C$1800,الريسبي!$A$2:$A$1800,$A22,الريسبي!$B$2:$B$1800,BC$1)</f>
        <v>0.03</v>
      </c>
      <c r="BD22" s="115" t="n">
        <f aca="false">SUMIFS(الريسبي!$C$2:$C$1800,الريسبي!$A$2:$A$1800,$A22,الريسبي!$B$2:$B$1800,BD$1)</f>
        <v>0.22</v>
      </c>
      <c r="BE22" s="115" t="n">
        <f aca="false">SUMIFS(الريسبي!$C$2:$C$1800,الريسبي!$A$2:$A$1800,$A22,الريسبي!$B$2:$B$1800,BE$1)</f>
        <v>0</v>
      </c>
      <c r="BF22" s="115" t="n">
        <f aca="false">SUMIFS(الريسبي!$C$2:$C$1800,الريسبي!$A$2:$A$1800,$A22,الريسبي!$B$2:$B$1800,BF$1)</f>
        <v>0</v>
      </c>
      <c r="BG22" s="115" t="n">
        <f aca="false">SUMIFS(الريسبي!$C$2:$C$1800,الريسبي!$A$2:$A$1800,$A22,الريسبي!$B$2:$B$1800,BG$1)</f>
        <v>0</v>
      </c>
      <c r="BH22" s="115" t="n">
        <f aca="false">SUMIFS(الريسبي!$C$2:$C$1800,الريسبي!$A$2:$A$1800,$A22,الريسبي!$B$2:$B$1800,BH$1)</f>
        <v>1</v>
      </c>
      <c r="BI22" s="115" t="n">
        <f aca="false">SUMIFS(الريسبي!$C$2:$C$1800,الريسبي!$A$2:$A$1800,$A22,الريسبي!$B$2:$B$1800,BI$1)</f>
        <v>0</v>
      </c>
      <c r="BJ22" s="115" t="n">
        <f aca="false">SUMIFS(الريسبي!$C$2:$C$1800,الريسبي!$A$2:$A$1800,$A22,الريسبي!$B$2:$B$1800,BJ$1)</f>
        <v>0</v>
      </c>
      <c r="BK22" s="115" t="n">
        <f aca="false">SUMIFS(الريسبي!$C$2:$C$1800,الريسبي!$A$2:$A$1800,$A22,الريسبي!$B$2:$B$1800,BK$1)</f>
        <v>0</v>
      </c>
      <c r="BL22" s="115" t="n">
        <f aca="false">SUMIFS(الريسبي!$C$2:$C$1800,الريسبي!$A$2:$A$1800,$A22,الريسبي!$B$2:$B$1800,BL$1)</f>
        <v>0</v>
      </c>
      <c r="BM22" s="115" t="n">
        <f aca="false">SUMIFS(الريسبي!$C$2:$C$1800,الريسبي!$A$2:$A$1800,$A22,الريسبي!$B$2:$B$1800,BM$1)</f>
        <v>0</v>
      </c>
      <c r="BN22" s="115" t="n">
        <f aca="false">SUMIFS(الريسبي!$C$2:$C$1800,الريسبي!$A$2:$A$1800,$A22,الريسبي!$B$2:$B$1800,BN$1)</f>
        <v>0.02</v>
      </c>
      <c r="BO22" s="115" t="n">
        <f aca="false">SUMIFS(الريسبي!$C$2:$C$1800,الريسبي!$A$2:$A$1800,$A22,الريسبي!$B$2:$B$1800,BO$1)</f>
        <v>0</v>
      </c>
      <c r="BP22" s="115" t="n">
        <f aca="false">SUMIFS(الريسبي!$C$2:$C$1800,الريسبي!$A$2:$A$1800,$A22,الريسبي!$B$2:$B$1800,BP$1)</f>
        <v>2</v>
      </c>
      <c r="BQ22" s="115"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15" t="n">
        <f aca="false">SUMIFS(الريسبي!$C$2:$C$1800,الريسبي!$A$2:$A$1800,$A22,الريسبي!$B$2:$B$1800,BR$1)</f>
        <v>1</v>
      </c>
      <c r="BS22" s="115" t="n">
        <f aca="false">SUMIFS(الريسبي!$C$2:$C$1800,الريسبي!$A$2:$A$1800,$A22,الريسبي!$B$2:$B$1800,BS$1)</f>
        <v>0</v>
      </c>
      <c r="BT22" s="115" t="n">
        <f aca="false">SUMIFS(الريسبي!$C$2:$C$1800,الريسبي!$A$2:$A$1800,$A22,الريسبي!$B$2:$B$1800,BT$1)</f>
        <v>0</v>
      </c>
      <c r="BU22" s="115"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15" t="n">
        <f aca="false">SUMIFS(الريسبي!$C$2:$C$1800,الريسبي!$A$2:$A$1800,$A22,الريسبي!$B$2:$B$1800,BV$1)</f>
        <v>0</v>
      </c>
      <c r="BW22" s="115" t="n">
        <f aca="false">SUMIFS(الريسبي!$C$2:$C$1800,الريسبي!$A$2:$A$1800,$A22,الريسبي!$B$2:$B$1800,BW$1)</f>
        <v>0</v>
      </c>
      <c r="BX22" s="115" t="n">
        <f aca="false">SUMIFS(الريسبي!$C$2:$C$1800,الريسبي!$A$2:$A$1800,$A22,الريسبي!$B$2:$B$1800,BX$1)</f>
        <v>0</v>
      </c>
      <c r="BY22" s="115" t="n">
        <f aca="false">SUMIFS(الريسبي!$C$2:$C$1800,الريسبي!$A$2:$A$1800,$A22,الريسبي!$B$2:$B$1800,BY$1)</f>
        <v>0</v>
      </c>
      <c r="BZ22" s="115" t="n">
        <f aca="false">SUMIFS(الريسبي!$C$2:$C$1800,الريسبي!$A$2:$A$1800,$A22,الريسبي!$B$2:$B$1800,BZ$1)</f>
        <v>1</v>
      </c>
      <c r="CA22" s="115" t="n">
        <f aca="false">SUMIFS(الريسبي!$C$2:$C$1800,الريسبي!$A$2:$A$1800,$A22,الريسبي!$B$2:$B$1800,CA$1)</f>
        <v>1</v>
      </c>
      <c r="CB22" s="115" t="n">
        <f aca="false">SUMIFS(الريسبي!$C$2:$C$1800,الريسبي!$A$2:$A$1800,$A22,الريسبي!$B$2:$B$1800,CB$1)</f>
        <v>0</v>
      </c>
      <c r="CC22" s="115" t="n">
        <f aca="false">SUMIFS(الريسبي!$C$2:$C$1800,الريسبي!$A$2:$A$1800,$A22,الريسبي!$B$2:$B$1800,CC$1)</f>
        <v>0</v>
      </c>
      <c r="CD22" s="115" t="n">
        <f aca="false">SUMIFS(الريسبي!$C$2:$C$1800,الريسبي!$A$2:$A$1800,$A22,الريسبي!$B$2:$B$1800,CD$1)</f>
        <v>0</v>
      </c>
      <c r="CE22" s="115" t="n">
        <f aca="false">SUMIFS(الريسبي!$C$2:$C$1800,الريسبي!$A$2:$A$1800,$A22,الريسبي!$B$2:$B$1800,CE$1)</f>
        <v>0</v>
      </c>
      <c r="CF22" s="115" t="n">
        <f aca="false">SUMIFS(الريسبي!$C$2:$C$1800,الريسبي!$A$2:$A$1800,$A22,الريسبي!$B$2:$B$1800,CF$1)</f>
        <v>0</v>
      </c>
      <c r="CG22" s="115" t="n">
        <f aca="false">SUMIFS(الريسبي!$C$2:$C$1800,الريسبي!$A$2:$A$1800,$A22,الريسبي!$B$2:$B$1800,CG$1)</f>
        <v>0</v>
      </c>
      <c r="CH22" s="115" t="n">
        <f aca="false">SUMIFS(الريسبي!$C$2:$C$1800,الريسبي!$A$2:$A$1800,$A22,الريسبي!$B$2:$B$1800,CH$1)</f>
        <v>0</v>
      </c>
    </row>
    <row r="23" customFormat="false" ht="15" hidden="false" customHeight="false" outlineLevel="0" collapsed="false">
      <c r="A23" s="114" t="str">
        <f aca="false">المنيو!B23</f>
        <v>بيتزا جمبري حجم اكبر</v>
      </c>
      <c r="B23" s="115" t="n">
        <f aca="false">SUMIFS(الريسبي!$C$2:$C$1800,الريسبي!$A$2:$A$1800,$A23,الريسبي!$B$2:$B$1800,B$1)</f>
        <v>0</v>
      </c>
      <c r="C23" s="115" t="n">
        <f aca="false">SUMIFS(الريسبي!$C$2:$C$1800,الريسبي!$A$2:$A$1800,$A23,الريسبي!$B$2:$B$1800,C$1)</f>
        <v>0</v>
      </c>
      <c r="D23" s="115" t="n">
        <f aca="false">SUMIFS(الريسبي!$C$2:$C$1800,الريسبي!$A$2:$A$1800,$A23,الريسبي!$B$2:$B$1800,D$1)</f>
        <v>1</v>
      </c>
      <c r="E23" s="115" t="n">
        <f aca="false">SUMIFS(الريسبي!$C$2:$C$1800,الريسبي!$A$2:$A$1800,$A23,الريسبي!$B$2:$B$1800,E$1)</f>
        <v>0</v>
      </c>
      <c r="F23" s="115" t="n">
        <f aca="false">SUMIFS(الريسبي!$C$2:$C$1800,الريسبي!$A$2:$A$1800,$A23,الريسبي!$B$2:$B$1800,F$1)</f>
        <v>0</v>
      </c>
      <c r="G23" s="115" t="n">
        <f aca="false">SUMIFS(الريسبي!$C$2:$C$1800,الريسبي!$A$2:$A$1800,$A23,الريسبي!$B$2:$B$1800,G$1)</f>
        <v>0</v>
      </c>
      <c r="H23" s="115" t="n">
        <f aca="false">SUMIFS(الريسبي!$C$2:$C$1800,الريسبي!$A$2:$A$1800,$A23,الريسبي!$B$2:$B$1800,H$1)</f>
        <v>0</v>
      </c>
      <c r="I23" s="115" t="n">
        <f aca="false">SUMIFS(الريسبي!$C$2:$C$1800,الريسبي!$A$2:$A$1800,$A23,الريسبي!$B$2:$B$1800,I$1)</f>
        <v>0</v>
      </c>
      <c r="J23" s="115" t="n">
        <f aca="false">SUMIFS(الريسبي!$C$2:$C$1800,الريسبي!$A$2:$A$1800,$A23,الريسبي!$B$2:$B$1800,J$1)</f>
        <v>0</v>
      </c>
      <c r="K23" s="115" t="n">
        <f aca="false">SUMIFS(الريسبي!$C$2:$C$1800,الريسبي!$A$2:$A$1800,$A23,الريسبي!$B$2:$B$1800,K$1)</f>
        <v>1.5</v>
      </c>
      <c r="L23" s="115" t="n">
        <f aca="false">SUMIFS(الريسبي!$C$2:$C$1800,الريسبي!$A$2:$A$1800,$A23,الريسبي!$B$2:$B$1800,L$1)</f>
        <v>0</v>
      </c>
      <c r="M23" s="115" t="n">
        <f aca="false">SUMIFS(الريسبي!$C$2:$C$1800,الريسبي!$A$2:$A$1800,$A23,الريسبي!$B$2:$B$1800,M$1)</f>
        <v>0</v>
      </c>
      <c r="N23" s="115" t="n">
        <f aca="false">SUMIFS(الريسبي!$C$2:$C$1800,الريسبي!$A$2:$A$1800,$A23,الريسبي!$B$2:$B$1800,N$1)</f>
        <v>0</v>
      </c>
      <c r="O23" s="115" t="n">
        <f aca="false">SUMIFS(الريسبي!$C$2:$C$1800,الريسبي!$A$2:$A$1800,$A23,الريسبي!$B$2:$B$1800,O$1)</f>
        <v>0</v>
      </c>
      <c r="P23" s="115" t="n">
        <f aca="false">SUMIFS(الريسبي!$C$2:$C$1800,الريسبي!$A$2:$A$1800,$A23,الريسبي!$B$2:$B$1800,P$1)</f>
        <v>0</v>
      </c>
      <c r="Q23" s="115" t="n">
        <f aca="false">SUMIFS(الريسبي!$C$2:$C$1800,الريسبي!$A$2:$A$1800,$A23,الريسبي!$B$2:$B$1800,Q$1)</f>
        <v>0</v>
      </c>
      <c r="R23" s="115" t="n">
        <f aca="false">SUMIFS(الريسبي!$C$2:$C$1800,الريسبي!$A$2:$A$1800,$A23,الريسبي!$B$2:$B$1800,R$1)</f>
        <v>0</v>
      </c>
      <c r="S23" s="115" t="n">
        <f aca="false">SUMIFS(الريسبي!$C$2:$C$1800,الريسبي!$A$2:$A$1800,$A23,الريسبي!$B$2:$B$1800,S$1)</f>
        <v>0</v>
      </c>
      <c r="T23" s="115" t="n">
        <f aca="false">SUMIFS(الريسبي!$C$2:$C$1800,الريسبي!$A$2:$A$1800,$A23,الريسبي!$B$2:$B$1800,T$1)</f>
        <v>0</v>
      </c>
      <c r="U23" s="115" t="n">
        <f aca="false">SUMIFS(الريسبي!$C$2:$C$1800,الريسبي!$A$2:$A$1800,$A23,الريسبي!$B$2:$B$1800,U$1)</f>
        <v>0</v>
      </c>
      <c r="V23" s="115" t="n">
        <f aca="false">SUMIFS(الريسبي!$C$2:$C$1800,الريسبي!$A$2:$A$1800,$A23,الريسبي!$B$2:$B$1800,V$1)</f>
        <v>0</v>
      </c>
      <c r="W23" s="115" t="n">
        <f aca="false">SUMIFS(الريسبي!$C$2:$C$1800,الريسبي!$A$2:$A$1800,$A23,الريسبي!$B$2:$B$1800,W$1)</f>
        <v>1</v>
      </c>
      <c r="X23" s="115" t="n">
        <f aca="false">SUMIFS(الريسبي!$C$2:$C$1800,الريسبي!$A$2:$A$1800,$A23,الريسبي!$B$2:$B$1800,X$1)</f>
        <v>0</v>
      </c>
      <c r="Y23" s="115" t="n">
        <f aca="false">SUMIFS(الريسبي!$C$2:$C$1800,الريسبي!$A$2:$A$1800,$A23,الريسبي!$B$2:$B$1800,Y$1)</f>
        <v>0</v>
      </c>
      <c r="Z23" s="115" t="n">
        <f aca="false">SUMIFS(الريسبي!$C$2:$C$1800,الريسبي!$A$2:$A$1800,$A23,الريسبي!$B$2:$B$1800,Z$1)</f>
        <v>0</v>
      </c>
      <c r="AA23" s="115" t="n">
        <f aca="false">SUMIFS(الريسبي!$C$2:$C$1800,الريسبي!$A$2:$A$1800,$A23,الريسبي!$B$2:$B$1800,AA$1)</f>
        <v>0</v>
      </c>
      <c r="AB23" s="115" t="n">
        <f aca="false">SUMIFS(الريسبي!$C$2:$C$1800,الريسبي!$A$2:$A$1800,$A23,الريسبي!$B$2:$B$1800,AB$1)</f>
        <v>0</v>
      </c>
      <c r="AC23" s="115" t="n">
        <f aca="false">SUMIFS(الريسبي!$C$2:$C$1800,الريسبي!$A$2:$A$1800,$A23,الريسبي!$B$2:$B$1800,AC$1)</f>
        <v>0</v>
      </c>
      <c r="AD23" s="115" t="n">
        <f aca="false">SUMIFS(الريسبي!$C$2:$C$1800,الريسبي!$A$2:$A$1800,$A23,الريسبي!$B$2:$B$1800,AD$1)</f>
        <v>0</v>
      </c>
      <c r="AE23" s="115" t="n">
        <f aca="false">SUMIFS(الريسبي!$C$2:$C$1800,الريسبي!$A$2:$A$1800,$A23,الريسبي!$B$2:$B$1800,AE$1)</f>
        <v>0</v>
      </c>
      <c r="AF23" s="115" t="n">
        <f aca="false">SUMIFS(الريسبي!$C$2:$C$1800,الريسبي!$A$2:$A$1800,$A23,الريسبي!$B$2:$B$1800,AF$1)</f>
        <v>0</v>
      </c>
      <c r="AG23" s="115" t="n">
        <f aca="false">SUMIFS(الريسبي!$C$2:$C$1800,الريسبي!$A$2:$A$1800,$A23,الريسبي!$B$2:$B$1800,AG$1)</f>
        <v>0</v>
      </c>
      <c r="AH23" s="115" t="n">
        <f aca="false">SUMIFS(الريسبي!$C$2:$C$1800,الريسبي!$A$2:$A$1800,$A23,الريسبي!$B$2:$B$1800,AH$1)</f>
        <v>0</v>
      </c>
      <c r="AI23" s="115" t="n">
        <f aca="false">SUMIFS(الريسبي!$C$2:$C$1800,الريسبي!$A$2:$A$1800,$A23,الريسبي!$B$2:$B$1800,AI$1)</f>
        <v>0</v>
      </c>
      <c r="AJ23" s="115" t="n">
        <f aca="false">SUMIFS(الريسبي!$C$2:$C$1800,الريسبي!$A$2:$A$1800,$A23,الريسبي!$B$2:$B$1800,AJ$1)</f>
        <v>2</v>
      </c>
      <c r="AK23" s="115" t="n">
        <f aca="false">SUMIFS(الريسبي!$C$2:$C$1800,الريسبي!$A$2:$A$1800,$A23,الريسبي!$B$2:$B$1800,AK$1)</f>
        <v>0</v>
      </c>
      <c r="AL23" s="115" t="n">
        <f aca="false">SUMIFS(الريسبي!$C$2:$C$1800,الريسبي!$A$2:$A$1800,$A23,الريسبي!$B$2:$B$1800,AL$1)</f>
        <v>0</v>
      </c>
      <c r="AM23" s="115"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15"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15" t="n">
        <f aca="false">SUMIFS(الريسبي!$C$2:$C$1800,الريسبي!$A$2:$A$1800,$A23,الريسبي!$B$2:$B$1800,AO$1)</f>
        <v>0</v>
      </c>
      <c r="AP23" s="115" t="n">
        <f aca="false">SUMIFS(الريسبي!$C$2:$C$1800,الريسبي!$A$2:$A$1800,$A23,الريسبي!$B$2:$B$1800,AP$1)</f>
        <v>0.03</v>
      </c>
      <c r="AQ23" s="115"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15" t="n">
        <f aca="false">SUMIFS(الريسبي!$C$2:$C$1800,الريسبي!$A$2:$A$1800,$A23,الريسبي!$B$2:$B$1800,AR$1)</f>
        <v>0</v>
      </c>
      <c r="AS23" s="115" t="n">
        <f aca="false">SUMIFS(الريسبي!$C$2:$C$1800,الريسبي!$A$2:$A$1800,$A23,الريسبي!$B$2:$B$1800,AS$1)</f>
        <v>0</v>
      </c>
      <c r="AT23" s="115" t="n">
        <f aca="false">SUMIFS(الريسبي!$C$2:$C$1800,الريسبي!$A$2:$A$1800,$A23,الريسبي!$B$2:$B$1800,AT$1)</f>
        <v>0</v>
      </c>
      <c r="AU23" s="115" t="n">
        <f aca="false">SUMIFS(الريسبي!$C$2:$C$1800,الريسبي!$A$2:$A$1800,$A23,الريسبي!$B$2:$B$1800,AU$1)</f>
        <v>0</v>
      </c>
      <c r="AV23" s="115" t="n">
        <f aca="false">SUMIFS(الريسبي!$C$2:$C$1800,الريسبي!$A$2:$A$1800,$A23,الريسبي!$B$2:$B$1800,AV$1)</f>
        <v>0</v>
      </c>
      <c r="AW23" s="115" t="n">
        <f aca="false">SUMIFS(الريسبي!$C$2:$C$1800,الريسبي!$A$2:$A$1800,$A23,الريسبي!$B$2:$B$1800,AW$1)</f>
        <v>0</v>
      </c>
      <c r="AX23" s="115" t="n">
        <f aca="false">SUMIFS(الريسبي!$C$2:$C$1800,الريسبي!$A$2:$A$1800,$A23,الريسبي!$B$2:$B$1800,AX$1)</f>
        <v>0.06</v>
      </c>
      <c r="AY23" s="115" t="n">
        <f aca="false">SUMIFS(الريسبي!$C$2:$C$1800,الريسبي!$A$2:$A$1800,$A23,الريسبي!$B$2:$B$1800,AY$1)</f>
        <v>0</v>
      </c>
      <c r="AZ23" s="115" t="n">
        <f aca="false">SUMIFS(الريسبي!$C$2:$C$1800,الريسبي!$A$2:$A$1800,$A23,الريسبي!$B$2:$B$1800,AZ$1)</f>
        <v>0</v>
      </c>
      <c r="BA23" s="115" t="n">
        <f aca="false">SUMIFS(الريسبي!$C$2:$C$1800,الريسبي!$A$2:$A$1800,$A23,الريسبي!$B$2:$B$1800,BA$1)</f>
        <v>0</v>
      </c>
      <c r="BB23" s="115" t="n">
        <f aca="false">SUMIFS(الريسبي!$C$2:$C$1800,الريسبي!$A$2:$A$1800,$A23,الريسبي!$B$2:$B$1800,BB$1)</f>
        <v>0</v>
      </c>
      <c r="BC23" s="115" t="n">
        <f aca="false">SUMIFS(الريسبي!$C$2:$C$1800,الريسبي!$A$2:$A$1800,$A23,الريسبي!$B$2:$B$1800,BC$1)</f>
        <v>0.045</v>
      </c>
      <c r="BD23" s="115" t="n">
        <f aca="false">SUMIFS(الريسبي!$C$2:$C$1800,الريسبي!$A$2:$A$1800,$A23,الريسبي!$B$2:$B$1800,BD$1)</f>
        <v>0.3</v>
      </c>
      <c r="BE23" s="115" t="n">
        <f aca="false">SUMIFS(الريسبي!$C$2:$C$1800,الريسبي!$A$2:$A$1800,$A23,الريسبي!$B$2:$B$1800,BE$1)</f>
        <v>0</v>
      </c>
      <c r="BF23" s="115" t="n">
        <f aca="false">SUMIFS(الريسبي!$C$2:$C$1800,الريسبي!$A$2:$A$1800,$A23,الريسبي!$B$2:$B$1800,BF$1)</f>
        <v>0</v>
      </c>
      <c r="BG23" s="115" t="n">
        <f aca="false">SUMIFS(الريسبي!$C$2:$C$1800,الريسبي!$A$2:$A$1800,$A23,الريسبي!$B$2:$B$1800,BG$1)</f>
        <v>1</v>
      </c>
      <c r="BH23" s="115" t="n">
        <f aca="false">SUMIFS(الريسبي!$C$2:$C$1800,الريسبي!$A$2:$A$1800,$A23,الريسبي!$B$2:$B$1800,BH$1)</f>
        <v>0</v>
      </c>
      <c r="BI23" s="115" t="n">
        <f aca="false">SUMIFS(الريسبي!$C$2:$C$1800,الريسبي!$A$2:$A$1800,$A23,الريسبي!$B$2:$B$1800,BI$1)</f>
        <v>0</v>
      </c>
      <c r="BJ23" s="115" t="n">
        <f aca="false">SUMIFS(الريسبي!$C$2:$C$1800,الريسبي!$A$2:$A$1800,$A23,الريسبي!$B$2:$B$1800,BJ$1)</f>
        <v>0</v>
      </c>
      <c r="BK23" s="115" t="n">
        <f aca="false">SUMIFS(الريسبي!$C$2:$C$1800,الريسبي!$A$2:$A$1800,$A23,الريسبي!$B$2:$B$1800,BK$1)</f>
        <v>0</v>
      </c>
      <c r="BL23" s="115" t="n">
        <f aca="false">SUMIFS(الريسبي!$C$2:$C$1800,الريسبي!$A$2:$A$1800,$A23,الريسبي!$B$2:$B$1800,BL$1)</f>
        <v>0</v>
      </c>
      <c r="BM23" s="115" t="n">
        <f aca="false">SUMIFS(الريسبي!$C$2:$C$1800,الريسبي!$A$2:$A$1800,$A23,الريسبي!$B$2:$B$1800,BM$1)</f>
        <v>0</v>
      </c>
      <c r="BN23" s="115" t="n">
        <f aca="false">SUMIFS(الريسبي!$C$2:$C$1800,الريسبي!$A$2:$A$1800,$A23,الريسبي!$B$2:$B$1800,BN$1)</f>
        <v>0.03</v>
      </c>
      <c r="BO23" s="115" t="n">
        <f aca="false">SUMIFS(الريسبي!$C$2:$C$1800,الريسبي!$A$2:$A$1800,$A23,الريسبي!$B$2:$B$1800,BO$1)</f>
        <v>0</v>
      </c>
      <c r="BP23" s="115" t="n">
        <f aca="false">SUMIFS(الريسبي!$C$2:$C$1800,الريسبي!$A$2:$A$1800,$A23,الريسبي!$B$2:$B$1800,BP$1)</f>
        <v>3</v>
      </c>
      <c r="BQ23" s="115"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15" t="n">
        <f aca="false">SUMIFS(الريسبي!$C$2:$C$1800,الريسبي!$A$2:$A$1800,$A23,الريسبي!$B$2:$B$1800,BR$1)</f>
        <v>1</v>
      </c>
      <c r="BS23" s="115" t="n">
        <f aca="false">SUMIFS(الريسبي!$C$2:$C$1800,الريسبي!$A$2:$A$1800,$A23,الريسبي!$B$2:$B$1800,BS$1)</f>
        <v>0</v>
      </c>
      <c r="BT23" s="115" t="n">
        <f aca="false">SUMIFS(الريسبي!$C$2:$C$1800,الريسبي!$A$2:$A$1800,$A23,الريسبي!$B$2:$B$1800,BT$1)</f>
        <v>0</v>
      </c>
      <c r="BU23" s="115"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15" t="n">
        <f aca="false">SUMIFS(الريسبي!$C$2:$C$1800,الريسبي!$A$2:$A$1800,$A23,الريسبي!$B$2:$B$1800,BV$1)</f>
        <v>0</v>
      </c>
      <c r="BW23" s="115" t="n">
        <f aca="false">SUMIFS(الريسبي!$C$2:$C$1800,الريسبي!$A$2:$A$1800,$A23,الريسبي!$B$2:$B$1800,BW$1)</f>
        <v>0</v>
      </c>
      <c r="BX23" s="115" t="n">
        <f aca="false">SUMIFS(الريسبي!$C$2:$C$1800,الريسبي!$A$2:$A$1800,$A23,الريسبي!$B$2:$B$1800,BX$1)</f>
        <v>0</v>
      </c>
      <c r="BY23" s="115" t="n">
        <f aca="false">SUMIFS(الريسبي!$C$2:$C$1800,الريسبي!$A$2:$A$1800,$A23,الريسبي!$B$2:$B$1800,BY$1)</f>
        <v>0</v>
      </c>
      <c r="BZ23" s="115" t="n">
        <f aca="false">SUMIFS(الريسبي!$C$2:$C$1800,الريسبي!$A$2:$A$1800,$A23,الريسبي!$B$2:$B$1800,BZ$1)</f>
        <v>1</v>
      </c>
      <c r="CA23" s="115" t="n">
        <f aca="false">SUMIFS(الريسبي!$C$2:$C$1800,الريسبي!$A$2:$A$1800,$A23,الريسبي!$B$2:$B$1800,CA$1)</f>
        <v>1</v>
      </c>
      <c r="CB23" s="115" t="n">
        <f aca="false">SUMIFS(الريسبي!$C$2:$C$1800,الريسبي!$A$2:$A$1800,$A23,الريسبي!$B$2:$B$1800,CB$1)</f>
        <v>0</v>
      </c>
      <c r="CC23" s="115" t="n">
        <f aca="false">SUMIFS(الريسبي!$C$2:$C$1800,الريسبي!$A$2:$A$1800,$A23,الريسبي!$B$2:$B$1800,CC$1)</f>
        <v>0</v>
      </c>
      <c r="CD23" s="115" t="n">
        <f aca="false">SUMIFS(الريسبي!$C$2:$C$1800,الريسبي!$A$2:$A$1800,$A23,الريسبي!$B$2:$B$1800,CD$1)</f>
        <v>0</v>
      </c>
      <c r="CE23" s="115" t="n">
        <f aca="false">SUMIFS(الريسبي!$C$2:$C$1800,الريسبي!$A$2:$A$1800,$A23,الريسبي!$B$2:$B$1800,CE$1)</f>
        <v>0</v>
      </c>
      <c r="CF23" s="115" t="n">
        <f aca="false">SUMIFS(الريسبي!$C$2:$C$1800,الريسبي!$A$2:$A$1800,$A23,الريسبي!$B$2:$B$1800,CF$1)</f>
        <v>0</v>
      </c>
      <c r="CG23" s="115" t="n">
        <f aca="false">SUMIFS(الريسبي!$C$2:$C$1800,الريسبي!$A$2:$A$1800,$A23,الريسبي!$B$2:$B$1800,CG$1)</f>
        <v>0</v>
      </c>
      <c r="CH23" s="115" t="n">
        <f aca="false">SUMIFS(الريسبي!$C$2:$C$1800,الريسبي!$A$2:$A$1800,$A23,الريسبي!$B$2:$B$1800,CH$1)</f>
        <v>0</v>
      </c>
    </row>
    <row r="24" customFormat="false" ht="15" hidden="false" customHeight="false" outlineLevel="0" collapsed="false">
      <c r="A24" s="114" t="str">
        <f aca="false">المنيو!B24</f>
        <v>فطيرة سدق وسط</v>
      </c>
      <c r="B24" s="115" t="n">
        <f aca="false">SUMIFS(الريسبي!$C$2:$C$1800,الريسبي!$A$2:$A$1800,$A24,الريسبي!$B$2:$B$1800,B$1)</f>
        <v>0</v>
      </c>
      <c r="C24" s="115" t="n">
        <f aca="false">SUMIFS(الريسبي!$C$2:$C$1800,الريسبي!$A$2:$A$1800,$A24,الريسبي!$B$2:$B$1800,C$1)</f>
        <v>0</v>
      </c>
      <c r="D24" s="115" t="n">
        <f aca="false">SUMIFS(الريسبي!$C$2:$C$1800,الريسبي!$A$2:$A$1800,$A24,الريسبي!$B$2:$B$1800,D$1)</f>
        <v>1</v>
      </c>
      <c r="E24" s="115" t="n">
        <f aca="false">SUMIFS(الريسبي!$C$2:$C$1800,الريسبي!$A$2:$A$1800,$A24,الريسبي!$B$2:$B$1800,E$1)</f>
        <v>0</v>
      </c>
      <c r="F24" s="115" t="n">
        <f aca="false">SUMIFS(الريسبي!$C$2:$C$1800,الريسبي!$A$2:$A$1800,$A24,الريسبي!$B$2:$B$1800,F$1)</f>
        <v>0</v>
      </c>
      <c r="G24" s="115" t="n">
        <f aca="false">SUMIFS(الريسبي!$C$2:$C$1800,الريسبي!$A$2:$A$1800,$A24,الريسبي!$B$2:$B$1800,G$1)</f>
        <v>0</v>
      </c>
      <c r="H24" s="115" t="n">
        <f aca="false">SUMIFS(الريسبي!$C$2:$C$1800,الريسبي!$A$2:$A$1800,$A24,الريسبي!$B$2:$B$1800,H$1)</f>
        <v>0</v>
      </c>
      <c r="I24" s="115" t="n">
        <f aca="false">SUMIFS(الريسبي!$C$2:$C$1800,الريسبي!$A$2:$A$1800,$A24,الريسبي!$B$2:$B$1800,I$1)</f>
        <v>0</v>
      </c>
      <c r="J24" s="115" t="n">
        <f aca="false">SUMIFS(الريسبي!$C$2:$C$1800,الريسبي!$A$2:$A$1800,$A24,الريسبي!$B$2:$B$1800,J$1)</f>
        <v>1</v>
      </c>
      <c r="K24" s="115" t="n">
        <f aca="false">SUMIFS(الريسبي!$C$2:$C$1800,الريسبي!$A$2:$A$1800,$A24,الريسبي!$B$2:$B$1800,K$1)</f>
        <v>0</v>
      </c>
      <c r="L24" s="115" t="n">
        <f aca="false">SUMIFS(الريسبي!$C$2:$C$1800,الريسبي!$A$2:$A$1800,$A24,الريسبي!$B$2:$B$1800,L$1)</f>
        <v>1</v>
      </c>
      <c r="M24" s="115" t="n">
        <f aca="false">SUMIFS(الريسبي!$C$2:$C$1800,الريسبي!$A$2:$A$1800,$A24,الريسبي!$B$2:$B$1800,M$1)</f>
        <v>0</v>
      </c>
      <c r="N24" s="115" t="n">
        <f aca="false">SUMIFS(الريسبي!$C$2:$C$1800,الريسبي!$A$2:$A$1800,$A24,الريسبي!$B$2:$B$1800,N$1)</f>
        <v>0</v>
      </c>
      <c r="O24" s="115" t="n">
        <f aca="false">SUMIFS(الريسبي!$C$2:$C$1800,الريسبي!$A$2:$A$1800,$A24,الريسبي!$B$2:$B$1800,O$1)</f>
        <v>0</v>
      </c>
      <c r="P24" s="115" t="n">
        <f aca="false">SUMIFS(الريسبي!$C$2:$C$1800,الريسبي!$A$2:$A$1800,$A24,الريسبي!$B$2:$B$1800,P$1)</f>
        <v>0</v>
      </c>
      <c r="Q24" s="115" t="n">
        <f aca="false">SUMIFS(الريسبي!$C$2:$C$1800,الريسبي!$A$2:$A$1800,$A24,الريسبي!$B$2:$B$1800,Q$1)</f>
        <v>0</v>
      </c>
      <c r="R24" s="115" t="n">
        <f aca="false">SUMIFS(الريسبي!$C$2:$C$1800,الريسبي!$A$2:$A$1800,$A24,الريسبي!$B$2:$B$1800,R$1)</f>
        <v>0</v>
      </c>
      <c r="S24" s="115" t="n">
        <f aca="false">SUMIFS(الريسبي!$C$2:$C$1800,الريسبي!$A$2:$A$1800,$A24,الريسبي!$B$2:$B$1800,S$1)</f>
        <v>0</v>
      </c>
      <c r="T24" s="115" t="n">
        <f aca="false">SUMIFS(الريسبي!$C$2:$C$1800,الريسبي!$A$2:$A$1800,$A24,الريسبي!$B$2:$B$1800,T$1)</f>
        <v>0</v>
      </c>
      <c r="U24" s="115" t="n">
        <f aca="false">SUMIFS(الريسبي!$C$2:$C$1800,الريسبي!$A$2:$A$1800,$A24,الريسبي!$B$2:$B$1800,U$1)</f>
        <v>0</v>
      </c>
      <c r="V24" s="115" t="n">
        <f aca="false">SUMIFS(الريسبي!$C$2:$C$1800,الريسبي!$A$2:$A$1800,$A24,الريسبي!$B$2:$B$1800,V$1)</f>
        <v>0</v>
      </c>
      <c r="W24" s="115" t="n">
        <f aca="false">SUMIFS(الريسبي!$C$2:$C$1800,الريسبي!$A$2:$A$1800,$A24,الريسبي!$B$2:$B$1800,W$1)</f>
        <v>0</v>
      </c>
      <c r="X24" s="115" t="n">
        <f aca="false">SUMIFS(الريسبي!$C$2:$C$1800,الريسبي!$A$2:$A$1800,$A24,الريسبي!$B$2:$B$1800,X$1)</f>
        <v>1</v>
      </c>
      <c r="Y24" s="115" t="n">
        <f aca="false">SUMIFS(الريسبي!$C$2:$C$1800,الريسبي!$A$2:$A$1800,$A24,الريسبي!$B$2:$B$1800,Y$1)</f>
        <v>0</v>
      </c>
      <c r="Z24" s="115" t="n">
        <f aca="false">SUMIFS(الريسبي!$C$2:$C$1800,الريسبي!$A$2:$A$1800,$A24,الريسبي!$B$2:$B$1800,Z$1)</f>
        <v>0</v>
      </c>
      <c r="AA24" s="115" t="n">
        <f aca="false">SUMIFS(الريسبي!$C$2:$C$1800,الريسبي!$A$2:$A$1800,$A24,الريسبي!$B$2:$B$1800,AA$1)</f>
        <v>0</v>
      </c>
      <c r="AB24" s="115" t="n">
        <f aca="false">SUMIFS(الريسبي!$C$2:$C$1800,الريسبي!$A$2:$A$1800,$A24,الريسبي!$B$2:$B$1800,AB$1)</f>
        <v>0</v>
      </c>
      <c r="AC24" s="115" t="n">
        <f aca="false">SUMIFS(الريسبي!$C$2:$C$1800,الريسبي!$A$2:$A$1800,$A24,الريسبي!$B$2:$B$1800,AC$1)</f>
        <v>0</v>
      </c>
      <c r="AD24" s="115" t="n">
        <f aca="false">SUMIFS(الريسبي!$C$2:$C$1800,الريسبي!$A$2:$A$1800,$A24,الريسبي!$B$2:$B$1800,AD$1)</f>
        <v>0</v>
      </c>
      <c r="AE24" s="115" t="n">
        <f aca="false">SUMIFS(الريسبي!$C$2:$C$1800,الريسبي!$A$2:$A$1800,$A24,الريسبي!$B$2:$B$1800,AE$1)</f>
        <v>0</v>
      </c>
      <c r="AF24" s="115" t="n">
        <f aca="false">SUMIFS(الريسبي!$C$2:$C$1800,الريسبي!$A$2:$A$1800,$A24,الريسبي!$B$2:$B$1800,AF$1)</f>
        <v>0</v>
      </c>
      <c r="AG24" s="115" t="n">
        <f aca="false">SUMIFS(الريسبي!$C$2:$C$1800,الريسبي!$A$2:$A$1800,$A24,الريسبي!$B$2:$B$1800,AG$1)</f>
        <v>0</v>
      </c>
      <c r="AH24" s="115" t="n">
        <f aca="false">SUMIFS(الريسبي!$C$2:$C$1800,الريسبي!$A$2:$A$1800,$A24,الريسبي!$B$2:$B$1800,AH$1)</f>
        <v>0</v>
      </c>
      <c r="AI24" s="115" t="n">
        <f aca="false">SUMIFS(الريسبي!$C$2:$C$1800,الريسبي!$A$2:$A$1800,$A24,الريسبي!$B$2:$B$1800,AI$1)</f>
        <v>0</v>
      </c>
      <c r="AJ24" s="115" t="n">
        <f aca="false">SUMIFS(الريسبي!$C$2:$C$1800,الريسبي!$A$2:$A$1800,$A24,الريسبي!$B$2:$B$1800,AJ$1)</f>
        <v>2</v>
      </c>
      <c r="AK24" s="115" t="n">
        <f aca="false">SUMIFS(الريسبي!$C$2:$C$1800,الريسبي!$A$2:$A$1800,$A24,الريسبي!$B$2:$B$1800,AK$1)</f>
        <v>0</v>
      </c>
      <c r="AL24" s="115" t="n">
        <f aca="false">SUMIFS(الريسبي!$C$2:$C$1800,الريسبي!$A$2:$A$1800,$A24,الريسبي!$B$2:$B$1800,AL$1)</f>
        <v>0</v>
      </c>
      <c r="AM24" s="115"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15"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15" t="n">
        <f aca="false">SUMIFS(الريسبي!$C$2:$C$1800,الريسبي!$A$2:$A$1800,$A24,الريسبي!$B$2:$B$1800,AO$1)</f>
        <v>0</v>
      </c>
      <c r="AP24" s="115" t="n">
        <f aca="false">SUMIFS(الريسبي!$C$2:$C$1800,الريسبي!$A$2:$A$1800,$A24,الريسبي!$B$2:$B$1800,AP$1)</f>
        <v>0.02</v>
      </c>
      <c r="AQ24" s="115"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15" t="n">
        <f aca="false">SUMIFS(الريسبي!$C$2:$C$1800,الريسبي!$A$2:$A$1800,$A24,الريسبي!$B$2:$B$1800,AR$1)</f>
        <v>0</v>
      </c>
      <c r="AS24" s="115" t="n">
        <f aca="false">SUMIFS(الريسبي!$C$2:$C$1800,الريسبي!$A$2:$A$1800,$A24,الريسبي!$B$2:$B$1800,AS$1)</f>
        <v>0</v>
      </c>
      <c r="AT24" s="115" t="n">
        <f aca="false">SUMIFS(الريسبي!$C$2:$C$1800,الريسبي!$A$2:$A$1800,$A24,الريسبي!$B$2:$B$1800,AT$1)</f>
        <v>0</v>
      </c>
      <c r="AU24" s="115" t="n">
        <f aca="false">SUMIFS(الريسبي!$C$2:$C$1800,الريسبي!$A$2:$A$1800,$A24,الريسبي!$B$2:$B$1800,AU$1)</f>
        <v>0</v>
      </c>
      <c r="AV24" s="115" t="n">
        <f aca="false">SUMIFS(الريسبي!$C$2:$C$1800,الريسبي!$A$2:$A$1800,$A24,الريسبي!$B$2:$B$1800,AV$1)</f>
        <v>0</v>
      </c>
      <c r="AW24" s="115" t="n">
        <f aca="false">SUMIFS(الريسبي!$C$2:$C$1800,الريسبي!$A$2:$A$1800,$A24,الريسبي!$B$2:$B$1800,AW$1)</f>
        <v>0</v>
      </c>
      <c r="AX24" s="115" t="n">
        <f aca="false">SUMIFS(الريسبي!$C$2:$C$1800,الريسبي!$A$2:$A$1800,$A24,الريسبي!$B$2:$B$1800,AX$1)</f>
        <v>0</v>
      </c>
      <c r="AY24" s="115" t="n">
        <f aca="false">SUMIFS(الريسبي!$C$2:$C$1800,الريسبي!$A$2:$A$1800,$A24,الريسبي!$B$2:$B$1800,AY$1)</f>
        <v>0</v>
      </c>
      <c r="AZ24" s="115" t="n">
        <f aca="false">SUMIFS(الريسبي!$C$2:$C$1800,الريسبي!$A$2:$A$1800,$A24,الريسبي!$B$2:$B$1800,AZ$1)</f>
        <v>0</v>
      </c>
      <c r="BA24" s="115" t="n">
        <f aca="false">SUMIFS(الريسبي!$C$2:$C$1800,الريسبي!$A$2:$A$1800,$A24,الريسبي!$B$2:$B$1800,BA$1)</f>
        <v>0</v>
      </c>
      <c r="BB24" s="115" t="n">
        <f aca="false">SUMIFS(الريسبي!$C$2:$C$1800,الريسبي!$A$2:$A$1800,$A24,الريسبي!$B$2:$B$1800,BB$1)</f>
        <v>0</v>
      </c>
      <c r="BC24" s="115" t="n">
        <f aca="false">SUMIFS(الريسبي!$C$2:$C$1800,الريسبي!$A$2:$A$1800,$A24,الريسبي!$B$2:$B$1800,BC$1)</f>
        <v>0.03</v>
      </c>
      <c r="BD24" s="115" t="n">
        <f aca="false">SUMIFS(الريسبي!$C$2:$C$1800,الريسبي!$A$2:$A$1800,$A24,الريسبي!$B$2:$B$1800,BD$1)</f>
        <v>0</v>
      </c>
      <c r="BE24" s="115" t="n">
        <f aca="false">SUMIFS(الريسبي!$C$2:$C$1800,الريسبي!$A$2:$A$1800,$A24,الريسبي!$B$2:$B$1800,BE$1)</f>
        <v>1</v>
      </c>
      <c r="BF24" s="115" t="n">
        <f aca="false">SUMIFS(الريسبي!$C$2:$C$1800,الريسبي!$A$2:$A$1800,$A24,الريسبي!$B$2:$B$1800,BF$1)</f>
        <v>0</v>
      </c>
      <c r="BG24" s="115" t="n">
        <f aca="false">SUMIFS(الريسبي!$C$2:$C$1800,الريسبي!$A$2:$A$1800,$A24,الريسبي!$B$2:$B$1800,BG$1)</f>
        <v>0</v>
      </c>
      <c r="BH24" s="115" t="n">
        <f aca="false">SUMIFS(الريسبي!$C$2:$C$1800,الريسبي!$A$2:$A$1800,$A24,الريسبي!$B$2:$B$1800,BH$1)</f>
        <v>1</v>
      </c>
      <c r="BI24" s="115" t="n">
        <f aca="false">SUMIFS(الريسبي!$C$2:$C$1800,الريسبي!$A$2:$A$1800,$A24,الريسبي!$B$2:$B$1800,BI$1)</f>
        <v>0</v>
      </c>
      <c r="BJ24" s="115" t="n">
        <f aca="false">SUMIFS(الريسبي!$C$2:$C$1800,الريسبي!$A$2:$A$1800,$A24,الريسبي!$B$2:$B$1800,BJ$1)</f>
        <v>0</v>
      </c>
      <c r="BK24" s="115" t="n">
        <f aca="false">SUMIFS(الريسبي!$C$2:$C$1800,الريسبي!$A$2:$A$1800,$A24,الريسبي!$B$2:$B$1800,BK$1)</f>
        <v>0</v>
      </c>
      <c r="BL24" s="115" t="n">
        <f aca="false">SUMIFS(الريسبي!$C$2:$C$1800,الريسبي!$A$2:$A$1800,$A24,الريسبي!$B$2:$B$1800,BL$1)</f>
        <v>0</v>
      </c>
      <c r="BM24" s="115" t="n">
        <f aca="false">SUMIFS(الريسبي!$C$2:$C$1800,الريسبي!$A$2:$A$1800,$A24,الريسبي!$B$2:$B$1800,BM$1)</f>
        <v>0</v>
      </c>
      <c r="BN24" s="115" t="n">
        <f aca="false">SUMIFS(الريسبي!$C$2:$C$1800,الريسبي!$A$2:$A$1800,$A24,الريسبي!$B$2:$B$1800,BN$1)</f>
        <v>0.02</v>
      </c>
      <c r="BO24" s="115" t="n">
        <f aca="false">SUMIFS(الريسبي!$C$2:$C$1800,الريسبي!$A$2:$A$1800,$A24,الريسبي!$B$2:$B$1800,BO$1)</f>
        <v>0</v>
      </c>
      <c r="BP24" s="115" t="n">
        <f aca="false">SUMIFS(الريسبي!$C$2:$C$1800,الريسبي!$A$2:$A$1800,$A24,الريسبي!$B$2:$B$1800,BP$1)</f>
        <v>2</v>
      </c>
      <c r="BQ24" s="115"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15" t="n">
        <f aca="false">SUMIFS(الريسبي!$C$2:$C$1800,الريسبي!$A$2:$A$1800,$A24,الريسبي!$B$2:$B$1800,BR$1)</f>
        <v>1</v>
      </c>
      <c r="BS24" s="115" t="n">
        <f aca="false">SUMIFS(الريسبي!$C$2:$C$1800,الريسبي!$A$2:$A$1800,$A24,الريسبي!$B$2:$B$1800,BS$1)</f>
        <v>0</v>
      </c>
      <c r="BT24" s="115" t="n">
        <f aca="false">SUMIFS(الريسبي!$C$2:$C$1800,الريسبي!$A$2:$A$1800,$A24,الريسبي!$B$2:$B$1800,BT$1)</f>
        <v>0</v>
      </c>
      <c r="BU24" s="115"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15" t="n">
        <f aca="false">SUMIFS(الريسبي!$C$2:$C$1800,الريسبي!$A$2:$A$1800,$A24,الريسبي!$B$2:$B$1800,BV$1)</f>
        <v>0</v>
      </c>
      <c r="BW24" s="115" t="n">
        <f aca="false">SUMIFS(الريسبي!$C$2:$C$1800,الريسبي!$A$2:$A$1800,$A24,الريسبي!$B$2:$B$1800,BW$1)</f>
        <v>0</v>
      </c>
      <c r="BX24" s="115" t="n">
        <f aca="false">SUMIFS(الريسبي!$C$2:$C$1800,الريسبي!$A$2:$A$1800,$A24,الريسبي!$B$2:$B$1800,BX$1)</f>
        <v>0</v>
      </c>
      <c r="BY24" s="115" t="n">
        <f aca="false">SUMIFS(الريسبي!$C$2:$C$1800,الريسبي!$A$2:$A$1800,$A24,الريسبي!$B$2:$B$1800,BY$1)</f>
        <v>0</v>
      </c>
      <c r="BZ24" s="115" t="n">
        <f aca="false">SUMIFS(الريسبي!$C$2:$C$1800,الريسبي!$A$2:$A$1800,$A24,الريسبي!$B$2:$B$1800,BZ$1)</f>
        <v>1</v>
      </c>
      <c r="CA24" s="115" t="n">
        <f aca="false">SUMIFS(الريسبي!$C$2:$C$1800,الريسبي!$A$2:$A$1800,$A24,الريسبي!$B$2:$B$1800,CA$1)</f>
        <v>1</v>
      </c>
      <c r="CB24" s="115" t="n">
        <f aca="false">SUMIFS(الريسبي!$C$2:$C$1800,الريسبي!$A$2:$A$1800,$A24,الريسبي!$B$2:$B$1800,CB$1)</f>
        <v>0</v>
      </c>
      <c r="CC24" s="115" t="n">
        <f aca="false">SUMIFS(الريسبي!$C$2:$C$1800,الريسبي!$A$2:$A$1800,$A24,الريسبي!$B$2:$B$1800,CC$1)</f>
        <v>0</v>
      </c>
      <c r="CD24" s="115" t="n">
        <f aca="false">SUMIFS(الريسبي!$C$2:$C$1800,الريسبي!$A$2:$A$1800,$A24,الريسبي!$B$2:$B$1800,CD$1)</f>
        <v>0</v>
      </c>
      <c r="CE24" s="115" t="n">
        <f aca="false">SUMIFS(الريسبي!$C$2:$C$1800,الريسبي!$A$2:$A$1800,$A24,الريسبي!$B$2:$B$1800,CE$1)</f>
        <v>0</v>
      </c>
      <c r="CF24" s="115" t="n">
        <f aca="false">SUMIFS(الريسبي!$C$2:$C$1800,الريسبي!$A$2:$A$1800,$A24,الريسبي!$B$2:$B$1800,CF$1)</f>
        <v>0</v>
      </c>
      <c r="CG24" s="115" t="n">
        <f aca="false">SUMIFS(الريسبي!$C$2:$C$1800,الريسبي!$A$2:$A$1800,$A24,الريسبي!$B$2:$B$1800,CG$1)</f>
        <v>0</v>
      </c>
      <c r="CH24" s="115" t="n">
        <f aca="false">SUMIFS(الريسبي!$C$2:$C$1800,الريسبي!$A$2:$A$1800,$A24,الريسبي!$B$2:$B$1800,CH$1)</f>
        <v>0</v>
      </c>
    </row>
    <row r="25" customFormat="false" ht="15" hidden="false" customHeight="false" outlineLevel="0" collapsed="false">
      <c r="A25" s="114" t="str">
        <f aca="false">المنيو!B25</f>
        <v>فطيرة سدق حجم اكبر</v>
      </c>
      <c r="B25" s="115" t="n">
        <f aca="false">SUMIFS(الريسبي!$C$2:$C$1800,الريسبي!$A$2:$A$1800,$A25,الريسبي!$B$2:$B$1800,B$1)</f>
        <v>0</v>
      </c>
      <c r="C25" s="115" t="n">
        <f aca="false">SUMIFS(الريسبي!$C$2:$C$1800,الريسبي!$A$2:$A$1800,$A25,الريسبي!$B$2:$B$1800,C$1)</f>
        <v>0</v>
      </c>
      <c r="D25" s="115" t="n">
        <f aca="false">SUMIFS(الريسبي!$C$2:$C$1800,الريسبي!$A$2:$A$1800,$A25,الريسبي!$B$2:$B$1800,D$1)</f>
        <v>1</v>
      </c>
      <c r="E25" s="115" t="n">
        <f aca="false">SUMIFS(الريسبي!$C$2:$C$1800,الريسبي!$A$2:$A$1800,$A25,الريسبي!$B$2:$B$1800,E$1)</f>
        <v>0</v>
      </c>
      <c r="F25" s="115" t="n">
        <f aca="false">SUMIFS(الريسبي!$C$2:$C$1800,الريسبي!$A$2:$A$1800,$A25,الريسبي!$B$2:$B$1800,F$1)</f>
        <v>0</v>
      </c>
      <c r="G25" s="115" t="n">
        <f aca="false">SUMIFS(الريسبي!$C$2:$C$1800,الريسبي!$A$2:$A$1800,$A25,الريسبي!$B$2:$B$1800,G$1)</f>
        <v>0</v>
      </c>
      <c r="H25" s="115" t="n">
        <f aca="false">SUMIFS(الريسبي!$C$2:$C$1800,الريسبي!$A$2:$A$1800,$A25,الريسبي!$B$2:$B$1800,H$1)</f>
        <v>0</v>
      </c>
      <c r="I25" s="115" t="n">
        <f aca="false">SUMIFS(الريسبي!$C$2:$C$1800,الريسبي!$A$2:$A$1800,$A25,الريسبي!$B$2:$B$1800,I$1)</f>
        <v>0</v>
      </c>
      <c r="J25" s="115" t="n">
        <f aca="false">SUMIFS(الريسبي!$C$2:$C$1800,الريسبي!$A$2:$A$1800,$A25,الريسبي!$B$2:$B$1800,J$1)</f>
        <v>1.5</v>
      </c>
      <c r="K25" s="115" t="n">
        <f aca="false">SUMIFS(الريسبي!$C$2:$C$1800,الريسبي!$A$2:$A$1800,$A25,الريسبي!$B$2:$B$1800,K$1)</f>
        <v>0</v>
      </c>
      <c r="L25" s="115" t="n">
        <f aca="false">SUMIFS(الريسبي!$C$2:$C$1800,الريسبي!$A$2:$A$1800,$A25,الريسبي!$B$2:$B$1800,L$1)</f>
        <v>0</v>
      </c>
      <c r="M25" s="115" t="n">
        <f aca="false">SUMIFS(الريسبي!$C$2:$C$1800,الريسبي!$A$2:$A$1800,$A25,الريسبي!$B$2:$B$1800,M$1)</f>
        <v>1</v>
      </c>
      <c r="N25" s="115" t="n">
        <f aca="false">SUMIFS(الريسبي!$C$2:$C$1800,الريسبي!$A$2:$A$1800,$A25,الريسبي!$B$2:$B$1800,N$1)</f>
        <v>0</v>
      </c>
      <c r="O25" s="115" t="n">
        <f aca="false">SUMIFS(الريسبي!$C$2:$C$1800,الريسبي!$A$2:$A$1800,$A25,الريسبي!$B$2:$B$1800,O$1)</f>
        <v>0</v>
      </c>
      <c r="P25" s="115" t="n">
        <f aca="false">SUMIFS(الريسبي!$C$2:$C$1800,الريسبي!$A$2:$A$1800,$A25,الريسبي!$B$2:$B$1800,P$1)</f>
        <v>0</v>
      </c>
      <c r="Q25" s="115" t="n">
        <f aca="false">SUMIFS(الريسبي!$C$2:$C$1800,الريسبي!$A$2:$A$1800,$A25,الريسبي!$B$2:$B$1800,Q$1)</f>
        <v>0</v>
      </c>
      <c r="R25" s="115" t="n">
        <f aca="false">SUMIFS(الريسبي!$C$2:$C$1800,الريسبي!$A$2:$A$1800,$A25,الريسبي!$B$2:$B$1800,R$1)</f>
        <v>0</v>
      </c>
      <c r="S25" s="115" t="n">
        <f aca="false">SUMIFS(الريسبي!$C$2:$C$1800,الريسبي!$A$2:$A$1800,$A25,الريسبي!$B$2:$B$1800,S$1)</f>
        <v>0</v>
      </c>
      <c r="T25" s="115" t="n">
        <f aca="false">SUMIFS(الريسبي!$C$2:$C$1800,الريسبي!$A$2:$A$1800,$A25,الريسبي!$B$2:$B$1800,T$1)</f>
        <v>0</v>
      </c>
      <c r="U25" s="115" t="n">
        <f aca="false">SUMIFS(الريسبي!$C$2:$C$1800,الريسبي!$A$2:$A$1800,$A25,الريسبي!$B$2:$B$1800,U$1)</f>
        <v>0</v>
      </c>
      <c r="V25" s="115" t="n">
        <f aca="false">SUMIFS(الريسبي!$C$2:$C$1800,الريسبي!$A$2:$A$1800,$A25,الريسبي!$B$2:$B$1800,V$1)</f>
        <v>0</v>
      </c>
      <c r="W25" s="115" t="n">
        <f aca="false">SUMIFS(الريسبي!$C$2:$C$1800,الريسبي!$A$2:$A$1800,$A25,الريسبي!$B$2:$B$1800,W$1)</f>
        <v>0</v>
      </c>
      <c r="X25" s="115" t="n">
        <f aca="false">SUMIFS(الريسبي!$C$2:$C$1800,الريسبي!$A$2:$A$1800,$A25,الريسبي!$B$2:$B$1800,X$1)</f>
        <v>0</v>
      </c>
      <c r="Y25" s="115" t="n">
        <f aca="false">SUMIFS(الريسبي!$C$2:$C$1800,الريسبي!$A$2:$A$1800,$A25,الريسبي!$B$2:$B$1800,Y$1)</f>
        <v>1</v>
      </c>
      <c r="Z25" s="115" t="n">
        <f aca="false">SUMIFS(الريسبي!$C$2:$C$1800,الريسبي!$A$2:$A$1800,$A25,الريسبي!$B$2:$B$1800,Z$1)</f>
        <v>0</v>
      </c>
      <c r="AA25" s="115" t="n">
        <f aca="false">SUMIFS(الريسبي!$C$2:$C$1800,الريسبي!$A$2:$A$1800,$A25,الريسبي!$B$2:$B$1800,AA$1)</f>
        <v>0</v>
      </c>
      <c r="AB25" s="115" t="n">
        <f aca="false">SUMIFS(الريسبي!$C$2:$C$1800,الريسبي!$A$2:$A$1800,$A25,الريسبي!$B$2:$B$1800,AB$1)</f>
        <v>0</v>
      </c>
      <c r="AC25" s="115" t="n">
        <f aca="false">SUMIFS(الريسبي!$C$2:$C$1800,الريسبي!$A$2:$A$1800,$A25,الريسبي!$B$2:$B$1800,AC$1)</f>
        <v>0</v>
      </c>
      <c r="AD25" s="115" t="n">
        <f aca="false">SUMIFS(الريسبي!$C$2:$C$1800,الريسبي!$A$2:$A$1800,$A25,الريسبي!$B$2:$B$1800,AD$1)</f>
        <v>0</v>
      </c>
      <c r="AE25" s="115" t="n">
        <f aca="false">SUMIFS(الريسبي!$C$2:$C$1800,الريسبي!$A$2:$A$1800,$A25,الريسبي!$B$2:$B$1800,AE$1)</f>
        <v>0</v>
      </c>
      <c r="AF25" s="115" t="n">
        <f aca="false">SUMIFS(الريسبي!$C$2:$C$1800,الريسبي!$A$2:$A$1800,$A25,الريسبي!$B$2:$B$1800,AF$1)</f>
        <v>0</v>
      </c>
      <c r="AG25" s="115" t="n">
        <f aca="false">SUMIFS(الريسبي!$C$2:$C$1800,الريسبي!$A$2:$A$1800,$A25,الريسبي!$B$2:$B$1800,AG$1)</f>
        <v>0</v>
      </c>
      <c r="AH25" s="115" t="n">
        <f aca="false">SUMIFS(الريسبي!$C$2:$C$1800,الريسبي!$A$2:$A$1800,$A25,الريسبي!$B$2:$B$1800,AH$1)</f>
        <v>0</v>
      </c>
      <c r="AI25" s="115" t="n">
        <f aca="false">SUMIFS(الريسبي!$C$2:$C$1800,الريسبي!$A$2:$A$1800,$A25,الريسبي!$B$2:$B$1800,AI$1)</f>
        <v>0</v>
      </c>
      <c r="AJ25" s="115" t="n">
        <f aca="false">SUMIFS(الريسبي!$C$2:$C$1800,الريسبي!$A$2:$A$1800,$A25,الريسبي!$B$2:$B$1800,AJ$1)</f>
        <v>2</v>
      </c>
      <c r="AK25" s="115" t="n">
        <f aca="false">SUMIFS(الريسبي!$C$2:$C$1800,الريسبي!$A$2:$A$1800,$A25,الريسبي!$B$2:$B$1800,AK$1)</f>
        <v>0</v>
      </c>
      <c r="AL25" s="115" t="n">
        <f aca="false">SUMIFS(الريسبي!$C$2:$C$1800,الريسبي!$A$2:$A$1800,$A25,الريسبي!$B$2:$B$1800,AL$1)</f>
        <v>0</v>
      </c>
      <c r="AM25" s="115"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15"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15" t="n">
        <f aca="false">SUMIFS(الريسبي!$C$2:$C$1800,الريسبي!$A$2:$A$1800,$A25,الريسبي!$B$2:$B$1800,AO$1)</f>
        <v>0</v>
      </c>
      <c r="AP25" s="115" t="n">
        <f aca="false">SUMIFS(الريسبي!$C$2:$C$1800,الريسبي!$A$2:$A$1800,$A25,الريسبي!$B$2:$B$1800,AP$1)</f>
        <v>0.03</v>
      </c>
      <c r="AQ25" s="115"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15" t="n">
        <f aca="false">SUMIFS(الريسبي!$C$2:$C$1800,الريسبي!$A$2:$A$1800,$A25,الريسبي!$B$2:$B$1800,AR$1)</f>
        <v>0</v>
      </c>
      <c r="AS25" s="115" t="n">
        <f aca="false">SUMIFS(الريسبي!$C$2:$C$1800,الريسبي!$A$2:$A$1800,$A25,الريسبي!$B$2:$B$1800,AS$1)</f>
        <v>0</v>
      </c>
      <c r="AT25" s="115" t="n">
        <f aca="false">SUMIFS(الريسبي!$C$2:$C$1800,الريسبي!$A$2:$A$1800,$A25,الريسبي!$B$2:$B$1800,AT$1)</f>
        <v>0</v>
      </c>
      <c r="AU25" s="115" t="n">
        <f aca="false">SUMIFS(الريسبي!$C$2:$C$1800,الريسبي!$A$2:$A$1800,$A25,الريسبي!$B$2:$B$1800,AU$1)</f>
        <v>0</v>
      </c>
      <c r="AV25" s="115" t="n">
        <f aca="false">SUMIFS(الريسبي!$C$2:$C$1800,الريسبي!$A$2:$A$1800,$A25,الريسبي!$B$2:$B$1800,AV$1)</f>
        <v>0</v>
      </c>
      <c r="AW25" s="115" t="n">
        <f aca="false">SUMIFS(الريسبي!$C$2:$C$1800,الريسبي!$A$2:$A$1800,$A25,الريسبي!$B$2:$B$1800,AW$1)</f>
        <v>0</v>
      </c>
      <c r="AX25" s="115" t="n">
        <f aca="false">SUMIFS(الريسبي!$C$2:$C$1800,الريسبي!$A$2:$A$1800,$A25,الريسبي!$B$2:$B$1800,AX$1)</f>
        <v>0</v>
      </c>
      <c r="AY25" s="115" t="n">
        <f aca="false">SUMIFS(الريسبي!$C$2:$C$1800,الريسبي!$A$2:$A$1800,$A25,الريسبي!$B$2:$B$1800,AY$1)</f>
        <v>0</v>
      </c>
      <c r="AZ25" s="115" t="n">
        <f aca="false">SUMIFS(الريسبي!$C$2:$C$1800,الريسبي!$A$2:$A$1800,$A25,الريسبي!$B$2:$B$1800,AZ$1)</f>
        <v>0</v>
      </c>
      <c r="BA25" s="115" t="n">
        <f aca="false">SUMIFS(الريسبي!$C$2:$C$1800,الريسبي!$A$2:$A$1800,$A25,الريسبي!$B$2:$B$1800,BA$1)</f>
        <v>0</v>
      </c>
      <c r="BB25" s="115" t="n">
        <f aca="false">SUMIFS(الريسبي!$C$2:$C$1800,الريسبي!$A$2:$A$1800,$A25,الريسبي!$B$2:$B$1800,BB$1)</f>
        <v>0</v>
      </c>
      <c r="BC25" s="115" t="n">
        <f aca="false">SUMIFS(الريسبي!$C$2:$C$1800,الريسبي!$A$2:$A$1800,$A25,الريسبي!$B$2:$B$1800,BC$1)</f>
        <v>0.045</v>
      </c>
      <c r="BD25" s="115" t="n">
        <f aca="false">SUMIFS(الريسبي!$C$2:$C$1800,الريسبي!$A$2:$A$1800,$A25,الريسبي!$B$2:$B$1800,BD$1)</f>
        <v>0</v>
      </c>
      <c r="BE25" s="115" t="n">
        <f aca="false">SUMIFS(الريسبي!$C$2:$C$1800,الريسبي!$A$2:$A$1800,$A25,الريسبي!$B$2:$B$1800,BE$1)</f>
        <v>1.5</v>
      </c>
      <c r="BF25" s="115" t="n">
        <f aca="false">SUMIFS(الريسبي!$C$2:$C$1800,الريسبي!$A$2:$A$1800,$A25,الريسبي!$B$2:$B$1800,BF$1)</f>
        <v>0</v>
      </c>
      <c r="BG25" s="115" t="n">
        <f aca="false">SUMIFS(الريسبي!$C$2:$C$1800,الريسبي!$A$2:$A$1800,$A25,الريسبي!$B$2:$B$1800,BG$1)</f>
        <v>1</v>
      </c>
      <c r="BH25" s="115" t="n">
        <f aca="false">SUMIFS(الريسبي!$C$2:$C$1800,الريسبي!$A$2:$A$1800,$A25,الريسبي!$B$2:$B$1800,BH$1)</f>
        <v>0</v>
      </c>
      <c r="BI25" s="115" t="n">
        <f aca="false">SUMIFS(الريسبي!$C$2:$C$1800,الريسبي!$A$2:$A$1800,$A25,الريسبي!$B$2:$B$1800,BI$1)</f>
        <v>0</v>
      </c>
      <c r="BJ25" s="115" t="n">
        <f aca="false">SUMIFS(الريسبي!$C$2:$C$1800,الريسبي!$A$2:$A$1800,$A25,الريسبي!$B$2:$B$1800,BJ$1)</f>
        <v>0</v>
      </c>
      <c r="BK25" s="115" t="n">
        <f aca="false">SUMIFS(الريسبي!$C$2:$C$1800,الريسبي!$A$2:$A$1800,$A25,الريسبي!$B$2:$B$1800,BK$1)</f>
        <v>0</v>
      </c>
      <c r="BL25" s="115" t="n">
        <f aca="false">SUMIFS(الريسبي!$C$2:$C$1800,الريسبي!$A$2:$A$1800,$A25,الريسبي!$B$2:$B$1800,BL$1)</f>
        <v>0</v>
      </c>
      <c r="BM25" s="115" t="n">
        <f aca="false">SUMIFS(الريسبي!$C$2:$C$1800,الريسبي!$A$2:$A$1800,$A25,الريسبي!$B$2:$B$1800,BM$1)</f>
        <v>0</v>
      </c>
      <c r="BN25" s="115" t="n">
        <f aca="false">SUMIFS(الريسبي!$C$2:$C$1800,الريسبي!$A$2:$A$1800,$A25,الريسبي!$B$2:$B$1800,BN$1)</f>
        <v>0.03</v>
      </c>
      <c r="BO25" s="115" t="n">
        <f aca="false">SUMIFS(الريسبي!$C$2:$C$1800,الريسبي!$A$2:$A$1800,$A25,الريسبي!$B$2:$B$1800,BO$1)</f>
        <v>0</v>
      </c>
      <c r="BP25" s="115" t="n">
        <f aca="false">SUMIFS(الريسبي!$C$2:$C$1800,الريسبي!$A$2:$A$1800,$A25,الريسبي!$B$2:$B$1800,BP$1)</f>
        <v>3</v>
      </c>
      <c r="BQ25" s="115"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15" t="n">
        <f aca="false">SUMIFS(الريسبي!$C$2:$C$1800,الريسبي!$A$2:$A$1800,$A25,الريسبي!$B$2:$B$1800,BR$1)</f>
        <v>1</v>
      </c>
      <c r="BS25" s="115" t="n">
        <f aca="false">SUMIFS(الريسبي!$C$2:$C$1800,الريسبي!$A$2:$A$1800,$A25,الريسبي!$B$2:$B$1800,BS$1)</f>
        <v>0</v>
      </c>
      <c r="BT25" s="115" t="n">
        <f aca="false">SUMIFS(الريسبي!$C$2:$C$1800,الريسبي!$A$2:$A$1800,$A25,الريسبي!$B$2:$B$1800,BT$1)</f>
        <v>0</v>
      </c>
      <c r="BU25" s="115"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15" t="n">
        <f aca="false">SUMIFS(الريسبي!$C$2:$C$1800,الريسبي!$A$2:$A$1800,$A25,الريسبي!$B$2:$B$1800,BV$1)</f>
        <v>0</v>
      </c>
      <c r="BW25" s="115" t="n">
        <f aca="false">SUMIFS(الريسبي!$C$2:$C$1800,الريسبي!$A$2:$A$1800,$A25,الريسبي!$B$2:$B$1800,BW$1)</f>
        <v>0</v>
      </c>
      <c r="BX25" s="115" t="n">
        <f aca="false">SUMIFS(الريسبي!$C$2:$C$1800,الريسبي!$A$2:$A$1800,$A25,الريسبي!$B$2:$B$1800,BX$1)</f>
        <v>0</v>
      </c>
      <c r="BY25" s="115" t="n">
        <f aca="false">SUMIFS(الريسبي!$C$2:$C$1800,الريسبي!$A$2:$A$1800,$A25,الريسبي!$B$2:$B$1800,BY$1)</f>
        <v>0</v>
      </c>
      <c r="BZ25" s="115" t="n">
        <f aca="false">SUMIFS(الريسبي!$C$2:$C$1800,الريسبي!$A$2:$A$1800,$A25,الريسبي!$B$2:$B$1800,BZ$1)</f>
        <v>1</v>
      </c>
      <c r="CA25" s="115" t="n">
        <f aca="false">SUMIFS(الريسبي!$C$2:$C$1800,الريسبي!$A$2:$A$1800,$A25,الريسبي!$B$2:$B$1800,CA$1)</f>
        <v>1</v>
      </c>
      <c r="CB25" s="115" t="n">
        <f aca="false">SUMIFS(الريسبي!$C$2:$C$1800,الريسبي!$A$2:$A$1800,$A25,الريسبي!$B$2:$B$1800,CB$1)</f>
        <v>0</v>
      </c>
      <c r="CC25" s="115" t="n">
        <f aca="false">SUMIFS(الريسبي!$C$2:$C$1800,الريسبي!$A$2:$A$1800,$A25,الريسبي!$B$2:$B$1800,CC$1)</f>
        <v>0</v>
      </c>
      <c r="CD25" s="115" t="n">
        <f aca="false">SUMIFS(الريسبي!$C$2:$C$1800,الريسبي!$A$2:$A$1800,$A25,الريسبي!$B$2:$B$1800,CD$1)</f>
        <v>0</v>
      </c>
      <c r="CE25" s="115" t="n">
        <f aca="false">SUMIFS(الريسبي!$C$2:$C$1800,الريسبي!$A$2:$A$1800,$A25,الريسبي!$B$2:$B$1800,CE$1)</f>
        <v>0</v>
      </c>
      <c r="CF25" s="115" t="n">
        <f aca="false">SUMIFS(الريسبي!$C$2:$C$1800,الريسبي!$A$2:$A$1800,$A25,الريسبي!$B$2:$B$1800,CF$1)</f>
        <v>0</v>
      </c>
      <c r="CG25" s="115" t="n">
        <f aca="false">SUMIFS(الريسبي!$C$2:$C$1800,الريسبي!$A$2:$A$1800,$A25,الريسبي!$B$2:$B$1800,CG$1)</f>
        <v>0</v>
      </c>
      <c r="CH25" s="115" t="n">
        <f aca="false">SUMIFS(الريسبي!$C$2:$C$1800,الريسبي!$A$2:$A$1800,$A25,الريسبي!$B$2:$B$1800,CH$1)</f>
        <v>0</v>
      </c>
    </row>
    <row r="26" customFormat="false" ht="15" hidden="false" customHeight="false" outlineLevel="0" collapsed="false">
      <c r="A26" s="114" t="str">
        <f aca="false">المنيو!B26</f>
        <v>فطيرة بسطرمة وسط</v>
      </c>
      <c r="B26" s="115" t="n">
        <f aca="false">SUMIFS(الريسبي!$C$2:$C$1800,الريسبي!$A$2:$A$1800,$A26,الريسبي!$B$2:$B$1800,B$1)</f>
        <v>0</v>
      </c>
      <c r="C26" s="115" t="n">
        <f aca="false">SUMIFS(الريسبي!$C$2:$C$1800,الريسبي!$A$2:$A$1800,$A26,الريسبي!$B$2:$B$1800,C$1)</f>
        <v>0</v>
      </c>
      <c r="D26" s="115" t="n">
        <f aca="false">SUMIFS(الريسبي!$C$2:$C$1800,الريسبي!$A$2:$A$1800,$A26,الريسبي!$B$2:$B$1800,D$1)</f>
        <v>1</v>
      </c>
      <c r="E26" s="115" t="n">
        <f aca="false">SUMIFS(الريسبي!$C$2:$C$1800,الريسبي!$A$2:$A$1800,$A26,الريسبي!$B$2:$B$1800,E$1)</f>
        <v>0</v>
      </c>
      <c r="F26" s="115" t="n">
        <f aca="false">SUMIFS(الريسبي!$C$2:$C$1800,الريسبي!$A$2:$A$1800,$A26,الريسبي!$B$2:$B$1800,F$1)</f>
        <v>0</v>
      </c>
      <c r="G26" s="115" t="n">
        <f aca="false">SUMIFS(الريسبي!$C$2:$C$1800,الريسبي!$A$2:$A$1800,$A26,الريسبي!$B$2:$B$1800,G$1)</f>
        <v>1</v>
      </c>
      <c r="H26" s="115" t="n">
        <f aca="false">SUMIFS(الريسبي!$C$2:$C$1800,الريسبي!$A$2:$A$1800,$A26,الريسبي!$B$2:$B$1800,H$1)</f>
        <v>0</v>
      </c>
      <c r="I26" s="115" t="n">
        <f aca="false">SUMIFS(الريسبي!$C$2:$C$1800,الريسبي!$A$2:$A$1800,$A26,الريسبي!$B$2:$B$1800,I$1)</f>
        <v>0</v>
      </c>
      <c r="J26" s="115" t="n">
        <f aca="false">SUMIFS(الريسبي!$C$2:$C$1800,الريسبي!$A$2:$A$1800,$A26,الريسبي!$B$2:$B$1800,J$1)</f>
        <v>0</v>
      </c>
      <c r="K26" s="115" t="n">
        <f aca="false">SUMIFS(الريسبي!$C$2:$C$1800,الريسبي!$A$2:$A$1800,$A26,الريسبي!$B$2:$B$1800,K$1)</f>
        <v>0</v>
      </c>
      <c r="L26" s="115" t="n">
        <f aca="false">SUMIFS(الريسبي!$C$2:$C$1800,الريسبي!$A$2:$A$1800,$A26,الريسبي!$B$2:$B$1800,L$1)</f>
        <v>0</v>
      </c>
      <c r="M26" s="115" t="n">
        <f aca="false">SUMIFS(الريسبي!$C$2:$C$1800,الريسبي!$A$2:$A$1800,$A26,الريسبي!$B$2:$B$1800,M$1)</f>
        <v>0</v>
      </c>
      <c r="N26" s="115" t="n">
        <f aca="false">SUMIFS(الريسبي!$C$2:$C$1800,الريسبي!$A$2:$A$1800,$A26,الريسبي!$B$2:$B$1800,N$1)</f>
        <v>0</v>
      </c>
      <c r="O26" s="115" t="n">
        <f aca="false">SUMIFS(الريسبي!$C$2:$C$1800,الريسبي!$A$2:$A$1800,$A26,الريسبي!$B$2:$B$1800,O$1)</f>
        <v>0</v>
      </c>
      <c r="P26" s="115" t="n">
        <f aca="false">SUMIFS(الريسبي!$C$2:$C$1800,الريسبي!$A$2:$A$1800,$A26,الريسبي!$B$2:$B$1800,P$1)</f>
        <v>0</v>
      </c>
      <c r="Q26" s="115" t="n">
        <f aca="false">SUMIFS(الريسبي!$C$2:$C$1800,الريسبي!$A$2:$A$1800,$A26,الريسبي!$B$2:$B$1800,Q$1)</f>
        <v>0</v>
      </c>
      <c r="R26" s="115" t="n">
        <f aca="false">SUMIFS(الريسبي!$C$2:$C$1800,الريسبي!$A$2:$A$1800,$A26,الريسبي!$B$2:$B$1800,R$1)</f>
        <v>0</v>
      </c>
      <c r="S26" s="115" t="n">
        <f aca="false">SUMIFS(الريسبي!$C$2:$C$1800,الريسبي!$A$2:$A$1800,$A26,الريسبي!$B$2:$B$1800,S$1)</f>
        <v>0</v>
      </c>
      <c r="T26" s="115" t="n">
        <f aca="false">SUMIFS(الريسبي!$C$2:$C$1800,الريسبي!$A$2:$A$1800,$A26,الريسبي!$B$2:$B$1800,T$1)</f>
        <v>0</v>
      </c>
      <c r="U26" s="115" t="n">
        <f aca="false">SUMIFS(الريسبي!$C$2:$C$1800,الريسبي!$A$2:$A$1800,$A26,الريسبي!$B$2:$B$1800,U$1)</f>
        <v>0</v>
      </c>
      <c r="V26" s="115" t="n">
        <f aca="false">SUMIFS(الريسبي!$C$2:$C$1800,الريسبي!$A$2:$A$1800,$A26,الريسبي!$B$2:$B$1800,V$1)</f>
        <v>0</v>
      </c>
      <c r="W26" s="115" t="n">
        <f aca="false">SUMIFS(الريسبي!$C$2:$C$1800,الريسبي!$A$2:$A$1800,$A26,الريسبي!$B$2:$B$1800,W$1)</f>
        <v>0</v>
      </c>
      <c r="X26" s="115" t="n">
        <f aca="false">SUMIFS(الريسبي!$C$2:$C$1800,الريسبي!$A$2:$A$1800,$A26,الريسبي!$B$2:$B$1800,X$1)</f>
        <v>1</v>
      </c>
      <c r="Y26" s="115" t="n">
        <f aca="false">SUMIFS(الريسبي!$C$2:$C$1800,الريسبي!$A$2:$A$1800,$A26,الريسبي!$B$2:$B$1800,Y$1)</f>
        <v>0</v>
      </c>
      <c r="Z26" s="115" t="n">
        <f aca="false">SUMIFS(الريسبي!$C$2:$C$1800,الريسبي!$A$2:$A$1800,$A26,الريسبي!$B$2:$B$1800,Z$1)</f>
        <v>0</v>
      </c>
      <c r="AA26" s="115" t="n">
        <f aca="false">SUMIFS(الريسبي!$C$2:$C$1800,الريسبي!$A$2:$A$1800,$A26,الريسبي!$B$2:$B$1800,AA$1)</f>
        <v>0</v>
      </c>
      <c r="AB26" s="115" t="n">
        <f aca="false">SUMIFS(الريسبي!$C$2:$C$1800,الريسبي!$A$2:$A$1800,$A26,الريسبي!$B$2:$B$1800,AB$1)</f>
        <v>0</v>
      </c>
      <c r="AC26" s="115" t="n">
        <f aca="false">SUMIFS(الريسبي!$C$2:$C$1800,الريسبي!$A$2:$A$1800,$A26,الريسبي!$B$2:$B$1800,AC$1)</f>
        <v>0</v>
      </c>
      <c r="AD26" s="115" t="n">
        <f aca="false">SUMIFS(الريسبي!$C$2:$C$1800,الريسبي!$A$2:$A$1800,$A26,الريسبي!$B$2:$B$1800,AD$1)</f>
        <v>0</v>
      </c>
      <c r="AE26" s="115" t="n">
        <f aca="false">SUMIFS(الريسبي!$C$2:$C$1800,الريسبي!$A$2:$A$1800,$A26,الريسبي!$B$2:$B$1800,AE$1)</f>
        <v>0</v>
      </c>
      <c r="AF26" s="115" t="n">
        <f aca="false">SUMIFS(الريسبي!$C$2:$C$1800,الريسبي!$A$2:$A$1800,$A26,الريسبي!$B$2:$B$1800,AF$1)</f>
        <v>0</v>
      </c>
      <c r="AG26" s="115" t="n">
        <f aca="false">SUMIFS(الريسبي!$C$2:$C$1800,الريسبي!$A$2:$A$1800,$A26,الريسبي!$B$2:$B$1800,AG$1)</f>
        <v>0</v>
      </c>
      <c r="AH26" s="115" t="n">
        <f aca="false">SUMIFS(الريسبي!$C$2:$C$1800,الريسبي!$A$2:$A$1800,$A26,الريسبي!$B$2:$B$1800,AH$1)</f>
        <v>0</v>
      </c>
      <c r="AI26" s="115" t="n">
        <f aca="false">SUMIFS(الريسبي!$C$2:$C$1800,الريسبي!$A$2:$A$1800,$A26,الريسبي!$B$2:$B$1800,AI$1)</f>
        <v>0</v>
      </c>
      <c r="AJ26" s="115" t="n">
        <f aca="false">SUMIFS(الريسبي!$C$2:$C$1800,الريسبي!$A$2:$A$1800,$A26,الريسبي!$B$2:$B$1800,AJ$1)</f>
        <v>2</v>
      </c>
      <c r="AK26" s="115" t="n">
        <f aca="false">SUMIFS(الريسبي!$C$2:$C$1800,الريسبي!$A$2:$A$1800,$A26,الريسبي!$B$2:$B$1800,AK$1)</f>
        <v>0</v>
      </c>
      <c r="AL26" s="115" t="n">
        <f aca="false">SUMIFS(الريسبي!$C$2:$C$1800,الريسبي!$A$2:$A$1800,$A26,الريسبي!$B$2:$B$1800,AL$1)</f>
        <v>0</v>
      </c>
      <c r="AM26" s="115"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15"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15" t="n">
        <f aca="false">SUMIFS(الريسبي!$C$2:$C$1800,الريسبي!$A$2:$A$1800,$A26,الريسبي!$B$2:$B$1800,AO$1)</f>
        <v>0</v>
      </c>
      <c r="AP26" s="115" t="n">
        <f aca="false">SUMIFS(الريسبي!$C$2:$C$1800,الريسبي!$A$2:$A$1800,$A26,الريسبي!$B$2:$B$1800,AP$1)</f>
        <v>0.02</v>
      </c>
      <c r="AQ26" s="115"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15" t="n">
        <f aca="false">SUMIFS(الريسبي!$C$2:$C$1800,الريسبي!$A$2:$A$1800,$A26,الريسبي!$B$2:$B$1800,AR$1)</f>
        <v>0</v>
      </c>
      <c r="AS26" s="115" t="n">
        <f aca="false">SUMIFS(الريسبي!$C$2:$C$1800,الريسبي!$A$2:$A$1800,$A26,الريسبي!$B$2:$B$1800,AS$1)</f>
        <v>0</v>
      </c>
      <c r="AT26" s="115" t="n">
        <f aca="false">SUMIFS(الريسبي!$C$2:$C$1800,الريسبي!$A$2:$A$1800,$A26,الريسبي!$B$2:$B$1800,AT$1)</f>
        <v>0</v>
      </c>
      <c r="AU26" s="115" t="n">
        <f aca="false">SUMIFS(الريسبي!$C$2:$C$1800,الريسبي!$A$2:$A$1800,$A26,الريسبي!$B$2:$B$1800,AU$1)</f>
        <v>0</v>
      </c>
      <c r="AV26" s="115" t="n">
        <f aca="false">SUMIFS(الريسبي!$C$2:$C$1800,الريسبي!$A$2:$A$1800,$A26,الريسبي!$B$2:$B$1800,AV$1)</f>
        <v>0</v>
      </c>
      <c r="AW26" s="115" t="n">
        <f aca="false">SUMIFS(الريسبي!$C$2:$C$1800,الريسبي!$A$2:$A$1800,$A26,الريسبي!$B$2:$B$1800,AW$1)</f>
        <v>0</v>
      </c>
      <c r="AX26" s="115" t="n">
        <f aca="false">SUMIFS(الريسبي!$C$2:$C$1800,الريسبي!$A$2:$A$1800,$A26,الريسبي!$B$2:$B$1800,AX$1)</f>
        <v>0</v>
      </c>
      <c r="AY26" s="115" t="n">
        <f aca="false">SUMIFS(الريسبي!$C$2:$C$1800,الريسبي!$A$2:$A$1800,$A26,الريسبي!$B$2:$B$1800,AY$1)</f>
        <v>0</v>
      </c>
      <c r="AZ26" s="115" t="n">
        <f aca="false">SUMIFS(الريسبي!$C$2:$C$1800,الريسبي!$A$2:$A$1800,$A26,الريسبي!$B$2:$B$1800,AZ$1)</f>
        <v>0</v>
      </c>
      <c r="BA26" s="115" t="n">
        <f aca="false">SUMIFS(الريسبي!$C$2:$C$1800,الريسبي!$A$2:$A$1800,$A26,الريسبي!$B$2:$B$1800,BA$1)</f>
        <v>0</v>
      </c>
      <c r="BB26" s="115" t="n">
        <f aca="false">SUMIFS(الريسبي!$C$2:$C$1800,الريسبي!$A$2:$A$1800,$A26,الريسبي!$B$2:$B$1800,BB$1)</f>
        <v>0</v>
      </c>
      <c r="BC26" s="115" t="n">
        <f aca="false">SUMIFS(الريسبي!$C$2:$C$1800,الريسبي!$A$2:$A$1800,$A26,الريسبي!$B$2:$B$1800,BC$1)</f>
        <v>0.03</v>
      </c>
      <c r="BD26" s="115" t="n">
        <f aca="false">SUMIFS(الريسبي!$C$2:$C$1800,الريسبي!$A$2:$A$1800,$A26,الريسبي!$B$2:$B$1800,BD$1)</f>
        <v>0</v>
      </c>
      <c r="BE26" s="115" t="n">
        <f aca="false">SUMIFS(الريسبي!$C$2:$C$1800,الريسبي!$A$2:$A$1800,$A26,الريسبي!$B$2:$B$1800,BE$1)</f>
        <v>1</v>
      </c>
      <c r="BF26" s="115" t="n">
        <f aca="false">SUMIFS(الريسبي!$C$2:$C$1800,الريسبي!$A$2:$A$1800,$A26,الريسبي!$B$2:$B$1800,BF$1)</f>
        <v>0</v>
      </c>
      <c r="BG26" s="115" t="n">
        <f aca="false">SUMIFS(الريسبي!$C$2:$C$1800,الريسبي!$A$2:$A$1800,$A26,الريسبي!$B$2:$B$1800,BG$1)</f>
        <v>0</v>
      </c>
      <c r="BH26" s="115" t="n">
        <f aca="false">SUMIFS(الريسبي!$C$2:$C$1800,الريسبي!$A$2:$A$1800,$A26,الريسبي!$B$2:$B$1800,BH$1)</f>
        <v>1</v>
      </c>
      <c r="BI26" s="115" t="n">
        <f aca="false">SUMIFS(الريسبي!$C$2:$C$1800,الريسبي!$A$2:$A$1800,$A26,الريسبي!$B$2:$B$1800,BI$1)</f>
        <v>0</v>
      </c>
      <c r="BJ26" s="115" t="n">
        <f aca="false">SUMIFS(الريسبي!$C$2:$C$1800,الريسبي!$A$2:$A$1800,$A26,الريسبي!$B$2:$B$1800,BJ$1)</f>
        <v>0</v>
      </c>
      <c r="BK26" s="115" t="n">
        <f aca="false">SUMIFS(الريسبي!$C$2:$C$1800,الريسبي!$A$2:$A$1800,$A26,الريسبي!$B$2:$B$1800,BK$1)</f>
        <v>0</v>
      </c>
      <c r="BL26" s="115" t="n">
        <f aca="false">SUMIFS(الريسبي!$C$2:$C$1800,الريسبي!$A$2:$A$1800,$A26,الريسبي!$B$2:$B$1800,BL$1)</f>
        <v>0</v>
      </c>
      <c r="BM26" s="115" t="n">
        <f aca="false">SUMIFS(الريسبي!$C$2:$C$1800,الريسبي!$A$2:$A$1800,$A26,الريسبي!$B$2:$B$1800,BM$1)</f>
        <v>0</v>
      </c>
      <c r="BN26" s="115" t="n">
        <f aca="false">SUMIFS(الريسبي!$C$2:$C$1800,الريسبي!$A$2:$A$1800,$A26,الريسبي!$B$2:$B$1800,BN$1)</f>
        <v>0.02</v>
      </c>
      <c r="BO26" s="115" t="n">
        <f aca="false">SUMIFS(الريسبي!$C$2:$C$1800,الريسبي!$A$2:$A$1800,$A26,الريسبي!$B$2:$B$1800,BO$1)</f>
        <v>0</v>
      </c>
      <c r="BP26" s="115" t="n">
        <f aca="false">SUMIFS(الريسبي!$C$2:$C$1800,الريسبي!$A$2:$A$1800,$A26,الريسبي!$B$2:$B$1800,BP$1)</f>
        <v>2</v>
      </c>
      <c r="BQ26" s="115"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15" t="n">
        <f aca="false">SUMIFS(الريسبي!$C$2:$C$1800,الريسبي!$A$2:$A$1800,$A26,الريسبي!$B$2:$B$1800,BR$1)</f>
        <v>1</v>
      </c>
      <c r="BS26" s="115" t="n">
        <f aca="false">SUMIFS(الريسبي!$C$2:$C$1800,الريسبي!$A$2:$A$1800,$A26,الريسبي!$B$2:$B$1800,BS$1)</f>
        <v>0</v>
      </c>
      <c r="BT26" s="115" t="n">
        <f aca="false">SUMIFS(الريسبي!$C$2:$C$1800,الريسبي!$A$2:$A$1800,$A26,الريسبي!$B$2:$B$1800,BT$1)</f>
        <v>0</v>
      </c>
      <c r="BU26" s="115"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15" t="n">
        <f aca="false">SUMIFS(الريسبي!$C$2:$C$1800,الريسبي!$A$2:$A$1800,$A26,الريسبي!$B$2:$B$1800,BV$1)</f>
        <v>0</v>
      </c>
      <c r="BW26" s="115" t="n">
        <f aca="false">SUMIFS(الريسبي!$C$2:$C$1800,الريسبي!$A$2:$A$1800,$A26,الريسبي!$B$2:$B$1800,BW$1)</f>
        <v>0</v>
      </c>
      <c r="BX26" s="115" t="n">
        <f aca="false">SUMIFS(الريسبي!$C$2:$C$1800,الريسبي!$A$2:$A$1800,$A26,الريسبي!$B$2:$B$1800,BX$1)</f>
        <v>0</v>
      </c>
      <c r="BY26" s="115" t="n">
        <f aca="false">SUMIFS(الريسبي!$C$2:$C$1800,الريسبي!$A$2:$A$1800,$A26,الريسبي!$B$2:$B$1800,BY$1)</f>
        <v>0</v>
      </c>
      <c r="BZ26" s="115" t="n">
        <f aca="false">SUMIFS(الريسبي!$C$2:$C$1800,الريسبي!$A$2:$A$1800,$A26,الريسبي!$B$2:$B$1800,BZ$1)</f>
        <v>1</v>
      </c>
      <c r="CA26" s="115" t="n">
        <f aca="false">SUMIFS(الريسبي!$C$2:$C$1800,الريسبي!$A$2:$A$1800,$A26,الريسبي!$B$2:$B$1800,CA$1)</f>
        <v>1</v>
      </c>
      <c r="CB26" s="115" t="n">
        <f aca="false">SUMIFS(الريسبي!$C$2:$C$1800,الريسبي!$A$2:$A$1800,$A26,الريسبي!$B$2:$B$1800,CB$1)</f>
        <v>0</v>
      </c>
      <c r="CC26" s="115" t="n">
        <f aca="false">SUMIFS(الريسبي!$C$2:$C$1800,الريسبي!$A$2:$A$1800,$A26,الريسبي!$B$2:$B$1800,CC$1)</f>
        <v>0</v>
      </c>
      <c r="CD26" s="115" t="n">
        <f aca="false">SUMIFS(الريسبي!$C$2:$C$1800,الريسبي!$A$2:$A$1800,$A26,الريسبي!$B$2:$B$1800,CD$1)</f>
        <v>0</v>
      </c>
      <c r="CE26" s="115" t="n">
        <f aca="false">SUMIFS(الريسبي!$C$2:$C$1800,الريسبي!$A$2:$A$1800,$A26,الريسبي!$B$2:$B$1800,CE$1)</f>
        <v>0</v>
      </c>
      <c r="CF26" s="115" t="n">
        <f aca="false">SUMIFS(الريسبي!$C$2:$C$1800,الريسبي!$A$2:$A$1800,$A26,الريسبي!$B$2:$B$1800,CF$1)</f>
        <v>0</v>
      </c>
      <c r="CG26" s="115" t="n">
        <f aca="false">SUMIFS(الريسبي!$C$2:$C$1800,الريسبي!$A$2:$A$1800,$A26,الريسبي!$B$2:$B$1800,CG$1)</f>
        <v>0</v>
      </c>
      <c r="CH26" s="115" t="n">
        <f aca="false">SUMIFS(الريسبي!$C$2:$C$1800,الريسبي!$A$2:$A$1800,$A26,الريسبي!$B$2:$B$1800,CH$1)</f>
        <v>0</v>
      </c>
    </row>
    <row r="27" customFormat="false" ht="15" hidden="false" customHeight="false" outlineLevel="0" collapsed="false">
      <c r="A27" s="114" t="str">
        <f aca="false">المنيو!B27</f>
        <v>فطيرة بسطرمة حجم اكبر</v>
      </c>
      <c r="B27" s="115" t="n">
        <f aca="false">SUMIFS(الريسبي!$C$2:$C$1800,الريسبي!$A$2:$A$1800,$A27,الريسبي!$B$2:$B$1800,B$1)</f>
        <v>0</v>
      </c>
      <c r="C27" s="115" t="n">
        <f aca="false">SUMIFS(الريسبي!$C$2:$C$1800,الريسبي!$A$2:$A$1800,$A27,الريسبي!$B$2:$B$1800,C$1)</f>
        <v>0</v>
      </c>
      <c r="D27" s="115" t="n">
        <f aca="false">SUMIFS(الريسبي!$C$2:$C$1800,الريسبي!$A$2:$A$1800,$A27,الريسبي!$B$2:$B$1800,D$1)</f>
        <v>1</v>
      </c>
      <c r="E27" s="115" t="n">
        <f aca="false">SUMIFS(الريسبي!$C$2:$C$1800,الريسبي!$A$2:$A$1800,$A27,الريسبي!$B$2:$B$1800,E$1)</f>
        <v>0</v>
      </c>
      <c r="F27" s="115" t="n">
        <f aca="false">SUMIFS(الريسبي!$C$2:$C$1800,الريسبي!$A$2:$A$1800,$A27,الريسبي!$B$2:$B$1800,F$1)</f>
        <v>0</v>
      </c>
      <c r="G27" s="115" t="n">
        <f aca="false">SUMIFS(الريسبي!$C$2:$C$1800,الريسبي!$A$2:$A$1800,$A27,الريسبي!$B$2:$B$1800,G$1)</f>
        <v>0</v>
      </c>
      <c r="H27" s="115" t="n">
        <f aca="false">SUMIFS(الريسبي!$C$2:$C$1800,الريسبي!$A$2:$A$1800,$A27,الريسبي!$B$2:$B$1800,H$1)</f>
        <v>1</v>
      </c>
      <c r="I27" s="115" t="n">
        <f aca="false">SUMIFS(الريسبي!$C$2:$C$1800,الريسبي!$A$2:$A$1800,$A27,الريسبي!$B$2:$B$1800,I$1)</f>
        <v>0</v>
      </c>
      <c r="J27" s="115" t="n">
        <f aca="false">SUMIFS(الريسبي!$C$2:$C$1800,الريسبي!$A$2:$A$1800,$A27,الريسبي!$B$2:$B$1800,J$1)</f>
        <v>0</v>
      </c>
      <c r="K27" s="115" t="n">
        <f aca="false">SUMIFS(الريسبي!$C$2:$C$1800,الريسبي!$A$2:$A$1800,$A27,الريسبي!$B$2:$B$1800,K$1)</f>
        <v>0</v>
      </c>
      <c r="L27" s="115" t="n">
        <f aca="false">SUMIFS(الريسبي!$C$2:$C$1800,الريسبي!$A$2:$A$1800,$A27,الريسبي!$B$2:$B$1800,L$1)</f>
        <v>0</v>
      </c>
      <c r="M27" s="115" t="n">
        <f aca="false">SUMIFS(الريسبي!$C$2:$C$1800,الريسبي!$A$2:$A$1800,$A27,الريسبي!$B$2:$B$1800,M$1)</f>
        <v>0</v>
      </c>
      <c r="N27" s="115" t="n">
        <f aca="false">SUMIFS(الريسبي!$C$2:$C$1800,الريسبي!$A$2:$A$1800,$A27,الريسبي!$B$2:$B$1800,N$1)</f>
        <v>0</v>
      </c>
      <c r="O27" s="115" t="n">
        <f aca="false">SUMIFS(الريسبي!$C$2:$C$1800,الريسبي!$A$2:$A$1800,$A27,الريسبي!$B$2:$B$1800,O$1)</f>
        <v>0</v>
      </c>
      <c r="P27" s="115" t="n">
        <f aca="false">SUMIFS(الريسبي!$C$2:$C$1800,الريسبي!$A$2:$A$1800,$A27,الريسبي!$B$2:$B$1800,P$1)</f>
        <v>0</v>
      </c>
      <c r="Q27" s="115" t="n">
        <f aca="false">SUMIFS(الريسبي!$C$2:$C$1800,الريسبي!$A$2:$A$1800,$A27,الريسبي!$B$2:$B$1800,Q$1)</f>
        <v>0</v>
      </c>
      <c r="R27" s="115" t="n">
        <f aca="false">SUMIFS(الريسبي!$C$2:$C$1800,الريسبي!$A$2:$A$1800,$A27,الريسبي!$B$2:$B$1800,R$1)</f>
        <v>0</v>
      </c>
      <c r="S27" s="115" t="n">
        <f aca="false">SUMIFS(الريسبي!$C$2:$C$1800,الريسبي!$A$2:$A$1800,$A27,الريسبي!$B$2:$B$1800,S$1)</f>
        <v>0</v>
      </c>
      <c r="T27" s="115" t="n">
        <f aca="false">SUMIFS(الريسبي!$C$2:$C$1800,الريسبي!$A$2:$A$1800,$A27,الريسبي!$B$2:$B$1800,T$1)</f>
        <v>0</v>
      </c>
      <c r="U27" s="115" t="n">
        <f aca="false">SUMIFS(الريسبي!$C$2:$C$1800,الريسبي!$A$2:$A$1800,$A27,الريسبي!$B$2:$B$1800,U$1)</f>
        <v>0</v>
      </c>
      <c r="V27" s="115" t="n">
        <f aca="false">SUMIFS(الريسبي!$C$2:$C$1800,الريسبي!$A$2:$A$1800,$A27,الريسبي!$B$2:$B$1800,V$1)</f>
        <v>0</v>
      </c>
      <c r="W27" s="115" t="n">
        <f aca="false">SUMIFS(الريسبي!$C$2:$C$1800,الريسبي!$A$2:$A$1800,$A27,الريسبي!$B$2:$B$1800,W$1)</f>
        <v>0</v>
      </c>
      <c r="X27" s="115" t="n">
        <f aca="false">SUMIFS(الريسبي!$C$2:$C$1800,الريسبي!$A$2:$A$1800,$A27,الريسبي!$B$2:$B$1800,X$1)</f>
        <v>0</v>
      </c>
      <c r="Y27" s="115" t="n">
        <f aca="false">SUMIFS(الريسبي!$C$2:$C$1800,الريسبي!$A$2:$A$1800,$A27,الريسبي!$B$2:$B$1800,Y$1)</f>
        <v>1</v>
      </c>
      <c r="Z27" s="115" t="n">
        <f aca="false">SUMIFS(الريسبي!$C$2:$C$1800,الريسبي!$A$2:$A$1800,$A27,الريسبي!$B$2:$B$1800,Z$1)</f>
        <v>0</v>
      </c>
      <c r="AA27" s="115" t="n">
        <f aca="false">SUMIFS(الريسبي!$C$2:$C$1800,الريسبي!$A$2:$A$1800,$A27,الريسبي!$B$2:$B$1800,AA$1)</f>
        <v>0</v>
      </c>
      <c r="AB27" s="115" t="n">
        <f aca="false">SUMIFS(الريسبي!$C$2:$C$1800,الريسبي!$A$2:$A$1800,$A27,الريسبي!$B$2:$B$1800,AB$1)</f>
        <v>0</v>
      </c>
      <c r="AC27" s="115" t="n">
        <f aca="false">SUMIFS(الريسبي!$C$2:$C$1800,الريسبي!$A$2:$A$1800,$A27,الريسبي!$B$2:$B$1800,AC$1)</f>
        <v>0</v>
      </c>
      <c r="AD27" s="115" t="n">
        <f aca="false">SUMIFS(الريسبي!$C$2:$C$1800,الريسبي!$A$2:$A$1800,$A27,الريسبي!$B$2:$B$1800,AD$1)</f>
        <v>0</v>
      </c>
      <c r="AE27" s="115" t="n">
        <f aca="false">SUMIFS(الريسبي!$C$2:$C$1800,الريسبي!$A$2:$A$1800,$A27,الريسبي!$B$2:$B$1800,AE$1)</f>
        <v>0</v>
      </c>
      <c r="AF27" s="115" t="n">
        <f aca="false">SUMIFS(الريسبي!$C$2:$C$1800,الريسبي!$A$2:$A$1800,$A27,الريسبي!$B$2:$B$1800,AF$1)</f>
        <v>0</v>
      </c>
      <c r="AG27" s="115" t="n">
        <f aca="false">SUMIFS(الريسبي!$C$2:$C$1800,الريسبي!$A$2:$A$1800,$A27,الريسبي!$B$2:$B$1800,AG$1)</f>
        <v>0</v>
      </c>
      <c r="AH27" s="115" t="n">
        <f aca="false">SUMIFS(الريسبي!$C$2:$C$1800,الريسبي!$A$2:$A$1800,$A27,الريسبي!$B$2:$B$1800,AH$1)</f>
        <v>0</v>
      </c>
      <c r="AI27" s="115" t="n">
        <f aca="false">SUMIFS(الريسبي!$C$2:$C$1800,الريسبي!$A$2:$A$1800,$A27,الريسبي!$B$2:$B$1800,AI$1)</f>
        <v>0</v>
      </c>
      <c r="AJ27" s="115" t="n">
        <f aca="false">SUMIFS(الريسبي!$C$2:$C$1800,الريسبي!$A$2:$A$1800,$A27,الريسبي!$B$2:$B$1800,AJ$1)</f>
        <v>2</v>
      </c>
      <c r="AK27" s="115" t="n">
        <f aca="false">SUMIFS(الريسبي!$C$2:$C$1800,الريسبي!$A$2:$A$1800,$A27,الريسبي!$B$2:$B$1800,AK$1)</f>
        <v>0</v>
      </c>
      <c r="AL27" s="115" t="n">
        <f aca="false">SUMIFS(الريسبي!$C$2:$C$1800,الريسبي!$A$2:$A$1800,$A27,الريسبي!$B$2:$B$1800,AL$1)</f>
        <v>0</v>
      </c>
      <c r="AM27" s="115"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15"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15" t="n">
        <f aca="false">SUMIFS(الريسبي!$C$2:$C$1800,الريسبي!$A$2:$A$1800,$A27,الريسبي!$B$2:$B$1800,AO$1)</f>
        <v>0</v>
      </c>
      <c r="AP27" s="115" t="n">
        <f aca="false">SUMIFS(الريسبي!$C$2:$C$1800,الريسبي!$A$2:$A$1800,$A27,الريسبي!$B$2:$B$1800,AP$1)</f>
        <v>0.03</v>
      </c>
      <c r="AQ27" s="115"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15" t="n">
        <f aca="false">SUMIFS(الريسبي!$C$2:$C$1800,الريسبي!$A$2:$A$1800,$A27,الريسبي!$B$2:$B$1800,AR$1)</f>
        <v>0</v>
      </c>
      <c r="AS27" s="115" t="n">
        <f aca="false">SUMIFS(الريسبي!$C$2:$C$1800,الريسبي!$A$2:$A$1800,$A27,الريسبي!$B$2:$B$1800,AS$1)</f>
        <v>0</v>
      </c>
      <c r="AT27" s="115" t="n">
        <f aca="false">SUMIFS(الريسبي!$C$2:$C$1800,الريسبي!$A$2:$A$1800,$A27,الريسبي!$B$2:$B$1800,AT$1)</f>
        <v>0</v>
      </c>
      <c r="AU27" s="115" t="n">
        <f aca="false">SUMIFS(الريسبي!$C$2:$C$1800,الريسبي!$A$2:$A$1800,$A27,الريسبي!$B$2:$B$1800,AU$1)</f>
        <v>0</v>
      </c>
      <c r="AV27" s="115" t="n">
        <f aca="false">SUMIFS(الريسبي!$C$2:$C$1800,الريسبي!$A$2:$A$1800,$A27,الريسبي!$B$2:$B$1800,AV$1)</f>
        <v>0</v>
      </c>
      <c r="AW27" s="115" t="n">
        <f aca="false">SUMIFS(الريسبي!$C$2:$C$1800,الريسبي!$A$2:$A$1800,$A27,الريسبي!$B$2:$B$1800,AW$1)</f>
        <v>0</v>
      </c>
      <c r="AX27" s="115" t="n">
        <f aca="false">SUMIFS(الريسبي!$C$2:$C$1800,الريسبي!$A$2:$A$1800,$A27,الريسبي!$B$2:$B$1800,AX$1)</f>
        <v>0</v>
      </c>
      <c r="AY27" s="115" t="n">
        <f aca="false">SUMIFS(الريسبي!$C$2:$C$1800,الريسبي!$A$2:$A$1800,$A27,الريسبي!$B$2:$B$1800,AY$1)</f>
        <v>0</v>
      </c>
      <c r="AZ27" s="115" t="n">
        <f aca="false">SUMIFS(الريسبي!$C$2:$C$1800,الريسبي!$A$2:$A$1800,$A27,الريسبي!$B$2:$B$1800,AZ$1)</f>
        <v>0</v>
      </c>
      <c r="BA27" s="115" t="n">
        <f aca="false">SUMIFS(الريسبي!$C$2:$C$1800,الريسبي!$A$2:$A$1800,$A27,الريسبي!$B$2:$B$1800,BA$1)</f>
        <v>0</v>
      </c>
      <c r="BB27" s="115" t="n">
        <f aca="false">SUMIFS(الريسبي!$C$2:$C$1800,الريسبي!$A$2:$A$1800,$A27,الريسبي!$B$2:$B$1800,BB$1)</f>
        <v>0</v>
      </c>
      <c r="BC27" s="115" t="n">
        <f aca="false">SUMIFS(الريسبي!$C$2:$C$1800,الريسبي!$A$2:$A$1800,$A27,الريسبي!$B$2:$B$1800,BC$1)</f>
        <v>0.045</v>
      </c>
      <c r="BD27" s="115" t="n">
        <f aca="false">SUMIFS(الريسبي!$C$2:$C$1800,الريسبي!$A$2:$A$1800,$A27,الريسبي!$B$2:$B$1800,BD$1)</f>
        <v>0</v>
      </c>
      <c r="BE27" s="115" t="n">
        <f aca="false">SUMIFS(الريسبي!$C$2:$C$1800,الريسبي!$A$2:$A$1800,$A27,الريسبي!$B$2:$B$1800,BE$1)</f>
        <v>1.5</v>
      </c>
      <c r="BF27" s="115" t="n">
        <f aca="false">SUMIFS(الريسبي!$C$2:$C$1800,الريسبي!$A$2:$A$1800,$A27,الريسبي!$B$2:$B$1800,BF$1)</f>
        <v>0</v>
      </c>
      <c r="BG27" s="115" t="n">
        <f aca="false">SUMIFS(الريسبي!$C$2:$C$1800,الريسبي!$A$2:$A$1800,$A27,الريسبي!$B$2:$B$1800,BG$1)</f>
        <v>1</v>
      </c>
      <c r="BH27" s="115" t="n">
        <f aca="false">SUMIFS(الريسبي!$C$2:$C$1800,الريسبي!$A$2:$A$1800,$A27,الريسبي!$B$2:$B$1800,BH$1)</f>
        <v>0</v>
      </c>
      <c r="BI27" s="115" t="n">
        <f aca="false">SUMIFS(الريسبي!$C$2:$C$1800,الريسبي!$A$2:$A$1800,$A27,الريسبي!$B$2:$B$1800,BI$1)</f>
        <v>0</v>
      </c>
      <c r="BJ27" s="115" t="n">
        <f aca="false">SUMIFS(الريسبي!$C$2:$C$1800,الريسبي!$A$2:$A$1800,$A27,الريسبي!$B$2:$B$1800,BJ$1)</f>
        <v>0</v>
      </c>
      <c r="BK27" s="115" t="n">
        <f aca="false">SUMIFS(الريسبي!$C$2:$C$1800,الريسبي!$A$2:$A$1800,$A27,الريسبي!$B$2:$B$1800,BK$1)</f>
        <v>0</v>
      </c>
      <c r="BL27" s="115" t="n">
        <f aca="false">SUMIFS(الريسبي!$C$2:$C$1800,الريسبي!$A$2:$A$1800,$A27,الريسبي!$B$2:$B$1800,BL$1)</f>
        <v>0</v>
      </c>
      <c r="BM27" s="115" t="n">
        <f aca="false">SUMIFS(الريسبي!$C$2:$C$1800,الريسبي!$A$2:$A$1800,$A27,الريسبي!$B$2:$B$1800,BM$1)</f>
        <v>0</v>
      </c>
      <c r="BN27" s="115" t="n">
        <f aca="false">SUMIFS(الريسبي!$C$2:$C$1800,الريسبي!$A$2:$A$1800,$A27,الريسبي!$B$2:$B$1800,BN$1)</f>
        <v>0.03</v>
      </c>
      <c r="BO27" s="115" t="n">
        <f aca="false">SUMIFS(الريسبي!$C$2:$C$1800,الريسبي!$A$2:$A$1800,$A27,الريسبي!$B$2:$B$1800,BO$1)</f>
        <v>0</v>
      </c>
      <c r="BP27" s="115" t="n">
        <f aca="false">SUMIFS(الريسبي!$C$2:$C$1800,الريسبي!$A$2:$A$1800,$A27,الريسبي!$B$2:$B$1800,BP$1)</f>
        <v>3</v>
      </c>
      <c r="BQ27" s="115"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15" t="n">
        <f aca="false">SUMIFS(الريسبي!$C$2:$C$1800,الريسبي!$A$2:$A$1800,$A27,الريسبي!$B$2:$B$1800,BR$1)</f>
        <v>1</v>
      </c>
      <c r="BS27" s="115" t="n">
        <f aca="false">SUMIFS(الريسبي!$C$2:$C$1800,الريسبي!$A$2:$A$1800,$A27,الريسبي!$B$2:$B$1800,BS$1)</f>
        <v>0</v>
      </c>
      <c r="BT27" s="115" t="n">
        <f aca="false">SUMIFS(الريسبي!$C$2:$C$1800,الريسبي!$A$2:$A$1800,$A27,الريسبي!$B$2:$B$1800,BT$1)</f>
        <v>0</v>
      </c>
      <c r="BU27" s="115"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15" t="n">
        <f aca="false">SUMIFS(الريسبي!$C$2:$C$1800,الريسبي!$A$2:$A$1800,$A27,الريسبي!$B$2:$B$1800,BV$1)</f>
        <v>0</v>
      </c>
      <c r="BW27" s="115" t="n">
        <f aca="false">SUMIFS(الريسبي!$C$2:$C$1800,الريسبي!$A$2:$A$1800,$A27,الريسبي!$B$2:$B$1800,BW$1)</f>
        <v>0</v>
      </c>
      <c r="BX27" s="115" t="n">
        <f aca="false">SUMIFS(الريسبي!$C$2:$C$1800,الريسبي!$A$2:$A$1800,$A27,الريسبي!$B$2:$B$1800,BX$1)</f>
        <v>0</v>
      </c>
      <c r="BY27" s="115" t="n">
        <f aca="false">SUMIFS(الريسبي!$C$2:$C$1800,الريسبي!$A$2:$A$1800,$A27,الريسبي!$B$2:$B$1800,BY$1)</f>
        <v>0</v>
      </c>
      <c r="BZ27" s="115" t="n">
        <f aca="false">SUMIFS(الريسبي!$C$2:$C$1800,الريسبي!$A$2:$A$1800,$A27,الريسبي!$B$2:$B$1800,BZ$1)</f>
        <v>1</v>
      </c>
      <c r="CA27" s="115" t="n">
        <f aca="false">SUMIFS(الريسبي!$C$2:$C$1800,الريسبي!$A$2:$A$1800,$A27,الريسبي!$B$2:$B$1800,CA$1)</f>
        <v>1</v>
      </c>
      <c r="CB27" s="115" t="n">
        <f aca="false">SUMIFS(الريسبي!$C$2:$C$1800,الريسبي!$A$2:$A$1800,$A27,الريسبي!$B$2:$B$1800,CB$1)</f>
        <v>0</v>
      </c>
      <c r="CC27" s="115" t="n">
        <f aca="false">SUMIFS(الريسبي!$C$2:$C$1800,الريسبي!$A$2:$A$1800,$A27,الريسبي!$B$2:$B$1800,CC$1)</f>
        <v>0</v>
      </c>
      <c r="CD27" s="115" t="n">
        <f aca="false">SUMIFS(الريسبي!$C$2:$C$1800,الريسبي!$A$2:$A$1800,$A27,الريسبي!$B$2:$B$1800,CD$1)</f>
        <v>0</v>
      </c>
      <c r="CE27" s="115" t="n">
        <f aca="false">SUMIFS(الريسبي!$C$2:$C$1800,الريسبي!$A$2:$A$1800,$A27,الريسبي!$B$2:$B$1800,CE$1)</f>
        <v>0</v>
      </c>
      <c r="CF27" s="115" t="n">
        <f aca="false">SUMIFS(الريسبي!$C$2:$C$1800,الريسبي!$A$2:$A$1800,$A27,الريسبي!$B$2:$B$1800,CF$1)</f>
        <v>0</v>
      </c>
      <c r="CG27" s="115" t="n">
        <f aca="false">SUMIFS(الريسبي!$C$2:$C$1800,الريسبي!$A$2:$A$1800,$A27,الريسبي!$B$2:$B$1800,CG$1)</f>
        <v>0</v>
      </c>
      <c r="CH27" s="115" t="n">
        <f aca="false">SUMIFS(الريسبي!$C$2:$C$1800,الريسبي!$A$2:$A$1800,$A27,الريسبي!$B$2:$B$1800,CH$1)</f>
        <v>0</v>
      </c>
    </row>
    <row r="28" customFormat="false" ht="15" hidden="false" customHeight="false" outlineLevel="0" collapsed="false">
      <c r="A28" s="114" t="str">
        <f aca="false">المنيو!B28</f>
        <v>فطيرة ميكس بسطرمة وسدق بالكيري وسط</v>
      </c>
      <c r="B28" s="115" t="n">
        <f aca="false">SUMIFS(الريسبي!$C$2:$C$1800,الريسبي!$A$2:$A$1800,$A28,الريسبي!$B$2:$B$1800,B$1)</f>
        <v>0</v>
      </c>
      <c r="C28" s="115" t="n">
        <f aca="false">SUMIFS(الريسبي!$C$2:$C$1800,الريسبي!$A$2:$A$1800,$A28,الريسبي!$B$2:$B$1800,C$1)</f>
        <v>0</v>
      </c>
      <c r="D28" s="115" t="n">
        <f aca="false">SUMIFS(الريسبي!$C$2:$C$1800,الريسبي!$A$2:$A$1800,$A28,الريسبي!$B$2:$B$1800,D$1)</f>
        <v>1</v>
      </c>
      <c r="E28" s="115" t="n">
        <f aca="false">SUMIFS(الريسبي!$C$2:$C$1800,الريسبي!$A$2:$A$1800,$A28,الريسبي!$B$2:$B$1800,E$1)</f>
        <v>0</v>
      </c>
      <c r="F28" s="115" t="n">
        <f aca="false">SUMIFS(الريسبي!$C$2:$C$1800,الريسبي!$A$2:$A$1800,$A28,الريسبي!$B$2:$B$1800,F$1)</f>
        <v>0</v>
      </c>
      <c r="G28" s="115" t="n">
        <f aca="false">SUMIFS(الريسبي!$C$2:$C$1800,الريسبي!$A$2:$A$1800,$A28,الريسبي!$B$2:$B$1800,G$1)</f>
        <v>1</v>
      </c>
      <c r="H28" s="115" t="n">
        <f aca="false">SUMIFS(الريسبي!$C$2:$C$1800,الريسبي!$A$2:$A$1800,$A28,الريسبي!$B$2:$B$1800,H$1)</f>
        <v>0</v>
      </c>
      <c r="I28" s="115" t="n">
        <f aca="false">SUMIFS(الريسبي!$C$2:$C$1800,الريسبي!$A$2:$A$1800,$A28,الريسبي!$B$2:$B$1800,I$1)</f>
        <v>0</v>
      </c>
      <c r="J28" s="115" t="n">
        <f aca="false">SUMIFS(الريسبي!$C$2:$C$1800,الريسبي!$A$2:$A$1800,$A28,الريسبي!$B$2:$B$1800,J$1)</f>
        <v>0</v>
      </c>
      <c r="K28" s="115" t="n">
        <f aca="false">SUMIFS(الريسبي!$C$2:$C$1800,الريسبي!$A$2:$A$1800,$A28,الريسبي!$B$2:$B$1800,K$1)</f>
        <v>0</v>
      </c>
      <c r="L28" s="115" t="n">
        <f aca="false">SUMIFS(الريسبي!$C$2:$C$1800,الريسبي!$A$2:$A$1800,$A28,الريسبي!$B$2:$B$1800,L$1)</f>
        <v>1</v>
      </c>
      <c r="M28" s="115" t="n">
        <f aca="false">SUMIFS(الريسبي!$C$2:$C$1800,الريسبي!$A$2:$A$1800,$A28,الريسبي!$B$2:$B$1800,M$1)</f>
        <v>0</v>
      </c>
      <c r="N28" s="115" t="n">
        <f aca="false">SUMIFS(الريسبي!$C$2:$C$1800,الريسبي!$A$2:$A$1800,$A28,الريسبي!$B$2:$B$1800,N$1)</f>
        <v>0</v>
      </c>
      <c r="O28" s="115" t="n">
        <f aca="false">SUMIFS(الريسبي!$C$2:$C$1800,الريسبي!$A$2:$A$1800,$A28,الريسبي!$B$2:$B$1800,O$1)</f>
        <v>0</v>
      </c>
      <c r="P28" s="115" t="n">
        <f aca="false">SUMIFS(الريسبي!$C$2:$C$1800,الريسبي!$A$2:$A$1800,$A28,الريسبي!$B$2:$B$1800,P$1)</f>
        <v>0</v>
      </c>
      <c r="Q28" s="115" t="n">
        <f aca="false">SUMIFS(الريسبي!$C$2:$C$1800,الريسبي!$A$2:$A$1800,$A28,الريسبي!$B$2:$B$1800,Q$1)</f>
        <v>0</v>
      </c>
      <c r="R28" s="115" t="n">
        <f aca="false">SUMIFS(الريسبي!$C$2:$C$1800,الريسبي!$A$2:$A$1800,$A28,الريسبي!$B$2:$B$1800,R$1)</f>
        <v>0</v>
      </c>
      <c r="S28" s="115" t="n">
        <f aca="false">SUMIFS(الريسبي!$C$2:$C$1800,الريسبي!$A$2:$A$1800,$A28,الريسبي!$B$2:$B$1800,S$1)</f>
        <v>0</v>
      </c>
      <c r="T28" s="115" t="n">
        <f aca="false">SUMIFS(الريسبي!$C$2:$C$1800,الريسبي!$A$2:$A$1800,$A28,الريسبي!$B$2:$B$1800,T$1)</f>
        <v>0</v>
      </c>
      <c r="U28" s="115" t="n">
        <f aca="false">SUMIFS(الريسبي!$C$2:$C$1800,الريسبي!$A$2:$A$1800,$A28,الريسبي!$B$2:$B$1800,U$1)</f>
        <v>0</v>
      </c>
      <c r="V28" s="115" t="n">
        <f aca="false">SUMIFS(الريسبي!$C$2:$C$1800,الريسبي!$A$2:$A$1800,$A28,الريسبي!$B$2:$B$1800,V$1)</f>
        <v>0</v>
      </c>
      <c r="W28" s="115" t="n">
        <f aca="false">SUMIFS(الريسبي!$C$2:$C$1800,الريسبي!$A$2:$A$1800,$A28,الريسبي!$B$2:$B$1800,W$1)</f>
        <v>0</v>
      </c>
      <c r="X28" s="115" t="n">
        <f aca="false">SUMIFS(الريسبي!$C$2:$C$1800,الريسبي!$A$2:$A$1800,$A28,الريسبي!$B$2:$B$1800,X$1)</f>
        <v>1</v>
      </c>
      <c r="Y28" s="115" t="n">
        <f aca="false">SUMIFS(الريسبي!$C$2:$C$1800,الريسبي!$A$2:$A$1800,$A28,الريسبي!$B$2:$B$1800,Y$1)</f>
        <v>0</v>
      </c>
      <c r="Z28" s="115" t="n">
        <f aca="false">SUMIFS(الريسبي!$C$2:$C$1800,الريسبي!$A$2:$A$1800,$A28,الريسبي!$B$2:$B$1800,Z$1)</f>
        <v>0</v>
      </c>
      <c r="AA28" s="115" t="n">
        <f aca="false">SUMIFS(الريسبي!$C$2:$C$1800,الريسبي!$A$2:$A$1800,$A28,الريسبي!$B$2:$B$1800,AA$1)</f>
        <v>0</v>
      </c>
      <c r="AB28" s="115" t="n">
        <f aca="false">SUMIFS(الريسبي!$C$2:$C$1800,الريسبي!$A$2:$A$1800,$A28,الريسبي!$B$2:$B$1800,AB$1)</f>
        <v>0</v>
      </c>
      <c r="AC28" s="115" t="n">
        <f aca="false">SUMIFS(الريسبي!$C$2:$C$1800,الريسبي!$A$2:$A$1800,$A28,الريسبي!$B$2:$B$1800,AC$1)</f>
        <v>0</v>
      </c>
      <c r="AD28" s="115" t="n">
        <f aca="false">SUMIFS(الريسبي!$C$2:$C$1800,الريسبي!$A$2:$A$1800,$A28,الريسبي!$B$2:$B$1800,AD$1)</f>
        <v>0</v>
      </c>
      <c r="AE28" s="115" t="n">
        <f aca="false">SUMIFS(الريسبي!$C$2:$C$1800,الريسبي!$A$2:$A$1800,$A28,الريسبي!$B$2:$B$1800,AE$1)</f>
        <v>0</v>
      </c>
      <c r="AF28" s="115" t="n">
        <f aca="false">SUMIFS(الريسبي!$C$2:$C$1800,الريسبي!$A$2:$A$1800,$A28,الريسبي!$B$2:$B$1800,AF$1)</f>
        <v>0</v>
      </c>
      <c r="AG28" s="115" t="n">
        <f aca="false">SUMIFS(الريسبي!$C$2:$C$1800,الريسبي!$A$2:$A$1800,$A28,الريسبي!$B$2:$B$1800,AG$1)</f>
        <v>0</v>
      </c>
      <c r="AH28" s="115" t="n">
        <f aca="false">SUMIFS(الريسبي!$C$2:$C$1800,الريسبي!$A$2:$A$1800,$A28,الريسبي!$B$2:$B$1800,AH$1)</f>
        <v>0</v>
      </c>
      <c r="AI28" s="115" t="n">
        <f aca="false">SUMIFS(الريسبي!$C$2:$C$1800,الريسبي!$A$2:$A$1800,$A28,الريسبي!$B$2:$B$1800,AI$1)</f>
        <v>0</v>
      </c>
      <c r="AJ28" s="115" t="n">
        <f aca="false">SUMIFS(الريسبي!$C$2:$C$1800,الريسبي!$A$2:$A$1800,$A28,الريسبي!$B$2:$B$1800,AJ$1)</f>
        <v>2</v>
      </c>
      <c r="AK28" s="115" t="n">
        <f aca="false">SUMIFS(الريسبي!$C$2:$C$1800,الريسبي!$A$2:$A$1800,$A28,الريسبي!$B$2:$B$1800,AK$1)</f>
        <v>0</v>
      </c>
      <c r="AL28" s="115" t="n">
        <f aca="false">SUMIFS(الريسبي!$C$2:$C$1800,الريسبي!$A$2:$A$1800,$A28,الريسبي!$B$2:$B$1800,AL$1)</f>
        <v>0</v>
      </c>
      <c r="AM28" s="115"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15"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15" t="n">
        <f aca="false">SUMIFS(الريسبي!$C$2:$C$1800,الريسبي!$A$2:$A$1800,$A28,الريسبي!$B$2:$B$1800,AO$1)</f>
        <v>0</v>
      </c>
      <c r="AP28" s="115" t="n">
        <f aca="false">SUMIFS(الريسبي!$C$2:$C$1800,الريسبي!$A$2:$A$1800,$A28,الريسبي!$B$2:$B$1800,AP$1)</f>
        <v>0.02</v>
      </c>
      <c r="AQ28" s="115"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15" t="n">
        <f aca="false">SUMIFS(الريسبي!$C$2:$C$1800,الريسبي!$A$2:$A$1800,$A28,الريسبي!$B$2:$B$1800,AR$1)</f>
        <v>0</v>
      </c>
      <c r="AS28" s="115" t="n">
        <f aca="false">SUMIFS(الريسبي!$C$2:$C$1800,الريسبي!$A$2:$A$1800,$A28,الريسبي!$B$2:$B$1800,AS$1)</f>
        <v>0</v>
      </c>
      <c r="AT28" s="115" t="n">
        <f aca="false">SUMIFS(الريسبي!$C$2:$C$1800,الريسبي!$A$2:$A$1800,$A28,الريسبي!$B$2:$B$1800,AT$1)</f>
        <v>0</v>
      </c>
      <c r="AU28" s="115" t="n">
        <f aca="false">SUMIFS(الريسبي!$C$2:$C$1800,الريسبي!$A$2:$A$1800,$A28,الريسبي!$B$2:$B$1800,AU$1)</f>
        <v>0</v>
      </c>
      <c r="AV28" s="115" t="n">
        <f aca="false">SUMIFS(الريسبي!$C$2:$C$1800,الريسبي!$A$2:$A$1800,$A28,الريسبي!$B$2:$B$1800,AV$1)</f>
        <v>0</v>
      </c>
      <c r="AW28" s="115" t="n">
        <f aca="false">SUMIFS(الريسبي!$C$2:$C$1800,الريسبي!$A$2:$A$1800,$A28,الريسبي!$B$2:$B$1800,AW$1)</f>
        <v>0</v>
      </c>
      <c r="AX28" s="115" t="n">
        <f aca="false">SUMIFS(الريسبي!$C$2:$C$1800,الريسبي!$A$2:$A$1800,$A28,الريسبي!$B$2:$B$1800,AX$1)</f>
        <v>0</v>
      </c>
      <c r="AY28" s="115" t="n">
        <f aca="false">SUMIFS(الريسبي!$C$2:$C$1800,الريسبي!$A$2:$A$1800,$A28,الريسبي!$B$2:$B$1800,AY$1)</f>
        <v>0</v>
      </c>
      <c r="AZ28" s="115" t="n">
        <f aca="false">SUMIFS(الريسبي!$C$2:$C$1800,الريسبي!$A$2:$A$1800,$A28,الريسبي!$B$2:$B$1800,AZ$1)</f>
        <v>0</v>
      </c>
      <c r="BA28" s="115" t="n">
        <f aca="false">SUMIFS(الريسبي!$C$2:$C$1800,الريسبي!$A$2:$A$1800,$A28,الريسبي!$B$2:$B$1800,BA$1)</f>
        <v>0</v>
      </c>
      <c r="BB28" s="115" t="n">
        <f aca="false">SUMIFS(الريسبي!$C$2:$C$1800,الريسبي!$A$2:$A$1800,$A28,الريسبي!$B$2:$B$1800,BB$1)</f>
        <v>0</v>
      </c>
      <c r="BC28" s="115" t="n">
        <f aca="false">SUMIFS(الريسبي!$C$2:$C$1800,الريسبي!$A$2:$A$1800,$A28,الريسبي!$B$2:$B$1800,BC$1)</f>
        <v>0.03</v>
      </c>
      <c r="BD28" s="115" t="n">
        <f aca="false">SUMIFS(الريسبي!$C$2:$C$1800,الريسبي!$A$2:$A$1800,$A28,الريسبي!$B$2:$B$1800,BD$1)</f>
        <v>0</v>
      </c>
      <c r="BE28" s="115" t="n">
        <f aca="false">SUMIFS(الريسبي!$C$2:$C$1800,الريسبي!$A$2:$A$1800,$A28,الريسبي!$B$2:$B$1800,BE$1)</f>
        <v>1</v>
      </c>
      <c r="BF28" s="115" t="n">
        <f aca="false">SUMIFS(الريسبي!$C$2:$C$1800,الريسبي!$A$2:$A$1800,$A28,الريسبي!$B$2:$B$1800,BF$1)</f>
        <v>0</v>
      </c>
      <c r="BG28" s="115" t="n">
        <f aca="false">SUMIFS(الريسبي!$C$2:$C$1800,الريسبي!$A$2:$A$1800,$A28,الريسبي!$B$2:$B$1800,BG$1)</f>
        <v>0</v>
      </c>
      <c r="BH28" s="115" t="n">
        <f aca="false">SUMIFS(الريسبي!$C$2:$C$1800,الريسبي!$A$2:$A$1800,$A28,الريسبي!$B$2:$B$1800,BH$1)</f>
        <v>1</v>
      </c>
      <c r="BI28" s="115" t="n">
        <f aca="false">SUMIFS(الريسبي!$C$2:$C$1800,الريسبي!$A$2:$A$1800,$A28,الريسبي!$B$2:$B$1800,BI$1)</f>
        <v>0</v>
      </c>
      <c r="BJ28" s="115" t="n">
        <f aca="false">SUMIFS(الريسبي!$C$2:$C$1800,الريسبي!$A$2:$A$1800,$A28,الريسبي!$B$2:$B$1800,BJ$1)</f>
        <v>0</v>
      </c>
      <c r="BK28" s="115" t="n">
        <f aca="false">SUMIFS(الريسبي!$C$2:$C$1800,الريسبي!$A$2:$A$1800,$A28,الريسبي!$B$2:$B$1800,BK$1)</f>
        <v>0</v>
      </c>
      <c r="BL28" s="115" t="n">
        <f aca="false">SUMIFS(الريسبي!$C$2:$C$1800,الريسبي!$A$2:$A$1800,$A28,الريسبي!$B$2:$B$1800,BL$1)</f>
        <v>0</v>
      </c>
      <c r="BM28" s="115" t="n">
        <f aca="false">SUMIFS(الريسبي!$C$2:$C$1800,الريسبي!$A$2:$A$1800,$A28,الريسبي!$B$2:$B$1800,BM$1)</f>
        <v>0</v>
      </c>
      <c r="BN28" s="115" t="n">
        <f aca="false">SUMIFS(الريسبي!$C$2:$C$1800,الريسبي!$A$2:$A$1800,$A28,الريسبي!$B$2:$B$1800,BN$1)</f>
        <v>0.02</v>
      </c>
      <c r="BO28" s="115" t="n">
        <f aca="false">SUMIFS(الريسبي!$C$2:$C$1800,الريسبي!$A$2:$A$1800,$A28,الريسبي!$B$2:$B$1800,BO$1)</f>
        <v>2</v>
      </c>
      <c r="BP28" s="115" t="n">
        <f aca="false">SUMIFS(الريسبي!$C$2:$C$1800,الريسبي!$A$2:$A$1800,$A28,الريسبي!$B$2:$B$1800,BP$1)</f>
        <v>2</v>
      </c>
      <c r="BQ28" s="115"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15" t="n">
        <f aca="false">SUMIFS(الريسبي!$C$2:$C$1800,الريسبي!$A$2:$A$1800,$A28,الريسبي!$B$2:$B$1800,BR$1)</f>
        <v>1</v>
      </c>
      <c r="BS28" s="115" t="n">
        <f aca="false">SUMIFS(الريسبي!$C$2:$C$1800,الريسبي!$A$2:$A$1800,$A28,الريسبي!$B$2:$B$1800,BS$1)</f>
        <v>0</v>
      </c>
      <c r="BT28" s="115" t="n">
        <f aca="false">SUMIFS(الريسبي!$C$2:$C$1800,الريسبي!$A$2:$A$1800,$A28,الريسبي!$B$2:$B$1800,BT$1)</f>
        <v>0</v>
      </c>
      <c r="BU28" s="115"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15" t="n">
        <f aca="false">SUMIFS(الريسبي!$C$2:$C$1800,الريسبي!$A$2:$A$1800,$A28,الريسبي!$B$2:$B$1800,BV$1)</f>
        <v>0</v>
      </c>
      <c r="BW28" s="115" t="n">
        <f aca="false">SUMIFS(الريسبي!$C$2:$C$1800,الريسبي!$A$2:$A$1800,$A28,الريسبي!$B$2:$B$1800,BW$1)</f>
        <v>0</v>
      </c>
      <c r="BX28" s="115" t="n">
        <f aca="false">SUMIFS(الريسبي!$C$2:$C$1800,الريسبي!$A$2:$A$1800,$A28,الريسبي!$B$2:$B$1800,BX$1)</f>
        <v>0</v>
      </c>
      <c r="BY28" s="115" t="n">
        <f aca="false">SUMIFS(الريسبي!$C$2:$C$1800,الريسبي!$A$2:$A$1800,$A28,الريسبي!$B$2:$B$1800,BY$1)</f>
        <v>0</v>
      </c>
      <c r="BZ28" s="115" t="n">
        <f aca="false">SUMIFS(الريسبي!$C$2:$C$1800,الريسبي!$A$2:$A$1800,$A28,الريسبي!$B$2:$B$1800,BZ$1)</f>
        <v>1</v>
      </c>
      <c r="CA28" s="115" t="n">
        <f aca="false">SUMIFS(الريسبي!$C$2:$C$1800,الريسبي!$A$2:$A$1800,$A28,الريسبي!$B$2:$B$1800,CA$1)</f>
        <v>1</v>
      </c>
      <c r="CB28" s="115" t="n">
        <f aca="false">SUMIFS(الريسبي!$C$2:$C$1800,الريسبي!$A$2:$A$1800,$A28,الريسبي!$B$2:$B$1800,CB$1)</f>
        <v>0</v>
      </c>
      <c r="CC28" s="115" t="n">
        <f aca="false">SUMIFS(الريسبي!$C$2:$C$1800,الريسبي!$A$2:$A$1800,$A28,الريسبي!$B$2:$B$1800,CC$1)</f>
        <v>0</v>
      </c>
      <c r="CD28" s="115" t="n">
        <f aca="false">SUMIFS(الريسبي!$C$2:$C$1800,الريسبي!$A$2:$A$1800,$A28,الريسبي!$B$2:$B$1800,CD$1)</f>
        <v>0</v>
      </c>
      <c r="CE28" s="115" t="n">
        <f aca="false">SUMIFS(الريسبي!$C$2:$C$1800,الريسبي!$A$2:$A$1800,$A28,الريسبي!$B$2:$B$1800,CE$1)</f>
        <v>0</v>
      </c>
      <c r="CF28" s="115" t="n">
        <f aca="false">SUMIFS(الريسبي!$C$2:$C$1800,الريسبي!$A$2:$A$1800,$A28,الريسبي!$B$2:$B$1800,CF$1)</f>
        <v>0</v>
      </c>
      <c r="CG28" s="115" t="n">
        <f aca="false">SUMIFS(الريسبي!$C$2:$C$1800,الريسبي!$A$2:$A$1800,$A28,الريسبي!$B$2:$B$1800,CG$1)</f>
        <v>0</v>
      </c>
      <c r="CH28" s="115" t="n">
        <f aca="false">SUMIFS(الريسبي!$C$2:$C$1800,الريسبي!$A$2:$A$1800,$A28,الريسبي!$B$2:$B$1800,CH$1)</f>
        <v>0</v>
      </c>
    </row>
    <row r="29" customFormat="false" ht="15" hidden="false" customHeight="false" outlineLevel="0" collapsed="false">
      <c r="A29" s="114" t="str">
        <f aca="false">المنيو!B29</f>
        <v>فطيرة ميكس بسطرمة وسدق بالكيري حجم اكبر</v>
      </c>
      <c r="B29" s="115" t="n">
        <f aca="false">SUMIFS(الريسبي!$C$2:$C$1800,الريسبي!$A$2:$A$1800,$A29,الريسبي!$B$2:$B$1800,B$1)</f>
        <v>0</v>
      </c>
      <c r="C29" s="115" t="n">
        <f aca="false">SUMIFS(الريسبي!$C$2:$C$1800,الريسبي!$A$2:$A$1800,$A29,الريسبي!$B$2:$B$1800,C$1)</f>
        <v>0</v>
      </c>
      <c r="D29" s="115" t="n">
        <f aca="false">SUMIFS(الريسبي!$C$2:$C$1800,الريسبي!$A$2:$A$1800,$A29,الريسبي!$B$2:$B$1800,D$1)</f>
        <v>1</v>
      </c>
      <c r="E29" s="115" t="n">
        <f aca="false">SUMIFS(الريسبي!$C$2:$C$1800,الريسبي!$A$2:$A$1800,$A29,الريسبي!$B$2:$B$1800,E$1)</f>
        <v>0</v>
      </c>
      <c r="F29" s="115" t="n">
        <f aca="false">SUMIFS(الريسبي!$C$2:$C$1800,الريسبي!$A$2:$A$1800,$A29,الريسبي!$B$2:$B$1800,F$1)</f>
        <v>0</v>
      </c>
      <c r="G29" s="115" t="n">
        <f aca="false">SUMIFS(الريسبي!$C$2:$C$1800,الريسبي!$A$2:$A$1800,$A29,الريسبي!$B$2:$B$1800,G$1)</f>
        <v>0</v>
      </c>
      <c r="H29" s="115" t="n">
        <f aca="false">SUMIFS(الريسبي!$C$2:$C$1800,الريسبي!$A$2:$A$1800,$A29,الريسبي!$B$2:$B$1800,H$1)</f>
        <v>1</v>
      </c>
      <c r="I29" s="115" t="n">
        <f aca="false">SUMIFS(الريسبي!$C$2:$C$1800,الريسبي!$A$2:$A$1800,$A29,الريسبي!$B$2:$B$1800,I$1)</f>
        <v>0</v>
      </c>
      <c r="J29" s="115" t="n">
        <f aca="false">SUMIFS(الريسبي!$C$2:$C$1800,الريسبي!$A$2:$A$1800,$A29,الريسبي!$B$2:$B$1800,J$1)</f>
        <v>0</v>
      </c>
      <c r="K29" s="115" t="n">
        <f aca="false">SUMIFS(الريسبي!$C$2:$C$1800,الريسبي!$A$2:$A$1800,$A29,الريسبي!$B$2:$B$1800,K$1)</f>
        <v>0</v>
      </c>
      <c r="L29" s="115" t="n">
        <f aca="false">SUMIFS(الريسبي!$C$2:$C$1800,الريسبي!$A$2:$A$1800,$A29,الريسبي!$B$2:$B$1800,L$1)</f>
        <v>0</v>
      </c>
      <c r="M29" s="115" t="n">
        <f aca="false">SUMIFS(الريسبي!$C$2:$C$1800,الريسبي!$A$2:$A$1800,$A29,الريسبي!$B$2:$B$1800,M$1)</f>
        <v>1</v>
      </c>
      <c r="N29" s="115" t="n">
        <f aca="false">SUMIFS(الريسبي!$C$2:$C$1800,الريسبي!$A$2:$A$1800,$A29,الريسبي!$B$2:$B$1800,N$1)</f>
        <v>0</v>
      </c>
      <c r="O29" s="115" t="n">
        <f aca="false">SUMIFS(الريسبي!$C$2:$C$1800,الريسبي!$A$2:$A$1800,$A29,الريسبي!$B$2:$B$1800,O$1)</f>
        <v>0</v>
      </c>
      <c r="P29" s="115" t="n">
        <f aca="false">SUMIFS(الريسبي!$C$2:$C$1800,الريسبي!$A$2:$A$1800,$A29,الريسبي!$B$2:$B$1800,P$1)</f>
        <v>0</v>
      </c>
      <c r="Q29" s="115" t="n">
        <f aca="false">SUMIFS(الريسبي!$C$2:$C$1800,الريسبي!$A$2:$A$1800,$A29,الريسبي!$B$2:$B$1800,Q$1)</f>
        <v>0</v>
      </c>
      <c r="R29" s="115" t="n">
        <f aca="false">SUMIFS(الريسبي!$C$2:$C$1800,الريسبي!$A$2:$A$1800,$A29,الريسبي!$B$2:$B$1800,R$1)</f>
        <v>0</v>
      </c>
      <c r="S29" s="115" t="n">
        <f aca="false">SUMIFS(الريسبي!$C$2:$C$1800,الريسبي!$A$2:$A$1800,$A29,الريسبي!$B$2:$B$1800,S$1)</f>
        <v>0</v>
      </c>
      <c r="T29" s="115" t="n">
        <f aca="false">SUMIFS(الريسبي!$C$2:$C$1800,الريسبي!$A$2:$A$1800,$A29,الريسبي!$B$2:$B$1800,T$1)</f>
        <v>0</v>
      </c>
      <c r="U29" s="115" t="n">
        <f aca="false">SUMIFS(الريسبي!$C$2:$C$1800,الريسبي!$A$2:$A$1800,$A29,الريسبي!$B$2:$B$1800,U$1)</f>
        <v>0</v>
      </c>
      <c r="V29" s="115" t="n">
        <f aca="false">SUMIFS(الريسبي!$C$2:$C$1800,الريسبي!$A$2:$A$1800,$A29,الريسبي!$B$2:$B$1800,V$1)</f>
        <v>0</v>
      </c>
      <c r="W29" s="115" t="n">
        <f aca="false">SUMIFS(الريسبي!$C$2:$C$1800,الريسبي!$A$2:$A$1800,$A29,الريسبي!$B$2:$B$1800,W$1)</f>
        <v>0</v>
      </c>
      <c r="X29" s="115" t="n">
        <f aca="false">SUMIFS(الريسبي!$C$2:$C$1800,الريسبي!$A$2:$A$1800,$A29,الريسبي!$B$2:$B$1800,X$1)</f>
        <v>0</v>
      </c>
      <c r="Y29" s="115" t="n">
        <f aca="false">SUMIFS(الريسبي!$C$2:$C$1800,الريسبي!$A$2:$A$1800,$A29,الريسبي!$B$2:$B$1800,Y$1)</f>
        <v>1</v>
      </c>
      <c r="Z29" s="115" t="n">
        <f aca="false">SUMIFS(الريسبي!$C$2:$C$1800,الريسبي!$A$2:$A$1800,$A29,الريسبي!$B$2:$B$1800,Z$1)</f>
        <v>0</v>
      </c>
      <c r="AA29" s="115" t="n">
        <f aca="false">SUMIFS(الريسبي!$C$2:$C$1800,الريسبي!$A$2:$A$1800,$A29,الريسبي!$B$2:$B$1800,AA$1)</f>
        <v>0</v>
      </c>
      <c r="AB29" s="115" t="n">
        <f aca="false">SUMIFS(الريسبي!$C$2:$C$1800,الريسبي!$A$2:$A$1800,$A29,الريسبي!$B$2:$B$1800,AB$1)</f>
        <v>0</v>
      </c>
      <c r="AC29" s="115" t="n">
        <f aca="false">SUMIFS(الريسبي!$C$2:$C$1800,الريسبي!$A$2:$A$1800,$A29,الريسبي!$B$2:$B$1800,AC$1)</f>
        <v>0</v>
      </c>
      <c r="AD29" s="115" t="n">
        <f aca="false">SUMIFS(الريسبي!$C$2:$C$1800,الريسبي!$A$2:$A$1800,$A29,الريسبي!$B$2:$B$1800,AD$1)</f>
        <v>0</v>
      </c>
      <c r="AE29" s="115" t="n">
        <f aca="false">SUMIFS(الريسبي!$C$2:$C$1800,الريسبي!$A$2:$A$1800,$A29,الريسبي!$B$2:$B$1800,AE$1)</f>
        <v>0</v>
      </c>
      <c r="AF29" s="115" t="n">
        <f aca="false">SUMIFS(الريسبي!$C$2:$C$1800,الريسبي!$A$2:$A$1800,$A29,الريسبي!$B$2:$B$1800,AF$1)</f>
        <v>0</v>
      </c>
      <c r="AG29" s="115" t="n">
        <f aca="false">SUMIFS(الريسبي!$C$2:$C$1800,الريسبي!$A$2:$A$1800,$A29,الريسبي!$B$2:$B$1800,AG$1)</f>
        <v>0</v>
      </c>
      <c r="AH29" s="115" t="n">
        <f aca="false">SUMIFS(الريسبي!$C$2:$C$1800,الريسبي!$A$2:$A$1800,$A29,الريسبي!$B$2:$B$1800,AH$1)</f>
        <v>0</v>
      </c>
      <c r="AI29" s="115" t="n">
        <f aca="false">SUMIFS(الريسبي!$C$2:$C$1800,الريسبي!$A$2:$A$1800,$A29,الريسبي!$B$2:$B$1800,AI$1)</f>
        <v>0</v>
      </c>
      <c r="AJ29" s="115" t="n">
        <f aca="false">SUMIFS(الريسبي!$C$2:$C$1800,الريسبي!$A$2:$A$1800,$A29,الريسبي!$B$2:$B$1800,AJ$1)</f>
        <v>2</v>
      </c>
      <c r="AK29" s="115" t="n">
        <f aca="false">SUMIFS(الريسبي!$C$2:$C$1800,الريسبي!$A$2:$A$1800,$A29,الريسبي!$B$2:$B$1800,AK$1)</f>
        <v>0</v>
      </c>
      <c r="AL29" s="115" t="n">
        <f aca="false">SUMIFS(الريسبي!$C$2:$C$1800,الريسبي!$A$2:$A$1800,$A29,الريسبي!$B$2:$B$1800,AL$1)</f>
        <v>0</v>
      </c>
      <c r="AM29" s="115"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15"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15" t="n">
        <f aca="false">SUMIFS(الريسبي!$C$2:$C$1800,الريسبي!$A$2:$A$1800,$A29,الريسبي!$B$2:$B$1800,AO$1)</f>
        <v>0</v>
      </c>
      <c r="AP29" s="115" t="n">
        <f aca="false">SUMIFS(الريسبي!$C$2:$C$1800,الريسبي!$A$2:$A$1800,$A29,الريسبي!$B$2:$B$1800,AP$1)</f>
        <v>0.03</v>
      </c>
      <c r="AQ29" s="115"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15" t="n">
        <f aca="false">SUMIFS(الريسبي!$C$2:$C$1800,الريسبي!$A$2:$A$1800,$A29,الريسبي!$B$2:$B$1800,AR$1)</f>
        <v>0</v>
      </c>
      <c r="AS29" s="115" t="n">
        <f aca="false">SUMIFS(الريسبي!$C$2:$C$1800,الريسبي!$A$2:$A$1800,$A29,الريسبي!$B$2:$B$1800,AS$1)</f>
        <v>0</v>
      </c>
      <c r="AT29" s="115" t="n">
        <f aca="false">SUMIFS(الريسبي!$C$2:$C$1800,الريسبي!$A$2:$A$1800,$A29,الريسبي!$B$2:$B$1800,AT$1)</f>
        <v>0</v>
      </c>
      <c r="AU29" s="115" t="n">
        <f aca="false">SUMIFS(الريسبي!$C$2:$C$1800,الريسبي!$A$2:$A$1800,$A29,الريسبي!$B$2:$B$1800,AU$1)</f>
        <v>0</v>
      </c>
      <c r="AV29" s="115" t="n">
        <f aca="false">SUMIFS(الريسبي!$C$2:$C$1800,الريسبي!$A$2:$A$1800,$A29,الريسبي!$B$2:$B$1800,AV$1)</f>
        <v>0</v>
      </c>
      <c r="AW29" s="115" t="n">
        <f aca="false">SUMIFS(الريسبي!$C$2:$C$1800,الريسبي!$A$2:$A$1800,$A29,الريسبي!$B$2:$B$1800,AW$1)</f>
        <v>0</v>
      </c>
      <c r="AX29" s="115" t="n">
        <f aca="false">SUMIFS(الريسبي!$C$2:$C$1800,الريسبي!$A$2:$A$1800,$A29,الريسبي!$B$2:$B$1800,AX$1)</f>
        <v>0</v>
      </c>
      <c r="AY29" s="115" t="n">
        <f aca="false">SUMIFS(الريسبي!$C$2:$C$1800,الريسبي!$A$2:$A$1800,$A29,الريسبي!$B$2:$B$1800,AY$1)</f>
        <v>0</v>
      </c>
      <c r="AZ29" s="115" t="n">
        <f aca="false">SUMIFS(الريسبي!$C$2:$C$1800,الريسبي!$A$2:$A$1800,$A29,الريسبي!$B$2:$B$1800,AZ$1)</f>
        <v>0</v>
      </c>
      <c r="BA29" s="115" t="n">
        <f aca="false">SUMIFS(الريسبي!$C$2:$C$1800,الريسبي!$A$2:$A$1800,$A29,الريسبي!$B$2:$B$1800,BA$1)</f>
        <v>0</v>
      </c>
      <c r="BB29" s="115" t="n">
        <f aca="false">SUMIFS(الريسبي!$C$2:$C$1800,الريسبي!$A$2:$A$1800,$A29,الريسبي!$B$2:$B$1800,BB$1)</f>
        <v>0</v>
      </c>
      <c r="BC29" s="115" t="n">
        <f aca="false">SUMIFS(الريسبي!$C$2:$C$1800,الريسبي!$A$2:$A$1800,$A29,الريسبي!$B$2:$B$1800,BC$1)</f>
        <v>0.045</v>
      </c>
      <c r="BD29" s="115" t="n">
        <f aca="false">SUMIFS(الريسبي!$C$2:$C$1800,الريسبي!$A$2:$A$1800,$A29,الريسبي!$B$2:$B$1800,BD$1)</f>
        <v>0</v>
      </c>
      <c r="BE29" s="115" t="n">
        <f aca="false">SUMIFS(الريسبي!$C$2:$C$1800,الريسبي!$A$2:$A$1800,$A29,الريسبي!$B$2:$B$1800,BE$1)</f>
        <v>1.5</v>
      </c>
      <c r="BF29" s="115" t="n">
        <f aca="false">SUMIFS(الريسبي!$C$2:$C$1800,الريسبي!$A$2:$A$1800,$A29,الريسبي!$B$2:$B$1800,BF$1)</f>
        <v>0</v>
      </c>
      <c r="BG29" s="115" t="n">
        <f aca="false">SUMIFS(الريسبي!$C$2:$C$1800,الريسبي!$A$2:$A$1800,$A29,الريسبي!$B$2:$B$1800,BG$1)</f>
        <v>1</v>
      </c>
      <c r="BH29" s="115" t="n">
        <f aca="false">SUMIFS(الريسبي!$C$2:$C$1800,الريسبي!$A$2:$A$1800,$A29,الريسبي!$B$2:$B$1800,BH$1)</f>
        <v>0</v>
      </c>
      <c r="BI29" s="115" t="n">
        <f aca="false">SUMIFS(الريسبي!$C$2:$C$1800,الريسبي!$A$2:$A$1800,$A29,الريسبي!$B$2:$B$1800,BI$1)</f>
        <v>0</v>
      </c>
      <c r="BJ29" s="115" t="n">
        <f aca="false">SUMIFS(الريسبي!$C$2:$C$1800,الريسبي!$A$2:$A$1800,$A29,الريسبي!$B$2:$B$1800,BJ$1)</f>
        <v>0</v>
      </c>
      <c r="BK29" s="115" t="n">
        <f aca="false">SUMIFS(الريسبي!$C$2:$C$1800,الريسبي!$A$2:$A$1800,$A29,الريسبي!$B$2:$B$1800,BK$1)</f>
        <v>0</v>
      </c>
      <c r="BL29" s="115" t="n">
        <f aca="false">SUMIFS(الريسبي!$C$2:$C$1800,الريسبي!$A$2:$A$1800,$A29,الريسبي!$B$2:$B$1800,BL$1)</f>
        <v>0</v>
      </c>
      <c r="BM29" s="115" t="n">
        <f aca="false">SUMIFS(الريسبي!$C$2:$C$1800,الريسبي!$A$2:$A$1800,$A29,الريسبي!$B$2:$B$1800,BM$1)</f>
        <v>0</v>
      </c>
      <c r="BN29" s="115" t="n">
        <f aca="false">SUMIFS(الريسبي!$C$2:$C$1800,الريسبي!$A$2:$A$1800,$A29,الريسبي!$B$2:$B$1800,BN$1)</f>
        <v>0.03</v>
      </c>
      <c r="BO29" s="115" t="n">
        <f aca="false">SUMIFS(الريسبي!$C$2:$C$1800,الريسبي!$A$2:$A$1800,$A29,الريسبي!$B$2:$B$1800,BO$1)</f>
        <v>3</v>
      </c>
      <c r="BP29" s="115" t="n">
        <f aca="false">SUMIFS(الريسبي!$C$2:$C$1800,الريسبي!$A$2:$A$1800,$A29,الريسبي!$B$2:$B$1800,BP$1)</f>
        <v>3</v>
      </c>
      <c r="BQ29" s="115"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15" t="n">
        <f aca="false">SUMIFS(الريسبي!$C$2:$C$1800,الريسبي!$A$2:$A$1800,$A29,الريسبي!$B$2:$B$1800,BR$1)</f>
        <v>1</v>
      </c>
      <c r="BS29" s="115" t="n">
        <f aca="false">SUMIFS(الريسبي!$C$2:$C$1800,الريسبي!$A$2:$A$1800,$A29,الريسبي!$B$2:$B$1800,BS$1)</f>
        <v>0</v>
      </c>
      <c r="BT29" s="115" t="n">
        <f aca="false">SUMIFS(الريسبي!$C$2:$C$1800,الريسبي!$A$2:$A$1800,$A29,الريسبي!$B$2:$B$1800,BT$1)</f>
        <v>0</v>
      </c>
      <c r="BU29" s="115"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15" t="n">
        <f aca="false">SUMIFS(الريسبي!$C$2:$C$1800,الريسبي!$A$2:$A$1800,$A29,الريسبي!$B$2:$B$1800,BV$1)</f>
        <v>0</v>
      </c>
      <c r="BW29" s="115" t="n">
        <f aca="false">SUMIFS(الريسبي!$C$2:$C$1800,الريسبي!$A$2:$A$1800,$A29,الريسبي!$B$2:$B$1800,BW$1)</f>
        <v>0</v>
      </c>
      <c r="BX29" s="115" t="n">
        <f aca="false">SUMIFS(الريسبي!$C$2:$C$1800,الريسبي!$A$2:$A$1800,$A29,الريسبي!$B$2:$B$1800,BX$1)</f>
        <v>0</v>
      </c>
      <c r="BY29" s="115" t="n">
        <f aca="false">SUMIFS(الريسبي!$C$2:$C$1800,الريسبي!$A$2:$A$1800,$A29,الريسبي!$B$2:$B$1800,BY$1)</f>
        <v>0</v>
      </c>
      <c r="BZ29" s="115" t="n">
        <f aca="false">SUMIFS(الريسبي!$C$2:$C$1800,الريسبي!$A$2:$A$1800,$A29,الريسبي!$B$2:$B$1800,BZ$1)</f>
        <v>1</v>
      </c>
      <c r="CA29" s="115" t="n">
        <f aca="false">SUMIFS(الريسبي!$C$2:$C$1800,الريسبي!$A$2:$A$1800,$A29,الريسبي!$B$2:$B$1800,CA$1)</f>
        <v>1</v>
      </c>
      <c r="CB29" s="115" t="n">
        <f aca="false">SUMIFS(الريسبي!$C$2:$C$1800,الريسبي!$A$2:$A$1800,$A29,الريسبي!$B$2:$B$1800,CB$1)</f>
        <v>0</v>
      </c>
      <c r="CC29" s="115" t="n">
        <f aca="false">SUMIFS(الريسبي!$C$2:$C$1800,الريسبي!$A$2:$A$1800,$A29,الريسبي!$B$2:$B$1800,CC$1)</f>
        <v>0</v>
      </c>
      <c r="CD29" s="115" t="n">
        <f aca="false">SUMIFS(الريسبي!$C$2:$C$1800,الريسبي!$A$2:$A$1800,$A29,الريسبي!$B$2:$B$1800,CD$1)</f>
        <v>0</v>
      </c>
      <c r="CE29" s="115" t="n">
        <f aca="false">SUMIFS(الريسبي!$C$2:$C$1800,الريسبي!$A$2:$A$1800,$A29,الريسبي!$B$2:$B$1800,CE$1)</f>
        <v>0</v>
      </c>
      <c r="CF29" s="115" t="n">
        <f aca="false">SUMIFS(الريسبي!$C$2:$C$1800,الريسبي!$A$2:$A$1800,$A29,الريسبي!$B$2:$B$1800,CF$1)</f>
        <v>0</v>
      </c>
      <c r="CG29" s="115" t="n">
        <f aca="false">SUMIFS(الريسبي!$C$2:$C$1800,الريسبي!$A$2:$A$1800,$A29,الريسبي!$B$2:$B$1800,CG$1)</f>
        <v>0</v>
      </c>
      <c r="CH29" s="115" t="n">
        <f aca="false">SUMIFS(الريسبي!$C$2:$C$1800,الريسبي!$A$2:$A$1800,$A29,الريسبي!$B$2:$B$1800,CH$1)</f>
        <v>0</v>
      </c>
    </row>
    <row r="30" customFormat="false" ht="15" hidden="false" customHeight="false" outlineLevel="0" collapsed="false">
      <c r="A30" s="114" t="str">
        <f aca="false">المنيو!B30</f>
        <v>فطيرة مشكل جبن وسط</v>
      </c>
      <c r="B30" s="115" t="n">
        <f aca="false">SUMIFS(الريسبي!$C$2:$C$1800,الريسبي!$A$2:$A$1800,$A30,الريسبي!$B$2:$B$1800,B$1)</f>
        <v>0</v>
      </c>
      <c r="C30" s="115" t="n">
        <f aca="false">SUMIFS(الريسبي!$C$2:$C$1800,الريسبي!$A$2:$A$1800,$A30,الريسبي!$B$2:$B$1800,C$1)</f>
        <v>0</v>
      </c>
      <c r="D30" s="115" t="n">
        <f aca="false">SUMIFS(الريسبي!$C$2:$C$1800,الريسبي!$A$2:$A$1800,$A30,الريسبي!$B$2:$B$1800,D$1)</f>
        <v>1</v>
      </c>
      <c r="E30" s="115" t="n">
        <f aca="false">SUMIFS(الريسبي!$C$2:$C$1800,الريسبي!$A$2:$A$1800,$A30,الريسبي!$B$2:$B$1800,E$1)</f>
        <v>0</v>
      </c>
      <c r="F30" s="115" t="n">
        <f aca="false">SUMIFS(الريسبي!$C$2:$C$1800,الريسبي!$A$2:$A$1800,$A30,الريسبي!$B$2:$B$1800,F$1)</f>
        <v>0</v>
      </c>
      <c r="G30" s="115" t="n">
        <f aca="false">SUMIFS(الريسبي!$C$2:$C$1800,الريسبي!$A$2:$A$1800,$A30,الريسبي!$B$2:$B$1800,G$1)</f>
        <v>0</v>
      </c>
      <c r="H30" s="115" t="n">
        <f aca="false">SUMIFS(الريسبي!$C$2:$C$1800,الريسبي!$A$2:$A$1800,$A30,الريسبي!$B$2:$B$1800,H$1)</f>
        <v>0</v>
      </c>
      <c r="I30" s="115" t="n">
        <f aca="false">SUMIFS(الريسبي!$C$2:$C$1800,الريسبي!$A$2:$A$1800,$A30,الريسبي!$B$2:$B$1800,I$1)</f>
        <v>0</v>
      </c>
      <c r="J30" s="115" t="n">
        <f aca="false">SUMIFS(الريسبي!$C$2:$C$1800,الريسبي!$A$2:$A$1800,$A30,الريسبي!$B$2:$B$1800,J$1)</f>
        <v>1</v>
      </c>
      <c r="K30" s="115" t="n">
        <f aca="false">SUMIFS(الريسبي!$C$2:$C$1800,الريسبي!$A$2:$A$1800,$A30,الريسبي!$B$2:$B$1800,K$1)</f>
        <v>0</v>
      </c>
      <c r="L30" s="115" t="n">
        <f aca="false">SUMIFS(الريسبي!$C$2:$C$1800,الريسبي!$A$2:$A$1800,$A30,الريسبي!$B$2:$B$1800,L$1)</f>
        <v>0</v>
      </c>
      <c r="M30" s="115" t="n">
        <f aca="false">SUMIFS(الريسبي!$C$2:$C$1800,الريسبي!$A$2:$A$1800,$A30,الريسبي!$B$2:$B$1800,M$1)</f>
        <v>0</v>
      </c>
      <c r="N30" s="115" t="n">
        <f aca="false">SUMIFS(الريسبي!$C$2:$C$1800,الريسبي!$A$2:$A$1800,$A30,الريسبي!$B$2:$B$1800,N$1)</f>
        <v>0</v>
      </c>
      <c r="O30" s="115" t="n">
        <f aca="false">SUMIFS(الريسبي!$C$2:$C$1800,الريسبي!$A$2:$A$1800,$A30,الريسبي!$B$2:$B$1800,O$1)</f>
        <v>0</v>
      </c>
      <c r="P30" s="115" t="n">
        <f aca="false">SUMIFS(الريسبي!$C$2:$C$1800,الريسبي!$A$2:$A$1800,$A30,الريسبي!$B$2:$B$1800,P$1)</f>
        <v>0</v>
      </c>
      <c r="Q30" s="115" t="n">
        <f aca="false">SUMIFS(الريسبي!$C$2:$C$1800,الريسبي!$A$2:$A$1800,$A30,الريسبي!$B$2:$B$1800,Q$1)</f>
        <v>0</v>
      </c>
      <c r="R30" s="115" t="n">
        <f aca="false">SUMIFS(الريسبي!$C$2:$C$1800,الريسبي!$A$2:$A$1800,$A30,الريسبي!$B$2:$B$1800,R$1)</f>
        <v>0</v>
      </c>
      <c r="S30" s="115" t="n">
        <f aca="false">SUMIFS(الريسبي!$C$2:$C$1800,الريسبي!$A$2:$A$1800,$A30,الريسبي!$B$2:$B$1800,S$1)</f>
        <v>0</v>
      </c>
      <c r="T30" s="115" t="n">
        <f aca="false">SUMIFS(الريسبي!$C$2:$C$1800,الريسبي!$A$2:$A$1800,$A30,الريسبي!$B$2:$B$1800,T$1)</f>
        <v>0</v>
      </c>
      <c r="U30" s="115" t="n">
        <f aca="false">SUMIFS(الريسبي!$C$2:$C$1800,الريسبي!$A$2:$A$1800,$A30,الريسبي!$B$2:$B$1800,U$1)</f>
        <v>0</v>
      </c>
      <c r="V30" s="115" t="n">
        <f aca="false">SUMIFS(الريسبي!$C$2:$C$1800,الريسبي!$A$2:$A$1800,$A30,الريسبي!$B$2:$B$1800,V$1)</f>
        <v>0</v>
      </c>
      <c r="W30" s="115" t="n">
        <f aca="false">SUMIFS(الريسبي!$C$2:$C$1800,الريسبي!$A$2:$A$1800,$A30,الريسبي!$B$2:$B$1800,W$1)</f>
        <v>0</v>
      </c>
      <c r="X30" s="115" t="n">
        <f aca="false">SUMIFS(الريسبي!$C$2:$C$1800,الريسبي!$A$2:$A$1800,$A30,الريسبي!$B$2:$B$1800,X$1)</f>
        <v>1.5</v>
      </c>
      <c r="Y30" s="115" t="n">
        <f aca="false">SUMIFS(الريسبي!$C$2:$C$1800,الريسبي!$A$2:$A$1800,$A30,الريسبي!$B$2:$B$1800,Y$1)</f>
        <v>0</v>
      </c>
      <c r="Z30" s="115" t="n">
        <f aca="false">SUMIFS(الريسبي!$C$2:$C$1800,الريسبي!$A$2:$A$1800,$A30,الريسبي!$B$2:$B$1800,Z$1)</f>
        <v>0</v>
      </c>
      <c r="AA30" s="115" t="n">
        <f aca="false">SUMIFS(الريسبي!$C$2:$C$1800,الريسبي!$A$2:$A$1800,$A30,الريسبي!$B$2:$B$1800,AA$1)</f>
        <v>0</v>
      </c>
      <c r="AB30" s="115" t="n">
        <f aca="false">SUMIFS(الريسبي!$C$2:$C$1800,الريسبي!$A$2:$A$1800,$A30,الريسبي!$B$2:$B$1800,AB$1)</f>
        <v>0</v>
      </c>
      <c r="AC30" s="115" t="n">
        <f aca="false">SUMIFS(الريسبي!$C$2:$C$1800,الريسبي!$A$2:$A$1800,$A30,الريسبي!$B$2:$B$1800,AC$1)</f>
        <v>0</v>
      </c>
      <c r="AD30" s="115" t="n">
        <f aca="false">SUMIFS(الريسبي!$C$2:$C$1800,الريسبي!$A$2:$A$1800,$A30,الريسبي!$B$2:$B$1800,AD$1)</f>
        <v>0</v>
      </c>
      <c r="AE30" s="115" t="n">
        <f aca="false">SUMIFS(الريسبي!$C$2:$C$1800,الريسبي!$A$2:$A$1800,$A30,الريسبي!$B$2:$B$1800,AE$1)</f>
        <v>0</v>
      </c>
      <c r="AF30" s="115" t="n">
        <f aca="false">SUMIFS(الريسبي!$C$2:$C$1800,الريسبي!$A$2:$A$1800,$A30,الريسبي!$B$2:$B$1800,AF$1)</f>
        <v>0</v>
      </c>
      <c r="AG30" s="115" t="n">
        <f aca="false">SUMIFS(الريسبي!$C$2:$C$1800,الريسبي!$A$2:$A$1800,$A30,الريسبي!$B$2:$B$1800,AG$1)</f>
        <v>0</v>
      </c>
      <c r="AH30" s="115" t="n">
        <f aca="false">SUMIFS(الريسبي!$C$2:$C$1800,الريسبي!$A$2:$A$1800,$A30,الريسبي!$B$2:$B$1800,AH$1)</f>
        <v>0</v>
      </c>
      <c r="AI30" s="115" t="n">
        <f aca="false">SUMIFS(الريسبي!$C$2:$C$1800,الريسبي!$A$2:$A$1800,$A30,الريسبي!$B$2:$B$1800,AI$1)</f>
        <v>0</v>
      </c>
      <c r="AJ30" s="115" t="n">
        <f aca="false">SUMIFS(الريسبي!$C$2:$C$1800,الريسبي!$A$2:$A$1800,$A30,الريسبي!$B$2:$B$1800,AJ$1)</f>
        <v>2</v>
      </c>
      <c r="AK30" s="115" t="n">
        <f aca="false">SUMIFS(الريسبي!$C$2:$C$1800,الريسبي!$A$2:$A$1800,$A30,الريسبي!$B$2:$B$1800,AK$1)</f>
        <v>0</v>
      </c>
      <c r="AL30" s="115" t="n">
        <f aca="false">SUMIFS(الريسبي!$C$2:$C$1800,الريسبي!$A$2:$A$1800,$A30,الريسبي!$B$2:$B$1800,AL$1)</f>
        <v>0</v>
      </c>
      <c r="AM30" s="115"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15"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15" t="n">
        <f aca="false">SUMIFS(الريسبي!$C$2:$C$1800,الريسبي!$A$2:$A$1800,$A30,الريسبي!$B$2:$B$1800,AO$1)</f>
        <v>0</v>
      </c>
      <c r="AP30" s="115" t="n">
        <f aca="false">SUMIFS(الريسبي!$C$2:$C$1800,الريسبي!$A$2:$A$1800,$A30,الريسبي!$B$2:$B$1800,AP$1)</f>
        <v>0.02</v>
      </c>
      <c r="AQ30" s="115"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15" t="n">
        <f aca="false">SUMIFS(الريسبي!$C$2:$C$1800,الريسبي!$A$2:$A$1800,$A30,الريسبي!$B$2:$B$1800,AR$1)</f>
        <v>0</v>
      </c>
      <c r="AS30" s="115" t="n">
        <f aca="false">SUMIFS(الريسبي!$C$2:$C$1800,الريسبي!$A$2:$A$1800,$A30,الريسبي!$B$2:$B$1800,AS$1)</f>
        <v>0</v>
      </c>
      <c r="AT30" s="115" t="n">
        <f aca="false">SUMIFS(الريسبي!$C$2:$C$1800,الريسبي!$A$2:$A$1800,$A30,الريسبي!$B$2:$B$1800,AT$1)</f>
        <v>0</v>
      </c>
      <c r="AU30" s="115" t="n">
        <f aca="false">SUMIFS(الريسبي!$C$2:$C$1800,الريسبي!$A$2:$A$1800,$A30,الريسبي!$B$2:$B$1800,AU$1)</f>
        <v>0</v>
      </c>
      <c r="AV30" s="115" t="n">
        <f aca="false">SUMIFS(الريسبي!$C$2:$C$1800,الريسبي!$A$2:$A$1800,$A30,الريسبي!$B$2:$B$1800,AV$1)</f>
        <v>0</v>
      </c>
      <c r="AW30" s="115" t="n">
        <f aca="false">SUMIFS(الريسبي!$C$2:$C$1800,الريسبي!$A$2:$A$1800,$A30,الريسبي!$B$2:$B$1800,AW$1)</f>
        <v>0</v>
      </c>
      <c r="AX30" s="115" t="n">
        <f aca="false">SUMIFS(الريسبي!$C$2:$C$1800,الريسبي!$A$2:$A$1800,$A30,الريسبي!$B$2:$B$1800,AX$1)</f>
        <v>0</v>
      </c>
      <c r="AY30" s="115" t="n">
        <f aca="false">SUMIFS(الريسبي!$C$2:$C$1800,الريسبي!$A$2:$A$1800,$A30,الريسبي!$B$2:$B$1800,AY$1)</f>
        <v>0</v>
      </c>
      <c r="AZ30" s="115" t="n">
        <f aca="false">SUMIFS(الريسبي!$C$2:$C$1800,الريسبي!$A$2:$A$1800,$A30,الريسبي!$B$2:$B$1800,AZ$1)</f>
        <v>0</v>
      </c>
      <c r="BA30" s="115" t="n">
        <f aca="false">SUMIFS(الريسبي!$C$2:$C$1800,الريسبي!$A$2:$A$1800,$A30,الريسبي!$B$2:$B$1800,BA$1)</f>
        <v>0</v>
      </c>
      <c r="BB30" s="115" t="n">
        <f aca="false">SUMIFS(الريسبي!$C$2:$C$1800,الريسبي!$A$2:$A$1800,$A30,الريسبي!$B$2:$B$1800,BB$1)</f>
        <v>0.1</v>
      </c>
      <c r="BC30" s="115" t="n">
        <f aca="false">SUMIFS(الريسبي!$C$2:$C$1800,الريسبي!$A$2:$A$1800,$A30,الريسبي!$B$2:$B$1800,BC$1)</f>
        <v>0.03</v>
      </c>
      <c r="BD30" s="115" t="n">
        <f aca="false">SUMIFS(الريسبي!$C$2:$C$1800,الريسبي!$A$2:$A$1800,$A30,الريسبي!$B$2:$B$1800,BD$1)</f>
        <v>0</v>
      </c>
      <c r="BE30" s="115" t="n">
        <f aca="false">SUMIFS(الريسبي!$C$2:$C$1800,الريسبي!$A$2:$A$1800,$A30,الريسبي!$B$2:$B$1800,BE$1)</f>
        <v>1</v>
      </c>
      <c r="BF30" s="115" t="n">
        <f aca="false">SUMIFS(الريسبي!$C$2:$C$1800,الريسبي!$A$2:$A$1800,$A30,الريسبي!$B$2:$B$1800,BF$1)</f>
        <v>0</v>
      </c>
      <c r="BG30" s="115" t="n">
        <f aca="false">SUMIFS(الريسبي!$C$2:$C$1800,الريسبي!$A$2:$A$1800,$A30,الريسبي!$B$2:$B$1800,BG$1)</f>
        <v>0</v>
      </c>
      <c r="BH30" s="115" t="n">
        <f aca="false">SUMIFS(الريسبي!$C$2:$C$1800,الريسبي!$A$2:$A$1800,$A30,الريسبي!$B$2:$B$1800,BH$1)</f>
        <v>1</v>
      </c>
      <c r="BI30" s="115" t="n">
        <f aca="false">SUMIFS(الريسبي!$C$2:$C$1800,الريسبي!$A$2:$A$1800,$A30,الريسبي!$B$2:$B$1800,BI$1)</f>
        <v>0</v>
      </c>
      <c r="BJ30" s="115" t="n">
        <f aca="false">SUMIFS(الريسبي!$C$2:$C$1800,الريسبي!$A$2:$A$1800,$A30,الريسبي!$B$2:$B$1800,BJ$1)</f>
        <v>0</v>
      </c>
      <c r="BK30" s="115" t="n">
        <f aca="false">SUMIFS(الريسبي!$C$2:$C$1800,الريسبي!$A$2:$A$1800,$A30,الريسبي!$B$2:$B$1800,BK$1)</f>
        <v>0</v>
      </c>
      <c r="BL30" s="115" t="n">
        <f aca="false">SUMIFS(الريسبي!$C$2:$C$1800,الريسبي!$A$2:$A$1800,$A30,الريسبي!$B$2:$B$1800,BL$1)</f>
        <v>0</v>
      </c>
      <c r="BM30" s="115" t="n">
        <f aca="false">SUMIFS(الريسبي!$C$2:$C$1800,الريسبي!$A$2:$A$1800,$A30,الريسبي!$B$2:$B$1800,BM$1)</f>
        <v>0</v>
      </c>
      <c r="BN30" s="115" t="n">
        <f aca="false">SUMIFS(الريسبي!$C$2:$C$1800,الريسبي!$A$2:$A$1800,$A30,الريسبي!$B$2:$B$1800,BN$1)</f>
        <v>0.02</v>
      </c>
      <c r="BO30" s="115" t="n">
        <f aca="false">SUMIFS(الريسبي!$C$2:$C$1800,الريسبي!$A$2:$A$1800,$A30,الريسبي!$B$2:$B$1800,BO$1)</f>
        <v>2</v>
      </c>
      <c r="BP30" s="115" t="n">
        <f aca="false">SUMIFS(الريسبي!$C$2:$C$1800,الريسبي!$A$2:$A$1800,$A30,الريسبي!$B$2:$B$1800,BP$1)</f>
        <v>2</v>
      </c>
      <c r="BQ30" s="115"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15" t="n">
        <f aca="false">SUMIFS(الريسبي!$C$2:$C$1800,الريسبي!$A$2:$A$1800,$A30,الريسبي!$B$2:$B$1800,BR$1)</f>
        <v>1</v>
      </c>
      <c r="BS30" s="115" t="n">
        <f aca="false">SUMIFS(الريسبي!$C$2:$C$1800,الريسبي!$A$2:$A$1800,$A30,الريسبي!$B$2:$B$1800,BS$1)</f>
        <v>0</v>
      </c>
      <c r="BT30" s="115" t="n">
        <f aca="false">SUMIFS(الريسبي!$C$2:$C$1800,الريسبي!$A$2:$A$1800,$A30,الريسبي!$B$2:$B$1800,BT$1)</f>
        <v>0</v>
      </c>
      <c r="BU30" s="115"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15" t="n">
        <f aca="false">SUMIFS(الريسبي!$C$2:$C$1800,الريسبي!$A$2:$A$1800,$A30,الريسبي!$B$2:$B$1800,BV$1)</f>
        <v>0</v>
      </c>
      <c r="BW30" s="115" t="n">
        <f aca="false">SUMIFS(الريسبي!$C$2:$C$1800,الريسبي!$A$2:$A$1800,$A30,الريسبي!$B$2:$B$1800,BW$1)</f>
        <v>0</v>
      </c>
      <c r="BX30" s="115" t="n">
        <f aca="false">SUMIFS(الريسبي!$C$2:$C$1800,الريسبي!$A$2:$A$1800,$A30,الريسبي!$B$2:$B$1800,BX$1)</f>
        <v>0</v>
      </c>
      <c r="BY30" s="115" t="n">
        <f aca="false">SUMIFS(الريسبي!$C$2:$C$1800,الريسبي!$A$2:$A$1800,$A30,الريسبي!$B$2:$B$1800,BY$1)</f>
        <v>0</v>
      </c>
      <c r="BZ30" s="115" t="n">
        <f aca="false">SUMIFS(الريسبي!$C$2:$C$1800,الريسبي!$A$2:$A$1800,$A30,الريسبي!$B$2:$B$1800,BZ$1)</f>
        <v>1</v>
      </c>
      <c r="CA30" s="115" t="n">
        <f aca="false">SUMIFS(الريسبي!$C$2:$C$1800,الريسبي!$A$2:$A$1800,$A30,الريسبي!$B$2:$B$1800,CA$1)</f>
        <v>1</v>
      </c>
      <c r="CB30" s="115" t="n">
        <f aca="false">SUMIFS(الريسبي!$C$2:$C$1800,الريسبي!$A$2:$A$1800,$A30,الريسبي!$B$2:$B$1800,CB$1)</f>
        <v>0</v>
      </c>
      <c r="CC30" s="115" t="n">
        <f aca="false">SUMIFS(الريسبي!$C$2:$C$1800,الريسبي!$A$2:$A$1800,$A30,الريسبي!$B$2:$B$1800,CC$1)</f>
        <v>0</v>
      </c>
      <c r="CD30" s="115" t="n">
        <f aca="false">SUMIFS(الريسبي!$C$2:$C$1800,الريسبي!$A$2:$A$1800,$A30,الريسبي!$B$2:$B$1800,CD$1)</f>
        <v>0</v>
      </c>
      <c r="CE30" s="115" t="n">
        <f aca="false">SUMIFS(الريسبي!$C$2:$C$1800,الريسبي!$A$2:$A$1800,$A30,الريسبي!$B$2:$B$1800,CE$1)</f>
        <v>0</v>
      </c>
      <c r="CF30" s="115" t="n">
        <f aca="false">SUMIFS(الريسبي!$C$2:$C$1800,الريسبي!$A$2:$A$1800,$A30,الريسبي!$B$2:$B$1800,CF$1)</f>
        <v>0</v>
      </c>
      <c r="CG30" s="115" t="n">
        <f aca="false">SUMIFS(الريسبي!$C$2:$C$1800,الريسبي!$A$2:$A$1800,$A30,الريسبي!$B$2:$B$1800,CG$1)</f>
        <v>0</v>
      </c>
      <c r="CH30" s="115" t="n">
        <f aca="false">SUMIFS(الريسبي!$C$2:$C$1800,الريسبي!$A$2:$A$1800,$A30,الريسبي!$B$2:$B$1800,CH$1)</f>
        <v>0</v>
      </c>
    </row>
    <row r="31" customFormat="false" ht="15" hidden="false" customHeight="false" outlineLevel="0" collapsed="false">
      <c r="A31" s="114" t="str">
        <f aca="false">المنيو!B31</f>
        <v>فطيرة مشكل جبن حجم اكبر</v>
      </c>
      <c r="B31" s="115" t="n">
        <f aca="false">SUMIFS(الريسبي!$C$2:$C$1800,الريسبي!$A$2:$A$1800,$A31,الريسبي!$B$2:$B$1800,B$1)</f>
        <v>0</v>
      </c>
      <c r="C31" s="115" t="n">
        <f aca="false">SUMIFS(الريسبي!$C$2:$C$1800,الريسبي!$A$2:$A$1800,$A31,الريسبي!$B$2:$B$1800,C$1)</f>
        <v>0</v>
      </c>
      <c r="D31" s="115" t="n">
        <f aca="false">SUMIFS(الريسبي!$C$2:$C$1800,الريسبي!$A$2:$A$1800,$A31,الريسبي!$B$2:$B$1800,D$1)</f>
        <v>1</v>
      </c>
      <c r="E31" s="115" t="n">
        <f aca="false">SUMIFS(الريسبي!$C$2:$C$1800,الريسبي!$A$2:$A$1800,$A31,الريسبي!$B$2:$B$1800,E$1)</f>
        <v>0</v>
      </c>
      <c r="F31" s="115" t="n">
        <f aca="false">SUMIFS(الريسبي!$C$2:$C$1800,الريسبي!$A$2:$A$1800,$A31,الريسبي!$B$2:$B$1800,F$1)</f>
        <v>0</v>
      </c>
      <c r="G31" s="115" t="n">
        <f aca="false">SUMIFS(الريسبي!$C$2:$C$1800,الريسبي!$A$2:$A$1800,$A31,الريسبي!$B$2:$B$1800,G$1)</f>
        <v>0</v>
      </c>
      <c r="H31" s="115" t="n">
        <f aca="false">SUMIFS(الريسبي!$C$2:$C$1800,الريسبي!$A$2:$A$1800,$A31,الريسبي!$B$2:$B$1800,H$1)</f>
        <v>0</v>
      </c>
      <c r="I31" s="115" t="n">
        <f aca="false">SUMIFS(الريسبي!$C$2:$C$1800,الريسبي!$A$2:$A$1800,$A31,الريسبي!$B$2:$B$1800,I$1)</f>
        <v>0</v>
      </c>
      <c r="J31" s="115" t="n">
        <f aca="false">SUMIFS(الريسبي!$C$2:$C$1800,الريسبي!$A$2:$A$1800,$A31,الريسبي!$B$2:$B$1800,J$1)</f>
        <v>1.5</v>
      </c>
      <c r="K31" s="115" t="n">
        <f aca="false">SUMIFS(الريسبي!$C$2:$C$1800,الريسبي!$A$2:$A$1800,$A31,الريسبي!$B$2:$B$1800,K$1)</f>
        <v>0</v>
      </c>
      <c r="L31" s="115" t="n">
        <f aca="false">SUMIFS(الريسبي!$C$2:$C$1800,الريسبي!$A$2:$A$1800,$A31,الريسبي!$B$2:$B$1800,L$1)</f>
        <v>0</v>
      </c>
      <c r="M31" s="115" t="n">
        <f aca="false">SUMIFS(الريسبي!$C$2:$C$1800,الريسبي!$A$2:$A$1800,$A31,الريسبي!$B$2:$B$1800,M$1)</f>
        <v>0</v>
      </c>
      <c r="N31" s="115" t="n">
        <f aca="false">SUMIFS(الريسبي!$C$2:$C$1800,الريسبي!$A$2:$A$1800,$A31,الريسبي!$B$2:$B$1800,N$1)</f>
        <v>0</v>
      </c>
      <c r="O31" s="115" t="n">
        <f aca="false">SUMIFS(الريسبي!$C$2:$C$1800,الريسبي!$A$2:$A$1800,$A31,الريسبي!$B$2:$B$1800,O$1)</f>
        <v>0</v>
      </c>
      <c r="P31" s="115" t="n">
        <f aca="false">SUMIFS(الريسبي!$C$2:$C$1800,الريسبي!$A$2:$A$1800,$A31,الريسبي!$B$2:$B$1800,P$1)</f>
        <v>0</v>
      </c>
      <c r="Q31" s="115" t="n">
        <f aca="false">SUMIFS(الريسبي!$C$2:$C$1800,الريسبي!$A$2:$A$1800,$A31,الريسبي!$B$2:$B$1800,Q$1)</f>
        <v>0</v>
      </c>
      <c r="R31" s="115" t="n">
        <f aca="false">SUMIFS(الريسبي!$C$2:$C$1800,الريسبي!$A$2:$A$1800,$A31,الريسبي!$B$2:$B$1800,R$1)</f>
        <v>0</v>
      </c>
      <c r="S31" s="115" t="n">
        <f aca="false">SUMIFS(الريسبي!$C$2:$C$1800,الريسبي!$A$2:$A$1800,$A31,الريسبي!$B$2:$B$1800,S$1)</f>
        <v>0</v>
      </c>
      <c r="T31" s="115" t="n">
        <f aca="false">SUMIFS(الريسبي!$C$2:$C$1800,الريسبي!$A$2:$A$1800,$A31,الريسبي!$B$2:$B$1800,T$1)</f>
        <v>0</v>
      </c>
      <c r="U31" s="115" t="n">
        <f aca="false">SUMIFS(الريسبي!$C$2:$C$1800,الريسبي!$A$2:$A$1800,$A31,الريسبي!$B$2:$B$1800,U$1)</f>
        <v>0</v>
      </c>
      <c r="V31" s="115" t="n">
        <f aca="false">SUMIFS(الريسبي!$C$2:$C$1800,الريسبي!$A$2:$A$1800,$A31,الريسبي!$B$2:$B$1800,V$1)</f>
        <v>0</v>
      </c>
      <c r="W31" s="115" t="n">
        <f aca="false">SUMIFS(الريسبي!$C$2:$C$1800,الريسبي!$A$2:$A$1800,$A31,الريسبي!$B$2:$B$1800,W$1)</f>
        <v>0</v>
      </c>
      <c r="X31" s="115" t="n">
        <f aca="false">SUMIFS(الريسبي!$C$2:$C$1800,الريسبي!$A$2:$A$1800,$A31,الريسبي!$B$2:$B$1800,X$1)</f>
        <v>0</v>
      </c>
      <c r="Y31" s="115" t="n">
        <f aca="false">SUMIFS(الريسبي!$C$2:$C$1800,الريسبي!$A$2:$A$1800,$A31,الريسبي!$B$2:$B$1800,Y$1)</f>
        <v>1.5</v>
      </c>
      <c r="Z31" s="115" t="n">
        <f aca="false">SUMIFS(الريسبي!$C$2:$C$1800,الريسبي!$A$2:$A$1800,$A31,الريسبي!$B$2:$B$1800,Z$1)</f>
        <v>0</v>
      </c>
      <c r="AA31" s="115" t="n">
        <f aca="false">SUMIFS(الريسبي!$C$2:$C$1800,الريسبي!$A$2:$A$1800,$A31,الريسبي!$B$2:$B$1800,AA$1)</f>
        <v>0</v>
      </c>
      <c r="AB31" s="115" t="n">
        <f aca="false">SUMIFS(الريسبي!$C$2:$C$1800,الريسبي!$A$2:$A$1800,$A31,الريسبي!$B$2:$B$1800,AB$1)</f>
        <v>0</v>
      </c>
      <c r="AC31" s="115" t="n">
        <f aca="false">SUMIFS(الريسبي!$C$2:$C$1800,الريسبي!$A$2:$A$1800,$A31,الريسبي!$B$2:$B$1800,AC$1)</f>
        <v>0</v>
      </c>
      <c r="AD31" s="115" t="n">
        <f aca="false">SUMIFS(الريسبي!$C$2:$C$1800,الريسبي!$A$2:$A$1800,$A31,الريسبي!$B$2:$B$1800,AD$1)</f>
        <v>0</v>
      </c>
      <c r="AE31" s="115" t="n">
        <f aca="false">SUMIFS(الريسبي!$C$2:$C$1800,الريسبي!$A$2:$A$1800,$A31,الريسبي!$B$2:$B$1800,AE$1)</f>
        <v>0</v>
      </c>
      <c r="AF31" s="115" t="n">
        <f aca="false">SUMIFS(الريسبي!$C$2:$C$1800,الريسبي!$A$2:$A$1800,$A31,الريسبي!$B$2:$B$1800,AF$1)</f>
        <v>0</v>
      </c>
      <c r="AG31" s="115" t="n">
        <f aca="false">SUMIFS(الريسبي!$C$2:$C$1800,الريسبي!$A$2:$A$1800,$A31,الريسبي!$B$2:$B$1800,AG$1)</f>
        <v>0</v>
      </c>
      <c r="AH31" s="115" t="n">
        <f aca="false">SUMIFS(الريسبي!$C$2:$C$1800,الريسبي!$A$2:$A$1800,$A31,الريسبي!$B$2:$B$1800,AH$1)</f>
        <v>0</v>
      </c>
      <c r="AI31" s="115" t="n">
        <f aca="false">SUMIFS(الريسبي!$C$2:$C$1800,الريسبي!$A$2:$A$1800,$A31,الريسبي!$B$2:$B$1800,AI$1)</f>
        <v>0</v>
      </c>
      <c r="AJ31" s="115" t="n">
        <f aca="false">SUMIFS(الريسبي!$C$2:$C$1800,الريسبي!$A$2:$A$1800,$A31,الريسبي!$B$2:$B$1800,AJ$1)</f>
        <v>2</v>
      </c>
      <c r="AK31" s="115" t="n">
        <f aca="false">SUMIFS(الريسبي!$C$2:$C$1800,الريسبي!$A$2:$A$1800,$A31,الريسبي!$B$2:$B$1800,AK$1)</f>
        <v>0</v>
      </c>
      <c r="AL31" s="115" t="n">
        <f aca="false">SUMIFS(الريسبي!$C$2:$C$1800,الريسبي!$A$2:$A$1800,$A31,الريسبي!$B$2:$B$1800,AL$1)</f>
        <v>0</v>
      </c>
      <c r="AM31" s="115"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15"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15" t="n">
        <f aca="false">SUMIFS(الريسبي!$C$2:$C$1800,الريسبي!$A$2:$A$1800,$A31,الريسبي!$B$2:$B$1800,AO$1)</f>
        <v>0</v>
      </c>
      <c r="AP31" s="115" t="n">
        <f aca="false">SUMIFS(الريسبي!$C$2:$C$1800,الريسبي!$A$2:$A$1800,$A31,الريسبي!$B$2:$B$1800,AP$1)</f>
        <v>0.03</v>
      </c>
      <c r="AQ31" s="115"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15" t="n">
        <f aca="false">SUMIFS(الريسبي!$C$2:$C$1800,الريسبي!$A$2:$A$1800,$A31,الريسبي!$B$2:$B$1800,AR$1)</f>
        <v>0</v>
      </c>
      <c r="AS31" s="115" t="n">
        <f aca="false">SUMIFS(الريسبي!$C$2:$C$1800,الريسبي!$A$2:$A$1800,$A31,الريسبي!$B$2:$B$1800,AS$1)</f>
        <v>0</v>
      </c>
      <c r="AT31" s="115" t="n">
        <f aca="false">SUMIFS(الريسبي!$C$2:$C$1800,الريسبي!$A$2:$A$1800,$A31,الريسبي!$B$2:$B$1800,AT$1)</f>
        <v>0</v>
      </c>
      <c r="AU31" s="115" t="n">
        <f aca="false">SUMIFS(الريسبي!$C$2:$C$1800,الريسبي!$A$2:$A$1800,$A31,الريسبي!$B$2:$B$1800,AU$1)</f>
        <v>0</v>
      </c>
      <c r="AV31" s="115" t="n">
        <f aca="false">SUMIFS(الريسبي!$C$2:$C$1800,الريسبي!$A$2:$A$1800,$A31,الريسبي!$B$2:$B$1800,AV$1)</f>
        <v>0</v>
      </c>
      <c r="AW31" s="115" t="n">
        <f aca="false">SUMIFS(الريسبي!$C$2:$C$1800,الريسبي!$A$2:$A$1800,$A31,الريسبي!$B$2:$B$1800,AW$1)</f>
        <v>0</v>
      </c>
      <c r="AX31" s="115" t="n">
        <f aca="false">SUMIFS(الريسبي!$C$2:$C$1800,الريسبي!$A$2:$A$1800,$A31,الريسبي!$B$2:$B$1800,AX$1)</f>
        <v>0</v>
      </c>
      <c r="AY31" s="115" t="n">
        <f aca="false">SUMIFS(الريسبي!$C$2:$C$1800,الريسبي!$A$2:$A$1800,$A31,الريسبي!$B$2:$B$1800,AY$1)</f>
        <v>0</v>
      </c>
      <c r="AZ31" s="115" t="n">
        <f aca="false">SUMIFS(الريسبي!$C$2:$C$1800,الريسبي!$A$2:$A$1800,$A31,الريسبي!$B$2:$B$1800,AZ$1)</f>
        <v>0</v>
      </c>
      <c r="BA31" s="115" t="n">
        <f aca="false">SUMIFS(الريسبي!$C$2:$C$1800,الريسبي!$A$2:$A$1800,$A31,الريسبي!$B$2:$B$1800,BA$1)</f>
        <v>0</v>
      </c>
      <c r="BB31" s="115" t="n">
        <f aca="false">SUMIFS(الريسبي!$C$2:$C$1800,الريسبي!$A$2:$A$1800,$A31,الريسبي!$B$2:$B$1800,BB$1)</f>
        <v>0.15</v>
      </c>
      <c r="BC31" s="115" t="n">
        <f aca="false">SUMIFS(الريسبي!$C$2:$C$1800,الريسبي!$A$2:$A$1800,$A31,الريسبي!$B$2:$B$1800,BC$1)</f>
        <v>0.045</v>
      </c>
      <c r="BD31" s="115" t="n">
        <f aca="false">SUMIFS(الريسبي!$C$2:$C$1800,الريسبي!$A$2:$A$1800,$A31,الريسبي!$B$2:$B$1800,BD$1)</f>
        <v>0</v>
      </c>
      <c r="BE31" s="115" t="n">
        <f aca="false">SUMIFS(الريسبي!$C$2:$C$1800,الريسبي!$A$2:$A$1800,$A31,الريسبي!$B$2:$B$1800,BE$1)</f>
        <v>1.5</v>
      </c>
      <c r="BF31" s="115" t="n">
        <f aca="false">SUMIFS(الريسبي!$C$2:$C$1800,الريسبي!$A$2:$A$1800,$A31,الريسبي!$B$2:$B$1800,BF$1)</f>
        <v>0</v>
      </c>
      <c r="BG31" s="115" t="n">
        <f aca="false">SUMIFS(الريسبي!$C$2:$C$1800,الريسبي!$A$2:$A$1800,$A31,الريسبي!$B$2:$B$1800,BG$1)</f>
        <v>1</v>
      </c>
      <c r="BH31" s="115" t="n">
        <f aca="false">SUMIFS(الريسبي!$C$2:$C$1800,الريسبي!$A$2:$A$1800,$A31,الريسبي!$B$2:$B$1800,BH$1)</f>
        <v>0</v>
      </c>
      <c r="BI31" s="115" t="n">
        <f aca="false">SUMIFS(الريسبي!$C$2:$C$1800,الريسبي!$A$2:$A$1800,$A31,الريسبي!$B$2:$B$1800,BI$1)</f>
        <v>0</v>
      </c>
      <c r="BJ31" s="115" t="n">
        <f aca="false">SUMIFS(الريسبي!$C$2:$C$1800,الريسبي!$A$2:$A$1800,$A31,الريسبي!$B$2:$B$1800,BJ$1)</f>
        <v>0</v>
      </c>
      <c r="BK31" s="115" t="n">
        <f aca="false">SUMIFS(الريسبي!$C$2:$C$1800,الريسبي!$A$2:$A$1800,$A31,الريسبي!$B$2:$B$1800,BK$1)</f>
        <v>0</v>
      </c>
      <c r="BL31" s="115" t="n">
        <f aca="false">SUMIFS(الريسبي!$C$2:$C$1800,الريسبي!$A$2:$A$1800,$A31,الريسبي!$B$2:$B$1800,BL$1)</f>
        <v>0</v>
      </c>
      <c r="BM31" s="115" t="n">
        <f aca="false">SUMIFS(الريسبي!$C$2:$C$1800,الريسبي!$A$2:$A$1800,$A31,الريسبي!$B$2:$B$1800,BM$1)</f>
        <v>0</v>
      </c>
      <c r="BN31" s="115" t="n">
        <f aca="false">SUMIFS(الريسبي!$C$2:$C$1800,الريسبي!$A$2:$A$1800,$A31,الريسبي!$B$2:$B$1800,BN$1)</f>
        <v>0.03</v>
      </c>
      <c r="BO31" s="115" t="n">
        <f aca="false">SUMIFS(الريسبي!$C$2:$C$1800,الريسبي!$A$2:$A$1800,$A31,الريسبي!$B$2:$B$1800,BO$1)</f>
        <v>3</v>
      </c>
      <c r="BP31" s="115" t="n">
        <f aca="false">SUMIFS(الريسبي!$C$2:$C$1800,الريسبي!$A$2:$A$1800,$A31,الريسبي!$B$2:$B$1800,BP$1)</f>
        <v>3</v>
      </c>
      <c r="BQ31" s="115"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15" t="n">
        <f aca="false">SUMIFS(الريسبي!$C$2:$C$1800,الريسبي!$A$2:$A$1800,$A31,الريسبي!$B$2:$B$1800,BR$1)</f>
        <v>1</v>
      </c>
      <c r="BS31" s="115" t="n">
        <f aca="false">SUMIFS(الريسبي!$C$2:$C$1800,الريسبي!$A$2:$A$1800,$A31,الريسبي!$B$2:$B$1800,BS$1)</f>
        <v>0</v>
      </c>
      <c r="BT31" s="115" t="n">
        <f aca="false">SUMIFS(الريسبي!$C$2:$C$1800,الريسبي!$A$2:$A$1800,$A31,الريسبي!$B$2:$B$1800,BT$1)</f>
        <v>0</v>
      </c>
      <c r="BU31" s="115"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15" t="n">
        <f aca="false">SUMIFS(الريسبي!$C$2:$C$1800,الريسبي!$A$2:$A$1800,$A31,الريسبي!$B$2:$B$1800,BV$1)</f>
        <v>0</v>
      </c>
      <c r="BW31" s="115" t="n">
        <f aca="false">SUMIFS(الريسبي!$C$2:$C$1800,الريسبي!$A$2:$A$1800,$A31,الريسبي!$B$2:$B$1800,BW$1)</f>
        <v>0</v>
      </c>
      <c r="BX31" s="115" t="n">
        <f aca="false">SUMIFS(الريسبي!$C$2:$C$1800,الريسبي!$A$2:$A$1800,$A31,الريسبي!$B$2:$B$1800,BX$1)</f>
        <v>0</v>
      </c>
      <c r="BY31" s="115" t="n">
        <f aca="false">SUMIFS(الريسبي!$C$2:$C$1800,الريسبي!$A$2:$A$1800,$A31,الريسبي!$B$2:$B$1800,BY$1)</f>
        <v>0</v>
      </c>
      <c r="BZ31" s="115" t="n">
        <f aca="false">SUMIFS(الريسبي!$C$2:$C$1800,الريسبي!$A$2:$A$1800,$A31,الريسبي!$B$2:$B$1800,BZ$1)</f>
        <v>1</v>
      </c>
      <c r="CA31" s="115" t="n">
        <f aca="false">SUMIFS(الريسبي!$C$2:$C$1800,الريسبي!$A$2:$A$1800,$A31,الريسبي!$B$2:$B$1800,CA$1)</f>
        <v>1</v>
      </c>
      <c r="CB31" s="115" t="n">
        <f aca="false">SUMIFS(الريسبي!$C$2:$C$1800,الريسبي!$A$2:$A$1800,$A31,الريسبي!$B$2:$B$1800,CB$1)</f>
        <v>0</v>
      </c>
      <c r="CC31" s="115" t="n">
        <f aca="false">SUMIFS(الريسبي!$C$2:$C$1800,الريسبي!$A$2:$A$1800,$A31,الريسبي!$B$2:$B$1800,CC$1)</f>
        <v>0</v>
      </c>
      <c r="CD31" s="115" t="n">
        <f aca="false">SUMIFS(الريسبي!$C$2:$C$1800,الريسبي!$A$2:$A$1800,$A31,الريسبي!$B$2:$B$1800,CD$1)</f>
        <v>0</v>
      </c>
      <c r="CE31" s="115" t="n">
        <f aca="false">SUMIFS(الريسبي!$C$2:$C$1800,الريسبي!$A$2:$A$1800,$A31,الريسبي!$B$2:$B$1800,CE$1)</f>
        <v>0</v>
      </c>
      <c r="CF31" s="115" t="n">
        <f aca="false">SUMIFS(الريسبي!$C$2:$C$1800,الريسبي!$A$2:$A$1800,$A31,الريسبي!$B$2:$B$1800,CF$1)</f>
        <v>0</v>
      </c>
      <c r="CG31" s="115" t="n">
        <f aca="false">SUMIFS(الريسبي!$C$2:$C$1800,الريسبي!$A$2:$A$1800,$A31,الريسبي!$B$2:$B$1800,CG$1)</f>
        <v>0</v>
      </c>
      <c r="CH31" s="115" t="n">
        <f aca="false">SUMIFS(الريسبي!$C$2:$C$1800,الريسبي!$A$2:$A$1800,$A31,الريسبي!$B$2:$B$1800,CH$1)</f>
        <v>0</v>
      </c>
    </row>
    <row r="32" customFormat="false" ht="15" hidden="false" customHeight="false" outlineLevel="0" collapsed="false">
      <c r="A32" s="114" t="str">
        <f aca="false">المنيو!B32</f>
        <v>فطيرة فراخ رانش وسط</v>
      </c>
      <c r="B32" s="115" t="n">
        <f aca="false">SUMIFS(الريسبي!$C$2:$C$1800,الريسبي!$A$2:$A$1800,$A32,الريسبي!$B$2:$B$1800,B$1)</f>
        <v>0</v>
      </c>
      <c r="C32" s="115" t="n">
        <f aca="false">SUMIFS(الريسبي!$C$2:$C$1800,الريسبي!$A$2:$A$1800,$A32,الريسبي!$B$2:$B$1800,C$1)</f>
        <v>0</v>
      </c>
      <c r="D32" s="115" t="n">
        <f aca="false">SUMIFS(الريسبي!$C$2:$C$1800,الريسبي!$A$2:$A$1800,$A32,الريسبي!$B$2:$B$1800,D$1)</f>
        <v>1</v>
      </c>
      <c r="E32" s="115" t="n">
        <f aca="false">SUMIFS(الريسبي!$C$2:$C$1800,الريسبي!$A$2:$A$1800,$A32,الريسبي!$B$2:$B$1800,E$1)</f>
        <v>0</v>
      </c>
      <c r="F32" s="115" t="n">
        <f aca="false">SUMIFS(الريسبي!$C$2:$C$1800,الريسبي!$A$2:$A$1800,$A32,الريسبي!$B$2:$B$1800,F$1)</f>
        <v>0</v>
      </c>
      <c r="G32" s="115" t="n">
        <f aca="false">SUMIFS(الريسبي!$C$2:$C$1800,الريسبي!$A$2:$A$1800,$A32,الريسبي!$B$2:$B$1800,G$1)</f>
        <v>0</v>
      </c>
      <c r="H32" s="115" t="n">
        <f aca="false">SUMIFS(الريسبي!$C$2:$C$1800,الريسبي!$A$2:$A$1800,$A32,الريسبي!$B$2:$B$1800,H$1)</f>
        <v>0</v>
      </c>
      <c r="I32" s="115" t="n">
        <f aca="false">SUMIFS(الريسبي!$C$2:$C$1800,الريسبي!$A$2:$A$1800,$A32,الريسبي!$B$2:$B$1800,I$1)</f>
        <v>0</v>
      </c>
      <c r="J32" s="115" t="n">
        <f aca="false">SUMIFS(الريسبي!$C$2:$C$1800,الريسبي!$A$2:$A$1800,$A32,الريسبي!$B$2:$B$1800,J$1)</f>
        <v>0</v>
      </c>
      <c r="K32" s="115" t="n">
        <f aca="false">SUMIFS(الريسبي!$C$2:$C$1800,الريسبي!$A$2:$A$1800,$A32,الريسبي!$B$2:$B$1800,K$1)</f>
        <v>0</v>
      </c>
      <c r="L32" s="115" t="n">
        <f aca="false">SUMIFS(الريسبي!$C$2:$C$1800,الريسبي!$A$2:$A$1800,$A32,الريسبي!$B$2:$B$1800,L$1)</f>
        <v>0</v>
      </c>
      <c r="M32" s="115" t="n">
        <f aca="false">SUMIFS(الريسبي!$C$2:$C$1800,الريسبي!$A$2:$A$1800,$A32,الريسبي!$B$2:$B$1800,M$1)</f>
        <v>0</v>
      </c>
      <c r="N32" s="115" t="n">
        <f aca="false">SUMIFS(الريسبي!$C$2:$C$1800,الريسبي!$A$2:$A$1800,$A32,الريسبي!$B$2:$B$1800,N$1)</f>
        <v>0</v>
      </c>
      <c r="O32" s="115" t="n">
        <f aca="false">SUMIFS(الريسبي!$C$2:$C$1800,الريسبي!$A$2:$A$1800,$A32,الريسبي!$B$2:$B$1800,O$1)</f>
        <v>1</v>
      </c>
      <c r="P32" s="115" t="n">
        <f aca="false">SUMIFS(الريسبي!$C$2:$C$1800,الريسبي!$A$2:$A$1800,$A32,الريسبي!$B$2:$B$1800,P$1)</f>
        <v>0</v>
      </c>
      <c r="Q32" s="115" t="n">
        <f aca="false">SUMIFS(الريسبي!$C$2:$C$1800,الريسبي!$A$2:$A$1800,$A32,الريسبي!$B$2:$B$1800,Q$1)</f>
        <v>0</v>
      </c>
      <c r="R32" s="115" t="n">
        <f aca="false">SUMIFS(الريسبي!$C$2:$C$1800,الريسبي!$A$2:$A$1800,$A32,الريسبي!$B$2:$B$1800,R$1)</f>
        <v>0</v>
      </c>
      <c r="S32" s="115" t="n">
        <f aca="false">SUMIFS(الريسبي!$C$2:$C$1800,الريسبي!$A$2:$A$1800,$A32,الريسبي!$B$2:$B$1800,S$1)</f>
        <v>0</v>
      </c>
      <c r="T32" s="115" t="n">
        <f aca="false">SUMIFS(الريسبي!$C$2:$C$1800,الريسبي!$A$2:$A$1800,$A32,الريسبي!$B$2:$B$1800,T$1)</f>
        <v>0</v>
      </c>
      <c r="U32" s="115" t="n">
        <f aca="false">SUMIFS(الريسبي!$C$2:$C$1800,الريسبي!$A$2:$A$1800,$A32,الريسبي!$B$2:$B$1800,U$1)</f>
        <v>0</v>
      </c>
      <c r="V32" s="115" t="n">
        <f aca="false">SUMIFS(الريسبي!$C$2:$C$1800,الريسبي!$A$2:$A$1800,$A32,الريسبي!$B$2:$B$1800,V$1)</f>
        <v>0</v>
      </c>
      <c r="W32" s="115" t="n">
        <f aca="false">SUMIFS(الريسبي!$C$2:$C$1800,الريسبي!$A$2:$A$1800,$A32,الريسبي!$B$2:$B$1800,W$1)</f>
        <v>0</v>
      </c>
      <c r="X32" s="115" t="n">
        <f aca="false">SUMIFS(الريسبي!$C$2:$C$1800,الريسبي!$A$2:$A$1800,$A32,الريسبي!$B$2:$B$1800,X$1)</f>
        <v>1</v>
      </c>
      <c r="Y32" s="115" t="n">
        <f aca="false">SUMIFS(الريسبي!$C$2:$C$1800,الريسبي!$A$2:$A$1800,$A32,الريسبي!$B$2:$B$1800,Y$1)</f>
        <v>0</v>
      </c>
      <c r="Z32" s="115" t="n">
        <f aca="false">SUMIFS(الريسبي!$C$2:$C$1800,الريسبي!$A$2:$A$1800,$A32,الريسبي!$B$2:$B$1800,Z$1)</f>
        <v>0</v>
      </c>
      <c r="AA32" s="115" t="n">
        <f aca="false">SUMIFS(الريسبي!$C$2:$C$1800,الريسبي!$A$2:$A$1800,$A32,الريسبي!$B$2:$B$1800,AA$1)</f>
        <v>0</v>
      </c>
      <c r="AB32" s="115" t="n">
        <f aca="false">SUMIFS(الريسبي!$C$2:$C$1800,الريسبي!$A$2:$A$1800,$A32,الريسبي!$B$2:$B$1800,AB$1)</f>
        <v>0</v>
      </c>
      <c r="AC32" s="115" t="n">
        <f aca="false">SUMIFS(الريسبي!$C$2:$C$1800,الريسبي!$A$2:$A$1800,$A32,الريسبي!$B$2:$B$1800,AC$1)</f>
        <v>0</v>
      </c>
      <c r="AD32" s="115" t="n">
        <f aca="false">SUMIFS(الريسبي!$C$2:$C$1800,الريسبي!$A$2:$A$1800,$A32,الريسبي!$B$2:$B$1800,AD$1)</f>
        <v>0</v>
      </c>
      <c r="AE32" s="115" t="n">
        <f aca="false">SUMIFS(الريسبي!$C$2:$C$1800,الريسبي!$A$2:$A$1800,$A32,الريسبي!$B$2:$B$1800,AE$1)</f>
        <v>0</v>
      </c>
      <c r="AF32" s="115" t="n">
        <f aca="false">SUMIFS(الريسبي!$C$2:$C$1800,الريسبي!$A$2:$A$1800,$A32,الريسبي!$B$2:$B$1800,AF$1)</f>
        <v>0</v>
      </c>
      <c r="AG32" s="115" t="n">
        <f aca="false">SUMIFS(الريسبي!$C$2:$C$1800,الريسبي!$A$2:$A$1800,$A32,الريسبي!$B$2:$B$1800,AG$1)</f>
        <v>0</v>
      </c>
      <c r="AH32" s="115" t="n">
        <f aca="false">SUMIFS(الريسبي!$C$2:$C$1800,الريسبي!$A$2:$A$1800,$A32,الريسبي!$B$2:$B$1800,AH$1)</f>
        <v>0</v>
      </c>
      <c r="AI32" s="115" t="n">
        <f aca="false">SUMIFS(الريسبي!$C$2:$C$1800,الريسبي!$A$2:$A$1800,$A32,الريسبي!$B$2:$B$1800,AI$1)</f>
        <v>0</v>
      </c>
      <c r="AJ32" s="115" t="n">
        <f aca="false">SUMIFS(الريسبي!$C$2:$C$1800,الريسبي!$A$2:$A$1800,$A32,الريسبي!$B$2:$B$1800,AJ$1)</f>
        <v>2</v>
      </c>
      <c r="AK32" s="115" t="n">
        <f aca="false">SUMIFS(الريسبي!$C$2:$C$1800,الريسبي!$A$2:$A$1800,$A32,الريسبي!$B$2:$B$1800,AK$1)</f>
        <v>0</v>
      </c>
      <c r="AL32" s="115" t="n">
        <f aca="false">SUMIFS(الريسبي!$C$2:$C$1800,الريسبي!$A$2:$A$1800,$A32,الريسبي!$B$2:$B$1800,AL$1)</f>
        <v>0</v>
      </c>
      <c r="AM32" s="115"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15"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15" t="n">
        <f aca="false">SUMIFS(الريسبي!$C$2:$C$1800,الريسبي!$A$2:$A$1800,$A32,الريسبي!$B$2:$B$1800,AO$1)</f>
        <v>0</v>
      </c>
      <c r="AP32" s="115" t="n">
        <f aca="false">SUMIFS(الريسبي!$C$2:$C$1800,الريسبي!$A$2:$A$1800,$A32,الريسبي!$B$2:$B$1800,AP$1)</f>
        <v>0.02</v>
      </c>
      <c r="AQ32" s="115"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15" t="n">
        <f aca="false">SUMIFS(الريسبي!$C$2:$C$1800,الريسبي!$A$2:$A$1800,$A32,الريسبي!$B$2:$B$1800,AR$1)</f>
        <v>0</v>
      </c>
      <c r="AS32" s="115" t="n">
        <f aca="false">SUMIFS(الريسبي!$C$2:$C$1800,الريسبي!$A$2:$A$1800,$A32,الريسبي!$B$2:$B$1800,AS$1)</f>
        <v>0</v>
      </c>
      <c r="AT32" s="115" t="n">
        <f aca="false">SUMIFS(الريسبي!$C$2:$C$1800,الريسبي!$A$2:$A$1800,$A32,الريسبي!$B$2:$B$1800,AT$1)</f>
        <v>0</v>
      </c>
      <c r="AU32" s="115" t="n">
        <f aca="false">SUMIFS(الريسبي!$C$2:$C$1800,الريسبي!$A$2:$A$1800,$A32,الريسبي!$B$2:$B$1800,AU$1)</f>
        <v>0</v>
      </c>
      <c r="AV32" s="115" t="n">
        <f aca="false">SUMIFS(الريسبي!$C$2:$C$1800,الريسبي!$A$2:$A$1800,$A32,الريسبي!$B$2:$B$1800,AV$1)</f>
        <v>0</v>
      </c>
      <c r="AW32" s="115" t="n">
        <f aca="false">SUMIFS(الريسبي!$C$2:$C$1800,الريسبي!$A$2:$A$1800,$A32,الريسبي!$B$2:$B$1800,AW$1)</f>
        <v>0</v>
      </c>
      <c r="AX32" s="115" t="n">
        <f aca="false">SUMIFS(الريسبي!$C$2:$C$1800,الريسبي!$A$2:$A$1800,$A32,الريسبي!$B$2:$B$1800,AX$1)</f>
        <v>0</v>
      </c>
      <c r="AY32" s="115" t="n">
        <f aca="false">SUMIFS(الريسبي!$C$2:$C$1800,الريسبي!$A$2:$A$1800,$A32,الريسبي!$B$2:$B$1800,AY$1)</f>
        <v>0</v>
      </c>
      <c r="AZ32" s="115" t="n">
        <f aca="false">SUMIFS(الريسبي!$C$2:$C$1800,الريسبي!$A$2:$A$1800,$A32,الريسبي!$B$2:$B$1800,AZ$1)</f>
        <v>0</v>
      </c>
      <c r="BA32" s="115" t="n">
        <f aca="false">SUMIFS(الريسبي!$C$2:$C$1800,الريسبي!$A$2:$A$1800,$A32,الريسبي!$B$2:$B$1800,BA$1)</f>
        <v>0.1</v>
      </c>
      <c r="BB32" s="115" t="n">
        <f aca="false">SUMIFS(الريسبي!$C$2:$C$1800,الريسبي!$A$2:$A$1800,$A32,الريسبي!$B$2:$B$1800,BB$1)</f>
        <v>0</v>
      </c>
      <c r="BC32" s="115" t="n">
        <f aca="false">SUMIFS(الريسبي!$C$2:$C$1800,الريسبي!$A$2:$A$1800,$A32,الريسبي!$B$2:$B$1800,BC$1)</f>
        <v>0.03</v>
      </c>
      <c r="BD32" s="115" t="n">
        <f aca="false">SUMIFS(الريسبي!$C$2:$C$1800,الريسبي!$A$2:$A$1800,$A32,الريسبي!$B$2:$B$1800,BD$1)</f>
        <v>0</v>
      </c>
      <c r="BE32" s="115" t="n">
        <f aca="false">SUMIFS(الريسبي!$C$2:$C$1800,الريسبي!$A$2:$A$1800,$A32,الريسبي!$B$2:$B$1800,BE$1)</f>
        <v>1</v>
      </c>
      <c r="BF32" s="115" t="n">
        <f aca="false">SUMIFS(الريسبي!$C$2:$C$1800,الريسبي!$A$2:$A$1800,$A32,الريسبي!$B$2:$B$1800,BF$1)</f>
        <v>0</v>
      </c>
      <c r="BG32" s="115" t="n">
        <f aca="false">SUMIFS(الريسبي!$C$2:$C$1800,الريسبي!$A$2:$A$1800,$A32,الريسبي!$B$2:$B$1800,BG$1)</f>
        <v>0</v>
      </c>
      <c r="BH32" s="115" t="n">
        <f aca="false">SUMIFS(الريسبي!$C$2:$C$1800,الريسبي!$A$2:$A$1800,$A32,الريسبي!$B$2:$B$1800,BH$1)</f>
        <v>1</v>
      </c>
      <c r="BI32" s="115" t="n">
        <f aca="false">SUMIFS(الريسبي!$C$2:$C$1800,الريسبي!$A$2:$A$1800,$A32,الريسبي!$B$2:$B$1800,BI$1)</f>
        <v>0</v>
      </c>
      <c r="BJ32" s="115" t="n">
        <f aca="false">SUMIFS(الريسبي!$C$2:$C$1800,الريسبي!$A$2:$A$1800,$A32,الريسبي!$B$2:$B$1800,BJ$1)</f>
        <v>0</v>
      </c>
      <c r="BK32" s="115" t="n">
        <f aca="false">SUMIFS(الريسبي!$C$2:$C$1800,الريسبي!$A$2:$A$1800,$A32,الريسبي!$B$2:$B$1800,BK$1)</f>
        <v>0</v>
      </c>
      <c r="BL32" s="115" t="n">
        <f aca="false">SUMIFS(الريسبي!$C$2:$C$1800,الريسبي!$A$2:$A$1800,$A32,الريسبي!$B$2:$B$1800,BL$1)</f>
        <v>0</v>
      </c>
      <c r="BM32" s="115" t="n">
        <f aca="false">SUMIFS(الريسبي!$C$2:$C$1800,الريسبي!$A$2:$A$1800,$A32,الريسبي!$B$2:$B$1800,BM$1)</f>
        <v>0</v>
      </c>
      <c r="BN32" s="115" t="n">
        <f aca="false">SUMIFS(الريسبي!$C$2:$C$1800,الريسبي!$A$2:$A$1800,$A32,الريسبي!$B$2:$B$1800,BN$1)</f>
        <v>0.02</v>
      </c>
      <c r="BO32" s="115" t="n">
        <f aca="false">SUMIFS(الريسبي!$C$2:$C$1800,الريسبي!$A$2:$A$1800,$A32,الريسبي!$B$2:$B$1800,BO$1)</f>
        <v>0</v>
      </c>
      <c r="BP32" s="115" t="n">
        <f aca="false">SUMIFS(الريسبي!$C$2:$C$1800,الريسبي!$A$2:$A$1800,$A32,الريسبي!$B$2:$B$1800,BP$1)</f>
        <v>2</v>
      </c>
      <c r="BQ32" s="115"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15" t="n">
        <f aca="false">SUMIFS(الريسبي!$C$2:$C$1800,الريسبي!$A$2:$A$1800,$A32,الريسبي!$B$2:$B$1800,BR$1)</f>
        <v>1</v>
      </c>
      <c r="BS32" s="115" t="n">
        <f aca="false">SUMIFS(الريسبي!$C$2:$C$1800,الريسبي!$A$2:$A$1800,$A32,الريسبي!$B$2:$B$1800,BS$1)</f>
        <v>0</v>
      </c>
      <c r="BT32" s="115" t="n">
        <f aca="false">SUMIFS(الريسبي!$C$2:$C$1800,الريسبي!$A$2:$A$1800,$A32,الريسبي!$B$2:$B$1800,BT$1)</f>
        <v>0</v>
      </c>
      <c r="BU32" s="115"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15" t="n">
        <f aca="false">SUMIFS(الريسبي!$C$2:$C$1800,الريسبي!$A$2:$A$1800,$A32,الريسبي!$B$2:$B$1800,BV$1)</f>
        <v>0</v>
      </c>
      <c r="BW32" s="115" t="n">
        <f aca="false">SUMIFS(الريسبي!$C$2:$C$1800,الريسبي!$A$2:$A$1800,$A32,الريسبي!$B$2:$B$1800,BW$1)</f>
        <v>0</v>
      </c>
      <c r="BX32" s="115" t="n">
        <f aca="false">SUMIFS(الريسبي!$C$2:$C$1800,الريسبي!$A$2:$A$1800,$A32,الريسبي!$B$2:$B$1800,BX$1)</f>
        <v>0</v>
      </c>
      <c r="BY32" s="115" t="n">
        <f aca="false">SUMIFS(الريسبي!$C$2:$C$1800,الريسبي!$A$2:$A$1800,$A32,الريسبي!$B$2:$B$1800,BY$1)</f>
        <v>0</v>
      </c>
      <c r="BZ32" s="115" t="n">
        <f aca="false">SUMIFS(الريسبي!$C$2:$C$1800,الريسبي!$A$2:$A$1800,$A32,الريسبي!$B$2:$B$1800,BZ$1)</f>
        <v>1</v>
      </c>
      <c r="CA32" s="115" t="n">
        <f aca="false">SUMIFS(الريسبي!$C$2:$C$1800,الريسبي!$A$2:$A$1800,$A32,الريسبي!$B$2:$B$1800,CA$1)</f>
        <v>1</v>
      </c>
      <c r="CB32" s="115" t="n">
        <f aca="false">SUMIFS(الريسبي!$C$2:$C$1800,الريسبي!$A$2:$A$1800,$A32,الريسبي!$B$2:$B$1800,CB$1)</f>
        <v>0</v>
      </c>
      <c r="CC32" s="115" t="n">
        <f aca="false">SUMIFS(الريسبي!$C$2:$C$1800,الريسبي!$A$2:$A$1800,$A32,الريسبي!$B$2:$B$1800,CC$1)</f>
        <v>0</v>
      </c>
      <c r="CD32" s="115" t="n">
        <f aca="false">SUMIFS(الريسبي!$C$2:$C$1800,الريسبي!$A$2:$A$1800,$A32,الريسبي!$B$2:$B$1800,CD$1)</f>
        <v>0</v>
      </c>
      <c r="CE32" s="115" t="n">
        <f aca="false">SUMIFS(الريسبي!$C$2:$C$1800,الريسبي!$A$2:$A$1800,$A32,الريسبي!$B$2:$B$1800,CE$1)</f>
        <v>0</v>
      </c>
      <c r="CF32" s="115" t="n">
        <f aca="false">SUMIFS(الريسبي!$C$2:$C$1800,الريسبي!$A$2:$A$1800,$A32,الريسبي!$B$2:$B$1800,CF$1)</f>
        <v>0</v>
      </c>
      <c r="CG32" s="115" t="n">
        <f aca="false">SUMIFS(الريسبي!$C$2:$C$1800,الريسبي!$A$2:$A$1800,$A32,الريسبي!$B$2:$B$1800,CG$1)</f>
        <v>0</v>
      </c>
      <c r="CH32" s="115" t="n">
        <f aca="false">SUMIFS(الريسبي!$C$2:$C$1800,الريسبي!$A$2:$A$1800,$A32,الريسبي!$B$2:$B$1800,CH$1)</f>
        <v>0</v>
      </c>
    </row>
    <row r="33" customFormat="false" ht="15" hidden="false" customHeight="false" outlineLevel="0" collapsed="false">
      <c r="A33" s="114" t="str">
        <f aca="false">المنيو!B33</f>
        <v>فطيرة فراخ رانش حجم اكبر</v>
      </c>
      <c r="B33" s="115" t="n">
        <f aca="false">SUMIFS(الريسبي!$C$2:$C$1800,الريسبي!$A$2:$A$1800,$A33,الريسبي!$B$2:$B$1800,B$1)</f>
        <v>0</v>
      </c>
      <c r="C33" s="115" t="n">
        <f aca="false">SUMIFS(الريسبي!$C$2:$C$1800,الريسبي!$A$2:$A$1800,$A33,الريسبي!$B$2:$B$1800,C$1)</f>
        <v>0</v>
      </c>
      <c r="D33" s="115" t="n">
        <f aca="false">SUMIFS(الريسبي!$C$2:$C$1800,الريسبي!$A$2:$A$1800,$A33,الريسبي!$B$2:$B$1800,D$1)</f>
        <v>1</v>
      </c>
      <c r="E33" s="115" t="n">
        <f aca="false">SUMIFS(الريسبي!$C$2:$C$1800,الريسبي!$A$2:$A$1800,$A33,الريسبي!$B$2:$B$1800,E$1)</f>
        <v>0</v>
      </c>
      <c r="F33" s="115" t="n">
        <f aca="false">SUMIFS(الريسبي!$C$2:$C$1800,الريسبي!$A$2:$A$1800,$A33,الريسبي!$B$2:$B$1800,F$1)</f>
        <v>0</v>
      </c>
      <c r="G33" s="115" t="n">
        <f aca="false">SUMIFS(الريسبي!$C$2:$C$1800,الريسبي!$A$2:$A$1800,$A33,الريسبي!$B$2:$B$1800,G$1)</f>
        <v>0</v>
      </c>
      <c r="H33" s="115" t="n">
        <f aca="false">SUMIFS(الريسبي!$C$2:$C$1800,الريسبي!$A$2:$A$1800,$A33,الريسبي!$B$2:$B$1800,H$1)</f>
        <v>0</v>
      </c>
      <c r="I33" s="115" t="n">
        <f aca="false">SUMIFS(الريسبي!$C$2:$C$1800,الريسبي!$A$2:$A$1800,$A33,الريسبي!$B$2:$B$1800,I$1)</f>
        <v>0</v>
      </c>
      <c r="J33" s="115" t="n">
        <f aca="false">SUMIFS(الريسبي!$C$2:$C$1800,الريسبي!$A$2:$A$1800,$A33,الريسبي!$B$2:$B$1800,J$1)</f>
        <v>0</v>
      </c>
      <c r="K33" s="115" t="n">
        <f aca="false">SUMIFS(الريسبي!$C$2:$C$1800,الريسبي!$A$2:$A$1800,$A33,الريسبي!$B$2:$B$1800,K$1)</f>
        <v>0</v>
      </c>
      <c r="L33" s="115" t="n">
        <f aca="false">SUMIFS(الريسبي!$C$2:$C$1800,الريسبي!$A$2:$A$1800,$A33,الريسبي!$B$2:$B$1800,L$1)</f>
        <v>0</v>
      </c>
      <c r="M33" s="115" t="n">
        <f aca="false">SUMIFS(الريسبي!$C$2:$C$1800,الريسبي!$A$2:$A$1800,$A33,الريسبي!$B$2:$B$1800,M$1)</f>
        <v>0</v>
      </c>
      <c r="N33" s="115" t="n">
        <f aca="false">SUMIFS(الريسبي!$C$2:$C$1800,الريسبي!$A$2:$A$1800,$A33,الريسبي!$B$2:$B$1800,N$1)</f>
        <v>0</v>
      </c>
      <c r="O33" s="115" t="n">
        <f aca="false">SUMIFS(الريسبي!$C$2:$C$1800,الريسبي!$A$2:$A$1800,$A33,الريسبي!$B$2:$B$1800,O$1)</f>
        <v>0</v>
      </c>
      <c r="P33" s="115" t="n">
        <f aca="false">SUMIFS(الريسبي!$C$2:$C$1800,الريسبي!$A$2:$A$1800,$A33,الريسبي!$B$2:$B$1800,P$1)</f>
        <v>1</v>
      </c>
      <c r="Q33" s="115" t="n">
        <f aca="false">SUMIFS(الريسبي!$C$2:$C$1800,الريسبي!$A$2:$A$1800,$A33,الريسبي!$B$2:$B$1800,Q$1)</f>
        <v>0</v>
      </c>
      <c r="R33" s="115" t="n">
        <f aca="false">SUMIFS(الريسبي!$C$2:$C$1800,الريسبي!$A$2:$A$1800,$A33,الريسبي!$B$2:$B$1800,R$1)</f>
        <v>0</v>
      </c>
      <c r="S33" s="115" t="n">
        <f aca="false">SUMIFS(الريسبي!$C$2:$C$1800,الريسبي!$A$2:$A$1800,$A33,الريسبي!$B$2:$B$1800,S$1)</f>
        <v>0</v>
      </c>
      <c r="T33" s="115" t="n">
        <f aca="false">SUMIFS(الريسبي!$C$2:$C$1800,الريسبي!$A$2:$A$1800,$A33,الريسبي!$B$2:$B$1800,T$1)</f>
        <v>0</v>
      </c>
      <c r="U33" s="115" t="n">
        <f aca="false">SUMIFS(الريسبي!$C$2:$C$1800,الريسبي!$A$2:$A$1800,$A33,الريسبي!$B$2:$B$1800,U$1)</f>
        <v>0</v>
      </c>
      <c r="V33" s="115" t="n">
        <f aca="false">SUMIFS(الريسبي!$C$2:$C$1800,الريسبي!$A$2:$A$1800,$A33,الريسبي!$B$2:$B$1800,V$1)</f>
        <v>0</v>
      </c>
      <c r="W33" s="115" t="n">
        <f aca="false">SUMIFS(الريسبي!$C$2:$C$1800,الريسبي!$A$2:$A$1800,$A33,الريسبي!$B$2:$B$1800,W$1)</f>
        <v>0</v>
      </c>
      <c r="X33" s="115" t="n">
        <f aca="false">SUMIFS(الريسبي!$C$2:$C$1800,الريسبي!$A$2:$A$1800,$A33,الريسبي!$B$2:$B$1800,X$1)</f>
        <v>0</v>
      </c>
      <c r="Y33" s="115" t="n">
        <f aca="false">SUMIFS(الريسبي!$C$2:$C$1800,الريسبي!$A$2:$A$1800,$A33,الريسبي!$B$2:$B$1800,Y$1)</f>
        <v>1</v>
      </c>
      <c r="Z33" s="115" t="n">
        <f aca="false">SUMIFS(الريسبي!$C$2:$C$1800,الريسبي!$A$2:$A$1800,$A33,الريسبي!$B$2:$B$1800,Z$1)</f>
        <v>0</v>
      </c>
      <c r="AA33" s="115" t="n">
        <f aca="false">SUMIFS(الريسبي!$C$2:$C$1800,الريسبي!$A$2:$A$1800,$A33,الريسبي!$B$2:$B$1800,AA$1)</f>
        <v>0</v>
      </c>
      <c r="AB33" s="115" t="n">
        <f aca="false">SUMIFS(الريسبي!$C$2:$C$1800,الريسبي!$A$2:$A$1800,$A33,الريسبي!$B$2:$B$1800,AB$1)</f>
        <v>0</v>
      </c>
      <c r="AC33" s="115" t="n">
        <f aca="false">SUMIFS(الريسبي!$C$2:$C$1800,الريسبي!$A$2:$A$1800,$A33,الريسبي!$B$2:$B$1800,AC$1)</f>
        <v>0</v>
      </c>
      <c r="AD33" s="115" t="n">
        <f aca="false">SUMIFS(الريسبي!$C$2:$C$1800,الريسبي!$A$2:$A$1800,$A33,الريسبي!$B$2:$B$1800,AD$1)</f>
        <v>0</v>
      </c>
      <c r="AE33" s="115" t="n">
        <f aca="false">SUMIFS(الريسبي!$C$2:$C$1800,الريسبي!$A$2:$A$1800,$A33,الريسبي!$B$2:$B$1800,AE$1)</f>
        <v>0</v>
      </c>
      <c r="AF33" s="115" t="n">
        <f aca="false">SUMIFS(الريسبي!$C$2:$C$1800,الريسبي!$A$2:$A$1800,$A33,الريسبي!$B$2:$B$1800,AF$1)</f>
        <v>0</v>
      </c>
      <c r="AG33" s="115" t="n">
        <f aca="false">SUMIFS(الريسبي!$C$2:$C$1800,الريسبي!$A$2:$A$1800,$A33,الريسبي!$B$2:$B$1800,AG$1)</f>
        <v>0</v>
      </c>
      <c r="AH33" s="115" t="n">
        <f aca="false">SUMIFS(الريسبي!$C$2:$C$1800,الريسبي!$A$2:$A$1800,$A33,الريسبي!$B$2:$B$1800,AH$1)</f>
        <v>0</v>
      </c>
      <c r="AI33" s="115" t="n">
        <f aca="false">SUMIFS(الريسبي!$C$2:$C$1800,الريسبي!$A$2:$A$1800,$A33,الريسبي!$B$2:$B$1800,AI$1)</f>
        <v>0</v>
      </c>
      <c r="AJ33" s="115" t="n">
        <f aca="false">SUMIFS(الريسبي!$C$2:$C$1800,الريسبي!$A$2:$A$1800,$A33,الريسبي!$B$2:$B$1800,AJ$1)</f>
        <v>2</v>
      </c>
      <c r="AK33" s="115" t="n">
        <f aca="false">SUMIFS(الريسبي!$C$2:$C$1800,الريسبي!$A$2:$A$1800,$A33,الريسبي!$B$2:$B$1800,AK$1)</f>
        <v>0</v>
      </c>
      <c r="AL33" s="115" t="n">
        <f aca="false">SUMIFS(الريسبي!$C$2:$C$1800,الريسبي!$A$2:$A$1800,$A33,الريسبي!$B$2:$B$1800,AL$1)</f>
        <v>0</v>
      </c>
      <c r="AM33" s="115"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15"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15" t="n">
        <f aca="false">SUMIFS(الريسبي!$C$2:$C$1800,الريسبي!$A$2:$A$1800,$A33,الريسبي!$B$2:$B$1800,AO$1)</f>
        <v>0</v>
      </c>
      <c r="AP33" s="115" t="n">
        <f aca="false">SUMIFS(الريسبي!$C$2:$C$1800,الريسبي!$A$2:$A$1800,$A33,الريسبي!$B$2:$B$1800,AP$1)</f>
        <v>0.03</v>
      </c>
      <c r="AQ33" s="115"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15" t="n">
        <f aca="false">SUMIFS(الريسبي!$C$2:$C$1800,الريسبي!$A$2:$A$1800,$A33,الريسبي!$B$2:$B$1800,AR$1)</f>
        <v>0</v>
      </c>
      <c r="AS33" s="115" t="n">
        <f aca="false">SUMIFS(الريسبي!$C$2:$C$1800,الريسبي!$A$2:$A$1800,$A33,الريسبي!$B$2:$B$1800,AS$1)</f>
        <v>0</v>
      </c>
      <c r="AT33" s="115" t="n">
        <f aca="false">SUMIFS(الريسبي!$C$2:$C$1800,الريسبي!$A$2:$A$1800,$A33,الريسبي!$B$2:$B$1800,AT$1)</f>
        <v>0</v>
      </c>
      <c r="AU33" s="115" t="n">
        <f aca="false">SUMIFS(الريسبي!$C$2:$C$1800,الريسبي!$A$2:$A$1800,$A33,الريسبي!$B$2:$B$1800,AU$1)</f>
        <v>0</v>
      </c>
      <c r="AV33" s="115" t="n">
        <f aca="false">SUMIFS(الريسبي!$C$2:$C$1800,الريسبي!$A$2:$A$1800,$A33,الريسبي!$B$2:$B$1800,AV$1)</f>
        <v>0</v>
      </c>
      <c r="AW33" s="115" t="n">
        <f aca="false">SUMIFS(الريسبي!$C$2:$C$1800,الريسبي!$A$2:$A$1800,$A33,الريسبي!$B$2:$B$1800,AW$1)</f>
        <v>0</v>
      </c>
      <c r="AX33" s="115" t="n">
        <f aca="false">SUMIFS(الريسبي!$C$2:$C$1800,الريسبي!$A$2:$A$1800,$A33,الريسبي!$B$2:$B$1800,AX$1)</f>
        <v>0</v>
      </c>
      <c r="AY33" s="115" t="n">
        <f aca="false">SUMIFS(الريسبي!$C$2:$C$1800,الريسبي!$A$2:$A$1800,$A33,الريسبي!$B$2:$B$1800,AY$1)</f>
        <v>0</v>
      </c>
      <c r="AZ33" s="115" t="n">
        <f aca="false">SUMIFS(الريسبي!$C$2:$C$1800,الريسبي!$A$2:$A$1800,$A33,الريسبي!$B$2:$B$1800,AZ$1)</f>
        <v>0</v>
      </c>
      <c r="BA33" s="115" t="n">
        <f aca="false">SUMIFS(الريسبي!$C$2:$C$1800,الريسبي!$A$2:$A$1800,$A33,الريسبي!$B$2:$B$1800,BA$1)</f>
        <v>0.15</v>
      </c>
      <c r="BB33" s="115" t="n">
        <f aca="false">SUMIFS(الريسبي!$C$2:$C$1800,الريسبي!$A$2:$A$1800,$A33,الريسبي!$B$2:$B$1800,BB$1)</f>
        <v>0</v>
      </c>
      <c r="BC33" s="115" t="n">
        <f aca="false">SUMIFS(الريسبي!$C$2:$C$1800,الريسبي!$A$2:$A$1800,$A33,الريسبي!$B$2:$B$1800,BC$1)</f>
        <v>0.045</v>
      </c>
      <c r="BD33" s="115" t="n">
        <f aca="false">SUMIFS(الريسبي!$C$2:$C$1800,الريسبي!$A$2:$A$1800,$A33,الريسبي!$B$2:$B$1800,BD$1)</f>
        <v>0</v>
      </c>
      <c r="BE33" s="115" t="n">
        <f aca="false">SUMIFS(الريسبي!$C$2:$C$1800,الريسبي!$A$2:$A$1800,$A33,الريسبي!$B$2:$B$1800,BE$1)</f>
        <v>1.5</v>
      </c>
      <c r="BF33" s="115" t="n">
        <f aca="false">SUMIFS(الريسبي!$C$2:$C$1800,الريسبي!$A$2:$A$1800,$A33,الريسبي!$B$2:$B$1800,BF$1)</f>
        <v>0</v>
      </c>
      <c r="BG33" s="115" t="n">
        <f aca="false">SUMIFS(الريسبي!$C$2:$C$1800,الريسبي!$A$2:$A$1800,$A33,الريسبي!$B$2:$B$1800,BG$1)</f>
        <v>1</v>
      </c>
      <c r="BH33" s="115" t="n">
        <f aca="false">SUMIFS(الريسبي!$C$2:$C$1800,الريسبي!$A$2:$A$1800,$A33,الريسبي!$B$2:$B$1800,BH$1)</f>
        <v>0</v>
      </c>
      <c r="BI33" s="115" t="n">
        <f aca="false">SUMIFS(الريسبي!$C$2:$C$1800,الريسبي!$A$2:$A$1800,$A33,الريسبي!$B$2:$B$1800,BI$1)</f>
        <v>0</v>
      </c>
      <c r="BJ33" s="115" t="n">
        <f aca="false">SUMIFS(الريسبي!$C$2:$C$1800,الريسبي!$A$2:$A$1800,$A33,الريسبي!$B$2:$B$1800,BJ$1)</f>
        <v>0</v>
      </c>
      <c r="BK33" s="115" t="n">
        <f aca="false">SUMIFS(الريسبي!$C$2:$C$1800,الريسبي!$A$2:$A$1800,$A33,الريسبي!$B$2:$B$1800,BK$1)</f>
        <v>0</v>
      </c>
      <c r="BL33" s="115" t="n">
        <f aca="false">SUMIFS(الريسبي!$C$2:$C$1800,الريسبي!$A$2:$A$1800,$A33,الريسبي!$B$2:$B$1800,BL$1)</f>
        <v>0</v>
      </c>
      <c r="BM33" s="115" t="n">
        <f aca="false">SUMIFS(الريسبي!$C$2:$C$1800,الريسبي!$A$2:$A$1800,$A33,الريسبي!$B$2:$B$1800,BM$1)</f>
        <v>0</v>
      </c>
      <c r="BN33" s="115" t="n">
        <f aca="false">SUMIFS(الريسبي!$C$2:$C$1800,الريسبي!$A$2:$A$1800,$A33,الريسبي!$B$2:$B$1800,BN$1)</f>
        <v>0.03</v>
      </c>
      <c r="BO33" s="115" t="n">
        <f aca="false">SUMIFS(الريسبي!$C$2:$C$1800,الريسبي!$A$2:$A$1800,$A33,الريسبي!$B$2:$B$1800,BO$1)</f>
        <v>0</v>
      </c>
      <c r="BP33" s="115" t="n">
        <f aca="false">SUMIFS(الريسبي!$C$2:$C$1800,الريسبي!$A$2:$A$1800,$A33,الريسبي!$B$2:$B$1800,BP$1)</f>
        <v>3</v>
      </c>
      <c r="BQ33" s="115"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15" t="n">
        <f aca="false">SUMIFS(الريسبي!$C$2:$C$1800,الريسبي!$A$2:$A$1800,$A33,الريسبي!$B$2:$B$1800,BR$1)</f>
        <v>1</v>
      </c>
      <c r="BS33" s="115" t="n">
        <f aca="false">SUMIFS(الريسبي!$C$2:$C$1800,الريسبي!$A$2:$A$1800,$A33,الريسبي!$B$2:$B$1800,BS$1)</f>
        <v>0</v>
      </c>
      <c r="BT33" s="115" t="n">
        <f aca="false">SUMIFS(الريسبي!$C$2:$C$1800,الريسبي!$A$2:$A$1800,$A33,الريسبي!$B$2:$B$1800,BT$1)</f>
        <v>0</v>
      </c>
      <c r="BU33" s="115"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15" t="n">
        <f aca="false">SUMIFS(الريسبي!$C$2:$C$1800,الريسبي!$A$2:$A$1800,$A33,الريسبي!$B$2:$B$1800,BV$1)</f>
        <v>0</v>
      </c>
      <c r="BW33" s="115" t="n">
        <f aca="false">SUMIFS(الريسبي!$C$2:$C$1800,الريسبي!$A$2:$A$1800,$A33,الريسبي!$B$2:$B$1800,BW$1)</f>
        <v>0</v>
      </c>
      <c r="BX33" s="115" t="n">
        <f aca="false">SUMIFS(الريسبي!$C$2:$C$1800,الريسبي!$A$2:$A$1800,$A33,الريسبي!$B$2:$B$1800,BX$1)</f>
        <v>0</v>
      </c>
      <c r="BY33" s="115" t="n">
        <f aca="false">SUMIFS(الريسبي!$C$2:$C$1800,الريسبي!$A$2:$A$1800,$A33,الريسبي!$B$2:$B$1800,BY$1)</f>
        <v>0</v>
      </c>
      <c r="BZ33" s="115" t="n">
        <f aca="false">SUMIFS(الريسبي!$C$2:$C$1800,الريسبي!$A$2:$A$1800,$A33,الريسبي!$B$2:$B$1800,BZ$1)</f>
        <v>1</v>
      </c>
      <c r="CA33" s="115" t="n">
        <f aca="false">SUMIFS(الريسبي!$C$2:$C$1800,الريسبي!$A$2:$A$1800,$A33,الريسبي!$B$2:$B$1800,CA$1)</f>
        <v>1</v>
      </c>
      <c r="CB33" s="115" t="n">
        <f aca="false">SUMIFS(الريسبي!$C$2:$C$1800,الريسبي!$A$2:$A$1800,$A33,الريسبي!$B$2:$B$1800,CB$1)</f>
        <v>0</v>
      </c>
      <c r="CC33" s="115" t="n">
        <f aca="false">SUMIFS(الريسبي!$C$2:$C$1800,الريسبي!$A$2:$A$1800,$A33,الريسبي!$B$2:$B$1800,CC$1)</f>
        <v>0</v>
      </c>
      <c r="CD33" s="115" t="n">
        <f aca="false">SUMIFS(الريسبي!$C$2:$C$1800,الريسبي!$A$2:$A$1800,$A33,الريسبي!$B$2:$B$1800,CD$1)</f>
        <v>0</v>
      </c>
      <c r="CE33" s="115" t="n">
        <f aca="false">SUMIFS(الريسبي!$C$2:$C$1800,الريسبي!$A$2:$A$1800,$A33,الريسبي!$B$2:$B$1800,CE$1)</f>
        <v>0</v>
      </c>
      <c r="CF33" s="115" t="n">
        <f aca="false">SUMIFS(الريسبي!$C$2:$C$1800,الريسبي!$A$2:$A$1800,$A33,الريسبي!$B$2:$B$1800,CF$1)</f>
        <v>0</v>
      </c>
      <c r="CG33" s="115" t="n">
        <f aca="false">SUMIFS(الريسبي!$C$2:$C$1800,الريسبي!$A$2:$A$1800,$A33,الريسبي!$B$2:$B$1800,CG$1)</f>
        <v>0</v>
      </c>
      <c r="CH33" s="115" t="n">
        <f aca="false">SUMIFS(الريسبي!$C$2:$C$1800,الريسبي!$A$2:$A$1800,$A33,الريسبي!$B$2:$B$1800,CH$1)</f>
        <v>0</v>
      </c>
    </row>
    <row r="34" customFormat="false" ht="15" hidden="false" customHeight="false" outlineLevel="0" collapsed="false">
      <c r="A34" s="114" t="str">
        <f aca="false">المنيو!B34</f>
        <v>فطيرة فراخ باربيكيو وسط</v>
      </c>
      <c r="B34" s="115" t="n">
        <f aca="false">SUMIFS(الريسبي!$C$2:$C$1800,الريسبي!$A$2:$A$1800,$A34,الريسبي!$B$2:$B$1800,B$1)</f>
        <v>0</v>
      </c>
      <c r="C34" s="115" t="n">
        <f aca="false">SUMIFS(الريسبي!$C$2:$C$1800,الريسبي!$A$2:$A$1800,$A34,الريسبي!$B$2:$B$1800,C$1)</f>
        <v>0</v>
      </c>
      <c r="D34" s="115" t="n">
        <f aca="false">SUMIFS(الريسبي!$C$2:$C$1800,الريسبي!$A$2:$A$1800,$A34,الريسبي!$B$2:$B$1800,D$1)</f>
        <v>1</v>
      </c>
      <c r="E34" s="115" t="n">
        <f aca="false">SUMIFS(الريسبي!$C$2:$C$1800,الريسبي!$A$2:$A$1800,$A34,الريسبي!$B$2:$B$1800,E$1)</f>
        <v>0</v>
      </c>
      <c r="F34" s="115" t="n">
        <f aca="false">SUMIFS(الريسبي!$C$2:$C$1800,الريسبي!$A$2:$A$1800,$A34,الريسبي!$B$2:$B$1800,F$1)</f>
        <v>0</v>
      </c>
      <c r="G34" s="115" t="n">
        <f aca="false">SUMIFS(الريسبي!$C$2:$C$1800,الريسبي!$A$2:$A$1800,$A34,الريسبي!$B$2:$B$1800,G$1)</f>
        <v>0</v>
      </c>
      <c r="H34" s="115" t="n">
        <f aca="false">SUMIFS(الريسبي!$C$2:$C$1800,الريسبي!$A$2:$A$1800,$A34,الريسبي!$B$2:$B$1800,H$1)</f>
        <v>0</v>
      </c>
      <c r="I34" s="115" t="n">
        <f aca="false">SUMIFS(الريسبي!$C$2:$C$1800,الريسبي!$A$2:$A$1800,$A34,الريسبي!$B$2:$B$1800,I$1)</f>
        <v>0</v>
      </c>
      <c r="J34" s="115" t="n">
        <f aca="false">SUMIFS(الريسبي!$C$2:$C$1800,الريسبي!$A$2:$A$1800,$A34,الريسبي!$B$2:$B$1800,J$1)</f>
        <v>0</v>
      </c>
      <c r="K34" s="115" t="n">
        <f aca="false">SUMIFS(الريسبي!$C$2:$C$1800,الريسبي!$A$2:$A$1800,$A34,الريسبي!$B$2:$B$1800,K$1)</f>
        <v>0</v>
      </c>
      <c r="L34" s="115" t="n">
        <f aca="false">SUMIFS(الريسبي!$C$2:$C$1800,الريسبي!$A$2:$A$1800,$A34,الريسبي!$B$2:$B$1800,L$1)</f>
        <v>0</v>
      </c>
      <c r="M34" s="115" t="n">
        <f aca="false">SUMIFS(الريسبي!$C$2:$C$1800,الريسبي!$A$2:$A$1800,$A34,الريسبي!$B$2:$B$1800,M$1)</f>
        <v>0</v>
      </c>
      <c r="N34" s="115" t="n">
        <f aca="false">SUMIFS(الريسبي!$C$2:$C$1800,الريسبي!$A$2:$A$1800,$A34,الريسبي!$B$2:$B$1800,N$1)</f>
        <v>0</v>
      </c>
      <c r="O34" s="115" t="n">
        <f aca="false">SUMIFS(الريسبي!$C$2:$C$1800,الريسبي!$A$2:$A$1800,$A34,الريسبي!$B$2:$B$1800,O$1)</f>
        <v>1</v>
      </c>
      <c r="P34" s="115" t="n">
        <f aca="false">SUMIFS(الريسبي!$C$2:$C$1800,الريسبي!$A$2:$A$1800,$A34,الريسبي!$B$2:$B$1800,P$1)</f>
        <v>0</v>
      </c>
      <c r="Q34" s="115" t="n">
        <f aca="false">SUMIFS(الريسبي!$C$2:$C$1800,الريسبي!$A$2:$A$1800,$A34,الريسبي!$B$2:$B$1800,Q$1)</f>
        <v>0</v>
      </c>
      <c r="R34" s="115" t="n">
        <f aca="false">SUMIFS(الريسبي!$C$2:$C$1800,الريسبي!$A$2:$A$1800,$A34,الريسبي!$B$2:$B$1800,R$1)</f>
        <v>0</v>
      </c>
      <c r="S34" s="115" t="n">
        <f aca="false">SUMIFS(الريسبي!$C$2:$C$1800,الريسبي!$A$2:$A$1800,$A34,الريسبي!$B$2:$B$1800,S$1)</f>
        <v>0</v>
      </c>
      <c r="T34" s="115" t="n">
        <f aca="false">SUMIFS(الريسبي!$C$2:$C$1800,الريسبي!$A$2:$A$1800,$A34,الريسبي!$B$2:$B$1800,T$1)</f>
        <v>0</v>
      </c>
      <c r="U34" s="115" t="n">
        <f aca="false">SUMIFS(الريسبي!$C$2:$C$1800,الريسبي!$A$2:$A$1800,$A34,الريسبي!$B$2:$B$1800,U$1)</f>
        <v>0</v>
      </c>
      <c r="V34" s="115" t="n">
        <f aca="false">SUMIFS(الريسبي!$C$2:$C$1800,الريسبي!$A$2:$A$1800,$A34,الريسبي!$B$2:$B$1800,V$1)</f>
        <v>0</v>
      </c>
      <c r="W34" s="115" t="n">
        <f aca="false">SUMIFS(الريسبي!$C$2:$C$1800,الريسبي!$A$2:$A$1800,$A34,الريسبي!$B$2:$B$1800,W$1)</f>
        <v>0</v>
      </c>
      <c r="X34" s="115" t="n">
        <f aca="false">SUMIFS(الريسبي!$C$2:$C$1800,الريسبي!$A$2:$A$1800,$A34,الريسبي!$B$2:$B$1800,X$1)</f>
        <v>1</v>
      </c>
      <c r="Y34" s="115" t="n">
        <f aca="false">SUMIFS(الريسبي!$C$2:$C$1800,الريسبي!$A$2:$A$1800,$A34,الريسبي!$B$2:$B$1800,Y$1)</f>
        <v>0</v>
      </c>
      <c r="Z34" s="115" t="n">
        <f aca="false">SUMIFS(الريسبي!$C$2:$C$1800,الريسبي!$A$2:$A$1800,$A34,الريسبي!$B$2:$B$1800,Z$1)</f>
        <v>0</v>
      </c>
      <c r="AA34" s="115" t="n">
        <f aca="false">SUMIFS(الريسبي!$C$2:$C$1800,الريسبي!$A$2:$A$1800,$A34,الريسبي!$B$2:$B$1800,AA$1)</f>
        <v>0</v>
      </c>
      <c r="AB34" s="115" t="n">
        <f aca="false">SUMIFS(الريسبي!$C$2:$C$1800,الريسبي!$A$2:$A$1800,$A34,الريسبي!$B$2:$B$1800,AB$1)</f>
        <v>0</v>
      </c>
      <c r="AC34" s="115" t="n">
        <f aca="false">SUMIFS(الريسبي!$C$2:$C$1800,الريسبي!$A$2:$A$1800,$A34,الريسبي!$B$2:$B$1800,AC$1)</f>
        <v>0</v>
      </c>
      <c r="AD34" s="115" t="n">
        <f aca="false">SUMIFS(الريسبي!$C$2:$C$1800,الريسبي!$A$2:$A$1800,$A34,الريسبي!$B$2:$B$1800,AD$1)</f>
        <v>0</v>
      </c>
      <c r="AE34" s="115" t="n">
        <f aca="false">SUMIFS(الريسبي!$C$2:$C$1800,الريسبي!$A$2:$A$1800,$A34,الريسبي!$B$2:$B$1800,AE$1)</f>
        <v>0</v>
      </c>
      <c r="AF34" s="115" t="n">
        <f aca="false">SUMIFS(الريسبي!$C$2:$C$1800,الريسبي!$A$2:$A$1800,$A34,الريسبي!$B$2:$B$1800,AF$1)</f>
        <v>0</v>
      </c>
      <c r="AG34" s="115" t="n">
        <f aca="false">SUMIFS(الريسبي!$C$2:$C$1800,الريسبي!$A$2:$A$1800,$A34,الريسبي!$B$2:$B$1800,AG$1)</f>
        <v>0</v>
      </c>
      <c r="AH34" s="115" t="n">
        <f aca="false">SUMIFS(الريسبي!$C$2:$C$1800,الريسبي!$A$2:$A$1800,$A34,الريسبي!$B$2:$B$1800,AH$1)</f>
        <v>0</v>
      </c>
      <c r="AI34" s="115" t="n">
        <f aca="false">SUMIFS(الريسبي!$C$2:$C$1800,الريسبي!$A$2:$A$1800,$A34,الريسبي!$B$2:$B$1800,AI$1)</f>
        <v>0</v>
      </c>
      <c r="AJ34" s="115" t="n">
        <f aca="false">SUMIFS(الريسبي!$C$2:$C$1800,الريسبي!$A$2:$A$1800,$A34,الريسبي!$B$2:$B$1800,AJ$1)</f>
        <v>2</v>
      </c>
      <c r="AK34" s="115" t="n">
        <f aca="false">SUMIFS(الريسبي!$C$2:$C$1800,الريسبي!$A$2:$A$1800,$A34,الريسبي!$B$2:$B$1800,AK$1)</f>
        <v>0</v>
      </c>
      <c r="AL34" s="115" t="n">
        <f aca="false">SUMIFS(الريسبي!$C$2:$C$1800,الريسبي!$A$2:$A$1800,$A34,الريسبي!$B$2:$B$1800,AL$1)</f>
        <v>0</v>
      </c>
      <c r="AM34" s="115"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15"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15" t="n">
        <f aca="false">SUMIFS(الريسبي!$C$2:$C$1800,الريسبي!$A$2:$A$1800,$A34,الريسبي!$B$2:$B$1800,AO$1)</f>
        <v>0</v>
      </c>
      <c r="AP34" s="115" t="n">
        <f aca="false">SUMIFS(الريسبي!$C$2:$C$1800,الريسبي!$A$2:$A$1800,$A34,الريسبي!$B$2:$B$1800,AP$1)</f>
        <v>0.02</v>
      </c>
      <c r="AQ34" s="115"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15" t="n">
        <f aca="false">SUMIFS(الريسبي!$C$2:$C$1800,الريسبي!$A$2:$A$1800,$A34,الريسبي!$B$2:$B$1800,AR$1)</f>
        <v>0</v>
      </c>
      <c r="AS34" s="115" t="n">
        <f aca="false">SUMIFS(الريسبي!$C$2:$C$1800,الريسبي!$A$2:$A$1800,$A34,الريسبي!$B$2:$B$1800,AS$1)</f>
        <v>0</v>
      </c>
      <c r="AT34" s="115" t="n">
        <f aca="false">SUMIFS(الريسبي!$C$2:$C$1800,الريسبي!$A$2:$A$1800,$A34,الريسبي!$B$2:$B$1800,AT$1)</f>
        <v>0</v>
      </c>
      <c r="AU34" s="115" t="n">
        <f aca="false">SUMIFS(الريسبي!$C$2:$C$1800,الريسبي!$A$2:$A$1800,$A34,الريسبي!$B$2:$B$1800,AU$1)</f>
        <v>0</v>
      </c>
      <c r="AV34" s="115" t="n">
        <f aca="false">SUMIFS(الريسبي!$C$2:$C$1800,الريسبي!$A$2:$A$1800,$A34,الريسبي!$B$2:$B$1800,AV$1)</f>
        <v>0</v>
      </c>
      <c r="AW34" s="115" t="n">
        <f aca="false">SUMIFS(الريسبي!$C$2:$C$1800,الريسبي!$A$2:$A$1800,$A34,الريسبي!$B$2:$B$1800,AW$1)</f>
        <v>0</v>
      </c>
      <c r="AX34" s="115" t="n">
        <f aca="false">SUMIFS(الريسبي!$C$2:$C$1800,الريسبي!$A$2:$A$1800,$A34,الريسبي!$B$2:$B$1800,AX$1)</f>
        <v>0</v>
      </c>
      <c r="AY34" s="115" t="n">
        <f aca="false">SUMIFS(الريسبي!$C$2:$C$1800,الريسبي!$A$2:$A$1800,$A34,الريسبي!$B$2:$B$1800,AY$1)</f>
        <v>0.1</v>
      </c>
      <c r="AZ34" s="115" t="n">
        <f aca="false">SUMIFS(الريسبي!$C$2:$C$1800,الريسبي!$A$2:$A$1800,$A34,الريسبي!$B$2:$B$1800,AZ$1)</f>
        <v>0</v>
      </c>
      <c r="BA34" s="115" t="n">
        <f aca="false">SUMIFS(الريسبي!$C$2:$C$1800,الريسبي!$A$2:$A$1800,$A34,الريسبي!$B$2:$B$1800,BA$1)</f>
        <v>0</v>
      </c>
      <c r="BB34" s="115" t="n">
        <f aca="false">SUMIFS(الريسبي!$C$2:$C$1800,الريسبي!$A$2:$A$1800,$A34,الريسبي!$B$2:$B$1800,BB$1)</f>
        <v>0</v>
      </c>
      <c r="BC34" s="115" t="n">
        <f aca="false">SUMIFS(الريسبي!$C$2:$C$1800,الريسبي!$A$2:$A$1800,$A34,الريسبي!$B$2:$B$1800,BC$1)</f>
        <v>0.03</v>
      </c>
      <c r="BD34" s="115" t="n">
        <f aca="false">SUMIFS(الريسبي!$C$2:$C$1800,الريسبي!$A$2:$A$1800,$A34,الريسبي!$B$2:$B$1800,BD$1)</f>
        <v>0</v>
      </c>
      <c r="BE34" s="115" t="n">
        <f aca="false">SUMIFS(الريسبي!$C$2:$C$1800,الريسبي!$A$2:$A$1800,$A34,الريسبي!$B$2:$B$1800,BE$1)</f>
        <v>1</v>
      </c>
      <c r="BF34" s="115" t="n">
        <f aca="false">SUMIFS(الريسبي!$C$2:$C$1800,الريسبي!$A$2:$A$1800,$A34,الريسبي!$B$2:$B$1800,BF$1)</f>
        <v>0</v>
      </c>
      <c r="BG34" s="115" t="n">
        <f aca="false">SUMIFS(الريسبي!$C$2:$C$1800,الريسبي!$A$2:$A$1800,$A34,الريسبي!$B$2:$B$1800,BG$1)</f>
        <v>0</v>
      </c>
      <c r="BH34" s="115" t="n">
        <f aca="false">SUMIFS(الريسبي!$C$2:$C$1800,الريسبي!$A$2:$A$1800,$A34,الريسبي!$B$2:$B$1800,BH$1)</f>
        <v>1</v>
      </c>
      <c r="BI34" s="115" t="n">
        <f aca="false">SUMIFS(الريسبي!$C$2:$C$1800,الريسبي!$A$2:$A$1800,$A34,الريسبي!$B$2:$B$1800,BI$1)</f>
        <v>0</v>
      </c>
      <c r="BJ34" s="115" t="n">
        <f aca="false">SUMIFS(الريسبي!$C$2:$C$1800,الريسبي!$A$2:$A$1800,$A34,الريسبي!$B$2:$B$1800,BJ$1)</f>
        <v>0</v>
      </c>
      <c r="BK34" s="115" t="n">
        <f aca="false">SUMIFS(الريسبي!$C$2:$C$1800,الريسبي!$A$2:$A$1800,$A34,الريسبي!$B$2:$B$1800,BK$1)</f>
        <v>0</v>
      </c>
      <c r="BL34" s="115" t="n">
        <f aca="false">SUMIFS(الريسبي!$C$2:$C$1800,الريسبي!$A$2:$A$1800,$A34,الريسبي!$B$2:$B$1800,BL$1)</f>
        <v>0</v>
      </c>
      <c r="BM34" s="115" t="n">
        <f aca="false">SUMIFS(الريسبي!$C$2:$C$1800,الريسبي!$A$2:$A$1800,$A34,الريسبي!$B$2:$B$1800,BM$1)</f>
        <v>0</v>
      </c>
      <c r="BN34" s="115" t="n">
        <f aca="false">SUMIFS(الريسبي!$C$2:$C$1800,الريسبي!$A$2:$A$1800,$A34,الريسبي!$B$2:$B$1800,BN$1)</f>
        <v>0.02</v>
      </c>
      <c r="BO34" s="115" t="n">
        <f aca="false">SUMIFS(الريسبي!$C$2:$C$1800,الريسبي!$A$2:$A$1800,$A34,الريسبي!$B$2:$B$1800,BO$1)</f>
        <v>0</v>
      </c>
      <c r="BP34" s="115" t="n">
        <f aca="false">SUMIFS(الريسبي!$C$2:$C$1800,الريسبي!$A$2:$A$1800,$A34,الريسبي!$B$2:$B$1800,BP$1)</f>
        <v>2</v>
      </c>
      <c r="BQ34" s="115"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15" t="n">
        <f aca="false">SUMIFS(الريسبي!$C$2:$C$1800,الريسبي!$A$2:$A$1800,$A34,الريسبي!$B$2:$B$1800,BR$1)</f>
        <v>1</v>
      </c>
      <c r="BS34" s="115" t="n">
        <f aca="false">SUMIFS(الريسبي!$C$2:$C$1800,الريسبي!$A$2:$A$1800,$A34,الريسبي!$B$2:$B$1800,BS$1)</f>
        <v>0</v>
      </c>
      <c r="BT34" s="115" t="n">
        <f aca="false">SUMIFS(الريسبي!$C$2:$C$1800,الريسبي!$A$2:$A$1800,$A34,الريسبي!$B$2:$B$1800,BT$1)</f>
        <v>0</v>
      </c>
      <c r="BU34" s="115"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15" t="n">
        <f aca="false">SUMIFS(الريسبي!$C$2:$C$1800,الريسبي!$A$2:$A$1800,$A34,الريسبي!$B$2:$B$1800,BV$1)</f>
        <v>0</v>
      </c>
      <c r="BW34" s="115" t="n">
        <f aca="false">SUMIFS(الريسبي!$C$2:$C$1800,الريسبي!$A$2:$A$1800,$A34,الريسبي!$B$2:$B$1800,BW$1)</f>
        <v>0</v>
      </c>
      <c r="BX34" s="115" t="n">
        <f aca="false">SUMIFS(الريسبي!$C$2:$C$1800,الريسبي!$A$2:$A$1800,$A34,الريسبي!$B$2:$B$1800,BX$1)</f>
        <v>0</v>
      </c>
      <c r="BY34" s="115" t="n">
        <f aca="false">SUMIFS(الريسبي!$C$2:$C$1800,الريسبي!$A$2:$A$1800,$A34,الريسبي!$B$2:$B$1800,BY$1)</f>
        <v>0</v>
      </c>
      <c r="BZ34" s="115" t="n">
        <f aca="false">SUMIFS(الريسبي!$C$2:$C$1800,الريسبي!$A$2:$A$1800,$A34,الريسبي!$B$2:$B$1800,BZ$1)</f>
        <v>1</v>
      </c>
      <c r="CA34" s="115" t="n">
        <f aca="false">SUMIFS(الريسبي!$C$2:$C$1800,الريسبي!$A$2:$A$1800,$A34,الريسبي!$B$2:$B$1800,CA$1)</f>
        <v>1</v>
      </c>
      <c r="CB34" s="115" t="n">
        <f aca="false">SUMIFS(الريسبي!$C$2:$C$1800,الريسبي!$A$2:$A$1800,$A34,الريسبي!$B$2:$B$1800,CB$1)</f>
        <v>0</v>
      </c>
      <c r="CC34" s="115" t="n">
        <f aca="false">SUMIFS(الريسبي!$C$2:$C$1800,الريسبي!$A$2:$A$1800,$A34,الريسبي!$B$2:$B$1800,CC$1)</f>
        <v>0</v>
      </c>
      <c r="CD34" s="115" t="n">
        <f aca="false">SUMIFS(الريسبي!$C$2:$C$1800,الريسبي!$A$2:$A$1800,$A34,الريسبي!$B$2:$B$1800,CD$1)</f>
        <v>0</v>
      </c>
      <c r="CE34" s="115" t="n">
        <f aca="false">SUMIFS(الريسبي!$C$2:$C$1800,الريسبي!$A$2:$A$1800,$A34,الريسبي!$B$2:$B$1800,CE$1)</f>
        <v>0</v>
      </c>
      <c r="CF34" s="115" t="n">
        <f aca="false">SUMIFS(الريسبي!$C$2:$C$1800,الريسبي!$A$2:$A$1800,$A34,الريسبي!$B$2:$B$1800,CF$1)</f>
        <v>0</v>
      </c>
      <c r="CG34" s="115" t="n">
        <f aca="false">SUMIFS(الريسبي!$C$2:$C$1800,الريسبي!$A$2:$A$1800,$A34,الريسبي!$B$2:$B$1800,CG$1)</f>
        <v>0</v>
      </c>
      <c r="CH34" s="115" t="n">
        <f aca="false">SUMIFS(الريسبي!$C$2:$C$1800,الريسبي!$A$2:$A$1800,$A34,الريسبي!$B$2:$B$1800,CH$1)</f>
        <v>0</v>
      </c>
    </row>
    <row r="35" customFormat="false" ht="15" hidden="false" customHeight="false" outlineLevel="0" collapsed="false">
      <c r="A35" s="114" t="str">
        <f aca="false">المنيو!B35</f>
        <v>فطيرة فراخ باربيكيو حجم اكبر</v>
      </c>
      <c r="B35" s="115" t="n">
        <f aca="false">SUMIFS(الريسبي!$C$2:$C$1800,الريسبي!$A$2:$A$1800,$A35,الريسبي!$B$2:$B$1800,B$1)</f>
        <v>0</v>
      </c>
      <c r="C35" s="115" t="n">
        <f aca="false">SUMIFS(الريسبي!$C$2:$C$1800,الريسبي!$A$2:$A$1800,$A35,الريسبي!$B$2:$B$1800,C$1)</f>
        <v>0</v>
      </c>
      <c r="D35" s="115" t="n">
        <f aca="false">SUMIFS(الريسبي!$C$2:$C$1800,الريسبي!$A$2:$A$1800,$A35,الريسبي!$B$2:$B$1800,D$1)</f>
        <v>1</v>
      </c>
      <c r="E35" s="115" t="n">
        <f aca="false">SUMIFS(الريسبي!$C$2:$C$1800,الريسبي!$A$2:$A$1800,$A35,الريسبي!$B$2:$B$1800,E$1)</f>
        <v>0</v>
      </c>
      <c r="F35" s="115" t="n">
        <f aca="false">SUMIFS(الريسبي!$C$2:$C$1800,الريسبي!$A$2:$A$1800,$A35,الريسبي!$B$2:$B$1800,F$1)</f>
        <v>0</v>
      </c>
      <c r="G35" s="115" t="n">
        <f aca="false">SUMIFS(الريسبي!$C$2:$C$1800,الريسبي!$A$2:$A$1800,$A35,الريسبي!$B$2:$B$1800,G$1)</f>
        <v>0</v>
      </c>
      <c r="H35" s="115" t="n">
        <f aca="false">SUMIFS(الريسبي!$C$2:$C$1800,الريسبي!$A$2:$A$1800,$A35,الريسبي!$B$2:$B$1800,H$1)</f>
        <v>0</v>
      </c>
      <c r="I35" s="115" t="n">
        <f aca="false">SUMIFS(الريسبي!$C$2:$C$1800,الريسبي!$A$2:$A$1800,$A35,الريسبي!$B$2:$B$1800,I$1)</f>
        <v>0</v>
      </c>
      <c r="J35" s="115" t="n">
        <f aca="false">SUMIFS(الريسبي!$C$2:$C$1800,الريسبي!$A$2:$A$1800,$A35,الريسبي!$B$2:$B$1800,J$1)</f>
        <v>0</v>
      </c>
      <c r="K35" s="115" t="n">
        <f aca="false">SUMIFS(الريسبي!$C$2:$C$1800,الريسبي!$A$2:$A$1800,$A35,الريسبي!$B$2:$B$1800,K$1)</f>
        <v>0</v>
      </c>
      <c r="L35" s="115" t="n">
        <f aca="false">SUMIFS(الريسبي!$C$2:$C$1800,الريسبي!$A$2:$A$1800,$A35,الريسبي!$B$2:$B$1800,L$1)</f>
        <v>0</v>
      </c>
      <c r="M35" s="115" t="n">
        <f aca="false">SUMIFS(الريسبي!$C$2:$C$1800,الريسبي!$A$2:$A$1800,$A35,الريسبي!$B$2:$B$1800,M$1)</f>
        <v>0</v>
      </c>
      <c r="N35" s="115" t="n">
        <f aca="false">SUMIFS(الريسبي!$C$2:$C$1800,الريسبي!$A$2:$A$1800,$A35,الريسبي!$B$2:$B$1800,N$1)</f>
        <v>0</v>
      </c>
      <c r="O35" s="115" t="n">
        <f aca="false">SUMIFS(الريسبي!$C$2:$C$1800,الريسبي!$A$2:$A$1800,$A35,الريسبي!$B$2:$B$1800,O$1)</f>
        <v>0</v>
      </c>
      <c r="P35" s="115" t="n">
        <f aca="false">SUMIFS(الريسبي!$C$2:$C$1800,الريسبي!$A$2:$A$1800,$A35,الريسبي!$B$2:$B$1800,P$1)</f>
        <v>1</v>
      </c>
      <c r="Q35" s="115" t="n">
        <f aca="false">SUMIFS(الريسبي!$C$2:$C$1800,الريسبي!$A$2:$A$1800,$A35,الريسبي!$B$2:$B$1800,Q$1)</f>
        <v>0</v>
      </c>
      <c r="R35" s="115" t="n">
        <f aca="false">SUMIFS(الريسبي!$C$2:$C$1800,الريسبي!$A$2:$A$1800,$A35,الريسبي!$B$2:$B$1800,R$1)</f>
        <v>0</v>
      </c>
      <c r="S35" s="115" t="n">
        <f aca="false">SUMIFS(الريسبي!$C$2:$C$1800,الريسبي!$A$2:$A$1800,$A35,الريسبي!$B$2:$B$1800,S$1)</f>
        <v>0</v>
      </c>
      <c r="T35" s="115" t="n">
        <f aca="false">SUMIFS(الريسبي!$C$2:$C$1800,الريسبي!$A$2:$A$1800,$A35,الريسبي!$B$2:$B$1800,T$1)</f>
        <v>0</v>
      </c>
      <c r="U35" s="115" t="n">
        <f aca="false">SUMIFS(الريسبي!$C$2:$C$1800,الريسبي!$A$2:$A$1800,$A35,الريسبي!$B$2:$B$1800,U$1)</f>
        <v>0</v>
      </c>
      <c r="V35" s="115" t="n">
        <f aca="false">SUMIFS(الريسبي!$C$2:$C$1800,الريسبي!$A$2:$A$1800,$A35,الريسبي!$B$2:$B$1800,V$1)</f>
        <v>0</v>
      </c>
      <c r="W35" s="115" t="n">
        <f aca="false">SUMIFS(الريسبي!$C$2:$C$1800,الريسبي!$A$2:$A$1800,$A35,الريسبي!$B$2:$B$1800,W$1)</f>
        <v>0</v>
      </c>
      <c r="X35" s="115" t="n">
        <f aca="false">SUMIFS(الريسبي!$C$2:$C$1800,الريسبي!$A$2:$A$1800,$A35,الريسبي!$B$2:$B$1800,X$1)</f>
        <v>0</v>
      </c>
      <c r="Y35" s="115" t="n">
        <f aca="false">SUMIFS(الريسبي!$C$2:$C$1800,الريسبي!$A$2:$A$1800,$A35,الريسبي!$B$2:$B$1800,Y$1)</f>
        <v>1</v>
      </c>
      <c r="Z35" s="115" t="n">
        <f aca="false">SUMIFS(الريسبي!$C$2:$C$1800,الريسبي!$A$2:$A$1800,$A35,الريسبي!$B$2:$B$1800,Z$1)</f>
        <v>0</v>
      </c>
      <c r="AA35" s="115" t="n">
        <f aca="false">SUMIFS(الريسبي!$C$2:$C$1800,الريسبي!$A$2:$A$1800,$A35,الريسبي!$B$2:$B$1800,AA$1)</f>
        <v>0</v>
      </c>
      <c r="AB35" s="115" t="n">
        <f aca="false">SUMIFS(الريسبي!$C$2:$C$1800,الريسبي!$A$2:$A$1800,$A35,الريسبي!$B$2:$B$1800,AB$1)</f>
        <v>0</v>
      </c>
      <c r="AC35" s="115" t="n">
        <f aca="false">SUMIFS(الريسبي!$C$2:$C$1800,الريسبي!$A$2:$A$1800,$A35,الريسبي!$B$2:$B$1800,AC$1)</f>
        <v>0</v>
      </c>
      <c r="AD35" s="115" t="n">
        <f aca="false">SUMIFS(الريسبي!$C$2:$C$1800,الريسبي!$A$2:$A$1800,$A35,الريسبي!$B$2:$B$1800,AD$1)</f>
        <v>0</v>
      </c>
      <c r="AE35" s="115" t="n">
        <f aca="false">SUMIFS(الريسبي!$C$2:$C$1800,الريسبي!$A$2:$A$1800,$A35,الريسبي!$B$2:$B$1800,AE$1)</f>
        <v>0</v>
      </c>
      <c r="AF35" s="115" t="n">
        <f aca="false">SUMIFS(الريسبي!$C$2:$C$1800,الريسبي!$A$2:$A$1800,$A35,الريسبي!$B$2:$B$1800,AF$1)</f>
        <v>0</v>
      </c>
      <c r="AG35" s="115" t="n">
        <f aca="false">SUMIFS(الريسبي!$C$2:$C$1800,الريسبي!$A$2:$A$1800,$A35,الريسبي!$B$2:$B$1800,AG$1)</f>
        <v>0</v>
      </c>
      <c r="AH35" s="115" t="n">
        <f aca="false">SUMIFS(الريسبي!$C$2:$C$1800,الريسبي!$A$2:$A$1800,$A35,الريسبي!$B$2:$B$1800,AH$1)</f>
        <v>0</v>
      </c>
      <c r="AI35" s="115" t="n">
        <f aca="false">SUMIFS(الريسبي!$C$2:$C$1800,الريسبي!$A$2:$A$1800,$A35,الريسبي!$B$2:$B$1800,AI$1)</f>
        <v>0</v>
      </c>
      <c r="AJ35" s="115" t="n">
        <f aca="false">SUMIFS(الريسبي!$C$2:$C$1800,الريسبي!$A$2:$A$1800,$A35,الريسبي!$B$2:$B$1800,AJ$1)</f>
        <v>2</v>
      </c>
      <c r="AK35" s="115" t="n">
        <f aca="false">SUMIFS(الريسبي!$C$2:$C$1800,الريسبي!$A$2:$A$1800,$A35,الريسبي!$B$2:$B$1800,AK$1)</f>
        <v>0</v>
      </c>
      <c r="AL35" s="115" t="n">
        <f aca="false">SUMIFS(الريسبي!$C$2:$C$1800,الريسبي!$A$2:$A$1800,$A35,الريسبي!$B$2:$B$1800,AL$1)</f>
        <v>0</v>
      </c>
      <c r="AM35" s="115"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15"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15" t="n">
        <f aca="false">SUMIFS(الريسبي!$C$2:$C$1800,الريسبي!$A$2:$A$1800,$A35,الريسبي!$B$2:$B$1800,AO$1)</f>
        <v>0</v>
      </c>
      <c r="AP35" s="115" t="n">
        <f aca="false">SUMIFS(الريسبي!$C$2:$C$1800,الريسبي!$A$2:$A$1800,$A35,الريسبي!$B$2:$B$1800,AP$1)</f>
        <v>0.03</v>
      </c>
      <c r="AQ35" s="115"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15" t="n">
        <f aca="false">SUMIFS(الريسبي!$C$2:$C$1800,الريسبي!$A$2:$A$1800,$A35,الريسبي!$B$2:$B$1800,AR$1)</f>
        <v>0</v>
      </c>
      <c r="AS35" s="115" t="n">
        <f aca="false">SUMIFS(الريسبي!$C$2:$C$1800,الريسبي!$A$2:$A$1800,$A35,الريسبي!$B$2:$B$1800,AS$1)</f>
        <v>0</v>
      </c>
      <c r="AT35" s="115" t="n">
        <f aca="false">SUMIFS(الريسبي!$C$2:$C$1800,الريسبي!$A$2:$A$1800,$A35,الريسبي!$B$2:$B$1800,AT$1)</f>
        <v>0</v>
      </c>
      <c r="AU35" s="115" t="n">
        <f aca="false">SUMIFS(الريسبي!$C$2:$C$1800,الريسبي!$A$2:$A$1800,$A35,الريسبي!$B$2:$B$1800,AU$1)</f>
        <v>0</v>
      </c>
      <c r="AV35" s="115" t="n">
        <f aca="false">SUMIFS(الريسبي!$C$2:$C$1800,الريسبي!$A$2:$A$1800,$A35,الريسبي!$B$2:$B$1800,AV$1)</f>
        <v>0</v>
      </c>
      <c r="AW35" s="115" t="n">
        <f aca="false">SUMIFS(الريسبي!$C$2:$C$1800,الريسبي!$A$2:$A$1800,$A35,الريسبي!$B$2:$B$1800,AW$1)</f>
        <v>0</v>
      </c>
      <c r="AX35" s="115" t="n">
        <f aca="false">SUMIFS(الريسبي!$C$2:$C$1800,الريسبي!$A$2:$A$1800,$A35,الريسبي!$B$2:$B$1800,AX$1)</f>
        <v>0</v>
      </c>
      <c r="AY35" s="115" t="n">
        <f aca="false">SUMIFS(الريسبي!$C$2:$C$1800,الريسبي!$A$2:$A$1800,$A35,الريسبي!$B$2:$B$1800,AY$1)</f>
        <v>0.15</v>
      </c>
      <c r="AZ35" s="115" t="n">
        <f aca="false">SUMIFS(الريسبي!$C$2:$C$1800,الريسبي!$A$2:$A$1800,$A35,الريسبي!$B$2:$B$1800,AZ$1)</f>
        <v>0</v>
      </c>
      <c r="BA35" s="115" t="n">
        <f aca="false">SUMIFS(الريسبي!$C$2:$C$1800,الريسبي!$A$2:$A$1800,$A35,الريسبي!$B$2:$B$1800,BA$1)</f>
        <v>0</v>
      </c>
      <c r="BB35" s="115" t="n">
        <f aca="false">SUMIFS(الريسبي!$C$2:$C$1800,الريسبي!$A$2:$A$1800,$A35,الريسبي!$B$2:$B$1800,BB$1)</f>
        <v>0</v>
      </c>
      <c r="BC35" s="115" t="n">
        <f aca="false">SUMIFS(الريسبي!$C$2:$C$1800,الريسبي!$A$2:$A$1800,$A35,الريسبي!$B$2:$B$1800,BC$1)</f>
        <v>0.045</v>
      </c>
      <c r="BD35" s="115" t="n">
        <f aca="false">SUMIFS(الريسبي!$C$2:$C$1800,الريسبي!$A$2:$A$1800,$A35,الريسبي!$B$2:$B$1800,BD$1)</f>
        <v>0</v>
      </c>
      <c r="BE35" s="115" t="n">
        <f aca="false">SUMIFS(الريسبي!$C$2:$C$1800,الريسبي!$A$2:$A$1800,$A35,الريسبي!$B$2:$B$1800,BE$1)</f>
        <v>1.5</v>
      </c>
      <c r="BF35" s="115" t="n">
        <f aca="false">SUMIFS(الريسبي!$C$2:$C$1800,الريسبي!$A$2:$A$1800,$A35,الريسبي!$B$2:$B$1800,BF$1)</f>
        <v>0</v>
      </c>
      <c r="BG35" s="115" t="n">
        <f aca="false">SUMIFS(الريسبي!$C$2:$C$1800,الريسبي!$A$2:$A$1800,$A35,الريسبي!$B$2:$B$1800,BG$1)</f>
        <v>1</v>
      </c>
      <c r="BH35" s="115" t="n">
        <f aca="false">SUMIFS(الريسبي!$C$2:$C$1800,الريسبي!$A$2:$A$1800,$A35,الريسبي!$B$2:$B$1800,BH$1)</f>
        <v>0</v>
      </c>
      <c r="BI35" s="115" t="n">
        <f aca="false">SUMIFS(الريسبي!$C$2:$C$1800,الريسبي!$A$2:$A$1800,$A35,الريسبي!$B$2:$B$1800,BI$1)</f>
        <v>0</v>
      </c>
      <c r="BJ35" s="115" t="n">
        <f aca="false">SUMIFS(الريسبي!$C$2:$C$1800,الريسبي!$A$2:$A$1800,$A35,الريسبي!$B$2:$B$1800,BJ$1)</f>
        <v>0</v>
      </c>
      <c r="BK35" s="115" t="n">
        <f aca="false">SUMIFS(الريسبي!$C$2:$C$1800,الريسبي!$A$2:$A$1800,$A35,الريسبي!$B$2:$B$1800,BK$1)</f>
        <v>0</v>
      </c>
      <c r="BL35" s="115" t="n">
        <f aca="false">SUMIFS(الريسبي!$C$2:$C$1800,الريسبي!$A$2:$A$1800,$A35,الريسبي!$B$2:$B$1800,BL$1)</f>
        <v>0</v>
      </c>
      <c r="BM35" s="115" t="n">
        <f aca="false">SUMIFS(الريسبي!$C$2:$C$1800,الريسبي!$A$2:$A$1800,$A35,الريسبي!$B$2:$B$1800,BM$1)</f>
        <v>0</v>
      </c>
      <c r="BN35" s="115" t="n">
        <f aca="false">SUMIFS(الريسبي!$C$2:$C$1800,الريسبي!$A$2:$A$1800,$A35,الريسبي!$B$2:$B$1800,BN$1)</f>
        <v>0.03</v>
      </c>
      <c r="BO35" s="115" t="n">
        <f aca="false">SUMIFS(الريسبي!$C$2:$C$1800,الريسبي!$A$2:$A$1800,$A35,الريسبي!$B$2:$B$1800,BO$1)</f>
        <v>0</v>
      </c>
      <c r="BP35" s="115" t="n">
        <f aca="false">SUMIFS(الريسبي!$C$2:$C$1800,الريسبي!$A$2:$A$1800,$A35,الريسبي!$B$2:$B$1800,BP$1)</f>
        <v>3</v>
      </c>
      <c r="BQ35" s="115"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15" t="n">
        <f aca="false">SUMIFS(الريسبي!$C$2:$C$1800,الريسبي!$A$2:$A$1800,$A35,الريسبي!$B$2:$B$1800,BR$1)</f>
        <v>1</v>
      </c>
      <c r="BS35" s="115" t="n">
        <f aca="false">SUMIFS(الريسبي!$C$2:$C$1800,الريسبي!$A$2:$A$1800,$A35,الريسبي!$B$2:$B$1800,BS$1)</f>
        <v>0</v>
      </c>
      <c r="BT35" s="115" t="n">
        <f aca="false">SUMIFS(الريسبي!$C$2:$C$1800,الريسبي!$A$2:$A$1800,$A35,الريسبي!$B$2:$B$1800,BT$1)</f>
        <v>0</v>
      </c>
      <c r="BU35" s="115"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15" t="n">
        <f aca="false">SUMIFS(الريسبي!$C$2:$C$1800,الريسبي!$A$2:$A$1800,$A35,الريسبي!$B$2:$B$1800,BV$1)</f>
        <v>0</v>
      </c>
      <c r="BW35" s="115" t="n">
        <f aca="false">SUMIFS(الريسبي!$C$2:$C$1800,الريسبي!$A$2:$A$1800,$A35,الريسبي!$B$2:$B$1800,BW$1)</f>
        <v>0</v>
      </c>
      <c r="BX35" s="115" t="n">
        <f aca="false">SUMIFS(الريسبي!$C$2:$C$1800,الريسبي!$A$2:$A$1800,$A35,الريسبي!$B$2:$B$1800,BX$1)</f>
        <v>0</v>
      </c>
      <c r="BY35" s="115" t="n">
        <f aca="false">SUMIFS(الريسبي!$C$2:$C$1800,الريسبي!$A$2:$A$1800,$A35,الريسبي!$B$2:$B$1800,BY$1)</f>
        <v>0</v>
      </c>
      <c r="BZ35" s="115" t="n">
        <f aca="false">SUMIFS(الريسبي!$C$2:$C$1800,الريسبي!$A$2:$A$1800,$A35,الريسبي!$B$2:$B$1800,BZ$1)</f>
        <v>1</v>
      </c>
      <c r="CA35" s="115" t="n">
        <f aca="false">SUMIFS(الريسبي!$C$2:$C$1800,الريسبي!$A$2:$A$1800,$A35,الريسبي!$B$2:$B$1800,CA$1)</f>
        <v>1</v>
      </c>
      <c r="CB35" s="115" t="n">
        <f aca="false">SUMIFS(الريسبي!$C$2:$C$1800,الريسبي!$A$2:$A$1800,$A35,الريسبي!$B$2:$B$1800,CB$1)</f>
        <v>0</v>
      </c>
      <c r="CC35" s="115" t="n">
        <f aca="false">SUMIFS(الريسبي!$C$2:$C$1800,الريسبي!$A$2:$A$1800,$A35,الريسبي!$B$2:$B$1800,CC$1)</f>
        <v>0</v>
      </c>
      <c r="CD35" s="115" t="n">
        <f aca="false">SUMIFS(الريسبي!$C$2:$C$1800,الريسبي!$A$2:$A$1800,$A35,الريسبي!$B$2:$B$1800,CD$1)</f>
        <v>0</v>
      </c>
      <c r="CE35" s="115" t="n">
        <f aca="false">SUMIFS(الريسبي!$C$2:$C$1800,الريسبي!$A$2:$A$1800,$A35,الريسبي!$B$2:$B$1800,CE$1)</f>
        <v>0</v>
      </c>
      <c r="CF35" s="115" t="n">
        <f aca="false">SUMIFS(الريسبي!$C$2:$C$1800,الريسبي!$A$2:$A$1800,$A35,الريسبي!$B$2:$B$1800,CF$1)</f>
        <v>0</v>
      </c>
      <c r="CG35" s="115" t="n">
        <f aca="false">SUMIFS(الريسبي!$C$2:$C$1800,الريسبي!$A$2:$A$1800,$A35,الريسبي!$B$2:$B$1800,CG$1)</f>
        <v>0</v>
      </c>
      <c r="CH35" s="115" t="n">
        <f aca="false">SUMIFS(الريسبي!$C$2:$C$1800,الريسبي!$A$2:$A$1800,$A35,الريسبي!$B$2:$B$1800,CH$1)</f>
        <v>0</v>
      </c>
    </row>
    <row r="36" customFormat="false" ht="15" hidden="false" customHeight="false" outlineLevel="0" collapsed="false">
      <c r="A36" s="114" t="str">
        <f aca="false">المنيو!B36</f>
        <v>فطيرة فراخ كريسبي رانش وسط</v>
      </c>
      <c r="B36" s="115" t="n">
        <f aca="false">SUMIFS(الريسبي!$C$2:$C$1800,الريسبي!$A$2:$A$1800,$A36,الريسبي!$B$2:$B$1800,B$1)</f>
        <v>0</v>
      </c>
      <c r="C36" s="115" t="n">
        <f aca="false">SUMIFS(الريسبي!$C$2:$C$1800,الريسبي!$A$2:$A$1800,$A36,الريسبي!$B$2:$B$1800,C$1)</f>
        <v>0</v>
      </c>
      <c r="D36" s="115" t="n">
        <f aca="false">SUMIFS(الريسبي!$C$2:$C$1800,الريسبي!$A$2:$A$1800,$A36,الريسبي!$B$2:$B$1800,D$1)</f>
        <v>1</v>
      </c>
      <c r="E36" s="115" t="n">
        <f aca="false">SUMIFS(الريسبي!$C$2:$C$1800,الريسبي!$A$2:$A$1800,$A36,الريسبي!$B$2:$B$1800,E$1)</f>
        <v>0</v>
      </c>
      <c r="F36" s="115" t="n">
        <f aca="false">SUMIFS(الريسبي!$C$2:$C$1800,الريسبي!$A$2:$A$1800,$A36,الريسبي!$B$2:$B$1800,F$1)</f>
        <v>0</v>
      </c>
      <c r="G36" s="115" t="n">
        <f aca="false">SUMIFS(الريسبي!$C$2:$C$1800,الريسبي!$A$2:$A$1800,$A36,الريسبي!$B$2:$B$1800,G$1)</f>
        <v>0</v>
      </c>
      <c r="H36" s="115" t="n">
        <f aca="false">SUMIFS(الريسبي!$C$2:$C$1800,الريسبي!$A$2:$A$1800,$A36,الريسبي!$B$2:$B$1800,H$1)</f>
        <v>0</v>
      </c>
      <c r="I36" s="115" t="n">
        <f aca="false">SUMIFS(الريسبي!$C$2:$C$1800,الريسبي!$A$2:$A$1800,$A36,الريسبي!$B$2:$B$1800,I$1)</f>
        <v>0</v>
      </c>
      <c r="J36" s="115" t="n">
        <f aca="false">SUMIFS(الريسبي!$C$2:$C$1800,الريسبي!$A$2:$A$1800,$A36,الريسبي!$B$2:$B$1800,J$1)</f>
        <v>0</v>
      </c>
      <c r="K36" s="115" t="n">
        <f aca="false">SUMIFS(الريسبي!$C$2:$C$1800,الريسبي!$A$2:$A$1800,$A36,الريسبي!$B$2:$B$1800,K$1)</f>
        <v>0</v>
      </c>
      <c r="L36" s="115" t="n">
        <f aca="false">SUMIFS(الريسبي!$C$2:$C$1800,الريسبي!$A$2:$A$1800,$A36,الريسبي!$B$2:$B$1800,L$1)</f>
        <v>0</v>
      </c>
      <c r="M36" s="115" t="n">
        <f aca="false">SUMIFS(الريسبي!$C$2:$C$1800,الريسبي!$A$2:$A$1800,$A36,الريسبي!$B$2:$B$1800,M$1)</f>
        <v>0</v>
      </c>
      <c r="N36" s="115" t="n">
        <f aca="false">SUMIFS(الريسبي!$C$2:$C$1800,الريسبي!$A$2:$A$1800,$A36,الريسبي!$B$2:$B$1800,N$1)</f>
        <v>0</v>
      </c>
      <c r="O36" s="115" t="n">
        <f aca="false">SUMIFS(الريسبي!$C$2:$C$1800,الريسبي!$A$2:$A$1800,$A36,الريسبي!$B$2:$B$1800,O$1)</f>
        <v>0</v>
      </c>
      <c r="P36" s="115" t="n">
        <f aca="false">SUMIFS(الريسبي!$C$2:$C$1800,الريسبي!$A$2:$A$1800,$A36,الريسبي!$B$2:$B$1800,P$1)</f>
        <v>0</v>
      </c>
      <c r="Q36" s="115" t="n">
        <f aca="false">SUMIFS(الريسبي!$C$2:$C$1800,الريسبي!$A$2:$A$1800,$A36,الريسبي!$B$2:$B$1800,Q$1)</f>
        <v>1</v>
      </c>
      <c r="R36" s="115" t="n">
        <f aca="false">SUMIFS(الريسبي!$C$2:$C$1800,الريسبي!$A$2:$A$1800,$A36,الريسبي!$B$2:$B$1800,R$1)</f>
        <v>0</v>
      </c>
      <c r="S36" s="115" t="n">
        <f aca="false">SUMIFS(الريسبي!$C$2:$C$1800,الريسبي!$A$2:$A$1800,$A36,الريسبي!$B$2:$B$1800,S$1)</f>
        <v>0</v>
      </c>
      <c r="T36" s="115" t="n">
        <f aca="false">SUMIFS(الريسبي!$C$2:$C$1800,الريسبي!$A$2:$A$1800,$A36,الريسبي!$B$2:$B$1800,T$1)</f>
        <v>0</v>
      </c>
      <c r="U36" s="115" t="n">
        <f aca="false">SUMIFS(الريسبي!$C$2:$C$1800,الريسبي!$A$2:$A$1800,$A36,الريسبي!$B$2:$B$1800,U$1)</f>
        <v>0</v>
      </c>
      <c r="V36" s="115" t="n">
        <f aca="false">SUMIFS(الريسبي!$C$2:$C$1800,الريسبي!$A$2:$A$1800,$A36,الريسبي!$B$2:$B$1800,V$1)</f>
        <v>0</v>
      </c>
      <c r="W36" s="115" t="n">
        <f aca="false">SUMIFS(الريسبي!$C$2:$C$1800,الريسبي!$A$2:$A$1800,$A36,الريسبي!$B$2:$B$1800,W$1)</f>
        <v>0</v>
      </c>
      <c r="X36" s="115" t="n">
        <f aca="false">SUMIFS(الريسبي!$C$2:$C$1800,الريسبي!$A$2:$A$1800,$A36,الريسبي!$B$2:$B$1800,X$1)</f>
        <v>1</v>
      </c>
      <c r="Y36" s="115" t="n">
        <f aca="false">SUMIFS(الريسبي!$C$2:$C$1800,الريسبي!$A$2:$A$1800,$A36,الريسبي!$B$2:$B$1800,Y$1)</f>
        <v>0</v>
      </c>
      <c r="Z36" s="115" t="n">
        <f aca="false">SUMIFS(الريسبي!$C$2:$C$1800,الريسبي!$A$2:$A$1800,$A36,الريسبي!$B$2:$B$1800,Z$1)</f>
        <v>0</v>
      </c>
      <c r="AA36" s="115" t="n">
        <f aca="false">SUMIFS(الريسبي!$C$2:$C$1800,الريسبي!$A$2:$A$1800,$A36,الريسبي!$B$2:$B$1800,AA$1)</f>
        <v>0</v>
      </c>
      <c r="AB36" s="115" t="n">
        <f aca="false">SUMIFS(الريسبي!$C$2:$C$1800,الريسبي!$A$2:$A$1800,$A36,الريسبي!$B$2:$B$1800,AB$1)</f>
        <v>0</v>
      </c>
      <c r="AC36" s="115" t="n">
        <f aca="false">SUMIFS(الريسبي!$C$2:$C$1800,الريسبي!$A$2:$A$1800,$A36,الريسبي!$B$2:$B$1800,AC$1)</f>
        <v>0</v>
      </c>
      <c r="AD36" s="115" t="n">
        <f aca="false">SUMIFS(الريسبي!$C$2:$C$1800,الريسبي!$A$2:$A$1800,$A36,الريسبي!$B$2:$B$1800,AD$1)</f>
        <v>0</v>
      </c>
      <c r="AE36" s="115" t="n">
        <f aca="false">SUMIFS(الريسبي!$C$2:$C$1800,الريسبي!$A$2:$A$1800,$A36,الريسبي!$B$2:$B$1800,AE$1)</f>
        <v>0</v>
      </c>
      <c r="AF36" s="115" t="n">
        <f aca="false">SUMIFS(الريسبي!$C$2:$C$1800,الريسبي!$A$2:$A$1800,$A36,الريسبي!$B$2:$B$1800,AF$1)</f>
        <v>0</v>
      </c>
      <c r="AG36" s="115" t="n">
        <f aca="false">SUMIFS(الريسبي!$C$2:$C$1800,الريسبي!$A$2:$A$1800,$A36,الريسبي!$B$2:$B$1800,AG$1)</f>
        <v>0</v>
      </c>
      <c r="AH36" s="115" t="n">
        <f aca="false">SUMIFS(الريسبي!$C$2:$C$1800,الريسبي!$A$2:$A$1800,$A36,الريسبي!$B$2:$B$1800,AH$1)</f>
        <v>0</v>
      </c>
      <c r="AI36" s="115" t="n">
        <f aca="false">SUMIFS(الريسبي!$C$2:$C$1800,الريسبي!$A$2:$A$1800,$A36,الريسبي!$B$2:$B$1800,AI$1)</f>
        <v>0</v>
      </c>
      <c r="AJ36" s="115" t="n">
        <f aca="false">SUMIFS(الريسبي!$C$2:$C$1800,الريسبي!$A$2:$A$1800,$A36,الريسبي!$B$2:$B$1800,AJ$1)</f>
        <v>2</v>
      </c>
      <c r="AK36" s="115" t="n">
        <f aca="false">SUMIFS(الريسبي!$C$2:$C$1800,الريسبي!$A$2:$A$1800,$A36,الريسبي!$B$2:$B$1800,AK$1)</f>
        <v>0</v>
      </c>
      <c r="AL36" s="115" t="n">
        <f aca="false">SUMIFS(الريسبي!$C$2:$C$1800,الريسبي!$A$2:$A$1800,$A36,الريسبي!$B$2:$B$1800,AL$1)</f>
        <v>0</v>
      </c>
      <c r="AM36" s="115"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15"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15" t="n">
        <f aca="false">SUMIFS(الريسبي!$C$2:$C$1800,الريسبي!$A$2:$A$1800,$A36,الريسبي!$B$2:$B$1800,AO$1)</f>
        <v>0</v>
      </c>
      <c r="AP36" s="115" t="n">
        <f aca="false">SUMIFS(الريسبي!$C$2:$C$1800,الريسبي!$A$2:$A$1800,$A36,الريسبي!$B$2:$B$1800,AP$1)</f>
        <v>0.02</v>
      </c>
      <c r="AQ36" s="115"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15" t="n">
        <f aca="false">SUMIFS(الريسبي!$C$2:$C$1800,الريسبي!$A$2:$A$1800,$A36,الريسبي!$B$2:$B$1800,AR$1)</f>
        <v>0</v>
      </c>
      <c r="AS36" s="115" t="n">
        <f aca="false">SUMIFS(الريسبي!$C$2:$C$1800,الريسبي!$A$2:$A$1800,$A36,الريسبي!$B$2:$B$1800,AS$1)</f>
        <v>0</v>
      </c>
      <c r="AT36" s="115" t="n">
        <f aca="false">SUMIFS(الريسبي!$C$2:$C$1800,الريسبي!$A$2:$A$1800,$A36,الريسبي!$B$2:$B$1800,AT$1)</f>
        <v>0</v>
      </c>
      <c r="AU36" s="115" t="n">
        <f aca="false">SUMIFS(الريسبي!$C$2:$C$1800,الريسبي!$A$2:$A$1800,$A36,الريسبي!$B$2:$B$1800,AU$1)</f>
        <v>0</v>
      </c>
      <c r="AV36" s="115" t="n">
        <f aca="false">SUMIFS(الريسبي!$C$2:$C$1800,الريسبي!$A$2:$A$1800,$A36,الريسبي!$B$2:$B$1800,AV$1)</f>
        <v>0</v>
      </c>
      <c r="AW36" s="115" t="n">
        <f aca="false">SUMIFS(الريسبي!$C$2:$C$1800,الريسبي!$A$2:$A$1800,$A36,الريسبي!$B$2:$B$1800,AW$1)</f>
        <v>0</v>
      </c>
      <c r="AX36" s="115" t="n">
        <f aca="false">SUMIFS(الريسبي!$C$2:$C$1800,الريسبي!$A$2:$A$1800,$A36,الريسبي!$B$2:$B$1800,AX$1)</f>
        <v>0</v>
      </c>
      <c r="AY36" s="115" t="n">
        <f aca="false">SUMIFS(الريسبي!$C$2:$C$1800,الريسبي!$A$2:$A$1800,$A36,الريسبي!$B$2:$B$1800,AY$1)</f>
        <v>0</v>
      </c>
      <c r="AZ36" s="115" t="n">
        <f aca="false">SUMIFS(الريسبي!$C$2:$C$1800,الريسبي!$A$2:$A$1800,$A36,الريسبي!$B$2:$B$1800,AZ$1)</f>
        <v>0</v>
      </c>
      <c r="BA36" s="115" t="n">
        <f aca="false">SUMIFS(الريسبي!$C$2:$C$1800,الريسبي!$A$2:$A$1800,$A36,الريسبي!$B$2:$B$1800,BA$1)</f>
        <v>0.1</v>
      </c>
      <c r="BB36" s="115" t="n">
        <f aca="false">SUMIFS(الريسبي!$C$2:$C$1800,الريسبي!$A$2:$A$1800,$A36,الريسبي!$B$2:$B$1800,BB$1)</f>
        <v>0</v>
      </c>
      <c r="BC36" s="115" t="n">
        <f aca="false">SUMIFS(الريسبي!$C$2:$C$1800,الريسبي!$A$2:$A$1800,$A36,الريسبي!$B$2:$B$1800,BC$1)</f>
        <v>0.03</v>
      </c>
      <c r="BD36" s="115" t="n">
        <f aca="false">SUMIFS(الريسبي!$C$2:$C$1800,الريسبي!$A$2:$A$1800,$A36,الريسبي!$B$2:$B$1800,BD$1)</f>
        <v>0</v>
      </c>
      <c r="BE36" s="115" t="n">
        <f aca="false">SUMIFS(الريسبي!$C$2:$C$1800,الريسبي!$A$2:$A$1800,$A36,الريسبي!$B$2:$B$1800,BE$1)</f>
        <v>1</v>
      </c>
      <c r="BF36" s="115" t="n">
        <f aca="false">SUMIFS(الريسبي!$C$2:$C$1800,الريسبي!$A$2:$A$1800,$A36,الريسبي!$B$2:$B$1800,BF$1)</f>
        <v>0</v>
      </c>
      <c r="BG36" s="115" t="n">
        <f aca="false">SUMIFS(الريسبي!$C$2:$C$1800,الريسبي!$A$2:$A$1800,$A36,الريسبي!$B$2:$B$1800,BG$1)</f>
        <v>0</v>
      </c>
      <c r="BH36" s="115" t="n">
        <f aca="false">SUMIFS(الريسبي!$C$2:$C$1800,الريسبي!$A$2:$A$1800,$A36,الريسبي!$B$2:$B$1800,BH$1)</f>
        <v>1</v>
      </c>
      <c r="BI36" s="115" t="n">
        <f aca="false">SUMIFS(الريسبي!$C$2:$C$1800,الريسبي!$A$2:$A$1800,$A36,الريسبي!$B$2:$B$1800,BI$1)</f>
        <v>0</v>
      </c>
      <c r="BJ36" s="115" t="n">
        <f aca="false">SUMIFS(الريسبي!$C$2:$C$1800,الريسبي!$A$2:$A$1800,$A36,الريسبي!$B$2:$B$1800,BJ$1)</f>
        <v>0</v>
      </c>
      <c r="BK36" s="115" t="n">
        <f aca="false">SUMIFS(الريسبي!$C$2:$C$1800,الريسبي!$A$2:$A$1800,$A36,الريسبي!$B$2:$B$1800,BK$1)</f>
        <v>0</v>
      </c>
      <c r="BL36" s="115" t="n">
        <f aca="false">SUMIFS(الريسبي!$C$2:$C$1800,الريسبي!$A$2:$A$1800,$A36,الريسبي!$B$2:$B$1800,BL$1)</f>
        <v>0</v>
      </c>
      <c r="BM36" s="115" t="n">
        <f aca="false">SUMIFS(الريسبي!$C$2:$C$1800,الريسبي!$A$2:$A$1800,$A36,الريسبي!$B$2:$B$1800,BM$1)</f>
        <v>0</v>
      </c>
      <c r="BN36" s="115" t="n">
        <f aca="false">SUMIFS(الريسبي!$C$2:$C$1800,الريسبي!$A$2:$A$1800,$A36,الريسبي!$B$2:$B$1800,BN$1)</f>
        <v>0.02</v>
      </c>
      <c r="BO36" s="115" t="n">
        <f aca="false">SUMIFS(الريسبي!$C$2:$C$1800,الريسبي!$A$2:$A$1800,$A36,الريسبي!$B$2:$B$1800,BO$1)</f>
        <v>0</v>
      </c>
      <c r="BP36" s="115" t="n">
        <f aca="false">SUMIFS(الريسبي!$C$2:$C$1800,الريسبي!$A$2:$A$1800,$A36,الريسبي!$B$2:$B$1800,BP$1)</f>
        <v>2</v>
      </c>
      <c r="BQ36" s="115"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15" t="n">
        <f aca="false">SUMIFS(الريسبي!$C$2:$C$1800,الريسبي!$A$2:$A$1800,$A36,الريسبي!$B$2:$B$1800,BR$1)</f>
        <v>1</v>
      </c>
      <c r="BS36" s="115" t="n">
        <f aca="false">SUMIFS(الريسبي!$C$2:$C$1800,الريسبي!$A$2:$A$1800,$A36,الريسبي!$B$2:$B$1800,BS$1)</f>
        <v>0</v>
      </c>
      <c r="BT36" s="115" t="n">
        <f aca="false">SUMIFS(الريسبي!$C$2:$C$1800,الريسبي!$A$2:$A$1800,$A36,الريسبي!$B$2:$B$1800,BT$1)</f>
        <v>0</v>
      </c>
      <c r="BU36" s="115"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15" t="n">
        <f aca="false">SUMIFS(الريسبي!$C$2:$C$1800,الريسبي!$A$2:$A$1800,$A36,الريسبي!$B$2:$B$1800,BV$1)</f>
        <v>0</v>
      </c>
      <c r="BW36" s="115" t="n">
        <f aca="false">SUMIFS(الريسبي!$C$2:$C$1800,الريسبي!$A$2:$A$1800,$A36,الريسبي!$B$2:$B$1800,BW$1)</f>
        <v>0</v>
      </c>
      <c r="BX36" s="115" t="n">
        <f aca="false">SUMIFS(الريسبي!$C$2:$C$1800,الريسبي!$A$2:$A$1800,$A36,الريسبي!$B$2:$B$1800,BX$1)</f>
        <v>0</v>
      </c>
      <c r="BY36" s="115" t="n">
        <f aca="false">SUMIFS(الريسبي!$C$2:$C$1800,الريسبي!$A$2:$A$1800,$A36,الريسبي!$B$2:$B$1800,BY$1)</f>
        <v>0</v>
      </c>
      <c r="BZ36" s="115" t="n">
        <f aca="false">SUMIFS(الريسبي!$C$2:$C$1800,الريسبي!$A$2:$A$1800,$A36,الريسبي!$B$2:$B$1800,BZ$1)</f>
        <v>1</v>
      </c>
      <c r="CA36" s="115" t="n">
        <f aca="false">SUMIFS(الريسبي!$C$2:$C$1800,الريسبي!$A$2:$A$1800,$A36,الريسبي!$B$2:$B$1800,CA$1)</f>
        <v>1</v>
      </c>
      <c r="CB36" s="115" t="n">
        <f aca="false">SUMIFS(الريسبي!$C$2:$C$1800,الريسبي!$A$2:$A$1800,$A36,الريسبي!$B$2:$B$1800,CB$1)</f>
        <v>0</v>
      </c>
      <c r="CC36" s="115" t="n">
        <f aca="false">SUMIFS(الريسبي!$C$2:$C$1800,الريسبي!$A$2:$A$1800,$A36,الريسبي!$B$2:$B$1800,CC$1)</f>
        <v>0</v>
      </c>
      <c r="CD36" s="115" t="n">
        <f aca="false">SUMIFS(الريسبي!$C$2:$C$1800,الريسبي!$A$2:$A$1800,$A36,الريسبي!$B$2:$B$1800,CD$1)</f>
        <v>0</v>
      </c>
      <c r="CE36" s="115" t="n">
        <f aca="false">SUMIFS(الريسبي!$C$2:$C$1800,الريسبي!$A$2:$A$1800,$A36,الريسبي!$B$2:$B$1800,CE$1)</f>
        <v>0</v>
      </c>
      <c r="CF36" s="115" t="n">
        <f aca="false">SUMIFS(الريسبي!$C$2:$C$1800,الريسبي!$A$2:$A$1800,$A36,الريسبي!$B$2:$B$1800,CF$1)</f>
        <v>0</v>
      </c>
      <c r="CG36" s="115" t="n">
        <f aca="false">SUMIFS(الريسبي!$C$2:$C$1800,الريسبي!$A$2:$A$1800,$A36,الريسبي!$B$2:$B$1800,CG$1)</f>
        <v>0</v>
      </c>
      <c r="CH36" s="115" t="n">
        <f aca="false">SUMIFS(الريسبي!$C$2:$C$1800,الريسبي!$A$2:$A$1800,$A36,الريسبي!$B$2:$B$1800,CH$1)</f>
        <v>0</v>
      </c>
    </row>
    <row r="37" customFormat="false" ht="15" hidden="false" customHeight="false" outlineLevel="0" collapsed="false">
      <c r="A37" s="114" t="str">
        <f aca="false">المنيو!B37</f>
        <v>فطيرة فراخ كريسبي رانش حجم اكبر</v>
      </c>
      <c r="B37" s="115" t="n">
        <f aca="false">SUMIFS(الريسبي!$C$2:$C$1800,الريسبي!$A$2:$A$1800,$A37,الريسبي!$B$2:$B$1800,B$1)</f>
        <v>0</v>
      </c>
      <c r="C37" s="115" t="n">
        <f aca="false">SUMIFS(الريسبي!$C$2:$C$1800,الريسبي!$A$2:$A$1800,$A37,الريسبي!$B$2:$B$1800,C$1)</f>
        <v>0</v>
      </c>
      <c r="D37" s="115" t="n">
        <f aca="false">SUMIFS(الريسبي!$C$2:$C$1800,الريسبي!$A$2:$A$1800,$A37,الريسبي!$B$2:$B$1800,D$1)</f>
        <v>1</v>
      </c>
      <c r="E37" s="115" t="n">
        <f aca="false">SUMIFS(الريسبي!$C$2:$C$1800,الريسبي!$A$2:$A$1800,$A37,الريسبي!$B$2:$B$1800,E$1)</f>
        <v>0</v>
      </c>
      <c r="F37" s="115" t="n">
        <f aca="false">SUMIFS(الريسبي!$C$2:$C$1800,الريسبي!$A$2:$A$1800,$A37,الريسبي!$B$2:$B$1800,F$1)</f>
        <v>0</v>
      </c>
      <c r="G37" s="115" t="n">
        <f aca="false">SUMIFS(الريسبي!$C$2:$C$1800,الريسبي!$A$2:$A$1800,$A37,الريسبي!$B$2:$B$1800,G$1)</f>
        <v>0</v>
      </c>
      <c r="H37" s="115" t="n">
        <f aca="false">SUMIFS(الريسبي!$C$2:$C$1800,الريسبي!$A$2:$A$1800,$A37,الريسبي!$B$2:$B$1800,H$1)</f>
        <v>0</v>
      </c>
      <c r="I37" s="115" t="n">
        <f aca="false">SUMIFS(الريسبي!$C$2:$C$1800,الريسبي!$A$2:$A$1800,$A37,الريسبي!$B$2:$B$1800,I$1)</f>
        <v>0</v>
      </c>
      <c r="J37" s="115" t="n">
        <f aca="false">SUMIFS(الريسبي!$C$2:$C$1800,الريسبي!$A$2:$A$1800,$A37,الريسبي!$B$2:$B$1800,J$1)</f>
        <v>0</v>
      </c>
      <c r="K37" s="115" t="n">
        <f aca="false">SUMIFS(الريسبي!$C$2:$C$1800,الريسبي!$A$2:$A$1800,$A37,الريسبي!$B$2:$B$1800,K$1)</f>
        <v>0</v>
      </c>
      <c r="L37" s="115" t="n">
        <f aca="false">SUMIFS(الريسبي!$C$2:$C$1800,الريسبي!$A$2:$A$1800,$A37,الريسبي!$B$2:$B$1800,L$1)</f>
        <v>0</v>
      </c>
      <c r="M37" s="115" t="n">
        <f aca="false">SUMIFS(الريسبي!$C$2:$C$1800,الريسبي!$A$2:$A$1800,$A37,الريسبي!$B$2:$B$1800,M$1)</f>
        <v>0</v>
      </c>
      <c r="N37" s="115" t="n">
        <f aca="false">SUMIFS(الريسبي!$C$2:$C$1800,الريسبي!$A$2:$A$1800,$A37,الريسبي!$B$2:$B$1800,N$1)</f>
        <v>0</v>
      </c>
      <c r="O37" s="115" t="n">
        <f aca="false">SUMIFS(الريسبي!$C$2:$C$1800,الريسبي!$A$2:$A$1800,$A37,الريسبي!$B$2:$B$1800,O$1)</f>
        <v>0</v>
      </c>
      <c r="P37" s="115" t="n">
        <f aca="false">SUMIFS(الريسبي!$C$2:$C$1800,الريسبي!$A$2:$A$1800,$A37,الريسبي!$B$2:$B$1800,P$1)</f>
        <v>0</v>
      </c>
      <c r="Q37" s="115" t="n">
        <f aca="false">SUMIFS(الريسبي!$C$2:$C$1800,الريسبي!$A$2:$A$1800,$A37,الريسبي!$B$2:$B$1800,Q$1)</f>
        <v>0</v>
      </c>
      <c r="R37" s="115" t="n">
        <f aca="false">SUMIFS(الريسبي!$C$2:$C$1800,الريسبي!$A$2:$A$1800,$A37,الريسبي!$B$2:$B$1800,R$1)</f>
        <v>1</v>
      </c>
      <c r="S37" s="115" t="n">
        <f aca="false">SUMIFS(الريسبي!$C$2:$C$1800,الريسبي!$A$2:$A$1800,$A37,الريسبي!$B$2:$B$1800,S$1)</f>
        <v>0</v>
      </c>
      <c r="T37" s="115" t="n">
        <f aca="false">SUMIFS(الريسبي!$C$2:$C$1800,الريسبي!$A$2:$A$1800,$A37,الريسبي!$B$2:$B$1800,T$1)</f>
        <v>0</v>
      </c>
      <c r="U37" s="115" t="n">
        <f aca="false">SUMIFS(الريسبي!$C$2:$C$1800,الريسبي!$A$2:$A$1800,$A37,الريسبي!$B$2:$B$1800,U$1)</f>
        <v>0</v>
      </c>
      <c r="V37" s="115" t="n">
        <f aca="false">SUMIFS(الريسبي!$C$2:$C$1800,الريسبي!$A$2:$A$1800,$A37,الريسبي!$B$2:$B$1800,V$1)</f>
        <v>0</v>
      </c>
      <c r="W37" s="115" t="n">
        <f aca="false">SUMIFS(الريسبي!$C$2:$C$1800,الريسبي!$A$2:$A$1800,$A37,الريسبي!$B$2:$B$1800,W$1)</f>
        <v>0</v>
      </c>
      <c r="X37" s="115" t="n">
        <f aca="false">SUMIFS(الريسبي!$C$2:$C$1800,الريسبي!$A$2:$A$1800,$A37,الريسبي!$B$2:$B$1800,X$1)</f>
        <v>0</v>
      </c>
      <c r="Y37" s="115" t="n">
        <f aca="false">SUMIFS(الريسبي!$C$2:$C$1800,الريسبي!$A$2:$A$1800,$A37,الريسبي!$B$2:$B$1800,Y$1)</f>
        <v>1</v>
      </c>
      <c r="Z37" s="115" t="n">
        <f aca="false">SUMIFS(الريسبي!$C$2:$C$1800,الريسبي!$A$2:$A$1800,$A37,الريسبي!$B$2:$B$1800,Z$1)</f>
        <v>0</v>
      </c>
      <c r="AA37" s="115" t="n">
        <f aca="false">SUMIFS(الريسبي!$C$2:$C$1800,الريسبي!$A$2:$A$1800,$A37,الريسبي!$B$2:$B$1800,AA$1)</f>
        <v>0</v>
      </c>
      <c r="AB37" s="115" t="n">
        <f aca="false">SUMIFS(الريسبي!$C$2:$C$1800,الريسبي!$A$2:$A$1800,$A37,الريسبي!$B$2:$B$1800,AB$1)</f>
        <v>0</v>
      </c>
      <c r="AC37" s="115" t="n">
        <f aca="false">SUMIFS(الريسبي!$C$2:$C$1800,الريسبي!$A$2:$A$1800,$A37,الريسبي!$B$2:$B$1800,AC$1)</f>
        <v>0</v>
      </c>
      <c r="AD37" s="115" t="n">
        <f aca="false">SUMIFS(الريسبي!$C$2:$C$1800,الريسبي!$A$2:$A$1800,$A37,الريسبي!$B$2:$B$1800,AD$1)</f>
        <v>0</v>
      </c>
      <c r="AE37" s="115" t="n">
        <f aca="false">SUMIFS(الريسبي!$C$2:$C$1800,الريسبي!$A$2:$A$1800,$A37,الريسبي!$B$2:$B$1800,AE$1)</f>
        <v>0</v>
      </c>
      <c r="AF37" s="115" t="n">
        <f aca="false">SUMIFS(الريسبي!$C$2:$C$1800,الريسبي!$A$2:$A$1800,$A37,الريسبي!$B$2:$B$1800,AF$1)</f>
        <v>0</v>
      </c>
      <c r="AG37" s="115" t="n">
        <f aca="false">SUMIFS(الريسبي!$C$2:$C$1800,الريسبي!$A$2:$A$1800,$A37,الريسبي!$B$2:$B$1800,AG$1)</f>
        <v>0</v>
      </c>
      <c r="AH37" s="115" t="n">
        <f aca="false">SUMIFS(الريسبي!$C$2:$C$1800,الريسبي!$A$2:$A$1800,$A37,الريسبي!$B$2:$B$1800,AH$1)</f>
        <v>0</v>
      </c>
      <c r="AI37" s="115" t="n">
        <f aca="false">SUMIFS(الريسبي!$C$2:$C$1800,الريسبي!$A$2:$A$1800,$A37,الريسبي!$B$2:$B$1800,AI$1)</f>
        <v>0</v>
      </c>
      <c r="AJ37" s="115" t="n">
        <f aca="false">SUMIFS(الريسبي!$C$2:$C$1800,الريسبي!$A$2:$A$1800,$A37,الريسبي!$B$2:$B$1800,AJ$1)</f>
        <v>2</v>
      </c>
      <c r="AK37" s="115" t="n">
        <f aca="false">SUMIFS(الريسبي!$C$2:$C$1800,الريسبي!$A$2:$A$1800,$A37,الريسبي!$B$2:$B$1800,AK$1)</f>
        <v>0</v>
      </c>
      <c r="AL37" s="115" t="n">
        <f aca="false">SUMIFS(الريسبي!$C$2:$C$1800,الريسبي!$A$2:$A$1800,$A37,الريسبي!$B$2:$B$1800,AL$1)</f>
        <v>0</v>
      </c>
      <c r="AM37" s="115"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15"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15" t="n">
        <f aca="false">SUMIFS(الريسبي!$C$2:$C$1800,الريسبي!$A$2:$A$1800,$A37,الريسبي!$B$2:$B$1800,AO$1)</f>
        <v>0</v>
      </c>
      <c r="AP37" s="115" t="n">
        <f aca="false">SUMIFS(الريسبي!$C$2:$C$1800,الريسبي!$A$2:$A$1800,$A37,الريسبي!$B$2:$B$1800,AP$1)</f>
        <v>0.03</v>
      </c>
      <c r="AQ37" s="115"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15" t="n">
        <f aca="false">SUMIFS(الريسبي!$C$2:$C$1800,الريسبي!$A$2:$A$1800,$A37,الريسبي!$B$2:$B$1800,AR$1)</f>
        <v>0</v>
      </c>
      <c r="AS37" s="115" t="n">
        <f aca="false">SUMIFS(الريسبي!$C$2:$C$1800,الريسبي!$A$2:$A$1800,$A37,الريسبي!$B$2:$B$1800,AS$1)</f>
        <v>0</v>
      </c>
      <c r="AT37" s="115" t="n">
        <f aca="false">SUMIFS(الريسبي!$C$2:$C$1800,الريسبي!$A$2:$A$1800,$A37,الريسبي!$B$2:$B$1800,AT$1)</f>
        <v>0</v>
      </c>
      <c r="AU37" s="115" t="n">
        <f aca="false">SUMIFS(الريسبي!$C$2:$C$1800,الريسبي!$A$2:$A$1800,$A37,الريسبي!$B$2:$B$1800,AU$1)</f>
        <v>0</v>
      </c>
      <c r="AV37" s="115" t="n">
        <f aca="false">SUMIFS(الريسبي!$C$2:$C$1800,الريسبي!$A$2:$A$1800,$A37,الريسبي!$B$2:$B$1800,AV$1)</f>
        <v>0</v>
      </c>
      <c r="AW37" s="115" t="n">
        <f aca="false">SUMIFS(الريسبي!$C$2:$C$1800,الريسبي!$A$2:$A$1800,$A37,الريسبي!$B$2:$B$1800,AW$1)</f>
        <v>0</v>
      </c>
      <c r="AX37" s="115" t="n">
        <f aca="false">SUMIFS(الريسبي!$C$2:$C$1800,الريسبي!$A$2:$A$1800,$A37,الريسبي!$B$2:$B$1800,AX$1)</f>
        <v>0</v>
      </c>
      <c r="AY37" s="115" t="n">
        <f aca="false">SUMIFS(الريسبي!$C$2:$C$1800,الريسبي!$A$2:$A$1800,$A37,الريسبي!$B$2:$B$1800,AY$1)</f>
        <v>0</v>
      </c>
      <c r="AZ37" s="115" t="n">
        <f aca="false">SUMIFS(الريسبي!$C$2:$C$1800,الريسبي!$A$2:$A$1800,$A37,الريسبي!$B$2:$B$1800,AZ$1)</f>
        <v>0</v>
      </c>
      <c r="BA37" s="115" t="n">
        <f aca="false">SUMIFS(الريسبي!$C$2:$C$1800,الريسبي!$A$2:$A$1800,$A37,الريسبي!$B$2:$B$1800,BA$1)</f>
        <v>0.15</v>
      </c>
      <c r="BB37" s="115" t="n">
        <f aca="false">SUMIFS(الريسبي!$C$2:$C$1800,الريسبي!$A$2:$A$1800,$A37,الريسبي!$B$2:$B$1800,BB$1)</f>
        <v>0</v>
      </c>
      <c r="BC37" s="115" t="n">
        <f aca="false">SUMIFS(الريسبي!$C$2:$C$1800,الريسبي!$A$2:$A$1800,$A37,الريسبي!$B$2:$B$1800,BC$1)</f>
        <v>0.045</v>
      </c>
      <c r="BD37" s="115" t="n">
        <f aca="false">SUMIFS(الريسبي!$C$2:$C$1800,الريسبي!$A$2:$A$1800,$A37,الريسبي!$B$2:$B$1800,BD$1)</f>
        <v>0</v>
      </c>
      <c r="BE37" s="115" t="n">
        <f aca="false">SUMIFS(الريسبي!$C$2:$C$1800,الريسبي!$A$2:$A$1800,$A37,الريسبي!$B$2:$B$1800,BE$1)</f>
        <v>1.5</v>
      </c>
      <c r="BF37" s="115" t="n">
        <f aca="false">SUMIFS(الريسبي!$C$2:$C$1800,الريسبي!$A$2:$A$1800,$A37,الريسبي!$B$2:$B$1800,BF$1)</f>
        <v>0</v>
      </c>
      <c r="BG37" s="115" t="n">
        <f aca="false">SUMIFS(الريسبي!$C$2:$C$1800,الريسبي!$A$2:$A$1800,$A37,الريسبي!$B$2:$B$1800,BG$1)</f>
        <v>1</v>
      </c>
      <c r="BH37" s="115" t="n">
        <f aca="false">SUMIFS(الريسبي!$C$2:$C$1800,الريسبي!$A$2:$A$1800,$A37,الريسبي!$B$2:$B$1800,BH$1)</f>
        <v>0</v>
      </c>
      <c r="BI37" s="115" t="n">
        <f aca="false">SUMIFS(الريسبي!$C$2:$C$1800,الريسبي!$A$2:$A$1800,$A37,الريسبي!$B$2:$B$1800,BI$1)</f>
        <v>0</v>
      </c>
      <c r="BJ37" s="115" t="n">
        <f aca="false">SUMIFS(الريسبي!$C$2:$C$1800,الريسبي!$A$2:$A$1800,$A37,الريسبي!$B$2:$B$1800,BJ$1)</f>
        <v>0</v>
      </c>
      <c r="BK37" s="115" t="n">
        <f aca="false">SUMIFS(الريسبي!$C$2:$C$1800,الريسبي!$A$2:$A$1800,$A37,الريسبي!$B$2:$B$1800,BK$1)</f>
        <v>0</v>
      </c>
      <c r="BL37" s="115" t="n">
        <f aca="false">SUMIFS(الريسبي!$C$2:$C$1800,الريسبي!$A$2:$A$1800,$A37,الريسبي!$B$2:$B$1800,BL$1)</f>
        <v>0</v>
      </c>
      <c r="BM37" s="115" t="n">
        <f aca="false">SUMIFS(الريسبي!$C$2:$C$1800,الريسبي!$A$2:$A$1800,$A37,الريسبي!$B$2:$B$1800,BM$1)</f>
        <v>0</v>
      </c>
      <c r="BN37" s="115" t="n">
        <f aca="false">SUMIFS(الريسبي!$C$2:$C$1800,الريسبي!$A$2:$A$1800,$A37,الريسبي!$B$2:$B$1800,BN$1)</f>
        <v>0.03</v>
      </c>
      <c r="BO37" s="115" t="n">
        <f aca="false">SUMIFS(الريسبي!$C$2:$C$1800,الريسبي!$A$2:$A$1800,$A37,الريسبي!$B$2:$B$1800,BO$1)</f>
        <v>0</v>
      </c>
      <c r="BP37" s="115" t="n">
        <f aca="false">SUMIFS(الريسبي!$C$2:$C$1800,الريسبي!$A$2:$A$1800,$A37,الريسبي!$B$2:$B$1800,BP$1)</f>
        <v>3</v>
      </c>
      <c r="BQ37" s="115"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15" t="n">
        <f aca="false">SUMIFS(الريسبي!$C$2:$C$1800,الريسبي!$A$2:$A$1800,$A37,الريسبي!$B$2:$B$1800,BR$1)</f>
        <v>1</v>
      </c>
      <c r="BS37" s="115" t="n">
        <f aca="false">SUMIFS(الريسبي!$C$2:$C$1800,الريسبي!$A$2:$A$1800,$A37,الريسبي!$B$2:$B$1800,BS$1)</f>
        <v>0</v>
      </c>
      <c r="BT37" s="115" t="n">
        <f aca="false">SUMIFS(الريسبي!$C$2:$C$1800,الريسبي!$A$2:$A$1800,$A37,الريسبي!$B$2:$B$1800,BT$1)</f>
        <v>0</v>
      </c>
      <c r="BU37" s="115"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15" t="n">
        <f aca="false">SUMIFS(الريسبي!$C$2:$C$1800,الريسبي!$A$2:$A$1800,$A37,الريسبي!$B$2:$B$1800,BV$1)</f>
        <v>0</v>
      </c>
      <c r="BW37" s="115" t="n">
        <f aca="false">SUMIFS(الريسبي!$C$2:$C$1800,الريسبي!$A$2:$A$1800,$A37,الريسبي!$B$2:$B$1800,BW$1)</f>
        <v>0</v>
      </c>
      <c r="BX37" s="115" t="n">
        <f aca="false">SUMIFS(الريسبي!$C$2:$C$1800,الريسبي!$A$2:$A$1800,$A37,الريسبي!$B$2:$B$1800,BX$1)</f>
        <v>0</v>
      </c>
      <c r="BY37" s="115" t="n">
        <f aca="false">SUMIFS(الريسبي!$C$2:$C$1800,الريسبي!$A$2:$A$1800,$A37,الريسبي!$B$2:$B$1800,BY$1)</f>
        <v>0</v>
      </c>
      <c r="BZ37" s="115" t="n">
        <f aca="false">SUMIFS(الريسبي!$C$2:$C$1800,الريسبي!$A$2:$A$1800,$A37,الريسبي!$B$2:$B$1800,BZ$1)</f>
        <v>1</v>
      </c>
      <c r="CA37" s="115" t="n">
        <f aca="false">SUMIFS(الريسبي!$C$2:$C$1800,الريسبي!$A$2:$A$1800,$A37,الريسبي!$B$2:$B$1800,CA$1)</f>
        <v>1</v>
      </c>
      <c r="CB37" s="115" t="n">
        <f aca="false">SUMIFS(الريسبي!$C$2:$C$1800,الريسبي!$A$2:$A$1800,$A37,الريسبي!$B$2:$B$1800,CB$1)</f>
        <v>0</v>
      </c>
      <c r="CC37" s="115" t="n">
        <f aca="false">SUMIFS(الريسبي!$C$2:$C$1800,الريسبي!$A$2:$A$1800,$A37,الريسبي!$B$2:$B$1800,CC$1)</f>
        <v>0</v>
      </c>
      <c r="CD37" s="115" t="n">
        <f aca="false">SUMIFS(الريسبي!$C$2:$C$1800,الريسبي!$A$2:$A$1800,$A37,الريسبي!$B$2:$B$1800,CD$1)</f>
        <v>0</v>
      </c>
      <c r="CE37" s="115" t="n">
        <f aca="false">SUMIFS(الريسبي!$C$2:$C$1800,الريسبي!$A$2:$A$1800,$A37,الريسبي!$B$2:$B$1800,CE$1)</f>
        <v>0</v>
      </c>
      <c r="CF37" s="115" t="n">
        <f aca="false">SUMIFS(الريسبي!$C$2:$C$1800,الريسبي!$A$2:$A$1800,$A37,الريسبي!$B$2:$B$1800,CF$1)</f>
        <v>0</v>
      </c>
      <c r="CG37" s="115" t="n">
        <f aca="false">SUMIFS(الريسبي!$C$2:$C$1800,الريسبي!$A$2:$A$1800,$A37,الريسبي!$B$2:$B$1800,CG$1)</f>
        <v>0</v>
      </c>
      <c r="CH37" s="115" t="n">
        <f aca="false">SUMIFS(الريسبي!$C$2:$C$1800,الريسبي!$A$2:$A$1800,$A37,الريسبي!$B$2:$B$1800,CH$1)</f>
        <v>0</v>
      </c>
    </row>
    <row r="38" customFormat="false" ht="15" hidden="false" customHeight="false" outlineLevel="0" collapsed="false">
      <c r="A38" s="114" t="str">
        <f aca="false">المنيو!B38</f>
        <v>فطيرة فراخ كريسبي شيدر وسط</v>
      </c>
      <c r="B38" s="115" t="n">
        <f aca="false">SUMIFS(الريسبي!$C$2:$C$1800,الريسبي!$A$2:$A$1800,$A38,الريسبي!$B$2:$B$1800,B$1)</f>
        <v>0</v>
      </c>
      <c r="C38" s="115" t="n">
        <f aca="false">SUMIFS(الريسبي!$C$2:$C$1800,الريسبي!$A$2:$A$1800,$A38,الريسبي!$B$2:$B$1800,C$1)</f>
        <v>0</v>
      </c>
      <c r="D38" s="115" t="n">
        <f aca="false">SUMIFS(الريسبي!$C$2:$C$1800,الريسبي!$A$2:$A$1800,$A38,الريسبي!$B$2:$B$1800,D$1)</f>
        <v>1</v>
      </c>
      <c r="E38" s="115" t="n">
        <f aca="false">SUMIFS(الريسبي!$C$2:$C$1800,الريسبي!$A$2:$A$1800,$A38,الريسبي!$B$2:$B$1800,E$1)</f>
        <v>0</v>
      </c>
      <c r="F38" s="115" t="n">
        <f aca="false">SUMIFS(الريسبي!$C$2:$C$1800,الريسبي!$A$2:$A$1800,$A38,الريسبي!$B$2:$B$1800,F$1)</f>
        <v>0</v>
      </c>
      <c r="G38" s="115" t="n">
        <f aca="false">SUMIFS(الريسبي!$C$2:$C$1800,الريسبي!$A$2:$A$1800,$A38,الريسبي!$B$2:$B$1800,G$1)</f>
        <v>0</v>
      </c>
      <c r="H38" s="115" t="n">
        <f aca="false">SUMIFS(الريسبي!$C$2:$C$1800,الريسبي!$A$2:$A$1800,$A38,الريسبي!$B$2:$B$1800,H$1)</f>
        <v>0</v>
      </c>
      <c r="I38" s="115" t="n">
        <f aca="false">SUMIFS(الريسبي!$C$2:$C$1800,الريسبي!$A$2:$A$1800,$A38,الريسبي!$B$2:$B$1800,I$1)</f>
        <v>0</v>
      </c>
      <c r="J38" s="115" t="n">
        <f aca="false">SUMIFS(الريسبي!$C$2:$C$1800,الريسبي!$A$2:$A$1800,$A38,الريسبي!$B$2:$B$1800,J$1)</f>
        <v>0</v>
      </c>
      <c r="K38" s="115" t="n">
        <f aca="false">SUMIFS(الريسبي!$C$2:$C$1800,الريسبي!$A$2:$A$1800,$A38,الريسبي!$B$2:$B$1800,K$1)</f>
        <v>0</v>
      </c>
      <c r="L38" s="115" t="n">
        <f aca="false">SUMIFS(الريسبي!$C$2:$C$1800,الريسبي!$A$2:$A$1800,$A38,الريسبي!$B$2:$B$1800,L$1)</f>
        <v>0</v>
      </c>
      <c r="M38" s="115" t="n">
        <f aca="false">SUMIFS(الريسبي!$C$2:$C$1800,الريسبي!$A$2:$A$1800,$A38,الريسبي!$B$2:$B$1800,M$1)</f>
        <v>0</v>
      </c>
      <c r="N38" s="115" t="n">
        <f aca="false">SUMIFS(الريسبي!$C$2:$C$1800,الريسبي!$A$2:$A$1800,$A38,الريسبي!$B$2:$B$1800,N$1)</f>
        <v>0</v>
      </c>
      <c r="O38" s="115" t="n">
        <f aca="false">SUMIFS(الريسبي!$C$2:$C$1800,الريسبي!$A$2:$A$1800,$A38,الريسبي!$B$2:$B$1800,O$1)</f>
        <v>0</v>
      </c>
      <c r="P38" s="115" t="n">
        <f aca="false">SUMIFS(الريسبي!$C$2:$C$1800,الريسبي!$A$2:$A$1800,$A38,الريسبي!$B$2:$B$1800,P$1)</f>
        <v>0</v>
      </c>
      <c r="Q38" s="115" t="n">
        <f aca="false">SUMIFS(الريسبي!$C$2:$C$1800,الريسبي!$A$2:$A$1800,$A38,الريسبي!$B$2:$B$1800,Q$1)</f>
        <v>1</v>
      </c>
      <c r="R38" s="115" t="n">
        <f aca="false">SUMIFS(الريسبي!$C$2:$C$1800,الريسبي!$A$2:$A$1800,$A38,الريسبي!$B$2:$B$1800,R$1)</f>
        <v>0</v>
      </c>
      <c r="S38" s="115" t="n">
        <f aca="false">SUMIFS(الريسبي!$C$2:$C$1800,الريسبي!$A$2:$A$1800,$A38,الريسبي!$B$2:$B$1800,S$1)</f>
        <v>0</v>
      </c>
      <c r="T38" s="115" t="n">
        <f aca="false">SUMIFS(الريسبي!$C$2:$C$1800,الريسبي!$A$2:$A$1800,$A38,الريسبي!$B$2:$B$1800,T$1)</f>
        <v>0</v>
      </c>
      <c r="U38" s="115" t="n">
        <f aca="false">SUMIFS(الريسبي!$C$2:$C$1800,الريسبي!$A$2:$A$1800,$A38,الريسبي!$B$2:$B$1800,U$1)</f>
        <v>0</v>
      </c>
      <c r="V38" s="115" t="n">
        <f aca="false">SUMIFS(الريسبي!$C$2:$C$1800,الريسبي!$A$2:$A$1800,$A38,الريسبي!$B$2:$B$1800,V$1)</f>
        <v>0</v>
      </c>
      <c r="W38" s="115" t="n">
        <f aca="false">SUMIFS(الريسبي!$C$2:$C$1800,الريسبي!$A$2:$A$1800,$A38,الريسبي!$B$2:$B$1800,W$1)</f>
        <v>0</v>
      </c>
      <c r="X38" s="115" t="n">
        <f aca="false">SUMIFS(الريسبي!$C$2:$C$1800,الريسبي!$A$2:$A$1800,$A38,الريسبي!$B$2:$B$1800,X$1)</f>
        <v>1</v>
      </c>
      <c r="Y38" s="115" t="n">
        <f aca="false">SUMIFS(الريسبي!$C$2:$C$1800,الريسبي!$A$2:$A$1800,$A38,الريسبي!$B$2:$B$1800,Y$1)</f>
        <v>0</v>
      </c>
      <c r="Z38" s="115" t="n">
        <f aca="false">SUMIFS(الريسبي!$C$2:$C$1800,الريسبي!$A$2:$A$1800,$A38,الريسبي!$B$2:$B$1800,Z$1)</f>
        <v>0</v>
      </c>
      <c r="AA38" s="115" t="n">
        <f aca="false">SUMIFS(الريسبي!$C$2:$C$1800,الريسبي!$A$2:$A$1800,$A38,الريسبي!$B$2:$B$1800,AA$1)</f>
        <v>0</v>
      </c>
      <c r="AB38" s="115" t="n">
        <f aca="false">SUMIFS(الريسبي!$C$2:$C$1800,الريسبي!$A$2:$A$1800,$A38,الريسبي!$B$2:$B$1800,AB$1)</f>
        <v>0</v>
      </c>
      <c r="AC38" s="115" t="n">
        <f aca="false">SUMIFS(الريسبي!$C$2:$C$1800,الريسبي!$A$2:$A$1800,$A38,الريسبي!$B$2:$B$1800,AC$1)</f>
        <v>0</v>
      </c>
      <c r="AD38" s="115" t="n">
        <f aca="false">SUMIFS(الريسبي!$C$2:$C$1800,الريسبي!$A$2:$A$1800,$A38,الريسبي!$B$2:$B$1800,AD$1)</f>
        <v>0</v>
      </c>
      <c r="AE38" s="115" t="n">
        <f aca="false">SUMIFS(الريسبي!$C$2:$C$1800,الريسبي!$A$2:$A$1800,$A38,الريسبي!$B$2:$B$1800,AE$1)</f>
        <v>0</v>
      </c>
      <c r="AF38" s="115" t="n">
        <f aca="false">SUMIFS(الريسبي!$C$2:$C$1800,الريسبي!$A$2:$A$1800,$A38,الريسبي!$B$2:$B$1800,AF$1)</f>
        <v>0</v>
      </c>
      <c r="AG38" s="115" t="n">
        <f aca="false">SUMIFS(الريسبي!$C$2:$C$1800,الريسبي!$A$2:$A$1800,$A38,الريسبي!$B$2:$B$1800,AG$1)</f>
        <v>0</v>
      </c>
      <c r="AH38" s="115" t="n">
        <f aca="false">SUMIFS(الريسبي!$C$2:$C$1800,الريسبي!$A$2:$A$1800,$A38,الريسبي!$B$2:$B$1800,AH$1)</f>
        <v>0</v>
      </c>
      <c r="AI38" s="115" t="n">
        <f aca="false">SUMIFS(الريسبي!$C$2:$C$1800,الريسبي!$A$2:$A$1800,$A38,الريسبي!$B$2:$B$1800,AI$1)</f>
        <v>0</v>
      </c>
      <c r="AJ38" s="115" t="n">
        <f aca="false">SUMIFS(الريسبي!$C$2:$C$1800,الريسبي!$A$2:$A$1800,$A38,الريسبي!$B$2:$B$1800,AJ$1)</f>
        <v>2</v>
      </c>
      <c r="AK38" s="115" t="n">
        <f aca="false">SUMIFS(الريسبي!$C$2:$C$1800,الريسبي!$A$2:$A$1800,$A38,الريسبي!$B$2:$B$1800,AK$1)</f>
        <v>0</v>
      </c>
      <c r="AL38" s="115" t="n">
        <f aca="false">SUMIFS(الريسبي!$C$2:$C$1800,الريسبي!$A$2:$A$1800,$A38,الريسبي!$B$2:$B$1800,AL$1)</f>
        <v>0</v>
      </c>
      <c r="AM38" s="115"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15"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15" t="n">
        <f aca="false">SUMIFS(الريسبي!$C$2:$C$1800,الريسبي!$A$2:$A$1800,$A38,الريسبي!$B$2:$B$1800,AO$1)</f>
        <v>0</v>
      </c>
      <c r="AP38" s="115" t="n">
        <f aca="false">SUMIFS(الريسبي!$C$2:$C$1800,الريسبي!$A$2:$A$1800,$A38,الريسبي!$B$2:$B$1800,AP$1)</f>
        <v>0.02</v>
      </c>
      <c r="AQ38" s="115"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15" t="n">
        <f aca="false">SUMIFS(الريسبي!$C$2:$C$1800,الريسبي!$A$2:$A$1800,$A38,الريسبي!$B$2:$B$1800,AR$1)</f>
        <v>0</v>
      </c>
      <c r="AS38" s="115" t="n">
        <f aca="false">SUMIFS(الريسبي!$C$2:$C$1800,الريسبي!$A$2:$A$1800,$A38,الريسبي!$B$2:$B$1800,AS$1)</f>
        <v>0</v>
      </c>
      <c r="AT38" s="115" t="n">
        <f aca="false">SUMIFS(الريسبي!$C$2:$C$1800,الريسبي!$A$2:$A$1800,$A38,الريسبي!$B$2:$B$1800,AT$1)</f>
        <v>0</v>
      </c>
      <c r="AU38" s="115" t="n">
        <f aca="false">SUMIFS(الريسبي!$C$2:$C$1800,الريسبي!$A$2:$A$1800,$A38,الريسبي!$B$2:$B$1800,AU$1)</f>
        <v>0</v>
      </c>
      <c r="AV38" s="115" t="n">
        <f aca="false">SUMIFS(الريسبي!$C$2:$C$1800,الريسبي!$A$2:$A$1800,$A38,الريسبي!$B$2:$B$1800,AV$1)</f>
        <v>0</v>
      </c>
      <c r="AW38" s="115" t="n">
        <f aca="false">SUMIFS(الريسبي!$C$2:$C$1800,الريسبي!$A$2:$A$1800,$A38,الريسبي!$B$2:$B$1800,AW$1)</f>
        <v>0</v>
      </c>
      <c r="AX38" s="115" t="n">
        <f aca="false">SUMIFS(الريسبي!$C$2:$C$1800,الريسبي!$A$2:$A$1800,$A38,الريسبي!$B$2:$B$1800,AX$1)</f>
        <v>0</v>
      </c>
      <c r="AY38" s="115" t="n">
        <f aca="false">SUMIFS(الريسبي!$C$2:$C$1800,الريسبي!$A$2:$A$1800,$A38,الريسبي!$B$2:$B$1800,AY$1)</f>
        <v>0</v>
      </c>
      <c r="AZ38" s="115" t="n">
        <f aca="false">SUMIFS(الريسبي!$C$2:$C$1800,الريسبي!$A$2:$A$1800,$A38,الريسبي!$B$2:$B$1800,AZ$1)</f>
        <v>0</v>
      </c>
      <c r="BA38" s="115" t="n">
        <f aca="false">SUMIFS(الريسبي!$C$2:$C$1800,الريسبي!$A$2:$A$1800,$A38,الريسبي!$B$2:$B$1800,BA$1)</f>
        <v>0</v>
      </c>
      <c r="BB38" s="115" t="n">
        <f aca="false">SUMIFS(الريسبي!$C$2:$C$1800,الريسبي!$A$2:$A$1800,$A38,الريسبي!$B$2:$B$1800,BB$1)</f>
        <v>0.1</v>
      </c>
      <c r="BC38" s="115" t="n">
        <f aca="false">SUMIFS(الريسبي!$C$2:$C$1800,الريسبي!$A$2:$A$1800,$A38,الريسبي!$B$2:$B$1800,BC$1)</f>
        <v>0.03</v>
      </c>
      <c r="BD38" s="115" t="n">
        <f aca="false">SUMIFS(الريسبي!$C$2:$C$1800,الريسبي!$A$2:$A$1800,$A38,الريسبي!$B$2:$B$1800,BD$1)</f>
        <v>0</v>
      </c>
      <c r="BE38" s="115" t="n">
        <f aca="false">SUMIFS(الريسبي!$C$2:$C$1800,الريسبي!$A$2:$A$1800,$A38,الريسبي!$B$2:$B$1800,BE$1)</f>
        <v>1</v>
      </c>
      <c r="BF38" s="115" t="n">
        <f aca="false">SUMIFS(الريسبي!$C$2:$C$1800,الريسبي!$A$2:$A$1800,$A38,الريسبي!$B$2:$B$1800,BF$1)</f>
        <v>0</v>
      </c>
      <c r="BG38" s="115" t="n">
        <f aca="false">SUMIFS(الريسبي!$C$2:$C$1800,الريسبي!$A$2:$A$1800,$A38,الريسبي!$B$2:$B$1800,BG$1)</f>
        <v>0</v>
      </c>
      <c r="BH38" s="115" t="n">
        <f aca="false">SUMIFS(الريسبي!$C$2:$C$1800,الريسبي!$A$2:$A$1800,$A38,الريسبي!$B$2:$B$1800,BH$1)</f>
        <v>1</v>
      </c>
      <c r="BI38" s="115" t="n">
        <f aca="false">SUMIFS(الريسبي!$C$2:$C$1800,الريسبي!$A$2:$A$1800,$A38,الريسبي!$B$2:$B$1800,BI$1)</f>
        <v>0</v>
      </c>
      <c r="BJ38" s="115" t="n">
        <f aca="false">SUMIFS(الريسبي!$C$2:$C$1800,الريسبي!$A$2:$A$1800,$A38,الريسبي!$B$2:$B$1800,BJ$1)</f>
        <v>0</v>
      </c>
      <c r="BK38" s="115" t="n">
        <f aca="false">SUMIFS(الريسبي!$C$2:$C$1800,الريسبي!$A$2:$A$1800,$A38,الريسبي!$B$2:$B$1800,BK$1)</f>
        <v>0</v>
      </c>
      <c r="BL38" s="115" t="n">
        <f aca="false">SUMIFS(الريسبي!$C$2:$C$1800,الريسبي!$A$2:$A$1800,$A38,الريسبي!$B$2:$B$1800,BL$1)</f>
        <v>0</v>
      </c>
      <c r="BM38" s="115" t="n">
        <f aca="false">SUMIFS(الريسبي!$C$2:$C$1800,الريسبي!$A$2:$A$1800,$A38,الريسبي!$B$2:$B$1800,BM$1)</f>
        <v>0</v>
      </c>
      <c r="BN38" s="115" t="n">
        <f aca="false">SUMIFS(الريسبي!$C$2:$C$1800,الريسبي!$A$2:$A$1800,$A38,الريسبي!$B$2:$B$1800,BN$1)</f>
        <v>0.02</v>
      </c>
      <c r="BO38" s="115" t="n">
        <f aca="false">SUMIFS(الريسبي!$C$2:$C$1800,الريسبي!$A$2:$A$1800,$A38,الريسبي!$B$2:$B$1800,BO$1)</f>
        <v>0</v>
      </c>
      <c r="BP38" s="115" t="n">
        <f aca="false">SUMIFS(الريسبي!$C$2:$C$1800,الريسبي!$A$2:$A$1800,$A38,الريسبي!$B$2:$B$1800,BP$1)</f>
        <v>2</v>
      </c>
      <c r="BQ38" s="115"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15" t="n">
        <f aca="false">SUMIFS(الريسبي!$C$2:$C$1800,الريسبي!$A$2:$A$1800,$A38,الريسبي!$B$2:$B$1800,BR$1)</f>
        <v>1</v>
      </c>
      <c r="BS38" s="115" t="n">
        <f aca="false">SUMIFS(الريسبي!$C$2:$C$1800,الريسبي!$A$2:$A$1800,$A38,الريسبي!$B$2:$B$1800,BS$1)</f>
        <v>0</v>
      </c>
      <c r="BT38" s="115" t="n">
        <f aca="false">SUMIFS(الريسبي!$C$2:$C$1800,الريسبي!$A$2:$A$1800,$A38,الريسبي!$B$2:$B$1800,BT$1)</f>
        <v>0</v>
      </c>
      <c r="BU38" s="115"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15" t="n">
        <f aca="false">SUMIFS(الريسبي!$C$2:$C$1800,الريسبي!$A$2:$A$1800,$A38,الريسبي!$B$2:$B$1800,BV$1)</f>
        <v>0</v>
      </c>
      <c r="BW38" s="115" t="n">
        <f aca="false">SUMIFS(الريسبي!$C$2:$C$1800,الريسبي!$A$2:$A$1800,$A38,الريسبي!$B$2:$B$1800,BW$1)</f>
        <v>0</v>
      </c>
      <c r="BX38" s="115" t="n">
        <f aca="false">SUMIFS(الريسبي!$C$2:$C$1800,الريسبي!$A$2:$A$1800,$A38,الريسبي!$B$2:$B$1800,BX$1)</f>
        <v>0</v>
      </c>
      <c r="BY38" s="115" t="n">
        <f aca="false">SUMIFS(الريسبي!$C$2:$C$1800,الريسبي!$A$2:$A$1800,$A38,الريسبي!$B$2:$B$1800,BY$1)</f>
        <v>0</v>
      </c>
      <c r="BZ38" s="115" t="n">
        <f aca="false">SUMIFS(الريسبي!$C$2:$C$1800,الريسبي!$A$2:$A$1800,$A38,الريسبي!$B$2:$B$1800,BZ$1)</f>
        <v>1</v>
      </c>
      <c r="CA38" s="115" t="n">
        <f aca="false">SUMIFS(الريسبي!$C$2:$C$1800,الريسبي!$A$2:$A$1800,$A38,الريسبي!$B$2:$B$1800,CA$1)</f>
        <v>1</v>
      </c>
      <c r="CB38" s="115" t="n">
        <f aca="false">SUMIFS(الريسبي!$C$2:$C$1800,الريسبي!$A$2:$A$1800,$A38,الريسبي!$B$2:$B$1800,CB$1)</f>
        <v>0</v>
      </c>
      <c r="CC38" s="115" t="n">
        <f aca="false">SUMIFS(الريسبي!$C$2:$C$1800,الريسبي!$A$2:$A$1800,$A38,الريسبي!$B$2:$B$1800,CC$1)</f>
        <v>0</v>
      </c>
      <c r="CD38" s="115" t="n">
        <f aca="false">SUMIFS(الريسبي!$C$2:$C$1800,الريسبي!$A$2:$A$1800,$A38,الريسبي!$B$2:$B$1800,CD$1)</f>
        <v>0</v>
      </c>
      <c r="CE38" s="115" t="n">
        <f aca="false">SUMIFS(الريسبي!$C$2:$C$1800,الريسبي!$A$2:$A$1800,$A38,الريسبي!$B$2:$B$1800,CE$1)</f>
        <v>0</v>
      </c>
      <c r="CF38" s="115" t="n">
        <f aca="false">SUMIFS(الريسبي!$C$2:$C$1800,الريسبي!$A$2:$A$1800,$A38,الريسبي!$B$2:$B$1800,CF$1)</f>
        <v>0</v>
      </c>
      <c r="CG38" s="115" t="n">
        <f aca="false">SUMIFS(الريسبي!$C$2:$C$1800,الريسبي!$A$2:$A$1800,$A38,الريسبي!$B$2:$B$1800,CG$1)</f>
        <v>0</v>
      </c>
      <c r="CH38" s="115" t="n">
        <f aca="false">SUMIFS(الريسبي!$C$2:$C$1800,الريسبي!$A$2:$A$1800,$A38,الريسبي!$B$2:$B$1800,CH$1)</f>
        <v>0</v>
      </c>
    </row>
    <row r="39" customFormat="false" ht="15" hidden="false" customHeight="false" outlineLevel="0" collapsed="false">
      <c r="A39" s="114" t="str">
        <f aca="false">المنيو!B39</f>
        <v>فطيرة فراخ كريسبي شيدر حجم اكبر</v>
      </c>
      <c r="B39" s="115" t="n">
        <f aca="false">SUMIFS(الريسبي!$C$2:$C$1800,الريسبي!$A$2:$A$1800,$A39,الريسبي!$B$2:$B$1800,B$1)</f>
        <v>0</v>
      </c>
      <c r="C39" s="115" t="n">
        <f aca="false">SUMIFS(الريسبي!$C$2:$C$1800,الريسبي!$A$2:$A$1800,$A39,الريسبي!$B$2:$B$1800,C$1)</f>
        <v>0</v>
      </c>
      <c r="D39" s="115" t="n">
        <f aca="false">SUMIFS(الريسبي!$C$2:$C$1800,الريسبي!$A$2:$A$1800,$A39,الريسبي!$B$2:$B$1800,D$1)</f>
        <v>1</v>
      </c>
      <c r="E39" s="115" t="n">
        <f aca="false">SUMIFS(الريسبي!$C$2:$C$1800,الريسبي!$A$2:$A$1800,$A39,الريسبي!$B$2:$B$1800,E$1)</f>
        <v>0</v>
      </c>
      <c r="F39" s="115" t="n">
        <f aca="false">SUMIFS(الريسبي!$C$2:$C$1800,الريسبي!$A$2:$A$1800,$A39,الريسبي!$B$2:$B$1800,F$1)</f>
        <v>0</v>
      </c>
      <c r="G39" s="115" t="n">
        <f aca="false">SUMIFS(الريسبي!$C$2:$C$1800,الريسبي!$A$2:$A$1800,$A39,الريسبي!$B$2:$B$1800,G$1)</f>
        <v>0</v>
      </c>
      <c r="H39" s="115" t="n">
        <f aca="false">SUMIFS(الريسبي!$C$2:$C$1800,الريسبي!$A$2:$A$1800,$A39,الريسبي!$B$2:$B$1800,H$1)</f>
        <v>0</v>
      </c>
      <c r="I39" s="115" t="n">
        <f aca="false">SUMIFS(الريسبي!$C$2:$C$1800,الريسبي!$A$2:$A$1800,$A39,الريسبي!$B$2:$B$1800,I$1)</f>
        <v>0</v>
      </c>
      <c r="J39" s="115" t="n">
        <f aca="false">SUMIFS(الريسبي!$C$2:$C$1800,الريسبي!$A$2:$A$1800,$A39,الريسبي!$B$2:$B$1800,J$1)</f>
        <v>0</v>
      </c>
      <c r="K39" s="115" t="n">
        <f aca="false">SUMIFS(الريسبي!$C$2:$C$1800,الريسبي!$A$2:$A$1800,$A39,الريسبي!$B$2:$B$1800,K$1)</f>
        <v>0</v>
      </c>
      <c r="L39" s="115" t="n">
        <f aca="false">SUMIFS(الريسبي!$C$2:$C$1800,الريسبي!$A$2:$A$1800,$A39,الريسبي!$B$2:$B$1800,L$1)</f>
        <v>0</v>
      </c>
      <c r="M39" s="115" t="n">
        <f aca="false">SUMIFS(الريسبي!$C$2:$C$1800,الريسبي!$A$2:$A$1800,$A39,الريسبي!$B$2:$B$1800,M$1)</f>
        <v>0</v>
      </c>
      <c r="N39" s="115" t="n">
        <f aca="false">SUMIFS(الريسبي!$C$2:$C$1800,الريسبي!$A$2:$A$1800,$A39,الريسبي!$B$2:$B$1800,N$1)</f>
        <v>0</v>
      </c>
      <c r="O39" s="115" t="n">
        <f aca="false">SUMIFS(الريسبي!$C$2:$C$1800,الريسبي!$A$2:$A$1800,$A39,الريسبي!$B$2:$B$1800,O$1)</f>
        <v>0</v>
      </c>
      <c r="P39" s="115" t="n">
        <f aca="false">SUMIFS(الريسبي!$C$2:$C$1800,الريسبي!$A$2:$A$1800,$A39,الريسبي!$B$2:$B$1800,P$1)</f>
        <v>0</v>
      </c>
      <c r="Q39" s="115" t="n">
        <f aca="false">SUMIFS(الريسبي!$C$2:$C$1800,الريسبي!$A$2:$A$1800,$A39,الريسبي!$B$2:$B$1800,Q$1)</f>
        <v>0</v>
      </c>
      <c r="R39" s="115" t="n">
        <f aca="false">SUMIFS(الريسبي!$C$2:$C$1800,الريسبي!$A$2:$A$1800,$A39,الريسبي!$B$2:$B$1800,R$1)</f>
        <v>1</v>
      </c>
      <c r="S39" s="115" t="n">
        <f aca="false">SUMIFS(الريسبي!$C$2:$C$1800,الريسبي!$A$2:$A$1800,$A39,الريسبي!$B$2:$B$1800,S$1)</f>
        <v>0</v>
      </c>
      <c r="T39" s="115" t="n">
        <f aca="false">SUMIFS(الريسبي!$C$2:$C$1800,الريسبي!$A$2:$A$1800,$A39,الريسبي!$B$2:$B$1800,T$1)</f>
        <v>0</v>
      </c>
      <c r="U39" s="115" t="n">
        <f aca="false">SUMIFS(الريسبي!$C$2:$C$1800,الريسبي!$A$2:$A$1800,$A39,الريسبي!$B$2:$B$1800,U$1)</f>
        <v>0</v>
      </c>
      <c r="V39" s="115" t="n">
        <f aca="false">SUMIFS(الريسبي!$C$2:$C$1800,الريسبي!$A$2:$A$1800,$A39,الريسبي!$B$2:$B$1800,V$1)</f>
        <v>0</v>
      </c>
      <c r="W39" s="115" t="n">
        <f aca="false">SUMIFS(الريسبي!$C$2:$C$1800,الريسبي!$A$2:$A$1800,$A39,الريسبي!$B$2:$B$1800,W$1)</f>
        <v>0</v>
      </c>
      <c r="X39" s="115" t="n">
        <f aca="false">SUMIFS(الريسبي!$C$2:$C$1800,الريسبي!$A$2:$A$1800,$A39,الريسبي!$B$2:$B$1800,X$1)</f>
        <v>0</v>
      </c>
      <c r="Y39" s="115" t="n">
        <f aca="false">SUMIFS(الريسبي!$C$2:$C$1800,الريسبي!$A$2:$A$1800,$A39,الريسبي!$B$2:$B$1800,Y$1)</f>
        <v>1</v>
      </c>
      <c r="Z39" s="115" t="n">
        <f aca="false">SUMIFS(الريسبي!$C$2:$C$1800,الريسبي!$A$2:$A$1800,$A39,الريسبي!$B$2:$B$1800,Z$1)</f>
        <v>0</v>
      </c>
      <c r="AA39" s="115" t="n">
        <f aca="false">SUMIFS(الريسبي!$C$2:$C$1800,الريسبي!$A$2:$A$1800,$A39,الريسبي!$B$2:$B$1800,AA$1)</f>
        <v>0</v>
      </c>
      <c r="AB39" s="115" t="n">
        <f aca="false">SUMIFS(الريسبي!$C$2:$C$1800,الريسبي!$A$2:$A$1800,$A39,الريسبي!$B$2:$B$1800,AB$1)</f>
        <v>0</v>
      </c>
      <c r="AC39" s="115" t="n">
        <f aca="false">SUMIFS(الريسبي!$C$2:$C$1800,الريسبي!$A$2:$A$1800,$A39,الريسبي!$B$2:$B$1800,AC$1)</f>
        <v>0</v>
      </c>
      <c r="AD39" s="115" t="n">
        <f aca="false">SUMIFS(الريسبي!$C$2:$C$1800,الريسبي!$A$2:$A$1800,$A39,الريسبي!$B$2:$B$1800,AD$1)</f>
        <v>0</v>
      </c>
      <c r="AE39" s="115" t="n">
        <f aca="false">SUMIFS(الريسبي!$C$2:$C$1800,الريسبي!$A$2:$A$1800,$A39,الريسبي!$B$2:$B$1800,AE$1)</f>
        <v>0</v>
      </c>
      <c r="AF39" s="115" t="n">
        <f aca="false">SUMIFS(الريسبي!$C$2:$C$1800,الريسبي!$A$2:$A$1800,$A39,الريسبي!$B$2:$B$1800,AF$1)</f>
        <v>0</v>
      </c>
      <c r="AG39" s="115" t="n">
        <f aca="false">SUMIFS(الريسبي!$C$2:$C$1800,الريسبي!$A$2:$A$1800,$A39,الريسبي!$B$2:$B$1800,AG$1)</f>
        <v>0</v>
      </c>
      <c r="AH39" s="115" t="n">
        <f aca="false">SUMIFS(الريسبي!$C$2:$C$1800,الريسبي!$A$2:$A$1800,$A39,الريسبي!$B$2:$B$1800,AH$1)</f>
        <v>0</v>
      </c>
      <c r="AI39" s="115" t="n">
        <f aca="false">SUMIFS(الريسبي!$C$2:$C$1800,الريسبي!$A$2:$A$1800,$A39,الريسبي!$B$2:$B$1800,AI$1)</f>
        <v>0</v>
      </c>
      <c r="AJ39" s="115" t="n">
        <f aca="false">SUMIFS(الريسبي!$C$2:$C$1800,الريسبي!$A$2:$A$1800,$A39,الريسبي!$B$2:$B$1800,AJ$1)</f>
        <v>2</v>
      </c>
      <c r="AK39" s="115" t="n">
        <f aca="false">SUMIFS(الريسبي!$C$2:$C$1800,الريسبي!$A$2:$A$1800,$A39,الريسبي!$B$2:$B$1800,AK$1)</f>
        <v>0</v>
      </c>
      <c r="AL39" s="115" t="n">
        <f aca="false">SUMIFS(الريسبي!$C$2:$C$1800,الريسبي!$A$2:$A$1800,$A39,الريسبي!$B$2:$B$1800,AL$1)</f>
        <v>0</v>
      </c>
      <c r="AM39" s="115"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15"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15" t="n">
        <f aca="false">SUMIFS(الريسبي!$C$2:$C$1800,الريسبي!$A$2:$A$1800,$A39,الريسبي!$B$2:$B$1800,AO$1)</f>
        <v>0</v>
      </c>
      <c r="AP39" s="115" t="n">
        <f aca="false">SUMIFS(الريسبي!$C$2:$C$1800,الريسبي!$A$2:$A$1800,$A39,الريسبي!$B$2:$B$1800,AP$1)</f>
        <v>0.03</v>
      </c>
      <c r="AQ39" s="115"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15" t="n">
        <f aca="false">SUMIFS(الريسبي!$C$2:$C$1800,الريسبي!$A$2:$A$1800,$A39,الريسبي!$B$2:$B$1800,AR$1)</f>
        <v>0</v>
      </c>
      <c r="AS39" s="115" t="n">
        <f aca="false">SUMIFS(الريسبي!$C$2:$C$1800,الريسبي!$A$2:$A$1800,$A39,الريسبي!$B$2:$B$1800,AS$1)</f>
        <v>0</v>
      </c>
      <c r="AT39" s="115" t="n">
        <f aca="false">SUMIFS(الريسبي!$C$2:$C$1800,الريسبي!$A$2:$A$1800,$A39,الريسبي!$B$2:$B$1800,AT$1)</f>
        <v>0</v>
      </c>
      <c r="AU39" s="115" t="n">
        <f aca="false">SUMIFS(الريسبي!$C$2:$C$1800,الريسبي!$A$2:$A$1800,$A39,الريسبي!$B$2:$B$1800,AU$1)</f>
        <v>0</v>
      </c>
      <c r="AV39" s="115" t="n">
        <f aca="false">SUMIFS(الريسبي!$C$2:$C$1800,الريسبي!$A$2:$A$1800,$A39,الريسبي!$B$2:$B$1800,AV$1)</f>
        <v>0</v>
      </c>
      <c r="AW39" s="115" t="n">
        <f aca="false">SUMIFS(الريسبي!$C$2:$C$1800,الريسبي!$A$2:$A$1800,$A39,الريسبي!$B$2:$B$1800,AW$1)</f>
        <v>0</v>
      </c>
      <c r="AX39" s="115" t="n">
        <f aca="false">SUMIFS(الريسبي!$C$2:$C$1800,الريسبي!$A$2:$A$1800,$A39,الريسبي!$B$2:$B$1800,AX$1)</f>
        <v>0</v>
      </c>
      <c r="AY39" s="115" t="n">
        <f aca="false">SUMIFS(الريسبي!$C$2:$C$1800,الريسبي!$A$2:$A$1800,$A39,الريسبي!$B$2:$B$1800,AY$1)</f>
        <v>0</v>
      </c>
      <c r="AZ39" s="115" t="n">
        <f aca="false">SUMIFS(الريسبي!$C$2:$C$1800,الريسبي!$A$2:$A$1800,$A39,الريسبي!$B$2:$B$1800,AZ$1)</f>
        <v>0</v>
      </c>
      <c r="BA39" s="115" t="n">
        <f aca="false">SUMIFS(الريسبي!$C$2:$C$1800,الريسبي!$A$2:$A$1800,$A39,الريسبي!$B$2:$B$1800,BA$1)</f>
        <v>0</v>
      </c>
      <c r="BB39" s="115" t="n">
        <f aca="false">SUMIFS(الريسبي!$C$2:$C$1800,الريسبي!$A$2:$A$1800,$A39,الريسبي!$B$2:$B$1800,BB$1)</f>
        <v>0.15</v>
      </c>
      <c r="BC39" s="115" t="n">
        <f aca="false">SUMIFS(الريسبي!$C$2:$C$1800,الريسبي!$A$2:$A$1800,$A39,الريسبي!$B$2:$B$1800,BC$1)</f>
        <v>0.045</v>
      </c>
      <c r="BD39" s="115" t="n">
        <f aca="false">SUMIFS(الريسبي!$C$2:$C$1800,الريسبي!$A$2:$A$1800,$A39,الريسبي!$B$2:$B$1800,BD$1)</f>
        <v>0</v>
      </c>
      <c r="BE39" s="115" t="n">
        <f aca="false">SUMIFS(الريسبي!$C$2:$C$1800,الريسبي!$A$2:$A$1800,$A39,الريسبي!$B$2:$B$1800,BE$1)</f>
        <v>1.5</v>
      </c>
      <c r="BF39" s="115" t="n">
        <f aca="false">SUMIFS(الريسبي!$C$2:$C$1800,الريسبي!$A$2:$A$1800,$A39,الريسبي!$B$2:$B$1800,BF$1)</f>
        <v>0</v>
      </c>
      <c r="BG39" s="115" t="n">
        <f aca="false">SUMIFS(الريسبي!$C$2:$C$1800,الريسبي!$A$2:$A$1800,$A39,الريسبي!$B$2:$B$1800,BG$1)</f>
        <v>1</v>
      </c>
      <c r="BH39" s="115" t="n">
        <f aca="false">SUMIFS(الريسبي!$C$2:$C$1800,الريسبي!$A$2:$A$1800,$A39,الريسبي!$B$2:$B$1800,BH$1)</f>
        <v>0</v>
      </c>
      <c r="BI39" s="115" t="n">
        <f aca="false">SUMIFS(الريسبي!$C$2:$C$1800,الريسبي!$A$2:$A$1800,$A39,الريسبي!$B$2:$B$1800,BI$1)</f>
        <v>0</v>
      </c>
      <c r="BJ39" s="115" t="n">
        <f aca="false">SUMIFS(الريسبي!$C$2:$C$1800,الريسبي!$A$2:$A$1800,$A39,الريسبي!$B$2:$B$1800,BJ$1)</f>
        <v>0</v>
      </c>
      <c r="BK39" s="115" t="n">
        <f aca="false">SUMIFS(الريسبي!$C$2:$C$1800,الريسبي!$A$2:$A$1800,$A39,الريسبي!$B$2:$B$1800,BK$1)</f>
        <v>0</v>
      </c>
      <c r="BL39" s="115" t="n">
        <f aca="false">SUMIFS(الريسبي!$C$2:$C$1800,الريسبي!$A$2:$A$1800,$A39,الريسبي!$B$2:$B$1800,BL$1)</f>
        <v>0</v>
      </c>
      <c r="BM39" s="115" t="n">
        <f aca="false">SUMIFS(الريسبي!$C$2:$C$1800,الريسبي!$A$2:$A$1800,$A39,الريسبي!$B$2:$B$1800,BM$1)</f>
        <v>0</v>
      </c>
      <c r="BN39" s="115" t="n">
        <f aca="false">SUMIFS(الريسبي!$C$2:$C$1800,الريسبي!$A$2:$A$1800,$A39,الريسبي!$B$2:$B$1800,BN$1)</f>
        <v>0.03</v>
      </c>
      <c r="BO39" s="115" t="n">
        <f aca="false">SUMIFS(الريسبي!$C$2:$C$1800,الريسبي!$A$2:$A$1800,$A39,الريسبي!$B$2:$B$1800,BO$1)</f>
        <v>0</v>
      </c>
      <c r="BP39" s="115" t="n">
        <f aca="false">SUMIFS(الريسبي!$C$2:$C$1800,الريسبي!$A$2:$A$1800,$A39,الريسبي!$B$2:$B$1800,BP$1)</f>
        <v>3</v>
      </c>
      <c r="BQ39" s="115"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15" t="n">
        <f aca="false">SUMIFS(الريسبي!$C$2:$C$1800,الريسبي!$A$2:$A$1800,$A39,الريسبي!$B$2:$B$1800,BR$1)</f>
        <v>1</v>
      </c>
      <c r="BS39" s="115" t="n">
        <f aca="false">SUMIFS(الريسبي!$C$2:$C$1800,الريسبي!$A$2:$A$1800,$A39,الريسبي!$B$2:$B$1800,BS$1)</f>
        <v>0</v>
      </c>
      <c r="BT39" s="115" t="n">
        <f aca="false">SUMIFS(الريسبي!$C$2:$C$1800,الريسبي!$A$2:$A$1800,$A39,الريسبي!$B$2:$B$1800,BT$1)</f>
        <v>0</v>
      </c>
      <c r="BU39" s="115"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15" t="n">
        <f aca="false">SUMIFS(الريسبي!$C$2:$C$1800,الريسبي!$A$2:$A$1800,$A39,الريسبي!$B$2:$B$1800,BV$1)</f>
        <v>0</v>
      </c>
      <c r="BW39" s="115" t="n">
        <f aca="false">SUMIFS(الريسبي!$C$2:$C$1800,الريسبي!$A$2:$A$1800,$A39,الريسبي!$B$2:$B$1800,BW$1)</f>
        <v>0</v>
      </c>
      <c r="BX39" s="115" t="n">
        <f aca="false">SUMIFS(الريسبي!$C$2:$C$1800,الريسبي!$A$2:$A$1800,$A39,الريسبي!$B$2:$B$1800,BX$1)</f>
        <v>0</v>
      </c>
      <c r="BY39" s="115" t="n">
        <f aca="false">SUMIFS(الريسبي!$C$2:$C$1800,الريسبي!$A$2:$A$1800,$A39,الريسبي!$B$2:$B$1800,BY$1)</f>
        <v>0</v>
      </c>
      <c r="BZ39" s="115" t="n">
        <f aca="false">SUMIFS(الريسبي!$C$2:$C$1800,الريسبي!$A$2:$A$1800,$A39,الريسبي!$B$2:$B$1800,BZ$1)</f>
        <v>1</v>
      </c>
      <c r="CA39" s="115" t="n">
        <f aca="false">SUMIFS(الريسبي!$C$2:$C$1800,الريسبي!$A$2:$A$1800,$A39,الريسبي!$B$2:$B$1800,CA$1)</f>
        <v>1</v>
      </c>
      <c r="CB39" s="115" t="n">
        <f aca="false">SUMIFS(الريسبي!$C$2:$C$1800,الريسبي!$A$2:$A$1800,$A39,الريسبي!$B$2:$B$1800,CB$1)</f>
        <v>0</v>
      </c>
      <c r="CC39" s="115" t="n">
        <f aca="false">SUMIFS(الريسبي!$C$2:$C$1800,الريسبي!$A$2:$A$1800,$A39,الريسبي!$B$2:$B$1800,CC$1)</f>
        <v>0</v>
      </c>
      <c r="CD39" s="115" t="n">
        <f aca="false">SUMIFS(الريسبي!$C$2:$C$1800,الريسبي!$A$2:$A$1800,$A39,الريسبي!$B$2:$B$1800,CD$1)</f>
        <v>0</v>
      </c>
      <c r="CE39" s="115" t="n">
        <f aca="false">SUMIFS(الريسبي!$C$2:$C$1800,الريسبي!$A$2:$A$1800,$A39,الريسبي!$B$2:$B$1800,CE$1)</f>
        <v>0</v>
      </c>
      <c r="CF39" s="115" t="n">
        <f aca="false">SUMIFS(الريسبي!$C$2:$C$1800,الريسبي!$A$2:$A$1800,$A39,الريسبي!$B$2:$B$1800,CF$1)</f>
        <v>0</v>
      </c>
      <c r="CG39" s="115" t="n">
        <f aca="false">SUMIFS(الريسبي!$C$2:$C$1800,الريسبي!$A$2:$A$1800,$A39,الريسبي!$B$2:$B$1800,CG$1)</f>
        <v>0</v>
      </c>
      <c r="CH39" s="115" t="n">
        <f aca="false">SUMIFS(الريسبي!$C$2:$C$1800,الريسبي!$A$2:$A$1800,$A39,الريسبي!$B$2:$B$1800,CH$1)</f>
        <v>0</v>
      </c>
    </row>
    <row r="40" customFormat="false" ht="15" hidden="false" customHeight="false" outlineLevel="0" collapsed="false">
      <c r="A40" s="114" t="str">
        <f aca="false">المنيو!B40</f>
        <v>فطيرة مشكل لحوم النكش وسط</v>
      </c>
      <c r="B40" s="115" t="n">
        <f aca="false">SUMIFS(الريسبي!$C$2:$C$1800,الريسبي!$A$2:$A$1800,$A40,الريسبي!$B$2:$B$1800,B$1)</f>
        <v>0</v>
      </c>
      <c r="C40" s="115" t="n">
        <f aca="false">SUMIFS(الريسبي!$C$2:$C$1800,الريسبي!$A$2:$A$1800,$A40,الريسبي!$B$2:$B$1800,C$1)</f>
        <v>0</v>
      </c>
      <c r="D40" s="115" t="n">
        <f aca="false">SUMIFS(الريسبي!$C$2:$C$1800,الريسبي!$A$2:$A$1800,$A40,الريسبي!$B$2:$B$1800,D$1)</f>
        <v>1</v>
      </c>
      <c r="E40" s="115" t="n">
        <f aca="false">SUMIFS(الريسبي!$C$2:$C$1800,الريسبي!$A$2:$A$1800,$A40,الريسبي!$B$2:$B$1800,E$1)</f>
        <v>0</v>
      </c>
      <c r="F40" s="115" t="n">
        <f aca="false">SUMIFS(الريسبي!$C$2:$C$1800,الريسبي!$A$2:$A$1800,$A40,الريسبي!$B$2:$B$1800,F$1)</f>
        <v>0</v>
      </c>
      <c r="G40" s="115" t="n">
        <f aca="false">SUMIFS(الريسبي!$C$2:$C$1800,الريسبي!$A$2:$A$1800,$A40,الريسبي!$B$2:$B$1800,G$1)</f>
        <v>1</v>
      </c>
      <c r="H40" s="115" t="n">
        <f aca="false">SUMIFS(الريسبي!$C$2:$C$1800,الريسبي!$A$2:$A$1800,$A40,الريسبي!$B$2:$B$1800,H$1)</f>
        <v>0</v>
      </c>
      <c r="I40" s="115" t="n">
        <f aca="false">SUMIFS(الريسبي!$C$2:$C$1800,الريسبي!$A$2:$A$1800,$A40,الريسبي!$B$2:$B$1800,I$1)</f>
        <v>0</v>
      </c>
      <c r="J40" s="115" t="n">
        <f aca="false">SUMIFS(الريسبي!$C$2:$C$1800,الريسبي!$A$2:$A$1800,$A40,الريسبي!$B$2:$B$1800,J$1)</f>
        <v>0</v>
      </c>
      <c r="K40" s="115" t="n">
        <f aca="false">SUMIFS(الريسبي!$C$2:$C$1800,الريسبي!$A$2:$A$1800,$A40,الريسبي!$B$2:$B$1800,K$1)</f>
        <v>0</v>
      </c>
      <c r="L40" s="115" t="n">
        <f aca="false">SUMIFS(الريسبي!$C$2:$C$1800,الريسبي!$A$2:$A$1800,$A40,الريسبي!$B$2:$B$1800,L$1)</f>
        <v>1</v>
      </c>
      <c r="M40" s="115" t="n">
        <f aca="false">SUMIFS(الريسبي!$C$2:$C$1800,الريسبي!$A$2:$A$1800,$A40,الريسبي!$B$2:$B$1800,M$1)</f>
        <v>0</v>
      </c>
      <c r="N40" s="115" t="n">
        <f aca="false">SUMIFS(الريسبي!$C$2:$C$1800,الريسبي!$A$2:$A$1800,$A40,الريسبي!$B$2:$B$1800,N$1)</f>
        <v>0</v>
      </c>
      <c r="O40" s="115" t="n">
        <f aca="false">SUMIFS(الريسبي!$C$2:$C$1800,الريسبي!$A$2:$A$1800,$A40,الريسبي!$B$2:$B$1800,O$1)</f>
        <v>0</v>
      </c>
      <c r="P40" s="115" t="n">
        <f aca="false">SUMIFS(الريسبي!$C$2:$C$1800,الريسبي!$A$2:$A$1800,$A40,الريسبي!$B$2:$B$1800,P$1)</f>
        <v>0</v>
      </c>
      <c r="Q40" s="115" t="n">
        <f aca="false">SUMIFS(الريسبي!$C$2:$C$1800,الريسبي!$A$2:$A$1800,$A40,الريسبي!$B$2:$B$1800,Q$1)</f>
        <v>0</v>
      </c>
      <c r="R40" s="115" t="n">
        <f aca="false">SUMIFS(الريسبي!$C$2:$C$1800,الريسبي!$A$2:$A$1800,$A40,الريسبي!$B$2:$B$1800,R$1)</f>
        <v>0</v>
      </c>
      <c r="S40" s="115" t="n">
        <f aca="false">SUMIFS(الريسبي!$C$2:$C$1800,الريسبي!$A$2:$A$1800,$A40,الريسبي!$B$2:$B$1800,S$1)</f>
        <v>0</v>
      </c>
      <c r="T40" s="115" t="n">
        <f aca="false">SUMIFS(الريسبي!$C$2:$C$1800,الريسبي!$A$2:$A$1800,$A40,الريسبي!$B$2:$B$1800,T$1)</f>
        <v>1</v>
      </c>
      <c r="U40" s="115" t="n">
        <f aca="false">SUMIFS(الريسبي!$C$2:$C$1800,الريسبي!$A$2:$A$1800,$A40,الريسبي!$B$2:$B$1800,U$1)</f>
        <v>0</v>
      </c>
      <c r="V40" s="115" t="n">
        <f aca="false">SUMIFS(الريسبي!$C$2:$C$1800,الريسبي!$A$2:$A$1800,$A40,الريسبي!$B$2:$B$1800,V$1)</f>
        <v>0</v>
      </c>
      <c r="W40" s="115" t="n">
        <f aca="false">SUMIFS(الريسبي!$C$2:$C$1800,الريسبي!$A$2:$A$1800,$A40,الريسبي!$B$2:$B$1800,W$1)</f>
        <v>0</v>
      </c>
      <c r="X40" s="115" t="n">
        <f aca="false">SUMIFS(الريسبي!$C$2:$C$1800,الريسبي!$A$2:$A$1800,$A40,الريسبي!$B$2:$B$1800,X$1)</f>
        <v>1</v>
      </c>
      <c r="Y40" s="115" t="n">
        <f aca="false">SUMIFS(الريسبي!$C$2:$C$1800,الريسبي!$A$2:$A$1800,$A40,الريسبي!$B$2:$B$1800,Y$1)</f>
        <v>0</v>
      </c>
      <c r="Z40" s="115" t="n">
        <f aca="false">SUMIFS(الريسبي!$C$2:$C$1800,الريسبي!$A$2:$A$1800,$A40,الريسبي!$B$2:$B$1800,Z$1)</f>
        <v>0</v>
      </c>
      <c r="AA40" s="115" t="n">
        <f aca="false">SUMIFS(الريسبي!$C$2:$C$1800,الريسبي!$A$2:$A$1800,$A40,الريسبي!$B$2:$B$1800,AA$1)</f>
        <v>0</v>
      </c>
      <c r="AB40" s="115" t="n">
        <f aca="false">SUMIFS(الريسبي!$C$2:$C$1800,الريسبي!$A$2:$A$1800,$A40,الريسبي!$B$2:$B$1800,AB$1)</f>
        <v>0</v>
      </c>
      <c r="AC40" s="115" t="n">
        <f aca="false">SUMIFS(الريسبي!$C$2:$C$1800,الريسبي!$A$2:$A$1800,$A40,الريسبي!$B$2:$B$1800,AC$1)</f>
        <v>0</v>
      </c>
      <c r="AD40" s="115" t="n">
        <f aca="false">SUMIFS(الريسبي!$C$2:$C$1800,الريسبي!$A$2:$A$1800,$A40,الريسبي!$B$2:$B$1800,AD$1)</f>
        <v>0</v>
      </c>
      <c r="AE40" s="115" t="n">
        <f aca="false">SUMIFS(الريسبي!$C$2:$C$1800,الريسبي!$A$2:$A$1800,$A40,الريسبي!$B$2:$B$1800,AE$1)</f>
        <v>0</v>
      </c>
      <c r="AF40" s="115" t="n">
        <f aca="false">SUMIFS(الريسبي!$C$2:$C$1800,الريسبي!$A$2:$A$1800,$A40,الريسبي!$B$2:$B$1800,AF$1)</f>
        <v>0</v>
      </c>
      <c r="AG40" s="115" t="n">
        <f aca="false">SUMIFS(الريسبي!$C$2:$C$1800,الريسبي!$A$2:$A$1800,$A40,الريسبي!$B$2:$B$1800,AG$1)</f>
        <v>0</v>
      </c>
      <c r="AH40" s="115" t="n">
        <f aca="false">SUMIFS(الريسبي!$C$2:$C$1800,الريسبي!$A$2:$A$1800,$A40,الريسبي!$B$2:$B$1800,AH$1)</f>
        <v>0</v>
      </c>
      <c r="AI40" s="115" t="n">
        <f aca="false">SUMIFS(الريسبي!$C$2:$C$1800,الريسبي!$A$2:$A$1800,$A40,الريسبي!$B$2:$B$1800,AI$1)</f>
        <v>0</v>
      </c>
      <c r="AJ40" s="115" t="n">
        <f aca="false">SUMIFS(الريسبي!$C$2:$C$1800,الريسبي!$A$2:$A$1800,$A40,الريسبي!$B$2:$B$1800,AJ$1)</f>
        <v>2</v>
      </c>
      <c r="AK40" s="115" t="n">
        <f aca="false">SUMIFS(الريسبي!$C$2:$C$1800,الريسبي!$A$2:$A$1800,$A40,الريسبي!$B$2:$B$1800,AK$1)</f>
        <v>0</v>
      </c>
      <c r="AL40" s="115" t="n">
        <f aca="false">SUMIFS(الريسبي!$C$2:$C$1800,الريسبي!$A$2:$A$1800,$A40,الريسبي!$B$2:$B$1800,AL$1)</f>
        <v>0</v>
      </c>
      <c r="AM40" s="115"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15"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15" t="n">
        <f aca="false">SUMIFS(الريسبي!$C$2:$C$1800,الريسبي!$A$2:$A$1800,$A40,الريسبي!$B$2:$B$1800,AO$1)</f>
        <v>0</v>
      </c>
      <c r="AP40" s="115" t="n">
        <f aca="false">SUMIFS(الريسبي!$C$2:$C$1800,الريسبي!$A$2:$A$1800,$A40,الريسبي!$B$2:$B$1800,AP$1)</f>
        <v>0.02</v>
      </c>
      <c r="AQ40" s="115"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15" t="n">
        <f aca="false">SUMIFS(الريسبي!$C$2:$C$1800,الريسبي!$A$2:$A$1800,$A40,الريسبي!$B$2:$B$1800,AR$1)</f>
        <v>0</v>
      </c>
      <c r="AS40" s="115" t="n">
        <f aca="false">SUMIFS(الريسبي!$C$2:$C$1800,الريسبي!$A$2:$A$1800,$A40,الريسبي!$B$2:$B$1800,AS$1)</f>
        <v>0</v>
      </c>
      <c r="AT40" s="115" t="n">
        <f aca="false">SUMIFS(الريسبي!$C$2:$C$1800,الريسبي!$A$2:$A$1800,$A40,الريسبي!$B$2:$B$1800,AT$1)</f>
        <v>0</v>
      </c>
      <c r="AU40" s="115" t="n">
        <f aca="false">SUMIFS(الريسبي!$C$2:$C$1800,الريسبي!$A$2:$A$1800,$A40,الريسبي!$B$2:$B$1800,AU$1)</f>
        <v>0</v>
      </c>
      <c r="AV40" s="115" t="n">
        <f aca="false">SUMIFS(الريسبي!$C$2:$C$1800,الريسبي!$A$2:$A$1800,$A40,الريسبي!$B$2:$B$1800,AV$1)</f>
        <v>0</v>
      </c>
      <c r="AW40" s="115" t="n">
        <f aca="false">SUMIFS(الريسبي!$C$2:$C$1800,الريسبي!$A$2:$A$1800,$A40,الريسبي!$B$2:$B$1800,AW$1)</f>
        <v>0</v>
      </c>
      <c r="AX40" s="115" t="n">
        <f aca="false">SUMIFS(الريسبي!$C$2:$C$1800,الريسبي!$A$2:$A$1800,$A40,الريسبي!$B$2:$B$1800,AX$1)</f>
        <v>0</v>
      </c>
      <c r="AY40" s="115" t="n">
        <f aca="false">SUMIFS(الريسبي!$C$2:$C$1800,الريسبي!$A$2:$A$1800,$A40,الريسبي!$B$2:$B$1800,AY$1)</f>
        <v>0</v>
      </c>
      <c r="AZ40" s="115" t="n">
        <f aca="false">SUMIFS(الريسبي!$C$2:$C$1800,الريسبي!$A$2:$A$1800,$A40,الريسبي!$B$2:$B$1800,AZ$1)</f>
        <v>0</v>
      </c>
      <c r="BA40" s="115" t="n">
        <f aca="false">SUMIFS(الريسبي!$C$2:$C$1800,الريسبي!$A$2:$A$1800,$A40,الريسبي!$B$2:$B$1800,BA$1)</f>
        <v>0</v>
      </c>
      <c r="BB40" s="115" t="n">
        <f aca="false">SUMIFS(الريسبي!$C$2:$C$1800,الريسبي!$A$2:$A$1800,$A40,الريسبي!$B$2:$B$1800,BB$1)</f>
        <v>0</v>
      </c>
      <c r="BC40" s="115" t="n">
        <f aca="false">SUMIFS(الريسبي!$C$2:$C$1800,الريسبي!$A$2:$A$1800,$A40,الريسبي!$B$2:$B$1800,BC$1)</f>
        <v>0.03</v>
      </c>
      <c r="BD40" s="115" t="n">
        <f aca="false">SUMIFS(الريسبي!$C$2:$C$1800,الريسبي!$A$2:$A$1800,$A40,الريسبي!$B$2:$B$1800,BD$1)</f>
        <v>0</v>
      </c>
      <c r="BE40" s="115" t="n">
        <f aca="false">SUMIFS(الريسبي!$C$2:$C$1800,الريسبي!$A$2:$A$1800,$A40,الريسبي!$B$2:$B$1800,BE$1)</f>
        <v>1</v>
      </c>
      <c r="BF40" s="115" t="n">
        <f aca="false">SUMIFS(الريسبي!$C$2:$C$1800,الريسبي!$A$2:$A$1800,$A40,الريسبي!$B$2:$B$1800,BF$1)</f>
        <v>0</v>
      </c>
      <c r="BG40" s="115" t="n">
        <f aca="false">SUMIFS(الريسبي!$C$2:$C$1800,الريسبي!$A$2:$A$1800,$A40,الريسبي!$B$2:$B$1800,BG$1)</f>
        <v>0</v>
      </c>
      <c r="BH40" s="115" t="n">
        <f aca="false">SUMIFS(الريسبي!$C$2:$C$1800,الريسبي!$A$2:$A$1800,$A40,الريسبي!$B$2:$B$1800,BH$1)</f>
        <v>1</v>
      </c>
      <c r="BI40" s="115" t="n">
        <f aca="false">SUMIFS(الريسبي!$C$2:$C$1800,الريسبي!$A$2:$A$1800,$A40,الريسبي!$B$2:$B$1800,BI$1)</f>
        <v>0</v>
      </c>
      <c r="BJ40" s="115" t="n">
        <f aca="false">SUMIFS(الريسبي!$C$2:$C$1800,الريسبي!$A$2:$A$1800,$A40,الريسبي!$B$2:$B$1800,BJ$1)</f>
        <v>0</v>
      </c>
      <c r="BK40" s="115" t="n">
        <f aca="false">SUMIFS(الريسبي!$C$2:$C$1800,الريسبي!$A$2:$A$1800,$A40,الريسبي!$B$2:$B$1800,BK$1)</f>
        <v>0</v>
      </c>
      <c r="BL40" s="115" t="n">
        <f aca="false">SUMIFS(الريسبي!$C$2:$C$1800,الريسبي!$A$2:$A$1800,$A40,الريسبي!$B$2:$B$1800,BL$1)</f>
        <v>0</v>
      </c>
      <c r="BM40" s="115" t="n">
        <f aca="false">SUMIFS(الريسبي!$C$2:$C$1800,الريسبي!$A$2:$A$1800,$A40,الريسبي!$B$2:$B$1800,BM$1)</f>
        <v>0</v>
      </c>
      <c r="BN40" s="115" t="n">
        <f aca="false">SUMIFS(الريسبي!$C$2:$C$1800,الريسبي!$A$2:$A$1800,$A40,الريسبي!$B$2:$B$1800,BN$1)</f>
        <v>0.02</v>
      </c>
      <c r="BO40" s="115" t="n">
        <f aca="false">SUMIFS(الريسبي!$C$2:$C$1800,الريسبي!$A$2:$A$1800,$A40,الريسبي!$B$2:$B$1800,BO$1)</f>
        <v>0</v>
      </c>
      <c r="BP40" s="115" t="n">
        <f aca="false">SUMIFS(الريسبي!$C$2:$C$1800,الريسبي!$A$2:$A$1800,$A40,الريسبي!$B$2:$B$1800,BP$1)</f>
        <v>2</v>
      </c>
      <c r="BQ40" s="115"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15" t="n">
        <f aca="false">SUMIFS(الريسبي!$C$2:$C$1800,الريسبي!$A$2:$A$1800,$A40,الريسبي!$B$2:$B$1800,BR$1)</f>
        <v>1</v>
      </c>
      <c r="BS40" s="115" t="n">
        <f aca="false">SUMIFS(الريسبي!$C$2:$C$1800,الريسبي!$A$2:$A$1800,$A40,الريسبي!$B$2:$B$1800,BS$1)</f>
        <v>0</v>
      </c>
      <c r="BT40" s="115" t="n">
        <f aca="false">SUMIFS(الريسبي!$C$2:$C$1800,الريسبي!$A$2:$A$1800,$A40,الريسبي!$B$2:$B$1800,BT$1)</f>
        <v>0</v>
      </c>
      <c r="BU40" s="115"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15" t="n">
        <f aca="false">SUMIFS(الريسبي!$C$2:$C$1800,الريسبي!$A$2:$A$1800,$A40,الريسبي!$B$2:$B$1800,BV$1)</f>
        <v>0</v>
      </c>
      <c r="BW40" s="115" t="n">
        <f aca="false">SUMIFS(الريسبي!$C$2:$C$1800,الريسبي!$A$2:$A$1800,$A40,الريسبي!$B$2:$B$1800,BW$1)</f>
        <v>0</v>
      </c>
      <c r="BX40" s="115" t="n">
        <f aca="false">SUMIFS(الريسبي!$C$2:$C$1800,الريسبي!$A$2:$A$1800,$A40,الريسبي!$B$2:$B$1800,BX$1)</f>
        <v>0</v>
      </c>
      <c r="BY40" s="115" t="n">
        <f aca="false">SUMIFS(الريسبي!$C$2:$C$1800,الريسبي!$A$2:$A$1800,$A40,الريسبي!$B$2:$B$1800,BY$1)</f>
        <v>0</v>
      </c>
      <c r="BZ40" s="115" t="n">
        <f aca="false">SUMIFS(الريسبي!$C$2:$C$1800,الريسبي!$A$2:$A$1800,$A40,الريسبي!$B$2:$B$1800,BZ$1)</f>
        <v>1</v>
      </c>
      <c r="CA40" s="115" t="n">
        <f aca="false">SUMIFS(الريسبي!$C$2:$C$1800,الريسبي!$A$2:$A$1800,$A40,الريسبي!$B$2:$B$1800,CA$1)</f>
        <v>1</v>
      </c>
      <c r="CB40" s="115" t="n">
        <f aca="false">SUMIFS(الريسبي!$C$2:$C$1800,الريسبي!$A$2:$A$1800,$A40,الريسبي!$B$2:$B$1800,CB$1)</f>
        <v>0</v>
      </c>
      <c r="CC40" s="115" t="n">
        <f aca="false">SUMIFS(الريسبي!$C$2:$C$1800,الريسبي!$A$2:$A$1800,$A40,الريسبي!$B$2:$B$1800,CC$1)</f>
        <v>0</v>
      </c>
      <c r="CD40" s="115" t="n">
        <f aca="false">SUMIFS(الريسبي!$C$2:$C$1800,الريسبي!$A$2:$A$1800,$A40,الريسبي!$B$2:$B$1800,CD$1)</f>
        <v>0</v>
      </c>
      <c r="CE40" s="115" t="n">
        <f aca="false">SUMIFS(الريسبي!$C$2:$C$1800,الريسبي!$A$2:$A$1800,$A40,الريسبي!$B$2:$B$1800,CE$1)</f>
        <v>0</v>
      </c>
      <c r="CF40" s="115" t="n">
        <f aca="false">SUMIFS(الريسبي!$C$2:$C$1800,الريسبي!$A$2:$A$1800,$A40,الريسبي!$B$2:$B$1800,CF$1)</f>
        <v>0</v>
      </c>
      <c r="CG40" s="115" t="n">
        <f aca="false">SUMIFS(الريسبي!$C$2:$C$1800,الريسبي!$A$2:$A$1800,$A40,الريسبي!$B$2:$B$1800,CG$1)</f>
        <v>0</v>
      </c>
      <c r="CH40" s="115" t="n">
        <f aca="false">SUMIFS(الريسبي!$C$2:$C$1800,الريسبي!$A$2:$A$1800,$A40,الريسبي!$B$2:$B$1800,CH$1)</f>
        <v>0</v>
      </c>
    </row>
    <row r="41" customFormat="false" ht="15" hidden="false" customHeight="false" outlineLevel="0" collapsed="false">
      <c r="A41" s="114" t="str">
        <f aca="false">المنيو!B41</f>
        <v>فطيرة مشكل لحوم النكش حجم اكبر</v>
      </c>
      <c r="B41" s="115" t="n">
        <f aca="false">SUMIFS(الريسبي!$C$2:$C$1800,الريسبي!$A$2:$A$1800,$A41,الريسبي!$B$2:$B$1800,B$1)</f>
        <v>0</v>
      </c>
      <c r="C41" s="115" t="n">
        <f aca="false">SUMIFS(الريسبي!$C$2:$C$1800,الريسبي!$A$2:$A$1800,$A41,الريسبي!$B$2:$B$1800,C$1)</f>
        <v>0</v>
      </c>
      <c r="D41" s="115" t="n">
        <f aca="false">SUMIFS(الريسبي!$C$2:$C$1800,الريسبي!$A$2:$A$1800,$A41,الريسبي!$B$2:$B$1800,D$1)</f>
        <v>1</v>
      </c>
      <c r="E41" s="115" t="n">
        <f aca="false">SUMIFS(الريسبي!$C$2:$C$1800,الريسبي!$A$2:$A$1800,$A41,الريسبي!$B$2:$B$1800,E$1)</f>
        <v>0</v>
      </c>
      <c r="F41" s="115" t="n">
        <f aca="false">SUMIFS(الريسبي!$C$2:$C$1800,الريسبي!$A$2:$A$1800,$A41,الريسبي!$B$2:$B$1800,F$1)</f>
        <v>0</v>
      </c>
      <c r="G41" s="115" t="n">
        <f aca="false">SUMIFS(الريسبي!$C$2:$C$1800,الريسبي!$A$2:$A$1800,$A41,الريسبي!$B$2:$B$1800,G$1)</f>
        <v>0</v>
      </c>
      <c r="H41" s="115" t="n">
        <f aca="false">SUMIFS(الريسبي!$C$2:$C$1800,الريسبي!$A$2:$A$1800,$A41,الريسبي!$B$2:$B$1800,H$1)</f>
        <v>1</v>
      </c>
      <c r="I41" s="115" t="n">
        <f aca="false">SUMIFS(الريسبي!$C$2:$C$1800,الريسبي!$A$2:$A$1800,$A41,الريسبي!$B$2:$B$1800,I$1)</f>
        <v>0</v>
      </c>
      <c r="J41" s="115" t="n">
        <f aca="false">SUMIFS(الريسبي!$C$2:$C$1800,الريسبي!$A$2:$A$1800,$A41,الريسبي!$B$2:$B$1800,J$1)</f>
        <v>0</v>
      </c>
      <c r="K41" s="115" t="n">
        <f aca="false">SUMIFS(الريسبي!$C$2:$C$1800,الريسبي!$A$2:$A$1800,$A41,الريسبي!$B$2:$B$1800,K$1)</f>
        <v>0</v>
      </c>
      <c r="L41" s="115" t="n">
        <f aca="false">SUMIFS(الريسبي!$C$2:$C$1800,الريسبي!$A$2:$A$1800,$A41,الريسبي!$B$2:$B$1800,L$1)</f>
        <v>0</v>
      </c>
      <c r="M41" s="115" t="n">
        <f aca="false">SUMIFS(الريسبي!$C$2:$C$1800,الريسبي!$A$2:$A$1800,$A41,الريسبي!$B$2:$B$1800,M$1)</f>
        <v>1</v>
      </c>
      <c r="N41" s="115" t="n">
        <f aca="false">SUMIFS(الريسبي!$C$2:$C$1800,الريسبي!$A$2:$A$1800,$A41,الريسبي!$B$2:$B$1800,N$1)</f>
        <v>0</v>
      </c>
      <c r="O41" s="115" t="n">
        <f aca="false">SUMIFS(الريسبي!$C$2:$C$1800,الريسبي!$A$2:$A$1800,$A41,الريسبي!$B$2:$B$1800,O$1)</f>
        <v>0</v>
      </c>
      <c r="P41" s="115" t="n">
        <f aca="false">SUMIFS(الريسبي!$C$2:$C$1800,الريسبي!$A$2:$A$1800,$A41,الريسبي!$B$2:$B$1800,P$1)</f>
        <v>0</v>
      </c>
      <c r="Q41" s="115" t="n">
        <f aca="false">SUMIFS(الريسبي!$C$2:$C$1800,الريسبي!$A$2:$A$1800,$A41,الريسبي!$B$2:$B$1800,Q$1)</f>
        <v>0</v>
      </c>
      <c r="R41" s="115" t="n">
        <f aca="false">SUMIFS(الريسبي!$C$2:$C$1800,الريسبي!$A$2:$A$1800,$A41,الريسبي!$B$2:$B$1800,R$1)</f>
        <v>0</v>
      </c>
      <c r="S41" s="115" t="n">
        <f aca="false">SUMIFS(الريسبي!$C$2:$C$1800,الريسبي!$A$2:$A$1800,$A41,الريسبي!$B$2:$B$1800,S$1)</f>
        <v>0</v>
      </c>
      <c r="T41" s="115" t="n">
        <f aca="false">SUMIFS(الريسبي!$C$2:$C$1800,الريسبي!$A$2:$A$1800,$A41,الريسبي!$B$2:$B$1800,T$1)</f>
        <v>1</v>
      </c>
      <c r="U41" s="115" t="n">
        <f aca="false">SUMIFS(الريسبي!$C$2:$C$1800,الريسبي!$A$2:$A$1800,$A41,الريسبي!$B$2:$B$1800,U$1)</f>
        <v>0</v>
      </c>
      <c r="V41" s="115" t="n">
        <f aca="false">SUMIFS(الريسبي!$C$2:$C$1800,الريسبي!$A$2:$A$1800,$A41,الريسبي!$B$2:$B$1800,V$1)</f>
        <v>0</v>
      </c>
      <c r="W41" s="115" t="n">
        <f aca="false">SUMIFS(الريسبي!$C$2:$C$1800,الريسبي!$A$2:$A$1800,$A41,الريسبي!$B$2:$B$1800,W$1)</f>
        <v>0</v>
      </c>
      <c r="X41" s="115" t="n">
        <f aca="false">SUMIFS(الريسبي!$C$2:$C$1800,الريسبي!$A$2:$A$1800,$A41,الريسبي!$B$2:$B$1800,X$1)</f>
        <v>0</v>
      </c>
      <c r="Y41" s="115" t="n">
        <f aca="false">SUMIFS(الريسبي!$C$2:$C$1800,الريسبي!$A$2:$A$1800,$A41,الريسبي!$B$2:$B$1800,Y$1)</f>
        <v>1</v>
      </c>
      <c r="Z41" s="115" t="n">
        <f aca="false">SUMIFS(الريسبي!$C$2:$C$1800,الريسبي!$A$2:$A$1800,$A41,الريسبي!$B$2:$B$1800,Z$1)</f>
        <v>0</v>
      </c>
      <c r="AA41" s="115" t="n">
        <f aca="false">SUMIFS(الريسبي!$C$2:$C$1800,الريسبي!$A$2:$A$1800,$A41,الريسبي!$B$2:$B$1800,AA$1)</f>
        <v>0</v>
      </c>
      <c r="AB41" s="115" t="n">
        <f aca="false">SUMIFS(الريسبي!$C$2:$C$1800,الريسبي!$A$2:$A$1800,$A41,الريسبي!$B$2:$B$1800,AB$1)</f>
        <v>0</v>
      </c>
      <c r="AC41" s="115" t="n">
        <f aca="false">SUMIFS(الريسبي!$C$2:$C$1800,الريسبي!$A$2:$A$1800,$A41,الريسبي!$B$2:$B$1800,AC$1)</f>
        <v>0</v>
      </c>
      <c r="AD41" s="115" t="n">
        <f aca="false">SUMIFS(الريسبي!$C$2:$C$1800,الريسبي!$A$2:$A$1800,$A41,الريسبي!$B$2:$B$1800,AD$1)</f>
        <v>0</v>
      </c>
      <c r="AE41" s="115" t="n">
        <f aca="false">SUMIFS(الريسبي!$C$2:$C$1800,الريسبي!$A$2:$A$1800,$A41,الريسبي!$B$2:$B$1800,AE$1)</f>
        <v>0</v>
      </c>
      <c r="AF41" s="115" t="n">
        <f aca="false">SUMIFS(الريسبي!$C$2:$C$1800,الريسبي!$A$2:$A$1800,$A41,الريسبي!$B$2:$B$1800,AF$1)</f>
        <v>0</v>
      </c>
      <c r="AG41" s="115" t="n">
        <f aca="false">SUMIFS(الريسبي!$C$2:$C$1800,الريسبي!$A$2:$A$1800,$A41,الريسبي!$B$2:$B$1800,AG$1)</f>
        <v>0</v>
      </c>
      <c r="AH41" s="115" t="n">
        <f aca="false">SUMIFS(الريسبي!$C$2:$C$1800,الريسبي!$A$2:$A$1800,$A41,الريسبي!$B$2:$B$1800,AH$1)</f>
        <v>0</v>
      </c>
      <c r="AI41" s="115" t="n">
        <f aca="false">SUMIFS(الريسبي!$C$2:$C$1800,الريسبي!$A$2:$A$1800,$A41,الريسبي!$B$2:$B$1800,AI$1)</f>
        <v>0</v>
      </c>
      <c r="AJ41" s="115" t="n">
        <f aca="false">SUMIFS(الريسبي!$C$2:$C$1800,الريسبي!$A$2:$A$1800,$A41,الريسبي!$B$2:$B$1800,AJ$1)</f>
        <v>2</v>
      </c>
      <c r="AK41" s="115" t="n">
        <f aca="false">SUMIFS(الريسبي!$C$2:$C$1800,الريسبي!$A$2:$A$1800,$A41,الريسبي!$B$2:$B$1800,AK$1)</f>
        <v>0</v>
      </c>
      <c r="AL41" s="115" t="n">
        <f aca="false">SUMIFS(الريسبي!$C$2:$C$1800,الريسبي!$A$2:$A$1800,$A41,الريسبي!$B$2:$B$1800,AL$1)</f>
        <v>0</v>
      </c>
      <c r="AM41" s="115"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15"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15" t="n">
        <f aca="false">SUMIFS(الريسبي!$C$2:$C$1800,الريسبي!$A$2:$A$1800,$A41,الريسبي!$B$2:$B$1800,AO$1)</f>
        <v>0</v>
      </c>
      <c r="AP41" s="115" t="n">
        <f aca="false">SUMIFS(الريسبي!$C$2:$C$1800,الريسبي!$A$2:$A$1800,$A41,الريسبي!$B$2:$B$1800,AP$1)</f>
        <v>0.03</v>
      </c>
      <c r="AQ41" s="115"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15" t="n">
        <f aca="false">SUMIFS(الريسبي!$C$2:$C$1800,الريسبي!$A$2:$A$1800,$A41,الريسبي!$B$2:$B$1800,AR$1)</f>
        <v>0</v>
      </c>
      <c r="AS41" s="115" t="n">
        <f aca="false">SUMIFS(الريسبي!$C$2:$C$1800,الريسبي!$A$2:$A$1800,$A41,الريسبي!$B$2:$B$1800,AS$1)</f>
        <v>0</v>
      </c>
      <c r="AT41" s="115" t="n">
        <f aca="false">SUMIFS(الريسبي!$C$2:$C$1800,الريسبي!$A$2:$A$1800,$A41,الريسبي!$B$2:$B$1800,AT$1)</f>
        <v>0</v>
      </c>
      <c r="AU41" s="115" t="n">
        <f aca="false">SUMIFS(الريسبي!$C$2:$C$1800,الريسبي!$A$2:$A$1800,$A41,الريسبي!$B$2:$B$1800,AU$1)</f>
        <v>0</v>
      </c>
      <c r="AV41" s="115" t="n">
        <f aca="false">SUMIFS(الريسبي!$C$2:$C$1800,الريسبي!$A$2:$A$1800,$A41,الريسبي!$B$2:$B$1800,AV$1)</f>
        <v>0</v>
      </c>
      <c r="AW41" s="115" t="n">
        <f aca="false">SUMIFS(الريسبي!$C$2:$C$1800,الريسبي!$A$2:$A$1800,$A41,الريسبي!$B$2:$B$1800,AW$1)</f>
        <v>0</v>
      </c>
      <c r="AX41" s="115" t="n">
        <f aca="false">SUMIFS(الريسبي!$C$2:$C$1800,الريسبي!$A$2:$A$1800,$A41,الريسبي!$B$2:$B$1800,AX$1)</f>
        <v>0</v>
      </c>
      <c r="AY41" s="115" t="n">
        <f aca="false">SUMIFS(الريسبي!$C$2:$C$1800,الريسبي!$A$2:$A$1800,$A41,الريسبي!$B$2:$B$1800,AY$1)</f>
        <v>0</v>
      </c>
      <c r="AZ41" s="115" t="n">
        <f aca="false">SUMIFS(الريسبي!$C$2:$C$1800,الريسبي!$A$2:$A$1800,$A41,الريسبي!$B$2:$B$1800,AZ$1)</f>
        <v>0</v>
      </c>
      <c r="BA41" s="115" t="n">
        <f aca="false">SUMIFS(الريسبي!$C$2:$C$1800,الريسبي!$A$2:$A$1800,$A41,الريسبي!$B$2:$B$1800,BA$1)</f>
        <v>0</v>
      </c>
      <c r="BB41" s="115" t="n">
        <f aca="false">SUMIFS(الريسبي!$C$2:$C$1800,الريسبي!$A$2:$A$1800,$A41,الريسبي!$B$2:$B$1800,BB$1)</f>
        <v>0</v>
      </c>
      <c r="BC41" s="115" t="n">
        <f aca="false">SUMIFS(الريسبي!$C$2:$C$1800,الريسبي!$A$2:$A$1800,$A41,الريسبي!$B$2:$B$1800,BC$1)</f>
        <v>0.045</v>
      </c>
      <c r="BD41" s="115" t="n">
        <f aca="false">SUMIFS(الريسبي!$C$2:$C$1800,الريسبي!$A$2:$A$1800,$A41,الريسبي!$B$2:$B$1800,BD$1)</f>
        <v>0</v>
      </c>
      <c r="BE41" s="115" t="n">
        <f aca="false">SUMIFS(الريسبي!$C$2:$C$1800,الريسبي!$A$2:$A$1800,$A41,الريسبي!$B$2:$B$1800,BE$1)</f>
        <v>1.5</v>
      </c>
      <c r="BF41" s="115" t="n">
        <f aca="false">SUMIFS(الريسبي!$C$2:$C$1800,الريسبي!$A$2:$A$1800,$A41,الريسبي!$B$2:$B$1800,BF$1)</f>
        <v>0</v>
      </c>
      <c r="BG41" s="115" t="n">
        <f aca="false">SUMIFS(الريسبي!$C$2:$C$1800,الريسبي!$A$2:$A$1800,$A41,الريسبي!$B$2:$B$1800,BG$1)</f>
        <v>1</v>
      </c>
      <c r="BH41" s="115" t="n">
        <f aca="false">SUMIFS(الريسبي!$C$2:$C$1800,الريسبي!$A$2:$A$1800,$A41,الريسبي!$B$2:$B$1800,BH$1)</f>
        <v>0</v>
      </c>
      <c r="BI41" s="115" t="n">
        <f aca="false">SUMIFS(الريسبي!$C$2:$C$1800,الريسبي!$A$2:$A$1800,$A41,الريسبي!$B$2:$B$1800,BI$1)</f>
        <v>0</v>
      </c>
      <c r="BJ41" s="115" t="n">
        <f aca="false">SUMIFS(الريسبي!$C$2:$C$1800,الريسبي!$A$2:$A$1800,$A41,الريسبي!$B$2:$B$1800,BJ$1)</f>
        <v>0</v>
      </c>
      <c r="BK41" s="115" t="n">
        <f aca="false">SUMIFS(الريسبي!$C$2:$C$1800,الريسبي!$A$2:$A$1800,$A41,الريسبي!$B$2:$B$1800,BK$1)</f>
        <v>0</v>
      </c>
      <c r="BL41" s="115" t="n">
        <f aca="false">SUMIFS(الريسبي!$C$2:$C$1800,الريسبي!$A$2:$A$1800,$A41,الريسبي!$B$2:$B$1800,BL$1)</f>
        <v>0</v>
      </c>
      <c r="BM41" s="115" t="n">
        <f aca="false">SUMIFS(الريسبي!$C$2:$C$1800,الريسبي!$A$2:$A$1800,$A41,الريسبي!$B$2:$B$1800,BM$1)</f>
        <v>0</v>
      </c>
      <c r="BN41" s="115" t="n">
        <f aca="false">SUMIFS(الريسبي!$C$2:$C$1800,الريسبي!$A$2:$A$1800,$A41,الريسبي!$B$2:$B$1800,BN$1)</f>
        <v>0.03</v>
      </c>
      <c r="BO41" s="115" t="n">
        <f aca="false">SUMIFS(الريسبي!$C$2:$C$1800,الريسبي!$A$2:$A$1800,$A41,الريسبي!$B$2:$B$1800,BO$1)</f>
        <v>0</v>
      </c>
      <c r="BP41" s="115" t="n">
        <f aca="false">SUMIFS(الريسبي!$C$2:$C$1800,الريسبي!$A$2:$A$1800,$A41,الريسبي!$B$2:$B$1800,BP$1)</f>
        <v>3</v>
      </c>
      <c r="BQ41" s="115"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15" t="n">
        <f aca="false">SUMIFS(الريسبي!$C$2:$C$1800,الريسبي!$A$2:$A$1800,$A41,الريسبي!$B$2:$B$1800,BR$1)</f>
        <v>1</v>
      </c>
      <c r="BS41" s="115" t="n">
        <f aca="false">SUMIFS(الريسبي!$C$2:$C$1800,الريسبي!$A$2:$A$1800,$A41,الريسبي!$B$2:$B$1800,BS$1)</f>
        <v>0</v>
      </c>
      <c r="BT41" s="115" t="n">
        <f aca="false">SUMIFS(الريسبي!$C$2:$C$1800,الريسبي!$A$2:$A$1800,$A41,الريسبي!$B$2:$B$1800,BT$1)</f>
        <v>0</v>
      </c>
      <c r="BU41" s="115"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15" t="n">
        <f aca="false">SUMIFS(الريسبي!$C$2:$C$1800,الريسبي!$A$2:$A$1800,$A41,الريسبي!$B$2:$B$1800,BV$1)</f>
        <v>0</v>
      </c>
      <c r="BW41" s="115" t="n">
        <f aca="false">SUMIFS(الريسبي!$C$2:$C$1800,الريسبي!$A$2:$A$1800,$A41,الريسبي!$B$2:$B$1800,BW$1)</f>
        <v>0</v>
      </c>
      <c r="BX41" s="115" t="n">
        <f aca="false">SUMIFS(الريسبي!$C$2:$C$1800,الريسبي!$A$2:$A$1800,$A41,الريسبي!$B$2:$B$1800,BX$1)</f>
        <v>0</v>
      </c>
      <c r="BY41" s="115" t="n">
        <f aca="false">SUMIFS(الريسبي!$C$2:$C$1800,الريسبي!$A$2:$A$1800,$A41,الريسبي!$B$2:$B$1800,BY$1)</f>
        <v>0</v>
      </c>
      <c r="BZ41" s="115" t="n">
        <f aca="false">SUMIFS(الريسبي!$C$2:$C$1800,الريسبي!$A$2:$A$1800,$A41,الريسبي!$B$2:$B$1800,BZ$1)</f>
        <v>1</v>
      </c>
      <c r="CA41" s="115" t="n">
        <f aca="false">SUMIFS(الريسبي!$C$2:$C$1800,الريسبي!$A$2:$A$1800,$A41,الريسبي!$B$2:$B$1800,CA$1)</f>
        <v>1</v>
      </c>
      <c r="CB41" s="115" t="n">
        <f aca="false">SUMIFS(الريسبي!$C$2:$C$1800,الريسبي!$A$2:$A$1800,$A41,الريسبي!$B$2:$B$1800,CB$1)</f>
        <v>0</v>
      </c>
      <c r="CC41" s="115" t="n">
        <f aca="false">SUMIFS(الريسبي!$C$2:$C$1800,الريسبي!$A$2:$A$1800,$A41,الريسبي!$B$2:$B$1800,CC$1)</f>
        <v>0</v>
      </c>
      <c r="CD41" s="115" t="n">
        <f aca="false">SUMIFS(الريسبي!$C$2:$C$1800,الريسبي!$A$2:$A$1800,$A41,الريسبي!$B$2:$B$1800,CD$1)</f>
        <v>0</v>
      </c>
      <c r="CE41" s="115" t="n">
        <f aca="false">SUMIFS(الريسبي!$C$2:$C$1800,الريسبي!$A$2:$A$1800,$A41,الريسبي!$B$2:$B$1800,CE$1)</f>
        <v>0</v>
      </c>
      <c r="CF41" s="115" t="n">
        <f aca="false">SUMIFS(الريسبي!$C$2:$C$1800,الريسبي!$A$2:$A$1800,$A41,الريسبي!$B$2:$B$1800,CF$1)</f>
        <v>0</v>
      </c>
      <c r="CG41" s="115" t="n">
        <f aca="false">SUMIFS(الريسبي!$C$2:$C$1800,الريسبي!$A$2:$A$1800,$A41,الريسبي!$B$2:$B$1800,CG$1)</f>
        <v>0</v>
      </c>
      <c r="CH41" s="115" t="n">
        <f aca="false">SUMIFS(الريسبي!$C$2:$C$1800,الريسبي!$A$2:$A$1800,$A41,الريسبي!$B$2:$B$1800,CH$1)</f>
        <v>0</v>
      </c>
    </row>
    <row r="42" customFormat="false" ht="15" hidden="false" customHeight="false" outlineLevel="0" collapsed="false">
      <c r="A42" s="114" t="str">
        <f aca="false">المنيو!B42</f>
        <v>فطيرة مشلتت بالسمنة البلدي صغير</v>
      </c>
      <c r="B42" s="115" t="n">
        <f aca="false">SUMIFS(الريسبي!$C$2:$C$1800,الريسبي!$A$2:$A$1800,$A42,الريسبي!$B$2:$B$1800,B$1)</f>
        <v>0</v>
      </c>
      <c r="C42" s="115" t="n">
        <f aca="false">SUMIFS(الريسبي!$C$2:$C$1800,الريسبي!$A$2:$A$1800,$A42,الريسبي!$B$2:$B$1800,C$1)</f>
        <v>0</v>
      </c>
      <c r="D42" s="115" t="n">
        <f aca="false">SUMIFS(الريسبي!$C$2:$C$1800,الريسبي!$A$2:$A$1800,$A42,الريسبي!$B$2:$B$1800,D$1)</f>
        <v>0</v>
      </c>
      <c r="E42" s="115" t="n">
        <f aca="false">SUMIFS(الريسبي!$C$2:$C$1800,الريسبي!$A$2:$A$1800,$A42,الريسبي!$B$2:$B$1800,E$1)</f>
        <v>1</v>
      </c>
      <c r="F42" s="115" t="n">
        <f aca="false">SUMIFS(الريسبي!$C$2:$C$1800,الريسبي!$A$2:$A$1800,$A42,الريسبي!$B$2:$B$1800,F$1)</f>
        <v>0</v>
      </c>
      <c r="G42" s="115" t="n">
        <f aca="false">SUMIFS(الريسبي!$C$2:$C$1800,الريسبي!$A$2:$A$1800,$A42,الريسبي!$B$2:$B$1800,G$1)</f>
        <v>0</v>
      </c>
      <c r="H42" s="115" t="n">
        <f aca="false">SUMIFS(الريسبي!$C$2:$C$1800,الريسبي!$A$2:$A$1800,$A42,الريسبي!$B$2:$B$1800,H$1)</f>
        <v>0</v>
      </c>
      <c r="I42" s="115" t="n">
        <f aca="false">SUMIFS(الريسبي!$C$2:$C$1800,الريسبي!$A$2:$A$1800,$A42,الريسبي!$B$2:$B$1800,I$1)</f>
        <v>0</v>
      </c>
      <c r="J42" s="115" t="n">
        <f aca="false">SUMIFS(الريسبي!$C$2:$C$1800,الريسبي!$A$2:$A$1800,$A42,الريسبي!$B$2:$B$1800,J$1)</f>
        <v>0</v>
      </c>
      <c r="K42" s="115" t="n">
        <f aca="false">SUMIFS(الريسبي!$C$2:$C$1800,الريسبي!$A$2:$A$1800,$A42,الريسبي!$B$2:$B$1800,K$1)</f>
        <v>0</v>
      </c>
      <c r="L42" s="115" t="n">
        <f aca="false">SUMIFS(الريسبي!$C$2:$C$1800,الريسبي!$A$2:$A$1800,$A42,الريسبي!$B$2:$B$1800,L$1)</f>
        <v>0</v>
      </c>
      <c r="M42" s="115" t="n">
        <f aca="false">SUMIFS(الريسبي!$C$2:$C$1800,الريسبي!$A$2:$A$1800,$A42,الريسبي!$B$2:$B$1800,M$1)</f>
        <v>0</v>
      </c>
      <c r="N42" s="115" t="n">
        <f aca="false">SUMIFS(الريسبي!$C$2:$C$1800,الريسبي!$A$2:$A$1800,$A42,الريسبي!$B$2:$B$1800,N$1)</f>
        <v>0</v>
      </c>
      <c r="O42" s="115" t="n">
        <f aca="false">SUMIFS(الريسبي!$C$2:$C$1800,الريسبي!$A$2:$A$1800,$A42,الريسبي!$B$2:$B$1800,O$1)</f>
        <v>0</v>
      </c>
      <c r="P42" s="115" t="n">
        <f aca="false">SUMIFS(الريسبي!$C$2:$C$1800,الريسبي!$A$2:$A$1800,$A42,الريسبي!$B$2:$B$1800,P$1)</f>
        <v>0</v>
      </c>
      <c r="Q42" s="115" t="n">
        <f aca="false">SUMIFS(الريسبي!$C$2:$C$1800,الريسبي!$A$2:$A$1800,$A42,الريسبي!$B$2:$B$1800,Q$1)</f>
        <v>0</v>
      </c>
      <c r="R42" s="115" t="n">
        <f aca="false">SUMIFS(الريسبي!$C$2:$C$1800,الريسبي!$A$2:$A$1800,$A42,الريسبي!$B$2:$B$1800,R$1)</f>
        <v>0</v>
      </c>
      <c r="S42" s="115" t="n">
        <f aca="false">SUMIFS(الريسبي!$C$2:$C$1800,الريسبي!$A$2:$A$1800,$A42,الريسبي!$B$2:$B$1800,S$1)</f>
        <v>0</v>
      </c>
      <c r="T42" s="115" t="n">
        <f aca="false">SUMIFS(الريسبي!$C$2:$C$1800,الريسبي!$A$2:$A$1800,$A42,الريسبي!$B$2:$B$1800,T$1)</f>
        <v>0</v>
      </c>
      <c r="U42" s="115" t="n">
        <f aca="false">SUMIFS(الريسبي!$C$2:$C$1800,الريسبي!$A$2:$A$1800,$A42,الريسبي!$B$2:$B$1800,U$1)</f>
        <v>0</v>
      </c>
      <c r="V42" s="115" t="n">
        <f aca="false">SUMIFS(الريسبي!$C$2:$C$1800,الريسبي!$A$2:$A$1800,$A42,الريسبي!$B$2:$B$1800,V$1)</f>
        <v>0</v>
      </c>
      <c r="W42" s="115" t="n">
        <f aca="false">SUMIFS(الريسبي!$C$2:$C$1800,الريسبي!$A$2:$A$1800,$A42,الريسبي!$B$2:$B$1800,W$1)</f>
        <v>0</v>
      </c>
      <c r="X42" s="115" t="n">
        <f aca="false">SUMIFS(الريسبي!$C$2:$C$1800,الريسبي!$A$2:$A$1800,$A42,الريسبي!$B$2:$B$1800,X$1)</f>
        <v>0</v>
      </c>
      <c r="Y42" s="115" t="n">
        <f aca="false">SUMIFS(الريسبي!$C$2:$C$1800,الريسبي!$A$2:$A$1800,$A42,الريسبي!$B$2:$B$1800,Y$1)</f>
        <v>0</v>
      </c>
      <c r="Z42" s="115" t="n">
        <f aca="false">SUMIFS(الريسبي!$C$2:$C$1800,الريسبي!$A$2:$A$1800,$A42,الريسبي!$B$2:$B$1800,Z$1)</f>
        <v>0</v>
      </c>
      <c r="AA42" s="115" t="n">
        <f aca="false">SUMIFS(الريسبي!$C$2:$C$1800,الريسبي!$A$2:$A$1800,$A42,الريسبي!$B$2:$B$1800,AA$1)</f>
        <v>0</v>
      </c>
      <c r="AB42" s="115" t="n">
        <f aca="false">SUMIFS(الريسبي!$C$2:$C$1800,الريسبي!$A$2:$A$1800,$A42,الريسبي!$B$2:$B$1800,AB$1)</f>
        <v>0</v>
      </c>
      <c r="AC42" s="115" t="n">
        <f aca="false">SUMIFS(الريسبي!$C$2:$C$1800,الريسبي!$A$2:$A$1800,$A42,الريسبي!$B$2:$B$1800,AC$1)</f>
        <v>0</v>
      </c>
      <c r="AD42" s="115" t="n">
        <f aca="false">SUMIFS(الريسبي!$C$2:$C$1800,الريسبي!$A$2:$A$1800,$A42,الريسبي!$B$2:$B$1800,AD$1)</f>
        <v>0</v>
      </c>
      <c r="AE42" s="115" t="n">
        <f aca="false">SUMIFS(الريسبي!$C$2:$C$1800,الريسبي!$A$2:$A$1800,$A42,الريسبي!$B$2:$B$1800,AE$1)</f>
        <v>0</v>
      </c>
      <c r="AF42" s="115" t="n">
        <f aca="false">SUMIFS(الريسبي!$C$2:$C$1800,الريسبي!$A$2:$A$1800,$A42,الريسبي!$B$2:$B$1800,AF$1)</f>
        <v>1</v>
      </c>
      <c r="AG42" s="115" t="n">
        <f aca="false">SUMIFS(الريسبي!$C$2:$C$1800,الريسبي!$A$2:$A$1800,$A42,الريسبي!$B$2:$B$1800,AG$1)</f>
        <v>0</v>
      </c>
      <c r="AH42" s="115" t="n">
        <f aca="false">SUMIFS(الريسبي!$C$2:$C$1800,الريسبي!$A$2:$A$1800,$A42,الريسبي!$B$2:$B$1800,AH$1)</f>
        <v>0</v>
      </c>
      <c r="AI42" s="115" t="n">
        <f aca="false">SUMIFS(الريسبي!$C$2:$C$1800,الريسبي!$A$2:$A$1800,$A42,الريسبي!$B$2:$B$1800,AI$1)</f>
        <v>0</v>
      </c>
      <c r="AJ42" s="115" t="n">
        <f aca="false">SUMIFS(الريسبي!$C$2:$C$1800,الريسبي!$A$2:$A$1800,$A42,الريسبي!$B$2:$B$1800,AJ$1)</f>
        <v>0</v>
      </c>
      <c r="AK42" s="115" t="n">
        <f aca="false">SUMIFS(الريسبي!$C$2:$C$1800,الريسبي!$A$2:$A$1800,$A42,الريسبي!$B$2:$B$1800,AK$1)</f>
        <v>0</v>
      </c>
      <c r="AL42" s="115" t="n">
        <f aca="false">SUMIFS(الريسبي!$C$2:$C$1800,الريسبي!$A$2:$A$1800,$A42,الريسبي!$B$2:$B$1800,AL$1)</f>
        <v>0</v>
      </c>
      <c r="AM42" s="115"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15"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15" t="n">
        <f aca="false">SUMIFS(الريسبي!$C$2:$C$1800,الريسبي!$A$2:$A$1800,$A42,الريسبي!$B$2:$B$1800,AO$1)</f>
        <v>0</v>
      </c>
      <c r="AP42" s="115" t="n">
        <f aca="false">SUMIFS(الريسبي!$C$2:$C$1800,الريسبي!$A$2:$A$1800,$A42,الريسبي!$B$2:$B$1800,AP$1)</f>
        <v>0</v>
      </c>
      <c r="AQ42" s="115"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15" t="n">
        <f aca="false">SUMIFS(الريسبي!$C$2:$C$1800,الريسبي!$A$2:$A$1800,$A42,الريسبي!$B$2:$B$1800,AR$1)</f>
        <v>0.03</v>
      </c>
      <c r="AS42" s="115" t="n">
        <f aca="false">SUMIFS(الريسبي!$C$2:$C$1800,الريسبي!$A$2:$A$1800,$A42,الريسبي!$B$2:$B$1800,AS$1)</f>
        <v>0</v>
      </c>
      <c r="AT42" s="115" t="n">
        <f aca="false">SUMIFS(الريسبي!$C$2:$C$1800,الريسبي!$A$2:$A$1800,$A42,الريسبي!$B$2:$B$1800,AT$1)</f>
        <v>0</v>
      </c>
      <c r="AU42" s="115" t="n">
        <f aca="false">SUMIFS(الريسبي!$C$2:$C$1800,الريسبي!$A$2:$A$1800,$A42,الريسبي!$B$2:$B$1800,AU$1)</f>
        <v>1</v>
      </c>
      <c r="AV42" s="115" t="n">
        <f aca="false">SUMIFS(الريسبي!$C$2:$C$1800,الريسبي!$A$2:$A$1800,$A42,الريسبي!$B$2:$B$1800,AV$1)</f>
        <v>0</v>
      </c>
      <c r="AW42" s="115" t="n">
        <f aca="false">SUMIFS(الريسبي!$C$2:$C$1800,الريسبي!$A$2:$A$1800,$A42,الريسبي!$B$2:$B$1800,AW$1)</f>
        <v>0</v>
      </c>
      <c r="AX42" s="115" t="n">
        <f aca="false">SUMIFS(الريسبي!$C$2:$C$1800,الريسبي!$A$2:$A$1800,$A42,الريسبي!$B$2:$B$1800,AX$1)</f>
        <v>0</v>
      </c>
      <c r="AY42" s="115" t="n">
        <f aca="false">SUMIFS(الريسبي!$C$2:$C$1800,الريسبي!$A$2:$A$1800,$A42,الريسبي!$B$2:$B$1800,AY$1)</f>
        <v>0</v>
      </c>
      <c r="AZ42" s="115" t="n">
        <f aca="false">SUMIFS(الريسبي!$C$2:$C$1800,الريسبي!$A$2:$A$1800,$A42,الريسبي!$B$2:$B$1800,AZ$1)</f>
        <v>0</v>
      </c>
      <c r="BA42" s="115" t="n">
        <f aca="false">SUMIFS(الريسبي!$C$2:$C$1800,الريسبي!$A$2:$A$1800,$A42,الريسبي!$B$2:$B$1800,BA$1)</f>
        <v>0</v>
      </c>
      <c r="BB42" s="115" t="n">
        <f aca="false">SUMIFS(الريسبي!$C$2:$C$1800,الريسبي!$A$2:$A$1800,$A42,الريسبي!$B$2:$B$1800,BB$1)</f>
        <v>0</v>
      </c>
      <c r="BC42" s="115" t="n">
        <f aca="false">SUMIFS(الريسبي!$C$2:$C$1800,الريسبي!$A$2:$A$1800,$A42,الريسبي!$B$2:$B$1800,BC$1)</f>
        <v>0</v>
      </c>
      <c r="BD42" s="115" t="n">
        <f aca="false">SUMIFS(الريسبي!$C$2:$C$1800,الريسبي!$A$2:$A$1800,$A42,الريسبي!$B$2:$B$1800,BD$1)</f>
        <v>0</v>
      </c>
      <c r="BE42" s="115" t="n">
        <f aca="false">SUMIFS(الريسبي!$C$2:$C$1800,الريسبي!$A$2:$A$1800,$A42,الريسبي!$B$2:$B$1800,BE$1)</f>
        <v>4</v>
      </c>
      <c r="BF42" s="115" t="n">
        <f aca="false">SUMIFS(الريسبي!$C$2:$C$1800,الريسبي!$A$2:$A$1800,$A42,الريسبي!$B$2:$B$1800,BF$1)</f>
        <v>0</v>
      </c>
      <c r="BG42" s="115" t="n">
        <f aca="false">SUMIFS(الريسبي!$C$2:$C$1800,الريسبي!$A$2:$A$1800,$A42,الريسبي!$B$2:$B$1800,BG$1)</f>
        <v>0</v>
      </c>
      <c r="BH42" s="115" t="n">
        <f aca="false">SUMIFS(الريسبي!$C$2:$C$1800,الريسبي!$A$2:$A$1800,$A42,الريسبي!$B$2:$B$1800,BH$1)</f>
        <v>0</v>
      </c>
      <c r="BI42" s="115" t="n">
        <f aca="false">SUMIFS(الريسبي!$C$2:$C$1800,الريسبي!$A$2:$A$1800,$A42,الريسبي!$B$2:$B$1800,BI$1)</f>
        <v>0</v>
      </c>
      <c r="BJ42" s="115" t="n">
        <f aca="false">SUMIFS(الريسبي!$C$2:$C$1800,الريسبي!$A$2:$A$1800,$A42,الريسبي!$B$2:$B$1800,BJ$1)</f>
        <v>0</v>
      </c>
      <c r="BK42" s="115" t="n">
        <f aca="false">SUMIFS(الريسبي!$C$2:$C$1800,الريسبي!$A$2:$A$1800,$A42,الريسبي!$B$2:$B$1800,BK$1)</f>
        <v>1</v>
      </c>
      <c r="BL42" s="115" t="n">
        <f aca="false">SUMIFS(الريسبي!$C$2:$C$1800,الريسبي!$A$2:$A$1800,$A42,الريسبي!$B$2:$B$1800,BL$1)</f>
        <v>0</v>
      </c>
      <c r="BM42" s="115" t="n">
        <f aca="false">SUMIFS(الريسبي!$C$2:$C$1800,الريسبي!$A$2:$A$1800,$A42,الريسبي!$B$2:$B$1800,BM$1)</f>
        <v>0</v>
      </c>
      <c r="BN42" s="115" t="n">
        <f aca="false">SUMIFS(الريسبي!$C$2:$C$1800,الريسبي!$A$2:$A$1800,$A42,الريسبي!$B$2:$B$1800,BN$1)</f>
        <v>0</v>
      </c>
      <c r="BO42" s="115" t="n">
        <f aca="false">SUMIFS(الريسبي!$C$2:$C$1800,الريسبي!$A$2:$A$1800,$A42,الريسبي!$B$2:$B$1800,BO$1)</f>
        <v>0</v>
      </c>
      <c r="BP42" s="115" t="n">
        <f aca="false">SUMIFS(الريسبي!$C$2:$C$1800,الريسبي!$A$2:$A$1800,$A42,الريسبي!$B$2:$B$1800,BP$1)</f>
        <v>0</v>
      </c>
      <c r="BQ42" s="115"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15" t="n">
        <f aca="false">SUMIFS(الريسبي!$C$2:$C$1800,الريسبي!$A$2:$A$1800,$A42,الريسبي!$B$2:$B$1800,BR$1)</f>
        <v>0</v>
      </c>
      <c r="BS42" s="115" t="n">
        <f aca="false">SUMIFS(الريسبي!$C$2:$C$1800,الريسبي!$A$2:$A$1800,$A42,الريسبي!$B$2:$B$1800,BS$1)</f>
        <v>0</v>
      </c>
      <c r="BT42" s="115" t="n">
        <f aca="false">SUMIFS(الريسبي!$C$2:$C$1800,الريسبي!$A$2:$A$1800,$A42,الريسبي!$B$2:$B$1800,BT$1)</f>
        <v>0</v>
      </c>
      <c r="BU42" s="115"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15" t="n">
        <f aca="false">SUMIFS(الريسبي!$C$2:$C$1800,الريسبي!$A$2:$A$1800,$A42,الريسبي!$B$2:$B$1800,BV$1)</f>
        <v>0</v>
      </c>
      <c r="BW42" s="115" t="n">
        <f aca="false">SUMIFS(الريسبي!$C$2:$C$1800,الريسبي!$A$2:$A$1800,$A42,الريسبي!$B$2:$B$1800,BW$1)</f>
        <v>0</v>
      </c>
      <c r="BX42" s="115" t="n">
        <f aca="false">SUMIFS(الريسبي!$C$2:$C$1800,الريسبي!$A$2:$A$1800,$A42,الريسبي!$B$2:$B$1800,BX$1)</f>
        <v>0</v>
      </c>
      <c r="BY42" s="115" t="n">
        <f aca="false">SUMIFS(الريسبي!$C$2:$C$1800,الريسبي!$A$2:$A$1800,$A42,الريسبي!$B$2:$B$1800,BY$1)</f>
        <v>0</v>
      </c>
      <c r="BZ42" s="115" t="n">
        <f aca="false">SUMIFS(الريسبي!$C$2:$C$1800,الريسبي!$A$2:$A$1800,$A42,الريسبي!$B$2:$B$1800,BZ$1)</f>
        <v>0</v>
      </c>
      <c r="CA42" s="115" t="n">
        <f aca="false">SUMIFS(الريسبي!$C$2:$C$1800,الريسبي!$A$2:$A$1800,$A42,الريسبي!$B$2:$B$1800,CA$1)</f>
        <v>0</v>
      </c>
      <c r="CB42" s="115" t="n">
        <f aca="false">SUMIFS(الريسبي!$C$2:$C$1800,الريسبي!$A$2:$A$1800,$A42,الريسبي!$B$2:$B$1800,CB$1)</f>
        <v>0</v>
      </c>
      <c r="CC42" s="115" t="n">
        <f aca="false">SUMIFS(الريسبي!$C$2:$C$1800,الريسبي!$A$2:$A$1800,$A42,الريسبي!$B$2:$B$1800,CC$1)</f>
        <v>0</v>
      </c>
      <c r="CD42" s="115" t="n">
        <f aca="false">SUMIFS(الريسبي!$C$2:$C$1800,الريسبي!$A$2:$A$1800,$A42,الريسبي!$B$2:$B$1800,CD$1)</f>
        <v>0</v>
      </c>
      <c r="CE42" s="115" t="n">
        <f aca="false">SUMIFS(الريسبي!$C$2:$C$1800,الريسبي!$A$2:$A$1800,$A42,الريسبي!$B$2:$B$1800,CE$1)</f>
        <v>0</v>
      </c>
      <c r="CF42" s="115" t="n">
        <f aca="false">SUMIFS(الريسبي!$C$2:$C$1800,الريسبي!$A$2:$A$1800,$A42,الريسبي!$B$2:$B$1800,CF$1)</f>
        <v>0</v>
      </c>
      <c r="CG42" s="115" t="n">
        <f aca="false">SUMIFS(الريسبي!$C$2:$C$1800,الريسبي!$A$2:$A$1800,$A42,الريسبي!$B$2:$B$1800,CG$1)</f>
        <v>0</v>
      </c>
      <c r="CH42" s="115" t="n">
        <f aca="false">SUMIFS(الريسبي!$C$2:$C$1800,الريسبي!$A$2:$A$1800,$A42,الريسبي!$B$2:$B$1800,CH$1)</f>
        <v>0</v>
      </c>
    </row>
    <row r="43" customFormat="false" ht="15" hidden="false" customHeight="false" outlineLevel="0" collapsed="false">
      <c r="A43" s="114" t="str">
        <f aca="false">المنيو!B43</f>
        <v>فطيرة مشلتت بالسمنة البلدي وسط</v>
      </c>
      <c r="B43" s="115" t="n">
        <f aca="false">SUMIFS(الريسبي!$C$2:$C$1800,الريسبي!$A$2:$A$1800,$A43,الريسبي!$B$2:$B$1800,B$1)</f>
        <v>0</v>
      </c>
      <c r="C43" s="115" t="n">
        <f aca="false">SUMIFS(الريسبي!$C$2:$C$1800,الريسبي!$A$2:$A$1800,$A43,الريسبي!$B$2:$B$1800,C$1)</f>
        <v>0</v>
      </c>
      <c r="D43" s="115" t="n">
        <f aca="false">SUMIFS(الريسبي!$C$2:$C$1800,الريسبي!$A$2:$A$1800,$A43,الريسبي!$B$2:$B$1800,D$1)</f>
        <v>0</v>
      </c>
      <c r="E43" s="115" t="n">
        <f aca="false">SUMIFS(الريسبي!$C$2:$C$1800,الريسبي!$A$2:$A$1800,$A43,الريسبي!$B$2:$B$1800,E$1)</f>
        <v>1</v>
      </c>
      <c r="F43" s="115" t="n">
        <f aca="false">SUMIFS(الريسبي!$C$2:$C$1800,الريسبي!$A$2:$A$1800,$A43,الريسبي!$B$2:$B$1800,F$1)</f>
        <v>0</v>
      </c>
      <c r="G43" s="115" t="n">
        <f aca="false">SUMIFS(الريسبي!$C$2:$C$1800,الريسبي!$A$2:$A$1800,$A43,الريسبي!$B$2:$B$1800,G$1)</f>
        <v>0</v>
      </c>
      <c r="H43" s="115" t="n">
        <f aca="false">SUMIFS(الريسبي!$C$2:$C$1800,الريسبي!$A$2:$A$1800,$A43,الريسبي!$B$2:$B$1800,H$1)</f>
        <v>0</v>
      </c>
      <c r="I43" s="115" t="n">
        <f aca="false">SUMIFS(الريسبي!$C$2:$C$1800,الريسبي!$A$2:$A$1800,$A43,الريسبي!$B$2:$B$1800,I$1)</f>
        <v>0</v>
      </c>
      <c r="J43" s="115" t="n">
        <f aca="false">SUMIFS(الريسبي!$C$2:$C$1800,الريسبي!$A$2:$A$1800,$A43,الريسبي!$B$2:$B$1800,J$1)</f>
        <v>0</v>
      </c>
      <c r="K43" s="115" t="n">
        <f aca="false">SUMIFS(الريسبي!$C$2:$C$1800,الريسبي!$A$2:$A$1800,$A43,الريسبي!$B$2:$B$1800,K$1)</f>
        <v>0</v>
      </c>
      <c r="L43" s="115" t="n">
        <f aca="false">SUMIFS(الريسبي!$C$2:$C$1800,الريسبي!$A$2:$A$1800,$A43,الريسبي!$B$2:$B$1800,L$1)</f>
        <v>0</v>
      </c>
      <c r="M43" s="115" t="n">
        <f aca="false">SUMIFS(الريسبي!$C$2:$C$1800,الريسبي!$A$2:$A$1800,$A43,الريسبي!$B$2:$B$1800,M$1)</f>
        <v>0</v>
      </c>
      <c r="N43" s="115" t="n">
        <f aca="false">SUMIFS(الريسبي!$C$2:$C$1800,الريسبي!$A$2:$A$1800,$A43,الريسبي!$B$2:$B$1800,N$1)</f>
        <v>0</v>
      </c>
      <c r="O43" s="115" t="n">
        <f aca="false">SUMIFS(الريسبي!$C$2:$C$1800,الريسبي!$A$2:$A$1800,$A43,الريسبي!$B$2:$B$1800,O$1)</f>
        <v>0</v>
      </c>
      <c r="P43" s="115" t="n">
        <f aca="false">SUMIFS(الريسبي!$C$2:$C$1800,الريسبي!$A$2:$A$1800,$A43,الريسبي!$B$2:$B$1800,P$1)</f>
        <v>0</v>
      </c>
      <c r="Q43" s="115" t="n">
        <f aca="false">SUMIFS(الريسبي!$C$2:$C$1800,الريسبي!$A$2:$A$1800,$A43,الريسبي!$B$2:$B$1800,Q$1)</f>
        <v>0</v>
      </c>
      <c r="R43" s="115" t="n">
        <f aca="false">SUMIFS(الريسبي!$C$2:$C$1800,الريسبي!$A$2:$A$1800,$A43,الريسبي!$B$2:$B$1800,R$1)</f>
        <v>0</v>
      </c>
      <c r="S43" s="115" t="n">
        <f aca="false">SUMIFS(الريسبي!$C$2:$C$1800,الريسبي!$A$2:$A$1800,$A43,الريسبي!$B$2:$B$1800,S$1)</f>
        <v>0</v>
      </c>
      <c r="T43" s="115" t="n">
        <f aca="false">SUMIFS(الريسبي!$C$2:$C$1800,الريسبي!$A$2:$A$1800,$A43,الريسبي!$B$2:$B$1800,T$1)</f>
        <v>0</v>
      </c>
      <c r="U43" s="115" t="n">
        <f aca="false">SUMIFS(الريسبي!$C$2:$C$1800,الريسبي!$A$2:$A$1800,$A43,الريسبي!$B$2:$B$1800,U$1)</f>
        <v>0</v>
      </c>
      <c r="V43" s="115" t="n">
        <f aca="false">SUMIFS(الريسبي!$C$2:$C$1800,الريسبي!$A$2:$A$1800,$A43,الريسبي!$B$2:$B$1800,V$1)</f>
        <v>0</v>
      </c>
      <c r="W43" s="115" t="n">
        <f aca="false">SUMIFS(الريسبي!$C$2:$C$1800,الريسبي!$A$2:$A$1800,$A43,الريسبي!$B$2:$B$1800,W$1)</f>
        <v>0</v>
      </c>
      <c r="X43" s="115" t="n">
        <f aca="false">SUMIFS(الريسبي!$C$2:$C$1800,الريسبي!$A$2:$A$1800,$A43,الريسبي!$B$2:$B$1800,X$1)</f>
        <v>0</v>
      </c>
      <c r="Y43" s="115" t="n">
        <f aca="false">SUMIFS(الريسبي!$C$2:$C$1800,الريسبي!$A$2:$A$1800,$A43,الريسبي!$B$2:$B$1800,Y$1)</f>
        <v>0</v>
      </c>
      <c r="Z43" s="115" t="n">
        <f aca="false">SUMIFS(الريسبي!$C$2:$C$1800,الريسبي!$A$2:$A$1800,$A43,الريسبي!$B$2:$B$1800,Z$1)</f>
        <v>0</v>
      </c>
      <c r="AA43" s="115" t="n">
        <f aca="false">SUMIFS(الريسبي!$C$2:$C$1800,الريسبي!$A$2:$A$1800,$A43,الريسبي!$B$2:$B$1800,AA$1)</f>
        <v>0</v>
      </c>
      <c r="AB43" s="115" t="n">
        <f aca="false">SUMIFS(الريسبي!$C$2:$C$1800,الريسبي!$A$2:$A$1800,$A43,الريسبي!$B$2:$B$1800,AB$1)</f>
        <v>0</v>
      </c>
      <c r="AC43" s="115" t="n">
        <f aca="false">SUMIFS(الريسبي!$C$2:$C$1800,الريسبي!$A$2:$A$1800,$A43,الريسبي!$B$2:$B$1800,AC$1)</f>
        <v>0</v>
      </c>
      <c r="AD43" s="115" t="n">
        <f aca="false">SUMIFS(الريسبي!$C$2:$C$1800,الريسبي!$A$2:$A$1800,$A43,الريسبي!$B$2:$B$1800,AD$1)</f>
        <v>0</v>
      </c>
      <c r="AE43" s="115" t="n">
        <f aca="false">SUMIFS(الريسبي!$C$2:$C$1800,الريسبي!$A$2:$A$1800,$A43,الريسبي!$B$2:$B$1800,AE$1)</f>
        <v>0</v>
      </c>
      <c r="AF43" s="115" t="n">
        <f aca="false">SUMIFS(الريسبي!$C$2:$C$1800,الريسبي!$A$2:$A$1800,$A43,الريسبي!$B$2:$B$1800,AF$1)</f>
        <v>1</v>
      </c>
      <c r="AG43" s="115" t="n">
        <f aca="false">SUMIFS(الريسبي!$C$2:$C$1800,الريسبي!$A$2:$A$1800,$A43,الريسبي!$B$2:$B$1800,AG$1)</f>
        <v>0</v>
      </c>
      <c r="AH43" s="115" t="n">
        <f aca="false">SUMIFS(الريسبي!$C$2:$C$1800,الريسبي!$A$2:$A$1800,$A43,الريسبي!$B$2:$B$1800,AH$1)</f>
        <v>0</v>
      </c>
      <c r="AI43" s="115" t="n">
        <f aca="false">SUMIFS(الريسبي!$C$2:$C$1800,الريسبي!$A$2:$A$1800,$A43,الريسبي!$B$2:$B$1800,AI$1)</f>
        <v>0</v>
      </c>
      <c r="AJ43" s="115" t="n">
        <f aca="false">SUMIFS(الريسبي!$C$2:$C$1800,الريسبي!$A$2:$A$1800,$A43,الريسبي!$B$2:$B$1800,AJ$1)</f>
        <v>0</v>
      </c>
      <c r="AK43" s="115" t="n">
        <f aca="false">SUMIFS(الريسبي!$C$2:$C$1800,الريسبي!$A$2:$A$1800,$A43,الريسبي!$B$2:$B$1800,AK$1)</f>
        <v>0</v>
      </c>
      <c r="AL43" s="115" t="n">
        <f aca="false">SUMIFS(الريسبي!$C$2:$C$1800,الريسبي!$A$2:$A$1800,$A43,الريسبي!$B$2:$B$1800,AL$1)</f>
        <v>0</v>
      </c>
      <c r="AM43" s="115"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15"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15" t="n">
        <f aca="false">SUMIFS(الريسبي!$C$2:$C$1800,الريسبي!$A$2:$A$1800,$A43,الريسبي!$B$2:$B$1800,AO$1)</f>
        <v>0</v>
      </c>
      <c r="AP43" s="115" t="n">
        <f aca="false">SUMIFS(الريسبي!$C$2:$C$1800,الريسبي!$A$2:$A$1800,$A43,الريسبي!$B$2:$B$1800,AP$1)</f>
        <v>0</v>
      </c>
      <c r="AQ43" s="115"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15" t="n">
        <f aca="false">SUMIFS(الريسبي!$C$2:$C$1800,الريسبي!$A$2:$A$1800,$A43,الريسبي!$B$2:$B$1800,AR$1)</f>
        <v>0.05</v>
      </c>
      <c r="AS43" s="115" t="n">
        <f aca="false">SUMIFS(الريسبي!$C$2:$C$1800,الريسبي!$A$2:$A$1800,$A43,الريسبي!$B$2:$B$1800,AS$1)</f>
        <v>0</v>
      </c>
      <c r="AT43" s="115" t="n">
        <f aca="false">SUMIFS(الريسبي!$C$2:$C$1800,الريسبي!$A$2:$A$1800,$A43,الريسبي!$B$2:$B$1800,AT$1)</f>
        <v>0</v>
      </c>
      <c r="AU43" s="115" t="n">
        <f aca="false">SUMIFS(الريسبي!$C$2:$C$1800,الريسبي!$A$2:$A$1800,$A43,الريسبي!$B$2:$B$1800,AU$1)</f>
        <v>1</v>
      </c>
      <c r="AV43" s="115" t="n">
        <f aca="false">SUMIFS(الريسبي!$C$2:$C$1800,الريسبي!$A$2:$A$1800,$A43,الريسبي!$B$2:$B$1800,AV$1)</f>
        <v>0</v>
      </c>
      <c r="AW43" s="115" t="n">
        <f aca="false">SUMIFS(الريسبي!$C$2:$C$1800,الريسبي!$A$2:$A$1800,$A43,الريسبي!$B$2:$B$1800,AW$1)</f>
        <v>0</v>
      </c>
      <c r="AX43" s="115" t="n">
        <f aca="false">SUMIFS(الريسبي!$C$2:$C$1800,الريسبي!$A$2:$A$1800,$A43,الريسبي!$B$2:$B$1800,AX$1)</f>
        <v>0</v>
      </c>
      <c r="AY43" s="115" t="n">
        <f aca="false">SUMIFS(الريسبي!$C$2:$C$1800,الريسبي!$A$2:$A$1800,$A43,الريسبي!$B$2:$B$1800,AY$1)</f>
        <v>0</v>
      </c>
      <c r="AZ43" s="115" t="n">
        <f aca="false">SUMIFS(الريسبي!$C$2:$C$1800,الريسبي!$A$2:$A$1800,$A43,الريسبي!$B$2:$B$1800,AZ$1)</f>
        <v>0</v>
      </c>
      <c r="BA43" s="115" t="n">
        <f aca="false">SUMIFS(الريسبي!$C$2:$C$1800,الريسبي!$A$2:$A$1800,$A43,الريسبي!$B$2:$B$1800,BA$1)</f>
        <v>0</v>
      </c>
      <c r="BB43" s="115" t="n">
        <f aca="false">SUMIFS(الريسبي!$C$2:$C$1800,الريسبي!$A$2:$A$1800,$A43,الريسبي!$B$2:$B$1800,BB$1)</f>
        <v>0</v>
      </c>
      <c r="BC43" s="115" t="n">
        <f aca="false">SUMIFS(الريسبي!$C$2:$C$1800,الريسبي!$A$2:$A$1800,$A43,الريسبي!$B$2:$B$1800,BC$1)</f>
        <v>0</v>
      </c>
      <c r="BD43" s="115" t="n">
        <f aca="false">SUMIFS(الريسبي!$C$2:$C$1800,الريسبي!$A$2:$A$1800,$A43,الريسبي!$B$2:$B$1800,BD$1)</f>
        <v>0</v>
      </c>
      <c r="BE43" s="115" t="n">
        <f aca="false">SUMIFS(الريسبي!$C$2:$C$1800,الريسبي!$A$2:$A$1800,$A43,الريسبي!$B$2:$B$1800,BE$1)</f>
        <v>6</v>
      </c>
      <c r="BF43" s="115" t="n">
        <f aca="false">SUMIFS(الريسبي!$C$2:$C$1800,الريسبي!$A$2:$A$1800,$A43,الريسبي!$B$2:$B$1800,BF$1)</f>
        <v>0</v>
      </c>
      <c r="BG43" s="115" t="n">
        <f aca="false">SUMIFS(الريسبي!$C$2:$C$1800,الريسبي!$A$2:$A$1800,$A43,الريسبي!$B$2:$B$1800,BG$1)</f>
        <v>0</v>
      </c>
      <c r="BH43" s="115" t="n">
        <f aca="false">SUMIFS(الريسبي!$C$2:$C$1800,الريسبي!$A$2:$A$1800,$A43,الريسبي!$B$2:$B$1800,BH$1)</f>
        <v>0</v>
      </c>
      <c r="BI43" s="115" t="n">
        <f aca="false">SUMIFS(الريسبي!$C$2:$C$1800,الريسبي!$A$2:$A$1800,$A43,الريسبي!$B$2:$B$1800,BI$1)</f>
        <v>0</v>
      </c>
      <c r="BJ43" s="115" t="n">
        <f aca="false">SUMIFS(الريسبي!$C$2:$C$1800,الريسبي!$A$2:$A$1800,$A43,الريسبي!$B$2:$B$1800,BJ$1)</f>
        <v>0</v>
      </c>
      <c r="BK43" s="115" t="n">
        <f aca="false">SUMIFS(الريسبي!$C$2:$C$1800,الريسبي!$A$2:$A$1800,$A43,الريسبي!$B$2:$B$1800,BK$1)</f>
        <v>1</v>
      </c>
      <c r="BL43" s="115" t="n">
        <f aca="false">SUMIFS(الريسبي!$C$2:$C$1800,الريسبي!$A$2:$A$1800,$A43,الريسبي!$B$2:$B$1800,BL$1)</f>
        <v>0</v>
      </c>
      <c r="BM43" s="115" t="n">
        <f aca="false">SUMIFS(الريسبي!$C$2:$C$1800,الريسبي!$A$2:$A$1800,$A43,الريسبي!$B$2:$B$1800,BM$1)</f>
        <v>0</v>
      </c>
      <c r="BN43" s="115" t="n">
        <f aca="false">SUMIFS(الريسبي!$C$2:$C$1800,الريسبي!$A$2:$A$1800,$A43,الريسبي!$B$2:$B$1800,BN$1)</f>
        <v>0</v>
      </c>
      <c r="BO43" s="115" t="n">
        <f aca="false">SUMIFS(الريسبي!$C$2:$C$1800,الريسبي!$A$2:$A$1800,$A43,الريسبي!$B$2:$B$1800,BO$1)</f>
        <v>0</v>
      </c>
      <c r="BP43" s="115" t="n">
        <f aca="false">SUMIFS(الريسبي!$C$2:$C$1800,الريسبي!$A$2:$A$1800,$A43,الريسبي!$B$2:$B$1800,BP$1)</f>
        <v>0</v>
      </c>
      <c r="BQ43" s="115"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15" t="n">
        <f aca="false">SUMIFS(الريسبي!$C$2:$C$1800,الريسبي!$A$2:$A$1800,$A43,الريسبي!$B$2:$B$1800,BR$1)</f>
        <v>0</v>
      </c>
      <c r="BS43" s="115" t="n">
        <f aca="false">SUMIFS(الريسبي!$C$2:$C$1800,الريسبي!$A$2:$A$1800,$A43,الريسبي!$B$2:$B$1800,BS$1)</f>
        <v>0</v>
      </c>
      <c r="BT43" s="115" t="n">
        <f aca="false">SUMIFS(الريسبي!$C$2:$C$1800,الريسبي!$A$2:$A$1800,$A43,الريسبي!$B$2:$B$1800,BT$1)</f>
        <v>0</v>
      </c>
      <c r="BU43" s="115"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15" t="n">
        <f aca="false">SUMIFS(الريسبي!$C$2:$C$1800,الريسبي!$A$2:$A$1800,$A43,الريسبي!$B$2:$B$1800,BV$1)</f>
        <v>0</v>
      </c>
      <c r="BW43" s="115" t="n">
        <f aca="false">SUMIFS(الريسبي!$C$2:$C$1800,الريسبي!$A$2:$A$1800,$A43,الريسبي!$B$2:$B$1800,BW$1)</f>
        <v>0</v>
      </c>
      <c r="BX43" s="115" t="n">
        <f aca="false">SUMIFS(الريسبي!$C$2:$C$1800,الريسبي!$A$2:$A$1800,$A43,الريسبي!$B$2:$B$1800,BX$1)</f>
        <v>0</v>
      </c>
      <c r="BY43" s="115" t="n">
        <f aca="false">SUMIFS(الريسبي!$C$2:$C$1800,الريسبي!$A$2:$A$1800,$A43,الريسبي!$B$2:$B$1800,BY$1)</f>
        <v>0</v>
      </c>
      <c r="BZ43" s="115" t="n">
        <f aca="false">SUMIFS(الريسبي!$C$2:$C$1800,الريسبي!$A$2:$A$1800,$A43,الريسبي!$B$2:$B$1800,BZ$1)</f>
        <v>0</v>
      </c>
      <c r="CA43" s="115" t="n">
        <f aca="false">SUMIFS(الريسبي!$C$2:$C$1800,الريسبي!$A$2:$A$1800,$A43,الريسبي!$B$2:$B$1800,CA$1)</f>
        <v>0</v>
      </c>
      <c r="CB43" s="115" t="n">
        <f aca="false">SUMIFS(الريسبي!$C$2:$C$1800,الريسبي!$A$2:$A$1800,$A43,الريسبي!$B$2:$B$1800,CB$1)</f>
        <v>0</v>
      </c>
      <c r="CC43" s="115" t="n">
        <f aca="false">SUMIFS(الريسبي!$C$2:$C$1800,الريسبي!$A$2:$A$1800,$A43,الريسبي!$B$2:$B$1800,CC$1)</f>
        <v>0</v>
      </c>
      <c r="CD43" s="115" t="n">
        <f aca="false">SUMIFS(الريسبي!$C$2:$C$1800,الريسبي!$A$2:$A$1800,$A43,الريسبي!$B$2:$B$1800,CD$1)</f>
        <v>0</v>
      </c>
      <c r="CE43" s="115" t="n">
        <f aca="false">SUMIFS(الريسبي!$C$2:$C$1800,الريسبي!$A$2:$A$1800,$A43,الريسبي!$B$2:$B$1800,CE$1)</f>
        <v>0</v>
      </c>
      <c r="CF43" s="115" t="n">
        <f aca="false">SUMIFS(الريسبي!$C$2:$C$1800,الريسبي!$A$2:$A$1800,$A43,الريسبي!$B$2:$B$1800,CF$1)</f>
        <v>0</v>
      </c>
      <c r="CG43" s="115" t="n">
        <f aca="false">SUMIFS(الريسبي!$C$2:$C$1800,الريسبي!$A$2:$A$1800,$A43,الريسبي!$B$2:$B$1800,CG$1)</f>
        <v>0</v>
      </c>
      <c r="CH43" s="115" t="n">
        <f aca="false">SUMIFS(الريسبي!$C$2:$C$1800,الريسبي!$A$2:$A$1800,$A43,الريسبي!$B$2:$B$1800,CH$1)</f>
        <v>0</v>
      </c>
    </row>
    <row r="44" customFormat="false" ht="15" hidden="false" customHeight="false" outlineLevel="0" collapsed="false">
      <c r="A44" s="114" t="str">
        <f aca="false">المنيو!B44</f>
        <v>فطيرة مشلتت بالسمنة البلدي كبير</v>
      </c>
      <c r="B44" s="115" t="n">
        <f aca="false">SUMIFS(الريسبي!$C$2:$C$1800,الريسبي!$A$2:$A$1800,$A44,الريسبي!$B$2:$B$1800,B$1)</f>
        <v>0</v>
      </c>
      <c r="C44" s="115" t="n">
        <f aca="false">SUMIFS(الريسبي!$C$2:$C$1800,الريسبي!$A$2:$A$1800,$A44,الريسبي!$B$2:$B$1800,C$1)</f>
        <v>0</v>
      </c>
      <c r="D44" s="115" t="n">
        <f aca="false">SUMIFS(الريسبي!$C$2:$C$1800,الريسبي!$A$2:$A$1800,$A44,الريسبي!$B$2:$B$1800,D$1)</f>
        <v>0</v>
      </c>
      <c r="E44" s="115" t="n">
        <f aca="false">SUMIFS(الريسبي!$C$2:$C$1800,الريسبي!$A$2:$A$1800,$A44,الريسبي!$B$2:$B$1800,E$1)</f>
        <v>1</v>
      </c>
      <c r="F44" s="115" t="n">
        <f aca="false">SUMIFS(الريسبي!$C$2:$C$1800,الريسبي!$A$2:$A$1800,$A44,الريسبي!$B$2:$B$1800,F$1)</f>
        <v>0</v>
      </c>
      <c r="G44" s="115" t="n">
        <f aca="false">SUMIFS(الريسبي!$C$2:$C$1800,الريسبي!$A$2:$A$1800,$A44,الريسبي!$B$2:$B$1800,G$1)</f>
        <v>0</v>
      </c>
      <c r="H44" s="115" t="n">
        <f aca="false">SUMIFS(الريسبي!$C$2:$C$1800,الريسبي!$A$2:$A$1800,$A44,الريسبي!$B$2:$B$1800,H$1)</f>
        <v>0</v>
      </c>
      <c r="I44" s="115" t="n">
        <f aca="false">SUMIFS(الريسبي!$C$2:$C$1800,الريسبي!$A$2:$A$1800,$A44,الريسبي!$B$2:$B$1800,I$1)</f>
        <v>0</v>
      </c>
      <c r="J44" s="115" t="n">
        <f aca="false">SUMIFS(الريسبي!$C$2:$C$1800,الريسبي!$A$2:$A$1800,$A44,الريسبي!$B$2:$B$1800,J$1)</f>
        <v>0</v>
      </c>
      <c r="K44" s="115" t="n">
        <f aca="false">SUMIFS(الريسبي!$C$2:$C$1800,الريسبي!$A$2:$A$1800,$A44,الريسبي!$B$2:$B$1800,K$1)</f>
        <v>0</v>
      </c>
      <c r="L44" s="115" t="n">
        <f aca="false">SUMIFS(الريسبي!$C$2:$C$1800,الريسبي!$A$2:$A$1800,$A44,الريسبي!$B$2:$B$1800,L$1)</f>
        <v>0</v>
      </c>
      <c r="M44" s="115" t="n">
        <f aca="false">SUMIFS(الريسبي!$C$2:$C$1800,الريسبي!$A$2:$A$1800,$A44,الريسبي!$B$2:$B$1800,M$1)</f>
        <v>0</v>
      </c>
      <c r="N44" s="115" t="n">
        <f aca="false">SUMIFS(الريسبي!$C$2:$C$1800,الريسبي!$A$2:$A$1800,$A44,الريسبي!$B$2:$B$1800,N$1)</f>
        <v>0</v>
      </c>
      <c r="O44" s="115" t="n">
        <f aca="false">SUMIFS(الريسبي!$C$2:$C$1800,الريسبي!$A$2:$A$1800,$A44,الريسبي!$B$2:$B$1800,O$1)</f>
        <v>0</v>
      </c>
      <c r="P44" s="115" t="n">
        <f aca="false">SUMIFS(الريسبي!$C$2:$C$1800,الريسبي!$A$2:$A$1800,$A44,الريسبي!$B$2:$B$1800,P$1)</f>
        <v>0</v>
      </c>
      <c r="Q44" s="115" t="n">
        <f aca="false">SUMIFS(الريسبي!$C$2:$C$1800,الريسبي!$A$2:$A$1800,$A44,الريسبي!$B$2:$B$1800,Q$1)</f>
        <v>0</v>
      </c>
      <c r="R44" s="115" t="n">
        <f aca="false">SUMIFS(الريسبي!$C$2:$C$1800,الريسبي!$A$2:$A$1800,$A44,الريسبي!$B$2:$B$1800,R$1)</f>
        <v>0</v>
      </c>
      <c r="S44" s="115" t="n">
        <f aca="false">SUMIFS(الريسبي!$C$2:$C$1800,الريسبي!$A$2:$A$1800,$A44,الريسبي!$B$2:$B$1800,S$1)</f>
        <v>0</v>
      </c>
      <c r="T44" s="115" t="n">
        <f aca="false">SUMIFS(الريسبي!$C$2:$C$1800,الريسبي!$A$2:$A$1800,$A44,الريسبي!$B$2:$B$1800,T$1)</f>
        <v>0</v>
      </c>
      <c r="U44" s="115" t="n">
        <f aca="false">SUMIFS(الريسبي!$C$2:$C$1800,الريسبي!$A$2:$A$1800,$A44,الريسبي!$B$2:$B$1800,U$1)</f>
        <v>0</v>
      </c>
      <c r="V44" s="115" t="n">
        <f aca="false">SUMIFS(الريسبي!$C$2:$C$1800,الريسبي!$A$2:$A$1800,$A44,الريسبي!$B$2:$B$1800,V$1)</f>
        <v>0</v>
      </c>
      <c r="W44" s="115" t="n">
        <f aca="false">SUMIFS(الريسبي!$C$2:$C$1800,الريسبي!$A$2:$A$1800,$A44,الريسبي!$B$2:$B$1800,W$1)</f>
        <v>0</v>
      </c>
      <c r="X44" s="115" t="n">
        <f aca="false">SUMIFS(الريسبي!$C$2:$C$1800,الريسبي!$A$2:$A$1800,$A44,الريسبي!$B$2:$B$1800,X$1)</f>
        <v>0</v>
      </c>
      <c r="Y44" s="115" t="n">
        <f aca="false">SUMIFS(الريسبي!$C$2:$C$1800,الريسبي!$A$2:$A$1800,$A44,الريسبي!$B$2:$B$1800,Y$1)</f>
        <v>0</v>
      </c>
      <c r="Z44" s="115" t="n">
        <f aca="false">SUMIFS(الريسبي!$C$2:$C$1800,الريسبي!$A$2:$A$1800,$A44,الريسبي!$B$2:$B$1800,Z$1)</f>
        <v>0</v>
      </c>
      <c r="AA44" s="115" t="n">
        <f aca="false">SUMIFS(الريسبي!$C$2:$C$1800,الريسبي!$A$2:$A$1800,$A44,الريسبي!$B$2:$B$1800,AA$1)</f>
        <v>0</v>
      </c>
      <c r="AB44" s="115" t="n">
        <f aca="false">SUMIFS(الريسبي!$C$2:$C$1800,الريسبي!$A$2:$A$1800,$A44,الريسبي!$B$2:$B$1800,AB$1)</f>
        <v>0</v>
      </c>
      <c r="AC44" s="115" t="n">
        <f aca="false">SUMIFS(الريسبي!$C$2:$C$1800,الريسبي!$A$2:$A$1800,$A44,الريسبي!$B$2:$B$1800,AC$1)</f>
        <v>0</v>
      </c>
      <c r="AD44" s="115" t="n">
        <f aca="false">SUMIFS(الريسبي!$C$2:$C$1800,الريسبي!$A$2:$A$1800,$A44,الريسبي!$B$2:$B$1800,AD$1)</f>
        <v>0</v>
      </c>
      <c r="AE44" s="115" t="n">
        <f aca="false">SUMIFS(الريسبي!$C$2:$C$1800,الريسبي!$A$2:$A$1800,$A44,الريسبي!$B$2:$B$1800,AE$1)</f>
        <v>0</v>
      </c>
      <c r="AF44" s="115" t="n">
        <f aca="false">SUMIFS(الريسبي!$C$2:$C$1800,الريسبي!$A$2:$A$1800,$A44,الريسبي!$B$2:$B$1800,AF$1)</f>
        <v>1</v>
      </c>
      <c r="AG44" s="115" t="n">
        <f aca="false">SUMIFS(الريسبي!$C$2:$C$1800,الريسبي!$A$2:$A$1800,$A44,الريسبي!$B$2:$B$1800,AG$1)</f>
        <v>0</v>
      </c>
      <c r="AH44" s="115" t="n">
        <f aca="false">SUMIFS(الريسبي!$C$2:$C$1800,الريسبي!$A$2:$A$1800,$A44,الريسبي!$B$2:$B$1800,AH$1)</f>
        <v>0</v>
      </c>
      <c r="AI44" s="115" t="n">
        <f aca="false">SUMIFS(الريسبي!$C$2:$C$1800,الريسبي!$A$2:$A$1800,$A44,الريسبي!$B$2:$B$1800,AI$1)</f>
        <v>0</v>
      </c>
      <c r="AJ44" s="115" t="n">
        <f aca="false">SUMIFS(الريسبي!$C$2:$C$1800,الريسبي!$A$2:$A$1800,$A44,الريسبي!$B$2:$B$1800,AJ$1)</f>
        <v>0</v>
      </c>
      <c r="AK44" s="115" t="n">
        <f aca="false">SUMIFS(الريسبي!$C$2:$C$1800,الريسبي!$A$2:$A$1800,$A44,الريسبي!$B$2:$B$1800,AK$1)</f>
        <v>0</v>
      </c>
      <c r="AL44" s="115" t="n">
        <f aca="false">SUMIFS(الريسبي!$C$2:$C$1800,الريسبي!$A$2:$A$1800,$A44,الريسبي!$B$2:$B$1800,AL$1)</f>
        <v>0</v>
      </c>
      <c r="AM44" s="115"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15"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15" t="n">
        <f aca="false">SUMIFS(الريسبي!$C$2:$C$1800,الريسبي!$A$2:$A$1800,$A44,الريسبي!$B$2:$B$1800,AO$1)</f>
        <v>0</v>
      </c>
      <c r="AP44" s="115" t="n">
        <f aca="false">SUMIFS(الريسبي!$C$2:$C$1800,الريسبي!$A$2:$A$1800,$A44,الريسبي!$B$2:$B$1800,AP$1)</f>
        <v>0</v>
      </c>
      <c r="AQ44" s="115"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15" t="n">
        <f aca="false">SUMIFS(الريسبي!$C$2:$C$1800,الريسبي!$A$2:$A$1800,$A44,الريسبي!$B$2:$B$1800,AR$1)</f>
        <v>0.07</v>
      </c>
      <c r="AS44" s="115" t="n">
        <f aca="false">SUMIFS(الريسبي!$C$2:$C$1800,الريسبي!$A$2:$A$1800,$A44,الريسبي!$B$2:$B$1800,AS$1)</f>
        <v>0</v>
      </c>
      <c r="AT44" s="115" t="n">
        <f aca="false">SUMIFS(الريسبي!$C$2:$C$1800,الريسبي!$A$2:$A$1800,$A44,الريسبي!$B$2:$B$1800,AT$1)</f>
        <v>0</v>
      </c>
      <c r="AU44" s="115" t="n">
        <f aca="false">SUMIFS(الريسبي!$C$2:$C$1800,الريسبي!$A$2:$A$1800,$A44,الريسبي!$B$2:$B$1800,AU$1)</f>
        <v>1</v>
      </c>
      <c r="AV44" s="115" t="n">
        <f aca="false">SUMIFS(الريسبي!$C$2:$C$1800,الريسبي!$A$2:$A$1800,$A44,الريسبي!$B$2:$B$1800,AV$1)</f>
        <v>0</v>
      </c>
      <c r="AW44" s="115" t="n">
        <f aca="false">SUMIFS(الريسبي!$C$2:$C$1800,الريسبي!$A$2:$A$1800,$A44,الريسبي!$B$2:$B$1800,AW$1)</f>
        <v>0</v>
      </c>
      <c r="AX44" s="115" t="n">
        <f aca="false">SUMIFS(الريسبي!$C$2:$C$1800,الريسبي!$A$2:$A$1800,$A44,الريسبي!$B$2:$B$1800,AX$1)</f>
        <v>0</v>
      </c>
      <c r="AY44" s="115" t="n">
        <f aca="false">SUMIFS(الريسبي!$C$2:$C$1800,الريسبي!$A$2:$A$1800,$A44,الريسبي!$B$2:$B$1800,AY$1)</f>
        <v>0</v>
      </c>
      <c r="AZ44" s="115" t="n">
        <f aca="false">SUMIFS(الريسبي!$C$2:$C$1800,الريسبي!$A$2:$A$1800,$A44,الريسبي!$B$2:$B$1800,AZ$1)</f>
        <v>0</v>
      </c>
      <c r="BA44" s="115" t="n">
        <f aca="false">SUMIFS(الريسبي!$C$2:$C$1800,الريسبي!$A$2:$A$1800,$A44,الريسبي!$B$2:$B$1800,BA$1)</f>
        <v>0</v>
      </c>
      <c r="BB44" s="115" t="n">
        <f aca="false">SUMIFS(الريسبي!$C$2:$C$1800,الريسبي!$A$2:$A$1800,$A44,الريسبي!$B$2:$B$1800,BB$1)</f>
        <v>0</v>
      </c>
      <c r="BC44" s="115" t="n">
        <f aca="false">SUMIFS(الريسبي!$C$2:$C$1800,الريسبي!$A$2:$A$1800,$A44,الريسبي!$B$2:$B$1800,BC$1)</f>
        <v>0</v>
      </c>
      <c r="BD44" s="115" t="n">
        <f aca="false">SUMIFS(الريسبي!$C$2:$C$1800,الريسبي!$A$2:$A$1800,$A44,الريسبي!$B$2:$B$1800,BD$1)</f>
        <v>0</v>
      </c>
      <c r="BE44" s="115" t="n">
        <f aca="false">SUMIFS(الريسبي!$C$2:$C$1800,الريسبي!$A$2:$A$1800,$A44,الريسبي!$B$2:$B$1800,BE$1)</f>
        <v>9</v>
      </c>
      <c r="BF44" s="115" t="n">
        <f aca="false">SUMIFS(الريسبي!$C$2:$C$1800,الريسبي!$A$2:$A$1800,$A44,الريسبي!$B$2:$B$1800,BF$1)</f>
        <v>0</v>
      </c>
      <c r="BG44" s="115" t="n">
        <f aca="false">SUMIFS(الريسبي!$C$2:$C$1800,الريسبي!$A$2:$A$1800,$A44,الريسبي!$B$2:$B$1800,BG$1)</f>
        <v>0</v>
      </c>
      <c r="BH44" s="115" t="n">
        <f aca="false">SUMIFS(الريسبي!$C$2:$C$1800,الريسبي!$A$2:$A$1800,$A44,الريسبي!$B$2:$B$1800,BH$1)</f>
        <v>0</v>
      </c>
      <c r="BI44" s="115" t="n">
        <f aca="false">SUMIFS(الريسبي!$C$2:$C$1800,الريسبي!$A$2:$A$1800,$A44,الريسبي!$B$2:$B$1800,BI$1)</f>
        <v>0</v>
      </c>
      <c r="BJ44" s="115" t="n">
        <f aca="false">SUMIFS(الريسبي!$C$2:$C$1800,الريسبي!$A$2:$A$1800,$A44,الريسبي!$B$2:$B$1800,BJ$1)</f>
        <v>0</v>
      </c>
      <c r="BK44" s="115" t="n">
        <f aca="false">SUMIFS(الريسبي!$C$2:$C$1800,الريسبي!$A$2:$A$1800,$A44,الريسبي!$B$2:$B$1800,BK$1)</f>
        <v>1</v>
      </c>
      <c r="BL44" s="115" t="n">
        <f aca="false">SUMIFS(الريسبي!$C$2:$C$1800,الريسبي!$A$2:$A$1800,$A44,الريسبي!$B$2:$B$1800,BL$1)</f>
        <v>0</v>
      </c>
      <c r="BM44" s="115" t="n">
        <f aca="false">SUMIFS(الريسبي!$C$2:$C$1800,الريسبي!$A$2:$A$1800,$A44,الريسبي!$B$2:$B$1800,BM$1)</f>
        <v>0</v>
      </c>
      <c r="BN44" s="115" t="n">
        <f aca="false">SUMIFS(الريسبي!$C$2:$C$1800,الريسبي!$A$2:$A$1800,$A44,الريسبي!$B$2:$B$1800,BN$1)</f>
        <v>0</v>
      </c>
      <c r="BO44" s="115" t="n">
        <f aca="false">SUMIFS(الريسبي!$C$2:$C$1800,الريسبي!$A$2:$A$1800,$A44,الريسبي!$B$2:$B$1800,BO$1)</f>
        <v>0</v>
      </c>
      <c r="BP44" s="115" t="n">
        <f aca="false">SUMIFS(الريسبي!$C$2:$C$1800,الريسبي!$A$2:$A$1800,$A44,الريسبي!$B$2:$B$1800,BP$1)</f>
        <v>0</v>
      </c>
      <c r="BQ44" s="115"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15" t="n">
        <f aca="false">SUMIFS(الريسبي!$C$2:$C$1800,الريسبي!$A$2:$A$1800,$A44,الريسبي!$B$2:$B$1800,BR$1)</f>
        <v>0</v>
      </c>
      <c r="BS44" s="115" t="n">
        <f aca="false">SUMIFS(الريسبي!$C$2:$C$1800,الريسبي!$A$2:$A$1800,$A44,الريسبي!$B$2:$B$1800,BS$1)</f>
        <v>0</v>
      </c>
      <c r="BT44" s="115" t="n">
        <f aca="false">SUMIFS(الريسبي!$C$2:$C$1800,الريسبي!$A$2:$A$1800,$A44,الريسبي!$B$2:$B$1800,BT$1)</f>
        <v>0</v>
      </c>
      <c r="BU44" s="115"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15" t="n">
        <f aca="false">SUMIFS(الريسبي!$C$2:$C$1800,الريسبي!$A$2:$A$1800,$A44,الريسبي!$B$2:$B$1800,BV$1)</f>
        <v>0</v>
      </c>
      <c r="BW44" s="115" t="n">
        <f aca="false">SUMIFS(الريسبي!$C$2:$C$1800,الريسبي!$A$2:$A$1800,$A44,الريسبي!$B$2:$B$1800,BW$1)</f>
        <v>0</v>
      </c>
      <c r="BX44" s="115" t="n">
        <f aca="false">SUMIFS(الريسبي!$C$2:$C$1800,الريسبي!$A$2:$A$1800,$A44,الريسبي!$B$2:$B$1800,BX$1)</f>
        <v>0</v>
      </c>
      <c r="BY44" s="115" t="n">
        <f aca="false">SUMIFS(الريسبي!$C$2:$C$1800,الريسبي!$A$2:$A$1800,$A44,الريسبي!$B$2:$B$1800,BY$1)</f>
        <v>0</v>
      </c>
      <c r="BZ44" s="115" t="n">
        <f aca="false">SUMIFS(الريسبي!$C$2:$C$1800,الريسبي!$A$2:$A$1800,$A44,الريسبي!$B$2:$B$1800,BZ$1)</f>
        <v>0</v>
      </c>
      <c r="CA44" s="115" t="n">
        <f aca="false">SUMIFS(الريسبي!$C$2:$C$1800,الريسبي!$A$2:$A$1800,$A44,الريسبي!$B$2:$B$1800,CA$1)</f>
        <v>0</v>
      </c>
      <c r="CB44" s="115" t="n">
        <f aca="false">SUMIFS(الريسبي!$C$2:$C$1800,الريسبي!$A$2:$A$1800,$A44,الريسبي!$B$2:$B$1800,CB$1)</f>
        <v>0</v>
      </c>
      <c r="CC44" s="115" t="n">
        <f aca="false">SUMIFS(الريسبي!$C$2:$C$1800,الريسبي!$A$2:$A$1800,$A44,الريسبي!$B$2:$B$1800,CC$1)</f>
        <v>0</v>
      </c>
      <c r="CD44" s="115" t="n">
        <f aca="false">SUMIFS(الريسبي!$C$2:$C$1800,الريسبي!$A$2:$A$1800,$A44,الريسبي!$B$2:$B$1800,CD$1)</f>
        <v>0</v>
      </c>
      <c r="CE44" s="115" t="n">
        <f aca="false">SUMIFS(الريسبي!$C$2:$C$1800,الريسبي!$A$2:$A$1800,$A44,الريسبي!$B$2:$B$1800,CE$1)</f>
        <v>0</v>
      </c>
      <c r="CF44" s="115" t="n">
        <f aca="false">SUMIFS(الريسبي!$C$2:$C$1800,الريسبي!$A$2:$A$1800,$A44,الريسبي!$B$2:$B$1800,CF$1)</f>
        <v>0</v>
      </c>
      <c r="CG44" s="115" t="n">
        <f aca="false">SUMIFS(الريسبي!$C$2:$C$1800,الريسبي!$A$2:$A$1800,$A44,الريسبي!$B$2:$B$1800,CG$1)</f>
        <v>0</v>
      </c>
      <c r="CH44" s="115" t="n">
        <f aca="false">SUMIFS(الريسبي!$C$2:$C$1800,الريسبي!$A$2:$A$1800,$A44,الريسبي!$B$2:$B$1800,CH$1)</f>
        <v>0</v>
      </c>
    </row>
    <row r="45" customFormat="false" ht="15" hidden="false" customHeight="false" outlineLevel="0" collapsed="false">
      <c r="A45" s="114" t="str">
        <f aca="false">المنيو!B45</f>
        <v>فطيرة جمبري وسط</v>
      </c>
      <c r="B45" s="115" t="n">
        <f aca="false">SUMIFS(الريسبي!$C$2:$C$1800,الريسبي!$A$2:$A$1800,$A45,الريسبي!$B$2:$B$1800,B$1)</f>
        <v>0</v>
      </c>
      <c r="C45" s="115" t="n">
        <f aca="false">SUMIFS(الريسبي!$C$2:$C$1800,الريسبي!$A$2:$A$1800,$A45,الريسبي!$B$2:$B$1800,C$1)</f>
        <v>0</v>
      </c>
      <c r="D45" s="115" t="n">
        <f aca="false">SUMIFS(الريسبي!$C$2:$C$1800,الريسبي!$A$2:$A$1800,$A45,الريسبي!$B$2:$B$1800,D$1)</f>
        <v>1</v>
      </c>
      <c r="E45" s="115" t="n">
        <f aca="false">SUMIFS(الريسبي!$C$2:$C$1800,الريسبي!$A$2:$A$1800,$A45,الريسبي!$B$2:$B$1800,E$1)</f>
        <v>0</v>
      </c>
      <c r="F45" s="115" t="n">
        <f aca="false">SUMIFS(الريسبي!$C$2:$C$1800,الريسبي!$A$2:$A$1800,$A45,الريسبي!$B$2:$B$1800,F$1)</f>
        <v>0</v>
      </c>
      <c r="G45" s="115" t="n">
        <f aca="false">SUMIFS(الريسبي!$C$2:$C$1800,الريسبي!$A$2:$A$1800,$A45,الريسبي!$B$2:$B$1800,G$1)</f>
        <v>0</v>
      </c>
      <c r="H45" s="115" t="n">
        <f aca="false">SUMIFS(الريسبي!$C$2:$C$1800,الريسبي!$A$2:$A$1800,$A45,الريسبي!$B$2:$B$1800,H$1)</f>
        <v>0</v>
      </c>
      <c r="I45" s="115" t="n">
        <f aca="false">SUMIFS(الريسبي!$C$2:$C$1800,الريسبي!$A$2:$A$1800,$A45,الريسبي!$B$2:$B$1800,I$1)</f>
        <v>0</v>
      </c>
      <c r="J45" s="115" t="n">
        <f aca="false">SUMIFS(الريسبي!$C$2:$C$1800,الريسبي!$A$2:$A$1800,$A45,الريسبي!$B$2:$B$1800,J$1)</f>
        <v>0</v>
      </c>
      <c r="K45" s="115" t="n">
        <f aca="false">SUMIFS(الريسبي!$C$2:$C$1800,الريسبي!$A$2:$A$1800,$A45,الريسبي!$B$2:$B$1800,K$1)</f>
        <v>1</v>
      </c>
      <c r="L45" s="115" t="n">
        <f aca="false">SUMIFS(الريسبي!$C$2:$C$1800,الريسبي!$A$2:$A$1800,$A45,الريسبي!$B$2:$B$1800,L$1)</f>
        <v>0</v>
      </c>
      <c r="M45" s="115" t="n">
        <f aca="false">SUMIFS(الريسبي!$C$2:$C$1800,الريسبي!$A$2:$A$1800,$A45,الريسبي!$B$2:$B$1800,M$1)</f>
        <v>0</v>
      </c>
      <c r="N45" s="115" t="n">
        <f aca="false">SUMIFS(الريسبي!$C$2:$C$1800,الريسبي!$A$2:$A$1800,$A45,الريسبي!$B$2:$B$1800,N$1)</f>
        <v>0</v>
      </c>
      <c r="O45" s="115" t="n">
        <f aca="false">SUMIFS(الريسبي!$C$2:$C$1800,الريسبي!$A$2:$A$1800,$A45,الريسبي!$B$2:$B$1800,O$1)</f>
        <v>0</v>
      </c>
      <c r="P45" s="115" t="n">
        <f aca="false">SUMIFS(الريسبي!$C$2:$C$1800,الريسبي!$A$2:$A$1800,$A45,الريسبي!$B$2:$B$1800,P$1)</f>
        <v>0</v>
      </c>
      <c r="Q45" s="115" t="n">
        <f aca="false">SUMIFS(الريسبي!$C$2:$C$1800,الريسبي!$A$2:$A$1800,$A45,الريسبي!$B$2:$B$1800,Q$1)</f>
        <v>0</v>
      </c>
      <c r="R45" s="115" t="n">
        <f aca="false">SUMIFS(الريسبي!$C$2:$C$1800,الريسبي!$A$2:$A$1800,$A45,الريسبي!$B$2:$B$1800,R$1)</f>
        <v>0</v>
      </c>
      <c r="S45" s="115" t="n">
        <f aca="false">SUMIFS(الريسبي!$C$2:$C$1800,الريسبي!$A$2:$A$1800,$A45,الريسبي!$B$2:$B$1800,S$1)</f>
        <v>0</v>
      </c>
      <c r="T45" s="115" t="n">
        <f aca="false">SUMIFS(الريسبي!$C$2:$C$1800,الريسبي!$A$2:$A$1800,$A45,الريسبي!$B$2:$B$1800,T$1)</f>
        <v>0</v>
      </c>
      <c r="U45" s="115" t="n">
        <f aca="false">SUMIFS(الريسبي!$C$2:$C$1800,الريسبي!$A$2:$A$1800,$A45,الريسبي!$B$2:$B$1800,U$1)</f>
        <v>0</v>
      </c>
      <c r="V45" s="115" t="n">
        <f aca="false">SUMIFS(الريسبي!$C$2:$C$1800,الريسبي!$A$2:$A$1800,$A45,الريسبي!$B$2:$B$1800,V$1)</f>
        <v>0</v>
      </c>
      <c r="W45" s="115" t="n">
        <f aca="false">SUMIFS(الريسبي!$C$2:$C$1800,الريسبي!$A$2:$A$1800,$A45,الريسبي!$B$2:$B$1800,W$1)</f>
        <v>0</v>
      </c>
      <c r="X45" s="115" t="n">
        <f aca="false">SUMIFS(الريسبي!$C$2:$C$1800,الريسبي!$A$2:$A$1800,$A45,الريسبي!$B$2:$B$1800,X$1)</f>
        <v>1</v>
      </c>
      <c r="Y45" s="115" t="n">
        <f aca="false">SUMIFS(الريسبي!$C$2:$C$1800,الريسبي!$A$2:$A$1800,$A45,الريسبي!$B$2:$B$1800,Y$1)</f>
        <v>0</v>
      </c>
      <c r="Z45" s="115" t="n">
        <f aca="false">SUMIFS(الريسبي!$C$2:$C$1800,الريسبي!$A$2:$A$1800,$A45,الريسبي!$B$2:$B$1800,Z$1)</f>
        <v>0</v>
      </c>
      <c r="AA45" s="115" t="n">
        <f aca="false">SUMIFS(الريسبي!$C$2:$C$1800,الريسبي!$A$2:$A$1800,$A45,الريسبي!$B$2:$B$1800,AA$1)</f>
        <v>0</v>
      </c>
      <c r="AB45" s="115" t="n">
        <f aca="false">SUMIFS(الريسبي!$C$2:$C$1800,الريسبي!$A$2:$A$1800,$A45,الريسبي!$B$2:$B$1800,AB$1)</f>
        <v>0</v>
      </c>
      <c r="AC45" s="115" t="n">
        <f aca="false">SUMIFS(الريسبي!$C$2:$C$1800,الريسبي!$A$2:$A$1800,$A45,الريسبي!$B$2:$B$1800,AC$1)</f>
        <v>0</v>
      </c>
      <c r="AD45" s="115" t="n">
        <f aca="false">SUMIFS(الريسبي!$C$2:$C$1800,الريسبي!$A$2:$A$1800,$A45,الريسبي!$B$2:$B$1800,AD$1)</f>
        <v>0</v>
      </c>
      <c r="AE45" s="115" t="n">
        <f aca="false">SUMIFS(الريسبي!$C$2:$C$1800,الريسبي!$A$2:$A$1800,$A45,الريسبي!$B$2:$B$1800,AE$1)</f>
        <v>0</v>
      </c>
      <c r="AF45" s="115" t="n">
        <f aca="false">SUMIFS(الريسبي!$C$2:$C$1800,الريسبي!$A$2:$A$1800,$A45,الريسبي!$B$2:$B$1800,AF$1)</f>
        <v>0</v>
      </c>
      <c r="AG45" s="115" t="n">
        <f aca="false">SUMIFS(الريسبي!$C$2:$C$1800,الريسبي!$A$2:$A$1800,$A45,الريسبي!$B$2:$B$1800,AG$1)</f>
        <v>0</v>
      </c>
      <c r="AH45" s="115" t="n">
        <f aca="false">SUMIFS(الريسبي!$C$2:$C$1800,الريسبي!$A$2:$A$1800,$A45,الريسبي!$B$2:$B$1800,AH$1)</f>
        <v>0</v>
      </c>
      <c r="AI45" s="115" t="n">
        <f aca="false">SUMIFS(الريسبي!$C$2:$C$1800,الريسبي!$A$2:$A$1800,$A45,الريسبي!$B$2:$B$1800,AI$1)</f>
        <v>0</v>
      </c>
      <c r="AJ45" s="115" t="n">
        <f aca="false">SUMIFS(الريسبي!$C$2:$C$1800,الريسبي!$A$2:$A$1800,$A45,الريسبي!$B$2:$B$1800,AJ$1)</f>
        <v>2</v>
      </c>
      <c r="AK45" s="115" t="n">
        <f aca="false">SUMIFS(الريسبي!$C$2:$C$1800,الريسبي!$A$2:$A$1800,$A45,الريسبي!$B$2:$B$1800,AK$1)</f>
        <v>0</v>
      </c>
      <c r="AL45" s="115" t="n">
        <f aca="false">SUMIFS(الريسبي!$C$2:$C$1800,الريسبي!$A$2:$A$1800,$A45,الريسبي!$B$2:$B$1800,AL$1)</f>
        <v>0</v>
      </c>
      <c r="AM45" s="115"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15"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15" t="n">
        <f aca="false">SUMIFS(الريسبي!$C$2:$C$1800,الريسبي!$A$2:$A$1800,$A45,الريسبي!$B$2:$B$1800,AO$1)</f>
        <v>0</v>
      </c>
      <c r="AP45" s="115" t="n">
        <f aca="false">SUMIFS(الريسبي!$C$2:$C$1800,الريسبي!$A$2:$A$1800,$A45,الريسبي!$B$2:$B$1800,AP$1)</f>
        <v>0.02</v>
      </c>
      <c r="AQ45" s="115"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15" t="n">
        <f aca="false">SUMIFS(الريسبي!$C$2:$C$1800,الريسبي!$A$2:$A$1800,$A45,الريسبي!$B$2:$B$1800,AR$1)</f>
        <v>0</v>
      </c>
      <c r="AS45" s="115" t="n">
        <f aca="false">SUMIFS(الريسبي!$C$2:$C$1800,الريسبي!$A$2:$A$1800,$A45,الريسبي!$B$2:$B$1800,AS$1)</f>
        <v>0</v>
      </c>
      <c r="AT45" s="115" t="n">
        <f aca="false">SUMIFS(الريسبي!$C$2:$C$1800,الريسبي!$A$2:$A$1800,$A45,الريسبي!$B$2:$B$1800,AT$1)</f>
        <v>0</v>
      </c>
      <c r="AU45" s="115" t="n">
        <f aca="false">SUMIFS(الريسبي!$C$2:$C$1800,الريسبي!$A$2:$A$1800,$A45,الريسبي!$B$2:$B$1800,AU$1)</f>
        <v>0</v>
      </c>
      <c r="AV45" s="115" t="n">
        <f aca="false">SUMIFS(الريسبي!$C$2:$C$1800,الريسبي!$A$2:$A$1800,$A45,الريسبي!$B$2:$B$1800,AV$1)</f>
        <v>0</v>
      </c>
      <c r="AW45" s="115" t="n">
        <f aca="false">SUMIFS(الريسبي!$C$2:$C$1800,الريسبي!$A$2:$A$1800,$A45,الريسبي!$B$2:$B$1800,AW$1)</f>
        <v>0</v>
      </c>
      <c r="AX45" s="115" t="n">
        <f aca="false">SUMIFS(الريسبي!$C$2:$C$1800,الريسبي!$A$2:$A$1800,$A45,الريسبي!$B$2:$B$1800,AX$1)</f>
        <v>0</v>
      </c>
      <c r="AY45" s="115" t="n">
        <f aca="false">SUMIFS(الريسبي!$C$2:$C$1800,الريسبي!$A$2:$A$1800,$A45,الريسبي!$B$2:$B$1800,AY$1)</f>
        <v>0</v>
      </c>
      <c r="AZ45" s="115" t="n">
        <f aca="false">SUMIFS(الريسبي!$C$2:$C$1800,الريسبي!$A$2:$A$1800,$A45,الريسبي!$B$2:$B$1800,AZ$1)</f>
        <v>0</v>
      </c>
      <c r="BA45" s="115" t="n">
        <f aca="false">SUMIFS(الريسبي!$C$2:$C$1800,الريسبي!$A$2:$A$1800,$A45,الريسبي!$B$2:$B$1800,BA$1)</f>
        <v>0</v>
      </c>
      <c r="BB45" s="115" t="n">
        <f aca="false">SUMIFS(الريسبي!$C$2:$C$1800,الريسبي!$A$2:$A$1800,$A45,الريسبي!$B$2:$B$1800,BB$1)</f>
        <v>0</v>
      </c>
      <c r="BC45" s="115" t="n">
        <f aca="false">SUMIFS(الريسبي!$C$2:$C$1800,الريسبي!$A$2:$A$1800,$A45,الريسبي!$B$2:$B$1800,BC$1)</f>
        <v>0.03</v>
      </c>
      <c r="BD45" s="115" t="n">
        <f aca="false">SUMIFS(الريسبي!$C$2:$C$1800,الريسبي!$A$2:$A$1800,$A45,الريسبي!$B$2:$B$1800,BD$1)</f>
        <v>0</v>
      </c>
      <c r="BE45" s="115" t="n">
        <f aca="false">SUMIFS(الريسبي!$C$2:$C$1800,الريسبي!$A$2:$A$1800,$A45,الريسبي!$B$2:$B$1800,BE$1)</f>
        <v>1</v>
      </c>
      <c r="BF45" s="115" t="n">
        <f aca="false">SUMIFS(الريسبي!$C$2:$C$1800,الريسبي!$A$2:$A$1800,$A45,الريسبي!$B$2:$B$1800,BF$1)</f>
        <v>0</v>
      </c>
      <c r="BG45" s="115" t="n">
        <f aca="false">SUMIFS(الريسبي!$C$2:$C$1800,الريسبي!$A$2:$A$1800,$A45,الريسبي!$B$2:$B$1800,BG$1)</f>
        <v>0</v>
      </c>
      <c r="BH45" s="115" t="n">
        <f aca="false">SUMIFS(الريسبي!$C$2:$C$1800,الريسبي!$A$2:$A$1800,$A45,الريسبي!$B$2:$B$1800,BH$1)</f>
        <v>1</v>
      </c>
      <c r="BI45" s="115" t="n">
        <f aca="false">SUMIFS(الريسبي!$C$2:$C$1800,الريسبي!$A$2:$A$1800,$A45,الريسبي!$B$2:$B$1800,BI$1)</f>
        <v>0</v>
      </c>
      <c r="BJ45" s="115" t="n">
        <f aca="false">SUMIFS(الريسبي!$C$2:$C$1800,الريسبي!$A$2:$A$1800,$A45,الريسبي!$B$2:$B$1800,BJ$1)</f>
        <v>0</v>
      </c>
      <c r="BK45" s="115" t="n">
        <f aca="false">SUMIFS(الريسبي!$C$2:$C$1800,الريسبي!$A$2:$A$1800,$A45,الريسبي!$B$2:$B$1800,BK$1)</f>
        <v>0</v>
      </c>
      <c r="BL45" s="115" t="n">
        <f aca="false">SUMIFS(الريسبي!$C$2:$C$1800,الريسبي!$A$2:$A$1800,$A45,الريسبي!$B$2:$B$1800,BL$1)</f>
        <v>0</v>
      </c>
      <c r="BM45" s="115" t="n">
        <f aca="false">SUMIFS(الريسبي!$C$2:$C$1800,الريسبي!$A$2:$A$1800,$A45,الريسبي!$B$2:$B$1800,BM$1)</f>
        <v>0</v>
      </c>
      <c r="BN45" s="115" t="n">
        <f aca="false">SUMIFS(الريسبي!$C$2:$C$1800,الريسبي!$A$2:$A$1800,$A45,الريسبي!$B$2:$B$1800,BN$1)</f>
        <v>0.02</v>
      </c>
      <c r="BO45" s="115" t="n">
        <f aca="false">SUMIFS(الريسبي!$C$2:$C$1800,الريسبي!$A$2:$A$1800,$A45,الريسبي!$B$2:$B$1800,BO$1)</f>
        <v>0</v>
      </c>
      <c r="BP45" s="115" t="n">
        <f aca="false">SUMIFS(الريسبي!$C$2:$C$1800,الريسبي!$A$2:$A$1800,$A45,الريسبي!$B$2:$B$1800,BP$1)</f>
        <v>2</v>
      </c>
      <c r="BQ45" s="115"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15" t="n">
        <f aca="false">SUMIFS(الريسبي!$C$2:$C$1800,الريسبي!$A$2:$A$1800,$A45,الريسبي!$B$2:$B$1800,BR$1)</f>
        <v>1</v>
      </c>
      <c r="BS45" s="115" t="n">
        <f aca="false">SUMIFS(الريسبي!$C$2:$C$1800,الريسبي!$A$2:$A$1800,$A45,الريسبي!$B$2:$B$1800,BS$1)</f>
        <v>0</v>
      </c>
      <c r="BT45" s="115" t="n">
        <f aca="false">SUMIFS(الريسبي!$C$2:$C$1800,الريسبي!$A$2:$A$1800,$A45,الريسبي!$B$2:$B$1800,BT$1)</f>
        <v>0</v>
      </c>
      <c r="BU45" s="115"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15" t="n">
        <f aca="false">SUMIFS(الريسبي!$C$2:$C$1800,الريسبي!$A$2:$A$1800,$A45,الريسبي!$B$2:$B$1800,BV$1)</f>
        <v>0</v>
      </c>
      <c r="BW45" s="115" t="n">
        <f aca="false">SUMIFS(الريسبي!$C$2:$C$1800,الريسبي!$A$2:$A$1800,$A45,الريسبي!$B$2:$B$1800,BW$1)</f>
        <v>0</v>
      </c>
      <c r="BX45" s="115" t="n">
        <f aca="false">SUMIFS(الريسبي!$C$2:$C$1800,الريسبي!$A$2:$A$1800,$A45,الريسبي!$B$2:$B$1800,BX$1)</f>
        <v>0</v>
      </c>
      <c r="BY45" s="115" t="n">
        <f aca="false">SUMIFS(الريسبي!$C$2:$C$1800,الريسبي!$A$2:$A$1800,$A45,الريسبي!$B$2:$B$1800,BY$1)</f>
        <v>0</v>
      </c>
      <c r="BZ45" s="115" t="n">
        <f aca="false">SUMIFS(الريسبي!$C$2:$C$1800,الريسبي!$A$2:$A$1800,$A45,الريسبي!$B$2:$B$1800,BZ$1)</f>
        <v>1</v>
      </c>
      <c r="CA45" s="115" t="n">
        <f aca="false">SUMIFS(الريسبي!$C$2:$C$1800,الريسبي!$A$2:$A$1800,$A45,الريسبي!$B$2:$B$1800,CA$1)</f>
        <v>1</v>
      </c>
      <c r="CB45" s="115" t="n">
        <f aca="false">SUMIFS(الريسبي!$C$2:$C$1800,الريسبي!$A$2:$A$1800,$A45,الريسبي!$B$2:$B$1800,CB$1)</f>
        <v>0</v>
      </c>
      <c r="CC45" s="115" t="n">
        <f aca="false">SUMIFS(الريسبي!$C$2:$C$1800,الريسبي!$A$2:$A$1800,$A45,الريسبي!$B$2:$B$1800,CC$1)</f>
        <v>0</v>
      </c>
      <c r="CD45" s="115" t="n">
        <f aca="false">SUMIFS(الريسبي!$C$2:$C$1800,الريسبي!$A$2:$A$1800,$A45,الريسبي!$B$2:$B$1800,CD$1)</f>
        <v>0</v>
      </c>
      <c r="CE45" s="115" t="n">
        <f aca="false">SUMIFS(الريسبي!$C$2:$C$1800,الريسبي!$A$2:$A$1800,$A45,الريسبي!$B$2:$B$1800,CE$1)</f>
        <v>0</v>
      </c>
      <c r="CF45" s="115" t="n">
        <f aca="false">SUMIFS(الريسبي!$C$2:$C$1800,الريسبي!$A$2:$A$1800,$A45,الريسبي!$B$2:$B$1800,CF$1)</f>
        <v>0</v>
      </c>
      <c r="CG45" s="115" t="n">
        <f aca="false">SUMIFS(الريسبي!$C$2:$C$1800,الريسبي!$A$2:$A$1800,$A45,الريسبي!$B$2:$B$1800,CG$1)</f>
        <v>0</v>
      </c>
      <c r="CH45" s="115" t="n">
        <f aca="false">SUMIFS(الريسبي!$C$2:$C$1800,الريسبي!$A$2:$A$1800,$A45,الريسبي!$B$2:$B$1800,CH$1)</f>
        <v>0</v>
      </c>
    </row>
    <row r="46" customFormat="false" ht="15" hidden="false" customHeight="false" outlineLevel="0" collapsed="false">
      <c r="A46" s="114" t="str">
        <f aca="false">المنيو!B46</f>
        <v>فطيرة جمبري حجم اكبر</v>
      </c>
      <c r="B46" s="115" t="n">
        <f aca="false">SUMIFS(الريسبي!$C$2:$C$1800,الريسبي!$A$2:$A$1800,$A46,الريسبي!$B$2:$B$1800,B$1)</f>
        <v>0</v>
      </c>
      <c r="C46" s="115" t="n">
        <f aca="false">SUMIFS(الريسبي!$C$2:$C$1800,الريسبي!$A$2:$A$1800,$A46,الريسبي!$B$2:$B$1800,C$1)</f>
        <v>0</v>
      </c>
      <c r="D46" s="115" t="n">
        <f aca="false">SUMIFS(الريسبي!$C$2:$C$1800,الريسبي!$A$2:$A$1800,$A46,الريسبي!$B$2:$B$1800,D$1)</f>
        <v>1</v>
      </c>
      <c r="E46" s="115" t="n">
        <f aca="false">SUMIFS(الريسبي!$C$2:$C$1800,الريسبي!$A$2:$A$1800,$A46,الريسبي!$B$2:$B$1800,E$1)</f>
        <v>0</v>
      </c>
      <c r="F46" s="115" t="n">
        <f aca="false">SUMIFS(الريسبي!$C$2:$C$1800,الريسبي!$A$2:$A$1800,$A46,الريسبي!$B$2:$B$1800,F$1)</f>
        <v>0</v>
      </c>
      <c r="G46" s="115" t="n">
        <f aca="false">SUMIFS(الريسبي!$C$2:$C$1800,الريسبي!$A$2:$A$1800,$A46,الريسبي!$B$2:$B$1800,G$1)</f>
        <v>0</v>
      </c>
      <c r="H46" s="115" t="n">
        <f aca="false">SUMIFS(الريسبي!$C$2:$C$1800,الريسبي!$A$2:$A$1800,$A46,الريسبي!$B$2:$B$1800,H$1)</f>
        <v>0</v>
      </c>
      <c r="I46" s="115" t="n">
        <f aca="false">SUMIFS(الريسبي!$C$2:$C$1800,الريسبي!$A$2:$A$1800,$A46,الريسبي!$B$2:$B$1800,I$1)</f>
        <v>0</v>
      </c>
      <c r="J46" s="115" t="n">
        <f aca="false">SUMIFS(الريسبي!$C$2:$C$1800,الريسبي!$A$2:$A$1800,$A46,الريسبي!$B$2:$B$1800,J$1)</f>
        <v>0</v>
      </c>
      <c r="K46" s="115" t="n">
        <f aca="false">SUMIFS(الريسبي!$C$2:$C$1800,الريسبي!$A$2:$A$1800,$A46,الريسبي!$B$2:$B$1800,K$1)</f>
        <v>1.5</v>
      </c>
      <c r="L46" s="115" t="n">
        <f aca="false">SUMIFS(الريسبي!$C$2:$C$1800,الريسبي!$A$2:$A$1800,$A46,الريسبي!$B$2:$B$1800,L$1)</f>
        <v>0</v>
      </c>
      <c r="M46" s="115" t="n">
        <f aca="false">SUMIFS(الريسبي!$C$2:$C$1800,الريسبي!$A$2:$A$1800,$A46,الريسبي!$B$2:$B$1800,M$1)</f>
        <v>0</v>
      </c>
      <c r="N46" s="115" t="n">
        <f aca="false">SUMIFS(الريسبي!$C$2:$C$1800,الريسبي!$A$2:$A$1800,$A46,الريسبي!$B$2:$B$1800,N$1)</f>
        <v>0</v>
      </c>
      <c r="O46" s="115" t="n">
        <f aca="false">SUMIFS(الريسبي!$C$2:$C$1800,الريسبي!$A$2:$A$1800,$A46,الريسبي!$B$2:$B$1800,O$1)</f>
        <v>0</v>
      </c>
      <c r="P46" s="115" t="n">
        <f aca="false">SUMIFS(الريسبي!$C$2:$C$1800,الريسبي!$A$2:$A$1800,$A46,الريسبي!$B$2:$B$1800,P$1)</f>
        <v>0</v>
      </c>
      <c r="Q46" s="115" t="n">
        <f aca="false">SUMIFS(الريسبي!$C$2:$C$1800,الريسبي!$A$2:$A$1800,$A46,الريسبي!$B$2:$B$1800,Q$1)</f>
        <v>0</v>
      </c>
      <c r="R46" s="115" t="n">
        <f aca="false">SUMIFS(الريسبي!$C$2:$C$1800,الريسبي!$A$2:$A$1800,$A46,الريسبي!$B$2:$B$1800,R$1)</f>
        <v>0</v>
      </c>
      <c r="S46" s="115" t="n">
        <f aca="false">SUMIFS(الريسبي!$C$2:$C$1800,الريسبي!$A$2:$A$1800,$A46,الريسبي!$B$2:$B$1800,S$1)</f>
        <v>0</v>
      </c>
      <c r="T46" s="115" t="n">
        <f aca="false">SUMIFS(الريسبي!$C$2:$C$1800,الريسبي!$A$2:$A$1800,$A46,الريسبي!$B$2:$B$1800,T$1)</f>
        <v>0</v>
      </c>
      <c r="U46" s="115" t="n">
        <f aca="false">SUMIFS(الريسبي!$C$2:$C$1800,الريسبي!$A$2:$A$1800,$A46,الريسبي!$B$2:$B$1800,U$1)</f>
        <v>0</v>
      </c>
      <c r="V46" s="115" t="n">
        <f aca="false">SUMIFS(الريسبي!$C$2:$C$1800,الريسبي!$A$2:$A$1800,$A46,الريسبي!$B$2:$B$1800,V$1)</f>
        <v>0</v>
      </c>
      <c r="W46" s="115" t="n">
        <f aca="false">SUMIFS(الريسبي!$C$2:$C$1800,الريسبي!$A$2:$A$1800,$A46,الريسبي!$B$2:$B$1800,W$1)</f>
        <v>0</v>
      </c>
      <c r="X46" s="115" t="n">
        <f aca="false">SUMIFS(الريسبي!$C$2:$C$1800,الريسبي!$A$2:$A$1800,$A46,الريسبي!$B$2:$B$1800,X$1)</f>
        <v>0</v>
      </c>
      <c r="Y46" s="115" t="n">
        <f aca="false">SUMIFS(الريسبي!$C$2:$C$1800,الريسبي!$A$2:$A$1800,$A46,الريسبي!$B$2:$B$1800,Y$1)</f>
        <v>1</v>
      </c>
      <c r="Z46" s="115" t="n">
        <f aca="false">SUMIFS(الريسبي!$C$2:$C$1800,الريسبي!$A$2:$A$1800,$A46,الريسبي!$B$2:$B$1800,Z$1)</f>
        <v>0</v>
      </c>
      <c r="AA46" s="115" t="n">
        <f aca="false">SUMIFS(الريسبي!$C$2:$C$1800,الريسبي!$A$2:$A$1800,$A46,الريسبي!$B$2:$B$1800,AA$1)</f>
        <v>0</v>
      </c>
      <c r="AB46" s="115" t="n">
        <f aca="false">SUMIFS(الريسبي!$C$2:$C$1800,الريسبي!$A$2:$A$1800,$A46,الريسبي!$B$2:$B$1800,AB$1)</f>
        <v>0</v>
      </c>
      <c r="AC46" s="115" t="n">
        <f aca="false">SUMIFS(الريسبي!$C$2:$C$1800,الريسبي!$A$2:$A$1800,$A46,الريسبي!$B$2:$B$1800,AC$1)</f>
        <v>0</v>
      </c>
      <c r="AD46" s="115" t="n">
        <f aca="false">SUMIFS(الريسبي!$C$2:$C$1800,الريسبي!$A$2:$A$1800,$A46,الريسبي!$B$2:$B$1800,AD$1)</f>
        <v>0</v>
      </c>
      <c r="AE46" s="115" t="n">
        <f aca="false">SUMIFS(الريسبي!$C$2:$C$1800,الريسبي!$A$2:$A$1800,$A46,الريسبي!$B$2:$B$1800,AE$1)</f>
        <v>0</v>
      </c>
      <c r="AF46" s="115" t="n">
        <f aca="false">SUMIFS(الريسبي!$C$2:$C$1800,الريسبي!$A$2:$A$1800,$A46,الريسبي!$B$2:$B$1800,AF$1)</f>
        <v>0</v>
      </c>
      <c r="AG46" s="115" t="n">
        <f aca="false">SUMIFS(الريسبي!$C$2:$C$1800,الريسبي!$A$2:$A$1800,$A46,الريسبي!$B$2:$B$1800,AG$1)</f>
        <v>0</v>
      </c>
      <c r="AH46" s="115" t="n">
        <f aca="false">SUMIFS(الريسبي!$C$2:$C$1800,الريسبي!$A$2:$A$1800,$A46,الريسبي!$B$2:$B$1800,AH$1)</f>
        <v>0</v>
      </c>
      <c r="AI46" s="115" t="n">
        <f aca="false">SUMIFS(الريسبي!$C$2:$C$1800,الريسبي!$A$2:$A$1800,$A46,الريسبي!$B$2:$B$1800,AI$1)</f>
        <v>0</v>
      </c>
      <c r="AJ46" s="115" t="n">
        <f aca="false">SUMIFS(الريسبي!$C$2:$C$1800,الريسبي!$A$2:$A$1800,$A46,الريسبي!$B$2:$B$1800,AJ$1)</f>
        <v>2</v>
      </c>
      <c r="AK46" s="115" t="n">
        <f aca="false">SUMIFS(الريسبي!$C$2:$C$1800,الريسبي!$A$2:$A$1800,$A46,الريسبي!$B$2:$B$1800,AK$1)</f>
        <v>0</v>
      </c>
      <c r="AL46" s="115" t="n">
        <f aca="false">SUMIFS(الريسبي!$C$2:$C$1800,الريسبي!$A$2:$A$1800,$A46,الريسبي!$B$2:$B$1800,AL$1)</f>
        <v>0</v>
      </c>
      <c r="AM46" s="115"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15"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15" t="n">
        <f aca="false">SUMIFS(الريسبي!$C$2:$C$1800,الريسبي!$A$2:$A$1800,$A46,الريسبي!$B$2:$B$1800,AO$1)</f>
        <v>0</v>
      </c>
      <c r="AP46" s="115" t="n">
        <f aca="false">SUMIFS(الريسبي!$C$2:$C$1800,الريسبي!$A$2:$A$1800,$A46,الريسبي!$B$2:$B$1800,AP$1)</f>
        <v>0.03</v>
      </c>
      <c r="AQ46" s="115"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15" t="n">
        <f aca="false">SUMIFS(الريسبي!$C$2:$C$1800,الريسبي!$A$2:$A$1800,$A46,الريسبي!$B$2:$B$1800,AR$1)</f>
        <v>0</v>
      </c>
      <c r="AS46" s="115" t="n">
        <f aca="false">SUMIFS(الريسبي!$C$2:$C$1800,الريسبي!$A$2:$A$1800,$A46,الريسبي!$B$2:$B$1800,AS$1)</f>
        <v>0</v>
      </c>
      <c r="AT46" s="115" t="n">
        <f aca="false">SUMIFS(الريسبي!$C$2:$C$1800,الريسبي!$A$2:$A$1800,$A46,الريسبي!$B$2:$B$1800,AT$1)</f>
        <v>0</v>
      </c>
      <c r="AU46" s="115" t="n">
        <f aca="false">SUMIFS(الريسبي!$C$2:$C$1800,الريسبي!$A$2:$A$1800,$A46,الريسبي!$B$2:$B$1800,AU$1)</f>
        <v>0</v>
      </c>
      <c r="AV46" s="115" t="n">
        <f aca="false">SUMIFS(الريسبي!$C$2:$C$1800,الريسبي!$A$2:$A$1800,$A46,الريسبي!$B$2:$B$1800,AV$1)</f>
        <v>0</v>
      </c>
      <c r="AW46" s="115" t="n">
        <f aca="false">SUMIFS(الريسبي!$C$2:$C$1800,الريسبي!$A$2:$A$1800,$A46,الريسبي!$B$2:$B$1800,AW$1)</f>
        <v>0</v>
      </c>
      <c r="AX46" s="115" t="n">
        <f aca="false">SUMIFS(الريسبي!$C$2:$C$1800,الريسبي!$A$2:$A$1800,$A46,الريسبي!$B$2:$B$1800,AX$1)</f>
        <v>0</v>
      </c>
      <c r="AY46" s="115" t="n">
        <f aca="false">SUMIFS(الريسبي!$C$2:$C$1800,الريسبي!$A$2:$A$1800,$A46,الريسبي!$B$2:$B$1800,AY$1)</f>
        <v>0</v>
      </c>
      <c r="AZ46" s="115" t="n">
        <f aca="false">SUMIFS(الريسبي!$C$2:$C$1800,الريسبي!$A$2:$A$1800,$A46,الريسبي!$B$2:$B$1800,AZ$1)</f>
        <v>0</v>
      </c>
      <c r="BA46" s="115" t="n">
        <f aca="false">SUMIFS(الريسبي!$C$2:$C$1800,الريسبي!$A$2:$A$1800,$A46,الريسبي!$B$2:$B$1800,BA$1)</f>
        <v>0</v>
      </c>
      <c r="BB46" s="115" t="n">
        <f aca="false">SUMIFS(الريسبي!$C$2:$C$1800,الريسبي!$A$2:$A$1800,$A46,الريسبي!$B$2:$B$1800,BB$1)</f>
        <v>0</v>
      </c>
      <c r="BC46" s="115" t="n">
        <f aca="false">SUMIFS(الريسبي!$C$2:$C$1800,الريسبي!$A$2:$A$1800,$A46,الريسبي!$B$2:$B$1800,BC$1)</f>
        <v>0.045</v>
      </c>
      <c r="BD46" s="115" t="n">
        <f aca="false">SUMIFS(الريسبي!$C$2:$C$1800,الريسبي!$A$2:$A$1800,$A46,الريسبي!$B$2:$B$1800,BD$1)</f>
        <v>0</v>
      </c>
      <c r="BE46" s="115" t="n">
        <f aca="false">SUMIFS(الريسبي!$C$2:$C$1800,الريسبي!$A$2:$A$1800,$A46,الريسبي!$B$2:$B$1800,BE$1)</f>
        <v>1.5</v>
      </c>
      <c r="BF46" s="115" t="n">
        <f aca="false">SUMIFS(الريسبي!$C$2:$C$1800,الريسبي!$A$2:$A$1800,$A46,الريسبي!$B$2:$B$1800,BF$1)</f>
        <v>0</v>
      </c>
      <c r="BG46" s="115" t="n">
        <f aca="false">SUMIFS(الريسبي!$C$2:$C$1800,الريسبي!$A$2:$A$1800,$A46,الريسبي!$B$2:$B$1800,BG$1)</f>
        <v>1</v>
      </c>
      <c r="BH46" s="115" t="n">
        <f aca="false">SUMIFS(الريسبي!$C$2:$C$1800,الريسبي!$A$2:$A$1800,$A46,الريسبي!$B$2:$B$1800,BH$1)</f>
        <v>0</v>
      </c>
      <c r="BI46" s="115" t="n">
        <f aca="false">SUMIFS(الريسبي!$C$2:$C$1800,الريسبي!$A$2:$A$1800,$A46,الريسبي!$B$2:$B$1800,BI$1)</f>
        <v>0</v>
      </c>
      <c r="BJ46" s="115" t="n">
        <f aca="false">SUMIFS(الريسبي!$C$2:$C$1800,الريسبي!$A$2:$A$1800,$A46,الريسبي!$B$2:$B$1800,BJ$1)</f>
        <v>0</v>
      </c>
      <c r="BK46" s="115" t="n">
        <f aca="false">SUMIFS(الريسبي!$C$2:$C$1800,الريسبي!$A$2:$A$1800,$A46,الريسبي!$B$2:$B$1800,BK$1)</f>
        <v>0</v>
      </c>
      <c r="BL46" s="115" t="n">
        <f aca="false">SUMIFS(الريسبي!$C$2:$C$1800,الريسبي!$A$2:$A$1800,$A46,الريسبي!$B$2:$B$1800,BL$1)</f>
        <v>0</v>
      </c>
      <c r="BM46" s="115" t="n">
        <f aca="false">SUMIFS(الريسبي!$C$2:$C$1800,الريسبي!$A$2:$A$1800,$A46,الريسبي!$B$2:$B$1800,BM$1)</f>
        <v>0</v>
      </c>
      <c r="BN46" s="115" t="n">
        <f aca="false">SUMIFS(الريسبي!$C$2:$C$1800,الريسبي!$A$2:$A$1800,$A46,الريسبي!$B$2:$B$1800,BN$1)</f>
        <v>0.03</v>
      </c>
      <c r="BO46" s="115" t="n">
        <f aca="false">SUMIFS(الريسبي!$C$2:$C$1800,الريسبي!$A$2:$A$1800,$A46,الريسبي!$B$2:$B$1800,BO$1)</f>
        <v>0</v>
      </c>
      <c r="BP46" s="115" t="n">
        <f aca="false">SUMIFS(الريسبي!$C$2:$C$1800,الريسبي!$A$2:$A$1800,$A46,الريسبي!$B$2:$B$1800,BP$1)</f>
        <v>3</v>
      </c>
      <c r="BQ46" s="115"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15" t="n">
        <f aca="false">SUMIFS(الريسبي!$C$2:$C$1800,الريسبي!$A$2:$A$1800,$A46,الريسبي!$B$2:$B$1800,BR$1)</f>
        <v>1</v>
      </c>
      <c r="BS46" s="115" t="n">
        <f aca="false">SUMIFS(الريسبي!$C$2:$C$1800,الريسبي!$A$2:$A$1800,$A46,الريسبي!$B$2:$B$1800,BS$1)</f>
        <v>0</v>
      </c>
      <c r="BT46" s="115" t="n">
        <f aca="false">SUMIFS(الريسبي!$C$2:$C$1800,الريسبي!$A$2:$A$1800,$A46,الريسبي!$B$2:$B$1800,BT$1)</f>
        <v>0</v>
      </c>
      <c r="BU46" s="115"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15" t="n">
        <f aca="false">SUMIFS(الريسبي!$C$2:$C$1800,الريسبي!$A$2:$A$1800,$A46,الريسبي!$B$2:$B$1800,BV$1)</f>
        <v>0</v>
      </c>
      <c r="BW46" s="115" t="n">
        <f aca="false">SUMIFS(الريسبي!$C$2:$C$1800,الريسبي!$A$2:$A$1800,$A46,الريسبي!$B$2:$B$1800,BW$1)</f>
        <v>0</v>
      </c>
      <c r="BX46" s="115" t="n">
        <f aca="false">SUMIFS(الريسبي!$C$2:$C$1800,الريسبي!$A$2:$A$1800,$A46,الريسبي!$B$2:$B$1800,BX$1)</f>
        <v>0</v>
      </c>
      <c r="BY46" s="115" t="n">
        <f aca="false">SUMIFS(الريسبي!$C$2:$C$1800,الريسبي!$A$2:$A$1800,$A46,الريسبي!$B$2:$B$1800,BY$1)</f>
        <v>0</v>
      </c>
      <c r="BZ46" s="115" t="n">
        <f aca="false">SUMIFS(الريسبي!$C$2:$C$1800,الريسبي!$A$2:$A$1800,$A46,الريسبي!$B$2:$B$1800,BZ$1)</f>
        <v>1</v>
      </c>
      <c r="CA46" s="115" t="n">
        <f aca="false">SUMIFS(الريسبي!$C$2:$C$1800,الريسبي!$A$2:$A$1800,$A46,الريسبي!$B$2:$B$1800,CA$1)</f>
        <v>1</v>
      </c>
      <c r="CB46" s="115" t="n">
        <f aca="false">SUMIFS(الريسبي!$C$2:$C$1800,الريسبي!$A$2:$A$1800,$A46,الريسبي!$B$2:$B$1800,CB$1)</f>
        <v>0</v>
      </c>
      <c r="CC46" s="115" t="n">
        <f aca="false">SUMIFS(الريسبي!$C$2:$C$1800,الريسبي!$A$2:$A$1800,$A46,الريسبي!$B$2:$B$1800,CC$1)</f>
        <v>0</v>
      </c>
      <c r="CD46" s="115" t="n">
        <f aca="false">SUMIFS(الريسبي!$C$2:$C$1800,الريسبي!$A$2:$A$1800,$A46,الريسبي!$B$2:$B$1800,CD$1)</f>
        <v>0</v>
      </c>
      <c r="CE46" s="115" t="n">
        <f aca="false">SUMIFS(الريسبي!$C$2:$C$1800,الريسبي!$A$2:$A$1800,$A46,الريسبي!$B$2:$B$1800,CE$1)</f>
        <v>0</v>
      </c>
      <c r="CF46" s="115" t="n">
        <f aca="false">SUMIFS(الريسبي!$C$2:$C$1800,الريسبي!$A$2:$A$1800,$A46,الريسبي!$B$2:$B$1800,CF$1)</f>
        <v>0</v>
      </c>
      <c r="CG46" s="115" t="n">
        <f aca="false">SUMIFS(الريسبي!$C$2:$C$1800,الريسبي!$A$2:$A$1800,$A46,الريسبي!$B$2:$B$1800,CG$1)</f>
        <v>0</v>
      </c>
      <c r="CH46" s="115" t="n">
        <f aca="false">SUMIFS(الريسبي!$C$2:$C$1800,الريسبي!$A$2:$A$1800,$A46,الريسبي!$B$2:$B$1800,CH$1)</f>
        <v>0</v>
      </c>
    </row>
    <row r="47" customFormat="false" ht="15" hidden="false" customHeight="false" outlineLevel="0" collapsed="false">
      <c r="A47" s="114" t="str">
        <f aca="false">المنيو!B47</f>
        <v>فطيرة سكر / كاستر</v>
      </c>
      <c r="B47" s="115" t="n">
        <f aca="false">SUMIFS(الريسبي!$C$2:$C$1800,الريسبي!$A$2:$A$1800,$A47,الريسبي!$B$2:$B$1800,B$1)</f>
        <v>0</v>
      </c>
      <c r="C47" s="115" t="n">
        <f aca="false">SUMIFS(الريسبي!$C$2:$C$1800,الريسبي!$A$2:$A$1800,$A47,الريسبي!$B$2:$B$1800,C$1)</f>
        <v>1</v>
      </c>
      <c r="D47" s="115" t="n">
        <f aca="false">SUMIFS(الريسبي!$C$2:$C$1800,الريسبي!$A$2:$A$1800,$A47,الريسبي!$B$2:$B$1800,D$1)</f>
        <v>0</v>
      </c>
      <c r="E47" s="115" t="n">
        <f aca="false">SUMIFS(الريسبي!$C$2:$C$1800,الريسبي!$A$2:$A$1800,$A47,الريسبي!$B$2:$B$1800,E$1)</f>
        <v>1</v>
      </c>
      <c r="F47" s="115" t="n">
        <f aca="false">SUMIFS(الريسبي!$C$2:$C$1800,الريسبي!$A$2:$A$1800,$A47,الريسبي!$B$2:$B$1800,F$1)</f>
        <v>0</v>
      </c>
      <c r="G47" s="115" t="n">
        <f aca="false">SUMIFS(الريسبي!$C$2:$C$1800,الريسبي!$A$2:$A$1800,$A47,الريسبي!$B$2:$B$1800,G$1)</f>
        <v>0</v>
      </c>
      <c r="H47" s="115" t="n">
        <f aca="false">SUMIFS(الريسبي!$C$2:$C$1800,الريسبي!$A$2:$A$1800,$A47,الريسبي!$B$2:$B$1800,H$1)</f>
        <v>0</v>
      </c>
      <c r="I47" s="115" t="n">
        <f aca="false">SUMIFS(الريسبي!$C$2:$C$1800,الريسبي!$A$2:$A$1800,$A47,الريسبي!$B$2:$B$1800,I$1)</f>
        <v>0</v>
      </c>
      <c r="J47" s="115" t="n">
        <f aca="false">SUMIFS(الريسبي!$C$2:$C$1800,الريسبي!$A$2:$A$1800,$A47,الريسبي!$B$2:$B$1800,J$1)</f>
        <v>0</v>
      </c>
      <c r="K47" s="115" t="n">
        <f aca="false">SUMIFS(الريسبي!$C$2:$C$1800,الريسبي!$A$2:$A$1800,$A47,الريسبي!$B$2:$B$1800,K$1)</f>
        <v>0</v>
      </c>
      <c r="L47" s="115" t="n">
        <f aca="false">SUMIFS(الريسبي!$C$2:$C$1800,الريسبي!$A$2:$A$1800,$A47,الريسبي!$B$2:$B$1800,L$1)</f>
        <v>0</v>
      </c>
      <c r="M47" s="115" t="n">
        <f aca="false">SUMIFS(الريسبي!$C$2:$C$1800,الريسبي!$A$2:$A$1800,$A47,الريسبي!$B$2:$B$1800,M$1)</f>
        <v>0</v>
      </c>
      <c r="N47" s="115" t="n">
        <f aca="false">SUMIFS(الريسبي!$C$2:$C$1800,الريسبي!$A$2:$A$1800,$A47,الريسبي!$B$2:$B$1800,N$1)</f>
        <v>0</v>
      </c>
      <c r="O47" s="115" t="n">
        <f aca="false">SUMIFS(الريسبي!$C$2:$C$1800,الريسبي!$A$2:$A$1800,$A47,الريسبي!$B$2:$B$1800,O$1)</f>
        <v>0</v>
      </c>
      <c r="P47" s="115" t="n">
        <f aca="false">SUMIFS(الريسبي!$C$2:$C$1800,الريسبي!$A$2:$A$1800,$A47,الريسبي!$B$2:$B$1800,P$1)</f>
        <v>0</v>
      </c>
      <c r="Q47" s="115" t="n">
        <f aca="false">SUMIFS(الريسبي!$C$2:$C$1800,الريسبي!$A$2:$A$1800,$A47,الريسبي!$B$2:$B$1800,Q$1)</f>
        <v>0</v>
      </c>
      <c r="R47" s="115" t="n">
        <f aca="false">SUMIFS(الريسبي!$C$2:$C$1800,الريسبي!$A$2:$A$1800,$A47,الريسبي!$B$2:$B$1800,R$1)</f>
        <v>0</v>
      </c>
      <c r="S47" s="115" t="n">
        <f aca="false">SUMIFS(الريسبي!$C$2:$C$1800,الريسبي!$A$2:$A$1800,$A47,الريسبي!$B$2:$B$1800,S$1)</f>
        <v>0</v>
      </c>
      <c r="T47" s="115" t="n">
        <f aca="false">SUMIFS(الريسبي!$C$2:$C$1800,الريسبي!$A$2:$A$1800,$A47,الريسبي!$B$2:$B$1800,T$1)</f>
        <v>0</v>
      </c>
      <c r="U47" s="115" t="n">
        <f aca="false">SUMIFS(الريسبي!$C$2:$C$1800,الريسبي!$A$2:$A$1800,$A47,الريسبي!$B$2:$B$1800,U$1)</f>
        <v>0</v>
      </c>
      <c r="V47" s="115" t="n">
        <f aca="false">SUMIFS(الريسبي!$C$2:$C$1800,الريسبي!$A$2:$A$1800,$A47,الريسبي!$B$2:$B$1800,V$1)</f>
        <v>0</v>
      </c>
      <c r="W47" s="115" t="n">
        <f aca="false">SUMIFS(الريسبي!$C$2:$C$1800,الريسبي!$A$2:$A$1800,$A47,الريسبي!$B$2:$B$1800,W$1)</f>
        <v>0</v>
      </c>
      <c r="X47" s="115" t="n">
        <f aca="false">SUMIFS(الريسبي!$C$2:$C$1800,الريسبي!$A$2:$A$1800,$A47,الريسبي!$B$2:$B$1800,X$1)</f>
        <v>0</v>
      </c>
      <c r="Y47" s="115" t="n">
        <f aca="false">SUMIFS(الريسبي!$C$2:$C$1800,الريسبي!$A$2:$A$1800,$A47,الريسبي!$B$2:$B$1800,Y$1)</f>
        <v>0</v>
      </c>
      <c r="Z47" s="115" t="n">
        <f aca="false">SUMIFS(الريسبي!$C$2:$C$1800,الريسبي!$A$2:$A$1800,$A47,الريسبي!$B$2:$B$1800,Z$1)</f>
        <v>0</v>
      </c>
      <c r="AA47" s="115" t="n">
        <f aca="false">SUMIFS(الريسبي!$C$2:$C$1800,الريسبي!$A$2:$A$1800,$A47,الريسبي!$B$2:$B$1800,AA$1)</f>
        <v>0</v>
      </c>
      <c r="AB47" s="115" t="n">
        <f aca="false">SUMIFS(الريسبي!$C$2:$C$1800,الريسبي!$A$2:$A$1800,$A47,الريسبي!$B$2:$B$1800,AB$1)</f>
        <v>0</v>
      </c>
      <c r="AC47" s="115" t="n">
        <f aca="false">SUMIFS(الريسبي!$C$2:$C$1800,الريسبي!$A$2:$A$1800,$A47,الريسبي!$B$2:$B$1800,AC$1)</f>
        <v>0</v>
      </c>
      <c r="AD47" s="115" t="n">
        <f aca="false">SUMIFS(الريسبي!$C$2:$C$1800,الريسبي!$A$2:$A$1800,$A47,الريسبي!$B$2:$B$1800,AD$1)</f>
        <v>0</v>
      </c>
      <c r="AE47" s="115" t="n">
        <f aca="false">SUMIFS(الريسبي!$C$2:$C$1800,الريسبي!$A$2:$A$1800,$A47,الريسبي!$B$2:$B$1800,AE$1)</f>
        <v>0</v>
      </c>
      <c r="AF47" s="115" t="n">
        <f aca="false">SUMIFS(الريسبي!$C$2:$C$1800,الريسبي!$A$2:$A$1800,$A47,الريسبي!$B$2:$B$1800,AF$1)</f>
        <v>1</v>
      </c>
      <c r="AG47" s="115" t="n">
        <f aca="false">SUMIFS(الريسبي!$C$2:$C$1800,الريسبي!$A$2:$A$1800,$A47,الريسبي!$B$2:$B$1800,AG$1)</f>
        <v>0</v>
      </c>
      <c r="AH47" s="115" t="n">
        <f aca="false">SUMIFS(الريسبي!$C$2:$C$1800,الريسبي!$A$2:$A$1800,$A47,الريسبي!$B$2:$B$1800,AH$1)</f>
        <v>0</v>
      </c>
      <c r="AI47" s="115" t="n">
        <f aca="false">SUMIFS(الريسبي!$C$2:$C$1800,الريسبي!$A$2:$A$1800,$A47,الريسبي!$B$2:$B$1800,AI$1)</f>
        <v>0</v>
      </c>
      <c r="AJ47" s="115" t="n">
        <f aca="false">SUMIFS(الريسبي!$C$2:$C$1800,الريسبي!$A$2:$A$1800,$A47,الريسبي!$B$2:$B$1800,AJ$1)</f>
        <v>2</v>
      </c>
      <c r="AK47" s="115" t="n">
        <f aca="false">SUMIFS(الريسبي!$C$2:$C$1800,الريسبي!$A$2:$A$1800,$A47,الريسبي!$B$2:$B$1800,AK$1)</f>
        <v>0</v>
      </c>
      <c r="AL47" s="115" t="n">
        <f aca="false">SUMIFS(الريسبي!$C$2:$C$1800,الريسبي!$A$2:$A$1800,$A47,الريسبي!$B$2:$B$1800,AL$1)</f>
        <v>0</v>
      </c>
      <c r="AM47" s="115"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15"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15" t="n">
        <f aca="false">SUMIFS(الريسبي!$C$2:$C$1800,الريسبي!$A$2:$A$1800,$A47,الريسبي!$B$2:$B$1800,AO$1)</f>
        <v>0</v>
      </c>
      <c r="AP47" s="115" t="n">
        <f aca="false">SUMIFS(الريسبي!$C$2:$C$1800,الريسبي!$A$2:$A$1800,$A47,الريسبي!$B$2:$B$1800,AP$1)</f>
        <v>0</v>
      </c>
      <c r="AQ47" s="115"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15" t="n">
        <f aca="false">SUMIFS(الريسبي!$C$2:$C$1800,الريسبي!$A$2:$A$1800,$A47,الريسبي!$B$2:$B$1800,AR$1)</f>
        <v>0</v>
      </c>
      <c r="AS47" s="115" t="n">
        <f aca="false">SUMIFS(الريسبي!$C$2:$C$1800,الريسبي!$A$2:$A$1800,$A47,الريسبي!$B$2:$B$1800,AS$1)</f>
        <v>0</v>
      </c>
      <c r="AT47" s="115" t="n">
        <f aca="false">SUMIFS(الريسبي!$C$2:$C$1800,الريسبي!$A$2:$A$1800,$A47,الريسبي!$B$2:$B$1800,AT$1)</f>
        <v>1</v>
      </c>
      <c r="AU47" s="115" t="n">
        <f aca="false">SUMIFS(الريسبي!$C$2:$C$1800,الريسبي!$A$2:$A$1800,$A47,الريسبي!$B$2:$B$1800,AU$1)</f>
        <v>1</v>
      </c>
      <c r="AV47" s="115" t="n">
        <f aca="false">SUMIFS(الريسبي!$C$2:$C$1800,الريسبي!$A$2:$A$1800,$A47,الريسبي!$B$2:$B$1800,AV$1)</f>
        <v>0</v>
      </c>
      <c r="AW47" s="115" t="n">
        <f aca="false">SUMIFS(الريسبي!$C$2:$C$1800,الريسبي!$A$2:$A$1800,$A47,الريسبي!$B$2:$B$1800,AW$1)</f>
        <v>0</v>
      </c>
      <c r="AX47" s="115" t="n">
        <f aca="false">SUMIFS(الريسبي!$C$2:$C$1800,الريسبي!$A$2:$A$1800,$A47,الريسبي!$B$2:$B$1800,AX$1)</f>
        <v>0</v>
      </c>
      <c r="AY47" s="115" t="n">
        <f aca="false">SUMIFS(الريسبي!$C$2:$C$1800,الريسبي!$A$2:$A$1800,$A47,الريسبي!$B$2:$B$1800,AY$1)</f>
        <v>0</v>
      </c>
      <c r="AZ47" s="115" t="n">
        <f aca="false">SUMIFS(الريسبي!$C$2:$C$1800,الريسبي!$A$2:$A$1800,$A47,الريسبي!$B$2:$B$1800,AZ$1)</f>
        <v>0</v>
      </c>
      <c r="BA47" s="115" t="n">
        <f aca="false">SUMIFS(الريسبي!$C$2:$C$1800,الريسبي!$A$2:$A$1800,$A47,الريسبي!$B$2:$B$1800,BA$1)</f>
        <v>0</v>
      </c>
      <c r="BB47" s="115" t="n">
        <f aca="false">SUMIFS(الريسبي!$C$2:$C$1800,الريسبي!$A$2:$A$1800,$A47,الريسبي!$B$2:$B$1800,BB$1)</f>
        <v>0</v>
      </c>
      <c r="BC47" s="115" t="n">
        <f aca="false">SUMIFS(الريسبي!$C$2:$C$1800,الريسبي!$A$2:$A$1800,$A47,الريسبي!$B$2:$B$1800,BC$1)</f>
        <v>0</v>
      </c>
      <c r="BD47" s="115" t="n">
        <f aca="false">SUMIFS(الريسبي!$C$2:$C$1800,الريسبي!$A$2:$A$1800,$A47,الريسبي!$B$2:$B$1800,BD$1)</f>
        <v>0</v>
      </c>
      <c r="BE47" s="115" t="n">
        <f aca="false">SUMIFS(الريسبي!$C$2:$C$1800,الريسبي!$A$2:$A$1800,$A47,الريسبي!$B$2:$B$1800,BE$1)</f>
        <v>1</v>
      </c>
      <c r="BF47" s="115" t="n">
        <f aca="false">SUMIFS(الريسبي!$C$2:$C$1800,الريسبي!$A$2:$A$1800,$A47,الريسبي!$B$2:$B$1800,BF$1)</f>
        <v>0</v>
      </c>
      <c r="BG47" s="115" t="n">
        <f aca="false">SUMIFS(الريسبي!$C$2:$C$1800,الريسبي!$A$2:$A$1800,$A47,الريسبي!$B$2:$B$1800,BG$1)</f>
        <v>0</v>
      </c>
      <c r="BH47" s="115" t="n">
        <f aca="false">SUMIFS(الريسبي!$C$2:$C$1800,الريسبي!$A$2:$A$1800,$A47,الريسبي!$B$2:$B$1800,BH$1)</f>
        <v>0</v>
      </c>
      <c r="BI47" s="115" t="n">
        <f aca="false">SUMIFS(الريسبي!$C$2:$C$1800,الريسبي!$A$2:$A$1800,$A47,الريسبي!$B$2:$B$1800,BI$1)</f>
        <v>0</v>
      </c>
      <c r="BJ47" s="115" t="n">
        <f aca="false">SUMIFS(الريسبي!$C$2:$C$1800,الريسبي!$A$2:$A$1800,$A47,الريسبي!$B$2:$B$1800,BJ$1)</f>
        <v>0</v>
      </c>
      <c r="BK47" s="115" t="n">
        <f aca="false">SUMIFS(الريسبي!$C$2:$C$1800,الريسبي!$A$2:$A$1800,$A47,الريسبي!$B$2:$B$1800,BK$1)</f>
        <v>0</v>
      </c>
      <c r="BL47" s="115" t="n">
        <f aca="false">SUMIFS(الريسبي!$C$2:$C$1800,الريسبي!$A$2:$A$1800,$A47,الريسبي!$B$2:$B$1800,BL$1)</f>
        <v>0</v>
      </c>
      <c r="BM47" s="115" t="n">
        <f aca="false">SUMIFS(الريسبي!$C$2:$C$1800,الريسبي!$A$2:$A$1800,$A47,الريسبي!$B$2:$B$1800,BM$1)</f>
        <v>0</v>
      </c>
      <c r="BN47" s="115" t="n">
        <f aca="false">SUMIFS(الريسبي!$C$2:$C$1800,الريسبي!$A$2:$A$1800,$A47,الريسبي!$B$2:$B$1800,BN$1)</f>
        <v>0</v>
      </c>
      <c r="BO47" s="115" t="n">
        <f aca="false">SUMIFS(الريسبي!$C$2:$C$1800,الريسبي!$A$2:$A$1800,$A47,الريسبي!$B$2:$B$1800,BO$1)</f>
        <v>0</v>
      </c>
      <c r="BP47" s="115" t="n">
        <f aca="false">SUMIFS(الريسبي!$C$2:$C$1800,الريسبي!$A$2:$A$1800,$A47,الريسبي!$B$2:$B$1800,BP$1)</f>
        <v>0</v>
      </c>
      <c r="BQ47" s="115"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15" t="n">
        <f aca="false">SUMIFS(الريسبي!$C$2:$C$1800,الريسبي!$A$2:$A$1800,$A47,الريسبي!$B$2:$B$1800,BR$1)</f>
        <v>0</v>
      </c>
      <c r="BS47" s="115" t="n">
        <f aca="false">SUMIFS(الريسبي!$C$2:$C$1800,الريسبي!$A$2:$A$1800,$A47,الريسبي!$B$2:$B$1800,BS$1)</f>
        <v>0</v>
      </c>
      <c r="BT47" s="115" t="n">
        <f aca="false">SUMIFS(الريسبي!$C$2:$C$1800,الريسبي!$A$2:$A$1800,$A47,الريسبي!$B$2:$B$1800,BT$1)</f>
        <v>0</v>
      </c>
      <c r="BU47" s="115"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15" t="n">
        <f aca="false">SUMIFS(الريسبي!$C$2:$C$1800,الريسبي!$A$2:$A$1800,$A47,الريسبي!$B$2:$B$1800,BV$1)</f>
        <v>0</v>
      </c>
      <c r="BW47" s="115" t="n">
        <f aca="false">SUMIFS(الريسبي!$C$2:$C$1800,الريسبي!$A$2:$A$1800,$A47,الريسبي!$B$2:$B$1800,BW$1)</f>
        <v>0</v>
      </c>
      <c r="BX47" s="115" t="n">
        <f aca="false">SUMIFS(الريسبي!$C$2:$C$1800,الريسبي!$A$2:$A$1800,$A47,الريسبي!$B$2:$B$1800,BX$1)</f>
        <v>0</v>
      </c>
      <c r="BY47" s="115" t="n">
        <f aca="false">SUMIFS(الريسبي!$C$2:$C$1800,الريسبي!$A$2:$A$1800,$A47,الريسبي!$B$2:$B$1800,BY$1)</f>
        <v>0</v>
      </c>
      <c r="BZ47" s="115" t="n">
        <f aca="false">SUMIFS(الريسبي!$C$2:$C$1800,الريسبي!$A$2:$A$1800,$A47,الريسبي!$B$2:$B$1800,BZ$1)</f>
        <v>0</v>
      </c>
      <c r="CA47" s="115" t="n">
        <f aca="false">SUMIFS(الريسبي!$C$2:$C$1800,الريسبي!$A$2:$A$1800,$A47,الريسبي!$B$2:$B$1800,CA$1)</f>
        <v>0</v>
      </c>
      <c r="CB47" s="115" t="n">
        <f aca="false">SUMIFS(الريسبي!$C$2:$C$1800,الريسبي!$A$2:$A$1800,$A47,الريسبي!$B$2:$B$1800,CB$1)</f>
        <v>0</v>
      </c>
      <c r="CC47" s="115" t="n">
        <f aca="false">SUMIFS(الريسبي!$C$2:$C$1800,الريسبي!$A$2:$A$1800,$A47,الريسبي!$B$2:$B$1800,CC$1)</f>
        <v>0</v>
      </c>
      <c r="CD47" s="115" t="n">
        <f aca="false">SUMIFS(الريسبي!$C$2:$C$1800,الريسبي!$A$2:$A$1800,$A47,الريسبي!$B$2:$B$1800,CD$1)</f>
        <v>0</v>
      </c>
      <c r="CE47" s="115" t="n">
        <f aca="false">SUMIFS(الريسبي!$C$2:$C$1800,الريسبي!$A$2:$A$1800,$A47,الريسبي!$B$2:$B$1800,CE$1)</f>
        <v>0</v>
      </c>
      <c r="CF47" s="115" t="n">
        <f aca="false">SUMIFS(الريسبي!$C$2:$C$1800,الريسبي!$A$2:$A$1800,$A47,الريسبي!$B$2:$B$1800,CF$1)</f>
        <v>0</v>
      </c>
      <c r="CG47" s="115" t="n">
        <f aca="false">SUMIFS(الريسبي!$C$2:$C$1800,الريسبي!$A$2:$A$1800,$A47,الريسبي!$B$2:$B$1800,CG$1)</f>
        <v>0</v>
      </c>
      <c r="CH47" s="115" t="n">
        <f aca="false">SUMIFS(الريسبي!$C$2:$C$1800,الريسبي!$A$2:$A$1800,$A47,الريسبي!$B$2:$B$1800,CH$1)</f>
        <v>0</v>
      </c>
    </row>
    <row r="48" customFormat="false" ht="15" hidden="false" customHeight="false" outlineLevel="0" collapsed="false">
      <c r="A48" s="114" t="str">
        <f aca="false">المنيو!B48</f>
        <v>فطيرة ملوكي زبيب وجوزهند</v>
      </c>
      <c r="B48" s="115" t="n">
        <f aca="false">SUMIFS(الريسبي!$C$2:$C$1800,الريسبي!$A$2:$A$1800,$A48,الريسبي!$B$2:$B$1800,B$1)</f>
        <v>0</v>
      </c>
      <c r="C48" s="115" t="n">
        <f aca="false">SUMIFS(الريسبي!$C$2:$C$1800,الريسبي!$A$2:$A$1800,$A48,الريسبي!$B$2:$B$1800,C$1)</f>
        <v>0</v>
      </c>
      <c r="D48" s="115" t="n">
        <f aca="false">SUMIFS(الريسبي!$C$2:$C$1800,الريسبي!$A$2:$A$1800,$A48,الريسبي!$B$2:$B$1800,D$1)</f>
        <v>0</v>
      </c>
      <c r="E48" s="115" t="n">
        <f aca="false">SUMIFS(الريسبي!$C$2:$C$1800,الريسبي!$A$2:$A$1800,$A48,الريسبي!$B$2:$B$1800,E$1)</f>
        <v>1</v>
      </c>
      <c r="F48" s="115" t="n">
        <f aca="false">SUMIFS(الريسبي!$C$2:$C$1800,الريسبي!$A$2:$A$1800,$A48,الريسبي!$B$2:$B$1800,F$1)</f>
        <v>0</v>
      </c>
      <c r="G48" s="115" t="n">
        <f aca="false">SUMIFS(الريسبي!$C$2:$C$1800,الريسبي!$A$2:$A$1800,$A48,الريسبي!$B$2:$B$1800,G$1)</f>
        <v>0</v>
      </c>
      <c r="H48" s="115" t="n">
        <f aca="false">SUMIFS(الريسبي!$C$2:$C$1800,الريسبي!$A$2:$A$1800,$A48,الريسبي!$B$2:$B$1800,H$1)</f>
        <v>0</v>
      </c>
      <c r="I48" s="115" t="n">
        <f aca="false">SUMIFS(الريسبي!$C$2:$C$1800,الريسبي!$A$2:$A$1800,$A48,الريسبي!$B$2:$B$1800,I$1)</f>
        <v>0</v>
      </c>
      <c r="J48" s="115" t="n">
        <f aca="false">SUMIFS(الريسبي!$C$2:$C$1800,الريسبي!$A$2:$A$1800,$A48,الريسبي!$B$2:$B$1800,J$1)</f>
        <v>0</v>
      </c>
      <c r="K48" s="115" t="n">
        <f aca="false">SUMIFS(الريسبي!$C$2:$C$1800,الريسبي!$A$2:$A$1800,$A48,الريسبي!$B$2:$B$1800,K$1)</f>
        <v>0</v>
      </c>
      <c r="L48" s="115" t="n">
        <f aca="false">SUMIFS(الريسبي!$C$2:$C$1800,الريسبي!$A$2:$A$1800,$A48,الريسبي!$B$2:$B$1800,L$1)</f>
        <v>0</v>
      </c>
      <c r="M48" s="115" t="n">
        <f aca="false">SUMIFS(الريسبي!$C$2:$C$1800,الريسبي!$A$2:$A$1800,$A48,الريسبي!$B$2:$B$1800,M$1)</f>
        <v>0</v>
      </c>
      <c r="N48" s="115" t="n">
        <f aca="false">SUMIFS(الريسبي!$C$2:$C$1800,الريسبي!$A$2:$A$1800,$A48,الريسبي!$B$2:$B$1800,N$1)</f>
        <v>0</v>
      </c>
      <c r="O48" s="115" t="n">
        <f aca="false">SUMIFS(الريسبي!$C$2:$C$1800,الريسبي!$A$2:$A$1800,$A48,الريسبي!$B$2:$B$1800,O$1)</f>
        <v>0</v>
      </c>
      <c r="P48" s="115" t="n">
        <f aca="false">SUMIFS(الريسبي!$C$2:$C$1800,الريسبي!$A$2:$A$1800,$A48,الريسبي!$B$2:$B$1800,P$1)</f>
        <v>0</v>
      </c>
      <c r="Q48" s="115" t="n">
        <f aca="false">SUMIFS(الريسبي!$C$2:$C$1800,الريسبي!$A$2:$A$1800,$A48,الريسبي!$B$2:$B$1800,Q$1)</f>
        <v>0</v>
      </c>
      <c r="R48" s="115" t="n">
        <f aca="false">SUMIFS(الريسبي!$C$2:$C$1800,الريسبي!$A$2:$A$1800,$A48,الريسبي!$B$2:$B$1800,R$1)</f>
        <v>0</v>
      </c>
      <c r="S48" s="115" t="n">
        <f aca="false">SUMIFS(الريسبي!$C$2:$C$1800,الريسبي!$A$2:$A$1800,$A48,الريسبي!$B$2:$B$1800,S$1)</f>
        <v>0</v>
      </c>
      <c r="T48" s="115" t="n">
        <f aca="false">SUMIFS(الريسبي!$C$2:$C$1800,الريسبي!$A$2:$A$1800,$A48,الريسبي!$B$2:$B$1800,T$1)</f>
        <v>0</v>
      </c>
      <c r="U48" s="115" t="n">
        <f aca="false">SUMIFS(الريسبي!$C$2:$C$1800,الريسبي!$A$2:$A$1800,$A48,الريسبي!$B$2:$B$1800,U$1)</f>
        <v>0</v>
      </c>
      <c r="V48" s="115" t="n">
        <f aca="false">SUMIFS(الريسبي!$C$2:$C$1800,الريسبي!$A$2:$A$1800,$A48,الريسبي!$B$2:$B$1800,V$1)</f>
        <v>0</v>
      </c>
      <c r="W48" s="115" t="n">
        <f aca="false">SUMIFS(الريسبي!$C$2:$C$1800,الريسبي!$A$2:$A$1800,$A48,الريسبي!$B$2:$B$1800,W$1)</f>
        <v>0</v>
      </c>
      <c r="X48" s="115" t="n">
        <f aca="false">SUMIFS(الريسبي!$C$2:$C$1800,الريسبي!$A$2:$A$1800,$A48,الريسبي!$B$2:$B$1800,X$1)</f>
        <v>0</v>
      </c>
      <c r="Y48" s="115" t="n">
        <f aca="false">SUMIFS(الريسبي!$C$2:$C$1800,الريسبي!$A$2:$A$1800,$A48,الريسبي!$B$2:$B$1800,Y$1)</f>
        <v>0</v>
      </c>
      <c r="Z48" s="115" t="n">
        <f aca="false">SUMIFS(الريسبي!$C$2:$C$1800,الريسبي!$A$2:$A$1800,$A48,الريسبي!$B$2:$B$1800,Z$1)</f>
        <v>0</v>
      </c>
      <c r="AA48" s="115" t="n">
        <f aca="false">SUMIFS(الريسبي!$C$2:$C$1800,الريسبي!$A$2:$A$1800,$A48,الريسبي!$B$2:$B$1800,AA$1)</f>
        <v>0</v>
      </c>
      <c r="AB48" s="115" t="n">
        <f aca="false">SUMIFS(الريسبي!$C$2:$C$1800,الريسبي!$A$2:$A$1800,$A48,الريسبي!$B$2:$B$1800,AB$1)</f>
        <v>0</v>
      </c>
      <c r="AC48" s="115" t="n">
        <f aca="false">SUMIFS(الريسبي!$C$2:$C$1800,الريسبي!$A$2:$A$1800,$A48,الريسبي!$B$2:$B$1800,AC$1)</f>
        <v>0</v>
      </c>
      <c r="AD48" s="115" t="n">
        <f aca="false">SUMIFS(الريسبي!$C$2:$C$1800,الريسبي!$A$2:$A$1800,$A48,الريسبي!$B$2:$B$1800,AD$1)</f>
        <v>0</v>
      </c>
      <c r="AE48" s="115" t="n">
        <f aca="false">SUMIFS(الريسبي!$C$2:$C$1800,الريسبي!$A$2:$A$1800,$A48,الريسبي!$B$2:$B$1800,AE$1)</f>
        <v>0</v>
      </c>
      <c r="AF48" s="115" t="n">
        <f aca="false">SUMIFS(الريسبي!$C$2:$C$1800,الريسبي!$A$2:$A$1800,$A48,الريسبي!$B$2:$B$1800,AF$1)</f>
        <v>1</v>
      </c>
      <c r="AG48" s="115" t="n">
        <f aca="false">SUMIFS(الريسبي!$C$2:$C$1800,الريسبي!$A$2:$A$1800,$A48,الريسبي!$B$2:$B$1800,AG$1)</f>
        <v>0</v>
      </c>
      <c r="AH48" s="115" t="n">
        <f aca="false">SUMIFS(الريسبي!$C$2:$C$1800,الريسبي!$A$2:$A$1800,$A48,الريسبي!$B$2:$B$1800,AH$1)</f>
        <v>0</v>
      </c>
      <c r="AI48" s="115" t="n">
        <f aca="false">SUMIFS(الريسبي!$C$2:$C$1800,الريسبي!$A$2:$A$1800,$A48,الريسبي!$B$2:$B$1800,AI$1)</f>
        <v>0</v>
      </c>
      <c r="AJ48" s="115" t="n">
        <f aca="false">SUMIFS(الريسبي!$C$2:$C$1800,الريسبي!$A$2:$A$1800,$A48,الريسبي!$B$2:$B$1800,AJ$1)</f>
        <v>0</v>
      </c>
      <c r="AK48" s="115" t="n">
        <f aca="false">SUMIFS(الريسبي!$C$2:$C$1800,الريسبي!$A$2:$A$1800,$A48,الريسبي!$B$2:$B$1800,AK$1)</f>
        <v>0.03</v>
      </c>
      <c r="AL48" s="115" t="n">
        <f aca="false">SUMIFS(الريسبي!$C$2:$C$1800,الريسبي!$A$2:$A$1800,$A48,الريسبي!$B$2:$B$1800,AL$1)</f>
        <v>0</v>
      </c>
      <c r="AM48" s="115"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15"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15" t="n">
        <f aca="false">SUMIFS(الريسبي!$C$2:$C$1800,الريسبي!$A$2:$A$1800,$A48,الريسبي!$B$2:$B$1800,AO$1)</f>
        <v>0.06</v>
      </c>
      <c r="AP48" s="115" t="n">
        <f aca="false">SUMIFS(الريسبي!$C$2:$C$1800,الريسبي!$A$2:$A$1800,$A48,الريسبي!$B$2:$B$1800,AP$1)</f>
        <v>0</v>
      </c>
      <c r="AQ48" s="115"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15" t="n">
        <f aca="false">SUMIFS(الريسبي!$C$2:$C$1800,الريسبي!$A$2:$A$1800,$A48,الريسبي!$B$2:$B$1800,AR$1)</f>
        <v>0</v>
      </c>
      <c r="AS48" s="115" t="n">
        <f aca="false">SUMIFS(الريسبي!$C$2:$C$1800,الريسبي!$A$2:$A$1800,$A48,الريسبي!$B$2:$B$1800,AS$1)</f>
        <v>0</v>
      </c>
      <c r="AT48" s="115" t="n">
        <f aca="false">SUMIFS(الريسبي!$C$2:$C$1800,الريسبي!$A$2:$A$1800,$A48,الريسبي!$B$2:$B$1800,AT$1)</f>
        <v>0</v>
      </c>
      <c r="AU48" s="115" t="n">
        <f aca="false">SUMIFS(الريسبي!$C$2:$C$1800,الريسبي!$A$2:$A$1800,$A48,الريسبي!$B$2:$B$1800,AU$1)</f>
        <v>1</v>
      </c>
      <c r="AV48" s="115" t="n">
        <f aca="false">SUMIFS(الريسبي!$C$2:$C$1800,الريسبي!$A$2:$A$1800,$A48,الريسبي!$B$2:$B$1800,AV$1)</f>
        <v>0</v>
      </c>
      <c r="AW48" s="115" t="n">
        <f aca="false">SUMIFS(الريسبي!$C$2:$C$1800,الريسبي!$A$2:$A$1800,$A48,الريسبي!$B$2:$B$1800,AW$1)</f>
        <v>0</v>
      </c>
      <c r="AX48" s="115" t="n">
        <f aca="false">SUMIFS(الريسبي!$C$2:$C$1800,الريسبي!$A$2:$A$1800,$A48,الريسبي!$B$2:$B$1800,AX$1)</f>
        <v>0</v>
      </c>
      <c r="AY48" s="115" t="n">
        <f aca="false">SUMIFS(الريسبي!$C$2:$C$1800,الريسبي!$A$2:$A$1800,$A48,الريسبي!$B$2:$B$1800,AY$1)</f>
        <v>0</v>
      </c>
      <c r="AZ48" s="115" t="n">
        <f aca="false">SUMIFS(الريسبي!$C$2:$C$1800,الريسبي!$A$2:$A$1800,$A48,الريسبي!$B$2:$B$1800,AZ$1)</f>
        <v>0</v>
      </c>
      <c r="BA48" s="115" t="n">
        <f aca="false">SUMIFS(الريسبي!$C$2:$C$1800,الريسبي!$A$2:$A$1800,$A48,الريسبي!$B$2:$B$1800,BA$1)</f>
        <v>0</v>
      </c>
      <c r="BB48" s="115" t="n">
        <f aca="false">SUMIFS(الريسبي!$C$2:$C$1800,الريسبي!$A$2:$A$1800,$A48,الريسبي!$B$2:$B$1800,BB$1)</f>
        <v>0</v>
      </c>
      <c r="BC48" s="115" t="n">
        <f aca="false">SUMIFS(الريسبي!$C$2:$C$1800,الريسبي!$A$2:$A$1800,$A48,الريسبي!$B$2:$B$1800,BC$1)</f>
        <v>0</v>
      </c>
      <c r="BD48" s="115" t="n">
        <f aca="false">SUMIFS(الريسبي!$C$2:$C$1800,الريسبي!$A$2:$A$1800,$A48,الريسبي!$B$2:$B$1800,BD$1)</f>
        <v>0</v>
      </c>
      <c r="BE48" s="115" t="n">
        <f aca="false">SUMIFS(الريسبي!$C$2:$C$1800,الريسبي!$A$2:$A$1800,$A48,الريسبي!$B$2:$B$1800,BE$1)</f>
        <v>1</v>
      </c>
      <c r="BF48" s="115" t="n">
        <f aca="false">SUMIFS(الريسبي!$C$2:$C$1800,الريسبي!$A$2:$A$1800,$A48,الريسبي!$B$2:$B$1800,BF$1)</f>
        <v>0</v>
      </c>
      <c r="BG48" s="115" t="n">
        <f aca="false">SUMIFS(الريسبي!$C$2:$C$1800,الريسبي!$A$2:$A$1800,$A48,الريسبي!$B$2:$B$1800,BG$1)</f>
        <v>0</v>
      </c>
      <c r="BH48" s="115" t="n">
        <f aca="false">SUMIFS(الريسبي!$C$2:$C$1800,الريسبي!$A$2:$A$1800,$A48,الريسبي!$B$2:$B$1800,BH$1)</f>
        <v>0</v>
      </c>
      <c r="BI48" s="115" t="n">
        <f aca="false">SUMIFS(الريسبي!$C$2:$C$1800,الريسبي!$A$2:$A$1800,$A48,الريسبي!$B$2:$B$1800,BI$1)</f>
        <v>0</v>
      </c>
      <c r="BJ48" s="115" t="n">
        <f aca="false">SUMIFS(الريسبي!$C$2:$C$1800,الريسبي!$A$2:$A$1800,$A48,الريسبي!$B$2:$B$1800,BJ$1)</f>
        <v>0</v>
      </c>
      <c r="BK48" s="115" t="n">
        <f aca="false">SUMIFS(الريسبي!$C$2:$C$1800,الريسبي!$A$2:$A$1800,$A48,الريسبي!$B$2:$B$1800,BK$1)</f>
        <v>1</v>
      </c>
      <c r="BL48" s="115" t="n">
        <f aca="false">SUMIFS(الريسبي!$C$2:$C$1800,الريسبي!$A$2:$A$1800,$A48,الريسبي!$B$2:$B$1800,BL$1)</f>
        <v>0</v>
      </c>
      <c r="BM48" s="115" t="n">
        <f aca="false">SUMIFS(الريسبي!$C$2:$C$1800,الريسبي!$A$2:$A$1800,$A48,الريسبي!$B$2:$B$1800,BM$1)</f>
        <v>0</v>
      </c>
      <c r="BN48" s="115" t="n">
        <f aca="false">SUMIFS(الريسبي!$C$2:$C$1800,الريسبي!$A$2:$A$1800,$A48,الريسبي!$B$2:$B$1800,BN$1)</f>
        <v>0</v>
      </c>
      <c r="BO48" s="115" t="n">
        <f aca="false">SUMIFS(الريسبي!$C$2:$C$1800,الريسبي!$A$2:$A$1800,$A48,الريسبي!$B$2:$B$1800,BO$1)</f>
        <v>0</v>
      </c>
      <c r="BP48" s="115" t="n">
        <f aca="false">SUMIFS(الريسبي!$C$2:$C$1800,الريسبي!$A$2:$A$1800,$A48,الريسبي!$B$2:$B$1800,BP$1)</f>
        <v>0</v>
      </c>
      <c r="BQ48" s="115"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15" t="n">
        <f aca="false">SUMIFS(الريسبي!$C$2:$C$1800,الريسبي!$A$2:$A$1800,$A48,الريسبي!$B$2:$B$1800,BR$1)</f>
        <v>0</v>
      </c>
      <c r="BS48" s="115" t="n">
        <f aca="false">SUMIFS(الريسبي!$C$2:$C$1800,الريسبي!$A$2:$A$1800,$A48,الريسبي!$B$2:$B$1800,BS$1)</f>
        <v>0</v>
      </c>
      <c r="BT48" s="115" t="n">
        <f aca="false">SUMIFS(الريسبي!$C$2:$C$1800,الريسبي!$A$2:$A$1800,$A48,الريسبي!$B$2:$B$1800,BT$1)</f>
        <v>0</v>
      </c>
      <c r="BU48" s="115"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15" t="n">
        <f aca="false">SUMIFS(الريسبي!$C$2:$C$1800,الريسبي!$A$2:$A$1800,$A48,الريسبي!$B$2:$B$1800,BV$1)</f>
        <v>0</v>
      </c>
      <c r="BW48" s="115" t="n">
        <f aca="false">SUMIFS(الريسبي!$C$2:$C$1800,الريسبي!$A$2:$A$1800,$A48,الريسبي!$B$2:$B$1800,BW$1)</f>
        <v>0</v>
      </c>
      <c r="BX48" s="115" t="n">
        <f aca="false">SUMIFS(الريسبي!$C$2:$C$1800,الريسبي!$A$2:$A$1800,$A48,الريسبي!$B$2:$B$1800,BX$1)</f>
        <v>0</v>
      </c>
      <c r="BY48" s="115" t="n">
        <f aca="false">SUMIFS(الريسبي!$C$2:$C$1800,الريسبي!$A$2:$A$1800,$A48,الريسبي!$B$2:$B$1800,BY$1)</f>
        <v>0</v>
      </c>
      <c r="BZ48" s="115" t="n">
        <f aca="false">SUMIFS(الريسبي!$C$2:$C$1800,الريسبي!$A$2:$A$1800,$A48,الريسبي!$B$2:$B$1800,BZ$1)</f>
        <v>0</v>
      </c>
      <c r="CA48" s="115" t="n">
        <f aca="false">SUMIFS(الريسبي!$C$2:$C$1800,الريسبي!$A$2:$A$1800,$A48,الريسبي!$B$2:$B$1800,CA$1)</f>
        <v>0</v>
      </c>
      <c r="CB48" s="115" t="n">
        <f aca="false">SUMIFS(الريسبي!$C$2:$C$1800,الريسبي!$A$2:$A$1800,$A48,الريسبي!$B$2:$B$1800,CB$1)</f>
        <v>0</v>
      </c>
      <c r="CC48" s="115" t="n">
        <f aca="false">SUMIFS(الريسبي!$C$2:$C$1800,الريسبي!$A$2:$A$1800,$A48,الريسبي!$B$2:$B$1800,CC$1)</f>
        <v>0</v>
      </c>
      <c r="CD48" s="115" t="n">
        <f aca="false">SUMIFS(الريسبي!$C$2:$C$1800,الريسبي!$A$2:$A$1800,$A48,الريسبي!$B$2:$B$1800,CD$1)</f>
        <v>0</v>
      </c>
      <c r="CE48" s="115" t="n">
        <f aca="false">SUMIFS(الريسبي!$C$2:$C$1800,الريسبي!$A$2:$A$1800,$A48,الريسبي!$B$2:$B$1800,CE$1)</f>
        <v>0</v>
      </c>
      <c r="CF48" s="115" t="n">
        <f aca="false">SUMIFS(الريسبي!$C$2:$C$1800,الريسبي!$A$2:$A$1800,$A48,الريسبي!$B$2:$B$1800,CF$1)</f>
        <v>0</v>
      </c>
      <c r="CG48" s="115" t="n">
        <f aca="false">SUMIFS(الريسبي!$C$2:$C$1800,الريسبي!$A$2:$A$1800,$A48,الريسبي!$B$2:$B$1800,CG$1)</f>
        <v>0</v>
      </c>
      <c r="CH48" s="115" t="n">
        <f aca="false">SUMIFS(الريسبي!$C$2:$C$1800,الريسبي!$A$2:$A$1800,$A48,الريسبي!$B$2:$B$1800,CH$1)</f>
        <v>0</v>
      </c>
    </row>
    <row r="49" customFormat="false" ht="15" hidden="false" customHeight="false" outlineLevel="0" collapsed="false">
      <c r="A49" s="114" t="str">
        <f aca="false">المنيو!B49</f>
        <v>فطيرة قشطة عسل مكسرات</v>
      </c>
      <c r="B49" s="115" t="n">
        <f aca="false">SUMIFS(الريسبي!$C$2:$C$1800,الريسبي!$A$2:$A$1800,$A49,الريسبي!$B$2:$B$1800,B$1)</f>
        <v>0</v>
      </c>
      <c r="C49" s="115" t="n">
        <f aca="false">SUMIFS(الريسبي!$C$2:$C$1800,الريسبي!$A$2:$A$1800,$A49,الريسبي!$B$2:$B$1800,C$1)</f>
        <v>0</v>
      </c>
      <c r="D49" s="115" t="n">
        <f aca="false">SUMIFS(الريسبي!$C$2:$C$1800,الريسبي!$A$2:$A$1800,$A49,الريسبي!$B$2:$B$1800,D$1)</f>
        <v>0</v>
      </c>
      <c r="E49" s="115" t="n">
        <f aca="false">SUMIFS(الريسبي!$C$2:$C$1800,الريسبي!$A$2:$A$1800,$A49,الريسبي!$B$2:$B$1800,E$1)</f>
        <v>1</v>
      </c>
      <c r="F49" s="115" t="n">
        <f aca="false">SUMIFS(الريسبي!$C$2:$C$1800,الريسبي!$A$2:$A$1800,$A49,الريسبي!$B$2:$B$1800,F$1)</f>
        <v>0</v>
      </c>
      <c r="G49" s="115" t="n">
        <f aca="false">SUMIFS(الريسبي!$C$2:$C$1800,الريسبي!$A$2:$A$1800,$A49,الريسبي!$B$2:$B$1800,G$1)</f>
        <v>0</v>
      </c>
      <c r="H49" s="115" t="n">
        <f aca="false">SUMIFS(الريسبي!$C$2:$C$1800,الريسبي!$A$2:$A$1800,$A49,الريسبي!$B$2:$B$1800,H$1)</f>
        <v>0</v>
      </c>
      <c r="I49" s="115" t="n">
        <f aca="false">SUMIFS(الريسبي!$C$2:$C$1800,الريسبي!$A$2:$A$1800,$A49,الريسبي!$B$2:$B$1800,I$1)</f>
        <v>0</v>
      </c>
      <c r="J49" s="115" t="n">
        <f aca="false">SUMIFS(الريسبي!$C$2:$C$1800,الريسبي!$A$2:$A$1800,$A49,الريسبي!$B$2:$B$1800,J$1)</f>
        <v>0</v>
      </c>
      <c r="K49" s="115" t="n">
        <f aca="false">SUMIFS(الريسبي!$C$2:$C$1800,الريسبي!$A$2:$A$1800,$A49,الريسبي!$B$2:$B$1800,K$1)</f>
        <v>0</v>
      </c>
      <c r="L49" s="115" t="n">
        <f aca="false">SUMIFS(الريسبي!$C$2:$C$1800,الريسبي!$A$2:$A$1800,$A49,الريسبي!$B$2:$B$1800,L$1)</f>
        <v>0</v>
      </c>
      <c r="M49" s="115" t="n">
        <f aca="false">SUMIFS(الريسبي!$C$2:$C$1800,الريسبي!$A$2:$A$1800,$A49,الريسبي!$B$2:$B$1800,M$1)</f>
        <v>0</v>
      </c>
      <c r="N49" s="115" t="n">
        <f aca="false">SUMIFS(الريسبي!$C$2:$C$1800,الريسبي!$A$2:$A$1800,$A49,الريسبي!$B$2:$B$1800,N$1)</f>
        <v>0</v>
      </c>
      <c r="O49" s="115" t="n">
        <f aca="false">SUMIFS(الريسبي!$C$2:$C$1800,الريسبي!$A$2:$A$1800,$A49,الريسبي!$B$2:$B$1800,O$1)</f>
        <v>0</v>
      </c>
      <c r="P49" s="115" t="n">
        <f aca="false">SUMIFS(الريسبي!$C$2:$C$1800,الريسبي!$A$2:$A$1800,$A49,الريسبي!$B$2:$B$1800,P$1)</f>
        <v>0</v>
      </c>
      <c r="Q49" s="115" t="n">
        <f aca="false">SUMIFS(الريسبي!$C$2:$C$1800,الريسبي!$A$2:$A$1800,$A49,الريسبي!$B$2:$B$1800,Q$1)</f>
        <v>0</v>
      </c>
      <c r="R49" s="115" t="n">
        <f aca="false">SUMIFS(الريسبي!$C$2:$C$1800,الريسبي!$A$2:$A$1800,$A49,الريسبي!$B$2:$B$1800,R$1)</f>
        <v>0</v>
      </c>
      <c r="S49" s="115" t="n">
        <f aca="false">SUMIFS(الريسبي!$C$2:$C$1800,الريسبي!$A$2:$A$1800,$A49,الريسبي!$B$2:$B$1800,S$1)</f>
        <v>1</v>
      </c>
      <c r="T49" s="115" t="n">
        <f aca="false">SUMIFS(الريسبي!$C$2:$C$1800,الريسبي!$A$2:$A$1800,$A49,الريسبي!$B$2:$B$1800,T$1)</f>
        <v>0</v>
      </c>
      <c r="U49" s="115" t="n">
        <f aca="false">SUMIFS(الريسبي!$C$2:$C$1800,الريسبي!$A$2:$A$1800,$A49,الريسبي!$B$2:$B$1800,U$1)</f>
        <v>1</v>
      </c>
      <c r="V49" s="115" t="n">
        <f aca="false">SUMIFS(الريسبي!$C$2:$C$1800,الريسبي!$A$2:$A$1800,$A49,الريسبي!$B$2:$B$1800,V$1)</f>
        <v>0</v>
      </c>
      <c r="W49" s="115" t="n">
        <f aca="false">SUMIFS(الريسبي!$C$2:$C$1800,الريسبي!$A$2:$A$1800,$A49,الريسبي!$B$2:$B$1800,W$1)</f>
        <v>0</v>
      </c>
      <c r="X49" s="115" t="n">
        <f aca="false">SUMIFS(الريسبي!$C$2:$C$1800,الريسبي!$A$2:$A$1800,$A49,الريسبي!$B$2:$B$1800,X$1)</f>
        <v>0</v>
      </c>
      <c r="Y49" s="115" t="n">
        <f aca="false">SUMIFS(الريسبي!$C$2:$C$1800,الريسبي!$A$2:$A$1800,$A49,الريسبي!$B$2:$B$1800,Y$1)</f>
        <v>0</v>
      </c>
      <c r="Z49" s="115" t="n">
        <f aca="false">SUMIFS(الريسبي!$C$2:$C$1800,الريسبي!$A$2:$A$1800,$A49,الريسبي!$B$2:$B$1800,Z$1)</f>
        <v>0</v>
      </c>
      <c r="AA49" s="115" t="n">
        <f aca="false">SUMIFS(الريسبي!$C$2:$C$1800,الريسبي!$A$2:$A$1800,$A49,الريسبي!$B$2:$B$1800,AA$1)</f>
        <v>0</v>
      </c>
      <c r="AB49" s="115" t="n">
        <f aca="false">SUMIFS(الريسبي!$C$2:$C$1800,الريسبي!$A$2:$A$1800,$A49,الريسبي!$B$2:$B$1800,AB$1)</f>
        <v>0</v>
      </c>
      <c r="AC49" s="115" t="n">
        <f aca="false">SUMIFS(الريسبي!$C$2:$C$1800,الريسبي!$A$2:$A$1800,$A49,الريسبي!$B$2:$B$1800,AC$1)</f>
        <v>0</v>
      </c>
      <c r="AD49" s="115" t="n">
        <f aca="false">SUMIFS(الريسبي!$C$2:$C$1800,الريسبي!$A$2:$A$1800,$A49,الريسبي!$B$2:$B$1800,AD$1)</f>
        <v>0</v>
      </c>
      <c r="AE49" s="115" t="n">
        <f aca="false">SUMIFS(الريسبي!$C$2:$C$1800,الريسبي!$A$2:$A$1800,$A49,الريسبي!$B$2:$B$1800,AE$1)</f>
        <v>0</v>
      </c>
      <c r="AF49" s="115" t="n">
        <f aca="false">SUMIFS(الريسبي!$C$2:$C$1800,الريسبي!$A$2:$A$1800,$A49,الريسبي!$B$2:$B$1800,AF$1)</f>
        <v>1</v>
      </c>
      <c r="AG49" s="115" t="n">
        <f aca="false">SUMIFS(الريسبي!$C$2:$C$1800,الريسبي!$A$2:$A$1800,$A49,الريسبي!$B$2:$B$1800,AG$1)</f>
        <v>0</v>
      </c>
      <c r="AH49" s="115" t="n">
        <f aca="false">SUMIFS(الريسبي!$C$2:$C$1800,الريسبي!$A$2:$A$1800,$A49,الريسبي!$B$2:$B$1800,AH$1)</f>
        <v>0</v>
      </c>
      <c r="AI49" s="115" t="n">
        <f aca="false">SUMIFS(الريسبي!$C$2:$C$1800,الريسبي!$A$2:$A$1800,$A49,الريسبي!$B$2:$B$1800,AI$1)</f>
        <v>0</v>
      </c>
      <c r="AJ49" s="115" t="n">
        <f aca="false">SUMIFS(الريسبي!$C$2:$C$1800,الريسبي!$A$2:$A$1800,$A49,الريسبي!$B$2:$B$1800,AJ$1)</f>
        <v>0</v>
      </c>
      <c r="AK49" s="115" t="n">
        <f aca="false">SUMIFS(الريسبي!$C$2:$C$1800,الريسبي!$A$2:$A$1800,$A49,الريسبي!$B$2:$B$1800,AK$1)</f>
        <v>0</v>
      </c>
      <c r="AL49" s="115" t="n">
        <f aca="false">SUMIFS(الريسبي!$C$2:$C$1800,الريسبي!$A$2:$A$1800,$A49,الريسبي!$B$2:$B$1800,AL$1)</f>
        <v>0</v>
      </c>
      <c r="AM49" s="115"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15"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15" t="n">
        <f aca="false">SUMIFS(الريسبي!$C$2:$C$1800,الريسبي!$A$2:$A$1800,$A49,الريسبي!$B$2:$B$1800,AO$1)</f>
        <v>0</v>
      </c>
      <c r="AP49" s="115" t="n">
        <f aca="false">SUMIFS(الريسبي!$C$2:$C$1800,الريسبي!$A$2:$A$1800,$A49,الريسبي!$B$2:$B$1800,AP$1)</f>
        <v>0</v>
      </c>
      <c r="AQ49" s="115"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15" t="n">
        <f aca="false">SUMIFS(الريسبي!$C$2:$C$1800,الريسبي!$A$2:$A$1800,$A49,الريسبي!$B$2:$B$1800,AR$1)</f>
        <v>0</v>
      </c>
      <c r="AS49" s="115" t="n">
        <f aca="false">SUMIFS(الريسبي!$C$2:$C$1800,الريسبي!$A$2:$A$1800,$A49,الريسبي!$B$2:$B$1800,AS$1)</f>
        <v>0</v>
      </c>
      <c r="AT49" s="115" t="n">
        <f aca="false">SUMIFS(الريسبي!$C$2:$C$1800,الريسبي!$A$2:$A$1800,$A49,الريسبي!$B$2:$B$1800,AT$1)</f>
        <v>0</v>
      </c>
      <c r="AU49" s="115" t="n">
        <f aca="false">SUMIFS(الريسبي!$C$2:$C$1800,الريسبي!$A$2:$A$1800,$A49,الريسبي!$B$2:$B$1800,AU$1)</f>
        <v>1</v>
      </c>
      <c r="AV49" s="115" t="n">
        <f aca="false">SUMIFS(الريسبي!$C$2:$C$1800,الريسبي!$A$2:$A$1800,$A49,الريسبي!$B$2:$B$1800,AV$1)</f>
        <v>0</v>
      </c>
      <c r="AW49" s="115" t="n">
        <f aca="false">SUMIFS(الريسبي!$C$2:$C$1800,الريسبي!$A$2:$A$1800,$A49,الريسبي!$B$2:$B$1800,AW$1)</f>
        <v>0</v>
      </c>
      <c r="AX49" s="115" t="n">
        <f aca="false">SUMIFS(الريسبي!$C$2:$C$1800,الريسبي!$A$2:$A$1800,$A49,الريسبي!$B$2:$B$1800,AX$1)</f>
        <v>0</v>
      </c>
      <c r="AY49" s="115" t="n">
        <f aca="false">SUMIFS(الريسبي!$C$2:$C$1800,الريسبي!$A$2:$A$1800,$A49,الريسبي!$B$2:$B$1800,AY$1)</f>
        <v>0</v>
      </c>
      <c r="AZ49" s="115" t="n">
        <f aca="false">SUMIFS(الريسبي!$C$2:$C$1800,الريسبي!$A$2:$A$1800,$A49,الريسبي!$B$2:$B$1800,AZ$1)</f>
        <v>0</v>
      </c>
      <c r="BA49" s="115" t="n">
        <f aca="false">SUMIFS(الريسبي!$C$2:$C$1800,الريسبي!$A$2:$A$1800,$A49,الريسبي!$B$2:$B$1800,BA$1)</f>
        <v>0</v>
      </c>
      <c r="BB49" s="115" t="n">
        <f aca="false">SUMIFS(الريسبي!$C$2:$C$1800,الريسبي!$A$2:$A$1800,$A49,الريسبي!$B$2:$B$1800,BB$1)</f>
        <v>0</v>
      </c>
      <c r="BC49" s="115" t="n">
        <f aca="false">SUMIFS(الريسبي!$C$2:$C$1800,الريسبي!$A$2:$A$1800,$A49,الريسبي!$B$2:$B$1800,BC$1)</f>
        <v>0</v>
      </c>
      <c r="BD49" s="115" t="n">
        <f aca="false">SUMIFS(الريسبي!$C$2:$C$1800,الريسبي!$A$2:$A$1800,$A49,الريسبي!$B$2:$B$1800,BD$1)</f>
        <v>0</v>
      </c>
      <c r="BE49" s="115" t="n">
        <f aca="false">SUMIFS(الريسبي!$C$2:$C$1800,الريسبي!$A$2:$A$1800,$A49,الريسبي!$B$2:$B$1800,BE$1)</f>
        <v>1</v>
      </c>
      <c r="BF49" s="115" t="n">
        <f aca="false">SUMIFS(الريسبي!$C$2:$C$1800,الريسبي!$A$2:$A$1800,$A49,الريسبي!$B$2:$B$1800,BF$1)</f>
        <v>0.07</v>
      </c>
      <c r="BG49" s="115" t="n">
        <f aca="false">SUMIFS(الريسبي!$C$2:$C$1800,الريسبي!$A$2:$A$1800,$A49,الريسبي!$B$2:$B$1800,BG$1)</f>
        <v>0</v>
      </c>
      <c r="BH49" s="115" t="n">
        <f aca="false">SUMIFS(الريسبي!$C$2:$C$1800,الريسبي!$A$2:$A$1800,$A49,الريسبي!$B$2:$B$1800,BH$1)</f>
        <v>0</v>
      </c>
      <c r="BI49" s="115" t="n">
        <f aca="false">SUMIFS(الريسبي!$C$2:$C$1800,الريسبي!$A$2:$A$1800,$A49,الريسبي!$B$2:$B$1800,BI$1)</f>
        <v>0</v>
      </c>
      <c r="BJ49" s="115" t="n">
        <f aca="false">SUMIFS(الريسبي!$C$2:$C$1800,الريسبي!$A$2:$A$1800,$A49,الريسبي!$B$2:$B$1800,BJ$1)</f>
        <v>0</v>
      </c>
      <c r="BK49" s="115" t="n">
        <f aca="false">SUMIFS(الريسبي!$C$2:$C$1800,الريسبي!$A$2:$A$1800,$A49,الريسبي!$B$2:$B$1800,BK$1)</f>
        <v>1</v>
      </c>
      <c r="BL49" s="115" t="n">
        <f aca="false">SUMIFS(الريسبي!$C$2:$C$1800,الريسبي!$A$2:$A$1800,$A49,الريسبي!$B$2:$B$1800,BL$1)</f>
        <v>0</v>
      </c>
      <c r="BM49" s="115" t="n">
        <f aca="false">SUMIFS(الريسبي!$C$2:$C$1800,الريسبي!$A$2:$A$1800,$A49,الريسبي!$B$2:$B$1800,BM$1)</f>
        <v>0</v>
      </c>
      <c r="BN49" s="115" t="n">
        <f aca="false">SUMIFS(الريسبي!$C$2:$C$1800,الريسبي!$A$2:$A$1800,$A49,الريسبي!$B$2:$B$1800,BN$1)</f>
        <v>0</v>
      </c>
      <c r="BO49" s="115" t="n">
        <f aca="false">SUMIFS(الريسبي!$C$2:$C$1800,الريسبي!$A$2:$A$1800,$A49,الريسبي!$B$2:$B$1800,BO$1)</f>
        <v>0</v>
      </c>
      <c r="BP49" s="115" t="n">
        <f aca="false">SUMIFS(الريسبي!$C$2:$C$1800,الريسبي!$A$2:$A$1800,$A49,الريسبي!$B$2:$B$1800,BP$1)</f>
        <v>0</v>
      </c>
      <c r="BQ49" s="115"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15" t="n">
        <f aca="false">SUMIFS(الريسبي!$C$2:$C$1800,الريسبي!$A$2:$A$1800,$A49,الريسبي!$B$2:$B$1800,BR$1)</f>
        <v>0</v>
      </c>
      <c r="BS49" s="115" t="n">
        <f aca="false">SUMIFS(الريسبي!$C$2:$C$1800,الريسبي!$A$2:$A$1800,$A49,الريسبي!$B$2:$B$1800,BS$1)</f>
        <v>0</v>
      </c>
      <c r="BT49" s="115" t="n">
        <f aca="false">SUMIFS(الريسبي!$C$2:$C$1800,الريسبي!$A$2:$A$1800,$A49,الريسبي!$B$2:$B$1800,BT$1)</f>
        <v>0</v>
      </c>
      <c r="BU49" s="115"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15" t="n">
        <f aca="false">SUMIFS(الريسبي!$C$2:$C$1800,الريسبي!$A$2:$A$1800,$A49,الريسبي!$B$2:$B$1800,BV$1)</f>
        <v>0</v>
      </c>
      <c r="BW49" s="115" t="n">
        <f aca="false">SUMIFS(الريسبي!$C$2:$C$1800,الريسبي!$A$2:$A$1800,$A49,الريسبي!$B$2:$B$1800,BW$1)</f>
        <v>0</v>
      </c>
      <c r="BX49" s="115" t="n">
        <f aca="false">SUMIFS(الريسبي!$C$2:$C$1800,الريسبي!$A$2:$A$1800,$A49,الريسبي!$B$2:$B$1800,BX$1)</f>
        <v>0</v>
      </c>
      <c r="BY49" s="115" t="n">
        <f aca="false">SUMIFS(الريسبي!$C$2:$C$1800,الريسبي!$A$2:$A$1800,$A49,الريسبي!$B$2:$B$1800,BY$1)</f>
        <v>0</v>
      </c>
      <c r="BZ49" s="115" t="n">
        <f aca="false">SUMIFS(الريسبي!$C$2:$C$1800,الريسبي!$A$2:$A$1800,$A49,الريسبي!$B$2:$B$1800,BZ$1)</f>
        <v>0</v>
      </c>
      <c r="CA49" s="115" t="n">
        <f aca="false">SUMIFS(الريسبي!$C$2:$C$1800,الريسبي!$A$2:$A$1800,$A49,الريسبي!$B$2:$B$1800,CA$1)</f>
        <v>0</v>
      </c>
      <c r="CB49" s="115" t="n">
        <f aca="false">SUMIFS(الريسبي!$C$2:$C$1800,الريسبي!$A$2:$A$1800,$A49,الريسبي!$B$2:$B$1800,CB$1)</f>
        <v>0</v>
      </c>
      <c r="CC49" s="115" t="n">
        <f aca="false">SUMIFS(الريسبي!$C$2:$C$1800,الريسبي!$A$2:$A$1800,$A49,الريسبي!$B$2:$B$1800,CC$1)</f>
        <v>0</v>
      </c>
      <c r="CD49" s="115" t="n">
        <f aca="false">SUMIFS(الريسبي!$C$2:$C$1800,الريسبي!$A$2:$A$1800,$A49,الريسبي!$B$2:$B$1800,CD$1)</f>
        <v>0</v>
      </c>
      <c r="CE49" s="115" t="n">
        <f aca="false">SUMIFS(الريسبي!$C$2:$C$1800,الريسبي!$A$2:$A$1800,$A49,الريسبي!$B$2:$B$1800,CE$1)</f>
        <v>0</v>
      </c>
      <c r="CF49" s="115" t="n">
        <f aca="false">SUMIFS(الريسبي!$C$2:$C$1800,الريسبي!$A$2:$A$1800,$A49,الريسبي!$B$2:$B$1800,CF$1)</f>
        <v>0</v>
      </c>
      <c r="CG49" s="115" t="n">
        <f aca="false">SUMIFS(الريسبي!$C$2:$C$1800,الريسبي!$A$2:$A$1800,$A49,الريسبي!$B$2:$B$1800,CG$1)</f>
        <v>0</v>
      </c>
      <c r="CH49" s="115" t="n">
        <f aca="false">SUMIFS(الريسبي!$C$2:$C$1800,الريسبي!$A$2:$A$1800,$A49,الريسبي!$B$2:$B$1800,CH$1)</f>
        <v>0</v>
      </c>
    </row>
    <row r="50" customFormat="false" ht="15" hidden="false" customHeight="false" outlineLevel="0" collapsed="false">
      <c r="A50" s="114" t="str">
        <f aca="false">المنيو!B50</f>
        <v>فطيرة شيكولاتة</v>
      </c>
      <c r="B50" s="115" t="n">
        <f aca="false">SUMIFS(الريسبي!$C$2:$C$1800,الريسبي!$A$2:$A$1800,$A50,الريسبي!$B$2:$B$1800,B$1)</f>
        <v>0</v>
      </c>
      <c r="C50" s="115" t="n">
        <f aca="false">SUMIFS(الريسبي!$C$2:$C$1800,الريسبي!$A$2:$A$1800,$A50,الريسبي!$B$2:$B$1800,C$1)</f>
        <v>0</v>
      </c>
      <c r="D50" s="115" t="n">
        <f aca="false">SUMIFS(الريسبي!$C$2:$C$1800,الريسبي!$A$2:$A$1800,$A50,الريسبي!$B$2:$B$1800,D$1)</f>
        <v>0</v>
      </c>
      <c r="E50" s="115" t="n">
        <f aca="false">SUMIFS(الريسبي!$C$2:$C$1800,الريسبي!$A$2:$A$1800,$A50,الريسبي!$B$2:$B$1800,E$1)</f>
        <v>1</v>
      </c>
      <c r="F50" s="115" t="n">
        <f aca="false">SUMIFS(الريسبي!$C$2:$C$1800,الريسبي!$A$2:$A$1800,$A50,الريسبي!$B$2:$B$1800,F$1)</f>
        <v>0</v>
      </c>
      <c r="G50" s="115" t="n">
        <f aca="false">SUMIFS(الريسبي!$C$2:$C$1800,الريسبي!$A$2:$A$1800,$A50,الريسبي!$B$2:$B$1800,G$1)</f>
        <v>0</v>
      </c>
      <c r="H50" s="115" t="n">
        <f aca="false">SUMIFS(الريسبي!$C$2:$C$1800,الريسبي!$A$2:$A$1800,$A50,الريسبي!$B$2:$B$1800,H$1)</f>
        <v>0</v>
      </c>
      <c r="I50" s="115" t="n">
        <f aca="false">SUMIFS(الريسبي!$C$2:$C$1800,الريسبي!$A$2:$A$1800,$A50,الريسبي!$B$2:$B$1800,I$1)</f>
        <v>0</v>
      </c>
      <c r="J50" s="115" t="n">
        <f aca="false">SUMIFS(الريسبي!$C$2:$C$1800,الريسبي!$A$2:$A$1800,$A50,الريسبي!$B$2:$B$1800,J$1)</f>
        <v>0</v>
      </c>
      <c r="K50" s="115" t="n">
        <f aca="false">SUMIFS(الريسبي!$C$2:$C$1800,الريسبي!$A$2:$A$1800,$A50,الريسبي!$B$2:$B$1800,K$1)</f>
        <v>0</v>
      </c>
      <c r="L50" s="115" t="n">
        <f aca="false">SUMIFS(الريسبي!$C$2:$C$1800,الريسبي!$A$2:$A$1800,$A50,الريسبي!$B$2:$B$1800,L$1)</f>
        <v>0</v>
      </c>
      <c r="M50" s="115" t="n">
        <f aca="false">SUMIFS(الريسبي!$C$2:$C$1800,الريسبي!$A$2:$A$1800,$A50,الريسبي!$B$2:$B$1800,M$1)</f>
        <v>0</v>
      </c>
      <c r="N50" s="115" t="n">
        <f aca="false">SUMIFS(الريسبي!$C$2:$C$1800,الريسبي!$A$2:$A$1800,$A50,الريسبي!$B$2:$B$1800,N$1)</f>
        <v>0</v>
      </c>
      <c r="O50" s="115" t="n">
        <f aca="false">SUMIFS(الريسبي!$C$2:$C$1800,الريسبي!$A$2:$A$1800,$A50,الريسبي!$B$2:$B$1800,O$1)</f>
        <v>0</v>
      </c>
      <c r="P50" s="115" t="n">
        <f aca="false">SUMIFS(الريسبي!$C$2:$C$1800,الريسبي!$A$2:$A$1800,$A50,الريسبي!$B$2:$B$1800,P$1)</f>
        <v>0</v>
      </c>
      <c r="Q50" s="115" t="n">
        <f aca="false">SUMIFS(الريسبي!$C$2:$C$1800,الريسبي!$A$2:$A$1800,$A50,الريسبي!$B$2:$B$1800,Q$1)</f>
        <v>0</v>
      </c>
      <c r="R50" s="115" t="n">
        <f aca="false">SUMIFS(الريسبي!$C$2:$C$1800,الريسبي!$A$2:$A$1800,$A50,الريسبي!$B$2:$B$1800,R$1)</f>
        <v>0</v>
      </c>
      <c r="S50" s="115" t="n">
        <f aca="false">SUMIFS(الريسبي!$C$2:$C$1800,الريسبي!$A$2:$A$1800,$A50,الريسبي!$B$2:$B$1800,S$1)</f>
        <v>0</v>
      </c>
      <c r="T50" s="115" t="n">
        <f aca="false">SUMIFS(الريسبي!$C$2:$C$1800,الريسبي!$A$2:$A$1800,$A50,الريسبي!$B$2:$B$1800,T$1)</f>
        <v>0</v>
      </c>
      <c r="U50" s="115" t="n">
        <f aca="false">SUMIFS(الريسبي!$C$2:$C$1800,الريسبي!$A$2:$A$1800,$A50,الريسبي!$B$2:$B$1800,U$1)</f>
        <v>0</v>
      </c>
      <c r="V50" s="115" t="n">
        <f aca="false">SUMIFS(الريسبي!$C$2:$C$1800,الريسبي!$A$2:$A$1800,$A50,الريسبي!$B$2:$B$1800,V$1)</f>
        <v>0</v>
      </c>
      <c r="W50" s="115" t="n">
        <f aca="false">SUMIFS(الريسبي!$C$2:$C$1800,الريسبي!$A$2:$A$1800,$A50,الريسبي!$B$2:$B$1800,W$1)</f>
        <v>0</v>
      </c>
      <c r="X50" s="115" t="n">
        <f aca="false">SUMIFS(الريسبي!$C$2:$C$1800,الريسبي!$A$2:$A$1800,$A50,الريسبي!$B$2:$B$1800,X$1)</f>
        <v>0</v>
      </c>
      <c r="Y50" s="115" t="n">
        <f aca="false">SUMIFS(الريسبي!$C$2:$C$1800,الريسبي!$A$2:$A$1800,$A50,الريسبي!$B$2:$B$1800,Y$1)</f>
        <v>0</v>
      </c>
      <c r="Z50" s="115" t="n">
        <f aca="false">SUMIFS(الريسبي!$C$2:$C$1800,الريسبي!$A$2:$A$1800,$A50,الريسبي!$B$2:$B$1800,Z$1)</f>
        <v>0</v>
      </c>
      <c r="AA50" s="115" t="n">
        <f aca="false">SUMIFS(الريسبي!$C$2:$C$1800,الريسبي!$A$2:$A$1800,$A50,الريسبي!$B$2:$B$1800,AA$1)</f>
        <v>0</v>
      </c>
      <c r="AB50" s="115" t="n">
        <f aca="false">SUMIFS(الريسبي!$C$2:$C$1800,الريسبي!$A$2:$A$1800,$A50,الريسبي!$B$2:$B$1800,AB$1)</f>
        <v>0</v>
      </c>
      <c r="AC50" s="115" t="n">
        <f aca="false">SUMIFS(الريسبي!$C$2:$C$1800,الريسبي!$A$2:$A$1800,$A50,الريسبي!$B$2:$B$1800,AC$1)</f>
        <v>0</v>
      </c>
      <c r="AD50" s="115" t="n">
        <f aca="false">SUMIFS(الريسبي!$C$2:$C$1800,الريسبي!$A$2:$A$1800,$A50,الريسبي!$B$2:$B$1800,AD$1)</f>
        <v>0</v>
      </c>
      <c r="AE50" s="115" t="n">
        <f aca="false">SUMIFS(الريسبي!$C$2:$C$1800,الريسبي!$A$2:$A$1800,$A50,الريسبي!$B$2:$B$1800,AE$1)</f>
        <v>0</v>
      </c>
      <c r="AF50" s="115" t="n">
        <f aca="false">SUMIFS(الريسبي!$C$2:$C$1800,الريسبي!$A$2:$A$1800,$A50,الريسبي!$B$2:$B$1800,AF$1)</f>
        <v>1</v>
      </c>
      <c r="AG50" s="115" t="n">
        <f aca="false">SUMIFS(الريسبي!$C$2:$C$1800,الريسبي!$A$2:$A$1800,$A50,الريسبي!$B$2:$B$1800,AG$1)</f>
        <v>0</v>
      </c>
      <c r="AH50" s="115" t="n">
        <f aca="false">SUMIFS(الريسبي!$C$2:$C$1800,الريسبي!$A$2:$A$1800,$A50,الريسبي!$B$2:$B$1800,AH$1)</f>
        <v>0</v>
      </c>
      <c r="AI50" s="115" t="n">
        <f aca="false">SUMIFS(الريسبي!$C$2:$C$1800,الريسبي!$A$2:$A$1800,$A50,الريسبي!$B$2:$B$1800,AI$1)</f>
        <v>0</v>
      </c>
      <c r="AJ50" s="115" t="n">
        <f aca="false">SUMIFS(الريسبي!$C$2:$C$1800,الريسبي!$A$2:$A$1800,$A50,الريسبي!$B$2:$B$1800,AJ$1)</f>
        <v>0</v>
      </c>
      <c r="AK50" s="115" t="n">
        <f aca="false">SUMIFS(الريسبي!$C$2:$C$1800,الريسبي!$A$2:$A$1800,$A50,الريسبي!$B$2:$B$1800,AK$1)</f>
        <v>0</v>
      </c>
      <c r="AL50" s="115" t="n">
        <f aca="false">SUMIFS(الريسبي!$C$2:$C$1800,الريسبي!$A$2:$A$1800,$A50,الريسبي!$B$2:$B$1800,AL$1)</f>
        <v>0</v>
      </c>
      <c r="AM50" s="115"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15"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15" t="n">
        <f aca="false">SUMIFS(الريسبي!$C$2:$C$1800,الريسبي!$A$2:$A$1800,$A50,الريسبي!$B$2:$B$1800,AO$1)</f>
        <v>0</v>
      </c>
      <c r="AP50" s="115" t="n">
        <f aca="false">SUMIFS(الريسبي!$C$2:$C$1800,الريسبي!$A$2:$A$1800,$A50,الريسبي!$B$2:$B$1800,AP$1)</f>
        <v>0</v>
      </c>
      <c r="AQ50" s="115"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15" t="n">
        <f aca="false">SUMIFS(الريسبي!$C$2:$C$1800,الريسبي!$A$2:$A$1800,$A50,الريسبي!$B$2:$B$1800,AR$1)</f>
        <v>0</v>
      </c>
      <c r="AS50" s="115" t="n">
        <f aca="false">SUMIFS(الريسبي!$C$2:$C$1800,الريسبي!$A$2:$A$1800,$A50,الريسبي!$B$2:$B$1800,AS$1)</f>
        <v>0</v>
      </c>
      <c r="AT50" s="115" t="n">
        <f aca="false">SUMIFS(الريسبي!$C$2:$C$1800,الريسبي!$A$2:$A$1800,$A50,الريسبي!$B$2:$B$1800,AT$1)</f>
        <v>0</v>
      </c>
      <c r="AU50" s="115" t="n">
        <f aca="false">SUMIFS(الريسبي!$C$2:$C$1800,الريسبي!$A$2:$A$1800,$A50,الريسبي!$B$2:$B$1800,AU$1)</f>
        <v>1</v>
      </c>
      <c r="AV50" s="115" t="n">
        <f aca="false">SUMIFS(الريسبي!$C$2:$C$1800,الريسبي!$A$2:$A$1800,$A50,الريسبي!$B$2:$B$1800,AV$1)</f>
        <v>0.16</v>
      </c>
      <c r="AW50" s="115" t="n">
        <f aca="false">SUMIFS(الريسبي!$C$2:$C$1800,الريسبي!$A$2:$A$1800,$A50,الريسبي!$B$2:$B$1800,AW$1)</f>
        <v>0.03</v>
      </c>
      <c r="AX50" s="115" t="n">
        <f aca="false">SUMIFS(الريسبي!$C$2:$C$1800,الريسبي!$A$2:$A$1800,$A50,الريسبي!$B$2:$B$1800,AX$1)</f>
        <v>0</v>
      </c>
      <c r="AY50" s="115" t="n">
        <f aca="false">SUMIFS(الريسبي!$C$2:$C$1800,الريسبي!$A$2:$A$1800,$A50,الريسبي!$B$2:$B$1800,AY$1)</f>
        <v>0</v>
      </c>
      <c r="AZ50" s="115" t="n">
        <f aca="false">SUMIFS(الريسبي!$C$2:$C$1800,الريسبي!$A$2:$A$1800,$A50,الريسبي!$B$2:$B$1800,AZ$1)</f>
        <v>0</v>
      </c>
      <c r="BA50" s="115" t="n">
        <f aca="false">SUMIFS(الريسبي!$C$2:$C$1800,الريسبي!$A$2:$A$1800,$A50,الريسبي!$B$2:$B$1800,BA$1)</f>
        <v>0</v>
      </c>
      <c r="BB50" s="115" t="n">
        <f aca="false">SUMIFS(الريسبي!$C$2:$C$1800,الريسبي!$A$2:$A$1800,$A50,الريسبي!$B$2:$B$1800,BB$1)</f>
        <v>0</v>
      </c>
      <c r="BC50" s="115" t="n">
        <f aca="false">SUMIFS(الريسبي!$C$2:$C$1800,الريسبي!$A$2:$A$1800,$A50,الريسبي!$B$2:$B$1800,BC$1)</f>
        <v>0</v>
      </c>
      <c r="BD50" s="115" t="n">
        <f aca="false">SUMIFS(الريسبي!$C$2:$C$1800,الريسبي!$A$2:$A$1800,$A50,الريسبي!$B$2:$B$1800,BD$1)</f>
        <v>0</v>
      </c>
      <c r="BE50" s="115" t="n">
        <f aca="false">SUMIFS(الريسبي!$C$2:$C$1800,الريسبي!$A$2:$A$1800,$A50,الريسبي!$B$2:$B$1800,BE$1)</f>
        <v>1</v>
      </c>
      <c r="BF50" s="115" t="n">
        <f aca="false">SUMIFS(الريسبي!$C$2:$C$1800,الريسبي!$A$2:$A$1800,$A50,الريسبي!$B$2:$B$1800,BF$1)</f>
        <v>0</v>
      </c>
      <c r="BG50" s="115" t="n">
        <f aca="false">SUMIFS(الريسبي!$C$2:$C$1800,الريسبي!$A$2:$A$1800,$A50,الريسبي!$B$2:$B$1800,BG$1)</f>
        <v>0</v>
      </c>
      <c r="BH50" s="115" t="n">
        <f aca="false">SUMIFS(الريسبي!$C$2:$C$1800,الريسبي!$A$2:$A$1800,$A50,الريسبي!$B$2:$B$1800,BH$1)</f>
        <v>0</v>
      </c>
      <c r="BI50" s="115" t="n">
        <f aca="false">SUMIFS(الريسبي!$C$2:$C$1800,الريسبي!$A$2:$A$1800,$A50,الريسبي!$B$2:$B$1800,BI$1)</f>
        <v>0</v>
      </c>
      <c r="BJ50" s="115" t="n">
        <f aca="false">SUMIFS(الريسبي!$C$2:$C$1800,الريسبي!$A$2:$A$1800,$A50,الريسبي!$B$2:$B$1800,BJ$1)</f>
        <v>0</v>
      </c>
      <c r="BK50" s="115" t="n">
        <f aca="false">SUMIFS(الريسبي!$C$2:$C$1800,الريسبي!$A$2:$A$1800,$A50,الريسبي!$B$2:$B$1800,BK$1)</f>
        <v>1</v>
      </c>
      <c r="BL50" s="115" t="n">
        <f aca="false">SUMIFS(الريسبي!$C$2:$C$1800,الريسبي!$A$2:$A$1800,$A50,الريسبي!$B$2:$B$1800,BL$1)</f>
        <v>0</v>
      </c>
      <c r="BM50" s="115" t="n">
        <f aca="false">SUMIFS(الريسبي!$C$2:$C$1800,الريسبي!$A$2:$A$1800,$A50,الريسبي!$B$2:$B$1800,BM$1)</f>
        <v>0</v>
      </c>
      <c r="BN50" s="115" t="n">
        <f aca="false">SUMIFS(الريسبي!$C$2:$C$1800,الريسبي!$A$2:$A$1800,$A50,الريسبي!$B$2:$B$1800,BN$1)</f>
        <v>0</v>
      </c>
      <c r="BO50" s="115" t="n">
        <f aca="false">SUMIFS(الريسبي!$C$2:$C$1800,الريسبي!$A$2:$A$1800,$A50,الريسبي!$B$2:$B$1800,BO$1)</f>
        <v>0</v>
      </c>
      <c r="BP50" s="115" t="n">
        <f aca="false">SUMIFS(الريسبي!$C$2:$C$1800,الريسبي!$A$2:$A$1800,$A50,الريسبي!$B$2:$B$1800,BP$1)</f>
        <v>0</v>
      </c>
      <c r="BQ50" s="115"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15" t="n">
        <f aca="false">SUMIFS(الريسبي!$C$2:$C$1800,الريسبي!$A$2:$A$1800,$A50,الريسبي!$B$2:$B$1800,BR$1)</f>
        <v>0</v>
      </c>
      <c r="BS50" s="115" t="n">
        <f aca="false">SUMIFS(الريسبي!$C$2:$C$1800,الريسبي!$A$2:$A$1800,$A50,الريسبي!$B$2:$B$1800,BS$1)</f>
        <v>0.01</v>
      </c>
      <c r="BT50" s="115" t="n">
        <f aca="false">SUMIFS(الريسبي!$C$2:$C$1800,الريسبي!$A$2:$A$1800,$A50,الريسبي!$B$2:$B$1800,BT$1)</f>
        <v>0</v>
      </c>
      <c r="BU50" s="115"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15" t="n">
        <f aca="false">SUMIFS(الريسبي!$C$2:$C$1800,الريسبي!$A$2:$A$1800,$A50,الريسبي!$B$2:$B$1800,BV$1)</f>
        <v>0</v>
      </c>
      <c r="BW50" s="115" t="n">
        <f aca="false">SUMIFS(الريسبي!$C$2:$C$1800,الريسبي!$A$2:$A$1800,$A50,الريسبي!$B$2:$B$1800,BW$1)</f>
        <v>0</v>
      </c>
      <c r="BX50" s="115" t="n">
        <f aca="false">SUMIFS(الريسبي!$C$2:$C$1800,الريسبي!$A$2:$A$1800,$A50,الريسبي!$B$2:$B$1800,BX$1)</f>
        <v>0</v>
      </c>
      <c r="BY50" s="115" t="n">
        <f aca="false">SUMIFS(الريسبي!$C$2:$C$1800,الريسبي!$A$2:$A$1800,$A50,الريسبي!$B$2:$B$1800,BY$1)</f>
        <v>0</v>
      </c>
      <c r="BZ50" s="115" t="n">
        <f aca="false">SUMIFS(الريسبي!$C$2:$C$1800,الريسبي!$A$2:$A$1800,$A50,الريسبي!$B$2:$B$1800,BZ$1)</f>
        <v>0</v>
      </c>
      <c r="CA50" s="115" t="n">
        <f aca="false">SUMIFS(الريسبي!$C$2:$C$1800,الريسبي!$A$2:$A$1800,$A50,الريسبي!$B$2:$B$1800,CA$1)</f>
        <v>0</v>
      </c>
      <c r="CB50" s="115" t="n">
        <f aca="false">SUMIFS(الريسبي!$C$2:$C$1800,الريسبي!$A$2:$A$1800,$A50,الريسبي!$B$2:$B$1800,CB$1)</f>
        <v>0</v>
      </c>
      <c r="CC50" s="115" t="n">
        <f aca="false">SUMIFS(الريسبي!$C$2:$C$1800,الريسبي!$A$2:$A$1800,$A50,الريسبي!$B$2:$B$1800,CC$1)</f>
        <v>0</v>
      </c>
      <c r="CD50" s="115" t="n">
        <f aca="false">SUMIFS(الريسبي!$C$2:$C$1800,الريسبي!$A$2:$A$1800,$A50,الريسبي!$B$2:$B$1800,CD$1)</f>
        <v>0</v>
      </c>
      <c r="CE50" s="115" t="n">
        <f aca="false">SUMIFS(الريسبي!$C$2:$C$1800,الريسبي!$A$2:$A$1800,$A50,الريسبي!$B$2:$B$1800,CE$1)</f>
        <v>0</v>
      </c>
      <c r="CF50" s="115" t="n">
        <f aca="false">SUMIFS(الريسبي!$C$2:$C$1800,الريسبي!$A$2:$A$1800,$A50,الريسبي!$B$2:$B$1800,CF$1)</f>
        <v>0</v>
      </c>
      <c r="CG50" s="115" t="n">
        <f aca="false">SUMIFS(الريسبي!$C$2:$C$1800,الريسبي!$A$2:$A$1800,$A50,الريسبي!$B$2:$B$1800,CG$1)</f>
        <v>0</v>
      </c>
      <c r="CH50" s="115" t="n">
        <f aca="false">SUMIFS(الريسبي!$C$2:$C$1800,الريسبي!$A$2:$A$1800,$A50,الريسبي!$B$2:$B$1800,CH$1)</f>
        <v>0</v>
      </c>
    </row>
    <row r="51" customFormat="false" ht="15" hidden="false" customHeight="false" outlineLevel="0" collapsed="false">
      <c r="A51" s="114" t="str">
        <f aca="false">المنيو!B51</f>
        <v>فطيرة نوتيلا قشطة مكسرات</v>
      </c>
      <c r="B51" s="115" t="n">
        <f aca="false">SUMIFS(الريسبي!$C$2:$C$1800,الريسبي!$A$2:$A$1800,$A51,الريسبي!$B$2:$B$1800,B$1)</f>
        <v>0</v>
      </c>
      <c r="C51" s="115" t="n">
        <f aca="false">SUMIFS(الريسبي!$C$2:$C$1800,الريسبي!$A$2:$A$1800,$A51,الريسبي!$B$2:$B$1800,C$1)</f>
        <v>0</v>
      </c>
      <c r="D51" s="115" t="n">
        <f aca="false">SUMIFS(الريسبي!$C$2:$C$1800,الريسبي!$A$2:$A$1800,$A51,الريسبي!$B$2:$B$1800,D$1)</f>
        <v>0</v>
      </c>
      <c r="E51" s="115" t="n">
        <f aca="false">SUMIFS(الريسبي!$C$2:$C$1800,الريسبي!$A$2:$A$1800,$A51,الريسبي!$B$2:$B$1800,E$1)</f>
        <v>1</v>
      </c>
      <c r="F51" s="115" t="n">
        <f aca="false">SUMIFS(الريسبي!$C$2:$C$1800,الريسبي!$A$2:$A$1800,$A51,الريسبي!$B$2:$B$1800,F$1)</f>
        <v>0</v>
      </c>
      <c r="G51" s="115" t="n">
        <f aca="false">SUMIFS(الريسبي!$C$2:$C$1800,الريسبي!$A$2:$A$1800,$A51,الريسبي!$B$2:$B$1800,G$1)</f>
        <v>0</v>
      </c>
      <c r="H51" s="115" t="n">
        <f aca="false">SUMIFS(الريسبي!$C$2:$C$1800,الريسبي!$A$2:$A$1800,$A51,الريسبي!$B$2:$B$1800,H$1)</f>
        <v>0</v>
      </c>
      <c r="I51" s="115" t="n">
        <f aca="false">SUMIFS(الريسبي!$C$2:$C$1800,الريسبي!$A$2:$A$1800,$A51,الريسبي!$B$2:$B$1800,I$1)</f>
        <v>0</v>
      </c>
      <c r="J51" s="115" t="n">
        <f aca="false">SUMIFS(الريسبي!$C$2:$C$1800,الريسبي!$A$2:$A$1800,$A51,الريسبي!$B$2:$B$1800,J$1)</f>
        <v>0</v>
      </c>
      <c r="K51" s="115" t="n">
        <f aca="false">SUMIFS(الريسبي!$C$2:$C$1800,الريسبي!$A$2:$A$1800,$A51,الريسبي!$B$2:$B$1800,K$1)</f>
        <v>0</v>
      </c>
      <c r="L51" s="115" t="n">
        <f aca="false">SUMIFS(الريسبي!$C$2:$C$1800,الريسبي!$A$2:$A$1800,$A51,الريسبي!$B$2:$B$1800,L$1)</f>
        <v>0</v>
      </c>
      <c r="M51" s="115" t="n">
        <f aca="false">SUMIFS(الريسبي!$C$2:$C$1800,الريسبي!$A$2:$A$1800,$A51,الريسبي!$B$2:$B$1800,M$1)</f>
        <v>0</v>
      </c>
      <c r="N51" s="115" t="n">
        <f aca="false">SUMIFS(الريسبي!$C$2:$C$1800,الريسبي!$A$2:$A$1800,$A51,الريسبي!$B$2:$B$1800,N$1)</f>
        <v>0</v>
      </c>
      <c r="O51" s="115" t="n">
        <f aca="false">SUMIFS(الريسبي!$C$2:$C$1800,الريسبي!$A$2:$A$1800,$A51,الريسبي!$B$2:$B$1800,O$1)</f>
        <v>0</v>
      </c>
      <c r="P51" s="115" t="n">
        <f aca="false">SUMIFS(الريسبي!$C$2:$C$1800,الريسبي!$A$2:$A$1800,$A51,الريسبي!$B$2:$B$1800,P$1)</f>
        <v>0</v>
      </c>
      <c r="Q51" s="115" t="n">
        <f aca="false">SUMIFS(الريسبي!$C$2:$C$1800,الريسبي!$A$2:$A$1800,$A51,الريسبي!$B$2:$B$1800,Q$1)</f>
        <v>0</v>
      </c>
      <c r="R51" s="115" t="n">
        <f aca="false">SUMIFS(الريسبي!$C$2:$C$1800,الريسبي!$A$2:$A$1800,$A51,الريسبي!$B$2:$B$1800,R$1)</f>
        <v>0</v>
      </c>
      <c r="S51" s="115" t="n">
        <f aca="false">SUMIFS(الريسبي!$C$2:$C$1800,الريسبي!$A$2:$A$1800,$A51,الريسبي!$B$2:$B$1800,S$1)</f>
        <v>1</v>
      </c>
      <c r="T51" s="115" t="n">
        <f aca="false">SUMIFS(الريسبي!$C$2:$C$1800,الريسبي!$A$2:$A$1800,$A51,الريسبي!$B$2:$B$1800,T$1)</f>
        <v>0</v>
      </c>
      <c r="U51" s="115" t="n">
        <f aca="false">SUMIFS(الريسبي!$C$2:$C$1800,الريسبي!$A$2:$A$1800,$A51,الريسبي!$B$2:$B$1800,U$1)</f>
        <v>1</v>
      </c>
      <c r="V51" s="115" t="n">
        <f aca="false">SUMIFS(الريسبي!$C$2:$C$1800,الريسبي!$A$2:$A$1800,$A51,الريسبي!$B$2:$B$1800,V$1)</f>
        <v>0</v>
      </c>
      <c r="W51" s="115" t="n">
        <f aca="false">SUMIFS(الريسبي!$C$2:$C$1800,الريسبي!$A$2:$A$1800,$A51,الريسبي!$B$2:$B$1800,W$1)</f>
        <v>0</v>
      </c>
      <c r="X51" s="115" t="n">
        <f aca="false">SUMIFS(الريسبي!$C$2:$C$1800,الريسبي!$A$2:$A$1800,$A51,الريسبي!$B$2:$B$1800,X$1)</f>
        <v>0</v>
      </c>
      <c r="Y51" s="115" t="n">
        <f aca="false">SUMIFS(الريسبي!$C$2:$C$1800,الريسبي!$A$2:$A$1800,$A51,الريسبي!$B$2:$B$1800,Y$1)</f>
        <v>0</v>
      </c>
      <c r="Z51" s="115" t="n">
        <f aca="false">SUMIFS(الريسبي!$C$2:$C$1800,الريسبي!$A$2:$A$1800,$A51,الريسبي!$B$2:$B$1800,Z$1)</f>
        <v>0</v>
      </c>
      <c r="AA51" s="115" t="n">
        <f aca="false">SUMIFS(الريسبي!$C$2:$C$1800,الريسبي!$A$2:$A$1800,$A51,الريسبي!$B$2:$B$1800,AA$1)</f>
        <v>0</v>
      </c>
      <c r="AB51" s="115" t="n">
        <f aca="false">SUMIFS(الريسبي!$C$2:$C$1800,الريسبي!$A$2:$A$1800,$A51,الريسبي!$B$2:$B$1800,AB$1)</f>
        <v>0</v>
      </c>
      <c r="AC51" s="115" t="n">
        <f aca="false">SUMIFS(الريسبي!$C$2:$C$1800,الريسبي!$A$2:$A$1800,$A51,الريسبي!$B$2:$B$1800,AC$1)</f>
        <v>0</v>
      </c>
      <c r="AD51" s="115" t="n">
        <f aca="false">SUMIFS(الريسبي!$C$2:$C$1800,الريسبي!$A$2:$A$1800,$A51,الريسبي!$B$2:$B$1800,AD$1)</f>
        <v>0</v>
      </c>
      <c r="AE51" s="115" t="n">
        <f aca="false">SUMIFS(الريسبي!$C$2:$C$1800,الريسبي!$A$2:$A$1800,$A51,الريسبي!$B$2:$B$1800,AE$1)</f>
        <v>0</v>
      </c>
      <c r="AF51" s="115" t="n">
        <f aca="false">SUMIFS(الريسبي!$C$2:$C$1800,الريسبي!$A$2:$A$1800,$A51,الريسبي!$B$2:$B$1800,AF$1)</f>
        <v>1</v>
      </c>
      <c r="AG51" s="115" t="n">
        <f aca="false">SUMIFS(الريسبي!$C$2:$C$1800,الريسبي!$A$2:$A$1800,$A51,الريسبي!$B$2:$B$1800,AG$1)</f>
        <v>0</v>
      </c>
      <c r="AH51" s="115" t="n">
        <f aca="false">SUMIFS(الريسبي!$C$2:$C$1800,الريسبي!$A$2:$A$1800,$A51,الريسبي!$B$2:$B$1800,AH$1)</f>
        <v>0</v>
      </c>
      <c r="AI51" s="115" t="n">
        <f aca="false">SUMIFS(الريسبي!$C$2:$C$1800,الريسبي!$A$2:$A$1800,$A51,الريسبي!$B$2:$B$1800,AI$1)</f>
        <v>0</v>
      </c>
      <c r="AJ51" s="115" t="n">
        <f aca="false">SUMIFS(الريسبي!$C$2:$C$1800,الريسبي!$A$2:$A$1800,$A51,الريسبي!$B$2:$B$1800,AJ$1)</f>
        <v>0</v>
      </c>
      <c r="AK51" s="115" t="n">
        <f aca="false">SUMIFS(الريسبي!$C$2:$C$1800,الريسبي!$A$2:$A$1800,$A51,الريسبي!$B$2:$B$1800,AK$1)</f>
        <v>0</v>
      </c>
      <c r="AL51" s="115" t="n">
        <f aca="false">SUMIFS(الريسبي!$C$2:$C$1800,الريسبي!$A$2:$A$1800,$A51,الريسبي!$B$2:$B$1800,AL$1)</f>
        <v>0</v>
      </c>
      <c r="AM51" s="115"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15"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15" t="n">
        <f aca="false">SUMIFS(الريسبي!$C$2:$C$1800,الريسبي!$A$2:$A$1800,$A51,الريسبي!$B$2:$B$1800,AO$1)</f>
        <v>0</v>
      </c>
      <c r="AP51" s="115" t="n">
        <f aca="false">SUMIFS(الريسبي!$C$2:$C$1800,الريسبي!$A$2:$A$1800,$A51,الريسبي!$B$2:$B$1800,AP$1)</f>
        <v>0</v>
      </c>
      <c r="AQ51" s="115"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15" t="n">
        <f aca="false">SUMIFS(الريسبي!$C$2:$C$1800,الريسبي!$A$2:$A$1800,$A51,الريسبي!$B$2:$B$1800,AR$1)</f>
        <v>0</v>
      </c>
      <c r="AS51" s="115" t="n">
        <f aca="false">SUMIFS(الريسبي!$C$2:$C$1800,الريسبي!$A$2:$A$1800,$A51,الريسبي!$B$2:$B$1800,AS$1)</f>
        <v>0</v>
      </c>
      <c r="AT51" s="115" t="n">
        <f aca="false">SUMIFS(الريسبي!$C$2:$C$1800,الريسبي!$A$2:$A$1800,$A51,الريسبي!$B$2:$B$1800,AT$1)</f>
        <v>0</v>
      </c>
      <c r="AU51" s="115" t="n">
        <f aca="false">SUMIFS(الريسبي!$C$2:$C$1800,الريسبي!$A$2:$A$1800,$A51,الريسبي!$B$2:$B$1800,AU$1)</f>
        <v>1</v>
      </c>
      <c r="AV51" s="115" t="n">
        <f aca="false">SUMIFS(الريسبي!$C$2:$C$1800,الريسبي!$A$2:$A$1800,$A51,الريسبي!$B$2:$B$1800,AV$1)</f>
        <v>0</v>
      </c>
      <c r="AW51" s="115" t="n">
        <f aca="false">SUMIFS(الريسبي!$C$2:$C$1800,الريسبي!$A$2:$A$1800,$A51,الريسبي!$B$2:$B$1800,AW$1)</f>
        <v>0.03</v>
      </c>
      <c r="AX51" s="115" t="n">
        <f aca="false">SUMIFS(الريسبي!$C$2:$C$1800,الريسبي!$A$2:$A$1800,$A51,الريسبي!$B$2:$B$1800,AX$1)</f>
        <v>0</v>
      </c>
      <c r="AY51" s="115" t="n">
        <f aca="false">SUMIFS(الريسبي!$C$2:$C$1800,الريسبي!$A$2:$A$1800,$A51,الريسبي!$B$2:$B$1800,AY$1)</f>
        <v>0</v>
      </c>
      <c r="AZ51" s="115" t="n">
        <f aca="false">SUMIFS(الريسبي!$C$2:$C$1800,الريسبي!$A$2:$A$1800,$A51,الريسبي!$B$2:$B$1800,AZ$1)</f>
        <v>0</v>
      </c>
      <c r="BA51" s="115" t="n">
        <f aca="false">SUMIFS(الريسبي!$C$2:$C$1800,الريسبي!$A$2:$A$1800,$A51,الريسبي!$B$2:$B$1800,BA$1)</f>
        <v>0</v>
      </c>
      <c r="BB51" s="115" t="n">
        <f aca="false">SUMIFS(الريسبي!$C$2:$C$1800,الريسبي!$A$2:$A$1800,$A51,الريسبي!$B$2:$B$1800,BB$1)</f>
        <v>0</v>
      </c>
      <c r="BC51" s="115" t="n">
        <f aca="false">SUMIFS(الريسبي!$C$2:$C$1800,الريسبي!$A$2:$A$1800,$A51,الريسبي!$B$2:$B$1800,BC$1)</f>
        <v>0</v>
      </c>
      <c r="BD51" s="115" t="n">
        <f aca="false">SUMIFS(الريسبي!$C$2:$C$1800,الريسبي!$A$2:$A$1800,$A51,الريسبي!$B$2:$B$1800,BD$1)</f>
        <v>0</v>
      </c>
      <c r="BE51" s="115" t="n">
        <f aca="false">SUMIFS(الريسبي!$C$2:$C$1800,الريسبي!$A$2:$A$1800,$A51,الريسبي!$B$2:$B$1800,BE$1)</f>
        <v>1</v>
      </c>
      <c r="BF51" s="115" t="n">
        <f aca="false">SUMIFS(الريسبي!$C$2:$C$1800,الريسبي!$A$2:$A$1800,$A51,الريسبي!$B$2:$B$1800,BF$1)</f>
        <v>0</v>
      </c>
      <c r="BG51" s="115" t="n">
        <f aca="false">SUMIFS(الريسبي!$C$2:$C$1800,الريسبي!$A$2:$A$1800,$A51,الريسبي!$B$2:$B$1800,BG$1)</f>
        <v>0</v>
      </c>
      <c r="BH51" s="115" t="n">
        <f aca="false">SUMIFS(الريسبي!$C$2:$C$1800,الريسبي!$A$2:$A$1800,$A51,الريسبي!$B$2:$B$1800,BH$1)</f>
        <v>0</v>
      </c>
      <c r="BI51" s="115" t="n">
        <f aca="false">SUMIFS(الريسبي!$C$2:$C$1800,الريسبي!$A$2:$A$1800,$A51,الريسبي!$B$2:$B$1800,BI$1)</f>
        <v>0</v>
      </c>
      <c r="BJ51" s="115" t="n">
        <f aca="false">SUMIFS(الريسبي!$C$2:$C$1800,الريسبي!$A$2:$A$1800,$A51,الريسبي!$B$2:$B$1800,BJ$1)</f>
        <v>0</v>
      </c>
      <c r="BK51" s="115" t="n">
        <f aca="false">SUMIFS(الريسبي!$C$2:$C$1800,الريسبي!$A$2:$A$1800,$A51,الريسبي!$B$2:$B$1800,BK$1)</f>
        <v>1</v>
      </c>
      <c r="BL51" s="115" t="n">
        <f aca="false">SUMIFS(الريسبي!$C$2:$C$1800,الريسبي!$A$2:$A$1800,$A51,الريسبي!$B$2:$B$1800,BL$1)</f>
        <v>0</v>
      </c>
      <c r="BM51" s="115" t="n">
        <f aca="false">SUMIFS(الريسبي!$C$2:$C$1800,الريسبي!$A$2:$A$1800,$A51,الريسبي!$B$2:$B$1800,BM$1)</f>
        <v>0</v>
      </c>
      <c r="BN51" s="115" t="n">
        <f aca="false">SUMIFS(الريسبي!$C$2:$C$1800,الريسبي!$A$2:$A$1800,$A51,الريسبي!$B$2:$B$1800,BN$1)</f>
        <v>0</v>
      </c>
      <c r="BO51" s="115" t="n">
        <f aca="false">SUMIFS(الريسبي!$C$2:$C$1800,الريسبي!$A$2:$A$1800,$A51,الريسبي!$B$2:$B$1800,BO$1)</f>
        <v>0</v>
      </c>
      <c r="BP51" s="115" t="n">
        <f aca="false">SUMIFS(الريسبي!$C$2:$C$1800,الريسبي!$A$2:$A$1800,$A51,الريسبي!$B$2:$B$1800,BP$1)</f>
        <v>0</v>
      </c>
      <c r="BQ51" s="115"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15" t="n">
        <f aca="false">SUMIFS(الريسبي!$C$2:$C$1800,الريسبي!$A$2:$A$1800,$A51,الريسبي!$B$2:$B$1800,BR$1)</f>
        <v>0</v>
      </c>
      <c r="BS51" s="115" t="n">
        <f aca="false">SUMIFS(الريسبي!$C$2:$C$1800,الريسبي!$A$2:$A$1800,$A51,الريسبي!$B$2:$B$1800,BS$1)</f>
        <v>0</v>
      </c>
      <c r="BT51" s="115" t="n">
        <f aca="false">SUMIFS(الريسبي!$C$2:$C$1800,الريسبي!$A$2:$A$1800,$A51,الريسبي!$B$2:$B$1800,BT$1)</f>
        <v>0</v>
      </c>
      <c r="BU51" s="115"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15" t="n">
        <f aca="false">SUMIFS(الريسبي!$C$2:$C$1800,الريسبي!$A$2:$A$1800,$A51,الريسبي!$B$2:$B$1800,BV$1)</f>
        <v>0</v>
      </c>
      <c r="BW51" s="115" t="n">
        <f aca="false">SUMIFS(الريسبي!$C$2:$C$1800,الريسبي!$A$2:$A$1800,$A51,الريسبي!$B$2:$B$1800,BW$1)</f>
        <v>0</v>
      </c>
      <c r="BX51" s="115" t="n">
        <f aca="false">SUMIFS(الريسبي!$C$2:$C$1800,الريسبي!$A$2:$A$1800,$A51,الريسبي!$B$2:$B$1800,BX$1)</f>
        <v>0</v>
      </c>
      <c r="BY51" s="115" t="n">
        <f aca="false">SUMIFS(الريسبي!$C$2:$C$1800,الريسبي!$A$2:$A$1800,$A51,الريسبي!$B$2:$B$1800,BY$1)</f>
        <v>0.16</v>
      </c>
      <c r="BZ51" s="115" t="n">
        <f aca="false">SUMIFS(الريسبي!$C$2:$C$1800,الريسبي!$A$2:$A$1800,$A51,الريسبي!$B$2:$B$1800,BZ$1)</f>
        <v>0</v>
      </c>
      <c r="CA51" s="115" t="n">
        <f aca="false">SUMIFS(الريسبي!$C$2:$C$1800,الريسبي!$A$2:$A$1800,$A51,الريسبي!$B$2:$B$1800,CA$1)</f>
        <v>0</v>
      </c>
      <c r="CB51" s="115" t="n">
        <f aca="false">SUMIFS(الريسبي!$C$2:$C$1800,الريسبي!$A$2:$A$1800,$A51,الريسبي!$B$2:$B$1800,CB$1)</f>
        <v>0</v>
      </c>
      <c r="CC51" s="115" t="n">
        <f aca="false">SUMIFS(الريسبي!$C$2:$C$1800,الريسبي!$A$2:$A$1800,$A51,الريسبي!$B$2:$B$1800,CC$1)</f>
        <v>0</v>
      </c>
      <c r="CD51" s="115" t="n">
        <f aca="false">SUMIFS(الريسبي!$C$2:$C$1800,الريسبي!$A$2:$A$1800,$A51,الريسبي!$B$2:$B$1800,CD$1)</f>
        <v>0</v>
      </c>
      <c r="CE51" s="115" t="n">
        <f aca="false">SUMIFS(الريسبي!$C$2:$C$1800,الريسبي!$A$2:$A$1800,$A51,الريسبي!$B$2:$B$1800,CE$1)</f>
        <v>0</v>
      </c>
      <c r="CF51" s="115" t="n">
        <f aca="false">SUMIFS(الريسبي!$C$2:$C$1800,الريسبي!$A$2:$A$1800,$A51,الريسبي!$B$2:$B$1800,CF$1)</f>
        <v>0</v>
      </c>
      <c r="CG51" s="115" t="n">
        <f aca="false">SUMIFS(الريسبي!$C$2:$C$1800,الريسبي!$A$2:$A$1800,$A51,الريسبي!$B$2:$B$1800,CG$1)</f>
        <v>0</v>
      </c>
      <c r="CH51" s="115" t="n">
        <f aca="false">SUMIFS(الريسبي!$C$2:$C$1800,الريسبي!$A$2:$A$1800,$A51,الريسبي!$B$2:$B$1800,CH$1)</f>
        <v>0</v>
      </c>
    </row>
    <row r="52" customFormat="false" ht="15" hidden="false" customHeight="false" outlineLevel="0" collapsed="false">
      <c r="A52" s="114" t="str">
        <f aca="false">المنيو!B52</f>
        <v>فطيرة فورسيزون ستاموني</v>
      </c>
      <c r="B52" s="115" t="n">
        <f aca="false">SUMIFS(الريسبي!$C$2:$C$1800,الريسبي!$A$2:$A$1800,$A52,الريسبي!$B$2:$B$1800,B$1)</f>
        <v>0</v>
      </c>
      <c r="C52" s="115" t="n">
        <f aca="false">SUMIFS(الريسبي!$C$2:$C$1800,الريسبي!$A$2:$A$1800,$A52,الريسبي!$B$2:$B$1800,C$1)</f>
        <v>0</v>
      </c>
      <c r="D52" s="115" t="n">
        <f aca="false">SUMIFS(الريسبي!$C$2:$C$1800,الريسبي!$A$2:$A$1800,$A52,الريسبي!$B$2:$B$1800,D$1)</f>
        <v>0</v>
      </c>
      <c r="E52" s="115" t="n">
        <f aca="false">SUMIFS(الريسبي!$C$2:$C$1800,الريسبي!$A$2:$A$1800,$A52,الريسبي!$B$2:$B$1800,E$1)</f>
        <v>1</v>
      </c>
      <c r="F52" s="115" t="n">
        <f aca="false">SUMIFS(الريسبي!$C$2:$C$1800,الريسبي!$A$2:$A$1800,$A52,الريسبي!$B$2:$B$1800,F$1)</f>
        <v>0</v>
      </c>
      <c r="G52" s="115" t="n">
        <f aca="false">SUMIFS(الريسبي!$C$2:$C$1800,الريسبي!$A$2:$A$1800,$A52,الريسبي!$B$2:$B$1800,G$1)</f>
        <v>0</v>
      </c>
      <c r="H52" s="115" t="n">
        <f aca="false">SUMIFS(الريسبي!$C$2:$C$1800,الريسبي!$A$2:$A$1800,$A52,الريسبي!$B$2:$B$1800,H$1)</f>
        <v>0</v>
      </c>
      <c r="I52" s="115" t="n">
        <f aca="false">SUMIFS(الريسبي!$C$2:$C$1800,الريسبي!$A$2:$A$1800,$A52,الريسبي!$B$2:$B$1800,I$1)</f>
        <v>0</v>
      </c>
      <c r="J52" s="115" t="n">
        <f aca="false">SUMIFS(الريسبي!$C$2:$C$1800,الريسبي!$A$2:$A$1800,$A52,الريسبي!$B$2:$B$1800,J$1)</f>
        <v>0</v>
      </c>
      <c r="K52" s="115" t="n">
        <f aca="false">SUMIFS(الريسبي!$C$2:$C$1800,الريسبي!$A$2:$A$1800,$A52,الريسبي!$B$2:$B$1800,K$1)</f>
        <v>0</v>
      </c>
      <c r="L52" s="115" t="n">
        <f aca="false">SUMIFS(الريسبي!$C$2:$C$1800,الريسبي!$A$2:$A$1800,$A52,الريسبي!$B$2:$B$1800,L$1)</f>
        <v>0</v>
      </c>
      <c r="M52" s="115" t="n">
        <f aca="false">SUMIFS(الريسبي!$C$2:$C$1800,الريسبي!$A$2:$A$1800,$A52,الريسبي!$B$2:$B$1800,M$1)</f>
        <v>0</v>
      </c>
      <c r="N52" s="115" t="n">
        <f aca="false">SUMIFS(الريسبي!$C$2:$C$1800,الريسبي!$A$2:$A$1800,$A52,الريسبي!$B$2:$B$1800,N$1)</f>
        <v>0</v>
      </c>
      <c r="O52" s="115" t="n">
        <f aca="false">SUMIFS(الريسبي!$C$2:$C$1800,الريسبي!$A$2:$A$1800,$A52,الريسبي!$B$2:$B$1800,O$1)</f>
        <v>0</v>
      </c>
      <c r="P52" s="115" t="n">
        <f aca="false">SUMIFS(الريسبي!$C$2:$C$1800,الريسبي!$A$2:$A$1800,$A52,الريسبي!$B$2:$B$1800,P$1)</f>
        <v>0</v>
      </c>
      <c r="Q52" s="115" t="n">
        <f aca="false">SUMIFS(الريسبي!$C$2:$C$1800,الريسبي!$A$2:$A$1800,$A52,الريسبي!$B$2:$B$1800,Q$1)</f>
        <v>0</v>
      </c>
      <c r="R52" s="115" t="n">
        <f aca="false">SUMIFS(الريسبي!$C$2:$C$1800,الريسبي!$A$2:$A$1800,$A52,الريسبي!$B$2:$B$1800,R$1)</f>
        <v>0</v>
      </c>
      <c r="S52" s="115" t="n">
        <f aca="false">SUMIFS(الريسبي!$C$2:$C$1800,الريسبي!$A$2:$A$1800,$A52,الريسبي!$B$2:$B$1800,S$1)</f>
        <v>0</v>
      </c>
      <c r="T52" s="115" t="n">
        <f aca="false">SUMIFS(الريسبي!$C$2:$C$1800,الريسبي!$A$2:$A$1800,$A52,الريسبي!$B$2:$B$1800,T$1)</f>
        <v>0</v>
      </c>
      <c r="U52" s="115" t="n">
        <f aca="false">SUMIFS(الريسبي!$C$2:$C$1800,الريسبي!$A$2:$A$1800,$A52,الريسبي!$B$2:$B$1800,U$1)</f>
        <v>1</v>
      </c>
      <c r="V52" s="115" t="n">
        <f aca="false">SUMIFS(الريسبي!$C$2:$C$1800,الريسبي!$A$2:$A$1800,$A52,الريسبي!$B$2:$B$1800,V$1)</f>
        <v>0</v>
      </c>
      <c r="W52" s="115" t="n">
        <f aca="false">SUMIFS(الريسبي!$C$2:$C$1800,الريسبي!$A$2:$A$1800,$A52,الريسبي!$B$2:$B$1800,W$1)</f>
        <v>0</v>
      </c>
      <c r="X52" s="115" t="n">
        <f aca="false">SUMIFS(الريسبي!$C$2:$C$1800,الريسبي!$A$2:$A$1800,$A52,الريسبي!$B$2:$B$1800,X$1)</f>
        <v>0</v>
      </c>
      <c r="Y52" s="115" t="n">
        <f aca="false">SUMIFS(الريسبي!$C$2:$C$1800,الريسبي!$A$2:$A$1800,$A52,الريسبي!$B$2:$B$1800,Y$1)</f>
        <v>0</v>
      </c>
      <c r="Z52" s="115" t="n">
        <f aca="false">SUMIFS(الريسبي!$C$2:$C$1800,الريسبي!$A$2:$A$1800,$A52,الريسبي!$B$2:$B$1800,Z$1)</f>
        <v>0.03</v>
      </c>
      <c r="AA52" s="115" t="n">
        <f aca="false">SUMIFS(الريسبي!$C$2:$C$1800,الريسبي!$A$2:$A$1800,$A52,الريسبي!$B$2:$B$1800,AA$1)</f>
        <v>0</v>
      </c>
      <c r="AB52" s="115" t="n">
        <f aca="false">SUMIFS(الريسبي!$C$2:$C$1800,الريسبي!$A$2:$A$1800,$A52,الريسبي!$B$2:$B$1800,AB$1)</f>
        <v>0.03</v>
      </c>
      <c r="AC52" s="115" t="n">
        <f aca="false">SUMIFS(الريسبي!$C$2:$C$1800,الريسبي!$A$2:$A$1800,$A52,الريسبي!$B$2:$B$1800,AC$1)</f>
        <v>0</v>
      </c>
      <c r="AD52" s="115" t="n">
        <f aca="false">SUMIFS(الريسبي!$C$2:$C$1800,الريسبي!$A$2:$A$1800,$A52,الريسبي!$B$2:$B$1800,AD$1)</f>
        <v>0</v>
      </c>
      <c r="AE52" s="115" t="n">
        <f aca="false">SUMIFS(الريسبي!$C$2:$C$1800,الريسبي!$A$2:$A$1800,$A52,الريسبي!$B$2:$B$1800,AE$1)</f>
        <v>0</v>
      </c>
      <c r="AF52" s="115" t="n">
        <f aca="false">SUMIFS(الريسبي!$C$2:$C$1800,الريسبي!$A$2:$A$1800,$A52,الريسبي!$B$2:$B$1800,AF$1)</f>
        <v>1</v>
      </c>
      <c r="AG52" s="115" t="n">
        <f aca="false">SUMIFS(الريسبي!$C$2:$C$1800,الريسبي!$A$2:$A$1800,$A52,الريسبي!$B$2:$B$1800,AG$1)</f>
        <v>0</v>
      </c>
      <c r="AH52" s="115" t="n">
        <f aca="false">SUMIFS(الريسبي!$C$2:$C$1800,الريسبي!$A$2:$A$1800,$A52,الريسبي!$B$2:$B$1800,AH$1)</f>
        <v>0</v>
      </c>
      <c r="AI52" s="115" t="n">
        <f aca="false">SUMIFS(الريسبي!$C$2:$C$1800,الريسبي!$A$2:$A$1800,$A52,الريسبي!$B$2:$B$1800,AI$1)</f>
        <v>0</v>
      </c>
      <c r="AJ52" s="115" t="n">
        <f aca="false">SUMIFS(الريسبي!$C$2:$C$1800,الريسبي!$A$2:$A$1800,$A52,الريسبي!$B$2:$B$1800,AJ$1)</f>
        <v>0</v>
      </c>
      <c r="AK52" s="115" t="n">
        <f aca="false">SUMIFS(الريسبي!$C$2:$C$1800,الريسبي!$A$2:$A$1800,$A52,الريسبي!$B$2:$B$1800,AK$1)</f>
        <v>0</v>
      </c>
      <c r="AL52" s="115" t="n">
        <f aca="false">SUMIFS(الريسبي!$C$2:$C$1800,الريسبي!$A$2:$A$1800,$A52,الريسبي!$B$2:$B$1800,AL$1)</f>
        <v>0</v>
      </c>
      <c r="AM52" s="115"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15"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15" t="n">
        <f aca="false">SUMIFS(الريسبي!$C$2:$C$1800,الريسبي!$A$2:$A$1800,$A52,الريسبي!$B$2:$B$1800,AO$1)</f>
        <v>0</v>
      </c>
      <c r="AP52" s="115" t="n">
        <f aca="false">SUMIFS(الريسبي!$C$2:$C$1800,الريسبي!$A$2:$A$1800,$A52,الريسبي!$B$2:$B$1800,AP$1)</f>
        <v>0</v>
      </c>
      <c r="AQ52" s="115"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15" t="n">
        <f aca="false">SUMIFS(الريسبي!$C$2:$C$1800,الريسبي!$A$2:$A$1800,$A52,الريسبي!$B$2:$B$1800,AR$1)</f>
        <v>0</v>
      </c>
      <c r="AS52" s="115" t="n">
        <f aca="false">SUMIFS(الريسبي!$C$2:$C$1800,الريسبي!$A$2:$A$1800,$A52,الريسبي!$B$2:$B$1800,AS$1)</f>
        <v>1</v>
      </c>
      <c r="AT52" s="115" t="n">
        <f aca="false">SUMIFS(الريسبي!$C$2:$C$1800,الريسبي!$A$2:$A$1800,$A52,الريسبي!$B$2:$B$1800,AT$1)</f>
        <v>0</v>
      </c>
      <c r="AU52" s="115" t="n">
        <f aca="false">SUMIFS(الريسبي!$C$2:$C$1800,الريسبي!$A$2:$A$1800,$A52,الريسبي!$B$2:$B$1800,AU$1)</f>
        <v>1</v>
      </c>
      <c r="AV52" s="115" t="n">
        <f aca="false">SUMIFS(الريسبي!$C$2:$C$1800,الريسبي!$A$2:$A$1800,$A52,الريسبي!$B$2:$B$1800,AV$1)</f>
        <v>0.1</v>
      </c>
      <c r="AW52" s="115" t="n">
        <f aca="false">SUMIFS(الريسبي!$C$2:$C$1800,الريسبي!$A$2:$A$1800,$A52,الريسبي!$B$2:$B$1800,AW$1)</f>
        <v>0.05</v>
      </c>
      <c r="AX52" s="115" t="n">
        <f aca="false">SUMIFS(الريسبي!$C$2:$C$1800,الريسبي!$A$2:$A$1800,$A52,الريسبي!$B$2:$B$1800,AX$1)</f>
        <v>0</v>
      </c>
      <c r="AY52" s="115" t="n">
        <f aca="false">SUMIFS(الريسبي!$C$2:$C$1800,الريسبي!$A$2:$A$1800,$A52,الريسبي!$B$2:$B$1800,AY$1)</f>
        <v>0</v>
      </c>
      <c r="AZ52" s="115" t="n">
        <f aca="false">SUMIFS(الريسبي!$C$2:$C$1800,الريسبي!$A$2:$A$1800,$A52,الريسبي!$B$2:$B$1800,AZ$1)</f>
        <v>0</v>
      </c>
      <c r="BA52" s="115" t="n">
        <f aca="false">SUMIFS(الريسبي!$C$2:$C$1800,الريسبي!$A$2:$A$1800,$A52,الريسبي!$B$2:$B$1800,BA$1)</f>
        <v>0</v>
      </c>
      <c r="BB52" s="115" t="n">
        <f aca="false">SUMIFS(الريسبي!$C$2:$C$1800,الريسبي!$A$2:$A$1800,$A52,الريسبي!$B$2:$B$1800,BB$1)</f>
        <v>0</v>
      </c>
      <c r="BC52" s="115" t="n">
        <f aca="false">SUMIFS(الريسبي!$C$2:$C$1800,الريسبي!$A$2:$A$1800,$A52,الريسبي!$B$2:$B$1800,BC$1)</f>
        <v>0</v>
      </c>
      <c r="BD52" s="115" t="n">
        <f aca="false">SUMIFS(الريسبي!$C$2:$C$1800,الريسبي!$A$2:$A$1800,$A52,الريسبي!$B$2:$B$1800,BD$1)</f>
        <v>0</v>
      </c>
      <c r="BE52" s="115" t="n">
        <f aca="false">SUMIFS(الريسبي!$C$2:$C$1800,الريسبي!$A$2:$A$1800,$A52,الريسبي!$B$2:$B$1800,BE$1)</f>
        <v>1</v>
      </c>
      <c r="BF52" s="115" t="n">
        <f aca="false">SUMIFS(الريسبي!$C$2:$C$1800,الريسبي!$A$2:$A$1800,$A52,الريسبي!$B$2:$B$1800,BF$1)</f>
        <v>0</v>
      </c>
      <c r="BG52" s="115" t="n">
        <f aca="false">SUMIFS(الريسبي!$C$2:$C$1800,الريسبي!$A$2:$A$1800,$A52,الريسبي!$B$2:$B$1800,BG$1)</f>
        <v>0</v>
      </c>
      <c r="BH52" s="115" t="n">
        <f aca="false">SUMIFS(الريسبي!$C$2:$C$1800,الريسبي!$A$2:$A$1800,$A52,الريسبي!$B$2:$B$1800,BH$1)</f>
        <v>1</v>
      </c>
      <c r="BI52" s="115" t="n">
        <f aca="false">SUMIFS(الريسبي!$C$2:$C$1800,الريسبي!$A$2:$A$1800,$A52,الريسبي!$B$2:$B$1800,BI$1)</f>
        <v>0</v>
      </c>
      <c r="BJ52" s="115" t="n">
        <f aca="false">SUMIFS(الريسبي!$C$2:$C$1800,الريسبي!$A$2:$A$1800,$A52,الريسبي!$B$2:$B$1800,BJ$1)</f>
        <v>0</v>
      </c>
      <c r="BK52" s="115" t="n">
        <f aca="false">SUMIFS(الريسبي!$C$2:$C$1800,الريسبي!$A$2:$A$1800,$A52,الريسبي!$B$2:$B$1800,BK$1)</f>
        <v>0</v>
      </c>
      <c r="BL52" s="115" t="n">
        <f aca="false">SUMIFS(الريسبي!$C$2:$C$1800,الريسبي!$A$2:$A$1800,$A52,الريسبي!$B$2:$B$1800,BL$1)</f>
        <v>0</v>
      </c>
      <c r="BM52" s="115" t="n">
        <f aca="false">SUMIFS(الريسبي!$C$2:$C$1800,الريسبي!$A$2:$A$1800,$A52,الريسبي!$B$2:$B$1800,BM$1)</f>
        <v>0</v>
      </c>
      <c r="BN52" s="115" t="n">
        <f aca="false">SUMIFS(الريسبي!$C$2:$C$1800,الريسبي!$A$2:$A$1800,$A52,الريسبي!$B$2:$B$1800,BN$1)</f>
        <v>0</v>
      </c>
      <c r="BO52" s="115" t="n">
        <f aca="false">SUMIFS(الريسبي!$C$2:$C$1800,الريسبي!$A$2:$A$1800,$A52,الريسبي!$B$2:$B$1800,BO$1)</f>
        <v>0</v>
      </c>
      <c r="BP52" s="115" t="n">
        <f aca="false">SUMIFS(الريسبي!$C$2:$C$1800,الريسبي!$A$2:$A$1800,$A52,الريسبي!$B$2:$B$1800,BP$1)</f>
        <v>0</v>
      </c>
      <c r="BQ52" s="115"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15" t="n">
        <f aca="false">SUMIFS(الريسبي!$C$2:$C$1800,الريسبي!$A$2:$A$1800,$A52,الريسبي!$B$2:$B$1800,BR$1)</f>
        <v>0</v>
      </c>
      <c r="BS52" s="115" t="n">
        <f aca="false">SUMIFS(الريسبي!$C$2:$C$1800,الريسبي!$A$2:$A$1800,$A52,الريسبي!$B$2:$B$1800,BS$1)</f>
        <v>0</v>
      </c>
      <c r="BT52" s="115" t="n">
        <f aca="false">SUMIFS(الريسبي!$C$2:$C$1800,الريسبي!$A$2:$A$1800,$A52,الريسبي!$B$2:$B$1800,BT$1)</f>
        <v>0</v>
      </c>
      <c r="BU52" s="115"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15" t="n">
        <f aca="false">SUMIFS(الريسبي!$C$2:$C$1800,الريسبي!$A$2:$A$1800,$A52,الريسبي!$B$2:$B$1800,BV$1)</f>
        <v>0.05</v>
      </c>
      <c r="BW52" s="115" t="n">
        <f aca="false">SUMIFS(الريسبي!$C$2:$C$1800,الريسبي!$A$2:$A$1800,$A52,الريسبي!$B$2:$B$1800,BW$1)</f>
        <v>0</v>
      </c>
      <c r="BX52" s="115" t="n">
        <f aca="false">SUMIFS(الريسبي!$C$2:$C$1800,الريسبي!$A$2:$A$1800,$A52,الريسبي!$B$2:$B$1800,BX$1)</f>
        <v>0</v>
      </c>
      <c r="BY52" s="115" t="n">
        <f aca="false">SUMIFS(الريسبي!$C$2:$C$1800,الريسبي!$A$2:$A$1800,$A52,الريسبي!$B$2:$B$1800,BY$1)</f>
        <v>0</v>
      </c>
      <c r="BZ52" s="115" t="n">
        <f aca="false">SUMIFS(الريسبي!$C$2:$C$1800,الريسبي!$A$2:$A$1800,$A52,الريسبي!$B$2:$B$1800,BZ$1)</f>
        <v>0</v>
      </c>
      <c r="CA52" s="115" t="n">
        <f aca="false">SUMIFS(الريسبي!$C$2:$C$1800,الريسبي!$A$2:$A$1800,$A52,الريسبي!$B$2:$B$1800,CA$1)</f>
        <v>0</v>
      </c>
      <c r="CB52" s="115" t="n">
        <f aca="false">SUMIFS(الريسبي!$C$2:$C$1800,الريسبي!$A$2:$A$1800,$A52,الريسبي!$B$2:$B$1800,CB$1)</f>
        <v>0</v>
      </c>
      <c r="CC52" s="115" t="n">
        <f aca="false">SUMIFS(الريسبي!$C$2:$C$1800,الريسبي!$A$2:$A$1800,$A52,الريسبي!$B$2:$B$1800,CC$1)</f>
        <v>0</v>
      </c>
      <c r="CD52" s="115" t="n">
        <f aca="false">SUMIFS(الريسبي!$C$2:$C$1800,الريسبي!$A$2:$A$1800,$A52,الريسبي!$B$2:$B$1800,CD$1)</f>
        <v>0</v>
      </c>
      <c r="CE52" s="115" t="n">
        <f aca="false">SUMIFS(الريسبي!$C$2:$C$1800,الريسبي!$A$2:$A$1800,$A52,الريسبي!$B$2:$B$1800,CE$1)</f>
        <v>0</v>
      </c>
      <c r="CF52" s="115" t="n">
        <f aca="false">SUMIFS(الريسبي!$C$2:$C$1800,الريسبي!$A$2:$A$1800,$A52,الريسبي!$B$2:$B$1800,CF$1)</f>
        <v>0</v>
      </c>
      <c r="CG52" s="115" t="n">
        <f aca="false">SUMIFS(الريسبي!$C$2:$C$1800,الريسبي!$A$2:$A$1800,$A52,الريسبي!$B$2:$B$1800,CG$1)</f>
        <v>0</v>
      </c>
      <c r="CH52" s="115" t="n">
        <f aca="false">SUMIFS(الريسبي!$C$2:$C$1800,الريسبي!$A$2:$A$1800,$A52,الريسبي!$B$2:$B$1800,CH$1)</f>
        <v>0</v>
      </c>
    </row>
    <row r="53" customFormat="false" ht="15" hidden="false" customHeight="false" outlineLevel="0" collapsed="false">
      <c r="A53" s="114" t="str">
        <f aca="false">المنيو!B53</f>
        <v>قنبلة برجر</v>
      </c>
      <c r="B53" s="115" t="n">
        <f aca="false">SUMIFS(الريسبي!$C$2:$C$1800,الريسبي!$A$2:$A$1800,$A53,الريسبي!$B$2:$B$1800,B$1)</f>
        <v>0</v>
      </c>
      <c r="C53" s="115" t="n">
        <f aca="false">SUMIFS(الريسبي!$C$2:$C$1800,الريسبي!$A$2:$A$1800,$A53,الريسبي!$B$2:$B$1800,C$1)</f>
        <v>0</v>
      </c>
      <c r="D53" s="115" t="n">
        <f aca="false">SUMIFS(الريسبي!$C$2:$C$1800,الريسبي!$A$2:$A$1800,$A53,الريسبي!$B$2:$B$1800,D$1)</f>
        <v>1</v>
      </c>
      <c r="E53" s="115" t="n">
        <f aca="false">SUMIFS(الريسبي!$C$2:$C$1800,الريسبي!$A$2:$A$1800,$A53,الريسبي!$B$2:$B$1800,E$1)</f>
        <v>0</v>
      </c>
      <c r="F53" s="115" t="n">
        <f aca="false">SUMIFS(الريسبي!$C$2:$C$1800,الريسبي!$A$2:$A$1800,$A53,الريسبي!$B$2:$B$1800,F$1)</f>
        <v>2</v>
      </c>
      <c r="G53" s="115" t="n">
        <f aca="false">SUMIFS(الريسبي!$C$2:$C$1800,الريسبي!$A$2:$A$1800,$A53,الريسبي!$B$2:$B$1800,G$1)</f>
        <v>0</v>
      </c>
      <c r="H53" s="115" t="n">
        <f aca="false">SUMIFS(الريسبي!$C$2:$C$1800,الريسبي!$A$2:$A$1800,$A53,الريسبي!$B$2:$B$1800,H$1)</f>
        <v>0</v>
      </c>
      <c r="I53" s="115" t="n">
        <f aca="false">SUMIFS(الريسبي!$C$2:$C$1800,الريسبي!$A$2:$A$1800,$A53,الريسبي!$B$2:$B$1800,I$1)</f>
        <v>0</v>
      </c>
      <c r="J53" s="115" t="n">
        <f aca="false">SUMIFS(الريسبي!$C$2:$C$1800,الريسبي!$A$2:$A$1800,$A53,الريسبي!$B$2:$B$1800,J$1)</f>
        <v>0</v>
      </c>
      <c r="K53" s="115" t="n">
        <f aca="false">SUMIFS(الريسبي!$C$2:$C$1800,الريسبي!$A$2:$A$1800,$A53,الريسبي!$B$2:$B$1800,K$1)</f>
        <v>0</v>
      </c>
      <c r="L53" s="115" t="n">
        <f aca="false">SUMIFS(الريسبي!$C$2:$C$1800,الريسبي!$A$2:$A$1800,$A53,الريسبي!$B$2:$B$1800,L$1)</f>
        <v>0</v>
      </c>
      <c r="M53" s="115" t="n">
        <f aca="false">SUMIFS(الريسبي!$C$2:$C$1800,الريسبي!$A$2:$A$1800,$A53,الريسبي!$B$2:$B$1800,M$1)</f>
        <v>0</v>
      </c>
      <c r="N53" s="115" t="n">
        <f aca="false">SUMIFS(الريسبي!$C$2:$C$1800,الريسبي!$A$2:$A$1800,$A53,الريسبي!$B$2:$B$1800,N$1)</f>
        <v>0</v>
      </c>
      <c r="O53" s="115" t="n">
        <f aca="false">SUMIFS(الريسبي!$C$2:$C$1800,الريسبي!$A$2:$A$1800,$A53,الريسبي!$B$2:$B$1800,O$1)</f>
        <v>0</v>
      </c>
      <c r="P53" s="115" t="n">
        <f aca="false">SUMIFS(الريسبي!$C$2:$C$1800,الريسبي!$A$2:$A$1800,$A53,الريسبي!$B$2:$B$1800,P$1)</f>
        <v>0</v>
      </c>
      <c r="Q53" s="115" t="n">
        <f aca="false">SUMIFS(الريسبي!$C$2:$C$1800,الريسبي!$A$2:$A$1800,$A53,الريسبي!$B$2:$B$1800,Q$1)</f>
        <v>0</v>
      </c>
      <c r="R53" s="115" t="n">
        <f aca="false">SUMIFS(الريسبي!$C$2:$C$1800,الريسبي!$A$2:$A$1800,$A53,الريسبي!$B$2:$B$1800,R$1)</f>
        <v>0</v>
      </c>
      <c r="S53" s="115" t="n">
        <f aca="false">SUMIFS(الريسبي!$C$2:$C$1800,الريسبي!$A$2:$A$1800,$A53,الريسبي!$B$2:$B$1800,S$1)</f>
        <v>0</v>
      </c>
      <c r="T53" s="115" t="n">
        <f aca="false">SUMIFS(الريسبي!$C$2:$C$1800,الريسبي!$A$2:$A$1800,$A53,الريسبي!$B$2:$B$1800,T$1)</f>
        <v>0</v>
      </c>
      <c r="U53" s="115" t="n">
        <f aca="false">SUMIFS(الريسبي!$C$2:$C$1800,الريسبي!$A$2:$A$1800,$A53,الريسبي!$B$2:$B$1800,U$1)</f>
        <v>0</v>
      </c>
      <c r="V53" s="115" t="n">
        <f aca="false">SUMIFS(الريسبي!$C$2:$C$1800,الريسبي!$A$2:$A$1800,$A53,الريسبي!$B$2:$B$1800,V$1)</f>
        <v>0.5</v>
      </c>
      <c r="W53" s="115" t="n">
        <f aca="false">SUMIFS(الريسبي!$C$2:$C$1800,الريسبي!$A$2:$A$1800,$A53,الريسبي!$B$2:$B$1800,W$1)</f>
        <v>0</v>
      </c>
      <c r="X53" s="115" t="n">
        <f aca="false">SUMIFS(الريسبي!$C$2:$C$1800,الريسبي!$A$2:$A$1800,$A53,الريسبي!$B$2:$B$1800,X$1)</f>
        <v>0</v>
      </c>
      <c r="Y53" s="115" t="n">
        <f aca="false">SUMIFS(الريسبي!$C$2:$C$1800,الريسبي!$A$2:$A$1800,$A53,الريسبي!$B$2:$B$1800,Y$1)</f>
        <v>0</v>
      </c>
      <c r="Z53" s="115" t="n">
        <f aca="false">SUMIFS(الريسبي!$C$2:$C$1800,الريسبي!$A$2:$A$1800,$A53,الريسبي!$B$2:$B$1800,Z$1)</f>
        <v>0</v>
      </c>
      <c r="AA53" s="115" t="n">
        <f aca="false">SUMIFS(الريسبي!$C$2:$C$1800,الريسبي!$A$2:$A$1800,$A53,الريسبي!$B$2:$B$1800,AA$1)</f>
        <v>0</v>
      </c>
      <c r="AB53" s="115" t="n">
        <f aca="false">SUMIFS(الريسبي!$C$2:$C$1800,الريسبي!$A$2:$A$1800,$A53,الريسبي!$B$2:$B$1800,AB$1)</f>
        <v>0</v>
      </c>
      <c r="AC53" s="115" t="n">
        <f aca="false">SUMIFS(الريسبي!$C$2:$C$1800,الريسبي!$A$2:$A$1800,$A53,الريسبي!$B$2:$B$1800,AC$1)</f>
        <v>0</v>
      </c>
      <c r="AD53" s="115" t="n">
        <f aca="false">SUMIFS(الريسبي!$C$2:$C$1800,الريسبي!$A$2:$A$1800,$A53,الريسبي!$B$2:$B$1800,AD$1)</f>
        <v>0</v>
      </c>
      <c r="AE53" s="115" t="n">
        <f aca="false">SUMIFS(الريسبي!$C$2:$C$1800,الريسبي!$A$2:$A$1800,$A53,الريسبي!$B$2:$B$1800,AE$1)</f>
        <v>0.02</v>
      </c>
      <c r="AF53" s="115" t="n">
        <f aca="false">SUMIFS(الريسبي!$C$2:$C$1800,الريسبي!$A$2:$A$1800,$A53,الريسبي!$B$2:$B$1800,AF$1)</f>
        <v>0</v>
      </c>
      <c r="AG53" s="115" t="n">
        <f aca="false">SUMIFS(الريسبي!$C$2:$C$1800,الريسبي!$A$2:$A$1800,$A53,الريسبي!$B$2:$B$1800,AG$1)</f>
        <v>0</v>
      </c>
      <c r="AH53" s="115" t="n">
        <f aca="false">SUMIFS(الريسبي!$C$2:$C$1800,الريسبي!$A$2:$A$1800,$A53,الريسبي!$B$2:$B$1800,AH$1)</f>
        <v>0</v>
      </c>
      <c r="AI53" s="115" t="n">
        <f aca="false">SUMIFS(الريسبي!$C$2:$C$1800,الريسبي!$A$2:$A$1800,$A53,الريسبي!$B$2:$B$1800,AI$1)</f>
        <v>0</v>
      </c>
      <c r="AJ53" s="115" t="n">
        <f aca="false">SUMIFS(الريسبي!$C$2:$C$1800,الريسبي!$A$2:$A$1800,$A53,الريسبي!$B$2:$B$1800,AJ$1)</f>
        <v>2</v>
      </c>
      <c r="AK53" s="115" t="n">
        <f aca="false">SUMIFS(الريسبي!$C$2:$C$1800,الريسبي!$A$2:$A$1800,$A53,الريسبي!$B$2:$B$1800,AK$1)</f>
        <v>0</v>
      </c>
      <c r="AL53" s="115" t="n">
        <f aca="false">SUMIFS(الريسبي!$C$2:$C$1800,الريسبي!$A$2:$A$1800,$A53,الريسبي!$B$2:$B$1800,AL$1)</f>
        <v>0.02</v>
      </c>
      <c r="AM53" s="115"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15"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15" t="n">
        <f aca="false">SUMIFS(الريسبي!$C$2:$C$1800,الريسبي!$A$2:$A$1800,$A53,الريسبي!$B$2:$B$1800,AO$1)</f>
        <v>0</v>
      </c>
      <c r="AP53" s="115" t="n">
        <f aca="false">SUMIFS(الريسبي!$C$2:$C$1800,الريسبي!$A$2:$A$1800,$A53,الريسبي!$B$2:$B$1800,AP$1)</f>
        <v>0</v>
      </c>
      <c r="AQ53" s="115"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15" t="n">
        <f aca="false">SUMIFS(الريسبي!$C$2:$C$1800,الريسبي!$A$2:$A$1800,$A53,الريسبي!$B$2:$B$1800,AR$1)</f>
        <v>0</v>
      </c>
      <c r="AS53" s="115" t="n">
        <f aca="false">SUMIFS(الريسبي!$C$2:$C$1800,الريسبي!$A$2:$A$1800,$A53,الريسبي!$B$2:$B$1800,AS$1)</f>
        <v>0</v>
      </c>
      <c r="AT53" s="115" t="n">
        <f aca="false">SUMIFS(الريسبي!$C$2:$C$1800,الريسبي!$A$2:$A$1800,$A53,الريسبي!$B$2:$B$1800,AT$1)</f>
        <v>0</v>
      </c>
      <c r="AU53" s="115" t="n">
        <f aca="false">SUMIFS(الريسبي!$C$2:$C$1800,الريسبي!$A$2:$A$1800,$A53,الريسبي!$B$2:$B$1800,AU$1)</f>
        <v>0</v>
      </c>
      <c r="AV53" s="115" t="n">
        <f aca="false">SUMIFS(الريسبي!$C$2:$C$1800,الريسبي!$A$2:$A$1800,$A53,الريسبي!$B$2:$B$1800,AV$1)</f>
        <v>0</v>
      </c>
      <c r="AW53" s="115" t="n">
        <f aca="false">SUMIFS(الريسبي!$C$2:$C$1800,الريسبي!$A$2:$A$1800,$A53,الريسبي!$B$2:$B$1800,AW$1)</f>
        <v>0</v>
      </c>
      <c r="AX53" s="115" t="n">
        <f aca="false">SUMIFS(الريسبي!$C$2:$C$1800,الريسبي!$A$2:$A$1800,$A53,الريسبي!$B$2:$B$1800,AX$1)</f>
        <v>0</v>
      </c>
      <c r="AY53" s="115" t="n">
        <f aca="false">SUMIFS(الريسبي!$C$2:$C$1800,الريسبي!$A$2:$A$1800,$A53,الريسبي!$B$2:$B$1800,AY$1)</f>
        <v>0.05</v>
      </c>
      <c r="AZ53" s="115" t="n">
        <f aca="false">SUMIFS(الريسبي!$C$2:$C$1800,الريسبي!$A$2:$A$1800,$A53,الريسبي!$B$2:$B$1800,AZ$1)</f>
        <v>0.05</v>
      </c>
      <c r="BA53" s="115" t="n">
        <f aca="false">SUMIFS(الريسبي!$C$2:$C$1800,الريسبي!$A$2:$A$1800,$A53,الريسبي!$B$2:$B$1800,BA$1)</f>
        <v>0</v>
      </c>
      <c r="BB53" s="115" t="n">
        <f aca="false">SUMIFS(الريسبي!$C$2:$C$1800,الريسبي!$A$2:$A$1800,$A53,الريسبي!$B$2:$B$1800,BB$1)</f>
        <v>0.05</v>
      </c>
      <c r="BC53" s="115" t="n">
        <f aca="false">SUMIFS(الريسبي!$C$2:$C$1800,الريسبي!$A$2:$A$1800,$A53,الريسبي!$B$2:$B$1800,BC$1)</f>
        <v>0.02</v>
      </c>
      <c r="BD53" s="115" t="n">
        <f aca="false">SUMIFS(الريسبي!$C$2:$C$1800,الريسبي!$A$2:$A$1800,$A53,الريسبي!$B$2:$B$1800,BD$1)</f>
        <v>0.22</v>
      </c>
      <c r="BE53" s="115" t="n">
        <f aca="false">SUMIFS(الريسبي!$C$2:$C$1800,الريسبي!$A$2:$A$1800,$A53,الريسبي!$B$2:$B$1800,BE$1)</f>
        <v>0</v>
      </c>
      <c r="BF53" s="115" t="n">
        <f aca="false">SUMIFS(الريسبي!$C$2:$C$1800,الريسبي!$A$2:$A$1800,$A53,الريسبي!$B$2:$B$1800,BF$1)</f>
        <v>0</v>
      </c>
      <c r="BG53" s="115" t="n">
        <f aca="false">SUMIFS(الريسبي!$C$2:$C$1800,الريسبي!$A$2:$A$1800,$A53,الريسبي!$B$2:$B$1800,BG$1)</f>
        <v>0</v>
      </c>
      <c r="BH53" s="115" t="n">
        <f aca="false">SUMIFS(الريسبي!$C$2:$C$1800,الريسبي!$A$2:$A$1800,$A53,الريسبي!$B$2:$B$1800,BH$1)</f>
        <v>0</v>
      </c>
      <c r="BI53" s="115" t="n">
        <f aca="false">SUMIFS(الريسبي!$C$2:$C$1800,الريسبي!$A$2:$A$1800,$A53,الريسبي!$B$2:$B$1800,BI$1)</f>
        <v>0</v>
      </c>
      <c r="BJ53" s="115" t="n">
        <f aca="false">SUMIFS(الريسبي!$C$2:$C$1800,الريسبي!$A$2:$A$1800,$A53,الريسبي!$B$2:$B$1800,BJ$1)</f>
        <v>0</v>
      </c>
      <c r="BK53" s="115" t="n">
        <f aca="false">SUMIFS(الريسبي!$C$2:$C$1800,الريسبي!$A$2:$A$1800,$A53,الريسبي!$B$2:$B$1800,BK$1)</f>
        <v>0</v>
      </c>
      <c r="BL53" s="115" t="n">
        <f aca="false">SUMIFS(الريسبي!$C$2:$C$1800,الريسبي!$A$2:$A$1800,$A53,الريسبي!$B$2:$B$1800,BL$1)</f>
        <v>0</v>
      </c>
      <c r="BM53" s="115" t="n">
        <f aca="false">SUMIFS(الريسبي!$C$2:$C$1800,الريسبي!$A$2:$A$1800,$A53,الريسبي!$B$2:$B$1800,BM$1)</f>
        <v>0</v>
      </c>
      <c r="BN53" s="115" t="n">
        <f aca="false">SUMIFS(الريسبي!$C$2:$C$1800,الريسبي!$A$2:$A$1800,$A53,الريسبي!$B$2:$B$1800,BN$1)</f>
        <v>0.02</v>
      </c>
      <c r="BO53" s="115" t="n">
        <f aca="false">SUMIFS(الريسبي!$C$2:$C$1800,الريسبي!$A$2:$A$1800,$A53,الريسبي!$B$2:$B$1800,BO$1)</f>
        <v>0</v>
      </c>
      <c r="BP53" s="115" t="n">
        <f aca="false">SUMIFS(الريسبي!$C$2:$C$1800,الريسبي!$A$2:$A$1800,$A53,الريسبي!$B$2:$B$1800,BP$1)</f>
        <v>2</v>
      </c>
      <c r="BQ53" s="115"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15" t="n">
        <f aca="false">SUMIFS(الريسبي!$C$2:$C$1800,الريسبي!$A$2:$A$1800,$A53,الريسبي!$B$2:$B$1800,BR$1)</f>
        <v>1</v>
      </c>
      <c r="BS53" s="115" t="n">
        <f aca="false">SUMIFS(الريسبي!$C$2:$C$1800,الريسبي!$A$2:$A$1800,$A53,الريسبي!$B$2:$B$1800,BS$1)</f>
        <v>0</v>
      </c>
      <c r="BT53" s="115" t="n">
        <f aca="false">SUMIFS(الريسبي!$C$2:$C$1800,الريسبي!$A$2:$A$1800,$A53,الريسبي!$B$2:$B$1800,BT$1)</f>
        <v>0</v>
      </c>
      <c r="BU53" s="115"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15" t="n">
        <f aca="false">SUMIFS(الريسبي!$C$2:$C$1800,الريسبي!$A$2:$A$1800,$A53,الريسبي!$B$2:$B$1800,BV$1)</f>
        <v>0</v>
      </c>
      <c r="BW53" s="115" t="n">
        <f aca="false">SUMIFS(الريسبي!$C$2:$C$1800,الريسبي!$A$2:$A$1800,$A53,الريسبي!$B$2:$B$1800,BW$1)</f>
        <v>0</v>
      </c>
      <c r="BX53" s="115" t="n">
        <f aca="false">SUMIFS(الريسبي!$C$2:$C$1800,الريسبي!$A$2:$A$1800,$A53,الريسبي!$B$2:$B$1800,BX$1)</f>
        <v>0</v>
      </c>
      <c r="BY53" s="115" t="n">
        <f aca="false">SUMIFS(الريسبي!$C$2:$C$1800,الريسبي!$A$2:$A$1800,$A53,الريسبي!$B$2:$B$1800,BY$1)</f>
        <v>0</v>
      </c>
      <c r="BZ53" s="115" t="n">
        <f aca="false">SUMIFS(الريسبي!$C$2:$C$1800,الريسبي!$A$2:$A$1800,$A53,الريسبي!$B$2:$B$1800,BZ$1)</f>
        <v>1</v>
      </c>
      <c r="CA53" s="115" t="n">
        <f aca="false">SUMIFS(الريسبي!$C$2:$C$1800,الريسبي!$A$2:$A$1800,$A53,الريسبي!$B$2:$B$1800,CA$1)</f>
        <v>1</v>
      </c>
      <c r="CB53" s="115" t="n">
        <f aca="false">SUMIFS(الريسبي!$C$2:$C$1800,الريسبي!$A$2:$A$1800,$A53,الريسبي!$B$2:$B$1800,CB$1)</f>
        <v>0</v>
      </c>
      <c r="CC53" s="115" t="n">
        <f aca="false">SUMIFS(الريسبي!$C$2:$C$1800,الريسبي!$A$2:$A$1800,$A53,الريسبي!$B$2:$B$1800,CC$1)</f>
        <v>0</v>
      </c>
      <c r="CD53" s="115" t="n">
        <f aca="false">SUMIFS(الريسبي!$C$2:$C$1800,الريسبي!$A$2:$A$1800,$A53,الريسبي!$B$2:$B$1800,CD$1)</f>
        <v>0</v>
      </c>
      <c r="CE53" s="115" t="n">
        <f aca="false">SUMIFS(الريسبي!$C$2:$C$1800,الريسبي!$A$2:$A$1800,$A53,الريسبي!$B$2:$B$1800,CE$1)</f>
        <v>0</v>
      </c>
      <c r="CF53" s="115" t="n">
        <f aca="false">SUMIFS(الريسبي!$C$2:$C$1800,الريسبي!$A$2:$A$1800,$A53,الريسبي!$B$2:$B$1800,CF$1)</f>
        <v>1</v>
      </c>
      <c r="CG53" s="115" t="n">
        <f aca="false">SUMIFS(الريسبي!$C$2:$C$1800,الريسبي!$A$2:$A$1800,$A53,الريسبي!$B$2:$B$1800,CG$1)</f>
        <v>1</v>
      </c>
      <c r="CH53" s="115" t="n">
        <f aca="false">SUMIFS(الريسبي!$C$2:$C$1800,الريسبي!$A$2:$A$1800,$A53,الريسبي!$B$2:$B$1800,CH$1)</f>
        <v>0</v>
      </c>
    </row>
    <row r="54" customFormat="false" ht="15" hidden="false" customHeight="false" outlineLevel="0" collapsed="false">
      <c r="A54" s="114" t="str">
        <f aca="false">المنيو!B54</f>
        <v>قنبلة كريسبي</v>
      </c>
      <c r="B54" s="115" t="n">
        <f aca="false">SUMIFS(الريسبي!$C$2:$C$1800,الريسبي!$A$2:$A$1800,$A54,الريسبي!$B$2:$B$1800,B$1)</f>
        <v>0</v>
      </c>
      <c r="C54" s="115" t="n">
        <f aca="false">SUMIFS(الريسبي!$C$2:$C$1800,الريسبي!$A$2:$A$1800,$A54,الريسبي!$B$2:$B$1800,C$1)</f>
        <v>0</v>
      </c>
      <c r="D54" s="115" t="n">
        <f aca="false">SUMIFS(الريسبي!$C$2:$C$1800,الريسبي!$A$2:$A$1800,$A54,الريسبي!$B$2:$B$1800,D$1)</f>
        <v>1</v>
      </c>
      <c r="E54" s="115" t="n">
        <f aca="false">SUMIFS(الريسبي!$C$2:$C$1800,الريسبي!$A$2:$A$1800,$A54,الريسبي!$B$2:$B$1800,E$1)</f>
        <v>0</v>
      </c>
      <c r="F54" s="115" t="n">
        <f aca="false">SUMIFS(الريسبي!$C$2:$C$1800,الريسبي!$A$2:$A$1800,$A54,الريسبي!$B$2:$B$1800,F$1)</f>
        <v>0</v>
      </c>
      <c r="G54" s="115" t="n">
        <f aca="false">SUMIFS(الريسبي!$C$2:$C$1800,الريسبي!$A$2:$A$1800,$A54,الريسبي!$B$2:$B$1800,G$1)</f>
        <v>0</v>
      </c>
      <c r="H54" s="115" t="n">
        <f aca="false">SUMIFS(الريسبي!$C$2:$C$1800,الريسبي!$A$2:$A$1800,$A54,الريسبي!$B$2:$B$1800,H$1)</f>
        <v>0</v>
      </c>
      <c r="I54" s="115" t="n">
        <f aca="false">SUMIFS(الريسبي!$C$2:$C$1800,الريسبي!$A$2:$A$1800,$A54,الريسبي!$B$2:$B$1800,I$1)</f>
        <v>0</v>
      </c>
      <c r="J54" s="115" t="n">
        <f aca="false">SUMIFS(الريسبي!$C$2:$C$1800,الريسبي!$A$2:$A$1800,$A54,الريسبي!$B$2:$B$1800,J$1)</f>
        <v>0</v>
      </c>
      <c r="K54" s="115" t="n">
        <f aca="false">SUMIFS(الريسبي!$C$2:$C$1800,الريسبي!$A$2:$A$1800,$A54,الريسبي!$B$2:$B$1800,K$1)</f>
        <v>0</v>
      </c>
      <c r="L54" s="115" t="n">
        <f aca="false">SUMIFS(الريسبي!$C$2:$C$1800,الريسبي!$A$2:$A$1800,$A54,الريسبي!$B$2:$B$1800,L$1)</f>
        <v>0</v>
      </c>
      <c r="M54" s="115" t="n">
        <f aca="false">SUMIFS(الريسبي!$C$2:$C$1800,الريسبي!$A$2:$A$1800,$A54,الريسبي!$B$2:$B$1800,M$1)</f>
        <v>0</v>
      </c>
      <c r="N54" s="115" t="n">
        <f aca="false">SUMIFS(الريسبي!$C$2:$C$1800,الريسبي!$A$2:$A$1800,$A54,الريسبي!$B$2:$B$1800,N$1)</f>
        <v>0</v>
      </c>
      <c r="O54" s="115" t="n">
        <f aca="false">SUMIFS(الريسبي!$C$2:$C$1800,الريسبي!$A$2:$A$1800,$A54,الريسبي!$B$2:$B$1800,O$1)</f>
        <v>0</v>
      </c>
      <c r="P54" s="115" t="n">
        <f aca="false">SUMIFS(الريسبي!$C$2:$C$1800,الريسبي!$A$2:$A$1800,$A54,الريسبي!$B$2:$B$1800,P$1)</f>
        <v>0</v>
      </c>
      <c r="Q54" s="115" t="n">
        <f aca="false">SUMIFS(الريسبي!$C$2:$C$1800,الريسبي!$A$2:$A$1800,$A54,الريسبي!$B$2:$B$1800,Q$1)</f>
        <v>1</v>
      </c>
      <c r="R54" s="115" t="n">
        <f aca="false">SUMIFS(الريسبي!$C$2:$C$1800,الريسبي!$A$2:$A$1800,$A54,الريسبي!$B$2:$B$1800,R$1)</f>
        <v>0</v>
      </c>
      <c r="S54" s="115" t="n">
        <f aca="false">SUMIFS(الريسبي!$C$2:$C$1800,الريسبي!$A$2:$A$1800,$A54,الريسبي!$B$2:$B$1800,S$1)</f>
        <v>0</v>
      </c>
      <c r="T54" s="115" t="n">
        <f aca="false">SUMIFS(الريسبي!$C$2:$C$1800,الريسبي!$A$2:$A$1800,$A54,الريسبي!$B$2:$B$1800,T$1)</f>
        <v>0</v>
      </c>
      <c r="U54" s="115" t="n">
        <f aca="false">SUMIFS(الريسبي!$C$2:$C$1800,الريسبي!$A$2:$A$1800,$A54,الريسبي!$B$2:$B$1800,U$1)</f>
        <v>0</v>
      </c>
      <c r="V54" s="115" t="n">
        <f aca="false">SUMIFS(الريسبي!$C$2:$C$1800,الريسبي!$A$2:$A$1800,$A54,الريسبي!$B$2:$B$1800,V$1)</f>
        <v>1</v>
      </c>
      <c r="W54" s="115" t="n">
        <f aca="false">SUMIFS(الريسبي!$C$2:$C$1800,الريسبي!$A$2:$A$1800,$A54,الريسبي!$B$2:$B$1800,W$1)</f>
        <v>0</v>
      </c>
      <c r="X54" s="115" t="n">
        <f aca="false">SUMIFS(الريسبي!$C$2:$C$1800,الريسبي!$A$2:$A$1800,$A54,الريسبي!$B$2:$B$1800,X$1)</f>
        <v>0</v>
      </c>
      <c r="Y54" s="115" t="n">
        <f aca="false">SUMIFS(الريسبي!$C$2:$C$1800,الريسبي!$A$2:$A$1800,$A54,الريسبي!$B$2:$B$1800,Y$1)</f>
        <v>0</v>
      </c>
      <c r="Z54" s="115" t="n">
        <f aca="false">SUMIFS(الريسبي!$C$2:$C$1800,الريسبي!$A$2:$A$1800,$A54,الريسبي!$B$2:$B$1800,Z$1)</f>
        <v>0</v>
      </c>
      <c r="AA54" s="115" t="n">
        <f aca="false">SUMIFS(الريسبي!$C$2:$C$1800,الريسبي!$A$2:$A$1800,$A54,الريسبي!$B$2:$B$1800,AA$1)</f>
        <v>0</v>
      </c>
      <c r="AB54" s="115" t="n">
        <f aca="false">SUMIFS(الريسبي!$C$2:$C$1800,الريسبي!$A$2:$A$1800,$A54,الريسبي!$B$2:$B$1800,AB$1)</f>
        <v>0</v>
      </c>
      <c r="AC54" s="115" t="n">
        <f aca="false">SUMIFS(الريسبي!$C$2:$C$1800,الريسبي!$A$2:$A$1800,$A54,الريسبي!$B$2:$B$1800,AC$1)</f>
        <v>0</v>
      </c>
      <c r="AD54" s="115" t="n">
        <f aca="false">SUMIFS(الريسبي!$C$2:$C$1800,الريسبي!$A$2:$A$1800,$A54,الريسبي!$B$2:$B$1800,AD$1)</f>
        <v>0</v>
      </c>
      <c r="AE54" s="115" t="n">
        <f aca="false">SUMIFS(الريسبي!$C$2:$C$1800,الريسبي!$A$2:$A$1800,$A54,الريسبي!$B$2:$B$1800,AE$1)</f>
        <v>0.02</v>
      </c>
      <c r="AF54" s="115" t="n">
        <f aca="false">SUMIFS(الريسبي!$C$2:$C$1800,الريسبي!$A$2:$A$1800,$A54,الريسبي!$B$2:$B$1800,AF$1)</f>
        <v>0</v>
      </c>
      <c r="AG54" s="115" t="n">
        <f aca="false">SUMIFS(الريسبي!$C$2:$C$1800,الريسبي!$A$2:$A$1800,$A54,الريسبي!$B$2:$B$1800,AG$1)</f>
        <v>0</v>
      </c>
      <c r="AH54" s="115" t="n">
        <f aca="false">SUMIFS(الريسبي!$C$2:$C$1800,الريسبي!$A$2:$A$1800,$A54,الريسبي!$B$2:$B$1800,AH$1)</f>
        <v>0</v>
      </c>
      <c r="AI54" s="115" t="n">
        <f aca="false">SUMIFS(الريسبي!$C$2:$C$1800,الريسبي!$A$2:$A$1800,$A54,الريسبي!$B$2:$B$1800,AI$1)</f>
        <v>0</v>
      </c>
      <c r="AJ54" s="115" t="n">
        <f aca="false">SUMIFS(الريسبي!$C$2:$C$1800,الريسبي!$A$2:$A$1800,$A54,الريسبي!$B$2:$B$1800,AJ$1)</f>
        <v>2</v>
      </c>
      <c r="AK54" s="115" t="n">
        <f aca="false">SUMIFS(الريسبي!$C$2:$C$1800,الريسبي!$A$2:$A$1800,$A54,الريسبي!$B$2:$B$1800,AK$1)</f>
        <v>0</v>
      </c>
      <c r="AL54" s="115" t="n">
        <f aca="false">SUMIFS(الريسبي!$C$2:$C$1800,الريسبي!$A$2:$A$1800,$A54,الريسبي!$B$2:$B$1800,AL$1)</f>
        <v>0.02</v>
      </c>
      <c r="AM54" s="115"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15"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15" t="n">
        <f aca="false">SUMIFS(الريسبي!$C$2:$C$1800,الريسبي!$A$2:$A$1800,$A54,الريسبي!$B$2:$B$1800,AO$1)</f>
        <v>0</v>
      </c>
      <c r="AP54" s="115" t="n">
        <f aca="false">SUMIFS(الريسبي!$C$2:$C$1800,الريسبي!$A$2:$A$1800,$A54,الريسبي!$B$2:$B$1800,AP$1)</f>
        <v>0</v>
      </c>
      <c r="AQ54" s="115"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15" t="n">
        <f aca="false">SUMIFS(الريسبي!$C$2:$C$1800,الريسبي!$A$2:$A$1800,$A54,الريسبي!$B$2:$B$1800,AR$1)</f>
        <v>0</v>
      </c>
      <c r="AS54" s="115" t="n">
        <f aca="false">SUMIFS(الريسبي!$C$2:$C$1800,الريسبي!$A$2:$A$1800,$A54,الريسبي!$B$2:$B$1800,AS$1)</f>
        <v>0</v>
      </c>
      <c r="AT54" s="115" t="n">
        <f aca="false">SUMIFS(الريسبي!$C$2:$C$1800,الريسبي!$A$2:$A$1800,$A54,الريسبي!$B$2:$B$1800,AT$1)</f>
        <v>0</v>
      </c>
      <c r="AU54" s="115" t="n">
        <f aca="false">SUMIFS(الريسبي!$C$2:$C$1800,الريسبي!$A$2:$A$1800,$A54,الريسبي!$B$2:$B$1800,AU$1)</f>
        <v>0</v>
      </c>
      <c r="AV54" s="115" t="n">
        <f aca="false">SUMIFS(الريسبي!$C$2:$C$1800,الريسبي!$A$2:$A$1800,$A54,الريسبي!$B$2:$B$1800,AV$1)</f>
        <v>0</v>
      </c>
      <c r="AW54" s="115" t="n">
        <f aca="false">SUMIFS(الريسبي!$C$2:$C$1800,الريسبي!$A$2:$A$1800,$A54,الريسبي!$B$2:$B$1800,AW$1)</f>
        <v>0</v>
      </c>
      <c r="AX54" s="115" t="n">
        <f aca="false">SUMIFS(الريسبي!$C$2:$C$1800,الريسبي!$A$2:$A$1800,$A54,الريسبي!$B$2:$B$1800,AX$1)</f>
        <v>0</v>
      </c>
      <c r="AY54" s="115" t="n">
        <f aca="false">SUMIFS(الريسبي!$C$2:$C$1800,الريسبي!$A$2:$A$1800,$A54,الريسبي!$B$2:$B$1800,AY$1)</f>
        <v>0.05</v>
      </c>
      <c r="AZ54" s="115" t="n">
        <f aca="false">SUMIFS(الريسبي!$C$2:$C$1800,الريسبي!$A$2:$A$1800,$A54,الريسبي!$B$2:$B$1800,AZ$1)</f>
        <v>0</v>
      </c>
      <c r="BA54" s="115" t="n">
        <f aca="false">SUMIFS(الريسبي!$C$2:$C$1800,الريسبي!$A$2:$A$1800,$A54,الريسبي!$B$2:$B$1800,BA$1)</f>
        <v>0.05</v>
      </c>
      <c r="BB54" s="115" t="n">
        <f aca="false">SUMIFS(الريسبي!$C$2:$C$1800,الريسبي!$A$2:$A$1800,$A54,الريسبي!$B$2:$B$1800,BB$1)</f>
        <v>0.05</v>
      </c>
      <c r="BC54" s="115" t="n">
        <f aca="false">SUMIFS(الريسبي!$C$2:$C$1800,الريسبي!$A$2:$A$1800,$A54,الريسبي!$B$2:$B$1800,BC$1)</f>
        <v>0.02</v>
      </c>
      <c r="BD54" s="115" t="n">
        <f aca="false">SUMIFS(الريسبي!$C$2:$C$1800,الريسبي!$A$2:$A$1800,$A54,الريسبي!$B$2:$B$1800,BD$1)</f>
        <v>0.22</v>
      </c>
      <c r="BE54" s="115" t="n">
        <f aca="false">SUMIFS(الريسبي!$C$2:$C$1800,الريسبي!$A$2:$A$1800,$A54,الريسبي!$B$2:$B$1800,BE$1)</f>
        <v>0</v>
      </c>
      <c r="BF54" s="115" t="n">
        <f aca="false">SUMIFS(الريسبي!$C$2:$C$1800,الريسبي!$A$2:$A$1800,$A54,الريسبي!$B$2:$B$1800,BF$1)</f>
        <v>0</v>
      </c>
      <c r="BG54" s="115" t="n">
        <f aca="false">SUMIFS(الريسبي!$C$2:$C$1800,الريسبي!$A$2:$A$1800,$A54,الريسبي!$B$2:$B$1800,BG$1)</f>
        <v>0</v>
      </c>
      <c r="BH54" s="115" t="n">
        <f aca="false">SUMIFS(الريسبي!$C$2:$C$1800,الريسبي!$A$2:$A$1800,$A54,الريسبي!$B$2:$B$1800,BH$1)</f>
        <v>0</v>
      </c>
      <c r="BI54" s="115" t="n">
        <f aca="false">SUMIFS(الريسبي!$C$2:$C$1800,الريسبي!$A$2:$A$1800,$A54,الريسبي!$B$2:$B$1800,BI$1)</f>
        <v>0</v>
      </c>
      <c r="BJ54" s="115" t="n">
        <f aca="false">SUMIFS(الريسبي!$C$2:$C$1800,الريسبي!$A$2:$A$1800,$A54,الريسبي!$B$2:$B$1800,BJ$1)</f>
        <v>0</v>
      </c>
      <c r="BK54" s="115" t="n">
        <f aca="false">SUMIFS(الريسبي!$C$2:$C$1800,الريسبي!$A$2:$A$1800,$A54,الريسبي!$B$2:$B$1800,BK$1)</f>
        <v>0</v>
      </c>
      <c r="BL54" s="115" t="n">
        <f aca="false">SUMIFS(الريسبي!$C$2:$C$1800,الريسبي!$A$2:$A$1800,$A54,الريسبي!$B$2:$B$1800,BL$1)</f>
        <v>0</v>
      </c>
      <c r="BM54" s="115" t="n">
        <f aca="false">SUMIFS(الريسبي!$C$2:$C$1800,الريسبي!$A$2:$A$1800,$A54,الريسبي!$B$2:$B$1800,BM$1)</f>
        <v>0</v>
      </c>
      <c r="BN54" s="115" t="n">
        <f aca="false">SUMIFS(الريسبي!$C$2:$C$1800,الريسبي!$A$2:$A$1800,$A54,الريسبي!$B$2:$B$1800,BN$1)</f>
        <v>0.02</v>
      </c>
      <c r="BO54" s="115" t="n">
        <f aca="false">SUMIFS(الريسبي!$C$2:$C$1800,الريسبي!$A$2:$A$1800,$A54,الريسبي!$B$2:$B$1800,BO$1)</f>
        <v>0</v>
      </c>
      <c r="BP54" s="115" t="n">
        <f aca="false">SUMIFS(الريسبي!$C$2:$C$1800,الريسبي!$A$2:$A$1800,$A54,الريسبي!$B$2:$B$1800,BP$1)</f>
        <v>2</v>
      </c>
      <c r="BQ54" s="115"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15" t="n">
        <f aca="false">SUMIFS(الريسبي!$C$2:$C$1800,الريسبي!$A$2:$A$1800,$A54,الريسبي!$B$2:$B$1800,BR$1)</f>
        <v>1</v>
      </c>
      <c r="BS54" s="115" t="n">
        <f aca="false">SUMIFS(الريسبي!$C$2:$C$1800,الريسبي!$A$2:$A$1800,$A54,الريسبي!$B$2:$B$1800,BS$1)</f>
        <v>0</v>
      </c>
      <c r="BT54" s="115" t="n">
        <f aca="false">SUMIFS(الريسبي!$C$2:$C$1800,الريسبي!$A$2:$A$1800,$A54,الريسبي!$B$2:$B$1800,BT$1)</f>
        <v>0</v>
      </c>
      <c r="BU54" s="115"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15" t="n">
        <f aca="false">SUMIFS(الريسبي!$C$2:$C$1800,الريسبي!$A$2:$A$1800,$A54,الريسبي!$B$2:$B$1800,BV$1)</f>
        <v>0</v>
      </c>
      <c r="BW54" s="115" t="n">
        <f aca="false">SUMIFS(الريسبي!$C$2:$C$1800,الريسبي!$A$2:$A$1800,$A54,الريسبي!$B$2:$B$1800,BW$1)</f>
        <v>0</v>
      </c>
      <c r="BX54" s="115" t="n">
        <f aca="false">SUMIFS(الريسبي!$C$2:$C$1800,الريسبي!$A$2:$A$1800,$A54,الريسبي!$B$2:$B$1800,BX$1)</f>
        <v>0</v>
      </c>
      <c r="BY54" s="115" t="n">
        <f aca="false">SUMIFS(الريسبي!$C$2:$C$1800,الريسبي!$A$2:$A$1800,$A54,الريسبي!$B$2:$B$1800,BY$1)</f>
        <v>0</v>
      </c>
      <c r="BZ54" s="115" t="n">
        <f aca="false">SUMIFS(الريسبي!$C$2:$C$1800,الريسبي!$A$2:$A$1800,$A54,الريسبي!$B$2:$B$1800,BZ$1)</f>
        <v>1</v>
      </c>
      <c r="CA54" s="115" t="n">
        <f aca="false">SUMIFS(الريسبي!$C$2:$C$1800,الريسبي!$A$2:$A$1800,$A54,الريسبي!$B$2:$B$1800,CA$1)</f>
        <v>1</v>
      </c>
      <c r="CB54" s="115" t="n">
        <f aca="false">SUMIFS(الريسبي!$C$2:$C$1800,الريسبي!$A$2:$A$1800,$A54,الريسبي!$B$2:$B$1800,CB$1)</f>
        <v>0</v>
      </c>
      <c r="CC54" s="115" t="n">
        <f aca="false">SUMIFS(الريسبي!$C$2:$C$1800,الريسبي!$A$2:$A$1800,$A54,الريسبي!$B$2:$B$1800,CC$1)</f>
        <v>0</v>
      </c>
      <c r="CD54" s="115" t="n">
        <f aca="false">SUMIFS(الريسبي!$C$2:$C$1800,الريسبي!$A$2:$A$1800,$A54,الريسبي!$B$2:$B$1800,CD$1)</f>
        <v>0</v>
      </c>
      <c r="CE54" s="115" t="n">
        <f aca="false">SUMIFS(الريسبي!$C$2:$C$1800,الريسبي!$A$2:$A$1800,$A54,الريسبي!$B$2:$B$1800,CE$1)</f>
        <v>0</v>
      </c>
      <c r="CF54" s="115" t="n">
        <f aca="false">SUMIFS(الريسبي!$C$2:$C$1800,الريسبي!$A$2:$A$1800,$A54,الريسبي!$B$2:$B$1800,CF$1)</f>
        <v>1</v>
      </c>
      <c r="CG54" s="115" t="n">
        <f aca="false">SUMIFS(الريسبي!$C$2:$C$1800,الريسبي!$A$2:$A$1800,$A54,الريسبي!$B$2:$B$1800,CG$1)</f>
        <v>1</v>
      </c>
      <c r="CH54" s="115" t="n">
        <f aca="false">SUMIFS(الريسبي!$C$2:$C$1800,الريسبي!$A$2:$A$1800,$A54,الريسبي!$B$2:$B$1800,CH$1)</f>
        <v>0</v>
      </c>
    </row>
    <row r="55" customFormat="false" ht="15" hidden="false" customHeight="false" outlineLevel="0" collapsed="false">
      <c r="A55" s="114" t="str">
        <f aca="false">المنيو!B55</f>
        <v>بهججة بيتزا برجر</v>
      </c>
      <c r="B55" s="115" t="n">
        <f aca="false">SUMIFS(الريسبي!$C$2:$C$1800,الريسبي!$A$2:$A$1800,$A55,الريسبي!$B$2:$B$1800,B$1)</f>
        <v>0</v>
      </c>
      <c r="C55" s="115" t="n">
        <f aca="false">SUMIFS(الريسبي!$C$2:$C$1800,الريسبي!$A$2:$A$1800,$A55,الريسبي!$B$2:$B$1800,C$1)</f>
        <v>0</v>
      </c>
      <c r="D55" s="115" t="n">
        <f aca="false">SUMIFS(الريسبي!$C$2:$C$1800,الريسبي!$A$2:$A$1800,$A55,الريسبي!$B$2:$B$1800,D$1)</f>
        <v>1</v>
      </c>
      <c r="E55" s="115" t="n">
        <f aca="false">SUMIFS(الريسبي!$C$2:$C$1800,الريسبي!$A$2:$A$1800,$A55,الريسبي!$B$2:$B$1800,E$1)</f>
        <v>0</v>
      </c>
      <c r="F55" s="115" t="n">
        <f aca="false">SUMIFS(الريسبي!$C$2:$C$1800,الريسبي!$A$2:$A$1800,$A55,الريسبي!$B$2:$B$1800,F$1)</f>
        <v>2</v>
      </c>
      <c r="G55" s="115" t="n">
        <f aca="false">SUMIFS(الريسبي!$C$2:$C$1800,الريسبي!$A$2:$A$1800,$A55,الريسبي!$B$2:$B$1800,G$1)</f>
        <v>0</v>
      </c>
      <c r="H55" s="115" t="n">
        <f aca="false">SUMIFS(الريسبي!$C$2:$C$1800,الريسبي!$A$2:$A$1800,$A55,الريسبي!$B$2:$B$1800,H$1)</f>
        <v>0</v>
      </c>
      <c r="I55" s="115" t="n">
        <f aca="false">SUMIFS(الريسبي!$C$2:$C$1800,الريسبي!$A$2:$A$1800,$A55,الريسبي!$B$2:$B$1800,I$1)</f>
        <v>0</v>
      </c>
      <c r="J55" s="115" t="n">
        <f aca="false">SUMIFS(الريسبي!$C$2:$C$1800,الريسبي!$A$2:$A$1800,$A55,الريسبي!$B$2:$B$1800,J$1)</f>
        <v>0</v>
      </c>
      <c r="K55" s="115" t="n">
        <f aca="false">SUMIFS(الريسبي!$C$2:$C$1800,الريسبي!$A$2:$A$1800,$A55,الريسبي!$B$2:$B$1800,K$1)</f>
        <v>0</v>
      </c>
      <c r="L55" s="115" t="n">
        <f aca="false">SUMIFS(الريسبي!$C$2:$C$1800,الريسبي!$A$2:$A$1800,$A55,الريسبي!$B$2:$B$1800,L$1)</f>
        <v>0</v>
      </c>
      <c r="M55" s="115" t="n">
        <f aca="false">SUMIFS(الريسبي!$C$2:$C$1800,الريسبي!$A$2:$A$1800,$A55,الريسبي!$B$2:$B$1800,M$1)</f>
        <v>0</v>
      </c>
      <c r="N55" s="115" t="n">
        <f aca="false">SUMIFS(الريسبي!$C$2:$C$1800,الريسبي!$A$2:$A$1800,$A55,الريسبي!$B$2:$B$1800,N$1)</f>
        <v>0.3</v>
      </c>
      <c r="O55" s="115" t="n">
        <f aca="false">SUMIFS(الريسبي!$C$2:$C$1800,الريسبي!$A$2:$A$1800,$A55,الريسبي!$B$2:$B$1800,O$1)</f>
        <v>0</v>
      </c>
      <c r="P55" s="115" t="n">
        <f aca="false">SUMIFS(الريسبي!$C$2:$C$1800,الريسبي!$A$2:$A$1800,$A55,الريسبي!$B$2:$B$1800,P$1)</f>
        <v>0</v>
      </c>
      <c r="Q55" s="115" t="n">
        <f aca="false">SUMIFS(الريسبي!$C$2:$C$1800,الريسبي!$A$2:$A$1800,$A55,الريسبي!$B$2:$B$1800,Q$1)</f>
        <v>0</v>
      </c>
      <c r="R55" s="115" t="n">
        <f aca="false">SUMIFS(الريسبي!$C$2:$C$1800,الريسبي!$A$2:$A$1800,$A55,الريسبي!$B$2:$B$1800,R$1)</f>
        <v>0</v>
      </c>
      <c r="S55" s="115" t="n">
        <f aca="false">SUMIFS(الريسبي!$C$2:$C$1800,الريسبي!$A$2:$A$1800,$A55,الريسبي!$B$2:$B$1800,S$1)</f>
        <v>0</v>
      </c>
      <c r="T55" s="115" t="n">
        <f aca="false">SUMIFS(الريسبي!$C$2:$C$1800,الريسبي!$A$2:$A$1800,$A55,الريسبي!$B$2:$B$1800,T$1)</f>
        <v>0</v>
      </c>
      <c r="U55" s="115" t="n">
        <f aca="false">SUMIFS(الريسبي!$C$2:$C$1800,الريسبي!$A$2:$A$1800,$A55,الريسبي!$B$2:$B$1800,U$1)</f>
        <v>0</v>
      </c>
      <c r="V55" s="115" t="n">
        <f aca="false">SUMIFS(الريسبي!$C$2:$C$1800,الريسبي!$A$2:$A$1800,$A55,الريسبي!$B$2:$B$1800,V$1)</f>
        <v>1</v>
      </c>
      <c r="W55" s="115" t="n">
        <f aca="false">SUMIFS(الريسبي!$C$2:$C$1800,الريسبي!$A$2:$A$1800,$A55,الريسبي!$B$2:$B$1800,W$1)</f>
        <v>0</v>
      </c>
      <c r="X55" s="115" t="n">
        <f aca="false">SUMIFS(الريسبي!$C$2:$C$1800,الريسبي!$A$2:$A$1800,$A55,الريسبي!$B$2:$B$1800,X$1)</f>
        <v>0</v>
      </c>
      <c r="Y55" s="115" t="n">
        <f aca="false">SUMIFS(الريسبي!$C$2:$C$1800,الريسبي!$A$2:$A$1800,$A55,الريسبي!$B$2:$B$1800,Y$1)</f>
        <v>0</v>
      </c>
      <c r="Z55" s="115" t="n">
        <f aca="false">SUMIFS(الريسبي!$C$2:$C$1800,الريسبي!$A$2:$A$1800,$A55,الريسبي!$B$2:$B$1800,Z$1)</f>
        <v>0</v>
      </c>
      <c r="AA55" s="115" t="n">
        <f aca="false">SUMIFS(الريسبي!$C$2:$C$1800,الريسبي!$A$2:$A$1800,$A55,الريسبي!$B$2:$B$1800,AA$1)</f>
        <v>0</v>
      </c>
      <c r="AB55" s="115" t="n">
        <f aca="false">SUMIFS(الريسبي!$C$2:$C$1800,الريسبي!$A$2:$A$1800,$A55,الريسبي!$B$2:$B$1800,AB$1)</f>
        <v>0</v>
      </c>
      <c r="AC55" s="115" t="n">
        <f aca="false">SUMIFS(الريسبي!$C$2:$C$1800,الريسبي!$A$2:$A$1800,$A55,الريسبي!$B$2:$B$1800,AC$1)</f>
        <v>0</v>
      </c>
      <c r="AD55" s="115" t="n">
        <f aca="false">SUMIFS(الريسبي!$C$2:$C$1800,الريسبي!$A$2:$A$1800,$A55,الريسبي!$B$2:$B$1800,AD$1)</f>
        <v>0</v>
      </c>
      <c r="AE55" s="115" t="n">
        <f aca="false">SUMIFS(الريسبي!$C$2:$C$1800,الريسبي!$A$2:$A$1800,$A55,الريسبي!$B$2:$B$1800,AE$1)</f>
        <v>0.02</v>
      </c>
      <c r="AF55" s="115" t="n">
        <f aca="false">SUMIFS(الريسبي!$C$2:$C$1800,الريسبي!$A$2:$A$1800,$A55,الريسبي!$B$2:$B$1800,AF$1)</f>
        <v>0</v>
      </c>
      <c r="AG55" s="115" t="n">
        <f aca="false">SUMIFS(الريسبي!$C$2:$C$1800,الريسبي!$A$2:$A$1800,$A55,الريسبي!$B$2:$B$1800,AG$1)</f>
        <v>0</v>
      </c>
      <c r="AH55" s="115" t="n">
        <f aca="false">SUMIFS(الريسبي!$C$2:$C$1800,الريسبي!$A$2:$A$1800,$A55,الريسبي!$B$2:$B$1800,AH$1)</f>
        <v>0</v>
      </c>
      <c r="AI55" s="115" t="n">
        <f aca="false">SUMIFS(الريسبي!$C$2:$C$1800,الريسبي!$A$2:$A$1800,$A55,الريسبي!$B$2:$B$1800,AI$1)</f>
        <v>0</v>
      </c>
      <c r="AJ55" s="115" t="n">
        <f aca="false">SUMIFS(الريسبي!$C$2:$C$1800,الريسبي!$A$2:$A$1800,$A55,الريسبي!$B$2:$B$1800,AJ$1)</f>
        <v>2</v>
      </c>
      <c r="AK55" s="115" t="n">
        <f aca="false">SUMIFS(الريسبي!$C$2:$C$1800,الريسبي!$A$2:$A$1800,$A55,الريسبي!$B$2:$B$1800,AK$1)</f>
        <v>0</v>
      </c>
      <c r="AL55" s="115" t="n">
        <f aca="false">SUMIFS(الريسبي!$C$2:$C$1800,الريسبي!$A$2:$A$1800,$A55,الريسبي!$B$2:$B$1800,AL$1)</f>
        <v>0.02</v>
      </c>
      <c r="AM55" s="115"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15"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15" t="n">
        <f aca="false">SUMIFS(الريسبي!$C$2:$C$1800,الريسبي!$A$2:$A$1800,$A55,الريسبي!$B$2:$B$1800,AO$1)</f>
        <v>0</v>
      </c>
      <c r="AP55" s="115" t="n">
        <f aca="false">SUMIFS(الريسبي!$C$2:$C$1800,الريسبي!$A$2:$A$1800,$A55,الريسبي!$B$2:$B$1800,AP$1)</f>
        <v>0</v>
      </c>
      <c r="AQ55" s="115"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15" t="n">
        <f aca="false">SUMIFS(الريسبي!$C$2:$C$1800,الريسبي!$A$2:$A$1800,$A55,الريسبي!$B$2:$B$1800,AR$1)</f>
        <v>0</v>
      </c>
      <c r="AS55" s="115" t="n">
        <f aca="false">SUMIFS(الريسبي!$C$2:$C$1800,الريسبي!$A$2:$A$1800,$A55,الريسبي!$B$2:$B$1800,AS$1)</f>
        <v>0</v>
      </c>
      <c r="AT55" s="115" t="n">
        <f aca="false">SUMIFS(الريسبي!$C$2:$C$1800,الريسبي!$A$2:$A$1800,$A55,الريسبي!$B$2:$B$1800,AT$1)</f>
        <v>0</v>
      </c>
      <c r="AU55" s="115" t="n">
        <f aca="false">SUMIFS(الريسبي!$C$2:$C$1800,الريسبي!$A$2:$A$1800,$A55,الريسبي!$B$2:$B$1800,AU$1)</f>
        <v>0</v>
      </c>
      <c r="AV55" s="115" t="n">
        <f aca="false">SUMIFS(الريسبي!$C$2:$C$1800,الريسبي!$A$2:$A$1800,$A55,الريسبي!$B$2:$B$1800,AV$1)</f>
        <v>0</v>
      </c>
      <c r="AW55" s="115" t="n">
        <f aca="false">SUMIFS(الريسبي!$C$2:$C$1800,الريسبي!$A$2:$A$1800,$A55,الريسبي!$B$2:$B$1800,AW$1)</f>
        <v>0</v>
      </c>
      <c r="AX55" s="115" t="n">
        <f aca="false">SUMIFS(الريسبي!$C$2:$C$1800,الريسبي!$A$2:$A$1800,$A55,الريسبي!$B$2:$B$1800,AX$1)</f>
        <v>0</v>
      </c>
      <c r="AY55" s="115" t="n">
        <f aca="false">SUMIFS(الريسبي!$C$2:$C$1800,الريسبي!$A$2:$A$1800,$A55,الريسبي!$B$2:$B$1800,AY$1)</f>
        <v>0.05</v>
      </c>
      <c r="AZ55" s="115" t="n">
        <f aca="false">SUMIFS(الريسبي!$C$2:$C$1800,الريسبي!$A$2:$A$1800,$A55,الريسبي!$B$2:$B$1800,AZ$1)</f>
        <v>0.05</v>
      </c>
      <c r="BA55" s="115" t="n">
        <f aca="false">SUMIFS(الريسبي!$C$2:$C$1800,الريسبي!$A$2:$A$1800,$A55,الريسبي!$B$2:$B$1800,BA$1)</f>
        <v>0</v>
      </c>
      <c r="BB55" s="115" t="n">
        <f aca="false">SUMIFS(الريسبي!$C$2:$C$1800,الريسبي!$A$2:$A$1800,$A55,الريسبي!$B$2:$B$1800,BB$1)</f>
        <v>0.05</v>
      </c>
      <c r="BC55" s="115" t="n">
        <f aca="false">SUMIFS(الريسبي!$C$2:$C$1800,الريسبي!$A$2:$A$1800,$A55,الريسبي!$B$2:$B$1800,BC$1)</f>
        <v>0.02</v>
      </c>
      <c r="BD55" s="115" t="n">
        <f aca="false">SUMIFS(الريسبي!$C$2:$C$1800,الريسبي!$A$2:$A$1800,$A55,الريسبي!$B$2:$B$1800,BD$1)</f>
        <v>0.22</v>
      </c>
      <c r="BE55" s="115" t="n">
        <f aca="false">SUMIFS(الريسبي!$C$2:$C$1800,الريسبي!$A$2:$A$1800,$A55,الريسبي!$B$2:$B$1800,BE$1)</f>
        <v>0</v>
      </c>
      <c r="BF55" s="115" t="n">
        <f aca="false">SUMIFS(الريسبي!$C$2:$C$1800,الريسبي!$A$2:$A$1800,$A55,الريسبي!$B$2:$B$1800,BF$1)</f>
        <v>0</v>
      </c>
      <c r="BG55" s="115" t="n">
        <f aca="false">SUMIFS(الريسبي!$C$2:$C$1800,الريسبي!$A$2:$A$1800,$A55,الريسبي!$B$2:$B$1800,BG$1)</f>
        <v>0</v>
      </c>
      <c r="BH55" s="115" t="n">
        <f aca="false">SUMIFS(الريسبي!$C$2:$C$1800,الريسبي!$A$2:$A$1800,$A55,الريسبي!$B$2:$B$1800,BH$1)</f>
        <v>0</v>
      </c>
      <c r="BI55" s="115" t="n">
        <f aca="false">SUMIFS(الريسبي!$C$2:$C$1800,الريسبي!$A$2:$A$1800,$A55,الريسبي!$B$2:$B$1800,BI$1)</f>
        <v>0</v>
      </c>
      <c r="BJ55" s="115" t="n">
        <f aca="false">SUMIFS(الريسبي!$C$2:$C$1800,الريسبي!$A$2:$A$1800,$A55,الريسبي!$B$2:$B$1800,BJ$1)</f>
        <v>0</v>
      </c>
      <c r="BK55" s="115" t="n">
        <f aca="false">SUMIFS(الريسبي!$C$2:$C$1800,الريسبي!$A$2:$A$1800,$A55,الريسبي!$B$2:$B$1800,BK$1)</f>
        <v>0</v>
      </c>
      <c r="BL55" s="115" t="n">
        <f aca="false">SUMIFS(الريسبي!$C$2:$C$1800,الريسبي!$A$2:$A$1800,$A55,الريسبي!$B$2:$B$1800,BL$1)</f>
        <v>0</v>
      </c>
      <c r="BM55" s="115" t="n">
        <f aca="false">SUMIFS(الريسبي!$C$2:$C$1800,الريسبي!$A$2:$A$1800,$A55,الريسبي!$B$2:$B$1800,BM$1)</f>
        <v>0</v>
      </c>
      <c r="BN55" s="115" t="n">
        <f aca="false">SUMIFS(الريسبي!$C$2:$C$1800,الريسبي!$A$2:$A$1800,$A55,الريسبي!$B$2:$B$1800,BN$1)</f>
        <v>0.02</v>
      </c>
      <c r="BO55" s="115" t="n">
        <f aca="false">SUMIFS(الريسبي!$C$2:$C$1800,الريسبي!$A$2:$A$1800,$A55,الريسبي!$B$2:$B$1800,BO$1)</f>
        <v>0</v>
      </c>
      <c r="BP55" s="115" t="n">
        <f aca="false">SUMIFS(الريسبي!$C$2:$C$1800,الريسبي!$A$2:$A$1800,$A55,الريسبي!$B$2:$B$1800,BP$1)</f>
        <v>2</v>
      </c>
      <c r="BQ55" s="115"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15" t="n">
        <f aca="false">SUMIFS(الريسبي!$C$2:$C$1800,الريسبي!$A$2:$A$1800,$A55,الريسبي!$B$2:$B$1800,BR$1)</f>
        <v>1</v>
      </c>
      <c r="BS55" s="115" t="n">
        <f aca="false">SUMIFS(الريسبي!$C$2:$C$1800,الريسبي!$A$2:$A$1800,$A55,الريسبي!$B$2:$B$1800,BS$1)</f>
        <v>0</v>
      </c>
      <c r="BT55" s="115" t="n">
        <f aca="false">SUMIFS(الريسبي!$C$2:$C$1800,الريسبي!$A$2:$A$1800,$A55,الريسبي!$B$2:$B$1800,BT$1)</f>
        <v>0</v>
      </c>
      <c r="BU55" s="115"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15" t="n">
        <f aca="false">SUMIFS(الريسبي!$C$2:$C$1800,الريسبي!$A$2:$A$1800,$A55,الريسبي!$B$2:$B$1800,BV$1)</f>
        <v>0</v>
      </c>
      <c r="BW55" s="115" t="n">
        <f aca="false">SUMIFS(الريسبي!$C$2:$C$1800,الريسبي!$A$2:$A$1800,$A55,الريسبي!$B$2:$B$1800,BW$1)</f>
        <v>0</v>
      </c>
      <c r="BX55" s="115" t="n">
        <f aca="false">SUMIFS(الريسبي!$C$2:$C$1800,الريسبي!$A$2:$A$1800,$A55,الريسبي!$B$2:$B$1800,BX$1)</f>
        <v>0</v>
      </c>
      <c r="BY55" s="115" t="n">
        <f aca="false">SUMIFS(الريسبي!$C$2:$C$1800,الريسبي!$A$2:$A$1800,$A55,الريسبي!$B$2:$B$1800,BY$1)</f>
        <v>0</v>
      </c>
      <c r="BZ55" s="115" t="n">
        <f aca="false">SUMIFS(الريسبي!$C$2:$C$1800,الريسبي!$A$2:$A$1800,$A55,الريسبي!$B$2:$B$1800,BZ$1)</f>
        <v>1</v>
      </c>
      <c r="CA55" s="115" t="n">
        <f aca="false">SUMIFS(الريسبي!$C$2:$C$1800,الريسبي!$A$2:$A$1800,$A55,الريسبي!$B$2:$B$1800,CA$1)</f>
        <v>1</v>
      </c>
      <c r="CB55" s="115" t="n">
        <f aca="false">SUMIFS(الريسبي!$C$2:$C$1800,الريسبي!$A$2:$A$1800,$A55,الريسبي!$B$2:$B$1800,CB$1)</f>
        <v>0</v>
      </c>
      <c r="CC55" s="115" t="n">
        <f aca="false">SUMIFS(الريسبي!$C$2:$C$1800,الريسبي!$A$2:$A$1800,$A55,الريسبي!$B$2:$B$1800,CC$1)</f>
        <v>0</v>
      </c>
      <c r="CD55" s="115" t="n">
        <f aca="false">SUMIFS(الريسبي!$C$2:$C$1800,الريسبي!$A$2:$A$1800,$A55,الريسبي!$B$2:$B$1800,CD$1)</f>
        <v>0</v>
      </c>
      <c r="CE55" s="115" t="n">
        <f aca="false">SUMIFS(الريسبي!$C$2:$C$1800,الريسبي!$A$2:$A$1800,$A55,الريسبي!$B$2:$B$1800,CE$1)</f>
        <v>0</v>
      </c>
      <c r="CF55" s="115" t="n">
        <f aca="false">SUMIFS(الريسبي!$C$2:$C$1800,الريسبي!$A$2:$A$1800,$A55,الريسبي!$B$2:$B$1800,CF$1)</f>
        <v>1</v>
      </c>
      <c r="CG55" s="115" t="n">
        <f aca="false">SUMIFS(الريسبي!$C$2:$C$1800,الريسبي!$A$2:$A$1800,$A55,الريسبي!$B$2:$B$1800,CG$1)</f>
        <v>1</v>
      </c>
      <c r="CH55" s="115" t="n">
        <f aca="false">SUMIFS(الريسبي!$C$2:$C$1800,الريسبي!$A$2:$A$1800,$A55,الريسبي!$B$2:$B$1800,CH$1)</f>
        <v>0</v>
      </c>
    </row>
    <row r="56" customFormat="false" ht="15" hidden="false" customHeight="false" outlineLevel="0" collapsed="false">
      <c r="A56" s="114" t="str">
        <f aca="false">المنيو!B56</f>
        <v>بهججة كريسبي</v>
      </c>
      <c r="B56" s="115" t="n">
        <f aca="false">SUMIFS(الريسبي!$C$2:$C$1800,الريسبي!$A$2:$A$1800,$A56,الريسبي!$B$2:$B$1800,B$1)</f>
        <v>0</v>
      </c>
      <c r="C56" s="115" t="n">
        <f aca="false">SUMIFS(الريسبي!$C$2:$C$1800,الريسبي!$A$2:$A$1800,$A56,الريسبي!$B$2:$B$1800,C$1)</f>
        <v>0</v>
      </c>
      <c r="D56" s="115" t="n">
        <f aca="false">SUMIFS(الريسبي!$C$2:$C$1800,الريسبي!$A$2:$A$1800,$A56,الريسبي!$B$2:$B$1800,D$1)</f>
        <v>1</v>
      </c>
      <c r="E56" s="115" t="n">
        <f aca="false">SUMIFS(الريسبي!$C$2:$C$1800,الريسبي!$A$2:$A$1800,$A56,الريسبي!$B$2:$B$1800,E$1)</f>
        <v>0</v>
      </c>
      <c r="F56" s="115" t="n">
        <f aca="false">SUMIFS(الريسبي!$C$2:$C$1800,الريسبي!$A$2:$A$1800,$A56,الريسبي!$B$2:$B$1800,F$1)</f>
        <v>0</v>
      </c>
      <c r="G56" s="115" t="n">
        <f aca="false">SUMIFS(الريسبي!$C$2:$C$1800,الريسبي!$A$2:$A$1800,$A56,الريسبي!$B$2:$B$1800,G$1)</f>
        <v>0</v>
      </c>
      <c r="H56" s="115" t="n">
        <f aca="false">SUMIFS(الريسبي!$C$2:$C$1800,الريسبي!$A$2:$A$1800,$A56,الريسبي!$B$2:$B$1800,H$1)</f>
        <v>0</v>
      </c>
      <c r="I56" s="115" t="n">
        <f aca="false">SUMIFS(الريسبي!$C$2:$C$1800,الريسبي!$A$2:$A$1800,$A56,الريسبي!$B$2:$B$1800,I$1)</f>
        <v>0</v>
      </c>
      <c r="J56" s="115" t="n">
        <f aca="false">SUMIFS(الريسبي!$C$2:$C$1800,الريسبي!$A$2:$A$1800,$A56,الريسبي!$B$2:$B$1800,J$1)</f>
        <v>0</v>
      </c>
      <c r="K56" s="115" t="n">
        <f aca="false">SUMIFS(الريسبي!$C$2:$C$1800,الريسبي!$A$2:$A$1800,$A56,الريسبي!$B$2:$B$1800,K$1)</f>
        <v>0</v>
      </c>
      <c r="L56" s="115" t="n">
        <f aca="false">SUMIFS(الريسبي!$C$2:$C$1800,الريسبي!$A$2:$A$1800,$A56,الريسبي!$B$2:$B$1800,L$1)</f>
        <v>0</v>
      </c>
      <c r="M56" s="115" t="n">
        <f aca="false">SUMIFS(الريسبي!$C$2:$C$1800,الريسبي!$A$2:$A$1800,$A56,الريسبي!$B$2:$B$1800,M$1)</f>
        <v>0</v>
      </c>
      <c r="N56" s="115" t="n">
        <f aca="false">SUMIFS(الريسبي!$C$2:$C$1800,الريسبي!$A$2:$A$1800,$A56,الريسبي!$B$2:$B$1800,N$1)</f>
        <v>0.3</v>
      </c>
      <c r="O56" s="115" t="n">
        <f aca="false">SUMIFS(الريسبي!$C$2:$C$1800,الريسبي!$A$2:$A$1800,$A56,الريسبي!$B$2:$B$1800,O$1)</f>
        <v>0</v>
      </c>
      <c r="P56" s="115" t="n">
        <f aca="false">SUMIFS(الريسبي!$C$2:$C$1800,الريسبي!$A$2:$A$1800,$A56,الريسبي!$B$2:$B$1800,P$1)</f>
        <v>0</v>
      </c>
      <c r="Q56" s="115" t="n">
        <f aca="false">SUMIFS(الريسبي!$C$2:$C$1800,الريسبي!$A$2:$A$1800,$A56,الريسبي!$B$2:$B$1800,Q$1)</f>
        <v>1</v>
      </c>
      <c r="R56" s="115" t="n">
        <f aca="false">SUMIFS(الريسبي!$C$2:$C$1800,الريسبي!$A$2:$A$1800,$A56,الريسبي!$B$2:$B$1800,R$1)</f>
        <v>0</v>
      </c>
      <c r="S56" s="115" t="n">
        <f aca="false">SUMIFS(الريسبي!$C$2:$C$1800,الريسبي!$A$2:$A$1800,$A56,الريسبي!$B$2:$B$1800,S$1)</f>
        <v>0</v>
      </c>
      <c r="T56" s="115" t="n">
        <f aca="false">SUMIFS(الريسبي!$C$2:$C$1800,الريسبي!$A$2:$A$1800,$A56,الريسبي!$B$2:$B$1800,T$1)</f>
        <v>0</v>
      </c>
      <c r="U56" s="115" t="n">
        <f aca="false">SUMIFS(الريسبي!$C$2:$C$1800,الريسبي!$A$2:$A$1800,$A56,الريسبي!$B$2:$B$1800,U$1)</f>
        <v>0</v>
      </c>
      <c r="V56" s="115" t="n">
        <f aca="false">SUMIFS(الريسبي!$C$2:$C$1800,الريسبي!$A$2:$A$1800,$A56,الريسبي!$B$2:$B$1800,V$1)</f>
        <v>1</v>
      </c>
      <c r="W56" s="115" t="n">
        <f aca="false">SUMIFS(الريسبي!$C$2:$C$1800,الريسبي!$A$2:$A$1800,$A56,الريسبي!$B$2:$B$1800,W$1)</f>
        <v>0</v>
      </c>
      <c r="X56" s="115" t="n">
        <f aca="false">SUMIFS(الريسبي!$C$2:$C$1800,الريسبي!$A$2:$A$1800,$A56,الريسبي!$B$2:$B$1800,X$1)</f>
        <v>0</v>
      </c>
      <c r="Y56" s="115" t="n">
        <f aca="false">SUMIFS(الريسبي!$C$2:$C$1800,الريسبي!$A$2:$A$1800,$A56,الريسبي!$B$2:$B$1800,Y$1)</f>
        <v>0</v>
      </c>
      <c r="Z56" s="115" t="n">
        <f aca="false">SUMIFS(الريسبي!$C$2:$C$1800,الريسبي!$A$2:$A$1800,$A56,الريسبي!$B$2:$B$1800,Z$1)</f>
        <v>0</v>
      </c>
      <c r="AA56" s="115" t="n">
        <f aca="false">SUMIFS(الريسبي!$C$2:$C$1800,الريسبي!$A$2:$A$1800,$A56,الريسبي!$B$2:$B$1800,AA$1)</f>
        <v>0</v>
      </c>
      <c r="AB56" s="115" t="n">
        <f aca="false">SUMIFS(الريسبي!$C$2:$C$1800,الريسبي!$A$2:$A$1800,$A56,الريسبي!$B$2:$B$1800,AB$1)</f>
        <v>0</v>
      </c>
      <c r="AC56" s="115" t="n">
        <f aca="false">SUMIFS(الريسبي!$C$2:$C$1800,الريسبي!$A$2:$A$1800,$A56,الريسبي!$B$2:$B$1800,AC$1)</f>
        <v>0</v>
      </c>
      <c r="AD56" s="115" t="n">
        <f aca="false">SUMIFS(الريسبي!$C$2:$C$1800,الريسبي!$A$2:$A$1800,$A56,الريسبي!$B$2:$B$1800,AD$1)</f>
        <v>0</v>
      </c>
      <c r="AE56" s="115" t="n">
        <f aca="false">SUMIFS(الريسبي!$C$2:$C$1800,الريسبي!$A$2:$A$1800,$A56,الريسبي!$B$2:$B$1800,AE$1)</f>
        <v>0.02</v>
      </c>
      <c r="AF56" s="115" t="n">
        <f aca="false">SUMIFS(الريسبي!$C$2:$C$1800,الريسبي!$A$2:$A$1800,$A56,الريسبي!$B$2:$B$1800,AF$1)</f>
        <v>0</v>
      </c>
      <c r="AG56" s="115" t="n">
        <f aca="false">SUMIFS(الريسبي!$C$2:$C$1800,الريسبي!$A$2:$A$1800,$A56,الريسبي!$B$2:$B$1800,AG$1)</f>
        <v>0</v>
      </c>
      <c r="AH56" s="115" t="n">
        <f aca="false">SUMIFS(الريسبي!$C$2:$C$1800,الريسبي!$A$2:$A$1800,$A56,الريسبي!$B$2:$B$1800,AH$1)</f>
        <v>0</v>
      </c>
      <c r="AI56" s="115" t="n">
        <f aca="false">SUMIFS(الريسبي!$C$2:$C$1800,الريسبي!$A$2:$A$1800,$A56,الريسبي!$B$2:$B$1800,AI$1)</f>
        <v>0</v>
      </c>
      <c r="AJ56" s="115" t="n">
        <f aca="false">SUMIFS(الريسبي!$C$2:$C$1800,الريسبي!$A$2:$A$1800,$A56,الريسبي!$B$2:$B$1800,AJ$1)</f>
        <v>2</v>
      </c>
      <c r="AK56" s="115" t="n">
        <f aca="false">SUMIFS(الريسبي!$C$2:$C$1800,الريسبي!$A$2:$A$1800,$A56,الريسبي!$B$2:$B$1800,AK$1)</f>
        <v>0</v>
      </c>
      <c r="AL56" s="115" t="n">
        <f aca="false">SUMIFS(الريسبي!$C$2:$C$1800,الريسبي!$A$2:$A$1800,$A56,الريسبي!$B$2:$B$1800,AL$1)</f>
        <v>0.02</v>
      </c>
      <c r="AM56" s="115"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15"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15" t="n">
        <f aca="false">SUMIFS(الريسبي!$C$2:$C$1800,الريسبي!$A$2:$A$1800,$A56,الريسبي!$B$2:$B$1800,AO$1)</f>
        <v>0</v>
      </c>
      <c r="AP56" s="115" t="n">
        <f aca="false">SUMIFS(الريسبي!$C$2:$C$1800,الريسبي!$A$2:$A$1800,$A56,الريسبي!$B$2:$B$1800,AP$1)</f>
        <v>0</v>
      </c>
      <c r="AQ56" s="115"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15" t="n">
        <f aca="false">SUMIFS(الريسبي!$C$2:$C$1800,الريسبي!$A$2:$A$1800,$A56,الريسبي!$B$2:$B$1800,AR$1)</f>
        <v>0</v>
      </c>
      <c r="AS56" s="115" t="n">
        <f aca="false">SUMIFS(الريسبي!$C$2:$C$1800,الريسبي!$A$2:$A$1800,$A56,الريسبي!$B$2:$B$1800,AS$1)</f>
        <v>0</v>
      </c>
      <c r="AT56" s="115" t="n">
        <f aca="false">SUMIFS(الريسبي!$C$2:$C$1800,الريسبي!$A$2:$A$1800,$A56,الريسبي!$B$2:$B$1800,AT$1)</f>
        <v>0</v>
      </c>
      <c r="AU56" s="115" t="n">
        <f aca="false">SUMIFS(الريسبي!$C$2:$C$1800,الريسبي!$A$2:$A$1800,$A56,الريسبي!$B$2:$B$1800,AU$1)</f>
        <v>0</v>
      </c>
      <c r="AV56" s="115" t="n">
        <f aca="false">SUMIFS(الريسبي!$C$2:$C$1800,الريسبي!$A$2:$A$1800,$A56,الريسبي!$B$2:$B$1800,AV$1)</f>
        <v>0</v>
      </c>
      <c r="AW56" s="115" t="n">
        <f aca="false">SUMIFS(الريسبي!$C$2:$C$1800,الريسبي!$A$2:$A$1800,$A56,الريسبي!$B$2:$B$1800,AW$1)</f>
        <v>0</v>
      </c>
      <c r="AX56" s="115" t="n">
        <f aca="false">SUMIFS(الريسبي!$C$2:$C$1800,الريسبي!$A$2:$A$1800,$A56,الريسبي!$B$2:$B$1800,AX$1)</f>
        <v>0</v>
      </c>
      <c r="AY56" s="115" t="n">
        <f aca="false">SUMIFS(الريسبي!$C$2:$C$1800,الريسبي!$A$2:$A$1800,$A56,الريسبي!$B$2:$B$1800,AY$1)</f>
        <v>0.05</v>
      </c>
      <c r="AZ56" s="115" t="n">
        <f aca="false">SUMIFS(الريسبي!$C$2:$C$1800,الريسبي!$A$2:$A$1800,$A56,الريسبي!$B$2:$B$1800,AZ$1)</f>
        <v>0</v>
      </c>
      <c r="BA56" s="115" t="n">
        <f aca="false">SUMIFS(الريسبي!$C$2:$C$1800,الريسبي!$A$2:$A$1800,$A56,الريسبي!$B$2:$B$1800,BA$1)</f>
        <v>0.05</v>
      </c>
      <c r="BB56" s="115" t="n">
        <f aca="false">SUMIFS(الريسبي!$C$2:$C$1800,الريسبي!$A$2:$A$1800,$A56,الريسبي!$B$2:$B$1800,BB$1)</f>
        <v>0.05</v>
      </c>
      <c r="BC56" s="115" t="n">
        <f aca="false">SUMIFS(الريسبي!$C$2:$C$1800,الريسبي!$A$2:$A$1800,$A56,الريسبي!$B$2:$B$1800,BC$1)</f>
        <v>0.02</v>
      </c>
      <c r="BD56" s="115" t="n">
        <f aca="false">SUMIFS(الريسبي!$C$2:$C$1800,الريسبي!$A$2:$A$1800,$A56,الريسبي!$B$2:$B$1800,BD$1)</f>
        <v>0.22</v>
      </c>
      <c r="BE56" s="115" t="n">
        <f aca="false">SUMIFS(الريسبي!$C$2:$C$1800,الريسبي!$A$2:$A$1800,$A56,الريسبي!$B$2:$B$1800,BE$1)</f>
        <v>0</v>
      </c>
      <c r="BF56" s="115" t="n">
        <f aca="false">SUMIFS(الريسبي!$C$2:$C$1800,الريسبي!$A$2:$A$1800,$A56,الريسبي!$B$2:$B$1800,BF$1)</f>
        <v>0</v>
      </c>
      <c r="BG56" s="115" t="n">
        <f aca="false">SUMIFS(الريسبي!$C$2:$C$1800,الريسبي!$A$2:$A$1800,$A56,الريسبي!$B$2:$B$1800,BG$1)</f>
        <v>0</v>
      </c>
      <c r="BH56" s="115" t="n">
        <f aca="false">SUMIFS(الريسبي!$C$2:$C$1800,الريسبي!$A$2:$A$1800,$A56,الريسبي!$B$2:$B$1800,BH$1)</f>
        <v>0</v>
      </c>
      <c r="BI56" s="115" t="n">
        <f aca="false">SUMIFS(الريسبي!$C$2:$C$1800,الريسبي!$A$2:$A$1800,$A56,الريسبي!$B$2:$B$1800,BI$1)</f>
        <v>0</v>
      </c>
      <c r="BJ56" s="115" t="n">
        <f aca="false">SUMIFS(الريسبي!$C$2:$C$1800,الريسبي!$A$2:$A$1800,$A56,الريسبي!$B$2:$B$1800,BJ$1)</f>
        <v>0</v>
      </c>
      <c r="BK56" s="115" t="n">
        <f aca="false">SUMIFS(الريسبي!$C$2:$C$1800,الريسبي!$A$2:$A$1800,$A56,الريسبي!$B$2:$B$1800,BK$1)</f>
        <v>0</v>
      </c>
      <c r="BL56" s="115" t="n">
        <f aca="false">SUMIFS(الريسبي!$C$2:$C$1800,الريسبي!$A$2:$A$1800,$A56,الريسبي!$B$2:$B$1800,BL$1)</f>
        <v>0</v>
      </c>
      <c r="BM56" s="115" t="n">
        <f aca="false">SUMIFS(الريسبي!$C$2:$C$1800,الريسبي!$A$2:$A$1800,$A56,الريسبي!$B$2:$B$1800,BM$1)</f>
        <v>0</v>
      </c>
      <c r="BN56" s="115" t="n">
        <f aca="false">SUMIFS(الريسبي!$C$2:$C$1800,الريسبي!$A$2:$A$1800,$A56,الريسبي!$B$2:$B$1800,BN$1)</f>
        <v>0.02</v>
      </c>
      <c r="BO56" s="115" t="n">
        <f aca="false">SUMIFS(الريسبي!$C$2:$C$1800,الريسبي!$A$2:$A$1800,$A56,الريسبي!$B$2:$B$1800,BO$1)</f>
        <v>0</v>
      </c>
      <c r="BP56" s="115" t="n">
        <f aca="false">SUMIFS(الريسبي!$C$2:$C$1800,الريسبي!$A$2:$A$1800,$A56,الريسبي!$B$2:$B$1800,BP$1)</f>
        <v>2</v>
      </c>
      <c r="BQ56" s="115"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15" t="n">
        <f aca="false">SUMIFS(الريسبي!$C$2:$C$1800,الريسبي!$A$2:$A$1800,$A56,الريسبي!$B$2:$B$1800,BR$1)</f>
        <v>1</v>
      </c>
      <c r="BS56" s="115" t="n">
        <f aca="false">SUMIFS(الريسبي!$C$2:$C$1800,الريسبي!$A$2:$A$1800,$A56,الريسبي!$B$2:$B$1800,BS$1)</f>
        <v>0</v>
      </c>
      <c r="BT56" s="115" t="n">
        <f aca="false">SUMIFS(الريسبي!$C$2:$C$1800,الريسبي!$A$2:$A$1800,$A56,الريسبي!$B$2:$B$1800,BT$1)</f>
        <v>0</v>
      </c>
      <c r="BU56" s="115"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15" t="n">
        <f aca="false">SUMIFS(الريسبي!$C$2:$C$1800,الريسبي!$A$2:$A$1800,$A56,الريسبي!$B$2:$B$1800,BV$1)</f>
        <v>0</v>
      </c>
      <c r="BW56" s="115" t="n">
        <f aca="false">SUMIFS(الريسبي!$C$2:$C$1800,الريسبي!$A$2:$A$1800,$A56,الريسبي!$B$2:$B$1800,BW$1)</f>
        <v>0</v>
      </c>
      <c r="BX56" s="115" t="n">
        <f aca="false">SUMIFS(الريسبي!$C$2:$C$1800,الريسبي!$A$2:$A$1800,$A56,الريسبي!$B$2:$B$1800,BX$1)</f>
        <v>0</v>
      </c>
      <c r="BY56" s="115" t="n">
        <f aca="false">SUMIFS(الريسبي!$C$2:$C$1800,الريسبي!$A$2:$A$1800,$A56,الريسبي!$B$2:$B$1800,BY$1)</f>
        <v>0</v>
      </c>
      <c r="BZ56" s="115" t="n">
        <f aca="false">SUMIFS(الريسبي!$C$2:$C$1800,الريسبي!$A$2:$A$1800,$A56,الريسبي!$B$2:$B$1800,BZ$1)</f>
        <v>1</v>
      </c>
      <c r="CA56" s="115" t="n">
        <f aca="false">SUMIFS(الريسبي!$C$2:$C$1800,الريسبي!$A$2:$A$1800,$A56,الريسبي!$B$2:$B$1800,CA$1)</f>
        <v>1</v>
      </c>
      <c r="CB56" s="115" t="n">
        <f aca="false">SUMIFS(الريسبي!$C$2:$C$1800,الريسبي!$A$2:$A$1800,$A56,الريسبي!$B$2:$B$1800,CB$1)</f>
        <v>0</v>
      </c>
      <c r="CC56" s="115" t="n">
        <f aca="false">SUMIFS(الريسبي!$C$2:$C$1800,الريسبي!$A$2:$A$1800,$A56,الريسبي!$B$2:$B$1800,CC$1)</f>
        <v>0</v>
      </c>
      <c r="CD56" s="115" t="n">
        <f aca="false">SUMIFS(الريسبي!$C$2:$C$1800,الريسبي!$A$2:$A$1800,$A56,الريسبي!$B$2:$B$1800,CD$1)</f>
        <v>0</v>
      </c>
      <c r="CE56" s="115" t="n">
        <f aca="false">SUMIFS(الريسبي!$C$2:$C$1800,الريسبي!$A$2:$A$1800,$A56,الريسبي!$B$2:$B$1800,CE$1)</f>
        <v>0</v>
      </c>
      <c r="CF56" s="115" t="n">
        <f aca="false">SUMIFS(الريسبي!$C$2:$C$1800,الريسبي!$A$2:$A$1800,$A56,الريسبي!$B$2:$B$1800,CF$1)</f>
        <v>1</v>
      </c>
      <c r="CG56" s="115" t="n">
        <f aca="false">SUMIFS(الريسبي!$C$2:$C$1800,الريسبي!$A$2:$A$1800,$A56,الريسبي!$B$2:$B$1800,CG$1)</f>
        <v>1</v>
      </c>
      <c r="CH56" s="115" t="n">
        <f aca="false">SUMIFS(الريسبي!$C$2:$C$1800,الريسبي!$A$2:$A$1800,$A56,الريسبي!$B$2:$B$1800,CH$1)</f>
        <v>0</v>
      </c>
    </row>
    <row r="57" customFormat="false" ht="15" hidden="false" customHeight="false" outlineLevel="0" collapsed="false">
      <c r="A57" s="114" t="str">
        <f aca="false">المنيو!B57</f>
        <v>شيكاغو بيتزا برجر</v>
      </c>
      <c r="B57" s="115" t="n">
        <f aca="false">SUMIFS(الريسبي!$C$2:$C$1800,الريسبي!$A$2:$A$1800,$A57,الريسبي!$B$2:$B$1800,B$1)</f>
        <v>0</v>
      </c>
      <c r="C57" s="115" t="n">
        <f aca="false">SUMIFS(الريسبي!$C$2:$C$1800,الريسبي!$A$2:$A$1800,$A57,الريسبي!$B$2:$B$1800,C$1)</f>
        <v>0</v>
      </c>
      <c r="D57" s="115" t="n">
        <f aca="false">SUMIFS(الريسبي!$C$2:$C$1800,الريسبي!$A$2:$A$1800,$A57,الريسبي!$B$2:$B$1800,D$1)</f>
        <v>1.5</v>
      </c>
      <c r="E57" s="115" t="n">
        <f aca="false">SUMIFS(الريسبي!$C$2:$C$1800,الريسبي!$A$2:$A$1800,$A57,الريسبي!$B$2:$B$1800,E$1)</f>
        <v>0</v>
      </c>
      <c r="F57" s="115" t="n">
        <f aca="false">SUMIFS(الريسبي!$C$2:$C$1800,الريسبي!$A$2:$A$1800,$A57,الريسبي!$B$2:$B$1800,F$1)</f>
        <v>3</v>
      </c>
      <c r="G57" s="115" t="n">
        <f aca="false">SUMIFS(الريسبي!$C$2:$C$1800,الريسبي!$A$2:$A$1800,$A57,الريسبي!$B$2:$B$1800,G$1)</f>
        <v>0</v>
      </c>
      <c r="H57" s="115" t="n">
        <f aca="false">SUMIFS(الريسبي!$C$2:$C$1800,الريسبي!$A$2:$A$1800,$A57,الريسبي!$B$2:$B$1800,H$1)</f>
        <v>0</v>
      </c>
      <c r="I57" s="115" t="n">
        <f aca="false">SUMIFS(الريسبي!$C$2:$C$1800,الريسبي!$A$2:$A$1800,$A57,الريسبي!$B$2:$B$1800,I$1)</f>
        <v>0</v>
      </c>
      <c r="J57" s="115" t="n">
        <f aca="false">SUMIFS(الريسبي!$C$2:$C$1800,الريسبي!$A$2:$A$1800,$A57,الريسبي!$B$2:$B$1800,J$1)</f>
        <v>0</v>
      </c>
      <c r="K57" s="115" t="n">
        <f aca="false">SUMIFS(الريسبي!$C$2:$C$1800,الريسبي!$A$2:$A$1800,$A57,الريسبي!$B$2:$B$1800,K$1)</f>
        <v>0</v>
      </c>
      <c r="L57" s="115" t="n">
        <f aca="false">SUMIFS(الريسبي!$C$2:$C$1800,الريسبي!$A$2:$A$1800,$A57,الريسبي!$B$2:$B$1800,L$1)</f>
        <v>0</v>
      </c>
      <c r="M57" s="115" t="n">
        <f aca="false">SUMIFS(الريسبي!$C$2:$C$1800,الريسبي!$A$2:$A$1800,$A57,الريسبي!$B$2:$B$1800,M$1)</f>
        <v>0</v>
      </c>
      <c r="N57" s="115" t="n">
        <f aca="false">SUMIFS(الريسبي!$C$2:$C$1800,الريسبي!$A$2:$A$1800,$A57,الريسبي!$B$2:$B$1800,N$1)</f>
        <v>0</v>
      </c>
      <c r="O57" s="115" t="n">
        <f aca="false">SUMIFS(الريسبي!$C$2:$C$1800,الريسبي!$A$2:$A$1800,$A57,الريسبي!$B$2:$B$1800,O$1)</f>
        <v>0</v>
      </c>
      <c r="P57" s="115" t="n">
        <f aca="false">SUMIFS(الريسبي!$C$2:$C$1800,الريسبي!$A$2:$A$1800,$A57,الريسبي!$B$2:$B$1800,P$1)</f>
        <v>0</v>
      </c>
      <c r="Q57" s="115" t="n">
        <f aca="false">SUMIFS(الريسبي!$C$2:$C$1800,الريسبي!$A$2:$A$1800,$A57,الريسبي!$B$2:$B$1800,Q$1)</f>
        <v>0</v>
      </c>
      <c r="R57" s="115" t="n">
        <f aca="false">SUMIFS(الريسبي!$C$2:$C$1800,الريسبي!$A$2:$A$1800,$A57,الريسبي!$B$2:$B$1800,R$1)</f>
        <v>0</v>
      </c>
      <c r="S57" s="115" t="n">
        <f aca="false">SUMIFS(الريسبي!$C$2:$C$1800,الريسبي!$A$2:$A$1800,$A57,الريسبي!$B$2:$B$1800,S$1)</f>
        <v>0</v>
      </c>
      <c r="T57" s="115" t="n">
        <f aca="false">SUMIFS(الريسبي!$C$2:$C$1800,الريسبي!$A$2:$A$1800,$A57,الريسبي!$B$2:$B$1800,T$1)</f>
        <v>0</v>
      </c>
      <c r="U57" s="115" t="n">
        <f aca="false">SUMIFS(الريسبي!$C$2:$C$1800,الريسبي!$A$2:$A$1800,$A57,الريسبي!$B$2:$B$1800,U$1)</f>
        <v>0</v>
      </c>
      <c r="V57" s="115" t="n">
        <f aca="false">SUMIFS(الريسبي!$C$2:$C$1800,الريسبي!$A$2:$A$1800,$A57,الريسبي!$B$2:$B$1800,V$1)</f>
        <v>4</v>
      </c>
      <c r="W57" s="115" t="n">
        <f aca="false">SUMIFS(الريسبي!$C$2:$C$1800,الريسبي!$A$2:$A$1800,$A57,الريسبي!$B$2:$B$1800,W$1)</f>
        <v>0</v>
      </c>
      <c r="X57" s="115" t="n">
        <f aca="false">SUMIFS(الريسبي!$C$2:$C$1800,الريسبي!$A$2:$A$1800,$A57,الريسبي!$B$2:$B$1800,X$1)</f>
        <v>0</v>
      </c>
      <c r="Y57" s="115" t="n">
        <f aca="false">SUMIFS(الريسبي!$C$2:$C$1800,الريسبي!$A$2:$A$1800,$A57,الريسبي!$B$2:$B$1800,Y$1)</f>
        <v>0</v>
      </c>
      <c r="Z57" s="115" t="n">
        <f aca="false">SUMIFS(الريسبي!$C$2:$C$1800,الريسبي!$A$2:$A$1800,$A57,الريسبي!$B$2:$B$1800,Z$1)</f>
        <v>0</v>
      </c>
      <c r="AA57" s="115" t="n">
        <f aca="false">SUMIFS(الريسبي!$C$2:$C$1800,الريسبي!$A$2:$A$1800,$A57,الريسبي!$B$2:$B$1800,AA$1)</f>
        <v>0</v>
      </c>
      <c r="AB57" s="115" t="n">
        <f aca="false">SUMIFS(الريسبي!$C$2:$C$1800,الريسبي!$A$2:$A$1800,$A57,الريسبي!$B$2:$B$1800,AB$1)</f>
        <v>0</v>
      </c>
      <c r="AC57" s="115" t="n">
        <f aca="false">SUMIFS(الريسبي!$C$2:$C$1800,الريسبي!$A$2:$A$1800,$A57,الريسبي!$B$2:$B$1800,AC$1)</f>
        <v>0</v>
      </c>
      <c r="AD57" s="115" t="n">
        <f aca="false">SUMIFS(الريسبي!$C$2:$C$1800,الريسبي!$A$2:$A$1800,$A57,الريسبي!$B$2:$B$1800,AD$1)</f>
        <v>0</v>
      </c>
      <c r="AE57" s="115" t="n">
        <f aca="false">SUMIFS(الريسبي!$C$2:$C$1800,الريسبي!$A$2:$A$1800,$A57,الريسبي!$B$2:$B$1800,AE$1)</f>
        <v>0.02</v>
      </c>
      <c r="AF57" s="115" t="n">
        <f aca="false">SUMIFS(الريسبي!$C$2:$C$1800,الريسبي!$A$2:$A$1800,$A57,الريسبي!$B$2:$B$1800,AF$1)</f>
        <v>0</v>
      </c>
      <c r="AG57" s="115" t="n">
        <f aca="false">SUMIFS(الريسبي!$C$2:$C$1800,الريسبي!$A$2:$A$1800,$A57,الريسبي!$B$2:$B$1800,AG$1)</f>
        <v>0</v>
      </c>
      <c r="AH57" s="115" t="n">
        <f aca="false">SUMIFS(الريسبي!$C$2:$C$1800,الريسبي!$A$2:$A$1800,$A57,الريسبي!$B$2:$B$1800,AH$1)</f>
        <v>0</v>
      </c>
      <c r="AI57" s="115" t="n">
        <f aca="false">SUMIFS(الريسبي!$C$2:$C$1800,الريسبي!$A$2:$A$1800,$A57,الريسبي!$B$2:$B$1800,AI$1)</f>
        <v>0</v>
      </c>
      <c r="AJ57" s="115" t="n">
        <f aca="false">SUMIFS(الريسبي!$C$2:$C$1800,الريسبي!$A$2:$A$1800,$A57,الريسبي!$B$2:$B$1800,AJ$1)</f>
        <v>3</v>
      </c>
      <c r="AK57" s="115" t="n">
        <f aca="false">SUMIFS(الريسبي!$C$2:$C$1800,الريسبي!$A$2:$A$1800,$A57,الريسبي!$B$2:$B$1800,AK$1)</f>
        <v>0</v>
      </c>
      <c r="AL57" s="115" t="n">
        <f aca="false">SUMIFS(الريسبي!$C$2:$C$1800,الريسبي!$A$2:$A$1800,$A57,الريسبي!$B$2:$B$1800,AL$1)</f>
        <v>0.02</v>
      </c>
      <c r="AM57" s="115"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15"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15" t="n">
        <f aca="false">SUMIFS(الريسبي!$C$2:$C$1800,الريسبي!$A$2:$A$1800,$A57,الريسبي!$B$2:$B$1800,AO$1)</f>
        <v>0</v>
      </c>
      <c r="AP57" s="115" t="n">
        <f aca="false">SUMIFS(الريسبي!$C$2:$C$1800,الريسبي!$A$2:$A$1800,$A57,الريسبي!$B$2:$B$1800,AP$1)</f>
        <v>0</v>
      </c>
      <c r="AQ57" s="115"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15" t="n">
        <f aca="false">SUMIFS(الريسبي!$C$2:$C$1800,الريسبي!$A$2:$A$1800,$A57,الريسبي!$B$2:$B$1800,AR$1)</f>
        <v>0</v>
      </c>
      <c r="AS57" s="115" t="n">
        <f aca="false">SUMIFS(الريسبي!$C$2:$C$1800,الريسبي!$A$2:$A$1800,$A57,الريسبي!$B$2:$B$1800,AS$1)</f>
        <v>0</v>
      </c>
      <c r="AT57" s="115" t="n">
        <f aca="false">SUMIFS(الريسبي!$C$2:$C$1800,الريسبي!$A$2:$A$1800,$A57,الريسبي!$B$2:$B$1800,AT$1)</f>
        <v>0</v>
      </c>
      <c r="AU57" s="115" t="n">
        <f aca="false">SUMIFS(الريسبي!$C$2:$C$1800,الريسبي!$A$2:$A$1800,$A57,الريسبي!$B$2:$B$1800,AU$1)</f>
        <v>0</v>
      </c>
      <c r="AV57" s="115" t="n">
        <f aca="false">SUMIFS(الريسبي!$C$2:$C$1800,الريسبي!$A$2:$A$1800,$A57,الريسبي!$B$2:$B$1800,AV$1)</f>
        <v>0</v>
      </c>
      <c r="AW57" s="115" t="n">
        <f aca="false">SUMIFS(الريسبي!$C$2:$C$1800,الريسبي!$A$2:$A$1800,$A57,الريسبي!$B$2:$B$1800,AW$1)</f>
        <v>0</v>
      </c>
      <c r="AX57" s="115" t="n">
        <f aca="false">SUMIFS(الريسبي!$C$2:$C$1800,الريسبي!$A$2:$A$1800,$A57,الريسبي!$B$2:$B$1800,AX$1)</f>
        <v>0</v>
      </c>
      <c r="AY57" s="115" t="n">
        <f aca="false">SUMIFS(الريسبي!$C$2:$C$1800,الريسبي!$A$2:$A$1800,$A57,الريسبي!$B$2:$B$1800,AY$1)</f>
        <v>0.0667</v>
      </c>
      <c r="AZ57" s="115" t="n">
        <f aca="false">SUMIFS(الريسبي!$C$2:$C$1800,الريسبي!$A$2:$A$1800,$A57,الريسبي!$B$2:$B$1800,AZ$1)</f>
        <v>0.0667</v>
      </c>
      <c r="BA57" s="115" t="n">
        <f aca="false">SUMIFS(الريسبي!$C$2:$C$1800,الريسبي!$A$2:$A$1800,$A57,الريسبي!$B$2:$B$1800,BA$1)</f>
        <v>0</v>
      </c>
      <c r="BB57" s="115" t="n">
        <f aca="false">SUMIFS(الريسبي!$C$2:$C$1800,الريسبي!$A$2:$A$1800,$A57,الريسبي!$B$2:$B$1800,BB$1)</f>
        <v>0.0667</v>
      </c>
      <c r="BC57" s="115" t="n">
        <f aca="false">SUMIFS(الريسبي!$C$2:$C$1800,الريسبي!$A$2:$A$1800,$A57,الريسبي!$B$2:$B$1800,BC$1)</f>
        <v>0.02</v>
      </c>
      <c r="BD57" s="115" t="n">
        <f aca="false">SUMIFS(الريسبي!$C$2:$C$1800,الريسبي!$A$2:$A$1800,$A57,الريسبي!$B$2:$B$1800,BD$1)</f>
        <v>0.3</v>
      </c>
      <c r="BE57" s="115" t="n">
        <f aca="false">SUMIFS(الريسبي!$C$2:$C$1800,الريسبي!$A$2:$A$1800,$A57,الريسبي!$B$2:$B$1800,BE$1)</f>
        <v>0</v>
      </c>
      <c r="BF57" s="115" t="n">
        <f aca="false">SUMIFS(الريسبي!$C$2:$C$1800,الريسبي!$A$2:$A$1800,$A57,الريسبي!$B$2:$B$1800,BF$1)</f>
        <v>0</v>
      </c>
      <c r="BG57" s="115" t="n">
        <f aca="false">SUMIFS(الريسبي!$C$2:$C$1800,الريسبي!$A$2:$A$1800,$A57,الريسبي!$B$2:$B$1800,BG$1)</f>
        <v>0</v>
      </c>
      <c r="BH57" s="115" t="n">
        <f aca="false">SUMIFS(الريسبي!$C$2:$C$1800,الريسبي!$A$2:$A$1800,$A57,الريسبي!$B$2:$B$1800,BH$1)</f>
        <v>0</v>
      </c>
      <c r="BI57" s="115" t="n">
        <f aca="false">SUMIFS(الريسبي!$C$2:$C$1800,الريسبي!$A$2:$A$1800,$A57,الريسبي!$B$2:$B$1800,BI$1)</f>
        <v>0</v>
      </c>
      <c r="BJ57" s="115" t="n">
        <f aca="false">SUMIFS(الريسبي!$C$2:$C$1800,الريسبي!$A$2:$A$1800,$A57,الريسبي!$B$2:$B$1800,BJ$1)</f>
        <v>0</v>
      </c>
      <c r="BK57" s="115" t="n">
        <f aca="false">SUMIFS(الريسبي!$C$2:$C$1800,الريسبي!$A$2:$A$1800,$A57,الريسبي!$B$2:$B$1800,BK$1)</f>
        <v>0</v>
      </c>
      <c r="BL57" s="115" t="n">
        <f aca="false">SUMIFS(الريسبي!$C$2:$C$1800,الريسبي!$A$2:$A$1800,$A57,الريسبي!$B$2:$B$1800,BL$1)</f>
        <v>0</v>
      </c>
      <c r="BM57" s="115" t="n">
        <f aca="false">SUMIFS(الريسبي!$C$2:$C$1800,الريسبي!$A$2:$A$1800,$A57,الريسبي!$B$2:$B$1800,BM$1)</f>
        <v>0</v>
      </c>
      <c r="BN57" s="115" t="n">
        <f aca="false">SUMIFS(الريسبي!$C$2:$C$1800,الريسبي!$A$2:$A$1800,$A57,الريسبي!$B$2:$B$1800,BN$1)</f>
        <v>0.02</v>
      </c>
      <c r="BO57" s="115" t="n">
        <f aca="false">SUMIFS(الريسبي!$C$2:$C$1800,الريسبي!$A$2:$A$1800,$A57,الريسبي!$B$2:$B$1800,BO$1)</f>
        <v>0</v>
      </c>
      <c r="BP57" s="115" t="n">
        <f aca="false">SUMIFS(الريسبي!$C$2:$C$1800,الريسبي!$A$2:$A$1800,$A57,الريسبي!$B$2:$B$1800,BP$1)</f>
        <v>3</v>
      </c>
      <c r="BQ57" s="115"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15" t="n">
        <f aca="false">SUMIFS(الريسبي!$C$2:$C$1800,الريسبي!$A$2:$A$1800,$A57,الريسبي!$B$2:$B$1800,BR$1)</f>
        <v>1.5</v>
      </c>
      <c r="BS57" s="115" t="n">
        <f aca="false">SUMIFS(الريسبي!$C$2:$C$1800,الريسبي!$A$2:$A$1800,$A57,الريسبي!$B$2:$B$1800,BS$1)</f>
        <v>0</v>
      </c>
      <c r="BT57" s="115" t="n">
        <f aca="false">SUMIFS(الريسبي!$C$2:$C$1800,الريسبي!$A$2:$A$1800,$A57,الريسبي!$B$2:$B$1800,BT$1)</f>
        <v>0</v>
      </c>
      <c r="BU57" s="115"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15" t="n">
        <f aca="false">SUMIFS(الريسبي!$C$2:$C$1800,الريسبي!$A$2:$A$1800,$A57,الريسبي!$B$2:$B$1800,BV$1)</f>
        <v>0</v>
      </c>
      <c r="BW57" s="115" t="n">
        <f aca="false">SUMIFS(الريسبي!$C$2:$C$1800,الريسبي!$A$2:$A$1800,$A57,الريسبي!$B$2:$B$1800,BW$1)</f>
        <v>0</v>
      </c>
      <c r="BX57" s="115" t="n">
        <f aca="false">SUMIFS(الريسبي!$C$2:$C$1800,الريسبي!$A$2:$A$1800,$A57,الريسبي!$B$2:$B$1800,BX$1)</f>
        <v>0</v>
      </c>
      <c r="BY57" s="115" t="n">
        <f aca="false">SUMIFS(الريسبي!$C$2:$C$1800,الريسبي!$A$2:$A$1800,$A57,الريسبي!$B$2:$B$1800,BY$1)</f>
        <v>0</v>
      </c>
      <c r="BZ57" s="115" t="n">
        <f aca="false">SUMIFS(الريسبي!$C$2:$C$1800,الريسبي!$A$2:$A$1800,$A57,الريسبي!$B$2:$B$1800,BZ$1)</f>
        <v>1.5</v>
      </c>
      <c r="CA57" s="115" t="n">
        <f aca="false">SUMIFS(الريسبي!$C$2:$C$1800,الريسبي!$A$2:$A$1800,$A57,الريسبي!$B$2:$B$1800,CA$1)</f>
        <v>1.5</v>
      </c>
      <c r="CB57" s="115" t="n">
        <f aca="false">SUMIFS(الريسبي!$C$2:$C$1800,الريسبي!$A$2:$A$1800,$A57,الريسبي!$B$2:$B$1800,CB$1)</f>
        <v>0</v>
      </c>
      <c r="CC57" s="115" t="n">
        <f aca="false">SUMIFS(الريسبي!$C$2:$C$1800,الريسبي!$A$2:$A$1800,$A57,الريسبي!$B$2:$B$1800,CC$1)</f>
        <v>0</v>
      </c>
      <c r="CD57" s="115" t="n">
        <f aca="false">SUMIFS(الريسبي!$C$2:$C$1800,الريسبي!$A$2:$A$1800,$A57,الريسبي!$B$2:$B$1800,CD$1)</f>
        <v>0</v>
      </c>
      <c r="CE57" s="115" t="n">
        <f aca="false">SUMIFS(الريسبي!$C$2:$C$1800,الريسبي!$A$2:$A$1800,$A57,الريسبي!$B$2:$B$1800,CE$1)</f>
        <v>0</v>
      </c>
      <c r="CF57" s="115" t="n">
        <f aca="false">SUMIFS(الريسبي!$C$2:$C$1800,الريسبي!$A$2:$A$1800,$A57,الريسبي!$B$2:$B$1800,CF$1)</f>
        <v>0</v>
      </c>
      <c r="CG57" s="115" t="n">
        <f aca="false">SUMIFS(الريسبي!$C$2:$C$1800,الريسبي!$A$2:$A$1800,$A57,الريسبي!$B$2:$B$1800,CG$1)</f>
        <v>0</v>
      </c>
      <c r="CH57" s="115" t="n">
        <f aca="false">SUMIFS(الريسبي!$C$2:$C$1800,الريسبي!$A$2:$A$1800,$A57,الريسبي!$B$2:$B$1800,CH$1)</f>
        <v>1</v>
      </c>
    </row>
    <row r="58" customFormat="false" ht="15" hidden="false" customHeight="false" outlineLevel="0" collapsed="false">
      <c r="A58" s="114" t="str">
        <f aca="false">المنيو!B58</f>
        <v>فطيررجر</v>
      </c>
      <c r="B58" s="115" t="n">
        <f aca="false">SUMIFS(الريسبي!$C$2:$C$1800,الريسبي!$A$2:$A$1800,$A58,الريسبي!$B$2:$B$1800,B$1)</f>
        <v>0</v>
      </c>
      <c r="C58" s="115" t="n">
        <f aca="false">SUMIFS(الريسبي!$C$2:$C$1800,الريسبي!$A$2:$A$1800,$A58,الريسبي!$B$2:$B$1800,C$1)</f>
        <v>0</v>
      </c>
      <c r="D58" s="115" t="n">
        <f aca="false">SUMIFS(الريسبي!$C$2:$C$1800,الريسبي!$A$2:$A$1800,$A58,الريسبي!$B$2:$B$1800,D$1)</f>
        <v>1</v>
      </c>
      <c r="E58" s="115" t="n">
        <f aca="false">SUMIFS(الريسبي!$C$2:$C$1800,الريسبي!$A$2:$A$1800,$A58,الريسبي!$B$2:$B$1800,E$1)</f>
        <v>0</v>
      </c>
      <c r="F58" s="115" t="n">
        <f aca="false">SUMIFS(الريسبي!$C$2:$C$1800,الريسبي!$A$2:$A$1800,$A58,الريسبي!$B$2:$B$1800,F$1)</f>
        <v>2</v>
      </c>
      <c r="G58" s="115" t="n">
        <f aca="false">SUMIFS(الريسبي!$C$2:$C$1800,الريسبي!$A$2:$A$1800,$A58,الريسبي!$B$2:$B$1800,G$1)</f>
        <v>0</v>
      </c>
      <c r="H58" s="115" t="n">
        <f aca="false">SUMIFS(الريسبي!$C$2:$C$1800,الريسبي!$A$2:$A$1800,$A58,الريسبي!$B$2:$B$1800,H$1)</f>
        <v>0</v>
      </c>
      <c r="I58" s="115" t="n">
        <f aca="false">SUMIFS(الريسبي!$C$2:$C$1800,الريسبي!$A$2:$A$1800,$A58,الريسبي!$B$2:$B$1800,I$1)</f>
        <v>0</v>
      </c>
      <c r="J58" s="115" t="n">
        <f aca="false">SUMIFS(الريسبي!$C$2:$C$1800,الريسبي!$A$2:$A$1800,$A58,الريسبي!$B$2:$B$1800,J$1)</f>
        <v>0</v>
      </c>
      <c r="K58" s="115" t="n">
        <f aca="false">SUMIFS(الريسبي!$C$2:$C$1800,الريسبي!$A$2:$A$1800,$A58,الريسبي!$B$2:$B$1800,K$1)</f>
        <v>0</v>
      </c>
      <c r="L58" s="115" t="n">
        <f aca="false">SUMIFS(الريسبي!$C$2:$C$1800,الريسبي!$A$2:$A$1800,$A58,الريسبي!$B$2:$B$1800,L$1)</f>
        <v>0</v>
      </c>
      <c r="M58" s="115" t="n">
        <f aca="false">SUMIFS(الريسبي!$C$2:$C$1800,الريسبي!$A$2:$A$1800,$A58,الريسبي!$B$2:$B$1800,M$1)</f>
        <v>0</v>
      </c>
      <c r="N58" s="115" t="n">
        <f aca="false">SUMIFS(الريسبي!$C$2:$C$1800,الريسبي!$A$2:$A$1800,$A58,الريسبي!$B$2:$B$1800,N$1)</f>
        <v>0</v>
      </c>
      <c r="O58" s="115" t="n">
        <f aca="false">SUMIFS(الريسبي!$C$2:$C$1800,الريسبي!$A$2:$A$1800,$A58,الريسبي!$B$2:$B$1800,O$1)</f>
        <v>0</v>
      </c>
      <c r="P58" s="115" t="n">
        <f aca="false">SUMIFS(الريسبي!$C$2:$C$1800,الريسبي!$A$2:$A$1800,$A58,الريسبي!$B$2:$B$1800,P$1)</f>
        <v>0</v>
      </c>
      <c r="Q58" s="115" t="n">
        <f aca="false">SUMIFS(الريسبي!$C$2:$C$1800,الريسبي!$A$2:$A$1800,$A58,الريسبي!$B$2:$B$1800,Q$1)</f>
        <v>0</v>
      </c>
      <c r="R58" s="115" t="n">
        <f aca="false">SUMIFS(الريسبي!$C$2:$C$1800,الريسبي!$A$2:$A$1800,$A58,الريسبي!$B$2:$B$1800,R$1)</f>
        <v>0</v>
      </c>
      <c r="S58" s="115" t="n">
        <f aca="false">SUMIFS(الريسبي!$C$2:$C$1800,الريسبي!$A$2:$A$1800,$A58,الريسبي!$B$2:$B$1800,S$1)</f>
        <v>0</v>
      </c>
      <c r="T58" s="115" t="n">
        <f aca="false">SUMIFS(الريسبي!$C$2:$C$1800,الريسبي!$A$2:$A$1800,$A58,الريسبي!$B$2:$B$1800,T$1)</f>
        <v>0</v>
      </c>
      <c r="U58" s="115" t="n">
        <f aca="false">SUMIFS(الريسبي!$C$2:$C$1800,الريسبي!$A$2:$A$1800,$A58,الريسبي!$B$2:$B$1800,U$1)</f>
        <v>0</v>
      </c>
      <c r="V58" s="115" t="n">
        <f aca="false">SUMIFS(الريسبي!$C$2:$C$1800,الريسبي!$A$2:$A$1800,$A58,الريسبي!$B$2:$B$1800,V$1)</f>
        <v>0</v>
      </c>
      <c r="W58" s="115" t="n">
        <f aca="false">SUMIFS(الريسبي!$C$2:$C$1800,الريسبي!$A$2:$A$1800,$A58,الريسبي!$B$2:$B$1800,W$1)</f>
        <v>0</v>
      </c>
      <c r="X58" s="115" t="n">
        <f aca="false">SUMIFS(الريسبي!$C$2:$C$1800,الريسبي!$A$2:$A$1800,$A58,الريسبي!$B$2:$B$1800,X$1)</f>
        <v>0</v>
      </c>
      <c r="Y58" s="115" t="n">
        <f aca="false">SUMIFS(الريسبي!$C$2:$C$1800,الريسبي!$A$2:$A$1800,$A58,الريسبي!$B$2:$B$1800,Y$1)</f>
        <v>0</v>
      </c>
      <c r="Z58" s="115" t="n">
        <f aca="false">SUMIFS(الريسبي!$C$2:$C$1800,الريسبي!$A$2:$A$1800,$A58,الريسبي!$B$2:$B$1800,Z$1)</f>
        <v>0</v>
      </c>
      <c r="AA58" s="115" t="n">
        <f aca="false">SUMIFS(الريسبي!$C$2:$C$1800,الريسبي!$A$2:$A$1800,$A58,الريسبي!$B$2:$B$1800,AA$1)</f>
        <v>0</v>
      </c>
      <c r="AB58" s="115" t="n">
        <f aca="false">SUMIFS(الريسبي!$C$2:$C$1800,الريسبي!$A$2:$A$1800,$A58,الريسبي!$B$2:$B$1800,AB$1)</f>
        <v>0</v>
      </c>
      <c r="AC58" s="115" t="n">
        <f aca="false">SUMIFS(الريسبي!$C$2:$C$1800,الريسبي!$A$2:$A$1800,$A58,الريسبي!$B$2:$B$1800,AC$1)</f>
        <v>0</v>
      </c>
      <c r="AD58" s="115" t="n">
        <f aca="false">SUMIFS(الريسبي!$C$2:$C$1800,الريسبي!$A$2:$A$1800,$A58,الريسبي!$B$2:$B$1800,AD$1)</f>
        <v>0</v>
      </c>
      <c r="AE58" s="115" t="n">
        <f aca="false">SUMIFS(الريسبي!$C$2:$C$1800,الريسبي!$A$2:$A$1800,$A58,الريسبي!$B$2:$B$1800,AE$1)</f>
        <v>0.02</v>
      </c>
      <c r="AF58" s="115" t="n">
        <f aca="false">SUMIFS(الريسبي!$C$2:$C$1800,الريسبي!$A$2:$A$1800,$A58,الريسبي!$B$2:$B$1800,AF$1)</f>
        <v>0</v>
      </c>
      <c r="AG58" s="115" t="n">
        <f aca="false">SUMIFS(الريسبي!$C$2:$C$1800,الريسبي!$A$2:$A$1800,$A58,الريسبي!$B$2:$B$1800,AG$1)</f>
        <v>0</v>
      </c>
      <c r="AH58" s="115" t="n">
        <f aca="false">SUMIFS(الريسبي!$C$2:$C$1800,الريسبي!$A$2:$A$1800,$A58,الريسبي!$B$2:$B$1800,AH$1)</f>
        <v>0</v>
      </c>
      <c r="AI58" s="115" t="n">
        <f aca="false">SUMIFS(الريسبي!$C$2:$C$1800,الريسبي!$A$2:$A$1800,$A58,الريسبي!$B$2:$B$1800,AI$1)</f>
        <v>0</v>
      </c>
      <c r="AJ58" s="115" t="n">
        <f aca="false">SUMIFS(الريسبي!$C$2:$C$1800,الريسبي!$A$2:$A$1800,$A58,الريسبي!$B$2:$B$1800,AJ$1)</f>
        <v>2</v>
      </c>
      <c r="AK58" s="115" t="n">
        <f aca="false">SUMIFS(الريسبي!$C$2:$C$1800,الريسبي!$A$2:$A$1800,$A58,الريسبي!$B$2:$B$1800,AK$1)</f>
        <v>0</v>
      </c>
      <c r="AL58" s="115" t="n">
        <f aca="false">SUMIFS(الريسبي!$C$2:$C$1800,الريسبي!$A$2:$A$1800,$A58,الريسبي!$B$2:$B$1800,AL$1)</f>
        <v>0.02</v>
      </c>
      <c r="AM58" s="115"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15"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15" t="n">
        <f aca="false">SUMIFS(الريسبي!$C$2:$C$1800,الريسبي!$A$2:$A$1800,$A58,الريسبي!$B$2:$B$1800,AO$1)</f>
        <v>0</v>
      </c>
      <c r="AP58" s="115" t="n">
        <f aca="false">SUMIFS(الريسبي!$C$2:$C$1800,الريسبي!$A$2:$A$1800,$A58,الريسبي!$B$2:$B$1800,AP$1)</f>
        <v>0</v>
      </c>
      <c r="AQ58" s="115"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15" t="n">
        <f aca="false">SUMIFS(الريسبي!$C$2:$C$1800,الريسبي!$A$2:$A$1800,$A58,الريسبي!$B$2:$B$1800,AR$1)</f>
        <v>0</v>
      </c>
      <c r="AS58" s="115" t="n">
        <f aca="false">SUMIFS(الريسبي!$C$2:$C$1800,الريسبي!$A$2:$A$1800,$A58,الريسبي!$B$2:$B$1800,AS$1)</f>
        <v>0</v>
      </c>
      <c r="AT58" s="115" t="n">
        <f aca="false">SUMIFS(الريسبي!$C$2:$C$1800,الريسبي!$A$2:$A$1800,$A58,الريسبي!$B$2:$B$1800,AT$1)</f>
        <v>0</v>
      </c>
      <c r="AU58" s="115" t="n">
        <f aca="false">SUMIFS(الريسبي!$C$2:$C$1800,الريسبي!$A$2:$A$1800,$A58,الريسبي!$B$2:$B$1800,AU$1)</f>
        <v>0</v>
      </c>
      <c r="AV58" s="115" t="n">
        <f aca="false">SUMIFS(الريسبي!$C$2:$C$1800,الريسبي!$A$2:$A$1800,$A58,الريسبي!$B$2:$B$1800,AV$1)</f>
        <v>0</v>
      </c>
      <c r="AW58" s="115" t="n">
        <f aca="false">SUMIFS(الريسبي!$C$2:$C$1800,الريسبي!$A$2:$A$1800,$A58,الريسبي!$B$2:$B$1800,AW$1)</f>
        <v>0</v>
      </c>
      <c r="AX58" s="115" t="n">
        <f aca="false">SUMIFS(الريسبي!$C$2:$C$1800,الريسبي!$A$2:$A$1800,$A58,الريسبي!$B$2:$B$1800,AX$1)</f>
        <v>0</v>
      </c>
      <c r="AY58" s="115" t="n">
        <f aca="false">SUMIFS(الريسبي!$C$2:$C$1800,الريسبي!$A$2:$A$1800,$A58,الريسبي!$B$2:$B$1800,AY$1)</f>
        <v>0.05</v>
      </c>
      <c r="AZ58" s="115" t="n">
        <f aca="false">SUMIFS(الريسبي!$C$2:$C$1800,الريسبي!$A$2:$A$1800,$A58,الريسبي!$B$2:$B$1800,AZ$1)</f>
        <v>0.05</v>
      </c>
      <c r="BA58" s="115" t="n">
        <f aca="false">SUMIFS(الريسبي!$C$2:$C$1800,الريسبي!$A$2:$A$1800,$A58,الريسبي!$B$2:$B$1800,BA$1)</f>
        <v>0</v>
      </c>
      <c r="BB58" s="115" t="n">
        <f aca="false">SUMIFS(الريسبي!$C$2:$C$1800,الريسبي!$A$2:$A$1800,$A58,الريسبي!$B$2:$B$1800,BB$1)</f>
        <v>0.05</v>
      </c>
      <c r="BC58" s="115" t="n">
        <f aca="false">SUMIFS(الريسبي!$C$2:$C$1800,الريسبي!$A$2:$A$1800,$A58,الريسبي!$B$2:$B$1800,BC$1)</f>
        <v>0.02</v>
      </c>
      <c r="BD58" s="115" t="n">
        <f aca="false">SUMIFS(الريسبي!$C$2:$C$1800,الريسبي!$A$2:$A$1800,$A58,الريسبي!$B$2:$B$1800,BD$1)</f>
        <v>0</v>
      </c>
      <c r="BE58" s="115" t="n">
        <f aca="false">SUMIFS(الريسبي!$C$2:$C$1800,الريسبي!$A$2:$A$1800,$A58,الريسبي!$B$2:$B$1800,BE$1)</f>
        <v>2</v>
      </c>
      <c r="BF58" s="115" t="n">
        <f aca="false">SUMIFS(الريسبي!$C$2:$C$1800,الريسبي!$A$2:$A$1800,$A58,الريسبي!$B$2:$B$1800,BF$1)</f>
        <v>0</v>
      </c>
      <c r="BG58" s="115" t="n">
        <f aca="false">SUMIFS(الريسبي!$C$2:$C$1800,الريسبي!$A$2:$A$1800,$A58,الريسبي!$B$2:$B$1800,BG$1)</f>
        <v>0</v>
      </c>
      <c r="BH58" s="115" t="n">
        <f aca="false">SUMIFS(الريسبي!$C$2:$C$1800,الريسبي!$A$2:$A$1800,$A58,الريسبي!$B$2:$B$1800,BH$1)</f>
        <v>0</v>
      </c>
      <c r="BI58" s="115" t="n">
        <f aca="false">SUMIFS(الريسبي!$C$2:$C$1800,الريسبي!$A$2:$A$1800,$A58,الريسبي!$B$2:$B$1800,BI$1)</f>
        <v>0</v>
      </c>
      <c r="BJ58" s="115" t="n">
        <f aca="false">SUMIFS(الريسبي!$C$2:$C$1800,الريسبي!$A$2:$A$1800,$A58,الريسبي!$B$2:$B$1800,BJ$1)</f>
        <v>0</v>
      </c>
      <c r="BK58" s="115" t="n">
        <f aca="false">SUMIFS(الريسبي!$C$2:$C$1800,الريسبي!$A$2:$A$1800,$A58,الريسبي!$B$2:$B$1800,BK$1)</f>
        <v>0</v>
      </c>
      <c r="BL58" s="115" t="n">
        <f aca="false">SUMIFS(الريسبي!$C$2:$C$1800,الريسبي!$A$2:$A$1800,$A58,الريسبي!$B$2:$B$1800,BL$1)</f>
        <v>0</v>
      </c>
      <c r="BM58" s="115" t="n">
        <f aca="false">SUMIFS(الريسبي!$C$2:$C$1800,الريسبي!$A$2:$A$1800,$A58,الريسبي!$B$2:$B$1800,BM$1)</f>
        <v>0</v>
      </c>
      <c r="BN58" s="115" t="n">
        <f aca="false">SUMIFS(الريسبي!$C$2:$C$1800,الريسبي!$A$2:$A$1800,$A58,الريسبي!$B$2:$B$1800,BN$1)</f>
        <v>0.02</v>
      </c>
      <c r="BO58" s="115" t="n">
        <f aca="false">SUMIFS(الريسبي!$C$2:$C$1800,الريسبي!$A$2:$A$1800,$A58,الريسبي!$B$2:$B$1800,BO$1)</f>
        <v>0</v>
      </c>
      <c r="BP58" s="115" t="n">
        <f aca="false">SUMIFS(الريسبي!$C$2:$C$1800,الريسبي!$A$2:$A$1800,$A58,الريسبي!$B$2:$B$1800,BP$1)</f>
        <v>2</v>
      </c>
      <c r="BQ58" s="115"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15" t="n">
        <f aca="false">SUMIFS(الريسبي!$C$2:$C$1800,الريسبي!$A$2:$A$1800,$A58,الريسبي!$B$2:$B$1800,BR$1)</f>
        <v>1</v>
      </c>
      <c r="BS58" s="115" t="n">
        <f aca="false">SUMIFS(الريسبي!$C$2:$C$1800,الريسبي!$A$2:$A$1800,$A58,الريسبي!$B$2:$B$1800,BS$1)</f>
        <v>0</v>
      </c>
      <c r="BT58" s="115" t="n">
        <f aca="false">SUMIFS(الريسبي!$C$2:$C$1800,الريسبي!$A$2:$A$1800,$A58,الريسبي!$B$2:$B$1800,BT$1)</f>
        <v>0</v>
      </c>
      <c r="BU58" s="115"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15" t="n">
        <f aca="false">SUMIFS(الريسبي!$C$2:$C$1800,الريسبي!$A$2:$A$1800,$A58,الريسبي!$B$2:$B$1800,BV$1)</f>
        <v>0</v>
      </c>
      <c r="BW58" s="115" t="n">
        <f aca="false">SUMIFS(الريسبي!$C$2:$C$1800,الريسبي!$A$2:$A$1800,$A58,الريسبي!$B$2:$B$1800,BW$1)</f>
        <v>0</v>
      </c>
      <c r="BX58" s="115" t="n">
        <f aca="false">SUMIFS(الريسبي!$C$2:$C$1800,الريسبي!$A$2:$A$1800,$A58,الريسبي!$B$2:$B$1800,BX$1)</f>
        <v>0</v>
      </c>
      <c r="BY58" s="115" t="n">
        <f aca="false">SUMIFS(الريسبي!$C$2:$C$1800,الريسبي!$A$2:$A$1800,$A58,الريسبي!$B$2:$B$1800,BY$1)</f>
        <v>0</v>
      </c>
      <c r="BZ58" s="115" t="n">
        <f aca="false">SUMIFS(الريسبي!$C$2:$C$1800,الريسبي!$A$2:$A$1800,$A58,الريسبي!$B$2:$B$1800,BZ$1)</f>
        <v>1</v>
      </c>
      <c r="CA58" s="115" t="n">
        <f aca="false">SUMIFS(الريسبي!$C$2:$C$1800,الريسبي!$A$2:$A$1800,$A58,الريسبي!$B$2:$B$1800,CA$1)</f>
        <v>1</v>
      </c>
      <c r="CB58" s="115" t="n">
        <f aca="false">SUMIFS(الريسبي!$C$2:$C$1800,الريسبي!$A$2:$A$1800,$A58,الريسبي!$B$2:$B$1800,CB$1)</f>
        <v>0</v>
      </c>
      <c r="CC58" s="115" t="n">
        <f aca="false">SUMIFS(الريسبي!$C$2:$C$1800,الريسبي!$A$2:$A$1800,$A58,الريسبي!$B$2:$B$1800,CC$1)</f>
        <v>0</v>
      </c>
      <c r="CD58" s="115" t="n">
        <f aca="false">SUMIFS(الريسبي!$C$2:$C$1800,الريسبي!$A$2:$A$1800,$A58,الريسبي!$B$2:$B$1800,CD$1)</f>
        <v>0</v>
      </c>
      <c r="CE58" s="115" t="n">
        <f aca="false">SUMIFS(الريسبي!$C$2:$C$1800,الريسبي!$A$2:$A$1800,$A58,الريسبي!$B$2:$B$1800,CE$1)</f>
        <v>0</v>
      </c>
      <c r="CF58" s="115" t="n">
        <f aca="false">SUMIFS(الريسبي!$C$2:$C$1800,الريسبي!$A$2:$A$1800,$A58,الريسبي!$B$2:$B$1800,CF$1)</f>
        <v>0</v>
      </c>
      <c r="CG58" s="115" t="n">
        <f aca="false">SUMIFS(الريسبي!$C$2:$C$1800,الريسبي!$A$2:$A$1800,$A58,الريسبي!$B$2:$B$1800,CG$1)</f>
        <v>1</v>
      </c>
      <c r="CH58" s="115" t="n">
        <f aca="false">SUMIFS(الريسبي!$C$2:$C$1800,الريسبي!$A$2:$A$1800,$A58,الريسبي!$B$2:$B$1800,CH$1)</f>
        <v>0</v>
      </c>
    </row>
    <row r="59" customFormat="false" ht="15" hidden="false" customHeight="false" outlineLevel="0" collapsed="false">
      <c r="A59" s="114" t="str">
        <f aca="false">المنيو!B59</f>
        <v>مكرونة تجرسكو (فراخ ومشروم)</v>
      </c>
      <c r="B59" s="115" t="n">
        <f aca="false">SUMIFS(الريسبي!$C$2:$C$1800,الريسبي!$A$2:$A$1800,$A59,الريسبي!$B$2:$B$1800,B$1)</f>
        <v>1</v>
      </c>
      <c r="C59" s="115" t="n">
        <f aca="false">SUMIFS(الريسبي!$C$2:$C$1800,الريسبي!$A$2:$A$1800,$A59,الريسبي!$B$2:$B$1800,C$1)</f>
        <v>0</v>
      </c>
      <c r="D59" s="115" t="n">
        <f aca="false">SUMIFS(الريسبي!$C$2:$C$1800,الريسبي!$A$2:$A$1800,$A59,الريسبي!$B$2:$B$1800,D$1)</f>
        <v>0</v>
      </c>
      <c r="E59" s="115" t="n">
        <f aca="false">SUMIFS(الريسبي!$C$2:$C$1800,الريسبي!$A$2:$A$1800,$A59,الريسبي!$B$2:$B$1800,E$1)</f>
        <v>1</v>
      </c>
      <c r="F59" s="115" t="n">
        <f aca="false">SUMIFS(الريسبي!$C$2:$C$1800,الريسبي!$A$2:$A$1800,$A59,الريسبي!$B$2:$B$1800,F$1)</f>
        <v>0</v>
      </c>
      <c r="G59" s="115" t="n">
        <f aca="false">SUMIFS(الريسبي!$C$2:$C$1800,الريسبي!$A$2:$A$1800,$A59,الريسبي!$B$2:$B$1800,G$1)</f>
        <v>0</v>
      </c>
      <c r="H59" s="115" t="n">
        <f aca="false">SUMIFS(الريسبي!$C$2:$C$1800,الريسبي!$A$2:$A$1800,$A59,الريسبي!$B$2:$B$1800,H$1)</f>
        <v>0</v>
      </c>
      <c r="I59" s="115" t="n">
        <f aca="false">SUMIFS(الريسبي!$C$2:$C$1800,الريسبي!$A$2:$A$1800,$A59,الريسبي!$B$2:$B$1800,I$1)</f>
        <v>0</v>
      </c>
      <c r="J59" s="115" t="n">
        <f aca="false">SUMIFS(الريسبي!$C$2:$C$1800,الريسبي!$A$2:$A$1800,$A59,الريسبي!$B$2:$B$1800,J$1)</f>
        <v>0</v>
      </c>
      <c r="K59" s="115" t="n">
        <f aca="false">SUMIFS(الريسبي!$C$2:$C$1800,الريسبي!$A$2:$A$1800,$A59,الريسبي!$B$2:$B$1800,K$1)</f>
        <v>0</v>
      </c>
      <c r="L59" s="115" t="n">
        <f aca="false">SUMIFS(الريسبي!$C$2:$C$1800,الريسبي!$A$2:$A$1800,$A59,الريسبي!$B$2:$B$1800,L$1)</f>
        <v>0</v>
      </c>
      <c r="M59" s="115" t="n">
        <f aca="false">SUMIFS(الريسبي!$C$2:$C$1800,الريسبي!$A$2:$A$1800,$A59,الريسبي!$B$2:$B$1800,M$1)</f>
        <v>0</v>
      </c>
      <c r="N59" s="115" t="n">
        <f aca="false">SUMIFS(الريسبي!$C$2:$C$1800,الريسبي!$A$2:$A$1800,$A59,الريسبي!$B$2:$B$1800,N$1)</f>
        <v>0</v>
      </c>
      <c r="O59" s="115" t="n">
        <f aca="false">SUMIFS(الريسبي!$C$2:$C$1800,الريسبي!$A$2:$A$1800,$A59,الريسبي!$B$2:$B$1800,O$1)</f>
        <v>1</v>
      </c>
      <c r="P59" s="115" t="n">
        <f aca="false">SUMIFS(الريسبي!$C$2:$C$1800,الريسبي!$A$2:$A$1800,$A59,الريسبي!$B$2:$B$1800,P$1)</f>
        <v>0</v>
      </c>
      <c r="Q59" s="115" t="n">
        <f aca="false">SUMIFS(الريسبي!$C$2:$C$1800,الريسبي!$A$2:$A$1800,$A59,الريسبي!$B$2:$B$1800,Q$1)</f>
        <v>0</v>
      </c>
      <c r="R59" s="115" t="n">
        <f aca="false">SUMIFS(الريسبي!$C$2:$C$1800,الريسبي!$A$2:$A$1800,$A59,الريسبي!$B$2:$B$1800,R$1)</f>
        <v>0</v>
      </c>
      <c r="S59" s="115" t="n">
        <f aca="false">SUMIFS(الريسبي!$C$2:$C$1800,الريسبي!$A$2:$A$1800,$A59,الريسبي!$B$2:$B$1800,S$1)</f>
        <v>0</v>
      </c>
      <c r="T59" s="115" t="n">
        <f aca="false">SUMIFS(الريسبي!$C$2:$C$1800,الريسبي!$A$2:$A$1800,$A59,الريسبي!$B$2:$B$1800,T$1)</f>
        <v>0</v>
      </c>
      <c r="U59" s="115" t="n">
        <f aca="false">SUMIFS(الريسبي!$C$2:$C$1800,الريسبي!$A$2:$A$1800,$A59,الريسبي!$B$2:$B$1800,U$1)</f>
        <v>0</v>
      </c>
      <c r="V59" s="115" t="n">
        <f aca="false">SUMIFS(الريسبي!$C$2:$C$1800,الريسبي!$A$2:$A$1800,$A59,الريسبي!$B$2:$B$1800,V$1)</f>
        <v>1</v>
      </c>
      <c r="W59" s="115" t="n">
        <f aca="false">SUMIFS(الريسبي!$C$2:$C$1800,الريسبي!$A$2:$A$1800,$A59,الريسبي!$B$2:$B$1800,W$1)</f>
        <v>0</v>
      </c>
      <c r="X59" s="115" t="n">
        <f aca="false">SUMIFS(الريسبي!$C$2:$C$1800,الريسبي!$A$2:$A$1800,$A59,الريسبي!$B$2:$B$1800,X$1)</f>
        <v>0</v>
      </c>
      <c r="Y59" s="115" t="n">
        <f aca="false">SUMIFS(الريسبي!$C$2:$C$1800,الريسبي!$A$2:$A$1800,$A59,الريسبي!$B$2:$B$1800,Y$1)</f>
        <v>0</v>
      </c>
      <c r="Z59" s="115" t="n">
        <f aca="false">SUMIFS(الريسبي!$C$2:$C$1800,الريسبي!$A$2:$A$1800,$A59,الريسبي!$B$2:$B$1800,Z$1)</f>
        <v>0</v>
      </c>
      <c r="AA59" s="115" t="n">
        <f aca="false">SUMIFS(الريسبي!$C$2:$C$1800,الريسبي!$A$2:$A$1800,$A59,الريسبي!$B$2:$B$1800,AA$1)</f>
        <v>0</v>
      </c>
      <c r="AB59" s="115" t="n">
        <f aca="false">SUMIFS(الريسبي!$C$2:$C$1800,الريسبي!$A$2:$A$1800,$A59,الريسبي!$B$2:$B$1800,AB$1)</f>
        <v>0</v>
      </c>
      <c r="AC59" s="115" t="n">
        <f aca="false">SUMIFS(الريسبي!$C$2:$C$1800,الريسبي!$A$2:$A$1800,$A59,الريسبي!$B$2:$B$1800,AC$1)</f>
        <v>0.2</v>
      </c>
      <c r="AD59" s="115" t="n">
        <f aca="false">SUMIFS(الريسبي!$C$2:$C$1800,الريسبي!$A$2:$A$1800,$A59,الريسبي!$B$2:$B$1800,AD$1)</f>
        <v>0</v>
      </c>
      <c r="AE59" s="115" t="n">
        <f aca="false">SUMIFS(الريسبي!$C$2:$C$1800,الريسبي!$A$2:$A$1800,$A59,الريسبي!$B$2:$B$1800,AE$1)</f>
        <v>0</v>
      </c>
      <c r="AF59" s="115" t="n">
        <f aca="false">SUMIFS(الريسبي!$C$2:$C$1800,الريسبي!$A$2:$A$1800,$A59,الريسبي!$B$2:$B$1800,AF$1)</f>
        <v>0</v>
      </c>
      <c r="AG59" s="115" t="n">
        <f aca="false">SUMIFS(الريسبي!$C$2:$C$1800,الريسبي!$A$2:$A$1800,$A59,الريسبي!$B$2:$B$1800,AG$1)</f>
        <v>0</v>
      </c>
      <c r="AH59" s="115" t="n">
        <f aca="false">SUMIFS(الريسبي!$C$2:$C$1800,الريسبي!$A$2:$A$1800,$A59,الريسبي!$B$2:$B$1800,AH$1)</f>
        <v>0</v>
      </c>
      <c r="AI59" s="115" t="n">
        <f aca="false">SUMIFS(الريسبي!$C$2:$C$1800,الريسبي!$A$2:$A$1800,$A59,الريسبي!$B$2:$B$1800,AI$1)</f>
        <v>0</v>
      </c>
      <c r="AJ59" s="115" t="n">
        <f aca="false">SUMIFS(الريسبي!$C$2:$C$1800,الريسبي!$A$2:$A$1800,$A59,الريسبي!$B$2:$B$1800,AJ$1)</f>
        <v>2</v>
      </c>
      <c r="AK59" s="115" t="n">
        <f aca="false">SUMIFS(الريسبي!$C$2:$C$1800,الريسبي!$A$2:$A$1800,$A59,الريسبي!$B$2:$B$1800,AK$1)</f>
        <v>0</v>
      </c>
      <c r="AL59" s="115" t="n">
        <f aca="false">SUMIFS(الريسبي!$C$2:$C$1800,الريسبي!$A$2:$A$1800,$A59,الريسبي!$B$2:$B$1800,AL$1)</f>
        <v>0</v>
      </c>
      <c r="AM59" s="115"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15"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15" t="n">
        <f aca="false">SUMIFS(الريسبي!$C$2:$C$1800,الريسبي!$A$2:$A$1800,$A59,الريسبي!$B$2:$B$1800,AO$1)</f>
        <v>0</v>
      </c>
      <c r="AP59" s="115" t="n">
        <f aca="false">SUMIFS(الريسبي!$C$2:$C$1800,الريسبي!$A$2:$A$1800,$A59,الريسبي!$B$2:$B$1800,AP$1)</f>
        <v>0</v>
      </c>
      <c r="AQ59" s="115"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15" t="n">
        <f aca="false">SUMIFS(الريسبي!$C$2:$C$1800,الريسبي!$A$2:$A$1800,$A59,الريسبي!$B$2:$B$1800,AR$1)</f>
        <v>0</v>
      </c>
      <c r="AS59" s="115" t="n">
        <f aca="false">SUMIFS(الريسبي!$C$2:$C$1800,الريسبي!$A$2:$A$1800,$A59,الريسبي!$B$2:$B$1800,AS$1)</f>
        <v>0</v>
      </c>
      <c r="AT59" s="115" t="n">
        <f aca="false">SUMIFS(الريسبي!$C$2:$C$1800,الريسبي!$A$2:$A$1800,$A59,الريسبي!$B$2:$B$1800,AT$1)</f>
        <v>0</v>
      </c>
      <c r="AU59" s="115" t="n">
        <f aca="false">SUMIFS(الريسبي!$C$2:$C$1800,الريسبي!$A$2:$A$1800,$A59,الريسبي!$B$2:$B$1800,AU$1)</f>
        <v>1</v>
      </c>
      <c r="AV59" s="115" t="n">
        <f aca="false">SUMIFS(الريسبي!$C$2:$C$1800,الريسبي!$A$2:$A$1800,$A59,الريسبي!$B$2:$B$1800,AV$1)</f>
        <v>0</v>
      </c>
      <c r="AW59" s="115" t="n">
        <f aca="false">SUMIFS(الريسبي!$C$2:$C$1800,الريسبي!$A$2:$A$1800,$A59,الريسبي!$B$2:$B$1800,AW$1)</f>
        <v>0</v>
      </c>
      <c r="AX59" s="115" t="n">
        <f aca="false">SUMIFS(الريسبي!$C$2:$C$1800,الريسبي!$A$2:$A$1800,$A59,الريسبي!$B$2:$B$1800,AX$1)</f>
        <v>0</v>
      </c>
      <c r="AY59" s="115" t="n">
        <f aca="false">SUMIFS(الريسبي!$C$2:$C$1800,الريسبي!$A$2:$A$1800,$A59,الريسبي!$B$2:$B$1800,AY$1)</f>
        <v>0</v>
      </c>
      <c r="AZ59" s="115" t="n">
        <f aca="false">SUMIFS(الريسبي!$C$2:$C$1800,الريسبي!$A$2:$A$1800,$A59,الريسبي!$B$2:$B$1800,AZ$1)</f>
        <v>0</v>
      </c>
      <c r="BA59" s="115" t="n">
        <f aca="false">SUMIFS(الريسبي!$C$2:$C$1800,الريسبي!$A$2:$A$1800,$A59,الريسبي!$B$2:$B$1800,BA$1)</f>
        <v>0</v>
      </c>
      <c r="BB59" s="115" t="n">
        <f aca="false">SUMIFS(الريسبي!$C$2:$C$1800,الريسبي!$A$2:$A$1800,$A59,الريسبي!$B$2:$B$1800,BB$1)</f>
        <v>0</v>
      </c>
      <c r="BC59" s="115" t="n">
        <f aca="false">SUMIFS(الريسبي!$C$2:$C$1800,الريسبي!$A$2:$A$1800,$A59,الريسبي!$B$2:$B$1800,BC$1)</f>
        <v>0</v>
      </c>
      <c r="BD59" s="115" t="n">
        <f aca="false">SUMIFS(الريسبي!$C$2:$C$1800,الريسبي!$A$2:$A$1800,$A59,الريسبي!$B$2:$B$1800,BD$1)</f>
        <v>0</v>
      </c>
      <c r="BE59" s="115" t="n">
        <f aca="false">SUMIFS(الريسبي!$C$2:$C$1800,الريسبي!$A$2:$A$1800,$A59,الريسبي!$B$2:$B$1800,BE$1)</f>
        <v>0</v>
      </c>
      <c r="BF59" s="115" t="n">
        <f aca="false">SUMIFS(الريسبي!$C$2:$C$1800,الريسبي!$A$2:$A$1800,$A59,الريسبي!$B$2:$B$1800,BF$1)</f>
        <v>0</v>
      </c>
      <c r="BG59" s="115" t="n">
        <f aca="false">SUMIFS(الريسبي!$C$2:$C$1800,الريسبي!$A$2:$A$1800,$A59,الريسبي!$B$2:$B$1800,BG$1)</f>
        <v>0</v>
      </c>
      <c r="BH59" s="115" t="n">
        <f aca="false">SUMIFS(الريسبي!$C$2:$C$1800,الريسبي!$A$2:$A$1800,$A59,الريسبي!$B$2:$B$1800,BH$1)</f>
        <v>0</v>
      </c>
      <c r="BI59" s="115" t="n">
        <f aca="false">SUMIFS(الريسبي!$C$2:$C$1800,الريسبي!$A$2:$A$1800,$A59,الريسبي!$B$2:$B$1800,BI$1)</f>
        <v>0</v>
      </c>
      <c r="BJ59" s="115" t="n">
        <f aca="false">SUMIFS(الريسبي!$C$2:$C$1800,الريسبي!$A$2:$A$1800,$A59,الريسبي!$B$2:$B$1800,BJ$1)</f>
        <v>0</v>
      </c>
      <c r="BK59" s="115" t="n">
        <f aca="false">SUMIFS(الريسبي!$C$2:$C$1800,الريسبي!$A$2:$A$1800,$A59,الريسبي!$B$2:$B$1800,BK$1)</f>
        <v>0</v>
      </c>
      <c r="BL59" s="115" t="n">
        <f aca="false">SUMIFS(الريسبي!$C$2:$C$1800,الريسبي!$A$2:$A$1800,$A59,الريسبي!$B$2:$B$1800,BL$1)</f>
        <v>0</v>
      </c>
      <c r="BM59" s="115" t="n">
        <f aca="false">SUMIFS(الريسبي!$C$2:$C$1800,الريسبي!$A$2:$A$1800,$A59,الريسبي!$B$2:$B$1800,BM$1)</f>
        <v>0</v>
      </c>
      <c r="BN59" s="115" t="n">
        <f aca="false">SUMIFS(الريسبي!$C$2:$C$1800,الريسبي!$A$2:$A$1800,$A59,الريسبي!$B$2:$B$1800,BN$1)</f>
        <v>0</v>
      </c>
      <c r="BO59" s="115" t="n">
        <f aca="false">SUMIFS(الريسبي!$C$2:$C$1800,الريسبي!$A$2:$A$1800,$A59,الريسبي!$B$2:$B$1800,BO$1)</f>
        <v>0</v>
      </c>
      <c r="BP59" s="115" t="n">
        <f aca="false">SUMIFS(الريسبي!$C$2:$C$1800,الريسبي!$A$2:$A$1800,$A59,الريسبي!$B$2:$B$1800,BP$1)</f>
        <v>2</v>
      </c>
      <c r="BQ59" s="115"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15" t="n">
        <f aca="false">SUMIFS(الريسبي!$C$2:$C$1800,الريسبي!$A$2:$A$1800,$A59,الريسبي!$B$2:$B$1800,BR$1)</f>
        <v>0</v>
      </c>
      <c r="BS59" s="115" t="n">
        <f aca="false">SUMIFS(الريسبي!$C$2:$C$1800,الريسبي!$A$2:$A$1800,$A59,الريسبي!$B$2:$B$1800,BS$1)</f>
        <v>0</v>
      </c>
      <c r="BT59" s="115" t="n">
        <f aca="false">SUMIFS(الريسبي!$C$2:$C$1800,الريسبي!$A$2:$A$1800,$A59,الريسبي!$B$2:$B$1800,BT$1)</f>
        <v>0</v>
      </c>
      <c r="BU59" s="115"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15" t="n">
        <f aca="false">SUMIFS(الريسبي!$C$2:$C$1800,الريسبي!$A$2:$A$1800,$A59,الريسبي!$B$2:$B$1800,BV$1)</f>
        <v>0</v>
      </c>
      <c r="BW59" s="115" t="n">
        <f aca="false">SUMIFS(الريسبي!$C$2:$C$1800,الريسبي!$A$2:$A$1800,$A59,الريسبي!$B$2:$B$1800,BW$1)</f>
        <v>0.06</v>
      </c>
      <c r="BX59" s="115" t="n">
        <f aca="false">SUMIFS(الريسبي!$C$2:$C$1800,الريسبي!$A$2:$A$1800,$A59,الريسبي!$B$2:$B$1800,BX$1)</f>
        <v>0.15</v>
      </c>
      <c r="BY59" s="115" t="n">
        <f aca="false">SUMIFS(الريسبي!$C$2:$C$1800,الريسبي!$A$2:$A$1800,$A59,الريسبي!$B$2:$B$1800,BY$1)</f>
        <v>0</v>
      </c>
      <c r="BZ59" s="115" t="n">
        <f aca="false">SUMIFS(الريسبي!$C$2:$C$1800,الريسبي!$A$2:$A$1800,$A59,الريسبي!$B$2:$B$1800,BZ$1)</f>
        <v>0</v>
      </c>
      <c r="CA59" s="115" t="n">
        <f aca="false">SUMIFS(الريسبي!$C$2:$C$1800,الريسبي!$A$2:$A$1800,$A59,الريسبي!$B$2:$B$1800,CA$1)</f>
        <v>0</v>
      </c>
      <c r="CB59" s="115" t="n">
        <f aca="false">SUMIFS(الريسبي!$C$2:$C$1800,الريسبي!$A$2:$A$1800,$A59,الريسبي!$B$2:$B$1800,CB$1)</f>
        <v>1</v>
      </c>
      <c r="CC59" s="115" t="n">
        <f aca="false">SUMIFS(الريسبي!$C$2:$C$1800,الريسبي!$A$2:$A$1800,$A59,الريسبي!$B$2:$B$1800,CC$1)</f>
        <v>0</v>
      </c>
      <c r="CD59" s="115" t="n">
        <f aca="false">SUMIFS(الريسبي!$C$2:$C$1800,الريسبي!$A$2:$A$1800,$A59,الريسبي!$B$2:$B$1800,CD$1)</f>
        <v>0</v>
      </c>
      <c r="CE59" s="115" t="n">
        <f aca="false">SUMIFS(الريسبي!$C$2:$C$1800,الريسبي!$A$2:$A$1800,$A59,الريسبي!$B$2:$B$1800,CE$1)</f>
        <v>0</v>
      </c>
      <c r="CF59" s="115" t="n">
        <f aca="false">SUMIFS(الريسبي!$C$2:$C$1800,الريسبي!$A$2:$A$1800,$A59,الريسبي!$B$2:$B$1800,CF$1)</f>
        <v>0</v>
      </c>
      <c r="CG59" s="115" t="n">
        <f aca="false">SUMIFS(الريسبي!$C$2:$C$1800,الريسبي!$A$2:$A$1800,$A59,الريسبي!$B$2:$B$1800,CG$1)</f>
        <v>0</v>
      </c>
      <c r="CH59" s="115" t="n">
        <f aca="false">SUMIFS(الريسبي!$C$2:$C$1800,الريسبي!$A$2:$A$1800,$A59,الريسبي!$B$2:$B$1800,CH$1)</f>
        <v>0</v>
      </c>
    </row>
    <row r="60" customFormat="false" ht="15" hidden="false" customHeight="false" outlineLevel="0" collapsed="false">
      <c r="A60" s="114" t="str">
        <f aca="false">المنيو!B60</f>
        <v>مكرونة كريسبي شيدر</v>
      </c>
      <c r="B60" s="115" t="n">
        <f aca="false">SUMIFS(الريسبي!$C$2:$C$1800,الريسبي!$A$2:$A$1800,$A60,الريسبي!$B$2:$B$1800,B$1)</f>
        <v>1</v>
      </c>
      <c r="C60" s="115" t="n">
        <f aca="false">SUMIFS(الريسبي!$C$2:$C$1800,الريسبي!$A$2:$A$1800,$A60,الريسبي!$B$2:$B$1800,C$1)</f>
        <v>0</v>
      </c>
      <c r="D60" s="115" t="n">
        <f aca="false">SUMIFS(الريسبي!$C$2:$C$1800,الريسبي!$A$2:$A$1800,$A60,الريسبي!$B$2:$B$1800,D$1)</f>
        <v>0</v>
      </c>
      <c r="E60" s="115" t="n">
        <f aca="false">SUMIFS(الريسبي!$C$2:$C$1800,الريسبي!$A$2:$A$1800,$A60,الريسبي!$B$2:$B$1800,E$1)</f>
        <v>1</v>
      </c>
      <c r="F60" s="115" t="n">
        <f aca="false">SUMIFS(الريسبي!$C$2:$C$1800,الريسبي!$A$2:$A$1800,$A60,الريسبي!$B$2:$B$1800,F$1)</f>
        <v>0</v>
      </c>
      <c r="G60" s="115" t="n">
        <f aca="false">SUMIFS(الريسبي!$C$2:$C$1800,الريسبي!$A$2:$A$1800,$A60,الريسبي!$B$2:$B$1800,G$1)</f>
        <v>0</v>
      </c>
      <c r="H60" s="115" t="n">
        <f aca="false">SUMIFS(الريسبي!$C$2:$C$1800,الريسبي!$A$2:$A$1800,$A60,الريسبي!$B$2:$B$1800,H$1)</f>
        <v>0</v>
      </c>
      <c r="I60" s="115" t="n">
        <f aca="false">SUMIFS(الريسبي!$C$2:$C$1800,الريسبي!$A$2:$A$1800,$A60,الريسبي!$B$2:$B$1800,I$1)</f>
        <v>0</v>
      </c>
      <c r="J60" s="115" t="n">
        <f aca="false">SUMIFS(الريسبي!$C$2:$C$1800,الريسبي!$A$2:$A$1800,$A60,الريسبي!$B$2:$B$1800,J$1)</f>
        <v>0</v>
      </c>
      <c r="K60" s="115" t="n">
        <f aca="false">SUMIFS(الريسبي!$C$2:$C$1800,الريسبي!$A$2:$A$1800,$A60,الريسبي!$B$2:$B$1800,K$1)</f>
        <v>0</v>
      </c>
      <c r="L60" s="115" t="n">
        <f aca="false">SUMIFS(الريسبي!$C$2:$C$1800,الريسبي!$A$2:$A$1800,$A60,الريسبي!$B$2:$B$1800,L$1)</f>
        <v>0</v>
      </c>
      <c r="M60" s="115" t="n">
        <f aca="false">SUMIFS(الريسبي!$C$2:$C$1800,الريسبي!$A$2:$A$1800,$A60,الريسبي!$B$2:$B$1800,M$1)</f>
        <v>0</v>
      </c>
      <c r="N60" s="115" t="n">
        <f aca="false">SUMIFS(الريسبي!$C$2:$C$1800,الريسبي!$A$2:$A$1800,$A60,الريسبي!$B$2:$B$1800,N$1)</f>
        <v>0</v>
      </c>
      <c r="O60" s="115" t="n">
        <f aca="false">SUMIFS(الريسبي!$C$2:$C$1800,الريسبي!$A$2:$A$1800,$A60,الريسبي!$B$2:$B$1800,O$1)</f>
        <v>0</v>
      </c>
      <c r="P60" s="115" t="n">
        <f aca="false">SUMIFS(الريسبي!$C$2:$C$1800,الريسبي!$A$2:$A$1800,$A60,الريسبي!$B$2:$B$1800,P$1)</f>
        <v>0</v>
      </c>
      <c r="Q60" s="115" t="n">
        <f aca="false">SUMIFS(الريسبي!$C$2:$C$1800,الريسبي!$A$2:$A$1800,$A60,الريسبي!$B$2:$B$1800,Q$1)</f>
        <v>1</v>
      </c>
      <c r="R60" s="115" t="n">
        <f aca="false">SUMIFS(الريسبي!$C$2:$C$1800,الريسبي!$A$2:$A$1800,$A60,الريسبي!$B$2:$B$1800,R$1)</f>
        <v>0</v>
      </c>
      <c r="S60" s="115" t="n">
        <f aca="false">SUMIFS(الريسبي!$C$2:$C$1800,الريسبي!$A$2:$A$1800,$A60,الريسبي!$B$2:$B$1800,S$1)</f>
        <v>0</v>
      </c>
      <c r="T60" s="115" t="n">
        <f aca="false">SUMIFS(الريسبي!$C$2:$C$1800,الريسبي!$A$2:$A$1800,$A60,الريسبي!$B$2:$B$1800,T$1)</f>
        <v>0</v>
      </c>
      <c r="U60" s="115" t="n">
        <f aca="false">SUMIFS(الريسبي!$C$2:$C$1800,الريسبي!$A$2:$A$1800,$A60,الريسبي!$B$2:$B$1800,U$1)</f>
        <v>0</v>
      </c>
      <c r="V60" s="115" t="n">
        <f aca="false">SUMIFS(الريسبي!$C$2:$C$1800,الريسبي!$A$2:$A$1800,$A60,الريسبي!$B$2:$B$1800,V$1)</f>
        <v>1</v>
      </c>
      <c r="W60" s="115" t="n">
        <f aca="false">SUMIFS(الريسبي!$C$2:$C$1800,الريسبي!$A$2:$A$1800,$A60,الريسبي!$B$2:$B$1800,W$1)</f>
        <v>0</v>
      </c>
      <c r="X60" s="115" t="n">
        <f aca="false">SUMIFS(الريسبي!$C$2:$C$1800,الريسبي!$A$2:$A$1800,$A60,الريسبي!$B$2:$B$1800,X$1)</f>
        <v>0</v>
      </c>
      <c r="Y60" s="115" t="n">
        <f aca="false">SUMIFS(الريسبي!$C$2:$C$1800,الريسبي!$A$2:$A$1800,$A60,الريسبي!$B$2:$B$1800,Y$1)</f>
        <v>0</v>
      </c>
      <c r="Z60" s="115" t="n">
        <f aca="false">SUMIFS(الريسبي!$C$2:$C$1800,الريسبي!$A$2:$A$1800,$A60,الريسبي!$B$2:$B$1800,Z$1)</f>
        <v>0</v>
      </c>
      <c r="AA60" s="115" t="n">
        <f aca="false">SUMIFS(الريسبي!$C$2:$C$1800,الريسبي!$A$2:$A$1800,$A60,الريسبي!$B$2:$B$1800,AA$1)</f>
        <v>0</v>
      </c>
      <c r="AB60" s="115" t="n">
        <f aca="false">SUMIFS(الريسبي!$C$2:$C$1800,الريسبي!$A$2:$A$1800,$A60,الريسبي!$B$2:$B$1800,AB$1)</f>
        <v>0</v>
      </c>
      <c r="AC60" s="115" t="n">
        <f aca="false">SUMIFS(الريسبي!$C$2:$C$1800,الريسبي!$A$2:$A$1800,$A60,الريسبي!$B$2:$B$1800,AC$1)</f>
        <v>0.2</v>
      </c>
      <c r="AD60" s="115" t="n">
        <f aca="false">SUMIFS(الريسبي!$C$2:$C$1800,الريسبي!$A$2:$A$1800,$A60,الريسبي!$B$2:$B$1800,AD$1)</f>
        <v>0</v>
      </c>
      <c r="AE60" s="115" t="n">
        <f aca="false">SUMIFS(الريسبي!$C$2:$C$1800,الريسبي!$A$2:$A$1800,$A60,الريسبي!$B$2:$B$1800,AE$1)</f>
        <v>0</v>
      </c>
      <c r="AF60" s="115" t="n">
        <f aca="false">SUMIFS(الريسبي!$C$2:$C$1800,الريسبي!$A$2:$A$1800,$A60,الريسبي!$B$2:$B$1800,AF$1)</f>
        <v>0</v>
      </c>
      <c r="AG60" s="115" t="n">
        <f aca="false">SUMIFS(الريسبي!$C$2:$C$1800,الريسبي!$A$2:$A$1800,$A60,الريسبي!$B$2:$B$1800,AG$1)</f>
        <v>0</v>
      </c>
      <c r="AH60" s="115" t="n">
        <f aca="false">SUMIFS(الريسبي!$C$2:$C$1800,الريسبي!$A$2:$A$1800,$A60,الريسبي!$B$2:$B$1800,AH$1)</f>
        <v>0</v>
      </c>
      <c r="AI60" s="115" t="n">
        <f aca="false">SUMIFS(الريسبي!$C$2:$C$1800,الريسبي!$A$2:$A$1800,$A60,الريسبي!$B$2:$B$1800,AI$1)</f>
        <v>0</v>
      </c>
      <c r="AJ60" s="115" t="n">
        <f aca="false">SUMIFS(الريسبي!$C$2:$C$1800,الريسبي!$A$2:$A$1800,$A60,الريسبي!$B$2:$B$1800,AJ$1)</f>
        <v>2</v>
      </c>
      <c r="AK60" s="115" t="n">
        <f aca="false">SUMIFS(الريسبي!$C$2:$C$1800,الريسبي!$A$2:$A$1800,$A60,الريسبي!$B$2:$B$1800,AK$1)</f>
        <v>0</v>
      </c>
      <c r="AL60" s="115" t="n">
        <f aca="false">SUMIFS(الريسبي!$C$2:$C$1800,الريسبي!$A$2:$A$1800,$A60,الريسبي!$B$2:$B$1800,AL$1)</f>
        <v>0</v>
      </c>
      <c r="AM60" s="115"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15"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15" t="n">
        <f aca="false">SUMIFS(الريسبي!$C$2:$C$1800,الريسبي!$A$2:$A$1800,$A60,الريسبي!$B$2:$B$1800,AO$1)</f>
        <v>0</v>
      </c>
      <c r="AP60" s="115" t="n">
        <f aca="false">SUMIFS(الريسبي!$C$2:$C$1800,الريسبي!$A$2:$A$1800,$A60,الريسبي!$B$2:$B$1800,AP$1)</f>
        <v>0</v>
      </c>
      <c r="AQ60" s="115"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15" t="n">
        <f aca="false">SUMIFS(الريسبي!$C$2:$C$1800,الريسبي!$A$2:$A$1800,$A60,الريسبي!$B$2:$B$1800,AR$1)</f>
        <v>0</v>
      </c>
      <c r="AS60" s="115" t="n">
        <f aca="false">SUMIFS(الريسبي!$C$2:$C$1800,الريسبي!$A$2:$A$1800,$A60,الريسبي!$B$2:$B$1800,AS$1)</f>
        <v>0</v>
      </c>
      <c r="AT60" s="115" t="n">
        <f aca="false">SUMIFS(الريسبي!$C$2:$C$1800,الريسبي!$A$2:$A$1800,$A60,الريسبي!$B$2:$B$1800,AT$1)</f>
        <v>0</v>
      </c>
      <c r="AU60" s="115" t="n">
        <f aca="false">SUMIFS(الريسبي!$C$2:$C$1800,الريسبي!$A$2:$A$1800,$A60,الريسبي!$B$2:$B$1800,AU$1)</f>
        <v>1</v>
      </c>
      <c r="AV60" s="115" t="n">
        <f aca="false">SUMIFS(الريسبي!$C$2:$C$1800,الريسبي!$A$2:$A$1800,$A60,الريسبي!$B$2:$B$1800,AV$1)</f>
        <v>0</v>
      </c>
      <c r="AW60" s="115" t="n">
        <f aca="false">SUMIFS(الريسبي!$C$2:$C$1800,الريسبي!$A$2:$A$1800,$A60,الريسبي!$B$2:$B$1800,AW$1)</f>
        <v>0</v>
      </c>
      <c r="AX60" s="115" t="n">
        <f aca="false">SUMIFS(الريسبي!$C$2:$C$1800,الريسبي!$A$2:$A$1800,$A60,الريسبي!$B$2:$B$1800,AX$1)</f>
        <v>0</v>
      </c>
      <c r="AY60" s="115" t="n">
        <f aca="false">SUMIFS(الريسبي!$C$2:$C$1800,الريسبي!$A$2:$A$1800,$A60,الريسبي!$B$2:$B$1800,AY$1)</f>
        <v>0</v>
      </c>
      <c r="AZ60" s="115" t="n">
        <f aca="false">SUMIFS(الريسبي!$C$2:$C$1800,الريسبي!$A$2:$A$1800,$A60,الريسبي!$B$2:$B$1800,AZ$1)</f>
        <v>0</v>
      </c>
      <c r="BA60" s="115" t="n">
        <f aca="false">SUMIFS(الريسبي!$C$2:$C$1800,الريسبي!$A$2:$A$1800,$A60,الريسبي!$B$2:$B$1800,BA$1)</f>
        <v>0</v>
      </c>
      <c r="BB60" s="115" t="n">
        <f aca="false">SUMIFS(الريسبي!$C$2:$C$1800,الريسبي!$A$2:$A$1800,$A60,الريسبي!$B$2:$B$1800,BB$1)</f>
        <v>0.1</v>
      </c>
      <c r="BC60" s="115" t="n">
        <f aca="false">SUMIFS(الريسبي!$C$2:$C$1800,الريسبي!$A$2:$A$1800,$A60,الريسبي!$B$2:$B$1800,BC$1)</f>
        <v>0</v>
      </c>
      <c r="BD60" s="115" t="n">
        <f aca="false">SUMIFS(الريسبي!$C$2:$C$1800,الريسبي!$A$2:$A$1800,$A60,الريسبي!$B$2:$B$1800,BD$1)</f>
        <v>0</v>
      </c>
      <c r="BE60" s="115" t="n">
        <f aca="false">SUMIFS(الريسبي!$C$2:$C$1800,الريسبي!$A$2:$A$1800,$A60,الريسبي!$B$2:$B$1800,BE$1)</f>
        <v>0</v>
      </c>
      <c r="BF60" s="115" t="n">
        <f aca="false">SUMIFS(الريسبي!$C$2:$C$1800,الريسبي!$A$2:$A$1800,$A60,الريسبي!$B$2:$B$1800,BF$1)</f>
        <v>0</v>
      </c>
      <c r="BG60" s="115" t="n">
        <f aca="false">SUMIFS(الريسبي!$C$2:$C$1800,الريسبي!$A$2:$A$1800,$A60,الريسبي!$B$2:$B$1800,BG$1)</f>
        <v>0</v>
      </c>
      <c r="BH60" s="115" t="n">
        <f aca="false">SUMIFS(الريسبي!$C$2:$C$1800,الريسبي!$A$2:$A$1800,$A60,الريسبي!$B$2:$B$1800,BH$1)</f>
        <v>0</v>
      </c>
      <c r="BI60" s="115" t="n">
        <f aca="false">SUMIFS(الريسبي!$C$2:$C$1800,الريسبي!$A$2:$A$1800,$A60,الريسبي!$B$2:$B$1800,BI$1)</f>
        <v>0</v>
      </c>
      <c r="BJ60" s="115" t="n">
        <f aca="false">SUMIFS(الريسبي!$C$2:$C$1800,الريسبي!$A$2:$A$1800,$A60,الريسبي!$B$2:$B$1800,BJ$1)</f>
        <v>0</v>
      </c>
      <c r="BK60" s="115" t="n">
        <f aca="false">SUMIFS(الريسبي!$C$2:$C$1800,الريسبي!$A$2:$A$1800,$A60,الريسبي!$B$2:$B$1800,BK$1)</f>
        <v>0</v>
      </c>
      <c r="BL60" s="115" t="n">
        <f aca="false">SUMIFS(الريسبي!$C$2:$C$1800,الريسبي!$A$2:$A$1800,$A60,الريسبي!$B$2:$B$1800,BL$1)</f>
        <v>0</v>
      </c>
      <c r="BM60" s="115" t="n">
        <f aca="false">SUMIFS(الريسبي!$C$2:$C$1800,الريسبي!$A$2:$A$1800,$A60,الريسبي!$B$2:$B$1800,BM$1)</f>
        <v>0</v>
      </c>
      <c r="BN60" s="115" t="n">
        <f aca="false">SUMIFS(الريسبي!$C$2:$C$1800,الريسبي!$A$2:$A$1800,$A60,الريسبي!$B$2:$B$1800,BN$1)</f>
        <v>0</v>
      </c>
      <c r="BO60" s="115" t="n">
        <f aca="false">SUMIFS(الريسبي!$C$2:$C$1800,الريسبي!$A$2:$A$1800,$A60,الريسبي!$B$2:$B$1800,BO$1)</f>
        <v>0</v>
      </c>
      <c r="BP60" s="115" t="n">
        <f aca="false">SUMIFS(الريسبي!$C$2:$C$1800,الريسبي!$A$2:$A$1800,$A60,الريسبي!$B$2:$B$1800,BP$1)</f>
        <v>2</v>
      </c>
      <c r="BQ60" s="115"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15" t="n">
        <f aca="false">SUMIFS(الريسبي!$C$2:$C$1800,الريسبي!$A$2:$A$1800,$A60,الريسبي!$B$2:$B$1800,BR$1)</f>
        <v>0</v>
      </c>
      <c r="BS60" s="115" t="n">
        <f aca="false">SUMIFS(الريسبي!$C$2:$C$1800,الريسبي!$A$2:$A$1800,$A60,الريسبي!$B$2:$B$1800,BS$1)</f>
        <v>0</v>
      </c>
      <c r="BT60" s="115" t="n">
        <f aca="false">SUMIFS(الريسبي!$C$2:$C$1800,الريسبي!$A$2:$A$1800,$A60,الريسبي!$B$2:$B$1800,BT$1)</f>
        <v>0</v>
      </c>
      <c r="BU60" s="115"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15" t="n">
        <f aca="false">SUMIFS(الريسبي!$C$2:$C$1800,الريسبي!$A$2:$A$1800,$A60,الريسبي!$B$2:$B$1800,BV$1)</f>
        <v>0</v>
      </c>
      <c r="BW60" s="115" t="n">
        <f aca="false">SUMIFS(الريسبي!$C$2:$C$1800,الريسبي!$A$2:$A$1800,$A60,الريسبي!$B$2:$B$1800,BW$1)</f>
        <v>0</v>
      </c>
      <c r="BX60" s="115" t="n">
        <f aca="false">SUMIFS(الريسبي!$C$2:$C$1800,الريسبي!$A$2:$A$1800,$A60,الريسبي!$B$2:$B$1800,BX$1)</f>
        <v>0.15</v>
      </c>
      <c r="BY60" s="115" t="n">
        <f aca="false">SUMIFS(الريسبي!$C$2:$C$1800,الريسبي!$A$2:$A$1800,$A60,الريسبي!$B$2:$B$1800,BY$1)</f>
        <v>0</v>
      </c>
      <c r="BZ60" s="115" t="n">
        <f aca="false">SUMIFS(الريسبي!$C$2:$C$1800,الريسبي!$A$2:$A$1800,$A60,الريسبي!$B$2:$B$1800,BZ$1)</f>
        <v>0</v>
      </c>
      <c r="CA60" s="115" t="n">
        <f aca="false">SUMIFS(الريسبي!$C$2:$C$1800,الريسبي!$A$2:$A$1800,$A60,الريسبي!$B$2:$B$1800,CA$1)</f>
        <v>0</v>
      </c>
      <c r="CB60" s="115" t="n">
        <f aca="false">SUMIFS(الريسبي!$C$2:$C$1800,الريسبي!$A$2:$A$1800,$A60,الريسبي!$B$2:$B$1800,CB$1)</f>
        <v>1</v>
      </c>
      <c r="CC60" s="115" t="n">
        <f aca="false">SUMIFS(الريسبي!$C$2:$C$1800,الريسبي!$A$2:$A$1800,$A60,الريسبي!$B$2:$B$1800,CC$1)</f>
        <v>0</v>
      </c>
      <c r="CD60" s="115" t="n">
        <f aca="false">SUMIFS(الريسبي!$C$2:$C$1800,الريسبي!$A$2:$A$1800,$A60,الريسبي!$B$2:$B$1800,CD$1)</f>
        <v>0</v>
      </c>
      <c r="CE60" s="115" t="n">
        <f aca="false">SUMIFS(الريسبي!$C$2:$C$1800,الريسبي!$A$2:$A$1800,$A60,الريسبي!$B$2:$B$1800,CE$1)</f>
        <v>0</v>
      </c>
      <c r="CF60" s="115" t="n">
        <f aca="false">SUMIFS(الريسبي!$C$2:$C$1800,الريسبي!$A$2:$A$1800,$A60,الريسبي!$B$2:$B$1800,CF$1)</f>
        <v>0</v>
      </c>
      <c r="CG60" s="115" t="n">
        <f aca="false">SUMIFS(الريسبي!$C$2:$C$1800,الريسبي!$A$2:$A$1800,$A60,الريسبي!$B$2:$B$1800,CG$1)</f>
        <v>0</v>
      </c>
      <c r="CH60" s="115" t="n">
        <f aca="false">SUMIFS(الريسبي!$C$2:$C$1800,الريسبي!$A$2:$A$1800,$A60,الريسبي!$B$2:$B$1800,CH$1)</f>
        <v>0</v>
      </c>
    </row>
    <row r="61" customFormat="false" ht="15" hidden="false" customHeight="false" outlineLevel="0" collapsed="false">
      <c r="A61" s="114" t="str">
        <f aca="false">المنيو!B61</f>
        <v>مكرونة كريسبي رانش</v>
      </c>
      <c r="B61" s="115" t="n">
        <f aca="false">SUMIFS(الريسبي!$C$2:$C$1800,الريسبي!$A$2:$A$1800,$A61,الريسبي!$B$2:$B$1800,B$1)</f>
        <v>1</v>
      </c>
      <c r="C61" s="115" t="n">
        <f aca="false">SUMIFS(الريسبي!$C$2:$C$1800,الريسبي!$A$2:$A$1800,$A61,الريسبي!$B$2:$B$1800,C$1)</f>
        <v>0</v>
      </c>
      <c r="D61" s="115" t="n">
        <f aca="false">SUMIFS(الريسبي!$C$2:$C$1800,الريسبي!$A$2:$A$1800,$A61,الريسبي!$B$2:$B$1800,D$1)</f>
        <v>0</v>
      </c>
      <c r="E61" s="115" t="n">
        <f aca="false">SUMIFS(الريسبي!$C$2:$C$1800,الريسبي!$A$2:$A$1800,$A61,الريسبي!$B$2:$B$1800,E$1)</f>
        <v>1</v>
      </c>
      <c r="F61" s="115" t="n">
        <f aca="false">SUMIFS(الريسبي!$C$2:$C$1800,الريسبي!$A$2:$A$1800,$A61,الريسبي!$B$2:$B$1800,F$1)</f>
        <v>0</v>
      </c>
      <c r="G61" s="115" t="n">
        <f aca="false">SUMIFS(الريسبي!$C$2:$C$1800,الريسبي!$A$2:$A$1800,$A61,الريسبي!$B$2:$B$1800,G$1)</f>
        <v>0</v>
      </c>
      <c r="H61" s="115" t="n">
        <f aca="false">SUMIFS(الريسبي!$C$2:$C$1800,الريسبي!$A$2:$A$1800,$A61,الريسبي!$B$2:$B$1800,H$1)</f>
        <v>0</v>
      </c>
      <c r="I61" s="115" t="n">
        <f aca="false">SUMIFS(الريسبي!$C$2:$C$1800,الريسبي!$A$2:$A$1800,$A61,الريسبي!$B$2:$B$1800,I$1)</f>
        <v>0</v>
      </c>
      <c r="J61" s="115" t="n">
        <f aca="false">SUMIFS(الريسبي!$C$2:$C$1800,الريسبي!$A$2:$A$1800,$A61,الريسبي!$B$2:$B$1800,J$1)</f>
        <v>0</v>
      </c>
      <c r="K61" s="115" t="n">
        <f aca="false">SUMIFS(الريسبي!$C$2:$C$1800,الريسبي!$A$2:$A$1800,$A61,الريسبي!$B$2:$B$1800,K$1)</f>
        <v>0</v>
      </c>
      <c r="L61" s="115" t="n">
        <f aca="false">SUMIFS(الريسبي!$C$2:$C$1800,الريسبي!$A$2:$A$1800,$A61,الريسبي!$B$2:$B$1800,L$1)</f>
        <v>0</v>
      </c>
      <c r="M61" s="115" t="n">
        <f aca="false">SUMIFS(الريسبي!$C$2:$C$1800,الريسبي!$A$2:$A$1800,$A61,الريسبي!$B$2:$B$1800,M$1)</f>
        <v>0</v>
      </c>
      <c r="N61" s="115" t="n">
        <f aca="false">SUMIFS(الريسبي!$C$2:$C$1800,الريسبي!$A$2:$A$1800,$A61,الريسبي!$B$2:$B$1800,N$1)</f>
        <v>0</v>
      </c>
      <c r="O61" s="115" t="n">
        <f aca="false">SUMIFS(الريسبي!$C$2:$C$1800,الريسبي!$A$2:$A$1800,$A61,الريسبي!$B$2:$B$1800,O$1)</f>
        <v>0</v>
      </c>
      <c r="P61" s="115" t="n">
        <f aca="false">SUMIFS(الريسبي!$C$2:$C$1800,الريسبي!$A$2:$A$1800,$A61,الريسبي!$B$2:$B$1800,P$1)</f>
        <v>0</v>
      </c>
      <c r="Q61" s="115" t="n">
        <f aca="false">SUMIFS(الريسبي!$C$2:$C$1800,الريسبي!$A$2:$A$1800,$A61,الريسبي!$B$2:$B$1800,Q$1)</f>
        <v>1</v>
      </c>
      <c r="R61" s="115" t="n">
        <f aca="false">SUMIFS(الريسبي!$C$2:$C$1800,الريسبي!$A$2:$A$1800,$A61,الريسبي!$B$2:$B$1800,R$1)</f>
        <v>0</v>
      </c>
      <c r="S61" s="115" t="n">
        <f aca="false">SUMIFS(الريسبي!$C$2:$C$1800,الريسبي!$A$2:$A$1800,$A61,الريسبي!$B$2:$B$1800,S$1)</f>
        <v>0</v>
      </c>
      <c r="T61" s="115" t="n">
        <f aca="false">SUMIFS(الريسبي!$C$2:$C$1800,الريسبي!$A$2:$A$1800,$A61,الريسبي!$B$2:$B$1800,T$1)</f>
        <v>0</v>
      </c>
      <c r="U61" s="115" t="n">
        <f aca="false">SUMIFS(الريسبي!$C$2:$C$1800,الريسبي!$A$2:$A$1800,$A61,الريسبي!$B$2:$B$1800,U$1)</f>
        <v>0</v>
      </c>
      <c r="V61" s="115" t="n">
        <f aca="false">SUMIFS(الريسبي!$C$2:$C$1800,الريسبي!$A$2:$A$1800,$A61,الريسبي!$B$2:$B$1800,V$1)</f>
        <v>1</v>
      </c>
      <c r="W61" s="115" t="n">
        <f aca="false">SUMIFS(الريسبي!$C$2:$C$1800,الريسبي!$A$2:$A$1800,$A61,الريسبي!$B$2:$B$1800,W$1)</f>
        <v>0</v>
      </c>
      <c r="X61" s="115" t="n">
        <f aca="false">SUMIFS(الريسبي!$C$2:$C$1800,الريسبي!$A$2:$A$1800,$A61,الريسبي!$B$2:$B$1800,X$1)</f>
        <v>0</v>
      </c>
      <c r="Y61" s="115" t="n">
        <f aca="false">SUMIFS(الريسبي!$C$2:$C$1800,الريسبي!$A$2:$A$1800,$A61,الريسبي!$B$2:$B$1800,Y$1)</f>
        <v>0</v>
      </c>
      <c r="Z61" s="115" t="n">
        <f aca="false">SUMIFS(الريسبي!$C$2:$C$1800,الريسبي!$A$2:$A$1800,$A61,الريسبي!$B$2:$B$1800,Z$1)</f>
        <v>0</v>
      </c>
      <c r="AA61" s="115" t="n">
        <f aca="false">SUMIFS(الريسبي!$C$2:$C$1800,الريسبي!$A$2:$A$1800,$A61,الريسبي!$B$2:$B$1800,AA$1)</f>
        <v>0</v>
      </c>
      <c r="AB61" s="115" t="n">
        <f aca="false">SUMIFS(الريسبي!$C$2:$C$1800,الريسبي!$A$2:$A$1800,$A61,الريسبي!$B$2:$B$1800,AB$1)</f>
        <v>0</v>
      </c>
      <c r="AC61" s="115" t="n">
        <f aca="false">SUMIFS(الريسبي!$C$2:$C$1800,الريسبي!$A$2:$A$1800,$A61,الريسبي!$B$2:$B$1800,AC$1)</f>
        <v>0.2</v>
      </c>
      <c r="AD61" s="115" t="n">
        <f aca="false">SUMIFS(الريسبي!$C$2:$C$1800,الريسبي!$A$2:$A$1800,$A61,الريسبي!$B$2:$B$1800,AD$1)</f>
        <v>0</v>
      </c>
      <c r="AE61" s="115" t="n">
        <f aca="false">SUMIFS(الريسبي!$C$2:$C$1800,الريسبي!$A$2:$A$1800,$A61,الريسبي!$B$2:$B$1800,AE$1)</f>
        <v>0</v>
      </c>
      <c r="AF61" s="115" t="n">
        <f aca="false">SUMIFS(الريسبي!$C$2:$C$1800,الريسبي!$A$2:$A$1800,$A61,الريسبي!$B$2:$B$1800,AF$1)</f>
        <v>0</v>
      </c>
      <c r="AG61" s="115" t="n">
        <f aca="false">SUMIFS(الريسبي!$C$2:$C$1800,الريسبي!$A$2:$A$1800,$A61,الريسبي!$B$2:$B$1800,AG$1)</f>
        <v>0</v>
      </c>
      <c r="AH61" s="115" t="n">
        <f aca="false">SUMIFS(الريسبي!$C$2:$C$1800,الريسبي!$A$2:$A$1800,$A61,الريسبي!$B$2:$B$1800,AH$1)</f>
        <v>0</v>
      </c>
      <c r="AI61" s="115" t="n">
        <f aca="false">SUMIFS(الريسبي!$C$2:$C$1800,الريسبي!$A$2:$A$1800,$A61,الريسبي!$B$2:$B$1800,AI$1)</f>
        <v>0</v>
      </c>
      <c r="AJ61" s="115" t="n">
        <f aca="false">SUMIFS(الريسبي!$C$2:$C$1800,الريسبي!$A$2:$A$1800,$A61,الريسبي!$B$2:$B$1800,AJ$1)</f>
        <v>2</v>
      </c>
      <c r="AK61" s="115" t="n">
        <f aca="false">SUMIFS(الريسبي!$C$2:$C$1800,الريسبي!$A$2:$A$1800,$A61,الريسبي!$B$2:$B$1800,AK$1)</f>
        <v>0</v>
      </c>
      <c r="AL61" s="115" t="n">
        <f aca="false">SUMIFS(الريسبي!$C$2:$C$1800,الريسبي!$A$2:$A$1800,$A61,الريسبي!$B$2:$B$1800,AL$1)</f>
        <v>0</v>
      </c>
      <c r="AM61" s="115"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15"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15" t="n">
        <f aca="false">SUMIFS(الريسبي!$C$2:$C$1800,الريسبي!$A$2:$A$1800,$A61,الريسبي!$B$2:$B$1800,AO$1)</f>
        <v>0</v>
      </c>
      <c r="AP61" s="115" t="n">
        <f aca="false">SUMIFS(الريسبي!$C$2:$C$1800,الريسبي!$A$2:$A$1800,$A61,الريسبي!$B$2:$B$1800,AP$1)</f>
        <v>0</v>
      </c>
      <c r="AQ61" s="115"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15" t="n">
        <f aca="false">SUMIFS(الريسبي!$C$2:$C$1800,الريسبي!$A$2:$A$1800,$A61,الريسبي!$B$2:$B$1800,AR$1)</f>
        <v>0</v>
      </c>
      <c r="AS61" s="115" t="n">
        <f aca="false">SUMIFS(الريسبي!$C$2:$C$1800,الريسبي!$A$2:$A$1800,$A61,الريسبي!$B$2:$B$1800,AS$1)</f>
        <v>0</v>
      </c>
      <c r="AT61" s="115" t="n">
        <f aca="false">SUMIFS(الريسبي!$C$2:$C$1800,الريسبي!$A$2:$A$1800,$A61,الريسبي!$B$2:$B$1800,AT$1)</f>
        <v>0</v>
      </c>
      <c r="AU61" s="115" t="n">
        <f aca="false">SUMIFS(الريسبي!$C$2:$C$1800,الريسبي!$A$2:$A$1800,$A61,الريسبي!$B$2:$B$1800,AU$1)</f>
        <v>1</v>
      </c>
      <c r="AV61" s="115" t="n">
        <f aca="false">SUMIFS(الريسبي!$C$2:$C$1800,الريسبي!$A$2:$A$1800,$A61,الريسبي!$B$2:$B$1800,AV$1)</f>
        <v>0</v>
      </c>
      <c r="AW61" s="115" t="n">
        <f aca="false">SUMIFS(الريسبي!$C$2:$C$1800,الريسبي!$A$2:$A$1800,$A61,الريسبي!$B$2:$B$1800,AW$1)</f>
        <v>0</v>
      </c>
      <c r="AX61" s="115" t="n">
        <f aca="false">SUMIFS(الريسبي!$C$2:$C$1800,الريسبي!$A$2:$A$1800,$A61,الريسبي!$B$2:$B$1800,AX$1)</f>
        <v>0</v>
      </c>
      <c r="AY61" s="115" t="n">
        <f aca="false">SUMIFS(الريسبي!$C$2:$C$1800,الريسبي!$A$2:$A$1800,$A61,الريسبي!$B$2:$B$1800,AY$1)</f>
        <v>0</v>
      </c>
      <c r="AZ61" s="115" t="n">
        <f aca="false">SUMIFS(الريسبي!$C$2:$C$1800,الريسبي!$A$2:$A$1800,$A61,الريسبي!$B$2:$B$1800,AZ$1)</f>
        <v>0</v>
      </c>
      <c r="BA61" s="115" t="n">
        <f aca="false">SUMIFS(الريسبي!$C$2:$C$1800,الريسبي!$A$2:$A$1800,$A61,الريسبي!$B$2:$B$1800,BA$1)</f>
        <v>0.1</v>
      </c>
      <c r="BB61" s="115" t="n">
        <f aca="false">SUMIFS(الريسبي!$C$2:$C$1800,الريسبي!$A$2:$A$1800,$A61,الريسبي!$B$2:$B$1800,BB$1)</f>
        <v>0</v>
      </c>
      <c r="BC61" s="115" t="n">
        <f aca="false">SUMIFS(الريسبي!$C$2:$C$1800,الريسبي!$A$2:$A$1800,$A61,الريسبي!$B$2:$B$1800,BC$1)</f>
        <v>0</v>
      </c>
      <c r="BD61" s="115" t="n">
        <f aca="false">SUMIFS(الريسبي!$C$2:$C$1800,الريسبي!$A$2:$A$1800,$A61,الريسبي!$B$2:$B$1800,BD$1)</f>
        <v>0</v>
      </c>
      <c r="BE61" s="115" t="n">
        <f aca="false">SUMIFS(الريسبي!$C$2:$C$1800,الريسبي!$A$2:$A$1800,$A61,الريسبي!$B$2:$B$1800,BE$1)</f>
        <v>0</v>
      </c>
      <c r="BF61" s="115" t="n">
        <f aca="false">SUMIFS(الريسبي!$C$2:$C$1800,الريسبي!$A$2:$A$1800,$A61,الريسبي!$B$2:$B$1800,BF$1)</f>
        <v>0</v>
      </c>
      <c r="BG61" s="115" t="n">
        <f aca="false">SUMIFS(الريسبي!$C$2:$C$1800,الريسبي!$A$2:$A$1800,$A61,الريسبي!$B$2:$B$1800,BG$1)</f>
        <v>0</v>
      </c>
      <c r="BH61" s="115" t="n">
        <f aca="false">SUMIFS(الريسبي!$C$2:$C$1800,الريسبي!$A$2:$A$1800,$A61,الريسبي!$B$2:$B$1800,BH$1)</f>
        <v>0</v>
      </c>
      <c r="BI61" s="115" t="n">
        <f aca="false">SUMIFS(الريسبي!$C$2:$C$1800,الريسبي!$A$2:$A$1800,$A61,الريسبي!$B$2:$B$1800,BI$1)</f>
        <v>0</v>
      </c>
      <c r="BJ61" s="115" t="n">
        <f aca="false">SUMIFS(الريسبي!$C$2:$C$1800,الريسبي!$A$2:$A$1800,$A61,الريسبي!$B$2:$B$1800,BJ$1)</f>
        <v>0</v>
      </c>
      <c r="BK61" s="115" t="n">
        <f aca="false">SUMIFS(الريسبي!$C$2:$C$1800,الريسبي!$A$2:$A$1800,$A61,الريسبي!$B$2:$B$1800,BK$1)</f>
        <v>0</v>
      </c>
      <c r="BL61" s="115" t="n">
        <f aca="false">SUMIFS(الريسبي!$C$2:$C$1800,الريسبي!$A$2:$A$1800,$A61,الريسبي!$B$2:$B$1800,BL$1)</f>
        <v>0</v>
      </c>
      <c r="BM61" s="115" t="n">
        <f aca="false">SUMIFS(الريسبي!$C$2:$C$1800,الريسبي!$A$2:$A$1800,$A61,الريسبي!$B$2:$B$1800,BM$1)</f>
        <v>0</v>
      </c>
      <c r="BN61" s="115" t="n">
        <f aca="false">SUMIFS(الريسبي!$C$2:$C$1800,الريسبي!$A$2:$A$1800,$A61,الريسبي!$B$2:$B$1800,BN$1)</f>
        <v>0</v>
      </c>
      <c r="BO61" s="115" t="n">
        <f aca="false">SUMIFS(الريسبي!$C$2:$C$1800,الريسبي!$A$2:$A$1800,$A61,الريسبي!$B$2:$B$1800,BO$1)</f>
        <v>0</v>
      </c>
      <c r="BP61" s="115" t="n">
        <f aca="false">SUMIFS(الريسبي!$C$2:$C$1800,الريسبي!$A$2:$A$1800,$A61,الريسبي!$B$2:$B$1800,BP$1)</f>
        <v>2</v>
      </c>
      <c r="BQ61" s="115"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15" t="n">
        <f aca="false">SUMIFS(الريسبي!$C$2:$C$1800,الريسبي!$A$2:$A$1800,$A61,الريسبي!$B$2:$B$1800,BR$1)</f>
        <v>0</v>
      </c>
      <c r="BS61" s="115" t="n">
        <f aca="false">SUMIFS(الريسبي!$C$2:$C$1800,الريسبي!$A$2:$A$1800,$A61,الريسبي!$B$2:$B$1800,BS$1)</f>
        <v>0</v>
      </c>
      <c r="BT61" s="115" t="n">
        <f aca="false">SUMIFS(الريسبي!$C$2:$C$1800,الريسبي!$A$2:$A$1800,$A61,الريسبي!$B$2:$B$1800,BT$1)</f>
        <v>0</v>
      </c>
      <c r="BU61" s="115"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15" t="n">
        <f aca="false">SUMIFS(الريسبي!$C$2:$C$1800,الريسبي!$A$2:$A$1800,$A61,الريسبي!$B$2:$B$1800,BV$1)</f>
        <v>0</v>
      </c>
      <c r="BW61" s="115" t="n">
        <f aca="false">SUMIFS(الريسبي!$C$2:$C$1800,الريسبي!$A$2:$A$1800,$A61,الريسبي!$B$2:$B$1800,BW$1)</f>
        <v>0</v>
      </c>
      <c r="BX61" s="115" t="n">
        <f aca="false">SUMIFS(الريسبي!$C$2:$C$1800,الريسبي!$A$2:$A$1800,$A61,الريسبي!$B$2:$B$1800,BX$1)</f>
        <v>0.15</v>
      </c>
      <c r="BY61" s="115" t="n">
        <f aca="false">SUMIFS(الريسبي!$C$2:$C$1800,الريسبي!$A$2:$A$1800,$A61,الريسبي!$B$2:$B$1800,BY$1)</f>
        <v>0</v>
      </c>
      <c r="BZ61" s="115" t="n">
        <f aca="false">SUMIFS(الريسبي!$C$2:$C$1800,الريسبي!$A$2:$A$1800,$A61,الريسبي!$B$2:$B$1800,BZ$1)</f>
        <v>0</v>
      </c>
      <c r="CA61" s="115" t="n">
        <f aca="false">SUMIFS(الريسبي!$C$2:$C$1800,الريسبي!$A$2:$A$1800,$A61,الريسبي!$B$2:$B$1800,CA$1)</f>
        <v>0</v>
      </c>
      <c r="CB61" s="115" t="n">
        <f aca="false">SUMIFS(الريسبي!$C$2:$C$1800,الريسبي!$A$2:$A$1800,$A61,الريسبي!$B$2:$B$1800,CB$1)</f>
        <v>1</v>
      </c>
      <c r="CC61" s="115" t="n">
        <f aca="false">SUMIFS(الريسبي!$C$2:$C$1800,الريسبي!$A$2:$A$1800,$A61,الريسبي!$B$2:$B$1800,CC$1)</f>
        <v>0</v>
      </c>
      <c r="CD61" s="115" t="n">
        <f aca="false">SUMIFS(الريسبي!$C$2:$C$1800,الريسبي!$A$2:$A$1800,$A61,الريسبي!$B$2:$B$1800,CD$1)</f>
        <v>0</v>
      </c>
      <c r="CE61" s="115" t="n">
        <f aca="false">SUMIFS(الريسبي!$C$2:$C$1800,الريسبي!$A$2:$A$1800,$A61,الريسبي!$B$2:$B$1800,CE$1)</f>
        <v>0</v>
      </c>
      <c r="CF61" s="115" t="n">
        <f aca="false">SUMIFS(الريسبي!$C$2:$C$1800,الريسبي!$A$2:$A$1800,$A61,الريسبي!$B$2:$B$1800,CF$1)</f>
        <v>0</v>
      </c>
      <c r="CG61" s="115" t="n">
        <f aca="false">SUMIFS(الريسبي!$C$2:$C$1800,الريسبي!$A$2:$A$1800,$A61,الريسبي!$B$2:$B$1800,CG$1)</f>
        <v>0</v>
      </c>
      <c r="CH61" s="115" t="n">
        <f aca="false">SUMIFS(الريسبي!$C$2:$C$1800,الريسبي!$A$2:$A$1800,$A61,الريسبي!$B$2:$B$1800,CH$1)</f>
        <v>0</v>
      </c>
    </row>
    <row r="62" customFormat="false" ht="15" hidden="false" customHeight="false" outlineLevel="0" collapsed="false">
      <c r="A62" s="114" t="str">
        <f aca="false">المنيو!B62</f>
        <v>مكرونة جمبري</v>
      </c>
      <c r="B62" s="115" t="n">
        <f aca="false">SUMIFS(الريسبي!$C$2:$C$1800,الريسبي!$A$2:$A$1800,$A62,الريسبي!$B$2:$B$1800,B$1)</f>
        <v>1</v>
      </c>
      <c r="C62" s="115" t="n">
        <f aca="false">SUMIFS(الريسبي!$C$2:$C$1800,الريسبي!$A$2:$A$1800,$A62,الريسبي!$B$2:$B$1800,C$1)</f>
        <v>0</v>
      </c>
      <c r="D62" s="115" t="n">
        <f aca="false">SUMIFS(الريسبي!$C$2:$C$1800,الريسبي!$A$2:$A$1800,$A62,الريسبي!$B$2:$B$1800,D$1)</f>
        <v>0</v>
      </c>
      <c r="E62" s="115" t="n">
        <f aca="false">SUMIFS(الريسبي!$C$2:$C$1800,الريسبي!$A$2:$A$1800,$A62,الريسبي!$B$2:$B$1800,E$1)</f>
        <v>1</v>
      </c>
      <c r="F62" s="115" t="n">
        <f aca="false">SUMIFS(الريسبي!$C$2:$C$1800,الريسبي!$A$2:$A$1800,$A62,الريسبي!$B$2:$B$1800,F$1)</f>
        <v>0</v>
      </c>
      <c r="G62" s="115" t="n">
        <f aca="false">SUMIFS(الريسبي!$C$2:$C$1800,الريسبي!$A$2:$A$1800,$A62,الريسبي!$B$2:$B$1800,G$1)</f>
        <v>0</v>
      </c>
      <c r="H62" s="115" t="n">
        <f aca="false">SUMIFS(الريسبي!$C$2:$C$1800,الريسبي!$A$2:$A$1800,$A62,الريسبي!$B$2:$B$1800,H$1)</f>
        <v>0</v>
      </c>
      <c r="I62" s="115" t="n">
        <f aca="false">SUMIFS(الريسبي!$C$2:$C$1800,الريسبي!$A$2:$A$1800,$A62,الريسبي!$B$2:$B$1800,I$1)</f>
        <v>0</v>
      </c>
      <c r="J62" s="115" t="n">
        <f aca="false">SUMIFS(الريسبي!$C$2:$C$1800,الريسبي!$A$2:$A$1800,$A62,الريسبي!$B$2:$B$1800,J$1)</f>
        <v>0</v>
      </c>
      <c r="K62" s="115" t="n">
        <f aca="false">SUMIFS(الريسبي!$C$2:$C$1800,الريسبي!$A$2:$A$1800,$A62,الريسبي!$B$2:$B$1800,K$1)</f>
        <v>1</v>
      </c>
      <c r="L62" s="115" t="n">
        <f aca="false">SUMIFS(الريسبي!$C$2:$C$1800,الريسبي!$A$2:$A$1800,$A62,الريسبي!$B$2:$B$1800,L$1)</f>
        <v>0</v>
      </c>
      <c r="M62" s="115" t="n">
        <f aca="false">SUMIFS(الريسبي!$C$2:$C$1800,الريسبي!$A$2:$A$1800,$A62,الريسبي!$B$2:$B$1800,M$1)</f>
        <v>0</v>
      </c>
      <c r="N62" s="115" t="n">
        <f aca="false">SUMIFS(الريسبي!$C$2:$C$1800,الريسبي!$A$2:$A$1800,$A62,الريسبي!$B$2:$B$1800,N$1)</f>
        <v>0</v>
      </c>
      <c r="O62" s="115" t="n">
        <f aca="false">SUMIFS(الريسبي!$C$2:$C$1800,الريسبي!$A$2:$A$1800,$A62,الريسبي!$B$2:$B$1800,O$1)</f>
        <v>0</v>
      </c>
      <c r="P62" s="115" t="n">
        <f aca="false">SUMIFS(الريسبي!$C$2:$C$1800,الريسبي!$A$2:$A$1800,$A62,الريسبي!$B$2:$B$1800,P$1)</f>
        <v>0</v>
      </c>
      <c r="Q62" s="115" t="n">
        <f aca="false">SUMIFS(الريسبي!$C$2:$C$1800,الريسبي!$A$2:$A$1800,$A62,الريسبي!$B$2:$B$1800,Q$1)</f>
        <v>0</v>
      </c>
      <c r="R62" s="115" t="n">
        <f aca="false">SUMIFS(الريسبي!$C$2:$C$1800,الريسبي!$A$2:$A$1800,$A62,الريسبي!$B$2:$B$1800,R$1)</f>
        <v>0</v>
      </c>
      <c r="S62" s="115" t="n">
        <f aca="false">SUMIFS(الريسبي!$C$2:$C$1800,الريسبي!$A$2:$A$1800,$A62,الريسبي!$B$2:$B$1800,S$1)</f>
        <v>0</v>
      </c>
      <c r="T62" s="115" t="n">
        <f aca="false">SUMIFS(الريسبي!$C$2:$C$1800,الريسبي!$A$2:$A$1800,$A62,الريسبي!$B$2:$B$1800,T$1)</f>
        <v>0</v>
      </c>
      <c r="U62" s="115" t="n">
        <f aca="false">SUMIFS(الريسبي!$C$2:$C$1800,الريسبي!$A$2:$A$1800,$A62,الريسبي!$B$2:$B$1800,U$1)</f>
        <v>0</v>
      </c>
      <c r="V62" s="115" t="n">
        <f aca="false">SUMIFS(الريسبي!$C$2:$C$1800,الريسبي!$A$2:$A$1800,$A62,الريسبي!$B$2:$B$1800,V$1)</f>
        <v>1</v>
      </c>
      <c r="W62" s="115" t="n">
        <f aca="false">SUMIFS(الريسبي!$C$2:$C$1800,الريسبي!$A$2:$A$1800,$A62,الريسبي!$B$2:$B$1800,W$1)</f>
        <v>0</v>
      </c>
      <c r="X62" s="115" t="n">
        <f aca="false">SUMIFS(الريسبي!$C$2:$C$1800,الريسبي!$A$2:$A$1800,$A62,الريسبي!$B$2:$B$1800,X$1)</f>
        <v>0</v>
      </c>
      <c r="Y62" s="115" t="n">
        <f aca="false">SUMIFS(الريسبي!$C$2:$C$1800,الريسبي!$A$2:$A$1800,$A62,الريسبي!$B$2:$B$1800,Y$1)</f>
        <v>0</v>
      </c>
      <c r="Z62" s="115" t="n">
        <f aca="false">SUMIFS(الريسبي!$C$2:$C$1800,الريسبي!$A$2:$A$1800,$A62,الريسبي!$B$2:$B$1800,Z$1)</f>
        <v>0</v>
      </c>
      <c r="AA62" s="115" t="n">
        <f aca="false">SUMIFS(الريسبي!$C$2:$C$1800,الريسبي!$A$2:$A$1800,$A62,الريسبي!$B$2:$B$1800,AA$1)</f>
        <v>0</v>
      </c>
      <c r="AB62" s="115" t="n">
        <f aca="false">SUMIFS(الريسبي!$C$2:$C$1800,الريسبي!$A$2:$A$1800,$A62,الريسبي!$B$2:$B$1800,AB$1)</f>
        <v>0</v>
      </c>
      <c r="AC62" s="115" t="n">
        <f aca="false">SUMIFS(الريسبي!$C$2:$C$1800,الريسبي!$A$2:$A$1800,$A62,الريسبي!$B$2:$B$1800,AC$1)</f>
        <v>0.2</v>
      </c>
      <c r="AD62" s="115" t="n">
        <f aca="false">SUMIFS(الريسبي!$C$2:$C$1800,الريسبي!$A$2:$A$1800,$A62,الريسبي!$B$2:$B$1800,AD$1)</f>
        <v>0</v>
      </c>
      <c r="AE62" s="115" t="n">
        <f aca="false">SUMIFS(الريسبي!$C$2:$C$1800,الريسبي!$A$2:$A$1800,$A62,الريسبي!$B$2:$B$1800,AE$1)</f>
        <v>0</v>
      </c>
      <c r="AF62" s="115" t="n">
        <f aca="false">SUMIFS(الريسبي!$C$2:$C$1800,الريسبي!$A$2:$A$1800,$A62,الريسبي!$B$2:$B$1800,AF$1)</f>
        <v>0</v>
      </c>
      <c r="AG62" s="115" t="n">
        <f aca="false">SUMIFS(الريسبي!$C$2:$C$1800,الريسبي!$A$2:$A$1800,$A62,الريسبي!$B$2:$B$1800,AG$1)</f>
        <v>0</v>
      </c>
      <c r="AH62" s="115" t="n">
        <f aca="false">SUMIFS(الريسبي!$C$2:$C$1800,الريسبي!$A$2:$A$1800,$A62,الريسبي!$B$2:$B$1800,AH$1)</f>
        <v>0</v>
      </c>
      <c r="AI62" s="115" t="n">
        <f aca="false">SUMIFS(الريسبي!$C$2:$C$1800,الريسبي!$A$2:$A$1800,$A62,الريسبي!$B$2:$B$1800,AI$1)</f>
        <v>0</v>
      </c>
      <c r="AJ62" s="115" t="n">
        <f aca="false">SUMIFS(الريسبي!$C$2:$C$1800,الريسبي!$A$2:$A$1800,$A62,الريسبي!$B$2:$B$1800,AJ$1)</f>
        <v>2</v>
      </c>
      <c r="AK62" s="115" t="n">
        <f aca="false">SUMIFS(الريسبي!$C$2:$C$1800,الريسبي!$A$2:$A$1800,$A62,الريسبي!$B$2:$B$1800,AK$1)</f>
        <v>0</v>
      </c>
      <c r="AL62" s="115" t="n">
        <f aca="false">SUMIFS(الريسبي!$C$2:$C$1800,الريسبي!$A$2:$A$1800,$A62,الريسبي!$B$2:$B$1800,AL$1)</f>
        <v>0</v>
      </c>
      <c r="AM62" s="115"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15"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15" t="n">
        <f aca="false">SUMIFS(الريسبي!$C$2:$C$1800,الريسبي!$A$2:$A$1800,$A62,الريسبي!$B$2:$B$1800,AO$1)</f>
        <v>0</v>
      </c>
      <c r="AP62" s="115" t="n">
        <f aca="false">SUMIFS(الريسبي!$C$2:$C$1800,الريسبي!$A$2:$A$1800,$A62,الريسبي!$B$2:$B$1800,AP$1)</f>
        <v>0</v>
      </c>
      <c r="AQ62" s="115"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15" t="n">
        <f aca="false">SUMIFS(الريسبي!$C$2:$C$1800,الريسبي!$A$2:$A$1800,$A62,الريسبي!$B$2:$B$1800,AR$1)</f>
        <v>0</v>
      </c>
      <c r="AS62" s="115" t="n">
        <f aca="false">SUMIFS(الريسبي!$C$2:$C$1800,الريسبي!$A$2:$A$1800,$A62,الريسبي!$B$2:$B$1800,AS$1)</f>
        <v>0</v>
      </c>
      <c r="AT62" s="115" t="n">
        <f aca="false">SUMIFS(الريسبي!$C$2:$C$1800,الريسبي!$A$2:$A$1800,$A62,الريسبي!$B$2:$B$1800,AT$1)</f>
        <v>0</v>
      </c>
      <c r="AU62" s="115" t="n">
        <f aca="false">SUMIFS(الريسبي!$C$2:$C$1800,الريسبي!$A$2:$A$1800,$A62,الريسبي!$B$2:$B$1800,AU$1)</f>
        <v>1</v>
      </c>
      <c r="AV62" s="115" t="n">
        <f aca="false">SUMIFS(الريسبي!$C$2:$C$1800,الريسبي!$A$2:$A$1800,$A62,الريسبي!$B$2:$B$1800,AV$1)</f>
        <v>0</v>
      </c>
      <c r="AW62" s="115" t="n">
        <f aca="false">SUMIFS(الريسبي!$C$2:$C$1800,الريسبي!$A$2:$A$1800,$A62,الريسبي!$B$2:$B$1800,AW$1)</f>
        <v>0</v>
      </c>
      <c r="AX62" s="115" t="n">
        <f aca="false">SUMIFS(الريسبي!$C$2:$C$1800,الريسبي!$A$2:$A$1800,$A62,الريسبي!$B$2:$B$1800,AX$1)</f>
        <v>0</v>
      </c>
      <c r="AY62" s="115" t="n">
        <f aca="false">SUMIFS(الريسبي!$C$2:$C$1800,الريسبي!$A$2:$A$1800,$A62,الريسبي!$B$2:$B$1800,AY$1)</f>
        <v>0</v>
      </c>
      <c r="AZ62" s="115" t="n">
        <f aca="false">SUMIFS(الريسبي!$C$2:$C$1800,الريسبي!$A$2:$A$1800,$A62,الريسبي!$B$2:$B$1800,AZ$1)</f>
        <v>0</v>
      </c>
      <c r="BA62" s="115" t="n">
        <f aca="false">SUMIFS(الريسبي!$C$2:$C$1800,الريسبي!$A$2:$A$1800,$A62,الريسبي!$B$2:$B$1800,BA$1)</f>
        <v>0</v>
      </c>
      <c r="BB62" s="115" t="n">
        <f aca="false">SUMIFS(الريسبي!$C$2:$C$1800,الريسبي!$A$2:$A$1800,$A62,الريسبي!$B$2:$B$1800,BB$1)</f>
        <v>0</v>
      </c>
      <c r="BC62" s="115" t="n">
        <f aca="false">SUMIFS(الريسبي!$C$2:$C$1800,الريسبي!$A$2:$A$1800,$A62,الريسبي!$B$2:$B$1800,BC$1)</f>
        <v>0</v>
      </c>
      <c r="BD62" s="115" t="n">
        <f aca="false">SUMIFS(الريسبي!$C$2:$C$1800,الريسبي!$A$2:$A$1800,$A62,الريسبي!$B$2:$B$1800,BD$1)</f>
        <v>0</v>
      </c>
      <c r="BE62" s="115" t="n">
        <f aca="false">SUMIFS(الريسبي!$C$2:$C$1800,الريسبي!$A$2:$A$1800,$A62,الريسبي!$B$2:$B$1800,BE$1)</f>
        <v>0</v>
      </c>
      <c r="BF62" s="115" t="n">
        <f aca="false">SUMIFS(الريسبي!$C$2:$C$1800,الريسبي!$A$2:$A$1800,$A62,الريسبي!$B$2:$B$1800,BF$1)</f>
        <v>0</v>
      </c>
      <c r="BG62" s="115" t="n">
        <f aca="false">SUMIFS(الريسبي!$C$2:$C$1800,الريسبي!$A$2:$A$1800,$A62,الريسبي!$B$2:$B$1800,BG$1)</f>
        <v>0</v>
      </c>
      <c r="BH62" s="115" t="n">
        <f aca="false">SUMIFS(الريسبي!$C$2:$C$1800,الريسبي!$A$2:$A$1800,$A62,الريسبي!$B$2:$B$1800,BH$1)</f>
        <v>0</v>
      </c>
      <c r="BI62" s="115" t="n">
        <f aca="false">SUMIFS(الريسبي!$C$2:$C$1800,الريسبي!$A$2:$A$1800,$A62,الريسبي!$B$2:$B$1800,BI$1)</f>
        <v>0</v>
      </c>
      <c r="BJ62" s="115" t="n">
        <f aca="false">SUMIFS(الريسبي!$C$2:$C$1800,الريسبي!$A$2:$A$1800,$A62,الريسبي!$B$2:$B$1800,BJ$1)</f>
        <v>0</v>
      </c>
      <c r="BK62" s="115" t="n">
        <f aca="false">SUMIFS(الريسبي!$C$2:$C$1800,الريسبي!$A$2:$A$1800,$A62,الريسبي!$B$2:$B$1800,BK$1)</f>
        <v>0</v>
      </c>
      <c r="BL62" s="115" t="n">
        <f aca="false">SUMIFS(الريسبي!$C$2:$C$1800,الريسبي!$A$2:$A$1800,$A62,الريسبي!$B$2:$B$1800,BL$1)</f>
        <v>0</v>
      </c>
      <c r="BM62" s="115" t="n">
        <f aca="false">SUMIFS(الريسبي!$C$2:$C$1800,الريسبي!$A$2:$A$1800,$A62,الريسبي!$B$2:$B$1800,BM$1)</f>
        <v>0</v>
      </c>
      <c r="BN62" s="115" t="n">
        <f aca="false">SUMIFS(الريسبي!$C$2:$C$1800,الريسبي!$A$2:$A$1800,$A62,الريسبي!$B$2:$B$1800,BN$1)</f>
        <v>0</v>
      </c>
      <c r="BO62" s="115" t="n">
        <f aca="false">SUMIFS(الريسبي!$C$2:$C$1800,الريسبي!$A$2:$A$1800,$A62,الريسبي!$B$2:$B$1800,BO$1)</f>
        <v>0</v>
      </c>
      <c r="BP62" s="115" t="n">
        <f aca="false">SUMIFS(الريسبي!$C$2:$C$1800,الريسبي!$A$2:$A$1800,$A62,الريسبي!$B$2:$B$1800,BP$1)</f>
        <v>2</v>
      </c>
      <c r="BQ62" s="115"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15" t="n">
        <f aca="false">SUMIFS(الريسبي!$C$2:$C$1800,الريسبي!$A$2:$A$1800,$A62,الريسبي!$B$2:$B$1800,BR$1)</f>
        <v>0</v>
      </c>
      <c r="BS62" s="115" t="n">
        <f aca="false">SUMIFS(الريسبي!$C$2:$C$1800,الريسبي!$A$2:$A$1800,$A62,الريسبي!$B$2:$B$1800,BS$1)</f>
        <v>0</v>
      </c>
      <c r="BT62" s="115" t="n">
        <f aca="false">SUMIFS(الريسبي!$C$2:$C$1800,الريسبي!$A$2:$A$1800,$A62,الريسبي!$B$2:$B$1800,BT$1)</f>
        <v>0</v>
      </c>
      <c r="BU62" s="115"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15" t="n">
        <f aca="false">SUMIFS(الريسبي!$C$2:$C$1800,الريسبي!$A$2:$A$1800,$A62,الريسبي!$B$2:$B$1800,BV$1)</f>
        <v>0</v>
      </c>
      <c r="BW62" s="115" t="n">
        <f aca="false">SUMIFS(الريسبي!$C$2:$C$1800,الريسبي!$A$2:$A$1800,$A62,الريسبي!$B$2:$B$1800,BW$1)</f>
        <v>0</v>
      </c>
      <c r="BX62" s="115" t="n">
        <f aca="false">SUMIFS(الريسبي!$C$2:$C$1800,الريسبي!$A$2:$A$1800,$A62,الريسبي!$B$2:$B$1800,BX$1)</f>
        <v>0.15</v>
      </c>
      <c r="BY62" s="115" t="n">
        <f aca="false">SUMIFS(الريسبي!$C$2:$C$1800,الريسبي!$A$2:$A$1800,$A62,الريسبي!$B$2:$B$1800,BY$1)</f>
        <v>0</v>
      </c>
      <c r="BZ62" s="115" t="n">
        <f aca="false">SUMIFS(الريسبي!$C$2:$C$1800,الريسبي!$A$2:$A$1800,$A62,الريسبي!$B$2:$B$1800,BZ$1)</f>
        <v>0</v>
      </c>
      <c r="CA62" s="115" t="n">
        <f aca="false">SUMIFS(الريسبي!$C$2:$C$1800,الريسبي!$A$2:$A$1800,$A62,الريسبي!$B$2:$B$1800,CA$1)</f>
        <v>0</v>
      </c>
      <c r="CB62" s="115" t="n">
        <f aca="false">SUMIFS(الريسبي!$C$2:$C$1800,الريسبي!$A$2:$A$1800,$A62,الريسبي!$B$2:$B$1800,CB$1)</f>
        <v>1</v>
      </c>
      <c r="CC62" s="115" t="n">
        <f aca="false">SUMIFS(الريسبي!$C$2:$C$1800,الريسبي!$A$2:$A$1800,$A62,الريسبي!$B$2:$B$1800,CC$1)</f>
        <v>0</v>
      </c>
      <c r="CD62" s="115" t="n">
        <f aca="false">SUMIFS(الريسبي!$C$2:$C$1800,الريسبي!$A$2:$A$1800,$A62,الريسبي!$B$2:$B$1800,CD$1)</f>
        <v>0</v>
      </c>
      <c r="CE62" s="115" t="n">
        <f aca="false">SUMIFS(الريسبي!$C$2:$C$1800,الريسبي!$A$2:$A$1800,$A62,الريسبي!$B$2:$B$1800,CE$1)</f>
        <v>0</v>
      </c>
      <c r="CF62" s="115" t="n">
        <f aca="false">SUMIFS(الريسبي!$C$2:$C$1800,الريسبي!$A$2:$A$1800,$A62,الريسبي!$B$2:$B$1800,CF$1)</f>
        <v>0</v>
      </c>
      <c r="CG62" s="115" t="n">
        <f aca="false">SUMIFS(الريسبي!$C$2:$C$1800,الريسبي!$A$2:$A$1800,$A62,الريسبي!$B$2:$B$1800,CG$1)</f>
        <v>0</v>
      </c>
      <c r="CH62" s="115" t="n">
        <f aca="false">SUMIFS(الريسبي!$C$2:$C$1800,الريسبي!$A$2:$A$1800,$A62,الريسبي!$B$2:$B$1800,CH$1)</f>
        <v>0</v>
      </c>
    </row>
    <row r="63" customFormat="false" ht="15" hidden="false" customHeight="false" outlineLevel="0" collapsed="false">
      <c r="A63" s="114" t="str">
        <f aca="false">المنيو!B63</f>
        <v>مكرونة صوص ابيض سدق</v>
      </c>
      <c r="B63" s="115" t="n">
        <f aca="false">SUMIFS(الريسبي!$C$2:$C$1800,الريسبي!$A$2:$A$1800,$A63,الريسبي!$B$2:$B$1800,B$1)</f>
        <v>1</v>
      </c>
      <c r="C63" s="115" t="n">
        <f aca="false">SUMIFS(الريسبي!$C$2:$C$1800,الريسبي!$A$2:$A$1800,$A63,الريسبي!$B$2:$B$1800,C$1)</f>
        <v>0</v>
      </c>
      <c r="D63" s="115" t="n">
        <f aca="false">SUMIFS(الريسبي!$C$2:$C$1800,الريسبي!$A$2:$A$1800,$A63,الريسبي!$B$2:$B$1800,D$1)</f>
        <v>0</v>
      </c>
      <c r="E63" s="115" t="n">
        <f aca="false">SUMIFS(الريسبي!$C$2:$C$1800,الريسبي!$A$2:$A$1800,$A63,الريسبي!$B$2:$B$1800,E$1)</f>
        <v>1</v>
      </c>
      <c r="F63" s="115" t="n">
        <f aca="false">SUMIFS(الريسبي!$C$2:$C$1800,الريسبي!$A$2:$A$1800,$A63,الريسبي!$B$2:$B$1800,F$1)</f>
        <v>0</v>
      </c>
      <c r="G63" s="115" t="n">
        <f aca="false">SUMIFS(الريسبي!$C$2:$C$1800,الريسبي!$A$2:$A$1800,$A63,الريسبي!$B$2:$B$1800,G$1)</f>
        <v>0</v>
      </c>
      <c r="H63" s="115" t="n">
        <f aca="false">SUMIFS(الريسبي!$C$2:$C$1800,الريسبي!$A$2:$A$1800,$A63,الريسبي!$B$2:$B$1800,H$1)</f>
        <v>0</v>
      </c>
      <c r="I63" s="115" t="n">
        <f aca="false">SUMIFS(الريسبي!$C$2:$C$1800,الريسبي!$A$2:$A$1800,$A63,الريسبي!$B$2:$B$1800,I$1)</f>
        <v>0</v>
      </c>
      <c r="J63" s="115" t="n">
        <f aca="false">SUMIFS(الريسبي!$C$2:$C$1800,الريسبي!$A$2:$A$1800,$A63,الريسبي!$B$2:$B$1800,J$1)</f>
        <v>0</v>
      </c>
      <c r="K63" s="115" t="n">
        <f aca="false">SUMIFS(الريسبي!$C$2:$C$1800,الريسبي!$A$2:$A$1800,$A63,الريسبي!$B$2:$B$1800,K$1)</f>
        <v>0</v>
      </c>
      <c r="L63" s="115" t="n">
        <f aca="false">SUMIFS(الريسبي!$C$2:$C$1800,الريسبي!$A$2:$A$1800,$A63,الريسبي!$B$2:$B$1800,L$1)</f>
        <v>1</v>
      </c>
      <c r="M63" s="115" t="n">
        <f aca="false">SUMIFS(الريسبي!$C$2:$C$1800,الريسبي!$A$2:$A$1800,$A63,الريسبي!$B$2:$B$1800,M$1)</f>
        <v>0</v>
      </c>
      <c r="N63" s="115" t="n">
        <f aca="false">SUMIFS(الريسبي!$C$2:$C$1800,الريسبي!$A$2:$A$1800,$A63,الريسبي!$B$2:$B$1800,N$1)</f>
        <v>0</v>
      </c>
      <c r="O63" s="115" t="n">
        <f aca="false">SUMIFS(الريسبي!$C$2:$C$1800,الريسبي!$A$2:$A$1800,$A63,الريسبي!$B$2:$B$1800,O$1)</f>
        <v>0</v>
      </c>
      <c r="P63" s="115" t="n">
        <f aca="false">SUMIFS(الريسبي!$C$2:$C$1800,الريسبي!$A$2:$A$1800,$A63,الريسبي!$B$2:$B$1800,P$1)</f>
        <v>0</v>
      </c>
      <c r="Q63" s="115" t="n">
        <f aca="false">SUMIFS(الريسبي!$C$2:$C$1800,الريسبي!$A$2:$A$1800,$A63,الريسبي!$B$2:$B$1800,Q$1)</f>
        <v>0</v>
      </c>
      <c r="R63" s="115" t="n">
        <f aca="false">SUMIFS(الريسبي!$C$2:$C$1800,الريسبي!$A$2:$A$1800,$A63,الريسبي!$B$2:$B$1800,R$1)</f>
        <v>0</v>
      </c>
      <c r="S63" s="115" t="n">
        <f aca="false">SUMIFS(الريسبي!$C$2:$C$1800,الريسبي!$A$2:$A$1800,$A63,الريسبي!$B$2:$B$1800,S$1)</f>
        <v>0</v>
      </c>
      <c r="T63" s="115" t="n">
        <f aca="false">SUMIFS(الريسبي!$C$2:$C$1800,الريسبي!$A$2:$A$1800,$A63,الريسبي!$B$2:$B$1800,T$1)</f>
        <v>0</v>
      </c>
      <c r="U63" s="115" t="n">
        <f aca="false">SUMIFS(الريسبي!$C$2:$C$1800,الريسبي!$A$2:$A$1800,$A63,الريسبي!$B$2:$B$1800,U$1)</f>
        <v>0</v>
      </c>
      <c r="V63" s="115" t="n">
        <f aca="false">SUMIFS(الريسبي!$C$2:$C$1800,الريسبي!$A$2:$A$1800,$A63,الريسبي!$B$2:$B$1800,V$1)</f>
        <v>1</v>
      </c>
      <c r="W63" s="115" t="n">
        <f aca="false">SUMIFS(الريسبي!$C$2:$C$1800,الريسبي!$A$2:$A$1800,$A63,الريسبي!$B$2:$B$1800,W$1)</f>
        <v>0</v>
      </c>
      <c r="X63" s="115" t="n">
        <f aca="false">SUMIFS(الريسبي!$C$2:$C$1800,الريسبي!$A$2:$A$1800,$A63,الريسبي!$B$2:$B$1800,X$1)</f>
        <v>0</v>
      </c>
      <c r="Y63" s="115" t="n">
        <f aca="false">SUMIFS(الريسبي!$C$2:$C$1800,الريسبي!$A$2:$A$1800,$A63,الريسبي!$B$2:$B$1800,Y$1)</f>
        <v>0</v>
      </c>
      <c r="Z63" s="115" t="n">
        <f aca="false">SUMIFS(الريسبي!$C$2:$C$1800,الريسبي!$A$2:$A$1800,$A63,الريسبي!$B$2:$B$1800,Z$1)</f>
        <v>0</v>
      </c>
      <c r="AA63" s="115" t="n">
        <f aca="false">SUMIFS(الريسبي!$C$2:$C$1800,الريسبي!$A$2:$A$1800,$A63,الريسبي!$B$2:$B$1800,AA$1)</f>
        <v>0</v>
      </c>
      <c r="AB63" s="115" t="n">
        <f aca="false">SUMIFS(الريسبي!$C$2:$C$1800,الريسبي!$A$2:$A$1800,$A63,الريسبي!$B$2:$B$1800,AB$1)</f>
        <v>0</v>
      </c>
      <c r="AC63" s="115" t="n">
        <f aca="false">SUMIFS(الريسبي!$C$2:$C$1800,الريسبي!$A$2:$A$1800,$A63,الريسبي!$B$2:$B$1800,AC$1)</f>
        <v>0.2</v>
      </c>
      <c r="AD63" s="115" t="n">
        <f aca="false">SUMIFS(الريسبي!$C$2:$C$1800,الريسبي!$A$2:$A$1800,$A63,الريسبي!$B$2:$B$1800,AD$1)</f>
        <v>0</v>
      </c>
      <c r="AE63" s="115" t="n">
        <f aca="false">SUMIFS(الريسبي!$C$2:$C$1800,الريسبي!$A$2:$A$1800,$A63,الريسبي!$B$2:$B$1800,AE$1)</f>
        <v>0</v>
      </c>
      <c r="AF63" s="115" t="n">
        <f aca="false">SUMIFS(الريسبي!$C$2:$C$1800,الريسبي!$A$2:$A$1800,$A63,الريسبي!$B$2:$B$1800,AF$1)</f>
        <v>0</v>
      </c>
      <c r="AG63" s="115" t="n">
        <f aca="false">SUMIFS(الريسبي!$C$2:$C$1800,الريسبي!$A$2:$A$1800,$A63,الريسبي!$B$2:$B$1800,AG$1)</f>
        <v>0</v>
      </c>
      <c r="AH63" s="115" t="n">
        <f aca="false">SUMIFS(الريسبي!$C$2:$C$1800,الريسبي!$A$2:$A$1800,$A63,الريسبي!$B$2:$B$1800,AH$1)</f>
        <v>0</v>
      </c>
      <c r="AI63" s="115" t="n">
        <f aca="false">SUMIFS(الريسبي!$C$2:$C$1800,الريسبي!$A$2:$A$1800,$A63,الريسبي!$B$2:$B$1800,AI$1)</f>
        <v>0</v>
      </c>
      <c r="AJ63" s="115" t="n">
        <f aca="false">SUMIFS(الريسبي!$C$2:$C$1800,الريسبي!$A$2:$A$1800,$A63,الريسبي!$B$2:$B$1800,AJ$1)</f>
        <v>2</v>
      </c>
      <c r="AK63" s="115" t="n">
        <f aca="false">SUMIFS(الريسبي!$C$2:$C$1800,الريسبي!$A$2:$A$1800,$A63,الريسبي!$B$2:$B$1800,AK$1)</f>
        <v>0</v>
      </c>
      <c r="AL63" s="115" t="n">
        <f aca="false">SUMIFS(الريسبي!$C$2:$C$1800,الريسبي!$A$2:$A$1800,$A63,الريسبي!$B$2:$B$1800,AL$1)</f>
        <v>0</v>
      </c>
      <c r="AM63" s="115"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15"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15" t="n">
        <f aca="false">SUMIFS(الريسبي!$C$2:$C$1800,الريسبي!$A$2:$A$1800,$A63,الريسبي!$B$2:$B$1800,AO$1)</f>
        <v>0</v>
      </c>
      <c r="AP63" s="115" t="n">
        <f aca="false">SUMIFS(الريسبي!$C$2:$C$1800,الريسبي!$A$2:$A$1800,$A63,الريسبي!$B$2:$B$1800,AP$1)</f>
        <v>0</v>
      </c>
      <c r="AQ63" s="115"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15" t="n">
        <f aca="false">SUMIFS(الريسبي!$C$2:$C$1800,الريسبي!$A$2:$A$1800,$A63,الريسبي!$B$2:$B$1800,AR$1)</f>
        <v>0</v>
      </c>
      <c r="AS63" s="115" t="n">
        <f aca="false">SUMIFS(الريسبي!$C$2:$C$1800,الريسبي!$A$2:$A$1800,$A63,الريسبي!$B$2:$B$1800,AS$1)</f>
        <v>0</v>
      </c>
      <c r="AT63" s="115" t="n">
        <f aca="false">SUMIFS(الريسبي!$C$2:$C$1800,الريسبي!$A$2:$A$1800,$A63,الريسبي!$B$2:$B$1800,AT$1)</f>
        <v>0</v>
      </c>
      <c r="AU63" s="115" t="n">
        <f aca="false">SUMIFS(الريسبي!$C$2:$C$1800,الريسبي!$A$2:$A$1800,$A63,الريسبي!$B$2:$B$1800,AU$1)</f>
        <v>1</v>
      </c>
      <c r="AV63" s="115" t="n">
        <f aca="false">SUMIFS(الريسبي!$C$2:$C$1800,الريسبي!$A$2:$A$1800,$A63,الريسبي!$B$2:$B$1800,AV$1)</f>
        <v>0</v>
      </c>
      <c r="AW63" s="115" t="n">
        <f aca="false">SUMIFS(الريسبي!$C$2:$C$1800,الريسبي!$A$2:$A$1800,$A63,الريسبي!$B$2:$B$1800,AW$1)</f>
        <v>0</v>
      </c>
      <c r="AX63" s="115" t="n">
        <f aca="false">SUMIFS(الريسبي!$C$2:$C$1800,الريسبي!$A$2:$A$1800,$A63,الريسبي!$B$2:$B$1800,AX$1)</f>
        <v>0</v>
      </c>
      <c r="AY63" s="115" t="n">
        <f aca="false">SUMIFS(الريسبي!$C$2:$C$1800,الريسبي!$A$2:$A$1800,$A63,الريسبي!$B$2:$B$1800,AY$1)</f>
        <v>0</v>
      </c>
      <c r="AZ63" s="115" t="n">
        <f aca="false">SUMIFS(الريسبي!$C$2:$C$1800,الريسبي!$A$2:$A$1800,$A63,الريسبي!$B$2:$B$1800,AZ$1)</f>
        <v>0</v>
      </c>
      <c r="BA63" s="115" t="n">
        <f aca="false">SUMIFS(الريسبي!$C$2:$C$1800,الريسبي!$A$2:$A$1800,$A63,الريسبي!$B$2:$B$1800,BA$1)</f>
        <v>0</v>
      </c>
      <c r="BB63" s="115" t="n">
        <f aca="false">SUMIFS(الريسبي!$C$2:$C$1800,الريسبي!$A$2:$A$1800,$A63,الريسبي!$B$2:$B$1800,BB$1)</f>
        <v>0</v>
      </c>
      <c r="BC63" s="115" t="n">
        <f aca="false">SUMIFS(الريسبي!$C$2:$C$1800,الريسبي!$A$2:$A$1800,$A63,الريسبي!$B$2:$B$1800,BC$1)</f>
        <v>0</v>
      </c>
      <c r="BD63" s="115" t="n">
        <f aca="false">SUMIFS(الريسبي!$C$2:$C$1800,الريسبي!$A$2:$A$1800,$A63,الريسبي!$B$2:$B$1800,BD$1)</f>
        <v>0</v>
      </c>
      <c r="BE63" s="115" t="n">
        <f aca="false">SUMIFS(الريسبي!$C$2:$C$1800,الريسبي!$A$2:$A$1800,$A63,الريسبي!$B$2:$B$1800,BE$1)</f>
        <v>0</v>
      </c>
      <c r="BF63" s="115" t="n">
        <f aca="false">SUMIFS(الريسبي!$C$2:$C$1800,الريسبي!$A$2:$A$1800,$A63,الريسبي!$B$2:$B$1800,BF$1)</f>
        <v>0</v>
      </c>
      <c r="BG63" s="115" t="n">
        <f aca="false">SUMIFS(الريسبي!$C$2:$C$1800,الريسبي!$A$2:$A$1800,$A63,الريسبي!$B$2:$B$1800,BG$1)</f>
        <v>0</v>
      </c>
      <c r="BH63" s="115" t="n">
        <f aca="false">SUMIFS(الريسبي!$C$2:$C$1800,الريسبي!$A$2:$A$1800,$A63,الريسبي!$B$2:$B$1800,BH$1)</f>
        <v>0</v>
      </c>
      <c r="BI63" s="115" t="n">
        <f aca="false">SUMIFS(الريسبي!$C$2:$C$1800,الريسبي!$A$2:$A$1800,$A63,الريسبي!$B$2:$B$1800,BI$1)</f>
        <v>0</v>
      </c>
      <c r="BJ63" s="115" t="n">
        <f aca="false">SUMIFS(الريسبي!$C$2:$C$1800,الريسبي!$A$2:$A$1800,$A63,الريسبي!$B$2:$B$1800,BJ$1)</f>
        <v>0</v>
      </c>
      <c r="BK63" s="115" t="n">
        <f aca="false">SUMIFS(الريسبي!$C$2:$C$1800,الريسبي!$A$2:$A$1800,$A63,الريسبي!$B$2:$B$1800,BK$1)</f>
        <v>0</v>
      </c>
      <c r="BL63" s="115" t="n">
        <f aca="false">SUMIFS(الريسبي!$C$2:$C$1800,الريسبي!$A$2:$A$1800,$A63,الريسبي!$B$2:$B$1800,BL$1)</f>
        <v>0</v>
      </c>
      <c r="BM63" s="115" t="n">
        <f aca="false">SUMIFS(الريسبي!$C$2:$C$1800,الريسبي!$A$2:$A$1800,$A63,الريسبي!$B$2:$B$1800,BM$1)</f>
        <v>0</v>
      </c>
      <c r="BN63" s="115" t="n">
        <f aca="false">SUMIFS(الريسبي!$C$2:$C$1800,الريسبي!$A$2:$A$1800,$A63,الريسبي!$B$2:$B$1800,BN$1)</f>
        <v>0</v>
      </c>
      <c r="BO63" s="115" t="n">
        <f aca="false">SUMIFS(الريسبي!$C$2:$C$1800,الريسبي!$A$2:$A$1800,$A63,الريسبي!$B$2:$B$1800,BO$1)</f>
        <v>0</v>
      </c>
      <c r="BP63" s="115" t="n">
        <f aca="false">SUMIFS(الريسبي!$C$2:$C$1800,الريسبي!$A$2:$A$1800,$A63,الريسبي!$B$2:$B$1800,BP$1)</f>
        <v>2</v>
      </c>
      <c r="BQ63" s="115"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15" t="n">
        <f aca="false">SUMIFS(الريسبي!$C$2:$C$1800,الريسبي!$A$2:$A$1800,$A63,الريسبي!$B$2:$B$1800,BR$1)</f>
        <v>0</v>
      </c>
      <c r="BS63" s="115" t="n">
        <f aca="false">SUMIFS(الريسبي!$C$2:$C$1800,الريسبي!$A$2:$A$1800,$A63,الريسبي!$B$2:$B$1800,BS$1)</f>
        <v>0</v>
      </c>
      <c r="BT63" s="115" t="n">
        <f aca="false">SUMIFS(الريسبي!$C$2:$C$1800,الريسبي!$A$2:$A$1800,$A63,الريسبي!$B$2:$B$1800,BT$1)</f>
        <v>0</v>
      </c>
      <c r="BU63" s="115"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15" t="n">
        <f aca="false">SUMIFS(الريسبي!$C$2:$C$1800,الريسبي!$A$2:$A$1800,$A63,الريسبي!$B$2:$B$1800,BV$1)</f>
        <v>0</v>
      </c>
      <c r="BW63" s="115" t="n">
        <f aca="false">SUMIFS(الريسبي!$C$2:$C$1800,الريسبي!$A$2:$A$1800,$A63,الريسبي!$B$2:$B$1800,BW$1)</f>
        <v>0</v>
      </c>
      <c r="BX63" s="115" t="n">
        <f aca="false">SUMIFS(الريسبي!$C$2:$C$1800,الريسبي!$A$2:$A$1800,$A63,الريسبي!$B$2:$B$1800,BX$1)</f>
        <v>0.15</v>
      </c>
      <c r="BY63" s="115" t="n">
        <f aca="false">SUMIFS(الريسبي!$C$2:$C$1800,الريسبي!$A$2:$A$1800,$A63,الريسبي!$B$2:$B$1800,BY$1)</f>
        <v>0</v>
      </c>
      <c r="BZ63" s="115" t="n">
        <f aca="false">SUMIFS(الريسبي!$C$2:$C$1800,الريسبي!$A$2:$A$1800,$A63,الريسبي!$B$2:$B$1800,BZ$1)</f>
        <v>0</v>
      </c>
      <c r="CA63" s="115" t="n">
        <f aca="false">SUMIFS(الريسبي!$C$2:$C$1800,الريسبي!$A$2:$A$1800,$A63,الريسبي!$B$2:$B$1800,CA$1)</f>
        <v>0</v>
      </c>
      <c r="CB63" s="115" t="n">
        <f aca="false">SUMIFS(الريسبي!$C$2:$C$1800,الريسبي!$A$2:$A$1800,$A63,الريسبي!$B$2:$B$1800,CB$1)</f>
        <v>1</v>
      </c>
      <c r="CC63" s="115" t="n">
        <f aca="false">SUMIFS(الريسبي!$C$2:$C$1800,الريسبي!$A$2:$A$1800,$A63,الريسبي!$B$2:$B$1800,CC$1)</f>
        <v>0</v>
      </c>
      <c r="CD63" s="115" t="n">
        <f aca="false">SUMIFS(الريسبي!$C$2:$C$1800,الريسبي!$A$2:$A$1800,$A63,الريسبي!$B$2:$B$1800,CD$1)</f>
        <v>0</v>
      </c>
      <c r="CE63" s="115" t="n">
        <f aca="false">SUMIFS(الريسبي!$C$2:$C$1800,الريسبي!$A$2:$A$1800,$A63,الريسبي!$B$2:$B$1800,CE$1)</f>
        <v>0</v>
      </c>
      <c r="CF63" s="115" t="n">
        <f aca="false">SUMIFS(الريسبي!$C$2:$C$1800,الريسبي!$A$2:$A$1800,$A63,الريسبي!$B$2:$B$1800,CF$1)</f>
        <v>0</v>
      </c>
      <c r="CG63" s="115" t="n">
        <f aca="false">SUMIFS(الريسبي!$C$2:$C$1800,الريسبي!$A$2:$A$1800,$A63,الريسبي!$B$2:$B$1800,CG$1)</f>
        <v>0</v>
      </c>
      <c r="CH63" s="115" t="n">
        <f aca="false">SUMIFS(الريسبي!$C$2:$C$1800,الريسبي!$A$2:$A$1800,$A63,الريسبي!$B$2:$B$1800,CH$1)</f>
        <v>0</v>
      </c>
    </row>
    <row r="64" customFormat="false" ht="15" hidden="false" customHeight="false" outlineLevel="0" collapsed="false">
      <c r="A64" s="114" t="str">
        <f aca="false">المنيو!B64</f>
        <v>مكرونة صوص ابيض بسطرمة</v>
      </c>
      <c r="B64" s="115" t="n">
        <f aca="false">SUMIFS(الريسبي!$C$2:$C$1800,الريسبي!$A$2:$A$1800,$A64,الريسبي!$B$2:$B$1800,B$1)</f>
        <v>1</v>
      </c>
      <c r="C64" s="115" t="n">
        <f aca="false">SUMIFS(الريسبي!$C$2:$C$1800,الريسبي!$A$2:$A$1800,$A64,الريسبي!$B$2:$B$1800,C$1)</f>
        <v>0</v>
      </c>
      <c r="D64" s="115" t="n">
        <f aca="false">SUMIFS(الريسبي!$C$2:$C$1800,الريسبي!$A$2:$A$1800,$A64,الريسبي!$B$2:$B$1800,D$1)</f>
        <v>0</v>
      </c>
      <c r="E64" s="115" t="n">
        <f aca="false">SUMIFS(الريسبي!$C$2:$C$1800,الريسبي!$A$2:$A$1800,$A64,الريسبي!$B$2:$B$1800,E$1)</f>
        <v>1</v>
      </c>
      <c r="F64" s="115" t="n">
        <f aca="false">SUMIFS(الريسبي!$C$2:$C$1800,الريسبي!$A$2:$A$1800,$A64,الريسبي!$B$2:$B$1800,F$1)</f>
        <v>0</v>
      </c>
      <c r="G64" s="115" t="n">
        <f aca="false">SUMIFS(الريسبي!$C$2:$C$1800,الريسبي!$A$2:$A$1800,$A64,الريسبي!$B$2:$B$1800,G$1)</f>
        <v>1</v>
      </c>
      <c r="H64" s="115" t="n">
        <f aca="false">SUMIFS(الريسبي!$C$2:$C$1800,الريسبي!$A$2:$A$1800,$A64,الريسبي!$B$2:$B$1800,H$1)</f>
        <v>0</v>
      </c>
      <c r="I64" s="115" t="n">
        <f aca="false">SUMIFS(الريسبي!$C$2:$C$1800,الريسبي!$A$2:$A$1800,$A64,الريسبي!$B$2:$B$1800,I$1)</f>
        <v>0</v>
      </c>
      <c r="J64" s="115" t="n">
        <f aca="false">SUMIFS(الريسبي!$C$2:$C$1800,الريسبي!$A$2:$A$1800,$A64,الريسبي!$B$2:$B$1800,J$1)</f>
        <v>0</v>
      </c>
      <c r="K64" s="115" t="n">
        <f aca="false">SUMIFS(الريسبي!$C$2:$C$1800,الريسبي!$A$2:$A$1800,$A64,الريسبي!$B$2:$B$1800,K$1)</f>
        <v>0</v>
      </c>
      <c r="L64" s="115" t="n">
        <f aca="false">SUMIFS(الريسبي!$C$2:$C$1800,الريسبي!$A$2:$A$1800,$A64,الريسبي!$B$2:$B$1800,L$1)</f>
        <v>0</v>
      </c>
      <c r="M64" s="115" t="n">
        <f aca="false">SUMIFS(الريسبي!$C$2:$C$1800,الريسبي!$A$2:$A$1800,$A64,الريسبي!$B$2:$B$1800,M$1)</f>
        <v>0</v>
      </c>
      <c r="N64" s="115" t="n">
        <f aca="false">SUMIFS(الريسبي!$C$2:$C$1800,الريسبي!$A$2:$A$1800,$A64,الريسبي!$B$2:$B$1800,N$1)</f>
        <v>0</v>
      </c>
      <c r="O64" s="115" t="n">
        <f aca="false">SUMIFS(الريسبي!$C$2:$C$1800,الريسبي!$A$2:$A$1800,$A64,الريسبي!$B$2:$B$1800,O$1)</f>
        <v>0</v>
      </c>
      <c r="P64" s="115" t="n">
        <f aca="false">SUMIFS(الريسبي!$C$2:$C$1800,الريسبي!$A$2:$A$1800,$A64,الريسبي!$B$2:$B$1800,P$1)</f>
        <v>0</v>
      </c>
      <c r="Q64" s="115" t="n">
        <f aca="false">SUMIFS(الريسبي!$C$2:$C$1800,الريسبي!$A$2:$A$1800,$A64,الريسبي!$B$2:$B$1800,Q$1)</f>
        <v>0</v>
      </c>
      <c r="R64" s="115" t="n">
        <f aca="false">SUMIFS(الريسبي!$C$2:$C$1800,الريسبي!$A$2:$A$1800,$A64,الريسبي!$B$2:$B$1800,R$1)</f>
        <v>0</v>
      </c>
      <c r="S64" s="115" t="n">
        <f aca="false">SUMIFS(الريسبي!$C$2:$C$1800,الريسبي!$A$2:$A$1800,$A64,الريسبي!$B$2:$B$1800,S$1)</f>
        <v>0</v>
      </c>
      <c r="T64" s="115" t="n">
        <f aca="false">SUMIFS(الريسبي!$C$2:$C$1800,الريسبي!$A$2:$A$1800,$A64,الريسبي!$B$2:$B$1800,T$1)</f>
        <v>0</v>
      </c>
      <c r="U64" s="115" t="n">
        <f aca="false">SUMIFS(الريسبي!$C$2:$C$1800,الريسبي!$A$2:$A$1800,$A64,الريسبي!$B$2:$B$1800,U$1)</f>
        <v>0</v>
      </c>
      <c r="V64" s="115" t="n">
        <f aca="false">SUMIFS(الريسبي!$C$2:$C$1800,الريسبي!$A$2:$A$1800,$A64,الريسبي!$B$2:$B$1800,V$1)</f>
        <v>1</v>
      </c>
      <c r="W64" s="115" t="n">
        <f aca="false">SUMIFS(الريسبي!$C$2:$C$1800,الريسبي!$A$2:$A$1800,$A64,الريسبي!$B$2:$B$1800,W$1)</f>
        <v>0</v>
      </c>
      <c r="X64" s="115" t="n">
        <f aca="false">SUMIFS(الريسبي!$C$2:$C$1800,الريسبي!$A$2:$A$1800,$A64,الريسبي!$B$2:$B$1800,X$1)</f>
        <v>0</v>
      </c>
      <c r="Y64" s="115" t="n">
        <f aca="false">SUMIFS(الريسبي!$C$2:$C$1800,الريسبي!$A$2:$A$1800,$A64,الريسبي!$B$2:$B$1800,Y$1)</f>
        <v>0</v>
      </c>
      <c r="Z64" s="115" t="n">
        <f aca="false">SUMIFS(الريسبي!$C$2:$C$1800,الريسبي!$A$2:$A$1800,$A64,الريسبي!$B$2:$B$1800,Z$1)</f>
        <v>0</v>
      </c>
      <c r="AA64" s="115" t="n">
        <f aca="false">SUMIFS(الريسبي!$C$2:$C$1800,الريسبي!$A$2:$A$1800,$A64,الريسبي!$B$2:$B$1800,AA$1)</f>
        <v>0</v>
      </c>
      <c r="AB64" s="115" t="n">
        <f aca="false">SUMIFS(الريسبي!$C$2:$C$1800,الريسبي!$A$2:$A$1800,$A64,الريسبي!$B$2:$B$1800,AB$1)</f>
        <v>0</v>
      </c>
      <c r="AC64" s="115" t="n">
        <f aca="false">SUMIFS(الريسبي!$C$2:$C$1800,الريسبي!$A$2:$A$1800,$A64,الريسبي!$B$2:$B$1800,AC$1)</f>
        <v>0.2</v>
      </c>
      <c r="AD64" s="115" t="n">
        <f aca="false">SUMIFS(الريسبي!$C$2:$C$1800,الريسبي!$A$2:$A$1800,$A64,الريسبي!$B$2:$B$1800,AD$1)</f>
        <v>0</v>
      </c>
      <c r="AE64" s="115" t="n">
        <f aca="false">SUMIFS(الريسبي!$C$2:$C$1800,الريسبي!$A$2:$A$1800,$A64,الريسبي!$B$2:$B$1800,AE$1)</f>
        <v>0</v>
      </c>
      <c r="AF64" s="115" t="n">
        <f aca="false">SUMIFS(الريسبي!$C$2:$C$1800,الريسبي!$A$2:$A$1800,$A64,الريسبي!$B$2:$B$1800,AF$1)</f>
        <v>0</v>
      </c>
      <c r="AG64" s="115" t="n">
        <f aca="false">SUMIFS(الريسبي!$C$2:$C$1800,الريسبي!$A$2:$A$1800,$A64,الريسبي!$B$2:$B$1800,AG$1)</f>
        <v>0</v>
      </c>
      <c r="AH64" s="115" t="n">
        <f aca="false">SUMIFS(الريسبي!$C$2:$C$1800,الريسبي!$A$2:$A$1800,$A64,الريسبي!$B$2:$B$1800,AH$1)</f>
        <v>0</v>
      </c>
      <c r="AI64" s="115" t="n">
        <f aca="false">SUMIFS(الريسبي!$C$2:$C$1800,الريسبي!$A$2:$A$1800,$A64,الريسبي!$B$2:$B$1800,AI$1)</f>
        <v>0</v>
      </c>
      <c r="AJ64" s="115" t="n">
        <f aca="false">SUMIFS(الريسبي!$C$2:$C$1800,الريسبي!$A$2:$A$1800,$A64,الريسبي!$B$2:$B$1800,AJ$1)</f>
        <v>2</v>
      </c>
      <c r="AK64" s="115" t="n">
        <f aca="false">SUMIFS(الريسبي!$C$2:$C$1800,الريسبي!$A$2:$A$1800,$A64,الريسبي!$B$2:$B$1800,AK$1)</f>
        <v>0</v>
      </c>
      <c r="AL64" s="115" t="n">
        <f aca="false">SUMIFS(الريسبي!$C$2:$C$1800,الريسبي!$A$2:$A$1800,$A64,الريسبي!$B$2:$B$1800,AL$1)</f>
        <v>0</v>
      </c>
      <c r="AM64" s="115"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15"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15" t="n">
        <f aca="false">SUMIFS(الريسبي!$C$2:$C$1800,الريسبي!$A$2:$A$1800,$A64,الريسبي!$B$2:$B$1800,AO$1)</f>
        <v>0</v>
      </c>
      <c r="AP64" s="115" t="n">
        <f aca="false">SUMIFS(الريسبي!$C$2:$C$1800,الريسبي!$A$2:$A$1800,$A64,الريسبي!$B$2:$B$1800,AP$1)</f>
        <v>0</v>
      </c>
      <c r="AQ64" s="115"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15" t="n">
        <f aca="false">SUMIFS(الريسبي!$C$2:$C$1800,الريسبي!$A$2:$A$1800,$A64,الريسبي!$B$2:$B$1800,AR$1)</f>
        <v>0</v>
      </c>
      <c r="AS64" s="115" t="n">
        <f aca="false">SUMIFS(الريسبي!$C$2:$C$1800,الريسبي!$A$2:$A$1800,$A64,الريسبي!$B$2:$B$1800,AS$1)</f>
        <v>0</v>
      </c>
      <c r="AT64" s="115" t="n">
        <f aca="false">SUMIFS(الريسبي!$C$2:$C$1800,الريسبي!$A$2:$A$1800,$A64,الريسبي!$B$2:$B$1800,AT$1)</f>
        <v>0</v>
      </c>
      <c r="AU64" s="115" t="n">
        <f aca="false">SUMIFS(الريسبي!$C$2:$C$1800,الريسبي!$A$2:$A$1800,$A64,الريسبي!$B$2:$B$1800,AU$1)</f>
        <v>1</v>
      </c>
      <c r="AV64" s="115" t="n">
        <f aca="false">SUMIFS(الريسبي!$C$2:$C$1800,الريسبي!$A$2:$A$1800,$A64,الريسبي!$B$2:$B$1800,AV$1)</f>
        <v>0</v>
      </c>
      <c r="AW64" s="115" t="n">
        <f aca="false">SUMIFS(الريسبي!$C$2:$C$1800,الريسبي!$A$2:$A$1800,$A64,الريسبي!$B$2:$B$1800,AW$1)</f>
        <v>0</v>
      </c>
      <c r="AX64" s="115" t="n">
        <f aca="false">SUMIFS(الريسبي!$C$2:$C$1800,الريسبي!$A$2:$A$1800,$A64,الريسبي!$B$2:$B$1800,AX$1)</f>
        <v>0</v>
      </c>
      <c r="AY64" s="115" t="n">
        <f aca="false">SUMIFS(الريسبي!$C$2:$C$1800,الريسبي!$A$2:$A$1800,$A64,الريسبي!$B$2:$B$1800,AY$1)</f>
        <v>0</v>
      </c>
      <c r="AZ64" s="115" t="n">
        <f aca="false">SUMIFS(الريسبي!$C$2:$C$1800,الريسبي!$A$2:$A$1800,$A64,الريسبي!$B$2:$B$1800,AZ$1)</f>
        <v>0</v>
      </c>
      <c r="BA64" s="115" t="n">
        <f aca="false">SUMIFS(الريسبي!$C$2:$C$1800,الريسبي!$A$2:$A$1800,$A64,الريسبي!$B$2:$B$1800,BA$1)</f>
        <v>0</v>
      </c>
      <c r="BB64" s="115" t="n">
        <f aca="false">SUMIFS(الريسبي!$C$2:$C$1800,الريسبي!$A$2:$A$1800,$A64,الريسبي!$B$2:$B$1800,BB$1)</f>
        <v>0</v>
      </c>
      <c r="BC64" s="115" t="n">
        <f aca="false">SUMIFS(الريسبي!$C$2:$C$1800,الريسبي!$A$2:$A$1800,$A64,الريسبي!$B$2:$B$1800,BC$1)</f>
        <v>0</v>
      </c>
      <c r="BD64" s="115" t="n">
        <f aca="false">SUMIFS(الريسبي!$C$2:$C$1800,الريسبي!$A$2:$A$1800,$A64,الريسبي!$B$2:$B$1800,BD$1)</f>
        <v>0</v>
      </c>
      <c r="BE64" s="115" t="n">
        <f aca="false">SUMIFS(الريسبي!$C$2:$C$1800,الريسبي!$A$2:$A$1800,$A64,الريسبي!$B$2:$B$1800,BE$1)</f>
        <v>0</v>
      </c>
      <c r="BF64" s="115" t="n">
        <f aca="false">SUMIFS(الريسبي!$C$2:$C$1800,الريسبي!$A$2:$A$1800,$A64,الريسبي!$B$2:$B$1800,BF$1)</f>
        <v>0</v>
      </c>
      <c r="BG64" s="115" t="n">
        <f aca="false">SUMIFS(الريسبي!$C$2:$C$1800,الريسبي!$A$2:$A$1800,$A64,الريسبي!$B$2:$B$1800,BG$1)</f>
        <v>0</v>
      </c>
      <c r="BH64" s="115" t="n">
        <f aca="false">SUMIFS(الريسبي!$C$2:$C$1800,الريسبي!$A$2:$A$1800,$A64,الريسبي!$B$2:$B$1800,BH$1)</f>
        <v>0</v>
      </c>
      <c r="BI64" s="115" t="n">
        <f aca="false">SUMIFS(الريسبي!$C$2:$C$1800,الريسبي!$A$2:$A$1800,$A64,الريسبي!$B$2:$B$1800,BI$1)</f>
        <v>0</v>
      </c>
      <c r="BJ64" s="115" t="n">
        <f aca="false">SUMIFS(الريسبي!$C$2:$C$1800,الريسبي!$A$2:$A$1800,$A64,الريسبي!$B$2:$B$1800,BJ$1)</f>
        <v>0</v>
      </c>
      <c r="BK64" s="115" t="n">
        <f aca="false">SUMIFS(الريسبي!$C$2:$C$1800,الريسبي!$A$2:$A$1800,$A64,الريسبي!$B$2:$B$1800,BK$1)</f>
        <v>0</v>
      </c>
      <c r="BL64" s="115" t="n">
        <f aca="false">SUMIFS(الريسبي!$C$2:$C$1800,الريسبي!$A$2:$A$1800,$A64,الريسبي!$B$2:$B$1800,BL$1)</f>
        <v>0</v>
      </c>
      <c r="BM64" s="115" t="n">
        <f aca="false">SUMIFS(الريسبي!$C$2:$C$1800,الريسبي!$A$2:$A$1800,$A64,الريسبي!$B$2:$B$1800,BM$1)</f>
        <v>0</v>
      </c>
      <c r="BN64" s="115" t="n">
        <f aca="false">SUMIFS(الريسبي!$C$2:$C$1800,الريسبي!$A$2:$A$1800,$A64,الريسبي!$B$2:$B$1800,BN$1)</f>
        <v>0</v>
      </c>
      <c r="BO64" s="115" t="n">
        <f aca="false">SUMIFS(الريسبي!$C$2:$C$1800,الريسبي!$A$2:$A$1800,$A64,الريسبي!$B$2:$B$1800,BO$1)</f>
        <v>0</v>
      </c>
      <c r="BP64" s="115" t="n">
        <f aca="false">SUMIFS(الريسبي!$C$2:$C$1800,الريسبي!$A$2:$A$1800,$A64,الريسبي!$B$2:$B$1800,BP$1)</f>
        <v>2</v>
      </c>
      <c r="BQ64" s="115"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15" t="n">
        <f aca="false">SUMIFS(الريسبي!$C$2:$C$1800,الريسبي!$A$2:$A$1800,$A64,الريسبي!$B$2:$B$1800,BR$1)</f>
        <v>0</v>
      </c>
      <c r="BS64" s="115" t="n">
        <f aca="false">SUMIFS(الريسبي!$C$2:$C$1800,الريسبي!$A$2:$A$1800,$A64,الريسبي!$B$2:$B$1800,BS$1)</f>
        <v>0</v>
      </c>
      <c r="BT64" s="115" t="n">
        <f aca="false">SUMIFS(الريسبي!$C$2:$C$1800,الريسبي!$A$2:$A$1800,$A64,الريسبي!$B$2:$B$1800,BT$1)</f>
        <v>0</v>
      </c>
      <c r="BU64" s="115"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15" t="n">
        <f aca="false">SUMIFS(الريسبي!$C$2:$C$1800,الريسبي!$A$2:$A$1800,$A64,الريسبي!$B$2:$B$1800,BV$1)</f>
        <v>0</v>
      </c>
      <c r="BW64" s="115" t="n">
        <f aca="false">SUMIFS(الريسبي!$C$2:$C$1800,الريسبي!$A$2:$A$1800,$A64,الريسبي!$B$2:$B$1800,BW$1)</f>
        <v>0</v>
      </c>
      <c r="BX64" s="115" t="n">
        <f aca="false">SUMIFS(الريسبي!$C$2:$C$1800,الريسبي!$A$2:$A$1800,$A64,الريسبي!$B$2:$B$1800,BX$1)</f>
        <v>0.15</v>
      </c>
      <c r="BY64" s="115" t="n">
        <f aca="false">SUMIFS(الريسبي!$C$2:$C$1800,الريسبي!$A$2:$A$1800,$A64,الريسبي!$B$2:$B$1800,BY$1)</f>
        <v>0</v>
      </c>
      <c r="BZ64" s="115" t="n">
        <f aca="false">SUMIFS(الريسبي!$C$2:$C$1800,الريسبي!$A$2:$A$1800,$A64,الريسبي!$B$2:$B$1800,BZ$1)</f>
        <v>0</v>
      </c>
      <c r="CA64" s="115" t="n">
        <f aca="false">SUMIFS(الريسبي!$C$2:$C$1800,الريسبي!$A$2:$A$1800,$A64,الريسبي!$B$2:$B$1800,CA$1)</f>
        <v>0</v>
      </c>
      <c r="CB64" s="115" t="n">
        <f aca="false">SUMIFS(الريسبي!$C$2:$C$1800,الريسبي!$A$2:$A$1800,$A64,الريسبي!$B$2:$B$1800,CB$1)</f>
        <v>1</v>
      </c>
      <c r="CC64" s="115" t="n">
        <f aca="false">SUMIFS(الريسبي!$C$2:$C$1800,الريسبي!$A$2:$A$1800,$A64,الريسبي!$B$2:$B$1800,CC$1)</f>
        <v>0</v>
      </c>
      <c r="CD64" s="115" t="n">
        <f aca="false">SUMIFS(الريسبي!$C$2:$C$1800,الريسبي!$A$2:$A$1800,$A64,الريسبي!$B$2:$B$1800,CD$1)</f>
        <v>0</v>
      </c>
      <c r="CE64" s="115" t="n">
        <f aca="false">SUMIFS(الريسبي!$C$2:$C$1800,الريسبي!$A$2:$A$1800,$A64,الريسبي!$B$2:$B$1800,CE$1)</f>
        <v>0</v>
      </c>
      <c r="CF64" s="115" t="n">
        <f aca="false">SUMIFS(الريسبي!$C$2:$C$1800,الريسبي!$A$2:$A$1800,$A64,الريسبي!$B$2:$B$1800,CF$1)</f>
        <v>0</v>
      </c>
      <c r="CG64" s="115" t="n">
        <f aca="false">SUMIFS(الريسبي!$C$2:$C$1800,الريسبي!$A$2:$A$1800,$A64,الريسبي!$B$2:$B$1800,CG$1)</f>
        <v>0</v>
      </c>
      <c r="CH64" s="115" t="n">
        <f aca="false">SUMIFS(الريسبي!$C$2:$C$1800,الريسبي!$A$2:$A$1800,$A64,الريسبي!$B$2:$B$1800,CH$1)</f>
        <v>0</v>
      </c>
    </row>
    <row r="65" customFormat="false" ht="15" hidden="false" customHeight="false" outlineLevel="0" collapsed="false">
      <c r="A65" s="114" t="str">
        <f aca="false">المنيو!B65</f>
        <v>كريب فراخ كريسبي شيدر</v>
      </c>
      <c r="B65" s="115" t="n">
        <f aca="false">SUMIFS(الريسبي!$C$2:$C$1800,الريسبي!$A$2:$A$1800,$A65,الريسبي!$B$2:$B$1800,B$1)</f>
        <v>0</v>
      </c>
      <c r="C65" s="115" t="n">
        <f aca="false">SUMIFS(الريسبي!$C$2:$C$1800,الريسبي!$A$2:$A$1800,$A65,الريسبي!$B$2:$B$1800,C$1)</f>
        <v>0</v>
      </c>
      <c r="D65" s="115" t="n">
        <f aca="false">SUMIFS(الريسبي!$C$2:$C$1800,الريسبي!$A$2:$A$1800,$A65,الريسبي!$B$2:$B$1800,D$1)</f>
        <v>0</v>
      </c>
      <c r="E65" s="115" t="n">
        <f aca="false">SUMIFS(الريسبي!$C$2:$C$1800,الريسبي!$A$2:$A$1800,$A65,الريسبي!$B$2:$B$1800,E$1)</f>
        <v>0</v>
      </c>
      <c r="F65" s="115" t="n">
        <f aca="false">SUMIFS(الريسبي!$C$2:$C$1800,الريسبي!$A$2:$A$1800,$A65,الريسبي!$B$2:$B$1800,F$1)</f>
        <v>0</v>
      </c>
      <c r="G65" s="115" t="n">
        <f aca="false">SUMIFS(الريسبي!$C$2:$C$1800,الريسبي!$A$2:$A$1800,$A65,الريسبي!$B$2:$B$1800,G$1)</f>
        <v>0</v>
      </c>
      <c r="H65" s="115" t="n">
        <f aca="false">SUMIFS(الريسبي!$C$2:$C$1800,الريسبي!$A$2:$A$1800,$A65,الريسبي!$B$2:$B$1800,H$1)</f>
        <v>0</v>
      </c>
      <c r="I65" s="115" t="n">
        <f aca="false">SUMIFS(الريسبي!$C$2:$C$1800,الريسبي!$A$2:$A$1800,$A65,الريسبي!$B$2:$B$1800,I$1)</f>
        <v>0</v>
      </c>
      <c r="J65" s="115" t="n">
        <f aca="false">SUMIFS(الريسبي!$C$2:$C$1800,الريسبي!$A$2:$A$1800,$A65,الريسبي!$B$2:$B$1800,J$1)</f>
        <v>0</v>
      </c>
      <c r="K65" s="115" t="n">
        <f aca="false">SUMIFS(الريسبي!$C$2:$C$1800,الريسبي!$A$2:$A$1800,$A65,الريسبي!$B$2:$B$1800,K$1)</f>
        <v>0</v>
      </c>
      <c r="L65" s="115" t="n">
        <f aca="false">SUMIFS(الريسبي!$C$2:$C$1800,الريسبي!$A$2:$A$1800,$A65,الريسبي!$B$2:$B$1800,L$1)</f>
        <v>0</v>
      </c>
      <c r="M65" s="115" t="n">
        <f aca="false">SUMIFS(الريسبي!$C$2:$C$1800,الريسبي!$A$2:$A$1800,$A65,الريسبي!$B$2:$B$1800,M$1)</f>
        <v>0</v>
      </c>
      <c r="N65" s="115" t="n">
        <f aca="false">SUMIFS(الريسبي!$C$2:$C$1800,الريسبي!$A$2:$A$1800,$A65,الريسبي!$B$2:$B$1800,N$1)</f>
        <v>0</v>
      </c>
      <c r="O65" s="115" t="n">
        <f aca="false">SUMIFS(الريسبي!$C$2:$C$1800,الريسبي!$A$2:$A$1800,$A65,الريسبي!$B$2:$B$1800,O$1)</f>
        <v>0</v>
      </c>
      <c r="P65" s="115" t="n">
        <f aca="false">SUMIFS(الريسبي!$C$2:$C$1800,الريسبي!$A$2:$A$1800,$A65,الريسبي!$B$2:$B$1800,P$1)</f>
        <v>0</v>
      </c>
      <c r="Q65" s="115" t="n">
        <f aca="false">SUMIFS(الريسبي!$C$2:$C$1800,الريسبي!$A$2:$A$1800,$A65,الريسبي!$B$2:$B$1800,Q$1)</f>
        <v>1</v>
      </c>
      <c r="R65" s="115" t="n">
        <f aca="false">SUMIFS(الريسبي!$C$2:$C$1800,الريسبي!$A$2:$A$1800,$A65,الريسبي!$B$2:$B$1800,R$1)</f>
        <v>0</v>
      </c>
      <c r="S65" s="115" t="n">
        <f aca="false">SUMIFS(الريسبي!$C$2:$C$1800,الريسبي!$A$2:$A$1800,$A65,الريسبي!$B$2:$B$1800,S$1)</f>
        <v>0</v>
      </c>
      <c r="T65" s="115" t="n">
        <f aca="false">SUMIFS(الريسبي!$C$2:$C$1800,الريسبي!$A$2:$A$1800,$A65,الريسبي!$B$2:$B$1800,T$1)</f>
        <v>0</v>
      </c>
      <c r="U65" s="115" t="n">
        <f aca="false">SUMIFS(الريسبي!$C$2:$C$1800,الريسبي!$A$2:$A$1800,$A65,الريسبي!$B$2:$B$1800,U$1)</f>
        <v>0</v>
      </c>
      <c r="V65" s="115" t="n">
        <f aca="false">SUMIFS(الريسبي!$C$2:$C$1800,الريسبي!$A$2:$A$1800,$A65,الريسبي!$B$2:$B$1800,V$1)</f>
        <v>0</v>
      </c>
      <c r="W65" s="115" t="n">
        <f aca="false">SUMIFS(الريسبي!$C$2:$C$1800,الريسبي!$A$2:$A$1800,$A65,الريسبي!$B$2:$B$1800,W$1)</f>
        <v>0</v>
      </c>
      <c r="X65" s="115" t="n">
        <f aca="false">SUMIFS(الريسبي!$C$2:$C$1800,الريسبي!$A$2:$A$1800,$A65,الريسبي!$B$2:$B$1800,X$1)</f>
        <v>1</v>
      </c>
      <c r="Y65" s="115" t="n">
        <f aca="false">SUMIFS(الريسبي!$C$2:$C$1800,الريسبي!$A$2:$A$1800,$A65,الريسبي!$B$2:$B$1800,Y$1)</f>
        <v>0</v>
      </c>
      <c r="Z65" s="115" t="n">
        <f aca="false">SUMIFS(الريسبي!$C$2:$C$1800,الريسبي!$A$2:$A$1800,$A65,الريسبي!$B$2:$B$1800,Z$1)</f>
        <v>0</v>
      </c>
      <c r="AA65" s="115" t="n">
        <f aca="false">SUMIFS(الريسبي!$C$2:$C$1800,الريسبي!$A$2:$A$1800,$A65,الريسبي!$B$2:$B$1800,AA$1)</f>
        <v>0</v>
      </c>
      <c r="AB65" s="115" t="n">
        <f aca="false">SUMIFS(الريسبي!$C$2:$C$1800,الريسبي!$A$2:$A$1800,$A65,الريسبي!$B$2:$B$1800,AB$1)</f>
        <v>0</v>
      </c>
      <c r="AC65" s="115" t="n">
        <f aca="false">SUMIFS(الريسبي!$C$2:$C$1800,الريسبي!$A$2:$A$1800,$A65,الريسبي!$B$2:$B$1800,AC$1)</f>
        <v>0</v>
      </c>
      <c r="AD65" s="115" t="n">
        <f aca="false">SUMIFS(الريسبي!$C$2:$C$1800,الريسبي!$A$2:$A$1800,$A65,الريسبي!$B$2:$B$1800,AD$1)</f>
        <v>0</v>
      </c>
      <c r="AE65" s="115" t="n">
        <f aca="false">SUMIFS(الريسبي!$C$2:$C$1800,الريسبي!$A$2:$A$1800,$A65,الريسبي!$B$2:$B$1800,AE$1)</f>
        <v>0</v>
      </c>
      <c r="AF65" s="115" t="n">
        <f aca="false">SUMIFS(الريسبي!$C$2:$C$1800,الريسبي!$A$2:$A$1800,$A65,الريسبي!$B$2:$B$1800,AF$1)</f>
        <v>0</v>
      </c>
      <c r="AG65" s="115" t="n">
        <f aca="false">SUMIFS(الريسبي!$C$2:$C$1800,الريسبي!$A$2:$A$1800,$A65,الريسبي!$B$2:$B$1800,AG$1)</f>
        <v>0</v>
      </c>
      <c r="AH65" s="115" t="n">
        <f aca="false">SUMIFS(الريسبي!$C$2:$C$1800,الريسبي!$A$2:$A$1800,$A65,الريسبي!$B$2:$B$1800,AH$1)</f>
        <v>0</v>
      </c>
      <c r="AI65" s="115" t="n">
        <f aca="false">SUMIFS(الريسبي!$C$2:$C$1800,الريسبي!$A$2:$A$1800,$A65,الريسبي!$B$2:$B$1800,AI$1)</f>
        <v>0</v>
      </c>
      <c r="AJ65" s="115" t="n">
        <f aca="false">SUMIFS(الريسبي!$C$2:$C$1800,الريسبي!$A$2:$A$1800,$A65,الريسبي!$B$2:$B$1800,AJ$1)</f>
        <v>0</v>
      </c>
      <c r="AK65" s="115" t="n">
        <f aca="false">SUMIFS(الريسبي!$C$2:$C$1800,الريسبي!$A$2:$A$1800,$A65,الريسبي!$B$2:$B$1800,AK$1)</f>
        <v>0</v>
      </c>
      <c r="AL65" s="115" t="n">
        <f aca="false">SUMIFS(الريسبي!$C$2:$C$1800,الريسبي!$A$2:$A$1800,$A65,الريسبي!$B$2:$B$1800,AL$1)</f>
        <v>0</v>
      </c>
      <c r="AM65" s="115"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15"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15" t="n">
        <f aca="false">SUMIFS(الريسبي!$C$2:$C$1800,الريسبي!$A$2:$A$1800,$A65,الريسبي!$B$2:$B$1800,AO$1)</f>
        <v>0</v>
      </c>
      <c r="AP65" s="115" t="n">
        <f aca="false">SUMIFS(الريسبي!$C$2:$C$1800,الريسبي!$A$2:$A$1800,$A65,الريسبي!$B$2:$B$1800,AP$1)</f>
        <v>0.02</v>
      </c>
      <c r="AQ65" s="115"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15" t="n">
        <f aca="false">SUMIFS(الريسبي!$C$2:$C$1800,الريسبي!$A$2:$A$1800,$A65,الريسبي!$B$2:$B$1800,AR$1)</f>
        <v>0</v>
      </c>
      <c r="AS65" s="115" t="n">
        <f aca="false">SUMIFS(الريسبي!$C$2:$C$1800,الريسبي!$A$2:$A$1800,$A65,الريسبي!$B$2:$B$1800,AS$1)</f>
        <v>1</v>
      </c>
      <c r="AT65" s="115" t="n">
        <f aca="false">SUMIFS(الريسبي!$C$2:$C$1800,الريسبي!$A$2:$A$1800,$A65,الريسبي!$B$2:$B$1800,AT$1)</f>
        <v>0</v>
      </c>
      <c r="AU65" s="115" t="n">
        <f aca="false">SUMIFS(الريسبي!$C$2:$C$1800,الريسبي!$A$2:$A$1800,$A65,الريسبي!$B$2:$B$1800,AU$1)</f>
        <v>0</v>
      </c>
      <c r="AV65" s="115" t="n">
        <f aca="false">SUMIFS(الريسبي!$C$2:$C$1800,الريسبي!$A$2:$A$1800,$A65,الريسبي!$B$2:$B$1800,AV$1)</f>
        <v>0</v>
      </c>
      <c r="AW65" s="115" t="n">
        <f aca="false">SUMIFS(الريسبي!$C$2:$C$1800,الريسبي!$A$2:$A$1800,$A65,الريسبي!$B$2:$B$1800,AW$1)</f>
        <v>0</v>
      </c>
      <c r="AX65" s="115" t="n">
        <f aca="false">SUMIFS(الريسبي!$C$2:$C$1800,الريسبي!$A$2:$A$1800,$A65,الريسبي!$B$2:$B$1800,AX$1)</f>
        <v>0</v>
      </c>
      <c r="AY65" s="115" t="n">
        <f aca="false">SUMIFS(الريسبي!$C$2:$C$1800,الريسبي!$A$2:$A$1800,$A65,الريسبي!$B$2:$B$1800,AY$1)</f>
        <v>0</v>
      </c>
      <c r="AZ65" s="115" t="n">
        <f aca="false">SUMIFS(الريسبي!$C$2:$C$1800,الريسبي!$A$2:$A$1800,$A65,الريسبي!$B$2:$B$1800,AZ$1)</f>
        <v>0</v>
      </c>
      <c r="BA65" s="115" t="n">
        <f aca="false">SUMIFS(الريسبي!$C$2:$C$1800,الريسبي!$A$2:$A$1800,$A65,الريسبي!$B$2:$B$1800,BA$1)</f>
        <v>0</v>
      </c>
      <c r="BB65" s="115" t="n">
        <f aca="false">SUMIFS(الريسبي!$C$2:$C$1800,الريسبي!$A$2:$A$1800,$A65,الريسبي!$B$2:$B$1800,BB$1)</f>
        <v>0</v>
      </c>
      <c r="BC65" s="115" t="n">
        <f aca="false">SUMIFS(الريسبي!$C$2:$C$1800,الريسبي!$A$2:$A$1800,$A65,الريسبي!$B$2:$B$1800,BC$1)</f>
        <v>0.03</v>
      </c>
      <c r="BD65" s="115" t="n">
        <f aca="false">SUMIFS(الريسبي!$C$2:$C$1800,الريسبي!$A$2:$A$1800,$A65,الريسبي!$B$2:$B$1800,BD$1)</f>
        <v>0</v>
      </c>
      <c r="BE65" s="115" t="n">
        <f aca="false">SUMIFS(الريسبي!$C$2:$C$1800,الريسبي!$A$2:$A$1800,$A65,الريسبي!$B$2:$B$1800,BE$1)</f>
        <v>0</v>
      </c>
      <c r="BF65" s="115" t="n">
        <f aca="false">SUMIFS(الريسبي!$C$2:$C$1800,الريسبي!$A$2:$A$1800,$A65,الريسبي!$B$2:$B$1800,BF$1)</f>
        <v>0</v>
      </c>
      <c r="BG65" s="115" t="n">
        <f aca="false">SUMIFS(الريسبي!$C$2:$C$1800,الريسبي!$A$2:$A$1800,$A65,الريسبي!$B$2:$B$1800,BG$1)</f>
        <v>0</v>
      </c>
      <c r="BH65" s="115" t="n">
        <f aca="false">SUMIFS(الريسبي!$C$2:$C$1800,الريسبي!$A$2:$A$1800,$A65,الريسبي!$B$2:$B$1800,BH$1)</f>
        <v>0</v>
      </c>
      <c r="BI65" s="115" t="n">
        <f aca="false">SUMIFS(الريسبي!$C$2:$C$1800,الريسبي!$A$2:$A$1800,$A65,الريسبي!$B$2:$B$1800,BI$1)</f>
        <v>0</v>
      </c>
      <c r="BJ65" s="115" t="n">
        <f aca="false">SUMIFS(الريسبي!$C$2:$C$1800,الريسبي!$A$2:$A$1800,$A65,الريسبي!$B$2:$B$1800,BJ$1)</f>
        <v>0</v>
      </c>
      <c r="BK65" s="115" t="n">
        <f aca="false">SUMIFS(الريسبي!$C$2:$C$1800,الريسبي!$A$2:$A$1800,$A65,الريسبي!$B$2:$B$1800,BK$1)</f>
        <v>0</v>
      </c>
      <c r="BL65" s="115" t="n">
        <f aca="false">SUMIFS(الريسبي!$C$2:$C$1800,الريسبي!$A$2:$A$1800,$A65,الريسبي!$B$2:$B$1800,BL$1)</f>
        <v>0</v>
      </c>
      <c r="BM65" s="115" t="n">
        <f aca="false">SUMIFS(الريسبي!$C$2:$C$1800,الريسبي!$A$2:$A$1800,$A65,الريسبي!$B$2:$B$1800,BM$1)</f>
        <v>0</v>
      </c>
      <c r="BN65" s="115" t="n">
        <f aca="false">SUMIFS(الريسبي!$C$2:$C$1800,الريسبي!$A$2:$A$1800,$A65,الريسبي!$B$2:$B$1800,BN$1)</f>
        <v>0.02</v>
      </c>
      <c r="BO65" s="115" t="n">
        <f aca="false">SUMIFS(الريسبي!$C$2:$C$1800,الريسبي!$A$2:$A$1800,$A65,الريسبي!$B$2:$B$1800,BO$1)</f>
        <v>0</v>
      </c>
      <c r="BP65" s="115" t="n">
        <f aca="false">SUMIFS(الريسبي!$C$2:$C$1800,الريسبي!$A$2:$A$1800,$A65,الريسبي!$B$2:$B$1800,BP$1)</f>
        <v>0</v>
      </c>
      <c r="BQ65" s="115"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15" t="n">
        <f aca="false">SUMIFS(الريسبي!$C$2:$C$1800,الريسبي!$A$2:$A$1800,$A65,الريسبي!$B$2:$B$1800,BR$1)</f>
        <v>0</v>
      </c>
      <c r="BS65" s="115" t="n">
        <f aca="false">SUMIFS(الريسبي!$C$2:$C$1800,الريسبي!$A$2:$A$1800,$A65,الريسبي!$B$2:$B$1800,BS$1)</f>
        <v>0</v>
      </c>
      <c r="BT65" s="115" t="n">
        <f aca="false">SUMIFS(الريسبي!$C$2:$C$1800,الريسبي!$A$2:$A$1800,$A65,الريسبي!$B$2:$B$1800,BT$1)</f>
        <v>1</v>
      </c>
      <c r="BU65" s="115"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15" t="n">
        <f aca="false">SUMIFS(الريسبي!$C$2:$C$1800,الريسبي!$A$2:$A$1800,$A65,الريسبي!$B$2:$B$1800,BV$1)</f>
        <v>0</v>
      </c>
      <c r="BW65" s="115" t="n">
        <f aca="false">SUMIFS(الريسبي!$C$2:$C$1800,الريسبي!$A$2:$A$1800,$A65,الريسبي!$B$2:$B$1800,BW$1)</f>
        <v>0</v>
      </c>
      <c r="BX65" s="115" t="n">
        <f aca="false">SUMIFS(الريسبي!$C$2:$C$1800,الريسبي!$A$2:$A$1800,$A65,الريسبي!$B$2:$B$1800,BX$1)</f>
        <v>0</v>
      </c>
      <c r="BY65" s="115" t="n">
        <f aca="false">SUMIFS(الريسبي!$C$2:$C$1800,الريسبي!$A$2:$A$1800,$A65,الريسبي!$B$2:$B$1800,BY$1)</f>
        <v>0</v>
      </c>
      <c r="BZ65" s="115" t="n">
        <f aca="false">SUMIFS(الريسبي!$C$2:$C$1800,الريسبي!$A$2:$A$1800,$A65,الريسبي!$B$2:$B$1800,BZ$1)</f>
        <v>0</v>
      </c>
      <c r="CA65" s="115" t="n">
        <f aca="false">SUMIFS(الريسبي!$C$2:$C$1800,الريسبي!$A$2:$A$1800,$A65,الريسبي!$B$2:$B$1800,CA$1)</f>
        <v>0</v>
      </c>
      <c r="CB65" s="115" t="n">
        <f aca="false">SUMIFS(الريسبي!$C$2:$C$1800,الريسبي!$A$2:$A$1800,$A65,الريسبي!$B$2:$B$1800,CB$1)</f>
        <v>0</v>
      </c>
      <c r="CC65" s="115" t="n">
        <f aca="false">SUMIFS(الريسبي!$C$2:$C$1800,الريسبي!$A$2:$A$1800,$A65,الريسبي!$B$2:$B$1800,CC$1)</f>
        <v>0</v>
      </c>
      <c r="CD65" s="115" t="n">
        <f aca="false">SUMIFS(الريسبي!$C$2:$C$1800,الريسبي!$A$2:$A$1800,$A65,الريسبي!$B$2:$B$1800,CD$1)</f>
        <v>0</v>
      </c>
      <c r="CE65" s="115" t="n">
        <f aca="false">SUMIFS(الريسبي!$C$2:$C$1800,الريسبي!$A$2:$A$1800,$A65,الريسبي!$B$2:$B$1800,CE$1)</f>
        <v>0</v>
      </c>
      <c r="CF65" s="115" t="n">
        <f aca="false">SUMIFS(الريسبي!$C$2:$C$1800,الريسبي!$A$2:$A$1800,$A65,الريسبي!$B$2:$B$1800,CF$1)</f>
        <v>0</v>
      </c>
      <c r="CG65" s="115" t="n">
        <f aca="false">SUMIFS(الريسبي!$C$2:$C$1800,الريسبي!$A$2:$A$1800,$A65,الريسبي!$B$2:$B$1800,CG$1)</f>
        <v>0</v>
      </c>
      <c r="CH65" s="115" t="n">
        <f aca="false">SUMIFS(الريسبي!$C$2:$C$1800,الريسبي!$A$2:$A$1800,$A65,الريسبي!$B$2:$B$1800,CH$1)</f>
        <v>0</v>
      </c>
    </row>
    <row r="66" customFormat="false" ht="15" hidden="false" customHeight="false" outlineLevel="0" collapsed="false">
      <c r="A66" s="114" t="str">
        <f aca="false">المنيو!B66</f>
        <v>كريب مشكل فراخ</v>
      </c>
      <c r="B66" s="115" t="n">
        <f aca="false">SUMIFS(الريسبي!$C$2:$C$1800,الريسبي!$A$2:$A$1800,$A66,الريسبي!$B$2:$B$1800,B$1)</f>
        <v>0</v>
      </c>
      <c r="C66" s="115" t="n">
        <f aca="false">SUMIFS(الريسبي!$C$2:$C$1800,الريسبي!$A$2:$A$1800,$A66,الريسبي!$B$2:$B$1800,C$1)</f>
        <v>0</v>
      </c>
      <c r="D66" s="115" t="n">
        <f aca="false">SUMIFS(الريسبي!$C$2:$C$1800,الريسبي!$A$2:$A$1800,$A66,الريسبي!$B$2:$B$1800,D$1)</f>
        <v>0</v>
      </c>
      <c r="E66" s="115" t="n">
        <f aca="false">SUMIFS(الريسبي!$C$2:$C$1800,الريسبي!$A$2:$A$1800,$A66,الريسبي!$B$2:$B$1800,E$1)</f>
        <v>0</v>
      </c>
      <c r="F66" s="115" t="n">
        <f aca="false">SUMIFS(الريسبي!$C$2:$C$1800,الريسبي!$A$2:$A$1800,$A66,الريسبي!$B$2:$B$1800,F$1)</f>
        <v>0</v>
      </c>
      <c r="G66" s="115" t="n">
        <f aca="false">SUMIFS(الريسبي!$C$2:$C$1800,الريسبي!$A$2:$A$1800,$A66,الريسبي!$B$2:$B$1800,G$1)</f>
        <v>0</v>
      </c>
      <c r="H66" s="115" t="n">
        <f aca="false">SUMIFS(الريسبي!$C$2:$C$1800,الريسبي!$A$2:$A$1800,$A66,الريسبي!$B$2:$B$1800,H$1)</f>
        <v>0</v>
      </c>
      <c r="I66" s="115" t="n">
        <f aca="false">SUMIFS(الريسبي!$C$2:$C$1800,الريسبي!$A$2:$A$1800,$A66,الريسبي!$B$2:$B$1800,I$1)</f>
        <v>0</v>
      </c>
      <c r="J66" s="115" t="n">
        <f aca="false">SUMIFS(الريسبي!$C$2:$C$1800,الريسبي!$A$2:$A$1800,$A66,الريسبي!$B$2:$B$1800,J$1)</f>
        <v>0</v>
      </c>
      <c r="K66" s="115" t="n">
        <f aca="false">SUMIFS(الريسبي!$C$2:$C$1800,الريسبي!$A$2:$A$1800,$A66,الريسبي!$B$2:$B$1800,K$1)</f>
        <v>0</v>
      </c>
      <c r="L66" s="115" t="n">
        <f aca="false">SUMIFS(الريسبي!$C$2:$C$1800,الريسبي!$A$2:$A$1800,$A66,الريسبي!$B$2:$B$1800,L$1)</f>
        <v>0</v>
      </c>
      <c r="M66" s="115" t="n">
        <f aca="false">SUMIFS(الريسبي!$C$2:$C$1800,الريسبي!$A$2:$A$1800,$A66,الريسبي!$B$2:$B$1800,M$1)</f>
        <v>0</v>
      </c>
      <c r="N66" s="115" t="n">
        <f aca="false">SUMIFS(الريسبي!$C$2:$C$1800,الريسبي!$A$2:$A$1800,$A66,الريسبي!$B$2:$B$1800,N$1)</f>
        <v>0</v>
      </c>
      <c r="O66" s="115" t="n">
        <f aca="false">SUMIFS(الريسبي!$C$2:$C$1800,الريسبي!$A$2:$A$1800,$A66,الريسبي!$B$2:$B$1800,O$1)</f>
        <v>0.5</v>
      </c>
      <c r="P66" s="115" t="n">
        <f aca="false">SUMIFS(الريسبي!$C$2:$C$1800,الريسبي!$A$2:$A$1800,$A66,الريسبي!$B$2:$B$1800,P$1)</f>
        <v>0</v>
      </c>
      <c r="Q66" s="115" t="n">
        <f aca="false">SUMIFS(الريسبي!$C$2:$C$1800,الريسبي!$A$2:$A$1800,$A66,الريسبي!$B$2:$B$1800,Q$1)</f>
        <v>0.5</v>
      </c>
      <c r="R66" s="115" t="n">
        <f aca="false">SUMIFS(الريسبي!$C$2:$C$1800,الريسبي!$A$2:$A$1800,$A66,الريسبي!$B$2:$B$1800,R$1)</f>
        <v>0</v>
      </c>
      <c r="S66" s="115" t="n">
        <f aca="false">SUMIFS(الريسبي!$C$2:$C$1800,الريسبي!$A$2:$A$1800,$A66,الريسبي!$B$2:$B$1800,S$1)</f>
        <v>0</v>
      </c>
      <c r="T66" s="115" t="n">
        <f aca="false">SUMIFS(الريسبي!$C$2:$C$1800,الريسبي!$A$2:$A$1800,$A66,الريسبي!$B$2:$B$1800,T$1)</f>
        <v>0</v>
      </c>
      <c r="U66" s="115" t="n">
        <f aca="false">SUMIFS(الريسبي!$C$2:$C$1800,الريسبي!$A$2:$A$1800,$A66,الريسبي!$B$2:$B$1800,U$1)</f>
        <v>0</v>
      </c>
      <c r="V66" s="115" t="n">
        <f aca="false">SUMIFS(الريسبي!$C$2:$C$1800,الريسبي!$A$2:$A$1800,$A66,الريسبي!$B$2:$B$1800,V$1)</f>
        <v>0</v>
      </c>
      <c r="W66" s="115" t="n">
        <f aca="false">SUMIFS(الريسبي!$C$2:$C$1800,الريسبي!$A$2:$A$1800,$A66,الريسبي!$B$2:$B$1800,W$1)</f>
        <v>0</v>
      </c>
      <c r="X66" s="115" t="n">
        <f aca="false">SUMIFS(الريسبي!$C$2:$C$1800,الريسبي!$A$2:$A$1800,$A66,الريسبي!$B$2:$B$1800,X$1)</f>
        <v>1</v>
      </c>
      <c r="Y66" s="115" t="n">
        <f aca="false">SUMIFS(الريسبي!$C$2:$C$1800,الريسبي!$A$2:$A$1800,$A66,الريسبي!$B$2:$B$1800,Y$1)</f>
        <v>0</v>
      </c>
      <c r="Z66" s="115" t="n">
        <f aca="false">SUMIFS(الريسبي!$C$2:$C$1800,الريسبي!$A$2:$A$1800,$A66,الريسبي!$B$2:$B$1800,Z$1)</f>
        <v>0</v>
      </c>
      <c r="AA66" s="115" t="n">
        <f aca="false">SUMIFS(الريسبي!$C$2:$C$1800,الريسبي!$A$2:$A$1800,$A66,الريسبي!$B$2:$B$1800,AA$1)</f>
        <v>0</v>
      </c>
      <c r="AB66" s="115" t="n">
        <f aca="false">SUMIFS(الريسبي!$C$2:$C$1800,الريسبي!$A$2:$A$1800,$A66,الريسبي!$B$2:$B$1800,AB$1)</f>
        <v>0</v>
      </c>
      <c r="AC66" s="115" t="n">
        <f aca="false">SUMIFS(الريسبي!$C$2:$C$1800,الريسبي!$A$2:$A$1800,$A66,الريسبي!$B$2:$B$1800,AC$1)</f>
        <v>0</v>
      </c>
      <c r="AD66" s="115" t="n">
        <f aca="false">SUMIFS(الريسبي!$C$2:$C$1800,الريسبي!$A$2:$A$1800,$A66,الريسبي!$B$2:$B$1800,AD$1)</f>
        <v>0</v>
      </c>
      <c r="AE66" s="115" t="n">
        <f aca="false">SUMIFS(الريسبي!$C$2:$C$1800,الريسبي!$A$2:$A$1800,$A66,الريسبي!$B$2:$B$1800,AE$1)</f>
        <v>0</v>
      </c>
      <c r="AF66" s="115" t="n">
        <f aca="false">SUMIFS(الريسبي!$C$2:$C$1800,الريسبي!$A$2:$A$1800,$A66,الريسبي!$B$2:$B$1800,AF$1)</f>
        <v>0</v>
      </c>
      <c r="AG66" s="115" t="n">
        <f aca="false">SUMIFS(الريسبي!$C$2:$C$1800,الريسبي!$A$2:$A$1800,$A66,الريسبي!$B$2:$B$1800,AG$1)</f>
        <v>0</v>
      </c>
      <c r="AH66" s="115" t="n">
        <f aca="false">SUMIFS(الريسبي!$C$2:$C$1800,الريسبي!$A$2:$A$1800,$A66,الريسبي!$B$2:$B$1800,AH$1)</f>
        <v>0</v>
      </c>
      <c r="AI66" s="115" t="n">
        <f aca="false">SUMIFS(الريسبي!$C$2:$C$1800,الريسبي!$A$2:$A$1800,$A66,الريسبي!$B$2:$B$1800,AI$1)</f>
        <v>0</v>
      </c>
      <c r="AJ66" s="115" t="n">
        <f aca="false">SUMIFS(الريسبي!$C$2:$C$1800,الريسبي!$A$2:$A$1800,$A66,الريسبي!$B$2:$B$1800,AJ$1)</f>
        <v>0</v>
      </c>
      <c r="AK66" s="115" t="n">
        <f aca="false">SUMIFS(الريسبي!$C$2:$C$1800,الريسبي!$A$2:$A$1800,$A66,الريسبي!$B$2:$B$1800,AK$1)</f>
        <v>0</v>
      </c>
      <c r="AL66" s="115" t="n">
        <f aca="false">SUMIFS(الريسبي!$C$2:$C$1800,الريسبي!$A$2:$A$1800,$A66,الريسبي!$B$2:$B$1800,AL$1)</f>
        <v>0</v>
      </c>
      <c r="AM66" s="115"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15"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15" t="n">
        <f aca="false">SUMIFS(الريسبي!$C$2:$C$1800,الريسبي!$A$2:$A$1800,$A66,الريسبي!$B$2:$B$1800,AO$1)</f>
        <v>0</v>
      </c>
      <c r="AP66" s="115" t="n">
        <f aca="false">SUMIFS(الريسبي!$C$2:$C$1800,الريسبي!$A$2:$A$1800,$A66,الريسبي!$B$2:$B$1800,AP$1)</f>
        <v>0.02</v>
      </c>
      <c r="AQ66" s="115"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15" t="n">
        <f aca="false">SUMIFS(الريسبي!$C$2:$C$1800,الريسبي!$A$2:$A$1800,$A66,الريسبي!$B$2:$B$1800,AR$1)</f>
        <v>0</v>
      </c>
      <c r="AS66" s="115" t="n">
        <f aca="false">SUMIFS(الريسبي!$C$2:$C$1800,الريسبي!$A$2:$A$1800,$A66,الريسبي!$B$2:$B$1800,AS$1)</f>
        <v>1</v>
      </c>
      <c r="AT66" s="115" t="n">
        <f aca="false">SUMIFS(الريسبي!$C$2:$C$1800,الريسبي!$A$2:$A$1800,$A66,الريسبي!$B$2:$B$1800,AT$1)</f>
        <v>0</v>
      </c>
      <c r="AU66" s="115" t="n">
        <f aca="false">SUMIFS(الريسبي!$C$2:$C$1800,الريسبي!$A$2:$A$1800,$A66,الريسبي!$B$2:$B$1800,AU$1)</f>
        <v>0</v>
      </c>
      <c r="AV66" s="115" t="n">
        <f aca="false">SUMIFS(الريسبي!$C$2:$C$1800,الريسبي!$A$2:$A$1800,$A66,الريسبي!$B$2:$B$1800,AV$1)</f>
        <v>0</v>
      </c>
      <c r="AW66" s="115" t="n">
        <f aca="false">SUMIFS(الريسبي!$C$2:$C$1800,الريسبي!$A$2:$A$1800,$A66,الريسبي!$B$2:$B$1800,AW$1)</f>
        <v>0</v>
      </c>
      <c r="AX66" s="115" t="n">
        <f aca="false">SUMIFS(الريسبي!$C$2:$C$1800,الريسبي!$A$2:$A$1800,$A66,الريسبي!$B$2:$B$1800,AX$1)</f>
        <v>0</v>
      </c>
      <c r="AY66" s="115" t="n">
        <f aca="false">SUMIFS(الريسبي!$C$2:$C$1800,الريسبي!$A$2:$A$1800,$A66,الريسبي!$B$2:$B$1800,AY$1)</f>
        <v>0</v>
      </c>
      <c r="AZ66" s="115" t="n">
        <f aca="false">SUMIFS(الريسبي!$C$2:$C$1800,الريسبي!$A$2:$A$1800,$A66,الريسبي!$B$2:$B$1800,AZ$1)</f>
        <v>0</v>
      </c>
      <c r="BA66" s="115" t="n">
        <f aca="false">SUMIFS(الريسبي!$C$2:$C$1800,الريسبي!$A$2:$A$1800,$A66,الريسبي!$B$2:$B$1800,BA$1)</f>
        <v>0</v>
      </c>
      <c r="BB66" s="115" t="n">
        <f aca="false">SUMIFS(الريسبي!$C$2:$C$1800,الريسبي!$A$2:$A$1800,$A66,الريسبي!$B$2:$B$1800,BB$1)</f>
        <v>0</v>
      </c>
      <c r="BC66" s="115" t="n">
        <f aca="false">SUMIFS(الريسبي!$C$2:$C$1800,الريسبي!$A$2:$A$1800,$A66,الريسبي!$B$2:$B$1800,BC$1)</f>
        <v>0.03</v>
      </c>
      <c r="BD66" s="115" t="n">
        <f aca="false">SUMIFS(الريسبي!$C$2:$C$1800,الريسبي!$A$2:$A$1800,$A66,الريسبي!$B$2:$B$1800,BD$1)</f>
        <v>0</v>
      </c>
      <c r="BE66" s="115" t="n">
        <f aca="false">SUMIFS(الريسبي!$C$2:$C$1800,الريسبي!$A$2:$A$1800,$A66,الريسبي!$B$2:$B$1800,BE$1)</f>
        <v>0</v>
      </c>
      <c r="BF66" s="115" t="n">
        <f aca="false">SUMIFS(الريسبي!$C$2:$C$1800,الريسبي!$A$2:$A$1800,$A66,الريسبي!$B$2:$B$1800,BF$1)</f>
        <v>0</v>
      </c>
      <c r="BG66" s="115" t="n">
        <f aca="false">SUMIFS(الريسبي!$C$2:$C$1800,الريسبي!$A$2:$A$1800,$A66,الريسبي!$B$2:$B$1800,BG$1)</f>
        <v>0</v>
      </c>
      <c r="BH66" s="115" t="n">
        <f aca="false">SUMIFS(الريسبي!$C$2:$C$1800,الريسبي!$A$2:$A$1800,$A66,الريسبي!$B$2:$B$1800,BH$1)</f>
        <v>0</v>
      </c>
      <c r="BI66" s="115" t="n">
        <f aca="false">SUMIFS(الريسبي!$C$2:$C$1800,الريسبي!$A$2:$A$1800,$A66,الريسبي!$B$2:$B$1800,BI$1)</f>
        <v>0</v>
      </c>
      <c r="BJ66" s="115" t="n">
        <f aca="false">SUMIFS(الريسبي!$C$2:$C$1800,الريسبي!$A$2:$A$1800,$A66,الريسبي!$B$2:$B$1800,BJ$1)</f>
        <v>0</v>
      </c>
      <c r="BK66" s="115" t="n">
        <f aca="false">SUMIFS(الريسبي!$C$2:$C$1800,الريسبي!$A$2:$A$1800,$A66,الريسبي!$B$2:$B$1800,BK$1)</f>
        <v>0</v>
      </c>
      <c r="BL66" s="115" t="n">
        <f aca="false">SUMIFS(الريسبي!$C$2:$C$1800,الريسبي!$A$2:$A$1800,$A66,الريسبي!$B$2:$B$1800,BL$1)</f>
        <v>0</v>
      </c>
      <c r="BM66" s="115" t="n">
        <f aca="false">SUMIFS(الريسبي!$C$2:$C$1800,الريسبي!$A$2:$A$1800,$A66,الريسبي!$B$2:$B$1800,BM$1)</f>
        <v>0</v>
      </c>
      <c r="BN66" s="115" t="n">
        <f aca="false">SUMIFS(الريسبي!$C$2:$C$1800,الريسبي!$A$2:$A$1800,$A66,الريسبي!$B$2:$B$1800,BN$1)</f>
        <v>0.02</v>
      </c>
      <c r="BO66" s="115" t="n">
        <f aca="false">SUMIFS(الريسبي!$C$2:$C$1800,الريسبي!$A$2:$A$1800,$A66,الريسبي!$B$2:$B$1800,BO$1)</f>
        <v>0</v>
      </c>
      <c r="BP66" s="115" t="n">
        <f aca="false">SUMIFS(الريسبي!$C$2:$C$1800,الريسبي!$A$2:$A$1800,$A66,الريسبي!$B$2:$B$1800,BP$1)</f>
        <v>0</v>
      </c>
      <c r="BQ66" s="115"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15" t="n">
        <f aca="false">SUMIFS(الريسبي!$C$2:$C$1800,الريسبي!$A$2:$A$1800,$A66,الريسبي!$B$2:$B$1800,BR$1)</f>
        <v>0</v>
      </c>
      <c r="BS66" s="115" t="n">
        <f aca="false">SUMIFS(الريسبي!$C$2:$C$1800,الريسبي!$A$2:$A$1800,$A66,الريسبي!$B$2:$B$1800,BS$1)</f>
        <v>0</v>
      </c>
      <c r="BT66" s="115" t="n">
        <f aca="false">SUMIFS(الريسبي!$C$2:$C$1800,الريسبي!$A$2:$A$1800,$A66,الريسبي!$B$2:$B$1800,BT$1)</f>
        <v>1</v>
      </c>
      <c r="BU66" s="115"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15" t="n">
        <f aca="false">SUMIFS(الريسبي!$C$2:$C$1800,الريسبي!$A$2:$A$1800,$A66,الريسبي!$B$2:$B$1800,BV$1)</f>
        <v>0</v>
      </c>
      <c r="BW66" s="115" t="n">
        <f aca="false">SUMIFS(الريسبي!$C$2:$C$1800,الريسبي!$A$2:$A$1800,$A66,الريسبي!$B$2:$B$1800,BW$1)</f>
        <v>0</v>
      </c>
      <c r="BX66" s="115" t="n">
        <f aca="false">SUMIFS(الريسبي!$C$2:$C$1800,الريسبي!$A$2:$A$1800,$A66,الريسبي!$B$2:$B$1800,BX$1)</f>
        <v>0</v>
      </c>
      <c r="BY66" s="115" t="n">
        <f aca="false">SUMIFS(الريسبي!$C$2:$C$1800,الريسبي!$A$2:$A$1800,$A66,الريسبي!$B$2:$B$1800,BY$1)</f>
        <v>0</v>
      </c>
      <c r="BZ66" s="115" t="n">
        <f aca="false">SUMIFS(الريسبي!$C$2:$C$1800,الريسبي!$A$2:$A$1800,$A66,الريسبي!$B$2:$B$1800,BZ$1)</f>
        <v>0</v>
      </c>
      <c r="CA66" s="115" t="n">
        <f aca="false">SUMIFS(الريسبي!$C$2:$C$1800,الريسبي!$A$2:$A$1800,$A66,الريسبي!$B$2:$B$1800,CA$1)</f>
        <v>0</v>
      </c>
      <c r="CB66" s="115" t="n">
        <f aca="false">SUMIFS(الريسبي!$C$2:$C$1800,الريسبي!$A$2:$A$1800,$A66,الريسبي!$B$2:$B$1800,CB$1)</f>
        <v>0</v>
      </c>
      <c r="CC66" s="115" t="n">
        <f aca="false">SUMIFS(الريسبي!$C$2:$C$1800,الريسبي!$A$2:$A$1800,$A66,الريسبي!$B$2:$B$1800,CC$1)</f>
        <v>0</v>
      </c>
      <c r="CD66" s="115" t="n">
        <f aca="false">SUMIFS(الريسبي!$C$2:$C$1800,الريسبي!$A$2:$A$1800,$A66,الريسبي!$B$2:$B$1800,CD$1)</f>
        <v>0</v>
      </c>
      <c r="CE66" s="115" t="n">
        <f aca="false">SUMIFS(الريسبي!$C$2:$C$1800,الريسبي!$A$2:$A$1800,$A66,الريسبي!$B$2:$B$1800,CE$1)</f>
        <v>0</v>
      </c>
      <c r="CF66" s="115" t="n">
        <f aca="false">SUMIFS(الريسبي!$C$2:$C$1800,الريسبي!$A$2:$A$1800,$A66,الريسبي!$B$2:$B$1800,CF$1)</f>
        <v>0</v>
      </c>
      <c r="CG66" s="115" t="n">
        <f aca="false">SUMIFS(الريسبي!$C$2:$C$1800,الريسبي!$A$2:$A$1800,$A66,الريسبي!$B$2:$B$1800,CG$1)</f>
        <v>0</v>
      </c>
      <c r="CH66" s="115" t="n">
        <f aca="false">SUMIFS(الريسبي!$C$2:$C$1800,الريسبي!$A$2:$A$1800,$A66,الريسبي!$B$2:$B$1800,CH$1)</f>
        <v>0</v>
      </c>
    </row>
    <row r="67" customFormat="false" ht="15" hidden="false" customHeight="false" outlineLevel="0" collapsed="false">
      <c r="A67" s="114" t="str">
        <f aca="false">المنيو!B67</f>
        <v>كريب بسطرمة</v>
      </c>
      <c r="B67" s="115" t="n">
        <f aca="false">SUMIFS(الريسبي!$C$2:$C$1800,الريسبي!$A$2:$A$1800,$A67,الريسبي!$B$2:$B$1800,B$1)</f>
        <v>0</v>
      </c>
      <c r="C67" s="115" t="n">
        <f aca="false">SUMIFS(الريسبي!$C$2:$C$1800,الريسبي!$A$2:$A$1800,$A67,الريسبي!$B$2:$B$1800,C$1)</f>
        <v>0</v>
      </c>
      <c r="D67" s="115" t="n">
        <f aca="false">SUMIFS(الريسبي!$C$2:$C$1800,الريسبي!$A$2:$A$1800,$A67,الريسبي!$B$2:$B$1800,D$1)</f>
        <v>0</v>
      </c>
      <c r="E67" s="115" t="n">
        <f aca="false">SUMIFS(الريسبي!$C$2:$C$1800,الريسبي!$A$2:$A$1800,$A67,الريسبي!$B$2:$B$1800,E$1)</f>
        <v>0</v>
      </c>
      <c r="F67" s="115" t="n">
        <f aca="false">SUMIFS(الريسبي!$C$2:$C$1800,الريسبي!$A$2:$A$1800,$A67,الريسبي!$B$2:$B$1800,F$1)</f>
        <v>0</v>
      </c>
      <c r="G67" s="115" t="n">
        <f aca="false">SUMIFS(الريسبي!$C$2:$C$1800,الريسبي!$A$2:$A$1800,$A67,الريسبي!$B$2:$B$1800,G$1)</f>
        <v>0</v>
      </c>
      <c r="H67" s="115" t="n">
        <f aca="false">SUMIFS(الريسبي!$C$2:$C$1800,الريسبي!$A$2:$A$1800,$A67,الريسبي!$B$2:$B$1800,H$1)</f>
        <v>0.5</v>
      </c>
      <c r="I67" s="115" t="n">
        <f aca="false">SUMIFS(الريسبي!$C$2:$C$1800,الريسبي!$A$2:$A$1800,$A67,الريسبي!$B$2:$B$1800,I$1)</f>
        <v>0</v>
      </c>
      <c r="J67" s="115" t="n">
        <f aca="false">SUMIFS(الريسبي!$C$2:$C$1800,الريسبي!$A$2:$A$1800,$A67,الريسبي!$B$2:$B$1800,J$1)</f>
        <v>0</v>
      </c>
      <c r="K67" s="115" t="n">
        <f aca="false">SUMIFS(الريسبي!$C$2:$C$1800,الريسبي!$A$2:$A$1800,$A67,الريسبي!$B$2:$B$1800,K$1)</f>
        <v>0</v>
      </c>
      <c r="L67" s="115" t="n">
        <f aca="false">SUMIFS(الريسبي!$C$2:$C$1800,الريسبي!$A$2:$A$1800,$A67,الريسبي!$B$2:$B$1800,L$1)</f>
        <v>0</v>
      </c>
      <c r="M67" s="115" t="n">
        <f aca="false">SUMIFS(الريسبي!$C$2:$C$1800,الريسبي!$A$2:$A$1800,$A67,الريسبي!$B$2:$B$1800,M$1)</f>
        <v>0</v>
      </c>
      <c r="N67" s="115" t="n">
        <f aca="false">SUMIFS(الريسبي!$C$2:$C$1800,الريسبي!$A$2:$A$1800,$A67,الريسبي!$B$2:$B$1800,N$1)</f>
        <v>0</v>
      </c>
      <c r="O67" s="115" t="n">
        <f aca="false">SUMIFS(الريسبي!$C$2:$C$1800,الريسبي!$A$2:$A$1800,$A67,الريسبي!$B$2:$B$1800,O$1)</f>
        <v>0</v>
      </c>
      <c r="P67" s="115" t="n">
        <f aca="false">SUMIFS(الريسبي!$C$2:$C$1800,الريسبي!$A$2:$A$1800,$A67,الريسبي!$B$2:$B$1800,P$1)</f>
        <v>0</v>
      </c>
      <c r="Q67" s="115" t="n">
        <f aca="false">SUMIFS(الريسبي!$C$2:$C$1800,الريسبي!$A$2:$A$1800,$A67,الريسبي!$B$2:$B$1800,Q$1)</f>
        <v>0</v>
      </c>
      <c r="R67" s="115" t="n">
        <f aca="false">SUMIFS(الريسبي!$C$2:$C$1800,الريسبي!$A$2:$A$1800,$A67,الريسبي!$B$2:$B$1800,R$1)</f>
        <v>0</v>
      </c>
      <c r="S67" s="115" t="n">
        <f aca="false">SUMIFS(الريسبي!$C$2:$C$1800,الريسبي!$A$2:$A$1800,$A67,الريسبي!$B$2:$B$1800,S$1)</f>
        <v>0</v>
      </c>
      <c r="T67" s="115" t="n">
        <f aca="false">SUMIFS(الريسبي!$C$2:$C$1800,الريسبي!$A$2:$A$1800,$A67,الريسبي!$B$2:$B$1800,T$1)</f>
        <v>0</v>
      </c>
      <c r="U67" s="115" t="n">
        <f aca="false">SUMIFS(الريسبي!$C$2:$C$1800,الريسبي!$A$2:$A$1800,$A67,الريسبي!$B$2:$B$1800,U$1)</f>
        <v>0</v>
      </c>
      <c r="V67" s="115" t="n">
        <f aca="false">SUMIFS(الريسبي!$C$2:$C$1800,الريسبي!$A$2:$A$1800,$A67,الريسبي!$B$2:$B$1800,V$1)</f>
        <v>0</v>
      </c>
      <c r="W67" s="115" t="n">
        <f aca="false">SUMIFS(الريسبي!$C$2:$C$1800,الريسبي!$A$2:$A$1800,$A67,الريسبي!$B$2:$B$1800,W$1)</f>
        <v>0</v>
      </c>
      <c r="X67" s="115" t="n">
        <f aca="false">SUMIFS(الريسبي!$C$2:$C$1800,الريسبي!$A$2:$A$1800,$A67,الريسبي!$B$2:$B$1800,X$1)</f>
        <v>1</v>
      </c>
      <c r="Y67" s="115" t="n">
        <f aca="false">SUMIFS(الريسبي!$C$2:$C$1800,الريسبي!$A$2:$A$1800,$A67,الريسبي!$B$2:$B$1800,Y$1)</f>
        <v>0</v>
      </c>
      <c r="Z67" s="115" t="n">
        <f aca="false">SUMIFS(الريسبي!$C$2:$C$1800,الريسبي!$A$2:$A$1800,$A67,الريسبي!$B$2:$B$1800,Z$1)</f>
        <v>0</v>
      </c>
      <c r="AA67" s="115" t="n">
        <f aca="false">SUMIFS(الريسبي!$C$2:$C$1800,الريسبي!$A$2:$A$1800,$A67,الريسبي!$B$2:$B$1800,AA$1)</f>
        <v>0</v>
      </c>
      <c r="AB67" s="115" t="n">
        <f aca="false">SUMIFS(الريسبي!$C$2:$C$1800,الريسبي!$A$2:$A$1800,$A67,الريسبي!$B$2:$B$1800,AB$1)</f>
        <v>0</v>
      </c>
      <c r="AC67" s="115" t="n">
        <f aca="false">SUMIFS(الريسبي!$C$2:$C$1800,الريسبي!$A$2:$A$1800,$A67,الريسبي!$B$2:$B$1800,AC$1)</f>
        <v>0</v>
      </c>
      <c r="AD67" s="115" t="n">
        <f aca="false">SUMIFS(الريسبي!$C$2:$C$1800,الريسبي!$A$2:$A$1800,$A67,الريسبي!$B$2:$B$1800,AD$1)</f>
        <v>0</v>
      </c>
      <c r="AE67" s="115" t="n">
        <f aca="false">SUMIFS(الريسبي!$C$2:$C$1800,الريسبي!$A$2:$A$1800,$A67,الريسبي!$B$2:$B$1800,AE$1)</f>
        <v>0</v>
      </c>
      <c r="AF67" s="115" t="n">
        <f aca="false">SUMIFS(الريسبي!$C$2:$C$1800,الريسبي!$A$2:$A$1800,$A67,الريسبي!$B$2:$B$1800,AF$1)</f>
        <v>0</v>
      </c>
      <c r="AG67" s="115" t="n">
        <f aca="false">SUMIFS(الريسبي!$C$2:$C$1800,الريسبي!$A$2:$A$1800,$A67,الريسبي!$B$2:$B$1800,AG$1)</f>
        <v>0</v>
      </c>
      <c r="AH67" s="115" t="n">
        <f aca="false">SUMIFS(الريسبي!$C$2:$C$1800,الريسبي!$A$2:$A$1800,$A67,الريسبي!$B$2:$B$1800,AH$1)</f>
        <v>0</v>
      </c>
      <c r="AI67" s="115" t="n">
        <f aca="false">SUMIFS(الريسبي!$C$2:$C$1800,الريسبي!$A$2:$A$1800,$A67,الريسبي!$B$2:$B$1800,AI$1)</f>
        <v>0</v>
      </c>
      <c r="AJ67" s="115" t="n">
        <f aca="false">SUMIFS(الريسبي!$C$2:$C$1800,الريسبي!$A$2:$A$1800,$A67,الريسبي!$B$2:$B$1800,AJ$1)</f>
        <v>0</v>
      </c>
      <c r="AK67" s="115" t="n">
        <f aca="false">SUMIFS(الريسبي!$C$2:$C$1800,الريسبي!$A$2:$A$1800,$A67,الريسبي!$B$2:$B$1800,AK$1)</f>
        <v>0</v>
      </c>
      <c r="AL67" s="115" t="n">
        <f aca="false">SUMIFS(الريسبي!$C$2:$C$1800,الريسبي!$A$2:$A$1800,$A67,الريسبي!$B$2:$B$1800,AL$1)</f>
        <v>0</v>
      </c>
      <c r="AM67" s="115"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15"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15" t="n">
        <f aca="false">SUMIFS(الريسبي!$C$2:$C$1800,الريسبي!$A$2:$A$1800,$A67,الريسبي!$B$2:$B$1800,AO$1)</f>
        <v>0</v>
      </c>
      <c r="AP67" s="115" t="n">
        <f aca="false">SUMIFS(الريسبي!$C$2:$C$1800,الريسبي!$A$2:$A$1800,$A67,الريسبي!$B$2:$B$1800,AP$1)</f>
        <v>0.02</v>
      </c>
      <c r="AQ67" s="115"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15" t="n">
        <f aca="false">SUMIFS(الريسبي!$C$2:$C$1800,الريسبي!$A$2:$A$1800,$A67,الريسبي!$B$2:$B$1800,AR$1)</f>
        <v>0</v>
      </c>
      <c r="AS67" s="115" t="n">
        <f aca="false">SUMIFS(الريسبي!$C$2:$C$1800,الريسبي!$A$2:$A$1800,$A67,الريسبي!$B$2:$B$1800,AS$1)</f>
        <v>1</v>
      </c>
      <c r="AT67" s="115" t="n">
        <f aca="false">SUMIFS(الريسبي!$C$2:$C$1800,الريسبي!$A$2:$A$1800,$A67,الريسبي!$B$2:$B$1800,AT$1)</f>
        <v>0</v>
      </c>
      <c r="AU67" s="115" t="n">
        <f aca="false">SUMIFS(الريسبي!$C$2:$C$1800,الريسبي!$A$2:$A$1800,$A67,الريسبي!$B$2:$B$1800,AU$1)</f>
        <v>0</v>
      </c>
      <c r="AV67" s="115" t="n">
        <f aca="false">SUMIFS(الريسبي!$C$2:$C$1800,الريسبي!$A$2:$A$1800,$A67,الريسبي!$B$2:$B$1800,AV$1)</f>
        <v>0</v>
      </c>
      <c r="AW67" s="115" t="n">
        <f aca="false">SUMIFS(الريسبي!$C$2:$C$1800,الريسبي!$A$2:$A$1800,$A67,الريسبي!$B$2:$B$1800,AW$1)</f>
        <v>0</v>
      </c>
      <c r="AX67" s="115" t="n">
        <f aca="false">SUMIFS(الريسبي!$C$2:$C$1800,الريسبي!$A$2:$A$1800,$A67,الريسبي!$B$2:$B$1800,AX$1)</f>
        <v>0</v>
      </c>
      <c r="AY67" s="115" t="n">
        <f aca="false">SUMIFS(الريسبي!$C$2:$C$1800,الريسبي!$A$2:$A$1800,$A67,الريسبي!$B$2:$B$1800,AY$1)</f>
        <v>0</v>
      </c>
      <c r="AZ67" s="115" t="n">
        <f aca="false">SUMIFS(الريسبي!$C$2:$C$1800,الريسبي!$A$2:$A$1800,$A67,الريسبي!$B$2:$B$1800,AZ$1)</f>
        <v>0</v>
      </c>
      <c r="BA67" s="115" t="n">
        <f aca="false">SUMIFS(الريسبي!$C$2:$C$1800,الريسبي!$A$2:$A$1800,$A67,الريسبي!$B$2:$B$1800,BA$1)</f>
        <v>0</v>
      </c>
      <c r="BB67" s="115" t="n">
        <f aca="false">SUMIFS(الريسبي!$C$2:$C$1800,الريسبي!$A$2:$A$1800,$A67,الريسبي!$B$2:$B$1800,BB$1)</f>
        <v>0</v>
      </c>
      <c r="BC67" s="115" t="n">
        <f aca="false">SUMIFS(الريسبي!$C$2:$C$1800,الريسبي!$A$2:$A$1800,$A67,الريسبي!$B$2:$B$1800,BC$1)</f>
        <v>0.03</v>
      </c>
      <c r="BD67" s="115" t="n">
        <f aca="false">SUMIFS(الريسبي!$C$2:$C$1800,الريسبي!$A$2:$A$1800,$A67,الريسبي!$B$2:$B$1800,BD$1)</f>
        <v>0</v>
      </c>
      <c r="BE67" s="115" t="n">
        <f aca="false">SUMIFS(الريسبي!$C$2:$C$1800,الريسبي!$A$2:$A$1800,$A67,الريسبي!$B$2:$B$1800,BE$1)</f>
        <v>0</v>
      </c>
      <c r="BF67" s="115" t="n">
        <f aca="false">SUMIFS(الريسبي!$C$2:$C$1800,الريسبي!$A$2:$A$1800,$A67,الريسبي!$B$2:$B$1800,BF$1)</f>
        <v>0</v>
      </c>
      <c r="BG67" s="115" t="n">
        <f aca="false">SUMIFS(الريسبي!$C$2:$C$1800,الريسبي!$A$2:$A$1800,$A67,الريسبي!$B$2:$B$1800,BG$1)</f>
        <v>0</v>
      </c>
      <c r="BH67" s="115" t="n">
        <f aca="false">SUMIFS(الريسبي!$C$2:$C$1800,الريسبي!$A$2:$A$1800,$A67,الريسبي!$B$2:$B$1800,BH$1)</f>
        <v>0</v>
      </c>
      <c r="BI67" s="115" t="n">
        <f aca="false">SUMIFS(الريسبي!$C$2:$C$1800,الريسبي!$A$2:$A$1800,$A67,الريسبي!$B$2:$B$1800,BI$1)</f>
        <v>0</v>
      </c>
      <c r="BJ67" s="115" t="n">
        <f aca="false">SUMIFS(الريسبي!$C$2:$C$1800,الريسبي!$A$2:$A$1800,$A67,الريسبي!$B$2:$B$1800,BJ$1)</f>
        <v>0</v>
      </c>
      <c r="BK67" s="115" t="n">
        <f aca="false">SUMIFS(الريسبي!$C$2:$C$1800,الريسبي!$A$2:$A$1800,$A67,الريسبي!$B$2:$B$1800,BK$1)</f>
        <v>0</v>
      </c>
      <c r="BL67" s="115" t="n">
        <f aca="false">SUMIFS(الريسبي!$C$2:$C$1800,الريسبي!$A$2:$A$1800,$A67,الريسبي!$B$2:$B$1800,BL$1)</f>
        <v>0</v>
      </c>
      <c r="BM67" s="115" t="n">
        <f aca="false">SUMIFS(الريسبي!$C$2:$C$1800,الريسبي!$A$2:$A$1800,$A67,الريسبي!$B$2:$B$1800,BM$1)</f>
        <v>0</v>
      </c>
      <c r="BN67" s="115" t="n">
        <f aca="false">SUMIFS(الريسبي!$C$2:$C$1800,الريسبي!$A$2:$A$1800,$A67,الريسبي!$B$2:$B$1800,BN$1)</f>
        <v>0.02</v>
      </c>
      <c r="BO67" s="115" t="n">
        <f aca="false">SUMIFS(الريسبي!$C$2:$C$1800,الريسبي!$A$2:$A$1800,$A67,الريسبي!$B$2:$B$1800,BO$1)</f>
        <v>0</v>
      </c>
      <c r="BP67" s="115" t="n">
        <f aca="false">SUMIFS(الريسبي!$C$2:$C$1800,الريسبي!$A$2:$A$1800,$A67,الريسبي!$B$2:$B$1800,BP$1)</f>
        <v>0</v>
      </c>
      <c r="BQ67" s="115"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15" t="n">
        <f aca="false">SUMIFS(الريسبي!$C$2:$C$1800,الريسبي!$A$2:$A$1800,$A67,الريسبي!$B$2:$B$1800,BR$1)</f>
        <v>0</v>
      </c>
      <c r="BS67" s="115" t="n">
        <f aca="false">SUMIFS(الريسبي!$C$2:$C$1800,الريسبي!$A$2:$A$1800,$A67,الريسبي!$B$2:$B$1800,BS$1)</f>
        <v>0</v>
      </c>
      <c r="BT67" s="115" t="n">
        <f aca="false">SUMIFS(الريسبي!$C$2:$C$1800,الريسبي!$A$2:$A$1800,$A67,الريسبي!$B$2:$B$1800,BT$1)</f>
        <v>1</v>
      </c>
      <c r="BU67" s="115"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15" t="n">
        <f aca="false">SUMIFS(الريسبي!$C$2:$C$1800,الريسبي!$A$2:$A$1800,$A67,الريسبي!$B$2:$B$1800,BV$1)</f>
        <v>0</v>
      </c>
      <c r="BW67" s="115" t="n">
        <f aca="false">SUMIFS(الريسبي!$C$2:$C$1800,الريسبي!$A$2:$A$1800,$A67,الريسبي!$B$2:$B$1800,BW$1)</f>
        <v>0</v>
      </c>
      <c r="BX67" s="115" t="n">
        <f aca="false">SUMIFS(الريسبي!$C$2:$C$1800,الريسبي!$A$2:$A$1800,$A67,الريسبي!$B$2:$B$1800,BX$1)</f>
        <v>0</v>
      </c>
      <c r="BY67" s="115" t="n">
        <f aca="false">SUMIFS(الريسبي!$C$2:$C$1800,الريسبي!$A$2:$A$1800,$A67,الريسبي!$B$2:$B$1800,BY$1)</f>
        <v>0</v>
      </c>
      <c r="BZ67" s="115" t="n">
        <f aca="false">SUMIFS(الريسبي!$C$2:$C$1800,الريسبي!$A$2:$A$1800,$A67,الريسبي!$B$2:$B$1800,BZ$1)</f>
        <v>0</v>
      </c>
      <c r="CA67" s="115" t="n">
        <f aca="false">SUMIFS(الريسبي!$C$2:$C$1800,الريسبي!$A$2:$A$1800,$A67,الريسبي!$B$2:$B$1800,CA$1)</f>
        <v>0</v>
      </c>
      <c r="CB67" s="115" t="n">
        <f aca="false">SUMIFS(الريسبي!$C$2:$C$1800,الريسبي!$A$2:$A$1800,$A67,الريسبي!$B$2:$B$1800,CB$1)</f>
        <v>0</v>
      </c>
      <c r="CC67" s="115" t="n">
        <f aca="false">SUMIFS(الريسبي!$C$2:$C$1800,الريسبي!$A$2:$A$1800,$A67,الريسبي!$B$2:$B$1800,CC$1)</f>
        <v>0</v>
      </c>
      <c r="CD67" s="115" t="n">
        <f aca="false">SUMIFS(الريسبي!$C$2:$C$1800,الريسبي!$A$2:$A$1800,$A67,الريسبي!$B$2:$B$1800,CD$1)</f>
        <v>0</v>
      </c>
      <c r="CE67" s="115" t="n">
        <f aca="false">SUMIFS(الريسبي!$C$2:$C$1800,الريسبي!$A$2:$A$1800,$A67,الريسبي!$B$2:$B$1800,CE$1)</f>
        <v>0</v>
      </c>
      <c r="CF67" s="115" t="n">
        <f aca="false">SUMIFS(الريسبي!$C$2:$C$1800,الريسبي!$A$2:$A$1800,$A67,الريسبي!$B$2:$B$1800,CF$1)</f>
        <v>0</v>
      </c>
      <c r="CG67" s="115" t="n">
        <f aca="false">SUMIFS(الريسبي!$C$2:$C$1800,الريسبي!$A$2:$A$1800,$A67,الريسبي!$B$2:$B$1800,CG$1)</f>
        <v>0</v>
      </c>
      <c r="CH67" s="115" t="n">
        <f aca="false">SUMIFS(الريسبي!$C$2:$C$1800,الريسبي!$A$2:$A$1800,$A67,الريسبي!$B$2:$B$1800,CH$1)</f>
        <v>0</v>
      </c>
    </row>
    <row r="68" customFormat="false" ht="15" hidden="false" customHeight="false" outlineLevel="0" collapsed="false">
      <c r="A68" s="114" t="str">
        <f aca="false">المنيو!B68</f>
        <v>كريب سدق</v>
      </c>
      <c r="B68" s="115" t="n">
        <f aca="false">SUMIFS(الريسبي!$C$2:$C$1800,الريسبي!$A$2:$A$1800,$A68,الريسبي!$B$2:$B$1800,B$1)</f>
        <v>0</v>
      </c>
      <c r="C68" s="115" t="n">
        <f aca="false">SUMIFS(الريسبي!$C$2:$C$1800,الريسبي!$A$2:$A$1800,$A68,الريسبي!$B$2:$B$1800,C$1)</f>
        <v>0</v>
      </c>
      <c r="D68" s="115" t="n">
        <f aca="false">SUMIFS(الريسبي!$C$2:$C$1800,الريسبي!$A$2:$A$1800,$A68,الريسبي!$B$2:$B$1800,D$1)</f>
        <v>0</v>
      </c>
      <c r="E68" s="115" t="n">
        <f aca="false">SUMIFS(الريسبي!$C$2:$C$1800,الريسبي!$A$2:$A$1800,$A68,الريسبي!$B$2:$B$1800,E$1)</f>
        <v>0</v>
      </c>
      <c r="F68" s="115" t="n">
        <f aca="false">SUMIFS(الريسبي!$C$2:$C$1800,الريسبي!$A$2:$A$1800,$A68,الريسبي!$B$2:$B$1800,F$1)</f>
        <v>0</v>
      </c>
      <c r="G68" s="115" t="n">
        <f aca="false">SUMIFS(الريسبي!$C$2:$C$1800,الريسبي!$A$2:$A$1800,$A68,الريسبي!$B$2:$B$1800,G$1)</f>
        <v>0</v>
      </c>
      <c r="H68" s="115" t="n">
        <f aca="false">SUMIFS(الريسبي!$C$2:$C$1800,الريسبي!$A$2:$A$1800,$A68,الريسبي!$B$2:$B$1800,H$1)</f>
        <v>0</v>
      </c>
      <c r="I68" s="115" t="n">
        <f aca="false">SUMIFS(الريسبي!$C$2:$C$1800,الريسبي!$A$2:$A$1800,$A68,الريسبي!$B$2:$B$1800,I$1)</f>
        <v>0</v>
      </c>
      <c r="J68" s="115" t="n">
        <f aca="false">SUMIFS(الريسبي!$C$2:$C$1800,الريسبي!$A$2:$A$1800,$A68,الريسبي!$B$2:$B$1800,J$1)</f>
        <v>0</v>
      </c>
      <c r="K68" s="115" t="n">
        <f aca="false">SUMIFS(الريسبي!$C$2:$C$1800,الريسبي!$A$2:$A$1800,$A68,الريسبي!$B$2:$B$1800,K$1)</f>
        <v>0</v>
      </c>
      <c r="L68" s="115" t="n">
        <f aca="false">SUMIFS(الريسبي!$C$2:$C$1800,الريسبي!$A$2:$A$1800,$A68,الريسبي!$B$2:$B$1800,L$1)</f>
        <v>0</v>
      </c>
      <c r="M68" s="115" t="n">
        <f aca="false">SUMIFS(الريسبي!$C$2:$C$1800,الريسبي!$A$2:$A$1800,$A68,الريسبي!$B$2:$B$1800,M$1)</f>
        <v>0.5</v>
      </c>
      <c r="N68" s="115" t="n">
        <f aca="false">SUMIFS(الريسبي!$C$2:$C$1800,الريسبي!$A$2:$A$1800,$A68,الريسبي!$B$2:$B$1800,N$1)</f>
        <v>0</v>
      </c>
      <c r="O68" s="115" t="n">
        <f aca="false">SUMIFS(الريسبي!$C$2:$C$1800,الريسبي!$A$2:$A$1800,$A68,الريسبي!$B$2:$B$1800,O$1)</f>
        <v>0</v>
      </c>
      <c r="P68" s="115" t="n">
        <f aca="false">SUMIFS(الريسبي!$C$2:$C$1800,الريسبي!$A$2:$A$1800,$A68,الريسبي!$B$2:$B$1800,P$1)</f>
        <v>0</v>
      </c>
      <c r="Q68" s="115" t="n">
        <f aca="false">SUMIFS(الريسبي!$C$2:$C$1800,الريسبي!$A$2:$A$1800,$A68,الريسبي!$B$2:$B$1800,Q$1)</f>
        <v>0</v>
      </c>
      <c r="R68" s="115" t="n">
        <f aca="false">SUMIFS(الريسبي!$C$2:$C$1800,الريسبي!$A$2:$A$1800,$A68,الريسبي!$B$2:$B$1800,R$1)</f>
        <v>0</v>
      </c>
      <c r="S68" s="115" t="n">
        <f aca="false">SUMIFS(الريسبي!$C$2:$C$1800,الريسبي!$A$2:$A$1800,$A68,الريسبي!$B$2:$B$1800,S$1)</f>
        <v>0</v>
      </c>
      <c r="T68" s="115" t="n">
        <f aca="false">SUMIFS(الريسبي!$C$2:$C$1800,الريسبي!$A$2:$A$1800,$A68,الريسبي!$B$2:$B$1800,T$1)</f>
        <v>0</v>
      </c>
      <c r="U68" s="115" t="n">
        <f aca="false">SUMIFS(الريسبي!$C$2:$C$1800,الريسبي!$A$2:$A$1800,$A68,الريسبي!$B$2:$B$1800,U$1)</f>
        <v>0</v>
      </c>
      <c r="V68" s="115" t="n">
        <f aca="false">SUMIFS(الريسبي!$C$2:$C$1800,الريسبي!$A$2:$A$1800,$A68,الريسبي!$B$2:$B$1800,V$1)</f>
        <v>0</v>
      </c>
      <c r="W68" s="115" t="n">
        <f aca="false">SUMIFS(الريسبي!$C$2:$C$1800,الريسبي!$A$2:$A$1800,$A68,الريسبي!$B$2:$B$1800,W$1)</f>
        <v>0</v>
      </c>
      <c r="X68" s="115" t="n">
        <f aca="false">SUMIFS(الريسبي!$C$2:$C$1800,الريسبي!$A$2:$A$1800,$A68,الريسبي!$B$2:$B$1800,X$1)</f>
        <v>1</v>
      </c>
      <c r="Y68" s="115" t="n">
        <f aca="false">SUMIFS(الريسبي!$C$2:$C$1800,الريسبي!$A$2:$A$1800,$A68,الريسبي!$B$2:$B$1800,Y$1)</f>
        <v>0</v>
      </c>
      <c r="Z68" s="115" t="n">
        <f aca="false">SUMIFS(الريسبي!$C$2:$C$1800,الريسبي!$A$2:$A$1800,$A68,الريسبي!$B$2:$B$1800,Z$1)</f>
        <v>0</v>
      </c>
      <c r="AA68" s="115" t="n">
        <f aca="false">SUMIFS(الريسبي!$C$2:$C$1800,الريسبي!$A$2:$A$1800,$A68,الريسبي!$B$2:$B$1800,AA$1)</f>
        <v>0</v>
      </c>
      <c r="AB68" s="115" t="n">
        <f aca="false">SUMIFS(الريسبي!$C$2:$C$1800,الريسبي!$A$2:$A$1800,$A68,الريسبي!$B$2:$B$1800,AB$1)</f>
        <v>0</v>
      </c>
      <c r="AC68" s="115" t="n">
        <f aca="false">SUMIFS(الريسبي!$C$2:$C$1800,الريسبي!$A$2:$A$1800,$A68,الريسبي!$B$2:$B$1800,AC$1)</f>
        <v>0</v>
      </c>
      <c r="AD68" s="115" t="n">
        <f aca="false">SUMIFS(الريسبي!$C$2:$C$1800,الريسبي!$A$2:$A$1800,$A68,الريسبي!$B$2:$B$1800,AD$1)</f>
        <v>0</v>
      </c>
      <c r="AE68" s="115" t="n">
        <f aca="false">SUMIFS(الريسبي!$C$2:$C$1800,الريسبي!$A$2:$A$1800,$A68,الريسبي!$B$2:$B$1800,AE$1)</f>
        <v>0</v>
      </c>
      <c r="AF68" s="115" t="n">
        <f aca="false">SUMIFS(الريسبي!$C$2:$C$1800,الريسبي!$A$2:$A$1800,$A68,الريسبي!$B$2:$B$1800,AF$1)</f>
        <v>0</v>
      </c>
      <c r="AG68" s="115" t="n">
        <f aca="false">SUMIFS(الريسبي!$C$2:$C$1800,الريسبي!$A$2:$A$1800,$A68,الريسبي!$B$2:$B$1800,AG$1)</f>
        <v>0</v>
      </c>
      <c r="AH68" s="115" t="n">
        <f aca="false">SUMIFS(الريسبي!$C$2:$C$1800,الريسبي!$A$2:$A$1800,$A68,الريسبي!$B$2:$B$1800,AH$1)</f>
        <v>0</v>
      </c>
      <c r="AI68" s="115" t="n">
        <f aca="false">SUMIFS(الريسبي!$C$2:$C$1800,الريسبي!$A$2:$A$1800,$A68,الريسبي!$B$2:$B$1800,AI$1)</f>
        <v>0</v>
      </c>
      <c r="AJ68" s="115" t="n">
        <f aca="false">SUMIFS(الريسبي!$C$2:$C$1800,الريسبي!$A$2:$A$1800,$A68,الريسبي!$B$2:$B$1800,AJ$1)</f>
        <v>0</v>
      </c>
      <c r="AK68" s="115" t="n">
        <f aca="false">SUMIFS(الريسبي!$C$2:$C$1800,الريسبي!$A$2:$A$1800,$A68,الريسبي!$B$2:$B$1800,AK$1)</f>
        <v>0</v>
      </c>
      <c r="AL68" s="115" t="n">
        <f aca="false">SUMIFS(الريسبي!$C$2:$C$1800,الريسبي!$A$2:$A$1800,$A68,الريسبي!$B$2:$B$1800,AL$1)</f>
        <v>0</v>
      </c>
      <c r="AM68" s="115"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15"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15" t="n">
        <f aca="false">SUMIFS(الريسبي!$C$2:$C$1800,الريسبي!$A$2:$A$1800,$A68,الريسبي!$B$2:$B$1800,AO$1)</f>
        <v>0</v>
      </c>
      <c r="AP68" s="115" t="n">
        <f aca="false">SUMIFS(الريسبي!$C$2:$C$1800,الريسبي!$A$2:$A$1800,$A68,الريسبي!$B$2:$B$1800,AP$1)</f>
        <v>0.02</v>
      </c>
      <c r="AQ68" s="115"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15" t="n">
        <f aca="false">SUMIFS(الريسبي!$C$2:$C$1800,الريسبي!$A$2:$A$1800,$A68,الريسبي!$B$2:$B$1800,AR$1)</f>
        <v>0</v>
      </c>
      <c r="AS68" s="115" t="n">
        <f aca="false">SUMIFS(الريسبي!$C$2:$C$1800,الريسبي!$A$2:$A$1800,$A68,الريسبي!$B$2:$B$1800,AS$1)</f>
        <v>1</v>
      </c>
      <c r="AT68" s="115" t="n">
        <f aca="false">SUMIFS(الريسبي!$C$2:$C$1800,الريسبي!$A$2:$A$1800,$A68,الريسبي!$B$2:$B$1800,AT$1)</f>
        <v>0</v>
      </c>
      <c r="AU68" s="115" t="n">
        <f aca="false">SUMIFS(الريسبي!$C$2:$C$1800,الريسبي!$A$2:$A$1800,$A68,الريسبي!$B$2:$B$1800,AU$1)</f>
        <v>0</v>
      </c>
      <c r="AV68" s="115" t="n">
        <f aca="false">SUMIFS(الريسبي!$C$2:$C$1800,الريسبي!$A$2:$A$1800,$A68,الريسبي!$B$2:$B$1800,AV$1)</f>
        <v>0</v>
      </c>
      <c r="AW68" s="115" t="n">
        <f aca="false">SUMIFS(الريسبي!$C$2:$C$1800,الريسبي!$A$2:$A$1800,$A68,الريسبي!$B$2:$B$1800,AW$1)</f>
        <v>0</v>
      </c>
      <c r="AX68" s="115" t="n">
        <f aca="false">SUMIFS(الريسبي!$C$2:$C$1800,الريسبي!$A$2:$A$1800,$A68,الريسبي!$B$2:$B$1800,AX$1)</f>
        <v>0</v>
      </c>
      <c r="AY68" s="115" t="n">
        <f aca="false">SUMIFS(الريسبي!$C$2:$C$1800,الريسبي!$A$2:$A$1800,$A68,الريسبي!$B$2:$B$1800,AY$1)</f>
        <v>0</v>
      </c>
      <c r="AZ68" s="115" t="n">
        <f aca="false">SUMIFS(الريسبي!$C$2:$C$1800,الريسبي!$A$2:$A$1800,$A68,الريسبي!$B$2:$B$1800,AZ$1)</f>
        <v>0</v>
      </c>
      <c r="BA68" s="115" t="n">
        <f aca="false">SUMIFS(الريسبي!$C$2:$C$1800,الريسبي!$A$2:$A$1800,$A68,الريسبي!$B$2:$B$1800,BA$1)</f>
        <v>0</v>
      </c>
      <c r="BB68" s="115" t="n">
        <f aca="false">SUMIFS(الريسبي!$C$2:$C$1800,الريسبي!$A$2:$A$1800,$A68,الريسبي!$B$2:$B$1800,BB$1)</f>
        <v>0</v>
      </c>
      <c r="BC68" s="115" t="n">
        <f aca="false">SUMIFS(الريسبي!$C$2:$C$1800,الريسبي!$A$2:$A$1800,$A68,الريسبي!$B$2:$B$1800,BC$1)</f>
        <v>0.03</v>
      </c>
      <c r="BD68" s="115" t="n">
        <f aca="false">SUMIFS(الريسبي!$C$2:$C$1800,الريسبي!$A$2:$A$1800,$A68,الريسبي!$B$2:$B$1800,BD$1)</f>
        <v>0</v>
      </c>
      <c r="BE68" s="115" t="n">
        <f aca="false">SUMIFS(الريسبي!$C$2:$C$1800,الريسبي!$A$2:$A$1800,$A68,الريسبي!$B$2:$B$1800,BE$1)</f>
        <v>0</v>
      </c>
      <c r="BF68" s="115" t="n">
        <f aca="false">SUMIFS(الريسبي!$C$2:$C$1800,الريسبي!$A$2:$A$1800,$A68,الريسبي!$B$2:$B$1800,BF$1)</f>
        <v>0</v>
      </c>
      <c r="BG68" s="115" t="n">
        <f aca="false">SUMIFS(الريسبي!$C$2:$C$1800,الريسبي!$A$2:$A$1800,$A68,الريسبي!$B$2:$B$1800,BG$1)</f>
        <v>0</v>
      </c>
      <c r="BH68" s="115" t="n">
        <f aca="false">SUMIFS(الريسبي!$C$2:$C$1800,الريسبي!$A$2:$A$1800,$A68,الريسبي!$B$2:$B$1800,BH$1)</f>
        <v>0</v>
      </c>
      <c r="BI68" s="115" t="n">
        <f aca="false">SUMIFS(الريسبي!$C$2:$C$1800,الريسبي!$A$2:$A$1800,$A68,الريسبي!$B$2:$B$1800,BI$1)</f>
        <v>0</v>
      </c>
      <c r="BJ68" s="115" t="n">
        <f aca="false">SUMIFS(الريسبي!$C$2:$C$1800,الريسبي!$A$2:$A$1800,$A68,الريسبي!$B$2:$B$1800,BJ$1)</f>
        <v>0</v>
      </c>
      <c r="BK68" s="115" t="n">
        <f aca="false">SUMIFS(الريسبي!$C$2:$C$1800,الريسبي!$A$2:$A$1800,$A68,الريسبي!$B$2:$B$1800,BK$1)</f>
        <v>0</v>
      </c>
      <c r="BL68" s="115" t="n">
        <f aca="false">SUMIFS(الريسبي!$C$2:$C$1800,الريسبي!$A$2:$A$1800,$A68,الريسبي!$B$2:$B$1800,BL$1)</f>
        <v>0</v>
      </c>
      <c r="BM68" s="115" t="n">
        <f aca="false">SUMIFS(الريسبي!$C$2:$C$1800,الريسبي!$A$2:$A$1800,$A68,الريسبي!$B$2:$B$1800,BM$1)</f>
        <v>0</v>
      </c>
      <c r="BN68" s="115" t="n">
        <f aca="false">SUMIFS(الريسبي!$C$2:$C$1800,الريسبي!$A$2:$A$1800,$A68,الريسبي!$B$2:$B$1800,BN$1)</f>
        <v>0.02</v>
      </c>
      <c r="BO68" s="115" t="n">
        <f aca="false">SUMIFS(الريسبي!$C$2:$C$1800,الريسبي!$A$2:$A$1800,$A68,الريسبي!$B$2:$B$1800,BO$1)</f>
        <v>0</v>
      </c>
      <c r="BP68" s="115" t="n">
        <f aca="false">SUMIFS(الريسبي!$C$2:$C$1800,الريسبي!$A$2:$A$1800,$A68,الريسبي!$B$2:$B$1800,BP$1)</f>
        <v>0</v>
      </c>
      <c r="BQ68" s="115"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15" t="n">
        <f aca="false">SUMIFS(الريسبي!$C$2:$C$1800,الريسبي!$A$2:$A$1800,$A68,الريسبي!$B$2:$B$1800,BR$1)</f>
        <v>0</v>
      </c>
      <c r="BS68" s="115" t="n">
        <f aca="false">SUMIFS(الريسبي!$C$2:$C$1800,الريسبي!$A$2:$A$1800,$A68,الريسبي!$B$2:$B$1800,BS$1)</f>
        <v>0</v>
      </c>
      <c r="BT68" s="115" t="n">
        <f aca="false">SUMIFS(الريسبي!$C$2:$C$1800,الريسبي!$A$2:$A$1800,$A68,الريسبي!$B$2:$B$1800,BT$1)</f>
        <v>1</v>
      </c>
      <c r="BU68" s="115"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15" t="n">
        <f aca="false">SUMIFS(الريسبي!$C$2:$C$1800,الريسبي!$A$2:$A$1800,$A68,الريسبي!$B$2:$B$1800,BV$1)</f>
        <v>0</v>
      </c>
      <c r="BW68" s="115" t="n">
        <f aca="false">SUMIFS(الريسبي!$C$2:$C$1800,الريسبي!$A$2:$A$1800,$A68,الريسبي!$B$2:$B$1800,BW$1)</f>
        <v>0</v>
      </c>
      <c r="BX68" s="115" t="n">
        <f aca="false">SUMIFS(الريسبي!$C$2:$C$1800,الريسبي!$A$2:$A$1800,$A68,الريسبي!$B$2:$B$1800,BX$1)</f>
        <v>0</v>
      </c>
      <c r="BY68" s="115" t="n">
        <f aca="false">SUMIFS(الريسبي!$C$2:$C$1800,الريسبي!$A$2:$A$1800,$A68,الريسبي!$B$2:$B$1800,BY$1)</f>
        <v>0</v>
      </c>
      <c r="BZ68" s="115" t="n">
        <f aca="false">SUMIFS(الريسبي!$C$2:$C$1800,الريسبي!$A$2:$A$1800,$A68,الريسبي!$B$2:$B$1800,BZ$1)</f>
        <v>0</v>
      </c>
      <c r="CA68" s="115" t="n">
        <f aca="false">SUMIFS(الريسبي!$C$2:$C$1800,الريسبي!$A$2:$A$1800,$A68,الريسبي!$B$2:$B$1800,CA$1)</f>
        <v>0</v>
      </c>
      <c r="CB68" s="115" t="n">
        <f aca="false">SUMIFS(الريسبي!$C$2:$C$1800,الريسبي!$A$2:$A$1800,$A68,الريسبي!$B$2:$B$1800,CB$1)</f>
        <v>0</v>
      </c>
      <c r="CC68" s="115" t="n">
        <f aca="false">SUMIFS(الريسبي!$C$2:$C$1800,الريسبي!$A$2:$A$1800,$A68,الريسبي!$B$2:$B$1800,CC$1)</f>
        <v>0</v>
      </c>
      <c r="CD68" s="115" t="n">
        <f aca="false">SUMIFS(الريسبي!$C$2:$C$1800,الريسبي!$A$2:$A$1800,$A68,الريسبي!$B$2:$B$1800,CD$1)</f>
        <v>0</v>
      </c>
      <c r="CE68" s="115" t="n">
        <f aca="false">SUMIFS(الريسبي!$C$2:$C$1800,الريسبي!$A$2:$A$1800,$A68,الريسبي!$B$2:$B$1800,CE$1)</f>
        <v>0</v>
      </c>
      <c r="CF68" s="115" t="n">
        <f aca="false">SUMIFS(الريسبي!$C$2:$C$1800,الريسبي!$A$2:$A$1800,$A68,الريسبي!$B$2:$B$1800,CF$1)</f>
        <v>0</v>
      </c>
      <c r="CG68" s="115" t="n">
        <f aca="false">SUMIFS(الريسبي!$C$2:$C$1800,الريسبي!$A$2:$A$1800,$A68,الريسبي!$B$2:$B$1800,CG$1)</f>
        <v>0</v>
      </c>
      <c r="CH68" s="115" t="n">
        <f aca="false">SUMIFS(الريسبي!$C$2:$C$1800,الريسبي!$A$2:$A$1800,$A68,الريسبي!$B$2:$B$1800,CH$1)</f>
        <v>0</v>
      </c>
    </row>
    <row r="69" customFormat="false" ht="15" hidden="false" customHeight="false" outlineLevel="0" collapsed="false">
      <c r="A69" s="114" t="str">
        <f aca="false">المنيو!B69</f>
        <v>كريب فراخ باربيكيو</v>
      </c>
      <c r="B69" s="115" t="n">
        <f aca="false">SUMIFS(الريسبي!$C$2:$C$1800,الريسبي!$A$2:$A$1800,$A69,الريسبي!$B$2:$B$1800,B$1)</f>
        <v>0</v>
      </c>
      <c r="C69" s="115" t="n">
        <f aca="false">SUMIFS(الريسبي!$C$2:$C$1800,الريسبي!$A$2:$A$1800,$A69,الريسبي!$B$2:$B$1800,C$1)</f>
        <v>0</v>
      </c>
      <c r="D69" s="115" t="n">
        <f aca="false">SUMIFS(الريسبي!$C$2:$C$1800,الريسبي!$A$2:$A$1800,$A69,الريسبي!$B$2:$B$1800,D$1)</f>
        <v>0</v>
      </c>
      <c r="E69" s="115" t="n">
        <f aca="false">SUMIFS(الريسبي!$C$2:$C$1800,الريسبي!$A$2:$A$1800,$A69,الريسبي!$B$2:$B$1800,E$1)</f>
        <v>0</v>
      </c>
      <c r="F69" s="115" t="n">
        <f aca="false">SUMIFS(الريسبي!$C$2:$C$1800,الريسبي!$A$2:$A$1800,$A69,الريسبي!$B$2:$B$1800,F$1)</f>
        <v>0</v>
      </c>
      <c r="G69" s="115" t="n">
        <f aca="false">SUMIFS(الريسبي!$C$2:$C$1800,الريسبي!$A$2:$A$1800,$A69,الريسبي!$B$2:$B$1800,G$1)</f>
        <v>0</v>
      </c>
      <c r="H69" s="115" t="n">
        <f aca="false">SUMIFS(الريسبي!$C$2:$C$1800,الريسبي!$A$2:$A$1800,$A69,الريسبي!$B$2:$B$1800,H$1)</f>
        <v>0</v>
      </c>
      <c r="I69" s="115" t="n">
        <f aca="false">SUMIFS(الريسبي!$C$2:$C$1800,الريسبي!$A$2:$A$1800,$A69,الريسبي!$B$2:$B$1800,I$1)</f>
        <v>0</v>
      </c>
      <c r="J69" s="115" t="n">
        <f aca="false">SUMIFS(الريسبي!$C$2:$C$1800,الريسبي!$A$2:$A$1800,$A69,الريسبي!$B$2:$B$1800,J$1)</f>
        <v>0</v>
      </c>
      <c r="K69" s="115" t="n">
        <f aca="false">SUMIFS(الريسبي!$C$2:$C$1800,الريسبي!$A$2:$A$1800,$A69,الريسبي!$B$2:$B$1800,K$1)</f>
        <v>0</v>
      </c>
      <c r="L69" s="115" t="n">
        <f aca="false">SUMIFS(الريسبي!$C$2:$C$1800,الريسبي!$A$2:$A$1800,$A69,الريسبي!$B$2:$B$1800,L$1)</f>
        <v>0</v>
      </c>
      <c r="M69" s="115" t="n">
        <f aca="false">SUMIFS(الريسبي!$C$2:$C$1800,الريسبي!$A$2:$A$1800,$A69,الريسبي!$B$2:$B$1800,M$1)</f>
        <v>0</v>
      </c>
      <c r="N69" s="115" t="n">
        <f aca="false">SUMIFS(الريسبي!$C$2:$C$1800,الريسبي!$A$2:$A$1800,$A69,الريسبي!$B$2:$B$1800,N$1)</f>
        <v>0</v>
      </c>
      <c r="O69" s="115" t="n">
        <f aca="false">SUMIFS(الريسبي!$C$2:$C$1800,الريسبي!$A$2:$A$1800,$A69,الريسبي!$B$2:$B$1800,O$1)</f>
        <v>1</v>
      </c>
      <c r="P69" s="115" t="n">
        <f aca="false">SUMIFS(الريسبي!$C$2:$C$1800,الريسبي!$A$2:$A$1800,$A69,الريسبي!$B$2:$B$1800,P$1)</f>
        <v>0</v>
      </c>
      <c r="Q69" s="115" t="n">
        <f aca="false">SUMIFS(الريسبي!$C$2:$C$1800,الريسبي!$A$2:$A$1800,$A69,الريسبي!$B$2:$B$1800,Q$1)</f>
        <v>0</v>
      </c>
      <c r="R69" s="115" t="n">
        <f aca="false">SUMIFS(الريسبي!$C$2:$C$1800,الريسبي!$A$2:$A$1800,$A69,الريسبي!$B$2:$B$1800,R$1)</f>
        <v>0</v>
      </c>
      <c r="S69" s="115" t="n">
        <f aca="false">SUMIFS(الريسبي!$C$2:$C$1800,الريسبي!$A$2:$A$1800,$A69,الريسبي!$B$2:$B$1800,S$1)</f>
        <v>0</v>
      </c>
      <c r="T69" s="115" t="n">
        <f aca="false">SUMIFS(الريسبي!$C$2:$C$1800,الريسبي!$A$2:$A$1800,$A69,الريسبي!$B$2:$B$1800,T$1)</f>
        <v>0</v>
      </c>
      <c r="U69" s="115" t="n">
        <f aca="false">SUMIFS(الريسبي!$C$2:$C$1800,الريسبي!$A$2:$A$1800,$A69,الريسبي!$B$2:$B$1800,U$1)</f>
        <v>0</v>
      </c>
      <c r="V69" s="115" t="n">
        <f aca="false">SUMIFS(الريسبي!$C$2:$C$1800,الريسبي!$A$2:$A$1800,$A69,الريسبي!$B$2:$B$1800,V$1)</f>
        <v>0</v>
      </c>
      <c r="W69" s="115" t="n">
        <f aca="false">SUMIFS(الريسبي!$C$2:$C$1800,الريسبي!$A$2:$A$1800,$A69,الريسبي!$B$2:$B$1800,W$1)</f>
        <v>0</v>
      </c>
      <c r="X69" s="115" t="n">
        <f aca="false">SUMIFS(الريسبي!$C$2:$C$1800,الريسبي!$A$2:$A$1800,$A69,الريسبي!$B$2:$B$1800,X$1)</f>
        <v>1</v>
      </c>
      <c r="Y69" s="115" t="n">
        <f aca="false">SUMIFS(الريسبي!$C$2:$C$1800,الريسبي!$A$2:$A$1800,$A69,الريسبي!$B$2:$B$1800,Y$1)</f>
        <v>0</v>
      </c>
      <c r="Z69" s="115" t="n">
        <f aca="false">SUMIFS(الريسبي!$C$2:$C$1800,الريسبي!$A$2:$A$1800,$A69,الريسبي!$B$2:$B$1800,Z$1)</f>
        <v>0</v>
      </c>
      <c r="AA69" s="115" t="n">
        <f aca="false">SUMIFS(الريسبي!$C$2:$C$1800,الريسبي!$A$2:$A$1800,$A69,الريسبي!$B$2:$B$1800,AA$1)</f>
        <v>0</v>
      </c>
      <c r="AB69" s="115" t="n">
        <f aca="false">SUMIFS(الريسبي!$C$2:$C$1800,الريسبي!$A$2:$A$1800,$A69,الريسبي!$B$2:$B$1800,AB$1)</f>
        <v>0</v>
      </c>
      <c r="AC69" s="115" t="n">
        <f aca="false">SUMIFS(الريسبي!$C$2:$C$1800,الريسبي!$A$2:$A$1800,$A69,الريسبي!$B$2:$B$1800,AC$1)</f>
        <v>0</v>
      </c>
      <c r="AD69" s="115" t="n">
        <f aca="false">SUMIFS(الريسبي!$C$2:$C$1800,الريسبي!$A$2:$A$1800,$A69,الريسبي!$B$2:$B$1800,AD$1)</f>
        <v>0</v>
      </c>
      <c r="AE69" s="115" t="n">
        <f aca="false">SUMIFS(الريسبي!$C$2:$C$1800,الريسبي!$A$2:$A$1800,$A69,الريسبي!$B$2:$B$1800,AE$1)</f>
        <v>0</v>
      </c>
      <c r="AF69" s="115" t="n">
        <f aca="false">SUMIFS(الريسبي!$C$2:$C$1800,الريسبي!$A$2:$A$1800,$A69,الريسبي!$B$2:$B$1800,AF$1)</f>
        <v>0</v>
      </c>
      <c r="AG69" s="115" t="n">
        <f aca="false">SUMIFS(الريسبي!$C$2:$C$1800,الريسبي!$A$2:$A$1800,$A69,الريسبي!$B$2:$B$1800,AG$1)</f>
        <v>0</v>
      </c>
      <c r="AH69" s="115" t="n">
        <f aca="false">SUMIFS(الريسبي!$C$2:$C$1800,الريسبي!$A$2:$A$1800,$A69,الريسبي!$B$2:$B$1800,AH$1)</f>
        <v>0</v>
      </c>
      <c r="AI69" s="115" t="n">
        <f aca="false">SUMIFS(الريسبي!$C$2:$C$1800,الريسبي!$A$2:$A$1800,$A69,الريسبي!$B$2:$B$1800,AI$1)</f>
        <v>0</v>
      </c>
      <c r="AJ69" s="115" t="n">
        <f aca="false">SUMIFS(الريسبي!$C$2:$C$1800,الريسبي!$A$2:$A$1800,$A69,الريسبي!$B$2:$B$1800,AJ$1)</f>
        <v>0</v>
      </c>
      <c r="AK69" s="115" t="n">
        <f aca="false">SUMIFS(الريسبي!$C$2:$C$1800,الريسبي!$A$2:$A$1800,$A69,الريسبي!$B$2:$B$1800,AK$1)</f>
        <v>0</v>
      </c>
      <c r="AL69" s="115" t="n">
        <f aca="false">SUMIFS(الريسبي!$C$2:$C$1800,الريسبي!$A$2:$A$1800,$A69,الريسبي!$B$2:$B$1800,AL$1)</f>
        <v>0</v>
      </c>
      <c r="AM69" s="115"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15"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15" t="n">
        <f aca="false">SUMIFS(الريسبي!$C$2:$C$1800,الريسبي!$A$2:$A$1800,$A69,الريسبي!$B$2:$B$1800,AO$1)</f>
        <v>0</v>
      </c>
      <c r="AP69" s="115" t="n">
        <f aca="false">SUMIFS(الريسبي!$C$2:$C$1800,الريسبي!$A$2:$A$1800,$A69,الريسبي!$B$2:$B$1800,AP$1)</f>
        <v>0.02</v>
      </c>
      <c r="AQ69" s="115"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15" t="n">
        <f aca="false">SUMIFS(الريسبي!$C$2:$C$1800,الريسبي!$A$2:$A$1800,$A69,الريسبي!$B$2:$B$1800,AR$1)</f>
        <v>0</v>
      </c>
      <c r="AS69" s="115" t="n">
        <f aca="false">SUMIFS(الريسبي!$C$2:$C$1800,الريسبي!$A$2:$A$1800,$A69,الريسبي!$B$2:$B$1800,AS$1)</f>
        <v>1</v>
      </c>
      <c r="AT69" s="115" t="n">
        <f aca="false">SUMIFS(الريسبي!$C$2:$C$1800,الريسبي!$A$2:$A$1800,$A69,الريسبي!$B$2:$B$1800,AT$1)</f>
        <v>0</v>
      </c>
      <c r="AU69" s="115" t="n">
        <f aca="false">SUMIFS(الريسبي!$C$2:$C$1800,الريسبي!$A$2:$A$1800,$A69,الريسبي!$B$2:$B$1800,AU$1)</f>
        <v>0</v>
      </c>
      <c r="AV69" s="115" t="n">
        <f aca="false">SUMIFS(الريسبي!$C$2:$C$1800,الريسبي!$A$2:$A$1800,$A69,الريسبي!$B$2:$B$1800,AV$1)</f>
        <v>0</v>
      </c>
      <c r="AW69" s="115" t="n">
        <f aca="false">SUMIFS(الريسبي!$C$2:$C$1800,الريسبي!$A$2:$A$1800,$A69,الريسبي!$B$2:$B$1800,AW$1)</f>
        <v>0</v>
      </c>
      <c r="AX69" s="115" t="n">
        <f aca="false">SUMIFS(الريسبي!$C$2:$C$1800,الريسبي!$A$2:$A$1800,$A69,الريسبي!$B$2:$B$1800,AX$1)</f>
        <v>0</v>
      </c>
      <c r="AY69" s="115" t="n">
        <f aca="false">SUMIFS(الريسبي!$C$2:$C$1800,الريسبي!$A$2:$A$1800,$A69,الريسبي!$B$2:$B$1800,AY$1)</f>
        <v>0.1</v>
      </c>
      <c r="AZ69" s="115" t="n">
        <f aca="false">SUMIFS(الريسبي!$C$2:$C$1800,الريسبي!$A$2:$A$1800,$A69,الريسبي!$B$2:$B$1800,AZ$1)</f>
        <v>0</v>
      </c>
      <c r="BA69" s="115" t="n">
        <f aca="false">SUMIFS(الريسبي!$C$2:$C$1800,الريسبي!$A$2:$A$1800,$A69,الريسبي!$B$2:$B$1800,BA$1)</f>
        <v>0</v>
      </c>
      <c r="BB69" s="115" t="n">
        <f aca="false">SUMIFS(الريسبي!$C$2:$C$1800,الريسبي!$A$2:$A$1800,$A69,الريسبي!$B$2:$B$1800,BB$1)</f>
        <v>0</v>
      </c>
      <c r="BC69" s="115" t="n">
        <f aca="false">SUMIFS(الريسبي!$C$2:$C$1800,الريسبي!$A$2:$A$1800,$A69,الريسبي!$B$2:$B$1800,BC$1)</f>
        <v>0.03</v>
      </c>
      <c r="BD69" s="115" t="n">
        <f aca="false">SUMIFS(الريسبي!$C$2:$C$1800,الريسبي!$A$2:$A$1800,$A69,الريسبي!$B$2:$B$1800,BD$1)</f>
        <v>0</v>
      </c>
      <c r="BE69" s="115" t="n">
        <f aca="false">SUMIFS(الريسبي!$C$2:$C$1800,الريسبي!$A$2:$A$1800,$A69,الريسبي!$B$2:$B$1800,BE$1)</f>
        <v>0</v>
      </c>
      <c r="BF69" s="115" t="n">
        <f aca="false">SUMIFS(الريسبي!$C$2:$C$1800,الريسبي!$A$2:$A$1800,$A69,الريسبي!$B$2:$B$1800,BF$1)</f>
        <v>0</v>
      </c>
      <c r="BG69" s="115" t="n">
        <f aca="false">SUMIFS(الريسبي!$C$2:$C$1800,الريسبي!$A$2:$A$1800,$A69,الريسبي!$B$2:$B$1800,BG$1)</f>
        <v>0</v>
      </c>
      <c r="BH69" s="115" t="n">
        <f aca="false">SUMIFS(الريسبي!$C$2:$C$1800,الريسبي!$A$2:$A$1800,$A69,الريسبي!$B$2:$B$1800,BH$1)</f>
        <v>0</v>
      </c>
      <c r="BI69" s="115" t="n">
        <f aca="false">SUMIFS(الريسبي!$C$2:$C$1800,الريسبي!$A$2:$A$1800,$A69,الريسبي!$B$2:$B$1800,BI$1)</f>
        <v>0</v>
      </c>
      <c r="BJ69" s="115" t="n">
        <f aca="false">SUMIFS(الريسبي!$C$2:$C$1800,الريسبي!$A$2:$A$1800,$A69,الريسبي!$B$2:$B$1800,BJ$1)</f>
        <v>0</v>
      </c>
      <c r="BK69" s="115" t="n">
        <f aca="false">SUMIFS(الريسبي!$C$2:$C$1800,الريسبي!$A$2:$A$1800,$A69,الريسبي!$B$2:$B$1800,BK$1)</f>
        <v>0</v>
      </c>
      <c r="BL69" s="115" t="n">
        <f aca="false">SUMIFS(الريسبي!$C$2:$C$1800,الريسبي!$A$2:$A$1800,$A69,الريسبي!$B$2:$B$1800,BL$1)</f>
        <v>0</v>
      </c>
      <c r="BM69" s="115" t="n">
        <f aca="false">SUMIFS(الريسبي!$C$2:$C$1800,الريسبي!$A$2:$A$1800,$A69,الريسبي!$B$2:$B$1800,BM$1)</f>
        <v>0</v>
      </c>
      <c r="BN69" s="115" t="n">
        <f aca="false">SUMIFS(الريسبي!$C$2:$C$1800,الريسبي!$A$2:$A$1800,$A69,الريسبي!$B$2:$B$1800,BN$1)</f>
        <v>0.02</v>
      </c>
      <c r="BO69" s="115" t="n">
        <f aca="false">SUMIFS(الريسبي!$C$2:$C$1800,الريسبي!$A$2:$A$1800,$A69,الريسبي!$B$2:$B$1800,BO$1)</f>
        <v>0</v>
      </c>
      <c r="BP69" s="115" t="n">
        <f aca="false">SUMIFS(الريسبي!$C$2:$C$1800,الريسبي!$A$2:$A$1800,$A69,الريسبي!$B$2:$B$1800,BP$1)</f>
        <v>0</v>
      </c>
      <c r="BQ69" s="115"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15" t="n">
        <f aca="false">SUMIFS(الريسبي!$C$2:$C$1800,الريسبي!$A$2:$A$1800,$A69,الريسبي!$B$2:$B$1800,BR$1)</f>
        <v>0</v>
      </c>
      <c r="BS69" s="115" t="n">
        <f aca="false">SUMIFS(الريسبي!$C$2:$C$1800,الريسبي!$A$2:$A$1800,$A69,الريسبي!$B$2:$B$1800,BS$1)</f>
        <v>0</v>
      </c>
      <c r="BT69" s="115" t="n">
        <f aca="false">SUMIFS(الريسبي!$C$2:$C$1800,الريسبي!$A$2:$A$1800,$A69,الريسبي!$B$2:$B$1800,BT$1)</f>
        <v>1</v>
      </c>
      <c r="BU69" s="115"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15" t="n">
        <f aca="false">SUMIFS(الريسبي!$C$2:$C$1800,الريسبي!$A$2:$A$1800,$A69,الريسبي!$B$2:$B$1800,BV$1)</f>
        <v>0</v>
      </c>
      <c r="BW69" s="115" t="n">
        <f aca="false">SUMIFS(الريسبي!$C$2:$C$1800,الريسبي!$A$2:$A$1800,$A69,الريسبي!$B$2:$B$1800,BW$1)</f>
        <v>0</v>
      </c>
      <c r="BX69" s="115" t="n">
        <f aca="false">SUMIFS(الريسبي!$C$2:$C$1800,الريسبي!$A$2:$A$1800,$A69,الريسبي!$B$2:$B$1800,BX$1)</f>
        <v>0</v>
      </c>
      <c r="BY69" s="115" t="n">
        <f aca="false">SUMIFS(الريسبي!$C$2:$C$1800,الريسبي!$A$2:$A$1800,$A69,الريسبي!$B$2:$B$1800,BY$1)</f>
        <v>0</v>
      </c>
      <c r="BZ69" s="115" t="n">
        <f aca="false">SUMIFS(الريسبي!$C$2:$C$1800,الريسبي!$A$2:$A$1800,$A69,الريسبي!$B$2:$B$1800,BZ$1)</f>
        <v>0</v>
      </c>
      <c r="CA69" s="115" t="n">
        <f aca="false">SUMIFS(الريسبي!$C$2:$C$1800,الريسبي!$A$2:$A$1800,$A69,الريسبي!$B$2:$B$1800,CA$1)</f>
        <v>0</v>
      </c>
      <c r="CB69" s="115" t="n">
        <f aca="false">SUMIFS(الريسبي!$C$2:$C$1800,الريسبي!$A$2:$A$1800,$A69,الريسبي!$B$2:$B$1800,CB$1)</f>
        <v>0</v>
      </c>
      <c r="CC69" s="115" t="n">
        <f aca="false">SUMIFS(الريسبي!$C$2:$C$1800,الريسبي!$A$2:$A$1800,$A69,الريسبي!$B$2:$B$1800,CC$1)</f>
        <v>0</v>
      </c>
      <c r="CD69" s="115" t="n">
        <f aca="false">SUMIFS(الريسبي!$C$2:$C$1800,الريسبي!$A$2:$A$1800,$A69,الريسبي!$B$2:$B$1800,CD$1)</f>
        <v>0</v>
      </c>
      <c r="CE69" s="115" t="n">
        <f aca="false">SUMIFS(الريسبي!$C$2:$C$1800,الريسبي!$A$2:$A$1800,$A69,الريسبي!$B$2:$B$1800,CE$1)</f>
        <v>0</v>
      </c>
      <c r="CF69" s="115" t="n">
        <f aca="false">SUMIFS(الريسبي!$C$2:$C$1800,الريسبي!$A$2:$A$1800,$A69,الريسبي!$B$2:$B$1800,CF$1)</f>
        <v>0</v>
      </c>
      <c r="CG69" s="115" t="n">
        <f aca="false">SUMIFS(الريسبي!$C$2:$C$1800,الريسبي!$A$2:$A$1800,$A69,الريسبي!$B$2:$B$1800,CG$1)</f>
        <v>0</v>
      </c>
      <c r="CH69" s="115" t="n">
        <f aca="false">SUMIFS(الريسبي!$C$2:$C$1800,الريسبي!$A$2:$A$1800,$A69,الريسبي!$B$2:$B$1800,CH$1)</f>
        <v>0</v>
      </c>
    </row>
    <row r="70" customFormat="false" ht="15" hidden="false" customHeight="false" outlineLevel="0" collapsed="false">
      <c r="A70" s="114" t="str">
        <f aca="false">المنيو!B70</f>
        <v>عيش كريب</v>
      </c>
      <c r="B70" s="115" t="n">
        <f aca="false">SUMIFS(الريسبي!$C$2:$C$1800,الريسبي!$A$2:$A$1800,$A70,الريسبي!$B$2:$B$1800,B$1)</f>
        <v>0</v>
      </c>
      <c r="C70" s="115" t="n">
        <f aca="false">SUMIFS(الريسبي!$C$2:$C$1800,الريسبي!$A$2:$A$1800,$A70,الريسبي!$B$2:$B$1800,C$1)</f>
        <v>0</v>
      </c>
      <c r="D70" s="115" t="n">
        <f aca="false">SUMIFS(الريسبي!$C$2:$C$1800,الريسبي!$A$2:$A$1800,$A70,الريسبي!$B$2:$B$1800,D$1)</f>
        <v>0</v>
      </c>
      <c r="E70" s="115" t="n">
        <f aca="false">SUMIFS(الريسبي!$C$2:$C$1800,الريسبي!$A$2:$A$1800,$A70,الريسبي!$B$2:$B$1800,E$1)</f>
        <v>0</v>
      </c>
      <c r="F70" s="115" t="n">
        <f aca="false">SUMIFS(الريسبي!$C$2:$C$1800,الريسبي!$A$2:$A$1800,$A70,الريسبي!$B$2:$B$1800,F$1)</f>
        <v>0</v>
      </c>
      <c r="G70" s="115" t="n">
        <f aca="false">SUMIFS(الريسبي!$C$2:$C$1800,الريسبي!$A$2:$A$1800,$A70,الريسبي!$B$2:$B$1800,G$1)</f>
        <v>0</v>
      </c>
      <c r="H70" s="115" t="n">
        <f aca="false">SUMIFS(الريسبي!$C$2:$C$1800,الريسبي!$A$2:$A$1800,$A70,الريسبي!$B$2:$B$1800,H$1)</f>
        <v>0</v>
      </c>
      <c r="I70" s="115" t="n">
        <f aca="false">SUMIFS(الريسبي!$C$2:$C$1800,الريسبي!$A$2:$A$1800,$A70,الريسبي!$B$2:$B$1800,I$1)</f>
        <v>0</v>
      </c>
      <c r="J70" s="115" t="n">
        <f aca="false">SUMIFS(الريسبي!$C$2:$C$1800,الريسبي!$A$2:$A$1800,$A70,الريسبي!$B$2:$B$1800,J$1)</f>
        <v>0</v>
      </c>
      <c r="K70" s="115" t="n">
        <f aca="false">SUMIFS(الريسبي!$C$2:$C$1800,الريسبي!$A$2:$A$1800,$A70,الريسبي!$B$2:$B$1800,K$1)</f>
        <v>0</v>
      </c>
      <c r="L70" s="115" t="n">
        <f aca="false">SUMIFS(الريسبي!$C$2:$C$1800,الريسبي!$A$2:$A$1800,$A70,الريسبي!$B$2:$B$1800,L$1)</f>
        <v>0</v>
      </c>
      <c r="M70" s="115" t="n">
        <f aca="false">SUMIFS(الريسبي!$C$2:$C$1800,الريسبي!$A$2:$A$1800,$A70,الريسبي!$B$2:$B$1800,M$1)</f>
        <v>0</v>
      </c>
      <c r="N70" s="115" t="n">
        <f aca="false">SUMIFS(الريسبي!$C$2:$C$1800,الريسبي!$A$2:$A$1800,$A70,الريسبي!$B$2:$B$1800,N$1)</f>
        <v>0</v>
      </c>
      <c r="O70" s="115" t="n">
        <f aca="false">SUMIFS(الريسبي!$C$2:$C$1800,الريسبي!$A$2:$A$1800,$A70,الريسبي!$B$2:$B$1800,O$1)</f>
        <v>0</v>
      </c>
      <c r="P70" s="115" t="n">
        <f aca="false">SUMIFS(الريسبي!$C$2:$C$1800,الريسبي!$A$2:$A$1800,$A70,الريسبي!$B$2:$B$1800,P$1)</f>
        <v>0</v>
      </c>
      <c r="Q70" s="115" t="n">
        <f aca="false">SUMIFS(الريسبي!$C$2:$C$1800,الريسبي!$A$2:$A$1800,$A70,الريسبي!$B$2:$B$1800,Q$1)</f>
        <v>0</v>
      </c>
      <c r="R70" s="115" t="n">
        <f aca="false">SUMIFS(الريسبي!$C$2:$C$1800,الريسبي!$A$2:$A$1800,$A70,الريسبي!$B$2:$B$1800,R$1)</f>
        <v>0</v>
      </c>
      <c r="S70" s="115" t="n">
        <f aca="false">SUMIFS(الريسبي!$C$2:$C$1800,الريسبي!$A$2:$A$1800,$A70,الريسبي!$B$2:$B$1800,S$1)</f>
        <v>0</v>
      </c>
      <c r="T70" s="115" t="n">
        <f aca="false">SUMIFS(الريسبي!$C$2:$C$1800,الريسبي!$A$2:$A$1800,$A70,الريسبي!$B$2:$B$1800,T$1)</f>
        <v>0</v>
      </c>
      <c r="U70" s="115" t="n">
        <f aca="false">SUMIFS(الريسبي!$C$2:$C$1800,الريسبي!$A$2:$A$1800,$A70,الريسبي!$B$2:$B$1800,U$1)</f>
        <v>0</v>
      </c>
      <c r="V70" s="115" t="n">
        <f aca="false">SUMIFS(الريسبي!$C$2:$C$1800,الريسبي!$A$2:$A$1800,$A70,الريسبي!$B$2:$B$1800,V$1)</f>
        <v>0</v>
      </c>
      <c r="W70" s="115" t="n">
        <f aca="false">SUMIFS(الريسبي!$C$2:$C$1800,الريسبي!$A$2:$A$1800,$A70,الريسبي!$B$2:$B$1800,W$1)</f>
        <v>0</v>
      </c>
      <c r="X70" s="115" t="n">
        <f aca="false">SUMIFS(الريسبي!$C$2:$C$1800,الريسبي!$A$2:$A$1800,$A70,الريسبي!$B$2:$B$1800,X$1)</f>
        <v>0</v>
      </c>
      <c r="Y70" s="115" t="n">
        <f aca="false">SUMIFS(الريسبي!$C$2:$C$1800,الريسبي!$A$2:$A$1800,$A70,الريسبي!$B$2:$B$1800,Y$1)</f>
        <v>0</v>
      </c>
      <c r="Z70" s="115" t="n">
        <f aca="false">SUMIFS(الريسبي!$C$2:$C$1800,الريسبي!$A$2:$A$1800,$A70,الريسبي!$B$2:$B$1800,Z$1)</f>
        <v>0</v>
      </c>
      <c r="AA70" s="115" t="n">
        <f aca="false">SUMIFS(الريسبي!$C$2:$C$1800,الريسبي!$A$2:$A$1800,$A70,الريسبي!$B$2:$B$1800,AA$1)</f>
        <v>0</v>
      </c>
      <c r="AB70" s="115" t="n">
        <f aca="false">SUMIFS(الريسبي!$C$2:$C$1800,الريسبي!$A$2:$A$1800,$A70,الريسبي!$B$2:$B$1800,AB$1)</f>
        <v>0</v>
      </c>
      <c r="AC70" s="115" t="n">
        <f aca="false">SUMIFS(الريسبي!$C$2:$C$1800,الريسبي!$A$2:$A$1800,$A70,الريسبي!$B$2:$B$1800,AC$1)</f>
        <v>0</v>
      </c>
      <c r="AD70" s="115" t="n">
        <f aca="false">SUMIFS(الريسبي!$C$2:$C$1800,الريسبي!$A$2:$A$1800,$A70,الريسبي!$B$2:$B$1800,AD$1)</f>
        <v>0</v>
      </c>
      <c r="AE70" s="115" t="n">
        <f aca="false">SUMIFS(الريسبي!$C$2:$C$1800,الريسبي!$A$2:$A$1800,$A70,الريسبي!$B$2:$B$1800,AE$1)</f>
        <v>0</v>
      </c>
      <c r="AF70" s="115" t="n">
        <f aca="false">SUMIFS(الريسبي!$C$2:$C$1800,الريسبي!$A$2:$A$1800,$A70,الريسبي!$B$2:$B$1800,AF$1)</f>
        <v>0</v>
      </c>
      <c r="AG70" s="115" t="n">
        <f aca="false">SUMIFS(الريسبي!$C$2:$C$1800,الريسبي!$A$2:$A$1800,$A70,الريسبي!$B$2:$B$1800,AG$1)</f>
        <v>0</v>
      </c>
      <c r="AH70" s="115" t="n">
        <f aca="false">SUMIFS(الريسبي!$C$2:$C$1800,الريسبي!$A$2:$A$1800,$A70,الريسبي!$B$2:$B$1800,AH$1)</f>
        <v>0</v>
      </c>
      <c r="AI70" s="115" t="n">
        <f aca="false">SUMIFS(الريسبي!$C$2:$C$1800,الريسبي!$A$2:$A$1800,$A70,الريسبي!$B$2:$B$1800,AI$1)</f>
        <v>0</v>
      </c>
      <c r="AJ70" s="115" t="n">
        <f aca="false">SUMIFS(الريسبي!$C$2:$C$1800,الريسبي!$A$2:$A$1800,$A70,الريسبي!$B$2:$B$1800,AJ$1)</f>
        <v>0</v>
      </c>
      <c r="AK70" s="115" t="n">
        <f aca="false">SUMIFS(الريسبي!$C$2:$C$1800,الريسبي!$A$2:$A$1800,$A70,الريسبي!$B$2:$B$1800,AK$1)</f>
        <v>0</v>
      </c>
      <c r="AL70" s="115" t="n">
        <f aca="false">SUMIFS(الريسبي!$C$2:$C$1800,الريسبي!$A$2:$A$1800,$A70,الريسبي!$B$2:$B$1800,AL$1)</f>
        <v>0</v>
      </c>
      <c r="AM70" s="115"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15"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15" t="n">
        <f aca="false">SUMIFS(الريسبي!$C$2:$C$1800,الريسبي!$A$2:$A$1800,$A70,الريسبي!$B$2:$B$1800,AO$1)</f>
        <v>0</v>
      </c>
      <c r="AP70" s="115" t="n">
        <f aca="false">SUMIFS(الريسبي!$C$2:$C$1800,الريسبي!$A$2:$A$1800,$A70,الريسبي!$B$2:$B$1800,AP$1)</f>
        <v>0</v>
      </c>
      <c r="AQ70" s="115"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15" t="n">
        <f aca="false">SUMIFS(الريسبي!$C$2:$C$1800,الريسبي!$A$2:$A$1800,$A70,الريسبي!$B$2:$B$1800,AR$1)</f>
        <v>0</v>
      </c>
      <c r="AS70" s="115" t="n">
        <f aca="false">SUMIFS(الريسبي!$C$2:$C$1800,الريسبي!$A$2:$A$1800,$A70,الريسبي!$B$2:$B$1800,AS$1)</f>
        <v>0</v>
      </c>
      <c r="AT70" s="115" t="n">
        <f aca="false">SUMIFS(الريسبي!$C$2:$C$1800,الريسبي!$A$2:$A$1800,$A70,الريسبي!$B$2:$B$1800,AT$1)</f>
        <v>0</v>
      </c>
      <c r="AU70" s="115" t="n">
        <f aca="false">SUMIFS(الريسبي!$C$2:$C$1800,الريسبي!$A$2:$A$1800,$A70,الريسبي!$B$2:$B$1800,AU$1)</f>
        <v>0</v>
      </c>
      <c r="AV70" s="115" t="n">
        <f aca="false">SUMIFS(الريسبي!$C$2:$C$1800,الريسبي!$A$2:$A$1800,$A70,الريسبي!$B$2:$B$1800,AV$1)</f>
        <v>0</v>
      </c>
      <c r="AW70" s="115" t="n">
        <f aca="false">SUMIFS(الريسبي!$C$2:$C$1800,الريسبي!$A$2:$A$1800,$A70,الريسبي!$B$2:$B$1800,AW$1)</f>
        <v>0</v>
      </c>
      <c r="AX70" s="115" t="n">
        <f aca="false">SUMIFS(الريسبي!$C$2:$C$1800,الريسبي!$A$2:$A$1800,$A70,الريسبي!$B$2:$B$1800,AX$1)</f>
        <v>0</v>
      </c>
      <c r="AY70" s="115" t="n">
        <f aca="false">SUMIFS(الريسبي!$C$2:$C$1800,الريسبي!$A$2:$A$1800,$A70,الريسبي!$B$2:$B$1800,AY$1)</f>
        <v>0</v>
      </c>
      <c r="AZ70" s="115" t="n">
        <f aca="false">SUMIFS(الريسبي!$C$2:$C$1800,الريسبي!$A$2:$A$1800,$A70,الريسبي!$B$2:$B$1800,AZ$1)</f>
        <v>0</v>
      </c>
      <c r="BA70" s="115" t="n">
        <f aca="false">SUMIFS(الريسبي!$C$2:$C$1800,الريسبي!$A$2:$A$1800,$A70,الريسبي!$B$2:$B$1800,BA$1)</f>
        <v>0</v>
      </c>
      <c r="BB70" s="115" t="n">
        <f aca="false">SUMIFS(الريسبي!$C$2:$C$1800,الريسبي!$A$2:$A$1800,$A70,الريسبي!$B$2:$B$1800,BB$1)</f>
        <v>0</v>
      </c>
      <c r="BC70" s="115" t="n">
        <f aca="false">SUMIFS(الريسبي!$C$2:$C$1800,الريسبي!$A$2:$A$1800,$A70,الريسبي!$B$2:$B$1800,BC$1)</f>
        <v>0</v>
      </c>
      <c r="BD70" s="115" t="n">
        <f aca="false">SUMIFS(الريسبي!$C$2:$C$1800,الريسبي!$A$2:$A$1800,$A70,الريسبي!$B$2:$B$1800,BD$1)</f>
        <v>0</v>
      </c>
      <c r="BE70" s="115" t="n">
        <f aca="false">SUMIFS(الريسبي!$C$2:$C$1800,الريسبي!$A$2:$A$1800,$A70,الريسبي!$B$2:$B$1800,BE$1)</f>
        <v>0</v>
      </c>
      <c r="BF70" s="115" t="n">
        <f aca="false">SUMIFS(الريسبي!$C$2:$C$1800,الريسبي!$A$2:$A$1800,$A70,الريسبي!$B$2:$B$1800,BF$1)</f>
        <v>0</v>
      </c>
      <c r="BG70" s="115" t="n">
        <f aca="false">SUMIFS(الريسبي!$C$2:$C$1800,الريسبي!$A$2:$A$1800,$A70,الريسبي!$B$2:$B$1800,BG$1)</f>
        <v>0</v>
      </c>
      <c r="BH70" s="115" t="n">
        <f aca="false">SUMIFS(الريسبي!$C$2:$C$1800,الريسبي!$A$2:$A$1800,$A70,الريسبي!$B$2:$B$1800,BH$1)</f>
        <v>0</v>
      </c>
      <c r="BI70" s="115" t="n">
        <f aca="false">SUMIFS(الريسبي!$C$2:$C$1800,الريسبي!$A$2:$A$1800,$A70,الريسبي!$B$2:$B$1800,BI$1)</f>
        <v>0</v>
      </c>
      <c r="BJ70" s="115" t="n">
        <f aca="false">SUMIFS(الريسبي!$C$2:$C$1800,الريسبي!$A$2:$A$1800,$A70,الريسبي!$B$2:$B$1800,BJ$1)</f>
        <v>0</v>
      </c>
      <c r="BK70" s="115" t="n">
        <f aca="false">SUMIFS(الريسبي!$C$2:$C$1800,الريسبي!$A$2:$A$1800,$A70,الريسبي!$B$2:$B$1800,BK$1)</f>
        <v>0</v>
      </c>
      <c r="BL70" s="115" t="n">
        <f aca="false">SUMIFS(الريسبي!$C$2:$C$1800,الريسبي!$A$2:$A$1800,$A70,الريسبي!$B$2:$B$1800,BL$1)</f>
        <v>0</v>
      </c>
      <c r="BM70" s="115" t="n">
        <f aca="false">SUMIFS(الريسبي!$C$2:$C$1800,الريسبي!$A$2:$A$1800,$A70,الريسبي!$B$2:$B$1800,BM$1)</f>
        <v>0</v>
      </c>
      <c r="BN70" s="115" t="n">
        <f aca="false">SUMIFS(الريسبي!$C$2:$C$1800,الريسبي!$A$2:$A$1800,$A70,الريسبي!$B$2:$B$1800,BN$1)</f>
        <v>0</v>
      </c>
      <c r="BO70" s="115" t="n">
        <f aca="false">SUMIFS(الريسبي!$C$2:$C$1800,الريسبي!$A$2:$A$1800,$A70,الريسبي!$B$2:$B$1800,BO$1)</f>
        <v>0</v>
      </c>
      <c r="BP70" s="115" t="n">
        <f aca="false">SUMIFS(الريسبي!$C$2:$C$1800,الريسبي!$A$2:$A$1800,$A70,الريسبي!$B$2:$B$1800,BP$1)</f>
        <v>0</v>
      </c>
      <c r="BQ70" s="115"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15" t="n">
        <f aca="false">SUMIFS(الريسبي!$C$2:$C$1800,الريسبي!$A$2:$A$1800,$A70,الريسبي!$B$2:$B$1800,BR$1)</f>
        <v>0</v>
      </c>
      <c r="BS70" s="115" t="n">
        <f aca="false">SUMIFS(الريسبي!$C$2:$C$1800,الريسبي!$A$2:$A$1800,$A70,الريسبي!$B$2:$B$1800,BS$1)</f>
        <v>0</v>
      </c>
      <c r="BT70" s="115" t="n">
        <f aca="false">SUMIFS(الريسبي!$C$2:$C$1800,الريسبي!$A$2:$A$1800,$A70,الريسبي!$B$2:$B$1800,BT$1)</f>
        <v>1</v>
      </c>
      <c r="BU70" s="115"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15" t="n">
        <f aca="false">SUMIFS(الريسبي!$C$2:$C$1800,الريسبي!$A$2:$A$1800,$A70,الريسبي!$B$2:$B$1800,BV$1)</f>
        <v>0</v>
      </c>
      <c r="BW70" s="115" t="n">
        <f aca="false">SUMIFS(الريسبي!$C$2:$C$1800,الريسبي!$A$2:$A$1800,$A70,الريسبي!$B$2:$B$1800,BW$1)</f>
        <v>0</v>
      </c>
      <c r="BX70" s="115" t="n">
        <f aca="false">SUMIFS(الريسبي!$C$2:$C$1800,الريسبي!$A$2:$A$1800,$A70,الريسبي!$B$2:$B$1800,BX$1)</f>
        <v>0</v>
      </c>
      <c r="BY70" s="115" t="n">
        <f aca="false">SUMIFS(الريسبي!$C$2:$C$1800,الريسبي!$A$2:$A$1800,$A70,الريسبي!$B$2:$B$1800,BY$1)</f>
        <v>0</v>
      </c>
      <c r="BZ70" s="115" t="n">
        <f aca="false">SUMIFS(الريسبي!$C$2:$C$1800,الريسبي!$A$2:$A$1800,$A70,الريسبي!$B$2:$B$1800,BZ$1)</f>
        <v>0</v>
      </c>
      <c r="CA70" s="115" t="n">
        <f aca="false">SUMIFS(الريسبي!$C$2:$C$1800,الريسبي!$A$2:$A$1800,$A70,الريسبي!$B$2:$B$1800,CA$1)</f>
        <v>0</v>
      </c>
      <c r="CB70" s="115" t="n">
        <f aca="false">SUMIFS(الريسبي!$C$2:$C$1800,الريسبي!$A$2:$A$1800,$A70,الريسبي!$B$2:$B$1800,CB$1)</f>
        <v>0</v>
      </c>
      <c r="CC70" s="115" t="n">
        <f aca="false">SUMIFS(الريسبي!$C$2:$C$1800,الريسبي!$A$2:$A$1800,$A70,الريسبي!$B$2:$B$1800,CC$1)</f>
        <v>0</v>
      </c>
      <c r="CD70" s="115" t="n">
        <f aca="false">SUMIFS(الريسبي!$C$2:$C$1800,الريسبي!$A$2:$A$1800,$A70,الريسبي!$B$2:$B$1800,CD$1)</f>
        <v>0</v>
      </c>
      <c r="CE70" s="115" t="n">
        <f aca="false">SUMIFS(الريسبي!$C$2:$C$1800,الريسبي!$A$2:$A$1800,$A70,الريسبي!$B$2:$B$1800,CE$1)</f>
        <v>0</v>
      </c>
      <c r="CF70" s="115" t="n">
        <f aca="false">SUMIFS(الريسبي!$C$2:$C$1800,الريسبي!$A$2:$A$1800,$A70,الريسبي!$B$2:$B$1800,CF$1)</f>
        <v>0</v>
      </c>
      <c r="CG70" s="115" t="n">
        <f aca="false">SUMIFS(الريسبي!$C$2:$C$1800,الريسبي!$A$2:$A$1800,$A70,الريسبي!$B$2:$B$1800,CG$1)</f>
        <v>0</v>
      </c>
      <c r="CH70" s="115" t="n">
        <f aca="false">SUMIFS(الريسبي!$C$2:$C$1800,الريسبي!$A$2:$A$1800,$A70,الريسبي!$B$2:$B$1800,CH$1)</f>
        <v>0</v>
      </c>
    </row>
    <row r="71" customFormat="false" ht="15" hidden="false" customHeight="false" outlineLevel="0" collapsed="false">
      <c r="A71" s="114" t="str">
        <f aca="false">المنيو!B71</f>
        <v>باكت بطاطس وسط</v>
      </c>
      <c r="B71" s="115" t="n">
        <f aca="false">SUMIFS(الريسبي!$C$2:$C$1800,الريسبي!$A$2:$A$1800,$A71,الريسبي!$B$2:$B$1800,B$1)</f>
        <v>0</v>
      </c>
      <c r="C71" s="115" t="n">
        <f aca="false">SUMIFS(الريسبي!$C$2:$C$1800,الريسبي!$A$2:$A$1800,$A71,الريسبي!$B$2:$B$1800,C$1)</f>
        <v>0</v>
      </c>
      <c r="D71" s="115" t="n">
        <f aca="false">SUMIFS(الريسبي!$C$2:$C$1800,الريسبي!$A$2:$A$1800,$A71,الريسبي!$B$2:$B$1800,D$1)</f>
        <v>0</v>
      </c>
      <c r="E71" s="115" t="n">
        <f aca="false">SUMIFS(الريسبي!$C$2:$C$1800,الريسبي!$A$2:$A$1800,$A71,الريسبي!$B$2:$B$1800,E$1)</f>
        <v>0</v>
      </c>
      <c r="F71" s="115" t="n">
        <f aca="false">SUMIFS(الريسبي!$C$2:$C$1800,الريسبي!$A$2:$A$1800,$A71,الريسبي!$B$2:$B$1800,F$1)</f>
        <v>0</v>
      </c>
      <c r="G71" s="115" t="n">
        <f aca="false">SUMIFS(الريسبي!$C$2:$C$1800,الريسبي!$A$2:$A$1800,$A71,الريسبي!$B$2:$B$1800,G$1)</f>
        <v>0</v>
      </c>
      <c r="H71" s="115" t="n">
        <f aca="false">SUMIFS(الريسبي!$C$2:$C$1800,الريسبي!$A$2:$A$1800,$A71,الريسبي!$B$2:$B$1800,H$1)</f>
        <v>0</v>
      </c>
      <c r="I71" s="115" t="n">
        <f aca="false">SUMIFS(الريسبي!$C$2:$C$1800,الريسبي!$A$2:$A$1800,$A71,الريسبي!$B$2:$B$1800,I$1)</f>
        <v>1.5</v>
      </c>
      <c r="J71" s="115" t="n">
        <f aca="false">SUMIFS(الريسبي!$C$2:$C$1800,الريسبي!$A$2:$A$1800,$A71,الريسبي!$B$2:$B$1800,J$1)</f>
        <v>0</v>
      </c>
      <c r="K71" s="115" t="n">
        <f aca="false">SUMIFS(الريسبي!$C$2:$C$1800,الريسبي!$A$2:$A$1800,$A71,الريسبي!$B$2:$B$1800,K$1)</f>
        <v>0</v>
      </c>
      <c r="L71" s="115" t="n">
        <f aca="false">SUMIFS(الريسبي!$C$2:$C$1800,الريسبي!$A$2:$A$1800,$A71,الريسبي!$B$2:$B$1800,L$1)</f>
        <v>0</v>
      </c>
      <c r="M71" s="115" t="n">
        <f aca="false">SUMIFS(الريسبي!$C$2:$C$1800,الريسبي!$A$2:$A$1800,$A71,الريسبي!$B$2:$B$1800,M$1)</f>
        <v>0</v>
      </c>
      <c r="N71" s="115" t="n">
        <f aca="false">SUMIFS(الريسبي!$C$2:$C$1800,الريسبي!$A$2:$A$1800,$A71,الريسبي!$B$2:$B$1800,N$1)</f>
        <v>0</v>
      </c>
      <c r="O71" s="115" t="n">
        <f aca="false">SUMIFS(الريسبي!$C$2:$C$1800,الريسبي!$A$2:$A$1800,$A71,الريسبي!$B$2:$B$1800,O$1)</f>
        <v>0</v>
      </c>
      <c r="P71" s="115" t="n">
        <f aca="false">SUMIFS(الريسبي!$C$2:$C$1800,الريسبي!$A$2:$A$1800,$A71,الريسبي!$B$2:$B$1800,P$1)</f>
        <v>0</v>
      </c>
      <c r="Q71" s="115" t="n">
        <f aca="false">SUMIFS(الريسبي!$C$2:$C$1800,الريسبي!$A$2:$A$1800,$A71,الريسبي!$B$2:$B$1800,Q$1)</f>
        <v>0</v>
      </c>
      <c r="R71" s="115" t="n">
        <f aca="false">SUMIFS(الريسبي!$C$2:$C$1800,الريسبي!$A$2:$A$1800,$A71,الريسبي!$B$2:$B$1800,R$1)</f>
        <v>0</v>
      </c>
      <c r="S71" s="115" t="n">
        <f aca="false">SUMIFS(الريسبي!$C$2:$C$1800,الريسبي!$A$2:$A$1800,$A71,الريسبي!$B$2:$B$1800,S$1)</f>
        <v>0</v>
      </c>
      <c r="T71" s="115" t="n">
        <f aca="false">SUMIFS(الريسبي!$C$2:$C$1800,الريسبي!$A$2:$A$1800,$A71,الريسبي!$B$2:$B$1800,T$1)</f>
        <v>0</v>
      </c>
      <c r="U71" s="115" t="n">
        <f aca="false">SUMIFS(الريسبي!$C$2:$C$1800,الريسبي!$A$2:$A$1800,$A71,الريسبي!$B$2:$B$1800,U$1)</f>
        <v>0</v>
      </c>
      <c r="V71" s="115" t="n">
        <f aca="false">SUMIFS(الريسبي!$C$2:$C$1800,الريسبي!$A$2:$A$1800,$A71,الريسبي!$B$2:$B$1800,V$1)</f>
        <v>0</v>
      </c>
      <c r="W71" s="115" t="n">
        <f aca="false">SUMIFS(الريسبي!$C$2:$C$1800,الريسبي!$A$2:$A$1800,$A71,الريسبي!$B$2:$B$1800,W$1)</f>
        <v>0</v>
      </c>
      <c r="X71" s="115" t="n">
        <f aca="false">SUMIFS(الريسبي!$C$2:$C$1800,الريسبي!$A$2:$A$1800,$A71,الريسبي!$B$2:$B$1800,X$1)</f>
        <v>0</v>
      </c>
      <c r="Y71" s="115" t="n">
        <f aca="false">SUMIFS(الريسبي!$C$2:$C$1800,الريسبي!$A$2:$A$1800,$A71,الريسبي!$B$2:$B$1800,Y$1)</f>
        <v>0</v>
      </c>
      <c r="Z71" s="115" t="n">
        <f aca="false">SUMIFS(الريسبي!$C$2:$C$1800,الريسبي!$A$2:$A$1800,$A71,الريسبي!$B$2:$B$1800,Z$1)</f>
        <v>0</v>
      </c>
      <c r="AA71" s="115" t="n">
        <f aca="false">SUMIFS(الريسبي!$C$2:$C$1800,الريسبي!$A$2:$A$1800,$A71,الريسبي!$B$2:$B$1800,AA$1)</f>
        <v>0</v>
      </c>
      <c r="AB71" s="115" t="n">
        <f aca="false">SUMIFS(الريسبي!$C$2:$C$1800,الريسبي!$A$2:$A$1800,$A71,الريسبي!$B$2:$B$1800,AB$1)</f>
        <v>0</v>
      </c>
      <c r="AC71" s="115" t="n">
        <f aca="false">SUMIFS(الريسبي!$C$2:$C$1800,الريسبي!$A$2:$A$1800,$A71,الريسبي!$B$2:$B$1800,AC$1)</f>
        <v>0</v>
      </c>
      <c r="AD71" s="115" t="n">
        <f aca="false">SUMIFS(الريسبي!$C$2:$C$1800,الريسبي!$A$2:$A$1800,$A71,الريسبي!$B$2:$B$1800,AD$1)</f>
        <v>0</v>
      </c>
      <c r="AE71" s="115" t="n">
        <f aca="false">SUMIFS(الريسبي!$C$2:$C$1800,الريسبي!$A$2:$A$1800,$A71,الريسبي!$B$2:$B$1800,AE$1)</f>
        <v>0</v>
      </c>
      <c r="AF71" s="115" t="n">
        <f aca="false">SUMIFS(الريسبي!$C$2:$C$1800,الريسبي!$A$2:$A$1800,$A71,الريسبي!$B$2:$B$1800,AF$1)</f>
        <v>0</v>
      </c>
      <c r="AG71" s="115" t="n">
        <f aca="false">SUMIFS(الريسبي!$C$2:$C$1800,الريسبي!$A$2:$A$1800,$A71,الريسبي!$B$2:$B$1800,AG$1)</f>
        <v>0</v>
      </c>
      <c r="AH71" s="115" t="n">
        <f aca="false">SUMIFS(الريسبي!$C$2:$C$1800,الريسبي!$A$2:$A$1800,$A71,الريسبي!$B$2:$B$1800,AH$1)</f>
        <v>0</v>
      </c>
      <c r="AI71" s="115" t="n">
        <f aca="false">SUMIFS(الريسبي!$C$2:$C$1800,الريسبي!$A$2:$A$1800,$A71,الريسبي!$B$2:$B$1800,AI$1)</f>
        <v>0</v>
      </c>
      <c r="AJ71" s="115" t="n">
        <f aca="false">SUMIFS(الريسبي!$C$2:$C$1800,الريسبي!$A$2:$A$1800,$A71,الريسبي!$B$2:$B$1800,AJ$1)</f>
        <v>0</v>
      </c>
      <c r="AK71" s="115" t="n">
        <f aca="false">SUMIFS(الريسبي!$C$2:$C$1800,الريسبي!$A$2:$A$1800,$A71,الريسبي!$B$2:$B$1800,AK$1)</f>
        <v>0</v>
      </c>
      <c r="AL71" s="115" t="n">
        <f aca="false">SUMIFS(الريسبي!$C$2:$C$1800,الريسبي!$A$2:$A$1800,$A71,الريسبي!$B$2:$B$1800,AL$1)</f>
        <v>0</v>
      </c>
      <c r="AM71" s="115"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15"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15" t="n">
        <f aca="false">SUMIFS(الريسبي!$C$2:$C$1800,الريسبي!$A$2:$A$1800,$A71,الريسبي!$B$2:$B$1800,AO$1)</f>
        <v>0</v>
      </c>
      <c r="AP71" s="115" t="n">
        <f aca="false">SUMIFS(الريسبي!$C$2:$C$1800,الريسبي!$A$2:$A$1800,$A71,الريسبي!$B$2:$B$1800,AP$1)</f>
        <v>0</v>
      </c>
      <c r="AQ71" s="115"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15" t="n">
        <f aca="false">SUMIFS(الريسبي!$C$2:$C$1800,الريسبي!$A$2:$A$1800,$A71,الريسبي!$B$2:$B$1800,AR$1)</f>
        <v>0</v>
      </c>
      <c r="AS71" s="115" t="n">
        <f aca="false">SUMIFS(الريسبي!$C$2:$C$1800,الريسبي!$A$2:$A$1800,$A71,الريسبي!$B$2:$B$1800,AS$1)</f>
        <v>0</v>
      </c>
      <c r="AT71" s="115" t="n">
        <f aca="false">SUMIFS(الريسبي!$C$2:$C$1800,الريسبي!$A$2:$A$1800,$A71,الريسبي!$B$2:$B$1800,AT$1)</f>
        <v>0</v>
      </c>
      <c r="AU71" s="115" t="n">
        <f aca="false">SUMIFS(الريسبي!$C$2:$C$1800,الريسبي!$A$2:$A$1800,$A71,الريسبي!$B$2:$B$1800,AU$1)</f>
        <v>0</v>
      </c>
      <c r="AV71" s="115" t="n">
        <f aca="false">SUMIFS(الريسبي!$C$2:$C$1800,الريسبي!$A$2:$A$1800,$A71,الريسبي!$B$2:$B$1800,AV$1)</f>
        <v>0</v>
      </c>
      <c r="AW71" s="115" t="n">
        <f aca="false">SUMIFS(الريسبي!$C$2:$C$1800,الريسبي!$A$2:$A$1800,$A71,الريسبي!$B$2:$B$1800,AW$1)</f>
        <v>0</v>
      </c>
      <c r="AX71" s="115" t="n">
        <f aca="false">SUMIFS(الريسبي!$C$2:$C$1800,الريسبي!$A$2:$A$1800,$A71,الريسبي!$B$2:$B$1800,AX$1)</f>
        <v>0</v>
      </c>
      <c r="AY71" s="115" t="n">
        <f aca="false">SUMIFS(الريسبي!$C$2:$C$1800,الريسبي!$A$2:$A$1800,$A71,الريسبي!$B$2:$B$1800,AY$1)</f>
        <v>0</v>
      </c>
      <c r="AZ71" s="115" t="n">
        <f aca="false">SUMIFS(الريسبي!$C$2:$C$1800,الريسبي!$A$2:$A$1800,$A71,الريسبي!$B$2:$B$1800,AZ$1)</f>
        <v>0</v>
      </c>
      <c r="BA71" s="115" t="n">
        <f aca="false">SUMIFS(الريسبي!$C$2:$C$1800,الريسبي!$A$2:$A$1800,$A71,الريسبي!$B$2:$B$1800,BA$1)</f>
        <v>0</v>
      </c>
      <c r="BB71" s="115" t="n">
        <f aca="false">SUMIFS(الريسبي!$C$2:$C$1800,الريسبي!$A$2:$A$1800,$A71,الريسبي!$B$2:$B$1800,BB$1)</f>
        <v>0</v>
      </c>
      <c r="BC71" s="115" t="n">
        <f aca="false">SUMIFS(الريسبي!$C$2:$C$1800,الريسبي!$A$2:$A$1800,$A71,الريسبي!$B$2:$B$1800,BC$1)</f>
        <v>0</v>
      </c>
      <c r="BD71" s="115" t="n">
        <f aca="false">SUMIFS(الريسبي!$C$2:$C$1800,الريسبي!$A$2:$A$1800,$A71,الريسبي!$B$2:$B$1800,BD$1)</f>
        <v>0</v>
      </c>
      <c r="BE71" s="115" t="n">
        <f aca="false">SUMIFS(الريسبي!$C$2:$C$1800,الريسبي!$A$2:$A$1800,$A71,الريسبي!$B$2:$B$1800,BE$1)</f>
        <v>0</v>
      </c>
      <c r="BF71" s="115" t="n">
        <f aca="false">SUMIFS(الريسبي!$C$2:$C$1800,الريسبي!$A$2:$A$1800,$A71,الريسبي!$B$2:$B$1800,BF$1)</f>
        <v>0</v>
      </c>
      <c r="BG71" s="115" t="n">
        <f aca="false">SUMIFS(الريسبي!$C$2:$C$1800,الريسبي!$A$2:$A$1800,$A71,الريسبي!$B$2:$B$1800,BG$1)</f>
        <v>0</v>
      </c>
      <c r="BH71" s="115" t="n">
        <f aca="false">SUMIFS(الريسبي!$C$2:$C$1800,الريسبي!$A$2:$A$1800,$A71,الريسبي!$B$2:$B$1800,BH$1)</f>
        <v>0</v>
      </c>
      <c r="BI71" s="115" t="n">
        <f aca="false">SUMIFS(الريسبي!$C$2:$C$1800,الريسبي!$A$2:$A$1800,$A71,الريسبي!$B$2:$B$1800,BI$1)</f>
        <v>1</v>
      </c>
      <c r="BJ71" s="115" t="n">
        <f aca="false">SUMIFS(الريسبي!$C$2:$C$1800,الريسبي!$A$2:$A$1800,$A71,الريسبي!$B$2:$B$1800,BJ$1)</f>
        <v>0</v>
      </c>
      <c r="BK71" s="115" t="n">
        <f aca="false">SUMIFS(الريسبي!$C$2:$C$1800,الريسبي!$A$2:$A$1800,$A71,الريسبي!$B$2:$B$1800,BK$1)</f>
        <v>0</v>
      </c>
      <c r="BL71" s="115" t="n">
        <f aca="false">SUMIFS(الريسبي!$C$2:$C$1800,الريسبي!$A$2:$A$1800,$A71,الريسبي!$B$2:$B$1800,BL$1)</f>
        <v>0</v>
      </c>
      <c r="BM71" s="115" t="n">
        <f aca="false">SUMIFS(الريسبي!$C$2:$C$1800,الريسبي!$A$2:$A$1800,$A71,الريسبي!$B$2:$B$1800,BM$1)</f>
        <v>0</v>
      </c>
      <c r="BN71" s="115" t="n">
        <f aca="false">SUMIFS(الريسبي!$C$2:$C$1800,الريسبي!$A$2:$A$1800,$A71,الريسبي!$B$2:$B$1800,BN$1)</f>
        <v>0</v>
      </c>
      <c r="BO71" s="115" t="n">
        <f aca="false">SUMIFS(الريسبي!$C$2:$C$1800,الريسبي!$A$2:$A$1800,$A71,الريسبي!$B$2:$B$1800,BO$1)</f>
        <v>0</v>
      </c>
      <c r="BP71" s="115" t="n">
        <f aca="false">SUMIFS(الريسبي!$C$2:$C$1800,الريسبي!$A$2:$A$1800,$A71,الريسبي!$B$2:$B$1800,BP$1)</f>
        <v>1</v>
      </c>
      <c r="BQ71" s="115"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15" t="n">
        <f aca="false">SUMIFS(الريسبي!$C$2:$C$1800,الريسبي!$A$2:$A$1800,$A71,الريسبي!$B$2:$B$1800,BR$1)</f>
        <v>0</v>
      </c>
      <c r="BS71" s="115" t="n">
        <f aca="false">SUMIFS(الريسبي!$C$2:$C$1800,الريسبي!$A$2:$A$1800,$A71,الريسبي!$B$2:$B$1800,BS$1)</f>
        <v>0</v>
      </c>
      <c r="BT71" s="115" t="n">
        <f aca="false">SUMIFS(الريسبي!$C$2:$C$1800,الريسبي!$A$2:$A$1800,$A71,الريسبي!$B$2:$B$1800,BT$1)</f>
        <v>0</v>
      </c>
      <c r="BU71" s="115"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15" t="n">
        <f aca="false">SUMIFS(الريسبي!$C$2:$C$1800,الريسبي!$A$2:$A$1800,$A71,الريسبي!$B$2:$B$1800,BV$1)</f>
        <v>0</v>
      </c>
      <c r="BW71" s="115" t="n">
        <f aca="false">SUMIFS(الريسبي!$C$2:$C$1800,الريسبي!$A$2:$A$1800,$A71,الريسبي!$B$2:$B$1800,BW$1)</f>
        <v>0</v>
      </c>
      <c r="BX71" s="115" t="n">
        <f aca="false">SUMIFS(الريسبي!$C$2:$C$1800,الريسبي!$A$2:$A$1800,$A71,الريسبي!$B$2:$B$1800,BX$1)</f>
        <v>0</v>
      </c>
      <c r="BY71" s="115" t="n">
        <f aca="false">SUMIFS(الريسبي!$C$2:$C$1800,الريسبي!$A$2:$A$1800,$A71,الريسبي!$B$2:$B$1800,BY$1)</f>
        <v>0</v>
      </c>
      <c r="BZ71" s="115" t="n">
        <f aca="false">SUMIFS(الريسبي!$C$2:$C$1800,الريسبي!$A$2:$A$1800,$A71,الريسبي!$B$2:$B$1800,BZ$1)</f>
        <v>0</v>
      </c>
      <c r="CA71" s="115" t="n">
        <f aca="false">SUMIFS(الريسبي!$C$2:$C$1800,الريسبي!$A$2:$A$1800,$A71,الريسبي!$B$2:$B$1800,CA$1)</f>
        <v>0</v>
      </c>
      <c r="CB71" s="115" t="n">
        <f aca="false">SUMIFS(الريسبي!$C$2:$C$1800,الريسبي!$A$2:$A$1800,$A71,الريسبي!$B$2:$B$1800,CB$1)</f>
        <v>0</v>
      </c>
      <c r="CC71" s="115" t="n">
        <f aca="false">SUMIFS(الريسبي!$C$2:$C$1800,الريسبي!$A$2:$A$1800,$A71,الريسبي!$B$2:$B$1800,CC$1)</f>
        <v>0</v>
      </c>
      <c r="CD71" s="115" t="n">
        <f aca="false">SUMIFS(الريسبي!$C$2:$C$1800,الريسبي!$A$2:$A$1800,$A71,الريسبي!$B$2:$B$1800,CD$1)</f>
        <v>0</v>
      </c>
      <c r="CE71" s="115" t="n">
        <f aca="false">SUMIFS(الريسبي!$C$2:$C$1800,الريسبي!$A$2:$A$1800,$A71,الريسبي!$B$2:$B$1800,CE$1)</f>
        <v>0</v>
      </c>
      <c r="CF71" s="115" t="n">
        <f aca="false">SUMIFS(الريسبي!$C$2:$C$1800,الريسبي!$A$2:$A$1800,$A71,الريسبي!$B$2:$B$1800,CF$1)</f>
        <v>0</v>
      </c>
      <c r="CG71" s="115" t="n">
        <f aca="false">SUMIFS(الريسبي!$C$2:$C$1800,الريسبي!$A$2:$A$1800,$A71,الريسبي!$B$2:$B$1800,CG$1)</f>
        <v>0</v>
      </c>
      <c r="CH71" s="115" t="n">
        <f aca="false">SUMIFS(الريسبي!$C$2:$C$1800,الريسبي!$A$2:$A$1800,$A71,الريسبي!$B$2:$B$1800,CH$1)</f>
        <v>0</v>
      </c>
    </row>
    <row r="72" customFormat="false" ht="15" hidden="false" customHeight="false" outlineLevel="0" collapsed="false">
      <c r="A72" s="114" t="str">
        <f aca="false">المنيو!B72</f>
        <v>باكت بطاطس كبير</v>
      </c>
      <c r="B72" s="115" t="n">
        <f aca="false">SUMIFS(الريسبي!$C$2:$C$1800,الريسبي!$A$2:$A$1800,$A72,الريسبي!$B$2:$B$1800,B$1)</f>
        <v>0</v>
      </c>
      <c r="C72" s="115" t="n">
        <f aca="false">SUMIFS(الريسبي!$C$2:$C$1800,الريسبي!$A$2:$A$1800,$A72,الريسبي!$B$2:$B$1800,C$1)</f>
        <v>0</v>
      </c>
      <c r="D72" s="115" t="n">
        <f aca="false">SUMIFS(الريسبي!$C$2:$C$1800,الريسبي!$A$2:$A$1800,$A72,الريسبي!$B$2:$B$1800,D$1)</f>
        <v>0</v>
      </c>
      <c r="E72" s="115" t="n">
        <f aca="false">SUMIFS(الريسبي!$C$2:$C$1800,الريسبي!$A$2:$A$1800,$A72,الريسبي!$B$2:$B$1800,E$1)</f>
        <v>0</v>
      </c>
      <c r="F72" s="115" t="n">
        <f aca="false">SUMIFS(الريسبي!$C$2:$C$1800,الريسبي!$A$2:$A$1800,$A72,الريسبي!$B$2:$B$1800,F$1)</f>
        <v>0</v>
      </c>
      <c r="G72" s="115" t="n">
        <f aca="false">SUMIFS(الريسبي!$C$2:$C$1800,الريسبي!$A$2:$A$1800,$A72,الريسبي!$B$2:$B$1800,G$1)</f>
        <v>0</v>
      </c>
      <c r="H72" s="115" t="n">
        <f aca="false">SUMIFS(الريسبي!$C$2:$C$1800,الريسبي!$A$2:$A$1800,$A72,الريسبي!$B$2:$B$1800,H$1)</f>
        <v>0</v>
      </c>
      <c r="I72" s="115" t="n">
        <f aca="false">SUMIFS(الريسبي!$C$2:$C$1800,الريسبي!$A$2:$A$1800,$A72,الريسبي!$B$2:$B$1800,I$1)</f>
        <v>3</v>
      </c>
      <c r="J72" s="115" t="n">
        <f aca="false">SUMIFS(الريسبي!$C$2:$C$1800,الريسبي!$A$2:$A$1800,$A72,الريسبي!$B$2:$B$1800,J$1)</f>
        <v>0</v>
      </c>
      <c r="K72" s="115" t="n">
        <f aca="false">SUMIFS(الريسبي!$C$2:$C$1800,الريسبي!$A$2:$A$1800,$A72,الريسبي!$B$2:$B$1800,K$1)</f>
        <v>0</v>
      </c>
      <c r="L72" s="115" t="n">
        <f aca="false">SUMIFS(الريسبي!$C$2:$C$1800,الريسبي!$A$2:$A$1800,$A72,الريسبي!$B$2:$B$1800,L$1)</f>
        <v>0</v>
      </c>
      <c r="M72" s="115" t="n">
        <f aca="false">SUMIFS(الريسبي!$C$2:$C$1800,الريسبي!$A$2:$A$1800,$A72,الريسبي!$B$2:$B$1800,M$1)</f>
        <v>0</v>
      </c>
      <c r="N72" s="115" t="n">
        <f aca="false">SUMIFS(الريسبي!$C$2:$C$1800,الريسبي!$A$2:$A$1800,$A72,الريسبي!$B$2:$B$1800,N$1)</f>
        <v>0</v>
      </c>
      <c r="O72" s="115" t="n">
        <f aca="false">SUMIFS(الريسبي!$C$2:$C$1800,الريسبي!$A$2:$A$1800,$A72,الريسبي!$B$2:$B$1800,O$1)</f>
        <v>0</v>
      </c>
      <c r="P72" s="115" t="n">
        <f aca="false">SUMIFS(الريسبي!$C$2:$C$1800,الريسبي!$A$2:$A$1800,$A72,الريسبي!$B$2:$B$1800,P$1)</f>
        <v>0</v>
      </c>
      <c r="Q72" s="115" t="n">
        <f aca="false">SUMIFS(الريسبي!$C$2:$C$1800,الريسبي!$A$2:$A$1800,$A72,الريسبي!$B$2:$B$1800,Q$1)</f>
        <v>0</v>
      </c>
      <c r="R72" s="115" t="n">
        <f aca="false">SUMIFS(الريسبي!$C$2:$C$1800,الريسبي!$A$2:$A$1800,$A72,الريسبي!$B$2:$B$1800,R$1)</f>
        <v>0</v>
      </c>
      <c r="S72" s="115" t="n">
        <f aca="false">SUMIFS(الريسبي!$C$2:$C$1800,الريسبي!$A$2:$A$1800,$A72,الريسبي!$B$2:$B$1800,S$1)</f>
        <v>0</v>
      </c>
      <c r="T72" s="115" t="n">
        <f aca="false">SUMIFS(الريسبي!$C$2:$C$1800,الريسبي!$A$2:$A$1800,$A72,الريسبي!$B$2:$B$1800,T$1)</f>
        <v>0</v>
      </c>
      <c r="U72" s="115" t="n">
        <f aca="false">SUMIFS(الريسبي!$C$2:$C$1800,الريسبي!$A$2:$A$1800,$A72,الريسبي!$B$2:$B$1800,U$1)</f>
        <v>0</v>
      </c>
      <c r="V72" s="115" t="n">
        <f aca="false">SUMIFS(الريسبي!$C$2:$C$1800,الريسبي!$A$2:$A$1800,$A72,الريسبي!$B$2:$B$1800,V$1)</f>
        <v>0</v>
      </c>
      <c r="W72" s="115" t="n">
        <f aca="false">SUMIFS(الريسبي!$C$2:$C$1800,الريسبي!$A$2:$A$1800,$A72,الريسبي!$B$2:$B$1800,W$1)</f>
        <v>0</v>
      </c>
      <c r="X72" s="115" t="n">
        <f aca="false">SUMIFS(الريسبي!$C$2:$C$1800,الريسبي!$A$2:$A$1800,$A72,الريسبي!$B$2:$B$1800,X$1)</f>
        <v>0</v>
      </c>
      <c r="Y72" s="115" t="n">
        <f aca="false">SUMIFS(الريسبي!$C$2:$C$1800,الريسبي!$A$2:$A$1800,$A72,الريسبي!$B$2:$B$1800,Y$1)</f>
        <v>0</v>
      </c>
      <c r="Z72" s="115" t="n">
        <f aca="false">SUMIFS(الريسبي!$C$2:$C$1800,الريسبي!$A$2:$A$1800,$A72,الريسبي!$B$2:$B$1800,Z$1)</f>
        <v>0</v>
      </c>
      <c r="AA72" s="115" t="n">
        <f aca="false">SUMIFS(الريسبي!$C$2:$C$1800,الريسبي!$A$2:$A$1800,$A72,الريسبي!$B$2:$B$1800,AA$1)</f>
        <v>0</v>
      </c>
      <c r="AB72" s="115" t="n">
        <f aca="false">SUMIFS(الريسبي!$C$2:$C$1800,الريسبي!$A$2:$A$1800,$A72,الريسبي!$B$2:$B$1800,AB$1)</f>
        <v>0</v>
      </c>
      <c r="AC72" s="115" t="n">
        <f aca="false">SUMIFS(الريسبي!$C$2:$C$1800,الريسبي!$A$2:$A$1800,$A72,الريسبي!$B$2:$B$1800,AC$1)</f>
        <v>0</v>
      </c>
      <c r="AD72" s="115" t="n">
        <f aca="false">SUMIFS(الريسبي!$C$2:$C$1800,الريسبي!$A$2:$A$1800,$A72,الريسبي!$B$2:$B$1800,AD$1)</f>
        <v>0</v>
      </c>
      <c r="AE72" s="115" t="n">
        <f aca="false">SUMIFS(الريسبي!$C$2:$C$1800,الريسبي!$A$2:$A$1800,$A72,الريسبي!$B$2:$B$1800,AE$1)</f>
        <v>0</v>
      </c>
      <c r="AF72" s="115" t="n">
        <f aca="false">SUMIFS(الريسبي!$C$2:$C$1800,الريسبي!$A$2:$A$1800,$A72,الريسبي!$B$2:$B$1800,AF$1)</f>
        <v>0</v>
      </c>
      <c r="AG72" s="115" t="n">
        <f aca="false">SUMIFS(الريسبي!$C$2:$C$1800,الريسبي!$A$2:$A$1800,$A72,الريسبي!$B$2:$B$1800,AG$1)</f>
        <v>0</v>
      </c>
      <c r="AH72" s="115" t="n">
        <f aca="false">SUMIFS(الريسبي!$C$2:$C$1800,الريسبي!$A$2:$A$1800,$A72,الريسبي!$B$2:$B$1800,AH$1)</f>
        <v>0</v>
      </c>
      <c r="AI72" s="115" t="n">
        <f aca="false">SUMIFS(الريسبي!$C$2:$C$1800,الريسبي!$A$2:$A$1800,$A72,الريسبي!$B$2:$B$1800,AI$1)</f>
        <v>0</v>
      </c>
      <c r="AJ72" s="115" t="n">
        <f aca="false">SUMIFS(الريسبي!$C$2:$C$1800,الريسبي!$A$2:$A$1800,$A72,الريسبي!$B$2:$B$1800,AJ$1)</f>
        <v>0</v>
      </c>
      <c r="AK72" s="115" t="n">
        <f aca="false">SUMIFS(الريسبي!$C$2:$C$1800,الريسبي!$A$2:$A$1800,$A72,الريسبي!$B$2:$B$1800,AK$1)</f>
        <v>0</v>
      </c>
      <c r="AL72" s="115" t="n">
        <f aca="false">SUMIFS(الريسبي!$C$2:$C$1800,الريسبي!$A$2:$A$1800,$A72,الريسبي!$B$2:$B$1800,AL$1)</f>
        <v>0</v>
      </c>
      <c r="AM72" s="115"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15"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15" t="n">
        <f aca="false">SUMIFS(الريسبي!$C$2:$C$1800,الريسبي!$A$2:$A$1800,$A72,الريسبي!$B$2:$B$1800,AO$1)</f>
        <v>0</v>
      </c>
      <c r="AP72" s="115" t="n">
        <f aca="false">SUMIFS(الريسبي!$C$2:$C$1800,الريسبي!$A$2:$A$1800,$A72,الريسبي!$B$2:$B$1800,AP$1)</f>
        <v>0</v>
      </c>
      <c r="AQ72" s="115"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15" t="n">
        <f aca="false">SUMIFS(الريسبي!$C$2:$C$1800,الريسبي!$A$2:$A$1800,$A72,الريسبي!$B$2:$B$1800,AR$1)</f>
        <v>0</v>
      </c>
      <c r="AS72" s="115" t="n">
        <f aca="false">SUMIFS(الريسبي!$C$2:$C$1800,الريسبي!$A$2:$A$1800,$A72,الريسبي!$B$2:$B$1800,AS$1)</f>
        <v>0</v>
      </c>
      <c r="AT72" s="115" t="n">
        <f aca="false">SUMIFS(الريسبي!$C$2:$C$1800,الريسبي!$A$2:$A$1800,$A72,الريسبي!$B$2:$B$1800,AT$1)</f>
        <v>0</v>
      </c>
      <c r="AU72" s="115" t="n">
        <f aca="false">SUMIFS(الريسبي!$C$2:$C$1800,الريسبي!$A$2:$A$1800,$A72,الريسبي!$B$2:$B$1800,AU$1)</f>
        <v>0</v>
      </c>
      <c r="AV72" s="115" t="n">
        <f aca="false">SUMIFS(الريسبي!$C$2:$C$1800,الريسبي!$A$2:$A$1800,$A72,الريسبي!$B$2:$B$1800,AV$1)</f>
        <v>0</v>
      </c>
      <c r="AW72" s="115" t="n">
        <f aca="false">SUMIFS(الريسبي!$C$2:$C$1800,الريسبي!$A$2:$A$1800,$A72,الريسبي!$B$2:$B$1800,AW$1)</f>
        <v>0</v>
      </c>
      <c r="AX72" s="115" t="n">
        <f aca="false">SUMIFS(الريسبي!$C$2:$C$1800,الريسبي!$A$2:$A$1800,$A72,الريسبي!$B$2:$B$1800,AX$1)</f>
        <v>0</v>
      </c>
      <c r="AY72" s="115" t="n">
        <f aca="false">SUMIFS(الريسبي!$C$2:$C$1800,الريسبي!$A$2:$A$1800,$A72,الريسبي!$B$2:$B$1800,AY$1)</f>
        <v>0</v>
      </c>
      <c r="AZ72" s="115" t="n">
        <f aca="false">SUMIFS(الريسبي!$C$2:$C$1800,الريسبي!$A$2:$A$1800,$A72,الريسبي!$B$2:$B$1800,AZ$1)</f>
        <v>0</v>
      </c>
      <c r="BA72" s="115" t="n">
        <f aca="false">SUMIFS(الريسبي!$C$2:$C$1800,الريسبي!$A$2:$A$1800,$A72,الريسبي!$B$2:$B$1800,BA$1)</f>
        <v>0</v>
      </c>
      <c r="BB72" s="115" t="n">
        <f aca="false">SUMIFS(الريسبي!$C$2:$C$1800,الريسبي!$A$2:$A$1800,$A72,الريسبي!$B$2:$B$1800,BB$1)</f>
        <v>0</v>
      </c>
      <c r="BC72" s="115" t="n">
        <f aca="false">SUMIFS(الريسبي!$C$2:$C$1800,الريسبي!$A$2:$A$1800,$A72,الريسبي!$B$2:$B$1800,BC$1)</f>
        <v>0</v>
      </c>
      <c r="BD72" s="115" t="n">
        <f aca="false">SUMIFS(الريسبي!$C$2:$C$1800,الريسبي!$A$2:$A$1800,$A72,الريسبي!$B$2:$B$1800,BD$1)</f>
        <v>0</v>
      </c>
      <c r="BE72" s="115" t="n">
        <f aca="false">SUMIFS(الريسبي!$C$2:$C$1800,الريسبي!$A$2:$A$1800,$A72,الريسبي!$B$2:$B$1800,BE$1)</f>
        <v>0</v>
      </c>
      <c r="BF72" s="115" t="n">
        <f aca="false">SUMIFS(الريسبي!$C$2:$C$1800,الريسبي!$A$2:$A$1800,$A72,الريسبي!$B$2:$B$1800,BF$1)</f>
        <v>0</v>
      </c>
      <c r="BG72" s="115" t="n">
        <f aca="false">SUMIFS(الريسبي!$C$2:$C$1800,الريسبي!$A$2:$A$1800,$A72,الريسبي!$B$2:$B$1800,BG$1)</f>
        <v>0</v>
      </c>
      <c r="BH72" s="115" t="n">
        <f aca="false">SUMIFS(الريسبي!$C$2:$C$1800,الريسبي!$A$2:$A$1800,$A72,الريسبي!$B$2:$B$1800,BH$1)</f>
        <v>0</v>
      </c>
      <c r="BI72" s="115" t="n">
        <f aca="false">SUMIFS(الريسبي!$C$2:$C$1800,الريسبي!$A$2:$A$1800,$A72,الريسبي!$B$2:$B$1800,BI$1)</f>
        <v>0</v>
      </c>
      <c r="BJ72" s="115" t="n">
        <f aca="false">SUMIFS(الريسبي!$C$2:$C$1800,الريسبي!$A$2:$A$1800,$A72,الريسبي!$B$2:$B$1800,BJ$1)</f>
        <v>1</v>
      </c>
      <c r="BK72" s="115" t="n">
        <f aca="false">SUMIFS(الريسبي!$C$2:$C$1800,الريسبي!$A$2:$A$1800,$A72,الريسبي!$B$2:$B$1800,BK$1)</f>
        <v>0</v>
      </c>
      <c r="BL72" s="115" t="n">
        <f aca="false">SUMIFS(الريسبي!$C$2:$C$1800,الريسبي!$A$2:$A$1800,$A72,الريسبي!$B$2:$B$1800,BL$1)</f>
        <v>0</v>
      </c>
      <c r="BM72" s="115" t="n">
        <f aca="false">SUMIFS(الريسبي!$C$2:$C$1800,الريسبي!$A$2:$A$1800,$A72,الريسبي!$B$2:$B$1800,BM$1)</f>
        <v>0</v>
      </c>
      <c r="BN72" s="115" t="n">
        <f aca="false">SUMIFS(الريسبي!$C$2:$C$1800,الريسبي!$A$2:$A$1800,$A72,الريسبي!$B$2:$B$1800,BN$1)</f>
        <v>0</v>
      </c>
      <c r="BO72" s="115" t="n">
        <f aca="false">SUMIFS(الريسبي!$C$2:$C$1800,الريسبي!$A$2:$A$1800,$A72,الريسبي!$B$2:$B$1800,BO$1)</f>
        <v>0</v>
      </c>
      <c r="BP72" s="115" t="n">
        <f aca="false">SUMIFS(الريسبي!$C$2:$C$1800,الريسبي!$A$2:$A$1800,$A72,الريسبي!$B$2:$B$1800,BP$1)</f>
        <v>2</v>
      </c>
      <c r="BQ72" s="115"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15" t="n">
        <f aca="false">SUMIFS(الريسبي!$C$2:$C$1800,الريسبي!$A$2:$A$1800,$A72,الريسبي!$B$2:$B$1800,BR$1)</f>
        <v>0</v>
      </c>
      <c r="BS72" s="115" t="n">
        <f aca="false">SUMIFS(الريسبي!$C$2:$C$1800,الريسبي!$A$2:$A$1800,$A72,الريسبي!$B$2:$B$1800,BS$1)</f>
        <v>0</v>
      </c>
      <c r="BT72" s="115" t="n">
        <f aca="false">SUMIFS(الريسبي!$C$2:$C$1800,الريسبي!$A$2:$A$1800,$A72,الريسبي!$B$2:$B$1800,BT$1)</f>
        <v>0</v>
      </c>
      <c r="BU72" s="115"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15" t="n">
        <f aca="false">SUMIFS(الريسبي!$C$2:$C$1800,الريسبي!$A$2:$A$1800,$A72,الريسبي!$B$2:$B$1800,BV$1)</f>
        <v>0</v>
      </c>
      <c r="BW72" s="115" t="n">
        <f aca="false">SUMIFS(الريسبي!$C$2:$C$1800,الريسبي!$A$2:$A$1800,$A72,الريسبي!$B$2:$B$1800,BW$1)</f>
        <v>0</v>
      </c>
      <c r="BX72" s="115" t="n">
        <f aca="false">SUMIFS(الريسبي!$C$2:$C$1800,الريسبي!$A$2:$A$1800,$A72,الريسبي!$B$2:$B$1800,BX$1)</f>
        <v>0</v>
      </c>
      <c r="BY72" s="115" t="n">
        <f aca="false">SUMIFS(الريسبي!$C$2:$C$1800,الريسبي!$A$2:$A$1800,$A72,الريسبي!$B$2:$B$1800,BY$1)</f>
        <v>0</v>
      </c>
      <c r="BZ72" s="115" t="n">
        <f aca="false">SUMIFS(الريسبي!$C$2:$C$1800,الريسبي!$A$2:$A$1800,$A72,الريسبي!$B$2:$B$1800,BZ$1)</f>
        <v>0</v>
      </c>
      <c r="CA72" s="115" t="n">
        <f aca="false">SUMIFS(الريسبي!$C$2:$C$1800,الريسبي!$A$2:$A$1800,$A72,الريسبي!$B$2:$B$1800,CA$1)</f>
        <v>0</v>
      </c>
      <c r="CB72" s="115" t="n">
        <f aca="false">SUMIFS(الريسبي!$C$2:$C$1800,الريسبي!$A$2:$A$1800,$A72,الريسبي!$B$2:$B$1800,CB$1)</f>
        <v>0</v>
      </c>
      <c r="CC72" s="115" t="n">
        <f aca="false">SUMIFS(الريسبي!$C$2:$C$1800,الريسبي!$A$2:$A$1800,$A72,الريسبي!$B$2:$B$1800,CC$1)</f>
        <v>0</v>
      </c>
      <c r="CD72" s="115" t="n">
        <f aca="false">SUMIFS(الريسبي!$C$2:$C$1800,الريسبي!$A$2:$A$1800,$A72,الريسبي!$B$2:$B$1800,CD$1)</f>
        <v>0</v>
      </c>
      <c r="CE72" s="115" t="n">
        <f aca="false">SUMIFS(الريسبي!$C$2:$C$1800,الريسبي!$A$2:$A$1800,$A72,الريسبي!$B$2:$B$1800,CE$1)</f>
        <v>0</v>
      </c>
      <c r="CF72" s="115" t="n">
        <f aca="false">SUMIFS(الريسبي!$C$2:$C$1800,الريسبي!$A$2:$A$1800,$A72,الريسبي!$B$2:$B$1800,CF$1)</f>
        <v>0</v>
      </c>
      <c r="CG72" s="115" t="n">
        <f aca="false">SUMIFS(الريسبي!$C$2:$C$1800,الريسبي!$A$2:$A$1800,$A72,الريسبي!$B$2:$B$1800,CG$1)</f>
        <v>0</v>
      </c>
      <c r="CH72" s="115" t="n">
        <f aca="false">SUMIFS(الريسبي!$C$2:$C$1800,الريسبي!$A$2:$A$1800,$A72,الريسبي!$B$2:$B$1800,CH$1)</f>
        <v>0</v>
      </c>
    </row>
    <row r="73" customFormat="false" ht="15" hidden="false" customHeight="false" outlineLevel="0" collapsed="false">
      <c r="A73" s="114" t="str">
        <f aca="false">المنيو!B73</f>
        <v>باكت بطاطس جبنة (وسط)</v>
      </c>
      <c r="B73" s="115" t="n">
        <f aca="false">SUMIFS(الريسبي!$C$2:$C$1800,الريسبي!$A$2:$A$1800,$A73,الريسبي!$B$2:$B$1800,B$1)</f>
        <v>0</v>
      </c>
      <c r="C73" s="115" t="n">
        <f aca="false">SUMIFS(الريسبي!$C$2:$C$1800,الريسبي!$A$2:$A$1800,$A73,الريسبي!$B$2:$B$1800,C$1)</f>
        <v>0</v>
      </c>
      <c r="D73" s="115" t="n">
        <f aca="false">SUMIFS(الريسبي!$C$2:$C$1800,الريسبي!$A$2:$A$1800,$A73,الريسبي!$B$2:$B$1800,D$1)</f>
        <v>0</v>
      </c>
      <c r="E73" s="115" t="n">
        <f aca="false">SUMIFS(الريسبي!$C$2:$C$1800,الريسبي!$A$2:$A$1800,$A73,الريسبي!$B$2:$B$1800,E$1)</f>
        <v>0</v>
      </c>
      <c r="F73" s="115" t="n">
        <f aca="false">SUMIFS(الريسبي!$C$2:$C$1800,الريسبي!$A$2:$A$1800,$A73,الريسبي!$B$2:$B$1800,F$1)</f>
        <v>0</v>
      </c>
      <c r="G73" s="115" t="n">
        <f aca="false">SUMIFS(الريسبي!$C$2:$C$1800,الريسبي!$A$2:$A$1800,$A73,الريسبي!$B$2:$B$1800,G$1)</f>
        <v>0</v>
      </c>
      <c r="H73" s="115" t="n">
        <f aca="false">SUMIFS(الريسبي!$C$2:$C$1800,الريسبي!$A$2:$A$1800,$A73,الريسبي!$B$2:$B$1800,H$1)</f>
        <v>0</v>
      </c>
      <c r="I73" s="115" t="n">
        <f aca="false">SUMIFS(الريسبي!$C$2:$C$1800,الريسبي!$A$2:$A$1800,$A73,الريسبي!$B$2:$B$1800,I$1)</f>
        <v>1.5</v>
      </c>
      <c r="J73" s="115" t="n">
        <f aca="false">SUMIFS(الريسبي!$C$2:$C$1800,الريسبي!$A$2:$A$1800,$A73,الريسبي!$B$2:$B$1800,J$1)</f>
        <v>0</v>
      </c>
      <c r="K73" s="115" t="n">
        <f aca="false">SUMIFS(الريسبي!$C$2:$C$1800,الريسبي!$A$2:$A$1800,$A73,الريسبي!$B$2:$B$1800,K$1)</f>
        <v>0</v>
      </c>
      <c r="L73" s="115" t="n">
        <f aca="false">SUMIFS(الريسبي!$C$2:$C$1800,الريسبي!$A$2:$A$1800,$A73,الريسبي!$B$2:$B$1800,L$1)</f>
        <v>0</v>
      </c>
      <c r="M73" s="115" t="n">
        <f aca="false">SUMIFS(الريسبي!$C$2:$C$1800,الريسبي!$A$2:$A$1800,$A73,الريسبي!$B$2:$B$1800,M$1)</f>
        <v>0</v>
      </c>
      <c r="N73" s="115" t="n">
        <f aca="false">SUMIFS(الريسبي!$C$2:$C$1800,الريسبي!$A$2:$A$1800,$A73,الريسبي!$B$2:$B$1800,N$1)</f>
        <v>0</v>
      </c>
      <c r="O73" s="115" t="n">
        <f aca="false">SUMIFS(الريسبي!$C$2:$C$1800,الريسبي!$A$2:$A$1800,$A73,الريسبي!$B$2:$B$1800,O$1)</f>
        <v>0</v>
      </c>
      <c r="P73" s="115" t="n">
        <f aca="false">SUMIFS(الريسبي!$C$2:$C$1800,الريسبي!$A$2:$A$1800,$A73,الريسبي!$B$2:$B$1800,P$1)</f>
        <v>0</v>
      </c>
      <c r="Q73" s="115" t="n">
        <f aca="false">SUMIFS(الريسبي!$C$2:$C$1800,الريسبي!$A$2:$A$1800,$A73,الريسبي!$B$2:$B$1800,Q$1)</f>
        <v>0</v>
      </c>
      <c r="R73" s="115" t="n">
        <f aca="false">SUMIFS(الريسبي!$C$2:$C$1800,الريسبي!$A$2:$A$1800,$A73,الريسبي!$B$2:$B$1800,R$1)</f>
        <v>0</v>
      </c>
      <c r="S73" s="115" t="n">
        <f aca="false">SUMIFS(الريسبي!$C$2:$C$1800,الريسبي!$A$2:$A$1800,$A73,الريسبي!$B$2:$B$1800,S$1)</f>
        <v>0</v>
      </c>
      <c r="T73" s="115" t="n">
        <f aca="false">SUMIFS(الريسبي!$C$2:$C$1800,الريسبي!$A$2:$A$1800,$A73,الريسبي!$B$2:$B$1800,T$1)</f>
        <v>0</v>
      </c>
      <c r="U73" s="115" t="n">
        <f aca="false">SUMIFS(الريسبي!$C$2:$C$1800,الريسبي!$A$2:$A$1800,$A73,الريسبي!$B$2:$B$1800,U$1)</f>
        <v>0</v>
      </c>
      <c r="V73" s="115" t="n">
        <f aca="false">SUMIFS(الريسبي!$C$2:$C$1800,الريسبي!$A$2:$A$1800,$A73,الريسبي!$B$2:$B$1800,V$1)</f>
        <v>0</v>
      </c>
      <c r="W73" s="115" t="n">
        <f aca="false">SUMIFS(الريسبي!$C$2:$C$1800,الريسبي!$A$2:$A$1800,$A73,الريسبي!$B$2:$B$1800,W$1)</f>
        <v>0</v>
      </c>
      <c r="X73" s="115" t="n">
        <f aca="false">SUMIFS(الريسبي!$C$2:$C$1800,الريسبي!$A$2:$A$1800,$A73,الريسبي!$B$2:$B$1800,X$1)</f>
        <v>0</v>
      </c>
      <c r="Y73" s="115" t="n">
        <f aca="false">SUMIFS(الريسبي!$C$2:$C$1800,الريسبي!$A$2:$A$1800,$A73,الريسبي!$B$2:$B$1800,Y$1)</f>
        <v>0</v>
      </c>
      <c r="Z73" s="115" t="n">
        <f aca="false">SUMIFS(الريسبي!$C$2:$C$1800,الريسبي!$A$2:$A$1800,$A73,الريسبي!$B$2:$B$1800,Z$1)</f>
        <v>0</v>
      </c>
      <c r="AA73" s="115" t="n">
        <f aca="false">SUMIFS(الريسبي!$C$2:$C$1800,الريسبي!$A$2:$A$1800,$A73,الريسبي!$B$2:$B$1800,AA$1)</f>
        <v>0</v>
      </c>
      <c r="AB73" s="115" t="n">
        <f aca="false">SUMIFS(الريسبي!$C$2:$C$1800,الريسبي!$A$2:$A$1800,$A73,الريسبي!$B$2:$B$1800,AB$1)</f>
        <v>0</v>
      </c>
      <c r="AC73" s="115" t="n">
        <f aca="false">SUMIFS(الريسبي!$C$2:$C$1800,الريسبي!$A$2:$A$1800,$A73,الريسبي!$B$2:$B$1800,AC$1)</f>
        <v>0</v>
      </c>
      <c r="AD73" s="115" t="n">
        <f aca="false">SUMIFS(الريسبي!$C$2:$C$1800,الريسبي!$A$2:$A$1800,$A73,الريسبي!$B$2:$B$1800,AD$1)</f>
        <v>0</v>
      </c>
      <c r="AE73" s="115" t="n">
        <f aca="false">SUMIFS(الريسبي!$C$2:$C$1800,الريسبي!$A$2:$A$1800,$A73,الريسبي!$B$2:$B$1800,AE$1)</f>
        <v>0</v>
      </c>
      <c r="AF73" s="115" t="n">
        <f aca="false">SUMIFS(الريسبي!$C$2:$C$1800,الريسبي!$A$2:$A$1800,$A73,الريسبي!$B$2:$B$1800,AF$1)</f>
        <v>0</v>
      </c>
      <c r="AG73" s="115" t="n">
        <f aca="false">SUMIFS(الريسبي!$C$2:$C$1800,الريسبي!$A$2:$A$1800,$A73,الريسبي!$B$2:$B$1800,AG$1)</f>
        <v>0</v>
      </c>
      <c r="AH73" s="115" t="n">
        <f aca="false">SUMIFS(الريسبي!$C$2:$C$1800,الريسبي!$A$2:$A$1800,$A73,الريسبي!$B$2:$B$1800,AH$1)</f>
        <v>0</v>
      </c>
      <c r="AI73" s="115" t="n">
        <f aca="false">SUMIFS(الريسبي!$C$2:$C$1800,الريسبي!$A$2:$A$1800,$A73,الريسبي!$B$2:$B$1800,AI$1)</f>
        <v>0</v>
      </c>
      <c r="AJ73" s="115" t="n">
        <f aca="false">SUMIFS(الريسبي!$C$2:$C$1800,الريسبي!$A$2:$A$1800,$A73,الريسبي!$B$2:$B$1800,AJ$1)</f>
        <v>0</v>
      </c>
      <c r="AK73" s="115" t="n">
        <f aca="false">SUMIFS(الريسبي!$C$2:$C$1800,الريسبي!$A$2:$A$1800,$A73,الريسبي!$B$2:$B$1800,AK$1)</f>
        <v>0</v>
      </c>
      <c r="AL73" s="115" t="n">
        <f aca="false">SUMIFS(الريسبي!$C$2:$C$1800,الريسبي!$A$2:$A$1800,$A73,الريسبي!$B$2:$B$1800,AL$1)</f>
        <v>0</v>
      </c>
      <c r="AM73" s="115"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15"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15" t="n">
        <f aca="false">SUMIFS(الريسبي!$C$2:$C$1800,الريسبي!$A$2:$A$1800,$A73,الريسبي!$B$2:$B$1800,AO$1)</f>
        <v>0</v>
      </c>
      <c r="AP73" s="115" t="n">
        <f aca="false">SUMIFS(الريسبي!$C$2:$C$1800,الريسبي!$A$2:$A$1800,$A73,الريسبي!$B$2:$B$1800,AP$1)</f>
        <v>0</v>
      </c>
      <c r="AQ73" s="115"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15" t="n">
        <f aca="false">SUMIFS(الريسبي!$C$2:$C$1800,الريسبي!$A$2:$A$1800,$A73,الريسبي!$B$2:$B$1800,AR$1)</f>
        <v>0</v>
      </c>
      <c r="AS73" s="115" t="n">
        <f aca="false">SUMIFS(الريسبي!$C$2:$C$1800,الريسبي!$A$2:$A$1800,$A73,الريسبي!$B$2:$B$1800,AS$1)</f>
        <v>0</v>
      </c>
      <c r="AT73" s="115" t="n">
        <f aca="false">SUMIFS(الريسبي!$C$2:$C$1800,الريسبي!$A$2:$A$1800,$A73,الريسبي!$B$2:$B$1800,AT$1)</f>
        <v>0</v>
      </c>
      <c r="AU73" s="115" t="n">
        <f aca="false">SUMIFS(الريسبي!$C$2:$C$1800,الريسبي!$A$2:$A$1800,$A73,الريسبي!$B$2:$B$1800,AU$1)</f>
        <v>0</v>
      </c>
      <c r="AV73" s="115" t="n">
        <f aca="false">SUMIFS(الريسبي!$C$2:$C$1800,الريسبي!$A$2:$A$1800,$A73,الريسبي!$B$2:$B$1800,AV$1)</f>
        <v>0</v>
      </c>
      <c r="AW73" s="115" t="n">
        <f aca="false">SUMIFS(الريسبي!$C$2:$C$1800,الريسبي!$A$2:$A$1800,$A73,الريسبي!$B$2:$B$1800,AW$1)</f>
        <v>0</v>
      </c>
      <c r="AX73" s="115" t="n">
        <f aca="false">SUMIFS(الريسبي!$C$2:$C$1800,الريسبي!$A$2:$A$1800,$A73,الريسبي!$B$2:$B$1800,AX$1)</f>
        <v>0</v>
      </c>
      <c r="AY73" s="115" t="n">
        <f aca="false">SUMIFS(الريسبي!$C$2:$C$1800,الريسبي!$A$2:$A$1800,$A73,الريسبي!$B$2:$B$1800,AY$1)</f>
        <v>0</v>
      </c>
      <c r="AZ73" s="115" t="n">
        <f aca="false">SUMIFS(الريسبي!$C$2:$C$1800,الريسبي!$A$2:$A$1800,$A73,الريسبي!$B$2:$B$1800,AZ$1)</f>
        <v>0</v>
      </c>
      <c r="BA73" s="115" t="n">
        <f aca="false">SUMIFS(الريسبي!$C$2:$C$1800,الريسبي!$A$2:$A$1800,$A73,الريسبي!$B$2:$B$1800,BA$1)</f>
        <v>0</v>
      </c>
      <c r="BB73" s="115" t="n">
        <f aca="false">SUMIFS(الريسبي!$C$2:$C$1800,الريسبي!$A$2:$A$1800,$A73,الريسبي!$B$2:$B$1800,BB$1)</f>
        <v>0.05</v>
      </c>
      <c r="BC73" s="115" t="n">
        <f aca="false">SUMIFS(الريسبي!$C$2:$C$1800,الريسبي!$A$2:$A$1800,$A73,الريسبي!$B$2:$B$1800,BC$1)</f>
        <v>0</v>
      </c>
      <c r="BD73" s="115" t="n">
        <f aca="false">SUMIFS(الريسبي!$C$2:$C$1800,الريسبي!$A$2:$A$1800,$A73,الريسبي!$B$2:$B$1800,BD$1)</f>
        <v>0</v>
      </c>
      <c r="BE73" s="115" t="n">
        <f aca="false">SUMIFS(الريسبي!$C$2:$C$1800,الريسبي!$A$2:$A$1800,$A73,الريسبي!$B$2:$B$1800,BE$1)</f>
        <v>0</v>
      </c>
      <c r="BF73" s="115" t="n">
        <f aca="false">SUMIFS(الريسبي!$C$2:$C$1800,الريسبي!$A$2:$A$1800,$A73,الريسبي!$B$2:$B$1800,BF$1)</f>
        <v>0</v>
      </c>
      <c r="BG73" s="115" t="n">
        <f aca="false">SUMIFS(الريسبي!$C$2:$C$1800,الريسبي!$A$2:$A$1800,$A73,الريسبي!$B$2:$B$1800,BG$1)</f>
        <v>0</v>
      </c>
      <c r="BH73" s="115" t="n">
        <f aca="false">SUMIFS(الريسبي!$C$2:$C$1800,الريسبي!$A$2:$A$1800,$A73,الريسبي!$B$2:$B$1800,BH$1)</f>
        <v>0</v>
      </c>
      <c r="BI73" s="115" t="n">
        <f aca="false">SUMIFS(الريسبي!$C$2:$C$1800,الريسبي!$A$2:$A$1800,$A73,الريسبي!$B$2:$B$1800,BI$1)</f>
        <v>1</v>
      </c>
      <c r="BJ73" s="115" t="n">
        <f aca="false">SUMIFS(الريسبي!$C$2:$C$1800,الريسبي!$A$2:$A$1800,$A73,الريسبي!$B$2:$B$1800,BJ$1)</f>
        <v>0</v>
      </c>
      <c r="BK73" s="115" t="n">
        <f aca="false">SUMIFS(الريسبي!$C$2:$C$1800,الريسبي!$A$2:$A$1800,$A73,الريسبي!$B$2:$B$1800,BK$1)</f>
        <v>0</v>
      </c>
      <c r="BL73" s="115" t="n">
        <f aca="false">SUMIFS(الريسبي!$C$2:$C$1800,الريسبي!$A$2:$A$1800,$A73,الريسبي!$B$2:$B$1800,BL$1)</f>
        <v>0</v>
      </c>
      <c r="BM73" s="115" t="n">
        <f aca="false">SUMIFS(الريسبي!$C$2:$C$1800,الريسبي!$A$2:$A$1800,$A73,الريسبي!$B$2:$B$1800,BM$1)</f>
        <v>0</v>
      </c>
      <c r="BN73" s="115" t="n">
        <f aca="false">SUMIFS(الريسبي!$C$2:$C$1800,الريسبي!$A$2:$A$1800,$A73,الريسبي!$B$2:$B$1800,BN$1)</f>
        <v>0</v>
      </c>
      <c r="BO73" s="115" t="n">
        <f aca="false">SUMIFS(الريسبي!$C$2:$C$1800,الريسبي!$A$2:$A$1800,$A73,الريسبي!$B$2:$B$1800,BO$1)</f>
        <v>0</v>
      </c>
      <c r="BP73" s="115" t="n">
        <f aca="false">SUMIFS(الريسبي!$C$2:$C$1800,الريسبي!$A$2:$A$1800,$A73,الريسبي!$B$2:$B$1800,BP$1)</f>
        <v>1</v>
      </c>
      <c r="BQ73" s="115"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15" t="n">
        <f aca="false">SUMIFS(الريسبي!$C$2:$C$1800,الريسبي!$A$2:$A$1800,$A73,الريسبي!$B$2:$B$1800,BR$1)</f>
        <v>0</v>
      </c>
      <c r="BS73" s="115" t="n">
        <f aca="false">SUMIFS(الريسبي!$C$2:$C$1800,الريسبي!$A$2:$A$1800,$A73,الريسبي!$B$2:$B$1800,BS$1)</f>
        <v>0</v>
      </c>
      <c r="BT73" s="115" t="n">
        <f aca="false">SUMIFS(الريسبي!$C$2:$C$1800,الريسبي!$A$2:$A$1800,$A73,الريسبي!$B$2:$B$1800,BT$1)</f>
        <v>0</v>
      </c>
      <c r="BU73" s="115"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15" t="n">
        <f aca="false">SUMIFS(الريسبي!$C$2:$C$1800,الريسبي!$A$2:$A$1800,$A73,الريسبي!$B$2:$B$1800,BV$1)</f>
        <v>0</v>
      </c>
      <c r="BW73" s="115" t="n">
        <f aca="false">SUMIFS(الريسبي!$C$2:$C$1800,الريسبي!$A$2:$A$1800,$A73,الريسبي!$B$2:$B$1800,BW$1)</f>
        <v>0</v>
      </c>
      <c r="BX73" s="115" t="n">
        <f aca="false">SUMIFS(الريسبي!$C$2:$C$1800,الريسبي!$A$2:$A$1800,$A73,الريسبي!$B$2:$B$1800,BX$1)</f>
        <v>0</v>
      </c>
      <c r="BY73" s="115" t="n">
        <f aca="false">SUMIFS(الريسبي!$C$2:$C$1800,الريسبي!$A$2:$A$1800,$A73,الريسبي!$B$2:$B$1800,BY$1)</f>
        <v>0</v>
      </c>
      <c r="BZ73" s="115" t="n">
        <f aca="false">SUMIFS(الريسبي!$C$2:$C$1800,الريسبي!$A$2:$A$1800,$A73,الريسبي!$B$2:$B$1800,BZ$1)</f>
        <v>0</v>
      </c>
      <c r="CA73" s="115" t="n">
        <f aca="false">SUMIFS(الريسبي!$C$2:$C$1800,الريسبي!$A$2:$A$1800,$A73,الريسبي!$B$2:$B$1800,CA$1)</f>
        <v>0</v>
      </c>
      <c r="CB73" s="115" t="n">
        <f aca="false">SUMIFS(الريسبي!$C$2:$C$1800,الريسبي!$A$2:$A$1800,$A73,الريسبي!$B$2:$B$1800,CB$1)</f>
        <v>0</v>
      </c>
      <c r="CC73" s="115" t="n">
        <f aca="false">SUMIFS(الريسبي!$C$2:$C$1800,الريسبي!$A$2:$A$1800,$A73,الريسبي!$B$2:$B$1800,CC$1)</f>
        <v>0</v>
      </c>
      <c r="CD73" s="115" t="n">
        <f aca="false">SUMIFS(الريسبي!$C$2:$C$1800,الريسبي!$A$2:$A$1800,$A73,الريسبي!$B$2:$B$1800,CD$1)</f>
        <v>0</v>
      </c>
      <c r="CE73" s="115" t="n">
        <f aca="false">SUMIFS(الريسبي!$C$2:$C$1800,الريسبي!$A$2:$A$1800,$A73,الريسبي!$B$2:$B$1800,CE$1)</f>
        <v>0</v>
      </c>
      <c r="CF73" s="115" t="n">
        <f aca="false">SUMIFS(الريسبي!$C$2:$C$1800,الريسبي!$A$2:$A$1800,$A73,الريسبي!$B$2:$B$1800,CF$1)</f>
        <v>0</v>
      </c>
      <c r="CG73" s="115" t="n">
        <f aca="false">SUMIFS(الريسبي!$C$2:$C$1800,الريسبي!$A$2:$A$1800,$A73,الريسبي!$B$2:$B$1800,CG$1)</f>
        <v>0</v>
      </c>
      <c r="CH73" s="115" t="n">
        <f aca="false">SUMIFS(الريسبي!$C$2:$C$1800,الريسبي!$A$2:$A$1800,$A73,الريسبي!$B$2:$B$1800,CH$1)</f>
        <v>0</v>
      </c>
    </row>
    <row r="74" customFormat="false" ht="15" hidden="false" customHeight="false" outlineLevel="0" collapsed="false">
      <c r="A74" s="114" t="str">
        <f aca="false">المنيو!B74</f>
        <v>باكت بطاطس جبنة (كبير)</v>
      </c>
      <c r="B74" s="115" t="n">
        <f aca="false">SUMIFS(الريسبي!$C$2:$C$1800,الريسبي!$A$2:$A$1800,$A74,الريسبي!$B$2:$B$1800,B$1)</f>
        <v>0</v>
      </c>
      <c r="C74" s="115" t="n">
        <f aca="false">SUMIFS(الريسبي!$C$2:$C$1800,الريسبي!$A$2:$A$1800,$A74,الريسبي!$B$2:$B$1800,C$1)</f>
        <v>0</v>
      </c>
      <c r="D74" s="115" t="n">
        <f aca="false">SUMIFS(الريسبي!$C$2:$C$1800,الريسبي!$A$2:$A$1800,$A74,الريسبي!$B$2:$B$1800,D$1)</f>
        <v>0</v>
      </c>
      <c r="E74" s="115" t="n">
        <f aca="false">SUMIFS(الريسبي!$C$2:$C$1800,الريسبي!$A$2:$A$1800,$A74,الريسبي!$B$2:$B$1800,E$1)</f>
        <v>0</v>
      </c>
      <c r="F74" s="115" t="n">
        <f aca="false">SUMIFS(الريسبي!$C$2:$C$1800,الريسبي!$A$2:$A$1800,$A74,الريسبي!$B$2:$B$1800,F$1)</f>
        <v>0</v>
      </c>
      <c r="G74" s="115" t="n">
        <f aca="false">SUMIFS(الريسبي!$C$2:$C$1800,الريسبي!$A$2:$A$1800,$A74,الريسبي!$B$2:$B$1800,G$1)</f>
        <v>0</v>
      </c>
      <c r="H74" s="115" t="n">
        <f aca="false">SUMIFS(الريسبي!$C$2:$C$1800,الريسبي!$A$2:$A$1800,$A74,الريسبي!$B$2:$B$1800,H$1)</f>
        <v>0</v>
      </c>
      <c r="I74" s="115" t="n">
        <f aca="false">SUMIFS(الريسبي!$C$2:$C$1800,الريسبي!$A$2:$A$1800,$A74,الريسبي!$B$2:$B$1800,I$1)</f>
        <v>3</v>
      </c>
      <c r="J74" s="115" t="n">
        <f aca="false">SUMIFS(الريسبي!$C$2:$C$1800,الريسبي!$A$2:$A$1800,$A74,الريسبي!$B$2:$B$1800,J$1)</f>
        <v>0</v>
      </c>
      <c r="K74" s="115" t="n">
        <f aca="false">SUMIFS(الريسبي!$C$2:$C$1800,الريسبي!$A$2:$A$1800,$A74,الريسبي!$B$2:$B$1800,K$1)</f>
        <v>0</v>
      </c>
      <c r="L74" s="115" t="n">
        <f aca="false">SUMIFS(الريسبي!$C$2:$C$1800,الريسبي!$A$2:$A$1800,$A74,الريسبي!$B$2:$B$1800,L$1)</f>
        <v>0</v>
      </c>
      <c r="M74" s="115" t="n">
        <f aca="false">SUMIFS(الريسبي!$C$2:$C$1800,الريسبي!$A$2:$A$1800,$A74,الريسبي!$B$2:$B$1800,M$1)</f>
        <v>0</v>
      </c>
      <c r="N74" s="115" t="n">
        <f aca="false">SUMIFS(الريسبي!$C$2:$C$1800,الريسبي!$A$2:$A$1800,$A74,الريسبي!$B$2:$B$1800,N$1)</f>
        <v>0</v>
      </c>
      <c r="O74" s="115" t="n">
        <f aca="false">SUMIFS(الريسبي!$C$2:$C$1800,الريسبي!$A$2:$A$1800,$A74,الريسبي!$B$2:$B$1800,O$1)</f>
        <v>0</v>
      </c>
      <c r="P74" s="115" t="n">
        <f aca="false">SUMIFS(الريسبي!$C$2:$C$1800,الريسبي!$A$2:$A$1800,$A74,الريسبي!$B$2:$B$1800,P$1)</f>
        <v>0</v>
      </c>
      <c r="Q74" s="115" t="n">
        <f aca="false">SUMIFS(الريسبي!$C$2:$C$1800,الريسبي!$A$2:$A$1800,$A74,الريسبي!$B$2:$B$1800,Q$1)</f>
        <v>0</v>
      </c>
      <c r="R74" s="115" t="n">
        <f aca="false">SUMIFS(الريسبي!$C$2:$C$1800,الريسبي!$A$2:$A$1800,$A74,الريسبي!$B$2:$B$1800,R$1)</f>
        <v>0</v>
      </c>
      <c r="S74" s="115" t="n">
        <f aca="false">SUMIFS(الريسبي!$C$2:$C$1800,الريسبي!$A$2:$A$1800,$A74,الريسبي!$B$2:$B$1800,S$1)</f>
        <v>0</v>
      </c>
      <c r="T74" s="115" t="n">
        <f aca="false">SUMIFS(الريسبي!$C$2:$C$1800,الريسبي!$A$2:$A$1800,$A74,الريسبي!$B$2:$B$1800,T$1)</f>
        <v>0</v>
      </c>
      <c r="U74" s="115" t="n">
        <f aca="false">SUMIFS(الريسبي!$C$2:$C$1800,الريسبي!$A$2:$A$1800,$A74,الريسبي!$B$2:$B$1800,U$1)</f>
        <v>0</v>
      </c>
      <c r="V74" s="115" t="n">
        <f aca="false">SUMIFS(الريسبي!$C$2:$C$1800,الريسبي!$A$2:$A$1800,$A74,الريسبي!$B$2:$B$1800,V$1)</f>
        <v>0</v>
      </c>
      <c r="W74" s="115" t="n">
        <f aca="false">SUMIFS(الريسبي!$C$2:$C$1800,الريسبي!$A$2:$A$1800,$A74,الريسبي!$B$2:$B$1800,W$1)</f>
        <v>0</v>
      </c>
      <c r="X74" s="115" t="n">
        <f aca="false">SUMIFS(الريسبي!$C$2:$C$1800,الريسبي!$A$2:$A$1800,$A74,الريسبي!$B$2:$B$1800,X$1)</f>
        <v>0</v>
      </c>
      <c r="Y74" s="115" t="n">
        <f aca="false">SUMIFS(الريسبي!$C$2:$C$1800,الريسبي!$A$2:$A$1800,$A74,الريسبي!$B$2:$B$1800,Y$1)</f>
        <v>0</v>
      </c>
      <c r="Z74" s="115" t="n">
        <f aca="false">SUMIFS(الريسبي!$C$2:$C$1800,الريسبي!$A$2:$A$1800,$A74,الريسبي!$B$2:$B$1800,Z$1)</f>
        <v>0</v>
      </c>
      <c r="AA74" s="115" t="n">
        <f aca="false">SUMIFS(الريسبي!$C$2:$C$1800,الريسبي!$A$2:$A$1800,$A74,الريسبي!$B$2:$B$1800,AA$1)</f>
        <v>0</v>
      </c>
      <c r="AB74" s="115" t="n">
        <f aca="false">SUMIFS(الريسبي!$C$2:$C$1800,الريسبي!$A$2:$A$1800,$A74,الريسبي!$B$2:$B$1800,AB$1)</f>
        <v>0</v>
      </c>
      <c r="AC74" s="115" t="n">
        <f aca="false">SUMIFS(الريسبي!$C$2:$C$1800,الريسبي!$A$2:$A$1800,$A74,الريسبي!$B$2:$B$1800,AC$1)</f>
        <v>0</v>
      </c>
      <c r="AD74" s="115" t="n">
        <f aca="false">SUMIFS(الريسبي!$C$2:$C$1800,الريسبي!$A$2:$A$1800,$A74,الريسبي!$B$2:$B$1800,AD$1)</f>
        <v>0</v>
      </c>
      <c r="AE74" s="115" t="n">
        <f aca="false">SUMIFS(الريسبي!$C$2:$C$1800,الريسبي!$A$2:$A$1800,$A74,الريسبي!$B$2:$B$1800,AE$1)</f>
        <v>0</v>
      </c>
      <c r="AF74" s="115" t="n">
        <f aca="false">SUMIFS(الريسبي!$C$2:$C$1800,الريسبي!$A$2:$A$1800,$A74,الريسبي!$B$2:$B$1800,AF$1)</f>
        <v>0</v>
      </c>
      <c r="AG74" s="115" t="n">
        <f aca="false">SUMIFS(الريسبي!$C$2:$C$1800,الريسبي!$A$2:$A$1800,$A74,الريسبي!$B$2:$B$1800,AG$1)</f>
        <v>0</v>
      </c>
      <c r="AH74" s="115" t="n">
        <f aca="false">SUMIFS(الريسبي!$C$2:$C$1800,الريسبي!$A$2:$A$1800,$A74,الريسبي!$B$2:$B$1800,AH$1)</f>
        <v>0</v>
      </c>
      <c r="AI74" s="115" t="n">
        <f aca="false">SUMIFS(الريسبي!$C$2:$C$1800,الريسبي!$A$2:$A$1800,$A74,الريسبي!$B$2:$B$1800,AI$1)</f>
        <v>0</v>
      </c>
      <c r="AJ74" s="115" t="n">
        <f aca="false">SUMIFS(الريسبي!$C$2:$C$1800,الريسبي!$A$2:$A$1800,$A74,الريسبي!$B$2:$B$1800,AJ$1)</f>
        <v>0</v>
      </c>
      <c r="AK74" s="115" t="n">
        <f aca="false">SUMIFS(الريسبي!$C$2:$C$1800,الريسبي!$A$2:$A$1800,$A74,الريسبي!$B$2:$B$1800,AK$1)</f>
        <v>0</v>
      </c>
      <c r="AL74" s="115" t="n">
        <f aca="false">SUMIFS(الريسبي!$C$2:$C$1800,الريسبي!$A$2:$A$1800,$A74,الريسبي!$B$2:$B$1800,AL$1)</f>
        <v>0</v>
      </c>
      <c r="AM74" s="115"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15"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15" t="n">
        <f aca="false">SUMIFS(الريسبي!$C$2:$C$1800,الريسبي!$A$2:$A$1800,$A74,الريسبي!$B$2:$B$1800,AO$1)</f>
        <v>0</v>
      </c>
      <c r="AP74" s="115" t="n">
        <f aca="false">SUMIFS(الريسبي!$C$2:$C$1800,الريسبي!$A$2:$A$1800,$A74,الريسبي!$B$2:$B$1800,AP$1)</f>
        <v>0</v>
      </c>
      <c r="AQ74" s="115"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15" t="n">
        <f aca="false">SUMIFS(الريسبي!$C$2:$C$1800,الريسبي!$A$2:$A$1800,$A74,الريسبي!$B$2:$B$1800,AR$1)</f>
        <v>0</v>
      </c>
      <c r="AS74" s="115" t="n">
        <f aca="false">SUMIFS(الريسبي!$C$2:$C$1800,الريسبي!$A$2:$A$1800,$A74,الريسبي!$B$2:$B$1800,AS$1)</f>
        <v>0</v>
      </c>
      <c r="AT74" s="115" t="n">
        <f aca="false">SUMIFS(الريسبي!$C$2:$C$1800,الريسبي!$A$2:$A$1800,$A74,الريسبي!$B$2:$B$1800,AT$1)</f>
        <v>0</v>
      </c>
      <c r="AU74" s="115" t="n">
        <f aca="false">SUMIFS(الريسبي!$C$2:$C$1800,الريسبي!$A$2:$A$1800,$A74,الريسبي!$B$2:$B$1800,AU$1)</f>
        <v>0</v>
      </c>
      <c r="AV74" s="115" t="n">
        <f aca="false">SUMIFS(الريسبي!$C$2:$C$1800,الريسبي!$A$2:$A$1800,$A74,الريسبي!$B$2:$B$1800,AV$1)</f>
        <v>0</v>
      </c>
      <c r="AW74" s="115" t="n">
        <f aca="false">SUMIFS(الريسبي!$C$2:$C$1800,الريسبي!$A$2:$A$1800,$A74,الريسبي!$B$2:$B$1800,AW$1)</f>
        <v>0</v>
      </c>
      <c r="AX74" s="115" t="n">
        <f aca="false">SUMIFS(الريسبي!$C$2:$C$1800,الريسبي!$A$2:$A$1800,$A74,الريسبي!$B$2:$B$1800,AX$1)</f>
        <v>0</v>
      </c>
      <c r="AY74" s="115" t="n">
        <f aca="false">SUMIFS(الريسبي!$C$2:$C$1800,الريسبي!$A$2:$A$1800,$A74,الريسبي!$B$2:$B$1800,AY$1)</f>
        <v>0</v>
      </c>
      <c r="AZ74" s="115" t="n">
        <f aca="false">SUMIFS(الريسبي!$C$2:$C$1800,الريسبي!$A$2:$A$1800,$A74,الريسبي!$B$2:$B$1800,AZ$1)</f>
        <v>0</v>
      </c>
      <c r="BA74" s="115" t="n">
        <f aca="false">SUMIFS(الريسبي!$C$2:$C$1800,الريسبي!$A$2:$A$1800,$A74,الريسبي!$B$2:$B$1800,BA$1)</f>
        <v>0</v>
      </c>
      <c r="BB74" s="115" t="n">
        <f aca="false">SUMIFS(الريسبي!$C$2:$C$1800,الريسبي!$A$2:$A$1800,$A74,الريسبي!$B$2:$B$1800,BB$1)</f>
        <v>0.1</v>
      </c>
      <c r="BC74" s="115" t="n">
        <f aca="false">SUMIFS(الريسبي!$C$2:$C$1800,الريسبي!$A$2:$A$1800,$A74,الريسبي!$B$2:$B$1800,BC$1)</f>
        <v>0</v>
      </c>
      <c r="BD74" s="115" t="n">
        <f aca="false">SUMIFS(الريسبي!$C$2:$C$1800,الريسبي!$A$2:$A$1800,$A74,الريسبي!$B$2:$B$1800,BD$1)</f>
        <v>0</v>
      </c>
      <c r="BE74" s="115" t="n">
        <f aca="false">SUMIFS(الريسبي!$C$2:$C$1800,الريسبي!$A$2:$A$1800,$A74,الريسبي!$B$2:$B$1800,BE$1)</f>
        <v>0</v>
      </c>
      <c r="BF74" s="115" t="n">
        <f aca="false">SUMIFS(الريسبي!$C$2:$C$1800,الريسبي!$A$2:$A$1800,$A74,الريسبي!$B$2:$B$1800,BF$1)</f>
        <v>0</v>
      </c>
      <c r="BG74" s="115" t="n">
        <f aca="false">SUMIFS(الريسبي!$C$2:$C$1800,الريسبي!$A$2:$A$1800,$A74,الريسبي!$B$2:$B$1800,BG$1)</f>
        <v>0</v>
      </c>
      <c r="BH74" s="115" t="n">
        <f aca="false">SUMIFS(الريسبي!$C$2:$C$1800,الريسبي!$A$2:$A$1800,$A74,الريسبي!$B$2:$B$1800,BH$1)</f>
        <v>0</v>
      </c>
      <c r="BI74" s="115" t="n">
        <f aca="false">SUMIFS(الريسبي!$C$2:$C$1800,الريسبي!$A$2:$A$1800,$A74,الريسبي!$B$2:$B$1800,BI$1)</f>
        <v>0</v>
      </c>
      <c r="BJ74" s="115" t="n">
        <f aca="false">SUMIFS(الريسبي!$C$2:$C$1800,الريسبي!$A$2:$A$1800,$A74,الريسبي!$B$2:$B$1800,BJ$1)</f>
        <v>1</v>
      </c>
      <c r="BK74" s="115" t="n">
        <f aca="false">SUMIFS(الريسبي!$C$2:$C$1800,الريسبي!$A$2:$A$1800,$A74,الريسبي!$B$2:$B$1800,BK$1)</f>
        <v>0</v>
      </c>
      <c r="BL74" s="115" t="n">
        <f aca="false">SUMIFS(الريسبي!$C$2:$C$1800,الريسبي!$A$2:$A$1800,$A74,الريسبي!$B$2:$B$1800,BL$1)</f>
        <v>0</v>
      </c>
      <c r="BM74" s="115" t="n">
        <f aca="false">SUMIFS(الريسبي!$C$2:$C$1800,الريسبي!$A$2:$A$1800,$A74,الريسبي!$B$2:$B$1800,BM$1)</f>
        <v>0</v>
      </c>
      <c r="BN74" s="115" t="n">
        <f aca="false">SUMIFS(الريسبي!$C$2:$C$1800,الريسبي!$A$2:$A$1800,$A74,الريسبي!$B$2:$B$1800,BN$1)</f>
        <v>0</v>
      </c>
      <c r="BO74" s="115" t="n">
        <f aca="false">SUMIFS(الريسبي!$C$2:$C$1800,الريسبي!$A$2:$A$1800,$A74,الريسبي!$B$2:$B$1800,BO$1)</f>
        <v>0</v>
      </c>
      <c r="BP74" s="115" t="n">
        <f aca="false">SUMIFS(الريسبي!$C$2:$C$1800,الريسبي!$A$2:$A$1800,$A74,الريسبي!$B$2:$B$1800,BP$1)</f>
        <v>2</v>
      </c>
      <c r="BQ74" s="115"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15" t="n">
        <f aca="false">SUMIFS(الريسبي!$C$2:$C$1800,الريسبي!$A$2:$A$1800,$A74,الريسبي!$B$2:$B$1800,BR$1)</f>
        <v>0</v>
      </c>
      <c r="BS74" s="115" t="n">
        <f aca="false">SUMIFS(الريسبي!$C$2:$C$1800,الريسبي!$A$2:$A$1800,$A74,الريسبي!$B$2:$B$1800,BS$1)</f>
        <v>0</v>
      </c>
      <c r="BT74" s="115" t="n">
        <f aca="false">SUMIFS(الريسبي!$C$2:$C$1800,الريسبي!$A$2:$A$1800,$A74,الريسبي!$B$2:$B$1800,BT$1)</f>
        <v>0</v>
      </c>
      <c r="BU74" s="115"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15" t="n">
        <f aca="false">SUMIFS(الريسبي!$C$2:$C$1800,الريسبي!$A$2:$A$1800,$A74,الريسبي!$B$2:$B$1800,BV$1)</f>
        <v>0</v>
      </c>
      <c r="BW74" s="115" t="n">
        <f aca="false">SUMIFS(الريسبي!$C$2:$C$1800,الريسبي!$A$2:$A$1800,$A74,الريسبي!$B$2:$B$1800,BW$1)</f>
        <v>0</v>
      </c>
      <c r="BX74" s="115" t="n">
        <f aca="false">SUMIFS(الريسبي!$C$2:$C$1800,الريسبي!$A$2:$A$1800,$A74,الريسبي!$B$2:$B$1800,BX$1)</f>
        <v>0</v>
      </c>
      <c r="BY74" s="115" t="n">
        <f aca="false">SUMIFS(الريسبي!$C$2:$C$1800,الريسبي!$A$2:$A$1800,$A74,الريسبي!$B$2:$B$1800,BY$1)</f>
        <v>0</v>
      </c>
      <c r="BZ74" s="115" t="n">
        <f aca="false">SUMIFS(الريسبي!$C$2:$C$1800,الريسبي!$A$2:$A$1800,$A74,الريسبي!$B$2:$B$1800,BZ$1)</f>
        <v>0</v>
      </c>
      <c r="CA74" s="115" t="n">
        <f aca="false">SUMIFS(الريسبي!$C$2:$C$1800,الريسبي!$A$2:$A$1800,$A74,الريسبي!$B$2:$B$1800,CA$1)</f>
        <v>0</v>
      </c>
      <c r="CB74" s="115" t="n">
        <f aca="false">SUMIFS(الريسبي!$C$2:$C$1800,الريسبي!$A$2:$A$1800,$A74,الريسبي!$B$2:$B$1800,CB$1)</f>
        <v>0</v>
      </c>
      <c r="CC74" s="115" t="n">
        <f aca="false">SUMIFS(الريسبي!$C$2:$C$1800,الريسبي!$A$2:$A$1800,$A74,الريسبي!$B$2:$B$1800,CC$1)</f>
        <v>0</v>
      </c>
      <c r="CD74" s="115" t="n">
        <f aca="false">SUMIFS(الريسبي!$C$2:$C$1800,الريسبي!$A$2:$A$1800,$A74,الريسبي!$B$2:$B$1800,CD$1)</f>
        <v>0</v>
      </c>
      <c r="CE74" s="115" t="n">
        <f aca="false">SUMIFS(الريسبي!$C$2:$C$1800,الريسبي!$A$2:$A$1800,$A74,الريسبي!$B$2:$B$1800,CE$1)</f>
        <v>0</v>
      </c>
      <c r="CF74" s="115" t="n">
        <f aca="false">SUMIFS(الريسبي!$C$2:$C$1800,الريسبي!$A$2:$A$1800,$A74,الريسبي!$B$2:$B$1800,CF$1)</f>
        <v>0</v>
      </c>
      <c r="CG74" s="115" t="n">
        <f aca="false">SUMIFS(الريسبي!$C$2:$C$1800,الريسبي!$A$2:$A$1800,$A74,الريسبي!$B$2:$B$1800,CG$1)</f>
        <v>0</v>
      </c>
      <c r="CH74" s="115" t="n">
        <f aca="false">SUMIFS(الريسبي!$C$2:$C$1800,الريسبي!$A$2:$A$1800,$A74,الريسبي!$B$2:$B$1800,CH$1)</f>
        <v>0</v>
      </c>
    </row>
    <row r="75" customFormat="false" ht="15" hidden="false" customHeight="false" outlineLevel="0" collapsed="false">
      <c r="A75" s="114" t="str">
        <f aca="false">المنيو!B75</f>
        <v>بيبسي كانز</v>
      </c>
      <c r="B75" s="115" t="n">
        <f aca="false">SUMIFS(الريسبي!$C$2:$C$1800,الريسبي!$A$2:$A$1800,$A75,الريسبي!$B$2:$B$1800,B$1)</f>
        <v>0</v>
      </c>
      <c r="C75" s="115" t="n">
        <f aca="false">SUMIFS(الريسبي!$C$2:$C$1800,الريسبي!$A$2:$A$1800,$A75,الريسبي!$B$2:$B$1800,C$1)</f>
        <v>0</v>
      </c>
      <c r="D75" s="115" t="n">
        <f aca="false">SUMIFS(الريسبي!$C$2:$C$1800,الريسبي!$A$2:$A$1800,$A75,الريسبي!$B$2:$B$1800,D$1)</f>
        <v>0</v>
      </c>
      <c r="E75" s="115" t="n">
        <f aca="false">SUMIFS(الريسبي!$C$2:$C$1800,الريسبي!$A$2:$A$1800,$A75,الريسبي!$B$2:$B$1800,E$1)</f>
        <v>0</v>
      </c>
      <c r="F75" s="115" t="n">
        <f aca="false">SUMIFS(الريسبي!$C$2:$C$1800,الريسبي!$A$2:$A$1800,$A75,الريسبي!$B$2:$B$1800,F$1)</f>
        <v>0</v>
      </c>
      <c r="G75" s="115" t="n">
        <f aca="false">SUMIFS(الريسبي!$C$2:$C$1800,الريسبي!$A$2:$A$1800,$A75,الريسبي!$B$2:$B$1800,G$1)</f>
        <v>0</v>
      </c>
      <c r="H75" s="115" t="n">
        <f aca="false">SUMIFS(الريسبي!$C$2:$C$1800,الريسبي!$A$2:$A$1800,$A75,الريسبي!$B$2:$B$1800,H$1)</f>
        <v>0</v>
      </c>
      <c r="I75" s="115" t="n">
        <f aca="false">SUMIFS(الريسبي!$C$2:$C$1800,الريسبي!$A$2:$A$1800,$A75,الريسبي!$B$2:$B$1800,I$1)</f>
        <v>0</v>
      </c>
      <c r="J75" s="115" t="n">
        <f aca="false">SUMIFS(الريسبي!$C$2:$C$1800,الريسبي!$A$2:$A$1800,$A75,الريسبي!$B$2:$B$1800,J$1)</f>
        <v>0</v>
      </c>
      <c r="K75" s="115" t="n">
        <f aca="false">SUMIFS(الريسبي!$C$2:$C$1800,الريسبي!$A$2:$A$1800,$A75,الريسبي!$B$2:$B$1800,K$1)</f>
        <v>0</v>
      </c>
      <c r="L75" s="115" t="n">
        <f aca="false">SUMIFS(الريسبي!$C$2:$C$1800,الريسبي!$A$2:$A$1800,$A75,الريسبي!$B$2:$B$1800,L$1)</f>
        <v>0</v>
      </c>
      <c r="M75" s="115" t="n">
        <f aca="false">SUMIFS(الريسبي!$C$2:$C$1800,الريسبي!$A$2:$A$1800,$A75,الريسبي!$B$2:$B$1800,M$1)</f>
        <v>0</v>
      </c>
      <c r="N75" s="115" t="n">
        <f aca="false">SUMIFS(الريسبي!$C$2:$C$1800,الريسبي!$A$2:$A$1800,$A75,الريسبي!$B$2:$B$1800,N$1)</f>
        <v>0</v>
      </c>
      <c r="O75" s="115" t="n">
        <f aca="false">SUMIFS(الريسبي!$C$2:$C$1800,الريسبي!$A$2:$A$1800,$A75,الريسبي!$B$2:$B$1800,O$1)</f>
        <v>0</v>
      </c>
      <c r="P75" s="115" t="n">
        <f aca="false">SUMIFS(الريسبي!$C$2:$C$1800,الريسبي!$A$2:$A$1800,$A75,الريسبي!$B$2:$B$1800,P$1)</f>
        <v>0</v>
      </c>
      <c r="Q75" s="115" t="n">
        <f aca="false">SUMIFS(الريسبي!$C$2:$C$1800,الريسبي!$A$2:$A$1800,$A75,الريسبي!$B$2:$B$1800,Q$1)</f>
        <v>0</v>
      </c>
      <c r="R75" s="115" t="n">
        <f aca="false">SUMIFS(الريسبي!$C$2:$C$1800,الريسبي!$A$2:$A$1800,$A75,الريسبي!$B$2:$B$1800,R$1)</f>
        <v>0</v>
      </c>
      <c r="S75" s="115" t="n">
        <f aca="false">SUMIFS(الريسبي!$C$2:$C$1800,الريسبي!$A$2:$A$1800,$A75,الريسبي!$B$2:$B$1800,S$1)</f>
        <v>0</v>
      </c>
      <c r="T75" s="115" t="n">
        <f aca="false">SUMIFS(الريسبي!$C$2:$C$1800,الريسبي!$A$2:$A$1800,$A75,الريسبي!$B$2:$B$1800,T$1)</f>
        <v>0</v>
      </c>
      <c r="U75" s="115" t="n">
        <f aca="false">SUMIFS(الريسبي!$C$2:$C$1800,الريسبي!$A$2:$A$1800,$A75,الريسبي!$B$2:$B$1800,U$1)</f>
        <v>0</v>
      </c>
      <c r="V75" s="115" t="n">
        <f aca="false">SUMIFS(الريسبي!$C$2:$C$1800,الريسبي!$A$2:$A$1800,$A75,الريسبي!$B$2:$B$1800,V$1)</f>
        <v>0</v>
      </c>
      <c r="W75" s="115" t="n">
        <f aca="false">SUMIFS(الريسبي!$C$2:$C$1800,الريسبي!$A$2:$A$1800,$A75,الريسبي!$B$2:$B$1800,W$1)</f>
        <v>0</v>
      </c>
      <c r="X75" s="115" t="n">
        <f aca="false">SUMIFS(الريسبي!$C$2:$C$1800,الريسبي!$A$2:$A$1800,$A75,الريسبي!$B$2:$B$1800,X$1)</f>
        <v>0</v>
      </c>
      <c r="Y75" s="115" t="n">
        <f aca="false">SUMIFS(الريسبي!$C$2:$C$1800,الريسبي!$A$2:$A$1800,$A75,الريسبي!$B$2:$B$1800,Y$1)</f>
        <v>0</v>
      </c>
      <c r="Z75" s="115" t="n">
        <f aca="false">SUMIFS(الريسبي!$C$2:$C$1800,الريسبي!$A$2:$A$1800,$A75,الريسبي!$B$2:$B$1800,Z$1)</f>
        <v>0</v>
      </c>
      <c r="AA75" s="115" t="n">
        <f aca="false">SUMIFS(الريسبي!$C$2:$C$1800,الريسبي!$A$2:$A$1800,$A75,الريسبي!$B$2:$B$1800,AA$1)</f>
        <v>0</v>
      </c>
      <c r="AB75" s="115" t="n">
        <f aca="false">SUMIFS(الريسبي!$C$2:$C$1800,الريسبي!$A$2:$A$1800,$A75,الريسبي!$B$2:$B$1800,AB$1)</f>
        <v>0</v>
      </c>
      <c r="AC75" s="115" t="n">
        <f aca="false">SUMIFS(الريسبي!$C$2:$C$1800,الريسبي!$A$2:$A$1800,$A75,الريسبي!$B$2:$B$1800,AC$1)</f>
        <v>0</v>
      </c>
      <c r="AD75" s="115" t="n">
        <f aca="false">SUMIFS(الريسبي!$C$2:$C$1800,الريسبي!$A$2:$A$1800,$A75,الريسبي!$B$2:$B$1800,AD$1)</f>
        <v>0</v>
      </c>
      <c r="AE75" s="115" t="n">
        <f aca="false">SUMIFS(الريسبي!$C$2:$C$1800,الريسبي!$A$2:$A$1800,$A75,الريسبي!$B$2:$B$1800,AE$1)</f>
        <v>0</v>
      </c>
      <c r="AF75" s="115" t="n">
        <f aca="false">SUMIFS(الريسبي!$C$2:$C$1800,الريسبي!$A$2:$A$1800,$A75,الريسبي!$B$2:$B$1800,AF$1)</f>
        <v>0</v>
      </c>
      <c r="AG75" s="115" t="n">
        <f aca="false">SUMIFS(الريسبي!$C$2:$C$1800,الريسبي!$A$2:$A$1800,$A75,الريسبي!$B$2:$B$1800,AG$1)</f>
        <v>1</v>
      </c>
      <c r="AH75" s="115" t="n">
        <f aca="false">SUMIFS(الريسبي!$C$2:$C$1800,الريسبي!$A$2:$A$1800,$A75,الريسبي!$B$2:$B$1800,AH$1)</f>
        <v>0</v>
      </c>
      <c r="AI75" s="115" t="n">
        <f aca="false">SUMIFS(الريسبي!$C$2:$C$1800,الريسبي!$A$2:$A$1800,$A75,الريسبي!$B$2:$B$1800,AI$1)</f>
        <v>0</v>
      </c>
      <c r="AJ75" s="115" t="n">
        <f aca="false">SUMIFS(الريسبي!$C$2:$C$1800,الريسبي!$A$2:$A$1800,$A75,الريسبي!$B$2:$B$1800,AJ$1)</f>
        <v>0</v>
      </c>
      <c r="AK75" s="115" t="n">
        <f aca="false">SUMIFS(الريسبي!$C$2:$C$1800,الريسبي!$A$2:$A$1800,$A75,الريسبي!$B$2:$B$1800,AK$1)</f>
        <v>0</v>
      </c>
      <c r="AL75" s="115" t="n">
        <f aca="false">SUMIFS(الريسبي!$C$2:$C$1800,الريسبي!$A$2:$A$1800,$A75,الريسبي!$B$2:$B$1800,AL$1)</f>
        <v>0</v>
      </c>
      <c r="AM75" s="115"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15"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15" t="n">
        <f aca="false">SUMIFS(الريسبي!$C$2:$C$1800,الريسبي!$A$2:$A$1800,$A75,الريسبي!$B$2:$B$1800,AO$1)</f>
        <v>0</v>
      </c>
      <c r="AP75" s="115" t="n">
        <f aca="false">SUMIFS(الريسبي!$C$2:$C$1800,الريسبي!$A$2:$A$1800,$A75,الريسبي!$B$2:$B$1800,AP$1)</f>
        <v>0</v>
      </c>
      <c r="AQ75" s="115"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15" t="n">
        <f aca="false">SUMIFS(الريسبي!$C$2:$C$1800,الريسبي!$A$2:$A$1800,$A75,الريسبي!$B$2:$B$1800,AR$1)</f>
        <v>0</v>
      </c>
      <c r="AS75" s="115" t="n">
        <f aca="false">SUMIFS(الريسبي!$C$2:$C$1800,الريسبي!$A$2:$A$1800,$A75,الريسبي!$B$2:$B$1800,AS$1)</f>
        <v>0</v>
      </c>
      <c r="AT75" s="115" t="n">
        <f aca="false">SUMIFS(الريسبي!$C$2:$C$1800,الريسبي!$A$2:$A$1800,$A75,الريسبي!$B$2:$B$1800,AT$1)</f>
        <v>0</v>
      </c>
      <c r="AU75" s="115" t="n">
        <f aca="false">SUMIFS(الريسبي!$C$2:$C$1800,الريسبي!$A$2:$A$1800,$A75,الريسبي!$B$2:$B$1800,AU$1)</f>
        <v>0</v>
      </c>
      <c r="AV75" s="115" t="n">
        <f aca="false">SUMIFS(الريسبي!$C$2:$C$1800,الريسبي!$A$2:$A$1800,$A75,الريسبي!$B$2:$B$1800,AV$1)</f>
        <v>0</v>
      </c>
      <c r="AW75" s="115" t="n">
        <f aca="false">SUMIFS(الريسبي!$C$2:$C$1800,الريسبي!$A$2:$A$1800,$A75,الريسبي!$B$2:$B$1800,AW$1)</f>
        <v>0</v>
      </c>
      <c r="AX75" s="115" t="n">
        <f aca="false">SUMIFS(الريسبي!$C$2:$C$1800,الريسبي!$A$2:$A$1800,$A75,الريسبي!$B$2:$B$1800,AX$1)</f>
        <v>0</v>
      </c>
      <c r="AY75" s="115" t="n">
        <f aca="false">SUMIFS(الريسبي!$C$2:$C$1800,الريسبي!$A$2:$A$1800,$A75,الريسبي!$B$2:$B$1800,AY$1)</f>
        <v>0</v>
      </c>
      <c r="AZ75" s="115" t="n">
        <f aca="false">SUMIFS(الريسبي!$C$2:$C$1800,الريسبي!$A$2:$A$1800,$A75,الريسبي!$B$2:$B$1800,AZ$1)</f>
        <v>0</v>
      </c>
      <c r="BA75" s="115" t="n">
        <f aca="false">SUMIFS(الريسبي!$C$2:$C$1800,الريسبي!$A$2:$A$1800,$A75,الريسبي!$B$2:$B$1800,BA$1)</f>
        <v>0</v>
      </c>
      <c r="BB75" s="115" t="n">
        <f aca="false">SUMIFS(الريسبي!$C$2:$C$1800,الريسبي!$A$2:$A$1800,$A75,الريسبي!$B$2:$B$1800,BB$1)</f>
        <v>0</v>
      </c>
      <c r="BC75" s="115" t="n">
        <f aca="false">SUMIFS(الريسبي!$C$2:$C$1800,الريسبي!$A$2:$A$1800,$A75,الريسبي!$B$2:$B$1800,BC$1)</f>
        <v>0</v>
      </c>
      <c r="BD75" s="115" t="n">
        <f aca="false">SUMIFS(الريسبي!$C$2:$C$1800,الريسبي!$A$2:$A$1800,$A75,الريسبي!$B$2:$B$1800,BD$1)</f>
        <v>0</v>
      </c>
      <c r="BE75" s="115" t="n">
        <f aca="false">SUMIFS(الريسبي!$C$2:$C$1800,الريسبي!$A$2:$A$1800,$A75,الريسبي!$B$2:$B$1800,BE$1)</f>
        <v>0</v>
      </c>
      <c r="BF75" s="115" t="n">
        <f aca="false">SUMIFS(الريسبي!$C$2:$C$1800,الريسبي!$A$2:$A$1800,$A75,الريسبي!$B$2:$B$1800,BF$1)</f>
        <v>0</v>
      </c>
      <c r="BG75" s="115" t="n">
        <f aca="false">SUMIFS(الريسبي!$C$2:$C$1800,الريسبي!$A$2:$A$1800,$A75,الريسبي!$B$2:$B$1800,BG$1)</f>
        <v>0</v>
      </c>
      <c r="BH75" s="115" t="n">
        <f aca="false">SUMIFS(الريسبي!$C$2:$C$1800,الريسبي!$A$2:$A$1800,$A75,الريسبي!$B$2:$B$1800,BH$1)</f>
        <v>0</v>
      </c>
      <c r="BI75" s="115" t="n">
        <f aca="false">SUMIFS(الريسبي!$C$2:$C$1800,الريسبي!$A$2:$A$1800,$A75,الريسبي!$B$2:$B$1800,BI$1)</f>
        <v>0</v>
      </c>
      <c r="BJ75" s="115" t="n">
        <f aca="false">SUMIFS(الريسبي!$C$2:$C$1800,الريسبي!$A$2:$A$1800,$A75,الريسبي!$B$2:$B$1800,BJ$1)</f>
        <v>0</v>
      </c>
      <c r="BK75" s="115" t="n">
        <f aca="false">SUMIFS(الريسبي!$C$2:$C$1800,الريسبي!$A$2:$A$1800,$A75,الريسبي!$B$2:$B$1800,BK$1)</f>
        <v>0</v>
      </c>
      <c r="BL75" s="115" t="n">
        <f aca="false">SUMIFS(الريسبي!$C$2:$C$1800,الريسبي!$A$2:$A$1800,$A75,الريسبي!$B$2:$B$1800,BL$1)</f>
        <v>0</v>
      </c>
      <c r="BM75" s="115" t="n">
        <f aca="false">SUMIFS(الريسبي!$C$2:$C$1800,الريسبي!$A$2:$A$1800,$A75,الريسبي!$B$2:$B$1800,BM$1)</f>
        <v>0</v>
      </c>
      <c r="BN75" s="115" t="n">
        <f aca="false">SUMIFS(الريسبي!$C$2:$C$1800,الريسبي!$A$2:$A$1800,$A75,الريسبي!$B$2:$B$1800,BN$1)</f>
        <v>0</v>
      </c>
      <c r="BO75" s="115" t="n">
        <f aca="false">SUMIFS(الريسبي!$C$2:$C$1800,الريسبي!$A$2:$A$1800,$A75,الريسبي!$B$2:$B$1800,BO$1)</f>
        <v>0</v>
      </c>
      <c r="BP75" s="115" t="n">
        <f aca="false">SUMIFS(الريسبي!$C$2:$C$1800,الريسبي!$A$2:$A$1800,$A75,الريسبي!$B$2:$B$1800,BP$1)</f>
        <v>0</v>
      </c>
      <c r="BQ75" s="115"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15" t="n">
        <f aca="false">SUMIFS(الريسبي!$C$2:$C$1800,الريسبي!$A$2:$A$1800,$A75,الريسبي!$B$2:$B$1800,BR$1)</f>
        <v>0</v>
      </c>
      <c r="BS75" s="115" t="n">
        <f aca="false">SUMIFS(الريسبي!$C$2:$C$1800,الريسبي!$A$2:$A$1800,$A75,الريسبي!$B$2:$B$1800,BS$1)</f>
        <v>0</v>
      </c>
      <c r="BT75" s="115" t="n">
        <f aca="false">SUMIFS(الريسبي!$C$2:$C$1800,الريسبي!$A$2:$A$1800,$A75,الريسبي!$B$2:$B$1800,BT$1)</f>
        <v>0</v>
      </c>
      <c r="BU75" s="115"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15" t="n">
        <f aca="false">SUMIFS(الريسبي!$C$2:$C$1800,الريسبي!$A$2:$A$1800,$A75,الريسبي!$B$2:$B$1800,BV$1)</f>
        <v>0</v>
      </c>
      <c r="BW75" s="115" t="n">
        <f aca="false">SUMIFS(الريسبي!$C$2:$C$1800,الريسبي!$A$2:$A$1800,$A75,الريسبي!$B$2:$B$1800,BW$1)</f>
        <v>0</v>
      </c>
      <c r="BX75" s="115" t="n">
        <f aca="false">SUMIFS(الريسبي!$C$2:$C$1800,الريسبي!$A$2:$A$1800,$A75,الريسبي!$B$2:$B$1800,BX$1)</f>
        <v>0</v>
      </c>
      <c r="BY75" s="115" t="n">
        <f aca="false">SUMIFS(الريسبي!$C$2:$C$1800,الريسبي!$A$2:$A$1800,$A75,الريسبي!$B$2:$B$1800,BY$1)</f>
        <v>0</v>
      </c>
      <c r="BZ75" s="115" t="n">
        <f aca="false">SUMIFS(الريسبي!$C$2:$C$1800,الريسبي!$A$2:$A$1800,$A75,الريسبي!$B$2:$B$1800,BZ$1)</f>
        <v>0</v>
      </c>
      <c r="CA75" s="115" t="n">
        <f aca="false">SUMIFS(الريسبي!$C$2:$C$1800,الريسبي!$A$2:$A$1800,$A75,الريسبي!$B$2:$B$1800,CA$1)</f>
        <v>0</v>
      </c>
      <c r="CB75" s="115" t="n">
        <f aca="false">SUMIFS(الريسبي!$C$2:$C$1800,الريسبي!$A$2:$A$1800,$A75,الريسبي!$B$2:$B$1800,CB$1)</f>
        <v>0</v>
      </c>
      <c r="CC75" s="115" t="n">
        <f aca="false">SUMIFS(الريسبي!$C$2:$C$1800,الريسبي!$A$2:$A$1800,$A75,الريسبي!$B$2:$B$1800,CC$1)</f>
        <v>0</v>
      </c>
      <c r="CD75" s="115" t="n">
        <f aca="false">SUMIFS(الريسبي!$C$2:$C$1800,الريسبي!$A$2:$A$1800,$A75,الريسبي!$B$2:$B$1800,CD$1)</f>
        <v>0</v>
      </c>
      <c r="CE75" s="115" t="n">
        <f aca="false">SUMIFS(الريسبي!$C$2:$C$1800,الريسبي!$A$2:$A$1800,$A75,الريسبي!$B$2:$B$1800,CE$1)</f>
        <v>0</v>
      </c>
      <c r="CF75" s="115" t="n">
        <f aca="false">SUMIFS(الريسبي!$C$2:$C$1800,الريسبي!$A$2:$A$1800,$A75,الريسبي!$B$2:$B$1800,CF$1)</f>
        <v>0</v>
      </c>
      <c r="CG75" s="115" t="n">
        <f aca="false">SUMIFS(الريسبي!$C$2:$C$1800,الريسبي!$A$2:$A$1800,$A75,الريسبي!$B$2:$B$1800,CG$1)</f>
        <v>0</v>
      </c>
      <c r="CH75" s="115" t="n">
        <f aca="false">SUMIFS(الريسبي!$C$2:$C$1800,الريسبي!$A$2:$A$1800,$A75,الريسبي!$B$2:$B$1800,CH$1)</f>
        <v>0</v>
      </c>
    </row>
    <row r="76" customFormat="false" ht="15" hidden="false" customHeight="false" outlineLevel="0" collapsed="false">
      <c r="A76" s="114" t="str">
        <f aca="false">المنيو!B76</f>
        <v>بيبسي لتر</v>
      </c>
      <c r="B76" s="115" t="n">
        <f aca="false">SUMIFS(الريسبي!$C$2:$C$1800,الريسبي!$A$2:$A$1800,$A76,الريسبي!$B$2:$B$1800,B$1)</f>
        <v>0</v>
      </c>
      <c r="C76" s="115" t="n">
        <f aca="false">SUMIFS(الريسبي!$C$2:$C$1800,الريسبي!$A$2:$A$1800,$A76,الريسبي!$B$2:$B$1800,C$1)</f>
        <v>0</v>
      </c>
      <c r="D76" s="115" t="n">
        <f aca="false">SUMIFS(الريسبي!$C$2:$C$1800,الريسبي!$A$2:$A$1800,$A76,الريسبي!$B$2:$B$1800,D$1)</f>
        <v>0</v>
      </c>
      <c r="E76" s="115" t="n">
        <f aca="false">SUMIFS(الريسبي!$C$2:$C$1800,الريسبي!$A$2:$A$1800,$A76,الريسبي!$B$2:$B$1800,E$1)</f>
        <v>0</v>
      </c>
      <c r="F76" s="115" t="n">
        <f aca="false">SUMIFS(الريسبي!$C$2:$C$1800,الريسبي!$A$2:$A$1800,$A76,الريسبي!$B$2:$B$1800,F$1)</f>
        <v>0</v>
      </c>
      <c r="G76" s="115" t="n">
        <f aca="false">SUMIFS(الريسبي!$C$2:$C$1800,الريسبي!$A$2:$A$1800,$A76,الريسبي!$B$2:$B$1800,G$1)</f>
        <v>0</v>
      </c>
      <c r="H76" s="115" t="n">
        <f aca="false">SUMIFS(الريسبي!$C$2:$C$1800,الريسبي!$A$2:$A$1800,$A76,الريسبي!$B$2:$B$1800,H$1)</f>
        <v>0</v>
      </c>
      <c r="I76" s="115" t="n">
        <f aca="false">SUMIFS(الريسبي!$C$2:$C$1800,الريسبي!$A$2:$A$1800,$A76,الريسبي!$B$2:$B$1800,I$1)</f>
        <v>0</v>
      </c>
      <c r="J76" s="115" t="n">
        <f aca="false">SUMIFS(الريسبي!$C$2:$C$1800,الريسبي!$A$2:$A$1800,$A76,الريسبي!$B$2:$B$1800,J$1)</f>
        <v>0</v>
      </c>
      <c r="K76" s="115" t="n">
        <f aca="false">SUMIFS(الريسبي!$C$2:$C$1800,الريسبي!$A$2:$A$1800,$A76,الريسبي!$B$2:$B$1800,K$1)</f>
        <v>0</v>
      </c>
      <c r="L76" s="115" t="n">
        <f aca="false">SUMIFS(الريسبي!$C$2:$C$1800,الريسبي!$A$2:$A$1800,$A76,الريسبي!$B$2:$B$1800,L$1)</f>
        <v>0</v>
      </c>
      <c r="M76" s="115" t="n">
        <f aca="false">SUMIFS(الريسبي!$C$2:$C$1800,الريسبي!$A$2:$A$1800,$A76,الريسبي!$B$2:$B$1800,M$1)</f>
        <v>0</v>
      </c>
      <c r="N76" s="115" t="n">
        <f aca="false">SUMIFS(الريسبي!$C$2:$C$1800,الريسبي!$A$2:$A$1800,$A76,الريسبي!$B$2:$B$1800,N$1)</f>
        <v>0</v>
      </c>
      <c r="O76" s="115" t="n">
        <f aca="false">SUMIFS(الريسبي!$C$2:$C$1800,الريسبي!$A$2:$A$1800,$A76,الريسبي!$B$2:$B$1800,O$1)</f>
        <v>0</v>
      </c>
      <c r="P76" s="115" t="n">
        <f aca="false">SUMIFS(الريسبي!$C$2:$C$1800,الريسبي!$A$2:$A$1800,$A76,الريسبي!$B$2:$B$1800,P$1)</f>
        <v>0</v>
      </c>
      <c r="Q76" s="115" t="n">
        <f aca="false">SUMIFS(الريسبي!$C$2:$C$1800,الريسبي!$A$2:$A$1800,$A76,الريسبي!$B$2:$B$1800,Q$1)</f>
        <v>0</v>
      </c>
      <c r="R76" s="115" t="n">
        <f aca="false">SUMIFS(الريسبي!$C$2:$C$1800,الريسبي!$A$2:$A$1800,$A76,الريسبي!$B$2:$B$1800,R$1)</f>
        <v>0</v>
      </c>
      <c r="S76" s="115" t="n">
        <f aca="false">SUMIFS(الريسبي!$C$2:$C$1800,الريسبي!$A$2:$A$1800,$A76,الريسبي!$B$2:$B$1800,S$1)</f>
        <v>0</v>
      </c>
      <c r="T76" s="115" t="n">
        <f aca="false">SUMIFS(الريسبي!$C$2:$C$1800,الريسبي!$A$2:$A$1800,$A76,الريسبي!$B$2:$B$1800,T$1)</f>
        <v>0</v>
      </c>
      <c r="U76" s="115" t="n">
        <f aca="false">SUMIFS(الريسبي!$C$2:$C$1800,الريسبي!$A$2:$A$1800,$A76,الريسبي!$B$2:$B$1800,U$1)</f>
        <v>0</v>
      </c>
      <c r="V76" s="115" t="n">
        <f aca="false">SUMIFS(الريسبي!$C$2:$C$1800,الريسبي!$A$2:$A$1800,$A76,الريسبي!$B$2:$B$1800,V$1)</f>
        <v>0</v>
      </c>
      <c r="W76" s="115" t="n">
        <f aca="false">SUMIFS(الريسبي!$C$2:$C$1800,الريسبي!$A$2:$A$1800,$A76,الريسبي!$B$2:$B$1800,W$1)</f>
        <v>0</v>
      </c>
      <c r="X76" s="115" t="n">
        <f aca="false">SUMIFS(الريسبي!$C$2:$C$1800,الريسبي!$A$2:$A$1800,$A76,الريسبي!$B$2:$B$1800,X$1)</f>
        <v>0</v>
      </c>
      <c r="Y76" s="115" t="n">
        <f aca="false">SUMIFS(الريسبي!$C$2:$C$1800,الريسبي!$A$2:$A$1800,$A76,الريسبي!$B$2:$B$1800,Y$1)</f>
        <v>0</v>
      </c>
      <c r="Z76" s="115" t="n">
        <f aca="false">SUMIFS(الريسبي!$C$2:$C$1800,الريسبي!$A$2:$A$1800,$A76,الريسبي!$B$2:$B$1800,Z$1)</f>
        <v>0</v>
      </c>
      <c r="AA76" s="115" t="n">
        <f aca="false">SUMIFS(الريسبي!$C$2:$C$1800,الريسبي!$A$2:$A$1800,$A76,الريسبي!$B$2:$B$1800,AA$1)</f>
        <v>0</v>
      </c>
      <c r="AB76" s="115" t="n">
        <f aca="false">SUMIFS(الريسبي!$C$2:$C$1800,الريسبي!$A$2:$A$1800,$A76,الريسبي!$B$2:$B$1800,AB$1)</f>
        <v>0</v>
      </c>
      <c r="AC76" s="115" t="n">
        <f aca="false">SUMIFS(الريسبي!$C$2:$C$1800,الريسبي!$A$2:$A$1800,$A76,الريسبي!$B$2:$B$1800,AC$1)</f>
        <v>0</v>
      </c>
      <c r="AD76" s="115" t="n">
        <f aca="false">SUMIFS(الريسبي!$C$2:$C$1800,الريسبي!$A$2:$A$1800,$A76,الريسبي!$B$2:$B$1800,AD$1)</f>
        <v>0</v>
      </c>
      <c r="AE76" s="115" t="n">
        <f aca="false">SUMIFS(الريسبي!$C$2:$C$1800,الريسبي!$A$2:$A$1800,$A76,الريسبي!$B$2:$B$1800,AE$1)</f>
        <v>0</v>
      </c>
      <c r="AF76" s="115" t="n">
        <f aca="false">SUMIFS(الريسبي!$C$2:$C$1800,الريسبي!$A$2:$A$1800,$A76,الريسبي!$B$2:$B$1800,AF$1)</f>
        <v>0</v>
      </c>
      <c r="AG76" s="115" t="n">
        <f aca="false">SUMIFS(الريسبي!$C$2:$C$1800,الريسبي!$A$2:$A$1800,$A76,الريسبي!$B$2:$B$1800,AG$1)</f>
        <v>0</v>
      </c>
      <c r="AH76" s="115" t="n">
        <f aca="false">SUMIFS(الريسبي!$C$2:$C$1800,الريسبي!$A$2:$A$1800,$A76,الريسبي!$B$2:$B$1800,AH$1)</f>
        <v>1</v>
      </c>
      <c r="AI76" s="115" t="n">
        <f aca="false">SUMIFS(الريسبي!$C$2:$C$1800,الريسبي!$A$2:$A$1800,$A76,الريسبي!$B$2:$B$1800,AI$1)</f>
        <v>0</v>
      </c>
      <c r="AJ76" s="115" t="n">
        <f aca="false">SUMIFS(الريسبي!$C$2:$C$1800,الريسبي!$A$2:$A$1800,$A76,الريسبي!$B$2:$B$1800,AJ$1)</f>
        <v>0</v>
      </c>
      <c r="AK76" s="115" t="n">
        <f aca="false">SUMIFS(الريسبي!$C$2:$C$1800,الريسبي!$A$2:$A$1800,$A76,الريسبي!$B$2:$B$1800,AK$1)</f>
        <v>0</v>
      </c>
      <c r="AL76" s="115" t="n">
        <f aca="false">SUMIFS(الريسبي!$C$2:$C$1800,الريسبي!$A$2:$A$1800,$A76,الريسبي!$B$2:$B$1800,AL$1)</f>
        <v>0</v>
      </c>
      <c r="AM76" s="115"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15"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15" t="n">
        <f aca="false">SUMIFS(الريسبي!$C$2:$C$1800,الريسبي!$A$2:$A$1800,$A76,الريسبي!$B$2:$B$1800,AO$1)</f>
        <v>0</v>
      </c>
      <c r="AP76" s="115" t="n">
        <f aca="false">SUMIFS(الريسبي!$C$2:$C$1800,الريسبي!$A$2:$A$1800,$A76,الريسبي!$B$2:$B$1800,AP$1)</f>
        <v>0</v>
      </c>
      <c r="AQ76" s="115"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15" t="n">
        <f aca="false">SUMIFS(الريسبي!$C$2:$C$1800,الريسبي!$A$2:$A$1800,$A76,الريسبي!$B$2:$B$1800,AR$1)</f>
        <v>0</v>
      </c>
      <c r="AS76" s="115" t="n">
        <f aca="false">SUMIFS(الريسبي!$C$2:$C$1800,الريسبي!$A$2:$A$1800,$A76,الريسبي!$B$2:$B$1800,AS$1)</f>
        <v>0</v>
      </c>
      <c r="AT76" s="115" t="n">
        <f aca="false">SUMIFS(الريسبي!$C$2:$C$1800,الريسبي!$A$2:$A$1800,$A76,الريسبي!$B$2:$B$1800,AT$1)</f>
        <v>0</v>
      </c>
      <c r="AU76" s="115" t="n">
        <f aca="false">SUMIFS(الريسبي!$C$2:$C$1800,الريسبي!$A$2:$A$1800,$A76,الريسبي!$B$2:$B$1800,AU$1)</f>
        <v>0</v>
      </c>
      <c r="AV76" s="115" t="n">
        <f aca="false">SUMIFS(الريسبي!$C$2:$C$1800,الريسبي!$A$2:$A$1800,$A76,الريسبي!$B$2:$B$1800,AV$1)</f>
        <v>0</v>
      </c>
      <c r="AW76" s="115" t="n">
        <f aca="false">SUMIFS(الريسبي!$C$2:$C$1800,الريسبي!$A$2:$A$1800,$A76,الريسبي!$B$2:$B$1800,AW$1)</f>
        <v>0</v>
      </c>
      <c r="AX76" s="115" t="n">
        <f aca="false">SUMIFS(الريسبي!$C$2:$C$1800,الريسبي!$A$2:$A$1800,$A76,الريسبي!$B$2:$B$1800,AX$1)</f>
        <v>0</v>
      </c>
      <c r="AY76" s="115" t="n">
        <f aca="false">SUMIFS(الريسبي!$C$2:$C$1800,الريسبي!$A$2:$A$1800,$A76,الريسبي!$B$2:$B$1800,AY$1)</f>
        <v>0</v>
      </c>
      <c r="AZ76" s="115" t="n">
        <f aca="false">SUMIFS(الريسبي!$C$2:$C$1800,الريسبي!$A$2:$A$1800,$A76,الريسبي!$B$2:$B$1800,AZ$1)</f>
        <v>0</v>
      </c>
      <c r="BA76" s="115" t="n">
        <f aca="false">SUMIFS(الريسبي!$C$2:$C$1800,الريسبي!$A$2:$A$1800,$A76,الريسبي!$B$2:$B$1800,BA$1)</f>
        <v>0</v>
      </c>
      <c r="BB76" s="115" t="n">
        <f aca="false">SUMIFS(الريسبي!$C$2:$C$1800,الريسبي!$A$2:$A$1800,$A76,الريسبي!$B$2:$B$1800,BB$1)</f>
        <v>0</v>
      </c>
      <c r="BC76" s="115" t="n">
        <f aca="false">SUMIFS(الريسبي!$C$2:$C$1800,الريسبي!$A$2:$A$1800,$A76,الريسبي!$B$2:$B$1800,BC$1)</f>
        <v>0</v>
      </c>
      <c r="BD76" s="115" t="n">
        <f aca="false">SUMIFS(الريسبي!$C$2:$C$1800,الريسبي!$A$2:$A$1800,$A76,الريسبي!$B$2:$B$1800,BD$1)</f>
        <v>0</v>
      </c>
      <c r="BE76" s="115" t="n">
        <f aca="false">SUMIFS(الريسبي!$C$2:$C$1800,الريسبي!$A$2:$A$1800,$A76,الريسبي!$B$2:$B$1800,BE$1)</f>
        <v>0</v>
      </c>
      <c r="BF76" s="115" t="n">
        <f aca="false">SUMIFS(الريسبي!$C$2:$C$1800,الريسبي!$A$2:$A$1800,$A76,الريسبي!$B$2:$B$1800,BF$1)</f>
        <v>0</v>
      </c>
      <c r="BG76" s="115" t="n">
        <f aca="false">SUMIFS(الريسبي!$C$2:$C$1800,الريسبي!$A$2:$A$1800,$A76,الريسبي!$B$2:$B$1800,BG$1)</f>
        <v>0</v>
      </c>
      <c r="BH76" s="115" t="n">
        <f aca="false">SUMIFS(الريسبي!$C$2:$C$1800,الريسبي!$A$2:$A$1800,$A76,الريسبي!$B$2:$B$1800,BH$1)</f>
        <v>0</v>
      </c>
      <c r="BI76" s="115" t="n">
        <f aca="false">SUMIFS(الريسبي!$C$2:$C$1800,الريسبي!$A$2:$A$1800,$A76,الريسبي!$B$2:$B$1800,BI$1)</f>
        <v>0</v>
      </c>
      <c r="BJ76" s="115" t="n">
        <f aca="false">SUMIFS(الريسبي!$C$2:$C$1800,الريسبي!$A$2:$A$1800,$A76,الريسبي!$B$2:$B$1800,BJ$1)</f>
        <v>0</v>
      </c>
      <c r="BK76" s="115" t="n">
        <f aca="false">SUMIFS(الريسبي!$C$2:$C$1800,الريسبي!$A$2:$A$1800,$A76,الريسبي!$B$2:$B$1800,BK$1)</f>
        <v>0</v>
      </c>
      <c r="BL76" s="115" t="n">
        <f aca="false">SUMIFS(الريسبي!$C$2:$C$1800,الريسبي!$A$2:$A$1800,$A76,الريسبي!$B$2:$B$1800,BL$1)</f>
        <v>0</v>
      </c>
      <c r="BM76" s="115" t="n">
        <f aca="false">SUMIFS(الريسبي!$C$2:$C$1800,الريسبي!$A$2:$A$1800,$A76,الريسبي!$B$2:$B$1800,BM$1)</f>
        <v>0</v>
      </c>
      <c r="BN76" s="115" t="n">
        <f aca="false">SUMIFS(الريسبي!$C$2:$C$1800,الريسبي!$A$2:$A$1800,$A76,الريسبي!$B$2:$B$1800,BN$1)</f>
        <v>0</v>
      </c>
      <c r="BO76" s="115" t="n">
        <f aca="false">SUMIFS(الريسبي!$C$2:$C$1800,الريسبي!$A$2:$A$1800,$A76,الريسبي!$B$2:$B$1800,BO$1)</f>
        <v>0</v>
      </c>
      <c r="BP76" s="115" t="n">
        <f aca="false">SUMIFS(الريسبي!$C$2:$C$1800,الريسبي!$A$2:$A$1800,$A76,الريسبي!$B$2:$B$1800,BP$1)</f>
        <v>0</v>
      </c>
      <c r="BQ76" s="115"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15" t="n">
        <f aca="false">SUMIFS(الريسبي!$C$2:$C$1800,الريسبي!$A$2:$A$1800,$A76,الريسبي!$B$2:$B$1800,BR$1)</f>
        <v>0</v>
      </c>
      <c r="BS76" s="115" t="n">
        <f aca="false">SUMIFS(الريسبي!$C$2:$C$1800,الريسبي!$A$2:$A$1800,$A76,الريسبي!$B$2:$B$1800,BS$1)</f>
        <v>0</v>
      </c>
      <c r="BT76" s="115" t="n">
        <f aca="false">SUMIFS(الريسبي!$C$2:$C$1800,الريسبي!$A$2:$A$1800,$A76,الريسبي!$B$2:$B$1800,BT$1)</f>
        <v>0</v>
      </c>
      <c r="BU76" s="115"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15" t="n">
        <f aca="false">SUMIFS(الريسبي!$C$2:$C$1800,الريسبي!$A$2:$A$1800,$A76,الريسبي!$B$2:$B$1800,BV$1)</f>
        <v>0</v>
      </c>
      <c r="BW76" s="115" t="n">
        <f aca="false">SUMIFS(الريسبي!$C$2:$C$1800,الريسبي!$A$2:$A$1800,$A76,الريسبي!$B$2:$B$1800,BW$1)</f>
        <v>0</v>
      </c>
      <c r="BX76" s="115" t="n">
        <f aca="false">SUMIFS(الريسبي!$C$2:$C$1800,الريسبي!$A$2:$A$1800,$A76,الريسبي!$B$2:$B$1800,BX$1)</f>
        <v>0</v>
      </c>
      <c r="BY76" s="115" t="n">
        <f aca="false">SUMIFS(الريسبي!$C$2:$C$1800,الريسبي!$A$2:$A$1800,$A76,الريسبي!$B$2:$B$1800,BY$1)</f>
        <v>0</v>
      </c>
      <c r="BZ76" s="115" t="n">
        <f aca="false">SUMIFS(الريسبي!$C$2:$C$1800,الريسبي!$A$2:$A$1800,$A76,الريسبي!$B$2:$B$1800,BZ$1)</f>
        <v>0</v>
      </c>
      <c r="CA76" s="115" t="n">
        <f aca="false">SUMIFS(الريسبي!$C$2:$C$1800,الريسبي!$A$2:$A$1800,$A76,الريسبي!$B$2:$B$1800,CA$1)</f>
        <v>0</v>
      </c>
      <c r="CB76" s="115" t="n">
        <f aca="false">SUMIFS(الريسبي!$C$2:$C$1800,الريسبي!$A$2:$A$1800,$A76,الريسبي!$B$2:$B$1800,CB$1)</f>
        <v>0</v>
      </c>
      <c r="CC76" s="115" t="n">
        <f aca="false">SUMIFS(الريسبي!$C$2:$C$1800,الريسبي!$A$2:$A$1800,$A76,الريسبي!$B$2:$B$1800,CC$1)</f>
        <v>0</v>
      </c>
      <c r="CD76" s="115" t="n">
        <f aca="false">SUMIFS(الريسبي!$C$2:$C$1800,الريسبي!$A$2:$A$1800,$A76,الريسبي!$B$2:$B$1800,CD$1)</f>
        <v>0</v>
      </c>
      <c r="CE76" s="115" t="n">
        <f aca="false">SUMIFS(الريسبي!$C$2:$C$1800,الريسبي!$A$2:$A$1800,$A76,الريسبي!$B$2:$B$1800,CE$1)</f>
        <v>0</v>
      </c>
      <c r="CF76" s="115" t="n">
        <f aca="false">SUMIFS(الريسبي!$C$2:$C$1800,الريسبي!$A$2:$A$1800,$A76,الريسبي!$B$2:$B$1800,CF$1)</f>
        <v>0</v>
      </c>
      <c r="CG76" s="115" t="n">
        <f aca="false">SUMIFS(الريسبي!$C$2:$C$1800,الريسبي!$A$2:$A$1800,$A76,الريسبي!$B$2:$B$1800,CG$1)</f>
        <v>0</v>
      </c>
      <c r="CH76" s="115" t="n">
        <f aca="false">SUMIFS(الريسبي!$C$2:$C$1800,الريسبي!$A$2:$A$1800,$A76,الريسبي!$B$2:$B$1800,CH$1)</f>
        <v>0</v>
      </c>
    </row>
    <row r="77" customFormat="false" ht="15" hidden="false" customHeight="false" outlineLevel="0" collapsed="false">
      <c r="A77" s="114" t="str">
        <f aca="false">المنيو!B77</f>
        <v>بيتزا مارجريتا صيامي وسط</v>
      </c>
      <c r="B77" s="115" t="n">
        <f aca="false">SUMIFS(الريسبي!$C$2:$C$1800,الريسبي!$A$2:$A$1800,$A77,الريسبي!$B$2:$B$1800,B$1)</f>
        <v>0</v>
      </c>
      <c r="C77" s="115" t="n">
        <f aca="false">SUMIFS(الريسبي!$C$2:$C$1800,الريسبي!$A$2:$A$1800,$A77,الريسبي!$B$2:$B$1800,C$1)</f>
        <v>0</v>
      </c>
      <c r="D77" s="115" t="n">
        <f aca="false">SUMIFS(الريسبي!$C$2:$C$1800,الريسبي!$A$2:$A$1800,$A77,الريسبي!$B$2:$B$1800,D$1)</f>
        <v>1</v>
      </c>
      <c r="E77" s="115" t="n">
        <f aca="false">SUMIFS(الريسبي!$C$2:$C$1800,الريسبي!$A$2:$A$1800,$A77,الريسبي!$B$2:$B$1800,E$1)</f>
        <v>0</v>
      </c>
      <c r="F77" s="115" t="n">
        <f aca="false">SUMIFS(الريسبي!$C$2:$C$1800,الريسبي!$A$2:$A$1800,$A77,الريسبي!$B$2:$B$1800,F$1)</f>
        <v>0</v>
      </c>
      <c r="G77" s="115" t="n">
        <f aca="false">SUMIFS(الريسبي!$C$2:$C$1800,الريسبي!$A$2:$A$1800,$A77,الريسبي!$B$2:$B$1800,G$1)</f>
        <v>0</v>
      </c>
      <c r="H77" s="115" t="n">
        <f aca="false">SUMIFS(الريسبي!$C$2:$C$1800,الريسبي!$A$2:$A$1800,$A77,الريسبي!$B$2:$B$1800,H$1)</f>
        <v>0</v>
      </c>
      <c r="I77" s="115" t="n">
        <f aca="false">SUMIFS(الريسبي!$C$2:$C$1800,الريسبي!$A$2:$A$1800,$A77,الريسبي!$B$2:$B$1800,I$1)</f>
        <v>0</v>
      </c>
      <c r="J77" s="115" t="n">
        <f aca="false">SUMIFS(الريسبي!$C$2:$C$1800,الريسبي!$A$2:$A$1800,$A77,الريسبي!$B$2:$B$1800,J$1)</f>
        <v>0</v>
      </c>
      <c r="K77" s="115" t="n">
        <f aca="false">SUMIFS(الريسبي!$C$2:$C$1800,الريسبي!$A$2:$A$1800,$A77,الريسبي!$B$2:$B$1800,K$1)</f>
        <v>0</v>
      </c>
      <c r="L77" s="115" t="n">
        <f aca="false">SUMIFS(الريسبي!$C$2:$C$1800,الريسبي!$A$2:$A$1800,$A77,الريسبي!$B$2:$B$1800,L$1)</f>
        <v>0</v>
      </c>
      <c r="M77" s="115" t="n">
        <f aca="false">SUMIFS(الريسبي!$C$2:$C$1800,الريسبي!$A$2:$A$1800,$A77,الريسبي!$B$2:$B$1800,M$1)</f>
        <v>0</v>
      </c>
      <c r="N77" s="115" t="n">
        <f aca="false">SUMIFS(الريسبي!$C$2:$C$1800,الريسبي!$A$2:$A$1800,$A77,الريسبي!$B$2:$B$1800,N$1)</f>
        <v>0</v>
      </c>
      <c r="O77" s="115" t="n">
        <f aca="false">SUMIFS(الريسبي!$C$2:$C$1800,الريسبي!$A$2:$A$1800,$A77,الريسبي!$B$2:$B$1800,O$1)</f>
        <v>0</v>
      </c>
      <c r="P77" s="115" t="n">
        <f aca="false">SUMIFS(الريسبي!$C$2:$C$1800,الريسبي!$A$2:$A$1800,$A77,الريسبي!$B$2:$B$1800,P$1)</f>
        <v>0</v>
      </c>
      <c r="Q77" s="115" t="n">
        <f aca="false">SUMIFS(الريسبي!$C$2:$C$1800,الريسبي!$A$2:$A$1800,$A77,الريسبي!$B$2:$B$1800,Q$1)</f>
        <v>0</v>
      </c>
      <c r="R77" s="115" t="n">
        <f aca="false">SUMIFS(الريسبي!$C$2:$C$1800,الريسبي!$A$2:$A$1800,$A77,الريسبي!$B$2:$B$1800,R$1)</f>
        <v>0</v>
      </c>
      <c r="S77" s="115" t="n">
        <f aca="false">SUMIFS(الريسبي!$C$2:$C$1800,الريسبي!$A$2:$A$1800,$A77,الريسبي!$B$2:$B$1800,S$1)</f>
        <v>0</v>
      </c>
      <c r="T77" s="115" t="n">
        <f aca="false">SUMIFS(الريسبي!$C$2:$C$1800,الريسبي!$A$2:$A$1800,$A77,الريسبي!$B$2:$B$1800,T$1)</f>
        <v>0</v>
      </c>
      <c r="U77" s="115" t="n">
        <f aca="false">SUMIFS(الريسبي!$C$2:$C$1800,الريسبي!$A$2:$A$1800,$A77,الريسبي!$B$2:$B$1800,U$1)</f>
        <v>0</v>
      </c>
      <c r="V77" s="115" t="n">
        <f aca="false">SUMIFS(الريسبي!$C$2:$C$1800,الريسبي!$A$2:$A$1800,$A77,الريسبي!$B$2:$B$1800,V$1)</f>
        <v>0</v>
      </c>
      <c r="W77" s="115" t="n">
        <f aca="false">SUMIFS(الريسبي!$C$2:$C$1800,الريسبي!$A$2:$A$1800,$A77,الريسبي!$B$2:$B$1800,W$1)</f>
        <v>0</v>
      </c>
      <c r="X77" s="115" t="n">
        <f aca="false">SUMIFS(الريسبي!$C$2:$C$1800,الريسبي!$A$2:$A$1800,$A77,الريسبي!$B$2:$B$1800,X$1)</f>
        <v>1</v>
      </c>
      <c r="Y77" s="115" t="n">
        <f aca="false">SUMIFS(الريسبي!$C$2:$C$1800,الريسبي!$A$2:$A$1800,$A77,الريسبي!$B$2:$B$1800,Y$1)</f>
        <v>0</v>
      </c>
      <c r="Z77" s="115" t="n">
        <f aca="false">SUMIFS(الريسبي!$C$2:$C$1800,الريسبي!$A$2:$A$1800,$A77,الريسبي!$B$2:$B$1800,Z$1)</f>
        <v>0</v>
      </c>
      <c r="AA77" s="115" t="n">
        <f aca="false">SUMIFS(الريسبي!$C$2:$C$1800,الريسبي!$A$2:$A$1800,$A77,الريسبي!$B$2:$B$1800,AA$1)</f>
        <v>0</v>
      </c>
      <c r="AB77" s="115" t="n">
        <f aca="false">SUMIFS(الريسبي!$C$2:$C$1800,الريسبي!$A$2:$A$1800,$A77,الريسبي!$B$2:$B$1800,AB$1)</f>
        <v>0</v>
      </c>
      <c r="AC77" s="115" t="n">
        <f aca="false">SUMIFS(الريسبي!$C$2:$C$1800,الريسبي!$A$2:$A$1800,$A77,الريسبي!$B$2:$B$1800,AC$1)</f>
        <v>0</v>
      </c>
      <c r="AD77" s="115" t="n">
        <f aca="false">SUMIFS(الريسبي!$C$2:$C$1800,الريسبي!$A$2:$A$1800,$A77,الريسبي!$B$2:$B$1800,AD$1)</f>
        <v>0</v>
      </c>
      <c r="AE77" s="115" t="n">
        <f aca="false">SUMIFS(الريسبي!$C$2:$C$1800,الريسبي!$A$2:$A$1800,$A77,الريسبي!$B$2:$B$1800,AE$1)</f>
        <v>0</v>
      </c>
      <c r="AF77" s="115" t="n">
        <f aca="false">SUMIFS(الريسبي!$C$2:$C$1800,الريسبي!$A$2:$A$1800,$A77,الريسبي!$B$2:$B$1800,AF$1)</f>
        <v>0</v>
      </c>
      <c r="AG77" s="115" t="n">
        <f aca="false">SUMIFS(الريسبي!$C$2:$C$1800,الريسبي!$A$2:$A$1800,$A77,الريسبي!$B$2:$B$1800,AG$1)</f>
        <v>0</v>
      </c>
      <c r="AH77" s="115" t="n">
        <f aca="false">SUMIFS(الريسبي!$C$2:$C$1800,الريسبي!$A$2:$A$1800,$A77,الريسبي!$B$2:$B$1800,AH$1)</f>
        <v>0</v>
      </c>
      <c r="AI77" s="115" t="n">
        <f aca="false">SUMIFS(الريسبي!$C$2:$C$1800,الريسبي!$A$2:$A$1800,$A77,الريسبي!$B$2:$B$1800,AI$1)</f>
        <v>0</v>
      </c>
      <c r="AJ77" s="115" t="n">
        <f aca="false">SUMIFS(الريسبي!$C$2:$C$1800,الريسبي!$A$2:$A$1800,$A77,الريسبي!$B$2:$B$1800,AJ$1)</f>
        <v>2</v>
      </c>
      <c r="AK77" s="115" t="n">
        <f aca="false">SUMIFS(الريسبي!$C$2:$C$1800,الريسبي!$A$2:$A$1800,$A77,الريسبي!$B$2:$B$1800,AK$1)</f>
        <v>0</v>
      </c>
      <c r="AL77" s="115" t="n">
        <f aca="false">SUMIFS(الريسبي!$C$2:$C$1800,الريسبي!$A$2:$A$1800,$A77,الريسبي!$B$2:$B$1800,AL$1)</f>
        <v>0</v>
      </c>
      <c r="AM77" s="115"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15"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15" t="n">
        <f aca="false">SUMIFS(الريسبي!$C$2:$C$1800,الريسبي!$A$2:$A$1800,$A77,الريسبي!$B$2:$B$1800,AO$1)</f>
        <v>0</v>
      </c>
      <c r="AP77" s="115" t="n">
        <f aca="false">SUMIFS(الريسبي!$C$2:$C$1800,الريسبي!$A$2:$A$1800,$A77,الريسبي!$B$2:$B$1800,AP$1)</f>
        <v>0.02</v>
      </c>
      <c r="AQ77" s="115"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15" t="n">
        <f aca="false">SUMIFS(الريسبي!$C$2:$C$1800,الريسبي!$A$2:$A$1800,$A77,الريسبي!$B$2:$B$1800,AR$1)</f>
        <v>0</v>
      </c>
      <c r="AS77" s="115" t="n">
        <f aca="false">SUMIFS(الريسبي!$C$2:$C$1800,الريسبي!$A$2:$A$1800,$A77,الريسبي!$B$2:$B$1800,AS$1)</f>
        <v>0</v>
      </c>
      <c r="AT77" s="115" t="n">
        <f aca="false">SUMIFS(الريسبي!$C$2:$C$1800,الريسبي!$A$2:$A$1800,$A77,الريسبي!$B$2:$B$1800,AT$1)</f>
        <v>0</v>
      </c>
      <c r="AU77" s="115" t="n">
        <f aca="false">SUMIFS(الريسبي!$C$2:$C$1800,الريسبي!$A$2:$A$1800,$A77,الريسبي!$B$2:$B$1800,AU$1)</f>
        <v>0</v>
      </c>
      <c r="AV77" s="115" t="n">
        <f aca="false">SUMIFS(الريسبي!$C$2:$C$1800,الريسبي!$A$2:$A$1800,$A77,الريسبي!$B$2:$B$1800,AV$1)</f>
        <v>0</v>
      </c>
      <c r="AW77" s="115" t="n">
        <f aca="false">SUMIFS(الريسبي!$C$2:$C$1800,الريسبي!$A$2:$A$1800,$A77,الريسبي!$B$2:$B$1800,AW$1)</f>
        <v>0</v>
      </c>
      <c r="AX77" s="115" t="n">
        <f aca="false">SUMIFS(الريسبي!$C$2:$C$1800,الريسبي!$A$2:$A$1800,$A77,الريسبي!$B$2:$B$1800,AX$1)</f>
        <v>0.04</v>
      </c>
      <c r="AY77" s="115" t="n">
        <f aca="false">SUMIFS(الريسبي!$C$2:$C$1800,الريسبي!$A$2:$A$1800,$A77,الريسبي!$B$2:$B$1800,AY$1)</f>
        <v>0</v>
      </c>
      <c r="AZ77" s="115" t="n">
        <f aca="false">SUMIFS(الريسبي!$C$2:$C$1800,الريسبي!$A$2:$A$1800,$A77,الريسبي!$B$2:$B$1800,AZ$1)</f>
        <v>0</v>
      </c>
      <c r="BA77" s="115" t="n">
        <f aca="false">SUMIFS(الريسبي!$C$2:$C$1800,الريسبي!$A$2:$A$1800,$A77,الريسبي!$B$2:$B$1800,BA$1)</f>
        <v>0</v>
      </c>
      <c r="BB77" s="115" t="n">
        <f aca="false">SUMIFS(الريسبي!$C$2:$C$1800,الريسبي!$A$2:$A$1800,$A77,الريسبي!$B$2:$B$1800,BB$1)</f>
        <v>0</v>
      </c>
      <c r="BC77" s="115" t="n">
        <f aca="false">SUMIFS(الريسبي!$C$2:$C$1800,الريسبي!$A$2:$A$1800,$A77,الريسبي!$B$2:$B$1800,BC$1)</f>
        <v>0.03</v>
      </c>
      <c r="BD77" s="115" t="n">
        <f aca="false">SUMIFS(الريسبي!$C$2:$C$1800,الريسبي!$A$2:$A$1800,$A77,الريسبي!$B$2:$B$1800,BD$1)</f>
        <v>0.22</v>
      </c>
      <c r="BE77" s="115" t="n">
        <f aca="false">SUMIFS(الريسبي!$C$2:$C$1800,الريسبي!$A$2:$A$1800,$A77,الريسبي!$B$2:$B$1800,BE$1)</f>
        <v>0</v>
      </c>
      <c r="BF77" s="115" t="n">
        <f aca="false">SUMIFS(الريسبي!$C$2:$C$1800,الريسبي!$A$2:$A$1800,$A77,الريسبي!$B$2:$B$1800,BF$1)</f>
        <v>0</v>
      </c>
      <c r="BG77" s="115" t="n">
        <f aca="false">SUMIFS(الريسبي!$C$2:$C$1800,الريسبي!$A$2:$A$1800,$A77,الريسبي!$B$2:$B$1800,BG$1)</f>
        <v>0</v>
      </c>
      <c r="BH77" s="115" t="n">
        <f aca="false">SUMIFS(الريسبي!$C$2:$C$1800,الريسبي!$A$2:$A$1800,$A77,الريسبي!$B$2:$B$1800,BH$1)</f>
        <v>1</v>
      </c>
      <c r="BI77" s="115" t="n">
        <f aca="false">SUMIFS(الريسبي!$C$2:$C$1800,الريسبي!$A$2:$A$1800,$A77,الريسبي!$B$2:$B$1800,BI$1)</f>
        <v>0</v>
      </c>
      <c r="BJ77" s="115" t="n">
        <f aca="false">SUMIFS(الريسبي!$C$2:$C$1800,الريسبي!$A$2:$A$1800,$A77,الريسبي!$B$2:$B$1800,BJ$1)</f>
        <v>0</v>
      </c>
      <c r="BK77" s="115" t="n">
        <f aca="false">SUMIFS(الريسبي!$C$2:$C$1800,الريسبي!$A$2:$A$1800,$A77,الريسبي!$B$2:$B$1800,BK$1)</f>
        <v>0</v>
      </c>
      <c r="BL77" s="115" t="n">
        <f aca="false">SUMIFS(الريسبي!$C$2:$C$1800,الريسبي!$A$2:$A$1800,$A77,الريسبي!$B$2:$B$1800,BL$1)</f>
        <v>0</v>
      </c>
      <c r="BM77" s="115" t="n">
        <f aca="false">SUMIFS(الريسبي!$C$2:$C$1800,الريسبي!$A$2:$A$1800,$A77,الريسبي!$B$2:$B$1800,BM$1)</f>
        <v>0</v>
      </c>
      <c r="BN77" s="115" t="n">
        <f aca="false">SUMIFS(الريسبي!$C$2:$C$1800,الريسبي!$A$2:$A$1800,$A77,الريسبي!$B$2:$B$1800,BN$1)</f>
        <v>0.02</v>
      </c>
      <c r="BO77" s="115" t="n">
        <f aca="false">SUMIFS(الريسبي!$C$2:$C$1800,الريسبي!$A$2:$A$1800,$A77,الريسبي!$B$2:$B$1800,BO$1)</f>
        <v>0</v>
      </c>
      <c r="BP77" s="115" t="n">
        <f aca="false">SUMIFS(الريسبي!$C$2:$C$1800,الريسبي!$A$2:$A$1800,$A77,الريسبي!$B$2:$B$1800,BP$1)</f>
        <v>2</v>
      </c>
      <c r="BQ77" s="115"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15" t="n">
        <f aca="false">SUMIFS(الريسبي!$C$2:$C$1800,الريسبي!$A$2:$A$1800,$A77,الريسبي!$B$2:$B$1800,BR$1)</f>
        <v>1</v>
      </c>
      <c r="BS77" s="115" t="n">
        <f aca="false">SUMIFS(الريسبي!$C$2:$C$1800,الريسبي!$A$2:$A$1800,$A77,الريسبي!$B$2:$B$1800,BS$1)</f>
        <v>0</v>
      </c>
      <c r="BT77" s="115" t="n">
        <f aca="false">SUMIFS(الريسبي!$C$2:$C$1800,الريسبي!$A$2:$A$1800,$A77,الريسبي!$B$2:$B$1800,BT$1)</f>
        <v>0</v>
      </c>
      <c r="BU77" s="115"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15" t="n">
        <f aca="false">SUMIFS(الريسبي!$C$2:$C$1800,الريسبي!$A$2:$A$1800,$A77,الريسبي!$B$2:$B$1800,BV$1)</f>
        <v>0</v>
      </c>
      <c r="BW77" s="115" t="n">
        <f aca="false">SUMIFS(الريسبي!$C$2:$C$1800,الريسبي!$A$2:$A$1800,$A77,الريسبي!$B$2:$B$1800,BW$1)</f>
        <v>0</v>
      </c>
      <c r="BX77" s="115" t="n">
        <f aca="false">SUMIFS(الريسبي!$C$2:$C$1800,الريسبي!$A$2:$A$1800,$A77,الريسبي!$B$2:$B$1800,BX$1)</f>
        <v>0</v>
      </c>
      <c r="BY77" s="115" t="n">
        <f aca="false">SUMIFS(الريسبي!$C$2:$C$1800,الريسبي!$A$2:$A$1800,$A77,الريسبي!$B$2:$B$1800,BY$1)</f>
        <v>0</v>
      </c>
      <c r="BZ77" s="115" t="n">
        <f aca="false">SUMIFS(الريسبي!$C$2:$C$1800,الريسبي!$A$2:$A$1800,$A77,الريسبي!$B$2:$B$1800,BZ$1)</f>
        <v>1</v>
      </c>
      <c r="CA77" s="115" t="n">
        <f aca="false">SUMIFS(الريسبي!$C$2:$C$1800,الريسبي!$A$2:$A$1800,$A77,الريسبي!$B$2:$B$1800,CA$1)</f>
        <v>1</v>
      </c>
      <c r="CB77" s="115" t="n">
        <f aca="false">SUMIFS(الريسبي!$C$2:$C$1800,الريسبي!$A$2:$A$1800,$A77,الريسبي!$B$2:$B$1800,CB$1)</f>
        <v>0</v>
      </c>
      <c r="CC77" s="115" t="n">
        <f aca="false">SUMIFS(الريسبي!$C$2:$C$1800,الريسبي!$A$2:$A$1800,$A77,الريسبي!$B$2:$B$1800,CC$1)</f>
        <v>0</v>
      </c>
      <c r="CD77" s="115" t="n">
        <f aca="false">SUMIFS(الريسبي!$C$2:$C$1800,الريسبي!$A$2:$A$1800,$A77,الريسبي!$B$2:$B$1800,CD$1)</f>
        <v>0</v>
      </c>
      <c r="CE77" s="115" t="n">
        <f aca="false">SUMIFS(الريسبي!$C$2:$C$1800,الريسبي!$A$2:$A$1800,$A77,الريسبي!$B$2:$B$1800,CE$1)</f>
        <v>0</v>
      </c>
      <c r="CF77" s="115" t="n">
        <f aca="false">SUMIFS(الريسبي!$C$2:$C$1800,الريسبي!$A$2:$A$1800,$A77,الريسبي!$B$2:$B$1800,CF$1)</f>
        <v>0</v>
      </c>
      <c r="CG77" s="115" t="n">
        <f aca="false">SUMIFS(الريسبي!$C$2:$C$1800,الريسبي!$A$2:$A$1800,$A77,الريسبي!$B$2:$B$1800,CG$1)</f>
        <v>0</v>
      </c>
      <c r="CH77" s="115" t="n">
        <f aca="false">SUMIFS(الريسبي!$C$2:$C$1800,الريسبي!$A$2:$A$1800,$A77,الريسبي!$B$2:$B$1800,CH$1)</f>
        <v>0</v>
      </c>
    </row>
    <row r="78" customFormat="false" ht="15" hidden="false" customHeight="false" outlineLevel="0" collapsed="false">
      <c r="A78" s="114" t="str">
        <f aca="false">المنيو!B78</f>
        <v>بيتزا مارجريتا صيامي مخصوص</v>
      </c>
      <c r="B78" s="115" t="n">
        <f aca="false">SUMIFS(الريسبي!$C$2:$C$1800,الريسبي!$A$2:$A$1800,$A78,الريسبي!$B$2:$B$1800,B$1)</f>
        <v>0</v>
      </c>
      <c r="C78" s="115" t="n">
        <f aca="false">SUMIFS(الريسبي!$C$2:$C$1800,الريسبي!$A$2:$A$1800,$A78,الريسبي!$B$2:$B$1800,C$1)</f>
        <v>0</v>
      </c>
      <c r="D78" s="115" t="n">
        <f aca="false">SUMIFS(الريسبي!$C$2:$C$1800,الريسبي!$A$2:$A$1800,$A78,الريسبي!$B$2:$B$1800,D$1)</f>
        <v>1</v>
      </c>
      <c r="E78" s="115" t="n">
        <f aca="false">SUMIFS(الريسبي!$C$2:$C$1800,الريسبي!$A$2:$A$1800,$A78,الريسبي!$B$2:$B$1800,E$1)</f>
        <v>0</v>
      </c>
      <c r="F78" s="115" t="n">
        <f aca="false">SUMIFS(الريسبي!$C$2:$C$1800,الريسبي!$A$2:$A$1800,$A78,الريسبي!$B$2:$B$1800,F$1)</f>
        <v>0</v>
      </c>
      <c r="G78" s="115" t="n">
        <f aca="false">SUMIFS(الريسبي!$C$2:$C$1800,الريسبي!$A$2:$A$1800,$A78,الريسبي!$B$2:$B$1800,G$1)</f>
        <v>0</v>
      </c>
      <c r="H78" s="115" t="n">
        <f aca="false">SUMIFS(الريسبي!$C$2:$C$1800,الريسبي!$A$2:$A$1800,$A78,الريسبي!$B$2:$B$1800,H$1)</f>
        <v>0</v>
      </c>
      <c r="I78" s="115" t="n">
        <f aca="false">SUMIFS(الريسبي!$C$2:$C$1800,الريسبي!$A$2:$A$1800,$A78,الريسبي!$B$2:$B$1800,I$1)</f>
        <v>0</v>
      </c>
      <c r="J78" s="115" t="n">
        <f aca="false">SUMIFS(الريسبي!$C$2:$C$1800,الريسبي!$A$2:$A$1800,$A78,الريسبي!$B$2:$B$1800,J$1)</f>
        <v>0</v>
      </c>
      <c r="K78" s="115" t="n">
        <f aca="false">SUMIFS(الريسبي!$C$2:$C$1800,الريسبي!$A$2:$A$1800,$A78,الريسبي!$B$2:$B$1800,K$1)</f>
        <v>0</v>
      </c>
      <c r="L78" s="115" t="n">
        <f aca="false">SUMIFS(الريسبي!$C$2:$C$1800,الريسبي!$A$2:$A$1800,$A78,الريسبي!$B$2:$B$1800,L$1)</f>
        <v>0</v>
      </c>
      <c r="M78" s="115" t="n">
        <f aca="false">SUMIFS(الريسبي!$C$2:$C$1800,الريسبي!$A$2:$A$1800,$A78,الريسبي!$B$2:$B$1800,M$1)</f>
        <v>0</v>
      </c>
      <c r="N78" s="115" t="n">
        <f aca="false">SUMIFS(الريسبي!$C$2:$C$1800,الريسبي!$A$2:$A$1800,$A78,الريسبي!$B$2:$B$1800,N$1)</f>
        <v>0</v>
      </c>
      <c r="O78" s="115" t="n">
        <f aca="false">SUMIFS(الريسبي!$C$2:$C$1800,الريسبي!$A$2:$A$1800,$A78,الريسبي!$B$2:$B$1800,O$1)</f>
        <v>0</v>
      </c>
      <c r="P78" s="115" t="n">
        <f aca="false">SUMIFS(الريسبي!$C$2:$C$1800,الريسبي!$A$2:$A$1800,$A78,الريسبي!$B$2:$B$1800,P$1)</f>
        <v>0</v>
      </c>
      <c r="Q78" s="115" t="n">
        <f aca="false">SUMIFS(الريسبي!$C$2:$C$1800,الريسبي!$A$2:$A$1800,$A78,الريسبي!$B$2:$B$1800,Q$1)</f>
        <v>0</v>
      </c>
      <c r="R78" s="115" t="n">
        <f aca="false">SUMIFS(الريسبي!$C$2:$C$1800,الريسبي!$A$2:$A$1800,$A78,الريسبي!$B$2:$B$1800,R$1)</f>
        <v>0</v>
      </c>
      <c r="S78" s="115" t="n">
        <f aca="false">SUMIFS(الريسبي!$C$2:$C$1800,الريسبي!$A$2:$A$1800,$A78,الريسبي!$B$2:$B$1800,S$1)</f>
        <v>0</v>
      </c>
      <c r="T78" s="115" t="n">
        <f aca="false">SUMIFS(الريسبي!$C$2:$C$1800,الريسبي!$A$2:$A$1800,$A78,الريسبي!$B$2:$B$1800,T$1)</f>
        <v>0</v>
      </c>
      <c r="U78" s="115" t="n">
        <f aca="false">SUMIFS(الريسبي!$C$2:$C$1800,الريسبي!$A$2:$A$1800,$A78,الريسبي!$B$2:$B$1800,U$1)</f>
        <v>0</v>
      </c>
      <c r="V78" s="115" t="n">
        <f aca="false">SUMIFS(الريسبي!$C$2:$C$1800,الريسبي!$A$2:$A$1800,$A78,الريسبي!$B$2:$B$1800,V$1)</f>
        <v>0</v>
      </c>
      <c r="W78" s="115" t="n">
        <f aca="false">SUMIFS(الريسبي!$C$2:$C$1800,الريسبي!$A$2:$A$1800,$A78,الريسبي!$B$2:$B$1800,W$1)</f>
        <v>0</v>
      </c>
      <c r="X78" s="115" t="n">
        <f aca="false">SUMIFS(الريسبي!$C$2:$C$1800,الريسبي!$A$2:$A$1800,$A78,الريسبي!$B$2:$B$1800,X$1)</f>
        <v>0</v>
      </c>
      <c r="Y78" s="115" t="n">
        <f aca="false">SUMIFS(الريسبي!$C$2:$C$1800,الريسبي!$A$2:$A$1800,$A78,الريسبي!$B$2:$B$1800,Y$1)</f>
        <v>1</v>
      </c>
      <c r="Z78" s="115" t="n">
        <f aca="false">SUMIFS(الريسبي!$C$2:$C$1800,الريسبي!$A$2:$A$1800,$A78,الريسبي!$B$2:$B$1800,Z$1)</f>
        <v>0</v>
      </c>
      <c r="AA78" s="115" t="n">
        <f aca="false">SUMIFS(الريسبي!$C$2:$C$1800,الريسبي!$A$2:$A$1800,$A78,الريسبي!$B$2:$B$1800,AA$1)</f>
        <v>0</v>
      </c>
      <c r="AB78" s="115" t="n">
        <f aca="false">SUMIFS(الريسبي!$C$2:$C$1800,الريسبي!$A$2:$A$1800,$A78,الريسبي!$B$2:$B$1800,AB$1)</f>
        <v>0</v>
      </c>
      <c r="AC78" s="115" t="n">
        <f aca="false">SUMIFS(الريسبي!$C$2:$C$1800,الريسبي!$A$2:$A$1800,$A78,الريسبي!$B$2:$B$1800,AC$1)</f>
        <v>0</v>
      </c>
      <c r="AD78" s="115" t="n">
        <f aca="false">SUMIFS(الريسبي!$C$2:$C$1800,الريسبي!$A$2:$A$1800,$A78,الريسبي!$B$2:$B$1800,AD$1)</f>
        <v>0</v>
      </c>
      <c r="AE78" s="115" t="n">
        <f aca="false">SUMIFS(الريسبي!$C$2:$C$1800,الريسبي!$A$2:$A$1800,$A78,الريسبي!$B$2:$B$1800,AE$1)</f>
        <v>0</v>
      </c>
      <c r="AF78" s="115" t="n">
        <f aca="false">SUMIFS(الريسبي!$C$2:$C$1800,الريسبي!$A$2:$A$1800,$A78,الريسبي!$B$2:$B$1800,AF$1)</f>
        <v>0</v>
      </c>
      <c r="AG78" s="115" t="n">
        <f aca="false">SUMIFS(الريسبي!$C$2:$C$1800,الريسبي!$A$2:$A$1800,$A78,الريسبي!$B$2:$B$1800,AG$1)</f>
        <v>0</v>
      </c>
      <c r="AH78" s="115" t="n">
        <f aca="false">SUMIFS(الريسبي!$C$2:$C$1800,الريسبي!$A$2:$A$1800,$A78,الريسبي!$B$2:$B$1800,AH$1)</f>
        <v>0</v>
      </c>
      <c r="AI78" s="115" t="n">
        <f aca="false">SUMIFS(الريسبي!$C$2:$C$1800,الريسبي!$A$2:$A$1800,$A78,الريسبي!$B$2:$B$1800,AI$1)</f>
        <v>0</v>
      </c>
      <c r="AJ78" s="115" t="n">
        <f aca="false">SUMIFS(الريسبي!$C$2:$C$1800,الريسبي!$A$2:$A$1800,$A78,الريسبي!$B$2:$B$1800,AJ$1)</f>
        <v>2</v>
      </c>
      <c r="AK78" s="115" t="n">
        <f aca="false">SUMIFS(الريسبي!$C$2:$C$1800,الريسبي!$A$2:$A$1800,$A78,الريسبي!$B$2:$B$1800,AK$1)</f>
        <v>0</v>
      </c>
      <c r="AL78" s="115" t="n">
        <f aca="false">SUMIFS(الريسبي!$C$2:$C$1800,الريسبي!$A$2:$A$1800,$A78,الريسبي!$B$2:$B$1800,AL$1)</f>
        <v>0</v>
      </c>
      <c r="AM78" s="115"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15"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15" t="n">
        <f aca="false">SUMIFS(الريسبي!$C$2:$C$1800,الريسبي!$A$2:$A$1800,$A78,الريسبي!$B$2:$B$1800,AO$1)</f>
        <v>0</v>
      </c>
      <c r="AP78" s="115" t="n">
        <f aca="false">SUMIFS(الريسبي!$C$2:$C$1800,الريسبي!$A$2:$A$1800,$A78,الريسبي!$B$2:$B$1800,AP$1)</f>
        <v>0.03</v>
      </c>
      <c r="AQ78" s="115"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15" t="n">
        <f aca="false">SUMIFS(الريسبي!$C$2:$C$1800,الريسبي!$A$2:$A$1800,$A78,الريسبي!$B$2:$B$1800,AR$1)</f>
        <v>0</v>
      </c>
      <c r="AS78" s="115" t="n">
        <f aca="false">SUMIFS(الريسبي!$C$2:$C$1800,الريسبي!$A$2:$A$1800,$A78,الريسبي!$B$2:$B$1800,AS$1)</f>
        <v>0</v>
      </c>
      <c r="AT78" s="115" t="n">
        <f aca="false">SUMIFS(الريسبي!$C$2:$C$1800,الريسبي!$A$2:$A$1800,$A78,الريسبي!$B$2:$B$1800,AT$1)</f>
        <v>0</v>
      </c>
      <c r="AU78" s="115" t="n">
        <f aca="false">SUMIFS(الريسبي!$C$2:$C$1800,الريسبي!$A$2:$A$1800,$A78,الريسبي!$B$2:$B$1800,AU$1)</f>
        <v>0</v>
      </c>
      <c r="AV78" s="115" t="n">
        <f aca="false">SUMIFS(الريسبي!$C$2:$C$1800,الريسبي!$A$2:$A$1800,$A78,الريسبي!$B$2:$B$1800,AV$1)</f>
        <v>0</v>
      </c>
      <c r="AW78" s="115" t="n">
        <f aca="false">SUMIFS(الريسبي!$C$2:$C$1800,الريسبي!$A$2:$A$1800,$A78,الريسبي!$B$2:$B$1800,AW$1)</f>
        <v>0</v>
      </c>
      <c r="AX78" s="115" t="n">
        <f aca="false">SUMIFS(الريسبي!$C$2:$C$1800,الريسبي!$A$2:$A$1800,$A78,الريسبي!$B$2:$B$1800,AX$1)</f>
        <v>0.06</v>
      </c>
      <c r="AY78" s="115" t="n">
        <f aca="false">SUMIFS(الريسبي!$C$2:$C$1800,الريسبي!$A$2:$A$1800,$A78,الريسبي!$B$2:$B$1800,AY$1)</f>
        <v>0</v>
      </c>
      <c r="AZ78" s="115" t="n">
        <f aca="false">SUMIFS(الريسبي!$C$2:$C$1800,الريسبي!$A$2:$A$1800,$A78,الريسبي!$B$2:$B$1800,AZ$1)</f>
        <v>0</v>
      </c>
      <c r="BA78" s="115" t="n">
        <f aca="false">SUMIFS(الريسبي!$C$2:$C$1800,الريسبي!$A$2:$A$1800,$A78,الريسبي!$B$2:$B$1800,BA$1)</f>
        <v>0</v>
      </c>
      <c r="BB78" s="115" t="n">
        <f aca="false">SUMIFS(الريسبي!$C$2:$C$1800,الريسبي!$A$2:$A$1800,$A78,الريسبي!$B$2:$B$1800,BB$1)</f>
        <v>0</v>
      </c>
      <c r="BC78" s="115" t="n">
        <f aca="false">SUMIFS(الريسبي!$C$2:$C$1800,الريسبي!$A$2:$A$1800,$A78,الريسبي!$B$2:$B$1800,BC$1)</f>
        <v>0.045</v>
      </c>
      <c r="BD78" s="115" t="n">
        <f aca="false">SUMIFS(الريسبي!$C$2:$C$1800,الريسبي!$A$2:$A$1800,$A78,الريسبي!$B$2:$B$1800,BD$1)</f>
        <v>0.3</v>
      </c>
      <c r="BE78" s="115" t="n">
        <f aca="false">SUMIFS(الريسبي!$C$2:$C$1800,الريسبي!$A$2:$A$1800,$A78,الريسبي!$B$2:$B$1800,BE$1)</f>
        <v>0</v>
      </c>
      <c r="BF78" s="115" t="n">
        <f aca="false">SUMIFS(الريسبي!$C$2:$C$1800,الريسبي!$A$2:$A$1800,$A78,الريسبي!$B$2:$B$1800,BF$1)</f>
        <v>0</v>
      </c>
      <c r="BG78" s="115" t="n">
        <f aca="false">SUMIFS(الريسبي!$C$2:$C$1800,الريسبي!$A$2:$A$1800,$A78,الريسبي!$B$2:$B$1800,BG$1)</f>
        <v>1</v>
      </c>
      <c r="BH78" s="115" t="n">
        <f aca="false">SUMIFS(الريسبي!$C$2:$C$1800,الريسبي!$A$2:$A$1800,$A78,الريسبي!$B$2:$B$1800,BH$1)</f>
        <v>0</v>
      </c>
      <c r="BI78" s="115" t="n">
        <f aca="false">SUMIFS(الريسبي!$C$2:$C$1800,الريسبي!$A$2:$A$1800,$A78,الريسبي!$B$2:$B$1800,BI$1)</f>
        <v>0</v>
      </c>
      <c r="BJ78" s="115" t="n">
        <f aca="false">SUMIFS(الريسبي!$C$2:$C$1800,الريسبي!$A$2:$A$1800,$A78,الريسبي!$B$2:$B$1800,BJ$1)</f>
        <v>0</v>
      </c>
      <c r="BK78" s="115" t="n">
        <f aca="false">SUMIFS(الريسبي!$C$2:$C$1800,الريسبي!$A$2:$A$1800,$A78,الريسبي!$B$2:$B$1800,BK$1)</f>
        <v>0</v>
      </c>
      <c r="BL78" s="115" t="n">
        <f aca="false">SUMIFS(الريسبي!$C$2:$C$1800,الريسبي!$A$2:$A$1800,$A78,الريسبي!$B$2:$B$1800,BL$1)</f>
        <v>0</v>
      </c>
      <c r="BM78" s="115" t="n">
        <f aca="false">SUMIFS(الريسبي!$C$2:$C$1800,الريسبي!$A$2:$A$1800,$A78,الريسبي!$B$2:$B$1800,BM$1)</f>
        <v>0</v>
      </c>
      <c r="BN78" s="115" t="n">
        <f aca="false">SUMIFS(الريسبي!$C$2:$C$1800,الريسبي!$A$2:$A$1800,$A78,الريسبي!$B$2:$B$1800,BN$1)</f>
        <v>0.03</v>
      </c>
      <c r="BO78" s="115" t="n">
        <f aca="false">SUMIFS(الريسبي!$C$2:$C$1800,الريسبي!$A$2:$A$1800,$A78,الريسبي!$B$2:$B$1800,BO$1)</f>
        <v>0</v>
      </c>
      <c r="BP78" s="115" t="n">
        <f aca="false">SUMIFS(الريسبي!$C$2:$C$1800,الريسبي!$A$2:$A$1800,$A78,الريسبي!$B$2:$B$1800,BP$1)</f>
        <v>3</v>
      </c>
      <c r="BQ78" s="115"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15" t="n">
        <f aca="false">SUMIFS(الريسبي!$C$2:$C$1800,الريسبي!$A$2:$A$1800,$A78,الريسبي!$B$2:$B$1800,BR$1)</f>
        <v>1</v>
      </c>
      <c r="BS78" s="115" t="n">
        <f aca="false">SUMIFS(الريسبي!$C$2:$C$1800,الريسبي!$A$2:$A$1800,$A78,الريسبي!$B$2:$B$1800,BS$1)</f>
        <v>0</v>
      </c>
      <c r="BT78" s="115" t="n">
        <f aca="false">SUMIFS(الريسبي!$C$2:$C$1800,الريسبي!$A$2:$A$1800,$A78,الريسبي!$B$2:$B$1800,BT$1)</f>
        <v>0</v>
      </c>
      <c r="BU78" s="115"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15" t="n">
        <f aca="false">SUMIFS(الريسبي!$C$2:$C$1800,الريسبي!$A$2:$A$1800,$A78,الريسبي!$B$2:$B$1800,BV$1)</f>
        <v>0</v>
      </c>
      <c r="BW78" s="115" t="n">
        <f aca="false">SUMIFS(الريسبي!$C$2:$C$1800,الريسبي!$A$2:$A$1800,$A78,الريسبي!$B$2:$B$1800,BW$1)</f>
        <v>0</v>
      </c>
      <c r="BX78" s="115" t="n">
        <f aca="false">SUMIFS(الريسبي!$C$2:$C$1800,الريسبي!$A$2:$A$1800,$A78,الريسبي!$B$2:$B$1800,BX$1)</f>
        <v>0</v>
      </c>
      <c r="BY78" s="115" t="n">
        <f aca="false">SUMIFS(الريسبي!$C$2:$C$1800,الريسبي!$A$2:$A$1800,$A78,الريسبي!$B$2:$B$1800,BY$1)</f>
        <v>0</v>
      </c>
      <c r="BZ78" s="115" t="n">
        <f aca="false">SUMIFS(الريسبي!$C$2:$C$1800,الريسبي!$A$2:$A$1800,$A78,الريسبي!$B$2:$B$1800,BZ$1)</f>
        <v>1</v>
      </c>
      <c r="CA78" s="115" t="n">
        <f aca="false">SUMIFS(الريسبي!$C$2:$C$1800,الريسبي!$A$2:$A$1800,$A78,الريسبي!$B$2:$B$1800,CA$1)</f>
        <v>1</v>
      </c>
      <c r="CB78" s="115" t="n">
        <f aca="false">SUMIFS(الريسبي!$C$2:$C$1800,الريسبي!$A$2:$A$1800,$A78,الريسبي!$B$2:$B$1800,CB$1)</f>
        <v>0</v>
      </c>
      <c r="CC78" s="115" t="n">
        <f aca="false">SUMIFS(الريسبي!$C$2:$C$1800,الريسبي!$A$2:$A$1800,$A78,الريسبي!$B$2:$B$1800,CC$1)</f>
        <v>0</v>
      </c>
      <c r="CD78" s="115" t="n">
        <f aca="false">SUMIFS(الريسبي!$C$2:$C$1800,الريسبي!$A$2:$A$1800,$A78,الريسبي!$B$2:$B$1800,CD$1)</f>
        <v>0</v>
      </c>
      <c r="CE78" s="115" t="n">
        <f aca="false">SUMIFS(الريسبي!$C$2:$C$1800,الريسبي!$A$2:$A$1800,$A78,الريسبي!$B$2:$B$1800,CE$1)</f>
        <v>0</v>
      </c>
      <c r="CF78" s="115" t="n">
        <f aca="false">SUMIFS(الريسبي!$C$2:$C$1800,الريسبي!$A$2:$A$1800,$A78,الريسبي!$B$2:$B$1800,CF$1)</f>
        <v>0</v>
      </c>
      <c r="CG78" s="115" t="n">
        <f aca="false">SUMIFS(الريسبي!$C$2:$C$1800,الريسبي!$A$2:$A$1800,$A78,الريسبي!$B$2:$B$1800,CG$1)</f>
        <v>0</v>
      </c>
      <c r="CH78" s="115" t="n">
        <f aca="false">SUMIFS(الريسبي!$C$2:$C$1800,الريسبي!$A$2:$A$1800,$A78,الريسبي!$B$2:$B$1800,CH$1)</f>
        <v>0</v>
      </c>
    </row>
    <row r="79" customFormat="false" ht="15" hidden="false" customHeight="false" outlineLevel="0" collapsed="false">
      <c r="A79" s="114" t="str">
        <f aca="false">المنيو!B79</f>
        <v>بيتزا مشروم صيامي وسط</v>
      </c>
      <c r="B79" s="115" t="n">
        <f aca="false">SUMIFS(الريسبي!$C$2:$C$1800,الريسبي!$A$2:$A$1800,$A79,الريسبي!$B$2:$B$1800,B$1)</f>
        <v>0</v>
      </c>
      <c r="C79" s="115" t="n">
        <f aca="false">SUMIFS(الريسبي!$C$2:$C$1800,الريسبي!$A$2:$A$1800,$A79,الريسبي!$B$2:$B$1800,C$1)</f>
        <v>0</v>
      </c>
      <c r="D79" s="115" t="n">
        <f aca="false">SUMIFS(الريسبي!$C$2:$C$1800,الريسبي!$A$2:$A$1800,$A79,الريسبي!$B$2:$B$1800,D$1)</f>
        <v>1</v>
      </c>
      <c r="E79" s="115" t="n">
        <f aca="false">SUMIFS(الريسبي!$C$2:$C$1800,الريسبي!$A$2:$A$1800,$A79,الريسبي!$B$2:$B$1800,E$1)</f>
        <v>0</v>
      </c>
      <c r="F79" s="115" t="n">
        <f aca="false">SUMIFS(الريسبي!$C$2:$C$1800,الريسبي!$A$2:$A$1800,$A79,الريسبي!$B$2:$B$1800,F$1)</f>
        <v>0</v>
      </c>
      <c r="G79" s="115" t="n">
        <f aca="false">SUMIFS(الريسبي!$C$2:$C$1800,الريسبي!$A$2:$A$1800,$A79,الريسبي!$B$2:$B$1800,G$1)</f>
        <v>0</v>
      </c>
      <c r="H79" s="115" t="n">
        <f aca="false">SUMIFS(الريسبي!$C$2:$C$1800,الريسبي!$A$2:$A$1800,$A79,الريسبي!$B$2:$B$1800,H$1)</f>
        <v>0</v>
      </c>
      <c r="I79" s="115" t="n">
        <f aca="false">SUMIFS(الريسبي!$C$2:$C$1800,الريسبي!$A$2:$A$1800,$A79,الريسبي!$B$2:$B$1800,I$1)</f>
        <v>0</v>
      </c>
      <c r="J79" s="115" t="n">
        <f aca="false">SUMIFS(الريسبي!$C$2:$C$1800,الريسبي!$A$2:$A$1800,$A79,الريسبي!$B$2:$B$1800,J$1)</f>
        <v>0</v>
      </c>
      <c r="K79" s="115" t="n">
        <f aca="false">SUMIFS(الريسبي!$C$2:$C$1800,الريسبي!$A$2:$A$1800,$A79,الريسبي!$B$2:$B$1800,K$1)</f>
        <v>0</v>
      </c>
      <c r="L79" s="115" t="n">
        <f aca="false">SUMIFS(الريسبي!$C$2:$C$1800,الريسبي!$A$2:$A$1800,$A79,الريسبي!$B$2:$B$1800,L$1)</f>
        <v>0</v>
      </c>
      <c r="M79" s="115" t="n">
        <f aca="false">SUMIFS(الريسبي!$C$2:$C$1800,الريسبي!$A$2:$A$1800,$A79,الريسبي!$B$2:$B$1800,M$1)</f>
        <v>0</v>
      </c>
      <c r="N79" s="115" t="n">
        <f aca="false">SUMIFS(الريسبي!$C$2:$C$1800,الريسبي!$A$2:$A$1800,$A79,الريسبي!$B$2:$B$1800,N$1)</f>
        <v>0</v>
      </c>
      <c r="O79" s="115" t="n">
        <f aca="false">SUMIFS(الريسبي!$C$2:$C$1800,الريسبي!$A$2:$A$1800,$A79,الريسبي!$B$2:$B$1800,O$1)</f>
        <v>0</v>
      </c>
      <c r="P79" s="115" t="n">
        <f aca="false">SUMIFS(الريسبي!$C$2:$C$1800,الريسبي!$A$2:$A$1800,$A79,الريسبي!$B$2:$B$1800,P$1)</f>
        <v>0</v>
      </c>
      <c r="Q79" s="115" t="n">
        <f aca="false">SUMIFS(الريسبي!$C$2:$C$1800,الريسبي!$A$2:$A$1800,$A79,الريسبي!$B$2:$B$1800,Q$1)</f>
        <v>0</v>
      </c>
      <c r="R79" s="115" t="n">
        <f aca="false">SUMIFS(الريسبي!$C$2:$C$1800,الريسبي!$A$2:$A$1800,$A79,الريسبي!$B$2:$B$1800,R$1)</f>
        <v>0</v>
      </c>
      <c r="S79" s="115" t="n">
        <f aca="false">SUMIFS(الريسبي!$C$2:$C$1800,الريسبي!$A$2:$A$1800,$A79,الريسبي!$B$2:$B$1800,S$1)</f>
        <v>0</v>
      </c>
      <c r="T79" s="115" t="n">
        <f aca="false">SUMIFS(الريسبي!$C$2:$C$1800,الريسبي!$A$2:$A$1800,$A79,الريسبي!$B$2:$B$1800,T$1)</f>
        <v>0</v>
      </c>
      <c r="U79" s="115" t="n">
        <f aca="false">SUMIFS(الريسبي!$C$2:$C$1800,الريسبي!$A$2:$A$1800,$A79,الريسبي!$B$2:$B$1800,U$1)</f>
        <v>0</v>
      </c>
      <c r="V79" s="115" t="n">
        <f aca="false">SUMIFS(الريسبي!$C$2:$C$1800,الريسبي!$A$2:$A$1800,$A79,الريسبي!$B$2:$B$1800,V$1)</f>
        <v>0</v>
      </c>
      <c r="W79" s="115" t="n">
        <f aca="false">SUMIFS(الريسبي!$C$2:$C$1800,الريسبي!$A$2:$A$1800,$A79,الريسبي!$B$2:$B$1800,W$1)</f>
        <v>0</v>
      </c>
      <c r="X79" s="115" t="n">
        <f aca="false">SUMIFS(الريسبي!$C$2:$C$1800,الريسبي!$A$2:$A$1800,$A79,الريسبي!$B$2:$B$1800,X$1)</f>
        <v>1</v>
      </c>
      <c r="Y79" s="115" t="n">
        <f aca="false">SUMIFS(الريسبي!$C$2:$C$1800,الريسبي!$A$2:$A$1800,$A79,الريسبي!$B$2:$B$1800,Y$1)</f>
        <v>0</v>
      </c>
      <c r="Z79" s="115" t="n">
        <f aca="false">SUMIFS(الريسبي!$C$2:$C$1800,الريسبي!$A$2:$A$1800,$A79,الريسبي!$B$2:$B$1800,Z$1)</f>
        <v>0</v>
      </c>
      <c r="AA79" s="115" t="n">
        <f aca="false">SUMIFS(الريسبي!$C$2:$C$1800,الريسبي!$A$2:$A$1800,$A79,الريسبي!$B$2:$B$1800,AA$1)</f>
        <v>0</v>
      </c>
      <c r="AB79" s="115" t="n">
        <f aca="false">SUMIFS(الريسبي!$C$2:$C$1800,الريسبي!$A$2:$A$1800,$A79,الريسبي!$B$2:$B$1800,AB$1)</f>
        <v>0</v>
      </c>
      <c r="AC79" s="115" t="n">
        <f aca="false">SUMIFS(الريسبي!$C$2:$C$1800,الريسبي!$A$2:$A$1800,$A79,الريسبي!$B$2:$B$1800,AC$1)</f>
        <v>0</v>
      </c>
      <c r="AD79" s="115" t="n">
        <f aca="false">SUMIFS(الريسبي!$C$2:$C$1800,الريسبي!$A$2:$A$1800,$A79,الريسبي!$B$2:$B$1800,AD$1)</f>
        <v>0</v>
      </c>
      <c r="AE79" s="115" t="n">
        <f aca="false">SUMIFS(الريسبي!$C$2:$C$1800,الريسبي!$A$2:$A$1800,$A79,الريسبي!$B$2:$B$1800,AE$1)</f>
        <v>0</v>
      </c>
      <c r="AF79" s="115" t="n">
        <f aca="false">SUMIFS(الريسبي!$C$2:$C$1800,الريسبي!$A$2:$A$1800,$A79,الريسبي!$B$2:$B$1800,AF$1)</f>
        <v>0</v>
      </c>
      <c r="AG79" s="115" t="n">
        <f aca="false">SUMIFS(الريسبي!$C$2:$C$1800,الريسبي!$A$2:$A$1800,$A79,الريسبي!$B$2:$B$1800,AG$1)</f>
        <v>0</v>
      </c>
      <c r="AH79" s="115" t="n">
        <f aca="false">SUMIFS(الريسبي!$C$2:$C$1800,الريسبي!$A$2:$A$1800,$A79,الريسبي!$B$2:$B$1800,AH$1)</f>
        <v>0</v>
      </c>
      <c r="AI79" s="115" t="n">
        <f aca="false">SUMIFS(الريسبي!$C$2:$C$1800,الريسبي!$A$2:$A$1800,$A79,الريسبي!$B$2:$B$1800,AI$1)</f>
        <v>0</v>
      </c>
      <c r="AJ79" s="115" t="n">
        <f aca="false">SUMIFS(الريسبي!$C$2:$C$1800,الريسبي!$A$2:$A$1800,$A79,الريسبي!$B$2:$B$1800,AJ$1)</f>
        <v>2</v>
      </c>
      <c r="AK79" s="115" t="n">
        <f aca="false">SUMIFS(الريسبي!$C$2:$C$1800,الريسبي!$A$2:$A$1800,$A79,الريسبي!$B$2:$B$1800,AK$1)</f>
        <v>0</v>
      </c>
      <c r="AL79" s="115" t="n">
        <f aca="false">SUMIFS(الريسبي!$C$2:$C$1800,الريسبي!$A$2:$A$1800,$A79,الريسبي!$B$2:$B$1800,AL$1)</f>
        <v>0</v>
      </c>
      <c r="AM79" s="115"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15"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15" t="n">
        <f aca="false">SUMIFS(الريسبي!$C$2:$C$1800,الريسبي!$A$2:$A$1800,$A79,الريسبي!$B$2:$B$1800,AO$1)</f>
        <v>0</v>
      </c>
      <c r="AP79" s="115" t="n">
        <f aca="false">SUMIFS(الريسبي!$C$2:$C$1800,الريسبي!$A$2:$A$1800,$A79,الريسبي!$B$2:$B$1800,AP$1)</f>
        <v>0.02</v>
      </c>
      <c r="AQ79" s="115"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15" t="n">
        <f aca="false">SUMIFS(الريسبي!$C$2:$C$1800,الريسبي!$A$2:$A$1800,$A79,الريسبي!$B$2:$B$1800,AR$1)</f>
        <v>0</v>
      </c>
      <c r="AS79" s="115" t="n">
        <f aca="false">SUMIFS(الريسبي!$C$2:$C$1800,الريسبي!$A$2:$A$1800,$A79,الريسبي!$B$2:$B$1800,AS$1)</f>
        <v>0</v>
      </c>
      <c r="AT79" s="115" t="n">
        <f aca="false">SUMIFS(الريسبي!$C$2:$C$1800,الريسبي!$A$2:$A$1800,$A79,الريسبي!$B$2:$B$1800,AT$1)</f>
        <v>0</v>
      </c>
      <c r="AU79" s="115" t="n">
        <f aca="false">SUMIFS(الريسبي!$C$2:$C$1800,الريسبي!$A$2:$A$1800,$A79,الريسبي!$B$2:$B$1800,AU$1)</f>
        <v>0</v>
      </c>
      <c r="AV79" s="115" t="n">
        <f aca="false">SUMIFS(الريسبي!$C$2:$C$1800,الريسبي!$A$2:$A$1800,$A79,الريسبي!$B$2:$B$1800,AV$1)</f>
        <v>0</v>
      </c>
      <c r="AW79" s="115" t="n">
        <f aca="false">SUMIFS(الريسبي!$C$2:$C$1800,الريسبي!$A$2:$A$1800,$A79,الريسبي!$B$2:$B$1800,AW$1)</f>
        <v>0</v>
      </c>
      <c r="AX79" s="115" t="n">
        <f aca="false">SUMIFS(الريسبي!$C$2:$C$1800,الريسبي!$A$2:$A$1800,$A79,الريسبي!$B$2:$B$1800,AX$1)</f>
        <v>0.04</v>
      </c>
      <c r="AY79" s="115" t="n">
        <f aca="false">SUMIFS(الريسبي!$C$2:$C$1800,الريسبي!$A$2:$A$1800,$A79,الريسبي!$B$2:$B$1800,AY$1)</f>
        <v>0</v>
      </c>
      <c r="AZ79" s="115" t="n">
        <f aca="false">SUMIFS(الريسبي!$C$2:$C$1800,الريسبي!$A$2:$A$1800,$A79,الريسبي!$B$2:$B$1800,AZ$1)</f>
        <v>0</v>
      </c>
      <c r="BA79" s="115" t="n">
        <f aca="false">SUMIFS(الريسبي!$C$2:$C$1800,الريسبي!$A$2:$A$1800,$A79,الريسبي!$B$2:$B$1800,BA$1)</f>
        <v>0</v>
      </c>
      <c r="BB79" s="115" t="n">
        <f aca="false">SUMIFS(الريسبي!$C$2:$C$1800,الريسبي!$A$2:$A$1800,$A79,الريسبي!$B$2:$B$1800,BB$1)</f>
        <v>0</v>
      </c>
      <c r="BC79" s="115" t="n">
        <f aca="false">SUMIFS(الريسبي!$C$2:$C$1800,الريسبي!$A$2:$A$1800,$A79,الريسبي!$B$2:$B$1800,BC$1)</f>
        <v>0.03</v>
      </c>
      <c r="BD79" s="115" t="n">
        <f aca="false">SUMIFS(الريسبي!$C$2:$C$1800,الريسبي!$A$2:$A$1800,$A79,الريسبي!$B$2:$B$1800,BD$1)</f>
        <v>0.22</v>
      </c>
      <c r="BE79" s="115" t="n">
        <f aca="false">SUMIFS(الريسبي!$C$2:$C$1800,الريسبي!$A$2:$A$1800,$A79,الريسبي!$B$2:$B$1800,BE$1)</f>
        <v>0</v>
      </c>
      <c r="BF79" s="115" t="n">
        <f aca="false">SUMIFS(الريسبي!$C$2:$C$1800,الريسبي!$A$2:$A$1800,$A79,الريسبي!$B$2:$B$1800,BF$1)</f>
        <v>0</v>
      </c>
      <c r="BG79" s="115" t="n">
        <f aca="false">SUMIFS(الريسبي!$C$2:$C$1800,الريسبي!$A$2:$A$1800,$A79,الريسبي!$B$2:$B$1800,BG$1)</f>
        <v>0</v>
      </c>
      <c r="BH79" s="115" t="n">
        <f aca="false">SUMIFS(الريسبي!$C$2:$C$1800,الريسبي!$A$2:$A$1800,$A79,الريسبي!$B$2:$B$1800,BH$1)</f>
        <v>1</v>
      </c>
      <c r="BI79" s="115" t="n">
        <f aca="false">SUMIFS(الريسبي!$C$2:$C$1800,الريسبي!$A$2:$A$1800,$A79,الريسبي!$B$2:$B$1800,BI$1)</f>
        <v>0</v>
      </c>
      <c r="BJ79" s="115" t="n">
        <f aca="false">SUMIFS(الريسبي!$C$2:$C$1800,الريسبي!$A$2:$A$1800,$A79,الريسبي!$B$2:$B$1800,BJ$1)</f>
        <v>0</v>
      </c>
      <c r="BK79" s="115" t="n">
        <f aca="false">SUMIFS(الريسبي!$C$2:$C$1800,الريسبي!$A$2:$A$1800,$A79,الريسبي!$B$2:$B$1800,BK$1)</f>
        <v>0</v>
      </c>
      <c r="BL79" s="115" t="n">
        <f aca="false">SUMIFS(الريسبي!$C$2:$C$1800,الريسبي!$A$2:$A$1800,$A79,الريسبي!$B$2:$B$1800,BL$1)</f>
        <v>0</v>
      </c>
      <c r="BM79" s="115" t="n">
        <f aca="false">SUMIFS(الريسبي!$C$2:$C$1800,الريسبي!$A$2:$A$1800,$A79,الريسبي!$B$2:$B$1800,BM$1)</f>
        <v>0</v>
      </c>
      <c r="BN79" s="115" t="n">
        <f aca="false">SUMIFS(الريسبي!$C$2:$C$1800,الريسبي!$A$2:$A$1800,$A79,الريسبي!$B$2:$B$1800,BN$1)</f>
        <v>0.02</v>
      </c>
      <c r="BO79" s="115" t="n">
        <f aca="false">SUMIFS(الريسبي!$C$2:$C$1800,الريسبي!$A$2:$A$1800,$A79,الريسبي!$B$2:$B$1800,BO$1)</f>
        <v>0</v>
      </c>
      <c r="BP79" s="115" t="n">
        <f aca="false">SUMIFS(الريسبي!$C$2:$C$1800,الريسبي!$A$2:$A$1800,$A79,الريسبي!$B$2:$B$1800,BP$1)</f>
        <v>2</v>
      </c>
      <c r="BQ79" s="115"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15" t="n">
        <f aca="false">SUMIFS(الريسبي!$C$2:$C$1800,الريسبي!$A$2:$A$1800,$A79,الريسبي!$B$2:$B$1800,BR$1)</f>
        <v>1</v>
      </c>
      <c r="BS79" s="115" t="n">
        <f aca="false">SUMIFS(الريسبي!$C$2:$C$1800,الريسبي!$A$2:$A$1800,$A79,الريسبي!$B$2:$B$1800,BS$1)</f>
        <v>0</v>
      </c>
      <c r="BT79" s="115" t="n">
        <f aca="false">SUMIFS(الريسبي!$C$2:$C$1800,الريسبي!$A$2:$A$1800,$A79,الريسبي!$B$2:$B$1800,BT$1)</f>
        <v>0</v>
      </c>
      <c r="BU79" s="115"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15" t="n">
        <f aca="false">SUMIFS(الريسبي!$C$2:$C$1800,الريسبي!$A$2:$A$1800,$A79,الريسبي!$B$2:$B$1800,BV$1)</f>
        <v>0</v>
      </c>
      <c r="BW79" s="115" t="n">
        <f aca="false">SUMIFS(الريسبي!$C$2:$C$1800,الريسبي!$A$2:$A$1800,$A79,الريسبي!$B$2:$B$1800,BW$1)</f>
        <v>0.1</v>
      </c>
      <c r="BX79" s="115" t="n">
        <f aca="false">SUMIFS(الريسبي!$C$2:$C$1800,الريسبي!$A$2:$A$1800,$A79,الريسبي!$B$2:$B$1800,BX$1)</f>
        <v>0</v>
      </c>
      <c r="BY79" s="115" t="n">
        <f aca="false">SUMIFS(الريسبي!$C$2:$C$1800,الريسبي!$A$2:$A$1800,$A79,الريسبي!$B$2:$B$1800,BY$1)</f>
        <v>0</v>
      </c>
      <c r="BZ79" s="115" t="n">
        <f aca="false">SUMIFS(الريسبي!$C$2:$C$1800,الريسبي!$A$2:$A$1800,$A79,الريسبي!$B$2:$B$1800,BZ$1)</f>
        <v>1</v>
      </c>
      <c r="CA79" s="115" t="n">
        <f aca="false">SUMIFS(الريسبي!$C$2:$C$1800,الريسبي!$A$2:$A$1800,$A79,الريسبي!$B$2:$B$1800,CA$1)</f>
        <v>1</v>
      </c>
      <c r="CB79" s="115" t="n">
        <f aca="false">SUMIFS(الريسبي!$C$2:$C$1800,الريسبي!$A$2:$A$1800,$A79,الريسبي!$B$2:$B$1800,CB$1)</f>
        <v>0</v>
      </c>
      <c r="CC79" s="115" t="n">
        <f aca="false">SUMIFS(الريسبي!$C$2:$C$1800,الريسبي!$A$2:$A$1800,$A79,الريسبي!$B$2:$B$1800,CC$1)</f>
        <v>0</v>
      </c>
      <c r="CD79" s="115" t="n">
        <f aca="false">SUMIFS(الريسبي!$C$2:$C$1800,الريسبي!$A$2:$A$1800,$A79,الريسبي!$B$2:$B$1800,CD$1)</f>
        <v>0</v>
      </c>
      <c r="CE79" s="115" t="n">
        <f aca="false">SUMIFS(الريسبي!$C$2:$C$1800,الريسبي!$A$2:$A$1800,$A79,الريسبي!$B$2:$B$1800,CE$1)</f>
        <v>0</v>
      </c>
      <c r="CF79" s="115" t="n">
        <f aca="false">SUMIFS(الريسبي!$C$2:$C$1800,الريسبي!$A$2:$A$1800,$A79,الريسبي!$B$2:$B$1800,CF$1)</f>
        <v>0</v>
      </c>
      <c r="CG79" s="115" t="n">
        <f aca="false">SUMIFS(الريسبي!$C$2:$C$1800,الريسبي!$A$2:$A$1800,$A79,الريسبي!$B$2:$B$1800,CG$1)</f>
        <v>0</v>
      </c>
      <c r="CH79" s="115" t="n">
        <f aca="false">SUMIFS(الريسبي!$C$2:$C$1800,الريسبي!$A$2:$A$1800,$A79,الريسبي!$B$2:$B$1800,CH$1)</f>
        <v>0</v>
      </c>
    </row>
    <row r="80" customFormat="false" ht="15" hidden="false" customHeight="false" outlineLevel="0" collapsed="false">
      <c r="A80" s="114" t="str">
        <f aca="false">المنيو!B80</f>
        <v>بيتزا مشروم صيامي مخصوص</v>
      </c>
      <c r="B80" s="115" t="n">
        <f aca="false">SUMIFS(الريسبي!$C$2:$C$1800,الريسبي!$A$2:$A$1800,$A80,الريسبي!$B$2:$B$1800,B$1)</f>
        <v>0</v>
      </c>
      <c r="C80" s="115" t="n">
        <f aca="false">SUMIFS(الريسبي!$C$2:$C$1800,الريسبي!$A$2:$A$1800,$A80,الريسبي!$B$2:$B$1800,C$1)</f>
        <v>0</v>
      </c>
      <c r="D80" s="115" t="n">
        <f aca="false">SUMIFS(الريسبي!$C$2:$C$1800,الريسبي!$A$2:$A$1800,$A80,الريسبي!$B$2:$B$1800,D$1)</f>
        <v>1</v>
      </c>
      <c r="E80" s="115" t="n">
        <f aca="false">SUMIFS(الريسبي!$C$2:$C$1800,الريسبي!$A$2:$A$1800,$A80,الريسبي!$B$2:$B$1800,E$1)</f>
        <v>0</v>
      </c>
      <c r="F80" s="115" t="n">
        <f aca="false">SUMIFS(الريسبي!$C$2:$C$1800,الريسبي!$A$2:$A$1800,$A80,الريسبي!$B$2:$B$1800,F$1)</f>
        <v>0</v>
      </c>
      <c r="G80" s="115" t="n">
        <f aca="false">SUMIFS(الريسبي!$C$2:$C$1800,الريسبي!$A$2:$A$1800,$A80,الريسبي!$B$2:$B$1800,G$1)</f>
        <v>0</v>
      </c>
      <c r="H80" s="115" t="n">
        <f aca="false">SUMIFS(الريسبي!$C$2:$C$1800,الريسبي!$A$2:$A$1800,$A80,الريسبي!$B$2:$B$1800,H$1)</f>
        <v>0</v>
      </c>
      <c r="I80" s="115" t="n">
        <f aca="false">SUMIFS(الريسبي!$C$2:$C$1800,الريسبي!$A$2:$A$1800,$A80,الريسبي!$B$2:$B$1800,I$1)</f>
        <v>0</v>
      </c>
      <c r="J80" s="115" t="n">
        <f aca="false">SUMIFS(الريسبي!$C$2:$C$1800,الريسبي!$A$2:$A$1800,$A80,الريسبي!$B$2:$B$1800,J$1)</f>
        <v>0</v>
      </c>
      <c r="K80" s="115" t="n">
        <f aca="false">SUMIFS(الريسبي!$C$2:$C$1800,الريسبي!$A$2:$A$1800,$A80,الريسبي!$B$2:$B$1800,K$1)</f>
        <v>0</v>
      </c>
      <c r="L80" s="115" t="n">
        <f aca="false">SUMIFS(الريسبي!$C$2:$C$1800,الريسبي!$A$2:$A$1800,$A80,الريسبي!$B$2:$B$1800,L$1)</f>
        <v>0</v>
      </c>
      <c r="M80" s="115" t="n">
        <f aca="false">SUMIFS(الريسبي!$C$2:$C$1800,الريسبي!$A$2:$A$1800,$A80,الريسبي!$B$2:$B$1800,M$1)</f>
        <v>0</v>
      </c>
      <c r="N80" s="115" t="n">
        <f aca="false">SUMIFS(الريسبي!$C$2:$C$1800,الريسبي!$A$2:$A$1800,$A80,الريسبي!$B$2:$B$1800,N$1)</f>
        <v>0</v>
      </c>
      <c r="O80" s="115" t="n">
        <f aca="false">SUMIFS(الريسبي!$C$2:$C$1800,الريسبي!$A$2:$A$1800,$A80,الريسبي!$B$2:$B$1800,O$1)</f>
        <v>0</v>
      </c>
      <c r="P80" s="115" t="n">
        <f aca="false">SUMIFS(الريسبي!$C$2:$C$1800,الريسبي!$A$2:$A$1800,$A80,الريسبي!$B$2:$B$1800,P$1)</f>
        <v>0</v>
      </c>
      <c r="Q80" s="115" t="n">
        <f aca="false">SUMIFS(الريسبي!$C$2:$C$1800,الريسبي!$A$2:$A$1800,$A80,الريسبي!$B$2:$B$1800,Q$1)</f>
        <v>0</v>
      </c>
      <c r="R80" s="115" t="n">
        <f aca="false">SUMIFS(الريسبي!$C$2:$C$1800,الريسبي!$A$2:$A$1800,$A80,الريسبي!$B$2:$B$1800,R$1)</f>
        <v>0</v>
      </c>
      <c r="S80" s="115" t="n">
        <f aca="false">SUMIFS(الريسبي!$C$2:$C$1800,الريسبي!$A$2:$A$1800,$A80,الريسبي!$B$2:$B$1800,S$1)</f>
        <v>0</v>
      </c>
      <c r="T80" s="115" t="n">
        <f aca="false">SUMIFS(الريسبي!$C$2:$C$1800,الريسبي!$A$2:$A$1800,$A80,الريسبي!$B$2:$B$1800,T$1)</f>
        <v>0</v>
      </c>
      <c r="U80" s="115" t="n">
        <f aca="false">SUMIFS(الريسبي!$C$2:$C$1800,الريسبي!$A$2:$A$1800,$A80,الريسبي!$B$2:$B$1800,U$1)</f>
        <v>0</v>
      </c>
      <c r="V80" s="115" t="n">
        <f aca="false">SUMIFS(الريسبي!$C$2:$C$1800,الريسبي!$A$2:$A$1800,$A80,الريسبي!$B$2:$B$1800,V$1)</f>
        <v>0</v>
      </c>
      <c r="W80" s="115" t="n">
        <f aca="false">SUMIFS(الريسبي!$C$2:$C$1800,الريسبي!$A$2:$A$1800,$A80,الريسبي!$B$2:$B$1800,W$1)</f>
        <v>0</v>
      </c>
      <c r="X80" s="115" t="n">
        <f aca="false">SUMIFS(الريسبي!$C$2:$C$1800,الريسبي!$A$2:$A$1800,$A80,الريسبي!$B$2:$B$1800,X$1)</f>
        <v>0</v>
      </c>
      <c r="Y80" s="115" t="n">
        <f aca="false">SUMIFS(الريسبي!$C$2:$C$1800,الريسبي!$A$2:$A$1800,$A80,الريسبي!$B$2:$B$1800,Y$1)</f>
        <v>1</v>
      </c>
      <c r="Z80" s="115" t="n">
        <f aca="false">SUMIFS(الريسبي!$C$2:$C$1800,الريسبي!$A$2:$A$1800,$A80,الريسبي!$B$2:$B$1800,Z$1)</f>
        <v>0</v>
      </c>
      <c r="AA80" s="115" t="n">
        <f aca="false">SUMIFS(الريسبي!$C$2:$C$1800,الريسبي!$A$2:$A$1800,$A80,الريسبي!$B$2:$B$1800,AA$1)</f>
        <v>0</v>
      </c>
      <c r="AB80" s="115" t="n">
        <f aca="false">SUMIFS(الريسبي!$C$2:$C$1800,الريسبي!$A$2:$A$1800,$A80,الريسبي!$B$2:$B$1800,AB$1)</f>
        <v>0</v>
      </c>
      <c r="AC80" s="115" t="n">
        <f aca="false">SUMIFS(الريسبي!$C$2:$C$1800,الريسبي!$A$2:$A$1800,$A80,الريسبي!$B$2:$B$1800,AC$1)</f>
        <v>0</v>
      </c>
      <c r="AD80" s="115" t="n">
        <f aca="false">SUMIFS(الريسبي!$C$2:$C$1800,الريسبي!$A$2:$A$1800,$A80,الريسبي!$B$2:$B$1800,AD$1)</f>
        <v>0</v>
      </c>
      <c r="AE80" s="115" t="n">
        <f aca="false">SUMIFS(الريسبي!$C$2:$C$1800,الريسبي!$A$2:$A$1800,$A80,الريسبي!$B$2:$B$1800,AE$1)</f>
        <v>0</v>
      </c>
      <c r="AF80" s="115" t="n">
        <f aca="false">SUMIFS(الريسبي!$C$2:$C$1800,الريسبي!$A$2:$A$1800,$A80,الريسبي!$B$2:$B$1800,AF$1)</f>
        <v>0</v>
      </c>
      <c r="AG80" s="115" t="n">
        <f aca="false">SUMIFS(الريسبي!$C$2:$C$1800,الريسبي!$A$2:$A$1800,$A80,الريسبي!$B$2:$B$1800,AG$1)</f>
        <v>0</v>
      </c>
      <c r="AH80" s="115" t="n">
        <f aca="false">SUMIFS(الريسبي!$C$2:$C$1800,الريسبي!$A$2:$A$1800,$A80,الريسبي!$B$2:$B$1800,AH$1)</f>
        <v>0</v>
      </c>
      <c r="AI80" s="115" t="n">
        <f aca="false">SUMIFS(الريسبي!$C$2:$C$1800,الريسبي!$A$2:$A$1800,$A80,الريسبي!$B$2:$B$1800,AI$1)</f>
        <v>0</v>
      </c>
      <c r="AJ80" s="115" t="n">
        <f aca="false">SUMIFS(الريسبي!$C$2:$C$1800,الريسبي!$A$2:$A$1800,$A80,الريسبي!$B$2:$B$1800,AJ$1)</f>
        <v>2</v>
      </c>
      <c r="AK80" s="115" t="n">
        <f aca="false">SUMIFS(الريسبي!$C$2:$C$1800,الريسبي!$A$2:$A$1800,$A80,الريسبي!$B$2:$B$1800,AK$1)</f>
        <v>0</v>
      </c>
      <c r="AL80" s="115" t="n">
        <f aca="false">SUMIFS(الريسبي!$C$2:$C$1800,الريسبي!$A$2:$A$1800,$A80,الريسبي!$B$2:$B$1800,AL$1)</f>
        <v>0</v>
      </c>
      <c r="AM80" s="115"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15"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15" t="n">
        <f aca="false">SUMIFS(الريسبي!$C$2:$C$1800,الريسبي!$A$2:$A$1800,$A80,الريسبي!$B$2:$B$1800,AO$1)</f>
        <v>0</v>
      </c>
      <c r="AP80" s="115" t="n">
        <f aca="false">SUMIFS(الريسبي!$C$2:$C$1800,الريسبي!$A$2:$A$1800,$A80,الريسبي!$B$2:$B$1800,AP$1)</f>
        <v>0.03</v>
      </c>
      <c r="AQ80" s="115"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15" t="n">
        <f aca="false">SUMIFS(الريسبي!$C$2:$C$1800,الريسبي!$A$2:$A$1800,$A80,الريسبي!$B$2:$B$1800,AR$1)</f>
        <v>0</v>
      </c>
      <c r="AS80" s="115" t="n">
        <f aca="false">SUMIFS(الريسبي!$C$2:$C$1800,الريسبي!$A$2:$A$1800,$A80,الريسبي!$B$2:$B$1800,AS$1)</f>
        <v>0</v>
      </c>
      <c r="AT80" s="115" t="n">
        <f aca="false">SUMIFS(الريسبي!$C$2:$C$1800,الريسبي!$A$2:$A$1800,$A80,الريسبي!$B$2:$B$1800,AT$1)</f>
        <v>0</v>
      </c>
      <c r="AU80" s="115" t="n">
        <f aca="false">SUMIFS(الريسبي!$C$2:$C$1800,الريسبي!$A$2:$A$1800,$A80,الريسبي!$B$2:$B$1800,AU$1)</f>
        <v>0</v>
      </c>
      <c r="AV80" s="115" t="n">
        <f aca="false">SUMIFS(الريسبي!$C$2:$C$1800,الريسبي!$A$2:$A$1800,$A80,الريسبي!$B$2:$B$1800,AV$1)</f>
        <v>0</v>
      </c>
      <c r="AW80" s="115" t="n">
        <f aca="false">SUMIFS(الريسبي!$C$2:$C$1800,الريسبي!$A$2:$A$1800,$A80,الريسبي!$B$2:$B$1800,AW$1)</f>
        <v>0</v>
      </c>
      <c r="AX80" s="115" t="n">
        <f aca="false">SUMIFS(الريسبي!$C$2:$C$1800,الريسبي!$A$2:$A$1800,$A80,الريسبي!$B$2:$B$1800,AX$1)</f>
        <v>0.06</v>
      </c>
      <c r="AY80" s="115" t="n">
        <f aca="false">SUMIFS(الريسبي!$C$2:$C$1800,الريسبي!$A$2:$A$1800,$A80,الريسبي!$B$2:$B$1800,AY$1)</f>
        <v>0</v>
      </c>
      <c r="AZ80" s="115" t="n">
        <f aca="false">SUMIFS(الريسبي!$C$2:$C$1800,الريسبي!$A$2:$A$1800,$A80,الريسبي!$B$2:$B$1800,AZ$1)</f>
        <v>0</v>
      </c>
      <c r="BA80" s="115" t="n">
        <f aca="false">SUMIFS(الريسبي!$C$2:$C$1800,الريسبي!$A$2:$A$1800,$A80,الريسبي!$B$2:$B$1800,BA$1)</f>
        <v>0</v>
      </c>
      <c r="BB80" s="115" t="n">
        <f aca="false">SUMIFS(الريسبي!$C$2:$C$1800,الريسبي!$A$2:$A$1800,$A80,الريسبي!$B$2:$B$1800,BB$1)</f>
        <v>0</v>
      </c>
      <c r="BC80" s="115" t="n">
        <f aca="false">SUMIFS(الريسبي!$C$2:$C$1800,الريسبي!$A$2:$A$1800,$A80,الريسبي!$B$2:$B$1800,BC$1)</f>
        <v>0.045</v>
      </c>
      <c r="BD80" s="115" t="n">
        <f aca="false">SUMIFS(الريسبي!$C$2:$C$1800,الريسبي!$A$2:$A$1800,$A80,الريسبي!$B$2:$B$1800,BD$1)</f>
        <v>0.3</v>
      </c>
      <c r="BE80" s="115" t="n">
        <f aca="false">SUMIFS(الريسبي!$C$2:$C$1800,الريسبي!$A$2:$A$1800,$A80,الريسبي!$B$2:$B$1800,BE$1)</f>
        <v>0</v>
      </c>
      <c r="BF80" s="115" t="n">
        <f aca="false">SUMIFS(الريسبي!$C$2:$C$1800,الريسبي!$A$2:$A$1800,$A80,الريسبي!$B$2:$B$1800,BF$1)</f>
        <v>0</v>
      </c>
      <c r="BG80" s="115" t="n">
        <f aca="false">SUMIFS(الريسبي!$C$2:$C$1800,الريسبي!$A$2:$A$1800,$A80,الريسبي!$B$2:$B$1800,BG$1)</f>
        <v>1</v>
      </c>
      <c r="BH80" s="115" t="n">
        <f aca="false">SUMIFS(الريسبي!$C$2:$C$1800,الريسبي!$A$2:$A$1800,$A80,الريسبي!$B$2:$B$1800,BH$1)</f>
        <v>0</v>
      </c>
      <c r="BI80" s="115" t="n">
        <f aca="false">SUMIFS(الريسبي!$C$2:$C$1800,الريسبي!$A$2:$A$1800,$A80,الريسبي!$B$2:$B$1800,BI$1)</f>
        <v>0</v>
      </c>
      <c r="BJ80" s="115" t="n">
        <f aca="false">SUMIFS(الريسبي!$C$2:$C$1800,الريسبي!$A$2:$A$1800,$A80,الريسبي!$B$2:$B$1800,BJ$1)</f>
        <v>0</v>
      </c>
      <c r="BK80" s="115" t="n">
        <f aca="false">SUMIFS(الريسبي!$C$2:$C$1800,الريسبي!$A$2:$A$1800,$A80,الريسبي!$B$2:$B$1800,BK$1)</f>
        <v>0</v>
      </c>
      <c r="BL80" s="115" t="n">
        <f aca="false">SUMIFS(الريسبي!$C$2:$C$1800,الريسبي!$A$2:$A$1800,$A80,الريسبي!$B$2:$B$1800,BL$1)</f>
        <v>0</v>
      </c>
      <c r="BM80" s="115" t="n">
        <f aca="false">SUMIFS(الريسبي!$C$2:$C$1800,الريسبي!$A$2:$A$1800,$A80,الريسبي!$B$2:$B$1800,BM$1)</f>
        <v>0</v>
      </c>
      <c r="BN80" s="115" t="n">
        <f aca="false">SUMIFS(الريسبي!$C$2:$C$1800,الريسبي!$A$2:$A$1800,$A80,الريسبي!$B$2:$B$1800,BN$1)</f>
        <v>0.03</v>
      </c>
      <c r="BO80" s="115" t="n">
        <f aca="false">SUMIFS(الريسبي!$C$2:$C$1800,الريسبي!$A$2:$A$1800,$A80,الريسبي!$B$2:$B$1800,BO$1)</f>
        <v>0</v>
      </c>
      <c r="BP80" s="115" t="n">
        <f aca="false">SUMIFS(الريسبي!$C$2:$C$1800,الريسبي!$A$2:$A$1800,$A80,الريسبي!$B$2:$B$1800,BP$1)</f>
        <v>3</v>
      </c>
      <c r="BQ80" s="115"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15" t="n">
        <f aca="false">SUMIFS(الريسبي!$C$2:$C$1800,الريسبي!$A$2:$A$1800,$A80,الريسبي!$B$2:$B$1800,BR$1)</f>
        <v>1</v>
      </c>
      <c r="BS80" s="115" t="n">
        <f aca="false">SUMIFS(الريسبي!$C$2:$C$1800,الريسبي!$A$2:$A$1800,$A80,الريسبي!$B$2:$B$1800,BS$1)</f>
        <v>0</v>
      </c>
      <c r="BT80" s="115" t="n">
        <f aca="false">SUMIFS(الريسبي!$C$2:$C$1800,الريسبي!$A$2:$A$1800,$A80,الريسبي!$B$2:$B$1800,BT$1)</f>
        <v>0</v>
      </c>
      <c r="BU80" s="115"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15" t="n">
        <f aca="false">SUMIFS(الريسبي!$C$2:$C$1800,الريسبي!$A$2:$A$1800,$A80,الريسبي!$B$2:$B$1800,BV$1)</f>
        <v>0</v>
      </c>
      <c r="BW80" s="115" t="n">
        <f aca="false">SUMIFS(الريسبي!$C$2:$C$1800,الريسبي!$A$2:$A$1800,$A80,الريسبي!$B$2:$B$1800,BW$1)</f>
        <v>0.15</v>
      </c>
      <c r="BX80" s="115" t="n">
        <f aca="false">SUMIFS(الريسبي!$C$2:$C$1800,الريسبي!$A$2:$A$1800,$A80,الريسبي!$B$2:$B$1800,BX$1)</f>
        <v>0</v>
      </c>
      <c r="BY80" s="115" t="n">
        <f aca="false">SUMIFS(الريسبي!$C$2:$C$1800,الريسبي!$A$2:$A$1800,$A80,الريسبي!$B$2:$B$1800,BY$1)</f>
        <v>0</v>
      </c>
      <c r="BZ80" s="115" t="n">
        <f aca="false">SUMIFS(الريسبي!$C$2:$C$1800,الريسبي!$A$2:$A$1800,$A80,الريسبي!$B$2:$B$1800,BZ$1)</f>
        <v>1</v>
      </c>
      <c r="CA80" s="115" t="n">
        <f aca="false">SUMIFS(الريسبي!$C$2:$C$1800,الريسبي!$A$2:$A$1800,$A80,الريسبي!$B$2:$B$1800,CA$1)</f>
        <v>1</v>
      </c>
      <c r="CB80" s="115" t="n">
        <f aca="false">SUMIFS(الريسبي!$C$2:$C$1800,الريسبي!$A$2:$A$1800,$A80,الريسبي!$B$2:$B$1800,CB$1)</f>
        <v>0</v>
      </c>
      <c r="CC80" s="115" t="n">
        <f aca="false">SUMIFS(الريسبي!$C$2:$C$1800,الريسبي!$A$2:$A$1800,$A80,الريسبي!$B$2:$B$1800,CC$1)</f>
        <v>0</v>
      </c>
      <c r="CD80" s="115" t="n">
        <f aca="false">SUMIFS(الريسبي!$C$2:$C$1800,الريسبي!$A$2:$A$1800,$A80,الريسبي!$B$2:$B$1800,CD$1)</f>
        <v>0</v>
      </c>
      <c r="CE80" s="115" t="n">
        <f aca="false">SUMIFS(الريسبي!$C$2:$C$1800,الريسبي!$A$2:$A$1800,$A80,الريسبي!$B$2:$B$1800,CE$1)</f>
        <v>0</v>
      </c>
      <c r="CF80" s="115" t="n">
        <f aca="false">SUMIFS(الريسبي!$C$2:$C$1800,الريسبي!$A$2:$A$1800,$A80,الريسبي!$B$2:$B$1800,CF$1)</f>
        <v>0</v>
      </c>
      <c r="CG80" s="115" t="n">
        <f aca="false">SUMIFS(الريسبي!$C$2:$C$1800,الريسبي!$A$2:$A$1800,$A80,الريسبي!$B$2:$B$1800,CG$1)</f>
        <v>0</v>
      </c>
      <c r="CH80" s="115" t="n">
        <f aca="false">SUMIFS(الريسبي!$C$2:$C$1800,الريسبي!$A$2:$A$1800,$A80,الريسبي!$B$2:$B$1800,CH$1)</f>
        <v>0</v>
      </c>
    </row>
    <row r="81" customFormat="false" ht="15" hidden="false" customHeight="false" outlineLevel="0" collapsed="false">
      <c r="A81" s="114" t="str">
        <f aca="false">المنيو!B81</f>
        <v>بيتزا سوسيس صيامي وسط</v>
      </c>
      <c r="B81" s="115" t="n">
        <f aca="false">SUMIFS(الريسبي!$C$2:$C$1800,الريسبي!$A$2:$A$1800,$A81,الريسبي!$B$2:$B$1800,B$1)</f>
        <v>0</v>
      </c>
      <c r="C81" s="115" t="n">
        <f aca="false">SUMIFS(الريسبي!$C$2:$C$1800,الريسبي!$A$2:$A$1800,$A81,الريسبي!$B$2:$B$1800,C$1)</f>
        <v>0</v>
      </c>
      <c r="D81" s="115" t="n">
        <f aca="false">SUMIFS(الريسبي!$C$2:$C$1800,الريسبي!$A$2:$A$1800,$A81,الريسبي!$B$2:$B$1800,D$1)</f>
        <v>1</v>
      </c>
      <c r="E81" s="115" t="n">
        <f aca="false">SUMIFS(الريسبي!$C$2:$C$1800,الريسبي!$A$2:$A$1800,$A81,الريسبي!$B$2:$B$1800,E$1)</f>
        <v>0</v>
      </c>
      <c r="F81" s="115" t="n">
        <f aca="false">SUMIFS(الريسبي!$C$2:$C$1800,الريسبي!$A$2:$A$1800,$A81,الريسبي!$B$2:$B$1800,F$1)</f>
        <v>0</v>
      </c>
      <c r="G81" s="115" t="n">
        <f aca="false">SUMIFS(الريسبي!$C$2:$C$1800,الريسبي!$A$2:$A$1800,$A81,الريسبي!$B$2:$B$1800,G$1)</f>
        <v>0</v>
      </c>
      <c r="H81" s="115" t="n">
        <f aca="false">SUMIFS(الريسبي!$C$2:$C$1800,الريسبي!$A$2:$A$1800,$A81,الريسبي!$B$2:$B$1800,H$1)</f>
        <v>0</v>
      </c>
      <c r="I81" s="115" t="n">
        <f aca="false">SUMIFS(الريسبي!$C$2:$C$1800,الريسبي!$A$2:$A$1800,$A81,الريسبي!$B$2:$B$1800,I$1)</f>
        <v>0</v>
      </c>
      <c r="J81" s="115" t="n">
        <f aca="false">SUMIFS(الريسبي!$C$2:$C$1800,الريسبي!$A$2:$A$1800,$A81,الريسبي!$B$2:$B$1800,J$1)</f>
        <v>0</v>
      </c>
      <c r="K81" s="115" t="n">
        <f aca="false">SUMIFS(الريسبي!$C$2:$C$1800,الريسبي!$A$2:$A$1800,$A81,الريسبي!$B$2:$B$1800,K$1)</f>
        <v>0</v>
      </c>
      <c r="L81" s="115" t="n">
        <f aca="false">SUMIFS(الريسبي!$C$2:$C$1800,الريسبي!$A$2:$A$1800,$A81,الريسبي!$B$2:$B$1800,L$1)</f>
        <v>0</v>
      </c>
      <c r="M81" s="115" t="n">
        <f aca="false">SUMIFS(الريسبي!$C$2:$C$1800,الريسبي!$A$2:$A$1800,$A81,الريسبي!$B$2:$B$1800,M$1)</f>
        <v>0</v>
      </c>
      <c r="N81" s="115" t="n">
        <f aca="false">SUMIFS(الريسبي!$C$2:$C$1800,الريسبي!$A$2:$A$1800,$A81,الريسبي!$B$2:$B$1800,N$1)</f>
        <v>0</v>
      </c>
      <c r="O81" s="115" t="n">
        <f aca="false">SUMIFS(الريسبي!$C$2:$C$1800,الريسبي!$A$2:$A$1800,$A81,الريسبي!$B$2:$B$1800,O$1)</f>
        <v>0</v>
      </c>
      <c r="P81" s="115" t="n">
        <f aca="false">SUMIFS(الريسبي!$C$2:$C$1800,الريسبي!$A$2:$A$1800,$A81,الريسبي!$B$2:$B$1800,P$1)</f>
        <v>0</v>
      </c>
      <c r="Q81" s="115" t="n">
        <f aca="false">SUMIFS(الريسبي!$C$2:$C$1800,الريسبي!$A$2:$A$1800,$A81,الريسبي!$B$2:$B$1800,Q$1)</f>
        <v>0</v>
      </c>
      <c r="R81" s="115" t="n">
        <f aca="false">SUMIFS(الريسبي!$C$2:$C$1800,الريسبي!$A$2:$A$1800,$A81,الريسبي!$B$2:$B$1800,R$1)</f>
        <v>0</v>
      </c>
      <c r="S81" s="115" t="n">
        <f aca="false">SUMIFS(الريسبي!$C$2:$C$1800,الريسبي!$A$2:$A$1800,$A81,الريسبي!$B$2:$B$1800,S$1)</f>
        <v>0</v>
      </c>
      <c r="T81" s="115" t="n">
        <f aca="false">SUMIFS(الريسبي!$C$2:$C$1800,الريسبي!$A$2:$A$1800,$A81,الريسبي!$B$2:$B$1800,T$1)</f>
        <v>0</v>
      </c>
      <c r="U81" s="115" t="n">
        <f aca="false">SUMIFS(الريسبي!$C$2:$C$1800,الريسبي!$A$2:$A$1800,$A81,الريسبي!$B$2:$B$1800,U$1)</f>
        <v>0</v>
      </c>
      <c r="V81" s="115" t="n">
        <f aca="false">SUMIFS(الريسبي!$C$2:$C$1800,الريسبي!$A$2:$A$1800,$A81,الريسبي!$B$2:$B$1800,V$1)</f>
        <v>0</v>
      </c>
      <c r="W81" s="115" t="n">
        <f aca="false">SUMIFS(الريسبي!$C$2:$C$1800,الريسبي!$A$2:$A$1800,$A81,الريسبي!$B$2:$B$1800,W$1)</f>
        <v>0</v>
      </c>
      <c r="X81" s="115" t="n">
        <f aca="false">SUMIFS(الريسبي!$C$2:$C$1800,الريسبي!$A$2:$A$1800,$A81,الريسبي!$B$2:$B$1800,X$1)</f>
        <v>1</v>
      </c>
      <c r="Y81" s="115" t="n">
        <f aca="false">SUMIFS(الريسبي!$C$2:$C$1800,الريسبي!$A$2:$A$1800,$A81,الريسبي!$B$2:$B$1800,Y$1)</f>
        <v>0</v>
      </c>
      <c r="Z81" s="115" t="n">
        <f aca="false">SUMIFS(الريسبي!$C$2:$C$1800,الريسبي!$A$2:$A$1800,$A81,الريسبي!$B$2:$B$1800,Z$1)</f>
        <v>0</v>
      </c>
      <c r="AA81" s="115" t="n">
        <f aca="false">SUMIFS(الريسبي!$C$2:$C$1800,الريسبي!$A$2:$A$1800,$A81,الريسبي!$B$2:$B$1800,AA$1)</f>
        <v>0</v>
      </c>
      <c r="AB81" s="115" t="n">
        <f aca="false">SUMIFS(الريسبي!$C$2:$C$1800,الريسبي!$A$2:$A$1800,$A81,الريسبي!$B$2:$B$1800,AB$1)</f>
        <v>0</v>
      </c>
      <c r="AC81" s="115" t="n">
        <f aca="false">SUMIFS(الريسبي!$C$2:$C$1800,الريسبي!$A$2:$A$1800,$A81,الريسبي!$B$2:$B$1800,AC$1)</f>
        <v>0</v>
      </c>
      <c r="AD81" s="115" t="n">
        <f aca="false">SUMIFS(الريسبي!$C$2:$C$1800,الريسبي!$A$2:$A$1800,$A81,الريسبي!$B$2:$B$1800,AD$1)</f>
        <v>0</v>
      </c>
      <c r="AE81" s="115" t="n">
        <f aca="false">SUMIFS(الريسبي!$C$2:$C$1800,الريسبي!$A$2:$A$1800,$A81,الريسبي!$B$2:$B$1800,AE$1)</f>
        <v>0</v>
      </c>
      <c r="AF81" s="115" t="n">
        <f aca="false">SUMIFS(الريسبي!$C$2:$C$1800,الريسبي!$A$2:$A$1800,$A81,الريسبي!$B$2:$B$1800,AF$1)</f>
        <v>0</v>
      </c>
      <c r="AG81" s="115" t="n">
        <f aca="false">SUMIFS(الريسبي!$C$2:$C$1800,الريسبي!$A$2:$A$1800,$A81,الريسبي!$B$2:$B$1800,AG$1)</f>
        <v>0</v>
      </c>
      <c r="AH81" s="115" t="n">
        <f aca="false">SUMIFS(الريسبي!$C$2:$C$1800,الريسبي!$A$2:$A$1800,$A81,الريسبي!$B$2:$B$1800,AH$1)</f>
        <v>0</v>
      </c>
      <c r="AI81" s="115" t="n">
        <f aca="false">SUMIFS(الريسبي!$C$2:$C$1800,الريسبي!$A$2:$A$1800,$A81,الريسبي!$B$2:$B$1800,AI$1)</f>
        <v>0</v>
      </c>
      <c r="AJ81" s="115" t="n">
        <f aca="false">SUMIFS(الريسبي!$C$2:$C$1800,الريسبي!$A$2:$A$1800,$A81,الريسبي!$B$2:$B$1800,AJ$1)</f>
        <v>2</v>
      </c>
      <c r="AK81" s="115" t="n">
        <f aca="false">SUMIFS(الريسبي!$C$2:$C$1800,الريسبي!$A$2:$A$1800,$A81,الريسبي!$B$2:$B$1800,AK$1)</f>
        <v>0</v>
      </c>
      <c r="AL81" s="115" t="n">
        <f aca="false">SUMIFS(الريسبي!$C$2:$C$1800,الريسبي!$A$2:$A$1800,$A81,الريسبي!$B$2:$B$1800,AL$1)</f>
        <v>0</v>
      </c>
      <c r="AM81" s="115"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15"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15" t="n">
        <f aca="false">SUMIFS(الريسبي!$C$2:$C$1800,الريسبي!$A$2:$A$1800,$A81,الريسبي!$B$2:$B$1800,AO$1)</f>
        <v>0</v>
      </c>
      <c r="AP81" s="115" t="n">
        <f aca="false">SUMIFS(الريسبي!$C$2:$C$1800,الريسبي!$A$2:$A$1800,$A81,الريسبي!$B$2:$B$1800,AP$1)</f>
        <v>0.02</v>
      </c>
      <c r="AQ81" s="115"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15" t="n">
        <f aca="false">SUMIFS(الريسبي!$C$2:$C$1800,الريسبي!$A$2:$A$1800,$A81,الريسبي!$B$2:$B$1800,AR$1)</f>
        <v>0</v>
      </c>
      <c r="AS81" s="115" t="n">
        <f aca="false">SUMIFS(الريسبي!$C$2:$C$1800,الريسبي!$A$2:$A$1800,$A81,الريسبي!$B$2:$B$1800,AS$1)</f>
        <v>0</v>
      </c>
      <c r="AT81" s="115" t="n">
        <f aca="false">SUMIFS(الريسبي!$C$2:$C$1800,الريسبي!$A$2:$A$1800,$A81,الريسبي!$B$2:$B$1800,AT$1)</f>
        <v>0</v>
      </c>
      <c r="AU81" s="115" t="n">
        <f aca="false">SUMIFS(الريسبي!$C$2:$C$1800,الريسبي!$A$2:$A$1800,$A81,الريسبي!$B$2:$B$1800,AU$1)</f>
        <v>0</v>
      </c>
      <c r="AV81" s="115" t="n">
        <f aca="false">SUMIFS(الريسبي!$C$2:$C$1800,الريسبي!$A$2:$A$1800,$A81,الريسبي!$B$2:$B$1800,AV$1)</f>
        <v>0</v>
      </c>
      <c r="AW81" s="115" t="n">
        <f aca="false">SUMIFS(الريسبي!$C$2:$C$1800,الريسبي!$A$2:$A$1800,$A81,الريسبي!$B$2:$B$1800,AW$1)</f>
        <v>0</v>
      </c>
      <c r="AX81" s="115" t="n">
        <f aca="false">SUMIFS(الريسبي!$C$2:$C$1800,الريسبي!$A$2:$A$1800,$A81,الريسبي!$B$2:$B$1800,AX$1)</f>
        <v>0.04</v>
      </c>
      <c r="AY81" s="115" t="n">
        <f aca="false">SUMIFS(الريسبي!$C$2:$C$1800,الريسبي!$A$2:$A$1800,$A81,الريسبي!$B$2:$B$1800,AY$1)</f>
        <v>0</v>
      </c>
      <c r="AZ81" s="115" t="n">
        <f aca="false">SUMIFS(الريسبي!$C$2:$C$1800,الريسبي!$A$2:$A$1800,$A81,الريسبي!$B$2:$B$1800,AZ$1)</f>
        <v>0</v>
      </c>
      <c r="BA81" s="115" t="n">
        <f aca="false">SUMIFS(الريسبي!$C$2:$C$1800,الريسبي!$A$2:$A$1800,$A81,الريسبي!$B$2:$B$1800,BA$1)</f>
        <v>0</v>
      </c>
      <c r="BB81" s="115" t="n">
        <f aca="false">SUMIFS(الريسبي!$C$2:$C$1800,الريسبي!$A$2:$A$1800,$A81,الريسبي!$B$2:$B$1800,BB$1)</f>
        <v>0</v>
      </c>
      <c r="BC81" s="115" t="n">
        <f aca="false">SUMIFS(الريسبي!$C$2:$C$1800,الريسبي!$A$2:$A$1800,$A81,الريسبي!$B$2:$B$1800,BC$1)</f>
        <v>0.03</v>
      </c>
      <c r="BD81" s="115" t="n">
        <f aca="false">SUMIFS(الريسبي!$C$2:$C$1800,الريسبي!$A$2:$A$1800,$A81,الريسبي!$B$2:$B$1800,BD$1)</f>
        <v>0.22</v>
      </c>
      <c r="BE81" s="115" t="n">
        <f aca="false">SUMIFS(الريسبي!$C$2:$C$1800,الريسبي!$A$2:$A$1800,$A81,الريسبي!$B$2:$B$1800,BE$1)</f>
        <v>0</v>
      </c>
      <c r="BF81" s="115" t="n">
        <f aca="false">SUMIFS(الريسبي!$C$2:$C$1800,الريسبي!$A$2:$A$1800,$A81,الريسبي!$B$2:$B$1800,BF$1)</f>
        <v>0</v>
      </c>
      <c r="BG81" s="115" t="n">
        <f aca="false">SUMIFS(الريسبي!$C$2:$C$1800,الريسبي!$A$2:$A$1800,$A81,الريسبي!$B$2:$B$1800,BG$1)</f>
        <v>0</v>
      </c>
      <c r="BH81" s="115" t="n">
        <f aca="false">SUMIFS(الريسبي!$C$2:$C$1800,الريسبي!$A$2:$A$1800,$A81,الريسبي!$B$2:$B$1800,BH$1)</f>
        <v>1</v>
      </c>
      <c r="BI81" s="115" t="n">
        <f aca="false">SUMIFS(الريسبي!$C$2:$C$1800,الريسبي!$A$2:$A$1800,$A81,الريسبي!$B$2:$B$1800,BI$1)</f>
        <v>0</v>
      </c>
      <c r="BJ81" s="115" t="n">
        <f aca="false">SUMIFS(الريسبي!$C$2:$C$1800,الريسبي!$A$2:$A$1800,$A81,الريسبي!$B$2:$B$1800,BJ$1)</f>
        <v>0</v>
      </c>
      <c r="BK81" s="115" t="n">
        <f aca="false">SUMIFS(الريسبي!$C$2:$C$1800,الريسبي!$A$2:$A$1800,$A81,الريسبي!$B$2:$B$1800,BK$1)</f>
        <v>0</v>
      </c>
      <c r="BL81" s="115" t="n">
        <f aca="false">SUMIFS(الريسبي!$C$2:$C$1800,الريسبي!$A$2:$A$1800,$A81,الريسبي!$B$2:$B$1800,BL$1)</f>
        <v>0</v>
      </c>
      <c r="BM81" s="115" t="n">
        <f aca="false">SUMIFS(الريسبي!$C$2:$C$1800,الريسبي!$A$2:$A$1800,$A81,الريسبي!$B$2:$B$1800,BM$1)</f>
        <v>0</v>
      </c>
      <c r="BN81" s="115" t="n">
        <f aca="false">SUMIFS(الريسبي!$C$2:$C$1800,الريسبي!$A$2:$A$1800,$A81,الريسبي!$B$2:$B$1800,BN$1)</f>
        <v>0.02</v>
      </c>
      <c r="BO81" s="115" t="n">
        <f aca="false">SUMIFS(الريسبي!$C$2:$C$1800,الريسبي!$A$2:$A$1800,$A81,الريسبي!$B$2:$B$1800,BO$1)</f>
        <v>0</v>
      </c>
      <c r="BP81" s="115" t="n">
        <f aca="false">SUMIFS(الريسبي!$C$2:$C$1800,الريسبي!$A$2:$A$1800,$A81,الريسبي!$B$2:$B$1800,BP$1)</f>
        <v>2</v>
      </c>
      <c r="BQ81" s="115"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15" t="n">
        <f aca="false">SUMIFS(الريسبي!$C$2:$C$1800,الريسبي!$A$2:$A$1800,$A81,الريسبي!$B$2:$B$1800,BR$1)</f>
        <v>1</v>
      </c>
      <c r="BS81" s="115" t="n">
        <f aca="false">SUMIFS(الريسبي!$C$2:$C$1800,الريسبي!$A$2:$A$1800,$A81,الريسبي!$B$2:$B$1800,BS$1)</f>
        <v>0</v>
      </c>
      <c r="BT81" s="115" t="n">
        <f aca="false">SUMIFS(الريسبي!$C$2:$C$1800,الريسبي!$A$2:$A$1800,$A81,الريسبي!$B$2:$B$1800,BT$1)</f>
        <v>0</v>
      </c>
      <c r="BU81" s="115"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15" t="n">
        <f aca="false">SUMIFS(الريسبي!$C$2:$C$1800,الريسبي!$A$2:$A$1800,$A81,الريسبي!$B$2:$B$1800,BV$1)</f>
        <v>0</v>
      </c>
      <c r="BW81" s="115" t="n">
        <f aca="false">SUMIFS(الريسبي!$C$2:$C$1800,الريسبي!$A$2:$A$1800,$A81,الريسبي!$B$2:$B$1800,BW$1)</f>
        <v>0</v>
      </c>
      <c r="BX81" s="115" t="n">
        <f aca="false">SUMIFS(الريسبي!$C$2:$C$1800,الريسبي!$A$2:$A$1800,$A81,الريسبي!$B$2:$B$1800,BX$1)</f>
        <v>0</v>
      </c>
      <c r="BY81" s="115" t="n">
        <f aca="false">SUMIFS(الريسبي!$C$2:$C$1800,الريسبي!$A$2:$A$1800,$A81,الريسبي!$B$2:$B$1800,BY$1)</f>
        <v>0</v>
      </c>
      <c r="BZ81" s="115" t="n">
        <f aca="false">SUMIFS(الريسبي!$C$2:$C$1800,الريسبي!$A$2:$A$1800,$A81,الريسبي!$B$2:$B$1800,BZ$1)</f>
        <v>1</v>
      </c>
      <c r="CA81" s="115" t="n">
        <f aca="false">SUMIFS(الريسبي!$C$2:$C$1800,الريسبي!$A$2:$A$1800,$A81,الريسبي!$B$2:$B$1800,CA$1)</f>
        <v>1</v>
      </c>
      <c r="CB81" s="115" t="n">
        <f aca="false">SUMIFS(الريسبي!$C$2:$C$1800,الريسبي!$A$2:$A$1800,$A81,الريسبي!$B$2:$B$1800,CB$1)</f>
        <v>0</v>
      </c>
      <c r="CC81" s="115" t="n">
        <f aca="false">SUMIFS(الريسبي!$C$2:$C$1800,الريسبي!$A$2:$A$1800,$A81,الريسبي!$B$2:$B$1800,CC$1)</f>
        <v>0.12</v>
      </c>
      <c r="CD81" s="115" t="n">
        <f aca="false">SUMIFS(الريسبي!$C$2:$C$1800,الريسبي!$A$2:$A$1800,$A81,الريسبي!$B$2:$B$1800,CD$1)</f>
        <v>0</v>
      </c>
      <c r="CE81" s="115" t="n">
        <f aca="false">SUMIFS(الريسبي!$C$2:$C$1800,الريسبي!$A$2:$A$1800,$A81,الريسبي!$B$2:$B$1800,CE$1)</f>
        <v>0</v>
      </c>
      <c r="CF81" s="115" t="n">
        <f aca="false">SUMIFS(الريسبي!$C$2:$C$1800,الريسبي!$A$2:$A$1800,$A81,الريسبي!$B$2:$B$1800,CF$1)</f>
        <v>0</v>
      </c>
      <c r="CG81" s="115" t="n">
        <f aca="false">SUMIFS(الريسبي!$C$2:$C$1800,الريسبي!$A$2:$A$1800,$A81,الريسبي!$B$2:$B$1800,CG$1)</f>
        <v>0</v>
      </c>
      <c r="CH81" s="115" t="n">
        <f aca="false">SUMIFS(الريسبي!$C$2:$C$1800,الريسبي!$A$2:$A$1800,$A81,الريسبي!$B$2:$B$1800,CH$1)</f>
        <v>0</v>
      </c>
    </row>
    <row r="82" customFormat="false" ht="15" hidden="false" customHeight="false" outlineLevel="0" collapsed="false">
      <c r="A82" s="114" t="str">
        <f aca="false">المنيو!B82</f>
        <v>بيتزا سوسيس صيامي مخصوص</v>
      </c>
      <c r="B82" s="115" t="n">
        <f aca="false">SUMIFS(الريسبي!$C$2:$C$1800,الريسبي!$A$2:$A$1800,$A82,الريسبي!$B$2:$B$1800,B$1)</f>
        <v>0</v>
      </c>
      <c r="C82" s="115" t="n">
        <f aca="false">SUMIFS(الريسبي!$C$2:$C$1800,الريسبي!$A$2:$A$1800,$A82,الريسبي!$B$2:$B$1800,C$1)</f>
        <v>0</v>
      </c>
      <c r="D82" s="115" t="n">
        <f aca="false">SUMIFS(الريسبي!$C$2:$C$1800,الريسبي!$A$2:$A$1800,$A82,الريسبي!$B$2:$B$1800,D$1)</f>
        <v>1</v>
      </c>
      <c r="E82" s="115" t="n">
        <f aca="false">SUMIFS(الريسبي!$C$2:$C$1800,الريسبي!$A$2:$A$1800,$A82,الريسبي!$B$2:$B$1800,E$1)</f>
        <v>0</v>
      </c>
      <c r="F82" s="115" t="n">
        <f aca="false">SUMIFS(الريسبي!$C$2:$C$1800,الريسبي!$A$2:$A$1800,$A82,الريسبي!$B$2:$B$1800,F$1)</f>
        <v>0</v>
      </c>
      <c r="G82" s="115" t="n">
        <f aca="false">SUMIFS(الريسبي!$C$2:$C$1800,الريسبي!$A$2:$A$1800,$A82,الريسبي!$B$2:$B$1800,G$1)</f>
        <v>0</v>
      </c>
      <c r="H82" s="115" t="n">
        <f aca="false">SUMIFS(الريسبي!$C$2:$C$1800,الريسبي!$A$2:$A$1800,$A82,الريسبي!$B$2:$B$1800,H$1)</f>
        <v>0</v>
      </c>
      <c r="I82" s="115" t="n">
        <f aca="false">SUMIFS(الريسبي!$C$2:$C$1800,الريسبي!$A$2:$A$1800,$A82,الريسبي!$B$2:$B$1800,I$1)</f>
        <v>0</v>
      </c>
      <c r="J82" s="115" t="n">
        <f aca="false">SUMIFS(الريسبي!$C$2:$C$1800,الريسبي!$A$2:$A$1800,$A82,الريسبي!$B$2:$B$1800,J$1)</f>
        <v>0</v>
      </c>
      <c r="K82" s="115" t="n">
        <f aca="false">SUMIFS(الريسبي!$C$2:$C$1800,الريسبي!$A$2:$A$1800,$A82,الريسبي!$B$2:$B$1800,K$1)</f>
        <v>0</v>
      </c>
      <c r="L82" s="115" t="n">
        <f aca="false">SUMIFS(الريسبي!$C$2:$C$1800,الريسبي!$A$2:$A$1800,$A82,الريسبي!$B$2:$B$1800,L$1)</f>
        <v>0</v>
      </c>
      <c r="M82" s="115" t="n">
        <f aca="false">SUMIFS(الريسبي!$C$2:$C$1800,الريسبي!$A$2:$A$1800,$A82,الريسبي!$B$2:$B$1800,M$1)</f>
        <v>0</v>
      </c>
      <c r="N82" s="115" t="n">
        <f aca="false">SUMIFS(الريسبي!$C$2:$C$1800,الريسبي!$A$2:$A$1800,$A82,الريسبي!$B$2:$B$1800,N$1)</f>
        <v>0</v>
      </c>
      <c r="O82" s="115" t="n">
        <f aca="false">SUMIFS(الريسبي!$C$2:$C$1800,الريسبي!$A$2:$A$1800,$A82,الريسبي!$B$2:$B$1800,O$1)</f>
        <v>0</v>
      </c>
      <c r="P82" s="115" t="n">
        <f aca="false">SUMIFS(الريسبي!$C$2:$C$1800,الريسبي!$A$2:$A$1800,$A82,الريسبي!$B$2:$B$1800,P$1)</f>
        <v>0</v>
      </c>
      <c r="Q82" s="115" t="n">
        <f aca="false">SUMIFS(الريسبي!$C$2:$C$1800,الريسبي!$A$2:$A$1800,$A82,الريسبي!$B$2:$B$1800,Q$1)</f>
        <v>0</v>
      </c>
      <c r="R82" s="115" t="n">
        <f aca="false">SUMIFS(الريسبي!$C$2:$C$1800,الريسبي!$A$2:$A$1800,$A82,الريسبي!$B$2:$B$1800,R$1)</f>
        <v>0</v>
      </c>
      <c r="S82" s="115" t="n">
        <f aca="false">SUMIFS(الريسبي!$C$2:$C$1800,الريسبي!$A$2:$A$1800,$A82,الريسبي!$B$2:$B$1800,S$1)</f>
        <v>0</v>
      </c>
      <c r="T82" s="115" t="n">
        <f aca="false">SUMIFS(الريسبي!$C$2:$C$1800,الريسبي!$A$2:$A$1800,$A82,الريسبي!$B$2:$B$1800,T$1)</f>
        <v>0</v>
      </c>
      <c r="U82" s="115" t="n">
        <f aca="false">SUMIFS(الريسبي!$C$2:$C$1800,الريسبي!$A$2:$A$1800,$A82,الريسبي!$B$2:$B$1800,U$1)</f>
        <v>0</v>
      </c>
      <c r="V82" s="115" t="n">
        <f aca="false">SUMIFS(الريسبي!$C$2:$C$1800,الريسبي!$A$2:$A$1800,$A82,الريسبي!$B$2:$B$1800,V$1)</f>
        <v>0</v>
      </c>
      <c r="W82" s="115" t="n">
        <f aca="false">SUMIFS(الريسبي!$C$2:$C$1800,الريسبي!$A$2:$A$1800,$A82,الريسبي!$B$2:$B$1800,W$1)</f>
        <v>0</v>
      </c>
      <c r="X82" s="115" t="n">
        <f aca="false">SUMIFS(الريسبي!$C$2:$C$1800,الريسبي!$A$2:$A$1800,$A82,الريسبي!$B$2:$B$1800,X$1)</f>
        <v>0</v>
      </c>
      <c r="Y82" s="115" t="n">
        <f aca="false">SUMIFS(الريسبي!$C$2:$C$1800,الريسبي!$A$2:$A$1800,$A82,الريسبي!$B$2:$B$1800,Y$1)</f>
        <v>1</v>
      </c>
      <c r="Z82" s="115" t="n">
        <f aca="false">SUMIFS(الريسبي!$C$2:$C$1800,الريسبي!$A$2:$A$1800,$A82,الريسبي!$B$2:$B$1800,Z$1)</f>
        <v>0</v>
      </c>
      <c r="AA82" s="115" t="n">
        <f aca="false">SUMIFS(الريسبي!$C$2:$C$1800,الريسبي!$A$2:$A$1800,$A82,الريسبي!$B$2:$B$1800,AA$1)</f>
        <v>0</v>
      </c>
      <c r="AB82" s="115" t="n">
        <f aca="false">SUMIFS(الريسبي!$C$2:$C$1800,الريسبي!$A$2:$A$1800,$A82,الريسبي!$B$2:$B$1800,AB$1)</f>
        <v>0</v>
      </c>
      <c r="AC82" s="115" t="n">
        <f aca="false">SUMIFS(الريسبي!$C$2:$C$1800,الريسبي!$A$2:$A$1800,$A82,الريسبي!$B$2:$B$1800,AC$1)</f>
        <v>0</v>
      </c>
      <c r="AD82" s="115" t="n">
        <f aca="false">SUMIFS(الريسبي!$C$2:$C$1800,الريسبي!$A$2:$A$1800,$A82,الريسبي!$B$2:$B$1800,AD$1)</f>
        <v>0</v>
      </c>
      <c r="AE82" s="115" t="n">
        <f aca="false">SUMIFS(الريسبي!$C$2:$C$1800,الريسبي!$A$2:$A$1800,$A82,الريسبي!$B$2:$B$1800,AE$1)</f>
        <v>0</v>
      </c>
      <c r="AF82" s="115" t="n">
        <f aca="false">SUMIFS(الريسبي!$C$2:$C$1800,الريسبي!$A$2:$A$1800,$A82,الريسبي!$B$2:$B$1800,AF$1)</f>
        <v>0</v>
      </c>
      <c r="AG82" s="115" t="n">
        <f aca="false">SUMIFS(الريسبي!$C$2:$C$1800,الريسبي!$A$2:$A$1800,$A82,الريسبي!$B$2:$B$1800,AG$1)</f>
        <v>0</v>
      </c>
      <c r="AH82" s="115" t="n">
        <f aca="false">SUMIFS(الريسبي!$C$2:$C$1800,الريسبي!$A$2:$A$1800,$A82,الريسبي!$B$2:$B$1800,AH$1)</f>
        <v>0</v>
      </c>
      <c r="AI82" s="115" t="n">
        <f aca="false">SUMIFS(الريسبي!$C$2:$C$1800,الريسبي!$A$2:$A$1800,$A82,الريسبي!$B$2:$B$1800,AI$1)</f>
        <v>0</v>
      </c>
      <c r="AJ82" s="115" t="n">
        <f aca="false">SUMIFS(الريسبي!$C$2:$C$1800,الريسبي!$A$2:$A$1800,$A82,الريسبي!$B$2:$B$1800,AJ$1)</f>
        <v>2</v>
      </c>
      <c r="AK82" s="115" t="n">
        <f aca="false">SUMIFS(الريسبي!$C$2:$C$1800,الريسبي!$A$2:$A$1800,$A82,الريسبي!$B$2:$B$1800,AK$1)</f>
        <v>0</v>
      </c>
      <c r="AL82" s="115" t="n">
        <f aca="false">SUMIFS(الريسبي!$C$2:$C$1800,الريسبي!$A$2:$A$1800,$A82,الريسبي!$B$2:$B$1800,AL$1)</f>
        <v>0</v>
      </c>
      <c r="AM82" s="115"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15"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15" t="n">
        <f aca="false">SUMIFS(الريسبي!$C$2:$C$1800,الريسبي!$A$2:$A$1800,$A82,الريسبي!$B$2:$B$1800,AO$1)</f>
        <v>0</v>
      </c>
      <c r="AP82" s="115" t="n">
        <f aca="false">SUMIFS(الريسبي!$C$2:$C$1800,الريسبي!$A$2:$A$1800,$A82,الريسبي!$B$2:$B$1800,AP$1)</f>
        <v>0.03</v>
      </c>
      <c r="AQ82" s="115"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15" t="n">
        <f aca="false">SUMIFS(الريسبي!$C$2:$C$1800,الريسبي!$A$2:$A$1800,$A82,الريسبي!$B$2:$B$1800,AR$1)</f>
        <v>0</v>
      </c>
      <c r="AS82" s="115" t="n">
        <f aca="false">SUMIFS(الريسبي!$C$2:$C$1800,الريسبي!$A$2:$A$1800,$A82,الريسبي!$B$2:$B$1800,AS$1)</f>
        <v>0</v>
      </c>
      <c r="AT82" s="115" t="n">
        <f aca="false">SUMIFS(الريسبي!$C$2:$C$1800,الريسبي!$A$2:$A$1800,$A82,الريسبي!$B$2:$B$1800,AT$1)</f>
        <v>0</v>
      </c>
      <c r="AU82" s="115" t="n">
        <f aca="false">SUMIFS(الريسبي!$C$2:$C$1800,الريسبي!$A$2:$A$1800,$A82,الريسبي!$B$2:$B$1800,AU$1)</f>
        <v>0</v>
      </c>
      <c r="AV82" s="115" t="n">
        <f aca="false">SUMIFS(الريسبي!$C$2:$C$1800,الريسبي!$A$2:$A$1800,$A82,الريسبي!$B$2:$B$1800,AV$1)</f>
        <v>0</v>
      </c>
      <c r="AW82" s="115" t="n">
        <f aca="false">SUMIFS(الريسبي!$C$2:$C$1800,الريسبي!$A$2:$A$1800,$A82,الريسبي!$B$2:$B$1800,AW$1)</f>
        <v>0</v>
      </c>
      <c r="AX82" s="115" t="n">
        <f aca="false">SUMIFS(الريسبي!$C$2:$C$1800,الريسبي!$A$2:$A$1800,$A82,الريسبي!$B$2:$B$1800,AX$1)</f>
        <v>0.06</v>
      </c>
      <c r="AY82" s="115" t="n">
        <f aca="false">SUMIFS(الريسبي!$C$2:$C$1800,الريسبي!$A$2:$A$1800,$A82,الريسبي!$B$2:$B$1800,AY$1)</f>
        <v>0</v>
      </c>
      <c r="AZ82" s="115" t="n">
        <f aca="false">SUMIFS(الريسبي!$C$2:$C$1800,الريسبي!$A$2:$A$1800,$A82,الريسبي!$B$2:$B$1800,AZ$1)</f>
        <v>0</v>
      </c>
      <c r="BA82" s="115" t="n">
        <f aca="false">SUMIFS(الريسبي!$C$2:$C$1800,الريسبي!$A$2:$A$1800,$A82,الريسبي!$B$2:$B$1800,BA$1)</f>
        <v>0</v>
      </c>
      <c r="BB82" s="115" t="n">
        <f aca="false">SUMIFS(الريسبي!$C$2:$C$1800,الريسبي!$A$2:$A$1800,$A82,الريسبي!$B$2:$B$1800,BB$1)</f>
        <v>0</v>
      </c>
      <c r="BC82" s="115" t="n">
        <f aca="false">SUMIFS(الريسبي!$C$2:$C$1800,الريسبي!$A$2:$A$1800,$A82,الريسبي!$B$2:$B$1800,BC$1)</f>
        <v>0.045</v>
      </c>
      <c r="BD82" s="115" t="n">
        <f aca="false">SUMIFS(الريسبي!$C$2:$C$1800,الريسبي!$A$2:$A$1800,$A82,الريسبي!$B$2:$B$1800,BD$1)</f>
        <v>0.3</v>
      </c>
      <c r="BE82" s="115" t="n">
        <f aca="false">SUMIFS(الريسبي!$C$2:$C$1800,الريسبي!$A$2:$A$1800,$A82,الريسبي!$B$2:$B$1800,BE$1)</f>
        <v>0</v>
      </c>
      <c r="BF82" s="115" t="n">
        <f aca="false">SUMIFS(الريسبي!$C$2:$C$1800,الريسبي!$A$2:$A$1800,$A82,الريسبي!$B$2:$B$1800,BF$1)</f>
        <v>0</v>
      </c>
      <c r="BG82" s="115" t="n">
        <f aca="false">SUMIFS(الريسبي!$C$2:$C$1800,الريسبي!$A$2:$A$1800,$A82,الريسبي!$B$2:$B$1800,BG$1)</f>
        <v>1</v>
      </c>
      <c r="BH82" s="115" t="n">
        <f aca="false">SUMIFS(الريسبي!$C$2:$C$1800,الريسبي!$A$2:$A$1800,$A82,الريسبي!$B$2:$B$1800,BH$1)</f>
        <v>0</v>
      </c>
      <c r="BI82" s="115" t="n">
        <f aca="false">SUMIFS(الريسبي!$C$2:$C$1800,الريسبي!$A$2:$A$1800,$A82,الريسبي!$B$2:$B$1800,BI$1)</f>
        <v>0</v>
      </c>
      <c r="BJ82" s="115" t="n">
        <f aca="false">SUMIFS(الريسبي!$C$2:$C$1800,الريسبي!$A$2:$A$1800,$A82,الريسبي!$B$2:$B$1800,BJ$1)</f>
        <v>0</v>
      </c>
      <c r="BK82" s="115" t="n">
        <f aca="false">SUMIFS(الريسبي!$C$2:$C$1800,الريسبي!$A$2:$A$1800,$A82,الريسبي!$B$2:$B$1800,BK$1)</f>
        <v>0</v>
      </c>
      <c r="BL82" s="115" t="n">
        <f aca="false">SUMIFS(الريسبي!$C$2:$C$1800,الريسبي!$A$2:$A$1800,$A82,الريسبي!$B$2:$B$1800,BL$1)</f>
        <v>0</v>
      </c>
      <c r="BM82" s="115" t="n">
        <f aca="false">SUMIFS(الريسبي!$C$2:$C$1800,الريسبي!$A$2:$A$1800,$A82,الريسبي!$B$2:$B$1800,BM$1)</f>
        <v>0</v>
      </c>
      <c r="BN82" s="115" t="n">
        <f aca="false">SUMIFS(الريسبي!$C$2:$C$1800,الريسبي!$A$2:$A$1800,$A82,الريسبي!$B$2:$B$1800,BN$1)</f>
        <v>0.03</v>
      </c>
      <c r="BO82" s="115" t="n">
        <f aca="false">SUMIFS(الريسبي!$C$2:$C$1800,الريسبي!$A$2:$A$1800,$A82,الريسبي!$B$2:$B$1800,BO$1)</f>
        <v>0</v>
      </c>
      <c r="BP82" s="115" t="n">
        <f aca="false">SUMIFS(الريسبي!$C$2:$C$1800,الريسبي!$A$2:$A$1800,$A82,الريسبي!$B$2:$B$1800,BP$1)</f>
        <v>3</v>
      </c>
      <c r="BQ82" s="115"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15" t="n">
        <f aca="false">SUMIFS(الريسبي!$C$2:$C$1800,الريسبي!$A$2:$A$1800,$A82,الريسبي!$B$2:$B$1800,BR$1)</f>
        <v>1</v>
      </c>
      <c r="BS82" s="115" t="n">
        <f aca="false">SUMIFS(الريسبي!$C$2:$C$1800,الريسبي!$A$2:$A$1800,$A82,الريسبي!$B$2:$B$1800,BS$1)</f>
        <v>0</v>
      </c>
      <c r="BT82" s="115" t="n">
        <f aca="false">SUMIFS(الريسبي!$C$2:$C$1800,الريسبي!$A$2:$A$1800,$A82,الريسبي!$B$2:$B$1800,BT$1)</f>
        <v>0</v>
      </c>
      <c r="BU82" s="115"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15" t="n">
        <f aca="false">SUMIFS(الريسبي!$C$2:$C$1800,الريسبي!$A$2:$A$1800,$A82,الريسبي!$B$2:$B$1800,BV$1)</f>
        <v>0</v>
      </c>
      <c r="BW82" s="115" t="n">
        <f aca="false">SUMIFS(الريسبي!$C$2:$C$1800,الريسبي!$A$2:$A$1800,$A82,الريسبي!$B$2:$B$1800,BW$1)</f>
        <v>0</v>
      </c>
      <c r="BX82" s="115" t="n">
        <f aca="false">SUMIFS(الريسبي!$C$2:$C$1800,الريسبي!$A$2:$A$1800,$A82,الريسبي!$B$2:$B$1800,BX$1)</f>
        <v>0</v>
      </c>
      <c r="BY82" s="115" t="n">
        <f aca="false">SUMIFS(الريسبي!$C$2:$C$1800,الريسبي!$A$2:$A$1800,$A82,الريسبي!$B$2:$B$1800,BY$1)</f>
        <v>0</v>
      </c>
      <c r="BZ82" s="115" t="n">
        <f aca="false">SUMIFS(الريسبي!$C$2:$C$1800,الريسبي!$A$2:$A$1800,$A82,الريسبي!$B$2:$B$1800,BZ$1)</f>
        <v>1</v>
      </c>
      <c r="CA82" s="115" t="n">
        <f aca="false">SUMIFS(الريسبي!$C$2:$C$1800,الريسبي!$A$2:$A$1800,$A82,الريسبي!$B$2:$B$1800,CA$1)</f>
        <v>1</v>
      </c>
      <c r="CB82" s="115" t="n">
        <f aca="false">SUMIFS(الريسبي!$C$2:$C$1800,الريسبي!$A$2:$A$1800,$A82,الريسبي!$B$2:$B$1800,CB$1)</f>
        <v>0</v>
      </c>
      <c r="CC82" s="115" t="n">
        <f aca="false">SUMIFS(الريسبي!$C$2:$C$1800,الريسبي!$A$2:$A$1800,$A82,الريسبي!$B$2:$B$1800,CC$1)</f>
        <v>0.18</v>
      </c>
      <c r="CD82" s="115" t="n">
        <f aca="false">SUMIFS(الريسبي!$C$2:$C$1800,الريسبي!$A$2:$A$1800,$A82,الريسبي!$B$2:$B$1800,CD$1)</f>
        <v>0</v>
      </c>
      <c r="CE82" s="115" t="n">
        <f aca="false">SUMIFS(الريسبي!$C$2:$C$1800,الريسبي!$A$2:$A$1800,$A82,الريسبي!$B$2:$B$1800,CE$1)</f>
        <v>0</v>
      </c>
      <c r="CF82" s="115" t="n">
        <f aca="false">SUMIFS(الريسبي!$C$2:$C$1800,الريسبي!$A$2:$A$1800,$A82,الريسبي!$B$2:$B$1800,CF$1)</f>
        <v>0</v>
      </c>
      <c r="CG82" s="115" t="n">
        <f aca="false">SUMIFS(الريسبي!$C$2:$C$1800,الريسبي!$A$2:$A$1800,$A82,الريسبي!$B$2:$B$1800,CG$1)</f>
        <v>0</v>
      </c>
      <c r="CH82" s="115" t="n">
        <f aca="false">SUMIFS(الريسبي!$C$2:$C$1800,الريسبي!$A$2:$A$1800,$A82,الريسبي!$B$2:$B$1800,CH$1)</f>
        <v>0</v>
      </c>
    </row>
    <row r="83" customFormat="false" ht="15" hidden="false" customHeight="false" outlineLevel="0" collapsed="false">
      <c r="A83" s="114" t="str">
        <f aca="false">المنيو!B83</f>
        <v>بيتزا شاورما لحم / فراخ صيامي وسط</v>
      </c>
      <c r="B83" s="115" t="n">
        <f aca="false">SUMIFS(الريسبي!$C$2:$C$1800,الريسبي!$A$2:$A$1800,$A83,الريسبي!$B$2:$B$1800,B$1)</f>
        <v>0</v>
      </c>
      <c r="C83" s="115" t="n">
        <f aca="false">SUMIFS(الريسبي!$C$2:$C$1800,الريسبي!$A$2:$A$1800,$A83,الريسبي!$B$2:$B$1800,C$1)</f>
        <v>0</v>
      </c>
      <c r="D83" s="115" t="n">
        <f aca="false">SUMIFS(الريسبي!$C$2:$C$1800,الريسبي!$A$2:$A$1800,$A83,الريسبي!$B$2:$B$1800,D$1)</f>
        <v>1</v>
      </c>
      <c r="E83" s="115" t="n">
        <f aca="false">SUMIFS(الريسبي!$C$2:$C$1800,الريسبي!$A$2:$A$1800,$A83,الريسبي!$B$2:$B$1800,E$1)</f>
        <v>0</v>
      </c>
      <c r="F83" s="115" t="n">
        <f aca="false">SUMIFS(الريسبي!$C$2:$C$1800,الريسبي!$A$2:$A$1800,$A83,الريسبي!$B$2:$B$1800,F$1)</f>
        <v>0</v>
      </c>
      <c r="G83" s="115" t="n">
        <f aca="false">SUMIFS(الريسبي!$C$2:$C$1800,الريسبي!$A$2:$A$1800,$A83,الريسبي!$B$2:$B$1800,G$1)</f>
        <v>0</v>
      </c>
      <c r="H83" s="115" t="n">
        <f aca="false">SUMIFS(الريسبي!$C$2:$C$1800,الريسبي!$A$2:$A$1800,$A83,الريسبي!$B$2:$B$1800,H$1)</f>
        <v>0</v>
      </c>
      <c r="I83" s="115" t="n">
        <f aca="false">SUMIFS(الريسبي!$C$2:$C$1800,الريسبي!$A$2:$A$1800,$A83,الريسبي!$B$2:$B$1800,I$1)</f>
        <v>0</v>
      </c>
      <c r="J83" s="115" t="n">
        <f aca="false">SUMIFS(الريسبي!$C$2:$C$1800,الريسبي!$A$2:$A$1800,$A83,الريسبي!$B$2:$B$1800,J$1)</f>
        <v>0</v>
      </c>
      <c r="K83" s="115" t="n">
        <f aca="false">SUMIFS(الريسبي!$C$2:$C$1800,الريسبي!$A$2:$A$1800,$A83,الريسبي!$B$2:$B$1800,K$1)</f>
        <v>0</v>
      </c>
      <c r="L83" s="115" t="n">
        <f aca="false">SUMIFS(الريسبي!$C$2:$C$1800,الريسبي!$A$2:$A$1800,$A83,الريسبي!$B$2:$B$1800,L$1)</f>
        <v>0</v>
      </c>
      <c r="M83" s="115" t="n">
        <f aca="false">SUMIFS(الريسبي!$C$2:$C$1800,الريسبي!$A$2:$A$1800,$A83,الريسبي!$B$2:$B$1800,M$1)</f>
        <v>0</v>
      </c>
      <c r="N83" s="115" t="n">
        <f aca="false">SUMIFS(الريسبي!$C$2:$C$1800,الريسبي!$A$2:$A$1800,$A83,الريسبي!$B$2:$B$1800,N$1)</f>
        <v>0</v>
      </c>
      <c r="O83" s="115" t="n">
        <f aca="false">SUMIFS(الريسبي!$C$2:$C$1800,الريسبي!$A$2:$A$1800,$A83,الريسبي!$B$2:$B$1800,O$1)</f>
        <v>0</v>
      </c>
      <c r="P83" s="115" t="n">
        <f aca="false">SUMIFS(الريسبي!$C$2:$C$1800,الريسبي!$A$2:$A$1800,$A83,الريسبي!$B$2:$B$1800,P$1)</f>
        <v>0</v>
      </c>
      <c r="Q83" s="115" t="n">
        <f aca="false">SUMIFS(الريسبي!$C$2:$C$1800,الريسبي!$A$2:$A$1800,$A83,الريسبي!$B$2:$B$1800,Q$1)</f>
        <v>0</v>
      </c>
      <c r="R83" s="115" t="n">
        <f aca="false">SUMIFS(الريسبي!$C$2:$C$1800,الريسبي!$A$2:$A$1800,$A83,الريسبي!$B$2:$B$1800,R$1)</f>
        <v>0</v>
      </c>
      <c r="S83" s="115" t="n">
        <f aca="false">SUMIFS(الريسبي!$C$2:$C$1800,الريسبي!$A$2:$A$1800,$A83,الريسبي!$B$2:$B$1800,S$1)</f>
        <v>0</v>
      </c>
      <c r="T83" s="115" t="n">
        <f aca="false">SUMIFS(الريسبي!$C$2:$C$1800,الريسبي!$A$2:$A$1800,$A83,الريسبي!$B$2:$B$1800,T$1)</f>
        <v>0</v>
      </c>
      <c r="U83" s="115" t="n">
        <f aca="false">SUMIFS(الريسبي!$C$2:$C$1800,الريسبي!$A$2:$A$1800,$A83,الريسبي!$B$2:$B$1800,U$1)</f>
        <v>0</v>
      </c>
      <c r="V83" s="115" t="n">
        <f aca="false">SUMIFS(الريسبي!$C$2:$C$1800,الريسبي!$A$2:$A$1800,$A83,الريسبي!$B$2:$B$1800,V$1)</f>
        <v>0</v>
      </c>
      <c r="W83" s="115" t="n">
        <f aca="false">SUMIFS(الريسبي!$C$2:$C$1800,الريسبي!$A$2:$A$1800,$A83,الريسبي!$B$2:$B$1800,W$1)</f>
        <v>0</v>
      </c>
      <c r="X83" s="115" t="n">
        <f aca="false">SUMIFS(الريسبي!$C$2:$C$1800,الريسبي!$A$2:$A$1800,$A83,الريسبي!$B$2:$B$1800,X$1)</f>
        <v>1</v>
      </c>
      <c r="Y83" s="115" t="n">
        <f aca="false">SUMIFS(الريسبي!$C$2:$C$1800,الريسبي!$A$2:$A$1800,$A83,الريسبي!$B$2:$B$1800,Y$1)</f>
        <v>0</v>
      </c>
      <c r="Z83" s="115" t="n">
        <f aca="false">SUMIFS(الريسبي!$C$2:$C$1800,الريسبي!$A$2:$A$1800,$A83,الريسبي!$B$2:$B$1800,Z$1)</f>
        <v>0</v>
      </c>
      <c r="AA83" s="115" t="n">
        <f aca="false">SUMIFS(الريسبي!$C$2:$C$1800,الريسبي!$A$2:$A$1800,$A83,الريسبي!$B$2:$B$1800,AA$1)</f>
        <v>0</v>
      </c>
      <c r="AB83" s="115" t="n">
        <f aca="false">SUMIFS(الريسبي!$C$2:$C$1800,الريسبي!$A$2:$A$1800,$A83,الريسبي!$B$2:$B$1800,AB$1)</f>
        <v>0</v>
      </c>
      <c r="AC83" s="115" t="n">
        <f aca="false">SUMIFS(الريسبي!$C$2:$C$1800,الريسبي!$A$2:$A$1800,$A83,الريسبي!$B$2:$B$1800,AC$1)</f>
        <v>0</v>
      </c>
      <c r="AD83" s="115" t="n">
        <f aca="false">SUMIFS(الريسبي!$C$2:$C$1800,الريسبي!$A$2:$A$1800,$A83,الريسبي!$B$2:$B$1800,AD$1)</f>
        <v>0</v>
      </c>
      <c r="AE83" s="115" t="n">
        <f aca="false">SUMIFS(الريسبي!$C$2:$C$1800,الريسبي!$A$2:$A$1800,$A83,الريسبي!$B$2:$B$1800,AE$1)</f>
        <v>0</v>
      </c>
      <c r="AF83" s="115" t="n">
        <f aca="false">SUMIFS(الريسبي!$C$2:$C$1800,الريسبي!$A$2:$A$1800,$A83,الريسبي!$B$2:$B$1800,AF$1)</f>
        <v>0</v>
      </c>
      <c r="AG83" s="115" t="n">
        <f aca="false">SUMIFS(الريسبي!$C$2:$C$1800,الريسبي!$A$2:$A$1800,$A83,الريسبي!$B$2:$B$1800,AG$1)</f>
        <v>0</v>
      </c>
      <c r="AH83" s="115" t="n">
        <f aca="false">SUMIFS(الريسبي!$C$2:$C$1800,الريسبي!$A$2:$A$1800,$A83,الريسبي!$B$2:$B$1800,AH$1)</f>
        <v>0</v>
      </c>
      <c r="AI83" s="115" t="n">
        <f aca="false">SUMIFS(الريسبي!$C$2:$C$1800,الريسبي!$A$2:$A$1800,$A83,الريسبي!$B$2:$B$1800,AI$1)</f>
        <v>0</v>
      </c>
      <c r="AJ83" s="115" t="n">
        <f aca="false">SUMIFS(الريسبي!$C$2:$C$1800,الريسبي!$A$2:$A$1800,$A83,الريسبي!$B$2:$B$1800,AJ$1)</f>
        <v>2</v>
      </c>
      <c r="AK83" s="115" t="n">
        <f aca="false">SUMIFS(الريسبي!$C$2:$C$1800,الريسبي!$A$2:$A$1800,$A83,الريسبي!$B$2:$B$1800,AK$1)</f>
        <v>0</v>
      </c>
      <c r="AL83" s="115" t="n">
        <f aca="false">SUMIFS(الريسبي!$C$2:$C$1800,الريسبي!$A$2:$A$1800,$A83,الريسبي!$B$2:$B$1800,AL$1)</f>
        <v>0</v>
      </c>
      <c r="AM83" s="115"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15"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15" t="n">
        <f aca="false">SUMIFS(الريسبي!$C$2:$C$1800,الريسبي!$A$2:$A$1800,$A83,الريسبي!$B$2:$B$1800,AO$1)</f>
        <v>0</v>
      </c>
      <c r="AP83" s="115" t="n">
        <f aca="false">SUMIFS(الريسبي!$C$2:$C$1800,الريسبي!$A$2:$A$1800,$A83,الريسبي!$B$2:$B$1800,AP$1)</f>
        <v>0.02</v>
      </c>
      <c r="AQ83" s="115"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15" t="n">
        <f aca="false">SUMIFS(الريسبي!$C$2:$C$1800,الريسبي!$A$2:$A$1800,$A83,الريسبي!$B$2:$B$1800,AR$1)</f>
        <v>0</v>
      </c>
      <c r="AS83" s="115" t="n">
        <f aca="false">SUMIFS(الريسبي!$C$2:$C$1800,الريسبي!$A$2:$A$1800,$A83,الريسبي!$B$2:$B$1800,AS$1)</f>
        <v>0</v>
      </c>
      <c r="AT83" s="115" t="n">
        <f aca="false">SUMIFS(الريسبي!$C$2:$C$1800,الريسبي!$A$2:$A$1800,$A83,الريسبي!$B$2:$B$1800,AT$1)</f>
        <v>0</v>
      </c>
      <c r="AU83" s="115" t="n">
        <f aca="false">SUMIFS(الريسبي!$C$2:$C$1800,الريسبي!$A$2:$A$1800,$A83,الريسبي!$B$2:$B$1800,AU$1)</f>
        <v>0</v>
      </c>
      <c r="AV83" s="115" t="n">
        <f aca="false">SUMIFS(الريسبي!$C$2:$C$1800,الريسبي!$A$2:$A$1800,$A83,الريسبي!$B$2:$B$1800,AV$1)</f>
        <v>0</v>
      </c>
      <c r="AW83" s="115" t="n">
        <f aca="false">SUMIFS(الريسبي!$C$2:$C$1800,الريسبي!$A$2:$A$1800,$A83,الريسبي!$B$2:$B$1800,AW$1)</f>
        <v>0</v>
      </c>
      <c r="AX83" s="115" t="n">
        <f aca="false">SUMIFS(الريسبي!$C$2:$C$1800,الريسبي!$A$2:$A$1800,$A83,الريسبي!$B$2:$B$1800,AX$1)</f>
        <v>0.04</v>
      </c>
      <c r="AY83" s="115" t="n">
        <f aca="false">SUMIFS(الريسبي!$C$2:$C$1800,الريسبي!$A$2:$A$1800,$A83,الريسبي!$B$2:$B$1800,AY$1)</f>
        <v>0</v>
      </c>
      <c r="AZ83" s="115" t="n">
        <f aca="false">SUMIFS(الريسبي!$C$2:$C$1800,الريسبي!$A$2:$A$1800,$A83,الريسبي!$B$2:$B$1800,AZ$1)</f>
        <v>0</v>
      </c>
      <c r="BA83" s="115" t="n">
        <f aca="false">SUMIFS(الريسبي!$C$2:$C$1800,الريسبي!$A$2:$A$1800,$A83,الريسبي!$B$2:$B$1800,BA$1)</f>
        <v>0</v>
      </c>
      <c r="BB83" s="115" t="n">
        <f aca="false">SUMIFS(الريسبي!$C$2:$C$1800,الريسبي!$A$2:$A$1800,$A83,الريسبي!$B$2:$B$1800,BB$1)</f>
        <v>0</v>
      </c>
      <c r="BC83" s="115" t="n">
        <f aca="false">SUMIFS(الريسبي!$C$2:$C$1800,الريسبي!$A$2:$A$1800,$A83,الريسبي!$B$2:$B$1800,BC$1)</f>
        <v>0.03</v>
      </c>
      <c r="BD83" s="115" t="n">
        <f aca="false">SUMIFS(الريسبي!$C$2:$C$1800,الريسبي!$A$2:$A$1800,$A83,الريسبي!$B$2:$B$1800,BD$1)</f>
        <v>0.22</v>
      </c>
      <c r="BE83" s="115" t="n">
        <f aca="false">SUMIFS(الريسبي!$C$2:$C$1800,الريسبي!$A$2:$A$1800,$A83,الريسبي!$B$2:$B$1800,BE$1)</f>
        <v>0</v>
      </c>
      <c r="BF83" s="115" t="n">
        <f aca="false">SUMIFS(الريسبي!$C$2:$C$1800,الريسبي!$A$2:$A$1800,$A83,الريسبي!$B$2:$B$1800,BF$1)</f>
        <v>0</v>
      </c>
      <c r="BG83" s="115" t="n">
        <f aca="false">SUMIFS(الريسبي!$C$2:$C$1800,الريسبي!$A$2:$A$1800,$A83,الريسبي!$B$2:$B$1800,BG$1)</f>
        <v>0</v>
      </c>
      <c r="BH83" s="115" t="n">
        <f aca="false">SUMIFS(الريسبي!$C$2:$C$1800,الريسبي!$A$2:$A$1800,$A83,الريسبي!$B$2:$B$1800,BH$1)</f>
        <v>1</v>
      </c>
      <c r="BI83" s="115" t="n">
        <f aca="false">SUMIFS(الريسبي!$C$2:$C$1800,الريسبي!$A$2:$A$1800,$A83,الريسبي!$B$2:$B$1800,BI$1)</f>
        <v>0</v>
      </c>
      <c r="BJ83" s="115" t="n">
        <f aca="false">SUMIFS(الريسبي!$C$2:$C$1800,الريسبي!$A$2:$A$1800,$A83,الريسبي!$B$2:$B$1800,BJ$1)</f>
        <v>0</v>
      </c>
      <c r="BK83" s="115" t="n">
        <f aca="false">SUMIFS(الريسبي!$C$2:$C$1800,الريسبي!$A$2:$A$1800,$A83,الريسبي!$B$2:$B$1800,BK$1)</f>
        <v>0</v>
      </c>
      <c r="BL83" s="115" t="n">
        <f aca="false">SUMIFS(الريسبي!$C$2:$C$1800,الريسبي!$A$2:$A$1800,$A83,الريسبي!$B$2:$B$1800,BL$1)</f>
        <v>0</v>
      </c>
      <c r="BM83" s="115" t="n">
        <f aca="false">SUMIFS(الريسبي!$C$2:$C$1800,الريسبي!$A$2:$A$1800,$A83,الريسبي!$B$2:$B$1800,BM$1)</f>
        <v>0</v>
      </c>
      <c r="BN83" s="115" t="n">
        <f aca="false">SUMIFS(الريسبي!$C$2:$C$1800,الريسبي!$A$2:$A$1800,$A83,الريسبي!$B$2:$B$1800,BN$1)</f>
        <v>0.02</v>
      </c>
      <c r="BO83" s="115" t="n">
        <f aca="false">SUMIFS(الريسبي!$C$2:$C$1800,الريسبي!$A$2:$A$1800,$A83,الريسبي!$B$2:$B$1800,BO$1)</f>
        <v>0</v>
      </c>
      <c r="BP83" s="115" t="n">
        <f aca="false">SUMIFS(الريسبي!$C$2:$C$1800,الريسبي!$A$2:$A$1800,$A83,الريسبي!$B$2:$B$1800,BP$1)</f>
        <v>2</v>
      </c>
      <c r="BQ83" s="115"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15" t="n">
        <f aca="false">SUMIFS(الريسبي!$C$2:$C$1800,الريسبي!$A$2:$A$1800,$A83,الريسبي!$B$2:$B$1800,BR$1)</f>
        <v>1</v>
      </c>
      <c r="BS83" s="115" t="n">
        <f aca="false">SUMIFS(الريسبي!$C$2:$C$1800,الريسبي!$A$2:$A$1800,$A83,الريسبي!$B$2:$B$1800,BS$1)</f>
        <v>0</v>
      </c>
      <c r="BT83" s="115" t="n">
        <f aca="false">SUMIFS(الريسبي!$C$2:$C$1800,الريسبي!$A$2:$A$1800,$A83,الريسبي!$B$2:$B$1800,BT$1)</f>
        <v>0</v>
      </c>
      <c r="BU83" s="115"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15" t="n">
        <f aca="false">SUMIFS(الريسبي!$C$2:$C$1800,الريسبي!$A$2:$A$1800,$A83,الريسبي!$B$2:$B$1800,BV$1)</f>
        <v>0</v>
      </c>
      <c r="BW83" s="115" t="n">
        <f aca="false">SUMIFS(الريسبي!$C$2:$C$1800,الريسبي!$A$2:$A$1800,$A83,الريسبي!$B$2:$B$1800,BW$1)</f>
        <v>0</v>
      </c>
      <c r="BX83" s="115" t="n">
        <f aca="false">SUMIFS(الريسبي!$C$2:$C$1800,الريسبي!$A$2:$A$1800,$A83,الريسبي!$B$2:$B$1800,BX$1)</f>
        <v>0</v>
      </c>
      <c r="BY83" s="115" t="n">
        <f aca="false">SUMIFS(الريسبي!$C$2:$C$1800,الريسبي!$A$2:$A$1800,$A83,الريسبي!$B$2:$B$1800,BY$1)</f>
        <v>0</v>
      </c>
      <c r="BZ83" s="115" t="n">
        <f aca="false">SUMIFS(الريسبي!$C$2:$C$1800,الريسبي!$A$2:$A$1800,$A83,الريسبي!$B$2:$B$1800,BZ$1)</f>
        <v>1</v>
      </c>
      <c r="CA83" s="115" t="n">
        <f aca="false">SUMIFS(الريسبي!$C$2:$C$1800,الريسبي!$A$2:$A$1800,$A83,الريسبي!$B$2:$B$1800,CA$1)</f>
        <v>1</v>
      </c>
      <c r="CB83" s="115" t="n">
        <f aca="false">SUMIFS(الريسبي!$C$2:$C$1800,الريسبي!$A$2:$A$1800,$A83,الريسبي!$B$2:$B$1800,CB$1)</f>
        <v>0</v>
      </c>
      <c r="CC83" s="115" t="n">
        <f aca="false">SUMIFS(الريسبي!$C$2:$C$1800,الريسبي!$A$2:$A$1800,$A83,الريسبي!$B$2:$B$1800,CC$1)</f>
        <v>0</v>
      </c>
      <c r="CD83" s="115" t="n">
        <f aca="false">SUMIFS(الريسبي!$C$2:$C$1800,الريسبي!$A$2:$A$1800,$A83,الريسبي!$B$2:$B$1800,CD$1)</f>
        <v>0.14</v>
      </c>
      <c r="CE83" s="115" t="n">
        <f aca="false">SUMIFS(الريسبي!$C$2:$C$1800,الريسبي!$A$2:$A$1800,$A83,الريسبي!$B$2:$B$1800,CE$1)</f>
        <v>0</v>
      </c>
      <c r="CF83" s="115" t="n">
        <f aca="false">SUMIFS(الريسبي!$C$2:$C$1800,الريسبي!$A$2:$A$1800,$A83,الريسبي!$B$2:$B$1800,CF$1)</f>
        <v>0</v>
      </c>
      <c r="CG83" s="115" t="n">
        <f aca="false">SUMIFS(الريسبي!$C$2:$C$1800,الريسبي!$A$2:$A$1800,$A83,الريسبي!$B$2:$B$1800,CG$1)</f>
        <v>0</v>
      </c>
      <c r="CH83" s="115" t="n">
        <f aca="false">SUMIFS(الريسبي!$C$2:$C$1800,الريسبي!$A$2:$A$1800,$A83,الريسبي!$B$2:$B$1800,CH$1)</f>
        <v>0</v>
      </c>
    </row>
    <row r="84" customFormat="false" ht="15" hidden="false" customHeight="false" outlineLevel="0" collapsed="false">
      <c r="A84" s="114" t="str">
        <f aca="false">المنيو!B84</f>
        <v>بيتزا شاورما لحم / فراخ صيامي مخصوص</v>
      </c>
      <c r="B84" s="115" t="n">
        <f aca="false">SUMIFS(الريسبي!$C$2:$C$1800,الريسبي!$A$2:$A$1800,$A84,الريسبي!$B$2:$B$1800,B$1)</f>
        <v>0</v>
      </c>
      <c r="C84" s="115" t="n">
        <f aca="false">SUMIFS(الريسبي!$C$2:$C$1800,الريسبي!$A$2:$A$1800,$A84,الريسبي!$B$2:$B$1800,C$1)</f>
        <v>0</v>
      </c>
      <c r="D84" s="115" t="n">
        <f aca="false">SUMIFS(الريسبي!$C$2:$C$1800,الريسبي!$A$2:$A$1800,$A84,الريسبي!$B$2:$B$1800,D$1)</f>
        <v>1</v>
      </c>
      <c r="E84" s="115" t="n">
        <f aca="false">SUMIFS(الريسبي!$C$2:$C$1800,الريسبي!$A$2:$A$1800,$A84,الريسبي!$B$2:$B$1800,E$1)</f>
        <v>0</v>
      </c>
      <c r="F84" s="115" t="n">
        <f aca="false">SUMIFS(الريسبي!$C$2:$C$1800,الريسبي!$A$2:$A$1800,$A84,الريسبي!$B$2:$B$1800,F$1)</f>
        <v>0</v>
      </c>
      <c r="G84" s="115" t="n">
        <f aca="false">SUMIFS(الريسبي!$C$2:$C$1800,الريسبي!$A$2:$A$1800,$A84,الريسبي!$B$2:$B$1800,G$1)</f>
        <v>0</v>
      </c>
      <c r="H84" s="115" t="n">
        <f aca="false">SUMIFS(الريسبي!$C$2:$C$1800,الريسبي!$A$2:$A$1800,$A84,الريسبي!$B$2:$B$1800,H$1)</f>
        <v>0</v>
      </c>
      <c r="I84" s="115" t="n">
        <f aca="false">SUMIFS(الريسبي!$C$2:$C$1800,الريسبي!$A$2:$A$1800,$A84,الريسبي!$B$2:$B$1800,I$1)</f>
        <v>0</v>
      </c>
      <c r="J84" s="115" t="n">
        <f aca="false">SUMIFS(الريسبي!$C$2:$C$1800,الريسبي!$A$2:$A$1800,$A84,الريسبي!$B$2:$B$1800,J$1)</f>
        <v>0</v>
      </c>
      <c r="K84" s="115" t="n">
        <f aca="false">SUMIFS(الريسبي!$C$2:$C$1800,الريسبي!$A$2:$A$1800,$A84,الريسبي!$B$2:$B$1800,K$1)</f>
        <v>0</v>
      </c>
      <c r="L84" s="115" t="n">
        <f aca="false">SUMIFS(الريسبي!$C$2:$C$1800,الريسبي!$A$2:$A$1800,$A84,الريسبي!$B$2:$B$1800,L$1)</f>
        <v>0</v>
      </c>
      <c r="M84" s="115" t="n">
        <f aca="false">SUMIFS(الريسبي!$C$2:$C$1800,الريسبي!$A$2:$A$1800,$A84,الريسبي!$B$2:$B$1800,M$1)</f>
        <v>0</v>
      </c>
      <c r="N84" s="115" t="n">
        <f aca="false">SUMIFS(الريسبي!$C$2:$C$1800,الريسبي!$A$2:$A$1800,$A84,الريسبي!$B$2:$B$1800,N$1)</f>
        <v>0</v>
      </c>
      <c r="O84" s="115" t="n">
        <f aca="false">SUMIFS(الريسبي!$C$2:$C$1800,الريسبي!$A$2:$A$1800,$A84,الريسبي!$B$2:$B$1800,O$1)</f>
        <v>0</v>
      </c>
      <c r="P84" s="115" t="n">
        <f aca="false">SUMIFS(الريسبي!$C$2:$C$1800,الريسبي!$A$2:$A$1800,$A84,الريسبي!$B$2:$B$1800,P$1)</f>
        <v>0</v>
      </c>
      <c r="Q84" s="115" t="n">
        <f aca="false">SUMIFS(الريسبي!$C$2:$C$1800,الريسبي!$A$2:$A$1800,$A84,الريسبي!$B$2:$B$1800,Q$1)</f>
        <v>0</v>
      </c>
      <c r="R84" s="115" t="n">
        <f aca="false">SUMIFS(الريسبي!$C$2:$C$1800,الريسبي!$A$2:$A$1800,$A84,الريسبي!$B$2:$B$1800,R$1)</f>
        <v>0</v>
      </c>
      <c r="S84" s="115" t="n">
        <f aca="false">SUMIFS(الريسبي!$C$2:$C$1800,الريسبي!$A$2:$A$1800,$A84,الريسبي!$B$2:$B$1800,S$1)</f>
        <v>0</v>
      </c>
      <c r="T84" s="115" t="n">
        <f aca="false">SUMIFS(الريسبي!$C$2:$C$1800,الريسبي!$A$2:$A$1800,$A84,الريسبي!$B$2:$B$1800,T$1)</f>
        <v>0</v>
      </c>
      <c r="U84" s="115" t="n">
        <f aca="false">SUMIFS(الريسبي!$C$2:$C$1800,الريسبي!$A$2:$A$1800,$A84,الريسبي!$B$2:$B$1800,U$1)</f>
        <v>0</v>
      </c>
      <c r="V84" s="115" t="n">
        <f aca="false">SUMIFS(الريسبي!$C$2:$C$1800,الريسبي!$A$2:$A$1800,$A84,الريسبي!$B$2:$B$1800,V$1)</f>
        <v>0</v>
      </c>
      <c r="W84" s="115" t="n">
        <f aca="false">SUMIFS(الريسبي!$C$2:$C$1800,الريسبي!$A$2:$A$1800,$A84,الريسبي!$B$2:$B$1800,W$1)</f>
        <v>0</v>
      </c>
      <c r="X84" s="115" t="n">
        <f aca="false">SUMIFS(الريسبي!$C$2:$C$1800,الريسبي!$A$2:$A$1800,$A84,الريسبي!$B$2:$B$1800,X$1)</f>
        <v>0</v>
      </c>
      <c r="Y84" s="115" t="n">
        <f aca="false">SUMIFS(الريسبي!$C$2:$C$1800,الريسبي!$A$2:$A$1800,$A84,الريسبي!$B$2:$B$1800,Y$1)</f>
        <v>1</v>
      </c>
      <c r="Z84" s="115" t="n">
        <f aca="false">SUMIFS(الريسبي!$C$2:$C$1800,الريسبي!$A$2:$A$1800,$A84,الريسبي!$B$2:$B$1800,Z$1)</f>
        <v>0</v>
      </c>
      <c r="AA84" s="115" t="n">
        <f aca="false">SUMIFS(الريسبي!$C$2:$C$1800,الريسبي!$A$2:$A$1800,$A84,الريسبي!$B$2:$B$1800,AA$1)</f>
        <v>0</v>
      </c>
      <c r="AB84" s="115" t="n">
        <f aca="false">SUMIFS(الريسبي!$C$2:$C$1800,الريسبي!$A$2:$A$1800,$A84,الريسبي!$B$2:$B$1800,AB$1)</f>
        <v>0</v>
      </c>
      <c r="AC84" s="115" t="n">
        <f aca="false">SUMIFS(الريسبي!$C$2:$C$1800,الريسبي!$A$2:$A$1800,$A84,الريسبي!$B$2:$B$1800,AC$1)</f>
        <v>0</v>
      </c>
      <c r="AD84" s="115" t="n">
        <f aca="false">SUMIFS(الريسبي!$C$2:$C$1800,الريسبي!$A$2:$A$1800,$A84,الريسبي!$B$2:$B$1800,AD$1)</f>
        <v>0</v>
      </c>
      <c r="AE84" s="115" t="n">
        <f aca="false">SUMIFS(الريسبي!$C$2:$C$1800,الريسبي!$A$2:$A$1800,$A84,الريسبي!$B$2:$B$1800,AE$1)</f>
        <v>0</v>
      </c>
      <c r="AF84" s="115" t="n">
        <f aca="false">SUMIFS(الريسبي!$C$2:$C$1800,الريسبي!$A$2:$A$1800,$A84,الريسبي!$B$2:$B$1800,AF$1)</f>
        <v>0</v>
      </c>
      <c r="AG84" s="115" t="n">
        <f aca="false">SUMIFS(الريسبي!$C$2:$C$1800,الريسبي!$A$2:$A$1800,$A84,الريسبي!$B$2:$B$1800,AG$1)</f>
        <v>0</v>
      </c>
      <c r="AH84" s="115" t="n">
        <f aca="false">SUMIFS(الريسبي!$C$2:$C$1800,الريسبي!$A$2:$A$1800,$A84,الريسبي!$B$2:$B$1800,AH$1)</f>
        <v>0</v>
      </c>
      <c r="AI84" s="115" t="n">
        <f aca="false">SUMIFS(الريسبي!$C$2:$C$1800,الريسبي!$A$2:$A$1800,$A84,الريسبي!$B$2:$B$1800,AI$1)</f>
        <v>0</v>
      </c>
      <c r="AJ84" s="115" t="n">
        <f aca="false">SUMIFS(الريسبي!$C$2:$C$1800,الريسبي!$A$2:$A$1800,$A84,الريسبي!$B$2:$B$1800,AJ$1)</f>
        <v>2</v>
      </c>
      <c r="AK84" s="115" t="n">
        <f aca="false">SUMIFS(الريسبي!$C$2:$C$1800,الريسبي!$A$2:$A$1800,$A84,الريسبي!$B$2:$B$1800,AK$1)</f>
        <v>0</v>
      </c>
      <c r="AL84" s="115" t="n">
        <f aca="false">SUMIFS(الريسبي!$C$2:$C$1800,الريسبي!$A$2:$A$1800,$A84,الريسبي!$B$2:$B$1800,AL$1)</f>
        <v>0</v>
      </c>
      <c r="AM84" s="115"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15"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15" t="n">
        <f aca="false">SUMIFS(الريسبي!$C$2:$C$1800,الريسبي!$A$2:$A$1800,$A84,الريسبي!$B$2:$B$1800,AO$1)</f>
        <v>0</v>
      </c>
      <c r="AP84" s="115" t="n">
        <f aca="false">SUMIFS(الريسبي!$C$2:$C$1800,الريسبي!$A$2:$A$1800,$A84,الريسبي!$B$2:$B$1800,AP$1)</f>
        <v>0.03</v>
      </c>
      <c r="AQ84" s="115"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15" t="n">
        <f aca="false">SUMIFS(الريسبي!$C$2:$C$1800,الريسبي!$A$2:$A$1800,$A84,الريسبي!$B$2:$B$1800,AR$1)</f>
        <v>0</v>
      </c>
      <c r="AS84" s="115" t="n">
        <f aca="false">SUMIFS(الريسبي!$C$2:$C$1800,الريسبي!$A$2:$A$1800,$A84,الريسبي!$B$2:$B$1800,AS$1)</f>
        <v>0</v>
      </c>
      <c r="AT84" s="115" t="n">
        <f aca="false">SUMIFS(الريسبي!$C$2:$C$1800,الريسبي!$A$2:$A$1800,$A84,الريسبي!$B$2:$B$1800,AT$1)</f>
        <v>0</v>
      </c>
      <c r="AU84" s="115" t="n">
        <f aca="false">SUMIFS(الريسبي!$C$2:$C$1800,الريسبي!$A$2:$A$1800,$A84,الريسبي!$B$2:$B$1800,AU$1)</f>
        <v>0</v>
      </c>
      <c r="AV84" s="115" t="n">
        <f aca="false">SUMIFS(الريسبي!$C$2:$C$1800,الريسبي!$A$2:$A$1800,$A84,الريسبي!$B$2:$B$1800,AV$1)</f>
        <v>0</v>
      </c>
      <c r="AW84" s="115" t="n">
        <f aca="false">SUMIFS(الريسبي!$C$2:$C$1800,الريسبي!$A$2:$A$1800,$A84,الريسبي!$B$2:$B$1800,AW$1)</f>
        <v>0</v>
      </c>
      <c r="AX84" s="115" t="n">
        <f aca="false">SUMIFS(الريسبي!$C$2:$C$1800,الريسبي!$A$2:$A$1800,$A84,الريسبي!$B$2:$B$1800,AX$1)</f>
        <v>0.06</v>
      </c>
      <c r="AY84" s="115" t="n">
        <f aca="false">SUMIFS(الريسبي!$C$2:$C$1800,الريسبي!$A$2:$A$1800,$A84,الريسبي!$B$2:$B$1800,AY$1)</f>
        <v>0</v>
      </c>
      <c r="AZ84" s="115" t="n">
        <f aca="false">SUMIFS(الريسبي!$C$2:$C$1800,الريسبي!$A$2:$A$1800,$A84,الريسبي!$B$2:$B$1800,AZ$1)</f>
        <v>0</v>
      </c>
      <c r="BA84" s="115" t="n">
        <f aca="false">SUMIFS(الريسبي!$C$2:$C$1800,الريسبي!$A$2:$A$1800,$A84,الريسبي!$B$2:$B$1800,BA$1)</f>
        <v>0</v>
      </c>
      <c r="BB84" s="115" t="n">
        <f aca="false">SUMIFS(الريسبي!$C$2:$C$1800,الريسبي!$A$2:$A$1800,$A84,الريسبي!$B$2:$B$1800,BB$1)</f>
        <v>0</v>
      </c>
      <c r="BC84" s="115" t="n">
        <f aca="false">SUMIFS(الريسبي!$C$2:$C$1800,الريسبي!$A$2:$A$1800,$A84,الريسبي!$B$2:$B$1800,BC$1)</f>
        <v>0.045</v>
      </c>
      <c r="BD84" s="115" t="n">
        <f aca="false">SUMIFS(الريسبي!$C$2:$C$1800,الريسبي!$A$2:$A$1800,$A84,الريسبي!$B$2:$B$1800,BD$1)</f>
        <v>0.3</v>
      </c>
      <c r="BE84" s="115" t="n">
        <f aca="false">SUMIFS(الريسبي!$C$2:$C$1800,الريسبي!$A$2:$A$1800,$A84,الريسبي!$B$2:$B$1800,BE$1)</f>
        <v>0</v>
      </c>
      <c r="BF84" s="115" t="n">
        <f aca="false">SUMIFS(الريسبي!$C$2:$C$1800,الريسبي!$A$2:$A$1800,$A84,الريسبي!$B$2:$B$1800,BF$1)</f>
        <v>0</v>
      </c>
      <c r="BG84" s="115" t="n">
        <f aca="false">SUMIFS(الريسبي!$C$2:$C$1800,الريسبي!$A$2:$A$1800,$A84,الريسبي!$B$2:$B$1800,BG$1)</f>
        <v>1</v>
      </c>
      <c r="BH84" s="115" t="n">
        <f aca="false">SUMIFS(الريسبي!$C$2:$C$1800,الريسبي!$A$2:$A$1800,$A84,الريسبي!$B$2:$B$1800,BH$1)</f>
        <v>0</v>
      </c>
      <c r="BI84" s="115" t="n">
        <f aca="false">SUMIFS(الريسبي!$C$2:$C$1800,الريسبي!$A$2:$A$1800,$A84,الريسبي!$B$2:$B$1800,BI$1)</f>
        <v>0</v>
      </c>
      <c r="BJ84" s="115" t="n">
        <f aca="false">SUMIFS(الريسبي!$C$2:$C$1800,الريسبي!$A$2:$A$1800,$A84,الريسبي!$B$2:$B$1800,BJ$1)</f>
        <v>0</v>
      </c>
      <c r="BK84" s="115" t="n">
        <f aca="false">SUMIFS(الريسبي!$C$2:$C$1800,الريسبي!$A$2:$A$1800,$A84,الريسبي!$B$2:$B$1800,BK$1)</f>
        <v>0</v>
      </c>
      <c r="BL84" s="115" t="n">
        <f aca="false">SUMIFS(الريسبي!$C$2:$C$1800,الريسبي!$A$2:$A$1800,$A84,الريسبي!$B$2:$B$1800,BL$1)</f>
        <v>0</v>
      </c>
      <c r="BM84" s="115" t="n">
        <f aca="false">SUMIFS(الريسبي!$C$2:$C$1800,الريسبي!$A$2:$A$1800,$A84,الريسبي!$B$2:$B$1800,BM$1)</f>
        <v>0</v>
      </c>
      <c r="BN84" s="115" t="n">
        <f aca="false">SUMIFS(الريسبي!$C$2:$C$1800,الريسبي!$A$2:$A$1800,$A84,الريسبي!$B$2:$B$1800,BN$1)</f>
        <v>0.03</v>
      </c>
      <c r="BO84" s="115" t="n">
        <f aca="false">SUMIFS(الريسبي!$C$2:$C$1800,الريسبي!$A$2:$A$1800,$A84,الريسبي!$B$2:$B$1800,BO$1)</f>
        <v>0</v>
      </c>
      <c r="BP84" s="115" t="n">
        <f aca="false">SUMIFS(الريسبي!$C$2:$C$1800,الريسبي!$A$2:$A$1800,$A84,الريسبي!$B$2:$B$1800,BP$1)</f>
        <v>3</v>
      </c>
      <c r="BQ84" s="115"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15" t="n">
        <f aca="false">SUMIFS(الريسبي!$C$2:$C$1800,الريسبي!$A$2:$A$1800,$A84,الريسبي!$B$2:$B$1800,BR$1)</f>
        <v>1</v>
      </c>
      <c r="BS84" s="115" t="n">
        <f aca="false">SUMIFS(الريسبي!$C$2:$C$1800,الريسبي!$A$2:$A$1800,$A84,الريسبي!$B$2:$B$1800,BS$1)</f>
        <v>0</v>
      </c>
      <c r="BT84" s="115" t="n">
        <f aca="false">SUMIFS(الريسبي!$C$2:$C$1800,الريسبي!$A$2:$A$1800,$A84,الريسبي!$B$2:$B$1800,BT$1)</f>
        <v>0</v>
      </c>
      <c r="BU84" s="115"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15" t="n">
        <f aca="false">SUMIFS(الريسبي!$C$2:$C$1800,الريسبي!$A$2:$A$1800,$A84,الريسبي!$B$2:$B$1800,BV$1)</f>
        <v>0</v>
      </c>
      <c r="BW84" s="115" t="n">
        <f aca="false">SUMIFS(الريسبي!$C$2:$C$1800,الريسبي!$A$2:$A$1800,$A84,الريسبي!$B$2:$B$1800,BW$1)</f>
        <v>0</v>
      </c>
      <c r="BX84" s="115" t="n">
        <f aca="false">SUMIFS(الريسبي!$C$2:$C$1800,الريسبي!$A$2:$A$1800,$A84,الريسبي!$B$2:$B$1800,BX$1)</f>
        <v>0</v>
      </c>
      <c r="BY84" s="115" t="n">
        <f aca="false">SUMIFS(الريسبي!$C$2:$C$1800,الريسبي!$A$2:$A$1800,$A84,الريسبي!$B$2:$B$1800,BY$1)</f>
        <v>0</v>
      </c>
      <c r="BZ84" s="115" t="n">
        <f aca="false">SUMIFS(الريسبي!$C$2:$C$1800,الريسبي!$A$2:$A$1800,$A84,الريسبي!$B$2:$B$1800,BZ$1)</f>
        <v>1</v>
      </c>
      <c r="CA84" s="115" t="n">
        <f aca="false">SUMIFS(الريسبي!$C$2:$C$1800,الريسبي!$A$2:$A$1800,$A84,الريسبي!$B$2:$B$1800,CA$1)</f>
        <v>1</v>
      </c>
      <c r="CB84" s="115" t="n">
        <f aca="false">SUMIFS(الريسبي!$C$2:$C$1800,الريسبي!$A$2:$A$1800,$A84,الريسبي!$B$2:$B$1800,CB$1)</f>
        <v>0</v>
      </c>
      <c r="CC84" s="115" t="n">
        <f aca="false">SUMIFS(الريسبي!$C$2:$C$1800,الريسبي!$A$2:$A$1800,$A84,الريسبي!$B$2:$B$1800,CC$1)</f>
        <v>0</v>
      </c>
      <c r="CD84" s="115" t="n">
        <f aca="false">SUMIFS(الريسبي!$C$2:$C$1800,الريسبي!$A$2:$A$1800,$A84,الريسبي!$B$2:$B$1800,CD$1)</f>
        <v>0.21</v>
      </c>
      <c r="CE84" s="115" t="n">
        <f aca="false">SUMIFS(الريسبي!$C$2:$C$1800,الريسبي!$A$2:$A$1800,$A84,الريسبي!$B$2:$B$1800,CE$1)</f>
        <v>0</v>
      </c>
      <c r="CF84" s="115" t="n">
        <f aca="false">SUMIFS(الريسبي!$C$2:$C$1800,الريسبي!$A$2:$A$1800,$A84,الريسبي!$B$2:$B$1800,CF$1)</f>
        <v>0</v>
      </c>
      <c r="CG84" s="115" t="n">
        <f aca="false">SUMIFS(الريسبي!$C$2:$C$1800,الريسبي!$A$2:$A$1800,$A84,الريسبي!$B$2:$B$1800,CG$1)</f>
        <v>0</v>
      </c>
      <c r="CH84" s="115" t="n">
        <f aca="false">SUMIFS(الريسبي!$C$2:$C$1800,الريسبي!$A$2:$A$1800,$A84,الريسبي!$B$2:$B$1800,CH$1)</f>
        <v>0</v>
      </c>
    </row>
    <row r="85" customFormat="false" ht="15" hidden="false" customHeight="false" outlineLevel="0" collapsed="false">
      <c r="A85" s="114" t="str">
        <f aca="false">المنيو!B85</f>
        <v>بيتزا مشكل جبن صيامي وسط</v>
      </c>
      <c r="B85" s="115" t="n">
        <f aca="false">SUMIFS(الريسبي!$C$2:$C$1800,الريسبي!$A$2:$A$1800,$A85,الريسبي!$B$2:$B$1800,B$1)</f>
        <v>0</v>
      </c>
      <c r="C85" s="115" t="n">
        <f aca="false">SUMIFS(الريسبي!$C$2:$C$1800,الريسبي!$A$2:$A$1800,$A85,الريسبي!$B$2:$B$1800,C$1)</f>
        <v>0</v>
      </c>
      <c r="D85" s="115" t="n">
        <f aca="false">SUMIFS(الريسبي!$C$2:$C$1800,الريسبي!$A$2:$A$1800,$A85,الريسبي!$B$2:$B$1800,D$1)</f>
        <v>1</v>
      </c>
      <c r="E85" s="115" t="n">
        <f aca="false">SUMIFS(الريسبي!$C$2:$C$1800,الريسبي!$A$2:$A$1800,$A85,الريسبي!$B$2:$B$1800,E$1)</f>
        <v>0</v>
      </c>
      <c r="F85" s="115" t="n">
        <f aca="false">SUMIFS(الريسبي!$C$2:$C$1800,الريسبي!$A$2:$A$1800,$A85,الريسبي!$B$2:$B$1800,F$1)</f>
        <v>0</v>
      </c>
      <c r="G85" s="115" t="n">
        <f aca="false">SUMIFS(الريسبي!$C$2:$C$1800,الريسبي!$A$2:$A$1800,$A85,الريسبي!$B$2:$B$1800,G$1)</f>
        <v>0</v>
      </c>
      <c r="H85" s="115" t="n">
        <f aca="false">SUMIFS(الريسبي!$C$2:$C$1800,الريسبي!$A$2:$A$1800,$A85,الريسبي!$B$2:$B$1800,H$1)</f>
        <v>0</v>
      </c>
      <c r="I85" s="115" t="n">
        <f aca="false">SUMIFS(الريسبي!$C$2:$C$1800,الريسبي!$A$2:$A$1800,$A85,الريسبي!$B$2:$B$1800,I$1)</f>
        <v>0</v>
      </c>
      <c r="J85" s="115" t="n">
        <f aca="false">SUMIFS(الريسبي!$C$2:$C$1800,الريسبي!$A$2:$A$1800,$A85,الريسبي!$B$2:$B$1800,J$1)</f>
        <v>0</v>
      </c>
      <c r="K85" s="115" t="n">
        <f aca="false">SUMIFS(الريسبي!$C$2:$C$1800,الريسبي!$A$2:$A$1800,$A85,الريسبي!$B$2:$B$1800,K$1)</f>
        <v>0</v>
      </c>
      <c r="L85" s="115" t="n">
        <f aca="false">SUMIFS(الريسبي!$C$2:$C$1800,الريسبي!$A$2:$A$1800,$A85,الريسبي!$B$2:$B$1800,L$1)</f>
        <v>0</v>
      </c>
      <c r="M85" s="115" t="n">
        <f aca="false">SUMIFS(الريسبي!$C$2:$C$1800,الريسبي!$A$2:$A$1800,$A85,الريسبي!$B$2:$B$1800,M$1)</f>
        <v>0</v>
      </c>
      <c r="N85" s="115" t="n">
        <f aca="false">SUMIFS(الريسبي!$C$2:$C$1800,الريسبي!$A$2:$A$1800,$A85,الريسبي!$B$2:$B$1800,N$1)</f>
        <v>0</v>
      </c>
      <c r="O85" s="115" t="n">
        <f aca="false">SUMIFS(الريسبي!$C$2:$C$1800,الريسبي!$A$2:$A$1800,$A85,الريسبي!$B$2:$B$1800,O$1)</f>
        <v>0</v>
      </c>
      <c r="P85" s="115" t="n">
        <f aca="false">SUMIFS(الريسبي!$C$2:$C$1800,الريسبي!$A$2:$A$1800,$A85,الريسبي!$B$2:$B$1800,P$1)</f>
        <v>0</v>
      </c>
      <c r="Q85" s="115" t="n">
        <f aca="false">SUMIFS(الريسبي!$C$2:$C$1800,الريسبي!$A$2:$A$1800,$A85,الريسبي!$B$2:$B$1800,Q$1)</f>
        <v>0</v>
      </c>
      <c r="R85" s="115" t="n">
        <f aca="false">SUMIFS(الريسبي!$C$2:$C$1800,الريسبي!$A$2:$A$1800,$A85,الريسبي!$B$2:$B$1800,R$1)</f>
        <v>0</v>
      </c>
      <c r="S85" s="115" t="n">
        <f aca="false">SUMIFS(الريسبي!$C$2:$C$1800,الريسبي!$A$2:$A$1800,$A85,الريسبي!$B$2:$B$1800,S$1)</f>
        <v>0</v>
      </c>
      <c r="T85" s="115" t="n">
        <f aca="false">SUMIFS(الريسبي!$C$2:$C$1800,الريسبي!$A$2:$A$1800,$A85,الريسبي!$B$2:$B$1800,T$1)</f>
        <v>0</v>
      </c>
      <c r="U85" s="115" t="n">
        <f aca="false">SUMIFS(الريسبي!$C$2:$C$1800,الريسبي!$A$2:$A$1800,$A85,الريسبي!$B$2:$B$1800,U$1)</f>
        <v>0</v>
      </c>
      <c r="V85" s="115" t="n">
        <f aca="false">SUMIFS(الريسبي!$C$2:$C$1800,الريسبي!$A$2:$A$1800,$A85,الريسبي!$B$2:$B$1800,V$1)</f>
        <v>0</v>
      </c>
      <c r="W85" s="115" t="n">
        <f aca="false">SUMIFS(الريسبي!$C$2:$C$1800,الريسبي!$A$2:$A$1800,$A85,الريسبي!$B$2:$B$1800,W$1)</f>
        <v>0</v>
      </c>
      <c r="X85" s="115" t="n">
        <f aca="false">SUMIFS(الريسبي!$C$2:$C$1800,الريسبي!$A$2:$A$1800,$A85,الريسبي!$B$2:$B$1800,X$1)</f>
        <v>1</v>
      </c>
      <c r="Y85" s="115" t="n">
        <f aca="false">SUMIFS(الريسبي!$C$2:$C$1800,الريسبي!$A$2:$A$1800,$A85,الريسبي!$B$2:$B$1800,Y$1)</f>
        <v>0</v>
      </c>
      <c r="Z85" s="115" t="n">
        <f aca="false">SUMIFS(الريسبي!$C$2:$C$1800,الريسبي!$A$2:$A$1800,$A85,الريسبي!$B$2:$B$1800,Z$1)</f>
        <v>0</v>
      </c>
      <c r="AA85" s="115" t="n">
        <f aca="false">SUMIFS(الريسبي!$C$2:$C$1800,الريسبي!$A$2:$A$1800,$A85,الريسبي!$B$2:$B$1800,AA$1)</f>
        <v>0</v>
      </c>
      <c r="AB85" s="115" t="n">
        <f aca="false">SUMIFS(الريسبي!$C$2:$C$1800,الريسبي!$A$2:$A$1800,$A85,الريسبي!$B$2:$B$1800,AB$1)</f>
        <v>0</v>
      </c>
      <c r="AC85" s="115" t="n">
        <f aca="false">SUMIFS(الريسبي!$C$2:$C$1800,الريسبي!$A$2:$A$1800,$A85,الريسبي!$B$2:$B$1800,AC$1)</f>
        <v>0</v>
      </c>
      <c r="AD85" s="115" t="n">
        <f aca="false">SUMIFS(الريسبي!$C$2:$C$1800,الريسبي!$A$2:$A$1800,$A85,الريسبي!$B$2:$B$1800,AD$1)</f>
        <v>0</v>
      </c>
      <c r="AE85" s="115" t="n">
        <f aca="false">SUMIFS(الريسبي!$C$2:$C$1800,الريسبي!$A$2:$A$1800,$A85,الريسبي!$B$2:$B$1800,AE$1)</f>
        <v>0</v>
      </c>
      <c r="AF85" s="115" t="n">
        <f aca="false">SUMIFS(الريسبي!$C$2:$C$1800,الريسبي!$A$2:$A$1800,$A85,الريسبي!$B$2:$B$1800,AF$1)</f>
        <v>0</v>
      </c>
      <c r="AG85" s="115" t="n">
        <f aca="false">SUMIFS(الريسبي!$C$2:$C$1800,الريسبي!$A$2:$A$1800,$A85,الريسبي!$B$2:$B$1800,AG$1)</f>
        <v>0</v>
      </c>
      <c r="AH85" s="115" t="n">
        <f aca="false">SUMIFS(الريسبي!$C$2:$C$1800,الريسبي!$A$2:$A$1800,$A85,الريسبي!$B$2:$B$1800,AH$1)</f>
        <v>0</v>
      </c>
      <c r="AI85" s="115" t="n">
        <f aca="false">SUMIFS(الريسبي!$C$2:$C$1800,الريسبي!$A$2:$A$1800,$A85,الريسبي!$B$2:$B$1800,AI$1)</f>
        <v>0.1</v>
      </c>
      <c r="AJ85" s="115" t="n">
        <f aca="false">SUMIFS(الريسبي!$C$2:$C$1800,الريسبي!$A$2:$A$1800,$A85,الريسبي!$B$2:$B$1800,AJ$1)</f>
        <v>2</v>
      </c>
      <c r="AK85" s="115" t="n">
        <f aca="false">SUMIFS(الريسبي!$C$2:$C$1800,الريسبي!$A$2:$A$1800,$A85,الريسبي!$B$2:$B$1800,AK$1)</f>
        <v>0</v>
      </c>
      <c r="AL85" s="115" t="n">
        <f aca="false">SUMIFS(الريسبي!$C$2:$C$1800,الريسبي!$A$2:$A$1800,$A85,الريسبي!$B$2:$B$1800,AL$1)</f>
        <v>0</v>
      </c>
      <c r="AM85" s="115"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15"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15" t="n">
        <f aca="false">SUMIFS(الريسبي!$C$2:$C$1800,الريسبي!$A$2:$A$1800,$A85,الريسبي!$B$2:$B$1800,AO$1)</f>
        <v>0</v>
      </c>
      <c r="AP85" s="115" t="n">
        <f aca="false">SUMIFS(الريسبي!$C$2:$C$1800,الريسبي!$A$2:$A$1800,$A85,الريسبي!$B$2:$B$1800,AP$1)</f>
        <v>0.02</v>
      </c>
      <c r="AQ85" s="115"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15" t="n">
        <f aca="false">SUMIFS(الريسبي!$C$2:$C$1800,الريسبي!$A$2:$A$1800,$A85,الريسبي!$B$2:$B$1800,AR$1)</f>
        <v>0</v>
      </c>
      <c r="AS85" s="115" t="n">
        <f aca="false">SUMIFS(الريسبي!$C$2:$C$1800,الريسبي!$A$2:$A$1800,$A85,الريسبي!$B$2:$B$1800,AS$1)</f>
        <v>0</v>
      </c>
      <c r="AT85" s="115" t="n">
        <f aca="false">SUMIFS(الريسبي!$C$2:$C$1800,الريسبي!$A$2:$A$1800,$A85,الريسبي!$B$2:$B$1800,AT$1)</f>
        <v>0</v>
      </c>
      <c r="AU85" s="115" t="n">
        <f aca="false">SUMIFS(الريسبي!$C$2:$C$1800,الريسبي!$A$2:$A$1800,$A85,الريسبي!$B$2:$B$1800,AU$1)</f>
        <v>0</v>
      </c>
      <c r="AV85" s="115" t="n">
        <f aca="false">SUMIFS(الريسبي!$C$2:$C$1800,الريسبي!$A$2:$A$1800,$A85,الريسبي!$B$2:$B$1800,AV$1)</f>
        <v>0</v>
      </c>
      <c r="AW85" s="115" t="n">
        <f aca="false">SUMIFS(الريسبي!$C$2:$C$1800,الريسبي!$A$2:$A$1800,$A85,الريسبي!$B$2:$B$1800,AW$1)</f>
        <v>0</v>
      </c>
      <c r="AX85" s="115" t="n">
        <f aca="false">SUMIFS(الريسبي!$C$2:$C$1800,الريسبي!$A$2:$A$1800,$A85,الريسبي!$B$2:$B$1800,AX$1)</f>
        <v>0.04</v>
      </c>
      <c r="AY85" s="115" t="n">
        <f aca="false">SUMIFS(الريسبي!$C$2:$C$1800,الريسبي!$A$2:$A$1800,$A85,الريسبي!$B$2:$B$1800,AY$1)</f>
        <v>0</v>
      </c>
      <c r="AZ85" s="115" t="n">
        <f aca="false">SUMIFS(الريسبي!$C$2:$C$1800,الريسبي!$A$2:$A$1800,$A85,الريسبي!$B$2:$B$1800,AZ$1)</f>
        <v>0</v>
      </c>
      <c r="BA85" s="115" t="n">
        <f aca="false">SUMIFS(الريسبي!$C$2:$C$1800,الريسبي!$A$2:$A$1800,$A85,الريسبي!$B$2:$B$1800,BA$1)</f>
        <v>0</v>
      </c>
      <c r="BB85" s="115" t="n">
        <f aca="false">SUMIFS(الريسبي!$C$2:$C$1800,الريسبي!$A$2:$A$1800,$A85,الريسبي!$B$2:$B$1800,BB$1)</f>
        <v>0</v>
      </c>
      <c r="BC85" s="115" t="n">
        <f aca="false">SUMIFS(الريسبي!$C$2:$C$1800,الريسبي!$A$2:$A$1800,$A85,الريسبي!$B$2:$B$1800,BC$1)</f>
        <v>0.03</v>
      </c>
      <c r="BD85" s="115" t="n">
        <f aca="false">SUMIFS(الريسبي!$C$2:$C$1800,الريسبي!$A$2:$A$1800,$A85,الريسبي!$B$2:$B$1800,BD$1)</f>
        <v>0.22</v>
      </c>
      <c r="BE85" s="115" t="n">
        <f aca="false">SUMIFS(الريسبي!$C$2:$C$1800,الريسبي!$A$2:$A$1800,$A85,الريسبي!$B$2:$B$1800,BE$1)</f>
        <v>0</v>
      </c>
      <c r="BF85" s="115" t="n">
        <f aca="false">SUMIFS(الريسبي!$C$2:$C$1800,الريسبي!$A$2:$A$1800,$A85,الريسبي!$B$2:$B$1800,BF$1)</f>
        <v>0</v>
      </c>
      <c r="BG85" s="115" t="n">
        <f aca="false">SUMIFS(الريسبي!$C$2:$C$1800,الريسبي!$A$2:$A$1800,$A85,الريسبي!$B$2:$B$1800,BG$1)</f>
        <v>0</v>
      </c>
      <c r="BH85" s="115" t="n">
        <f aca="false">SUMIFS(الريسبي!$C$2:$C$1800,الريسبي!$A$2:$A$1800,$A85,الريسبي!$B$2:$B$1800,BH$1)</f>
        <v>1</v>
      </c>
      <c r="BI85" s="115" t="n">
        <f aca="false">SUMIFS(الريسبي!$C$2:$C$1800,الريسبي!$A$2:$A$1800,$A85,الريسبي!$B$2:$B$1800,BI$1)</f>
        <v>0</v>
      </c>
      <c r="BJ85" s="115" t="n">
        <f aca="false">SUMIFS(الريسبي!$C$2:$C$1800,الريسبي!$A$2:$A$1800,$A85,الريسبي!$B$2:$B$1800,BJ$1)</f>
        <v>0</v>
      </c>
      <c r="BK85" s="115" t="n">
        <f aca="false">SUMIFS(الريسبي!$C$2:$C$1800,الريسبي!$A$2:$A$1800,$A85,الريسبي!$B$2:$B$1800,BK$1)</f>
        <v>0</v>
      </c>
      <c r="BL85" s="115" t="n">
        <f aca="false">SUMIFS(الريسبي!$C$2:$C$1800,الريسبي!$A$2:$A$1800,$A85,الريسبي!$B$2:$B$1800,BL$1)</f>
        <v>0</v>
      </c>
      <c r="BM85" s="115" t="n">
        <f aca="false">SUMIFS(الريسبي!$C$2:$C$1800,الريسبي!$A$2:$A$1800,$A85,الريسبي!$B$2:$B$1800,BM$1)</f>
        <v>0</v>
      </c>
      <c r="BN85" s="115" t="n">
        <f aca="false">SUMIFS(الريسبي!$C$2:$C$1800,الريسبي!$A$2:$A$1800,$A85,الريسبي!$B$2:$B$1800,BN$1)</f>
        <v>0.02</v>
      </c>
      <c r="BO85" s="115" t="n">
        <f aca="false">SUMIFS(الريسبي!$C$2:$C$1800,الريسبي!$A$2:$A$1800,$A85,الريسبي!$B$2:$B$1800,BO$1)</f>
        <v>0</v>
      </c>
      <c r="BP85" s="115" t="n">
        <f aca="false">SUMIFS(الريسبي!$C$2:$C$1800,الريسبي!$A$2:$A$1800,$A85,الريسبي!$B$2:$B$1800,BP$1)</f>
        <v>2</v>
      </c>
      <c r="BQ85" s="115"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15" t="n">
        <f aca="false">SUMIFS(الريسبي!$C$2:$C$1800,الريسبي!$A$2:$A$1800,$A85,الريسبي!$B$2:$B$1800,BR$1)</f>
        <v>1</v>
      </c>
      <c r="BS85" s="115" t="n">
        <f aca="false">SUMIFS(الريسبي!$C$2:$C$1800,الريسبي!$A$2:$A$1800,$A85,الريسبي!$B$2:$B$1800,BS$1)</f>
        <v>0</v>
      </c>
      <c r="BT85" s="115" t="n">
        <f aca="false">SUMIFS(الريسبي!$C$2:$C$1800,الريسبي!$A$2:$A$1800,$A85,الريسبي!$B$2:$B$1800,BT$1)</f>
        <v>0</v>
      </c>
      <c r="BU85" s="115"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15" t="n">
        <f aca="false">SUMIFS(الريسبي!$C$2:$C$1800,الريسبي!$A$2:$A$1800,$A85,الريسبي!$B$2:$B$1800,BV$1)</f>
        <v>0</v>
      </c>
      <c r="BW85" s="115" t="n">
        <f aca="false">SUMIFS(الريسبي!$C$2:$C$1800,الريسبي!$A$2:$A$1800,$A85,الريسبي!$B$2:$B$1800,BW$1)</f>
        <v>0</v>
      </c>
      <c r="BX85" s="115" t="n">
        <f aca="false">SUMIFS(الريسبي!$C$2:$C$1800,الريسبي!$A$2:$A$1800,$A85,الريسبي!$B$2:$B$1800,BX$1)</f>
        <v>0</v>
      </c>
      <c r="BY85" s="115" t="n">
        <f aca="false">SUMIFS(الريسبي!$C$2:$C$1800,الريسبي!$A$2:$A$1800,$A85,الريسبي!$B$2:$B$1800,BY$1)</f>
        <v>0</v>
      </c>
      <c r="BZ85" s="115" t="n">
        <f aca="false">SUMIFS(الريسبي!$C$2:$C$1800,الريسبي!$A$2:$A$1800,$A85,الريسبي!$B$2:$B$1800,BZ$1)</f>
        <v>1</v>
      </c>
      <c r="CA85" s="115" t="n">
        <f aca="false">SUMIFS(الريسبي!$C$2:$C$1800,الريسبي!$A$2:$A$1800,$A85,الريسبي!$B$2:$B$1800,CA$1)</f>
        <v>1</v>
      </c>
      <c r="CB85" s="115" t="n">
        <f aca="false">SUMIFS(الريسبي!$C$2:$C$1800,الريسبي!$A$2:$A$1800,$A85,الريسبي!$B$2:$B$1800,CB$1)</f>
        <v>0</v>
      </c>
      <c r="CC85" s="115" t="n">
        <f aca="false">SUMIFS(الريسبي!$C$2:$C$1800,الريسبي!$A$2:$A$1800,$A85,الريسبي!$B$2:$B$1800,CC$1)</f>
        <v>0</v>
      </c>
      <c r="CD85" s="115" t="n">
        <f aca="false">SUMIFS(الريسبي!$C$2:$C$1800,الريسبي!$A$2:$A$1800,$A85,الريسبي!$B$2:$B$1800,CD$1)</f>
        <v>0</v>
      </c>
      <c r="CE85" s="115" t="n">
        <f aca="false">SUMIFS(الريسبي!$C$2:$C$1800,الريسبي!$A$2:$A$1800,$A85,الريسبي!$B$2:$B$1800,CE$1)</f>
        <v>0</v>
      </c>
      <c r="CF85" s="115" t="n">
        <f aca="false">SUMIFS(الريسبي!$C$2:$C$1800,الريسبي!$A$2:$A$1800,$A85,الريسبي!$B$2:$B$1800,CF$1)</f>
        <v>0</v>
      </c>
      <c r="CG85" s="115" t="n">
        <f aca="false">SUMIFS(الريسبي!$C$2:$C$1800,الريسبي!$A$2:$A$1800,$A85,الريسبي!$B$2:$B$1800,CG$1)</f>
        <v>0</v>
      </c>
      <c r="CH85" s="115" t="n">
        <f aca="false">SUMIFS(الريسبي!$C$2:$C$1800,الريسبي!$A$2:$A$1800,$A85,الريسبي!$B$2:$B$1800,CH$1)</f>
        <v>0</v>
      </c>
    </row>
    <row r="86" customFormat="false" ht="15" hidden="false" customHeight="false" outlineLevel="0" collapsed="false">
      <c r="A86" s="114" t="str">
        <f aca="false">المنيو!B86</f>
        <v>بيتزا مشكل جبن صيامي مخصوص</v>
      </c>
      <c r="B86" s="115" t="n">
        <f aca="false">SUMIFS(الريسبي!$C$2:$C$1800,الريسبي!$A$2:$A$1800,$A86,الريسبي!$B$2:$B$1800,B$1)</f>
        <v>0</v>
      </c>
      <c r="C86" s="115" t="n">
        <f aca="false">SUMIFS(الريسبي!$C$2:$C$1800,الريسبي!$A$2:$A$1800,$A86,الريسبي!$B$2:$B$1800,C$1)</f>
        <v>0</v>
      </c>
      <c r="D86" s="115" t="n">
        <f aca="false">SUMIFS(الريسبي!$C$2:$C$1800,الريسبي!$A$2:$A$1800,$A86,الريسبي!$B$2:$B$1800,D$1)</f>
        <v>1</v>
      </c>
      <c r="E86" s="115" t="n">
        <f aca="false">SUMIFS(الريسبي!$C$2:$C$1800,الريسبي!$A$2:$A$1800,$A86,الريسبي!$B$2:$B$1800,E$1)</f>
        <v>0</v>
      </c>
      <c r="F86" s="115" t="n">
        <f aca="false">SUMIFS(الريسبي!$C$2:$C$1800,الريسبي!$A$2:$A$1800,$A86,الريسبي!$B$2:$B$1800,F$1)</f>
        <v>0</v>
      </c>
      <c r="G86" s="115" t="n">
        <f aca="false">SUMIFS(الريسبي!$C$2:$C$1800,الريسبي!$A$2:$A$1800,$A86,الريسبي!$B$2:$B$1800,G$1)</f>
        <v>0</v>
      </c>
      <c r="H86" s="115" t="n">
        <f aca="false">SUMIFS(الريسبي!$C$2:$C$1800,الريسبي!$A$2:$A$1800,$A86,الريسبي!$B$2:$B$1800,H$1)</f>
        <v>0</v>
      </c>
      <c r="I86" s="115" t="n">
        <f aca="false">SUMIFS(الريسبي!$C$2:$C$1800,الريسبي!$A$2:$A$1800,$A86,الريسبي!$B$2:$B$1800,I$1)</f>
        <v>0</v>
      </c>
      <c r="J86" s="115" t="n">
        <f aca="false">SUMIFS(الريسبي!$C$2:$C$1800,الريسبي!$A$2:$A$1800,$A86,الريسبي!$B$2:$B$1800,J$1)</f>
        <v>0</v>
      </c>
      <c r="K86" s="115" t="n">
        <f aca="false">SUMIFS(الريسبي!$C$2:$C$1800,الريسبي!$A$2:$A$1800,$A86,الريسبي!$B$2:$B$1800,K$1)</f>
        <v>0</v>
      </c>
      <c r="L86" s="115" t="n">
        <f aca="false">SUMIFS(الريسبي!$C$2:$C$1800,الريسبي!$A$2:$A$1800,$A86,الريسبي!$B$2:$B$1800,L$1)</f>
        <v>0</v>
      </c>
      <c r="M86" s="115" t="n">
        <f aca="false">SUMIFS(الريسبي!$C$2:$C$1800,الريسبي!$A$2:$A$1800,$A86,الريسبي!$B$2:$B$1800,M$1)</f>
        <v>0</v>
      </c>
      <c r="N86" s="115" t="n">
        <f aca="false">SUMIFS(الريسبي!$C$2:$C$1800,الريسبي!$A$2:$A$1800,$A86,الريسبي!$B$2:$B$1800,N$1)</f>
        <v>0</v>
      </c>
      <c r="O86" s="115" t="n">
        <f aca="false">SUMIFS(الريسبي!$C$2:$C$1800,الريسبي!$A$2:$A$1800,$A86,الريسبي!$B$2:$B$1800,O$1)</f>
        <v>0</v>
      </c>
      <c r="P86" s="115" t="n">
        <f aca="false">SUMIFS(الريسبي!$C$2:$C$1800,الريسبي!$A$2:$A$1800,$A86,الريسبي!$B$2:$B$1800,P$1)</f>
        <v>0</v>
      </c>
      <c r="Q86" s="115" t="n">
        <f aca="false">SUMIFS(الريسبي!$C$2:$C$1800,الريسبي!$A$2:$A$1800,$A86,الريسبي!$B$2:$B$1800,Q$1)</f>
        <v>0</v>
      </c>
      <c r="R86" s="115" t="n">
        <f aca="false">SUMIFS(الريسبي!$C$2:$C$1800,الريسبي!$A$2:$A$1800,$A86,الريسبي!$B$2:$B$1800,R$1)</f>
        <v>0</v>
      </c>
      <c r="S86" s="115" t="n">
        <f aca="false">SUMIFS(الريسبي!$C$2:$C$1800,الريسبي!$A$2:$A$1800,$A86,الريسبي!$B$2:$B$1800,S$1)</f>
        <v>0</v>
      </c>
      <c r="T86" s="115" t="n">
        <f aca="false">SUMIFS(الريسبي!$C$2:$C$1800,الريسبي!$A$2:$A$1800,$A86,الريسبي!$B$2:$B$1800,T$1)</f>
        <v>0</v>
      </c>
      <c r="U86" s="115" t="n">
        <f aca="false">SUMIFS(الريسبي!$C$2:$C$1800,الريسبي!$A$2:$A$1800,$A86,الريسبي!$B$2:$B$1800,U$1)</f>
        <v>0</v>
      </c>
      <c r="V86" s="115" t="n">
        <f aca="false">SUMIFS(الريسبي!$C$2:$C$1800,الريسبي!$A$2:$A$1800,$A86,الريسبي!$B$2:$B$1800,V$1)</f>
        <v>0</v>
      </c>
      <c r="W86" s="115" t="n">
        <f aca="false">SUMIFS(الريسبي!$C$2:$C$1800,الريسبي!$A$2:$A$1800,$A86,الريسبي!$B$2:$B$1800,W$1)</f>
        <v>0</v>
      </c>
      <c r="X86" s="115" t="n">
        <f aca="false">SUMIFS(الريسبي!$C$2:$C$1800,الريسبي!$A$2:$A$1800,$A86,الريسبي!$B$2:$B$1800,X$1)</f>
        <v>0</v>
      </c>
      <c r="Y86" s="115" t="n">
        <f aca="false">SUMIFS(الريسبي!$C$2:$C$1800,الريسبي!$A$2:$A$1800,$A86,الريسبي!$B$2:$B$1800,Y$1)</f>
        <v>1</v>
      </c>
      <c r="Z86" s="115" t="n">
        <f aca="false">SUMIFS(الريسبي!$C$2:$C$1800,الريسبي!$A$2:$A$1800,$A86,الريسبي!$B$2:$B$1800,Z$1)</f>
        <v>0</v>
      </c>
      <c r="AA86" s="115" t="n">
        <f aca="false">SUMIFS(الريسبي!$C$2:$C$1800,الريسبي!$A$2:$A$1800,$A86,الريسبي!$B$2:$B$1800,AA$1)</f>
        <v>0</v>
      </c>
      <c r="AB86" s="115" t="n">
        <f aca="false">SUMIFS(الريسبي!$C$2:$C$1800,الريسبي!$A$2:$A$1800,$A86,الريسبي!$B$2:$B$1800,AB$1)</f>
        <v>0</v>
      </c>
      <c r="AC86" s="115" t="n">
        <f aca="false">SUMIFS(الريسبي!$C$2:$C$1800,الريسبي!$A$2:$A$1800,$A86,الريسبي!$B$2:$B$1800,AC$1)</f>
        <v>0</v>
      </c>
      <c r="AD86" s="115" t="n">
        <f aca="false">SUMIFS(الريسبي!$C$2:$C$1800,الريسبي!$A$2:$A$1800,$A86,الريسبي!$B$2:$B$1800,AD$1)</f>
        <v>0</v>
      </c>
      <c r="AE86" s="115" t="n">
        <f aca="false">SUMIFS(الريسبي!$C$2:$C$1800,الريسبي!$A$2:$A$1800,$A86,الريسبي!$B$2:$B$1800,AE$1)</f>
        <v>0</v>
      </c>
      <c r="AF86" s="115" t="n">
        <f aca="false">SUMIFS(الريسبي!$C$2:$C$1800,الريسبي!$A$2:$A$1800,$A86,الريسبي!$B$2:$B$1800,AF$1)</f>
        <v>0</v>
      </c>
      <c r="AG86" s="115" t="n">
        <f aca="false">SUMIFS(الريسبي!$C$2:$C$1800,الريسبي!$A$2:$A$1800,$A86,الريسبي!$B$2:$B$1800,AG$1)</f>
        <v>0</v>
      </c>
      <c r="AH86" s="115" t="n">
        <f aca="false">SUMIFS(الريسبي!$C$2:$C$1800,الريسبي!$A$2:$A$1800,$A86,الريسبي!$B$2:$B$1800,AH$1)</f>
        <v>0</v>
      </c>
      <c r="AI86" s="115" t="n">
        <f aca="false">SUMIFS(الريسبي!$C$2:$C$1800,الريسبي!$A$2:$A$1800,$A86,الريسبي!$B$2:$B$1800,AI$1)</f>
        <v>0.15</v>
      </c>
      <c r="AJ86" s="115" t="n">
        <f aca="false">SUMIFS(الريسبي!$C$2:$C$1800,الريسبي!$A$2:$A$1800,$A86,الريسبي!$B$2:$B$1800,AJ$1)</f>
        <v>2</v>
      </c>
      <c r="AK86" s="115" t="n">
        <f aca="false">SUMIFS(الريسبي!$C$2:$C$1800,الريسبي!$A$2:$A$1800,$A86,الريسبي!$B$2:$B$1800,AK$1)</f>
        <v>0</v>
      </c>
      <c r="AL86" s="115" t="n">
        <f aca="false">SUMIFS(الريسبي!$C$2:$C$1800,الريسبي!$A$2:$A$1800,$A86,الريسبي!$B$2:$B$1800,AL$1)</f>
        <v>0</v>
      </c>
      <c r="AM86" s="115"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15"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15" t="n">
        <f aca="false">SUMIFS(الريسبي!$C$2:$C$1800,الريسبي!$A$2:$A$1800,$A86,الريسبي!$B$2:$B$1800,AO$1)</f>
        <v>0</v>
      </c>
      <c r="AP86" s="115" t="n">
        <f aca="false">SUMIFS(الريسبي!$C$2:$C$1800,الريسبي!$A$2:$A$1800,$A86,الريسبي!$B$2:$B$1800,AP$1)</f>
        <v>0.03</v>
      </c>
      <c r="AQ86" s="115"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15" t="n">
        <f aca="false">SUMIFS(الريسبي!$C$2:$C$1800,الريسبي!$A$2:$A$1800,$A86,الريسبي!$B$2:$B$1800,AR$1)</f>
        <v>0</v>
      </c>
      <c r="AS86" s="115" t="n">
        <f aca="false">SUMIFS(الريسبي!$C$2:$C$1800,الريسبي!$A$2:$A$1800,$A86,الريسبي!$B$2:$B$1800,AS$1)</f>
        <v>0</v>
      </c>
      <c r="AT86" s="115" t="n">
        <f aca="false">SUMIFS(الريسبي!$C$2:$C$1800,الريسبي!$A$2:$A$1800,$A86,الريسبي!$B$2:$B$1800,AT$1)</f>
        <v>0</v>
      </c>
      <c r="AU86" s="115" t="n">
        <f aca="false">SUMIFS(الريسبي!$C$2:$C$1800,الريسبي!$A$2:$A$1800,$A86,الريسبي!$B$2:$B$1800,AU$1)</f>
        <v>0</v>
      </c>
      <c r="AV86" s="115" t="n">
        <f aca="false">SUMIFS(الريسبي!$C$2:$C$1800,الريسبي!$A$2:$A$1800,$A86,الريسبي!$B$2:$B$1800,AV$1)</f>
        <v>0</v>
      </c>
      <c r="AW86" s="115" t="n">
        <f aca="false">SUMIFS(الريسبي!$C$2:$C$1800,الريسبي!$A$2:$A$1800,$A86,الريسبي!$B$2:$B$1800,AW$1)</f>
        <v>0</v>
      </c>
      <c r="AX86" s="115" t="n">
        <f aca="false">SUMIFS(الريسبي!$C$2:$C$1800,الريسبي!$A$2:$A$1800,$A86,الريسبي!$B$2:$B$1800,AX$1)</f>
        <v>0.06</v>
      </c>
      <c r="AY86" s="115" t="n">
        <f aca="false">SUMIFS(الريسبي!$C$2:$C$1800,الريسبي!$A$2:$A$1800,$A86,الريسبي!$B$2:$B$1800,AY$1)</f>
        <v>0</v>
      </c>
      <c r="AZ86" s="115" t="n">
        <f aca="false">SUMIFS(الريسبي!$C$2:$C$1800,الريسبي!$A$2:$A$1800,$A86,الريسبي!$B$2:$B$1800,AZ$1)</f>
        <v>0</v>
      </c>
      <c r="BA86" s="115" t="n">
        <f aca="false">SUMIFS(الريسبي!$C$2:$C$1800,الريسبي!$A$2:$A$1800,$A86,الريسبي!$B$2:$B$1800,BA$1)</f>
        <v>0</v>
      </c>
      <c r="BB86" s="115" t="n">
        <f aca="false">SUMIFS(الريسبي!$C$2:$C$1800,الريسبي!$A$2:$A$1800,$A86,الريسبي!$B$2:$B$1800,BB$1)</f>
        <v>0</v>
      </c>
      <c r="BC86" s="115" t="n">
        <f aca="false">SUMIFS(الريسبي!$C$2:$C$1800,الريسبي!$A$2:$A$1800,$A86,الريسبي!$B$2:$B$1800,BC$1)</f>
        <v>0.045</v>
      </c>
      <c r="BD86" s="115" t="n">
        <f aca="false">SUMIFS(الريسبي!$C$2:$C$1800,الريسبي!$A$2:$A$1800,$A86,الريسبي!$B$2:$B$1800,BD$1)</f>
        <v>0.3</v>
      </c>
      <c r="BE86" s="115" t="n">
        <f aca="false">SUMIFS(الريسبي!$C$2:$C$1800,الريسبي!$A$2:$A$1800,$A86,الريسبي!$B$2:$B$1800,BE$1)</f>
        <v>0</v>
      </c>
      <c r="BF86" s="115" t="n">
        <f aca="false">SUMIFS(الريسبي!$C$2:$C$1800,الريسبي!$A$2:$A$1800,$A86,الريسبي!$B$2:$B$1800,BF$1)</f>
        <v>0</v>
      </c>
      <c r="BG86" s="115" t="n">
        <f aca="false">SUMIFS(الريسبي!$C$2:$C$1800,الريسبي!$A$2:$A$1800,$A86,الريسبي!$B$2:$B$1800,BG$1)</f>
        <v>1</v>
      </c>
      <c r="BH86" s="115" t="n">
        <f aca="false">SUMIFS(الريسبي!$C$2:$C$1800,الريسبي!$A$2:$A$1800,$A86,الريسبي!$B$2:$B$1800,BH$1)</f>
        <v>0</v>
      </c>
      <c r="BI86" s="115" t="n">
        <f aca="false">SUMIFS(الريسبي!$C$2:$C$1800,الريسبي!$A$2:$A$1800,$A86,الريسبي!$B$2:$B$1800,BI$1)</f>
        <v>0</v>
      </c>
      <c r="BJ86" s="115" t="n">
        <f aca="false">SUMIFS(الريسبي!$C$2:$C$1800,الريسبي!$A$2:$A$1800,$A86,الريسبي!$B$2:$B$1800,BJ$1)</f>
        <v>0</v>
      </c>
      <c r="BK86" s="115" t="n">
        <f aca="false">SUMIFS(الريسبي!$C$2:$C$1800,الريسبي!$A$2:$A$1800,$A86,الريسبي!$B$2:$B$1800,BK$1)</f>
        <v>0</v>
      </c>
      <c r="BL86" s="115" t="n">
        <f aca="false">SUMIFS(الريسبي!$C$2:$C$1800,الريسبي!$A$2:$A$1800,$A86,الريسبي!$B$2:$B$1800,BL$1)</f>
        <v>0</v>
      </c>
      <c r="BM86" s="115" t="n">
        <f aca="false">SUMIFS(الريسبي!$C$2:$C$1800,الريسبي!$A$2:$A$1800,$A86,الريسبي!$B$2:$B$1800,BM$1)</f>
        <v>0</v>
      </c>
      <c r="BN86" s="115" t="n">
        <f aca="false">SUMIFS(الريسبي!$C$2:$C$1800,الريسبي!$A$2:$A$1800,$A86,الريسبي!$B$2:$B$1800,BN$1)</f>
        <v>0.03</v>
      </c>
      <c r="BO86" s="115" t="n">
        <f aca="false">SUMIFS(الريسبي!$C$2:$C$1800,الريسبي!$A$2:$A$1800,$A86,الريسبي!$B$2:$B$1800,BO$1)</f>
        <v>0</v>
      </c>
      <c r="BP86" s="115" t="n">
        <f aca="false">SUMIFS(الريسبي!$C$2:$C$1800,الريسبي!$A$2:$A$1800,$A86,الريسبي!$B$2:$B$1800,BP$1)</f>
        <v>3</v>
      </c>
      <c r="BQ86" s="115"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15" t="n">
        <f aca="false">SUMIFS(الريسبي!$C$2:$C$1800,الريسبي!$A$2:$A$1800,$A86,الريسبي!$B$2:$B$1800,BR$1)</f>
        <v>1</v>
      </c>
      <c r="BS86" s="115" t="n">
        <f aca="false">SUMIFS(الريسبي!$C$2:$C$1800,الريسبي!$A$2:$A$1800,$A86,الريسبي!$B$2:$B$1800,BS$1)</f>
        <v>0</v>
      </c>
      <c r="BT86" s="115" t="n">
        <f aca="false">SUMIFS(الريسبي!$C$2:$C$1800,الريسبي!$A$2:$A$1800,$A86,الريسبي!$B$2:$B$1800,BT$1)</f>
        <v>0</v>
      </c>
      <c r="BU86" s="115"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15" t="n">
        <f aca="false">SUMIFS(الريسبي!$C$2:$C$1800,الريسبي!$A$2:$A$1800,$A86,الريسبي!$B$2:$B$1800,BV$1)</f>
        <v>0</v>
      </c>
      <c r="BW86" s="115" t="n">
        <f aca="false">SUMIFS(الريسبي!$C$2:$C$1800,الريسبي!$A$2:$A$1800,$A86,الريسبي!$B$2:$B$1800,BW$1)</f>
        <v>0</v>
      </c>
      <c r="BX86" s="115" t="n">
        <f aca="false">SUMIFS(الريسبي!$C$2:$C$1800,الريسبي!$A$2:$A$1800,$A86,الريسبي!$B$2:$B$1800,BX$1)</f>
        <v>0</v>
      </c>
      <c r="BY86" s="115" t="n">
        <f aca="false">SUMIFS(الريسبي!$C$2:$C$1800,الريسبي!$A$2:$A$1800,$A86,الريسبي!$B$2:$B$1800,BY$1)</f>
        <v>0</v>
      </c>
      <c r="BZ86" s="115" t="n">
        <f aca="false">SUMIFS(الريسبي!$C$2:$C$1800,الريسبي!$A$2:$A$1800,$A86,الريسبي!$B$2:$B$1800,BZ$1)</f>
        <v>1</v>
      </c>
      <c r="CA86" s="115" t="n">
        <f aca="false">SUMIFS(الريسبي!$C$2:$C$1800,الريسبي!$A$2:$A$1800,$A86,الريسبي!$B$2:$B$1800,CA$1)</f>
        <v>1</v>
      </c>
      <c r="CB86" s="115" t="n">
        <f aca="false">SUMIFS(الريسبي!$C$2:$C$1800,الريسبي!$A$2:$A$1800,$A86,الريسبي!$B$2:$B$1800,CB$1)</f>
        <v>0</v>
      </c>
      <c r="CC86" s="115" t="n">
        <f aca="false">SUMIFS(الريسبي!$C$2:$C$1800,الريسبي!$A$2:$A$1800,$A86,الريسبي!$B$2:$B$1800,CC$1)</f>
        <v>0</v>
      </c>
      <c r="CD86" s="115" t="n">
        <f aca="false">SUMIFS(الريسبي!$C$2:$C$1800,الريسبي!$A$2:$A$1800,$A86,الريسبي!$B$2:$B$1800,CD$1)</f>
        <v>0</v>
      </c>
      <c r="CE86" s="115" t="n">
        <f aca="false">SUMIFS(الريسبي!$C$2:$C$1800,الريسبي!$A$2:$A$1800,$A86,الريسبي!$B$2:$B$1800,CE$1)</f>
        <v>0</v>
      </c>
      <c r="CF86" s="115" t="n">
        <f aca="false">SUMIFS(الريسبي!$C$2:$C$1800,الريسبي!$A$2:$A$1800,$A86,الريسبي!$B$2:$B$1800,CF$1)</f>
        <v>0</v>
      </c>
      <c r="CG86" s="115" t="n">
        <f aca="false">SUMIFS(الريسبي!$C$2:$C$1800,الريسبي!$A$2:$A$1800,$A86,الريسبي!$B$2:$B$1800,CG$1)</f>
        <v>0</v>
      </c>
      <c r="CH86" s="115" t="n">
        <f aca="false">SUMIFS(الريسبي!$C$2:$C$1800,الريسبي!$A$2:$A$1800,$A86,الريسبي!$B$2:$B$1800,CH$1)</f>
        <v>0</v>
      </c>
    </row>
    <row r="87" customFormat="false" ht="15" hidden="false" customHeight="false" outlineLevel="0" collapsed="false">
      <c r="A87" s="114" t="str">
        <f aca="false">المنيو!B87</f>
        <v>بيتزا فراخ باربيكيو صيامي وسط</v>
      </c>
      <c r="B87" s="115" t="n">
        <f aca="false">SUMIFS(الريسبي!$C$2:$C$1800,الريسبي!$A$2:$A$1800,$A87,الريسبي!$B$2:$B$1800,B$1)</f>
        <v>0</v>
      </c>
      <c r="C87" s="115" t="n">
        <f aca="false">SUMIFS(الريسبي!$C$2:$C$1800,الريسبي!$A$2:$A$1800,$A87,الريسبي!$B$2:$B$1800,C$1)</f>
        <v>0</v>
      </c>
      <c r="D87" s="115" t="n">
        <f aca="false">SUMIFS(الريسبي!$C$2:$C$1800,الريسبي!$A$2:$A$1800,$A87,الريسبي!$B$2:$B$1800,D$1)</f>
        <v>1</v>
      </c>
      <c r="E87" s="115" t="n">
        <f aca="false">SUMIFS(الريسبي!$C$2:$C$1800,الريسبي!$A$2:$A$1800,$A87,الريسبي!$B$2:$B$1800,E$1)</f>
        <v>0</v>
      </c>
      <c r="F87" s="115" t="n">
        <f aca="false">SUMIFS(الريسبي!$C$2:$C$1800,الريسبي!$A$2:$A$1800,$A87,الريسبي!$B$2:$B$1800,F$1)</f>
        <v>0</v>
      </c>
      <c r="G87" s="115" t="n">
        <f aca="false">SUMIFS(الريسبي!$C$2:$C$1800,الريسبي!$A$2:$A$1800,$A87,الريسبي!$B$2:$B$1800,G$1)</f>
        <v>0</v>
      </c>
      <c r="H87" s="115" t="n">
        <f aca="false">SUMIFS(الريسبي!$C$2:$C$1800,الريسبي!$A$2:$A$1800,$A87,الريسبي!$B$2:$B$1800,H$1)</f>
        <v>0</v>
      </c>
      <c r="I87" s="115" t="n">
        <f aca="false">SUMIFS(الريسبي!$C$2:$C$1800,الريسبي!$A$2:$A$1800,$A87,الريسبي!$B$2:$B$1800,I$1)</f>
        <v>0</v>
      </c>
      <c r="J87" s="115" t="n">
        <f aca="false">SUMIFS(الريسبي!$C$2:$C$1800,الريسبي!$A$2:$A$1800,$A87,الريسبي!$B$2:$B$1800,J$1)</f>
        <v>0</v>
      </c>
      <c r="K87" s="115" t="n">
        <f aca="false">SUMIFS(الريسبي!$C$2:$C$1800,الريسبي!$A$2:$A$1800,$A87,الريسبي!$B$2:$B$1800,K$1)</f>
        <v>0</v>
      </c>
      <c r="L87" s="115" t="n">
        <f aca="false">SUMIFS(الريسبي!$C$2:$C$1800,الريسبي!$A$2:$A$1800,$A87,الريسبي!$B$2:$B$1800,L$1)</f>
        <v>0</v>
      </c>
      <c r="M87" s="115" t="n">
        <f aca="false">SUMIFS(الريسبي!$C$2:$C$1800,الريسبي!$A$2:$A$1800,$A87,الريسبي!$B$2:$B$1800,M$1)</f>
        <v>0</v>
      </c>
      <c r="N87" s="115" t="n">
        <f aca="false">SUMIFS(الريسبي!$C$2:$C$1800,الريسبي!$A$2:$A$1800,$A87,الريسبي!$B$2:$B$1800,N$1)</f>
        <v>0</v>
      </c>
      <c r="O87" s="115" t="n">
        <f aca="false">SUMIFS(الريسبي!$C$2:$C$1800,الريسبي!$A$2:$A$1800,$A87,الريسبي!$B$2:$B$1800,O$1)</f>
        <v>0</v>
      </c>
      <c r="P87" s="115" t="n">
        <f aca="false">SUMIFS(الريسبي!$C$2:$C$1800,الريسبي!$A$2:$A$1800,$A87,الريسبي!$B$2:$B$1800,P$1)</f>
        <v>0</v>
      </c>
      <c r="Q87" s="115" t="n">
        <f aca="false">SUMIFS(الريسبي!$C$2:$C$1800,الريسبي!$A$2:$A$1800,$A87,الريسبي!$B$2:$B$1800,Q$1)</f>
        <v>0</v>
      </c>
      <c r="R87" s="115" t="n">
        <f aca="false">SUMIFS(الريسبي!$C$2:$C$1800,الريسبي!$A$2:$A$1800,$A87,الريسبي!$B$2:$B$1800,R$1)</f>
        <v>0</v>
      </c>
      <c r="S87" s="115" t="n">
        <f aca="false">SUMIFS(الريسبي!$C$2:$C$1800,الريسبي!$A$2:$A$1800,$A87,الريسبي!$B$2:$B$1800,S$1)</f>
        <v>0</v>
      </c>
      <c r="T87" s="115" t="n">
        <f aca="false">SUMIFS(الريسبي!$C$2:$C$1800,الريسبي!$A$2:$A$1800,$A87,الريسبي!$B$2:$B$1800,T$1)</f>
        <v>0</v>
      </c>
      <c r="U87" s="115" t="n">
        <f aca="false">SUMIFS(الريسبي!$C$2:$C$1800,الريسبي!$A$2:$A$1800,$A87,الريسبي!$B$2:$B$1800,U$1)</f>
        <v>0</v>
      </c>
      <c r="V87" s="115" t="n">
        <f aca="false">SUMIFS(الريسبي!$C$2:$C$1800,الريسبي!$A$2:$A$1800,$A87,الريسبي!$B$2:$B$1800,V$1)</f>
        <v>0</v>
      </c>
      <c r="W87" s="115" t="n">
        <f aca="false">SUMIFS(الريسبي!$C$2:$C$1800,الريسبي!$A$2:$A$1800,$A87,الريسبي!$B$2:$B$1800,W$1)</f>
        <v>0</v>
      </c>
      <c r="X87" s="115" t="n">
        <f aca="false">SUMIFS(الريسبي!$C$2:$C$1800,الريسبي!$A$2:$A$1800,$A87,الريسبي!$B$2:$B$1800,X$1)</f>
        <v>1</v>
      </c>
      <c r="Y87" s="115" t="n">
        <f aca="false">SUMIFS(الريسبي!$C$2:$C$1800,الريسبي!$A$2:$A$1800,$A87,الريسبي!$B$2:$B$1800,Y$1)</f>
        <v>0</v>
      </c>
      <c r="Z87" s="115" t="n">
        <f aca="false">SUMIFS(الريسبي!$C$2:$C$1800,الريسبي!$A$2:$A$1800,$A87,الريسبي!$B$2:$B$1800,Z$1)</f>
        <v>0</v>
      </c>
      <c r="AA87" s="115" t="n">
        <f aca="false">SUMIFS(الريسبي!$C$2:$C$1800,الريسبي!$A$2:$A$1800,$A87,الريسبي!$B$2:$B$1800,AA$1)</f>
        <v>0</v>
      </c>
      <c r="AB87" s="115" t="n">
        <f aca="false">SUMIFS(الريسبي!$C$2:$C$1800,الريسبي!$A$2:$A$1800,$A87,الريسبي!$B$2:$B$1800,AB$1)</f>
        <v>0</v>
      </c>
      <c r="AC87" s="115" t="n">
        <f aca="false">SUMIFS(الريسبي!$C$2:$C$1800,الريسبي!$A$2:$A$1800,$A87,الريسبي!$B$2:$B$1800,AC$1)</f>
        <v>0</v>
      </c>
      <c r="AD87" s="115" t="n">
        <f aca="false">SUMIFS(الريسبي!$C$2:$C$1800,الريسبي!$A$2:$A$1800,$A87,الريسبي!$B$2:$B$1800,AD$1)</f>
        <v>0</v>
      </c>
      <c r="AE87" s="115" t="n">
        <f aca="false">SUMIFS(الريسبي!$C$2:$C$1800,الريسبي!$A$2:$A$1800,$A87,الريسبي!$B$2:$B$1800,AE$1)</f>
        <v>0</v>
      </c>
      <c r="AF87" s="115" t="n">
        <f aca="false">SUMIFS(الريسبي!$C$2:$C$1800,الريسبي!$A$2:$A$1800,$A87,الريسبي!$B$2:$B$1800,AF$1)</f>
        <v>0</v>
      </c>
      <c r="AG87" s="115" t="n">
        <f aca="false">SUMIFS(الريسبي!$C$2:$C$1800,الريسبي!$A$2:$A$1800,$A87,الريسبي!$B$2:$B$1800,AG$1)</f>
        <v>0</v>
      </c>
      <c r="AH87" s="115" t="n">
        <f aca="false">SUMIFS(الريسبي!$C$2:$C$1800,الريسبي!$A$2:$A$1800,$A87,الريسبي!$B$2:$B$1800,AH$1)</f>
        <v>0</v>
      </c>
      <c r="AI87" s="115" t="n">
        <f aca="false">SUMIFS(الريسبي!$C$2:$C$1800,الريسبي!$A$2:$A$1800,$A87,الريسبي!$B$2:$B$1800,AI$1)</f>
        <v>0</v>
      </c>
      <c r="AJ87" s="115" t="n">
        <f aca="false">SUMIFS(الريسبي!$C$2:$C$1800,الريسبي!$A$2:$A$1800,$A87,الريسبي!$B$2:$B$1800,AJ$1)</f>
        <v>2</v>
      </c>
      <c r="AK87" s="115" t="n">
        <f aca="false">SUMIFS(الريسبي!$C$2:$C$1800,الريسبي!$A$2:$A$1800,$A87,الريسبي!$B$2:$B$1800,AK$1)</f>
        <v>0</v>
      </c>
      <c r="AL87" s="115" t="n">
        <f aca="false">SUMIFS(الريسبي!$C$2:$C$1800,الريسبي!$A$2:$A$1800,$A87,الريسبي!$B$2:$B$1800,AL$1)</f>
        <v>0</v>
      </c>
      <c r="AM87" s="115"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15"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15" t="n">
        <f aca="false">SUMIFS(الريسبي!$C$2:$C$1800,الريسبي!$A$2:$A$1800,$A87,الريسبي!$B$2:$B$1800,AO$1)</f>
        <v>0</v>
      </c>
      <c r="AP87" s="115" t="n">
        <f aca="false">SUMIFS(الريسبي!$C$2:$C$1800,الريسبي!$A$2:$A$1800,$A87,الريسبي!$B$2:$B$1800,AP$1)</f>
        <v>0.02</v>
      </c>
      <c r="AQ87" s="115"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15" t="n">
        <f aca="false">SUMIFS(الريسبي!$C$2:$C$1800,الريسبي!$A$2:$A$1800,$A87,الريسبي!$B$2:$B$1800,AR$1)</f>
        <v>0</v>
      </c>
      <c r="AS87" s="115" t="n">
        <f aca="false">SUMIFS(الريسبي!$C$2:$C$1800,الريسبي!$A$2:$A$1800,$A87,الريسبي!$B$2:$B$1800,AS$1)</f>
        <v>0</v>
      </c>
      <c r="AT87" s="115" t="n">
        <f aca="false">SUMIFS(الريسبي!$C$2:$C$1800,الريسبي!$A$2:$A$1800,$A87,الريسبي!$B$2:$B$1800,AT$1)</f>
        <v>0</v>
      </c>
      <c r="AU87" s="115" t="n">
        <f aca="false">SUMIFS(الريسبي!$C$2:$C$1800,الريسبي!$A$2:$A$1800,$A87,الريسبي!$B$2:$B$1800,AU$1)</f>
        <v>0</v>
      </c>
      <c r="AV87" s="115" t="n">
        <f aca="false">SUMIFS(الريسبي!$C$2:$C$1800,الريسبي!$A$2:$A$1800,$A87,الريسبي!$B$2:$B$1800,AV$1)</f>
        <v>0</v>
      </c>
      <c r="AW87" s="115" t="n">
        <f aca="false">SUMIFS(الريسبي!$C$2:$C$1800,الريسبي!$A$2:$A$1800,$A87,الريسبي!$B$2:$B$1800,AW$1)</f>
        <v>0</v>
      </c>
      <c r="AX87" s="115" t="n">
        <f aca="false">SUMIFS(الريسبي!$C$2:$C$1800,الريسبي!$A$2:$A$1800,$A87,الريسبي!$B$2:$B$1800,AX$1)</f>
        <v>0.04</v>
      </c>
      <c r="AY87" s="115" t="n">
        <f aca="false">SUMIFS(الريسبي!$C$2:$C$1800,الريسبي!$A$2:$A$1800,$A87,الريسبي!$B$2:$B$1800,AY$1)</f>
        <v>0.1</v>
      </c>
      <c r="AZ87" s="115" t="n">
        <f aca="false">SUMIFS(الريسبي!$C$2:$C$1800,الريسبي!$A$2:$A$1800,$A87,الريسبي!$B$2:$B$1800,AZ$1)</f>
        <v>0</v>
      </c>
      <c r="BA87" s="115" t="n">
        <f aca="false">SUMIFS(الريسبي!$C$2:$C$1800,الريسبي!$A$2:$A$1800,$A87,الريسبي!$B$2:$B$1800,BA$1)</f>
        <v>0</v>
      </c>
      <c r="BB87" s="115" t="n">
        <f aca="false">SUMIFS(الريسبي!$C$2:$C$1800,الريسبي!$A$2:$A$1800,$A87,الريسبي!$B$2:$B$1800,BB$1)</f>
        <v>0</v>
      </c>
      <c r="BC87" s="115" t="n">
        <f aca="false">SUMIFS(الريسبي!$C$2:$C$1800,الريسبي!$A$2:$A$1800,$A87,الريسبي!$B$2:$B$1800,BC$1)</f>
        <v>0.03</v>
      </c>
      <c r="BD87" s="115" t="n">
        <f aca="false">SUMIFS(الريسبي!$C$2:$C$1800,الريسبي!$A$2:$A$1800,$A87,الريسبي!$B$2:$B$1800,BD$1)</f>
        <v>0.22</v>
      </c>
      <c r="BE87" s="115" t="n">
        <f aca="false">SUMIFS(الريسبي!$C$2:$C$1800,الريسبي!$A$2:$A$1800,$A87,الريسبي!$B$2:$B$1800,BE$1)</f>
        <v>0</v>
      </c>
      <c r="BF87" s="115" t="n">
        <f aca="false">SUMIFS(الريسبي!$C$2:$C$1800,الريسبي!$A$2:$A$1800,$A87,الريسبي!$B$2:$B$1800,BF$1)</f>
        <v>0</v>
      </c>
      <c r="BG87" s="115" t="n">
        <f aca="false">SUMIFS(الريسبي!$C$2:$C$1800,الريسبي!$A$2:$A$1800,$A87,الريسبي!$B$2:$B$1800,BG$1)</f>
        <v>0</v>
      </c>
      <c r="BH87" s="115" t="n">
        <f aca="false">SUMIFS(الريسبي!$C$2:$C$1800,الريسبي!$A$2:$A$1800,$A87,الريسبي!$B$2:$B$1800,BH$1)</f>
        <v>1</v>
      </c>
      <c r="BI87" s="115" t="n">
        <f aca="false">SUMIFS(الريسبي!$C$2:$C$1800,الريسبي!$A$2:$A$1800,$A87,الريسبي!$B$2:$B$1800,BI$1)</f>
        <v>0</v>
      </c>
      <c r="BJ87" s="115" t="n">
        <f aca="false">SUMIFS(الريسبي!$C$2:$C$1800,الريسبي!$A$2:$A$1800,$A87,الريسبي!$B$2:$B$1800,BJ$1)</f>
        <v>0</v>
      </c>
      <c r="BK87" s="115" t="n">
        <f aca="false">SUMIFS(الريسبي!$C$2:$C$1800,الريسبي!$A$2:$A$1800,$A87,الريسبي!$B$2:$B$1800,BK$1)</f>
        <v>0</v>
      </c>
      <c r="BL87" s="115" t="n">
        <f aca="false">SUMIFS(الريسبي!$C$2:$C$1800,الريسبي!$A$2:$A$1800,$A87,الريسبي!$B$2:$B$1800,BL$1)</f>
        <v>0</v>
      </c>
      <c r="BM87" s="115" t="n">
        <f aca="false">SUMIFS(الريسبي!$C$2:$C$1800,الريسبي!$A$2:$A$1800,$A87,الريسبي!$B$2:$B$1800,BM$1)</f>
        <v>0.14</v>
      </c>
      <c r="BN87" s="115" t="n">
        <f aca="false">SUMIFS(الريسبي!$C$2:$C$1800,الريسبي!$A$2:$A$1800,$A87,الريسبي!$B$2:$B$1800,BN$1)</f>
        <v>0.02</v>
      </c>
      <c r="BO87" s="115" t="n">
        <f aca="false">SUMIFS(الريسبي!$C$2:$C$1800,الريسبي!$A$2:$A$1800,$A87,الريسبي!$B$2:$B$1800,BO$1)</f>
        <v>0</v>
      </c>
      <c r="BP87" s="115" t="n">
        <f aca="false">SUMIFS(الريسبي!$C$2:$C$1800,الريسبي!$A$2:$A$1800,$A87,الريسبي!$B$2:$B$1800,BP$1)</f>
        <v>2</v>
      </c>
      <c r="BQ87" s="115"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15" t="n">
        <f aca="false">SUMIFS(الريسبي!$C$2:$C$1800,الريسبي!$A$2:$A$1800,$A87,الريسبي!$B$2:$B$1800,BR$1)</f>
        <v>1</v>
      </c>
      <c r="BS87" s="115" t="n">
        <f aca="false">SUMIFS(الريسبي!$C$2:$C$1800,الريسبي!$A$2:$A$1800,$A87,الريسبي!$B$2:$B$1800,BS$1)</f>
        <v>0</v>
      </c>
      <c r="BT87" s="115" t="n">
        <f aca="false">SUMIFS(الريسبي!$C$2:$C$1800,الريسبي!$A$2:$A$1800,$A87,الريسبي!$B$2:$B$1800,BT$1)</f>
        <v>0</v>
      </c>
      <c r="BU87" s="115"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15" t="n">
        <f aca="false">SUMIFS(الريسبي!$C$2:$C$1800,الريسبي!$A$2:$A$1800,$A87,الريسبي!$B$2:$B$1800,BV$1)</f>
        <v>0</v>
      </c>
      <c r="BW87" s="115" t="n">
        <f aca="false">SUMIFS(الريسبي!$C$2:$C$1800,الريسبي!$A$2:$A$1800,$A87,الريسبي!$B$2:$B$1800,BW$1)</f>
        <v>0</v>
      </c>
      <c r="BX87" s="115" t="n">
        <f aca="false">SUMIFS(الريسبي!$C$2:$C$1800,الريسبي!$A$2:$A$1800,$A87,الريسبي!$B$2:$B$1800,BX$1)</f>
        <v>0</v>
      </c>
      <c r="BY87" s="115" t="n">
        <f aca="false">SUMIFS(الريسبي!$C$2:$C$1800,الريسبي!$A$2:$A$1800,$A87,الريسبي!$B$2:$B$1800,BY$1)</f>
        <v>0</v>
      </c>
      <c r="BZ87" s="115" t="n">
        <f aca="false">SUMIFS(الريسبي!$C$2:$C$1800,الريسبي!$A$2:$A$1800,$A87,الريسبي!$B$2:$B$1800,BZ$1)</f>
        <v>1</v>
      </c>
      <c r="CA87" s="115" t="n">
        <f aca="false">SUMIFS(الريسبي!$C$2:$C$1800,الريسبي!$A$2:$A$1800,$A87,الريسبي!$B$2:$B$1800,CA$1)</f>
        <v>1</v>
      </c>
      <c r="CB87" s="115" t="n">
        <f aca="false">SUMIFS(الريسبي!$C$2:$C$1800,الريسبي!$A$2:$A$1800,$A87,الريسبي!$B$2:$B$1800,CB$1)</f>
        <v>0</v>
      </c>
      <c r="CC87" s="115" t="n">
        <f aca="false">SUMIFS(الريسبي!$C$2:$C$1800,الريسبي!$A$2:$A$1800,$A87,الريسبي!$B$2:$B$1800,CC$1)</f>
        <v>0</v>
      </c>
      <c r="CD87" s="115" t="n">
        <f aca="false">SUMIFS(الريسبي!$C$2:$C$1800,الريسبي!$A$2:$A$1800,$A87,الريسبي!$B$2:$B$1800,CD$1)</f>
        <v>0</v>
      </c>
      <c r="CE87" s="115" t="n">
        <f aca="false">SUMIFS(الريسبي!$C$2:$C$1800,الريسبي!$A$2:$A$1800,$A87,الريسبي!$B$2:$B$1800,CE$1)</f>
        <v>0</v>
      </c>
      <c r="CF87" s="115" t="n">
        <f aca="false">SUMIFS(الريسبي!$C$2:$C$1800,الريسبي!$A$2:$A$1800,$A87,الريسبي!$B$2:$B$1800,CF$1)</f>
        <v>0</v>
      </c>
      <c r="CG87" s="115" t="n">
        <f aca="false">SUMIFS(الريسبي!$C$2:$C$1800,الريسبي!$A$2:$A$1800,$A87,الريسبي!$B$2:$B$1800,CG$1)</f>
        <v>0</v>
      </c>
      <c r="CH87" s="115" t="n">
        <f aca="false">SUMIFS(الريسبي!$C$2:$C$1800,الريسبي!$A$2:$A$1800,$A87,الريسبي!$B$2:$B$1800,CH$1)</f>
        <v>0</v>
      </c>
    </row>
    <row r="88" customFormat="false" ht="15" hidden="false" customHeight="false" outlineLevel="0" collapsed="false">
      <c r="A88" s="114" t="str">
        <f aca="false">المنيو!B88</f>
        <v>بيتزا فراخ باربيكيو صيامي مخصوص</v>
      </c>
      <c r="B88" s="115" t="n">
        <f aca="false">SUMIFS(الريسبي!$C$2:$C$1800,الريسبي!$A$2:$A$1800,$A88,الريسبي!$B$2:$B$1800,B$1)</f>
        <v>0</v>
      </c>
      <c r="C88" s="115" t="n">
        <f aca="false">SUMIFS(الريسبي!$C$2:$C$1800,الريسبي!$A$2:$A$1800,$A88,الريسبي!$B$2:$B$1800,C$1)</f>
        <v>0</v>
      </c>
      <c r="D88" s="115" t="n">
        <f aca="false">SUMIFS(الريسبي!$C$2:$C$1800,الريسبي!$A$2:$A$1800,$A88,الريسبي!$B$2:$B$1800,D$1)</f>
        <v>1</v>
      </c>
      <c r="E88" s="115" t="n">
        <f aca="false">SUMIFS(الريسبي!$C$2:$C$1800,الريسبي!$A$2:$A$1800,$A88,الريسبي!$B$2:$B$1800,E$1)</f>
        <v>0</v>
      </c>
      <c r="F88" s="115" t="n">
        <f aca="false">SUMIFS(الريسبي!$C$2:$C$1800,الريسبي!$A$2:$A$1800,$A88,الريسبي!$B$2:$B$1800,F$1)</f>
        <v>0</v>
      </c>
      <c r="G88" s="115" t="n">
        <f aca="false">SUMIFS(الريسبي!$C$2:$C$1800,الريسبي!$A$2:$A$1800,$A88,الريسبي!$B$2:$B$1800,G$1)</f>
        <v>0</v>
      </c>
      <c r="H88" s="115" t="n">
        <f aca="false">SUMIFS(الريسبي!$C$2:$C$1800,الريسبي!$A$2:$A$1800,$A88,الريسبي!$B$2:$B$1800,H$1)</f>
        <v>0</v>
      </c>
      <c r="I88" s="115" t="n">
        <f aca="false">SUMIFS(الريسبي!$C$2:$C$1800,الريسبي!$A$2:$A$1800,$A88,الريسبي!$B$2:$B$1800,I$1)</f>
        <v>0</v>
      </c>
      <c r="J88" s="115" t="n">
        <f aca="false">SUMIFS(الريسبي!$C$2:$C$1800,الريسبي!$A$2:$A$1800,$A88,الريسبي!$B$2:$B$1800,J$1)</f>
        <v>0</v>
      </c>
      <c r="K88" s="115" t="n">
        <f aca="false">SUMIFS(الريسبي!$C$2:$C$1800,الريسبي!$A$2:$A$1800,$A88,الريسبي!$B$2:$B$1800,K$1)</f>
        <v>0</v>
      </c>
      <c r="L88" s="115" t="n">
        <f aca="false">SUMIFS(الريسبي!$C$2:$C$1800,الريسبي!$A$2:$A$1800,$A88,الريسبي!$B$2:$B$1800,L$1)</f>
        <v>0</v>
      </c>
      <c r="M88" s="115" t="n">
        <f aca="false">SUMIFS(الريسبي!$C$2:$C$1800,الريسبي!$A$2:$A$1800,$A88,الريسبي!$B$2:$B$1800,M$1)</f>
        <v>0</v>
      </c>
      <c r="N88" s="115" t="n">
        <f aca="false">SUMIFS(الريسبي!$C$2:$C$1800,الريسبي!$A$2:$A$1800,$A88,الريسبي!$B$2:$B$1800,N$1)</f>
        <v>0</v>
      </c>
      <c r="O88" s="115" t="n">
        <f aca="false">SUMIFS(الريسبي!$C$2:$C$1800,الريسبي!$A$2:$A$1800,$A88,الريسبي!$B$2:$B$1800,O$1)</f>
        <v>0</v>
      </c>
      <c r="P88" s="115" t="n">
        <f aca="false">SUMIFS(الريسبي!$C$2:$C$1800,الريسبي!$A$2:$A$1800,$A88,الريسبي!$B$2:$B$1800,P$1)</f>
        <v>0</v>
      </c>
      <c r="Q88" s="115" t="n">
        <f aca="false">SUMIFS(الريسبي!$C$2:$C$1800,الريسبي!$A$2:$A$1800,$A88,الريسبي!$B$2:$B$1800,Q$1)</f>
        <v>0</v>
      </c>
      <c r="R88" s="115" t="n">
        <f aca="false">SUMIFS(الريسبي!$C$2:$C$1800,الريسبي!$A$2:$A$1800,$A88,الريسبي!$B$2:$B$1800,R$1)</f>
        <v>0</v>
      </c>
      <c r="S88" s="115" t="n">
        <f aca="false">SUMIFS(الريسبي!$C$2:$C$1800,الريسبي!$A$2:$A$1800,$A88,الريسبي!$B$2:$B$1800,S$1)</f>
        <v>0</v>
      </c>
      <c r="T88" s="115" t="n">
        <f aca="false">SUMIFS(الريسبي!$C$2:$C$1800,الريسبي!$A$2:$A$1800,$A88,الريسبي!$B$2:$B$1800,T$1)</f>
        <v>0</v>
      </c>
      <c r="U88" s="115" t="n">
        <f aca="false">SUMIFS(الريسبي!$C$2:$C$1800,الريسبي!$A$2:$A$1800,$A88,الريسبي!$B$2:$B$1800,U$1)</f>
        <v>0</v>
      </c>
      <c r="V88" s="115" t="n">
        <f aca="false">SUMIFS(الريسبي!$C$2:$C$1800,الريسبي!$A$2:$A$1800,$A88,الريسبي!$B$2:$B$1800,V$1)</f>
        <v>0</v>
      </c>
      <c r="W88" s="115" t="n">
        <f aca="false">SUMIFS(الريسبي!$C$2:$C$1800,الريسبي!$A$2:$A$1800,$A88,الريسبي!$B$2:$B$1800,W$1)</f>
        <v>0</v>
      </c>
      <c r="X88" s="115" t="n">
        <f aca="false">SUMIFS(الريسبي!$C$2:$C$1800,الريسبي!$A$2:$A$1800,$A88,الريسبي!$B$2:$B$1800,X$1)</f>
        <v>0</v>
      </c>
      <c r="Y88" s="115" t="n">
        <f aca="false">SUMIFS(الريسبي!$C$2:$C$1800,الريسبي!$A$2:$A$1800,$A88,الريسبي!$B$2:$B$1800,Y$1)</f>
        <v>1</v>
      </c>
      <c r="Z88" s="115" t="n">
        <f aca="false">SUMIFS(الريسبي!$C$2:$C$1800,الريسبي!$A$2:$A$1800,$A88,الريسبي!$B$2:$B$1800,Z$1)</f>
        <v>0</v>
      </c>
      <c r="AA88" s="115" t="n">
        <f aca="false">SUMIFS(الريسبي!$C$2:$C$1800,الريسبي!$A$2:$A$1800,$A88,الريسبي!$B$2:$B$1800,AA$1)</f>
        <v>0</v>
      </c>
      <c r="AB88" s="115" t="n">
        <f aca="false">SUMIFS(الريسبي!$C$2:$C$1800,الريسبي!$A$2:$A$1800,$A88,الريسبي!$B$2:$B$1800,AB$1)</f>
        <v>0</v>
      </c>
      <c r="AC88" s="115" t="n">
        <f aca="false">SUMIFS(الريسبي!$C$2:$C$1800,الريسبي!$A$2:$A$1800,$A88,الريسبي!$B$2:$B$1800,AC$1)</f>
        <v>0</v>
      </c>
      <c r="AD88" s="115" t="n">
        <f aca="false">SUMIFS(الريسبي!$C$2:$C$1800,الريسبي!$A$2:$A$1800,$A88,الريسبي!$B$2:$B$1800,AD$1)</f>
        <v>0</v>
      </c>
      <c r="AE88" s="115" t="n">
        <f aca="false">SUMIFS(الريسبي!$C$2:$C$1800,الريسبي!$A$2:$A$1800,$A88,الريسبي!$B$2:$B$1800,AE$1)</f>
        <v>0</v>
      </c>
      <c r="AF88" s="115" t="n">
        <f aca="false">SUMIFS(الريسبي!$C$2:$C$1800,الريسبي!$A$2:$A$1800,$A88,الريسبي!$B$2:$B$1800,AF$1)</f>
        <v>0</v>
      </c>
      <c r="AG88" s="115" t="n">
        <f aca="false">SUMIFS(الريسبي!$C$2:$C$1800,الريسبي!$A$2:$A$1800,$A88,الريسبي!$B$2:$B$1800,AG$1)</f>
        <v>0</v>
      </c>
      <c r="AH88" s="115" t="n">
        <f aca="false">SUMIFS(الريسبي!$C$2:$C$1800,الريسبي!$A$2:$A$1800,$A88,الريسبي!$B$2:$B$1800,AH$1)</f>
        <v>0</v>
      </c>
      <c r="AI88" s="115" t="n">
        <f aca="false">SUMIFS(الريسبي!$C$2:$C$1800,الريسبي!$A$2:$A$1800,$A88,الريسبي!$B$2:$B$1800,AI$1)</f>
        <v>0</v>
      </c>
      <c r="AJ88" s="115" t="n">
        <f aca="false">SUMIFS(الريسبي!$C$2:$C$1800,الريسبي!$A$2:$A$1800,$A88,الريسبي!$B$2:$B$1800,AJ$1)</f>
        <v>2</v>
      </c>
      <c r="AK88" s="115" t="n">
        <f aca="false">SUMIFS(الريسبي!$C$2:$C$1800,الريسبي!$A$2:$A$1800,$A88,الريسبي!$B$2:$B$1800,AK$1)</f>
        <v>0</v>
      </c>
      <c r="AL88" s="115" t="n">
        <f aca="false">SUMIFS(الريسبي!$C$2:$C$1800,الريسبي!$A$2:$A$1800,$A88,الريسبي!$B$2:$B$1800,AL$1)</f>
        <v>0</v>
      </c>
      <c r="AM88" s="115"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15"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15" t="n">
        <f aca="false">SUMIFS(الريسبي!$C$2:$C$1800,الريسبي!$A$2:$A$1800,$A88,الريسبي!$B$2:$B$1800,AO$1)</f>
        <v>0</v>
      </c>
      <c r="AP88" s="115" t="n">
        <f aca="false">SUMIFS(الريسبي!$C$2:$C$1800,الريسبي!$A$2:$A$1800,$A88,الريسبي!$B$2:$B$1800,AP$1)</f>
        <v>0.03</v>
      </c>
      <c r="AQ88" s="115"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15" t="n">
        <f aca="false">SUMIFS(الريسبي!$C$2:$C$1800,الريسبي!$A$2:$A$1800,$A88,الريسبي!$B$2:$B$1800,AR$1)</f>
        <v>0</v>
      </c>
      <c r="AS88" s="115" t="n">
        <f aca="false">SUMIFS(الريسبي!$C$2:$C$1800,الريسبي!$A$2:$A$1800,$A88,الريسبي!$B$2:$B$1800,AS$1)</f>
        <v>0</v>
      </c>
      <c r="AT88" s="115" t="n">
        <f aca="false">SUMIFS(الريسبي!$C$2:$C$1800,الريسبي!$A$2:$A$1800,$A88,الريسبي!$B$2:$B$1800,AT$1)</f>
        <v>0</v>
      </c>
      <c r="AU88" s="115" t="n">
        <f aca="false">SUMIFS(الريسبي!$C$2:$C$1800,الريسبي!$A$2:$A$1800,$A88,الريسبي!$B$2:$B$1800,AU$1)</f>
        <v>0</v>
      </c>
      <c r="AV88" s="115" t="n">
        <f aca="false">SUMIFS(الريسبي!$C$2:$C$1800,الريسبي!$A$2:$A$1800,$A88,الريسبي!$B$2:$B$1800,AV$1)</f>
        <v>0</v>
      </c>
      <c r="AW88" s="115" t="n">
        <f aca="false">SUMIFS(الريسبي!$C$2:$C$1800,الريسبي!$A$2:$A$1800,$A88,الريسبي!$B$2:$B$1800,AW$1)</f>
        <v>0</v>
      </c>
      <c r="AX88" s="115" t="n">
        <f aca="false">SUMIFS(الريسبي!$C$2:$C$1800,الريسبي!$A$2:$A$1800,$A88,الريسبي!$B$2:$B$1800,AX$1)</f>
        <v>0.06</v>
      </c>
      <c r="AY88" s="115" t="n">
        <f aca="false">SUMIFS(الريسبي!$C$2:$C$1800,الريسبي!$A$2:$A$1800,$A88,الريسبي!$B$2:$B$1800,AY$1)</f>
        <v>0.15</v>
      </c>
      <c r="AZ88" s="115" t="n">
        <f aca="false">SUMIFS(الريسبي!$C$2:$C$1800,الريسبي!$A$2:$A$1800,$A88,الريسبي!$B$2:$B$1800,AZ$1)</f>
        <v>0</v>
      </c>
      <c r="BA88" s="115" t="n">
        <f aca="false">SUMIFS(الريسبي!$C$2:$C$1800,الريسبي!$A$2:$A$1800,$A88,الريسبي!$B$2:$B$1800,BA$1)</f>
        <v>0</v>
      </c>
      <c r="BB88" s="115" t="n">
        <f aca="false">SUMIFS(الريسبي!$C$2:$C$1800,الريسبي!$A$2:$A$1800,$A88,الريسبي!$B$2:$B$1800,BB$1)</f>
        <v>0</v>
      </c>
      <c r="BC88" s="115" t="n">
        <f aca="false">SUMIFS(الريسبي!$C$2:$C$1800,الريسبي!$A$2:$A$1800,$A88,الريسبي!$B$2:$B$1800,BC$1)</f>
        <v>0.045</v>
      </c>
      <c r="BD88" s="115" t="n">
        <f aca="false">SUMIFS(الريسبي!$C$2:$C$1800,الريسبي!$A$2:$A$1800,$A88,الريسبي!$B$2:$B$1800,BD$1)</f>
        <v>0.3</v>
      </c>
      <c r="BE88" s="115" t="n">
        <f aca="false">SUMIFS(الريسبي!$C$2:$C$1800,الريسبي!$A$2:$A$1800,$A88,الريسبي!$B$2:$B$1800,BE$1)</f>
        <v>0</v>
      </c>
      <c r="BF88" s="115" t="n">
        <f aca="false">SUMIFS(الريسبي!$C$2:$C$1800,الريسبي!$A$2:$A$1800,$A88,الريسبي!$B$2:$B$1800,BF$1)</f>
        <v>0</v>
      </c>
      <c r="BG88" s="115" t="n">
        <f aca="false">SUMIFS(الريسبي!$C$2:$C$1800,الريسبي!$A$2:$A$1800,$A88,الريسبي!$B$2:$B$1800,BG$1)</f>
        <v>1</v>
      </c>
      <c r="BH88" s="115" t="n">
        <f aca="false">SUMIFS(الريسبي!$C$2:$C$1800,الريسبي!$A$2:$A$1800,$A88,الريسبي!$B$2:$B$1800,BH$1)</f>
        <v>0</v>
      </c>
      <c r="BI88" s="115" t="n">
        <f aca="false">SUMIFS(الريسبي!$C$2:$C$1800,الريسبي!$A$2:$A$1800,$A88,الريسبي!$B$2:$B$1800,BI$1)</f>
        <v>0</v>
      </c>
      <c r="BJ88" s="115" t="n">
        <f aca="false">SUMIFS(الريسبي!$C$2:$C$1800,الريسبي!$A$2:$A$1800,$A88,الريسبي!$B$2:$B$1800,BJ$1)</f>
        <v>0</v>
      </c>
      <c r="BK88" s="115" t="n">
        <f aca="false">SUMIFS(الريسبي!$C$2:$C$1800,الريسبي!$A$2:$A$1800,$A88,الريسبي!$B$2:$B$1800,BK$1)</f>
        <v>0</v>
      </c>
      <c r="BL88" s="115" t="n">
        <f aca="false">SUMIFS(الريسبي!$C$2:$C$1800,الريسبي!$A$2:$A$1800,$A88,الريسبي!$B$2:$B$1800,BL$1)</f>
        <v>0</v>
      </c>
      <c r="BM88" s="115" t="n">
        <f aca="false">SUMIFS(الريسبي!$C$2:$C$1800,الريسبي!$A$2:$A$1800,$A88,الريسبي!$B$2:$B$1800,BM$1)</f>
        <v>0.21</v>
      </c>
      <c r="BN88" s="115" t="n">
        <f aca="false">SUMIFS(الريسبي!$C$2:$C$1800,الريسبي!$A$2:$A$1800,$A88,الريسبي!$B$2:$B$1800,BN$1)</f>
        <v>0.03</v>
      </c>
      <c r="BO88" s="115" t="n">
        <f aca="false">SUMIFS(الريسبي!$C$2:$C$1800,الريسبي!$A$2:$A$1800,$A88,الريسبي!$B$2:$B$1800,BO$1)</f>
        <v>0</v>
      </c>
      <c r="BP88" s="115" t="n">
        <f aca="false">SUMIFS(الريسبي!$C$2:$C$1800,الريسبي!$A$2:$A$1800,$A88,الريسبي!$B$2:$B$1800,BP$1)</f>
        <v>3</v>
      </c>
      <c r="BQ88" s="115"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15" t="n">
        <f aca="false">SUMIFS(الريسبي!$C$2:$C$1800,الريسبي!$A$2:$A$1800,$A88,الريسبي!$B$2:$B$1800,BR$1)</f>
        <v>1</v>
      </c>
      <c r="BS88" s="115" t="n">
        <f aca="false">SUMIFS(الريسبي!$C$2:$C$1800,الريسبي!$A$2:$A$1800,$A88,الريسبي!$B$2:$B$1800,BS$1)</f>
        <v>0</v>
      </c>
      <c r="BT88" s="115" t="n">
        <f aca="false">SUMIFS(الريسبي!$C$2:$C$1800,الريسبي!$A$2:$A$1800,$A88,الريسبي!$B$2:$B$1800,BT$1)</f>
        <v>0</v>
      </c>
      <c r="BU88" s="115"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15" t="n">
        <f aca="false">SUMIFS(الريسبي!$C$2:$C$1800,الريسبي!$A$2:$A$1800,$A88,الريسبي!$B$2:$B$1800,BV$1)</f>
        <v>0</v>
      </c>
      <c r="BW88" s="115" t="n">
        <f aca="false">SUMIFS(الريسبي!$C$2:$C$1800,الريسبي!$A$2:$A$1800,$A88,الريسبي!$B$2:$B$1800,BW$1)</f>
        <v>0</v>
      </c>
      <c r="BX88" s="115" t="n">
        <f aca="false">SUMIFS(الريسبي!$C$2:$C$1800,الريسبي!$A$2:$A$1800,$A88,الريسبي!$B$2:$B$1800,BX$1)</f>
        <v>0</v>
      </c>
      <c r="BY88" s="115" t="n">
        <f aca="false">SUMIFS(الريسبي!$C$2:$C$1800,الريسبي!$A$2:$A$1800,$A88,الريسبي!$B$2:$B$1800,BY$1)</f>
        <v>0</v>
      </c>
      <c r="BZ88" s="115" t="n">
        <f aca="false">SUMIFS(الريسبي!$C$2:$C$1800,الريسبي!$A$2:$A$1800,$A88,الريسبي!$B$2:$B$1800,BZ$1)</f>
        <v>1</v>
      </c>
      <c r="CA88" s="115" t="n">
        <f aca="false">SUMIFS(الريسبي!$C$2:$C$1800,الريسبي!$A$2:$A$1800,$A88,الريسبي!$B$2:$B$1800,CA$1)</f>
        <v>1</v>
      </c>
      <c r="CB88" s="115" t="n">
        <f aca="false">SUMIFS(الريسبي!$C$2:$C$1800,الريسبي!$A$2:$A$1800,$A88,الريسبي!$B$2:$B$1800,CB$1)</f>
        <v>0</v>
      </c>
      <c r="CC88" s="115" t="n">
        <f aca="false">SUMIFS(الريسبي!$C$2:$C$1800,الريسبي!$A$2:$A$1800,$A88,الريسبي!$B$2:$B$1800,CC$1)</f>
        <v>0</v>
      </c>
      <c r="CD88" s="115" t="n">
        <f aca="false">SUMIFS(الريسبي!$C$2:$C$1800,الريسبي!$A$2:$A$1800,$A88,الريسبي!$B$2:$B$1800,CD$1)</f>
        <v>0</v>
      </c>
      <c r="CE88" s="115" t="n">
        <f aca="false">SUMIFS(الريسبي!$C$2:$C$1800,الريسبي!$A$2:$A$1800,$A88,الريسبي!$B$2:$B$1800,CE$1)</f>
        <v>0</v>
      </c>
      <c r="CF88" s="115" t="n">
        <f aca="false">SUMIFS(الريسبي!$C$2:$C$1800,الريسبي!$A$2:$A$1800,$A88,الريسبي!$B$2:$B$1800,CF$1)</f>
        <v>0</v>
      </c>
      <c r="CG88" s="115" t="n">
        <f aca="false">SUMIFS(الريسبي!$C$2:$C$1800,الريسبي!$A$2:$A$1800,$A88,الريسبي!$B$2:$B$1800,CG$1)</f>
        <v>0</v>
      </c>
      <c r="CH88" s="115" t="n">
        <f aca="false">SUMIFS(الريسبي!$C$2:$C$1800,الريسبي!$A$2:$A$1800,$A88,الريسبي!$B$2:$B$1800,CH$1)</f>
        <v>0</v>
      </c>
    </row>
    <row r="89" customFormat="false" ht="15" hidden="false" customHeight="false" outlineLevel="0" collapsed="false">
      <c r="A89" s="114" t="str">
        <f aca="false">المنيو!B89</f>
        <v>بيتزا جمبري صيامي وسط</v>
      </c>
      <c r="B89" s="115" t="n">
        <f aca="false">SUMIFS(الريسبي!$C$2:$C$1800,الريسبي!$A$2:$A$1800,$A89,الريسبي!$B$2:$B$1800,B$1)</f>
        <v>0</v>
      </c>
      <c r="C89" s="115" t="n">
        <f aca="false">SUMIFS(الريسبي!$C$2:$C$1800,الريسبي!$A$2:$A$1800,$A89,الريسبي!$B$2:$B$1800,C$1)</f>
        <v>0</v>
      </c>
      <c r="D89" s="115" t="n">
        <f aca="false">SUMIFS(الريسبي!$C$2:$C$1800,الريسبي!$A$2:$A$1800,$A89,الريسبي!$B$2:$B$1800,D$1)</f>
        <v>1</v>
      </c>
      <c r="E89" s="115" t="n">
        <f aca="false">SUMIFS(الريسبي!$C$2:$C$1800,الريسبي!$A$2:$A$1800,$A89,الريسبي!$B$2:$B$1800,E$1)</f>
        <v>0</v>
      </c>
      <c r="F89" s="115" t="n">
        <f aca="false">SUMIFS(الريسبي!$C$2:$C$1800,الريسبي!$A$2:$A$1800,$A89,الريسبي!$B$2:$B$1800,F$1)</f>
        <v>0</v>
      </c>
      <c r="G89" s="115" t="n">
        <f aca="false">SUMIFS(الريسبي!$C$2:$C$1800,الريسبي!$A$2:$A$1800,$A89,الريسبي!$B$2:$B$1800,G$1)</f>
        <v>0</v>
      </c>
      <c r="H89" s="115" t="n">
        <f aca="false">SUMIFS(الريسبي!$C$2:$C$1800,الريسبي!$A$2:$A$1800,$A89,الريسبي!$B$2:$B$1800,H$1)</f>
        <v>0</v>
      </c>
      <c r="I89" s="115" t="n">
        <f aca="false">SUMIFS(الريسبي!$C$2:$C$1800,الريسبي!$A$2:$A$1800,$A89,الريسبي!$B$2:$B$1800,I$1)</f>
        <v>0</v>
      </c>
      <c r="J89" s="115" t="n">
        <f aca="false">SUMIFS(الريسبي!$C$2:$C$1800,الريسبي!$A$2:$A$1800,$A89,الريسبي!$B$2:$B$1800,J$1)</f>
        <v>0</v>
      </c>
      <c r="K89" s="115" t="n">
        <f aca="false">SUMIFS(الريسبي!$C$2:$C$1800,الريسبي!$A$2:$A$1800,$A89,الريسبي!$B$2:$B$1800,K$1)</f>
        <v>1</v>
      </c>
      <c r="L89" s="115" t="n">
        <f aca="false">SUMIFS(الريسبي!$C$2:$C$1800,الريسبي!$A$2:$A$1800,$A89,الريسبي!$B$2:$B$1800,L$1)</f>
        <v>0</v>
      </c>
      <c r="M89" s="115" t="n">
        <f aca="false">SUMIFS(الريسبي!$C$2:$C$1800,الريسبي!$A$2:$A$1800,$A89,الريسبي!$B$2:$B$1800,M$1)</f>
        <v>0</v>
      </c>
      <c r="N89" s="115" t="n">
        <f aca="false">SUMIFS(الريسبي!$C$2:$C$1800,الريسبي!$A$2:$A$1800,$A89,الريسبي!$B$2:$B$1800,N$1)</f>
        <v>0</v>
      </c>
      <c r="O89" s="115" t="n">
        <f aca="false">SUMIFS(الريسبي!$C$2:$C$1800,الريسبي!$A$2:$A$1800,$A89,الريسبي!$B$2:$B$1800,O$1)</f>
        <v>0</v>
      </c>
      <c r="P89" s="115" t="n">
        <f aca="false">SUMIFS(الريسبي!$C$2:$C$1800,الريسبي!$A$2:$A$1800,$A89,الريسبي!$B$2:$B$1800,P$1)</f>
        <v>0</v>
      </c>
      <c r="Q89" s="115" t="n">
        <f aca="false">SUMIFS(الريسبي!$C$2:$C$1800,الريسبي!$A$2:$A$1800,$A89,الريسبي!$B$2:$B$1800,Q$1)</f>
        <v>0</v>
      </c>
      <c r="R89" s="115" t="n">
        <f aca="false">SUMIFS(الريسبي!$C$2:$C$1800,الريسبي!$A$2:$A$1800,$A89,الريسبي!$B$2:$B$1800,R$1)</f>
        <v>0</v>
      </c>
      <c r="S89" s="115" t="n">
        <f aca="false">SUMIFS(الريسبي!$C$2:$C$1800,الريسبي!$A$2:$A$1800,$A89,الريسبي!$B$2:$B$1800,S$1)</f>
        <v>0</v>
      </c>
      <c r="T89" s="115" t="n">
        <f aca="false">SUMIFS(الريسبي!$C$2:$C$1800,الريسبي!$A$2:$A$1800,$A89,الريسبي!$B$2:$B$1800,T$1)</f>
        <v>0</v>
      </c>
      <c r="U89" s="115" t="n">
        <f aca="false">SUMIFS(الريسبي!$C$2:$C$1800,الريسبي!$A$2:$A$1800,$A89,الريسبي!$B$2:$B$1800,U$1)</f>
        <v>0</v>
      </c>
      <c r="V89" s="115" t="n">
        <f aca="false">SUMIFS(الريسبي!$C$2:$C$1800,الريسبي!$A$2:$A$1800,$A89,الريسبي!$B$2:$B$1800,V$1)</f>
        <v>0</v>
      </c>
      <c r="W89" s="115" t="n">
        <f aca="false">SUMIFS(الريسبي!$C$2:$C$1800,الريسبي!$A$2:$A$1800,$A89,الريسبي!$B$2:$B$1800,W$1)</f>
        <v>0</v>
      </c>
      <c r="X89" s="115" t="n">
        <f aca="false">SUMIFS(الريسبي!$C$2:$C$1800,الريسبي!$A$2:$A$1800,$A89,الريسبي!$B$2:$B$1800,X$1)</f>
        <v>1</v>
      </c>
      <c r="Y89" s="115" t="n">
        <f aca="false">SUMIFS(الريسبي!$C$2:$C$1800,الريسبي!$A$2:$A$1800,$A89,الريسبي!$B$2:$B$1800,Y$1)</f>
        <v>0</v>
      </c>
      <c r="Z89" s="115" t="n">
        <f aca="false">SUMIFS(الريسبي!$C$2:$C$1800,الريسبي!$A$2:$A$1800,$A89,الريسبي!$B$2:$B$1800,Z$1)</f>
        <v>0</v>
      </c>
      <c r="AA89" s="115" t="n">
        <f aca="false">SUMIFS(الريسبي!$C$2:$C$1800,الريسبي!$A$2:$A$1800,$A89,الريسبي!$B$2:$B$1800,AA$1)</f>
        <v>0</v>
      </c>
      <c r="AB89" s="115" t="n">
        <f aca="false">SUMIFS(الريسبي!$C$2:$C$1800,الريسبي!$A$2:$A$1800,$A89,الريسبي!$B$2:$B$1800,AB$1)</f>
        <v>0</v>
      </c>
      <c r="AC89" s="115" t="n">
        <f aca="false">SUMIFS(الريسبي!$C$2:$C$1800,الريسبي!$A$2:$A$1800,$A89,الريسبي!$B$2:$B$1800,AC$1)</f>
        <v>0</v>
      </c>
      <c r="AD89" s="115" t="n">
        <f aca="false">SUMIFS(الريسبي!$C$2:$C$1800,الريسبي!$A$2:$A$1800,$A89,الريسبي!$B$2:$B$1800,AD$1)</f>
        <v>0</v>
      </c>
      <c r="AE89" s="115" t="n">
        <f aca="false">SUMIFS(الريسبي!$C$2:$C$1800,الريسبي!$A$2:$A$1800,$A89,الريسبي!$B$2:$B$1800,AE$1)</f>
        <v>0</v>
      </c>
      <c r="AF89" s="115" t="n">
        <f aca="false">SUMIFS(الريسبي!$C$2:$C$1800,الريسبي!$A$2:$A$1800,$A89,الريسبي!$B$2:$B$1800,AF$1)</f>
        <v>0</v>
      </c>
      <c r="AG89" s="115" t="n">
        <f aca="false">SUMIFS(الريسبي!$C$2:$C$1800,الريسبي!$A$2:$A$1800,$A89,الريسبي!$B$2:$B$1800,AG$1)</f>
        <v>0</v>
      </c>
      <c r="AH89" s="115" t="n">
        <f aca="false">SUMIFS(الريسبي!$C$2:$C$1800,الريسبي!$A$2:$A$1800,$A89,الريسبي!$B$2:$B$1800,AH$1)</f>
        <v>0</v>
      </c>
      <c r="AI89" s="115" t="n">
        <f aca="false">SUMIFS(الريسبي!$C$2:$C$1800,الريسبي!$A$2:$A$1800,$A89,الريسبي!$B$2:$B$1800,AI$1)</f>
        <v>0</v>
      </c>
      <c r="AJ89" s="115" t="n">
        <f aca="false">SUMIFS(الريسبي!$C$2:$C$1800,الريسبي!$A$2:$A$1800,$A89,الريسبي!$B$2:$B$1800,AJ$1)</f>
        <v>2</v>
      </c>
      <c r="AK89" s="115" t="n">
        <f aca="false">SUMIFS(الريسبي!$C$2:$C$1800,الريسبي!$A$2:$A$1800,$A89,الريسبي!$B$2:$B$1800,AK$1)</f>
        <v>0</v>
      </c>
      <c r="AL89" s="115" t="n">
        <f aca="false">SUMIFS(الريسبي!$C$2:$C$1800,الريسبي!$A$2:$A$1800,$A89,الريسبي!$B$2:$B$1800,AL$1)</f>
        <v>0</v>
      </c>
      <c r="AM89" s="115"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15"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15" t="n">
        <f aca="false">SUMIFS(الريسبي!$C$2:$C$1800,الريسبي!$A$2:$A$1800,$A89,الريسبي!$B$2:$B$1800,AO$1)</f>
        <v>0</v>
      </c>
      <c r="AP89" s="115" t="n">
        <f aca="false">SUMIFS(الريسبي!$C$2:$C$1800,الريسبي!$A$2:$A$1800,$A89,الريسبي!$B$2:$B$1800,AP$1)</f>
        <v>0.02</v>
      </c>
      <c r="AQ89" s="115"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15" t="n">
        <f aca="false">SUMIFS(الريسبي!$C$2:$C$1800,الريسبي!$A$2:$A$1800,$A89,الريسبي!$B$2:$B$1800,AR$1)</f>
        <v>0</v>
      </c>
      <c r="AS89" s="115" t="n">
        <f aca="false">SUMIFS(الريسبي!$C$2:$C$1800,الريسبي!$A$2:$A$1800,$A89,الريسبي!$B$2:$B$1800,AS$1)</f>
        <v>0</v>
      </c>
      <c r="AT89" s="115" t="n">
        <f aca="false">SUMIFS(الريسبي!$C$2:$C$1800,الريسبي!$A$2:$A$1800,$A89,الريسبي!$B$2:$B$1800,AT$1)</f>
        <v>0</v>
      </c>
      <c r="AU89" s="115" t="n">
        <f aca="false">SUMIFS(الريسبي!$C$2:$C$1800,الريسبي!$A$2:$A$1800,$A89,الريسبي!$B$2:$B$1800,AU$1)</f>
        <v>0</v>
      </c>
      <c r="AV89" s="115" t="n">
        <f aca="false">SUMIFS(الريسبي!$C$2:$C$1800,الريسبي!$A$2:$A$1800,$A89,الريسبي!$B$2:$B$1800,AV$1)</f>
        <v>0</v>
      </c>
      <c r="AW89" s="115" t="n">
        <f aca="false">SUMIFS(الريسبي!$C$2:$C$1800,الريسبي!$A$2:$A$1800,$A89,الريسبي!$B$2:$B$1800,AW$1)</f>
        <v>0</v>
      </c>
      <c r="AX89" s="115" t="n">
        <f aca="false">SUMIFS(الريسبي!$C$2:$C$1800,الريسبي!$A$2:$A$1800,$A89,الريسبي!$B$2:$B$1800,AX$1)</f>
        <v>0.04</v>
      </c>
      <c r="AY89" s="115" t="n">
        <f aca="false">SUMIFS(الريسبي!$C$2:$C$1800,الريسبي!$A$2:$A$1800,$A89,الريسبي!$B$2:$B$1800,AY$1)</f>
        <v>0</v>
      </c>
      <c r="AZ89" s="115" t="n">
        <f aca="false">SUMIFS(الريسبي!$C$2:$C$1800,الريسبي!$A$2:$A$1800,$A89,الريسبي!$B$2:$B$1800,AZ$1)</f>
        <v>0</v>
      </c>
      <c r="BA89" s="115" t="n">
        <f aca="false">SUMIFS(الريسبي!$C$2:$C$1800,الريسبي!$A$2:$A$1800,$A89,الريسبي!$B$2:$B$1800,BA$1)</f>
        <v>0</v>
      </c>
      <c r="BB89" s="115" t="n">
        <f aca="false">SUMIFS(الريسبي!$C$2:$C$1800,الريسبي!$A$2:$A$1800,$A89,الريسبي!$B$2:$B$1800,BB$1)</f>
        <v>0</v>
      </c>
      <c r="BC89" s="115" t="n">
        <f aca="false">SUMIFS(الريسبي!$C$2:$C$1800,الريسبي!$A$2:$A$1800,$A89,الريسبي!$B$2:$B$1800,BC$1)</f>
        <v>0.03</v>
      </c>
      <c r="BD89" s="115" t="n">
        <f aca="false">SUMIFS(الريسبي!$C$2:$C$1800,الريسبي!$A$2:$A$1800,$A89,الريسبي!$B$2:$B$1800,BD$1)</f>
        <v>0.22</v>
      </c>
      <c r="BE89" s="115" t="n">
        <f aca="false">SUMIFS(الريسبي!$C$2:$C$1800,الريسبي!$A$2:$A$1800,$A89,الريسبي!$B$2:$B$1800,BE$1)</f>
        <v>0</v>
      </c>
      <c r="BF89" s="115" t="n">
        <f aca="false">SUMIFS(الريسبي!$C$2:$C$1800,الريسبي!$A$2:$A$1800,$A89,الريسبي!$B$2:$B$1800,BF$1)</f>
        <v>0</v>
      </c>
      <c r="BG89" s="115" t="n">
        <f aca="false">SUMIFS(الريسبي!$C$2:$C$1800,الريسبي!$A$2:$A$1800,$A89,الريسبي!$B$2:$B$1800,BG$1)</f>
        <v>0</v>
      </c>
      <c r="BH89" s="115" t="n">
        <f aca="false">SUMIFS(الريسبي!$C$2:$C$1800,الريسبي!$A$2:$A$1800,$A89,الريسبي!$B$2:$B$1800,BH$1)</f>
        <v>1</v>
      </c>
      <c r="BI89" s="115" t="n">
        <f aca="false">SUMIFS(الريسبي!$C$2:$C$1800,الريسبي!$A$2:$A$1800,$A89,الريسبي!$B$2:$B$1800,BI$1)</f>
        <v>0</v>
      </c>
      <c r="BJ89" s="115" t="n">
        <f aca="false">SUMIFS(الريسبي!$C$2:$C$1800,الريسبي!$A$2:$A$1800,$A89,الريسبي!$B$2:$B$1800,BJ$1)</f>
        <v>0</v>
      </c>
      <c r="BK89" s="115" t="n">
        <f aca="false">SUMIFS(الريسبي!$C$2:$C$1800,الريسبي!$A$2:$A$1800,$A89,الريسبي!$B$2:$B$1800,BK$1)</f>
        <v>0</v>
      </c>
      <c r="BL89" s="115" t="n">
        <f aca="false">SUMIFS(الريسبي!$C$2:$C$1800,الريسبي!$A$2:$A$1800,$A89,الريسبي!$B$2:$B$1800,BL$1)</f>
        <v>0</v>
      </c>
      <c r="BM89" s="115" t="n">
        <f aca="false">SUMIFS(الريسبي!$C$2:$C$1800,الريسبي!$A$2:$A$1800,$A89,الريسبي!$B$2:$B$1800,BM$1)</f>
        <v>0</v>
      </c>
      <c r="BN89" s="115" t="n">
        <f aca="false">SUMIFS(الريسبي!$C$2:$C$1800,الريسبي!$A$2:$A$1800,$A89,الريسبي!$B$2:$B$1800,BN$1)</f>
        <v>0.02</v>
      </c>
      <c r="BO89" s="115" t="n">
        <f aca="false">SUMIFS(الريسبي!$C$2:$C$1800,الريسبي!$A$2:$A$1800,$A89,الريسبي!$B$2:$B$1800,BO$1)</f>
        <v>0</v>
      </c>
      <c r="BP89" s="115" t="n">
        <f aca="false">SUMIFS(الريسبي!$C$2:$C$1800,الريسبي!$A$2:$A$1800,$A89,الريسبي!$B$2:$B$1800,BP$1)</f>
        <v>2</v>
      </c>
      <c r="BQ89" s="115"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15" t="n">
        <f aca="false">SUMIFS(الريسبي!$C$2:$C$1800,الريسبي!$A$2:$A$1800,$A89,الريسبي!$B$2:$B$1800,BR$1)</f>
        <v>1</v>
      </c>
      <c r="BS89" s="115" t="n">
        <f aca="false">SUMIFS(الريسبي!$C$2:$C$1800,الريسبي!$A$2:$A$1800,$A89,الريسبي!$B$2:$B$1800,BS$1)</f>
        <v>0</v>
      </c>
      <c r="BT89" s="115" t="n">
        <f aca="false">SUMIFS(الريسبي!$C$2:$C$1800,الريسبي!$A$2:$A$1800,$A89,الريسبي!$B$2:$B$1800,BT$1)</f>
        <v>0</v>
      </c>
      <c r="BU89" s="115"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15" t="n">
        <f aca="false">SUMIFS(الريسبي!$C$2:$C$1800,الريسبي!$A$2:$A$1800,$A89,الريسبي!$B$2:$B$1800,BV$1)</f>
        <v>0</v>
      </c>
      <c r="BW89" s="115" t="n">
        <f aca="false">SUMIFS(الريسبي!$C$2:$C$1800,الريسبي!$A$2:$A$1800,$A89,الريسبي!$B$2:$B$1800,BW$1)</f>
        <v>0</v>
      </c>
      <c r="BX89" s="115" t="n">
        <f aca="false">SUMIFS(الريسبي!$C$2:$C$1800,الريسبي!$A$2:$A$1800,$A89,الريسبي!$B$2:$B$1800,BX$1)</f>
        <v>0</v>
      </c>
      <c r="BY89" s="115" t="n">
        <f aca="false">SUMIFS(الريسبي!$C$2:$C$1800,الريسبي!$A$2:$A$1800,$A89,الريسبي!$B$2:$B$1800,BY$1)</f>
        <v>0</v>
      </c>
      <c r="BZ89" s="115" t="n">
        <f aca="false">SUMIFS(الريسبي!$C$2:$C$1800,الريسبي!$A$2:$A$1800,$A89,الريسبي!$B$2:$B$1800,BZ$1)</f>
        <v>1</v>
      </c>
      <c r="CA89" s="115" t="n">
        <f aca="false">SUMIFS(الريسبي!$C$2:$C$1800,الريسبي!$A$2:$A$1800,$A89,الريسبي!$B$2:$B$1800,CA$1)</f>
        <v>1</v>
      </c>
      <c r="CB89" s="115" t="n">
        <f aca="false">SUMIFS(الريسبي!$C$2:$C$1800,الريسبي!$A$2:$A$1800,$A89,الريسبي!$B$2:$B$1800,CB$1)</f>
        <v>0</v>
      </c>
      <c r="CC89" s="115" t="n">
        <f aca="false">SUMIFS(الريسبي!$C$2:$C$1800,الريسبي!$A$2:$A$1800,$A89,الريسبي!$B$2:$B$1800,CC$1)</f>
        <v>0</v>
      </c>
      <c r="CD89" s="115" t="n">
        <f aca="false">SUMIFS(الريسبي!$C$2:$C$1800,الريسبي!$A$2:$A$1800,$A89,الريسبي!$B$2:$B$1800,CD$1)</f>
        <v>0</v>
      </c>
      <c r="CE89" s="115" t="n">
        <f aca="false">SUMIFS(الريسبي!$C$2:$C$1800,الريسبي!$A$2:$A$1800,$A89,الريسبي!$B$2:$B$1800,CE$1)</f>
        <v>0</v>
      </c>
      <c r="CF89" s="115" t="n">
        <f aca="false">SUMIFS(الريسبي!$C$2:$C$1800,الريسبي!$A$2:$A$1800,$A89,الريسبي!$B$2:$B$1800,CF$1)</f>
        <v>0</v>
      </c>
      <c r="CG89" s="115" t="n">
        <f aca="false">SUMIFS(الريسبي!$C$2:$C$1800,الريسبي!$A$2:$A$1800,$A89,الريسبي!$B$2:$B$1800,CG$1)</f>
        <v>0</v>
      </c>
      <c r="CH89" s="115" t="n">
        <f aca="false">SUMIFS(الريسبي!$C$2:$C$1800,الريسبي!$A$2:$A$1800,$A89,الريسبي!$B$2:$B$1800,CH$1)</f>
        <v>0</v>
      </c>
    </row>
    <row r="90" customFormat="false" ht="15" hidden="false" customHeight="false" outlineLevel="0" collapsed="false">
      <c r="A90" s="114" t="str">
        <f aca="false">المنيو!B90</f>
        <v>بيتزا جمبري صيامي مخصوص</v>
      </c>
      <c r="B90" s="115" t="n">
        <f aca="false">SUMIFS(الريسبي!$C$2:$C$1800,الريسبي!$A$2:$A$1800,$A90,الريسبي!$B$2:$B$1800,B$1)</f>
        <v>0</v>
      </c>
      <c r="C90" s="115" t="n">
        <f aca="false">SUMIFS(الريسبي!$C$2:$C$1800,الريسبي!$A$2:$A$1800,$A90,الريسبي!$B$2:$B$1800,C$1)</f>
        <v>0</v>
      </c>
      <c r="D90" s="115" t="n">
        <f aca="false">SUMIFS(الريسبي!$C$2:$C$1800,الريسبي!$A$2:$A$1800,$A90,الريسبي!$B$2:$B$1800,D$1)</f>
        <v>1</v>
      </c>
      <c r="E90" s="115" t="n">
        <f aca="false">SUMIFS(الريسبي!$C$2:$C$1800,الريسبي!$A$2:$A$1800,$A90,الريسبي!$B$2:$B$1800,E$1)</f>
        <v>0</v>
      </c>
      <c r="F90" s="115" t="n">
        <f aca="false">SUMIFS(الريسبي!$C$2:$C$1800,الريسبي!$A$2:$A$1800,$A90,الريسبي!$B$2:$B$1800,F$1)</f>
        <v>0</v>
      </c>
      <c r="G90" s="115" t="n">
        <f aca="false">SUMIFS(الريسبي!$C$2:$C$1800,الريسبي!$A$2:$A$1800,$A90,الريسبي!$B$2:$B$1800,G$1)</f>
        <v>0</v>
      </c>
      <c r="H90" s="115" t="n">
        <f aca="false">SUMIFS(الريسبي!$C$2:$C$1800,الريسبي!$A$2:$A$1800,$A90,الريسبي!$B$2:$B$1800,H$1)</f>
        <v>0</v>
      </c>
      <c r="I90" s="115" t="n">
        <f aca="false">SUMIFS(الريسبي!$C$2:$C$1800,الريسبي!$A$2:$A$1800,$A90,الريسبي!$B$2:$B$1800,I$1)</f>
        <v>0</v>
      </c>
      <c r="J90" s="115" t="n">
        <f aca="false">SUMIFS(الريسبي!$C$2:$C$1800,الريسبي!$A$2:$A$1800,$A90,الريسبي!$B$2:$B$1800,J$1)</f>
        <v>0</v>
      </c>
      <c r="K90" s="115" t="n">
        <f aca="false">SUMIFS(الريسبي!$C$2:$C$1800,الريسبي!$A$2:$A$1800,$A90,الريسبي!$B$2:$B$1800,K$1)</f>
        <v>1.5</v>
      </c>
      <c r="L90" s="115" t="n">
        <f aca="false">SUMIFS(الريسبي!$C$2:$C$1800,الريسبي!$A$2:$A$1800,$A90,الريسبي!$B$2:$B$1800,L$1)</f>
        <v>0</v>
      </c>
      <c r="M90" s="115" t="n">
        <f aca="false">SUMIFS(الريسبي!$C$2:$C$1800,الريسبي!$A$2:$A$1800,$A90,الريسبي!$B$2:$B$1800,M$1)</f>
        <v>0</v>
      </c>
      <c r="N90" s="115" t="n">
        <f aca="false">SUMIFS(الريسبي!$C$2:$C$1800,الريسبي!$A$2:$A$1800,$A90,الريسبي!$B$2:$B$1800,N$1)</f>
        <v>0</v>
      </c>
      <c r="O90" s="115" t="n">
        <f aca="false">SUMIFS(الريسبي!$C$2:$C$1800,الريسبي!$A$2:$A$1800,$A90,الريسبي!$B$2:$B$1800,O$1)</f>
        <v>0</v>
      </c>
      <c r="P90" s="115" t="n">
        <f aca="false">SUMIFS(الريسبي!$C$2:$C$1800,الريسبي!$A$2:$A$1800,$A90,الريسبي!$B$2:$B$1800,P$1)</f>
        <v>0</v>
      </c>
      <c r="Q90" s="115" t="n">
        <f aca="false">SUMIFS(الريسبي!$C$2:$C$1800,الريسبي!$A$2:$A$1800,$A90,الريسبي!$B$2:$B$1800,Q$1)</f>
        <v>0</v>
      </c>
      <c r="R90" s="115" t="n">
        <f aca="false">SUMIFS(الريسبي!$C$2:$C$1800,الريسبي!$A$2:$A$1800,$A90,الريسبي!$B$2:$B$1800,R$1)</f>
        <v>0</v>
      </c>
      <c r="S90" s="115" t="n">
        <f aca="false">SUMIFS(الريسبي!$C$2:$C$1800,الريسبي!$A$2:$A$1800,$A90,الريسبي!$B$2:$B$1800,S$1)</f>
        <v>0</v>
      </c>
      <c r="T90" s="115" t="n">
        <f aca="false">SUMIFS(الريسبي!$C$2:$C$1800,الريسبي!$A$2:$A$1800,$A90,الريسبي!$B$2:$B$1800,T$1)</f>
        <v>0</v>
      </c>
      <c r="U90" s="115" t="n">
        <f aca="false">SUMIFS(الريسبي!$C$2:$C$1800,الريسبي!$A$2:$A$1800,$A90,الريسبي!$B$2:$B$1800,U$1)</f>
        <v>0</v>
      </c>
      <c r="V90" s="115" t="n">
        <f aca="false">SUMIFS(الريسبي!$C$2:$C$1800,الريسبي!$A$2:$A$1800,$A90,الريسبي!$B$2:$B$1800,V$1)</f>
        <v>0</v>
      </c>
      <c r="W90" s="115" t="n">
        <f aca="false">SUMIFS(الريسبي!$C$2:$C$1800,الريسبي!$A$2:$A$1800,$A90,الريسبي!$B$2:$B$1800,W$1)</f>
        <v>0</v>
      </c>
      <c r="X90" s="115" t="n">
        <f aca="false">SUMIFS(الريسبي!$C$2:$C$1800,الريسبي!$A$2:$A$1800,$A90,الريسبي!$B$2:$B$1800,X$1)</f>
        <v>0</v>
      </c>
      <c r="Y90" s="115" t="n">
        <f aca="false">SUMIFS(الريسبي!$C$2:$C$1800,الريسبي!$A$2:$A$1800,$A90,الريسبي!$B$2:$B$1800,Y$1)</f>
        <v>1</v>
      </c>
      <c r="Z90" s="115" t="n">
        <f aca="false">SUMIFS(الريسبي!$C$2:$C$1800,الريسبي!$A$2:$A$1800,$A90,الريسبي!$B$2:$B$1800,Z$1)</f>
        <v>0</v>
      </c>
      <c r="AA90" s="115" t="n">
        <f aca="false">SUMIFS(الريسبي!$C$2:$C$1800,الريسبي!$A$2:$A$1800,$A90,الريسبي!$B$2:$B$1800,AA$1)</f>
        <v>0</v>
      </c>
      <c r="AB90" s="115" t="n">
        <f aca="false">SUMIFS(الريسبي!$C$2:$C$1800,الريسبي!$A$2:$A$1800,$A90,الريسبي!$B$2:$B$1800,AB$1)</f>
        <v>0</v>
      </c>
      <c r="AC90" s="115" t="n">
        <f aca="false">SUMIFS(الريسبي!$C$2:$C$1800,الريسبي!$A$2:$A$1800,$A90,الريسبي!$B$2:$B$1800,AC$1)</f>
        <v>0</v>
      </c>
      <c r="AD90" s="115" t="n">
        <f aca="false">SUMIFS(الريسبي!$C$2:$C$1800,الريسبي!$A$2:$A$1800,$A90,الريسبي!$B$2:$B$1800,AD$1)</f>
        <v>0</v>
      </c>
      <c r="AE90" s="115" t="n">
        <f aca="false">SUMIFS(الريسبي!$C$2:$C$1800,الريسبي!$A$2:$A$1800,$A90,الريسبي!$B$2:$B$1800,AE$1)</f>
        <v>0</v>
      </c>
      <c r="AF90" s="115" t="n">
        <f aca="false">SUMIFS(الريسبي!$C$2:$C$1800,الريسبي!$A$2:$A$1800,$A90,الريسبي!$B$2:$B$1800,AF$1)</f>
        <v>0</v>
      </c>
      <c r="AG90" s="115" t="n">
        <f aca="false">SUMIFS(الريسبي!$C$2:$C$1800,الريسبي!$A$2:$A$1800,$A90,الريسبي!$B$2:$B$1800,AG$1)</f>
        <v>0</v>
      </c>
      <c r="AH90" s="115" t="n">
        <f aca="false">SUMIFS(الريسبي!$C$2:$C$1800,الريسبي!$A$2:$A$1800,$A90,الريسبي!$B$2:$B$1800,AH$1)</f>
        <v>0</v>
      </c>
      <c r="AI90" s="115" t="n">
        <f aca="false">SUMIFS(الريسبي!$C$2:$C$1800,الريسبي!$A$2:$A$1800,$A90,الريسبي!$B$2:$B$1800,AI$1)</f>
        <v>0</v>
      </c>
      <c r="AJ90" s="115" t="n">
        <f aca="false">SUMIFS(الريسبي!$C$2:$C$1800,الريسبي!$A$2:$A$1800,$A90,الريسبي!$B$2:$B$1800,AJ$1)</f>
        <v>2</v>
      </c>
      <c r="AK90" s="115" t="n">
        <f aca="false">SUMIFS(الريسبي!$C$2:$C$1800,الريسبي!$A$2:$A$1800,$A90,الريسبي!$B$2:$B$1800,AK$1)</f>
        <v>0</v>
      </c>
      <c r="AL90" s="115" t="n">
        <f aca="false">SUMIFS(الريسبي!$C$2:$C$1800,الريسبي!$A$2:$A$1800,$A90,الريسبي!$B$2:$B$1800,AL$1)</f>
        <v>0</v>
      </c>
      <c r="AM90" s="115"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15"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15" t="n">
        <f aca="false">SUMIFS(الريسبي!$C$2:$C$1800,الريسبي!$A$2:$A$1800,$A90,الريسبي!$B$2:$B$1800,AO$1)</f>
        <v>0</v>
      </c>
      <c r="AP90" s="115" t="n">
        <f aca="false">SUMIFS(الريسبي!$C$2:$C$1800,الريسبي!$A$2:$A$1800,$A90,الريسبي!$B$2:$B$1800,AP$1)</f>
        <v>0.03</v>
      </c>
      <c r="AQ90" s="115"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15" t="n">
        <f aca="false">SUMIFS(الريسبي!$C$2:$C$1800,الريسبي!$A$2:$A$1800,$A90,الريسبي!$B$2:$B$1800,AR$1)</f>
        <v>0</v>
      </c>
      <c r="AS90" s="115" t="n">
        <f aca="false">SUMIFS(الريسبي!$C$2:$C$1800,الريسبي!$A$2:$A$1800,$A90,الريسبي!$B$2:$B$1800,AS$1)</f>
        <v>0</v>
      </c>
      <c r="AT90" s="115" t="n">
        <f aca="false">SUMIFS(الريسبي!$C$2:$C$1800,الريسبي!$A$2:$A$1800,$A90,الريسبي!$B$2:$B$1800,AT$1)</f>
        <v>0</v>
      </c>
      <c r="AU90" s="115" t="n">
        <f aca="false">SUMIFS(الريسبي!$C$2:$C$1800,الريسبي!$A$2:$A$1800,$A90,الريسبي!$B$2:$B$1800,AU$1)</f>
        <v>0</v>
      </c>
      <c r="AV90" s="115" t="n">
        <f aca="false">SUMIFS(الريسبي!$C$2:$C$1800,الريسبي!$A$2:$A$1800,$A90,الريسبي!$B$2:$B$1800,AV$1)</f>
        <v>0</v>
      </c>
      <c r="AW90" s="115" t="n">
        <f aca="false">SUMIFS(الريسبي!$C$2:$C$1800,الريسبي!$A$2:$A$1800,$A90,الريسبي!$B$2:$B$1800,AW$1)</f>
        <v>0</v>
      </c>
      <c r="AX90" s="115" t="n">
        <f aca="false">SUMIFS(الريسبي!$C$2:$C$1800,الريسبي!$A$2:$A$1800,$A90,الريسبي!$B$2:$B$1800,AX$1)</f>
        <v>0.06</v>
      </c>
      <c r="AY90" s="115" t="n">
        <f aca="false">SUMIFS(الريسبي!$C$2:$C$1800,الريسبي!$A$2:$A$1800,$A90,الريسبي!$B$2:$B$1800,AY$1)</f>
        <v>0</v>
      </c>
      <c r="AZ90" s="115" t="n">
        <f aca="false">SUMIFS(الريسبي!$C$2:$C$1800,الريسبي!$A$2:$A$1800,$A90,الريسبي!$B$2:$B$1800,AZ$1)</f>
        <v>0</v>
      </c>
      <c r="BA90" s="115" t="n">
        <f aca="false">SUMIFS(الريسبي!$C$2:$C$1800,الريسبي!$A$2:$A$1800,$A90,الريسبي!$B$2:$B$1800,BA$1)</f>
        <v>0</v>
      </c>
      <c r="BB90" s="115" t="n">
        <f aca="false">SUMIFS(الريسبي!$C$2:$C$1800,الريسبي!$A$2:$A$1800,$A90,الريسبي!$B$2:$B$1800,BB$1)</f>
        <v>0</v>
      </c>
      <c r="BC90" s="115" t="n">
        <f aca="false">SUMIFS(الريسبي!$C$2:$C$1800,الريسبي!$A$2:$A$1800,$A90,الريسبي!$B$2:$B$1800,BC$1)</f>
        <v>0.045</v>
      </c>
      <c r="BD90" s="115" t="n">
        <f aca="false">SUMIFS(الريسبي!$C$2:$C$1800,الريسبي!$A$2:$A$1800,$A90,الريسبي!$B$2:$B$1800,BD$1)</f>
        <v>0.3</v>
      </c>
      <c r="BE90" s="115" t="n">
        <f aca="false">SUMIFS(الريسبي!$C$2:$C$1800,الريسبي!$A$2:$A$1800,$A90,الريسبي!$B$2:$B$1800,BE$1)</f>
        <v>0</v>
      </c>
      <c r="BF90" s="115" t="n">
        <f aca="false">SUMIFS(الريسبي!$C$2:$C$1800,الريسبي!$A$2:$A$1800,$A90,الريسبي!$B$2:$B$1800,BF$1)</f>
        <v>0</v>
      </c>
      <c r="BG90" s="115" t="n">
        <f aca="false">SUMIFS(الريسبي!$C$2:$C$1800,الريسبي!$A$2:$A$1800,$A90,الريسبي!$B$2:$B$1800,BG$1)</f>
        <v>1</v>
      </c>
      <c r="BH90" s="115" t="n">
        <f aca="false">SUMIFS(الريسبي!$C$2:$C$1800,الريسبي!$A$2:$A$1800,$A90,الريسبي!$B$2:$B$1800,BH$1)</f>
        <v>0</v>
      </c>
      <c r="BI90" s="115" t="n">
        <f aca="false">SUMIFS(الريسبي!$C$2:$C$1800,الريسبي!$A$2:$A$1800,$A90,الريسبي!$B$2:$B$1800,BI$1)</f>
        <v>0</v>
      </c>
      <c r="BJ90" s="115" t="n">
        <f aca="false">SUMIFS(الريسبي!$C$2:$C$1800,الريسبي!$A$2:$A$1800,$A90,الريسبي!$B$2:$B$1800,BJ$1)</f>
        <v>0</v>
      </c>
      <c r="BK90" s="115" t="n">
        <f aca="false">SUMIFS(الريسبي!$C$2:$C$1800,الريسبي!$A$2:$A$1800,$A90,الريسبي!$B$2:$B$1800,BK$1)</f>
        <v>0</v>
      </c>
      <c r="BL90" s="115" t="n">
        <f aca="false">SUMIFS(الريسبي!$C$2:$C$1800,الريسبي!$A$2:$A$1800,$A90,الريسبي!$B$2:$B$1800,BL$1)</f>
        <v>0</v>
      </c>
      <c r="BM90" s="115" t="n">
        <f aca="false">SUMIFS(الريسبي!$C$2:$C$1800,الريسبي!$A$2:$A$1800,$A90,الريسبي!$B$2:$B$1800,BM$1)</f>
        <v>0</v>
      </c>
      <c r="BN90" s="115" t="n">
        <f aca="false">SUMIFS(الريسبي!$C$2:$C$1800,الريسبي!$A$2:$A$1800,$A90,الريسبي!$B$2:$B$1800,BN$1)</f>
        <v>0.03</v>
      </c>
      <c r="BO90" s="115" t="n">
        <f aca="false">SUMIFS(الريسبي!$C$2:$C$1800,الريسبي!$A$2:$A$1800,$A90,الريسبي!$B$2:$B$1800,BO$1)</f>
        <v>0</v>
      </c>
      <c r="BP90" s="115" t="n">
        <f aca="false">SUMIFS(الريسبي!$C$2:$C$1800,الريسبي!$A$2:$A$1800,$A90,الريسبي!$B$2:$B$1800,BP$1)</f>
        <v>3</v>
      </c>
      <c r="BQ90" s="115"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15" t="n">
        <f aca="false">SUMIFS(الريسبي!$C$2:$C$1800,الريسبي!$A$2:$A$1800,$A90,الريسبي!$B$2:$B$1800,BR$1)</f>
        <v>1</v>
      </c>
      <c r="BS90" s="115" t="n">
        <f aca="false">SUMIFS(الريسبي!$C$2:$C$1800,الريسبي!$A$2:$A$1800,$A90,الريسبي!$B$2:$B$1800,BS$1)</f>
        <v>0</v>
      </c>
      <c r="BT90" s="115" t="n">
        <f aca="false">SUMIFS(الريسبي!$C$2:$C$1800,الريسبي!$A$2:$A$1800,$A90,الريسبي!$B$2:$B$1800,BT$1)</f>
        <v>0</v>
      </c>
      <c r="BU90" s="115"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15" t="n">
        <f aca="false">SUMIFS(الريسبي!$C$2:$C$1800,الريسبي!$A$2:$A$1800,$A90,الريسبي!$B$2:$B$1800,BV$1)</f>
        <v>0</v>
      </c>
      <c r="BW90" s="115" t="n">
        <f aca="false">SUMIFS(الريسبي!$C$2:$C$1800,الريسبي!$A$2:$A$1800,$A90,الريسبي!$B$2:$B$1800,BW$1)</f>
        <v>0</v>
      </c>
      <c r="BX90" s="115" t="n">
        <f aca="false">SUMIFS(الريسبي!$C$2:$C$1800,الريسبي!$A$2:$A$1800,$A90,الريسبي!$B$2:$B$1800,BX$1)</f>
        <v>0</v>
      </c>
      <c r="BY90" s="115" t="n">
        <f aca="false">SUMIFS(الريسبي!$C$2:$C$1800,الريسبي!$A$2:$A$1800,$A90,الريسبي!$B$2:$B$1800,BY$1)</f>
        <v>0</v>
      </c>
      <c r="BZ90" s="115" t="n">
        <f aca="false">SUMIFS(الريسبي!$C$2:$C$1800,الريسبي!$A$2:$A$1800,$A90,الريسبي!$B$2:$B$1800,BZ$1)</f>
        <v>1</v>
      </c>
      <c r="CA90" s="115" t="n">
        <f aca="false">SUMIFS(الريسبي!$C$2:$C$1800,الريسبي!$A$2:$A$1800,$A90,الريسبي!$B$2:$B$1800,CA$1)</f>
        <v>1</v>
      </c>
      <c r="CB90" s="115" t="n">
        <f aca="false">SUMIFS(الريسبي!$C$2:$C$1800,الريسبي!$A$2:$A$1800,$A90,الريسبي!$B$2:$B$1800,CB$1)</f>
        <v>0</v>
      </c>
      <c r="CC90" s="115" t="n">
        <f aca="false">SUMIFS(الريسبي!$C$2:$C$1800,الريسبي!$A$2:$A$1800,$A90,الريسبي!$B$2:$B$1800,CC$1)</f>
        <v>0</v>
      </c>
      <c r="CD90" s="115" t="n">
        <f aca="false">SUMIFS(الريسبي!$C$2:$C$1800,الريسبي!$A$2:$A$1800,$A90,الريسبي!$B$2:$B$1800,CD$1)</f>
        <v>0</v>
      </c>
      <c r="CE90" s="115" t="n">
        <f aca="false">SUMIFS(الريسبي!$C$2:$C$1800,الريسبي!$A$2:$A$1800,$A90,الريسبي!$B$2:$B$1800,CE$1)</f>
        <v>0</v>
      </c>
      <c r="CF90" s="115" t="n">
        <f aca="false">SUMIFS(الريسبي!$C$2:$C$1800,الريسبي!$A$2:$A$1800,$A90,الريسبي!$B$2:$B$1800,CF$1)</f>
        <v>0</v>
      </c>
      <c r="CG90" s="115" t="n">
        <f aca="false">SUMIFS(الريسبي!$C$2:$C$1800,الريسبي!$A$2:$A$1800,$A90,الريسبي!$B$2:$B$1800,CG$1)</f>
        <v>0</v>
      </c>
      <c r="CH90" s="115" t="n">
        <f aca="false">SUMIFS(الريسبي!$C$2:$C$1800,الريسبي!$A$2:$A$1800,$A90,الريسبي!$B$2:$B$1800,CH$1)</f>
        <v>0</v>
      </c>
    </row>
    <row r="91" customFormat="false" ht="15" hidden="false" customHeight="false" outlineLevel="0" collapsed="false">
      <c r="A91" s="114" t="str">
        <f aca="false">المنيو!B91</f>
        <v>بيتزا تونة صيامي وسط</v>
      </c>
      <c r="B91" s="115" t="n">
        <f aca="false">SUMIFS(الريسبي!$C$2:$C$1800,الريسبي!$A$2:$A$1800,$A91,الريسبي!$B$2:$B$1800,B$1)</f>
        <v>0</v>
      </c>
      <c r="C91" s="115" t="n">
        <f aca="false">SUMIFS(الريسبي!$C$2:$C$1800,الريسبي!$A$2:$A$1800,$A91,الريسبي!$B$2:$B$1800,C$1)</f>
        <v>0</v>
      </c>
      <c r="D91" s="115" t="n">
        <f aca="false">SUMIFS(الريسبي!$C$2:$C$1800,الريسبي!$A$2:$A$1800,$A91,الريسبي!$B$2:$B$1800,D$1)</f>
        <v>1</v>
      </c>
      <c r="E91" s="115" t="n">
        <f aca="false">SUMIFS(الريسبي!$C$2:$C$1800,الريسبي!$A$2:$A$1800,$A91,الريسبي!$B$2:$B$1800,E$1)</f>
        <v>0</v>
      </c>
      <c r="F91" s="115" t="n">
        <f aca="false">SUMIFS(الريسبي!$C$2:$C$1800,الريسبي!$A$2:$A$1800,$A91,الريسبي!$B$2:$B$1800,F$1)</f>
        <v>0</v>
      </c>
      <c r="G91" s="115" t="n">
        <f aca="false">SUMIFS(الريسبي!$C$2:$C$1800,الريسبي!$A$2:$A$1800,$A91,الريسبي!$B$2:$B$1800,G$1)</f>
        <v>0</v>
      </c>
      <c r="H91" s="115" t="n">
        <f aca="false">SUMIFS(الريسبي!$C$2:$C$1800,الريسبي!$A$2:$A$1800,$A91,الريسبي!$B$2:$B$1800,H$1)</f>
        <v>0</v>
      </c>
      <c r="I91" s="115" t="n">
        <f aca="false">SUMIFS(الريسبي!$C$2:$C$1800,الريسبي!$A$2:$A$1800,$A91,الريسبي!$B$2:$B$1800,I$1)</f>
        <v>0</v>
      </c>
      <c r="J91" s="115" t="n">
        <f aca="false">SUMIFS(الريسبي!$C$2:$C$1800,الريسبي!$A$2:$A$1800,$A91,الريسبي!$B$2:$B$1800,J$1)</f>
        <v>0</v>
      </c>
      <c r="K91" s="115" t="n">
        <f aca="false">SUMIFS(الريسبي!$C$2:$C$1800,الريسبي!$A$2:$A$1800,$A91,الريسبي!$B$2:$B$1800,K$1)</f>
        <v>0</v>
      </c>
      <c r="L91" s="115" t="n">
        <f aca="false">SUMIFS(الريسبي!$C$2:$C$1800,الريسبي!$A$2:$A$1800,$A91,الريسبي!$B$2:$B$1800,L$1)</f>
        <v>0</v>
      </c>
      <c r="M91" s="115" t="n">
        <f aca="false">SUMIFS(الريسبي!$C$2:$C$1800,الريسبي!$A$2:$A$1800,$A91,الريسبي!$B$2:$B$1800,M$1)</f>
        <v>0</v>
      </c>
      <c r="N91" s="115" t="n">
        <f aca="false">SUMIFS(الريسبي!$C$2:$C$1800,الريسبي!$A$2:$A$1800,$A91,الريسبي!$B$2:$B$1800,N$1)</f>
        <v>0</v>
      </c>
      <c r="O91" s="115" t="n">
        <f aca="false">SUMIFS(الريسبي!$C$2:$C$1800,الريسبي!$A$2:$A$1800,$A91,الريسبي!$B$2:$B$1800,O$1)</f>
        <v>0</v>
      </c>
      <c r="P91" s="115" t="n">
        <f aca="false">SUMIFS(الريسبي!$C$2:$C$1800,الريسبي!$A$2:$A$1800,$A91,الريسبي!$B$2:$B$1800,P$1)</f>
        <v>0</v>
      </c>
      <c r="Q91" s="115" t="n">
        <f aca="false">SUMIFS(الريسبي!$C$2:$C$1800,الريسبي!$A$2:$A$1800,$A91,الريسبي!$B$2:$B$1800,Q$1)</f>
        <v>0</v>
      </c>
      <c r="R91" s="115" t="n">
        <f aca="false">SUMIFS(الريسبي!$C$2:$C$1800,الريسبي!$A$2:$A$1800,$A91,الريسبي!$B$2:$B$1800,R$1)</f>
        <v>0</v>
      </c>
      <c r="S91" s="115" t="n">
        <f aca="false">SUMIFS(الريسبي!$C$2:$C$1800,الريسبي!$A$2:$A$1800,$A91,الريسبي!$B$2:$B$1800,S$1)</f>
        <v>0</v>
      </c>
      <c r="T91" s="115" t="n">
        <f aca="false">SUMIFS(الريسبي!$C$2:$C$1800,الريسبي!$A$2:$A$1800,$A91,الريسبي!$B$2:$B$1800,T$1)</f>
        <v>0</v>
      </c>
      <c r="U91" s="115" t="n">
        <f aca="false">SUMIFS(الريسبي!$C$2:$C$1800,الريسبي!$A$2:$A$1800,$A91,الريسبي!$B$2:$B$1800,U$1)</f>
        <v>0</v>
      </c>
      <c r="V91" s="115" t="n">
        <f aca="false">SUMIFS(الريسبي!$C$2:$C$1800,الريسبي!$A$2:$A$1800,$A91,الريسبي!$B$2:$B$1800,V$1)</f>
        <v>0</v>
      </c>
      <c r="W91" s="115" t="n">
        <f aca="false">SUMIFS(الريسبي!$C$2:$C$1800,الريسبي!$A$2:$A$1800,$A91,الريسبي!$B$2:$B$1800,W$1)</f>
        <v>0</v>
      </c>
      <c r="X91" s="115" t="n">
        <f aca="false">SUMIFS(الريسبي!$C$2:$C$1800,الريسبي!$A$2:$A$1800,$A91,الريسبي!$B$2:$B$1800,X$1)</f>
        <v>1</v>
      </c>
      <c r="Y91" s="115" t="n">
        <f aca="false">SUMIFS(الريسبي!$C$2:$C$1800,الريسبي!$A$2:$A$1800,$A91,الريسبي!$B$2:$B$1800,Y$1)</f>
        <v>0</v>
      </c>
      <c r="Z91" s="115" t="n">
        <f aca="false">SUMIFS(الريسبي!$C$2:$C$1800,الريسبي!$A$2:$A$1800,$A91,الريسبي!$B$2:$B$1800,Z$1)</f>
        <v>0</v>
      </c>
      <c r="AA91" s="115" t="n">
        <f aca="false">SUMIFS(الريسبي!$C$2:$C$1800,الريسبي!$A$2:$A$1800,$A91,الريسبي!$B$2:$B$1800,AA$1)</f>
        <v>0</v>
      </c>
      <c r="AB91" s="115" t="n">
        <f aca="false">SUMIFS(الريسبي!$C$2:$C$1800,الريسبي!$A$2:$A$1800,$A91,الريسبي!$B$2:$B$1800,AB$1)</f>
        <v>0</v>
      </c>
      <c r="AC91" s="115" t="n">
        <f aca="false">SUMIFS(الريسبي!$C$2:$C$1800,الريسبي!$A$2:$A$1800,$A91,الريسبي!$B$2:$B$1800,AC$1)</f>
        <v>0</v>
      </c>
      <c r="AD91" s="115" t="n">
        <f aca="false">SUMIFS(الريسبي!$C$2:$C$1800,الريسبي!$A$2:$A$1800,$A91,الريسبي!$B$2:$B$1800,AD$1)</f>
        <v>0</v>
      </c>
      <c r="AE91" s="115" t="n">
        <f aca="false">SUMIFS(الريسبي!$C$2:$C$1800,الريسبي!$A$2:$A$1800,$A91,الريسبي!$B$2:$B$1800,AE$1)</f>
        <v>0</v>
      </c>
      <c r="AF91" s="115" t="n">
        <f aca="false">SUMIFS(الريسبي!$C$2:$C$1800,الريسبي!$A$2:$A$1800,$A91,الريسبي!$B$2:$B$1800,AF$1)</f>
        <v>0</v>
      </c>
      <c r="AG91" s="115" t="n">
        <f aca="false">SUMIFS(الريسبي!$C$2:$C$1800,الريسبي!$A$2:$A$1800,$A91,الريسبي!$B$2:$B$1800,AG$1)</f>
        <v>0</v>
      </c>
      <c r="AH91" s="115" t="n">
        <f aca="false">SUMIFS(الريسبي!$C$2:$C$1800,الريسبي!$A$2:$A$1800,$A91,الريسبي!$B$2:$B$1800,AH$1)</f>
        <v>0</v>
      </c>
      <c r="AI91" s="115" t="n">
        <f aca="false">SUMIFS(الريسبي!$C$2:$C$1800,الريسبي!$A$2:$A$1800,$A91,الريسبي!$B$2:$B$1800,AI$1)</f>
        <v>0</v>
      </c>
      <c r="AJ91" s="115" t="n">
        <f aca="false">SUMIFS(الريسبي!$C$2:$C$1800,الريسبي!$A$2:$A$1800,$A91,الريسبي!$B$2:$B$1800,AJ$1)</f>
        <v>2</v>
      </c>
      <c r="AK91" s="115" t="n">
        <f aca="false">SUMIFS(الريسبي!$C$2:$C$1800,الريسبي!$A$2:$A$1800,$A91,الريسبي!$B$2:$B$1800,AK$1)</f>
        <v>0</v>
      </c>
      <c r="AL91" s="115" t="n">
        <f aca="false">SUMIFS(الريسبي!$C$2:$C$1800,الريسبي!$A$2:$A$1800,$A91,الريسبي!$B$2:$B$1800,AL$1)</f>
        <v>0</v>
      </c>
      <c r="AM91" s="115"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15"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15" t="n">
        <f aca="false">SUMIFS(الريسبي!$C$2:$C$1800,الريسبي!$A$2:$A$1800,$A91,الريسبي!$B$2:$B$1800,AO$1)</f>
        <v>0</v>
      </c>
      <c r="AP91" s="115" t="n">
        <f aca="false">SUMIFS(الريسبي!$C$2:$C$1800,الريسبي!$A$2:$A$1800,$A91,الريسبي!$B$2:$B$1800,AP$1)</f>
        <v>0.02</v>
      </c>
      <c r="AQ91" s="115"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15" t="n">
        <f aca="false">SUMIFS(الريسبي!$C$2:$C$1800,الريسبي!$A$2:$A$1800,$A91,الريسبي!$B$2:$B$1800,AR$1)</f>
        <v>0</v>
      </c>
      <c r="AS91" s="115" t="n">
        <f aca="false">SUMIFS(الريسبي!$C$2:$C$1800,الريسبي!$A$2:$A$1800,$A91,الريسبي!$B$2:$B$1800,AS$1)</f>
        <v>0</v>
      </c>
      <c r="AT91" s="115" t="n">
        <f aca="false">SUMIFS(الريسبي!$C$2:$C$1800,الريسبي!$A$2:$A$1800,$A91,الريسبي!$B$2:$B$1800,AT$1)</f>
        <v>0</v>
      </c>
      <c r="AU91" s="115" t="n">
        <f aca="false">SUMIFS(الريسبي!$C$2:$C$1800,الريسبي!$A$2:$A$1800,$A91,الريسبي!$B$2:$B$1800,AU$1)</f>
        <v>0</v>
      </c>
      <c r="AV91" s="115" t="n">
        <f aca="false">SUMIFS(الريسبي!$C$2:$C$1800,الريسبي!$A$2:$A$1800,$A91,الريسبي!$B$2:$B$1800,AV$1)</f>
        <v>0</v>
      </c>
      <c r="AW91" s="115" t="n">
        <f aca="false">SUMIFS(الريسبي!$C$2:$C$1800,الريسبي!$A$2:$A$1800,$A91,الريسبي!$B$2:$B$1800,AW$1)</f>
        <v>0</v>
      </c>
      <c r="AX91" s="115" t="n">
        <f aca="false">SUMIFS(الريسبي!$C$2:$C$1800,الريسبي!$A$2:$A$1800,$A91,الريسبي!$B$2:$B$1800,AX$1)</f>
        <v>0.04</v>
      </c>
      <c r="AY91" s="115" t="n">
        <f aca="false">SUMIFS(الريسبي!$C$2:$C$1800,الريسبي!$A$2:$A$1800,$A91,الريسبي!$B$2:$B$1800,AY$1)</f>
        <v>0</v>
      </c>
      <c r="AZ91" s="115" t="n">
        <f aca="false">SUMIFS(الريسبي!$C$2:$C$1800,الريسبي!$A$2:$A$1800,$A91,الريسبي!$B$2:$B$1800,AZ$1)</f>
        <v>0</v>
      </c>
      <c r="BA91" s="115" t="n">
        <f aca="false">SUMIFS(الريسبي!$C$2:$C$1800,الريسبي!$A$2:$A$1800,$A91,الريسبي!$B$2:$B$1800,BA$1)</f>
        <v>0</v>
      </c>
      <c r="BB91" s="115" t="n">
        <f aca="false">SUMIFS(الريسبي!$C$2:$C$1800,الريسبي!$A$2:$A$1800,$A91,الريسبي!$B$2:$B$1800,BB$1)</f>
        <v>0</v>
      </c>
      <c r="BC91" s="115" t="n">
        <f aca="false">SUMIFS(الريسبي!$C$2:$C$1800,الريسبي!$A$2:$A$1800,$A91,الريسبي!$B$2:$B$1800,BC$1)</f>
        <v>0.03</v>
      </c>
      <c r="BD91" s="115" t="n">
        <f aca="false">SUMIFS(الريسبي!$C$2:$C$1800,الريسبي!$A$2:$A$1800,$A91,الريسبي!$B$2:$B$1800,BD$1)</f>
        <v>0.22</v>
      </c>
      <c r="BE91" s="115" t="n">
        <f aca="false">SUMIFS(الريسبي!$C$2:$C$1800,الريسبي!$A$2:$A$1800,$A91,الريسبي!$B$2:$B$1800,BE$1)</f>
        <v>0</v>
      </c>
      <c r="BF91" s="115" t="n">
        <f aca="false">SUMIFS(الريسبي!$C$2:$C$1800,الريسبي!$A$2:$A$1800,$A91,الريسبي!$B$2:$B$1800,BF$1)</f>
        <v>0</v>
      </c>
      <c r="BG91" s="115" t="n">
        <f aca="false">SUMIFS(الريسبي!$C$2:$C$1800,الريسبي!$A$2:$A$1800,$A91,الريسبي!$B$2:$B$1800,BG$1)</f>
        <v>0</v>
      </c>
      <c r="BH91" s="115" t="n">
        <f aca="false">SUMIFS(الريسبي!$C$2:$C$1800,الريسبي!$A$2:$A$1800,$A91,الريسبي!$B$2:$B$1800,BH$1)</f>
        <v>1</v>
      </c>
      <c r="BI91" s="115" t="n">
        <f aca="false">SUMIFS(الريسبي!$C$2:$C$1800,الريسبي!$A$2:$A$1800,$A91,الريسبي!$B$2:$B$1800,BI$1)</f>
        <v>0</v>
      </c>
      <c r="BJ91" s="115" t="n">
        <f aca="false">SUMIFS(الريسبي!$C$2:$C$1800,الريسبي!$A$2:$A$1800,$A91,الريسبي!$B$2:$B$1800,BJ$1)</f>
        <v>0</v>
      </c>
      <c r="BK91" s="115" t="n">
        <f aca="false">SUMIFS(الريسبي!$C$2:$C$1800,الريسبي!$A$2:$A$1800,$A91,الريسبي!$B$2:$B$1800,BK$1)</f>
        <v>0</v>
      </c>
      <c r="BL91" s="115" t="n">
        <f aca="false">SUMIFS(الريسبي!$C$2:$C$1800,الريسبي!$A$2:$A$1800,$A91,الريسبي!$B$2:$B$1800,BL$1)</f>
        <v>1</v>
      </c>
      <c r="BM91" s="115" t="n">
        <f aca="false">SUMIFS(الريسبي!$C$2:$C$1800,الريسبي!$A$2:$A$1800,$A91,الريسبي!$B$2:$B$1800,BM$1)</f>
        <v>0</v>
      </c>
      <c r="BN91" s="115" t="n">
        <f aca="false">SUMIFS(الريسبي!$C$2:$C$1800,الريسبي!$A$2:$A$1800,$A91,الريسبي!$B$2:$B$1800,BN$1)</f>
        <v>0.02</v>
      </c>
      <c r="BO91" s="115" t="n">
        <f aca="false">SUMIFS(الريسبي!$C$2:$C$1800,الريسبي!$A$2:$A$1800,$A91,الريسبي!$B$2:$B$1800,BO$1)</f>
        <v>0</v>
      </c>
      <c r="BP91" s="115" t="n">
        <f aca="false">SUMIFS(الريسبي!$C$2:$C$1800,الريسبي!$A$2:$A$1800,$A91,الريسبي!$B$2:$B$1800,BP$1)</f>
        <v>2</v>
      </c>
      <c r="BQ91" s="115"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15" t="n">
        <f aca="false">SUMIFS(الريسبي!$C$2:$C$1800,الريسبي!$A$2:$A$1800,$A91,الريسبي!$B$2:$B$1800,BR$1)</f>
        <v>1</v>
      </c>
      <c r="BS91" s="115" t="n">
        <f aca="false">SUMIFS(الريسبي!$C$2:$C$1800,الريسبي!$A$2:$A$1800,$A91,الريسبي!$B$2:$B$1800,BS$1)</f>
        <v>0</v>
      </c>
      <c r="BT91" s="115" t="n">
        <f aca="false">SUMIFS(الريسبي!$C$2:$C$1800,الريسبي!$A$2:$A$1800,$A91,الريسبي!$B$2:$B$1800,BT$1)</f>
        <v>0</v>
      </c>
      <c r="BU91" s="115"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15" t="n">
        <f aca="false">SUMIFS(الريسبي!$C$2:$C$1800,الريسبي!$A$2:$A$1800,$A91,الريسبي!$B$2:$B$1800,BV$1)</f>
        <v>0</v>
      </c>
      <c r="BW91" s="115" t="n">
        <f aca="false">SUMIFS(الريسبي!$C$2:$C$1800,الريسبي!$A$2:$A$1800,$A91,الريسبي!$B$2:$B$1800,BW$1)</f>
        <v>0</v>
      </c>
      <c r="BX91" s="115" t="n">
        <f aca="false">SUMIFS(الريسبي!$C$2:$C$1800,الريسبي!$A$2:$A$1800,$A91,الريسبي!$B$2:$B$1800,BX$1)</f>
        <v>0</v>
      </c>
      <c r="BY91" s="115" t="n">
        <f aca="false">SUMIFS(الريسبي!$C$2:$C$1800,الريسبي!$A$2:$A$1800,$A91,الريسبي!$B$2:$B$1800,BY$1)</f>
        <v>0</v>
      </c>
      <c r="BZ91" s="115" t="n">
        <f aca="false">SUMIFS(الريسبي!$C$2:$C$1800,الريسبي!$A$2:$A$1800,$A91,الريسبي!$B$2:$B$1800,BZ$1)</f>
        <v>1</v>
      </c>
      <c r="CA91" s="115" t="n">
        <f aca="false">SUMIFS(الريسبي!$C$2:$C$1800,الريسبي!$A$2:$A$1800,$A91,الريسبي!$B$2:$B$1800,CA$1)</f>
        <v>1</v>
      </c>
      <c r="CB91" s="115" t="n">
        <f aca="false">SUMIFS(الريسبي!$C$2:$C$1800,الريسبي!$A$2:$A$1800,$A91,الريسبي!$B$2:$B$1800,CB$1)</f>
        <v>0</v>
      </c>
      <c r="CC91" s="115" t="n">
        <f aca="false">SUMIFS(الريسبي!$C$2:$C$1800,الريسبي!$A$2:$A$1800,$A91,الريسبي!$B$2:$B$1800,CC$1)</f>
        <v>0</v>
      </c>
      <c r="CD91" s="115" t="n">
        <f aca="false">SUMIFS(الريسبي!$C$2:$C$1800,الريسبي!$A$2:$A$1800,$A91,الريسبي!$B$2:$B$1800,CD$1)</f>
        <v>0</v>
      </c>
      <c r="CE91" s="115" t="n">
        <f aca="false">SUMIFS(الريسبي!$C$2:$C$1800,الريسبي!$A$2:$A$1800,$A91,الريسبي!$B$2:$B$1800,CE$1)</f>
        <v>0</v>
      </c>
      <c r="CF91" s="115" t="n">
        <f aca="false">SUMIFS(الريسبي!$C$2:$C$1800,الريسبي!$A$2:$A$1800,$A91,الريسبي!$B$2:$B$1800,CF$1)</f>
        <v>0</v>
      </c>
      <c r="CG91" s="115" t="n">
        <f aca="false">SUMIFS(الريسبي!$C$2:$C$1800,الريسبي!$A$2:$A$1800,$A91,الريسبي!$B$2:$B$1800,CG$1)</f>
        <v>0</v>
      </c>
      <c r="CH91" s="115" t="n">
        <f aca="false">SUMIFS(الريسبي!$C$2:$C$1800,الريسبي!$A$2:$A$1800,$A91,الريسبي!$B$2:$B$1800,CH$1)</f>
        <v>0</v>
      </c>
    </row>
    <row r="92" customFormat="false" ht="15" hidden="false" customHeight="false" outlineLevel="0" collapsed="false">
      <c r="A92" s="114" t="str">
        <f aca="false">المنيو!B92</f>
        <v>بيتزا تونة صيامي مخصوص</v>
      </c>
      <c r="B92" s="115" t="n">
        <f aca="false">SUMIFS(الريسبي!$C$2:$C$1800,الريسبي!$A$2:$A$1800,$A92,الريسبي!$B$2:$B$1800,B$1)</f>
        <v>0</v>
      </c>
      <c r="C92" s="115" t="n">
        <f aca="false">SUMIFS(الريسبي!$C$2:$C$1800,الريسبي!$A$2:$A$1800,$A92,الريسبي!$B$2:$B$1800,C$1)</f>
        <v>0</v>
      </c>
      <c r="D92" s="115" t="n">
        <f aca="false">SUMIFS(الريسبي!$C$2:$C$1800,الريسبي!$A$2:$A$1800,$A92,الريسبي!$B$2:$B$1800,D$1)</f>
        <v>1</v>
      </c>
      <c r="E92" s="115" t="n">
        <f aca="false">SUMIFS(الريسبي!$C$2:$C$1800,الريسبي!$A$2:$A$1800,$A92,الريسبي!$B$2:$B$1800,E$1)</f>
        <v>0</v>
      </c>
      <c r="F92" s="115" t="n">
        <f aca="false">SUMIFS(الريسبي!$C$2:$C$1800,الريسبي!$A$2:$A$1800,$A92,الريسبي!$B$2:$B$1800,F$1)</f>
        <v>0</v>
      </c>
      <c r="G92" s="115" t="n">
        <f aca="false">SUMIFS(الريسبي!$C$2:$C$1800,الريسبي!$A$2:$A$1800,$A92,الريسبي!$B$2:$B$1800,G$1)</f>
        <v>0</v>
      </c>
      <c r="H92" s="115" t="n">
        <f aca="false">SUMIFS(الريسبي!$C$2:$C$1800,الريسبي!$A$2:$A$1800,$A92,الريسبي!$B$2:$B$1800,H$1)</f>
        <v>0</v>
      </c>
      <c r="I92" s="115" t="n">
        <f aca="false">SUMIFS(الريسبي!$C$2:$C$1800,الريسبي!$A$2:$A$1800,$A92,الريسبي!$B$2:$B$1800,I$1)</f>
        <v>0</v>
      </c>
      <c r="J92" s="115" t="n">
        <f aca="false">SUMIFS(الريسبي!$C$2:$C$1800,الريسبي!$A$2:$A$1800,$A92,الريسبي!$B$2:$B$1800,J$1)</f>
        <v>0</v>
      </c>
      <c r="K92" s="115" t="n">
        <f aca="false">SUMIFS(الريسبي!$C$2:$C$1800,الريسبي!$A$2:$A$1800,$A92,الريسبي!$B$2:$B$1800,K$1)</f>
        <v>0</v>
      </c>
      <c r="L92" s="115" t="n">
        <f aca="false">SUMIFS(الريسبي!$C$2:$C$1800,الريسبي!$A$2:$A$1800,$A92,الريسبي!$B$2:$B$1800,L$1)</f>
        <v>0</v>
      </c>
      <c r="M92" s="115" t="n">
        <f aca="false">SUMIFS(الريسبي!$C$2:$C$1800,الريسبي!$A$2:$A$1800,$A92,الريسبي!$B$2:$B$1800,M$1)</f>
        <v>0</v>
      </c>
      <c r="N92" s="115" t="n">
        <f aca="false">SUMIFS(الريسبي!$C$2:$C$1800,الريسبي!$A$2:$A$1800,$A92,الريسبي!$B$2:$B$1800,N$1)</f>
        <v>0</v>
      </c>
      <c r="O92" s="115" t="n">
        <f aca="false">SUMIFS(الريسبي!$C$2:$C$1800,الريسبي!$A$2:$A$1800,$A92,الريسبي!$B$2:$B$1800,O$1)</f>
        <v>0</v>
      </c>
      <c r="P92" s="115" t="n">
        <f aca="false">SUMIFS(الريسبي!$C$2:$C$1800,الريسبي!$A$2:$A$1800,$A92,الريسبي!$B$2:$B$1800,P$1)</f>
        <v>0</v>
      </c>
      <c r="Q92" s="115" t="n">
        <f aca="false">SUMIFS(الريسبي!$C$2:$C$1800,الريسبي!$A$2:$A$1800,$A92,الريسبي!$B$2:$B$1800,Q$1)</f>
        <v>0</v>
      </c>
      <c r="R92" s="115" t="n">
        <f aca="false">SUMIFS(الريسبي!$C$2:$C$1800,الريسبي!$A$2:$A$1800,$A92,الريسبي!$B$2:$B$1800,R$1)</f>
        <v>0</v>
      </c>
      <c r="S92" s="115" t="n">
        <f aca="false">SUMIFS(الريسبي!$C$2:$C$1800,الريسبي!$A$2:$A$1800,$A92,الريسبي!$B$2:$B$1800,S$1)</f>
        <v>0</v>
      </c>
      <c r="T92" s="115" t="n">
        <f aca="false">SUMIFS(الريسبي!$C$2:$C$1800,الريسبي!$A$2:$A$1800,$A92,الريسبي!$B$2:$B$1800,T$1)</f>
        <v>0</v>
      </c>
      <c r="U92" s="115" t="n">
        <f aca="false">SUMIFS(الريسبي!$C$2:$C$1800,الريسبي!$A$2:$A$1800,$A92,الريسبي!$B$2:$B$1800,U$1)</f>
        <v>0</v>
      </c>
      <c r="V92" s="115" t="n">
        <f aca="false">SUMIFS(الريسبي!$C$2:$C$1800,الريسبي!$A$2:$A$1800,$A92,الريسبي!$B$2:$B$1800,V$1)</f>
        <v>0</v>
      </c>
      <c r="W92" s="115" t="n">
        <f aca="false">SUMIFS(الريسبي!$C$2:$C$1800,الريسبي!$A$2:$A$1800,$A92,الريسبي!$B$2:$B$1800,W$1)</f>
        <v>0</v>
      </c>
      <c r="X92" s="115" t="n">
        <f aca="false">SUMIFS(الريسبي!$C$2:$C$1800,الريسبي!$A$2:$A$1800,$A92,الريسبي!$B$2:$B$1800,X$1)</f>
        <v>0</v>
      </c>
      <c r="Y92" s="115" t="n">
        <f aca="false">SUMIFS(الريسبي!$C$2:$C$1800,الريسبي!$A$2:$A$1800,$A92,الريسبي!$B$2:$B$1800,Y$1)</f>
        <v>1</v>
      </c>
      <c r="Z92" s="115" t="n">
        <f aca="false">SUMIFS(الريسبي!$C$2:$C$1800,الريسبي!$A$2:$A$1800,$A92,الريسبي!$B$2:$B$1800,Z$1)</f>
        <v>0</v>
      </c>
      <c r="AA92" s="115" t="n">
        <f aca="false">SUMIFS(الريسبي!$C$2:$C$1800,الريسبي!$A$2:$A$1800,$A92,الريسبي!$B$2:$B$1800,AA$1)</f>
        <v>0</v>
      </c>
      <c r="AB92" s="115" t="n">
        <f aca="false">SUMIFS(الريسبي!$C$2:$C$1800,الريسبي!$A$2:$A$1800,$A92,الريسبي!$B$2:$B$1800,AB$1)</f>
        <v>0</v>
      </c>
      <c r="AC92" s="115" t="n">
        <f aca="false">SUMIFS(الريسبي!$C$2:$C$1800,الريسبي!$A$2:$A$1800,$A92,الريسبي!$B$2:$B$1800,AC$1)</f>
        <v>0</v>
      </c>
      <c r="AD92" s="115" t="n">
        <f aca="false">SUMIFS(الريسبي!$C$2:$C$1800,الريسبي!$A$2:$A$1800,$A92,الريسبي!$B$2:$B$1800,AD$1)</f>
        <v>0</v>
      </c>
      <c r="AE92" s="115" t="n">
        <f aca="false">SUMIFS(الريسبي!$C$2:$C$1800,الريسبي!$A$2:$A$1800,$A92,الريسبي!$B$2:$B$1800,AE$1)</f>
        <v>0</v>
      </c>
      <c r="AF92" s="115" t="n">
        <f aca="false">SUMIFS(الريسبي!$C$2:$C$1800,الريسبي!$A$2:$A$1800,$A92,الريسبي!$B$2:$B$1800,AF$1)</f>
        <v>0</v>
      </c>
      <c r="AG92" s="115" t="n">
        <f aca="false">SUMIFS(الريسبي!$C$2:$C$1800,الريسبي!$A$2:$A$1800,$A92,الريسبي!$B$2:$B$1800,AG$1)</f>
        <v>0</v>
      </c>
      <c r="AH92" s="115" t="n">
        <f aca="false">SUMIFS(الريسبي!$C$2:$C$1800,الريسبي!$A$2:$A$1800,$A92,الريسبي!$B$2:$B$1800,AH$1)</f>
        <v>0</v>
      </c>
      <c r="AI92" s="115" t="n">
        <f aca="false">SUMIFS(الريسبي!$C$2:$C$1800,الريسبي!$A$2:$A$1800,$A92,الريسبي!$B$2:$B$1800,AI$1)</f>
        <v>0</v>
      </c>
      <c r="AJ92" s="115" t="n">
        <f aca="false">SUMIFS(الريسبي!$C$2:$C$1800,الريسبي!$A$2:$A$1800,$A92,الريسبي!$B$2:$B$1800,AJ$1)</f>
        <v>2</v>
      </c>
      <c r="AK92" s="115" t="n">
        <f aca="false">SUMIFS(الريسبي!$C$2:$C$1800,الريسبي!$A$2:$A$1800,$A92,الريسبي!$B$2:$B$1800,AK$1)</f>
        <v>0</v>
      </c>
      <c r="AL92" s="115" t="n">
        <f aca="false">SUMIFS(الريسبي!$C$2:$C$1800,الريسبي!$A$2:$A$1800,$A92,الريسبي!$B$2:$B$1800,AL$1)</f>
        <v>0</v>
      </c>
      <c r="AM92" s="115"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15"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15" t="n">
        <f aca="false">SUMIFS(الريسبي!$C$2:$C$1800,الريسبي!$A$2:$A$1800,$A92,الريسبي!$B$2:$B$1800,AO$1)</f>
        <v>0</v>
      </c>
      <c r="AP92" s="115" t="n">
        <f aca="false">SUMIFS(الريسبي!$C$2:$C$1800,الريسبي!$A$2:$A$1800,$A92,الريسبي!$B$2:$B$1800,AP$1)</f>
        <v>0.03</v>
      </c>
      <c r="AQ92" s="115"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15" t="n">
        <f aca="false">SUMIFS(الريسبي!$C$2:$C$1800,الريسبي!$A$2:$A$1800,$A92,الريسبي!$B$2:$B$1800,AR$1)</f>
        <v>0</v>
      </c>
      <c r="AS92" s="115" t="n">
        <f aca="false">SUMIFS(الريسبي!$C$2:$C$1800,الريسبي!$A$2:$A$1800,$A92,الريسبي!$B$2:$B$1800,AS$1)</f>
        <v>0</v>
      </c>
      <c r="AT92" s="115" t="n">
        <f aca="false">SUMIFS(الريسبي!$C$2:$C$1800,الريسبي!$A$2:$A$1800,$A92,الريسبي!$B$2:$B$1800,AT$1)</f>
        <v>0</v>
      </c>
      <c r="AU92" s="115" t="n">
        <f aca="false">SUMIFS(الريسبي!$C$2:$C$1800,الريسبي!$A$2:$A$1800,$A92,الريسبي!$B$2:$B$1800,AU$1)</f>
        <v>0</v>
      </c>
      <c r="AV92" s="115" t="n">
        <f aca="false">SUMIFS(الريسبي!$C$2:$C$1800,الريسبي!$A$2:$A$1800,$A92,الريسبي!$B$2:$B$1800,AV$1)</f>
        <v>0</v>
      </c>
      <c r="AW92" s="115" t="n">
        <f aca="false">SUMIFS(الريسبي!$C$2:$C$1800,الريسبي!$A$2:$A$1800,$A92,الريسبي!$B$2:$B$1800,AW$1)</f>
        <v>0</v>
      </c>
      <c r="AX92" s="115" t="n">
        <f aca="false">SUMIFS(الريسبي!$C$2:$C$1800,الريسبي!$A$2:$A$1800,$A92,الريسبي!$B$2:$B$1800,AX$1)</f>
        <v>0.06</v>
      </c>
      <c r="AY92" s="115" t="n">
        <f aca="false">SUMIFS(الريسبي!$C$2:$C$1800,الريسبي!$A$2:$A$1800,$A92,الريسبي!$B$2:$B$1800,AY$1)</f>
        <v>0</v>
      </c>
      <c r="AZ92" s="115" t="n">
        <f aca="false">SUMIFS(الريسبي!$C$2:$C$1800,الريسبي!$A$2:$A$1800,$A92,الريسبي!$B$2:$B$1800,AZ$1)</f>
        <v>0</v>
      </c>
      <c r="BA92" s="115" t="n">
        <f aca="false">SUMIFS(الريسبي!$C$2:$C$1800,الريسبي!$A$2:$A$1800,$A92,الريسبي!$B$2:$B$1800,BA$1)</f>
        <v>0</v>
      </c>
      <c r="BB92" s="115" t="n">
        <f aca="false">SUMIFS(الريسبي!$C$2:$C$1800,الريسبي!$A$2:$A$1800,$A92,الريسبي!$B$2:$B$1800,BB$1)</f>
        <v>0</v>
      </c>
      <c r="BC92" s="115" t="n">
        <f aca="false">SUMIFS(الريسبي!$C$2:$C$1800,الريسبي!$A$2:$A$1800,$A92,الريسبي!$B$2:$B$1800,BC$1)</f>
        <v>0.045</v>
      </c>
      <c r="BD92" s="115" t="n">
        <f aca="false">SUMIFS(الريسبي!$C$2:$C$1800,الريسبي!$A$2:$A$1800,$A92,الريسبي!$B$2:$B$1800,BD$1)</f>
        <v>0.3</v>
      </c>
      <c r="BE92" s="115" t="n">
        <f aca="false">SUMIFS(الريسبي!$C$2:$C$1800,الريسبي!$A$2:$A$1800,$A92,الريسبي!$B$2:$B$1800,BE$1)</f>
        <v>0</v>
      </c>
      <c r="BF92" s="115" t="n">
        <f aca="false">SUMIFS(الريسبي!$C$2:$C$1800,الريسبي!$A$2:$A$1800,$A92,الريسبي!$B$2:$B$1800,BF$1)</f>
        <v>0</v>
      </c>
      <c r="BG92" s="115" t="n">
        <f aca="false">SUMIFS(الريسبي!$C$2:$C$1800,الريسبي!$A$2:$A$1800,$A92,الريسبي!$B$2:$B$1800,BG$1)</f>
        <v>1</v>
      </c>
      <c r="BH92" s="115" t="n">
        <f aca="false">SUMIFS(الريسبي!$C$2:$C$1800,الريسبي!$A$2:$A$1800,$A92,الريسبي!$B$2:$B$1800,BH$1)</f>
        <v>0</v>
      </c>
      <c r="BI92" s="115" t="n">
        <f aca="false">SUMIFS(الريسبي!$C$2:$C$1800,الريسبي!$A$2:$A$1800,$A92,الريسبي!$B$2:$B$1800,BI$1)</f>
        <v>0</v>
      </c>
      <c r="BJ92" s="115" t="n">
        <f aca="false">SUMIFS(الريسبي!$C$2:$C$1800,الريسبي!$A$2:$A$1800,$A92,الريسبي!$B$2:$B$1800,BJ$1)</f>
        <v>0</v>
      </c>
      <c r="BK92" s="115" t="n">
        <f aca="false">SUMIFS(الريسبي!$C$2:$C$1800,الريسبي!$A$2:$A$1800,$A92,الريسبي!$B$2:$B$1800,BK$1)</f>
        <v>0</v>
      </c>
      <c r="BL92" s="115" t="n">
        <f aca="false">SUMIFS(الريسبي!$C$2:$C$1800,الريسبي!$A$2:$A$1800,$A92,الريسبي!$B$2:$B$1800,BL$1)</f>
        <v>1.5</v>
      </c>
      <c r="BM92" s="115" t="n">
        <f aca="false">SUMIFS(الريسبي!$C$2:$C$1800,الريسبي!$A$2:$A$1800,$A92,الريسبي!$B$2:$B$1800,BM$1)</f>
        <v>0</v>
      </c>
      <c r="BN92" s="115" t="n">
        <f aca="false">SUMIFS(الريسبي!$C$2:$C$1800,الريسبي!$A$2:$A$1800,$A92,الريسبي!$B$2:$B$1800,BN$1)</f>
        <v>0.03</v>
      </c>
      <c r="BO92" s="115" t="n">
        <f aca="false">SUMIFS(الريسبي!$C$2:$C$1800,الريسبي!$A$2:$A$1800,$A92,الريسبي!$B$2:$B$1800,BO$1)</f>
        <v>0</v>
      </c>
      <c r="BP92" s="115" t="n">
        <f aca="false">SUMIFS(الريسبي!$C$2:$C$1800,الريسبي!$A$2:$A$1800,$A92,الريسبي!$B$2:$B$1800,BP$1)</f>
        <v>3</v>
      </c>
      <c r="BQ92" s="115"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15" t="n">
        <f aca="false">SUMIFS(الريسبي!$C$2:$C$1800,الريسبي!$A$2:$A$1800,$A92,الريسبي!$B$2:$B$1800,BR$1)</f>
        <v>1</v>
      </c>
      <c r="BS92" s="115" t="n">
        <f aca="false">SUMIFS(الريسبي!$C$2:$C$1800,الريسبي!$A$2:$A$1800,$A92,الريسبي!$B$2:$B$1800,BS$1)</f>
        <v>0</v>
      </c>
      <c r="BT92" s="115" t="n">
        <f aca="false">SUMIFS(الريسبي!$C$2:$C$1800,الريسبي!$A$2:$A$1800,$A92,الريسبي!$B$2:$B$1800,BT$1)</f>
        <v>0</v>
      </c>
      <c r="BU92" s="115"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15" t="n">
        <f aca="false">SUMIFS(الريسبي!$C$2:$C$1800,الريسبي!$A$2:$A$1800,$A92,الريسبي!$B$2:$B$1800,BV$1)</f>
        <v>0</v>
      </c>
      <c r="BW92" s="115" t="n">
        <f aca="false">SUMIFS(الريسبي!$C$2:$C$1800,الريسبي!$A$2:$A$1800,$A92,الريسبي!$B$2:$B$1800,BW$1)</f>
        <v>0</v>
      </c>
      <c r="BX92" s="115" t="n">
        <f aca="false">SUMIFS(الريسبي!$C$2:$C$1800,الريسبي!$A$2:$A$1800,$A92,الريسبي!$B$2:$B$1800,BX$1)</f>
        <v>0</v>
      </c>
      <c r="BY92" s="115" t="n">
        <f aca="false">SUMIFS(الريسبي!$C$2:$C$1800,الريسبي!$A$2:$A$1800,$A92,الريسبي!$B$2:$B$1800,BY$1)</f>
        <v>0</v>
      </c>
      <c r="BZ92" s="115" t="n">
        <f aca="false">SUMIFS(الريسبي!$C$2:$C$1800,الريسبي!$A$2:$A$1800,$A92,الريسبي!$B$2:$B$1800,BZ$1)</f>
        <v>1</v>
      </c>
      <c r="CA92" s="115" t="n">
        <f aca="false">SUMIFS(الريسبي!$C$2:$C$1800,الريسبي!$A$2:$A$1800,$A92,الريسبي!$B$2:$B$1800,CA$1)</f>
        <v>1</v>
      </c>
      <c r="CB92" s="115" t="n">
        <f aca="false">SUMIFS(الريسبي!$C$2:$C$1800,الريسبي!$A$2:$A$1800,$A92,الريسبي!$B$2:$B$1800,CB$1)</f>
        <v>0</v>
      </c>
      <c r="CC92" s="115" t="n">
        <f aca="false">SUMIFS(الريسبي!$C$2:$C$1800,الريسبي!$A$2:$A$1800,$A92,الريسبي!$B$2:$B$1800,CC$1)</f>
        <v>0</v>
      </c>
      <c r="CD92" s="115" t="n">
        <f aca="false">SUMIFS(الريسبي!$C$2:$C$1800,الريسبي!$A$2:$A$1800,$A92,الريسبي!$B$2:$B$1800,CD$1)</f>
        <v>0</v>
      </c>
      <c r="CE92" s="115" t="n">
        <f aca="false">SUMIFS(الريسبي!$C$2:$C$1800,الريسبي!$A$2:$A$1800,$A92,الريسبي!$B$2:$B$1800,CE$1)</f>
        <v>0</v>
      </c>
      <c r="CF92" s="115" t="n">
        <f aca="false">SUMIFS(الريسبي!$C$2:$C$1800,الريسبي!$A$2:$A$1800,$A92,الريسبي!$B$2:$B$1800,CF$1)</f>
        <v>0</v>
      </c>
      <c r="CG92" s="115" t="n">
        <f aca="false">SUMIFS(الريسبي!$C$2:$C$1800,الريسبي!$A$2:$A$1800,$A92,الريسبي!$B$2:$B$1800,CG$1)</f>
        <v>0</v>
      </c>
      <c r="CH92" s="115" t="n">
        <f aca="false">SUMIFS(الريسبي!$C$2:$C$1800,الريسبي!$A$2:$A$1800,$A92,الريسبي!$B$2:$B$1800,CH$1)</f>
        <v>0</v>
      </c>
    </row>
    <row r="93" customFormat="false" ht="15" hidden="false" customHeight="false" outlineLevel="0" collapsed="false">
      <c r="A93" s="114" t="str">
        <f aca="false">المنيو!B93</f>
        <v>فطيرة خضروات صيامي وسط</v>
      </c>
      <c r="B93" s="115" t="n">
        <f aca="false">SUMIFS(الريسبي!$C$2:$C$1800,الريسبي!$A$2:$A$1800,$A93,الريسبي!$B$2:$B$1800,B$1)</f>
        <v>0</v>
      </c>
      <c r="C93" s="115" t="n">
        <f aca="false">SUMIFS(الريسبي!$C$2:$C$1800,الريسبي!$A$2:$A$1800,$A93,الريسبي!$B$2:$B$1800,C$1)</f>
        <v>0</v>
      </c>
      <c r="D93" s="115" t="n">
        <f aca="false">SUMIFS(الريسبي!$C$2:$C$1800,الريسبي!$A$2:$A$1800,$A93,الريسبي!$B$2:$B$1800,D$1)</f>
        <v>1</v>
      </c>
      <c r="E93" s="115" t="n">
        <f aca="false">SUMIFS(الريسبي!$C$2:$C$1800,الريسبي!$A$2:$A$1800,$A93,الريسبي!$B$2:$B$1800,E$1)</f>
        <v>0</v>
      </c>
      <c r="F93" s="115" t="n">
        <f aca="false">SUMIFS(الريسبي!$C$2:$C$1800,الريسبي!$A$2:$A$1800,$A93,الريسبي!$B$2:$B$1800,F$1)</f>
        <v>0</v>
      </c>
      <c r="G93" s="115" t="n">
        <f aca="false">SUMIFS(الريسبي!$C$2:$C$1800,الريسبي!$A$2:$A$1800,$A93,الريسبي!$B$2:$B$1800,G$1)</f>
        <v>0</v>
      </c>
      <c r="H93" s="115" t="n">
        <f aca="false">SUMIFS(الريسبي!$C$2:$C$1800,الريسبي!$A$2:$A$1800,$A93,الريسبي!$B$2:$B$1800,H$1)</f>
        <v>0</v>
      </c>
      <c r="I93" s="115" t="n">
        <f aca="false">SUMIFS(الريسبي!$C$2:$C$1800,الريسبي!$A$2:$A$1800,$A93,الريسبي!$B$2:$B$1800,I$1)</f>
        <v>0</v>
      </c>
      <c r="J93" s="115" t="n">
        <f aca="false">SUMIFS(الريسبي!$C$2:$C$1800,الريسبي!$A$2:$A$1800,$A93,الريسبي!$B$2:$B$1800,J$1)</f>
        <v>0</v>
      </c>
      <c r="K93" s="115" t="n">
        <f aca="false">SUMIFS(الريسبي!$C$2:$C$1800,الريسبي!$A$2:$A$1800,$A93,الريسبي!$B$2:$B$1800,K$1)</f>
        <v>0</v>
      </c>
      <c r="L93" s="115" t="n">
        <f aca="false">SUMIFS(الريسبي!$C$2:$C$1800,الريسبي!$A$2:$A$1800,$A93,الريسبي!$B$2:$B$1800,L$1)</f>
        <v>0</v>
      </c>
      <c r="M93" s="115" t="n">
        <f aca="false">SUMIFS(الريسبي!$C$2:$C$1800,الريسبي!$A$2:$A$1800,$A93,الريسبي!$B$2:$B$1800,M$1)</f>
        <v>0</v>
      </c>
      <c r="N93" s="115" t="n">
        <f aca="false">SUMIFS(الريسبي!$C$2:$C$1800,الريسبي!$A$2:$A$1800,$A93,الريسبي!$B$2:$B$1800,N$1)</f>
        <v>0</v>
      </c>
      <c r="O93" s="115" t="n">
        <f aca="false">SUMIFS(الريسبي!$C$2:$C$1800,الريسبي!$A$2:$A$1800,$A93,الريسبي!$B$2:$B$1800,O$1)</f>
        <v>0</v>
      </c>
      <c r="P93" s="115" t="n">
        <f aca="false">SUMIFS(الريسبي!$C$2:$C$1800,الريسبي!$A$2:$A$1800,$A93,الريسبي!$B$2:$B$1800,P$1)</f>
        <v>0</v>
      </c>
      <c r="Q93" s="115" t="n">
        <f aca="false">SUMIFS(الريسبي!$C$2:$C$1800,الريسبي!$A$2:$A$1800,$A93,الريسبي!$B$2:$B$1800,Q$1)</f>
        <v>0</v>
      </c>
      <c r="R93" s="115" t="n">
        <f aca="false">SUMIFS(الريسبي!$C$2:$C$1800,الريسبي!$A$2:$A$1800,$A93,الريسبي!$B$2:$B$1800,R$1)</f>
        <v>0</v>
      </c>
      <c r="S93" s="115" t="n">
        <f aca="false">SUMIFS(الريسبي!$C$2:$C$1800,الريسبي!$A$2:$A$1800,$A93,الريسبي!$B$2:$B$1800,S$1)</f>
        <v>0</v>
      </c>
      <c r="T93" s="115" t="n">
        <f aca="false">SUMIFS(الريسبي!$C$2:$C$1800,الريسبي!$A$2:$A$1800,$A93,الريسبي!$B$2:$B$1800,T$1)</f>
        <v>0</v>
      </c>
      <c r="U93" s="115" t="n">
        <f aca="false">SUMIFS(الريسبي!$C$2:$C$1800,الريسبي!$A$2:$A$1800,$A93,الريسبي!$B$2:$B$1800,U$1)</f>
        <v>0</v>
      </c>
      <c r="V93" s="115" t="n">
        <f aca="false">SUMIFS(الريسبي!$C$2:$C$1800,الريسبي!$A$2:$A$1800,$A93,الريسبي!$B$2:$B$1800,V$1)</f>
        <v>0</v>
      </c>
      <c r="W93" s="115" t="n">
        <f aca="false">SUMIFS(الريسبي!$C$2:$C$1800,الريسبي!$A$2:$A$1800,$A93,الريسبي!$B$2:$B$1800,W$1)</f>
        <v>0</v>
      </c>
      <c r="X93" s="115" t="n">
        <f aca="false">SUMIFS(الريسبي!$C$2:$C$1800,الريسبي!$A$2:$A$1800,$A93,الريسبي!$B$2:$B$1800,X$1)</f>
        <v>1</v>
      </c>
      <c r="Y93" s="115" t="n">
        <f aca="false">SUMIFS(الريسبي!$C$2:$C$1800,الريسبي!$A$2:$A$1800,$A93,الريسبي!$B$2:$B$1800,Y$1)</f>
        <v>0</v>
      </c>
      <c r="Z93" s="115" t="n">
        <f aca="false">SUMIFS(الريسبي!$C$2:$C$1800,الريسبي!$A$2:$A$1800,$A93,الريسبي!$B$2:$B$1800,Z$1)</f>
        <v>0</v>
      </c>
      <c r="AA93" s="115" t="n">
        <f aca="false">SUMIFS(الريسبي!$C$2:$C$1800,الريسبي!$A$2:$A$1800,$A93,الريسبي!$B$2:$B$1800,AA$1)</f>
        <v>0</v>
      </c>
      <c r="AB93" s="115" t="n">
        <f aca="false">SUMIFS(الريسبي!$C$2:$C$1800,الريسبي!$A$2:$A$1800,$A93,الريسبي!$B$2:$B$1800,AB$1)</f>
        <v>0</v>
      </c>
      <c r="AC93" s="115" t="n">
        <f aca="false">SUMIFS(الريسبي!$C$2:$C$1800,الريسبي!$A$2:$A$1800,$A93,الريسبي!$B$2:$B$1800,AC$1)</f>
        <v>0</v>
      </c>
      <c r="AD93" s="115" t="n">
        <f aca="false">SUMIFS(الريسبي!$C$2:$C$1800,الريسبي!$A$2:$A$1800,$A93,الريسبي!$B$2:$B$1800,AD$1)</f>
        <v>0</v>
      </c>
      <c r="AE93" s="115" t="n">
        <f aca="false">SUMIFS(الريسبي!$C$2:$C$1800,الريسبي!$A$2:$A$1800,$A93,الريسبي!$B$2:$B$1800,AE$1)</f>
        <v>0</v>
      </c>
      <c r="AF93" s="115" t="n">
        <f aca="false">SUMIFS(الريسبي!$C$2:$C$1800,الريسبي!$A$2:$A$1800,$A93,الريسبي!$B$2:$B$1800,AF$1)</f>
        <v>0</v>
      </c>
      <c r="AG93" s="115" t="n">
        <f aca="false">SUMIFS(الريسبي!$C$2:$C$1800,الريسبي!$A$2:$A$1800,$A93,الريسبي!$B$2:$B$1800,AG$1)</f>
        <v>0</v>
      </c>
      <c r="AH93" s="115" t="n">
        <f aca="false">SUMIFS(الريسبي!$C$2:$C$1800,الريسبي!$A$2:$A$1800,$A93,الريسبي!$B$2:$B$1800,AH$1)</f>
        <v>0</v>
      </c>
      <c r="AI93" s="115" t="n">
        <f aca="false">SUMIFS(الريسبي!$C$2:$C$1800,الريسبي!$A$2:$A$1800,$A93,الريسبي!$B$2:$B$1800,AI$1)</f>
        <v>0</v>
      </c>
      <c r="AJ93" s="115" t="n">
        <f aca="false">SUMIFS(الريسبي!$C$2:$C$1800,الريسبي!$A$2:$A$1800,$A93,الريسبي!$B$2:$B$1800,AJ$1)</f>
        <v>2</v>
      </c>
      <c r="AK93" s="115" t="n">
        <f aca="false">SUMIFS(الريسبي!$C$2:$C$1800,الريسبي!$A$2:$A$1800,$A93,الريسبي!$B$2:$B$1800,AK$1)</f>
        <v>0</v>
      </c>
      <c r="AL93" s="115" t="n">
        <f aca="false">SUMIFS(الريسبي!$C$2:$C$1800,الريسبي!$A$2:$A$1800,$A93,الريسبي!$B$2:$B$1800,AL$1)</f>
        <v>0</v>
      </c>
      <c r="AM93" s="115"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15"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15" t="n">
        <f aca="false">SUMIFS(الريسبي!$C$2:$C$1800,الريسبي!$A$2:$A$1800,$A93,الريسبي!$B$2:$B$1800,AO$1)</f>
        <v>0</v>
      </c>
      <c r="AP93" s="115" t="n">
        <f aca="false">SUMIFS(الريسبي!$C$2:$C$1800,الريسبي!$A$2:$A$1800,$A93,الريسبي!$B$2:$B$1800,AP$1)</f>
        <v>0.02</v>
      </c>
      <c r="AQ93" s="115"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15" t="n">
        <f aca="false">SUMIFS(الريسبي!$C$2:$C$1800,الريسبي!$A$2:$A$1800,$A93,الريسبي!$B$2:$B$1800,AR$1)</f>
        <v>0</v>
      </c>
      <c r="AS93" s="115" t="n">
        <f aca="false">SUMIFS(الريسبي!$C$2:$C$1800,الريسبي!$A$2:$A$1800,$A93,الريسبي!$B$2:$B$1800,AS$1)</f>
        <v>0</v>
      </c>
      <c r="AT93" s="115" t="n">
        <f aca="false">SUMIFS(الريسبي!$C$2:$C$1800,الريسبي!$A$2:$A$1800,$A93,الريسبي!$B$2:$B$1800,AT$1)</f>
        <v>0</v>
      </c>
      <c r="AU93" s="115" t="n">
        <f aca="false">SUMIFS(الريسبي!$C$2:$C$1800,الريسبي!$A$2:$A$1800,$A93,الريسبي!$B$2:$B$1800,AU$1)</f>
        <v>0</v>
      </c>
      <c r="AV93" s="115" t="n">
        <f aca="false">SUMIFS(الريسبي!$C$2:$C$1800,الريسبي!$A$2:$A$1800,$A93,الريسبي!$B$2:$B$1800,AV$1)</f>
        <v>0</v>
      </c>
      <c r="AW93" s="115" t="n">
        <f aca="false">SUMIFS(الريسبي!$C$2:$C$1800,الريسبي!$A$2:$A$1800,$A93,الريسبي!$B$2:$B$1800,AW$1)</f>
        <v>0</v>
      </c>
      <c r="AX93" s="115" t="n">
        <f aca="false">SUMIFS(الريسبي!$C$2:$C$1800,الريسبي!$A$2:$A$1800,$A93,الريسبي!$B$2:$B$1800,AX$1)</f>
        <v>0</v>
      </c>
      <c r="AY93" s="115" t="n">
        <f aca="false">SUMIFS(الريسبي!$C$2:$C$1800,الريسبي!$A$2:$A$1800,$A93,الريسبي!$B$2:$B$1800,AY$1)</f>
        <v>0</v>
      </c>
      <c r="AZ93" s="115" t="n">
        <f aca="false">SUMIFS(الريسبي!$C$2:$C$1800,الريسبي!$A$2:$A$1800,$A93,الريسبي!$B$2:$B$1800,AZ$1)</f>
        <v>0</v>
      </c>
      <c r="BA93" s="115" t="n">
        <f aca="false">SUMIFS(الريسبي!$C$2:$C$1800,الريسبي!$A$2:$A$1800,$A93,الريسبي!$B$2:$B$1800,BA$1)</f>
        <v>0</v>
      </c>
      <c r="BB93" s="115" t="n">
        <f aca="false">SUMIFS(الريسبي!$C$2:$C$1800,الريسبي!$A$2:$A$1800,$A93,الريسبي!$B$2:$B$1800,BB$1)</f>
        <v>0</v>
      </c>
      <c r="BC93" s="115" t="n">
        <f aca="false">SUMIFS(الريسبي!$C$2:$C$1800,الريسبي!$A$2:$A$1800,$A93,الريسبي!$B$2:$B$1800,BC$1)</f>
        <v>0.03</v>
      </c>
      <c r="BD93" s="115" t="n">
        <f aca="false">SUMIFS(الريسبي!$C$2:$C$1800,الريسبي!$A$2:$A$1800,$A93,الريسبي!$B$2:$B$1800,BD$1)</f>
        <v>0</v>
      </c>
      <c r="BE93" s="115" t="n">
        <f aca="false">SUMIFS(الريسبي!$C$2:$C$1800,الريسبي!$A$2:$A$1800,$A93,الريسبي!$B$2:$B$1800,BE$1)</f>
        <v>1</v>
      </c>
      <c r="BF93" s="115" t="n">
        <f aca="false">SUMIFS(الريسبي!$C$2:$C$1800,الريسبي!$A$2:$A$1800,$A93,الريسبي!$B$2:$B$1800,BF$1)</f>
        <v>0</v>
      </c>
      <c r="BG93" s="115" t="n">
        <f aca="false">SUMIFS(الريسبي!$C$2:$C$1800,الريسبي!$A$2:$A$1800,$A93,الريسبي!$B$2:$B$1800,BG$1)</f>
        <v>0</v>
      </c>
      <c r="BH93" s="115" t="n">
        <f aca="false">SUMIFS(الريسبي!$C$2:$C$1800,الريسبي!$A$2:$A$1800,$A93,الريسبي!$B$2:$B$1800,BH$1)</f>
        <v>1</v>
      </c>
      <c r="BI93" s="115" t="n">
        <f aca="false">SUMIFS(الريسبي!$C$2:$C$1800,الريسبي!$A$2:$A$1800,$A93,الريسبي!$B$2:$B$1800,BI$1)</f>
        <v>0</v>
      </c>
      <c r="BJ93" s="115" t="n">
        <f aca="false">SUMIFS(الريسبي!$C$2:$C$1800,الريسبي!$A$2:$A$1800,$A93,الريسبي!$B$2:$B$1800,BJ$1)</f>
        <v>0</v>
      </c>
      <c r="BK93" s="115" t="n">
        <f aca="false">SUMIFS(الريسبي!$C$2:$C$1800,الريسبي!$A$2:$A$1800,$A93,الريسبي!$B$2:$B$1800,BK$1)</f>
        <v>0</v>
      </c>
      <c r="BL93" s="115" t="n">
        <f aca="false">SUMIFS(الريسبي!$C$2:$C$1800,الريسبي!$A$2:$A$1800,$A93,الريسبي!$B$2:$B$1800,BL$1)</f>
        <v>0</v>
      </c>
      <c r="BM93" s="115" t="n">
        <f aca="false">SUMIFS(الريسبي!$C$2:$C$1800,الريسبي!$A$2:$A$1800,$A93,الريسبي!$B$2:$B$1800,BM$1)</f>
        <v>0</v>
      </c>
      <c r="BN93" s="115" t="n">
        <f aca="false">SUMIFS(الريسبي!$C$2:$C$1800,الريسبي!$A$2:$A$1800,$A93,الريسبي!$B$2:$B$1800,BN$1)</f>
        <v>0.02</v>
      </c>
      <c r="BO93" s="115" t="n">
        <f aca="false">SUMIFS(الريسبي!$C$2:$C$1800,الريسبي!$A$2:$A$1800,$A93,الريسبي!$B$2:$B$1800,BO$1)</f>
        <v>0</v>
      </c>
      <c r="BP93" s="115" t="n">
        <f aca="false">SUMIFS(الريسبي!$C$2:$C$1800,الريسبي!$A$2:$A$1800,$A93,الريسبي!$B$2:$B$1800,BP$1)</f>
        <v>2</v>
      </c>
      <c r="BQ93" s="115"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15" t="n">
        <f aca="false">SUMIFS(الريسبي!$C$2:$C$1800,الريسبي!$A$2:$A$1800,$A93,الريسبي!$B$2:$B$1800,BR$1)</f>
        <v>1</v>
      </c>
      <c r="BS93" s="115" t="n">
        <f aca="false">SUMIFS(الريسبي!$C$2:$C$1800,الريسبي!$A$2:$A$1800,$A93,الريسبي!$B$2:$B$1800,BS$1)</f>
        <v>0</v>
      </c>
      <c r="BT93" s="115" t="n">
        <f aca="false">SUMIFS(الريسبي!$C$2:$C$1800,الريسبي!$A$2:$A$1800,$A93,الريسبي!$B$2:$B$1800,BT$1)</f>
        <v>0</v>
      </c>
      <c r="BU93" s="115"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15" t="n">
        <f aca="false">SUMIFS(الريسبي!$C$2:$C$1800,الريسبي!$A$2:$A$1800,$A93,الريسبي!$B$2:$B$1800,BV$1)</f>
        <v>0</v>
      </c>
      <c r="BW93" s="115" t="n">
        <f aca="false">SUMIFS(الريسبي!$C$2:$C$1800,الريسبي!$A$2:$A$1800,$A93,الريسبي!$B$2:$B$1800,BW$1)</f>
        <v>0</v>
      </c>
      <c r="BX93" s="115" t="n">
        <f aca="false">SUMIFS(الريسبي!$C$2:$C$1800,الريسبي!$A$2:$A$1800,$A93,الريسبي!$B$2:$B$1800,BX$1)</f>
        <v>0</v>
      </c>
      <c r="BY93" s="115" t="n">
        <f aca="false">SUMIFS(الريسبي!$C$2:$C$1800,الريسبي!$A$2:$A$1800,$A93,الريسبي!$B$2:$B$1800,BY$1)</f>
        <v>0</v>
      </c>
      <c r="BZ93" s="115" t="n">
        <f aca="false">SUMIFS(الريسبي!$C$2:$C$1800,الريسبي!$A$2:$A$1800,$A93,الريسبي!$B$2:$B$1800,BZ$1)</f>
        <v>1</v>
      </c>
      <c r="CA93" s="115" t="n">
        <f aca="false">SUMIFS(الريسبي!$C$2:$C$1800,الريسبي!$A$2:$A$1800,$A93,الريسبي!$B$2:$B$1800,CA$1)</f>
        <v>1</v>
      </c>
      <c r="CB93" s="115" t="n">
        <f aca="false">SUMIFS(الريسبي!$C$2:$C$1800,الريسبي!$A$2:$A$1800,$A93,الريسبي!$B$2:$B$1800,CB$1)</f>
        <v>0</v>
      </c>
      <c r="CC93" s="115" t="n">
        <f aca="false">SUMIFS(الريسبي!$C$2:$C$1800,الريسبي!$A$2:$A$1800,$A93,الريسبي!$B$2:$B$1800,CC$1)</f>
        <v>0</v>
      </c>
      <c r="CD93" s="115" t="n">
        <f aca="false">SUMIFS(الريسبي!$C$2:$C$1800,الريسبي!$A$2:$A$1800,$A93,الريسبي!$B$2:$B$1800,CD$1)</f>
        <v>0</v>
      </c>
      <c r="CE93" s="115" t="n">
        <f aca="false">SUMIFS(الريسبي!$C$2:$C$1800,الريسبي!$A$2:$A$1800,$A93,الريسبي!$B$2:$B$1800,CE$1)</f>
        <v>0</v>
      </c>
      <c r="CF93" s="115" t="n">
        <f aca="false">SUMIFS(الريسبي!$C$2:$C$1800,الريسبي!$A$2:$A$1800,$A93,الريسبي!$B$2:$B$1800,CF$1)</f>
        <v>0</v>
      </c>
      <c r="CG93" s="115" t="n">
        <f aca="false">SUMIFS(الريسبي!$C$2:$C$1800,الريسبي!$A$2:$A$1800,$A93,الريسبي!$B$2:$B$1800,CG$1)</f>
        <v>0</v>
      </c>
      <c r="CH93" s="115" t="n">
        <f aca="false">SUMIFS(الريسبي!$C$2:$C$1800,الريسبي!$A$2:$A$1800,$A93,الريسبي!$B$2:$B$1800,CH$1)</f>
        <v>0</v>
      </c>
    </row>
    <row r="94" customFormat="false" ht="15" hidden="false" customHeight="false" outlineLevel="0" collapsed="false">
      <c r="A94" s="114" t="str">
        <f aca="false">المنيو!B94</f>
        <v>فطيرة خضروات صيامي مخصوص</v>
      </c>
      <c r="B94" s="115" t="n">
        <f aca="false">SUMIFS(الريسبي!$C$2:$C$1800,الريسبي!$A$2:$A$1800,$A94,الريسبي!$B$2:$B$1800,B$1)</f>
        <v>0</v>
      </c>
      <c r="C94" s="115" t="n">
        <f aca="false">SUMIFS(الريسبي!$C$2:$C$1800,الريسبي!$A$2:$A$1800,$A94,الريسبي!$B$2:$B$1800,C$1)</f>
        <v>0</v>
      </c>
      <c r="D94" s="115" t="n">
        <f aca="false">SUMIFS(الريسبي!$C$2:$C$1800,الريسبي!$A$2:$A$1800,$A94,الريسبي!$B$2:$B$1800,D$1)</f>
        <v>1</v>
      </c>
      <c r="E94" s="115" t="n">
        <f aca="false">SUMIFS(الريسبي!$C$2:$C$1800,الريسبي!$A$2:$A$1800,$A94,الريسبي!$B$2:$B$1800,E$1)</f>
        <v>0</v>
      </c>
      <c r="F94" s="115" t="n">
        <f aca="false">SUMIFS(الريسبي!$C$2:$C$1800,الريسبي!$A$2:$A$1800,$A94,الريسبي!$B$2:$B$1800,F$1)</f>
        <v>0</v>
      </c>
      <c r="G94" s="115" t="n">
        <f aca="false">SUMIFS(الريسبي!$C$2:$C$1800,الريسبي!$A$2:$A$1800,$A94,الريسبي!$B$2:$B$1800,G$1)</f>
        <v>0</v>
      </c>
      <c r="H94" s="115" t="n">
        <f aca="false">SUMIFS(الريسبي!$C$2:$C$1800,الريسبي!$A$2:$A$1800,$A94,الريسبي!$B$2:$B$1800,H$1)</f>
        <v>0</v>
      </c>
      <c r="I94" s="115" t="n">
        <f aca="false">SUMIFS(الريسبي!$C$2:$C$1800,الريسبي!$A$2:$A$1800,$A94,الريسبي!$B$2:$B$1800,I$1)</f>
        <v>0</v>
      </c>
      <c r="J94" s="115" t="n">
        <f aca="false">SUMIFS(الريسبي!$C$2:$C$1800,الريسبي!$A$2:$A$1800,$A94,الريسبي!$B$2:$B$1800,J$1)</f>
        <v>0</v>
      </c>
      <c r="K94" s="115" t="n">
        <f aca="false">SUMIFS(الريسبي!$C$2:$C$1800,الريسبي!$A$2:$A$1800,$A94,الريسبي!$B$2:$B$1800,K$1)</f>
        <v>0</v>
      </c>
      <c r="L94" s="115" t="n">
        <f aca="false">SUMIFS(الريسبي!$C$2:$C$1800,الريسبي!$A$2:$A$1800,$A94,الريسبي!$B$2:$B$1800,L$1)</f>
        <v>0</v>
      </c>
      <c r="M94" s="115" t="n">
        <f aca="false">SUMIFS(الريسبي!$C$2:$C$1800,الريسبي!$A$2:$A$1800,$A94,الريسبي!$B$2:$B$1800,M$1)</f>
        <v>0</v>
      </c>
      <c r="N94" s="115" t="n">
        <f aca="false">SUMIFS(الريسبي!$C$2:$C$1800,الريسبي!$A$2:$A$1800,$A94,الريسبي!$B$2:$B$1800,N$1)</f>
        <v>0</v>
      </c>
      <c r="O94" s="115" t="n">
        <f aca="false">SUMIFS(الريسبي!$C$2:$C$1800,الريسبي!$A$2:$A$1800,$A94,الريسبي!$B$2:$B$1800,O$1)</f>
        <v>0</v>
      </c>
      <c r="P94" s="115" t="n">
        <f aca="false">SUMIFS(الريسبي!$C$2:$C$1800,الريسبي!$A$2:$A$1800,$A94,الريسبي!$B$2:$B$1800,P$1)</f>
        <v>0</v>
      </c>
      <c r="Q94" s="115" t="n">
        <f aca="false">SUMIFS(الريسبي!$C$2:$C$1800,الريسبي!$A$2:$A$1800,$A94,الريسبي!$B$2:$B$1800,Q$1)</f>
        <v>0</v>
      </c>
      <c r="R94" s="115" t="n">
        <f aca="false">SUMIFS(الريسبي!$C$2:$C$1800,الريسبي!$A$2:$A$1800,$A94,الريسبي!$B$2:$B$1800,R$1)</f>
        <v>0</v>
      </c>
      <c r="S94" s="115" t="n">
        <f aca="false">SUMIFS(الريسبي!$C$2:$C$1800,الريسبي!$A$2:$A$1800,$A94,الريسبي!$B$2:$B$1800,S$1)</f>
        <v>0</v>
      </c>
      <c r="T94" s="115" t="n">
        <f aca="false">SUMIFS(الريسبي!$C$2:$C$1800,الريسبي!$A$2:$A$1800,$A94,الريسبي!$B$2:$B$1800,T$1)</f>
        <v>0</v>
      </c>
      <c r="U94" s="115" t="n">
        <f aca="false">SUMIFS(الريسبي!$C$2:$C$1800,الريسبي!$A$2:$A$1800,$A94,الريسبي!$B$2:$B$1800,U$1)</f>
        <v>0</v>
      </c>
      <c r="V94" s="115" t="n">
        <f aca="false">SUMIFS(الريسبي!$C$2:$C$1800,الريسبي!$A$2:$A$1800,$A94,الريسبي!$B$2:$B$1800,V$1)</f>
        <v>0</v>
      </c>
      <c r="W94" s="115" t="n">
        <f aca="false">SUMIFS(الريسبي!$C$2:$C$1800,الريسبي!$A$2:$A$1800,$A94,الريسبي!$B$2:$B$1800,W$1)</f>
        <v>0</v>
      </c>
      <c r="X94" s="115" t="n">
        <f aca="false">SUMIFS(الريسبي!$C$2:$C$1800,الريسبي!$A$2:$A$1800,$A94,الريسبي!$B$2:$B$1800,X$1)</f>
        <v>0</v>
      </c>
      <c r="Y94" s="115" t="n">
        <f aca="false">SUMIFS(الريسبي!$C$2:$C$1800,الريسبي!$A$2:$A$1800,$A94,الريسبي!$B$2:$B$1800,Y$1)</f>
        <v>1</v>
      </c>
      <c r="Z94" s="115" t="n">
        <f aca="false">SUMIFS(الريسبي!$C$2:$C$1800,الريسبي!$A$2:$A$1800,$A94,الريسبي!$B$2:$B$1800,Z$1)</f>
        <v>0</v>
      </c>
      <c r="AA94" s="115" t="n">
        <f aca="false">SUMIFS(الريسبي!$C$2:$C$1800,الريسبي!$A$2:$A$1800,$A94,الريسبي!$B$2:$B$1800,AA$1)</f>
        <v>0</v>
      </c>
      <c r="AB94" s="115" t="n">
        <f aca="false">SUMIFS(الريسبي!$C$2:$C$1800,الريسبي!$A$2:$A$1800,$A94,الريسبي!$B$2:$B$1800,AB$1)</f>
        <v>0</v>
      </c>
      <c r="AC94" s="115" t="n">
        <f aca="false">SUMIFS(الريسبي!$C$2:$C$1800,الريسبي!$A$2:$A$1800,$A94,الريسبي!$B$2:$B$1800,AC$1)</f>
        <v>0</v>
      </c>
      <c r="AD94" s="115" t="n">
        <f aca="false">SUMIFS(الريسبي!$C$2:$C$1800,الريسبي!$A$2:$A$1800,$A94,الريسبي!$B$2:$B$1800,AD$1)</f>
        <v>0</v>
      </c>
      <c r="AE94" s="115" t="n">
        <f aca="false">SUMIFS(الريسبي!$C$2:$C$1800,الريسبي!$A$2:$A$1800,$A94,الريسبي!$B$2:$B$1800,AE$1)</f>
        <v>0</v>
      </c>
      <c r="AF94" s="115" t="n">
        <f aca="false">SUMIFS(الريسبي!$C$2:$C$1800,الريسبي!$A$2:$A$1800,$A94,الريسبي!$B$2:$B$1800,AF$1)</f>
        <v>0</v>
      </c>
      <c r="AG94" s="115" t="n">
        <f aca="false">SUMIFS(الريسبي!$C$2:$C$1800,الريسبي!$A$2:$A$1800,$A94,الريسبي!$B$2:$B$1800,AG$1)</f>
        <v>0</v>
      </c>
      <c r="AH94" s="115" t="n">
        <f aca="false">SUMIFS(الريسبي!$C$2:$C$1800,الريسبي!$A$2:$A$1800,$A94,الريسبي!$B$2:$B$1800,AH$1)</f>
        <v>0</v>
      </c>
      <c r="AI94" s="115" t="n">
        <f aca="false">SUMIFS(الريسبي!$C$2:$C$1800,الريسبي!$A$2:$A$1800,$A94,الريسبي!$B$2:$B$1800,AI$1)</f>
        <v>0</v>
      </c>
      <c r="AJ94" s="115" t="n">
        <f aca="false">SUMIFS(الريسبي!$C$2:$C$1800,الريسبي!$A$2:$A$1800,$A94,الريسبي!$B$2:$B$1800,AJ$1)</f>
        <v>2</v>
      </c>
      <c r="AK94" s="115" t="n">
        <f aca="false">SUMIFS(الريسبي!$C$2:$C$1800,الريسبي!$A$2:$A$1800,$A94,الريسبي!$B$2:$B$1800,AK$1)</f>
        <v>0</v>
      </c>
      <c r="AL94" s="115" t="n">
        <f aca="false">SUMIFS(الريسبي!$C$2:$C$1800,الريسبي!$A$2:$A$1800,$A94,الريسبي!$B$2:$B$1800,AL$1)</f>
        <v>0</v>
      </c>
      <c r="AM94" s="115"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15"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15" t="n">
        <f aca="false">SUMIFS(الريسبي!$C$2:$C$1800,الريسبي!$A$2:$A$1800,$A94,الريسبي!$B$2:$B$1800,AO$1)</f>
        <v>0</v>
      </c>
      <c r="AP94" s="115" t="n">
        <f aca="false">SUMIFS(الريسبي!$C$2:$C$1800,الريسبي!$A$2:$A$1800,$A94,الريسبي!$B$2:$B$1800,AP$1)</f>
        <v>0.03</v>
      </c>
      <c r="AQ94" s="115"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15" t="n">
        <f aca="false">SUMIFS(الريسبي!$C$2:$C$1800,الريسبي!$A$2:$A$1800,$A94,الريسبي!$B$2:$B$1800,AR$1)</f>
        <v>0</v>
      </c>
      <c r="AS94" s="115" t="n">
        <f aca="false">SUMIFS(الريسبي!$C$2:$C$1800,الريسبي!$A$2:$A$1800,$A94,الريسبي!$B$2:$B$1800,AS$1)</f>
        <v>0</v>
      </c>
      <c r="AT94" s="115" t="n">
        <f aca="false">SUMIFS(الريسبي!$C$2:$C$1800,الريسبي!$A$2:$A$1800,$A94,الريسبي!$B$2:$B$1800,AT$1)</f>
        <v>0</v>
      </c>
      <c r="AU94" s="115" t="n">
        <f aca="false">SUMIFS(الريسبي!$C$2:$C$1800,الريسبي!$A$2:$A$1800,$A94,الريسبي!$B$2:$B$1800,AU$1)</f>
        <v>0</v>
      </c>
      <c r="AV94" s="115" t="n">
        <f aca="false">SUMIFS(الريسبي!$C$2:$C$1800,الريسبي!$A$2:$A$1800,$A94,الريسبي!$B$2:$B$1800,AV$1)</f>
        <v>0</v>
      </c>
      <c r="AW94" s="115" t="n">
        <f aca="false">SUMIFS(الريسبي!$C$2:$C$1800,الريسبي!$A$2:$A$1800,$A94,الريسبي!$B$2:$B$1800,AW$1)</f>
        <v>0</v>
      </c>
      <c r="AX94" s="115" t="n">
        <f aca="false">SUMIFS(الريسبي!$C$2:$C$1800,الريسبي!$A$2:$A$1800,$A94,الريسبي!$B$2:$B$1800,AX$1)</f>
        <v>0</v>
      </c>
      <c r="AY94" s="115" t="n">
        <f aca="false">SUMIFS(الريسبي!$C$2:$C$1800,الريسبي!$A$2:$A$1800,$A94,الريسبي!$B$2:$B$1800,AY$1)</f>
        <v>0</v>
      </c>
      <c r="AZ94" s="115" t="n">
        <f aca="false">SUMIFS(الريسبي!$C$2:$C$1800,الريسبي!$A$2:$A$1800,$A94,الريسبي!$B$2:$B$1800,AZ$1)</f>
        <v>0</v>
      </c>
      <c r="BA94" s="115" t="n">
        <f aca="false">SUMIFS(الريسبي!$C$2:$C$1800,الريسبي!$A$2:$A$1800,$A94,الريسبي!$B$2:$B$1800,BA$1)</f>
        <v>0</v>
      </c>
      <c r="BB94" s="115" t="n">
        <f aca="false">SUMIFS(الريسبي!$C$2:$C$1800,الريسبي!$A$2:$A$1800,$A94,الريسبي!$B$2:$B$1800,BB$1)</f>
        <v>0</v>
      </c>
      <c r="BC94" s="115" t="n">
        <f aca="false">SUMIFS(الريسبي!$C$2:$C$1800,الريسبي!$A$2:$A$1800,$A94,الريسبي!$B$2:$B$1800,BC$1)</f>
        <v>0.045</v>
      </c>
      <c r="BD94" s="115" t="n">
        <f aca="false">SUMIFS(الريسبي!$C$2:$C$1800,الريسبي!$A$2:$A$1800,$A94,الريسبي!$B$2:$B$1800,BD$1)</f>
        <v>0</v>
      </c>
      <c r="BE94" s="115" t="n">
        <f aca="false">SUMIFS(الريسبي!$C$2:$C$1800,الريسبي!$A$2:$A$1800,$A94,الريسبي!$B$2:$B$1800,BE$1)</f>
        <v>1.5</v>
      </c>
      <c r="BF94" s="115" t="n">
        <f aca="false">SUMIFS(الريسبي!$C$2:$C$1800,الريسبي!$A$2:$A$1800,$A94,الريسبي!$B$2:$B$1800,BF$1)</f>
        <v>0</v>
      </c>
      <c r="BG94" s="115" t="n">
        <f aca="false">SUMIFS(الريسبي!$C$2:$C$1800,الريسبي!$A$2:$A$1800,$A94,الريسبي!$B$2:$B$1800,BG$1)</f>
        <v>1</v>
      </c>
      <c r="BH94" s="115" t="n">
        <f aca="false">SUMIFS(الريسبي!$C$2:$C$1800,الريسبي!$A$2:$A$1800,$A94,الريسبي!$B$2:$B$1800,BH$1)</f>
        <v>0</v>
      </c>
      <c r="BI94" s="115" t="n">
        <f aca="false">SUMIFS(الريسبي!$C$2:$C$1800,الريسبي!$A$2:$A$1800,$A94,الريسبي!$B$2:$B$1800,BI$1)</f>
        <v>0</v>
      </c>
      <c r="BJ94" s="115" t="n">
        <f aca="false">SUMIFS(الريسبي!$C$2:$C$1800,الريسبي!$A$2:$A$1800,$A94,الريسبي!$B$2:$B$1800,BJ$1)</f>
        <v>0</v>
      </c>
      <c r="BK94" s="115" t="n">
        <f aca="false">SUMIFS(الريسبي!$C$2:$C$1800,الريسبي!$A$2:$A$1800,$A94,الريسبي!$B$2:$B$1800,BK$1)</f>
        <v>0</v>
      </c>
      <c r="BL94" s="115" t="n">
        <f aca="false">SUMIFS(الريسبي!$C$2:$C$1800,الريسبي!$A$2:$A$1800,$A94,الريسبي!$B$2:$B$1800,BL$1)</f>
        <v>0</v>
      </c>
      <c r="BM94" s="115" t="n">
        <f aca="false">SUMIFS(الريسبي!$C$2:$C$1800,الريسبي!$A$2:$A$1800,$A94,الريسبي!$B$2:$B$1800,BM$1)</f>
        <v>0</v>
      </c>
      <c r="BN94" s="115" t="n">
        <f aca="false">SUMIFS(الريسبي!$C$2:$C$1800,الريسبي!$A$2:$A$1800,$A94,الريسبي!$B$2:$B$1800,BN$1)</f>
        <v>0.03</v>
      </c>
      <c r="BO94" s="115" t="n">
        <f aca="false">SUMIFS(الريسبي!$C$2:$C$1800,الريسبي!$A$2:$A$1800,$A94,الريسبي!$B$2:$B$1800,BO$1)</f>
        <v>0</v>
      </c>
      <c r="BP94" s="115" t="n">
        <f aca="false">SUMIFS(الريسبي!$C$2:$C$1800,الريسبي!$A$2:$A$1800,$A94,الريسبي!$B$2:$B$1800,BP$1)</f>
        <v>3</v>
      </c>
      <c r="BQ94" s="115"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15" t="n">
        <f aca="false">SUMIFS(الريسبي!$C$2:$C$1800,الريسبي!$A$2:$A$1800,$A94,الريسبي!$B$2:$B$1800,BR$1)</f>
        <v>1</v>
      </c>
      <c r="BS94" s="115" t="n">
        <f aca="false">SUMIFS(الريسبي!$C$2:$C$1800,الريسبي!$A$2:$A$1800,$A94,الريسبي!$B$2:$B$1800,BS$1)</f>
        <v>0</v>
      </c>
      <c r="BT94" s="115" t="n">
        <f aca="false">SUMIFS(الريسبي!$C$2:$C$1800,الريسبي!$A$2:$A$1800,$A94,الريسبي!$B$2:$B$1800,BT$1)</f>
        <v>0</v>
      </c>
      <c r="BU94" s="115"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15" t="n">
        <f aca="false">SUMIFS(الريسبي!$C$2:$C$1800,الريسبي!$A$2:$A$1800,$A94,الريسبي!$B$2:$B$1800,BV$1)</f>
        <v>0</v>
      </c>
      <c r="BW94" s="115" t="n">
        <f aca="false">SUMIFS(الريسبي!$C$2:$C$1800,الريسبي!$A$2:$A$1800,$A94,الريسبي!$B$2:$B$1800,BW$1)</f>
        <v>0</v>
      </c>
      <c r="BX94" s="115" t="n">
        <f aca="false">SUMIFS(الريسبي!$C$2:$C$1800,الريسبي!$A$2:$A$1800,$A94,الريسبي!$B$2:$B$1800,BX$1)</f>
        <v>0</v>
      </c>
      <c r="BY94" s="115" t="n">
        <f aca="false">SUMIFS(الريسبي!$C$2:$C$1800,الريسبي!$A$2:$A$1800,$A94,الريسبي!$B$2:$B$1800,BY$1)</f>
        <v>0</v>
      </c>
      <c r="BZ94" s="115" t="n">
        <f aca="false">SUMIFS(الريسبي!$C$2:$C$1800,الريسبي!$A$2:$A$1800,$A94,الريسبي!$B$2:$B$1800,BZ$1)</f>
        <v>1</v>
      </c>
      <c r="CA94" s="115" t="n">
        <f aca="false">SUMIFS(الريسبي!$C$2:$C$1800,الريسبي!$A$2:$A$1800,$A94,الريسبي!$B$2:$B$1800,CA$1)</f>
        <v>1</v>
      </c>
      <c r="CB94" s="115" t="n">
        <f aca="false">SUMIFS(الريسبي!$C$2:$C$1800,الريسبي!$A$2:$A$1800,$A94,الريسبي!$B$2:$B$1800,CB$1)</f>
        <v>0</v>
      </c>
      <c r="CC94" s="115" t="n">
        <f aca="false">SUMIFS(الريسبي!$C$2:$C$1800,الريسبي!$A$2:$A$1800,$A94,الريسبي!$B$2:$B$1800,CC$1)</f>
        <v>0</v>
      </c>
      <c r="CD94" s="115" t="n">
        <f aca="false">SUMIFS(الريسبي!$C$2:$C$1800,الريسبي!$A$2:$A$1800,$A94,الريسبي!$B$2:$B$1800,CD$1)</f>
        <v>0</v>
      </c>
      <c r="CE94" s="115" t="n">
        <f aca="false">SUMIFS(الريسبي!$C$2:$C$1800,الريسبي!$A$2:$A$1800,$A94,الريسبي!$B$2:$B$1800,CE$1)</f>
        <v>0</v>
      </c>
      <c r="CF94" s="115" t="n">
        <f aca="false">SUMIFS(الريسبي!$C$2:$C$1800,الريسبي!$A$2:$A$1800,$A94,الريسبي!$B$2:$B$1800,CF$1)</f>
        <v>0</v>
      </c>
      <c r="CG94" s="115" t="n">
        <f aca="false">SUMIFS(الريسبي!$C$2:$C$1800,الريسبي!$A$2:$A$1800,$A94,الريسبي!$B$2:$B$1800,CG$1)</f>
        <v>0</v>
      </c>
      <c r="CH94" s="115" t="n">
        <f aca="false">SUMIFS(الريسبي!$C$2:$C$1800,الريسبي!$A$2:$A$1800,$A94,الريسبي!$B$2:$B$1800,CH$1)</f>
        <v>0</v>
      </c>
    </row>
    <row r="95" customFormat="false" ht="15" hidden="false" customHeight="false" outlineLevel="0" collapsed="false">
      <c r="A95" s="114" t="str">
        <f aca="false">المنيو!B95</f>
        <v>فطيرة مشروم صيامي وسط</v>
      </c>
      <c r="B95" s="115" t="n">
        <f aca="false">SUMIFS(الريسبي!$C$2:$C$1800,الريسبي!$A$2:$A$1800,$A95,الريسبي!$B$2:$B$1800,B$1)</f>
        <v>0</v>
      </c>
      <c r="C95" s="115" t="n">
        <f aca="false">SUMIFS(الريسبي!$C$2:$C$1800,الريسبي!$A$2:$A$1800,$A95,الريسبي!$B$2:$B$1800,C$1)</f>
        <v>0</v>
      </c>
      <c r="D95" s="115" t="n">
        <f aca="false">SUMIFS(الريسبي!$C$2:$C$1800,الريسبي!$A$2:$A$1800,$A95,الريسبي!$B$2:$B$1800,D$1)</f>
        <v>1</v>
      </c>
      <c r="E95" s="115" t="n">
        <f aca="false">SUMIFS(الريسبي!$C$2:$C$1800,الريسبي!$A$2:$A$1800,$A95,الريسبي!$B$2:$B$1800,E$1)</f>
        <v>0</v>
      </c>
      <c r="F95" s="115" t="n">
        <f aca="false">SUMIFS(الريسبي!$C$2:$C$1800,الريسبي!$A$2:$A$1800,$A95,الريسبي!$B$2:$B$1800,F$1)</f>
        <v>0</v>
      </c>
      <c r="G95" s="115" t="n">
        <f aca="false">SUMIFS(الريسبي!$C$2:$C$1800,الريسبي!$A$2:$A$1800,$A95,الريسبي!$B$2:$B$1800,G$1)</f>
        <v>0</v>
      </c>
      <c r="H95" s="115" t="n">
        <f aca="false">SUMIFS(الريسبي!$C$2:$C$1800,الريسبي!$A$2:$A$1800,$A95,الريسبي!$B$2:$B$1800,H$1)</f>
        <v>0</v>
      </c>
      <c r="I95" s="115" t="n">
        <f aca="false">SUMIFS(الريسبي!$C$2:$C$1800,الريسبي!$A$2:$A$1800,$A95,الريسبي!$B$2:$B$1800,I$1)</f>
        <v>0</v>
      </c>
      <c r="J95" s="115" t="n">
        <f aca="false">SUMIFS(الريسبي!$C$2:$C$1800,الريسبي!$A$2:$A$1800,$A95,الريسبي!$B$2:$B$1800,J$1)</f>
        <v>0</v>
      </c>
      <c r="K95" s="115" t="n">
        <f aca="false">SUMIFS(الريسبي!$C$2:$C$1800,الريسبي!$A$2:$A$1800,$A95,الريسبي!$B$2:$B$1800,K$1)</f>
        <v>0</v>
      </c>
      <c r="L95" s="115" t="n">
        <f aca="false">SUMIFS(الريسبي!$C$2:$C$1800,الريسبي!$A$2:$A$1800,$A95,الريسبي!$B$2:$B$1800,L$1)</f>
        <v>0</v>
      </c>
      <c r="M95" s="115" t="n">
        <f aca="false">SUMIFS(الريسبي!$C$2:$C$1800,الريسبي!$A$2:$A$1800,$A95,الريسبي!$B$2:$B$1800,M$1)</f>
        <v>0</v>
      </c>
      <c r="N95" s="115" t="n">
        <f aca="false">SUMIFS(الريسبي!$C$2:$C$1800,الريسبي!$A$2:$A$1800,$A95,الريسبي!$B$2:$B$1800,N$1)</f>
        <v>0</v>
      </c>
      <c r="O95" s="115" t="n">
        <f aca="false">SUMIFS(الريسبي!$C$2:$C$1800,الريسبي!$A$2:$A$1800,$A95,الريسبي!$B$2:$B$1800,O$1)</f>
        <v>0</v>
      </c>
      <c r="P95" s="115" t="n">
        <f aca="false">SUMIFS(الريسبي!$C$2:$C$1800,الريسبي!$A$2:$A$1800,$A95,الريسبي!$B$2:$B$1800,P$1)</f>
        <v>0</v>
      </c>
      <c r="Q95" s="115" t="n">
        <f aca="false">SUMIFS(الريسبي!$C$2:$C$1800,الريسبي!$A$2:$A$1800,$A95,الريسبي!$B$2:$B$1800,Q$1)</f>
        <v>0</v>
      </c>
      <c r="R95" s="115" t="n">
        <f aca="false">SUMIFS(الريسبي!$C$2:$C$1800,الريسبي!$A$2:$A$1800,$A95,الريسبي!$B$2:$B$1800,R$1)</f>
        <v>0</v>
      </c>
      <c r="S95" s="115" t="n">
        <f aca="false">SUMIFS(الريسبي!$C$2:$C$1800,الريسبي!$A$2:$A$1800,$A95,الريسبي!$B$2:$B$1800,S$1)</f>
        <v>0</v>
      </c>
      <c r="T95" s="115" t="n">
        <f aca="false">SUMIFS(الريسبي!$C$2:$C$1800,الريسبي!$A$2:$A$1800,$A95,الريسبي!$B$2:$B$1800,T$1)</f>
        <v>0</v>
      </c>
      <c r="U95" s="115" t="n">
        <f aca="false">SUMIFS(الريسبي!$C$2:$C$1800,الريسبي!$A$2:$A$1800,$A95,الريسبي!$B$2:$B$1800,U$1)</f>
        <v>0</v>
      </c>
      <c r="V95" s="115" t="n">
        <f aca="false">SUMIFS(الريسبي!$C$2:$C$1800,الريسبي!$A$2:$A$1800,$A95,الريسبي!$B$2:$B$1800,V$1)</f>
        <v>0</v>
      </c>
      <c r="W95" s="115" t="n">
        <f aca="false">SUMIFS(الريسبي!$C$2:$C$1800,الريسبي!$A$2:$A$1800,$A95,الريسبي!$B$2:$B$1800,W$1)</f>
        <v>0</v>
      </c>
      <c r="X95" s="115" t="n">
        <f aca="false">SUMIFS(الريسبي!$C$2:$C$1800,الريسبي!$A$2:$A$1800,$A95,الريسبي!$B$2:$B$1800,X$1)</f>
        <v>1</v>
      </c>
      <c r="Y95" s="115" t="n">
        <f aca="false">SUMIFS(الريسبي!$C$2:$C$1800,الريسبي!$A$2:$A$1800,$A95,الريسبي!$B$2:$B$1800,Y$1)</f>
        <v>0</v>
      </c>
      <c r="Z95" s="115" t="n">
        <f aca="false">SUMIFS(الريسبي!$C$2:$C$1800,الريسبي!$A$2:$A$1800,$A95,الريسبي!$B$2:$B$1800,Z$1)</f>
        <v>0</v>
      </c>
      <c r="AA95" s="115" t="n">
        <f aca="false">SUMIFS(الريسبي!$C$2:$C$1800,الريسبي!$A$2:$A$1800,$A95,الريسبي!$B$2:$B$1800,AA$1)</f>
        <v>0</v>
      </c>
      <c r="AB95" s="115" t="n">
        <f aca="false">SUMIFS(الريسبي!$C$2:$C$1800,الريسبي!$A$2:$A$1800,$A95,الريسبي!$B$2:$B$1800,AB$1)</f>
        <v>0</v>
      </c>
      <c r="AC95" s="115" t="n">
        <f aca="false">SUMIFS(الريسبي!$C$2:$C$1800,الريسبي!$A$2:$A$1800,$A95,الريسبي!$B$2:$B$1800,AC$1)</f>
        <v>0</v>
      </c>
      <c r="AD95" s="115" t="n">
        <f aca="false">SUMIFS(الريسبي!$C$2:$C$1800,الريسبي!$A$2:$A$1800,$A95,الريسبي!$B$2:$B$1800,AD$1)</f>
        <v>0</v>
      </c>
      <c r="AE95" s="115" t="n">
        <f aca="false">SUMIFS(الريسبي!$C$2:$C$1800,الريسبي!$A$2:$A$1800,$A95,الريسبي!$B$2:$B$1800,AE$1)</f>
        <v>0</v>
      </c>
      <c r="AF95" s="115" t="n">
        <f aca="false">SUMIFS(الريسبي!$C$2:$C$1800,الريسبي!$A$2:$A$1800,$A95,الريسبي!$B$2:$B$1800,AF$1)</f>
        <v>0</v>
      </c>
      <c r="AG95" s="115" t="n">
        <f aca="false">SUMIFS(الريسبي!$C$2:$C$1800,الريسبي!$A$2:$A$1800,$A95,الريسبي!$B$2:$B$1800,AG$1)</f>
        <v>0</v>
      </c>
      <c r="AH95" s="115" t="n">
        <f aca="false">SUMIFS(الريسبي!$C$2:$C$1800,الريسبي!$A$2:$A$1800,$A95,الريسبي!$B$2:$B$1800,AH$1)</f>
        <v>0</v>
      </c>
      <c r="AI95" s="115" t="n">
        <f aca="false">SUMIFS(الريسبي!$C$2:$C$1800,الريسبي!$A$2:$A$1800,$A95,الريسبي!$B$2:$B$1800,AI$1)</f>
        <v>0</v>
      </c>
      <c r="AJ95" s="115" t="n">
        <f aca="false">SUMIFS(الريسبي!$C$2:$C$1800,الريسبي!$A$2:$A$1800,$A95,الريسبي!$B$2:$B$1800,AJ$1)</f>
        <v>2</v>
      </c>
      <c r="AK95" s="115" t="n">
        <f aca="false">SUMIFS(الريسبي!$C$2:$C$1800,الريسبي!$A$2:$A$1800,$A95,الريسبي!$B$2:$B$1800,AK$1)</f>
        <v>0</v>
      </c>
      <c r="AL95" s="115" t="n">
        <f aca="false">SUMIFS(الريسبي!$C$2:$C$1800,الريسبي!$A$2:$A$1800,$A95,الريسبي!$B$2:$B$1800,AL$1)</f>
        <v>0</v>
      </c>
      <c r="AM95" s="115"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15"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15" t="n">
        <f aca="false">SUMIFS(الريسبي!$C$2:$C$1800,الريسبي!$A$2:$A$1800,$A95,الريسبي!$B$2:$B$1800,AO$1)</f>
        <v>0</v>
      </c>
      <c r="AP95" s="115" t="n">
        <f aca="false">SUMIFS(الريسبي!$C$2:$C$1800,الريسبي!$A$2:$A$1800,$A95,الريسبي!$B$2:$B$1800,AP$1)</f>
        <v>0.02</v>
      </c>
      <c r="AQ95" s="115"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15" t="n">
        <f aca="false">SUMIFS(الريسبي!$C$2:$C$1800,الريسبي!$A$2:$A$1800,$A95,الريسبي!$B$2:$B$1800,AR$1)</f>
        <v>0</v>
      </c>
      <c r="AS95" s="115" t="n">
        <f aca="false">SUMIFS(الريسبي!$C$2:$C$1800,الريسبي!$A$2:$A$1800,$A95,الريسبي!$B$2:$B$1800,AS$1)</f>
        <v>0</v>
      </c>
      <c r="AT95" s="115" t="n">
        <f aca="false">SUMIFS(الريسبي!$C$2:$C$1800,الريسبي!$A$2:$A$1800,$A95,الريسبي!$B$2:$B$1800,AT$1)</f>
        <v>0</v>
      </c>
      <c r="AU95" s="115" t="n">
        <f aca="false">SUMIFS(الريسبي!$C$2:$C$1800,الريسبي!$A$2:$A$1800,$A95,الريسبي!$B$2:$B$1800,AU$1)</f>
        <v>0</v>
      </c>
      <c r="AV95" s="115" t="n">
        <f aca="false">SUMIFS(الريسبي!$C$2:$C$1800,الريسبي!$A$2:$A$1800,$A95,الريسبي!$B$2:$B$1800,AV$1)</f>
        <v>0</v>
      </c>
      <c r="AW95" s="115" t="n">
        <f aca="false">SUMIFS(الريسبي!$C$2:$C$1800,الريسبي!$A$2:$A$1800,$A95,الريسبي!$B$2:$B$1800,AW$1)</f>
        <v>0</v>
      </c>
      <c r="AX95" s="115" t="n">
        <f aca="false">SUMIFS(الريسبي!$C$2:$C$1800,الريسبي!$A$2:$A$1800,$A95,الريسبي!$B$2:$B$1800,AX$1)</f>
        <v>0</v>
      </c>
      <c r="AY95" s="115" t="n">
        <f aca="false">SUMIFS(الريسبي!$C$2:$C$1800,الريسبي!$A$2:$A$1800,$A95,الريسبي!$B$2:$B$1800,AY$1)</f>
        <v>0</v>
      </c>
      <c r="AZ95" s="115" t="n">
        <f aca="false">SUMIFS(الريسبي!$C$2:$C$1800,الريسبي!$A$2:$A$1800,$A95,الريسبي!$B$2:$B$1800,AZ$1)</f>
        <v>0</v>
      </c>
      <c r="BA95" s="115" t="n">
        <f aca="false">SUMIFS(الريسبي!$C$2:$C$1800,الريسبي!$A$2:$A$1800,$A95,الريسبي!$B$2:$B$1800,BA$1)</f>
        <v>0</v>
      </c>
      <c r="BB95" s="115" t="n">
        <f aca="false">SUMIFS(الريسبي!$C$2:$C$1800,الريسبي!$A$2:$A$1800,$A95,الريسبي!$B$2:$B$1800,BB$1)</f>
        <v>0</v>
      </c>
      <c r="BC95" s="115" t="n">
        <f aca="false">SUMIFS(الريسبي!$C$2:$C$1800,الريسبي!$A$2:$A$1800,$A95,الريسبي!$B$2:$B$1800,BC$1)</f>
        <v>0.03</v>
      </c>
      <c r="BD95" s="115" t="n">
        <f aca="false">SUMIFS(الريسبي!$C$2:$C$1800,الريسبي!$A$2:$A$1800,$A95,الريسبي!$B$2:$B$1800,BD$1)</f>
        <v>0</v>
      </c>
      <c r="BE95" s="115" t="n">
        <f aca="false">SUMIFS(الريسبي!$C$2:$C$1800,الريسبي!$A$2:$A$1800,$A95,الريسبي!$B$2:$B$1800,BE$1)</f>
        <v>1</v>
      </c>
      <c r="BF95" s="115" t="n">
        <f aca="false">SUMIFS(الريسبي!$C$2:$C$1800,الريسبي!$A$2:$A$1800,$A95,الريسبي!$B$2:$B$1800,BF$1)</f>
        <v>0</v>
      </c>
      <c r="BG95" s="115" t="n">
        <f aca="false">SUMIFS(الريسبي!$C$2:$C$1800,الريسبي!$A$2:$A$1800,$A95,الريسبي!$B$2:$B$1800,BG$1)</f>
        <v>0</v>
      </c>
      <c r="BH95" s="115" t="n">
        <f aca="false">SUMIFS(الريسبي!$C$2:$C$1800,الريسبي!$A$2:$A$1800,$A95,الريسبي!$B$2:$B$1800,BH$1)</f>
        <v>1</v>
      </c>
      <c r="BI95" s="115" t="n">
        <f aca="false">SUMIFS(الريسبي!$C$2:$C$1800,الريسبي!$A$2:$A$1800,$A95,الريسبي!$B$2:$B$1800,BI$1)</f>
        <v>0</v>
      </c>
      <c r="BJ95" s="115" t="n">
        <f aca="false">SUMIFS(الريسبي!$C$2:$C$1800,الريسبي!$A$2:$A$1800,$A95,الريسبي!$B$2:$B$1800,BJ$1)</f>
        <v>0</v>
      </c>
      <c r="BK95" s="115" t="n">
        <f aca="false">SUMIFS(الريسبي!$C$2:$C$1800,الريسبي!$A$2:$A$1800,$A95,الريسبي!$B$2:$B$1800,BK$1)</f>
        <v>0</v>
      </c>
      <c r="BL95" s="115" t="n">
        <f aca="false">SUMIFS(الريسبي!$C$2:$C$1800,الريسبي!$A$2:$A$1800,$A95,الريسبي!$B$2:$B$1800,BL$1)</f>
        <v>0</v>
      </c>
      <c r="BM95" s="115" t="n">
        <f aca="false">SUMIFS(الريسبي!$C$2:$C$1800,الريسبي!$A$2:$A$1800,$A95,الريسبي!$B$2:$B$1800,BM$1)</f>
        <v>0</v>
      </c>
      <c r="BN95" s="115" t="n">
        <f aca="false">SUMIFS(الريسبي!$C$2:$C$1800,الريسبي!$A$2:$A$1800,$A95,الريسبي!$B$2:$B$1800,BN$1)</f>
        <v>0.02</v>
      </c>
      <c r="BO95" s="115" t="n">
        <f aca="false">SUMIFS(الريسبي!$C$2:$C$1800,الريسبي!$A$2:$A$1800,$A95,الريسبي!$B$2:$B$1800,BO$1)</f>
        <v>0</v>
      </c>
      <c r="BP95" s="115" t="n">
        <f aca="false">SUMIFS(الريسبي!$C$2:$C$1800,الريسبي!$A$2:$A$1800,$A95,الريسبي!$B$2:$B$1800,BP$1)</f>
        <v>2</v>
      </c>
      <c r="BQ95" s="115"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15" t="n">
        <f aca="false">SUMIFS(الريسبي!$C$2:$C$1800,الريسبي!$A$2:$A$1800,$A95,الريسبي!$B$2:$B$1800,BR$1)</f>
        <v>1</v>
      </c>
      <c r="BS95" s="115" t="n">
        <f aca="false">SUMIFS(الريسبي!$C$2:$C$1800,الريسبي!$A$2:$A$1800,$A95,الريسبي!$B$2:$B$1800,BS$1)</f>
        <v>0</v>
      </c>
      <c r="BT95" s="115" t="n">
        <f aca="false">SUMIFS(الريسبي!$C$2:$C$1800,الريسبي!$A$2:$A$1800,$A95,الريسبي!$B$2:$B$1800,BT$1)</f>
        <v>0</v>
      </c>
      <c r="BU95" s="115"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15" t="n">
        <f aca="false">SUMIFS(الريسبي!$C$2:$C$1800,الريسبي!$A$2:$A$1800,$A95,الريسبي!$B$2:$B$1800,BV$1)</f>
        <v>0</v>
      </c>
      <c r="BW95" s="115" t="n">
        <f aca="false">SUMIFS(الريسبي!$C$2:$C$1800,الريسبي!$A$2:$A$1800,$A95,الريسبي!$B$2:$B$1800,BW$1)</f>
        <v>0.1</v>
      </c>
      <c r="BX95" s="115" t="n">
        <f aca="false">SUMIFS(الريسبي!$C$2:$C$1800,الريسبي!$A$2:$A$1800,$A95,الريسبي!$B$2:$B$1800,BX$1)</f>
        <v>0</v>
      </c>
      <c r="BY95" s="115" t="n">
        <f aca="false">SUMIFS(الريسبي!$C$2:$C$1800,الريسبي!$A$2:$A$1800,$A95,الريسبي!$B$2:$B$1800,BY$1)</f>
        <v>0</v>
      </c>
      <c r="BZ95" s="115" t="n">
        <f aca="false">SUMIFS(الريسبي!$C$2:$C$1800,الريسبي!$A$2:$A$1800,$A95,الريسبي!$B$2:$B$1800,BZ$1)</f>
        <v>1</v>
      </c>
      <c r="CA95" s="115" t="n">
        <f aca="false">SUMIFS(الريسبي!$C$2:$C$1800,الريسبي!$A$2:$A$1800,$A95,الريسبي!$B$2:$B$1800,CA$1)</f>
        <v>1</v>
      </c>
      <c r="CB95" s="115" t="n">
        <f aca="false">SUMIFS(الريسبي!$C$2:$C$1800,الريسبي!$A$2:$A$1800,$A95,الريسبي!$B$2:$B$1800,CB$1)</f>
        <v>0</v>
      </c>
      <c r="CC95" s="115" t="n">
        <f aca="false">SUMIFS(الريسبي!$C$2:$C$1800,الريسبي!$A$2:$A$1800,$A95,الريسبي!$B$2:$B$1800,CC$1)</f>
        <v>0</v>
      </c>
      <c r="CD95" s="115" t="n">
        <f aca="false">SUMIFS(الريسبي!$C$2:$C$1800,الريسبي!$A$2:$A$1800,$A95,الريسبي!$B$2:$B$1800,CD$1)</f>
        <v>0</v>
      </c>
      <c r="CE95" s="115" t="n">
        <f aca="false">SUMIFS(الريسبي!$C$2:$C$1800,الريسبي!$A$2:$A$1800,$A95,الريسبي!$B$2:$B$1800,CE$1)</f>
        <v>0</v>
      </c>
      <c r="CF95" s="115" t="n">
        <f aca="false">SUMIFS(الريسبي!$C$2:$C$1800,الريسبي!$A$2:$A$1800,$A95,الريسبي!$B$2:$B$1800,CF$1)</f>
        <v>0</v>
      </c>
      <c r="CG95" s="115" t="n">
        <f aca="false">SUMIFS(الريسبي!$C$2:$C$1800,الريسبي!$A$2:$A$1800,$A95,الريسبي!$B$2:$B$1800,CG$1)</f>
        <v>0</v>
      </c>
      <c r="CH95" s="115" t="n">
        <f aca="false">SUMIFS(الريسبي!$C$2:$C$1800,الريسبي!$A$2:$A$1800,$A95,الريسبي!$B$2:$B$1800,CH$1)</f>
        <v>0</v>
      </c>
    </row>
    <row r="96" customFormat="false" ht="15" hidden="false" customHeight="false" outlineLevel="0" collapsed="false">
      <c r="A96" s="114" t="str">
        <f aca="false">المنيو!B96</f>
        <v>فطيرة مشروم صيامي مخصوص</v>
      </c>
      <c r="B96" s="115" t="n">
        <f aca="false">SUMIFS(الريسبي!$C$2:$C$1800,الريسبي!$A$2:$A$1800,$A96,الريسبي!$B$2:$B$1800,B$1)</f>
        <v>0</v>
      </c>
      <c r="C96" s="115" t="n">
        <f aca="false">SUMIFS(الريسبي!$C$2:$C$1800,الريسبي!$A$2:$A$1800,$A96,الريسبي!$B$2:$B$1800,C$1)</f>
        <v>0</v>
      </c>
      <c r="D96" s="115" t="n">
        <f aca="false">SUMIFS(الريسبي!$C$2:$C$1800,الريسبي!$A$2:$A$1800,$A96,الريسبي!$B$2:$B$1800,D$1)</f>
        <v>1</v>
      </c>
      <c r="E96" s="115" t="n">
        <f aca="false">SUMIFS(الريسبي!$C$2:$C$1800,الريسبي!$A$2:$A$1800,$A96,الريسبي!$B$2:$B$1800,E$1)</f>
        <v>0</v>
      </c>
      <c r="F96" s="115" t="n">
        <f aca="false">SUMIFS(الريسبي!$C$2:$C$1800,الريسبي!$A$2:$A$1800,$A96,الريسبي!$B$2:$B$1800,F$1)</f>
        <v>0</v>
      </c>
      <c r="G96" s="115" t="n">
        <f aca="false">SUMIFS(الريسبي!$C$2:$C$1800,الريسبي!$A$2:$A$1800,$A96,الريسبي!$B$2:$B$1800,G$1)</f>
        <v>0</v>
      </c>
      <c r="H96" s="115" t="n">
        <f aca="false">SUMIFS(الريسبي!$C$2:$C$1800,الريسبي!$A$2:$A$1800,$A96,الريسبي!$B$2:$B$1800,H$1)</f>
        <v>0</v>
      </c>
      <c r="I96" s="115" t="n">
        <f aca="false">SUMIFS(الريسبي!$C$2:$C$1800,الريسبي!$A$2:$A$1800,$A96,الريسبي!$B$2:$B$1800,I$1)</f>
        <v>0</v>
      </c>
      <c r="J96" s="115" t="n">
        <f aca="false">SUMIFS(الريسبي!$C$2:$C$1800,الريسبي!$A$2:$A$1800,$A96,الريسبي!$B$2:$B$1800,J$1)</f>
        <v>0</v>
      </c>
      <c r="K96" s="115" t="n">
        <f aca="false">SUMIFS(الريسبي!$C$2:$C$1800,الريسبي!$A$2:$A$1800,$A96,الريسبي!$B$2:$B$1800,K$1)</f>
        <v>0</v>
      </c>
      <c r="L96" s="115" t="n">
        <f aca="false">SUMIFS(الريسبي!$C$2:$C$1800,الريسبي!$A$2:$A$1800,$A96,الريسبي!$B$2:$B$1800,L$1)</f>
        <v>0</v>
      </c>
      <c r="M96" s="115" t="n">
        <f aca="false">SUMIFS(الريسبي!$C$2:$C$1800,الريسبي!$A$2:$A$1800,$A96,الريسبي!$B$2:$B$1800,M$1)</f>
        <v>0</v>
      </c>
      <c r="N96" s="115" t="n">
        <f aca="false">SUMIFS(الريسبي!$C$2:$C$1800,الريسبي!$A$2:$A$1800,$A96,الريسبي!$B$2:$B$1800,N$1)</f>
        <v>0</v>
      </c>
      <c r="O96" s="115" t="n">
        <f aca="false">SUMIFS(الريسبي!$C$2:$C$1800,الريسبي!$A$2:$A$1800,$A96,الريسبي!$B$2:$B$1800,O$1)</f>
        <v>0</v>
      </c>
      <c r="P96" s="115" t="n">
        <f aca="false">SUMIFS(الريسبي!$C$2:$C$1800,الريسبي!$A$2:$A$1800,$A96,الريسبي!$B$2:$B$1800,P$1)</f>
        <v>0</v>
      </c>
      <c r="Q96" s="115" t="n">
        <f aca="false">SUMIFS(الريسبي!$C$2:$C$1800,الريسبي!$A$2:$A$1800,$A96,الريسبي!$B$2:$B$1800,Q$1)</f>
        <v>0</v>
      </c>
      <c r="R96" s="115" t="n">
        <f aca="false">SUMIFS(الريسبي!$C$2:$C$1800,الريسبي!$A$2:$A$1800,$A96,الريسبي!$B$2:$B$1800,R$1)</f>
        <v>0</v>
      </c>
      <c r="S96" s="115" t="n">
        <f aca="false">SUMIFS(الريسبي!$C$2:$C$1800,الريسبي!$A$2:$A$1800,$A96,الريسبي!$B$2:$B$1800,S$1)</f>
        <v>0</v>
      </c>
      <c r="T96" s="115" t="n">
        <f aca="false">SUMIFS(الريسبي!$C$2:$C$1800,الريسبي!$A$2:$A$1800,$A96,الريسبي!$B$2:$B$1800,T$1)</f>
        <v>0</v>
      </c>
      <c r="U96" s="115" t="n">
        <f aca="false">SUMIFS(الريسبي!$C$2:$C$1800,الريسبي!$A$2:$A$1800,$A96,الريسبي!$B$2:$B$1800,U$1)</f>
        <v>0</v>
      </c>
      <c r="V96" s="115" t="n">
        <f aca="false">SUMIFS(الريسبي!$C$2:$C$1800,الريسبي!$A$2:$A$1800,$A96,الريسبي!$B$2:$B$1800,V$1)</f>
        <v>0</v>
      </c>
      <c r="W96" s="115" t="n">
        <f aca="false">SUMIFS(الريسبي!$C$2:$C$1800,الريسبي!$A$2:$A$1800,$A96,الريسبي!$B$2:$B$1800,W$1)</f>
        <v>0</v>
      </c>
      <c r="X96" s="115" t="n">
        <f aca="false">SUMIFS(الريسبي!$C$2:$C$1800,الريسبي!$A$2:$A$1800,$A96,الريسبي!$B$2:$B$1800,X$1)</f>
        <v>0</v>
      </c>
      <c r="Y96" s="115" t="n">
        <f aca="false">SUMIFS(الريسبي!$C$2:$C$1800,الريسبي!$A$2:$A$1800,$A96,الريسبي!$B$2:$B$1800,Y$1)</f>
        <v>1</v>
      </c>
      <c r="Z96" s="115" t="n">
        <f aca="false">SUMIFS(الريسبي!$C$2:$C$1800,الريسبي!$A$2:$A$1800,$A96,الريسبي!$B$2:$B$1800,Z$1)</f>
        <v>0</v>
      </c>
      <c r="AA96" s="115" t="n">
        <f aca="false">SUMIFS(الريسبي!$C$2:$C$1800,الريسبي!$A$2:$A$1800,$A96,الريسبي!$B$2:$B$1800,AA$1)</f>
        <v>0</v>
      </c>
      <c r="AB96" s="115" t="n">
        <f aca="false">SUMIFS(الريسبي!$C$2:$C$1800,الريسبي!$A$2:$A$1800,$A96,الريسبي!$B$2:$B$1800,AB$1)</f>
        <v>0</v>
      </c>
      <c r="AC96" s="115" t="n">
        <f aca="false">SUMIFS(الريسبي!$C$2:$C$1800,الريسبي!$A$2:$A$1800,$A96,الريسبي!$B$2:$B$1800,AC$1)</f>
        <v>0</v>
      </c>
      <c r="AD96" s="115" t="n">
        <f aca="false">SUMIFS(الريسبي!$C$2:$C$1800,الريسبي!$A$2:$A$1800,$A96,الريسبي!$B$2:$B$1800,AD$1)</f>
        <v>0</v>
      </c>
      <c r="AE96" s="115" t="n">
        <f aca="false">SUMIFS(الريسبي!$C$2:$C$1800,الريسبي!$A$2:$A$1800,$A96,الريسبي!$B$2:$B$1800,AE$1)</f>
        <v>0</v>
      </c>
      <c r="AF96" s="115" t="n">
        <f aca="false">SUMIFS(الريسبي!$C$2:$C$1800,الريسبي!$A$2:$A$1800,$A96,الريسبي!$B$2:$B$1800,AF$1)</f>
        <v>0</v>
      </c>
      <c r="AG96" s="115" t="n">
        <f aca="false">SUMIFS(الريسبي!$C$2:$C$1800,الريسبي!$A$2:$A$1800,$A96,الريسبي!$B$2:$B$1800,AG$1)</f>
        <v>0</v>
      </c>
      <c r="AH96" s="115" t="n">
        <f aca="false">SUMIFS(الريسبي!$C$2:$C$1800,الريسبي!$A$2:$A$1800,$A96,الريسبي!$B$2:$B$1800,AH$1)</f>
        <v>0</v>
      </c>
      <c r="AI96" s="115" t="n">
        <f aca="false">SUMIFS(الريسبي!$C$2:$C$1800,الريسبي!$A$2:$A$1800,$A96,الريسبي!$B$2:$B$1800,AI$1)</f>
        <v>0</v>
      </c>
      <c r="AJ96" s="115" t="n">
        <f aca="false">SUMIFS(الريسبي!$C$2:$C$1800,الريسبي!$A$2:$A$1800,$A96,الريسبي!$B$2:$B$1800,AJ$1)</f>
        <v>2</v>
      </c>
      <c r="AK96" s="115" t="n">
        <f aca="false">SUMIFS(الريسبي!$C$2:$C$1800,الريسبي!$A$2:$A$1800,$A96,الريسبي!$B$2:$B$1800,AK$1)</f>
        <v>0</v>
      </c>
      <c r="AL96" s="115" t="n">
        <f aca="false">SUMIFS(الريسبي!$C$2:$C$1800,الريسبي!$A$2:$A$1800,$A96,الريسبي!$B$2:$B$1800,AL$1)</f>
        <v>0</v>
      </c>
      <c r="AM96" s="115"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15"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15" t="n">
        <f aca="false">SUMIFS(الريسبي!$C$2:$C$1800,الريسبي!$A$2:$A$1800,$A96,الريسبي!$B$2:$B$1800,AO$1)</f>
        <v>0</v>
      </c>
      <c r="AP96" s="115" t="n">
        <f aca="false">SUMIFS(الريسبي!$C$2:$C$1800,الريسبي!$A$2:$A$1800,$A96,الريسبي!$B$2:$B$1800,AP$1)</f>
        <v>0.03</v>
      </c>
      <c r="AQ96" s="115"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15" t="n">
        <f aca="false">SUMIFS(الريسبي!$C$2:$C$1800,الريسبي!$A$2:$A$1800,$A96,الريسبي!$B$2:$B$1800,AR$1)</f>
        <v>0</v>
      </c>
      <c r="AS96" s="115" t="n">
        <f aca="false">SUMIFS(الريسبي!$C$2:$C$1800,الريسبي!$A$2:$A$1800,$A96,الريسبي!$B$2:$B$1800,AS$1)</f>
        <v>0</v>
      </c>
      <c r="AT96" s="115" t="n">
        <f aca="false">SUMIFS(الريسبي!$C$2:$C$1800,الريسبي!$A$2:$A$1800,$A96,الريسبي!$B$2:$B$1800,AT$1)</f>
        <v>0</v>
      </c>
      <c r="AU96" s="115" t="n">
        <f aca="false">SUMIFS(الريسبي!$C$2:$C$1800,الريسبي!$A$2:$A$1800,$A96,الريسبي!$B$2:$B$1800,AU$1)</f>
        <v>0</v>
      </c>
      <c r="AV96" s="115" t="n">
        <f aca="false">SUMIFS(الريسبي!$C$2:$C$1800,الريسبي!$A$2:$A$1800,$A96,الريسبي!$B$2:$B$1800,AV$1)</f>
        <v>0</v>
      </c>
      <c r="AW96" s="115" t="n">
        <f aca="false">SUMIFS(الريسبي!$C$2:$C$1800,الريسبي!$A$2:$A$1800,$A96,الريسبي!$B$2:$B$1800,AW$1)</f>
        <v>0</v>
      </c>
      <c r="AX96" s="115" t="n">
        <f aca="false">SUMIFS(الريسبي!$C$2:$C$1800,الريسبي!$A$2:$A$1800,$A96,الريسبي!$B$2:$B$1800,AX$1)</f>
        <v>0</v>
      </c>
      <c r="AY96" s="115" t="n">
        <f aca="false">SUMIFS(الريسبي!$C$2:$C$1800,الريسبي!$A$2:$A$1800,$A96,الريسبي!$B$2:$B$1800,AY$1)</f>
        <v>0</v>
      </c>
      <c r="AZ96" s="115" t="n">
        <f aca="false">SUMIFS(الريسبي!$C$2:$C$1800,الريسبي!$A$2:$A$1800,$A96,الريسبي!$B$2:$B$1800,AZ$1)</f>
        <v>0</v>
      </c>
      <c r="BA96" s="115" t="n">
        <f aca="false">SUMIFS(الريسبي!$C$2:$C$1800,الريسبي!$A$2:$A$1800,$A96,الريسبي!$B$2:$B$1800,BA$1)</f>
        <v>0</v>
      </c>
      <c r="BB96" s="115" t="n">
        <f aca="false">SUMIFS(الريسبي!$C$2:$C$1800,الريسبي!$A$2:$A$1800,$A96,الريسبي!$B$2:$B$1800,BB$1)</f>
        <v>0</v>
      </c>
      <c r="BC96" s="115" t="n">
        <f aca="false">SUMIFS(الريسبي!$C$2:$C$1800,الريسبي!$A$2:$A$1800,$A96,الريسبي!$B$2:$B$1800,BC$1)</f>
        <v>0.045</v>
      </c>
      <c r="BD96" s="115" t="n">
        <f aca="false">SUMIFS(الريسبي!$C$2:$C$1800,الريسبي!$A$2:$A$1800,$A96,الريسبي!$B$2:$B$1800,BD$1)</f>
        <v>0</v>
      </c>
      <c r="BE96" s="115" t="n">
        <f aca="false">SUMIFS(الريسبي!$C$2:$C$1800,الريسبي!$A$2:$A$1800,$A96,الريسبي!$B$2:$B$1800,BE$1)</f>
        <v>1.5</v>
      </c>
      <c r="BF96" s="115" t="n">
        <f aca="false">SUMIFS(الريسبي!$C$2:$C$1800,الريسبي!$A$2:$A$1800,$A96,الريسبي!$B$2:$B$1800,BF$1)</f>
        <v>0</v>
      </c>
      <c r="BG96" s="115" t="n">
        <f aca="false">SUMIFS(الريسبي!$C$2:$C$1800,الريسبي!$A$2:$A$1800,$A96,الريسبي!$B$2:$B$1800,BG$1)</f>
        <v>1</v>
      </c>
      <c r="BH96" s="115" t="n">
        <f aca="false">SUMIFS(الريسبي!$C$2:$C$1800,الريسبي!$A$2:$A$1800,$A96,الريسبي!$B$2:$B$1800,BH$1)</f>
        <v>0</v>
      </c>
      <c r="BI96" s="115" t="n">
        <f aca="false">SUMIFS(الريسبي!$C$2:$C$1800,الريسبي!$A$2:$A$1800,$A96,الريسبي!$B$2:$B$1800,BI$1)</f>
        <v>0</v>
      </c>
      <c r="BJ96" s="115" t="n">
        <f aca="false">SUMIFS(الريسبي!$C$2:$C$1800,الريسبي!$A$2:$A$1800,$A96,الريسبي!$B$2:$B$1800,BJ$1)</f>
        <v>0</v>
      </c>
      <c r="BK96" s="115" t="n">
        <f aca="false">SUMIFS(الريسبي!$C$2:$C$1800,الريسبي!$A$2:$A$1800,$A96,الريسبي!$B$2:$B$1800,BK$1)</f>
        <v>0</v>
      </c>
      <c r="BL96" s="115" t="n">
        <f aca="false">SUMIFS(الريسبي!$C$2:$C$1800,الريسبي!$A$2:$A$1800,$A96,الريسبي!$B$2:$B$1800,BL$1)</f>
        <v>0</v>
      </c>
      <c r="BM96" s="115" t="n">
        <f aca="false">SUMIFS(الريسبي!$C$2:$C$1800,الريسبي!$A$2:$A$1800,$A96,الريسبي!$B$2:$B$1800,BM$1)</f>
        <v>0</v>
      </c>
      <c r="BN96" s="115" t="n">
        <f aca="false">SUMIFS(الريسبي!$C$2:$C$1800,الريسبي!$A$2:$A$1800,$A96,الريسبي!$B$2:$B$1800,BN$1)</f>
        <v>0.03</v>
      </c>
      <c r="BO96" s="115" t="n">
        <f aca="false">SUMIFS(الريسبي!$C$2:$C$1800,الريسبي!$A$2:$A$1800,$A96,الريسبي!$B$2:$B$1800,BO$1)</f>
        <v>0</v>
      </c>
      <c r="BP96" s="115" t="n">
        <f aca="false">SUMIFS(الريسبي!$C$2:$C$1800,الريسبي!$A$2:$A$1800,$A96,الريسبي!$B$2:$B$1800,BP$1)</f>
        <v>3</v>
      </c>
      <c r="BQ96" s="115"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15" t="n">
        <f aca="false">SUMIFS(الريسبي!$C$2:$C$1800,الريسبي!$A$2:$A$1800,$A96,الريسبي!$B$2:$B$1800,BR$1)</f>
        <v>1</v>
      </c>
      <c r="BS96" s="115" t="n">
        <f aca="false">SUMIFS(الريسبي!$C$2:$C$1800,الريسبي!$A$2:$A$1800,$A96,الريسبي!$B$2:$B$1800,BS$1)</f>
        <v>0</v>
      </c>
      <c r="BT96" s="115" t="n">
        <f aca="false">SUMIFS(الريسبي!$C$2:$C$1800,الريسبي!$A$2:$A$1800,$A96,الريسبي!$B$2:$B$1800,BT$1)</f>
        <v>0</v>
      </c>
      <c r="BU96" s="115"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15" t="n">
        <f aca="false">SUMIFS(الريسبي!$C$2:$C$1800,الريسبي!$A$2:$A$1800,$A96,الريسبي!$B$2:$B$1800,BV$1)</f>
        <v>0</v>
      </c>
      <c r="BW96" s="115" t="n">
        <f aca="false">SUMIFS(الريسبي!$C$2:$C$1800,الريسبي!$A$2:$A$1800,$A96,الريسبي!$B$2:$B$1800,BW$1)</f>
        <v>0.15</v>
      </c>
      <c r="BX96" s="115" t="n">
        <f aca="false">SUMIFS(الريسبي!$C$2:$C$1800,الريسبي!$A$2:$A$1800,$A96,الريسبي!$B$2:$B$1800,BX$1)</f>
        <v>0</v>
      </c>
      <c r="BY96" s="115" t="n">
        <f aca="false">SUMIFS(الريسبي!$C$2:$C$1800,الريسبي!$A$2:$A$1800,$A96,الريسبي!$B$2:$B$1800,BY$1)</f>
        <v>0</v>
      </c>
      <c r="BZ96" s="115" t="n">
        <f aca="false">SUMIFS(الريسبي!$C$2:$C$1800,الريسبي!$A$2:$A$1800,$A96,الريسبي!$B$2:$B$1800,BZ$1)</f>
        <v>1</v>
      </c>
      <c r="CA96" s="115" t="n">
        <f aca="false">SUMIFS(الريسبي!$C$2:$C$1800,الريسبي!$A$2:$A$1800,$A96,الريسبي!$B$2:$B$1800,CA$1)</f>
        <v>1</v>
      </c>
      <c r="CB96" s="115" t="n">
        <f aca="false">SUMIFS(الريسبي!$C$2:$C$1800,الريسبي!$A$2:$A$1800,$A96,الريسبي!$B$2:$B$1800,CB$1)</f>
        <v>0</v>
      </c>
      <c r="CC96" s="115" t="n">
        <f aca="false">SUMIFS(الريسبي!$C$2:$C$1800,الريسبي!$A$2:$A$1800,$A96,الريسبي!$B$2:$B$1800,CC$1)</f>
        <v>0</v>
      </c>
      <c r="CD96" s="115" t="n">
        <f aca="false">SUMIFS(الريسبي!$C$2:$C$1800,الريسبي!$A$2:$A$1800,$A96,الريسبي!$B$2:$B$1800,CD$1)</f>
        <v>0</v>
      </c>
      <c r="CE96" s="115" t="n">
        <f aca="false">SUMIFS(الريسبي!$C$2:$C$1800,الريسبي!$A$2:$A$1800,$A96,الريسبي!$B$2:$B$1800,CE$1)</f>
        <v>0</v>
      </c>
      <c r="CF96" s="115" t="n">
        <f aca="false">SUMIFS(الريسبي!$C$2:$C$1800,الريسبي!$A$2:$A$1800,$A96,الريسبي!$B$2:$B$1800,CF$1)</f>
        <v>0</v>
      </c>
      <c r="CG96" s="115" t="n">
        <f aca="false">SUMIFS(الريسبي!$C$2:$C$1800,الريسبي!$A$2:$A$1800,$A96,الريسبي!$B$2:$B$1800,CG$1)</f>
        <v>0</v>
      </c>
      <c r="CH96" s="115" t="n">
        <f aca="false">SUMIFS(الريسبي!$C$2:$C$1800,الريسبي!$A$2:$A$1800,$A96,الريسبي!$B$2:$B$1800,CH$1)</f>
        <v>0</v>
      </c>
    </row>
    <row r="97" customFormat="false" ht="15" hidden="false" customHeight="false" outlineLevel="0" collapsed="false">
      <c r="A97" s="114" t="str">
        <f aca="false">المنيو!B97</f>
        <v>فطيرة سوسيس صيامي وسط</v>
      </c>
      <c r="B97" s="115" t="n">
        <f aca="false">SUMIFS(الريسبي!$C$2:$C$1800,الريسبي!$A$2:$A$1800,$A97,الريسبي!$B$2:$B$1800,B$1)</f>
        <v>0</v>
      </c>
      <c r="C97" s="115" t="n">
        <f aca="false">SUMIFS(الريسبي!$C$2:$C$1800,الريسبي!$A$2:$A$1800,$A97,الريسبي!$B$2:$B$1800,C$1)</f>
        <v>0</v>
      </c>
      <c r="D97" s="115" t="n">
        <f aca="false">SUMIFS(الريسبي!$C$2:$C$1800,الريسبي!$A$2:$A$1800,$A97,الريسبي!$B$2:$B$1800,D$1)</f>
        <v>1</v>
      </c>
      <c r="E97" s="115" t="n">
        <f aca="false">SUMIFS(الريسبي!$C$2:$C$1800,الريسبي!$A$2:$A$1800,$A97,الريسبي!$B$2:$B$1800,E$1)</f>
        <v>0</v>
      </c>
      <c r="F97" s="115" t="n">
        <f aca="false">SUMIFS(الريسبي!$C$2:$C$1800,الريسبي!$A$2:$A$1800,$A97,الريسبي!$B$2:$B$1800,F$1)</f>
        <v>0</v>
      </c>
      <c r="G97" s="115" t="n">
        <f aca="false">SUMIFS(الريسبي!$C$2:$C$1800,الريسبي!$A$2:$A$1800,$A97,الريسبي!$B$2:$B$1800,G$1)</f>
        <v>0</v>
      </c>
      <c r="H97" s="115" t="n">
        <f aca="false">SUMIFS(الريسبي!$C$2:$C$1800,الريسبي!$A$2:$A$1800,$A97,الريسبي!$B$2:$B$1800,H$1)</f>
        <v>0</v>
      </c>
      <c r="I97" s="115" t="n">
        <f aca="false">SUMIFS(الريسبي!$C$2:$C$1800,الريسبي!$A$2:$A$1800,$A97,الريسبي!$B$2:$B$1800,I$1)</f>
        <v>0</v>
      </c>
      <c r="J97" s="115" t="n">
        <f aca="false">SUMIFS(الريسبي!$C$2:$C$1800,الريسبي!$A$2:$A$1800,$A97,الريسبي!$B$2:$B$1800,J$1)</f>
        <v>0</v>
      </c>
      <c r="K97" s="115" t="n">
        <f aca="false">SUMIFS(الريسبي!$C$2:$C$1800,الريسبي!$A$2:$A$1800,$A97,الريسبي!$B$2:$B$1800,K$1)</f>
        <v>0</v>
      </c>
      <c r="L97" s="115" t="n">
        <f aca="false">SUMIFS(الريسبي!$C$2:$C$1800,الريسبي!$A$2:$A$1800,$A97,الريسبي!$B$2:$B$1800,L$1)</f>
        <v>0</v>
      </c>
      <c r="M97" s="115" t="n">
        <f aca="false">SUMIFS(الريسبي!$C$2:$C$1800,الريسبي!$A$2:$A$1800,$A97,الريسبي!$B$2:$B$1800,M$1)</f>
        <v>0</v>
      </c>
      <c r="N97" s="115" t="n">
        <f aca="false">SUMIFS(الريسبي!$C$2:$C$1800,الريسبي!$A$2:$A$1800,$A97,الريسبي!$B$2:$B$1800,N$1)</f>
        <v>0</v>
      </c>
      <c r="O97" s="115" t="n">
        <f aca="false">SUMIFS(الريسبي!$C$2:$C$1800,الريسبي!$A$2:$A$1800,$A97,الريسبي!$B$2:$B$1800,O$1)</f>
        <v>0</v>
      </c>
      <c r="P97" s="115" t="n">
        <f aca="false">SUMIFS(الريسبي!$C$2:$C$1800,الريسبي!$A$2:$A$1800,$A97,الريسبي!$B$2:$B$1800,P$1)</f>
        <v>0</v>
      </c>
      <c r="Q97" s="115" t="n">
        <f aca="false">SUMIFS(الريسبي!$C$2:$C$1800,الريسبي!$A$2:$A$1800,$A97,الريسبي!$B$2:$B$1800,Q$1)</f>
        <v>0</v>
      </c>
      <c r="R97" s="115" t="n">
        <f aca="false">SUMIFS(الريسبي!$C$2:$C$1800,الريسبي!$A$2:$A$1800,$A97,الريسبي!$B$2:$B$1800,R$1)</f>
        <v>0</v>
      </c>
      <c r="S97" s="115" t="n">
        <f aca="false">SUMIFS(الريسبي!$C$2:$C$1800,الريسبي!$A$2:$A$1800,$A97,الريسبي!$B$2:$B$1800,S$1)</f>
        <v>0</v>
      </c>
      <c r="T97" s="115" t="n">
        <f aca="false">SUMIFS(الريسبي!$C$2:$C$1800,الريسبي!$A$2:$A$1800,$A97,الريسبي!$B$2:$B$1800,T$1)</f>
        <v>0</v>
      </c>
      <c r="U97" s="115" t="n">
        <f aca="false">SUMIFS(الريسبي!$C$2:$C$1800,الريسبي!$A$2:$A$1800,$A97,الريسبي!$B$2:$B$1800,U$1)</f>
        <v>0</v>
      </c>
      <c r="V97" s="115" t="n">
        <f aca="false">SUMIFS(الريسبي!$C$2:$C$1800,الريسبي!$A$2:$A$1800,$A97,الريسبي!$B$2:$B$1800,V$1)</f>
        <v>0</v>
      </c>
      <c r="W97" s="115" t="n">
        <f aca="false">SUMIFS(الريسبي!$C$2:$C$1800,الريسبي!$A$2:$A$1800,$A97,الريسبي!$B$2:$B$1800,W$1)</f>
        <v>0</v>
      </c>
      <c r="X97" s="115" t="n">
        <f aca="false">SUMIFS(الريسبي!$C$2:$C$1800,الريسبي!$A$2:$A$1800,$A97,الريسبي!$B$2:$B$1800,X$1)</f>
        <v>1</v>
      </c>
      <c r="Y97" s="115" t="n">
        <f aca="false">SUMIFS(الريسبي!$C$2:$C$1800,الريسبي!$A$2:$A$1800,$A97,الريسبي!$B$2:$B$1800,Y$1)</f>
        <v>0</v>
      </c>
      <c r="Z97" s="115" t="n">
        <f aca="false">SUMIFS(الريسبي!$C$2:$C$1800,الريسبي!$A$2:$A$1800,$A97,الريسبي!$B$2:$B$1800,Z$1)</f>
        <v>0</v>
      </c>
      <c r="AA97" s="115" t="n">
        <f aca="false">SUMIFS(الريسبي!$C$2:$C$1800,الريسبي!$A$2:$A$1800,$A97,الريسبي!$B$2:$B$1800,AA$1)</f>
        <v>0</v>
      </c>
      <c r="AB97" s="115" t="n">
        <f aca="false">SUMIFS(الريسبي!$C$2:$C$1800,الريسبي!$A$2:$A$1800,$A97,الريسبي!$B$2:$B$1800,AB$1)</f>
        <v>0</v>
      </c>
      <c r="AC97" s="115" t="n">
        <f aca="false">SUMIFS(الريسبي!$C$2:$C$1800,الريسبي!$A$2:$A$1800,$A97,الريسبي!$B$2:$B$1800,AC$1)</f>
        <v>0</v>
      </c>
      <c r="AD97" s="115" t="n">
        <f aca="false">SUMIFS(الريسبي!$C$2:$C$1800,الريسبي!$A$2:$A$1800,$A97,الريسبي!$B$2:$B$1800,AD$1)</f>
        <v>0</v>
      </c>
      <c r="AE97" s="115" t="n">
        <f aca="false">SUMIFS(الريسبي!$C$2:$C$1800,الريسبي!$A$2:$A$1800,$A97,الريسبي!$B$2:$B$1800,AE$1)</f>
        <v>0</v>
      </c>
      <c r="AF97" s="115" t="n">
        <f aca="false">SUMIFS(الريسبي!$C$2:$C$1800,الريسبي!$A$2:$A$1800,$A97,الريسبي!$B$2:$B$1800,AF$1)</f>
        <v>0</v>
      </c>
      <c r="AG97" s="115" t="n">
        <f aca="false">SUMIFS(الريسبي!$C$2:$C$1800,الريسبي!$A$2:$A$1800,$A97,الريسبي!$B$2:$B$1800,AG$1)</f>
        <v>0</v>
      </c>
      <c r="AH97" s="115" t="n">
        <f aca="false">SUMIFS(الريسبي!$C$2:$C$1800,الريسبي!$A$2:$A$1800,$A97,الريسبي!$B$2:$B$1800,AH$1)</f>
        <v>0</v>
      </c>
      <c r="AI97" s="115" t="n">
        <f aca="false">SUMIFS(الريسبي!$C$2:$C$1800,الريسبي!$A$2:$A$1800,$A97,الريسبي!$B$2:$B$1800,AI$1)</f>
        <v>0</v>
      </c>
      <c r="AJ97" s="115" t="n">
        <f aca="false">SUMIFS(الريسبي!$C$2:$C$1800,الريسبي!$A$2:$A$1800,$A97,الريسبي!$B$2:$B$1800,AJ$1)</f>
        <v>2</v>
      </c>
      <c r="AK97" s="115" t="n">
        <f aca="false">SUMIFS(الريسبي!$C$2:$C$1800,الريسبي!$A$2:$A$1800,$A97,الريسبي!$B$2:$B$1800,AK$1)</f>
        <v>0</v>
      </c>
      <c r="AL97" s="115" t="n">
        <f aca="false">SUMIFS(الريسبي!$C$2:$C$1800,الريسبي!$A$2:$A$1800,$A97,الريسبي!$B$2:$B$1800,AL$1)</f>
        <v>0</v>
      </c>
      <c r="AM97" s="115"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15"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15" t="n">
        <f aca="false">SUMIFS(الريسبي!$C$2:$C$1800,الريسبي!$A$2:$A$1800,$A97,الريسبي!$B$2:$B$1800,AO$1)</f>
        <v>0</v>
      </c>
      <c r="AP97" s="115" t="n">
        <f aca="false">SUMIFS(الريسبي!$C$2:$C$1800,الريسبي!$A$2:$A$1800,$A97,الريسبي!$B$2:$B$1800,AP$1)</f>
        <v>0.02</v>
      </c>
      <c r="AQ97" s="115"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15" t="n">
        <f aca="false">SUMIFS(الريسبي!$C$2:$C$1800,الريسبي!$A$2:$A$1800,$A97,الريسبي!$B$2:$B$1800,AR$1)</f>
        <v>0</v>
      </c>
      <c r="AS97" s="115" t="n">
        <f aca="false">SUMIFS(الريسبي!$C$2:$C$1800,الريسبي!$A$2:$A$1800,$A97,الريسبي!$B$2:$B$1800,AS$1)</f>
        <v>0</v>
      </c>
      <c r="AT97" s="115" t="n">
        <f aca="false">SUMIFS(الريسبي!$C$2:$C$1800,الريسبي!$A$2:$A$1800,$A97,الريسبي!$B$2:$B$1800,AT$1)</f>
        <v>0</v>
      </c>
      <c r="AU97" s="115" t="n">
        <f aca="false">SUMIFS(الريسبي!$C$2:$C$1800,الريسبي!$A$2:$A$1800,$A97,الريسبي!$B$2:$B$1800,AU$1)</f>
        <v>0</v>
      </c>
      <c r="AV97" s="115" t="n">
        <f aca="false">SUMIFS(الريسبي!$C$2:$C$1800,الريسبي!$A$2:$A$1800,$A97,الريسبي!$B$2:$B$1800,AV$1)</f>
        <v>0</v>
      </c>
      <c r="AW97" s="115" t="n">
        <f aca="false">SUMIFS(الريسبي!$C$2:$C$1800,الريسبي!$A$2:$A$1800,$A97,الريسبي!$B$2:$B$1800,AW$1)</f>
        <v>0</v>
      </c>
      <c r="AX97" s="115" t="n">
        <f aca="false">SUMIFS(الريسبي!$C$2:$C$1800,الريسبي!$A$2:$A$1800,$A97,الريسبي!$B$2:$B$1800,AX$1)</f>
        <v>0</v>
      </c>
      <c r="AY97" s="115" t="n">
        <f aca="false">SUMIFS(الريسبي!$C$2:$C$1800,الريسبي!$A$2:$A$1800,$A97,الريسبي!$B$2:$B$1800,AY$1)</f>
        <v>0</v>
      </c>
      <c r="AZ97" s="115" t="n">
        <f aca="false">SUMIFS(الريسبي!$C$2:$C$1800,الريسبي!$A$2:$A$1800,$A97,الريسبي!$B$2:$B$1800,AZ$1)</f>
        <v>0</v>
      </c>
      <c r="BA97" s="115" t="n">
        <f aca="false">SUMIFS(الريسبي!$C$2:$C$1800,الريسبي!$A$2:$A$1800,$A97,الريسبي!$B$2:$B$1800,BA$1)</f>
        <v>0</v>
      </c>
      <c r="BB97" s="115" t="n">
        <f aca="false">SUMIFS(الريسبي!$C$2:$C$1800,الريسبي!$A$2:$A$1800,$A97,الريسبي!$B$2:$B$1800,BB$1)</f>
        <v>0</v>
      </c>
      <c r="BC97" s="115" t="n">
        <f aca="false">SUMIFS(الريسبي!$C$2:$C$1800,الريسبي!$A$2:$A$1800,$A97,الريسبي!$B$2:$B$1800,BC$1)</f>
        <v>0.03</v>
      </c>
      <c r="BD97" s="115" t="n">
        <f aca="false">SUMIFS(الريسبي!$C$2:$C$1800,الريسبي!$A$2:$A$1800,$A97,الريسبي!$B$2:$B$1800,BD$1)</f>
        <v>0</v>
      </c>
      <c r="BE97" s="115" t="n">
        <f aca="false">SUMIFS(الريسبي!$C$2:$C$1800,الريسبي!$A$2:$A$1800,$A97,الريسبي!$B$2:$B$1800,BE$1)</f>
        <v>1</v>
      </c>
      <c r="BF97" s="115" t="n">
        <f aca="false">SUMIFS(الريسبي!$C$2:$C$1800,الريسبي!$A$2:$A$1800,$A97,الريسبي!$B$2:$B$1800,BF$1)</f>
        <v>0</v>
      </c>
      <c r="BG97" s="115" t="n">
        <f aca="false">SUMIFS(الريسبي!$C$2:$C$1800,الريسبي!$A$2:$A$1800,$A97,الريسبي!$B$2:$B$1800,BG$1)</f>
        <v>0</v>
      </c>
      <c r="BH97" s="115" t="n">
        <f aca="false">SUMIFS(الريسبي!$C$2:$C$1800,الريسبي!$A$2:$A$1800,$A97,الريسبي!$B$2:$B$1800,BH$1)</f>
        <v>1</v>
      </c>
      <c r="BI97" s="115" t="n">
        <f aca="false">SUMIFS(الريسبي!$C$2:$C$1800,الريسبي!$A$2:$A$1800,$A97,الريسبي!$B$2:$B$1800,BI$1)</f>
        <v>0</v>
      </c>
      <c r="BJ97" s="115" t="n">
        <f aca="false">SUMIFS(الريسبي!$C$2:$C$1800,الريسبي!$A$2:$A$1800,$A97,الريسبي!$B$2:$B$1800,BJ$1)</f>
        <v>0</v>
      </c>
      <c r="BK97" s="115" t="n">
        <f aca="false">SUMIFS(الريسبي!$C$2:$C$1800,الريسبي!$A$2:$A$1800,$A97,الريسبي!$B$2:$B$1800,BK$1)</f>
        <v>0</v>
      </c>
      <c r="BL97" s="115" t="n">
        <f aca="false">SUMIFS(الريسبي!$C$2:$C$1800,الريسبي!$A$2:$A$1800,$A97,الريسبي!$B$2:$B$1800,BL$1)</f>
        <v>0</v>
      </c>
      <c r="BM97" s="115" t="n">
        <f aca="false">SUMIFS(الريسبي!$C$2:$C$1800,الريسبي!$A$2:$A$1800,$A97,الريسبي!$B$2:$B$1800,BM$1)</f>
        <v>0</v>
      </c>
      <c r="BN97" s="115" t="n">
        <f aca="false">SUMIFS(الريسبي!$C$2:$C$1800,الريسبي!$A$2:$A$1800,$A97,الريسبي!$B$2:$B$1800,BN$1)</f>
        <v>0.02</v>
      </c>
      <c r="BO97" s="115" t="n">
        <f aca="false">SUMIFS(الريسبي!$C$2:$C$1800,الريسبي!$A$2:$A$1800,$A97,الريسبي!$B$2:$B$1800,BO$1)</f>
        <v>0</v>
      </c>
      <c r="BP97" s="115" t="n">
        <f aca="false">SUMIFS(الريسبي!$C$2:$C$1800,الريسبي!$A$2:$A$1800,$A97,الريسبي!$B$2:$B$1800,BP$1)</f>
        <v>2</v>
      </c>
      <c r="BQ97" s="115"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15" t="n">
        <f aca="false">SUMIFS(الريسبي!$C$2:$C$1800,الريسبي!$A$2:$A$1800,$A97,الريسبي!$B$2:$B$1800,BR$1)</f>
        <v>1</v>
      </c>
      <c r="BS97" s="115" t="n">
        <f aca="false">SUMIFS(الريسبي!$C$2:$C$1800,الريسبي!$A$2:$A$1800,$A97,الريسبي!$B$2:$B$1800,BS$1)</f>
        <v>0</v>
      </c>
      <c r="BT97" s="115" t="n">
        <f aca="false">SUMIFS(الريسبي!$C$2:$C$1800,الريسبي!$A$2:$A$1800,$A97,الريسبي!$B$2:$B$1800,BT$1)</f>
        <v>0</v>
      </c>
      <c r="BU97" s="115"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15" t="n">
        <f aca="false">SUMIFS(الريسبي!$C$2:$C$1800,الريسبي!$A$2:$A$1800,$A97,الريسبي!$B$2:$B$1800,BV$1)</f>
        <v>0</v>
      </c>
      <c r="BW97" s="115" t="n">
        <f aca="false">SUMIFS(الريسبي!$C$2:$C$1800,الريسبي!$A$2:$A$1800,$A97,الريسبي!$B$2:$B$1800,BW$1)</f>
        <v>0</v>
      </c>
      <c r="BX97" s="115" t="n">
        <f aca="false">SUMIFS(الريسبي!$C$2:$C$1800,الريسبي!$A$2:$A$1800,$A97,الريسبي!$B$2:$B$1800,BX$1)</f>
        <v>0</v>
      </c>
      <c r="BY97" s="115" t="n">
        <f aca="false">SUMIFS(الريسبي!$C$2:$C$1800,الريسبي!$A$2:$A$1800,$A97,الريسبي!$B$2:$B$1800,BY$1)</f>
        <v>0</v>
      </c>
      <c r="BZ97" s="115" t="n">
        <f aca="false">SUMIFS(الريسبي!$C$2:$C$1800,الريسبي!$A$2:$A$1800,$A97,الريسبي!$B$2:$B$1800,BZ$1)</f>
        <v>1</v>
      </c>
      <c r="CA97" s="115" t="n">
        <f aca="false">SUMIFS(الريسبي!$C$2:$C$1800,الريسبي!$A$2:$A$1800,$A97,الريسبي!$B$2:$B$1800,CA$1)</f>
        <v>1</v>
      </c>
      <c r="CB97" s="115" t="n">
        <f aca="false">SUMIFS(الريسبي!$C$2:$C$1800,الريسبي!$A$2:$A$1800,$A97,الريسبي!$B$2:$B$1800,CB$1)</f>
        <v>0</v>
      </c>
      <c r="CC97" s="115" t="n">
        <f aca="false">SUMIFS(الريسبي!$C$2:$C$1800,الريسبي!$A$2:$A$1800,$A97,الريسبي!$B$2:$B$1800,CC$1)</f>
        <v>0.12</v>
      </c>
      <c r="CD97" s="115" t="n">
        <f aca="false">SUMIFS(الريسبي!$C$2:$C$1800,الريسبي!$A$2:$A$1800,$A97,الريسبي!$B$2:$B$1800,CD$1)</f>
        <v>0</v>
      </c>
      <c r="CE97" s="115" t="n">
        <f aca="false">SUMIFS(الريسبي!$C$2:$C$1800,الريسبي!$A$2:$A$1800,$A97,الريسبي!$B$2:$B$1800,CE$1)</f>
        <v>0</v>
      </c>
      <c r="CF97" s="115" t="n">
        <f aca="false">SUMIFS(الريسبي!$C$2:$C$1800,الريسبي!$A$2:$A$1800,$A97,الريسبي!$B$2:$B$1800,CF$1)</f>
        <v>0</v>
      </c>
      <c r="CG97" s="115" t="n">
        <f aca="false">SUMIFS(الريسبي!$C$2:$C$1800,الريسبي!$A$2:$A$1800,$A97,الريسبي!$B$2:$B$1800,CG$1)</f>
        <v>0</v>
      </c>
      <c r="CH97" s="115" t="n">
        <f aca="false">SUMIFS(الريسبي!$C$2:$C$1800,الريسبي!$A$2:$A$1800,$A97,الريسبي!$B$2:$B$1800,CH$1)</f>
        <v>0</v>
      </c>
    </row>
    <row r="98" customFormat="false" ht="15" hidden="false" customHeight="false" outlineLevel="0" collapsed="false">
      <c r="A98" s="114" t="str">
        <f aca="false">المنيو!B98</f>
        <v>فطيرة سوسيس صيامي مخصوص</v>
      </c>
      <c r="B98" s="115" t="n">
        <f aca="false">SUMIFS(الريسبي!$C$2:$C$1800,الريسبي!$A$2:$A$1800,$A98,الريسبي!$B$2:$B$1800,B$1)</f>
        <v>0</v>
      </c>
      <c r="C98" s="115" t="n">
        <f aca="false">SUMIFS(الريسبي!$C$2:$C$1800,الريسبي!$A$2:$A$1800,$A98,الريسبي!$B$2:$B$1800,C$1)</f>
        <v>0</v>
      </c>
      <c r="D98" s="115" t="n">
        <f aca="false">SUMIFS(الريسبي!$C$2:$C$1800,الريسبي!$A$2:$A$1800,$A98,الريسبي!$B$2:$B$1800,D$1)</f>
        <v>1</v>
      </c>
      <c r="E98" s="115" t="n">
        <f aca="false">SUMIFS(الريسبي!$C$2:$C$1800,الريسبي!$A$2:$A$1800,$A98,الريسبي!$B$2:$B$1800,E$1)</f>
        <v>0</v>
      </c>
      <c r="F98" s="115" t="n">
        <f aca="false">SUMIFS(الريسبي!$C$2:$C$1800,الريسبي!$A$2:$A$1800,$A98,الريسبي!$B$2:$B$1800,F$1)</f>
        <v>0</v>
      </c>
      <c r="G98" s="115" t="n">
        <f aca="false">SUMIFS(الريسبي!$C$2:$C$1800,الريسبي!$A$2:$A$1800,$A98,الريسبي!$B$2:$B$1800,G$1)</f>
        <v>0</v>
      </c>
      <c r="H98" s="115" t="n">
        <f aca="false">SUMIFS(الريسبي!$C$2:$C$1800,الريسبي!$A$2:$A$1800,$A98,الريسبي!$B$2:$B$1800,H$1)</f>
        <v>0</v>
      </c>
      <c r="I98" s="115" t="n">
        <f aca="false">SUMIFS(الريسبي!$C$2:$C$1800,الريسبي!$A$2:$A$1800,$A98,الريسبي!$B$2:$B$1800,I$1)</f>
        <v>0</v>
      </c>
      <c r="J98" s="115" t="n">
        <f aca="false">SUMIFS(الريسبي!$C$2:$C$1800,الريسبي!$A$2:$A$1800,$A98,الريسبي!$B$2:$B$1800,J$1)</f>
        <v>0</v>
      </c>
      <c r="K98" s="115" t="n">
        <f aca="false">SUMIFS(الريسبي!$C$2:$C$1800,الريسبي!$A$2:$A$1800,$A98,الريسبي!$B$2:$B$1800,K$1)</f>
        <v>0</v>
      </c>
      <c r="L98" s="115" t="n">
        <f aca="false">SUMIFS(الريسبي!$C$2:$C$1800,الريسبي!$A$2:$A$1800,$A98,الريسبي!$B$2:$B$1800,L$1)</f>
        <v>0</v>
      </c>
      <c r="M98" s="115" t="n">
        <f aca="false">SUMIFS(الريسبي!$C$2:$C$1800,الريسبي!$A$2:$A$1800,$A98,الريسبي!$B$2:$B$1800,M$1)</f>
        <v>0</v>
      </c>
      <c r="N98" s="115" t="n">
        <f aca="false">SUMIFS(الريسبي!$C$2:$C$1800,الريسبي!$A$2:$A$1800,$A98,الريسبي!$B$2:$B$1800,N$1)</f>
        <v>0</v>
      </c>
      <c r="O98" s="115" t="n">
        <f aca="false">SUMIFS(الريسبي!$C$2:$C$1800,الريسبي!$A$2:$A$1800,$A98,الريسبي!$B$2:$B$1800,O$1)</f>
        <v>0</v>
      </c>
      <c r="P98" s="115" t="n">
        <f aca="false">SUMIFS(الريسبي!$C$2:$C$1800,الريسبي!$A$2:$A$1800,$A98,الريسبي!$B$2:$B$1800,P$1)</f>
        <v>0</v>
      </c>
      <c r="Q98" s="115" t="n">
        <f aca="false">SUMIFS(الريسبي!$C$2:$C$1800,الريسبي!$A$2:$A$1800,$A98,الريسبي!$B$2:$B$1800,Q$1)</f>
        <v>0</v>
      </c>
      <c r="R98" s="115" t="n">
        <f aca="false">SUMIFS(الريسبي!$C$2:$C$1800,الريسبي!$A$2:$A$1800,$A98,الريسبي!$B$2:$B$1800,R$1)</f>
        <v>0</v>
      </c>
      <c r="S98" s="115" t="n">
        <f aca="false">SUMIFS(الريسبي!$C$2:$C$1800,الريسبي!$A$2:$A$1800,$A98,الريسبي!$B$2:$B$1800,S$1)</f>
        <v>0</v>
      </c>
      <c r="T98" s="115" t="n">
        <f aca="false">SUMIFS(الريسبي!$C$2:$C$1800,الريسبي!$A$2:$A$1800,$A98,الريسبي!$B$2:$B$1800,T$1)</f>
        <v>0</v>
      </c>
      <c r="U98" s="115" t="n">
        <f aca="false">SUMIFS(الريسبي!$C$2:$C$1800,الريسبي!$A$2:$A$1800,$A98,الريسبي!$B$2:$B$1800,U$1)</f>
        <v>0</v>
      </c>
      <c r="V98" s="115" t="n">
        <f aca="false">SUMIFS(الريسبي!$C$2:$C$1800,الريسبي!$A$2:$A$1800,$A98,الريسبي!$B$2:$B$1800,V$1)</f>
        <v>0</v>
      </c>
      <c r="W98" s="115" t="n">
        <f aca="false">SUMIFS(الريسبي!$C$2:$C$1800,الريسبي!$A$2:$A$1800,$A98,الريسبي!$B$2:$B$1800,W$1)</f>
        <v>0</v>
      </c>
      <c r="X98" s="115" t="n">
        <f aca="false">SUMIFS(الريسبي!$C$2:$C$1800,الريسبي!$A$2:$A$1800,$A98,الريسبي!$B$2:$B$1800,X$1)</f>
        <v>0</v>
      </c>
      <c r="Y98" s="115" t="n">
        <f aca="false">SUMIFS(الريسبي!$C$2:$C$1800,الريسبي!$A$2:$A$1800,$A98,الريسبي!$B$2:$B$1800,Y$1)</f>
        <v>1</v>
      </c>
      <c r="Z98" s="115" t="n">
        <f aca="false">SUMIFS(الريسبي!$C$2:$C$1800,الريسبي!$A$2:$A$1800,$A98,الريسبي!$B$2:$B$1800,Z$1)</f>
        <v>0</v>
      </c>
      <c r="AA98" s="115" t="n">
        <f aca="false">SUMIFS(الريسبي!$C$2:$C$1800,الريسبي!$A$2:$A$1800,$A98,الريسبي!$B$2:$B$1800,AA$1)</f>
        <v>0</v>
      </c>
      <c r="AB98" s="115" t="n">
        <f aca="false">SUMIFS(الريسبي!$C$2:$C$1800,الريسبي!$A$2:$A$1800,$A98,الريسبي!$B$2:$B$1800,AB$1)</f>
        <v>0</v>
      </c>
      <c r="AC98" s="115" t="n">
        <f aca="false">SUMIFS(الريسبي!$C$2:$C$1800,الريسبي!$A$2:$A$1800,$A98,الريسبي!$B$2:$B$1800,AC$1)</f>
        <v>0</v>
      </c>
      <c r="AD98" s="115" t="n">
        <f aca="false">SUMIFS(الريسبي!$C$2:$C$1800,الريسبي!$A$2:$A$1800,$A98,الريسبي!$B$2:$B$1800,AD$1)</f>
        <v>0</v>
      </c>
      <c r="AE98" s="115" t="n">
        <f aca="false">SUMIFS(الريسبي!$C$2:$C$1800,الريسبي!$A$2:$A$1800,$A98,الريسبي!$B$2:$B$1800,AE$1)</f>
        <v>0</v>
      </c>
      <c r="AF98" s="115" t="n">
        <f aca="false">SUMIFS(الريسبي!$C$2:$C$1800,الريسبي!$A$2:$A$1800,$A98,الريسبي!$B$2:$B$1800,AF$1)</f>
        <v>0</v>
      </c>
      <c r="AG98" s="115" t="n">
        <f aca="false">SUMIFS(الريسبي!$C$2:$C$1800,الريسبي!$A$2:$A$1800,$A98,الريسبي!$B$2:$B$1800,AG$1)</f>
        <v>0</v>
      </c>
      <c r="AH98" s="115" t="n">
        <f aca="false">SUMIFS(الريسبي!$C$2:$C$1800,الريسبي!$A$2:$A$1800,$A98,الريسبي!$B$2:$B$1800,AH$1)</f>
        <v>0</v>
      </c>
      <c r="AI98" s="115" t="n">
        <f aca="false">SUMIFS(الريسبي!$C$2:$C$1800,الريسبي!$A$2:$A$1800,$A98,الريسبي!$B$2:$B$1800,AI$1)</f>
        <v>0</v>
      </c>
      <c r="AJ98" s="115" t="n">
        <f aca="false">SUMIFS(الريسبي!$C$2:$C$1800,الريسبي!$A$2:$A$1800,$A98,الريسبي!$B$2:$B$1800,AJ$1)</f>
        <v>2</v>
      </c>
      <c r="AK98" s="115" t="n">
        <f aca="false">SUMIFS(الريسبي!$C$2:$C$1800,الريسبي!$A$2:$A$1800,$A98,الريسبي!$B$2:$B$1800,AK$1)</f>
        <v>0</v>
      </c>
      <c r="AL98" s="115" t="n">
        <f aca="false">SUMIFS(الريسبي!$C$2:$C$1800,الريسبي!$A$2:$A$1800,$A98,الريسبي!$B$2:$B$1800,AL$1)</f>
        <v>0</v>
      </c>
      <c r="AM98" s="115"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15"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15" t="n">
        <f aca="false">SUMIFS(الريسبي!$C$2:$C$1800,الريسبي!$A$2:$A$1800,$A98,الريسبي!$B$2:$B$1800,AO$1)</f>
        <v>0</v>
      </c>
      <c r="AP98" s="115" t="n">
        <f aca="false">SUMIFS(الريسبي!$C$2:$C$1800,الريسبي!$A$2:$A$1800,$A98,الريسبي!$B$2:$B$1800,AP$1)</f>
        <v>0.03</v>
      </c>
      <c r="AQ98" s="115"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15" t="n">
        <f aca="false">SUMIFS(الريسبي!$C$2:$C$1800,الريسبي!$A$2:$A$1800,$A98,الريسبي!$B$2:$B$1800,AR$1)</f>
        <v>0</v>
      </c>
      <c r="AS98" s="115" t="n">
        <f aca="false">SUMIFS(الريسبي!$C$2:$C$1800,الريسبي!$A$2:$A$1800,$A98,الريسبي!$B$2:$B$1800,AS$1)</f>
        <v>0</v>
      </c>
      <c r="AT98" s="115" t="n">
        <f aca="false">SUMIFS(الريسبي!$C$2:$C$1800,الريسبي!$A$2:$A$1800,$A98,الريسبي!$B$2:$B$1800,AT$1)</f>
        <v>0</v>
      </c>
      <c r="AU98" s="115" t="n">
        <f aca="false">SUMIFS(الريسبي!$C$2:$C$1800,الريسبي!$A$2:$A$1800,$A98,الريسبي!$B$2:$B$1800,AU$1)</f>
        <v>0</v>
      </c>
      <c r="AV98" s="115" t="n">
        <f aca="false">SUMIFS(الريسبي!$C$2:$C$1800,الريسبي!$A$2:$A$1800,$A98,الريسبي!$B$2:$B$1800,AV$1)</f>
        <v>0</v>
      </c>
      <c r="AW98" s="115" t="n">
        <f aca="false">SUMIFS(الريسبي!$C$2:$C$1800,الريسبي!$A$2:$A$1800,$A98,الريسبي!$B$2:$B$1800,AW$1)</f>
        <v>0</v>
      </c>
      <c r="AX98" s="115" t="n">
        <f aca="false">SUMIFS(الريسبي!$C$2:$C$1800,الريسبي!$A$2:$A$1800,$A98,الريسبي!$B$2:$B$1800,AX$1)</f>
        <v>0</v>
      </c>
      <c r="AY98" s="115" t="n">
        <f aca="false">SUMIFS(الريسبي!$C$2:$C$1800,الريسبي!$A$2:$A$1800,$A98,الريسبي!$B$2:$B$1800,AY$1)</f>
        <v>0</v>
      </c>
      <c r="AZ98" s="115" t="n">
        <f aca="false">SUMIFS(الريسبي!$C$2:$C$1800,الريسبي!$A$2:$A$1800,$A98,الريسبي!$B$2:$B$1800,AZ$1)</f>
        <v>0</v>
      </c>
      <c r="BA98" s="115" t="n">
        <f aca="false">SUMIFS(الريسبي!$C$2:$C$1800,الريسبي!$A$2:$A$1800,$A98,الريسبي!$B$2:$B$1800,BA$1)</f>
        <v>0</v>
      </c>
      <c r="BB98" s="115" t="n">
        <f aca="false">SUMIFS(الريسبي!$C$2:$C$1800,الريسبي!$A$2:$A$1800,$A98,الريسبي!$B$2:$B$1800,BB$1)</f>
        <v>0</v>
      </c>
      <c r="BC98" s="115" t="n">
        <f aca="false">SUMIFS(الريسبي!$C$2:$C$1800,الريسبي!$A$2:$A$1800,$A98,الريسبي!$B$2:$B$1800,BC$1)</f>
        <v>0.045</v>
      </c>
      <c r="BD98" s="115" t="n">
        <f aca="false">SUMIFS(الريسبي!$C$2:$C$1800,الريسبي!$A$2:$A$1800,$A98,الريسبي!$B$2:$B$1800,BD$1)</f>
        <v>0</v>
      </c>
      <c r="BE98" s="115" t="n">
        <f aca="false">SUMIFS(الريسبي!$C$2:$C$1800,الريسبي!$A$2:$A$1800,$A98,الريسبي!$B$2:$B$1800,BE$1)</f>
        <v>1.5</v>
      </c>
      <c r="BF98" s="115" t="n">
        <f aca="false">SUMIFS(الريسبي!$C$2:$C$1800,الريسبي!$A$2:$A$1800,$A98,الريسبي!$B$2:$B$1800,BF$1)</f>
        <v>0</v>
      </c>
      <c r="BG98" s="115" t="n">
        <f aca="false">SUMIFS(الريسبي!$C$2:$C$1800,الريسبي!$A$2:$A$1800,$A98,الريسبي!$B$2:$B$1800,BG$1)</f>
        <v>1</v>
      </c>
      <c r="BH98" s="115" t="n">
        <f aca="false">SUMIFS(الريسبي!$C$2:$C$1800,الريسبي!$A$2:$A$1800,$A98,الريسبي!$B$2:$B$1800,BH$1)</f>
        <v>0</v>
      </c>
      <c r="BI98" s="115" t="n">
        <f aca="false">SUMIFS(الريسبي!$C$2:$C$1800,الريسبي!$A$2:$A$1800,$A98,الريسبي!$B$2:$B$1800,BI$1)</f>
        <v>0</v>
      </c>
      <c r="BJ98" s="115" t="n">
        <f aca="false">SUMIFS(الريسبي!$C$2:$C$1800,الريسبي!$A$2:$A$1800,$A98,الريسبي!$B$2:$B$1800,BJ$1)</f>
        <v>0</v>
      </c>
      <c r="BK98" s="115" t="n">
        <f aca="false">SUMIFS(الريسبي!$C$2:$C$1800,الريسبي!$A$2:$A$1800,$A98,الريسبي!$B$2:$B$1800,BK$1)</f>
        <v>0</v>
      </c>
      <c r="BL98" s="115" t="n">
        <f aca="false">SUMIFS(الريسبي!$C$2:$C$1800,الريسبي!$A$2:$A$1800,$A98,الريسبي!$B$2:$B$1800,BL$1)</f>
        <v>0</v>
      </c>
      <c r="BM98" s="115" t="n">
        <f aca="false">SUMIFS(الريسبي!$C$2:$C$1800,الريسبي!$A$2:$A$1800,$A98,الريسبي!$B$2:$B$1800,BM$1)</f>
        <v>0</v>
      </c>
      <c r="BN98" s="115" t="n">
        <f aca="false">SUMIFS(الريسبي!$C$2:$C$1800,الريسبي!$A$2:$A$1800,$A98,الريسبي!$B$2:$B$1800,BN$1)</f>
        <v>0.03</v>
      </c>
      <c r="BO98" s="115" t="n">
        <f aca="false">SUMIFS(الريسبي!$C$2:$C$1800,الريسبي!$A$2:$A$1800,$A98,الريسبي!$B$2:$B$1800,BO$1)</f>
        <v>0</v>
      </c>
      <c r="BP98" s="115" t="n">
        <f aca="false">SUMIFS(الريسبي!$C$2:$C$1800,الريسبي!$A$2:$A$1800,$A98,الريسبي!$B$2:$B$1800,BP$1)</f>
        <v>3</v>
      </c>
      <c r="BQ98" s="115"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15" t="n">
        <f aca="false">SUMIFS(الريسبي!$C$2:$C$1800,الريسبي!$A$2:$A$1800,$A98,الريسبي!$B$2:$B$1800,BR$1)</f>
        <v>1</v>
      </c>
      <c r="BS98" s="115" t="n">
        <f aca="false">SUMIFS(الريسبي!$C$2:$C$1800,الريسبي!$A$2:$A$1800,$A98,الريسبي!$B$2:$B$1800,BS$1)</f>
        <v>0</v>
      </c>
      <c r="BT98" s="115" t="n">
        <f aca="false">SUMIFS(الريسبي!$C$2:$C$1800,الريسبي!$A$2:$A$1800,$A98,الريسبي!$B$2:$B$1800,BT$1)</f>
        <v>0</v>
      </c>
      <c r="BU98" s="115"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15" t="n">
        <f aca="false">SUMIFS(الريسبي!$C$2:$C$1800,الريسبي!$A$2:$A$1800,$A98,الريسبي!$B$2:$B$1800,BV$1)</f>
        <v>0</v>
      </c>
      <c r="BW98" s="115" t="n">
        <f aca="false">SUMIFS(الريسبي!$C$2:$C$1800,الريسبي!$A$2:$A$1800,$A98,الريسبي!$B$2:$B$1800,BW$1)</f>
        <v>0</v>
      </c>
      <c r="BX98" s="115" t="n">
        <f aca="false">SUMIFS(الريسبي!$C$2:$C$1800,الريسبي!$A$2:$A$1800,$A98,الريسبي!$B$2:$B$1800,BX$1)</f>
        <v>0</v>
      </c>
      <c r="BY98" s="115" t="n">
        <f aca="false">SUMIFS(الريسبي!$C$2:$C$1800,الريسبي!$A$2:$A$1800,$A98,الريسبي!$B$2:$B$1800,BY$1)</f>
        <v>0</v>
      </c>
      <c r="BZ98" s="115" t="n">
        <f aca="false">SUMIFS(الريسبي!$C$2:$C$1800,الريسبي!$A$2:$A$1800,$A98,الريسبي!$B$2:$B$1800,BZ$1)</f>
        <v>1</v>
      </c>
      <c r="CA98" s="115" t="n">
        <f aca="false">SUMIFS(الريسبي!$C$2:$C$1800,الريسبي!$A$2:$A$1800,$A98,الريسبي!$B$2:$B$1800,CA$1)</f>
        <v>1</v>
      </c>
      <c r="CB98" s="115" t="n">
        <f aca="false">SUMIFS(الريسبي!$C$2:$C$1800,الريسبي!$A$2:$A$1800,$A98,الريسبي!$B$2:$B$1800,CB$1)</f>
        <v>0</v>
      </c>
      <c r="CC98" s="115" t="n">
        <f aca="false">SUMIFS(الريسبي!$C$2:$C$1800,الريسبي!$A$2:$A$1800,$A98,الريسبي!$B$2:$B$1800,CC$1)</f>
        <v>0.18</v>
      </c>
      <c r="CD98" s="115" t="n">
        <f aca="false">SUMIFS(الريسبي!$C$2:$C$1800,الريسبي!$A$2:$A$1800,$A98,الريسبي!$B$2:$B$1800,CD$1)</f>
        <v>0</v>
      </c>
      <c r="CE98" s="115" t="n">
        <f aca="false">SUMIFS(الريسبي!$C$2:$C$1800,الريسبي!$A$2:$A$1800,$A98,الريسبي!$B$2:$B$1800,CE$1)</f>
        <v>0</v>
      </c>
      <c r="CF98" s="115" t="n">
        <f aca="false">SUMIFS(الريسبي!$C$2:$C$1800,الريسبي!$A$2:$A$1800,$A98,الريسبي!$B$2:$B$1800,CF$1)</f>
        <v>0</v>
      </c>
      <c r="CG98" s="115" t="n">
        <f aca="false">SUMIFS(الريسبي!$C$2:$C$1800,الريسبي!$A$2:$A$1800,$A98,الريسبي!$B$2:$B$1800,CG$1)</f>
        <v>0</v>
      </c>
      <c r="CH98" s="115" t="n">
        <f aca="false">SUMIFS(الريسبي!$C$2:$C$1800,الريسبي!$A$2:$A$1800,$A98,الريسبي!$B$2:$B$1800,CH$1)</f>
        <v>0</v>
      </c>
    </row>
    <row r="99" customFormat="false" ht="15" hidden="false" customHeight="false" outlineLevel="0" collapsed="false">
      <c r="A99" s="114" t="str">
        <f aca="false">المنيو!B99</f>
        <v>فطيرة شاورما لحم / فراخ صيامي وسط</v>
      </c>
      <c r="B99" s="115" t="n">
        <f aca="false">SUMIFS(الريسبي!$C$2:$C$1800,الريسبي!$A$2:$A$1800,$A99,الريسبي!$B$2:$B$1800,B$1)</f>
        <v>0</v>
      </c>
      <c r="C99" s="115" t="n">
        <f aca="false">SUMIFS(الريسبي!$C$2:$C$1800,الريسبي!$A$2:$A$1800,$A99,الريسبي!$B$2:$B$1800,C$1)</f>
        <v>0</v>
      </c>
      <c r="D99" s="115" t="n">
        <f aca="false">SUMIFS(الريسبي!$C$2:$C$1800,الريسبي!$A$2:$A$1800,$A99,الريسبي!$B$2:$B$1800,D$1)</f>
        <v>1</v>
      </c>
      <c r="E99" s="115" t="n">
        <f aca="false">SUMIFS(الريسبي!$C$2:$C$1800,الريسبي!$A$2:$A$1800,$A99,الريسبي!$B$2:$B$1800,E$1)</f>
        <v>0</v>
      </c>
      <c r="F99" s="115" t="n">
        <f aca="false">SUMIFS(الريسبي!$C$2:$C$1800,الريسبي!$A$2:$A$1800,$A99,الريسبي!$B$2:$B$1800,F$1)</f>
        <v>0</v>
      </c>
      <c r="G99" s="115" t="n">
        <f aca="false">SUMIFS(الريسبي!$C$2:$C$1800,الريسبي!$A$2:$A$1800,$A99,الريسبي!$B$2:$B$1800,G$1)</f>
        <v>0</v>
      </c>
      <c r="H99" s="115" t="n">
        <f aca="false">SUMIFS(الريسبي!$C$2:$C$1800,الريسبي!$A$2:$A$1800,$A99,الريسبي!$B$2:$B$1800,H$1)</f>
        <v>0</v>
      </c>
      <c r="I99" s="115" t="n">
        <f aca="false">SUMIFS(الريسبي!$C$2:$C$1800,الريسبي!$A$2:$A$1800,$A99,الريسبي!$B$2:$B$1800,I$1)</f>
        <v>0</v>
      </c>
      <c r="J99" s="115" t="n">
        <f aca="false">SUMIFS(الريسبي!$C$2:$C$1800,الريسبي!$A$2:$A$1800,$A99,الريسبي!$B$2:$B$1800,J$1)</f>
        <v>0</v>
      </c>
      <c r="K99" s="115" t="n">
        <f aca="false">SUMIFS(الريسبي!$C$2:$C$1800,الريسبي!$A$2:$A$1800,$A99,الريسبي!$B$2:$B$1800,K$1)</f>
        <v>0</v>
      </c>
      <c r="L99" s="115" t="n">
        <f aca="false">SUMIFS(الريسبي!$C$2:$C$1800,الريسبي!$A$2:$A$1800,$A99,الريسبي!$B$2:$B$1800,L$1)</f>
        <v>0</v>
      </c>
      <c r="M99" s="115" t="n">
        <f aca="false">SUMIFS(الريسبي!$C$2:$C$1800,الريسبي!$A$2:$A$1800,$A99,الريسبي!$B$2:$B$1800,M$1)</f>
        <v>0</v>
      </c>
      <c r="N99" s="115" t="n">
        <f aca="false">SUMIFS(الريسبي!$C$2:$C$1800,الريسبي!$A$2:$A$1800,$A99,الريسبي!$B$2:$B$1800,N$1)</f>
        <v>0</v>
      </c>
      <c r="O99" s="115" t="n">
        <f aca="false">SUMIFS(الريسبي!$C$2:$C$1800,الريسبي!$A$2:$A$1800,$A99,الريسبي!$B$2:$B$1800,O$1)</f>
        <v>0</v>
      </c>
      <c r="P99" s="115" t="n">
        <f aca="false">SUMIFS(الريسبي!$C$2:$C$1800,الريسبي!$A$2:$A$1800,$A99,الريسبي!$B$2:$B$1800,P$1)</f>
        <v>0</v>
      </c>
      <c r="Q99" s="115" t="n">
        <f aca="false">SUMIFS(الريسبي!$C$2:$C$1800,الريسبي!$A$2:$A$1800,$A99,الريسبي!$B$2:$B$1800,Q$1)</f>
        <v>0</v>
      </c>
      <c r="R99" s="115" t="n">
        <f aca="false">SUMIFS(الريسبي!$C$2:$C$1800,الريسبي!$A$2:$A$1800,$A99,الريسبي!$B$2:$B$1800,R$1)</f>
        <v>0</v>
      </c>
      <c r="S99" s="115" t="n">
        <f aca="false">SUMIFS(الريسبي!$C$2:$C$1800,الريسبي!$A$2:$A$1800,$A99,الريسبي!$B$2:$B$1800,S$1)</f>
        <v>0</v>
      </c>
      <c r="T99" s="115" t="n">
        <f aca="false">SUMIFS(الريسبي!$C$2:$C$1800,الريسبي!$A$2:$A$1800,$A99,الريسبي!$B$2:$B$1800,T$1)</f>
        <v>0</v>
      </c>
      <c r="U99" s="115" t="n">
        <f aca="false">SUMIFS(الريسبي!$C$2:$C$1800,الريسبي!$A$2:$A$1800,$A99,الريسبي!$B$2:$B$1800,U$1)</f>
        <v>0</v>
      </c>
      <c r="V99" s="115" t="n">
        <f aca="false">SUMIFS(الريسبي!$C$2:$C$1800,الريسبي!$A$2:$A$1800,$A99,الريسبي!$B$2:$B$1800,V$1)</f>
        <v>0</v>
      </c>
      <c r="W99" s="115" t="n">
        <f aca="false">SUMIFS(الريسبي!$C$2:$C$1800,الريسبي!$A$2:$A$1800,$A99,الريسبي!$B$2:$B$1800,W$1)</f>
        <v>0</v>
      </c>
      <c r="X99" s="115" t="n">
        <f aca="false">SUMIFS(الريسبي!$C$2:$C$1800,الريسبي!$A$2:$A$1800,$A99,الريسبي!$B$2:$B$1800,X$1)</f>
        <v>1</v>
      </c>
      <c r="Y99" s="115" t="n">
        <f aca="false">SUMIFS(الريسبي!$C$2:$C$1800,الريسبي!$A$2:$A$1800,$A99,الريسبي!$B$2:$B$1800,Y$1)</f>
        <v>0</v>
      </c>
      <c r="Z99" s="115" t="n">
        <f aca="false">SUMIFS(الريسبي!$C$2:$C$1800,الريسبي!$A$2:$A$1800,$A99,الريسبي!$B$2:$B$1800,Z$1)</f>
        <v>0</v>
      </c>
      <c r="AA99" s="115" t="n">
        <f aca="false">SUMIFS(الريسبي!$C$2:$C$1800,الريسبي!$A$2:$A$1800,$A99,الريسبي!$B$2:$B$1800,AA$1)</f>
        <v>0</v>
      </c>
      <c r="AB99" s="115" t="n">
        <f aca="false">SUMIFS(الريسبي!$C$2:$C$1800,الريسبي!$A$2:$A$1800,$A99,الريسبي!$B$2:$B$1800,AB$1)</f>
        <v>0</v>
      </c>
      <c r="AC99" s="115" t="n">
        <f aca="false">SUMIFS(الريسبي!$C$2:$C$1800,الريسبي!$A$2:$A$1800,$A99,الريسبي!$B$2:$B$1800,AC$1)</f>
        <v>0</v>
      </c>
      <c r="AD99" s="115" t="n">
        <f aca="false">SUMIFS(الريسبي!$C$2:$C$1800,الريسبي!$A$2:$A$1800,$A99,الريسبي!$B$2:$B$1800,AD$1)</f>
        <v>0</v>
      </c>
      <c r="AE99" s="115" t="n">
        <f aca="false">SUMIFS(الريسبي!$C$2:$C$1800,الريسبي!$A$2:$A$1800,$A99,الريسبي!$B$2:$B$1800,AE$1)</f>
        <v>0</v>
      </c>
      <c r="AF99" s="115" t="n">
        <f aca="false">SUMIFS(الريسبي!$C$2:$C$1800,الريسبي!$A$2:$A$1800,$A99,الريسبي!$B$2:$B$1800,AF$1)</f>
        <v>0</v>
      </c>
      <c r="AG99" s="115" t="n">
        <f aca="false">SUMIFS(الريسبي!$C$2:$C$1800,الريسبي!$A$2:$A$1800,$A99,الريسبي!$B$2:$B$1800,AG$1)</f>
        <v>0</v>
      </c>
      <c r="AH99" s="115" t="n">
        <f aca="false">SUMIFS(الريسبي!$C$2:$C$1800,الريسبي!$A$2:$A$1800,$A99,الريسبي!$B$2:$B$1800,AH$1)</f>
        <v>0</v>
      </c>
      <c r="AI99" s="115" t="n">
        <f aca="false">SUMIFS(الريسبي!$C$2:$C$1800,الريسبي!$A$2:$A$1800,$A99,الريسبي!$B$2:$B$1800,AI$1)</f>
        <v>0</v>
      </c>
      <c r="AJ99" s="115" t="n">
        <f aca="false">SUMIFS(الريسبي!$C$2:$C$1800,الريسبي!$A$2:$A$1800,$A99,الريسبي!$B$2:$B$1800,AJ$1)</f>
        <v>2</v>
      </c>
      <c r="AK99" s="115" t="n">
        <f aca="false">SUMIFS(الريسبي!$C$2:$C$1800,الريسبي!$A$2:$A$1800,$A99,الريسبي!$B$2:$B$1800,AK$1)</f>
        <v>0</v>
      </c>
      <c r="AL99" s="115" t="n">
        <f aca="false">SUMIFS(الريسبي!$C$2:$C$1800,الريسبي!$A$2:$A$1800,$A99,الريسبي!$B$2:$B$1800,AL$1)</f>
        <v>0</v>
      </c>
      <c r="AM99" s="115"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15"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15" t="n">
        <f aca="false">SUMIFS(الريسبي!$C$2:$C$1800,الريسبي!$A$2:$A$1800,$A99,الريسبي!$B$2:$B$1800,AO$1)</f>
        <v>0</v>
      </c>
      <c r="AP99" s="115" t="n">
        <f aca="false">SUMIFS(الريسبي!$C$2:$C$1800,الريسبي!$A$2:$A$1800,$A99,الريسبي!$B$2:$B$1800,AP$1)</f>
        <v>0.02</v>
      </c>
      <c r="AQ99" s="115"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15" t="n">
        <f aca="false">SUMIFS(الريسبي!$C$2:$C$1800,الريسبي!$A$2:$A$1800,$A99,الريسبي!$B$2:$B$1800,AR$1)</f>
        <v>0</v>
      </c>
      <c r="AS99" s="115" t="n">
        <f aca="false">SUMIFS(الريسبي!$C$2:$C$1800,الريسبي!$A$2:$A$1800,$A99,الريسبي!$B$2:$B$1800,AS$1)</f>
        <v>0</v>
      </c>
      <c r="AT99" s="115" t="n">
        <f aca="false">SUMIFS(الريسبي!$C$2:$C$1800,الريسبي!$A$2:$A$1800,$A99,الريسبي!$B$2:$B$1800,AT$1)</f>
        <v>0</v>
      </c>
      <c r="AU99" s="115" t="n">
        <f aca="false">SUMIFS(الريسبي!$C$2:$C$1800,الريسبي!$A$2:$A$1800,$A99,الريسبي!$B$2:$B$1800,AU$1)</f>
        <v>0</v>
      </c>
      <c r="AV99" s="115" t="n">
        <f aca="false">SUMIFS(الريسبي!$C$2:$C$1800,الريسبي!$A$2:$A$1800,$A99,الريسبي!$B$2:$B$1800,AV$1)</f>
        <v>0</v>
      </c>
      <c r="AW99" s="115" t="n">
        <f aca="false">SUMIFS(الريسبي!$C$2:$C$1800,الريسبي!$A$2:$A$1800,$A99,الريسبي!$B$2:$B$1800,AW$1)</f>
        <v>0</v>
      </c>
      <c r="AX99" s="115" t="n">
        <f aca="false">SUMIFS(الريسبي!$C$2:$C$1800,الريسبي!$A$2:$A$1800,$A99,الريسبي!$B$2:$B$1800,AX$1)</f>
        <v>0</v>
      </c>
      <c r="AY99" s="115" t="n">
        <f aca="false">SUMIFS(الريسبي!$C$2:$C$1800,الريسبي!$A$2:$A$1800,$A99,الريسبي!$B$2:$B$1800,AY$1)</f>
        <v>0</v>
      </c>
      <c r="AZ99" s="115" t="n">
        <f aca="false">SUMIFS(الريسبي!$C$2:$C$1800,الريسبي!$A$2:$A$1800,$A99,الريسبي!$B$2:$B$1800,AZ$1)</f>
        <v>0</v>
      </c>
      <c r="BA99" s="115" t="n">
        <f aca="false">SUMIFS(الريسبي!$C$2:$C$1800,الريسبي!$A$2:$A$1800,$A99,الريسبي!$B$2:$B$1800,BA$1)</f>
        <v>0</v>
      </c>
      <c r="BB99" s="115" t="n">
        <f aca="false">SUMIFS(الريسبي!$C$2:$C$1800,الريسبي!$A$2:$A$1800,$A99,الريسبي!$B$2:$B$1800,BB$1)</f>
        <v>0</v>
      </c>
      <c r="BC99" s="115" t="n">
        <f aca="false">SUMIFS(الريسبي!$C$2:$C$1800,الريسبي!$A$2:$A$1800,$A99,الريسبي!$B$2:$B$1800,BC$1)</f>
        <v>0.03</v>
      </c>
      <c r="BD99" s="115" t="n">
        <f aca="false">SUMIFS(الريسبي!$C$2:$C$1800,الريسبي!$A$2:$A$1800,$A99,الريسبي!$B$2:$B$1800,BD$1)</f>
        <v>0</v>
      </c>
      <c r="BE99" s="115" t="n">
        <f aca="false">SUMIFS(الريسبي!$C$2:$C$1800,الريسبي!$A$2:$A$1800,$A99,الريسبي!$B$2:$B$1800,BE$1)</f>
        <v>1</v>
      </c>
      <c r="BF99" s="115" t="n">
        <f aca="false">SUMIFS(الريسبي!$C$2:$C$1800,الريسبي!$A$2:$A$1800,$A99,الريسبي!$B$2:$B$1800,BF$1)</f>
        <v>0</v>
      </c>
      <c r="BG99" s="115" t="n">
        <f aca="false">SUMIFS(الريسبي!$C$2:$C$1800,الريسبي!$A$2:$A$1800,$A99,الريسبي!$B$2:$B$1800,BG$1)</f>
        <v>0</v>
      </c>
      <c r="BH99" s="115" t="n">
        <f aca="false">SUMIFS(الريسبي!$C$2:$C$1800,الريسبي!$A$2:$A$1800,$A99,الريسبي!$B$2:$B$1800,BH$1)</f>
        <v>1</v>
      </c>
      <c r="BI99" s="115" t="n">
        <f aca="false">SUMIFS(الريسبي!$C$2:$C$1800,الريسبي!$A$2:$A$1800,$A99,الريسبي!$B$2:$B$1800,BI$1)</f>
        <v>0</v>
      </c>
      <c r="BJ99" s="115" t="n">
        <f aca="false">SUMIFS(الريسبي!$C$2:$C$1800,الريسبي!$A$2:$A$1800,$A99,الريسبي!$B$2:$B$1800,BJ$1)</f>
        <v>0</v>
      </c>
      <c r="BK99" s="115" t="n">
        <f aca="false">SUMIFS(الريسبي!$C$2:$C$1800,الريسبي!$A$2:$A$1800,$A99,الريسبي!$B$2:$B$1800,BK$1)</f>
        <v>0</v>
      </c>
      <c r="BL99" s="115" t="n">
        <f aca="false">SUMIFS(الريسبي!$C$2:$C$1800,الريسبي!$A$2:$A$1800,$A99,الريسبي!$B$2:$B$1800,BL$1)</f>
        <v>0</v>
      </c>
      <c r="BM99" s="115" t="n">
        <f aca="false">SUMIFS(الريسبي!$C$2:$C$1800,الريسبي!$A$2:$A$1800,$A99,الريسبي!$B$2:$B$1800,BM$1)</f>
        <v>0</v>
      </c>
      <c r="BN99" s="115" t="n">
        <f aca="false">SUMIFS(الريسبي!$C$2:$C$1800,الريسبي!$A$2:$A$1800,$A99,الريسبي!$B$2:$B$1800,BN$1)</f>
        <v>0.02</v>
      </c>
      <c r="BO99" s="115" t="n">
        <f aca="false">SUMIFS(الريسبي!$C$2:$C$1800,الريسبي!$A$2:$A$1800,$A99,الريسبي!$B$2:$B$1800,BO$1)</f>
        <v>0</v>
      </c>
      <c r="BP99" s="115" t="n">
        <f aca="false">SUMIFS(الريسبي!$C$2:$C$1800,الريسبي!$A$2:$A$1800,$A99,الريسبي!$B$2:$B$1800,BP$1)</f>
        <v>2</v>
      </c>
      <c r="BQ99" s="115"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15" t="n">
        <f aca="false">SUMIFS(الريسبي!$C$2:$C$1800,الريسبي!$A$2:$A$1800,$A99,الريسبي!$B$2:$B$1800,BR$1)</f>
        <v>1</v>
      </c>
      <c r="BS99" s="115" t="n">
        <f aca="false">SUMIFS(الريسبي!$C$2:$C$1800,الريسبي!$A$2:$A$1800,$A99,الريسبي!$B$2:$B$1800,BS$1)</f>
        <v>0</v>
      </c>
      <c r="BT99" s="115" t="n">
        <f aca="false">SUMIFS(الريسبي!$C$2:$C$1800,الريسبي!$A$2:$A$1800,$A99,الريسبي!$B$2:$B$1800,BT$1)</f>
        <v>0</v>
      </c>
      <c r="BU99" s="115"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15" t="n">
        <f aca="false">SUMIFS(الريسبي!$C$2:$C$1800,الريسبي!$A$2:$A$1800,$A99,الريسبي!$B$2:$B$1800,BV$1)</f>
        <v>0</v>
      </c>
      <c r="BW99" s="115" t="n">
        <f aca="false">SUMIFS(الريسبي!$C$2:$C$1800,الريسبي!$A$2:$A$1800,$A99,الريسبي!$B$2:$B$1800,BW$1)</f>
        <v>0</v>
      </c>
      <c r="BX99" s="115" t="n">
        <f aca="false">SUMIFS(الريسبي!$C$2:$C$1800,الريسبي!$A$2:$A$1800,$A99,الريسبي!$B$2:$B$1800,BX$1)</f>
        <v>0</v>
      </c>
      <c r="BY99" s="115" t="n">
        <f aca="false">SUMIFS(الريسبي!$C$2:$C$1800,الريسبي!$A$2:$A$1800,$A99,الريسبي!$B$2:$B$1800,BY$1)</f>
        <v>0</v>
      </c>
      <c r="BZ99" s="115" t="n">
        <f aca="false">SUMIFS(الريسبي!$C$2:$C$1800,الريسبي!$A$2:$A$1800,$A99,الريسبي!$B$2:$B$1800,BZ$1)</f>
        <v>1</v>
      </c>
      <c r="CA99" s="115" t="n">
        <f aca="false">SUMIFS(الريسبي!$C$2:$C$1800,الريسبي!$A$2:$A$1800,$A99,الريسبي!$B$2:$B$1800,CA$1)</f>
        <v>1</v>
      </c>
      <c r="CB99" s="115" t="n">
        <f aca="false">SUMIFS(الريسبي!$C$2:$C$1800,الريسبي!$A$2:$A$1800,$A99,الريسبي!$B$2:$B$1800,CB$1)</f>
        <v>0</v>
      </c>
      <c r="CC99" s="115" t="n">
        <f aca="false">SUMIFS(الريسبي!$C$2:$C$1800,الريسبي!$A$2:$A$1800,$A99,الريسبي!$B$2:$B$1800,CC$1)</f>
        <v>0</v>
      </c>
      <c r="CD99" s="115" t="n">
        <f aca="false">SUMIFS(الريسبي!$C$2:$C$1800,الريسبي!$A$2:$A$1800,$A99,الريسبي!$B$2:$B$1800,CD$1)</f>
        <v>0.14</v>
      </c>
      <c r="CE99" s="115" t="n">
        <f aca="false">SUMIFS(الريسبي!$C$2:$C$1800,الريسبي!$A$2:$A$1800,$A99,الريسبي!$B$2:$B$1800,CE$1)</f>
        <v>0</v>
      </c>
      <c r="CF99" s="115" t="n">
        <f aca="false">SUMIFS(الريسبي!$C$2:$C$1800,الريسبي!$A$2:$A$1800,$A99,الريسبي!$B$2:$B$1800,CF$1)</f>
        <v>0</v>
      </c>
      <c r="CG99" s="115" t="n">
        <f aca="false">SUMIFS(الريسبي!$C$2:$C$1800,الريسبي!$A$2:$A$1800,$A99,الريسبي!$B$2:$B$1800,CG$1)</f>
        <v>0</v>
      </c>
      <c r="CH99" s="115" t="n">
        <f aca="false">SUMIFS(الريسبي!$C$2:$C$1800,الريسبي!$A$2:$A$1800,$A99,الريسبي!$B$2:$B$1800,CH$1)</f>
        <v>0</v>
      </c>
    </row>
    <row r="100" customFormat="false" ht="15" hidden="false" customHeight="false" outlineLevel="0" collapsed="false">
      <c r="A100" s="114" t="str">
        <f aca="false">المنيو!B100</f>
        <v>فطيرة شاورما لحم / فراخ صيامي مخصوص</v>
      </c>
      <c r="B100" s="115" t="n">
        <f aca="false">SUMIFS(الريسبي!$C$2:$C$1800,الريسبي!$A$2:$A$1800,$A100,الريسبي!$B$2:$B$1800,B$1)</f>
        <v>0</v>
      </c>
      <c r="C100" s="115" t="n">
        <f aca="false">SUMIFS(الريسبي!$C$2:$C$1800,الريسبي!$A$2:$A$1800,$A100,الريسبي!$B$2:$B$1800,C$1)</f>
        <v>0</v>
      </c>
      <c r="D100" s="115" t="n">
        <f aca="false">SUMIFS(الريسبي!$C$2:$C$1800,الريسبي!$A$2:$A$1800,$A100,الريسبي!$B$2:$B$1800,D$1)</f>
        <v>1</v>
      </c>
      <c r="E100" s="115" t="n">
        <f aca="false">SUMIFS(الريسبي!$C$2:$C$1800,الريسبي!$A$2:$A$1800,$A100,الريسبي!$B$2:$B$1800,E$1)</f>
        <v>0</v>
      </c>
      <c r="F100" s="115" t="n">
        <f aca="false">SUMIFS(الريسبي!$C$2:$C$1800,الريسبي!$A$2:$A$1800,$A100,الريسبي!$B$2:$B$1800,F$1)</f>
        <v>0</v>
      </c>
      <c r="G100" s="115" t="n">
        <f aca="false">SUMIFS(الريسبي!$C$2:$C$1800,الريسبي!$A$2:$A$1800,$A100,الريسبي!$B$2:$B$1800,G$1)</f>
        <v>0</v>
      </c>
      <c r="H100" s="115" t="n">
        <f aca="false">SUMIFS(الريسبي!$C$2:$C$1800,الريسبي!$A$2:$A$1800,$A100,الريسبي!$B$2:$B$1800,H$1)</f>
        <v>0</v>
      </c>
      <c r="I100" s="115" t="n">
        <f aca="false">SUMIFS(الريسبي!$C$2:$C$1800,الريسبي!$A$2:$A$1800,$A100,الريسبي!$B$2:$B$1800,I$1)</f>
        <v>0</v>
      </c>
      <c r="J100" s="115" t="n">
        <f aca="false">SUMIFS(الريسبي!$C$2:$C$1800,الريسبي!$A$2:$A$1800,$A100,الريسبي!$B$2:$B$1800,J$1)</f>
        <v>0</v>
      </c>
      <c r="K100" s="115" t="n">
        <f aca="false">SUMIFS(الريسبي!$C$2:$C$1800,الريسبي!$A$2:$A$1800,$A100,الريسبي!$B$2:$B$1800,K$1)</f>
        <v>0</v>
      </c>
      <c r="L100" s="115" t="n">
        <f aca="false">SUMIFS(الريسبي!$C$2:$C$1800,الريسبي!$A$2:$A$1800,$A100,الريسبي!$B$2:$B$1800,L$1)</f>
        <v>0</v>
      </c>
      <c r="M100" s="115" t="n">
        <f aca="false">SUMIFS(الريسبي!$C$2:$C$1800,الريسبي!$A$2:$A$1800,$A100,الريسبي!$B$2:$B$1800,M$1)</f>
        <v>0</v>
      </c>
      <c r="N100" s="115" t="n">
        <f aca="false">SUMIFS(الريسبي!$C$2:$C$1800,الريسبي!$A$2:$A$1800,$A100,الريسبي!$B$2:$B$1800,N$1)</f>
        <v>0</v>
      </c>
      <c r="O100" s="115" t="n">
        <f aca="false">SUMIFS(الريسبي!$C$2:$C$1800,الريسبي!$A$2:$A$1800,$A100,الريسبي!$B$2:$B$1800,O$1)</f>
        <v>0</v>
      </c>
      <c r="P100" s="115" t="n">
        <f aca="false">SUMIFS(الريسبي!$C$2:$C$1800,الريسبي!$A$2:$A$1800,$A100,الريسبي!$B$2:$B$1800,P$1)</f>
        <v>0</v>
      </c>
      <c r="Q100" s="115" t="n">
        <f aca="false">SUMIFS(الريسبي!$C$2:$C$1800,الريسبي!$A$2:$A$1800,$A100,الريسبي!$B$2:$B$1800,Q$1)</f>
        <v>0</v>
      </c>
      <c r="R100" s="115" t="n">
        <f aca="false">SUMIFS(الريسبي!$C$2:$C$1800,الريسبي!$A$2:$A$1800,$A100,الريسبي!$B$2:$B$1800,R$1)</f>
        <v>0</v>
      </c>
      <c r="S100" s="115" t="n">
        <f aca="false">SUMIFS(الريسبي!$C$2:$C$1800,الريسبي!$A$2:$A$1800,$A100,الريسبي!$B$2:$B$1800,S$1)</f>
        <v>0</v>
      </c>
      <c r="T100" s="115" t="n">
        <f aca="false">SUMIFS(الريسبي!$C$2:$C$1800,الريسبي!$A$2:$A$1800,$A100,الريسبي!$B$2:$B$1800,T$1)</f>
        <v>0</v>
      </c>
      <c r="U100" s="115" t="n">
        <f aca="false">SUMIFS(الريسبي!$C$2:$C$1800,الريسبي!$A$2:$A$1800,$A100,الريسبي!$B$2:$B$1800,U$1)</f>
        <v>0</v>
      </c>
      <c r="V100" s="115" t="n">
        <f aca="false">SUMIFS(الريسبي!$C$2:$C$1800,الريسبي!$A$2:$A$1800,$A100,الريسبي!$B$2:$B$1800,V$1)</f>
        <v>0</v>
      </c>
      <c r="W100" s="115" t="n">
        <f aca="false">SUMIFS(الريسبي!$C$2:$C$1800,الريسبي!$A$2:$A$1800,$A100,الريسبي!$B$2:$B$1800,W$1)</f>
        <v>0</v>
      </c>
      <c r="X100" s="115" t="n">
        <f aca="false">SUMIFS(الريسبي!$C$2:$C$1800,الريسبي!$A$2:$A$1800,$A100,الريسبي!$B$2:$B$1800,X$1)</f>
        <v>0</v>
      </c>
      <c r="Y100" s="115" t="n">
        <f aca="false">SUMIFS(الريسبي!$C$2:$C$1800,الريسبي!$A$2:$A$1800,$A100,الريسبي!$B$2:$B$1800,Y$1)</f>
        <v>1</v>
      </c>
      <c r="Z100" s="115" t="n">
        <f aca="false">SUMIFS(الريسبي!$C$2:$C$1800,الريسبي!$A$2:$A$1800,$A100,الريسبي!$B$2:$B$1800,Z$1)</f>
        <v>0</v>
      </c>
      <c r="AA100" s="115" t="n">
        <f aca="false">SUMIFS(الريسبي!$C$2:$C$1800,الريسبي!$A$2:$A$1800,$A100,الريسبي!$B$2:$B$1800,AA$1)</f>
        <v>0</v>
      </c>
      <c r="AB100" s="115" t="n">
        <f aca="false">SUMIFS(الريسبي!$C$2:$C$1800,الريسبي!$A$2:$A$1800,$A100,الريسبي!$B$2:$B$1800,AB$1)</f>
        <v>0</v>
      </c>
      <c r="AC100" s="115" t="n">
        <f aca="false">SUMIFS(الريسبي!$C$2:$C$1800,الريسبي!$A$2:$A$1800,$A100,الريسبي!$B$2:$B$1800,AC$1)</f>
        <v>0</v>
      </c>
      <c r="AD100" s="115" t="n">
        <f aca="false">SUMIFS(الريسبي!$C$2:$C$1800,الريسبي!$A$2:$A$1800,$A100,الريسبي!$B$2:$B$1800,AD$1)</f>
        <v>0</v>
      </c>
      <c r="AE100" s="115" t="n">
        <f aca="false">SUMIFS(الريسبي!$C$2:$C$1800,الريسبي!$A$2:$A$1800,$A100,الريسبي!$B$2:$B$1800,AE$1)</f>
        <v>0</v>
      </c>
      <c r="AF100" s="115" t="n">
        <f aca="false">SUMIFS(الريسبي!$C$2:$C$1800,الريسبي!$A$2:$A$1800,$A100,الريسبي!$B$2:$B$1800,AF$1)</f>
        <v>0</v>
      </c>
      <c r="AG100" s="115" t="n">
        <f aca="false">SUMIFS(الريسبي!$C$2:$C$1800,الريسبي!$A$2:$A$1800,$A100,الريسبي!$B$2:$B$1800,AG$1)</f>
        <v>0</v>
      </c>
      <c r="AH100" s="115" t="n">
        <f aca="false">SUMIFS(الريسبي!$C$2:$C$1800,الريسبي!$A$2:$A$1800,$A100,الريسبي!$B$2:$B$1800,AH$1)</f>
        <v>0</v>
      </c>
      <c r="AI100" s="115" t="n">
        <f aca="false">SUMIFS(الريسبي!$C$2:$C$1800,الريسبي!$A$2:$A$1800,$A100,الريسبي!$B$2:$B$1800,AI$1)</f>
        <v>0</v>
      </c>
      <c r="AJ100" s="115" t="n">
        <f aca="false">SUMIFS(الريسبي!$C$2:$C$1800,الريسبي!$A$2:$A$1800,$A100,الريسبي!$B$2:$B$1800,AJ$1)</f>
        <v>2</v>
      </c>
      <c r="AK100" s="115" t="n">
        <f aca="false">SUMIFS(الريسبي!$C$2:$C$1800,الريسبي!$A$2:$A$1800,$A100,الريسبي!$B$2:$B$1800,AK$1)</f>
        <v>0</v>
      </c>
      <c r="AL100" s="115" t="n">
        <f aca="false">SUMIFS(الريسبي!$C$2:$C$1800,الريسبي!$A$2:$A$1800,$A100,الريسبي!$B$2:$B$1800,AL$1)</f>
        <v>0</v>
      </c>
      <c r="AM100" s="115"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15"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15" t="n">
        <f aca="false">SUMIFS(الريسبي!$C$2:$C$1800,الريسبي!$A$2:$A$1800,$A100,الريسبي!$B$2:$B$1800,AO$1)</f>
        <v>0</v>
      </c>
      <c r="AP100" s="115" t="n">
        <f aca="false">SUMIFS(الريسبي!$C$2:$C$1800,الريسبي!$A$2:$A$1800,$A100,الريسبي!$B$2:$B$1800,AP$1)</f>
        <v>0.03</v>
      </c>
      <c r="AQ100" s="115"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15" t="n">
        <f aca="false">SUMIFS(الريسبي!$C$2:$C$1800,الريسبي!$A$2:$A$1800,$A100,الريسبي!$B$2:$B$1800,AR$1)</f>
        <v>0</v>
      </c>
      <c r="AS100" s="115" t="n">
        <f aca="false">SUMIFS(الريسبي!$C$2:$C$1800,الريسبي!$A$2:$A$1800,$A100,الريسبي!$B$2:$B$1800,AS$1)</f>
        <v>0</v>
      </c>
      <c r="AT100" s="115" t="n">
        <f aca="false">SUMIFS(الريسبي!$C$2:$C$1800,الريسبي!$A$2:$A$1800,$A100,الريسبي!$B$2:$B$1800,AT$1)</f>
        <v>0</v>
      </c>
      <c r="AU100" s="115" t="n">
        <f aca="false">SUMIFS(الريسبي!$C$2:$C$1800,الريسبي!$A$2:$A$1800,$A100,الريسبي!$B$2:$B$1800,AU$1)</f>
        <v>0</v>
      </c>
      <c r="AV100" s="115" t="n">
        <f aca="false">SUMIFS(الريسبي!$C$2:$C$1800,الريسبي!$A$2:$A$1800,$A100,الريسبي!$B$2:$B$1800,AV$1)</f>
        <v>0</v>
      </c>
      <c r="AW100" s="115" t="n">
        <f aca="false">SUMIFS(الريسبي!$C$2:$C$1800,الريسبي!$A$2:$A$1800,$A100,الريسبي!$B$2:$B$1800,AW$1)</f>
        <v>0</v>
      </c>
      <c r="AX100" s="115" t="n">
        <f aca="false">SUMIFS(الريسبي!$C$2:$C$1800,الريسبي!$A$2:$A$1800,$A100,الريسبي!$B$2:$B$1800,AX$1)</f>
        <v>0</v>
      </c>
      <c r="AY100" s="115" t="n">
        <f aca="false">SUMIFS(الريسبي!$C$2:$C$1800,الريسبي!$A$2:$A$1800,$A100,الريسبي!$B$2:$B$1800,AY$1)</f>
        <v>0</v>
      </c>
      <c r="AZ100" s="115" t="n">
        <f aca="false">SUMIFS(الريسبي!$C$2:$C$1800,الريسبي!$A$2:$A$1800,$A100,الريسبي!$B$2:$B$1800,AZ$1)</f>
        <v>0</v>
      </c>
      <c r="BA100" s="115" t="n">
        <f aca="false">SUMIFS(الريسبي!$C$2:$C$1800,الريسبي!$A$2:$A$1800,$A100,الريسبي!$B$2:$B$1800,BA$1)</f>
        <v>0</v>
      </c>
      <c r="BB100" s="115" t="n">
        <f aca="false">SUMIFS(الريسبي!$C$2:$C$1800,الريسبي!$A$2:$A$1800,$A100,الريسبي!$B$2:$B$1800,BB$1)</f>
        <v>0</v>
      </c>
      <c r="BC100" s="115" t="n">
        <f aca="false">SUMIFS(الريسبي!$C$2:$C$1800,الريسبي!$A$2:$A$1800,$A100,الريسبي!$B$2:$B$1800,BC$1)</f>
        <v>0.045</v>
      </c>
      <c r="BD100" s="115" t="n">
        <f aca="false">SUMIFS(الريسبي!$C$2:$C$1800,الريسبي!$A$2:$A$1800,$A100,الريسبي!$B$2:$B$1800,BD$1)</f>
        <v>0</v>
      </c>
      <c r="BE100" s="115" t="n">
        <f aca="false">SUMIFS(الريسبي!$C$2:$C$1800,الريسبي!$A$2:$A$1800,$A100,الريسبي!$B$2:$B$1800,BE$1)</f>
        <v>1.5</v>
      </c>
      <c r="BF100" s="115" t="n">
        <f aca="false">SUMIFS(الريسبي!$C$2:$C$1800,الريسبي!$A$2:$A$1800,$A100,الريسبي!$B$2:$B$1800,BF$1)</f>
        <v>0</v>
      </c>
      <c r="BG100" s="115" t="n">
        <f aca="false">SUMIFS(الريسبي!$C$2:$C$1800,الريسبي!$A$2:$A$1800,$A100,الريسبي!$B$2:$B$1800,BG$1)</f>
        <v>1</v>
      </c>
      <c r="BH100" s="115" t="n">
        <f aca="false">SUMIFS(الريسبي!$C$2:$C$1800,الريسبي!$A$2:$A$1800,$A100,الريسبي!$B$2:$B$1800,BH$1)</f>
        <v>0</v>
      </c>
      <c r="BI100" s="115" t="n">
        <f aca="false">SUMIFS(الريسبي!$C$2:$C$1800,الريسبي!$A$2:$A$1800,$A100,الريسبي!$B$2:$B$1800,BI$1)</f>
        <v>0</v>
      </c>
      <c r="BJ100" s="115" t="n">
        <f aca="false">SUMIFS(الريسبي!$C$2:$C$1800,الريسبي!$A$2:$A$1800,$A100,الريسبي!$B$2:$B$1800,BJ$1)</f>
        <v>0</v>
      </c>
      <c r="BK100" s="115" t="n">
        <f aca="false">SUMIFS(الريسبي!$C$2:$C$1800,الريسبي!$A$2:$A$1800,$A100,الريسبي!$B$2:$B$1800,BK$1)</f>
        <v>0</v>
      </c>
      <c r="BL100" s="115" t="n">
        <f aca="false">SUMIFS(الريسبي!$C$2:$C$1800,الريسبي!$A$2:$A$1800,$A100,الريسبي!$B$2:$B$1800,BL$1)</f>
        <v>0</v>
      </c>
      <c r="BM100" s="115" t="n">
        <f aca="false">SUMIFS(الريسبي!$C$2:$C$1800,الريسبي!$A$2:$A$1800,$A100,الريسبي!$B$2:$B$1800,BM$1)</f>
        <v>0</v>
      </c>
      <c r="BN100" s="115" t="n">
        <f aca="false">SUMIFS(الريسبي!$C$2:$C$1800,الريسبي!$A$2:$A$1800,$A100,الريسبي!$B$2:$B$1800,BN$1)</f>
        <v>0.03</v>
      </c>
      <c r="BO100" s="115" t="n">
        <f aca="false">SUMIFS(الريسبي!$C$2:$C$1800,الريسبي!$A$2:$A$1800,$A100,الريسبي!$B$2:$B$1800,BO$1)</f>
        <v>0</v>
      </c>
      <c r="BP100" s="115" t="n">
        <f aca="false">SUMIFS(الريسبي!$C$2:$C$1800,الريسبي!$A$2:$A$1800,$A100,الريسبي!$B$2:$B$1800,BP$1)</f>
        <v>3</v>
      </c>
      <c r="BQ100" s="115"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15" t="n">
        <f aca="false">SUMIFS(الريسبي!$C$2:$C$1800,الريسبي!$A$2:$A$1800,$A100,الريسبي!$B$2:$B$1800,BR$1)</f>
        <v>1</v>
      </c>
      <c r="BS100" s="115" t="n">
        <f aca="false">SUMIFS(الريسبي!$C$2:$C$1800,الريسبي!$A$2:$A$1800,$A100,الريسبي!$B$2:$B$1800,BS$1)</f>
        <v>0</v>
      </c>
      <c r="BT100" s="115" t="n">
        <f aca="false">SUMIFS(الريسبي!$C$2:$C$1800,الريسبي!$A$2:$A$1800,$A100,الريسبي!$B$2:$B$1800,BT$1)</f>
        <v>0</v>
      </c>
      <c r="BU100" s="115"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15" t="n">
        <f aca="false">SUMIFS(الريسبي!$C$2:$C$1800,الريسبي!$A$2:$A$1800,$A100,الريسبي!$B$2:$B$1800,BV$1)</f>
        <v>0</v>
      </c>
      <c r="BW100" s="115" t="n">
        <f aca="false">SUMIFS(الريسبي!$C$2:$C$1800,الريسبي!$A$2:$A$1800,$A100,الريسبي!$B$2:$B$1800,BW$1)</f>
        <v>0</v>
      </c>
      <c r="BX100" s="115" t="n">
        <f aca="false">SUMIFS(الريسبي!$C$2:$C$1800,الريسبي!$A$2:$A$1800,$A100,الريسبي!$B$2:$B$1800,BX$1)</f>
        <v>0</v>
      </c>
      <c r="BY100" s="115" t="n">
        <f aca="false">SUMIFS(الريسبي!$C$2:$C$1800,الريسبي!$A$2:$A$1800,$A100,الريسبي!$B$2:$B$1800,BY$1)</f>
        <v>0</v>
      </c>
      <c r="BZ100" s="115" t="n">
        <f aca="false">SUMIFS(الريسبي!$C$2:$C$1800,الريسبي!$A$2:$A$1800,$A100,الريسبي!$B$2:$B$1800,BZ$1)</f>
        <v>1</v>
      </c>
      <c r="CA100" s="115" t="n">
        <f aca="false">SUMIFS(الريسبي!$C$2:$C$1800,الريسبي!$A$2:$A$1800,$A100,الريسبي!$B$2:$B$1800,CA$1)</f>
        <v>1</v>
      </c>
      <c r="CB100" s="115" t="n">
        <f aca="false">SUMIFS(الريسبي!$C$2:$C$1800,الريسبي!$A$2:$A$1800,$A100,الريسبي!$B$2:$B$1800,CB$1)</f>
        <v>0</v>
      </c>
      <c r="CC100" s="115" t="n">
        <f aca="false">SUMIFS(الريسبي!$C$2:$C$1800,الريسبي!$A$2:$A$1800,$A100,الريسبي!$B$2:$B$1800,CC$1)</f>
        <v>0</v>
      </c>
      <c r="CD100" s="115" t="n">
        <f aca="false">SUMIFS(الريسبي!$C$2:$C$1800,الريسبي!$A$2:$A$1800,$A100,الريسبي!$B$2:$B$1800,CD$1)</f>
        <v>0.21</v>
      </c>
      <c r="CE100" s="115" t="n">
        <f aca="false">SUMIFS(الريسبي!$C$2:$C$1800,الريسبي!$A$2:$A$1800,$A100,الريسبي!$B$2:$B$1800,CE$1)</f>
        <v>0</v>
      </c>
      <c r="CF100" s="115" t="n">
        <f aca="false">SUMIFS(الريسبي!$C$2:$C$1800,الريسبي!$A$2:$A$1800,$A100,الريسبي!$B$2:$B$1800,CF$1)</f>
        <v>0</v>
      </c>
      <c r="CG100" s="115" t="n">
        <f aca="false">SUMIFS(الريسبي!$C$2:$C$1800,الريسبي!$A$2:$A$1800,$A100,الريسبي!$B$2:$B$1800,CG$1)</f>
        <v>0</v>
      </c>
      <c r="CH100" s="115" t="n">
        <f aca="false">SUMIFS(الريسبي!$C$2:$C$1800,الريسبي!$A$2:$A$1800,$A100,الريسبي!$B$2:$B$1800,CH$1)</f>
        <v>0</v>
      </c>
    </row>
    <row r="101" customFormat="false" ht="15" hidden="false" customHeight="false" outlineLevel="0" collapsed="false">
      <c r="A101" s="114" t="str">
        <f aca="false">المنيو!B101</f>
        <v>فطيرة مشكل لحوم صيامي وسط</v>
      </c>
      <c r="B101" s="115" t="n">
        <f aca="false">SUMIFS(الريسبي!$C$2:$C$1800,الريسبي!$A$2:$A$1800,$A101,الريسبي!$B$2:$B$1800,B$1)</f>
        <v>0</v>
      </c>
      <c r="C101" s="115" t="n">
        <f aca="false">SUMIFS(الريسبي!$C$2:$C$1800,الريسبي!$A$2:$A$1800,$A101,الريسبي!$B$2:$B$1800,C$1)</f>
        <v>0</v>
      </c>
      <c r="D101" s="115" t="n">
        <f aca="false">SUMIFS(الريسبي!$C$2:$C$1800,الريسبي!$A$2:$A$1800,$A101,الريسبي!$B$2:$B$1800,D$1)</f>
        <v>1</v>
      </c>
      <c r="E101" s="115" t="n">
        <f aca="false">SUMIFS(الريسبي!$C$2:$C$1800,الريسبي!$A$2:$A$1800,$A101,الريسبي!$B$2:$B$1800,E$1)</f>
        <v>0</v>
      </c>
      <c r="F101" s="115" t="n">
        <f aca="false">SUMIFS(الريسبي!$C$2:$C$1800,الريسبي!$A$2:$A$1800,$A101,الريسبي!$B$2:$B$1800,F$1)</f>
        <v>0</v>
      </c>
      <c r="G101" s="115" t="n">
        <f aca="false">SUMIFS(الريسبي!$C$2:$C$1800,الريسبي!$A$2:$A$1800,$A101,الريسبي!$B$2:$B$1800,G$1)</f>
        <v>0</v>
      </c>
      <c r="H101" s="115" t="n">
        <f aca="false">SUMIFS(الريسبي!$C$2:$C$1800,الريسبي!$A$2:$A$1800,$A101,الريسبي!$B$2:$B$1800,H$1)</f>
        <v>0</v>
      </c>
      <c r="I101" s="115" t="n">
        <f aca="false">SUMIFS(الريسبي!$C$2:$C$1800,الريسبي!$A$2:$A$1800,$A101,الريسبي!$B$2:$B$1800,I$1)</f>
        <v>0</v>
      </c>
      <c r="J101" s="115" t="n">
        <f aca="false">SUMIFS(الريسبي!$C$2:$C$1800,الريسبي!$A$2:$A$1800,$A101,الريسبي!$B$2:$B$1800,J$1)</f>
        <v>0</v>
      </c>
      <c r="K101" s="115" t="n">
        <f aca="false">SUMIFS(الريسبي!$C$2:$C$1800,الريسبي!$A$2:$A$1800,$A101,الريسبي!$B$2:$B$1800,K$1)</f>
        <v>0</v>
      </c>
      <c r="L101" s="115" t="n">
        <f aca="false">SUMIFS(الريسبي!$C$2:$C$1800,الريسبي!$A$2:$A$1800,$A101,الريسبي!$B$2:$B$1800,L$1)</f>
        <v>0</v>
      </c>
      <c r="M101" s="115" t="n">
        <f aca="false">SUMIFS(الريسبي!$C$2:$C$1800,الريسبي!$A$2:$A$1800,$A101,الريسبي!$B$2:$B$1800,M$1)</f>
        <v>0</v>
      </c>
      <c r="N101" s="115" t="n">
        <f aca="false">SUMIFS(الريسبي!$C$2:$C$1800,الريسبي!$A$2:$A$1800,$A101,الريسبي!$B$2:$B$1800,N$1)</f>
        <v>0</v>
      </c>
      <c r="O101" s="115" t="n">
        <f aca="false">SUMIFS(الريسبي!$C$2:$C$1800,الريسبي!$A$2:$A$1800,$A101,الريسبي!$B$2:$B$1800,O$1)</f>
        <v>0</v>
      </c>
      <c r="P101" s="115" t="n">
        <f aca="false">SUMIFS(الريسبي!$C$2:$C$1800,الريسبي!$A$2:$A$1800,$A101,الريسبي!$B$2:$B$1800,P$1)</f>
        <v>0</v>
      </c>
      <c r="Q101" s="115" t="n">
        <f aca="false">SUMIFS(الريسبي!$C$2:$C$1800,الريسبي!$A$2:$A$1800,$A101,الريسبي!$B$2:$B$1800,Q$1)</f>
        <v>0</v>
      </c>
      <c r="R101" s="115" t="n">
        <f aca="false">SUMIFS(الريسبي!$C$2:$C$1800,الريسبي!$A$2:$A$1800,$A101,الريسبي!$B$2:$B$1800,R$1)</f>
        <v>0</v>
      </c>
      <c r="S101" s="115" t="n">
        <f aca="false">SUMIFS(الريسبي!$C$2:$C$1800,الريسبي!$A$2:$A$1800,$A101,الريسبي!$B$2:$B$1800,S$1)</f>
        <v>0</v>
      </c>
      <c r="T101" s="115" t="n">
        <f aca="false">SUMIFS(الريسبي!$C$2:$C$1800,الريسبي!$A$2:$A$1800,$A101,الريسبي!$B$2:$B$1800,T$1)</f>
        <v>0</v>
      </c>
      <c r="U101" s="115" t="n">
        <f aca="false">SUMIFS(الريسبي!$C$2:$C$1800,الريسبي!$A$2:$A$1800,$A101,الريسبي!$B$2:$B$1800,U$1)</f>
        <v>0</v>
      </c>
      <c r="V101" s="115" t="n">
        <f aca="false">SUMIFS(الريسبي!$C$2:$C$1800,الريسبي!$A$2:$A$1800,$A101,الريسبي!$B$2:$B$1800,V$1)</f>
        <v>0</v>
      </c>
      <c r="W101" s="115" t="n">
        <f aca="false">SUMIFS(الريسبي!$C$2:$C$1800,الريسبي!$A$2:$A$1800,$A101,الريسبي!$B$2:$B$1800,W$1)</f>
        <v>0</v>
      </c>
      <c r="X101" s="115" t="n">
        <f aca="false">SUMIFS(الريسبي!$C$2:$C$1800,الريسبي!$A$2:$A$1800,$A101,الريسبي!$B$2:$B$1800,X$1)</f>
        <v>1</v>
      </c>
      <c r="Y101" s="115" t="n">
        <f aca="false">SUMIFS(الريسبي!$C$2:$C$1800,الريسبي!$A$2:$A$1800,$A101,الريسبي!$B$2:$B$1800,Y$1)</f>
        <v>0</v>
      </c>
      <c r="Z101" s="115" t="n">
        <f aca="false">SUMIFS(الريسبي!$C$2:$C$1800,الريسبي!$A$2:$A$1800,$A101,الريسبي!$B$2:$B$1800,Z$1)</f>
        <v>0</v>
      </c>
      <c r="AA101" s="115" t="n">
        <f aca="false">SUMIFS(الريسبي!$C$2:$C$1800,الريسبي!$A$2:$A$1800,$A101,الريسبي!$B$2:$B$1800,AA$1)</f>
        <v>0</v>
      </c>
      <c r="AB101" s="115" t="n">
        <f aca="false">SUMIFS(الريسبي!$C$2:$C$1800,الريسبي!$A$2:$A$1800,$A101,الريسبي!$B$2:$B$1800,AB$1)</f>
        <v>0</v>
      </c>
      <c r="AC101" s="115" t="n">
        <f aca="false">SUMIFS(الريسبي!$C$2:$C$1800,الريسبي!$A$2:$A$1800,$A101,الريسبي!$B$2:$B$1800,AC$1)</f>
        <v>0</v>
      </c>
      <c r="AD101" s="115" t="n">
        <f aca="false">SUMIFS(الريسبي!$C$2:$C$1800,الريسبي!$A$2:$A$1800,$A101,الريسبي!$B$2:$B$1800,AD$1)</f>
        <v>0</v>
      </c>
      <c r="AE101" s="115" t="n">
        <f aca="false">SUMIFS(الريسبي!$C$2:$C$1800,الريسبي!$A$2:$A$1800,$A101,الريسبي!$B$2:$B$1800,AE$1)</f>
        <v>0</v>
      </c>
      <c r="AF101" s="115" t="n">
        <f aca="false">SUMIFS(الريسبي!$C$2:$C$1800,الريسبي!$A$2:$A$1800,$A101,الريسبي!$B$2:$B$1800,AF$1)</f>
        <v>0</v>
      </c>
      <c r="AG101" s="115" t="n">
        <f aca="false">SUMIFS(الريسبي!$C$2:$C$1800,الريسبي!$A$2:$A$1800,$A101,الريسبي!$B$2:$B$1800,AG$1)</f>
        <v>0</v>
      </c>
      <c r="AH101" s="115" t="n">
        <f aca="false">SUMIFS(الريسبي!$C$2:$C$1800,الريسبي!$A$2:$A$1800,$A101,الريسبي!$B$2:$B$1800,AH$1)</f>
        <v>0</v>
      </c>
      <c r="AI101" s="115" t="n">
        <f aca="false">SUMIFS(الريسبي!$C$2:$C$1800,الريسبي!$A$2:$A$1800,$A101,الريسبي!$B$2:$B$1800,AI$1)</f>
        <v>0</v>
      </c>
      <c r="AJ101" s="115" t="n">
        <f aca="false">SUMIFS(الريسبي!$C$2:$C$1800,الريسبي!$A$2:$A$1800,$A101,الريسبي!$B$2:$B$1800,AJ$1)</f>
        <v>2</v>
      </c>
      <c r="AK101" s="115" t="n">
        <f aca="false">SUMIFS(الريسبي!$C$2:$C$1800,الريسبي!$A$2:$A$1800,$A101,الريسبي!$B$2:$B$1800,AK$1)</f>
        <v>0</v>
      </c>
      <c r="AL101" s="115" t="n">
        <f aca="false">SUMIFS(الريسبي!$C$2:$C$1800,الريسبي!$A$2:$A$1800,$A101,الريسبي!$B$2:$B$1800,AL$1)</f>
        <v>0</v>
      </c>
      <c r="AM101" s="115"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15"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15" t="n">
        <f aca="false">SUMIFS(الريسبي!$C$2:$C$1800,الريسبي!$A$2:$A$1800,$A101,الريسبي!$B$2:$B$1800,AO$1)</f>
        <v>0</v>
      </c>
      <c r="AP101" s="115" t="n">
        <f aca="false">SUMIFS(الريسبي!$C$2:$C$1800,الريسبي!$A$2:$A$1800,$A101,الريسبي!$B$2:$B$1800,AP$1)</f>
        <v>0.02</v>
      </c>
      <c r="AQ101" s="115"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15" t="n">
        <f aca="false">SUMIFS(الريسبي!$C$2:$C$1800,الريسبي!$A$2:$A$1800,$A101,الريسبي!$B$2:$B$1800,AR$1)</f>
        <v>0</v>
      </c>
      <c r="AS101" s="115" t="n">
        <f aca="false">SUMIFS(الريسبي!$C$2:$C$1800,الريسبي!$A$2:$A$1800,$A101,الريسبي!$B$2:$B$1800,AS$1)</f>
        <v>0</v>
      </c>
      <c r="AT101" s="115" t="n">
        <f aca="false">SUMIFS(الريسبي!$C$2:$C$1800,الريسبي!$A$2:$A$1800,$A101,الريسبي!$B$2:$B$1800,AT$1)</f>
        <v>0</v>
      </c>
      <c r="AU101" s="115" t="n">
        <f aca="false">SUMIFS(الريسبي!$C$2:$C$1800,الريسبي!$A$2:$A$1800,$A101,الريسبي!$B$2:$B$1800,AU$1)</f>
        <v>0</v>
      </c>
      <c r="AV101" s="115" t="n">
        <f aca="false">SUMIFS(الريسبي!$C$2:$C$1800,الريسبي!$A$2:$A$1800,$A101,الريسبي!$B$2:$B$1800,AV$1)</f>
        <v>0</v>
      </c>
      <c r="AW101" s="115" t="n">
        <f aca="false">SUMIFS(الريسبي!$C$2:$C$1800,الريسبي!$A$2:$A$1800,$A101,الريسبي!$B$2:$B$1800,AW$1)</f>
        <v>0</v>
      </c>
      <c r="AX101" s="115" t="n">
        <f aca="false">SUMIFS(الريسبي!$C$2:$C$1800,الريسبي!$A$2:$A$1800,$A101,الريسبي!$B$2:$B$1800,AX$1)</f>
        <v>0</v>
      </c>
      <c r="AY101" s="115" t="n">
        <f aca="false">SUMIFS(الريسبي!$C$2:$C$1800,الريسبي!$A$2:$A$1800,$A101,الريسبي!$B$2:$B$1800,AY$1)</f>
        <v>0</v>
      </c>
      <c r="AZ101" s="115" t="n">
        <f aca="false">SUMIFS(الريسبي!$C$2:$C$1800,الريسبي!$A$2:$A$1800,$A101,الريسبي!$B$2:$B$1800,AZ$1)</f>
        <v>0</v>
      </c>
      <c r="BA101" s="115" t="n">
        <f aca="false">SUMIFS(الريسبي!$C$2:$C$1800,الريسبي!$A$2:$A$1800,$A101,الريسبي!$B$2:$B$1800,BA$1)</f>
        <v>0</v>
      </c>
      <c r="BB101" s="115" t="n">
        <f aca="false">SUMIFS(الريسبي!$C$2:$C$1800,الريسبي!$A$2:$A$1800,$A101,الريسبي!$B$2:$B$1800,BB$1)</f>
        <v>0</v>
      </c>
      <c r="BC101" s="115" t="n">
        <f aca="false">SUMIFS(الريسبي!$C$2:$C$1800,الريسبي!$A$2:$A$1800,$A101,الريسبي!$B$2:$B$1800,BC$1)</f>
        <v>0.03</v>
      </c>
      <c r="BD101" s="115" t="n">
        <f aca="false">SUMIFS(الريسبي!$C$2:$C$1800,الريسبي!$A$2:$A$1800,$A101,الريسبي!$B$2:$B$1800,BD$1)</f>
        <v>0</v>
      </c>
      <c r="BE101" s="115" t="n">
        <f aca="false">SUMIFS(الريسبي!$C$2:$C$1800,الريسبي!$A$2:$A$1800,$A101,الريسبي!$B$2:$B$1800,BE$1)</f>
        <v>1</v>
      </c>
      <c r="BF101" s="115" t="n">
        <f aca="false">SUMIFS(الريسبي!$C$2:$C$1800,الريسبي!$A$2:$A$1800,$A101,الريسبي!$B$2:$B$1800,BF$1)</f>
        <v>0</v>
      </c>
      <c r="BG101" s="115" t="n">
        <f aca="false">SUMIFS(الريسبي!$C$2:$C$1800,الريسبي!$A$2:$A$1800,$A101,الريسبي!$B$2:$B$1800,BG$1)</f>
        <v>0</v>
      </c>
      <c r="BH101" s="115" t="n">
        <f aca="false">SUMIFS(الريسبي!$C$2:$C$1800,الريسبي!$A$2:$A$1800,$A101,الريسبي!$B$2:$B$1800,BH$1)</f>
        <v>1</v>
      </c>
      <c r="BI101" s="115" t="n">
        <f aca="false">SUMIFS(الريسبي!$C$2:$C$1800,الريسبي!$A$2:$A$1800,$A101,الريسبي!$B$2:$B$1800,BI$1)</f>
        <v>0</v>
      </c>
      <c r="BJ101" s="115" t="n">
        <f aca="false">SUMIFS(الريسبي!$C$2:$C$1800,الريسبي!$A$2:$A$1800,$A101,الريسبي!$B$2:$B$1800,BJ$1)</f>
        <v>0</v>
      </c>
      <c r="BK101" s="115" t="n">
        <f aca="false">SUMIFS(الريسبي!$C$2:$C$1800,الريسبي!$A$2:$A$1800,$A101,الريسبي!$B$2:$B$1800,BK$1)</f>
        <v>0</v>
      </c>
      <c r="BL101" s="115" t="n">
        <f aca="false">SUMIFS(الريسبي!$C$2:$C$1800,الريسبي!$A$2:$A$1800,$A101,الريسبي!$B$2:$B$1800,BL$1)</f>
        <v>0</v>
      </c>
      <c r="BM101" s="115" t="n">
        <f aca="false">SUMIFS(الريسبي!$C$2:$C$1800,الريسبي!$A$2:$A$1800,$A101,الريسبي!$B$2:$B$1800,BM$1)</f>
        <v>0</v>
      </c>
      <c r="BN101" s="115" t="n">
        <f aca="false">SUMIFS(الريسبي!$C$2:$C$1800,الريسبي!$A$2:$A$1800,$A101,الريسبي!$B$2:$B$1800,BN$1)</f>
        <v>0.02</v>
      </c>
      <c r="BO101" s="115" t="n">
        <f aca="false">SUMIFS(الريسبي!$C$2:$C$1800,الريسبي!$A$2:$A$1800,$A101,الريسبي!$B$2:$B$1800,BO$1)</f>
        <v>0</v>
      </c>
      <c r="BP101" s="115" t="n">
        <f aca="false">SUMIFS(الريسبي!$C$2:$C$1800,الريسبي!$A$2:$A$1800,$A101,الريسبي!$B$2:$B$1800,BP$1)</f>
        <v>2</v>
      </c>
      <c r="BQ101" s="115"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15" t="n">
        <f aca="false">SUMIFS(الريسبي!$C$2:$C$1800,الريسبي!$A$2:$A$1800,$A101,الريسبي!$B$2:$B$1800,BR$1)</f>
        <v>1</v>
      </c>
      <c r="BS101" s="115" t="n">
        <f aca="false">SUMIFS(الريسبي!$C$2:$C$1800,الريسبي!$A$2:$A$1800,$A101,الريسبي!$B$2:$B$1800,BS$1)</f>
        <v>0</v>
      </c>
      <c r="BT101" s="115" t="n">
        <f aca="false">SUMIFS(الريسبي!$C$2:$C$1800,الريسبي!$A$2:$A$1800,$A101,الريسبي!$B$2:$B$1800,BT$1)</f>
        <v>0</v>
      </c>
      <c r="BU101" s="115"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15" t="n">
        <f aca="false">SUMIFS(الريسبي!$C$2:$C$1800,الريسبي!$A$2:$A$1800,$A101,الريسبي!$B$2:$B$1800,BV$1)</f>
        <v>0</v>
      </c>
      <c r="BW101" s="115" t="n">
        <f aca="false">SUMIFS(الريسبي!$C$2:$C$1800,الريسبي!$A$2:$A$1800,$A101,الريسبي!$B$2:$B$1800,BW$1)</f>
        <v>0</v>
      </c>
      <c r="BX101" s="115" t="n">
        <f aca="false">SUMIFS(الريسبي!$C$2:$C$1800,الريسبي!$A$2:$A$1800,$A101,الريسبي!$B$2:$B$1800,BX$1)</f>
        <v>0</v>
      </c>
      <c r="BY101" s="115" t="n">
        <f aca="false">SUMIFS(الريسبي!$C$2:$C$1800,الريسبي!$A$2:$A$1800,$A101,الريسبي!$B$2:$B$1800,BY$1)</f>
        <v>0</v>
      </c>
      <c r="BZ101" s="115" t="n">
        <f aca="false">SUMIFS(الريسبي!$C$2:$C$1800,الريسبي!$A$2:$A$1800,$A101,الريسبي!$B$2:$B$1800,BZ$1)</f>
        <v>1</v>
      </c>
      <c r="CA101" s="115" t="n">
        <f aca="false">SUMIFS(الريسبي!$C$2:$C$1800,الريسبي!$A$2:$A$1800,$A101,الريسبي!$B$2:$B$1800,CA$1)</f>
        <v>1</v>
      </c>
      <c r="CB101" s="115" t="n">
        <f aca="false">SUMIFS(الريسبي!$C$2:$C$1800,الريسبي!$A$2:$A$1800,$A101,الريسبي!$B$2:$B$1800,CB$1)</f>
        <v>0</v>
      </c>
      <c r="CC101" s="115" t="n">
        <f aca="false">SUMIFS(الريسبي!$C$2:$C$1800,الريسبي!$A$2:$A$1800,$A101,الريسبي!$B$2:$B$1800,CC$1)</f>
        <v>0.06</v>
      </c>
      <c r="CD101" s="115" t="n">
        <f aca="false">SUMIFS(الريسبي!$C$2:$C$1800,الريسبي!$A$2:$A$1800,$A101,الريسبي!$B$2:$B$1800,CD$1)</f>
        <v>0.07</v>
      </c>
      <c r="CE101" s="115" t="n">
        <f aca="false">SUMIFS(الريسبي!$C$2:$C$1800,الريسبي!$A$2:$A$1800,$A101,الريسبي!$B$2:$B$1800,CE$1)</f>
        <v>0</v>
      </c>
      <c r="CF101" s="115" t="n">
        <f aca="false">SUMIFS(الريسبي!$C$2:$C$1800,الريسبي!$A$2:$A$1800,$A101,الريسبي!$B$2:$B$1800,CF$1)</f>
        <v>0</v>
      </c>
      <c r="CG101" s="115" t="n">
        <f aca="false">SUMIFS(الريسبي!$C$2:$C$1800,الريسبي!$A$2:$A$1800,$A101,الريسبي!$B$2:$B$1800,CG$1)</f>
        <v>0</v>
      </c>
      <c r="CH101" s="115" t="n">
        <f aca="false">SUMIFS(الريسبي!$C$2:$C$1800,الريسبي!$A$2:$A$1800,$A101,الريسبي!$B$2:$B$1800,CH$1)</f>
        <v>0</v>
      </c>
    </row>
    <row r="102" customFormat="false" ht="15" hidden="false" customHeight="false" outlineLevel="0" collapsed="false">
      <c r="A102" s="114" t="str">
        <f aca="false">المنيو!B102</f>
        <v>فطيرة مشكل لحوم صيامي مخصوص</v>
      </c>
      <c r="B102" s="115" t="n">
        <f aca="false">SUMIFS(الريسبي!$C$2:$C$1800,الريسبي!$A$2:$A$1800,$A102,الريسبي!$B$2:$B$1800,B$1)</f>
        <v>0</v>
      </c>
      <c r="C102" s="115" t="n">
        <f aca="false">SUMIFS(الريسبي!$C$2:$C$1800,الريسبي!$A$2:$A$1800,$A102,الريسبي!$B$2:$B$1800,C$1)</f>
        <v>0</v>
      </c>
      <c r="D102" s="115" t="n">
        <f aca="false">SUMIFS(الريسبي!$C$2:$C$1800,الريسبي!$A$2:$A$1800,$A102,الريسبي!$B$2:$B$1800,D$1)</f>
        <v>1</v>
      </c>
      <c r="E102" s="115" t="n">
        <f aca="false">SUMIFS(الريسبي!$C$2:$C$1800,الريسبي!$A$2:$A$1800,$A102,الريسبي!$B$2:$B$1800,E$1)</f>
        <v>0</v>
      </c>
      <c r="F102" s="115" t="n">
        <f aca="false">SUMIFS(الريسبي!$C$2:$C$1800,الريسبي!$A$2:$A$1800,$A102,الريسبي!$B$2:$B$1800,F$1)</f>
        <v>0</v>
      </c>
      <c r="G102" s="115" t="n">
        <f aca="false">SUMIFS(الريسبي!$C$2:$C$1800,الريسبي!$A$2:$A$1800,$A102,الريسبي!$B$2:$B$1800,G$1)</f>
        <v>0</v>
      </c>
      <c r="H102" s="115" t="n">
        <f aca="false">SUMIFS(الريسبي!$C$2:$C$1800,الريسبي!$A$2:$A$1800,$A102,الريسبي!$B$2:$B$1800,H$1)</f>
        <v>0</v>
      </c>
      <c r="I102" s="115" t="n">
        <f aca="false">SUMIFS(الريسبي!$C$2:$C$1800,الريسبي!$A$2:$A$1800,$A102,الريسبي!$B$2:$B$1800,I$1)</f>
        <v>0</v>
      </c>
      <c r="J102" s="115" t="n">
        <f aca="false">SUMIFS(الريسبي!$C$2:$C$1800,الريسبي!$A$2:$A$1800,$A102,الريسبي!$B$2:$B$1800,J$1)</f>
        <v>0</v>
      </c>
      <c r="K102" s="115" t="n">
        <f aca="false">SUMIFS(الريسبي!$C$2:$C$1800,الريسبي!$A$2:$A$1800,$A102,الريسبي!$B$2:$B$1800,K$1)</f>
        <v>0</v>
      </c>
      <c r="L102" s="115" t="n">
        <f aca="false">SUMIFS(الريسبي!$C$2:$C$1800,الريسبي!$A$2:$A$1800,$A102,الريسبي!$B$2:$B$1800,L$1)</f>
        <v>0</v>
      </c>
      <c r="M102" s="115" t="n">
        <f aca="false">SUMIFS(الريسبي!$C$2:$C$1800,الريسبي!$A$2:$A$1800,$A102,الريسبي!$B$2:$B$1800,M$1)</f>
        <v>0</v>
      </c>
      <c r="N102" s="115" t="n">
        <f aca="false">SUMIFS(الريسبي!$C$2:$C$1800,الريسبي!$A$2:$A$1800,$A102,الريسبي!$B$2:$B$1800,N$1)</f>
        <v>0</v>
      </c>
      <c r="O102" s="115" t="n">
        <f aca="false">SUMIFS(الريسبي!$C$2:$C$1800,الريسبي!$A$2:$A$1800,$A102,الريسبي!$B$2:$B$1800,O$1)</f>
        <v>0</v>
      </c>
      <c r="P102" s="115" t="n">
        <f aca="false">SUMIFS(الريسبي!$C$2:$C$1800,الريسبي!$A$2:$A$1800,$A102,الريسبي!$B$2:$B$1800,P$1)</f>
        <v>0</v>
      </c>
      <c r="Q102" s="115" t="n">
        <f aca="false">SUMIFS(الريسبي!$C$2:$C$1800,الريسبي!$A$2:$A$1800,$A102,الريسبي!$B$2:$B$1800,Q$1)</f>
        <v>0</v>
      </c>
      <c r="R102" s="115" t="n">
        <f aca="false">SUMIFS(الريسبي!$C$2:$C$1800,الريسبي!$A$2:$A$1800,$A102,الريسبي!$B$2:$B$1800,R$1)</f>
        <v>0</v>
      </c>
      <c r="S102" s="115" t="n">
        <f aca="false">SUMIFS(الريسبي!$C$2:$C$1800,الريسبي!$A$2:$A$1800,$A102,الريسبي!$B$2:$B$1800,S$1)</f>
        <v>0</v>
      </c>
      <c r="T102" s="115" t="n">
        <f aca="false">SUMIFS(الريسبي!$C$2:$C$1800,الريسبي!$A$2:$A$1800,$A102,الريسبي!$B$2:$B$1800,T$1)</f>
        <v>0</v>
      </c>
      <c r="U102" s="115" t="n">
        <f aca="false">SUMIFS(الريسبي!$C$2:$C$1800,الريسبي!$A$2:$A$1800,$A102,الريسبي!$B$2:$B$1800,U$1)</f>
        <v>0</v>
      </c>
      <c r="V102" s="115" t="n">
        <f aca="false">SUMIFS(الريسبي!$C$2:$C$1800,الريسبي!$A$2:$A$1800,$A102,الريسبي!$B$2:$B$1800,V$1)</f>
        <v>0</v>
      </c>
      <c r="W102" s="115" t="n">
        <f aca="false">SUMIFS(الريسبي!$C$2:$C$1800,الريسبي!$A$2:$A$1800,$A102,الريسبي!$B$2:$B$1800,W$1)</f>
        <v>0</v>
      </c>
      <c r="X102" s="115" t="n">
        <f aca="false">SUMIFS(الريسبي!$C$2:$C$1800,الريسبي!$A$2:$A$1800,$A102,الريسبي!$B$2:$B$1800,X$1)</f>
        <v>0</v>
      </c>
      <c r="Y102" s="115" t="n">
        <f aca="false">SUMIFS(الريسبي!$C$2:$C$1800,الريسبي!$A$2:$A$1800,$A102,الريسبي!$B$2:$B$1800,Y$1)</f>
        <v>1</v>
      </c>
      <c r="Z102" s="115" t="n">
        <f aca="false">SUMIFS(الريسبي!$C$2:$C$1800,الريسبي!$A$2:$A$1800,$A102,الريسبي!$B$2:$B$1800,Z$1)</f>
        <v>0</v>
      </c>
      <c r="AA102" s="115" t="n">
        <f aca="false">SUMIFS(الريسبي!$C$2:$C$1800,الريسبي!$A$2:$A$1800,$A102,الريسبي!$B$2:$B$1800,AA$1)</f>
        <v>0</v>
      </c>
      <c r="AB102" s="115" t="n">
        <f aca="false">SUMIFS(الريسبي!$C$2:$C$1800,الريسبي!$A$2:$A$1800,$A102,الريسبي!$B$2:$B$1800,AB$1)</f>
        <v>0</v>
      </c>
      <c r="AC102" s="115" t="n">
        <f aca="false">SUMIFS(الريسبي!$C$2:$C$1800,الريسبي!$A$2:$A$1800,$A102,الريسبي!$B$2:$B$1800,AC$1)</f>
        <v>0</v>
      </c>
      <c r="AD102" s="115" t="n">
        <f aca="false">SUMIFS(الريسبي!$C$2:$C$1800,الريسبي!$A$2:$A$1800,$A102,الريسبي!$B$2:$B$1800,AD$1)</f>
        <v>0</v>
      </c>
      <c r="AE102" s="115" t="n">
        <f aca="false">SUMIFS(الريسبي!$C$2:$C$1800,الريسبي!$A$2:$A$1800,$A102,الريسبي!$B$2:$B$1800,AE$1)</f>
        <v>0</v>
      </c>
      <c r="AF102" s="115" t="n">
        <f aca="false">SUMIFS(الريسبي!$C$2:$C$1800,الريسبي!$A$2:$A$1800,$A102,الريسبي!$B$2:$B$1800,AF$1)</f>
        <v>0</v>
      </c>
      <c r="AG102" s="115" t="n">
        <f aca="false">SUMIFS(الريسبي!$C$2:$C$1800,الريسبي!$A$2:$A$1800,$A102,الريسبي!$B$2:$B$1800,AG$1)</f>
        <v>0</v>
      </c>
      <c r="AH102" s="115" t="n">
        <f aca="false">SUMIFS(الريسبي!$C$2:$C$1800,الريسبي!$A$2:$A$1800,$A102,الريسبي!$B$2:$B$1800,AH$1)</f>
        <v>0</v>
      </c>
      <c r="AI102" s="115" t="n">
        <f aca="false">SUMIFS(الريسبي!$C$2:$C$1800,الريسبي!$A$2:$A$1800,$A102,الريسبي!$B$2:$B$1800,AI$1)</f>
        <v>0</v>
      </c>
      <c r="AJ102" s="115" t="n">
        <f aca="false">SUMIFS(الريسبي!$C$2:$C$1800,الريسبي!$A$2:$A$1800,$A102,الريسبي!$B$2:$B$1800,AJ$1)</f>
        <v>2</v>
      </c>
      <c r="AK102" s="115" t="n">
        <f aca="false">SUMIFS(الريسبي!$C$2:$C$1800,الريسبي!$A$2:$A$1800,$A102,الريسبي!$B$2:$B$1800,AK$1)</f>
        <v>0</v>
      </c>
      <c r="AL102" s="115" t="n">
        <f aca="false">SUMIFS(الريسبي!$C$2:$C$1800,الريسبي!$A$2:$A$1800,$A102,الريسبي!$B$2:$B$1800,AL$1)</f>
        <v>0</v>
      </c>
      <c r="AM102" s="115"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15"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15" t="n">
        <f aca="false">SUMIFS(الريسبي!$C$2:$C$1800,الريسبي!$A$2:$A$1800,$A102,الريسبي!$B$2:$B$1800,AO$1)</f>
        <v>0</v>
      </c>
      <c r="AP102" s="115" t="n">
        <f aca="false">SUMIFS(الريسبي!$C$2:$C$1800,الريسبي!$A$2:$A$1800,$A102,الريسبي!$B$2:$B$1800,AP$1)</f>
        <v>0.03</v>
      </c>
      <c r="AQ102" s="115"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15" t="n">
        <f aca="false">SUMIFS(الريسبي!$C$2:$C$1800,الريسبي!$A$2:$A$1800,$A102,الريسبي!$B$2:$B$1800,AR$1)</f>
        <v>0</v>
      </c>
      <c r="AS102" s="115" t="n">
        <f aca="false">SUMIFS(الريسبي!$C$2:$C$1800,الريسبي!$A$2:$A$1800,$A102,الريسبي!$B$2:$B$1800,AS$1)</f>
        <v>0</v>
      </c>
      <c r="AT102" s="115" t="n">
        <f aca="false">SUMIFS(الريسبي!$C$2:$C$1800,الريسبي!$A$2:$A$1800,$A102,الريسبي!$B$2:$B$1800,AT$1)</f>
        <v>0</v>
      </c>
      <c r="AU102" s="115" t="n">
        <f aca="false">SUMIFS(الريسبي!$C$2:$C$1800,الريسبي!$A$2:$A$1800,$A102,الريسبي!$B$2:$B$1800,AU$1)</f>
        <v>0</v>
      </c>
      <c r="AV102" s="115" t="n">
        <f aca="false">SUMIFS(الريسبي!$C$2:$C$1800,الريسبي!$A$2:$A$1800,$A102,الريسبي!$B$2:$B$1800,AV$1)</f>
        <v>0</v>
      </c>
      <c r="AW102" s="115" t="n">
        <f aca="false">SUMIFS(الريسبي!$C$2:$C$1800,الريسبي!$A$2:$A$1800,$A102,الريسبي!$B$2:$B$1800,AW$1)</f>
        <v>0</v>
      </c>
      <c r="AX102" s="115" t="n">
        <f aca="false">SUMIFS(الريسبي!$C$2:$C$1800,الريسبي!$A$2:$A$1800,$A102,الريسبي!$B$2:$B$1800,AX$1)</f>
        <v>0</v>
      </c>
      <c r="AY102" s="115" t="n">
        <f aca="false">SUMIFS(الريسبي!$C$2:$C$1800,الريسبي!$A$2:$A$1800,$A102,الريسبي!$B$2:$B$1800,AY$1)</f>
        <v>0</v>
      </c>
      <c r="AZ102" s="115" t="n">
        <f aca="false">SUMIFS(الريسبي!$C$2:$C$1800,الريسبي!$A$2:$A$1800,$A102,الريسبي!$B$2:$B$1800,AZ$1)</f>
        <v>0</v>
      </c>
      <c r="BA102" s="115" t="n">
        <f aca="false">SUMIFS(الريسبي!$C$2:$C$1800,الريسبي!$A$2:$A$1800,$A102,الريسبي!$B$2:$B$1800,BA$1)</f>
        <v>0</v>
      </c>
      <c r="BB102" s="115" t="n">
        <f aca="false">SUMIFS(الريسبي!$C$2:$C$1800,الريسبي!$A$2:$A$1800,$A102,الريسبي!$B$2:$B$1800,BB$1)</f>
        <v>0</v>
      </c>
      <c r="BC102" s="115" t="n">
        <f aca="false">SUMIFS(الريسبي!$C$2:$C$1800,الريسبي!$A$2:$A$1800,$A102,الريسبي!$B$2:$B$1800,BC$1)</f>
        <v>0.045</v>
      </c>
      <c r="BD102" s="115" t="n">
        <f aca="false">SUMIFS(الريسبي!$C$2:$C$1800,الريسبي!$A$2:$A$1800,$A102,الريسبي!$B$2:$B$1800,BD$1)</f>
        <v>0</v>
      </c>
      <c r="BE102" s="115" t="n">
        <f aca="false">SUMIFS(الريسبي!$C$2:$C$1800,الريسبي!$A$2:$A$1800,$A102,الريسبي!$B$2:$B$1800,BE$1)</f>
        <v>1.5</v>
      </c>
      <c r="BF102" s="115" t="n">
        <f aca="false">SUMIFS(الريسبي!$C$2:$C$1800,الريسبي!$A$2:$A$1800,$A102,الريسبي!$B$2:$B$1800,BF$1)</f>
        <v>0</v>
      </c>
      <c r="BG102" s="115" t="n">
        <f aca="false">SUMIFS(الريسبي!$C$2:$C$1800,الريسبي!$A$2:$A$1800,$A102,الريسبي!$B$2:$B$1800,BG$1)</f>
        <v>1</v>
      </c>
      <c r="BH102" s="115" t="n">
        <f aca="false">SUMIFS(الريسبي!$C$2:$C$1800,الريسبي!$A$2:$A$1800,$A102,الريسبي!$B$2:$B$1800,BH$1)</f>
        <v>0</v>
      </c>
      <c r="BI102" s="115" t="n">
        <f aca="false">SUMIFS(الريسبي!$C$2:$C$1800,الريسبي!$A$2:$A$1800,$A102,الريسبي!$B$2:$B$1800,BI$1)</f>
        <v>0</v>
      </c>
      <c r="BJ102" s="115" t="n">
        <f aca="false">SUMIFS(الريسبي!$C$2:$C$1800,الريسبي!$A$2:$A$1800,$A102,الريسبي!$B$2:$B$1800,BJ$1)</f>
        <v>0</v>
      </c>
      <c r="BK102" s="115" t="n">
        <f aca="false">SUMIFS(الريسبي!$C$2:$C$1800,الريسبي!$A$2:$A$1800,$A102,الريسبي!$B$2:$B$1800,BK$1)</f>
        <v>0</v>
      </c>
      <c r="BL102" s="115" t="n">
        <f aca="false">SUMIFS(الريسبي!$C$2:$C$1800,الريسبي!$A$2:$A$1800,$A102,الريسبي!$B$2:$B$1800,BL$1)</f>
        <v>0</v>
      </c>
      <c r="BM102" s="115" t="n">
        <f aca="false">SUMIFS(الريسبي!$C$2:$C$1800,الريسبي!$A$2:$A$1800,$A102,الريسبي!$B$2:$B$1800,BM$1)</f>
        <v>0</v>
      </c>
      <c r="BN102" s="115" t="n">
        <f aca="false">SUMIFS(الريسبي!$C$2:$C$1800,الريسبي!$A$2:$A$1800,$A102,الريسبي!$B$2:$B$1800,BN$1)</f>
        <v>0.03</v>
      </c>
      <c r="BO102" s="115" t="n">
        <f aca="false">SUMIFS(الريسبي!$C$2:$C$1800,الريسبي!$A$2:$A$1800,$A102,الريسبي!$B$2:$B$1800,BO$1)</f>
        <v>0</v>
      </c>
      <c r="BP102" s="115" t="n">
        <f aca="false">SUMIFS(الريسبي!$C$2:$C$1800,الريسبي!$A$2:$A$1800,$A102,الريسبي!$B$2:$B$1800,BP$1)</f>
        <v>3</v>
      </c>
      <c r="BQ102" s="115"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15" t="n">
        <f aca="false">SUMIFS(الريسبي!$C$2:$C$1800,الريسبي!$A$2:$A$1800,$A102,الريسبي!$B$2:$B$1800,BR$1)</f>
        <v>1</v>
      </c>
      <c r="BS102" s="115" t="n">
        <f aca="false">SUMIFS(الريسبي!$C$2:$C$1800,الريسبي!$A$2:$A$1800,$A102,الريسبي!$B$2:$B$1800,BS$1)</f>
        <v>0</v>
      </c>
      <c r="BT102" s="115" t="n">
        <f aca="false">SUMIFS(الريسبي!$C$2:$C$1800,الريسبي!$A$2:$A$1800,$A102,الريسبي!$B$2:$B$1800,BT$1)</f>
        <v>0</v>
      </c>
      <c r="BU102" s="115"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15" t="n">
        <f aca="false">SUMIFS(الريسبي!$C$2:$C$1800,الريسبي!$A$2:$A$1800,$A102,الريسبي!$B$2:$B$1800,BV$1)</f>
        <v>0</v>
      </c>
      <c r="BW102" s="115" t="n">
        <f aca="false">SUMIFS(الريسبي!$C$2:$C$1800,الريسبي!$A$2:$A$1800,$A102,الريسبي!$B$2:$B$1800,BW$1)</f>
        <v>0</v>
      </c>
      <c r="BX102" s="115" t="n">
        <f aca="false">SUMIFS(الريسبي!$C$2:$C$1800,الريسبي!$A$2:$A$1800,$A102,الريسبي!$B$2:$B$1800,BX$1)</f>
        <v>0</v>
      </c>
      <c r="BY102" s="115" t="n">
        <f aca="false">SUMIFS(الريسبي!$C$2:$C$1800,الريسبي!$A$2:$A$1800,$A102,الريسبي!$B$2:$B$1800,BY$1)</f>
        <v>0</v>
      </c>
      <c r="BZ102" s="115" t="n">
        <f aca="false">SUMIFS(الريسبي!$C$2:$C$1800,الريسبي!$A$2:$A$1800,$A102,الريسبي!$B$2:$B$1800,BZ$1)</f>
        <v>1</v>
      </c>
      <c r="CA102" s="115" t="n">
        <f aca="false">SUMIFS(الريسبي!$C$2:$C$1800,الريسبي!$A$2:$A$1800,$A102,الريسبي!$B$2:$B$1800,CA$1)</f>
        <v>1</v>
      </c>
      <c r="CB102" s="115" t="n">
        <f aca="false">SUMIFS(الريسبي!$C$2:$C$1800,الريسبي!$A$2:$A$1800,$A102,الريسبي!$B$2:$B$1800,CB$1)</f>
        <v>0</v>
      </c>
      <c r="CC102" s="115" t="n">
        <f aca="false">SUMIFS(الريسبي!$C$2:$C$1800,الريسبي!$A$2:$A$1800,$A102,الريسبي!$B$2:$B$1800,CC$1)</f>
        <v>0.09</v>
      </c>
      <c r="CD102" s="115" t="n">
        <f aca="false">SUMIFS(الريسبي!$C$2:$C$1800,الريسبي!$A$2:$A$1800,$A102,الريسبي!$B$2:$B$1800,CD$1)</f>
        <v>0.105</v>
      </c>
      <c r="CE102" s="115" t="n">
        <f aca="false">SUMIFS(الريسبي!$C$2:$C$1800,الريسبي!$A$2:$A$1800,$A102,الريسبي!$B$2:$B$1800,CE$1)</f>
        <v>0</v>
      </c>
      <c r="CF102" s="115" t="n">
        <f aca="false">SUMIFS(الريسبي!$C$2:$C$1800,الريسبي!$A$2:$A$1800,$A102,الريسبي!$B$2:$B$1800,CF$1)</f>
        <v>0</v>
      </c>
      <c r="CG102" s="115" t="n">
        <f aca="false">SUMIFS(الريسبي!$C$2:$C$1800,الريسبي!$A$2:$A$1800,$A102,الريسبي!$B$2:$B$1800,CG$1)</f>
        <v>0</v>
      </c>
      <c r="CH102" s="115" t="n">
        <f aca="false">SUMIFS(الريسبي!$C$2:$C$1800,الريسبي!$A$2:$A$1800,$A102,الريسبي!$B$2:$B$1800,CH$1)</f>
        <v>0</v>
      </c>
    </row>
    <row r="103" customFormat="false" ht="15" hidden="false" customHeight="false" outlineLevel="0" collapsed="false">
      <c r="A103" s="114" t="str">
        <f aca="false">المنيو!B103</f>
        <v>فطيرة مشكل جبن صيامي وسط</v>
      </c>
      <c r="B103" s="115" t="n">
        <f aca="false">SUMIFS(الريسبي!$C$2:$C$1800,الريسبي!$A$2:$A$1800,$A103,الريسبي!$B$2:$B$1800,B$1)</f>
        <v>0</v>
      </c>
      <c r="C103" s="115" t="n">
        <f aca="false">SUMIFS(الريسبي!$C$2:$C$1800,الريسبي!$A$2:$A$1800,$A103,الريسبي!$B$2:$B$1800,C$1)</f>
        <v>0</v>
      </c>
      <c r="D103" s="115" t="n">
        <f aca="false">SUMIFS(الريسبي!$C$2:$C$1800,الريسبي!$A$2:$A$1800,$A103,الريسبي!$B$2:$B$1800,D$1)</f>
        <v>1</v>
      </c>
      <c r="E103" s="115" t="n">
        <f aca="false">SUMIFS(الريسبي!$C$2:$C$1800,الريسبي!$A$2:$A$1800,$A103,الريسبي!$B$2:$B$1800,E$1)</f>
        <v>0</v>
      </c>
      <c r="F103" s="115" t="n">
        <f aca="false">SUMIFS(الريسبي!$C$2:$C$1800,الريسبي!$A$2:$A$1800,$A103,الريسبي!$B$2:$B$1800,F$1)</f>
        <v>0</v>
      </c>
      <c r="G103" s="115" t="n">
        <f aca="false">SUMIFS(الريسبي!$C$2:$C$1800,الريسبي!$A$2:$A$1800,$A103,الريسبي!$B$2:$B$1800,G$1)</f>
        <v>0</v>
      </c>
      <c r="H103" s="115" t="n">
        <f aca="false">SUMIFS(الريسبي!$C$2:$C$1800,الريسبي!$A$2:$A$1800,$A103,الريسبي!$B$2:$B$1800,H$1)</f>
        <v>0</v>
      </c>
      <c r="I103" s="115" t="n">
        <f aca="false">SUMIFS(الريسبي!$C$2:$C$1800,الريسبي!$A$2:$A$1800,$A103,الريسبي!$B$2:$B$1800,I$1)</f>
        <v>0</v>
      </c>
      <c r="J103" s="115" t="n">
        <f aca="false">SUMIFS(الريسبي!$C$2:$C$1800,الريسبي!$A$2:$A$1800,$A103,الريسبي!$B$2:$B$1800,J$1)</f>
        <v>0</v>
      </c>
      <c r="K103" s="115" t="n">
        <f aca="false">SUMIFS(الريسبي!$C$2:$C$1800,الريسبي!$A$2:$A$1800,$A103,الريسبي!$B$2:$B$1800,K$1)</f>
        <v>0</v>
      </c>
      <c r="L103" s="115" t="n">
        <f aca="false">SUMIFS(الريسبي!$C$2:$C$1800,الريسبي!$A$2:$A$1800,$A103,الريسبي!$B$2:$B$1800,L$1)</f>
        <v>0</v>
      </c>
      <c r="M103" s="115" t="n">
        <f aca="false">SUMIFS(الريسبي!$C$2:$C$1800,الريسبي!$A$2:$A$1800,$A103,الريسبي!$B$2:$B$1800,M$1)</f>
        <v>0</v>
      </c>
      <c r="N103" s="115" t="n">
        <f aca="false">SUMIFS(الريسبي!$C$2:$C$1800,الريسبي!$A$2:$A$1800,$A103,الريسبي!$B$2:$B$1800,N$1)</f>
        <v>0</v>
      </c>
      <c r="O103" s="115" t="n">
        <f aca="false">SUMIFS(الريسبي!$C$2:$C$1800,الريسبي!$A$2:$A$1800,$A103,الريسبي!$B$2:$B$1800,O$1)</f>
        <v>0</v>
      </c>
      <c r="P103" s="115" t="n">
        <f aca="false">SUMIFS(الريسبي!$C$2:$C$1800,الريسبي!$A$2:$A$1800,$A103,الريسبي!$B$2:$B$1800,P$1)</f>
        <v>0</v>
      </c>
      <c r="Q103" s="115" t="n">
        <f aca="false">SUMIFS(الريسبي!$C$2:$C$1800,الريسبي!$A$2:$A$1800,$A103,الريسبي!$B$2:$B$1800,Q$1)</f>
        <v>0</v>
      </c>
      <c r="R103" s="115" t="n">
        <f aca="false">SUMIFS(الريسبي!$C$2:$C$1800,الريسبي!$A$2:$A$1800,$A103,الريسبي!$B$2:$B$1800,R$1)</f>
        <v>0</v>
      </c>
      <c r="S103" s="115" t="n">
        <f aca="false">SUMIFS(الريسبي!$C$2:$C$1800,الريسبي!$A$2:$A$1800,$A103,الريسبي!$B$2:$B$1800,S$1)</f>
        <v>0</v>
      </c>
      <c r="T103" s="115" t="n">
        <f aca="false">SUMIFS(الريسبي!$C$2:$C$1800,الريسبي!$A$2:$A$1800,$A103,الريسبي!$B$2:$B$1800,T$1)</f>
        <v>0</v>
      </c>
      <c r="U103" s="115" t="n">
        <f aca="false">SUMIFS(الريسبي!$C$2:$C$1800,الريسبي!$A$2:$A$1800,$A103,الريسبي!$B$2:$B$1800,U$1)</f>
        <v>0</v>
      </c>
      <c r="V103" s="115" t="n">
        <f aca="false">SUMIFS(الريسبي!$C$2:$C$1800,الريسبي!$A$2:$A$1800,$A103,الريسبي!$B$2:$B$1800,V$1)</f>
        <v>0</v>
      </c>
      <c r="W103" s="115" t="n">
        <f aca="false">SUMIFS(الريسبي!$C$2:$C$1800,الريسبي!$A$2:$A$1800,$A103,الريسبي!$B$2:$B$1800,W$1)</f>
        <v>0</v>
      </c>
      <c r="X103" s="115" t="n">
        <f aca="false">SUMIFS(الريسبي!$C$2:$C$1800,الريسبي!$A$2:$A$1800,$A103,الريسبي!$B$2:$B$1800,X$1)</f>
        <v>1</v>
      </c>
      <c r="Y103" s="115" t="n">
        <f aca="false">SUMIFS(الريسبي!$C$2:$C$1800,الريسبي!$A$2:$A$1800,$A103,الريسبي!$B$2:$B$1800,Y$1)</f>
        <v>0</v>
      </c>
      <c r="Z103" s="115" t="n">
        <f aca="false">SUMIFS(الريسبي!$C$2:$C$1800,الريسبي!$A$2:$A$1800,$A103,الريسبي!$B$2:$B$1800,Z$1)</f>
        <v>0</v>
      </c>
      <c r="AA103" s="115" t="n">
        <f aca="false">SUMIFS(الريسبي!$C$2:$C$1800,الريسبي!$A$2:$A$1800,$A103,الريسبي!$B$2:$B$1800,AA$1)</f>
        <v>0</v>
      </c>
      <c r="AB103" s="115" t="n">
        <f aca="false">SUMIFS(الريسبي!$C$2:$C$1800,الريسبي!$A$2:$A$1800,$A103,الريسبي!$B$2:$B$1800,AB$1)</f>
        <v>0</v>
      </c>
      <c r="AC103" s="115" t="n">
        <f aca="false">SUMIFS(الريسبي!$C$2:$C$1800,الريسبي!$A$2:$A$1800,$A103,الريسبي!$B$2:$B$1800,AC$1)</f>
        <v>0</v>
      </c>
      <c r="AD103" s="115" t="n">
        <f aca="false">SUMIFS(الريسبي!$C$2:$C$1800,الريسبي!$A$2:$A$1800,$A103,الريسبي!$B$2:$B$1800,AD$1)</f>
        <v>0</v>
      </c>
      <c r="AE103" s="115" t="n">
        <f aca="false">SUMIFS(الريسبي!$C$2:$C$1800,الريسبي!$A$2:$A$1800,$A103,الريسبي!$B$2:$B$1800,AE$1)</f>
        <v>0</v>
      </c>
      <c r="AF103" s="115" t="n">
        <f aca="false">SUMIFS(الريسبي!$C$2:$C$1800,الريسبي!$A$2:$A$1800,$A103,الريسبي!$B$2:$B$1800,AF$1)</f>
        <v>0</v>
      </c>
      <c r="AG103" s="115" t="n">
        <f aca="false">SUMIFS(الريسبي!$C$2:$C$1800,الريسبي!$A$2:$A$1800,$A103,الريسبي!$B$2:$B$1800,AG$1)</f>
        <v>0</v>
      </c>
      <c r="AH103" s="115" t="n">
        <f aca="false">SUMIFS(الريسبي!$C$2:$C$1800,الريسبي!$A$2:$A$1800,$A103,الريسبي!$B$2:$B$1800,AH$1)</f>
        <v>0</v>
      </c>
      <c r="AI103" s="115" t="n">
        <f aca="false">SUMIFS(الريسبي!$C$2:$C$1800,الريسبي!$A$2:$A$1800,$A103,الريسبي!$B$2:$B$1800,AI$1)</f>
        <v>0.1</v>
      </c>
      <c r="AJ103" s="115" t="n">
        <f aca="false">SUMIFS(الريسبي!$C$2:$C$1800,الريسبي!$A$2:$A$1800,$A103,الريسبي!$B$2:$B$1800,AJ$1)</f>
        <v>2</v>
      </c>
      <c r="AK103" s="115" t="n">
        <f aca="false">SUMIFS(الريسبي!$C$2:$C$1800,الريسبي!$A$2:$A$1800,$A103,الريسبي!$B$2:$B$1800,AK$1)</f>
        <v>0</v>
      </c>
      <c r="AL103" s="115" t="n">
        <f aca="false">SUMIFS(الريسبي!$C$2:$C$1800,الريسبي!$A$2:$A$1800,$A103,الريسبي!$B$2:$B$1800,AL$1)</f>
        <v>0</v>
      </c>
      <c r="AM103" s="115"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15"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15" t="n">
        <f aca="false">SUMIFS(الريسبي!$C$2:$C$1800,الريسبي!$A$2:$A$1800,$A103,الريسبي!$B$2:$B$1800,AO$1)</f>
        <v>0</v>
      </c>
      <c r="AP103" s="115" t="n">
        <f aca="false">SUMIFS(الريسبي!$C$2:$C$1800,الريسبي!$A$2:$A$1800,$A103,الريسبي!$B$2:$B$1800,AP$1)</f>
        <v>0.02</v>
      </c>
      <c r="AQ103" s="115"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15" t="n">
        <f aca="false">SUMIFS(الريسبي!$C$2:$C$1800,الريسبي!$A$2:$A$1800,$A103,الريسبي!$B$2:$B$1800,AR$1)</f>
        <v>0</v>
      </c>
      <c r="AS103" s="115" t="n">
        <f aca="false">SUMIFS(الريسبي!$C$2:$C$1800,الريسبي!$A$2:$A$1800,$A103,الريسبي!$B$2:$B$1800,AS$1)</f>
        <v>0</v>
      </c>
      <c r="AT103" s="115" t="n">
        <f aca="false">SUMIFS(الريسبي!$C$2:$C$1800,الريسبي!$A$2:$A$1800,$A103,الريسبي!$B$2:$B$1800,AT$1)</f>
        <v>0</v>
      </c>
      <c r="AU103" s="115" t="n">
        <f aca="false">SUMIFS(الريسبي!$C$2:$C$1800,الريسبي!$A$2:$A$1800,$A103,الريسبي!$B$2:$B$1800,AU$1)</f>
        <v>0</v>
      </c>
      <c r="AV103" s="115" t="n">
        <f aca="false">SUMIFS(الريسبي!$C$2:$C$1800,الريسبي!$A$2:$A$1800,$A103,الريسبي!$B$2:$B$1800,AV$1)</f>
        <v>0</v>
      </c>
      <c r="AW103" s="115" t="n">
        <f aca="false">SUMIFS(الريسبي!$C$2:$C$1800,الريسبي!$A$2:$A$1800,$A103,الريسبي!$B$2:$B$1800,AW$1)</f>
        <v>0</v>
      </c>
      <c r="AX103" s="115" t="n">
        <f aca="false">SUMIFS(الريسبي!$C$2:$C$1800,الريسبي!$A$2:$A$1800,$A103,الريسبي!$B$2:$B$1800,AX$1)</f>
        <v>0</v>
      </c>
      <c r="AY103" s="115" t="n">
        <f aca="false">SUMIFS(الريسبي!$C$2:$C$1800,الريسبي!$A$2:$A$1800,$A103,الريسبي!$B$2:$B$1800,AY$1)</f>
        <v>0</v>
      </c>
      <c r="AZ103" s="115" t="n">
        <f aca="false">SUMIFS(الريسبي!$C$2:$C$1800,الريسبي!$A$2:$A$1800,$A103,الريسبي!$B$2:$B$1800,AZ$1)</f>
        <v>0</v>
      </c>
      <c r="BA103" s="115" t="n">
        <f aca="false">SUMIFS(الريسبي!$C$2:$C$1800,الريسبي!$A$2:$A$1800,$A103,الريسبي!$B$2:$B$1800,BA$1)</f>
        <v>0</v>
      </c>
      <c r="BB103" s="115" t="n">
        <f aca="false">SUMIFS(الريسبي!$C$2:$C$1800,الريسبي!$A$2:$A$1800,$A103,الريسبي!$B$2:$B$1800,BB$1)</f>
        <v>0</v>
      </c>
      <c r="BC103" s="115" t="n">
        <f aca="false">SUMIFS(الريسبي!$C$2:$C$1800,الريسبي!$A$2:$A$1800,$A103,الريسبي!$B$2:$B$1800,BC$1)</f>
        <v>0.03</v>
      </c>
      <c r="BD103" s="115" t="n">
        <f aca="false">SUMIFS(الريسبي!$C$2:$C$1800,الريسبي!$A$2:$A$1800,$A103,الريسبي!$B$2:$B$1800,BD$1)</f>
        <v>0</v>
      </c>
      <c r="BE103" s="115" t="n">
        <f aca="false">SUMIFS(الريسبي!$C$2:$C$1800,الريسبي!$A$2:$A$1800,$A103,الريسبي!$B$2:$B$1800,BE$1)</f>
        <v>1</v>
      </c>
      <c r="BF103" s="115" t="n">
        <f aca="false">SUMIFS(الريسبي!$C$2:$C$1800,الريسبي!$A$2:$A$1800,$A103,الريسبي!$B$2:$B$1800,BF$1)</f>
        <v>0</v>
      </c>
      <c r="BG103" s="115" t="n">
        <f aca="false">SUMIFS(الريسبي!$C$2:$C$1800,الريسبي!$A$2:$A$1800,$A103,الريسبي!$B$2:$B$1800,BG$1)</f>
        <v>0</v>
      </c>
      <c r="BH103" s="115" t="n">
        <f aca="false">SUMIFS(الريسبي!$C$2:$C$1800,الريسبي!$A$2:$A$1800,$A103,الريسبي!$B$2:$B$1800,BH$1)</f>
        <v>1</v>
      </c>
      <c r="BI103" s="115" t="n">
        <f aca="false">SUMIFS(الريسبي!$C$2:$C$1800,الريسبي!$A$2:$A$1800,$A103,الريسبي!$B$2:$B$1800,BI$1)</f>
        <v>0</v>
      </c>
      <c r="BJ103" s="115" t="n">
        <f aca="false">SUMIFS(الريسبي!$C$2:$C$1800,الريسبي!$A$2:$A$1800,$A103,الريسبي!$B$2:$B$1800,BJ$1)</f>
        <v>0</v>
      </c>
      <c r="BK103" s="115" t="n">
        <f aca="false">SUMIFS(الريسبي!$C$2:$C$1800,الريسبي!$A$2:$A$1800,$A103,الريسبي!$B$2:$B$1800,BK$1)</f>
        <v>0</v>
      </c>
      <c r="BL103" s="115" t="n">
        <f aca="false">SUMIFS(الريسبي!$C$2:$C$1800,الريسبي!$A$2:$A$1800,$A103,الريسبي!$B$2:$B$1800,BL$1)</f>
        <v>0</v>
      </c>
      <c r="BM103" s="115" t="n">
        <f aca="false">SUMIFS(الريسبي!$C$2:$C$1800,الريسبي!$A$2:$A$1800,$A103,الريسبي!$B$2:$B$1800,BM$1)</f>
        <v>0</v>
      </c>
      <c r="BN103" s="115" t="n">
        <f aca="false">SUMIFS(الريسبي!$C$2:$C$1800,الريسبي!$A$2:$A$1800,$A103,الريسبي!$B$2:$B$1800,BN$1)</f>
        <v>0.02</v>
      </c>
      <c r="BO103" s="115" t="n">
        <f aca="false">SUMIFS(الريسبي!$C$2:$C$1800,الريسبي!$A$2:$A$1800,$A103,الريسبي!$B$2:$B$1800,BO$1)</f>
        <v>0</v>
      </c>
      <c r="BP103" s="115" t="n">
        <f aca="false">SUMIFS(الريسبي!$C$2:$C$1800,الريسبي!$A$2:$A$1800,$A103,الريسبي!$B$2:$B$1800,BP$1)</f>
        <v>2</v>
      </c>
      <c r="BQ103" s="115"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15" t="n">
        <f aca="false">SUMIFS(الريسبي!$C$2:$C$1800,الريسبي!$A$2:$A$1800,$A103,الريسبي!$B$2:$B$1800,BR$1)</f>
        <v>1</v>
      </c>
      <c r="BS103" s="115" t="n">
        <f aca="false">SUMIFS(الريسبي!$C$2:$C$1800,الريسبي!$A$2:$A$1800,$A103,الريسبي!$B$2:$B$1800,BS$1)</f>
        <v>0</v>
      </c>
      <c r="BT103" s="115" t="n">
        <f aca="false">SUMIFS(الريسبي!$C$2:$C$1800,الريسبي!$A$2:$A$1800,$A103,الريسبي!$B$2:$B$1800,BT$1)</f>
        <v>0</v>
      </c>
      <c r="BU103" s="115"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15" t="n">
        <f aca="false">SUMIFS(الريسبي!$C$2:$C$1800,الريسبي!$A$2:$A$1800,$A103,الريسبي!$B$2:$B$1800,BV$1)</f>
        <v>0</v>
      </c>
      <c r="BW103" s="115" t="n">
        <f aca="false">SUMIFS(الريسبي!$C$2:$C$1800,الريسبي!$A$2:$A$1800,$A103,الريسبي!$B$2:$B$1800,BW$1)</f>
        <v>0</v>
      </c>
      <c r="BX103" s="115" t="n">
        <f aca="false">SUMIFS(الريسبي!$C$2:$C$1800,الريسبي!$A$2:$A$1800,$A103,الريسبي!$B$2:$B$1800,BX$1)</f>
        <v>0</v>
      </c>
      <c r="BY103" s="115" t="n">
        <f aca="false">SUMIFS(الريسبي!$C$2:$C$1800,الريسبي!$A$2:$A$1800,$A103,الريسبي!$B$2:$B$1800,BY$1)</f>
        <v>0</v>
      </c>
      <c r="BZ103" s="115" t="n">
        <f aca="false">SUMIFS(الريسبي!$C$2:$C$1800,الريسبي!$A$2:$A$1800,$A103,الريسبي!$B$2:$B$1800,BZ$1)</f>
        <v>1</v>
      </c>
      <c r="CA103" s="115" t="n">
        <f aca="false">SUMIFS(الريسبي!$C$2:$C$1800,الريسبي!$A$2:$A$1800,$A103,الريسبي!$B$2:$B$1800,CA$1)</f>
        <v>1</v>
      </c>
      <c r="CB103" s="115" t="n">
        <f aca="false">SUMIFS(الريسبي!$C$2:$C$1800,الريسبي!$A$2:$A$1800,$A103,الريسبي!$B$2:$B$1800,CB$1)</f>
        <v>0</v>
      </c>
      <c r="CC103" s="115" t="n">
        <f aca="false">SUMIFS(الريسبي!$C$2:$C$1800,الريسبي!$A$2:$A$1800,$A103,الريسبي!$B$2:$B$1800,CC$1)</f>
        <v>0</v>
      </c>
      <c r="CD103" s="115" t="n">
        <f aca="false">SUMIFS(الريسبي!$C$2:$C$1800,الريسبي!$A$2:$A$1800,$A103,الريسبي!$B$2:$B$1800,CD$1)</f>
        <v>0</v>
      </c>
      <c r="CE103" s="115" t="n">
        <f aca="false">SUMIFS(الريسبي!$C$2:$C$1800,الريسبي!$A$2:$A$1800,$A103,الريسبي!$B$2:$B$1800,CE$1)</f>
        <v>0</v>
      </c>
      <c r="CF103" s="115" t="n">
        <f aca="false">SUMIFS(الريسبي!$C$2:$C$1800,الريسبي!$A$2:$A$1800,$A103,الريسبي!$B$2:$B$1800,CF$1)</f>
        <v>0</v>
      </c>
      <c r="CG103" s="115" t="n">
        <f aca="false">SUMIFS(الريسبي!$C$2:$C$1800,الريسبي!$A$2:$A$1800,$A103,الريسبي!$B$2:$B$1800,CG$1)</f>
        <v>0</v>
      </c>
      <c r="CH103" s="115" t="n">
        <f aca="false">SUMIFS(الريسبي!$C$2:$C$1800,الريسبي!$A$2:$A$1800,$A103,الريسبي!$B$2:$B$1800,CH$1)</f>
        <v>0</v>
      </c>
    </row>
    <row r="104" customFormat="false" ht="15" hidden="false" customHeight="false" outlineLevel="0" collapsed="false">
      <c r="A104" s="114" t="str">
        <f aca="false">المنيو!B104</f>
        <v>فطيرة مشكل جبن صيامي مخصوص</v>
      </c>
      <c r="B104" s="115" t="n">
        <f aca="false">SUMIFS(الريسبي!$C$2:$C$1800,الريسبي!$A$2:$A$1800,$A104,الريسبي!$B$2:$B$1800,B$1)</f>
        <v>0</v>
      </c>
      <c r="C104" s="115" t="n">
        <f aca="false">SUMIFS(الريسبي!$C$2:$C$1800,الريسبي!$A$2:$A$1800,$A104,الريسبي!$B$2:$B$1800,C$1)</f>
        <v>0</v>
      </c>
      <c r="D104" s="115" t="n">
        <f aca="false">SUMIFS(الريسبي!$C$2:$C$1800,الريسبي!$A$2:$A$1800,$A104,الريسبي!$B$2:$B$1800,D$1)</f>
        <v>1</v>
      </c>
      <c r="E104" s="115" t="n">
        <f aca="false">SUMIFS(الريسبي!$C$2:$C$1800,الريسبي!$A$2:$A$1800,$A104,الريسبي!$B$2:$B$1800,E$1)</f>
        <v>0</v>
      </c>
      <c r="F104" s="115" t="n">
        <f aca="false">SUMIFS(الريسبي!$C$2:$C$1800,الريسبي!$A$2:$A$1800,$A104,الريسبي!$B$2:$B$1800,F$1)</f>
        <v>0</v>
      </c>
      <c r="G104" s="115" t="n">
        <f aca="false">SUMIFS(الريسبي!$C$2:$C$1800,الريسبي!$A$2:$A$1800,$A104,الريسبي!$B$2:$B$1800,G$1)</f>
        <v>0</v>
      </c>
      <c r="H104" s="115" t="n">
        <f aca="false">SUMIFS(الريسبي!$C$2:$C$1800,الريسبي!$A$2:$A$1800,$A104,الريسبي!$B$2:$B$1800,H$1)</f>
        <v>0</v>
      </c>
      <c r="I104" s="115" t="n">
        <f aca="false">SUMIFS(الريسبي!$C$2:$C$1800,الريسبي!$A$2:$A$1800,$A104,الريسبي!$B$2:$B$1800,I$1)</f>
        <v>0</v>
      </c>
      <c r="J104" s="115" t="n">
        <f aca="false">SUMIFS(الريسبي!$C$2:$C$1800,الريسبي!$A$2:$A$1800,$A104,الريسبي!$B$2:$B$1800,J$1)</f>
        <v>0</v>
      </c>
      <c r="K104" s="115" t="n">
        <f aca="false">SUMIFS(الريسبي!$C$2:$C$1800,الريسبي!$A$2:$A$1800,$A104,الريسبي!$B$2:$B$1800,K$1)</f>
        <v>0</v>
      </c>
      <c r="L104" s="115" t="n">
        <f aca="false">SUMIFS(الريسبي!$C$2:$C$1800,الريسبي!$A$2:$A$1800,$A104,الريسبي!$B$2:$B$1800,L$1)</f>
        <v>0</v>
      </c>
      <c r="M104" s="115" t="n">
        <f aca="false">SUMIFS(الريسبي!$C$2:$C$1800,الريسبي!$A$2:$A$1800,$A104,الريسبي!$B$2:$B$1800,M$1)</f>
        <v>0</v>
      </c>
      <c r="N104" s="115" t="n">
        <f aca="false">SUMIFS(الريسبي!$C$2:$C$1800,الريسبي!$A$2:$A$1800,$A104,الريسبي!$B$2:$B$1800,N$1)</f>
        <v>0</v>
      </c>
      <c r="O104" s="115" t="n">
        <f aca="false">SUMIFS(الريسبي!$C$2:$C$1800,الريسبي!$A$2:$A$1800,$A104,الريسبي!$B$2:$B$1800,O$1)</f>
        <v>0</v>
      </c>
      <c r="P104" s="115" t="n">
        <f aca="false">SUMIFS(الريسبي!$C$2:$C$1800,الريسبي!$A$2:$A$1800,$A104,الريسبي!$B$2:$B$1800,P$1)</f>
        <v>0</v>
      </c>
      <c r="Q104" s="115" t="n">
        <f aca="false">SUMIFS(الريسبي!$C$2:$C$1800,الريسبي!$A$2:$A$1800,$A104,الريسبي!$B$2:$B$1800,Q$1)</f>
        <v>0</v>
      </c>
      <c r="R104" s="115" t="n">
        <f aca="false">SUMIFS(الريسبي!$C$2:$C$1800,الريسبي!$A$2:$A$1800,$A104,الريسبي!$B$2:$B$1800,R$1)</f>
        <v>0</v>
      </c>
      <c r="S104" s="115" t="n">
        <f aca="false">SUMIFS(الريسبي!$C$2:$C$1800,الريسبي!$A$2:$A$1800,$A104,الريسبي!$B$2:$B$1800,S$1)</f>
        <v>0</v>
      </c>
      <c r="T104" s="115" t="n">
        <f aca="false">SUMIFS(الريسبي!$C$2:$C$1800,الريسبي!$A$2:$A$1800,$A104,الريسبي!$B$2:$B$1800,T$1)</f>
        <v>0</v>
      </c>
      <c r="U104" s="115" t="n">
        <f aca="false">SUMIFS(الريسبي!$C$2:$C$1800,الريسبي!$A$2:$A$1800,$A104,الريسبي!$B$2:$B$1800,U$1)</f>
        <v>0</v>
      </c>
      <c r="V104" s="115" t="n">
        <f aca="false">SUMIFS(الريسبي!$C$2:$C$1800,الريسبي!$A$2:$A$1800,$A104,الريسبي!$B$2:$B$1800,V$1)</f>
        <v>0</v>
      </c>
      <c r="W104" s="115" t="n">
        <f aca="false">SUMIFS(الريسبي!$C$2:$C$1800,الريسبي!$A$2:$A$1800,$A104,الريسبي!$B$2:$B$1800,W$1)</f>
        <v>0</v>
      </c>
      <c r="X104" s="115" t="n">
        <f aca="false">SUMIFS(الريسبي!$C$2:$C$1800,الريسبي!$A$2:$A$1800,$A104,الريسبي!$B$2:$B$1800,X$1)</f>
        <v>0</v>
      </c>
      <c r="Y104" s="115" t="n">
        <f aca="false">SUMIFS(الريسبي!$C$2:$C$1800,الريسبي!$A$2:$A$1800,$A104,الريسبي!$B$2:$B$1800,Y$1)</f>
        <v>1</v>
      </c>
      <c r="Z104" s="115" t="n">
        <f aca="false">SUMIFS(الريسبي!$C$2:$C$1800,الريسبي!$A$2:$A$1800,$A104,الريسبي!$B$2:$B$1800,Z$1)</f>
        <v>0</v>
      </c>
      <c r="AA104" s="115" t="n">
        <f aca="false">SUMIFS(الريسبي!$C$2:$C$1800,الريسبي!$A$2:$A$1800,$A104,الريسبي!$B$2:$B$1800,AA$1)</f>
        <v>0</v>
      </c>
      <c r="AB104" s="115" t="n">
        <f aca="false">SUMIFS(الريسبي!$C$2:$C$1800,الريسبي!$A$2:$A$1800,$A104,الريسبي!$B$2:$B$1800,AB$1)</f>
        <v>0</v>
      </c>
      <c r="AC104" s="115" t="n">
        <f aca="false">SUMIFS(الريسبي!$C$2:$C$1800,الريسبي!$A$2:$A$1800,$A104,الريسبي!$B$2:$B$1800,AC$1)</f>
        <v>0</v>
      </c>
      <c r="AD104" s="115" t="n">
        <f aca="false">SUMIFS(الريسبي!$C$2:$C$1800,الريسبي!$A$2:$A$1800,$A104,الريسبي!$B$2:$B$1800,AD$1)</f>
        <v>0</v>
      </c>
      <c r="AE104" s="115" t="n">
        <f aca="false">SUMIFS(الريسبي!$C$2:$C$1800,الريسبي!$A$2:$A$1800,$A104,الريسبي!$B$2:$B$1800,AE$1)</f>
        <v>0</v>
      </c>
      <c r="AF104" s="115" t="n">
        <f aca="false">SUMIFS(الريسبي!$C$2:$C$1800,الريسبي!$A$2:$A$1800,$A104,الريسبي!$B$2:$B$1800,AF$1)</f>
        <v>0</v>
      </c>
      <c r="AG104" s="115" t="n">
        <f aca="false">SUMIFS(الريسبي!$C$2:$C$1800,الريسبي!$A$2:$A$1800,$A104,الريسبي!$B$2:$B$1800,AG$1)</f>
        <v>0</v>
      </c>
      <c r="AH104" s="115" t="n">
        <f aca="false">SUMIFS(الريسبي!$C$2:$C$1800,الريسبي!$A$2:$A$1800,$A104,الريسبي!$B$2:$B$1800,AH$1)</f>
        <v>0</v>
      </c>
      <c r="AI104" s="115" t="n">
        <f aca="false">SUMIFS(الريسبي!$C$2:$C$1800,الريسبي!$A$2:$A$1800,$A104,الريسبي!$B$2:$B$1800,AI$1)</f>
        <v>0.15</v>
      </c>
      <c r="AJ104" s="115" t="n">
        <f aca="false">SUMIFS(الريسبي!$C$2:$C$1800,الريسبي!$A$2:$A$1800,$A104,الريسبي!$B$2:$B$1800,AJ$1)</f>
        <v>2</v>
      </c>
      <c r="AK104" s="115" t="n">
        <f aca="false">SUMIFS(الريسبي!$C$2:$C$1800,الريسبي!$A$2:$A$1800,$A104,الريسبي!$B$2:$B$1800,AK$1)</f>
        <v>0</v>
      </c>
      <c r="AL104" s="115" t="n">
        <f aca="false">SUMIFS(الريسبي!$C$2:$C$1800,الريسبي!$A$2:$A$1800,$A104,الريسبي!$B$2:$B$1800,AL$1)</f>
        <v>0</v>
      </c>
      <c r="AM104" s="115"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15"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15" t="n">
        <f aca="false">SUMIFS(الريسبي!$C$2:$C$1800,الريسبي!$A$2:$A$1800,$A104,الريسبي!$B$2:$B$1800,AO$1)</f>
        <v>0</v>
      </c>
      <c r="AP104" s="115" t="n">
        <f aca="false">SUMIFS(الريسبي!$C$2:$C$1800,الريسبي!$A$2:$A$1800,$A104,الريسبي!$B$2:$B$1800,AP$1)</f>
        <v>0.03</v>
      </c>
      <c r="AQ104" s="115"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15" t="n">
        <f aca="false">SUMIFS(الريسبي!$C$2:$C$1800,الريسبي!$A$2:$A$1800,$A104,الريسبي!$B$2:$B$1800,AR$1)</f>
        <v>0</v>
      </c>
      <c r="AS104" s="115" t="n">
        <f aca="false">SUMIFS(الريسبي!$C$2:$C$1800,الريسبي!$A$2:$A$1800,$A104,الريسبي!$B$2:$B$1800,AS$1)</f>
        <v>0</v>
      </c>
      <c r="AT104" s="115" t="n">
        <f aca="false">SUMIFS(الريسبي!$C$2:$C$1800,الريسبي!$A$2:$A$1800,$A104,الريسبي!$B$2:$B$1800,AT$1)</f>
        <v>0</v>
      </c>
      <c r="AU104" s="115" t="n">
        <f aca="false">SUMIFS(الريسبي!$C$2:$C$1800,الريسبي!$A$2:$A$1800,$A104,الريسبي!$B$2:$B$1800,AU$1)</f>
        <v>0</v>
      </c>
      <c r="AV104" s="115" t="n">
        <f aca="false">SUMIFS(الريسبي!$C$2:$C$1800,الريسبي!$A$2:$A$1800,$A104,الريسبي!$B$2:$B$1800,AV$1)</f>
        <v>0</v>
      </c>
      <c r="AW104" s="115" t="n">
        <f aca="false">SUMIFS(الريسبي!$C$2:$C$1800,الريسبي!$A$2:$A$1800,$A104,الريسبي!$B$2:$B$1800,AW$1)</f>
        <v>0</v>
      </c>
      <c r="AX104" s="115" t="n">
        <f aca="false">SUMIFS(الريسبي!$C$2:$C$1800,الريسبي!$A$2:$A$1800,$A104,الريسبي!$B$2:$B$1800,AX$1)</f>
        <v>0</v>
      </c>
      <c r="AY104" s="115" t="n">
        <f aca="false">SUMIFS(الريسبي!$C$2:$C$1800,الريسبي!$A$2:$A$1800,$A104,الريسبي!$B$2:$B$1800,AY$1)</f>
        <v>0</v>
      </c>
      <c r="AZ104" s="115" t="n">
        <f aca="false">SUMIFS(الريسبي!$C$2:$C$1800,الريسبي!$A$2:$A$1800,$A104,الريسبي!$B$2:$B$1800,AZ$1)</f>
        <v>0</v>
      </c>
      <c r="BA104" s="115" t="n">
        <f aca="false">SUMIFS(الريسبي!$C$2:$C$1800,الريسبي!$A$2:$A$1800,$A104,الريسبي!$B$2:$B$1800,BA$1)</f>
        <v>0</v>
      </c>
      <c r="BB104" s="115" t="n">
        <f aca="false">SUMIFS(الريسبي!$C$2:$C$1800,الريسبي!$A$2:$A$1800,$A104,الريسبي!$B$2:$B$1800,BB$1)</f>
        <v>0</v>
      </c>
      <c r="BC104" s="115" t="n">
        <f aca="false">SUMIFS(الريسبي!$C$2:$C$1800,الريسبي!$A$2:$A$1800,$A104,الريسبي!$B$2:$B$1800,BC$1)</f>
        <v>0.045</v>
      </c>
      <c r="BD104" s="115" t="n">
        <f aca="false">SUMIFS(الريسبي!$C$2:$C$1800,الريسبي!$A$2:$A$1800,$A104,الريسبي!$B$2:$B$1800,BD$1)</f>
        <v>0</v>
      </c>
      <c r="BE104" s="115" t="n">
        <f aca="false">SUMIFS(الريسبي!$C$2:$C$1800,الريسبي!$A$2:$A$1800,$A104,الريسبي!$B$2:$B$1800,BE$1)</f>
        <v>1.5</v>
      </c>
      <c r="BF104" s="115" t="n">
        <f aca="false">SUMIFS(الريسبي!$C$2:$C$1800,الريسبي!$A$2:$A$1800,$A104,الريسبي!$B$2:$B$1800,BF$1)</f>
        <v>0</v>
      </c>
      <c r="BG104" s="115" t="n">
        <f aca="false">SUMIFS(الريسبي!$C$2:$C$1800,الريسبي!$A$2:$A$1800,$A104,الريسبي!$B$2:$B$1800,BG$1)</f>
        <v>1</v>
      </c>
      <c r="BH104" s="115" t="n">
        <f aca="false">SUMIFS(الريسبي!$C$2:$C$1800,الريسبي!$A$2:$A$1800,$A104,الريسبي!$B$2:$B$1800,BH$1)</f>
        <v>0</v>
      </c>
      <c r="BI104" s="115" t="n">
        <f aca="false">SUMIFS(الريسبي!$C$2:$C$1800,الريسبي!$A$2:$A$1800,$A104,الريسبي!$B$2:$B$1800,BI$1)</f>
        <v>0</v>
      </c>
      <c r="BJ104" s="115" t="n">
        <f aca="false">SUMIFS(الريسبي!$C$2:$C$1800,الريسبي!$A$2:$A$1800,$A104,الريسبي!$B$2:$B$1800,BJ$1)</f>
        <v>0</v>
      </c>
      <c r="BK104" s="115" t="n">
        <f aca="false">SUMIFS(الريسبي!$C$2:$C$1800,الريسبي!$A$2:$A$1800,$A104,الريسبي!$B$2:$B$1800,BK$1)</f>
        <v>0</v>
      </c>
      <c r="BL104" s="115" t="n">
        <f aca="false">SUMIFS(الريسبي!$C$2:$C$1800,الريسبي!$A$2:$A$1800,$A104,الريسبي!$B$2:$B$1800,BL$1)</f>
        <v>0</v>
      </c>
      <c r="BM104" s="115" t="n">
        <f aca="false">SUMIFS(الريسبي!$C$2:$C$1800,الريسبي!$A$2:$A$1800,$A104,الريسبي!$B$2:$B$1800,BM$1)</f>
        <v>0</v>
      </c>
      <c r="BN104" s="115" t="n">
        <f aca="false">SUMIFS(الريسبي!$C$2:$C$1800,الريسبي!$A$2:$A$1800,$A104,الريسبي!$B$2:$B$1800,BN$1)</f>
        <v>0.03</v>
      </c>
      <c r="BO104" s="115" t="n">
        <f aca="false">SUMIFS(الريسبي!$C$2:$C$1800,الريسبي!$A$2:$A$1800,$A104,الريسبي!$B$2:$B$1800,BO$1)</f>
        <v>0</v>
      </c>
      <c r="BP104" s="115" t="n">
        <f aca="false">SUMIFS(الريسبي!$C$2:$C$1800,الريسبي!$A$2:$A$1800,$A104,الريسبي!$B$2:$B$1800,BP$1)</f>
        <v>3</v>
      </c>
      <c r="BQ104" s="115"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15" t="n">
        <f aca="false">SUMIFS(الريسبي!$C$2:$C$1800,الريسبي!$A$2:$A$1800,$A104,الريسبي!$B$2:$B$1800,BR$1)</f>
        <v>1</v>
      </c>
      <c r="BS104" s="115" t="n">
        <f aca="false">SUMIFS(الريسبي!$C$2:$C$1800,الريسبي!$A$2:$A$1800,$A104,الريسبي!$B$2:$B$1800,BS$1)</f>
        <v>0</v>
      </c>
      <c r="BT104" s="115" t="n">
        <f aca="false">SUMIFS(الريسبي!$C$2:$C$1800,الريسبي!$A$2:$A$1800,$A104,الريسبي!$B$2:$B$1800,BT$1)</f>
        <v>0</v>
      </c>
      <c r="BU104" s="115"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15" t="n">
        <f aca="false">SUMIFS(الريسبي!$C$2:$C$1800,الريسبي!$A$2:$A$1800,$A104,الريسبي!$B$2:$B$1800,BV$1)</f>
        <v>0</v>
      </c>
      <c r="BW104" s="115" t="n">
        <f aca="false">SUMIFS(الريسبي!$C$2:$C$1800,الريسبي!$A$2:$A$1800,$A104,الريسبي!$B$2:$B$1800,BW$1)</f>
        <v>0</v>
      </c>
      <c r="BX104" s="115" t="n">
        <f aca="false">SUMIFS(الريسبي!$C$2:$C$1800,الريسبي!$A$2:$A$1800,$A104,الريسبي!$B$2:$B$1800,BX$1)</f>
        <v>0</v>
      </c>
      <c r="BY104" s="115" t="n">
        <f aca="false">SUMIFS(الريسبي!$C$2:$C$1800,الريسبي!$A$2:$A$1800,$A104,الريسبي!$B$2:$B$1800,BY$1)</f>
        <v>0</v>
      </c>
      <c r="BZ104" s="115" t="n">
        <f aca="false">SUMIFS(الريسبي!$C$2:$C$1800,الريسبي!$A$2:$A$1800,$A104,الريسبي!$B$2:$B$1800,BZ$1)</f>
        <v>1</v>
      </c>
      <c r="CA104" s="115" t="n">
        <f aca="false">SUMIFS(الريسبي!$C$2:$C$1800,الريسبي!$A$2:$A$1800,$A104,الريسبي!$B$2:$B$1800,CA$1)</f>
        <v>1</v>
      </c>
      <c r="CB104" s="115" t="n">
        <f aca="false">SUMIFS(الريسبي!$C$2:$C$1800,الريسبي!$A$2:$A$1800,$A104,الريسبي!$B$2:$B$1800,CB$1)</f>
        <v>0</v>
      </c>
      <c r="CC104" s="115" t="n">
        <f aca="false">SUMIFS(الريسبي!$C$2:$C$1800,الريسبي!$A$2:$A$1800,$A104,الريسبي!$B$2:$B$1800,CC$1)</f>
        <v>0</v>
      </c>
      <c r="CD104" s="115" t="n">
        <f aca="false">SUMIFS(الريسبي!$C$2:$C$1800,الريسبي!$A$2:$A$1800,$A104,الريسبي!$B$2:$B$1800,CD$1)</f>
        <v>0</v>
      </c>
      <c r="CE104" s="115" t="n">
        <f aca="false">SUMIFS(الريسبي!$C$2:$C$1800,الريسبي!$A$2:$A$1800,$A104,الريسبي!$B$2:$B$1800,CE$1)</f>
        <v>0</v>
      </c>
      <c r="CF104" s="115" t="n">
        <f aca="false">SUMIFS(الريسبي!$C$2:$C$1800,الريسبي!$A$2:$A$1800,$A104,الريسبي!$B$2:$B$1800,CF$1)</f>
        <v>0</v>
      </c>
      <c r="CG104" s="115" t="n">
        <f aca="false">SUMIFS(الريسبي!$C$2:$C$1800,الريسبي!$A$2:$A$1800,$A104,الريسبي!$B$2:$B$1800,CG$1)</f>
        <v>0</v>
      </c>
      <c r="CH104" s="115" t="n">
        <f aca="false">SUMIFS(الريسبي!$C$2:$C$1800,الريسبي!$A$2:$A$1800,$A104,الريسبي!$B$2:$B$1800,CH$1)</f>
        <v>0</v>
      </c>
    </row>
    <row r="105" customFormat="false" ht="15" hidden="false" customHeight="false" outlineLevel="0" collapsed="false">
      <c r="A105" s="114" t="str">
        <f aca="false">المنيو!B105</f>
        <v>فطيرة فراخ باربيكيو صيامي وسط</v>
      </c>
      <c r="B105" s="115" t="n">
        <f aca="false">SUMIFS(الريسبي!$C$2:$C$1800,الريسبي!$A$2:$A$1800,$A105,الريسبي!$B$2:$B$1800,B$1)</f>
        <v>0</v>
      </c>
      <c r="C105" s="115" t="n">
        <f aca="false">SUMIFS(الريسبي!$C$2:$C$1800,الريسبي!$A$2:$A$1800,$A105,الريسبي!$B$2:$B$1800,C$1)</f>
        <v>0</v>
      </c>
      <c r="D105" s="115" t="n">
        <f aca="false">SUMIFS(الريسبي!$C$2:$C$1800,الريسبي!$A$2:$A$1800,$A105,الريسبي!$B$2:$B$1800,D$1)</f>
        <v>1</v>
      </c>
      <c r="E105" s="115" t="n">
        <f aca="false">SUMIFS(الريسبي!$C$2:$C$1800,الريسبي!$A$2:$A$1800,$A105,الريسبي!$B$2:$B$1800,E$1)</f>
        <v>0</v>
      </c>
      <c r="F105" s="115" t="n">
        <f aca="false">SUMIFS(الريسبي!$C$2:$C$1800,الريسبي!$A$2:$A$1800,$A105,الريسبي!$B$2:$B$1800,F$1)</f>
        <v>0</v>
      </c>
      <c r="G105" s="115" t="n">
        <f aca="false">SUMIFS(الريسبي!$C$2:$C$1800,الريسبي!$A$2:$A$1800,$A105,الريسبي!$B$2:$B$1800,G$1)</f>
        <v>0</v>
      </c>
      <c r="H105" s="115" t="n">
        <f aca="false">SUMIFS(الريسبي!$C$2:$C$1800,الريسبي!$A$2:$A$1800,$A105,الريسبي!$B$2:$B$1800,H$1)</f>
        <v>0</v>
      </c>
      <c r="I105" s="115" t="n">
        <f aca="false">SUMIFS(الريسبي!$C$2:$C$1800,الريسبي!$A$2:$A$1800,$A105,الريسبي!$B$2:$B$1800,I$1)</f>
        <v>0</v>
      </c>
      <c r="J105" s="115" t="n">
        <f aca="false">SUMIFS(الريسبي!$C$2:$C$1800,الريسبي!$A$2:$A$1800,$A105,الريسبي!$B$2:$B$1800,J$1)</f>
        <v>0</v>
      </c>
      <c r="K105" s="115" t="n">
        <f aca="false">SUMIFS(الريسبي!$C$2:$C$1800,الريسبي!$A$2:$A$1800,$A105,الريسبي!$B$2:$B$1800,K$1)</f>
        <v>0</v>
      </c>
      <c r="L105" s="115" t="n">
        <f aca="false">SUMIFS(الريسبي!$C$2:$C$1800,الريسبي!$A$2:$A$1800,$A105,الريسبي!$B$2:$B$1800,L$1)</f>
        <v>0</v>
      </c>
      <c r="M105" s="115" t="n">
        <f aca="false">SUMIFS(الريسبي!$C$2:$C$1800,الريسبي!$A$2:$A$1800,$A105,الريسبي!$B$2:$B$1800,M$1)</f>
        <v>0</v>
      </c>
      <c r="N105" s="115" t="n">
        <f aca="false">SUMIFS(الريسبي!$C$2:$C$1800,الريسبي!$A$2:$A$1800,$A105,الريسبي!$B$2:$B$1800,N$1)</f>
        <v>0</v>
      </c>
      <c r="O105" s="115" t="n">
        <f aca="false">SUMIFS(الريسبي!$C$2:$C$1800,الريسبي!$A$2:$A$1800,$A105,الريسبي!$B$2:$B$1800,O$1)</f>
        <v>0</v>
      </c>
      <c r="P105" s="115" t="n">
        <f aca="false">SUMIFS(الريسبي!$C$2:$C$1800,الريسبي!$A$2:$A$1800,$A105,الريسبي!$B$2:$B$1800,P$1)</f>
        <v>0</v>
      </c>
      <c r="Q105" s="115" t="n">
        <f aca="false">SUMIFS(الريسبي!$C$2:$C$1800,الريسبي!$A$2:$A$1800,$A105,الريسبي!$B$2:$B$1800,Q$1)</f>
        <v>0</v>
      </c>
      <c r="R105" s="115" t="n">
        <f aca="false">SUMIFS(الريسبي!$C$2:$C$1800,الريسبي!$A$2:$A$1800,$A105,الريسبي!$B$2:$B$1800,R$1)</f>
        <v>0</v>
      </c>
      <c r="S105" s="115" t="n">
        <f aca="false">SUMIFS(الريسبي!$C$2:$C$1800,الريسبي!$A$2:$A$1800,$A105,الريسبي!$B$2:$B$1800,S$1)</f>
        <v>0</v>
      </c>
      <c r="T105" s="115" t="n">
        <f aca="false">SUMIFS(الريسبي!$C$2:$C$1800,الريسبي!$A$2:$A$1800,$A105,الريسبي!$B$2:$B$1800,T$1)</f>
        <v>0</v>
      </c>
      <c r="U105" s="115" t="n">
        <f aca="false">SUMIFS(الريسبي!$C$2:$C$1800,الريسبي!$A$2:$A$1800,$A105,الريسبي!$B$2:$B$1800,U$1)</f>
        <v>0</v>
      </c>
      <c r="V105" s="115" t="n">
        <f aca="false">SUMIFS(الريسبي!$C$2:$C$1800,الريسبي!$A$2:$A$1800,$A105,الريسبي!$B$2:$B$1800,V$1)</f>
        <v>0</v>
      </c>
      <c r="W105" s="115" t="n">
        <f aca="false">SUMIFS(الريسبي!$C$2:$C$1800,الريسبي!$A$2:$A$1800,$A105,الريسبي!$B$2:$B$1800,W$1)</f>
        <v>0</v>
      </c>
      <c r="X105" s="115" t="n">
        <f aca="false">SUMIFS(الريسبي!$C$2:$C$1800,الريسبي!$A$2:$A$1800,$A105,الريسبي!$B$2:$B$1800,X$1)</f>
        <v>1</v>
      </c>
      <c r="Y105" s="115" t="n">
        <f aca="false">SUMIFS(الريسبي!$C$2:$C$1800,الريسبي!$A$2:$A$1800,$A105,الريسبي!$B$2:$B$1800,Y$1)</f>
        <v>0</v>
      </c>
      <c r="Z105" s="115" t="n">
        <f aca="false">SUMIFS(الريسبي!$C$2:$C$1800,الريسبي!$A$2:$A$1800,$A105,الريسبي!$B$2:$B$1800,Z$1)</f>
        <v>0</v>
      </c>
      <c r="AA105" s="115" t="n">
        <f aca="false">SUMIFS(الريسبي!$C$2:$C$1800,الريسبي!$A$2:$A$1800,$A105,الريسبي!$B$2:$B$1800,AA$1)</f>
        <v>0</v>
      </c>
      <c r="AB105" s="115" t="n">
        <f aca="false">SUMIFS(الريسبي!$C$2:$C$1800,الريسبي!$A$2:$A$1800,$A105,الريسبي!$B$2:$B$1800,AB$1)</f>
        <v>0</v>
      </c>
      <c r="AC105" s="115" t="n">
        <f aca="false">SUMIFS(الريسبي!$C$2:$C$1800,الريسبي!$A$2:$A$1800,$A105,الريسبي!$B$2:$B$1800,AC$1)</f>
        <v>0</v>
      </c>
      <c r="AD105" s="115" t="n">
        <f aca="false">SUMIFS(الريسبي!$C$2:$C$1800,الريسبي!$A$2:$A$1800,$A105,الريسبي!$B$2:$B$1800,AD$1)</f>
        <v>0</v>
      </c>
      <c r="AE105" s="115" t="n">
        <f aca="false">SUMIFS(الريسبي!$C$2:$C$1800,الريسبي!$A$2:$A$1800,$A105,الريسبي!$B$2:$B$1800,AE$1)</f>
        <v>0</v>
      </c>
      <c r="AF105" s="115" t="n">
        <f aca="false">SUMIFS(الريسبي!$C$2:$C$1800,الريسبي!$A$2:$A$1800,$A105,الريسبي!$B$2:$B$1800,AF$1)</f>
        <v>0</v>
      </c>
      <c r="AG105" s="115" t="n">
        <f aca="false">SUMIFS(الريسبي!$C$2:$C$1800,الريسبي!$A$2:$A$1800,$A105,الريسبي!$B$2:$B$1800,AG$1)</f>
        <v>0</v>
      </c>
      <c r="AH105" s="115" t="n">
        <f aca="false">SUMIFS(الريسبي!$C$2:$C$1800,الريسبي!$A$2:$A$1800,$A105,الريسبي!$B$2:$B$1800,AH$1)</f>
        <v>0</v>
      </c>
      <c r="AI105" s="115" t="n">
        <f aca="false">SUMIFS(الريسبي!$C$2:$C$1800,الريسبي!$A$2:$A$1800,$A105,الريسبي!$B$2:$B$1800,AI$1)</f>
        <v>0</v>
      </c>
      <c r="AJ105" s="115" t="n">
        <f aca="false">SUMIFS(الريسبي!$C$2:$C$1800,الريسبي!$A$2:$A$1800,$A105,الريسبي!$B$2:$B$1800,AJ$1)</f>
        <v>2</v>
      </c>
      <c r="AK105" s="115" t="n">
        <f aca="false">SUMIFS(الريسبي!$C$2:$C$1800,الريسبي!$A$2:$A$1800,$A105,الريسبي!$B$2:$B$1800,AK$1)</f>
        <v>0</v>
      </c>
      <c r="AL105" s="115" t="n">
        <f aca="false">SUMIFS(الريسبي!$C$2:$C$1800,الريسبي!$A$2:$A$1800,$A105,الريسبي!$B$2:$B$1800,AL$1)</f>
        <v>0</v>
      </c>
      <c r="AM105" s="115"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15"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15" t="n">
        <f aca="false">SUMIFS(الريسبي!$C$2:$C$1800,الريسبي!$A$2:$A$1800,$A105,الريسبي!$B$2:$B$1800,AO$1)</f>
        <v>0</v>
      </c>
      <c r="AP105" s="115" t="n">
        <f aca="false">SUMIFS(الريسبي!$C$2:$C$1800,الريسبي!$A$2:$A$1800,$A105,الريسبي!$B$2:$B$1800,AP$1)</f>
        <v>0.02</v>
      </c>
      <c r="AQ105" s="115"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15" t="n">
        <f aca="false">SUMIFS(الريسبي!$C$2:$C$1800,الريسبي!$A$2:$A$1800,$A105,الريسبي!$B$2:$B$1800,AR$1)</f>
        <v>0</v>
      </c>
      <c r="AS105" s="115" t="n">
        <f aca="false">SUMIFS(الريسبي!$C$2:$C$1800,الريسبي!$A$2:$A$1800,$A105,الريسبي!$B$2:$B$1800,AS$1)</f>
        <v>0</v>
      </c>
      <c r="AT105" s="115" t="n">
        <f aca="false">SUMIFS(الريسبي!$C$2:$C$1800,الريسبي!$A$2:$A$1800,$A105,الريسبي!$B$2:$B$1800,AT$1)</f>
        <v>0</v>
      </c>
      <c r="AU105" s="115" t="n">
        <f aca="false">SUMIFS(الريسبي!$C$2:$C$1800,الريسبي!$A$2:$A$1800,$A105,الريسبي!$B$2:$B$1800,AU$1)</f>
        <v>0</v>
      </c>
      <c r="AV105" s="115" t="n">
        <f aca="false">SUMIFS(الريسبي!$C$2:$C$1800,الريسبي!$A$2:$A$1800,$A105,الريسبي!$B$2:$B$1800,AV$1)</f>
        <v>0</v>
      </c>
      <c r="AW105" s="115" t="n">
        <f aca="false">SUMIFS(الريسبي!$C$2:$C$1800,الريسبي!$A$2:$A$1800,$A105,الريسبي!$B$2:$B$1800,AW$1)</f>
        <v>0</v>
      </c>
      <c r="AX105" s="115" t="n">
        <f aca="false">SUMIFS(الريسبي!$C$2:$C$1800,الريسبي!$A$2:$A$1800,$A105,الريسبي!$B$2:$B$1800,AX$1)</f>
        <v>0</v>
      </c>
      <c r="AY105" s="115" t="n">
        <f aca="false">SUMIFS(الريسبي!$C$2:$C$1800,الريسبي!$A$2:$A$1800,$A105,الريسبي!$B$2:$B$1800,AY$1)</f>
        <v>0.1</v>
      </c>
      <c r="AZ105" s="115" t="n">
        <f aca="false">SUMIFS(الريسبي!$C$2:$C$1800,الريسبي!$A$2:$A$1800,$A105,الريسبي!$B$2:$B$1800,AZ$1)</f>
        <v>0</v>
      </c>
      <c r="BA105" s="115" t="n">
        <f aca="false">SUMIFS(الريسبي!$C$2:$C$1800,الريسبي!$A$2:$A$1800,$A105,الريسبي!$B$2:$B$1800,BA$1)</f>
        <v>0</v>
      </c>
      <c r="BB105" s="115" t="n">
        <f aca="false">SUMIFS(الريسبي!$C$2:$C$1800,الريسبي!$A$2:$A$1800,$A105,الريسبي!$B$2:$B$1800,BB$1)</f>
        <v>0</v>
      </c>
      <c r="BC105" s="115" t="n">
        <f aca="false">SUMIFS(الريسبي!$C$2:$C$1800,الريسبي!$A$2:$A$1800,$A105,الريسبي!$B$2:$B$1800,BC$1)</f>
        <v>0.03</v>
      </c>
      <c r="BD105" s="115" t="n">
        <f aca="false">SUMIFS(الريسبي!$C$2:$C$1800,الريسبي!$A$2:$A$1800,$A105,الريسبي!$B$2:$B$1800,BD$1)</f>
        <v>0</v>
      </c>
      <c r="BE105" s="115" t="n">
        <f aca="false">SUMIFS(الريسبي!$C$2:$C$1800,الريسبي!$A$2:$A$1800,$A105,الريسبي!$B$2:$B$1800,BE$1)</f>
        <v>1</v>
      </c>
      <c r="BF105" s="115" t="n">
        <f aca="false">SUMIFS(الريسبي!$C$2:$C$1800,الريسبي!$A$2:$A$1800,$A105,الريسبي!$B$2:$B$1800,BF$1)</f>
        <v>0</v>
      </c>
      <c r="BG105" s="115" t="n">
        <f aca="false">SUMIFS(الريسبي!$C$2:$C$1800,الريسبي!$A$2:$A$1800,$A105,الريسبي!$B$2:$B$1800,BG$1)</f>
        <v>0</v>
      </c>
      <c r="BH105" s="115" t="n">
        <f aca="false">SUMIFS(الريسبي!$C$2:$C$1800,الريسبي!$A$2:$A$1800,$A105,الريسبي!$B$2:$B$1800,BH$1)</f>
        <v>1</v>
      </c>
      <c r="BI105" s="115" t="n">
        <f aca="false">SUMIFS(الريسبي!$C$2:$C$1800,الريسبي!$A$2:$A$1800,$A105,الريسبي!$B$2:$B$1800,BI$1)</f>
        <v>0</v>
      </c>
      <c r="BJ105" s="115" t="n">
        <f aca="false">SUMIFS(الريسبي!$C$2:$C$1800,الريسبي!$A$2:$A$1800,$A105,الريسبي!$B$2:$B$1800,BJ$1)</f>
        <v>0</v>
      </c>
      <c r="BK105" s="115" t="n">
        <f aca="false">SUMIFS(الريسبي!$C$2:$C$1800,الريسبي!$A$2:$A$1800,$A105,الريسبي!$B$2:$B$1800,BK$1)</f>
        <v>0</v>
      </c>
      <c r="BL105" s="115" t="n">
        <f aca="false">SUMIFS(الريسبي!$C$2:$C$1800,الريسبي!$A$2:$A$1800,$A105,الريسبي!$B$2:$B$1800,BL$1)</f>
        <v>0</v>
      </c>
      <c r="BM105" s="115" t="n">
        <f aca="false">SUMIFS(الريسبي!$C$2:$C$1800,الريسبي!$A$2:$A$1800,$A105,الريسبي!$B$2:$B$1800,BM$1)</f>
        <v>0.14</v>
      </c>
      <c r="BN105" s="115" t="n">
        <f aca="false">SUMIFS(الريسبي!$C$2:$C$1800,الريسبي!$A$2:$A$1800,$A105,الريسبي!$B$2:$B$1800,BN$1)</f>
        <v>0.02</v>
      </c>
      <c r="BO105" s="115" t="n">
        <f aca="false">SUMIFS(الريسبي!$C$2:$C$1800,الريسبي!$A$2:$A$1800,$A105,الريسبي!$B$2:$B$1800,BO$1)</f>
        <v>0</v>
      </c>
      <c r="BP105" s="115" t="n">
        <f aca="false">SUMIFS(الريسبي!$C$2:$C$1800,الريسبي!$A$2:$A$1800,$A105,الريسبي!$B$2:$B$1800,BP$1)</f>
        <v>2</v>
      </c>
      <c r="BQ105" s="115"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15" t="n">
        <f aca="false">SUMIFS(الريسبي!$C$2:$C$1800,الريسبي!$A$2:$A$1800,$A105,الريسبي!$B$2:$B$1800,BR$1)</f>
        <v>1</v>
      </c>
      <c r="BS105" s="115" t="n">
        <f aca="false">SUMIFS(الريسبي!$C$2:$C$1800,الريسبي!$A$2:$A$1800,$A105,الريسبي!$B$2:$B$1800,BS$1)</f>
        <v>0</v>
      </c>
      <c r="BT105" s="115" t="n">
        <f aca="false">SUMIFS(الريسبي!$C$2:$C$1800,الريسبي!$A$2:$A$1800,$A105,الريسبي!$B$2:$B$1800,BT$1)</f>
        <v>0</v>
      </c>
      <c r="BU105" s="115"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15" t="n">
        <f aca="false">SUMIFS(الريسبي!$C$2:$C$1800,الريسبي!$A$2:$A$1800,$A105,الريسبي!$B$2:$B$1800,BV$1)</f>
        <v>0</v>
      </c>
      <c r="BW105" s="115" t="n">
        <f aca="false">SUMIFS(الريسبي!$C$2:$C$1800,الريسبي!$A$2:$A$1800,$A105,الريسبي!$B$2:$B$1800,BW$1)</f>
        <v>0</v>
      </c>
      <c r="BX105" s="115" t="n">
        <f aca="false">SUMIFS(الريسبي!$C$2:$C$1800,الريسبي!$A$2:$A$1800,$A105,الريسبي!$B$2:$B$1800,BX$1)</f>
        <v>0</v>
      </c>
      <c r="BY105" s="115" t="n">
        <f aca="false">SUMIFS(الريسبي!$C$2:$C$1800,الريسبي!$A$2:$A$1800,$A105,الريسبي!$B$2:$B$1800,BY$1)</f>
        <v>0</v>
      </c>
      <c r="BZ105" s="115" t="n">
        <f aca="false">SUMIFS(الريسبي!$C$2:$C$1800,الريسبي!$A$2:$A$1800,$A105,الريسبي!$B$2:$B$1800,BZ$1)</f>
        <v>1</v>
      </c>
      <c r="CA105" s="115" t="n">
        <f aca="false">SUMIFS(الريسبي!$C$2:$C$1800,الريسبي!$A$2:$A$1800,$A105,الريسبي!$B$2:$B$1800,CA$1)</f>
        <v>1</v>
      </c>
      <c r="CB105" s="115" t="n">
        <f aca="false">SUMIFS(الريسبي!$C$2:$C$1800,الريسبي!$A$2:$A$1800,$A105,الريسبي!$B$2:$B$1800,CB$1)</f>
        <v>0</v>
      </c>
      <c r="CC105" s="115" t="n">
        <f aca="false">SUMIFS(الريسبي!$C$2:$C$1800,الريسبي!$A$2:$A$1800,$A105,الريسبي!$B$2:$B$1800,CC$1)</f>
        <v>0</v>
      </c>
      <c r="CD105" s="115" t="n">
        <f aca="false">SUMIFS(الريسبي!$C$2:$C$1800,الريسبي!$A$2:$A$1800,$A105,الريسبي!$B$2:$B$1800,CD$1)</f>
        <v>0</v>
      </c>
      <c r="CE105" s="115" t="n">
        <f aca="false">SUMIFS(الريسبي!$C$2:$C$1800,الريسبي!$A$2:$A$1800,$A105,الريسبي!$B$2:$B$1800,CE$1)</f>
        <v>0</v>
      </c>
      <c r="CF105" s="115" t="n">
        <f aca="false">SUMIFS(الريسبي!$C$2:$C$1800,الريسبي!$A$2:$A$1800,$A105,الريسبي!$B$2:$B$1800,CF$1)</f>
        <v>0</v>
      </c>
      <c r="CG105" s="115" t="n">
        <f aca="false">SUMIFS(الريسبي!$C$2:$C$1800,الريسبي!$A$2:$A$1800,$A105,الريسبي!$B$2:$B$1800,CG$1)</f>
        <v>0</v>
      </c>
      <c r="CH105" s="115" t="n">
        <f aca="false">SUMIFS(الريسبي!$C$2:$C$1800,الريسبي!$A$2:$A$1800,$A105,الريسبي!$B$2:$B$1800,CH$1)</f>
        <v>0</v>
      </c>
    </row>
    <row r="106" customFormat="false" ht="15" hidden="false" customHeight="false" outlineLevel="0" collapsed="false">
      <c r="A106" s="114" t="str">
        <f aca="false">المنيو!B106</f>
        <v>فطيرة فراخ باربيكيو صيامي مخصوص</v>
      </c>
      <c r="B106" s="115" t="n">
        <f aca="false">SUMIFS(الريسبي!$C$2:$C$1800,الريسبي!$A$2:$A$1800,$A106,الريسبي!$B$2:$B$1800,B$1)</f>
        <v>0</v>
      </c>
      <c r="C106" s="115" t="n">
        <f aca="false">SUMIFS(الريسبي!$C$2:$C$1800,الريسبي!$A$2:$A$1800,$A106,الريسبي!$B$2:$B$1800,C$1)</f>
        <v>0</v>
      </c>
      <c r="D106" s="115" t="n">
        <f aca="false">SUMIFS(الريسبي!$C$2:$C$1800,الريسبي!$A$2:$A$1800,$A106,الريسبي!$B$2:$B$1800,D$1)</f>
        <v>1</v>
      </c>
      <c r="E106" s="115" t="n">
        <f aca="false">SUMIFS(الريسبي!$C$2:$C$1800,الريسبي!$A$2:$A$1800,$A106,الريسبي!$B$2:$B$1800,E$1)</f>
        <v>0</v>
      </c>
      <c r="F106" s="115" t="n">
        <f aca="false">SUMIFS(الريسبي!$C$2:$C$1800,الريسبي!$A$2:$A$1800,$A106,الريسبي!$B$2:$B$1800,F$1)</f>
        <v>0</v>
      </c>
      <c r="G106" s="115" t="n">
        <f aca="false">SUMIFS(الريسبي!$C$2:$C$1800,الريسبي!$A$2:$A$1800,$A106,الريسبي!$B$2:$B$1800,G$1)</f>
        <v>0</v>
      </c>
      <c r="H106" s="115" t="n">
        <f aca="false">SUMIFS(الريسبي!$C$2:$C$1800,الريسبي!$A$2:$A$1800,$A106,الريسبي!$B$2:$B$1800,H$1)</f>
        <v>0</v>
      </c>
      <c r="I106" s="115" t="n">
        <f aca="false">SUMIFS(الريسبي!$C$2:$C$1800,الريسبي!$A$2:$A$1800,$A106,الريسبي!$B$2:$B$1800,I$1)</f>
        <v>0</v>
      </c>
      <c r="J106" s="115" t="n">
        <f aca="false">SUMIFS(الريسبي!$C$2:$C$1800,الريسبي!$A$2:$A$1800,$A106,الريسبي!$B$2:$B$1800,J$1)</f>
        <v>0</v>
      </c>
      <c r="K106" s="115" t="n">
        <f aca="false">SUMIFS(الريسبي!$C$2:$C$1800,الريسبي!$A$2:$A$1800,$A106,الريسبي!$B$2:$B$1800,K$1)</f>
        <v>0</v>
      </c>
      <c r="L106" s="115" t="n">
        <f aca="false">SUMIFS(الريسبي!$C$2:$C$1800,الريسبي!$A$2:$A$1800,$A106,الريسبي!$B$2:$B$1800,L$1)</f>
        <v>0</v>
      </c>
      <c r="M106" s="115" t="n">
        <f aca="false">SUMIFS(الريسبي!$C$2:$C$1800,الريسبي!$A$2:$A$1800,$A106,الريسبي!$B$2:$B$1800,M$1)</f>
        <v>0</v>
      </c>
      <c r="N106" s="115" t="n">
        <f aca="false">SUMIFS(الريسبي!$C$2:$C$1800,الريسبي!$A$2:$A$1800,$A106,الريسبي!$B$2:$B$1800,N$1)</f>
        <v>0</v>
      </c>
      <c r="O106" s="115" t="n">
        <f aca="false">SUMIFS(الريسبي!$C$2:$C$1800,الريسبي!$A$2:$A$1800,$A106,الريسبي!$B$2:$B$1800,O$1)</f>
        <v>0</v>
      </c>
      <c r="P106" s="115" t="n">
        <f aca="false">SUMIFS(الريسبي!$C$2:$C$1800,الريسبي!$A$2:$A$1800,$A106,الريسبي!$B$2:$B$1800,P$1)</f>
        <v>0</v>
      </c>
      <c r="Q106" s="115" t="n">
        <f aca="false">SUMIFS(الريسبي!$C$2:$C$1800,الريسبي!$A$2:$A$1800,$A106,الريسبي!$B$2:$B$1800,Q$1)</f>
        <v>0</v>
      </c>
      <c r="R106" s="115" t="n">
        <f aca="false">SUMIFS(الريسبي!$C$2:$C$1800,الريسبي!$A$2:$A$1800,$A106,الريسبي!$B$2:$B$1800,R$1)</f>
        <v>0</v>
      </c>
      <c r="S106" s="115" t="n">
        <f aca="false">SUMIFS(الريسبي!$C$2:$C$1800,الريسبي!$A$2:$A$1800,$A106,الريسبي!$B$2:$B$1800,S$1)</f>
        <v>0</v>
      </c>
      <c r="T106" s="115" t="n">
        <f aca="false">SUMIFS(الريسبي!$C$2:$C$1800,الريسبي!$A$2:$A$1800,$A106,الريسبي!$B$2:$B$1800,T$1)</f>
        <v>0</v>
      </c>
      <c r="U106" s="115" t="n">
        <f aca="false">SUMIFS(الريسبي!$C$2:$C$1800,الريسبي!$A$2:$A$1800,$A106,الريسبي!$B$2:$B$1800,U$1)</f>
        <v>0</v>
      </c>
      <c r="V106" s="115" t="n">
        <f aca="false">SUMIFS(الريسبي!$C$2:$C$1800,الريسبي!$A$2:$A$1800,$A106,الريسبي!$B$2:$B$1800,V$1)</f>
        <v>0</v>
      </c>
      <c r="W106" s="115" t="n">
        <f aca="false">SUMIFS(الريسبي!$C$2:$C$1800,الريسبي!$A$2:$A$1800,$A106,الريسبي!$B$2:$B$1800,W$1)</f>
        <v>0</v>
      </c>
      <c r="X106" s="115" t="n">
        <f aca="false">SUMIFS(الريسبي!$C$2:$C$1800,الريسبي!$A$2:$A$1800,$A106,الريسبي!$B$2:$B$1800,X$1)</f>
        <v>0</v>
      </c>
      <c r="Y106" s="115" t="n">
        <f aca="false">SUMIFS(الريسبي!$C$2:$C$1800,الريسبي!$A$2:$A$1800,$A106,الريسبي!$B$2:$B$1800,Y$1)</f>
        <v>1</v>
      </c>
      <c r="Z106" s="115" t="n">
        <f aca="false">SUMIFS(الريسبي!$C$2:$C$1800,الريسبي!$A$2:$A$1800,$A106,الريسبي!$B$2:$B$1800,Z$1)</f>
        <v>0</v>
      </c>
      <c r="AA106" s="115" t="n">
        <f aca="false">SUMIFS(الريسبي!$C$2:$C$1800,الريسبي!$A$2:$A$1800,$A106,الريسبي!$B$2:$B$1800,AA$1)</f>
        <v>0</v>
      </c>
      <c r="AB106" s="115" t="n">
        <f aca="false">SUMIFS(الريسبي!$C$2:$C$1800,الريسبي!$A$2:$A$1800,$A106,الريسبي!$B$2:$B$1800,AB$1)</f>
        <v>0</v>
      </c>
      <c r="AC106" s="115" t="n">
        <f aca="false">SUMIFS(الريسبي!$C$2:$C$1800,الريسبي!$A$2:$A$1800,$A106,الريسبي!$B$2:$B$1800,AC$1)</f>
        <v>0</v>
      </c>
      <c r="AD106" s="115" t="n">
        <f aca="false">SUMIFS(الريسبي!$C$2:$C$1800,الريسبي!$A$2:$A$1800,$A106,الريسبي!$B$2:$B$1800,AD$1)</f>
        <v>0</v>
      </c>
      <c r="AE106" s="115" t="n">
        <f aca="false">SUMIFS(الريسبي!$C$2:$C$1800,الريسبي!$A$2:$A$1800,$A106,الريسبي!$B$2:$B$1800,AE$1)</f>
        <v>0</v>
      </c>
      <c r="AF106" s="115" t="n">
        <f aca="false">SUMIFS(الريسبي!$C$2:$C$1800,الريسبي!$A$2:$A$1800,$A106,الريسبي!$B$2:$B$1800,AF$1)</f>
        <v>0</v>
      </c>
      <c r="AG106" s="115" t="n">
        <f aca="false">SUMIFS(الريسبي!$C$2:$C$1800,الريسبي!$A$2:$A$1800,$A106,الريسبي!$B$2:$B$1800,AG$1)</f>
        <v>0</v>
      </c>
      <c r="AH106" s="115" t="n">
        <f aca="false">SUMIFS(الريسبي!$C$2:$C$1800,الريسبي!$A$2:$A$1800,$A106,الريسبي!$B$2:$B$1800,AH$1)</f>
        <v>0</v>
      </c>
      <c r="AI106" s="115" t="n">
        <f aca="false">SUMIFS(الريسبي!$C$2:$C$1800,الريسبي!$A$2:$A$1800,$A106,الريسبي!$B$2:$B$1800,AI$1)</f>
        <v>0</v>
      </c>
      <c r="AJ106" s="115" t="n">
        <f aca="false">SUMIFS(الريسبي!$C$2:$C$1800,الريسبي!$A$2:$A$1800,$A106,الريسبي!$B$2:$B$1800,AJ$1)</f>
        <v>2</v>
      </c>
      <c r="AK106" s="115" t="n">
        <f aca="false">SUMIFS(الريسبي!$C$2:$C$1800,الريسبي!$A$2:$A$1800,$A106,الريسبي!$B$2:$B$1800,AK$1)</f>
        <v>0</v>
      </c>
      <c r="AL106" s="115" t="n">
        <f aca="false">SUMIFS(الريسبي!$C$2:$C$1800,الريسبي!$A$2:$A$1800,$A106,الريسبي!$B$2:$B$1800,AL$1)</f>
        <v>0</v>
      </c>
      <c r="AM106" s="115"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15"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15" t="n">
        <f aca="false">SUMIFS(الريسبي!$C$2:$C$1800,الريسبي!$A$2:$A$1800,$A106,الريسبي!$B$2:$B$1800,AO$1)</f>
        <v>0</v>
      </c>
      <c r="AP106" s="115" t="n">
        <f aca="false">SUMIFS(الريسبي!$C$2:$C$1800,الريسبي!$A$2:$A$1800,$A106,الريسبي!$B$2:$B$1800,AP$1)</f>
        <v>0.03</v>
      </c>
      <c r="AQ106" s="115"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15" t="n">
        <f aca="false">SUMIFS(الريسبي!$C$2:$C$1800,الريسبي!$A$2:$A$1800,$A106,الريسبي!$B$2:$B$1800,AR$1)</f>
        <v>0</v>
      </c>
      <c r="AS106" s="115" t="n">
        <f aca="false">SUMIFS(الريسبي!$C$2:$C$1800,الريسبي!$A$2:$A$1800,$A106,الريسبي!$B$2:$B$1800,AS$1)</f>
        <v>0</v>
      </c>
      <c r="AT106" s="115" t="n">
        <f aca="false">SUMIFS(الريسبي!$C$2:$C$1800,الريسبي!$A$2:$A$1800,$A106,الريسبي!$B$2:$B$1800,AT$1)</f>
        <v>0</v>
      </c>
      <c r="AU106" s="115" t="n">
        <f aca="false">SUMIFS(الريسبي!$C$2:$C$1800,الريسبي!$A$2:$A$1800,$A106,الريسبي!$B$2:$B$1800,AU$1)</f>
        <v>0</v>
      </c>
      <c r="AV106" s="115" t="n">
        <f aca="false">SUMIFS(الريسبي!$C$2:$C$1800,الريسبي!$A$2:$A$1800,$A106,الريسبي!$B$2:$B$1800,AV$1)</f>
        <v>0</v>
      </c>
      <c r="AW106" s="115" t="n">
        <f aca="false">SUMIFS(الريسبي!$C$2:$C$1800,الريسبي!$A$2:$A$1800,$A106,الريسبي!$B$2:$B$1800,AW$1)</f>
        <v>0</v>
      </c>
      <c r="AX106" s="115" t="n">
        <f aca="false">SUMIFS(الريسبي!$C$2:$C$1800,الريسبي!$A$2:$A$1800,$A106,الريسبي!$B$2:$B$1800,AX$1)</f>
        <v>0</v>
      </c>
      <c r="AY106" s="115" t="n">
        <f aca="false">SUMIFS(الريسبي!$C$2:$C$1800,الريسبي!$A$2:$A$1800,$A106,الريسبي!$B$2:$B$1800,AY$1)</f>
        <v>0.15</v>
      </c>
      <c r="AZ106" s="115" t="n">
        <f aca="false">SUMIFS(الريسبي!$C$2:$C$1800,الريسبي!$A$2:$A$1800,$A106,الريسبي!$B$2:$B$1800,AZ$1)</f>
        <v>0</v>
      </c>
      <c r="BA106" s="115" t="n">
        <f aca="false">SUMIFS(الريسبي!$C$2:$C$1800,الريسبي!$A$2:$A$1800,$A106,الريسبي!$B$2:$B$1800,BA$1)</f>
        <v>0</v>
      </c>
      <c r="BB106" s="115" t="n">
        <f aca="false">SUMIFS(الريسبي!$C$2:$C$1800,الريسبي!$A$2:$A$1800,$A106,الريسبي!$B$2:$B$1800,BB$1)</f>
        <v>0</v>
      </c>
      <c r="BC106" s="115" t="n">
        <f aca="false">SUMIFS(الريسبي!$C$2:$C$1800,الريسبي!$A$2:$A$1800,$A106,الريسبي!$B$2:$B$1800,BC$1)</f>
        <v>0.045</v>
      </c>
      <c r="BD106" s="115" t="n">
        <f aca="false">SUMIFS(الريسبي!$C$2:$C$1800,الريسبي!$A$2:$A$1800,$A106,الريسبي!$B$2:$B$1800,BD$1)</f>
        <v>0</v>
      </c>
      <c r="BE106" s="115" t="n">
        <f aca="false">SUMIFS(الريسبي!$C$2:$C$1800,الريسبي!$A$2:$A$1800,$A106,الريسبي!$B$2:$B$1800,BE$1)</f>
        <v>1.5</v>
      </c>
      <c r="BF106" s="115" t="n">
        <f aca="false">SUMIFS(الريسبي!$C$2:$C$1800,الريسبي!$A$2:$A$1800,$A106,الريسبي!$B$2:$B$1800,BF$1)</f>
        <v>0</v>
      </c>
      <c r="BG106" s="115" t="n">
        <f aca="false">SUMIFS(الريسبي!$C$2:$C$1800,الريسبي!$A$2:$A$1800,$A106,الريسبي!$B$2:$B$1800,BG$1)</f>
        <v>1</v>
      </c>
      <c r="BH106" s="115" t="n">
        <f aca="false">SUMIFS(الريسبي!$C$2:$C$1800,الريسبي!$A$2:$A$1800,$A106,الريسبي!$B$2:$B$1800,BH$1)</f>
        <v>0</v>
      </c>
      <c r="BI106" s="115" t="n">
        <f aca="false">SUMIFS(الريسبي!$C$2:$C$1800,الريسبي!$A$2:$A$1800,$A106,الريسبي!$B$2:$B$1800,BI$1)</f>
        <v>0</v>
      </c>
      <c r="BJ106" s="115" t="n">
        <f aca="false">SUMIFS(الريسبي!$C$2:$C$1800,الريسبي!$A$2:$A$1800,$A106,الريسبي!$B$2:$B$1800,BJ$1)</f>
        <v>0</v>
      </c>
      <c r="BK106" s="115" t="n">
        <f aca="false">SUMIFS(الريسبي!$C$2:$C$1800,الريسبي!$A$2:$A$1800,$A106,الريسبي!$B$2:$B$1800,BK$1)</f>
        <v>0</v>
      </c>
      <c r="BL106" s="115" t="n">
        <f aca="false">SUMIFS(الريسبي!$C$2:$C$1800,الريسبي!$A$2:$A$1800,$A106,الريسبي!$B$2:$B$1800,BL$1)</f>
        <v>0</v>
      </c>
      <c r="BM106" s="115" t="n">
        <f aca="false">SUMIFS(الريسبي!$C$2:$C$1800,الريسبي!$A$2:$A$1800,$A106,الريسبي!$B$2:$B$1800,BM$1)</f>
        <v>0.21</v>
      </c>
      <c r="BN106" s="115" t="n">
        <f aca="false">SUMIFS(الريسبي!$C$2:$C$1800,الريسبي!$A$2:$A$1800,$A106,الريسبي!$B$2:$B$1800,BN$1)</f>
        <v>0.03</v>
      </c>
      <c r="BO106" s="115" t="n">
        <f aca="false">SUMIFS(الريسبي!$C$2:$C$1800,الريسبي!$A$2:$A$1800,$A106,الريسبي!$B$2:$B$1800,BO$1)</f>
        <v>0</v>
      </c>
      <c r="BP106" s="115" t="n">
        <f aca="false">SUMIFS(الريسبي!$C$2:$C$1800,الريسبي!$A$2:$A$1800,$A106,الريسبي!$B$2:$B$1800,BP$1)</f>
        <v>3</v>
      </c>
      <c r="BQ106" s="115"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15" t="n">
        <f aca="false">SUMIFS(الريسبي!$C$2:$C$1800,الريسبي!$A$2:$A$1800,$A106,الريسبي!$B$2:$B$1800,BR$1)</f>
        <v>1</v>
      </c>
      <c r="BS106" s="115" t="n">
        <f aca="false">SUMIFS(الريسبي!$C$2:$C$1800,الريسبي!$A$2:$A$1800,$A106,الريسبي!$B$2:$B$1800,BS$1)</f>
        <v>0</v>
      </c>
      <c r="BT106" s="115" t="n">
        <f aca="false">SUMIFS(الريسبي!$C$2:$C$1800,الريسبي!$A$2:$A$1800,$A106,الريسبي!$B$2:$B$1800,BT$1)</f>
        <v>0</v>
      </c>
      <c r="BU106" s="115"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15" t="n">
        <f aca="false">SUMIFS(الريسبي!$C$2:$C$1800,الريسبي!$A$2:$A$1800,$A106,الريسبي!$B$2:$B$1800,BV$1)</f>
        <v>0</v>
      </c>
      <c r="BW106" s="115" t="n">
        <f aca="false">SUMIFS(الريسبي!$C$2:$C$1800,الريسبي!$A$2:$A$1800,$A106,الريسبي!$B$2:$B$1800,BW$1)</f>
        <v>0</v>
      </c>
      <c r="BX106" s="115" t="n">
        <f aca="false">SUMIFS(الريسبي!$C$2:$C$1800,الريسبي!$A$2:$A$1800,$A106,الريسبي!$B$2:$B$1800,BX$1)</f>
        <v>0</v>
      </c>
      <c r="BY106" s="115" t="n">
        <f aca="false">SUMIFS(الريسبي!$C$2:$C$1800,الريسبي!$A$2:$A$1800,$A106,الريسبي!$B$2:$B$1800,BY$1)</f>
        <v>0</v>
      </c>
      <c r="BZ106" s="115" t="n">
        <f aca="false">SUMIFS(الريسبي!$C$2:$C$1800,الريسبي!$A$2:$A$1800,$A106,الريسبي!$B$2:$B$1800,BZ$1)</f>
        <v>1</v>
      </c>
      <c r="CA106" s="115" t="n">
        <f aca="false">SUMIFS(الريسبي!$C$2:$C$1800,الريسبي!$A$2:$A$1800,$A106,الريسبي!$B$2:$B$1800,CA$1)</f>
        <v>1</v>
      </c>
      <c r="CB106" s="115" t="n">
        <f aca="false">SUMIFS(الريسبي!$C$2:$C$1800,الريسبي!$A$2:$A$1800,$A106,الريسبي!$B$2:$B$1800,CB$1)</f>
        <v>0</v>
      </c>
      <c r="CC106" s="115" t="n">
        <f aca="false">SUMIFS(الريسبي!$C$2:$C$1800,الريسبي!$A$2:$A$1800,$A106,الريسبي!$B$2:$B$1800,CC$1)</f>
        <v>0</v>
      </c>
      <c r="CD106" s="115" t="n">
        <f aca="false">SUMIFS(الريسبي!$C$2:$C$1800,الريسبي!$A$2:$A$1800,$A106,الريسبي!$B$2:$B$1800,CD$1)</f>
        <v>0</v>
      </c>
      <c r="CE106" s="115" t="n">
        <f aca="false">SUMIFS(الريسبي!$C$2:$C$1800,الريسبي!$A$2:$A$1800,$A106,الريسبي!$B$2:$B$1800,CE$1)</f>
        <v>0</v>
      </c>
      <c r="CF106" s="115" t="n">
        <f aca="false">SUMIFS(الريسبي!$C$2:$C$1800,الريسبي!$A$2:$A$1800,$A106,الريسبي!$B$2:$B$1800,CF$1)</f>
        <v>0</v>
      </c>
      <c r="CG106" s="115" t="n">
        <f aca="false">SUMIFS(الريسبي!$C$2:$C$1800,الريسبي!$A$2:$A$1800,$A106,الريسبي!$B$2:$B$1800,CG$1)</f>
        <v>0</v>
      </c>
      <c r="CH106" s="115" t="n">
        <f aca="false">SUMIFS(الريسبي!$C$2:$C$1800,الريسبي!$A$2:$A$1800,$A106,الريسبي!$B$2:$B$1800,CH$1)</f>
        <v>0</v>
      </c>
    </row>
    <row r="107" customFormat="false" ht="15" hidden="false" customHeight="false" outlineLevel="0" collapsed="false">
      <c r="A107" s="114" t="str">
        <f aca="false">المنيو!B107</f>
        <v>فطيرة جمبري صيامي وسط</v>
      </c>
      <c r="B107" s="115" t="n">
        <f aca="false">SUMIFS(الريسبي!$C$2:$C$1800,الريسبي!$A$2:$A$1800,$A107,الريسبي!$B$2:$B$1800,B$1)</f>
        <v>0</v>
      </c>
      <c r="C107" s="115" t="n">
        <f aca="false">SUMIFS(الريسبي!$C$2:$C$1800,الريسبي!$A$2:$A$1800,$A107,الريسبي!$B$2:$B$1800,C$1)</f>
        <v>0</v>
      </c>
      <c r="D107" s="115" t="n">
        <f aca="false">SUMIFS(الريسبي!$C$2:$C$1800,الريسبي!$A$2:$A$1800,$A107,الريسبي!$B$2:$B$1800,D$1)</f>
        <v>1</v>
      </c>
      <c r="E107" s="115" t="n">
        <f aca="false">SUMIFS(الريسبي!$C$2:$C$1800,الريسبي!$A$2:$A$1800,$A107,الريسبي!$B$2:$B$1800,E$1)</f>
        <v>0</v>
      </c>
      <c r="F107" s="115" t="n">
        <f aca="false">SUMIFS(الريسبي!$C$2:$C$1800,الريسبي!$A$2:$A$1800,$A107,الريسبي!$B$2:$B$1800,F$1)</f>
        <v>0</v>
      </c>
      <c r="G107" s="115" t="n">
        <f aca="false">SUMIFS(الريسبي!$C$2:$C$1800,الريسبي!$A$2:$A$1800,$A107,الريسبي!$B$2:$B$1800,G$1)</f>
        <v>0</v>
      </c>
      <c r="H107" s="115" t="n">
        <f aca="false">SUMIFS(الريسبي!$C$2:$C$1800,الريسبي!$A$2:$A$1800,$A107,الريسبي!$B$2:$B$1800,H$1)</f>
        <v>0</v>
      </c>
      <c r="I107" s="115" t="n">
        <f aca="false">SUMIFS(الريسبي!$C$2:$C$1800,الريسبي!$A$2:$A$1800,$A107,الريسبي!$B$2:$B$1800,I$1)</f>
        <v>0</v>
      </c>
      <c r="J107" s="115" t="n">
        <f aca="false">SUMIFS(الريسبي!$C$2:$C$1800,الريسبي!$A$2:$A$1800,$A107,الريسبي!$B$2:$B$1800,J$1)</f>
        <v>0</v>
      </c>
      <c r="K107" s="115" t="n">
        <f aca="false">SUMIFS(الريسبي!$C$2:$C$1800,الريسبي!$A$2:$A$1800,$A107,الريسبي!$B$2:$B$1800,K$1)</f>
        <v>1</v>
      </c>
      <c r="L107" s="115" t="n">
        <f aca="false">SUMIFS(الريسبي!$C$2:$C$1800,الريسبي!$A$2:$A$1800,$A107,الريسبي!$B$2:$B$1800,L$1)</f>
        <v>0</v>
      </c>
      <c r="M107" s="115" t="n">
        <f aca="false">SUMIFS(الريسبي!$C$2:$C$1800,الريسبي!$A$2:$A$1800,$A107,الريسبي!$B$2:$B$1800,M$1)</f>
        <v>0</v>
      </c>
      <c r="N107" s="115" t="n">
        <f aca="false">SUMIFS(الريسبي!$C$2:$C$1800,الريسبي!$A$2:$A$1800,$A107,الريسبي!$B$2:$B$1800,N$1)</f>
        <v>0</v>
      </c>
      <c r="O107" s="115" t="n">
        <f aca="false">SUMIFS(الريسبي!$C$2:$C$1800,الريسبي!$A$2:$A$1800,$A107,الريسبي!$B$2:$B$1800,O$1)</f>
        <v>0</v>
      </c>
      <c r="P107" s="115" t="n">
        <f aca="false">SUMIFS(الريسبي!$C$2:$C$1800,الريسبي!$A$2:$A$1800,$A107,الريسبي!$B$2:$B$1800,P$1)</f>
        <v>0</v>
      </c>
      <c r="Q107" s="115" t="n">
        <f aca="false">SUMIFS(الريسبي!$C$2:$C$1800,الريسبي!$A$2:$A$1800,$A107,الريسبي!$B$2:$B$1800,Q$1)</f>
        <v>0</v>
      </c>
      <c r="R107" s="115" t="n">
        <f aca="false">SUMIFS(الريسبي!$C$2:$C$1800,الريسبي!$A$2:$A$1800,$A107,الريسبي!$B$2:$B$1800,R$1)</f>
        <v>0</v>
      </c>
      <c r="S107" s="115" t="n">
        <f aca="false">SUMIFS(الريسبي!$C$2:$C$1800,الريسبي!$A$2:$A$1800,$A107,الريسبي!$B$2:$B$1800,S$1)</f>
        <v>0</v>
      </c>
      <c r="T107" s="115" t="n">
        <f aca="false">SUMIFS(الريسبي!$C$2:$C$1800,الريسبي!$A$2:$A$1800,$A107,الريسبي!$B$2:$B$1800,T$1)</f>
        <v>0</v>
      </c>
      <c r="U107" s="115" t="n">
        <f aca="false">SUMIFS(الريسبي!$C$2:$C$1800,الريسبي!$A$2:$A$1800,$A107,الريسبي!$B$2:$B$1800,U$1)</f>
        <v>0</v>
      </c>
      <c r="V107" s="115" t="n">
        <f aca="false">SUMIFS(الريسبي!$C$2:$C$1800,الريسبي!$A$2:$A$1800,$A107,الريسبي!$B$2:$B$1800,V$1)</f>
        <v>0</v>
      </c>
      <c r="W107" s="115" t="n">
        <f aca="false">SUMIFS(الريسبي!$C$2:$C$1800,الريسبي!$A$2:$A$1800,$A107,الريسبي!$B$2:$B$1800,W$1)</f>
        <v>0</v>
      </c>
      <c r="X107" s="115" t="n">
        <f aca="false">SUMIFS(الريسبي!$C$2:$C$1800,الريسبي!$A$2:$A$1800,$A107,الريسبي!$B$2:$B$1800,X$1)</f>
        <v>1</v>
      </c>
      <c r="Y107" s="115" t="n">
        <f aca="false">SUMIFS(الريسبي!$C$2:$C$1800,الريسبي!$A$2:$A$1800,$A107,الريسبي!$B$2:$B$1800,Y$1)</f>
        <v>0</v>
      </c>
      <c r="Z107" s="115" t="n">
        <f aca="false">SUMIFS(الريسبي!$C$2:$C$1800,الريسبي!$A$2:$A$1800,$A107,الريسبي!$B$2:$B$1800,Z$1)</f>
        <v>0</v>
      </c>
      <c r="AA107" s="115" t="n">
        <f aca="false">SUMIFS(الريسبي!$C$2:$C$1800,الريسبي!$A$2:$A$1800,$A107,الريسبي!$B$2:$B$1800,AA$1)</f>
        <v>0</v>
      </c>
      <c r="AB107" s="115" t="n">
        <f aca="false">SUMIFS(الريسبي!$C$2:$C$1800,الريسبي!$A$2:$A$1800,$A107,الريسبي!$B$2:$B$1800,AB$1)</f>
        <v>0</v>
      </c>
      <c r="AC107" s="115" t="n">
        <f aca="false">SUMIFS(الريسبي!$C$2:$C$1800,الريسبي!$A$2:$A$1800,$A107,الريسبي!$B$2:$B$1800,AC$1)</f>
        <v>0</v>
      </c>
      <c r="AD107" s="115" t="n">
        <f aca="false">SUMIFS(الريسبي!$C$2:$C$1800,الريسبي!$A$2:$A$1800,$A107,الريسبي!$B$2:$B$1800,AD$1)</f>
        <v>0</v>
      </c>
      <c r="AE107" s="115" t="n">
        <f aca="false">SUMIFS(الريسبي!$C$2:$C$1800,الريسبي!$A$2:$A$1800,$A107,الريسبي!$B$2:$B$1800,AE$1)</f>
        <v>0</v>
      </c>
      <c r="AF107" s="115" t="n">
        <f aca="false">SUMIFS(الريسبي!$C$2:$C$1800,الريسبي!$A$2:$A$1800,$A107,الريسبي!$B$2:$B$1800,AF$1)</f>
        <v>0</v>
      </c>
      <c r="AG107" s="115" t="n">
        <f aca="false">SUMIFS(الريسبي!$C$2:$C$1800,الريسبي!$A$2:$A$1800,$A107,الريسبي!$B$2:$B$1800,AG$1)</f>
        <v>0</v>
      </c>
      <c r="AH107" s="115" t="n">
        <f aca="false">SUMIFS(الريسبي!$C$2:$C$1800,الريسبي!$A$2:$A$1800,$A107,الريسبي!$B$2:$B$1800,AH$1)</f>
        <v>0</v>
      </c>
      <c r="AI107" s="115" t="n">
        <f aca="false">SUMIFS(الريسبي!$C$2:$C$1800,الريسبي!$A$2:$A$1800,$A107,الريسبي!$B$2:$B$1800,AI$1)</f>
        <v>0</v>
      </c>
      <c r="AJ107" s="115" t="n">
        <f aca="false">SUMIFS(الريسبي!$C$2:$C$1800,الريسبي!$A$2:$A$1800,$A107,الريسبي!$B$2:$B$1800,AJ$1)</f>
        <v>2</v>
      </c>
      <c r="AK107" s="115" t="n">
        <f aca="false">SUMIFS(الريسبي!$C$2:$C$1800,الريسبي!$A$2:$A$1800,$A107,الريسبي!$B$2:$B$1800,AK$1)</f>
        <v>0</v>
      </c>
      <c r="AL107" s="115" t="n">
        <f aca="false">SUMIFS(الريسبي!$C$2:$C$1800,الريسبي!$A$2:$A$1800,$A107,الريسبي!$B$2:$B$1800,AL$1)</f>
        <v>0</v>
      </c>
      <c r="AM107" s="115"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15"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15" t="n">
        <f aca="false">SUMIFS(الريسبي!$C$2:$C$1800,الريسبي!$A$2:$A$1800,$A107,الريسبي!$B$2:$B$1800,AO$1)</f>
        <v>0</v>
      </c>
      <c r="AP107" s="115" t="n">
        <f aca="false">SUMIFS(الريسبي!$C$2:$C$1800,الريسبي!$A$2:$A$1800,$A107,الريسبي!$B$2:$B$1800,AP$1)</f>
        <v>0.02</v>
      </c>
      <c r="AQ107" s="115"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15" t="n">
        <f aca="false">SUMIFS(الريسبي!$C$2:$C$1800,الريسبي!$A$2:$A$1800,$A107,الريسبي!$B$2:$B$1800,AR$1)</f>
        <v>0</v>
      </c>
      <c r="AS107" s="115" t="n">
        <f aca="false">SUMIFS(الريسبي!$C$2:$C$1800,الريسبي!$A$2:$A$1800,$A107,الريسبي!$B$2:$B$1800,AS$1)</f>
        <v>0</v>
      </c>
      <c r="AT107" s="115" t="n">
        <f aca="false">SUMIFS(الريسبي!$C$2:$C$1800,الريسبي!$A$2:$A$1800,$A107,الريسبي!$B$2:$B$1800,AT$1)</f>
        <v>0</v>
      </c>
      <c r="AU107" s="115" t="n">
        <f aca="false">SUMIFS(الريسبي!$C$2:$C$1800,الريسبي!$A$2:$A$1800,$A107,الريسبي!$B$2:$B$1800,AU$1)</f>
        <v>0</v>
      </c>
      <c r="AV107" s="115" t="n">
        <f aca="false">SUMIFS(الريسبي!$C$2:$C$1800,الريسبي!$A$2:$A$1800,$A107,الريسبي!$B$2:$B$1800,AV$1)</f>
        <v>0</v>
      </c>
      <c r="AW107" s="115" t="n">
        <f aca="false">SUMIFS(الريسبي!$C$2:$C$1800,الريسبي!$A$2:$A$1800,$A107,الريسبي!$B$2:$B$1800,AW$1)</f>
        <v>0</v>
      </c>
      <c r="AX107" s="115" t="n">
        <f aca="false">SUMIFS(الريسبي!$C$2:$C$1800,الريسبي!$A$2:$A$1800,$A107,الريسبي!$B$2:$B$1800,AX$1)</f>
        <v>0</v>
      </c>
      <c r="AY107" s="115" t="n">
        <f aca="false">SUMIFS(الريسبي!$C$2:$C$1800,الريسبي!$A$2:$A$1800,$A107,الريسبي!$B$2:$B$1800,AY$1)</f>
        <v>0</v>
      </c>
      <c r="AZ107" s="115" t="n">
        <f aca="false">SUMIFS(الريسبي!$C$2:$C$1800,الريسبي!$A$2:$A$1800,$A107,الريسبي!$B$2:$B$1800,AZ$1)</f>
        <v>0</v>
      </c>
      <c r="BA107" s="115" t="n">
        <f aca="false">SUMIFS(الريسبي!$C$2:$C$1800,الريسبي!$A$2:$A$1800,$A107,الريسبي!$B$2:$B$1800,BA$1)</f>
        <v>0</v>
      </c>
      <c r="BB107" s="115" t="n">
        <f aca="false">SUMIFS(الريسبي!$C$2:$C$1800,الريسبي!$A$2:$A$1800,$A107,الريسبي!$B$2:$B$1800,BB$1)</f>
        <v>0</v>
      </c>
      <c r="BC107" s="115" t="n">
        <f aca="false">SUMIFS(الريسبي!$C$2:$C$1800,الريسبي!$A$2:$A$1800,$A107,الريسبي!$B$2:$B$1800,BC$1)</f>
        <v>0.03</v>
      </c>
      <c r="BD107" s="115" t="n">
        <f aca="false">SUMIFS(الريسبي!$C$2:$C$1800,الريسبي!$A$2:$A$1800,$A107,الريسبي!$B$2:$B$1800,BD$1)</f>
        <v>0</v>
      </c>
      <c r="BE107" s="115" t="n">
        <f aca="false">SUMIFS(الريسبي!$C$2:$C$1800,الريسبي!$A$2:$A$1800,$A107,الريسبي!$B$2:$B$1800,BE$1)</f>
        <v>1</v>
      </c>
      <c r="BF107" s="115" t="n">
        <f aca="false">SUMIFS(الريسبي!$C$2:$C$1800,الريسبي!$A$2:$A$1800,$A107,الريسبي!$B$2:$B$1800,BF$1)</f>
        <v>0</v>
      </c>
      <c r="BG107" s="115" t="n">
        <f aca="false">SUMIFS(الريسبي!$C$2:$C$1800,الريسبي!$A$2:$A$1800,$A107,الريسبي!$B$2:$B$1800,BG$1)</f>
        <v>0</v>
      </c>
      <c r="BH107" s="115" t="n">
        <f aca="false">SUMIFS(الريسبي!$C$2:$C$1800,الريسبي!$A$2:$A$1800,$A107,الريسبي!$B$2:$B$1800,BH$1)</f>
        <v>1</v>
      </c>
      <c r="BI107" s="115" t="n">
        <f aca="false">SUMIFS(الريسبي!$C$2:$C$1800,الريسبي!$A$2:$A$1800,$A107,الريسبي!$B$2:$B$1800,BI$1)</f>
        <v>0</v>
      </c>
      <c r="BJ107" s="115" t="n">
        <f aca="false">SUMIFS(الريسبي!$C$2:$C$1800,الريسبي!$A$2:$A$1800,$A107,الريسبي!$B$2:$B$1800,BJ$1)</f>
        <v>0</v>
      </c>
      <c r="BK107" s="115" t="n">
        <f aca="false">SUMIFS(الريسبي!$C$2:$C$1800,الريسبي!$A$2:$A$1800,$A107,الريسبي!$B$2:$B$1800,BK$1)</f>
        <v>0</v>
      </c>
      <c r="BL107" s="115" t="n">
        <f aca="false">SUMIFS(الريسبي!$C$2:$C$1800,الريسبي!$A$2:$A$1800,$A107,الريسبي!$B$2:$B$1800,BL$1)</f>
        <v>0</v>
      </c>
      <c r="BM107" s="115" t="n">
        <f aca="false">SUMIFS(الريسبي!$C$2:$C$1800,الريسبي!$A$2:$A$1800,$A107,الريسبي!$B$2:$B$1800,BM$1)</f>
        <v>0</v>
      </c>
      <c r="BN107" s="115" t="n">
        <f aca="false">SUMIFS(الريسبي!$C$2:$C$1800,الريسبي!$A$2:$A$1800,$A107,الريسبي!$B$2:$B$1800,BN$1)</f>
        <v>0.02</v>
      </c>
      <c r="BO107" s="115" t="n">
        <f aca="false">SUMIFS(الريسبي!$C$2:$C$1800,الريسبي!$A$2:$A$1800,$A107,الريسبي!$B$2:$B$1800,BO$1)</f>
        <v>0</v>
      </c>
      <c r="BP107" s="115" t="n">
        <f aca="false">SUMIFS(الريسبي!$C$2:$C$1800,الريسبي!$A$2:$A$1800,$A107,الريسبي!$B$2:$B$1800,BP$1)</f>
        <v>2</v>
      </c>
      <c r="BQ107" s="115"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15" t="n">
        <f aca="false">SUMIFS(الريسبي!$C$2:$C$1800,الريسبي!$A$2:$A$1800,$A107,الريسبي!$B$2:$B$1800,BR$1)</f>
        <v>1</v>
      </c>
      <c r="BS107" s="115" t="n">
        <f aca="false">SUMIFS(الريسبي!$C$2:$C$1800,الريسبي!$A$2:$A$1800,$A107,الريسبي!$B$2:$B$1800,BS$1)</f>
        <v>0</v>
      </c>
      <c r="BT107" s="115" t="n">
        <f aca="false">SUMIFS(الريسبي!$C$2:$C$1800,الريسبي!$A$2:$A$1800,$A107,الريسبي!$B$2:$B$1800,BT$1)</f>
        <v>0</v>
      </c>
      <c r="BU107" s="115"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15" t="n">
        <f aca="false">SUMIFS(الريسبي!$C$2:$C$1800,الريسبي!$A$2:$A$1800,$A107,الريسبي!$B$2:$B$1800,BV$1)</f>
        <v>0</v>
      </c>
      <c r="BW107" s="115" t="n">
        <f aca="false">SUMIFS(الريسبي!$C$2:$C$1800,الريسبي!$A$2:$A$1800,$A107,الريسبي!$B$2:$B$1800,BW$1)</f>
        <v>0</v>
      </c>
      <c r="BX107" s="115" t="n">
        <f aca="false">SUMIFS(الريسبي!$C$2:$C$1800,الريسبي!$A$2:$A$1800,$A107,الريسبي!$B$2:$B$1800,BX$1)</f>
        <v>0</v>
      </c>
      <c r="BY107" s="115" t="n">
        <f aca="false">SUMIFS(الريسبي!$C$2:$C$1800,الريسبي!$A$2:$A$1800,$A107,الريسبي!$B$2:$B$1800,BY$1)</f>
        <v>0</v>
      </c>
      <c r="BZ107" s="115" t="n">
        <f aca="false">SUMIFS(الريسبي!$C$2:$C$1800,الريسبي!$A$2:$A$1800,$A107,الريسبي!$B$2:$B$1800,BZ$1)</f>
        <v>1</v>
      </c>
      <c r="CA107" s="115" t="n">
        <f aca="false">SUMIFS(الريسبي!$C$2:$C$1800,الريسبي!$A$2:$A$1800,$A107,الريسبي!$B$2:$B$1800,CA$1)</f>
        <v>1</v>
      </c>
      <c r="CB107" s="115" t="n">
        <f aca="false">SUMIFS(الريسبي!$C$2:$C$1800,الريسبي!$A$2:$A$1800,$A107,الريسبي!$B$2:$B$1800,CB$1)</f>
        <v>0</v>
      </c>
      <c r="CC107" s="115" t="n">
        <f aca="false">SUMIFS(الريسبي!$C$2:$C$1800,الريسبي!$A$2:$A$1800,$A107,الريسبي!$B$2:$B$1800,CC$1)</f>
        <v>0</v>
      </c>
      <c r="CD107" s="115" t="n">
        <f aca="false">SUMIFS(الريسبي!$C$2:$C$1800,الريسبي!$A$2:$A$1800,$A107,الريسبي!$B$2:$B$1800,CD$1)</f>
        <v>0</v>
      </c>
      <c r="CE107" s="115" t="n">
        <f aca="false">SUMIFS(الريسبي!$C$2:$C$1800,الريسبي!$A$2:$A$1800,$A107,الريسبي!$B$2:$B$1800,CE$1)</f>
        <v>0</v>
      </c>
      <c r="CF107" s="115" t="n">
        <f aca="false">SUMIFS(الريسبي!$C$2:$C$1800,الريسبي!$A$2:$A$1800,$A107,الريسبي!$B$2:$B$1800,CF$1)</f>
        <v>0</v>
      </c>
      <c r="CG107" s="115" t="n">
        <f aca="false">SUMIFS(الريسبي!$C$2:$C$1800,الريسبي!$A$2:$A$1800,$A107,الريسبي!$B$2:$B$1800,CG$1)</f>
        <v>0</v>
      </c>
      <c r="CH107" s="115" t="n">
        <f aca="false">SUMIFS(الريسبي!$C$2:$C$1800,الريسبي!$A$2:$A$1800,$A107,الريسبي!$B$2:$B$1800,CH$1)</f>
        <v>0</v>
      </c>
    </row>
    <row r="108" customFormat="false" ht="15" hidden="false" customHeight="false" outlineLevel="0" collapsed="false">
      <c r="A108" s="114" t="str">
        <f aca="false">المنيو!B108</f>
        <v>فطيرة جمبري صيامي مخصوص</v>
      </c>
      <c r="B108" s="115" t="n">
        <f aca="false">SUMIFS(الريسبي!$C$2:$C$1800,الريسبي!$A$2:$A$1800,$A108,الريسبي!$B$2:$B$1800,B$1)</f>
        <v>0</v>
      </c>
      <c r="C108" s="115" t="n">
        <f aca="false">SUMIFS(الريسبي!$C$2:$C$1800,الريسبي!$A$2:$A$1800,$A108,الريسبي!$B$2:$B$1800,C$1)</f>
        <v>0</v>
      </c>
      <c r="D108" s="115" t="n">
        <f aca="false">SUMIFS(الريسبي!$C$2:$C$1800,الريسبي!$A$2:$A$1800,$A108,الريسبي!$B$2:$B$1800,D$1)</f>
        <v>1</v>
      </c>
      <c r="E108" s="115" t="n">
        <f aca="false">SUMIFS(الريسبي!$C$2:$C$1800,الريسبي!$A$2:$A$1800,$A108,الريسبي!$B$2:$B$1800,E$1)</f>
        <v>0</v>
      </c>
      <c r="F108" s="115" t="n">
        <f aca="false">SUMIFS(الريسبي!$C$2:$C$1800,الريسبي!$A$2:$A$1800,$A108,الريسبي!$B$2:$B$1800,F$1)</f>
        <v>0</v>
      </c>
      <c r="G108" s="115" t="n">
        <f aca="false">SUMIFS(الريسبي!$C$2:$C$1800,الريسبي!$A$2:$A$1800,$A108,الريسبي!$B$2:$B$1800,G$1)</f>
        <v>0</v>
      </c>
      <c r="H108" s="115" t="n">
        <f aca="false">SUMIFS(الريسبي!$C$2:$C$1800,الريسبي!$A$2:$A$1800,$A108,الريسبي!$B$2:$B$1800,H$1)</f>
        <v>0</v>
      </c>
      <c r="I108" s="115" t="n">
        <f aca="false">SUMIFS(الريسبي!$C$2:$C$1800,الريسبي!$A$2:$A$1800,$A108,الريسبي!$B$2:$B$1800,I$1)</f>
        <v>0</v>
      </c>
      <c r="J108" s="115" t="n">
        <f aca="false">SUMIFS(الريسبي!$C$2:$C$1800,الريسبي!$A$2:$A$1800,$A108,الريسبي!$B$2:$B$1800,J$1)</f>
        <v>0</v>
      </c>
      <c r="K108" s="115" t="n">
        <f aca="false">SUMIFS(الريسبي!$C$2:$C$1800,الريسبي!$A$2:$A$1800,$A108,الريسبي!$B$2:$B$1800,K$1)</f>
        <v>1.5</v>
      </c>
      <c r="L108" s="115" t="n">
        <f aca="false">SUMIFS(الريسبي!$C$2:$C$1800,الريسبي!$A$2:$A$1800,$A108,الريسبي!$B$2:$B$1800,L$1)</f>
        <v>0</v>
      </c>
      <c r="M108" s="115" t="n">
        <f aca="false">SUMIFS(الريسبي!$C$2:$C$1800,الريسبي!$A$2:$A$1800,$A108,الريسبي!$B$2:$B$1800,M$1)</f>
        <v>0</v>
      </c>
      <c r="N108" s="115" t="n">
        <f aca="false">SUMIFS(الريسبي!$C$2:$C$1800,الريسبي!$A$2:$A$1800,$A108,الريسبي!$B$2:$B$1800,N$1)</f>
        <v>0</v>
      </c>
      <c r="O108" s="115" t="n">
        <f aca="false">SUMIFS(الريسبي!$C$2:$C$1800,الريسبي!$A$2:$A$1800,$A108,الريسبي!$B$2:$B$1800,O$1)</f>
        <v>0</v>
      </c>
      <c r="P108" s="115" t="n">
        <f aca="false">SUMIFS(الريسبي!$C$2:$C$1800,الريسبي!$A$2:$A$1800,$A108,الريسبي!$B$2:$B$1800,P$1)</f>
        <v>0</v>
      </c>
      <c r="Q108" s="115" t="n">
        <f aca="false">SUMIFS(الريسبي!$C$2:$C$1800,الريسبي!$A$2:$A$1800,$A108,الريسبي!$B$2:$B$1800,Q$1)</f>
        <v>0</v>
      </c>
      <c r="R108" s="115" t="n">
        <f aca="false">SUMIFS(الريسبي!$C$2:$C$1800,الريسبي!$A$2:$A$1800,$A108,الريسبي!$B$2:$B$1800,R$1)</f>
        <v>0</v>
      </c>
      <c r="S108" s="115" t="n">
        <f aca="false">SUMIFS(الريسبي!$C$2:$C$1800,الريسبي!$A$2:$A$1800,$A108,الريسبي!$B$2:$B$1800,S$1)</f>
        <v>0</v>
      </c>
      <c r="T108" s="115" t="n">
        <f aca="false">SUMIFS(الريسبي!$C$2:$C$1800,الريسبي!$A$2:$A$1800,$A108,الريسبي!$B$2:$B$1800,T$1)</f>
        <v>0</v>
      </c>
      <c r="U108" s="115" t="n">
        <f aca="false">SUMIFS(الريسبي!$C$2:$C$1800,الريسبي!$A$2:$A$1800,$A108,الريسبي!$B$2:$B$1800,U$1)</f>
        <v>0</v>
      </c>
      <c r="V108" s="115" t="n">
        <f aca="false">SUMIFS(الريسبي!$C$2:$C$1800,الريسبي!$A$2:$A$1800,$A108,الريسبي!$B$2:$B$1800,V$1)</f>
        <v>0</v>
      </c>
      <c r="W108" s="115" t="n">
        <f aca="false">SUMIFS(الريسبي!$C$2:$C$1800,الريسبي!$A$2:$A$1800,$A108,الريسبي!$B$2:$B$1800,W$1)</f>
        <v>0</v>
      </c>
      <c r="X108" s="115" t="n">
        <f aca="false">SUMIFS(الريسبي!$C$2:$C$1800,الريسبي!$A$2:$A$1800,$A108,الريسبي!$B$2:$B$1800,X$1)</f>
        <v>0</v>
      </c>
      <c r="Y108" s="115" t="n">
        <f aca="false">SUMIFS(الريسبي!$C$2:$C$1800,الريسبي!$A$2:$A$1800,$A108,الريسبي!$B$2:$B$1800,Y$1)</f>
        <v>1</v>
      </c>
      <c r="Z108" s="115" t="n">
        <f aca="false">SUMIFS(الريسبي!$C$2:$C$1800,الريسبي!$A$2:$A$1800,$A108,الريسبي!$B$2:$B$1800,Z$1)</f>
        <v>0</v>
      </c>
      <c r="AA108" s="115" t="n">
        <f aca="false">SUMIFS(الريسبي!$C$2:$C$1800,الريسبي!$A$2:$A$1800,$A108,الريسبي!$B$2:$B$1800,AA$1)</f>
        <v>0</v>
      </c>
      <c r="AB108" s="115" t="n">
        <f aca="false">SUMIFS(الريسبي!$C$2:$C$1800,الريسبي!$A$2:$A$1800,$A108,الريسبي!$B$2:$B$1800,AB$1)</f>
        <v>0</v>
      </c>
      <c r="AC108" s="115" t="n">
        <f aca="false">SUMIFS(الريسبي!$C$2:$C$1800,الريسبي!$A$2:$A$1800,$A108,الريسبي!$B$2:$B$1800,AC$1)</f>
        <v>0</v>
      </c>
      <c r="AD108" s="115" t="n">
        <f aca="false">SUMIFS(الريسبي!$C$2:$C$1800,الريسبي!$A$2:$A$1800,$A108,الريسبي!$B$2:$B$1800,AD$1)</f>
        <v>0</v>
      </c>
      <c r="AE108" s="115" t="n">
        <f aca="false">SUMIFS(الريسبي!$C$2:$C$1800,الريسبي!$A$2:$A$1800,$A108,الريسبي!$B$2:$B$1800,AE$1)</f>
        <v>0</v>
      </c>
      <c r="AF108" s="115" t="n">
        <f aca="false">SUMIFS(الريسبي!$C$2:$C$1800,الريسبي!$A$2:$A$1800,$A108,الريسبي!$B$2:$B$1800,AF$1)</f>
        <v>0</v>
      </c>
      <c r="AG108" s="115" t="n">
        <f aca="false">SUMIFS(الريسبي!$C$2:$C$1800,الريسبي!$A$2:$A$1800,$A108,الريسبي!$B$2:$B$1800,AG$1)</f>
        <v>0</v>
      </c>
      <c r="AH108" s="115" t="n">
        <f aca="false">SUMIFS(الريسبي!$C$2:$C$1800,الريسبي!$A$2:$A$1800,$A108,الريسبي!$B$2:$B$1800,AH$1)</f>
        <v>0</v>
      </c>
      <c r="AI108" s="115" t="n">
        <f aca="false">SUMIFS(الريسبي!$C$2:$C$1800,الريسبي!$A$2:$A$1800,$A108,الريسبي!$B$2:$B$1800,AI$1)</f>
        <v>0</v>
      </c>
      <c r="AJ108" s="115" t="n">
        <f aca="false">SUMIFS(الريسبي!$C$2:$C$1800,الريسبي!$A$2:$A$1800,$A108,الريسبي!$B$2:$B$1800,AJ$1)</f>
        <v>2</v>
      </c>
      <c r="AK108" s="115" t="n">
        <f aca="false">SUMIFS(الريسبي!$C$2:$C$1800,الريسبي!$A$2:$A$1800,$A108,الريسبي!$B$2:$B$1800,AK$1)</f>
        <v>0</v>
      </c>
      <c r="AL108" s="115" t="n">
        <f aca="false">SUMIFS(الريسبي!$C$2:$C$1800,الريسبي!$A$2:$A$1800,$A108,الريسبي!$B$2:$B$1800,AL$1)</f>
        <v>0</v>
      </c>
      <c r="AM108" s="115"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15"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15" t="n">
        <f aca="false">SUMIFS(الريسبي!$C$2:$C$1800,الريسبي!$A$2:$A$1800,$A108,الريسبي!$B$2:$B$1800,AO$1)</f>
        <v>0</v>
      </c>
      <c r="AP108" s="115" t="n">
        <f aca="false">SUMIFS(الريسبي!$C$2:$C$1800,الريسبي!$A$2:$A$1800,$A108,الريسبي!$B$2:$B$1800,AP$1)</f>
        <v>0.03</v>
      </c>
      <c r="AQ108" s="115"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15" t="n">
        <f aca="false">SUMIFS(الريسبي!$C$2:$C$1800,الريسبي!$A$2:$A$1800,$A108,الريسبي!$B$2:$B$1800,AR$1)</f>
        <v>0</v>
      </c>
      <c r="AS108" s="115" t="n">
        <f aca="false">SUMIFS(الريسبي!$C$2:$C$1800,الريسبي!$A$2:$A$1800,$A108,الريسبي!$B$2:$B$1800,AS$1)</f>
        <v>0</v>
      </c>
      <c r="AT108" s="115" t="n">
        <f aca="false">SUMIFS(الريسبي!$C$2:$C$1800,الريسبي!$A$2:$A$1800,$A108,الريسبي!$B$2:$B$1800,AT$1)</f>
        <v>0</v>
      </c>
      <c r="AU108" s="115" t="n">
        <f aca="false">SUMIFS(الريسبي!$C$2:$C$1800,الريسبي!$A$2:$A$1800,$A108,الريسبي!$B$2:$B$1800,AU$1)</f>
        <v>0</v>
      </c>
      <c r="AV108" s="115" t="n">
        <f aca="false">SUMIFS(الريسبي!$C$2:$C$1800,الريسبي!$A$2:$A$1800,$A108,الريسبي!$B$2:$B$1800,AV$1)</f>
        <v>0</v>
      </c>
      <c r="AW108" s="115" t="n">
        <f aca="false">SUMIFS(الريسبي!$C$2:$C$1800,الريسبي!$A$2:$A$1800,$A108,الريسبي!$B$2:$B$1800,AW$1)</f>
        <v>0</v>
      </c>
      <c r="AX108" s="115" t="n">
        <f aca="false">SUMIFS(الريسبي!$C$2:$C$1800,الريسبي!$A$2:$A$1800,$A108,الريسبي!$B$2:$B$1800,AX$1)</f>
        <v>0</v>
      </c>
      <c r="AY108" s="115" t="n">
        <f aca="false">SUMIFS(الريسبي!$C$2:$C$1800,الريسبي!$A$2:$A$1800,$A108,الريسبي!$B$2:$B$1800,AY$1)</f>
        <v>0</v>
      </c>
      <c r="AZ108" s="115" t="n">
        <f aca="false">SUMIFS(الريسبي!$C$2:$C$1800,الريسبي!$A$2:$A$1800,$A108,الريسبي!$B$2:$B$1800,AZ$1)</f>
        <v>0</v>
      </c>
      <c r="BA108" s="115" t="n">
        <f aca="false">SUMIFS(الريسبي!$C$2:$C$1800,الريسبي!$A$2:$A$1800,$A108,الريسبي!$B$2:$B$1800,BA$1)</f>
        <v>0</v>
      </c>
      <c r="BB108" s="115" t="n">
        <f aca="false">SUMIFS(الريسبي!$C$2:$C$1800,الريسبي!$A$2:$A$1800,$A108,الريسبي!$B$2:$B$1800,BB$1)</f>
        <v>0</v>
      </c>
      <c r="BC108" s="115" t="n">
        <f aca="false">SUMIFS(الريسبي!$C$2:$C$1800,الريسبي!$A$2:$A$1800,$A108,الريسبي!$B$2:$B$1800,BC$1)</f>
        <v>0.045</v>
      </c>
      <c r="BD108" s="115" t="n">
        <f aca="false">SUMIFS(الريسبي!$C$2:$C$1800,الريسبي!$A$2:$A$1800,$A108,الريسبي!$B$2:$B$1800,BD$1)</f>
        <v>0</v>
      </c>
      <c r="BE108" s="115" t="n">
        <f aca="false">SUMIFS(الريسبي!$C$2:$C$1800,الريسبي!$A$2:$A$1800,$A108,الريسبي!$B$2:$B$1800,BE$1)</f>
        <v>1.5</v>
      </c>
      <c r="BF108" s="115" t="n">
        <f aca="false">SUMIFS(الريسبي!$C$2:$C$1800,الريسبي!$A$2:$A$1800,$A108,الريسبي!$B$2:$B$1800,BF$1)</f>
        <v>0</v>
      </c>
      <c r="BG108" s="115" t="n">
        <f aca="false">SUMIFS(الريسبي!$C$2:$C$1800,الريسبي!$A$2:$A$1800,$A108,الريسبي!$B$2:$B$1800,BG$1)</f>
        <v>1</v>
      </c>
      <c r="BH108" s="115" t="n">
        <f aca="false">SUMIFS(الريسبي!$C$2:$C$1800,الريسبي!$A$2:$A$1800,$A108,الريسبي!$B$2:$B$1800,BH$1)</f>
        <v>0</v>
      </c>
      <c r="BI108" s="115" t="n">
        <f aca="false">SUMIFS(الريسبي!$C$2:$C$1800,الريسبي!$A$2:$A$1800,$A108,الريسبي!$B$2:$B$1800,BI$1)</f>
        <v>0</v>
      </c>
      <c r="BJ108" s="115" t="n">
        <f aca="false">SUMIFS(الريسبي!$C$2:$C$1800,الريسبي!$A$2:$A$1800,$A108,الريسبي!$B$2:$B$1800,BJ$1)</f>
        <v>0</v>
      </c>
      <c r="BK108" s="115" t="n">
        <f aca="false">SUMIFS(الريسبي!$C$2:$C$1800,الريسبي!$A$2:$A$1800,$A108,الريسبي!$B$2:$B$1800,BK$1)</f>
        <v>0</v>
      </c>
      <c r="BL108" s="115" t="n">
        <f aca="false">SUMIFS(الريسبي!$C$2:$C$1800,الريسبي!$A$2:$A$1800,$A108,الريسبي!$B$2:$B$1800,BL$1)</f>
        <v>0</v>
      </c>
      <c r="BM108" s="115" t="n">
        <f aca="false">SUMIFS(الريسبي!$C$2:$C$1800,الريسبي!$A$2:$A$1800,$A108,الريسبي!$B$2:$B$1800,BM$1)</f>
        <v>0</v>
      </c>
      <c r="BN108" s="115" t="n">
        <f aca="false">SUMIFS(الريسبي!$C$2:$C$1800,الريسبي!$A$2:$A$1800,$A108,الريسبي!$B$2:$B$1800,BN$1)</f>
        <v>0.03</v>
      </c>
      <c r="BO108" s="115" t="n">
        <f aca="false">SUMIFS(الريسبي!$C$2:$C$1800,الريسبي!$A$2:$A$1800,$A108,الريسبي!$B$2:$B$1800,BO$1)</f>
        <v>0</v>
      </c>
      <c r="BP108" s="115" t="n">
        <f aca="false">SUMIFS(الريسبي!$C$2:$C$1800,الريسبي!$A$2:$A$1800,$A108,الريسبي!$B$2:$B$1800,BP$1)</f>
        <v>3</v>
      </c>
      <c r="BQ108" s="115"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15" t="n">
        <f aca="false">SUMIFS(الريسبي!$C$2:$C$1800,الريسبي!$A$2:$A$1800,$A108,الريسبي!$B$2:$B$1800,BR$1)</f>
        <v>1</v>
      </c>
      <c r="BS108" s="115" t="n">
        <f aca="false">SUMIFS(الريسبي!$C$2:$C$1800,الريسبي!$A$2:$A$1800,$A108,الريسبي!$B$2:$B$1800,BS$1)</f>
        <v>0</v>
      </c>
      <c r="BT108" s="115" t="n">
        <f aca="false">SUMIFS(الريسبي!$C$2:$C$1800,الريسبي!$A$2:$A$1800,$A108,الريسبي!$B$2:$B$1800,BT$1)</f>
        <v>0</v>
      </c>
      <c r="BU108" s="115"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15" t="n">
        <f aca="false">SUMIFS(الريسبي!$C$2:$C$1800,الريسبي!$A$2:$A$1800,$A108,الريسبي!$B$2:$B$1800,BV$1)</f>
        <v>0</v>
      </c>
      <c r="BW108" s="115" t="n">
        <f aca="false">SUMIFS(الريسبي!$C$2:$C$1800,الريسبي!$A$2:$A$1800,$A108,الريسبي!$B$2:$B$1800,BW$1)</f>
        <v>0</v>
      </c>
      <c r="BX108" s="115" t="n">
        <f aca="false">SUMIFS(الريسبي!$C$2:$C$1800,الريسبي!$A$2:$A$1800,$A108,الريسبي!$B$2:$B$1800,BX$1)</f>
        <v>0</v>
      </c>
      <c r="BY108" s="115" t="n">
        <f aca="false">SUMIFS(الريسبي!$C$2:$C$1800,الريسبي!$A$2:$A$1800,$A108,الريسبي!$B$2:$B$1800,BY$1)</f>
        <v>0</v>
      </c>
      <c r="BZ108" s="115" t="n">
        <f aca="false">SUMIFS(الريسبي!$C$2:$C$1800,الريسبي!$A$2:$A$1800,$A108,الريسبي!$B$2:$B$1800,BZ$1)</f>
        <v>1</v>
      </c>
      <c r="CA108" s="115" t="n">
        <f aca="false">SUMIFS(الريسبي!$C$2:$C$1800,الريسبي!$A$2:$A$1800,$A108,الريسبي!$B$2:$B$1800,CA$1)</f>
        <v>1</v>
      </c>
      <c r="CB108" s="115" t="n">
        <f aca="false">SUMIFS(الريسبي!$C$2:$C$1800,الريسبي!$A$2:$A$1800,$A108,الريسبي!$B$2:$B$1800,CB$1)</f>
        <v>0</v>
      </c>
      <c r="CC108" s="115" t="n">
        <f aca="false">SUMIFS(الريسبي!$C$2:$C$1800,الريسبي!$A$2:$A$1800,$A108,الريسبي!$B$2:$B$1800,CC$1)</f>
        <v>0</v>
      </c>
      <c r="CD108" s="115" t="n">
        <f aca="false">SUMIFS(الريسبي!$C$2:$C$1800,الريسبي!$A$2:$A$1800,$A108,الريسبي!$B$2:$B$1800,CD$1)</f>
        <v>0</v>
      </c>
      <c r="CE108" s="115" t="n">
        <f aca="false">SUMIFS(الريسبي!$C$2:$C$1800,الريسبي!$A$2:$A$1800,$A108,الريسبي!$B$2:$B$1800,CE$1)</f>
        <v>0</v>
      </c>
      <c r="CF108" s="115" t="n">
        <f aca="false">SUMIFS(الريسبي!$C$2:$C$1800,الريسبي!$A$2:$A$1800,$A108,الريسبي!$B$2:$B$1800,CF$1)</f>
        <v>0</v>
      </c>
      <c r="CG108" s="115" t="n">
        <f aca="false">SUMIFS(الريسبي!$C$2:$C$1800,الريسبي!$A$2:$A$1800,$A108,الريسبي!$B$2:$B$1800,CG$1)</f>
        <v>0</v>
      </c>
      <c r="CH108" s="115" t="n">
        <f aca="false">SUMIFS(الريسبي!$C$2:$C$1800,الريسبي!$A$2:$A$1800,$A108,الريسبي!$B$2:$B$1800,CH$1)</f>
        <v>0</v>
      </c>
    </row>
    <row r="109" customFormat="false" ht="15" hidden="false" customHeight="false" outlineLevel="0" collapsed="false">
      <c r="A109" s="114" t="str">
        <f aca="false">المنيو!B109</f>
        <v>فطيرة تونة صيامي وسط</v>
      </c>
      <c r="B109" s="115" t="n">
        <f aca="false">SUMIFS(الريسبي!$C$2:$C$1800,الريسبي!$A$2:$A$1800,$A109,الريسبي!$B$2:$B$1800,B$1)</f>
        <v>0</v>
      </c>
      <c r="C109" s="115" t="n">
        <f aca="false">SUMIFS(الريسبي!$C$2:$C$1800,الريسبي!$A$2:$A$1800,$A109,الريسبي!$B$2:$B$1800,C$1)</f>
        <v>0</v>
      </c>
      <c r="D109" s="115" t="n">
        <f aca="false">SUMIFS(الريسبي!$C$2:$C$1800,الريسبي!$A$2:$A$1800,$A109,الريسبي!$B$2:$B$1800,D$1)</f>
        <v>1</v>
      </c>
      <c r="E109" s="115" t="n">
        <f aca="false">SUMIFS(الريسبي!$C$2:$C$1800,الريسبي!$A$2:$A$1800,$A109,الريسبي!$B$2:$B$1800,E$1)</f>
        <v>0</v>
      </c>
      <c r="F109" s="115" t="n">
        <f aca="false">SUMIFS(الريسبي!$C$2:$C$1800,الريسبي!$A$2:$A$1800,$A109,الريسبي!$B$2:$B$1800,F$1)</f>
        <v>0</v>
      </c>
      <c r="G109" s="115" t="n">
        <f aca="false">SUMIFS(الريسبي!$C$2:$C$1800,الريسبي!$A$2:$A$1800,$A109,الريسبي!$B$2:$B$1800,G$1)</f>
        <v>0</v>
      </c>
      <c r="H109" s="115" t="n">
        <f aca="false">SUMIFS(الريسبي!$C$2:$C$1800,الريسبي!$A$2:$A$1800,$A109,الريسبي!$B$2:$B$1800,H$1)</f>
        <v>0</v>
      </c>
      <c r="I109" s="115" t="n">
        <f aca="false">SUMIFS(الريسبي!$C$2:$C$1800,الريسبي!$A$2:$A$1800,$A109,الريسبي!$B$2:$B$1800,I$1)</f>
        <v>0</v>
      </c>
      <c r="J109" s="115" t="n">
        <f aca="false">SUMIFS(الريسبي!$C$2:$C$1800,الريسبي!$A$2:$A$1800,$A109,الريسبي!$B$2:$B$1800,J$1)</f>
        <v>0</v>
      </c>
      <c r="K109" s="115" t="n">
        <f aca="false">SUMIFS(الريسبي!$C$2:$C$1800,الريسبي!$A$2:$A$1800,$A109,الريسبي!$B$2:$B$1800,K$1)</f>
        <v>0</v>
      </c>
      <c r="L109" s="115" t="n">
        <f aca="false">SUMIFS(الريسبي!$C$2:$C$1800,الريسبي!$A$2:$A$1800,$A109,الريسبي!$B$2:$B$1800,L$1)</f>
        <v>0</v>
      </c>
      <c r="M109" s="115" t="n">
        <f aca="false">SUMIFS(الريسبي!$C$2:$C$1800,الريسبي!$A$2:$A$1800,$A109,الريسبي!$B$2:$B$1800,M$1)</f>
        <v>0</v>
      </c>
      <c r="N109" s="115" t="n">
        <f aca="false">SUMIFS(الريسبي!$C$2:$C$1800,الريسبي!$A$2:$A$1800,$A109,الريسبي!$B$2:$B$1800,N$1)</f>
        <v>0</v>
      </c>
      <c r="O109" s="115" t="n">
        <f aca="false">SUMIFS(الريسبي!$C$2:$C$1800,الريسبي!$A$2:$A$1800,$A109,الريسبي!$B$2:$B$1800,O$1)</f>
        <v>0</v>
      </c>
      <c r="P109" s="115" t="n">
        <f aca="false">SUMIFS(الريسبي!$C$2:$C$1800,الريسبي!$A$2:$A$1800,$A109,الريسبي!$B$2:$B$1800,P$1)</f>
        <v>0</v>
      </c>
      <c r="Q109" s="115" t="n">
        <f aca="false">SUMIFS(الريسبي!$C$2:$C$1800,الريسبي!$A$2:$A$1800,$A109,الريسبي!$B$2:$B$1800,Q$1)</f>
        <v>0</v>
      </c>
      <c r="R109" s="115" t="n">
        <f aca="false">SUMIFS(الريسبي!$C$2:$C$1800,الريسبي!$A$2:$A$1800,$A109,الريسبي!$B$2:$B$1800,R$1)</f>
        <v>0</v>
      </c>
      <c r="S109" s="115" t="n">
        <f aca="false">SUMIFS(الريسبي!$C$2:$C$1800,الريسبي!$A$2:$A$1800,$A109,الريسبي!$B$2:$B$1800,S$1)</f>
        <v>0</v>
      </c>
      <c r="T109" s="115" t="n">
        <f aca="false">SUMIFS(الريسبي!$C$2:$C$1800,الريسبي!$A$2:$A$1800,$A109,الريسبي!$B$2:$B$1800,T$1)</f>
        <v>0</v>
      </c>
      <c r="U109" s="115" t="n">
        <f aca="false">SUMIFS(الريسبي!$C$2:$C$1800,الريسبي!$A$2:$A$1800,$A109,الريسبي!$B$2:$B$1800,U$1)</f>
        <v>0</v>
      </c>
      <c r="V109" s="115" t="n">
        <f aca="false">SUMIFS(الريسبي!$C$2:$C$1800,الريسبي!$A$2:$A$1800,$A109,الريسبي!$B$2:$B$1800,V$1)</f>
        <v>0</v>
      </c>
      <c r="W109" s="115" t="n">
        <f aca="false">SUMIFS(الريسبي!$C$2:$C$1800,الريسبي!$A$2:$A$1800,$A109,الريسبي!$B$2:$B$1800,W$1)</f>
        <v>0</v>
      </c>
      <c r="X109" s="115" t="n">
        <f aca="false">SUMIFS(الريسبي!$C$2:$C$1800,الريسبي!$A$2:$A$1800,$A109,الريسبي!$B$2:$B$1800,X$1)</f>
        <v>1</v>
      </c>
      <c r="Y109" s="115" t="n">
        <f aca="false">SUMIFS(الريسبي!$C$2:$C$1800,الريسبي!$A$2:$A$1800,$A109,الريسبي!$B$2:$B$1800,Y$1)</f>
        <v>0</v>
      </c>
      <c r="Z109" s="115" t="n">
        <f aca="false">SUMIFS(الريسبي!$C$2:$C$1800,الريسبي!$A$2:$A$1800,$A109,الريسبي!$B$2:$B$1800,Z$1)</f>
        <v>0</v>
      </c>
      <c r="AA109" s="115" t="n">
        <f aca="false">SUMIFS(الريسبي!$C$2:$C$1800,الريسبي!$A$2:$A$1800,$A109,الريسبي!$B$2:$B$1800,AA$1)</f>
        <v>0</v>
      </c>
      <c r="AB109" s="115" t="n">
        <f aca="false">SUMIFS(الريسبي!$C$2:$C$1800,الريسبي!$A$2:$A$1800,$A109,الريسبي!$B$2:$B$1800,AB$1)</f>
        <v>0</v>
      </c>
      <c r="AC109" s="115" t="n">
        <f aca="false">SUMIFS(الريسبي!$C$2:$C$1800,الريسبي!$A$2:$A$1800,$A109,الريسبي!$B$2:$B$1800,AC$1)</f>
        <v>0</v>
      </c>
      <c r="AD109" s="115" t="n">
        <f aca="false">SUMIFS(الريسبي!$C$2:$C$1800,الريسبي!$A$2:$A$1800,$A109,الريسبي!$B$2:$B$1800,AD$1)</f>
        <v>0</v>
      </c>
      <c r="AE109" s="115" t="n">
        <f aca="false">SUMIFS(الريسبي!$C$2:$C$1800,الريسبي!$A$2:$A$1800,$A109,الريسبي!$B$2:$B$1800,AE$1)</f>
        <v>0</v>
      </c>
      <c r="AF109" s="115" t="n">
        <f aca="false">SUMIFS(الريسبي!$C$2:$C$1800,الريسبي!$A$2:$A$1800,$A109,الريسبي!$B$2:$B$1800,AF$1)</f>
        <v>0</v>
      </c>
      <c r="AG109" s="115" t="n">
        <f aca="false">SUMIFS(الريسبي!$C$2:$C$1800,الريسبي!$A$2:$A$1800,$A109,الريسبي!$B$2:$B$1800,AG$1)</f>
        <v>0</v>
      </c>
      <c r="AH109" s="115" t="n">
        <f aca="false">SUMIFS(الريسبي!$C$2:$C$1800,الريسبي!$A$2:$A$1800,$A109,الريسبي!$B$2:$B$1800,AH$1)</f>
        <v>0</v>
      </c>
      <c r="AI109" s="115" t="n">
        <f aca="false">SUMIFS(الريسبي!$C$2:$C$1800,الريسبي!$A$2:$A$1800,$A109,الريسبي!$B$2:$B$1800,AI$1)</f>
        <v>0</v>
      </c>
      <c r="AJ109" s="115" t="n">
        <f aca="false">SUMIFS(الريسبي!$C$2:$C$1800,الريسبي!$A$2:$A$1800,$A109,الريسبي!$B$2:$B$1800,AJ$1)</f>
        <v>2</v>
      </c>
      <c r="AK109" s="115" t="n">
        <f aca="false">SUMIFS(الريسبي!$C$2:$C$1800,الريسبي!$A$2:$A$1800,$A109,الريسبي!$B$2:$B$1800,AK$1)</f>
        <v>0</v>
      </c>
      <c r="AL109" s="115" t="n">
        <f aca="false">SUMIFS(الريسبي!$C$2:$C$1800,الريسبي!$A$2:$A$1800,$A109,الريسبي!$B$2:$B$1800,AL$1)</f>
        <v>0</v>
      </c>
      <c r="AM109" s="115"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15"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15" t="n">
        <f aca="false">SUMIFS(الريسبي!$C$2:$C$1800,الريسبي!$A$2:$A$1800,$A109,الريسبي!$B$2:$B$1800,AO$1)</f>
        <v>0</v>
      </c>
      <c r="AP109" s="115" t="n">
        <f aca="false">SUMIFS(الريسبي!$C$2:$C$1800,الريسبي!$A$2:$A$1800,$A109,الريسبي!$B$2:$B$1800,AP$1)</f>
        <v>0.02</v>
      </c>
      <c r="AQ109" s="115"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15" t="n">
        <f aca="false">SUMIFS(الريسبي!$C$2:$C$1800,الريسبي!$A$2:$A$1800,$A109,الريسبي!$B$2:$B$1800,AR$1)</f>
        <v>0</v>
      </c>
      <c r="AS109" s="115" t="n">
        <f aca="false">SUMIFS(الريسبي!$C$2:$C$1800,الريسبي!$A$2:$A$1800,$A109,الريسبي!$B$2:$B$1800,AS$1)</f>
        <v>0</v>
      </c>
      <c r="AT109" s="115" t="n">
        <f aca="false">SUMIFS(الريسبي!$C$2:$C$1800,الريسبي!$A$2:$A$1800,$A109,الريسبي!$B$2:$B$1800,AT$1)</f>
        <v>0</v>
      </c>
      <c r="AU109" s="115" t="n">
        <f aca="false">SUMIFS(الريسبي!$C$2:$C$1800,الريسبي!$A$2:$A$1800,$A109,الريسبي!$B$2:$B$1800,AU$1)</f>
        <v>0</v>
      </c>
      <c r="AV109" s="115" t="n">
        <f aca="false">SUMIFS(الريسبي!$C$2:$C$1800,الريسبي!$A$2:$A$1800,$A109,الريسبي!$B$2:$B$1800,AV$1)</f>
        <v>0</v>
      </c>
      <c r="AW109" s="115" t="n">
        <f aca="false">SUMIFS(الريسبي!$C$2:$C$1800,الريسبي!$A$2:$A$1800,$A109,الريسبي!$B$2:$B$1800,AW$1)</f>
        <v>0</v>
      </c>
      <c r="AX109" s="115" t="n">
        <f aca="false">SUMIFS(الريسبي!$C$2:$C$1800,الريسبي!$A$2:$A$1800,$A109,الريسبي!$B$2:$B$1800,AX$1)</f>
        <v>0</v>
      </c>
      <c r="AY109" s="115" t="n">
        <f aca="false">SUMIFS(الريسبي!$C$2:$C$1800,الريسبي!$A$2:$A$1800,$A109,الريسبي!$B$2:$B$1800,AY$1)</f>
        <v>0</v>
      </c>
      <c r="AZ109" s="115" t="n">
        <f aca="false">SUMIFS(الريسبي!$C$2:$C$1800,الريسبي!$A$2:$A$1800,$A109,الريسبي!$B$2:$B$1800,AZ$1)</f>
        <v>0</v>
      </c>
      <c r="BA109" s="115" t="n">
        <f aca="false">SUMIFS(الريسبي!$C$2:$C$1800,الريسبي!$A$2:$A$1800,$A109,الريسبي!$B$2:$B$1800,BA$1)</f>
        <v>0</v>
      </c>
      <c r="BB109" s="115" t="n">
        <f aca="false">SUMIFS(الريسبي!$C$2:$C$1800,الريسبي!$A$2:$A$1800,$A109,الريسبي!$B$2:$B$1800,BB$1)</f>
        <v>0</v>
      </c>
      <c r="BC109" s="115" t="n">
        <f aca="false">SUMIFS(الريسبي!$C$2:$C$1800,الريسبي!$A$2:$A$1800,$A109,الريسبي!$B$2:$B$1800,BC$1)</f>
        <v>0.03</v>
      </c>
      <c r="BD109" s="115" t="n">
        <f aca="false">SUMIFS(الريسبي!$C$2:$C$1800,الريسبي!$A$2:$A$1800,$A109,الريسبي!$B$2:$B$1800,BD$1)</f>
        <v>0</v>
      </c>
      <c r="BE109" s="115" t="n">
        <f aca="false">SUMIFS(الريسبي!$C$2:$C$1800,الريسبي!$A$2:$A$1800,$A109,الريسبي!$B$2:$B$1800,BE$1)</f>
        <v>1</v>
      </c>
      <c r="BF109" s="115" t="n">
        <f aca="false">SUMIFS(الريسبي!$C$2:$C$1800,الريسبي!$A$2:$A$1800,$A109,الريسبي!$B$2:$B$1800,BF$1)</f>
        <v>0</v>
      </c>
      <c r="BG109" s="115" t="n">
        <f aca="false">SUMIFS(الريسبي!$C$2:$C$1800,الريسبي!$A$2:$A$1800,$A109,الريسبي!$B$2:$B$1800,BG$1)</f>
        <v>0</v>
      </c>
      <c r="BH109" s="115" t="n">
        <f aca="false">SUMIFS(الريسبي!$C$2:$C$1800,الريسبي!$A$2:$A$1800,$A109,الريسبي!$B$2:$B$1800,BH$1)</f>
        <v>1</v>
      </c>
      <c r="BI109" s="115" t="n">
        <f aca="false">SUMIFS(الريسبي!$C$2:$C$1800,الريسبي!$A$2:$A$1800,$A109,الريسبي!$B$2:$B$1800,BI$1)</f>
        <v>0</v>
      </c>
      <c r="BJ109" s="115" t="n">
        <f aca="false">SUMIFS(الريسبي!$C$2:$C$1800,الريسبي!$A$2:$A$1800,$A109,الريسبي!$B$2:$B$1800,BJ$1)</f>
        <v>0</v>
      </c>
      <c r="BK109" s="115" t="n">
        <f aca="false">SUMIFS(الريسبي!$C$2:$C$1800,الريسبي!$A$2:$A$1800,$A109,الريسبي!$B$2:$B$1800,BK$1)</f>
        <v>0</v>
      </c>
      <c r="BL109" s="115" t="n">
        <f aca="false">SUMIFS(الريسبي!$C$2:$C$1800,الريسبي!$A$2:$A$1800,$A109,الريسبي!$B$2:$B$1800,BL$1)</f>
        <v>1</v>
      </c>
      <c r="BM109" s="115" t="n">
        <f aca="false">SUMIFS(الريسبي!$C$2:$C$1800,الريسبي!$A$2:$A$1800,$A109,الريسبي!$B$2:$B$1800,BM$1)</f>
        <v>0</v>
      </c>
      <c r="BN109" s="115" t="n">
        <f aca="false">SUMIFS(الريسبي!$C$2:$C$1800,الريسبي!$A$2:$A$1800,$A109,الريسبي!$B$2:$B$1800,BN$1)</f>
        <v>0.02</v>
      </c>
      <c r="BO109" s="115" t="n">
        <f aca="false">SUMIFS(الريسبي!$C$2:$C$1800,الريسبي!$A$2:$A$1800,$A109,الريسبي!$B$2:$B$1800,BO$1)</f>
        <v>0</v>
      </c>
      <c r="BP109" s="115" t="n">
        <f aca="false">SUMIFS(الريسبي!$C$2:$C$1800,الريسبي!$A$2:$A$1800,$A109,الريسبي!$B$2:$B$1800,BP$1)</f>
        <v>2</v>
      </c>
      <c r="BQ109" s="115"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15" t="n">
        <f aca="false">SUMIFS(الريسبي!$C$2:$C$1800,الريسبي!$A$2:$A$1800,$A109,الريسبي!$B$2:$B$1800,BR$1)</f>
        <v>1</v>
      </c>
      <c r="BS109" s="115" t="n">
        <f aca="false">SUMIFS(الريسبي!$C$2:$C$1800,الريسبي!$A$2:$A$1800,$A109,الريسبي!$B$2:$B$1800,BS$1)</f>
        <v>0</v>
      </c>
      <c r="BT109" s="115" t="n">
        <f aca="false">SUMIFS(الريسبي!$C$2:$C$1800,الريسبي!$A$2:$A$1800,$A109,الريسبي!$B$2:$B$1800,BT$1)</f>
        <v>0</v>
      </c>
      <c r="BU109" s="115"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15" t="n">
        <f aca="false">SUMIFS(الريسبي!$C$2:$C$1800,الريسبي!$A$2:$A$1800,$A109,الريسبي!$B$2:$B$1800,BV$1)</f>
        <v>0</v>
      </c>
      <c r="BW109" s="115" t="n">
        <f aca="false">SUMIFS(الريسبي!$C$2:$C$1800,الريسبي!$A$2:$A$1800,$A109,الريسبي!$B$2:$B$1800,BW$1)</f>
        <v>0</v>
      </c>
      <c r="BX109" s="115" t="n">
        <f aca="false">SUMIFS(الريسبي!$C$2:$C$1800,الريسبي!$A$2:$A$1800,$A109,الريسبي!$B$2:$B$1800,BX$1)</f>
        <v>0</v>
      </c>
      <c r="BY109" s="115" t="n">
        <f aca="false">SUMIFS(الريسبي!$C$2:$C$1800,الريسبي!$A$2:$A$1800,$A109,الريسبي!$B$2:$B$1800,BY$1)</f>
        <v>0</v>
      </c>
      <c r="BZ109" s="115" t="n">
        <f aca="false">SUMIFS(الريسبي!$C$2:$C$1800,الريسبي!$A$2:$A$1800,$A109,الريسبي!$B$2:$B$1800,BZ$1)</f>
        <v>1</v>
      </c>
      <c r="CA109" s="115" t="n">
        <f aca="false">SUMIFS(الريسبي!$C$2:$C$1800,الريسبي!$A$2:$A$1800,$A109,الريسبي!$B$2:$B$1800,CA$1)</f>
        <v>1</v>
      </c>
      <c r="CB109" s="115" t="n">
        <f aca="false">SUMIFS(الريسبي!$C$2:$C$1800,الريسبي!$A$2:$A$1800,$A109,الريسبي!$B$2:$B$1800,CB$1)</f>
        <v>0</v>
      </c>
      <c r="CC109" s="115" t="n">
        <f aca="false">SUMIFS(الريسبي!$C$2:$C$1800,الريسبي!$A$2:$A$1800,$A109,الريسبي!$B$2:$B$1800,CC$1)</f>
        <v>0</v>
      </c>
      <c r="CD109" s="115" t="n">
        <f aca="false">SUMIFS(الريسبي!$C$2:$C$1800,الريسبي!$A$2:$A$1800,$A109,الريسبي!$B$2:$B$1800,CD$1)</f>
        <v>0</v>
      </c>
      <c r="CE109" s="115" t="n">
        <f aca="false">SUMIFS(الريسبي!$C$2:$C$1800,الريسبي!$A$2:$A$1800,$A109,الريسبي!$B$2:$B$1800,CE$1)</f>
        <v>0</v>
      </c>
      <c r="CF109" s="115" t="n">
        <f aca="false">SUMIFS(الريسبي!$C$2:$C$1800,الريسبي!$A$2:$A$1800,$A109,الريسبي!$B$2:$B$1800,CF$1)</f>
        <v>0</v>
      </c>
      <c r="CG109" s="115" t="n">
        <f aca="false">SUMIFS(الريسبي!$C$2:$C$1800,الريسبي!$A$2:$A$1800,$A109,الريسبي!$B$2:$B$1800,CG$1)</f>
        <v>0</v>
      </c>
      <c r="CH109" s="115" t="n">
        <f aca="false">SUMIFS(الريسبي!$C$2:$C$1800,الريسبي!$A$2:$A$1800,$A109,الريسبي!$B$2:$B$1800,CH$1)</f>
        <v>0</v>
      </c>
    </row>
    <row r="110" customFormat="false" ht="15" hidden="false" customHeight="false" outlineLevel="0" collapsed="false">
      <c r="A110" s="114" t="str">
        <f aca="false">المنيو!B110</f>
        <v>فطيرة تونة صيامي مخصوص</v>
      </c>
      <c r="B110" s="115" t="n">
        <f aca="false">SUMIFS(الريسبي!$C$2:$C$1800,الريسبي!$A$2:$A$1800,$A110,الريسبي!$B$2:$B$1800,B$1)</f>
        <v>0</v>
      </c>
      <c r="C110" s="115" t="n">
        <f aca="false">SUMIFS(الريسبي!$C$2:$C$1800,الريسبي!$A$2:$A$1800,$A110,الريسبي!$B$2:$B$1800,C$1)</f>
        <v>0</v>
      </c>
      <c r="D110" s="115" t="n">
        <f aca="false">SUMIFS(الريسبي!$C$2:$C$1800,الريسبي!$A$2:$A$1800,$A110,الريسبي!$B$2:$B$1800,D$1)</f>
        <v>1</v>
      </c>
      <c r="E110" s="115" t="n">
        <f aca="false">SUMIFS(الريسبي!$C$2:$C$1800,الريسبي!$A$2:$A$1800,$A110,الريسبي!$B$2:$B$1800,E$1)</f>
        <v>0</v>
      </c>
      <c r="F110" s="115" t="n">
        <f aca="false">SUMIFS(الريسبي!$C$2:$C$1800,الريسبي!$A$2:$A$1800,$A110,الريسبي!$B$2:$B$1800,F$1)</f>
        <v>0</v>
      </c>
      <c r="G110" s="115" t="n">
        <f aca="false">SUMIFS(الريسبي!$C$2:$C$1800,الريسبي!$A$2:$A$1800,$A110,الريسبي!$B$2:$B$1800,G$1)</f>
        <v>0</v>
      </c>
      <c r="H110" s="115" t="n">
        <f aca="false">SUMIFS(الريسبي!$C$2:$C$1800,الريسبي!$A$2:$A$1800,$A110,الريسبي!$B$2:$B$1800,H$1)</f>
        <v>0</v>
      </c>
      <c r="I110" s="115" t="n">
        <f aca="false">SUMIFS(الريسبي!$C$2:$C$1800,الريسبي!$A$2:$A$1800,$A110,الريسبي!$B$2:$B$1800,I$1)</f>
        <v>0</v>
      </c>
      <c r="J110" s="115" t="n">
        <f aca="false">SUMIFS(الريسبي!$C$2:$C$1800,الريسبي!$A$2:$A$1800,$A110,الريسبي!$B$2:$B$1800,J$1)</f>
        <v>0</v>
      </c>
      <c r="K110" s="115" t="n">
        <f aca="false">SUMIFS(الريسبي!$C$2:$C$1800,الريسبي!$A$2:$A$1800,$A110,الريسبي!$B$2:$B$1800,K$1)</f>
        <v>0</v>
      </c>
      <c r="L110" s="115" t="n">
        <f aca="false">SUMIFS(الريسبي!$C$2:$C$1800,الريسبي!$A$2:$A$1800,$A110,الريسبي!$B$2:$B$1800,L$1)</f>
        <v>0</v>
      </c>
      <c r="M110" s="115" t="n">
        <f aca="false">SUMIFS(الريسبي!$C$2:$C$1800,الريسبي!$A$2:$A$1800,$A110,الريسبي!$B$2:$B$1800,M$1)</f>
        <v>0</v>
      </c>
      <c r="N110" s="115" t="n">
        <f aca="false">SUMIFS(الريسبي!$C$2:$C$1800,الريسبي!$A$2:$A$1800,$A110,الريسبي!$B$2:$B$1800,N$1)</f>
        <v>0</v>
      </c>
      <c r="O110" s="115" t="n">
        <f aca="false">SUMIFS(الريسبي!$C$2:$C$1800,الريسبي!$A$2:$A$1800,$A110,الريسبي!$B$2:$B$1800,O$1)</f>
        <v>0</v>
      </c>
      <c r="P110" s="115" t="n">
        <f aca="false">SUMIFS(الريسبي!$C$2:$C$1800,الريسبي!$A$2:$A$1800,$A110,الريسبي!$B$2:$B$1800,P$1)</f>
        <v>0</v>
      </c>
      <c r="Q110" s="115" t="n">
        <f aca="false">SUMIFS(الريسبي!$C$2:$C$1800,الريسبي!$A$2:$A$1800,$A110,الريسبي!$B$2:$B$1800,Q$1)</f>
        <v>0</v>
      </c>
      <c r="R110" s="115" t="n">
        <f aca="false">SUMIFS(الريسبي!$C$2:$C$1800,الريسبي!$A$2:$A$1800,$A110,الريسبي!$B$2:$B$1800,R$1)</f>
        <v>0</v>
      </c>
      <c r="S110" s="115" t="n">
        <f aca="false">SUMIFS(الريسبي!$C$2:$C$1800,الريسبي!$A$2:$A$1800,$A110,الريسبي!$B$2:$B$1800,S$1)</f>
        <v>0</v>
      </c>
      <c r="T110" s="115" t="n">
        <f aca="false">SUMIFS(الريسبي!$C$2:$C$1800,الريسبي!$A$2:$A$1800,$A110,الريسبي!$B$2:$B$1800,T$1)</f>
        <v>0</v>
      </c>
      <c r="U110" s="115" t="n">
        <f aca="false">SUMIFS(الريسبي!$C$2:$C$1800,الريسبي!$A$2:$A$1800,$A110,الريسبي!$B$2:$B$1800,U$1)</f>
        <v>0</v>
      </c>
      <c r="V110" s="115" t="n">
        <f aca="false">SUMIFS(الريسبي!$C$2:$C$1800,الريسبي!$A$2:$A$1800,$A110,الريسبي!$B$2:$B$1800,V$1)</f>
        <v>0</v>
      </c>
      <c r="W110" s="115" t="n">
        <f aca="false">SUMIFS(الريسبي!$C$2:$C$1800,الريسبي!$A$2:$A$1800,$A110,الريسبي!$B$2:$B$1800,W$1)</f>
        <v>0</v>
      </c>
      <c r="X110" s="115" t="n">
        <f aca="false">SUMIFS(الريسبي!$C$2:$C$1800,الريسبي!$A$2:$A$1800,$A110,الريسبي!$B$2:$B$1800,X$1)</f>
        <v>0</v>
      </c>
      <c r="Y110" s="115" t="n">
        <f aca="false">SUMIFS(الريسبي!$C$2:$C$1800,الريسبي!$A$2:$A$1800,$A110,الريسبي!$B$2:$B$1800,Y$1)</f>
        <v>1</v>
      </c>
      <c r="Z110" s="115" t="n">
        <f aca="false">SUMIFS(الريسبي!$C$2:$C$1800,الريسبي!$A$2:$A$1800,$A110,الريسبي!$B$2:$B$1800,Z$1)</f>
        <v>0</v>
      </c>
      <c r="AA110" s="115" t="n">
        <f aca="false">SUMIFS(الريسبي!$C$2:$C$1800,الريسبي!$A$2:$A$1800,$A110,الريسبي!$B$2:$B$1800,AA$1)</f>
        <v>0</v>
      </c>
      <c r="AB110" s="115" t="n">
        <f aca="false">SUMIFS(الريسبي!$C$2:$C$1800,الريسبي!$A$2:$A$1800,$A110,الريسبي!$B$2:$B$1800,AB$1)</f>
        <v>0</v>
      </c>
      <c r="AC110" s="115" t="n">
        <f aca="false">SUMIFS(الريسبي!$C$2:$C$1800,الريسبي!$A$2:$A$1800,$A110,الريسبي!$B$2:$B$1800,AC$1)</f>
        <v>0</v>
      </c>
      <c r="AD110" s="115" t="n">
        <f aca="false">SUMIFS(الريسبي!$C$2:$C$1800,الريسبي!$A$2:$A$1800,$A110,الريسبي!$B$2:$B$1800,AD$1)</f>
        <v>0</v>
      </c>
      <c r="AE110" s="115" t="n">
        <f aca="false">SUMIFS(الريسبي!$C$2:$C$1800,الريسبي!$A$2:$A$1800,$A110,الريسبي!$B$2:$B$1800,AE$1)</f>
        <v>0</v>
      </c>
      <c r="AF110" s="115" t="n">
        <f aca="false">SUMIFS(الريسبي!$C$2:$C$1800,الريسبي!$A$2:$A$1800,$A110,الريسبي!$B$2:$B$1800,AF$1)</f>
        <v>0</v>
      </c>
      <c r="AG110" s="115" t="n">
        <f aca="false">SUMIFS(الريسبي!$C$2:$C$1800,الريسبي!$A$2:$A$1800,$A110,الريسبي!$B$2:$B$1800,AG$1)</f>
        <v>0</v>
      </c>
      <c r="AH110" s="115" t="n">
        <f aca="false">SUMIFS(الريسبي!$C$2:$C$1800,الريسبي!$A$2:$A$1800,$A110,الريسبي!$B$2:$B$1800,AH$1)</f>
        <v>0</v>
      </c>
      <c r="AI110" s="115" t="n">
        <f aca="false">SUMIFS(الريسبي!$C$2:$C$1800,الريسبي!$A$2:$A$1800,$A110,الريسبي!$B$2:$B$1800,AI$1)</f>
        <v>0</v>
      </c>
      <c r="AJ110" s="115" t="n">
        <f aca="false">SUMIFS(الريسبي!$C$2:$C$1800,الريسبي!$A$2:$A$1800,$A110,الريسبي!$B$2:$B$1800,AJ$1)</f>
        <v>2</v>
      </c>
      <c r="AK110" s="115" t="n">
        <f aca="false">SUMIFS(الريسبي!$C$2:$C$1800,الريسبي!$A$2:$A$1800,$A110,الريسبي!$B$2:$B$1800,AK$1)</f>
        <v>0</v>
      </c>
      <c r="AL110" s="115" t="n">
        <f aca="false">SUMIFS(الريسبي!$C$2:$C$1800,الريسبي!$A$2:$A$1800,$A110,الريسبي!$B$2:$B$1800,AL$1)</f>
        <v>0</v>
      </c>
      <c r="AM110" s="115"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15"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15" t="n">
        <f aca="false">SUMIFS(الريسبي!$C$2:$C$1800,الريسبي!$A$2:$A$1800,$A110,الريسبي!$B$2:$B$1800,AO$1)</f>
        <v>0</v>
      </c>
      <c r="AP110" s="115" t="n">
        <f aca="false">SUMIFS(الريسبي!$C$2:$C$1800,الريسبي!$A$2:$A$1800,$A110,الريسبي!$B$2:$B$1800,AP$1)</f>
        <v>0.03</v>
      </c>
      <c r="AQ110" s="115"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15" t="n">
        <f aca="false">SUMIFS(الريسبي!$C$2:$C$1800,الريسبي!$A$2:$A$1800,$A110,الريسبي!$B$2:$B$1800,AR$1)</f>
        <v>0</v>
      </c>
      <c r="AS110" s="115" t="n">
        <f aca="false">SUMIFS(الريسبي!$C$2:$C$1800,الريسبي!$A$2:$A$1800,$A110,الريسبي!$B$2:$B$1800,AS$1)</f>
        <v>0</v>
      </c>
      <c r="AT110" s="115" t="n">
        <f aca="false">SUMIFS(الريسبي!$C$2:$C$1800,الريسبي!$A$2:$A$1800,$A110,الريسبي!$B$2:$B$1800,AT$1)</f>
        <v>0</v>
      </c>
      <c r="AU110" s="115" t="n">
        <f aca="false">SUMIFS(الريسبي!$C$2:$C$1800,الريسبي!$A$2:$A$1800,$A110,الريسبي!$B$2:$B$1800,AU$1)</f>
        <v>0</v>
      </c>
      <c r="AV110" s="115" t="n">
        <f aca="false">SUMIFS(الريسبي!$C$2:$C$1800,الريسبي!$A$2:$A$1800,$A110,الريسبي!$B$2:$B$1800,AV$1)</f>
        <v>0</v>
      </c>
      <c r="AW110" s="115" t="n">
        <f aca="false">SUMIFS(الريسبي!$C$2:$C$1800,الريسبي!$A$2:$A$1800,$A110,الريسبي!$B$2:$B$1800,AW$1)</f>
        <v>0</v>
      </c>
      <c r="AX110" s="115" t="n">
        <f aca="false">SUMIFS(الريسبي!$C$2:$C$1800,الريسبي!$A$2:$A$1800,$A110,الريسبي!$B$2:$B$1800,AX$1)</f>
        <v>0</v>
      </c>
      <c r="AY110" s="115" t="n">
        <f aca="false">SUMIFS(الريسبي!$C$2:$C$1800,الريسبي!$A$2:$A$1800,$A110,الريسبي!$B$2:$B$1800,AY$1)</f>
        <v>0</v>
      </c>
      <c r="AZ110" s="115" t="n">
        <f aca="false">SUMIFS(الريسبي!$C$2:$C$1800,الريسبي!$A$2:$A$1800,$A110,الريسبي!$B$2:$B$1800,AZ$1)</f>
        <v>0</v>
      </c>
      <c r="BA110" s="115" t="n">
        <f aca="false">SUMIFS(الريسبي!$C$2:$C$1800,الريسبي!$A$2:$A$1800,$A110,الريسبي!$B$2:$B$1800,BA$1)</f>
        <v>0</v>
      </c>
      <c r="BB110" s="115" t="n">
        <f aca="false">SUMIFS(الريسبي!$C$2:$C$1800,الريسبي!$A$2:$A$1800,$A110,الريسبي!$B$2:$B$1800,BB$1)</f>
        <v>0</v>
      </c>
      <c r="BC110" s="115" t="n">
        <f aca="false">SUMIFS(الريسبي!$C$2:$C$1800,الريسبي!$A$2:$A$1800,$A110,الريسبي!$B$2:$B$1800,BC$1)</f>
        <v>0.045</v>
      </c>
      <c r="BD110" s="115" t="n">
        <f aca="false">SUMIFS(الريسبي!$C$2:$C$1800,الريسبي!$A$2:$A$1800,$A110,الريسبي!$B$2:$B$1800,BD$1)</f>
        <v>0</v>
      </c>
      <c r="BE110" s="115" t="n">
        <f aca="false">SUMIFS(الريسبي!$C$2:$C$1800,الريسبي!$A$2:$A$1800,$A110,الريسبي!$B$2:$B$1800,BE$1)</f>
        <v>1.5</v>
      </c>
      <c r="BF110" s="115" t="n">
        <f aca="false">SUMIFS(الريسبي!$C$2:$C$1800,الريسبي!$A$2:$A$1800,$A110,الريسبي!$B$2:$B$1800,BF$1)</f>
        <v>0</v>
      </c>
      <c r="BG110" s="115" t="n">
        <f aca="false">SUMIFS(الريسبي!$C$2:$C$1800,الريسبي!$A$2:$A$1800,$A110,الريسبي!$B$2:$B$1800,BG$1)</f>
        <v>1</v>
      </c>
      <c r="BH110" s="115" t="n">
        <f aca="false">SUMIFS(الريسبي!$C$2:$C$1800,الريسبي!$A$2:$A$1800,$A110,الريسبي!$B$2:$B$1800,BH$1)</f>
        <v>0</v>
      </c>
      <c r="BI110" s="115" t="n">
        <f aca="false">SUMIFS(الريسبي!$C$2:$C$1800,الريسبي!$A$2:$A$1800,$A110,الريسبي!$B$2:$B$1800,BI$1)</f>
        <v>0</v>
      </c>
      <c r="BJ110" s="115" t="n">
        <f aca="false">SUMIFS(الريسبي!$C$2:$C$1800,الريسبي!$A$2:$A$1800,$A110,الريسبي!$B$2:$B$1800,BJ$1)</f>
        <v>0</v>
      </c>
      <c r="BK110" s="115" t="n">
        <f aca="false">SUMIFS(الريسبي!$C$2:$C$1800,الريسبي!$A$2:$A$1800,$A110,الريسبي!$B$2:$B$1800,BK$1)</f>
        <v>0</v>
      </c>
      <c r="BL110" s="115" t="n">
        <f aca="false">SUMIFS(الريسبي!$C$2:$C$1800,الريسبي!$A$2:$A$1800,$A110,الريسبي!$B$2:$B$1800,BL$1)</f>
        <v>1.5</v>
      </c>
      <c r="BM110" s="115" t="n">
        <f aca="false">SUMIFS(الريسبي!$C$2:$C$1800,الريسبي!$A$2:$A$1800,$A110,الريسبي!$B$2:$B$1800,BM$1)</f>
        <v>0</v>
      </c>
      <c r="BN110" s="115" t="n">
        <f aca="false">SUMIFS(الريسبي!$C$2:$C$1800,الريسبي!$A$2:$A$1800,$A110,الريسبي!$B$2:$B$1800,BN$1)</f>
        <v>0.03</v>
      </c>
      <c r="BO110" s="115" t="n">
        <f aca="false">SUMIFS(الريسبي!$C$2:$C$1800,الريسبي!$A$2:$A$1800,$A110,الريسبي!$B$2:$B$1800,BO$1)</f>
        <v>0</v>
      </c>
      <c r="BP110" s="115" t="n">
        <f aca="false">SUMIFS(الريسبي!$C$2:$C$1800,الريسبي!$A$2:$A$1800,$A110,الريسبي!$B$2:$B$1800,BP$1)</f>
        <v>3</v>
      </c>
      <c r="BQ110" s="115"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15" t="n">
        <f aca="false">SUMIFS(الريسبي!$C$2:$C$1800,الريسبي!$A$2:$A$1800,$A110,الريسبي!$B$2:$B$1800,BR$1)</f>
        <v>1</v>
      </c>
      <c r="BS110" s="115" t="n">
        <f aca="false">SUMIFS(الريسبي!$C$2:$C$1800,الريسبي!$A$2:$A$1800,$A110,الريسبي!$B$2:$B$1800,BS$1)</f>
        <v>0</v>
      </c>
      <c r="BT110" s="115" t="n">
        <f aca="false">SUMIFS(الريسبي!$C$2:$C$1800,الريسبي!$A$2:$A$1800,$A110,الريسبي!$B$2:$B$1800,BT$1)</f>
        <v>0</v>
      </c>
      <c r="BU110" s="115"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15" t="n">
        <f aca="false">SUMIFS(الريسبي!$C$2:$C$1800,الريسبي!$A$2:$A$1800,$A110,الريسبي!$B$2:$B$1800,BV$1)</f>
        <v>0</v>
      </c>
      <c r="BW110" s="115" t="n">
        <f aca="false">SUMIFS(الريسبي!$C$2:$C$1800,الريسبي!$A$2:$A$1800,$A110,الريسبي!$B$2:$B$1800,BW$1)</f>
        <v>0</v>
      </c>
      <c r="BX110" s="115" t="n">
        <f aca="false">SUMIFS(الريسبي!$C$2:$C$1800,الريسبي!$A$2:$A$1800,$A110,الريسبي!$B$2:$B$1800,BX$1)</f>
        <v>0</v>
      </c>
      <c r="BY110" s="115" t="n">
        <f aca="false">SUMIFS(الريسبي!$C$2:$C$1800,الريسبي!$A$2:$A$1800,$A110,الريسبي!$B$2:$B$1800,BY$1)</f>
        <v>0</v>
      </c>
      <c r="BZ110" s="115" t="n">
        <f aca="false">SUMIFS(الريسبي!$C$2:$C$1800,الريسبي!$A$2:$A$1800,$A110,الريسبي!$B$2:$B$1800,BZ$1)</f>
        <v>1</v>
      </c>
      <c r="CA110" s="115" t="n">
        <f aca="false">SUMIFS(الريسبي!$C$2:$C$1800,الريسبي!$A$2:$A$1800,$A110,الريسبي!$B$2:$B$1800,CA$1)</f>
        <v>1</v>
      </c>
      <c r="CB110" s="115" t="n">
        <f aca="false">SUMIFS(الريسبي!$C$2:$C$1800,الريسبي!$A$2:$A$1800,$A110,الريسبي!$B$2:$B$1800,CB$1)</f>
        <v>0</v>
      </c>
      <c r="CC110" s="115" t="n">
        <f aca="false">SUMIFS(الريسبي!$C$2:$C$1800,الريسبي!$A$2:$A$1800,$A110,الريسبي!$B$2:$B$1800,CC$1)</f>
        <v>0</v>
      </c>
      <c r="CD110" s="115" t="n">
        <f aca="false">SUMIFS(الريسبي!$C$2:$C$1800,الريسبي!$A$2:$A$1800,$A110,الريسبي!$B$2:$B$1800,CD$1)</f>
        <v>0</v>
      </c>
      <c r="CE110" s="115" t="n">
        <f aca="false">SUMIFS(الريسبي!$C$2:$C$1800,الريسبي!$A$2:$A$1800,$A110,الريسبي!$B$2:$B$1800,CE$1)</f>
        <v>0</v>
      </c>
      <c r="CF110" s="115" t="n">
        <f aca="false">SUMIFS(الريسبي!$C$2:$C$1800,الريسبي!$A$2:$A$1800,$A110,الريسبي!$B$2:$B$1800,CF$1)</f>
        <v>0</v>
      </c>
      <c r="CG110" s="115" t="n">
        <f aca="false">SUMIFS(الريسبي!$C$2:$C$1800,الريسبي!$A$2:$A$1800,$A110,الريسبي!$B$2:$B$1800,CG$1)</f>
        <v>0</v>
      </c>
      <c r="CH110" s="115" t="n">
        <f aca="false">SUMIFS(الريسبي!$C$2:$C$1800,الريسبي!$A$2:$A$1800,$A110,الريسبي!$B$2:$B$1800,CH$1)</f>
        <v>0</v>
      </c>
    </row>
    <row r="111" customFormat="false" ht="15" hidden="false" customHeight="false" outlineLevel="0" collapsed="false">
      <c r="A111" s="114" t="str">
        <f aca="false">المنيو!B111</f>
        <v>فطيرة سكر / كاستر صيامي</v>
      </c>
      <c r="B111" s="115" t="n">
        <f aca="false">SUMIFS(الريسبي!$C$2:$C$1800,الريسبي!$A$2:$A$1800,$A111,الريسبي!$B$2:$B$1800,B$1)</f>
        <v>0</v>
      </c>
      <c r="C111" s="115" t="n">
        <f aca="false">SUMIFS(الريسبي!$C$2:$C$1800,الريسبي!$A$2:$A$1800,$A111,الريسبي!$B$2:$B$1800,C$1)</f>
        <v>1</v>
      </c>
      <c r="D111" s="115" t="n">
        <f aca="false">SUMIFS(الريسبي!$C$2:$C$1800,الريسبي!$A$2:$A$1800,$A111,الريسبي!$B$2:$B$1800,D$1)</f>
        <v>0</v>
      </c>
      <c r="E111" s="115" t="n">
        <f aca="false">SUMIFS(الريسبي!$C$2:$C$1800,الريسبي!$A$2:$A$1800,$A111,الريسبي!$B$2:$B$1800,E$1)</f>
        <v>1</v>
      </c>
      <c r="F111" s="115" t="n">
        <f aca="false">SUMIFS(الريسبي!$C$2:$C$1800,الريسبي!$A$2:$A$1800,$A111,الريسبي!$B$2:$B$1800,F$1)</f>
        <v>0</v>
      </c>
      <c r="G111" s="115" t="n">
        <f aca="false">SUMIFS(الريسبي!$C$2:$C$1800,الريسبي!$A$2:$A$1800,$A111,الريسبي!$B$2:$B$1800,G$1)</f>
        <v>0</v>
      </c>
      <c r="H111" s="115" t="n">
        <f aca="false">SUMIFS(الريسبي!$C$2:$C$1800,الريسبي!$A$2:$A$1800,$A111,الريسبي!$B$2:$B$1800,H$1)</f>
        <v>0</v>
      </c>
      <c r="I111" s="115" t="n">
        <f aca="false">SUMIFS(الريسبي!$C$2:$C$1800,الريسبي!$A$2:$A$1800,$A111,الريسبي!$B$2:$B$1800,I$1)</f>
        <v>0</v>
      </c>
      <c r="J111" s="115" t="n">
        <f aca="false">SUMIFS(الريسبي!$C$2:$C$1800,الريسبي!$A$2:$A$1800,$A111,الريسبي!$B$2:$B$1800,J$1)</f>
        <v>0</v>
      </c>
      <c r="K111" s="115" t="n">
        <f aca="false">SUMIFS(الريسبي!$C$2:$C$1800,الريسبي!$A$2:$A$1800,$A111,الريسبي!$B$2:$B$1800,K$1)</f>
        <v>0</v>
      </c>
      <c r="L111" s="115" t="n">
        <f aca="false">SUMIFS(الريسبي!$C$2:$C$1800,الريسبي!$A$2:$A$1800,$A111,الريسبي!$B$2:$B$1800,L$1)</f>
        <v>0</v>
      </c>
      <c r="M111" s="115" t="n">
        <f aca="false">SUMIFS(الريسبي!$C$2:$C$1800,الريسبي!$A$2:$A$1800,$A111,الريسبي!$B$2:$B$1800,M$1)</f>
        <v>0</v>
      </c>
      <c r="N111" s="115" t="n">
        <f aca="false">SUMIFS(الريسبي!$C$2:$C$1800,الريسبي!$A$2:$A$1800,$A111,الريسبي!$B$2:$B$1800,N$1)</f>
        <v>0</v>
      </c>
      <c r="O111" s="115" t="n">
        <f aca="false">SUMIFS(الريسبي!$C$2:$C$1800,الريسبي!$A$2:$A$1800,$A111,الريسبي!$B$2:$B$1800,O$1)</f>
        <v>0</v>
      </c>
      <c r="P111" s="115" t="n">
        <f aca="false">SUMIFS(الريسبي!$C$2:$C$1800,الريسبي!$A$2:$A$1800,$A111,الريسبي!$B$2:$B$1800,P$1)</f>
        <v>0</v>
      </c>
      <c r="Q111" s="115" t="n">
        <f aca="false">SUMIFS(الريسبي!$C$2:$C$1800,الريسبي!$A$2:$A$1800,$A111,الريسبي!$B$2:$B$1800,Q$1)</f>
        <v>0</v>
      </c>
      <c r="R111" s="115" t="n">
        <f aca="false">SUMIFS(الريسبي!$C$2:$C$1800,الريسبي!$A$2:$A$1800,$A111,الريسبي!$B$2:$B$1800,R$1)</f>
        <v>0</v>
      </c>
      <c r="S111" s="115" t="n">
        <f aca="false">SUMIFS(الريسبي!$C$2:$C$1800,الريسبي!$A$2:$A$1800,$A111,الريسبي!$B$2:$B$1800,S$1)</f>
        <v>0</v>
      </c>
      <c r="T111" s="115" t="n">
        <f aca="false">SUMIFS(الريسبي!$C$2:$C$1800,الريسبي!$A$2:$A$1800,$A111,الريسبي!$B$2:$B$1800,T$1)</f>
        <v>0</v>
      </c>
      <c r="U111" s="115" t="n">
        <f aca="false">SUMIFS(الريسبي!$C$2:$C$1800,الريسبي!$A$2:$A$1800,$A111,الريسبي!$B$2:$B$1800,U$1)</f>
        <v>0</v>
      </c>
      <c r="V111" s="115" t="n">
        <f aca="false">SUMIFS(الريسبي!$C$2:$C$1800,الريسبي!$A$2:$A$1800,$A111,الريسبي!$B$2:$B$1800,V$1)</f>
        <v>0</v>
      </c>
      <c r="W111" s="115" t="n">
        <f aca="false">SUMIFS(الريسبي!$C$2:$C$1800,الريسبي!$A$2:$A$1800,$A111,الريسبي!$B$2:$B$1800,W$1)</f>
        <v>0</v>
      </c>
      <c r="X111" s="115" t="n">
        <f aca="false">SUMIFS(الريسبي!$C$2:$C$1800,الريسبي!$A$2:$A$1800,$A111,الريسبي!$B$2:$B$1800,X$1)</f>
        <v>0</v>
      </c>
      <c r="Y111" s="115" t="n">
        <f aca="false">SUMIFS(الريسبي!$C$2:$C$1800,الريسبي!$A$2:$A$1800,$A111,الريسبي!$B$2:$B$1800,Y$1)</f>
        <v>0</v>
      </c>
      <c r="Z111" s="115" t="n">
        <f aca="false">SUMIFS(الريسبي!$C$2:$C$1800,الريسبي!$A$2:$A$1800,$A111,الريسبي!$B$2:$B$1800,Z$1)</f>
        <v>0</v>
      </c>
      <c r="AA111" s="115" t="n">
        <f aca="false">SUMIFS(الريسبي!$C$2:$C$1800,الريسبي!$A$2:$A$1800,$A111,الريسبي!$B$2:$B$1800,AA$1)</f>
        <v>0</v>
      </c>
      <c r="AB111" s="115" t="n">
        <f aca="false">SUMIFS(الريسبي!$C$2:$C$1800,الريسبي!$A$2:$A$1800,$A111,الريسبي!$B$2:$B$1800,AB$1)</f>
        <v>0</v>
      </c>
      <c r="AC111" s="115" t="n">
        <f aca="false">SUMIFS(الريسبي!$C$2:$C$1800,الريسبي!$A$2:$A$1800,$A111,الريسبي!$B$2:$B$1800,AC$1)</f>
        <v>0</v>
      </c>
      <c r="AD111" s="115" t="n">
        <f aca="false">SUMIFS(الريسبي!$C$2:$C$1800,الريسبي!$A$2:$A$1800,$A111,الريسبي!$B$2:$B$1800,AD$1)</f>
        <v>0</v>
      </c>
      <c r="AE111" s="115" t="n">
        <f aca="false">SUMIFS(الريسبي!$C$2:$C$1800,الريسبي!$A$2:$A$1800,$A111,الريسبي!$B$2:$B$1800,AE$1)</f>
        <v>0</v>
      </c>
      <c r="AF111" s="115" t="n">
        <f aca="false">SUMIFS(الريسبي!$C$2:$C$1800,الريسبي!$A$2:$A$1800,$A111,الريسبي!$B$2:$B$1800,AF$1)</f>
        <v>1</v>
      </c>
      <c r="AG111" s="115" t="n">
        <f aca="false">SUMIFS(الريسبي!$C$2:$C$1800,الريسبي!$A$2:$A$1800,$A111,الريسبي!$B$2:$B$1800,AG$1)</f>
        <v>0</v>
      </c>
      <c r="AH111" s="115" t="n">
        <f aca="false">SUMIFS(الريسبي!$C$2:$C$1800,الريسبي!$A$2:$A$1800,$A111,الريسبي!$B$2:$B$1800,AH$1)</f>
        <v>0</v>
      </c>
      <c r="AI111" s="115" t="n">
        <f aca="false">SUMIFS(الريسبي!$C$2:$C$1800,الريسبي!$A$2:$A$1800,$A111,الريسبي!$B$2:$B$1800,AI$1)</f>
        <v>0</v>
      </c>
      <c r="AJ111" s="115" t="n">
        <f aca="false">SUMIFS(الريسبي!$C$2:$C$1800,الريسبي!$A$2:$A$1800,$A111,الريسبي!$B$2:$B$1800,AJ$1)</f>
        <v>2</v>
      </c>
      <c r="AK111" s="115" t="n">
        <f aca="false">SUMIFS(الريسبي!$C$2:$C$1800,الريسبي!$A$2:$A$1800,$A111,الريسبي!$B$2:$B$1800,AK$1)</f>
        <v>0</v>
      </c>
      <c r="AL111" s="115" t="n">
        <f aca="false">SUMIFS(الريسبي!$C$2:$C$1800,الريسبي!$A$2:$A$1800,$A111,الريسبي!$B$2:$B$1800,AL$1)</f>
        <v>0</v>
      </c>
      <c r="AM111" s="115"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15"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15" t="n">
        <f aca="false">SUMIFS(الريسبي!$C$2:$C$1800,الريسبي!$A$2:$A$1800,$A111,الريسبي!$B$2:$B$1800,AO$1)</f>
        <v>0</v>
      </c>
      <c r="AP111" s="115" t="n">
        <f aca="false">SUMIFS(الريسبي!$C$2:$C$1800,الريسبي!$A$2:$A$1800,$A111,الريسبي!$B$2:$B$1800,AP$1)</f>
        <v>0</v>
      </c>
      <c r="AQ111" s="115"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15" t="n">
        <f aca="false">SUMIFS(الريسبي!$C$2:$C$1800,الريسبي!$A$2:$A$1800,$A111,الريسبي!$B$2:$B$1800,AR$1)</f>
        <v>0</v>
      </c>
      <c r="AS111" s="115" t="n">
        <f aca="false">SUMIFS(الريسبي!$C$2:$C$1800,الريسبي!$A$2:$A$1800,$A111,الريسبي!$B$2:$B$1800,AS$1)</f>
        <v>0</v>
      </c>
      <c r="AT111" s="115" t="n">
        <f aca="false">SUMIFS(الريسبي!$C$2:$C$1800,الريسبي!$A$2:$A$1800,$A111,الريسبي!$B$2:$B$1800,AT$1)</f>
        <v>1</v>
      </c>
      <c r="AU111" s="115" t="n">
        <f aca="false">SUMIFS(الريسبي!$C$2:$C$1800,الريسبي!$A$2:$A$1800,$A111,الريسبي!$B$2:$B$1800,AU$1)</f>
        <v>1</v>
      </c>
      <c r="AV111" s="115" t="n">
        <f aca="false">SUMIFS(الريسبي!$C$2:$C$1800,الريسبي!$A$2:$A$1800,$A111,الريسبي!$B$2:$B$1800,AV$1)</f>
        <v>0</v>
      </c>
      <c r="AW111" s="115" t="n">
        <f aca="false">SUMIFS(الريسبي!$C$2:$C$1800,الريسبي!$A$2:$A$1800,$A111,الريسبي!$B$2:$B$1800,AW$1)</f>
        <v>0</v>
      </c>
      <c r="AX111" s="115" t="n">
        <f aca="false">SUMIFS(الريسبي!$C$2:$C$1800,الريسبي!$A$2:$A$1800,$A111,الريسبي!$B$2:$B$1800,AX$1)</f>
        <v>0</v>
      </c>
      <c r="AY111" s="115" t="n">
        <f aca="false">SUMIFS(الريسبي!$C$2:$C$1800,الريسبي!$A$2:$A$1800,$A111,الريسبي!$B$2:$B$1800,AY$1)</f>
        <v>0</v>
      </c>
      <c r="AZ111" s="115" t="n">
        <f aca="false">SUMIFS(الريسبي!$C$2:$C$1800,الريسبي!$A$2:$A$1800,$A111,الريسبي!$B$2:$B$1800,AZ$1)</f>
        <v>0</v>
      </c>
      <c r="BA111" s="115" t="n">
        <f aca="false">SUMIFS(الريسبي!$C$2:$C$1800,الريسبي!$A$2:$A$1800,$A111,الريسبي!$B$2:$B$1800,BA$1)</f>
        <v>0</v>
      </c>
      <c r="BB111" s="115" t="n">
        <f aca="false">SUMIFS(الريسبي!$C$2:$C$1800,الريسبي!$A$2:$A$1800,$A111,الريسبي!$B$2:$B$1800,BB$1)</f>
        <v>0</v>
      </c>
      <c r="BC111" s="115" t="n">
        <f aca="false">SUMIFS(الريسبي!$C$2:$C$1800,الريسبي!$A$2:$A$1800,$A111,الريسبي!$B$2:$B$1800,BC$1)</f>
        <v>0</v>
      </c>
      <c r="BD111" s="115" t="n">
        <f aca="false">SUMIFS(الريسبي!$C$2:$C$1800,الريسبي!$A$2:$A$1800,$A111,الريسبي!$B$2:$B$1800,BD$1)</f>
        <v>0</v>
      </c>
      <c r="BE111" s="115" t="n">
        <f aca="false">SUMIFS(الريسبي!$C$2:$C$1800,الريسبي!$A$2:$A$1800,$A111,الريسبي!$B$2:$B$1800,BE$1)</f>
        <v>1</v>
      </c>
      <c r="BF111" s="115" t="n">
        <f aca="false">SUMIFS(الريسبي!$C$2:$C$1800,الريسبي!$A$2:$A$1800,$A111,الريسبي!$B$2:$B$1800,BF$1)</f>
        <v>0</v>
      </c>
      <c r="BG111" s="115" t="n">
        <f aca="false">SUMIFS(الريسبي!$C$2:$C$1800,الريسبي!$A$2:$A$1800,$A111,الريسبي!$B$2:$B$1800,BG$1)</f>
        <v>0</v>
      </c>
      <c r="BH111" s="115" t="n">
        <f aca="false">SUMIFS(الريسبي!$C$2:$C$1800,الريسبي!$A$2:$A$1800,$A111,الريسبي!$B$2:$B$1800,BH$1)</f>
        <v>0</v>
      </c>
      <c r="BI111" s="115" t="n">
        <f aca="false">SUMIFS(الريسبي!$C$2:$C$1800,الريسبي!$A$2:$A$1800,$A111,الريسبي!$B$2:$B$1800,BI$1)</f>
        <v>0</v>
      </c>
      <c r="BJ111" s="115" t="n">
        <f aca="false">SUMIFS(الريسبي!$C$2:$C$1800,الريسبي!$A$2:$A$1800,$A111,الريسبي!$B$2:$B$1800,BJ$1)</f>
        <v>0</v>
      </c>
      <c r="BK111" s="115" t="n">
        <f aca="false">SUMIFS(الريسبي!$C$2:$C$1800,الريسبي!$A$2:$A$1800,$A111,الريسبي!$B$2:$B$1800,BK$1)</f>
        <v>0</v>
      </c>
      <c r="BL111" s="115" t="n">
        <f aca="false">SUMIFS(الريسبي!$C$2:$C$1800,الريسبي!$A$2:$A$1800,$A111,الريسبي!$B$2:$B$1800,BL$1)</f>
        <v>0</v>
      </c>
      <c r="BM111" s="115" t="n">
        <f aca="false">SUMIFS(الريسبي!$C$2:$C$1800,الريسبي!$A$2:$A$1800,$A111,الريسبي!$B$2:$B$1800,BM$1)</f>
        <v>0</v>
      </c>
      <c r="BN111" s="115" t="n">
        <f aca="false">SUMIFS(الريسبي!$C$2:$C$1800,الريسبي!$A$2:$A$1800,$A111,الريسبي!$B$2:$B$1800,BN$1)</f>
        <v>0</v>
      </c>
      <c r="BO111" s="115" t="n">
        <f aca="false">SUMIFS(الريسبي!$C$2:$C$1800,الريسبي!$A$2:$A$1800,$A111,الريسبي!$B$2:$B$1800,BO$1)</f>
        <v>0</v>
      </c>
      <c r="BP111" s="115" t="n">
        <f aca="false">SUMIFS(الريسبي!$C$2:$C$1800,الريسبي!$A$2:$A$1800,$A111,الريسبي!$B$2:$B$1800,BP$1)</f>
        <v>0</v>
      </c>
      <c r="BQ111" s="115"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15" t="n">
        <f aca="false">SUMIFS(الريسبي!$C$2:$C$1800,الريسبي!$A$2:$A$1800,$A111,الريسبي!$B$2:$B$1800,BR$1)</f>
        <v>0</v>
      </c>
      <c r="BS111" s="115" t="n">
        <f aca="false">SUMIFS(الريسبي!$C$2:$C$1800,الريسبي!$A$2:$A$1800,$A111,الريسبي!$B$2:$B$1800,BS$1)</f>
        <v>0</v>
      </c>
      <c r="BT111" s="115" t="n">
        <f aca="false">SUMIFS(الريسبي!$C$2:$C$1800,الريسبي!$A$2:$A$1800,$A111,الريسبي!$B$2:$B$1800,BT$1)</f>
        <v>0</v>
      </c>
      <c r="BU111" s="115"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15" t="n">
        <f aca="false">SUMIFS(الريسبي!$C$2:$C$1800,الريسبي!$A$2:$A$1800,$A111,الريسبي!$B$2:$B$1800,BV$1)</f>
        <v>0</v>
      </c>
      <c r="BW111" s="115" t="n">
        <f aca="false">SUMIFS(الريسبي!$C$2:$C$1800,الريسبي!$A$2:$A$1800,$A111,الريسبي!$B$2:$B$1800,BW$1)</f>
        <v>0</v>
      </c>
      <c r="BX111" s="115" t="n">
        <f aca="false">SUMIFS(الريسبي!$C$2:$C$1800,الريسبي!$A$2:$A$1800,$A111,الريسبي!$B$2:$B$1800,BX$1)</f>
        <v>0</v>
      </c>
      <c r="BY111" s="115" t="n">
        <f aca="false">SUMIFS(الريسبي!$C$2:$C$1800,الريسبي!$A$2:$A$1800,$A111,الريسبي!$B$2:$B$1800,BY$1)</f>
        <v>0</v>
      </c>
      <c r="BZ111" s="115" t="n">
        <f aca="false">SUMIFS(الريسبي!$C$2:$C$1800,الريسبي!$A$2:$A$1800,$A111,الريسبي!$B$2:$B$1800,BZ$1)</f>
        <v>0</v>
      </c>
      <c r="CA111" s="115" t="n">
        <f aca="false">SUMIFS(الريسبي!$C$2:$C$1800,الريسبي!$A$2:$A$1800,$A111,الريسبي!$B$2:$B$1800,CA$1)</f>
        <v>0</v>
      </c>
      <c r="CB111" s="115" t="n">
        <f aca="false">SUMIFS(الريسبي!$C$2:$C$1800,الريسبي!$A$2:$A$1800,$A111,الريسبي!$B$2:$B$1800,CB$1)</f>
        <v>0</v>
      </c>
      <c r="CC111" s="115" t="n">
        <f aca="false">SUMIFS(الريسبي!$C$2:$C$1800,الريسبي!$A$2:$A$1800,$A111,الريسبي!$B$2:$B$1800,CC$1)</f>
        <v>0</v>
      </c>
      <c r="CD111" s="115" t="n">
        <f aca="false">SUMIFS(الريسبي!$C$2:$C$1800,الريسبي!$A$2:$A$1800,$A111,الريسبي!$B$2:$B$1800,CD$1)</f>
        <v>0</v>
      </c>
      <c r="CE111" s="115" t="n">
        <f aca="false">SUMIFS(الريسبي!$C$2:$C$1800,الريسبي!$A$2:$A$1800,$A111,الريسبي!$B$2:$B$1800,CE$1)</f>
        <v>0</v>
      </c>
      <c r="CF111" s="115" t="n">
        <f aca="false">SUMIFS(الريسبي!$C$2:$C$1800,الريسبي!$A$2:$A$1800,$A111,الريسبي!$B$2:$B$1800,CF$1)</f>
        <v>0</v>
      </c>
      <c r="CG111" s="115" t="n">
        <f aca="false">SUMIFS(الريسبي!$C$2:$C$1800,الريسبي!$A$2:$A$1800,$A111,الريسبي!$B$2:$B$1800,CG$1)</f>
        <v>0</v>
      </c>
      <c r="CH111" s="115" t="n">
        <f aca="false">SUMIFS(الريسبي!$C$2:$C$1800,الريسبي!$A$2:$A$1800,$A111,الريسبي!$B$2:$B$1800,CH$1)</f>
        <v>0</v>
      </c>
    </row>
    <row r="112" customFormat="false" ht="15" hidden="false" customHeight="false" outlineLevel="0" collapsed="false">
      <c r="A112" s="114" t="str">
        <f aca="false">المنيو!B112</f>
        <v>فطيرة ملوكي زبيب وجوزهند صيامي</v>
      </c>
      <c r="B112" s="115" t="n">
        <f aca="false">SUMIFS(الريسبي!$C$2:$C$1800,الريسبي!$A$2:$A$1800,$A112,الريسبي!$B$2:$B$1800,B$1)</f>
        <v>0</v>
      </c>
      <c r="C112" s="115" t="n">
        <f aca="false">SUMIFS(الريسبي!$C$2:$C$1800,الريسبي!$A$2:$A$1800,$A112,الريسبي!$B$2:$B$1800,C$1)</f>
        <v>0</v>
      </c>
      <c r="D112" s="115" t="n">
        <f aca="false">SUMIFS(الريسبي!$C$2:$C$1800,الريسبي!$A$2:$A$1800,$A112,الريسبي!$B$2:$B$1800,D$1)</f>
        <v>0</v>
      </c>
      <c r="E112" s="115" t="n">
        <f aca="false">SUMIFS(الريسبي!$C$2:$C$1800,الريسبي!$A$2:$A$1800,$A112,الريسبي!$B$2:$B$1800,E$1)</f>
        <v>1</v>
      </c>
      <c r="F112" s="115" t="n">
        <f aca="false">SUMIFS(الريسبي!$C$2:$C$1800,الريسبي!$A$2:$A$1800,$A112,الريسبي!$B$2:$B$1800,F$1)</f>
        <v>0</v>
      </c>
      <c r="G112" s="115" t="n">
        <f aca="false">SUMIFS(الريسبي!$C$2:$C$1800,الريسبي!$A$2:$A$1800,$A112,الريسبي!$B$2:$B$1800,G$1)</f>
        <v>0</v>
      </c>
      <c r="H112" s="115" t="n">
        <f aca="false">SUMIFS(الريسبي!$C$2:$C$1800,الريسبي!$A$2:$A$1800,$A112,الريسبي!$B$2:$B$1800,H$1)</f>
        <v>0</v>
      </c>
      <c r="I112" s="115" t="n">
        <f aca="false">SUMIFS(الريسبي!$C$2:$C$1800,الريسبي!$A$2:$A$1800,$A112,الريسبي!$B$2:$B$1800,I$1)</f>
        <v>0</v>
      </c>
      <c r="J112" s="115" t="n">
        <f aca="false">SUMIFS(الريسبي!$C$2:$C$1800,الريسبي!$A$2:$A$1800,$A112,الريسبي!$B$2:$B$1800,J$1)</f>
        <v>0</v>
      </c>
      <c r="K112" s="115" t="n">
        <f aca="false">SUMIFS(الريسبي!$C$2:$C$1800,الريسبي!$A$2:$A$1800,$A112,الريسبي!$B$2:$B$1800,K$1)</f>
        <v>0</v>
      </c>
      <c r="L112" s="115" t="n">
        <f aca="false">SUMIFS(الريسبي!$C$2:$C$1800,الريسبي!$A$2:$A$1800,$A112,الريسبي!$B$2:$B$1800,L$1)</f>
        <v>0</v>
      </c>
      <c r="M112" s="115" t="n">
        <f aca="false">SUMIFS(الريسبي!$C$2:$C$1800,الريسبي!$A$2:$A$1800,$A112,الريسبي!$B$2:$B$1800,M$1)</f>
        <v>0</v>
      </c>
      <c r="N112" s="115" t="n">
        <f aca="false">SUMIFS(الريسبي!$C$2:$C$1800,الريسبي!$A$2:$A$1800,$A112,الريسبي!$B$2:$B$1800,N$1)</f>
        <v>0</v>
      </c>
      <c r="O112" s="115" t="n">
        <f aca="false">SUMIFS(الريسبي!$C$2:$C$1800,الريسبي!$A$2:$A$1800,$A112,الريسبي!$B$2:$B$1800,O$1)</f>
        <v>0</v>
      </c>
      <c r="P112" s="115" t="n">
        <f aca="false">SUMIFS(الريسبي!$C$2:$C$1800,الريسبي!$A$2:$A$1800,$A112,الريسبي!$B$2:$B$1800,P$1)</f>
        <v>0</v>
      </c>
      <c r="Q112" s="115" t="n">
        <f aca="false">SUMIFS(الريسبي!$C$2:$C$1800,الريسبي!$A$2:$A$1800,$A112,الريسبي!$B$2:$B$1800,Q$1)</f>
        <v>0</v>
      </c>
      <c r="R112" s="115" t="n">
        <f aca="false">SUMIFS(الريسبي!$C$2:$C$1800,الريسبي!$A$2:$A$1800,$A112,الريسبي!$B$2:$B$1800,R$1)</f>
        <v>0</v>
      </c>
      <c r="S112" s="115" t="n">
        <f aca="false">SUMIFS(الريسبي!$C$2:$C$1800,الريسبي!$A$2:$A$1800,$A112,الريسبي!$B$2:$B$1800,S$1)</f>
        <v>0</v>
      </c>
      <c r="T112" s="115" t="n">
        <f aca="false">SUMIFS(الريسبي!$C$2:$C$1800,الريسبي!$A$2:$A$1800,$A112,الريسبي!$B$2:$B$1800,T$1)</f>
        <v>0</v>
      </c>
      <c r="U112" s="115" t="n">
        <f aca="false">SUMIFS(الريسبي!$C$2:$C$1800,الريسبي!$A$2:$A$1800,$A112,الريسبي!$B$2:$B$1800,U$1)</f>
        <v>0</v>
      </c>
      <c r="V112" s="115" t="n">
        <f aca="false">SUMIFS(الريسبي!$C$2:$C$1800,الريسبي!$A$2:$A$1800,$A112,الريسبي!$B$2:$B$1800,V$1)</f>
        <v>0</v>
      </c>
      <c r="W112" s="115" t="n">
        <f aca="false">SUMIFS(الريسبي!$C$2:$C$1800,الريسبي!$A$2:$A$1800,$A112,الريسبي!$B$2:$B$1800,W$1)</f>
        <v>0</v>
      </c>
      <c r="X112" s="115" t="n">
        <f aca="false">SUMIFS(الريسبي!$C$2:$C$1800,الريسبي!$A$2:$A$1800,$A112,الريسبي!$B$2:$B$1800,X$1)</f>
        <v>0</v>
      </c>
      <c r="Y112" s="115" t="n">
        <f aca="false">SUMIFS(الريسبي!$C$2:$C$1800,الريسبي!$A$2:$A$1800,$A112,الريسبي!$B$2:$B$1800,Y$1)</f>
        <v>0</v>
      </c>
      <c r="Z112" s="115" t="n">
        <f aca="false">SUMIFS(الريسبي!$C$2:$C$1800,الريسبي!$A$2:$A$1800,$A112,الريسبي!$B$2:$B$1800,Z$1)</f>
        <v>0</v>
      </c>
      <c r="AA112" s="115" t="n">
        <f aca="false">SUMIFS(الريسبي!$C$2:$C$1800,الريسبي!$A$2:$A$1800,$A112,الريسبي!$B$2:$B$1800,AA$1)</f>
        <v>0</v>
      </c>
      <c r="AB112" s="115" t="n">
        <f aca="false">SUMIFS(الريسبي!$C$2:$C$1800,الريسبي!$A$2:$A$1800,$A112,الريسبي!$B$2:$B$1800,AB$1)</f>
        <v>0</v>
      </c>
      <c r="AC112" s="115" t="n">
        <f aca="false">SUMIFS(الريسبي!$C$2:$C$1800,الريسبي!$A$2:$A$1800,$A112,الريسبي!$B$2:$B$1800,AC$1)</f>
        <v>0</v>
      </c>
      <c r="AD112" s="115" t="n">
        <f aca="false">SUMIFS(الريسبي!$C$2:$C$1800,الريسبي!$A$2:$A$1800,$A112,الريسبي!$B$2:$B$1800,AD$1)</f>
        <v>0</v>
      </c>
      <c r="AE112" s="115" t="n">
        <f aca="false">SUMIFS(الريسبي!$C$2:$C$1800,الريسبي!$A$2:$A$1800,$A112,الريسبي!$B$2:$B$1800,AE$1)</f>
        <v>0</v>
      </c>
      <c r="AF112" s="115" t="n">
        <f aca="false">SUMIFS(الريسبي!$C$2:$C$1800,الريسبي!$A$2:$A$1800,$A112,الريسبي!$B$2:$B$1800,AF$1)</f>
        <v>1</v>
      </c>
      <c r="AG112" s="115" t="n">
        <f aca="false">SUMIFS(الريسبي!$C$2:$C$1800,الريسبي!$A$2:$A$1800,$A112,الريسبي!$B$2:$B$1800,AG$1)</f>
        <v>0</v>
      </c>
      <c r="AH112" s="115" t="n">
        <f aca="false">SUMIFS(الريسبي!$C$2:$C$1800,الريسبي!$A$2:$A$1800,$A112,الريسبي!$B$2:$B$1800,AH$1)</f>
        <v>0</v>
      </c>
      <c r="AI112" s="115" t="n">
        <f aca="false">SUMIFS(الريسبي!$C$2:$C$1800,الريسبي!$A$2:$A$1800,$A112,الريسبي!$B$2:$B$1800,AI$1)</f>
        <v>0</v>
      </c>
      <c r="AJ112" s="115" t="n">
        <f aca="false">SUMIFS(الريسبي!$C$2:$C$1800,الريسبي!$A$2:$A$1800,$A112,الريسبي!$B$2:$B$1800,AJ$1)</f>
        <v>0</v>
      </c>
      <c r="AK112" s="115" t="n">
        <f aca="false">SUMIFS(الريسبي!$C$2:$C$1800,الريسبي!$A$2:$A$1800,$A112,الريسبي!$B$2:$B$1800,AK$1)</f>
        <v>0.03</v>
      </c>
      <c r="AL112" s="115" t="n">
        <f aca="false">SUMIFS(الريسبي!$C$2:$C$1800,الريسبي!$A$2:$A$1800,$A112,الريسبي!$B$2:$B$1800,AL$1)</f>
        <v>0</v>
      </c>
      <c r="AM112" s="115"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15"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15" t="n">
        <f aca="false">SUMIFS(الريسبي!$C$2:$C$1800,الريسبي!$A$2:$A$1800,$A112,الريسبي!$B$2:$B$1800,AO$1)</f>
        <v>0.06</v>
      </c>
      <c r="AP112" s="115" t="n">
        <f aca="false">SUMIFS(الريسبي!$C$2:$C$1800,الريسبي!$A$2:$A$1800,$A112,الريسبي!$B$2:$B$1800,AP$1)</f>
        <v>0</v>
      </c>
      <c r="AQ112" s="115"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15" t="n">
        <f aca="false">SUMIFS(الريسبي!$C$2:$C$1800,الريسبي!$A$2:$A$1800,$A112,الريسبي!$B$2:$B$1800,AR$1)</f>
        <v>0</v>
      </c>
      <c r="AS112" s="115" t="n">
        <f aca="false">SUMIFS(الريسبي!$C$2:$C$1800,الريسبي!$A$2:$A$1800,$A112,الريسبي!$B$2:$B$1800,AS$1)</f>
        <v>0</v>
      </c>
      <c r="AT112" s="115" t="n">
        <f aca="false">SUMIFS(الريسبي!$C$2:$C$1800,الريسبي!$A$2:$A$1800,$A112,الريسبي!$B$2:$B$1800,AT$1)</f>
        <v>0</v>
      </c>
      <c r="AU112" s="115" t="n">
        <f aca="false">SUMIFS(الريسبي!$C$2:$C$1800,الريسبي!$A$2:$A$1800,$A112,الريسبي!$B$2:$B$1800,AU$1)</f>
        <v>1</v>
      </c>
      <c r="AV112" s="115" t="n">
        <f aca="false">SUMIFS(الريسبي!$C$2:$C$1800,الريسبي!$A$2:$A$1800,$A112,الريسبي!$B$2:$B$1800,AV$1)</f>
        <v>0</v>
      </c>
      <c r="AW112" s="115" t="n">
        <f aca="false">SUMIFS(الريسبي!$C$2:$C$1800,الريسبي!$A$2:$A$1800,$A112,الريسبي!$B$2:$B$1800,AW$1)</f>
        <v>0</v>
      </c>
      <c r="AX112" s="115" t="n">
        <f aca="false">SUMIFS(الريسبي!$C$2:$C$1800,الريسبي!$A$2:$A$1800,$A112,الريسبي!$B$2:$B$1800,AX$1)</f>
        <v>0</v>
      </c>
      <c r="AY112" s="115" t="n">
        <f aca="false">SUMIFS(الريسبي!$C$2:$C$1800,الريسبي!$A$2:$A$1800,$A112,الريسبي!$B$2:$B$1800,AY$1)</f>
        <v>0</v>
      </c>
      <c r="AZ112" s="115" t="n">
        <f aca="false">SUMIFS(الريسبي!$C$2:$C$1800,الريسبي!$A$2:$A$1800,$A112,الريسبي!$B$2:$B$1800,AZ$1)</f>
        <v>0</v>
      </c>
      <c r="BA112" s="115" t="n">
        <f aca="false">SUMIFS(الريسبي!$C$2:$C$1800,الريسبي!$A$2:$A$1800,$A112,الريسبي!$B$2:$B$1800,BA$1)</f>
        <v>0</v>
      </c>
      <c r="BB112" s="115" t="n">
        <f aca="false">SUMIFS(الريسبي!$C$2:$C$1800,الريسبي!$A$2:$A$1800,$A112,الريسبي!$B$2:$B$1800,BB$1)</f>
        <v>0</v>
      </c>
      <c r="BC112" s="115" t="n">
        <f aca="false">SUMIFS(الريسبي!$C$2:$C$1800,الريسبي!$A$2:$A$1800,$A112,الريسبي!$B$2:$B$1800,BC$1)</f>
        <v>0</v>
      </c>
      <c r="BD112" s="115" t="n">
        <f aca="false">SUMIFS(الريسبي!$C$2:$C$1800,الريسبي!$A$2:$A$1800,$A112,الريسبي!$B$2:$B$1800,BD$1)</f>
        <v>0</v>
      </c>
      <c r="BE112" s="115" t="n">
        <f aca="false">SUMIFS(الريسبي!$C$2:$C$1800,الريسبي!$A$2:$A$1800,$A112,الريسبي!$B$2:$B$1800,BE$1)</f>
        <v>1</v>
      </c>
      <c r="BF112" s="115" t="n">
        <f aca="false">SUMIFS(الريسبي!$C$2:$C$1800,الريسبي!$A$2:$A$1800,$A112,الريسبي!$B$2:$B$1800,BF$1)</f>
        <v>0</v>
      </c>
      <c r="BG112" s="115" t="n">
        <f aca="false">SUMIFS(الريسبي!$C$2:$C$1800,الريسبي!$A$2:$A$1800,$A112,الريسبي!$B$2:$B$1800,BG$1)</f>
        <v>0</v>
      </c>
      <c r="BH112" s="115" t="n">
        <f aca="false">SUMIFS(الريسبي!$C$2:$C$1800,الريسبي!$A$2:$A$1800,$A112,الريسبي!$B$2:$B$1800,BH$1)</f>
        <v>0</v>
      </c>
      <c r="BI112" s="115" t="n">
        <f aca="false">SUMIFS(الريسبي!$C$2:$C$1800,الريسبي!$A$2:$A$1800,$A112,الريسبي!$B$2:$B$1800,BI$1)</f>
        <v>0</v>
      </c>
      <c r="BJ112" s="115" t="n">
        <f aca="false">SUMIFS(الريسبي!$C$2:$C$1800,الريسبي!$A$2:$A$1800,$A112,الريسبي!$B$2:$B$1800,BJ$1)</f>
        <v>0</v>
      </c>
      <c r="BK112" s="115" t="n">
        <f aca="false">SUMIFS(الريسبي!$C$2:$C$1800,الريسبي!$A$2:$A$1800,$A112,الريسبي!$B$2:$B$1800,BK$1)</f>
        <v>1</v>
      </c>
      <c r="BL112" s="115" t="n">
        <f aca="false">SUMIFS(الريسبي!$C$2:$C$1800,الريسبي!$A$2:$A$1800,$A112,الريسبي!$B$2:$B$1800,BL$1)</f>
        <v>0</v>
      </c>
      <c r="BM112" s="115" t="n">
        <f aca="false">SUMIFS(الريسبي!$C$2:$C$1800,الريسبي!$A$2:$A$1800,$A112,الريسبي!$B$2:$B$1800,BM$1)</f>
        <v>0</v>
      </c>
      <c r="BN112" s="115" t="n">
        <f aca="false">SUMIFS(الريسبي!$C$2:$C$1800,الريسبي!$A$2:$A$1800,$A112,الريسبي!$B$2:$B$1800,BN$1)</f>
        <v>0</v>
      </c>
      <c r="BO112" s="115" t="n">
        <f aca="false">SUMIFS(الريسبي!$C$2:$C$1800,الريسبي!$A$2:$A$1800,$A112,الريسبي!$B$2:$B$1800,BO$1)</f>
        <v>0</v>
      </c>
      <c r="BP112" s="115" t="n">
        <f aca="false">SUMIFS(الريسبي!$C$2:$C$1800,الريسبي!$A$2:$A$1800,$A112,الريسبي!$B$2:$B$1800,BP$1)</f>
        <v>0</v>
      </c>
      <c r="BQ112" s="115"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15" t="n">
        <f aca="false">SUMIFS(الريسبي!$C$2:$C$1800,الريسبي!$A$2:$A$1800,$A112,الريسبي!$B$2:$B$1800,BR$1)</f>
        <v>0</v>
      </c>
      <c r="BS112" s="115" t="n">
        <f aca="false">SUMIFS(الريسبي!$C$2:$C$1800,الريسبي!$A$2:$A$1800,$A112,الريسبي!$B$2:$B$1800,BS$1)</f>
        <v>0</v>
      </c>
      <c r="BT112" s="115" t="n">
        <f aca="false">SUMIFS(الريسبي!$C$2:$C$1800,الريسبي!$A$2:$A$1800,$A112,الريسبي!$B$2:$B$1800,BT$1)</f>
        <v>0</v>
      </c>
      <c r="BU112" s="115"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15" t="n">
        <f aca="false">SUMIFS(الريسبي!$C$2:$C$1800,الريسبي!$A$2:$A$1800,$A112,الريسبي!$B$2:$B$1800,BV$1)</f>
        <v>0</v>
      </c>
      <c r="BW112" s="115" t="n">
        <f aca="false">SUMIFS(الريسبي!$C$2:$C$1800,الريسبي!$A$2:$A$1800,$A112,الريسبي!$B$2:$B$1800,BW$1)</f>
        <v>0</v>
      </c>
      <c r="BX112" s="115" t="n">
        <f aca="false">SUMIFS(الريسبي!$C$2:$C$1800,الريسبي!$A$2:$A$1800,$A112,الريسبي!$B$2:$B$1800,BX$1)</f>
        <v>0</v>
      </c>
      <c r="BY112" s="115" t="n">
        <f aca="false">SUMIFS(الريسبي!$C$2:$C$1800,الريسبي!$A$2:$A$1800,$A112,الريسبي!$B$2:$B$1800,BY$1)</f>
        <v>0</v>
      </c>
      <c r="BZ112" s="115" t="n">
        <f aca="false">SUMIFS(الريسبي!$C$2:$C$1800,الريسبي!$A$2:$A$1800,$A112,الريسبي!$B$2:$B$1800,BZ$1)</f>
        <v>0</v>
      </c>
      <c r="CA112" s="115" t="n">
        <f aca="false">SUMIFS(الريسبي!$C$2:$C$1800,الريسبي!$A$2:$A$1800,$A112,الريسبي!$B$2:$B$1800,CA$1)</f>
        <v>0</v>
      </c>
      <c r="CB112" s="115" t="n">
        <f aca="false">SUMIFS(الريسبي!$C$2:$C$1800,الريسبي!$A$2:$A$1800,$A112,الريسبي!$B$2:$B$1800,CB$1)</f>
        <v>0</v>
      </c>
      <c r="CC112" s="115" t="n">
        <f aca="false">SUMIFS(الريسبي!$C$2:$C$1800,الريسبي!$A$2:$A$1800,$A112,الريسبي!$B$2:$B$1800,CC$1)</f>
        <v>0</v>
      </c>
      <c r="CD112" s="115" t="n">
        <f aca="false">SUMIFS(الريسبي!$C$2:$C$1800,الريسبي!$A$2:$A$1800,$A112,الريسبي!$B$2:$B$1800,CD$1)</f>
        <v>0</v>
      </c>
      <c r="CE112" s="115" t="n">
        <f aca="false">SUMIFS(الريسبي!$C$2:$C$1800,الريسبي!$A$2:$A$1800,$A112,الريسبي!$B$2:$B$1800,CE$1)</f>
        <v>0</v>
      </c>
      <c r="CF112" s="115" t="n">
        <f aca="false">SUMIFS(الريسبي!$C$2:$C$1800,الريسبي!$A$2:$A$1800,$A112,الريسبي!$B$2:$B$1800,CF$1)</f>
        <v>0</v>
      </c>
      <c r="CG112" s="115" t="n">
        <f aca="false">SUMIFS(الريسبي!$C$2:$C$1800,الريسبي!$A$2:$A$1800,$A112,الريسبي!$B$2:$B$1800,CG$1)</f>
        <v>0</v>
      </c>
      <c r="CH112" s="115" t="n">
        <f aca="false">SUMIFS(الريسبي!$C$2:$C$1800,الريسبي!$A$2:$A$1800,$A112,الريسبي!$B$2:$B$1800,CH$1)</f>
        <v>0</v>
      </c>
    </row>
    <row r="113" customFormat="false" ht="15" hidden="false" customHeight="false" outlineLevel="0" collapsed="false">
      <c r="A113" s="114" t="str">
        <f aca="false">المنيو!B113</f>
        <v>فطيرة شيكولاتة صيامي</v>
      </c>
      <c r="B113" s="115" t="n">
        <f aca="false">SUMIFS(الريسبي!$C$2:$C$1800,الريسبي!$A$2:$A$1800,$A113,الريسبي!$B$2:$B$1800,B$1)</f>
        <v>0</v>
      </c>
      <c r="C113" s="115" t="n">
        <f aca="false">SUMIFS(الريسبي!$C$2:$C$1800,الريسبي!$A$2:$A$1800,$A113,الريسبي!$B$2:$B$1800,C$1)</f>
        <v>0</v>
      </c>
      <c r="D113" s="115" t="n">
        <f aca="false">SUMIFS(الريسبي!$C$2:$C$1800,الريسبي!$A$2:$A$1800,$A113,الريسبي!$B$2:$B$1800,D$1)</f>
        <v>0</v>
      </c>
      <c r="E113" s="115" t="n">
        <f aca="false">SUMIFS(الريسبي!$C$2:$C$1800,الريسبي!$A$2:$A$1800,$A113,الريسبي!$B$2:$B$1800,E$1)</f>
        <v>1</v>
      </c>
      <c r="F113" s="115" t="n">
        <f aca="false">SUMIFS(الريسبي!$C$2:$C$1800,الريسبي!$A$2:$A$1800,$A113,الريسبي!$B$2:$B$1800,F$1)</f>
        <v>0</v>
      </c>
      <c r="G113" s="115" t="n">
        <f aca="false">SUMIFS(الريسبي!$C$2:$C$1800,الريسبي!$A$2:$A$1800,$A113,الريسبي!$B$2:$B$1800,G$1)</f>
        <v>0</v>
      </c>
      <c r="H113" s="115" t="n">
        <f aca="false">SUMIFS(الريسبي!$C$2:$C$1800,الريسبي!$A$2:$A$1800,$A113,الريسبي!$B$2:$B$1800,H$1)</f>
        <v>0</v>
      </c>
      <c r="I113" s="115" t="n">
        <f aca="false">SUMIFS(الريسبي!$C$2:$C$1800,الريسبي!$A$2:$A$1800,$A113,الريسبي!$B$2:$B$1800,I$1)</f>
        <v>0</v>
      </c>
      <c r="J113" s="115" t="n">
        <f aca="false">SUMIFS(الريسبي!$C$2:$C$1800,الريسبي!$A$2:$A$1800,$A113,الريسبي!$B$2:$B$1800,J$1)</f>
        <v>0</v>
      </c>
      <c r="K113" s="115" t="n">
        <f aca="false">SUMIFS(الريسبي!$C$2:$C$1800,الريسبي!$A$2:$A$1800,$A113,الريسبي!$B$2:$B$1800,K$1)</f>
        <v>0</v>
      </c>
      <c r="L113" s="115" t="n">
        <f aca="false">SUMIFS(الريسبي!$C$2:$C$1800,الريسبي!$A$2:$A$1800,$A113,الريسبي!$B$2:$B$1800,L$1)</f>
        <v>0</v>
      </c>
      <c r="M113" s="115" t="n">
        <f aca="false">SUMIFS(الريسبي!$C$2:$C$1800,الريسبي!$A$2:$A$1800,$A113,الريسبي!$B$2:$B$1800,M$1)</f>
        <v>0</v>
      </c>
      <c r="N113" s="115" t="n">
        <f aca="false">SUMIFS(الريسبي!$C$2:$C$1800,الريسبي!$A$2:$A$1800,$A113,الريسبي!$B$2:$B$1800,N$1)</f>
        <v>0</v>
      </c>
      <c r="O113" s="115" t="n">
        <f aca="false">SUMIFS(الريسبي!$C$2:$C$1800,الريسبي!$A$2:$A$1800,$A113,الريسبي!$B$2:$B$1800,O$1)</f>
        <v>0</v>
      </c>
      <c r="P113" s="115" t="n">
        <f aca="false">SUMIFS(الريسبي!$C$2:$C$1800,الريسبي!$A$2:$A$1800,$A113,الريسبي!$B$2:$B$1800,P$1)</f>
        <v>0</v>
      </c>
      <c r="Q113" s="115" t="n">
        <f aca="false">SUMIFS(الريسبي!$C$2:$C$1800,الريسبي!$A$2:$A$1800,$A113,الريسبي!$B$2:$B$1800,Q$1)</f>
        <v>0</v>
      </c>
      <c r="R113" s="115" t="n">
        <f aca="false">SUMIFS(الريسبي!$C$2:$C$1800,الريسبي!$A$2:$A$1800,$A113,الريسبي!$B$2:$B$1800,R$1)</f>
        <v>0</v>
      </c>
      <c r="S113" s="115" t="n">
        <f aca="false">SUMIFS(الريسبي!$C$2:$C$1800,الريسبي!$A$2:$A$1800,$A113,الريسبي!$B$2:$B$1800,S$1)</f>
        <v>0</v>
      </c>
      <c r="T113" s="115" t="n">
        <f aca="false">SUMIFS(الريسبي!$C$2:$C$1800,الريسبي!$A$2:$A$1800,$A113,الريسبي!$B$2:$B$1800,T$1)</f>
        <v>0</v>
      </c>
      <c r="U113" s="115" t="n">
        <f aca="false">SUMIFS(الريسبي!$C$2:$C$1800,الريسبي!$A$2:$A$1800,$A113,الريسبي!$B$2:$B$1800,U$1)</f>
        <v>0</v>
      </c>
      <c r="V113" s="115" t="n">
        <f aca="false">SUMIFS(الريسبي!$C$2:$C$1800,الريسبي!$A$2:$A$1800,$A113,الريسبي!$B$2:$B$1800,V$1)</f>
        <v>0</v>
      </c>
      <c r="W113" s="115" t="n">
        <f aca="false">SUMIFS(الريسبي!$C$2:$C$1800,الريسبي!$A$2:$A$1800,$A113,الريسبي!$B$2:$B$1800,W$1)</f>
        <v>0</v>
      </c>
      <c r="X113" s="115" t="n">
        <f aca="false">SUMIFS(الريسبي!$C$2:$C$1800,الريسبي!$A$2:$A$1800,$A113,الريسبي!$B$2:$B$1800,X$1)</f>
        <v>0</v>
      </c>
      <c r="Y113" s="115" t="n">
        <f aca="false">SUMIFS(الريسبي!$C$2:$C$1800,الريسبي!$A$2:$A$1800,$A113,الريسبي!$B$2:$B$1800,Y$1)</f>
        <v>0</v>
      </c>
      <c r="Z113" s="115" t="n">
        <f aca="false">SUMIFS(الريسبي!$C$2:$C$1800,الريسبي!$A$2:$A$1800,$A113,الريسبي!$B$2:$B$1800,Z$1)</f>
        <v>0</v>
      </c>
      <c r="AA113" s="115" t="n">
        <f aca="false">SUMIFS(الريسبي!$C$2:$C$1800,الريسبي!$A$2:$A$1800,$A113,الريسبي!$B$2:$B$1800,AA$1)</f>
        <v>0</v>
      </c>
      <c r="AB113" s="115" t="n">
        <f aca="false">SUMIFS(الريسبي!$C$2:$C$1800,الريسبي!$A$2:$A$1800,$A113,الريسبي!$B$2:$B$1800,AB$1)</f>
        <v>0</v>
      </c>
      <c r="AC113" s="115" t="n">
        <f aca="false">SUMIFS(الريسبي!$C$2:$C$1800,الريسبي!$A$2:$A$1800,$A113,الريسبي!$B$2:$B$1800,AC$1)</f>
        <v>0</v>
      </c>
      <c r="AD113" s="115" t="n">
        <f aca="false">SUMIFS(الريسبي!$C$2:$C$1800,الريسبي!$A$2:$A$1800,$A113,الريسبي!$B$2:$B$1800,AD$1)</f>
        <v>0</v>
      </c>
      <c r="AE113" s="115" t="n">
        <f aca="false">SUMIFS(الريسبي!$C$2:$C$1800,الريسبي!$A$2:$A$1800,$A113,الريسبي!$B$2:$B$1800,AE$1)</f>
        <v>0</v>
      </c>
      <c r="AF113" s="115" t="n">
        <f aca="false">SUMIFS(الريسبي!$C$2:$C$1800,الريسبي!$A$2:$A$1800,$A113,الريسبي!$B$2:$B$1800,AF$1)</f>
        <v>1</v>
      </c>
      <c r="AG113" s="115" t="n">
        <f aca="false">SUMIFS(الريسبي!$C$2:$C$1800,الريسبي!$A$2:$A$1800,$A113,الريسبي!$B$2:$B$1800,AG$1)</f>
        <v>0</v>
      </c>
      <c r="AH113" s="115" t="n">
        <f aca="false">SUMIFS(الريسبي!$C$2:$C$1800,الريسبي!$A$2:$A$1800,$A113,الريسبي!$B$2:$B$1800,AH$1)</f>
        <v>0</v>
      </c>
      <c r="AI113" s="115" t="n">
        <f aca="false">SUMIFS(الريسبي!$C$2:$C$1800,الريسبي!$A$2:$A$1800,$A113,الريسبي!$B$2:$B$1800,AI$1)</f>
        <v>0</v>
      </c>
      <c r="AJ113" s="115" t="n">
        <f aca="false">SUMIFS(الريسبي!$C$2:$C$1800,الريسبي!$A$2:$A$1800,$A113,الريسبي!$B$2:$B$1800,AJ$1)</f>
        <v>0</v>
      </c>
      <c r="AK113" s="115" t="n">
        <f aca="false">SUMIFS(الريسبي!$C$2:$C$1800,الريسبي!$A$2:$A$1800,$A113,الريسبي!$B$2:$B$1800,AK$1)</f>
        <v>0</v>
      </c>
      <c r="AL113" s="115" t="n">
        <f aca="false">SUMIFS(الريسبي!$C$2:$C$1800,الريسبي!$A$2:$A$1800,$A113,الريسبي!$B$2:$B$1800,AL$1)</f>
        <v>0</v>
      </c>
      <c r="AM113" s="115"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15"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15" t="n">
        <f aca="false">SUMIFS(الريسبي!$C$2:$C$1800,الريسبي!$A$2:$A$1800,$A113,الريسبي!$B$2:$B$1800,AO$1)</f>
        <v>0</v>
      </c>
      <c r="AP113" s="115" t="n">
        <f aca="false">SUMIFS(الريسبي!$C$2:$C$1800,الريسبي!$A$2:$A$1800,$A113,الريسبي!$B$2:$B$1800,AP$1)</f>
        <v>0</v>
      </c>
      <c r="AQ113" s="115"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15" t="n">
        <f aca="false">SUMIFS(الريسبي!$C$2:$C$1800,الريسبي!$A$2:$A$1800,$A113,الريسبي!$B$2:$B$1800,AR$1)</f>
        <v>0</v>
      </c>
      <c r="AS113" s="115" t="n">
        <f aca="false">SUMIFS(الريسبي!$C$2:$C$1800,الريسبي!$A$2:$A$1800,$A113,الريسبي!$B$2:$B$1800,AS$1)</f>
        <v>0</v>
      </c>
      <c r="AT113" s="115" t="n">
        <f aca="false">SUMIFS(الريسبي!$C$2:$C$1800,الريسبي!$A$2:$A$1800,$A113,الريسبي!$B$2:$B$1800,AT$1)</f>
        <v>0</v>
      </c>
      <c r="AU113" s="115" t="n">
        <f aca="false">SUMIFS(الريسبي!$C$2:$C$1800,الريسبي!$A$2:$A$1800,$A113,الريسبي!$B$2:$B$1800,AU$1)</f>
        <v>1</v>
      </c>
      <c r="AV113" s="115" t="n">
        <f aca="false">SUMIFS(الريسبي!$C$2:$C$1800,الريسبي!$A$2:$A$1800,$A113,الريسبي!$B$2:$B$1800,AV$1)</f>
        <v>0.16</v>
      </c>
      <c r="AW113" s="115" t="n">
        <f aca="false">SUMIFS(الريسبي!$C$2:$C$1800,الريسبي!$A$2:$A$1800,$A113,الريسبي!$B$2:$B$1800,AW$1)</f>
        <v>0.03</v>
      </c>
      <c r="AX113" s="115" t="n">
        <f aca="false">SUMIFS(الريسبي!$C$2:$C$1800,الريسبي!$A$2:$A$1800,$A113,الريسبي!$B$2:$B$1800,AX$1)</f>
        <v>0</v>
      </c>
      <c r="AY113" s="115" t="n">
        <f aca="false">SUMIFS(الريسبي!$C$2:$C$1800,الريسبي!$A$2:$A$1800,$A113,الريسبي!$B$2:$B$1800,AY$1)</f>
        <v>0</v>
      </c>
      <c r="AZ113" s="115" t="n">
        <f aca="false">SUMIFS(الريسبي!$C$2:$C$1800,الريسبي!$A$2:$A$1800,$A113,الريسبي!$B$2:$B$1800,AZ$1)</f>
        <v>0</v>
      </c>
      <c r="BA113" s="115" t="n">
        <f aca="false">SUMIFS(الريسبي!$C$2:$C$1800,الريسبي!$A$2:$A$1800,$A113,الريسبي!$B$2:$B$1800,BA$1)</f>
        <v>0</v>
      </c>
      <c r="BB113" s="115" t="n">
        <f aca="false">SUMIFS(الريسبي!$C$2:$C$1800,الريسبي!$A$2:$A$1800,$A113,الريسبي!$B$2:$B$1800,BB$1)</f>
        <v>0</v>
      </c>
      <c r="BC113" s="115" t="n">
        <f aca="false">SUMIFS(الريسبي!$C$2:$C$1800,الريسبي!$A$2:$A$1800,$A113,الريسبي!$B$2:$B$1800,BC$1)</f>
        <v>0</v>
      </c>
      <c r="BD113" s="115" t="n">
        <f aca="false">SUMIFS(الريسبي!$C$2:$C$1800,الريسبي!$A$2:$A$1800,$A113,الريسبي!$B$2:$B$1800,BD$1)</f>
        <v>0</v>
      </c>
      <c r="BE113" s="115" t="n">
        <f aca="false">SUMIFS(الريسبي!$C$2:$C$1800,الريسبي!$A$2:$A$1800,$A113,الريسبي!$B$2:$B$1800,BE$1)</f>
        <v>1</v>
      </c>
      <c r="BF113" s="115" t="n">
        <f aca="false">SUMIFS(الريسبي!$C$2:$C$1800,الريسبي!$A$2:$A$1800,$A113,الريسبي!$B$2:$B$1800,BF$1)</f>
        <v>0</v>
      </c>
      <c r="BG113" s="115" t="n">
        <f aca="false">SUMIFS(الريسبي!$C$2:$C$1800,الريسبي!$A$2:$A$1800,$A113,الريسبي!$B$2:$B$1800,BG$1)</f>
        <v>0</v>
      </c>
      <c r="BH113" s="115" t="n">
        <f aca="false">SUMIFS(الريسبي!$C$2:$C$1800,الريسبي!$A$2:$A$1800,$A113,الريسبي!$B$2:$B$1800,BH$1)</f>
        <v>0</v>
      </c>
      <c r="BI113" s="115" t="n">
        <f aca="false">SUMIFS(الريسبي!$C$2:$C$1800,الريسبي!$A$2:$A$1800,$A113,الريسبي!$B$2:$B$1800,BI$1)</f>
        <v>0</v>
      </c>
      <c r="BJ113" s="115" t="n">
        <f aca="false">SUMIFS(الريسبي!$C$2:$C$1800,الريسبي!$A$2:$A$1800,$A113,الريسبي!$B$2:$B$1800,BJ$1)</f>
        <v>0</v>
      </c>
      <c r="BK113" s="115" t="n">
        <f aca="false">SUMIFS(الريسبي!$C$2:$C$1800,الريسبي!$A$2:$A$1800,$A113,الريسبي!$B$2:$B$1800,BK$1)</f>
        <v>1</v>
      </c>
      <c r="BL113" s="115" t="n">
        <f aca="false">SUMIFS(الريسبي!$C$2:$C$1800,الريسبي!$A$2:$A$1800,$A113,الريسبي!$B$2:$B$1800,BL$1)</f>
        <v>0</v>
      </c>
      <c r="BM113" s="115" t="n">
        <f aca="false">SUMIFS(الريسبي!$C$2:$C$1800,الريسبي!$A$2:$A$1800,$A113,الريسبي!$B$2:$B$1800,BM$1)</f>
        <v>0</v>
      </c>
      <c r="BN113" s="115" t="n">
        <f aca="false">SUMIFS(الريسبي!$C$2:$C$1800,الريسبي!$A$2:$A$1800,$A113,الريسبي!$B$2:$B$1800,BN$1)</f>
        <v>0</v>
      </c>
      <c r="BO113" s="115" t="n">
        <f aca="false">SUMIFS(الريسبي!$C$2:$C$1800,الريسبي!$A$2:$A$1800,$A113,الريسبي!$B$2:$B$1800,BO$1)</f>
        <v>0</v>
      </c>
      <c r="BP113" s="115" t="n">
        <f aca="false">SUMIFS(الريسبي!$C$2:$C$1800,الريسبي!$A$2:$A$1800,$A113,الريسبي!$B$2:$B$1800,BP$1)</f>
        <v>0</v>
      </c>
      <c r="BQ113" s="115"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15" t="n">
        <f aca="false">SUMIFS(الريسبي!$C$2:$C$1800,الريسبي!$A$2:$A$1800,$A113,الريسبي!$B$2:$B$1800,BR$1)</f>
        <v>0</v>
      </c>
      <c r="BS113" s="115" t="n">
        <f aca="false">SUMIFS(الريسبي!$C$2:$C$1800,الريسبي!$A$2:$A$1800,$A113,الريسبي!$B$2:$B$1800,BS$1)</f>
        <v>0.01</v>
      </c>
      <c r="BT113" s="115" t="n">
        <f aca="false">SUMIFS(الريسبي!$C$2:$C$1800,الريسبي!$A$2:$A$1800,$A113,الريسبي!$B$2:$B$1800,BT$1)</f>
        <v>0</v>
      </c>
      <c r="BU113" s="115"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15" t="n">
        <f aca="false">SUMIFS(الريسبي!$C$2:$C$1800,الريسبي!$A$2:$A$1800,$A113,الريسبي!$B$2:$B$1800,BV$1)</f>
        <v>0</v>
      </c>
      <c r="BW113" s="115" t="n">
        <f aca="false">SUMIFS(الريسبي!$C$2:$C$1800,الريسبي!$A$2:$A$1800,$A113,الريسبي!$B$2:$B$1800,BW$1)</f>
        <v>0</v>
      </c>
      <c r="BX113" s="115" t="n">
        <f aca="false">SUMIFS(الريسبي!$C$2:$C$1800,الريسبي!$A$2:$A$1800,$A113,الريسبي!$B$2:$B$1800,BX$1)</f>
        <v>0</v>
      </c>
      <c r="BY113" s="115" t="n">
        <f aca="false">SUMIFS(الريسبي!$C$2:$C$1800,الريسبي!$A$2:$A$1800,$A113,الريسبي!$B$2:$B$1800,BY$1)</f>
        <v>0</v>
      </c>
      <c r="BZ113" s="115" t="n">
        <f aca="false">SUMIFS(الريسبي!$C$2:$C$1800,الريسبي!$A$2:$A$1800,$A113,الريسبي!$B$2:$B$1800,BZ$1)</f>
        <v>0</v>
      </c>
      <c r="CA113" s="115" t="n">
        <f aca="false">SUMIFS(الريسبي!$C$2:$C$1800,الريسبي!$A$2:$A$1800,$A113,الريسبي!$B$2:$B$1800,CA$1)</f>
        <v>0</v>
      </c>
      <c r="CB113" s="115" t="n">
        <f aca="false">SUMIFS(الريسبي!$C$2:$C$1800,الريسبي!$A$2:$A$1800,$A113,الريسبي!$B$2:$B$1800,CB$1)</f>
        <v>0</v>
      </c>
      <c r="CC113" s="115" t="n">
        <f aca="false">SUMIFS(الريسبي!$C$2:$C$1800,الريسبي!$A$2:$A$1800,$A113,الريسبي!$B$2:$B$1800,CC$1)</f>
        <v>0</v>
      </c>
      <c r="CD113" s="115" t="n">
        <f aca="false">SUMIFS(الريسبي!$C$2:$C$1800,الريسبي!$A$2:$A$1800,$A113,الريسبي!$B$2:$B$1800,CD$1)</f>
        <v>0</v>
      </c>
      <c r="CE113" s="115" t="n">
        <f aca="false">SUMIFS(الريسبي!$C$2:$C$1800,الريسبي!$A$2:$A$1800,$A113,الريسبي!$B$2:$B$1800,CE$1)</f>
        <v>0</v>
      </c>
      <c r="CF113" s="115" t="n">
        <f aca="false">SUMIFS(الريسبي!$C$2:$C$1800,الريسبي!$A$2:$A$1800,$A113,الريسبي!$B$2:$B$1800,CF$1)</f>
        <v>0</v>
      </c>
      <c r="CG113" s="115" t="n">
        <f aca="false">SUMIFS(الريسبي!$C$2:$C$1800,الريسبي!$A$2:$A$1800,$A113,الريسبي!$B$2:$B$1800,CG$1)</f>
        <v>0</v>
      </c>
      <c r="CH113" s="115" t="n">
        <f aca="false">SUMIFS(الريسبي!$C$2:$C$1800,الريسبي!$A$2:$A$1800,$A113,الريسبي!$B$2:$B$1800,CH$1)</f>
        <v>0</v>
      </c>
    </row>
    <row r="114" customFormat="false" ht="15" hidden="false" customHeight="false" outlineLevel="0" collapsed="false">
      <c r="A114" s="114" t="str">
        <f aca="false">المنيو!B114</f>
        <v>فطيرة لوتس صيامي</v>
      </c>
      <c r="B114" s="115" t="n">
        <f aca="false">SUMIFS(الريسبي!$C$2:$C$1800,الريسبي!$A$2:$A$1800,$A114,الريسبي!$B$2:$B$1800,B$1)</f>
        <v>0</v>
      </c>
      <c r="C114" s="115" t="n">
        <f aca="false">SUMIFS(الريسبي!$C$2:$C$1800,الريسبي!$A$2:$A$1800,$A114,الريسبي!$B$2:$B$1800,C$1)</f>
        <v>0</v>
      </c>
      <c r="D114" s="115" t="n">
        <f aca="false">SUMIFS(الريسبي!$C$2:$C$1800,الريسبي!$A$2:$A$1800,$A114,الريسبي!$B$2:$B$1800,D$1)</f>
        <v>0</v>
      </c>
      <c r="E114" s="115" t="n">
        <f aca="false">SUMIFS(الريسبي!$C$2:$C$1800,الريسبي!$A$2:$A$1800,$A114,الريسبي!$B$2:$B$1800,E$1)</f>
        <v>1</v>
      </c>
      <c r="F114" s="115" t="n">
        <f aca="false">SUMIFS(الريسبي!$C$2:$C$1800,الريسبي!$A$2:$A$1800,$A114,الريسبي!$B$2:$B$1800,F$1)</f>
        <v>0</v>
      </c>
      <c r="G114" s="115" t="n">
        <f aca="false">SUMIFS(الريسبي!$C$2:$C$1800,الريسبي!$A$2:$A$1800,$A114,الريسبي!$B$2:$B$1800,G$1)</f>
        <v>0</v>
      </c>
      <c r="H114" s="115" t="n">
        <f aca="false">SUMIFS(الريسبي!$C$2:$C$1800,الريسبي!$A$2:$A$1800,$A114,الريسبي!$B$2:$B$1800,H$1)</f>
        <v>0</v>
      </c>
      <c r="I114" s="115" t="n">
        <f aca="false">SUMIFS(الريسبي!$C$2:$C$1800,الريسبي!$A$2:$A$1800,$A114,الريسبي!$B$2:$B$1800,I$1)</f>
        <v>0</v>
      </c>
      <c r="J114" s="115" t="n">
        <f aca="false">SUMIFS(الريسبي!$C$2:$C$1800,الريسبي!$A$2:$A$1800,$A114,الريسبي!$B$2:$B$1800,J$1)</f>
        <v>0</v>
      </c>
      <c r="K114" s="115" t="n">
        <f aca="false">SUMIFS(الريسبي!$C$2:$C$1800,الريسبي!$A$2:$A$1800,$A114,الريسبي!$B$2:$B$1800,K$1)</f>
        <v>0</v>
      </c>
      <c r="L114" s="115" t="n">
        <f aca="false">SUMIFS(الريسبي!$C$2:$C$1800,الريسبي!$A$2:$A$1800,$A114,الريسبي!$B$2:$B$1800,L$1)</f>
        <v>0</v>
      </c>
      <c r="M114" s="115" t="n">
        <f aca="false">SUMIFS(الريسبي!$C$2:$C$1800,الريسبي!$A$2:$A$1800,$A114,الريسبي!$B$2:$B$1800,M$1)</f>
        <v>0</v>
      </c>
      <c r="N114" s="115" t="n">
        <f aca="false">SUMIFS(الريسبي!$C$2:$C$1800,الريسبي!$A$2:$A$1800,$A114,الريسبي!$B$2:$B$1800,N$1)</f>
        <v>0</v>
      </c>
      <c r="O114" s="115" t="n">
        <f aca="false">SUMIFS(الريسبي!$C$2:$C$1800,الريسبي!$A$2:$A$1800,$A114,الريسبي!$B$2:$B$1800,O$1)</f>
        <v>0</v>
      </c>
      <c r="P114" s="115" t="n">
        <f aca="false">SUMIFS(الريسبي!$C$2:$C$1800,الريسبي!$A$2:$A$1800,$A114,الريسبي!$B$2:$B$1800,P$1)</f>
        <v>0</v>
      </c>
      <c r="Q114" s="115" t="n">
        <f aca="false">SUMIFS(الريسبي!$C$2:$C$1800,الريسبي!$A$2:$A$1800,$A114,الريسبي!$B$2:$B$1800,Q$1)</f>
        <v>0</v>
      </c>
      <c r="R114" s="115" t="n">
        <f aca="false">SUMIFS(الريسبي!$C$2:$C$1800,الريسبي!$A$2:$A$1800,$A114,الريسبي!$B$2:$B$1800,R$1)</f>
        <v>0</v>
      </c>
      <c r="S114" s="115" t="n">
        <f aca="false">SUMIFS(الريسبي!$C$2:$C$1800,الريسبي!$A$2:$A$1800,$A114,الريسبي!$B$2:$B$1800,S$1)</f>
        <v>0</v>
      </c>
      <c r="T114" s="115" t="n">
        <f aca="false">SUMIFS(الريسبي!$C$2:$C$1800,الريسبي!$A$2:$A$1800,$A114,الريسبي!$B$2:$B$1800,T$1)</f>
        <v>0</v>
      </c>
      <c r="U114" s="115" t="n">
        <f aca="false">SUMIFS(الريسبي!$C$2:$C$1800,الريسبي!$A$2:$A$1800,$A114,الريسبي!$B$2:$B$1800,U$1)</f>
        <v>0</v>
      </c>
      <c r="V114" s="115" t="n">
        <f aca="false">SUMIFS(الريسبي!$C$2:$C$1800,الريسبي!$A$2:$A$1800,$A114,الريسبي!$B$2:$B$1800,V$1)</f>
        <v>0</v>
      </c>
      <c r="W114" s="115" t="n">
        <f aca="false">SUMIFS(الريسبي!$C$2:$C$1800,الريسبي!$A$2:$A$1800,$A114,الريسبي!$B$2:$B$1800,W$1)</f>
        <v>0</v>
      </c>
      <c r="X114" s="115" t="n">
        <f aca="false">SUMIFS(الريسبي!$C$2:$C$1800,الريسبي!$A$2:$A$1800,$A114,الريسبي!$B$2:$B$1800,X$1)</f>
        <v>0</v>
      </c>
      <c r="Y114" s="115" t="n">
        <f aca="false">SUMIFS(الريسبي!$C$2:$C$1800,الريسبي!$A$2:$A$1800,$A114,الريسبي!$B$2:$B$1800,Y$1)</f>
        <v>0</v>
      </c>
      <c r="Z114" s="115" t="n">
        <f aca="false">SUMIFS(الريسبي!$C$2:$C$1800,الريسبي!$A$2:$A$1800,$A114,الريسبي!$B$2:$B$1800,Z$1)</f>
        <v>0</v>
      </c>
      <c r="AA114" s="115" t="n">
        <f aca="false">SUMIFS(الريسبي!$C$2:$C$1800,الريسبي!$A$2:$A$1800,$A114,الريسبي!$B$2:$B$1800,AA$1)</f>
        <v>0.02</v>
      </c>
      <c r="AB114" s="115" t="n">
        <f aca="false">SUMIFS(الريسبي!$C$2:$C$1800,الريسبي!$A$2:$A$1800,$A114,الريسبي!$B$2:$B$1800,AB$1)</f>
        <v>0.04</v>
      </c>
      <c r="AC114" s="115" t="n">
        <f aca="false">SUMIFS(الريسبي!$C$2:$C$1800,الريسبي!$A$2:$A$1800,$A114,الريسبي!$B$2:$B$1800,AC$1)</f>
        <v>0</v>
      </c>
      <c r="AD114" s="115" t="n">
        <f aca="false">SUMIFS(الريسبي!$C$2:$C$1800,الريسبي!$A$2:$A$1800,$A114,الريسبي!$B$2:$B$1800,AD$1)</f>
        <v>0</v>
      </c>
      <c r="AE114" s="115" t="n">
        <f aca="false">SUMIFS(الريسبي!$C$2:$C$1800,الريسبي!$A$2:$A$1800,$A114,الريسبي!$B$2:$B$1800,AE$1)</f>
        <v>0</v>
      </c>
      <c r="AF114" s="115" t="n">
        <f aca="false">SUMIFS(الريسبي!$C$2:$C$1800,الريسبي!$A$2:$A$1800,$A114,الريسبي!$B$2:$B$1800,AF$1)</f>
        <v>1</v>
      </c>
      <c r="AG114" s="115" t="n">
        <f aca="false">SUMIFS(الريسبي!$C$2:$C$1800,الريسبي!$A$2:$A$1800,$A114,الريسبي!$B$2:$B$1800,AG$1)</f>
        <v>0</v>
      </c>
      <c r="AH114" s="115" t="n">
        <f aca="false">SUMIFS(الريسبي!$C$2:$C$1800,الريسبي!$A$2:$A$1800,$A114,الريسبي!$B$2:$B$1800,AH$1)</f>
        <v>0</v>
      </c>
      <c r="AI114" s="115" t="n">
        <f aca="false">SUMIFS(الريسبي!$C$2:$C$1800,الريسبي!$A$2:$A$1800,$A114,الريسبي!$B$2:$B$1800,AI$1)</f>
        <v>0</v>
      </c>
      <c r="AJ114" s="115" t="n">
        <f aca="false">SUMIFS(الريسبي!$C$2:$C$1800,الريسبي!$A$2:$A$1800,$A114,الريسبي!$B$2:$B$1800,AJ$1)</f>
        <v>0</v>
      </c>
      <c r="AK114" s="115" t="n">
        <f aca="false">SUMIFS(الريسبي!$C$2:$C$1800,الريسبي!$A$2:$A$1800,$A114,الريسبي!$B$2:$B$1800,AK$1)</f>
        <v>0</v>
      </c>
      <c r="AL114" s="115" t="n">
        <f aca="false">SUMIFS(الريسبي!$C$2:$C$1800,الريسبي!$A$2:$A$1800,$A114,الريسبي!$B$2:$B$1800,AL$1)</f>
        <v>0</v>
      </c>
      <c r="AM114" s="115"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15"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15" t="n">
        <f aca="false">SUMIFS(الريسبي!$C$2:$C$1800,الريسبي!$A$2:$A$1800,$A114,الريسبي!$B$2:$B$1800,AO$1)</f>
        <v>0</v>
      </c>
      <c r="AP114" s="115" t="n">
        <f aca="false">SUMIFS(الريسبي!$C$2:$C$1800,الريسبي!$A$2:$A$1800,$A114,الريسبي!$B$2:$B$1800,AP$1)</f>
        <v>0</v>
      </c>
      <c r="AQ114" s="115"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15" t="n">
        <f aca="false">SUMIFS(الريسبي!$C$2:$C$1800,الريسبي!$A$2:$A$1800,$A114,الريسبي!$B$2:$B$1800,AR$1)</f>
        <v>0</v>
      </c>
      <c r="AS114" s="115" t="n">
        <f aca="false">SUMIFS(الريسبي!$C$2:$C$1800,الريسبي!$A$2:$A$1800,$A114,الريسبي!$B$2:$B$1800,AS$1)</f>
        <v>0</v>
      </c>
      <c r="AT114" s="115" t="n">
        <f aca="false">SUMIFS(الريسبي!$C$2:$C$1800,الريسبي!$A$2:$A$1800,$A114,الريسبي!$B$2:$B$1800,AT$1)</f>
        <v>0</v>
      </c>
      <c r="AU114" s="115" t="n">
        <f aca="false">SUMIFS(الريسبي!$C$2:$C$1800,الريسبي!$A$2:$A$1800,$A114,الريسبي!$B$2:$B$1800,AU$1)</f>
        <v>1</v>
      </c>
      <c r="AV114" s="115" t="n">
        <f aca="false">SUMIFS(الريسبي!$C$2:$C$1800,الريسبي!$A$2:$A$1800,$A114,الريسبي!$B$2:$B$1800,AV$1)</f>
        <v>0</v>
      </c>
      <c r="AW114" s="115" t="n">
        <f aca="false">SUMIFS(الريسبي!$C$2:$C$1800,الريسبي!$A$2:$A$1800,$A114,الريسبي!$B$2:$B$1800,AW$1)</f>
        <v>0</v>
      </c>
      <c r="AX114" s="115" t="n">
        <f aca="false">SUMIFS(الريسبي!$C$2:$C$1800,الريسبي!$A$2:$A$1800,$A114,الريسبي!$B$2:$B$1800,AX$1)</f>
        <v>0</v>
      </c>
      <c r="AY114" s="115" t="n">
        <f aca="false">SUMIFS(الريسبي!$C$2:$C$1800,الريسبي!$A$2:$A$1800,$A114,الريسبي!$B$2:$B$1800,AY$1)</f>
        <v>0</v>
      </c>
      <c r="AZ114" s="115" t="n">
        <f aca="false">SUMIFS(الريسبي!$C$2:$C$1800,الريسبي!$A$2:$A$1800,$A114,الريسبي!$B$2:$B$1800,AZ$1)</f>
        <v>0</v>
      </c>
      <c r="BA114" s="115" t="n">
        <f aca="false">SUMIFS(الريسبي!$C$2:$C$1800,الريسبي!$A$2:$A$1800,$A114,الريسبي!$B$2:$B$1800,BA$1)</f>
        <v>0</v>
      </c>
      <c r="BB114" s="115" t="n">
        <f aca="false">SUMIFS(الريسبي!$C$2:$C$1800,الريسبي!$A$2:$A$1800,$A114,الريسبي!$B$2:$B$1800,BB$1)</f>
        <v>0</v>
      </c>
      <c r="BC114" s="115" t="n">
        <f aca="false">SUMIFS(الريسبي!$C$2:$C$1800,الريسبي!$A$2:$A$1800,$A114,الريسبي!$B$2:$B$1800,BC$1)</f>
        <v>0</v>
      </c>
      <c r="BD114" s="115" t="n">
        <f aca="false">SUMIFS(الريسبي!$C$2:$C$1800,الريسبي!$A$2:$A$1800,$A114,الريسبي!$B$2:$B$1800,BD$1)</f>
        <v>0</v>
      </c>
      <c r="BE114" s="115" t="n">
        <f aca="false">SUMIFS(الريسبي!$C$2:$C$1800,الريسبي!$A$2:$A$1800,$A114,الريسبي!$B$2:$B$1800,BE$1)</f>
        <v>1</v>
      </c>
      <c r="BF114" s="115" t="n">
        <f aca="false">SUMIFS(الريسبي!$C$2:$C$1800,الريسبي!$A$2:$A$1800,$A114,الريسبي!$B$2:$B$1800,BF$1)</f>
        <v>0</v>
      </c>
      <c r="BG114" s="115" t="n">
        <f aca="false">SUMIFS(الريسبي!$C$2:$C$1800,الريسبي!$A$2:$A$1800,$A114,الريسبي!$B$2:$B$1800,BG$1)</f>
        <v>0</v>
      </c>
      <c r="BH114" s="115" t="n">
        <f aca="false">SUMIFS(الريسبي!$C$2:$C$1800,الريسبي!$A$2:$A$1800,$A114,الريسبي!$B$2:$B$1800,BH$1)</f>
        <v>0</v>
      </c>
      <c r="BI114" s="115" t="n">
        <f aca="false">SUMIFS(الريسبي!$C$2:$C$1800,الريسبي!$A$2:$A$1800,$A114,الريسبي!$B$2:$B$1800,BI$1)</f>
        <v>0</v>
      </c>
      <c r="BJ114" s="115" t="n">
        <f aca="false">SUMIFS(الريسبي!$C$2:$C$1800,الريسبي!$A$2:$A$1800,$A114,الريسبي!$B$2:$B$1800,BJ$1)</f>
        <v>0</v>
      </c>
      <c r="BK114" s="115" t="n">
        <f aca="false">SUMIFS(الريسبي!$C$2:$C$1800,الريسبي!$A$2:$A$1800,$A114,الريسبي!$B$2:$B$1800,BK$1)</f>
        <v>1</v>
      </c>
      <c r="BL114" s="115" t="n">
        <f aca="false">SUMIFS(الريسبي!$C$2:$C$1800,الريسبي!$A$2:$A$1800,$A114,الريسبي!$B$2:$B$1800,BL$1)</f>
        <v>0</v>
      </c>
      <c r="BM114" s="115" t="n">
        <f aca="false">SUMIFS(الريسبي!$C$2:$C$1800,الريسبي!$A$2:$A$1800,$A114,الريسبي!$B$2:$B$1800,BM$1)</f>
        <v>0</v>
      </c>
      <c r="BN114" s="115" t="n">
        <f aca="false">SUMIFS(الريسبي!$C$2:$C$1800,الريسبي!$A$2:$A$1800,$A114,الريسبي!$B$2:$B$1800,BN$1)</f>
        <v>0</v>
      </c>
      <c r="BO114" s="115" t="n">
        <f aca="false">SUMIFS(الريسبي!$C$2:$C$1800,الريسبي!$A$2:$A$1800,$A114,الريسبي!$B$2:$B$1800,BO$1)</f>
        <v>0</v>
      </c>
      <c r="BP114" s="115" t="n">
        <f aca="false">SUMIFS(الريسبي!$C$2:$C$1800,الريسبي!$A$2:$A$1800,$A114,الريسبي!$B$2:$B$1800,BP$1)</f>
        <v>0</v>
      </c>
      <c r="BQ114" s="115"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15" t="n">
        <f aca="false">SUMIFS(الريسبي!$C$2:$C$1800,الريسبي!$A$2:$A$1800,$A114,الريسبي!$B$2:$B$1800,BR$1)</f>
        <v>0</v>
      </c>
      <c r="BS114" s="115" t="n">
        <f aca="false">SUMIFS(الريسبي!$C$2:$C$1800,الريسبي!$A$2:$A$1800,$A114,الريسبي!$B$2:$B$1800,BS$1)</f>
        <v>0</v>
      </c>
      <c r="BT114" s="115" t="n">
        <f aca="false">SUMIFS(الريسبي!$C$2:$C$1800,الريسبي!$A$2:$A$1800,$A114,الريسبي!$B$2:$B$1800,BT$1)</f>
        <v>0</v>
      </c>
      <c r="BU114" s="115"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15" t="n">
        <f aca="false">SUMIFS(الريسبي!$C$2:$C$1800,الريسبي!$A$2:$A$1800,$A114,الريسبي!$B$2:$B$1800,BV$1)</f>
        <v>0.16</v>
      </c>
      <c r="BW114" s="115" t="n">
        <f aca="false">SUMIFS(الريسبي!$C$2:$C$1800,الريسبي!$A$2:$A$1800,$A114,الريسبي!$B$2:$B$1800,BW$1)</f>
        <v>0</v>
      </c>
      <c r="BX114" s="115" t="n">
        <f aca="false">SUMIFS(الريسبي!$C$2:$C$1800,الريسبي!$A$2:$A$1800,$A114,الريسبي!$B$2:$B$1800,BX$1)</f>
        <v>0</v>
      </c>
      <c r="BY114" s="115" t="n">
        <f aca="false">SUMIFS(الريسبي!$C$2:$C$1800,الريسبي!$A$2:$A$1800,$A114,الريسبي!$B$2:$B$1800,BY$1)</f>
        <v>0</v>
      </c>
      <c r="BZ114" s="115" t="n">
        <f aca="false">SUMIFS(الريسبي!$C$2:$C$1800,الريسبي!$A$2:$A$1800,$A114,الريسبي!$B$2:$B$1800,BZ$1)</f>
        <v>0</v>
      </c>
      <c r="CA114" s="115" t="n">
        <f aca="false">SUMIFS(الريسبي!$C$2:$C$1800,الريسبي!$A$2:$A$1800,$A114,الريسبي!$B$2:$B$1800,CA$1)</f>
        <v>0</v>
      </c>
      <c r="CB114" s="115" t="n">
        <f aca="false">SUMIFS(الريسبي!$C$2:$C$1800,الريسبي!$A$2:$A$1800,$A114,الريسبي!$B$2:$B$1800,CB$1)</f>
        <v>0</v>
      </c>
      <c r="CC114" s="115" t="n">
        <f aca="false">SUMIFS(الريسبي!$C$2:$C$1800,الريسبي!$A$2:$A$1800,$A114,الريسبي!$B$2:$B$1800,CC$1)</f>
        <v>0</v>
      </c>
      <c r="CD114" s="115" t="n">
        <f aca="false">SUMIFS(الريسبي!$C$2:$C$1800,الريسبي!$A$2:$A$1800,$A114,الريسبي!$B$2:$B$1800,CD$1)</f>
        <v>0</v>
      </c>
      <c r="CE114" s="115" t="n">
        <f aca="false">SUMIFS(الريسبي!$C$2:$C$1800,الريسبي!$A$2:$A$1800,$A114,الريسبي!$B$2:$B$1800,CE$1)</f>
        <v>0</v>
      </c>
      <c r="CF114" s="115" t="n">
        <f aca="false">SUMIFS(الريسبي!$C$2:$C$1800,الريسبي!$A$2:$A$1800,$A114,الريسبي!$B$2:$B$1800,CF$1)</f>
        <v>0</v>
      </c>
      <c r="CG114" s="115" t="n">
        <f aca="false">SUMIFS(الريسبي!$C$2:$C$1800,الريسبي!$A$2:$A$1800,$A114,الريسبي!$B$2:$B$1800,CG$1)</f>
        <v>0</v>
      </c>
      <c r="CH114" s="115" t="n">
        <f aca="false">SUMIFS(الريسبي!$C$2:$C$1800,الريسبي!$A$2:$A$1800,$A114,الريسبي!$B$2:$B$1800,CH$1)</f>
        <v>0</v>
      </c>
    </row>
    <row r="115" customFormat="false" ht="15" hidden="false" customHeight="false" outlineLevel="0" collapsed="false">
      <c r="A115" s="114" t="str">
        <f aca="false">المنيو!B115</f>
        <v>قنبلة برجر صيامي</v>
      </c>
      <c r="B115" s="115" t="n">
        <f aca="false">SUMIFS(الريسبي!$C$2:$C$1800,الريسبي!$A$2:$A$1800,$A115,الريسبي!$B$2:$B$1800,B$1)</f>
        <v>0</v>
      </c>
      <c r="C115" s="115" t="n">
        <f aca="false">SUMIFS(الريسبي!$C$2:$C$1800,الريسبي!$A$2:$A$1800,$A115,الريسبي!$B$2:$B$1800,C$1)</f>
        <v>0</v>
      </c>
      <c r="D115" s="115" t="n">
        <f aca="false">SUMIFS(الريسبي!$C$2:$C$1800,الريسبي!$A$2:$A$1800,$A115,الريسبي!$B$2:$B$1800,D$1)</f>
        <v>1</v>
      </c>
      <c r="E115" s="115" t="n">
        <f aca="false">SUMIFS(الريسبي!$C$2:$C$1800,الريسبي!$A$2:$A$1800,$A115,الريسبي!$B$2:$B$1800,E$1)</f>
        <v>0</v>
      </c>
      <c r="F115" s="115" t="n">
        <f aca="false">SUMIFS(الريسبي!$C$2:$C$1800,الريسبي!$A$2:$A$1800,$A115,الريسبي!$B$2:$B$1800,F$1)</f>
        <v>0</v>
      </c>
      <c r="G115" s="115" t="n">
        <f aca="false">SUMIFS(الريسبي!$C$2:$C$1800,الريسبي!$A$2:$A$1800,$A115,الريسبي!$B$2:$B$1800,G$1)</f>
        <v>0</v>
      </c>
      <c r="H115" s="115" t="n">
        <f aca="false">SUMIFS(الريسبي!$C$2:$C$1800,الريسبي!$A$2:$A$1800,$A115,الريسبي!$B$2:$B$1800,H$1)</f>
        <v>0</v>
      </c>
      <c r="I115" s="115" t="n">
        <f aca="false">SUMIFS(الريسبي!$C$2:$C$1800,الريسبي!$A$2:$A$1800,$A115,الريسبي!$B$2:$B$1800,I$1)</f>
        <v>0</v>
      </c>
      <c r="J115" s="115" t="n">
        <f aca="false">SUMIFS(الريسبي!$C$2:$C$1800,الريسبي!$A$2:$A$1800,$A115,الريسبي!$B$2:$B$1800,J$1)</f>
        <v>0</v>
      </c>
      <c r="K115" s="115" t="n">
        <f aca="false">SUMIFS(الريسبي!$C$2:$C$1800,الريسبي!$A$2:$A$1800,$A115,الريسبي!$B$2:$B$1800,K$1)</f>
        <v>0</v>
      </c>
      <c r="L115" s="115" t="n">
        <f aca="false">SUMIFS(الريسبي!$C$2:$C$1800,الريسبي!$A$2:$A$1800,$A115,الريسبي!$B$2:$B$1800,L$1)</f>
        <v>0</v>
      </c>
      <c r="M115" s="115" t="n">
        <f aca="false">SUMIFS(الريسبي!$C$2:$C$1800,الريسبي!$A$2:$A$1800,$A115,الريسبي!$B$2:$B$1800,M$1)</f>
        <v>0</v>
      </c>
      <c r="N115" s="115" t="n">
        <f aca="false">SUMIFS(الريسبي!$C$2:$C$1800,الريسبي!$A$2:$A$1800,$A115,الريسبي!$B$2:$B$1800,N$1)</f>
        <v>0</v>
      </c>
      <c r="O115" s="115" t="n">
        <f aca="false">SUMIFS(الريسبي!$C$2:$C$1800,الريسبي!$A$2:$A$1800,$A115,الريسبي!$B$2:$B$1800,O$1)</f>
        <v>0</v>
      </c>
      <c r="P115" s="115" t="n">
        <f aca="false">SUMIFS(الريسبي!$C$2:$C$1800,الريسبي!$A$2:$A$1800,$A115,الريسبي!$B$2:$B$1800,P$1)</f>
        <v>0</v>
      </c>
      <c r="Q115" s="115" t="n">
        <f aca="false">SUMIFS(الريسبي!$C$2:$C$1800,الريسبي!$A$2:$A$1800,$A115,الريسبي!$B$2:$B$1800,Q$1)</f>
        <v>0</v>
      </c>
      <c r="R115" s="115" t="n">
        <f aca="false">SUMIFS(الريسبي!$C$2:$C$1800,الريسبي!$A$2:$A$1800,$A115,الريسبي!$B$2:$B$1800,R$1)</f>
        <v>0</v>
      </c>
      <c r="S115" s="115" t="n">
        <f aca="false">SUMIFS(الريسبي!$C$2:$C$1800,الريسبي!$A$2:$A$1800,$A115,الريسبي!$B$2:$B$1800,S$1)</f>
        <v>0</v>
      </c>
      <c r="T115" s="115" t="n">
        <f aca="false">SUMIFS(الريسبي!$C$2:$C$1800,الريسبي!$A$2:$A$1800,$A115,الريسبي!$B$2:$B$1800,T$1)</f>
        <v>0</v>
      </c>
      <c r="U115" s="115" t="n">
        <f aca="false">SUMIFS(الريسبي!$C$2:$C$1800,الريسبي!$A$2:$A$1800,$A115,الريسبي!$B$2:$B$1800,U$1)</f>
        <v>0</v>
      </c>
      <c r="V115" s="115" t="n">
        <f aca="false">SUMIFS(الريسبي!$C$2:$C$1800,الريسبي!$A$2:$A$1800,$A115,الريسبي!$B$2:$B$1800,V$1)</f>
        <v>0</v>
      </c>
      <c r="W115" s="115" t="n">
        <f aca="false">SUMIFS(الريسبي!$C$2:$C$1800,الريسبي!$A$2:$A$1800,$A115,الريسبي!$B$2:$B$1800,W$1)</f>
        <v>0</v>
      </c>
      <c r="X115" s="115" t="n">
        <f aca="false">SUMIFS(الريسبي!$C$2:$C$1800,الريسبي!$A$2:$A$1800,$A115,الريسبي!$B$2:$B$1800,X$1)</f>
        <v>0.5</v>
      </c>
      <c r="Y115" s="115" t="n">
        <f aca="false">SUMIFS(الريسبي!$C$2:$C$1800,الريسبي!$A$2:$A$1800,$A115,الريسبي!$B$2:$B$1800,Y$1)</f>
        <v>0</v>
      </c>
      <c r="Z115" s="115" t="n">
        <f aca="false">SUMIFS(الريسبي!$C$2:$C$1800,الريسبي!$A$2:$A$1800,$A115,الريسبي!$B$2:$B$1800,Z$1)</f>
        <v>0</v>
      </c>
      <c r="AA115" s="115" t="n">
        <f aca="false">SUMIFS(الريسبي!$C$2:$C$1800,الريسبي!$A$2:$A$1800,$A115,الريسبي!$B$2:$B$1800,AA$1)</f>
        <v>0</v>
      </c>
      <c r="AB115" s="115" t="n">
        <f aca="false">SUMIFS(الريسبي!$C$2:$C$1800,الريسبي!$A$2:$A$1800,$A115,الريسبي!$B$2:$B$1800,AB$1)</f>
        <v>0</v>
      </c>
      <c r="AC115" s="115" t="n">
        <f aca="false">SUMIFS(الريسبي!$C$2:$C$1800,الريسبي!$A$2:$A$1800,$A115,الريسبي!$B$2:$B$1800,AC$1)</f>
        <v>0</v>
      </c>
      <c r="AD115" s="115" t="n">
        <f aca="false">SUMIFS(الريسبي!$C$2:$C$1800,الريسبي!$A$2:$A$1800,$A115,الريسبي!$B$2:$B$1800,AD$1)</f>
        <v>0</v>
      </c>
      <c r="AE115" s="115" t="n">
        <f aca="false">SUMIFS(الريسبي!$C$2:$C$1800,الريسبي!$A$2:$A$1800,$A115,الريسبي!$B$2:$B$1800,AE$1)</f>
        <v>0.02</v>
      </c>
      <c r="AF115" s="115" t="n">
        <f aca="false">SUMIFS(الريسبي!$C$2:$C$1800,الريسبي!$A$2:$A$1800,$A115,الريسبي!$B$2:$B$1800,AF$1)</f>
        <v>0</v>
      </c>
      <c r="AG115" s="115" t="n">
        <f aca="false">SUMIFS(الريسبي!$C$2:$C$1800,الريسبي!$A$2:$A$1800,$A115,الريسبي!$B$2:$B$1800,AG$1)</f>
        <v>0</v>
      </c>
      <c r="AH115" s="115" t="n">
        <f aca="false">SUMIFS(الريسبي!$C$2:$C$1800,الريسبي!$A$2:$A$1800,$A115,الريسبي!$B$2:$B$1800,AH$1)</f>
        <v>0</v>
      </c>
      <c r="AI115" s="115" t="n">
        <f aca="false">SUMIFS(الريسبي!$C$2:$C$1800,الريسبي!$A$2:$A$1800,$A115,الريسبي!$B$2:$B$1800,AI$1)</f>
        <v>0</v>
      </c>
      <c r="AJ115" s="115" t="n">
        <f aca="false">SUMIFS(الريسبي!$C$2:$C$1800,الريسبي!$A$2:$A$1800,$A115,الريسبي!$B$2:$B$1800,AJ$1)</f>
        <v>2</v>
      </c>
      <c r="AK115" s="115" t="n">
        <f aca="false">SUMIFS(الريسبي!$C$2:$C$1800,الريسبي!$A$2:$A$1800,$A115,الريسبي!$B$2:$B$1800,AK$1)</f>
        <v>0</v>
      </c>
      <c r="AL115" s="115" t="n">
        <f aca="false">SUMIFS(الريسبي!$C$2:$C$1800,الريسبي!$A$2:$A$1800,$A115,الريسبي!$B$2:$B$1800,AL$1)</f>
        <v>0.02</v>
      </c>
      <c r="AM115" s="115"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15"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15" t="n">
        <f aca="false">SUMIFS(الريسبي!$C$2:$C$1800,الريسبي!$A$2:$A$1800,$A115,الريسبي!$B$2:$B$1800,AO$1)</f>
        <v>0</v>
      </c>
      <c r="AP115" s="115" t="n">
        <f aca="false">SUMIFS(الريسبي!$C$2:$C$1800,الريسبي!$A$2:$A$1800,$A115,الريسبي!$B$2:$B$1800,AP$1)</f>
        <v>0</v>
      </c>
      <c r="AQ115" s="115"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15" t="n">
        <f aca="false">SUMIFS(الريسبي!$C$2:$C$1800,الريسبي!$A$2:$A$1800,$A115,الريسبي!$B$2:$B$1800,AR$1)</f>
        <v>0</v>
      </c>
      <c r="AS115" s="115" t="n">
        <f aca="false">SUMIFS(الريسبي!$C$2:$C$1800,الريسبي!$A$2:$A$1800,$A115,الريسبي!$B$2:$B$1800,AS$1)</f>
        <v>0</v>
      </c>
      <c r="AT115" s="115" t="n">
        <f aca="false">SUMIFS(الريسبي!$C$2:$C$1800,الريسبي!$A$2:$A$1800,$A115,الريسبي!$B$2:$B$1800,AT$1)</f>
        <v>0</v>
      </c>
      <c r="AU115" s="115" t="n">
        <f aca="false">SUMIFS(الريسبي!$C$2:$C$1800,الريسبي!$A$2:$A$1800,$A115,الريسبي!$B$2:$B$1800,AU$1)</f>
        <v>0</v>
      </c>
      <c r="AV115" s="115" t="n">
        <f aca="false">SUMIFS(الريسبي!$C$2:$C$1800,الريسبي!$A$2:$A$1800,$A115,الريسبي!$B$2:$B$1800,AV$1)</f>
        <v>0</v>
      </c>
      <c r="AW115" s="115" t="n">
        <f aca="false">SUMIFS(الريسبي!$C$2:$C$1800,الريسبي!$A$2:$A$1800,$A115,الريسبي!$B$2:$B$1800,AW$1)</f>
        <v>0</v>
      </c>
      <c r="AX115" s="115" t="n">
        <f aca="false">SUMIFS(الريسبي!$C$2:$C$1800,الريسبي!$A$2:$A$1800,$A115,الريسبي!$B$2:$B$1800,AX$1)</f>
        <v>0</v>
      </c>
      <c r="AY115" s="115" t="n">
        <f aca="false">SUMIFS(الريسبي!$C$2:$C$1800,الريسبي!$A$2:$A$1800,$A115,الريسبي!$B$2:$B$1800,AY$1)</f>
        <v>0.05</v>
      </c>
      <c r="AZ115" s="115" t="n">
        <f aca="false">SUMIFS(الريسبي!$C$2:$C$1800,الريسبي!$A$2:$A$1800,$A115,الريسبي!$B$2:$B$1800,AZ$1)</f>
        <v>0.05</v>
      </c>
      <c r="BA115" s="115" t="n">
        <f aca="false">SUMIFS(الريسبي!$C$2:$C$1800,الريسبي!$A$2:$A$1800,$A115,الريسبي!$B$2:$B$1800,BA$1)</f>
        <v>0</v>
      </c>
      <c r="BB115" s="115" t="n">
        <f aca="false">SUMIFS(الريسبي!$C$2:$C$1800,الريسبي!$A$2:$A$1800,$A115,الريسبي!$B$2:$B$1800,BB$1)</f>
        <v>0.05</v>
      </c>
      <c r="BC115" s="115" t="n">
        <f aca="false">SUMIFS(الريسبي!$C$2:$C$1800,الريسبي!$A$2:$A$1800,$A115,الريسبي!$B$2:$B$1800,BC$1)</f>
        <v>0.02</v>
      </c>
      <c r="BD115" s="115" t="n">
        <f aca="false">SUMIFS(الريسبي!$C$2:$C$1800,الريسبي!$A$2:$A$1800,$A115,الريسبي!$B$2:$B$1800,BD$1)</f>
        <v>0.22</v>
      </c>
      <c r="BE115" s="115" t="n">
        <f aca="false">SUMIFS(الريسبي!$C$2:$C$1800,الريسبي!$A$2:$A$1800,$A115,الريسبي!$B$2:$B$1800,BE$1)</f>
        <v>0</v>
      </c>
      <c r="BF115" s="115" t="n">
        <f aca="false">SUMIFS(الريسبي!$C$2:$C$1800,الريسبي!$A$2:$A$1800,$A115,الريسبي!$B$2:$B$1800,BF$1)</f>
        <v>0</v>
      </c>
      <c r="BG115" s="115" t="n">
        <f aca="false">SUMIFS(الريسبي!$C$2:$C$1800,الريسبي!$A$2:$A$1800,$A115,الريسبي!$B$2:$B$1800,BG$1)</f>
        <v>0</v>
      </c>
      <c r="BH115" s="115" t="n">
        <f aca="false">SUMIFS(الريسبي!$C$2:$C$1800,الريسبي!$A$2:$A$1800,$A115,الريسبي!$B$2:$B$1800,BH$1)</f>
        <v>0</v>
      </c>
      <c r="BI115" s="115" t="n">
        <f aca="false">SUMIFS(الريسبي!$C$2:$C$1800,الريسبي!$A$2:$A$1800,$A115,الريسبي!$B$2:$B$1800,BI$1)</f>
        <v>0</v>
      </c>
      <c r="BJ115" s="115" t="n">
        <f aca="false">SUMIFS(الريسبي!$C$2:$C$1800,الريسبي!$A$2:$A$1800,$A115,الريسبي!$B$2:$B$1800,BJ$1)</f>
        <v>0</v>
      </c>
      <c r="BK115" s="115" t="n">
        <f aca="false">SUMIFS(الريسبي!$C$2:$C$1800,الريسبي!$A$2:$A$1800,$A115,الريسبي!$B$2:$B$1800,BK$1)</f>
        <v>0</v>
      </c>
      <c r="BL115" s="115" t="n">
        <f aca="false">SUMIFS(الريسبي!$C$2:$C$1800,الريسبي!$A$2:$A$1800,$A115,الريسبي!$B$2:$B$1800,BL$1)</f>
        <v>0</v>
      </c>
      <c r="BM115" s="115" t="n">
        <f aca="false">SUMIFS(الريسبي!$C$2:$C$1800,الريسبي!$A$2:$A$1800,$A115,الريسبي!$B$2:$B$1800,BM$1)</f>
        <v>0</v>
      </c>
      <c r="BN115" s="115" t="n">
        <f aca="false">SUMIFS(الريسبي!$C$2:$C$1800,الريسبي!$A$2:$A$1800,$A115,الريسبي!$B$2:$B$1800,BN$1)</f>
        <v>0.02</v>
      </c>
      <c r="BO115" s="115" t="n">
        <f aca="false">SUMIFS(الريسبي!$C$2:$C$1800,الريسبي!$A$2:$A$1800,$A115,الريسبي!$B$2:$B$1800,BO$1)</f>
        <v>0</v>
      </c>
      <c r="BP115" s="115" t="n">
        <f aca="false">SUMIFS(الريسبي!$C$2:$C$1800,الريسبي!$A$2:$A$1800,$A115,الريسبي!$B$2:$B$1800,BP$1)</f>
        <v>2</v>
      </c>
      <c r="BQ115" s="115"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15" t="n">
        <f aca="false">SUMIFS(الريسبي!$C$2:$C$1800,الريسبي!$A$2:$A$1800,$A115,الريسبي!$B$2:$B$1800,BR$1)</f>
        <v>1</v>
      </c>
      <c r="BS115" s="115" t="n">
        <f aca="false">SUMIFS(الريسبي!$C$2:$C$1800,الريسبي!$A$2:$A$1800,$A115,الريسبي!$B$2:$B$1800,BS$1)</f>
        <v>0</v>
      </c>
      <c r="BT115" s="115" t="n">
        <f aca="false">SUMIFS(الريسبي!$C$2:$C$1800,الريسبي!$A$2:$A$1800,$A115,الريسبي!$B$2:$B$1800,BT$1)</f>
        <v>0</v>
      </c>
      <c r="BU115" s="115"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15" t="n">
        <f aca="false">SUMIFS(الريسبي!$C$2:$C$1800,الريسبي!$A$2:$A$1800,$A115,الريسبي!$B$2:$B$1800,BV$1)</f>
        <v>0</v>
      </c>
      <c r="BW115" s="115" t="n">
        <f aca="false">SUMIFS(الريسبي!$C$2:$C$1800,الريسبي!$A$2:$A$1800,$A115,الريسبي!$B$2:$B$1800,BW$1)</f>
        <v>0</v>
      </c>
      <c r="BX115" s="115" t="n">
        <f aca="false">SUMIFS(الريسبي!$C$2:$C$1800,الريسبي!$A$2:$A$1800,$A115,الريسبي!$B$2:$B$1800,BX$1)</f>
        <v>0</v>
      </c>
      <c r="BY115" s="115" t="n">
        <f aca="false">SUMIFS(الريسبي!$C$2:$C$1800,الريسبي!$A$2:$A$1800,$A115,الريسبي!$B$2:$B$1800,BY$1)</f>
        <v>0</v>
      </c>
      <c r="BZ115" s="115" t="n">
        <f aca="false">SUMIFS(الريسبي!$C$2:$C$1800,الريسبي!$A$2:$A$1800,$A115,الريسبي!$B$2:$B$1800,BZ$1)</f>
        <v>1</v>
      </c>
      <c r="CA115" s="115" t="n">
        <f aca="false">SUMIFS(الريسبي!$C$2:$C$1800,الريسبي!$A$2:$A$1800,$A115,الريسبي!$B$2:$B$1800,CA$1)</f>
        <v>1</v>
      </c>
      <c r="CB115" s="115" t="n">
        <f aca="false">SUMIFS(الريسبي!$C$2:$C$1800,الريسبي!$A$2:$A$1800,$A115,الريسبي!$B$2:$B$1800,CB$1)</f>
        <v>0</v>
      </c>
      <c r="CC115" s="115" t="n">
        <f aca="false">SUMIFS(الريسبي!$C$2:$C$1800,الريسبي!$A$2:$A$1800,$A115,الريسبي!$B$2:$B$1800,CC$1)</f>
        <v>0</v>
      </c>
      <c r="CD115" s="115" t="n">
        <f aca="false">SUMIFS(الريسبي!$C$2:$C$1800,الريسبي!$A$2:$A$1800,$A115,الريسبي!$B$2:$B$1800,CD$1)</f>
        <v>0</v>
      </c>
      <c r="CE115" s="115" t="n">
        <f aca="false">SUMIFS(الريسبي!$C$2:$C$1800,الريسبي!$A$2:$A$1800,$A115,الريسبي!$B$2:$B$1800,CE$1)</f>
        <v>3</v>
      </c>
      <c r="CF115" s="115" t="n">
        <f aca="false">SUMIFS(الريسبي!$C$2:$C$1800,الريسبي!$A$2:$A$1800,$A115,الريسبي!$B$2:$B$1800,CF$1)</f>
        <v>1</v>
      </c>
      <c r="CG115" s="115" t="n">
        <f aca="false">SUMIFS(الريسبي!$C$2:$C$1800,الريسبي!$A$2:$A$1800,$A115,الريسبي!$B$2:$B$1800,CG$1)</f>
        <v>1</v>
      </c>
      <c r="CH115" s="115" t="n">
        <f aca="false">SUMIFS(الريسبي!$C$2:$C$1800,الريسبي!$A$2:$A$1800,$A115,الريسبي!$B$2:$B$1800,CH$1)</f>
        <v>0</v>
      </c>
    </row>
    <row r="116" customFormat="false" ht="15" hidden="false" customHeight="false" outlineLevel="0" collapsed="false">
      <c r="A116" s="114" t="str">
        <f aca="false">المنيو!B116</f>
        <v>قنبلة كريسبي صيامي</v>
      </c>
      <c r="B116" s="115" t="n">
        <f aca="false">SUMIFS(الريسبي!$C$2:$C$1800,الريسبي!$A$2:$A$1800,$A116,الريسبي!$B$2:$B$1800,B$1)</f>
        <v>0</v>
      </c>
      <c r="C116" s="115" t="n">
        <f aca="false">SUMIFS(الريسبي!$C$2:$C$1800,الريسبي!$A$2:$A$1800,$A116,الريسبي!$B$2:$B$1800,C$1)</f>
        <v>0</v>
      </c>
      <c r="D116" s="115" t="n">
        <f aca="false">SUMIFS(الريسبي!$C$2:$C$1800,الريسبي!$A$2:$A$1800,$A116,الريسبي!$B$2:$B$1800,D$1)</f>
        <v>1</v>
      </c>
      <c r="E116" s="115" t="n">
        <f aca="false">SUMIFS(الريسبي!$C$2:$C$1800,الريسبي!$A$2:$A$1800,$A116,الريسبي!$B$2:$B$1800,E$1)</f>
        <v>0</v>
      </c>
      <c r="F116" s="115" t="n">
        <f aca="false">SUMIFS(الريسبي!$C$2:$C$1800,الريسبي!$A$2:$A$1800,$A116,الريسبي!$B$2:$B$1800,F$1)</f>
        <v>0</v>
      </c>
      <c r="G116" s="115" t="n">
        <f aca="false">SUMIFS(الريسبي!$C$2:$C$1800,الريسبي!$A$2:$A$1800,$A116,الريسبي!$B$2:$B$1800,G$1)</f>
        <v>0</v>
      </c>
      <c r="H116" s="115" t="n">
        <f aca="false">SUMIFS(الريسبي!$C$2:$C$1800,الريسبي!$A$2:$A$1800,$A116,الريسبي!$B$2:$B$1800,H$1)</f>
        <v>0</v>
      </c>
      <c r="I116" s="115" t="n">
        <f aca="false">SUMIFS(الريسبي!$C$2:$C$1800,الريسبي!$A$2:$A$1800,$A116,الريسبي!$B$2:$B$1800,I$1)</f>
        <v>0</v>
      </c>
      <c r="J116" s="115" t="n">
        <f aca="false">SUMIFS(الريسبي!$C$2:$C$1800,الريسبي!$A$2:$A$1800,$A116,الريسبي!$B$2:$B$1800,J$1)</f>
        <v>0</v>
      </c>
      <c r="K116" s="115" t="n">
        <f aca="false">SUMIFS(الريسبي!$C$2:$C$1800,الريسبي!$A$2:$A$1800,$A116,الريسبي!$B$2:$B$1800,K$1)</f>
        <v>0</v>
      </c>
      <c r="L116" s="115" t="n">
        <f aca="false">SUMIFS(الريسبي!$C$2:$C$1800,الريسبي!$A$2:$A$1800,$A116,الريسبي!$B$2:$B$1800,L$1)</f>
        <v>0</v>
      </c>
      <c r="M116" s="115" t="n">
        <f aca="false">SUMIFS(الريسبي!$C$2:$C$1800,الريسبي!$A$2:$A$1800,$A116,الريسبي!$B$2:$B$1800,M$1)</f>
        <v>0</v>
      </c>
      <c r="N116" s="115" t="n">
        <f aca="false">SUMIFS(الريسبي!$C$2:$C$1800,الريسبي!$A$2:$A$1800,$A116,الريسبي!$B$2:$B$1800,N$1)</f>
        <v>0</v>
      </c>
      <c r="O116" s="115" t="n">
        <f aca="false">SUMIFS(الريسبي!$C$2:$C$1800,الريسبي!$A$2:$A$1800,$A116,الريسبي!$B$2:$B$1800,O$1)</f>
        <v>0</v>
      </c>
      <c r="P116" s="115" t="n">
        <f aca="false">SUMIFS(الريسبي!$C$2:$C$1800,الريسبي!$A$2:$A$1800,$A116,الريسبي!$B$2:$B$1800,P$1)</f>
        <v>0</v>
      </c>
      <c r="Q116" s="115" t="n">
        <f aca="false">SUMIFS(الريسبي!$C$2:$C$1800,الريسبي!$A$2:$A$1800,$A116,الريسبي!$B$2:$B$1800,Q$1)</f>
        <v>0</v>
      </c>
      <c r="R116" s="115" t="n">
        <f aca="false">SUMIFS(الريسبي!$C$2:$C$1800,الريسبي!$A$2:$A$1800,$A116,الريسبي!$B$2:$B$1800,R$1)</f>
        <v>0</v>
      </c>
      <c r="S116" s="115" t="n">
        <f aca="false">SUMIFS(الريسبي!$C$2:$C$1800,الريسبي!$A$2:$A$1800,$A116,الريسبي!$B$2:$B$1800,S$1)</f>
        <v>0</v>
      </c>
      <c r="T116" s="115" t="n">
        <f aca="false">SUMIFS(الريسبي!$C$2:$C$1800,الريسبي!$A$2:$A$1800,$A116,الريسبي!$B$2:$B$1800,T$1)</f>
        <v>0</v>
      </c>
      <c r="U116" s="115" t="n">
        <f aca="false">SUMIFS(الريسبي!$C$2:$C$1800,الريسبي!$A$2:$A$1800,$A116,الريسبي!$B$2:$B$1800,U$1)</f>
        <v>0</v>
      </c>
      <c r="V116" s="115" t="n">
        <f aca="false">SUMIFS(الريسبي!$C$2:$C$1800,الريسبي!$A$2:$A$1800,$A116,الريسبي!$B$2:$B$1800,V$1)</f>
        <v>0</v>
      </c>
      <c r="W116" s="115" t="n">
        <f aca="false">SUMIFS(الريسبي!$C$2:$C$1800,الريسبي!$A$2:$A$1800,$A116,الريسبي!$B$2:$B$1800,W$1)</f>
        <v>0</v>
      </c>
      <c r="X116" s="115" t="n">
        <f aca="false">SUMIFS(الريسبي!$C$2:$C$1800,الريسبي!$A$2:$A$1800,$A116,الريسبي!$B$2:$B$1800,X$1)</f>
        <v>0.5</v>
      </c>
      <c r="Y116" s="115" t="n">
        <f aca="false">SUMIFS(الريسبي!$C$2:$C$1800,الريسبي!$A$2:$A$1800,$A116,الريسبي!$B$2:$B$1800,Y$1)</f>
        <v>0</v>
      </c>
      <c r="Z116" s="115" t="n">
        <f aca="false">SUMIFS(الريسبي!$C$2:$C$1800,الريسبي!$A$2:$A$1800,$A116,الريسبي!$B$2:$B$1800,Z$1)</f>
        <v>0</v>
      </c>
      <c r="AA116" s="115" t="n">
        <f aca="false">SUMIFS(الريسبي!$C$2:$C$1800,الريسبي!$A$2:$A$1800,$A116,الريسبي!$B$2:$B$1800,AA$1)</f>
        <v>0</v>
      </c>
      <c r="AB116" s="115" t="n">
        <f aca="false">SUMIFS(الريسبي!$C$2:$C$1800,الريسبي!$A$2:$A$1800,$A116,الريسبي!$B$2:$B$1800,AB$1)</f>
        <v>0</v>
      </c>
      <c r="AC116" s="115" t="n">
        <f aca="false">SUMIFS(الريسبي!$C$2:$C$1800,الريسبي!$A$2:$A$1800,$A116,الريسبي!$B$2:$B$1800,AC$1)</f>
        <v>0</v>
      </c>
      <c r="AD116" s="115" t="n">
        <f aca="false">SUMIFS(الريسبي!$C$2:$C$1800,الريسبي!$A$2:$A$1800,$A116,الريسبي!$B$2:$B$1800,AD$1)</f>
        <v>0</v>
      </c>
      <c r="AE116" s="115" t="n">
        <f aca="false">SUMIFS(الريسبي!$C$2:$C$1800,الريسبي!$A$2:$A$1800,$A116,الريسبي!$B$2:$B$1800,AE$1)</f>
        <v>0.02</v>
      </c>
      <c r="AF116" s="115" t="n">
        <f aca="false">SUMIFS(الريسبي!$C$2:$C$1800,الريسبي!$A$2:$A$1800,$A116,الريسبي!$B$2:$B$1800,AF$1)</f>
        <v>0</v>
      </c>
      <c r="AG116" s="115" t="n">
        <f aca="false">SUMIFS(الريسبي!$C$2:$C$1800,الريسبي!$A$2:$A$1800,$A116,الريسبي!$B$2:$B$1800,AG$1)</f>
        <v>0</v>
      </c>
      <c r="AH116" s="115" t="n">
        <f aca="false">SUMIFS(الريسبي!$C$2:$C$1800,الريسبي!$A$2:$A$1800,$A116,الريسبي!$B$2:$B$1800,AH$1)</f>
        <v>0</v>
      </c>
      <c r="AI116" s="115" t="n">
        <f aca="false">SUMIFS(الريسبي!$C$2:$C$1800,الريسبي!$A$2:$A$1800,$A116,الريسبي!$B$2:$B$1800,AI$1)</f>
        <v>0</v>
      </c>
      <c r="AJ116" s="115" t="n">
        <f aca="false">SUMIFS(الريسبي!$C$2:$C$1800,الريسبي!$A$2:$A$1800,$A116,الريسبي!$B$2:$B$1800,AJ$1)</f>
        <v>2</v>
      </c>
      <c r="AK116" s="115" t="n">
        <f aca="false">SUMIFS(الريسبي!$C$2:$C$1800,الريسبي!$A$2:$A$1800,$A116,الريسبي!$B$2:$B$1800,AK$1)</f>
        <v>0</v>
      </c>
      <c r="AL116" s="115" t="n">
        <f aca="false">SUMIFS(الريسبي!$C$2:$C$1800,الريسبي!$A$2:$A$1800,$A116,الريسبي!$B$2:$B$1800,AL$1)</f>
        <v>0.02</v>
      </c>
      <c r="AM116" s="115"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15"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15" t="n">
        <f aca="false">SUMIFS(الريسبي!$C$2:$C$1800,الريسبي!$A$2:$A$1800,$A116,الريسبي!$B$2:$B$1800,AO$1)</f>
        <v>0</v>
      </c>
      <c r="AP116" s="115" t="n">
        <f aca="false">SUMIFS(الريسبي!$C$2:$C$1800,الريسبي!$A$2:$A$1800,$A116,الريسبي!$B$2:$B$1800,AP$1)</f>
        <v>0</v>
      </c>
      <c r="AQ116" s="115"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15" t="n">
        <f aca="false">SUMIFS(الريسبي!$C$2:$C$1800,الريسبي!$A$2:$A$1800,$A116,الريسبي!$B$2:$B$1800,AR$1)</f>
        <v>0</v>
      </c>
      <c r="AS116" s="115" t="n">
        <f aca="false">SUMIFS(الريسبي!$C$2:$C$1800,الريسبي!$A$2:$A$1800,$A116,الريسبي!$B$2:$B$1800,AS$1)</f>
        <v>0</v>
      </c>
      <c r="AT116" s="115" t="n">
        <f aca="false">SUMIFS(الريسبي!$C$2:$C$1800,الريسبي!$A$2:$A$1800,$A116,الريسبي!$B$2:$B$1800,AT$1)</f>
        <v>0</v>
      </c>
      <c r="AU116" s="115" t="n">
        <f aca="false">SUMIFS(الريسبي!$C$2:$C$1800,الريسبي!$A$2:$A$1800,$A116,الريسبي!$B$2:$B$1800,AU$1)</f>
        <v>0</v>
      </c>
      <c r="AV116" s="115" t="n">
        <f aca="false">SUMIFS(الريسبي!$C$2:$C$1800,الريسبي!$A$2:$A$1800,$A116,الريسبي!$B$2:$B$1800,AV$1)</f>
        <v>0</v>
      </c>
      <c r="AW116" s="115" t="n">
        <f aca="false">SUMIFS(الريسبي!$C$2:$C$1800,الريسبي!$A$2:$A$1800,$A116,الريسبي!$B$2:$B$1800,AW$1)</f>
        <v>0</v>
      </c>
      <c r="AX116" s="115" t="n">
        <f aca="false">SUMIFS(الريسبي!$C$2:$C$1800,الريسبي!$A$2:$A$1800,$A116,الريسبي!$B$2:$B$1800,AX$1)</f>
        <v>0</v>
      </c>
      <c r="AY116" s="115" t="n">
        <f aca="false">SUMIFS(الريسبي!$C$2:$C$1800,الريسبي!$A$2:$A$1800,$A116,الريسبي!$B$2:$B$1800,AY$1)</f>
        <v>0.05</v>
      </c>
      <c r="AZ116" s="115" t="n">
        <f aca="false">SUMIFS(الريسبي!$C$2:$C$1800,الريسبي!$A$2:$A$1800,$A116,الريسبي!$B$2:$B$1800,AZ$1)</f>
        <v>0</v>
      </c>
      <c r="BA116" s="115" t="n">
        <f aca="false">SUMIFS(الريسبي!$C$2:$C$1800,الريسبي!$A$2:$A$1800,$A116,الريسبي!$B$2:$B$1800,BA$1)</f>
        <v>0.05</v>
      </c>
      <c r="BB116" s="115" t="n">
        <f aca="false">SUMIFS(الريسبي!$C$2:$C$1800,الريسبي!$A$2:$A$1800,$A116,الريسبي!$B$2:$B$1800,BB$1)</f>
        <v>0.05</v>
      </c>
      <c r="BC116" s="115" t="n">
        <f aca="false">SUMIFS(الريسبي!$C$2:$C$1800,الريسبي!$A$2:$A$1800,$A116,الريسبي!$B$2:$B$1800,BC$1)</f>
        <v>0.02</v>
      </c>
      <c r="BD116" s="115" t="n">
        <f aca="false">SUMIFS(الريسبي!$C$2:$C$1800,الريسبي!$A$2:$A$1800,$A116,الريسبي!$B$2:$B$1800,BD$1)</f>
        <v>0.22</v>
      </c>
      <c r="BE116" s="115" t="n">
        <f aca="false">SUMIFS(الريسبي!$C$2:$C$1800,الريسبي!$A$2:$A$1800,$A116,الريسبي!$B$2:$B$1800,BE$1)</f>
        <v>0</v>
      </c>
      <c r="BF116" s="115" t="n">
        <f aca="false">SUMIFS(الريسبي!$C$2:$C$1800,الريسبي!$A$2:$A$1800,$A116,الريسبي!$B$2:$B$1800,BF$1)</f>
        <v>0</v>
      </c>
      <c r="BG116" s="115" t="n">
        <f aca="false">SUMIFS(الريسبي!$C$2:$C$1800,الريسبي!$A$2:$A$1800,$A116,الريسبي!$B$2:$B$1800,BG$1)</f>
        <v>0</v>
      </c>
      <c r="BH116" s="115" t="n">
        <f aca="false">SUMIFS(الريسبي!$C$2:$C$1800,الريسبي!$A$2:$A$1800,$A116,الريسبي!$B$2:$B$1800,BH$1)</f>
        <v>0</v>
      </c>
      <c r="BI116" s="115" t="n">
        <f aca="false">SUMIFS(الريسبي!$C$2:$C$1800,الريسبي!$A$2:$A$1800,$A116,الريسبي!$B$2:$B$1800,BI$1)</f>
        <v>0</v>
      </c>
      <c r="BJ116" s="115" t="n">
        <f aca="false">SUMIFS(الريسبي!$C$2:$C$1800,الريسبي!$A$2:$A$1800,$A116,الريسبي!$B$2:$B$1800,BJ$1)</f>
        <v>0</v>
      </c>
      <c r="BK116" s="115" t="n">
        <f aca="false">SUMIFS(الريسبي!$C$2:$C$1800,الريسبي!$A$2:$A$1800,$A116,الريسبي!$B$2:$B$1800,BK$1)</f>
        <v>0</v>
      </c>
      <c r="BL116" s="115" t="n">
        <f aca="false">SUMIFS(الريسبي!$C$2:$C$1800,الريسبي!$A$2:$A$1800,$A116,الريسبي!$B$2:$B$1800,BL$1)</f>
        <v>0</v>
      </c>
      <c r="BM116" s="115" t="n">
        <f aca="false">SUMIFS(الريسبي!$C$2:$C$1800,الريسبي!$A$2:$A$1800,$A116,الريسبي!$B$2:$B$1800,BM$1)</f>
        <v>0.14</v>
      </c>
      <c r="BN116" s="115" t="n">
        <f aca="false">SUMIFS(الريسبي!$C$2:$C$1800,الريسبي!$A$2:$A$1800,$A116,الريسبي!$B$2:$B$1800,BN$1)</f>
        <v>0.02</v>
      </c>
      <c r="BO116" s="115" t="n">
        <f aca="false">SUMIFS(الريسبي!$C$2:$C$1800,الريسبي!$A$2:$A$1800,$A116,الريسبي!$B$2:$B$1800,BO$1)</f>
        <v>0</v>
      </c>
      <c r="BP116" s="115" t="n">
        <f aca="false">SUMIFS(الريسبي!$C$2:$C$1800,الريسبي!$A$2:$A$1800,$A116,الريسبي!$B$2:$B$1800,BP$1)</f>
        <v>2</v>
      </c>
      <c r="BQ116" s="115"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15" t="n">
        <f aca="false">SUMIFS(الريسبي!$C$2:$C$1800,الريسبي!$A$2:$A$1800,$A116,الريسبي!$B$2:$B$1800,BR$1)</f>
        <v>1</v>
      </c>
      <c r="BS116" s="115" t="n">
        <f aca="false">SUMIFS(الريسبي!$C$2:$C$1800,الريسبي!$A$2:$A$1800,$A116,الريسبي!$B$2:$B$1800,BS$1)</f>
        <v>0</v>
      </c>
      <c r="BT116" s="115" t="n">
        <f aca="false">SUMIFS(الريسبي!$C$2:$C$1800,الريسبي!$A$2:$A$1800,$A116,الريسبي!$B$2:$B$1800,BT$1)</f>
        <v>0</v>
      </c>
      <c r="BU116" s="115"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15" t="n">
        <f aca="false">SUMIFS(الريسبي!$C$2:$C$1800,الريسبي!$A$2:$A$1800,$A116,الريسبي!$B$2:$B$1800,BV$1)</f>
        <v>0</v>
      </c>
      <c r="BW116" s="115" t="n">
        <f aca="false">SUMIFS(الريسبي!$C$2:$C$1800,الريسبي!$A$2:$A$1800,$A116,الريسبي!$B$2:$B$1800,BW$1)</f>
        <v>0</v>
      </c>
      <c r="BX116" s="115" t="n">
        <f aca="false">SUMIFS(الريسبي!$C$2:$C$1800,الريسبي!$A$2:$A$1800,$A116,الريسبي!$B$2:$B$1800,BX$1)</f>
        <v>0</v>
      </c>
      <c r="BY116" s="115" t="n">
        <f aca="false">SUMIFS(الريسبي!$C$2:$C$1800,الريسبي!$A$2:$A$1800,$A116,الريسبي!$B$2:$B$1800,BY$1)</f>
        <v>0</v>
      </c>
      <c r="BZ116" s="115" t="n">
        <f aca="false">SUMIFS(الريسبي!$C$2:$C$1800,الريسبي!$A$2:$A$1800,$A116,الريسبي!$B$2:$B$1800,BZ$1)</f>
        <v>1</v>
      </c>
      <c r="CA116" s="115" t="n">
        <f aca="false">SUMIFS(الريسبي!$C$2:$C$1800,الريسبي!$A$2:$A$1800,$A116,الريسبي!$B$2:$B$1800,CA$1)</f>
        <v>1</v>
      </c>
      <c r="CB116" s="115" t="n">
        <f aca="false">SUMIFS(الريسبي!$C$2:$C$1800,الريسبي!$A$2:$A$1800,$A116,الريسبي!$B$2:$B$1800,CB$1)</f>
        <v>0</v>
      </c>
      <c r="CC116" s="115" t="n">
        <f aca="false">SUMIFS(الريسبي!$C$2:$C$1800,الريسبي!$A$2:$A$1800,$A116,الريسبي!$B$2:$B$1800,CC$1)</f>
        <v>0</v>
      </c>
      <c r="CD116" s="115" t="n">
        <f aca="false">SUMIFS(الريسبي!$C$2:$C$1800,الريسبي!$A$2:$A$1800,$A116,الريسبي!$B$2:$B$1800,CD$1)</f>
        <v>0</v>
      </c>
      <c r="CE116" s="115" t="n">
        <f aca="false">SUMIFS(الريسبي!$C$2:$C$1800,الريسبي!$A$2:$A$1800,$A116,الريسبي!$B$2:$B$1800,CE$1)</f>
        <v>0</v>
      </c>
      <c r="CF116" s="115" t="n">
        <f aca="false">SUMIFS(الريسبي!$C$2:$C$1800,الريسبي!$A$2:$A$1800,$A116,الريسبي!$B$2:$B$1800,CF$1)</f>
        <v>1</v>
      </c>
      <c r="CG116" s="115" t="n">
        <f aca="false">SUMIFS(الريسبي!$C$2:$C$1800,الريسبي!$A$2:$A$1800,$A116,الريسبي!$B$2:$B$1800,CG$1)</f>
        <v>1</v>
      </c>
      <c r="CH116" s="115" t="n">
        <f aca="false">SUMIFS(الريسبي!$C$2:$C$1800,الريسبي!$A$2:$A$1800,$A116,الريسبي!$B$2:$B$1800,CH$1)</f>
        <v>0</v>
      </c>
    </row>
    <row r="117" customFormat="false" ht="15" hidden="false" customHeight="false" outlineLevel="0" collapsed="false">
      <c r="A117" s="114" t="str">
        <f aca="false">المنيو!B117</f>
        <v>بهججة بيتزا برجر صيامي</v>
      </c>
      <c r="B117" s="115" t="n">
        <f aca="false">SUMIFS(الريسبي!$C$2:$C$1800,الريسبي!$A$2:$A$1800,$A117,الريسبي!$B$2:$B$1800,B$1)</f>
        <v>0</v>
      </c>
      <c r="C117" s="115" t="n">
        <f aca="false">SUMIFS(الريسبي!$C$2:$C$1800,الريسبي!$A$2:$A$1800,$A117,الريسبي!$B$2:$B$1800,C$1)</f>
        <v>0</v>
      </c>
      <c r="D117" s="115" t="n">
        <f aca="false">SUMIFS(الريسبي!$C$2:$C$1800,الريسبي!$A$2:$A$1800,$A117,الريسبي!$B$2:$B$1800,D$1)</f>
        <v>1</v>
      </c>
      <c r="E117" s="115" t="n">
        <f aca="false">SUMIFS(الريسبي!$C$2:$C$1800,الريسبي!$A$2:$A$1800,$A117,الريسبي!$B$2:$B$1800,E$1)</f>
        <v>0</v>
      </c>
      <c r="F117" s="115" t="n">
        <f aca="false">SUMIFS(الريسبي!$C$2:$C$1800,الريسبي!$A$2:$A$1800,$A117,الريسبي!$B$2:$B$1800,F$1)</f>
        <v>0</v>
      </c>
      <c r="G117" s="115" t="n">
        <f aca="false">SUMIFS(الريسبي!$C$2:$C$1800,الريسبي!$A$2:$A$1800,$A117,الريسبي!$B$2:$B$1800,G$1)</f>
        <v>0</v>
      </c>
      <c r="H117" s="115" t="n">
        <f aca="false">SUMIFS(الريسبي!$C$2:$C$1800,الريسبي!$A$2:$A$1800,$A117,الريسبي!$B$2:$B$1800,H$1)</f>
        <v>0</v>
      </c>
      <c r="I117" s="115" t="n">
        <f aca="false">SUMIFS(الريسبي!$C$2:$C$1800,الريسبي!$A$2:$A$1800,$A117,الريسبي!$B$2:$B$1800,I$1)</f>
        <v>0</v>
      </c>
      <c r="J117" s="115" t="n">
        <f aca="false">SUMIFS(الريسبي!$C$2:$C$1800,الريسبي!$A$2:$A$1800,$A117,الريسبي!$B$2:$B$1800,J$1)</f>
        <v>0</v>
      </c>
      <c r="K117" s="115" t="n">
        <f aca="false">SUMIFS(الريسبي!$C$2:$C$1800,الريسبي!$A$2:$A$1800,$A117,الريسبي!$B$2:$B$1800,K$1)</f>
        <v>0</v>
      </c>
      <c r="L117" s="115" t="n">
        <f aca="false">SUMIFS(الريسبي!$C$2:$C$1800,الريسبي!$A$2:$A$1800,$A117,الريسبي!$B$2:$B$1800,L$1)</f>
        <v>0</v>
      </c>
      <c r="M117" s="115" t="n">
        <f aca="false">SUMIFS(الريسبي!$C$2:$C$1800,الريسبي!$A$2:$A$1800,$A117,الريسبي!$B$2:$B$1800,M$1)</f>
        <v>0</v>
      </c>
      <c r="N117" s="115" t="n">
        <f aca="false">SUMIFS(الريسبي!$C$2:$C$1800,الريسبي!$A$2:$A$1800,$A117,الريسبي!$B$2:$B$1800,N$1)</f>
        <v>0</v>
      </c>
      <c r="O117" s="115" t="n">
        <f aca="false">SUMIFS(الريسبي!$C$2:$C$1800,الريسبي!$A$2:$A$1800,$A117,الريسبي!$B$2:$B$1800,O$1)</f>
        <v>0</v>
      </c>
      <c r="P117" s="115" t="n">
        <f aca="false">SUMIFS(الريسبي!$C$2:$C$1800,الريسبي!$A$2:$A$1800,$A117,الريسبي!$B$2:$B$1800,P$1)</f>
        <v>0</v>
      </c>
      <c r="Q117" s="115" t="n">
        <f aca="false">SUMIFS(الريسبي!$C$2:$C$1800,الريسبي!$A$2:$A$1800,$A117,الريسبي!$B$2:$B$1800,Q$1)</f>
        <v>0</v>
      </c>
      <c r="R117" s="115" t="n">
        <f aca="false">SUMIFS(الريسبي!$C$2:$C$1800,الريسبي!$A$2:$A$1800,$A117,الريسبي!$B$2:$B$1800,R$1)</f>
        <v>0</v>
      </c>
      <c r="S117" s="115" t="n">
        <f aca="false">SUMIFS(الريسبي!$C$2:$C$1800,الريسبي!$A$2:$A$1800,$A117,الريسبي!$B$2:$B$1800,S$1)</f>
        <v>0</v>
      </c>
      <c r="T117" s="115" t="n">
        <f aca="false">SUMIFS(الريسبي!$C$2:$C$1800,الريسبي!$A$2:$A$1800,$A117,الريسبي!$B$2:$B$1800,T$1)</f>
        <v>0</v>
      </c>
      <c r="U117" s="115" t="n">
        <f aca="false">SUMIFS(الريسبي!$C$2:$C$1800,الريسبي!$A$2:$A$1800,$A117,الريسبي!$B$2:$B$1800,U$1)</f>
        <v>0</v>
      </c>
      <c r="V117" s="115" t="n">
        <f aca="false">SUMIFS(الريسبي!$C$2:$C$1800,الريسبي!$A$2:$A$1800,$A117,الريسبي!$B$2:$B$1800,V$1)</f>
        <v>0</v>
      </c>
      <c r="W117" s="115" t="n">
        <f aca="false">SUMIFS(الريسبي!$C$2:$C$1800,الريسبي!$A$2:$A$1800,$A117,الريسبي!$B$2:$B$1800,W$1)</f>
        <v>0</v>
      </c>
      <c r="X117" s="115" t="n">
        <f aca="false">SUMIFS(الريسبي!$C$2:$C$1800,الريسبي!$A$2:$A$1800,$A117,الريسبي!$B$2:$B$1800,X$1)</f>
        <v>1</v>
      </c>
      <c r="Y117" s="115" t="n">
        <f aca="false">SUMIFS(الريسبي!$C$2:$C$1800,الريسبي!$A$2:$A$1800,$A117,الريسبي!$B$2:$B$1800,Y$1)</f>
        <v>0</v>
      </c>
      <c r="Z117" s="115" t="n">
        <f aca="false">SUMIFS(الريسبي!$C$2:$C$1800,الريسبي!$A$2:$A$1800,$A117,الريسبي!$B$2:$B$1800,Z$1)</f>
        <v>0</v>
      </c>
      <c r="AA117" s="115" t="n">
        <f aca="false">SUMIFS(الريسبي!$C$2:$C$1800,الريسبي!$A$2:$A$1800,$A117,الريسبي!$B$2:$B$1800,AA$1)</f>
        <v>0</v>
      </c>
      <c r="AB117" s="115" t="n">
        <f aca="false">SUMIFS(الريسبي!$C$2:$C$1800,الريسبي!$A$2:$A$1800,$A117,الريسبي!$B$2:$B$1800,AB$1)</f>
        <v>0</v>
      </c>
      <c r="AC117" s="115" t="n">
        <f aca="false">SUMIFS(الريسبي!$C$2:$C$1800,الريسبي!$A$2:$A$1800,$A117,الريسبي!$B$2:$B$1800,AC$1)</f>
        <v>0</v>
      </c>
      <c r="AD117" s="115" t="n">
        <f aca="false">SUMIFS(الريسبي!$C$2:$C$1800,الريسبي!$A$2:$A$1800,$A117,الريسبي!$B$2:$B$1800,AD$1)</f>
        <v>0</v>
      </c>
      <c r="AE117" s="115" t="n">
        <f aca="false">SUMIFS(الريسبي!$C$2:$C$1800,الريسبي!$A$2:$A$1800,$A117,الريسبي!$B$2:$B$1800,AE$1)</f>
        <v>0.02</v>
      </c>
      <c r="AF117" s="115" t="n">
        <f aca="false">SUMIFS(الريسبي!$C$2:$C$1800,الريسبي!$A$2:$A$1800,$A117,الريسبي!$B$2:$B$1800,AF$1)</f>
        <v>0</v>
      </c>
      <c r="AG117" s="115" t="n">
        <f aca="false">SUMIFS(الريسبي!$C$2:$C$1800,الريسبي!$A$2:$A$1800,$A117,الريسبي!$B$2:$B$1800,AG$1)</f>
        <v>0</v>
      </c>
      <c r="AH117" s="115" t="n">
        <f aca="false">SUMIFS(الريسبي!$C$2:$C$1800,الريسبي!$A$2:$A$1800,$A117,الريسبي!$B$2:$B$1800,AH$1)</f>
        <v>0</v>
      </c>
      <c r="AI117" s="115" t="n">
        <f aca="false">SUMIFS(الريسبي!$C$2:$C$1800,الريسبي!$A$2:$A$1800,$A117,الريسبي!$B$2:$B$1800,AI$1)</f>
        <v>0</v>
      </c>
      <c r="AJ117" s="115" t="n">
        <f aca="false">SUMIFS(الريسبي!$C$2:$C$1800,الريسبي!$A$2:$A$1800,$A117,الريسبي!$B$2:$B$1800,AJ$1)</f>
        <v>2</v>
      </c>
      <c r="AK117" s="115" t="n">
        <f aca="false">SUMIFS(الريسبي!$C$2:$C$1800,الريسبي!$A$2:$A$1800,$A117,الريسبي!$B$2:$B$1800,AK$1)</f>
        <v>0</v>
      </c>
      <c r="AL117" s="115" t="n">
        <f aca="false">SUMIFS(الريسبي!$C$2:$C$1800,الريسبي!$A$2:$A$1800,$A117,الريسبي!$B$2:$B$1800,AL$1)</f>
        <v>0.02</v>
      </c>
      <c r="AM117" s="115"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15"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15" t="n">
        <f aca="false">SUMIFS(الريسبي!$C$2:$C$1800,الريسبي!$A$2:$A$1800,$A117,الريسبي!$B$2:$B$1800,AO$1)</f>
        <v>0</v>
      </c>
      <c r="AP117" s="115" t="n">
        <f aca="false">SUMIFS(الريسبي!$C$2:$C$1800,الريسبي!$A$2:$A$1800,$A117,الريسبي!$B$2:$B$1800,AP$1)</f>
        <v>0</v>
      </c>
      <c r="AQ117" s="115"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15" t="n">
        <f aca="false">SUMIFS(الريسبي!$C$2:$C$1800,الريسبي!$A$2:$A$1800,$A117,الريسبي!$B$2:$B$1800,AR$1)</f>
        <v>0</v>
      </c>
      <c r="AS117" s="115" t="n">
        <f aca="false">SUMIFS(الريسبي!$C$2:$C$1800,الريسبي!$A$2:$A$1800,$A117,الريسبي!$B$2:$B$1800,AS$1)</f>
        <v>0</v>
      </c>
      <c r="AT117" s="115" t="n">
        <f aca="false">SUMIFS(الريسبي!$C$2:$C$1800,الريسبي!$A$2:$A$1800,$A117,الريسبي!$B$2:$B$1800,AT$1)</f>
        <v>0</v>
      </c>
      <c r="AU117" s="115" t="n">
        <f aca="false">SUMIFS(الريسبي!$C$2:$C$1800,الريسبي!$A$2:$A$1800,$A117,الريسبي!$B$2:$B$1800,AU$1)</f>
        <v>0</v>
      </c>
      <c r="AV117" s="115" t="n">
        <f aca="false">SUMIFS(الريسبي!$C$2:$C$1800,الريسبي!$A$2:$A$1800,$A117,الريسبي!$B$2:$B$1800,AV$1)</f>
        <v>0</v>
      </c>
      <c r="AW117" s="115" t="n">
        <f aca="false">SUMIFS(الريسبي!$C$2:$C$1800,الريسبي!$A$2:$A$1800,$A117,الريسبي!$B$2:$B$1800,AW$1)</f>
        <v>0</v>
      </c>
      <c r="AX117" s="115" t="n">
        <f aca="false">SUMIFS(الريسبي!$C$2:$C$1800,الريسبي!$A$2:$A$1800,$A117,الريسبي!$B$2:$B$1800,AX$1)</f>
        <v>0</v>
      </c>
      <c r="AY117" s="115" t="n">
        <f aca="false">SUMIFS(الريسبي!$C$2:$C$1800,الريسبي!$A$2:$A$1800,$A117,الريسبي!$B$2:$B$1800,AY$1)</f>
        <v>0.05</v>
      </c>
      <c r="AZ117" s="115" t="n">
        <f aca="false">SUMIFS(الريسبي!$C$2:$C$1800,الريسبي!$A$2:$A$1800,$A117,الريسبي!$B$2:$B$1800,AZ$1)</f>
        <v>0.05</v>
      </c>
      <c r="BA117" s="115" t="n">
        <f aca="false">SUMIFS(الريسبي!$C$2:$C$1800,الريسبي!$A$2:$A$1800,$A117,الريسبي!$B$2:$B$1800,BA$1)</f>
        <v>0</v>
      </c>
      <c r="BB117" s="115" t="n">
        <f aca="false">SUMIFS(الريسبي!$C$2:$C$1800,الريسبي!$A$2:$A$1800,$A117,الريسبي!$B$2:$B$1800,BB$1)</f>
        <v>0.05</v>
      </c>
      <c r="BC117" s="115" t="n">
        <f aca="false">SUMIFS(الريسبي!$C$2:$C$1800,الريسبي!$A$2:$A$1800,$A117,الريسبي!$B$2:$B$1800,BC$1)</f>
        <v>0.02</v>
      </c>
      <c r="BD117" s="115" t="n">
        <f aca="false">SUMIFS(الريسبي!$C$2:$C$1800,الريسبي!$A$2:$A$1800,$A117,الريسبي!$B$2:$B$1800,BD$1)</f>
        <v>0.22</v>
      </c>
      <c r="BE117" s="115" t="n">
        <f aca="false">SUMIFS(الريسبي!$C$2:$C$1800,الريسبي!$A$2:$A$1800,$A117,الريسبي!$B$2:$B$1800,BE$1)</f>
        <v>0</v>
      </c>
      <c r="BF117" s="115" t="n">
        <f aca="false">SUMIFS(الريسبي!$C$2:$C$1800,الريسبي!$A$2:$A$1800,$A117,الريسبي!$B$2:$B$1800,BF$1)</f>
        <v>0</v>
      </c>
      <c r="BG117" s="115" t="n">
        <f aca="false">SUMIFS(الريسبي!$C$2:$C$1800,الريسبي!$A$2:$A$1800,$A117,الريسبي!$B$2:$B$1800,BG$1)</f>
        <v>0</v>
      </c>
      <c r="BH117" s="115" t="n">
        <f aca="false">SUMIFS(الريسبي!$C$2:$C$1800,الريسبي!$A$2:$A$1800,$A117,الريسبي!$B$2:$B$1800,BH$1)</f>
        <v>0</v>
      </c>
      <c r="BI117" s="115" t="n">
        <f aca="false">SUMIFS(الريسبي!$C$2:$C$1800,الريسبي!$A$2:$A$1800,$A117,الريسبي!$B$2:$B$1800,BI$1)</f>
        <v>0</v>
      </c>
      <c r="BJ117" s="115" t="n">
        <f aca="false">SUMIFS(الريسبي!$C$2:$C$1800,الريسبي!$A$2:$A$1800,$A117,الريسبي!$B$2:$B$1800,BJ$1)</f>
        <v>0</v>
      </c>
      <c r="BK117" s="115" t="n">
        <f aca="false">SUMIFS(الريسبي!$C$2:$C$1800,الريسبي!$A$2:$A$1800,$A117,الريسبي!$B$2:$B$1800,BK$1)</f>
        <v>0</v>
      </c>
      <c r="BL117" s="115" t="n">
        <f aca="false">SUMIFS(الريسبي!$C$2:$C$1800,الريسبي!$A$2:$A$1800,$A117,الريسبي!$B$2:$B$1800,BL$1)</f>
        <v>0</v>
      </c>
      <c r="BM117" s="115" t="n">
        <f aca="false">SUMIFS(الريسبي!$C$2:$C$1800,الريسبي!$A$2:$A$1800,$A117,الريسبي!$B$2:$B$1800,BM$1)</f>
        <v>0</v>
      </c>
      <c r="BN117" s="115" t="n">
        <f aca="false">SUMIFS(الريسبي!$C$2:$C$1800,الريسبي!$A$2:$A$1800,$A117,الريسبي!$B$2:$B$1800,BN$1)</f>
        <v>0.02</v>
      </c>
      <c r="BO117" s="115" t="n">
        <f aca="false">SUMIFS(الريسبي!$C$2:$C$1800,الريسبي!$A$2:$A$1800,$A117,الريسبي!$B$2:$B$1800,BO$1)</f>
        <v>0</v>
      </c>
      <c r="BP117" s="115" t="n">
        <f aca="false">SUMIFS(الريسبي!$C$2:$C$1800,الريسبي!$A$2:$A$1800,$A117,الريسبي!$B$2:$B$1800,BP$1)</f>
        <v>2</v>
      </c>
      <c r="BQ117" s="115"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15" t="n">
        <f aca="false">SUMIFS(الريسبي!$C$2:$C$1800,الريسبي!$A$2:$A$1800,$A117,الريسبي!$B$2:$B$1800,BR$1)</f>
        <v>1</v>
      </c>
      <c r="BS117" s="115" t="n">
        <f aca="false">SUMIFS(الريسبي!$C$2:$C$1800,الريسبي!$A$2:$A$1800,$A117,الريسبي!$B$2:$B$1800,BS$1)</f>
        <v>0</v>
      </c>
      <c r="BT117" s="115" t="n">
        <f aca="false">SUMIFS(الريسبي!$C$2:$C$1800,الريسبي!$A$2:$A$1800,$A117,الريسبي!$B$2:$B$1800,BT$1)</f>
        <v>0</v>
      </c>
      <c r="BU117" s="115"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15" t="n">
        <f aca="false">SUMIFS(الريسبي!$C$2:$C$1800,الريسبي!$A$2:$A$1800,$A117,الريسبي!$B$2:$B$1800,BV$1)</f>
        <v>0</v>
      </c>
      <c r="BW117" s="115" t="n">
        <f aca="false">SUMIFS(الريسبي!$C$2:$C$1800,الريسبي!$A$2:$A$1800,$A117,الريسبي!$B$2:$B$1800,BW$1)</f>
        <v>0</v>
      </c>
      <c r="BX117" s="115" t="n">
        <f aca="false">SUMIFS(الريسبي!$C$2:$C$1800,الريسبي!$A$2:$A$1800,$A117,الريسبي!$B$2:$B$1800,BX$1)</f>
        <v>0</v>
      </c>
      <c r="BY117" s="115" t="n">
        <f aca="false">SUMIFS(الريسبي!$C$2:$C$1800,الريسبي!$A$2:$A$1800,$A117,الريسبي!$B$2:$B$1800,BY$1)</f>
        <v>0</v>
      </c>
      <c r="BZ117" s="115" t="n">
        <f aca="false">SUMIFS(الريسبي!$C$2:$C$1800,الريسبي!$A$2:$A$1800,$A117,الريسبي!$B$2:$B$1800,BZ$1)</f>
        <v>1</v>
      </c>
      <c r="CA117" s="115" t="n">
        <f aca="false">SUMIFS(الريسبي!$C$2:$C$1800,الريسبي!$A$2:$A$1800,$A117,الريسبي!$B$2:$B$1800,CA$1)</f>
        <v>1</v>
      </c>
      <c r="CB117" s="115" t="n">
        <f aca="false">SUMIFS(الريسبي!$C$2:$C$1800,الريسبي!$A$2:$A$1800,$A117,الريسبي!$B$2:$B$1800,CB$1)</f>
        <v>0</v>
      </c>
      <c r="CC117" s="115" t="n">
        <f aca="false">SUMIFS(الريسبي!$C$2:$C$1800,الريسبي!$A$2:$A$1800,$A117,الريسبي!$B$2:$B$1800,CC$1)</f>
        <v>0</v>
      </c>
      <c r="CD117" s="115" t="n">
        <f aca="false">SUMIFS(الريسبي!$C$2:$C$1800,الريسبي!$A$2:$A$1800,$A117,الريسبي!$B$2:$B$1800,CD$1)</f>
        <v>0</v>
      </c>
      <c r="CE117" s="115" t="n">
        <f aca="false">SUMIFS(الريسبي!$C$2:$C$1800,الريسبي!$A$2:$A$1800,$A117,الريسبي!$B$2:$B$1800,CE$1)</f>
        <v>3</v>
      </c>
      <c r="CF117" s="115" t="n">
        <f aca="false">SUMIFS(الريسبي!$C$2:$C$1800,الريسبي!$A$2:$A$1800,$A117,الريسبي!$B$2:$B$1800,CF$1)</f>
        <v>1</v>
      </c>
      <c r="CG117" s="115" t="n">
        <f aca="false">SUMIFS(الريسبي!$C$2:$C$1800,الريسبي!$A$2:$A$1800,$A117,الريسبي!$B$2:$B$1800,CG$1)</f>
        <v>1</v>
      </c>
      <c r="CH117" s="115" t="n">
        <f aca="false">SUMIFS(الريسبي!$C$2:$C$1800,الريسبي!$A$2:$A$1800,$A117,الريسبي!$B$2:$B$1800,CH$1)</f>
        <v>0</v>
      </c>
    </row>
    <row r="118" customFormat="false" ht="15" hidden="false" customHeight="false" outlineLevel="0" collapsed="false">
      <c r="A118" s="114" t="str">
        <f aca="false">المنيو!B118</f>
        <v>بهججة كريسبي صيامي</v>
      </c>
      <c r="B118" s="115" t="n">
        <f aca="false">SUMIFS(الريسبي!$C$2:$C$1800,الريسبي!$A$2:$A$1800,$A118,الريسبي!$B$2:$B$1800,B$1)</f>
        <v>0</v>
      </c>
      <c r="C118" s="115" t="n">
        <f aca="false">SUMIFS(الريسبي!$C$2:$C$1800,الريسبي!$A$2:$A$1800,$A118,الريسبي!$B$2:$B$1800,C$1)</f>
        <v>0</v>
      </c>
      <c r="D118" s="115" t="n">
        <f aca="false">SUMIFS(الريسبي!$C$2:$C$1800,الريسبي!$A$2:$A$1800,$A118,الريسبي!$B$2:$B$1800,D$1)</f>
        <v>1</v>
      </c>
      <c r="E118" s="115" t="n">
        <f aca="false">SUMIFS(الريسبي!$C$2:$C$1800,الريسبي!$A$2:$A$1800,$A118,الريسبي!$B$2:$B$1800,E$1)</f>
        <v>0</v>
      </c>
      <c r="F118" s="115" t="n">
        <f aca="false">SUMIFS(الريسبي!$C$2:$C$1800,الريسبي!$A$2:$A$1800,$A118,الريسبي!$B$2:$B$1800,F$1)</f>
        <v>0</v>
      </c>
      <c r="G118" s="115" t="n">
        <f aca="false">SUMIFS(الريسبي!$C$2:$C$1800,الريسبي!$A$2:$A$1800,$A118,الريسبي!$B$2:$B$1800,G$1)</f>
        <v>0</v>
      </c>
      <c r="H118" s="115" t="n">
        <f aca="false">SUMIFS(الريسبي!$C$2:$C$1800,الريسبي!$A$2:$A$1800,$A118,الريسبي!$B$2:$B$1800,H$1)</f>
        <v>0</v>
      </c>
      <c r="I118" s="115" t="n">
        <f aca="false">SUMIFS(الريسبي!$C$2:$C$1800,الريسبي!$A$2:$A$1800,$A118,الريسبي!$B$2:$B$1800,I$1)</f>
        <v>0</v>
      </c>
      <c r="J118" s="115" t="n">
        <f aca="false">SUMIFS(الريسبي!$C$2:$C$1800,الريسبي!$A$2:$A$1800,$A118,الريسبي!$B$2:$B$1800,J$1)</f>
        <v>0</v>
      </c>
      <c r="K118" s="115" t="n">
        <f aca="false">SUMIFS(الريسبي!$C$2:$C$1800,الريسبي!$A$2:$A$1800,$A118,الريسبي!$B$2:$B$1800,K$1)</f>
        <v>0</v>
      </c>
      <c r="L118" s="115" t="n">
        <f aca="false">SUMIFS(الريسبي!$C$2:$C$1800,الريسبي!$A$2:$A$1800,$A118,الريسبي!$B$2:$B$1800,L$1)</f>
        <v>0</v>
      </c>
      <c r="M118" s="115" t="n">
        <f aca="false">SUMIFS(الريسبي!$C$2:$C$1800,الريسبي!$A$2:$A$1800,$A118,الريسبي!$B$2:$B$1800,M$1)</f>
        <v>0</v>
      </c>
      <c r="N118" s="115" t="n">
        <f aca="false">SUMIFS(الريسبي!$C$2:$C$1800,الريسبي!$A$2:$A$1800,$A118,الريسبي!$B$2:$B$1800,N$1)</f>
        <v>0</v>
      </c>
      <c r="O118" s="115" t="n">
        <f aca="false">SUMIFS(الريسبي!$C$2:$C$1800,الريسبي!$A$2:$A$1800,$A118,الريسبي!$B$2:$B$1800,O$1)</f>
        <v>0</v>
      </c>
      <c r="P118" s="115" t="n">
        <f aca="false">SUMIFS(الريسبي!$C$2:$C$1800,الريسبي!$A$2:$A$1800,$A118,الريسبي!$B$2:$B$1800,P$1)</f>
        <v>0</v>
      </c>
      <c r="Q118" s="115" t="n">
        <f aca="false">SUMIFS(الريسبي!$C$2:$C$1800,الريسبي!$A$2:$A$1800,$A118,الريسبي!$B$2:$B$1800,Q$1)</f>
        <v>0</v>
      </c>
      <c r="R118" s="115" t="n">
        <f aca="false">SUMIFS(الريسبي!$C$2:$C$1800,الريسبي!$A$2:$A$1800,$A118,الريسبي!$B$2:$B$1800,R$1)</f>
        <v>0</v>
      </c>
      <c r="S118" s="115" t="n">
        <f aca="false">SUMIFS(الريسبي!$C$2:$C$1800,الريسبي!$A$2:$A$1800,$A118,الريسبي!$B$2:$B$1800,S$1)</f>
        <v>0</v>
      </c>
      <c r="T118" s="115" t="n">
        <f aca="false">SUMIFS(الريسبي!$C$2:$C$1800,الريسبي!$A$2:$A$1800,$A118,الريسبي!$B$2:$B$1800,T$1)</f>
        <v>0</v>
      </c>
      <c r="U118" s="115" t="n">
        <f aca="false">SUMIFS(الريسبي!$C$2:$C$1800,الريسبي!$A$2:$A$1800,$A118,الريسبي!$B$2:$B$1800,U$1)</f>
        <v>0</v>
      </c>
      <c r="V118" s="115" t="n">
        <f aca="false">SUMIFS(الريسبي!$C$2:$C$1800,الريسبي!$A$2:$A$1800,$A118,الريسبي!$B$2:$B$1800,V$1)</f>
        <v>0</v>
      </c>
      <c r="W118" s="115" t="n">
        <f aca="false">SUMIFS(الريسبي!$C$2:$C$1800,الريسبي!$A$2:$A$1800,$A118,الريسبي!$B$2:$B$1800,W$1)</f>
        <v>0</v>
      </c>
      <c r="X118" s="115" t="n">
        <f aca="false">SUMIFS(الريسبي!$C$2:$C$1800,الريسبي!$A$2:$A$1800,$A118,الريسبي!$B$2:$B$1800,X$1)</f>
        <v>1</v>
      </c>
      <c r="Y118" s="115" t="n">
        <f aca="false">SUMIFS(الريسبي!$C$2:$C$1800,الريسبي!$A$2:$A$1800,$A118,الريسبي!$B$2:$B$1800,Y$1)</f>
        <v>0</v>
      </c>
      <c r="Z118" s="115" t="n">
        <f aca="false">SUMIFS(الريسبي!$C$2:$C$1800,الريسبي!$A$2:$A$1800,$A118,الريسبي!$B$2:$B$1800,Z$1)</f>
        <v>0</v>
      </c>
      <c r="AA118" s="115" t="n">
        <f aca="false">SUMIFS(الريسبي!$C$2:$C$1800,الريسبي!$A$2:$A$1800,$A118,الريسبي!$B$2:$B$1800,AA$1)</f>
        <v>0</v>
      </c>
      <c r="AB118" s="115" t="n">
        <f aca="false">SUMIFS(الريسبي!$C$2:$C$1800,الريسبي!$A$2:$A$1800,$A118,الريسبي!$B$2:$B$1800,AB$1)</f>
        <v>0</v>
      </c>
      <c r="AC118" s="115" t="n">
        <f aca="false">SUMIFS(الريسبي!$C$2:$C$1800,الريسبي!$A$2:$A$1800,$A118,الريسبي!$B$2:$B$1800,AC$1)</f>
        <v>0</v>
      </c>
      <c r="AD118" s="115" t="n">
        <f aca="false">SUMIFS(الريسبي!$C$2:$C$1800,الريسبي!$A$2:$A$1800,$A118,الريسبي!$B$2:$B$1800,AD$1)</f>
        <v>0</v>
      </c>
      <c r="AE118" s="115" t="n">
        <f aca="false">SUMIFS(الريسبي!$C$2:$C$1800,الريسبي!$A$2:$A$1800,$A118,الريسبي!$B$2:$B$1800,AE$1)</f>
        <v>0.02</v>
      </c>
      <c r="AF118" s="115" t="n">
        <f aca="false">SUMIFS(الريسبي!$C$2:$C$1800,الريسبي!$A$2:$A$1800,$A118,الريسبي!$B$2:$B$1800,AF$1)</f>
        <v>0</v>
      </c>
      <c r="AG118" s="115" t="n">
        <f aca="false">SUMIFS(الريسبي!$C$2:$C$1800,الريسبي!$A$2:$A$1800,$A118,الريسبي!$B$2:$B$1800,AG$1)</f>
        <v>0</v>
      </c>
      <c r="AH118" s="115" t="n">
        <f aca="false">SUMIFS(الريسبي!$C$2:$C$1800,الريسبي!$A$2:$A$1800,$A118,الريسبي!$B$2:$B$1800,AH$1)</f>
        <v>0</v>
      </c>
      <c r="AI118" s="115" t="n">
        <f aca="false">SUMIFS(الريسبي!$C$2:$C$1800,الريسبي!$A$2:$A$1800,$A118,الريسبي!$B$2:$B$1800,AI$1)</f>
        <v>0</v>
      </c>
      <c r="AJ118" s="115" t="n">
        <f aca="false">SUMIFS(الريسبي!$C$2:$C$1800,الريسبي!$A$2:$A$1800,$A118,الريسبي!$B$2:$B$1800,AJ$1)</f>
        <v>2</v>
      </c>
      <c r="AK118" s="115" t="n">
        <f aca="false">SUMIFS(الريسبي!$C$2:$C$1800,الريسبي!$A$2:$A$1800,$A118,الريسبي!$B$2:$B$1800,AK$1)</f>
        <v>0</v>
      </c>
      <c r="AL118" s="115" t="n">
        <f aca="false">SUMIFS(الريسبي!$C$2:$C$1800,الريسبي!$A$2:$A$1800,$A118,الريسبي!$B$2:$B$1800,AL$1)</f>
        <v>0.02</v>
      </c>
      <c r="AM118" s="115"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15"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15" t="n">
        <f aca="false">SUMIFS(الريسبي!$C$2:$C$1800,الريسبي!$A$2:$A$1800,$A118,الريسبي!$B$2:$B$1800,AO$1)</f>
        <v>0</v>
      </c>
      <c r="AP118" s="115" t="n">
        <f aca="false">SUMIFS(الريسبي!$C$2:$C$1800,الريسبي!$A$2:$A$1800,$A118,الريسبي!$B$2:$B$1800,AP$1)</f>
        <v>0</v>
      </c>
      <c r="AQ118" s="115"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15" t="n">
        <f aca="false">SUMIFS(الريسبي!$C$2:$C$1800,الريسبي!$A$2:$A$1800,$A118,الريسبي!$B$2:$B$1800,AR$1)</f>
        <v>0</v>
      </c>
      <c r="AS118" s="115" t="n">
        <f aca="false">SUMIFS(الريسبي!$C$2:$C$1800,الريسبي!$A$2:$A$1800,$A118,الريسبي!$B$2:$B$1800,AS$1)</f>
        <v>0</v>
      </c>
      <c r="AT118" s="115" t="n">
        <f aca="false">SUMIFS(الريسبي!$C$2:$C$1800,الريسبي!$A$2:$A$1800,$A118,الريسبي!$B$2:$B$1800,AT$1)</f>
        <v>0</v>
      </c>
      <c r="AU118" s="115" t="n">
        <f aca="false">SUMIFS(الريسبي!$C$2:$C$1800,الريسبي!$A$2:$A$1800,$A118,الريسبي!$B$2:$B$1800,AU$1)</f>
        <v>0</v>
      </c>
      <c r="AV118" s="115" t="n">
        <f aca="false">SUMIFS(الريسبي!$C$2:$C$1800,الريسبي!$A$2:$A$1800,$A118,الريسبي!$B$2:$B$1800,AV$1)</f>
        <v>0</v>
      </c>
      <c r="AW118" s="115" t="n">
        <f aca="false">SUMIFS(الريسبي!$C$2:$C$1800,الريسبي!$A$2:$A$1800,$A118,الريسبي!$B$2:$B$1800,AW$1)</f>
        <v>0</v>
      </c>
      <c r="AX118" s="115" t="n">
        <f aca="false">SUMIFS(الريسبي!$C$2:$C$1800,الريسبي!$A$2:$A$1800,$A118,الريسبي!$B$2:$B$1800,AX$1)</f>
        <v>0</v>
      </c>
      <c r="AY118" s="115" t="n">
        <f aca="false">SUMIFS(الريسبي!$C$2:$C$1800,الريسبي!$A$2:$A$1800,$A118,الريسبي!$B$2:$B$1800,AY$1)</f>
        <v>0.05</v>
      </c>
      <c r="AZ118" s="115" t="n">
        <f aca="false">SUMIFS(الريسبي!$C$2:$C$1800,الريسبي!$A$2:$A$1800,$A118,الريسبي!$B$2:$B$1800,AZ$1)</f>
        <v>0</v>
      </c>
      <c r="BA118" s="115" t="n">
        <f aca="false">SUMIFS(الريسبي!$C$2:$C$1800,الريسبي!$A$2:$A$1800,$A118,الريسبي!$B$2:$B$1800,BA$1)</f>
        <v>0.05</v>
      </c>
      <c r="BB118" s="115" t="n">
        <f aca="false">SUMIFS(الريسبي!$C$2:$C$1800,الريسبي!$A$2:$A$1800,$A118,الريسبي!$B$2:$B$1800,BB$1)</f>
        <v>0.05</v>
      </c>
      <c r="BC118" s="115" t="n">
        <f aca="false">SUMIFS(الريسبي!$C$2:$C$1800,الريسبي!$A$2:$A$1800,$A118,الريسبي!$B$2:$B$1800,BC$1)</f>
        <v>0.02</v>
      </c>
      <c r="BD118" s="115" t="n">
        <f aca="false">SUMIFS(الريسبي!$C$2:$C$1800,الريسبي!$A$2:$A$1800,$A118,الريسبي!$B$2:$B$1800,BD$1)</f>
        <v>0.22</v>
      </c>
      <c r="BE118" s="115" t="n">
        <f aca="false">SUMIFS(الريسبي!$C$2:$C$1800,الريسبي!$A$2:$A$1800,$A118,الريسبي!$B$2:$B$1800,BE$1)</f>
        <v>0</v>
      </c>
      <c r="BF118" s="115" t="n">
        <f aca="false">SUMIFS(الريسبي!$C$2:$C$1800,الريسبي!$A$2:$A$1800,$A118,الريسبي!$B$2:$B$1800,BF$1)</f>
        <v>0</v>
      </c>
      <c r="BG118" s="115" t="n">
        <f aca="false">SUMIFS(الريسبي!$C$2:$C$1800,الريسبي!$A$2:$A$1800,$A118,الريسبي!$B$2:$B$1800,BG$1)</f>
        <v>0</v>
      </c>
      <c r="BH118" s="115" t="n">
        <f aca="false">SUMIFS(الريسبي!$C$2:$C$1800,الريسبي!$A$2:$A$1800,$A118,الريسبي!$B$2:$B$1800,BH$1)</f>
        <v>0</v>
      </c>
      <c r="BI118" s="115" t="n">
        <f aca="false">SUMIFS(الريسبي!$C$2:$C$1800,الريسبي!$A$2:$A$1800,$A118,الريسبي!$B$2:$B$1800,BI$1)</f>
        <v>0</v>
      </c>
      <c r="BJ118" s="115" t="n">
        <f aca="false">SUMIFS(الريسبي!$C$2:$C$1800,الريسبي!$A$2:$A$1800,$A118,الريسبي!$B$2:$B$1800,BJ$1)</f>
        <v>0</v>
      </c>
      <c r="BK118" s="115" t="n">
        <f aca="false">SUMIFS(الريسبي!$C$2:$C$1800,الريسبي!$A$2:$A$1800,$A118,الريسبي!$B$2:$B$1800,BK$1)</f>
        <v>0</v>
      </c>
      <c r="BL118" s="115" t="n">
        <f aca="false">SUMIFS(الريسبي!$C$2:$C$1800,الريسبي!$A$2:$A$1800,$A118,الريسبي!$B$2:$B$1800,BL$1)</f>
        <v>0</v>
      </c>
      <c r="BM118" s="115" t="n">
        <f aca="false">SUMIFS(الريسبي!$C$2:$C$1800,الريسبي!$A$2:$A$1800,$A118,الريسبي!$B$2:$B$1800,BM$1)</f>
        <v>0.14</v>
      </c>
      <c r="BN118" s="115" t="n">
        <f aca="false">SUMIFS(الريسبي!$C$2:$C$1800,الريسبي!$A$2:$A$1800,$A118,الريسبي!$B$2:$B$1800,BN$1)</f>
        <v>0.02</v>
      </c>
      <c r="BO118" s="115" t="n">
        <f aca="false">SUMIFS(الريسبي!$C$2:$C$1800,الريسبي!$A$2:$A$1800,$A118,الريسبي!$B$2:$B$1800,BO$1)</f>
        <v>0</v>
      </c>
      <c r="BP118" s="115" t="n">
        <f aca="false">SUMIFS(الريسبي!$C$2:$C$1800,الريسبي!$A$2:$A$1800,$A118,الريسبي!$B$2:$B$1800,BP$1)</f>
        <v>2</v>
      </c>
      <c r="BQ118" s="115"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15" t="n">
        <f aca="false">SUMIFS(الريسبي!$C$2:$C$1800,الريسبي!$A$2:$A$1800,$A118,الريسبي!$B$2:$B$1800,BR$1)</f>
        <v>1</v>
      </c>
      <c r="BS118" s="115" t="n">
        <f aca="false">SUMIFS(الريسبي!$C$2:$C$1800,الريسبي!$A$2:$A$1800,$A118,الريسبي!$B$2:$B$1800,BS$1)</f>
        <v>0</v>
      </c>
      <c r="BT118" s="115" t="n">
        <f aca="false">SUMIFS(الريسبي!$C$2:$C$1800,الريسبي!$A$2:$A$1800,$A118,الريسبي!$B$2:$B$1800,BT$1)</f>
        <v>0</v>
      </c>
      <c r="BU118" s="115"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15" t="n">
        <f aca="false">SUMIFS(الريسبي!$C$2:$C$1800,الريسبي!$A$2:$A$1800,$A118,الريسبي!$B$2:$B$1800,BV$1)</f>
        <v>0</v>
      </c>
      <c r="BW118" s="115" t="n">
        <f aca="false">SUMIFS(الريسبي!$C$2:$C$1800,الريسبي!$A$2:$A$1800,$A118,الريسبي!$B$2:$B$1800,BW$1)</f>
        <v>0</v>
      </c>
      <c r="BX118" s="115" t="n">
        <f aca="false">SUMIFS(الريسبي!$C$2:$C$1800,الريسبي!$A$2:$A$1800,$A118,الريسبي!$B$2:$B$1800,BX$1)</f>
        <v>0</v>
      </c>
      <c r="BY118" s="115" t="n">
        <f aca="false">SUMIFS(الريسبي!$C$2:$C$1800,الريسبي!$A$2:$A$1800,$A118,الريسبي!$B$2:$B$1800,BY$1)</f>
        <v>0</v>
      </c>
      <c r="BZ118" s="115" t="n">
        <f aca="false">SUMIFS(الريسبي!$C$2:$C$1800,الريسبي!$A$2:$A$1800,$A118,الريسبي!$B$2:$B$1800,BZ$1)</f>
        <v>1</v>
      </c>
      <c r="CA118" s="115" t="n">
        <f aca="false">SUMIFS(الريسبي!$C$2:$C$1800,الريسبي!$A$2:$A$1800,$A118,الريسبي!$B$2:$B$1800,CA$1)</f>
        <v>1</v>
      </c>
      <c r="CB118" s="115" t="n">
        <f aca="false">SUMIFS(الريسبي!$C$2:$C$1800,الريسبي!$A$2:$A$1800,$A118,الريسبي!$B$2:$B$1800,CB$1)</f>
        <v>0</v>
      </c>
      <c r="CC118" s="115" t="n">
        <f aca="false">SUMIFS(الريسبي!$C$2:$C$1800,الريسبي!$A$2:$A$1800,$A118,الريسبي!$B$2:$B$1800,CC$1)</f>
        <v>0</v>
      </c>
      <c r="CD118" s="115" t="n">
        <f aca="false">SUMIFS(الريسبي!$C$2:$C$1800,الريسبي!$A$2:$A$1800,$A118,الريسبي!$B$2:$B$1800,CD$1)</f>
        <v>0</v>
      </c>
      <c r="CE118" s="115" t="n">
        <f aca="false">SUMIFS(الريسبي!$C$2:$C$1800,الريسبي!$A$2:$A$1800,$A118,الريسبي!$B$2:$B$1800,CE$1)</f>
        <v>0</v>
      </c>
      <c r="CF118" s="115" t="n">
        <f aca="false">SUMIFS(الريسبي!$C$2:$C$1800,الريسبي!$A$2:$A$1800,$A118,الريسبي!$B$2:$B$1800,CF$1)</f>
        <v>1</v>
      </c>
      <c r="CG118" s="115" t="n">
        <f aca="false">SUMIFS(الريسبي!$C$2:$C$1800,الريسبي!$A$2:$A$1800,$A118,الريسبي!$B$2:$B$1800,CG$1)</f>
        <v>1</v>
      </c>
      <c r="CH118" s="115" t="n">
        <f aca="false">SUMIFS(الريسبي!$C$2:$C$1800,الريسبي!$A$2:$A$1800,$A118,الريسبي!$B$2:$B$1800,CH$1)</f>
        <v>0</v>
      </c>
    </row>
    <row r="119" customFormat="false" ht="15" hidden="false" customHeight="false" outlineLevel="0" collapsed="false">
      <c r="A119" s="114" t="str">
        <f aca="false">المنيو!B119</f>
        <v>مكرونة صوص ابيض خضروات صيامي</v>
      </c>
      <c r="B119" s="115" t="n">
        <f aca="false">SUMIFS(الريسبي!$C$2:$C$1800,الريسبي!$A$2:$A$1800,$A119,الريسبي!$B$2:$B$1800,B$1)</f>
        <v>1</v>
      </c>
      <c r="C119" s="115" t="n">
        <f aca="false">SUMIFS(الريسبي!$C$2:$C$1800,الريسبي!$A$2:$A$1800,$A119,الريسبي!$B$2:$B$1800,C$1)</f>
        <v>0</v>
      </c>
      <c r="D119" s="115" t="n">
        <f aca="false">SUMIFS(الريسبي!$C$2:$C$1800,الريسبي!$A$2:$A$1800,$A119,الريسبي!$B$2:$B$1800,D$1)</f>
        <v>0</v>
      </c>
      <c r="E119" s="115" t="n">
        <f aca="false">SUMIFS(الريسبي!$C$2:$C$1800,الريسبي!$A$2:$A$1800,$A119,الريسبي!$B$2:$B$1800,E$1)</f>
        <v>1</v>
      </c>
      <c r="F119" s="115" t="n">
        <f aca="false">SUMIFS(الريسبي!$C$2:$C$1800,الريسبي!$A$2:$A$1800,$A119,الريسبي!$B$2:$B$1800,F$1)</f>
        <v>0</v>
      </c>
      <c r="G119" s="115" t="n">
        <f aca="false">SUMIFS(الريسبي!$C$2:$C$1800,الريسبي!$A$2:$A$1800,$A119,الريسبي!$B$2:$B$1800,G$1)</f>
        <v>0</v>
      </c>
      <c r="H119" s="115" t="n">
        <f aca="false">SUMIFS(الريسبي!$C$2:$C$1800,الريسبي!$A$2:$A$1800,$A119,الريسبي!$B$2:$B$1800,H$1)</f>
        <v>0</v>
      </c>
      <c r="I119" s="115" t="n">
        <f aca="false">SUMIFS(الريسبي!$C$2:$C$1800,الريسبي!$A$2:$A$1800,$A119,الريسبي!$B$2:$B$1800,I$1)</f>
        <v>0</v>
      </c>
      <c r="J119" s="115" t="n">
        <f aca="false">SUMIFS(الريسبي!$C$2:$C$1800,الريسبي!$A$2:$A$1800,$A119,الريسبي!$B$2:$B$1800,J$1)</f>
        <v>0</v>
      </c>
      <c r="K119" s="115" t="n">
        <f aca="false">SUMIFS(الريسبي!$C$2:$C$1800,الريسبي!$A$2:$A$1800,$A119,الريسبي!$B$2:$B$1800,K$1)</f>
        <v>0</v>
      </c>
      <c r="L119" s="115" t="n">
        <f aca="false">SUMIFS(الريسبي!$C$2:$C$1800,الريسبي!$A$2:$A$1800,$A119,الريسبي!$B$2:$B$1800,L$1)</f>
        <v>0</v>
      </c>
      <c r="M119" s="115" t="n">
        <f aca="false">SUMIFS(الريسبي!$C$2:$C$1800,الريسبي!$A$2:$A$1800,$A119,الريسبي!$B$2:$B$1800,M$1)</f>
        <v>0</v>
      </c>
      <c r="N119" s="115" t="n">
        <f aca="false">SUMIFS(الريسبي!$C$2:$C$1800,الريسبي!$A$2:$A$1800,$A119,الريسبي!$B$2:$B$1800,N$1)</f>
        <v>0</v>
      </c>
      <c r="O119" s="115" t="n">
        <f aca="false">SUMIFS(الريسبي!$C$2:$C$1800,الريسبي!$A$2:$A$1800,$A119,الريسبي!$B$2:$B$1800,O$1)</f>
        <v>0</v>
      </c>
      <c r="P119" s="115" t="n">
        <f aca="false">SUMIFS(الريسبي!$C$2:$C$1800,الريسبي!$A$2:$A$1800,$A119,الريسبي!$B$2:$B$1800,P$1)</f>
        <v>0</v>
      </c>
      <c r="Q119" s="115" t="n">
        <f aca="false">SUMIFS(الريسبي!$C$2:$C$1800,الريسبي!$A$2:$A$1800,$A119,الريسبي!$B$2:$B$1800,Q$1)</f>
        <v>0</v>
      </c>
      <c r="R119" s="115" t="n">
        <f aca="false">SUMIFS(الريسبي!$C$2:$C$1800,الريسبي!$A$2:$A$1800,$A119,الريسبي!$B$2:$B$1800,R$1)</f>
        <v>0</v>
      </c>
      <c r="S119" s="115" t="n">
        <f aca="false">SUMIFS(الريسبي!$C$2:$C$1800,الريسبي!$A$2:$A$1800,$A119,الريسبي!$B$2:$B$1800,S$1)</f>
        <v>0</v>
      </c>
      <c r="T119" s="115" t="n">
        <f aca="false">SUMIFS(الريسبي!$C$2:$C$1800,الريسبي!$A$2:$A$1800,$A119,الريسبي!$B$2:$B$1800,T$1)</f>
        <v>0</v>
      </c>
      <c r="U119" s="115" t="n">
        <f aca="false">SUMIFS(الريسبي!$C$2:$C$1800,الريسبي!$A$2:$A$1800,$A119,الريسبي!$B$2:$B$1800,U$1)</f>
        <v>0</v>
      </c>
      <c r="V119" s="115" t="n">
        <f aca="false">SUMIFS(الريسبي!$C$2:$C$1800,الريسبي!$A$2:$A$1800,$A119,الريسبي!$B$2:$B$1800,V$1)</f>
        <v>0</v>
      </c>
      <c r="W119" s="115" t="n">
        <f aca="false">SUMIFS(الريسبي!$C$2:$C$1800,الريسبي!$A$2:$A$1800,$A119,الريسبي!$B$2:$B$1800,W$1)</f>
        <v>0</v>
      </c>
      <c r="X119" s="115" t="n">
        <f aca="false">SUMIFS(الريسبي!$C$2:$C$1800,الريسبي!$A$2:$A$1800,$A119,الريسبي!$B$2:$B$1800,X$1)</f>
        <v>1</v>
      </c>
      <c r="Y119" s="115" t="n">
        <f aca="false">SUMIFS(الريسبي!$C$2:$C$1800,الريسبي!$A$2:$A$1800,$A119,الريسبي!$B$2:$B$1800,Y$1)</f>
        <v>0</v>
      </c>
      <c r="Z119" s="115" t="n">
        <f aca="false">SUMIFS(الريسبي!$C$2:$C$1800,الريسبي!$A$2:$A$1800,$A119,الريسبي!$B$2:$B$1800,Z$1)</f>
        <v>0</v>
      </c>
      <c r="AA119" s="115" t="n">
        <f aca="false">SUMIFS(الريسبي!$C$2:$C$1800,الريسبي!$A$2:$A$1800,$A119,الريسبي!$B$2:$B$1800,AA$1)</f>
        <v>0</v>
      </c>
      <c r="AB119" s="115" t="n">
        <f aca="false">SUMIFS(الريسبي!$C$2:$C$1800,الريسبي!$A$2:$A$1800,$A119,الريسبي!$B$2:$B$1800,AB$1)</f>
        <v>0</v>
      </c>
      <c r="AC119" s="115" t="n">
        <f aca="false">SUMIFS(الريسبي!$C$2:$C$1800,الريسبي!$A$2:$A$1800,$A119,الريسبي!$B$2:$B$1800,AC$1)</f>
        <v>0</v>
      </c>
      <c r="AD119" s="115" t="n">
        <f aca="false">SUMIFS(الريسبي!$C$2:$C$1800,الريسبي!$A$2:$A$1800,$A119,الريسبي!$B$2:$B$1800,AD$1)</f>
        <v>0.2</v>
      </c>
      <c r="AE119" s="115" t="n">
        <f aca="false">SUMIFS(الريسبي!$C$2:$C$1800,الريسبي!$A$2:$A$1800,$A119,الريسبي!$B$2:$B$1800,AE$1)</f>
        <v>0</v>
      </c>
      <c r="AF119" s="115" t="n">
        <f aca="false">SUMIFS(الريسبي!$C$2:$C$1800,الريسبي!$A$2:$A$1800,$A119,الريسبي!$B$2:$B$1800,AF$1)</f>
        <v>0</v>
      </c>
      <c r="AG119" s="115" t="n">
        <f aca="false">SUMIFS(الريسبي!$C$2:$C$1800,الريسبي!$A$2:$A$1800,$A119,الريسبي!$B$2:$B$1800,AG$1)</f>
        <v>0</v>
      </c>
      <c r="AH119" s="115" t="n">
        <f aca="false">SUMIFS(الريسبي!$C$2:$C$1800,الريسبي!$A$2:$A$1800,$A119,الريسبي!$B$2:$B$1800,AH$1)</f>
        <v>0</v>
      </c>
      <c r="AI119" s="115" t="n">
        <f aca="false">SUMIFS(الريسبي!$C$2:$C$1800,الريسبي!$A$2:$A$1800,$A119,الريسبي!$B$2:$B$1800,AI$1)</f>
        <v>0</v>
      </c>
      <c r="AJ119" s="115" t="n">
        <f aca="false">SUMIFS(الريسبي!$C$2:$C$1800,الريسبي!$A$2:$A$1800,$A119,الريسبي!$B$2:$B$1800,AJ$1)</f>
        <v>2</v>
      </c>
      <c r="AK119" s="115" t="n">
        <f aca="false">SUMIFS(الريسبي!$C$2:$C$1800,الريسبي!$A$2:$A$1800,$A119,الريسبي!$B$2:$B$1800,AK$1)</f>
        <v>0</v>
      </c>
      <c r="AL119" s="115" t="n">
        <f aca="false">SUMIFS(الريسبي!$C$2:$C$1800,الريسبي!$A$2:$A$1800,$A119,الريسبي!$B$2:$B$1800,AL$1)</f>
        <v>0</v>
      </c>
      <c r="AM119" s="115"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15"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15" t="n">
        <f aca="false">SUMIFS(الريسبي!$C$2:$C$1800,الريسبي!$A$2:$A$1800,$A119,الريسبي!$B$2:$B$1800,AO$1)</f>
        <v>0</v>
      </c>
      <c r="AP119" s="115" t="n">
        <f aca="false">SUMIFS(الريسبي!$C$2:$C$1800,الريسبي!$A$2:$A$1800,$A119,الريسبي!$B$2:$B$1800,AP$1)</f>
        <v>0</v>
      </c>
      <c r="AQ119" s="115"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15" t="n">
        <f aca="false">SUMIFS(الريسبي!$C$2:$C$1800,الريسبي!$A$2:$A$1800,$A119,الريسبي!$B$2:$B$1800,AR$1)</f>
        <v>0</v>
      </c>
      <c r="AS119" s="115" t="n">
        <f aca="false">SUMIFS(الريسبي!$C$2:$C$1800,الريسبي!$A$2:$A$1800,$A119,الريسبي!$B$2:$B$1800,AS$1)</f>
        <v>0</v>
      </c>
      <c r="AT119" s="115" t="n">
        <f aca="false">SUMIFS(الريسبي!$C$2:$C$1800,الريسبي!$A$2:$A$1800,$A119,الريسبي!$B$2:$B$1800,AT$1)</f>
        <v>0</v>
      </c>
      <c r="AU119" s="115" t="n">
        <f aca="false">SUMIFS(الريسبي!$C$2:$C$1800,الريسبي!$A$2:$A$1800,$A119,الريسبي!$B$2:$B$1800,AU$1)</f>
        <v>1</v>
      </c>
      <c r="AV119" s="115" t="n">
        <f aca="false">SUMIFS(الريسبي!$C$2:$C$1800,الريسبي!$A$2:$A$1800,$A119,الريسبي!$B$2:$B$1800,AV$1)</f>
        <v>0</v>
      </c>
      <c r="AW119" s="115" t="n">
        <f aca="false">SUMIFS(الريسبي!$C$2:$C$1800,الريسبي!$A$2:$A$1800,$A119,الريسبي!$B$2:$B$1800,AW$1)</f>
        <v>0</v>
      </c>
      <c r="AX119" s="115" t="n">
        <f aca="false">SUMIFS(الريسبي!$C$2:$C$1800,الريسبي!$A$2:$A$1800,$A119,الريسبي!$B$2:$B$1800,AX$1)</f>
        <v>0</v>
      </c>
      <c r="AY119" s="115" t="n">
        <f aca="false">SUMIFS(الريسبي!$C$2:$C$1800,الريسبي!$A$2:$A$1800,$A119,الريسبي!$B$2:$B$1800,AY$1)</f>
        <v>0</v>
      </c>
      <c r="AZ119" s="115" t="n">
        <f aca="false">SUMIFS(الريسبي!$C$2:$C$1800,الريسبي!$A$2:$A$1800,$A119,الريسبي!$B$2:$B$1800,AZ$1)</f>
        <v>0</v>
      </c>
      <c r="BA119" s="115" t="n">
        <f aca="false">SUMIFS(الريسبي!$C$2:$C$1800,الريسبي!$A$2:$A$1800,$A119,الريسبي!$B$2:$B$1800,BA$1)</f>
        <v>0</v>
      </c>
      <c r="BB119" s="115" t="n">
        <f aca="false">SUMIFS(الريسبي!$C$2:$C$1800,الريسبي!$A$2:$A$1800,$A119,الريسبي!$B$2:$B$1800,BB$1)</f>
        <v>0</v>
      </c>
      <c r="BC119" s="115" t="n">
        <f aca="false">SUMIFS(الريسبي!$C$2:$C$1800,الريسبي!$A$2:$A$1800,$A119,الريسبي!$B$2:$B$1800,BC$1)</f>
        <v>0</v>
      </c>
      <c r="BD119" s="115" t="n">
        <f aca="false">SUMIFS(الريسبي!$C$2:$C$1800,الريسبي!$A$2:$A$1800,$A119,الريسبي!$B$2:$B$1800,BD$1)</f>
        <v>0</v>
      </c>
      <c r="BE119" s="115" t="n">
        <f aca="false">SUMIFS(الريسبي!$C$2:$C$1800,الريسبي!$A$2:$A$1800,$A119,الريسبي!$B$2:$B$1800,BE$1)</f>
        <v>0</v>
      </c>
      <c r="BF119" s="115" t="n">
        <f aca="false">SUMIFS(الريسبي!$C$2:$C$1800,الريسبي!$A$2:$A$1800,$A119,الريسبي!$B$2:$B$1800,BF$1)</f>
        <v>0</v>
      </c>
      <c r="BG119" s="115" t="n">
        <f aca="false">SUMIFS(الريسبي!$C$2:$C$1800,الريسبي!$A$2:$A$1800,$A119,الريسبي!$B$2:$B$1800,BG$1)</f>
        <v>0</v>
      </c>
      <c r="BH119" s="115" t="n">
        <f aca="false">SUMIFS(الريسبي!$C$2:$C$1800,الريسبي!$A$2:$A$1800,$A119,الريسبي!$B$2:$B$1800,BH$1)</f>
        <v>0</v>
      </c>
      <c r="BI119" s="115" t="n">
        <f aca="false">SUMIFS(الريسبي!$C$2:$C$1800,الريسبي!$A$2:$A$1800,$A119,الريسبي!$B$2:$B$1800,BI$1)</f>
        <v>0</v>
      </c>
      <c r="BJ119" s="115" t="n">
        <f aca="false">SUMIFS(الريسبي!$C$2:$C$1800,الريسبي!$A$2:$A$1800,$A119,الريسبي!$B$2:$B$1800,BJ$1)</f>
        <v>0</v>
      </c>
      <c r="BK119" s="115" t="n">
        <f aca="false">SUMIFS(الريسبي!$C$2:$C$1800,الريسبي!$A$2:$A$1800,$A119,الريسبي!$B$2:$B$1800,BK$1)</f>
        <v>0</v>
      </c>
      <c r="BL119" s="115" t="n">
        <f aca="false">SUMIFS(الريسبي!$C$2:$C$1800,الريسبي!$A$2:$A$1800,$A119,الريسبي!$B$2:$B$1800,BL$1)</f>
        <v>0</v>
      </c>
      <c r="BM119" s="115" t="n">
        <f aca="false">SUMIFS(الريسبي!$C$2:$C$1800,الريسبي!$A$2:$A$1800,$A119,الريسبي!$B$2:$B$1800,BM$1)</f>
        <v>0</v>
      </c>
      <c r="BN119" s="115" t="n">
        <f aca="false">SUMIFS(الريسبي!$C$2:$C$1800,الريسبي!$A$2:$A$1800,$A119,الريسبي!$B$2:$B$1800,BN$1)</f>
        <v>0</v>
      </c>
      <c r="BO119" s="115" t="n">
        <f aca="false">SUMIFS(الريسبي!$C$2:$C$1800,الريسبي!$A$2:$A$1800,$A119,الريسبي!$B$2:$B$1800,BO$1)</f>
        <v>0</v>
      </c>
      <c r="BP119" s="115" t="n">
        <f aca="false">SUMIFS(الريسبي!$C$2:$C$1800,الريسبي!$A$2:$A$1800,$A119,الريسبي!$B$2:$B$1800,BP$1)</f>
        <v>2</v>
      </c>
      <c r="BQ119" s="115"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15" t="n">
        <f aca="false">SUMIFS(الريسبي!$C$2:$C$1800,الريسبي!$A$2:$A$1800,$A119,الريسبي!$B$2:$B$1800,BR$1)</f>
        <v>0</v>
      </c>
      <c r="BS119" s="115" t="n">
        <f aca="false">SUMIFS(الريسبي!$C$2:$C$1800,الريسبي!$A$2:$A$1800,$A119,الريسبي!$B$2:$B$1800,BS$1)</f>
        <v>0</v>
      </c>
      <c r="BT119" s="115" t="n">
        <f aca="false">SUMIFS(الريسبي!$C$2:$C$1800,الريسبي!$A$2:$A$1800,$A119,الريسبي!$B$2:$B$1800,BT$1)</f>
        <v>0</v>
      </c>
      <c r="BU119" s="115"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15" t="n">
        <f aca="false">SUMIFS(الريسبي!$C$2:$C$1800,الريسبي!$A$2:$A$1800,$A119,الريسبي!$B$2:$B$1800,BV$1)</f>
        <v>0</v>
      </c>
      <c r="BW119" s="115" t="n">
        <f aca="false">SUMIFS(الريسبي!$C$2:$C$1800,الريسبي!$A$2:$A$1800,$A119,الريسبي!$B$2:$B$1800,BW$1)</f>
        <v>0</v>
      </c>
      <c r="BX119" s="115" t="n">
        <f aca="false">SUMIFS(الريسبي!$C$2:$C$1800,الريسبي!$A$2:$A$1800,$A119,الريسبي!$B$2:$B$1800,BX$1)</f>
        <v>0.15</v>
      </c>
      <c r="BY119" s="115" t="n">
        <f aca="false">SUMIFS(الريسبي!$C$2:$C$1800,الريسبي!$A$2:$A$1800,$A119,الريسبي!$B$2:$B$1800,BY$1)</f>
        <v>0</v>
      </c>
      <c r="BZ119" s="115" t="n">
        <f aca="false">SUMIFS(الريسبي!$C$2:$C$1800,الريسبي!$A$2:$A$1800,$A119,الريسبي!$B$2:$B$1800,BZ$1)</f>
        <v>0</v>
      </c>
      <c r="CA119" s="115" t="n">
        <f aca="false">SUMIFS(الريسبي!$C$2:$C$1800,الريسبي!$A$2:$A$1800,$A119,الريسبي!$B$2:$B$1800,CA$1)</f>
        <v>0</v>
      </c>
      <c r="CB119" s="115" t="n">
        <f aca="false">SUMIFS(الريسبي!$C$2:$C$1800,الريسبي!$A$2:$A$1800,$A119,الريسبي!$B$2:$B$1800,CB$1)</f>
        <v>1</v>
      </c>
      <c r="CC119" s="115" t="n">
        <f aca="false">SUMIFS(الريسبي!$C$2:$C$1800,الريسبي!$A$2:$A$1800,$A119,الريسبي!$B$2:$B$1800,CC$1)</f>
        <v>0</v>
      </c>
      <c r="CD119" s="115" t="n">
        <f aca="false">SUMIFS(الريسبي!$C$2:$C$1800,الريسبي!$A$2:$A$1800,$A119,الريسبي!$B$2:$B$1800,CD$1)</f>
        <v>0</v>
      </c>
      <c r="CE119" s="115" t="n">
        <f aca="false">SUMIFS(الريسبي!$C$2:$C$1800,الريسبي!$A$2:$A$1800,$A119,الريسبي!$B$2:$B$1800,CE$1)</f>
        <v>0</v>
      </c>
      <c r="CF119" s="115" t="n">
        <f aca="false">SUMIFS(الريسبي!$C$2:$C$1800,الريسبي!$A$2:$A$1800,$A119,الريسبي!$B$2:$B$1800,CF$1)</f>
        <v>0</v>
      </c>
      <c r="CG119" s="115" t="n">
        <f aca="false">SUMIFS(الريسبي!$C$2:$C$1800,الريسبي!$A$2:$A$1800,$A119,الريسبي!$B$2:$B$1800,CG$1)</f>
        <v>0</v>
      </c>
      <c r="CH119" s="115" t="n">
        <f aca="false">SUMIFS(الريسبي!$C$2:$C$1800,الريسبي!$A$2:$A$1800,$A119,الريسبي!$B$2:$B$1800,CH$1)</f>
        <v>0</v>
      </c>
    </row>
    <row r="120" customFormat="false" ht="15" hidden="false" customHeight="false" outlineLevel="0" collapsed="false">
      <c r="A120" s="114" t="str">
        <f aca="false">المنيو!B120</f>
        <v>مكرونة مشروم صيامي</v>
      </c>
      <c r="B120" s="115" t="n">
        <f aca="false">SUMIFS(الريسبي!$C$2:$C$1800,الريسبي!$A$2:$A$1800,$A120,الريسبي!$B$2:$B$1800,B$1)</f>
        <v>1</v>
      </c>
      <c r="C120" s="115" t="n">
        <f aca="false">SUMIFS(الريسبي!$C$2:$C$1800,الريسبي!$A$2:$A$1800,$A120,الريسبي!$B$2:$B$1800,C$1)</f>
        <v>0</v>
      </c>
      <c r="D120" s="115" t="n">
        <f aca="false">SUMIFS(الريسبي!$C$2:$C$1800,الريسبي!$A$2:$A$1800,$A120,الريسبي!$B$2:$B$1800,D$1)</f>
        <v>0</v>
      </c>
      <c r="E120" s="115" t="n">
        <f aca="false">SUMIFS(الريسبي!$C$2:$C$1800,الريسبي!$A$2:$A$1800,$A120,الريسبي!$B$2:$B$1800,E$1)</f>
        <v>1</v>
      </c>
      <c r="F120" s="115" t="n">
        <f aca="false">SUMIFS(الريسبي!$C$2:$C$1800,الريسبي!$A$2:$A$1800,$A120,الريسبي!$B$2:$B$1800,F$1)</f>
        <v>0</v>
      </c>
      <c r="G120" s="115" t="n">
        <f aca="false">SUMIFS(الريسبي!$C$2:$C$1800,الريسبي!$A$2:$A$1800,$A120,الريسبي!$B$2:$B$1800,G$1)</f>
        <v>0</v>
      </c>
      <c r="H120" s="115" t="n">
        <f aca="false">SUMIFS(الريسبي!$C$2:$C$1800,الريسبي!$A$2:$A$1800,$A120,الريسبي!$B$2:$B$1800,H$1)</f>
        <v>0</v>
      </c>
      <c r="I120" s="115" t="n">
        <f aca="false">SUMIFS(الريسبي!$C$2:$C$1800,الريسبي!$A$2:$A$1800,$A120,الريسبي!$B$2:$B$1800,I$1)</f>
        <v>0</v>
      </c>
      <c r="J120" s="115" t="n">
        <f aca="false">SUMIFS(الريسبي!$C$2:$C$1800,الريسبي!$A$2:$A$1800,$A120,الريسبي!$B$2:$B$1800,J$1)</f>
        <v>0</v>
      </c>
      <c r="K120" s="115" t="n">
        <f aca="false">SUMIFS(الريسبي!$C$2:$C$1800,الريسبي!$A$2:$A$1800,$A120,الريسبي!$B$2:$B$1800,K$1)</f>
        <v>0</v>
      </c>
      <c r="L120" s="115" t="n">
        <f aca="false">SUMIFS(الريسبي!$C$2:$C$1800,الريسبي!$A$2:$A$1800,$A120,الريسبي!$B$2:$B$1800,L$1)</f>
        <v>0</v>
      </c>
      <c r="M120" s="115" t="n">
        <f aca="false">SUMIFS(الريسبي!$C$2:$C$1800,الريسبي!$A$2:$A$1800,$A120,الريسبي!$B$2:$B$1800,M$1)</f>
        <v>0</v>
      </c>
      <c r="N120" s="115" t="n">
        <f aca="false">SUMIFS(الريسبي!$C$2:$C$1800,الريسبي!$A$2:$A$1800,$A120,الريسبي!$B$2:$B$1800,N$1)</f>
        <v>0</v>
      </c>
      <c r="O120" s="115" t="n">
        <f aca="false">SUMIFS(الريسبي!$C$2:$C$1800,الريسبي!$A$2:$A$1800,$A120,الريسبي!$B$2:$B$1800,O$1)</f>
        <v>0</v>
      </c>
      <c r="P120" s="115" t="n">
        <f aca="false">SUMIFS(الريسبي!$C$2:$C$1800,الريسبي!$A$2:$A$1800,$A120,الريسبي!$B$2:$B$1800,P$1)</f>
        <v>0</v>
      </c>
      <c r="Q120" s="115" t="n">
        <f aca="false">SUMIFS(الريسبي!$C$2:$C$1800,الريسبي!$A$2:$A$1800,$A120,الريسبي!$B$2:$B$1800,Q$1)</f>
        <v>0</v>
      </c>
      <c r="R120" s="115" t="n">
        <f aca="false">SUMIFS(الريسبي!$C$2:$C$1800,الريسبي!$A$2:$A$1800,$A120,الريسبي!$B$2:$B$1800,R$1)</f>
        <v>0</v>
      </c>
      <c r="S120" s="115" t="n">
        <f aca="false">SUMIFS(الريسبي!$C$2:$C$1800,الريسبي!$A$2:$A$1800,$A120,الريسبي!$B$2:$B$1800,S$1)</f>
        <v>0</v>
      </c>
      <c r="T120" s="115" t="n">
        <f aca="false">SUMIFS(الريسبي!$C$2:$C$1800,الريسبي!$A$2:$A$1800,$A120,الريسبي!$B$2:$B$1800,T$1)</f>
        <v>0</v>
      </c>
      <c r="U120" s="115" t="n">
        <f aca="false">SUMIFS(الريسبي!$C$2:$C$1800,الريسبي!$A$2:$A$1800,$A120,الريسبي!$B$2:$B$1800,U$1)</f>
        <v>0</v>
      </c>
      <c r="V120" s="115" t="n">
        <f aca="false">SUMIFS(الريسبي!$C$2:$C$1800,الريسبي!$A$2:$A$1800,$A120,الريسبي!$B$2:$B$1800,V$1)</f>
        <v>0</v>
      </c>
      <c r="W120" s="115" t="n">
        <f aca="false">SUMIFS(الريسبي!$C$2:$C$1800,الريسبي!$A$2:$A$1800,$A120,الريسبي!$B$2:$B$1800,W$1)</f>
        <v>0</v>
      </c>
      <c r="X120" s="115" t="n">
        <f aca="false">SUMIFS(الريسبي!$C$2:$C$1800,الريسبي!$A$2:$A$1800,$A120,الريسبي!$B$2:$B$1800,X$1)</f>
        <v>1</v>
      </c>
      <c r="Y120" s="115" t="n">
        <f aca="false">SUMIFS(الريسبي!$C$2:$C$1800,الريسبي!$A$2:$A$1800,$A120,الريسبي!$B$2:$B$1800,Y$1)</f>
        <v>0</v>
      </c>
      <c r="Z120" s="115" t="n">
        <f aca="false">SUMIFS(الريسبي!$C$2:$C$1800,الريسبي!$A$2:$A$1800,$A120,الريسبي!$B$2:$B$1800,Z$1)</f>
        <v>0</v>
      </c>
      <c r="AA120" s="115" t="n">
        <f aca="false">SUMIFS(الريسبي!$C$2:$C$1800,الريسبي!$A$2:$A$1800,$A120,الريسبي!$B$2:$B$1800,AA$1)</f>
        <v>0</v>
      </c>
      <c r="AB120" s="115" t="n">
        <f aca="false">SUMIFS(الريسبي!$C$2:$C$1800,الريسبي!$A$2:$A$1800,$A120,الريسبي!$B$2:$B$1800,AB$1)</f>
        <v>0</v>
      </c>
      <c r="AC120" s="115" t="n">
        <f aca="false">SUMIFS(الريسبي!$C$2:$C$1800,الريسبي!$A$2:$A$1800,$A120,الريسبي!$B$2:$B$1800,AC$1)</f>
        <v>0</v>
      </c>
      <c r="AD120" s="115" t="n">
        <f aca="false">SUMIFS(الريسبي!$C$2:$C$1800,الريسبي!$A$2:$A$1800,$A120,الريسبي!$B$2:$B$1800,AD$1)</f>
        <v>0.2</v>
      </c>
      <c r="AE120" s="115" t="n">
        <f aca="false">SUMIFS(الريسبي!$C$2:$C$1800,الريسبي!$A$2:$A$1800,$A120,الريسبي!$B$2:$B$1800,AE$1)</f>
        <v>0</v>
      </c>
      <c r="AF120" s="115" t="n">
        <f aca="false">SUMIFS(الريسبي!$C$2:$C$1800,الريسبي!$A$2:$A$1800,$A120,الريسبي!$B$2:$B$1800,AF$1)</f>
        <v>0</v>
      </c>
      <c r="AG120" s="115" t="n">
        <f aca="false">SUMIFS(الريسبي!$C$2:$C$1800,الريسبي!$A$2:$A$1800,$A120,الريسبي!$B$2:$B$1800,AG$1)</f>
        <v>0</v>
      </c>
      <c r="AH120" s="115" t="n">
        <f aca="false">SUMIFS(الريسبي!$C$2:$C$1800,الريسبي!$A$2:$A$1800,$A120,الريسبي!$B$2:$B$1800,AH$1)</f>
        <v>0</v>
      </c>
      <c r="AI120" s="115" t="n">
        <f aca="false">SUMIFS(الريسبي!$C$2:$C$1800,الريسبي!$A$2:$A$1800,$A120,الريسبي!$B$2:$B$1800,AI$1)</f>
        <v>0</v>
      </c>
      <c r="AJ120" s="115" t="n">
        <f aca="false">SUMIFS(الريسبي!$C$2:$C$1800,الريسبي!$A$2:$A$1800,$A120,الريسبي!$B$2:$B$1800,AJ$1)</f>
        <v>2</v>
      </c>
      <c r="AK120" s="115" t="n">
        <f aca="false">SUMIFS(الريسبي!$C$2:$C$1800,الريسبي!$A$2:$A$1800,$A120,الريسبي!$B$2:$B$1800,AK$1)</f>
        <v>0</v>
      </c>
      <c r="AL120" s="115" t="n">
        <f aca="false">SUMIFS(الريسبي!$C$2:$C$1800,الريسبي!$A$2:$A$1800,$A120,الريسبي!$B$2:$B$1800,AL$1)</f>
        <v>0</v>
      </c>
      <c r="AM120" s="115"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15"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15" t="n">
        <f aca="false">SUMIFS(الريسبي!$C$2:$C$1800,الريسبي!$A$2:$A$1800,$A120,الريسبي!$B$2:$B$1800,AO$1)</f>
        <v>0</v>
      </c>
      <c r="AP120" s="115" t="n">
        <f aca="false">SUMIFS(الريسبي!$C$2:$C$1800,الريسبي!$A$2:$A$1800,$A120,الريسبي!$B$2:$B$1800,AP$1)</f>
        <v>0</v>
      </c>
      <c r="AQ120" s="115"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15" t="n">
        <f aca="false">SUMIFS(الريسبي!$C$2:$C$1800,الريسبي!$A$2:$A$1800,$A120,الريسبي!$B$2:$B$1800,AR$1)</f>
        <v>0</v>
      </c>
      <c r="AS120" s="115" t="n">
        <f aca="false">SUMIFS(الريسبي!$C$2:$C$1800,الريسبي!$A$2:$A$1800,$A120,الريسبي!$B$2:$B$1800,AS$1)</f>
        <v>0</v>
      </c>
      <c r="AT120" s="115" t="n">
        <f aca="false">SUMIFS(الريسبي!$C$2:$C$1800,الريسبي!$A$2:$A$1800,$A120,الريسبي!$B$2:$B$1800,AT$1)</f>
        <v>0</v>
      </c>
      <c r="AU120" s="115" t="n">
        <f aca="false">SUMIFS(الريسبي!$C$2:$C$1800,الريسبي!$A$2:$A$1800,$A120,الريسبي!$B$2:$B$1800,AU$1)</f>
        <v>1</v>
      </c>
      <c r="AV120" s="115" t="n">
        <f aca="false">SUMIFS(الريسبي!$C$2:$C$1800,الريسبي!$A$2:$A$1800,$A120,الريسبي!$B$2:$B$1800,AV$1)</f>
        <v>0</v>
      </c>
      <c r="AW120" s="115" t="n">
        <f aca="false">SUMIFS(الريسبي!$C$2:$C$1800,الريسبي!$A$2:$A$1800,$A120,الريسبي!$B$2:$B$1800,AW$1)</f>
        <v>0</v>
      </c>
      <c r="AX120" s="115" t="n">
        <f aca="false">SUMIFS(الريسبي!$C$2:$C$1800,الريسبي!$A$2:$A$1800,$A120,الريسبي!$B$2:$B$1800,AX$1)</f>
        <v>0</v>
      </c>
      <c r="AY120" s="115" t="n">
        <f aca="false">SUMIFS(الريسبي!$C$2:$C$1800,الريسبي!$A$2:$A$1800,$A120,الريسبي!$B$2:$B$1800,AY$1)</f>
        <v>0</v>
      </c>
      <c r="AZ120" s="115" t="n">
        <f aca="false">SUMIFS(الريسبي!$C$2:$C$1800,الريسبي!$A$2:$A$1800,$A120,الريسبي!$B$2:$B$1800,AZ$1)</f>
        <v>0</v>
      </c>
      <c r="BA120" s="115" t="n">
        <f aca="false">SUMIFS(الريسبي!$C$2:$C$1800,الريسبي!$A$2:$A$1800,$A120,الريسبي!$B$2:$B$1800,BA$1)</f>
        <v>0</v>
      </c>
      <c r="BB120" s="115" t="n">
        <f aca="false">SUMIFS(الريسبي!$C$2:$C$1800,الريسبي!$A$2:$A$1800,$A120,الريسبي!$B$2:$B$1800,BB$1)</f>
        <v>0</v>
      </c>
      <c r="BC120" s="115" t="n">
        <f aca="false">SUMIFS(الريسبي!$C$2:$C$1800,الريسبي!$A$2:$A$1800,$A120,الريسبي!$B$2:$B$1800,BC$1)</f>
        <v>0</v>
      </c>
      <c r="BD120" s="115" t="n">
        <f aca="false">SUMIFS(الريسبي!$C$2:$C$1800,الريسبي!$A$2:$A$1800,$A120,الريسبي!$B$2:$B$1800,BD$1)</f>
        <v>0</v>
      </c>
      <c r="BE120" s="115" t="n">
        <f aca="false">SUMIFS(الريسبي!$C$2:$C$1800,الريسبي!$A$2:$A$1800,$A120,الريسبي!$B$2:$B$1800,BE$1)</f>
        <v>0</v>
      </c>
      <c r="BF120" s="115" t="n">
        <f aca="false">SUMIFS(الريسبي!$C$2:$C$1800,الريسبي!$A$2:$A$1800,$A120,الريسبي!$B$2:$B$1800,BF$1)</f>
        <v>0</v>
      </c>
      <c r="BG120" s="115" t="n">
        <f aca="false">SUMIFS(الريسبي!$C$2:$C$1800,الريسبي!$A$2:$A$1800,$A120,الريسبي!$B$2:$B$1800,BG$1)</f>
        <v>0</v>
      </c>
      <c r="BH120" s="115" t="n">
        <f aca="false">SUMIFS(الريسبي!$C$2:$C$1800,الريسبي!$A$2:$A$1800,$A120,الريسبي!$B$2:$B$1800,BH$1)</f>
        <v>0</v>
      </c>
      <c r="BI120" s="115" t="n">
        <f aca="false">SUMIFS(الريسبي!$C$2:$C$1800,الريسبي!$A$2:$A$1800,$A120,الريسبي!$B$2:$B$1800,BI$1)</f>
        <v>0</v>
      </c>
      <c r="BJ120" s="115" t="n">
        <f aca="false">SUMIFS(الريسبي!$C$2:$C$1800,الريسبي!$A$2:$A$1800,$A120,الريسبي!$B$2:$B$1800,BJ$1)</f>
        <v>0</v>
      </c>
      <c r="BK120" s="115" t="n">
        <f aca="false">SUMIFS(الريسبي!$C$2:$C$1800,الريسبي!$A$2:$A$1800,$A120,الريسبي!$B$2:$B$1800,BK$1)</f>
        <v>0</v>
      </c>
      <c r="BL120" s="115" t="n">
        <f aca="false">SUMIFS(الريسبي!$C$2:$C$1800,الريسبي!$A$2:$A$1800,$A120,الريسبي!$B$2:$B$1800,BL$1)</f>
        <v>0</v>
      </c>
      <c r="BM120" s="115" t="n">
        <f aca="false">SUMIFS(الريسبي!$C$2:$C$1800,الريسبي!$A$2:$A$1800,$A120,الريسبي!$B$2:$B$1800,BM$1)</f>
        <v>0</v>
      </c>
      <c r="BN120" s="115" t="n">
        <f aca="false">SUMIFS(الريسبي!$C$2:$C$1800,الريسبي!$A$2:$A$1800,$A120,الريسبي!$B$2:$B$1800,BN$1)</f>
        <v>0</v>
      </c>
      <c r="BO120" s="115" t="n">
        <f aca="false">SUMIFS(الريسبي!$C$2:$C$1800,الريسبي!$A$2:$A$1800,$A120,الريسبي!$B$2:$B$1800,BO$1)</f>
        <v>0</v>
      </c>
      <c r="BP120" s="115" t="n">
        <f aca="false">SUMIFS(الريسبي!$C$2:$C$1800,الريسبي!$A$2:$A$1800,$A120,الريسبي!$B$2:$B$1800,BP$1)</f>
        <v>2</v>
      </c>
      <c r="BQ120" s="115"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15" t="n">
        <f aca="false">SUMIFS(الريسبي!$C$2:$C$1800,الريسبي!$A$2:$A$1800,$A120,الريسبي!$B$2:$B$1800,BR$1)</f>
        <v>0</v>
      </c>
      <c r="BS120" s="115" t="n">
        <f aca="false">SUMIFS(الريسبي!$C$2:$C$1800,الريسبي!$A$2:$A$1800,$A120,الريسبي!$B$2:$B$1800,BS$1)</f>
        <v>0</v>
      </c>
      <c r="BT120" s="115" t="n">
        <f aca="false">SUMIFS(الريسبي!$C$2:$C$1800,الريسبي!$A$2:$A$1800,$A120,الريسبي!$B$2:$B$1800,BT$1)</f>
        <v>0</v>
      </c>
      <c r="BU120" s="115"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15" t="n">
        <f aca="false">SUMIFS(الريسبي!$C$2:$C$1800,الريسبي!$A$2:$A$1800,$A120,الريسبي!$B$2:$B$1800,BV$1)</f>
        <v>0</v>
      </c>
      <c r="BW120" s="115" t="n">
        <f aca="false">SUMIFS(الريسبي!$C$2:$C$1800,الريسبي!$A$2:$A$1800,$A120,الريسبي!$B$2:$B$1800,BW$1)</f>
        <v>0.06</v>
      </c>
      <c r="BX120" s="115" t="n">
        <f aca="false">SUMIFS(الريسبي!$C$2:$C$1800,الريسبي!$A$2:$A$1800,$A120,الريسبي!$B$2:$B$1800,BX$1)</f>
        <v>0.15</v>
      </c>
      <c r="BY120" s="115" t="n">
        <f aca="false">SUMIFS(الريسبي!$C$2:$C$1800,الريسبي!$A$2:$A$1800,$A120,الريسبي!$B$2:$B$1800,BY$1)</f>
        <v>0</v>
      </c>
      <c r="BZ120" s="115" t="n">
        <f aca="false">SUMIFS(الريسبي!$C$2:$C$1800,الريسبي!$A$2:$A$1800,$A120,الريسبي!$B$2:$B$1800,BZ$1)</f>
        <v>0</v>
      </c>
      <c r="CA120" s="115" t="n">
        <f aca="false">SUMIFS(الريسبي!$C$2:$C$1800,الريسبي!$A$2:$A$1800,$A120,الريسبي!$B$2:$B$1800,CA$1)</f>
        <v>0</v>
      </c>
      <c r="CB120" s="115" t="n">
        <f aca="false">SUMIFS(الريسبي!$C$2:$C$1800,الريسبي!$A$2:$A$1800,$A120,الريسبي!$B$2:$B$1800,CB$1)</f>
        <v>1</v>
      </c>
      <c r="CC120" s="115" t="n">
        <f aca="false">SUMIFS(الريسبي!$C$2:$C$1800,الريسبي!$A$2:$A$1800,$A120,الريسبي!$B$2:$B$1800,CC$1)</f>
        <v>0</v>
      </c>
      <c r="CD120" s="115" t="n">
        <f aca="false">SUMIFS(الريسبي!$C$2:$C$1800,الريسبي!$A$2:$A$1800,$A120,الريسبي!$B$2:$B$1800,CD$1)</f>
        <v>0</v>
      </c>
      <c r="CE120" s="115" t="n">
        <f aca="false">SUMIFS(الريسبي!$C$2:$C$1800,الريسبي!$A$2:$A$1800,$A120,الريسبي!$B$2:$B$1800,CE$1)</f>
        <v>0</v>
      </c>
      <c r="CF120" s="115" t="n">
        <f aca="false">SUMIFS(الريسبي!$C$2:$C$1800,الريسبي!$A$2:$A$1800,$A120,الريسبي!$B$2:$B$1800,CF$1)</f>
        <v>0</v>
      </c>
      <c r="CG120" s="115" t="n">
        <f aca="false">SUMIFS(الريسبي!$C$2:$C$1800,الريسبي!$A$2:$A$1800,$A120,الريسبي!$B$2:$B$1800,CG$1)</f>
        <v>0</v>
      </c>
      <c r="CH120" s="115" t="n">
        <f aca="false">SUMIFS(الريسبي!$C$2:$C$1800,الريسبي!$A$2:$A$1800,$A120,الريسبي!$B$2:$B$1800,CH$1)</f>
        <v>0</v>
      </c>
    </row>
    <row r="121" customFormat="false" ht="15" hidden="false" customHeight="false" outlineLevel="0" collapsed="false">
      <c r="A121" s="114" t="str">
        <f aca="false">المنيو!B121</f>
        <v>مكرونة سوسيس صيامي</v>
      </c>
      <c r="B121" s="115" t="n">
        <f aca="false">SUMIFS(الريسبي!$C$2:$C$1800,الريسبي!$A$2:$A$1800,$A121,الريسبي!$B$2:$B$1800,B$1)</f>
        <v>1</v>
      </c>
      <c r="C121" s="115" t="n">
        <f aca="false">SUMIFS(الريسبي!$C$2:$C$1800,الريسبي!$A$2:$A$1800,$A121,الريسبي!$B$2:$B$1800,C$1)</f>
        <v>0</v>
      </c>
      <c r="D121" s="115" t="n">
        <f aca="false">SUMIFS(الريسبي!$C$2:$C$1800,الريسبي!$A$2:$A$1800,$A121,الريسبي!$B$2:$B$1800,D$1)</f>
        <v>0</v>
      </c>
      <c r="E121" s="115" t="n">
        <f aca="false">SUMIFS(الريسبي!$C$2:$C$1800,الريسبي!$A$2:$A$1800,$A121,الريسبي!$B$2:$B$1800,E$1)</f>
        <v>1</v>
      </c>
      <c r="F121" s="115" t="n">
        <f aca="false">SUMIFS(الريسبي!$C$2:$C$1800,الريسبي!$A$2:$A$1800,$A121,الريسبي!$B$2:$B$1800,F$1)</f>
        <v>0</v>
      </c>
      <c r="G121" s="115" t="n">
        <f aca="false">SUMIFS(الريسبي!$C$2:$C$1800,الريسبي!$A$2:$A$1800,$A121,الريسبي!$B$2:$B$1800,G$1)</f>
        <v>0</v>
      </c>
      <c r="H121" s="115" t="n">
        <f aca="false">SUMIFS(الريسبي!$C$2:$C$1800,الريسبي!$A$2:$A$1800,$A121,الريسبي!$B$2:$B$1800,H$1)</f>
        <v>0</v>
      </c>
      <c r="I121" s="115" t="n">
        <f aca="false">SUMIFS(الريسبي!$C$2:$C$1800,الريسبي!$A$2:$A$1800,$A121,الريسبي!$B$2:$B$1800,I$1)</f>
        <v>0</v>
      </c>
      <c r="J121" s="115" t="n">
        <f aca="false">SUMIFS(الريسبي!$C$2:$C$1800,الريسبي!$A$2:$A$1800,$A121,الريسبي!$B$2:$B$1800,J$1)</f>
        <v>0</v>
      </c>
      <c r="K121" s="115" t="n">
        <f aca="false">SUMIFS(الريسبي!$C$2:$C$1800,الريسبي!$A$2:$A$1800,$A121,الريسبي!$B$2:$B$1800,K$1)</f>
        <v>0</v>
      </c>
      <c r="L121" s="115" t="n">
        <f aca="false">SUMIFS(الريسبي!$C$2:$C$1800,الريسبي!$A$2:$A$1800,$A121,الريسبي!$B$2:$B$1800,L$1)</f>
        <v>0</v>
      </c>
      <c r="M121" s="115" t="n">
        <f aca="false">SUMIFS(الريسبي!$C$2:$C$1800,الريسبي!$A$2:$A$1800,$A121,الريسبي!$B$2:$B$1800,M$1)</f>
        <v>0</v>
      </c>
      <c r="N121" s="115" t="n">
        <f aca="false">SUMIFS(الريسبي!$C$2:$C$1800,الريسبي!$A$2:$A$1800,$A121,الريسبي!$B$2:$B$1800,N$1)</f>
        <v>0</v>
      </c>
      <c r="O121" s="115" t="n">
        <f aca="false">SUMIFS(الريسبي!$C$2:$C$1800,الريسبي!$A$2:$A$1800,$A121,الريسبي!$B$2:$B$1800,O$1)</f>
        <v>0</v>
      </c>
      <c r="P121" s="115" t="n">
        <f aca="false">SUMIFS(الريسبي!$C$2:$C$1800,الريسبي!$A$2:$A$1800,$A121,الريسبي!$B$2:$B$1800,P$1)</f>
        <v>0</v>
      </c>
      <c r="Q121" s="115" t="n">
        <f aca="false">SUMIFS(الريسبي!$C$2:$C$1800,الريسبي!$A$2:$A$1800,$A121,الريسبي!$B$2:$B$1800,Q$1)</f>
        <v>0</v>
      </c>
      <c r="R121" s="115" t="n">
        <f aca="false">SUMIFS(الريسبي!$C$2:$C$1800,الريسبي!$A$2:$A$1800,$A121,الريسبي!$B$2:$B$1800,R$1)</f>
        <v>0</v>
      </c>
      <c r="S121" s="115" t="n">
        <f aca="false">SUMIFS(الريسبي!$C$2:$C$1800,الريسبي!$A$2:$A$1800,$A121,الريسبي!$B$2:$B$1800,S$1)</f>
        <v>0</v>
      </c>
      <c r="T121" s="115" t="n">
        <f aca="false">SUMIFS(الريسبي!$C$2:$C$1800,الريسبي!$A$2:$A$1800,$A121,الريسبي!$B$2:$B$1800,T$1)</f>
        <v>0</v>
      </c>
      <c r="U121" s="115" t="n">
        <f aca="false">SUMIFS(الريسبي!$C$2:$C$1800,الريسبي!$A$2:$A$1800,$A121,الريسبي!$B$2:$B$1800,U$1)</f>
        <v>0</v>
      </c>
      <c r="V121" s="115" t="n">
        <f aca="false">SUMIFS(الريسبي!$C$2:$C$1800,الريسبي!$A$2:$A$1800,$A121,الريسبي!$B$2:$B$1800,V$1)</f>
        <v>0</v>
      </c>
      <c r="W121" s="115" t="n">
        <f aca="false">SUMIFS(الريسبي!$C$2:$C$1800,الريسبي!$A$2:$A$1800,$A121,الريسبي!$B$2:$B$1800,W$1)</f>
        <v>0</v>
      </c>
      <c r="X121" s="115" t="n">
        <f aca="false">SUMIFS(الريسبي!$C$2:$C$1800,الريسبي!$A$2:$A$1800,$A121,الريسبي!$B$2:$B$1800,X$1)</f>
        <v>1</v>
      </c>
      <c r="Y121" s="115" t="n">
        <f aca="false">SUMIFS(الريسبي!$C$2:$C$1800,الريسبي!$A$2:$A$1800,$A121,الريسبي!$B$2:$B$1800,Y$1)</f>
        <v>0</v>
      </c>
      <c r="Z121" s="115" t="n">
        <f aca="false">SUMIFS(الريسبي!$C$2:$C$1800,الريسبي!$A$2:$A$1800,$A121,الريسبي!$B$2:$B$1800,Z$1)</f>
        <v>0</v>
      </c>
      <c r="AA121" s="115" t="n">
        <f aca="false">SUMIFS(الريسبي!$C$2:$C$1800,الريسبي!$A$2:$A$1800,$A121,الريسبي!$B$2:$B$1800,AA$1)</f>
        <v>0</v>
      </c>
      <c r="AB121" s="115" t="n">
        <f aca="false">SUMIFS(الريسبي!$C$2:$C$1800,الريسبي!$A$2:$A$1800,$A121,الريسبي!$B$2:$B$1800,AB$1)</f>
        <v>0</v>
      </c>
      <c r="AC121" s="115" t="n">
        <f aca="false">SUMIFS(الريسبي!$C$2:$C$1800,الريسبي!$A$2:$A$1800,$A121,الريسبي!$B$2:$B$1800,AC$1)</f>
        <v>0</v>
      </c>
      <c r="AD121" s="115" t="n">
        <f aca="false">SUMIFS(الريسبي!$C$2:$C$1800,الريسبي!$A$2:$A$1800,$A121,الريسبي!$B$2:$B$1800,AD$1)</f>
        <v>0.2</v>
      </c>
      <c r="AE121" s="115" t="n">
        <f aca="false">SUMIFS(الريسبي!$C$2:$C$1800,الريسبي!$A$2:$A$1800,$A121,الريسبي!$B$2:$B$1800,AE$1)</f>
        <v>0</v>
      </c>
      <c r="AF121" s="115" t="n">
        <f aca="false">SUMIFS(الريسبي!$C$2:$C$1800,الريسبي!$A$2:$A$1800,$A121,الريسبي!$B$2:$B$1800,AF$1)</f>
        <v>0</v>
      </c>
      <c r="AG121" s="115" t="n">
        <f aca="false">SUMIFS(الريسبي!$C$2:$C$1800,الريسبي!$A$2:$A$1800,$A121,الريسبي!$B$2:$B$1800,AG$1)</f>
        <v>0</v>
      </c>
      <c r="AH121" s="115" t="n">
        <f aca="false">SUMIFS(الريسبي!$C$2:$C$1800,الريسبي!$A$2:$A$1800,$A121,الريسبي!$B$2:$B$1800,AH$1)</f>
        <v>0</v>
      </c>
      <c r="AI121" s="115" t="n">
        <f aca="false">SUMIFS(الريسبي!$C$2:$C$1800,الريسبي!$A$2:$A$1800,$A121,الريسبي!$B$2:$B$1800,AI$1)</f>
        <v>0</v>
      </c>
      <c r="AJ121" s="115" t="n">
        <f aca="false">SUMIFS(الريسبي!$C$2:$C$1800,الريسبي!$A$2:$A$1800,$A121,الريسبي!$B$2:$B$1800,AJ$1)</f>
        <v>2</v>
      </c>
      <c r="AK121" s="115" t="n">
        <f aca="false">SUMIFS(الريسبي!$C$2:$C$1800,الريسبي!$A$2:$A$1800,$A121,الريسبي!$B$2:$B$1800,AK$1)</f>
        <v>0</v>
      </c>
      <c r="AL121" s="115" t="n">
        <f aca="false">SUMIFS(الريسبي!$C$2:$C$1800,الريسبي!$A$2:$A$1800,$A121,الريسبي!$B$2:$B$1800,AL$1)</f>
        <v>0</v>
      </c>
      <c r="AM121" s="115"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15"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15" t="n">
        <f aca="false">SUMIFS(الريسبي!$C$2:$C$1800,الريسبي!$A$2:$A$1800,$A121,الريسبي!$B$2:$B$1800,AO$1)</f>
        <v>0</v>
      </c>
      <c r="AP121" s="115" t="n">
        <f aca="false">SUMIFS(الريسبي!$C$2:$C$1800,الريسبي!$A$2:$A$1800,$A121,الريسبي!$B$2:$B$1800,AP$1)</f>
        <v>0</v>
      </c>
      <c r="AQ121" s="115"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15" t="n">
        <f aca="false">SUMIFS(الريسبي!$C$2:$C$1800,الريسبي!$A$2:$A$1800,$A121,الريسبي!$B$2:$B$1800,AR$1)</f>
        <v>0</v>
      </c>
      <c r="AS121" s="115" t="n">
        <f aca="false">SUMIFS(الريسبي!$C$2:$C$1800,الريسبي!$A$2:$A$1800,$A121,الريسبي!$B$2:$B$1800,AS$1)</f>
        <v>0</v>
      </c>
      <c r="AT121" s="115" t="n">
        <f aca="false">SUMIFS(الريسبي!$C$2:$C$1800,الريسبي!$A$2:$A$1800,$A121,الريسبي!$B$2:$B$1800,AT$1)</f>
        <v>0</v>
      </c>
      <c r="AU121" s="115" t="n">
        <f aca="false">SUMIFS(الريسبي!$C$2:$C$1800,الريسبي!$A$2:$A$1800,$A121,الريسبي!$B$2:$B$1800,AU$1)</f>
        <v>1</v>
      </c>
      <c r="AV121" s="115" t="n">
        <f aca="false">SUMIFS(الريسبي!$C$2:$C$1800,الريسبي!$A$2:$A$1800,$A121,الريسبي!$B$2:$B$1800,AV$1)</f>
        <v>0</v>
      </c>
      <c r="AW121" s="115" t="n">
        <f aca="false">SUMIFS(الريسبي!$C$2:$C$1800,الريسبي!$A$2:$A$1800,$A121,الريسبي!$B$2:$B$1800,AW$1)</f>
        <v>0</v>
      </c>
      <c r="AX121" s="115" t="n">
        <f aca="false">SUMIFS(الريسبي!$C$2:$C$1800,الريسبي!$A$2:$A$1800,$A121,الريسبي!$B$2:$B$1800,AX$1)</f>
        <v>0</v>
      </c>
      <c r="AY121" s="115" t="n">
        <f aca="false">SUMIFS(الريسبي!$C$2:$C$1800,الريسبي!$A$2:$A$1800,$A121,الريسبي!$B$2:$B$1800,AY$1)</f>
        <v>0</v>
      </c>
      <c r="AZ121" s="115" t="n">
        <f aca="false">SUMIFS(الريسبي!$C$2:$C$1800,الريسبي!$A$2:$A$1800,$A121,الريسبي!$B$2:$B$1800,AZ$1)</f>
        <v>0</v>
      </c>
      <c r="BA121" s="115" t="n">
        <f aca="false">SUMIFS(الريسبي!$C$2:$C$1800,الريسبي!$A$2:$A$1800,$A121,الريسبي!$B$2:$B$1800,BA$1)</f>
        <v>0</v>
      </c>
      <c r="BB121" s="115" t="n">
        <f aca="false">SUMIFS(الريسبي!$C$2:$C$1800,الريسبي!$A$2:$A$1800,$A121,الريسبي!$B$2:$B$1800,BB$1)</f>
        <v>0</v>
      </c>
      <c r="BC121" s="115" t="n">
        <f aca="false">SUMIFS(الريسبي!$C$2:$C$1800,الريسبي!$A$2:$A$1800,$A121,الريسبي!$B$2:$B$1800,BC$1)</f>
        <v>0</v>
      </c>
      <c r="BD121" s="115" t="n">
        <f aca="false">SUMIFS(الريسبي!$C$2:$C$1800,الريسبي!$A$2:$A$1800,$A121,الريسبي!$B$2:$B$1800,BD$1)</f>
        <v>0</v>
      </c>
      <c r="BE121" s="115" t="n">
        <f aca="false">SUMIFS(الريسبي!$C$2:$C$1800,الريسبي!$A$2:$A$1800,$A121,الريسبي!$B$2:$B$1800,BE$1)</f>
        <v>0</v>
      </c>
      <c r="BF121" s="115" t="n">
        <f aca="false">SUMIFS(الريسبي!$C$2:$C$1800,الريسبي!$A$2:$A$1800,$A121,الريسبي!$B$2:$B$1800,BF$1)</f>
        <v>0</v>
      </c>
      <c r="BG121" s="115" t="n">
        <f aca="false">SUMIFS(الريسبي!$C$2:$C$1800,الريسبي!$A$2:$A$1800,$A121,الريسبي!$B$2:$B$1800,BG$1)</f>
        <v>0</v>
      </c>
      <c r="BH121" s="115" t="n">
        <f aca="false">SUMIFS(الريسبي!$C$2:$C$1800,الريسبي!$A$2:$A$1800,$A121,الريسبي!$B$2:$B$1800,BH$1)</f>
        <v>0</v>
      </c>
      <c r="BI121" s="115" t="n">
        <f aca="false">SUMIFS(الريسبي!$C$2:$C$1800,الريسبي!$A$2:$A$1800,$A121,الريسبي!$B$2:$B$1800,BI$1)</f>
        <v>0</v>
      </c>
      <c r="BJ121" s="115" t="n">
        <f aca="false">SUMIFS(الريسبي!$C$2:$C$1800,الريسبي!$A$2:$A$1800,$A121,الريسبي!$B$2:$B$1800,BJ$1)</f>
        <v>0</v>
      </c>
      <c r="BK121" s="115" t="n">
        <f aca="false">SUMIFS(الريسبي!$C$2:$C$1800,الريسبي!$A$2:$A$1800,$A121,الريسبي!$B$2:$B$1800,BK$1)</f>
        <v>0</v>
      </c>
      <c r="BL121" s="115" t="n">
        <f aca="false">SUMIFS(الريسبي!$C$2:$C$1800,الريسبي!$A$2:$A$1800,$A121,الريسبي!$B$2:$B$1800,BL$1)</f>
        <v>0</v>
      </c>
      <c r="BM121" s="115" t="n">
        <f aca="false">SUMIFS(الريسبي!$C$2:$C$1800,الريسبي!$A$2:$A$1800,$A121,الريسبي!$B$2:$B$1800,BM$1)</f>
        <v>0</v>
      </c>
      <c r="BN121" s="115" t="n">
        <f aca="false">SUMIFS(الريسبي!$C$2:$C$1800,الريسبي!$A$2:$A$1800,$A121,الريسبي!$B$2:$B$1800,BN$1)</f>
        <v>0</v>
      </c>
      <c r="BO121" s="115" t="n">
        <f aca="false">SUMIFS(الريسبي!$C$2:$C$1800,الريسبي!$A$2:$A$1800,$A121,الريسبي!$B$2:$B$1800,BO$1)</f>
        <v>0</v>
      </c>
      <c r="BP121" s="115" t="n">
        <f aca="false">SUMIFS(الريسبي!$C$2:$C$1800,الريسبي!$A$2:$A$1800,$A121,الريسبي!$B$2:$B$1800,BP$1)</f>
        <v>2</v>
      </c>
      <c r="BQ121" s="115"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15" t="n">
        <f aca="false">SUMIFS(الريسبي!$C$2:$C$1800,الريسبي!$A$2:$A$1800,$A121,الريسبي!$B$2:$B$1800,BR$1)</f>
        <v>0</v>
      </c>
      <c r="BS121" s="115" t="n">
        <f aca="false">SUMIFS(الريسبي!$C$2:$C$1800,الريسبي!$A$2:$A$1800,$A121,الريسبي!$B$2:$B$1800,BS$1)</f>
        <v>0</v>
      </c>
      <c r="BT121" s="115" t="n">
        <f aca="false">SUMIFS(الريسبي!$C$2:$C$1800,الريسبي!$A$2:$A$1800,$A121,الريسبي!$B$2:$B$1800,BT$1)</f>
        <v>0</v>
      </c>
      <c r="BU121" s="115"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15" t="n">
        <f aca="false">SUMIFS(الريسبي!$C$2:$C$1800,الريسبي!$A$2:$A$1800,$A121,الريسبي!$B$2:$B$1800,BV$1)</f>
        <v>0</v>
      </c>
      <c r="BW121" s="115" t="n">
        <f aca="false">SUMIFS(الريسبي!$C$2:$C$1800,الريسبي!$A$2:$A$1800,$A121,الريسبي!$B$2:$B$1800,BW$1)</f>
        <v>0</v>
      </c>
      <c r="BX121" s="115" t="n">
        <f aca="false">SUMIFS(الريسبي!$C$2:$C$1800,الريسبي!$A$2:$A$1800,$A121,الريسبي!$B$2:$B$1800,BX$1)</f>
        <v>0.15</v>
      </c>
      <c r="BY121" s="115" t="n">
        <f aca="false">SUMIFS(الريسبي!$C$2:$C$1800,الريسبي!$A$2:$A$1800,$A121,الريسبي!$B$2:$B$1800,BY$1)</f>
        <v>0</v>
      </c>
      <c r="BZ121" s="115" t="n">
        <f aca="false">SUMIFS(الريسبي!$C$2:$C$1800,الريسبي!$A$2:$A$1800,$A121,الريسبي!$B$2:$B$1800,BZ$1)</f>
        <v>0</v>
      </c>
      <c r="CA121" s="115" t="n">
        <f aca="false">SUMIFS(الريسبي!$C$2:$C$1800,الريسبي!$A$2:$A$1800,$A121,الريسبي!$B$2:$B$1800,CA$1)</f>
        <v>0</v>
      </c>
      <c r="CB121" s="115" t="n">
        <f aca="false">SUMIFS(الريسبي!$C$2:$C$1800,الريسبي!$A$2:$A$1800,$A121,الريسبي!$B$2:$B$1800,CB$1)</f>
        <v>1</v>
      </c>
      <c r="CC121" s="115" t="n">
        <f aca="false">SUMIFS(الريسبي!$C$2:$C$1800,الريسبي!$A$2:$A$1800,$A121,الريسبي!$B$2:$B$1800,CC$1)</f>
        <v>0.14</v>
      </c>
      <c r="CD121" s="115" t="n">
        <f aca="false">SUMIFS(الريسبي!$C$2:$C$1800,الريسبي!$A$2:$A$1800,$A121,الريسبي!$B$2:$B$1800,CD$1)</f>
        <v>0</v>
      </c>
      <c r="CE121" s="115" t="n">
        <f aca="false">SUMIFS(الريسبي!$C$2:$C$1800,الريسبي!$A$2:$A$1800,$A121,الريسبي!$B$2:$B$1800,CE$1)</f>
        <v>0</v>
      </c>
      <c r="CF121" s="115" t="n">
        <f aca="false">SUMIFS(الريسبي!$C$2:$C$1800,الريسبي!$A$2:$A$1800,$A121,الريسبي!$B$2:$B$1800,CF$1)</f>
        <v>0</v>
      </c>
      <c r="CG121" s="115" t="n">
        <f aca="false">SUMIFS(الريسبي!$C$2:$C$1800,الريسبي!$A$2:$A$1800,$A121,الريسبي!$B$2:$B$1800,CG$1)</f>
        <v>0</v>
      </c>
      <c r="CH121" s="115" t="n">
        <f aca="false">SUMIFS(الريسبي!$C$2:$C$1800,الريسبي!$A$2:$A$1800,$A121,الريسبي!$B$2:$B$1800,CH$1)</f>
        <v>0</v>
      </c>
    </row>
    <row r="122" customFormat="false" ht="15" hidden="false" customHeight="false" outlineLevel="0" collapsed="false">
      <c r="A122" s="114" t="str">
        <f aca="false">المنيو!B122</f>
        <v>مكرونة فراخ باربيكيو صيامي</v>
      </c>
      <c r="B122" s="115" t="n">
        <f aca="false">SUMIFS(الريسبي!$C$2:$C$1800,الريسبي!$A$2:$A$1800,$A122,الريسبي!$B$2:$B$1800,B$1)</f>
        <v>1</v>
      </c>
      <c r="C122" s="115" t="n">
        <f aca="false">SUMIFS(الريسبي!$C$2:$C$1800,الريسبي!$A$2:$A$1800,$A122,الريسبي!$B$2:$B$1800,C$1)</f>
        <v>0</v>
      </c>
      <c r="D122" s="115" t="n">
        <f aca="false">SUMIFS(الريسبي!$C$2:$C$1800,الريسبي!$A$2:$A$1800,$A122,الريسبي!$B$2:$B$1800,D$1)</f>
        <v>0</v>
      </c>
      <c r="E122" s="115" t="n">
        <f aca="false">SUMIFS(الريسبي!$C$2:$C$1800,الريسبي!$A$2:$A$1800,$A122,الريسبي!$B$2:$B$1800,E$1)</f>
        <v>1</v>
      </c>
      <c r="F122" s="115" t="n">
        <f aca="false">SUMIFS(الريسبي!$C$2:$C$1800,الريسبي!$A$2:$A$1800,$A122,الريسبي!$B$2:$B$1800,F$1)</f>
        <v>0</v>
      </c>
      <c r="G122" s="115" t="n">
        <f aca="false">SUMIFS(الريسبي!$C$2:$C$1800,الريسبي!$A$2:$A$1800,$A122,الريسبي!$B$2:$B$1800,G$1)</f>
        <v>0</v>
      </c>
      <c r="H122" s="115" t="n">
        <f aca="false">SUMIFS(الريسبي!$C$2:$C$1800,الريسبي!$A$2:$A$1800,$A122,الريسبي!$B$2:$B$1800,H$1)</f>
        <v>0</v>
      </c>
      <c r="I122" s="115" t="n">
        <f aca="false">SUMIFS(الريسبي!$C$2:$C$1800,الريسبي!$A$2:$A$1800,$A122,الريسبي!$B$2:$B$1800,I$1)</f>
        <v>0</v>
      </c>
      <c r="J122" s="115" t="n">
        <f aca="false">SUMIFS(الريسبي!$C$2:$C$1800,الريسبي!$A$2:$A$1800,$A122,الريسبي!$B$2:$B$1800,J$1)</f>
        <v>0</v>
      </c>
      <c r="K122" s="115" t="n">
        <f aca="false">SUMIFS(الريسبي!$C$2:$C$1800,الريسبي!$A$2:$A$1800,$A122,الريسبي!$B$2:$B$1800,K$1)</f>
        <v>0</v>
      </c>
      <c r="L122" s="115" t="n">
        <f aca="false">SUMIFS(الريسبي!$C$2:$C$1800,الريسبي!$A$2:$A$1800,$A122,الريسبي!$B$2:$B$1800,L$1)</f>
        <v>0</v>
      </c>
      <c r="M122" s="115" t="n">
        <f aca="false">SUMIFS(الريسبي!$C$2:$C$1800,الريسبي!$A$2:$A$1800,$A122,الريسبي!$B$2:$B$1800,M$1)</f>
        <v>0</v>
      </c>
      <c r="N122" s="115" t="n">
        <f aca="false">SUMIFS(الريسبي!$C$2:$C$1800,الريسبي!$A$2:$A$1800,$A122,الريسبي!$B$2:$B$1800,N$1)</f>
        <v>0</v>
      </c>
      <c r="O122" s="115" t="n">
        <f aca="false">SUMIFS(الريسبي!$C$2:$C$1800,الريسبي!$A$2:$A$1800,$A122,الريسبي!$B$2:$B$1800,O$1)</f>
        <v>0</v>
      </c>
      <c r="P122" s="115" t="n">
        <f aca="false">SUMIFS(الريسبي!$C$2:$C$1800,الريسبي!$A$2:$A$1800,$A122,الريسبي!$B$2:$B$1800,P$1)</f>
        <v>0</v>
      </c>
      <c r="Q122" s="115" t="n">
        <f aca="false">SUMIFS(الريسبي!$C$2:$C$1800,الريسبي!$A$2:$A$1800,$A122,الريسبي!$B$2:$B$1800,Q$1)</f>
        <v>0</v>
      </c>
      <c r="R122" s="115" t="n">
        <f aca="false">SUMIFS(الريسبي!$C$2:$C$1800,الريسبي!$A$2:$A$1800,$A122,الريسبي!$B$2:$B$1800,R$1)</f>
        <v>0</v>
      </c>
      <c r="S122" s="115" t="n">
        <f aca="false">SUMIFS(الريسبي!$C$2:$C$1800,الريسبي!$A$2:$A$1800,$A122,الريسبي!$B$2:$B$1800,S$1)</f>
        <v>0</v>
      </c>
      <c r="T122" s="115" t="n">
        <f aca="false">SUMIFS(الريسبي!$C$2:$C$1800,الريسبي!$A$2:$A$1800,$A122,الريسبي!$B$2:$B$1800,T$1)</f>
        <v>0</v>
      </c>
      <c r="U122" s="115" t="n">
        <f aca="false">SUMIFS(الريسبي!$C$2:$C$1800,الريسبي!$A$2:$A$1800,$A122,الريسبي!$B$2:$B$1800,U$1)</f>
        <v>0</v>
      </c>
      <c r="V122" s="115" t="n">
        <f aca="false">SUMIFS(الريسبي!$C$2:$C$1800,الريسبي!$A$2:$A$1800,$A122,الريسبي!$B$2:$B$1800,V$1)</f>
        <v>0</v>
      </c>
      <c r="W122" s="115" t="n">
        <f aca="false">SUMIFS(الريسبي!$C$2:$C$1800,الريسبي!$A$2:$A$1800,$A122,الريسبي!$B$2:$B$1800,W$1)</f>
        <v>0</v>
      </c>
      <c r="X122" s="115" t="n">
        <f aca="false">SUMIFS(الريسبي!$C$2:$C$1800,الريسبي!$A$2:$A$1800,$A122,الريسبي!$B$2:$B$1800,X$1)</f>
        <v>1</v>
      </c>
      <c r="Y122" s="115" t="n">
        <f aca="false">SUMIFS(الريسبي!$C$2:$C$1800,الريسبي!$A$2:$A$1800,$A122,الريسبي!$B$2:$B$1800,Y$1)</f>
        <v>0</v>
      </c>
      <c r="Z122" s="115" t="n">
        <f aca="false">SUMIFS(الريسبي!$C$2:$C$1800,الريسبي!$A$2:$A$1800,$A122,الريسبي!$B$2:$B$1800,Z$1)</f>
        <v>0</v>
      </c>
      <c r="AA122" s="115" t="n">
        <f aca="false">SUMIFS(الريسبي!$C$2:$C$1800,الريسبي!$A$2:$A$1800,$A122,الريسبي!$B$2:$B$1800,AA$1)</f>
        <v>0</v>
      </c>
      <c r="AB122" s="115" t="n">
        <f aca="false">SUMIFS(الريسبي!$C$2:$C$1800,الريسبي!$A$2:$A$1800,$A122,الريسبي!$B$2:$B$1800,AB$1)</f>
        <v>0</v>
      </c>
      <c r="AC122" s="115" t="n">
        <f aca="false">SUMIFS(الريسبي!$C$2:$C$1800,الريسبي!$A$2:$A$1800,$A122,الريسبي!$B$2:$B$1800,AC$1)</f>
        <v>0</v>
      </c>
      <c r="AD122" s="115" t="n">
        <f aca="false">SUMIFS(الريسبي!$C$2:$C$1800,الريسبي!$A$2:$A$1800,$A122,الريسبي!$B$2:$B$1800,AD$1)</f>
        <v>0.2</v>
      </c>
      <c r="AE122" s="115" t="n">
        <f aca="false">SUMIFS(الريسبي!$C$2:$C$1800,الريسبي!$A$2:$A$1800,$A122,الريسبي!$B$2:$B$1800,AE$1)</f>
        <v>0</v>
      </c>
      <c r="AF122" s="115" t="n">
        <f aca="false">SUMIFS(الريسبي!$C$2:$C$1800,الريسبي!$A$2:$A$1800,$A122,الريسبي!$B$2:$B$1800,AF$1)</f>
        <v>0</v>
      </c>
      <c r="AG122" s="115" t="n">
        <f aca="false">SUMIFS(الريسبي!$C$2:$C$1800,الريسبي!$A$2:$A$1800,$A122,الريسبي!$B$2:$B$1800,AG$1)</f>
        <v>0</v>
      </c>
      <c r="AH122" s="115" t="n">
        <f aca="false">SUMIFS(الريسبي!$C$2:$C$1800,الريسبي!$A$2:$A$1800,$A122,الريسبي!$B$2:$B$1800,AH$1)</f>
        <v>0</v>
      </c>
      <c r="AI122" s="115" t="n">
        <f aca="false">SUMIFS(الريسبي!$C$2:$C$1800,الريسبي!$A$2:$A$1800,$A122,الريسبي!$B$2:$B$1800,AI$1)</f>
        <v>0</v>
      </c>
      <c r="AJ122" s="115" t="n">
        <f aca="false">SUMIFS(الريسبي!$C$2:$C$1800,الريسبي!$A$2:$A$1800,$A122,الريسبي!$B$2:$B$1800,AJ$1)</f>
        <v>2</v>
      </c>
      <c r="AK122" s="115" t="n">
        <f aca="false">SUMIFS(الريسبي!$C$2:$C$1800,الريسبي!$A$2:$A$1800,$A122,الريسبي!$B$2:$B$1800,AK$1)</f>
        <v>0</v>
      </c>
      <c r="AL122" s="115" t="n">
        <f aca="false">SUMIFS(الريسبي!$C$2:$C$1800,الريسبي!$A$2:$A$1800,$A122,الريسبي!$B$2:$B$1800,AL$1)</f>
        <v>0</v>
      </c>
      <c r="AM122" s="115"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15"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15" t="n">
        <f aca="false">SUMIFS(الريسبي!$C$2:$C$1800,الريسبي!$A$2:$A$1800,$A122,الريسبي!$B$2:$B$1800,AO$1)</f>
        <v>0</v>
      </c>
      <c r="AP122" s="115" t="n">
        <f aca="false">SUMIFS(الريسبي!$C$2:$C$1800,الريسبي!$A$2:$A$1800,$A122,الريسبي!$B$2:$B$1800,AP$1)</f>
        <v>0</v>
      </c>
      <c r="AQ122" s="115"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15" t="n">
        <f aca="false">SUMIFS(الريسبي!$C$2:$C$1800,الريسبي!$A$2:$A$1800,$A122,الريسبي!$B$2:$B$1800,AR$1)</f>
        <v>0</v>
      </c>
      <c r="AS122" s="115" t="n">
        <f aca="false">SUMIFS(الريسبي!$C$2:$C$1800,الريسبي!$A$2:$A$1800,$A122,الريسبي!$B$2:$B$1800,AS$1)</f>
        <v>0</v>
      </c>
      <c r="AT122" s="115" t="n">
        <f aca="false">SUMIFS(الريسبي!$C$2:$C$1800,الريسبي!$A$2:$A$1800,$A122,الريسبي!$B$2:$B$1800,AT$1)</f>
        <v>0</v>
      </c>
      <c r="AU122" s="115" t="n">
        <f aca="false">SUMIFS(الريسبي!$C$2:$C$1800,الريسبي!$A$2:$A$1800,$A122,الريسبي!$B$2:$B$1800,AU$1)</f>
        <v>1</v>
      </c>
      <c r="AV122" s="115" t="n">
        <f aca="false">SUMIFS(الريسبي!$C$2:$C$1800,الريسبي!$A$2:$A$1800,$A122,الريسبي!$B$2:$B$1800,AV$1)</f>
        <v>0</v>
      </c>
      <c r="AW122" s="115" t="n">
        <f aca="false">SUMIFS(الريسبي!$C$2:$C$1800,الريسبي!$A$2:$A$1800,$A122,الريسبي!$B$2:$B$1800,AW$1)</f>
        <v>0</v>
      </c>
      <c r="AX122" s="115" t="n">
        <f aca="false">SUMIFS(الريسبي!$C$2:$C$1800,الريسبي!$A$2:$A$1800,$A122,الريسبي!$B$2:$B$1800,AX$1)</f>
        <v>0</v>
      </c>
      <c r="AY122" s="115" t="n">
        <f aca="false">SUMIFS(الريسبي!$C$2:$C$1800,الريسبي!$A$2:$A$1800,$A122,الريسبي!$B$2:$B$1800,AY$1)</f>
        <v>0.1</v>
      </c>
      <c r="AZ122" s="115" t="n">
        <f aca="false">SUMIFS(الريسبي!$C$2:$C$1800,الريسبي!$A$2:$A$1800,$A122,الريسبي!$B$2:$B$1800,AZ$1)</f>
        <v>0</v>
      </c>
      <c r="BA122" s="115" t="n">
        <f aca="false">SUMIFS(الريسبي!$C$2:$C$1800,الريسبي!$A$2:$A$1800,$A122,الريسبي!$B$2:$B$1800,BA$1)</f>
        <v>0</v>
      </c>
      <c r="BB122" s="115" t="n">
        <f aca="false">SUMIFS(الريسبي!$C$2:$C$1800,الريسبي!$A$2:$A$1800,$A122,الريسبي!$B$2:$B$1800,BB$1)</f>
        <v>0</v>
      </c>
      <c r="BC122" s="115" t="n">
        <f aca="false">SUMIFS(الريسبي!$C$2:$C$1800,الريسبي!$A$2:$A$1800,$A122,الريسبي!$B$2:$B$1800,BC$1)</f>
        <v>0</v>
      </c>
      <c r="BD122" s="115" t="n">
        <f aca="false">SUMIFS(الريسبي!$C$2:$C$1800,الريسبي!$A$2:$A$1800,$A122,الريسبي!$B$2:$B$1800,BD$1)</f>
        <v>0</v>
      </c>
      <c r="BE122" s="115" t="n">
        <f aca="false">SUMIFS(الريسبي!$C$2:$C$1800,الريسبي!$A$2:$A$1800,$A122,الريسبي!$B$2:$B$1800,BE$1)</f>
        <v>0</v>
      </c>
      <c r="BF122" s="115" t="n">
        <f aca="false">SUMIFS(الريسبي!$C$2:$C$1800,الريسبي!$A$2:$A$1800,$A122,الريسبي!$B$2:$B$1800,BF$1)</f>
        <v>0</v>
      </c>
      <c r="BG122" s="115" t="n">
        <f aca="false">SUMIFS(الريسبي!$C$2:$C$1800,الريسبي!$A$2:$A$1800,$A122,الريسبي!$B$2:$B$1800,BG$1)</f>
        <v>0</v>
      </c>
      <c r="BH122" s="115" t="n">
        <f aca="false">SUMIFS(الريسبي!$C$2:$C$1800,الريسبي!$A$2:$A$1800,$A122,الريسبي!$B$2:$B$1800,BH$1)</f>
        <v>0</v>
      </c>
      <c r="BI122" s="115" t="n">
        <f aca="false">SUMIFS(الريسبي!$C$2:$C$1800,الريسبي!$A$2:$A$1800,$A122,الريسبي!$B$2:$B$1800,BI$1)</f>
        <v>0</v>
      </c>
      <c r="BJ122" s="115" t="n">
        <f aca="false">SUMIFS(الريسبي!$C$2:$C$1800,الريسبي!$A$2:$A$1800,$A122,الريسبي!$B$2:$B$1800,BJ$1)</f>
        <v>0</v>
      </c>
      <c r="BK122" s="115" t="n">
        <f aca="false">SUMIFS(الريسبي!$C$2:$C$1800,الريسبي!$A$2:$A$1800,$A122,الريسبي!$B$2:$B$1800,BK$1)</f>
        <v>0</v>
      </c>
      <c r="BL122" s="115" t="n">
        <f aca="false">SUMIFS(الريسبي!$C$2:$C$1800,الريسبي!$A$2:$A$1800,$A122,الريسبي!$B$2:$B$1800,BL$1)</f>
        <v>0</v>
      </c>
      <c r="BM122" s="115" t="n">
        <f aca="false">SUMIFS(الريسبي!$C$2:$C$1800,الريسبي!$A$2:$A$1800,$A122,الريسبي!$B$2:$B$1800,BM$1)</f>
        <v>0.14</v>
      </c>
      <c r="BN122" s="115" t="n">
        <f aca="false">SUMIFS(الريسبي!$C$2:$C$1800,الريسبي!$A$2:$A$1800,$A122,الريسبي!$B$2:$B$1800,BN$1)</f>
        <v>0</v>
      </c>
      <c r="BO122" s="115" t="n">
        <f aca="false">SUMIFS(الريسبي!$C$2:$C$1800,الريسبي!$A$2:$A$1800,$A122,الريسبي!$B$2:$B$1800,BO$1)</f>
        <v>0</v>
      </c>
      <c r="BP122" s="115" t="n">
        <f aca="false">SUMIFS(الريسبي!$C$2:$C$1800,الريسبي!$A$2:$A$1800,$A122,الريسبي!$B$2:$B$1800,BP$1)</f>
        <v>2</v>
      </c>
      <c r="BQ122" s="115"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15" t="n">
        <f aca="false">SUMIFS(الريسبي!$C$2:$C$1800,الريسبي!$A$2:$A$1800,$A122,الريسبي!$B$2:$B$1800,BR$1)</f>
        <v>0</v>
      </c>
      <c r="BS122" s="115" t="n">
        <f aca="false">SUMIFS(الريسبي!$C$2:$C$1800,الريسبي!$A$2:$A$1800,$A122,الريسبي!$B$2:$B$1800,BS$1)</f>
        <v>0</v>
      </c>
      <c r="BT122" s="115" t="n">
        <f aca="false">SUMIFS(الريسبي!$C$2:$C$1800,الريسبي!$A$2:$A$1800,$A122,الريسبي!$B$2:$B$1800,BT$1)</f>
        <v>0</v>
      </c>
      <c r="BU122" s="115"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15" t="n">
        <f aca="false">SUMIFS(الريسبي!$C$2:$C$1800,الريسبي!$A$2:$A$1800,$A122,الريسبي!$B$2:$B$1800,BV$1)</f>
        <v>0</v>
      </c>
      <c r="BW122" s="115" t="n">
        <f aca="false">SUMIFS(الريسبي!$C$2:$C$1800,الريسبي!$A$2:$A$1800,$A122,الريسبي!$B$2:$B$1800,BW$1)</f>
        <v>0</v>
      </c>
      <c r="BX122" s="115" t="n">
        <f aca="false">SUMIFS(الريسبي!$C$2:$C$1800,الريسبي!$A$2:$A$1800,$A122,الريسبي!$B$2:$B$1800,BX$1)</f>
        <v>0.15</v>
      </c>
      <c r="BY122" s="115" t="n">
        <f aca="false">SUMIFS(الريسبي!$C$2:$C$1800,الريسبي!$A$2:$A$1800,$A122,الريسبي!$B$2:$B$1800,BY$1)</f>
        <v>0</v>
      </c>
      <c r="BZ122" s="115" t="n">
        <f aca="false">SUMIFS(الريسبي!$C$2:$C$1800,الريسبي!$A$2:$A$1800,$A122,الريسبي!$B$2:$B$1800,BZ$1)</f>
        <v>0</v>
      </c>
      <c r="CA122" s="115" t="n">
        <f aca="false">SUMIFS(الريسبي!$C$2:$C$1800,الريسبي!$A$2:$A$1800,$A122,الريسبي!$B$2:$B$1800,CA$1)</f>
        <v>0</v>
      </c>
      <c r="CB122" s="115" t="n">
        <f aca="false">SUMIFS(الريسبي!$C$2:$C$1800,الريسبي!$A$2:$A$1800,$A122,الريسبي!$B$2:$B$1800,CB$1)</f>
        <v>1</v>
      </c>
      <c r="CC122" s="115" t="n">
        <f aca="false">SUMIFS(الريسبي!$C$2:$C$1800,الريسبي!$A$2:$A$1800,$A122,الريسبي!$B$2:$B$1800,CC$1)</f>
        <v>0</v>
      </c>
      <c r="CD122" s="115" t="n">
        <f aca="false">SUMIFS(الريسبي!$C$2:$C$1800,الريسبي!$A$2:$A$1800,$A122,الريسبي!$B$2:$B$1800,CD$1)</f>
        <v>0</v>
      </c>
      <c r="CE122" s="115" t="n">
        <f aca="false">SUMIFS(الريسبي!$C$2:$C$1800,الريسبي!$A$2:$A$1800,$A122,الريسبي!$B$2:$B$1800,CE$1)</f>
        <v>0</v>
      </c>
      <c r="CF122" s="115" t="n">
        <f aca="false">SUMIFS(الريسبي!$C$2:$C$1800,الريسبي!$A$2:$A$1800,$A122,الريسبي!$B$2:$B$1800,CF$1)</f>
        <v>0</v>
      </c>
      <c r="CG122" s="115" t="n">
        <f aca="false">SUMIFS(الريسبي!$C$2:$C$1800,الريسبي!$A$2:$A$1800,$A122,الريسبي!$B$2:$B$1800,CG$1)</f>
        <v>0</v>
      </c>
      <c r="CH122" s="115" t="n">
        <f aca="false">SUMIFS(الريسبي!$C$2:$C$1800,الريسبي!$A$2:$A$1800,$A122,الريسبي!$B$2:$B$1800,CH$1)</f>
        <v>0</v>
      </c>
    </row>
    <row r="123" customFormat="false" ht="15" hidden="false" customHeight="false" outlineLevel="0" collapsed="false">
      <c r="A123" s="114" t="str">
        <f aca="false">المنيو!B123</f>
        <v>مكرونة جمبري صيامي</v>
      </c>
      <c r="B123" s="115" t="n">
        <f aca="false">SUMIFS(الريسبي!$C$2:$C$1800,الريسبي!$A$2:$A$1800,$A123,الريسبي!$B$2:$B$1800,B$1)</f>
        <v>1</v>
      </c>
      <c r="C123" s="115" t="n">
        <f aca="false">SUMIFS(الريسبي!$C$2:$C$1800,الريسبي!$A$2:$A$1800,$A123,الريسبي!$B$2:$B$1800,C$1)</f>
        <v>0</v>
      </c>
      <c r="D123" s="115" t="n">
        <f aca="false">SUMIFS(الريسبي!$C$2:$C$1800,الريسبي!$A$2:$A$1800,$A123,الريسبي!$B$2:$B$1800,D$1)</f>
        <v>0</v>
      </c>
      <c r="E123" s="115" t="n">
        <f aca="false">SUMIFS(الريسبي!$C$2:$C$1800,الريسبي!$A$2:$A$1800,$A123,الريسبي!$B$2:$B$1800,E$1)</f>
        <v>1</v>
      </c>
      <c r="F123" s="115" t="n">
        <f aca="false">SUMIFS(الريسبي!$C$2:$C$1800,الريسبي!$A$2:$A$1800,$A123,الريسبي!$B$2:$B$1800,F$1)</f>
        <v>0</v>
      </c>
      <c r="G123" s="115" t="n">
        <f aca="false">SUMIFS(الريسبي!$C$2:$C$1800,الريسبي!$A$2:$A$1800,$A123,الريسبي!$B$2:$B$1800,G$1)</f>
        <v>0</v>
      </c>
      <c r="H123" s="115" t="n">
        <f aca="false">SUMIFS(الريسبي!$C$2:$C$1800,الريسبي!$A$2:$A$1800,$A123,الريسبي!$B$2:$B$1800,H$1)</f>
        <v>0</v>
      </c>
      <c r="I123" s="115" t="n">
        <f aca="false">SUMIFS(الريسبي!$C$2:$C$1800,الريسبي!$A$2:$A$1800,$A123,الريسبي!$B$2:$B$1800,I$1)</f>
        <v>0</v>
      </c>
      <c r="J123" s="115" t="n">
        <f aca="false">SUMIFS(الريسبي!$C$2:$C$1800,الريسبي!$A$2:$A$1800,$A123,الريسبي!$B$2:$B$1800,J$1)</f>
        <v>0</v>
      </c>
      <c r="K123" s="115" t="n">
        <f aca="false">SUMIFS(الريسبي!$C$2:$C$1800,الريسبي!$A$2:$A$1800,$A123,الريسبي!$B$2:$B$1800,K$1)</f>
        <v>1</v>
      </c>
      <c r="L123" s="115" t="n">
        <f aca="false">SUMIFS(الريسبي!$C$2:$C$1800,الريسبي!$A$2:$A$1800,$A123,الريسبي!$B$2:$B$1800,L$1)</f>
        <v>0</v>
      </c>
      <c r="M123" s="115" t="n">
        <f aca="false">SUMIFS(الريسبي!$C$2:$C$1800,الريسبي!$A$2:$A$1800,$A123,الريسبي!$B$2:$B$1800,M$1)</f>
        <v>0</v>
      </c>
      <c r="N123" s="115" t="n">
        <f aca="false">SUMIFS(الريسبي!$C$2:$C$1800,الريسبي!$A$2:$A$1800,$A123,الريسبي!$B$2:$B$1800,N$1)</f>
        <v>0</v>
      </c>
      <c r="O123" s="115" t="n">
        <f aca="false">SUMIFS(الريسبي!$C$2:$C$1800,الريسبي!$A$2:$A$1800,$A123,الريسبي!$B$2:$B$1800,O$1)</f>
        <v>0</v>
      </c>
      <c r="P123" s="115" t="n">
        <f aca="false">SUMIFS(الريسبي!$C$2:$C$1800,الريسبي!$A$2:$A$1800,$A123,الريسبي!$B$2:$B$1800,P$1)</f>
        <v>0</v>
      </c>
      <c r="Q123" s="115" t="n">
        <f aca="false">SUMIFS(الريسبي!$C$2:$C$1800,الريسبي!$A$2:$A$1800,$A123,الريسبي!$B$2:$B$1800,Q$1)</f>
        <v>0</v>
      </c>
      <c r="R123" s="115" t="n">
        <f aca="false">SUMIFS(الريسبي!$C$2:$C$1800,الريسبي!$A$2:$A$1800,$A123,الريسبي!$B$2:$B$1800,R$1)</f>
        <v>0</v>
      </c>
      <c r="S123" s="115" t="n">
        <f aca="false">SUMIFS(الريسبي!$C$2:$C$1800,الريسبي!$A$2:$A$1800,$A123,الريسبي!$B$2:$B$1800,S$1)</f>
        <v>0</v>
      </c>
      <c r="T123" s="115" t="n">
        <f aca="false">SUMIFS(الريسبي!$C$2:$C$1800,الريسبي!$A$2:$A$1800,$A123,الريسبي!$B$2:$B$1800,T$1)</f>
        <v>0</v>
      </c>
      <c r="U123" s="115" t="n">
        <f aca="false">SUMIFS(الريسبي!$C$2:$C$1800,الريسبي!$A$2:$A$1800,$A123,الريسبي!$B$2:$B$1800,U$1)</f>
        <v>0</v>
      </c>
      <c r="V123" s="115" t="n">
        <f aca="false">SUMIFS(الريسبي!$C$2:$C$1800,الريسبي!$A$2:$A$1800,$A123,الريسبي!$B$2:$B$1800,V$1)</f>
        <v>0</v>
      </c>
      <c r="W123" s="115" t="n">
        <f aca="false">SUMIFS(الريسبي!$C$2:$C$1800,الريسبي!$A$2:$A$1800,$A123,الريسبي!$B$2:$B$1800,W$1)</f>
        <v>0</v>
      </c>
      <c r="X123" s="115" t="n">
        <f aca="false">SUMIFS(الريسبي!$C$2:$C$1800,الريسبي!$A$2:$A$1800,$A123,الريسبي!$B$2:$B$1800,X$1)</f>
        <v>1</v>
      </c>
      <c r="Y123" s="115" t="n">
        <f aca="false">SUMIFS(الريسبي!$C$2:$C$1800,الريسبي!$A$2:$A$1800,$A123,الريسبي!$B$2:$B$1800,Y$1)</f>
        <v>0</v>
      </c>
      <c r="Z123" s="115" t="n">
        <f aca="false">SUMIFS(الريسبي!$C$2:$C$1800,الريسبي!$A$2:$A$1800,$A123,الريسبي!$B$2:$B$1800,Z$1)</f>
        <v>0</v>
      </c>
      <c r="AA123" s="115" t="n">
        <f aca="false">SUMIFS(الريسبي!$C$2:$C$1800,الريسبي!$A$2:$A$1800,$A123,الريسبي!$B$2:$B$1800,AA$1)</f>
        <v>0</v>
      </c>
      <c r="AB123" s="115" t="n">
        <f aca="false">SUMIFS(الريسبي!$C$2:$C$1800,الريسبي!$A$2:$A$1800,$A123,الريسبي!$B$2:$B$1800,AB$1)</f>
        <v>0</v>
      </c>
      <c r="AC123" s="115" t="n">
        <f aca="false">SUMIFS(الريسبي!$C$2:$C$1800,الريسبي!$A$2:$A$1800,$A123,الريسبي!$B$2:$B$1800,AC$1)</f>
        <v>0</v>
      </c>
      <c r="AD123" s="115" t="n">
        <f aca="false">SUMIFS(الريسبي!$C$2:$C$1800,الريسبي!$A$2:$A$1800,$A123,الريسبي!$B$2:$B$1800,AD$1)</f>
        <v>0.2</v>
      </c>
      <c r="AE123" s="115" t="n">
        <f aca="false">SUMIFS(الريسبي!$C$2:$C$1800,الريسبي!$A$2:$A$1800,$A123,الريسبي!$B$2:$B$1800,AE$1)</f>
        <v>0</v>
      </c>
      <c r="AF123" s="115" t="n">
        <f aca="false">SUMIFS(الريسبي!$C$2:$C$1800,الريسبي!$A$2:$A$1800,$A123,الريسبي!$B$2:$B$1800,AF$1)</f>
        <v>0</v>
      </c>
      <c r="AG123" s="115" t="n">
        <f aca="false">SUMIFS(الريسبي!$C$2:$C$1800,الريسبي!$A$2:$A$1800,$A123,الريسبي!$B$2:$B$1800,AG$1)</f>
        <v>0</v>
      </c>
      <c r="AH123" s="115" t="n">
        <f aca="false">SUMIFS(الريسبي!$C$2:$C$1800,الريسبي!$A$2:$A$1800,$A123,الريسبي!$B$2:$B$1800,AH$1)</f>
        <v>0</v>
      </c>
      <c r="AI123" s="115" t="n">
        <f aca="false">SUMIFS(الريسبي!$C$2:$C$1800,الريسبي!$A$2:$A$1800,$A123,الريسبي!$B$2:$B$1800,AI$1)</f>
        <v>0</v>
      </c>
      <c r="AJ123" s="115" t="n">
        <f aca="false">SUMIFS(الريسبي!$C$2:$C$1800,الريسبي!$A$2:$A$1800,$A123,الريسبي!$B$2:$B$1800,AJ$1)</f>
        <v>2</v>
      </c>
      <c r="AK123" s="115" t="n">
        <f aca="false">SUMIFS(الريسبي!$C$2:$C$1800,الريسبي!$A$2:$A$1800,$A123,الريسبي!$B$2:$B$1800,AK$1)</f>
        <v>0</v>
      </c>
      <c r="AL123" s="115" t="n">
        <f aca="false">SUMIFS(الريسبي!$C$2:$C$1800,الريسبي!$A$2:$A$1800,$A123,الريسبي!$B$2:$B$1800,AL$1)</f>
        <v>0</v>
      </c>
      <c r="AM123" s="115"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15"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15" t="n">
        <f aca="false">SUMIFS(الريسبي!$C$2:$C$1800,الريسبي!$A$2:$A$1800,$A123,الريسبي!$B$2:$B$1800,AO$1)</f>
        <v>0</v>
      </c>
      <c r="AP123" s="115" t="n">
        <f aca="false">SUMIFS(الريسبي!$C$2:$C$1800,الريسبي!$A$2:$A$1800,$A123,الريسبي!$B$2:$B$1800,AP$1)</f>
        <v>0</v>
      </c>
      <c r="AQ123" s="115"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15" t="n">
        <f aca="false">SUMIFS(الريسبي!$C$2:$C$1800,الريسبي!$A$2:$A$1800,$A123,الريسبي!$B$2:$B$1800,AR$1)</f>
        <v>0</v>
      </c>
      <c r="AS123" s="115" t="n">
        <f aca="false">SUMIFS(الريسبي!$C$2:$C$1800,الريسبي!$A$2:$A$1800,$A123,الريسبي!$B$2:$B$1800,AS$1)</f>
        <v>0</v>
      </c>
      <c r="AT123" s="115" t="n">
        <f aca="false">SUMIFS(الريسبي!$C$2:$C$1800,الريسبي!$A$2:$A$1800,$A123,الريسبي!$B$2:$B$1800,AT$1)</f>
        <v>0</v>
      </c>
      <c r="AU123" s="115" t="n">
        <f aca="false">SUMIFS(الريسبي!$C$2:$C$1800,الريسبي!$A$2:$A$1800,$A123,الريسبي!$B$2:$B$1800,AU$1)</f>
        <v>1</v>
      </c>
      <c r="AV123" s="115" t="n">
        <f aca="false">SUMIFS(الريسبي!$C$2:$C$1800,الريسبي!$A$2:$A$1800,$A123,الريسبي!$B$2:$B$1800,AV$1)</f>
        <v>0</v>
      </c>
      <c r="AW123" s="115" t="n">
        <f aca="false">SUMIFS(الريسبي!$C$2:$C$1800,الريسبي!$A$2:$A$1800,$A123,الريسبي!$B$2:$B$1800,AW$1)</f>
        <v>0</v>
      </c>
      <c r="AX123" s="115" t="n">
        <f aca="false">SUMIFS(الريسبي!$C$2:$C$1800,الريسبي!$A$2:$A$1800,$A123,الريسبي!$B$2:$B$1800,AX$1)</f>
        <v>0</v>
      </c>
      <c r="AY123" s="115" t="n">
        <f aca="false">SUMIFS(الريسبي!$C$2:$C$1800,الريسبي!$A$2:$A$1800,$A123,الريسبي!$B$2:$B$1800,AY$1)</f>
        <v>0</v>
      </c>
      <c r="AZ123" s="115" t="n">
        <f aca="false">SUMIFS(الريسبي!$C$2:$C$1800,الريسبي!$A$2:$A$1800,$A123,الريسبي!$B$2:$B$1800,AZ$1)</f>
        <v>0</v>
      </c>
      <c r="BA123" s="115" t="n">
        <f aca="false">SUMIFS(الريسبي!$C$2:$C$1800,الريسبي!$A$2:$A$1800,$A123,الريسبي!$B$2:$B$1800,BA$1)</f>
        <v>0</v>
      </c>
      <c r="BB123" s="115" t="n">
        <f aca="false">SUMIFS(الريسبي!$C$2:$C$1800,الريسبي!$A$2:$A$1800,$A123,الريسبي!$B$2:$B$1800,BB$1)</f>
        <v>0</v>
      </c>
      <c r="BC123" s="115" t="n">
        <f aca="false">SUMIFS(الريسبي!$C$2:$C$1800,الريسبي!$A$2:$A$1800,$A123,الريسبي!$B$2:$B$1800,BC$1)</f>
        <v>0</v>
      </c>
      <c r="BD123" s="115" t="n">
        <f aca="false">SUMIFS(الريسبي!$C$2:$C$1800,الريسبي!$A$2:$A$1800,$A123,الريسبي!$B$2:$B$1800,BD$1)</f>
        <v>0</v>
      </c>
      <c r="BE123" s="115" t="n">
        <f aca="false">SUMIFS(الريسبي!$C$2:$C$1800,الريسبي!$A$2:$A$1800,$A123,الريسبي!$B$2:$B$1800,BE$1)</f>
        <v>0</v>
      </c>
      <c r="BF123" s="115" t="n">
        <f aca="false">SUMIFS(الريسبي!$C$2:$C$1800,الريسبي!$A$2:$A$1800,$A123,الريسبي!$B$2:$B$1800,BF$1)</f>
        <v>0</v>
      </c>
      <c r="BG123" s="115" t="n">
        <f aca="false">SUMIFS(الريسبي!$C$2:$C$1800,الريسبي!$A$2:$A$1800,$A123,الريسبي!$B$2:$B$1800,BG$1)</f>
        <v>0</v>
      </c>
      <c r="BH123" s="115" t="n">
        <f aca="false">SUMIFS(الريسبي!$C$2:$C$1800,الريسبي!$A$2:$A$1800,$A123,الريسبي!$B$2:$B$1800,BH$1)</f>
        <v>0</v>
      </c>
      <c r="BI123" s="115" t="n">
        <f aca="false">SUMIFS(الريسبي!$C$2:$C$1800,الريسبي!$A$2:$A$1800,$A123,الريسبي!$B$2:$B$1800,BI$1)</f>
        <v>0</v>
      </c>
      <c r="BJ123" s="115" t="n">
        <f aca="false">SUMIFS(الريسبي!$C$2:$C$1800,الريسبي!$A$2:$A$1800,$A123,الريسبي!$B$2:$B$1800,BJ$1)</f>
        <v>0</v>
      </c>
      <c r="BK123" s="115" t="n">
        <f aca="false">SUMIFS(الريسبي!$C$2:$C$1800,الريسبي!$A$2:$A$1800,$A123,الريسبي!$B$2:$B$1800,BK$1)</f>
        <v>0</v>
      </c>
      <c r="BL123" s="115" t="n">
        <f aca="false">SUMIFS(الريسبي!$C$2:$C$1800,الريسبي!$A$2:$A$1800,$A123,الريسبي!$B$2:$B$1800,BL$1)</f>
        <v>0</v>
      </c>
      <c r="BM123" s="115" t="n">
        <f aca="false">SUMIFS(الريسبي!$C$2:$C$1800,الريسبي!$A$2:$A$1800,$A123,الريسبي!$B$2:$B$1800,BM$1)</f>
        <v>0</v>
      </c>
      <c r="BN123" s="115" t="n">
        <f aca="false">SUMIFS(الريسبي!$C$2:$C$1800,الريسبي!$A$2:$A$1800,$A123,الريسبي!$B$2:$B$1800,BN$1)</f>
        <v>0</v>
      </c>
      <c r="BO123" s="115" t="n">
        <f aca="false">SUMIFS(الريسبي!$C$2:$C$1800,الريسبي!$A$2:$A$1800,$A123,الريسبي!$B$2:$B$1800,BO$1)</f>
        <v>0</v>
      </c>
      <c r="BP123" s="115" t="n">
        <f aca="false">SUMIFS(الريسبي!$C$2:$C$1800,الريسبي!$A$2:$A$1800,$A123,الريسبي!$B$2:$B$1800,BP$1)</f>
        <v>2</v>
      </c>
      <c r="BQ123" s="115"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15" t="n">
        <f aca="false">SUMIFS(الريسبي!$C$2:$C$1800,الريسبي!$A$2:$A$1800,$A123,الريسبي!$B$2:$B$1800,BR$1)</f>
        <v>0</v>
      </c>
      <c r="BS123" s="115" t="n">
        <f aca="false">SUMIFS(الريسبي!$C$2:$C$1800,الريسبي!$A$2:$A$1800,$A123,الريسبي!$B$2:$B$1800,BS$1)</f>
        <v>0</v>
      </c>
      <c r="BT123" s="115" t="n">
        <f aca="false">SUMIFS(الريسبي!$C$2:$C$1800,الريسبي!$A$2:$A$1800,$A123,الريسبي!$B$2:$B$1800,BT$1)</f>
        <v>0</v>
      </c>
      <c r="BU123" s="115"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15" t="n">
        <f aca="false">SUMIFS(الريسبي!$C$2:$C$1800,الريسبي!$A$2:$A$1800,$A123,الريسبي!$B$2:$B$1800,BV$1)</f>
        <v>0</v>
      </c>
      <c r="BW123" s="115" t="n">
        <f aca="false">SUMIFS(الريسبي!$C$2:$C$1800,الريسبي!$A$2:$A$1800,$A123,الريسبي!$B$2:$B$1800,BW$1)</f>
        <v>0</v>
      </c>
      <c r="BX123" s="115" t="n">
        <f aca="false">SUMIFS(الريسبي!$C$2:$C$1800,الريسبي!$A$2:$A$1800,$A123,الريسبي!$B$2:$B$1800,BX$1)</f>
        <v>0.15</v>
      </c>
      <c r="BY123" s="115" t="n">
        <f aca="false">SUMIFS(الريسبي!$C$2:$C$1800,الريسبي!$A$2:$A$1800,$A123,الريسبي!$B$2:$B$1800,BY$1)</f>
        <v>0</v>
      </c>
      <c r="BZ123" s="115" t="n">
        <f aca="false">SUMIFS(الريسبي!$C$2:$C$1800,الريسبي!$A$2:$A$1800,$A123,الريسبي!$B$2:$B$1800,BZ$1)</f>
        <v>0</v>
      </c>
      <c r="CA123" s="115" t="n">
        <f aca="false">SUMIFS(الريسبي!$C$2:$C$1800,الريسبي!$A$2:$A$1800,$A123,الريسبي!$B$2:$B$1800,CA$1)</f>
        <v>0</v>
      </c>
      <c r="CB123" s="115" t="n">
        <f aca="false">SUMIFS(الريسبي!$C$2:$C$1800,الريسبي!$A$2:$A$1800,$A123,الريسبي!$B$2:$B$1800,CB$1)</f>
        <v>1</v>
      </c>
      <c r="CC123" s="115" t="n">
        <f aca="false">SUMIFS(الريسبي!$C$2:$C$1800,الريسبي!$A$2:$A$1800,$A123,الريسبي!$B$2:$B$1800,CC$1)</f>
        <v>0</v>
      </c>
      <c r="CD123" s="115" t="n">
        <f aca="false">SUMIFS(الريسبي!$C$2:$C$1800,الريسبي!$A$2:$A$1800,$A123,الريسبي!$B$2:$B$1800,CD$1)</f>
        <v>0</v>
      </c>
      <c r="CE123" s="115" t="n">
        <f aca="false">SUMIFS(الريسبي!$C$2:$C$1800,الريسبي!$A$2:$A$1800,$A123,الريسبي!$B$2:$B$1800,CE$1)</f>
        <v>0</v>
      </c>
      <c r="CF123" s="115" t="n">
        <f aca="false">SUMIFS(الريسبي!$C$2:$C$1800,الريسبي!$A$2:$A$1800,$A123,الريسبي!$B$2:$B$1800,CF$1)</f>
        <v>0</v>
      </c>
      <c r="CG123" s="115" t="n">
        <f aca="false">SUMIFS(الريسبي!$C$2:$C$1800,الريسبي!$A$2:$A$1800,$A123,الريسبي!$B$2:$B$1800,CG$1)</f>
        <v>0</v>
      </c>
      <c r="CH123" s="115" t="n">
        <f aca="false">SUMIFS(الريسبي!$C$2:$C$1800,الريسبي!$A$2:$A$1800,$A123,الريسبي!$B$2:$B$1800,CH$1)</f>
        <v>0</v>
      </c>
    </row>
    <row r="124" customFormat="false" ht="15" hidden="false" customHeight="false" outlineLevel="0" collapsed="false">
      <c r="A124" s="114" t="str">
        <f aca="false">المنيو!B124</f>
        <v>كريب بطاطس صيامي</v>
      </c>
      <c r="B124" s="115" t="n">
        <f aca="false">SUMIFS(الريسبي!$C$2:$C$1800,الريسبي!$A$2:$A$1800,$A124,الريسبي!$B$2:$B$1800,B$1)</f>
        <v>0</v>
      </c>
      <c r="C124" s="115" t="n">
        <f aca="false">SUMIFS(الريسبي!$C$2:$C$1800,الريسبي!$A$2:$A$1800,$A124,الريسبي!$B$2:$B$1800,C$1)</f>
        <v>0</v>
      </c>
      <c r="D124" s="115" t="n">
        <f aca="false">SUMIFS(الريسبي!$C$2:$C$1800,الريسبي!$A$2:$A$1800,$A124,الريسبي!$B$2:$B$1800,D$1)</f>
        <v>0</v>
      </c>
      <c r="E124" s="115" t="n">
        <f aca="false">SUMIFS(الريسبي!$C$2:$C$1800,الريسبي!$A$2:$A$1800,$A124,الريسبي!$B$2:$B$1800,E$1)</f>
        <v>0</v>
      </c>
      <c r="F124" s="115" t="n">
        <f aca="false">SUMIFS(الريسبي!$C$2:$C$1800,الريسبي!$A$2:$A$1800,$A124,الريسبي!$B$2:$B$1800,F$1)</f>
        <v>0</v>
      </c>
      <c r="G124" s="115" t="n">
        <f aca="false">SUMIFS(الريسبي!$C$2:$C$1800,الريسبي!$A$2:$A$1800,$A124,الريسبي!$B$2:$B$1800,G$1)</f>
        <v>0</v>
      </c>
      <c r="H124" s="115" t="n">
        <f aca="false">SUMIFS(الريسبي!$C$2:$C$1800,الريسبي!$A$2:$A$1800,$A124,الريسبي!$B$2:$B$1800,H$1)</f>
        <v>0</v>
      </c>
      <c r="I124" s="115" t="n">
        <f aca="false">SUMIFS(الريسبي!$C$2:$C$1800,الريسبي!$A$2:$A$1800,$A124,الريسبي!$B$2:$B$1800,I$1)</f>
        <v>1.5</v>
      </c>
      <c r="J124" s="115" t="n">
        <f aca="false">SUMIFS(الريسبي!$C$2:$C$1800,الريسبي!$A$2:$A$1800,$A124,الريسبي!$B$2:$B$1800,J$1)</f>
        <v>0</v>
      </c>
      <c r="K124" s="115" t="n">
        <f aca="false">SUMIFS(الريسبي!$C$2:$C$1800,الريسبي!$A$2:$A$1800,$A124,الريسبي!$B$2:$B$1800,K$1)</f>
        <v>0</v>
      </c>
      <c r="L124" s="115" t="n">
        <f aca="false">SUMIFS(الريسبي!$C$2:$C$1800,الريسبي!$A$2:$A$1800,$A124,الريسبي!$B$2:$B$1800,L$1)</f>
        <v>0</v>
      </c>
      <c r="M124" s="115" t="n">
        <f aca="false">SUMIFS(الريسبي!$C$2:$C$1800,الريسبي!$A$2:$A$1800,$A124,الريسبي!$B$2:$B$1800,M$1)</f>
        <v>0</v>
      </c>
      <c r="N124" s="115" t="n">
        <f aca="false">SUMIFS(الريسبي!$C$2:$C$1800,الريسبي!$A$2:$A$1800,$A124,الريسبي!$B$2:$B$1800,N$1)</f>
        <v>0</v>
      </c>
      <c r="O124" s="115" t="n">
        <f aca="false">SUMIFS(الريسبي!$C$2:$C$1800,الريسبي!$A$2:$A$1800,$A124,الريسبي!$B$2:$B$1800,O$1)</f>
        <v>0</v>
      </c>
      <c r="P124" s="115" t="n">
        <f aca="false">SUMIFS(الريسبي!$C$2:$C$1800,الريسبي!$A$2:$A$1800,$A124,الريسبي!$B$2:$B$1800,P$1)</f>
        <v>0</v>
      </c>
      <c r="Q124" s="115" t="n">
        <f aca="false">SUMIFS(الريسبي!$C$2:$C$1800,الريسبي!$A$2:$A$1800,$A124,الريسبي!$B$2:$B$1800,Q$1)</f>
        <v>0</v>
      </c>
      <c r="R124" s="115" t="n">
        <f aca="false">SUMIFS(الريسبي!$C$2:$C$1800,الريسبي!$A$2:$A$1800,$A124,الريسبي!$B$2:$B$1800,R$1)</f>
        <v>0</v>
      </c>
      <c r="S124" s="115" t="n">
        <f aca="false">SUMIFS(الريسبي!$C$2:$C$1800,الريسبي!$A$2:$A$1800,$A124,الريسبي!$B$2:$B$1800,S$1)</f>
        <v>0</v>
      </c>
      <c r="T124" s="115" t="n">
        <f aca="false">SUMIFS(الريسبي!$C$2:$C$1800,الريسبي!$A$2:$A$1800,$A124,الريسبي!$B$2:$B$1800,T$1)</f>
        <v>0</v>
      </c>
      <c r="U124" s="115" t="n">
        <f aca="false">SUMIFS(الريسبي!$C$2:$C$1800,الريسبي!$A$2:$A$1800,$A124,الريسبي!$B$2:$B$1800,U$1)</f>
        <v>0</v>
      </c>
      <c r="V124" s="115" t="n">
        <f aca="false">SUMIFS(الريسبي!$C$2:$C$1800,الريسبي!$A$2:$A$1800,$A124,الريسبي!$B$2:$B$1800,V$1)</f>
        <v>0</v>
      </c>
      <c r="W124" s="115" t="n">
        <f aca="false">SUMIFS(الريسبي!$C$2:$C$1800,الريسبي!$A$2:$A$1800,$A124,الريسبي!$B$2:$B$1800,W$1)</f>
        <v>0</v>
      </c>
      <c r="X124" s="115" t="n">
        <f aca="false">SUMIFS(الريسبي!$C$2:$C$1800,الريسبي!$A$2:$A$1800,$A124,الريسبي!$B$2:$B$1800,X$1)</f>
        <v>1</v>
      </c>
      <c r="Y124" s="115" t="n">
        <f aca="false">SUMIFS(الريسبي!$C$2:$C$1800,الريسبي!$A$2:$A$1800,$A124,الريسبي!$B$2:$B$1800,Y$1)</f>
        <v>0</v>
      </c>
      <c r="Z124" s="115" t="n">
        <f aca="false">SUMIFS(الريسبي!$C$2:$C$1800,الريسبي!$A$2:$A$1800,$A124,الريسبي!$B$2:$B$1800,Z$1)</f>
        <v>0</v>
      </c>
      <c r="AA124" s="115" t="n">
        <f aca="false">SUMIFS(الريسبي!$C$2:$C$1800,الريسبي!$A$2:$A$1800,$A124,الريسبي!$B$2:$B$1800,AA$1)</f>
        <v>0</v>
      </c>
      <c r="AB124" s="115" t="n">
        <f aca="false">SUMIFS(الريسبي!$C$2:$C$1800,الريسبي!$A$2:$A$1800,$A124,الريسبي!$B$2:$B$1800,AB$1)</f>
        <v>0</v>
      </c>
      <c r="AC124" s="115" t="n">
        <f aca="false">SUMIFS(الريسبي!$C$2:$C$1800,الريسبي!$A$2:$A$1800,$A124,الريسبي!$B$2:$B$1800,AC$1)</f>
        <v>0</v>
      </c>
      <c r="AD124" s="115" t="n">
        <f aca="false">SUMIFS(الريسبي!$C$2:$C$1800,الريسبي!$A$2:$A$1800,$A124,الريسبي!$B$2:$B$1800,AD$1)</f>
        <v>0</v>
      </c>
      <c r="AE124" s="115" t="n">
        <f aca="false">SUMIFS(الريسبي!$C$2:$C$1800,الريسبي!$A$2:$A$1800,$A124,الريسبي!$B$2:$B$1800,AE$1)</f>
        <v>0</v>
      </c>
      <c r="AF124" s="115" t="n">
        <f aca="false">SUMIFS(الريسبي!$C$2:$C$1800,الريسبي!$A$2:$A$1800,$A124,الريسبي!$B$2:$B$1800,AF$1)</f>
        <v>0</v>
      </c>
      <c r="AG124" s="115" t="n">
        <f aca="false">SUMIFS(الريسبي!$C$2:$C$1800,الريسبي!$A$2:$A$1800,$A124,الريسبي!$B$2:$B$1800,AG$1)</f>
        <v>0</v>
      </c>
      <c r="AH124" s="115" t="n">
        <f aca="false">SUMIFS(الريسبي!$C$2:$C$1800,الريسبي!$A$2:$A$1800,$A124,الريسبي!$B$2:$B$1800,AH$1)</f>
        <v>0</v>
      </c>
      <c r="AI124" s="115" t="n">
        <f aca="false">SUMIFS(الريسبي!$C$2:$C$1800,الريسبي!$A$2:$A$1800,$A124,الريسبي!$B$2:$B$1800,AI$1)</f>
        <v>0</v>
      </c>
      <c r="AJ124" s="115" t="n">
        <f aca="false">SUMIFS(الريسبي!$C$2:$C$1800,الريسبي!$A$2:$A$1800,$A124,الريسبي!$B$2:$B$1800,AJ$1)</f>
        <v>0</v>
      </c>
      <c r="AK124" s="115" t="n">
        <f aca="false">SUMIFS(الريسبي!$C$2:$C$1800,الريسبي!$A$2:$A$1800,$A124,الريسبي!$B$2:$B$1800,AK$1)</f>
        <v>0</v>
      </c>
      <c r="AL124" s="115" t="n">
        <f aca="false">SUMIFS(الريسبي!$C$2:$C$1800,الريسبي!$A$2:$A$1800,$A124,الريسبي!$B$2:$B$1800,AL$1)</f>
        <v>0</v>
      </c>
      <c r="AM124" s="115"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15"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15" t="n">
        <f aca="false">SUMIFS(الريسبي!$C$2:$C$1800,الريسبي!$A$2:$A$1800,$A124,الريسبي!$B$2:$B$1800,AO$1)</f>
        <v>0</v>
      </c>
      <c r="AP124" s="115" t="n">
        <f aca="false">SUMIFS(الريسبي!$C$2:$C$1800,الريسبي!$A$2:$A$1800,$A124,الريسبي!$B$2:$B$1800,AP$1)</f>
        <v>0.02</v>
      </c>
      <c r="AQ124" s="115"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15" t="n">
        <f aca="false">SUMIFS(الريسبي!$C$2:$C$1800,الريسبي!$A$2:$A$1800,$A124,الريسبي!$B$2:$B$1800,AR$1)</f>
        <v>0</v>
      </c>
      <c r="AS124" s="115" t="n">
        <f aca="false">SUMIFS(الريسبي!$C$2:$C$1800,الريسبي!$A$2:$A$1800,$A124,الريسبي!$B$2:$B$1800,AS$1)</f>
        <v>1</v>
      </c>
      <c r="AT124" s="115" t="n">
        <f aca="false">SUMIFS(الريسبي!$C$2:$C$1800,الريسبي!$A$2:$A$1800,$A124,الريسبي!$B$2:$B$1800,AT$1)</f>
        <v>0</v>
      </c>
      <c r="AU124" s="115" t="n">
        <f aca="false">SUMIFS(الريسبي!$C$2:$C$1800,الريسبي!$A$2:$A$1800,$A124,الريسبي!$B$2:$B$1800,AU$1)</f>
        <v>0</v>
      </c>
      <c r="AV124" s="115" t="n">
        <f aca="false">SUMIFS(الريسبي!$C$2:$C$1800,الريسبي!$A$2:$A$1800,$A124,الريسبي!$B$2:$B$1800,AV$1)</f>
        <v>0</v>
      </c>
      <c r="AW124" s="115" t="n">
        <f aca="false">SUMIFS(الريسبي!$C$2:$C$1800,الريسبي!$A$2:$A$1800,$A124,الريسبي!$B$2:$B$1800,AW$1)</f>
        <v>0</v>
      </c>
      <c r="AX124" s="115" t="n">
        <f aca="false">SUMIFS(الريسبي!$C$2:$C$1800,الريسبي!$A$2:$A$1800,$A124,الريسبي!$B$2:$B$1800,AX$1)</f>
        <v>0</v>
      </c>
      <c r="AY124" s="115" t="n">
        <f aca="false">SUMIFS(الريسبي!$C$2:$C$1800,الريسبي!$A$2:$A$1800,$A124,الريسبي!$B$2:$B$1800,AY$1)</f>
        <v>0</v>
      </c>
      <c r="AZ124" s="115" t="n">
        <f aca="false">SUMIFS(الريسبي!$C$2:$C$1800,الريسبي!$A$2:$A$1800,$A124,الريسبي!$B$2:$B$1800,AZ$1)</f>
        <v>0</v>
      </c>
      <c r="BA124" s="115" t="n">
        <f aca="false">SUMIFS(الريسبي!$C$2:$C$1800,الريسبي!$A$2:$A$1800,$A124,الريسبي!$B$2:$B$1800,BA$1)</f>
        <v>0</v>
      </c>
      <c r="BB124" s="115" t="n">
        <f aca="false">SUMIFS(الريسبي!$C$2:$C$1800,الريسبي!$A$2:$A$1800,$A124,الريسبي!$B$2:$B$1800,BB$1)</f>
        <v>0</v>
      </c>
      <c r="BC124" s="115" t="n">
        <f aca="false">SUMIFS(الريسبي!$C$2:$C$1800,الريسبي!$A$2:$A$1800,$A124,الريسبي!$B$2:$B$1800,BC$1)</f>
        <v>0.03</v>
      </c>
      <c r="BD124" s="115" t="n">
        <f aca="false">SUMIFS(الريسبي!$C$2:$C$1800,الريسبي!$A$2:$A$1800,$A124,الريسبي!$B$2:$B$1800,BD$1)</f>
        <v>0</v>
      </c>
      <c r="BE124" s="115" t="n">
        <f aca="false">SUMIFS(الريسبي!$C$2:$C$1800,الريسبي!$A$2:$A$1800,$A124,الريسبي!$B$2:$B$1800,BE$1)</f>
        <v>0</v>
      </c>
      <c r="BF124" s="115" t="n">
        <f aca="false">SUMIFS(الريسبي!$C$2:$C$1800,الريسبي!$A$2:$A$1800,$A124,الريسبي!$B$2:$B$1800,BF$1)</f>
        <v>0</v>
      </c>
      <c r="BG124" s="115" t="n">
        <f aca="false">SUMIFS(الريسبي!$C$2:$C$1800,الريسبي!$A$2:$A$1800,$A124,الريسبي!$B$2:$B$1800,BG$1)</f>
        <v>0</v>
      </c>
      <c r="BH124" s="115" t="n">
        <f aca="false">SUMIFS(الريسبي!$C$2:$C$1800,الريسبي!$A$2:$A$1800,$A124,الريسبي!$B$2:$B$1800,BH$1)</f>
        <v>0</v>
      </c>
      <c r="BI124" s="115" t="n">
        <f aca="false">SUMIFS(الريسبي!$C$2:$C$1800,الريسبي!$A$2:$A$1800,$A124,الريسبي!$B$2:$B$1800,BI$1)</f>
        <v>0</v>
      </c>
      <c r="BJ124" s="115" t="n">
        <f aca="false">SUMIFS(الريسبي!$C$2:$C$1800,الريسبي!$A$2:$A$1800,$A124,الريسبي!$B$2:$B$1800,BJ$1)</f>
        <v>0</v>
      </c>
      <c r="BK124" s="115" t="n">
        <f aca="false">SUMIFS(الريسبي!$C$2:$C$1800,الريسبي!$A$2:$A$1800,$A124,الريسبي!$B$2:$B$1800,BK$1)</f>
        <v>0</v>
      </c>
      <c r="BL124" s="115" t="n">
        <f aca="false">SUMIFS(الريسبي!$C$2:$C$1800,الريسبي!$A$2:$A$1800,$A124,الريسبي!$B$2:$B$1800,BL$1)</f>
        <v>0</v>
      </c>
      <c r="BM124" s="115" t="n">
        <f aca="false">SUMIFS(الريسبي!$C$2:$C$1800,الريسبي!$A$2:$A$1800,$A124,الريسبي!$B$2:$B$1800,BM$1)</f>
        <v>0</v>
      </c>
      <c r="BN124" s="115" t="n">
        <f aca="false">SUMIFS(الريسبي!$C$2:$C$1800,الريسبي!$A$2:$A$1800,$A124,الريسبي!$B$2:$B$1800,BN$1)</f>
        <v>0.02</v>
      </c>
      <c r="BO124" s="115" t="n">
        <f aca="false">SUMIFS(الريسبي!$C$2:$C$1800,الريسبي!$A$2:$A$1800,$A124,الريسبي!$B$2:$B$1800,BO$1)</f>
        <v>0</v>
      </c>
      <c r="BP124" s="115" t="n">
        <f aca="false">SUMIFS(الريسبي!$C$2:$C$1800,الريسبي!$A$2:$A$1800,$A124,الريسبي!$B$2:$B$1800,BP$1)</f>
        <v>0</v>
      </c>
      <c r="BQ124" s="115"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15" t="n">
        <f aca="false">SUMIFS(الريسبي!$C$2:$C$1800,الريسبي!$A$2:$A$1800,$A124,الريسبي!$B$2:$B$1800,BR$1)</f>
        <v>0</v>
      </c>
      <c r="BS124" s="115" t="n">
        <f aca="false">SUMIFS(الريسبي!$C$2:$C$1800,الريسبي!$A$2:$A$1800,$A124,الريسبي!$B$2:$B$1800,BS$1)</f>
        <v>0</v>
      </c>
      <c r="BT124" s="115" t="n">
        <f aca="false">SUMIFS(الريسبي!$C$2:$C$1800,الريسبي!$A$2:$A$1800,$A124,الريسبي!$B$2:$B$1800,BT$1)</f>
        <v>1</v>
      </c>
      <c r="BU124" s="115"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15" t="n">
        <f aca="false">SUMIFS(الريسبي!$C$2:$C$1800,الريسبي!$A$2:$A$1800,$A124,الريسبي!$B$2:$B$1800,BV$1)</f>
        <v>0</v>
      </c>
      <c r="BW124" s="115" t="n">
        <f aca="false">SUMIFS(الريسبي!$C$2:$C$1800,الريسبي!$A$2:$A$1800,$A124,الريسبي!$B$2:$B$1800,BW$1)</f>
        <v>0</v>
      </c>
      <c r="BX124" s="115" t="n">
        <f aca="false">SUMIFS(الريسبي!$C$2:$C$1800,الريسبي!$A$2:$A$1800,$A124,الريسبي!$B$2:$B$1800,BX$1)</f>
        <v>0</v>
      </c>
      <c r="BY124" s="115" t="n">
        <f aca="false">SUMIFS(الريسبي!$C$2:$C$1800,الريسبي!$A$2:$A$1800,$A124,الريسبي!$B$2:$B$1800,BY$1)</f>
        <v>0</v>
      </c>
      <c r="BZ124" s="115" t="n">
        <f aca="false">SUMIFS(الريسبي!$C$2:$C$1800,الريسبي!$A$2:$A$1800,$A124,الريسبي!$B$2:$B$1800,BZ$1)</f>
        <v>0</v>
      </c>
      <c r="CA124" s="115" t="n">
        <f aca="false">SUMIFS(الريسبي!$C$2:$C$1800,الريسبي!$A$2:$A$1800,$A124,الريسبي!$B$2:$B$1800,CA$1)</f>
        <v>0</v>
      </c>
      <c r="CB124" s="115" t="n">
        <f aca="false">SUMIFS(الريسبي!$C$2:$C$1800,الريسبي!$A$2:$A$1800,$A124,الريسبي!$B$2:$B$1800,CB$1)</f>
        <v>0</v>
      </c>
      <c r="CC124" s="115" t="n">
        <f aca="false">SUMIFS(الريسبي!$C$2:$C$1800,الريسبي!$A$2:$A$1800,$A124,الريسبي!$B$2:$B$1800,CC$1)</f>
        <v>0</v>
      </c>
      <c r="CD124" s="115" t="n">
        <f aca="false">SUMIFS(الريسبي!$C$2:$C$1800,الريسبي!$A$2:$A$1800,$A124,الريسبي!$B$2:$B$1800,CD$1)</f>
        <v>0</v>
      </c>
      <c r="CE124" s="115" t="n">
        <f aca="false">SUMIFS(الريسبي!$C$2:$C$1800,الريسبي!$A$2:$A$1800,$A124,الريسبي!$B$2:$B$1800,CE$1)</f>
        <v>0</v>
      </c>
      <c r="CF124" s="115" t="n">
        <f aca="false">SUMIFS(الريسبي!$C$2:$C$1800,الريسبي!$A$2:$A$1800,$A124,الريسبي!$B$2:$B$1800,CF$1)</f>
        <v>0</v>
      </c>
      <c r="CG124" s="115" t="n">
        <f aca="false">SUMIFS(الريسبي!$C$2:$C$1800,الريسبي!$A$2:$A$1800,$A124,الريسبي!$B$2:$B$1800,CG$1)</f>
        <v>0</v>
      </c>
      <c r="CH124" s="115" t="n">
        <f aca="false">SUMIFS(الريسبي!$C$2:$C$1800,الريسبي!$A$2:$A$1800,$A124,الريسبي!$B$2:$B$1800,CH$1)</f>
        <v>0</v>
      </c>
    </row>
    <row r="125" customFormat="false" ht="15" hidden="false" customHeight="false" outlineLevel="0" collapsed="false">
      <c r="A125" s="114" t="str">
        <f aca="false">المنيو!B125</f>
        <v>كريب فراخ باربيكيو صيامي</v>
      </c>
      <c r="B125" s="115" t="n">
        <f aca="false">SUMIFS(الريسبي!$C$2:$C$1800,الريسبي!$A$2:$A$1800,$A125,الريسبي!$B$2:$B$1800,B$1)</f>
        <v>0</v>
      </c>
      <c r="C125" s="115" t="n">
        <f aca="false">SUMIFS(الريسبي!$C$2:$C$1800,الريسبي!$A$2:$A$1800,$A125,الريسبي!$B$2:$B$1800,C$1)</f>
        <v>0</v>
      </c>
      <c r="D125" s="115" t="n">
        <f aca="false">SUMIFS(الريسبي!$C$2:$C$1800,الريسبي!$A$2:$A$1800,$A125,الريسبي!$B$2:$B$1800,D$1)</f>
        <v>0</v>
      </c>
      <c r="E125" s="115" t="n">
        <f aca="false">SUMIFS(الريسبي!$C$2:$C$1800,الريسبي!$A$2:$A$1800,$A125,الريسبي!$B$2:$B$1800,E$1)</f>
        <v>0</v>
      </c>
      <c r="F125" s="115" t="n">
        <f aca="false">SUMIFS(الريسبي!$C$2:$C$1800,الريسبي!$A$2:$A$1800,$A125,الريسبي!$B$2:$B$1800,F$1)</f>
        <v>0</v>
      </c>
      <c r="G125" s="115" t="n">
        <f aca="false">SUMIFS(الريسبي!$C$2:$C$1800,الريسبي!$A$2:$A$1800,$A125,الريسبي!$B$2:$B$1800,G$1)</f>
        <v>0</v>
      </c>
      <c r="H125" s="115" t="n">
        <f aca="false">SUMIFS(الريسبي!$C$2:$C$1800,الريسبي!$A$2:$A$1800,$A125,الريسبي!$B$2:$B$1800,H$1)</f>
        <v>0</v>
      </c>
      <c r="I125" s="115" t="n">
        <f aca="false">SUMIFS(الريسبي!$C$2:$C$1800,الريسبي!$A$2:$A$1800,$A125,الريسبي!$B$2:$B$1800,I$1)</f>
        <v>0</v>
      </c>
      <c r="J125" s="115" t="n">
        <f aca="false">SUMIFS(الريسبي!$C$2:$C$1800,الريسبي!$A$2:$A$1800,$A125,الريسبي!$B$2:$B$1800,J$1)</f>
        <v>0</v>
      </c>
      <c r="K125" s="115" t="n">
        <f aca="false">SUMIFS(الريسبي!$C$2:$C$1800,الريسبي!$A$2:$A$1800,$A125,الريسبي!$B$2:$B$1800,K$1)</f>
        <v>0</v>
      </c>
      <c r="L125" s="115" t="n">
        <f aca="false">SUMIFS(الريسبي!$C$2:$C$1800,الريسبي!$A$2:$A$1800,$A125,الريسبي!$B$2:$B$1800,L$1)</f>
        <v>0</v>
      </c>
      <c r="M125" s="115" t="n">
        <f aca="false">SUMIFS(الريسبي!$C$2:$C$1800,الريسبي!$A$2:$A$1800,$A125,الريسبي!$B$2:$B$1800,M$1)</f>
        <v>0</v>
      </c>
      <c r="N125" s="115" t="n">
        <f aca="false">SUMIFS(الريسبي!$C$2:$C$1800,الريسبي!$A$2:$A$1800,$A125,الريسبي!$B$2:$B$1800,N$1)</f>
        <v>0</v>
      </c>
      <c r="O125" s="115" t="n">
        <f aca="false">SUMIFS(الريسبي!$C$2:$C$1800,الريسبي!$A$2:$A$1800,$A125,الريسبي!$B$2:$B$1800,O$1)</f>
        <v>0</v>
      </c>
      <c r="P125" s="115" t="n">
        <f aca="false">SUMIFS(الريسبي!$C$2:$C$1800,الريسبي!$A$2:$A$1800,$A125,الريسبي!$B$2:$B$1800,P$1)</f>
        <v>0</v>
      </c>
      <c r="Q125" s="115" t="n">
        <f aca="false">SUMIFS(الريسبي!$C$2:$C$1800,الريسبي!$A$2:$A$1800,$A125,الريسبي!$B$2:$B$1800,Q$1)</f>
        <v>0</v>
      </c>
      <c r="R125" s="115" t="n">
        <f aca="false">SUMIFS(الريسبي!$C$2:$C$1800,الريسبي!$A$2:$A$1800,$A125,الريسبي!$B$2:$B$1800,R$1)</f>
        <v>0</v>
      </c>
      <c r="S125" s="115" t="n">
        <f aca="false">SUMIFS(الريسبي!$C$2:$C$1800,الريسبي!$A$2:$A$1800,$A125,الريسبي!$B$2:$B$1800,S$1)</f>
        <v>0</v>
      </c>
      <c r="T125" s="115" t="n">
        <f aca="false">SUMIFS(الريسبي!$C$2:$C$1800,الريسبي!$A$2:$A$1800,$A125,الريسبي!$B$2:$B$1800,T$1)</f>
        <v>0</v>
      </c>
      <c r="U125" s="115" t="n">
        <f aca="false">SUMIFS(الريسبي!$C$2:$C$1800,الريسبي!$A$2:$A$1800,$A125,الريسبي!$B$2:$B$1800,U$1)</f>
        <v>0</v>
      </c>
      <c r="V125" s="115" t="n">
        <f aca="false">SUMIFS(الريسبي!$C$2:$C$1800,الريسبي!$A$2:$A$1800,$A125,الريسبي!$B$2:$B$1800,V$1)</f>
        <v>0</v>
      </c>
      <c r="W125" s="115" t="n">
        <f aca="false">SUMIFS(الريسبي!$C$2:$C$1800,الريسبي!$A$2:$A$1800,$A125,الريسبي!$B$2:$B$1800,W$1)</f>
        <v>0</v>
      </c>
      <c r="X125" s="115" t="n">
        <f aca="false">SUMIFS(الريسبي!$C$2:$C$1800,الريسبي!$A$2:$A$1800,$A125,الريسبي!$B$2:$B$1800,X$1)</f>
        <v>1</v>
      </c>
      <c r="Y125" s="115" t="n">
        <f aca="false">SUMIFS(الريسبي!$C$2:$C$1800,الريسبي!$A$2:$A$1800,$A125,الريسبي!$B$2:$B$1800,Y$1)</f>
        <v>0</v>
      </c>
      <c r="Z125" s="115" t="n">
        <f aca="false">SUMIFS(الريسبي!$C$2:$C$1800,الريسبي!$A$2:$A$1800,$A125,الريسبي!$B$2:$B$1800,Z$1)</f>
        <v>0</v>
      </c>
      <c r="AA125" s="115" t="n">
        <f aca="false">SUMIFS(الريسبي!$C$2:$C$1800,الريسبي!$A$2:$A$1800,$A125,الريسبي!$B$2:$B$1800,AA$1)</f>
        <v>0</v>
      </c>
      <c r="AB125" s="115" t="n">
        <f aca="false">SUMIFS(الريسبي!$C$2:$C$1800,الريسبي!$A$2:$A$1800,$A125,الريسبي!$B$2:$B$1800,AB$1)</f>
        <v>0</v>
      </c>
      <c r="AC125" s="115" t="n">
        <f aca="false">SUMIFS(الريسبي!$C$2:$C$1800,الريسبي!$A$2:$A$1800,$A125,الريسبي!$B$2:$B$1800,AC$1)</f>
        <v>0</v>
      </c>
      <c r="AD125" s="115" t="n">
        <f aca="false">SUMIFS(الريسبي!$C$2:$C$1800,الريسبي!$A$2:$A$1800,$A125,الريسبي!$B$2:$B$1800,AD$1)</f>
        <v>0</v>
      </c>
      <c r="AE125" s="115" t="n">
        <f aca="false">SUMIFS(الريسبي!$C$2:$C$1800,الريسبي!$A$2:$A$1800,$A125,الريسبي!$B$2:$B$1800,AE$1)</f>
        <v>0</v>
      </c>
      <c r="AF125" s="115" t="n">
        <f aca="false">SUMIFS(الريسبي!$C$2:$C$1800,الريسبي!$A$2:$A$1800,$A125,الريسبي!$B$2:$B$1800,AF$1)</f>
        <v>0</v>
      </c>
      <c r="AG125" s="115" t="n">
        <f aca="false">SUMIFS(الريسبي!$C$2:$C$1800,الريسبي!$A$2:$A$1800,$A125,الريسبي!$B$2:$B$1800,AG$1)</f>
        <v>0</v>
      </c>
      <c r="AH125" s="115" t="n">
        <f aca="false">SUMIFS(الريسبي!$C$2:$C$1800,الريسبي!$A$2:$A$1800,$A125,الريسبي!$B$2:$B$1800,AH$1)</f>
        <v>0</v>
      </c>
      <c r="AI125" s="115" t="n">
        <f aca="false">SUMIFS(الريسبي!$C$2:$C$1800,الريسبي!$A$2:$A$1800,$A125,الريسبي!$B$2:$B$1800,AI$1)</f>
        <v>0</v>
      </c>
      <c r="AJ125" s="115" t="n">
        <f aca="false">SUMIFS(الريسبي!$C$2:$C$1800,الريسبي!$A$2:$A$1800,$A125,الريسبي!$B$2:$B$1800,AJ$1)</f>
        <v>0</v>
      </c>
      <c r="AK125" s="115" t="n">
        <f aca="false">SUMIFS(الريسبي!$C$2:$C$1800,الريسبي!$A$2:$A$1800,$A125,الريسبي!$B$2:$B$1800,AK$1)</f>
        <v>0</v>
      </c>
      <c r="AL125" s="115" t="n">
        <f aca="false">SUMIFS(الريسبي!$C$2:$C$1800,الريسبي!$A$2:$A$1800,$A125,الريسبي!$B$2:$B$1800,AL$1)</f>
        <v>0</v>
      </c>
      <c r="AM125" s="115"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15"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15" t="n">
        <f aca="false">SUMIFS(الريسبي!$C$2:$C$1800,الريسبي!$A$2:$A$1800,$A125,الريسبي!$B$2:$B$1800,AO$1)</f>
        <v>0</v>
      </c>
      <c r="AP125" s="115" t="n">
        <f aca="false">SUMIFS(الريسبي!$C$2:$C$1800,الريسبي!$A$2:$A$1800,$A125,الريسبي!$B$2:$B$1800,AP$1)</f>
        <v>0.02</v>
      </c>
      <c r="AQ125" s="115"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15" t="n">
        <f aca="false">SUMIFS(الريسبي!$C$2:$C$1800,الريسبي!$A$2:$A$1800,$A125,الريسبي!$B$2:$B$1800,AR$1)</f>
        <v>0</v>
      </c>
      <c r="AS125" s="115" t="n">
        <f aca="false">SUMIFS(الريسبي!$C$2:$C$1800,الريسبي!$A$2:$A$1800,$A125,الريسبي!$B$2:$B$1800,AS$1)</f>
        <v>1</v>
      </c>
      <c r="AT125" s="115" t="n">
        <f aca="false">SUMIFS(الريسبي!$C$2:$C$1800,الريسبي!$A$2:$A$1800,$A125,الريسبي!$B$2:$B$1800,AT$1)</f>
        <v>0</v>
      </c>
      <c r="AU125" s="115" t="n">
        <f aca="false">SUMIFS(الريسبي!$C$2:$C$1800,الريسبي!$A$2:$A$1800,$A125,الريسبي!$B$2:$B$1800,AU$1)</f>
        <v>0</v>
      </c>
      <c r="AV125" s="115" t="n">
        <f aca="false">SUMIFS(الريسبي!$C$2:$C$1800,الريسبي!$A$2:$A$1800,$A125,الريسبي!$B$2:$B$1800,AV$1)</f>
        <v>0</v>
      </c>
      <c r="AW125" s="115" t="n">
        <f aca="false">SUMIFS(الريسبي!$C$2:$C$1800,الريسبي!$A$2:$A$1800,$A125,الريسبي!$B$2:$B$1800,AW$1)</f>
        <v>0</v>
      </c>
      <c r="AX125" s="115" t="n">
        <f aca="false">SUMIFS(الريسبي!$C$2:$C$1800,الريسبي!$A$2:$A$1800,$A125,الريسبي!$B$2:$B$1800,AX$1)</f>
        <v>0</v>
      </c>
      <c r="AY125" s="115" t="n">
        <f aca="false">SUMIFS(الريسبي!$C$2:$C$1800,الريسبي!$A$2:$A$1800,$A125,الريسبي!$B$2:$B$1800,AY$1)</f>
        <v>0.1</v>
      </c>
      <c r="AZ125" s="115" t="n">
        <f aca="false">SUMIFS(الريسبي!$C$2:$C$1800,الريسبي!$A$2:$A$1800,$A125,الريسبي!$B$2:$B$1800,AZ$1)</f>
        <v>0</v>
      </c>
      <c r="BA125" s="115" t="n">
        <f aca="false">SUMIFS(الريسبي!$C$2:$C$1800,الريسبي!$A$2:$A$1800,$A125,الريسبي!$B$2:$B$1800,BA$1)</f>
        <v>0</v>
      </c>
      <c r="BB125" s="115" t="n">
        <f aca="false">SUMIFS(الريسبي!$C$2:$C$1800,الريسبي!$A$2:$A$1800,$A125,الريسبي!$B$2:$B$1800,BB$1)</f>
        <v>0</v>
      </c>
      <c r="BC125" s="115" t="n">
        <f aca="false">SUMIFS(الريسبي!$C$2:$C$1800,الريسبي!$A$2:$A$1800,$A125,الريسبي!$B$2:$B$1800,BC$1)</f>
        <v>0.03</v>
      </c>
      <c r="BD125" s="115" t="n">
        <f aca="false">SUMIFS(الريسبي!$C$2:$C$1800,الريسبي!$A$2:$A$1800,$A125,الريسبي!$B$2:$B$1800,BD$1)</f>
        <v>0</v>
      </c>
      <c r="BE125" s="115" t="n">
        <f aca="false">SUMIFS(الريسبي!$C$2:$C$1800,الريسبي!$A$2:$A$1800,$A125,الريسبي!$B$2:$B$1800,BE$1)</f>
        <v>0</v>
      </c>
      <c r="BF125" s="115" t="n">
        <f aca="false">SUMIFS(الريسبي!$C$2:$C$1800,الريسبي!$A$2:$A$1800,$A125,الريسبي!$B$2:$B$1800,BF$1)</f>
        <v>0</v>
      </c>
      <c r="BG125" s="115" t="n">
        <f aca="false">SUMIFS(الريسبي!$C$2:$C$1800,الريسبي!$A$2:$A$1800,$A125,الريسبي!$B$2:$B$1800,BG$1)</f>
        <v>0</v>
      </c>
      <c r="BH125" s="115" t="n">
        <f aca="false">SUMIFS(الريسبي!$C$2:$C$1800,الريسبي!$A$2:$A$1800,$A125,الريسبي!$B$2:$B$1800,BH$1)</f>
        <v>0</v>
      </c>
      <c r="BI125" s="115" t="n">
        <f aca="false">SUMIFS(الريسبي!$C$2:$C$1800,الريسبي!$A$2:$A$1800,$A125,الريسبي!$B$2:$B$1800,BI$1)</f>
        <v>0</v>
      </c>
      <c r="BJ125" s="115" t="n">
        <f aca="false">SUMIFS(الريسبي!$C$2:$C$1800,الريسبي!$A$2:$A$1800,$A125,الريسبي!$B$2:$B$1800,BJ$1)</f>
        <v>0</v>
      </c>
      <c r="BK125" s="115" t="n">
        <f aca="false">SUMIFS(الريسبي!$C$2:$C$1800,الريسبي!$A$2:$A$1800,$A125,الريسبي!$B$2:$B$1800,BK$1)</f>
        <v>0</v>
      </c>
      <c r="BL125" s="115" t="n">
        <f aca="false">SUMIFS(الريسبي!$C$2:$C$1800,الريسبي!$A$2:$A$1800,$A125,الريسبي!$B$2:$B$1800,BL$1)</f>
        <v>0</v>
      </c>
      <c r="BM125" s="115" t="n">
        <f aca="false">SUMIFS(الريسبي!$C$2:$C$1800,الريسبي!$A$2:$A$1800,$A125,الريسبي!$B$2:$B$1800,BM$1)</f>
        <v>0.14</v>
      </c>
      <c r="BN125" s="115" t="n">
        <f aca="false">SUMIFS(الريسبي!$C$2:$C$1800,الريسبي!$A$2:$A$1800,$A125,الريسبي!$B$2:$B$1800,BN$1)</f>
        <v>0.02</v>
      </c>
      <c r="BO125" s="115" t="n">
        <f aca="false">SUMIFS(الريسبي!$C$2:$C$1800,الريسبي!$A$2:$A$1800,$A125,الريسبي!$B$2:$B$1800,BO$1)</f>
        <v>0</v>
      </c>
      <c r="BP125" s="115" t="n">
        <f aca="false">SUMIFS(الريسبي!$C$2:$C$1800,الريسبي!$A$2:$A$1800,$A125,الريسبي!$B$2:$B$1800,BP$1)</f>
        <v>0</v>
      </c>
      <c r="BQ125" s="115"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15" t="n">
        <f aca="false">SUMIFS(الريسبي!$C$2:$C$1800,الريسبي!$A$2:$A$1800,$A125,الريسبي!$B$2:$B$1800,BR$1)</f>
        <v>0</v>
      </c>
      <c r="BS125" s="115" t="n">
        <f aca="false">SUMIFS(الريسبي!$C$2:$C$1800,الريسبي!$A$2:$A$1800,$A125,الريسبي!$B$2:$B$1800,BS$1)</f>
        <v>0</v>
      </c>
      <c r="BT125" s="115" t="n">
        <f aca="false">SUMIFS(الريسبي!$C$2:$C$1800,الريسبي!$A$2:$A$1800,$A125,الريسبي!$B$2:$B$1800,BT$1)</f>
        <v>1</v>
      </c>
      <c r="BU125" s="115"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15" t="n">
        <f aca="false">SUMIFS(الريسبي!$C$2:$C$1800,الريسبي!$A$2:$A$1800,$A125,الريسبي!$B$2:$B$1800,BV$1)</f>
        <v>0</v>
      </c>
      <c r="BW125" s="115" t="n">
        <f aca="false">SUMIFS(الريسبي!$C$2:$C$1800,الريسبي!$A$2:$A$1800,$A125,الريسبي!$B$2:$B$1800,BW$1)</f>
        <v>0</v>
      </c>
      <c r="BX125" s="115" t="n">
        <f aca="false">SUMIFS(الريسبي!$C$2:$C$1800,الريسبي!$A$2:$A$1800,$A125,الريسبي!$B$2:$B$1800,BX$1)</f>
        <v>0</v>
      </c>
      <c r="BY125" s="115" t="n">
        <f aca="false">SUMIFS(الريسبي!$C$2:$C$1800,الريسبي!$A$2:$A$1800,$A125,الريسبي!$B$2:$B$1800,BY$1)</f>
        <v>0</v>
      </c>
      <c r="BZ125" s="115" t="n">
        <f aca="false">SUMIFS(الريسبي!$C$2:$C$1800,الريسبي!$A$2:$A$1800,$A125,الريسبي!$B$2:$B$1800,BZ$1)</f>
        <v>0</v>
      </c>
      <c r="CA125" s="115" t="n">
        <f aca="false">SUMIFS(الريسبي!$C$2:$C$1800,الريسبي!$A$2:$A$1800,$A125,الريسبي!$B$2:$B$1800,CA$1)</f>
        <v>0</v>
      </c>
      <c r="CB125" s="115" t="n">
        <f aca="false">SUMIFS(الريسبي!$C$2:$C$1800,الريسبي!$A$2:$A$1800,$A125,الريسبي!$B$2:$B$1800,CB$1)</f>
        <v>0</v>
      </c>
      <c r="CC125" s="115" t="n">
        <f aca="false">SUMIFS(الريسبي!$C$2:$C$1800,الريسبي!$A$2:$A$1800,$A125,الريسبي!$B$2:$B$1800,CC$1)</f>
        <v>0</v>
      </c>
      <c r="CD125" s="115" t="n">
        <f aca="false">SUMIFS(الريسبي!$C$2:$C$1800,الريسبي!$A$2:$A$1800,$A125,الريسبي!$B$2:$B$1800,CD$1)</f>
        <v>0</v>
      </c>
      <c r="CE125" s="115" t="n">
        <f aca="false">SUMIFS(الريسبي!$C$2:$C$1800,الريسبي!$A$2:$A$1800,$A125,الريسبي!$B$2:$B$1800,CE$1)</f>
        <v>0</v>
      </c>
      <c r="CF125" s="115" t="n">
        <f aca="false">SUMIFS(الريسبي!$C$2:$C$1800,الريسبي!$A$2:$A$1800,$A125,الريسبي!$B$2:$B$1800,CF$1)</f>
        <v>0</v>
      </c>
      <c r="CG125" s="115" t="n">
        <f aca="false">SUMIFS(الريسبي!$C$2:$C$1800,الريسبي!$A$2:$A$1800,$A125,الريسبي!$B$2:$B$1800,CG$1)</f>
        <v>0</v>
      </c>
      <c r="CH125" s="115" t="n">
        <f aca="false">SUMIFS(الريسبي!$C$2:$C$1800,الريسبي!$A$2:$A$1800,$A125,الريسبي!$B$2:$B$1800,CH$1)</f>
        <v>0</v>
      </c>
    </row>
    <row r="126" customFormat="false" ht="15" hidden="false" customHeight="false" outlineLevel="0" collapsed="false">
      <c r="A126" s="114" t="str">
        <f aca="false">المنيو!B126</f>
        <v>كريب سوسيس / شاورما لحم فراخ صيامي</v>
      </c>
      <c r="B126" s="115" t="n">
        <f aca="false">SUMIFS(الريسبي!$C$2:$C$1800,الريسبي!$A$2:$A$1800,$A126,الريسبي!$B$2:$B$1800,B$1)</f>
        <v>0</v>
      </c>
      <c r="C126" s="115" t="n">
        <f aca="false">SUMIFS(الريسبي!$C$2:$C$1800,الريسبي!$A$2:$A$1800,$A126,الريسبي!$B$2:$B$1800,C$1)</f>
        <v>0</v>
      </c>
      <c r="D126" s="115" t="n">
        <f aca="false">SUMIFS(الريسبي!$C$2:$C$1800,الريسبي!$A$2:$A$1800,$A126,الريسبي!$B$2:$B$1800,D$1)</f>
        <v>0</v>
      </c>
      <c r="E126" s="115" t="n">
        <f aca="false">SUMIFS(الريسبي!$C$2:$C$1800,الريسبي!$A$2:$A$1800,$A126,الريسبي!$B$2:$B$1800,E$1)</f>
        <v>0</v>
      </c>
      <c r="F126" s="115" t="n">
        <f aca="false">SUMIFS(الريسبي!$C$2:$C$1800,الريسبي!$A$2:$A$1800,$A126,الريسبي!$B$2:$B$1800,F$1)</f>
        <v>0</v>
      </c>
      <c r="G126" s="115" t="n">
        <f aca="false">SUMIFS(الريسبي!$C$2:$C$1800,الريسبي!$A$2:$A$1800,$A126,الريسبي!$B$2:$B$1800,G$1)</f>
        <v>0</v>
      </c>
      <c r="H126" s="115" t="n">
        <f aca="false">SUMIFS(الريسبي!$C$2:$C$1800,الريسبي!$A$2:$A$1800,$A126,الريسبي!$B$2:$B$1800,H$1)</f>
        <v>0</v>
      </c>
      <c r="I126" s="115" t="n">
        <f aca="false">SUMIFS(الريسبي!$C$2:$C$1800,الريسبي!$A$2:$A$1800,$A126,الريسبي!$B$2:$B$1800,I$1)</f>
        <v>0</v>
      </c>
      <c r="J126" s="115" t="n">
        <f aca="false">SUMIFS(الريسبي!$C$2:$C$1800,الريسبي!$A$2:$A$1800,$A126,الريسبي!$B$2:$B$1800,J$1)</f>
        <v>0</v>
      </c>
      <c r="K126" s="115" t="n">
        <f aca="false">SUMIFS(الريسبي!$C$2:$C$1800,الريسبي!$A$2:$A$1800,$A126,الريسبي!$B$2:$B$1800,K$1)</f>
        <v>0</v>
      </c>
      <c r="L126" s="115" t="n">
        <f aca="false">SUMIFS(الريسبي!$C$2:$C$1800,الريسبي!$A$2:$A$1800,$A126,الريسبي!$B$2:$B$1800,L$1)</f>
        <v>0</v>
      </c>
      <c r="M126" s="115" t="n">
        <f aca="false">SUMIFS(الريسبي!$C$2:$C$1800,الريسبي!$A$2:$A$1800,$A126,الريسبي!$B$2:$B$1800,M$1)</f>
        <v>0</v>
      </c>
      <c r="N126" s="115" t="n">
        <f aca="false">SUMIFS(الريسبي!$C$2:$C$1800,الريسبي!$A$2:$A$1800,$A126,الريسبي!$B$2:$B$1800,N$1)</f>
        <v>0</v>
      </c>
      <c r="O126" s="115" t="n">
        <f aca="false">SUMIFS(الريسبي!$C$2:$C$1800,الريسبي!$A$2:$A$1800,$A126,الريسبي!$B$2:$B$1800,O$1)</f>
        <v>0</v>
      </c>
      <c r="P126" s="115" t="n">
        <f aca="false">SUMIFS(الريسبي!$C$2:$C$1800,الريسبي!$A$2:$A$1800,$A126,الريسبي!$B$2:$B$1800,P$1)</f>
        <v>0</v>
      </c>
      <c r="Q126" s="115" t="n">
        <f aca="false">SUMIFS(الريسبي!$C$2:$C$1800,الريسبي!$A$2:$A$1800,$A126,الريسبي!$B$2:$B$1800,Q$1)</f>
        <v>0</v>
      </c>
      <c r="R126" s="115" t="n">
        <f aca="false">SUMIFS(الريسبي!$C$2:$C$1800,الريسبي!$A$2:$A$1800,$A126,الريسبي!$B$2:$B$1800,R$1)</f>
        <v>0</v>
      </c>
      <c r="S126" s="115" t="n">
        <f aca="false">SUMIFS(الريسبي!$C$2:$C$1800,الريسبي!$A$2:$A$1800,$A126,الريسبي!$B$2:$B$1800,S$1)</f>
        <v>0</v>
      </c>
      <c r="T126" s="115" t="n">
        <f aca="false">SUMIFS(الريسبي!$C$2:$C$1800,الريسبي!$A$2:$A$1800,$A126,الريسبي!$B$2:$B$1800,T$1)</f>
        <v>0</v>
      </c>
      <c r="U126" s="115" t="n">
        <f aca="false">SUMIFS(الريسبي!$C$2:$C$1800,الريسبي!$A$2:$A$1800,$A126,الريسبي!$B$2:$B$1800,U$1)</f>
        <v>0</v>
      </c>
      <c r="V126" s="115" t="n">
        <f aca="false">SUMIFS(الريسبي!$C$2:$C$1800,الريسبي!$A$2:$A$1800,$A126,الريسبي!$B$2:$B$1800,V$1)</f>
        <v>0</v>
      </c>
      <c r="W126" s="115" t="n">
        <f aca="false">SUMIFS(الريسبي!$C$2:$C$1800,الريسبي!$A$2:$A$1800,$A126,الريسبي!$B$2:$B$1800,W$1)</f>
        <v>0</v>
      </c>
      <c r="X126" s="115" t="n">
        <f aca="false">SUMIFS(الريسبي!$C$2:$C$1800,الريسبي!$A$2:$A$1800,$A126,الريسبي!$B$2:$B$1800,X$1)</f>
        <v>1</v>
      </c>
      <c r="Y126" s="115" t="n">
        <f aca="false">SUMIFS(الريسبي!$C$2:$C$1800,الريسبي!$A$2:$A$1800,$A126,الريسبي!$B$2:$B$1800,Y$1)</f>
        <v>0</v>
      </c>
      <c r="Z126" s="115" t="n">
        <f aca="false">SUMIFS(الريسبي!$C$2:$C$1800,الريسبي!$A$2:$A$1800,$A126,الريسبي!$B$2:$B$1800,Z$1)</f>
        <v>0</v>
      </c>
      <c r="AA126" s="115" t="n">
        <f aca="false">SUMIFS(الريسبي!$C$2:$C$1800,الريسبي!$A$2:$A$1800,$A126,الريسبي!$B$2:$B$1800,AA$1)</f>
        <v>0</v>
      </c>
      <c r="AB126" s="115" t="n">
        <f aca="false">SUMIFS(الريسبي!$C$2:$C$1800,الريسبي!$A$2:$A$1800,$A126,الريسبي!$B$2:$B$1800,AB$1)</f>
        <v>0</v>
      </c>
      <c r="AC126" s="115" t="n">
        <f aca="false">SUMIFS(الريسبي!$C$2:$C$1800,الريسبي!$A$2:$A$1800,$A126,الريسبي!$B$2:$B$1800,AC$1)</f>
        <v>0</v>
      </c>
      <c r="AD126" s="115" t="n">
        <f aca="false">SUMIFS(الريسبي!$C$2:$C$1800,الريسبي!$A$2:$A$1800,$A126,الريسبي!$B$2:$B$1800,AD$1)</f>
        <v>0</v>
      </c>
      <c r="AE126" s="115" t="n">
        <f aca="false">SUMIFS(الريسبي!$C$2:$C$1800,الريسبي!$A$2:$A$1800,$A126,الريسبي!$B$2:$B$1800,AE$1)</f>
        <v>0</v>
      </c>
      <c r="AF126" s="115" t="n">
        <f aca="false">SUMIFS(الريسبي!$C$2:$C$1800,الريسبي!$A$2:$A$1800,$A126,الريسبي!$B$2:$B$1800,AF$1)</f>
        <v>0</v>
      </c>
      <c r="AG126" s="115" t="n">
        <f aca="false">SUMIFS(الريسبي!$C$2:$C$1800,الريسبي!$A$2:$A$1800,$A126,الريسبي!$B$2:$B$1800,AG$1)</f>
        <v>0</v>
      </c>
      <c r="AH126" s="115" t="n">
        <f aca="false">SUMIFS(الريسبي!$C$2:$C$1800,الريسبي!$A$2:$A$1800,$A126,الريسبي!$B$2:$B$1800,AH$1)</f>
        <v>0</v>
      </c>
      <c r="AI126" s="115" t="n">
        <f aca="false">SUMIFS(الريسبي!$C$2:$C$1800,الريسبي!$A$2:$A$1800,$A126,الريسبي!$B$2:$B$1800,AI$1)</f>
        <v>0</v>
      </c>
      <c r="AJ126" s="115" t="n">
        <f aca="false">SUMIFS(الريسبي!$C$2:$C$1800,الريسبي!$A$2:$A$1800,$A126,الريسبي!$B$2:$B$1800,AJ$1)</f>
        <v>0</v>
      </c>
      <c r="AK126" s="115" t="n">
        <f aca="false">SUMIFS(الريسبي!$C$2:$C$1800,الريسبي!$A$2:$A$1800,$A126,الريسبي!$B$2:$B$1800,AK$1)</f>
        <v>0</v>
      </c>
      <c r="AL126" s="115" t="n">
        <f aca="false">SUMIFS(الريسبي!$C$2:$C$1800,الريسبي!$A$2:$A$1800,$A126,الريسبي!$B$2:$B$1800,AL$1)</f>
        <v>0</v>
      </c>
      <c r="AM126" s="115"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15"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15" t="n">
        <f aca="false">SUMIFS(الريسبي!$C$2:$C$1800,الريسبي!$A$2:$A$1800,$A126,الريسبي!$B$2:$B$1800,AO$1)</f>
        <v>0</v>
      </c>
      <c r="AP126" s="115" t="n">
        <f aca="false">SUMIFS(الريسبي!$C$2:$C$1800,الريسبي!$A$2:$A$1800,$A126,الريسبي!$B$2:$B$1800,AP$1)</f>
        <v>0.02</v>
      </c>
      <c r="AQ126" s="115"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15" t="n">
        <f aca="false">SUMIFS(الريسبي!$C$2:$C$1800,الريسبي!$A$2:$A$1800,$A126,الريسبي!$B$2:$B$1800,AR$1)</f>
        <v>0</v>
      </c>
      <c r="AS126" s="115" t="n">
        <f aca="false">SUMIFS(الريسبي!$C$2:$C$1800,الريسبي!$A$2:$A$1800,$A126,الريسبي!$B$2:$B$1800,AS$1)</f>
        <v>1</v>
      </c>
      <c r="AT126" s="115" t="n">
        <f aca="false">SUMIFS(الريسبي!$C$2:$C$1800,الريسبي!$A$2:$A$1800,$A126,الريسبي!$B$2:$B$1800,AT$1)</f>
        <v>0</v>
      </c>
      <c r="AU126" s="115" t="n">
        <f aca="false">SUMIFS(الريسبي!$C$2:$C$1800,الريسبي!$A$2:$A$1800,$A126,الريسبي!$B$2:$B$1800,AU$1)</f>
        <v>0</v>
      </c>
      <c r="AV126" s="115" t="n">
        <f aca="false">SUMIFS(الريسبي!$C$2:$C$1800,الريسبي!$A$2:$A$1800,$A126,الريسبي!$B$2:$B$1800,AV$1)</f>
        <v>0</v>
      </c>
      <c r="AW126" s="115" t="n">
        <f aca="false">SUMIFS(الريسبي!$C$2:$C$1800,الريسبي!$A$2:$A$1800,$A126,الريسبي!$B$2:$B$1800,AW$1)</f>
        <v>0</v>
      </c>
      <c r="AX126" s="115" t="n">
        <f aca="false">SUMIFS(الريسبي!$C$2:$C$1800,الريسبي!$A$2:$A$1800,$A126,الريسبي!$B$2:$B$1800,AX$1)</f>
        <v>0</v>
      </c>
      <c r="AY126" s="115" t="n">
        <f aca="false">SUMIFS(الريسبي!$C$2:$C$1800,الريسبي!$A$2:$A$1800,$A126,الريسبي!$B$2:$B$1800,AY$1)</f>
        <v>0</v>
      </c>
      <c r="AZ126" s="115" t="n">
        <f aca="false">SUMIFS(الريسبي!$C$2:$C$1800,الريسبي!$A$2:$A$1800,$A126,الريسبي!$B$2:$B$1800,AZ$1)</f>
        <v>0</v>
      </c>
      <c r="BA126" s="115" t="n">
        <f aca="false">SUMIFS(الريسبي!$C$2:$C$1800,الريسبي!$A$2:$A$1800,$A126,الريسبي!$B$2:$B$1800,BA$1)</f>
        <v>0</v>
      </c>
      <c r="BB126" s="115" t="n">
        <f aca="false">SUMIFS(الريسبي!$C$2:$C$1800,الريسبي!$A$2:$A$1800,$A126,الريسبي!$B$2:$B$1800,BB$1)</f>
        <v>0</v>
      </c>
      <c r="BC126" s="115" t="n">
        <f aca="false">SUMIFS(الريسبي!$C$2:$C$1800,الريسبي!$A$2:$A$1800,$A126,الريسبي!$B$2:$B$1800,BC$1)</f>
        <v>0.03</v>
      </c>
      <c r="BD126" s="115" t="n">
        <f aca="false">SUMIFS(الريسبي!$C$2:$C$1800,الريسبي!$A$2:$A$1800,$A126,الريسبي!$B$2:$B$1800,BD$1)</f>
        <v>0</v>
      </c>
      <c r="BE126" s="115" t="n">
        <f aca="false">SUMIFS(الريسبي!$C$2:$C$1800,الريسبي!$A$2:$A$1800,$A126,الريسبي!$B$2:$B$1800,BE$1)</f>
        <v>0</v>
      </c>
      <c r="BF126" s="115" t="n">
        <f aca="false">SUMIFS(الريسبي!$C$2:$C$1800,الريسبي!$A$2:$A$1800,$A126,الريسبي!$B$2:$B$1800,BF$1)</f>
        <v>0</v>
      </c>
      <c r="BG126" s="115" t="n">
        <f aca="false">SUMIFS(الريسبي!$C$2:$C$1800,الريسبي!$A$2:$A$1800,$A126,الريسبي!$B$2:$B$1800,BG$1)</f>
        <v>0</v>
      </c>
      <c r="BH126" s="115" t="n">
        <f aca="false">SUMIFS(الريسبي!$C$2:$C$1800,الريسبي!$A$2:$A$1800,$A126,الريسبي!$B$2:$B$1800,BH$1)</f>
        <v>0</v>
      </c>
      <c r="BI126" s="115" t="n">
        <f aca="false">SUMIFS(الريسبي!$C$2:$C$1800,الريسبي!$A$2:$A$1800,$A126,الريسبي!$B$2:$B$1800,BI$1)</f>
        <v>0</v>
      </c>
      <c r="BJ126" s="115" t="n">
        <f aca="false">SUMIFS(الريسبي!$C$2:$C$1800,الريسبي!$A$2:$A$1800,$A126,الريسبي!$B$2:$B$1800,BJ$1)</f>
        <v>0</v>
      </c>
      <c r="BK126" s="115" t="n">
        <f aca="false">SUMIFS(الريسبي!$C$2:$C$1800,الريسبي!$A$2:$A$1800,$A126,الريسبي!$B$2:$B$1800,BK$1)</f>
        <v>0</v>
      </c>
      <c r="BL126" s="115" t="n">
        <f aca="false">SUMIFS(الريسبي!$C$2:$C$1800,الريسبي!$A$2:$A$1800,$A126,الريسبي!$B$2:$B$1800,BL$1)</f>
        <v>0</v>
      </c>
      <c r="BM126" s="115" t="n">
        <f aca="false">SUMIFS(الريسبي!$C$2:$C$1800,الريسبي!$A$2:$A$1800,$A126,الريسبي!$B$2:$B$1800,BM$1)</f>
        <v>0</v>
      </c>
      <c r="BN126" s="115" t="n">
        <f aca="false">SUMIFS(الريسبي!$C$2:$C$1800,الريسبي!$A$2:$A$1800,$A126,الريسبي!$B$2:$B$1800,BN$1)</f>
        <v>0.02</v>
      </c>
      <c r="BO126" s="115" t="n">
        <f aca="false">SUMIFS(الريسبي!$C$2:$C$1800,الريسبي!$A$2:$A$1800,$A126,الريسبي!$B$2:$B$1800,BO$1)</f>
        <v>0</v>
      </c>
      <c r="BP126" s="115" t="n">
        <f aca="false">SUMIFS(الريسبي!$C$2:$C$1800,الريسبي!$A$2:$A$1800,$A126,الريسبي!$B$2:$B$1800,BP$1)</f>
        <v>0</v>
      </c>
      <c r="BQ126" s="115"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15" t="n">
        <f aca="false">SUMIFS(الريسبي!$C$2:$C$1800,الريسبي!$A$2:$A$1800,$A126,الريسبي!$B$2:$B$1800,BR$1)</f>
        <v>0</v>
      </c>
      <c r="BS126" s="115" t="n">
        <f aca="false">SUMIFS(الريسبي!$C$2:$C$1800,الريسبي!$A$2:$A$1800,$A126,الريسبي!$B$2:$B$1800,BS$1)</f>
        <v>0</v>
      </c>
      <c r="BT126" s="115" t="n">
        <f aca="false">SUMIFS(الريسبي!$C$2:$C$1800,الريسبي!$A$2:$A$1800,$A126,الريسبي!$B$2:$B$1800,BT$1)</f>
        <v>1</v>
      </c>
      <c r="BU126" s="115"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15" t="n">
        <f aca="false">SUMIFS(الريسبي!$C$2:$C$1800,الريسبي!$A$2:$A$1800,$A126,الريسبي!$B$2:$B$1800,BV$1)</f>
        <v>0</v>
      </c>
      <c r="BW126" s="115" t="n">
        <f aca="false">SUMIFS(الريسبي!$C$2:$C$1800,الريسبي!$A$2:$A$1800,$A126,الريسبي!$B$2:$B$1800,BW$1)</f>
        <v>0</v>
      </c>
      <c r="BX126" s="115" t="n">
        <f aca="false">SUMIFS(الريسبي!$C$2:$C$1800,الريسبي!$A$2:$A$1800,$A126,الريسبي!$B$2:$B$1800,BX$1)</f>
        <v>0</v>
      </c>
      <c r="BY126" s="115" t="n">
        <f aca="false">SUMIFS(الريسبي!$C$2:$C$1800,الريسبي!$A$2:$A$1800,$A126,الريسبي!$B$2:$B$1800,BY$1)</f>
        <v>0</v>
      </c>
      <c r="BZ126" s="115" t="n">
        <f aca="false">SUMIFS(الريسبي!$C$2:$C$1800,الريسبي!$A$2:$A$1800,$A126,الريسبي!$B$2:$B$1800,BZ$1)</f>
        <v>0</v>
      </c>
      <c r="CA126" s="115" t="n">
        <f aca="false">SUMIFS(الريسبي!$C$2:$C$1800,الريسبي!$A$2:$A$1800,$A126,الريسبي!$B$2:$B$1800,CA$1)</f>
        <v>0</v>
      </c>
      <c r="CB126" s="115" t="n">
        <f aca="false">SUMIFS(الريسبي!$C$2:$C$1800,الريسبي!$A$2:$A$1800,$A126,الريسبي!$B$2:$B$1800,CB$1)</f>
        <v>0</v>
      </c>
      <c r="CC126" s="115" t="n">
        <f aca="false">SUMIFS(الريسبي!$C$2:$C$1800,الريسبي!$A$2:$A$1800,$A126,الريسبي!$B$2:$B$1800,CC$1)</f>
        <v>0.07</v>
      </c>
      <c r="CD126" s="115" t="n">
        <f aca="false">SUMIFS(الريسبي!$C$2:$C$1800,الريسبي!$A$2:$A$1800,$A126,الريسبي!$B$2:$B$1800,CD$1)</f>
        <v>0.07</v>
      </c>
      <c r="CE126" s="115" t="n">
        <f aca="false">SUMIFS(الريسبي!$C$2:$C$1800,الريسبي!$A$2:$A$1800,$A126,الريسبي!$B$2:$B$1800,CE$1)</f>
        <v>0</v>
      </c>
      <c r="CF126" s="115" t="n">
        <f aca="false">SUMIFS(الريسبي!$C$2:$C$1800,الريسبي!$A$2:$A$1800,$A126,الريسبي!$B$2:$B$1800,CF$1)</f>
        <v>0</v>
      </c>
      <c r="CG126" s="115" t="n">
        <f aca="false">SUMIFS(الريسبي!$C$2:$C$1800,الريسبي!$A$2:$A$1800,$A126,الريسبي!$B$2:$B$1800,CG$1)</f>
        <v>0</v>
      </c>
      <c r="CH126" s="115" t="n">
        <f aca="false">SUMIFS(الريسبي!$C$2:$C$1800,الريسبي!$A$2:$A$1800,$A126,الريسبي!$B$2:$B$1800,CH$1)</f>
        <v>0</v>
      </c>
    </row>
    <row r="127" customFormat="false" ht="15" hidden="false" customHeight="false" outlineLevel="0" collapsed="false">
      <c r="A127" s="114" t="str">
        <f aca="false">المنيو!B127</f>
        <v>كريب جمبري صيامي</v>
      </c>
      <c r="B127" s="115" t="n">
        <f aca="false">SUMIFS(الريسبي!$C$2:$C$1800,الريسبي!$A$2:$A$1800,$A127,الريسبي!$B$2:$B$1800,B$1)</f>
        <v>0</v>
      </c>
      <c r="C127" s="115" t="n">
        <f aca="false">SUMIFS(الريسبي!$C$2:$C$1800,الريسبي!$A$2:$A$1800,$A127,الريسبي!$B$2:$B$1800,C$1)</f>
        <v>0</v>
      </c>
      <c r="D127" s="115" t="n">
        <f aca="false">SUMIFS(الريسبي!$C$2:$C$1800,الريسبي!$A$2:$A$1800,$A127,الريسبي!$B$2:$B$1800,D$1)</f>
        <v>0</v>
      </c>
      <c r="E127" s="115" t="n">
        <f aca="false">SUMIFS(الريسبي!$C$2:$C$1800,الريسبي!$A$2:$A$1800,$A127,الريسبي!$B$2:$B$1800,E$1)</f>
        <v>0</v>
      </c>
      <c r="F127" s="115" t="n">
        <f aca="false">SUMIFS(الريسبي!$C$2:$C$1800,الريسبي!$A$2:$A$1800,$A127,الريسبي!$B$2:$B$1800,F$1)</f>
        <v>0</v>
      </c>
      <c r="G127" s="115" t="n">
        <f aca="false">SUMIFS(الريسبي!$C$2:$C$1800,الريسبي!$A$2:$A$1800,$A127,الريسبي!$B$2:$B$1800,G$1)</f>
        <v>0</v>
      </c>
      <c r="H127" s="115" t="n">
        <f aca="false">SUMIFS(الريسبي!$C$2:$C$1800,الريسبي!$A$2:$A$1800,$A127,الريسبي!$B$2:$B$1800,H$1)</f>
        <v>0</v>
      </c>
      <c r="I127" s="115" t="n">
        <f aca="false">SUMIFS(الريسبي!$C$2:$C$1800,الريسبي!$A$2:$A$1800,$A127,الريسبي!$B$2:$B$1800,I$1)</f>
        <v>0</v>
      </c>
      <c r="J127" s="115" t="n">
        <f aca="false">SUMIFS(الريسبي!$C$2:$C$1800,الريسبي!$A$2:$A$1800,$A127,الريسبي!$B$2:$B$1800,J$1)</f>
        <v>0</v>
      </c>
      <c r="K127" s="115" t="n">
        <f aca="false">SUMIFS(الريسبي!$C$2:$C$1800,الريسبي!$A$2:$A$1800,$A127,الريسبي!$B$2:$B$1800,K$1)</f>
        <v>0.5</v>
      </c>
      <c r="L127" s="115" t="n">
        <f aca="false">SUMIFS(الريسبي!$C$2:$C$1800,الريسبي!$A$2:$A$1800,$A127,الريسبي!$B$2:$B$1800,L$1)</f>
        <v>0</v>
      </c>
      <c r="M127" s="115" t="n">
        <f aca="false">SUMIFS(الريسبي!$C$2:$C$1800,الريسبي!$A$2:$A$1800,$A127,الريسبي!$B$2:$B$1800,M$1)</f>
        <v>0</v>
      </c>
      <c r="N127" s="115" t="n">
        <f aca="false">SUMIFS(الريسبي!$C$2:$C$1800,الريسبي!$A$2:$A$1800,$A127,الريسبي!$B$2:$B$1800,N$1)</f>
        <v>0</v>
      </c>
      <c r="O127" s="115" t="n">
        <f aca="false">SUMIFS(الريسبي!$C$2:$C$1800,الريسبي!$A$2:$A$1800,$A127,الريسبي!$B$2:$B$1800,O$1)</f>
        <v>0</v>
      </c>
      <c r="P127" s="115" t="n">
        <f aca="false">SUMIFS(الريسبي!$C$2:$C$1800,الريسبي!$A$2:$A$1800,$A127,الريسبي!$B$2:$B$1800,P$1)</f>
        <v>0</v>
      </c>
      <c r="Q127" s="115" t="n">
        <f aca="false">SUMIFS(الريسبي!$C$2:$C$1800,الريسبي!$A$2:$A$1800,$A127,الريسبي!$B$2:$B$1800,Q$1)</f>
        <v>0</v>
      </c>
      <c r="R127" s="115" t="n">
        <f aca="false">SUMIFS(الريسبي!$C$2:$C$1800,الريسبي!$A$2:$A$1800,$A127,الريسبي!$B$2:$B$1800,R$1)</f>
        <v>0</v>
      </c>
      <c r="S127" s="115" t="n">
        <f aca="false">SUMIFS(الريسبي!$C$2:$C$1800,الريسبي!$A$2:$A$1800,$A127,الريسبي!$B$2:$B$1800,S$1)</f>
        <v>0</v>
      </c>
      <c r="T127" s="115" t="n">
        <f aca="false">SUMIFS(الريسبي!$C$2:$C$1800,الريسبي!$A$2:$A$1800,$A127,الريسبي!$B$2:$B$1800,T$1)</f>
        <v>0</v>
      </c>
      <c r="U127" s="115" t="n">
        <f aca="false">SUMIFS(الريسبي!$C$2:$C$1800,الريسبي!$A$2:$A$1800,$A127,الريسبي!$B$2:$B$1800,U$1)</f>
        <v>0</v>
      </c>
      <c r="V127" s="115" t="n">
        <f aca="false">SUMIFS(الريسبي!$C$2:$C$1800,الريسبي!$A$2:$A$1800,$A127,الريسبي!$B$2:$B$1800,V$1)</f>
        <v>0</v>
      </c>
      <c r="W127" s="115" t="n">
        <f aca="false">SUMIFS(الريسبي!$C$2:$C$1800,الريسبي!$A$2:$A$1800,$A127,الريسبي!$B$2:$B$1800,W$1)</f>
        <v>0</v>
      </c>
      <c r="X127" s="115" t="n">
        <f aca="false">SUMIFS(الريسبي!$C$2:$C$1800,الريسبي!$A$2:$A$1800,$A127,الريسبي!$B$2:$B$1800,X$1)</f>
        <v>1</v>
      </c>
      <c r="Y127" s="115" t="n">
        <f aca="false">SUMIFS(الريسبي!$C$2:$C$1800,الريسبي!$A$2:$A$1800,$A127,الريسبي!$B$2:$B$1800,Y$1)</f>
        <v>0</v>
      </c>
      <c r="Z127" s="115" t="n">
        <f aca="false">SUMIFS(الريسبي!$C$2:$C$1800,الريسبي!$A$2:$A$1800,$A127,الريسبي!$B$2:$B$1800,Z$1)</f>
        <v>0</v>
      </c>
      <c r="AA127" s="115" t="n">
        <f aca="false">SUMIFS(الريسبي!$C$2:$C$1800,الريسبي!$A$2:$A$1800,$A127,الريسبي!$B$2:$B$1800,AA$1)</f>
        <v>0</v>
      </c>
      <c r="AB127" s="115" t="n">
        <f aca="false">SUMIFS(الريسبي!$C$2:$C$1800,الريسبي!$A$2:$A$1800,$A127,الريسبي!$B$2:$B$1800,AB$1)</f>
        <v>0</v>
      </c>
      <c r="AC127" s="115" t="n">
        <f aca="false">SUMIFS(الريسبي!$C$2:$C$1800,الريسبي!$A$2:$A$1800,$A127,الريسبي!$B$2:$B$1800,AC$1)</f>
        <v>0</v>
      </c>
      <c r="AD127" s="115" t="n">
        <f aca="false">SUMIFS(الريسبي!$C$2:$C$1800,الريسبي!$A$2:$A$1800,$A127,الريسبي!$B$2:$B$1800,AD$1)</f>
        <v>0</v>
      </c>
      <c r="AE127" s="115" t="n">
        <f aca="false">SUMIFS(الريسبي!$C$2:$C$1800,الريسبي!$A$2:$A$1800,$A127,الريسبي!$B$2:$B$1800,AE$1)</f>
        <v>0</v>
      </c>
      <c r="AF127" s="115" t="n">
        <f aca="false">SUMIFS(الريسبي!$C$2:$C$1800,الريسبي!$A$2:$A$1800,$A127,الريسبي!$B$2:$B$1800,AF$1)</f>
        <v>0</v>
      </c>
      <c r="AG127" s="115" t="n">
        <f aca="false">SUMIFS(الريسبي!$C$2:$C$1800,الريسبي!$A$2:$A$1800,$A127,الريسبي!$B$2:$B$1800,AG$1)</f>
        <v>0</v>
      </c>
      <c r="AH127" s="115" t="n">
        <f aca="false">SUMIFS(الريسبي!$C$2:$C$1800,الريسبي!$A$2:$A$1800,$A127,الريسبي!$B$2:$B$1800,AH$1)</f>
        <v>0</v>
      </c>
      <c r="AI127" s="115" t="n">
        <f aca="false">SUMIFS(الريسبي!$C$2:$C$1800,الريسبي!$A$2:$A$1800,$A127,الريسبي!$B$2:$B$1800,AI$1)</f>
        <v>0</v>
      </c>
      <c r="AJ127" s="115" t="n">
        <f aca="false">SUMIFS(الريسبي!$C$2:$C$1800,الريسبي!$A$2:$A$1800,$A127,الريسبي!$B$2:$B$1800,AJ$1)</f>
        <v>0</v>
      </c>
      <c r="AK127" s="115" t="n">
        <f aca="false">SUMIFS(الريسبي!$C$2:$C$1800,الريسبي!$A$2:$A$1800,$A127,الريسبي!$B$2:$B$1800,AK$1)</f>
        <v>0</v>
      </c>
      <c r="AL127" s="115" t="n">
        <f aca="false">SUMIFS(الريسبي!$C$2:$C$1800,الريسبي!$A$2:$A$1800,$A127,الريسبي!$B$2:$B$1800,AL$1)</f>
        <v>0</v>
      </c>
      <c r="AM127" s="115"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15"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15" t="n">
        <f aca="false">SUMIFS(الريسبي!$C$2:$C$1800,الريسبي!$A$2:$A$1800,$A127,الريسبي!$B$2:$B$1800,AO$1)</f>
        <v>0</v>
      </c>
      <c r="AP127" s="115" t="n">
        <f aca="false">SUMIFS(الريسبي!$C$2:$C$1800,الريسبي!$A$2:$A$1800,$A127,الريسبي!$B$2:$B$1800,AP$1)</f>
        <v>0.02</v>
      </c>
      <c r="AQ127" s="115"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15" t="n">
        <f aca="false">SUMIFS(الريسبي!$C$2:$C$1800,الريسبي!$A$2:$A$1800,$A127,الريسبي!$B$2:$B$1800,AR$1)</f>
        <v>0</v>
      </c>
      <c r="AS127" s="115" t="n">
        <f aca="false">SUMIFS(الريسبي!$C$2:$C$1800,الريسبي!$A$2:$A$1800,$A127,الريسبي!$B$2:$B$1800,AS$1)</f>
        <v>1</v>
      </c>
      <c r="AT127" s="115" t="n">
        <f aca="false">SUMIFS(الريسبي!$C$2:$C$1800,الريسبي!$A$2:$A$1800,$A127,الريسبي!$B$2:$B$1800,AT$1)</f>
        <v>0</v>
      </c>
      <c r="AU127" s="115" t="n">
        <f aca="false">SUMIFS(الريسبي!$C$2:$C$1800,الريسبي!$A$2:$A$1800,$A127,الريسبي!$B$2:$B$1800,AU$1)</f>
        <v>0</v>
      </c>
      <c r="AV127" s="115" t="n">
        <f aca="false">SUMIFS(الريسبي!$C$2:$C$1800,الريسبي!$A$2:$A$1800,$A127,الريسبي!$B$2:$B$1800,AV$1)</f>
        <v>0</v>
      </c>
      <c r="AW127" s="115" t="n">
        <f aca="false">SUMIFS(الريسبي!$C$2:$C$1800,الريسبي!$A$2:$A$1800,$A127,الريسبي!$B$2:$B$1800,AW$1)</f>
        <v>0</v>
      </c>
      <c r="AX127" s="115" t="n">
        <f aca="false">SUMIFS(الريسبي!$C$2:$C$1800,الريسبي!$A$2:$A$1800,$A127,الريسبي!$B$2:$B$1800,AX$1)</f>
        <v>0</v>
      </c>
      <c r="AY127" s="115" t="n">
        <f aca="false">SUMIFS(الريسبي!$C$2:$C$1800,الريسبي!$A$2:$A$1800,$A127,الريسبي!$B$2:$B$1800,AY$1)</f>
        <v>0</v>
      </c>
      <c r="AZ127" s="115" t="n">
        <f aca="false">SUMIFS(الريسبي!$C$2:$C$1800,الريسبي!$A$2:$A$1800,$A127,الريسبي!$B$2:$B$1800,AZ$1)</f>
        <v>0</v>
      </c>
      <c r="BA127" s="115" t="n">
        <f aca="false">SUMIFS(الريسبي!$C$2:$C$1800,الريسبي!$A$2:$A$1800,$A127,الريسبي!$B$2:$B$1800,BA$1)</f>
        <v>0</v>
      </c>
      <c r="BB127" s="115" t="n">
        <f aca="false">SUMIFS(الريسبي!$C$2:$C$1800,الريسبي!$A$2:$A$1800,$A127,الريسبي!$B$2:$B$1800,BB$1)</f>
        <v>0</v>
      </c>
      <c r="BC127" s="115" t="n">
        <f aca="false">SUMIFS(الريسبي!$C$2:$C$1800,الريسبي!$A$2:$A$1800,$A127,الريسبي!$B$2:$B$1800,BC$1)</f>
        <v>0.03</v>
      </c>
      <c r="BD127" s="115" t="n">
        <f aca="false">SUMIFS(الريسبي!$C$2:$C$1800,الريسبي!$A$2:$A$1800,$A127,الريسبي!$B$2:$B$1800,BD$1)</f>
        <v>0</v>
      </c>
      <c r="BE127" s="115" t="n">
        <f aca="false">SUMIFS(الريسبي!$C$2:$C$1800,الريسبي!$A$2:$A$1800,$A127,الريسبي!$B$2:$B$1800,BE$1)</f>
        <v>0</v>
      </c>
      <c r="BF127" s="115" t="n">
        <f aca="false">SUMIFS(الريسبي!$C$2:$C$1800,الريسبي!$A$2:$A$1800,$A127,الريسبي!$B$2:$B$1800,BF$1)</f>
        <v>0</v>
      </c>
      <c r="BG127" s="115" t="n">
        <f aca="false">SUMIFS(الريسبي!$C$2:$C$1800,الريسبي!$A$2:$A$1800,$A127,الريسبي!$B$2:$B$1800,BG$1)</f>
        <v>0</v>
      </c>
      <c r="BH127" s="115" t="n">
        <f aca="false">SUMIFS(الريسبي!$C$2:$C$1800,الريسبي!$A$2:$A$1800,$A127,الريسبي!$B$2:$B$1800,BH$1)</f>
        <v>0</v>
      </c>
      <c r="BI127" s="115" t="n">
        <f aca="false">SUMIFS(الريسبي!$C$2:$C$1800,الريسبي!$A$2:$A$1800,$A127,الريسبي!$B$2:$B$1800,BI$1)</f>
        <v>0</v>
      </c>
      <c r="BJ127" s="115" t="n">
        <f aca="false">SUMIFS(الريسبي!$C$2:$C$1800,الريسبي!$A$2:$A$1800,$A127,الريسبي!$B$2:$B$1800,BJ$1)</f>
        <v>0</v>
      </c>
      <c r="BK127" s="115" t="n">
        <f aca="false">SUMIFS(الريسبي!$C$2:$C$1800,الريسبي!$A$2:$A$1800,$A127,الريسبي!$B$2:$B$1800,BK$1)</f>
        <v>0</v>
      </c>
      <c r="BL127" s="115" t="n">
        <f aca="false">SUMIFS(الريسبي!$C$2:$C$1800,الريسبي!$A$2:$A$1800,$A127,الريسبي!$B$2:$B$1800,BL$1)</f>
        <v>0</v>
      </c>
      <c r="BM127" s="115" t="n">
        <f aca="false">SUMIFS(الريسبي!$C$2:$C$1800,الريسبي!$A$2:$A$1800,$A127,الريسبي!$B$2:$B$1800,BM$1)</f>
        <v>0</v>
      </c>
      <c r="BN127" s="115" t="n">
        <f aca="false">SUMIFS(الريسبي!$C$2:$C$1800,الريسبي!$A$2:$A$1800,$A127,الريسبي!$B$2:$B$1800,BN$1)</f>
        <v>0.02</v>
      </c>
      <c r="BO127" s="115" t="n">
        <f aca="false">SUMIFS(الريسبي!$C$2:$C$1800,الريسبي!$A$2:$A$1800,$A127,الريسبي!$B$2:$B$1800,BO$1)</f>
        <v>0</v>
      </c>
      <c r="BP127" s="115" t="n">
        <f aca="false">SUMIFS(الريسبي!$C$2:$C$1800,الريسبي!$A$2:$A$1800,$A127,الريسبي!$B$2:$B$1800,BP$1)</f>
        <v>0</v>
      </c>
      <c r="BQ127" s="115"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15" t="n">
        <f aca="false">SUMIFS(الريسبي!$C$2:$C$1800,الريسبي!$A$2:$A$1800,$A127,الريسبي!$B$2:$B$1800,BR$1)</f>
        <v>0</v>
      </c>
      <c r="BS127" s="115" t="n">
        <f aca="false">SUMIFS(الريسبي!$C$2:$C$1800,الريسبي!$A$2:$A$1800,$A127,الريسبي!$B$2:$B$1800,BS$1)</f>
        <v>0</v>
      </c>
      <c r="BT127" s="115" t="n">
        <f aca="false">SUMIFS(الريسبي!$C$2:$C$1800,الريسبي!$A$2:$A$1800,$A127,الريسبي!$B$2:$B$1800,BT$1)</f>
        <v>1</v>
      </c>
      <c r="BU127" s="115"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15" t="n">
        <f aca="false">SUMIFS(الريسبي!$C$2:$C$1800,الريسبي!$A$2:$A$1800,$A127,الريسبي!$B$2:$B$1800,BV$1)</f>
        <v>0</v>
      </c>
      <c r="BW127" s="115" t="n">
        <f aca="false">SUMIFS(الريسبي!$C$2:$C$1800,الريسبي!$A$2:$A$1800,$A127,الريسبي!$B$2:$B$1800,BW$1)</f>
        <v>0</v>
      </c>
      <c r="BX127" s="115" t="n">
        <f aca="false">SUMIFS(الريسبي!$C$2:$C$1800,الريسبي!$A$2:$A$1800,$A127,الريسبي!$B$2:$B$1800,BX$1)</f>
        <v>0</v>
      </c>
      <c r="BY127" s="115" t="n">
        <f aca="false">SUMIFS(الريسبي!$C$2:$C$1800,الريسبي!$A$2:$A$1800,$A127,الريسبي!$B$2:$B$1800,BY$1)</f>
        <v>0</v>
      </c>
      <c r="BZ127" s="115" t="n">
        <f aca="false">SUMIFS(الريسبي!$C$2:$C$1800,الريسبي!$A$2:$A$1800,$A127,الريسبي!$B$2:$B$1800,BZ$1)</f>
        <v>0</v>
      </c>
      <c r="CA127" s="115" t="n">
        <f aca="false">SUMIFS(الريسبي!$C$2:$C$1800,الريسبي!$A$2:$A$1800,$A127,الريسبي!$B$2:$B$1800,CA$1)</f>
        <v>0</v>
      </c>
      <c r="CB127" s="115" t="n">
        <f aca="false">SUMIFS(الريسبي!$C$2:$C$1800,الريسبي!$A$2:$A$1800,$A127,الريسبي!$B$2:$B$1800,CB$1)</f>
        <v>0</v>
      </c>
      <c r="CC127" s="115" t="n">
        <f aca="false">SUMIFS(الريسبي!$C$2:$C$1800,الريسبي!$A$2:$A$1800,$A127,الريسبي!$B$2:$B$1800,CC$1)</f>
        <v>0</v>
      </c>
      <c r="CD127" s="115" t="n">
        <f aca="false">SUMIFS(الريسبي!$C$2:$C$1800,الريسبي!$A$2:$A$1800,$A127,الريسبي!$B$2:$B$1800,CD$1)</f>
        <v>0</v>
      </c>
      <c r="CE127" s="115" t="n">
        <f aca="false">SUMIFS(الريسبي!$C$2:$C$1800,الريسبي!$A$2:$A$1800,$A127,الريسبي!$B$2:$B$1800,CE$1)</f>
        <v>0</v>
      </c>
      <c r="CF127" s="115" t="n">
        <f aca="false">SUMIFS(الريسبي!$C$2:$C$1800,الريسبي!$A$2:$A$1800,$A127,الريسبي!$B$2:$B$1800,CF$1)</f>
        <v>0</v>
      </c>
      <c r="CG127" s="115" t="n">
        <f aca="false">SUMIFS(الريسبي!$C$2:$C$1800,الريسبي!$A$2:$A$1800,$A127,الريسبي!$B$2:$B$1800,CG$1)</f>
        <v>0</v>
      </c>
      <c r="CH127" s="115" t="n">
        <f aca="false">SUMIFS(الريسبي!$C$2:$C$1800,الريسبي!$A$2:$A$1800,$A127,الريسبي!$B$2:$B$1800,CH$1)</f>
        <v>0</v>
      </c>
    </row>
    <row r="128" customFormat="false" ht="15" hidden="false" customHeight="false" outlineLevel="0" collapsed="false">
      <c r="A128" s="114" t="str">
        <f aca="false">المنيو!B128</f>
        <v>اضافة جبنة كيري (فطير M)</v>
      </c>
      <c r="B128" s="115" t="n">
        <f aca="false">SUMIFS(الريسبي!$C$2:$C$1800,الريسبي!$A$2:$A$1800,$A128,الريسبي!$B$2:$B$1800,B$1)</f>
        <v>0</v>
      </c>
      <c r="C128" s="115" t="n">
        <f aca="false">SUMIFS(الريسبي!$C$2:$C$1800,الريسبي!$A$2:$A$1800,$A128,الريسبي!$B$2:$B$1800,C$1)</f>
        <v>0</v>
      </c>
      <c r="D128" s="115" t="n">
        <f aca="false">SUMIFS(الريسبي!$C$2:$C$1800,الريسبي!$A$2:$A$1800,$A128,الريسبي!$B$2:$B$1800,D$1)</f>
        <v>0</v>
      </c>
      <c r="E128" s="115" t="n">
        <f aca="false">SUMIFS(الريسبي!$C$2:$C$1800,الريسبي!$A$2:$A$1800,$A128,الريسبي!$B$2:$B$1800,E$1)</f>
        <v>0</v>
      </c>
      <c r="F128" s="115" t="n">
        <f aca="false">SUMIFS(الريسبي!$C$2:$C$1800,الريسبي!$A$2:$A$1800,$A128,الريسبي!$B$2:$B$1800,F$1)</f>
        <v>0</v>
      </c>
      <c r="G128" s="115" t="n">
        <f aca="false">SUMIFS(الريسبي!$C$2:$C$1800,الريسبي!$A$2:$A$1800,$A128,الريسبي!$B$2:$B$1800,G$1)</f>
        <v>0</v>
      </c>
      <c r="H128" s="115" t="n">
        <f aca="false">SUMIFS(الريسبي!$C$2:$C$1800,الريسبي!$A$2:$A$1800,$A128,الريسبي!$B$2:$B$1800,H$1)</f>
        <v>0</v>
      </c>
      <c r="I128" s="115" t="n">
        <f aca="false">SUMIFS(الريسبي!$C$2:$C$1800,الريسبي!$A$2:$A$1800,$A128,الريسبي!$B$2:$B$1800,I$1)</f>
        <v>0</v>
      </c>
      <c r="J128" s="115" t="n">
        <f aca="false">SUMIFS(الريسبي!$C$2:$C$1800,الريسبي!$A$2:$A$1800,$A128,الريسبي!$B$2:$B$1800,J$1)</f>
        <v>0</v>
      </c>
      <c r="K128" s="115" t="n">
        <f aca="false">SUMIFS(الريسبي!$C$2:$C$1800,الريسبي!$A$2:$A$1800,$A128,الريسبي!$B$2:$B$1800,K$1)</f>
        <v>0</v>
      </c>
      <c r="L128" s="115" t="n">
        <f aca="false">SUMIFS(الريسبي!$C$2:$C$1800,الريسبي!$A$2:$A$1800,$A128,الريسبي!$B$2:$B$1800,L$1)</f>
        <v>0</v>
      </c>
      <c r="M128" s="115" t="n">
        <f aca="false">SUMIFS(الريسبي!$C$2:$C$1800,الريسبي!$A$2:$A$1800,$A128,الريسبي!$B$2:$B$1800,M$1)</f>
        <v>0</v>
      </c>
      <c r="N128" s="115" t="n">
        <f aca="false">SUMIFS(الريسبي!$C$2:$C$1800,الريسبي!$A$2:$A$1800,$A128,الريسبي!$B$2:$B$1800,N$1)</f>
        <v>0</v>
      </c>
      <c r="O128" s="115" t="n">
        <f aca="false">SUMIFS(الريسبي!$C$2:$C$1800,الريسبي!$A$2:$A$1800,$A128,الريسبي!$B$2:$B$1800,O$1)</f>
        <v>0</v>
      </c>
      <c r="P128" s="115" t="n">
        <f aca="false">SUMIFS(الريسبي!$C$2:$C$1800,الريسبي!$A$2:$A$1800,$A128,الريسبي!$B$2:$B$1800,P$1)</f>
        <v>0</v>
      </c>
      <c r="Q128" s="115" t="n">
        <f aca="false">SUMIFS(الريسبي!$C$2:$C$1800,الريسبي!$A$2:$A$1800,$A128,الريسبي!$B$2:$B$1800,Q$1)</f>
        <v>0</v>
      </c>
      <c r="R128" s="115" t="n">
        <f aca="false">SUMIFS(الريسبي!$C$2:$C$1800,الريسبي!$A$2:$A$1800,$A128,الريسبي!$B$2:$B$1800,R$1)</f>
        <v>0</v>
      </c>
      <c r="S128" s="115" t="n">
        <f aca="false">SUMIFS(الريسبي!$C$2:$C$1800,الريسبي!$A$2:$A$1800,$A128,الريسبي!$B$2:$B$1800,S$1)</f>
        <v>0</v>
      </c>
      <c r="T128" s="115" t="n">
        <f aca="false">SUMIFS(الريسبي!$C$2:$C$1800,الريسبي!$A$2:$A$1800,$A128,الريسبي!$B$2:$B$1800,T$1)</f>
        <v>0</v>
      </c>
      <c r="U128" s="115" t="n">
        <f aca="false">SUMIFS(الريسبي!$C$2:$C$1800,الريسبي!$A$2:$A$1800,$A128,الريسبي!$B$2:$B$1800,U$1)</f>
        <v>0</v>
      </c>
      <c r="V128" s="115" t="n">
        <f aca="false">SUMIFS(الريسبي!$C$2:$C$1800,الريسبي!$A$2:$A$1800,$A128,الريسبي!$B$2:$B$1800,V$1)</f>
        <v>0</v>
      </c>
      <c r="W128" s="115" t="n">
        <f aca="false">SUMIFS(الريسبي!$C$2:$C$1800,الريسبي!$A$2:$A$1800,$A128,الريسبي!$B$2:$B$1800,W$1)</f>
        <v>0</v>
      </c>
      <c r="X128" s="115" t="n">
        <f aca="false">SUMIFS(الريسبي!$C$2:$C$1800,الريسبي!$A$2:$A$1800,$A128,الريسبي!$B$2:$B$1800,X$1)</f>
        <v>0</v>
      </c>
      <c r="Y128" s="115" t="n">
        <f aca="false">SUMIFS(الريسبي!$C$2:$C$1800,الريسبي!$A$2:$A$1800,$A128,الريسبي!$B$2:$B$1800,Y$1)</f>
        <v>0</v>
      </c>
      <c r="Z128" s="115" t="n">
        <f aca="false">SUMIFS(الريسبي!$C$2:$C$1800,الريسبي!$A$2:$A$1800,$A128,الريسبي!$B$2:$B$1800,Z$1)</f>
        <v>0</v>
      </c>
      <c r="AA128" s="115" t="n">
        <f aca="false">SUMIFS(الريسبي!$C$2:$C$1800,الريسبي!$A$2:$A$1800,$A128,الريسبي!$B$2:$B$1800,AA$1)</f>
        <v>0</v>
      </c>
      <c r="AB128" s="115" t="n">
        <f aca="false">SUMIFS(الريسبي!$C$2:$C$1800,الريسبي!$A$2:$A$1800,$A128,الريسبي!$B$2:$B$1800,AB$1)</f>
        <v>0</v>
      </c>
      <c r="AC128" s="115" t="n">
        <f aca="false">SUMIFS(الريسبي!$C$2:$C$1800,الريسبي!$A$2:$A$1800,$A128,الريسبي!$B$2:$B$1800,AC$1)</f>
        <v>0</v>
      </c>
      <c r="AD128" s="115" t="n">
        <f aca="false">SUMIFS(الريسبي!$C$2:$C$1800,الريسبي!$A$2:$A$1800,$A128,الريسبي!$B$2:$B$1800,AD$1)</f>
        <v>0</v>
      </c>
      <c r="AE128" s="115" t="n">
        <f aca="false">SUMIFS(الريسبي!$C$2:$C$1800,الريسبي!$A$2:$A$1800,$A128,الريسبي!$B$2:$B$1800,AE$1)</f>
        <v>0</v>
      </c>
      <c r="AF128" s="115" t="n">
        <f aca="false">SUMIFS(الريسبي!$C$2:$C$1800,الريسبي!$A$2:$A$1800,$A128,الريسبي!$B$2:$B$1800,AF$1)</f>
        <v>0</v>
      </c>
      <c r="AG128" s="115" t="n">
        <f aca="false">SUMIFS(الريسبي!$C$2:$C$1800,الريسبي!$A$2:$A$1800,$A128,الريسبي!$B$2:$B$1800,AG$1)</f>
        <v>0</v>
      </c>
      <c r="AH128" s="115" t="n">
        <f aca="false">SUMIFS(الريسبي!$C$2:$C$1800,الريسبي!$A$2:$A$1800,$A128,الريسبي!$B$2:$B$1800,AH$1)</f>
        <v>0</v>
      </c>
      <c r="AI128" s="115" t="n">
        <f aca="false">SUMIFS(الريسبي!$C$2:$C$1800,الريسبي!$A$2:$A$1800,$A128,الريسبي!$B$2:$B$1800,AI$1)</f>
        <v>0</v>
      </c>
      <c r="AJ128" s="115" t="n">
        <f aca="false">SUMIFS(الريسبي!$C$2:$C$1800,الريسبي!$A$2:$A$1800,$A128,الريسبي!$B$2:$B$1800,AJ$1)</f>
        <v>0</v>
      </c>
      <c r="AK128" s="115" t="n">
        <f aca="false">SUMIFS(الريسبي!$C$2:$C$1800,الريسبي!$A$2:$A$1800,$A128,الريسبي!$B$2:$B$1800,AK$1)</f>
        <v>0</v>
      </c>
      <c r="AL128" s="115" t="n">
        <f aca="false">SUMIFS(الريسبي!$C$2:$C$1800,الريسبي!$A$2:$A$1800,$A128,الريسبي!$B$2:$B$1800,AL$1)</f>
        <v>0</v>
      </c>
      <c r="AM128" s="115"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15"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15" t="n">
        <f aca="false">SUMIFS(الريسبي!$C$2:$C$1800,الريسبي!$A$2:$A$1800,$A128,الريسبي!$B$2:$B$1800,AO$1)</f>
        <v>0</v>
      </c>
      <c r="AP128" s="115" t="n">
        <f aca="false">SUMIFS(الريسبي!$C$2:$C$1800,الريسبي!$A$2:$A$1800,$A128,الريسبي!$B$2:$B$1800,AP$1)</f>
        <v>0</v>
      </c>
      <c r="AQ128" s="115"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15" t="n">
        <f aca="false">SUMIFS(الريسبي!$C$2:$C$1800,الريسبي!$A$2:$A$1800,$A128,الريسبي!$B$2:$B$1800,AR$1)</f>
        <v>0</v>
      </c>
      <c r="AS128" s="115" t="n">
        <f aca="false">SUMIFS(الريسبي!$C$2:$C$1800,الريسبي!$A$2:$A$1800,$A128,الريسبي!$B$2:$B$1800,AS$1)</f>
        <v>0</v>
      </c>
      <c r="AT128" s="115" t="n">
        <f aca="false">SUMIFS(الريسبي!$C$2:$C$1800,الريسبي!$A$2:$A$1800,$A128,الريسبي!$B$2:$B$1800,AT$1)</f>
        <v>0</v>
      </c>
      <c r="AU128" s="115" t="n">
        <f aca="false">SUMIFS(الريسبي!$C$2:$C$1800,الريسبي!$A$2:$A$1800,$A128,الريسبي!$B$2:$B$1800,AU$1)</f>
        <v>0</v>
      </c>
      <c r="AV128" s="115" t="n">
        <f aca="false">SUMIFS(الريسبي!$C$2:$C$1800,الريسبي!$A$2:$A$1800,$A128,الريسبي!$B$2:$B$1800,AV$1)</f>
        <v>0</v>
      </c>
      <c r="AW128" s="115" t="n">
        <f aca="false">SUMIFS(الريسبي!$C$2:$C$1800,الريسبي!$A$2:$A$1800,$A128,الريسبي!$B$2:$B$1800,AW$1)</f>
        <v>0</v>
      </c>
      <c r="AX128" s="115" t="n">
        <f aca="false">SUMIFS(الريسبي!$C$2:$C$1800,الريسبي!$A$2:$A$1800,$A128,الريسبي!$B$2:$B$1800,AX$1)</f>
        <v>0</v>
      </c>
      <c r="AY128" s="115" t="n">
        <f aca="false">SUMIFS(الريسبي!$C$2:$C$1800,الريسبي!$A$2:$A$1800,$A128,الريسبي!$B$2:$B$1800,AY$1)</f>
        <v>0</v>
      </c>
      <c r="AZ128" s="115" t="n">
        <f aca="false">SUMIFS(الريسبي!$C$2:$C$1800,الريسبي!$A$2:$A$1800,$A128,الريسبي!$B$2:$B$1800,AZ$1)</f>
        <v>0</v>
      </c>
      <c r="BA128" s="115" t="n">
        <f aca="false">SUMIFS(الريسبي!$C$2:$C$1800,الريسبي!$A$2:$A$1800,$A128,الريسبي!$B$2:$B$1800,BA$1)</f>
        <v>0</v>
      </c>
      <c r="BB128" s="115" t="n">
        <f aca="false">SUMIFS(الريسبي!$C$2:$C$1800,الريسبي!$A$2:$A$1800,$A128,الريسبي!$B$2:$B$1800,BB$1)</f>
        <v>0</v>
      </c>
      <c r="BC128" s="115" t="n">
        <f aca="false">SUMIFS(الريسبي!$C$2:$C$1800,الريسبي!$A$2:$A$1800,$A128,الريسبي!$B$2:$B$1800,BC$1)</f>
        <v>0</v>
      </c>
      <c r="BD128" s="115" t="n">
        <f aca="false">SUMIFS(الريسبي!$C$2:$C$1800,الريسبي!$A$2:$A$1800,$A128,الريسبي!$B$2:$B$1800,BD$1)</f>
        <v>0</v>
      </c>
      <c r="BE128" s="115" t="n">
        <f aca="false">SUMIFS(الريسبي!$C$2:$C$1800,الريسبي!$A$2:$A$1800,$A128,الريسبي!$B$2:$B$1800,BE$1)</f>
        <v>0</v>
      </c>
      <c r="BF128" s="115" t="n">
        <f aca="false">SUMIFS(الريسبي!$C$2:$C$1800,الريسبي!$A$2:$A$1800,$A128,الريسبي!$B$2:$B$1800,BF$1)</f>
        <v>0</v>
      </c>
      <c r="BG128" s="115" t="n">
        <f aca="false">SUMIFS(الريسبي!$C$2:$C$1800,الريسبي!$A$2:$A$1800,$A128,الريسبي!$B$2:$B$1800,BG$1)</f>
        <v>0</v>
      </c>
      <c r="BH128" s="115" t="n">
        <f aca="false">SUMIFS(الريسبي!$C$2:$C$1800,الريسبي!$A$2:$A$1800,$A128,الريسبي!$B$2:$B$1800,BH$1)</f>
        <v>0</v>
      </c>
      <c r="BI128" s="115" t="n">
        <f aca="false">SUMIFS(الريسبي!$C$2:$C$1800,الريسبي!$A$2:$A$1800,$A128,الريسبي!$B$2:$B$1800,BI$1)</f>
        <v>0</v>
      </c>
      <c r="BJ128" s="115" t="n">
        <f aca="false">SUMIFS(الريسبي!$C$2:$C$1800,الريسبي!$A$2:$A$1800,$A128,الريسبي!$B$2:$B$1800,BJ$1)</f>
        <v>0</v>
      </c>
      <c r="BK128" s="115" t="n">
        <f aca="false">SUMIFS(الريسبي!$C$2:$C$1800,الريسبي!$A$2:$A$1800,$A128,الريسبي!$B$2:$B$1800,BK$1)</f>
        <v>0</v>
      </c>
      <c r="BL128" s="115" t="n">
        <f aca="false">SUMIFS(الريسبي!$C$2:$C$1800,الريسبي!$A$2:$A$1800,$A128,الريسبي!$B$2:$B$1800,BL$1)</f>
        <v>0</v>
      </c>
      <c r="BM128" s="115" t="n">
        <f aca="false">SUMIFS(الريسبي!$C$2:$C$1800,الريسبي!$A$2:$A$1800,$A128,الريسبي!$B$2:$B$1800,BM$1)</f>
        <v>0</v>
      </c>
      <c r="BN128" s="115" t="n">
        <f aca="false">SUMIFS(الريسبي!$C$2:$C$1800,الريسبي!$A$2:$A$1800,$A128,الريسبي!$B$2:$B$1800,BN$1)</f>
        <v>0</v>
      </c>
      <c r="BO128" s="115" t="n">
        <f aca="false">SUMIFS(الريسبي!$C$2:$C$1800,الريسبي!$A$2:$A$1800,$A128,الريسبي!$B$2:$B$1800,BO$1)</f>
        <v>2</v>
      </c>
      <c r="BP128" s="115" t="n">
        <f aca="false">SUMIFS(الريسبي!$C$2:$C$1800,الريسبي!$A$2:$A$1800,$A128,الريسبي!$B$2:$B$1800,BP$1)</f>
        <v>0</v>
      </c>
      <c r="BQ128" s="115"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15" t="n">
        <f aca="false">SUMIFS(الريسبي!$C$2:$C$1800,الريسبي!$A$2:$A$1800,$A128,الريسبي!$B$2:$B$1800,BR$1)</f>
        <v>0</v>
      </c>
      <c r="BS128" s="115" t="n">
        <f aca="false">SUMIFS(الريسبي!$C$2:$C$1800,الريسبي!$A$2:$A$1800,$A128,الريسبي!$B$2:$B$1800,BS$1)</f>
        <v>0</v>
      </c>
      <c r="BT128" s="115" t="n">
        <f aca="false">SUMIFS(الريسبي!$C$2:$C$1800,الريسبي!$A$2:$A$1800,$A128,الريسبي!$B$2:$B$1800,BT$1)</f>
        <v>0</v>
      </c>
      <c r="BU128" s="115"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15" t="n">
        <f aca="false">SUMIFS(الريسبي!$C$2:$C$1800,الريسبي!$A$2:$A$1800,$A128,الريسبي!$B$2:$B$1800,BV$1)</f>
        <v>0</v>
      </c>
      <c r="BW128" s="115" t="n">
        <f aca="false">SUMIFS(الريسبي!$C$2:$C$1800,الريسبي!$A$2:$A$1800,$A128,الريسبي!$B$2:$B$1800,BW$1)</f>
        <v>0</v>
      </c>
      <c r="BX128" s="115" t="n">
        <f aca="false">SUMIFS(الريسبي!$C$2:$C$1800,الريسبي!$A$2:$A$1800,$A128,الريسبي!$B$2:$B$1800,BX$1)</f>
        <v>0</v>
      </c>
      <c r="BY128" s="115" t="n">
        <f aca="false">SUMIFS(الريسبي!$C$2:$C$1800,الريسبي!$A$2:$A$1800,$A128,الريسبي!$B$2:$B$1800,BY$1)</f>
        <v>0</v>
      </c>
      <c r="BZ128" s="115" t="n">
        <f aca="false">SUMIFS(الريسبي!$C$2:$C$1800,الريسبي!$A$2:$A$1800,$A128,الريسبي!$B$2:$B$1800,BZ$1)</f>
        <v>0</v>
      </c>
      <c r="CA128" s="115" t="n">
        <f aca="false">SUMIFS(الريسبي!$C$2:$C$1800,الريسبي!$A$2:$A$1800,$A128,الريسبي!$B$2:$B$1800,CA$1)</f>
        <v>0</v>
      </c>
      <c r="CB128" s="115" t="n">
        <f aca="false">SUMIFS(الريسبي!$C$2:$C$1800,الريسبي!$A$2:$A$1800,$A128,الريسبي!$B$2:$B$1800,CB$1)</f>
        <v>0</v>
      </c>
      <c r="CC128" s="115" t="n">
        <f aca="false">SUMIFS(الريسبي!$C$2:$C$1800,الريسبي!$A$2:$A$1800,$A128,الريسبي!$B$2:$B$1800,CC$1)</f>
        <v>0</v>
      </c>
      <c r="CD128" s="115" t="n">
        <f aca="false">SUMIFS(الريسبي!$C$2:$C$1800,الريسبي!$A$2:$A$1800,$A128,الريسبي!$B$2:$B$1800,CD$1)</f>
        <v>0</v>
      </c>
      <c r="CE128" s="115" t="n">
        <f aca="false">SUMIFS(الريسبي!$C$2:$C$1800,الريسبي!$A$2:$A$1800,$A128,الريسبي!$B$2:$B$1800,CE$1)</f>
        <v>0</v>
      </c>
      <c r="CF128" s="115" t="n">
        <f aca="false">SUMIFS(الريسبي!$C$2:$C$1800,الريسبي!$A$2:$A$1800,$A128,الريسبي!$B$2:$B$1800,CF$1)</f>
        <v>0</v>
      </c>
      <c r="CG128" s="115" t="n">
        <f aca="false">SUMIFS(الريسبي!$C$2:$C$1800,الريسبي!$A$2:$A$1800,$A128,الريسبي!$B$2:$B$1800,CG$1)</f>
        <v>0</v>
      </c>
      <c r="CH128" s="115" t="n">
        <f aca="false">SUMIFS(الريسبي!$C$2:$C$1800,الريسبي!$A$2:$A$1800,$A128,الريسبي!$B$2:$B$1800,CH$1)</f>
        <v>0</v>
      </c>
    </row>
    <row r="129" customFormat="false" ht="15" hidden="false" customHeight="false" outlineLevel="0" collapsed="false">
      <c r="A129" s="114" t="str">
        <f aca="false">المنيو!B129</f>
        <v>اضافة جبنة كيري (فطير L)</v>
      </c>
      <c r="B129" s="115" t="n">
        <f aca="false">SUMIFS(الريسبي!$C$2:$C$1800,الريسبي!$A$2:$A$1800,$A129,الريسبي!$B$2:$B$1800,B$1)</f>
        <v>0</v>
      </c>
      <c r="C129" s="115" t="n">
        <f aca="false">SUMIFS(الريسبي!$C$2:$C$1800,الريسبي!$A$2:$A$1800,$A129,الريسبي!$B$2:$B$1800,C$1)</f>
        <v>0</v>
      </c>
      <c r="D129" s="115" t="n">
        <f aca="false">SUMIFS(الريسبي!$C$2:$C$1800,الريسبي!$A$2:$A$1800,$A129,الريسبي!$B$2:$B$1800,D$1)</f>
        <v>0</v>
      </c>
      <c r="E129" s="115" t="n">
        <f aca="false">SUMIFS(الريسبي!$C$2:$C$1800,الريسبي!$A$2:$A$1800,$A129,الريسبي!$B$2:$B$1800,E$1)</f>
        <v>0</v>
      </c>
      <c r="F129" s="115" t="n">
        <f aca="false">SUMIFS(الريسبي!$C$2:$C$1800,الريسبي!$A$2:$A$1800,$A129,الريسبي!$B$2:$B$1800,F$1)</f>
        <v>0</v>
      </c>
      <c r="G129" s="115" t="n">
        <f aca="false">SUMIFS(الريسبي!$C$2:$C$1800,الريسبي!$A$2:$A$1800,$A129,الريسبي!$B$2:$B$1800,G$1)</f>
        <v>0</v>
      </c>
      <c r="H129" s="115" t="n">
        <f aca="false">SUMIFS(الريسبي!$C$2:$C$1800,الريسبي!$A$2:$A$1800,$A129,الريسبي!$B$2:$B$1800,H$1)</f>
        <v>0</v>
      </c>
      <c r="I129" s="115" t="n">
        <f aca="false">SUMIFS(الريسبي!$C$2:$C$1800,الريسبي!$A$2:$A$1800,$A129,الريسبي!$B$2:$B$1800,I$1)</f>
        <v>0</v>
      </c>
      <c r="J129" s="115" t="n">
        <f aca="false">SUMIFS(الريسبي!$C$2:$C$1800,الريسبي!$A$2:$A$1800,$A129,الريسبي!$B$2:$B$1800,J$1)</f>
        <v>0</v>
      </c>
      <c r="K129" s="115" t="n">
        <f aca="false">SUMIFS(الريسبي!$C$2:$C$1800,الريسبي!$A$2:$A$1800,$A129,الريسبي!$B$2:$B$1800,K$1)</f>
        <v>0</v>
      </c>
      <c r="L129" s="115" t="n">
        <f aca="false">SUMIFS(الريسبي!$C$2:$C$1800,الريسبي!$A$2:$A$1800,$A129,الريسبي!$B$2:$B$1800,L$1)</f>
        <v>0</v>
      </c>
      <c r="M129" s="115" t="n">
        <f aca="false">SUMIFS(الريسبي!$C$2:$C$1800,الريسبي!$A$2:$A$1800,$A129,الريسبي!$B$2:$B$1800,M$1)</f>
        <v>0</v>
      </c>
      <c r="N129" s="115" t="n">
        <f aca="false">SUMIFS(الريسبي!$C$2:$C$1800,الريسبي!$A$2:$A$1800,$A129,الريسبي!$B$2:$B$1800,N$1)</f>
        <v>0</v>
      </c>
      <c r="O129" s="115" t="n">
        <f aca="false">SUMIFS(الريسبي!$C$2:$C$1800,الريسبي!$A$2:$A$1800,$A129,الريسبي!$B$2:$B$1800,O$1)</f>
        <v>0</v>
      </c>
      <c r="P129" s="115" t="n">
        <f aca="false">SUMIFS(الريسبي!$C$2:$C$1800,الريسبي!$A$2:$A$1800,$A129,الريسبي!$B$2:$B$1800,P$1)</f>
        <v>0</v>
      </c>
      <c r="Q129" s="115" t="n">
        <f aca="false">SUMIFS(الريسبي!$C$2:$C$1800,الريسبي!$A$2:$A$1800,$A129,الريسبي!$B$2:$B$1800,Q$1)</f>
        <v>0</v>
      </c>
      <c r="R129" s="115" t="n">
        <f aca="false">SUMIFS(الريسبي!$C$2:$C$1800,الريسبي!$A$2:$A$1800,$A129,الريسبي!$B$2:$B$1800,R$1)</f>
        <v>0</v>
      </c>
      <c r="S129" s="115" t="n">
        <f aca="false">SUMIFS(الريسبي!$C$2:$C$1800,الريسبي!$A$2:$A$1800,$A129,الريسبي!$B$2:$B$1800,S$1)</f>
        <v>0</v>
      </c>
      <c r="T129" s="115" t="n">
        <f aca="false">SUMIFS(الريسبي!$C$2:$C$1800,الريسبي!$A$2:$A$1800,$A129,الريسبي!$B$2:$B$1800,T$1)</f>
        <v>0</v>
      </c>
      <c r="U129" s="115" t="n">
        <f aca="false">SUMIFS(الريسبي!$C$2:$C$1800,الريسبي!$A$2:$A$1800,$A129,الريسبي!$B$2:$B$1800,U$1)</f>
        <v>0</v>
      </c>
      <c r="V129" s="115" t="n">
        <f aca="false">SUMIFS(الريسبي!$C$2:$C$1800,الريسبي!$A$2:$A$1800,$A129,الريسبي!$B$2:$B$1800,V$1)</f>
        <v>0</v>
      </c>
      <c r="W129" s="115" t="n">
        <f aca="false">SUMIFS(الريسبي!$C$2:$C$1800,الريسبي!$A$2:$A$1800,$A129,الريسبي!$B$2:$B$1800,W$1)</f>
        <v>0</v>
      </c>
      <c r="X129" s="115" t="n">
        <f aca="false">SUMIFS(الريسبي!$C$2:$C$1800,الريسبي!$A$2:$A$1800,$A129,الريسبي!$B$2:$B$1800,X$1)</f>
        <v>0</v>
      </c>
      <c r="Y129" s="115" t="n">
        <f aca="false">SUMIFS(الريسبي!$C$2:$C$1800,الريسبي!$A$2:$A$1800,$A129,الريسبي!$B$2:$B$1800,Y$1)</f>
        <v>0</v>
      </c>
      <c r="Z129" s="115" t="n">
        <f aca="false">SUMIFS(الريسبي!$C$2:$C$1800,الريسبي!$A$2:$A$1800,$A129,الريسبي!$B$2:$B$1800,Z$1)</f>
        <v>0</v>
      </c>
      <c r="AA129" s="115" t="n">
        <f aca="false">SUMIFS(الريسبي!$C$2:$C$1800,الريسبي!$A$2:$A$1800,$A129,الريسبي!$B$2:$B$1800,AA$1)</f>
        <v>0</v>
      </c>
      <c r="AB129" s="115" t="n">
        <f aca="false">SUMIFS(الريسبي!$C$2:$C$1800,الريسبي!$A$2:$A$1800,$A129,الريسبي!$B$2:$B$1800,AB$1)</f>
        <v>0</v>
      </c>
      <c r="AC129" s="115" t="n">
        <f aca="false">SUMIFS(الريسبي!$C$2:$C$1800,الريسبي!$A$2:$A$1800,$A129,الريسبي!$B$2:$B$1800,AC$1)</f>
        <v>0</v>
      </c>
      <c r="AD129" s="115" t="n">
        <f aca="false">SUMIFS(الريسبي!$C$2:$C$1800,الريسبي!$A$2:$A$1800,$A129,الريسبي!$B$2:$B$1800,AD$1)</f>
        <v>0</v>
      </c>
      <c r="AE129" s="115" t="n">
        <f aca="false">SUMIFS(الريسبي!$C$2:$C$1800,الريسبي!$A$2:$A$1800,$A129,الريسبي!$B$2:$B$1800,AE$1)</f>
        <v>0</v>
      </c>
      <c r="AF129" s="115" t="n">
        <f aca="false">SUMIFS(الريسبي!$C$2:$C$1800,الريسبي!$A$2:$A$1800,$A129,الريسبي!$B$2:$B$1800,AF$1)</f>
        <v>0</v>
      </c>
      <c r="AG129" s="115" t="n">
        <f aca="false">SUMIFS(الريسبي!$C$2:$C$1800,الريسبي!$A$2:$A$1800,$A129,الريسبي!$B$2:$B$1800,AG$1)</f>
        <v>0</v>
      </c>
      <c r="AH129" s="115" t="n">
        <f aca="false">SUMIFS(الريسبي!$C$2:$C$1800,الريسبي!$A$2:$A$1800,$A129,الريسبي!$B$2:$B$1800,AH$1)</f>
        <v>0</v>
      </c>
      <c r="AI129" s="115" t="n">
        <f aca="false">SUMIFS(الريسبي!$C$2:$C$1800,الريسبي!$A$2:$A$1800,$A129,الريسبي!$B$2:$B$1800,AI$1)</f>
        <v>0</v>
      </c>
      <c r="AJ129" s="115" t="n">
        <f aca="false">SUMIFS(الريسبي!$C$2:$C$1800,الريسبي!$A$2:$A$1800,$A129,الريسبي!$B$2:$B$1800,AJ$1)</f>
        <v>0</v>
      </c>
      <c r="AK129" s="115" t="n">
        <f aca="false">SUMIFS(الريسبي!$C$2:$C$1800,الريسبي!$A$2:$A$1800,$A129,الريسبي!$B$2:$B$1800,AK$1)</f>
        <v>0</v>
      </c>
      <c r="AL129" s="115" t="n">
        <f aca="false">SUMIFS(الريسبي!$C$2:$C$1800,الريسبي!$A$2:$A$1800,$A129,الريسبي!$B$2:$B$1800,AL$1)</f>
        <v>0</v>
      </c>
      <c r="AM129" s="115"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15"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15" t="n">
        <f aca="false">SUMIFS(الريسبي!$C$2:$C$1800,الريسبي!$A$2:$A$1800,$A129,الريسبي!$B$2:$B$1800,AO$1)</f>
        <v>0</v>
      </c>
      <c r="AP129" s="115" t="n">
        <f aca="false">SUMIFS(الريسبي!$C$2:$C$1800,الريسبي!$A$2:$A$1800,$A129,الريسبي!$B$2:$B$1800,AP$1)</f>
        <v>0</v>
      </c>
      <c r="AQ129" s="115"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15" t="n">
        <f aca="false">SUMIFS(الريسبي!$C$2:$C$1800,الريسبي!$A$2:$A$1800,$A129,الريسبي!$B$2:$B$1800,AR$1)</f>
        <v>0</v>
      </c>
      <c r="AS129" s="115" t="n">
        <f aca="false">SUMIFS(الريسبي!$C$2:$C$1800,الريسبي!$A$2:$A$1800,$A129,الريسبي!$B$2:$B$1800,AS$1)</f>
        <v>0</v>
      </c>
      <c r="AT129" s="115" t="n">
        <f aca="false">SUMIFS(الريسبي!$C$2:$C$1800,الريسبي!$A$2:$A$1800,$A129,الريسبي!$B$2:$B$1800,AT$1)</f>
        <v>0</v>
      </c>
      <c r="AU129" s="115" t="n">
        <f aca="false">SUMIFS(الريسبي!$C$2:$C$1800,الريسبي!$A$2:$A$1800,$A129,الريسبي!$B$2:$B$1800,AU$1)</f>
        <v>0</v>
      </c>
      <c r="AV129" s="115" t="n">
        <f aca="false">SUMIFS(الريسبي!$C$2:$C$1800,الريسبي!$A$2:$A$1800,$A129,الريسبي!$B$2:$B$1800,AV$1)</f>
        <v>0</v>
      </c>
      <c r="AW129" s="115" t="n">
        <f aca="false">SUMIFS(الريسبي!$C$2:$C$1800,الريسبي!$A$2:$A$1800,$A129,الريسبي!$B$2:$B$1800,AW$1)</f>
        <v>0</v>
      </c>
      <c r="AX129" s="115" t="n">
        <f aca="false">SUMIFS(الريسبي!$C$2:$C$1800,الريسبي!$A$2:$A$1800,$A129,الريسبي!$B$2:$B$1800,AX$1)</f>
        <v>0</v>
      </c>
      <c r="AY129" s="115" t="n">
        <f aca="false">SUMIFS(الريسبي!$C$2:$C$1800,الريسبي!$A$2:$A$1800,$A129,الريسبي!$B$2:$B$1800,AY$1)</f>
        <v>0</v>
      </c>
      <c r="AZ129" s="115" t="n">
        <f aca="false">SUMIFS(الريسبي!$C$2:$C$1800,الريسبي!$A$2:$A$1800,$A129,الريسبي!$B$2:$B$1800,AZ$1)</f>
        <v>0</v>
      </c>
      <c r="BA129" s="115" t="n">
        <f aca="false">SUMIFS(الريسبي!$C$2:$C$1800,الريسبي!$A$2:$A$1800,$A129,الريسبي!$B$2:$B$1800,BA$1)</f>
        <v>0</v>
      </c>
      <c r="BB129" s="115" t="n">
        <f aca="false">SUMIFS(الريسبي!$C$2:$C$1800,الريسبي!$A$2:$A$1800,$A129,الريسبي!$B$2:$B$1800,BB$1)</f>
        <v>0</v>
      </c>
      <c r="BC129" s="115" t="n">
        <f aca="false">SUMIFS(الريسبي!$C$2:$C$1800,الريسبي!$A$2:$A$1800,$A129,الريسبي!$B$2:$B$1800,BC$1)</f>
        <v>0</v>
      </c>
      <c r="BD129" s="115" t="n">
        <f aca="false">SUMIFS(الريسبي!$C$2:$C$1800,الريسبي!$A$2:$A$1800,$A129,الريسبي!$B$2:$B$1800,BD$1)</f>
        <v>0</v>
      </c>
      <c r="BE129" s="115" t="n">
        <f aca="false">SUMIFS(الريسبي!$C$2:$C$1800,الريسبي!$A$2:$A$1800,$A129,الريسبي!$B$2:$B$1800,BE$1)</f>
        <v>0</v>
      </c>
      <c r="BF129" s="115" t="n">
        <f aca="false">SUMIFS(الريسبي!$C$2:$C$1800,الريسبي!$A$2:$A$1800,$A129,الريسبي!$B$2:$B$1800,BF$1)</f>
        <v>0</v>
      </c>
      <c r="BG129" s="115" t="n">
        <f aca="false">SUMIFS(الريسبي!$C$2:$C$1800,الريسبي!$A$2:$A$1800,$A129,الريسبي!$B$2:$B$1800,BG$1)</f>
        <v>0</v>
      </c>
      <c r="BH129" s="115" t="n">
        <f aca="false">SUMIFS(الريسبي!$C$2:$C$1800,الريسبي!$A$2:$A$1800,$A129,الريسبي!$B$2:$B$1800,BH$1)</f>
        <v>0</v>
      </c>
      <c r="BI129" s="115" t="n">
        <f aca="false">SUMIFS(الريسبي!$C$2:$C$1800,الريسبي!$A$2:$A$1800,$A129,الريسبي!$B$2:$B$1800,BI$1)</f>
        <v>0</v>
      </c>
      <c r="BJ129" s="115" t="n">
        <f aca="false">SUMIFS(الريسبي!$C$2:$C$1800,الريسبي!$A$2:$A$1800,$A129,الريسبي!$B$2:$B$1800,BJ$1)</f>
        <v>0</v>
      </c>
      <c r="BK129" s="115" t="n">
        <f aca="false">SUMIFS(الريسبي!$C$2:$C$1800,الريسبي!$A$2:$A$1800,$A129,الريسبي!$B$2:$B$1800,BK$1)</f>
        <v>0</v>
      </c>
      <c r="BL129" s="115" t="n">
        <f aca="false">SUMIFS(الريسبي!$C$2:$C$1800,الريسبي!$A$2:$A$1800,$A129,الريسبي!$B$2:$B$1800,BL$1)</f>
        <v>0</v>
      </c>
      <c r="BM129" s="115" t="n">
        <f aca="false">SUMIFS(الريسبي!$C$2:$C$1800,الريسبي!$A$2:$A$1800,$A129,الريسبي!$B$2:$B$1800,BM$1)</f>
        <v>0</v>
      </c>
      <c r="BN129" s="115" t="n">
        <f aca="false">SUMIFS(الريسبي!$C$2:$C$1800,الريسبي!$A$2:$A$1800,$A129,الريسبي!$B$2:$B$1800,BN$1)</f>
        <v>0</v>
      </c>
      <c r="BO129" s="115" t="n">
        <f aca="false">SUMIFS(الريسبي!$C$2:$C$1800,الريسبي!$A$2:$A$1800,$A129,الريسبي!$B$2:$B$1800,BO$1)</f>
        <v>3</v>
      </c>
      <c r="BP129" s="115" t="n">
        <f aca="false">SUMIFS(الريسبي!$C$2:$C$1800,الريسبي!$A$2:$A$1800,$A129,الريسبي!$B$2:$B$1800,BP$1)</f>
        <v>0</v>
      </c>
      <c r="BQ129" s="115"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15" t="n">
        <f aca="false">SUMIFS(الريسبي!$C$2:$C$1800,الريسبي!$A$2:$A$1800,$A129,الريسبي!$B$2:$B$1800,BR$1)</f>
        <v>0</v>
      </c>
      <c r="BS129" s="115" t="n">
        <f aca="false">SUMIFS(الريسبي!$C$2:$C$1800,الريسبي!$A$2:$A$1800,$A129,الريسبي!$B$2:$B$1800,BS$1)</f>
        <v>0</v>
      </c>
      <c r="BT129" s="115" t="n">
        <f aca="false">SUMIFS(الريسبي!$C$2:$C$1800,الريسبي!$A$2:$A$1800,$A129,الريسبي!$B$2:$B$1800,BT$1)</f>
        <v>0</v>
      </c>
      <c r="BU129" s="115"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15" t="n">
        <f aca="false">SUMIFS(الريسبي!$C$2:$C$1800,الريسبي!$A$2:$A$1800,$A129,الريسبي!$B$2:$B$1800,BV$1)</f>
        <v>0</v>
      </c>
      <c r="BW129" s="115" t="n">
        <f aca="false">SUMIFS(الريسبي!$C$2:$C$1800,الريسبي!$A$2:$A$1800,$A129,الريسبي!$B$2:$B$1800,BW$1)</f>
        <v>0</v>
      </c>
      <c r="BX129" s="115" t="n">
        <f aca="false">SUMIFS(الريسبي!$C$2:$C$1800,الريسبي!$A$2:$A$1800,$A129,الريسبي!$B$2:$B$1800,BX$1)</f>
        <v>0</v>
      </c>
      <c r="BY129" s="115" t="n">
        <f aca="false">SUMIFS(الريسبي!$C$2:$C$1800,الريسبي!$A$2:$A$1800,$A129,الريسبي!$B$2:$B$1800,BY$1)</f>
        <v>0</v>
      </c>
      <c r="BZ129" s="115" t="n">
        <f aca="false">SUMIFS(الريسبي!$C$2:$C$1800,الريسبي!$A$2:$A$1800,$A129,الريسبي!$B$2:$B$1800,BZ$1)</f>
        <v>0</v>
      </c>
      <c r="CA129" s="115" t="n">
        <f aca="false">SUMIFS(الريسبي!$C$2:$C$1800,الريسبي!$A$2:$A$1800,$A129,الريسبي!$B$2:$B$1800,CA$1)</f>
        <v>0</v>
      </c>
      <c r="CB129" s="115" t="n">
        <f aca="false">SUMIFS(الريسبي!$C$2:$C$1800,الريسبي!$A$2:$A$1800,$A129,الريسبي!$B$2:$B$1800,CB$1)</f>
        <v>0</v>
      </c>
      <c r="CC129" s="115" t="n">
        <f aca="false">SUMIFS(الريسبي!$C$2:$C$1800,الريسبي!$A$2:$A$1800,$A129,الريسبي!$B$2:$B$1800,CC$1)</f>
        <v>0</v>
      </c>
      <c r="CD129" s="115" t="n">
        <f aca="false">SUMIFS(الريسبي!$C$2:$C$1800,الريسبي!$A$2:$A$1800,$A129,الريسبي!$B$2:$B$1800,CD$1)</f>
        <v>0</v>
      </c>
      <c r="CE129" s="115" t="n">
        <f aca="false">SUMIFS(الريسبي!$C$2:$C$1800,الريسبي!$A$2:$A$1800,$A129,الريسبي!$B$2:$B$1800,CE$1)</f>
        <v>0</v>
      </c>
      <c r="CF129" s="115" t="n">
        <f aca="false">SUMIFS(الريسبي!$C$2:$C$1800,الريسبي!$A$2:$A$1800,$A129,الريسبي!$B$2:$B$1800,CF$1)</f>
        <v>0</v>
      </c>
      <c r="CG129" s="115" t="n">
        <f aca="false">SUMIFS(الريسبي!$C$2:$C$1800,الريسبي!$A$2:$A$1800,$A129,الريسبي!$B$2:$B$1800,CG$1)</f>
        <v>0</v>
      </c>
      <c r="CH129" s="115" t="n">
        <f aca="false">SUMIFS(الريسبي!$C$2:$C$1800,الريسبي!$A$2:$A$1800,$A129,الريسبي!$B$2:$B$1800,CH$1)</f>
        <v>0</v>
      </c>
    </row>
    <row r="130" customFormat="false" ht="15" hidden="false" customHeight="false" outlineLevel="0" collapsed="false">
      <c r="A130" s="114" t="str">
        <f aca="false">المنيو!B130</f>
        <v>اضافة جبنة كيري (بيتزا وسط)</v>
      </c>
      <c r="B130" s="115" t="n">
        <f aca="false">SUMIFS(الريسبي!$C$2:$C$1800,الريسبي!$A$2:$A$1800,$A130,الريسبي!$B$2:$B$1800,B$1)</f>
        <v>0</v>
      </c>
      <c r="C130" s="115" t="n">
        <f aca="false">SUMIFS(الريسبي!$C$2:$C$1800,الريسبي!$A$2:$A$1800,$A130,الريسبي!$B$2:$B$1800,C$1)</f>
        <v>0</v>
      </c>
      <c r="D130" s="115" t="n">
        <f aca="false">SUMIFS(الريسبي!$C$2:$C$1800,الريسبي!$A$2:$A$1800,$A130,الريسبي!$B$2:$B$1800,D$1)</f>
        <v>0</v>
      </c>
      <c r="E130" s="115" t="n">
        <f aca="false">SUMIFS(الريسبي!$C$2:$C$1800,الريسبي!$A$2:$A$1800,$A130,الريسبي!$B$2:$B$1800,E$1)</f>
        <v>0</v>
      </c>
      <c r="F130" s="115" t="n">
        <f aca="false">SUMIFS(الريسبي!$C$2:$C$1800,الريسبي!$A$2:$A$1800,$A130,الريسبي!$B$2:$B$1800,F$1)</f>
        <v>0</v>
      </c>
      <c r="G130" s="115" t="n">
        <f aca="false">SUMIFS(الريسبي!$C$2:$C$1800,الريسبي!$A$2:$A$1800,$A130,الريسبي!$B$2:$B$1800,G$1)</f>
        <v>0</v>
      </c>
      <c r="H130" s="115" t="n">
        <f aca="false">SUMIFS(الريسبي!$C$2:$C$1800,الريسبي!$A$2:$A$1800,$A130,الريسبي!$B$2:$B$1800,H$1)</f>
        <v>0</v>
      </c>
      <c r="I130" s="115" t="n">
        <f aca="false">SUMIFS(الريسبي!$C$2:$C$1800,الريسبي!$A$2:$A$1800,$A130,الريسبي!$B$2:$B$1800,I$1)</f>
        <v>0</v>
      </c>
      <c r="J130" s="115" t="n">
        <f aca="false">SUMIFS(الريسبي!$C$2:$C$1800,الريسبي!$A$2:$A$1800,$A130,الريسبي!$B$2:$B$1800,J$1)</f>
        <v>0</v>
      </c>
      <c r="K130" s="115" t="n">
        <f aca="false">SUMIFS(الريسبي!$C$2:$C$1800,الريسبي!$A$2:$A$1800,$A130,الريسبي!$B$2:$B$1800,K$1)</f>
        <v>0</v>
      </c>
      <c r="L130" s="115" t="n">
        <f aca="false">SUMIFS(الريسبي!$C$2:$C$1800,الريسبي!$A$2:$A$1800,$A130,الريسبي!$B$2:$B$1800,L$1)</f>
        <v>0</v>
      </c>
      <c r="M130" s="115" t="n">
        <f aca="false">SUMIFS(الريسبي!$C$2:$C$1800,الريسبي!$A$2:$A$1800,$A130,الريسبي!$B$2:$B$1800,M$1)</f>
        <v>0</v>
      </c>
      <c r="N130" s="115" t="n">
        <f aca="false">SUMIFS(الريسبي!$C$2:$C$1800,الريسبي!$A$2:$A$1800,$A130,الريسبي!$B$2:$B$1800,N$1)</f>
        <v>0</v>
      </c>
      <c r="O130" s="115" t="n">
        <f aca="false">SUMIFS(الريسبي!$C$2:$C$1800,الريسبي!$A$2:$A$1800,$A130,الريسبي!$B$2:$B$1800,O$1)</f>
        <v>0</v>
      </c>
      <c r="P130" s="115" t="n">
        <f aca="false">SUMIFS(الريسبي!$C$2:$C$1800,الريسبي!$A$2:$A$1800,$A130,الريسبي!$B$2:$B$1800,P$1)</f>
        <v>0</v>
      </c>
      <c r="Q130" s="115" t="n">
        <f aca="false">SUMIFS(الريسبي!$C$2:$C$1800,الريسبي!$A$2:$A$1800,$A130,الريسبي!$B$2:$B$1800,Q$1)</f>
        <v>0</v>
      </c>
      <c r="R130" s="115" t="n">
        <f aca="false">SUMIFS(الريسبي!$C$2:$C$1800,الريسبي!$A$2:$A$1800,$A130,الريسبي!$B$2:$B$1800,R$1)</f>
        <v>0</v>
      </c>
      <c r="S130" s="115" t="n">
        <f aca="false">SUMIFS(الريسبي!$C$2:$C$1800,الريسبي!$A$2:$A$1800,$A130,الريسبي!$B$2:$B$1800,S$1)</f>
        <v>0</v>
      </c>
      <c r="T130" s="115" t="n">
        <f aca="false">SUMIFS(الريسبي!$C$2:$C$1800,الريسبي!$A$2:$A$1800,$A130,الريسبي!$B$2:$B$1800,T$1)</f>
        <v>0</v>
      </c>
      <c r="U130" s="115" t="n">
        <f aca="false">SUMIFS(الريسبي!$C$2:$C$1800,الريسبي!$A$2:$A$1800,$A130,الريسبي!$B$2:$B$1800,U$1)</f>
        <v>0</v>
      </c>
      <c r="V130" s="115" t="n">
        <f aca="false">SUMIFS(الريسبي!$C$2:$C$1800,الريسبي!$A$2:$A$1800,$A130,الريسبي!$B$2:$B$1800,V$1)</f>
        <v>0</v>
      </c>
      <c r="W130" s="115" t="n">
        <f aca="false">SUMIFS(الريسبي!$C$2:$C$1800,الريسبي!$A$2:$A$1800,$A130,الريسبي!$B$2:$B$1800,W$1)</f>
        <v>0</v>
      </c>
      <c r="X130" s="115" t="n">
        <f aca="false">SUMIFS(الريسبي!$C$2:$C$1800,الريسبي!$A$2:$A$1800,$A130,الريسبي!$B$2:$B$1800,X$1)</f>
        <v>0</v>
      </c>
      <c r="Y130" s="115" t="n">
        <f aca="false">SUMIFS(الريسبي!$C$2:$C$1800,الريسبي!$A$2:$A$1800,$A130,الريسبي!$B$2:$B$1800,Y$1)</f>
        <v>0</v>
      </c>
      <c r="Z130" s="115" t="n">
        <f aca="false">SUMIFS(الريسبي!$C$2:$C$1800,الريسبي!$A$2:$A$1800,$A130,الريسبي!$B$2:$B$1800,Z$1)</f>
        <v>0</v>
      </c>
      <c r="AA130" s="115" t="n">
        <f aca="false">SUMIFS(الريسبي!$C$2:$C$1800,الريسبي!$A$2:$A$1800,$A130,الريسبي!$B$2:$B$1800,AA$1)</f>
        <v>0</v>
      </c>
      <c r="AB130" s="115" t="n">
        <f aca="false">SUMIFS(الريسبي!$C$2:$C$1800,الريسبي!$A$2:$A$1800,$A130,الريسبي!$B$2:$B$1800,AB$1)</f>
        <v>0</v>
      </c>
      <c r="AC130" s="115" t="n">
        <f aca="false">SUMIFS(الريسبي!$C$2:$C$1800,الريسبي!$A$2:$A$1800,$A130,الريسبي!$B$2:$B$1800,AC$1)</f>
        <v>0</v>
      </c>
      <c r="AD130" s="115" t="n">
        <f aca="false">SUMIFS(الريسبي!$C$2:$C$1800,الريسبي!$A$2:$A$1800,$A130,الريسبي!$B$2:$B$1800,AD$1)</f>
        <v>0</v>
      </c>
      <c r="AE130" s="115" t="n">
        <f aca="false">SUMIFS(الريسبي!$C$2:$C$1800,الريسبي!$A$2:$A$1800,$A130,الريسبي!$B$2:$B$1800,AE$1)</f>
        <v>0</v>
      </c>
      <c r="AF130" s="115" t="n">
        <f aca="false">SUMIFS(الريسبي!$C$2:$C$1800,الريسبي!$A$2:$A$1800,$A130,الريسبي!$B$2:$B$1800,AF$1)</f>
        <v>0</v>
      </c>
      <c r="AG130" s="115" t="n">
        <f aca="false">SUMIFS(الريسبي!$C$2:$C$1800,الريسبي!$A$2:$A$1800,$A130,الريسبي!$B$2:$B$1800,AG$1)</f>
        <v>0</v>
      </c>
      <c r="AH130" s="115" t="n">
        <f aca="false">SUMIFS(الريسبي!$C$2:$C$1800,الريسبي!$A$2:$A$1800,$A130,الريسبي!$B$2:$B$1800,AH$1)</f>
        <v>0</v>
      </c>
      <c r="AI130" s="115" t="n">
        <f aca="false">SUMIFS(الريسبي!$C$2:$C$1800,الريسبي!$A$2:$A$1800,$A130,الريسبي!$B$2:$B$1800,AI$1)</f>
        <v>0</v>
      </c>
      <c r="AJ130" s="115" t="n">
        <f aca="false">SUMIFS(الريسبي!$C$2:$C$1800,الريسبي!$A$2:$A$1800,$A130,الريسبي!$B$2:$B$1800,AJ$1)</f>
        <v>0</v>
      </c>
      <c r="AK130" s="115" t="n">
        <f aca="false">SUMIFS(الريسبي!$C$2:$C$1800,الريسبي!$A$2:$A$1800,$A130,الريسبي!$B$2:$B$1800,AK$1)</f>
        <v>0</v>
      </c>
      <c r="AL130" s="115" t="n">
        <f aca="false">SUMIFS(الريسبي!$C$2:$C$1800,الريسبي!$A$2:$A$1800,$A130,الريسبي!$B$2:$B$1800,AL$1)</f>
        <v>0</v>
      </c>
      <c r="AM130" s="115"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15"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15" t="n">
        <f aca="false">SUMIFS(الريسبي!$C$2:$C$1800,الريسبي!$A$2:$A$1800,$A130,الريسبي!$B$2:$B$1800,AO$1)</f>
        <v>0</v>
      </c>
      <c r="AP130" s="115" t="n">
        <f aca="false">SUMIFS(الريسبي!$C$2:$C$1800,الريسبي!$A$2:$A$1800,$A130,الريسبي!$B$2:$B$1800,AP$1)</f>
        <v>0</v>
      </c>
      <c r="AQ130" s="115"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15" t="n">
        <f aca="false">SUMIFS(الريسبي!$C$2:$C$1800,الريسبي!$A$2:$A$1800,$A130,الريسبي!$B$2:$B$1800,AR$1)</f>
        <v>0</v>
      </c>
      <c r="AS130" s="115" t="n">
        <f aca="false">SUMIFS(الريسبي!$C$2:$C$1800,الريسبي!$A$2:$A$1800,$A130,الريسبي!$B$2:$B$1800,AS$1)</f>
        <v>0</v>
      </c>
      <c r="AT130" s="115" t="n">
        <f aca="false">SUMIFS(الريسبي!$C$2:$C$1800,الريسبي!$A$2:$A$1800,$A130,الريسبي!$B$2:$B$1800,AT$1)</f>
        <v>0</v>
      </c>
      <c r="AU130" s="115" t="n">
        <f aca="false">SUMIFS(الريسبي!$C$2:$C$1800,الريسبي!$A$2:$A$1800,$A130,الريسبي!$B$2:$B$1800,AU$1)</f>
        <v>0</v>
      </c>
      <c r="AV130" s="115" t="n">
        <f aca="false">SUMIFS(الريسبي!$C$2:$C$1800,الريسبي!$A$2:$A$1800,$A130,الريسبي!$B$2:$B$1800,AV$1)</f>
        <v>0</v>
      </c>
      <c r="AW130" s="115" t="n">
        <f aca="false">SUMIFS(الريسبي!$C$2:$C$1800,الريسبي!$A$2:$A$1800,$A130,الريسبي!$B$2:$B$1800,AW$1)</f>
        <v>0</v>
      </c>
      <c r="AX130" s="115" t="n">
        <f aca="false">SUMIFS(الريسبي!$C$2:$C$1800,الريسبي!$A$2:$A$1800,$A130,الريسبي!$B$2:$B$1800,AX$1)</f>
        <v>0</v>
      </c>
      <c r="AY130" s="115" t="n">
        <f aca="false">SUMIFS(الريسبي!$C$2:$C$1800,الريسبي!$A$2:$A$1800,$A130,الريسبي!$B$2:$B$1800,AY$1)</f>
        <v>0</v>
      </c>
      <c r="AZ130" s="115" t="n">
        <f aca="false">SUMIFS(الريسبي!$C$2:$C$1800,الريسبي!$A$2:$A$1800,$A130,الريسبي!$B$2:$B$1800,AZ$1)</f>
        <v>0</v>
      </c>
      <c r="BA130" s="115" t="n">
        <f aca="false">SUMIFS(الريسبي!$C$2:$C$1800,الريسبي!$A$2:$A$1800,$A130,الريسبي!$B$2:$B$1800,BA$1)</f>
        <v>0</v>
      </c>
      <c r="BB130" s="115" t="n">
        <f aca="false">SUMIFS(الريسبي!$C$2:$C$1800,الريسبي!$A$2:$A$1800,$A130,الريسبي!$B$2:$B$1800,BB$1)</f>
        <v>0</v>
      </c>
      <c r="BC130" s="115" t="n">
        <f aca="false">SUMIFS(الريسبي!$C$2:$C$1800,الريسبي!$A$2:$A$1800,$A130,الريسبي!$B$2:$B$1800,BC$1)</f>
        <v>0</v>
      </c>
      <c r="BD130" s="115" t="n">
        <f aca="false">SUMIFS(الريسبي!$C$2:$C$1800,الريسبي!$A$2:$A$1800,$A130,الريسبي!$B$2:$B$1800,BD$1)</f>
        <v>0</v>
      </c>
      <c r="BE130" s="115" t="n">
        <f aca="false">SUMIFS(الريسبي!$C$2:$C$1800,الريسبي!$A$2:$A$1800,$A130,الريسبي!$B$2:$B$1800,BE$1)</f>
        <v>0</v>
      </c>
      <c r="BF130" s="115" t="n">
        <f aca="false">SUMIFS(الريسبي!$C$2:$C$1800,الريسبي!$A$2:$A$1800,$A130,الريسبي!$B$2:$B$1800,BF$1)</f>
        <v>0</v>
      </c>
      <c r="BG130" s="115" t="n">
        <f aca="false">SUMIFS(الريسبي!$C$2:$C$1800,الريسبي!$A$2:$A$1800,$A130,الريسبي!$B$2:$B$1800,BG$1)</f>
        <v>0</v>
      </c>
      <c r="BH130" s="115" t="n">
        <f aca="false">SUMIFS(الريسبي!$C$2:$C$1800,الريسبي!$A$2:$A$1800,$A130,الريسبي!$B$2:$B$1800,BH$1)</f>
        <v>0</v>
      </c>
      <c r="BI130" s="115" t="n">
        <f aca="false">SUMIFS(الريسبي!$C$2:$C$1800,الريسبي!$A$2:$A$1800,$A130,الريسبي!$B$2:$B$1800,BI$1)</f>
        <v>0</v>
      </c>
      <c r="BJ130" s="115" t="n">
        <f aca="false">SUMIFS(الريسبي!$C$2:$C$1800,الريسبي!$A$2:$A$1800,$A130,الريسبي!$B$2:$B$1800,BJ$1)</f>
        <v>0</v>
      </c>
      <c r="BK130" s="115" t="n">
        <f aca="false">SUMIFS(الريسبي!$C$2:$C$1800,الريسبي!$A$2:$A$1800,$A130,الريسبي!$B$2:$B$1800,BK$1)</f>
        <v>0</v>
      </c>
      <c r="BL130" s="115" t="n">
        <f aca="false">SUMIFS(الريسبي!$C$2:$C$1800,الريسبي!$A$2:$A$1800,$A130,الريسبي!$B$2:$B$1800,BL$1)</f>
        <v>0</v>
      </c>
      <c r="BM130" s="115" t="n">
        <f aca="false">SUMIFS(الريسبي!$C$2:$C$1800,الريسبي!$A$2:$A$1800,$A130,الريسبي!$B$2:$B$1800,BM$1)</f>
        <v>0</v>
      </c>
      <c r="BN130" s="115" t="n">
        <f aca="false">SUMIFS(الريسبي!$C$2:$C$1800,الريسبي!$A$2:$A$1800,$A130,الريسبي!$B$2:$B$1800,BN$1)</f>
        <v>0</v>
      </c>
      <c r="BO130" s="115" t="n">
        <f aca="false">SUMIFS(الريسبي!$C$2:$C$1800,الريسبي!$A$2:$A$1800,$A130,الريسبي!$B$2:$B$1800,BO$1)</f>
        <v>2</v>
      </c>
      <c r="BP130" s="115" t="n">
        <f aca="false">SUMIFS(الريسبي!$C$2:$C$1800,الريسبي!$A$2:$A$1800,$A130,الريسبي!$B$2:$B$1800,BP$1)</f>
        <v>0</v>
      </c>
      <c r="BQ130" s="115"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15" t="n">
        <f aca="false">SUMIFS(الريسبي!$C$2:$C$1800,الريسبي!$A$2:$A$1800,$A130,الريسبي!$B$2:$B$1800,BR$1)</f>
        <v>0</v>
      </c>
      <c r="BS130" s="115" t="n">
        <f aca="false">SUMIFS(الريسبي!$C$2:$C$1800,الريسبي!$A$2:$A$1800,$A130,الريسبي!$B$2:$B$1800,BS$1)</f>
        <v>0</v>
      </c>
      <c r="BT130" s="115" t="n">
        <f aca="false">SUMIFS(الريسبي!$C$2:$C$1800,الريسبي!$A$2:$A$1800,$A130,الريسبي!$B$2:$B$1800,BT$1)</f>
        <v>0</v>
      </c>
      <c r="BU130" s="115"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15" t="n">
        <f aca="false">SUMIFS(الريسبي!$C$2:$C$1800,الريسبي!$A$2:$A$1800,$A130,الريسبي!$B$2:$B$1800,BV$1)</f>
        <v>0</v>
      </c>
      <c r="BW130" s="115" t="n">
        <f aca="false">SUMIFS(الريسبي!$C$2:$C$1800,الريسبي!$A$2:$A$1800,$A130,الريسبي!$B$2:$B$1800,BW$1)</f>
        <v>0</v>
      </c>
      <c r="BX130" s="115" t="n">
        <f aca="false">SUMIFS(الريسبي!$C$2:$C$1800,الريسبي!$A$2:$A$1800,$A130,الريسبي!$B$2:$B$1800,BX$1)</f>
        <v>0</v>
      </c>
      <c r="BY130" s="115" t="n">
        <f aca="false">SUMIFS(الريسبي!$C$2:$C$1800,الريسبي!$A$2:$A$1800,$A130,الريسبي!$B$2:$B$1800,BY$1)</f>
        <v>0</v>
      </c>
      <c r="BZ130" s="115" t="n">
        <f aca="false">SUMIFS(الريسبي!$C$2:$C$1800,الريسبي!$A$2:$A$1800,$A130,الريسبي!$B$2:$B$1800,BZ$1)</f>
        <v>0</v>
      </c>
      <c r="CA130" s="115" t="n">
        <f aca="false">SUMIFS(الريسبي!$C$2:$C$1800,الريسبي!$A$2:$A$1800,$A130,الريسبي!$B$2:$B$1800,CA$1)</f>
        <v>0</v>
      </c>
      <c r="CB130" s="115" t="n">
        <f aca="false">SUMIFS(الريسبي!$C$2:$C$1800,الريسبي!$A$2:$A$1800,$A130,الريسبي!$B$2:$B$1800,CB$1)</f>
        <v>0</v>
      </c>
      <c r="CC130" s="115" t="n">
        <f aca="false">SUMIFS(الريسبي!$C$2:$C$1800,الريسبي!$A$2:$A$1800,$A130,الريسبي!$B$2:$B$1800,CC$1)</f>
        <v>0</v>
      </c>
      <c r="CD130" s="115" t="n">
        <f aca="false">SUMIFS(الريسبي!$C$2:$C$1800,الريسبي!$A$2:$A$1800,$A130,الريسبي!$B$2:$B$1800,CD$1)</f>
        <v>0</v>
      </c>
      <c r="CE130" s="115" t="n">
        <f aca="false">SUMIFS(الريسبي!$C$2:$C$1800,الريسبي!$A$2:$A$1800,$A130,الريسبي!$B$2:$B$1800,CE$1)</f>
        <v>0</v>
      </c>
      <c r="CF130" s="115" t="n">
        <f aca="false">SUMIFS(الريسبي!$C$2:$C$1800,الريسبي!$A$2:$A$1800,$A130,الريسبي!$B$2:$B$1800,CF$1)</f>
        <v>0</v>
      </c>
      <c r="CG130" s="115" t="n">
        <f aca="false">SUMIFS(الريسبي!$C$2:$C$1800,الريسبي!$A$2:$A$1800,$A130,الريسبي!$B$2:$B$1800,CG$1)</f>
        <v>0</v>
      </c>
      <c r="CH130" s="115" t="n">
        <f aca="false">SUMIFS(الريسبي!$C$2:$C$1800,الريسبي!$A$2:$A$1800,$A130,الريسبي!$B$2:$B$1800,CH$1)</f>
        <v>0</v>
      </c>
    </row>
    <row r="131" customFormat="false" ht="15" hidden="false" customHeight="false" outlineLevel="0" collapsed="false">
      <c r="A131" s="114" t="str">
        <f aca="false">المنيو!B131</f>
        <v>اضافة جبنة موتزريلا (فطير M)</v>
      </c>
      <c r="B131" s="115" t="n">
        <f aca="false">SUMIFS(الريسبي!$C$2:$C$1800,الريسبي!$A$2:$A$1800,$A131,الريسبي!$B$2:$B$1800,B$1)</f>
        <v>0</v>
      </c>
      <c r="C131" s="115" t="n">
        <f aca="false">SUMIFS(الريسبي!$C$2:$C$1800,الريسبي!$A$2:$A$1800,$A131,الريسبي!$B$2:$B$1800,C$1)</f>
        <v>0</v>
      </c>
      <c r="D131" s="115" t="n">
        <f aca="false">SUMIFS(الريسبي!$C$2:$C$1800,الريسبي!$A$2:$A$1800,$A131,الريسبي!$B$2:$B$1800,D$1)</f>
        <v>0</v>
      </c>
      <c r="E131" s="115" t="n">
        <f aca="false">SUMIFS(الريسبي!$C$2:$C$1800,الريسبي!$A$2:$A$1800,$A131,الريسبي!$B$2:$B$1800,E$1)</f>
        <v>0</v>
      </c>
      <c r="F131" s="115" t="n">
        <f aca="false">SUMIFS(الريسبي!$C$2:$C$1800,الريسبي!$A$2:$A$1800,$A131,الريسبي!$B$2:$B$1800,F$1)</f>
        <v>0</v>
      </c>
      <c r="G131" s="115" t="n">
        <f aca="false">SUMIFS(الريسبي!$C$2:$C$1800,الريسبي!$A$2:$A$1800,$A131,الريسبي!$B$2:$B$1800,G$1)</f>
        <v>0</v>
      </c>
      <c r="H131" s="115" t="n">
        <f aca="false">SUMIFS(الريسبي!$C$2:$C$1800,الريسبي!$A$2:$A$1800,$A131,الريسبي!$B$2:$B$1800,H$1)</f>
        <v>0</v>
      </c>
      <c r="I131" s="115" t="n">
        <f aca="false">SUMIFS(الريسبي!$C$2:$C$1800,الريسبي!$A$2:$A$1800,$A131,الريسبي!$B$2:$B$1800,I$1)</f>
        <v>0</v>
      </c>
      <c r="J131" s="115" t="n">
        <f aca="false">SUMIFS(الريسبي!$C$2:$C$1800,الريسبي!$A$2:$A$1800,$A131,الريسبي!$B$2:$B$1800,J$1)</f>
        <v>0</v>
      </c>
      <c r="K131" s="115" t="n">
        <f aca="false">SUMIFS(الريسبي!$C$2:$C$1800,الريسبي!$A$2:$A$1800,$A131,الريسبي!$B$2:$B$1800,K$1)</f>
        <v>0</v>
      </c>
      <c r="L131" s="115" t="n">
        <f aca="false">SUMIFS(الريسبي!$C$2:$C$1800,الريسبي!$A$2:$A$1800,$A131,الريسبي!$B$2:$B$1800,L$1)</f>
        <v>0</v>
      </c>
      <c r="M131" s="115" t="n">
        <f aca="false">SUMIFS(الريسبي!$C$2:$C$1800,الريسبي!$A$2:$A$1800,$A131,الريسبي!$B$2:$B$1800,M$1)</f>
        <v>0</v>
      </c>
      <c r="N131" s="115" t="n">
        <f aca="false">SUMIFS(الريسبي!$C$2:$C$1800,الريسبي!$A$2:$A$1800,$A131,الريسبي!$B$2:$B$1800,N$1)</f>
        <v>0</v>
      </c>
      <c r="O131" s="115" t="n">
        <f aca="false">SUMIFS(الريسبي!$C$2:$C$1800,الريسبي!$A$2:$A$1800,$A131,الريسبي!$B$2:$B$1800,O$1)</f>
        <v>0</v>
      </c>
      <c r="P131" s="115" t="n">
        <f aca="false">SUMIFS(الريسبي!$C$2:$C$1800,الريسبي!$A$2:$A$1800,$A131,الريسبي!$B$2:$B$1800,P$1)</f>
        <v>0</v>
      </c>
      <c r="Q131" s="115" t="n">
        <f aca="false">SUMIFS(الريسبي!$C$2:$C$1800,الريسبي!$A$2:$A$1800,$A131,الريسبي!$B$2:$B$1800,Q$1)</f>
        <v>0</v>
      </c>
      <c r="R131" s="115" t="n">
        <f aca="false">SUMIFS(الريسبي!$C$2:$C$1800,الريسبي!$A$2:$A$1800,$A131,الريسبي!$B$2:$B$1800,R$1)</f>
        <v>0</v>
      </c>
      <c r="S131" s="115" t="n">
        <f aca="false">SUMIFS(الريسبي!$C$2:$C$1800,الريسبي!$A$2:$A$1800,$A131,الريسبي!$B$2:$B$1800,S$1)</f>
        <v>0</v>
      </c>
      <c r="T131" s="115" t="n">
        <f aca="false">SUMIFS(الريسبي!$C$2:$C$1800,الريسبي!$A$2:$A$1800,$A131,الريسبي!$B$2:$B$1800,T$1)</f>
        <v>0</v>
      </c>
      <c r="U131" s="115" t="n">
        <f aca="false">SUMIFS(الريسبي!$C$2:$C$1800,الريسبي!$A$2:$A$1800,$A131,الريسبي!$B$2:$B$1800,U$1)</f>
        <v>0</v>
      </c>
      <c r="V131" s="115" t="n">
        <f aca="false">SUMIFS(الريسبي!$C$2:$C$1800,الريسبي!$A$2:$A$1800,$A131,الريسبي!$B$2:$B$1800,V$1)</f>
        <v>0</v>
      </c>
      <c r="W131" s="115" t="n">
        <f aca="false">SUMIFS(الريسبي!$C$2:$C$1800,الريسبي!$A$2:$A$1800,$A131,الريسبي!$B$2:$B$1800,W$1)</f>
        <v>0</v>
      </c>
      <c r="X131" s="115" t="n">
        <f aca="false">SUMIFS(الريسبي!$C$2:$C$1800,الريسبي!$A$2:$A$1800,$A131,الريسبي!$B$2:$B$1800,X$1)</f>
        <v>1</v>
      </c>
      <c r="Y131" s="115" t="n">
        <f aca="false">SUMIFS(الريسبي!$C$2:$C$1800,الريسبي!$A$2:$A$1800,$A131,الريسبي!$B$2:$B$1800,Y$1)</f>
        <v>0</v>
      </c>
      <c r="Z131" s="115" t="n">
        <f aca="false">SUMIFS(الريسبي!$C$2:$C$1800,الريسبي!$A$2:$A$1800,$A131,الريسبي!$B$2:$B$1800,Z$1)</f>
        <v>0</v>
      </c>
      <c r="AA131" s="115" t="n">
        <f aca="false">SUMIFS(الريسبي!$C$2:$C$1800,الريسبي!$A$2:$A$1800,$A131,الريسبي!$B$2:$B$1800,AA$1)</f>
        <v>0</v>
      </c>
      <c r="AB131" s="115" t="n">
        <f aca="false">SUMIFS(الريسبي!$C$2:$C$1800,الريسبي!$A$2:$A$1800,$A131,الريسبي!$B$2:$B$1800,AB$1)</f>
        <v>0</v>
      </c>
      <c r="AC131" s="115" t="n">
        <f aca="false">SUMIFS(الريسبي!$C$2:$C$1800,الريسبي!$A$2:$A$1800,$A131,الريسبي!$B$2:$B$1800,AC$1)</f>
        <v>0</v>
      </c>
      <c r="AD131" s="115" t="n">
        <f aca="false">SUMIFS(الريسبي!$C$2:$C$1800,الريسبي!$A$2:$A$1800,$A131,الريسبي!$B$2:$B$1800,AD$1)</f>
        <v>0</v>
      </c>
      <c r="AE131" s="115" t="n">
        <f aca="false">SUMIFS(الريسبي!$C$2:$C$1800,الريسبي!$A$2:$A$1800,$A131,الريسبي!$B$2:$B$1800,AE$1)</f>
        <v>0</v>
      </c>
      <c r="AF131" s="115" t="n">
        <f aca="false">SUMIFS(الريسبي!$C$2:$C$1800,الريسبي!$A$2:$A$1800,$A131,الريسبي!$B$2:$B$1800,AF$1)</f>
        <v>0</v>
      </c>
      <c r="AG131" s="115" t="n">
        <f aca="false">SUMIFS(الريسبي!$C$2:$C$1800,الريسبي!$A$2:$A$1800,$A131,الريسبي!$B$2:$B$1800,AG$1)</f>
        <v>0</v>
      </c>
      <c r="AH131" s="115" t="n">
        <f aca="false">SUMIFS(الريسبي!$C$2:$C$1800,الريسبي!$A$2:$A$1800,$A131,الريسبي!$B$2:$B$1800,AH$1)</f>
        <v>0</v>
      </c>
      <c r="AI131" s="115" t="n">
        <f aca="false">SUMIFS(الريسبي!$C$2:$C$1800,الريسبي!$A$2:$A$1800,$A131,الريسبي!$B$2:$B$1800,AI$1)</f>
        <v>0</v>
      </c>
      <c r="AJ131" s="115" t="n">
        <f aca="false">SUMIFS(الريسبي!$C$2:$C$1800,الريسبي!$A$2:$A$1800,$A131,الريسبي!$B$2:$B$1800,AJ$1)</f>
        <v>0</v>
      </c>
      <c r="AK131" s="115" t="n">
        <f aca="false">SUMIFS(الريسبي!$C$2:$C$1800,الريسبي!$A$2:$A$1800,$A131,الريسبي!$B$2:$B$1800,AK$1)</f>
        <v>0</v>
      </c>
      <c r="AL131" s="115" t="n">
        <f aca="false">SUMIFS(الريسبي!$C$2:$C$1800,الريسبي!$A$2:$A$1800,$A131,الريسبي!$B$2:$B$1800,AL$1)</f>
        <v>0</v>
      </c>
      <c r="AM131" s="115"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15"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15" t="n">
        <f aca="false">SUMIFS(الريسبي!$C$2:$C$1800,الريسبي!$A$2:$A$1800,$A131,الريسبي!$B$2:$B$1800,AO$1)</f>
        <v>0</v>
      </c>
      <c r="AP131" s="115" t="n">
        <f aca="false">SUMIFS(الريسبي!$C$2:$C$1800,الريسبي!$A$2:$A$1800,$A131,الريسبي!$B$2:$B$1800,AP$1)</f>
        <v>0</v>
      </c>
      <c r="AQ131" s="115"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15" t="n">
        <f aca="false">SUMIFS(الريسبي!$C$2:$C$1800,الريسبي!$A$2:$A$1800,$A131,الريسبي!$B$2:$B$1800,AR$1)</f>
        <v>0</v>
      </c>
      <c r="AS131" s="115" t="n">
        <f aca="false">SUMIFS(الريسبي!$C$2:$C$1800,الريسبي!$A$2:$A$1800,$A131,الريسبي!$B$2:$B$1800,AS$1)</f>
        <v>0</v>
      </c>
      <c r="AT131" s="115" t="n">
        <f aca="false">SUMIFS(الريسبي!$C$2:$C$1800,الريسبي!$A$2:$A$1800,$A131,الريسبي!$B$2:$B$1800,AT$1)</f>
        <v>0</v>
      </c>
      <c r="AU131" s="115" t="n">
        <f aca="false">SUMIFS(الريسبي!$C$2:$C$1800,الريسبي!$A$2:$A$1800,$A131,الريسبي!$B$2:$B$1800,AU$1)</f>
        <v>0</v>
      </c>
      <c r="AV131" s="115" t="n">
        <f aca="false">SUMIFS(الريسبي!$C$2:$C$1800,الريسبي!$A$2:$A$1800,$A131,الريسبي!$B$2:$B$1800,AV$1)</f>
        <v>0</v>
      </c>
      <c r="AW131" s="115" t="n">
        <f aca="false">SUMIFS(الريسبي!$C$2:$C$1800,الريسبي!$A$2:$A$1800,$A131,الريسبي!$B$2:$B$1800,AW$1)</f>
        <v>0</v>
      </c>
      <c r="AX131" s="115" t="n">
        <f aca="false">SUMIFS(الريسبي!$C$2:$C$1800,الريسبي!$A$2:$A$1800,$A131,الريسبي!$B$2:$B$1800,AX$1)</f>
        <v>0</v>
      </c>
      <c r="AY131" s="115" t="n">
        <f aca="false">SUMIFS(الريسبي!$C$2:$C$1800,الريسبي!$A$2:$A$1800,$A131,الريسبي!$B$2:$B$1800,AY$1)</f>
        <v>0</v>
      </c>
      <c r="AZ131" s="115" t="n">
        <f aca="false">SUMIFS(الريسبي!$C$2:$C$1800,الريسبي!$A$2:$A$1800,$A131,الريسبي!$B$2:$B$1800,AZ$1)</f>
        <v>0</v>
      </c>
      <c r="BA131" s="115" t="n">
        <f aca="false">SUMIFS(الريسبي!$C$2:$C$1800,الريسبي!$A$2:$A$1800,$A131,الريسبي!$B$2:$B$1800,BA$1)</f>
        <v>0</v>
      </c>
      <c r="BB131" s="115" t="n">
        <f aca="false">SUMIFS(الريسبي!$C$2:$C$1800,الريسبي!$A$2:$A$1800,$A131,الريسبي!$B$2:$B$1800,BB$1)</f>
        <v>0</v>
      </c>
      <c r="BC131" s="115" t="n">
        <f aca="false">SUMIFS(الريسبي!$C$2:$C$1800,الريسبي!$A$2:$A$1800,$A131,الريسبي!$B$2:$B$1800,BC$1)</f>
        <v>0</v>
      </c>
      <c r="BD131" s="115" t="n">
        <f aca="false">SUMIFS(الريسبي!$C$2:$C$1800,الريسبي!$A$2:$A$1800,$A131,الريسبي!$B$2:$B$1800,BD$1)</f>
        <v>0</v>
      </c>
      <c r="BE131" s="115" t="n">
        <f aca="false">SUMIFS(الريسبي!$C$2:$C$1800,الريسبي!$A$2:$A$1800,$A131,الريسبي!$B$2:$B$1800,BE$1)</f>
        <v>0</v>
      </c>
      <c r="BF131" s="115" t="n">
        <f aca="false">SUMIFS(الريسبي!$C$2:$C$1800,الريسبي!$A$2:$A$1800,$A131,الريسبي!$B$2:$B$1800,BF$1)</f>
        <v>0</v>
      </c>
      <c r="BG131" s="115" t="n">
        <f aca="false">SUMIFS(الريسبي!$C$2:$C$1800,الريسبي!$A$2:$A$1800,$A131,الريسبي!$B$2:$B$1800,BG$1)</f>
        <v>0</v>
      </c>
      <c r="BH131" s="115" t="n">
        <f aca="false">SUMIFS(الريسبي!$C$2:$C$1800,الريسبي!$A$2:$A$1800,$A131,الريسبي!$B$2:$B$1800,BH$1)</f>
        <v>0</v>
      </c>
      <c r="BI131" s="115" t="n">
        <f aca="false">SUMIFS(الريسبي!$C$2:$C$1800,الريسبي!$A$2:$A$1800,$A131,الريسبي!$B$2:$B$1800,BI$1)</f>
        <v>0</v>
      </c>
      <c r="BJ131" s="115" t="n">
        <f aca="false">SUMIFS(الريسبي!$C$2:$C$1800,الريسبي!$A$2:$A$1800,$A131,الريسبي!$B$2:$B$1800,BJ$1)</f>
        <v>0</v>
      </c>
      <c r="BK131" s="115" t="n">
        <f aca="false">SUMIFS(الريسبي!$C$2:$C$1800,الريسبي!$A$2:$A$1800,$A131,الريسبي!$B$2:$B$1800,BK$1)</f>
        <v>0</v>
      </c>
      <c r="BL131" s="115" t="n">
        <f aca="false">SUMIFS(الريسبي!$C$2:$C$1800,الريسبي!$A$2:$A$1800,$A131,الريسبي!$B$2:$B$1800,BL$1)</f>
        <v>0</v>
      </c>
      <c r="BM131" s="115" t="n">
        <f aca="false">SUMIFS(الريسبي!$C$2:$C$1800,الريسبي!$A$2:$A$1800,$A131,الريسبي!$B$2:$B$1800,BM$1)</f>
        <v>0</v>
      </c>
      <c r="BN131" s="115" t="n">
        <f aca="false">SUMIFS(الريسبي!$C$2:$C$1800,الريسبي!$A$2:$A$1800,$A131,الريسبي!$B$2:$B$1800,BN$1)</f>
        <v>0</v>
      </c>
      <c r="BO131" s="115" t="n">
        <f aca="false">SUMIFS(الريسبي!$C$2:$C$1800,الريسبي!$A$2:$A$1800,$A131,الريسبي!$B$2:$B$1800,BO$1)</f>
        <v>0</v>
      </c>
      <c r="BP131" s="115" t="n">
        <f aca="false">SUMIFS(الريسبي!$C$2:$C$1800,الريسبي!$A$2:$A$1800,$A131,الريسبي!$B$2:$B$1800,BP$1)</f>
        <v>0</v>
      </c>
      <c r="BQ131" s="115"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15" t="n">
        <f aca="false">SUMIFS(الريسبي!$C$2:$C$1800,الريسبي!$A$2:$A$1800,$A131,الريسبي!$B$2:$B$1800,BR$1)</f>
        <v>0</v>
      </c>
      <c r="BS131" s="115" t="n">
        <f aca="false">SUMIFS(الريسبي!$C$2:$C$1800,الريسبي!$A$2:$A$1800,$A131,الريسبي!$B$2:$B$1800,BS$1)</f>
        <v>0</v>
      </c>
      <c r="BT131" s="115" t="n">
        <f aca="false">SUMIFS(الريسبي!$C$2:$C$1800,الريسبي!$A$2:$A$1800,$A131,الريسبي!$B$2:$B$1800,BT$1)</f>
        <v>0</v>
      </c>
      <c r="BU131" s="115"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15" t="n">
        <f aca="false">SUMIFS(الريسبي!$C$2:$C$1800,الريسبي!$A$2:$A$1800,$A131,الريسبي!$B$2:$B$1800,BV$1)</f>
        <v>0</v>
      </c>
      <c r="BW131" s="115" t="n">
        <f aca="false">SUMIFS(الريسبي!$C$2:$C$1800,الريسبي!$A$2:$A$1800,$A131,الريسبي!$B$2:$B$1800,BW$1)</f>
        <v>0</v>
      </c>
      <c r="BX131" s="115" t="n">
        <f aca="false">SUMIFS(الريسبي!$C$2:$C$1800,الريسبي!$A$2:$A$1800,$A131,الريسبي!$B$2:$B$1800,BX$1)</f>
        <v>0</v>
      </c>
      <c r="BY131" s="115" t="n">
        <f aca="false">SUMIFS(الريسبي!$C$2:$C$1800,الريسبي!$A$2:$A$1800,$A131,الريسبي!$B$2:$B$1800,BY$1)</f>
        <v>0</v>
      </c>
      <c r="BZ131" s="115" t="n">
        <f aca="false">SUMIFS(الريسبي!$C$2:$C$1800,الريسبي!$A$2:$A$1800,$A131,الريسبي!$B$2:$B$1800,BZ$1)</f>
        <v>0</v>
      </c>
      <c r="CA131" s="115" t="n">
        <f aca="false">SUMIFS(الريسبي!$C$2:$C$1800,الريسبي!$A$2:$A$1800,$A131,الريسبي!$B$2:$B$1800,CA$1)</f>
        <v>0</v>
      </c>
      <c r="CB131" s="115" t="n">
        <f aca="false">SUMIFS(الريسبي!$C$2:$C$1800,الريسبي!$A$2:$A$1800,$A131,الريسبي!$B$2:$B$1800,CB$1)</f>
        <v>0</v>
      </c>
      <c r="CC131" s="115" t="n">
        <f aca="false">SUMIFS(الريسبي!$C$2:$C$1800,الريسبي!$A$2:$A$1800,$A131,الريسبي!$B$2:$B$1800,CC$1)</f>
        <v>0</v>
      </c>
      <c r="CD131" s="115" t="n">
        <f aca="false">SUMIFS(الريسبي!$C$2:$C$1800,الريسبي!$A$2:$A$1800,$A131,الريسبي!$B$2:$B$1800,CD$1)</f>
        <v>0</v>
      </c>
      <c r="CE131" s="115" t="n">
        <f aca="false">SUMIFS(الريسبي!$C$2:$C$1800,الريسبي!$A$2:$A$1800,$A131,الريسبي!$B$2:$B$1800,CE$1)</f>
        <v>0</v>
      </c>
      <c r="CF131" s="115" t="n">
        <f aca="false">SUMIFS(الريسبي!$C$2:$C$1800,الريسبي!$A$2:$A$1800,$A131,الريسبي!$B$2:$B$1800,CF$1)</f>
        <v>0</v>
      </c>
      <c r="CG131" s="115" t="n">
        <f aca="false">SUMIFS(الريسبي!$C$2:$C$1800,الريسبي!$A$2:$A$1800,$A131,الريسبي!$B$2:$B$1800,CG$1)</f>
        <v>0</v>
      </c>
      <c r="CH131" s="115" t="n">
        <f aca="false">SUMIFS(الريسبي!$C$2:$C$1800,الريسبي!$A$2:$A$1800,$A131,الريسبي!$B$2:$B$1800,CH$1)</f>
        <v>0</v>
      </c>
    </row>
    <row r="132" customFormat="false" ht="15" hidden="false" customHeight="false" outlineLevel="0" collapsed="false">
      <c r="A132" s="114" t="str">
        <f aca="false">المنيو!B132</f>
        <v>اضافة جبنة موتزريلا (فطير L)</v>
      </c>
      <c r="B132" s="115" t="n">
        <f aca="false">SUMIFS(الريسبي!$C$2:$C$1800,الريسبي!$A$2:$A$1800,$A132,الريسبي!$B$2:$B$1800,B$1)</f>
        <v>0</v>
      </c>
      <c r="C132" s="115" t="n">
        <f aca="false">SUMIFS(الريسبي!$C$2:$C$1800,الريسبي!$A$2:$A$1800,$A132,الريسبي!$B$2:$B$1800,C$1)</f>
        <v>0</v>
      </c>
      <c r="D132" s="115" t="n">
        <f aca="false">SUMIFS(الريسبي!$C$2:$C$1800,الريسبي!$A$2:$A$1800,$A132,الريسبي!$B$2:$B$1800,D$1)</f>
        <v>0</v>
      </c>
      <c r="E132" s="115" t="n">
        <f aca="false">SUMIFS(الريسبي!$C$2:$C$1800,الريسبي!$A$2:$A$1800,$A132,الريسبي!$B$2:$B$1800,E$1)</f>
        <v>0</v>
      </c>
      <c r="F132" s="115" t="n">
        <f aca="false">SUMIFS(الريسبي!$C$2:$C$1800,الريسبي!$A$2:$A$1800,$A132,الريسبي!$B$2:$B$1800,F$1)</f>
        <v>0</v>
      </c>
      <c r="G132" s="115" t="n">
        <f aca="false">SUMIFS(الريسبي!$C$2:$C$1800,الريسبي!$A$2:$A$1800,$A132,الريسبي!$B$2:$B$1800,G$1)</f>
        <v>0</v>
      </c>
      <c r="H132" s="115" t="n">
        <f aca="false">SUMIFS(الريسبي!$C$2:$C$1800,الريسبي!$A$2:$A$1800,$A132,الريسبي!$B$2:$B$1800,H$1)</f>
        <v>0</v>
      </c>
      <c r="I132" s="115" t="n">
        <f aca="false">SUMIFS(الريسبي!$C$2:$C$1800,الريسبي!$A$2:$A$1800,$A132,الريسبي!$B$2:$B$1800,I$1)</f>
        <v>0</v>
      </c>
      <c r="J132" s="115" t="n">
        <f aca="false">SUMIFS(الريسبي!$C$2:$C$1800,الريسبي!$A$2:$A$1800,$A132,الريسبي!$B$2:$B$1800,J$1)</f>
        <v>0</v>
      </c>
      <c r="K132" s="115" t="n">
        <f aca="false">SUMIFS(الريسبي!$C$2:$C$1800,الريسبي!$A$2:$A$1800,$A132,الريسبي!$B$2:$B$1800,K$1)</f>
        <v>0</v>
      </c>
      <c r="L132" s="115" t="n">
        <f aca="false">SUMIFS(الريسبي!$C$2:$C$1800,الريسبي!$A$2:$A$1800,$A132,الريسبي!$B$2:$B$1800,L$1)</f>
        <v>0</v>
      </c>
      <c r="M132" s="115" t="n">
        <f aca="false">SUMIFS(الريسبي!$C$2:$C$1800,الريسبي!$A$2:$A$1800,$A132,الريسبي!$B$2:$B$1800,M$1)</f>
        <v>0</v>
      </c>
      <c r="N132" s="115" t="n">
        <f aca="false">SUMIFS(الريسبي!$C$2:$C$1800,الريسبي!$A$2:$A$1800,$A132,الريسبي!$B$2:$B$1800,N$1)</f>
        <v>0</v>
      </c>
      <c r="O132" s="115" t="n">
        <f aca="false">SUMIFS(الريسبي!$C$2:$C$1800,الريسبي!$A$2:$A$1800,$A132,الريسبي!$B$2:$B$1800,O$1)</f>
        <v>0</v>
      </c>
      <c r="P132" s="115" t="n">
        <f aca="false">SUMIFS(الريسبي!$C$2:$C$1800,الريسبي!$A$2:$A$1800,$A132,الريسبي!$B$2:$B$1800,P$1)</f>
        <v>0</v>
      </c>
      <c r="Q132" s="115" t="n">
        <f aca="false">SUMIFS(الريسبي!$C$2:$C$1800,الريسبي!$A$2:$A$1800,$A132,الريسبي!$B$2:$B$1800,Q$1)</f>
        <v>0</v>
      </c>
      <c r="R132" s="115" t="n">
        <f aca="false">SUMIFS(الريسبي!$C$2:$C$1800,الريسبي!$A$2:$A$1800,$A132,الريسبي!$B$2:$B$1800,R$1)</f>
        <v>0</v>
      </c>
      <c r="S132" s="115" t="n">
        <f aca="false">SUMIFS(الريسبي!$C$2:$C$1800,الريسبي!$A$2:$A$1800,$A132,الريسبي!$B$2:$B$1800,S$1)</f>
        <v>0</v>
      </c>
      <c r="T132" s="115" t="n">
        <f aca="false">SUMIFS(الريسبي!$C$2:$C$1800,الريسبي!$A$2:$A$1800,$A132,الريسبي!$B$2:$B$1800,T$1)</f>
        <v>0</v>
      </c>
      <c r="U132" s="115" t="n">
        <f aca="false">SUMIFS(الريسبي!$C$2:$C$1800,الريسبي!$A$2:$A$1800,$A132,الريسبي!$B$2:$B$1800,U$1)</f>
        <v>0</v>
      </c>
      <c r="V132" s="115" t="n">
        <f aca="false">SUMIFS(الريسبي!$C$2:$C$1800,الريسبي!$A$2:$A$1800,$A132,الريسبي!$B$2:$B$1800,V$1)</f>
        <v>0</v>
      </c>
      <c r="W132" s="115" t="n">
        <f aca="false">SUMIFS(الريسبي!$C$2:$C$1800,الريسبي!$A$2:$A$1800,$A132,الريسبي!$B$2:$B$1800,W$1)</f>
        <v>0</v>
      </c>
      <c r="X132" s="115" t="n">
        <f aca="false">SUMIFS(الريسبي!$C$2:$C$1800,الريسبي!$A$2:$A$1800,$A132,الريسبي!$B$2:$B$1800,X$1)</f>
        <v>0</v>
      </c>
      <c r="Y132" s="115" t="n">
        <f aca="false">SUMIFS(الريسبي!$C$2:$C$1800,الريسبي!$A$2:$A$1800,$A132,الريسبي!$B$2:$B$1800,Y$1)</f>
        <v>1</v>
      </c>
      <c r="Z132" s="115" t="n">
        <f aca="false">SUMIFS(الريسبي!$C$2:$C$1800,الريسبي!$A$2:$A$1800,$A132,الريسبي!$B$2:$B$1800,Z$1)</f>
        <v>0</v>
      </c>
      <c r="AA132" s="115" t="n">
        <f aca="false">SUMIFS(الريسبي!$C$2:$C$1800,الريسبي!$A$2:$A$1800,$A132,الريسبي!$B$2:$B$1800,AA$1)</f>
        <v>0</v>
      </c>
      <c r="AB132" s="115" t="n">
        <f aca="false">SUMIFS(الريسبي!$C$2:$C$1800,الريسبي!$A$2:$A$1800,$A132,الريسبي!$B$2:$B$1800,AB$1)</f>
        <v>0</v>
      </c>
      <c r="AC132" s="115" t="n">
        <f aca="false">SUMIFS(الريسبي!$C$2:$C$1800,الريسبي!$A$2:$A$1800,$A132,الريسبي!$B$2:$B$1800,AC$1)</f>
        <v>0</v>
      </c>
      <c r="AD132" s="115" t="n">
        <f aca="false">SUMIFS(الريسبي!$C$2:$C$1800,الريسبي!$A$2:$A$1800,$A132,الريسبي!$B$2:$B$1800,AD$1)</f>
        <v>0</v>
      </c>
      <c r="AE132" s="115" t="n">
        <f aca="false">SUMIFS(الريسبي!$C$2:$C$1800,الريسبي!$A$2:$A$1800,$A132,الريسبي!$B$2:$B$1800,AE$1)</f>
        <v>0</v>
      </c>
      <c r="AF132" s="115" t="n">
        <f aca="false">SUMIFS(الريسبي!$C$2:$C$1800,الريسبي!$A$2:$A$1800,$A132,الريسبي!$B$2:$B$1800,AF$1)</f>
        <v>0</v>
      </c>
      <c r="AG132" s="115" t="n">
        <f aca="false">SUMIFS(الريسبي!$C$2:$C$1800,الريسبي!$A$2:$A$1800,$A132,الريسبي!$B$2:$B$1800,AG$1)</f>
        <v>0</v>
      </c>
      <c r="AH132" s="115" t="n">
        <f aca="false">SUMIFS(الريسبي!$C$2:$C$1800,الريسبي!$A$2:$A$1800,$A132,الريسبي!$B$2:$B$1800,AH$1)</f>
        <v>0</v>
      </c>
      <c r="AI132" s="115" t="n">
        <f aca="false">SUMIFS(الريسبي!$C$2:$C$1800,الريسبي!$A$2:$A$1800,$A132,الريسبي!$B$2:$B$1800,AI$1)</f>
        <v>0</v>
      </c>
      <c r="AJ132" s="115" t="n">
        <f aca="false">SUMIFS(الريسبي!$C$2:$C$1800,الريسبي!$A$2:$A$1800,$A132,الريسبي!$B$2:$B$1800,AJ$1)</f>
        <v>0</v>
      </c>
      <c r="AK132" s="115" t="n">
        <f aca="false">SUMIFS(الريسبي!$C$2:$C$1800,الريسبي!$A$2:$A$1800,$A132,الريسبي!$B$2:$B$1800,AK$1)</f>
        <v>0</v>
      </c>
      <c r="AL132" s="115" t="n">
        <f aca="false">SUMIFS(الريسبي!$C$2:$C$1800,الريسبي!$A$2:$A$1800,$A132,الريسبي!$B$2:$B$1800,AL$1)</f>
        <v>0</v>
      </c>
      <c r="AM132" s="115"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15"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15" t="n">
        <f aca="false">SUMIFS(الريسبي!$C$2:$C$1800,الريسبي!$A$2:$A$1800,$A132,الريسبي!$B$2:$B$1800,AO$1)</f>
        <v>0</v>
      </c>
      <c r="AP132" s="115" t="n">
        <f aca="false">SUMIFS(الريسبي!$C$2:$C$1800,الريسبي!$A$2:$A$1800,$A132,الريسبي!$B$2:$B$1800,AP$1)</f>
        <v>0</v>
      </c>
      <c r="AQ132" s="115"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15" t="n">
        <f aca="false">SUMIFS(الريسبي!$C$2:$C$1800,الريسبي!$A$2:$A$1800,$A132,الريسبي!$B$2:$B$1800,AR$1)</f>
        <v>0</v>
      </c>
      <c r="AS132" s="115" t="n">
        <f aca="false">SUMIFS(الريسبي!$C$2:$C$1800,الريسبي!$A$2:$A$1800,$A132,الريسبي!$B$2:$B$1800,AS$1)</f>
        <v>0</v>
      </c>
      <c r="AT132" s="115" t="n">
        <f aca="false">SUMIFS(الريسبي!$C$2:$C$1800,الريسبي!$A$2:$A$1800,$A132,الريسبي!$B$2:$B$1800,AT$1)</f>
        <v>0</v>
      </c>
      <c r="AU132" s="115" t="n">
        <f aca="false">SUMIFS(الريسبي!$C$2:$C$1800,الريسبي!$A$2:$A$1800,$A132,الريسبي!$B$2:$B$1800,AU$1)</f>
        <v>0</v>
      </c>
      <c r="AV132" s="115" t="n">
        <f aca="false">SUMIFS(الريسبي!$C$2:$C$1800,الريسبي!$A$2:$A$1800,$A132,الريسبي!$B$2:$B$1800,AV$1)</f>
        <v>0</v>
      </c>
      <c r="AW132" s="115" t="n">
        <f aca="false">SUMIFS(الريسبي!$C$2:$C$1800,الريسبي!$A$2:$A$1800,$A132,الريسبي!$B$2:$B$1800,AW$1)</f>
        <v>0</v>
      </c>
      <c r="AX132" s="115" t="n">
        <f aca="false">SUMIFS(الريسبي!$C$2:$C$1800,الريسبي!$A$2:$A$1800,$A132,الريسبي!$B$2:$B$1800,AX$1)</f>
        <v>0</v>
      </c>
      <c r="AY132" s="115" t="n">
        <f aca="false">SUMIFS(الريسبي!$C$2:$C$1800,الريسبي!$A$2:$A$1800,$A132,الريسبي!$B$2:$B$1800,AY$1)</f>
        <v>0</v>
      </c>
      <c r="AZ132" s="115" t="n">
        <f aca="false">SUMIFS(الريسبي!$C$2:$C$1800,الريسبي!$A$2:$A$1800,$A132,الريسبي!$B$2:$B$1800,AZ$1)</f>
        <v>0</v>
      </c>
      <c r="BA132" s="115" t="n">
        <f aca="false">SUMIFS(الريسبي!$C$2:$C$1800,الريسبي!$A$2:$A$1800,$A132,الريسبي!$B$2:$B$1800,BA$1)</f>
        <v>0</v>
      </c>
      <c r="BB132" s="115" t="n">
        <f aca="false">SUMIFS(الريسبي!$C$2:$C$1800,الريسبي!$A$2:$A$1800,$A132,الريسبي!$B$2:$B$1800,BB$1)</f>
        <v>0</v>
      </c>
      <c r="BC132" s="115" t="n">
        <f aca="false">SUMIFS(الريسبي!$C$2:$C$1800,الريسبي!$A$2:$A$1800,$A132,الريسبي!$B$2:$B$1800,BC$1)</f>
        <v>0</v>
      </c>
      <c r="BD132" s="115" t="n">
        <f aca="false">SUMIFS(الريسبي!$C$2:$C$1800,الريسبي!$A$2:$A$1800,$A132,الريسبي!$B$2:$B$1800,BD$1)</f>
        <v>0</v>
      </c>
      <c r="BE132" s="115" t="n">
        <f aca="false">SUMIFS(الريسبي!$C$2:$C$1800,الريسبي!$A$2:$A$1800,$A132,الريسبي!$B$2:$B$1800,BE$1)</f>
        <v>0</v>
      </c>
      <c r="BF132" s="115" t="n">
        <f aca="false">SUMIFS(الريسبي!$C$2:$C$1800,الريسبي!$A$2:$A$1800,$A132,الريسبي!$B$2:$B$1800,BF$1)</f>
        <v>0</v>
      </c>
      <c r="BG132" s="115" t="n">
        <f aca="false">SUMIFS(الريسبي!$C$2:$C$1800,الريسبي!$A$2:$A$1800,$A132,الريسبي!$B$2:$B$1800,BG$1)</f>
        <v>0</v>
      </c>
      <c r="BH132" s="115" t="n">
        <f aca="false">SUMIFS(الريسبي!$C$2:$C$1800,الريسبي!$A$2:$A$1800,$A132,الريسبي!$B$2:$B$1800,BH$1)</f>
        <v>0</v>
      </c>
      <c r="BI132" s="115" t="n">
        <f aca="false">SUMIFS(الريسبي!$C$2:$C$1800,الريسبي!$A$2:$A$1800,$A132,الريسبي!$B$2:$B$1800,BI$1)</f>
        <v>0</v>
      </c>
      <c r="BJ132" s="115" t="n">
        <f aca="false">SUMIFS(الريسبي!$C$2:$C$1800,الريسبي!$A$2:$A$1800,$A132,الريسبي!$B$2:$B$1800,BJ$1)</f>
        <v>0</v>
      </c>
      <c r="BK132" s="115" t="n">
        <f aca="false">SUMIFS(الريسبي!$C$2:$C$1800,الريسبي!$A$2:$A$1800,$A132,الريسبي!$B$2:$B$1800,BK$1)</f>
        <v>0</v>
      </c>
      <c r="BL132" s="115" t="n">
        <f aca="false">SUMIFS(الريسبي!$C$2:$C$1800,الريسبي!$A$2:$A$1800,$A132,الريسبي!$B$2:$B$1800,BL$1)</f>
        <v>0</v>
      </c>
      <c r="BM132" s="115" t="n">
        <f aca="false">SUMIFS(الريسبي!$C$2:$C$1800,الريسبي!$A$2:$A$1800,$A132,الريسبي!$B$2:$B$1800,BM$1)</f>
        <v>0</v>
      </c>
      <c r="BN132" s="115" t="n">
        <f aca="false">SUMIFS(الريسبي!$C$2:$C$1800,الريسبي!$A$2:$A$1800,$A132,الريسبي!$B$2:$B$1800,BN$1)</f>
        <v>0</v>
      </c>
      <c r="BO132" s="115" t="n">
        <f aca="false">SUMIFS(الريسبي!$C$2:$C$1800,الريسبي!$A$2:$A$1800,$A132,الريسبي!$B$2:$B$1800,BO$1)</f>
        <v>0</v>
      </c>
      <c r="BP132" s="115" t="n">
        <f aca="false">SUMIFS(الريسبي!$C$2:$C$1800,الريسبي!$A$2:$A$1800,$A132,الريسبي!$B$2:$B$1800,BP$1)</f>
        <v>0</v>
      </c>
      <c r="BQ132" s="115"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15" t="n">
        <f aca="false">SUMIFS(الريسبي!$C$2:$C$1800,الريسبي!$A$2:$A$1800,$A132,الريسبي!$B$2:$B$1800,BR$1)</f>
        <v>0</v>
      </c>
      <c r="BS132" s="115" t="n">
        <f aca="false">SUMIFS(الريسبي!$C$2:$C$1800,الريسبي!$A$2:$A$1800,$A132,الريسبي!$B$2:$B$1800,BS$1)</f>
        <v>0</v>
      </c>
      <c r="BT132" s="115" t="n">
        <f aca="false">SUMIFS(الريسبي!$C$2:$C$1800,الريسبي!$A$2:$A$1800,$A132,الريسبي!$B$2:$B$1800,BT$1)</f>
        <v>0</v>
      </c>
      <c r="BU132" s="115"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15" t="n">
        <f aca="false">SUMIFS(الريسبي!$C$2:$C$1800,الريسبي!$A$2:$A$1800,$A132,الريسبي!$B$2:$B$1800,BV$1)</f>
        <v>0</v>
      </c>
      <c r="BW132" s="115" t="n">
        <f aca="false">SUMIFS(الريسبي!$C$2:$C$1800,الريسبي!$A$2:$A$1800,$A132,الريسبي!$B$2:$B$1800,BW$1)</f>
        <v>0</v>
      </c>
      <c r="BX132" s="115" t="n">
        <f aca="false">SUMIFS(الريسبي!$C$2:$C$1800,الريسبي!$A$2:$A$1800,$A132,الريسبي!$B$2:$B$1800,BX$1)</f>
        <v>0</v>
      </c>
      <c r="BY132" s="115" t="n">
        <f aca="false">SUMIFS(الريسبي!$C$2:$C$1800,الريسبي!$A$2:$A$1800,$A132,الريسبي!$B$2:$B$1800,BY$1)</f>
        <v>0</v>
      </c>
      <c r="BZ132" s="115" t="n">
        <f aca="false">SUMIFS(الريسبي!$C$2:$C$1800,الريسبي!$A$2:$A$1800,$A132,الريسبي!$B$2:$B$1800,BZ$1)</f>
        <v>0</v>
      </c>
      <c r="CA132" s="115" t="n">
        <f aca="false">SUMIFS(الريسبي!$C$2:$C$1800,الريسبي!$A$2:$A$1800,$A132,الريسبي!$B$2:$B$1800,CA$1)</f>
        <v>0</v>
      </c>
      <c r="CB132" s="115" t="n">
        <f aca="false">SUMIFS(الريسبي!$C$2:$C$1800,الريسبي!$A$2:$A$1800,$A132,الريسبي!$B$2:$B$1800,CB$1)</f>
        <v>0</v>
      </c>
      <c r="CC132" s="115" t="n">
        <f aca="false">SUMIFS(الريسبي!$C$2:$C$1800,الريسبي!$A$2:$A$1800,$A132,الريسبي!$B$2:$B$1800,CC$1)</f>
        <v>0</v>
      </c>
      <c r="CD132" s="115" t="n">
        <f aca="false">SUMIFS(الريسبي!$C$2:$C$1800,الريسبي!$A$2:$A$1800,$A132,الريسبي!$B$2:$B$1800,CD$1)</f>
        <v>0</v>
      </c>
      <c r="CE132" s="115" t="n">
        <f aca="false">SUMIFS(الريسبي!$C$2:$C$1800,الريسبي!$A$2:$A$1800,$A132,الريسبي!$B$2:$B$1800,CE$1)</f>
        <v>0</v>
      </c>
      <c r="CF132" s="115" t="n">
        <f aca="false">SUMIFS(الريسبي!$C$2:$C$1800,الريسبي!$A$2:$A$1800,$A132,الريسبي!$B$2:$B$1800,CF$1)</f>
        <v>0</v>
      </c>
      <c r="CG132" s="115" t="n">
        <f aca="false">SUMIFS(الريسبي!$C$2:$C$1800,الريسبي!$A$2:$A$1800,$A132,الريسبي!$B$2:$B$1800,CG$1)</f>
        <v>0</v>
      </c>
      <c r="CH132" s="115" t="n">
        <f aca="false">SUMIFS(الريسبي!$C$2:$C$1800,الريسبي!$A$2:$A$1800,$A132,الريسبي!$B$2:$B$1800,CH$1)</f>
        <v>0</v>
      </c>
    </row>
    <row r="133" customFormat="false" ht="15" hidden="false" customHeight="false" outlineLevel="0" collapsed="false">
      <c r="A133" s="114" t="str">
        <f aca="false">المنيو!B133</f>
        <v>اضافة جبنة موتزريلا (بيتزا وسط)</v>
      </c>
      <c r="B133" s="115" t="n">
        <f aca="false">SUMIFS(الريسبي!$C$2:$C$1800,الريسبي!$A$2:$A$1800,$A133,الريسبي!$B$2:$B$1800,B$1)</f>
        <v>0</v>
      </c>
      <c r="C133" s="115" t="n">
        <f aca="false">SUMIFS(الريسبي!$C$2:$C$1800,الريسبي!$A$2:$A$1800,$A133,الريسبي!$B$2:$B$1800,C$1)</f>
        <v>0</v>
      </c>
      <c r="D133" s="115" t="n">
        <f aca="false">SUMIFS(الريسبي!$C$2:$C$1800,الريسبي!$A$2:$A$1800,$A133,الريسبي!$B$2:$B$1800,D$1)</f>
        <v>0</v>
      </c>
      <c r="E133" s="115" t="n">
        <f aca="false">SUMIFS(الريسبي!$C$2:$C$1800,الريسبي!$A$2:$A$1800,$A133,الريسبي!$B$2:$B$1800,E$1)</f>
        <v>0</v>
      </c>
      <c r="F133" s="115" t="n">
        <f aca="false">SUMIFS(الريسبي!$C$2:$C$1800,الريسبي!$A$2:$A$1800,$A133,الريسبي!$B$2:$B$1800,F$1)</f>
        <v>0</v>
      </c>
      <c r="G133" s="115" t="n">
        <f aca="false">SUMIFS(الريسبي!$C$2:$C$1800,الريسبي!$A$2:$A$1800,$A133,الريسبي!$B$2:$B$1800,G$1)</f>
        <v>0</v>
      </c>
      <c r="H133" s="115" t="n">
        <f aca="false">SUMIFS(الريسبي!$C$2:$C$1800,الريسبي!$A$2:$A$1800,$A133,الريسبي!$B$2:$B$1800,H$1)</f>
        <v>0</v>
      </c>
      <c r="I133" s="115" t="n">
        <f aca="false">SUMIFS(الريسبي!$C$2:$C$1800,الريسبي!$A$2:$A$1800,$A133,الريسبي!$B$2:$B$1800,I$1)</f>
        <v>0</v>
      </c>
      <c r="J133" s="115" t="n">
        <f aca="false">SUMIFS(الريسبي!$C$2:$C$1800,الريسبي!$A$2:$A$1800,$A133,الريسبي!$B$2:$B$1800,J$1)</f>
        <v>0</v>
      </c>
      <c r="K133" s="115" t="n">
        <f aca="false">SUMIFS(الريسبي!$C$2:$C$1800,الريسبي!$A$2:$A$1800,$A133,الريسبي!$B$2:$B$1800,K$1)</f>
        <v>0</v>
      </c>
      <c r="L133" s="115" t="n">
        <f aca="false">SUMIFS(الريسبي!$C$2:$C$1800,الريسبي!$A$2:$A$1800,$A133,الريسبي!$B$2:$B$1800,L$1)</f>
        <v>0</v>
      </c>
      <c r="M133" s="115" t="n">
        <f aca="false">SUMIFS(الريسبي!$C$2:$C$1800,الريسبي!$A$2:$A$1800,$A133,الريسبي!$B$2:$B$1800,M$1)</f>
        <v>0</v>
      </c>
      <c r="N133" s="115" t="n">
        <f aca="false">SUMIFS(الريسبي!$C$2:$C$1800,الريسبي!$A$2:$A$1800,$A133,الريسبي!$B$2:$B$1800,N$1)</f>
        <v>0</v>
      </c>
      <c r="O133" s="115" t="n">
        <f aca="false">SUMIFS(الريسبي!$C$2:$C$1800,الريسبي!$A$2:$A$1800,$A133,الريسبي!$B$2:$B$1800,O$1)</f>
        <v>0</v>
      </c>
      <c r="P133" s="115" t="n">
        <f aca="false">SUMIFS(الريسبي!$C$2:$C$1800,الريسبي!$A$2:$A$1800,$A133,الريسبي!$B$2:$B$1800,P$1)</f>
        <v>0</v>
      </c>
      <c r="Q133" s="115" t="n">
        <f aca="false">SUMIFS(الريسبي!$C$2:$C$1800,الريسبي!$A$2:$A$1800,$A133,الريسبي!$B$2:$B$1800,Q$1)</f>
        <v>0</v>
      </c>
      <c r="R133" s="115" t="n">
        <f aca="false">SUMIFS(الريسبي!$C$2:$C$1800,الريسبي!$A$2:$A$1800,$A133,الريسبي!$B$2:$B$1800,R$1)</f>
        <v>0</v>
      </c>
      <c r="S133" s="115" t="n">
        <f aca="false">SUMIFS(الريسبي!$C$2:$C$1800,الريسبي!$A$2:$A$1800,$A133,الريسبي!$B$2:$B$1800,S$1)</f>
        <v>0</v>
      </c>
      <c r="T133" s="115" t="n">
        <f aca="false">SUMIFS(الريسبي!$C$2:$C$1800,الريسبي!$A$2:$A$1800,$A133,الريسبي!$B$2:$B$1800,T$1)</f>
        <v>0</v>
      </c>
      <c r="U133" s="115" t="n">
        <f aca="false">SUMIFS(الريسبي!$C$2:$C$1800,الريسبي!$A$2:$A$1800,$A133,الريسبي!$B$2:$B$1800,U$1)</f>
        <v>0</v>
      </c>
      <c r="V133" s="115" t="n">
        <f aca="false">SUMIFS(الريسبي!$C$2:$C$1800,الريسبي!$A$2:$A$1800,$A133,الريسبي!$B$2:$B$1800,V$1)</f>
        <v>1</v>
      </c>
      <c r="W133" s="115" t="n">
        <f aca="false">SUMIFS(الريسبي!$C$2:$C$1800,الريسبي!$A$2:$A$1800,$A133,الريسبي!$B$2:$B$1800,W$1)</f>
        <v>0</v>
      </c>
      <c r="X133" s="115" t="n">
        <f aca="false">SUMIFS(الريسبي!$C$2:$C$1800,الريسبي!$A$2:$A$1800,$A133,الريسبي!$B$2:$B$1800,X$1)</f>
        <v>0</v>
      </c>
      <c r="Y133" s="115" t="n">
        <f aca="false">SUMIFS(الريسبي!$C$2:$C$1800,الريسبي!$A$2:$A$1800,$A133,الريسبي!$B$2:$B$1800,Y$1)</f>
        <v>0</v>
      </c>
      <c r="Z133" s="115" t="n">
        <f aca="false">SUMIFS(الريسبي!$C$2:$C$1800,الريسبي!$A$2:$A$1800,$A133,الريسبي!$B$2:$B$1800,Z$1)</f>
        <v>0</v>
      </c>
      <c r="AA133" s="115" t="n">
        <f aca="false">SUMIFS(الريسبي!$C$2:$C$1800,الريسبي!$A$2:$A$1800,$A133,الريسبي!$B$2:$B$1800,AA$1)</f>
        <v>0</v>
      </c>
      <c r="AB133" s="115" t="n">
        <f aca="false">SUMIFS(الريسبي!$C$2:$C$1800,الريسبي!$A$2:$A$1800,$A133,الريسبي!$B$2:$B$1800,AB$1)</f>
        <v>0</v>
      </c>
      <c r="AC133" s="115" t="n">
        <f aca="false">SUMIFS(الريسبي!$C$2:$C$1800,الريسبي!$A$2:$A$1800,$A133,الريسبي!$B$2:$B$1800,AC$1)</f>
        <v>0</v>
      </c>
      <c r="AD133" s="115" t="n">
        <f aca="false">SUMIFS(الريسبي!$C$2:$C$1800,الريسبي!$A$2:$A$1800,$A133,الريسبي!$B$2:$B$1800,AD$1)</f>
        <v>0</v>
      </c>
      <c r="AE133" s="115" t="n">
        <f aca="false">SUMIFS(الريسبي!$C$2:$C$1800,الريسبي!$A$2:$A$1800,$A133,الريسبي!$B$2:$B$1800,AE$1)</f>
        <v>0</v>
      </c>
      <c r="AF133" s="115" t="n">
        <f aca="false">SUMIFS(الريسبي!$C$2:$C$1800,الريسبي!$A$2:$A$1800,$A133,الريسبي!$B$2:$B$1800,AF$1)</f>
        <v>0</v>
      </c>
      <c r="AG133" s="115" t="n">
        <f aca="false">SUMIFS(الريسبي!$C$2:$C$1800,الريسبي!$A$2:$A$1800,$A133,الريسبي!$B$2:$B$1800,AG$1)</f>
        <v>0</v>
      </c>
      <c r="AH133" s="115" t="n">
        <f aca="false">SUMIFS(الريسبي!$C$2:$C$1800,الريسبي!$A$2:$A$1800,$A133,الريسبي!$B$2:$B$1800,AH$1)</f>
        <v>0</v>
      </c>
      <c r="AI133" s="115" t="n">
        <f aca="false">SUMIFS(الريسبي!$C$2:$C$1800,الريسبي!$A$2:$A$1800,$A133,الريسبي!$B$2:$B$1800,AI$1)</f>
        <v>0</v>
      </c>
      <c r="AJ133" s="115" t="n">
        <f aca="false">SUMIFS(الريسبي!$C$2:$C$1800,الريسبي!$A$2:$A$1800,$A133,الريسبي!$B$2:$B$1800,AJ$1)</f>
        <v>0</v>
      </c>
      <c r="AK133" s="115" t="n">
        <f aca="false">SUMIFS(الريسبي!$C$2:$C$1800,الريسبي!$A$2:$A$1800,$A133,الريسبي!$B$2:$B$1800,AK$1)</f>
        <v>0</v>
      </c>
      <c r="AL133" s="115" t="n">
        <f aca="false">SUMIFS(الريسبي!$C$2:$C$1800,الريسبي!$A$2:$A$1800,$A133,الريسبي!$B$2:$B$1800,AL$1)</f>
        <v>0</v>
      </c>
      <c r="AM133" s="115"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15"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15" t="n">
        <f aca="false">SUMIFS(الريسبي!$C$2:$C$1800,الريسبي!$A$2:$A$1800,$A133,الريسبي!$B$2:$B$1800,AO$1)</f>
        <v>0</v>
      </c>
      <c r="AP133" s="115" t="n">
        <f aca="false">SUMIFS(الريسبي!$C$2:$C$1800,الريسبي!$A$2:$A$1800,$A133,الريسبي!$B$2:$B$1800,AP$1)</f>
        <v>0</v>
      </c>
      <c r="AQ133" s="115"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15" t="n">
        <f aca="false">SUMIFS(الريسبي!$C$2:$C$1800,الريسبي!$A$2:$A$1800,$A133,الريسبي!$B$2:$B$1800,AR$1)</f>
        <v>0</v>
      </c>
      <c r="AS133" s="115" t="n">
        <f aca="false">SUMIFS(الريسبي!$C$2:$C$1800,الريسبي!$A$2:$A$1800,$A133,الريسبي!$B$2:$B$1800,AS$1)</f>
        <v>0</v>
      </c>
      <c r="AT133" s="115" t="n">
        <f aca="false">SUMIFS(الريسبي!$C$2:$C$1800,الريسبي!$A$2:$A$1800,$A133,الريسبي!$B$2:$B$1800,AT$1)</f>
        <v>0</v>
      </c>
      <c r="AU133" s="115" t="n">
        <f aca="false">SUMIFS(الريسبي!$C$2:$C$1800,الريسبي!$A$2:$A$1800,$A133,الريسبي!$B$2:$B$1800,AU$1)</f>
        <v>0</v>
      </c>
      <c r="AV133" s="115" t="n">
        <f aca="false">SUMIFS(الريسبي!$C$2:$C$1800,الريسبي!$A$2:$A$1800,$A133,الريسبي!$B$2:$B$1800,AV$1)</f>
        <v>0</v>
      </c>
      <c r="AW133" s="115" t="n">
        <f aca="false">SUMIFS(الريسبي!$C$2:$C$1800,الريسبي!$A$2:$A$1800,$A133,الريسبي!$B$2:$B$1800,AW$1)</f>
        <v>0</v>
      </c>
      <c r="AX133" s="115" t="n">
        <f aca="false">SUMIFS(الريسبي!$C$2:$C$1800,الريسبي!$A$2:$A$1800,$A133,الريسبي!$B$2:$B$1800,AX$1)</f>
        <v>0</v>
      </c>
      <c r="AY133" s="115" t="n">
        <f aca="false">SUMIFS(الريسبي!$C$2:$C$1800,الريسبي!$A$2:$A$1800,$A133,الريسبي!$B$2:$B$1800,AY$1)</f>
        <v>0</v>
      </c>
      <c r="AZ133" s="115" t="n">
        <f aca="false">SUMIFS(الريسبي!$C$2:$C$1800,الريسبي!$A$2:$A$1800,$A133,الريسبي!$B$2:$B$1800,AZ$1)</f>
        <v>0</v>
      </c>
      <c r="BA133" s="115" t="n">
        <f aca="false">SUMIFS(الريسبي!$C$2:$C$1800,الريسبي!$A$2:$A$1800,$A133,الريسبي!$B$2:$B$1800,BA$1)</f>
        <v>0</v>
      </c>
      <c r="BB133" s="115" t="n">
        <f aca="false">SUMIFS(الريسبي!$C$2:$C$1800,الريسبي!$A$2:$A$1800,$A133,الريسبي!$B$2:$B$1800,BB$1)</f>
        <v>0</v>
      </c>
      <c r="BC133" s="115" t="n">
        <f aca="false">SUMIFS(الريسبي!$C$2:$C$1800,الريسبي!$A$2:$A$1800,$A133,الريسبي!$B$2:$B$1800,BC$1)</f>
        <v>0</v>
      </c>
      <c r="BD133" s="115" t="n">
        <f aca="false">SUMIFS(الريسبي!$C$2:$C$1800,الريسبي!$A$2:$A$1800,$A133,الريسبي!$B$2:$B$1800,BD$1)</f>
        <v>0</v>
      </c>
      <c r="BE133" s="115" t="n">
        <f aca="false">SUMIFS(الريسبي!$C$2:$C$1800,الريسبي!$A$2:$A$1800,$A133,الريسبي!$B$2:$B$1800,BE$1)</f>
        <v>0</v>
      </c>
      <c r="BF133" s="115" t="n">
        <f aca="false">SUMIFS(الريسبي!$C$2:$C$1800,الريسبي!$A$2:$A$1800,$A133,الريسبي!$B$2:$B$1800,BF$1)</f>
        <v>0</v>
      </c>
      <c r="BG133" s="115" t="n">
        <f aca="false">SUMIFS(الريسبي!$C$2:$C$1800,الريسبي!$A$2:$A$1800,$A133,الريسبي!$B$2:$B$1800,BG$1)</f>
        <v>0</v>
      </c>
      <c r="BH133" s="115" t="n">
        <f aca="false">SUMIFS(الريسبي!$C$2:$C$1800,الريسبي!$A$2:$A$1800,$A133,الريسبي!$B$2:$B$1800,BH$1)</f>
        <v>0</v>
      </c>
      <c r="BI133" s="115" t="n">
        <f aca="false">SUMIFS(الريسبي!$C$2:$C$1800,الريسبي!$A$2:$A$1800,$A133,الريسبي!$B$2:$B$1800,BI$1)</f>
        <v>0</v>
      </c>
      <c r="BJ133" s="115" t="n">
        <f aca="false">SUMIFS(الريسبي!$C$2:$C$1800,الريسبي!$A$2:$A$1800,$A133,الريسبي!$B$2:$B$1800,BJ$1)</f>
        <v>0</v>
      </c>
      <c r="BK133" s="115" t="n">
        <f aca="false">SUMIFS(الريسبي!$C$2:$C$1800,الريسبي!$A$2:$A$1800,$A133,الريسبي!$B$2:$B$1800,BK$1)</f>
        <v>0</v>
      </c>
      <c r="BL133" s="115" t="n">
        <f aca="false">SUMIFS(الريسبي!$C$2:$C$1800,الريسبي!$A$2:$A$1800,$A133,الريسبي!$B$2:$B$1800,BL$1)</f>
        <v>0</v>
      </c>
      <c r="BM133" s="115" t="n">
        <f aca="false">SUMIFS(الريسبي!$C$2:$C$1800,الريسبي!$A$2:$A$1800,$A133,الريسبي!$B$2:$B$1800,BM$1)</f>
        <v>0</v>
      </c>
      <c r="BN133" s="115" t="n">
        <f aca="false">SUMIFS(الريسبي!$C$2:$C$1800,الريسبي!$A$2:$A$1800,$A133,الريسبي!$B$2:$B$1800,BN$1)</f>
        <v>0</v>
      </c>
      <c r="BO133" s="115" t="n">
        <f aca="false">SUMIFS(الريسبي!$C$2:$C$1800,الريسبي!$A$2:$A$1800,$A133,الريسبي!$B$2:$B$1800,BO$1)</f>
        <v>0</v>
      </c>
      <c r="BP133" s="115" t="n">
        <f aca="false">SUMIFS(الريسبي!$C$2:$C$1800,الريسبي!$A$2:$A$1800,$A133,الريسبي!$B$2:$B$1800,BP$1)</f>
        <v>0</v>
      </c>
      <c r="BQ133" s="115"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15" t="n">
        <f aca="false">SUMIFS(الريسبي!$C$2:$C$1800,الريسبي!$A$2:$A$1800,$A133,الريسبي!$B$2:$B$1800,BR$1)</f>
        <v>0</v>
      </c>
      <c r="BS133" s="115" t="n">
        <f aca="false">SUMIFS(الريسبي!$C$2:$C$1800,الريسبي!$A$2:$A$1800,$A133,الريسبي!$B$2:$B$1800,BS$1)</f>
        <v>0</v>
      </c>
      <c r="BT133" s="115" t="n">
        <f aca="false">SUMIFS(الريسبي!$C$2:$C$1800,الريسبي!$A$2:$A$1800,$A133,الريسبي!$B$2:$B$1800,BT$1)</f>
        <v>0</v>
      </c>
      <c r="BU133" s="115"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15" t="n">
        <f aca="false">SUMIFS(الريسبي!$C$2:$C$1800,الريسبي!$A$2:$A$1800,$A133,الريسبي!$B$2:$B$1800,BV$1)</f>
        <v>0</v>
      </c>
      <c r="BW133" s="115" t="n">
        <f aca="false">SUMIFS(الريسبي!$C$2:$C$1800,الريسبي!$A$2:$A$1800,$A133,الريسبي!$B$2:$B$1800,BW$1)</f>
        <v>0</v>
      </c>
      <c r="BX133" s="115" t="n">
        <f aca="false">SUMIFS(الريسبي!$C$2:$C$1800,الريسبي!$A$2:$A$1800,$A133,الريسبي!$B$2:$B$1800,BX$1)</f>
        <v>0</v>
      </c>
      <c r="BY133" s="115" t="n">
        <f aca="false">SUMIFS(الريسبي!$C$2:$C$1800,الريسبي!$A$2:$A$1800,$A133,الريسبي!$B$2:$B$1800,BY$1)</f>
        <v>0</v>
      </c>
      <c r="BZ133" s="115" t="n">
        <f aca="false">SUMIFS(الريسبي!$C$2:$C$1800,الريسبي!$A$2:$A$1800,$A133,الريسبي!$B$2:$B$1800,BZ$1)</f>
        <v>0</v>
      </c>
      <c r="CA133" s="115" t="n">
        <f aca="false">SUMIFS(الريسبي!$C$2:$C$1800,الريسبي!$A$2:$A$1800,$A133,الريسبي!$B$2:$B$1800,CA$1)</f>
        <v>0</v>
      </c>
      <c r="CB133" s="115" t="n">
        <f aca="false">SUMIFS(الريسبي!$C$2:$C$1800,الريسبي!$A$2:$A$1800,$A133,الريسبي!$B$2:$B$1800,CB$1)</f>
        <v>0</v>
      </c>
      <c r="CC133" s="115" t="n">
        <f aca="false">SUMIFS(الريسبي!$C$2:$C$1800,الريسبي!$A$2:$A$1800,$A133,الريسبي!$B$2:$B$1800,CC$1)</f>
        <v>0</v>
      </c>
      <c r="CD133" s="115" t="n">
        <f aca="false">SUMIFS(الريسبي!$C$2:$C$1800,الريسبي!$A$2:$A$1800,$A133,الريسبي!$B$2:$B$1800,CD$1)</f>
        <v>0</v>
      </c>
      <c r="CE133" s="115" t="n">
        <f aca="false">SUMIFS(الريسبي!$C$2:$C$1800,الريسبي!$A$2:$A$1800,$A133,الريسبي!$B$2:$B$1800,CE$1)</f>
        <v>0</v>
      </c>
      <c r="CF133" s="115" t="n">
        <f aca="false">SUMIFS(الريسبي!$C$2:$C$1800,الريسبي!$A$2:$A$1800,$A133,الريسبي!$B$2:$B$1800,CF$1)</f>
        <v>0</v>
      </c>
      <c r="CG133" s="115" t="n">
        <f aca="false">SUMIFS(الريسبي!$C$2:$C$1800,الريسبي!$A$2:$A$1800,$A133,الريسبي!$B$2:$B$1800,CG$1)</f>
        <v>0</v>
      </c>
      <c r="CH133" s="115" t="n">
        <f aca="false">SUMIFS(الريسبي!$C$2:$C$1800,الريسبي!$A$2:$A$1800,$A133,الريسبي!$B$2:$B$1800,CH$1)</f>
        <v>0</v>
      </c>
    </row>
    <row r="134" customFormat="false" ht="15" hidden="false" customHeight="false" outlineLevel="0" collapsed="false">
      <c r="A134" s="114" t="str">
        <f aca="false">المنيو!B134</f>
        <v>اضافة جبنة موتزريلا (بيتزا كبير)</v>
      </c>
      <c r="B134" s="115" t="n">
        <f aca="false">SUMIFS(الريسبي!$C$2:$C$1800,الريسبي!$A$2:$A$1800,$A134,الريسبي!$B$2:$B$1800,B$1)</f>
        <v>0</v>
      </c>
      <c r="C134" s="115" t="n">
        <f aca="false">SUMIFS(الريسبي!$C$2:$C$1800,الريسبي!$A$2:$A$1800,$A134,الريسبي!$B$2:$B$1800,C$1)</f>
        <v>0</v>
      </c>
      <c r="D134" s="115" t="n">
        <f aca="false">SUMIFS(الريسبي!$C$2:$C$1800,الريسبي!$A$2:$A$1800,$A134,الريسبي!$B$2:$B$1800,D$1)</f>
        <v>0</v>
      </c>
      <c r="E134" s="115" t="n">
        <f aca="false">SUMIFS(الريسبي!$C$2:$C$1800,الريسبي!$A$2:$A$1800,$A134,الريسبي!$B$2:$B$1800,E$1)</f>
        <v>0</v>
      </c>
      <c r="F134" s="115" t="n">
        <f aca="false">SUMIFS(الريسبي!$C$2:$C$1800,الريسبي!$A$2:$A$1800,$A134,الريسبي!$B$2:$B$1800,F$1)</f>
        <v>0</v>
      </c>
      <c r="G134" s="115" t="n">
        <f aca="false">SUMIFS(الريسبي!$C$2:$C$1800,الريسبي!$A$2:$A$1800,$A134,الريسبي!$B$2:$B$1800,G$1)</f>
        <v>0</v>
      </c>
      <c r="H134" s="115" t="n">
        <f aca="false">SUMIFS(الريسبي!$C$2:$C$1800,الريسبي!$A$2:$A$1800,$A134,الريسبي!$B$2:$B$1800,H$1)</f>
        <v>0</v>
      </c>
      <c r="I134" s="115" t="n">
        <f aca="false">SUMIFS(الريسبي!$C$2:$C$1800,الريسبي!$A$2:$A$1800,$A134,الريسبي!$B$2:$B$1800,I$1)</f>
        <v>0</v>
      </c>
      <c r="J134" s="115" t="n">
        <f aca="false">SUMIFS(الريسبي!$C$2:$C$1800,الريسبي!$A$2:$A$1800,$A134,الريسبي!$B$2:$B$1800,J$1)</f>
        <v>0</v>
      </c>
      <c r="K134" s="115" t="n">
        <f aca="false">SUMIFS(الريسبي!$C$2:$C$1800,الريسبي!$A$2:$A$1800,$A134,الريسبي!$B$2:$B$1800,K$1)</f>
        <v>0</v>
      </c>
      <c r="L134" s="115" t="n">
        <f aca="false">SUMIFS(الريسبي!$C$2:$C$1800,الريسبي!$A$2:$A$1800,$A134,الريسبي!$B$2:$B$1800,L$1)</f>
        <v>0</v>
      </c>
      <c r="M134" s="115" t="n">
        <f aca="false">SUMIFS(الريسبي!$C$2:$C$1800,الريسبي!$A$2:$A$1800,$A134,الريسبي!$B$2:$B$1800,M$1)</f>
        <v>0</v>
      </c>
      <c r="N134" s="115" t="n">
        <f aca="false">SUMIFS(الريسبي!$C$2:$C$1800,الريسبي!$A$2:$A$1800,$A134,الريسبي!$B$2:$B$1800,N$1)</f>
        <v>0</v>
      </c>
      <c r="O134" s="115" t="n">
        <f aca="false">SUMIFS(الريسبي!$C$2:$C$1800,الريسبي!$A$2:$A$1800,$A134,الريسبي!$B$2:$B$1800,O$1)</f>
        <v>0</v>
      </c>
      <c r="P134" s="115" t="n">
        <f aca="false">SUMIFS(الريسبي!$C$2:$C$1800,الريسبي!$A$2:$A$1800,$A134,الريسبي!$B$2:$B$1800,P$1)</f>
        <v>0</v>
      </c>
      <c r="Q134" s="115" t="n">
        <f aca="false">SUMIFS(الريسبي!$C$2:$C$1800,الريسبي!$A$2:$A$1800,$A134,الريسبي!$B$2:$B$1800,Q$1)</f>
        <v>0</v>
      </c>
      <c r="R134" s="115" t="n">
        <f aca="false">SUMIFS(الريسبي!$C$2:$C$1800,الريسبي!$A$2:$A$1800,$A134,الريسبي!$B$2:$B$1800,R$1)</f>
        <v>0</v>
      </c>
      <c r="S134" s="115" t="n">
        <f aca="false">SUMIFS(الريسبي!$C$2:$C$1800,الريسبي!$A$2:$A$1800,$A134,الريسبي!$B$2:$B$1800,S$1)</f>
        <v>0</v>
      </c>
      <c r="T134" s="115" t="n">
        <f aca="false">SUMIFS(الريسبي!$C$2:$C$1800,الريسبي!$A$2:$A$1800,$A134,الريسبي!$B$2:$B$1800,T$1)</f>
        <v>0</v>
      </c>
      <c r="U134" s="115" t="n">
        <f aca="false">SUMIFS(الريسبي!$C$2:$C$1800,الريسبي!$A$2:$A$1800,$A134,الريسبي!$B$2:$B$1800,U$1)</f>
        <v>0</v>
      </c>
      <c r="V134" s="115" t="n">
        <f aca="false">SUMIFS(الريسبي!$C$2:$C$1800,الريسبي!$A$2:$A$1800,$A134,الريسبي!$B$2:$B$1800,V$1)</f>
        <v>0</v>
      </c>
      <c r="W134" s="115" t="n">
        <f aca="false">SUMIFS(الريسبي!$C$2:$C$1800,الريسبي!$A$2:$A$1800,$A134,الريسبي!$B$2:$B$1800,W$1)</f>
        <v>1</v>
      </c>
      <c r="X134" s="115" t="n">
        <f aca="false">SUMIFS(الريسبي!$C$2:$C$1800,الريسبي!$A$2:$A$1800,$A134,الريسبي!$B$2:$B$1800,X$1)</f>
        <v>0</v>
      </c>
      <c r="Y134" s="115" t="n">
        <f aca="false">SUMIFS(الريسبي!$C$2:$C$1800,الريسبي!$A$2:$A$1800,$A134,الريسبي!$B$2:$B$1800,Y$1)</f>
        <v>0</v>
      </c>
      <c r="Z134" s="115" t="n">
        <f aca="false">SUMIFS(الريسبي!$C$2:$C$1800,الريسبي!$A$2:$A$1800,$A134,الريسبي!$B$2:$B$1800,Z$1)</f>
        <v>0</v>
      </c>
      <c r="AA134" s="115" t="n">
        <f aca="false">SUMIFS(الريسبي!$C$2:$C$1800,الريسبي!$A$2:$A$1800,$A134,الريسبي!$B$2:$B$1800,AA$1)</f>
        <v>0</v>
      </c>
      <c r="AB134" s="115" t="n">
        <f aca="false">SUMIFS(الريسبي!$C$2:$C$1800,الريسبي!$A$2:$A$1800,$A134,الريسبي!$B$2:$B$1800,AB$1)</f>
        <v>0</v>
      </c>
      <c r="AC134" s="115" t="n">
        <f aca="false">SUMIFS(الريسبي!$C$2:$C$1800,الريسبي!$A$2:$A$1800,$A134,الريسبي!$B$2:$B$1800,AC$1)</f>
        <v>0</v>
      </c>
      <c r="AD134" s="115" t="n">
        <f aca="false">SUMIFS(الريسبي!$C$2:$C$1800,الريسبي!$A$2:$A$1800,$A134,الريسبي!$B$2:$B$1800,AD$1)</f>
        <v>0</v>
      </c>
      <c r="AE134" s="115" t="n">
        <f aca="false">SUMIFS(الريسبي!$C$2:$C$1800,الريسبي!$A$2:$A$1800,$A134,الريسبي!$B$2:$B$1800,AE$1)</f>
        <v>0</v>
      </c>
      <c r="AF134" s="115" t="n">
        <f aca="false">SUMIFS(الريسبي!$C$2:$C$1800,الريسبي!$A$2:$A$1800,$A134,الريسبي!$B$2:$B$1800,AF$1)</f>
        <v>0</v>
      </c>
      <c r="AG134" s="115" t="n">
        <f aca="false">SUMIFS(الريسبي!$C$2:$C$1800,الريسبي!$A$2:$A$1800,$A134,الريسبي!$B$2:$B$1800,AG$1)</f>
        <v>0</v>
      </c>
      <c r="AH134" s="115" t="n">
        <f aca="false">SUMIFS(الريسبي!$C$2:$C$1800,الريسبي!$A$2:$A$1800,$A134,الريسبي!$B$2:$B$1800,AH$1)</f>
        <v>0</v>
      </c>
      <c r="AI134" s="115" t="n">
        <f aca="false">SUMIFS(الريسبي!$C$2:$C$1800,الريسبي!$A$2:$A$1800,$A134,الريسبي!$B$2:$B$1800,AI$1)</f>
        <v>0</v>
      </c>
      <c r="AJ134" s="115" t="n">
        <f aca="false">SUMIFS(الريسبي!$C$2:$C$1800,الريسبي!$A$2:$A$1800,$A134,الريسبي!$B$2:$B$1800,AJ$1)</f>
        <v>0</v>
      </c>
      <c r="AK134" s="115" t="n">
        <f aca="false">SUMIFS(الريسبي!$C$2:$C$1800,الريسبي!$A$2:$A$1800,$A134,الريسبي!$B$2:$B$1800,AK$1)</f>
        <v>0</v>
      </c>
      <c r="AL134" s="115" t="n">
        <f aca="false">SUMIFS(الريسبي!$C$2:$C$1800,الريسبي!$A$2:$A$1800,$A134,الريسبي!$B$2:$B$1800,AL$1)</f>
        <v>0</v>
      </c>
      <c r="AM134" s="115"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15"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15" t="n">
        <f aca="false">SUMIFS(الريسبي!$C$2:$C$1800,الريسبي!$A$2:$A$1800,$A134,الريسبي!$B$2:$B$1800,AO$1)</f>
        <v>0</v>
      </c>
      <c r="AP134" s="115" t="n">
        <f aca="false">SUMIFS(الريسبي!$C$2:$C$1800,الريسبي!$A$2:$A$1800,$A134,الريسبي!$B$2:$B$1800,AP$1)</f>
        <v>0</v>
      </c>
      <c r="AQ134" s="115"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15" t="n">
        <f aca="false">SUMIFS(الريسبي!$C$2:$C$1800,الريسبي!$A$2:$A$1800,$A134,الريسبي!$B$2:$B$1800,AR$1)</f>
        <v>0</v>
      </c>
      <c r="AS134" s="115" t="n">
        <f aca="false">SUMIFS(الريسبي!$C$2:$C$1800,الريسبي!$A$2:$A$1800,$A134,الريسبي!$B$2:$B$1800,AS$1)</f>
        <v>0</v>
      </c>
      <c r="AT134" s="115" t="n">
        <f aca="false">SUMIFS(الريسبي!$C$2:$C$1800,الريسبي!$A$2:$A$1800,$A134,الريسبي!$B$2:$B$1800,AT$1)</f>
        <v>0</v>
      </c>
      <c r="AU134" s="115" t="n">
        <f aca="false">SUMIFS(الريسبي!$C$2:$C$1800,الريسبي!$A$2:$A$1800,$A134,الريسبي!$B$2:$B$1800,AU$1)</f>
        <v>0</v>
      </c>
      <c r="AV134" s="115" t="n">
        <f aca="false">SUMIFS(الريسبي!$C$2:$C$1800,الريسبي!$A$2:$A$1800,$A134,الريسبي!$B$2:$B$1800,AV$1)</f>
        <v>0</v>
      </c>
      <c r="AW134" s="115" t="n">
        <f aca="false">SUMIFS(الريسبي!$C$2:$C$1800,الريسبي!$A$2:$A$1800,$A134,الريسبي!$B$2:$B$1800,AW$1)</f>
        <v>0</v>
      </c>
      <c r="AX134" s="115" t="n">
        <f aca="false">SUMIFS(الريسبي!$C$2:$C$1800,الريسبي!$A$2:$A$1800,$A134,الريسبي!$B$2:$B$1800,AX$1)</f>
        <v>0</v>
      </c>
      <c r="AY134" s="115" t="n">
        <f aca="false">SUMIFS(الريسبي!$C$2:$C$1800,الريسبي!$A$2:$A$1800,$A134,الريسبي!$B$2:$B$1800,AY$1)</f>
        <v>0</v>
      </c>
      <c r="AZ134" s="115" t="n">
        <f aca="false">SUMIFS(الريسبي!$C$2:$C$1800,الريسبي!$A$2:$A$1800,$A134,الريسبي!$B$2:$B$1800,AZ$1)</f>
        <v>0</v>
      </c>
      <c r="BA134" s="115" t="n">
        <f aca="false">SUMIFS(الريسبي!$C$2:$C$1800,الريسبي!$A$2:$A$1800,$A134,الريسبي!$B$2:$B$1800,BA$1)</f>
        <v>0</v>
      </c>
      <c r="BB134" s="115" t="n">
        <f aca="false">SUMIFS(الريسبي!$C$2:$C$1800,الريسبي!$A$2:$A$1800,$A134,الريسبي!$B$2:$B$1800,BB$1)</f>
        <v>0</v>
      </c>
      <c r="BC134" s="115" t="n">
        <f aca="false">SUMIFS(الريسبي!$C$2:$C$1800,الريسبي!$A$2:$A$1800,$A134,الريسبي!$B$2:$B$1800,BC$1)</f>
        <v>0</v>
      </c>
      <c r="BD134" s="115" t="n">
        <f aca="false">SUMIFS(الريسبي!$C$2:$C$1800,الريسبي!$A$2:$A$1800,$A134,الريسبي!$B$2:$B$1800,BD$1)</f>
        <v>0</v>
      </c>
      <c r="BE134" s="115" t="n">
        <f aca="false">SUMIFS(الريسبي!$C$2:$C$1800,الريسبي!$A$2:$A$1800,$A134,الريسبي!$B$2:$B$1800,BE$1)</f>
        <v>0</v>
      </c>
      <c r="BF134" s="115" t="n">
        <f aca="false">SUMIFS(الريسبي!$C$2:$C$1800,الريسبي!$A$2:$A$1800,$A134,الريسبي!$B$2:$B$1800,BF$1)</f>
        <v>0</v>
      </c>
      <c r="BG134" s="115" t="n">
        <f aca="false">SUMIFS(الريسبي!$C$2:$C$1800,الريسبي!$A$2:$A$1800,$A134,الريسبي!$B$2:$B$1800,BG$1)</f>
        <v>0</v>
      </c>
      <c r="BH134" s="115" t="n">
        <f aca="false">SUMIFS(الريسبي!$C$2:$C$1800,الريسبي!$A$2:$A$1800,$A134,الريسبي!$B$2:$B$1800,BH$1)</f>
        <v>0</v>
      </c>
      <c r="BI134" s="115" t="n">
        <f aca="false">SUMIFS(الريسبي!$C$2:$C$1800,الريسبي!$A$2:$A$1800,$A134,الريسبي!$B$2:$B$1800,BI$1)</f>
        <v>0</v>
      </c>
      <c r="BJ134" s="115" t="n">
        <f aca="false">SUMIFS(الريسبي!$C$2:$C$1800,الريسبي!$A$2:$A$1800,$A134,الريسبي!$B$2:$B$1800,BJ$1)</f>
        <v>0</v>
      </c>
      <c r="BK134" s="115" t="n">
        <f aca="false">SUMIFS(الريسبي!$C$2:$C$1800,الريسبي!$A$2:$A$1800,$A134,الريسبي!$B$2:$B$1800,BK$1)</f>
        <v>0</v>
      </c>
      <c r="BL134" s="115" t="n">
        <f aca="false">SUMIFS(الريسبي!$C$2:$C$1800,الريسبي!$A$2:$A$1800,$A134,الريسبي!$B$2:$B$1800,BL$1)</f>
        <v>0</v>
      </c>
      <c r="BM134" s="115" t="n">
        <f aca="false">SUMIFS(الريسبي!$C$2:$C$1800,الريسبي!$A$2:$A$1800,$A134,الريسبي!$B$2:$B$1800,BM$1)</f>
        <v>0</v>
      </c>
      <c r="BN134" s="115" t="n">
        <f aca="false">SUMIFS(الريسبي!$C$2:$C$1800,الريسبي!$A$2:$A$1800,$A134,الريسبي!$B$2:$B$1800,BN$1)</f>
        <v>0</v>
      </c>
      <c r="BO134" s="115" t="n">
        <f aca="false">SUMIFS(الريسبي!$C$2:$C$1800,الريسبي!$A$2:$A$1800,$A134,الريسبي!$B$2:$B$1800,BO$1)</f>
        <v>0</v>
      </c>
      <c r="BP134" s="115" t="n">
        <f aca="false">SUMIFS(الريسبي!$C$2:$C$1800,الريسبي!$A$2:$A$1800,$A134,الريسبي!$B$2:$B$1800,BP$1)</f>
        <v>0</v>
      </c>
      <c r="BQ134" s="115"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15" t="n">
        <f aca="false">SUMIFS(الريسبي!$C$2:$C$1800,الريسبي!$A$2:$A$1800,$A134,الريسبي!$B$2:$B$1800,BR$1)</f>
        <v>0</v>
      </c>
      <c r="BS134" s="115" t="n">
        <f aca="false">SUMIFS(الريسبي!$C$2:$C$1800,الريسبي!$A$2:$A$1800,$A134,الريسبي!$B$2:$B$1800,BS$1)</f>
        <v>0</v>
      </c>
      <c r="BT134" s="115" t="n">
        <f aca="false">SUMIFS(الريسبي!$C$2:$C$1800,الريسبي!$A$2:$A$1800,$A134,الريسبي!$B$2:$B$1800,BT$1)</f>
        <v>0</v>
      </c>
      <c r="BU134" s="115"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15" t="n">
        <f aca="false">SUMIFS(الريسبي!$C$2:$C$1800,الريسبي!$A$2:$A$1800,$A134,الريسبي!$B$2:$B$1800,BV$1)</f>
        <v>0</v>
      </c>
      <c r="BW134" s="115" t="n">
        <f aca="false">SUMIFS(الريسبي!$C$2:$C$1800,الريسبي!$A$2:$A$1800,$A134,الريسبي!$B$2:$B$1800,BW$1)</f>
        <v>0</v>
      </c>
      <c r="BX134" s="115" t="n">
        <f aca="false">SUMIFS(الريسبي!$C$2:$C$1800,الريسبي!$A$2:$A$1800,$A134,الريسبي!$B$2:$B$1800,BX$1)</f>
        <v>0</v>
      </c>
      <c r="BY134" s="115" t="n">
        <f aca="false">SUMIFS(الريسبي!$C$2:$C$1800,الريسبي!$A$2:$A$1800,$A134,الريسبي!$B$2:$B$1800,BY$1)</f>
        <v>0</v>
      </c>
      <c r="BZ134" s="115" t="n">
        <f aca="false">SUMIFS(الريسبي!$C$2:$C$1800,الريسبي!$A$2:$A$1800,$A134,الريسبي!$B$2:$B$1800,BZ$1)</f>
        <v>0</v>
      </c>
      <c r="CA134" s="115" t="n">
        <f aca="false">SUMIFS(الريسبي!$C$2:$C$1800,الريسبي!$A$2:$A$1800,$A134,الريسبي!$B$2:$B$1800,CA$1)</f>
        <v>0</v>
      </c>
      <c r="CB134" s="115" t="n">
        <f aca="false">SUMIFS(الريسبي!$C$2:$C$1800,الريسبي!$A$2:$A$1800,$A134,الريسبي!$B$2:$B$1800,CB$1)</f>
        <v>0</v>
      </c>
      <c r="CC134" s="115" t="n">
        <f aca="false">SUMIFS(الريسبي!$C$2:$C$1800,الريسبي!$A$2:$A$1800,$A134,الريسبي!$B$2:$B$1800,CC$1)</f>
        <v>0</v>
      </c>
      <c r="CD134" s="115" t="n">
        <f aca="false">SUMIFS(الريسبي!$C$2:$C$1800,الريسبي!$A$2:$A$1800,$A134,الريسبي!$B$2:$B$1800,CD$1)</f>
        <v>0</v>
      </c>
      <c r="CE134" s="115" t="n">
        <f aca="false">SUMIFS(الريسبي!$C$2:$C$1800,الريسبي!$A$2:$A$1800,$A134,الريسبي!$B$2:$B$1800,CE$1)</f>
        <v>0</v>
      </c>
      <c r="CF134" s="115" t="n">
        <f aca="false">SUMIFS(الريسبي!$C$2:$C$1800,الريسبي!$A$2:$A$1800,$A134,الريسبي!$B$2:$B$1800,CF$1)</f>
        <v>0</v>
      </c>
      <c r="CG134" s="115" t="n">
        <f aca="false">SUMIFS(الريسبي!$C$2:$C$1800,الريسبي!$A$2:$A$1800,$A134,الريسبي!$B$2:$B$1800,CG$1)</f>
        <v>0</v>
      </c>
      <c r="CH134" s="115" t="n">
        <f aca="false">SUMIFS(الريسبي!$C$2:$C$1800,الريسبي!$A$2:$A$1800,$A134,الريسبي!$B$2:$B$1800,CH$1)</f>
        <v>0</v>
      </c>
    </row>
    <row r="135" customFormat="false" ht="15" hidden="false" customHeight="false" outlineLevel="0" collapsed="false">
      <c r="A135" s="114" t="str">
        <f aca="false">المنيو!B135</f>
        <v>اضافة جبنة رومي (بيتزا وسط)</v>
      </c>
      <c r="B135" s="115" t="n">
        <f aca="false">SUMIFS(الريسبي!$C$2:$C$1800,الريسبي!$A$2:$A$1800,$A135,الريسبي!$B$2:$B$1800,B$1)</f>
        <v>0</v>
      </c>
      <c r="C135" s="115" t="n">
        <f aca="false">SUMIFS(الريسبي!$C$2:$C$1800,الريسبي!$A$2:$A$1800,$A135,الريسبي!$B$2:$B$1800,C$1)</f>
        <v>0</v>
      </c>
      <c r="D135" s="115" t="n">
        <f aca="false">SUMIFS(الريسبي!$C$2:$C$1800,الريسبي!$A$2:$A$1800,$A135,الريسبي!$B$2:$B$1800,D$1)</f>
        <v>0</v>
      </c>
      <c r="E135" s="115" t="n">
        <f aca="false">SUMIFS(الريسبي!$C$2:$C$1800,الريسبي!$A$2:$A$1800,$A135,الريسبي!$B$2:$B$1800,E$1)</f>
        <v>0</v>
      </c>
      <c r="F135" s="115" t="n">
        <f aca="false">SUMIFS(الريسبي!$C$2:$C$1800,الريسبي!$A$2:$A$1800,$A135,الريسبي!$B$2:$B$1800,F$1)</f>
        <v>0</v>
      </c>
      <c r="G135" s="115" t="n">
        <f aca="false">SUMIFS(الريسبي!$C$2:$C$1800,الريسبي!$A$2:$A$1800,$A135,الريسبي!$B$2:$B$1800,G$1)</f>
        <v>0</v>
      </c>
      <c r="H135" s="115" t="n">
        <f aca="false">SUMIFS(الريسبي!$C$2:$C$1800,الريسبي!$A$2:$A$1800,$A135,الريسبي!$B$2:$B$1800,H$1)</f>
        <v>0</v>
      </c>
      <c r="I135" s="115" t="n">
        <f aca="false">SUMIFS(الريسبي!$C$2:$C$1800,الريسبي!$A$2:$A$1800,$A135,الريسبي!$B$2:$B$1800,I$1)</f>
        <v>0</v>
      </c>
      <c r="J135" s="115" t="n">
        <f aca="false">SUMIFS(الريسبي!$C$2:$C$1800,الريسبي!$A$2:$A$1800,$A135,الريسبي!$B$2:$B$1800,J$1)</f>
        <v>1</v>
      </c>
      <c r="K135" s="115" t="n">
        <f aca="false">SUMIFS(الريسبي!$C$2:$C$1800,الريسبي!$A$2:$A$1800,$A135,الريسبي!$B$2:$B$1800,K$1)</f>
        <v>0</v>
      </c>
      <c r="L135" s="115" t="n">
        <f aca="false">SUMIFS(الريسبي!$C$2:$C$1800,الريسبي!$A$2:$A$1800,$A135,الريسبي!$B$2:$B$1800,L$1)</f>
        <v>0</v>
      </c>
      <c r="M135" s="115" t="n">
        <f aca="false">SUMIFS(الريسبي!$C$2:$C$1800,الريسبي!$A$2:$A$1800,$A135,الريسبي!$B$2:$B$1800,M$1)</f>
        <v>0</v>
      </c>
      <c r="N135" s="115" t="n">
        <f aca="false">SUMIFS(الريسبي!$C$2:$C$1800,الريسبي!$A$2:$A$1800,$A135,الريسبي!$B$2:$B$1800,N$1)</f>
        <v>0</v>
      </c>
      <c r="O135" s="115" t="n">
        <f aca="false">SUMIFS(الريسبي!$C$2:$C$1800,الريسبي!$A$2:$A$1800,$A135,الريسبي!$B$2:$B$1800,O$1)</f>
        <v>0</v>
      </c>
      <c r="P135" s="115" t="n">
        <f aca="false">SUMIFS(الريسبي!$C$2:$C$1800,الريسبي!$A$2:$A$1800,$A135,الريسبي!$B$2:$B$1800,P$1)</f>
        <v>0</v>
      </c>
      <c r="Q135" s="115" t="n">
        <f aca="false">SUMIFS(الريسبي!$C$2:$C$1800,الريسبي!$A$2:$A$1800,$A135,الريسبي!$B$2:$B$1800,Q$1)</f>
        <v>0</v>
      </c>
      <c r="R135" s="115" t="n">
        <f aca="false">SUMIFS(الريسبي!$C$2:$C$1800,الريسبي!$A$2:$A$1800,$A135,الريسبي!$B$2:$B$1800,R$1)</f>
        <v>0</v>
      </c>
      <c r="S135" s="115" t="n">
        <f aca="false">SUMIFS(الريسبي!$C$2:$C$1800,الريسبي!$A$2:$A$1800,$A135,الريسبي!$B$2:$B$1800,S$1)</f>
        <v>0</v>
      </c>
      <c r="T135" s="115" t="n">
        <f aca="false">SUMIFS(الريسبي!$C$2:$C$1800,الريسبي!$A$2:$A$1800,$A135,الريسبي!$B$2:$B$1800,T$1)</f>
        <v>0</v>
      </c>
      <c r="U135" s="115" t="n">
        <f aca="false">SUMIFS(الريسبي!$C$2:$C$1800,الريسبي!$A$2:$A$1800,$A135,الريسبي!$B$2:$B$1800,U$1)</f>
        <v>0</v>
      </c>
      <c r="V135" s="115" t="n">
        <f aca="false">SUMIFS(الريسبي!$C$2:$C$1800,الريسبي!$A$2:$A$1800,$A135,الريسبي!$B$2:$B$1800,V$1)</f>
        <v>0</v>
      </c>
      <c r="W135" s="115" t="n">
        <f aca="false">SUMIFS(الريسبي!$C$2:$C$1800,الريسبي!$A$2:$A$1800,$A135,الريسبي!$B$2:$B$1800,W$1)</f>
        <v>0</v>
      </c>
      <c r="X135" s="115" t="n">
        <f aca="false">SUMIFS(الريسبي!$C$2:$C$1800,الريسبي!$A$2:$A$1800,$A135,الريسبي!$B$2:$B$1800,X$1)</f>
        <v>0</v>
      </c>
      <c r="Y135" s="115" t="n">
        <f aca="false">SUMIFS(الريسبي!$C$2:$C$1800,الريسبي!$A$2:$A$1800,$A135,الريسبي!$B$2:$B$1800,Y$1)</f>
        <v>0</v>
      </c>
      <c r="Z135" s="115" t="n">
        <f aca="false">SUMIFS(الريسبي!$C$2:$C$1800,الريسبي!$A$2:$A$1800,$A135,الريسبي!$B$2:$B$1800,Z$1)</f>
        <v>0</v>
      </c>
      <c r="AA135" s="115" t="n">
        <f aca="false">SUMIFS(الريسبي!$C$2:$C$1800,الريسبي!$A$2:$A$1800,$A135,الريسبي!$B$2:$B$1800,AA$1)</f>
        <v>0</v>
      </c>
      <c r="AB135" s="115" t="n">
        <f aca="false">SUMIFS(الريسبي!$C$2:$C$1800,الريسبي!$A$2:$A$1800,$A135,الريسبي!$B$2:$B$1800,AB$1)</f>
        <v>0</v>
      </c>
      <c r="AC135" s="115" t="n">
        <f aca="false">SUMIFS(الريسبي!$C$2:$C$1800,الريسبي!$A$2:$A$1800,$A135,الريسبي!$B$2:$B$1800,AC$1)</f>
        <v>0</v>
      </c>
      <c r="AD135" s="115" t="n">
        <f aca="false">SUMIFS(الريسبي!$C$2:$C$1800,الريسبي!$A$2:$A$1800,$A135,الريسبي!$B$2:$B$1800,AD$1)</f>
        <v>0</v>
      </c>
      <c r="AE135" s="115" t="n">
        <f aca="false">SUMIFS(الريسبي!$C$2:$C$1800,الريسبي!$A$2:$A$1800,$A135,الريسبي!$B$2:$B$1800,AE$1)</f>
        <v>0</v>
      </c>
      <c r="AF135" s="115" t="n">
        <f aca="false">SUMIFS(الريسبي!$C$2:$C$1800,الريسبي!$A$2:$A$1800,$A135,الريسبي!$B$2:$B$1800,AF$1)</f>
        <v>0</v>
      </c>
      <c r="AG135" s="115" t="n">
        <f aca="false">SUMIFS(الريسبي!$C$2:$C$1800,الريسبي!$A$2:$A$1800,$A135,الريسبي!$B$2:$B$1800,AG$1)</f>
        <v>0</v>
      </c>
      <c r="AH135" s="115" t="n">
        <f aca="false">SUMIFS(الريسبي!$C$2:$C$1800,الريسبي!$A$2:$A$1800,$A135,الريسبي!$B$2:$B$1800,AH$1)</f>
        <v>0</v>
      </c>
      <c r="AI135" s="115" t="n">
        <f aca="false">SUMIFS(الريسبي!$C$2:$C$1800,الريسبي!$A$2:$A$1800,$A135,الريسبي!$B$2:$B$1800,AI$1)</f>
        <v>0</v>
      </c>
      <c r="AJ135" s="115" t="n">
        <f aca="false">SUMIFS(الريسبي!$C$2:$C$1800,الريسبي!$A$2:$A$1800,$A135,الريسبي!$B$2:$B$1800,AJ$1)</f>
        <v>0</v>
      </c>
      <c r="AK135" s="115" t="n">
        <f aca="false">SUMIFS(الريسبي!$C$2:$C$1800,الريسبي!$A$2:$A$1800,$A135,الريسبي!$B$2:$B$1800,AK$1)</f>
        <v>0</v>
      </c>
      <c r="AL135" s="115" t="n">
        <f aca="false">SUMIFS(الريسبي!$C$2:$C$1800,الريسبي!$A$2:$A$1800,$A135,الريسبي!$B$2:$B$1800,AL$1)</f>
        <v>0</v>
      </c>
      <c r="AM135" s="115"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15"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15" t="n">
        <f aca="false">SUMIFS(الريسبي!$C$2:$C$1800,الريسبي!$A$2:$A$1800,$A135,الريسبي!$B$2:$B$1800,AO$1)</f>
        <v>0</v>
      </c>
      <c r="AP135" s="115" t="n">
        <f aca="false">SUMIFS(الريسبي!$C$2:$C$1800,الريسبي!$A$2:$A$1800,$A135,الريسبي!$B$2:$B$1800,AP$1)</f>
        <v>0</v>
      </c>
      <c r="AQ135" s="115"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15" t="n">
        <f aca="false">SUMIFS(الريسبي!$C$2:$C$1800,الريسبي!$A$2:$A$1800,$A135,الريسبي!$B$2:$B$1800,AR$1)</f>
        <v>0</v>
      </c>
      <c r="AS135" s="115" t="n">
        <f aca="false">SUMIFS(الريسبي!$C$2:$C$1800,الريسبي!$A$2:$A$1800,$A135,الريسبي!$B$2:$B$1800,AS$1)</f>
        <v>0</v>
      </c>
      <c r="AT135" s="115" t="n">
        <f aca="false">SUMIFS(الريسبي!$C$2:$C$1800,الريسبي!$A$2:$A$1800,$A135,الريسبي!$B$2:$B$1800,AT$1)</f>
        <v>0</v>
      </c>
      <c r="AU135" s="115" t="n">
        <f aca="false">SUMIFS(الريسبي!$C$2:$C$1800,الريسبي!$A$2:$A$1800,$A135,الريسبي!$B$2:$B$1800,AU$1)</f>
        <v>0</v>
      </c>
      <c r="AV135" s="115" t="n">
        <f aca="false">SUMIFS(الريسبي!$C$2:$C$1800,الريسبي!$A$2:$A$1800,$A135,الريسبي!$B$2:$B$1800,AV$1)</f>
        <v>0</v>
      </c>
      <c r="AW135" s="115" t="n">
        <f aca="false">SUMIFS(الريسبي!$C$2:$C$1800,الريسبي!$A$2:$A$1800,$A135,الريسبي!$B$2:$B$1800,AW$1)</f>
        <v>0</v>
      </c>
      <c r="AX135" s="115" t="n">
        <f aca="false">SUMIFS(الريسبي!$C$2:$C$1800,الريسبي!$A$2:$A$1800,$A135,الريسبي!$B$2:$B$1800,AX$1)</f>
        <v>0</v>
      </c>
      <c r="AY135" s="115" t="n">
        <f aca="false">SUMIFS(الريسبي!$C$2:$C$1800,الريسبي!$A$2:$A$1800,$A135,الريسبي!$B$2:$B$1800,AY$1)</f>
        <v>0</v>
      </c>
      <c r="AZ135" s="115" t="n">
        <f aca="false">SUMIFS(الريسبي!$C$2:$C$1800,الريسبي!$A$2:$A$1800,$A135,الريسبي!$B$2:$B$1800,AZ$1)</f>
        <v>0</v>
      </c>
      <c r="BA135" s="115" t="n">
        <f aca="false">SUMIFS(الريسبي!$C$2:$C$1800,الريسبي!$A$2:$A$1800,$A135,الريسبي!$B$2:$B$1800,BA$1)</f>
        <v>0</v>
      </c>
      <c r="BB135" s="115" t="n">
        <f aca="false">SUMIFS(الريسبي!$C$2:$C$1800,الريسبي!$A$2:$A$1800,$A135,الريسبي!$B$2:$B$1800,BB$1)</f>
        <v>0</v>
      </c>
      <c r="BC135" s="115" t="n">
        <f aca="false">SUMIFS(الريسبي!$C$2:$C$1800,الريسبي!$A$2:$A$1800,$A135,الريسبي!$B$2:$B$1800,BC$1)</f>
        <v>0</v>
      </c>
      <c r="BD135" s="115" t="n">
        <f aca="false">SUMIFS(الريسبي!$C$2:$C$1800,الريسبي!$A$2:$A$1800,$A135,الريسبي!$B$2:$B$1800,BD$1)</f>
        <v>0</v>
      </c>
      <c r="BE135" s="115" t="n">
        <f aca="false">SUMIFS(الريسبي!$C$2:$C$1800,الريسبي!$A$2:$A$1800,$A135,الريسبي!$B$2:$B$1800,BE$1)</f>
        <v>0</v>
      </c>
      <c r="BF135" s="115" t="n">
        <f aca="false">SUMIFS(الريسبي!$C$2:$C$1800,الريسبي!$A$2:$A$1800,$A135,الريسبي!$B$2:$B$1800,BF$1)</f>
        <v>0</v>
      </c>
      <c r="BG135" s="115" t="n">
        <f aca="false">SUMIFS(الريسبي!$C$2:$C$1800,الريسبي!$A$2:$A$1800,$A135,الريسبي!$B$2:$B$1800,BG$1)</f>
        <v>0</v>
      </c>
      <c r="BH135" s="115" t="n">
        <f aca="false">SUMIFS(الريسبي!$C$2:$C$1800,الريسبي!$A$2:$A$1800,$A135,الريسبي!$B$2:$B$1800,BH$1)</f>
        <v>0</v>
      </c>
      <c r="BI135" s="115" t="n">
        <f aca="false">SUMIFS(الريسبي!$C$2:$C$1800,الريسبي!$A$2:$A$1800,$A135,الريسبي!$B$2:$B$1800,BI$1)</f>
        <v>0</v>
      </c>
      <c r="BJ135" s="115" t="n">
        <f aca="false">SUMIFS(الريسبي!$C$2:$C$1800,الريسبي!$A$2:$A$1800,$A135,الريسبي!$B$2:$B$1800,BJ$1)</f>
        <v>0</v>
      </c>
      <c r="BK135" s="115" t="n">
        <f aca="false">SUMIFS(الريسبي!$C$2:$C$1800,الريسبي!$A$2:$A$1800,$A135,الريسبي!$B$2:$B$1800,BK$1)</f>
        <v>0</v>
      </c>
      <c r="BL135" s="115" t="n">
        <f aca="false">SUMIFS(الريسبي!$C$2:$C$1800,الريسبي!$A$2:$A$1800,$A135,الريسبي!$B$2:$B$1800,BL$1)</f>
        <v>0</v>
      </c>
      <c r="BM135" s="115" t="n">
        <f aca="false">SUMIFS(الريسبي!$C$2:$C$1800,الريسبي!$A$2:$A$1800,$A135,الريسبي!$B$2:$B$1800,BM$1)</f>
        <v>0</v>
      </c>
      <c r="BN135" s="115" t="n">
        <f aca="false">SUMIFS(الريسبي!$C$2:$C$1800,الريسبي!$A$2:$A$1800,$A135,الريسبي!$B$2:$B$1800,BN$1)</f>
        <v>0</v>
      </c>
      <c r="BO135" s="115" t="n">
        <f aca="false">SUMIFS(الريسبي!$C$2:$C$1800,الريسبي!$A$2:$A$1800,$A135,الريسبي!$B$2:$B$1800,BO$1)</f>
        <v>0</v>
      </c>
      <c r="BP135" s="115" t="n">
        <f aca="false">SUMIFS(الريسبي!$C$2:$C$1800,الريسبي!$A$2:$A$1800,$A135,الريسبي!$B$2:$B$1800,BP$1)</f>
        <v>0</v>
      </c>
      <c r="BQ135" s="115"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15" t="n">
        <f aca="false">SUMIFS(الريسبي!$C$2:$C$1800,الريسبي!$A$2:$A$1800,$A135,الريسبي!$B$2:$B$1800,BR$1)</f>
        <v>0</v>
      </c>
      <c r="BS135" s="115" t="n">
        <f aca="false">SUMIFS(الريسبي!$C$2:$C$1800,الريسبي!$A$2:$A$1800,$A135,الريسبي!$B$2:$B$1800,BS$1)</f>
        <v>0</v>
      </c>
      <c r="BT135" s="115" t="n">
        <f aca="false">SUMIFS(الريسبي!$C$2:$C$1800,الريسبي!$A$2:$A$1800,$A135,الريسبي!$B$2:$B$1800,BT$1)</f>
        <v>0</v>
      </c>
      <c r="BU135" s="115"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15" t="n">
        <f aca="false">SUMIFS(الريسبي!$C$2:$C$1800,الريسبي!$A$2:$A$1800,$A135,الريسبي!$B$2:$B$1800,BV$1)</f>
        <v>0</v>
      </c>
      <c r="BW135" s="115" t="n">
        <f aca="false">SUMIFS(الريسبي!$C$2:$C$1800,الريسبي!$A$2:$A$1800,$A135,الريسبي!$B$2:$B$1800,BW$1)</f>
        <v>0</v>
      </c>
      <c r="BX135" s="115" t="n">
        <f aca="false">SUMIFS(الريسبي!$C$2:$C$1800,الريسبي!$A$2:$A$1800,$A135,الريسبي!$B$2:$B$1800,BX$1)</f>
        <v>0</v>
      </c>
      <c r="BY135" s="115" t="n">
        <f aca="false">SUMIFS(الريسبي!$C$2:$C$1800,الريسبي!$A$2:$A$1800,$A135,الريسبي!$B$2:$B$1800,BY$1)</f>
        <v>0</v>
      </c>
      <c r="BZ135" s="115" t="n">
        <f aca="false">SUMIFS(الريسبي!$C$2:$C$1800,الريسبي!$A$2:$A$1800,$A135,الريسبي!$B$2:$B$1800,BZ$1)</f>
        <v>0</v>
      </c>
      <c r="CA135" s="115" t="n">
        <f aca="false">SUMIFS(الريسبي!$C$2:$C$1800,الريسبي!$A$2:$A$1800,$A135,الريسبي!$B$2:$B$1800,CA$1)</f>
        <v>0</v>
      </c>
      <c r="CB135" s="115" t="n">
        <f aca="false">SUMIFS(الريسبي!$C$2:$C$1800,الريسبي!$A$2:$A$1800,$A135,الريسبي!$B$2:$B$1800,CB$1)</f>
        <v>0</v>
      </c>
      <c r="CC135" s="115" t="n">
        <f aca="false">SUMIFS(الريسبي!$C$2:$C$1800,الريسبي!$A$2:$A$1800,$A135,الريسبي!$B$2:$B$1800,CC$1)</f>
        <v>0</v>
      </c>
      <c r="CD135" s="115" t="n">
        <f aca="false">SUMIFS(الريسبي!$C$2:$C$1800,الريسبي!$A$2:$A$1800,$A135,الريسبي!$B$2:$B$1800,CD$1)</f>
        <v>0</v>
      </c>
      <c r="CE135" s="115" t="n">
        <f aca="false">SUMIFS(الريسبي!$C$2:$C$1800,الريسبي!$A$2:$A$1800,$A135,الريسبي!$B$2:$B$1800,CE$1)</f>
        <v>0</v>
      </c>
      <c r="CF135" s="115" t="n">
        <f aca="false">SUMIFS(الريسبي!$C$2:$C$1800,الريسبي!$A$2:$A$1800,$A135,الريسبي!$B$2:$B$1800,CF$1)</f>
        <v>0</v>
      </c>
      <c r="CG135" s="115" t="n">
        <f aca="false">SUMIFS(الريسبي!$C$2:$C$1800,الريسبي!$A$2:$A$1800,$A135,الريسبي!$B$2:$B$1800,CG$1)</f>
        <v>0</v>
      </c>
      <c r="CH135" s="115" t="n">
        <f aca="false">SUMIFS(الريسبي!$C$2:$C$1800,الريسبي!$A$2:$A$1800,$A135,الريسبي!$B$2:$B$1800,CH$1)</f>
        <v>0</v>
      </c>
    </row>
    <row r="136" customFormat="false" ht="15" hidden="false" customHeight="false" outlineLevel="0" collapsed="false">
      <c r="A136" s="114" t="str">
        <f aca="false">المنيو!B136</f>
        <v>اضافة جبنة رومي (فطير وسط)</v>
      </c>
      <c r="B136" s="115" t="n">
        <f aca="false">SUMIFS(الريسبي!$C$2:$C$1800,الريسبي!$A$2:$A$1800,$A136,الريسبي!$B$2:$B$1800,B$1)</f>
        <v>0</v>
      </c>
      <c r="C136" s="115" t="n">
        <f aca="false">SUMIFS(الريسبي!$C$2:$C$1800,الريسبي!$A$2:$A$1800,$A136,الريسبي!$B$2:$B$1800,C$1)</f>
        <v>0</v>
      </c>
      <c r="D136" s="115" t="n">
        <f aca="false">SUMIFS(الريسبي!$C$2:$C$1800,الريسبي!$A$2:$A$1800,$A136,الريسبي!$B$2:$B$1800,D$1)</f>
        <v>0</v>
      </c>
      <c r="E136" s="115" t="n">
        <f aca="false">SUMIFS(الريسبي!$C$2:$C$1800,الريسبي!$A$2:$A$1800,$A136,الريسبي!$B$2:$B$1800,E$1)</f>
        <v>0</v>
      </c>
      <c r="F136" s="115" t="n">
        <f aca="false">SUMIFS(الريسبي!$C$2:$C$1800,الريسبي!$A$2:$A$1800,$A136,الريسبي!$B$2:$B$1800,F$1)</f>
        <v>0</v>
      </c>
      <c r="G136" s="115" t="n">
        <f aca="false">SUMIFS(الريسبي!$C$2:$C$1800,الريسبي!$A$2:$A$1800,$A136,الريسبي!$B$2:$B$1800,G$1)</f>
        <v>0</v>
      </c>
      <c r="H136" s="115" t="n">
        <f aca="false">SUMIFS(الريسبي!$C$2:$C$1800,الريسبي!$A$2:$A$1800,$A136,الريسبي!$B$2:$B$1800,H$1)</f>
        <v>0</v>
      </c>
      <c r="I136" s="115" t="n">
        <f aca="false">SUMIFS(الريسبي!$C$2:$C$1800,الريسبي!$A$2:$A$1800,$A136,الريسبي!$B$2:$B$1800,I$1)</f>
        <v>0</v>
      </c>
      <c r="J136" s="115" t="n">
        <f aca="false">SUMIFS(الريسبي!$C$2:$C$1800,الريسبي!$A$2:$A$1800,$A136,الريسبي!$B$2:$B$1800,J$1)</f>
        <v>1</v>
      </c>
      <c r="K136" s="115" t="n">
        <f aca="false">SUMIFS(الريسبي!$C$2:$C$1800,الريسبي!$A$2:$A$1800,$A136,الريسبي!$B$2:$B$1800,K$1)</f>
        <v>0</v>
      </c>
      <c r="L136" s="115" t="n">
        <f aca="false">SUMIFS(الريسبي!$C$2:$C$1800,الريسبي!$A$2:$A$1800,$A136,الريسبي!$B$2:$B$1800,L$1)</f>
        <v>0</v>
      </c>
      <c r="M136" s="115" t="n">
        <f aca="false">SUMIFS(الريسبي!$C$2:$C$1800,الريسبي!$A$2:$A$1800,$A136,الريسبي!$B$2:$B$1800,M$1)</f>
        <v>0</v>
      </c>
      <c r="N136" s="115" t="n">
        <f aca="false">SUMIFS(الريسبي!$C$2:$C$1800,الريسبي!$A$2:$A$1800,$A136,الريسبي!$B$2:$B$1800,N$1)</f>
        <v>0</v>
      </c>
      <c r="O136" s="115" t="n">
        <f aca="false">SUMIFS(الريسبي!$C$2:$C$1800,الريسبي!$A$2:$A$1800,$A136,الريسبي!$B$2:$B$1800,O$1)</f>
        <v>0</v>
      </c>
      <c r="P136" s="115" t="n">
        <f aca="false">SUMIFS(الريسبي!$C$2:$C$1800,الريسبي!$A$2:$A$1800,$A136,الريسبي!$B$2:$B$1800,P$1)</f>
        <v>0</v>
      </c>
      <c r="Q136" s="115" t="n">
        <f aca="false">SUMIFS(الريسبي!$C$2:$C$1800,الريسبي!$A$2:$A$1800,$A136,الريسبي!$B$2:$B$1800,Q$1)</f>
        <v>0</v>
      </c>
      <c r="R136" s="115" t="n">
        <f aca="false">SUMIFS(الريسبي!$C$2:$C$1800,الريسبي!$A$2:$A$1800,$A136,الريسبي!$B$2:$B$1800,R$1)</f>
        <v>0</v>
      </c>
      <c r="S136" s="115" t="n">
        <f aca="false">SUMIFS(الريسبي!$C$2:$C$1800,الريسبي!$A$2:$A$1800,$A136,الريسبي!$B$2:$B$1800,S$1)</f>
        <v>0</v>
      </c>
      <c r="T136" s="115" t="n">
        <f aca="false">SUMIFS(الريسبي!$C$2:$C$1800,الريسبي!$A$2:$A$1800,$A136,الريسبي!$B$2:$B$1800,T$1)</f>
        <v>0</v>
      </c>
      <c r="U136" s="115" t="n">
        <f aca="false">SUMIFS(الريسبي!$C$2:$C$1800,الريسبي!$A$2:$A$1800,$A136,الريسبي!$B$2:$B$1800,U$1)</f>
        <v>0</v>
      </c>
      <c r="V136" s="115" t="n">
        <f aca="false">SUMIFS(الريسبي!$C$2:$C$1800,الريسبي!$A$2:$A$1800,$A136,الريسبي!$B$2:$B$1800,V$1)</f>
        <v>0</v>
      </c>
      <c r="W136" s="115" t="n">
        <f aca="false">SUMIFS(الريسبي!$C$2:$C$1800,الريسبي!$A$2:$A$1800,$A136,الريسبي!$B$2:$B$1800,W$1)</f>
        <v>0</v>
      </c>
      <c r="X136" s="115" t="n">
        <f aca="false">SUMIFS(الريسبي!$C$2:$C$1800,الريسبي!$A$2:$A$1800,$A136,الريسبي!$B$2:$B$1800,X$1)</f>
        <v>0</v>
      </c>
      <c r="Y136" s="115" t="n">
        <f aca="false">SUMIFS(الريسبي!$C$2:$C$1800,الريسبي!$A$2:$A$1800,$A136,الريسبي!$B$2:$B$1800,Y$1)</f>
        <v>0</v>
      </c>
      <c r="Z136" s="115" t="n">
        <f aca="false">SUMIFS(الريسبي!$C$2:$C$1800,الريسبي!$A$2:$A$1800,$A136,الريسبي!$B$2:$B$1800,Z$1)</f>
        <v>0</v>
      </c>
      <c r="AA136" s="115" t="n">
        <f aca="false">SUMIFS(الريسبي!$C$2:$C$1800,الريسبي!$A$2:$A$1800,$A136,الريسبي!$B$2:$B$1800,AA$1)</f>
        <v>0</v>
      </c>
      <c r="AB136" s="115" t="n">
        <f aca="false">SUMIFS(الريسبي!$C$2:$C$1800,الريسبي!$A$2:$A$1800,$A136,الريسبي!$B$2:$B$1800,AB$1)</f>
        <v>0</v>
      </c>
      <c r="AC136" s="115" t="n">
        <f aca="false">SUMIFS(الريسبي!$C$2:$C$1800,الريسبي!$A$2:$A$1800,$A136,الريسبي!$B$2:$B$1800,AC$1)</f>
        <v>0</v>
      </c>
      <c r="AD136" s="115" t="n">
        <f aca="false">SUMIFS(الريسبي!$C$2:$C$1800,الريسبي!$A$2:$A$1800,$A136,الريسبي!$B$2:$B$1800,AD$1)</f>
        <v>0</v>
      </c>
      <c r="AE136" s="115" t="n">
        <f aca="false">SUMIFS(الريسبي!$C$2:$C$1800,الريسبي!$A$2:$A$1800,$A136,الريسبي!$B$2:$B$1800,AE$1)</f>
        <v>0</v>
      </c>
      <c r="AF136" s="115" t="n">
        <f aca="false">SUMIFS(الريسبي!$C$2:$C$1800,الريسبي!$A$2:$A$1800,$A136,الريسبي!$B$2:$B$1800,AF$1)</f>
        <v>0</v>
      </c>
      <c r="AG136" s="115" t="n">
        <f aca="false">SUMIFS(الريسبي!$C$2:$C$1800,الريسبي!$A$2:$A$1800,$A136,الريسبي!$B$2:$B$1800,AG$1)</f>
        <v>0</v>
      </c>
      <c r="AH136" s="115" t="n">
        <f aca="false">SUMIFS(الريسبي!$C$2:$C$1800,الريسبي!$A$2:$A$1800,$A136,الريسبي!$B$2:$B$1800,AH$1)</f>
        <v>0</v>
      </c>
      <c r="AI136" s="115" t="n">
        <f aca="false">SUMIFS(الريسبي!$C$2:$C$1800,الريسبي!$A$2:$A$1800,$A136,الريسبي!$B$2:$B$1800,AI$1)</f>
        <v>0</v>
      </c>
      <c r="AJ136" s="115" t="n">
        <f aca="false">SUMIFS(الريسبي!$C$2:$C$1800,الريسبي!$A$2:$A$1800,$A136,الريسبي!$B$2:$B$1800,AJ$1)</f>
        <v>0</v>
      </c>
      <c r="AK136" s="115" t="n">
        <f aca="false">SUMIFS(الريسبي!$C$2:$C$1800,الريسبي!$A$2:$A$1800,$A136,الريسبي!$B$2:$B$1800,AK$1)</f>
        <v>0</v>
      </c>
      <c r="AL136" s="115" t="n">
        <f aca="false">SUMIFS(الريسبي!$C$2:$C$1800,الريسبي!$A$2:$A$1800,$A136,الريسبي!$B$2:$B$1800,AL$1)</f>
        <v>0</v>
      </c>
      <c r="AM136" s="115"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15"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15" t="n">
        <f aca="false">SUMIFS(الريسبي!$C$2:$C$1800,الريسبي!$A$2:$A$1800,$A136,الريسبي!$B$2:$B$1800,AO$1)</f>
        <v>0</v>
      </c>
      <c r="AP136" s="115" t="n">
        <f aca="false">SUMIFS(الريسبي!$C$2:$C$1800,الريسبي!$A$2:$A$1800,$A136,الريسبي!$B$2:$B$1800,AP$1)</f>
        <v>0</v>
      </c>
      <c r="AQ136" s="115"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15" t="n">
        <f aca="false">SUMIFS(الريسبي!$C$2:$C$1800,الريسبي!$A$2:$A$1800,$A136,الريسبي!$B$2:$B$1800,AR$1)</f>
        <v>0</v>
      </c>
      <c r="AS136" s="115" t="n">
        <f aca="false">SUMIFS(الريسبي!$C$2:$C$1800,الريسبي!$A$2:$A$1800,$A136,الريسبي!$B$2:$B$1800,AS$1)</f>
        <v>0</v>
      </c>
      <c r="AT136" s="115" t="n">
        <f aca="false">SUMIFS(الريسبي!$C$2:$C$1800,الريسبي!$A$2:$A$1800,$A136,الريسبي!$B$2:$B$1800,AT$1)</f>
        <v>0</v>
      </c>
      <c r="AU136" s="115" t="n">
        <f aca="false">SUMIFS(الريسبي!$C$2:$C$1800,الريسبي!$A$2:$A$1800,$A136,الريسبي!$B$2:$B$1800,AU$1)</f>
        <v>0</v>
      </c>
      <c r="AV136" s="115" t="n">
        <f aca="false">SUMIFS(الريسبي!$C$2:$C$1800,الريسبي!$A$2:$A$1800,$A136,الريسبي!$B$2:$B$1800,AV$1)</f>
        <v>0</v>
      </c>
      <c r="AW136" s="115" t="n">
        <f aca="false">SUMIFS(الريسبي!$C$2:$C$1800,الريسبي!$A$2:$A$1800,$A136,الريسبي!$B$2:$B$1800,AW$1)</f>
        <v>0</v>
      </c>
      <c r="AX136" s="115" t="n">
        <f aca="false">SUMIFS(الريسبي!$C$2:$C$1800,الريسبي!$A$2:$A$1800,$A136,الريسبي!$B$2:$B$1800,AX$1)</f>
        <v>0</v>
      </c>
      <c r="AY136" s="115" t="n">
        <f aca="false">SUMIFS(الريسبي!$C$2:$C$1800,الريسبي!$A$2:$A$1800,$A136,الريسبي!$B$2:$B$1800,AY$1)</f>
        <v>0</v>
      </c>
      <c r="AZ136" s="115" t="n">
        <f aca="false">SUMIFS(الريسبي!$C$2:$C$1800,الريسبي!$A$2:$A$1800,$A136,الريسبي!$B$2:$B$1800,AZ$1)</f>
        <v>0</v>
      </c>
      <c r="BA136" s="115" t="n">
        <f aca="false">SUMIFS(الريسبي!$C$2:$C$1800,الريسبي!$A$2:$A$1800,$A136,الريسبي!$B$2:$B$1800,BA$1)</f>
        <v>0</v>
      </c>
      <c r="BB136" s="115" t="n">
        <f aca="false">SUMIFS(الريسبي!$C$2:$C$1800,الريسبي!$A$2:$A$1800,$A136,الريسبي!$B$2:$B$1800,BB$1)</f>
        <v>0</v>
      </c>
      <c r="BC136" s="115" t="n">
        <f aca="false">SUMIFS(الريسبي!$C$2:$C$1800,الريسبي!$A$2:$A$1800,$A136,الريسبي!$B$2:$B$1800,BC$1)</f>
        <v>0</v>
      </c>
      <c r="BD136" s="115" t="n">
        <f aca="false">SUMIFS(الريسبي!$C$2:$C$1800,الريسبي!$A$2:$A$1800,$A136,الريسبي!$B$2:$B$1800,BD$1)</f>
        <v>0</v>
      </c>
      <c r="BE136" s="115" t="n">
        <f aca="false">SUMIFS(الريسبي!$C$2:$C$1800,الريسبي!$A$2:$A$1800,$A136,الريسبي!$B$2:$B$1800,BE$1)</f>
        <v>0</v>
      </c>
      <c r="BF136" s="115" t="n">
        <f aca="false">SUMIFS(الريسبي!$C$2:$C$1800,الريسبي!$A$2:$A$1800,$A136,الريسبي!$B$2:$B$1800,BF$1)</f>
        <v>0</v>
      </c>
      <c r="BG136" s="115" t="n">
        <f aca="false">SUMIFS(الريسبي!$C$2:$C$1800,الريسبي!$A$2:$A$1800,$A136,الريسبي!$B$2:$B$1800,BG$1)</f>
        <v>0</v>
      </c>
      <c r="BH136" s="115" t="n">
        <f aca="false">SUMIFS(الريسبي!$C$2:$C$1800,الريسبي!$A$2:$A$1800,$A136,الريسبي!$B$2:$B$1800,BH$1)</f>
        <v>0</v>
      </c>
      <c r="BI136" s="115" t="n">
        <f aca="false">SUMIFS(الريسبي!$C$2:$C$1800,الريسبي!$A$2:$A$1800,$A136,الريسبي!$B$2:$B$1800,BI$1)</f>
        <v>0</v>
      </c>
      <c r="BJ136" s="115" t="n">
        <f aca="false">SUMIFS(الريسبي!$C$2:$C$1800,الريسبي!$A$2:$A$1800,$A136,الريسبي!$B$2:$B$1800,BJ$1)</f>
        <v>0</v>
      </c>
      <c r="BK136" s="115" t="n">
        <f aca="false">SUMIFS(الريسبي!$C$2:$C$1800,الريسبي!$A$2:$A$1800,$A136,الريسبي!$B$2:$B$1800,BK$1)</f>
        <v>0</v>
      </c>
      <c r="BL136" s="115" t="n">
        <f aca="false">SUMIFS(الريسبي!$C$2:$C$1800,الريسبي!$A$2:$A$1800,$A136,الريسبي!$B$2:$B$1800,BL$1)</f>
        <v>0</v>
      </c>
      <c r="BM136" s="115" t="n">
        <f aca="false">SUMIFS(الريسبي!$C$2:$C$1800,الريسبي!$A$2:$A$1800,$A136,الريسبي!$B$2:$B$1800,BM$1)</f>
        <v>0</v>
      </c>
      <c r="BN136" s="115" t="n">
        <f aca="false">SUMIFS(الريسبي!$C$2:$C$1800,الريسبي!$A$2:$A$1800,$A136,الريسبي!$B$2:$B$1800,BN$1)</f>
        <v>0</v>
      </c>
      <c r="BO136" s="115" t="n">
        <f aca="false">SUMIFS(الريسبي!$C$2:$C$1800,الريسبي!$A$2:$A$1800,$A136,الريسبي!$B$2:$B$1800,BO$1)</f>
        <v>0</v>
      </c>
      <c r="BP136" s="115" t="n">
        <f aca="false">SUMIFS(الريسبي!$C$2:$C$1800,الريسبي!$A$2:$A$1800,$A136,الريسبي!$B$2:$B$1800,BP$1)</f>
        <v>0</v>
      </c>
      <c r="BQ136" s="115"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15" t="n">
        <f aca="false">SUMIFS(الريسبي!$C$2:$C$1800,الريسبي!$A$2:$A$1800,$A136,الريسبي!$B$2:$B$1800,BR$1)</f>
        <v>0</v>
      </c>
      <c r="BS136" s="115" t="n">
        <f aca="false">SUMIFS(الريسبي!$C$2:$C$1800,الريسبي!$A$2:$A$1800,$A136,الريسبي!$B$2:$B$1800,BS$1)</f>
        <v>0</v>
      </c>
      <c r="BT136" s="115" t="n">
        <f aca="false">SUMIFS(الريسبي!$C$2:$C$1800,الريسبي!$A$2:$A$1800,$A136,الريسبي!$B$2:$B$1800,BT$1)</f>
        <v>0</v>
      </c>
      <c r="BU136" s="115"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15" t="n">
        <f aca="false">SUMIFS(الريسبي!$C$2:$C$1800,الريسبي!$A$2:$A$1800,$A136,الريسبي!$B$2:$B$1800,BV$1)</f>
        <v>0</v>
      </c>
      <c r="BW136" s="115" t="n">
        <f aca="false">SUMIFS(الريسبي!$C$2:$C$1800,الريسبي!$A$2:$A$1800,$A136,الريسبي!$B$2:$B$1800,BW$1)</f>
        <v>0</v>
      </c>
      <c r="BX136" s="115" t="n">
        <f aca="false">SUMIFS(الريسبي!$C$2:$C$1800,الريسبي!$A$2:$A$1800,$A136,الريسبي!$B$2:$B$1800,BX$1)</f>
        <v>0</v>
      </c>
      <c r="BY136" s="115" t="n">
        <f aca="false">SUMIFS(الريسبي!$C$2:$C$1800,الريسبي!$A$2:$A$1800,$A136,الريسبي!$B$2:$B$1800,BY$1)</f>
        <v>0</v>
      </c>
      <c r="BZ136" s="115" t="n">
        <f aca="false">SUMIFS(الريسبي!$C$2:$C$1800,الريسبي!$A$2:$A$1800,$A136,الريسبي!$B$2:$B$1800,BZ$1)</f>
        <v>0</v>
      </c>
      <c r="CA136" s="115" t="n">
        <f aca="false">SUMIFS(الريسبي!$C$2:$C$1800,الريسبي!$A$2:$A$1800,$A136,الريسبي!$B$2:$B$1800,CA$1)</f>
        <v>0</v>
      </c>
      <c r="CB136" s="115" t="n">
        <f aca="false">SUMIFS(الريسبي!$C$2:$C$1800,الريسبي!$A$2:$A$1800,$A136,الريسبي!$B$2:$B$1800,CB$1)</f>
        <v>0</v>
      </c>
      <c r="CC136" s="115" t="n">
        <f aca="false">SUMIFS(الريسبي!$C$2:$C$1800,الريسبي!$A$2:$A$1800,$A136,الريسبي!$B$2:$B$1800,CC$1)</f>
        <v>0</v>
      </c>
      <c r="CD136" s="115" t="n">
        <f aca="false">SUMIFS(الريسبي!$C$2:$C$1800,الريسبي!$A$2:$A$1800,$A136,الريسبي!$B$2:$B$1800,CD$1)</f>
        <v>0</v>
      </c>
      <c r="CE136" s="115" t="n">
        <f aca="false">SUMIFS(الريسبي!$C$2:$C$1800,الريسبي!$A$2:$A$1800,$A136,الريسبي!$B$2:$B$1800,CE$1)</f>
        <v>0</v>
      </c>
      <c r="CF136" s="115" t="n">
        <f aca="false">SUMIFS(الريسبي!$C$2:$C$1800,الريسبي!$A$2:$A$1800,$A136,الريسبي!$B$2:$B$1800,CF$1)</f>
        <v>0</v>
      </c>
      <c r="CG136" s="115" t="n">
        <f aca="false">SUMIFS(الريسبي!$C$2:$C$1800,الريسبي!$A$2:$A$1800,$A136,الريسبي!$B$2:$B$1800,CG$1)</f>
        <v>0</v>
      </c>
      <c r="CH136" s="115" t="n">
        <f aca="false">SUMIFS(الريسبي!$C$2:$C$1800,الريسبي!$A$2:$A$1800,$A136,الريسبي!$B$2:$B$1800,CH$1)</f>
        <v>0</v>
      </c>
    </row>
    <row r="137" customFormat="false" ht="15" hidden="false" customHeight="false" outlineLevel="0" collapsed="false">
      <c r="A137" s="114" t="str">
        <f aca="false">المنيو!B137</f>
        <v>اضافة جبنة رومي (فطير كبير)</v>
      </c>
      <c r="B137" s="115" t="n">
        <f aca="false">SUMIFS(الريسبي!$C$2:$C$1800,الريسبي!$A$2:$A$1800,$A137,الريسبي!$B$2:$B$1800,B$1)</f>
        <v>0</v>
      </c>
      <c r="C137" s="115" t="n">
        <f aca="false">SUMIFS(الريسبي!$C$2:$C$1800,الريسبي!$A$2:$A$1800,$A137,الريسبي!$B$2:$B$1800,C$1)</f>
        <v>0</v>
      </c>
      <c r="D137" s="115" t="n">
        <f aca="false">SUMIFS(الريسبي!$C$2:$C$1800,الريسبي!$A$2:$A$1800,$A137,الريسبي!$B$2:$B$1800,D$1)</f>
        <v>0</v>
      </c>
      <c r="E137" s="115" t="n">
        <f aca="false">SUMIFS(الريسبي!$C$2:$C$1800,الريسبي!$A$2:$A$1800,$A137,الريسبي!$B$2:$B$1800,E$1)</f>
        <v>0</v>
      </c>
      <c r="F137" s="115" t="n">
        <f aca="false">SUMIFS(الريسبي!$C$2:$C$1800,الريسبي!$A$2:$A$1800,$A137,الريسبي!$B$2:$B$1800,F$1)</f>
        <v>0</v>
      </c>
      <c r="G137" s="115" t="n">
        <f aca="false">SUMIFS(الريسبي!$C$2:$C$1800,الريسبي!$A$2:$A$1800,$A137,الريسبي!$B$2:$B$1800,G$1)</f>
        <v>0</v>
      </c>
      <c r="H137" s="115" t="n">
        <f aca="false">SUMIFS(الريسبي!$C$2:$C$1800,الريسبي!$A$2:$A$1800,$A137,الريسبي!$B$2:$B$1800,H$1)</f>
        <v>0</v>
      </c>
      <c r="I137" s="115" t="n">
        <f aca="false">SUMIFS(الريسبي!$C$2:$C$1800,الريسبي!$A$2:$A$1800,$A137,الريسبي!$B$2:$B$1800,I$1)</f>
        <v>0</v>
      </c>
      <c r="J137" s="115" t="n">
        <f aca="false">SUMIFS(الريسبي!$C$2:$C$1800,الريسبي!$A$2:$A$1800,$A137,الريسبي!$B$2:$B$1800,J$1)</f>
        <v>1.5</v>
      </c>
      <c r="K137" s="115" t="n">
        <f aca="false">SUMIFS(الريسبي!$C$2:$C$1800,الريسبي!$A$2:$A$1800,$A137,الريسبي!$B$2:$B$1800,K$1)</f>
        <v>0</v>
      </c>
      <c r="L137" s="115" t="n">
        <f aca="false">SUMIFS(الريسبي!$C$2:$C$1800,الريسبي!$A$2:$A$1800,$A137,الريسبي!$B$2:$B$1800,L$1)</f>
        <v>0</v>
      </c>
      <c r="M137" s="115" t="n">
        <f aca="false">SUMIFS(الريسبي!$C$2:$C$1800,الريسبي!$A$2:$A$1800,$A137,الريسبي!$B$2:$B$1800,M$1)</f>
        <v>0</v>
      </c>
      <c r="N137" s="115" t="n">
        <f aca="false">SUMIFS(الريسبي!$C$2:$C$1800,الريسبي!$A$2:$A$1800,$A137,الريسبي!$B$2:$B$1800,N$1)</f>
        <v>0</v>
      </c>
      <c r="O137" s="115" t="n">
        <f aca="false">SUMIFS(الريسبي!$C$2:$C$1800,الريسبي!$A$2:$A$1800,$A137,الريسبي!$B$2:$B$1800,O$1)</f>
        <v>0</v>
      </c>
      <c r="P137" s="115" t="n">
        <f aca="false">SUMIFS(الريسبي!$C$2:$C$1800,الريسبي!$A$2:$A$1800,$A137,الريسبي!$B$2:$B$1800,P$1)</f>
        <v>0</v>
      </c>
      <c r="Q137" s="115" t="n">
        <f aca="false">SUMIFS(الريسبي!$C$2:$C$1800,الريسبي!$A$2:$A$1800,$A137,الريسبي!$B$2:$B$1800,Q$1)</f>
        <v>0</v>
      </c>
      <c r="R137" s="115" t="n">
        <f aca="false">SUMIFS(الريسبي!$C$2:$C$1800,الريسبي!$A$2:$A$1800,$A137,الريسبي!$B$2:$B$1800,R$1)</f>
        <v>0</v>
      </c>
      <c r="S137" s="115" t="n">
        <f aca="false">SUMIFS(الريسبي!$C$2:$C$1800,الريسبي!$A$2:$A$1800,$A137,الريسبي!$B$2:$B$1800,S$1)</f>
        <v>0</v>
      </c>
      <c r="T137" s="115" t="n">
        <f aca="false">SUMIFS(الريسبي!$C$2:$C$1800,الريسبي!$A$2:$A$1800,$A137,الريسبي!$B$2:$B$1800,T$1)</f>
        <v>0</v>
      </c>
      <c r="U137" s="115" t="n">
        <f aca="false">SUMIFS(الريسبي!$C$2:$C$1800,الريسبي!$A$2:$A$1800,$A137,الريسبي!$B$2:$B$1800,U$1)</f>
        <v>0</v>
      </c>
      <c r="V137" s="115" t="n">
        <f aca="false">SUMIFS(الريسبي!$C$2:$C$1800,الريسبي!$A$2:$A$1800,$A137,الريسبي!$B$2:$B$1800,V$1)</f>
        <v>0</v>
      </c>
      <c r="W137" s="115" t="n">
        <f aca="false">SUMIFS(الريسبي!$C$2:$C$1800,الريسبي!$A$2:$A$1800,$A137,الريسبي!$B$2:$B$1800,W$1)</f>
        <v>0</v>
      </c>
      <c r="X137" s="115" t="n">
        <f aca="false">SUMIFS(الريسبي!$C$2:$C$1800,الريسبي!$A$2:$A$1800,$A137,الريسبي!$B$2:$B$1800,X$1)</f>
        <v>0</v>
      </c>
      <c r="Y137" s="115" t="n">
        <f aca="false">SUMIFS(الريسبي!$C$2:$C$1800,الريسبي!$A$2:$A$1800,$A137,الريسبي!$B$2:$B$1800,Y$1)</f>
        <v>0</v>
      </c>
      <c r="Z137" s="115" t="n">
        <f aca="false">SUMIFS(الريسبي!$C$2:$C$1800,الريسبي!$A$2:$A$1800,$A137,الريسبي!$B$2:$B$1800,Z$1)</f>
        <v>0</v>
      </c>
      <c r="AA137" s="115" t="n">
        <f aca="false">SUMIFS(الريسبي!$C$2:$C$1800,الريسبي!$A$2:$A$1800,$A137,الريسبي!$B$2:$B$1800,AA$1)</f>
        <v>0</v>
      </c>
      <c r="AB137" s="115" t="n">
        <f aca="false">SUMIFS(الريسبي!$C$2:$C$1800,الريسبي!$A$2:$A$1800,$A137,الريسبي!$B$2:$B$1800,AB$1)</f>
        <v>0</v>
      </c>
      <c r="AC137" s="115" t="n">
        <f aca="false">SUMIFS(الريسبي!$C$2:$C$1800,الريسبي!$A$2:$A$1800,$A137,الريسبي!$B$2:$B$1800,AC$1)</f>
        <v>0</v>
      </c>
      <c r="AD137" s="115" t="n">
        <f aca="false">SUMIFS(الريسبي!$C$2:$C$1800,الريسبي!$A$2:$A$1800,$A137,الريسبي!$B$2:$B$1800,AD$1)</f>
        <v>0</v>
      </c>
      <c r="AE137" s="115" t="n">
        <f aca="false">SUMIFS(الريسبي!$C$2:$C$1800,الريسبي!$A$2:$A$1800,$A137,الريسبي!$B$2:$B$1800,AE$1)</f>
        <v>0</v>
      </c>
      <c r="AF137" s="115" t="n">
        <f aca="false">SUMIFS(الريسبي!$C$2:$C$1800,الريسبي!$A$2:$A$1800,$A137,الريسبي!$B$2:$B$1800,AF$1)</f>
        <v>0</v>
      </c>
      <c r="AG137" s="115" t="n">
        <f aca="false">SUMIFS(الريسبي!$C$2:$C$1800,الريسبي!$A$2:$A$1800,$A137,الريسبي!$B$2:$B$1800,AG$1)</f>
        <v>0</v>
      </c>
      <c r="AH137" s="115" t="n">
        <f aca="false">SUMIFS(الريسبي!$C$2:$C$1800,الريسبي!$A$2:$A$1800,$A137,الريسبي!$B$2:$B$1800,AH$1)</f>
        <v>0</v>
      </c>
      <c r="AI137" s="115" t="n">
        <f aca="false">SUMIFS(الريسبي!$C$2:$C$1800,الريسبي!$A$2:$A$1800,$A137,الريسبي!$B$2:$B$1800,AI$1)</f>
        <v>0</v>
      </c>
      <c r="AJ137" s="115" t="n">
        <f aca="false">SUMIFS(الريسبي!$C$2:$C$1800,الريسبي!$A$2:$A$1800,$A137,الريسبي!$B$2:$B$1800,AJ$1)</f>
        <v>0</v>
      </c>
      <c r="AK137" s="115" t="n">
        <f aca="false">SUMIFS(الريسبي!$C$2:$C$1800,الريسبي!$A$2:$A$1800,$A137,الريسبي!$B$2:$B$1800,AK$1)</f>
        <v>0</v>
      </c>
      <c r="AL137" s="115" t="n">
        <f aca="false">SUMIFS(الريسبي!$C$2:$C$1800,الريسبي!$A$2:$A$1800,$A137,الريسبي!$B$2:$B$1800,AL$1)</f>
        <v>0</v>
      </c>
      <c r="AM137" s="115"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15"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15" t="n">
        <f aca="false">SUMIFS(الريسبي!$C$2:$C$1800,الريسبي!$A$2:$A$1800,$A137,الريسبي!$B$2:$B$1800,AO$1)</f>
        <v>0</v>
      </c>
      <c r="AP137" s="115" t="n">
        <f aca="false">SUMIFS(الريسبي!$C$2:$C$1800,الريسبي!$A$2:$A$1800,$A137,الريسبي!$B$2:$B$1800,AP$1)</f>
        <v>0</v>
      </c>
      <c r="AQ137" s="115"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15" t="n">
        <f aca="false">SUMIFS(الريسبي!$C$2:$C$1800,الريسبي!$A$2:$A$1800,$A137,الريسبي!$B$2:$B$1800,AR$1)</f>
        <v>0</v>
      </c>
      <c r="AS137" s="115" t="n">
        <f aca="false">SUMIFS(الريسبي!$C$2:$C$1800,الريسبي!$A$2:$A$1800,$A137,الريسبي!$B$2:$B$1800,AS$1)</f>
        <v>0</v>
      </c>
      <c r="AT137" s="115" t="n">
        <f aca="false">SUMIFS(الريسبي!$C$2:$C$1800,الريسبي!$A$2:$A$1800,$A137,الريسبي!$B$2:$B$1800,AT$1)</f>
        <v>0</v>
      </c>
      <c r="AU137" s="115" t="n">
        <f aca="false">SUMIFS(الريسبي!$C$2:$C$1800,الريسبي!$A$2:$A$1800,$A137,الريسبي!$B$2:$B$1800,AU$1)</f>
        <v>0</v>
      </c>
      <c r="AV137" s="115" t="n">
        <f aca="false">SUMIFS(الريسبي!$C$2:$C$1800,الريسبي!$A$2:$A$1800,$A137,الريسبي!$B$2:$B$1800,AV$1)</f>
        <v>0</v>
      </c>
      <c r="AW137" s="115" t="n">
        <f aca="false">SUMIFS(الريسبي!$C$2:$C$1800,الريسبي!$A$2:$A$1800,$A137,الريسبي!$B$2:$B$1800,AW$1)</f>
        <v>0</v>
      </c>
      <c r="AX137" s="115" t="n">
        <f aca="false">SUMIFS(الريسبي!$C$2:$C$1800,الريسبي!$A$2:$A$1800,$A137,الريسبي!$B$2:$B$1800,AX$1)</f>
        <v>0</v>
      </c>
      <c r="AY137" s="115" t="n">
        <f aca="false">SUMIFS(الريسبي!$C$2:$C$1800,الريسبي!$A$2:$A$1800,$A137,الريسبي!$B$2:$B$1800,AY$1)</f>
        <v>0</v>
      </c>
      <c r="AZ137" s="115" t="n">
        <f aca="false">SUMIFS(الريسبي!$C$2:$C$1800,الريسبي!$A$2:$A$1800,$A137,الريسبي!$B$2:$B$1800,AZ$1)</f>
        <v>0</v>
      </c>
      <c r="BA137" s="115" t="n">
        <f aca="false">SUMIFS(الريسبي!$C$2:$C$1800,الريسبي!$A$2:$A$1800,$A137,الريسبي!$B$2:$B$1800,BA$1)</f>
        <v>0</v>
      </c>
      <c r="BB137" s="115" t="n">
        <f aca="false">SUMIFS(الريسبي!$C$2:$C$1800,الريسبي!$A$2:$A$1800,$A137,الريسبي!$B$2:$B$1800,BB$1)</f>
        <v>0</v>
      </c>
      <c r="BC137" s="115" t="n">
        <f aca="false">SUMIFS(الريسبي!$C$2:$C$1800,الريسبي!$A$2:$A$1800,$A137,الريسبي!$B$2:$B$1800,BC$1)</f>
        <v>0</v>
      </c>
      <c r="BD137" s="115" t="n">
        <f aca="false">SUMIFS(الريسبي!$C$2:$C$1800,الريسبي!$A$2:$A$1800,$A137,الريسبي!$B$2:$B$1800,BD$1)</f>
        <v>0</v>
      </c>
      <c r="BE137" s="115" t="n">
        <f aca="false">SUMIFS(الريسبي!$C$2:$C$1800,الريسبي!$A$2:$A$1800,$A137,الريسبي!$B$2:$B$1800,BE$1)</f>
        <v>0</v>
      </c>
      <c r="BF137" s="115" t="n">
        <f aca="false">SUMIFS(الريسبي!$C$2:$C$1800,الريسبي!$A$2:$A$1800,$A137,الريسبي!$B$2:$B$1800,BF$1)</f>
        <v>0</v>
      </c>
      <c r="BG137" s="115" t="n">
        <f aca="false">SUMIFS(الريسبي!$C$2:$C$1800,الريسبي!$A$2:$A$1800,$A137,الريسبي!$B$2:$B$1800,BG$1)</f>
        <v>0</v>
      </c>
      <c r="BH137" s="115" t="n">
        <f aca="false">SUMIFS(الريسبي!$C$2:$C$1800,الريسبي!$A$2:$A$1800,$A137,الريسبي!$B$2:$B$1800,BH$1)</f>
        <v>0</v>
      </c>
      <c r="BI137" s="115" t="n">
        <f aca="false">SUMIFS(الريسبي!$C$2:$C$1800,الريسبي!$A$2:$A$1800,$A137,الريسبي!$B$2:$B$1800,BI$1)</f>
        <v>0</v>
      </c>
      <c r="BJ137" s="115" t="n">
        <f aca="false">SUMIFS(الريسبي!$C$2:$C$1800,الريسبي!$A$2:$A$1800,$A137,الريسبي!$B$2:$B$1800,BJ$1)</f>
        <v>0</v>
      </c>
      <c r="BK137" s="115" t="n">
        <f aca="false">SUMIFS(الريسبي!$C$2:$C$1800,الريسبي!$A$2:$A$1800,$A137,الريسبي!$B$2:$B$1800,BK$1)</f>
        <v>0</v>
      </c>
      <c r="BL137" s="115" t="n">
        <f aca="false">SUMIFS(الريسبي!$C$2:$C$1800,الريسبي!$A$2:$A$1800,$A137,الريسبي!$B$2:$B$1800,BL$1)</f>
        <v>0</v>
      </c>
      <c r="BM137" s="115" t="n">
        <f aca="false">SUMIFS(الريسبي!$C$2:$C$1800,الريسبي!$A$2:$A$1800,$A137,الريسبي!$B$2:$B$1800,BM$1)</f>
        <v>0</v>
      </c>
      <c r="BN137" s="115" t="n">
        <f aca="false">SUMIFS(الريسبي!$C$2:$C$1800,الريسبي!$A$2:$A$1800,$A137,الريسبي!$B$2:$B$1800,BN$1)</f>
        <v>0</v>
      </c>
      <c r="BO137" s="115" t="n">
        <f aca="false">SUMIFS(الريسبي!$C$2:$C$1800,الريسبي!$A$2:$A$1800,$A137,الريسبي!$B$2:$B$1800,BO$1)</f>
        <v>0</v>
      </c>
      <c r="BP137" s="115" t="n">
        <f aca="false">SUMIFS(الريسبي!$C$2:$C$1800,الريسبي!$A$2:$A$1800,$A137,الريسبي!$B$2:$B$1800,BP$1)</f>
        <v>0</v>
      </c>
      <c r="BQ137" s="115"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15" t="n">
        <f aca="false">SUMIFS(الريسبي!$C$2:$C$1800,الريسبي!$A$2:$A$1800,$A137,الريسبي!$B$2:$B$1800,BR$1)</f>
        <v>0</v>
      </c>
      <c r="BS137" s="115" t="n">
        <f aca="false">SUMIFS(الريسبي!$C$2:$C$1800,الريسبي!$A$2:$A$1800,$A137,الريسبي!$B$2:$B$1800,BS$1)</f>
        <v>0</v>
      </c>
      <c r="BT137" s="115" t="n">
        <f aca="false">SUMIFS(الريسبي!$C$2:$C$1800,الريسبي!$A$2:$A$1800,$A137,الريسبي!$B$2:$B$1800,BT$1)</f>
        <v>0</v>
      </c>
      <c r="BU137" s="115"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15" t="n">
        <f aca="false">SUMIFS(الريسبي!$C$2:$C$1800,الريسبي!$A$2:$A$1800,$A137,الريسبي!$B$2:$B$1800,BV$1)</f>
        <v>0</v>
      </c>
      <c r="BW137" s="115" t="n">
        <f aca="false">SUMIFS(الريسبي!$C$2:$C$1800,الريسبي!$A$2:$A$1800,$A137,الريسبي!$B$2:$B$1800,BW$1)</f>
        <v>0</v>
      </c>
      <c r="BX137" s="115" t="n">
        <f aca="false">SUMIFS(الريسبي!$C$2:$C$1800,الريسبي!$A$2:$A$1800,$A137,الريسبي!$B$2:$B$1800,BX$1)</f>
        <v>0</v>
      </c>
      <c r="BY137" s="115" t="n">
        <f aca="false">SUMIFS(الريسبي!$C$2:$C$1800,الريسبي!$A$2:$A$1800,$A137,الريسبي!$B$2:$B$1800,BY$1)</f>
        <v>0</v>
      </c>
      <c r="BZ137" s="115" t="n">
        <f aca="false">SUMIFS(الريسبي!$C$2:$C$1800,الريسبي!$A$2:$A$1800,$A137,الريسبي!$B$2:$B$1800,BZ$1)</f>
        <v>0</v>
      </c>
      <c r="CA137" s="115" t="n">
        <f aca="false">SUMIFS(الريسبي!$C$2:$C$1800,الريسبي!$A$2:$A$1800,$A137,الريسبي!$B$2:$B$1800,CA$1)</f>
        <v>0</v>
      </c>
      <c r="CB137" s="115" t="n">
        <f aca="false">SUMIFS(الريسبي!$C$2:$C$1800,الريسبي!$A$2:$A$1800,$A137,الريسبي!$B$2:$B$1800,CB$1)</f>
        <v>0</v>
      </c>
      <c r="CC137" s="115" t="n">
        <f aca="false">SUMIFS(الريسبي!$C$2:$C$1800,الريسبي!$A$2:$A$1800,$A137,الريسبي!$B$2:$B$1800,CC$1)</f>
        <v>0</v>
      </c>
      <c r="CD137" s="115" t="n">
        <f aca="false">SUMIFS(الريسبي!$C$2:$C$1800,الريسبي!$A$2:$A$1800,$A137,الريسبي!$B$2:$B$1800,CD$1)</f>
        <v>0</v>
      </c>
      <c r="CE137" s="115" t="n">
        <f aca="false">SUMIFS(الريسبي!$C$2:$C$1800,الريسبي!$A$2:$A$1800,$A137,الريسبي!$B$2:$B$1800,CE$1)</f>
        <v>0</v>
      </c>
      <c r="CF137" s="115" t="n">
        <f aca="false">SUMIFS(الريسبي!$C$2:$C$1800,الريسبي!$A$2:$A$1800,$A137,الريسبي!$B$2:$B$1800,CF$1)</f>
        <v>0</v>
      </c>
      <c r="CG137" s="115" t="n">
        <f aca="false">SUMIFS(الريسبي!$C$2:$C$1800,الريسبي!$A$2:$A$1800,$A137,الريسبي!$B$2:$B$1800,CG$1)</f>
        <v>0</v>
      </c>
      <c r="CH137" s="115" t="n">
        <f aca="false">SUMIFS(الريسبي!$C$2:$C$1800,الريسبي!$A$2:$A$1800,$A137,الريسبي!$B$2:$B$1800,CH$1)</f>
        <v>0</v>
      </c>
    </row>
    <row r="138" customFormat="false" ht="15" hidden="false" customHeight="false" outlineLevel="0" collapsed="false">
      <c r="A138" s="114" t="str">
        <f aca="false">المنيو!B138</f>
        <v>اضافة مكسرات (وسط)</v>
      </c>
      <c r="B138" s="115" t="n">
        <f aca="false">SUMIFS(الريسبي!$C$2:$C$1800,الريسبي!$A$2:$A$1800,$A138,الريسبي!$B$2:$B$1800,B$1)</f>
        <v>0</v>
      </c>
      <c r="C138" s="115" t="n">
        <f aca="false">SUMIFS(الريسبي!$C$2:$C$1800,الريسبي!$A$2:$A$1800,$A138,الريسبي!$B$2:$B$1800,C$1)</f>
        <v>0</v>
      </c>
      <c r="D138" s="115" t="n">
        <f aca="false">SUMIFS(الريسبي!$C$2:$C$1800,الريسبي!$A$2:$A$1800,$A138,الريسبي!$B$2:$B$1800,D$1)</f>
        <v>0</v>
      </c>
      <c r="E138" s="115" t="n">
        <f aca="false">SUMIFS(الريسبي!$C$2:$C$1800,الريسبي!$A$2:$A$1800,$A138,الريسبي!$B$2:$B$1800,E$1)</f>
        <v>0</v>
      </c>
      <c r="F138" s="115" t="n">
        <f aca="false">SUMIFS(الريسبي!$C$2:$C$1800,الريسبي!$A$2:$A$1800,$A138,الريسبي!$B$2:$B$1800,F$1)</f>
        <v>0</v>
      </c>
      <c r="G138" s="115" t="n">
        <f aca="false">SUMIFS(الريسبي!$C$2:$C$1800,الريسبي!$A$2:$A$1800,$A138,الريسبي!$B$2:$B$1800,G$1)</f>
        <v>0</v>
      </c>
      <c r="H138" s="115" t="n">
        <f aca="false">SUMIFS(الريسبي!$C$2:$C$1800,الريسبي!$A$2:$A$1800,$A138,الريسبي!$B$2:$B$1800,H$1)</f>
        <v>0</v>
      </c>
      <c r="I138" s="115" t="n">
        <f aca="false">SUMIFS(الريسبي!$C$2:$C$1800,الريسبي!$A$2:$A$1800,$A138,الريسبي!$B$2:$B$1800,I$1)</f>
        <v>0</v>
      </c>
      <c r="J138" s="115" t="n">
        <f aca="false">SUMIFS(الريسبي!$C$2:$C$1800,الريسبي!$A$2:$A$1800,$A138,الريسبي!$B$2:$B$1800,J$1)</f>
        <v>0</v>
      </c>
      <c r="K138" s="115" t="n">
        <f aca="false">SUMIFS(الريسبي!$C$2:$C$1800,الريسبي!$A$2:$A$1800,$A138,الريسبي!$B$2:$B$1800,K$1)</f>
        <v>0</v>
      </c>
      <c r="L138" s="115" t="n">
        <f aca="false">SUMIFS(الريسبي!$C$2:$C$1800,الريسبي!$A$2:$A$1800,$A138,الريسبي!$B$2:$B$1800,L$1)</f>
        <v>0</v>
      </c>
      <c r="M138" s="115" t="n">
        <f aca="false">SUMIFS(الريسبي!$C$2:$C$1800,الريسبي!$A$2:$A$1800,$A138,الريسبي!$B$2:$B$1800,M$1)</f>
        <v>0</v>
      </c>
      <c r="N138" s="115" t="n">
        <f aca="false">SUMIFS(الريسبي!$C$2:$C$1800,الريسبي!$A$2:$A$1800,$A138,الريسبي!$B$2:$B$1800,N$1)</f>
        <v>0</v>
      </c>
      <c r="O138" s="115" t="n">
        <f aca="false">SUMIFS(الريسبي!$C$2:$C$1800,الريسبي!$A$2:$A$1800,$A138,الريسبي!$B$2:$B$1800,O$1)</f>
        <v>0</v>
      </c>
      <c r="P138" s="115" t="n">
        <f aca="false">SUMIFS(الريسبي!$C$2:$C$1800,الريسبي!$A$2:$A$1800,$A138,الريسبي!$B$2:$B$1800,P$1)</f>
        <v>0</v>
      </c>
      <c r="Q138" s="115" t="n">
        <f aca="false">SUMIFS(الريسبي!$C$2:$C$1800,الريسبي!$A$2:$A$1800,$A138,الريسبي!$B$2:$B$1800,Q$1)</f>
        <v>0</v>
      </c>
      <c r="R138" s="115" t="n">
        <f aca="false">SUMIFS(الريسبي!$C$2:$C$1800,الريسبي!$A$2:$A$1800,$A138,الريسبي!$B$2:$B$1800,R$1)</f>
        <v>0</v>
      </c>
      <c r="S138" s="115" t="n">
        <f aca="false">SUMIFS(الريسبي!$C$2:$C$1800,الريسبي!$A$2:$A$1800,$A138,الريسبي!$B$2:$B$1800,S$1)</f>
        <v>0</v>
      </c>
      <c r="T138" s="115" t="n">
        <f aca="false">SUMIFS(الريسبي!$C$2:$C$1800,الريسبي!$A$2:$A$1800,$A138,الريسبي!$B$2:$B$1800,T$1)</f>
        <v>0</v>
      </c>
      <c r="U138" s="115" t="n">
        <f aca="false">SUMIFS(الريسبي!$C$2:$C$1800,الريسبي!$A$2:$A$1800,$A138,الريسبي!$B$2:$B$1800,U$1)</f>
        <v>1</v>
      </c>
      <c r="V138" s="115" t="n">
        <f aca="false">SUMIFS(الريسبي!$C$2:$C$1800,الريسبي!$A$2:$A$1800,$A138,الريسبي!$B$2:$B$1800,V$1)</f>
        <v>0</v>
      </c>
      <c r="W138" s="115" t="n">
        <f aca="false">SUMIFS(الريسبي!$C$2:$C$1800,الريسبي!$A$2:$A$1800,$A138,الريسبي!$B$2:$B$1800,W$1)</f>
        <v>0</v>
      </c>
      <c r="X138" s="115" t="n">
        <f aca="false">SUMIFS(الريسبي!$C$2:$C$1800,الريسبي!$A$2:$A$1800,$A138,الريسبي!$B$2:$B$1800,X$1)</f>
        <v>0</v>
      </c>
      <c r="Y138" s="115" t="n">
        <f aca="false">SUMIFS(الريسبي!$C$2:$C$1800,الريسبي!$A$2:$A$1800,$A138,الريسبي!$B$2:$B$1800,Y$1)</f>
        <v>0</v>
      </c>
      <c r="Z138" s="115" t="n">
        <f aca="false">SUMIFS(الريسبي!$C$2:$C$1800,الريسبي!$A$2:$A$1800,$A138,الريسبي!$B$2:$B$1800,Z$1)</f>
        <v>0</v>
      </c>
      <c r="AA138" s="115" t="n">
        <f aca="false">SUMIFS(الريسبي!$C$2:$C$1800,الريسبي!$A$2:$A$1800,$A138,الريسبي!$B$2:$B$1800,AA$1)</f>
        <v>0</v>
      </c>
      <c r="AB138" s="115" t="n">
        <f aca="false">SUMIFS(الريسبي!$C$2:$C$1800,الريسبي!$A$2:$A$1800,$A138,الريسبي!$B$2:$B$1800,AB$1)</f>
        <v>0</v>
      </c>
      <c r="AC138" s="115" t="n">
        <f aca="false">SUMIFS(الريسبي!$C$2:$C$1800,الريسبي!$A$2:$A$1800,$A138,الريسبي!$B$2:$B$1800,AC$1)</f>
        <v>0</v>
      </c>
      <c r="AD138" s="115" t="n">
        <f aca="false">SUMIFS(الريسبي!$C$2:$C$1800,الريسبي!$A$2:$A$1800,$A138,الريسبي!$B$2:$B$1800,AD$1)</f>
        <v>0</v>
      </c>
      <c r="AE138" s="115" t="n">
        <f aca="false">SUMIFS(الريسبي!$C$2:$C$1800,الريسبي!$A$2:$A$1800,$A138,الريسبي!$B$2:$B$1800,AE$1)</f>
        <v>0</v>
      </c>
      <c r="AF138" s="115" t="n">
        <f aca="false">SUMIFS(الريسبي!$C$2:$C$1800,الريسبي!$A$2:$A$1800,$A138,الريسبي!$B$2:$B$1800,AF$1)</f>
        <v>0</v>
      </c>
      <c r="AG138" s="115" t="n">
        <f aca="false">SUMIFS(الريسبي!$C$2:$C$1800,الريسبي!$A$2:$A$1800,$A138,الريسبي!$B$2:$B$1800,AG$1)</f>
        <v>0</v>
      </c>
      <c r="AH138" s="115" t="n">
        <f aca="false">SUMIFS(الريسبي!$C$2:$C$1800,الريسبي!$A$2:$A$1800,$A138,الريسبي!$B$2:$B$1800,AH$1)</f>
        <v>0</v>
      </c>
      <c r="AI138" s="115" t="n">
        <f aca="false">SUMIFS(الريسبي!$C$2:$C$1800,الريسبي!$A$2:$A$1800,$A138,الريسبي!$B$2:$B$1800,AI$1)</f>
        <v>0</v>
      </c>
      <c r="AJ138" s="115" t="n">
        <f aca="false">SUMIFS(الريسبي!$C$2:$C$1800,الريسبي!$A$2:$A$1800,$A138,الريسبي!$B$2:$B$1800,AJ$1)</f>
        <v>0</v>
      </c>
      <c r="AK138" s="115" t="n">
        <f aca="false">SUMIFS(الريسبي!$C$2:$C$1800,الريسبي!$A$2:$A$1800,$A138,الريسبي!$B$2:$B$1800,AK$1)</f>
        <v>0</v>
      </c>
      <c r="AL138" s="115" t="n">
        <f aca="false">SUMIFS(الريسبي!$C$2:$C$1800,الريسبي!$A$2:$A$1800,$A138,الريسبي!$B$2:$B$1800,AL$1)</f>
        <v>0</v>
      </c>
      <c r="AM138" s="115"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15"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15" t="n">
        <f aca="false">SUMIFS(الريسبي!$C$2:$C$1800,الريسبي!$A$2:$A$1800,$A138,الريسبي!$B$2:$B$1800,AO$1)</f>
        <v>0</v>
      </c>
      <c r="AP138" s="115" t="n">
        <f aca="false">SUMIFS(الريسبي!$C$2:$C$1800,الريسبي!$A$2:$A$1800,$A138,الريسبي!$B$2:$B$1800,AP$1)</f>
        <v>0</v>
      </c>
      <c r="AQ138" s="115"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15" t="n">
        <f aca="false">SUMIFS(الريسبي!$C$2:$C$1800,الريسبي!$A$2:$A$1800,$A138,الريسبي!$B$2:$B$1800,AR$1)</f>
        <v>0</v>
      </c>
      <c r="AS138" s="115" t="n">
        <f aca="false">SUMIFS(الريسبي!$C$2:$C$1800,الريسبي!$A$2:$A$1800,$A138,الريسبي!$B$2:$B$1800,AS$1)</f>
        <v>0</v>
      </c>
      <c r="AT138" s="115" t="n">
        <f aca="false">SUMIFS(الريسبي!$C$2:$C$1800,الريسبي!$A$2:$A$1800,$A138,الريسبي!$B$2:$B$1800,AT$1)</f>
        <v>0</v>
      </c>
      <c r="AU138" s="115" t="n">
        <f aca="false">SUMIFS(الريسبي!$C$2:$C$1800,الريسبي!$A$2:$A$1800,$A138,الريسبي!$B$2:$B$1800,AU$1)</f>
        <v>0</v>
      </c>
      <c r="AV138" s="115" t="n">
        <f aca="false">SUMIFS(الريسبي!$C$2:$C$1800,الريسبي!$A$2:$A$1800,$A138,الريسبي!$B$2:$B$1800,AV$1)</f>
        <v>0</v>
      </c>
      <c r="AW138" s="115" t="n">
        <f aca="false">SUMIFS(الريسبي!$C$2:$C$1800,الريسبي!$A$2:$A$1800,$A138,الريسبي!$B$2:$B$1800,AW$1)</f>
        <v>0</v>
      </c>
      <c r="AX138" s="115" t="n">
        <f aca="false">SUMIFS(الريسبي!$C$2:$C$1800,الريسبي!$A$2:$A$1800,$A138,الريسبي!$B$2:$B$1800,AX$1)</f>
        <v>0</v>
      </c>
      <c r="AY138" s="115" t="n">
        <f aca="false">SUMIFS(الريسبي!$C$2:$C$1800,الريسبي!$A$2:$A$1800,$A138,الريسبي!$B$2:$B$1800,AY$1)</f>
        <v>0</v>
      </c>
      <c r="AZ138" s="115" t="n">
        <f aca="false">SUMIFS(الريسبي!$C$2:$C$1800,الريسبي!$A$2:$A$1800,$A138,الريسبي!$B$2:$B$1800,AZ$1)</f>
        <v>0</v>
      </c>
      <c r="BA138" s="115" t="n">
        <f aca="false">SUMIFS(الريسبي!$C$2:$C$1800,الريسبي!$A$2:$A$1800,$A138,الريسبي!$B$2:$B$1800,BA$1)</f>
        <v>0</v>
      </c>
      <c r="BB138" s="115" t="n">
        <f aca="false">SUMIFS(الريسبي!$C$2:$C$1800,الريسبي!$A$2:$A$1800,$A138,الريسبي!$B$2:$B$1800,BB$1)</f>
        <v>0</v>
      </c>
      <c r="BC138" s="115" t="n">
        <f aca="false">SUMIFS(الريسبي!$C$2:$C$1800,الريسبي!$A$2:$A$1800,$A138,الريسبي!$B$2:$B$1800,BC$1)</f>
        <v>0</v>
      </c>
      <c r="BD138" s="115" t="n">
        <f aca="false">SUMIFS(الريسبي!$C$2:$C$1800,الريسبي!$A$2:$A$1800,$A138,الريسبي!$B$2:$B$1800,BD$1)</f>
        <v>0</v>
      </c>
      <c r="BE138" s="115" t="n">
        <f aca="false">SUMIFS(الريسبي!$C$2:$C$1800,الريسبي!$A$2:$A$1800,$A138,الريسبي!$B$2:$B$1800,BE$1)</f>
        <v>0</v>
      </c>
      <c r="BF138" s="115" t="n">
        <f aca="false">SUMIFS(الريسبي!$C$2:$C$1800,الريسبي!$A$2:$A$1800,$A138,الريسبي!$B$2:$B$1800,BF$1)</f>
        <v>0</v>
      </c>
      <c r="BG138" s="115" t="n">
        <f aca="false">SUMIFS(الريسبي!$C$2:$C$1800,الريسبي!$A$2:$A$1800,$A138,الريسبي!$B$2:$B$1800,BG$1)</f>
        <v>0</v>
      </c>
      <c r="BH138" s="115" t="n">
        <f aca="false">SUMIFS(الريسبي!$C$2:$C$1800,الريسبي!$A$2:$A$1800,$A138,الريسبي!$B$2:$B$1800,BH$1)</f>
        <v>0</v>
      </c>
      <c r="BI138" s="115" t="n">
        <f aca="false">SUMIFS(الريسبي!$C$2:$C$1800,الريسبي!$A$2:$A$1800,$A138,الريسبي!$B$2:$B$1800,BI$1)</f>
        <v>0</v>
      </c>
      <c r="BJ138" s="115" t="n">
        <f aca="false">SUMIFS(الريسبي!$C$2:$C$1800,الريسبي!$A$2:$A$1800,$A138,الريسبي!$B$2:$B$1800,BJ$1)</f>
        <v>0</v>
      </c>
      <c r="BK138" s="115" t="n">
        <f aca="false">SUMIFS(الريسبي!$C$2:$C$1800,الريسبي!$A$2:$A$1800,$A138,الريسبي!$B$2:$B$1800,BK$1)</f>
        <v>0</v>
      </c>
      <c r="BL138" s="115" t="n">
        <f aca="false">SUMIFS(الريسبي!$C$2:$C$1800,الريسبي!$A$2:$A$1800,$A138,الريسبي!$B$2:$B$1800,BL$1)</f>
        <v>0</v>
      </c>
      <c r="BM138" s="115" t="n">
        <f aca="false">SUMIFS(الريسبي!$C$2:$C$1800,الريسبي!$A$2:$A$1800,$A138,الريسبي!$B$2:$B$1800,BM$1)</f>
        <v>0</v>
      </c>
      <c r="BN138" s="115" t="n">
        <f aca="false">SUMIFS(الريسبي!$C$2:$C$1800,الريسبي!$A$2:$A$1800,$A138,الريسبي!$B$2:$B$1800,BN$1)</f>
        <v>0</v>
      </c>
      <c r="BO138" s="115" t="n">
        <f aca="false">SUMIFS(الريسبي!$C$2:$C$1800,الريسبي!$A$2:$A$1800,$A138,الريسبي!$B$2:$B$1800,BO$1)</f>
        <v>0</v>
      </c>
      <c r="BP138" s="115" t="n">
        <f aca="false">SUMIFS(الريسبي!$C$2:$C$1800,الريسبي!$A$2:$A$1800,$A138,الريسبي!$B$2:$B$1800,BP$1)</f>
        <v>0</v>
      </c>
      <c r="BQ138" s="115"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15" t="n">
        <f aca="false">SUMIFS(الريسبي!$C$2:$C$1800,الريسبي!$A$2:$A$1800,$A138,الريسبي!$B$2:$B$1800,BR$1)</f>
        <v>0</v>
      </c>
      <c r="BS138" s="115" t="n">
        <f aca="false">SUMIFS(الريسبي!$C$2:$C$1800,الريسبي!$A$2:$A$1800,$A138,الريسبي!$B$2:$B$1800,BS$1)</f>
        <v>0</v>
      </c>
      <c r="BT138" s="115" t="n">
        <f aca="false">SUMIFS(الريسبي!$C$2:$C$1800,الريسبي!$A$2:$A$1800,$A138,الريسبي!$B$2:$B$1800,BT$1)</f>
        <v>0</v>
      </c>
      <c r="BU138" s="115"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15" t="n">
        <f aca="false">SUMIFS(الريسبي!$C$2:$C$1800,الريسبي!$A$2:$A$1800,$A138,الريسبي!$B$2:$B$1800,BV$1)</f>
        <v>0</v>
      </c>
      <c r="BW138" s="115" t="n">
        <f aca="false">SUMIFS(الريسبي!$C$2:$C$1800,الريسبي!$A$2:$A$1800,$A138,الريسبي!$B$2:$B$1800,BW$1)</f>
        <v>0</v>
      </c>
      <c r="BX138" s="115" t="n">
        <f aca="false">SUMIFS(الريسبي!$C$2:$C$1800,الريسبي!$A$2:$A$1800,$A138,الريسبي!$B$2:$B$1800,BX$1)</f>
        <v>0</v>
      </c>
      <c r="BY138" s="115" t="n">
        <f aca="false">SUMIFS(الريسبي!$C$2:$C$1800,الريسبي!$A$2:$A$1800,$A138,الريسبي!$B$2:$B$1800,BY$1)</f>
        <v>0</v>
      </c>
      <c r="BZ138" s="115" t="n">
        <f aca="false">SUMIFS(الريسبي!$C$2:$C$1800,الريسبي!$A$2:$A$1800,$A138,الريسبي!$B$2:$B$1800,BZ$1)</f>
        <v>0</v>
      </c>
      <c r="CA138" s="115" t="n">
        <f aca="false">SUMIFS(الريسبي!$C$2:$C$1800,الريسبي!$A$2:$A$1800,$A138,الريسبي!$B$2:$B$1800,CA$1)</f>
        <v>0</v>
      </c>
      <c r="CB138" s="115" t="n">
        <f aca="false">SUMIFS(الريسبي!$C$2:$C$1800,الريسبي!$A$2:$A$1800,$A138,الريسبي!$B$2:$B$1800,CB$1)</f>
        <v>0</v>
      </c>
      <c r="CC138" s="115" t="n">
        <f aca="false">SUMIFS(الريسبي!$C$2:$C$1800,الريسبي!$A$2:$A$1800,$A138,الريسبي!$B$2:$B$1800,CC$1)</f>
        <v>0</v>
      </c>
      <c r="CD138" s="115" t="n">
        <f aca="false">SUMIFS(الريسبي!$C$2:$C$1800,الريسبي!$A$2:$A$1800,$A138,الريسبي!$B$2:$B$1800,CD$1)</f>
        <v>0</v>
      </c>
      <c r="CE138" s="115" t="n">
        <f aca="false">SUMIFS(الريسبي!$C$2:$C$1800,الريسبي!$A$2:$A$1800,$A138,الريسبي!$B$2:$B$1800,CE$1)</f>
        <v>0</v>
      </c>
      <c r="CF138" s="115" t="n">
        <f aca="false">SUMIFS(الريسبي!$C$2:$C$1800,الريسبي!$A$2:$A$1800,$A138,الريسبي!$B$2:$B$1800,CF$1)</f>
        <v>0</v>
      </c>
      <c r="CG138" s="115" t="n">
        <f aca="false">SUMIFS(الريسبي!$C$2:$C$1800,الريسبي!$A$2:$A$1800,$A138,الريسبي!$B$2:$B$1800,CG$1)</f>
        <v>0</v>
      </c>
      <c r="CH138" s="115" t="n">
        <f aca="false">SUMIFS(الريسبي!$C$2:$C$1800,الريسبي!$A$2:$A$1800,$A138,الريسبي!$B$2:$B$1800,CH$1)</f>
        <v>0</v>
      </c>
    </row>
    <row r="139" customFormat="false" ht="15" hidden="false" customHeight="false" outlineLevel="0" collapsed="false">
      <c r="A139" s="114" t="str">
        <f aca="false">المنيو!B139</f>
        <v>اضافة مكسرات (كبير)</v>
      </c>
      <c r="B139" s="115" t="n">
        <f aca="false">SUMIFS(الريسبي!$C$2:$C$1800,الريسبي!$A$2:$A$1800,$A139,الريسبي!$B$2:$B$1800,B$1)</f>
        <v>0</v>
      </c>
      <c r="C139" s="115" t="n">
        <f aca="false">SUMIFS(الريسبي!$C$2:$C$1800,الريسبي!$A$2:$A$1800,$A139,الريسبي!$B$2:$B$1800,C$1)</f>
        <v>0</v>
      </c>
      <c r="D139" s="115" t="n">
        <f aca="false">SUMIFS(الريسبي!$C$2:$C$1800,الريسبي!$A$2:$A$1800,$A139,الريسبي!$B$2:$B$1800,D$1)</f>
        <v>0</v>
      </c>
      <c r="E139" s="115" t="n">
        <f aca="false">SUMIFS(الريسبي!$C$2:$C$1800,الريسبي!$A$2:$A$1800,$A139,الريسبي!$B$2:$B$1800,E$1)</f>
        <v>0</v>
      </c>
      <c r="F139" s="115" t="n">
        <f aca="false">SUMIFS(الريسبي!$C$2:$C$1800,الريسبي!$A$2:$A$1800,$A139,الريسبي!$B$2:$B$1800,F$1)</f>
        <v>0</v>
      </c>
      <c r="G139" s="115" t="n">
        <f aca="false">SUMIFS(الريسبي!$C$2:$C$1800,الريسبي!$A$2:$A$1800,$A139,الريسبي!$B$2:$B$1800,G$1)</f>
        <v>0</v>
      </c>
      <c r="H139" s="115" t="n">
        <f aca="false">SUMIFS(الريسبي!$C$2:$C$1800,الريسبي!$A$2:$A$1800,$A139,الريسبي!$B$2:$B$1800,H$1)</f>
        <v>0</v>
      </c>
      <c r="I139" s="115" t="n">
        <f aca="false">SUMIFS(الريسبي!$C$2:$C$1800,الريسبي!$A$2:$A$1800,$A139,الريسبي!$B$2:$B$1800,I$1)</f>
        <v>0</v>
      </c>
      <c r="J139" s="115" t="n">
        <f aca="false">SUMIFS(الريسبي!$C$2:$C$1800,الريسبي!$A$2:$A$1800,$A139,الريسبي!$B$2:$B$1800,J$1)</f>
        <v>0</v>
      </c>
      <c r="K139" s="115" t="n">
        <f aca="false">SUMIFS(الريسبي!$C$2:$C$1800,الريسبي!$A$2:$A$1800,$A139,الريسبي!$B$2:$B$1800,K$1)</f>
        <v>0</v>
      </c>
      <c r="L139" s="115" t="n">
        <f aca="false">SUMIFS(الريسبي!$C$2:$C$1800,الريسبي!$A$2:$A$1800,$A139,الريسبي!$B$2:$B$1800,L$1)</f>
        <v>0</v>
      </c>
      <c r="M139" s="115" t="n">
        <f aca="false">SUMIFS(الريسبي!$C$2:$C$1800,الريسبي!$A$2:$A$1800,$A139,الريسبي!$B$2:$B$1800,M$1)</f>
        <v>0</v>
      </c>
      <c r="N139" s="115" t="n">
        <f aca="false">SUMIFS(الريسبي!$C$2:$C$1800,الريسبي!$A$2:$A$1800,$A139,الريسبي!$B$2:$B$1800,N$1)</f>
        <v>0</v>
      </c>
      <c r="O139" s="115" t="n">
        <f aca="false">SUMIFS(الريسبي!$C$2:$C$1800,الريسبي!$A$2:$A$1800,$A139,الريسبي!$B$2:$B$1800,O$1)</f>
        <v>0</v>
      </c>
      <c r="P139" s="115" t="n">
        <f aca="false">SUMIFS(الريسبي!$C$2:$C$1800,الريسبي!$A$2:$A$1800,$A139,الريسبي!$B$2:$B$1800,P$1)</f>
        <v>0</v>
      </c>
      <c r="Q139" s="115" t="n">
        <f aca="false">SUMIFS(الريسبي!$C$2:$C$1800,الريسبي!$A$2:$A$1800,$A139,الريسبي!$B$2:$B$1800,Q$1)</f>
        <v>0</v>
      </c>
      <c r="R139" s="115" t="n">
        <f aca="false">SUMIFS(الريسبي!$C$2:$C$1800,الريسبي!$A$2:$A$1800,$A139,الريسبي!$B$2:$B$1800,R$1)</f>
        <v>0</v>
      </c>
      <c r="S139" s="115" t="n">
        <f aca="false">SUMIFS(الريسبي!$C$2:$C$1800,الريسبي!$A$2:$A$1800,$A139,الريسبي!$B$2:$B$1800,S$1)</f>
        <v>0</v>
      </c>
      <c r="T139" s="115" t="n">
        <f aca="false">SUMIFS(الريسبي!$C$2:$C$1800,الريسبي!$A$2:$A$1800,$A139,الريسبي!$B$2:$B$1800,T$1)</f>
        <v>0</v>
      </c>
      <c r="U139" s="115" t="n">
        <f aca="false">SUMIFS(الريسبي!$C$2:$C$1800,الريسبي!$A$2:$A$1800,$A139,الريسبي!$B$2:$B$1800,U$1)</f>
        <v>2</v>
      </c>
      <c r="V139" s="115" t="n">
        <f aca="false">SUMIFS(الريسبي!$C$2:$C$1800,الريسبي!$A$2:$A$1800,$A139,الريسبي!$B$2:$B$1800,V$1)</f>
        <v>0</v>
      </c>
      <c r="W139" s="115" t="n">
        <f aca="false">SUMIFS(الريسبي!$C$2:$C$1800,الريسبي!$A$2:$A$1800,$A139,الريسبي!$B$2:$B$1800,W$1)</f>
        <v>0</v>
      </c>
      <c r="X139" s="115" t="n">
        <f aca="false">SUMIFS(الريسبي!$C$2:$C$1800,الريسبي!$A$2:$A$1800,$A139,الريسبي!$B$2:$B$1800,X$1)</f>
        <v>0</v>
      </c>
      <c r="Y139" s="115" t="n">
        <f aca="false">SUMIFS(الريسبي!$C$2:$C$1800,الريسبي!$A$2:$A$1800,$A139,الريسبي!$B$2:$B$1800,Y$1)</f>
        <v>0</v>
      </c>
      <c r="Z139" s="115" t="n">
        <f aca="false">SUMIFS(الريسبي!$C$2:$C$1800,الريسبي!$A$2:$A$1800,$A139,الريسبي!$B$2:$B$1800,Z$1)</f>
        <v>0</v>
      </c>
      <c r="AA139" s="115" t="n">
        <f aca="false">SUMIFS(الريسبي!$C$2:$C$1800,الريسبي!$A$2:$A$1800,$A139,الريسبي!$B$2:$B$1800,AA$1)</f>
        <v>0</v>
      </c>
      <c r="AB139" s="115" t="n">
        <f aca="false">SUMIFS(الريسبي!$C$2:$C$1800,الريسبي!$A$2:$A$1800,$A139,الريسبي!$B$2:$B$1800,AB$1)</f>
        <v>0</v>
      </c>
      <c r="AC139" s="115" t="n">
        <f aca="false">SUMIFS(الريسبي!$C$2:$C$1800,الريسبي!$A$2:$A$1800,$A139,الريسبي!$B$2:$B$1800,AC$1)</f>
        <v>0</v>
      </c>
      <c r="AD139" s="115" t="n">
        <f aca="false">SUMIFS(الريسبي!$C$2:$C$1800,الريسبي!$A$2:$A$1800,$A139,الريسبي!$B$2:$B$1800,AD$1)</f>
        <v>0</v>
      </c>
      <c r="AE139" s="115" t="n">
        <f aca="false">SUMIFS(الريسبي!$C$2:$C$1800,الريسبي!$A$2:$A$1800,$A139,الريسبي!$B$2:$B$1800,AE$1)</f>
        <v>0</v>
      </c>
      <c r="AF139" s="115" t="n">
        <f aca="false">SUMIFS(الريسبي!$C$2:$C$1800,الريسبي!$A$2:$A$1800,$A139,الريسبي!$B$2:$B$1800,AF$1)</f>
        <v>0</v>
      </c>
      <c r="AG139" s="115" t="n">
        <f aca="false">SUMIFS(الريسبي!$C$2:$C$1800,الريسبي!$A$2:$A$1800,$A139,الريسبي!$B$2:$B$1800,AG$1)</f>
        <v>0</v>
      </c>
      <c r="AH139" s="115" t="n">
        <f aca="false">SUMIFS(الريسبي!$C$2:$C$1800,الريسبي!$A$2:$A$1800,$A139,الريسبي!$B$2:$B$1800,AH$1)</f>
        <v>0</v>
      </c>
      <c r="AI139" s="115" t="n">
        <f aca="false">SUMIFS(الريسبي!$C$2:$C$1800,الريسبي!$A$2:$A$1800,$A139,الريسبي!$B$2:$B$1800,AI$1)</f>
        <v>0</v>
      </c>
      <c r="AJ139" s="115" t="n">
        <f aca="false">SUMIFS(الريسبي!$C$2:$C$1800,الريسبي!$A$2:$A$1800,$A139,الريسبي!$B$2:$B$1800,AJ$1)</f>
        <v>0</v>
      </c>
      <c r="AK139" s="115" t="n">
        <f aca="false">SUMIFS(الريسبي!$C$2:$C$1800,الريسبي!$A$2:$A$1800,$A139,الريسبي!$B$2:$B$1800,AK$1)</f>
        <v>0</v>
      </c>
      <c r="AL139" s="115" t="n">
        <f aca="false">SUMIFS(الريسبي!$C$2:$C$1800,الريسبي!$A$2:$A$1800,$A139,الريسبي!$B$2:$B$1800,AL$1)</f>
        <v>0</v>
      </c>
      <c r="AM139" s="115"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15"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15" t="n">
        <f aca="false">SUMIFS(الريسبي!$C$2:$C$1800,الريسبي!$A$2:$A$1800,$A139,الريسبي!$B$2:$B$1800,AO$1)</f>
        <v>0</v>
      </c>
      <c r="AP139" s="115" t="n">
        <f aca="false">SUMIFS(الريسبي!$C$2:$C$1800,الريسبي!$A$2:$A$1800,$A139,الريسبي!$B$2:$B$1800,AP$1)</f>
        <v>0</v>
      </c>
      <c r="AQ139" s="115"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15" t="n">
        <f aca="false">SUMIFS(الريسبي!$C$2:$C$1800,الريسبي!$A$2:$A$1800,$A139,الريسبي!$B$2:$B$1800,AR$1)</f>
        <v>0</v>
      </c>
      <c r="AS139" s="115" t="n">
        <f aca="false">SUMIFS(الريسبي!$C$2:$C$1800,الريسبي!$A$2:$A$1800,$A139,الريسبي!$B$2:$B$1800,AS$1)</f>
        <v>0</v>
      </c>
      <c r="AT139" s="115" t="n">
        <f aca="false">SUMIFS(الريسبي!$C$2:$C$1800,الريسبي!$A$2:$A$1800,$A139,الريسبي!$B$2:$B$1800,AT$1)</f>
        <v>0</v>
      </c>
      <c r="AU139" s="115" t="n">
        <f aca="false">SUMIFS(الريسبي!$C$2:$C$1800,الريسبي!$A$2:$A$1800,$A139,الريسبي!$B$2:$B$1800,AU$1)</f>
        <v>0</v>
      </c>
      <c r="AV139" s="115" t="n">
        <f aca="false">SUMIFS(الريسبي!$C$2:$C$1800,الريسبي!$A$2:$A$1800,$A139,الريسبي!$B$2:$B$1800,AV$1)</f>
        <v>0</v>
      </c>
      <c r="AW139" s="115" t="n">
        <f aca="false">SUMIFS(الريسبي!$C$2:$C$1800,الريسبي!$A$2:$A$1800,$A139,الريسبي!$B$2:$B$1800,AW$1)</f>
        <v>0</v>
      </c>
      <c r="AX139" s="115" t="n">
        <f aca="false">SUMIFS(الريسبي!$C$2:$C$1800,الريسبي!$A$2:$A$1800,$A139,الريسبي!$B$2:$B$1800,AX$1)</f>
        <v>0</v>
      </c>
      <c r="AY139" s="115" t="n">
        <f aca="false">SUMIFS(الريسبي!$C$2:$C$1800,الريسبي!$A$2:$A$1800,$A139,الريسبي!$B$2:$B$1800,AY$1)</f>
        <v>0</v>
      </c>
      <c r="AZ139" s="115" t="n">
        <f aca="false">SUMIFS(الريسبي!$C$2:$C$1800,الريسبي!$A$2:$A$1800,$A139,الريسبي!$B$2:$B$1800,AZ$1)</f>
        <v>0</v>
      </c>
      <c r="BA139" s="115" t="n">
        <f aca="false">SUMIFS(الريسبي!$C$2:$C$1800,الريسبي!$A$2:$A$1800,$A139,الريسبي!$B$2:$B$1800,BA$1)</f>
        <v>0</v>
      </c>
      <c r="BB139" s="115" t="n">
        <f aca="false">SUMIFS(الريسبي!$C$2:$C$1800,الريسبي!$A$2:$A$1800,$A139,الريسبي!$B$2:$B$1800,BB$1)</f>
        <v>0</v>
      </c>
      <c r="BC139" s="115" t="n">
        <f aca="false">SUMIFS(الريسبي!$C$2:$C$1800,الريسبي!$A$2:$A$1800,$A139,الريسبي!$B$2:$B$1800,BC$1)</f>
        <v>0</v>
      </c>
      <c r="BD139" s="115" t="n">
        <f aca="false">SUMIFS(الريسبي!$C$2:$C$1800,الريسبي!$A$2:$A$1800,$A139,الريسبي!$B$2:$B$1800,BD$1)</f>
        <v>0</v>
      </c>
      <c r="BE139" s="115" t="n">
        <f aca="false">SUMIFS(الريسبي!$C$2:$C$1800,الريسبي!$A$2:$A$1800,$A139,الريسبي!$B$2:$B$1800,BE$1)</f>
        <v>0</v>
      </c>
      <c r="BF139" s="115" t="n">
        <f aca="false">SUMIFS(الريسبي!$C$2:$C$1800,الريسبي!$A$2:$A$1800,$A139,الريسبي!$B$2:$B$1800,BF$1)</f>
        <v>0</v>
      </c>
      <c r="BG139" s="115" t="n">
        <f aca="false">SUMIFS(الريسبي!$C$2:$C$1800,الريسبي!$A$2:$A$1800,$A139,الريسبي!$B$2:$B$1800,BG$1)</f>
        <v>0</v>
      </c>
      <c r="BH139" s="115" t="n">
        <f aca="false">SUMIFS(الريسبي!$C$2:$C$1800,الريسبي!$A$2:$A$1800,$A139,الريسبي!$B$2:$B$1800,BH$1)</f>
        <v>0</v>
      </c>
      <c r="BI139" s="115" t="n">
        <f aca="false">SUMIFS(الريسبي!$C$2:$C$1800,الريسبي!$A$2:$A$1800,$A139,الريسبي!$B$2:$B$1800,BI$1)</f>
        <v>0</v>
      </c>
      <c r="BJ139" s="115" t="n">
        <f aca="false">SUMIFS(الريسبي!$C$2:$C$1800,الريسبي!$A$2:$A$1800,$A139,الريسبي!$B$2:$B$1800,BJ$1)</f>
        <v>0</v>
      </c>
      <c r="BK139" s="115" t="n">
        <f aca="false">SUMIFS(الريسبي!$C$2:$C$1800,الريسبي!$A$2:$A$1800,$A139,الريسبي!$B$2:$B$1800,BK$1)</f>
        <v>0</v>
      </c>
      <c r="BL139" s="115" t="n">
        <f aca="false">SUMIFS(الريسبي!$C$2:$C$1800,الريسبي!$A$2:$A$1800,$A139,الريسبي!$B$2:$B$1800,BL$1)</f>
        <v>0</v>
      </c>
      <c r="BM139" s="115" t="n">
        <f aca="false">SUMIFS(الريسبي!$C$2:$C$1800,الريسبي!$A$2:$A$1800,$A139,الريسبي!$B$2:$B$1800,BM$1)</f>
        <v>0</v>
      </c>
      <c r="BN139" s="115" t="n">
        <f aca="false">SUMIFS(الريسبي!$C$2:$C$1800,الريسبي!$A$2:$A$1800,$A139,الريسبي!$B$2:$B$1800,BN$1)</f>
        <v>0</v>
      </c>
      <c r="BO139" s="115" t="n">
        <f aca="false">SUMIFS(الريسبي!$C$2:$C$1800,الريسبي!$A$2:$A$1800,$A139,الريسبي!$B$2:$B$1800,BO$1)</f>
        <v>0</v>
      </c>
      <c r="BP139" s="115" t="n">
        <f aca="false">SUMIFS(الريسبي!$C$2:$C$1800,الريسبي!$A$2:$A$1800,$A139,الريسبي!$B$2:$B$1800,BP$1)</f>
        <v>0</v>
      </c>
      <c r="BQ139" s="115"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15" t="n">
        <f aca="false">SUMIFS(الريسبي!$C$2:$C$1800,الريسبي!$A$2:$A$1800,$A139,الريسبي!$B$2:$B$1800,BR$1)</f>
        <v>0</v>
      </c>
      <c r="BS139" s="115" t="n">
        <f aca="false">SUMIFS(الريسبي!$C$2:$C$1800,الريسبي!$A$2:$A$1800,$A139,الريسبي!$B$2:$B$1800,BS$1)</f>
        <v>0</v>
      </c>
      <c r="BT139" s="115" t="n">
        <f aca="false">SUMIFS(الريسبي!$C$2:$C$1800,الريسبي!$A$2:$A$1800,$A139,الريسبي!$B$2:$B$1800,BT$1)</f>
        <v>0</v>
      </c>
      <c r="BU139" s="115"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15" t="n">
        <f aca="false">SUMIFS(الريسبي!$C$2:$C$1800,الريسبي!$A$2:$A$1800,$A139,الريسبي!$B$2:$B$1800,BV$1)</f>
        <v>0</v>
      </c>
      <c r="BW139" s="115" t="n">
        <f aca="false">SUMIFS(الريسبي!$C$2:$C$1800,الريسبي!$A$2:$A$1800,$A139,الريسبي!$B$2:$B$1800,BW$1)</f>
        <v>0</v>
      </c>
      <c r="BX139" s="115" t="n">
        <f aca="false">SUMIFS(الريسبي!$C$2:$C$1800,الريسبي!$A$2:$A$1800,$A139,الريسبي!$B$2:$B$1800,BX$1)</f>
        <v>0</v>
      </c>
      <c r="BY139" s="115" t="n">
        <f aca="false">SUMIFS(الريسبي!$C$2:$C$1800,الريسبي!$A$2:$A$1800,$A139,الريسبي!$B$2:$B$1800,BY$1)</f>
        <v>0</v>
      </c>
      <c r="BZ139" s="115" t="n">
        <f aca="false">SUMIFS(الريسبي!$C$2:$C$1800,الريسبي!$A$2:$A$1800,$A139,الريسبي!$B$2:$B$1800,BZ$1)</f>
        <v>0</v>
      </c>
      <c r="CA139" s="115" t="n">
        <f aca="false">SUMIFS(الريسبي!$C$2:$C$1800,الريسبي!$A$2:$A$1800,$A139,الريسبي!$B$2:$B$1800,CA$1)</f>
        <v>0</v>
      </c>
      <c r="CB139" s="115" t="n">
        <f aca="false">SUMIFS(الريسبي!$C$2:$C$1800,الريسبي!$A$2:$A$1800,$A139,الريسبي!$B$2:$B$1800,CB$1)</f>
        <v>0</v>
      </c>
      <c r="CC139" s="115" t="n">
        <f aca="false">SUMIFS(الريسبي!$C$2:$C$1800,الريسبي!$A$2:$A$1800,$A139,الريسبي!$B$2:$B$1800,CC$1)</f>
        <v>0</v>
      </c>
      <c r="CD139" s="115" t="n">
        <f aca="false">SUMIFS(الريسبي!$C$2:$C$1800,الريسبي!$A$2:$A$1800,$A139,الريسبي!$B$2:$B$1800,CD$1)</f>
        <v>0</v>
      </c>
      <c r="CE139" s="115" t="n">
        <f aca="false">SUMIFS(الريسبي!$C$2:$C$1800,الريسبي!$A$2:$A$1800,$A139,الريسبي!$B$2:$B$1800,CE$1)</f>
        <v>0</v>
      </c>
      <c r="CF139" s="115" t="n">
        <f aca="false">SUMIFS(الريسبي!$C$2:$C$1800,الريسبي!$A$2:$A$1800,$A139,الريسبي!$B$2:$B$1800,CF$1)</f>
        <v>0</v>
      </c>
      <c r="CG139" s="115" t="n">
        <f aca="false">SUMIFS(الريسبي!$C$2:$C$1800,الريسبي!$A$2:$A$1800,$A139,الريسبي!$B$2:$B$1800,CG$1)</f>
        <v>0</v>
      </c>
      <c r="CH139" s="115" t="n">
        <f aca="false">SUMIFS(الريسبي!$C$2:$C$1800,الريسبي!$A$2:$A$1800,$A139,الريسبي!$B$2:$B$1800,CH$1)</f>
        <v>0</v>
      </c>
    </row>
    <row r="140" customFormat="false" ht="15" hidden="false" customHeight="false" outlineLevel="0" collapsed="false">
      <c r="A140" s="114" t="str">
        <f aca="false">المنيو!B140</f>
        <v>اضافة شيكولاتة (عام)</v>
      </c>
      <c r="B140" s="115" t="n">
        <f aca="false">SUMIFS(الريسبي!$C$2:$C$1800,الريسبي!$A$2:$A$1800,$A140,الريسبي!$B$2:$B$1800,B$1)</f>
        <v>0</v>
      </c>
      <c r="C140" s="115" t="n">
        <f aca="false">SUMIFS(الريسبي!$C$2:$C$1800,الريسبي!$A$2:$A$1800,$A140,الريسبي!$B$2:$B$1800,C$1)</f>
        <v>0</v>
      </c>
      <c r="D140" s="115" t="n">
        <f aca="false">SUMIFS(الريسبي!$C$2:$C$1800,الريسبي!$A$2:$A$1800,$A140,الريسبي!$B$2:$B$1800,D$1)</f>
        <v>0</v>
      </c>
      <c r="E140" s="115" t="n">
        <f aca="false">SUMIFS(الريسبي!$C$2:$C$1800,الريسبي!$A$2:$A$1800,$A140,الريسبي!$B$2:$B$1800,E$1)</f>
        <v>0</v>
      </c>
      <c r="F140" s="115" t="n">
        <f aca="false">SUMIFS(الريسبي!$C$2:$C$1800,الريسبي!$A$2:$A$1800,$A140,الريسبي!$B$2:$B$1800,F$1)</f>
        <v>0</v>
      </c>
      <c r="G140" s="115" t="n">
        <f aca="false">SUMIFS(الريسبي!$C$2:$C$1800,الريسبي!$A$2:$A$1800,$A140,الريسبي!$B$2:$B$1800,G$1)</f>
        <v>0</v>
      </c>
      <c r="H140" s="115" t="n">
        <f aca="false">SUMIFS(الريسبي!$C$2:$C$1800,الريسبي!$A$2:$A$1800,$A140,الريسبي!$B$2:$B$1800,H$1)</f>
        <v>0</v>
      </c>
      <c r="I140" s="115" t="n">
        <f aca="false">SUMIFS(الريسبي!$C$2:$C$1800,الريسبي!$A$2:$A$1800,$A140,الريسبي!$B$2:$B$1800,I$1)</f>
        <v>0</v>
      </c>
      <c r="J140" s="115" t="n">
        <f aca="false">SUMIFS(الريسبي!$C$2:$C$1800,الريسبي!$A$2:$A$1800,$A140,الريسبي!$B$2:$B$1800,J$1)</f>
        <v>0</v>
      </c>
      <c r="K140" s="115" t="n">
        <f aca="false">SUMIFS(الريسبي!$C$2:$C$1800,الريسبي!$A$2:$A$1800,$A140,الريسبي!$B$2:$B$1800,K$1)</f>
        <v>0</v>
      </c>
      <c r="L140" s="115" t="n">
        <f aca="false">SUMIFS(الريسبي!$C$2:$C$1800,الريسبي!$A$2:$A$1800,$A140,الريسبي!$B$2:$B$1800,L$1)</f>
        <v>0</v>
      </c>
      <c r="M140" s="115" t="n">
        <f aca="false">SUMIFS(الريسبي!$C$2:$C$1800,الريسبي!$A$2:$A$1800,$A140,الريسبي!$B$2:$B$1800,M$1)</f>
        <v>0</v>
      </c>
      <c r="N140" s="115" t="n">
        <f aca="false">SUMIFS(الريسبي!$C$2:$C$1800,الريسبي!$A$2:$A$1800,$A140,الريسبي!$B$2:$B$1800,N$1)</f>
        <v>0</v>
      </c>
      <c r="O140" s="115" t="n">
        <f aca="false">SUMIFS(الريسبي!$C$2:$C$1800,الريسبي!$A$2:$A$1800,$A140,الريسبي!$B$2:$B$1800,O$1)</f>
        <v>0</v>
      </c>
      <c r="P140" s="115" t="n">
        <f aca="false">SUMIFS(الريسبي!$C$2:$C$1800,الريسبي!$A$2:$A$1800,$A140,الريسبي!$B$2:$B$1800,P$1)</f>
        <v>0</v>
      </c>
      <c r="Q140" s="115" t="n">
        <f aca="false">SUMIFS(الريسبي!$C$2:$C$1800,الريسبي!$A$2:$A$1800,$A140,الريسبي!$B$2:$B$1800,Q$1)</f>
        <v>0</v>
      </c>
      <c r="R140" s="115" t="n">
        <f aca="false">SUMIFS(الريسبي!$C$2:$C$1800,الريسبي!$A$2:$A$1800,$A140,الريسبي!$B$2:$B$1800,R$1)</f>
        <v>0</v>
      </c>
      <c r="S140" s="115" t="n">
        <f aca="false">SUMIFS(الريسبي!$C$2:$C$1800,الريسبي!$A$2:$A$1800,$A140,الريسبي!$B$2:$B$1800,S$1)</f>
        <v>0</v>
      </c>
      <c r="T140" s="115" t="n">
        <f aca="false">SUMIFS(الريسبي!$C$2:$C$1800,الريسبي!$A$2:$A$1800,$A140,الريسبي!$B$2:$B$1800,T$1)</f>
        <v>0</v>
      </c>
      <c r="U140" s="115" t="n">
        <f aca="false">SUMIFS(الريسبي!$C$2:$C$1800,الريسبي!$A$2:$A$1800,$A140,الريسبي!$B$2:$B$1800,U$1)</f>
        <v>0</v>
      </c>
      <c r="V140" s="115" t="n">
        <f aca="false">SUMIFS(الريسبي!$C$2:$C$1800,الريسبي!$A$2:$A$1800,$A140,الريسبي!$B$2:$B$1800,V$1)</f>
        <v>0</v>
      </c>
      <c r="W140" s="115" t="n">
        <f aca="false">SUMIFS(الريسبي!$C$2:$C$1800,الريسبي!$A$2:$A$1800,$A140,الريسبي!$B$2:$B$1800,W$1)</f>
        <v>0</v>
      </c>
      <c r="X140" s="115" t="n">
        <f aca="false">SUMIFS(الريسبي!$C$2:$C$1800,الريسبي!$A$2:$A$1800,$A140,الريسبي!$B$2:$B$1800,X$1)</f>
        <v>0</v>
      </c>
      <c r="Y140" s="115" t="n">
        <f aca="false">SUMIFS(الريسبي!$C$2:$C$1800,الريسبي!$A$2:$A$1800,$A140,الريسبي!$B$2:$B$1800,Y$1)</f>
        <v>0</v>
      </c>
      <c r="Z140" s="115" t="n">
        <f aca="false">SUMIFS(الريسبي!$C$2:$C$1800,الريسبي!$A$2:$A$1800,$A140,الريسبي!$B$2:$B$1800,Z$1)</f>
        <v>0</v>
      </c>
      <c r="AA140" s="115" t="n">
        <f aca="false">SUMIFS(الريسبي!$C$2:$C$1800,الريسبي!$A$2:$A$1800,$A140,الريسبي!$B$2:$B$1800,AA$1)</f>
        <v>0</v>
      </c>
      <c r="AB140" s="115" t="n">
        <f aca="false">SUMIFS(الريسبي!$C$2:$C$1800,الريسبي!$A$2:$A$1800,$A140,الريسبي!$B$2:$B$1800,AB$1)</f>
        <v>0</v>
      </c>
      <c r="AC140" s="115" t="n">
        <f aca="false">SUMIFS(الريسبي!$C$2:$C$1800,الريسبي!$A$2:$A$1800,$A140,الريسبي!$B$2:$B$1800,AC$1)</f>
        <v>0</v>
      </c>
      <c r="AD140" s="115" t="n">
        <f aca="false">SUMIFS(الريسبي!$C$2:$C$1800,الريسبي!$A$2:$A$1800,$A140,الريسبي!$B$2:$B$1800,AD$1)</f>
        <v>0</v>
      </c>
      <c r="AE140" s="115" t="n">
        <f aca="false">SUMIFS(الريسبي!$C$2:$C$1800,الريسبي!$A$2:$A$1800,$A140,الريسبي!$B$2:$B$1800,AE$1)</f>
        <v>0</v>
      </c>
      <c r="AF140" s="115" t="n">
        <f aca="false">SUMIFS(الريسبي!$C$2:$C$1800,الريسبي!$A$2:$A$1800,$A140,الريسبي!$B$2:$B$1800,AF$1)</f>
        <v>0</v>
      </c>
      <c r="AG140" s="115" t="n">
        <f aca="false">SUMIFS(الريسبي!$C$2:$C$1800,الريسبي!$A$2:$A$1800,$A140,الريسبي!$B$2:$B$1800,AG$1)</f>
        <v>0</v>
      </c>
      <c r="AH140" s="115" t="n">
        <f aca="false">SUMIFS(الريسبي!$C$2:$C$1800,الريسبي!$A$2:$A$1800,$A140,الريسبي!$B$2:$B$1800,AH$1)</f>
        <v>0</v>
      </c>
      <c r="AI140" s="115" t="n">
        <f aca="false">SUMIFS(الريسبي!$C$2:$C$1800,الريسبي!$A$2:$A$1800,$A140,الريسبي!$B$2:$B$1800,AI$1)</f>
        <v>0</v>
      </c>
      <c r="AJ140" s="115" t="n">
        <f aca="false">SUMIFS(الريسبي!$C$2:$C$1800,الريسبي!$A$2:$A$1800,$A140,الريسبي!$B$2:$B$1800,AJ$1)</f>
        <v>0</v>
      </c>
      <c r="AK140" s="115" t="n">
        <f aca="false">SUMIFS(الريسبي!$C$2:$C$1800,الريسبي!$A$2:$A$1800,$A140,الريسبي!$B$2:$B$1800,AK$1)</f>
        <v>0</v>
      </c>
      <c r="AL140" s="115" t="n">
        <f aca="false">SUMIFS(الريسبي!$C$2:$C$1800,الريسبي!$A$2:$A$1800,$A140,الريسبي!$B$2:$B$1800,AL$1)</f>
        <v>0</v>
      </c>
      <c r="AM140" s="115"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15"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15" t="n">
        <f aca="false">SUMIFS(الريسبي!$C$2:$C$1800,الريسبي!$A$2:$A$1800,$A140,الريسبي!$B$2:$B$1800,AO$1)</f>
        <v>0</v>
      </c>
      <c r="AP140" s="115" t="n">
        <f aca="false">SUMIFS(الريسبي!$C$2:$C$1800,الريسبي!$A$2:$A$1800,$A140,الريسبي!$B$2:$B$1800,AP$1)</f>
        <v>0</v>
      </c>
      <c r="AQ140" s="115"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15" t="n">
        <f aca="false">SUMIFS(الريسبي!$C$2:$C$1800,الريسبي!$A$2:$A$1800,$A140,الريسبي!$B$2:$B$1800,AR$1)</f>
        <v>0</v>
      </c>
      <c r="AS140" s="115" t="n">
        <f aca="false">SUMIFS(الريسبي!$C$2:$C$1800,الريسبي!$A$2:$A$1800,$A140,الريسبي!$B$2:$B$1800,AS$1)</f>
        <v>0</v>
      </c>
      <c r="AT140" s="115" t="n">
        <f aca="false">SUMIFS(الريسبي!$C$2:$C$1800,الريسبي!$A$2:$A$1800,$A140,الريسبي!$B$2:$B$1800,AT$1)</f>
        <v>0</v>
      </c>
      <c r="AU140" s="115" t="n">
        <f aca="false">SUMIFS(الريسبي!$C$2:$C$1800,الريسبي!$A$2:$A$1800,$A140,الريسبي!$B$2:$B$1800,AU$1)</f>
        <v>0</v>
      </c>
      <c r="AV140" s="115" t="n">
        <f aca="false">SUMIFS(الريسبي!$C$2:$C$1800,الريسبي!$A$2:$A$1800,$A140,الريسبي!$B$2:$B$1800,AV$1)</f>
        <v>0.1</v>
      </c>
      <c r="AW140" s="115" t="n">
        <f aca="false">SUMIFS(الريسبي!$C$2:$C$1800,الريسبي!$A$2:$A$1800,$A140,الريسبي!$B$2:$B$1800,AW$1)</f>
        <v>0</v>
      </c>
      <c r="AX140" s="115" t="n">
        <f aca="false">SUMIFS(الريسبي!$C$2:$C$1800,الريسبي!$A$2:$A$1800,$A140,الريسبي!$B$2:$B$1800,AX$1)</f>
        <v>0</v>
      </c>
      <c r="AY140" s="115" t="n">
        <f aca="false">SUMIFS(الريسبي!$C$2:$C$1800,الريسبي!$A$2:$A$1800,$A140,الريسبي!$B$2:$B$1800,AY$1)</f>
        <v>0</v>
      </c>
      <c r="AZ140" s="115" t="n">
        <f aca="false">SUMIFS(الريسبي!$C$2:$C$1800,الريسبي!$A$2:$A$1800,$A140,الريسبي!$B$2:$B$1800,AZ$1)</f>
        <v>0</v>
      </c>
      <c r="BA140" s="115" t="n">
        <f aca="false">SUMIFS(الريسبي!$C$2:$C$1800,الريسبي!$A$2:$A$1800,$A140,الريسبي!$B$2:$B$1800,BA$1)</f>
        <v>0</v>
      </c>
      <c r="BB140" s="115" t="n">
        <f aca="false">SUMIFS(الريسبي!$C$2:$C$1800,الريسبي!$A$2:$A$1800,$A140,الريسبي!$B$2:$B$1800,BB$1)</f>
        <v>0</v>
      </c>
      <c r="BC140" s="115" t="n">
        <f aca="false">SUMIFS(الريسبي!$C$2:$C$1800,الريسبي!$A$2:$A$1800,$A140,الريسبي!$B$2:$B$1800,BC$1)</f>
        <v>0</v>
      </c>
      <c r="BD140" s="115" t="n">
        <f aca="false">SUMIFS(الريسبي!$C$2:$C$1800,الريسبي!$A$2:$A$1800,$A140,الريسبي!$B$2:$B$1800,BD$1)</f>
        <v>0</v>
      </c>
      <c r="BE140" s="115" t="n">
        <f aca="false">SUMIFS(الريسبي!$C$2:$C$1800,الريسبي!$A$2:$A$1800,$A140,الريسبي!$B$2:$B$1800,BE$1)</f>
        <v>0</v>
      </c>
      <c r="BF140" s="115" t="n">
        <f aca="false">SUMIFS(الريسبي!$C$2:$C$1800,الريسبي!$A$2:$A$1800,$A140,الريسبي!$B$2:$B$1800,BF$1)</f>
        <v>0</v>
      </c>
      <c r="BG140" s="115" t="n">
        <f aca="false">SUMIFS(الريسبي!$C$2:$C$1800,الريسبي!$A$2:$A$1800,$A140,الريسبي!$B$2:$B$1800,BG$1)</f>
        <v>0</v>
      </c>
      <c r="BH140" s="115" t="n">
        <f aca="false">SUMIFS(الريسبي!$C$2:$C$1800,الريسبي!$A$2:$A$1800,$A140,الريسبي!$B$2:$B$1800,BH$1)</f>
        <v>0</v>
      </c>
      <c r="BI140" s="115" t="n">
        <f aca="false">SUMIFS(الريسبي!$C$2:$C$1800,الريسبي!$A$2:$A$1800,$A140,الريسبي!$B$2:$B$1800,BI$1)</f>
        <v>0</v>
      </c>
      <c r="BJ140" s="115" t="n">
        <f aca="false">SUMIFS(الريسبي!$C$2:$C$1800,الريسبي!$A$2:$A$1800,$A140,الريسبي!$B$2:$B$1800,BJ$1)</f>
        <v>0</v>
      </c>
      <c r="BK140" s="115" t="n">
        <f aca="false">SUMIFS(الريسبي!$C$2:$C$1800,الريسبي!$A$2:$A$1800,$A140,الريسبي!$B$2:$B$1800,BK$1)</f>
        <v>0</v>
      </c>
      <c r="BL140" s="115" t="n">
        <f aca="false">SUMIFS(الريسبي!$C$2:$C$1800,الريسبي!$A$2:$A$1800,$A140,الريسبي!$B$2:$B$1800,BL$1)</f>
        <v>0</v>
      </c>
      <c r="BM140" s="115" t="n">
        <f aca="false">SUMIFS(الريسبي!$C$2:$C$1800,الريسبي!$A$2:$A$1800,$A140,الريسبي!$B$2:$B$1800,BM$1)</f>
        <v>0</v>
      </c>
      <c r="BN140" s="115" t="n">
        <f aca="false">SUMIFS(الريسبي!$C$2:$C$1800,الريسبي!$A$2:$A$1800,$A140,الريسبي!$B$2:$B$1800,BN$1)</f>
        <v>0</v>
      </c>
      <c r="BO140" s="115" t="n">
        <f aca="false">SUMIFS(الريسبي!$C$2:$C$1800,الريسبي!$A$2:$A$1800,$A140,الريسبي!$B$2:$B$1800,BO$1)</f>
        <v>0</v>
      </c>
      <c r="BP140" s="115" t="n">
        <f aca="false">SUMIFS(الريسبي!$C$2:$C$1800,الريسبي!$A$2:$A$1800,$A140,الريسبي!$B$2:$B$1800,BP$1)</f>
        <v>0</v>
      </c>
      <c r="BQ140" s="115"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15" t="n">
        <f aca="false">SUMIFS(الريسبي!$C$2:$C$1800,الريسبي!$A$2:$A$1800,$A140,الريسبي!$B$2:$B$1800,BR$1)</f>
        <v>0</v>
      </c>
      <c r="BS140" s="115" t="n">
        <f aca="false">SUMIFS(الريسبي!$C$2:$C$1800,الريسبي!$A$2:$A$1800,$A140,الريسبي!$B$2:$B$1800,BS$1)</f>
        <v>0</v>
      </c>
      <c r="BT140" s="115" t="n">
        <f aca="false">SUMIFS(الريسبي!$C$2:$C$1800,الريسبي!$A$2:$A$1800,$A140,الريسبي!$B$2:$B$1800,BT$1)</f>
        <v>0</v>
      </c>
      <c r="BU140" s="115"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15" t="n">
        <f aca="false">SUMIFS(الريسبي!$C$2:$C$1800,الريسبي!$A$2:$A$1800,$A140,الريسبي!$B$2:$B$1800,BV$1)</f>
        <v>0</v>
      </c>
      <c r="BW140" s="115" t="n">
        <f aca="false">SUMIFS(الريسبي!$C$2:$C$1800,الريسبي!$A$2:$A$1800,$A140,الريسبي!$B$2:$B$1800,BW$1)</f>
        <v>0</v>
      </c>
      <c r="BX140" s="115" t="n">
        <f aca="false">SUMIFS(الريسبي!$C$2:$C$1800,الريسبي!$A$2:$A$1800,$A140,الريسبي!$B$2:$B$1800,BX$1)</f>
        <v>0</v>
      </c>
      <c r="BY140" s="115" t="n">
        <f aca="false">SUMIFS(الريسبي!$C$2:$C$1800,الريسبي!$A$2:$A$1800,$A140,الريسبي!$B$2:$B$1800,BY$1)</f>
        <v>0</v>
      </c>
      <c r="BZ140" s="115" t="n">
        <f aca="false">SUMIFS(الريسبي!$C$2:$C$1800,الريسبي!$A$2:$A$1800,$A140,الريسبي!$B$2:$B$1800,BZ$1)</f>
        <v>0</v>
      </c>
      <c r="CA140" s="115" t="n">
        <f aca="false">SUMIFS(الريسبي!$C$2:$C$1800,الريسبي!$A$2:$A$1800,$A140,الريسبي!$B$2:$B$1800,CA$1)</f>
        <v>0</v>
      </c>
      <c r="CB140" s="115" t="n">
        <f aca="false">SUMIFS(الريسبي!$C$2:$C$1800,الريسبي!$A$2:$A$1800,$A140,الريسبي!$B$2:$B$1800,CB$1)</f>
        <v>0</v>
      </c>
      <c r="CC140" s="115" t="n">
        <f aca="false">SUMIFS(الريسبي!$C$2:$C$1800,الريسبي!$A$2:$A$1800,$A140,الريسبي!$B$2:$B$1800,CC$1)</f>
        <v>0</v>
      </c>
      <c r="CD140" s="115" t="n">
        <f aca="false">SUMIFS(الريسبي!$C$2:$C$1800,الريسبي!$A$2:$A$1800,$A140,الريسبي!$B$2:$B$1800,CD$1)</f>
        <v>0</v>
      </c>
      <c r="CE140" s="115" t="n">
        <f aca="false">SUMIFS(الريسبي!$C$2:$C$1800,الريسبي!$A$2:$A$1800,$A140,الريسبي!$B$2:$B$1800,CE$1)</f>
        <v>0</v>
      </c>
      <c r="CF140" s="115" t="n">
        <f aca="false">SUMIFS(الريسبي!$C$2:$C$1800,الريسبي!$A$2:$A$1800,$A140,الريسبي!$B$2:$B$1800,CF$1)</f>
        <v>0</v>
      </c>
      <c r="CG140" s="115" t="n">
        <f aca="false">SUMIFS(الريسبي!$C$2:$C$1800,الريسبي!$A$2:$A$1800,$A140,الريسبي!$B$2:$B$1800,CG$1)</f>
        <v>0</v>
      </c>
      <c r="CH140" s="115" t="n">
        <f aca="false">SUMIFS(الريسبي!$C$2:$C$1800,الريسبي!$A$2:$A$1800,$A140,الريسبي!$B$2:$B$1800,CH$1)</f>
        <v>0</v>
      </c>
    </row>
    <row r="141" customFormat="false" ht="15" hidden="false" customHeight="false" outlineLevel="0" collapsed="false">
      <c r="A141" s="114" t="str">
        <f aca="false">المنيو!B141</f>
        <v>اضافة قشطة (عام)</v>
      </c>
      <c r="B141" s="115" t="n">
        <f aca="false">SUMIFS(الريسبي!$C$2:$C$1800,الريسبي!$A$2:$A$1800,$A141,الريسبي!$B$2:$B$1800,B$1)</f>
        <v>0</v>
      </c>
      <c r="C141" s="115" t="n">
        <f aca="false">SUMIFS(الريسبي!$C$2:$C$1800,الريسبي!$A$2:$A$1800,$A141,الريسبي!$B$2:$B$1800,C$1)</f>
        <v>0</v>
      </c>
      <c r="D141" s="115" t="n">
        <f aca="false">SUMIFS(الريسبي!$C$2:$C$1800,الريسبي!$A$2:$A$1800,$A141,الريسبي!$B$2:$B$1800,D$1)</f>
        <v>0</v>
      </c>
      <c r="E141" s="115" t="n">
        <f aca="false">SUMIFS(الريسبي!$C$2:$C$1800,الريسبي!$A$2:$A$1800,$A141,الريسبي!$B$2:$B$1800,E$1)</f>
        <v>0</v>
      </c>
      <c r="F141" s="115" t="n">
        <f aca="false">SUMIFS(الريسبي!$C$2:$C$1800,الريسبي!$A$2:$A$1800,$A141,الريسبي!$B$2:$B$1800,F$1)</f>
        <v>0</v>
      </c>
      <c r="G141" s="115" t="n">
        <f aca="false">SUMIFS(الريسبي!$C$2:$C$1800,الريسبي!$A$2:$A$1800,$A141,الريسبي!$B$2:$B$1800,G$1)</f>
        <v>0</v>
      </c>
      <c r="H141" s="115" t="n">
        <f aca="false">SUMIFS(الريسبي!$C$2:$C$1800,الريسبي!$A$2:$A$1800,$A141,الريسبي!$B$2:$B$1800,H$1)</f>
        <v>0</v>
      </c>
      <c r="I141" s="115" t="n">
        <f aca="false">SUMIFS(الريسبي!$C$2:$C$1800,الريسبي!$A$2:$A$1800,$A141,الريسبي!$B$2:$B$1800,I$1)</f>
        <v>0</v>
      </c>
      <c r="J141" s="115" t="n">
        <f aca="false">SUMIFS(الريسبي!$C$2:$C$1800,الريسبي!$A$2:$A$1800,$A141,الريسبي!$B$2:$B$1800,J$1)</f>
        <v>0</v>
      </c>
      <c r="K141" s="115" t="n">
        <f aca="false">SUMIFS(الريسبي!$C$2:$C$1800,الريسبي!$A$2:$A$1800,$A141,الريسبي!$B$2:$B$1800,K$1)</f>
        <v>0</v>
      </c>
      <c r="L141" s="115" t="n">
        <f aca="false">SUMIFS(الريسبي!$C$2:$C$1800,الريسبي!$A$2:$A$1800,$A141,الريسبي!$B$2:$B$1800,L$1)</f>
        <v>0</v>
      </c>
      <c r="M141" s="115" t="n">
        <f aca="false">SUMIFS(الريسبي!$C$2:$C$1800,الريسبي!$A$2:$A$1800,$A141,الريسبي!$B$2:$B$1800,M$1)</f>
        <v>0</v>
      </c>
      <c r="N141" s="115" t="n">
        <f aca="false">SUMIFS(الريسبي!$C$2:$C$1800,الريسبي!$A$2:$A$1800,$A141,الريسبي!$B$2:$B$1800,N$1)</f>
        <v>0</v>
      </c>
      <c r="O141" s="115" t="n">
        <f aca="false">SUMIFS(الريسبي!$C$2:$C$1800,الريسبي!$A$2:$A$1800,$A141,الريسبي!$B$2:$B$1800,O$1)</f>
        <v>0</v>
      </c>
      <c r="P141" s="115" t="n">
        <f aca="false">SUMIFS(الريسبي!$C$2:$C$1800,الريسبي!$A$2:$A$1800,$A141,الريسبي!$B$2:$B$1800,P$1)</f>
        <v>0</v>
      </c>
      <c r="Q141" s="115" t="n">
        <f aca="false">SUMIFS(الريسبي!$C$2:$C$1800,الريسبي!$A$2:$A$1800,$A141,الريسبي!$B$2:$B$1800,Q$1)</f>
        <v>0</v>
      </c>
      <c r="R141" s="115" t="n">
        <f aca="false">SUMIFS(الريسبي!$C$2:$C$1800,الريسبي!$A$2:$A$1800,$A141,الريسبي!$B$2:$B$1800,R$1)</f>
        <v>0</v>
      </c>
      <c r="S141" s="115" t="n">
        <f aca="false">SUMIFS(الريسبي!$C$2:$C$1800,الريسبي!$A$2:$A$1800,$A141,الريسبي!$B$2:$B$1800,S$1)</f>
        <v>1</v>
      </c>
      <c r="T141" s="115" t="n">
        <f aca="false">SUMIFS(الريسبي!$C$2:$C$1800,الريسبي!$A$2:$A$1800,$A141,الريسبي!$B$2:$B$1800,T$1)</f>
        <v>0</v>
      </c>
      <c r="U141" s="115" t="n">
        <f aca="false">SUMIFS(الريسبي!$C$2:$C$1800,الريسبي!$A$2:$A$1800,$A141,الريسبي!$B$2:$B$1800,U$1)</f>
        <v>0</v>
      </c>
      <c r="V141" s="115" t="n">
        <f aca="false">SUMIFS(الريسبي!$C$2:$C$1800,الريسبي!$A$2:$A$1800,$A141,الريسبي!$B$2:$B$1800,V$1)</f>
        <v>0</v>
      </c>
      <c r="W141" s="115" t="n">
        <f aca="false">SUMIFS(الريسبي!$C$2:$C$1800,الريسبي!$A$2:$A$1800,$A141,الريسبي!$B$2:$B$1800,W$1)</f>
        <v>0</v>
      </c>
      <c r="X141" s="115" t="n">
        <f aca="false">SUMIFS(الريسبي!$C$2:$C$1800,الريسبي!$A$2:$A$1800,$A141,الريسبي!$B$2:$B$1800,X$1)</f>
        <v>0</v>
      </c>
      <c r="Y141" s="115" t="n">
        <f aca="false">SUMIFS(الريسبي!$C$2:$C$1800,الريسبي!$A$2:$A$1800,$A141,الريسبي!$B$2:$B$1800,Y$1)</f>
        <v>0</v>
      </c>
      <c r="Z141" s="115" t="n">
        <f aca="false">SUMIFS(الريسبي!$C$2:$C$1800,الريسبي!$A$2:$A$1800,$A141,الريسبي!$B$2:$B$1800,Z$1)</f>
        <v>0</v>
      </c>
      <c r="AA141" s="115" t="n">
        <f aca="false">SUMIFS(الريسبي!$C$2:$C$1800,الريسبي!$A$2:$A$1800,$A141,الريسبي!$B$2:$B$1800,AA$1)</f>
        <v>0</v>
      </c>
      <c r="AB141" s="115" t="n">
        <f aca="false">SUMIFS(الريسبي!$C$2:$C$1800,الريسبي!$A$2:$A$1800,$A141,الريسبي!$B$2:$B$1800,AB$1)</f>
        <v>0</v>
      </c>
      <c r="AC141" s="115" t="n">
        <f aca="false">SUMIFS(الريسبي!$C$2:$C$1800,الريسبي!$A$2:$A$1800,$A141,الريسبي!$B$2:$B$1800,AC$1)</f>
        <v>0</v>
      </c>
      <c r="AD141" s="115" t="n">
        <f aca="false">SUMIFS(الريسبي!$C$2:$C$1800,الريسبي!$A$2:$A$1800,$A141,الريسبي!$B$2:$B$1800,AD$1)</f>
        <v>0</v>
      </c>
      <c r="AE141" s="115" t="n">
        <f aca="false">SUMIFS(الريسبي!$C$2:$C$1800,الريسبي!$A$2:$A$1800,$A141,الريسبي!$B$2:$B$1800,AE$1)</f>
        <v>0</v>
      </c>
      <c r="AF141" s="115" t="n">
        <f aca="false">SUMIFS(الريسبي!$C$2:$C$1800,الريسبي!$A$2:$A$1800,$A141,الريسبي!$B$2:$B$1800,AF$1)</f>
        <v>0</v>
      </c>
      <c r="AG141" s="115" t="n">
        <f aca="false">SUMIFS(الريسبي!$C$2:$C$1800,الريسبي!$A$2:$A$1800,$A141,الريسبي!$B$2:$B$1800,AG$1)</f>
        <v>0</v>
      </c>
      <c r="AH141" s="115" t="n">
        <f aca="false">SUMIFS(الريسبي!$C$2:$C$1800,الريسبي!$A$2:$A$1800,$A141,الريسبي!$B$2:$B$1800,AH$1)</f>
        <v>0</v>
      </c>
      <c r="AI141" s="115" t="n">
        <f aca="false">SUMIFS(الريسبي!$C$2:$C$1800,الريسبي!$A$2:$A$1800,$A141,الريسبي!$B$2:$B$1800,AI$1)</f>
        <v>0</v>
      </c>
      <c r="AJ141" s="115" t="n">
        <f aca="false">SUMIFS(الريسبي!$C$2:$C$1800,الريسبي!$A$2:$A$1800,$A141,الريسبي!$B$2:$B$1800,AJ$1)</f>
        <v>0</v>
      </c>
      <c r="AK141" s="115" t="n">
        <f aca="false">SUMIFS(الريسبي!$C$2:$C$1800,الريسبي!$A$2:$A$1800,$A141,الريسبي!$B$2:$B$1800,AK$1)</f>
        <v>0</v>
      </c>
      <c r="AL141" s="115" t="n">
        <f aca="false">SUMIFS(الريسبي!$C$2:$C$1800,الريسبي!$A$2:$A$1800,$A141,الريسبي!$B$2:$B$1800,AL$1)</f>
        <v>0</v>
      </c>
      <c r="AM141" s="115"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15"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15" t="n">
        <f aca="false">SUMIFS(الريسبي!$C$2:$C$1800,الريسبي!$A$2:$A$1800,$A141,الريسبي!$B$2:$B$1800,AO$1)</f>
        <v>0</v>
      </c>
      <c r="AP141" s="115" t="n">
        <f aca="false">SUMIFS(الريسبي!$C$2:$C$1800,الريسبي!$A$2:$A$1800,$A141,الريسبي!$B$2:$B$1800,AP$1)</f>
        <v>0</v>
      </c>
      <c r="AQ141" s="115"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15" t="n">
        <f aca="false">SUMIFS(الريسبي!$C$2:$C$1800,الريسبي!$A$2:$A$1800,$A141,الريسبي!$B$2:$B$1800,AR$1)</f>
        <v>0</v>
      </c>
      <c r="AS141" s="115" t="n">
        <f aca="false">SUMIFS(الريسبي!$C$2:$C$1800,الريسبي!$A$2:$A$1800,$A141,الريسبي!$B$2:$B$1800,AS$1)</f>
        <v>0</v>
      </c>
      <c r="AT141" s="115" t="n">
        <f aca="false">SUMIFS(الريسبي!$C$2:$C$1800,الريسبي!$A$2:$A$1800,$A141,الريسبي!$B$2:$B$1800,AT$1)</f>
        <v>0</v>
      </c>
      <c r="AU141" s="115" t="n">
        <f aca="false">SUMIFS(الريسبي!$C$2:$C$1800,الريسبي!$A$2:$A$1800,$A141,الريسبي!$B$2:$B$1800,AU$1)</f>
        <v>0</v>
      </c>
      <c r="AV141" s="115" t="n">
        <f aca="false">SUMIFS(الريسبي!$C$2:$C$1800,الريسبي!$A$2:$A$1800,$A141,الريسبي!$B$2:$B$1800,AV$1)</f>
        <v>0</v>
      </c>
      <c r="AW141" s="115" t="n">
        <f aca="false">SUMIFS(الريسبي!$C$2:$C$1800,الريسبي!$A$2:$A$1800,$A141,الريسبي!$B$2:$B$1800,AW$1)</f>
        <v>0</v>
      </c>
      <c r="AX141" s="115" t="n">
        <f aca="false">SUMIFS(الريسبي!$C$2:$C$1800,الريسبي!$A$2:$A$1800,$A141,الريسبي!$B$2:$B$1800,AX$1)</f>
        <v>0</v>
      </c>
      <c r="AY141" s="115" t="n">
        <f aca="false">SUMIFS(الريسبي!$C$2:$C$1800,الريسبي!$A$2:$A$1800,$A141,الريسبي!$B$2:$B$1800,AY$1)</f>
        <v>0</v>
      </c>
      <c r="AZ141" s="115" t="n">
        <f aca="false">SUMIFS(الريسبي!$C$2:$C$1800,الريسبي!$A$2:$A$1800,$A141,الريسبي!$B$2:$B$1800,AZ$1)</f>
        <v>0</v>
      </c>
      <c r="BA141" s="115" t="n">
        <f aca="false">SUMIFS(الريسبي!$C$2:$C$1800,الريسبي!$A$2:$A$1800,$A141,الريسبي!$B$2:$B$1800,BA$1)</f>
        <v>0</v>
      </c>
      <c r="BB141" s="115" t="n">
        <f aca="false">SUMIFS(الريسبي!$C$2:$C$1800,الريسبي!$A$2:$A$1800,$A141,الريسبي!$B$2:$B$1800,BB$1)</f>
        <v>0</v>
      </c>
      <c r="BC141" s="115" t="n">
        <f aca="false">SUMIFS(الريسبي!$C$2:$C$1800,الريسبي!$A$2:$A$1800,$A141,الريسبي!$B$2:$B$1800,BC$1)</f>
        <v>0</v>
      </c>
      <c r="BD141" s="115" t="n">
        <f aca="false">SUMIFS(الريسبي!$C$2:$C$1800,الريسبي!$A$2:$A$1800,$A141,الريسبي!$B$2:$B$1800,BD$1)</f>
        <v>0</v>
      </c>
      <c r="BE141" s="115" t="n">
        <f aca="false">SUMIFS(الريسبي!$C$2:$C$1800,الريسبي!$A$2:$A$1800,$A141,الريسبي!$B$2:$B$1800,BE$1)</f>
        <v>0</v>
      </c>
      <c r="BF141" s="115" t="n">
        <f aca="false">SUMIFS(الريسبي!$C$2:$C$1800,الريسبي!$A$2:$A$1800,$A141,الريسبي!$B$2:$B$1800,BF$1)</f>
        <v>0</v>
      </c>
      <c r="BG141" s="115" t="n">
        <f aca="false">SUMIFS(الريسبي!$C$2:$C$1800,الريسبي!$A$2:$A$1800,$A141,الريسبي!$B$2:$B$1800,BG$1)</f>
        <v>0</v>
      </c>
      <c r="BH141" s="115" t="n">
        <f aca="false">SUMIFS(الريسبي!$C$2:$C$1800,الريسبي!$A$2:$A$1800,$A141,الريسبي!$B$2:$B$1800,BH$1)</f>
        <v>0</v>
      </c>
      <c r="BI141" s="115" t="n">
        <f aca="false">SUMIFS(الريسبي!$C$2:$C$1800,الريسبي!$A$2:$A$1800,$A141,الريسبي!$B$2:$B$1800,BI$1)</f>
        <v>0</v>
      </c>
      <c r="BJ141" s="115" t="n">
        <f aca="false">SUMIFS(الريسبي!$C$2:$C$1800,الريسبي!$A$2:$A$1800,$A141,الريسبي!$B$2:$B$1800,BJ$1)</f>
        <v>0</v>
      </c>
      <c r="BK141" s="115" t="n">
        <f aca="false">SUMIFS(الريسبي!$C$2:$C$1800,الريسبي!$A$2:$A$1800,$A141,الريسبي!$B$2:$B$1800,BK$1)</f>
        <v>0</v>
      </c>
      <c r="BL141" s="115" t="n">
        <f aca="false">SUMIFS(الريسبي!$C$2:$C$1800,الريسبي!$A$2:$A$1800,$A141,الريسبي!$B$2:$B$1800,BL$1)</f>
        <v>0</v>
      </c>
      <c r="BM141" s="115" t="n">
        <f aca="false">SUMIFS(الريسبي!$C$2:$C$1800,الريسبي!$A$2:$A$1800,$A141,الريسبي!$B$2:$B$1800,BM$1)</f>
        <v>0</v>
      </c>
      <c r="BN141" s="115" t="n">
        <f aca="false">SUMIFS(الريسبي!$C$2:$C$1800,الريسبي!$A$2:$A$1800,$A141,الريسبي!$B$2:$B$1800,BN$1)</f>
        <v>0</v>
      </c>
      <c r="BO141" s="115" t="n">
        <f aca="false">SUMIFS(الريسبي!$C$2:$C$1800,الريسبي!$A$2:$A$1800,$A141,الريسبي!$B$2:$B$1800,BO$1)</f>
        <v>0</v>
      </c>
      <c r="BP141" s="115" t="n">
        <f aca="false">SUMIFS(الريسبي!$C$2:$C$1800,الريسبي!$A$2:$A$1800,$A141,الريسبي!$B$2:$B$1800,BP$1)</f>
        <v>0</v>
      </c>
      <c r="BQ141" s="115"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15" t="n">
        <f aca="false">SUMIFS(الريسبي!$C$2:$C$1800,الريسبي!$A$2:$A$1800,$A141,الريسبي!$B$2:$B$1800,BR$1)</f>
        <v>0</v>
      </c>
      <c r="BS141" s="115" t="n">
        <f aca="false">SUMIFS(الريسبي!$C$2:$C$1800,الريسبي!$A$2:$A$1800,$A141,الريسبي!$B$2:$B$1800,BS$1)</f>
        <v>0</v>
      </c>
      <c r="BT141" s="115" t="n">
        <f aca="false">SUMIFS(الريسبي!$C$2:$C$1800,الريسبي!$A$2:$A$1800,$A141,الريسبي!$B$2:$B$1800,BT$1)</f>
        <v>0</v>
      </c>
      <c r="BU141" s="115"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15" t="n">
        <f aca="false">SUMIFS(الريسبي!$C$2:$C$1800,الريسبي!$A$2:$A$1800,$A141,الريسبي!$B$2:$B$1800,BV$1)</f>
        <v>0</v>
      </c>
      <c r="BW141" s="115" t="n">
        <f aca="false">SUMIFS(الريسبي!$C$2:$C$1800,الريسبي!$A$2:$A$1800,$A141,الريسبي!$B$2:$B$1800,BW$1)</f>
        <v>0</v>
      </c>
      <c r="BX141" s="115" t="n">
        <f aca="false">SUMIFS(الريسبي!$C$2:$C$1800,الريسبي!$A$2:$A$1800,$A141,الريسبي!$B$2:$B$1800,BX$1)</f>
        <v>0</v>
      </c>
      <c r="BY141" s="115" t="n">
        <f aca="false">SUMIFS(الريسبي!$C$2:$C$1800,الريسبي!$A$2:$A$1800,$A141,الريسبي!$B$2:$B$1800,BY$1)</f>
        <v>0</v>
      </c>
      <c r="BZ141" s="115" t="n">
        <f aca="false">SUMIFS(الريسبي!$C$2:$C$1800,الريسبي!$A$2:$A$1800,$A141,الريسبي!$B$2:$B$1800,BZ$1)</f>
        <v>0</v>
      </c>
      <c r="CA141" s="115" t="n">
        <f aca="false">SUMIFS(الريسبي!$C$2:$C$1800,الريسبي!$A$2:$A$1800,$A141,الريسبي!$B$2:$B$1800,CA$1)</f>
        <v>0</v>
      </c>
      <c r="CB141" s="115" t="n">
        <f aca="false">SUMIFS(الريسبي!$C$2:$C$1800,الريسبي!$A$2:$A$1800,$A141,الريسبي!$B$2:$B$1800,CB$1)</f>
        <v>0</v>
      </c>
      <c r="CC141" s="115" t="n">
        <f aca="false">SUMIFS(الريسبي!$C$2:$C$1800,الريسبي!$A$2:$A$1800,$A141,الريسبي!$B$2:$B$1800,CC$1)</f>
        <v>0</v>
      </c>
      <c r="CD141" s="115" t="n">
        <f aca="false">SUMIFS(الريسبي!$C$2:$C$1800,الريسبي!$A$2:$A$1800,$A141,الريسبي!$B$2:$B$1800,CD$1)</f>
        <v>0</v>
      </c>
      <c r="CE141" s="115" t="n">
        <f aca="false">SUMIFS(الريسبي!$C$2:$C$1800,الريسبي!$A$2:$A$1800,$A141,الريسبي!$B$2:$B$1800,CE$1)</f>
        <v>0</v>
      </c>
      <c r="CF141" s="115" t="n">
        <f aca="false">SUMIFS(الريسبي!$C$2:$C$1800,الريسبي!$A$2:$A$1800,$A141,الريسبي!$B$2:$B$1800,CF$1)</f>
        <v>0</v>
      </c>
      <c r="CG141" s="115" t="n">
        <f aca="false">SUMIFS(الريسبي!$C$2:$C$1800,الريسبي!$A$2:$A$1800,$A141,الريسبي!$B$2:$B$1800,CG$1)</f>
        <v>0</v>
      </c>
      <c r="CH141" s="115" t="n">
        <f aca="false">SUMIFS(الريسبي!$C$2:$C$1800,الريسبي!$A$2:$A$1800,$A141,الريسبي!$B$2:$B$1800,CH$1)</f>
        <v>0</v>
      </c>
    </row>
    <row r="142" customFormat="false" ht="15" hidden="false" customHeight="false" outlineLevel="0" collapsed="false">
      <c r="A142" s="114" t="str">
        <f aca="false">المنيو!B142</f>
        <v>اضافة مفروم (بيتزا وسط)</v>
      </c>
      <c r="B142" s="115" t="n">
        <f aca="false">SUMIFS(الريسبي!$C$2:$C$1800,الريسبي!$A$2:$A$1800,$A142,الريسبي!$B$2:$B$1800,B$1)</f>
        <v>0</v>
      </c>
      <c r="C142" s="115" t="n">
        <f aca="false">SUMIFS(الريسبي!$C$2:$C$1800,الريسبي!$A$2:$A$1800,$A142,الريسبي!$B$2:$B$1800,C$1)</f>
        <v>0</v>
      </c>
      <c r="D142" s="115" t="n">
        <f aca="false">SUMIFS(الريسبي!$C$2:$C$1800,الريسبي!$A$2:$A$1800,$A142,الريسبي!$B$2:$B$1800,D$1)</f>
        <v>0</v>
      </c>
      <c r="E142" s="115" t="n">
        <f aca="false">SUMIFS(الريسبي!$C$2:$C$1800,الريسبي!$A$2:$A$1800,$A142,الريسبي!$B$2:$B$1800,E$1)</f>
        <v>0</v>
      </c>
      <c r="F142" s="115" t="n">
        <f aca="false">SUMIFS(الريسبي!$C$2:$C$1800,الريسبي!$A$2:$A$1800,$A142,الريسبي!$B$2:$B$1800,F$1)</f>
        <v>0</v>
      </c>
      <c r="G142" s="115" t="n">
        <f aca="false">SUMIFS(الريسبي!$C$2:$C$1800,الريسبي!$A$2:$A$1800,$A142,الريسبي!$B$2:$B$1800,G$1)</f>
        <v>0</v>
      </c>
      <c r="H142" s="115" t="n">
        <f aca="false">SUMIFS(الريسبي!$C$2:$C$1800,الريسبي!$A$2:$A$1800,$A142,الريسبي!$B$2:$B$1800,H$1)</f>
        <v>0</v>
      </c>
      <c r="I142" s="115" t="n">
        <f aca="false">SUMIFS(الريسبي!$C$2:$C$1800,الريسبي!$A$2:$A$1800,$A142,الريسبي!$B$2:$B$1800,I$1)</f>
        <v>0</v>
      </c>
      <c r="J142" s="115" t="n">
        <f aca="false">SUMIFS(الريسبي!$C$2:$C$1800,الريسبي!$A$2:$A$1800,$A142,الريسبي!$B$2:$B$1800,J$1)</f>
        <v>0</v>
      </c>
      <c r="K142" s="115" t="n">
        <f aca="false">SUMIFS(الريسبي!$C$2:$C$1800,الريسبي!$A$2:$A$1800,$A142,الريسبي!$B$2:$B$1800,K$1)</f>
        <v>0</v>
      </c>
      <c r="L142" s="115" t="n">
        <f aca="false">SUMIFS(الريسبي!$C$2:$C$1800,الريسبي!$A$2:$A$1800,$A142,الريسبي!$B$2:$B$1800,L$1)</f>
        <v>0</v>
      </c>
      <c r="M142" s="115" t="n">
        <f aca="false">SUMIFS(الريسبي!$C$2:$C$1800,الريسبي!$A$2:$A$1800,$A142,الريسبي!$B$2:$B$1800,M$1)</f>
        <v>0</v>
      </c>
      <c r="N142" s="115" t="n">
        <f aca="false">SUMIFS(الريسبي!$C$2:$C$1800,الريسبي!$A$2:$A$1800,$A142,الريسبي!$B$2:$B$1800,N$1)</f>
        <v>0</v>
      </c>
      <c r="O142" s="115" t="n">
        <f aca="false">SUMIFS(الريسبي!$C$2:$C$1800,الريسبي!$A$2:$A$1800,$A142,الريسبي!$B$2:$B$1800,O$1)</f>
        <v>0</v>
      </c>
      <c r="P142" s="115" t="n">
        <f aca="false">SUMIFS(الريسبي!$C$2:$C$1800,الريسبي!$A$2:$A$1800,$A142,الريسبي!$B$2:$B$1800,P$1)</f>
        <v>0</v>
      </c>
      <c r="Q142" s="115" t="n">
        <f aca="false">SUMIFS(الريسبي!$C$2:$C$1800,الريسبي!$A$2:$A$1800,$A142,الريسبي!$B$2:$B$1800,Q$1)</f>
        <v>0</v>
      </c>
      <c r="R142" s="115" t="n">
        <f aca="false">SUMIFS(الريسبي!$C$2:$C$1800,الريسبي!$A$2:$A$1800,$A142,الريسبي!$B$2:$B$1800,R$1)</f>
        <v>0</v>
      </c>
      <c r="S142" s="115" t="n">
        <f aca="false">SUMIFS(الريسبي!$C$2:$C$1800,الريسبي!$A$2:$A$1800,$A142,الريسبي!$B$2:$B$1800,S$1)</f>
        <v>0</v>
      </c>
      <c r="T142" s="115" t="n">
        <f aca="false">SUMIFS(الريسبي!$C$2:$C$1800,الريسبي!$A$2:$A$1800,$A142,الريسبي!$B$2:$B$1800,T$1)</f>
        <v>1</v>
      </c>
      <c r="U142" s="115" t="n">
        <f aca="false">SUMIFS(الريسبي!$C$2:$C$1800,الريسبي!$A$2:$A$1800,$A142,الريسبي!$B$2:$B$1800,U$1)</f>
        <v>0</v>
      </c>
      <c r="V142" s="115" t="n">
        <f aca="false">SUMIFS(الريسبي!$C$2:$C$1800,الريسبي!$A$2:$A$1800,$A142,الريسبي!$B$2:$B$1800,V$1)</f>
        <v>0</v>
      </c>
      <c r="W142" s="115" t="n">
        <f aca="false">SUMIFS(الريسبي!$C$2:$C$1800,الريسبي!$A$2:$A$1800,$A142,الريسبي!$B$2:$B$1800,W$1)</f>
        <v>0</v>
      </c>
      <c r="X142" s="115" t="n">
        <f aca="false">SUMIFS(الريسبي!$C$2:$C$1800,الريسبي!$A$2:$A$1800,$A142,الريسبي!$B$2:$B$1800,X$1)</f>
        <v>0</v>
      </c>
      <c r="Y142" s="115" t="n">
        <f aca="false">SUMIFS(الريسبي!$C$2:$C$1800,الريسبي!$A$2:$A$1800,$A142,الريسبي!$B$2:$B$1800,Y$1)</f>
        <v>0</v>
      </c>
      <c r="Z142" s="115" t="n">
        <f aca="false">SUMIFS(الريسبي!$C$2:$C$1800,الريسبي!$A$2:$A$1800,$A142,الريسبي!$B$2:$B$1800,Z$1)</f>
        <v>0</v>
      </c>
      <c r="AA142" s="115" t="n">
        <f aca="false">SUMIFS(الريسبي!$C$2:$C$1800,الريسبي!$A$2:$A$1800,$A142,الريسبي!$B$2:$B$1800,AA$1)</f>
        <v>0</v>
      </c>
      <c r="AB142" s="115" t="n">
        <f aca="false">SUMIFS(الريسبي!$C$2:$C$1800,الريسبي!$A$2:$A$1800,$A142,الريسبي!$B$2:$B$1800,AB$1)</f>
        <v>0</v>
      </c>
      <c r="AC142" s="115" t="n">
        <f aca="false">SUMIFS(الريسبي!$C$2:$C$1800,الريسبي!$A$2:$A$1800,$A142,الريسبي!$B$2:$B$1800,AC$1)</f>
        <v>0</v>
      </c>
      <c r="AD142" s="115" t="n">
        <f aca="false">SUMIFS(الريسبي!$C$2:$C$1800,الريسبي!$A$2:$A$1800,$A142,الريسبي!$B$2:$B$1800,AD$1)</f>
        <v>0</v>
      </c>
      <c r="AE142" s="115" t="n">
        <f aca="false">SUMIFS(الريسبي!$C$2:$C$1800,الريسبي!$A$2:$A$1800,$A142,الريسبي!$B$2:$B$1800,AE$1)</f>
        <v>0</v>
      </c>
      <c r="AF142" s="115" t="n">
        <f aca="false">SUMIFS(الريسبي!$C$2:$C$1800,الريسبي!$A$2:$A$1800,$A142,الريسبي!$B$2:$B$1800,AF$1)</f>
        <v>0</v>
      </c>
      <c r="AG142" s="115" t="n">
        <f aca="false">SUMIFS(الريسبي!$C$2:$C$1800,الريسبي!$A$2:$A$1800,$A142,الريسبي!$B$2:$B$1800,AG$1)</f>
        <v>0</v>
      </c>
      <c r="AH142" s="115" t="n">
        <f aca="false">SUMIFS(الريسبي!$C$2:$C$1800,الريسبي!$A$2:$A$1800,$A142,الريسبي!$B$2:$B$1800,AH$1)</f>
        <v>0</v>
      </c>
      <c r="AI142" s="115" t="n">
        <f aca="false">SUMIFS(الريسبي!$C$2:$C$1800,الريسبي!$A$2:$A$1800,$A142,الريسبي!$B$2:$B$1800,AI$1)</f>
        <v>0</v>
      </c>
      <c r="AJ142" s="115" t="n">
        <f aca="false">SUMIFS(الريسبي!$C$2:$C$1800,الريسبي!$A$2:$A$1800,$A142,الريسبي!$B$2:$B$1800,AJ$1)</f>
        <v>0</v>
      </c>
      <c r="AK142" s="115" t="n">
        <f aca="false">SUMIFS(الريسبي!$C$2:$C$1800,الريسبي!$A$2:$A$1800,$A142,الريسبي!$B$2:$B$1800,AK$1)</f>
        <v>0</v>
      </c>
      <c r="AL142" s="115" t="n">
        <f aca="false">SUMIFS(الريسبي!$C$2:$C$1800,الريسبي!$A$2:$A$1800,$A142,الريسبي!$B$2:$B$1800,AL$1)</f>
        <v>0</v>
      </c>
      <c r="AM142" s="115"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15"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15" t="n">
        <f aca="false">SUMIFS(الريسبي!$C$2:$C$1800,الريسبي!$A$2:$A$1800,$A142,الريسبي!$B$2:$B$1800,AO$1)</f>
        <v>0</v>
      </c>
      <c r="AP142" s="115" t="n">
        <f aca="false">SUMIFS(الريسبي!$C$2:$C$1800,الريسبي!$A$2:$A$1800,$A142,الريسبي!$B$2:$B$1800,AP$1)</f>
        <v>0</v>
      </c>
      <c r="AQ142" s="115"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15" t="n">
        <f aca="false">SUMIFS(الريسبي!$C$2:$C$1800,الريسبي!$A$2:$A$1800,$A142,الريسبي!$B$2:$B$1800,AR$1)</f>
        <v>0</v>
      </c>
      <c r="AS142" s="115" t="n">
        <f aca="false">SUMIFS(الريسبي!$C$2:$C$1800,الريسبي!$A$2:$A$1800,$A142,الريسبي!$B$2:$B$1800,AS$1)</f>
        <v>0</v>
      </c>
      <c r="AT142" s="115" t="n">
        <f aca="false">SUMIFS(الريسبي!$C$2:$C$1800,الريسبي!$A$2:$A$1800,$A142,الريسبي!$B$2:$B$1800,AT$1)</f>
        <v>0</v>
      </c>
      <c r="AU142" s="115" t="n">
        <f aca="false">SUMIFS(الريسبي!$C$2:$C$1800,الريسبي!$A$2:$A$1800,$A142,الريسبي!$B$2:$B$1800,AU$1)</f>
        <v>0</v>
      </c>
      <c r="AV142" s="115" t="n">
        <f aca="false">SUMIFS(الريسبي!$C$2:$C$1800,الريسبي!$A$2:$A$1800,$A142,الريسبي!$B$2:$B$1800,AV$1)</f>
        <v>0</v>
      </c>
      <c r="AW142" s="115" t="n">
        <f aca="false">SUMIFS(الريسبي!$C$2:$C$1800,الريسبي!$A$2:$A$1800,$A142,الريسبي!$B$2:$B$1800,AW$1)</f>
        <v>0</v>
      </c>
      <c r="AX142" s="115" t="n">
        <f aca="false">SUMIFS(الريسبي!$C$2:$C$1800,الريسبي!$A$2:$A$1800,$A142,الريسبي!$B$2:$B$1800,AX$1)</f>
        <v>0</v>
      </c>
      <c r="AY142" s="115" t="n">
        <f aca="false">SUMIFS(الريسبي!$C$2:$C$1800,الريسبي!$A$2:$A$1800,$A142,الريسبي!$B$2:$B$1800,AY$1)</f>
        <v>0</v>
      </c>
      <c r="AZ142" s="115" t="n">
        <f aca="false">SUMIFS(الريسبي!$C$2:$C$1800,الريسبي!$A$2:$A$1800,$A142,الريسبي!$B$2:$B$1800,AZ$1)</f>
        <v>0</v>
      </c>
      <c r="BA142" s="115" t="n">
        <f aca="false">SUMIFS(الريسبي!$C$2:$C$1800,الريسبي!$A$2:$A$1800,$A142,الريسبي!$B$2:$B$1800,BA$1)</f>
        <v>0</v>
      </c>
      <c r="BB142" s="115" t="n">
        <f aca="false">SUMIFS(الريسبي!$C$2:$C$1800,الريسبي!$A$2:$A$1800,$A142,الريسبي!$B$2:$B$1800,BB$1)</f>
        <v>0</v>
      </c>
      <c r="BC142" s="115" t="n">
        <f aca="false">SUMIFS(الريسبي!$C$2:$C$1800,الريسبي!$A$2:$A$1800,$A142,الريسبي!$B$2:$B$1800,BC$1)</f>
        <v>0</v>
      </c>
      <c r="BD142" s="115" t="n">
        <f aca="false">SUMIFS(الريسبي!$C$2:$C$1800,الريسبي!$A$2:$A$1800,$A142,الريسبي!$B$2:$B$1800,BD$1)</f>
        <v>0</v>
      </c>
      <c r="BE142" s="115" t="n">
        <f aca="false">SUMIFS(الريسبي!$C$2:$C$1800,الريسبي!$A$2:$A$1800,$A142,الريسبي!$B$2:$B$1800,BE$1)</f>
        <v>0</v>
      </c>
      <c r="BF142" s="115" t="n">
        <f aca="false">SUMIFS(الريسبي!$C$2:$C$1800,الريسبي!$A$2:$A$1800,$A142,الريسبي!$B$2:$B$1800,BF$1)</f>
        <v>0</v>
      </c>
      <c r="BG142" s="115" t="n">
        <f aca="false">SUMIFS(الريسبي!$C$2:$C$1800,الريسبي!$A$2:$A$1800,$A142,الريسبي!$B$2:$B$1800,BG$1)</f>
        <v>0</v>
      </c>
      <c r="BH142" s="115" t="n">
        <f aca="false">SUMIFS(الريسبي!$C$2:$C$1800,الريسبي!$A$2:$A$1800,$A142,الريسبي!$B$2:$B$1800,BH$1)</f>
        <v>0</v>
      </c>
      <c r="BI142" s="115" t="n">
        <f aca="false">SUMIFS(الريسبي!$C$2:$C$1800,الريسبي!$A$2:$A$1800,$A142,الريسبي!$B$2:$B$1800,BI$1)</f>
        <v>0</v>
      </c>
      <c r="BJ142" s="115" t="n">
        <f aca="false">SUMIFS(الريسبي!$C$2:$C$1800,الريسبي!$A$2:$A$1800,$A142,الريسبي!$B$2:$B$1800,BJ$1)</f>
        <v>0</v>
      </c>
      <c r="BK142" s="115" t="n">
        <f aca="false">SUMIFS(الريسبي!$C$2:$C$1800,الريسبي!$A$2:$A$1800,$A142,الريسبي!$B$2:$B$1800,BK$1)</f>
        <v>0</v>
      </c>
      <c r="BL142" s="115" t="n">
        <f aca="false">SUMIFS(الريسبي!$C$2:$C$1800,الريسبي!$A$2:$A$1800,$A142,الريسبي!$B$2:$B$1800,BL$1)</f>
        <v>0</v>
      </c>
      <c r="BM142" s="115" t="n">
        <f aca="false">SUMIFS(الريسبي!$C$2:$C$1800,الريسبي!$A$2:$A$1800,$A142,الريسبي!$B$2:$B$1800,BM$1)</f>
        <v>0</v>
      </c>
      <c r="BN142" s="115" t="n">
        <f aca="false">SUMIFS(الريسبي!$C$2:$C$1800,الريسبي!$A$2:$A$1800,$A142,الريسبي!$B$2:$B$1800,BN$1)</f>
        <v>0</v>
      </c>
      <c r="BO142" s="115" t="n">
        <f aca="false">SUMIFS(الريسبي!$C$2:$C$1800,الريسبي!$A$2:$A$1800,$A142,الريسبي!$B$2:$B$1800,BO$1)</f>
        <v>0</v>
      </c>
      <c r="BP142" s="115" t="n">
        <f aca="false">SUMIFS(الريسبي!$C$2:$C$1800,الريسبي!$A$2:$A$1800,$A142,الريسبي!$B$2:$B$1800,BP$1)</f>
        <v>0</v>
      </c>
      <c r="BQ142" s="115"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15" t="n">
        <f aca="false">SUMIFS(الريسبي!$C$2:$C$1800,الريسبي!$A$2:$A$1800,$A142,الريسبي!$B$2:$B$1800,BR$1)</f>
        <v>0</v>
      </c>
      <c r="BS142" s="115" t="n">
        <f aca="false">SUMIFS(الريسبي!$C$2:$C$1800,الريسبي!$A$2:$A$1800,$A142,الريسبي!$B$2:$B$1800,BS$1)</f>
        <v>0</v>
      </c>
      <c r="BT142" s="115" t="n">
        <f aca="false">SUMIFS(الريسبي!$C$2:$C$1800,الريسبي!$A$2:$A$1800,$A142,الريسبي!$B$2:$B$1800,BT$1)</f>
        <v>0</v>
      </c>
      <c r="BU142" s="115"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15" t="n">
        <f aca="false">SUMIFS(الريسبي!$C$2:$C$1800,الريسبي!$A$2:$A$1800,$A142,الريسبي!$B$2:$B$1800,BV$1)</f>
        <v>0</v>
      </c>
      <c r="BW142" s="115" t="n">
        <f aca="false">SUMIFS(الريسبي!$C$2:$C$1800,الريسبي!$A$2:$A$1800,$A142,الريسبي!$B$2:$B$1800,BW$1)</f>
        <v>0</v>
      </c>
      <c r="BX142" s="115" t="n">
        <f aca="false">SUMIFS(الريسبي!$C$2:$C$1800,الريسبي!$A$2:$A$1800,$A142,الريسبي!$B$2:$B$1800,BX$1)</f>
        <v>0</v>
      </c>
      <c r="BY142" s="115" t="n">
        <f aca="false">SUMIFS(الريسبي!$C$2:$C$1800,الريسبي!$A$2:$A$1800,$A142,الريسبي!$B$2:$B$1800,BY$1)</f>
        <v>0</v>
      </c>
      <c r="BZ142" s="115" t="n">
        <f aca="false">SUMIFS(الريسبي!$C$2:$C$1800,الريسبي!$A$2:$A$1800,$A142,الريسبي!$B$2:$B$1800,BZ$1)</f>
        <v>0</v>
      </c>
      <c r="CA142" s="115" t="n">
        <f aca="false">SUMIFS(الريسبي!$C$2:$C$1800,الريسبي!$A$2:$A$1800,$A142,الريسبي!$B$2:$B$1800,CA$1)</f>
        <v>0</v>
      </c>
      <c r="CB142" s="115" t="n">
        <f aca="false">SUMIFS(الريسبي!$C$2:$C$1800,الريسبي!$A$2:$A$1800,$A142,الريسبي!$B$2:$B$1800,CB$1)</f>
        <v>0</v>
      </c>
      <c r="CC142" s="115" t="n">
        <f aca="false">SUMIFS(الريسبي!$C$2:$C$1800,الريسبي!$A$2:$A$1800,$A142,الريسبي!$B$2:$B$1800,CC$1)</f>
        <v>0</v>
      </c>
      <c r="CD142" s="115" t="n">
        <f aca="false">SUMIFS(الريسبي!$C$2:$C$1800,الريسبي!$A$2:$A$1800,$A142,الريسبي!$B$2:$B$1800,CD$1)</f>
        <v>0</v>
      </c>
      <c r="CE142" s="115" t="n">
        <f aca="false">SUMIFS(الريسبي!$C$2:$C$1800,الريسبي!$A$2:$A$1800,$A142,الريسبي!$B$2:$B$1800,CE$1)</f>
        <v>0</v>
      </c>
      <c r="CF142" s="115" t="n">
        <f aca="false">SUMIFS(الريسبي!$C$2:$C$1800,الريسبي!$A$2:$A$1800,$A142,الريسبي!$B$2:$B$1800,CF$1)</f>
        <v>0</v>
      </c>
      <c r="CG142" s="115" t="n">
        <f aca="false">SUMIFS(الريسبي!$C$2:$C$1800,الريسبي!$A$2:$A$1800,$A142,الريسبي!$B$2:$B$1800,CG$1)</f>
        <v>0</v>
      </c>
      <c r="CH142" s="115" t="n">
        <f aca="false">SUMIFS(الريسبي!$C$2:$C$1800,الريسبي!$A$2:$A$1800,$A142,الريسبي!$B$2:$B$1800,CH$1)</f>
        <v>0</v>
      </c>
    </row>
    <row r="143" customFormat="false" ht="15" hidden="false" customHeight="false" outlineLevel="0" collapsed="false">
      <c r="A143" s="114" t="str">
        <f aca="false">المنيو!B143</f>
        <v>اضافة مفروم (فطير وسط)</v>
      </c>
      <c r="B143" s="115" t="n">
        <f aca="false">SUMIFS(الريسبي!$C$2:$C$1800,الريسبي!$A$2:$A$1800,$A143,الريسبي!$B$2:$B$1800,B$1)</f>
        <v>0</v>
      </c>
      <c r="C143" s="115" t="n">
        <f aca="false">SUMIFS(الريسبي!$C$2:$C$1800,الريسبي!$A$2:$A$1800,$A143,الريسبي!$B$2:$B$1800,C$1)</f>
        <v>0</v>
      </c>
      <c r="D143" s="115" t="n">
        <f aca="false">SUMIFS(الريسبي!$C$2:$C$1800,الريسبي!$A$2:$A$1800,$A143,الريسبي!$B$2:$B$1800,D$1)</f>
        <v>0</v>
      </c>
      <c r="E143" s="115" t="n">
        <f aca="false">SUMIFS(الريسبي!$C$2:$C$1800,الريسبي!$A$2:$A$1800,$A143,الريسبي!$B$2:$B$1800,E$1)</f>
        <v>0</v>
      </c>
      <c r="F143" s="115" t="n">
        <f aca="false">SUMIFS(الريسبي!$C$2:$C$1800,الريسبي!$A$2:$A$1800,$A143,الريسبي!$B$2:$B$1800,F$1)</f>
        <v>0</v>
      </c>
      <c r="G143" s="115" t="n">
        <f aca="false">SUMIFS(الريسبي!$C$2:$C$1800,الريسبي!$A$2:$A$1800,$A143,الريسبي!$B$2:$B$1800,G$1)</f>
        <v>0</v>
      </c>
      <c r="H143" s="115" t="n">
        <f aca="false">SUMIFS(الريسبي!$C$2:$C$1800,الريسبي!$A$2:$A$1800,$A143,الريسبي!$B$2:$B$1800,H$1)</f>
        <v>0</v>
      </c>
      <c r="I143" s="115" t="n">
        <f aca="false">SUMIFS(الريسبي!$C$2:$C$1800,الريسبي!$A$2:$A$1800,$A143,الريسبي!$B$2:$B$1800,I$1)</f>
        <v>0</v>
      </c>
      <c r="J143" s="115" t="n">
        <f aca="false">SUMIFS(الريسبي!$C$2:$C$1800,الريسبي!$A$2:$A$1800,$A143,الريسبي!$B$2:$B$1800,J$1)</f>
        <v>0</v>
      </c>
      <c r="K143" s="115" t="n">
        <f aca="false">SUMIFS(الريسبي!$C$2:$C$1800,الريسبي!$A$2:$A$1800,$A143,الريسبي!$B$2:$B$1800,K$1)</f>
        <v>0</v>
      </c>
      <c r="L143" s="115" t="n">
        <f aca="false">SUMIFS(الريسبي!$C$2:$C$1800,الريسبي!$A$2:$A$1800,$A143,الريسبي!$B$2:$B$1800,L$1)</f>
        <v>0</v>
      </c>
      <c r="M143" s="115" t="n">
        <f aca="false">SUMIFS(الريسبي!$C$2:$C$1800,الريسبي!$A$2:$A$1800,$A143,الريسبي!$B$2:$B$1800,M$1)</f>
        <v>0</v>
      </c>
      <c r="N143" s="115" t="n">
        <f aca="false">SUMIFS(الريسبي!$C$2:$C$1800,الريسبي!$A$2:$A$1800,$A143,الريسبي!$B$2:$B$1800,N$1)</f>
        <v>0</v>
      </c>
      <c r="O143" s="115" t="n">
        <f aca="false">SUMIFS(الريسبي!$C$2:$C$1800,الريسبي!$A$2:$A$1800,$A143,الريسبي!$B$2:$B$1800,O$1)</f>
        <v>0</v>
      </c>
      <c r="P143" s="115" t="n">
        <f aca="false">SUMIFS(الريسبي!$C$2:$C$1800,الريسبي!$A$2:$A$1800,$A143,الريسبي!$B$2:$B$1800,P$1)</f>
        <v>0</v>
      </c>
      <c r="Q143" s="115" t="n">
        <f aca="false">SUMIFS(الريسبي!$C$2:$C$1800,الريسبي!$A$2:$A$1800,$A143,الريسبي!$B$2:$B$1800,Q$1)</f>
        <v>0</v>
      </c>
      <c r="R143" s="115" t="n">
        <f aca="false">SUMIFS(الريسبي!$C$2:$C$1800,الريسبي!$A$2:$A$1800,$A143,الريسبي!$B$2:$B$1800,R$1)</f>
        <v>0</v>
      </c>
      <c r="S143" s="115" t="n">
        <f aca="false">SUMIFS(الريسبي!$C$2:$C$1800,الريسبي!$A$2:$A$1800,$A143,الريسبي!$B$2:$B$1800,S$1)</f>
        <v>0</v>
      </c>
      <c r="T143" s="115" t="n">
        <f aca="false">SUMIFS(الريسبي!$C$2:$C$1800,الريسبي!$A$2:$A$1800,$A143,الريسبي!$B$2:$B$1800,T$1)</f>
        <v>1</v>
      </c>
      <c r="U143" s="115" t="n">
        <f aca="false">SUMIFS(الريسبي!$C$2:$C$1800,الريسبي!$A$2:$A$1800,$A143,الريسبي!$B$2:$B$1800,U$1)</f>
        <v>0</v>
      </c>
      <c r="V143" s="115" t="n">
        <f aca="false">SUMIFS(الريسبي!$C$2:$C$1800,الريسبي!$A$2:$A$1800,$A143,الريسبي!$B$2:$B$1800,V$1)</f>
        <v>0</v>
      </c>
      <c r="W143" s="115" t="n">
        <f aca="false">SUMIFS(الريسبي!$C$2:$C$1800,الريسبي!$A$2:$A$1800,$A143,الريسبي!$B$2:$B$1800,W$1)</f>
        <v>0</v>
      </c>
      <c r="X143" s="115" t="n">
        <f aca="false">SUMIFS(الريسبي!$C$2:$C$1800,الريسبي!$A$2:$A$1800,$A143,الريسبي!$B$2:$B$1800,X$1)</f>
        <v>0</v>
      </c>
      <c r="Y143" s="115" t="n">
        <f aca="false">SUMIFS(الريسبي!$C$2:$C$1800,الريسبي!$A$2:$A$1800,$A143,الريسبي!$B$2:$B$1800,Y$1)</f>
        <v>0</v>
      </c>
      <c r="Z143" s="115" t="n">
        <f aca="false">SUMIFS(الريسبي!$C$2:$C$1800,الريسبي!$A$2:$A$1800,$A143,الريسبي!$B$2:$B$1800,Z$1)</f>
        <v>0</v>
      </c>
      <c r="AA143" s="115" t="n">
        <f aca="false">SUMIFS(الريسبي!$C$2:$C$1800,الريسبي!$A$2:$A$1800,$A143,الريسبي!$B$2:$B$1800,AA$1)</f>
        <v>0</v>
      </c>
      <c r="AB143" s="115" t="n">
        <f aca="false">SUMIFS(الريسبي!$C$2:$C$1800,الريسبي!$A$2:$A$1800,$A143,الريسبي!$B$2:$B$1800,AB$1)</f>
        <v>0</v>
      </c>
      <c r="AC143" s="115" t="n">
        <f aca="false">SUMIFS(الريسبي!$C$2:$C$1800,الريسبي!$A$2:$A$1800,$A143,الريسبي!$B$2:$B$1800,AC$1)</f>
        <v>0</v>
      </c>
      <c r="AD143" s="115" t="n">
        <f aca="false">SUMIFS(الريسبي!$C$2:$C$1800,الريسبي!$A$2:$A$1800,$A143,الريسبي!$B$2:$B$1800,AD$1)</f>
        <v>0</v>
      </c>
      <c r="AE143" s="115" t="n">
        <f aca="false">SUMIFS(الريسبي!$C$2:$C$1800,الريسبي!$A$2:$A$1800,$A143,الريسبي!$B$2:$B$1800,AE$1)</f>
        <v>0</v>
      </c>
      <c r="AF143" s="115" t="n">
        <f aca="false">SUMIFS(الريسبي!$C$2:$C$1800,الريسبي!$A$2:$A$1800,$A143,الريسبي!$B$2:$B$1800,AF$1)</f>
        <v>0</v>
      </c>
      <c r="AG143" s="115" t="n">
        <f aca="false">SUMIFS(الريسبي!$C$2:$C$1800,الريسبي!$A$2:$A$1800,$A143,الريسبي!$B$2:$B$1800,AG$1)</f>
        <v>0</v>
      </c>
      <c r="AH143" s="115" t="n">
        <f aca="false">SUMIFS(الريسبي!$C$2:$C$1800,الريسبي!$A$2:$A$1800,$A143,الريسبي!$B$2:$B$1800,AH$1)</f>
        <v>0</v>
      </c>
      <c r="AI143" s="115" t="n">
        <f aca="false">SUMIFS(الريسبي!$C$2:$C$1800,الريسبي!$A$2:$A$1800,$A143,الريسبي!$B$2:$B$1800,AI$1)</f>
        <v>0</v>
      </c>
      <c r="AJ143" s="115" t="n">
        <f aca="false">SUMIFS(الريسبي!$C$2:$C$1800,الريسبي!$A$2:$A$1800,$A143,الريسبي!$B$2:$B$1800,AJ$1)</f>
        <v>0</v>
      </c>
      <c r="AK143" s="115" t="n">
        <f aca="false">SUMIFS(الريسبي!$C$2:$C$1800,الريسبي!$A$2:$A$1800,$A143,الريسبي!$B$2:$B$1800,AK$1)</f>
        <v>0</v>
      </c>
      <c r="AL143" s="115" t="n">
        <f aca="false">SUMIFS(الريسبي!$C$2:$C$1800,الريسبي!$A$2:$A$1800,$A143,الريسبي!$B$2:$B$1800,AL$1)</f>
        <v>0</v>
      </c>
      <c r="AM143" s="115"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15"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15" t="n">
        <f aca="false">SUMIFS(الريسبي!$C$2:$C$1800,الريسبي!$A$2:$A$1800,$A143,الريسبي!$B$2:$B$1800,AO$1)</f>
        <v>0</v>
      </c>
      <c r="AP143" s="115" t="n">
        <f aca="false">SUMIFS(الريسبي!$C$2:$C$1800,الريسبي!$A$2:$A$1800,$A143,الريسبي!$B$2:$B$1800,AP$1)</f>
        <v>0</v>
      </c>
      <c r="AQ143" s="115"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15" t="n">
        <f aca="false">SUMIFS(الريسبي!$C$2:$C$1800,الريسبي!$A$2:$A$1800,$A143,الريسبي!$B$2:$B$1800,AR$1)</f>
        <v>0</v>
      </c>
      <c r="AS143" s="115" t="n">
        <f aca="false">SUMIFS(الريسبي!$C$2:$C$1800,الريسبي!$A$2:$A$1800,$A143,الريسبي!$B$2:$B$1800,AS$1)</f>
        <v>0</v>
      </c>
      <c r="AT143" s="115" t="n">
        <f aca="false">SUMIFS(الريسبي!$C$2:$C$1800,الريسبي!$A$2:$A$1800,$A143,الريسبي!$B$2:$B$1800,AT$1)</f>
        <v>0</v>
      </c>
      <c r="AU143" s="115" t="n">
        <f aca="false">SUMIFS(الريسبي!$C$2:$C$1800,الريسبي!$A$2:$A$1800,$A143,الريسبي!$B$2:$B$1800,AU$1)</f>
        <v>0</v>
      </c>
      <c r="AV143" s="115" t="n">
        <f aca="false">SUMIFS(الريسبي!$C$2:$C$1800,الريسبي!$A$2:$A$1800,$A143,الريسبي!$B$2:$B$1800,AV$1)</f>
        <v>0</v>
      </c>
      <c r="AW143" s="115" t="n">
        <f aca="false">SUMIFS(الريسبي!$C$2:$C$1800,الريسبي!$A$2:$A$1800,$A143,الريسبي!$B$2:$B$1800,AW$1)</f>
        <v>0</v>
      </c>
      <c r="AX143" s="115" t="n">
        <f aca="false">SUMIFS(الريسبي!$C$2:$C$1800,الريسبي!$A$2:$A$1800,$A143,الريسبي!$B$2:$B$1800,AX$1)</f>
        <v>0</v>
      </c>
      <c r="AY143" s="115" t="n">
        <f aca="false">SUMIFS(الريسبي!$C$2:$C$1800,الريسبي!$A$2:$A$1800,$A143,الريسبي!$B$2:$B$1800,AY$1)</f>
        <v>0</v>
      </c>
      <c r="AZ143" s="115" t="n">
        <f aca="false">SUMIFS(الريسبي!$C$2:$C$1800,الريسبي!$A$2:$A$1800,$A143,الريسبي!$B$2:$B$1800,AZ$1)</f>
        <v>0</v>
      </c>
      <c r="BA143" s="115" t="n">
        <f aca="false">SUMIFS(الريسبي!$C$2:$C$1800,الريسبي!$A$2:$A$1800,$A143,الريسبي!$B$2:$B$1800,BA$1)</f>
        <v>0</v>
      </c>
      <c r="BB143" s="115" t="n">
        <f aca="false">SUMIFS(الريسبي!$C$2:$C$1800,الريسبي!$A$2:$A$1800,$A143,الريسبي!$B$2:$B$1800,BB$1)</f>
        <v>0</v>
      </c>
      <c r="BC143" s="115" t="n">
        <f aca="false">SUMIFS(الريسبي!$C$2:$C$1800,الريسبي!$A$2:$A$1800,$A143,الريسبي!$B$2:$B$1800,BC$1)</f>
        <v>0</v>
      </c>
      <c r="BD143" s="115" t="n">
        <f aca="false">SUMIFS(الريسبي!$C$2:$C$1800,الريسبي!$A$2:$A$1800,$A143,الريسبي!$B$2:$B$1800,BD$1)</f>
        <v>0</v>
      </c>
      <c r="BE143" s="115" t="n">
        <f aca="false">SUMIFS(الريسبي!$C$2:$C$1800,الريسبي!$A$2:$A$1800,$A143,الريسبي!$B$2:$B$1800,BE$1)</f>
        <v>0</v>
      </c>
      <c r="BF143" s="115" t="n">
        <f aca="false">SUMIFS(الريسبي!$C$2:$C$1800,الريسبي!$A$2:$A$1800,$A143,الريسبي!$B$2:$B$1800,BF$1)</f>
        <v>0</v>
      </c>
      <c r="BG143" s="115" t="n">
        <f aca="false">SUMIFS(الريسبي!$C$2:$C$1800,الريسبي!$A$2:$A$1800,$A143,الريسبي!$B$2:$B$1800,BG$1)</f>
        <v>0</v>
      </c>
      <c r="BH143" s="115" t="n">
        <f aca="false">SUMIFS(الريسبي!$C$2:$C$1800,الريسبي!$A$2:$A$1800,$A143,الريسبي!$B$2:$B$1800,BH$1)</f>
        <v>0</v>
      </c>
      <c r="BI143" s="115" t="n">
        <f aca="false">SUMIFS(الريسبي!$C$2:$C$1800,الريسبي!$A$2:$A$1800,$A143,الريسبي!$B$2:$B$1800,BI$1)</f>
        <v>0</v>
      </c>
      <c r="BJ143" s="115" t="n">
        <f aca="false">SUMIFS(الريسبي!$C$2:$C$1800,الريسبي!$A$2:$A$1800,$A143,الريسبي!$B$2:$B$1800,BJ$1)</f>
        <v>0</v>
      </c>
      <c r="BK143" s="115" t="n">
        <f aca="false">SUMIFS(الريسبي!$C$2:$C$1800,الريسبي!$A$2:$A$1800,$A143,الريسبي!$B$2:$B$1800,BK$1)</f>
        <v>0</v>
      </c>
      <c r="BL143" s="115" t="n">
        <f aca="false">SUMIFS(الريسبي!$C$2:$C$1800,الريسبي!$A$2:$A$1800,$A143,الريسبي!$B$2:$B$1800,BL$1)</f>
        <v>0</v>
      </c>
      <c r="BM143" s="115" t="n">
        <f aca="false">SUMIFS(الريسبي!$C$2:$C$1800,الريسبي!$A$2:$A$1800,$A143,الريسبي!$B$2:$B$1800,BM$1)</f>
        <v>0</v>
      </c>
      <c r="BN143" s="115" t="n">
        <f aca="false">SUMIFS(الريسبي!$C$2:$C$1800,الريسبي!$A$2:$A$1800,$A143,الريسبي!$B$2:$B$1800,BN$1)</f>
        <v>0</v>
      </c>
      <c r="BO143" s="115" t="n">
        <f aca="false">SUMIFS(الريسبي!$C$2:$C$1800,الريسبي!$A$2:$A$1800,$A143,الريسبي!$B$2:$B$1800,BO$1)</f>
        <v>0</v>
      </c>
      <c r="BP143" s="115" t="n">
        <f aca="false">SUMIFS(الريسبي!$C$2:$C$1800,الريسبي!$A$2:$A$1800,$A143,الريسبي!$B$2:$B$1800,BP$1)</f>
        <v>0</v>
      </c>
      <c r="BQ143" s="115"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15" t="n">
        <f aca="false">SUMIFS(الريسبي!$C$2:$C$1800,الريسبي!$A$2:$A$1800,$A143,الريسبي!$B$2:$B$1800,BR$1)</f>
        <v>0</v>
      </c>
      <c r="BS143" s="115" t="n">
        <f aca="false">SUMIFS(الريسبي!$C$2:$C$1800,الريسبي!$A$2:$A$1800,$A143,الريسبي!$B$2:$B$1800,BS$1)</f>
        <v>0</v>
      </c>
      <c r="BT143" s="115" t="n">
        <f aca="false">SUMIFS(الريسبي!$C$2:$C$1800,الريسبي!$A$2:$A$1800,$A143,الريسبي!$B$2:$B$1800,BT$1)</f>
        <v>0</v>
      </c>
      <c r="BU143" s="115"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15" t="n">
        <f aca="false">SUMIFS(الريسبي!$C$2:$C$1800,الريسبي!$A$2:$A$1800,$A143,الريسبي!$B$2:$B$1800,BV$1)</f>
        <v>0</v>
      </c>
      <c r="BW143" s="115" t="n">
        <f aca="false">SUMIFS(الريسبي!$C$2:$C$1800,الريسبي!$A$2:$A$1800,$A143,الريسبي!$B$2:$B$1800,BW$1)</f>
        <v>0</v>
      </c>
      <c r="BX143" s="115" t="n">
        <f aca="false">SUMIFS(الريسبي!$C$2:$C$1800,الريسبي!$A$2:$A$1800,$A143,الريسبي!$B$2:$B$1800,BX$1)</f>
        <v>0</v>
      </c>
      <c r="BY143" s="115" t="n">
        <f aca="false">SUMIFS(الريسبي!$C$2:$C$1800,الريسبي!$A$2:$A$1800,$A143,الريسبي!$B$2:$B$1800,BY$1)</f>
        <v>0</v>
      </c>
      <c r="BZ143" s="115" t="n">
        <f aca="false">SUMIFS(الريسبي!$C$2:$C$1800,الريسبي!$A$2:$A$1800,$A143,الريسبي!$B$2:$B$1800,BZ$1)</f>
        <v>0</v>
      </c>
      <c r="CA143" s="115" t="n">
        <f aca="false">SUMIFS(الريسبي!$C$2:$C$1800,الريسبي!$A$2:$A$1800,$A143,الريسبي!$B$2:$B$1800,CA$1)</f>
        <v>0</v>
      </c>
      <c r="CB143" s="115" t="n">
        <f aca="false">SUMIFS(الريسبي!$C$2:$C$1800,الريسبي!$A$2:$A$1800,$A143,الريسبي!$B$2:$B$1800,CB$1)</f>
        <v>0</v>
      </c>
      <c r="CC143" s="115" t="n">
        <f aca="false">SUMIFS(الريسبي!$C$2:$C$1800,الريسبي!$A$2:$A$1800,$A143,الريسبي!$B$2:$B$1800,CC$1)</f>
        <v>0</v>
      </c>
      <c r="CD143" s="115" t="n">
        <f aca="false">SUMIFS(الريسبي!$C$2:$C$1800,الريسبي!$A$2:$A$1800,$A143,الريسبي!$B$2:$B$1800,CD$1)</f>
        <v>0</v>
      </c>
      <c r="CE143" s="115" t="n">
        <f aca="false">SUMIFS(الريسبي!$C$2:$C$1800,الريسبي!$A$2:$A$1800,$A143,الريسبي!$B$2:$B$1800,CE$1)</f>
        <v>0</v>
      </c>
      <c r="CF143" s="115" t="n">
        <f aca="false">SUMIFS(الريسبي!$C$2:$C$1800,الريسبي!$A$2:$A$1800,$A143,الريسبي!$B$2:$B$1800,CF$1)</f>
        <v>0</v>
      </c>
      <c r="CG143" s="115" t="n">
        <f aca="false">SUMIFS(الريسبي!$C$2:$C$1800,الريسبي!$A$2:$A$1800,$A143,الريسبي!$B$2:$B$1800,CG$1)</f>
        <v>0</v>
      </c>
      <c r="CH143" s="115" t="n">
        <f aca="false">SUMIFS(الريسبي!$C$2:$C$1800,الريسبي!$A$2:$A$1800,$A143,الريسبي!$B$2:$B$1800,CH$1)</f>
        <v>0</v>
      </c>
    </row>
    <row r="144" customFormat="false" ht="15" hidden="false" customHeight="false" outlineLevel="0" collapsed="false">
      <c r="A144" s="114" t="str">
        <f aca="false">المنيو!B144</f>
        <v>اضافة سدق (بيتزا وسط)</v>
      </c>
      <c r="B144" s="115" t="n">
        <f aca="false">SUMIFS(الريسبي!$C$2:$C$1800,الريسبي!$A$2:$A$1800,$A144,الريسبي!$B$2:$B$1800,B$1)</f>
        <v>0</v>
      </c>
      <c r="C144" s="115" t="n">
        <f aca="false">SUMIFS(الريسبي!$C$2:$C$1800,الريسبي!$A$2:$A$1800,$A144,الريسبي!$B$2:$B$1800,C$1)</f>
        <v>0</v>
      </c>
      <c r="D144" s="115" t="n">
        <f aca="false">SUMIFS(الريسبي!$C$2:$C$1800,الريسبي!$A$2:$A$1800,$A144,الريسبي!$B$2:$B$1800,D$1)</f>
        <v>0</v>
      </c>
      <c r="E144" s="115" t="n">
        <f aca="false">SUMIFS(الريسبي!$C$2:$C$1800,الريسبي!$A$2:$A$1800,$A144,الريسبي!$B$2:$B$1800,E$1)</f>
        <v>0</v>
      </c>
      <c r="F144" s="115" t="n">
        <f aca="false">SUMIFS(الريسبي!$C$2:$C$1800,الريسبي!$A$2:$A$1800,$A144,الريسبي!$B$2:$B$1800,F$1)</f>
        <v>0</v>
      </c>
      <c r="G144" s="115" t="n">
        <f aca="false">SUMIFS(الريسبي!$C$2:$C$1800,الريسبي!$A$2:$A$1800,$A144,الريسبي!$B$2:$B$1800,G$1)</f>
        <v>0</v>
      </c>
      <c r="H144" s="115" t="n">
        <f aca="false">SUMIFS(الريسبي!$C$2:$C$1800,الريسبي!$A$2:$A$1800,$A144,الريسبي!$B$2:$B$1800,H$1)</f>
        <v>0</v>
      </c>
      <c r="I144" s="115" t="n">
        <f aca="false">SUMIFS(الريسبي!$C$2:$C$1800,الريسبي!$A$2:$A$1800,$A144,الريسبي!$B$2:$B$1800,I$1)</f>
        <v>0</v>
      </c>
      <c r="J144" s="115" t="n">
        <f aca="false">SUMIFS(الريسبي!$C$2:$C$1800,الريسبي!$A$2:$A$1800,$A144,الريسبي!$B$2:$B$1800,J$1)</f>
        <v>0</v>
      </c>
      <c r="K144" s="115" t="n">
        <f aca="false">SUMIFS(الريسبي!$C$2:$C$1800,الريسبي!$A$2:$A$1800,$A144,الريسبي!$B$2:$B$1800,K$1)</f>
        <v>0</v>
      </c>
      <c r="L144" s="115" t="n">
        <f aca="false">SUMIFS(الريسبي!$C$2:$C$1800,الريسبي!$A$2:$A$1800,$A144,الريسبي!$B$2:$B$1800,L$1)</f>
        <v>1</v>
      </c>
      <c r="M144" s="115" t="n">
        <f aca="false">SUMIFS(الريسبي!$C$2:$C$1800,الريسبي!$A$2:$A$1800,$A144,الريسبي!$B$2:$B$1800,M$1)</f>
        <v>0</v>
      </c>
      <c r="N144" s="115" t="n">
        <f aca="false">SUMIFS(الريسبي!$C$2:$C$1800,الريسبي!$A$2:$A$1800,$A144,الريسبي!$B$2:$B$1800,N$1)</f>
        <v>0</v>
      </c>
      <c r="O144" s="115" t="n">
        <f aca="false">SUMIFS(الريسبي!$C$2:$C$1800,الريسبي!$A$2:$A$1800,$A144,الريسبي!$B$2:$B$1800,O$1)</f>
        <v>0</v>
      </c>
      <c r="P144" s="115" t="n">
        <f aca="false">SUMIFS(الريسبي!$C$2:$C$1800,الريسبي!$A$2:$A$1800,$A144,الريسبي!$B$2:$B$1800,P$1)</f>
        <v>0</v>
      </c>
      <c r="Q144" s="115" t="n">
        <f aca="false">SUMIFS(الريسبي!$C$2:$C$1800,الريسبي!$A$2:$A$1800,$A144,الريسبي!$B$2:$B$1800,Q$1)</f>
        <v>0</v>
      </c>
      <c r="R144" s="115" t="n">
        <f aca="false">SUMIFS(الريسبي!$C$2:$C$1800,الريسبي!$A$2:$A$1800,$A144,الريسبي!$B$2:$B$1800,R$1)</f>
        <v>0</v>
      </c>
      <c r="S144" s="115" t="n">
        <f aca="false">SUMIFS(الريسبي!$C$2:$C$1800,الريسبي!$A$2:$A$1800,$A144,الريسبي!$B$2:$B$1800,S$1)</f>
        <v>0</v>
      </c>
      <c r="T144" s="115" t="n">
        <f aca="false">SUMIFS(الريسبي!$C$2:$C$1800,الريسبي!$A$2:$A$1800,$A144,الريسبي!$B$2:$B$1800,T$1)</f>
        <v>0</v>
      </c>
      <c r="U144" s="115" t="n">
        <f aca="false">SUMIFS(الريسبي!$C$2:$C$1800,الريسبي!$A$2:$A$1800,$A144,الريسبي!$B$2:$B$1800,U$1)</f>
        <v>0</v>
      </c>
      <c r="V144" s="115" t="n">
        <f aca="false">SUMIFS(الريسبي!$C$2:$C$1800,الريسبي!$A$2:$A$1800,$A144,الريسبي!$B$2:$B$1800,V$1)</f>
        <v>0</v>
      </c>
      <c r="W144" s="115" t="n">
        <f aca="false">SUMIFS(الريسبي!$C$2:$C$1800,الريسبي!$A$2:$A$1800,$A144,الريسبي!$B$2:$B$1800,W$1)</f>
        <v>0</v>
      </c>
      <c r="X144" s="115" t="n">
        <f aca="false">SUMIFS(الريسبي!$C$2:$C$1800,الريسبي!$A$2:$A$1800,$A144,الريسبي!$B$2:$B$1800,X$1)</f>
        <v>0</v>
      </c>
      <c r="Y144" s="115" t="n">
        <f aca="false">SUMIFS(الريسبي!$C$2:$C$1800,الريسبي!$A$2:$A$1800,$A144,الريسبي!$B$2:$B$1800,Y$1)</f>
        <v>0</v>
      </c>
      <c r="Z144" s="115" t="n">
        <f aca="false">SUMIFS(الريسبي!$C$2:$C$1800,الريسبي!$A$2:$A$1800,$A144,الريسبي!$B$2:$B$1800,Z$1)</f>
        <v>0</v>
      </c>
      <c r="AA144" s="115" t="n">
        <f aca="false">SUMIFS(الريسبي!$C$2:$C$1800,الريسبي!$A$2:$A$1800,$A144,الريسبي!$B$2:$B$1800,AA$1)</f>
        <v>0</v>
      </c>
      <c r="AB144" s="115" t="n">
        <f aca="false">SUMIFS(الريسبي!$C$2:$C$1800,الريسبي!$A$2:$A$1800,$A144,الريسبي!$B$2:$B$1800,AB$1)</f>
        <v>0</v>
      </c>
      <c r="AC144" s="115" t="n">
        <f aca="false">SUMIFS(الريسبي!$C$2:$C$1800,الريسبي!$A$2:$A$1800,$A144,الريسبي!$B$2:$B$1800,AC$1)</f>
        <v>0</v>
      </c>
      <c r="AD144" s="115" t="n">
        <f aca="false">SUMIFS(الريسبي!$C$2:$C$1800,الريسبي!$A$2:$A$1800,$A144,الريسبي!$B$2:$B$1800,AD$1)</f>
        <v>0</v>
      </c>
      <c r="AE144" s="115" t="n">
        <f aca="false">SUMIFS(الريسبي!$C$2:$C$1800,الريسبي!$A$2:$A$1800,$A144,الريسبي!$B$2:$B$1800,AE$1)</f>
        <v>0</v>
      </c>
      <c r="AF144" s="115" t="n">
        <f aca="false">SUMIFS(الريسبي!$C$2:$C$1800,الريسبي!$A$2:$A$1800,$A144,الريسبي!$B$2:$B$1800,AF$1)</f>
        <v>0</v>
      </c>
      <c r="AG144" s="115" t="n">
        <f aca="false">SUMIFS(الريسبي!$C$2:$C$1800,الريسبي!$A$2:$A$1800,$A144,الريسبي!$B$2:$B$1800,AG$1)</f>
        <v>0</v>
      </c>
      <c r="AH144" s="115" t="n">
        <f aca="false">SUMIFS(الريسبي!$C$2:$C$1800,الريسبي!$A$2:$A$1800,$A144,الريسبي!$B$2:$B$1800,AH$1)</f>
        <v>0</v>
      </c>
      <c r="AI144" s="115" t="n">
        <f aca="false">SUMIFS(الريسبي!$C$2:$C$1800,الريسبي!$A$2:$A$1800,$A144,الريسبي!$B$2:$B$1800,AI$1)</f>
        <v>0</v>
      </c>
      <c r="AJ144" s="115" t="n">
        <f aca="false">SUMIFS(الريسبي!$C$2:$C$1800,الريسبي!$A$2:$A$1800,$A144,الريسبي!$B$2:$B$1800,AJ$1)</f>
        <v>0</v>
      </c>
      <c r="AK144" s="115" t="n">
        <f aca="false">SUMIFS(الريسبي!$C$2:$C$1800,الريسبي!$A$2:$A$1800,$A144,الريسبي!$B$2:$B$1800,AK$1)</f>
        <v>0</v>
      </c>
      <c r="AL144" s="115" t="n">
        <f aca="false">SUMIFS(الريسبي!$C$2:$C$1800,الريسبي!$A$2:$A$1800,$A144,الريسبي!$B$2:$B$1800,AL$1)</f>
        <v>0</v>
      </c>
      <c r="AM144" s="115"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15"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15" t="n">
        <f aca="false">SUMIFS(الريسبي!$C$2:$C$1800,الريسبي!$A$2:$A$1800,$A144,الريسبي!$B$2:$B$1800,AO$1)</f>
        <v>0</v>
      </c>
      <c r="AP144" s="115" t="n">
        <f aca="false">SUMIFS(الريسبي!$C$2:$C$1800,الريسبي!$A$2:$A$1800,$A144,الريسبي!$B$2:$B$1800,AP$1)</f>
        <v>0</v>
      </c>
      <c r="AQ144" s="115"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15" t="n">
        <f aca="false">SUMIFS(الريسبي!$C$2:$C$1800,الريسبي!$A$2:$A$1800,$A144,الريسبي!$B$2:$B$1800,AR$1)</f>
        <v>0</v>
      </c>
      <c r="AS144" s="115" t="n">
        <f aca="false">SUMIFS(الريسبي!$C$2:$C$1800,الريسبي!$A$2:$A$1800,$A144,الريسبي!$B$2:$B$1800,AS$1)</f>
        <v>0</v>
      </c>
      <c r="AT144" s="115" t="n">
        <f aca="false">SUMIFS(الريسبي!$C$2:$C$1800,الريسبي!$A$2:$A$1800,$A144,الريسبي!$B$2:$B$1800,AT$1)</f>
        <v>0</v>
      </c>
      <c r="AU144" s="115" t="n">
        <f aca="false">SUMIFS(الريسبي!$C$2:$C$1800,الريسبي!$A$2:$A$1800,$A144,الريسبي!$B$2:$B$1800,AU$1)</f>
        <v>0</v>
      </c>
      <c r="AV144" s="115" t="n">
        <f aca="false">SUMIFS(الريسبي!$C$2:$C$1800,الريسبي!$A$2:$A$1800,$A144,الريسبي!$B$2:$B$1800,AV$1)</f>
        <v>0</v>
      </c>
      <c r="AW144" s="115" t="n">
        <f aca="false">SUMIFS(الريسبي!$C$2:$C$1800,الريسبي!$A$2:$A$1800,$A144,الريسبي!$B$2:$B$1800,AW$1)</f>
        <v>0</v>
      </c>
      <c r="AX144" s="115" t="n">
        <f aca="false">SUMIFS(الريسبي!$C$2:$C$1800,الريسبي!$A$2:$A$1800,$A144,الريسبي!$B$2:$B$1800,AX$1)</f>
        <v>0</v>
      </c>
      <c r="AY144" s="115" t="n">
        <f aca="false">SUMIFS(الريسبي!$C$2:$C$1800,الريسبي!$A$2:$A$1800,$A144,الريسبي!$B$2:$B$1800,AY$1)</f>
        <v>0</v>
      </c>
      <c r="AZ144" s="115" t="n">
        <f aca="false">SUMIFS(الريسبي!$C$2:$C$1800,الريسبي!$A$2:$A$1800,$A144,الريسبي!$B$2:$B$1800,AZ$1)</f>
        <v>0</v>
      </c>
      <c r="BA144" s="115" t="n">
        <f aca="false">SUMIFS(الريسبي!$C$2:$C$1800,الريسبي!$A$2:$A$1800,$A144,الريسبي!$B$2:$B$1800,BA$1)</f>
        <v>0</v>
      </c>
      <c r="BB144" s="115" t="n">
        <f aca="false">SUMIFS(الريسبي!$C$2:$C$1800,الريسبي!$A$2:$A$1800,$A144,الريسبي!$B$2:$B$1800,BB$1)</f>
        <v>0</v>
      </c>
      <c r="BC144" s="115" t="n">
        <f aca="false">SUMIFS(الريسبي!$C$2:$C$1800,الريسبي!$A$2:$A$1800,$A144,الريسبي!$B$2:$B$1800,BC$1)</f>
        <v>0</v>
      </c>
      <c r="BD144" s="115" t="n">
        <f aca="false">SUMIFS(الريسبي!$C$2:$C$1800,الريسبي!$A$2:$A$1800,$A144,الريسبي!$B$2:$B$1800,BD$1)</f>
        <v>0</v>
      </c>
      <c r="BE144" s="115" t="n">
        <f aca="false">SUMIFS(الريسبي!$C$2:$C$1800,الريسبي!$A$2:$A$1800,$A144,الريسبي!$B$2:$B$1800,BE$1)</f>
        <v>0</v>
      </c>
      <c r="BF144" s="115" t="n">
        <f aca="false">SUMIFS(الريسبي!$C$2:$C$1800,الريسبي!$A$2:$A$1800,$A144,الريسبي!$B$2:$B$1800,BF$1)</f>
        <v>0</v>
      </c>
      <c r="BG144" s="115" t="n">
        <f aca="false">SUMIFS(الريسبي!$C$2:$C$1800,الريسبي!$A$2:$A$1800,$A144,الريسبي!$B$2:$B$1800,BG$1)</f>
        <v>0</v>
      </c>
      <c r="BH144" s="115" t="n">
        <f aca="false">SUMIFS(الريسبي!$C$2:$C$1800,الريسبي!$A$2:$A$1800,$A144,الريسبي!$B$2:$B$1800,BH$1)</f>
        <v>0</v>
      </c>
      <c r="BI144" s="115" t="n">
        <f aca="false">SUMIFS(الريسبي!$C$2:$C$1800,الريسبي!$A$2:$A$1800,$A144,الريسبي!$B$2:$B$1800,BI$1)</f>
        <v>0</v>
      </c>
      <c r="BJ144" s="115" t="n">
        <f aca="false">SUMIFS(الريسبي!$C$2:$C$1800,الريسبي!$A$2:$A$1800,$A144,الريسبي!$B$2:$B$1800,BJ$1)</f>
        <v>0</v>
      </c>
      <c r="BK144" s="115" t="n">
        <f aca="false">SUMIFS(الريسبي!$C$2:$C$1800,الريسبي!$A$2:$A$1800,$A144,الريسبي!$B$2:$B$1800,BK$1)</f>
        <v>0</v>
      </c>
      <c r="BL144" s="115" t="n">
        <f aca="false">SUMIFS(الريسبي!$C$2:$C$1800,الريسبي!$A$2:$A$1800,$A144,الريسبي!$B$2:$B$1800,BL$1)</f>
        <v>0</v>
      </c>
      <c r="BM144" s="115" t="n">
        <f aca="false">SUMIFS(الريسبي!$C$2:$C$1800,الريسبي!$A$2:$A$1800,$A144,الريسبي!$B$2:$B$1800,BM$1)</f>
        <v>0</v>
      </c>
      <c r="BN144" s="115" t="n">
        <f aca="false">SUMIFS(الريسبي!$C$2:$C$1800,الريسبي!$A$2:$A$1800,$A144,الريسبي!$B$2:$B$1800,BN$1)</f>
        <v>0</v>
      </c>
      <c r="BO144" s="115" t="n">
        <f aca="false">SUMIFS(الريسبي!$C$2:$C$1800,الريسبي!$A$2:$A$1800,$A144,الريسبي!$B$2:$B$1800,BO$1)</f>
        <v>0</v>
      </c>
      <c r="BP144" s="115" t="n">
        <f aca="false">SUMIFS(الريسبي!$C$2:$C$1800,الريسبي!$A$2:$A$1800,$A144,الريسبي!$B$2:$B$1800,BP$1)</f>
        <v>0</v>
      </c>
      <c r="BQ144" s="115"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15" t="n">
        <f aca="false">SUMIFS(الريسبي!$C$2:$C$1800,الريسبي!$A$2:$A$1800,$A144,الريسبي!$B$2:$B$1800,BR$1)</f>
        <v>0</v>
      </c>
      <c r="BS144" s="115" t="n">
        <f aca="false">SUMIFS(الريسبي!$C$2:$C$1800,الريسبي!$A$2:$A$1800,$A144,الريسبي!$B$2:$B$1800,BS$1)</f>
        <v>0</v>
      </c>
      <c r="BT144" s="115" t="n">
        <f aca="false">SUMIFS(الريسبي!$C$2:$C$1800,الريسبي!$A$2:$A$1800,$A144,الريسبي!$B$2:$B$1800,BT$1)</f>
        <v>0</v>
      </c>
      <c r="BU144" s="115"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15" t="n">
        <f aca="false">SUMIFS(الريسبي!$C$2:$C$1800,الريسبي!$A$2:$A$1800,$A144,الريسبي!$B$2:$B$1800,BV$1)</f>
        <v>0</v>
      </c>
      <c r="BW144" s="115" t="n">
        <f aca="false">SUMIFS(الريسبي!$C$2:$C$1800,الريسبي!$A$2:$A$1800,$A144,الريسبي!$B$2:$B$1800,BW$1)</f>
        <v>0</v>
      </c>
      <c r="BX144" s="115" t="n">
        <f aca="false">SUMIFS(الريسبي!$C$2:$C$1800,الريسبي!$A$2:$A$1800,$A144,الريسبي!$B$2:$B$1800,BX$1)</f>
        <v>0</v>
      </c>
      <c r="BY144" s="115" t="n">
        <f aca="false">SUMIFS(الريسبي!$C$2:$C$1800,الريسبي!$A$2:$A$1800,$A144,الريسبي!$B$2:$B$1800,BY$1)</f>
        <v>0</v>
      </c>
      <c r="BZ144" s="115" t="n">
        <f aca="false">SUMIFS(الريسبي!$C$2:$C$1800,الريسبي!$A$2:$A$1800,$A144,الريسبي!$B$2:$B$1800,BZ$1)</f>
        <v>0</v>
      </c>
      <c r="CA144" s="115" t="n">
        <f aca="false">SUMIFS(الريسبي!$C$2:$C$1800,الريسبي!$A$2:$A$1800,$A144,الريسبي!$B$2:$B$1800,CA$1)</f>
        <v>0</v>
      </c>
      <c r="CB144" s="115" t="n">
        <f aca="false">SUMIFS(الريسبي!$C$2:$C$1800,الريسبي!$A$2:$A$1800,$A144,الريسبي!$B$2:$B$1800,CB$1)</f>
        <v>0</v>
      </c>
      <c r="CC144" s="115" t="n">
        <f aca="false">SUMIFS(الريسبي!$C$2:$C$1800,الريسبي!$A$2:$A$1800,$A144,الريسبي!$B$2:$B$1800,CC$1)</f>
        <v>0</v>
      </c>
      <c r="CD144" s="115" t="n">
        <f aca="false">SUMIFS(الريسبي!$C$2:$C$1800,الريسبي!$A$2:$A$1800,$A144,الريسبي!$B$2:$B$1800,CD$1)</f>
        <v>0</v>
      </c>
      <c r="CE144" s="115" t="n">
        <f aca="false">SUMIFS(الريسبي!$C$2:$C$1800,الريسبي!$A$2:$A$1800,$A144,الريسبي!$B$2:$B$1800,CE$1)</f>
        <v>0</v>
      </c>
      <c r="CF144" s="115" t="n">
        <f aca="false">SUMIFS(الريسبي!$C$2:$C$1800,الريسبي!$A$2:$A$1800,$A144,الريسبي!$B$2:$B$1800,CF$1)</f>
        <v>0</v>
      </c>
      <c r="CG144" s="115" t="n">
        <f aca="false">SUMIFS(الريسبي!$C$2:$C$1800,الريسبي!$A$2:$A$1800,$A144,الريسبي!$B$2:$B$1800,CG$1)</f>
        <v>0</v>
      </c>
      <c r="CH144" s="115" t="n">
        <f aca="false">SUMIFS(الريسبي!$C$2:$C$1800,الريسبي!$A$2:$A$1800,$A144,الريسبي!$B$2:$B$1800,CH$1)</f>
        <v>0</v>
      </c>
    </row>
    <row r="145" customFormat="false" ht="15" hidden="false" customHeight="false" outlineLevel="0" collapsed="false">
      <c r="A145" s="114" t="str">
        <f aca="false">المنيو!B145</f>
        <v>اضافة سدق (فطير وسط)</v>
      </c>
      <c r="B145" s="115" t="n">
        <f aca="false">SUMIFS(الريسبي!$C$2:$C$1800,الريسبي!$A$2:$A$1800,$A145,الريسبي!$B$2:$B$1800,B$1)</f>
        <v>0</v>
      </c>
      <c r="C145" s="115" t="n">
        <f aca="false">SUMIFS(الريسبي!$C$2:$C$1800,الريسبي!$A$2:$A$1800,$A145,الريسبي!$B$2:$B$1800,C$1)</f>
        <v>0</v>
      </c>
      <c r="D145" s="115" t="n">
        <f aca="false">SUMIFS(الريسبي!$C$2:$C$1800,الريسبي!$A$2:$A$1800,$A145,الريسبي!$B$2:$B$1800,D$1)</f>
        <v>0</v>
      </c>
      <c r="E145" s="115" t="n">
        <f aca="false">SUMIFS(الريسبي!$C$2:$C$1800,الريسبي!$A$2:$A$1800,$A145,الريسبي!$B$2:$B$1800,E$1)</f>
        <v>0</v>
      </c>
      <c r="F145" s="115" t="n">
        <f aca="false">SUMIFS(الريسبي!$C$2:$C$1800,الريسبي!$A$2:$A$1800,$A145,الريسبي!$B$2:$B$1800,F$1)</f>
        <v>0</v>
      </c>
      <c r="G145" s="115" t="n">
        <f aca="false">SUMIFS(الريسبي!$C$2:$C$1800,الريسبي!$A$2:$A$1800,$A145,الريسبي!$B$2:$B$1800,G$1)</f>
        <v>0</v>
      </c>
      <c r="H145" s="115" t="n">
        <f aca="false">SUMIFS(الريسبي!$C$2:$C$1800,الريسبي!$A$2:$A$1800,$A145,الريسبي!$B$2:$B$1800,H$1)</f>
        <v>0</v>
      </c>
      <c r="I145" s="115" t="n">
        <f aca="false">SUMIFS(الريسبي!$C$2:$C$1800,الريسبي!$A$2:$A$1800,$A145,الريسبي!$B$2:$B$1800,I$1)</f>
        <v>0</v>
      </c>
      <c r="J145" s="115" t="n">
        <f aca="false">SUMIFS(الريسبي!$C$2:$C$1800,الريسبي!$A$2:$A$1800,$A145,الريسبي!$B$2:$B$1800,J$1)</f>
        <v>0</v>
      </c>
      <c r="K145" s="115" t="n">
        <f aca="false">SUMIFS(الريسبي!$C$2:$C$1800,الريسبي!$A$2:$A$1800,$A145,الريسبي!$B$2:$B$1800,K$1)</f>
        <v>0</v>
      </c>
      <c r="L145" s="115" t="n">
        <f aca="false">SUMIFS(الريسبي!$C$2:$C$1800,الريسبي!$A$2:$A$1800,$A145,الريسبي!$B$2:$B$1800,L$1)</f>
        <v>1</v>
      </c>
      <c r="M145" s="115" t="n">
        <f aca="false">SUMIFS(الريسبي!$C$2:$C$1800,الريسبي!$A$2:$A$1800,$A145,الريسبي!$B$2:$B$1800,M$1)</f>
        <v>0</v>
      </c>
      <c r="N145" s="115" t="n">
        <f aca="false">SUMIFS(الريسبي!$C$2:$C$1800,الريسبي!$A$2:$A$1800,$A145,الريسبي!$B$2:$B$1800,N$1)</f>
        <v>0</v>
      </c>
      <c r="O145" s="115" t="n">
        <f aca="false">SUMIFS(الريسبي!$C$2:$C$1800,الريسبي!$A$2:$A$1800,$A145,الريسبي!$B$2:$B$1800,O$1)</f>
        <v>0</v>
      </c>
      <c r="P145" s="115" t="n">
        <f aca="false">SUMIFS(الريسبي!$C$2:$C$1800,الريسبي!$A$2:$A$1800,$A145,الريسبي!$B$2:$B$1800,P$1)</f>
        <v>0</v>
      </c>
      <c r="Q145" s="115" t="n">
        <f aca="false">SUMIFS(الريسبي!$C$2:$C$1800,الريسبي!$A$2:$A$1800,$A145,الريسبي!$B$2:$B$1800,Q$1)</f>
        <v>0</v>
      </c>
      <c r="R145" s="115" t="n">
        <f aca="false">SUMIFS(الريسبي!$C$2:$C$1800,الريسبي!$A$2:$A$1800,$A145,الريسبي!$B$2:$B$1800,R$1)</f>
        <v>0</v>
      </c>
      <c r="S145" s="115" t="n">
        <f aca="false">SUMIFS(الريسبي!$C$2:$C$1800,الريسبي!$A$2:$A$1800,$A145,الريسبي!$B$2:$B$1800,S$1)</f>
        <v>0</v>
      </c>
      <c r="T145" s="115" t="n">
        <f aca="false">SUMIFS(الريسبي!$C$2:$C$1800,الريسبي!$A$2:$A$1800,$A145,الريسبي!$B$2:$B$1800,T$1)</f>
        <v>0</v>
      </c>
      <c r="U145" s="115" t="n">
        <f aca="false">SUMIFS(الريسبي!$C$2:$C$1800,الريسبي!$A$2:$A$1800,$A145,الريسبي!$B$2:$B$1800,U$1)</f>
        <v>0</v>
      </c>
      <c r="V145" s="115" t="n">
        <f aca="false">SUMIFS(الريسبي!$C$2:$C$1800,الريسبي!$A$2:$A$1800,$A145,الريسبي!$B$2:$B$1800,V$1)</f>
        <v>0</v>
      </c>
      <c r="W145" s="115" t="n">
        <f aca="false">SUMIFS(الريسبي!$C$2:$C$1800,الريسبي!$A$2:$A$1800,$A145,الريسبي!$B$2:$B$1800,W$1)</f>
        <v>0</v>
      </c>
      <c r="X145" s="115" t="n">
        <f aca="false">SUMIFS(الريسبي!$C$2:$C$1800,الريسبي!$A$2:$A$1800,$A145,الريسبي!$B$2:$B$1800,X$1)</f>
        <v>0</v>
      </c>
      <c r="Y145" s="115" t="n">
        <f aca="false">SUMIFS(الريسبي!$C$2:$C$1800,الريسبي!$A$2:$A$1800,$A145,الريسبي!$B$2:$B$1800,Y$1)</f>
        <v>0</v>
      </c>
      <c r="Z145" s="115" t="n">
        <f aca="false">SUMIFS(الريسبي!$C$2:$C$1800,الريسبي!$A$2:$A$1800,$A145,الريسبي!$B$2:$B$1800,Z$1)</f>
        <v>0</v>
      </c>
      <c r="AA145" s="115" t="n">
        <f aca="false">SUMIFS(الريسبي!$C$2:$C$1800,الريسبي!$A$2:$A$1800,$A145,الريسبي!$B$2:$B$1800,AA$1)</f>
        <v>0</v>
      </c>
      <c r="AB145" s="115" t="n">
        <f aca="false">SUMIFS(الريسبي!$C$2:$C$1800,الريسبي!$A$2:$A$1800,$A145,الريسبي!$B$2:$B$1800,AB$1)</f>
        <v>0</v>
      </c>
      <c r="AC145" s="115" t="n">
        <f aca="false">SUMIFS(الريسبي!$C$2:$C$1800,الريسبي!$A$2:$A$1800,$A145,الريسبي!$B$2:$B$1800,AC$1)</f>
        <v>0</v>
      </c>
      <c r="AD145" s="115" t="n">
        <f aca="false">SUMIFS(الريسبي!$C$2:$C$1800,الريسبي!$A$2:$A$1800,$A145,الريسبي!$B$2:$B$1800,AD$1)</f>
        <v>0</v>
      </c>
      <c r="AE145" s="115" t="n">
        <f aca="false">SUMIFS(الريسبي!$C$2:$C$1800,الريسبي!$A$2:$A$1800,$A145,الريسبي!$B$2:$B$1800,AE$1)</f>
        <v>0</v>
      </c>
      <c r="AF145" s="115" t="n">
        <f aca="false">SUMIFS(الريسبي!$C$2:$C$1800,الريسبي!$A$2:$A$1800,$A145,الريسبي!$B$2:$B$1800,AF$1)</f>
        <v>0</v>
      </c>
      <c r="AG145" s="115" t="n">
        <f aca="false">SUMIFS(الريسبي!$C$2:$C$1800,الريسبي!$A$2:$A$1800,$A145,الريسبي!$B$2:$B$1800,AG$1)</f>
        <v>0</v>
      </c>
      <c r="AH145" s="115" t="n">
        <f aca="false">SUMIFS(الريسبي!$C$2:$C$1800,الريسبي!$A$2:$A$1800,$A145,الريسبي!$B$2:$B$1800,AH$1)</f>
        <v>0</v>
      </c>
      <c r="AI145" s="115" t="n">
        <f aca="false">SUMIFS(الريسبي!$C$2:$C$1800,الريسبي!$A$2:$A$1800,$A145,الريسبي!$B$2:$B$1800,AI$1)</f>
        <v>0</v>
      </c>
      <c r="AJ145" s="115" t="n">
        <f aca="false">SUMIFS(الريسبي!$C$2:$C$1800,الريسبي!$A$2:$A$1800,$A145,الريسبي!$B$2:$B$1800,AJ$1)</f>
        <v>0</v>
      </c>
      <c r="AK145" s="115" t="n">
        <f aca="false">SUMIFS(الريسبي!$C$2:$C$1800,الريسبي!$A$2:$A$1800,$A145,الريسبي!$B$2:$B$1800,AK$1)</f>
        <v>0</v>
      </c>
      <c r="AL145" s="115" t="n">
        <f aca="false">SUMIFS(الريسبي!$C$2:$C$1800,الريسبي!$A$2:$A$1800,$A145,الريسبي!$B$2:$B$1800,AL$1)</f>
        <v>0</v>
      </c>
      <c r="AM145" s="115"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15"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15" t="n">
        <f aca="false">SUMIFS(الريسبي!$C$2:$C$1800,الريسبي!$A$2:$A$1800,$A145,الريسبي!$B$2:$B$1800,AO$1)</f>
        <v>0</v>
      </c>
      <c r="AP145" s="115" t="n">
        <f aca="false">SUMIFS(الريسبي!$C$2:$C$1800,الريسبي!$A$2:$A$1800,$A145,الريسبي!$B$2:$B$1800,AP$1)</f>
        <v>0</v>
      </c>
      <c r="AQ145" s="115"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15" t="n">
        <f aca="false">SUMIFS(الريسبي!$C$2:$C$1800,الريسبي!$A$2:$A$1800,$A145,الريسبي!$B$2:$B$1800,AR$1)</f>
        <v>0</v>
      </c>
      <c r="AS145" s="115" t="n">
        <f aca="false">SUMIFS(الريسبي!$C$2:$C$1800,الريسبي!$A$2:$A$1800,$A145,الريسبي!$B$2:$B$1800,AS$1)</f>
        <v>0</v>
      </c>
      <c r="AT145" s="115" t="n">
        <f aca="false">SUMIFS(الريسبي!$C$2:$C$1800,الريسبي!$A$2:$A$1800,$A145,الريسبي!$B$2:$B$1800,AT$1)</f>
        <v>0</v>
      </c>
      <c r="AU145" s="115" t="n">
        <f aca="false">SUMIFS(الريسبي!$C$2:$C$1800,الريسبي!$A$2:$A$1800,$A145,الريسبي!$B$2:$B$1800,AU$1)</f>
        <v>0</v>
      </c>
      <c r="AV145" s="115" t="n">
        <f aca="false">SUMIFS(الريسبي!$C$2:$C$1800,الريسبي!$A$2:$A$1800,$A145,الريسبي!$B$2:$B$1800,AV$1)</f>
        <v>0</v>
      </c>
      <c r="AW145" s="115" t="n">
        <f aca="false">SUMIFS(الريسبي!$C$2:$C$1800,الريسبي!$A$2:$A$1800,$A145,الريسبي!$B$2:$B$1800,AW$1)</f>
        <v>0</v>
      </c>
      <c r="AX145" s="115" t="n">
        <f aca="false">SUMIFS(الريسبي!$C$2:$C$1800,الريسبي!$A$2:$A$1800,$A145,الريسبي!$B$2:$B$1800,AX$1)</f>
        <v>0</v>
      </c>
      <c r="AY145" s="115" t="n">
        <f aca="false">SUMIFS(الريسبي!$C$2:$C$1800,الريسبي!$A$2:$A$1800,$A145,الريسبي!$B$2:$B$1800,AY$1)</f>
        <v>0</v>
      </c>
      <c r="AZ145" s="115" t="n">
        <f aca="false">SUMIFS(الريسبي!$C$2:$C$1800,الريسبي!$A$2:$A$1800,$A145,الريسبي!$B$2:$B$1800,AZ$1)</f>
        <v>0</v>
      </c>
      <c r="BA145" s="115" t="n">
        <f aca="false">SUMIFS(الريسبي!$C$2:$C$1800,الريسبي!$A$2:$A$1800,$A145,الريسبي!$B$2:$B$1800,BA$1)</f>
        <v>0</v>
      </c>
      <c r="BB145" s="115" t="n">
        <f aca="false">SUMIFS(الريسبي!$C$2:$C$1800,الريسبي!$A$2:$A$1800,$A145,الريسبي!$B$2:$B$1800,BB$1)</f>
        <v>0</v>
      </c>
      <c r="BC145" s="115" t="n">
        <f aca="false">SUMIFS(الريسبي!$C$2:$C$1800,الريسبي!$A$2:$A$1800,$A145,الريسبي!$B$2:$B$1800,BC$1)</f>
        <v>0</v>
      </c>
      <c r="BD145" s="115" t="n">
        <f aca="false">SUMIFS(الريسبي!$C$2:$C$1800,الريسبي!$A$2:$A$1800,$A145,الريسبي!$B$2:$B$1800,BD$1)</f>
        <v>0</v>
      </c>
      <c r="BE145" s="115" t="n">
        <f aca="false">SUMIFS(الريسبي!$C$2:$C$1800,الريسبي!$A$2:$A$1800,$A145,الريسبي!$B$2:$B$1800,BE$1)</f>
        <v>0</v>
      </c>
      <c r="BF145" s="115" t="n">
        <f aca="false">SUMIFS(الريسبي!$C$2:$C$1800,الريسبي!$A$2:$A$1800,$A145,الريسبي!$B$2:$B$1800,BF$1)</f>
        <v>0</v>
      </c>
      <c r="BG145" s="115" t="n">
        <f aca="false">SUMIFS(الريسبي!$C$2:$C$1800,الريسبي!$A$2:$A$1800,$A145,الريسبي!$B$2:$B$1800,BG$1)</f>
        <v>0</v>
      </c>
      <c r="BH145" s="115" t="n">
        <f aca="false">SUMIFS(الريسبي!$C$2:$C$1800,الريسبي!$A$2:$A$1800,$A145,الريسبي!$B$2:$B$1800,BH$1)</f>
        <v>0</v>
      </c>
      <c r="BI145" s="115" t="n">
        <f aca="false">SUMIFS(الريسبي!$C$2:$C$1800,الريسبي!$A$2:$A$1800,$A145,الريسبي!$B$2:$B$1800,BI$1)</f>
        <v>0</v>
      </c>
      <c r="BJ145" s="115" t="n">
        <f aca="false">SUMIFS(الريسبي!$C$2:$C$1800,الريسبي!$A$2:$A$1800,$A145,الريسبي!$B$2:$B$1800,BJ$1)</f>
        <v>0</v>
      </c>
      <c r="BK145" s="115" t="n">
        <f aca="false">SUMIFS(الريسبي!$C$2:$C$1800,الريسبي!$A$2:$A$1800,$A145,الريسبي!$B$2:$B$1800,BK$1)</f>
        <v>0</v>
      </c>
      <c r="BL145" s="115" t="n">
        <f aca="false">SUMIFS(الريسبي!$C$2:$C$1800,الريسبي!$A$2:$A$1800,$A145,الريسبي!$B$2:$B$1800,BL$1)</f>
        <v>0</v>
      </c>
      <c r="BM145" s="115" t="n">
        <f aca="false">SUMIFS(الريسبي!$C$2:$C$1800,الريسبي!$A$2:$A$1800,$A145,الريسبي!$B$2:$B$1800,BM$1)</f>
        <v>0</v>
      </c>
      <c r="BN145" s="115" t="n">
        <f aca="false">SUMIFS(الريسبي!$C$2:$C$1800,الريسبي!$A$2:$A$1800,$A145,الريسبي!$B$2:$B$1800,BN$1)</f>
        <v>0</v>
      </c>
      <c r="BO145" s="115" t="n">
        <f aca="false">SUMIFS(الريسبي!$C$2:$C$1800,الريسبي!$A$2:$A$1800,$A145,الريسبي!$B$2:$B$1800,BO$1)</f>
        <v>0</v>
      </c>
      <c r="BP145" s="115" t="n">
        <f aca="false">SUMIFS(الريسبي!$C$2:$C$1800,الريسبي!$A$2:$A$1800,$A145,الريسبي!$B$2:$B$1800,BP$1)</f>
        <v>0</v>
      </c>
      <c r="BQ145" s="115"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15" t="n">
        <f aca="false">SUMIFS(الريسبي!$C$2:$C$1800,الريسبي!$A$2:$A$1800,$A145,الريسبي!$B$2:$B$1800,BR$1)</f>
        <v>0</v>
      </c>
      <c r="BS145" s="115" t="n">
        <f aca="false">SUMIFS(الريسبي!$C$2:$C$1800,الريسبي!$A$2:$A$1800,$A145,الريسبي!$B$2:$B$1800,BS$1)</f>
        <v>0</v>
      </c>
      <c r="BT145" s="115" t="n">
        <f aca="false">SUMIFS(الريسبي!$C$2:$C$1800,الريسبي!$A$2:$A$1800,$A145,الريسبي!$B$2:$B$1800,BT$1)</f>
        <v>0</v>
      </c>
      <c r="BU145" s="115"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15" t="n">
        <f aca="false">SUMIFS(الريسبي!$C$2:$C$1800,الريسبي!$A$2:$A$1800,$A145,الريسبي!$B$2:$B$1800,BV$1)</f>
        <v>0</v>
      </c>
      <c r="BW145" s="115" t="n">
        <f aca="false">SUMIFS(الريسبي!$C$2:$C$1800,الريسبي!$A$2:$A$1800,$A145,الريسبي!$B$2:$B$1800,BW$1)</f>
        <v>0</v>
      </c>
      <c r="BX145" s="115" t="n">
        <f aca="false">SUMIFS(الريسبي!$C$2:$C$1800,الريسبي!$A$2:$A$1800,$A145,الريسبي!$B$2:$B$1800,BX$1)</f>
        <v>0</v>
      </c>
      <c r="BY145" s="115" t="n">
        <f aca="false">SUMIFS(الريسبي!$C$2:$C$1800,الريسبي!$A$2:$A$1800,$A145,الريسبي!$B$2:$B$1800,BY$1)</f>
        <v>0</v>
      </c>
      <c r="BZ145" s="115" t="n">
        <f aca="false">SUMIFS(الريسبي!$C$2:$C$1800,الريسبي!$A$2:$A$1800,$A145,الريسبي!$B$2:$B$1800,BZ$1)</f>
        <v>0</v>
      </c>
      <c r="CA145" s="115" t="n">
        <f aca="false">SUMIFS(الريسبي!$C$2:$C$1800,الريسبي!$A$2:$A$1800,$A145,الريسبي!$B$2:$B$1800,CA$1)</f>
        <v>0</v>
      </c>
      <c r="CB145" s="115" t="n">
        <f aca="false">SUMIFS(الريسبي!$C$2:$C$1800,الريسبي!$A$2:$A$1800,$A145,الريسبي!$B$2:$B$1800,CB$1)</f>
        <v>0</v>
      </c>
      <c r="CC145" s="115" t="n">
        <f aca="false">SUMIFS(الريسبي!$C$2:$C$1800,الريسبي!$A$2:$A$1800,$A145,الريسبي!$B$2:$B$1800,CC$1)</f>
        <v>0</v>
      </c>
      <c r="CD145" s="115" t="n">
        <f aca="false">SUMIFS(الريسبي!$C$2:$C$1800,الريسبي!$A$2:$A$1800,$A145,الريسبي!$B$2:$B$1800,CD$1)</f>
        <v>0</v>
      </c>
      <c r="CE145" s="115" t="n">
        <f aca="false">SUMIFS(الريسبي!$C$2:$C$1800,الريسبي!$A$2:$A$1800,$A145,الريسبي!$B$2:$B$1800,CE$1)</f>
        <v>0</v>
      </c>
      <c r="CF145" s="115" t="n">
        <f aca="false">SUMIFS(الريسبي!$C$2:$C$1800,الريسبي!$A$2:$A$1800,$A145,الريسبي!$B$2:$B$1800,CF$1)</f>
        <v>0</v>
      </c>
      <c r="CG145" s="115" t="n">
        <f aca="false">SUMIFS(الريسبي!$C$2:$C$1800,الريسبي!$A$2:$A$1800,$A145,الريسبي!$B$2:$B$1800,CG$1)</f>
        <v>0</v>
      </c>
      <c r="CH145" s="115" t="n">
        <f aca="false">SUMIFS(الريسبي!$C$2:$C$1800,الريسبي!$A$2:$A$1800,$A145,الريسبي!$B$2:$B$1800,CH$1)</f>
        <v>0</v>
      </c>
    </row>
    <row r="146" customFormat="false" ht="15" hidden="false" customHeight="false" outlineLevel="0" collapsed="false">
      <c r="A146" s="114" t="str">
        <f aca="false">المنيو!B146</f>
        <v>اضافة سدق (فطير كبير)</v>
      </c>
      <c r="B146" s="115" t="n">
        <f aca="false">SUMIFS(الريسبي!$C$2:$C$1800,الريسبي!$A$2:$A$1800,$A146,الريسبي!$B$2:$B$1800,B$1)</f>
        <v>0</v>
      </c>
      <c r="C146" s="115" t="n">
        <f aca="false">SUMIFS(الريسبي!$C$2:$C$1800,الريسبي!$A$2:$A$1800,$A146,الريسبي!$B$2:$B$1800,C$1)</f>
        <v>0</v>
      </c>
      <c r="D146" s="115" t="n">
        <f aca="false">SUMIFS(الريسبي!$C$2:$C$1800,الريسبي!$A$2:$A$1800,$A146,الريسبي!$B$2:$B$1800,D$1)</f>
        <v>0</v>
      </c>
      <c r="E146" s="115" t="n">
        <f aca="false">SUMIFS(الريسبي!$C$2:$C$1800,الريسبي!$A$2:$A$1800,$A146,الريسبي!$B$2:$B$1800,E$1)</f>
        <v>0</v>
      </c>
      <c r="F146" s="115" t="n">
        <f aca="false">SUMIFS(الريسبي!$C$2:$C$1800,الريسبي!$A$2:$A$1800,$A146,الريسبي!$B$2:$B$1800,F$1)</f>
        <v>0</v>
      </c>
      <c r="G146" s="115" t="n">
        <f aca="false">SUMIFS(الريسبي!$C$2:$C$1800,الريسبي!$A$2:$A$1800,$A146,الريسبي!$B$2:$B$1800,G$1)</f>
        <v>0</v>
      </c>
      <c r="H146" s="115" t="n">
        <f aca="false">SUMIFS(الريسبي!$C$2:$C$1800,الريسبي!$A$2:$A$1800,$A146,الريسبي!$B$2:$B$1800,H$1)</f>
        <v>0</v>
      </c>
      <c r="I146" s="115" t="n">
        <f aca="false">SUMIFS(الريسبي!$C$2:$C$1800,الريسبي!$A$2:$A$1800,$A146,الريسبي!$B$2:$B$1800,I$1)</f>
        <v>0</v>
      </c>
      <c r="J146" s="115" t="n">
        <f aca="false">SUMIFS(الريسبي!$C$2:$C$1800,الريسبي!$A$2:$A$1800,$A146,الريسبي!$B$2:$B$1800,J$1)</f>
        <v>0</v>
      </c>
      <c r="K146" s="115" t="n">
        <f aca="false">SUMIFS(الريسبي!$C$2:$C$1800,الريسبي!$A$2:$A$1800,$A146,الريسبي!$B$2:$B$1800,K$1)</f>
        <v>0</v>
      </c>
      <c r="L146" s="115" t="n">
        <f aca="false">SUMIFS(الريسبي!$C$2:$C$1800,الريسبي!$A$2:$A$1800,$A146,الريسبي!$B$2:$B$1800,L$1)</f>
        <v>0</v>
      </c>
      <c r="M146" s="115" t="n">
        <f aca="false">SUMIFS(الريسبي!$C$2:$C$1800,الريسبي!$A$2:$A$1800,$A146,الريسبي!$B$2:$B$1800,M$1)</f>
        <v>1</v>
      </c>
      <c r="N146" s="115" t="n">
        <f aca="false">SUMIFS(الريسبي!$C$2:$C$1800,الريسبي!$A$2:$A$1800,$A146,الريسبي!$B$2:$B$1800,N$1)</f>
        <v>0</v>
      </c>
      <c r="O146" s="115" t="n">
        <f aca="false">SUMIFS(الريسبي!$C$2:$C$1800,الريسبي!$A$2:$A$1800,$A146,الريسبي!$B$2:$B$1800,O$1)</f>
        <v>0</v>
      </c>
      <c r="P146" s="115" t="n">
        <f aca="false">SUMIFS(الريسبي!$C$2:$C$1800,الريسبي!$A$2:$A$1800,$A146,الريسبي!$B$2:$B$1800,P$1)</f>
        <v>0</v>
      </c>
      <c r="Q146" s="115" t="n">
        <f aca="false">SUMIFS(الريسبي!$C$2:$C$1800,الريسبي!$A$2:$A$1800,$A146,الريسبي!$B$2:$B$1800,Q$1)</f>
        <v>0</v>
      </c>
      <c r="R146" s="115" t="n">
        <f aca="false">SUMIFS(الريسبي!$C$2:$C$1800,الريسبي!$A$2:$A$1800,$A146,الريسبي!$B$2:$B$1800,R$1)</f>
        <v>0</v>
      </c>
      <c r="S146" s="115" t="n">
        <f aca="false">SUMIFS(الريسبي!$C$2:$C$1800,الريسبي!$A$2:$A$1800,$A146,الريسبي!$B$2:$B$1800,S$1)</f>
        <v>0</v>
      </c>
      <c r="T146" s="115" t="n">
        <f aca="false">SUMIFS(الريسبي!$C$2:$C$1800,الريسبي!$A$2:$A$1800,$A146,الريسبي!$B$2:$B$1800,T$1)</f>
        <v>0</v>
      </c>
      <c r="U146" s="115" t="n">
        <f aca="false">SUMIFS(الريسبي!$C$2:$C$1800,الريسبي!$A$2:$A$1800,$A146,الريسبي!$B$2:$B$1800,U$1)</f>
        <v>0</v>
      </c>
      <c r="V146" s="115" t="n">
        <f aca="false">SUMIFS(الريسبي!$C$2:$C$1800,الريسبي!$A$2:$A$1800,$A146,الريسبي!$B$2:$B$1800,V$1)</f>
        <v>0</v>
      </c>
      <c r="W146" s="115" t="n">
        <f aca="false">SUMIFS(الريسبي!$C$2:$C$1800,الريسبي!$A$2:$A$1800,$A146,الريسبي!$B$2:$B$1800,W$1)</f>
        <v>0</v>
      </c>
      <c r="X146" s="115" t="n">
        <f aca="false">SUMIFS(الريسبي!$C$2:$C$1800,الريسبي!$A$2:$A$1800,$A146,الريسبي!$B$2:$B$1800,X$1)</f>
        <v>0</v>
      </c>
      <c r="Y146" s="115" t="n">
        <f aca="false">SUMIFS(الريسبي!$C$2:$C$1800,الريسبي!$A$2:$A$1800,$A146,الريسبي!$B$2:$B$1800,Y$1)</f>
        <v>0</v>
      </c>
      <c r="Z146" s="115" t="n">
        <f aca="false">SUMIFS(الريسبي!$C$2:$C$1800,الريسبي!$A$2:$A$1800,$A146,الريسبي!$B$2:$B$1800,Z$1)</f>
        <v>0</v>
      </c>
      <c r="AA146" s="115" t="n">
        <f aca="false">SUMIFS(الريسبي!$C$2:$C$1800,الريسبي!$A$2:$A$1800,$A146,الريسبي!$B$2:$B$1800,AA$1)</f>
        <v>0</v>
      </c>
      <c r="AB146" s="115" t="n">
        <f aca="false">SUMIFS(الريسبي!$C$2:$C$1800,الريسبي!$A$2:$A$1800,$A146,الريسبي!$B$2:$B$1800,AB$1)</f>
        <v>0</v>
      </c>
      <c r="AC146" s="115" t="n">
        <f aca="false">SUMIFS(الريسبي!$C$2:$C$1800,الريسبي!$A$2:$A$1800,$A146,الريسبي!$B$2:$B$1800,AC$1)</f>
        <v>0</v>
      </c>
      <c r="AD146" s="115" t="n">
        <f aca="false">SUMIFS(الريسبي!$C$2:$C$1800,الريسبي!$A$2:$A$1800,$A146,الريسبي!$B$2:$B$1800,AD$1)</f>
        <v>0</v>
      </c>
      <c r="AE146" s="115" t="n">
        <f aca="false">SUMIFS(الريسبي!$C$2:$C$1800,الريسبي!$A$2:$A$1800,$A146,الريسبي!$B$2:$B$1800,AE$1)</f>
        <v>0</v>
      </c>
      <c r="AF146" s="115" t="n">
        <f aca="false">SUMIFS(الريسبي!$C$2:$C$1800,الريسبي!$A$2:$A$1800,$A146,الريسبي!$B$2:$B$1800,AF$1)</f>
        <v>0</v>
      </c>
      <c r="AG146" s="115" t="n">
        <f aca="false">SUMIFS(الريسبي!$C$2:$C$1800,الريسبي!$A$2:$A$1800,$A146,الريسبي!$B$2:$B$1800,AG$1)</f>
        <v>0</v>
      </c>
      <c r="AH146" s="115" t="n">
        <f aca="false">SUMIFS(الريسبي!$C$2:$C$1800,الريسبي!$A$2:$A$1800,$A146,الريسبي!$B$2:$B$1800,AH$1)</f>
        <v>0</v>
      </c>
      <c r="AI146" s="115" t="n">
        <f aca="false">SUMIFS(الريسبي!$C$2:$C$1800,الريسبي!$A$2:$A$1800,$A146,الريسبي!$B$2:$B$1800,AI$1)</f>
        <v>0</v>
      </c>
      <c r="AJ146" s="115" t="n">
        <f aca="false">SUMIFS(الريسبي!$C$2:$C$1800,الريسبي!$A$2:$A$1800,$A146,الريسبي!$B$2:$B$1800,AJ$1)</f>
        <v>0</v>
      </c>
      <c r="AK146" s="115" t="n">
        <f aca="false">SUMIFS(الريسبي!$C$2:$C$1800,الريسبي!$A$2:$A$1800,$A146,الريسبي!$B$2:$B$1800,AK$1)</f>
        <v>0</v>
      </c>
      <c r="AL146" s="115" t="n">
        <f aca="false">SUMIFS(الريسبي!$C$2:$C$1800,الريسبي!$A$2:$A$1800,$A146,الريسبي!$B$2:$B$1800,AL$1)</f>
        <v>0</v>
      </c>
      <c r="AM146" s="115"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15"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15" t="n">
        <f aca="false">SUMIFS(الريسبي!$C$2:$C$1800,الريسبي!$A$2:$A$1800,$A146,الريسبي!$B$2:$B$1800,AO$1)</f>
        <v>0</v>
      </c>
      <c r="AP146" s="115" t="n">
        <f aca="false">SUMIFS(الريسبي!$C$2:$C$1800,الريسبي!$A$2:$A$1800,$A146,الريسبي!$B$2:$B$1800,AP$1)</f>
        <v>0</v>
      </c>
      <c r="AQ146" s="115"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15" t="n">
        <f aca="false">SUMIFS(الريسبي!$C$2:$C$1800,الريسبي!$A$2:$A$1800,$A146,الريسبي!$B$2:$B$1800,AR$1)</f>
        <v>0</v>
      </c>
      <c r="AS146" s="115" t="n">
        <f aca="false">SUMIFS(الريسبي!$C$2:$C$1800,الريسبي!$A$2:$A$1800,$A146,الريسبي!$B$2:$B$1800,AS$1)</f>
        <v>0</v>
      </c>
      <c r="AT146" s="115" t="n">
        <f aca="false">SUMIFS(الريسبي!$C$2:$C$1800,الريسبي!$A$2:$A$1800,$A146,الريسبي!$B$2:$B$1800,AT$1)</f>
        <v>0</v>
      </c>
      <c r="AU146" s="115" t="n">
        <f aca="false">SUMIFS(الريسبي!$C$2:$C$1800,الريسبي!$A$2:$A$1800,$A146,الريسبي!$B$2:$B$1800,AU$1)</f>
        <v>0</v>
      </c>
      <c r="AV146" s="115" t="n">
        <f aca="false">SUMIFS(الريسبي!$C$2:$C$1800,الريسبي!$A$2:$A$1800,$A146,الريسبي!$B$2:$B$1800,AV$1)</f>
        <v>0</v>
      </c>
      <c r="AW146" s="115" t="n">
        <f aca="false">SUMIFS(الريسبي!$C$2:$C$1800,الريسبي!$A$2:$A$1800,$A146,الريسبي!$B$2:$B$1800,AW$1)</f>
        <v>0</v>
      </c>
      <c r="AX146" s="115" t="n">
        <f aca="false">SUMIFS(الريسبي!$C$2:$C$1800,الريسبي!$A$2:$A$1800,$A146,الريسبي!$B$2:$B$1800,AX$1)</f>
        <v>0</v>
      </c>
      <c r="AY146" s="115" t="n">
        <f aca="false">SUMIFS(الريسبي!$C$2:$C$1800,الريسبي!$A$2:$A$1800,$A146,الريسبي!$B$2:$B$1800,AY$1)</f>
        <v>0</v>
      </c>
      <c r="AZ146" s="115" t="n">
        <f aca="false">SUMIFS(الريسبي!$C$2:$C$1800,الريسبي!$A$2:$A$1800,$A146,الريسبي!$B$2:$B$1800,AZ$1)</f>
        <v>0</v>
      </c>
      <c r="BA146" s="115" t="n">
        <f aca="false">SUMIFS(الريسبي!$C$2:$C$1800,الريسبي!$A$2:$A$1800,$A146,الريسبي!$B$2:$B$1800,BA$1)</f>
        <v>0</v>
      </c>
      <c r="BB146" s="115" t="n">
        <f aca="false">SUMIFS(الريسبي!$C$2:$C$1800,الريسبي!$A$2:$A$1800,$A146,الريسبي!$B$2:$B$1800,BB$1)</f>
        <v>0</v>
      </c>
      <c r="BC146" s="115" t="n">
        <f aca="false">SUMIFS(الريسبي!$C$2:$C$1800,الريسبي!$A$2:$A$1800,$A146,الريسبي!$B$2:$B$1800,BC$1)</f>
        <v>0</v>
      </c>
      <c r="BD146" s="115" t="n">
        <f aca="false">SUMIFS(الريسبي!$C$2:$C$1800,الريسبي!$A$2:$A$1800,$A146,الريسبي!$B$2:$B$1800,BD$1)</f>
        <v>0</v>
      </c>
      <c r="BE146" s="115" t="n">
        <f aca="false">SUMIFS(الريسبي!$C$2:$C$1800,الريسبي!$A$2:$A$1800,$A146,الريسبي!$B$2:$B$1800,BE$1)</f>
        <v>0</v>
      </c>
      <c r="BF146" s="115" t="n">
        <f aca="false">SUMIFS(الريسبي!$C$2:$C$1800,الريسبي!$A$2:$A$1800,$A146,الريسبي!$B$2:$B$1800,BF$1)</f>
        <v>0</v>
      </c>
      <c r="BG146" s="115" t="n">
        <f aca="false">SUMIFS(الريسبي!$C$2:$C$1800,الريسبي!$A$2:$A$1800,$A146,الريسبي!$B$2:$B$1800,BG$1)</f>
        <v>0</v>
      </c>
      <c r="BH146" s="115" t="n">
        <f aca="false">SUMIFS(الريسبي!$C$2:$C$1800,الريسبي!$A$2:$A$1800,$A146,الريسبي!$B$2:$B$1800,BH$1)</f>
        <v>0</v>
      </c>
      <c r="BI146" s="115" t="n">
        <f aca="false">SUMIFS(الريسبي!$C$2:$C$1800,الريسبي!$A$2:$A$1800,$A146,الريسبي!$B$2:$B$1800,BI$1)</f>
        <v>0</v>
      </c>
      <c r="BJ146" s="115" t="n">
        <f aca="false">SUMIFS(الريسبي!$C$2:$C$1800,الريسبي!$A$2:$A$1800,$A146,الريسبي!$B$2:$B$1800,BJ$1)</f>
        <v>0</v>
      </c>
      <c r="BK146" s="115" t="n">
        <f aca="false">SUMIFS(الريسبي!$C$2:$C$1800,الريسبي!$A$2:$A$1800,$A146,الريسبي!$B$2:$B$1800,BK$1)</f>
        <v>0</v>
      </c>
      <c r="BL146" s="115" t="n">
        <f aca="false">SUMIFS(الريسبي!$C$2:$C$1800,الريسبي!$A$2:$A$1800,$A146,الريسبي!$B$2:$B$1800,BL$1)</f>
        <v>0</v>
      </c>
      <c r="BM146" s="115" t="n">
        <f aca="false">SUMIFS(الريسبي!$C$2:$C$1800,الريسبي!$A$2:$A$1800,$A146,الريسبي!$B$2:$B$1800,BM$1)</f>
        <v>0</v>
      </c>
      <c r="BN146" s="115" t="n">
        <f aca="false">SUMIFS(الريسبي!$C$2:$C$1800,الريسبي!$A$2:$A$1800,$A146,الريسبي!$B$2:$B$1800,BN$1)</f>
        <v>0</v>
      </c>
      <c r="BO146" s="115" t="n">
        <f aca="false">SUMIFS(الريسبي!$C$2:$C$1800,الريسبي!$A$2:$A$1800,$A146,الريسبي!$B$2:$B$1800,BO$1)</f>
        <v>0</v>
      </c>
      <c r="BP146" s="115" t="n">
        <f aca="false">SUMIFS(الريسبي!$C$2:$C$1800,الريسبي!$A$2:$A$1800,$A146,الريسبي!$B$2:$B$1800,BP$1)</f>
        <v>0</v>
      </c>
      <c r="BQ146" s="115"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15" t="n">
        <f aca="false">SUMIFS(الريسبي!$C$2:$C$1800,الريسبي!$A$2:$A$1800,$A146,الريسبي!$B$2:$B$1800,BR$1)</f>
        <v>0</v>
      </c>
      <c r="BS146" s="115" t="n">
        <f aca="false">SUMIFS(الريسبي!$C$2:$C$1800,الريسبي!$A$2:$A$1800,$A146,الريسبي!$B$2:$B$1800,BS$1)</f>
        <v>0</v>
      </c>
      <c r="BT146" s="115" t="n">
        <f aca="false">SUMIFS(الريسبي!$C$2:$C$1800,الريسبي!$A$2:$A$1800,$A146,الريسبي!$B$2:$B$1800,BT$1)</f>
        <v>0</v>
      </c>
      <c r="BU146" s="115"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15" t="n">
        <f aca="false">SUMIFS(الريسبي!$C$2:$C$1800,الريسبي!$A$2:$A$1800,$A146,الريسبي!$B$2:$B$1800,BV$1)</f>
        <v>0</v>
      </c>
      <c r="BW146" s="115" t="n">
        <f aca="false">SUMIFS(الريسبي!$C$2:$C$1800,الريسبي!$A$2:$A$1800,$A146,الريسبي!$B$2:$B$1800,BW$1)</f>
        <v>0</v>
      </c>
      <c r="BX146" s="115" t="n">
        <f aca="false">SUMIFS(الريسبي!$C$2:$C$1800,الريسبي!$A$2:$A$1800,$A146,الريسبي!$B$2:$B$1800,BX$1)</f>
        <v>0</v>
      </c>
      <c r="BY146" s="115" t="n">
        <f aca="false">SUMIFS(الريسبي!$C$2:$C$1800,الريسبي!$A$2:$A$1800,$A146,الريسبي!$B$2:$B$1800,BY$1)</f>
        <v>0</v>
      </c>
      <c r="BZ146" s="115" t="n">
        <f aca="false">SUMIFS(الريسبي!$C$2:$C$1800,الريسبي!$A$2:$A$1800,$A146,الريسبي!$B$2:$B$1800,BZ$1)</f>
        <v>0</v>
      </c>
      <c r="CA146" s="115" t="n">
        <f aca="false">SUMIFS(الريسبي!$C$2:$C$1800,الريسبي!$A$2:$A$1800,$A146,الريسبي!$B$2:$B$1800,CA$1)</f>
        <v>0</v>
      </c>
      <c r="CB146" s="115" t="n">
        <f aca="false">SUMIFS(الريسبي!$C$2:$C$1800,الريسبي!$A$2:$A$1800,$A146,الريسبي!$B$2:$B$1800,CB$1)</f>
        <v>0</v>
      </c>
      <c r="CC146" s="115" t="n">
        <f aca="false">SUMIFS(الريسبي!$C$2:$C$1800,الريسبي!$A$2:$A$1800,$A146,الريسبي!$B$2:$B$1800,CC$1)</f>
        <v>0</v>
      </c>
      <c r="CD146" s="115" t="n">
        <f aca="false">SUMIFS(الريسبي!$C$2:$C$1800,الريسبي!$A$2:$A$1800,$A146,الريسبي!$B$2:$B$1800,CD$1)</f>
        <v>0</v>
      </c>
      <c r="CE146" s="115" t="n">
        <f aca="false">SUMIFS(الريسبي!$C$2:$C$1800,الريسبي!$A$2:$A$1800,$A146,الريسبي!$B$2:$B$1800,CE$1)</f>
        <v>0</v>
      </c>
      <c r="CF146" s="115" t="n">
        <f aca="false">SUMIFS(الريسبي!$C$2:$C$1800,الريسبي!$A$2:$A$1800,$A146,الريسبي!$B$2:$B$1800,CF$1)</f>
        <v>0</v>
      </c>
      <c r="CG146" s="115" t="n">
        <f aca="false">SUMIFS(الريسبي!$C$2:$C$1800,الريسبي!$A$2:$A$1800,$A146,الريسبي!$B$2:$B$1800,CG$1)</f>
        <v>0</v>
      </c>
      <c r="CH146" s="115" t="n">
        <f aca="false">SUMIFS(الريسبي!$C$2:$C$1800,الريسبي!$A$2:$A$1800,$A146,الريسبي!$B$2:$B$1800,CH$1)</f>
        <v>0</v>
      </c>
    </row>
    <row r="147" customFormat="false" ht="15" hidden="false" customHeight="false" outlineLevel="0" collapsed="false">
      <c r="A147" s="114" t="str">
        <f aca="false">المنيو!B147</f>
        <v>اضافة بسطرمة (بيتزا وسط)</v>
      </c>
      <c r="B147" s="115" t="n">
        <f aca="false">SUMIFS(الريسبي!$C$2:$C$1800,الريسبي!$A$2:$A$1800,$A147,الريسبي!$B$2:$B$1800,B$1)</f>
        <v>0</v>
      </c>
      <c r="C147" s="115" t="n">
        <f aca="false">SUMIFS(الريسبي!$C$2:$C$1800,الريسبي!$A$2:$A$1800,$A147,الريسبي!$B$2:$B$1800,C$1)</f>
        <v>0</v>
      </c>
      <c r="D147" s="115" t="n">
        <f aca="false">SUMIFS(الريسبي!$C$2:$C$1800,الريسبي!$A$2:$A$1800,$A147,الريسبي!$B$2:$B$1800,D$1)</f>
        <v>0</v>
      </c>
      <c r="E147" s="115" t="n">
        <f aca="false">SUMIFS(الريسبي!$C$2:$C$1800,الريسبي!$A$2:$A$1800,$A147,الريسبي!$B$2:$B$1800,E$1)</f>
        <v>0</v>
      </c>
      <c r="F147" s="115" t="n">
        <f aca="false">SUMIFS(الريسبي!$C$2:$C$1800,الريسبي!$A$2:$A$1800,$A147,الريسبي!$B$2:$B$1800,F$1)</f>
        <v>0</v>
      </c>
      <c r="G147" s="115" t="n">
        <f aca="false">SUMIFS(الريسبي!$C$2:$C$1800,الريسبي!$A$2:$A$1800,$A147,الريسبي!$B$2:$B$1800,G$1)</f>
        <v>1</v>
      </c>
      <c r="H147" s="115" t="n">
        <f aca="false">SUMIFS(الريسبي!$C$2:$C$1800,الريسبي!$A$2:$A$1800,$A147,الريسبي!$B$2:$B$1800,H$1)</f>
        <v>0</v>
      </c>
      <c r="I147" s="115" t="n">
        <f aca="false">SUMIFS(الريسبي!$C$2:$C$1800,الريسبي!$A$2:$A$1800,$A147,الريسبي!$B$2:$B$1800,I$1)</f>
        <v>0</v>
      </c>
      <c r="J147" s="115" t="n">
        <f aca="false">SUMIFS(الريسبي!$C$2:$C$1800,الريسبي!$A$2:$A$1800,$A147,الريسبي!$B$2:$B$1800,J$1)</f>
        <v>0</v>
      </c>
      <c r="K147" s="115" t="n">
        <f aca="false">SUMIFS(الريسبي!$C$2:$C$1800,الريسبي!$A$2:$A$1800,$A147,الريسبي!$B$2:$B$1800,K$1)</f>
        <v>0</v>
      </c>
      <c r="L147" s="115" t="n">
        <f aca="false">SUMIFS(الريسبي!$C$2:$C$1800,الريسبي!$A$2:$A$1800,$A147,الريسبي!$B$2:$B$1800,L$1)</f>
        <v>0</v>
      </c>
      <c r="M147" s="115" t="n">
        <f aca="false">SUMIFS(الريسبي!$C$2:$C$1800,الريسبي!$A$2:$A$1800,$A147,الريسبي!$B$2:$B$1800,M$1)</f>
        <v>0</v>
      </c>
      <c r="N147" s="115" t="n">
        <f aca="false">SUMIFS(الريسبي!$C$2:$C$1800,الريسبي!$A$2:$A$1800,$A147,الريسبي!$B$2:$B$1800,N$1)</f>
        <v>0</v>
      </c>
      <c r="O147" s="115" t="n">
        <f aca="false">SUMIFS(الريسبي!$C$2:$C$1800,الريسبي!$A$2:$A$1800,$A147,الريسبي!$B$2:$B$1800,O$1)</f>
        <v>0</v>
      </c>
      <c r="P147" s="115" t="n">
        <f aca="false">SUMIFS(الريسبي!$C$2:$C$1800,الريسبي!$A$2:$A$1800,$A147,الريسبي!$B$2:$B$1800,P$1)</f>
        <v>0</v>
      </c>
      <c r="Q147" s="115" t="n">
        <f aca="false">SUMIFS(الريسبي!$C$2:$C$1800,الريسبي!$A$2:$A$1800,$A147,الريسبي!$B$2:$B$1800,Q$1)</f>
        <v>0</v>
      </c>
      <c r="R147" s="115" t="n">
        <f aca="false">SUMIFS(الريسبي!$C$2:$C$1800,الريسبي!$A$2:$A$1800,$A147,الريسبي!$B$2:$B$1800,R$1)</f>
        <v>0</v>
      </c>
      <c r="S147" s="115" t="n">
        <f aca="false">SUMIFS(الريسبي!$C$2:$C$1800,الريسبي!$A$2:$A$1800,$A147,الريسبي!$B$2:$B$1800,S$1)</f>
        <v>0</v>
      </c>
      <c r="T147" s="115" t="n">
        <f aca="false">SUMIFS(الريسبي!$C$2:$C$1800,الريسبي!$A$2:$A$1800,$A147,الريسبي!$B$2:$B$1800,T$1)</f>
        <v>0</v>
      </c>
      <c r="U147" s="115" t="n">
        <f aca="false">SUMIFS(الريسبي!$C$2:$C$1800,الريسبي!$A$2:$A$1800,$A147,الريسبي!$B$2:$B$1800,U$1)</f>
        <v>0</v>
      </c>
      <c r="V147" s="115" t="n">
        <f aca="false">SUMIFS(الريسبي!$C$2:$C$1800,الريسبي!$A$2:$A$1800,$A147,الريسبي!$B$2:$B$1800,V$1)</f>
        <v>0</v>
      </c>
      <c r="W147" s="115" t="n">
        <f aca="false">SUMIFS(الريسبي!$C$2:$C$1800,الريسبي!$A$2:$A$1800,$A147,الريسبي!$B$2:$B$1800,W$1)</f>
        <v>0</v>
      </c>
      <c r="X147" s="115" t="n">
        <f aca="false">SUMIFS(الريسبي!$C$2:$C$1800,الريسبي!$A$2:$A$1800,$A147,الريسبي!$B$2:$B$1800,X$1)</f>
        <v>0</v>
      </c>
      <c r="Y147" s="115" t="n">
        <f aca="false">SUMIFS(الريسبي!$C$2:$C$1800,الريسبي!$A$2:$A$1800,$A147,الريسبي!$B$2:$B$1800,Y$1)</f>
        <v>0</v>
      </c>
      <c r="Z147" s="115" t="n">
        <f aca="false">SUMIFS(الريسبي!$C$2:$C$1800,الريسبي!$A$2:$A$1800,$A147,الريسبي!$B$2:$B$1800,Z$1)</f>
        <v>0</v>
      </c>
      <c r="AA147" s="115" t="n">
        <f aca="false">SUMIFS(الريسبي!$C$2:$C$1800,الريسبي!$A$2:$A$1800,$A147,الريسبي!$B$2:$B$1800,AA$1)</f>
        <v>0</v>
      </c>
      <c r="AB147" s="115" t="n">
        <f aca="false">SUMIFS(الريسبي!$C$2:$C$1800,الريسبي!$A$2:$A$1800,$A147,الريسبي!$B$2:$B$1800,AB$1)</f>
        <v>0</v>
      </c>
      <c r="AC147" s="115" t="n">
        <f aca="false">SUMIFS(الريسبي!$C$2:$C$1800,الريسبي!$A$2:$A$1800,$A147,الريسبي!$B$2:$B$1800,AC$1)</f>
        <v>0</v>
      </c>
      <c r="AD147" s="115" t="n">
        <f aca="false">SUMIFS(الريسبي!$C$2:$C$1800,الريسبي!$A$2:$A$1800,$A147,الريسبي!$B$2:$B$1800,AD$1)</f>
        <v>0</v>
      </c>
      <c r="AE147" s="115" t="n">
        <f aca="false">SUMIFS(الريسبي!$C$2:$C$1800,الريسبي!$A$2:$A$1800,$A147,الريسبي!$B$2:$B$1800,AE$1)</f>
        <v>0</v>
      </c>
      <c r="AF147" s="115" t="n">
        <f aca="false">SUMIFS(الريسبي!$C$2:$C$1800,الريسبي!$A$2:$A$1800,$A147,الريسبي!$B$2:$B$1800,AF$1)</f>
        <v>0</v>
      </c>
      <c r="AG147" s="115" t="n">
        <f aca="false">SUMIFS(الريسبي!$C$2:$C$1800,الريسبي!$A$2:$A$1800,$A147,الريسبي!$B$2:$B$1800,AG$1)</f>
        <v>0</v>
      </c>
      <c r="AH147" s="115" t="n">
        <f aca="false">SUMIFS(الريسبي!$C$2:$C$1800,الريسبي!$A$2:$A$1800,$A147,الريسبي!$B$2:$B$1800,AH$1)</f>
        <v>0</v>
      </c>
      <c r="AI147" s="115" t="n">
        <f aca="false">SUMIFS(الريسبي!$C$2:$C$1800,الريسبي!$A$2:$A$1800,$A147,الريسبي!$B$2:$B$1800,AI$1)</f>
        <v>0</v>
      </c>
      <c r="AJ147" s="115" t="n">
        <f aca="false">SUMIFS(الريسبي!$C$2:$C$1800,الريسبي!$A$2:$A$1800,$A147,الريسبي!$B$2:$B$1800,AJ$1)</f>
        <v>0</v>
      </c>
      <c r="AK147" s="115" t="n">
        <f aca="false">SUMIFS(الريسبي!$C$2:$C$1800,الريسبي!$A$2:$A$1800,$A147,الريسبي!$B$2:$B$1800,AK$1)</f>
        <v>0</v>
      </c>
      <c r="AL147" s="115" t="n">
        <f aca="false">SUMIFS(الريسبي!$C$2:$C$1800,الريسبي!$A$2:$A$1800,$A147,الريسبي!$B$2:$B$1800,AL$1)</f>
        <v>0</v>
      </c>
      <c r="AM147" s="115"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15"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15" t="n">
        <f aca="false">SUMIFS(الريسبي!$C$2:$C$1800,الريسبي!$A$2:$A$1800,$A147,الريسبي!$B$2:$B$1800,AO$1)</f>
        <v>0</v>
      </c>
      <c r="AP147" s="115" t="n">
        <f aca="false">SUMIFS(الريسبي!$C$2:$C$1800,الريسبي!$A$2:$A$1800,$A147,الريسبي!$B$2:$B$1800,AP$1)</f>
        <v>0</v>
      </c>
      <c r="AQ147" s="115"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15" t="n">
        <f aca="false">SUMIFS(الريسبي!$C$2:$C$1800,الريسبي!$A$2:$A$1800,$A147,الريسبي!$B$2:$B$1800,AR$1)</f>
        <v>0</v>
      </c>
      <c r="AS147" s="115" t="n">
        <f aca="false">SUMIFS(الريسبي!$C$2:$C$1800,الريسبي!$A$2:$A$1800,$A147,الريسبي!$B$2:$B$1800,AS$1)</f>
        <v>0</v>
      </c>
      <c r="AT147" s="115" t="n">
        <f aca="false">SUMIFS(الريسبي!$C$2:$C$1800,الريسبي!$A$2:$A$1800,$A147,الريسبي!$B$2:$B$1800,AT$1)</f>
        <v>0</v>
      </c>
      <c r="AU147" s="115" t="n">
        <f aca="false">SUMIFS(الريسبي!$C$2:$C$1800,الريسبي!$A$2:$A$1800,$A147,الريسبي!$B$2:$B$1800,AU$1)</f>
        <v>0</v>
      </c>
      <c r="AV147" s="115" t="n">
        <f aca="false">SUMIFS(الريسبي!$C$2:$C$1800,الريسبي!$A$2:$A$1800,$A147,الريسبي!$B$2:$B$1800,AV$1)</f>
        <v>0</v>
      </c>
      <c r="AW147" s="115" t="n">
        <f aca="false">SUMIFS(الريسبي!$C$2:$C$1800,الريسبي!$A$2:$A$1800,$A147,الريسبي!$B$2:$B$1800,AW$1)</f>
        <v>0</v>
      </c>
      <c r="AX147" s="115" t="n">
        <f aca="false">SUMIFS(الريسبي!$C$2:$C$1800,الريسبي!$A$2:$A$1800,$A147,الريسبي!$B$2:$B$1800,AX$1)</f>
        <v>0</v>
      </c>
      <c r="AY147" s="115" t="n">
        <f aca="false">SUMIFS(الريسبي!$C$2:$C$1800,الريسبي!$A$2:$A$1800,$A147,الريسبي!$B$2:$B$1800,AY$1)</f>
        <v>0</v>
      </c>
      <c r="AZ147" s="115" t="n">
        <f aca="false">SUMIFS(الريسبي!$C$2:$C$1800,الريسبي!$A$2:$A$1800,$A147,الريسبي!$B$2:$B$1800,AZ$1)</f>
        <v>0</v>
      </c>
      <c r="BA147" s="115" t="n">
        <f aca="false">SUMIFS(الريسبي!$C$2:$C$1800,الريسبي!$A$2:$A$1800,$A147,الريسبي!$B$2:$B$1800,BA$1)</f>
        <v>0</v>
      </c>
      <c r="BB147" s="115" t="n">
        <f aca="false">SUMIFS(الريسبي!$C$2:$C$1800,الريسبي!$A$2:$A$1800,$A147,الريسبي!$B$2:$B$1800,BB$1)</f>
        <v>0</v>
      </c>
      <c r="BC147" s="115" t="n">
        <f aca="false">SUMIFS(الريسبي!$C$2:$C$1800,الريسبي!$A$2:$A$1800,$A147,الريسبي!$B$2:$B$1800,BC$1)</f>
        <v>0</v>
      </c>
      <c r="BD147" s="115" t="n">
        <f aca="false">SUMIFS(الريسبي!$C$2:$C$1800,الريسبي!$A$2:$A$1800,$A147,الريسبي!$B$2:$B$1800,BD$1)</f>
        <v>0</v>
      </c>
      <c r="BE147" s="115" t="n">
        <f aca="false">SUMIFS(الريسبي!$C$2:$C$1800,الريسبي!$A$2:$A$1800,$A147,الريسبي!$B$2:$B$1800,BE$1)</f>
        <v>0</v>
      </c>
      <c r="BF147" s="115" t="n">
        <f aca="false">SUMIFS(الريسبي!$C$2:$C$1800,الريسبي!$A$2:$A$1800,$A147,الريسبي!$B$2:$B$1800,BF$1)</f>
        <v>0</v>
      </c>
      <c r="BG147" s="115" t="n">
        <f aca="false">SUMIFS(الريسبي!$C$2:$C$1800,الريسبي!$A$2:$A$1800,$A147,الريسبي!$B$2:$B$1800,BG$1)</f>
        <v>0</v>
      </c>
      <c r="BH147" s="115" t="n">
        <f aca="false">SUMIFS(الريسبي!$C$2:$C$1800,الريسبي!$A$2:$A$1800,$A147,الريسبي!$B$2:$B$1800,BH$1)</f>
        <v>0</v>
      </c>
      <c r="BI147" s="115" t="n">
        <f aca="false">SUMIFS(الريسبي!$C$2:$C$1800,الريسبي!$A$2:$A$1800,$A147,الريسبي!$B$2:$B$1800,BI$1)</f>
        <v>0</v>
      </c>
      <c r="BJ147" s="115" t="n">
        <f aca="false">SUMIFS(الريسبي!$C$2:$C$1800,الريسبي!$A$2:$A$1800,$A147,الريسبي!$B$2:$B$1800,BJ$1)</f>
        <v>0</v>
      </c>
      <c r="BK147" s="115" t="n">
        <f aca="false">SUMIFS(الريسبي!$C$2:$C$1800,الريسبي!$A$2:$A$1800,$A147,الريسبي!$B$2:$B$1800,BK$1)</f>
        <v>0</v>
      </c>
      <c r="BL147" s="115" t="n">
        <f aca="false">SUMIFS(الريسبي!$C$2:$C$1800,الريسبي!$A$2:$A$1800,$A147,الريسبي!$B$2:$B$1800,BL$1)</f>
        <v>0</v>
      </c>
      <c r="BM147" s="115" t="n">
        <f aca="false">SUMIFS(الريسبي!$C$2:$C$1800,الريسبي!$A$2:$A$1800,$A147,الريسبي!$B$2:$B$1800,BM$1)</f>
        <v>0</v>
      </c>
      <c r="BN147" s="115" t="n">
        <f aca="false">SUMIFS(الريسبي!$C$2:$C$1800,الريسبي!$A$2:$A$1800,$A147,الريسبي!$B$2:$B$1800,BN$1)</f>
        <v>0</v>
      </c>
      <c r="BO147" s="115" t="n">
        <f aca="false">SUMIFS(الريسبي!$C$2:$C$1800,الريسبي!$A$2:$A$1800,$A147,الريسبي!$B$2:$B$1800,BO$1)</f>
        <v>0</v>
      </c>
      <c r="BP147" s="115" t="n">
        <f aca="false">SUMIFS(الريسبي!$C$2:$C$1800,الريسبي!$A$2:$A$1800,$A147,الريسبي!$B$2:$B$1800,BP$1)</f>
        <v>0</v>
      </c>
      <c r="BQ147" s="115"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15" t="n">
        <f aca="false">SUMIFS(الريسبي!$C$2:$C$1800,الريسبي!$A$2:$A$1800,$A147,الريسبي!$B$2:$B$1800,BR$1)</f>
        <v>0</v>
      </c>
      <c r="BS147" s="115" t="n">
        <f aca="false">SUMIFS(الريسبي!$C$2:$C$1800,الريسبي!$A$2:$A$1800,$A147,الريسبي!$B$2:$B$1800,BS$1)</f>
        <v>0</v>
      </c>
      <c r="BT147" s="115" t="n">
        <f aca="false">SUMIFS(الريسبي!$C$2:$C$1800,الريسبي!$A$2:$A$1800,$A147,الريسبي!$B$2:$B$1800,BT$1)</f>
        <v>0</v>
      </c>
      <c r="BU147" s="115"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15" t="n">
        <f aca="false">SUMIFS(الريسبي!$C$2:$C$1800,الريسبي!$A$2:$A$1800,$A147,الريسبي!$B$2:$B$1800,BV$1)</f>
        <v>0</v>
      </c>
      <c r="BW147" s="115" t="n">
        <f aca="false">SUMIFS(الريسبي!$C$2:$C$1800,الريسبي!$A$2:$A$1800,$A147,الريسبي!$B$2:$B$1800,BW$1)</f>
        <v>0</v>
      </c>
      <c r="BX147" s="115" t="n">
        <f aca="false">SUMIFS(الريسبي!$C$2:$C$1800,الريسبي!$A$2:$A$1800,$A147,الريسبي!$B$2:$B$1800,BX$1)</f>
        <v>0</v>
      </c>
      <c r="BY147" s="115" t="n">
        <f aca="false">SUMIFS(الريسبي!$C$2:$C$1800,الريسبي!$A$2:$A$1800,$A147,الريسبي!$B$2:$B$1800,BY$1)</f>
        <v>0</v>
      </c>
      <c r="BZ147" s="115" t="n">
        <f aca="false">SUMIFS(الريسبي!$C$2:$C$1800,الريسبي!$A$2:$A$1800,$A147,الريسبي!$B$2:$B$1800,BZ$1)</f>
        <v>0</v>
      </c>
      <c r="CA147" s="115" t="n">
        <f aca="false">SUMIFS(الريسبي!$C$2:$C$1800,الريسبي!$A$2:$A$1800,$A147,الريسبي!$B$2:$B$1800,CA$1)</f>
        <v>0</v>
      </c>
      <c r="CB147" s="115" t="n">
        <f aca="false">SUMIFS(الريسبي!$C$2:$C$1800,الريسبي!$A$2:$A$1800,$A147,الريسبي!$B$2:$B$1800,CB$1)</f>
        <v>0</v>
      </c>
      <c r="CC147" s="115" t="n">
        <f aca="false">SUMIFS(الريسبي!$C$2:$C$1800,الريسبي!$A$2:$A$1800,$A147,الريسبي!$B$2:$B$1800,CC$1)</f>
        <v>0</v>
      </c>
      <c r="CD147" s="115" t="n">
        <f aca="false">SUMIFS(الريسبي!$C$2:$C$1800,الريسبي!$A$2:$A$1800,$A147,الريسبي!$B$2:$B$1800,CD$1)</f>
        <v>0</v>
      </c>
      <c r="CE147" s="115" t="n">
        <f aca="false">SUMIFS(الريسبي!$C$2:$C$1800,الريسبي!$A$2:$A$1800,$A147,الريسبي!$B$2:$B$1800,CE$1)</f>
        <v>0</v>
      </c>
      <c r="CF147" s="115" t="n">
        <f aca="false">SUMIFS(الريسبي!$C$2:$C$1800,الريسبي!$A$2:$A$1800,$A147,الريسبي!$B$2:$B$1800,CF$1)</f>
        <v>0</v>
      </c>
      <c r="CG147" s="115" t="n">
        <f aca="false">SUMIFS(الريسبي!$C$2:$C$1800,الريسبي!$A$2:$A$1800,$A147,الريسبي!$B$2:$B$1800,CG$1)</f>
        <v>0</v>
      </c>
      <c r="CH147" s="115" t="n">
        <f aca="false">SUMIFS(الريسبي!$C$2:$C$1800,الريسبي!$A$2:$A$1800,$A147,الريسبي!$B$2:$B$1800,CH$1)</f>
        <v>0</v>
      </c>
    </row>
    <row r="148" customFormat="false" ht="15" hidden="false" customHeight="false" outlineLevel="0" collapsed="false">
      <c r="A148" s="114" t="str">
        <f aca="false">المنيو!B148</f>
        <v>اضافة بسطرمة (فطير وسط)</v>
      </c>
      <c r="B148" s="115" t="n">
        <f aca="false">SUMIFS(الريسبي!$C$2:$C$1800,الريسبي!$A$2:$A$1800,$A148,الريسبي!$B$2:$B$1800,B$1)</f>
        <v>0</v>
      </c>
      <c r="C148" s="115" t="n">
        <f aca="false">SUMIFS(الريسبي!$C$2:$C$1800,الريسبي!$A$2:$A$1800,$A148,الريسبي!$B$2:$B$1800,C$1)</f>
        <v>0</v>
      </c>
      <c r="D148" s="115" t="n">
        <f aca="false">SUMIFS(الريسبي!$C$2:$C$1800,الريسبي!$A$2:$A$1800,$A148,الريسبي!$B$2:$B$1800,D$1)</f>
        <v>0</v>
      </c>
      <c r="E148" s="115" t="n">
        <f aca="false">SUMIFS(الريسبي!$C$2:$C$1800,الريسبي!$A$2:$A$1800,$A148,الريسبي!$B$2:$B$1800,E$1)</f>
        <v>0</v>
      </c>
      <c r="F148" s="115" t="n">
        <f aca="false">SUMIFS(الريسبي!$C$2:$C$1800,الريسبي!$A$2:$A$1800,$A148,الريسبي!$B$2:$B$1800,F$1)</f>
        <v>0</v>
      </c>
      <c r="G148" s="115" t="n">
        <f aca="false">SUMIFS(الريسبي!$C$2:$C$1800,الريسبي!$A$2:$A$1800,$A148,الريسبي!$B$2:$B$1800,G$1)</f>
        <v>1</v>
      </c>
      <c r="H148" s="115" t="n">
        <f aca="false">SUMIFS(الريسبي!$C$2:$C$1800,الريسبي!$A$2:$A$1800,$A148,الريسبي!$B$2:$B$1800,H$1)</f>
        <v>0</v>
      </c>
      <c r="I148" s="115" t="n">
        <f aca="false">SUMIFS(الريسبي!$C$2:$C$1800,الريسبي!$A$2:$A$1800,$A148,الريسبي!$B$2:$B$1800,I$1)</f>
        <v>0</v>
      </c>
      <c r="J148" s="115" t="n">
        <f aca="false">SUMIFS(الريسبي!$C$2:$C$1800,الريسبي!$A$2:$A$1800,$A148,الريسبي!$B$2:$B$1800,J$1)</f>
        <v>0</v>
      </c>
      <c r="K148" s="115" t="n">
        <f aca="false">SUMIFS(الريسبي!$C$2:$C$1800,الريسبي!$A$2:$A$1800,$A148,الريسبي!$B$2:$B$1800,K$1)</f>
        <v>0</v>
      </c>
      <c r="L148" s="115" t="n">
        <f aca="false">SUMIFS(الريسبي!$C$2:$C$1800,الريسبي!$A$2:$A$1800,$A148,الريسبي!$B$2:$B$1800,L$1)</f>
        <v>0</v>
      </c>
      <c r="M148" s="115" t="n">
        <f aca="false">SUMIFS(الريسبي!$C$2:$C$1800,الريسبي!$A$2:$A$1800,$A148,الريسبي!$B$2:$B$1800,M$1)</f>
        <v>0</v>
      </c>
      <c r="N148" s="115" t="n">
        <f aca="false">SUMIFS(الريسبي!$C$2:$C$1800,الريسبي!$A$2:$A$1800,$A148,الريسبي!$B$2:$B$1800,N$1)</f>
        <v>0</v>
      </c>
      <c r="O148" s="115" t="n">
        <f aca="false">SUMIFS(الريسبي!$C$2:$C$1800,الريسبي!$A$2:$A$1800,$A148,الريسبي!$B$2:$B$1800,O$1)</f>
        <v>0</v>
      </c>
      <c r="P148" s="115" t="n">
        <f aca="false">SUMIFS(الريسبي!$C$2:$C$1800,الريسبي!$A$2:$A$1800,$A148,الريسبي!$B$2:$B$1800,P$1)</f>
        <v>0</v>
      </c>
      <c r="Q148" s="115" t="n">
        <f aca="false">SUMIFS(الريسبي!$C$2:$C$1800,الريسبي!$A$2:$A$1800,$A148,الريسبي!$B$2:$B$1800,Q$1)</f>
        <v>0</v>
      </c>
      <c r="R148" s="115" t="n">
        <f aca="false">SUMIFS(الريسبي!$C$2:$C$1800,الريسبي!$A$2:$A$1800,$A148,الريسبي!$B$2:$B$1800,R$1)</f>
        <v>0</v>
      </c>
      <c r="S148" s="115" t="n">
        <f aca="false">SUMIFS(الريسبي!$C$2:$C$1800,الريسبي!$A$2:$A$1800,$A148,الريسبي!$B$2:$B$1800,S$1)</f>
        <v>0</v>
      </c>
      <c r="T148" s="115" t="n">
        <f aca="false">SUMIFS(الريسبي!$C$2:$C$1800,الريسبي!$A$2:$A$1800,$A148,الريسبي!$B$2:$B$1800,T$1)</f>
        <v>0</v>
      </c>
      <c r="U148" s="115" t="n">
        <f aca="false">SUMIFS(الريسبي!$C$2:$C$1800,الريسبي!$A$2:$A$1800,$A148,الريسبي!$B$2:$B$1800,U$1)</f>
        <v>0</v>
      </c>
      <c r="V148" s="115" t="n">
        <f aca="false">SUMIFS(الريسبي!$C$2:$C$1800,الريسبي!$A$2:$A$1800,$A148,الريسبي!$B$2:$B$1800,V$1)</f>
        <v>0</v>
      </c>
      <c r="W148" s="115" t="n">
        <f aca="false">SUMIFS(الريسبي!$C$2:$C$1800,الريسبي!$A$2:$A$1800,$A148,الريسبي!$B$2:$B$1800,W$1)</f>
        <v>0</v>
      </c>
      <c r="X148" s="115" t="n">
        <f aca="false">SUMIFS(الريسبي!$C$2:$C$1800,الريسبي!$A$2:$A$1800,$A148,الريسبي!$B$2:$B$1800,X$1)</f>
        <v>0</v>
      </c>
      <c r="Y148" s="115" t="n">
        <f aca="false">SUMIFS(الريسبي!$C$2:$C$1800,الريسبي!$A$2:$A$1800,$A148,الريسبي!$B$2:$B$1800,Y$1)</f>
        <v>0</v>
      </c>
      <c r="Z148" s="115" t="n">
        <f aca="false">SUMIFS(الريسبي!$C$2:$C$1800,الريسبي!$A$2:$A$1800,$A148,الريسبي!$B$2:$B$1800,Z$1)</f>
        <v>0</v>
      </c>
      <c r="AA148" s="115" t="n">
        <f aca="false">SUMIFS(الريسبي!$C$2:$C$1800,الريسبي!$A$2:$A$1800,$A148,الريسبي!$B$2:$B$1800,AA$1)</f>
        <v>0</v>
      </c>
      <c r="AB148" s="115" t="n">
        <f aca="false">SUMIFS(الريسبي!$C$2:$C$1800,الريسبي!$A$2:$A$1800,$A148,الريسبي!$B$2:$B$1800,AB$1)</f>
        <v>0</v>
      </c>
      <c r="AC148" s="115" t="n">
        <f aca="false">SUMIFS(الريسبي!$C$2:$C$1800,الريسبي!$A$2:$A$1800,$A148,الريسبي!$B$2:$B$1800,AC$1)</f>
        <v>0</v>
      </c>
      <c r="AD148" s="115" t="n">
        <f aca="false">SUMIFS(الريسبي!$C$2:$C$1800,الريسبي!$A$2:$A$1800,$A148,الريسبي!$B$2:$B$1800,AD$1)</f>
        <v>0</v>
      </c>
      <c r="AE148" s="115" t="n">
        <f aca="false">SUMIFS(الريسبي!$C$2:$C$1800,الريسبي!$A$2:$A$1800,$A148,الريسبي!$B$2:$B$1800,AE$1)</f>
        <v>0</v>
      </c>
      <c r="AF148" s="115" t="n">
        <f aca="false">SUMIFS(الريسبي!$C$2:$C$1800,الريسبي!$A$2:$A$1800,$A148,الريسبي!$B$2:$B$1800,AF$1)</f>
        <v>0</v>
      </c>
      <c r="AG148" s="115" t="n">
        <f aca="false">SUMIFS(الريسبي!$C$2:$C$1800,الريسبي!$A$2:$A$1800,$A148,الريسبي!$B$2:$B$1800,AG$1)</f>
        <v>0</v>
      </c>
      <c r="AH148" s="115" t="n">
        <f aca="false">SUMIFS(الريسبي!$C$2:$C$1800,الريسبي!$A$2:$A$1800,$A148,الريسبي!$B$2:$B$1800,AH$1)</f>
        <v>0</v>
      </c>
      <c r="AI148" s="115" t="n">
        <f aca="false">SUMIFS(الريسبي!$C$2:$C$1800,الريسبي!$A$2:$A$1800,$A148,الريسبي!$B$2:$B$1800,AI$1)</f>
        <v>0</v>
      </c>
      <c r="AJ148" s="115" t="n">
        <f aca="false">SUMIFS(الريسبي!$C$2:$C$1800,الريسبي!$A$2:$A$1800,$A148,الريسبي!$B$2:$B$1800,AJ$1)</f>
        <v>0</v>
      </c>
      <c r="AK148" s="115" t="n">
        <f aca="false">SUMIFS(الريسبي!$C$2:$C$1800,الريسبي!$A$2:$A$1800,$A148,الريسبي!$B$2:$B$1800,AK$1)</f>
        <v>0</v>
      </c>
      <c r="AL148" s="115" t="n">
        <f aca="false">SUMIFS(الريسبي!$C$2:$C$1800,الريسبي!$A$2:$A$1800,$A148,الريسبي!$B$2:$B$1800,AL$1)</f>
        <v>0</v>
      </c>
      <c r="AM148" s="115"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15"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15" t="n">
        <f aca="false">SUMIFS(الريسبي!$C$2:$C$1800,الريسبي!$A$2:$A$1800,$A148,الريسبي!$B$2:$B$1800,AO$1)</f>
        <v>0</v>
      </c>
      <c r="AP148" s="115" t="n">
        <f aca="false">SUMIFS(الريسبي!$C$2:$C$1800,الريسبي!$A$2:$A$1800,$A148,الريسبي!$B$2:$B$1800,AP$1)</f>
        <v>0</v>
      </c>
      <c r="AQ148" s="115"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15" t="n">
        <f aca="false">SUMIFS(الريسبي!$C$2:$C$1800,الريسبي!$A$2:$A$1800,$A148,الريسبي!$B$2:$B$1800,AR$1)</f>
        <v>0</v>
      </c>
      <c r="AS148" s="115" t="n">
        <f aca="false">SUMIFS(الريسبي!$C$2:$C$1800,الريسبي!$A$2:$A$1800,$A148,الريسبي!$B$2:$B$1800,AS$1)</f>
        <v>0</v>
      </c>
      <c r="AT148" s="115" t="n">
        <f aca="false">SUMIFS(الريسبي!$C$2:$C$1800,الريسبي!$A$2:$A$1800,$A148,الريسبي!$B$2:$B$1800,AT$1)</f>
        <v>0</v>
      </c>
      <c r="AU148" s="115" t="n">
        <f aca="false">SUMIFS(الريسبي!$C$2:$C$1800,الريسبي!$A$2:$A$1800,$A148,الريسبي!$B$2:$B$1800,AU$1)</f>
        <v>0</v>
      </c>
      <c r="AV148" s="115" t="n">
        <f aca="false">SUMIFS(الريسبي!$C$2:$C$1800,الريسبي!$A$2:$A$1800,$A148,الريسبي!$B$2:$B$1800,AV$1)</f>
        <v>0</v>
      </c>
      <c r="AW148" s="115" t="n">
        <f aca="false">SUMIFS(الريسبي!$C$2:$C$1800,الريسبي!$A$2:$A$1800,$A148,الريسبي!$B$2:$B$1800,AW$1)</f>
        <v>0</v>
      </c>
      <c r="AX148" s="115" t="n">
        <f aca="false">SUMIFS(الريسبي!$C$2:$C$1800,الريسبي!$A$2:$A$1800,$A148,الريسبي!$B$2:$B$1800,AX$1)</f>
        <v>0</v>
      </c>
      <c r="AY148" s="115" t="n">
        <f aca="false">SUMIFS(الريسبي!$C$2:$C$1800,الريسبي!$A$2:$A$1800,$A148,الريسبي!$B$2:$B$1800,AY$1)</f>
        <v>0</v>
      </c>
      <c r="AZ148" s="115" t="n">
        <f aca="false">SUMIFS(الريسبي!$C$2:$C$1800,الريسبي!$A$2:$A$1800,$A148,الريسبي!$B$2:$B$1800,AZ$1)</f>
        <v>0</v>
      </c>
      <c r="BA148" s="115" t="n">
        <f aca="false">SUMIFS(الريسبي!$C$2:$C$1800,الريسبي!$A$2:$A$1800,$A148,الريسبي!$B$2:$B$1800,BA$1)</f>
        <v>0</v>
      </c>
      <c r="BB148" s="115" t="n">
        <f aca="false">SUMIFS(الريسبي!$C$2:$C$1800,الريسبي!$A$2:$A$1800,$A148,الريسبي!$B$2:$B$1800,BB$1)</f>
        <v>0</v>
      </c>
      <c r="BC148" s="115" t="n">
        <f aca="false">SUMIFS(الريسبي!$C$2:$C$1800,الريسبي!$A$2:$A$1800,$A148,الريسبي!$B$2:$B$1800,BC$1)</f>
        <v>0</v>
      </c>
      <c r="BD148" s="115" t="n">
        <f aca="false">SUMIFS(الريسبي!$C$2:$C$1800,الريسبي!$A$2:$A$1800,$A148,الريسبي!$B$2:$B$1800,BD$1)</f>
        <v>0</v>
      </c>
      <c r="BE148" s="115" t="n">
        <f aca="false">SUMIFS(الريسبي!$C$2:$C$1800,الريسبي!$A$2:$A$1800,$A148,الريسبي!$B$2:$B$1800,BE$1)</f>
        <v>0</v>
      </c>
      <c r="BF148" s="115" t="n">
        <f aca="false">SUMIFS(الريسبي!$C$2:$C$1800,الريسبي!$A$2:$A$1800,$A148,الريسبي!$B$2:$B$1800,BF$1)</f>
        <v>0</v>
      </c>
      <c r="BG148" s="115" t="n">
        <f aca="false">SUMIFS(الريسبي!$C$2:$C$1800,الريسبي!$A$2:$A$1800,$A148,الريسبي!$B$2:$B$1800,BG$1)</f>
        <v>0</v>
      </c>
      <c r="BH148" s="115" t="n">
        <f aca="false">SUMIFS(الريسبي!$C$2:$C$1800,الريسبي!$A$2:$A$1800,$A148,الريسبي!$B$2:$B$1800,BH$1)</f>
        <v>0</v>
      </c>
      <c r="BI148" s="115" t="n">
        <f aca="false">SUMIFS(الريسبي!$C$2:$C$1800,الريسبي!$A$2:$A$1800,$A148,الريسبي!$B$2:$B$1800,BI$1)</f>
        <v>0</v>
      </c>
      <c r="BJ148" s="115" t="n">
        <f aca="false">SUMIFS(الريسبي!$C$2:$C$1800,الريسبي!$A$2:$A$1800,$A148,الريسبي!$B$2:$B$1800,BJ$1)</f>
        <v>0</v>
      </c>
      <c r="BK148" s="115" t="n">
        <f aca="false">SUMIFS(الريسبي!$C$2:$C$1800,الريسبي!$A$2:$A$1800,$A148,الريسبي!$B$2:$B$1800,BK$1)</f>
        <v>0</v>
      </c>
      <c r="BL148" s="115" t="n">
        <f aca="false">SUMIFS(الريسبي!$C$2:$C$1800,الريسبي!$A$2:$A$1800,$A148,الريسبي!$B$2:$B$1800,BL$1)</f>
        <v>0</v>
      </c>
      <c r="BM148" s="115" t="n">
        <f aca="false">SUMIFS(الريسبي!$C$2:$C$1800,الريسبي!$A$2:$A$1800,$A148,الريسبي!$B$2:$B$1800,BM$1)</f>
        <v>0</v>
      </c>
      <c r="BN148" s="115" t="n">
        <f aca="false">SUMIFS(الريسبي!$C$2:$C$1800,الريسبي!$A$2:$A$1800,$A148,الريسبي!$B$2:$B$1800,BN$1)</f>
        <v>0</v>
      </c>
      <c r="BO148" s="115" t="n">
        <f aca="false">SUMIFS(الريسبي!$C$2:$C$1800,الريسبي!$A$2:$A$1800,$A148,الريسبي!$B$2:$B$1800,BO$1)</f>
        <v>0</v>
      </c>
      <c r="BP148" s="115" t="n">
        <f aca="false">SUMIFS(الريسبي!$C$2:$C$1800,الريسبي!$A$2:$A$1800,$A148,الريسبي!$B$2:$B$1800,BP$1)</f>
        <v>0</v>
      </c>
      <c r="BQ148" s="115"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15" t="n">
        <f aca="false">SUMIFS(الريسبي!$C$2:$C$1800,الريسبي!$A$2:$A$1800,$A148,الريسبي!$B$2:$B$1800,BR$1)</f>
        <v>0</v>
      </c>
      <c r="BS148" s="115" t="n">
        <f aca="false">SUMIFS(الريسبي!$C$2:$C$1800,الريسبي!$A$2:$A$1800,$A148,الريسبي!$B$2:$B$1800,BS$1)</f>
        <v>0</v>
      </c>
      <c r="BT148" s="115" t="n">
        <f aca="false">SUMIFS(الريسبي!$C$2:$C$1800,الريسبي!$A$2:$A$1800,$A148,الريسبي!$B$2:$B$1800,BT$1)</f>
        <v>0</v>
      </c>
      <c r="BU148" s="115"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15" t="n">
        <f aca="false">SUMIFS(الريسبي!$C$2:$C$1800,الريسبي!$A$2:$A$1800,$A148,الريسبي!$B$2:$B$1800,BV$1)</f>
        <v>0</v>
      </c>
      <c r="BW148" s="115" t="n">
        <f aca="false">SUMIFS(الريسبي!$C$2:$C$1800,الريسبي!$A$2:$A$1800,$A148,الريسبي!$B$2:$B$1800,BW$1)</f>
        <v>0</v>
      </c>
      <c r="BX148" s="115" t="n">
        <f aca="false">SUMIFS(الريسبي!$C$2:$C$1800,الريسبي!$A$2:$A$1800,$A148,الريسبي!$B$2:$B$1800,BX$1)</f>
        <v>0</v>
      </c>
      <c r="BY148" s="115" t="n">
        <f aca="false">SUMIFS(الريسبي!$C$2:$C$1800,الريسبي!$A$2:$A$1800,$A148,الريسبي!$B$2:$B$1800,BY$1)</f>
        <v>0</v>
      </c>
      <c r="BZ148" s="115" t="n">
        <f aca="false">SUMIFS(الريسبي!$C$2:$C$1800,الريسبي!$A$2:$A$1800,$A148,الريسبي!$B$2:$B$1800,BZ$1)</f>
        <v>0</v>
      </c>
      <c r="CA148" s="115" t="n">
        <f aca="false">SUMIFS(الريسبي!$C$2:$C$1800,الريسبي!$A$2:$A$1800,$A148,الريسبي!$B$2:$B$1800,CA$1)</f>
        <v>0</v>
      </c>
      <c r="CB148" s="115" t="n">
        <f aca="false">SUMIFS(الريسبي!$C$2:$C$1800,الريسبي!$A$2:$A$1800,$A148,الريسبي!$B$2:$B$1800,CB$1)</f>
        <v>0</v>
      </c>
      <c r="CC148" s="115" t="n">
        <f aca="false">SUMIFS(الريسبي!$C$2:$C$1800,الريسبي!$A$2:$A$1800,$A148,الريسبي!$B$2:$B$1800,CC$1)</f>
        <v>0</v>
      </c>
      <c r="CD148" s="115" t="n">
        <f aca="false">SUMIFS(الريسبي!$C$2:$C$1800,الريسبي!$A$2:$A$1800,$A148,الريسبي!$B$2:$B$1800,CD$1)</f>
        <v>0</v>
      </c>
      <c r="CE148" s="115" t="n">
        <f aca="false">SUMIFS(الريسبي!$C$2:$C$1800,الريسبي!$A$2:$A$1800,$A148,الريسبي!$B$2:$B$1800,CE$1)</f>
        <v>0</v>
      </c>
      <c r="CF148" s="115" t="n">
        <f aca="false">SUMIFS(الريسبي!$C$2:$C$1800,الريسبي!$A$2:$A$1800,$A148,الريسبي!$B$2:$B$1800,CF$1)</f>
        <v>0</v>
      </c>
      <c r="CG148" s="115" t="n">
        <f aca="false">SUMIFS(الريسبي!$C$2:$C$1800,الريسبي!$A$2:$A$1800,$A148,الريسبي!$B$2:$B$1800,CG$1)</f>
        <v>0</v>
      </c>
      <c r="CH148" s="115" t="n">
        <f aca="false">SUMIFS(الريسبي!$C$2:$C$1800,الريسبي!$A$2:$A$1800,$A148,الريسبي!$B$2:$B$1800,CH$1)</f>
        <v>0</v>
      </c>
    </row>
    <row r="149" customFormat="false" ht="15" hidden="false" customHeight="false" outlineLevel="0" collapsed="false">
      <c r="A149" s="114" t="str">
        <f aca="false">المنيو!B149</f>
        <v>اضافة بسطرمة (فطير كبير)</v>
      </c>
      <c r="B149" s="115" t="n">
        <f aca="false">SUMIFS(الريسبي!$C$2:$C$1800,الريسبي!$A$2:$A$1800,$A149,الريسبي!$B$2:$B$1800,B$1)</f>
        <v>0</v>
      </c>
      <c r="C149" s="115" t="n">
        <f aca="false">SUMIFS(الريسبي!$C$2:$C$1800,الريسبي!$A$2:$A$1800,$A149,الريسبي!$B$2:$B$1800,C$1)</f>
        <v>0</v>
      </c>
      <c r="D149" s="115" t="n">
        <f aca="false">SUMIFS(الريسبي!$C$2:$C$1800,الريسبي!$A$2:$A$1800,$A149,الريسبي!$B$2:$B$1800,D$1)</f>
        <v>0</v>
      </c>
      <c r="E149" s="115" t="n">
        <f aca="false">SUMIFS(الريسبي!$C$2:$C$1800,الريسبي!$A$2:$A$1800,$A149,الريسبي!$B$2:$B$1800,E$1)</f>
        <v>0</v>
      </c>
      <c r="F149" s="115" t="n">
        <f aca="false">SUMIFS(الريسبي!$C$2:$C$1800,الريسبي!$A$2:$A$1800,$A149,الريسبي!$B$2:$B$1800,F$1)</f>
        <v>0</v>
      </c>
      <c r="G149" s="115" t="n">
        <f aca="false">SUMIFS(الريسبي!$C$2:$C$1800,الريسبي!$A$2:$A$1800,$A149,الريسبي!$B$2:$B$1800,G$1)</f>
        <v>0</v>
      </c>
      <c r="H149" s="115" t="n">
        <f aca="false">SUMIFS(الريسبي!$C$2:$C$1800,الريسبي!$A$2:$A$1800,$A149,الريسبي!$B$2:$B$1800,H$1)</f>
        <v>1</v>
      </c>
      <c r="I149" s="115" t="n">
        <f aca="false">SUMIFS(الريسبي!$C$2:$C$1800,الريسبي!$A$2:$A$1800,$A149,الريسبي!$B$2:$B$1800,I$1)</f>
        <v>0</v>
      </c>
      <c r="J149" s="115" t="n">
        <f aca="false">SUMIFS(الريسبي!$C$2:$C$1800,الريسبي!$A$2:$A$1800,$A149,الريسبي!$B$2:$B$1800,J$1)</f>
        <v>0</v>
      </c>
      <c r="K149" s="115" t="n">
        <f aca="false">SUMIFS(الريسبي!$C$2:$C$1800,الريسبي!$A$2:$A$1800,$A149,الريسبي!$B$2:$B$1800,K$1)</f>
        <v>0</v>
      </c>
      <c r="L149" s="115" t="n">
        <f aca="false">SUMIFS(الريسبي!$C$2:$C$1800,الريسبي!$A$2:$A$1800,$A149,الريسبي!$B$2:$B$1800,L$1)</f>
        <v>0</v>
      </c>
      <c r="M149" s="115" t="n">
        <f aca="false">SUMIFS(الريسبي!$C$2:$C$1800,الريسبي!$A$2:$A$1800,$A149,الريسبي!$B$2:$B$1800,M$1)</f>
        <v>0</v>
      </c>
      <c r="N149" s="115" t="n">
        <f aca="false">SUMIFS(الريسبي!$C$2:$C$1800,الريسبي!$A$2:$A$1800,$A149,الريسبي!$B$2:$B$1800,N$1)</f>
        <v>0</v>
      </c>
      <c r="O149" s="115" t="n">
        <f aca="false">SUMIFS(الريسبي!$C$2:$C$1800,الريسبي!$A$2:$A$1800,$A149,الريسبي!$B$2:$B$1800,O$1)</f>
        <v>0</v>
      </c>
      <c r="P149" s="115" t="n">
        <f aca="false">SUMIFS(الريسبي!$C$2:$C$1800,الريسبي!$A$2:$A$1800,$A149,الريسبي!$B$2:$B$1800,P$1)</f>
        <v>0</v>
      </c>
      <c r="Q149" s="115" t="n">
        <f aca="false">SUMIFS(الريسبي!$C$2:$C$1800,الريسبي!$A$2:$A$1800,$A149,الريسبي!$B$2:$B$1800,Q$1)</f>
        <v>0</v>
      </c>
      <c r="R149" s="115" t="n">
        <f aca="false">SUMIFS(الريسبي!$C$2:$C$1800,الريسبي!$A$2:$A$1800,$A149,الريسبي!$B$2:$B$1800,R$1)</f>
        <v>0</v>
      </c>
      <c r="S149" s="115" t="n">
        <f aca="false">SUMIFS(الريسبي!$C$2:$C$1800,الريسبي!$A$2:$A$1800,$A149,الريسبي!$B$2:$B$1800,S$1)</f>
        <v>0</v>
      </c>
      <c r="T149" s="115" t="n">
        <f aca="false">SUMIFS(الريسبي!$C$2:$C$1800,الريسبي!$A$2:$A$1800,$A149,الريسبي!$B$2:$B$1800,T$1)</f>
        <v>0</v>
      </c>
      <c r="U149" s="115" t="n">
        <f aca="false">SUMIFS(الريسبي!$C$2:$C$1800,الريسبي!$A$2:$A$1800,$A149,الريسبي!$B$2:$B$1800,U$1)</f>
        <v>0</v>
      </c>
      <c r="V149" s="115" t="n">
        <f aca="false">SUMIFS(الريسبي!$C$2:$C$1800,الريسبي!$A$2:$A$1800,$A149,الريسبي!$B$2:$B$1800,V$1)</f>
        <v>0</v>
      </c>
      <c r="W149" s="115" t="n">
        <f aca="false">SUMIFS(الريسبي!$C$2:$C$1800,الريسبي!$A$2:$A$1800,$A149,الريسبي!$B$2:$B$1800,W$1)</f>
        <v>0</v>
      </c>
      <c r="X149" s="115" t="n">
        <f aca="false">SUMIFS(الريسبي!$C$2:$C$1800,الريسبي!$A$2:$A$1800,$A149,الريسبي!$B$2:$B$1800,X$1)</f>
        <v>0</v>
      </c>
      <c r="Y149" s="115" t="n">
        <f aca="false">SUMIFS(الريسبي!$C$2:$C$1800,الريسبي!$A$2:$A$1800,$A149,الريسبي!$B$2:$B$1800,Y$1)</f>
        <v>0</v>
      </c>
      <c r="Z149" s="115" t="n">
        <f aca="false">SUMIFS(الريسبي!$C$2:$C$1800,الريسبي!$A$2:$A$1800,$A149,الريسبي!$B$2:$B$1800,Z$1)</f>
        <v>0</v>
      </c>
      <c r="AA149" s="115" t="n">
        <f aca="false">SUMIFS(الريسبي!$C$2:$C$1800,الريسبي!$A$2:$A$1800,$A149,الريسبي!$B$2:$B$1800,AA$1)</f>
        <v>0</v>
      </c>
      <c r="AB149" s="115" t="n">
        <f aca="false">SUMIFS(الريسبي!$C$2:$C$1800,الريسبي!$A$2:$A$1800,$A149,الريسبي!$B$2:$B$1800,AB$1)</f>
        <v>0</v>
      </c>
      <c r="AC149" s="115" t="n">
        <f aca="false">SUMIFS(الريسبي!$C$2:$C$1800,الريسبي!$A$2:$A$1800,$A149,الريسبي!$B$2:$B$1800,AC$1)</f>
        <v>0</v>
      </c>
      <c r="AD149" s="115" t="n">
        <f aca="false">SUMIFS(الريسبي!$C$2:$C$1800,الريسبي!$A$2:$A$1800,$A149,الريسبي!$B$2:$B$1800,AD$1)</f>
        <v>0</v>
      </c>
      <c r="AE149" s="115" t="n">
        <f aca="false">SUMIFS(الريسبي!$C$2:$C$1800,الريسبي!$A$2:$A$1800,$A149,الريسبي!$B$2:$B$1800,AE$1)</f>
        <v>0</v>
      </c>
      <c r="AF149" s="115" t="n">
        <f aca="false">SUMIFS(الريسبي!$C$2:$C$1800,الريسبي!$A$2:$A$1800,$A149,الريسبي!$B$2:$B$1800,AF$1)</f>
        <v>0</v>
      </c>
      <c r="AG149" s="115" t="n">
        <f aca="false">SUMIFS(الريسبي!$C$2:$C$1800,الريسبي!$A$2:$A$1800,$A149,الريسبي!$B$2:$B$1800,AG$1)</f>
        <v>0</v>
      </c>
      <c r="AH149" s="115" t="n">
        <f aca="false">SUMIFS(الريسبي!$C$2:$C$1800,الريسبي!$A$2:$A$1800,$A149,الريسبي!$B$2:$B$1800,AH$1)</f>
        <v>0</v>
      </c>
      <c r="AI149" s="115" t="n">
        <f aca="false">SUMIFS(الريسبي!$C$2:$C$1800,الريسبي!$A$2:$A$1800,$A149,الريسبي!$B$2:$B$1800,AI$1)</f>
        <v>0</v>
      </c>
      <c r="AJ149" s="115" t="n">
        <f aca="false">SUMIFS(الريسبي!$C$2:$C$1800,الريسبي!$A$2:$A$1800,$A149,الريسبي!$B$2:$B$1800,AJ$1)</f>
        <v>0</v>
      </c>
      <c r="AK149" s="115" t="n">
        <f aca="false">SUMIFS(الريسبي!$C$2:$C$1800,الريسبي!$A$2:$A$1800,$A149,الريسبي!$B$2:$B$1800,AK$1)</f>
        <v>0</v>
      </c>
      <c r="AL149" s="115" t="n">
        <f aca="false">SUMIFS(الريسبي!$C$2:$C$1800,الريسبي!$A$2:$A$1800,$A149,الريسبي!$B$2:$B$1800,AL$1)</f>
        <v>0</v>
      </c>
      <c r="AM149" s="115"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15"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15" t="n">
        <f aca="false">SUMIFS(الريسبي!$C$2:$C$1800,الريسبي!$A$2:$A$1800,$A149,الريسبي!$B$2:$B$1800,AO$1)</f>
        <v>0</v>
      </c>
      <c r="AP149" s="115" t="n">
        <f aca="false">SUMIFS(الريسبي!$C$2:$C$1800,الريسبي!$A$2:$A$1800,$A149,الريسبي!$B$2:$B$1800,AP$1)</f>
        <v>0</v>
      </c>
      <c r="AQ149" s="115"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15" t="n">
        <f aca="false">SUMIFS(الريسبي!$C$2:$C$1800,الريسبي!$A$2:$A$1800,$A149,الريسبي!$B$2:$B$1800,AR$1)</f>
        <v>0</v>
      </c>
      <c r="AS149" s="115" t="n">
        <f aca="false">SUMIFS(الريسبي!$C$2:$C$1800,الريسبي!$A$2:$A$1800,$A149,الريسبي!$B$2:$B$1800,AS$1)</f>
        <v>0</v>
      </c>
      <c r="AT149" s="115" t="n">
        <f aca="false">SUMIFS(الريسبي!$C$2:$C$1800,الريسبي!$A$2:$A$1800,$A149,الريسبي!$B$2:$B$1800,AT$1)</f>
        <v>0</v>
      </c>
      <c r="AU149" s="115" t="n">
        <f aca="false">SUMIFS(الريسبي!$C$2:$C$1800,الريسبي!$A$2:$A$1800,$A149,الريسبي!$B$2:$B$1800,AU$1)</f>
        <v>0</v>
      </c>
      <c r="AV149" s="115" t="n">
        <f aca="false">SUMIFS(الريسبي!$C$2:$C$1800,الريسبي!$A$2:$A$1800,$A149,الريسبي!$B$2:$B$1800,AV$1)</f>
        <v>0</v>
      </c>
      <c r="AW149" s="115" t="n">
        <f aca="false">SUMIFS(الريسبي!$C$2:$C$1800,الريسبي!$A$2:$A$1800,$A149,الريسبي!$B$2:$B$1800,AW$1)</f>
        <v>0</v>
      </c>
      <c r="AX149" s="115" t="n">
        <f aca="false">SUMIFS(الريسبي!$C$2:$C$1800,الريسبي!$A$2:$A$1800,$A149,الريسبي!$B$2:$B$1800,AX$1)</f>
        <v>0</v>
      </c>
      <c r="AY149" s="115" t="n">
        <f aca="false">SUMIFS(الريسبي!$C$2:$C$1800,الريسبي!$A$2:$A$1800,$A149,الريسبي!$B$2:$B$1800,AY$1)</f>
        <v>0</v>
      </c>
      <c r="AZ149" s="115" t="n">
        <f aca="false">SUMIFS(الريسبي!$C$2:$C$1800,الريسبي!$A$2:$A$1800,$A149,الريسبي!$B$2:$B$1800,AZ$1)</f>
        <v>0</v>
      </c>
      <c r="BA149" s="115" t="n">
        <f aca="false">SUMIFS(الريسبي!$C$2:$C$1800,الريسبي!$A$2:$A$1800,$A149,الريسبي!$B$2:$B$1800,BA$1)</f>
        <v>0</v>
      </c>
      <c r="BB149" s="115" t="n">
        <f aca="false">SUMIFS(الريسبي!$C$2:$C$1800,الريسبي!$A$2:$A$1800,$A149,الريسبي!$B$2:$B$1800,BB$1)</f>
        <v>0</v>
      </c>
      <c r="BC149" s="115" t="n">
        <f aca="false">SUMIFS(الريسبي!$C$2:$C$1800,الريسبي!$A$2:$A$1800,$A149,الريسبي!$B$2:$B$1800,BC$1)</f>
        <v>0</v>
      </c>
      <c r="BD149" s="115" t="n">
        <f aca="false">SUMIFS(الريسبي!$C$2:$C$1800,الريسبي!$A$2:$A$1800,$A149,الريسبي!$B$2:$B$1800,BD$1)</f>
        <v>0</v>
      </c>
      <c r="BE149" s="115" t="n">
        <f aca="false">SUMIFS(الريسبي!$C$2:$C$1800,الريسبي!$A$2:$A$1800,$A149,الريسبي!$B$2:$B$1800,BE$1)</f>
        <v>0</v>
      </c>
      <c r="BF149" s="115" t="n">
        <f aca="false">SUMIFS(الريسبي!$C$2:$C$1800,الريسبي!$A$2:$A$1800,$A149,الريسبي!$B$2:$B$1800,BF$1)</f>
        <v>0</v>
      </c>
      <c r="BG149" s="115" t="n">
        <f aca="false">SUMIFS(الريسبي!$C$2:$C$1800,الريسبي!$A$2:$A$1800,$A149,الريسبي!$B$2:$B$1800,BG$1)</f>
        <v>0</v>
      </c>
      <c r="BH149" s="115" t="n">
        <f aca="false">SUMIFS(الريسبي!$C$2:$C$1800,الريسبي!$A$2:$A$1800,$A149,الريسبي!$B$2:$B$1800,BH$1)</f>
        <v>0</v>
      </c>
      <c r="BI149" s="115" t="n">
        <f aca="false">SUMIFS(الريسبي!$C$2:$C$1800,الريسبي!$A$2:$A$1800,$A149,الريسبي!$B$2:$B$1800,BI$1)</f>
        <v>0</v>
      </c>
      <c r="BJ149" s="115" t="n">
        <f aca="false">SUMIFS(الريسبي!$C$2:$C$1800,الريسبي!$A$2:$A$1800,$A149,الريسبي!$B$2:$B$1800,BJ$1)</f>
        <v>0</v>
      </c>
      <c r="BK149" s="115" t="n">
        <f aca="false">SUMIFS(الريسبي!$C$2:$C$1800,الريسبي!$A$2:$A$1800,$A149,الريسبي!$B$2:$B$1800,BK$1)</f>
        <v>0</v>
      </c>
      <c r="BL149" s="115" t="n">
        <f aca="false">SUMIFS(الريسبي!$C$2:$C$1800,الريسبي!$A$2:$A$1800,$A149,الريسبي!$B$2:$B$1800,BL$1)</f>
        <v>0</v>
      </c>
      <c r="BM149" s="115" t="n">
        <f aca="false">SUMIFS(الريسبي!$C$2:$C$1800,الريسبي!$A$2:$A$1800,$A149,الريسبي!$B$2:$B$1800,BM$1)</f>
        <v>0</v>
      </c>
      <c r="BN149" s="115" t="n">
        <f aca="false">SUMIFS(الريسبي!$C$2:$C$1800,الريسبي!$A$2:$A$1800,$A149,الريسبي!$B$2:$B$1800,BN$1)</f>
        <v>0</v>
      </c>
      <c r="BO149" s="115" t="n">
        <f aca="false">SUMIFS(الريسبي!$C$2:$C$1800,الريسبي!$A$2:$A$1800,$A149,الريسبي!$B$2:$B$1800,BO$1)</f>
        <v>0</v>
      </c>
      <c r="BP149" s="115" t="n">
        <f aca="false">SUMIFS(الريسبي!$C$2:$C$1800,الريسبي!$A$2:$A$1800,$A149,الريسبي!$B$2:$B$1800,BP$1)</f>
        <v>0</v>
      </c>
      <c r="BQ149" s="115"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15" t="n">
        <f aca="false">SUMIFS(الريسبي!$C$2:$C$1800,الريسبي!$A$2:$A$1800,$A149,الريسبي!$B$2:$B$1800,BR$1)</f>
        <v>0</v>
      </c>
      <c r="BS149" s="115" t="n">
        <f aca="false">SUMIFS(الريسبي!$C$2:$C$1800,الريسبي!$A$2:$A$1800,$A149,الريسبي!$B$2:$B$1800,BS$1)</f>
        <v>0</v>
      </c>
      <c r="BT149" s="115" t="n">
        <f aca="false">SUMIFS(الريسبي!$C$2:$C$1800,الريسبي!$A$2:$A$1800,$A149,الريسبي!$B$2:$B$1800,BT$1)</f>
        <v>0</v>
      </c>
      <c r="BU149" s="115"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15" t="n">
        <f aca="false">SUMIFS(الريسبي!$C$2:$C$1800,الريسبي!$A$2:$A$1800,$A149,الريسبي!$B$2:$B$1800,BV$1)</f>
        <v>0</v>
      </c>
      <c r="BW149" s="115" t="n">
        <f aca="false">SUMIFS(الريسبي!$C$2:$C$1800,الريسبي!$A$2:$A$1800,$A149,الريسبي!$B$2:$B$1800,BW$1)</f>
        <v>0</v>
      </c>
      <c r="BX149" s="115" t="n">
        <f aca="false">SUMIFS(الريسبي!$C$2:$C$1800,الريسبي!$A$2:$A$1800,$A149,الريسبي!$B$2:$B$1800,BX$1)</f>
        <v>0</v>
      </c>
      <c r="BY149" s="115" t="n">
        <f aca="false">SUMIFS(الريسبي!$C$2:$C$1800,الريسبي!$A$2:$A$1800,$A149,الريسبي!$B$2:$B$1800,BY$1)</f>
        <v>0</v>
      </c>
      <c r="BZ149" s="115" t="n">
        <f aca="false">SUMIFS(الريسبي!$C$2:$C$1800,الريسبي!$A$2:$A$1800,$A149,الريسبي!$B$2:$B$1800,BZ$1)</f>
        <v>0</v>
      </c>
      <c r="CA149" s="115" t="n">
        <f aca="false">SUMIFS(الريسبي!$C$2:$C$1800,الريسبي!$A$2:$A$1800,$A149,الريسبي!$B$2:$B$1800,CA$1)</f>
        <v>0</v>
      </c>
      <c r="CB149" s="115" t="n">
        <f aca="false">SUMIFS(الريسبي!$C$2:$C$1800,الريسبي!$A$2:$A$1800,$A149,الريسبي!$B$2:$B$1800,CB$1)</f>
        <v>0</v>
      </c>
      <c r="CC149" s="115" t="n">
        <f aca="false">SUMIFS(الريسبي!$C$2:$C$1800,الريسبي!$A$2:$A$1800,$A149,الريسبي!$B$2:$B$1800,CC$1)</f>
        <v>0</v>
      </c>
      <c r="CD149" s="115" t="n">
        <f aca="false">SUMIFS(الريسبي!$C$2:$C$1800,الريسبي!$A$2:$A$1800,$A149,الريسبي!$B$2:$B$1800,CD$1)</f>
        <v>0</v>
      </c>
      <c r="CE149" s="115" t="n">
        <f aca="false">SUMIFS(الريسبي!$C$2:$C$1800,الريسبي!$A$2:$A$1800,$A149,الريسبي!$B$2:$B$1800,CE$1)</f>
        <v>0</v>
      </c>
      <c r="CF149" s="115" t="n">
        <f aca="false">SUMIFS(الريسبي!$C$2:$C$1800,الريسبي!$A$2:$A$1800,$A149,الريسبي!$B$2:$B$1800,CF$1)</f>
        <v>0</v>
      </c>
      <c r="CG149" s="115" t="n">
        <f aca="false">SUMIFS(الريسبي!$C$2:$C$1800,الريسبي!$A$2:$A$1800,$A149,الريسبي!$B$2:$B$1800,CG$1)</f>
        <v>0</v>
      </c>
      <c r="CH149" s="115" t="n">
        <f aca="false">SUMIFS(الريسبي!$C$2:$C$1800,الريسبي!$A$2:$A$1800,$A149,الريسبي!$B$2:$B$1800,CH$1)</f>
        <v>0</v>
      </c>
    </row>
    <row r="150" customFormat="false" ht="15" hidden="false" customHeight="false" outlineLevel="0" collapsed="false">
      <c r="A150" s="114" t="str">
        <f aca="false">المنيو!B150</f>
        <v>اضافة سلامي (بيتزا وسط)</v>
      </c>
      <c r="B150" s="115" t="n">
        <f aca="false">SUMIFS(الريسبي!$C$2:$C$1800,الريسبي!$A$2:$A$1800,$A150,الريسبي!$B$2:$B$1800,B$1)</f>
        <v>0</v>
      </c>
      <c r="C150" s="115" t="n">
        <f aca="false">SUMIFS(الريسبي!$C$2:$C$1800,الريسبي!$A$2:$A$1800,$A150,الريسبي!$B$2:$B$1800,C$1)</f>
        <v>0</v>
      </c>
      <c r="D150" s="115" t="n">
        <f aca="false">SUMIFS(الريسبي!$C$2:$C$1800,الريسبي!$A$2:$A$1800,$A150,الريسبي!$B$2:$B$1800,D$1)</f>
        <v>0</v>
      </c>
      <c r="E150" s="115" t="n">
        <f aca="false">SUMIFS(الريسبي!$C$2:$C$1800,الريسبي!$A$2:$A$1800,$A150,الريسبي!$B$2:$B$1800,E$1)</f>
        <v>0</v>
      </c>
      <c r="F150" s="115" t="n">
        <f aca="false">SUMIFS(الريسبي!$C$2:$C$1800,الريسبي!$A$2:$A$1800,$A150,الريسبي!$B$2:$B$1800,F$1)</f>
        <v>0</v>
      </c>
      <c r="G150" s="115" t="n">
        <f aca="false">SUMIFS(الريسبي!$C$2:$C$1800,الريسبي!$A$2:$A$1800,$A150,الريسبي!$B$2:$B$1800,G$1)</f>
        <v>0</v>
      </c>
      <c r="H150" s="115" t="n">
        <f aca="false">SUMIFS(الريسبي!$C$2:$C$1800,الريسبي!$A$2:$A$1800,$A150,الريسبي!$B$2:$B$1800,H$1)</f>
        <v>0</v>
      </c>
      <c r="I150" s="115" t="n">
        <f aca="false">SUMIFS(الريسبي!$C$2:$C$1800,الريسبي!$A$2:$A$1800,$A150,الريسبي!$B$2:$B$1800,I$1)</f>
        <v>0</v>
      </c>
      <c r="J150" s="115" t="n">
        <f aca="false">SUMIFS(الريسبي!$C$2:$C$1800,الريسبي!$A$2:$A$1800,$A150,الريسبي!$B$2:$B$1800,J$1)</f>
        <v>0</v>
      </c>
      <c r="K150" s="115" t="n">
        <f aca="false">SUMIFS(الريسبي!$C$2:$C$1800,الريسبي!$A$2:$A$1800,$A150,الريسبي!$B$2:$B$1800,K$1)</f>
        <v>0</v>
      </c>
      <c r="L150" s="115" t="n">
        <f aca="false">SUMIFS(الريسبي!$C$2:$C$1800,الريسبي!$A$2:$A$1800,$A150,الريسبي!$B$2:$B$1800,L$1)</f>
        <v>0</v>
      </c>
      <c r="M150" s="115" t="n">
        <f aca="false">SUMIFS(الريسبي!$C$2:$C$1800,الريسبي!$A$2:$A$1800,$A150,الريسبي!$B$2:$B$1800,M$1)</f>
        <v>0</v>
      </c>
      <c r="N150" s="115" t="n">
        <f aca="false">SUMIFS(الريسبي!$C$2:$C$1800,الريسبي!$A$2:$A$1800,$A150,الريسبي!$B$2:$B$1800,N$1)</f>
        <v>1</v>
      </c>
      <c r="O150" s="115" t="n">
        <f aca="false">SUMIFS(الريسبي!$C$2:$C$1800,الريسبي!$A$2:$A$1800,$A150,الريسبي!$B$2:$B$1800,O$1)</f>
        <v>0</v>
      </c>
      <c r="P150" s="115" t="n">
        <f aca="false">SUMIFS(الريسبي!$C$2:$C$1800,الريسبي!$A$2:$A$1800,$A150,الريسبي!$B$2:$B$1800,P$1)</f>
        <v>0</v>
      </c>
      <c r="Q150" s="115" t="n">
        <f aca="false">SUMIFS(الريسبي!$C$2:$C$1800,الريسبي!$A$2:$A$1800,$A150,الريسبي!$B$2:$B$1800,Q$1)</f>
        <v>0</v>
      </c>
      <c r="R150" s="115" t="n">
        <f aca="false">SUMIFS(الريسبي!$C$2:$C$1800,الريسبي!$A$2:$A$1800,$A150,الريسبي!$B$2:$B$1800,R$1)</f>
        <v>0</v>
      </c>
      <c r="S150" s="115" t="n">
        <f aca="false">SUMIFS(الريسبي!$C$2:$C$1800,الريسبي!$A$2:$A$1800,$A150,الريسبي!$B$2:$B$1800,S$1)</f>
        <v>0</v>
      </c>
      <c r="T150" s="115" t="n">
        <f aca="false">SUMIFS(الريسبي!$C$2:$C$1800,الريسبي!$A$2:$A$1800,$A150,الريسبي!$B$2:$B$1800,T$1)</f>
        <v>0</v>
      </c>
      <c r="U150" s="115" t="n">
        <f aca="false">SUMIFS(الريسبي!$C$2:$C$1800,الريسبي!$A$2:$A$1800,$A150,الريسبي!$B$2:$B$1800,U$1)</f>
        <v>0</v>
      </c>
      <c r="V150" s="115" t="n">
        <f aca="false">SUMIFS(الريسبي!$C$2:$C$1800,الريسبي!$A$2:$A$1800,$A150,الريسبي!$B$2:$B$1800,V$1)</f>
        <v>0</v>
      </c>
      <c r="W150" s="115" t="n">
        <f aca="false">SUMIFS(الريسبي!$C$2:$C$1800,الريسبي!$A$2:$A$1800,$A150,الريسبي!$B$2:$B$1800,W$1)</f>
        <v>0</v>
      </c>
      <c r="X150" s="115" t="n">
        <f aca="false">SUMIFS(الريسبي!$C$2:$C$1800,الريسبي!$A$2:$A$1800,$A150,الريسبي!$B$2:$B$1800,X$1)</f>
        <v>0</v>
      </c>
      <c r="Y150" s="115" t="n">
        <f aca="false">SUMIFS(الريسبي!$C$2:$C$1800,الريسبي!$A$2:$A$1800,$A150,الريسبي!$B$2:$B$1800,Y$1)</f>
        <v>0</v>
      </c>
      <c r="Z150" s="115" t="n">
        <f aca="false">SUMIFS(الريسبي!$C$2:$C$1800,الريسبي!$A$2:$A$1800,$A150,الريسبي!$B$2:$B$1800,Z$1)</f>
        <v>0</v>
      </c>
      <c r="AA150" s="115" t="n">
        <f aca="false">SUMIFS(الريسبي!$C$2:$C$1800,الريسبي!$A$2:$A$1800,$A150,الريسبي!$B$2:$B$1800,AA$1)</f>
        <v>0</v>
      </c>
      <c r="AB150" s="115" t="n">
        <f aca="false">SUMIFS(الريسبي!$C$2:$C$1800,الريسبي!$A$2:$A$1800,$A150,الريسبي!$B$2:$B$1800,AB$1)</f>
        <v>0</v>
      </c>
      <c r="AC150" s="115" t="n">
        <f aca="false">SUMIFS(الريسبي!$C$2:$C$1800,الريسبي!$A$2:$A$1800,$A150,الريسبي!$B$2:$B$1800,AC$1)</f>
        <v>0</v>
      </c>
      <c r="AD150" s="115" t="n">
        <f aca="false">SUMIFS(الريسبي!$C$2:$C$1800,الريسبي!$A$2:$A$1800,$A150,الريسبي!$B$2:$B$1800,AD$1)</f>
        <v>0</v>
      </c>
      <c r="AE150" s="115" t="n">
        <f aca="false">SUMIFS(الريسبي!$C$2:$C$1800,الريسبي!$A$2:$A$1800,$A150,الريسبي!$B$2:$B$1800,AE$1)</f>
        <v>0</v>
      </c>
      <c r="AF150" s="115" t="n">
        <f aca="false">SUMIFS(الريسبي!$C$2:$C$1800,الريسبي!$A$2:$A$1800,$A150,الريسبي!$B$2:$B$1800,AF$1)</f>
        <v>0</v>
      </c>
      <c r="AG150" s="115" t="n">
        <f aca="false">SUMIFS(الريسبي!$C$2:$C$1800,الريسبي!$A$2:$A$1800,$A150,الريسبي!$B$2:$B$1800,AG$1)</f>
        <v>0</v>
      </c>
      <c r="AH150" s="115" t="n">
        <f aca="false">SUMIFS(الريسبي!$C$2:$C$1800,الريسبي!$A$2:$A$1800,$A150,الريسبي!$B$2:$B$1800,AH$1)</f>
        <v>0</v>
      </c>
      <c r="AI150" s="115" t="n">
        <f aca="false">SUMIFS(الريسبي!$C$2:$C$1800,الريسبي!$A$2:$A$1800,$A150,الريسبي!$B$2:$B$1800,AI$1)</f>
        <v>0</v>
      </c>
      <c r="AJ150" s="115" t="n">
        <f aca="false">SUMIFS(الريسبي!$C$2:$C$1800,الريسبي!$A$2:$A$1800,$A150,الريسبي!$B$2:$B$1800,AJ$1)</f>
        <v>0</v>
      </c>
      <c r="AK150" s="115" t="n">
        <f aca="false">SUMIFS(الريسبي!$C$2:$C$1800,الريسبي!$A$2:$A$1800,$A150,الريسبي!$B$2:$B$1800,AK$1)</f>
        <v>0</v>
      </c>
      <c r="AL150" s="115" t="n">
        <f aca="false">SUMIFS(الريسبي!$C$2:$C$1800,الريسبي!$A$2:$A$1800,$A150,الريسبي!$B$2:$B$1800,AL$1)</f>
        <v>0</v>
      </c>
      <c r="AM150" s="115"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15"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15" t="n">
        <f aca="false">SUMIFS(الريسبي!$C$2:$C$1800,الريسبي!$A$2:$A$1800,$A150,الريسبي!$B$2:$B$1800,AO$1)</f>
        <v>0</v>
      </c>
      <c r="AP150" s="115" t="n">
        <f aca="false">SUMIFS(الريسبي!$C$2:$C$1800,الريسبي!$A$2:$A$1800,$A150,الريسبي!$B$2:$B$1800,AP$1)</f>
        <v>0</v>
      </c>
      <c r="AQ150" s="115"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15" t="n">
        <f aca="false">SUMIFS(الريسبي!$C$2:$C$1800,الريسبي!$A$2:$A$1800,$A150,الريسبي!$B$2:$B$1800,AR$1)</f>
        <v>0</v>
      </c>
      <c r="AS150" s="115" t="n">
        <f aca="false">SUMIFS(الريسبي!$C$2:$C$1800,الريسبي!$A$2:$A$1800,$A150,الريسبي!$B$2:$B$1800,AS$1)</f>
        <v>0</v>
      </c>
      <c r="AT150" s="115" t="n">
        <f aca="false">SUMIFS(الريسبي!$C$2:$C$1800,الريسبي!$A$2:$A$1800,$A150,الريسبي!$B$2:$B$1800,AT$1)</f>
        <v>0</v>
      </c>
      <c r="AU150" s="115" t="n">
        <f aca="false">SUMIFS(الريسبي!$C$2:$C$1800,الريسبي!$A$2:$A$1800,$A150,الريسبي!$B$2:$B$1800,AU$1)</f>
        <v>0</v>
      </c>
      <c r="AV150" s="115" t="n">
        <f aca="false">SUMIFS(الريسبي!$C$2:$C$1800,الريسبي!$A$2:$A$1800,$A150,الريسبي!$B$2:$B$1800,AV$1)</f>
        <v>0</v>
      </c>
      <c r="AW150" s="115" t="n">
        <f aca="false">SUMIFS(الريسبي!$C$2:$C$1800,الريسبي!$A$2:$A$1800,$A150,الريسبي!$B$2:$B$1800,AW$1)</f>
        <v>0</v>
      </c>
      <c r="AX150" s="115" t="n">
        <f aca="false">SUMIFS(الريسبي!$C$2:$C$1800,الريسبي!$A$2:$A$1800,$A150,الريسبي!$B$2:$B$1800,AX$1)</f>
        <v>0</v>
      </c>
      <c r="AY150" s="115" t="n">
        <f aca="false">SUMIFS(الريسبي!$C$2:$C$1800,الريسبي!$A$2:$A$1800,$A150,الريسبي!$B$2:$B$1800,AY$1)</f>
        <v>0</v>
      </c>
      <c r="AZ150" s="115" t="n">
        <f aca="false">SUMIFS(الريسبي!$C$2:$C$1800,الريسبي!$A$2:$A$1800,$A150,الريسبي!$B$2:$B$1800,AZ$1)</f>
        <v>0</v>
      </c>
      <c r="BA150" s="115" t="n">
        <f aca="false">SUMIFS(الريسبي!$C$2:$C$1800,الريسبي!$A$2:$A$1800,$A150,الريسبي!$B$2:$B$1800,BA$1)</f>
        <v>0</v>
      </c>
      <c r="BB150" s="115" t="n">
        <f aca="false">SUMIFS(الريسبي!$C$2:$C$1800,الريسبي!$A$2:$A$1800,$A150,الريسبي!$B$2:$B$1800,BB$1)</f>
        <v>0</v>
      </c>
      <c r="BC150" s="115" t="n">
        <f aca="false">SUMIFS(الريسبي!$C$2:$C$1800,الريسبي!$A$2:$A$1800,$A150,الريسبي!$B$2:$B$1800,BC$1)</f>
        <v>0</v>
      </c>
      <c r="BD150" s="115" t="n">
        <f aca="false">SUMIFS(الريسبي!$C$2:$C$1800,الريسبي!$A$2:$A$1800,$A150,الريسبي!$B$2:$B$1800,BD$1)</f>
        <v>0</v>
      </c>
      <c r="BE150" s="115" t="n">
        <f aca="false">SUMIFS(الريسبي!$C$2:$C$1800,الريسبي!$A$2:$A$1800,$A150,الريسبي!$B$2:$B$1800,BE$1)</f>
        <v>0</v>
      </c>
      <c r="BF150" s="115" t="n">
        <f aca="false">SUMIFS(الريسبي!$C$2:$C$1800,الريسبي!$A$2:$A$1800,$A150,الريسبي!$B$2:$B$1800,BF$1)</f>
        <v>0</v>
      </c>
      <c r="BG150" s="115" t="n">
        <f aca="false">SUMIFS(الريسبي!$C$2:$C$1800,الريسبي!$A$2:$A$1800,$A150,الريسبي!$B$2:$B$1800,BG$1)</f>
        <v>0</v>
      </c>
      <c r="BH150" s="115" t="n">
        <f aca="false">SUMIFS(الريسبي!$C$2:$C$1800,الريسبي!$A$2:$A$1800,$A150,الريسبي!$B$2:$B$1800,BH$1)</f>
        <v>0</v>
      </c>
      <c r="BI150" s="115" t="n">
        <f aca="false">SUMIFS(الريسبي!$C$2:$C$1800,الريسبي!$A$2:$A$1800,$A150,الريسبي!$B$2:$B$1800,BI$1)</f>
        <v>0</v>
      </c>
      <c r="BJ150" s="115" t="n">
        <f aca="false">SUMIFS(الريسبي!$C$2:$C$1800,الريسبي!$A$2:$A$1800,$A150,الريسبي!$B$2:$B$1800,BJ$1)</f>
        <v>0</v>
      </c>
      <c r="BK150" s="115" t="n">
        <f aca="false">SUMIFS(الريسبي!$C$2:$C$1800,الريسبي!$A$2:$A$1800,$A150,الريسبي!$B$2:$B$1800,BK$1)</f>
        <v>0</v>
      </c>
      <c r="BL150" s="115" t="n">
        <f aca="false">SUMIFS(الريسبي!$C$2:$C$1800,الريسبي!$A$2:$A$1800,$A150,الريسبي!$B$2:$B$1800,BL$1)</f>
        <v>0</v>
      </c>
      <c r="BM150" s="115" t="n">
        <f aca="false">SUMIFS(الريسبي!$C$2:$C$1800,الريسبي!$A$2:$A$1800,$A150,الريسبي!$B$2:$B$1800,BM$1)</f>
        <v>0</v>
      </c>
      <c r="BN150" s="115" t="n">
        <f aca="false">SUMIFS(الريسبي!$C$2:$C$1800,الريسبي!$A$2:$A$1800,$A150,الريسبي!$B$2:$B$1800,BN$1)</f>
        <v>0</v>
      </c>
      <c r="BO150" s="115" t="n">
        <f aca="false">SUMIFS(الريسبي!$C$2:$C$1800,الريسبي!$A$2:$A$1800,$A150,الريسبي!$B$2:$B$1800,BO$1)</f>
        <v>0</v>
      </c>
      <c r="BP150" s="115" t="n">
        <f aca="false">SUMIFS(الريسبي!$C$2:$C$1800,الريسبي!$A$2:$A$1800,$A150,الريسبي!$B$2:$B$1800,BP$1)</f>
        <v>0</v>
      </c>
      <c r="BQ150" s="115"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15" t="n">
        <f aca="false">SUMIFS(الريسبي!$C$2:$C$1800,الريسبي!$A$2:$A$1800,$A150,الريسبي!$B$2:$B$1800,BR$1)</f>
        <v>0</v>
      </c>
      <c r="BS150" s="115" t="n">
        <f aca="false">SUMIFS(الريسبي!$C$2:$C$1800,الريسبي!$A$2:$A$1800,$A150,الريسبي!$B$2:$B$1800,BS$1)</f>
        <v>0</v>
      </c>
      <c r="BT150" s="115" t="n">
        <f aca="false">SUMIFS(الريسبي!$C$2:$C$1800,الريسبي!$A$2:$A$1800,$A150,الريسبي!$B$2:$B$1800,BT$1)</f>
        <v>0</v>
      </c>
      <c r="BU150" s="115"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15" t="n">
        <f aca="false">SUMIFS(الريسبي!$C$2:$C$1800,الريسبي!$A$2:$A$1800,$A150,الريسبي!$B$2:$B$1800,BV$1)</f>
        <v>0</v>
      </c>
      <c r="BW150" s="115" t="n">
        <f aca="false">SUMIFS(الريسبي!$C$2:$C$1800,الريسبي!$A$2:$A$1800,$A150,الريسبي!$B$2:$B$1800,BW$1)</f>
        <v>0</v>
      </c>
      <c r="BX150" s="115" t="n">
        <f aca="false">SUMIFS(الريسبي!$C$2:$C$1800,الريسبي!$A$2:$A$1800,$A150,الريسبي!$B$2:$B$1800,BX$1)</f>
        <v>0</v>
      </c>
      <c r="BY150" s="115" t="n">
        <f aca="false">SUMIFS(الريسبي!$C$2:$C$1800,الريسبي!$A$2:$A$1800,$A150,الريسبي!$B$2:$B$1800,BY$1)</f>
        <v>0</v>
      </c>
      <c r="BZ150" s="115" t="n">
        <f aca="false">SUMIFS(الريسبي!$C$2:$C$1800,الريسبي!$A$2:$A$1800,$A150,الريسبي!$B$2:$B$1800,BZ$1)</f>
        <v>0</v>
      </c>
      <c r="CA150" s="115" t="n">
        <f aca="false">SUMIFS(الريسبي!$C$2:$C$1800,الريسبي!$A$2:$A$1800,$A150,الريسبي!$B$2:$B$1800,CA$1)</f>
        <v>0</v>
      </c>
      <c r="CB150" s="115" t="n">
        <f aca="false">SUMIFS(الريسبي!$C$2:$C$1800,الريسبي!$A$2:$A$1800,$A150,الريسبي!$B$2:$B$1800,CB$1)</f>
        <v>0</v>
      </c>
      <c r="CC150" s="115" t="n">
        <f aca="false">SUMIFS(الريسبي!$C$2:$C$1800,الريسبي!$A$2:$A$1800,$A150,الريسبي!$B$2:$B$1800,CC$1)</f>
        <v>0</v>
      </c>
      <c r="CD150" s="115" t="n">
        <f aca="false">SUMIFS(الريسبي!$C$2:$C$1800,الريسبي!$A$2:$A$1800,$A150,الريسبي!$B$2:$B$1800,CD$1)</f>
        <v>0</v>
      </c>
      <c r="CE150" s="115" t="n">
        <f aca="false">SUMIFS(الريسبي!$C$2:$C$1800,الريسبي!$A$2:$A$1800,$A150,الريسبي!$B$2:$B$1800,CE$1)</f>
        <v>0</v>
      </c>
      <c r="CF150" s="115" t="n">
        <f aca="false">SUMIFS(الريسبي!$C$2:$C$1800,الريسبي!$A$2:$A$1800,$A150,الريسبي!$B$2:$B$1800,CF$1)</f>
        <v>0</v>
      </c>
      <c r="CG150" s="115" t="n">
        <f aca="false">SUMIFS(الريسبي!$C$2:$C$1800,الريسبي!$A$2:$A$1800,$A150,الريسبي!$B$2:$B$1800,CG$1)</f>
        <v>0</v>
      </c>
      <c r="CH150" s="115" t="n">
        <f aca="false">SUMIFS(الريسبي!$C$2:$C$1800,الريسبي!$A$2:$A$1800,$A150,الريسبي!$B$2:$B$1800,CH$1)</f>
        <v>0</v>
      </c>
    </row>
    <row r="151" customFormat="false" ht="15" hidden="false" customHeight="false" outlineLevel="0" collapsed="false">
      <c r="A151" s="114" t="str">
        <f aca="false">المنيو!B151</f>
        <v>اضافة تونة (بيتزا وسط)</v>
      </c>
      <c r="B151" s="115" t="n">
        <f aca="false">SUMIFS(الريسبي!$C$2:$C$1800,الريسبي!$A$2:$A$1800,$A151,الريسبي!$B$2:$B$1800,B$1)</f>
        <v>0</v>
      </c>
      <c r="C151" s="115" t="n">
        <f aca="false">SUMIFS(الريسبي!$C$2:$C$1800,الريسبي!$A$2:$A$1800,$A151,الريسبي!$B$2:$B$1800,C$1)</f>
        <v>0</v>
      </c>
      <c r="D151" s="115" t="n">
        <f aca="false">SUMIFS(الريسبي!$C$2:$C$1800,الريسبي!$A$2:$A$1800,$A151,الريسبي!$B$2:$B$1800,D$1)</f>
        <v>0</v>
      </c>
      <c r="E151" s="115" t="n">
        <f aca="false">SUMIFS(الريسبي!$C$2:$C$1800,الريسبي!$A$2:$A$1800,$A151,الريسبي!$B$2:$B$1800,E$1)</f>
        <v>0</v>
      </c>
      <c r="F151" s="115" t="n">
        <f aca="false">SUMIFS(الريسبي!$C$2:$C$1800,الريسبي!$A$2:$A$1800,$A151,الريسبي!$B$2:$B$1800,F$1)</f>
        <v>0</v>
      </c>
      <c r="G151" s="115" t="n">
        <f aca="false">SUMIFS(الريسبي!$C$2:$C$1800,الريسبي!$A$2:$A$1800,$A151,الريسبي!$B$2:$B$1800,G$1)</f>
        <v>0</v>
      </c>
      <c r="H151" s="115" t="n">
        <f aca="false">SUMIFS(الريسبي!$C$2:$C$1800,الريسبي!$A$2:$A$1800,$A151,الريسبي!$B$2:$B$1800,H$1)</f>
        <v>0</v>
      </c>
      <c r="I151" s="115" t="n">
        <f aca="false">SUMIFS(الريسبي!$C$2:$C$1800,الريسبي!$A$2:$A$1800,$A151,الريسبي!$B$2:$B$1800,I$1)</f>
        <v>0</v>
      </c>
      <c r="J151" s="115" t="n">
        <f aca="false">SUMIFS(الريسبي!$C$2:$C$1800,الريسبي!$A$2:$A$1800,$A151,الريسبي!$B$2:$B$1800,J$1)</f>
        <v>0</v>
      </c>
      <c r="K151" s="115" t="n">
        <f aca="false">SUMIFS(الريسبي!$C$2:$C$1800,الريسبي!$A$2:$A$1800,$A151,الريسبي!$B$2:$B$1800,K$1)</f>
        <v>0</v>
      </c>
      <c r="L151" s="115" t="n">
        <f aca="false">SUMIFS(الريسبي!$C$2:$C$1800,الريسبي!$A$2:$A$1800,$A151,الريسبي!$B$2:$B$1800,L$1)</f>
        <v>0</v>
      </c>
      <c r="M151" s="115" t="n">
        <f aca="false">SUMIFS(الريسبي!$C$2:$C$1800,الريسبي!$A$2:$A$1800,$A151,الريسبي!$B$2:$B$1800,M$1)</f>
        <v>0</v>
      </c>
      <c r="N151" s="115" t="n">
        <f aca="false">SUMIFS(الريسبي!$C$2:$C$1800,الريسبي!$A$2:$A$1800,$A151,الريسبي!$B$2:$B$1800,N$1)</f>
        <v>0</v>
      </c>
      <c r="O151" s="115" t="n">
        <f aca="false">SUMIFS(الريسبي!$C$2:$C$1800,الريسبي!$A$2:$A$1800,$A151,الريسبي!$B$2:$B$1800,O$1)</f>
        <v>0</v>
      </c>
      <c r="P151" s="115" t="n">
        <f aca="false">SUMIFS(الريسبي!$C$2:$C$1800,الريسبي!$A$2:$A$1800,$A151,الريسبي!$B$2:$B$1800,P$1)</f>
        <v>0</v>
      </c>
      <c r="Q151" s="115" t="n">
        <f aca="false">SUMIFS(الريسبي!$C$2:$C$1800,الريسبي!$A$2:$A$1800,$A151,الريسبي!$B$2:$B$1800,Q$1)</f>
        <v>0</v>
      </c>
      <c r="R151" s="115" t="n">
        <f aca="false">SUMIFS(الريسبي!$C$2:$C$1800,الريسبي!$A$2:$A$1800,$A151,الريسبي!$B$2:$B$1800,R$1)</f>
        <v>0</v>
      </c>
      <c r="S151" s="115" t="n">
        <f aca="false">SUMIFS(الريسبي!$C$2:$C$1800,الريسبي!$A$2:$A$1800,$A151,الريسبي!$B$2:$B$1800,S$1)</f>
        <v>0</v>
      </c>
      <c r="T151" s="115" t="n">
        <f aca="false">SUMIFS(الريسبي!$C$2:$C$1800,الريسبي!$A$2:$A$1800,$A151,الريسبي!$B$2:$B$1800,T$1)</f>
        <v>0</v>
      </c>
      <c r="U151" s="115" t="n">
        <f aca="false">SUMIFS(الريسبي!$C$2:$C$1800,الريسبي!$A$2:$A$1800,$A151,الريسبي!$B$2:$B$1800,U$1)</f>
        <v>0</v>
      </c>
      <c r="V151" s="115" t="n">
        <f aca="false">SUMIFS(الريسبي!$C$2:$C$1800,الريسبي!$A$2:$A$1800,$A151,الريسبي!$B$2:$B$1800,V$1)</f>
        <v>0</v>
      </c>
      <c r="W151" s="115" t="n">
        <f aca="false">SUMIFS(الريسبي!$C$2:$C$1800,الريسبي!$A$2:$A$1800,$A151,الريسبي!$B$2:$B$1800,W$1)</f>
        <v>0</v>
      </c>
      <c r="X151" s="115" t="n">
        <f aca="false">SUMIFS(الريسبي!$C$2:$C$1800,الريسبي!$A$2:$A$1800,$A151,الريسبي!$B$2:$B$1800,X$1)</f>
        <v>0</v>
      </c>
      <c r="Y151" s="115" t="n">
        <f aca="false">SUMIFS(الريسبي!$C$2:$C$1800,الريسبي!$A$2:$A$1800,$A151,الريسبي!$B$2:$B$1800,Y$1)</f>
        <v>0</v>
      </c>
      <c r="Z151" s="115" t="n">
        <f aca="false">SUMIFS(الريسبي!$C$2:$C$1800,الريسبي!$A$2:$A$1800,$A151,الريسبي!$B$2:$B$1800,Z$1)</f>
        <v>0</v>
      </c>
      <c r="AA151" s="115" t="n">
        <f aca="false">SUMIFS(الريسبي!$C$2:$C$1800,الريسبي!$A$2:$A$1800,$A151,الريسبي!$B$2:$B$1800,AA$1)</f>
        <v>0</v>
      </c>
      <c r="AB151" s="115" t="n">
        <f aca="false">SUMIFS(الريسبي!$C$2:$C$1800,الريسبي!$A$2:$A$1800,$A151,الريسبي!$B$2:$B$1800,AB$1)</f>
        <v>0</v>
      </c>
      <c r="AC151" s="115" t="n">
        <f aca="false">SUMIFS(الريسبي!$C$2:$C$1800,الريسبي!$A$2:$A$1800,$A151,الريسبي!$B$2:$B$1800,AC$1)</f>
        <v>0</v>
      </c>
      <c r="AD151" s="115" t="n">
        <f aca="false">SUMIFS(الريسبي!$C$2:$C$1800,الريسبي!$A$2:$A$1800,$A151,الريسبي!$B$2:$B$1800,AD$1)</f>
        <v>0</v>
      </c>
      <c r="AE151" s="115" t="n">
        <f aca="false">SUMIFS(الريسبي!$C$2:$C$1800,الريسبي!$A$2:$A$1800,$A151,الريسبي!$B$2:$B$1800,AE$1)</f>
        <v>0</v>
      </c>
      <c r="AF151" s="115" t="n">
        <f aca="false">SUMIFS(الريسبي!$C$2:$C$1800,الريسبي!$A$2:$A$1800,$A151,الريسبي!$B$2:$B$1800,AF$1)</f>
        <v>0</v>
      </c>
      <c r="AG151" s="115" t="n">
        <f aca="false">SUMIFS(الريسبي!$C$2:$C$1800,الريسبي!$A$2:$A$1800,$A151,الريسبي!$B$2:$B$1800,AG$1)</f>
        <v>0</v>
      </c>
      <c r="AH151" s="115" t="n">
        <f aca="false">SUMIFS(الريسبي!$C$2:$C$1800,الريسبي!$A$2:$A$1800,$A151,الريسبي!$B$2:$B$1800,AH$1)</f>
        <v>0</v>
      </c>
      <c r="AI151" s="115" t="n">
        <f aca="false">SUMIFS(الريسبي!$C$2:$C$1800,الريسبي!$A$2:$A$1800,$A151,الريسبي!$B$2:$B$1800,AI$1)</f>
        <v>0</v>
      </c>
      <c r="AJ151" s="115" t="n">
        <f aca="false">SUMIFS(الريسبي!$C$2:$C$1800,الريسبي!$A$2:$A$1800,$A151,الريسبي!$B$2:$B$1800,AJ$1)</f>
        <v>0</v>
      </c>
      <c r="AK151" s="115" t="n">
        <f aca="false">SUMIFS(الريسبي!$C$2:$C$1800,الريسبي!$A$2:$A$1800,$A151,الريسبي!$B$2:$B$1800,AK$1)</f>
        <v>0</v>
      </c>
      <c r="AL151" s="115" t="n">
        <f aca="false">SUMIFS(الريسبي!$C$2:$C$1800,الريسبي!$A$2:$A$1800,$A151,الريسبي!$B$2:$B$1800,AL$1)</f>
        <v>0</v>
      </c>
      <c r="AM151" s="115"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15"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15" t="n">
        <f aca="false">SUMIFS(الريسبي!$C$2:$C$1800,الريسبي!$A$2:$A$1800,$A151,الريسبي!$B$2:$B$1800,AO$1)</f>
        <v>0</v>
      </c>
      <c r="AP151" s="115" t="n">
        <f aca="false">SUMIFS(الريسبي!$C$2:$C$1800,الريسبي!$A$2:$A$1800,$A151,الريسبي!$B$2:$B$1800,AP$1)</f>
        <v>0</v>
      </c>
      <c r="AQ151" s="115"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15" t="n">
        <f aca="false">SUMIFS(الريسبي!$C$2:$C$1800,الريسبي!$A$2:$A$1800,$A151,الريسبي!$B$2:$B$1800,AR$1)</f>
        <v>0</v>
      </c>
      <c r="AS151" s="115" t="n">
        <f aca="false">SUMIFS(الريسبي!$C$2:$C$1800,الريسبي!$A$2:$A$1800,$A151,الريسبي!$B$2:$B$1800,AS$1)</f>
        <v>0</v>
      </c>
      <c r="AT151" s="115" t="n">
        <f aca="false">SUMIFS(الريسبي!$C$2:$C$1800,الريسبي!$A$2:$A$1800,$A151,الريسبي!$B$2:$B$1800,AT$1)</f>
        <v>0</v>
      </c>
      <c r="AU151" s="115" t="n">
        <f aca="false">SUMIFS(الريسبي!$C$2:$C$1800,الريسبي!$A$2:$A$1800,$A151,الريسبي!$B$2:$B$1800,AU$1)</f>
        <v>0</v>
      </c>
      <c r="AV151" s="115" t="n">
        <f aca="false">SUMIFS(الريسبي!$C$2:$C$1800,الريسبي!$A$2:$A$1800,$A151,الريسبي!$B$2:$B$1800,AV$1)</f>
        <v>0</v>
      </c>
      <c r="AW151" s="115" t="n">
        <f aca="false">SUMIFS(الريسبي!$C$2:$C$1800,الريسبي!$A$2:$A$1800,$A151,الريسبي!$B$2:$B$1800,AW$1)</f>
        <v>0</v>
      </c>
      <c r="AX151" s="115" t="n">
        <f aca="false">SUMIFS(الريسبي!$C$2:$C$1800,الريسبي!$A$2:$A$1800,$A151,الريسبي!$B$2:$B$1800,AX$1)</f>
        <v>0</v>
      </c>
      <c r="AY151" s="115" t="n">
        <f aca="false">SUMIFS(الريسبي!$C$2:$C$1800,الريسبي!$A$2:$A$1800,$A151,الريسبي!$B$2:$B$1800,AY$1)</f>
        <v>0</v>
      </c>
      <c r="AZ151" s="115" t="n">
        <f aca="false">SUMIFS(الريسبي!$C$2:$C$1800,الريسبي!$A$2:$A$1800,$A151,الريسبي!$B$2:$B$1800,AZ$1)</f>
        <v>0</v>
      </c>
      <c r="BA151" s="115" t="n">
        <f aca="false">SUMIFS(الريسبي!$C$2:$C$1800,الريسبي!$A$2:$A$1800,$A151,الريسبي!$B$2:$B$1800,BA$1)</f>
        <v>0</v>
      </c>
      <c r="BB151" s="115" t="n">
        <f aca="false">SUMIFS(الريسبي!$C$2:$C$1800,الريسبي!$A$2:$A$1800,$A151,الريسبي!$B$2:$B$1800,BB$1)</f>
        <v>0</v>
      </c>
      <c r="BC151" s="115" t="n">
        <f aca="false">SUMIFS(الريسبي!$C$2:$C$1800,الريسبي!$A$2:$A$1800,$A151,الريسبي!$B$2:$B$1800,BC$1)</f>
        <v>0</v>
      </c>
      <c r="BD151" s="115" t="n">
        <f aca="false">SUMIFS(الريسبي!$C$2:$C$1800,الريسبي!$A$2:$A$1800,$A151,الريسبي!$B$2:$B$1800,BD$1)</f>
        <v>0</v>
      </c>
      <c r="BE151" s="115" t="n">
        <f aca="false">SUMIFS(الريسبي!$C$2:$C$1800,الريسبي!$A$2:$A$1800,$A151,الريسبي!$B$2:$B$1800,BE$1)</f>
        <v>0</v>
      </c>
      <c r="BF151" s="115" t="n">
        <f aca="false">SUMIFS(الريسبي!$C$2:$C$1800,الريسبي!$A$2:$A$1800,$A151,الريسبي!$B$2:$B$1800,BF$1)</f>
        <v>0</v>
      </c>
      <c r="BG151" s="115" t="n">
        <f aca="false">SUMIFS(الريسبي!$C$2:$C$1800,الريسبي!$A$2:$A$1800,$A151,الريسبي!$B$2:$B$1800,BG$1)</f>
        <v>0</v>
      </c>
      <c r="BH151" s="115" t="n">
        <f aca="false">SUMIFS(الريسبي!$C$2:$C$1800,الريسبي!$A$2:$A$1800,$A151,الريسبي!$B$2:$B$1800,BH$1)</f>
        <v>0</v>
      </c>
      <c r="BI151" s="115" t="n">
        <f aca="false">SUMIFS(الريسبي!$C$2:$C$1800,الريسبي!$A$2:$A$1800,$A151,الريسبي!$B$2:$B$1800,BI$1)</f>
        <v>0</v>
      </c>
      <c r="BJ151" s="115" t="n">
        <f aca="false">SUMIFS(الريسبي!$C$2:$C$1800,الريسبي!$A$2:$A$1800,$A151,الريسبي!$B$2:$B$1800,BJ$1)</f>
        <v>0</v>
      </c>
      <c r="BK151" s="115" t="n">
        <f aca="false">SUMIFS(الريسبي!$C$2:$C$1800,الريسبي!$A$2:$A$1800,$A151,الريسبي!$B$2:$B$1800,BK$1)</f>
        <v>0</v>
      </c>
      <c r="BL151" s="115" t="n">
        <f aca="false">SUMIFS(الريسبي!$C$2:$C$1800,الريسبي!$A$2:$A$1800,$A151,الريسبي!$B$2:$B$1800,BL$1)</f>
        <v>1</v>
      </c>
      <c r="BM151" s="115" t="n">
        <f aca="false">SUMIFS(الريسبي!$C$2:$C$1800,الريسبي!$A$2:$A$1800,$A151,الريسبي!$B$2:$B$1800,BM$1)</f>
        <v>0</v>
      </c>
      <c r="BN151" s="115" t="n">
        <f aca="false">SUMIFS(الريسبي!$C$2:$C$1800,الريسبي!$A$2:$A$1800,$A151,الريسبي!$B$2:$B$1800,BN$1)</f>
        <v>0</v>
      </c>
      <c r="BO151" s="115" t="n">
        <f aca="false">SUMIFS(الريسبي!$C$2:$C$1800,الريسبي!$A$2:$A$1800,$A151,الريسبي!$B$2:$B$1800,BO$1)</f>
        <v>0</v>
      </c>
      <c r="BP151" s="115" t="n">
        <f aca="false">SUMIFS(الريسبي!$C$2:$C$1800,الريسبي!$A$2:$A$1800,$A151,الريسبي!$B$2:$B$1800,BP$1)</f>
        <v>0</v>
      </c>
      <c r="BQ151" s="115"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15" t="n">
        <f aca="false">SUMIFS(الريسبي!$C$2:$C$1800,الريسبي!$A$2:$A$1800,$A151,الريسبي!$B$2:$B$1800,BR$1)</f>
        <v>0</v>
      </c>
      <c r="BS151" s="115" t="n">
        <f aca="false">SUMIFS(الريسبي!$C$2:$C$1800,الريسبي!$A$2:$A$1800,$A151,الريسبي!$B$2:$B$1800,BS$1)</f>
        <v>0</v>
      </c>
      <c r="BT151" s="115" t="n">
        <f aca="false">SUMIFS(الريسبي!$C$2:$C$1800,الريسبي!$A$2:$A$1800,$A151,الريسبي!$B$2:$B$1800,BT$1)</f>
        <v>0</v>
      </c>
      <c r="BU151" s="115"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15" t="n">
        <f aca="false">SUMIFS(الريسبي!$C$2:$C$1800,الريسبي!$A$2:$A$1800,$A151,الريسبي!$B$2:$B$1800,BV$1)</f>
        <v>0</v>
      </c>
      <c r="BW151" s="115" t="n">
        <f aca="false">SUMIFS(الريسبي!$C$2:$C$1800,الريسبي!$A$2:$A$1800,$A151,الريسبي!$B$2:$B$1800,BW$1)</f>
        <v>0</v>
      </c>
      <c r="BX151" s="115" t="n">
        <f aca="false">SUMIFS(الريسبي!$C$2:$C$1800,الريسبي!$A$2:$A$1800,$A151,الريسبي!$B$2:$B$1800,BX$1)</f>
        <v>0</v>
      </c>
      <c r="BY151" s="115" t="n">
        <f aca="false">SUMIFS(الريسبي!$C$2:$C$1800,الريسبي!$A$2:$A$1800,$A151,الريسبي!$B$2:$B$1800,BY$1)</f>
        <v>0</v>
      </c>
      <c r="BZ151" s="115" t="n">
        <f aca="false">SUMIFS(الريسبي!$C$2:$C$1800,الريسبي!$A$2:$A$1800,$A151,الريسبي!$B$2:$B$1800,BZ$1)</f>
        <v>0</v>
      </c>
      <c r="CA151" s="115" t="n">
        <f aca="false">SUMIFS(الريسبي!$C$2:$C$1800,الريسبي!$A$2:$A$1800,$A151,الريسبي!$B$2:$B$1800,CA$1)</f>
        <v>0</v>
      </c>
      <c r="CB151" s="115" t="n">
        <f aca="false">SUMIFS(الريسبي!$C$2:$C$1800,الريسبي!$A$2:$A$1800,$A151,الريسبي!$B$2:$B$1800,CB$1)</f>
        <v>0</v>
      </c>
      <c r="CC151" s="115" t="n">
        <f aca="false">SUMIFS(الريسبي!$C$2:$C$1800,الريسبي!$A$2:$A$1800,$A151,الريسبي!$B$2:$B$1800,CC$1)</f>
        <v>0</v>
      </c>
      <c r="CD151" s="115" t="n">
        <f aca="false">SUMIFS(الريسبي!$C$2:$C$1800,الريسبي!$A$2:$A$1800,$A151,الريسبي!$B$2:$B$1800,CD$1)</f>
        <v>0</v>
      </c>
      <c r="CE151" s="115" t="n">
        <f aca="false">SUMIFS(الريسبي!$C$2:$C$1800,الريسبي!$A$2:$A$1800,$A151,الريسبي!$B$2:$B$1800,CE$1)</f>
        <v>0</v>
      </c>
      <c r="CF151" s="115" t="n">
        <f aca="false">SUMIFS(الريسبي!$C$2:$C$1800,الريسبي!$A$2:$A$1800,$A151,الريسبي!$B$2:$B$1800,CF$1)</f>
        <v>0</v>
      </c>
      <c r="CG151" s="115" t="n">
        <f aca="false">SUMIFS(الريسبي!$C$2:$C$1800,الريسبي!$A$2:$A$1800,$A151,الريسبي!$B$2:$B$1800,CG$1)</f>
        <v>0</v>
      </c>
      <c r="CH151" s="115" t="n">
        <f aca="false">SUMIFS(الريسبي!$C$2:$C$1800,الريسبي!$A$2:$A$1800,$A151,الريسبي!$B$2:$B$1800,CH$1)</f>
        <v>0</v>
      </c>
    </row>
    <row r="152" customFormat="false" ht="15" hidden="false" customHeight="false" outlineLevel="0" collapsed="false">
      <c r="A152" s="114" t="str">
        <f aca="false">المنيو!B152</f>
        <v>اضافة جمبري (بيتزا وسط)</v>
      </c>
      <c r="B152" s="115" t="n">
        <f aca="false">SUMIFS(الريسبي!$C$2:$C$1800,الريسبي!$A$2:$A$1800,$A152,الريسبي!$B$2:$B$1800,B$1)</f>
        <v>0</v>
      </c>
      <c r="C152" s="115" t="n">
        <f aca="false">SUMIFS(الريسبي!$C$2:$C$1800,الريسبي!$A$2:$A$1800,$A152,الريسبي!$B$2:$B$1800,C$1)</f>
        <v>0</v>
      </c>
      <c r="D152" s="115" t="n">
        <f aca="false">SUMIFS(الريسبي!$C$2:$C$1800,الريسبي!$A$2:$A$1800,$A152,الريسبي!$B$2:$B$1800,D$1)</f>
        <v>0</v>
      </c>
      <c r="E152" s="115" t="n">
        <f aca="false">SUMIFS(الريسبي!$C$2:$C$1800,الريسبي!$A$2:$A$1800,$A152,الريسبي!$B$2:$B$1800,E$1)</f>
        <v>0</v>
      </c>
      <c r="F152" s="115" t="n">
        <f aca="false">SUMIFS(الريسبي!$C$2:$C$1800,الريسبي!$A$2:$A$1800,$A152,الريسبي!$B$2:$B$1800,F$1)</f>
        <v>0</v>
      </c>
      <c r="G152" s="115" t="n">
        <f aca="false">SUMIFS(الريسبي!$C$2:$C$1800,الريسبي!$A$2:$A$1800,$A152,الريسبي!$B$2:$B$1800,G$1)</f>
        <v>0</v>
      </c>
      <c r="H152" s="115" t="n">
        <f aca="false">SUMIFS(الريسبي!$C$2:$C$1800,الريسبي!$A$2:$A$1800,$A152,الريسبي!$B$2:$B$1800,H$1)</f>
        <v>0</v>
      </c>
      <c r="I152" s="115" t="n">
        <f aca="false">SUMIFS(الريسبي!$C$2:$C$1800,الريسبي!$A$2:$A$1800,$A152,الريسبي!$B$2:$B$1800,I$1)</f>
        <v>0</v>
      </c>
      <c r="J152" s="115" t="n">
        <f aca="false">SUMIFS(الريسبي!$C$2:$C$1800,الريسبي!$A$2:$A$1800,$A152,الريسبي!$B$2:$B$1800,J$1)</f>
        <v>0</v>
      </c>
      <c r="K152" s="115" t="n">
        <f aca="false">SUMIFS(الريسبي!$C$2:$C$1800,الريسبي!$A$2:$A$1800,$A152,الريسبي!$B$2:$B$1800,K$1)</f>
        <v>1</v>
      </c>
      <c r="L152" s="115" t="n">
        <f aca="false">SUMIFS(الريسبي!$C$2:$C$1800,الريسبي!$A$2:$A$1800,$A152,الريسبي!$B$2:$B$1800,L$1)</f>
        <v>0</v>
      </c>
      <c r="M152" s="115" t="n">
        <f aca="false">SUMIFS(الريسبي!$C$2:$C$1800,الريسبي!$A$2:$A$1800,$A152,الريسبي!$B$2:$B$1800,M$1)</f>
        <v>0</v>
      </c>
      <c r="N152" s="115" t="n">
        <f aca="false">SUMIFS(الريسبي!$C$2:$C$1800,الريسبي!$A$2:$A$1800,$A152,الريسبي!$B$2:$B$1800,N$1)</f>
        <v>0</v>
      </c>
      <c r="O152" s="115" t="n">
        <f aca="false">SUMIFS(الريسبي!$C$2:$C$1800,الريسبي!$A$2:$A$1800,$A152,الريسبي!$B$2:$B$1800,O$1)</f>
        <v>0</v>
      </c>
      <c r="P152" s="115" t="n">
        <f aca="false">SUMIFS(الريسبي!$C$2:$C$1800,الريسبي!$A$2:$A$1800,$A152,الريسبي!$B$2:$B$1800,P$1)</f>
        <v>0</v>
      </c>
      <c r="Q152" s="115" t="n">
        <f aca="false">SUMIFS(الريسبي!$C$2:$C$1800,الريسبي!$A$2:$A$1800,$A152,الريسبي!$B$2:$B$1800,Q$1)</f>
        <v>0</v>
      </c>
      <c r="R152" s="115" t="n">
        <f aca="false">SUMIFS(الريسبي!$C$2:$C$1800,الريسبي!$A$2:$A$1800,$A152,الريسبي!$B$2:$B$1800,R$1)</f>
        <v>0</v>
      </c>
      <c r="S152" s="115" t="n">
        <f aca="false">SUMIFS(الريسبي!$C$2:$C$1800,الريسبي!$A$2:$A$1800,$A152,الريسبي!$B$2:$B$1800,S$1)</f>
        <v>0</v>
      </c>
      <c r="T152" s="115" t="n">
        <f aca="false">SUMIFS(الريسبي!$C$2:$C$1800,الريسبي!$A$2:$A$1800,$A152,الريسبي!$B$2:$B$1800,T$1)</f>
        <v>0</v>
      </c>
      <c r="U152" s="115" t="n">
        <f aca="false">SUMIFS(الريسبي!$C$2:$C$1800,الريسبي!$A$2:$A$1800,$A152,الريسبي!$B$2:$B$1800,U$1)</f>
        <v>0</v>
      </c>
      <c r="V152" s="115" t="n">
        <f aca="false">SUMIFS(الريسبي!$C$2:$C$1800,الريسبي!$A$2:$A$1800,$A152,الريسبي!$B$2:$B$1800,V$1)</f>
        <v>0</v>
      </c>
      <c r="W152" s="115" t="n">
        <f aca="false">SUMIFS(الريسبي!$C$2:$C$1800,الريسبي!$A$2:$A$1800,$A152,الريسبي!$B$2:$B$1800,W$1)</f>
        <v>0</v>
      </c>
      <c r="X152" s="115" t="n">
        <f aca="false">SUMIFS(الريسبي!$C$2:$C$1800,الريسبي!$A$2:$A$1800,$A152,الريسبي!$B$2:$B$1800,X$1)</f>
        <v>0</v>
      </c>
      <c r="Y152" s="115" t="n">
        <f aca="false">SUMIFS(الريسبي!$C$2:$C$1800,الريسبي!$A$2:$A$1800,$A152,الريسبي!$B$2:$B$1800,Y$1)</f>
        <v>0</v>
      </c>
      <c r="Z152" s="115" t="n">
        <f aca="false">SUMIFS(الريسبي!$C$2:$C$1800,الريسبي!$A$2:$A$1800,$A152,الريسبي!$B$2:$B$1800,Z$1)</f>
        <v>0</v>
      </c>
      <c r="AA152" s="115" t="n">
        <f aca="false">SUMIFS(الريسبي!$C$2:$C$1800,الريسبي!$A$2:$A$1800,$A152,الريسبي!$B$2:$B$1800,AA$1)</f>
        <v>0</v>
      </c>
      <c r="AB152" s="115" t="n">
        <f aca="false">SUMIFS(الريسبي!$C$2:$C$1800,الريسبي!$A$2:$A$1800,$A152,الريسبي!$B$2:$B$1800,AB$1)</f>
        <v>0</v>
      </c>
      <c r="AC152" s="115" t="n">
        <f aca="false">SUMIFS(الريسبي!$C$2:$C$1800,الريسبي!$A$2:$A$1800,$A152,الريسبي!$B$2:$B$1800,AC$1)</f>
        <v>0</v>
      </c>
      <c r="AD152" s="115" t="n">
        <f aca="false">SUMIFS(الريسبي!$C$2:$C$1800,الريسبي!$A$2:$A$1800,$A152,الريسبي!$B$2:$B$1800,AD$1)</f>
        <v>0</v>
      </c>
      <c r="AE152" s="115" t="n">
        <f aca="false">SUMIFS(الريسبي!$C$2:$C$1800,الريسبي!$A$2:$A$1800,$A152,الريسبي!$B$2:$B$1800,AE$1)</f>
        <v>0</v>
      </c>
      <c r="AF152" s="115" t="n">
        <f aca="false">SUMIFS(الريسبي!$C$2:$C$1800,الريسبي!$A$2:$A$1800,$A152,الريسبي!$B$2:$B$1800,AF$1)</f>
        <v>0</v>
      </c>
      <c r="AG152" s="115" t="n">
        <f aca="false">SUMIFS(الريسبي!$C$2:$C$1800,الريسبي!$A$2:$A$1800,$A152,الريسبي!$B$2:$B$1800,AG$1)</f>
        <v>0</v>
      </c>
      <c r="AH152" s="115" t="n">
        <f aca="false">SUMIFS(الريسبي!$C$2:$C$1800,الريسبي!$A$2:$A$1800,$A152,الريسبي!$B$2:$B$1800,AH$1)</f>
        <v>0</v>
      </c>
      <c r="AI152" s="115" t="n">
        <f aca="false">SUMIFS(الريسبي!$C$2:$C$1800,الريسبي!$A$2:$A$1800,$A152,الريسبي!$B$2:$B$1800,AI$1)</f>
        <v>0</v>
      </c>
      <c r="AJ152" s="115" t="n">
        <f aca="false">SUMIFS(الريسبي!$C$2:$C$1800,الريسبي!$A$2:$A$1800,$A152,الريسبي!$B$2:$B$1800,AJ$1)</f>
        <v>0</v>
      </c>
      <c r="AK152" s="115" t="n">
        <f aca="false">SUMIFS(الريسبي!$C$2:$C$1800,الريسبي!$A$2:$A$1800,$A152,الريسبي!$B$2:$B$1800,AK$1)</f>
        <v>0</v>
      </c>
      <c r="AL152" s="115" t="n">
        <f aca="false">SUMIFS(الريسبي!$C$2:$C$1800,الريسبي!$A$2:$A$1800,$A152,الريسبي!$B$2:$B$1800,AL$1)</f>
        <v>0</v>
      </c>
      <c r="AM152" s="115"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15"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15" t="n">
        <f aca="false">SUMIFS(الريسبي!$C$2:$C$1800,الريسبي!$A$2:$A$1800,$A152,الريسبي!$B$2:$B$1800,AO$1)</f>
        <v>0</v>
      </c>
      <c r="AP152" s="115" t="n">
        <f aca="false">SUMIFS(الريسبي!$C$2:$C$1800,الريسبي!$A$2:$A$1800,$A152,الريسبي!$B$2:$B$1800,AP$1)</f>
        <v>0</v>
      </c>
      <c r="AQ152" s="115"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15" t="n">
        <f aca="false">SUMIFS(الريسبي!$C$2:$C$1800,الريسبي!$A$2:$A$1800,$A152,الريسبي!$B$2:$B$1800,AR$1)</f>
        <v>0</v>
      </c>
      <c r="AS152" s="115" t="n">
        <f aca="false">SUMIFS(الريسبي!$C$2:$C$1800,الريسبي!$A$2:$A$1800,$A152,الريسبي!$B$2:$B$1800,AS$1)</f>
        <v>0</v>
      </c>
      <c r="AT152" s="115" t="n">
        <f aca="false">SUMIFS(الريسبي!$C$2:$C$1800,الريسبي!$A$2:$A$1800,$A152,الريسبي!$B$2:$B$1800,AT$1)</f>
        <v>0</v>
      </c>
      <c r="AU152" s="115" t="n">
        <f aca="false">SUMIFS(الريسبي!$C$2:$C$1800,الريسبي!$A$2:$A$1800,$A152,الريسبي!$B$2:$B$1800,AU$1)</f>
        <v>0</v>
      </c>
      <c r="AV152" s="115" t="n">
        <f aca="false">SUMIFS(الريسبي!$C$2:$C$1800,الريسبي!$A$2:$A$1800,$A152,الريسبي!$B$2:$B$1800,AV$1)</f>
        <v>0</v>
      </c>
      <c r="AW152" s="115" t="n">
        <f aca="false">SUMIFS(الريسبي!$C$2:$C$1800,الريسبي!$A$2:$A$1800,$A152,الريسبي!$B$2:$B$1800,AW$1)</f>
        <v>0</v>
      </c>
      <c r="AX152" s="115" t="n">
        <f aca="false">SUMIFS(الريسبي!$C$2:$C$1800,الريسبي!$A$2:$A$1800,$A152,الريسبي!$B$2:$B$1800,AX$1)</f>
        <v>0</v>
      </c>
      <c r="AY152" s="115" t="n">
        <f aca="false">SUMIFS(الريسبي!$C$2:$C$1800,الريسبي!$A$2:$A$1800,$A152,الريسبي!$B$2:$B$1800,AY$1)</f>
        <v>0</v>
      </c>
      <c r="AZ152" s="115" t="n">
        <f aca="false">SUMIFS(الريسبي!$C$2:$C$1800,الريسبي!$A$2:$A$1800,$A152,الريسبي!$B$2:$B$1800,AZ$1)</f>
        <v>0</v>
      </c>
      <c r="BA152" s="115" t="n">
        <f aca="false">SUMIFS(الريسبي!$C$2:$C$1800,الريسبي!$A$2:$A$1800,$A152,الريسبي!$B$2:$B$1800,BA$1)</f>
        <v>0</v>
      </c>
      <c r="BB152" s="115" t="n">
        <f aca="false">SUMIFS(الريسبي!$C$2:$C$1800,الريسبي!$A$2:$A$1800,$A152,الريسبي!$B$2:$B$1800,BB$1)</f>
        <v>0</v>
      </c>
      <c r="BC152" s="115" t="n">
        <f aca="false">SUMIFS(الريسبي!$C$2:$C$1800,الريسبي!$A$2:$A$1800,$A152,الريسبي!$B$2:$B$1800,BC$1)</f>
        <v>0</v>
      </c>
      <c r="BD152" s="115" t="n">
        <f aca="false">SUMIFS(الريسبي!$C$2:$C$1800,الريسبي!$A$2:$A$1800,$A152,الريسبي!$B$2:$B$1800,BD$1)</f>
        <v>0</v>
      </c>
      <c r="BE152" s="115" t="n">
        <f aca="false">SUMIFS(الريسبي!$C$2:$C$1800,الريسبي!$A$2:$A$1800,$A152,الريسبي!$B$2:$B$1800,BE$1)</f>
        <v>0</v>
      </c>
      <c r="BF152" s="115" t="n">
        <f aca="false">SUMIFS(الريسبي!$C$2:$C$1800,الريسبي!$A$2:$A$1800,$A152,الريسبي!$B$2:$B$1800,BF$1)</f>
        <v>0</v>
      </c>
      <c r="BG152" s="115" t="n">
        <f aca="false">SUMIFS(الريسبي!$C$2:$C$1800,الريسبي!$A$2:$A$1800,$A152,الريسبي!$B$2:$B$1800,BG$1)</f>
        <v>0</v>
      </c>
      <c r="BH152" s="115" t="n">
        <f aca="false">SUMIFS(الريسبي!$C$2:$C$1800,الريسبي!$A$2:$A$1800,$A152,الريسبي!$B$2:$B$1800,BH$1)</f>
        <v>0</v>
      </c>
      <c r="BI152" s="115" t="n">
        <f aca="false">SUMIFS(الريسبي!$C$2:$C$1800,الريسبي!$A$2:$A$1800,$A152,الريسبي!$B$2:$B$1800,BI$1)</f>
        <v>0</v>
      </c>
      <c r="BJ152" s="115" t="n">
        <f aca="false">SUMIFS(الريسبي!$C$2:$C$1800,الريسبي!$A$2:$A$1800,$A152,الريسبي!$B$2:$B$1800,BJ$1)</f>
        <v>0</v>
      </c>
      <c r="BK152" s="115" t="n">
        <f aca="false">SUMIFS(الريسبي!$C$2:$C$1800,الريسبي!$A$2:$A$1800,$A152,الريسبي!$B$2:$B$1800,BK$1)</f>
        <v>0</v>
      </c>
      <c r="BL152" s="115" t="n">
        <f aca="false">SUMIFS(الريسبي!$C$2:$C$1800,الريسبي!$A$2:$A$1800,$A152,الريسبي!$B$2:$B$1800,BL$1)</f>
        <v>0</v>
      </c>
      <c r="BM152" s="115" t="n">
        <f aca="false">SUMIFS(الريسبي!$C$2:$C$1800,الريسبي!$A$2:$A$1800,$A152,الريسبي!$B$2:$B$1800,BM$1)</f>
        <v>0</v>
      </c>
      <c r="BN152" s="115" t="n">
        <f aca="false">SUMIFS(الريسبي!$C$2:$C$1800,الريسبي!$A$2:$A$1800,$A152,الريسبي!$B$2:$B$1800,BN$1)</f>
        <v>0</v>
      </c>
      <c r="BO152" s="115" t="n">
        <f aca="false">SUMIFS(الريسبي!$C$2:$C$1800,الريسبي!$A$2:$A$1800,$A152,الريسبي!$B$2:$B$1800,BO$1)</f>
        <v>0</v>
      </c>
      <c r="BP152" s="115" t="n">
        <f aca="false">SUMIFS(الريسبي!$C$2:$C$1800,الريسبي!$A$2:$A$1800,$A152,الريسبي!$B$2:$B$1800,BP$1)</f>
        <v>0</v>
      </c>
      <c r="BQ152" s="115"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15" t="n">
        <f aca="false">SUMIFS(الريسبي!$C$2:$C$1800,الريسبي!$A$2:$A$1800,$A152,الريسبي!$B$2:$B$1800,BR$1)</f>
        <v>0</v>
      </c>
      <c r="BS152" s="115" t="n">
        <f aca="false">SUMIFS(الريسبي!$C$2:$C$1800,الريسبي!$A$2:$A$1800,$A152,الريسبي!$B$2:$B$1800,BS$1)</f>
        <v>0</v>
      </c>
      <c r="BT152" s="115" t="n">
        <f aca="false">SUMIFS(الريسبي!$C$2:$C$1800,الريسبي!$A$2:$A$1800,$A152,الريسبي!$B$2:$B$1800,BT$1)</f>
        <v>0</v>
      </c>
      <c r="BU152" s="115"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15" t="n">
        <f aca="false">SUMIFS(الريسبي!$C$2:$C$1800,الريسبي!$A$2:$A$1800,$A152,الريسبي!$B$2:$B$1800,BV$1)</f>
        <v>0</v>
      </c>
      <c r="BW152" s="115" t="n">
        <f aca="false">SUMIFS(الريسبي!$C$2:$C$1800,الريسبي!$A$2:$A$1800,$A152,الريسبي!$B$2:$B$1800,BW$1)</f>
        <v>0</v>
      </c>
      <c r="BX152" s="115" t="n">
        <f aca="false">SUMIFS(الريسبي!$C$2:$C$1800,الريسبي!$A$2:$A$1800,$A152,الريسبي!$B$2:$B$1800,BX$1)</f>
        <v>0</v>
      </c>
      <c r="BY152" s="115" t="n">
        <f aca="false">SUMIFS(الريسبي!$C$2:$C$1800,الريسبي!$A$2:$A$1800,$A152,الريسبي!$B$2:$B$1800,BY$1)</f>
        <v>0</v>
      </c>
      <c r="BZ152" s="115" t="n">
        <f aca="false">SUMIFS(الريسبي!$C$2:$C$1800,الريسبي!$A$2:$A$1800,$A152,الريسبي!$B$2:$B$1800,BZ$1)</f>
        <v>0</v>
      </c>
      <c r="CA152" s="115" t="n">
        <f aca="false">SUMIFS(الريسبي!$C$2:$C$1800,الريسبي!$A$2:$A$1800,$A152,الريسبي!$B$2:$B$1800,CA$1)</f>
        <v>0</v>
      </c>
      <c r="CB152" s="115" t="n">
        <f aca="false">SUMIFS(الريسبي!$C$2:$C$1800,الريسبي!$A$2:$A$1800,$A152,الريسبي!$B$2:$B$1800,CB$1)</f>
        <v>0</v>
      </c>
      <c r="CC152" s="115" t="n">
        <f aca="false">SUMIFS(الريسبي!$C$2:$C$1800,الريسبي!$A$2:$A$1800,$A152,الريسبي!$B$2:$B$1800,CC$1)</f>
        <v>0</v>
      </c>
      <c r="CD152" s="115" t="n">
        <f aca="false">SUMIFS(الريسبي!$C$2:$C$1800,الريسبي!$A$2:$A$1800,$A152,الريسبي!$B$2:$B$1800,CD$1)</f>
        <v>0</v>
      </c>
      <c r="CE152" s="115" t="n">
        <f aca="false">SUMIFS(الريسبي!$C$2:$C$1800,الريسبي!$A$2:$A$1800,$A152,الريسبي!$B$2:$B$1800,CE$1)</f>
        <v>0</v>
      </c>
      <c r="CF152" s="115" t="n">
        <f aca="false">SUMIFS(الريسبي!$C$2:$C$1800,الريسبي!$A$2:$A$1800,$A152,الريسبي!$B$2:$B$1800,CF$1)</f>
        <v>0</v>
      </c>
      <c r="CG152" s="115" t="n">
        <f aca="false">SUMIFS(الريسبي!$C$2:$C$1800,الريسبي!$A$2:$A$1800,$A152,الريسبي!$B$2:$B$1800,CG$1)</f>
        <v>0</v>
      </c>
      <c r="CH152" s="115" t="n">
        <f aca="false">SUMIFS(الريسبي!$C$2:$C$1800,الريسبي!$A$2:$A$1800,$A152,الريسبي!$B$2:$B$1800,CH$1)</f>
        <v>0</v>
      </c>
    </row>
    <row r="153" customFormat="false" ht="15" hidden="false" customHeight="false" outlineLevel="0" collapsed="false">
      <c r="A153" s="114" t="str">
        <f aca="false">المنيو!B153</f>
        <v>اضافة فراخ جريل (بيتزا وسط)</v>
      </c>
      <c r="B153" s="115" t="n">
        <f aca="false">SUMIFS(الريسبي!$C$2:$C$1800,الريسبي!$A$2:$A$1800,$A153,الريسبي!$B$2:$B$1800,B$1)</f>
        <v>0</v>
      </c>
      <c r="C153" s="115" t="n">
        <f aca="false">SUMIFS(الريسبي!$C$2:$C$1800,الريسبي!$A$2:$A$1800,$A153,الريسبي!$B$2:$B$1800,C$1)</f>
        <v>0</v>
      </c>
      <c r="D153" s="115" t="n">
        <f aca="false">SUMIFS(الريسبي!$C$2:$C$1800,الريسبي!$A$2:$A$1800,$A153,الريسبي!$B$2:$B$1800,D$1)</f>
        <v>0</v>
      </c>
      <c r="E153" s="115" t="n">
        <f aca="false">SUMIFS(الريسبي!$C$2:$C$1800,الريسبي!$A$2:$A$1800,$A153,الريسبي!$B$2:$B$1800,E$1)</f>
        <v>0</v>
      </c>
      <c r="F153" s="115" t="n">
        <f aca="false">SUMIFS(الريسبي!$C$2:$C$1800,الريسبي!$A$2:$A$1800,$A153,الريسبي!$B$2:$B$1800,F$1)</f>
        <v>0</v>
      </c>
      <c r="G153" s="115" t="n">
        <f aca="false">SUMIFS(الريسبي!$C$2:$C$1800,الريسبي!$A$2:$A$1800,$A153,الريسبي!$B$2:$B$1800,G$1)</f>
        <v>0</v>
      </c>
      <c r="H153" s="115" t="n">
        <f aca="false">SUMIFS(الريسبي!$C$2:$C$1800,الريسبي!$A$2:$A$1800,$A153,الريسبي!$B$2:$B$1800,H$1)</f>
        <v>0</v>
      </c>
      <c r="I153" s="115" t="n">
        <f aca="false">SUMIFS(الريسبي!$C$2:$C$1800,الريسبي!$A$2:$A$1800,$A153,الريسبي!$B$2:$B$1800,I$1)</f>
        <v>0</v>
      </c>
      <c r="J153" s="115" t="n">
        <f aca="false">SUMIFS(الريسبي!$C$2:$C$1800,الريسبي!$A$2:$A$1800,$A153,الريسبي!$B$2:$B$1800,J$1)</f>
        <v>0</v>
      </c>
      <c r="K153" s="115" t="n">
        <f aca="false">SUMIFS(الريسبي!$C$2:$C$1800,الريسبي!$A$2:$A$1800,$A153,الريسبي!$B$2:$B$1800,K$1)</f>
        <v>0</v>
      </c>
      <c r="L153" s="115" t="n">
        <f aca="false">SUMIFS(الريسبي!$C$2:$C$1800,الريسبي!$A$2:$A$1800,$A153,الريسبي!$B$2:$B$1800,L$1)</f>
        <v>0</v>
      </c>
      <c r="M153" s="115" t="n">
        <f aca="false">SUMIFS(الريسبي!$C$2:$C$1800,الريسبي!$A$2:$A$1800,$A153,الريسبي!$B$2:$B$1800,M$1)</f>
        <v>0</v>
      </c>
      <c r="N153" s="115" t="n">
        <f aca="false">SUMIFS(الريسبي!$C$2:$C$1800,الريسبي!$A$2:$A$1800,$A153,الريسبي!$B$2:$B$1800,N$1)</f>
        <v>0</v>
      </c>
      <c r="O153" s="115" t="n">
        <f aca="false">SUMIFS(الريسبي!$C$2:$C$1800,الريسبي!$A$2:$A$1800,$A153,الريسبي!$B$2:$B$1800,O$1)</f>
        <v>1</v>
      </c>
      <c r="P153" s="115" t="n">
        <f aca="false">SUMIFS(الريسبي!$C$2:$C$1800,الريسبي!$A$2:$A$1800,$A153,الريسبي!$B$2:$B$1800,P$1)</f>
        <v>0</v>
      </c>
      <c r="Q153" s="115" t="n">
        <f aca="false">SUMIFS(الريسبي!$C$2:$C$1800,الريسبي!$A$2:$A$1800,$A153,الريسبي!$B$2:$B$1800,Q$1)</f>
        <v>0</v>
      </c>
      <c r="R153" s="115" t="n">
        <f aca="false">SUMIFS(الريسبي!$C$2:$C$1800,الريسبي!$A$2:$A$1800,$A153,الريسبي!$B$2:$B$1800,R$1)</f>
        <v>0</v>
      </c>
      <c r="S153" s="115" t="n">
        <f aca="false">SUMIFS(الريسبي!$C$2:$C$1800,الريسبي!$A$2:$A$1800,$A153,الريسبي!$B$2:$B$1800,S$1)</f>
        <v>0</v>
      </c>
      <c r="T153" s="115" t="n">
        <f aca="false">SUMIFS(الريسبي!$C$2:$C$1800,الريسبي!$A$2:$A$1800,$A153,الريسبي!$B$2:$B$1800,T$1)</f>
        <v>0</v>
      </c>
      <c r="U153" s="115" t="n">
        <f aca="false">SUMIFS(الريسبي!$C$2:$C$1800,الريسبي!$A$2:$A$1800,$A153,الريسبي!$B$2:$B$1800,U$1)</f>
        <v>0</v>
      </c>
      <c r="V153" s="115" t="n">
        <f aca="false">SUMIFS(الريسبي!$C$2:$C$1800,الريسبي!$A$2:$A$1800,$A153,الريسبي!$B$2:$B$1800,V$1)</f>
        <v>0</v>
      </c>
      <c r="W153" s="115" t="n">
        <f aca="false">SUMIFS(الريسبي!$C$2:$C$1800,الريسبي!$A$2:$A$1800,$A153,الريسبي!$B$2:$B$1800,W$1)</f>
        <v>0</v>
      </c>
      <c r="X153" s="115" t="n">
        <f aca="false">SUMIFS(الريسبي!$C$2:$C$1800,الريسبي!$A$2:$A$1800,$A153,الريسبي!$B$2:$B$1800,X$1)</f>
        <v>0</v>
      </c>
      <c r="Y153" s="115" t="n">
        <f aca="false">SUMIFS(الريسبي!$C$2:$C$1800,الريسبي!$A$2:$A$1800,$A153,الريسبي!$B$2:$B$1800,Y$1)</f>
        <v>0</v>
      </c>
      <c r="Z153" s="115" t="n">
        <f aca="false">SUMIFS(الريسبي!$C$2:$C$1800,الريسبي!$A$2:$A$1800,$A153,الريسبي!$B$2:$B$1800,Z$1)</f>
        <v>0</v>
      </c>
      <c r="AA153" s="115" t="n">
        <f aca="false">SUMIFS(الريسبي!$C$2:$C$1800,الريسبي!$A$2:$A$1800,$A153,الريسبي!$B$2:$B$1800,AA$1)</f>
        <v>0</v>
      </c>
      <c r="AB153" s="115" t="n">
        <f aca="false">SUMIFS(الريسبي!$C$2:$C$1800,الريسبي!$A$2:$A$1800,$A153,الريسبي!$B$2:$B$1800,AB$1)</f>
        <v>0</v>
      </c>
      <c r="AC153" s="115" t="n">
        <f aca="false">SUMIFS(الريسبي!$C$2:$C$1800,الريسبي!$A$2:$A$1800,$A153,الريسبي!$B$2:$B$1800,AC$1)</f>
        <v>0</v>
      </c>
      <c r="AD153" s="115" t="n">
        <f aca="false">SUMIFS(الريسبي!$C$2:$C$1800,الريسبي!$A$2:$A$1800,$A153,الريسبي!$B$2:$B$1800,AD$1)</f>
        <v>0</v>
      </c>
      <c r="AE153" s="115" t="n">
        <f aca="false">SUMIFS(الريسبي!$C$2:$C$1800,الريسبي!$A$2:$A$1800,$A153,الريسبي!$B$2:$B$1800,AE$1)</f>
        <v>0</v>
      </c>
      <c r="AF153" s="115" t="n">
        <f aca="false">SUMIFS(الريسبي!$C$2:$C$1800,الريسبي!$A$2:$A$1800,$A153,الريسبي!$B$2:$B$1800,AF$1)</f>
        <v>0</v>
      </c>
      <c r="AG153" s="115" t="n">
        <f aca="false">SUMIFS(الريسبي!$C$2:$C$1800,الريسبي!$A$2:$A$1800,$A153,الريسبي!$B$2:$B$1800,AG$1)</f>
        <v>0</v>
      </c>
      <c r="AH153" s="115" t="n">
        <f aca="false">SUMIFS(الريسبي!$C$2:$C$1800,الريسبي!$A$2:$A$1800,$A153,الريسبي!$B$2:$B$1800,AH$1)</f>
        <v>0</v>
      </c>
      <c r="AI153" s="115" t="n">
        <f aca="false">SUMIFS(الريسبي!$C$2:$C$1800,الريسبي!$A$2:$A$1800,$A153,الريسبي!$B$2:$B$1800,AI$1)</f>
        <v>0</v>
      </c>
      <c r="AJ153" s="115" t="n">
        <f aca="false">SUMIFS(الريسبي!$C$2:$C$1800,الريسبي!$A$2:$A$1800,$A153,الريسبي!$B$2:$B$1800,AJ$1)</f>
        <v>0</v>
      </c>
      <c r="AK153" s="115" t="n">
        <f aca="false">SUMIFS(الريسبي!$C$2:$C$1800,الريسبي!$A$2:$A$1800,$A153,الريسبي!$B$2:$B$1800,AK$1)</f>
        <v>0</v>
      </c>
      <c r="AL153" s="115" t="n">
        <f aca="false">SUMIFS(الريسبي!$C$2:$C$1800,الريسبي!$A$2:$A$1800,$A153,الريسبي!$B$2:$B$1800,AL$1)</f>
        <v>0</v>
      </c>
      <c r="AM153" s="115"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15"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15" t="n">
        <f aca="false">SUMIFS(الريسبي!$C$2:$C$1800,الريسبي!$A$2:$A$1800,$A153,الريسبي!$B$2:$B$1800,AO$1)</f>
        <v>0</v>
      </c>
      <c r="AP153" s="115" t="n">
        <f aca="false">SUMIFS(الريسبي!$C$2:$C$1800,الريسبي!$A$2:$A$1800,$A153,الريسبي!$B$2:$B$1800,AP$1)</f>
        <v>0</v>
      </c>
      <c r="AQ153" s="115"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15" t="n">
        <f aca="false">SUMIFS(الريسبي!$C$2:$C$1800,الريسبي!$A$2:$A$1800,$A153,الريسبي!$B$2:$B$1800,AR$1)</f>
        <v>0</v>
      </c>
      <c r="AS153" s="115" t="n">
        <f aca="false">SUMIFS(الريسبي!$C$2:$C$1800,الريسبي!$A$2:$A$1800,$A153,الريسبي!$B$2:$B$1800,AS$1)</f>
        <v>0</v>
      </c>
      <c r="AT153" s="115" t="n">
        <f aca="false">SUMIFS(الريسبي!$C$2:$C$1800,الريسبي!$A$2:$A$1800,$A153,الريسبي!$B$2:$B$1800,AT$1)</f>
        <v>0</v>
      </c>
      <c r="AU153" s="115" t="n">
        <f aca="false">SUMIFS(الريسبي!$C$2:$C$1800,الريسبي!$A$2:$A$1800,$A153,الريسبي!$B$2:$B$1800,AU$1)</f>
        <v>0</v>
      </c>
      <c r="AV153" s="115" t="n">
        <f aca="false">SUMIFS(الريسبي!$C$2:$C$1800,الريسبي!$A$2:$A$1800,$A153,الريسبي!$B$2:$B$1800,AV$1)</f>
        <v>0</v>
      </c>
      <c r="AW153" s="115" t="n">
        <f aca="false">SUMIFS(الريسبي!$C$2:$C$1800,الريسبي!$A$2:$A$1800,$A153,الريسبي!$B$2:$B$1800,AW$1)</f>
        <v>0</v>
      </c>
      <c r="AX153" s="115" t="n">
        <f aca="false">SUMIFS(الريسبي!$C$2:$C$1800,الريسبي!$A$2:$A$1800,$A153,الريسبي!$B$2:$B$1800,AX$1)</f>
        <v>0</v>
      </c>
      <c r="AY153" s="115" t="n">
        <f aca="false">SUMIFS(الريسبي!$C$2:$C$1800,الريسبي!$A$2:$A$1800,$A153,الريسبي!$B$2:$B$1800,AY$1)</f>
        <v>0</v>
      </c>
      <c r="AZ153" s="115" t="n">
        <f aca="false">SUMIFS(الريسبي!$C$2:$C$1800,الريسبي!$A$2:$A$1800,$A153,الريسبي!$B$2:$B$1800,AZ$1)</f>
        <v>0</v>
      </c>
      <c r="BA153" s="115" t="n">
        <f aca="false">SUMIFS(الريسبي!$C$2:$C$1800,الريسبي!$A$2:$A$1800,$A153,الريسبي!$B$2:$B$1800,BA$1)</f>
        <v>0</v>
      </c>
      <c r="BB153" s="115" t="n">
        <f aca="false">SUMIFS(الريسبي!$C$2:$C$1800,الريسبي!$A$2:$A$1800,$A153,الريسبي!$B$2:$B$1800,BB$1)</f>
        <v>0</v>
      </c>
      <c r="BC153" s="115" t="n">
        <f aca="false">SUMIFS(الريسبي!$C$2:$C$1800,الريسبي!$A$2:$A$1800,$A153,الريسبي!$B$2:$B$1800,BC$1)</f>
        <v>0</v>
      </c>
      <c r="BD153" s="115" t="n">
        <f aca="false">SUMIFS(الريسبي!$C$2:$C$1800,الريسبي!$A$2:$A$1800,$A153,الريسبي!$B$2:$B$1800,BD$1)</f>
        <v>0</v>
      </c>
      <c r="BE153" s="115" t="n">
        <f aca="false">SUMIFS(الريسبي!$C$2:$C$1800,الريسبي!$A$2:$A$1800,$A153,الريسبي!$B$2:$B$1800,BE$1)</f>
        <v>0</v>
      </c>
      <c r="BF153" s="115" t="n">
        <f aca="false">SUMIFS(الريسبي!$C$2:$C$1800,الريسبي!$A$2:$A$1800,$A153,الريسبي!$B$2:$B$1800,BF$1)</f>
        <v>0</v>
      </c>
      <c r="BG153" s="115" t="n">
        <f aca="false">SUMIFS(الريسبي!$C$2:$C$1800,الريسبي!$A$2:$A$1800,$A153,الريسبي!$B$2:$B$1800,BG$1)</f>
        <v>0</v>
      </c>
      <c r="BH153" s="115" t="n">
        <f aca="false">SUMIFS(الريسبي!$C$2:$C$1800,الريسبي!$A$2:$A$1800,$A153,الريسبي!$B$2:$B$1800,BH$1)</f>
        <v>0</v>
      </c>
      <c r="BI153" s="115" t="n">
        <f aca="false">SUMIFS(الريسبي!$C$2:$C$1800,الريسبي!$A$2:$A$1800,$A153,الريسبي!$B$2:$B$1800,BI$1)</f>
        <v>0</v>
      </c>
      <c r="BJ153" s="115" t="n">
        <f aca="false">SUMIFS(الريسبي!$C$2:$C$1800,الريسبي!$A$2:$A$1800,$A153,الريسبي!$B$2:$B$1800,BJ$1)</f>
        <v>0</v>
      </c>
      <c r="BK153" s="115" t="n">
        <f aca="false">SUMIFS(الريسبي!$C$2:$C$1800,الريسبي!$A$2:$A$1800,$A153,الريسبي!$B$2:$B$1800,BK$1)</f>
        <v>0</v>
      </c>
      <c r="BL153" s="115" t="n">
        <f aca="false">SUMIFS(الريسبي!$C$2:$C$1800,الريسبي!$A$2:$A$1800,$A153,الريسبي!$B$2:$B$1800,BL$1)</f>
        <v>0</v>
      </c>
      <c r="BM153" s="115" t="n">
        <f aca="false">SUMIFS(الريسبي!$C$2:$C$1800,الريسبي!$A$2:$A$1800,$A153,الريسبي!$B$2:$B$1800,BM$1)</f>
        <v>0</v>
      </c>
      <c r="BN153" s="115" t="n">
        <f aca="false">SUMIFS(الريسبي!$C$2:$C$1800,الريسبي!$A$2:$A$1800,$A153,الريسبي!$B$2:$B$1800,BN$1)</f>
        <v>0</v>
      </c>
      <c r="BO153" s="115" t="n">
        <f aca="false">SUMIFS(الريسبي!$C$2:$C$1800,الريسبي!$A$2:$A$1800,$A153,الريسبي!$B$2:$B$1800,BO$1)</f>
        <v>0</v>
      </c>
      <c r="BP153" s="115" t="n">
        <f aca="false">SUMIFS(الريسبي!$C$2:$C$1800,الريسبي!$A$2:$A$1800,$A153,الريسبي!$B$2:$B$1800,BP$1)</f>
        <v>0</v>
      </c>
      <c r="BQ153" s="115"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15" t="n">
        <f aca="false">SUMIFS(الريسبي!$C$2:$C$1800,الريسبي!$A$2:$A$1800,$A153,الريسبي!$B$2:$B$1800,BR$1)</f>
        <v>0</v>
      </c>
      <c r="BS153" s="115" t="n">
        <f aca="false">SUMIFS(الريسبي!$C$2:$C$1800,الريسبي!$A$2:$A$1800,$A153,الريسبي!$B$2:$B$1800,BS$1)</f>
        <v>0</v>
      </c>
      <c r="BT153" s="115" t="n">
        <f aca="false">SUMIFS(الريسبي!$C$2:$C$1800,الريسبي!$A$2:$A$1800,$A153,الريسبي!$B$2:$B$1800,BT$1)</f>
        <v>0</v>
      </c>
      <c r="BU153" s="115"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15" t="n">
        <f aca="false">SUMIFS(الريسبي!$C$2:$C$1800,الريسبي!$A$2:$A$1800,$A153,الريسبي!$B$2:$B$1800,BV$1)</f>
        <v>0</v>
      </c>
      <c r="BW153" s="115" t="n">
        <f aca="false">SUMIFS(الريسبي!$C$2:$C$1800,الريسبي!$A$2:$A$1800,$A153,الريسبي!$B$2:$B$1800,BW$1)</f>
        <v>0</v>
      </c>
      <c r="BX153" s="115" t="n">
        <f aca="false">SUMIFS(الريسبي!$C$2:$C$1800,الريسبي!$A$2:$A$1800,$A153,الريسبي!$B$2:$B$1800,BX$1)</f>
        <v>0</v>
      </c>
      <c r="BY153" s="115" t="n">
        <f aca="false">SUMIFS(الريسبي!$C$2:$C$1800,الريسبي!$A$2:$A$1800,$A153,الريسبي!$B$2:$B$1800,BY$1)</f>
        <v>0</v>
      </c>
      <c r="BZ153" s="115" t="n">
        <f aca="false">SUMIFS(الريسبي!$C$2:$C$1800,الريسبي!$A$2:$A$1800,$A153,الريسبي!$B$2:$B$1800,BZ$1)</f>
        <v>0</v>
      </c>
      <c r="CA153" s="115" t="n">
        <f aca="false">SUMIFS(الريسبي!$C$2:$C$1800,الريسبي!$A$2:$A$1800,$A153,الريسبي!$B$2:$B$1800,CA$1)</f>
        <v>0</v>
      </c>
      <c r="CB153" s="115" t="n">
        <f aca="false">SUMIFS(الريسبي!$C$2:$C$1800,الريسبي!$A$2:$A$1800,$A153,الريسبي!$B$2:$B$1800,CB$1)</f>
        <v>0</v>
      </c>
      <c r="CC153" s="115" t="n">
        <f aca="false">SUMIFS(الريسبي!$C$2:$C$1800,الريسبي!$A$2:$A$1800,$A153,الريسبي!$B$2:$B$1800,CC$1)</f>
        <v>0</v>
      </c>
      <c r="CD153" s="115" t="n">
        <f aca="false">SUMIFS(الريسبي!$C$2:$C$1800,الريسبي!$A$2:$A$1800,$A153,الريسبي!$B$2:$B$1800,CD$1)</f>
        <v>0</v>
      </c>
      <c r="CE153" s="115" t="n">
        <f aca="false">SUMIFS(الريسبي!$C$2:$C$1800,الريسبي!$A$2:$A$1800,$A153,الريسبي!$B$2:$B$1800,CE$1)</f>
        <v>0</v>
      </c>
      <c r="CF153" s="115" t="n">
        <f aca="false">SUMIFS(الريسبي!$C$2:$C$1800,الريسبي!$A$2:$A$1800,$A153,الريسبي!$B$2:$B$1800,CF$1)</f>
        <v>0</v>
      </c>
      <c r="CG153" s="115" t="n">
        <f aca="false">SUMIFS(الريسبي!$C$2:$C$1800,الريسبي!$A$2:$A$1800,$A153,الريسبي!$B$2:$B$1800,CG$1)</f>
        <v>0</v>
      </c>
      <c r="CH153" s="115" t="n">
        <f aca="false">SUMIFS(الريسبي!$C$2:$C$1800,الريسبي!$A$2:$A$1800,$A153,الريسبي!$B$2:$B$1800,CH$1)</f>
        <v>0</v>
      </c>
    </row>
    <row r="154" customFormat="false" ht="15" hidden="false" customHeight="false" outlineLevel="0" collapsed="false">
      <c r="A154" s="114" t="str">
        <f aca="false">المنيو!B154</f>
        <v>اضافة فراخ جريل (بيتزا كبير)</v>
      </c>
      <c r="B154" s="115" t="n">
        <f aca="false">SUMIFS(الريسبي!$C$2:$C$1800,الريسبي!$A$2:$A$1800,$A154,الريسبي!$B$2:$B$1800,B$1)</f>
        <v>0</v>
      </c>
      <c r="C154" s="115" t="n">
        <f aca="false">SUMIFS(الريسبي!$C$2:$C$1800,الريسبي!$A$2:$A$1800,$A154,الريسبي!$B$2:$B$1800,C$1)</f>
        <v>0</v>
      </c>
      <c r="D154" s="115" t="n">
        <f aca="false">SUMIFS(الريسبي!$C$2:$C$1800,الريسبي!$A$2:$A$1800,$A154,الريسبي!$B$2:$B$1800,D$1)</f>
        <v>0</v>
      </c>
      <c r="E154" s="115" t="n">
        <f aca="false">SUMIFS(الريسبي!$C$2:$C$1800,الريسبي!$A$2:$A$1800,$A154,الريسبي!$B$2:$B$1800,E$1)</f>
        <v>0</v>
      </c>
      <c r="F154" s="115" t="n">
        <f aca="false">SUMIFS(الريسبي!$C$2:$C$1800,الريسبي!$A$2:$A$1800,$A154,الريسبي!$B$2:$B$1800,F$1)</f>
        <v>0</v>
      </c>
      <c r="G154" s="115" t="n">
        <f aca="false">SUMIFS(الريسبي!$C$2:$C$1800,الريسبي!$A$2:$A$1800,$A154,الريسبي!$B$2:$B$1800,G$1)</f>
        <v>0</v>
      </c>
      <c r="H154" s="115" t="n">
        <f aca="false">SUMIFS(الريسبي!$C$2:$C$1800,الريسبي!$A$2:$A$1800,$A154,الريسبي!$B$2:$B$1800,H$1)</f>
        <v>0</v>
      </c>
      <c r="I154" s="115" t="n">
        <f aca="false">SUMIFS(الريسبي!$C$2:$C$1800,الريسبي!$A$2:$A$1800,$A154,الريسبي!$B$2:$B$1800,I$1)</f>
        <v>0</v>
      </c>
      <c r="J154" s="115" t="n">
        <f aca="false">SUMIFS(الريسبي!$C$2:$C$1800,الريسبي!$A$2:$A$1800,$A154,الريسبي!$B$2:$B$1800,J$1)</f>
        <v>0</v>
      </c>
      <c r="K154" s="115" t="n">
        <f aca="false">SUMIFS(الريسبي!$C$2:$C$1800,الريسبي!$A$2:$A$1800,$A154,الريسبي!$B$2:$B$1800,K$1)</f>
        <v>0</v>
      </c>
      <c r="L154" s="115" t="n">
        <f aca="false">SUMIFS(الريسبي!$C$2:$C$1800,الريسبي!$A$2:$A$1800,$A154,الريسبي!$B$2:$B$1800,L$1)</f>
        <v>0</v>
      </c>
      <c r="M154" s="115" t="n">
        <f aca="false">SUMIFS(الريسبي!$C$2:$C$1800,الريسبي!$A$2:$A$1800,$A154,الريسبي!$B$2:$B$1800,M$1)</f>
        <v>0</v>
      </c>
      <c r="N154" s="115" t="n">
        <f aca="false">SUMIFS(الريسبي!$C$2:$C$1800,الريسبي!$A$2:$A$1800,$A154,الريسبي!$B$2:$B$1800,N$1)</f>
        <v>0</v>
      </c>
      <c r="O154" s="115" t="n">
        <f aca="false">SUMIFS(الريسبي!$C$2:$C$1800,الريسبي!$A$2:$A$1800,$A154,الريسبي!$B$2:$B$1800,O$1)</f>
        <v>0</v>
      </c>
      <c r="P154" s="115" t="n">
        <f aca="false">SUMIFS(الريسبي!$C$2:$C$1800,الريسبي!$A$2:$A$1800,$A154,الريسبي!$B$2:$B$1800,P$1)</f>
        <v>1</v>
      </c>
      <c r="Q154" s="115" t="n">
        <f aca="false">SUMIFS(الريسبي!$C$2:$C$1800,الريسبي!$A$2:$A$1800,$A154,الريسبي!$B$2:$B$1800,Q$1)</f>
        <v>0</v>
      </c>
      <c r="R154" s="115" t="n">
        <f aca="false">SUMIFS(الريسبي!$C$2:$C$1800,الريسبي!$A$2:$A$1800,$A154,الريسبي!$B$2:$B$1800,R$1)</f>
        <v>0</v>
      </c>
      <c r="S154" s="115" t="n">
        <f aca="false">SUMIFS(الريسبي!$C$2:$C$1800,الريسبي!$A$2:$A$1800,$A154,الريسبي!$B$2:$B$1800,S$1)</f>
        <v>0</v>
      </c>
      <c r="T154" s="115" t="n">
        <f aca="false">SUMIFS(الريسبي!$C$2:$C$1800,الريسبي!$A$2:$A$1800,$A154,الريسبي!$B$2:$B$1800,T$1)</f>
        <v>0</v>
      </c>
      <c r="U154" s="115" t="n">
        <f aca="false">SUMIFS(الريسبي!$C$2:$C$1800,الريسبي!$A$2:$A$1800,$A154,الريسبي!$B$2:$B$1800,U$1)</f>
        <v>0</v>
      </c>
      <c r="V154" s="115" t="n">
        <f aca="false">SUMIFS(الريسبي!$C$2:$C$1800,الريسبي!$A$2:$A$1800,$A154,الريسبي!$B$2:$B$1800,V$1)</f>
        <v>0</v>
      </c>
      <c r="W154" s="115" t="n">
        <f aca="false">SUMIFS(الريسبي!$C$2:$C$1800,الريسبي!$A$2:$A$1800,$A154,الريسبي!$B$2:$B$1800,W$1)</f>
        <v>0</v>
      </c>
      <c r="X154" s="115" t="n">
        <f aca="false">SUMIFS(الريسبي!$C$2:$C$1800,الريسبي!$A$2:$A$1800,$A154,الريسبي!$B$2:$B$1800,X$1)</f>
        <v>0</v>
      </c>
      <c r="Y154" s="115" t="n">
        <f aca="false">SUMIFS(الريسبي!$C$2:$C$1800,الريسبي!$A$2:$A$1800,$A154,الريسبي!$B$2:$B$1800,Y$1)</f>
        <v>0</v>
      </c>
      <c r="Z154" s="115" t="n">
        <f aca="false">SUMIFS(الريسبي!$C$2:$C$1800,الريسبي!$A$2:$A$1800,$A154,الريسبي!$B$2:$B$1800,Z$1)</f>
        <v>0</v>
      </c>
      <c r="AA154" s="115" t="n">
        <f aca="false">SUMIFS(الريسبي!$C$2:$C$1800,الريسبي!$A$2:$A$1800,$A154,الريسبي!$B$2:$B$1800,AA$1)</f>
        <v>0</v>
      </c>
      <c r="AB154" s="115" t="n">
        <f aca="false">SUMIFS(الريسبي!$C$2:$C$1800,الريسبي!$A$2:$A$1800,$A154,الريسبي!$B$2:$B$1800,AB$1)</f>
        <v>0</v>
      </c>
      <c r="AC154" s="115" t="n">
        <f aca="false">SUMIFS(الريسبي!$C$2:$C$1800,الريسبي!$A$2:$A$1800,$A154,الريسبي!$B$2:$B$1800,AC$1)</f>
        <v>0</v>
      </c>
      <c r="AD154" s="115" t="n">
        <f aca="false">SUMIFS(الريسبي!$C$2:$C$1800,الريسبي!$A$2:$A$1800,$A154,الريسبي!$B$2:$B$1800,AD$1)</f>
        <v>0</v>
      </c>
      <c r="AE154" s="115" t="n">
        <f aca="false">SUMIFS(الريسبي!$C$2:$C$1800,الريسبي!$A$2:$A$1800,$A154,الريسبي!$B$2:$B$1800,AE$1)</f>
        <v>0</v>
      </c>
      <c r="AF154" s="115" t="n">
        <f aca="false">SUMIFS(الريسبي!$C$2:$C$1800,الريسبي!$A$2:$A$1800,$A154,الريسبي!$B$2:$B$1800,AF$1)</f>
        <v>0</v>
      </c>
      <c r="AG154" s="115" t="n">
        <f aca="false">SUMIFS(الريسبي!$C$2:$C$1800,الريسبي!$A$2:$A$1800,$A154,الريسبي!$B$2:$B$1800,AG$1)</f>
        <v>0</v>
      </c>
      <c r="AH154" s="115" t="n">
        <f aca="false">SUMIFS(الريسبي!$C$2:$C$1800,الريسبي!$A$2:$A$1800,$A154,الريسبي!$B$2:$B$1800,AH$1)</f>
        <v>0</v>
      </c>
      <c r="AI154" s="115" t="n">
        <f aca="false">SUMIFS(الريسبي!$C$2:$C$1800,الريسبي!$A$2:$A$1800,$A154,الريسبي!$B$2:$B$1800,AI$1)</f>
        <v>0</v>
      </c>
      <c r="AJ154" s="115" t="n">
        <f aca="false">SUMIFS(الريسبي!$C$2:$C$1800,الريسبي!$A$2:$A$1800,$A154,الريسبي!$B$2:$B$1800,AJ$1)</f>
        <v>0</v>
      </c>
      <c r="AK154" s="115" t="n">
        <f aca="false">SUMIFS(الريسبي!$C$2:$C$1800,الريسبي!$A$2:$A$1800,$A154,الريسبي!$B$2:$B$1800,AK$1)</f>
        <v>0</v>
      </c>
      <c r="AL154" s="115" t="n">
        <f aca="false">SUMIFS(الريسبي!$C$2:$C$1800,الريسبي!$A$2:$A$1800,$A154,الريسبي!$B$2:$B$1800,AL$1)</f>
        <v>0</v>
      </c>
      <c r="AM154" s="115"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15"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15" t="n">
        <f aca="false">SUMIFS(الريسبي!$C$2:$C$1800,الريسبي!$A$2:$A$1800,$A154,الريسبي!$B$2:$B$1800,AO$1)</f>
        <v>0</v>
      </c>
      <c r="AP154" s="115" t="n">
        <f aca="false">SUMIFS(الريسبي!$C$2:$C$1800,الريسبي!$A$2:$A$1800,$A154,الريسبي!$B$2:$B$1800,AP$1)</f>
        <v>0</v>
      </c>
      <c r="AQ154" s="115"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15" t="n">
        <f aca="false">SUMIFS(الريسبي!$C$2:$C$1800,الريسبي!$A$2:$A$1800,$A154,الريسبي!$B$2:$B$1800,AR$1)</f>
        <v>0</v>
      </c>
      <c r="AS154" s="115" t="n">
        <f aca="false">SUMIFS(الريسبي!$C$2:$C$1800,الريسبي!$A$2:$A$1800,$A154,الريسبي!$B$2:$B$1800,AS$1)</f>
        <v>0</v>
      </c>
      <c r="AT154" s="115" t="n">
        <f aca="false">SUMIFS(الريسبي!$C$2:$C$1800,الريسبي!$A$2:$A$1800,$A154,الريسبي!$B$2:$B$1800,AT$1)</f>
        <v>0</v>
      </c>
      <c r="AU154" s="115" t="n">
        <f aca="false">SUMIFS(الريسبي!$C$2:$C$1800,الريسبي!$A$2:$A$1800,$A154,الريسبي!$B$2:$B$1800,AU$1)</f>
        <v>0</v>
      </c>
      <c r="AV154" s="115" t="n">
        <f aca="false">SUMIFS(الريسبي!$C$2:$C$1800,الريسبي!$A$2:$A$1800,$A154,الريسبي!$B$2:$B$1800,AV$1)</f>
        <v>0</v>
      </c>
      <c r="AW154" s="115" t="n">
        <f aca="false">SUMIFS(الريسبي!$C$2:$C$1800,الريسبي!$A$2:$A$1800,$A154,الريسبي!$B$2:$B$1800,AW$1)</f>
        <v>0</v>
      </c>
      <c r="AX154" s="115" t="n">
        <f aca="false">SUMIFS(الريسبي!$C$2:$C$1800,الريسبي!$A$2:$A$1800,$A154,الريسبي!$B$2:$B$1800,AX$1)</f>
        <v>0</v>
      </c>
      <c r="AY154" s="115" t="n">
        <f aca="false">SUMIFS(الريسبي!$C$2:$C$1800,الريسبي!$A$2:$A$1800,$A154,الريسبي!$B$2:$B$1800,AY$1)</f>
        <v>0</v>
      </c>
      <c r="AZ154" s="115" t="n">
        <f aca="false">SUMIFS(الريسبي!$C$2:$C$1800,الريسبي!$A$2:$A$1800,$A154,الريسبي!$B$2:$B$1800,AZ$1)</f>
        <v>0</v>
      </c>
      <c r="BA154" s="115" t="n">
        <f aca="false">SUMIFS(الريسبي!$C$2:$C$1800,الريسبي!$A$2:$A$1800,$A154,الريسبي!$B$2:$B$1800,BA$1)</f>
        <v>0</v>
      </c>
      <c r="BB154" s="115" t="n">
        <f aca="false">SUMIFS(الريسبي!$C$2:$C$1800,الريسبي!$A$2:$A$1800,$A154,الريسبي!$B$2:$B$1800,BB$1)</f>
        <v>0</v>
      </c>
      <c r="BC154" s="115" t="n">
        <f aca="false">SUMIFS(الريسبي!$C$2:$C$1800,الريسبي!$A$2:$A$1800,$A154,الريسبي!$B$2:$B$1800,BC$1)</f>
        <v>0</v>
      </c>
      <c r="BD154" s="115" t="n">
        <f aca="false">SUMIFS(الريسبي!$C$2:$C$1800,الريسبي!$A$2:$A$1800,$A154,الريسبي!$B$2:$B$1800,BD$1)</f>
        <v>0</v>
      </c>
      <c r="BE154" s="115" t="n">
        <f aca="false">SUMIFS(الريسبي!$C$2:$C$1800,الريسبي!$A$2:$A$1800,$A154,الريسبي!$B$2:$B$1800,BE$1)</f>
        <v>0</v>
      </c>
      <c r="BF154" s="115" t="n">
        <f aca="false">SUMIFS(الريسبي!$C$2:$C$1800,الريسبي!$A$2:$A$1800,$A154,الريسبي!$B$2:$B$1800,BF$1)</f>
        <v>0</v>
      </c>
      <c r="BG154" s="115" t="n">
        <f aca="false">SUMIFS(الريسبي!$C$2:$C$1800,الريسبي!$A$2:$A$1800,$A154,الريسبي!$B$2:$B$1800,BG$1)</f>
        <v>0</v>
      </c>
      <c r="BH154" s="115" t="n">
        <f aca="false">SUMIFS(الريسبي!$C$2:$C$1800,الريسبي!$A$2:$A$1800,$A154,الريسبي!$B$2:$B$1800,BH$1)</f>
        <v>0</v>
      </c>
      <c r="BI154" s="115" t="n">
        <f aca="false">SUMIFS(الريسبي!$C$2:$C$1800,الريسبي!$A$2:$A$1800,$A154,الريسبي!$B$2:$B$1800,BI$1)</f>
        <v>0</v>
      </c>
      <c r="BJ154" s="115" t="n">
        <f aca="false">SUMIFS(الريسبي!$C$2:$C$1800,الريسبي!$A$2:$A$1800,$A154,الريسبي!$B$2:$B$1800,BJ$1)</f>
        <v>0</v>
      </c>
      <c r="BK154" s="115" t="n">
        <f aca="false">SUMIFS(الريسبي!$C$2:$C$1800,الريسبي!$A$2:$A$1800,$A154,الريسبي!$B$2:$B$1800,BK$1)</f>
        <v>0</v>
      </c>
      <c r="BL154" s="115" t="n">
        <f aca="false">SUMIFS(الريسبي!$C$2:$C$1800,الريسبي!$A$2:$A$1800,$A154,الريسبي!$B$2:$B$1800,BL$1)</f>
        <v>0</v>
      </c>
      <c r="BM154" s="115" t="n">
        <f aca="false">SUMIFS(الريسبي!$C$2:$C$1800,الريسبي!$A$2:$A$1800,$A154,الريسبي!$B$2:$B$1800,BM$1)</f>
        <v>0</v>
      </c>
      <c r="BN154" s="115" t="n">
        <f aca="false">SUMIFS(الريسبي!$C$2:$C$1800,الريسبي!$A$2:$A$1800,$A154,الريسبي!$B$2:$B$1800,BN$1)</f>
        <v>0</v>
      </c>
      <c r="BO154" s="115" t="n">
        <f aca="false">SUMIFS(الريسبي!$C$2:$C$1800,الريسبي!$A$2:$A$1800,$A154,الريسبي!$B$2:$B$1800,BO$1)</f>
        <v>0</v>
      </c>
      <c r="BP154" s="115" t="n">
        <f aca="false">SUMIFS(الريسبي!$C$2:$C$1800,الريسبي!$A$2:$A$1800,$A154,الريسبي!$B$2:$B$1800,BP$1)</f>
        <v>0</v>
      </c>
      <c r="BQ154" s="115"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15" t="n">
        <f aca="false">SUMIFS(الريسبي!$C$2:$C$1800,الريسبي!$A$2:$A$1800,$A154,الريسبي!$B$2:$B$1800,BR$1)</f>
        <v>0</v>
      </c>
      <c r="BS154" s="115" t="n">
        <f aca="false">SUMIFS(الريسبي!$C$2:$C$1800,الريسبي!$A$2:$A$1800,$A154,الريسبي!$B$2:$B$1800,BS$1)</f>
        <v>0</v>
      </c>
      <c r="BT154" s="115" t="n">
        <f aca="false">SUMIFS(الريسبي!$C$2:$C$1800,الريسبي!$A$2:$A$1800,$A154,الريسبي!$B$2:$B$1800,BT$1)</f>
        <v>0</v>
      </c>
      <c r="BU154" s="115"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15" t="n">
        <f aca="false">SUMIFS(الريسبي!$C$2:$C$1800,الريسبي!$A$2:$A$1800,$A154,الريسبي!$B$2:$B$1800,BV$1)</f>
        <v>0</v>
      </c>
      <c r="BW154" s="115" t="n">
        <f aca="false">SUMIFS(الريسبي!$C$2:$C$1800,الريسبي!$A$2:$A$1800,$A154,الريسبي!$B$2:$B$1800,BW$1)</f>
        <v>0</v>
      </c>
      <c r="BX154" s="115" t="n">
        <f aca="false">SUMIFS(الريسبي!$C$2:$C$1800,الريسبي!$A$2:$A$1800,$A154,الريسبي!$B$2:$B$1800,BX$1)</f>
        <v>0</v>
      </c>
      <c r="BY154" s="115" t="n">
        <f aca="false">SUMIFS(الريسبي!$C$2:$C$1800,الريسبي!$A$2:$A$1800,$A154,الريسبي!$B$2:$B$1800,BY$1)</f>
        <v>0</v>
      </c>
      <c r="BZ154" s="115" t="n">
        <f aca="false">SUMIFS(الريسبي!$C$2:$C$1800,الريسبي!$A$2:$A$1800,$A154,الريسبي!$B$2:$B$1800,BZ$1)</f>
        <v>0</v>
      </c>
      <c r="CA154" s="115" t="n">
        <f aca="false">SUMIFS(الريسبي!$C$2:$C$1800,الريسبي!$A$2:$A$1800,$A154,الريسبي!$B$2:$B$1800,CA$1)</f>
        <v>0</v>
      </c>
      <c r="CB154" s="115" t="n">
        <f aca="false">SUMIFS(الريسبي!$C$2:$C$1800,الريسبي!$A$2:$A$1800,$A154,الريسبي!$B$2:$B$1800,CB$1)</f>
        <v>0</v>
      </c>
      <c r="CC154" s="115" t="n">
        <f aca="false">SUMIFS(الريسبي!$C$2:$C$1800,الريسبي!$A$2:$A$1800,$A154,الريسبي!$B$2:$B$1800,CC$1)</f>
        <v>0</v>
      </c>
      <c r="CD154" s="115" t="n">
        <f aca="false">SUMIFS(الريسبي!$C$2:$C$1800,الريسبي!$A$2:$A$1800,$A154,الريسبي!$B$2:$B$1800,CD$1)</f>
        <v>0</v>
      </c>
      <c r="CE154" s="115" t="n">
        <f aca="false">SUMIFS(الريسبي!$C$2:$C$1800,الريسبي!$A$2:$A$1800,$A154,الريسبي!$B$2:$B$1800,CE$1)</f>
        <v>0</v>
      </c>
      <c r="CF154" s="115" t="n">
        <f aca="false">SUMIFS(الريسبي!$C$2:$C$1800,الريسبي!$A$2:$A$1800,$A154,الريسبي!$B$2:$B$1800,CF$1)</f>
        <v>0</v>
      </c>
      <c r="CG154" s="115" t="n">
        <f aca="false">SUMIFS(الريسبي!$C$2:$C$1800,الريسبي!$A$2:$A$1800,$A154,الريسبي!$B$2:$B$1800,CG$1)</f>
        <v>0</v>
      </c>
      <c r="CH154" s="115" t="n">
        <f aca="false">SUMIFS(الريسبي!$C$2:$C$1800,الريسبي!$A$2:$A$1800,$A154,الريسبي!$B$2:$B$1800,CH$1)</f>
        <v>0</v>
      </c>
    </row>
    <row r="155" customFormat="false" ht="15" hidden="false" customHeight="false" outlineLevel="0" collapsed="false">
      <c r="A155" s="114" t="str">
        <f aca="false">المنيو!B155</f>
        <v>اضافة فراخ جريل (فطير كبير)</v>
      </c>
      <c r="B155" s="115" t="n">
        <f aca="false">SUMIFS(الريسبي!$C$2:$C$1800,الريسبي!$A$2:$A$1800,$A155,الريسبي!$B$2:$B$1800,B$1)</f>
        <v>0</v>
      </c>
      <c r="C155" s="115" t="n">
        <f aca="false">SUMIFS(الريسبي!$C$2:$C$1800,الريسبي!$A$2:$A$1800,$A155,الريسبي!$B$2:$B$1800,C$1)</f>
        <v>0</v>
      </c>
      <c r="D155" s="115" t="n">
        <f aca="false">SUMIFS(الريسبي!$C$2:$C$1800,الريسبي!$A$2:$A$1800,$A155,الريسبي!$B$2:$B$1800,D$1)</f>
        <v>0</v>
      </c>
      <c r="E155" s="115" t="n">
        <f aca="false">SUMIFS(الريسبي!$C$2:$C$1800,الريسبي!$A$2:$A$1800,$A155,الريسبي!$B$2:$B$1800,E$1)</f>
        <v>0</v>
      </c>
      <c r="F155" s="115" t="n">
        <f aca="false">SUMIFS(الريسبي!$C$2:$C$1800,الريسبي!$A$2:$A$1800,$A155,الريسبي!$B$2:$B$1800,F$1)</f>
        <v>0</v>
      </c>
      <c r="G155" s="115" t="n">
        <f aca="false">SUMIFS(الريسبي!$C$2:$C$1800,الريسبي!$A$2:$A$1800,$A155,الريسبي!$B$2:$B$1800,G$1)</f>
        <v>0</v>
      </c>
      <c r="H155" s="115" t="n">
        <f aca="false">SUMIFS(الريسبي!$C$2:$C$1800,الريسبي!$A$2:$A$1800,$A155,الريسبي!$B$2:$B$1800,H$1)</f>
        <v>0</v>
      </c>
      <c r="I155" s="115" t="n">
        <f aca="false">SUMIFS(الريسبي!$C$2:$C$1800,الريسبي!$A$2:$A$1800,$A155,الريسبي!$B$2:$B$1800,I$1)</f>
        <v>0</v>
      </c>
      <c r="J155" s="115" t="n">
        <f aca="false">SUMIFS(الريسبي!$C$2:$C$1800,الريسبي!$A$2:$A$1800,$A155,الريسبي!$B$2:$B$1800,J$1)</f>
        <v>0</v>
      </c>
      <c r="K155" s="115" t="n">
        <f aca="false">SUMIFS(الريسبي!$C$2:$C$1800,الريسبي!$A$2:$A$1800,$A155,الريسبي!$B$2:$B$1800,K$1)</f>
        <v>0</v>
      </c>
      <c r="L155" s="115" t="n">
        <f aca="false">SUMIFS(الريسبي!$C$2:$C$1800,الريسبي!$A$2:$A$1800,$A155,الريسبي!$B$2:$B$1800,L$1)</f>
        <v>0</v>
      </c>
      <c r="M155" s="115" t="n">
        <f aca="false">SUMIFS(الريسبي!$C$2:$C$1800,الريسبي!$A$2:$A$1800,$A155,الريسبي!$B$2:$B$1800,M$1)</f>
        <v>0</v>
      </c>
      <c r="N155" s="115" t="n">
        <f aca="false">SUMIFS(الريسبي!$C$2:$C$1800,الريسبي!$A$2:$A$1800,$A155,الريسبي!$B$2:$B$1800,N$1)</f>
        <v>0</v>
      </c>
      <c r="O155" s="115" t="n">
        <f aca="false">SUMIFS(الريسبي!$C$2:$C$1800,الريسبي!$A$2:$A$1800,$A155,الريسبي!$B$2:$B$1800,O$1)</f>
        <v>0</v>
      </c>
      <c r="P155" s="115" t="n">
        <f aca="false">SUMIFS(الريسبي!$C$2:$C$1800,الريسبي!$A$2:$A$1800,$A155,الريسبي!$B$2:$B$1800,P$1)</f>
        <v>1</v>
      </c>
      <c r="Q155" s="115" t="n">
        <f aca="false">SUMIFS(الريسبي!$C$2:$C$1800,الريسبي!$A$2:$A$1800,$A155,الريسبي!$B$2:$B$1800,Q$1)</f>
        <v>0</v>
      </c>
      <c r="R155" s="115" t="n">
        <f aca="false">SUMIFS(الريسبي!$C$2:$C$1800,الريسبي!$A$2:$A$1800,$A155,الريسبي!$B$2:$B$1800,R$1)</f>
        <v>0</v>
      </c>
      <c r="S155" s="115" t="n">
        <f aca="false">SUMIFS(الريسبي!$C$2:$C$1800,الريسبي!$A$2:$A$1800,$A155,الريسبي!$B$2:$B$1800,S$1)</f>
        <v>0</v>
      </c>
      <c r="T155" s="115" t="n">
        <f aca="false">SUMIFS(الريسبي!$C$2:$C$1800,الريسبي!$A$2:$A$1800,$A155,الريسبي!$B$2:$B$1800,T$1)</f>
        <v>0</v>
      </c>
      <c r="U155" s="115" t="n">
        <f aca="false">SUMIFS(الريسبي!$C$2:$C$1800,الريسبي!$A$2:$A$1800,$A155,الريسبي!$B$2:$B$1800,U$1)</f>
        <v>0</v>
      </c>
      <c r="V155" s="115" t="n">
        <f aca="false">SUMIFS(الريسبي!$C$2:$C$1800,الريسبي!$A$2:$A$1800,$A155,الريسبي!$B$2:$B$1800,V$1)</f>
        <v>0</v>
      </c>
      <c r="W155" s="115" t="n">
        <f aca="false">SUMIFS(الريسبي!$C$2:$C$1800,الريسبي!$A$2:$A$1800,$A155,الريسبي!$B$2:$B$1800,W$1)</f>
        <v>0</v>
      </c>
      <c r="X155" s="115" t="n">
        <f aca="false">SUMIFS(الريسبي!$C$2:$C$1800,الريسبي!$A$2:$A$1800,$A155,الريسبي!$B$2:$B$1800,X$1)</f>
        <v>0</v>
      </c>
      <c r="Y155" s="115" t="n">
        <f aca="false">SUMIFS(الريسبي!$C$2:$C$1800,الريسبي!$A$2:$A$1800,$A155,الريسبي!$B$2:$B$1800,Y$1)</f>
        <v>0</v>
      </c>
      <c r="Z155" s="115" t="n">
        <f aca="false">SUMIFS(الريسبي!$C$2:$C$1800,الريسبي!$A$2:$A$1800,$A155,الريسبي!$B$2:$B$1800,Z$1)</f>
        <v>0</v>
      </c>
      <c r="AA155" s="115" t="n">
        <f aca="false">SUMIFS(الريسبي!$C$2:$C$1800,الريسبي!$A$2:$A$1800,$A155,الريسبي!$B$2:$B$1800,AA$1)</f>
        <v>0</v>
      </c>
      <c r="AB155" s="115" t="n">
        <f aca="false">SUMIFS(الريسبي!$C$2:$C$1800,الريسبي!$A$2:$A$1800,$A155,الريسبي!$B$2:$B$1800,AB$1)</f>
        <v>0</v>
      </c>
      <c r="AC155" s="115" t="n">
        <f aca="false">SUMIFS(الريسبي!$C$2:$C$1800,الريسبي!$A$2:$A$1800,$A155,الريسبي!$B$2:$B$1800,AC$1)</f>
        <v>0</v>
      </c>
      <c r="AD155" s="115" t="n">
        <f aca="false">SUMIFS(الريسبي!$C$2:$C$1800,الريسبي!$A$2:$A$1800,$A155,الريسبي!$B$2:$B$1800,AD$1)</f>
        <v>0</v>
      </c>
      <c r="AE155" s="115" t="n">
        <f aca="false">SUMIFS(الريسبي!$C$2:$C$1800,الريسبي!$A$2:$A$1800,$A155,الريسبي!$B$2:$B$1800,AE$1)</f>
        <v>0</v>
      </c>
      <c r="AF155" s="115" t="n">
        <f aca="false">SUMIFS(الريسبي!$C$2:$C$1800,الريسبي!$A$2:$A$1800,$A155,الريسبي!$B$2:$B$1800,AF$1)</f>
        <v>0</v>
      </c>
      <c r="AG155" s="115" t="n">
        <f aca="false">SUMIFS(الريسبي!$C$2:$C$1800,الريسبي!$A$2:$A$1800,$A155,الريسبي!$B$2:$B$1800,AG$1)</f>
        <v>0</v>
      </c>
      <c r="AH155" s="115" t="n">
        <f aca="false">SUMIFS(الريسبي!$C$2:$C$1800,الريسبي!$A$2:$A$1800,$A155,الريسبي!$B$2:$B$1800,AH$1)</f>
        <v>0</v>
      </c>
      <c r="AI155" s="115" t="n">
        <f aca="false">SUMIFS(الريسبي!$C$2:$C$1800,الريسبي!$A$2:$A$1800,$A155,الريسبي!$B$2:$B$1800,AI$1)</f>
        <v>0</v>
      </c>
      <c r="AJ155" s="115" t="n">
        <f aca="false">SUMIFS(الريسبي!$C$2:$C$1800,الريسبي!$A$2:$A$1800,$A155,الريسبي!$B$2:$B$1800,AJ$1)</f>
        <v>0</v>
      </c>
      <c r="AK155" s="115" t="n">
        <f aca="false">SUMIFS(الريسبي!$C$2:$C$1800,الريسبي!$A$2:$A$1800,$A155,الريسبي!$B$2:$B$1800,AK$1)</f>
        <v>0</v>
      </c>
      <c r="AL155" s="115" t="n">
        <f aca="false">SUMIFS(الريسبي!$C$2:$C$1800,الريسبي!$A$2:$A$1800,$A155,الريسبي!$B$2:$B$1800,AL$1)</f>
        <v>0</v>
      </c>
      <c r="AM155" s="115"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15"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15" t="n">
        <f aca="false">SUMIFS(الريسبي!$C$2:$C$1800,الريسبي!$A$2:$A$1800,$A155,الريسبي!$B$2:$B$1800,AO$1)</f>
        <v>0</v>
      </c>
      <c r="AP155" s="115" t="n">
        <f aca="false">SUMIFS(الريسبي!$C$2:$C$1800,الريسبي!$A$2:$A$1800,$A155,الريسبي!$B$2:$B$1800,AP$1)</f>
        <v>0</v>
      </c>
      <c r="AQ155" s="115"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15" t="n">
        <f aca="false">SUMIFS(الريسبي!$C$2:$C$1800,الريسبي!$A$2:$A$1800,$A155,الريسبي!$B$2:$B$1800,AR$1)</f>
        <v>0</v>
      </c>
      <c r="AS155" s="115" t="n">
        <f aca="false">SUMIFS(الريسبي!$C$2:$C$1800,الريسبي!$A$2:$A$1800,$A155,الريسبي!$B$2:$B$1800,AS$1)</f>
        <v>0</v>
      </c>
      <c r="AT155" s="115" t="n">
        <f aca="false">SUMIFS(الريسبي!$C$2:$C$1800,الريسبي!$A$2:$A$1800,$A155,الريسبي!$B$2:$B$1800,AT$1)</f>
        <v>0</v>
      </c>
      <c r="AU155" s="115" t="n">
        <f aca="false">SUMIFS(الريسبي!$C$2:$C$1800,الريسبي!$A$2:$A$1800,$A155,الريسبي!$B$2:$B$1800,AU$1)</f>
        <v>0</v>
      </c>
      <c r="AV155" s="115" t="n">
        <f aca="false">SUMIFS(الريسبي!$C$2:$C$1800,الريسبي!$A$2:$A$1800,$A155,الريسبي!$B$2:$B$1800,AV$1)</f>
        <v>0</v>
      </c>
      <c r="AW155" s="115" t="n">
        <f aca="false">SUMIFS(الريسبي!$C$2:$C$1800,الريسبي!$A$2:$A$1800,$A155,الريسبي!$B$2:$B$1800,AW$1)</f>
        <v>0</v>
      </c>
      <c r="AX155" s="115" t="n">
        <f aca="false">SUMIFS(الريسبي!$C$2:$C$1800,الريسبي!$A$2:$A$1800,$A155,الريسبي!$B$2:$B$1800,AX$1)</f>
        <v>0</v>
      </c>
      <c r="AY155" s="115" t="n">
        <f aca="false">SUMIFS(الريسبي!$C$2:$C$1800,الريسبي!$A$2:$A$1800,$A155,الريسبي!$B$2:$B$1800,AY$1)</f>
        <v>0</v>
      </c>
      <c r="AZ155" s="115" t="n">
        <f aca="false">SUMIFS(الريسبي!$C$2:$C$1800,الريسبي!$A$2:$A$1800,$A155,الريسبي!$B$2:$B$1800,AZ$1)</f>
        <v>0</v>
      </c>
      <c r="BA155" s="115" t="n">
        <f aca="false">SUMIFS(الريسبي!$C$2:$C$1800,الريسبي!$A$2:$A$1800,$A155,الريسبي!$B$2:$B$1800,BA$1)</f>
        <v>0</v>
      </c>
      <c r="BB155" s="115" t="n">
        <f aca="false">SUMIFS(الريسبي!$C$2:$C$1800,الريسبي!$A$2:$A$1800,$A155,الريسبي!$B$2:$B$1800,BB$1)</f>
        <v>0</v>
      </c>
      <c r="BC155" s="115" t="n">
        <f aca="false">SUMIFS(الريسبي!$C$2:$C$1800,الريسبي!$A$2:$A$1800,$A155,الريسبي!$B$2:$B$1800,BC$1)</f>
        <v>0</v>
      </c>
      <c r="BD155" s="115" t="n">
        <f aca="false">SUMIFS(الريسبي!$C$2:$C$1800,الريسبي!$A$2:$A$1800,$A155,الريسبي!$B$2:$B$1800,BD$1)</f>
        <v>0</v>
      </c>
      <c r="BE155" s="115" t="n">
        <f aca="false">SUMIFS(الريسبي!$C$2:$C$1800,الريسبي!$A$2:$A$1800,$A155,الريسبي!$B$2:$B$1800,BE$1)</f>
        <v>0</v>
      </c>
      <c r="BF155" s="115" t="n">
        <f aca="false">SUMIFS(الريسبي!$C$2:$C$1800,الريسبي!$A$2:$A$1800,$A155,الريسبي!$B$2:$B$1800,BF$1)</f>
        <v>0</v>
      </c>
      <c r="BG155" s="115" t="n">
        <f aca="false">SUMIFS(الريسبي!$C$2:$C$1800,الريسبي!$A$2:$A$1800,$A155,الريسبي!$B$2:$B$1800,BG$1)</f>
        <v>0</v>
      </c>
      <c r="BH155" s="115" t="n">
        <f aca="false">SUMIFS(الريسبي!$C$2:$C$1800,الريسبي!$A$2:$A$1800,$A155,الريسبي!$B$2:$B$1800,BH$1)</f>
        <v>0</v>
      </c>
      <c r="BI155" s="115" t="n">
        <f aca="false">SUMIFS(الريسبي!$C$2:$C$1800,الريسبي!$A$2:$A$1800,$A155,الريسبي!$B$2:$B$1800,BI$1)</f>
        <v>0</v>
      </c>
      <c r="BJ155" s="115" t="n">
        <f aca="false">SUMIFS(الريسبي!$C$2:$C$1800,الريسبي!$A$2:$A$1800,$A155,الريسبي!$B$2:$B$1800,BJ$1)</f>
        <v>0</v>
      </c>
      <c r="BK155" s="115" t="n">
        <f aca="false">SUMIFS(الريسبي!$C$2:$C$1800,الريسبي!$A$2:$A$1800,$A155,الريسبي!$B$2:$B$1800,BK$1)</f>
        <v>0</v>
      </c>
      <c r="BL155" s="115" t="n">
        <f aca="false">SUMIFS(الريسبي!$C$2:$C$1800,الريسبي!$A$2:$A$1800,$A155,الريسبي!$B$2:$B$1800,BL$1)</f>
        <v>0</v>
      </c>
      <c r="BM155" s="115" t="n">
        <f aca="false">SUMIFS(الريسبي!$C$2:$C$1800,الريسبي!$A$2:$A$1800,$A155,الريسبي!$B$2:$B$1800,BM$1)</f>
        <v>0</v>
      </c>
      <c r="BN155" s="115" t="n">
        <f aca="false">SUMIFS(الريسبي!$C$2:$C$1800,الريسبي!$A$2:$A$1800,$A155,الريسبي!$B$2:$B$1800,BN$1)</f>
        <v>0</v>
      </c>
      <c r="BO155" s="115" t="n">
        <f aca="false">SUMIFS(الريسبي!$C$2:$C$1800,الريسبي!$A$2:$A$1800,$A155,الريسبي!$B$2:$B$1800,BO$1)</f>
        <v>0</v>
      </c>
      <c r="BP155" s="115" t="n">
        <f aca="false">SUMIFS(الريسبي!$C$2:$C$1800,الريسبي!$A$2:$A$1800,$A155,الريسبي!$B$2:$B$1800,BP$1)</f>
        <v>0</v>
      </c>
      <c r="BQ155" s="115"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15" t="n">
        <f aca="false">SUMIFS(الريسبي!$C$2:$C$1800,الريسبي!$A$2:$A$1800,$A155,الريسبي!$B$2:$B$1800,BR$1)</f>
        <v>0</v>
      </c>
      <c r="BS155" s="115" t="n">
        <f aca="false">SUMIFS(الريسبي!$C$2:$C$1800,الريسبي!$A$2:$A$1800,$A155,الريسبي!$B$2:$B$1800,BS$1)</f>
        <v>0</v>
      </c>
      <c r="BT155" s="115" t="n">
        <f aca="false">SUMIFS(الريسبي!$C$2:$C$1800,الريسبي!$A$2:$A$1800,$A155,الريسبي!$B$2:$B$1800,BT$1)</f>
        <v>0</v>
      </c>
      <c r="BU155" s="115"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15" t="n">
        <f aca="false">SUMIFS(الريسبي!$C$2:$C$1800,الريسبي!$A$2:$A$1800,$A155,الريسبي!$B$2:$B$1800,BV$1)</f>
        <v>0</v>
      </c>
      <c r="BW155" s="115" t="n">
        <f aca="false">SUMIFS(الريسبي!$C$2:$C$1800,الريسبي!$A$2:$A$1800,$A155,الريسبي!$B$2:$B$1800,BW$1)</f>
        <v>0</v>
      </c>
      <c r="BX155" s="115" t="n">
        <f aca="false">SUMIFS(الريسبي!$C$2:$C$1800,الريسبي!$A$2:$A$1800,$A155,الريسبي!$B$2:$B$1800,BX$1)</f>
        <v>0</v>
      </c>
      <c r="BY155" s="115" t="n">
        <f aca="false">SUMIFS(الريسبي!$C$2:$C$1800,الريسبي!$A$2:$A$1800,$A155,الريسبي!$B$2:$B$1800,BY$1)</f>
        <v>0</v>
      </c>
      <c r="BZ155" s="115" t="n">
        <f aca="false">SUMIFS(الريسبي!$C$2:$C$1800,الريسبي!$A$2:$A$1800,$A155,الريسبي!$B$2:$B$1800,BZ$1)</f>
        <v>0</v>
      </c>
      <c r="CA155" s="115" t="n">
        <f aca="false">SUMIFS(الريسبي!$C$2:$C$1800,الريسبي!$A$2:$A$1800,$A155,الريسبي!$B$2:$B$1800,CA$1)</f>
        <v>0</v>
      </c>
      <c r="CB155" s="115" t="n">
        <f aca="false">SUMIFS(الريسبي!$C$2:$C$1800,الريسبي!$A$2:$A$1800,$A155,الريسبي!$B$2:$B$1800,CB$1)</f>
        <v>0</v>
      </c>
      <c r="CC155" s="115" t="n">
        <f aca="false">SUMIFS(الريسبي!$C$2:$C$1800,الريسبي!$A$2:$A$1800,$A155,الريسبي!$B$2:$B$1800,CC$1)</f>
        <v>0</v>
      </c>
      <c r="CD155" s="115" t="n">
        <f aca="false">SUMIFS(الريسبي!$C$2:$C$1800,الريسبي!$A$2:$A$1800,$A155,الريسبي!$B$2:$B$1800,CD$1)</f>
        <v>0</v>
      </c>
      <c r="CE155" s="115" t="n">
        <f aca="false">SUMIFS(الريسبي!$C$2:$C$1800,الريسبي!$A$2:$A$1800,$A155,الريسبي!$B$2:$B$1800,CE$1)</f>
        <v>0</v>
      </c>
      <c r="CF155" s="115" t="n">
        <f aca="false">SUMIFS(الريسبي!$C$2:$C$1800,الريسبي!$A$2:$A$1800,$A155,الريسبي!$B$2:$B$1800,CF$1)</f>
        <v>0</v>
      </c>
      <c r="CG155" s="115" t="n">
        <f aca="false">SUMIFS(الريسبي!$C$2:$C$1800,الريسبي!$A$2:$A$1800,$A155,الريسبي!$B$2:$B$1800,CG$1)</f>
        <v>0</v>
      </c>
      <c r="CH155" s="115" t="n">
        <f aca="false">SUMIFS(الريسبي!$C$2:$C$1800,الريسبي!$A$2:$A$1800,$A155,الريسبي!$B$2:$B$1800,CH$1)</f>
        <v>0</v>
      </c>
    </row>
    <row r="156" customFormat="false" ht="15" hidden="false" customHeight="false" outlineLevel="0" collapsed="false">
      <c r="A156" s="114" t="str">
        <f aca="false">المنيو!B156</f>
        <v>اضافة فراخ كريسبي (بيتزا وسط)</v>
      </c>
      <c r="B156" s="115" t="n">
        <f aca="false">SUMIFS(الريسبي!$C$2:$C$1800,الريسبي!$A$2:$A$1800,$A156,الريسبي!$B$2:$B$1800,B$1)</f>
        <v>0</v>
      </c>
      <c r="C156" s="115" t="n">
        <f aca="false">SUMIFS(الريسبي!$C$2:$C$1800,الريسبي!$A$2:$A$1800,$A156,الريسبي!$B$2:$B$1800,C$1)</f>
        <v>0</v>
      </c>
      <c r="D156" s="115" t="n">
        <f aca="false">SUMIFS(الريسبي!$C$2:$C$1800,الريسبي!$A$2:$A$1800,$A156,الريسبي!$B$2:$B$1800,D$1)</f>
        <v>0</v>
      </c>
      <c r="E156" s="115" t="n">
        <f aca="false">SUMIFS(الريسبي!$C$2:$C$1800,الريسبي!$A$2:$A$1800,$A156,الريسبي!$B$2:$B$1800,E$1)</f>
        <v>0</v>
      </c>
      <c r="F156" s="115" t="n">
        <f aca="false">SUMIFS(الريسبي!$C$2:$C$1800,الريسبي!$A$2:$A$1800,$A156,الريسبي!$B$2:$B$1800,F$1)</f>
        <v>0</v>
      </c>
      <c r="G156" s="115" t="n">
        <f aca="false">SUMIFS(الريسبي!$C$2:$C$1800,الريسبي!$A$2:$A$1800,$A156,الريسبي!$B$2:$B$1800,G$1)</f>
        <v>0</v>
      </c>
      <c r="H156" s="115" t="n">
        <f aca="false">SUMIFS(الريسبي!$C$2:$C$1800,الريسبي!$A$2:$A$1800,$A156,الريسبي!$B$2:$B$1800,H$1)</f>
        <v>0</v>
      </c>
      <c r="I156" s="115" t="n">
        <f aca="false">SUMIFS(الريسبي!$C$2:$C$1800,الريسبي!$A$2:$A$1800,$A156,الريسبي!$B$2:$B$1800,I$1)</f>
        <v>0</v>
      </c>
      <c r="J156" s="115" t="n">
        <f aca="false">SUMIFS(الريسبي!$C$2:$C$1800,الريسبي!$A$2:$A$1800,$A156,الريسبي!$B$2:$B$1800,J$1)</f>
        <v>0</v>
      </c>
      <c r="K156" s="115" t="n">
        <f aca="false">SUMIFS(الريسبي!$C$2:$C$1800,الريسبي!$A$2:$A$1800,$A156,الريسبي!$B$2:$B$1800,K$1)</f>
        <v>0</v>
      </c>
      <c r="L156" s="115" t="n">
        <f aca="false">SUMIFS(الريسبي!$C$2:$C$1800,الريسبي!$A$2:$A$1800,$A156,الريسبي!$B$2:$B$1800,L$1)</f>
        <v>0</v>
      </c>
      <c r="M156" s="115" t="n">
        <f aca="false">SUMIFS(الريسبي!$C$2:$C$1800,الريسبي!$A$2:$A$1800,$A156,الريسبي!$B$2:$B$1800,M$1)</f>
        <v>0</v>
      </c>
      <c r="N156" s="115" t="n">
        <f aca="false">SUMIFS(الريسبي!$C$2:$C$1800,الريسبي!$A$2:$A$1800,$A156,الريسبي!$B$2:$B$1800,N$1)</f>
        <v>0</v>
      </c>
      <c r="O156" s="115" t="n">
        <f aca="false">SUMIFS(الريسبي!$C$2:$C$1800,الريسبي!$A$2:$A$1800,$A156,الريسبي!$B$2:$B$1800,O$1)</f>
        <v>0</v>
      </c>
      <c r="P156" s="115" t="n">
        <f aca="false">SUMIFS(الريسبي!$C$2:$C$1800,الريسبي!$A$2:$A$1800,$A156,الريسبي!$B$2:$B$1800,P$1)</f>
        <v>0</v>
      </c>
      <c r="Q156" s="115" t="n">
        <f aca="false">SUMIFS(الريسبي!$C$2:$C$1800,الريسبي!$A$2:$A$1800,$A156,الريسبي!$B$2:$B$1800,Q$1)</f>
        <v>1</v>
      </c>
      <c r="R156" s="115" t="n">
        <f aca="false">SUMIFS(الريسبي!$C$2:$C$1800,الريسبي!$A$2:$A$1800,$A156,الريسبي!$B$2:$B$1800,R$1)</f>
        <v>0</v>
      </c>
      <c r="S156" s="115" t="n">
        <f aca="false">SUMIFS(الريسبي!$C$2:$C$1800,الريسبي!$A$2:$A$1800,$A156,الريسبي!$B$2:$B$1800,S$1)</f>
        <v>0</v>
      </c>
      <c r="T156" s="115" t="n">
        <f aca="false">SUMIFS(الريسبي!$C$2:$C$1800,الريسبي!$A$2:$A$1800,$A156,الريسبي!$B$2:$B$1800,T$1)</f>
        <v>0</v>
      </c>
      <c r="U156" s="115" t="n">
        <f aca="false">SUMIFS(الريسبي!$C$2:$C$1800,الريسبي!$A$2:$A$1800,$A156,الريسبي!$B$2:$B$1800,U$1)</f>
        <v>0</v>
      </c>
      <c r="V156" s="115" t="n">
        <f aca="false">SUMIFS(الريسبي!$C$2:$C$1800,الريسبي!$A$2:$A$1800,$A156,الريسبي!$B$2:$B$1800,V$1)</f>
        <v>0</v>
      </c>
      <c r="W156" s="115" t="n">
        <f aca="false">SUMIFS(الريسبي!$C$2:$C$1800,الريسبي!$A$2:$A$1800,$A156,الريسبي!$B$2:$B$1800,W$1)</f>
        <v>0</v>
      </c>
      <c r="X156" s="115" t="n">
        <f aca="false">SUMIFS(الريسبي!$C$2:$C$1800,الريسبي!$A$2:$A$1800,$A156,الريسبي!$B$2:$B$1800,X$1)</f>
        <v>0</v>
      </c>
      <c r="Y156" s="115" t="n">
        <f aca="false">SUMIFS(الريسبي!$C$2:$C$1800,الريسبي!$A$2:$A$1800,$A156,الريسبي!$B$2:$B$1800,Y$1)</f>
        <v>0</v>
      </c>
      <c r="Z156" s="115" t="n">
        <f aca="false">SUMIFS(الريسبي!$C$2:$C$1800,الريسبي!$A$2:$A$1800,$A156,الريسبي!$B$2:$B$1800,Z$1)</f>
        <v>0</v>
      </c>
      <c r="AA156" s="115" t="n">
        <f aca="false">SUMIFS(الريسبي!$C$2:$C$1800,الريسبي!$A$2:$A$1800,$A156,الريسبي!$B$2:$B$1800,AA$1)</f>
        <v>0</v>
      </c>
      <c r="AB156" s="115" t="n">
        <f aca="false">SUMIFS(الريسبي!$C$2:$C$1800,الريسبي!$A$2:$A$1800,$A156,الريسبي!$B$2:$B$1800,AB$1)</f>
        <v>0</v>
      </c>
      <c r="AC156" s="115" t="n">
        <f aca="false">SUMIFS(الريسبي!$C$2:$C$1800,الريسبي!$A$2:$A$1800,$A156,الريسبي!$B$2:$B$1800,AC$1)</f>
        <v>0</v>
      </c>
      <c r="AD156" s="115" t="n">
        <f aca="false">SUMIFS(الريسبي!$C$2:$C$1800,الريسبي!$A$2:$A$1800,$A156,الريسبي!$B$2:$B$1800,AD$1)</f>
        <v>0</v>
      </c>
      <c r="AE156" s="115" t="n">
        <f aca="false">SUMIFS(الريسبي!$C$2:$C$1800,الريسبي!$A$2:$A$1800,$A156,الريسبي!$B$2:$B$1800,AE$1)</f>
        <v>0</v>
      </c>
      <c r="AF156" s="115" t="n">
        <f aca="false">SUMIFS(الريسبي!$C$2:$C$1800,الريسبي!$A$2:$A$1800,$A156,الريسبي!$B$2:$B$1800,AF$1)</f>
        <v>0</v>
      </c>
      <c r="AG156" s="115" t="n">
        <f aca="false">SUMIFS(الريسبي!$C$2:$C$1800,الريسبي!$A$2:$A$1800,$A156,الريسبي!$B$2:$B$1800,AG$1)</f>
        <v>0</v>
      </c>
      <c r="AH156" s="115" t="n">
        <f aca="false">SUMIFS(الريسبي!$C$2:$C$1800,الريسبي!$A$2:$A$1800,$A156,الريسبي!$B$2:$B$1800,AH$1)</f>
        <v>0</v>
      </c>
      <c r="AI156" s="115" t="n">
        <f aca="false">SUMIFS(الريسبي!$C$2:$C$1800,الريسبي!$A$2:$A$1800,$A156,الريسبي!$B$2:$B$1800,AI$1)</f>
        <v>0</v>
      </c>
      <c r="AJ156" s="115" t="n">
        <f aca="false">SUMIFS(الريسبي!$C$2:$C$1800,الريسبي!$A$2:$A$1800,$A156,الريسبي!$B$2:$B$1800,AJ$1)</f>
        <v>0</v>
      </c>
      <c r="AK156" s="115" t="n">
        <f aca="false">SUMIFS(الريسبي!$C$2:$C$1800,الريسبي!$A$2:$A$1800,$A156,الريسبي!$B$2:$B$1800,AK$1)</f>
        <v>0</v>
      </c>
      <c r="AL156" s="115" t="n">
        <f aca="false">SUMIFS(الريسبي!$C$2:$C$1800,الريسبي!$A$2:$A$1800,$A156,الريسبي!$B$2:$B$1800,AL$1)</f>
        <v>0</v>
      </c>
      <c r="AM156" s="115"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15"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15" t="n">
        <f aca="false">SUMIFS(الريسبي!$C$2:$C$1800,الريسبي!$A$2:$A$1800,$A156,الريسبي!$B$2:$B$1800,AO$1)</f>
        <v>0</v>
      </c>
      <c r="AP156" s="115" t="n">
        <f aca="false">SUMIFS(الريسبي!$C$2:$C$1800,الريسبي!$A$2:$A$1800,$A156,الريسبي!$B$2:$B$1800,AP$1)</f>
        <v>0</v>
      </c>
      <c r="AQ156" s="115"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15" t="n">
        <f aca="false">SUMIFS(الريسبي!$C$2:$C$1800,الريسبي!$A$2:$A$1800,$A156,الريسبي!$B$2:$B$1800,AR$1)</f>
        <v>0</v>
      </c>
      <c r="AS156" s="115" t="n">
        <f aca="false">SUMIFS(الريسبي!$C$2:$C$1800,الريسبي!$A$2:$A$1800,$A156,الريسبي!$B$2:$B$1800,AS$1)</f>
        <v>0</v>
      </c>
      <c r="AT156" s="115" t="n">
        <f aca="false">SUMIFS(الريسبي!$C$2:$C$1800,الريسبي!$A$2:$A$1800,$A156,الريسبي!$B$2:$B$1800,AT$1)</f>
        <v>0</v>
      </c>
      <c r="AU156" s="115" t="n">
        <f aca="false">SUMIFS(الريسبي!$C$2:$C$1800,الريسبي!$A$2:$A$1800,$A156,الريسبي!$B$2:$B$1800,AU$1)</f>
        <v>0</v>
      </c>
      <c r="AV156" s="115" t="n">
        <f aca="false">SUMIFS(الريسبي!$C$2:$C$1800,الريسبي!$A$2:$A$1800,$A156,الريسبي!$B$2:$B$1800,AV$1)</f>
        <v>0</v>
      </c>
      <c r="AW156" s="115" t="n">
        <f aca="false">SUMIFS(الريسبي!$C$2:$C$1800,الريسبي!$A$2:$A$1800,$A156,الريسبي!$B$2:$B$1800,AW$1)</f>
        <v>0</v>
      </c>
      <c r="AX156" s="115" t="n">
        <f aca="false">SUMIFS(الريسبي!$C$2:$C$1800,الريسبي!$A$2:$A$1800,$A156,الريسبي!$B$2:$B$1800,AX$1)</f>
        <v>0</v>
      </c>
      <c r="AY156" s="115" t="n">
        <f aca="false">SUMIFS(الريسبي!$C$2:$C$1800,الريسبي!$A$2:$A$1800,$A156,الريسبي!$B$2:$B$1800,AY$1)</f>
        <v>0</v>
      </c>
      <c r="AZ156" s="115" t="n">
        <f aca="false">SUMIFS(الريسبي!$C$2:$C$1800,الريسبي!$A$2:$A$1800,$A156,الريسبي!$B$2:$B$1800,AZ$1)</f>
        <v>0</v>
      </c>
      <c r="BA156" s="115" t="n">
        <f aca="false">SUMIFS(الريسبي!$C$2:$C$1800,الريسبي!$A$2:$A$1800,$A156,الريسبي!$B$2:$B$1800,BA$1)</f>
        <v>0</v>
      </c>
      <c r="BB156" s="115" t="n">
        <f aca="false">SUMIFS(الريسبي!$C$2:$C$1800,الريسبي!$A$2:$A$1800,$A156,الريسبي!$B$2:$B$1800,BB$1)</f>
        <v>0</v>
      </c>
      <c r="BC156" s="115" t="n">
        <f aca="false">SUMIFS(الريسبي!$C$2:$C$1800,الريسبي!$A$2:$A$1800,$A156,الريسبي!$B$2:$B$1800,BC$1)</f>
        <v>0</v>
      </c>
      <c r="BD156" s="115" t="n">
        <f aca="false">SUMIFS(الريسبي!$C$2:$C$1800,الريسبي!$A$2:$A$1800,$A156,الريسبي!$B$2:$B$1800,BD$1)</f>
        <v>0</v>
      </c>
      <c r="BE156" s="115" t="n">
        <f aca="false">SUMIFS(الريسبي!$C$2:$C$1800,الريسبي!$A$2:$A$1800,$A156,الريسبي!$B$2:$B$1800,BE$1)</f>
        <v>0</v>
      </c>
      <c r="BF156" s="115" t="n">
        <f aca="false">SUMIFS(الريسبي!$C$2:$C$1800,الريسبي!$A$2:$A$1800,$A156,الريسبي!$B$2:$B$1800,BF$1)</f>
        <v>0</v>
      </c>
      <c r="BG156" s="115" t="n">
        <f aca="false">SUMIFS(الريسبي!$C$2:$C$1800,الريسبي!$A$2:$A$1800,$A156,الريسبي!$B$2:$B$1800,BG$1)</f>
        <v>0</v>
      </c>
      <c r="BH156" s="115" t="n">
        <f aca="false">SUMIFS(الريسبي!$C$2:$C$1800,الريسبي!$A$2:$A$1800,$A156,الريسبي!$B$2:$B$1800,BH$1)</f>
        <v>0</v>
      </c>
      <c r="BI156" s="115" t="n">
        <f aca="false">SUMIFS(الريسبي!$C$2:$C$1800,الريسبي!$A$2:$A$1800,$A156,الريسبي!$B$2:$B$1800,BI$1)</f>
        <v>0</v>
      </c>
      <c r="BJ156" s="115" t="n">
        <f aca="false">SUMIFS(الريسبي!$C$2:$C$1800,الريسبي!$A$2:$A$1800,$A156,الريسبي!$B$2:$B$1800,BJ$1)</f>
        <v>0</v>
      </c>
      <c r="BK156" s="115" t="n">
        <f aca="false">SUMIFS(الريسبي!$C$2:$C$1800,الريسبي!$A$2:$A$1800,$A156,الريسبي!$B$2:$B$1800,BK$1)</f>
        <v>0</v>
      </c>
      <c r="BL156" s="115" t="n">
        <f aca="false">SUMIFS(الريسبي!$C$2:$C$1800,الريسبي!$A$2:$A$1800,$A156,الريسبي!$B$2:$B$1800,BL$1)</f>
        <v>0</v>
      </c>
      <c r="BM156" s="115" t="n">
        <f aca="false">SUMIFS(الريسبي!$C$2:$C$1800,الريسبي!$A$2:$A$1800,$A156,الريسبي!$B$2:$B$1800,BM$1)</f>
        <v>0</v>
      </c>
      <c r="BN156" s="115" t="n">
        <f aca="false">SUMIFS(الريسبي!$C$2:$C$1800,الريسبي!$A$2:$A$1800,$A156,الريسبي!$B$2:$B$1800,BN$1)</f>
        <v>0</v>
      </c>
      <c r="BO156" s="115" t="n">
        <f aca="false">SUMIFS(الريسبي!$C$2:$C$1800,الريسبي!$A$2:$A$1800,$A156,الريسبي!$B$2:$B$1800,BO$1)</f>
        <v>0</v>
      </c>
      <c r="BP156" s="115" t="n">
        <f aca="false">SUMIFS(الريسبي!$C$2:$C$1800,الريسبي!$A$2:$A$1800,$A156,الريسبي!$B$2:$B$1800,BP$1)</f>
        <v>0</v>
      </c>
      <c r="BQ156" s="115"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15" t="n">
        <f aca="false">SUMIFS(الريسبي!$C$2:$C$1800,الريسبي!$A$2:$A$1800,$A156,الريسبي!$B$2:$B$1800,BR$1)</f>
        <v>0</v>
      </c>
      <c r="BS156" s="115" t="n">
        <f aca="false">SUMIFS(الريسبي!$C$2:$C$1800,الريسبي!$A$2:$A$1800,$A156,الريسبي!$B$2:$B$1800,BS$1)</f>
        <v>0</v>
      </c>
      <c r="BT156" s="115" t="n">
        <f aca="false">SUMIFS(الريسبي!$C$2:$C$1800,الريسبي!$A$2:$A$1800,$A156,الريسبي!$B$2:$B$1800,BT$1)</f>
        <v>0</v>
      </c>
      <c r="BU156" s="115"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15" t="n">
        <f aca="false">SUMIFS(الريسبي!$C$2:$C$1800,الريسبي!$A$2:$A$1800,$A156,الريسبي!$B$2:$B$1800,BV$1)</f>
        <v>0</v>
      </c>
      <c r="BW156" s="115" t="n">
        <f aca="false">SUMIFS(الريسبي!$C$2:$C$1800,الريسبي!$A$2:$A$1800,$A156,الريسبي!$B$2:$B$1800,BW$1)</f>
        <v>0</v>
      </c>
      <c r="BX156" s="115" t="n">
        <f aca="false">SUMIFS(الريسبي!$C$2:$C$1800,الريسبي!$A$2:$A$1800,$A156,الريسبي!$B$2:$B$1800,BX$1)</f>
        <v>0</v>
      </c>
      <c r="BY156" s="115" t="n">
        <f aca="false">SUMIFS(الريسبي!$C$2:$C$1800,الريسبي!$A$2:$A$1800,$A156,الريسبي!$B$2:$B$1800,BY$1)</f>
        <v>0</v>
      </c>
      <c r="BZ156" s="115" t="n">
        <f aca="false">SUMIFS(الريسبي!$C$2:$C$1800,الريسبي!$A$2:$A$1800,$A156,الريسبي!$B$2:$B$1800,BZ$1)</f>
        <v>0</v>
      </c>
      <c r="CA156" s="115" t="n">
        <f aca="false">SUMIFS(الريسبي!$C$2:$C$1800,الريسبي!$A$2:$A$1800,$A156,الريسبي!$B$2:$B$1800,CA$1)</f>
        <v>0</v>
      </c>
      <c r="CB156" s="115" t="n">
        <f aca="false">SUMIFS(الريسبي!$C$2:$C$1800,الريسبي!$A$2:$A$1800,$A156,الريسبي!$B$2:$B$1800,CB$1)</f>
        <v>0</v>
      </c>
      <c r="CC156" s="115" t="n">
        <f aca="false">SUMIFS(الريسبي!$C$2:$C$1800,الريسبي!$A$2:$A$1800,$A156,الريسبي!$B$2:$B$1800,CC$1)</f>
        <v>0</v>
      </c>
      <c r="CD156" s="115" t="n">
        <f aca="false">SUMIFS(الريسبي!$C$2:$C$1800,الريسبي!$A$2:$A$1800,$A156,الريسبي!$B$2:$B$1800,CD$1)</f>
        <v>0</v>
      </c>
      <c r="CE156" s="115" t="n">
        <f aca="false">SUMIFS(الريسبي!$C$2:$C$1800,الريسبي!$A$2:$A$1800,$A156,الريسبي!$B$2:$B$1800,CE$1)</f>
        <v>0</v>
      </c>
      <c r="CF156" s="115" t="n">
        <f aca="false">SUMIFS(الريسبي!$C$2:$C$1800,الريسبي!$A$2:$A$1800,$A156,الريسبي!$B$2:$B$1800,CF$1)</f>
        <v>0</v>
      </c>
      <c r="CG156" s="115" t="n">
        <f aca="false">SUMIFS(الريسبي!$C$2:$C$1800,الريسبي!$A$2:$A$1800,$A156,الريسبي!$B$2:$B$1800,CG$1)</f>
        <v>0</v>
      </c>
      <c r="CH156" s="115" t="n">
        <f aca="false">SUMIFS(الريسبي!$C$2:$C$1800,الريسبي!$A$2:$A$1800,$A156,الريسبي!$B$2:$B$1800,CH$1)</f>
        <v>0</v>
      </c>
    </row>
    <row r="157" customFormat="false" ht="15" hidden="false" customHeight="false" outlineLevel="0" collapsed="false">
      <c r="A157" s="114" t="str">
        <f aca="false">المنيو!B157</f>
        <v>اضافة فراخ كريسبي (فطير وسط)</v>
      </c>
      <c r="B157" s="115" t="n">
        <f aca="false">SUMIFS(الريسبي!$C$2:$C$1800,الريسبي!$A$2:$A$1800,$A157,الريسبي!$B$2:$B$1800,B$1)</f>
        <v>0</v>
      </c>
      <c r="C157" s="115" t="n">
        <f aca="false">SUMIFS(الريسبي!$C$2:$C$1800,الريسبي!$A$2:$A$1800,$A157,الريسبي!$B$2:$B$1800,C$1)</f>
        <v>0</v>
      </c>
      <c r="D157" s="115" t="n">
        <f aca="false">SUMIFS(الريسبي!$C$2:$C$1800,الريسبي!$A$2:$A$1800,$A157,الريسبي!$B$2:$B$1800,D$1)</f>
        <v>0</v>
      </c>
      <c r="E157" s="115" t="n">
        <f aca="false">SUMIFS(الريسبي!$C$2:$C$1800,الريسبي!$A$2:$A$1800,$A157,الريسبي!$B$2:$B$1800,E$1)</f>
        <v>0</v>
      </c>
      <c r="F157" s="115" t="n">
        <f aca="false">SUMIFS(الريسبي!$C$2:$C$1800,الريسبي!$A$2:$A$1800,$A157,الريسبي!$B$2:$B$1800,F$1)</f>
        <v>0</v>
      </c>
      <c r="G157" s="115" t="n">
        <f aca="false">SUMIFS(الريسبي!$C$2:$C$1800,الريسبي!$A$2:$A$1800,$A157,الريسبي!$B$2:$B$1800,G$1)</f>
        <v>0</v>
      </c>
      <c r="H157" s="115" t="n">
        <f aca="false">SUMIFS(الريسبي!$C$2:$C$1800,الريسبي!$A$2:$A$1800,$A157,الريسبي!$B$2:$B$1800,H$1)</f>
        <v>0</v>
      </c>
      <c r="I157" s="115" t="n">
        <f aca="false">SUMIFS(الريسبي!$C$2:$C$1800,الريسبي!$A$2:$A$1800,$A157,الريسبي!$B$2:$B$1800,I$1)</f>
        <v>0</v>
      </c>
      <c r="J157" s="115" t="n">
        <f aca="false">SUMIFS(الريسبي!$C$2:$C$1800,الريسبي!$A$2:$A$1800,$A157,الريسبي!$B$2:$B$1800,J$1)</f>
        <v>0</v>
      </c>
      <c r="K157" s="115" t="n">
        <f aca="false">SUMIFS(الريسبي!$C$2:$C$1800,الريسبي!$A$2:$A$1800,$A157,الريسبي!$B$2:$B$1800,K$1)</f>
        <v>0</v>
      </c>
      <c r="L157" s="115" t="n">
        <f aca="false">SUMIFS(الريسبي!$C$2:$C$1800,الريسبي!$A$2:$A$1800,$A157,الريسبي!$B$2:$B$1800,L$1)</f>
        <v>0</v>
      </c>
      <c r="M157" s="115" t="n">
        <f aca="false">SUMIFS(الريسبي!$C$2:$C$1800,الريسبي!$A$2:$A$1800,$A157,الريسبي!$B$2:$B$1800,M$1)</f>
        <v>0</v>
      </c>
      <c r="N157" s="115" t="n">
        <f aca="false">SUMIFS(الريسبي!$C$2:$C$1800,الريسبي!$A$2:$A$1800,$A157,الريسبي!$B$2:$B$1800,N$1)</f>
        <v>0</v>
      </c>
      <c r="O157" s="115" t="n">
        <f aca="false">SUMIFS(الريسبي!$C$2:$C$1800,الريسبي!$A$2:$A$1800,$A157,الريسبي!$B$2:$B$1800,O$1)</f>
        <v>0</v>
      </c>
      <c r="P157" s="115" t="n">
        <f aca="false">SUMIFS(الريسبي!$C$2:$C$1800,الريسبي!$A$2:$A$1800,$A157,الريسبي!$B$2:$B$1800,P$1)</f>
        <v>0</v>
      </c>
      <c r="Q157" s="115" t="n">
        <f aca="false">SUMIFS(الريسبي!$C$2:$C$1800,الريسبي!$A$2:$A$1800,$A157,الريسبي!$B$2:$B$1800,Q$1)</f>
        <v>1</v>
      </c>
      <c r="R157" s="115" t="n">
        <f aca="false">SUMIFS(الريسبي!$C$2:$C$1800,الريسبي!$A$2:$A$1800,$A157,الريسبي!$B$2:$B$1800,R$1)</f>
        <v>0</v>
      </c>
      <c r="S157" s="115" t="n">
        <f aca="false">SUMIFS(الريسبي!$C$2:$C$1800,الريسبي!$A$2:$A$1800,$A157,الريسبي!$B$2:$B$1800,S$1)</f>
        <v>0</v>
      </c>
      <c r="T157" s="115" t="n">
        <f aca="false">SUMIFS(الريسبي!$C$2:$C$1800,الريسبي!$A$2:$A$1800,$A157,الريسبي!$B$2:$B$1800,T$1)</f>
        <v>0</v>
      </c>
      <c r="U157" s="115" t="n">
        <f aca="false">SUMIFS(الريسبي!$C$2:$C$1800,الريسبي!$A$2:$A$1800,$A157,الريسبي!$B$2:$B$1800,U$1)</f>
        <v>0</v>
      </c>
      <c r="V157" s="115" t="n">
        <f aca="false">SUMIFS(الريسبي!$C$2:$C$1800,الريسبي!$A$2:$A$1800,$A157,الريسبي!$B$2:$B$1800,V$1)</f>
        <v>0</v>
      </c>
      <c r="W157" s="115" t="n">
        <f aca="false">SUMIFS(الريسبي!$C$2:$C$1800,الريسبي!$A$2:$A$1800,$A157,الريسبي!$B$2:$B$1800,W$1)</f>
        <v>0</v>
      </c>
      <c r="X157" s="115" t="n">
        <f aca="false">SUMIFS(الريسبي!$C$2:$C$1800,الريسبي!$A$2:$A$1800,$A157,الريسبي!$B$2:$B$1800,X$1)</f>
        <v>0</v>
      </c>
      <c r="Y157" s="115" t="n">
        <f aca="false">SUMIFS(الريسبي!$C$2:$C$1800,الريسبي!$A$2:$A$1800,$A157,الريسبي!$B$2:$B$1800,Y$1)</f>
        <v>0</v>
      </c>
      <c r="Z157" s="115" t="n">
        <f aca="false">SUMIFS(الريسبي!$C$2:$C$1800,الريسبي!$A$2:$A$1800,$A157,الريسبي!$B$2:$B$1800,Z$1)</f>
        <v>0</v>
      </c>
      <c r="AA157" s="115" t="n">
        <f aca="false">SUMIFS(الريسبي!$C$2:$C$1800,الريسبي!$A$2:$A$1800,$A157,الريسبي!$B$2:$B$1800,AA$1)</f>
        <v>0</v>
      </c>
      <c r="AB157" s="115" t="n">
        <f aca="false">SUMIFS(الريسبي!$C$2:$C$1800,الريسبي!$A$2:$A$1800,$A157,الريسبي!$B$2:$B$1800,AB$1)</f>
        <v>0</v>
      </c>
      <c r="AC157" s="115" t="n">
        <f aca="false">SUMIFS(الريسبي!$C$2:$C$1800,الريسبي!$A$2:$A$1800,$A157,الريسبي!$B$2:$B$1800,AC$1)</f>
        <v>0</v>
      </c>
      <c r="AD157" s="115" t="n">
        <f aca="false">SUMIFS(الريسبي!$C$2:$C$1800,الريسبي!$A$2:$A$1800,$A157,الريسبي!$B$2:$B$1800,AD$1)</f>
        <v>0</v>
      </c>
      <c r="AE157" s="115" t="n">
        <f aca="false">SUMIFS(الريسبي!$C$2:$C$1800,الريسبي!$A$2:$A$1800,$A157,الريسبي!$B$2:$B$1800,AE$1)</f>
        <v>0</v>
      </c>
      <c r="AF157" s="115" t="n">
        <f aca="false">SUMIFS(الريسبي!$C$2:$C$1800,الريسبي!$A$2:$A$1800,$A157,الريسبي!$B$2:$B$1800,AF$1)</f>
        <v>0</v>
      </c>
      <c r="AG157" s="115" t="n">
        <f aca="false">SUMIFS(الريسبي!$C$2:$C$1800,الريسبي!$A$2:$A$1800,$A157,الريسبي!$B$2:$B$1800,AG$1)</f>
        <v>0</v>
      </c>
      <c r="AH157" s="115" t="n">
        <f aca="false">SUMIFS(الريسبي!$C$2:$C$1800,الريسبي!$A$2:$A$1800,$A157,الريسبي!$B$2:$B$1800,AH$1)</f>
        <v>0</v>
      </c>
      <c r="AI157" s="115" t="n">
        <f aca="false">SUMIFS(الريسبي!$C$2:$C$1800,الريسبي!$A$2:$A$1800,$A157,الريسبي!$B$2:$B$1800,AI$1)</f>
        <v>0</v>
      </c>
      <c r="AJ157" s="115" t="n">
        <f aca="false">SUMIFS(الريسبي!$C$2:$C$1800,الريسبي!$A$2:$A$1800,$A157,الريسبي!$B$2:$B$1800,AJ$1)</f>
        <v>0</v>
      </c>
      <c r="AK157" s="115" t="n">
        <f aca="false">SUMIFS(الريسبي!$C$2:$C$1800,الريسبي!$A$2:$A$1800,$A157,الريسبي!$B$2:$B$1800,AK$1)</f>
        <v>0</v>
      </c>
      <c r="AL157" s="115" t="n">
        <f aca="false">SUMIFS(الريسبي!$C$2:$C$1800,الريسبي!$A$2:$A$1800,$A157,الريسبي!$B$2:$B$1800,AL$1)</f>
        <v>0</v>
      </c>
      <c r="AM157" s="115"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15"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15" t="n">
        <f aca="false">SUMIFS(الريسبي!$C$2:$C$1800,الريسبي!$A$2:$A$1800,$A157,الريسبي!$B$2:$B$1800,AO$1)</f>
        <v>0</v>
      </c>
      <c r="AP157" s="115" t="n">
        <f aca="false">SUMIFS(الريسبي!$C$2:$C$1800,الريسبي!$A$2:$A$1800,$A157,الريسبي!$B$2:$B$1800,AP$1)</f>
        <v>0</v>
      </c>
      <c r="AQ157" s="115"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15" t="n">
        <f aca="false">SUMIFS(الريسبي!$C$2:$C$1800,الريسبي!$A$2:$A$1800,$A157,الريسبي!$B$2:$B$1800,AR$1)</f>
        <v>0</v>
      </c>
      <c r="AS157" s="115" t="n">
        <f aca="false">SUMIFS(الريسبي!$C$2:$C$1800,الريسبي!$A$2:$A$1800,$A157,الريسبي!$B$2:$B$1800,AS$1)</f>
        <v>0</v>
      </c>
      <c r="AT157" s="115" t="n">
        <f aca="false">SUMIFS(الريسبي!$C$2:$C$1800,الريسبي!$A$2:$A$1800,$A157,الريسبي!$B$2:$B$1800,AT$1)</f>
        <v>0</v>
      </c>
      <c r="AU157" s="115" t="n">
        <f aca="false">SUMIFS(الريسبي!$C$2:$C$1800,الريسبي!$A$2:$A$1800,$A157,الريسبي!$B$2:$B$1800,AU$1)</f>
        <v>0</v>
      </c>
      <c r="AV157" s="115" t="n">
        <f aca="false">SUMIFS(الريسبي!$C$2:$C$1800,الريسبي!$A$2:$A$1800,$A157,الريسبي!$B$2:$B$1800,AV$1)</f>
        <v>0</v>
      </c>
      <c r="AW157" s="115" t="n">
        <f aca="false">SUMIFS(الريسبي!$C$2:$C$1800,الريسبي!$A$2:$A$1800,$A157,الريسبي!$B$2:$B$1800,AW$1)</f>
        <v>0</v>
      </c>
      <c r="AX157" s="115" t="n">
        <f aca="false">SUMIFS(الريسبي!$C$2:$C$1800,الريسبي!$A$2:$A$1800,$A157,الريسبي!$B$2:$B$1800,AX$1)</f>
        <v>0</v>
      </c>
      <c r="AY157" s="115" t="n">
        <f aca="false">SUMIFS(الريسبي!$C$2:$C$1800,الريسبي!$A$2:$A$1800,$A157,الريسبي!$B$2:$B$1800,AY$1)</f>
        <v>0</v>
      </c>
      <c r="AZ157" s="115" t="n">
        <f aca="false">SUMIFS(الريسبي!$C$2:$C$1800,الريسبي!$A$2:$A$1800,$A157,الريسبي!$B$2:$B$1800,AZ$1)</f>
        <v>0</v>
      </c>
      <c r="BA157" s="115" t="n">
        <f aca="false">SUMIFS(الريسبي!$C$2:$C$1800,الريسبي!$A$2:$A$1800,$A157,الريسبي!$B$2:$B$1800,BA$1)</f>
        <v>0</v>
      </c>
      <c r="BB157" s="115" t="n">
        <f aca="false">SUMIFS(الريسبي!$C$2:$C$1800,الريسبي!$A$2:$A$1800,$A157,الريسبي!$B$2:$B$1800,BB$1)</f>
        <v>0</v>
      </c>
      <c r="BC157" s="115" t="n">
        <f aca="false">SUMIFS(الريسبي!$C$2:$C$1800,الريسبي!$A$2:$A$1800,$A157,الريسبي!$B$2:$B$1800,BC$1)</f>
        <v>0</v>
      </c>
      <c r="BD157" s="115" t="n">
        <f aca="false">SUMIFS(الريسبي!$C$2:$C$1800,الريسبي!$A$2:$A$1800,$A157,الريسبي!$B$2:$B$1800,BD$1)</f>
        <v>0</v>
      </c>
      <c r="BE157" s="115" t="n">
        <f aca="false">SUMIFS(الريسبي!$C$2:$C$1800,الريسبي!$A$2:$A$1800,$A157,الريسبي!$B$2:$B$1800,BE$1)</f>
        <v>0</v>
      </c>
      <c r="BF157" s="115" t="n">
        <f aca="false">SUMIFS(الريسبي!$C$2:$C$1800,الريسبي!$A$2:$A$1800,$A157,الريسبي!$B$2:$B$1800,BF$1)</f>
        <v>0</v>
      </c>
      <c r="BG157" s="115" t="n">
        <f aca="false">SUMIFS(الريسبي!$C$2:$C$1800,الريسبي!$A$2:$A$1800,$A157,الريسبي!$B$2:$B$1800,BG$1)</f>
        <v>0</v>
      </c>
      <c r="BH157" s="115" t="n">
        <f aca="false">SUMIFS(الريسبي!$C$2:$C$1800,الريسبي!$A$2:$A$1800,$A157,الريسبي!$B$2:$B$1800,BH$1)</f>
        <v>0</v>
      </c>
      <c r="BI157" s="115" t="n">
        <f aca="false">SUMIFS(الريسبي!$C$2:$C$1800,الريسبي!$A$2:$A$1800,$A157,الريسبي!$B$2:$B$1800,BI$1)</f>
        <v>0</v>
      </c>
      <c r="BJ157" s="115" t="n">
        <f aca="false">SUMIFS(الريسبي!$C$2:$C$1800,الريسبي!$A$2:$A$1800,$A157,الريسبي!$B$2:$B$1800,BJ$1)</f>
        <v>0</v>
      </c>
      <c r="BK157" s="115" t="n">
        <f aca="false">SUMIFS(الريسبي!$C$2:$C$1800,الريسبي!$A$2:$A$1800,$A157,الريسبي!$B$2:$B$1800,BK$1)</f>
        <v>0</v>
      </c>
      <c r="BL157" s="115" t="n">
        <f aca="false">SUMIFS(الريسبي!$C$2:$C$1800,الريسبي!$A$2:$A$1800,$A157,الريسبي!$B$2:$B$1800,BL$1)</f>
        <v>0</v>
      </c>
      <c r="BM157" s="115" t="n">
        <f aca="false">SUMIFS(الريسبي!$C$2:$C$1800,الريسبي!$A$2:$A$1800,$A157,الريسبي!$B$2:$B$1800,BM$1)</f>
        <v>0</v>
      </c>
      <c r="BN157" s="115" t="n">
        <f aca="false">SUMIFS(الريسبي!$C$2:$C$1800,الريسبي!$A$2:$A$1800,$A157,الريسبي!$B$2:$B$1800,BN$1)</f>
        <v>0</v>
      </c>
      <c r="BO157" s="115" t="n">
        <f aca="false">SUMIFS(الريسبي!$C$2:$C$1800,الريسبي!$A$2:$A$1800,$A157,الريسبي!$B$2:$B$1800,BO$1)</f>
        <v>0</v>
      </c>
      <c r="BP157" s="115" t="n">
        <f aca="false">SUMIFS(الريسبي!$C$2:$C$1800,الريسبي!$A$2:$A$1800,$A157,الريسبي!$B$2:$B$1800,BP$1)</f>
        <v>0</v>
      </c>
      <c r="BQ157" s="115"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15" t="n">
        <f aca="false">SUMIFS(الريسبي!$C$2:$C$1800,الريسبي!$A$2:$A$1800,$A157,الريسبي!$B$2:$B$1800,BR$1)</f>
        <v>0</v>
      </c>
      <c r="BS157" s="115" t="n">
        <f aca="false">SUMIFS(الريسبي!$C$2:$C$1800,الريسبي!$A$2:$A$1800,$A157,الريسبي!$B$2:$B$1800,BS$1)</f>
        <v>0</v>
      </c>
      <c r="BT157" s="115" t="n">
        <f aca="false">SUMIFS(الريسبي!$C$2:$C$1800,الريسبي!$A$2:$A$1800,$A157,الريسبي!$B$2:$B$1800,BT$1)</f>
        <v>0</v>
      </c>
      <c r="BU157" s="115"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15" t="n">
        <f aca="false">SUMIFS(الريسبي!$C$2:$C$1800,الريسبي!$A$2:$A$1800,$A157,الريسبي!$B$2:$B$1800,BV$1)</f>
        <v>0</v>
      </c>
      <c r="BW157" s="115" t="n">
        <f aca="false">SUMIFS(الريسبي!$C$2:$C$1800,الريسبي!$A$2:$A$1800,$A157,الريسبي!$B$2:$B$1800,BW$1)</f>
        <v>0</v>
      </c>
      <c r="BX157" s="115" t="n">
        <f aca="false">SUMIFS(الريسبي!$C$2:$C$1800,الريسبي!$A$2:$A$1800,$A157,الريسبي!$B$2:$B$1800,BX$1)</f>
        <v>0</v>
      </c>
      <c r="BY157" s="115" t="n">
        <f aca="false">SUMIFS(الريسبي!$C$2:$C$1800,الريسبي!$A$2:$A$1800,$A157,الريسبي!$B$2:$B$1800,BY$1)</f>
        <v>0</v>
      </c>
      <c r="BZ157" s="115" t="n">
        <f aca="false">SUMIFS(الريسبي!$C$2:$C$1800,الريسبي!$A$2:$A$1800,$A157,الريسبي!$B$2:$B$1800,BZ$1)</f>
        <v>0</v>
      </c>
      <c r="CA157" s="115" t="n">
        <f aca="false">SUMIFS(الريسبي!$C$2:$C$1800,الريسبي!$A$2:$A$1800,$A157,الريسبي!$B$2:$B$1800,CA$1)</f>
        <v>0</v>
      </c>
      <c r="CB157" s="115" t="n">
        <f aca="false">SUMIFS(الريسبي!$C$2:$C$1800,الريسبي!$A$2:$A$1800,$A157,الريسبي!$B$2:$B$1800,CB$1)</f>
        <v>0</v>
      </c>
      <c r="CC157" s="115" t="n">
        <f aca="false">SUMIFS(الريسبي!$C$2:$C$1800,الريسبي!$A$2:$A$1800,$A157,الريسبي!$B$2:$B$1800,CC$1)</f>
        <v>0</v>
      </c>
      <c r="CD157" s="115" t="n">
        <f aca="false">SUMIFS(الريسبي!$C$2:$C$1800,الريسبي!$A$2:$A$1800,$A157,الريسبي!$B$2:$B$1800,CD$1)</f>
        <v>0</v>
      </c>
      <c r="CE157" s="115" t="n">
        <f aca="false">SUMIFS(الريسبي!$C$2:$C$1800,الريسبي!$A$2:$A$1800,$A157,الريسبي!$B$2:$B$1800,CE$1)</f>
        <v>0</v>
      </c>
      <c r="CF157" s="115" t="n">
        <f aca="false">SUMIFS(الريسبي!$C$2:$C$1800,الريسبي!$A$2:$A$1800,$A157,الريسبي!$B$2:$B$1800,CF$1)</f>
        <v>0</v>
      </c>
      <c r="CG157" s="115" t="n">
        <f aca="false">SUMIFS(الريسبي!$C$2:$C$1800,الريسبي!$A$2:$A$1800,$A157,الريسبي!$B$2:$B$1800,CG$1)</f>
        <v>0</v>
      </c>
      <c r="CH157" s="115" t="n">
        <f aca="false">SUMIFS(الريسبي!$C$2:$C$1800,الريسبي!$A$2:$A$1800,$A157,الريسبي!$B$2:$B$1800,CH$1)</f>
        <v>0</v>
      </c>
    </row>
    <row r="158" customFormat="false" ht="15" hidden="false" customHeight="false" outlineLevel="0" collapsed="false">
      <c r="A158" s="114" t="str">
        <f aca="false">المنيو!B158</f>
        <v>اضافة فراخ كريسبي (فطير كبير)</v>
      </c>
      <c r="B158" s="115" t="n">
        <f aca="false">SUMIFS(الريسبي!$C$2:$C$1800,الريسبي!$A$2:$A$1800,$A158,الريسبي!$B$2:$B$1800,B$1)</f>
        <v>0</v>
      </c>
      <c r="C158" s="115" t="n">
        <f aca="false">SUMIFS(الريسبي!$C$2:$C$1800,الريسبي!$A$2:$A$1800,$A158,الريسبي!$B$2:$B$1800,C$1)</f>
        <v>0</v>
      </c>
      <c r="D158" s="115" t="n">
        <f aca="false">SUMIFS(الريسبي!$C$2:$C$1800,الريسبي!$A$2:$A$1800,$A158,الريسبي!$B$2:$B$1800,D$1)</f>
        <v>0</v>
      </c>
      <c r="E158" s="115" t="n">
        <f aca="false">SUMIFS(الريسبي!$C$2:$C$1800,الريسبي!$A$2:$A$1800,$A158,الريسبي!$B$2:$B$1800,E$1)</f>
        <v>0</v>
      </c>
      <c r="F158" s="115" t="n">
        <f aca="false">SUMIFS(الريسبي!$C$2:$C$1800,الريسبي!$A$2:$A$1800,$A158,الريسبي!$B$2:$B$1800,F$1)</f>
        <v>0</v>
      </c>
      <c r="G158" s="115" t="n">
        <f aca="false">SUMIFS(الريسبي!$C$2:$C$1800,الريسبي!$A$2:$A$1800,$A158,الريسبي!$B$2:$B$1800,G$1)</f>
        <v>0</v>
      </c>
      <c r="H158" s="115" t="n">
        <f aca="false">SUMIFS(الريسبي!$C$2:$C$1800,الريسبي!$A$2:$A$1800,$A158,الريسبي!$B$2:$B$1800,H$1)</f>
        <v>0</v>
      </c>
      <c r="I158" s="115" t="n">
        <f aca="false">SUMIFS(الريسبي!$C$2:$C$1800,الريسبي!$A$2:$A$1800,$A158,الريسبي!$B$2:$B$1800,I$1)</f>
        <v>0</v>
      </c>
      <c r="J158" s="115" t="n">
        <f aca="false">SUMIFS(الريسبي!$C$2:$C$1800,الريسبي!$A$2:$A$1800,$A158,الريسبي!$B$2:$B$1800,J$1)</f>
        <v>0</v>
      </c>
      <c r="K158" s="115" t="n">
        <f aca="false">SUMIFS(الريسبي!$C$2:$C$1800,الريسبي!$A$2:$A$1800,$A158,الريسبي!$B$2:$B$1800,K$1)</f>
        <v>0</v>
      </c>
      <c r="L158" s="115" t="n">
        <f aca="false">SUMIFS(الريسبي!$C$2:$C$1800,الريسبي!$A$2:$A$1800,$A158,الريسبي!$B$2:$B$1800,L$1)</f>
        <v>0</v>
      </c>
      <c r="M158" s="115" t="n">
        <f aca="false">SUMIFS(الريسبي!$C$2:$C$1800,الريسبي!$A$2:$A$1800,$A158,الريسبي!$B$2:$B$1800,M$1)</f>
        <v>0</v>
      </c>
      <c r="N158" s="115" t="n">
        <f aca="false">SUMIFS(الريسبي!$C$2:$C$1800,الريسبي!$A$2:$A$1800,$A158,الريسبي!$B$2:$B$1800,N$1)</f>
        <v>0</v>
      </c>
      <c r="O158" s="115" t="n">
        <f aca="false">SUMIFS(الريسبي!$C$2:$C$1800,الريسبي!$A$2:$A$1800,$A158,الريسبي!$B$2:$B$1800,O$1)</f>
        <v>0</v>
      </c>
      <c r="P158" s="115" t="n">
        <f aca="false">SUMIFS(الريسبي!$C$2:$C$1800,الريسبي!$A$2:$A$1800,$A158,الريسبي!$B$2:$B$1800,P$1)</f>
        <v>0</v>
      </c>
      <c r="Q158" s="115" t="n">
        <f aca="false">SUMIFS(الريسبي!$C$2:$C$1800,الريسبي!$A$2:$A$1800,$A158,الريسبي!$B$2:$B$1800,Q$1)</f>
        <v>0</v>
      </c>
      <c r="R158" s="115" t="n">
        <f aca="false">SUMIFS(الريسبي!$C$2:$C$1800,الريسبي!$A$2:$A$1800,$A158,الريسبي!$B$2:$B$1800,R$1)</f>
        <v>1</v>
      </c>
      <c r="S158" s="115" t="n">
        <f aca="false">SUMIFS(الريسبي!$C$2:$C$1800,الريسبي!$A$2:$A$1800,$A158,الريسبي!$B$2:$B$1800,S$1)</f>
        <v>0</v>
      </c>
      <c r="T158" s="115" t="n">
        <f aca="false">SUMIFS(الريسبي!$C$2:$C$1800,الريسبي!$A$2:$A$1800,$A158,الريسبي!$B$2:$B$1800,T$1)</f>
        <v>0</v>
      </c>
      <c r="U158" s="115" t="n">
        <f aca="false">SUMIFS(الريسبي!$C$2:$C$1800,الريسبي!$A$2:$A$1800,$A158,الريسبي!$B$2:$B$1800,U$1)</f>
        <v>0</v>
      </c>
      <c r="V158" s="115" t="n">
        <f aca="false">SUMIFS(الريسبي!$C$2:$C$1800,الريسبي!$A$2:$A$1800,$A158,الريسبي!$B$2:$B$1800,V$1)</f>
        <v>0</v>
      </c>
      <c r="W158" s="115" t="n">
        <f aca="false">SUMIFS(الريسبي!$C$2:$C$1800,الريسبي!$A$2:$A$1800,$A158,الريسبي!$B$2:$B$1800,W$1)</f>
        <v>0</v>
      </c>
      <c r="X158" s="115" t="n">
        <f aca="false">SUMIFS(الريسبي!$C$2:$C$1800,الريسبي!$A$2:$A$1800,$A158,الريسبي!$B$2:$B$1800,X$1)</f>
        <v>0</v>
      </c>
      <c r="Y158" s="115" t="n">
        <f aca="false">SUMIFS(الريسبي!$C$2:$C$1800,الريسبي!$A$2:$A$1800,$A158,الريسبي!$B$2:$B$1800,Y$1)</f>
        <v>0</v>
      </c>
      <c r="Z158" s="115" t="n">
        <f aca="false">SUMIFS(الريسبي!$C$2:$C$1800,الريسبي!$A$2:$A$1800,$A158,الريسبي!$B$2:$B$1800,Z$1)</f>
        <v>0</v>
      </c>
      <c r="AA158" s="115" t="n">
        <f aca="false">SUMIFS(الريسبي!$C$2:$C$1800,الريسبي!$A$2:$A$1800,$A158,الريسبي!$B$2:$B$1800,AA$1)</f>
        <v>0</v>
      </c>
      <c r="AB158" s="115" t="n">
        <f aca="false">SUMIFS(الريسبي!$C$2:$C$1800,الريسبي!$A$2:$A$1800,$A158,الريسبي!$B$2:$B$1800,AB$1)</f>
        <v>0</v>
      </c>
      <c r="AC158" s="115" t="n">
        <f aca="false">SUMIFS(الريسبي!$C$2:$C$1800,الريسبي!$A$2:$A$1800,$A158,الريسبي!$B$2:$B$1800,AC$1)</f>
        <v>0</v>
      </c>
      <c r="AD158" s="115" t="n">
        <f aca="false">SUMIFS(الريسبي!$C$2:$C$1800,الريسبي!$A$2:$A$1800,$A158,الريسبي!$B$2:$B$1800,AD$1)</f>
        <v>0</v>
      </c>
      <c r="AE158" s="115" t="n">
        <f aca="false">SUMIFS(الريسبي!$C$2:$C$1800,الريسبي!$A$2:$A$1800,$A158,الريسبي!$B$2:$B$1800,AE$1)</f>
        <v>0</v>
      </c>
      <c r="AF158" s="115" t="n">
        <f aca="false">SUMIFS(الريسبي!$C$2:$C$1800,الريسبي!$A$2:$A$1800,$A158,الريسبي!$B$2:$B$1800,AF$1)</f>
        <v>0</v>
      </c>
      <c r="AG158" s="115" t="n">
        <f aca="false">SUMIFS(الريسبي!$C$2:$C$1800,الريسبي!$A$2:$A$1800,$A158,الريسبي!$B$2:$B$1800,AG$1)</f>
        <v>0</v>
      </c>
      <c r="AH158" s="115" t="n">
        <f aca="false">SUMIFS(الريسبي!$C$2:$C$1800,الريسبي!$A$2:$A$1800,$A158,الريسبي!$B$2:$B$1800,AH$1)</f>
        <v>0</v>
      </c>
      <c r="AI158" s="115" t="n">
        <f aca="false">SUMIFS(الريسبي!$C$2:$C$1800,الريسبي!$A$2:$A$1800,$A158,الريسبي!$B$2:$B$1800,AI$1)</f>
        <v>0</v>
      </c>
      <c r="AJ158" s="115" t="n">
        <f aca="false">SUMIFS(الريسبي!$C$2:$C$1800,الريسبي!$A$2:$A$1800,$A158,الريسبي!$B$2:$B$1800,AJ$1)</f>
        <v>0</v>
      </c>
      <c r="AK158" s="115" t="n">
        <f aca="false">SUMIFS(الريسبي!$C$2:$C$1800,الريسبي!$A$2:$A$1800,$A158,الريسبي!$B$2:$B$1800,AK$1)</f>
        <v>0</v>
      </c>
      <c r="AL158" s="115" t="n">
        <f aca="false">SUMIFS(الريسبي!$C$2:$C$1800,الريسبي!$A$2:$A$1800,$A158,الريسبي!$B$2:$B$1800,AL$1)</f>
        <v>0</v>
      </c>
      <c r="AM158" s="115"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15"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15" t="n">
        <f aca="false">SUMIFS(الريسبي!$C$2:$C$1800,الريسبي!$A$2:$A$1800,$A158,الريسبي!$B$2:$B$1800,AO$1)</f>
        <v>0</v>
      </c>
      <c r="AP158" s="115" t="n">
        <f aca="false">SUMIFS(الريسبي!$C$2:$C$1800,الريسبي!$A$2:$A$1800,$A158,الريسبي!$B$2:$B$1800,AP$1)</f>
        <v>0</v>
      </c>
      <c r="AQ158" s="115"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15" t="n">
        <f aca="false">SUMIFS(الريسبي!$C$2:$C$1800,الريسبي!$A$2:$A$1800,$A158,الريسبي!$B$2:$B$1800,AR$1)</f>
        <v>0</v>
      </c>
      <c r="AS158" s="115" t="n">
        <f aca="false">SUMIFS(الريسبي!$C$2:$C$1800,الريسبي!$A$2:$A$1800,$A158,الريسبي!$B$2:$B$1800,AS$1)</f>
        <v>0</v>
      </c>
      <c r="AT158" s="115" t="n">
        <f aca="false">SUMIFS(الريسبي!$C$2:$C$1800,الريسبي!$A$2:$A$1800,$A158,الريسبي!$B$2:$B$1800,AT$1)</f>
        <v>0</v>
      </c>
      <c r="AU158" s="115" t="n">
        <f aca="false">SUMIFS(الريسبي!$C$2:$C$1800,الريسبي!$A$2:$A$1800,$A158,الريسبي!$B$2:$B$1800,AU$1)</f>
        <v>0</v>
      </c>
      <c r="AV158" s="115" t="n">
        <f aca="false">SUMIFS(الريسبي!$C$2:$C$1800,الريسبي!$A$2:$A$1800,$A158,الريسبي!$B$2:$B$1800,AV$1)</f>
        <v>0</v>
      </c>
      <c r="AW158" s="115" t="n">
        <f aca="false">SUMIFS(الريسبي!$C$2:$C$1800,الريسبي!$A$2:$A$1800,$A158,الريسبي!$B$2:$B$1800,AW$1)</f>
        <v>0</v>
      </c>
      <c r="AX158" s="115" t="n">
        <f aca="false">SUMIFS(الريسبي!$C$2:$C$1800,الريسبي!$A$2:$A$1800,$A158,الريسبي!$B$2:$B$1800,AX$1)</f>
        <v>0</v>
      </c>
      <c r="AY158" s="115" t="n">
        <f aca="false">SUMIFS(الريسبي!$C$2:$C$1800,الريسبي!$A$2:$A$1800,$A158,الريسبي!$B$2:$B$1800,AY$1)</f>
        <v>0</v>
      </c>
      <c r="AZ158" s="115" t="n">
        <f aca="false">SUMIFS(الريسبي!$C$2:$C$1800,الريسبي!$A$2:$A$1800,$A158,الريسبي!$B$2:$B$1800,AZ$1)</f>
        <v>0</v>
      </c>
      <c r="BA158" s="115" t="n">
        <f aca="false">SUMIFS(الريسبي!$C$2:$C$1800,الريسبي!$A$2:$A$1800,$A158,الريسبي!$B$2:$B$1800,BA$1)</f>
        <v>0</v>
      </c>
      <c r="BB158" s="115" t="n">
        <f aca="false">SUMIFS(الريسبي!$C$2:$C$1800,الريسبي!$A$2:$A$1800,$A158,الريسبي!$B$2:$B$1800,BB$1)</f>
        <v>0</v>
      </c>
      <c r="BC158" s="115" t="n">
        <f aca="false">SUMIFS(الريسبي!$C$2:$C$1800,الريسبي!$A$2:$A$1800,$A158,الريسبي!$B$2:$B$1800,BC$1)</f>
        <v>0</v>
      </c>
      <c r="BD158" s="115" t="n">
        <f aca="false">SUMIFS(الريسبي!$C$2:$C$1800,الريسبي!$A$2:$A$1800,$A158,الريسبي!$B$2:$B$1800,BD$1)</f>
        <v>0</v>
      </c>
      <c r="BE158" s="115" t="n">
        <f aca="false">SUMIFS(الريسبي!$C$2:$C$1800,الريسبي!$A$2:$A$1800,$A158,الريسبي!$B$2:$B$1800,BE$1)</f>
        <v>0</v>
      </c>
      <c r="BF158" s="115" t="n">
        <f aca="false">SUMIFS(الريسبي!$C$2:$C$1800,الريسبي!$A$2:$A$1800,$A158,الريسبي!$B$2:$B$1800,BF$1)</f>
        <v>0</v>
      </c>
      <c r="BG158" s="115" t="n">
        <f aca="false">SUMIFS(الريسبي!$C$2:$C$1800,الريسبي!$A$2:$A$1800,$A158,الريسبي!$B$2:$B$1800,BG$1)</f>
        <v>0</v>
      </c>
      <c r="BH158" s="115" t="n">
        <f aca="false">SUMIFS(الريسبي!$C$2:$C$1800,الريسبي!$A$2:$A$1800,$A158,الريسبي!$B$2:$B$1800,BH$1)</f>
        <v>0</v>
      </c>
      <c r="BI158" s="115" t="n">
        <f aca="false">SUMIFS(الريسبي!$C$2:$C$1800,الريسبي!$A$2:$A$1800,$A158,الريسبي!$B$2:$B$1800,BI$1)</f>
        <v>0</v>
      </c>
      <c r="BJ158" s="115" t="n">
        <f aca="false">SUMIFS(الريسبي!$C$2:$C$1800,الريسبي!$A$2:$A$1800,$A158,الريسبي!$B$2:$B$1800,BJ$1)</f>
        <v>0</v>
      </c>
      <c r="BK158" s="115" t="n">
        <f aca="false">SUMIFS(الريسبي!$C$2:$C$1800,الريسبي!$A$2:$A$1800,$A158,الريسبي!$B$2:$B$1800,BK$1)</f>
        <v>0</v>
      </c>
      <c r="BL158" s="115" t="n">
        <f aca="false">SUMIFS(الريسبي!$C$2:$C$1800,الريسبي!$A$2:$A$1800,$A158,الريسبي!$B$2:$B$1800,BL$1)</f>
        <v>0</v>
      </c>
      <c r="BM158" s="115" t="n">
        <f aca="false">SUMIFS(الريسبي!$C$2:$C$1800,الريسبي!$A$2:$A$1800,$A158,الريسبي!$B$2:$B$1800,BM$1)</f>
        <v>0</v>
      </c>
      <c r="BN158" s="115" t="n">
        <f aca="false">SUMIFS(الريسبي!$C$2:$C$1800,الريسبي!$A$2:$A$1800,$A158,الريسبي!$B$2:$B$1800,BN$1)</f>
        <v>0</v>
      </c>
      <c r="BO158" s="115" t="n">
        <f aca="false">SUMIFS(الريسبي!$C$2:$C$1800,الريسبي!$A$2:$A$1800,$A158,الريسبي!$B$2:$B$1800,BO$1)</f>
        <v>0</v>
      </c>
      <c r="BP158" s="115" t="n">
        <f aca="false">SUMIFS(الريسبي!$C$2:$C$1800,الريسبي!$A$2:$A$1800,$A158,الريسبي!$B$2:$B$1800,BP$1)</f>
        <v>0</v>
      </c>
      <c r="BQ158" s="115"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15" t="n">
        <f aca="false">SUMIFS(الريسبي!$C$2:$C$1800,الريسبي!$A$2:$A$1800,$A158,الريسبي!$B$2:$B$1800,BR$1)</f>
        <v>0</v>
      </c>
      <c r="BS158" s="115" t="n">
        <f aca="false">SUMIFS(الريسبي!$C$2:$C$1800,الريسبي!$A$2:$A$1800,$A158,الريسبي!$B$2:$B$1800,BS$1)</f>
        <v>0</v>
      </c>
      <c r="BT158" s="115" t="n">
        <f aca="false">SUMIFS(الريسبي!$C$2:$C$1800,الريسبي!$A$2:$A$1800,$A158,الريسبي!$B$2:$B$1800,BT$1)</f>
        <v>0</v>
      </c>
      <c r="BU158" s="115"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15" t="n">
        <f aca="false">SUMIFS(الريسبي!$C$2:$C$1800,الريسبي!$A$2:$A$1800,$A158,الريسبي!$B$2:$B$1800,BV$1)</f>
        <v>0</v>
      </c>
      <c r="BW158" s="115" t="n">
        <f aca="false">SUMIFS(الريسبي!$C$2:$C$1800,الريسبي!$A$2:$A$1800,$A158,الريسبي!$B$2:$B$1800,BW$1)</f>
        <v>0</v>
      </c>
      <c r="BX158" s="115" t="n">
        <f aca="false">SUMIFS(الريسبي!$C$2:$C$1800,الريسبي!$A$2:$A$1800,$A158,الريسبي!$B$2:$B$1800,BX$1)</f>
        <v>0</v>
      </c>
      <c r="BY158" s="115" t="n">
        <f aca="false">SUMIFS(الريسبي!$C$2:$C$1800,الريسبي!$A$2:$A$1800,$A158,الريسبي!$B$2:$B$1800,BY$1)</f>
        <v>0</v>
      </c>
      <c r="BZ158" s="115" t="n">
        <f aca="false">SUMIFS(الريسبي!$C$2:$C$1800,الريسبي!$A$2:$A$1800,$A158,الريسبي!$B$2:$B$1800,BZ$1)</f>
        <v>0</v>
      </c>
      <c r="CA158" s="115" t="n">
        <f aca="false">SUMIFS(الريسبي!$C$2:$C$1800,الريسبي!$A$2:$A$1800,$A158,الريسبي!$B$2:$B$1800,CA$1)</f>
        <v>0</v>
      </c>
      <c r="CB158" s="115" t="n">
        <f aca="false">SUMIFS(الريسبي!$C$2:$C$1800,الريسبي!$A$2:$A$1800,$A158,الريسبي!$B$2:$B$1800,CB$1)</f>
        <v>0</v>
      </c>
      <c r="CC158" s="115" t="n">
        <f aca="false">SUMIFS(الريسبي!$C$2:$C$1800,الريسبي!$A$2:$A$1800,$A158,الريسبي!$B$2:$B$1800,CC$1)</f>
        <v>0</v>
      </c>
      <c r="CD158" s="115" t="n">
        <f aca="false">SUMIFS(الريسبي!$C$2:$C$1800,الريسبي!$A$2:$A$1800,$A158,الريسبي!$B$2:$B$1800,CD$1)</f>
        <v>0</v>
      </c>
      <c r="CE158" s="115" t="n">
        <f aca="false">SUMIFS(الريسبي!$C$2:$C$1800,الريسبي!$A$2:$A$1800,$A158,الريسبي!$B$2:$B$1800,CE$1)</f>
        <v>0</v>
      </c>
      <c r="CF158" s="115" t="n">
        <f aca="false">SUMIFS(الريسبي!$C$2:$C$1800,الريسبي!$A$2:$A$1800,$A158,الريسبي!$B$2:$B$1800,CF$1)</f>
        <v>0</v>
      </c>
      <c r="CG158" s="115" t="n">
        <f aca="false">SUMIFS(الريسبي!$C$2:$C$1800,الريسبي!$A$2:$A$1800,$A158,الريسبي!$B$2:$B$1800,CG$1)</f>
        <v>0</v>
      </c>
      <c r="CH158" s="115" t="n">
        <f aca="false">SUMIFS(الريسبي!$C$2:$C$1800,الريسبي!$A$2:$A$1800,$A158,الريسبي!$B$2:$B$1800,CH$1)</f>
        <v>0</v>
      </c>
    </row>
    <row r="159" customFormat="false" ht="15" hidden="false" customHeight="false" outlineLevel="0" collapsed="false">
      <c r="A159" s="114" t="str">
        <f aca="false">المنيو!B159</f>
        <v>اضافة مشروم (بيتزا وسط)</v>
      </c>
      <c r="B159" s="115" t="n">
        <f aca="false">SUMIFS(الريسبي!$C$2:$C$1800,الريسبي!$A$2:$A$1800,$A159,الريسبي!$B$2:$B$1800,B$1)</f>
        <v>0</v>
      </c>
      <c r="C159" s="115" t="n">
        <f aca="false">SUMIFS(الريسبي!$C$2:$C$1800,الريسبي!$A$2:$A$1800,$A159,الريسبي!$B$2:$B$1800,C$1)</f>
        <v>0</v>
      </c>
      <c r="D159" s="115" t="n">
        <f aca="false">SUMIFS(الريسبي!$C$2:$C$1800,الريسبي!$A$2:$A$1800,$A159,الريسبي!$B$2:$B$1800,D$1)</f>
        <v>0</v>
      </c>
      <c r="E159" s="115" t="n">
        <f aca="false">SUMIFS(الريسبي!$C$2:$C$1800,الريسبي!$A$2:$A$1800,$A159,الريسبي!$B$2:$B$1800,E$1)</f>
        <v>0</v>
      </c>
      <c r="F159" s="115" t="n">
        <f aca="false">SUMIFS(الريسبي!$C$2:$C$1800,الريسبي!$A$2:$A$1800,$A159,الريسبي!$B$2:$B$1800,F$1)</f>
        <v>0</v>
      </c>
      <c r="G159" s="115" t="n">
        <f aca="false">SUMIFS(الريسبي!$C$2:$C$1800,الريسبي!$A$2:$A$1800,$A159,الريسبي!$B$2:$B$1800,G$1)</f>
        <v>0</v>
      </c>
      <c r="H159" s="115" t="n">
        <f aca="false">SUMIFS(الريسبي!$C$2:$C$1800,الريسبي!$A$2:$A$1800,$A159,الريسبي!$B$2:$B$1800,H$1)</f>
        <v>0</v>
      </c>
      <c r="I159" s="115" t="n">
        <f aca="false">SUMIFS(الريسبي!$C$2:$C$1800,الريسبي!$A$2:$A$1800,$A159,الريسبي!$B$2:$B$1800,I$1)</f>
        <v>0</v>
      </c>
      <c r="J159" s="115" t="n">
        <f aca="false">SUMIFS(الريسبي!$C$2:$C$1800,الريسبي!$A$2:$A$1800,$A159,الريسبي!$B$2:$B$1800,J$1)</f>
        <v>0</v>
      </c>
      <c r="K159" s="115" t="n">
        <f aca="false">SUMIFS(الريسبي!$C$2:$C$1800,الريسبي!$A$2:$A$1800,$A159,الريسبي!$B$2:$B$1800,K$1)</f>
        <v>0</v>
      </c>
      <c r="L159" s="115" t="n">
        <f aca="false">SUMIFS(الريسبي!$C$2:$C$1800,الريسبي!$A$2:$A$1800,$A159,الريسبي!$B$2:$B$1800,L$1)</f>
        <v>0</v>
      </c>
      <c r="M159" s="115" t="n">
        <f aca="false">SUMIFS(الريسبي!$C$2:$C$1800,الريسبي!$A$2:$A$1800,$A159,الريسبي!$B$2:$B$1800,M$1)</f>
        <v>0</v>
      </c>
      <c r="N159" s="115" t="n">
        <f aca="false">SUMIFS(الريسبي!$C$2:$C$1800,الريسبي!$A$2:$A$1800,$A159,الريسبي!$B$2:$B$1800,N$1)</f>
        <v>0</v>
      </c>
      <c r="O159" s="115" t="n">
        <f aca="false">SUMIFS(الريسبي!$C$2:$C$1800,الريسبي!$A$2:$A$1800,$A159,الريسبي!$B$2:$B$1800,O$1)</f>
        <v>0</v>
      </c>
      <c r="P159" s="115" t="n">
        <f aca="false">SUMIFS(الريسبي!$C$2:$C$1800,الريسبي!$A$2:$A$1800,$A159,الريسبي!$B$2:$B$1800,P$1)</f>
        <v>0</v>
      </c>
      <c r="Q159" s="115" t="n">
        <f aca="false">SUMIFS(الريسبي!$C$2:$C$1800,الريسبي!$A$2:$A$1800,$A159,الريسبي!$B$2:$B$1800,Q$1)</f>
        <v>0</v>
      </c>
      <c r="R159" s="115" t="n">
        <f aca="false">SUMIFS(الريسبي!$C$2:$C$1800,الريسبي!$A$2:$A$1800,$A159,الريسبي!$B$2:$B$1800,R$1)</f>
        <v>0</v>
      </c>
      <c r="S159" s="115" t="n">
        <f aca="false">SUMIFS(الريسبي!$C$2:$C$1800,الريسبي!$A$2:$A$1800,$A159,الريسبي!$B$2:$B$1800,S$1)</f>
        <v>0</v>
      </c>
      <c r="T159" s="115" t="n">
        <f aca="false">SUMIFS(الريسبي!$C$2:$C$1800,الريسبي!$A$2:$A$1800,$A159,الريسبي!$B$2:$B$1800,T$1)</f>
        <v>0</v>
      </c>
      <c r="U159" s="115" t="n">
        <f aca="false">SUMIFS(الريسبي!$C$2:$C$1800,الريسبي!$A$2:$A$1800,$A159,الريسبي!$B$2:$B$1800,U$1)</f>
        <v>0</v>
      </c>
      <c r="V159" s="115" t="n">
        <f aca="false">SUMIFS(الريسبي!$C$2:$C$1800,الريسبي!$A$2:$A$1800,$A159,الريسبي!$B$2:$B$1800,V$1)</f>
        <v>0</v>
      </c>
      <c r="W159" s="115" t="n">
        <f aca="false">SUMIFS(الريسبي!$C$2:$C$1800,الريسبي!$A$2:$A$1800,$A159,الريسبي!$B$2:$B$1800,W$1)</f>
        <v>0</v>
      </c>
      <c r="X159" s="115" t="n">
        <f aca="false">SUMIFS(الريسبي!$C$2:$C$1800,الريسبي!$A$2:$A$1800,$A159,الريسبي!$B$2:$B$1800,X$1)</f>
        <v>0</v>
      </c>
      <c r="Y159" s="115" t="n">
        <f aca="false">SUMIFS(الريسبي!$C$2:$C$1800,الريسبي!$A$2:$A$1800,$A159,الريسبي!$B$2:$B$1800,Y$1)</f>
        <v>0</v>
      </c>
      <c r="Z159" s="115" t="n">
        <f aca="false">SUMIFS(الريسبي!$C$2:$C$1800,الريسبي!$A$2:$A$1800,$A159,الريسبي!$B$2:$B$1800,Z$1)</f>
        <v>0</v>
      </c>
      <c r="AA159" s="115" t="n">
        <f aca="false">SUMIFS(الريسبي!$C$2:$C$1800,الريسبي!$A$2:$A$1800,$A159,الريسبي!$B$2:$B$1800,AA$1)</f>
        <v>0</v>
      </c>
      <c r="AB159" s="115" t="n">
        <f aca="false">SUMIFS(الريسبي!$C$2:$C$1800,الريسبي!$A$2:$A$1800,$A159,الريسبي!$B$2:$B$1800,AB$1)</f>
        <v>0</v>
      </c>
      <c r="AC159" s="115" t="n">
        <f aca="false">SUMIFS(الريسبي!$C$2:$C$1800,الريسبي!$A$2:$A$1800,$A159,الريسبي!$B$2:$B$1800,AC$1)</f>
        <v>0</v>
      </c>
      <c r="AD159" s="115" t="n">
        <f aca="false">SUMIFS(الريسبي!$C$2:$C$1800,الريسبي!$A$2:$A$1800,$A159,الريسبي!$B$2:$B$1800,AD$1)</f>
        <v>0</v>
      </c>
      <c r="AE159" s="115" t="n">
        <f aca="false">SUMIFS(الريسبي!$C$2:$C$1800,الريسبي!$A$2:$A$1800,$A159,الريسبي!$B$2:$B$1800,AE$1)</f>
        <v>0</v>
      </c>
      <c r="AF159" s="115" t="n">
        <f aca="false">SUMIFS(الريسبي!$C$2:$C$1800,الريسبي!$A$2:$A$1800,$A159,الريسبي!$B$2:$B$1800,AF$1)</f>
        <v>0</v>
      </c>
      <c r="AG159" s="115" t="n">
        <f aca="false">SUMIFS(الريسبي!$C$2:$C$1800,الريسبي!$A$2:$A$1800,$A159,الريسبي!$B$2:$B$1800,AG$1)</f>
        <v>0</v>
      </c>
      <c r="AH159" s="115" t="n">
        <f aca="false">SUMIFS(الريسبي!$C$2:$C$1800,الريسبي!$A$2:$A$1800,$A159,الريسبي!$B$2:$B$1800,AH$1)</f>
        <v>0</v>
      </c>
      <c r="AI159" s="115" t="n">
        <f aca="false">SUMIFS(الريسبي!$C$2:$C$1800,الريسبي!$A$2:$A$1800,$A159,الريسبي!$B$2:$B$1800,AI$1)</f>
        <v>0</v>
      </c>
      <c r="AJ159" s="115" t="n">
        <f aca="false">SUMIFS(الريسبي!$C$2:$C$1800,الريسبي!$A$2:$A$1800,$A159,الريسبي!$B$2:$B$1800,AJ$1)</f>
        <v>0</v>
      </c>
      <c r="AK159" s="115" t="n">
        <f aca="false">SUMIFS(الريسبي!$C$2:$C$1800,الريسبي!$A$2:$A$1800,$A159,الريسبي!$B$2:$B$1800,AK$1)</f>
        <v>0</v>
      </c>
      <c r="AL159" s="115" t="n">
        <f aca="false">SUMIFS(الريسبي!$C$2:$C$1800,الريسبي!$A$2:$A$1800,$A159,الريسبي!$B$2:$B$1800,AL$1)</f>
        <v>0</v>
      </c>
      <c r="AM159" s="115"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15"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15" t="n">
        <f aca="false">SUMIFS(الريسبي!$C$2:$C$1800,الريسبي!$A$2:$A$1800,$A159,الريسبي!$B$2:$B$1800,AO$1)</f>
        <v>0</v>
      </c>
      <c r="AP159" s="115" t="n">
        <f aca="false">SUMIFS(الريسبي!$C$2:$C$1800,الريسبي!$A$2:$A$1800,$A159,الريسبي!$B$2:$B$1800,AP$1)</f>
        <v>0</v>
      </c>
      <c r="AQ159" s="115"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15" t="n">
        <f aca="false">SUMIFS(الريسبي!$C$2:$C$1800,الريسبي!$A$2:$A$1800,$A159,الريسبي!$B$2:$B$1800,AR$1)</f>
        <v>0</v>
      </c>
      <c r="AS159" s="115" t="n">
        <f aca="false">SUMIFS(الريسبي!$C$2:$C$1800,الريسبي!$A$2:$A$1800,$A159,الريسبي!$B$2:$B$1800,AS$1)</f>
        <v>0</v>
      </c>
      <c r="AT159" s="115" t="n">
        <f aca="false">SUMIFS(الريسبي!$C$2:$C$1800,الريسبي!$A$2:$A$1800,$A159,الريسبي!$B$2:$B$1800,AT$1)</f>
        <v>0</v>
      </c>
      <c r="AU159" s="115" t="n">
        <f aca="false">SUMIFS(الريسبي!$C$2:$C$1800,الريسبي!$A$2:$A$1800,$A159,الريسبي!$B$2:$B$1800,AU$1)</f>
        <v>0</v>
      </c>
      <c r="AV159" s="115" t="n">
        <f aca="false">SUMIFS(الريسبي!$C$2:$C$1800,الريسبي!$A$2:$A$1800,$A159,الريسبي!$B$2:$B$1800,AV$1)</f>
        <v>0</v>
      </c>
      <c r="AW159" s="115" t="n">
        <f aca="false">SUMIFS(الريسبي!$C$2:$C$1800,الريسبي!$A$2:$A$1800,$A159,الريسبي!$B$2:$B$1800,AW$1)</f>
        <v>0</v>
      </c>
      <c r="AX159" s="115" t="n">
        <f aca="false">SUMIFS(الريسبي!$C$2:$C$1800,الريسبي!$A$2:$A$1800,$A159,الريسبي!$B$2:$B$1800,AX$1)</f>
        <v>0</v>
      </c>
      <c r="AY159" s="115" t="n">
        <f aca="false">SUMIFS(الريسبي!$C$2:$C$1800,الريسبي!$A$2:$A$1800,$A159,الريسبي!$B$2:$B$1800,AY$1)</f>
        <v>0</v>
      </c>
      <c r="AZ159" s="115" t="n">
        <f aca="false">SUMIFS(الريسبي!$C$2:$C$1800,الريسبي!$A$2:$A$1800,$A159,الريسبي!$B$2:$B$1800,AZ$1)</f>
        <v>0</v>
      </c>
      <c r="BA159" s="115" t="n">
        <f aca="false">SUMIFS(الريسبي!$C$2:$C$1800,الريسبي!$A$2:$A$1800,$A159,الريسبي!$B$2:$B$1800,BA$1)</f>
        <v>0</v>
      </c>
      <c r="BB159" s="115" t="n">
        <f aca="false">SUMIFS(الريسبي!$C$2:$C$1800,الريسبي!$A$2:$A$1800,$A159,الريسبي!$B$2:$B$1800,BB$1)</f>
        <v>0</v>
      </c>
      <c r="BC159" s="115" t="n">
        <f aca="false">SUMIFS(الريسبي!$C$2:$C$1800,الريسبي!$A$2:$A$1800,$A159,الريسبي!$B$2:$B$1800,BC$1)</f>
        <v>0</v>
      </c>
      <c r="BD159" s="115" t="n">
        <f aca="false">SUMIFS(الريسبي!$C$2:$C$1800,الريسبي!$A$2:$A$1800,$A159,الريسبي!$B$2:$B$1800,BD$1)</f>
        <v>0</v>
      </c>
      <c r="BE159" s="115" t="n">
        <f aca="false">SUMIFS(الريسبي!$C$2:$C$1800,الريسبي!$A$2:$A$1800,$A159,الريسبي!$B$2:$B$1800,BE$1)</f>
        <v>0</v>
      </c>
      <c r="BF159" s="115" t="n">
        <f aca="false">SUMIFS(الريسبي!$C$2:$C$1800,الريسبي!$A$2:$A$1800,$A159,الريسبي!$B$2:$B$1800,BF$1)</f>
        <v>0</v>
      </c>
      <c r="BG159" s="115" t="n">
        <f aca="false">SUMIFS(الريسبي!$C$2:$C$1800,الريسبي!$A$2:$A$1800,$A159,الريسبي!$B$2:$B$1800,BG$1)</f>
        <v>0</v>
      </c>
      <c r="BH159" s="115" t="n">
        <f aca="false">SUMIFS(الريسبي!$C$2:$C$1800,الريسبي!$A$2:$A$1800,$A159,الريسبي!$B$2:$B$1800,BH$1)</f>
        <v>0</v>
      </c>
      <c r="BI159" s="115" t="n">
        <f aca="false">SUMIFS(الريسبي!$C$2:$C$1800,الريسبي!$A$2:$A$1800,$A159,الريسبي!$B$2:$B$1800,BI$1)</f>
        <v>0</v>
      </c>
      <c r="BJ159" s="115" t="n">
        <f aca="false">SUMIFS(الريسبي!$C$2:$C$1800,الريسبي!$A$2:$A$1800,$A159,الريسبي!$B$2:$B$1800,BJ$1)</f>
        <v>0</v>
      </c>
      <c r="BK159" s="115" t="n">
        <f aca="false">SUMIFS(الريسبي!$C$2:$C$1800,الريسبي!$A$2:$A$1800,$A159,الريسبي!$B$2:$B$1800,BK$1)</f>
        <v>0</v>
      </c>
      <c r="BL159" s="115" t="n">
        <f aca="false">SUMIFS(الريسبي!$C$2:$C$1800,الريسبي!$A$2:$A$1800,$A159,الريسبي!$B$2:$B$1800,BL$1)</f>
        <v>0</v>
      </c>
      <c r="BM159" s="115" t="n">
        <f aca="false">SUMIFS(الريسبي!$C$2:$C$1800,الريسبي!$A$2:$A$1800,$A159,الريسبي!$B$2:$B$1800,BM$1)</f>
        <v>0</v>
      </c>
      <c r="BN159" s="115" t="n">
        <f aca="false">SUMIFS(الريسبي!$C$2:$C$1800,الريسبي!$A$2:$A$1800,$A159,الريسبي!$B$2:$B$1800,BN$1)</f>
        <v>0</v>
      </c>
      <c r="BO159" s="115" t="n">
        <f aca="false">SUMIFS(الريسبي!$C$2:$C$1800,الريسبي!$A$2:$A$1800,$A159,الريسبي!$B$2:$B$1800,BO$1)</f>
        <v>0</v>
      </c>
      <c r="BP159" s="115" t="n">
        <f aca="false">SUMIFS(الريسبي!$C$2:$C$1800,الريسبي!$A$2:$A$1800,$A159,الريسبي!$B$2:$B$1800,BP$1)</f>
        <v>0</v>
      </c>
      <c r="BQ159" s="115"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15" t="n">
        <f aca="false">SUMIFS(الريسبي!$C$2:$C$1800,الريسبي!$A$2:$A$1800,$A159,الريسبي!$B$2:$B$1800,BR$1)</f>
        <v>0</v>
      </c>
      <c r="BS159" s="115" t="n">
        <f aca="false">SUMIFS(الريسبي!$C$2:$C$1800,الريسبي!$A$2:$A$1800,$A159,الريسبي!$B$2:$B$1800,BS$1)</f>
        <v>0</v>
      </c>
      <c r="BT159" s="115" t="n">
        <f aca="false">SUMIFS(الريسبي!$C$2:$C$1800,الريسبي!$A$2:$A$1800,$A159,الريسبي!$B$2:$B$1800,BT$1)</f>
        <v>0</v>
      </c>
      <c r="BU159" s="115"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15" t="n">
        <f aca="false">SUMIFS(الريسبي!$C$2:$C$1800,الريسبي!$A$2:$A$1800,$A159,الريسبي!$B$2:$B$1800,BV$1)</f>
        <v>0</v>
      </c>
      <c r="BW159" s="115" t="n">
        <f aca="false">SUMIFS(الريسبي!$C$2:$C$1800,الريسبي!$A$2:$A$1800,$A159,الريسبي!$B$2:$B$1800,BW$1)</f>
        <v>0.06</v>
      </c>
      <c r="BX159" s="115" t="n">
        <f aca="false">SUMIFS(الريسبي!$C$2:$C$1800,الريسبي!$A$2:$A$1800,$A159,الريسبي!$B$2:$B$1800,BX$1)</f>
        <v>0</v>
      </c>
      <c r="BY159" s="115" t="n">
        <f aca="false">SUMIFS(الريسبي!$C$2:$C$1800,الريسبي!$A$2:$A$1800,$A159,الريسبي!$B$2:$B$1800,BY$1)</f>
        <v>0</v>
      </c>
      <c r="BZ159" s="115" t="n">
        <f aca="false">SUMIFS(الريسبي!$C$2:$C$1800,الريسبي!$A$2:$A$1800,$A159,الريسبي!$B$2:$B$1800,BZ$1)</f>
        <v>0</v>
      </c>
      <c r="CA159" s="115" t="n">
        <f aca="false">SUMIFS(الريسبي!$C$2:$C$1800,الريسبي!$A$2:$A$1800,$A159,الريسبي!$B$2:$B$1800,CA$1)</f>
        <v>0</v>
      </c>
      <c r="CB159" s="115" t="n">
        <f aca="false">SUMIFS(الريسبي!$C$2:$C$1800,الريسبي!$A$2:$A$1800,$A159,الريسبي!$B$2:$B$1800,CB$1)</f>
        <v>0</v>
      </c>
      <c r="CC159" s="115" t="n">
        <f aca="false">SUMIFS(الريسبي!$C$2:$C$1800,الريسبي!$A$2:$A$1800,$A159,الريسبي!$B$2:$B$1800,CC$1)</f>
        <v>0</v>
      </c>
      <c r="CD159" s="115" t="n">
        <f aca="false">SUMIFS(الريسبي!$C$2:$C$1800,الريسبي!$A$2:$A$1800,$A159,الريسبي!$B$2:$B$1800,CD$1)</f>
        <v>0</v>
      </c>
      <c r="CE159" s="115" t="n">
        <f aca="false">SUMIFS(الريسبي!$C$2:$C$1800,الريسبي!$A$2:$A$1800,$A159,الريسبي!$B$2:$B$1800,CE$1)</f>
        <v>0</v>
      </c>
      <c r="CF159" s="115" t="n">
        <f aca="false">SUMIFS(الريسبي!$C$2:$C$1800,الريسبي!$A$2:$A$1800,$A159,الريسبي!$B$2:$B$1800,CF$1)</f>
        <v>0</v>
      </c>
      <c r="CG159" s="115" t="n">
        <f aca="false">SUMIFS(الريسبي!$C$2:$C$1800,الريسبي!$A$2:$A$1800,$A159,الريسبي!$B$2:$B$1800,CG$1)</f>
        <v>0</v>
      </c>
      <c r="CH159" s="115" t="n">
        <f aca="false">SUMIFS(الريسبي!$C$2:$C$1800,الريسبي!$A$2:$A$1800,$A159,الريسبي!$B$2:$B$1800,CH$1)</f>
        <v>0</v>
      </c>
    </row>
    <row r="160" customFormat="false" ht="15" hidden="false" customHeight="false" outlineLevel="0" collapsed="false">
      <c r="A160" s="114" t="str">
        <f aca="false">المنيو!B160</f>
        <v>اضافة مشروم (بيتزا كبير)</v>
      </c>
      <c r="B160" s="115" t="n">
        <f aca="false">SUMIFS(الريسبي!$C$2:$C$1800,الريسبي!$A$2:$A$1800,$A160,الريسبي!$B$2:$B$1800,B$1)</f>
        <v>0</v>
      </c>
      <c r="C160" s="115" t="n">
        <f aca="false">SUMIFS(الريسبي!$C$2:$C$1800,الريسبي!$A$2:$A$1800,$A160,الريسبي!$B$2:$B$1800,C$1)</f>
        <v>0</v>
      </c>
      <c r="D160" s="115" t="n">
        <f aca="false">SUMIFS(الريسبي!$C$2:$C$1800,الريسبي!$A$2:$A$1800,$A160,الريسبي!$B$2:$B$1800,D$1)</f>
        <v>0</v>
      </c>
      <c r="E160" s="115" t="n">
        <f aca="false">SUMIFS(الريسبي!$C$2:$C$1800,الريسبي!$A$2:$A$1800,$A160,الريسبي!$B$2:$B$1800,E$1)</f>
        <v>0</v>
      </c>
      <c r="F160" s="115" t="n">
        <f aca="false">SUMIFS(الريسبي!$C$2:$C$1800,الريسبي!$A$2:$A$1800,$A160,الريسبي!$B$2:$B$1800,F$1)</f>
        <v>0</v>
      </c>
      <c r="G160" s="115" t="n">
        <f aca="false">SUMIFS(الريسبي!$C$2:$C$1800,الريسبي!$A$2:$A$1800,$A160,الريسبي!$B$2:$B$1800,G$1)</f>
        <v>0</v>
      </c>
      <c r="H160" s="115" t="n">
        <f aca="false">SUMIFS(الريسبي!$C$2:$C$1800,الريسبي!$A$2:$A$1800,$A160,الريسبي!$B$2:$B$1800,H$1)</f>
        <v>0</v>
      </c>
      <c r="I160" s="115" t="n">
        <f aca="false">SUMIFS(الريسبي!$C$2:$C$1800,الريسبي!$A$2:$A$1800,$A160,الريسبي!$B$2:$B$1800,I$1)</f>
        <v>0</v>
      </c>
      <c r="J160" s="115" t="n">
        <f aca="false">SUMIFS(الريسبي!$C$2:$C$1800,الريسبي!$A$2:$A$1800,$A160,الريسبي!$B$2:$B$1800,J$1)</f>
        <v>0</v>
      </c>
      <c r="K160" s="115" t="n">
        <f aca="false">SUMIFS(الريسبي!$C$2:$C$1800,الريسبي!$A$2:$A$1800,$A160,الريسبي!$B$2:$B$1800,K$1)</f>
        <v>0</v>
      </c>
      <c r="L160" s="115" t="n">
        <f aca="false">SUMIFS(الريسبي!$C$2:$C$1800,الريسبي!$A$2:$A$1800,$A160,الريسبي!$B$2:$B$1800,L$1)</f>
        <v>0</v>
      </c>
      <c r="M160" s="115" t="n">
        <f aca="false">SUMIFS(الريسبي!$C$2:$C$1800,الريسبي!$A$2:$A$1800,$A160,الريسبي!$B$2:$B$1800,M$1)</f>
        <v>0</v>
      </c>
      <c r="N160" s="115" t="n">
        <f aca="false">SUMIFS(الريسبي!$C$2:$C$1800,الريسبي!$A$2:$A$1800,$A160,الريسبي!$B$2:$B$1800,N$1)</f>
        <v>0</v>
      </c>
      <c r="O160" s="115" t="n">
        <f aca="false">SUMIFS(الريسبي!$C$2:$C$1800,الريسبي!$A$2:$A$1800,$A160,الريسبي!$B$2:$B$1800,O$1)</f>
        <v>0</v>
      </c>
      <c r="P160" s="115" t="n">
        <f aca="false">SUMIFS(الريسبي!$C$2:$C$1800,الريسبي!$A$2:$A$1800,$A160,الريسبي!$B$2:$B$1800,P$1)</f>
        <v>0</v>
      </c>
      <c r="Q160" s="115" t="n">
        <f aca="false">SUMIFS(الريسبي!$C$2:$C$1800,الريسبي!$A$2:$A$1800,$A160,الريسبي!$B$2:$B$1800,Q$1)</f>
        <v>0</v>
      </c>
      <c r="R160" s="115" t="n">
        <f aca="false">SUMIFS(الريسبي!$C$2:$C$1800,الريسبي!$A$2:$A$1800,$A160,الريسبي!$B$2:$B$1800,R$1)</f>
        <v>0</v>
      </c>
      <c r="S160" s="115" t="n">
        <f aca="false">SUMIFS(الريسبي!$C$2:$C$1800,الريسبي!$A$2:$A$1800,$A160,الريسبي!$B$2:$B$1800,S$1)</f>
        <v>0</v>
      </c>
      <c r="T160" s="115" t="n">
        <f aca="false">SUMIFS(الريسبي!$C$2:$C$1800,الريسبي!$A$2:$A$1800,$A160,الريسبي!$B$2:$B$1800,T$1)</f>
        <v>0</v>
      </c>
      <c r="U160" s="115" t="n">
        <f aca="false">SUMIFS(الريسبي!$C$2:$C$1800,الريسبي!$A$2:$A$1800,$A160,الريسبي!$B$2:$B$1800,U$1)</f>
        <v>0</v>
      </c>
      <c r="V160" s="115" t="n">
        <f aca="false">SUMIFS(الريسبي!$C$2:$C$1800,الريسبي!$A$2:$A$1800,$A160,الريسبي!$B$2:$B$1800,V$1)</f>
        <v>0</v>
      </c>
      <c r="W160" s="115" t="n">
        <f aca="false">SUMIFS(الريسبي!$C$2:$C$1800,الريسبي!$A$2:$A$1800,$A160,الريسبي!$B$2:$B$1800,W$1)</f>
        <v>0</v>
      </c>
      <c r="X160" s="115" t="n">
        <f aca="false">SUMIFS(الريسبي!$C$2:$C$1800,الريسبي!$A$2:$A$1800,$A160,الريسبي!$B$2:$B$1800,X$1)</f>
        <v>0</v>
      </c>
      <c r="Y160" s="115" t="n">
        <f aca="false">SUMIFS(الريسبي!$C$2:$C$1800,الريسبي!$A$2:$A$1800,$A160,الريسبي!$B$2:$B$1800,Y$1)</f>
        <v>0</v>
      </c>
      <c r="Z160" s="115" t="n">
        <f aca="false">SUMIFS(الريسبي!$C$2:$C$1800,الريسبي!$A$2:$A$1800,$A160,الريسبي!$B$2:$B$1800,Z$1)</f>
        <v>0</v>
      </c>
      <c r="AA160" s="115" t="n">
        <f aca="false">SUMIFS(الريسبي!$C$2:$C$1800,الريسبي!$A$2:$A$1800,$A160,الريسبي!$B$2:$B$1800,AA$1)</f>
        <v>0</v>
      </c>
      <c r="AB160" s="115" t="n">
        <f aca="false">SUMIFS(الريسبي!$C$2:$C$1800,الريسبي!$A$2:$A$1800,$A160,الريسبي!$B$2:$B$1800,AB$1)</f>
        <v>0</v>
      </c>
      <c r="AC160" s="115" t="n">
        <f aca="false">SUMIFS(الريسبي!$C$2:$C$1800,الريسبي!$A$2:$A$1800,$A160,الريسبي!$B$2:$B$1800,AC$1)</f>
        <v>0</v>
      </c>
      <c r="AD160" s="115" t="n">
        <f aca="false">SUMIFS(الريسبي!$C$2:$C$1800,الريسبي!$A$2:$A$1800,$A160,الريسبي!$B$2:$B$1800,AD$1)</f>
        <v>0</v>
      </c>
      <c r="AE160" s="115" t="n">
        <f aca="false">SUMIFS(الريسبي!$C$2:$C$1800,الريسبي!$A$2:$A$1800,$A160,الريسبي!$B$2:$B$1800,AE$1)</f>
        <v>0</v>
      </c>
      <c r="AF160" s="115" t="n">
        <f aca="false">SUMIFS(الريسبي!$C$2:$C$1800,الريسبي!$A$2:$A$1800,$A160,الريسبي!$B$2:$B$1800,AF$1)</f>
        <v>0</v>
      </c>
      <c r="AG160" s="115" t="n">
        <f aca="false">SUMIFS(الريسبي!$C$2:$C$1800,الريسبي!$A$2:$A$1800,$A160,الريسبي!$B$2:$B$1800,AG$1)</f>
        <v>0</v>
      </c>
      <c r="AH160" s="115" t="n">
        <f aca="false">SUMIFS(الريسبي!$C$2:$C$1800,الريسبي!$A$2:$A$1800,$A160,الريسبي!$B$2:$B$1800,AH$1)</f>
        <v>0</v>
      </c>
      <c r="AI160" s="115" t="n">
        <f aca="false">SUMIFS(الريسبي!$C$2:$C$1800,الريسبي!$A$2:$A$1800,$A160,الريسبي!$B$2:$B$1800,AI$1)</f>
        <v>0</v>
      </c>
      <c r="AJ160" s="115" t="n">
        <f aca="false">SUMIFS(الريسبي!$C$2:$C$1800,الريسبي!$A$2:$A$1800,$A160,الريسبي!$B$2:$B$1800,AJ$1)</f>
        <v>0</v>
      </c>
      <c r="AK160" s="115" t="n">
        <f aca="false">SUMIFS(الريسبي!$C$2:$C$1800,الريسبي!$A$2:$A$1800,$A160,الريسبي!$B$2:$B$1800,AK$1)</f>
        <v>0</v>
      </c>
      <c r="AL160" s="115" t="n">
        <f aca="false">SUMIFS(الريسبي!$C$2:$C$1800,الريسبي!$A$2:$A$1800,$A160,الريسبي!$B$2:$B$1800,AL$1)</f>
        <v>0</v>
      </c>
      <c r="AM160" s="115"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15"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15" t="n">
        <f aca="false">SUMIFS(الريسبي!$C$2:$C$1800,الريسبي!$A$2:$A$1800,$A160,الريسبي!$B$2:$B$1800,AO$1)</f>
        <v>0</v>
      </c>
      <c r="AP160" s="115" t="n">
        <f aca="false">SUMIFS(الريسبي!$C$2:$C$1800,الريسبي!$A$2:$A$1800,$A160,الريسبي!$B$2:$B$1800,AP$1)</f>
        <v>0</v>
      </c>
      <c r="AQ160" s="115"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15" t="n">
        <f aca="false">SUMIFS(الريسبي!$C$2:$C$1800,الريسبي!$A$2:$A$1800,$A160,الريسبي!$B$2:$B$1800,AR$1)</f>
        <v>0</v>
      </c>
      <c r="AS160" s="115" t="n">
        <f aca="false">SUMIFS(الريسبي!$C$2:$C$1800,الريسبي!$A$2:$A$1800,$A160,الريسبي!$B$2:$B$1800,AS$1)</f>
        <v>0</v>
      </c>
      <c r="AT160" s="115" t="n">
        <f aca="false">SUMIFS(الريسبي!$C$2:$C$1800,الريسبي!$A$2:$A$1800,$A160,الريسبي!$B$2:$B$1800,AT$1)</f>
        <v>0</v>
      </c>
      <c r="AU160" s="115" t="n">
        <f aca="false">SUMIFS(الريسبي!$C$2:$C$1800,الريسبي!$A$2:$A$1800,$A160,الريسبي!$B$2:$B$1800,AU$1)</f>
        <v>0</v>
      </c>
      <c r="AV160" s="115" t="n">
        <f aca="false">SUMIFS(الريسبي!$C$2:$C$1800,الريسبي!$A$2:$A$1800,$A160,الريسبي!$B$2:$B$1800,AV$1)</f>
        <v>0</v>
      </c>
      <c r="AW160" s="115" t="n">
        <f aca="false">SUMIFS(الريسبي!$C$2:$C$1800,الريسبي!$A$2:$A$1800,$A160,الريسبي!$B$2:$B$1800,AW$1)</f>
        <v>0</v>
      </c>
      <c r="AX160" s="115" t="n">
        <f aca="false">SUMIFS(الريسبي!$C$2:$C$1800,الريسبي!$A$2:$A$1800,$A160,الريسبي!$B$2:$B$1800,AX$1)</f>
        <v>0</v>
      </c>
      <c r="AY160" s="115" t="n">
        <f aca="false">SUMIFS(الريسبي!$C$2:$C$1800,الريسبي!$A$2:$A$1800,$A160,الريسبي!$B$2:$B$1800,AY$1)</f>
        <v>0</v>
      </c>
      <c r="AZ160" s="115" t="n">
        <f aca="false">SUMIFS(الريسبي!$C$2:$C$1800,الريسبي!$A$2:$A$1800,$A160,الريسبي!$B$2:$B$1800,AZ$1)</f>
        <v>0</v>
      </c>
      <c r="BA160" s="115" t="n">
        <f aca="false">SUMIFS(الريسبي!$C$2:$C$1800,الريسبي!$A$2:$A$1800,$A160,الريسبي!$B$2:$B$1800,BA$1)</f>
        <v>0</v>
      </c>
      <c r="BB160" s="115" t="n">
        <f aca="false">SUMIFS(الريسبي!$C$2:$C$1800,الريسبي!$A$2:$A$1800,$A160,الريسبي!$B$2:$B$1800,BB$1)</f>
        <v>0</v>
      </c>
      <c r="BC160" s="115" t="n">
        <f aca="false">SUMIFS(الريسبي!$C$2:$C$1800,الريسبي!$A$2:$A$1800,$A160,الريسبي!$B$2:$B$1800,BC$1)</f>
        <v>0</v>
      </c>
      <c r="BD160" s="115" t="n">
        <f aca="false">SUMIFS(الريسبي!$C$2:$C$1800,الريسبي!$A$2:$A$1800,$A160,الريسبي!$B$2:$B$1800,BD$1)</f>
        <v>0</v>
      </c>
      <c r="BE160" s="115" t="n">
        <f aca="false">SUMIFS(الريسبي!$C$2:$C$1800,الريسبي!$A$2:$A$1800,$A160,الريسبي!$B$2:$B$1800,BE$1)</f>
        <v>0</v>
      </c>
      <c r="BF160" s="115" t="n">
        <f aca="false">SUMIFS(الريسبي!$C$2:$C$1800,الريسبي!$A$2:$A$1800,$A160,الريسبي!$B$2:$B$1800,BF$1)</f>
        <v>0</v>
      </c>
      <c r="BG160" s="115" t="n">
        <f aca="false">SUMIFS(الريسبي!$C$2:$C$1800,الريسبي!$A$2:$A$1800,$A160,الريسبي!$B$2:$B$1800,BG$1)</f>
        <v>0</v>
      </c>
      <c r="BH160" s="115" t="n">
        <f aca="false">SUMIFS(الريسبي!$C$2:$C$1800,الريسبي!$A$2:$A$1800,$A160,الريسبي!$B$2:$B$1800,BH$1)</f>
        <v>0</v>
      </c>
      <c r="BI160" s="115" t="n">
        <f aca="false">SUMIFS(الريسبي!$C$2:$C$1800,الريسبي!$A$2:$A$1800,$A160,الريسبي!$B$2:$B$1800,BI$1)</f>
        <v>0</v>
      </c>
      <c r="BJ160" s="115" t="n">
        <f aca="false">SUMIFS(الريسبي!$C$2:$C$1800,الريسبي!$A$2:$A$1800,$A160,الريسبي!$B$2:$B$1800,BJ$1)</f>
        <v>0</v>
      </c>
      <c r="BK160" s="115" t="n">
        <f aca="false">SUMIFS(الريسبي!$C$2:$C$1800,الريسبي!$A$2:$A$1800,$A160,الريسبي!$B$2:$B$1800,BK$1)</f>
        <v>0</v>
      </c>
      <c r="BL160" s="115" t="n">
        <f aca="false">SUMIFS(الريسبي!$C$2:$C$1800,الريسبي!$A$2:$A$1800,$A160,الريسبي!$B$2:$B$1800,BL$1)</f>
        <v>0</v>
      </c>
      <c r="BM160" s="115" t="n">
        <f aca="false">SUMIFS(الريسبي!$C$2:$C$1800,الريسبي!$A$2:$A$1800,$A160,الريسبي!$B$2:$B$1800,BM$1)</f>
        <v>0</v>
      </c>
      <c r="BN160" s="115" t="n">
        <f aca="false">SUMIFS(الريسبي!$C$2:$C$1800,الريسبي!$A$2:$A$1800,$A160,الريسبي!$B$2:$B$1800,BN$1)</f>
        <v>0</v>
      </c>
      <c r="BO160" s="115" t="n">
        <f aca="false">SUMIFS(الريسبي!$C$2:$C$1800,الريسبي!$A$2:$A$1800,$A160,الريسبي!$B$2:$B$1800,BO$1)</f>
        <v>0</v>
      </c>
      <c r="BP160" s="115" t="n">
        <f aca="false">SUMIFS(الريسبي!$C$2:$C$1800,الريسبي!$A$2:$A$1800,$A160,الريسبي!$B$2:$B$1800,BP$1)</f>
        <v>0</v>
      </c>
      <c r="BQ160" s="115"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15" t="n">
        <f aca="false">SUMIFS(الريسبي!$C$2:$C$1800,الريسبي!$A$2:$A$1800,$A160,الريسبي!$B$2:$B$1800,BR$1)</f>
        <v>0</v>
      </c>
      <c r="BS160" s="115" t="n">
        <f aca="false">SUMIFS(الريسبي!$C$2:$C$1800,الريسبي!$A$2:$A$1800,$A160,الريسبي!$B$2:$B$1800,BS$1)</f>
        <v>0</v>
      </c>
      <c r="BT160" s="115" t="n">
        <f aca="false">SUMIFS(الريسبي!$C$2:$C$1800,الريسبي!$A$2:$A$1800,$A160,الريسبي!$B$2:$B$1800,BT$1)</f>
        <v>0</v>
      </c>
      <c r="BU160" s="115"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15" t="n">
        <f aca="false">SUMIFS(الريسبي!$C$2:$C$1800,الريسبي!$A$2:$A$1800,$A160,الريسبي!$B$2:$B$1800,BV$1)</f>
        <v>0</v>
      </c>
      <c r="BW160" s="115" t="n">
        <f aca="false">SUMIFS(الريسبي!$C$2:$C$1800,الريسبي!$A$2:$A$1800,$A160,الريسبي!$B$2:$B$1800,BW$1)</f>
        <v>0.09</v>
      </c>
      <c r="BX160" s="115" t="n">
        <f aca="false">SUMIFS(الريسبي!$C$2:$C$1800,الريسبي!$A$2:$A$1800,$A160,الريسبي!$B$2:$B$1800,BX$1)</f>
        <v>0</v>
      </c>
      <c r="BY160" s="115" t="n">
        <f aca="false">SUMIFS(الريسبي!$C$2:$C$1800,الريسبي!$A$2:$A$1800,$A160,الريسبي!$B$2:$B$1800,BY$1)</f>
        <v>0</v>
      </c>
      <c r="BZ160" s="115" t="n">
        <f aca="false">SUMIFS(الريسبي!$C$2:$C$1800,الريسبي!$A$2:$A$1800,$A160,الريسبي!$B$2:$B$1800,BZ$1)</f>
        <v>0</v>
      </c>
      <c r="CA160" s="115" t="n">
        <f aca="false">SUMIFS(الريسبي!$C$2:$C$1800,الريسبي!$A$2:$A$1800,$A160,الريسبي!$B$2:$B$1800,CA$1)</f>
        <v>0</v>
      </c>
      <c r="CB160" s="115" t="n">
        <f aca="false">SUMIFS(الريسبي!$C$2:$C$1800,الريسبي!$A$2:$A$1800,$A160,الريسبي!$B$2:$B$1800,CB$1)</f>
        <v>0</v>
      </c>
      <c r="CC160" s="115" t="n">
        <f aca="false">SUMIFS(الريسبي!$C$2:$C$1800,الريسبي!$A$2:$A$1800,$A160,الريسبي!$B$2:$B$1800,CC$1)</f>
        <v>0</v>
      </c>
      <c r="CD160" s="115" t="n">
        <f aca="false">SUMIFS(الريسبي!$C$2:$C$1800,الريسبي!$A$2:$A$1800,$A160,الريسبي!$B$2:$B$1800,CD$1)</f>
        <v>0</v>
      </c>
      <c r="CE160" s="115" t="n">
        <f aca="false">SUMIFS(الريسبي!$C$2:$C$1800,الريسبي!$A$2:$A$1800,$A160,الريسبي!$B$2:$B$1800,CE$1)</f>
        <v>0</v>
      </c>
      <c r="CF160" s="115" t="n">
        <f aca="false">SUMIFS(الريسبي!$C$2:$C$1800,الريسبي!$A$2:$A$1800,$A160,الريسبي!$B$2:$B$1800,CF$1)</f>
        <v>0</v>
      </c>
      <c r="CG160" s="115" t="n">
        <f aca="false">SUMIFS(الريسبي!$C$2:$C$1800,الريسبي!$A$2:$A$1800,$A160,الريسبي!$B$2:$B$1800,CG$1)</f>
        <v>0</v>
      </c>
      <c r="CH160" s="115" t="n">
        <f aca="false">SUMIFS(الريسبي!$C$2:$C$1800,الريسبي!$A$2:$A$1800,$A160,الريسبي!$B$2:$B$1800,CH$1)</f>
        <v>0</v>
      </c>
    </row>
    <row r="161" customFormat="false" ht="15" hidden="false" customHeight="false" outlineLevel="0" collapsed="false">
      <c r="A161" s="114" t="str">
        <f aca="false">المنيو!B161</f>
        <v>اضافة مشروم (فطير وسط)</v>
      </c>
      <c r="B161" s="115" t="n">
        <f aca="false">SUMIFS(الريسبي!$C$2:$C$1800,الريسبي!$A$2:$A$1800,$A161,الريسبي!$B$2:$B$1800,B$1)</f>
        <v>0</v>
      </c>
      <c r="C161" s="115" t="n">
        <f aca="false">SUMIFS(الريسبي!$C$2:$C$1800,الريسبي!$A$2:$A$1800,$A161,الريسبي!$B$2:$B$1800,C$1)</f>
        <v>0</v>
      </c>
      <c r="D161" s="115" t="n">
        <f aca="false">SUMIFS(الريسبي!$C$2:$C$1800,الريسبي!$A$2:$A$1800,$A161,الريسبي!$B$2:$B$1800,D$1)</f>
        <v>0</v>
      </c>
      <c r="E161" s="115" t="n">
        <f aca="false">SUMIFS(الريسبي!$C$2:$C$1800,الريسبي!$A$2:$A$1800,$A161,الريسبي!$B$2:$B$1800,E$1)</f>
        <v>0</v>
      </c>
      <c r="F161" s="115" t="n">
        <f aca="false">SUMIFS(الريسبي!$C$2:$C$1800,الريسبي!$A$2:$A$1800,$A161,الريسبي!$B$2:$B$1800,F$1)</f>
        <v>0</v>
      </c>
      <c r="G161" s="115" t="n">
        <f aca="false">SUMIFS(الريسبي!$C$2:$C$1800,الريسبي!$A$2:$A$1800,$A161,الريسبي!$B$2:$B$1800,G$1)</f>
        <v>0</v>
      </c>
      <c r="H161" s="115" t="n">
        <f aca="false">SUMIFS(الريسبي!$C$2:$C$1800,الريسبي!$A$2:$A$1800,$A161,الريسبي!$B$2:$B$1800,H$1)</f>
        <v>0</v>
      </c>
      <c r="I161" s="115" t="n">
        <f aca="false">SUMIFS(الريسبي!$C$2:$C$1800,الريسبي!$A$2:$A$1800,$A161,الريسبي!$B$2:$B$1800,I$1)</f>
        <v>0</v>
      </c>
      <c r="J161" s="115" t="n">
        <f aca="false">SUMIFS(الريسبي!$C$2:$C$1800,الريسبي!$A$2:$A$1800,$A161,الريسبي!$B$2:$B$1800,J$1)</f>
        <v>0</v>
      </c>
      <c r="K161" s="115" t="n">
        <f aca="false">SUMIFS(الريسبي!$C$2:$C$1800,الريسبي!$A$2:$A$1800,$A161,الريسبي!$B$2:$B$1800,K$1)</f>
        <v>0</v>
      </c>
      <c r="L161" s="115" t="n">
        <f aca="false">SUMIFS(الريسبي!$C$2:$C$1800,الريسبي!$A$2:$A$1800,$A161,الريسبي!$B$2:$B$1800,L$1)</f>
        <v>0</v>
      </c>
      <c r="M161" s="115" t="n">
        <f aca="false">SUMIFS(الريسبي!$C$2:$C$1800,الريسبي!$A$2:$A$1800,$A161,الريسبي!$B$2:$B$1800,M$1)</f>
        <v>0</v>
      </c>
      <c r="N161" s="115" t="n">
        <f aca="false">SUMIFS(الريسبي!$C$2:$C$1800,الريسبي!$A$2:$A$1800,$A161,الريسبي!$B$2:$B$1800,N$1)</f>
        <v>0</v>
      </c>
      <c r="O161" s="115" t="n">
        <f aca="false">SUMIFS(الريسبي!$C$2:$C$1800,الريسبي!$A$2:$A$1800,$A161,الريسبي!$B$2:$B$1800,O$1)</f>
        <v>0</v>
      </c>
      <c r="P161" s="115" t="n">
        <f aca="false">SUMIFS(الريسبي!$C$2:$C$1800,الريسبي!$A$2:$A$1800,$A161,الريسبي!$B$2:$B$1800,P$1)</f>
        <v>0</v>
      </c>
      <c r="Q161" s="115" t="n">
        <f aca="false">SUMIFS(الريسبي!$C$2:$C$1800,الريسبي!$A$2:$A$1800,$A161,الريسبي!$B$2:$B$1800,Q$1)</f>
        <v>0</v>
      </c>
      <c r="R161" s="115" t="n">
        <f aca="false">SUMIFS(الريسبي!$C$2:$C$1800,الريسبي!$A$2:$A$1800,$A161,الريسبي!$B$2:$B$1800,R$1)</f>
        <v>0</v>
      </c>
      <c r="S161" s="115" t="n">
        <f aca="false">SUMIFS(الريسبي!$C$2:$C$1800,الريسبي!$A$2:$A$1800,$A161,الريسبي!$B$2:$B$1800,S$1)</f>
        <v>0</v>
      </c>
      <c r="T161" s="115" t="n">
        <f aca="false">SUMIFS(الريسبي!$C$2:$C$1800,الريسبي!$A$2:$A$1800,$A161,الريسبي!$B$2:$B$1800,T$1)</f>
        <v>0</v>
      </c>
      <c r="U161" s="115" t="n">
        <f aca="false">SUMIFS(الريسبي!$C$2:$C$1800,الريسبي!$A$2:$A$1800,$A161,الريسبي!$B$2:$B$1800,U$1)</f>
        <v>0</v>
      </c>
      <c r="V161" s="115" t="n">
        <f aca="false">SUMIFS(الريسبي!$C$2:$C$1800,الريسبي!$A$2:$A$1800,$A161,الريسبي!$B$2:$B$1800,V$1)</f>
        <v>0</v>
      </c>
      <c r="W161" s="115" t="n">
        <f aca="false">SUMIFS(الريسبي!$C$2:$C$1800,الريسبي!$A$2:$A$1800,$A161,الريسبي!$B$2:$B$1800,W$1)</f>
        <v>0</v>
      </c>
      <c r="X161" s="115" t="n">
        <f aca="false">SUMIFS(الريسبي!$C$2:$C$1800,الريسبي!$A$2:$A$1800,$A161,الريسبي!$B$2:$B$1800,X$1)</f>
        <v>0</v>
      </c>
      <c r="Y161" s="115" t="n">
        <f aca="false">SUMIFS(الريسبي!$C$2:$C$1800,الريسبي!$A$2:$A$1800,$A161,الريسبي!$B$2:$B$1800,Y$1)</f>
        <v>0</v>
      </c>
      <c r="Z161" s="115" t="n">
        <f aca="false">SUMIFS(الريسبي!$C$2:$C$1800,الريسبي!$A$2:$A$1800,$A161,الريسبي!$B$2:$B$1800,Z$1)</f>
        <v>0</v>
      </c>
      <c r="AA161" s="115" t="n">
        <f aca="false">SUMIFS(الريسبي!$C$2:$C$1800,الريسبي!$A$2:$A$1800,$A161,الريسبي!$B$2:$B$1800,AA$1)</f>
        <v>0</v>
      </c>
      <c r="AB161" s="115" t="n">
        <f aca="false">SUMIFS(الريسبي!$C$2:$C$1800,الريسبي!$A$2:$A$1800,$A161,الريسبي!$B$2:$B$1800,AB$1)</f>
        <v>0</v>
      </c>
      <c r="AC161" s="115" t="n">
        <f aca="false">SUMIFS(الريسبي!$C$2:$C$1800,الريسبي!$A$2:$A$1800,$A161,الريسبي!$B$2:$B$1800,AC$1)</f>
        <v>0</v>
      </c>
      <c r="AD161" s="115" t="n">
        <f aca="false">SUMIFS(الريسبي!$C$2:$C$1800,الريسبي!$A$2:$A$1800,$A161,الريسبي!$B$2:$B$1800,AD$1)</f>
        <v>0</v>
      </c>
      <c r="AE161" s="115" t="n">
        <f aca="false">SUMIFS(الريسبي!$C$2:$C$1800,الريسبي!$A$2:$A$1800,$A161,الريسبي!$B$2:$B$1800,AE$1)</f>
        <v>0</v>
      </c>
      <c r="AF161" s="115" t="n">
        <f aca="false">SUMIFS(الريسبي!$C$2:$C$1800,الريسبي!$A$2:$A$1800,$A161,الريسبي!$B$2:$B$1800,AF$1)</f>
        <v>0</v>
      </c>
      <c r="AG161" s="115" t="n">
        <f aca="false">SUMIFS(الريسبي!$C$2:$C$1800,الريسبي!$A$2:$A$1800,$A161,الريسبي!$B$2:$B$1800,AG$1)</f>
        <v>0</v>
      </c>
      <c r="AH161" s="115" t="n">
        <f aca="false">SUMIFS(الريسبي!$C$2:$C$1800,الريسبي!$A$2:$A$1800,$A161,الريسبي!$B$2:$B$1800,AH$1)</f>
        <v>0</v>
      </c>
      <c r="AI161" s="115" t="n">
        <f aca="false">SUMIFS(الريسبي!$C$2:$C$1800,الريسبي!$A$2:$A$1800,$A161,الريسبي!$B$2:$B$1800,AI$1)</f>
        <v>0</v>
      </c>
      <c r="AJ161" s="115" t="n">
        <f aca="false">SUMIFS(الريسبي!$C$2:$C$1800,الريسبي!$A$2:$A$1800,$A161,الريسبي!$B$2:$B$1800,AJ$1)</f>
        <v>0</v>
      </c>
      <c r="AK161" s="115" t="n">
        <f aca="false">SUMIFS(الريسبي!$C$2:$C$1800,الريسبي!$A$2:$A$1800,$A161,الريسبي!$B$2:$B$1800,AK$1)</f>
        <v>0</v>
      </c>
      <c r="AL161" s="115" t="n">
        <f aca="false">SUMIFS(الريسبي!$C$2:$C$1800,الريسبي!$A$2:$A$1800,$A161,الريسبي!$B$2:$B$1800,AL$1)</f>
        <v>0</v>
      </c>
      <c r="AM161" s="115"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15"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15" t="n">
        <f aca="false">SUMIFS(الريسبي!$C$2:$C$1800,الريسبي!$A$2:$A$1800,$A161,الريسبي!$B$2:$B$1800,AO$1)</f>
        <v>0</v>
      </c>
      <c r="AP161" s="115" t="n">
        <f aca="false">SUMIFS(الريسبي!$C$2:$C$1800,الريسبي!$A$2:$A$1800,$A161,الريسبي!$B$2:$B$1800,AP$1)</f>
        <v>0</v>
      </c>
      <c r="AQ161" s="115"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15" t="n">
        <f aca="false">SUMIFS(الريسبي!$C$2:$C$1800,الريسبي!$A$2:$A$1800,$A161,الريسبي!$B$2:$B$1800,AR$1)</f>
        <v>0</v>
      </c>
      <c r="AS161" s="115" t="n">
        <f aca="false">SUMIFS(الريسبي!$C$2:$C$1800,الريسبي!$A$2:$A$1800,$A161,الريسبي!$B$2:$B$1800,AS$1)</f>
        <v>0</v>
      </c>
      <c r="AT161" s="115" t="n">
        <f aca="false">SUMIFS(الريسبي!$C$2:$C$1800,الريسبي!$A$2:$A$1800,$A161,الريسبي!$B$2:$B$1800,AT$1)</f>
        <v>0</v>
      </c>
      <c r="AU161" s="115" t="n">
        <f aca="false">SUMIFS(الريسبي!$C$2:$C$1800,الريسبي!$A$2:$A$1800,$A161,الريسبي!$B$2:$B$1800,AU$1)</f>
        <v>0</v>
      </c>
      <c r="AV161" s="115" t="n">
        <f aca="false">SUMIFS(الريسبي!$C$2:$C$1800,الريسبي!$A$2:$A$1800,$A161,الريسبي!$B$2:$B$1800,AV$1)</f>
        <v>0</v>
      </c>
      <c r="AW161" s="115" t="n">
        <f aca="false">SUMIFS(الريسبي!$C$2:$C$1800,الريسبي!$A$2:$A$1800,$A161,الريسبي!$B$2:$B$1800,AW$1)</f>
        <v>0</v>
      </c>
      <c r="AX161" s="115" t="n">
        <f aca="false">SUMIFS(الريسبي!$C$2:$C$1800,الريسبي!$A$2:$A$1800,$A161,الريسبي!$B$2:$B$1800,AX$1)</f>
        <v>0</v>
      </c>
      <c r="AY161" s="115" t="n">
        <f aca="false">SUMIFS(الريسبي!$C$2:$C$1800,الريسبي!$A$2:$A$1800,$A161,الريسبي!$B$2:$B$1800,AY$1)</f>
        <v>0</v>
      </c>
      <c r="AZ161" s="115" t="n">
        <f aca="false">SUMIFS(الريسبي!$C$2:$C$1800,الريسبي!$A$2:$A$1800,$A161,الريسبي!$B$2:$B$1800,AZ$1)</f>
        <v>0</v>
      </c>
      <c r="BA161" s="115" t="n">
        <f aca="false">SUMIFS(الريسبي!$C$2:$C$1800,الريسبي!$A$2:$A$1800,$A161,الريسبي!$B$2:$B$1800,BA$1)</f>
        <v>0</v>
      </c>
      <c r="BB161" s="115" t="n">
        <f aca="false">SUMIFS(الريسبي!$C$2:$C$1800,الريسبي!$A$2:$A$1800,$A161,الريسبي!$B$2:$B$1800,BB$1)</f>
        <v>0</v>
      </c>
      <c r="BC161" s="115" t="n">
        <f aca="false">SUMIFS(الريسبي!$C$2:$C$1800,الريسبي!$A$2:$A$1800,$A161,الريسبي!$B$2:$B$1800,BC$1)</f>
        <v>0</v>
      </c>
      <c r="BD161" s="115" t="n">
        <f aca="false">SUMIFS(الريسبي!$C$2:$C$1800,الريسبي!$A$2:$A$1800,$A161,الريسبي!$B$2:$B$1800,BD$1)</f>
        <v>0</v>
      </c>
      <c r="BE161" s="115" t="n">
        <f aca="false">SUMIFS(الريسبي!$C$2:$C$1800,الريسبي!$A$2:$A$1800,$A161,الريسبي!$B$2:$B$1800,BE$1)</f>
        <v>0</v>
      </c>
      <c r="BF161" s="115" t="n">
        <f aca="false">SUMIFS(الريسبي!$C$2:$C$1800,الريسبي!$A$2:$A$1800,$A161,الريسبي!$B$2:$B$1800,BF$1)</f>
        <v>0</v>
      </c>
      <c r="BG161" s="115" t="n">
        <f aca="false">SUMIFS(الريسبي!$C$2:$C$1800,الريسبي!$A$2:$A$1800,$A161,الريسبي!$B$2:$B$1800,BG$1)</f>
        <v>0</v>
      </c>
      <c r="BH161" s="115" t="n">
        <f aca="false">SUMIFS(الريسبي!$C$2:$C$1800,الريسبي!$A$2:$A$1800,$A161,الريسبي!$B$2:$B$1800,BH$1)</f>
        <v>0</v>
      </c>
      <c r="BI161" s="115" t="n">
        <f aca="false">SUMIFS(الريسبي!$C$2:$C$1800,الريسبي!$A$2:$A$1800,$A161,الريسبي!$B$2:$B$1800,BI$1)</f>
        <v>0</v>
      </c>
      <c r="BJ161" s="115" t="n">
        <f aca="false">SUMIFS(الريسبي!$C$2:$C$1800,الريسبي!$A$2:$A$1800,$A161,الريسبي!$B$2:$B$1800,BJ$1)</f>
        <v>0</v>
      </c>
      <c r="BK161" s="115" t="n">
        <f aca="false">SUMIFS(الريسبي!$C$2:$C$1800,الريسبي!$A$2:$A$1800,$A161,الريسبي!$B$2:$B$1800,BK$1)</f>
        <v>0</v>
      </c>
      <c r="BL161" s="115" t="n">
        <f aca="false">SUMIFS(الريسبي!$C$2:$C$1800,الريسبي!$A$2:$A$1800,$A161,الريسبي!$B$2:$B$1800,BL$1)</f>
        <v>0</v>
      </c>
      <c r="BM161" s="115" t="n">
        <f aca="false">SUMIFS(الريسبي!$C$2:$C$1800,الريسبي!$A$2:$A$1800,$A161,الريسبي!$B$2:$B$1800,BM$1)</f>
        <v>0</v>
      </c>
      <c r="BN161" s="115" t="n">
        <f aca="false">SUMIFS(الريسبي!$C$2:$C$1800,الريسبي!$A$2:$A$1800,$A161,الريسبي!$B$2:$B$1800,BN$1)</f>
        <v>0</v>
      </c>
      <c r="BO161" s="115" t="n">
        <f aca="false">SUMIFS(الريسبي!$C$2:$C$1800,الريسبي!$A$2:$A$1800,$A161,الريسبي!$B$2:$B$1800,BO$1)</f>
        <v>0</v>
      </c>
      <c r="BP161" s="115" t="n">
        <f aca="false">SUMIFS(الريسبي!$C$2:$C$1800,الريسبي!$A$2:$A$1800,$A161,الريسبي!$B$2:$B$1800,BP$1)</f>
        <v>0</v>
      </c>
      <c r="BQ161" s="115"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15" t="n">
        <f aca="false">SUMIFS(الريسبي!$C$2:$C$1800,الريسبي!$A$2:$A$1800,$A161,الريسبي!$B$2:$B$1800,BR$1)</f>
        <v>0</v>
      </c>
      <c r="BS161" s="115" t="n">
        <f aca="false">SUMIFS(الريسبي!$C$2:$C$1800,الريسبي!$A$2:$A$1800,$A161,الريسبي!$B$2:$B$1800,BS$1)</f>
        <v>0</v>
      </c>
      <c r="BT161" s="115" t="n">
        <f aca="false">SUMIFS(الريسبي!$C$2:$C$1800,الريسبي!$A$2:$A$1800,$A161,الريسبي!$B$2:$B$1800,BT$1)</f>
        <v>0</v>
      </c>
      <c r="BU161" s="115"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15" t="n">
        <f aca="false">SUMIFS(الريسبي!$C$2:$C$1800,الريسبي!$A$2:$A$1800,$A161,الريسبي!$B$2:$B$1800,BV$1)</f>
        <v>0</v>
      </c>
      <c r="BW161" s="115" t="n">
        <f aca="false">SUMIFS(الريسبي!$C$2:$C$1800,الريسبي!$A$2:$A$1800,$A161,الريسبي!$B$2:$B$1800,BW$1)</f>
        <v>0.06</v>
      </c>
      <c r="BX161" s="115" t="n">
        <f aca="false">SUMIFS(الريسبي!$C$2:$C$1800,الريسبي!$A$2:$A$1800,$A161,الريسبي!$B$2:$B$1800,BX$1)</f>
        <v>0</v>
      </c>
      <c r="BY161" s="115" t="n">
        <f aca="false">SUMIFS(الريسبي!$C$2:$C$1800,الريسبي!$A$2:$A$1800,$A161,الريسبي!$B$2:$B$1800,BY$1)</f>
        <v>0</v>
      </c>
      <c r="BZ161" s="115" t="n">
        <f aca="false">SUMIFS(الريسبي!$C$2:$C$1800,الريسبي!$A$2:$A$1800,$A161,الريسبي!$B$2:$B$1800,BZ$1)</f>
        <v>0</v>
      </c>
      <c r="CA161" s="115" t="n">
        <f aca="false">SUMIFS(الريسبي!$C$2:$C$1800,الريسبي!$A$2:$A$1800,$A161,الريسبي!$B$2:$B$1800,CA$1)</f>
        <v>0</v>
      </c>
      <c r="CB161" s="115" t="n">
        <f aca="false">SUMIFS(الريسبي!$C$2:$C$1800,الريسبي!$A$2:$A$1800,$A161,الريسبي!$B$2:$B$1800,CB$1)</f>
        <v>0</v>
      </c>
      <c r="CC161" s="115" t="n">
        <f aca="false">SUMIFS(الريسبي!$C$2:$C$1800,الريسبي!$A$2:$A$1800,$A161,الريسبي!$B$2:$B$1800,CC$1)</f>
        <v>0</v>
      </c>
      <c r="CD161" s="115" t="n">
        <f aca="false">SUMIFS(الريسبي!$C$2:$C$1800,الريسبي!$A$2:$A$1800,$A161,الريسبي!$B$2:$B$1800,CD$1)</f>
        <v>0</v>
      </c>
      <c r="CE161" s="115" t="n">
        <f aca="false">SUMIFS(الريسبي!$C$2:$C$1800,الريسبي!$A$2:$A$1800,$A161,الريسبي!$B$2:$B$1800,CE$1)</f>
        <v>0</v>
      </c>
      <c r="CF161" s="115" t="n">
        <f aca="false">SUMIFS(الريسبي!$C$2:$C$1800,الريسبي!$A$2:$A$1800,$A161,الريسبي!$B$2:$B$1800,CF$1)</f>
        <v>0</v>
      </c>
      <c r="CG161" s="115" t="n">
        <f aca="false">SUMIFS(الريسبي!$C$2:$C$1800,الريسبي!$A$2:$A$1800,$A161,الريسبي!$B$2:$B$1800,CG$1)</f>
        <v>0</v>
      </c>
      <c r="CH161" s="115" t="n">
        <f aca="false">SUMIFS(الريسبي!$C$2:$C$1800,الريسبي!$A$2:$A$1800,$A161,الريسبي!$B$2:$B$1800,CH$1)</f>
        <v>0</v>
      </c>
    </row>
    <row r="162" customFormat="false" ht="15" hidden="false" customHeight="false" outlineLevel="0" collapsed="false">
      <c r="A162" s="114" t="str">
        <f aca="false">المنيو!B162</f>
        <v>اضافة مشروم (فطير كبير)</v>
      </c>
      <c r="B162" s="115" t="n">
        <f aca="false">SUMIFS(الريسبي!$C$2:$C$1800,الريسبي!$A$2:$A$1800,$A162,الريسبي!$B$2:$B$1800,B$1)</f>
        <v>0</v>
      </c>
      <c r="C162" s="115" t="n">
        <f aca="false">SUMIFS(الريسبي!$C$2:$C$1800,الريسبي!$A$2:$A$1800,$A162,الريسبي!$B$2:$B$1800,C$1)</f>
        <v>0</v>
      </c>
      <c r="D162" s="115" t="n">
        <f aca="false">SUMIFS(الريسبي!$C$2:$C$1800,الريسبي!$A$2:$A$1800,$A162,الريسبي!$B$2:$B$1800,D$1)</f>
        <v>0</v>
      </c>
      <c r="E162" s="115" t="n">
        <f aca="false">SUMIFS(الريسبي!$C$2:$C$1800,الريسبي!$A$2:$A$1800,$A162,الريسبي!$B$2:$B$1800,E$1)</f>
        <v>0</v>
      </c>
      <c r="F162" s="115" t="n">
        <f aca="false">SUMIFS(الريسبي!$C$2:$C$1800,الريسبي!$A$2:$A$1800,$A162,الريسبي!$B$2:$B$1800,F$1)</f>
        <v>0</v>
      </c>
      <c r="G162" s="115" t="n">
        <f aca="false">SUMIFS(الريسبي!$C$2:$C$1800,الريسبي!$A$2:$A$1800,$A162,الريسبي!$B$2:$B$1800,G$1)</f>
        <v>0</v>
      </c>
      <c r="H162" s="115" t="n">
        <f aca="false">SUMIFS(الريسبي!$C$2:$C$1800,الريسبي!$A$2:$A$1800,$A162,الريسبي!$B$2:$B$1800,H$1)</f>
        <v>0</v>
      </c>
      <c r="I162" s="115" t="n">
        <f aca="false">SUMIFS(الريسبي!$C$2:$C$1800,الريسبي!$A$2:$A$1800,$A162,الريسبي!$B$2:$B$1800,I$1)</f>
        <v>0</v>
      </c>
      <c r="J162" s="115" t="n">
        <f aca="false">SUMIFS(الريسبي!$C$2:$C$1800,الريسبي!$A$2:$A$1800,$A162,الريسبي!$B$2:$B$1800,J$1)</f>
        <v>0</v>
      </c>
      <c r="K162" s="115" t="n">
        <f aca="false">SUMIFS(الريسبي!$C$2:$C$1800,الريسبي!$A$2:$A$1800,$A162,الريسبي!$B$2:$B$1800,K$1)</f>
        <v>0</v>
      </c>
      <c r="L162" s="115" t="n">
        <f aca="false">SUMIFS(الريسبي!$C$2:$C$1800,الريسبي!$A$2:$A$1800,$A162,الريسبي!$B$2:$B$1800,L$1)</f>
        <v>0</v>
      </c>
      <c r="M162" s="115" t="n">
        <f aca="false">SUMIFS(الريسبي!$C$2:$C$1800,الريسبي!$A$2:$A$1800,$A162,الريسبي!$B$2:$B$1800,M$1)</f>
        <v>0</v>
      </c>
      <c r="N162" s="115" t="n">
        <f aca="false">SUMIFS(الريسبي!$C$2:$C$1800,الريسبي!$A$2:$A$1800,$A162,الريسبي!$B$2:$B$1800,N$1)</f>
        <v>0</v>
      </c>
      <c r="O162" s="115" t="n">
        <f aca="false">SUMIFS(الريسبي!$C$2:$C$1800,الريسبي!$A$2:$A$1800,$A162,الريسبي!$B$2:$B$1800,O$1)</f>
        <v>0</v>
      </c>
      <c r="P162" s="115" t="n">
        <f aca="false">SUMIFS(الريسبي!$C$2:$C$1800,الريسبي!$A$2:$A$1800,$A162,الريسبي!$B$2:$B$1800,P$1)</f>
        <v>0</v>
      </c>
      <c r="Q162" s="115" t="n">
        <f aca="false">SUMIFS(الريسبي!$C$2:$C$1800,الريسبي!$A$2:$A$1800,$A162,الريسبي!$B$2:$B$1800,Q$1)</f>
        <v>0</v>
      </c>
      <c r="R162" s="115" t="n">
        <f aca="false">SUMIFS(الريسبي!$C$2:$C$1800,الريسبي!$A$2:$A$1800,$A162,الريسبي!$B$2:$B$1800,R$1)</f>
        <v>0</v>
      </c>
      <c r="S162" s="115" t="n">
        <f aca="false">SUMIFS(الريسبي!$C$2:$C$1800,الريسبي!$A$2:$A$1800,$A162,الريسبي!$B$2:$B$1800,S$1)</f>
        <v>0</v>
      </c>
      <c r="T162" s="115" t="n">
        <f aca="false">SUMIFS(الريسبي!$C$2:$C$1800,الريسبي!$A$2:$A$1800,$A162,الريسبي!$B$2:$B$1800,T$1)</f>
        <v>0</v>
      </c>
      <c r="U162" s="115" t="n">
        <f aca="false">SUMIFS(الريسبي!$C$2:$C$1800,الريسبي!$A$2:$A$1800,$A162,الريسبي!$B$2:$B$1800,U$1)</f>
        <v>0</v>
      </c>
      <c r="V162" s="115" t="n">
        <f aca="false">SUMIFS(الريسبي!$C$2:$C$1800,الريسبي!$A$2:$A$1800,$A162,الريسبي!$B$2:$B$1800,V$1)</f>
        <v>0</v>
      </c>
      <c r="W162" s="115" t="n">
        <f aca="false">SUMIFS(الريسبي!$C$2:$C$1800,الريسبي!$A$2:$A$1800,$A162,الريسبي!$B$2:$B$1800,W$1)</f>
        <v>0</v>
      </c>
      <c r="X162" s="115" t="n">
        <f aca="false">SUMIFS(الريسبي!$C$2:$C$1800,الريسبي!$A$2:$A$1800,$A162,الريسبي!$B$2:$B$1800,X$1)</f>
        <v>0</v>
      </c>
      <c r="Y162" s="115" t="n">
        <f aca="false">SUMIFS(الريسبي!$C$2:$C$1800,الريسبي!$A$2:$A$1800,$A162,الريسبي!$B$2:$B$1800,Y$1)</f>
        <v>0</v>
      </c>
      <c r="Z162" s="115" t="n">
        <f aca="false">SUMIFS(الريسبي!$C$2:$C$1800,الريسبي!$A$2:$A$1800,$A162,الريسبي!$B$2:$B$1800,Z$1)</f>
        <v>0</v>
      </c>
      <c r="AA162" s="115" t="n">
        <f aca="false">SUMIFS(الريسبي!$C$2:$C$1800,الريسبي!$A$2:$A$1800,$A162,الريسبي!$B$2:$B$1800,AA$1)</f>
        <v>0</v>
      </c>
      <c r="AB162" s="115" t="n">
        <f aca="false">SUMIFS(الريسبي!$C$2:$C$1800,الريسبي!$A$2:$A$1800,$A162,الريسبي!$B$2:$B$1800,AB$1)</f>
        <v>0</v>
      </c>
      <c r="AC162" s="115" t="n">
        <f aca="false">SUMIFS(الريسبي!$C$2:$C$1800,الريسبي!$A$2:$A$1800,$A162,الريسبي!$B$2:$B$1800,AC$1)</f>
        <v>0</v>
      </c>
      <c r="AD162" s="115" t="n">
        <f aca="false">SUMIFS(الريسبي!$C$2:$C$1800,الريسبي!$A$2:$A$1800,$A162,الريسبي!$B$2:$B$1800,AD$1)</f>
        <v>0</v>
      </c>
      <c r="AE162" s="115" t="n">
        <f aca="false">SUMIFS(الريسبي!$C$2:$C$1800,الريسبي!$A$2:$A$1800,$A162,الريسبي!$B$2:$B$1800,AE$1)</f>
        <v>0</v>
      </c>
      <c r="AF162" s="115" t="n">
        <f aca="false">SUMIFS(الريسبي!$C$2:$C$1800,الريسبي!$A$2:$A$1800,$A162,الريسبي!$B$2:$B$1800,AF$1)</f>
        <v>0</v>
      </c>
      <c r="AG162" s="115" t="n">
        <f aca="false">SUMIFS(الريسبي!$C$2:$C$1800,الريسبي!$A$2:$A$1800,$A162,الريسبي!$B$2:$B$1800,AG$1)</f>
        <v>0</v>
      </c>
      <c r="AH162" s="115" t="n">
        <f aca="false">SUMIFS(الريسبي!$C$2:$C$1800,الريسبي!$A$2:$A$1800,$A162,الريسبي!$B$2:$B$1800,AH$1)</f>
        <v>0</v>
      </c>
      <c r="AI162" s="115" t="n">
        <f aca="false">SUMIFS(الريسبي!$C$2:$C$1800,الريسبي!$A$2:$A$1800,$A162,الريسبي!$B$2:$B$1800,AI$1)</f>
        <v>0</v>
      </c>
      <c r="AJ162" s="115" t="n">
        <f aca="false">SUMIFS(الريسبي!$C$2:$C$1800,الريسبي!$A$2:$A$1800,$A162,الريسبي!$B$2:$B$1800,AJ$1)</f>
        <v>0</v>
      </c>
      <c r="AK162" s="115" t="n">
        <f aca="false">SUMIFS(الريسبي!$C$2:$C$1800,الريسبي!$A$2:$A$1800,$A162,الريسبي!$B$2:$B$1800,AK$1)</f>
        <v>0</v>
      </c>
      <c r="AL162" s="115" t="n">
        <f aca="false">SUMIFS(الريسبي!$C$2:$C$1800,الريسبي!$A$2:$A$1800,$A162,الريسبي!$B$2:$B$1800,AL$1)</f>
        <v>0</v>
      </c>
      <c r="AM162" s="115"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15"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15" t="n">
        <f aca="false">SUMIFS(الريسبي!$C$2:$C$1800,الريسبي!$A$2:$A$1800,$A162,الريسبي!$B$2:$B$1800,AO$1)</f>
        <v>0</v>
      </c>
      <c r="AP162" s="115" t="n">
        <f aca="false">SUMIFS(الريسبي!$C$2:$C$1800,الريسبي!$A$2:$A$1800,$A162,الريسبي!$B$2:$B$1800,AP$1)</f>
        <v>0</v>
      </c>
      <c r="AQ162" s="115"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15" t="n">
        <f aca="false">SUMIFS(الريسبي!$C$2:$C$1800,الريسبي!$A$2:$A$1800,$A162,الريسبي!$B$2:$B$1800,AR$1)</f>
        <v>0</v>
      </c>
      <c r="AS162" s="115" t="n">
        <f aca="false">SUMIFS(الريسبي!$C$2:$C$1800,الريسبي!$A$2:$A$1800,$A162,الريسبي!$B$2:$B$1800,AS$1)</f>
        <v>0</v>
      </c>
      <c r="AT162" s="115" t="n">
        <f aca="false">SUMIFS(الريسبي!$C$2:$C$1800,الريسبي!$A$2:$A$1800,$A162,الريسبي!$B$2:$B$1800,AT$1)</f>
        <v>0</v>
      </c>
      <c r="AU162" s="115" t="n">
        <f aca="false">SUMIFS(الريسبي!$C$2:$C$1800,الريسبي!$A$2:$A$1800,$A162,الريسبي!$B$2:$B$1800,AU$1)</f>
        <v>0</v>
      </c>
      <c r="AV162" s="115" t="n">
        <f aca="false">SUMIFS(الريسبي!$C$2:$C$1800,الريسبي!$A$2:$A$1800,$A162,الريسبي!$B$2:$B$1800,AV$1)</f>
        <v>0</v>
      </c>
      <c r="AW162" s="115" t="n">
        <f aca="false">SUMIFS(الريسبي!$C$2:$C$1800,الريسبي!$A$2:$A$1800,$A162,الريسبي!$B$2:$B$1800,AW$1)</f>
        <v>0</v>
      </c>
      <c r="AX162" s="115" t="n">
        <f aca="false">SUMIFS(الريسبي!$C$2:$C$1800,الريسبي!$A$2:$A$1800,$A162,الريسبي!$B$2:$B$1800,AX$1)</f>
        <v>0</v>
      </c>
      <c r="AY162" s="115" t="n">
        <f aca="false">SUMIFS(الريسبي!$C$2:$C$1800,الريسبي!$A$2:$A$1800,$A162,الريسبي!$B$2:$B$1800,AY$1)</f>
        <v>0</v>
      </c>
      <c r="AZ162" s="115" t="n">
        <f aca="false">SUMIFS(الريسبي!$C$2:$C$1800,الريسبي!$A$2:$A$1800,$A162,الريسبي!$B$2:$B$1800,AZ$1)</f>
        <v>0</v>
      </c>
      <c r="BA162" s="115" t="n">
        <f aca="false">SUMIFS(الريسبي!$C$2:$C$1800,الريسبي!$A$2:$A$1800,$A162,الريسبي!$B$2:$B$1800,BA$1)</f>
        <v>0</v>
      </c>
      <c r="BB162" s="115" t="n">
        <f aca="false">SUMIFS(الريسبي!$C$2:$C$1800,الريسبي!$A$2:$A$1800,$A162,الريسبي!$B$2:$B$1800,BB$1)</f>
        <v>0</v>
      </c>
      <c r="BC162" s="115" t="n">
        <f aca="false">SUMIFS(الريسبي!$C$2:$C$1800,الريسبي!$A$2:$A$1800,$A162,الريسبي!$B$2:$B$1800,BC$1)</f>
        <v>0</v>
      </c>
      <c r="BD162" s="115" t="n">
        <f aca="false">SUMIFS(الريسبي!$C$2:$C$1800,الريسبي!$A$2:$A$1800,$A162,الريسبي!$B$2:$B$1800,BD$1)</f>
        <v>0</v>
      </c>
      <c r="BE162" s="115" t="n">
        <f aca="false">SUMIFS(الريسبي!$C$2:$C$1800,الريسبي!$A$2:$A$1800,$A162,الريسبي!$B$2:$B$1800,BE$1)</f>
        <v>0</v>
      </c>
      <c r="BF162" s="115" t="n">
        <f aca="false">SUMIFS(الريسبي!$C$2:$C$1800,الريسبي!$A$2:$A$1800,$A162,الريسبي!$B$2:$B$1800,BF$1)</f>
        <v>0</v>
      </c>
      <c r="BG162" s="115" t="n">
        <f aca="false">SUMIFS(الريسبي!$C$2:$C$1800,الريسبي!$A$2:$A$1800,$A162,الريسبي!$B$2:$B$1800,BG$1)</f>
        <v>0</v>
      </c>
      <c r="BH162" s="115" t="n">
        <f aca="false">SUMIFS(الريسبي!$C$2:$C$1800,الريسبي!$A$2:$A$1800,$A162,الريسبي!$B$2:$B$1800,BH$1)</f>
        <v>0</v>
      </c>
      <c r="BI162" s="115" t="n">
        <f aca="false">SUMIFS(الريسبي!$C$2:$C$1800,الريسبي!$A$2:$A$1800,$A162,الريسبي!$B$2:$B$1800,BI$1)</f>
        <v>0</v>
      </c>
      <c r="BJ162" s="115" t="n">
        <f aca="false">SUMIFS(الريسبي!$C$2:$C$1800,الريسبي!$A$2:$A$1800,$A162,الريسبي!$B$2:$B$1800,BJ$1)</f>
        <v>0</v>
      </c>
      <c r="BK162" s="115" t="n">
        <f aca="false">SUMIFS(الريسبي!$C$2:$C$1800,الريسبي!$A$2:$A$1800,$A162,الريسبي!$B$2:$B$1800,BK$1)</f>
        <v>0</v>
      </c>
      <c r="BL162" s="115" t="n">
        <f aca="false">SUMIFS(الريسبي!$C$2:$C$1800,الريسبي!$A$2:$A$1800,$A162,الريسبي!$B$2:$B$1800,BL$1)</f>
        <v>0</v>
      </c>
      <c r="BM162" s="115" t="n">
        <f aca="false">SUMIFS(الريسبي!$C$2:$C$1800,الريسبي!$A$2:$A$1800,$A162,الريسبي!$B$2:$B$1800,BM$1)</f>
        <v>0</v>
      </c>
      <c r="BN162" s="115" t="n">
        <f aca="false">SUMIFS(الريسبي!$C$2:$C$1800,الريسبي!$A$2:$A$1800,$A162,الريسبي!$B$2:$B$1800,BN$1)</f>
        <v>0</v>
      </c>
      <c r="BO162" s="115" t="n">
        <f aca="false">SUMIFS(الريسبي!$C$2:$C$1800,الريسبي!$A$2:$A$1800,$A162,الريسبي!$B$2:$B$1800,BO$1)</f>
        <v>0</v>
      </c>
      <c r="BP162" s="115" t="n">
        <f aca="false">SUMIFS(الريسبي!$C$2:$C$1800,الريسبي!$A$2:$A$1800,$A162,الريسبي!$B$2:$B$1800,BP$1)</f>
        <v>0</v>
      </c>
      <c r="BQ162" s="115"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15" t="n">
        <f aca="false">SUMIFS(الريسبي!$C$2:$C$1800,الريسبي!$A$2:$A$1800,$A162,الريسبي!$B$2:$B$1800,BR$1)</f>
        <v>0</v>
      </c>
      <c r="BS162" s="115" t="n">
        <f aca="false">SUMIFS(الريسبي!$C$2:$C$1800,الريسبي!$A$2:$A$1800,$A162,الريسبي!$B$2:$B$1800,BS$1)</f>
        <v>0</v>
      </c>
      <c r="BT162" s="115" t="n">
        <f aca="false">SUMIFS(الريسبي!$C$2:$C$1800,الريسبي!$A$2:$A$1800,$A162,الريسبي!$B$2:$B$1800,BT$1)</f>
        <v>0</v>
      </c>
      <c r="BU162" s="115"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15" t="n">
        <f aca="false">SUMIFS(الريسبي!$C$2:$C$1800,الريسبي!$A$2:$A$1800,$A162,الريسبي!$B$2:$B$1800,BV$1)</f>
        <v>0</v>
      </c>
      <c r="BW162" s="115" t="n">
        <f aca="false">SUMIFS(الريسبي!$C$2:$C$1800,الريسبي!$A$2:$A$1800,$A162,الريسبي!$B$2:$B$1800,BW$1)</f>
        <v>0.09</v>
      </c>
      <c r="BX162" s="115" t="n">
        <f aca="false">SUMIFS(الريسبي!$C$2:$C$1800,الريسبي!$A$2:$A$1800,$A162,الريسبي!$B$2:$B$1800,BX$1)</f>
        <v>0</v>
      </c>
      <c r="BY162" s="115" t="n">
        <f aca="false">SUMIFS(الريسبي!$C$2:$C$1800,الريسبي!$A$2:$A$1800,$A162,الريسبي!$B$2:$B$1800,BY$1)</f>
        <v>0</v>
      </c>
      <c r="BZ162" s="115" t="n">
        <f aca="false">SUMIFS(الريسبي!$C$2:$C$1800,الريسبي!$A$2:$A$1800,$A162,الريسبي!$B$2:$B$1800,BZ$1)</f>
        <v>0</v>
      </c>
      <c r="CA162" s="115" t="n">
        <f aca="false">SUMIFS(الريسبي!$C$2:$C$1800,الريسبي!$A$2:$A$1800,$A162,الريسبي!$B$2:$B$1800,CA$1)</f>
        <v>0</v>
      </c>
      <c r="CB162" s="115" t="n">
        <f aca="false">SUMIFS(الريسبي!$C$2:$C$1800,الريسبي!$A$2:$A$1800,$A162,الريسبي!$B$2:$B$1800,CB$1)</f>
        <v>0</v>
      </c>
      <c r="CC162" s="115" t="n">
        <f aca="false">SUMIFS(الريسبي!$C$2:$C$1800,الريسبي!$A$2:$A$1800,$A162,الريسبي!$B$2:$B$1800,CC$1)</f>
        <v>0</v>
      </c>
      <c r="CD162" s="115" t="n">
        <f aca="false">SUMIFS(الريسبي!$C$2:$C$1800,الريسبي!$A$2:$A$1800,$A162,الريسبي!$B$2:$B$1800,CD$1)</f>
        <v>0</v>
      </c>
      <c r="CE162" s="115" t="n">
        <f aca="false">SUMIFS(الريسبي!$C$2:$C$1800,الريسبي!$A$2:$A$1800,$A162,الريسبي!$B$2:$B$1800,CE$1)</f>
        <v>0</v>
      </c>
      <c r="CF162" s="115" t="n">
        <f aca="false">SUMIFS(الريسبي!$C$2:$C$1800,الريسبي!$A$2:$A$1800,$A162,الريسبي!$B$2:$B$1800,CF$1)</f>
        <v>0</v>
      </c>
      <c r="CG162" s="115" t="n">
        <f aca="false">SUMIFS(الريسبي!$C$2:$C$1800,الريسبي!$A$2:$A$1800,$A162,الريسبي!$B$2:$B$1800,CG$1)</f>
        <v>0</v>
      </c>
      <c r="CH162" s="115" t="n">
        <f aca="false">SUMIFS(الريسبي!$C$2:$C$1800,الريسبي!$A$2:$A$1800,$A162,الريسبي!$B$2:$B$1800,CH$1)</f>
        <v>0</v>
      </c>
    </row>
    <row r="163" customFormat="false" ht="15" hidden="false" customHeight="false" outlineLevel="0" collapsed="false">
      <c r="A163" s="114" t="str">
        <f aca="false">المنيو!B163</f>
        <v>إضافة وش بيتزا (مخصوص) (وسط)</v>
      </c>
      <c r="B163" s="115" t="n">
        <f aca="false">SUMIFS(الريسبي!$C$2:$C$1800,الريسبي!$A$2:$A$1800,$A163,الريسبي!$B$2:$B$1800,B$1)</f>
        <v>0</v>
      </c>
      <c r="C163" s="115" t="n">
        <f aca="false">SUMIFS(الريسبي!$C$2:$C$1800,الريسبي!$A$2:$A$1800,$A163,الريسبي!$B$2:$B$1800,C$1)</f>
        <v>0</v>
      </c>
      <c r="D163" s="115" t="n">
        <f aca="false">SUMIFS(الريسبي!$C$2:$C$1800,الريسبي!$A$2:$A$1800,$A163,الريسبي!$B$2:$B$1800,D$1)</f>
        <v>0</v>
      </c>
      <c r="E163" s="115" t="n">
        <f aca="false">SUMIFS(الريسبي!$C$2:$C$1800,الريسبي!$A$2:$A$1800,$A163,الريسبي!$B$2:$B$1800,E$1)</f>
        <v>0</v>
      </c>
      <c r="F163" s="115" t="n">
        <f aca="false">SUMIFS(الريسبي!$C$2:$C$1800,الريسبي!$A$2:$A$1800,$A163,الريسبي!$B$2:$B$1800,F$1)</f>
        <v>0</v>
      </c>
      <c r="G163" s="115" t="n">
        <f aca="false">SUMIFS(الريسبي!$C$2:$C$1800,الريسبي!$A$2:$A$1800,$A163,الريسبي!$B$2:$B$1800,G$1)</f>
        <v>0</v>
      </c>
      <c r="H163" s="115" t="n">
        <f aca="false">SUMIFS(الريسبي!$C$2:$C$1800,الريسبي!$A$2:$A$1800,$A163,الريسبي!$B$2:$B$1800,H$1)</f>
        <v>0</v>
      </c>
      <c r="I163" s="115" t="n">
        <f aca="false">SUMIFS(الريسبي!$C$2:$C$1800,الريسبي!$A$2:$A$1800,$A163,الريسبي!$B$2:$B$1800,I$1)</f>
        <v>0</v>
      </c>
      <c r="J163" s="115" t="n">
        <f aca="false">SUMIFS(الريسبي!$C$2:$C$1800,الريسبي!$A$2:$A$1800,$A163,الريسبي!$B$2:$B$1800,J$1)</f>
        <v>0</v>
      </c>
      <c r="K163" s="115" t="n">
        <f aca="false">SUMIFS(الريسبي!$C$2:$C$1800,الريسبي!$A$2:$A$1800,$A163,الريسبي!$B$2:$B$1800,K$1)</f>
        <v>0</v>
      </c>
      <c r="L163" s="115" t="n">
        <f aca="false">SUMIFS(الريسبي!$C$2:$C$1800,الريسبي!$A$2:$A$1800,$A163,الريسبي!$B$2:$B$1800,L$1)</f>
        <v>0</v>
      </c>
      <c r="M163" s="115" t="n">
        <f aca="false">SUMIFS(الريسبي!$C$2:$C$1800,الريسبي!$A$2:$A$1800,$A163,الريسبي!$B$2:$B$1800,M$1)</f>
        <v>0</v>
      </c>
      <c r="N163" s="115" t="n">
        <f aca="false">SUMIFS(الريسبي!$C$2:$C$1800,الريسبي!$A$2:$A$1800,$A163,الريسبي!$B$2:$B$1800,N$1)</f>
        <v>0</v>
      </c>
      <c r="O163" s="115" t="n">
        <f aca="false">SUMIFS(الريسبي!$C$2:$C$1800,الريسبي!$A$2:$A$1800,$A163,الريسبي!$B$2:$B$1800,O$1)</f>
        <v>0</v>
      </c>
      <c r="P163" s="115" t="n">
        <f aca="false">SUMIFS(الريسبي!$C$2:$C$1800,الريسبي!$A$2:$A$1800,$A163,الريسبي!$B$2:$B$1800,P$1)</f>
        <v>0</v>
      </c>
      <c r="Q163" s="115" t="n">
        <f aca="false">SUMIFS(الريسبي!$C$2:$C$1800,الريسبي!$A$2:$A$1800,$A163,الريسبي!$B$2:$B$1800,Q$1)</f>
        <v>0</v>
      </c>
      <c r="R163" s="115" t="n">
        <f aca="false">SUMIFS(الريسبي!$C$2:$C$1800,الريسبي!$A$2:$A$1800,$A163,الريسبي!$B$2:$B$1800,R$1)</f>
        <v>0</v>
      </c>
      <c r="S163" s="115" t="n">
        <f aca="false">SUMIFS(الريسبي!$C$2:$C$1800,الريسبي!$A$2:$A$1800,$A163,الريسبي!$B$2:$B$1800,S$1)</f>
        <v>0</v>
      </c>
      <c r="T163" s="115" t="n">
        <f aca="false">SUMIFS(الريسبي!$C$2:$C$1800,الريسبي!$A$2:$A$1800,$A163,الريسبي!$B$2:$B$1800,T$1)</f>
        <v>0</v>
      </c>
      <c r="U163" s="115" t="n">
        <f aca="false">SUMIFS(الريسبي!$C$2:$C$1800,الريسبي!$A$2:$A$1800,$A163,الريسبي!$B$2:$B$1800,U$1)</f>
        <v>0</v>
      </c>
      <c r="V163" s="115" t="n">
        <f aca="false">SUMIFS(الريسبي!$C$2:$C$1800,الريسبي!$A$2:$A$1800,$A163,الريسبي!$B$2:$B$1800,V$1)</f>
        <v>1</v>
      </c>
      <c r="W163" s="115" t="n">
        <f aca="false">SUMIFS(الريسبي!$C$2:$C$1800,الريسبي!$A$2:$A$1800,$A163,الريسبي!$B$2:$B$1800,W$1)</f>
        <v>0</v>
      </c>
      <c r="X163" s="115" t="n">
        <f aca="false">SUMIFS(الريسبي!$C$2:$C$1800,الريسبي!$A$2:$A$1800,$A163,الريسبي!$B$2:$B$1800,X$1)</f>
        <v>0</v>
      </c>
      <c r="Y163" s="115" t="n">
        <f aca="false">SUMIFS(الريسبي!$C$2:$C$1800,الريسبي!$A$2:$A$1800,$A163,الريسبي!$B$2:$B$1800,Y$1)</f>
        <v>0</v>
      </c>
      <c r="Z163" s="115" t="n">
        <f aca="false">SUMIFS(الريسبي!$C$2:$C$1800,الريسبي!$A$2:$A$1800,$A163,الريسبي!$B$2:$B$1800,Z$1)</f>
        <v>0</v>
      </c>
      <c r="AA163" s="115" t="n">
        <f aca="false">SUMIFS(الريسبي!$C$2:$C$1800,الريسبي!$A$2:$A$1800,$A163,الريسبي!$B$2:$B$1800,AA$1)</f>
        <v>0</v>
      </c>
      <c r="AB163" s="115" t="n">
        <f aca="false">SUMIFS(الريسبي!$C$2:$C$1800,الريسبي!$A$2:$A$1800,$A163,الريسبي!$B$2:$B$1800,AB$1)</f>
        <v>0</v>
      </c>
      <c r="AC163" s="115" t="n">
        <f aca="false">SUMIFS(الريسبي!$C$2:$C$1800,الريسبي!$A$2:$A$1800,$A163,الريسبي!$B$2:$B$1800,AC$1)</f>
        <v>0</v>
      </c>
      <c r="AD163" s="115" t="n">
        <f aca="false">SUMIFS(الريسبي!$C$2:$C$1800,الريسبي!$A$2:$A$1800,$A163,الريسبي!$B$2:$B$1800,AD$1)</f>
        <v>0</v>
      </c>
      <c r="AE163" s="115" t="n">
        <f aca="false">SUMIFS(الريسبي!$C$2:$C$1800,الريسبي!$A$2:$A$1800,$A163,الريسبي!$B$2:$B$1800,AE$1)</f>
        <v>0</v>
      </c>
      <c r="AF163" s="115" t="n">
        <f aca="false">SUMIFS(الريسبي!$C$2:$C$1800,الريسبي!$A$2:$A$1800,$A163,الريسبي!$B$2:$B$1800,AF$1)</f>
        <v>0</v>
      </c>
      <c r="AG163" s="115" t="n">
        <f aca="false">SUMIFS(الريسبي!$C$2:$C$1800,الريسبي!$A$2:$A$1800,$A163,الريسبي!$B$2:$B$1800,AG$1)</f>
        <v>0</v>
      </c>
      <c r="AH163" s="115" t="n">
        <f aca="false">SUMIFS(الريسبي!$C$2:$C$1800,الريسبي!$A$2:$A$1800,$A163,الريسبي!$B$2:$B$1800,AH$1)</f>
        <v>0</v>
      </c>
      <c r="AI163" s="115" t="n">
        <f aca="false">SUMIFS(الريسبي!$C$2:$C$1800,الريسبي!$A$2:$A$1800,$A163,الريسبي!$B$2:$B$1800,AI$1)</f>
        <v>0</v>
      </c>
      <c r="AJ163" s="115" t="n">
        <f aca="false">SUMIFS(الريسبي!$C$2:$C$1800,الريسبي!$A$2:$A$1800,$A163,الريسبي!$B$2:$B$1800,AJ$1)</f>
        <v>0</v>
      </c>
      <c r="AK163" s="115" t="n">
        <f aca="false">SUMIFS(الريسبي!$C$2:$C$1800,الريسبي!$A$2:$A$1800,$A163,الريسبي!$B$2:$B$1800,AK$1)</f>
        <v>0</v>
      </c>
      <c r="AL163" s="115" t="n">
        <f aca="false">SUMIFS(الريسبي!$C$2:$C$1800,الريسبي!$A$2:$A$1800,$A163,الريسبي!$B$2:$B$1800,AL$1)</f>
        <v>0</v>
      </c>
      <c r="AM163" s="115"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15"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15" t="n">
        <f aca="false">SUMIFS(الريسبي!$C$2:$C$1800,الريسبي!$A$2:$A$1800,$A163,الريسبي!$B$2:$B$1800,AO$1)</f>
        <v>0</v>
      </c>
      <c r="AP163" s="115" t="n">
        <f aca="false">SUMIFS(الريسبي!$C$2:$C$1800,الريسبي!$A$2:$A$1800,$A163,الريسبي!$B$2:$B$1800,AP$1)</f>
        <v>0</v>
      </c>
      <c r="AQ163" s="115"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15" t="n">
        <f aca="false">SUMIFS(الريسبي!$C$2:$C$1800,الريسبي!$A$2:$A$1800,$A163,الريسبي!$B$2:$B$1800,AR$1)</f>
        <v>0</v>
      </c>
      <c r="AS163" s="115" t="n">
        <f aca="false">SUMIFS(الريسبي!$C$2:$C$1800,الريسبي!$A$2:$A$1800,$A163,الريسبي!$B$2:$B$1800,AS$1)</f>
        <v>0</v>
      </c>
      <c r="AT163" s="115" t="n">
        <f aca="false">SUMIFS(الريسبي!$C$2:$C$1800,الريسبي!$A$2:$A$1800,$A163,الريسبي!$B$2:$B$1800,AT$1)</f>
        <v>0</v>
      </c>
      <c r="AU163" s="115" t="n">
        <f aca="false">SUMIFS(الريسبي!$C$2:$C$1800,الريسبي!$A$2:$A$1800,$A163,الريسبي!$B$2:$B$1800,AU$1)</f>
        <v>0</v>
      </c>
      <c r="AV163" s="115" t="n">
        <f aca="false">SUMIFS(الريسبي!$C$2:$C$1800,الريسبي!$A$2:$A$1800,$A163,الريسبي!$B$2:$B$1800,AV$1)</f>
        <v>0</v>
      </c>
      <c r="AW163" s="115" t="n">
        <f aca="false">SUMIFS(الريسبي!$C$2:$C$1800,الريسبي!$A$2:$A$1800,$A163,الريسبي!$B$2:$B$1800,AW$1)</f>
        <v>0</v>
      </c>
      <c r="AX163" s="115" t="n">
        <f aca="false">SUMIFS(الريسبي!$C$2:$C$1800,الريسبي!$A$2:$A$1800,$A163,الريسبي!$B$2:$B$1800,AX$1)</f>
        <v>0</v>
      </c>
      <c r="AY163" s="115" t="n">
        <f aca="false">SUMIFS(الريسبي!$C$2:$C$1800,الريسبي!$A$2:$A$1800,$A163,الريسبي!$B$2:$B$1800,AY$1)</f>
        <v>0</v>
      </c>
      <c r="AZ163" s="115" t="n">
        <f aca="false">SUMIFS(الريسبي!$C$2:$C$1800,الريسبي!$A$2:$A$1800,$A163,الريسبي!$B$2:$B$1800,AZ$1)</f>
        <v>0</v>
      </c>
      <c r="BA163" s="115" t="n">
        <f aca="false">SUMIFS(الريسبي!$C$2:$C$1800,الريسبي!$A$2:$A$1800,$A163,الريسبي!$B$2:$B$1800,BA$1)</f>
        <v>0</v>
      </c>
      <c r="BB163" s="115" t="n">
        <f aca="false">SUMIFS(الريسبي!$C$2:$C$1800,الريسبي!$A$2:$A$1800,$A163,الريسبي!$B$2:$B$1800,BB$1)</f>
        <v>0</v>
      </c>
      <c r="BC163" s="115" t="n">
        <f aca="false">SUMIFS(الريسبي!$C$2:$C$1800,الريسبي!$A$2:$A$1800,$A163,الريسبي!$B$2:$B$1800,BC$1)</f>
        <v>0</v>
      </c>
      <c r="BD163" s="115" t="n">
        <f aca="false">SUMIFS(الريسبي!$C$2:$C$1800,الريسبي!$A$2:$A$1800,$A163,الريسبي!$B$2:$B$1800,BD$1)</f>
        <v>0</v>
      </c>
      <c r="BE163" s="115" t="n">
        <f aca="false">SUMIFS(الريسبي!$C$2:$C$1800,الريسبي!$A$2:$A$1800,$A163,الريسبي!$B$2:$B$1800,BE$1)</f>
        <v>0</v>
      </c>
      <c r="BF163" s="115" t="n">
        <f aca="false">SUMIFS(الريسبي!$C$2:$C$1800,الريسبي!$A$2:$A$1800,$A163,الريسبي!$B$2:$B$1800,BF$1)</f>
        <v>0</v>
      </c>
      <c r="BG163" s="115" t="n">
        <f aca="false">SUMIFS(الريسبي!$C$2:$C$1800,الريسبي!$A$2:$A$1800,$A163,الريسبي!$B$2:$B$1800,BG$1)</f>
        <v>0</v>
      </c>
      <c r="BH163" s="115" t="n">
        <f aca="false">SUMIFS(الريسبي!$C$2:$C$1800,الريسبي!$A$2:$A$1800,$A163,الريسبي!$B$2:$B$1800,BH$1)</f>
        <v>0</v>
      </c>
      <c r="BI163" s="115" t="n">
        <f aca="false">SUMIFS(الريسبي!$C$2:$C$1800,الريسبي!$A$2:$A$1800,$A163,الريسبي!$B$2:$B$1800,BI$1)</f>
        <v>0</v>
      </c>
      <c r="BJ163" s="115" t="n">
        <f aca="false">SUMIFS(الريسبي!$C$2:$C$1800,الريسبي!$A$2:$A$1800,$A163,الريسبي!$B$2:$B$1800,BJ$1)</f>
        <v>0</v>
      </c>
      <c r="BK163" s="115" t="n">
        <f aca="false">SUMIFS(الريسبي!$C$2:$C$1800,الريسبي!$A$2:$A$1800,$A163,الريسبي!$B$2:$B$1800,BK$1)</f>
        <v>0</v>
      </c>
      <c r="BL163" s="115" t="n">
        <f aca="false">SUMIFS(الريسبي!$C$2:$C$1800,الريسبي!$A$2:$A$1800,$A163,الريسبي!$B$2:$B$1800,BL$1)</f>
        <v>0</v>
      </c>
      <c r="BM163" s="115" t="n">
        <f aca="false">SUMIFS(الريسبي!$C$2:$C$1800,الريسبي!$A$2:$A$1800,$A163,الريسبي!$B$2:$B$1800,BM$1)</f>
        <v>0</v>
      </c>
      <c r="BN163" s="115" t="n">
        <f aca="false">SUMIFS(الريسبي!$C$2:$C$1800,الريسبي!$A$2:$A$1800,$A163,الريسبي!$B$2:$B$1800,BN$1)</f>
        <v>0</v>
      </c>
      <c r="BO163" s="115" t="n">
        <f aca="false">SUMIFS(الريسبي!$C$2:$C$1800,الريسبي!$A$2:$A$1800,$A163,الريسبي!$B$2:$B$1800,BO$1)</f>
        <v>0</v>
      </c>
      <c r="BP163" s="115" t="n">
        <f aca="false">SUMIFS(الريسبي!$C$2:$C$1800,الريسبي!$A$2:$A$1800,$A163,الريسبي!$B$2:$B$1800,BP$1)</f>
        <v>0</v>
      </c>
      <c r="BQ163" s="115"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15" t="n">
        <f aca="false">SUMIFS(الريسبي!$C$2:$C$1800,الريسبي!$A$2:$A$1800,$A163,الريسبي!$B$2:$B$1800,BR$1)</f>
        <v>0</v>
      </c>
      <c r="BS163" s="115" t="n">
        <f aca="false">SUMIFS(الريسبي!$C$2:$C$1800,الريسبي!$A$2:$A$1800,$A163,الريسبي!$B$2:$B$1800,BS$1)</f>
        <v>0</v>
      </c>
      <c r="BT163" s="115" t="n">
        <f aca="false">SUMIFS(الريسبي!$C$2:$C$1800,الريسبي!$A$2:$A$1800,$A163,الريسبي!$B$2:$B$1800,BT$1)</f>
        <v>0</v>
      </c>
      <c r="BU163" s="115"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15" t="n">
        <f aca="false">SUMIFS(الريسبي!$C$2:$C$1800,الريسبي!$A$2:$A$1800,$A163,الريسبي!$B$2:$B$1800,BV$1)</f>
        <v>0</v>
      </c>
      <c r="BW163" s="115" t="n">
        <f aca="false">SUMIFS(الريسبي!$C$2:$C$1800,الريسبي!$A$2:$A$1800,$A163,الريسبي!$B$2:$B$1800,BW$1)</f>
        <v>0</v>
      </c>
      <c r="BX163" s="115" t="n">
        <f aca="false">SUMIFS(الريسبي!$C$2:$C$1800,الريسبي!$A$2:$A$1800,$A163,الريسبي!$B$2:$B$1800,BX$1)</f>
        <v>0</v>
      </c>
      <c r="BY163" s="115" t="n">
        <f aca="false">SUMIFS(الريسبي!$C$2:$C$1800,الريسبي!$A$2:$A$1800,$A163,الريسبي!$B$2:$B$1800,BY$1)</f>
        <v>0</v>
      </c>
      <c r="BZ163" s="115" t="n">
        <f aca="false">SUMIFS(الريسبي!$C$2:$C$1800,الريسبي!$A$2:$A$1800,$A163,الريسبي!$B$2:$B$1800,BZ$1)</f>
        <v>0</v>
      </c>
      <c r="CA163" s="115" t="n">
        <f aca="false">SUMIFS(الريسبي!$C$2:$C$1800,الريسبي!$A$2:$A$1800,$A163,الريسبي!$B$2:$B$1800,CA$1)</f>
        <v>0</v>
      </c>
      <c r="CB163" s="115" t="n">
        <f aca="false">SUMIFS(الريسبي!$C$2:$C$1800,الريسبي!$A$2:$A$1800,$A163,الريسبي!$B$2:$B$1800,CB$1)</f>
        <v>0</v>
      </c>
      <c r="CC163" s="115" t="n">
        <f aca="false">SUMIFS(الريسبي!$C$2:$C$1800,الريسبي!$A$2:$A$1800,$A163,الريسبي!$B$2:$B$1800,CC$1)</f>
        <v>0</v>
      </c>
      <c r="CD163" s="115" t="n">
        <f aca="false">SUMIFS(الريسبي!$C$2:$C$1800,الريسبي!$A$2:$A$1800,$A163,الريسبي!$B$2:$B$1800,CD$1)</f>
        <v>0</v>
      </c>
      <c r="CE163" s="115" t="n">
        <f aca="false">SUMIFS(الريسبي!$C$2:$C$1800,الريسبي!$A$2:$A$1800,$A163,الريسبي!$B$2:$B$1800,CE$1)</f>
        <v>0</v>
      </c>
      <c r="CF163" s="115" t="n">
        <f aca="false">SUMIFS(الريسبي!$C$2:$C$1800,الريسبي!$A$2:$A$1800,$A163,الريسبي!$B$2:$B$1800,CF$1)</f>
        <v>0</v>
      </c>
      <c r="CG163" s="115" t="n">
        <f aca="false">SUMIFS(الريسبي!$C$2:$C$1800,الريسبي!$A$2:$A$1800,$A163,الريسبي!$B$2:$B$1800,CG$1)</f>
        <v>0</v>
      </c>
      <c r="CH163" s="115" t="n">
        <f aca="false">SUMIFS(الريسبي!$C$2:$C$1800,الريسبي!$A$2:$A$1800,$A163,الريسبي!$B$2:$B$1800,CH$1)</f>
        <v>0</v>
      </c>
    </row>
    <row r="164" customFormat="false" ht="15" hidden="false" customHeight="false" outlineLevel="0" collapsed="false">
      <c r="A164" s="114" t="str">
        <f aca="false">المنيو!B164</f>
        <v>إضافة وش بيتزا (مخصوص) (كبير)</v>
      </c>
      <c r="B164" s="115" t="n">
        <f aca="false">SUMIFS(الريسبي!$C$2:$C$1800,الريسبي!$A$2:$A$1800,$A164,الريسبي!$B$2:$B$1800,B$1)</f>
        <v>0</v>
      </c>
      <c r="C164" s="115" t="n">
        <f aca="false">SUMIFS(الريسبي!$C$2:$C$1800,الريسبي!$A$2:$A$1800,$A164,الريسبي!$B$2:$B$1800,C$1)</f>
        <v>0</v>
      </c>
      <c r="D164" s="115" t="n">
        <f aca="false">SUMIFS(الريسبي!$C$2:$C$1800,الريسبي!$A$2:$A$1800,$A164,الريسبي!$B$2:$B$1800,D$1)</f>
        <v>0</v>
      </c>
      <c r="E164" s="115" t="n">
        <f aca="false">SUMIFS(الريسبي!$C$2:$C$1800,الريسبي!$A$2:$A$1800,$A164,الريسبي!$B$2:$B$1800,E$1)</f>
        <v>0</v>
      </c>
      <c r="F164" s="115" t="n">
        <f aca="false">SUMIFS(الريسبي!$C$2:$C$1800,الريسبي!$A$2:$A$1800,$A164,الريسبي!$B$2:$B$1800,F$1)</f>
        <v>0</v>
      </c>
      <c r="G164" s="115" t="n">
        <f aca="false">SUMIFS(الريسبي!$C$2:$C$1800,الريسبي!$A$2:$A$1800,$A164,الريسبي!$B$2:$B$1800,G$1)</f>
        <v>0</v>
      </c>
      <c r="H164" s="115" t="n">
        <f aca="false">SUMIFS(الريسبي!$C$2:$C$1800,الريسبي!$A$2:$A$1800,$A164,الريسبي!$B$2:$B$1800,H$1)</f>
        <v>0</v>
      </c>
      <c r="I164" s="115" t="n">
        <f aca="false">SUMIFS(الريسبي!$C$2:$C$1800,الريسبي!$A$2:$A$1800,$A164,الريسبي!$B$2:$B$1800,I$1)</f>
        <v>0</v>
      </c>
      <c r="J164" s="115" t="n">
        <f aca="false">SUMIFS(الريسبي!$C$2:$C$1800,الريسبي!$A$2:$A$1800,$A164,الريسبي!$B$2:$B$1800,J$1)</f>
        <v>0</v>
      </c>
      <c r="K164" s="115" t="n">
        <f aca="false">SUMIFS(الريسبي!$C$2:$C$1800,الريسبي!$A$2:$A$1800,$A164,الريسبي!$B$2:$B$1800,K$1)</f>
        <v>0</v>
      </c>
      <c r="L164" s="115" t="n">
        <f aca="false">SUMIFS(الريسبي!$C$2:$C$1800,الريسبي!$A$2:$A$1800,$A164,الريسبي!$B$2:$B$1800,L$1)</f>
        <v>0</v>
      </c>
      <c r="M164" s="115" t="n">
        <f aca="false">SUMIFS(الريسبي!$C$2:$C$1800,الريسبي!$A$2:$A$1800,$A164,الريسبي!$B$2:$B$1800,M$1)</f>
        <v>0</v>
      </c>
      <c r="N164" s="115" t="n">
        <f aca="false">SUMIFS(الريسبي!$C$2:$C$1800,الريسبي!$A$2:$A$1800,$A164,الريسبي!$B$2:$B$1800,N$1)</f>
        <v>0</v>
      </c>
      <c r="O164" s="115" t="n">
        <f aca="false">SUMIFS(الريسبي!$C$2:$C$1800,الريسبي!$A$2:$A$1800,$A164,الريسبي!$B$2:$B$1800,O$1)</f>
        <v>0</v>
      </c>
      <c r="P164" s="115" t="n">
        <f aca="false">SUMIFS(الريسبي!$C$2:$C$1800,الريسبي!$A$2:$A$1800,$A164,الريسبي!$B$2:$B$1800,P$1)</f>
        <v>0</v>
      </c>
      <c r="Q164" s="115" t="n">
        <f aca="false">SUMIFS(الريسبي!$C$2:$C$1800,الريسبي!$A$2:$A$1800,$A164,الريسبي!$B$2:$B$1800,Q$1)</f>
        <v>0</v>
      </c>
      <c r="R164" s="115" t="n">
        <f aca="false">SUMIFS(الريسبي!$C$2:$C$1800,الريسبي!$A$2:$A$1800,$A164,الريسبي!$B$2:$B$1800,R$1)</f>
        <v>0</v>
      </c>
      <c r="S164" s="115" t="n">
        <f aca="false">SUMIFS(الريسبي!$C$2:$C$1800,الريسبي!$A$2:$A$1800,$A164,الريسبي!$B$2:$B$1800,S$1)</f>
        <v>0</v>
      </c>
      <c r="T164" s="115" t="n">
        <f aca="false">SUMIFS(الريسبي!$C$2:$C$1800,الريسبي!$A$2:$A$1800,$A164,الريسبي!$B$2:$B$1800,T$1)</f>
        <v>0</v>
      </c>
      <c r="U164" s="115" t="n">
        <f aca="false">SUMIFS(الريسبي!$C$2:$C$1800,الريسبي!$A$2:$A$1800,$A164,الريسبي!$B$2:$B$1800,U$1)</f>
        <v>0</v>
      </c>
      <c r="V164" s="115" t="n">
        <f aca="false">SUMIFS(الريسبي!$C$2:$C$1800,الريسبي!$A$2:$A$1800,$A164,الريسبي!$B$2:$B$1800,V$1)</f>
        <v>0</v>
      </c>
      <c r="W164" s="115" t="n">
        <f aca="false">SUMIFS(الريسبي!$C$2:$C$1800,الريسبي!$A$2:$A$1800,$A164,الريسبي!$B$2:$B$1800,W$1)</f>
        <v>1</v>
      </c>
      <c r="X164" s="115" t="n">
        <f aca="false">SUMIFS(الريسبي!$C$2:$C$1800,الريسبي!$A$2:$A$1800,$A164,الريسبي!$B$2:$B$1800,X$1)</f>
        <v>0</v>
      </c>
      <c r="Y164" s="115" t="n">
        <f aca="false">SUMIFS(الريسبي!$C$2:$C$1800,الريسبي!$A$2:$A$1800,$A164,الريسبي!$B$2:$B$1800,Y$1)</f>
        <v>0</v>
      </c>
      <c r="Z164" s="115" t="n">
        <f aca="false">SUMIFS(الريسبي!$C$2:$C$1800,الريسبي!$A$2:$A$1800,$A164,الريسبي!$B$2:$B$1800,Z$1)</f>
        <v>0</v>
      </c>
      <c r="AA164" s="115" t="n">
        <f aca="false">SUMIFS(الريسبي!$C$2:$C$1800,الريسبي!$A$2:$A$1800,$A164,الريسبي!$B$2:$B$1800,AA$1)</f>
        <v>0</v>
      </c>
      <c r="AB164" s="115" t="n">
        <f aca="false">SUMIFS(الريسبي!$C$2:$C$1800,الريسبي!$A$2:$A$1800,$A164,الريسبي!$B$2:$B$1800,AB$1)</f>
        <v>0</v>
      </c>
      <c r="AC164" s="115" t="n">
        <f aca="false">SUMIFS(الريسبي!$C$2:$C$1800,الريسبي!$A$2:$A$1800,$A164,الريسبي!$B$2:$B$1800,AC$1)</f>
        <v>0</v>
      </c>
      <c r="AD164" s="115" t="n">
        <f aca="false">SUMIFS(الريسبي!$C$2:$C$1800,الريسبي!$A$2:$A$1800,$A164,الريسبي!$B$2:$B$1800,AD$1)</f>
        <v>0</v>
      </c>
      <c r="AE164" s="115" t="n">
        <f aca="false">SUMIFS(الريسبي!$C$2:$C$1800,الريسبي!$A$2:$A$1800,$A164,الريسبي!$B$2:$B$1800,AE$1)</f>
        <v>0</v>
      </c>
      <c r="AF164" s="115" t="n">
        <f aca="false">SUMIFS(الريسبي!$C$2:$C$1800,الريسبي!$A$2:$A$1800,$A164,الريسبي!$B$2:$B$1800,AF$1)</f>
        <v>0</v>
      </c>
      <c r="AG164" s="115" t="n">
        <f aca="false">SUMIFS(الريسبي!$C$2:$C$1800,الريسبي!$A$2:$A$1800,$A164,الريسبي!$B$2:$B$1800,AG$1)</f>
        <v>0</v>
      </c>
      <c r="AH164" s="115" t="n">
        <f aca="false">SUMIFS(الريسبي!$C$2:$C$1800,الريسبي!$A$2:$A$1800,$A164,الريسبي!$B$2:$B$1800,AH$1)</f>
        <v>0</v>
      </c>
      <c r="AI164" s="115" t="n">
        <f aca="false">SUMIFS(الريسبي!$C$2:$C$1800,الريسبي!$A$2:$A$1800,$A164,الريسبي!$B$2:$B$1800,AI$1)</f>
        <v>0</v>
      </c>
      <c r="AJ164" s="115" t="n">
        <f aca="false">SUMIFS(الريسبي!$C$2:$C$1800,الريسبي!$A$2:$A$1800,$A164,الريسبي!$B$2:$B$1800,AJ$1)</f>
        <v>0</v>
      </c>
      <c r="AK164" s="115" t="n">
        <f aca="false">SUMIFS(الريسبي!$C$2:$C$1800,الريسبي!$A$2:$A$1800,$A164,الريسبي!$B$2:$B$1800,AK$1)</f>
        <v>0</v>
      </c>
      <c r="AL164" s="115" t="n">
        <f aca="false">SUMIFS(الريسبي!$C$2:$C$1800,الريسبي!$A$2:$A$1800,$A164,الريسبي!$B$2:$B$1800,AL$1)</f>
        <v>0</v>
      </c>
      <c r="AM164" s="115"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15"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15" t="n">
        <f aca="false">SUMIFS(الريسبي!$C$2:$C$1800,الريسبي!$A$2:$A$1800,$A164,الريسبي!$B$2:$B$1800,AO$1)</f>
        <v>0</v>
      </c>
      <c r="AP164" s="115" t="n">
        <f aca="false">SUMIFS(الريسبي!$C$2:$C$1800,الريسبي!$A$2:$A$1800,$A164,الريسبي!$B$2:$B$1800,AP$1)</f>
        <v>0</v>
      </c>
      <c r="AQ164" s="115"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15" t="n">
        <f aca="false">SUMIFS(الريسبي!$C$2:$C$1800,الريسبي!$A$2:$A$1800,$A164,الريسبي!$B$2:$B$1800,AR$1)</f>
        <v>0</v>
      </c>
      <c r="AS164" s="115" t="n">
        <f aca="false">SUMIFS(الريسبي!$C$2:$C$1800,الريسبي!$A$2:$A$1800,$A164,الريسبي!$B$2:$B$1800,AS$1)</f>
        <v>0</v>
      </c>
      <c r="AT164" s="115" t="n">
        <f aca="false">SUMIFS(الريسبي!$C$2:$C$1800,الريسبي!$A$2:$A$1800,$A164,الريسبي!$B$2:$B$1800,AT$1)</f>
        <v>0</v>
      </c>
      <c r="AU164" s="115" t="n">
        <f aca="false">SUMIFS(الريسبي!$C$2:$C$1800,الريسبي!$A$2:$A$1800,$A164,الريسبي!$B$2:$B$1800,AU$1)</f>
        <v>0</v>
      </c>
      <c r="AV164" s="115" t="n">
        <f aca="false">SUMIFS(الريسبي!$C$2:$C$1800,الريسبي!$A$2:$A$1800,$A164,الريسبي!$B$2:$B$1800,AV$1)</f>
        <v>0</v>
      </c>
      <c r="AW164" s="115" t="n">
        <f aca="false">SUMIFS(الريسبي!$C$2:$C$1800,الريسبي!$A$2:$A$1800,$A164,الريسبي!$B$2:$B$1800,AW$1)</f>
        <v>0</v>
      </c>
      <c r="AX164" s="115" t="n">
        <f aca="false">SUMIFS(الريسبي!$C$2:$C$1800,الريسبي!$A$2:$A$1800,$A164,الريسبي!$B$2:$B$1800,AX$1)</f>
        <v>0</v>
      </c>
      <c r="AY164" s="115" t="n">
        <f aca="false">SUMIFS(الريسبي!$C$2:$C$1800,الريسبي!$A$2:$A$1800,$A164,الريسبي!$B$2:$B$1800,AY$1)</f>
        <v>0</v>
      </c>
      <c r="AZ164" s="115" t="n">
        <f aca="false">SUMIFS(الريسبي!$C$2:$C$1800,الريسبي!$A$2:$A$1800,$A164,الريسبي!$B$2:$B$1800,AZ$1)</f>
        <v>0</v>
      </c>
      <c r="BA164" s="115" t="n">
        <f aca="false">SUMIFS(الريسبي!$C$2:$C$1800,الريسبي!$A$2:$A$1800,$A164,الريسبي!$B$2:$B$1800,BA$1)</f>
        <v>0</v>
      </c>
      <c r="BB164" s="115" t="n">
        <f aca="false">SUMIFS(الريسبي!$C$2:$C$1800,الريسبي!$A$2:$A$1800,$A164,الريسبي!$B$2:$B$1800,BB$1)</f>
        <v>0</v>
      </c>
      <c r="BC164" s="115" t="n">
        <f aca="false">SUMIFS(الريسبي!$C$2:$C$1800,الريسبي!$A$2:$A$1800,$A164,الريسبي!$B$2:$B$1800,BC$1)</f>
        <v>0</v>
      </c>
      <c r="BD164" s="115" t="n">
        <f aca="false">SUMIFS(الريسبي!$C$2:$C$1800,الريسبي!$A$2:$A$1800,$A164,الريسبي!$B$2:$B$1800,BD$1)</f>
        <v>0</v>
      </c>
      <c r="BE164" s="115" t="n">
        <f aca="false">SUMIFS(الريسبي!$C$2:$C$1800,الريسبي!$A$2:$A$1800,$A164,الريسبي!$B$2:$B$1800,BE$1)</f>
        <v>0</v>
      </c>
      <c r="BF164" s="115" t="n">
        <f aca="false">SUMIFS(الريسبي!$C$2:$C$1800,الريسبي!$A$2:$A$1800,$A164,الريسبي!$B$2:$B$1800,BF$1)</f>
        <v>0</v>
      </c>
      <c r="BG164" s="115" t="n">
        <f aca="false">SUMIFS(الريسبي!$C$2:$C$1800,الريسبي!$A$2:$A$1800,$A164,الريسبي!$B$2:$B$1800,BG$1)</f>
        <v>0</v>
      </c>
      <c r="BH164" s="115" t="n">
        <f aca="false">SUMIFS(الريسبي!$C$2:$C$1800,الريسبي!$A$2:$A$1800,$A164,الريسبي!$B$2:$B$1800,BH$1)</f>
        <v>0</v>
      </c>
      <c r="BI164" s="115" t="n">
        <f aca="false">SUMIFS(الريسبي!$C$2:$C$1800,الريسبي!$A$2:$A$1800,$A164,الريسبي!$B$2:$B$1800,BI$1)</f>
        <v>0</v>
      </c>
      <c r="BJ164" s="115" t="n">
        <f aca="false">SUMIFS(الريسبي!$C$2:$C$1800,الريسبي!$A$2:$A$1800,$A164,الريسبي!$B$2:$B$1800,BJ$1)</f>
        <v>0</v>
      </c>
      <c r="BK164" s="115" t="n">
        <f aca="false">SUMIFS(الريسبي!$C$2:$C$1800,الريسبي!$A$2:$A$1800,$A164,الريسبي!$B$2:$B$1800,BK$1)</f>
        <v>0</v>
      </c>
      <c r="BL164" s="115" t="n">
        <f aca="false">SUMIFS(الريسبي!$C$2:$C$1800,الريسبي!$A$2:$A$1800,$A164,الريسبي!$B$2:$B$1800,BL$1)</f>
        <v>0</v>
      </c>
      <c r="BM164" s="115" t="n">
        <f aca="false">SUMIFS(الريسبي!$C$2:$C$1800,الريسبي!$A$2:$A$1800,$A164,الريسبي!$B$2:$B$1800,BM$1)</f>
        <v>0</v>
      </c>
      <c r="BN164" s="115" t="n">
        <f aca="false">SUMIFS(الريسبي!$C$2:$C$1800,الريسبي!$A$2:$A$1800,$A164,الريسبي!$B$2:$B$1800,BN$1)</f>
        <v>0</v>
      </c>
      <c r="BO164" s="115" t="n">
        <f aca="false">SUMIFS(الريسبي!$C$2:$C$1800,الريسبي!$A$2:$A$1800,$A164,الريسبي!$B$2:$B$1800,BO$1)</f>
        <v>0</v>
      </c>
      <c r="BP164" s="115" t="n">
        <f aca="false">SUMIFS(الريسبي!$C$2:$C$1800,الريسبي!$A$2:$A$1800,$A164,الريسبي!$B$2:$B$1800,BP$1)</f>
        <v>0</v>
      </c>
      <c r="BQ164" s="115"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15" t="n">
        <f aca="false">SUMIFS(الريسبي!$C$2:$C$1800,الريسبي!$A$2:$A$1800,$A164,الريسبي!$B$2:$B$1800,BR$1)</f>
        <v>0</v>
      </c>
      <c r="BS164" s="115" t="n">
        <f aca="false">SUMIFS(الريسبي!$C$2:$C$1800,الريسبي!$A$2:$A$1800,$A164,الريسبي!$B$2:$B$1800,BS$1)</f>
        <v>0</v>
      </c>
      <c r="BT164" s="115" t="n">
        <f aca="false">SUMIFS(الريسبي!$C$2:$C$1800,الريسبي!$A$2:$A$1800,$A164,الريسبي!$B$2:$B$1800,BT$1)</f>
        <v>0</v>
      </c>
      <c r="BU164" s="115"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15" t="n">
        <f aca="false">SUMIFS(الريسبي!$C$2:$C$1800,الريسبي!$A$2:$A$1800,$A164,الريسبي!$B$2:$B$1800,BV$1)</f>
        <v>0</v>
      </c>
      <c r="BW164" s="115" t="n">
        <f aca="false">SUMIFS(الريسبي!$C$2:$C$1800,الريسبي!$A$2:$A$1800,$A164,الريسبي!$B$2:$B$1800,BW$1)</f>
        <v>0</v>
      </c>
      <c r="BX164" s="115" t="n">
        <f aca="false">SUMIFS(الريسبي!$C$2:$C$1800,الريسبي!$A$2:$A$1800,$A164,الريسبي!$B$2:$B$1800,BX$1)</f>
        <v>0</v>
      </c>
      <c r="BY164" s="115" t="n">
        <f aca="false">SUMIFS(الريسبي!$C$2:$C$1800,الريسبي!$A$2:$A$1800,$A164,الريسبي!$B$2:$B$1800,BY$1)</f>
        <v>0</v>
      </c>
      <c r="BZ164" s="115" t="n">
        <f aca="false">SUMIFS(الريسبي!$C$2:$C$1800,الريسبي!$A$2:$A$1800,$A164,الريسبي!$B$2:$B$1800,BZ$1)</f>
        <v>0</v>
      </c>
      <c r="CA164" s="115" t="n">
        <f aca="false">SUMIFS(الريسبي!$C$2:$C$1800,الريسبي!$A$2:$A$1800,$A164,الريسبي!$B$2:$B$1800,CA$1)</f>
        <v>0</v>
      </c>
      <c r="CB164" s="115" t="n">
        <f aca="false">SUMIFS(الريسبي!$C$2:$C$1800,الريسبي!$A$2:$A$1800,$A164,الريسبي!$B$2:$B$1800,CB$1)</f>
        <v>0</v>
      </c>
      <c r="CC164" s="115" t="n">
        <f aca="false">SUMIFS(الريسبي!$C$2:$C$1800,الريسبي!$A$2:$A$1800,$A164,الريسبي!$B$2:$B$1800,CC$1)</f>
        <v>0</v>
      </c>
      <c r="CD164" s="115" t="n">
        <f aca="false">SUMIFS(الريسبي!$C$2:$C$1800,الريسبي!$A$2:$A$1800,$A164,الريسبي!$B$2:$B$1800,CD$1)</f>
        <v>0</v>
      </c>
      <c r="CE164" s="115" t="n">
        <f aca="false">SUMIFS(الريسبي!$C$2:$C$1800,الريسبي!$A$2:$A$1800,$A164,الريسبي!$B$2:$B$1800,CE$1)</f>
        <v>0</v>
      </c>
      <c r="CF164" s="115" t="n">
        <f aca="false">SUMIFS(الريسبي!$C$2:$C$1800,الريسبي!$A$2:$A$1800,$A164,الريسبي!$B$2:$B$1800,CF$1)</f>
        <v>0</v>
      </c>
      <c r="CG164" s="115" t="n">
        <f aca="false">SUMIFS(الريسبي!$C$2:$C$1800,الريسبي!$A$2:$A$1800,$A164,الريسبي!$B$2:$B$1800,CG$1)</f>
        <v>0</v>
      </c>
      <c r="CH164" s="115" t="n">
        <f aca="false">SUMIFS(الريسبي!$C$2:$C$1800,الريسبي!$A$2:$A$1800,$A164,الريسبي!$B$2:$B$1800,CH$1)</f>
        <v>0</v>
      </c>
    </row>
    <row r="165" customFormat="false" ht="15" hidden="false" customHeight="false" outlineLevel="0" collapsed="false">
      <c r="A165" s="114" t="str">
        <f aca="false">المنيو!B165</f>
        <v>اضافة حشو للاطراف (Small)</v>
      </c>
      <c r="B165" s="115" t="n">
        <f aca="false">SUMIFS(الريسبي!$C$2:$C$1800,الريسبي!$A$2:$A$1800,$A165,الريسبي!$B$2:$B$1800,B$1)</f>
        <v>0</v>
      </c>
      <c r="C165" s="115" t="n">
        <f aca="false">SUMIFS(الريسبي!$C$2:$C$1800,الريسبي!$A$2:$A$1800,$A165,الريسبي!$B$2:$B$1800,C$1)</f>
        <v>0</v>
      </c>
      <c r="D165" s="115" t="n">
        <f aca="false">SUMIFS(الريسبي!$C$2:$C$1800,الريسبي!$A$2:$A$1800,$A165,الريسبي!$B$2:$B$1800,D$1)</f>
        <v>0</v>
      </c>
      <c r="E165" s="115" t="n">
        <f aca="false">SUMIFS(الريسبي!$C$2:$C$1800,الريسبي!$A$2:$A$1800,$A165,الريسبي!$B$2:$B$1800,E$1)</f>
        <v>0</v>
      </c>
      <c r="F165" s="115" t="n">
        <f aca="false">SUMIFS(الريسبي!$C$2:$C$1800,الريسبي!$A$2:$A$1800,$A165,الريسبي!$B$2:$B$1800,F$1)</f>
        <v>0</v>
      </c>
      <c r="G165" s="115" t="n">
        <f aca="false">SUMIFS(الريسبي!$C$2:$C$1800,الريسبي!$A$2:$A$1800,$A165,الريسبي!$B$2:$B$1800,G$1)</f>
        <v>0</v>
      </c>
      <c r="H165" s="115" t="n">
        <f aca="false">SUMIFS(الريسبي!$C$2:$C$1800,الريسبي!$A$2:$A$1800,$A165,الريسبي!$B$2:$B$1800,H$1)</f>
        <v>0</v>
      </c>
      <c r="I165" s="115" t="n">
        <f aca="false">SUMIFS(الريسبي!$C$2:$C$1800,الريسبي!$A$2:$A$1800,$A165,الريسبي!$B$2:$B$1800,I$1)</f>
        <v>0</v>
      </c>
      <c r="J165" s="115" t="n">
        <f aca="false">SUMIFS(الريسبي!$C$2:$C$1800,الريسبي!$A$2:$A$1800,$A165,الريسبي!$B$2:$B$1800,J$1)</f>
        <v>0</v>
      </c>
      <c r="K165" s="115" t="n">
        <f aca="false">SUMIFS(الريسبي!$C$2:$C$1800,الريسبي!$A$2:$A$1800,$A165,الريسبي!$B$2:$B$1800,K$1)</f>
        <v>0</v>
      </c>
      <c r="L165" s="115" t="n">
        <f aca="false">SUMIFS(الريسبي!$C$2:$C$1800,الريسبي!$A$2:$A$1800,$A165,الريسبي!$B$2:$B$1800,L$1)</f>
        <v>0</v>
      </c>
      <c r="M165" s="115" t="n">
        <f aca="false">SUMIFS(الريسبي!$C$2:$C$1800,الريسبي!$A$2:$A$1800,$A165,الريسبي!$B$2:$B$1800,M$1)</f>
        <v>0</v>
      </c>
      <c r="N165" s="115" t="n">
        <f aca="false">SUMIFS(الريسبي!$C$2:$C$1800,الريسبي!$A$2:$A$1800,$A165,الريسبي!$B$2:$B$1800,N$1)</f>
        <v>0</v>
      </c>
      <c r="O165" s="115" t="n">
        <f aca="false">SUMIFS(الريسبي!$C$2:$C$1800,الريسبي!$A$2:$A$1800,$A165,الريسبي!$B$2:$B$1800,O$1)</f>
        <v>0</v>
      </c>
      <c r="P165" s="115" t="n">
        <f aca="false">SUMIFS(الريسبي!$C$2:$C$1800,الريسبي!$A$2:$A$1800,$A165,الريسبي!$B$2:$B$1800,P$1)</f>
        <v>0</v>
      </c>
      <c r="Q165" s="115" t="n">
        <f aca="false">SUMIFS(الريسبي!$C$2:$C$1800,الريسبي!$A$2:$A$1800,$A165,الريسبي!$B$2:$B$1800,Q$1)</f>
        <v>0</v>
      </c>
      <c r="R165" s="115" t="n">
        <f aca="false">SUMIFS(الريسبي!$C$2:$C$1800,الريسبي!$A$2:$A$1800,$A165,الريسبي!$B$2:$B$1800,R$1)</f>
        <v>0</v>
      </c>
      <c r="S165" s="115" t="n">
        <f aca="false">SUMIFS(الريسبي!$C$2:$C$1800,الريسبي!$A$2:$A$1800,$A165,الريسبي!$B$2:$B$1800,S$1)</f>
        <v>0</v>
      </c>
      <c r="T165" s="115" t="n">
        <f aca="false">SUMIFS(الريسبي!$C$2:$C$1800,الريسبي!$A$2:$A$1800,$A165,الريسبي!$B$2:$B$1800,T$1)</f>
        <v>0</v>
      </c>
      <c r="U165" s="115" t="n">
        <f aca="false">SUMIFS(الريسبي!$C$2:$C$1800,الريسبي!$A$2:$A$1800,$A165,الريسبي!$B$2:$B$1800,U$1)</f>
        <v>0</v>
      </c>
      <c r="V165" s="115" t="n">
        <f aca="false">SUMIFS(الريسبي!$C$2:$C$1800,الريسبي!$A$2:$A$1800,$A165,الريسبي!$B$2:$B$1800,V$1)</f>
        <v>0.5</v>
      </c>
      <c r="W165" s="115" t="n">
        <f aca="false">SUMIFS(الريسبي!$C$2:$C$1800,الريسبي!$A$2:$A$1800,$A165,الريسبي!$B$2:$B$1800,W$1)</f>
        <v>0</v>
      </c>
      <c r="X165" s="115" t="n">
        <f aca="false">SUMIFS(الريسبي!$C$2:$C$1800,الريسبي!$A$2:$A$1800,$A165,الريسبي!$B$2:$B$1800,X$1)</f>
        <v>0</v>
      </c>
      <c r="Y165" s="115" t="n">
        <f aca="false">SUMIFS(الريسبي!$C$2:$C$1800,الريسبي!$A$2:$A$1800,$A165,الريسبي!$B$2:$B$1800,Y$1)</f>
        <v>0</v>
      </c>
      <c r="Z165" s="115" t="n">
        <f aca="false">SUMIFS(الريسبي!$C$2:$C$1800,الريسبي!$A$2:$A$1800,$A165,الريسبي!$B$2:$B$1800,Z$1)</f>
        <v>0</v>
      </c>
      <c r="AA165" s="115" t="n">
        <f aca="false">SUMIFS(الريسبي!$C$2:$C$1800,الريسبي!$A$2:$A$1800,$A165,الريسبي!$B$2:$B$1800,AA$1)</f>
        <v>0</v>
      </c>
      <c r="AB165" s="115" t="n">
        <f aca="false">SUMIFS(الريسبي!$C$2:$C$1800,الريسبي!$A$2:$A$1800,$A165,الريسبي!$B$2:$B$1800,AB$1)</f>
        <v>0</v>
      </c>
      <c r="AC165" s="115" t="n">
        <f aca="false">SUMIFS(الريسبي!$C$2:$C$1800,الريسبي!$A$2:$A$1800,$A165,الريسبي!$B$2:$B$1800,AC$1)</f>
        <v>0</v>
      </c>
      <c r="AD165" s="115" t="n">
        <f aca="false">SUMIFS(الريسبي!$C$2:$C$1800,الريسبي!$A$2:$A$1800,$A165,الريسبي!$B$2:$B$1800,AD$1)</f>
        <v>0</v>
      </c>
      <c r="AE165" s="115" t="n">
        <f aca="false">SUMIFS(الريسبي!$C$2:$C$1800,الريسبي!$A$2:$A$1800,$A165,الريسبي!$B$2:$B$1800,AE$1)</f>
        <v>0</v>
      </c>
      <c r="AF165" s="115" t="n">
        <f aca="false">SUMIFS(الريسبي!$C$2:$C$1800,الريسبي!$A$2:$A$1800,$A165,الريسبي!$B$2:$B$1800,AF$1)</f>
        <v>0</v>
      </c>
      <c r="AG165" s="115" t="n">
        <f aca="false">SUMIFS(الريسبي!$C$2:$C$1800,الريسبي!$A$2:$A$1800,$A165,الريسبي!$B$2:$B$1800,AG$1)</f>
        <v>0</v>
      </c>
      <c r="AH165" s="115" t="n">
        <f aca="false">SUMIFS(الريسبي!$C$2:$C$1800,الريسبي!$A$2:$A$1800,$A165,الريسبي!$B$2:$B$1800,AH$1)</f>
        <v>0</v>
      </c>
      <c r="AI165" s="115" t="n">
        <f aca="false">SUMIFS(الريسبي!$C$2:$C$1800,الريسبي!$A$2:$A$1800,$A165,الريسبي!$B$2:$B$1800,AI$1)</f>
        <v>0</v>
      </c>
      <c r="AJ165" s="115" t="n">
        <f aca="false">SUMIFS(الريسبي!$C$2:$C$1800,الريسبي!$A$2:$A$1800,$A165,الريسبي!$B$2:$B$1800,AJ$1)</f>
        <v>0</v>
      </c>
      <c r="AK165" s="115" t="n">
        <f aca="false">SUMIFS(الريسبي!$C$2:$C$1800,الريسبي!$A$2:$A$1800,$A165,الريسبي!$B$2:$B$1800,AK$1)</f>
        <v>0</v>
      </c>
      <c r="AL165" s="115" t="n">
        <f aca="false">SUMIFS(الريسبي!$C$2:$C$1800,الريسبي!$A$2:$A$1800,$A165,الريسبي!$B$2:$B$1800,AL$1)</f>
        <v>0</v>
      </c>
      <c r="AM165" s="115"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15"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15" t="n">
        <f aca="false">SUMIFS(الريسبي!$C$2:$C$1800,الريسبي!$A$2:$A$1800,$A165,الريسبي!$B$2:$B$1800,AO$1)</f>
        <v>0</v>
      </c>
      <c r="AP165" s="115" t="n">
        <f aca="false">SUMIFS(الريسبي!$C$2:$C$1800,الريسبي!$A$2:$A$1800,$A165,الريسبي!$B$2:$B$1800,AP$1)</f>
        <v>0</v>
      </c>
      <c r="AQ165" s="115"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15" t="n">
        <f aca="false">SUMIFS(الريسبي!$C$2:$C$1800,الريسبي!$A$2:$A$1800,$A165,الريسبي!$B$2:$B$1800,AR$1)</f>
        <v>0</v>
      </c>
      <c r="AS165" s="115" t="n">
        <f aca="false">SUMIFS(الريسبي!$C$2:$C$1800,الريسبي!$A$2:$A$1800,$A165,الريسبي!$B$2:$B$1800,AS$1)</f>
        <v>0</v>
      </c>
      <c r="AT165" s="115" t="n">
        <f aca="false">SUMIFS(الريسبي!$C$2:$C$1800,الريسبي!$A$2:$A$1800,$A165,الريسبي!$B$2:$B$1800,AT$1)</f>
        <v>0</v>
      </c>
      <c r="AU165" s="115" t="n">
        <f aca="false">SUMIFS(الريسبي!$C$2:$C$1800,الريسبي!$A$2:$A$1800,$A165,الريسبي!$B$2:$B$1800,AU$1)</f>
        <v>0</v>
      </c>
      <c r="AV165" s="115" t="n">
        <f aca="false">SUMIFS(الريسبي!$C$2:$C$1800,الريسبي!$A$2:$A$1800,$A165,الريسبي!$B$2:$B$1800,AV$1)</f>
        <v>0</v>
      </c>
      <c r="AW165" s="115" t="n">
        <f aca="false">SUMIFS(الريسبي!$C$2:$C$1800,الريسبي!$A$2:$A$1800,$A165,الريسبي!$B$2:$B$1800,AW$1)</f>
        <v>0</v>
      </c>
      <c r="AX165" s="115" t="n">
        <f aca="false">SUMIFS(الريسبي!$C$2:$C$1800,الريسبي!$A$2:$A$1800,$A165,الريسبي!$B$2:$B$1800,AX$1)</f>
        <v>0</v>
      </c>
      <c r="AY165" s="115" t="n">
        <f aca="false">SUMIFS(الريسبي!$C$2:$C$1800,الريسبي!$A$2:$A$1800,$A165,الريسبي!$B$2:$B$1800,AY$1)</f>
        <v>0</v>
      </c>
      <c r="AZ165" s="115" t="n">
        <f aca="false">SUMIFS(الريسبي!$C$2:$C$1800,الريسبي!$A$2:$A$1800,$A165,الريسبي!$B$2:$B$1800,AZ$1)</f>
        <v>0</v>
      </c>
      <c r="BA165" s="115" t="n">
        <f aca="false">SUMIFS(الريسبي!$C$2:$C$1800,الريسبي!$A$2:$A$1800,$A165,الريسبي!$B$2:$B$1800,BA$1)</f>
        <v>0</v>
      </c>
      <c r="BB165" s="115" t="n">
        <f aca="false">SUMIFS(الريسبي!$C$2:$C$1800,الريسبي!$A$2:$A$1800,$A165,الريسبي!$B$2:$B$1800,BB$1)</f>
        <v>0</v>
      </c>
      <c r="BC165" s="115" t="n">
        <f aca="false">SUMIFS(الريسبي!$C$2:$C$1800,الريسبي!$A$2:$A$1800,$A165,الريسبي!$B$2:$B$1800,BC$1)</f>
        <v>0</v>
      </c>
      <c r="BD165" s="115" t="n">
        <f aca="false">SUMIFS(الريسبي!$C$2:$C$1800,الريسبي!$A$2:$A$1800,$A165,الريسبي!$B$2:$B$1800,BD$1)</f>
        <v>0</v>
      </c>
      <c r="BE165" s="115" t="n">
        <f aca="false">SUMIFS(الريسبي!$C$2:$C$1800,الريسبي!$A$2:$A$1800,$A165,الريسبي!$B$2:$B$1800,BE$1)</f>
        <v>0</v>
      </c>
      <c r="BF165" s="115" t="n">
        <f aca="false">SUMIFS(الريسبي!$C$2:$C$1800,الريسبي!$A$2:$A$1800,$A165,الريسبي!$B$2:$B$1800,BF$1)</f>
        <v>0</v>
      </c>
      <c r="BG165" s="115" t="n">
        <f aca="false">SUMIFS(الريسبي!$C$2:$C$1800,الريسبي!$A$2:$A$1800,$A165,الريسبي!$B$2:$B$1800,BG$1)</f>
        <v>0</v>
      </c>
      <c r="BH165" s="115" t="n">
        <f aca="false">SUMIFS(الريسبي!$C$2:$C$1800,الريسبي!$A$2:$A$1800,$A165,الريسبي!$B$2:$B$1800,BH$1)</f>
        <v>0</v>
      </c>
      <c r="BI165" s="115" t="n">
        <f aca="false">SUMIFS(الريسبي!$C$2:$C$1800,الريسبي!$A$2:$A$1800,$A165,الريسبي!$B$2:$B$1800,BI$1)</f>
        <v>0</v>
      </c>
      <c r="BJ165" s="115" t="n">
        <f aca="false">SUMIFS(الريسبي!$C$2:$C$1800,الريسبي!$A$2:$A$1800,$A165,الريسبي!$B$2:$B$1800,BJ$1)</f>
        <v>0</v>
      </c>
      <c r="BK165" s="115" t="n">
        <f aca="false">SUMIFS(الريسبي!$C$2:$C$1800,الريسبي!$A$2:$A$1800,$A165,الريسبي!$B$2:$B$1800,BK$1)</f>
        <v>0</v>
      </c>
      <c r="BL165" s="115" t="n">
        <f aca="false">SUMIFS(الريسبي!$C$2:$C$1800,الريسبي!$A$2:$A$1800,$A165,الريسبي!$B$2:$B$1800,BL$1)</f>
        <v>0</v>
      </c>
      <c r="BM165" s="115" t="n">
        <f aca="false">SUMIFS(الريسبي!$C$2:$C$1800,الريسبي!$A$2:$A$1800,$A165,الريسبي!$B$2:$B$1800,BM$1)</f>
        <v>0</v>
      </c>
      <c r="BN165" s="115" t="n">
        <f aca="false">SUMIFS(الريسبي!$C$2:$C$1800,الريسبي!$A$2:$A$1800,$A165,الريسبي!$B$2:$B$1800,BN$1)</f>
        <v>0</v>
      </c>
      <c r="BO165" s="115" t="n">
        <f aca="false">SUMIFS(الريسبي!$C$2:$C$1800,الريسبي!$A$2:$A$1800,$A165,الريسبي!$B$2:$B$1800,BO$1)</f>
        <v>0</v>
      </c>
      <c r="BP165" s="115" t="n">
        <f aca="false">SUMIFS(الريسبي!$C$2:$C$1800,الريسبي!$A$2:$A$1800,$A165,الريسبي!$B$2:$B$1800,BP$1)</f>
        <v>0</v>
      </c>
      <c r="BQ165" s="115"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15" t="n">
        <f aca="false">SUMIFS(الريسبي!$C$2:$C$1800,الريسبي!$A$2:$A$1800,$A165,الريسبي!$B$2:$B$1800,BR$1)</f>
        <v>0</v>
      </c>
      <c r="BS165" s="115" t="n">
        <f aca="false">SUMIFS(الريسبي!$C$2:$C$1800,الريسبي!$A$2:$A$1800,$A165,الريسبي!$B$2:$B$1800,BS$1)</f>
        <v>0</v>
      </c>
      <c r="BT165" s="115" t="n">
        <f aca="false">SUMIFS(الريسبي!$C$2:$C$1800,الريسبي!$A$2:$A$1800,$A165,الريسبي!$B$2:$B$1800,BT$1)</f>
        <v>0</v>
      </c>
      <c r="BU165" s="115"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15" t="n">
        <f aca="false">SUMIFS(الريسبي!$C$2:$C$1800,الريسبي!$A$2:$A$1800,$A165,الريسبي!$B$2:$B$1800,BV$1)</f>
        <v>0</v>
      </c>
      <c r="BW165" s="115" t="n">
        <f aca="false">SUMIFS(الريسبي!$C$2:$C$1800,الريسبي!$A$2:$A$1800,$A165,الريسبي!$B$2:$B$1800,BW$1)</f>
        <v>0</v>
      </c>
      <c r="BX165" s="115" t="n">
        <f aca="false">SUMIFS(الريسبي!$C$2:$C$1800,الريسبي!$A$2:$A$1800,$A165,الريسبي!$B$2:$B$1800,BX$1)</f>
        <v>0</v>
      </c>
      <c r="BY165" s="115" t="n">
        <f aca="false">SUMIFS(الريسبي!$C$2:$C$1800,الريسبي!$A$2:$A$1800,$A165,الريسبي!$B$2:$B$1800,BY$1)</f>
        <v>0</v>
      </c>
      <c r="BZ165" s="115" t="n">
        <f aca="false">SUMIFS(الريسبي!$C$2:$C$1800,الريسبي!$A$2:$A$1800,$A165,الريسبي!$B$2:$B$1800,BZ$1)</f>
        <v>0</v>
      </c>
      <c r="CA165" s="115" t="n">
        <f aca="false">SUMIFS(الريسبي!$C$2:$C$1800,الريسبي!$A$2:$A$1800,$A165,الريسبي!$B$2:$B$1800,CA$1)</f>
        <v>0</v>
      </c>
      <c r="CB165" s="115" t="n">
        <f aca="false">SUMIFS(الريسبي!$C$2:$C$1800,الريسبي!$A$2:$A$1800,$A165,الريسبي!$B$2:$B$1800,CB$1)</f>
        <v>0</v>
      </c>
      <c r="CC165" s="115" t="n">
        <f aca="false">SUMIFS(الريسبي!$C$2:$C$1800,الريسبي!$A$2:$A$1800,$A165,الريسبي!$B$2:$B$1800,CC$1)</f>
        <v>0</v>
      </c>
      <c r="CD165" s="115" t="n">
        <f aca="false">SUMIFS(الريسبي!$C$2:$C$1800,الريسبي!$A$2:$A$1800,$A165,الريسبي!$B$2:$B$1800,CD$1)</f>
        <v>0</v>
      </c>
      <c r="CE165" s="115" t="n">
        <f aca="false">SUMIFS(الريسبي!$C$2:$C$1800,الريسبي!$A$2:$A$1800,$A165,الريسبي!$B$2:$B$1800,CE$1)</f>
        <v>0</v>
      </c>
      <c r="CF165" s="115" t="n">
        <f aca="false">SUMIFS(الريسبي!$C$2:$C$1800,الريسبي!$A$2:$A$1800,$A165,الريسبي!$B$2:$B$1800,CF$1)</f>
        <v>0</v>
      </c>
      <c r="CG165" s="115" t="n">
        <f aca="false">SUMIFS(الريسبي!$C$2:$C$1800,الريسبي!$A$2:$A$1800,$A165,الريسبي!$B$2:$B$1800,CG$1)</f>
        <v>0</v>
      </c>
      <c r="CH165" s="115" t="n">
        <f aca="false">SUMIFS(الريسبي!$C$2:$C$1800,الريسبي!$A$2:$A$1800,$A165,الريسبي!$B$2:$B$1800,CH$1)</f>
        <v>0</v>
      </c>
    </row>
    <row r="166" customFormat="false" ht="15" hidden="false" customHeight="false" outlineLevel="0" collapsed="false">
      <c r="A166" s="114" t="str">
        <f aca="false">المنيو!B166</f>
        <v>اضافة حشو للاطراف (Medium)</v>
      </c>
      <c r="B166" s="115" t="n">
        <f aca="false">SUMIFS(الريسبي!$C$2:$C$1800,الريسبي!$A$2:$A$1800,$A166,الريسبي!$B$2:$B$1800,B$1)</f>
        <v>0</v>
      </c>
      <c r="C166" s="115" t="n">
        <f aca="false">SUMIFS(الريسبي!$C$2:$C$1800,الريسبي!$A$2:$A$1800,$A166,الريسبي!$B$2:$B$1800,C$1)</f>
        <v>0</v>
      </c>
      <c r="D166" s="115" t="n">
        <f aca="false">SUMIFS(الريسبي!$C$2:$C$1800,الريسبي!$A$2:$A$1800,$A166,الريسبي!$B$2:$B$1800,D$1)</f>
        <v>0</v>
      </c>
      <c r="E166" s="115" t="n">
        <f aca="false">SUMIFS(الريسبي!$C$2:$C$1800,الريسبي!$A$2:$A$1800,$A166,الريسبي!$B$2:$B$1800,E$1)</f>
        <v>0</v>
      </c>
      <c r="F166" s="115" t="n">
        <f aca="false">SUMIFS(الريسبي!$C$2:$C$1800,الريسبي!$A$2:$A$1800,$A166,الريسبي!$B$2:$B$1800,F$1)</f>
        <v>0</v>
      </c>
      <c r="G166" s="115" t="n">
        <f aca="false">SUMIFS(الريسبي!$C$2:$C$1800,الريسبي!$A$2:$A$1800,$A166,الريسبي!$B$2:$B$1800,G$1)</f>
        <v>0</v>
      </c>
      <c r="H166" s="115" t="n">
        <f aca="false">SUMIFS(الريسبي!$C$2:$C$1800,الريسبي!$A$2:$A$1800,$A166,الريسبي!$B$2:$B$1800,H$1)</f>
        <v>0</v>
      </c>
      <c r="I166" s="115" t="n">
        <f aca="false">SUMIFS(الريسبي!$C$2:$C$1800,الريسبي!$A$2:$A$1800,$A166,الريسبي!$B$2:$B$1800,I$1)</f>
        <v>0</v>
      </c>
      <c r="J166" s="115" t="n">
        <f aca="false">SUMIFS(الريسبي!$C$2:$C$1800,الريسبي!$A$2:$A$1800,$A166,الريسبي!$B$2:$B$1800,J$1)</f>
        <v>0</v>
      </c>
      <c r="K166" s="115" t="n">
        <f aca="false">SUMIFS(الريسبي!$C$2:$C$1800,الريسبي!$A$2:$A$1800,$A166,الريسبي!$B$2:$B$1800,K$1)</f>
        <v>0</v>
      </c>
      <c r="L166" s="115" t="n">
        <f aca="false">SUMIFS(الريسبي!$C$2:$C$1800,الريسبي!$A$2:$A$1800,$A166,الريسبي!$B$2:$B$1800,L$1)</f>
        <v>0</v>
      </c>
      <c r="M166" s="115" t="n">
        <f aca="false">SUMIFS(الريسبي!$C$2:$C$1800,الريسبي!$A$2:$A$1800,$A166,الريسبي!$B$2:$B$1800,M$1)</f>
        <v>0</v>
      </c>
      <c r="N166" s="115" t="n">
        <f aca="false">SUMIFS(الريسبي!$C$2:$C$1800,الريسبي!$A$2:$A$1800,$A166,الريسبي!$B$2:$B$1800,N$1)</f>
        <v>0</v>
      </c>
      <c r="O166" s="115" t="n">
        <f aca="false">SUMIFS(الريسبي!$C$2:$C$1800,الريسبي!$A$2:$A$1800,$A166,الريسبي!$B$2:$B$1800,O$1)</f>
        <v>0</v>
      </c>
      <c r="P166" s="115" t="n">
        <f aca="false">SUMIFS(الريسبي!$C$2:$C$1800,الريسبي!$A$2:$A$1800,$A166,الريسبي!$B$2:$B$1800,P$1)</f>
        <v>0</v>
      </c>
      <c r="Q166" s="115" t="n">
        <f aca="false">SUMIFS(الريسبي!$C$2:$C$1800,الريسبي!$A$2:$A$1800,$A166,الريسبي!$B$2:$B$1800,Q$1)</f>
        <v>0</v>
      </c>
      <c r="R166" s="115" t="n">
        <f aca="false">SUMIFS(الريسبي!$C$2:$C$1800,الريسبي!$A$2:$A$1800,$A166,الريسبي!$B$2:$B$1800,R$1)</f>
        <v>0</v>
      </c>
      <c r="S166" s="115" t="n">
        <f aca="false">SUMIFS(الريسبي!$C$2:$C$1800,الريسبي!$A$2:$A$1800,$A166,الريسبي!$B$2:$B$1800,S$1)</f>
        <v>0</v>
      </c>
      <c r="T166" s="115" t="n">
        <f aca="false">SUMIFS(الريسبي!$C$2:$C$1800,الريسبي!$A$2:$A$1800,$A166,الريسبي!$B$2:$B$1800,T$1)</f>
        <v>0</v>
      </c>
      <c r="U166" s="115" t="n">
        <f aca="false">SUMIFS(الريسبي!$C$2:$C$1800,الريسبي!$A$2:$A$1800,$A166,الريسبي!$B$2:$B$1800,U$1)</f>
        <v>0</v>
      </c>
      <c r="V166" s="115" t="n">
        <f aca="false">SUMIFS(الريسبي!$C$2:$C$1800,الريسبي!$A$2:$A$1800,$A166,الريسبي!$B$2:$B$1800,V$1)</f>
        <v>0</v>
      </c>
      <c r="W166" s="115" t="n">
        <f aca="false">SUMIFS(الريسبي!$C$2:$C$1800,الريسبي!$A$2:$A$1800,$A166,الريسبي!$B$2:$B$1800,W$1)</f>
        <v>0.75</v>
      </c>
      <c r="X166" s="115" t="n">
        <f aca="false">SUMIFS(الريسبي!$C$2:$C$1800,الريسبي!$A$2:$A$1800,$A166,الريسبي!$B$2:$B$1800,X$1)</f>
        <v>0</v>
      </c>
      <c r="Y166" s="115" t="n">
        <f aca="false">SUMIFS(الريسبي!$C$2:$C$1800,الريسبي!$A$2:$A$1800,$A166,الريسبي!$B$2:$B$1800,Y$1)</f>
        <v>0</v>
      </c>
      <c r="Z166" s="115" t="n">
        <f aca="false">SUMIFS(الريسبي!$C$2:$C$1800,الريسبي!$A$2:$A$1800,$A166,الريسبي!$B$2:$B$1800,Z$1)</f>
        <v>0</v>
      </c>
      <c r="AA166" s="115" t="n">
        <f aca="false">SUMIFS(الريسبي!$C$2:$C$1800,الريسبي!$A$2:$A$1800,$A166,الريسبي!$B$2:$B$1800,AA$1)</f>
        <v>0</v>
      </c>
      <c r="AB166" s="115" t="n">
        <f aca="false">SUMIFS(الريسبي!$C$2:$C$1800,الريسبي!$A$2:$A$1800,$A166,الريسبي!$B$2:$B$1800,AB$1)</f>
        <v>0</v>
      </c>
      <c r="AC166" s="115" t="n">
        <f aca="false">SUMIFS(الريسبي!$C$2:$C$1800,الريسبي!$A$2:$A$1800,$A166,الريسبي!$B$2:$B$1800,AC$1)</f>
        <v>0</v>
      </c>
      <c r="AD166" s="115" t="n">
        <f aca="false">SUMIFS(الريسبي!$C$2:$C$1800,الريسبي!$A$2:$A$1800,$A166,الريسبي!$B$2:$B$1800,AD$1)</f>
        <v>0</v>
      </c>
      <c r="AE166" s="115" t="n">
        <f aca="false">SUMIFS(الريسبي!$C$2:$C$1800,الريسبي!$A$2:$A$1800,$A166,الريسبي!$B$2:$B$1800,AE$1)</f>
        <v>0</v>
      </c>
      <c r="AF166" s="115" t="n">
        <f aca="false">SUMIFS(الريسبي!$C$2:$C$1800,الريسبي!$A$2:$A$1800,$A166,الريسبي!$B$2:$B$1800,AF$1)</f>
        <v>0</v>
      </c>
      <c r="AG166" s="115" t="n">
        <f aca="false">SUMIFS(الريسبي!$C$2:$C$1800,الريسبي!$A$2:$A$1800,$A166,الريسبي!$B$2:$B$1800,AG$1)</f>
        <v>0</v>
      </c>
      <c r="AH166" s="115" t="n">
        <f aca="false">SUMIFS(الريسبي!$C$2:$C$1800,الريسبي!$A$2:$A$1800,$A166,الريسبي!$B$2:$B$1800,AH$1)</f>
        <v>0</v>
      </c>
      <c r="AI166" s="115" t="n">
        <f aca="false">SUMIFS(الريسبي!$C$2:$C$1800,الريسبي!$A$2:$A$1800,$A166,الريسبي!$B$2:$B$1800,AI$1)</f>
        <v>0</v>
      </c>
      <c r="AJ166" s="115" t="n">
        <f aca="false">SUMIFS(الريسبي!$C$2:$C$1800,الريسبي!$A$2:$A$1800,$A166,الريسبي!$B$2:$B$1800,AJ$1)</f>
        <v>0</v>
      </c>
      <c r="AK166" s="115" t="n">
        <f aca="false">SUMIFS(الريسبي!$C$2:$C$1800,الريسبي!$A$2:$A$1800,$A166,الريسبي!$B$2:$B$1800,AK$1)</f>
        <v>0</v>
      </c>
      <c r="AL166" s="115" t="n">
        <f aca="false">SUMIFS(الريسبي!$C$2:$C$1800,الريسبي!$A$2:$A$1800,$A166,الريسبي!$B$2:$B$1800,AL$1)</f>
        <v>0</v>
      </c>
      <c r="AM166" s="115"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15"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15" t="n">
        <f aca="false">SUMIFS(الريسبي!$C$2:$C$1800,الريسبي!$A$2:$A$1800,$A166,الريسبي!$B$2:$B$1800,AO$1)</f>
        <v>0</v>
      </c>
      <c r="AP166" s="115" t="n">
        <f aca="false">SUMIFS(الريسبي!$C$2:$C$1800,الريسبي!$A$2:$A$1800,$A166,الريسبي!$B$2:$B$1800,AP$1)</f>
        <v>0</v>
      </c>
      <c r="AQ166" s="115"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15" t="n">
        <f aca="false">SUMIFS(الريسبي!$C$2:$C$1800,الريسبي!$A$2:$A$1800,$A166,الريسبي!$B$2:$B$1800,AR$1)</f>
        <v>0</v>
      </c>
      <c r="AS166" s="115" t="n">
        <f aca="false">SUMIFS(الريسبي!$C$2:$C$1800,الريسبي!$A$2:$A$1800,$A166,الريسبي!$B$2:$B$1800,AS$1)</f>
        <v>0</v>
      </c>
      <c r="AT166" s="115" t="n">
        <f aca="false">SUMIFS(الريسبي!$C$2:$C$1800,الريسبي!$A$2:$A$1800,$A166,الريسبي!$B$2:$B$1800,AT$1)</f>
        <v>0</v>
      </c>
      <c r="AU166" s="115" t="n">
        <f aca="false">SUMIFS(الريسبي!$C$2:$C$1800,الريسبي!$A$2:$A$1800,$A166,الريسبي!$B$2:$B$1800,AU$1)</f>
        <v>0</v>
      </c>
      <c r="AV166" s="115" t="n">
        <f aca="false">SUMIFS(الريسبي!$C$2:$C$1800,الريسبي!$A$2:$A$1800,$A166,الريسبي!$B$2:$B$1800,AV$1)</f>
        <v>0</v>
      </c>
      <c r="AW166" s="115" t="n">
        <f aca="false">SUMIFS(الريسبي!$C$2:$C$1800,الريسبي!$A$2:$A$1800,$A166,الريسبي!$B$2:$B$1800,AW$1)</f>
        <v>0</v>
      </c>
      <c r="AX166" s="115" t="n">
        <f aca="false">SUMIFS(الريسبي!$C$2:$C$1800,الريسبي!$A$2:$A$1800,$A166,الريسبي!$B$2:$B$1800,AX$1)</f>
        <v>0</v>
      </c>
      <c r="AY166" s="115" t="n">
        <f aca="false">SUMIFS(الريسبي!$C$2:$C$1800,الريسبي!$A$2:$A$1800,$A166,الريسبي!$B$2:$B$1800,AY$1)</f>
        <v>0</v>
      </c>
      <c r="AZ166" s="115" t="n">
        <f aca="false">SUMIFS(الريسبي!$C$2:$C$1800,الريسبي!$A$2:$A$1800,$A166,الريسبي!$B$2:$B$1800,AZ$1)</f>
        <v>0</v>
      </c>
      <c r="BA166" s="115" t="n">
        <f aca="false">SUMIFS(الريسبي!$C$2:$C$1800,الريسبي!$A$2:$A$1800,$A166,الريسبي!$B$2:$B$1800,BA$1)</f>
        <v>0</v>
      </c>
      <c r="BB166" s="115" t="n">
        <f aca="false">SUMIFS(الريسبي!$C$2:$C$1800,الريسبي!$A$2:$A$1800,$A166,الريسبي!$B$2:$B$1800,BB$1)</f>
        <v>0</v>
      </c>
      <c r="BC166" s="115" t="n">
        <f aca="false">SUMIFS(الريسبي!$C$2:$C$1800,الريسبي!$A$2:$A$1800,$A166,الريسبي!$B$2:$B$1800,BC$1)</f>
        <v>0</v>
      </c>
      <c r="BD166" s="115" t="n">
        <f aca="false">SUMIFS(الريسبي!$C$2:$C$1800,الريسبي!$A$2:$A$1800,$A166,الريسبي!$B$2:$B$1800,BD$1)</f>
        <v>0</v>
      </c>
      <c r="BE166" s="115" t="n">
        <f aca="false">SUMIFS(الريسبي!$C$2:$C$1800,الريسبي!$A$2:$A$1800,$A166,الريسبي!$B$2:$B$1800,BE$1)</f>
        <v>0</v>
      </c>
      <c r="BF166" s="115" t="n">
        <f aca="false">SUMIFS(الريسبي!$C$2:$C$1800,الريسبي!$A$2:$A$1800,$A166,الريسبي!$B$2:$B$1800,BF$1)</f>
        <v>0</v>
      </c>
      <c r="BG166" s="115" t="n">
        <f aca="false">SUMIFS(الريسبي!$C$2:$C$1800,الريسبي!$A$2:$A$1800,$A166,الريسبي!$B$2:$B$1800,BG$1)</f>
        <v>0</v>
      </c>
      <c r="BH166" s="115" t="n">
        <f aca="false">SUMIFS(الريسبي!$C$2:$C$1800,الريسبي!$A$2:$A$1800,$A166,الريسبي!$B$2:$B$1800,BH$1)</f>
        <v>0</v>
      </c>
      <c r="BI166" s="115" t="n">
        <f aca="false">SUMIFS(الريسبي!$C$2:$C$1800,الريسبي!$A$2:$A$1800,$A166,الريسبي!$B$2:$B$1800,BI$1)</f>
        <v>0</v>
      </c>
      <c r="BJ166" s="115" t="n">
        <f aca="false">SUMIFS(الريسبي!$C$2:$C$1800,الريسبي!$A$2:$A$1800,$A166,الريسبي!$B$2:$B$1800,BJ$1)</f>
        <v>0</v>
      </c>
      <c r="BK166" s="115" t="n">
        <f aca="false">SUMIFS(الريسبي!$C$2:$C$1800,الريسبي!$A$2:$A$1800,$A166,الريسبي!$B$2:$B$1800,BK$1)</f>
        <v>0</v>
      </c>
      <c r="BL166" s="115" t="n">
        <f aca="false">SUMIFS(الريسبي!$C$2:$C$1800,الريسبي!$A$2:$A$1800,$A166,الريسبي!$B$2:$B$1800,BL$1)</f>
        <v>0</v>
      </c>
      <c r="BM166" s="115" t="n">
        <f aca="false">SUMIFS(الريسبي!$C$2:$C$1800,الريسبي!$A$2:$A$1800,$A166,الريسبي!$B$2:$B$1800,BM$1)</f>
        <v>0</v>
      </c>
      <c r="BN166" s="115" t="n">
        <f aca="false">SUMIFS(الريسبي!$C$2:$C$1800,الريسبي!$A$2:$A$1800,$A166,الريسبي!$B$2:$B$1800,BN$1)</f>
        <v>0</v>
      </c>
      <c r="BO166" s="115" t="n">
        <f aca="false">SUMIFS(الريسبي!$C$2:$C$1800,الريسبي!$A$2:$A$1800,$A166,الريسبي!$B$2:$B$1800,BO$1)</f>
        <v>0</v>
      </c>
      <c r="BP166" s="115" t="n">
        <f aca="false">SUMIFS(الريسبي!$C$2:$C$1800,الريسبي!$A$2:$A$1800,$A166,الريسبي!$B$2:$B$1800,BP$1)</f>
        <v>0</v>
      </c>
      <c r="BQ166" s="115"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15" t="n">
        <f aca="false">SUMIFS(الريسبي!$C$2:$C$1800,الريسبي!$A$2:$A$1800,$A166,الريسبي!$B$2:$B$1800,BR$1)</f>
        <v>0</v>
      </c>
      <c r="BS166" s="115" t="n">
        <f aca="false">SUMIFS(الريسبي!$C$2:$C$1800,الريسبي!$A$2:$A$1800,$A166,الريسبي!$B$2:$B$1800,BS$1)</f>
        <v>0</v>
      </c>
      <c r="BT166" s="115" t="n">
        <f aca="false">SUMIFS(الريسبي!$C$2:$C$1800,الريسبي!$A$2:$A$1800,$A166,الريسبي!$B$2:$B$1800,BT$1)</f>
        <v>0</v>
      </c>
      <c r="BU166" s="115"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15" t="n">
        <f aca="false">SUMIFS(الريسبي!$C$2:$C$1800,الريسبي!$A$2:$A$1800,$A166,الريسبي!$B$2:$B$1800,BV$1)</f>
        <v>0</v>
      </c>
      <c r="BW166" s="115" t="n">
        <f aca="false">SUMIFS(الريسبي!$C$2:$C$1800,الريسبي!$A$2:$A$1800,$A166,الريسبي!$B$2:$B$1800,BW$1)</f>
        <v>0</v>
      </c>
      <c r="BX166" s="115" t="n">
        <f aca="false">SUMIFS(الريسبي!$C$2:$C$1800,الريسبي!$A$2:$A$1800,$A166,الريسبي!$B$2:$B$1800,BX$1)</f>
        <v>0</v>
      </c>
      <c r="BY166" s="115" t="n">
        <f aca="false">SUMIFS(الريسبي!$C$2:$C$1800,الريسبي!$A$2:$A$1800,$A166,الريسبي!$B$2:$B$1800,BY$1)</f>
        <v>0</v>
      </c>
      <c r="BZ166" s="115" t="n">
        <f aca="false">SUMIFS(الريسبي!$C$2:$C$1800,الريسبي!$A$2:$A$1800,$A166,الريسبي!$B$2:$B$1800,BZ$1)</f>
        <v>0</v>
      </c>
      <c r="CA166" s="115" t="n">
        <f aca="false">SUMIFS(الريسبي!$C$2:$C$1800,الريسبي!$A$2:$A$1800,$A166,الريسبي!$B$2:$B$1800,CA$1)</f>
        <v>0</v>
      </c>
      <c r="CB166" s="115" t="n">
        <f aca="false">SUMIFS(الريسبي!$C$2:$C$1800,الريسبي!$A$2:$A$1800,$A166,الريسبي!$B$2:$B$1800,CB$1)</f>
        <v>0</v>
      </c>
      <c r="CC166" s="115" t="n">
        <f aca="false">SUMIFS(الريسبي!$C$2:$C$1800,الريسبي!$A$2:$A$1800,$A166,الريسبي!$B$2:$B$1800,CC$1)</f>
        <v>0</v>
      </c>
      <c r="CD166" s="115" t="n">
        <f aca="false">SUMIFS(الريسبي!$C$2:$C$1800,الريسبي!$A$2:$A$1800,$A166,الريسبي!$B$2:$B$1800,CD$1)</f>
        <v>0</v>
      </c>
      <c r="CE166" s="115" t="n">
        <f aca="false">SUMIFS(الريسبي!$C$2:$C$1800,الريسبي!$A$2:$A$1800,$A166,الريسبي!$B$2:$B$1800,CE$1)</f>
        <v>0</v>
      </c>
      <c r="CF166" s="115" t="n">
        <f aca="false">SUMIFS(الريسبي!$C$2:$C$1800,الريسبي!$A$2:$A$1800,$A166,الريسبي!$B$2:$B$1800,CF$1)</f>
        <v>0</v>
      </c>
      <c r="CG166" s="115" t="n">
        <f aca="false">SUMIFS(الريسبي!$C$2:$C$1800,الريسبي!$A$2:$A$1800,$A166,الريسبي!$B$2:$B$1800,CG$1)</f>
        <v>0</v>
      </c>
      <c r="CH166" s="115" t="n">
        <f aca="false">SUMIFS(الريسبي!$C$2:$C$1800,الريسبي!$A$2:$A$1800,$A166,الريسبي!$B$2:$B$1800,CH$1)</f>
        <v>0</v>
      </c>
    </row>
    <row r="167" customFormat="false" ht="15" hidden="false" customHeight="false" outlineLevel="0" collapsed="false">
      <c r="A167" s="114" t="str">
        <f aca="false">المنيو!B167</f>
        <v>صوص رانش إضافي (M)</v>
      </c>
      <c r="B167" s="115" t="n">
        <f aca="false">SUMIFS(الريسبي!$C$2:$C$1800,الريسبي!$A$2:$A$1800,$A167,الريسبي!$B$2:$B$1800,B$1)</f>
        <v>0</v>
      </c>
      <c r="C167" s="115" t="n">
        <f aca="false">SUMIFS(الريسبي!$C$2:$C$1800,الريسبي!$A$2:$A$1800,$A167,الريسبي!$B$2:$B$1800,C$1)</f>
        <v>0</v>
      </c>
      <c r="D167" s="115" t="n">
        <f aca="false">SUMIFS(الريسبي!$C$2:$C$1800,الريسبي!$A$2:$A$1800,$A167,الريسبي!$B$2:$B$1800,D$1)</f>
        <v>0</v>
      </c>
      <c r="E167" s="115" t="n">
        <f aca="false">SUMIFS(الريسبي!$C$2:$C$1800,الريسبي!$A$2:$A$1800,$A167,الريسبي!$B$2:$B$1800,E$1)</f>
        <v>0</v>
      </c>
      <c r="F167" s="115" t="n">
        <f aca="false">SUMIFS(الريسبي!$C$2:$C$1800,الريسبي!$A$2:$A$1800,$A167,الريسبي!$B$2:$B$1800,F$1)</f>
        <v>0</v>
      </c>
      <c r="G167" s="115" t="n">
        <f aca="false">SUMIFS(الريسبي!$C$2:$C$1800,الريسبي!$A$2:$A$1800,$A167,الريسبي!$B$2:$B$1800,G$1)</f>
        <v>0</v>
      </c>
      <c r="H167" s="115" t="n">
        <f aca="false">SUMIFS(الريسبي!$C$2:$C$1800,الريسبي!$A$2:$A$1800,$A167,الريسبي!$B$2:$B$1800,H$1)</f>
        <v>0</v>
      </c>
      <c r="I167" s="115" t="n">
        <f aca="false">SUMIFS(الريسبي!$C$2:$C$1800,الريسبي!$A$2:$A$1800,$A167,الريسبي!$B$2:$B$1800,I$1)</f>
        <v>0</v>
      </c>
      <c r="J167" s="115" t="n">
        <f aca="false">SUMIFS(الريسبي!$C$2:$C$1800,الريسبي!$A$2:$A$1800,$A167,الريسبي!$B$2:$B$1800,J$1)</f>
        <v>0</v>
      </c>
      <c r="K167" s="115" t="n">
        <f aca="false">SUMIFS(الريسبي!$C$2:$C$1800,الريسبي!$A$2:$A$1800,$A167,الريسبي!$B$2:$B$1800,K$1)</f>
        <v>0</v>
      </c>
      <c r="L167" s="115" t="n">
        <f aca="false">SUMIFS(الريسبي!$C$2:$C$1800,الريسبي!$A$2:$A$1800,$A167,الريسبي!$B$2:$B$1800,L$1)</f>
        <v>0</v>
      </c>
      <c r="M167" s="115" t="n">
        <f aca="false">SUMIFS(الريسبي!$C$2:$C$1800,الريسبي!$A$2:$A$1800,$A167,الريسبي!$B$2:$B$1800,M$1)</f>
        <v>0</v>
      </c>
      <c r="N167" s="115" t="n">
        <f aca="false">SUMIFS(الريسبي!$C$2:$C$1800,الريسبي!$A$2:$A$1800,$A167,الريسبي!$B$2:$B$1800,N$1)</f>
        <v>0</v>
      </c>
      <c r="O167" s="115" t="n">
        <f aca="false">SUMIFS(الريسبي!$C$2:$C$1800,الريسبي!$A$2:$A$1800,$A167,الريسبي!$B$2:$B$1800,O$1)</f>
        <v>0</v>
      </c>
      <c r="P167" s="115" t="n">
        <f aca="false">SUMIFS(الريسبي!$C$2:$C$1800,الريسبي!$A$2:$A$1800,$A167,الريسبي!$B$2:$B$1800,P$1)</f>
        <v>0</v>
      </c>
      <c r="Q167" s="115" t="n">
        <f aca="false">SUMIFS(الريسبي!$C$2:$C$1800,الريسبي!$A$2:$A$1800,$A167,الريسبي!$B$2:$B$1800,Q$1)</f>
        <v>0</v>
      </c>
      <c r="R167" s="115" t="n">
        <f aca="false">SUMIFS(الريسبي!$C$2:$C$1800,الريسبي!$A$2:$A$1800,$A167,الريسبي!$B$2:$B$1800,R$1)</f>
        <v>0</v>
      </c>
      <c r="S167" s="115" t="n">
        <f aca="false">SUMIFS(الريسبي!$C$2:$C$1800,الريسبي!$A$2:$A$1800,$A167,الريسبي!$B$2:$B$1800,S$1)</f>
        <v>0</v>
      </c>
      <c r="T167" s="115" t="n">
        <f aca="false">SUMIFS(الريسبي!$C$2:$C$1800,الريسبي!$A$2:$A$1800,$A167,الريسبي!$B$2:$B$1800,T$1)</f>
        <v>0</v>
      </c>
      <c r="U167" s="115" t="n">
        <f aca="false">SUMIFS(الريسبي!$C$2:$C$1800,الريسبي!$A$2:$A$1800,$A167,الريسبي!$B$2:$B$1800,U$1)</f>
        <v>0</v>
      </c>
      <c r="V167" s="115" t="n">
        <f aca="false">SUMIFS(الريسبي!$C$2:$C$1800,الريسبي!$A$2:$A$1800,$A167,الريسبي!$B$2:$B$1800,V$1)</f>
        <v>0</v>
      </c>
      <c r="W167" s="115" t="n">
        <f aca="false">SUMIFS(الريسبي!$C$2:$C$1800,الريسبي!$A$2:$A$1800,$A167,الريسبي!$B$2:$B$1800,W$1)</f>
        <v>0</v>
      </c>
      <c r="X167" s="115" t="n">
        <f aca="false">SUMIFS(الريسبي!$C$2:$C$1800,الريسبي!$A$2:$A$1800,$A167,الريسبي!$B$2:$B$1800,X$1)</f>
        <v>0</v>
      </c>
      <c r="Y167" s="115" t="n">
        <f aca="false">SUMIFS(الريسبي!$C$2:$C$1800,الريسبي!$A$2:$A$1800,$A167,الريسبي!$B$2:$B$1800,Y$1)</f>
        <v>0</v>
      </c>
      <c r="Z167" s="115" t="n">
        <f aca="false">SUMIFS(الريسبي!$C$2:$C$1800,الريسبي!$A$2:$A$1800,$A167,الريسبي!$B$2:$B$1800,Z$1)</f>
        <v>0</v>
      </c>
      <c r="AA167" s="115" t="n">
        <f aca="false">SUMIFS(الريسبي!$C$2:$C$1800,الريسبي!$A$2:$A$1800,$A167,الريسبي!$B$2:$B$1800,AA$1)</f>
        <v>0</v>
      </c>
      <c r="AB167" s="115" t="n">
        <f aca="false">SUMIFS(الريسبي!$C$2:$C$1800,الريسبي!$A$2:$A$1800,$A167,الريسبي!$B$2:$B$1800,AB$1)</f>
        <v>0</v>
      </c>
      <c r="AC167" s="115" t="n">
        <f aca="false">SUMIFS(الريسبي!$C$2:$C$1800,الريسبي!$A$2:$A$1800,$A167,الريسبي!$B$2:$B$1800,AC$1)</f>
        <v>0</v>
      </c>
      <c r="AD167" s="115" t="n">
        <f aca="false">SUMIFS(الريسبي!$C$2:$C$1800,الريسبي!$A$2:$A$1800,$A167,الريسبي!$B$2:$B$1800,AD$1)</f>
        <v>0</v>
      </c>
      <c r="AE167" s="115" t="n">
        <f aca="false">SUMIFS(الريسبي!$C$2:$C$1800,الريسبي!$A$2:$A$1800,$A167,الريسبي!$B$2:$B$1800,AE$1)</f>
        <v>0</v>
      </c>
      <c r="AF167" s="115" t="n">
        <f aca="false">SUMIFS(الريسبي!$C$2:$C$1800,الريسبي!$A$2:$A$1800,$A167,الريسبي!$B$2:$B$1800,AF$1)</f>
        <v>0</v>
      </c>
      <c r="AG167" s="115" t="n">
        <f aca="false">SUMIFS(الريسبي!$C$2:$C$1800,الريسبي!$A$2:$A$1800,$A167,الريسبي!$B$2:$B$1800,AG$1)</f>
        <v>0</v>
      </c>
      <c r="AH167" s="115" t="n">
        <f aca="false">SUMIFS(الريسبي!$C$2:$C$1800,الريسبي!$A$2:$A$1800,$A167,الريسبي!$B$2:$B$1800,AH$1)</f>
        <v>0</v>
      </c>
      <c r="AI167" s="115" t="n">
        <f aca="false">SUMIFS(الريسبي!$C$2:$C$1800,الريسبي!$A$2:$A$1800,$A167,الريسبي!$B$2:$B$1800,AI$1)</f>
        <v>0</v>
      </c>
      <c r="AJ167" s="115" t="n">
        <f aca="false">SUMIFS(الريسبي!$C$2:$C$1800,الريسبي!$A$2:$A$1800,$A167,الريسبي!$B$2:$B$1800,AJ$1)</f>
        <v>0</v>
      </c>
      <c r="AK167" s="115" t="n">
        <f aca="false">SUMIFS(الريسبي!$C$2:$C$1800,الريسبي!$A$2:$A$1800,$A167,الريسبي!$B$2:$B$1800,AK$1)</f>
        <v>0</v>
      </c>
      <c r="AL167" s="115" t="n">
        <f aca="false">SUMIFS(الريسبي!$C$2:$C$1800,الريسبي!$A$2:$A$1800,$A167,الريسبي!$B$2:$B$1800,AL$1)</f>
        <v>0</v>
      </c>
      <c r="AM167" s="115"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15"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15" t="n">
        <f aca="false">SUMIFS(الريسبي!$C$2:$C$1800,الريسبي!$A$2:$A$1800,$A167,الريسبي!$B$2:$B$1800,AO$1)</f>
        <v>0</v>
      </c>
      <c r="AP167" s="115" t="n">
        <f aca="false">SUMIFS(الريسبي!$C$2:$C$1800,الريسبي!$A$2:$A$1800,$A167,الريسبي!$B$2:$B$1800,AP$1)</f>
        <v>0</v>
      </c>
      <c r="AQ167" s="115"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15" t="n">
        <f aca="false">SUMIFS(الريسبي!$C$2:$C$1800,الريسبي!$A$2:$A$1800,$A167,الريسبي!$B$2:$B$1800,AR$1)</f>
        <v>0</v>
      </c>
      <c r="AS167" s="115" t="n">
        <f aca="false">SUMIFS(الريسبي!$C$2:$C$1800,الريسبي!$A$2:$A$1800,$A167,الريسبي!$B$2:$B$1800,AS$1)</f>
        <v>0</v>
      </c>
      <c r="AT167" s="115" t="n">
        <f aca="false">SUMIFS(الريسبي!$C$2:$C$1800,الريسبي!$A$2:$A$1800,$A167,الريسبي!$B$2:$B$1800,AT$1)</f>
        <v>0</v>
      </c>
      <c r="AU167" s="115" t="n">
        <f aca="false">SUMIFS(الريسبي!$C$2:$C$1800,الريسبي!$A$2:$A$1800,$A167,الريسبي!$B$2:$B$1800,AU$1)</f>
        <v>0</v>
      </c>
      <c r="AV167" s="115" t="n">
        <f aca="false">SUMIFS(الريسبي!$C$2:$C$1800,الريسبي!$A$2:$A$1800,$A167,الريسبي!$B$2:$B$1800,AV$1)</f>
        <v>0</v>
      </c>
      <c r="AW167" s="115" t="n">
        <f aca="false">SUMIFS(الريسبي!$C$2:$C$1800,الريسبي!$A$2:$A$1800,$A167,الريسبي!$B$2:$B$1800,AW$1)</f>
        <v>0</v>
      </c>
      <c r="AX167" s="115" t="n">
        <f aca="false">SUMIFS(الريسبي!$C$2:$C$1800,الريسبي!$A$2:$A$1800,$A167,الريسبي!$B$2:$B$1800,AX$1)</f>
        <v>0</v>
      </c>
      <c r="AY167" s="115" t="n">
        <f aca="false">SUMIFS(الريسبي!$C$2:$C$1800,الريسبي!$A$2:$A$1800,$A167,الريسبي!$B$2:$B$1800,AY$1)</f>
        <v>0</v>
      </c>
      <c r="AZ167" s="115" t="n">
        <f aca="false">SUMIFS(الريسبي!$C$2:$C$1800,الريسبي!$A$2:$A$1800,$A167,الريسبي!$B$2:$B$1800,AZ$1)</f>
        <v>0</v>
      </c>
      <c r="BA167" s="115" t="n">
        <f aca="false">SUMIFS(الريسبي!$C$2:$C$1800,الريسبي!$A$2:$A$1800,$A167,الريسبي!$B$2:$B$1800,BA$1)</f>
        <v>0.1</v>
      </c>
      <c r="BB167" s="115" t="n">
        <f aca="false">SUMIFS(الريسبي!$C$2:$C$1800,الريسبي!$A$2:$A$1800,$A167,الريسبي!$B$2:$B$1800,BB$1)</f>
        <v>0</v>
      </c>
      <c r="BC167" s="115" t="n">
        <f aca="false">SUMIFS(الريسبي!$C$2:$C$1800,الريسبي!$A$2:$A$1800,$A167,الريسبي!$B$2:$B$1800,BC$1)</f>
        <v>0</v>
      </c>
      <c r="BD167" s="115" t="n">
        <f aca="false">SUMIFS(الريسبي!$C$2:$C$1800,الريسبي!$A$2:$A$1800,$A167,الريسبي!$B$2:$B$1800,BD$1)</f>
        <v>0</v>
      </c>
      <c r="BE167" s="115" t="n">
        <f aca="false">SUMIFS(الريسبي!$C$2:$C$1800,الريسبي!$A$2:$A$1800,$A167,الريسبي!$B$2:$B$1800,BE$1)</f>
        <v>0</v>
      </c>
      <c r="BF167" s="115" t="n">
        <f aca="false">SUMIFS(الريسبي!$C$2:$C$1800,الريسبي!$A$2:$A$1800,$A167,الريسبي!$B$2:$B$1800,BF$1)</f>
        <v>0</v>
      </c>
      <c r="BG167" s="115" t="n">
        <f aca="false">SUMIFS(الريسبي!$C$2:$C$1800,الريسبي!$A$2:$A$1800,$A167,الريسبي!$B$2:$B$1800,BG$1)</f>
        <v>0</v>
      </c>
      <c r="BH167" s="115" t="n">
        <f aca="false">SUMIFS(الريسبي!$C$2:$C$1800,الريسبي!$A$2:$A$1800,$A167,الريسبي!$B$2:$B$1800,BH$1)</f>
        <v>0</v>
      </c>
      <c r="BI167" s="115" t="n">
        <f aca="false">SUMIFS(الريسبي!$C$2:$C$1800,الريسبي!$A$2:$A$1800,$A167,الريسبي!$B$2:$B$1800,BI$1)</f>
        <v>0</v>
      </c>
      <c r="BJ167" s="115" t="n">
        <f aca="false">SUMIFS(الريسبي!$C$2:$C$1800,الريسبي!$A$2:$A$1800,$A167,الريسبي!$B$2:$B$1800,BJ$1)</f>
        <v>0</v>
      </c>
      <c r="BK167" s="115" t="n">
        <f aca="false">SUMIFS(الريسبي!$C$2:$C$1800,الريسبي!$A$2:$A$1800,$A167,الريسبي!$B$2:$B$1800,BK$1)</f>
        <v>0</v>
      </c>
      <c r="BL167" s="115" t="n">
        <f aca="false">SUMIFS(الريسبي!$C$2:$C$1800,الريسبي!$A$2:$A$1800,$A167,الريسبي!$B$2:$B$1800,BL$1)</f>
        <v>0</v>
      </c>
      <c r="BM167" s="115" t="n">
        <f aca="false">SUMIFS(الريسبي!$C$2:$C$1800,الريسبي!$A$2:$A$1800,$A167,الريسبي!$B$2:$B$1800,BM$1)</f>
        <v>0</v>
      </c>
      <c r="BN167" s="115" t="n">
        <f aca="false">SUMIFS(الريسبي!$C$2:$C$1800,الريسبي!$A$2:$A$1800,$A167,الريسبي!$B$2:$B$1800,BN$1)</f>
        <v>0</v>
      </c>
      <c r="BO167" s="115" t="n">
        <f aca="false">SUMIFS(الريسبي!$C$2:$C$1800,الريسبي!$A$2:$A$1800,$A167,الريسبي!$B$2:$B$1800,BO$1)</f>
        <v>0</v>
      </c>
      <c r="BP167" s="115" t="n">
        <f aca="false">SUMIFS(الريسبي!$C$2:$C$1800,الريسبي!$A$2:$A$1800,$A167,الريسبي!$B$2:$B$1800,BP$1)</f>
        <v>0</v>
      </c>
      <c r="BQ167" s="115"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15" t="n">
        <f aca="false">SUMIFS(الريسبي!$C$2:$C$1800,الريسبي!$A$2:$A$1800,$A167,الريسبي!$B$2:$B$1800,BR$1)</f>
        <v>0</v>
      </c>
      <c r="BS167" s="115" t="n">
        <f aca="false">SUMIFS(الريسبي!$C$2:$C$1800,الريسبي!$A$2:$A$1800,$A167,الريسبي!$B$2:$B$1800,BS$1)</f>
        <v>0</v>
      </c>
      <c r="BT167" s="115" t="n">
        <f aca="false">SUMIFS(الريسبي!$C$2:$C$1800,الريسبي!$A$2:$A$1800,$A167,الريسبي!$B$2:$B$1800,BT$1)</f>
        <v>0</v>
      </c>
      <c r="BU167" s="115"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15" t="n">
        <f aca="false">SUMIFS(الريسبي!$C$2:$C$1800,الريسبي!$A$2:$A$1800,$A167,الريسبي!$B$2:$B$1800,BV$1)</f>
        <v>0</v>
      </c>
      <c r="BW167" s="115" t="n">
        <f aca="false">SUMIFS(الريسبي!$C$2:$C$1800,الريسبي!$A$2:$A$1800,$A167,الريسبي!$B$2:$B$1800,BW$1)</f>
        <v>0</v>
      </c>
      <c r="BX167" s="115" t="n">
        <f aca="false">SUMIFS(الريسبي!$C$2:$C$1800,الريسبي!$A$2:$A$1800,$A167,الريسبي!$B$2:$B$1800,BX$1)</f>
        <v>0</v>
      </c>
      <c r="BY167" s="115" t="n">
        <f aca="false">SUMIFS(الريسبي!$C$2:$C$1800,الريسبي!$A$2:$A$1800,$A167,الريسبي!$B$2:$B$1800,BY$1)</f>
        <v>0</v>
      </c>
      <c r="BZ167" s="115" t="n">
        <f aca="false">SUMIFS(الريسبي!$C$2:$C$1800,الريسبي!$A$2:$A$1800,$A167,الريسبي!$B$2:$B$1800,BZ$1)</f>
        <v>0</v>
      </c>
      <c r="CA167" s="115" t="n">
        <f aca="false">SUMIFS(الريسبي!$C$2:$C$1800,الريسبي!$A$2:$A$1800,$A167,الريسبي!$B$2:$B$1800,CA$1)</f>
        <v>0</v>
      </c>
      <c r="CB167" s="115" t="n">
        <f aca="false">SUMIFS(الريسبي!$C$2:$C$1800,الريسبي!$A$2:$A$1800,$A167,الريسبي!$B$2:$B$1800,CB$1)</f>
        <v>0</v>
      </c>
      <c r="CC167" s="115" t="n">
        <f aca="false">SUMIFS(الريسبي!$C$2:$C$1800,الريسبي!$A$2:$A$1800,$A167,الريسبي!$B$2:$B$1800,CC$1)</f>
        <v>0</v>
      </c>
      <c r="CD167" s="115" t="n">
        <f aca="false">SUMIFS(الريسبي!$C$2:$C$1800,الريسبي!$A$2:$A$1800,$A167,الريسبي!$B$2:$B$1800,CD$1)</f>
        <v>0</v>
      </c>
      <c r="CE167" s="115" t="n">
        <f aca="false">SUMIFS(الريسبي!$C$2:$C$1800,الريسبي!$A$2:$A$1800,$A167,الريسبي!$B$2:$B$1800,CE$1)</f>
        <v>0</v>
      </c>
      <c r="CF167" s="115" t="n">
        <f aca="false">SUMIFS(الريسبي!$C$2:$C$1800,الريسبي!$A$2:$A$1800,$A167,الريسبي!$B$2:$B$1800,CF$1)</f>
        <v>0</v>
      </c>
      <c r="CG167" s="115" t="n">
        <f aca="false">SUMIFS(الريسبي!$C$2:$C$1800,الريسبي!$A$2:$A$1800,$A167,الريسبي!$B$2:$B$1800,CG$1)</f>
        <v>0</v>
      </c>
      <c r="CH167" s="115" t="n">
        <f aca="false">SUMIFS(الريسبي!$C$2:$C$1800,الريسبي!$A$2:$A$1800,$A167,الريسبي!$B$2:$B$1800,CH$1)</f>
        <v>0</v>
      </c>
    </row>
    <row r="168" customFormat="false" ht="15" hidden="false" customHeight="false" outlineLevel="0" collapsed="false">
      <c r="A168" s="114" t="str">
        <f aca="false">المنيو!B168</f>
        <v>صوص رانش إضافي (L)</v>
      </c>
      <c r="B168" s="115" t="n">
        <f aca="false">SUMIFS(الريسبي!$C$2:$C$1800,الريسبي!$A$2:$A$1800,$A168,الريسبي!$B$2:$B$1800,B$1)</f>
        <v>0</v>
      </c>
      <c r="C168" s="115" t="n">
        <f aca="false">SUMIFS(الريسبي!$C$2:$C$1800,الريسبي!$A$2:$A$1800,$A168,الريسبي!$B$2:$B$1800,C$1)</f>
        <v>0</v>
      </c>
      <c r="D168" s="115" t="n">
        <f aca="false">SUMIFS(الريسبي!$C$2:$C$1800,الريسبي!$A$2:$A$1800,$A168,الريسبي!$B$2:$B$1800,D$1)</f>
        <v>0</v>
      </c>
      <c r="E168" s="115" t="n">
        <f aca="false">SUMIFS(الريسبي!$C$2:$C$1800,الريسبي!$A$2:$A$1800,$A168,الريسبي!$B$2:$B$1800,E$1)</f>
        <v>0</v>
      </c>
      <c r="F168" s="115" t="n">
        <f aca="false">SUMIFS(الريسبي!$C$2:$C$1800,الريسبي!$A$2:$A$1800,$A168,الريسبي!$B$2:$B$1800,F$1)</f>
        <v>0</v>
      </c>
      <c r="G168" s="115" t="n">
        <f aca="false">SUMIFS(الريسبي!$C$2:$C$1800,الريسبي!$A$2:$A$1800,$A168,الريسبي!$B$2:$B$1800,G$1)</f>
        <v>0</v>
      </c>
      <c r="H168" s="115" t="n">
        <f aca="false">SUMIFS(الريسبي!$C$2:$C$1800,الريسبي!$A$2:$A$1800,$A168,الريسبي!$B$2:$B$1800,H$1)</f>
        <v>0</v>
      </c>
      <c r="I168" s="115" t="n">
        <f aca="false">SUMIFS(الريسبي!$C$2:$C$1800,الريسبي!$A$2:$A$1800,$A168,الريسبي!$B$2:$B$1800,I$1)</f>
        <v>0</v>
      </c>
      <c r="J168" s="115" t="n">
        <f aca="false">SUMIFS(الريسبي!$C$2:$C$1800,الريسبي!$A$2:$A$1800,$A168,الريسبي!$B$2:$B$1800,J$1)</f>
        <v>0</v>
      </c>
      <c r="K168" s="115" t="n">
        <f aca="false">SUMIFS(الريسبي!$C$2:$C$1800,الريسبي!$A$2:$A$1800,$A168,الريسبي!$B$2:$B$1800,K$1)</f>
        <v>0</v>
      </c>
      <c r="L168" s="115" t="n">
        <f aca="false">SUMIFS(الريسبي!$C$2:$C$1800,الريسبي!$A$2:$A$1800,$A168,الريسبي!$B$2:$B$1800,L$1)</f>
        <v>0</v>
      </c>
      <c r="M168" s="115" t="n">
        <f aca="false">SUMIFS(الريسبي!$C$2:$C$1800,الريسبي!$A$2:$A$1800,$A168,الريسبي!$B$2:$B$1800,M$1)</f>
        <v>0</v>
      </c>
      <c r="N168" s="115" t="n">
        <f aca="false">SUMIFS(الريسبي!$C$2:$C$1800,الريسبي!$A$2:$A$1800,$A168,الريسبي!$B$2:$B$1800,N$1)</f>
        <v>0</v>
      </c>
      <c r="O168" s="115" t="n">
        <f aca="false">SUMIFS(الريسبي!$C$2:$C$1800,الريسبي!$A$2:$A$1800,$A168,الريسبي!$B$2:$B$1800,O$1)</f>
        <v>0</v>
      </c>
      <c r="P168" s="115" t="n">
        <f aca="false">SUMIFS(الريسبي!$C$2:$C$1800,الريسبي!$A$2:$A$1800,$A168,الريسبي!$B$2:$B$1800,P$1)</f>
        <v>0</v>
      </c>
      <c r="Q168" s="115" t="n">
        <f aca="false">SUMIFS(الريسبي!$C$2:$C$1800,الريسبي!$A$2:$A$1800,$A168,الريسبي!$B$2:$B$1800,Q$1)</f>
        <v>0</v>
      </c>
      <c r="R168" s="115" t="n">
        <f aca="false">SUMIFS(الريسبي!$C$2:$C$1800,الريسبي!$A$2:$A$1800,$A168,الريسبي!$B$2:$B$1800,R$1)</f>
        <v>0</v>
      </c>
      <c r="S168" s="115" t="n">
        <f aca="false">SUMIFS(الريسبي!$C$2:$C$1800,الريسبي!$A$2:$A$1800,$A168,الريسبي!$B$2:$B$1800,S$1)</f>
        <v>0</v>
      </c>
      <c r="T168" s="115" t="n">
        <f aca="false">SUMIFS(الريسبي!$C$2:$C$1800,الريسبي!$A$2:$A$1800,$A168,الريسبي!$B$2:$B$1800,T$1)</f>
        <v>0</v>
      </c>
      <c r="U168" s="115" t="n">
        <f aca="false">SUMIFS(الريسبي!$C$2:$C$1800,الريسبي!$A$2:$A$1800,$A168,الريسبي!$B$2:$B$1800,U$1)</f>
        <v>0</v>
      </c>
      <c r="V168" s="115" t="n">
        <f aca="false">SUMIFS(الريسبي!$C$2:$C$1800,الريسبي!$A$2:$A$1800,$A168,الريسبي!$B$2:$B$1800,V$1)</f>
        <v>0</v>
      </c>
      <c r="W168" s="115" t="n">
        <f aca="false">SUMIFS(الريسبي!$C$2:$C$1800,الريسبي!$A$2:$A$1800,$A168,الريسبي!$B$2:$B$1800,W$1)</f>
        <v>0</v>
      </c>
      <c r="X168" s="115" t="n">
        <f aca="false">SUMIFS(الريسبي!$C$2:$C$1800,الريسبي!$A$2:$A$1800,$A168,الريسبي!$B$2:$B$1800,X$1)</f>
        <v>0</v>
      </c>
      <c r="Y168" s="115" t="n">
        <f aca="false">SUMIFS(الريسبي!$C$2:$C$1800,الريسبي!$A$2:$A$1800,$A168,الريسبي!$B$2:$B$1800,Y$1)</f>
        <v>0</v>
      </c>
      <c r="Z168" s="115" t="n">
        <f aca="false">SUMIFS(الريسبي!$C$2:$C$1800,الريسبي!$A$2:$A$1800,$A168,الريسبي!$B$2:$B$1800,Z$1)</f>
        <v>0</v>
      </c>
      <c r="AA168" s="115" t="n">
        <f aca="false">SUMIFS(الريسبي!$C$2:$C$1800,الريسبي!$A$2:$A$1800,$A168,الريسبي!$B$2:$B$1800,AA$1)</f>
        <v>0</v>
      </c>
      <c r="AB168" s="115" t="n">
        <f aca="false">SUMIFS(الريسبي!$C$2:$C$1800,الريسبي!$A$2:$A$1800,$A168,الريسبي!$B$2:$B$1800,AB$1)</f>
        <v>0</v>
      </c>
      <c r="AC168" s="115" t="n">
        <f aca="false">SUMIFS(الريسبي!$C$2:$C$1800,الريسبي!$A$2:$A$1800,$A168,الريسبي!$B$2:$B$1800,AC$1)</f>
        <v>0</v>
      </c>
      <c r="AD168" s="115" t="n">
        <f aca="false">SUMIFS(الريسبي!$C$2:$C$1800,الريسبي!$A$2:$A$1800,$A168,الريسبي!$B$2:$B$1800,AD$1)</f>
        <v>0</v>
      </c>
      <c r="AE168" s="115" t="n">
        <f aca="false">SUMIFS(الريسبي!$C$2:$C$1800,الريسبي!$A$2:$A$1800,$A168,الريسبي!$B$2:$B$1800,AE$1)</f>
        <v>0</v>
      </c>
      <c r="AF168" s="115" t="n">
        <f aca="false">SUMIFS(الريسبي!$C$2:$C$1800,الريسبي!$A$2:$A$1800,$A168,الريسبي!$B$2:$B$1800,AF$1)</f>
        <v>0</v>
      </c>
      <c r="AG168" s="115" t="n">
        <f aca="false">SUMIFS(الريسبي!$C$2:$C$1800,الريسبي!$A$2:$A$1800,$A168,الريسبي!$B$2:$B$1800,AG$1)</f>
        <v>0</v>
      </c>
      <c r="AH168" s="115" t="n">
        <f aca="false">SUMIFS(الريسبي!$C$2:$C$1800,الريسبي!$A$2:$A$1800,$A168,الريسبي!$B$2:$B$1800,AH$1)</f>
        <v>0</v>
      </c>
      <c r="AI168" s="115" t="n">
        <f aca="false">SUMIFS(الريسبي!$C$2:$C$1800,الريسبي!$A$2:$A$1800,$A168,الريسبي!$B$2:$B$1800,AI$1)</f>
        <v>0</v>
      </c>
      <c r="AJ168" s="115" t="n">
        <f aca="false">SUMIFS(الريسبي!$C$2:$C$1800,الريسبي!$A$2:$A$1800,$A168,الريسبي!$B$2:$B$1800,AJ$1)</f>
        <v>0</v>
      </c>
      <c r="AK168" s="115" t="n">
        <f aca="false">SUMIFS(الريسبي!$C$2:$C$1800,الريسبي!$A$2:$A$1800,$A168,الريسبي!$B$2:$B$1800,AK$1)</f>
        <v>0</v>
      </c>
      <c r="AL168" s="115" t="n">
        <f aca="false">SUMIFS(الريسبي!$C$2:$C$1800,الريسبي!$A$2:$A$1800,$A168,الريسبي!$B$2:$B$1800,AL$1)</f>
        <v>0</v>
      </c>
      <c r="AM168" s="115"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15"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15" t="n">
        <f aca="false">SUMIFS(الريسبي!$C$2:$C$1800,الريسبي!$A$2:$A$1800,$A168,الريسبي!$B$2:$B$1800,AO$1)</f>
        <v>0</v>
      </c>
      <c r="AP168" s="115" t="n">
        <f aca="false">SUMIFS(الريسبي!$C$2:$C$1800,الريسبي!$A$2:$A$1800,$A168,الريسبي!$B$2:$B$1800,AP$1)</f>
        <v>0</v>
      </c>
      <c r="AQ168" s="115"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15" t="n">
        <f aca="false">SUMIFS(الريسبي!$C$2:$C$1800,الريسبي!$A$2:$A$1800,$A168,الريسبي!$B$2:$B$1800,AR$1)</f>
        <v>0</v>
      </c>
      <c r="AS168" s="115" t="n">
        <f aca="false">SUMIFS(الريسبي!$C$2:$C$1800,الريسبي!$A$2:$A$1800,$A168,الريسبي!$B$2:$B$1800,AS$1)</f>
        <v>0</v>
      </c>
      <c r="AT168" s="115" t="n">
        <f aca="false">SUMIFS(الريسبي!$C$2:$C$1800,الريسبي!$A$2:$A$1800,$A168,الريسبي!$B$2:$B$1800,AT$1)</f>
        <v>0</v>
      </c>
      <c r="AU168" s="115" t="n">
        <f aca="false">SUMIFS(الريسبي!$C$2:$C$1800,الريسبي!$A$2:$A$1800,$A168,الريسبي!$B$2:$B$1800,AU$1)</f>
        <v>0</v>
      </c>
      <c r="AV168" s="115" t="n">
        <f aca="false">SUMIFS(الريسبي!$C$2:$C$1800,الريسبي!$A$2:$A$1800,$A168,الريسبي!$B$2:$B$1800,AV$1)</f>
        <v>0</v>
      </c>
      <c r="AW168" s="115" t="n">
        <f aca="false">SUMIFS(الريسبي!$C$2:$C$1800,الريسبي!$A$2:$A$1800,$A168,الريسبي!$B$2:$B$1800,AW$1)</f>
        <v>0</v>
      </c>
      <c r="AX168" s="115" t="n">
        <f aca="false">SUMIFS(الريسبي!$C$2:$C$1800,الريسبي!$A$2:$A$1800,$A168,الريسبي!$B$2:$B$1800,AX$1)</f>
        <v>0</v>
      </c>
      <c r="AY168" s="115" t="n">
        <f aca="false">SUMIFS(الريسبي!$C$2:$C$1800,الريسبي!$A$2:$A$1800,$A168,الريسبي!$B$2:$B$1800,AY$1)</f>
        <v>0</v>
      </c>
      <c r="AZ168" s="115" t="n">
        <f aca="false">SUMIFS(الريسبي!$C$2:$C$1800,الريسبي!$A$2:$A$1800,$A168,الريسبي!$B$2:$B$1800,AZ$1)</f>
        <v>0</v>
      </c>
      <c r="BA168" s="115" t="n">
        <f aca="false">SUMIFS(الريسبي!$C$2:$C$1800,الريسبي!$A$2:$A$1800,$A168,الريسبي!$B$2:$B$1800,BA$1)</f>
        <v>0.15</v>
      </c>
      <c r="BB168" s="115" t="n">
        <f aca="false">SUMIFS(الريسبي!$C$2:$C$1800,الريسبي!$A$2:$A$1800,$A168,الريسبي!$B$2:$B$1800,BB$1)</f>
        <v>0</v>
      </c>
      <c r="BC168" s="115" t="n">
        <f aca="false">SUMIFS(الريسبي!$C$2:$C$1800,الريسبي!$A$2:$A$1800,$A168,الريسبي!$B$2:$B$1800,BC$1)</f>
        <v>0</v>
      </c>
      <c r="BD168" s="115" t="n">
        <f aca="false">SUMIFS(الريسبي!$C$2:$C$1800,الريسبي!$A$2:$A$1800,$A168,الريسبي!$B$2:$B$1800,BD$1)</f>
        <v>0</v>
      </c>
      <c r="BE168" s="115" t="n">
        <f aca="false">SUMIFS(الريسبي!$C$2:$C$1800,الريسبي!$A$2:$A$1800,$A168,الريسبي!$B$2:$B$1800,BE$1)</f>
        <v>0</v>
      </c>
      <c r="BF168" s="115" t="n">
        <f aca="false">SUMIFS(الريسبي!$C$2:$C$1800,الريسبي!$A$2:$A$1800,$A168,الريسبي!$B$2:$B$1800,BF$1)</f>
        <v>0</v>
      </c>
      <c r="BG168" s="115" t="n">
        <f aca="false">SUMIFS(الريسبي!$C$2:$C$1800,الريسبي!$A$2:$A$1800,$A168,الريسبي!$B$2:$B$1800,BG$1)</f>
        <v>0</v>
      </c>
      <c r="BH168" s="115" t="n">
        <f aca="false">SUMIFS(الريسبي!$C$2:$C$1800,الريسبي!$A$2:$A$1800,$A168,الريسبي!$B$2:$B$1800,BH$1)</f>
        <v>0</v>
      </c>
      <c r="BI168" s="115" t="n">
        <f aca="false">SUMIFS(الريسبي!$C$2:$C$1800,الريسبي!$A$2:$A$1800,$A168,الريسبي!$B$2:$B$1800,BI$1)</f>
        <v>0</v>
      </c>
      <c r="BJ168" s="115" t="n">
        <f aca="false">SUMIFS(الريسبي!$C$2:$C$1800,الريسبي!$A$2:$A$1800,$A168,الريسبي!$B$2:$B$1800,BJ$1)</f>
        <v>0</v>
      </c>
      <c r="BK168" s="115" t="n">
        <f aca="false">SUMIFS(الريسبي!$C$2:$C$1800,الريسبي!$A$2:$A$1800,$A168,الريسبي!$B$2:$B$1800,BK$1)</f>
        <v>0</v>
      </c>
      <c r="BL168" s="115" t="n">
        <f aca="false">SUMIFS(الريسبي!$C$2:$C$1800,الريسبي!$A$2:$A$1800,$A168,الريسبي!$B$2:$B$1800,BL$1)</f>
        <v>0</v>
      </c>
      <c r="BM168" s="115" t="n">
        <f aca="false">SUMIFS(الريسبي!$C$2:$C$1800,الريسبي!$A$2:$A$1800,$A168,الريسبي!$B$2:$B$1800,BM$1)</f>
        <v>0</v>
      </c>
      <c r="BN168" s="115" t="n">
        <f aca="false">SUMIFS(الريسبي!$C$2:$C$1800,الريسبي!$A$2:$A$1800,$A168,الريسبي!$B$2:$B$1800,BN$1)</f>
        <v>0</v>
      </c>
      <c r="BO168" s="115" t="n">
        <f aca="false">SUMIFS(الريسبي!$C$2:$C$1800,الريسبي!$A$2:$A$1800,$A168,الريسبي!$B$2:$B$1800,BO$1)</f>
        <v>0</v>
      </c>
      <c r="BP168" s="115" t="n">
        <f aca="false">SUMIFS(الريسبي!$C$2:$C$1800,الريسبي!$A$2:$A$1800,$A168,الريسبي!$B$2:$B$1800,BP$1)</f>
        <v>0</v>
      </c>
      <c r="BQ168" s="115"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15" t="n">
        <f aca="false">SUMIFS(الريسبي!$C$2:$C$1800,الريسبي!$A$2:$A$1800,$A168,الريسبي!$B$2:$B$1800,BR$1)</f>
        <v>0</v>
      </c>
      <c r="BS168" s="115" t="n">
        <f aca="false">SUMIFS(الريسبي!$C$2:$C$1800,الريسبي!$A$2:$A$1800,$A168,الريسبي!$B$2:$B$1800,BS$1)</f>
        <v>0</v>
      </c>
      <c r="BT168" s="115" t="n">
        <f aca="false">SUMIFS(الريسبي!$C$2:$C$1800,الريسبي!$A$2:$A$1800,$A168,الريسبي!$B$2:$B$1800,BT$1)</f>
        <v>0</v>
      </c>
      <c r="BU168" s="115"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15" t="n">
        <f aca="false">SUMIFS(الريسبي!$C$2:$C$1800,الريسبي!$A$2:$A$1800,$A168,الريسبي!$B$2:$B$1800,BV$1)</f>
        <v>0</v>
      </c>
      <c r="BW168" s="115" t="n">
        <f aca="false">SUMIFS(الريسبي!$C$2:$C$1800,الريسبي!$A$2:$A$1800,$A168,الريسبي!$B$2:$B$1800,BW$1)</f>
        <v>0</v>
      </c>
      <c r="BX168" s="115" t="n">
        <f aca="false">SUMIFS(الريسبي!$C$2:$C$1800,الريسبي!$A$2:$A$1800,$A168,الريسبي!$B$2:$B$1800,BX$1)</f>
        <v>0</v>
      </c>
      <c r="BY168" s="115" t="n">
        <f aca="false">SUMIFS(الريسبي!$C$2:$C$1800,الريسبي!$A$2:$A$1800,$A168,الريسبي!$B$2:$B$1800,BY$1)</f>
        <v>0</v>
      </c>
      <c r="BZ168" s="115" t="n">
        <f aca="false">SUMIFS(الريسبي!$C$2:$C$1800,الريسبي!$A$2:$A$1800,$A168,الريسبي!$B$2:$B$1800,BZ$1)</f>
        <v>0</v>
      </c>
      <c r="CA168" s="115" t="n">
        <f aca="false">SUMIFS(الريسبي!$C$2:$C$1800,الريسبي!$A$2:$A$1800,$A168,الريسبي!$B$2:$B$1800,CA$1)</f>
        <v>0</v>
      </c>
      <c r="CB168" s="115" t="n">
        <f aca="false">SUMIFS(الريسبي!$C$2:$C$1800,الريسبي!$A$2:$A$1800,$A168,الريسبي!$B$2:$B$1800,CB$1)</f>
        <v>0</v>
      </c>
      <c r="CC168" s="115" t="n">
        <f aca="false">SUMIFS(الريسبي!$C$2:$C$1800,الريسبي!$A$2:$A$1800,$A168,الريسبي!$B$2:$B$1800,CC$1)</f>
        <v>0</v>
      </c>
      <c r="CD168" s="115" t="n">
        <f aca="false">SUMIFS(الريسبي!$C$2:$C$1800,الريسبي!$A$2:$A$1800,$A168,الريسبي!$B$2:$B$1800,CD$1)</f>
        <v>0</v>
      </c>
      <c r="CE168" s="115" t="n">
        <f aca="false">SUMIFS(الريسبي!$C$2:$C$1800,الريسبي!$A$2:$A$1800,$A168,الريسبي!$B$2:$B$1800,CE$1)</f>
        <v>0</v>
      </c>
      <c r="CF168" s="115" t="n">
        <f aca="false">SUMIFS(الريسبي!$C$2:$C$1800,الريسبي!$A$2:$A$1800,$A168,الريسبي!$B$2:$B$1800,CF$1)</f>
        <v>0</v>
      </c>
      <c r="CG168" s="115" t="n">
        <f aca="false">SUMIFS(الريسبي!$C$2:$C$1800,الريسبي!$A$2:$A$1800,$A168,الريسبي!$B$2:$B$1800,CG$1)</f>
        <v>0</v>
      </c>
      <c r="CH168" s="115" t="n">
        <f aca="false">SUMIFS(الريسبي!$C$2:$C$1800,الريسبي!$A$2:$A$1800,$A168,الريسبي!$B$2:$B$1800,CH$1)</f>
        <v>0</v>
      </c>
    </row>
    <row r="169" customFormat="false" ht="15" hidden="false" customHeight="false" outlineLevel="0" collapsed="false">
      <c r="A169" s="114" t="str">
        <f aca="false">المنيو!B169</f>
        <v>صوص شيدر إضافي (M)</v>
      </c>
      <c r="B169" s="115" t="n">
        <f aca="false">SUMIFS(الريسبي!$C$2:$C$1800,الريسبي!$A$2:$A$1800,$A169,الريسبي!$B$2:$B$1800,B$1)</f>
        <v>0</v>
      </c>
      <c r="C169" s="115" t="n">
        <f aca="false">SUMIFS(الريسبي!$C$2:$C$1800,الريسبي!$A$2:$A$1800,$A169,الريسبي!$B$2:$B$1800,C$1)</f>
        <v>0</v>
      </c>
      <c r="D169" s="115" t="n">
        <f aca="false">SUMIFS(الريسبي!$C$2:$C$1800,الريسبي!$A$2:$A$1800,$A169,الريسبي!$B$2:$B$1800,D$1)</f>
        <v>0</v>
      </c>
      <c r="E169" s="115" t="n">
        <f aca="false">SUMIFS(الريسبي!$C$2:$C$1800,الريسبي!$A$2:$A$1800,$A169,الريسبي!$B$2:$B$1800,E$1)</f>
        <v>0</v>
      </c>
      <c r="F169" s="115" t="n">
        <f aca="false">SUMIFS(الريسبي!$C$2:$C$1800,الريسبي!$A$2:$A$1800,$A169,الريسبي!$B$2:$B$1800,F$1)</f>
        <v>0</v>
      </c>
      <c r="G169" s="115" t="n">
        <f aca="false">SUMIFS(الريسبي!$C$2:$C$1800,الريسبي!$A$2:$A$1800,$A169,الريسبي!$B$2:$B$1800,G$1)</f>
        <v>0</v>
      </c>
      <c r="H169" s="115" t="n">
        <f aca="false">SUMIFS(الريسبي!$C$2:$C$1800,الريسبي!$A$2:$A$1800,$A169,الريسبي!$B$2:$B$1800,H$1)</f>
        <v>0</v>
      </c>
      <c r="I169" s="115" t="n">
        <f aca="false">SUMIFS(الريسبي!$C$2:$C$1800,الريسبي!$A$2:$A$1800,$A169,الريسبي!$B$2:$B$1800,I$1)</f>
        <v>0</v>
      </c>
      <c r="J169" s="115" t="n">
        <f aca="false">SUMIFS(الريسبي!$C$2:$C$1800,الريسبي!$A$2:$A$1800,$A169,الريسبي!$B$2:$B$1800,J$1)</f>
        <v>0</v>
      </c>
      <c r="K169" s="115" t="n">
        <f aca="false">SUMIFS(الريسبي!$C$2:$C$1800,الريسبي!$A$2:$A$1800,$A169,الريسبي!$B$2:$B$1800,K$1)</f>
        <v>0</v>
      </c>
      <c r="L169" s="115" t="n">
        <f aca="false">SUMIFS(الريسبي!$C$2:$C$1800,الريسبي!$A$2:$A$1800,$A169,الريسبي!$B$2:$B$1800,L$1)</f>
        <v>0</v>
      </c>
      <c r="M169" s="115" t="n">
        <f aca="false">SUMIFS(الريسبي!$C$2:$C$1800,الريسبي!$A$2:$A$1800,$A169,الريسبي!$B$2:$B$1800,M$1)</f>
        <v>0</v>
      </c>
      <c r="N169" s="115" t="n">
        <f aca="false">SUMIFS(الريسبي!$C$2:$C$1800,الريسبي!$A$2:$A$1800,$A169,الريسبي!$B$2:$B$1800,N$1)</f>
        <v>0</v>
      </c>
      <c r="O169" s="115" t="n">
        <f aca="false">SUMIFS(الريسبي!$C$2:$C$1800,الريسبي!$A$2:$A$1800,$A169,الريسبي!$B$2:$B$1800,O$1)</f>
        <v>0</v>
      </c>
      <c r="P169" s="115" t="n">
        <f aca="false">SUMIFS(الريسبي!$C$2:$C$1800,الريسبي!$A$2:$A$1800,$A169,الريسبي!$B$2:$B$1800,P$1)</f>
        <v>0</v>
      </c>
      <c r="Q169" s="115" t="n">
        <f aca="false">SUMIFS(الريسبي!$C$2:$C$1800,الريسبي!$A$2:$A$1800,$A169,الريسبي!$B$2:$B$1800,Q$1)</f>
        <v>0</v>
      </c>
      <c r="R169" s="115" t="n">
        <f aca="false">SUMIFS(الريسبي!$C$2:$C$1800,الريسبي!$A$2:$A$1800,$A169,الريسبي!$B$2:$B$1800,R$1)</f>
        <v>0</v>
      </c>
      <c r="S169" s="115" t="n">
        <f aca="false">SUMIFS(الريسبي!$C$2:$C$1800,الريسبي!$A$2:$A$1800,$A169,الريسبي!$B$2:$B$1800,S$1)</f>
        <v>0</v>
      </c>
      <c r="T169" s="115" t="n">
        <f aca="false">SUMIFS(الريسبي!$C$2:$C$1800,الريسبي!$A$2:$A$1800,$A169,الريسبي!$B$2:$B$1800,T$1)</f>
        <v>0</v>
      </c>
      <c r="U169" s="115" t="n">
        <f aca="false">SUMIFS(الريسبي!$C$2:$C$1800,الريسبي!$A$2:$A$1800,$A169,الريسبي!$B$2:$B$1800,U$1)</f>
        <v>0</v>
      </c>
      <c r="V169" s="115" t="n">
        <f aca="false">SUMIFS(الريسبي!$C$2:$C$1800,الريسبي!$A$2:$A$1800,$A169,الريسبي!$B$2:$B$1800,V$1)</f>
        <v>0</v>
      </c>
      <c r="W169" s="115" t="n">
        <f aca="false">SUMIFS(الريسبي!$C$2:$C$1800,الريسبي!$A$2:$A$1800,$A169,الريسبي!$B$2:$B$1800,W$1)</f>
        <v>0</v>
      </c>
      <c r="X169" s="115" t="n">
        <f aca="false">SUMIFS(الريسبي!$C$2:$C$1800,الريسبي!$A$2:$A$1800,$A169,الريسبي!$B$2:$B$1800,X$1)</f>
        <v>0</v>
      </c>
      <c r="Y169" s="115" t="n">
        <f aca="false">SUMIFS(الريسبي!$C$2:$C$1800,الريسبي!$A$2:$A$1800,$A169,الريسبي!$B$2:$B$1800,Y$1)</f>
        <v>0</v>
      </c>
      <c r="Z169" s="115" t="n">
        <f aca="false">SUMIFS(الريسبي!$C$2:$C$1800,الريسبي!$A$2:$A$1800,$A169,الريسبي!$B$2:$B$1800,Z$1)</f>
        <v>0</v>
      </c>
      <c r="AA169" s="115" t="n">
        <f aca="false">SUMIFS(الريسبي!$C$2:$C$1800,الريسبي!$A$2:$A$1800,$A169,الريسبي!$B$2:$B$1800,AA$1)</f>
        <v>0</v>
      </c>
      <c r="AB169" s="115" t="n">
        <f aca="false">SUMIFS(الريسبي!$C$2:$C$1800,الريسبي!$A$2:$A$1800,$A169,الريسبي!$B$2:$B$1800,AB$1)</f>
        <v>0</v>
      </c>
      <c r="AC169" s="115" t="n">
        <f aca="false">SUMIFS(الريسبي!$C$2:$C$1800,الريسبي!$A$2:$A$1800,$A169,الريسبي!$B$2:$B$1800,AC$1)</f>
        <v>0</v>
      </c>
      <c r="AD169" s="115" t="n">
        <f aca="false">SUMIFS(الريسبي!$C$2:$C$1800,الريسبي!$A$2:$A$1800,$A169,الريسبي!$B$2:$B$1800,AD$1)</f>
        <v>0</v>
      </c>
      <c r="AE169" s="115" t="n">
        <f aca="false">SUMIFS(الريسبي!$C$2:$C$1800,الريسبي!$A$2:$A$1800,$A169,الريسبي!$B$2:$B$1800,AE$1)</f>
        <v>0</v>
      </c>
      <c r="AF169" s="115" t="n">
        <f aca="false">SUMIFS(الريسبي!$C$2:$C$1800,الريسبي!$A$2:$A$1800,$A169,الريسبي!$B$2:$B$1800,AF$1)</f>
        <v>0</v>
      </c>
      <c r="AG169" s="115" t="n">
        <f aca="false">SUMIFS(الريسبي!$C$2:$C$1800,الريسبي!$A$2:$A$1800,$A169,الريسبي!$B$2:$B$1800,AG$1)</f>
        <v>0</v>
      </c>
      <c r="AH169" s="115" t="n">
        <f aca="false">SUMIFS(الريسبي!$C$2:$C$1800,الريسبي!$A$2:$A$1800,$A169,الريسبي!$B$2:$B$1800,AH$1)</f>
        <v>0</v>
      </c>
      <c r="AI169" s="115" t="n">
        <f aca="false">SUMIFS(الريسبي!$C$2:$C$1800,الريسبي!$A$2:$A$1800,$A169,الريسبي!$B$2:$B$1800,AI$1)</f>
        <v>0</v>
      </c>
      <c r="AJ169" s="115" t="n">
        <f aca="false">SUMIFS(الريسبي!$C$2:$C$1800,الريسبي!$A$2:$A$1800,$A169,الريسبي!$B$2:$B$1800,AJ$1)</f>
        <v>0</v>
      </c>
      <c r="AK169" s="115" t="n">
        <f aca="false">SUMIFS(الريسبي!$C$2:$C$1800,الريسبي!$A$2:$A$1800,$A169,الريسبي!$B$2:$B$1800,AK$1)</f>
        <v>0</v>
      </c>
      <c r="AL169" s="115" t="n">
        <f aca="false">SUMIFS(الريسبي!$C$2:$C$1800,الريسبي!$A$2:$A$1800,$A169,الريسبي!$B$2:$B$1800,AL$1)</f>
        <v>0</v>
      </c>
      <c r="AM169" s="115"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15"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15" t="n">
        <f aca="false">SUMIFS(الريسبي!$C$2:$C$1800,الريسبي!$A$2:$A$1800,$A169,الريسبي!$B$2:$B$1800,AO$1)</f>
        <v>0</v>
      </c>
      <c r="AP169" s="115" t="n">
        <f aca="false">SUMIFS(الريسبي!$C$2:$C$1800,الريسبي!$A$2:$A$1800,$A169,الريسبي!$B$2:$B$1800,AP$1)</f>
        <v>0</v>
      </c>
      <c r="AQ169" s="115"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15" t="n">
        <f aca="false">SUMIFS(الريسبي!$C$2:$C$1800,الريسبي!$A$2:$A$1800,$A169,الريسبي!$B$2:$B$1800,AR$1)</f>
        <v>0</v>
      </c>
      <c r="AS169" s="115" t="n">
        <f aca="false">SUMIFS(الريسبي!$C$2:$C$1800,الريسبي!$A$2:$A$1800,$A169,الريسبي!$B$2:$B$1800,AS$1)</f>
        <v>0</v>
      </c>
      <c r="AT169" s="115" t="n">
        <f aca="false">SUMIFS(الريسبي!$C$2:$C$1800,الريسبي!$A$2:$A$1800,$A169,الريسبي!$B$2:$B$1800,AT$1)</f>
        <v>0</v>
      </c>
      <c r="AU169" s="115" t="n">
        <f aca="false">SUMIFS(الريسبي!$C$2:$C$1800,الريسبي!$A$2:$A$1800,$A169,الريسبي!$B$2:$B$1800,AU$1)</f>
        <v>0</v>
      </c>
      <c r="AV169" s="115" t="n">
        <f aca="false">SUMIFS(الريسبي!$C$2:$C$1800,الريسبي!$A$2:$A$1800,$A169,الريسبي!$B$2:$B$1800,AV$1)</f>
        <v>0</v>
      </c>
      <c r="AW169" s="115" t="n">
        <f aca="false">SUMIFS(الريسبي!$C$2:$C$1800,الريسبي!$A$2:$A$1800,$A169,الريسبي!$B$2:$B$1800,AW$1)</f>
        <v>0</v>
      </c>
      <c r="AX169" s="115" t="n">
        <f aca="false">SUMIFS(الريسبي!$C$2:$C$1800,الريسبي!$A$2:$A$1800,$A169,الريسبي!$B$2:$B$1800,AX$1)</f>
        <v>0</v>
      </c>
      <c r="AY169" s="115" t="n">
        <f aca="false">SUMIFS(الريسبي!$C$2:$C$1800,الريسبي!$A$2:$A$1800,$A169,الريسبي!$B$2:$B$1800,AY$1)</f>
        <v>0</v>
      </c>
      <c r="AZ169" s="115" t="n">
        <f aca="false">SUMIFS(الريسبي!$C$2:$C$1800,الريسبي!$A$2:$A$1800,$A169,الريسبي!$B$2:$B$1800,AZ$1)</f>
        <v>0</v>
      </c>
      <c r="BA169" s="115" t="n">
        <f aca="false">SUMIFS(الريسبي!$C$2:$C$1800,الريسبي!$A$2:$A$1800,$A169,الريسبي!$B$2:$B$1800,BA$1)</f>
        <v>0</v>
      </c>
      <c r="BB169" s="115" t="n">
        <f aca="false">SUMIFS(الريسبي!$C$2:$C$1800,الريسبي!$A$2:$A$1800,$A169,الريسبي!$B$2:$B$1800,BB$1)</f>
        <v>0.1</v>
      </c>
      <c r="BC169" s="115" t="n">
        <f aca="false">SUMIFS(الريسبي!$C$2:$C$1800,الريسبي!$A$2:$A$1800,$A169,الريسبي!$B$2:$B$1800,BC$1)</f>
        <v>0</v>
      </c>
      <c r="BD169" s="115" t="n">
        <f aca="false">SUMIFS(الريسبي!$C$2:$C$1800,الريسبي!$A$2:$A$1800,$A169,الريسبي!$B$2:$B$1800,BD$1)</f>
        <v>0</v>
      </c>
      <c r="BE169" s="115" t="n">
        <f aca="false">SUMIFS(الريسبي!$C$2:$C$1800,الريسبي!$A$2:$A$1800,$A169,الريسبي!$B$2:$B$1800,BE$1)</f>
        <v>0</v>
      </c>
      <c r="BF169" s="115" t="n">
        <f aca="false">SUMIFS(الريسبي!$C$2:$C$1800,الريسبي!$A$2:$A$1800,$A169,الريسبي!$B$2:$B$1800,BF$1)</f>
        <v>0</v>
      </c>
      <c r="BG169" s="115" t="n">
        <f aca="false">SUMIFS(الريسبي!$C$2:$C$1800,الريسبي!$A$2:$A$1800,$A169,الريسبي!$B$2:$B$1800,BG$1)</f>
        <v>0</v>
      </c>
      <c r="BH169" s="115" t="n">
        <f aca="false">SUMIFS(الريسبي!$C$2:$C$1800,الريسبي!$A$2:$A$1800,$A169,الريسبي!$B$2:$B$1800,BH$1)</f>
        <v>0</v>
      </c>
      <c r="BI169" s="115" t="n">
        <f aca="false">SUMIFS(الريسبي!$C$2:$C$1800,الريسبي!$A$2:$A$1800,$A169,الريسبي!$B$2:$B$1800,BI$1)</f>
        <v>0</v>
      </c>
      <c r="BJ169" s="115" t="n">
        <f aca="false">SUMIFS(الريسبي!$C$2:$C$1800,الريسبي!$A$2:$A$1800,$A169,الريسبي!$B$2:$B$1800,BJ$1)</f>
        <v>0</v>
      </c>
      <c r="BK169" s="115" t="n">
        <f aca="false">SUMIFS(الريسبي!$C$2:$C$1800,الريسبي!$A$2:$A$1800,$A169,الريسبي!$B$2:$B$1800,BK$1)</f>
        <v>0</v>
      </c>
      <c r="BL169" s="115" t="n">
        <f aca="false">SUMIFS(الريسبي!$C$2:$C$1800,الريسبي!$A$2:$A$1800,$A169,الريسبي!$B$2:$B$1800,BL$1)</f>
        <v>0</v>
      </c>
      <c r="BM169" s="115" t="n">
        <f aca="false">SUMIFS(الريسبي!$C$2:$C$1800,الريسبي!$A$2:$A$1800,$A169,الريسبي!$B$2:$B$1800,BM$1)</f>
        <v>0</v>
      </c>
      <c r="BN169" s="115" t="n">
        <f aca="false">SUMIFS(الريسبي!$C$2:$C$1800,الريسبي!$A$2:$A$1800,$A169,الريسبي!$B$2:$B$1800,BN$1)</f>
        <v>0</v>
      </c>
      <c r="BO169" s="115" t="n">
        <f aca="false">SUMIFS(الريسبي!$C$2:$C$1800,الريسبي!$A$2:$A$1800,$A169,الريسبي!$B$2:$B$1800,BO$1)</f>
        <v>0</v>
      </c>
      <c r="BP169" s="115" t="n">
        <f aca="false">SUMIFS(الريسبي!$C$2:$C$1800,الريسبي!$A$2:$A$1800,$A169,الريسبي!$B$2:$B$1800,BP$1)</f>
        <v>0</v>
      </c>
      <c r="BQ169" s="115"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15" t="n">
        <f aca="false">SUMIFS(الريسبي!$C$2:$C$1800,الريسبي!$A$2:$A$1800,$A169,الريسبي!$B$2:$B$1800,BR$1)</f>
        <v>0</v>
      </c>
      <c r="BS169" s="115" t="n">
        <f aca="false">SUMIFS(الريسبي!$C$2:$C$1800,الريسبي!$A$2:$A$1800,$A169,الريسبي!$B$2:$B$1800,BS$1)</f>
        <v>0</v>
      </c>
      <c r="BT169" s="115" t="n">
        <f aca="false">SUMIFS(الريسبي!$C$2:$C$1800,الريسبي!$A$2:$A$1800,$A169,الريسبي!$B$2:$B$1800,BT$1)</f>
        <v>0</v>
      </c>
      <c r="BU169" s="115"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15" t="n">
        <f aca="false">SUMIFS(الريسبي!$C$2:$C$1800,الريسبي!$A$2:$A$1800,$A169,الريسبي!$B$2:$B$1800,BV$1)</f>
        <v>0</v>
      </c>
      <c r="BW169" s="115" t="n">
        <f aca="false">SUMIFS(الريسبي!$C$2:$C$1800,الريسبي!$A$2:$A$1800,$A169,الريسبي!$B$2:$B$1800,BW$1)</f>
        <v>0</v>
      </c>
      <c r="BX169" s="115" t="n">
        <f aca="false">SUMIFS(الريسبي!$C$2:$C$1800,الريسبي!$A$2:$A$1800,$A169,الريسبي!$B$2:$B$1800,BX$1)</f>
        <v>0</v>
      </c>
      <c r="BY169" s="115" t="n">
        <f aca="false">SUMIFS(الريسبي!$C$2:$C$1800,الريسبي!$A$2:$A$1800,$A169,الريسبي!$B$2:$B$1800,BY$1)</f>
        <v>0</v>
      </c>
      <c r="BZ169" s="115" t="n">
        <f aca="false">SUMIFS(الريسبي!$C$2:$C$1800,الريسبي!$A$2:$A$1800,$A169,الريسبي!$B$2:$B$1800,BZ$1)</f>
        <v>0</v>
      </c>
      <c r="CA169" s="115" t="n">
        <f aca="false">SUMIFS(الريسبي!$C$2:$C$1800,الريسبي!$A$2:$A$1800,$A169,الريسبي!$B$2:$B$1800,CA$1)</f>
        <v>0</v>
      </c>
      <c r="CB169" s="115" t="n">
        <f aca="false">SUMIFS(الريسبي!$C$2:$C$1800,الريسبي!$A$2:$A$1800,$A169,الريسبي!$B$2:$B$1800,CB$1)</f>
        <v>0</v>
      </c>
      <c r="CC169" s="115" t="n">
        <f aca="false">SUMIFS(الريسبي!$C$2:$C$1800,الريسبي!$A$2:$A$1800,$A169,الريسبي!$B$2:$B$1800,CC$1)</f>
        <v>0</v>
      </c>
      <c r="CD169" s="115" t="n">
        <f aca="false">SUMIFS(الريسبي!$C$2:$C$1800,الريسبي!$A$2:$A$1800,$A169,الريسبي!$B$2:$B$1800,CD$1)</f>
        <v>0</v>
      </c>
      <c r="CE169" s="115" t="n">
        <f aca="false">SUMIFS(الريسبي!$C$2:$C$1800,الريسبي!$A$2:$A$1800,$A169,الريسبي!$B$2:$B$1800,CE$1)</f>
        <v>0</v>
      </c>
      <c r="CF169" s="115" t="n">
        <f aca="false">SUMIFS(الريسبي!$C$2:$C$1800,الريسبي!$A$2:$A$1800,$A169,الريسبي!$B$2:$B$1800,CF$1)</f>
        <v>0</v>
      </c>
      <c r="CG169" s="115" t="n">
        <f aca="false">SUMIFS(الريسبي!$C$2:$C$1800,الريسبي!$A$2:$A$1800,$A169,الريسبي!$B$2:$B$1800,CG$1)</f>
        <v>0</v>
      </c>
      <c r="CH169" s="115" t="n">
        <f aca="false">SUMIFS(الريسبي!$C$2:$C$1800,الريسبي!$A$2:$A$1800,$A169,الريسبي!$B$2:$B$1800,CH$1)</f>
        <v>0</v>
      </c>
    </row>
    <row r="170" customFormat="false" ht="15" hidden="false" customHeight="false" outlineLevel="0" collapsed="false">
      <c r="A170" s="114" t="str">
        <f aca="false">المنيو!B170</f>
        <v>صوص شيدر إضافي (L)</v>
      </c>
      <c r="B170" s="115" t="n">
        <f aca="false">SUMIFS(الريسبي!$C$2:$C$1800,الريسبي!$A$2:$A$1800,$A170,الريسبي!$B$2:$B$1800,B$1)</f>
        <v>0</v>
      </c>
      <c r="C170" s="115" t="n">
        <f aca="false">SUMIFS(الريسبي!$C$2:$C$1800,الريسبي!$A$2:$A$1800,$A170,الريسبي!$B$2:$B$1800,C$1)</f>
        <v>0</v>
      </c>
      <c r="D170" s="115" t="n">
        <f aca="false">SUMIFS(الريسبي!$C$2:$C$1800,الريسبي!$A$2:$A$1800,$A170,الريسبي!$B$2:$B$1800,D$1)</f>
        <v>0</v>
      </c>
      <c r="E170" s="115" t="n">
        <f aca="false">SUMIFS(الريسبي!$C$2:$C$1800,الريسبي!$A$2:$A$1800,$A170,الريسبي!$B$2:$B$1800,E$1)</f>
        <v>0</v>
      </c>
      <c r="F170" s="115" t="n">
        <f aca="false">SUMIFS(الريسبي!$C$2:$C$1800,الريسبي!$A$2:$A$1800,$A170,الريسبي!$B$2:$B$1800,F$1)</f>
        <v>0</v>
      </c>
      <c r="G170" s="115" t="n">
        <f aca="false">SUMIFS(الريسبي!$C$2:$C$1800,الريسبي!$A$2:$A$1800,$A170,الريسبي!$B$2:$B$1800,G$1)</f>
        <v>0</v>
      </c>
      <c r="H170" s="115" t="n">
        <f aca="false">SUMIFS(الريسبي!$C$2:$C$1800,الريسبي!$A$2:$A$1800,$A170,الريسبي!$B$2:$B$1800,H$1)</f>
        <v>0</v>
      </c>
      <c r="I170" s="115" t="n">
        <f aca="false">SUMIFS(الريسبي!$C$2:$C$1800,الريسبي!$A$2:$A$1800,$A170,الريسبي!$B$2:$B$1800,I$1)</f>
        <v>0</v>
      </c>
      <c r="J170" s="115" t="n">
        <f aca="false">SUMIFS(الريسبي!$C$2:$C$1800,الريسبي!$A$2:$A$1800,$A170,الريسبي!$B$2:$B$1800,J$1)</f>
        <v>0</v>
      </c>
      <c r="K170" s="115" t="n">
        <f aca="false">SUMIFS(الريسبي!$C$2:$C$1800,الريسبي!$A$2:$A$1800,$A170,الريسبي!$B$2:$B$1800,K$1)</f>
        <v>0</v>
      </c>
      <c r="L170" s="115" t="n">
        <f aca="false">SUMIFS(الريسبي!$C$2:$C$1800,الريسبي!$A$2:$A$1800,$A170,الريسبي!$B$2:$B$1800,L$1)</f>
        <v>0</v>
      </c>
      <c r="M170" s="115" t="n">
        <f aca="false">SUMIFS(الريسبي!$C$2:$C$1800,الريسبي!$A$2:$A$1800,$A170,الريسبي!$B$2:$B$1800,M$1)</f>
        <v>0</v>
      </c>
      <c r="N170" s="115" t="n">
        <f aca="false">SUMIFS(الريسبي!$C$2:$C$1800,الريسبي!$A$2:$A$1800,$A170,الريسبي!$B$2:$B$1800,N$1)</f>
        <v>0</v>
      </c>
      <c r="O170" s="115" t="n">
        <f aca="false">SUMIFS(الريسبي!$C$2:$C$1800,الريسبي!$A$2:$A$1800,$A170,الريسبي!$B$2:$B$1800,O$1)</f>
        <v>0</v>
      </c>
      <c r="P170" s="115" t="n">
        <f aca="false">SUMIFS(الريسبي!$C$2:$C$1800,الريسبي!$A$2:$A$1800,$A170,الريسبي!$B$2:$B$1800,P$1)</f>
        <v>0</v>
      </c>
      <c r="Q170" s="115" t="n">
        <f aca="false">SUMIFS(الريسبي!$C$2:$C$1800,الريسبي!$A$2:$A$1800,$A170,الريسبي!$B$2:$B$1800,Q$1)</f>
        <v>0</v>
      </c>
      <c r="R170" s="115" t="n">
        <f aca="false">SUMIFS(الريسبي!$C$2:$C$1800,الريسبي!$A$2:$A$1800,$A170,الريسبي!$B$2:$B$1800,R$1)</f>
        <v>0</v>
      </c>
      <c r="S170" s="115" t="n">
        <f aca="false">SUMIFS(الريسبي!$C$2:$C$1800,الريسبي!$A$2:$A$1800,$A170,الريسبي!$B$2:$B$1800,S$1)</f>
        <v>0</v>
      </c>
      <c r="T170" s="115" t="n">
        <f aca="false">SUMIFS(الريسبي!$C$2:$C$1800,الريسبي!$A$2:$A$1800,$A170,الريسبي!$B$2:$B$1800,T$1)</f>
        <v>0</v>
      </c>
      <c r="U170" s="115" t="n">
        <f aca="false">SUMIFS(الريسبي!$C$2:$C$1800,الريسبي!$A$2:$A$1800,$A170,الريسبي!$B$2:$B$1800,U$1)</f>
        <v>0</v>
      </c>
      <c r="V170" s="115" t="n">
        <f aca="false">SUMIFS(الريسبي!$C$2:$C$1800,الريسبي!$A$2:$A$1800,$A170,الريسبي!$B$2:$B$1800,V$1)</f>
        <v>0</v>
      </c>
      <c r="W170" s="115" t="n">
        <f aca="false">SUMIFS(الريسبي!$C$2:$C$1800,الريسبي!$A$2:$A$1800,$A170,الريسبي!$B$2:$B$1800,W$1)</f>
        <v>0</v>
      </c>
      <c r="X170" s="115" t="n">
        <f aca="false">SUMIFS(الريسبي!$C$2:$C$1800,الريسبي!$A$2:$A$1800,$A170,الريسبي!$B$2:$B$1800,X$1)</f>
        <v>0</v>
      </c>
      <c r="Y170" s="115" t="n">
        <f aca="false">SUMIFS(الريسبي!$C$2:$C$1800,الريسبي!$A$2:$A$1800,$A170,الريسبي!$B$2:$B$1800,Y$1)</f>
        <v>0</v>
      </c>
      <c r="Z170" s="115" t="n">
        <f aca="false">SUMIFS(الريسبي!$C$2:$C$1800,الريسبي!$A$2:$A$1800,$A170,الريسبي!$B$2:$B$1800,Z$1)</f>
        <v>0</v>
      </c>
      <c r="AA170" s="115" t="n">
        <f aca="false">SUMIFS(الريسبي!$C$2:$C$1800,الريسبي!$A$2:$A$1800,$A170,الريسبي!$B$2:$B$1800,AA$1)</f>
        <v>0</v>
      </c>
      <c r="AB170" s="115" t="n">
        <f aca="false">SUMIFS(الريسبي!$C$2:$C$1800,الريسبي!$A$2:$A$1800,$A170,الريسبي!$B$2:$B$1800,AB$1)</f>
        <v>0</v>
      </c>
      <c r="AC170" s="115" t="n">
        <f aca="false">SUMIFS(الريسبي!$C$2:$C$1800,الريسبي!$A$2:$A$1800,$A170,الريسبي!$B$2:$B$1800,AC$1)</f>
        <v>0</v>
      </c>
      <c r="AD170" s="115" t="n">
        <f aca="false">SUMIFS(الريسبي!$C$2:$C$1800,الريسبي!$A$2:$A$1800,$A170,الريسبي!$B$2:$B$1800,AD$1)</f>
        <v>0</v>
      </c>
      <c r="AE170" s="115" t="n">
        <f aca="false">SUMIFS(الريسبي!$C$2:$C$1800,الريسبي!$A$2:$A$1800,$A170,الريسبي!$B$2:$B$1800,AE$1)</f>
        <v>0</v>
      </c>
      <c r="AF170" s="115" t="n">
        <f aca="false">SUMIFS(الريسبي!$C$2:$C$1800,الريسبي!$A$2:$A$1800,$A170,الريسبي!$B$2:$B$1800,AF$1)</f>
        <v>0</v>
      </c>
      <c r="AG170" s="115" t="n">
        <f aca="false">SUMIFS(الريسبي!$C$2:$C$1800,الريسبي!$A$2:$A$1800,$A170,الريسبي!$B$2:$B$1800,AG$1)</f>
        <v>0</v>
      </c>
      <c r="AH170" s="115" t="n">
        <f aca="false">SUMIFS(الريسبي!$C$2:$C$1800,الريسبي!$A$2:$A$1800,$A170,الريسبي!$B$2:$B$1800,AH$1)</f>
        <v>0</v>
      </c>
      <c r="AI170" s="115" t="n">
        <f aca="false">SUMIFS(الريسبي!$C$2:$C$1800,الريسبي!$A$2:$A$1800,$A170,الريسبي!$B$2:$B$1800,AI$1)</f>
        <v>0</v>
      </c>
      <c r="AJ170" s="115" t="n">
        <f aca="false">SUMIFS(الريسبي!$C$2:$C$1800,الريسبي!$A$2:$A$1800,$A170,الريسبي!$B$2:$B$1800,AJ$1)</f>
        <v>0</v>
      </c>
      <c r="AK170" s="115" t="n">
        <f aca="false">SUMIFS(الريسبي!$C$2:$C$1800,الريسبي!$A$2:$A$1800,$A170,الريسبي!$B$2:$B$1800,AK$1)</f>
        <v>0</v>
      </c>
      <c r="AL170" s="115" t="n">
        <f aca="false">SUMIFS(الريسبي!$C$2:$C$1800,الريسبي!$A$2:$A$1800,$A170,الريسبي!$B$2:$B$1800,AL$1)</f>
        <v>0</v>
      </c>
      <c r="AM170" s="115"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15"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15" t="n">
        <f aca="false">SUMIFS(الريسبي!$C$2:$C$1800,الريسبي!$A$2:$A$1800,$A170,الريسبي!$B$2:$B$1800,AO$1)</f>
        <v>0</v>
      </c>
      <c r="AP170" s="115" t="n">
        <f aca="false">SUMIFS(الريسبي!$C$2:$C$1800,الريسبي!$A$2:$A$1800,$A170,الريسبي!$B$2:$B$1800,AP$1)</f>
        <v>0</v>
      </c>
      <c r="AQ170" s="115"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15" t="n">
        <f aca="false">SUMIFS(الريسبي!$C$2:$C$1800,الريسبي!$A$2:$A$1800,$A170,الريسبي!$B$2:$B$1800,AR$1)</f>
        <v>0</v>
      </c>
      <c r="AS170" s="115" t="n">
        <f aca="false">SUMIFS(الريسبي!$C$2:$C$1800,الريسبي!$A$2:$A$1800,$A170,الريسبي!$B$2:$B$1800,AS$1)</f>
        <v>0</v>
      </c>
      <c r="AT170" s="115" t="n">
        <f aca="false">SUMIFS(الريسبي!$C$2:$C$1800,الريسبي!$A$2:$A$1800,$A170,الريسبي!$B$2:$B$1800,AT$1)</f>
        <v>0</v>
      </c>
      <c r="AU170" s="115" t="n">
        <f aca="false">SUMIFS(الريسبي!$C$2:$C$1800,الريسبي!$A$2:$A$1800,$A170,الريسبي!$B$2:$B$1800,AU$1)</f>
        <v>0</v>
      </c>
      <c r="AV170" s="115" t="n">
        <f aca="false">SUMIFS(الريسبي!$C$2:$C$1800,الريسبي!$A$2:$A$1800,$A170,الريسبي!$B$2:$B$1800,AV$1)</f>
        <v>0</v>
      </c>
      <c r="AW170" s="115" t="n">
        <f aca="false">SUMIFS(الريسبي!$C$2:$C$1800,الريسبي!$A$2:$A$1800,$A170,الريسبي!$B$2:$B$1800,AW$1)</f>
        <v>0</v>
      </c>
      <c r="AX170" s="115" t="n">
        <f aca="false">SUMIFS(الريسبي!$C$2:$C$1800,الريسبي!$A$2:$A$1800,$A170,الريسبي!$B$2:$B$1800,AX$1)</f>
        <v>0</v>
      </c>
      <c r="AY170" s="115" t="n">
        <f aca="false">SUMIFS(الريسبي!$C$2:$C$1800,الريسبي!$A$2:$A$1800,$A170,الريسبي!$B$2:$B$1800,AY$1)</f>
        <v>0</v>
      </c>
      <c r="AZ170" s="115" t="n">
        <f aca="false">SUMIFS(الريسبي!$C$2:$C$1800,الريسبي!$A$2:$A$1800,$A170,الريسبي!$B$2:$B$1800,AZ$1)</f>
        <v>0</v>
      </c>
      <c r="BA170" s="115" t="n">
        <f aca="false">SUMIFS(الريسبي!$C$2:$C$1800,الريسبي!$A$2:$A$1800,$A170,الريسبي!$B$2:$B$1800,BA$1)</f>
        <v>0</v>
      </c>
      <c r="BB170" s="115" t="n">
        <f aca="false">SUMIFS(الريسبي!$C$2:$C$1800,الريسبي!$A$2:$A$1800,$A170,الريسبي!$B$2:$B$1800,BB$1)</f>
        <v>0.15</v>
      </c>
      <c r="BC170" s="115" t="n">
        <f aca="false">SUMIFS(الريسبي!$C$2:$C$1800,الريسبي!$A$2:$A$1800,$A170,الريسبي!$B$2:$B$1800,BC$1)</f>
        <v>0</v>
      </c>
      <c r="BD170" s="115" t="n">
        <f aca="false">SUMIFS(الريسبي!$C$2:$C$1800,الريسبي!$A$2:$A$1800,$A170,الريسبي!$B$2:$B$1800,BD$1)</f>
        <v>0</v>
      </c>
      <c r="BE170" s="115" t="n">
        <f aca="false">SUMIFS(الريسبي!$C$2:$C$1800,الريسبي!$A$2:$A$1800,$A170,الريسبي!$B$2:$B$1800,BE$1)</f>
        <v>0</v>
      </c>
      <c r="BF170" s="115" t="n">
        <f aca="false">SUMIFS(الريسبي!$C$2:$C$1800,الريسبي!$A$2:$A$1800,$A170,الريسبي!$B$2:$B$1800,BF$1)</f>
        <v>0</v>
      </c>
      <c r="BG170" s="115" t="n">
        <f aca="false">SUMIFS(الريسبي!$C$2:$C$1800,الريسبي!$A$2:$A$1800,$A170,الريسبي!$B$2:$B$1800,BG$1)</f>
        <v>0</v>
      </c>
      <c r="BH170" s="115" t="n">
        <f aca="false">SUMIFS(الريسبي!$C$2:$C$1800,الريسبي!$A$2:$A$1800,$A170,الريسبي!$B$2:$B$1800,BH$1)</f>
        <v>0</v>
      </c>
      <c r="BI170" s="115" t="n">
        <f aca="false">SUMIFS(الريسبي!$C$2:$C$1800,الريسبي!$A$2:$A$1800,$A170,الريسبي!$B$2:$B$1800,BI$1)</f>
        <v>0</v>
      </c>
      <c r="BJ170" s="115" t="n">
        <f aca="false">SUMIFS(الريسبي!$C$2:$C$1800,الريسبي!$A$2:$A$1800,$A170,الريسبي!$B$2:$B$1800,BJ$1)</f>
        <v>0</v>
      </c>
      <c r="BK170" s="115" t="n">
        <f aca="false">SUMIFS(الريسبي!$C$2:$C$1800,الريسبي!$A$2:$A$1800,$A170,الريسبي!$B$2:$B$1800,BK$1)</f>
        <v>0</v>
      </c>
      <c r="BL170" s="115" t="n">
        <f aca="false">SUMIFS(الريسبي!$C$2:$C$1800,الريسبي!$A$2:$A$1800,$A170,الريسبي!$B$2:$B$1800,BL$1)</f>
        <v>0</v>
      </c>
      <c r="BM170" s="115" t="n">
        <f aca="false">SUMIFS(الريسبي!$C$2:$C$1800,الريسبي!$A$2:$A$1800,$A170,الريسبي!$B$2:$B$1800,BM$1)</f>
        <v>0</v>
      </c>
      <c r="BN170" s="115" t="n">
        <f aca="false">SUMIFS(الريسبي!$C$2:$C$1800,الريسبي!$A$2:$A$1800,$A170,الريسبي!$B$2:$B$1800,BN$1)</f>
        <v>0</v>
      </c>
      <c r="BO170" s="115" t="n">
        <f aca="false">SUMIFS(الريسبي!$C$2:$C$1800,الريسبي!$A$2:$A$1800,$A170,الريسبي!$B$2:$B$1800,BO$1)</f>
        <v>0</v>
      </c>
      <c r="BP170" s="115" t="n">
        <f aca="false">SUMIFS(الريسبي!$C$2:$C$1800,الريسبي!$A$2:$A$1800,$A170,الريسبي!$B$2:$B$1800,BP$1)</f>
        <v>0</v>
      </c>
      <c r="BQ170" s="115"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15" t="n">
        <f aca="false">SUMIFS(الريسبي!$C$2:$C$1800,الريسبي!$A$2:$A$1800,$A170,الريسبي!$B$2:$B$1800,BR$1)</f>
        <v>0</v>
      </c>
      <c r="BS170" s="115" t="n">
        <f aca="false">SUMIFS(الريسبي!$C$2:$C$1800,الريسبي!$A$2:$A$1800,$A170,الريسبي!$B$2:$B$1800,BS$1)</f>
        <v>0</v>
      </c>
      <c r="BT170" s="115" t="n">
        <f aca="false">SUMIFS(الريسبي!$C$2:$C$1800,الريسبي!$A$2:$A$1800,$A170,الريسبي!$B$2:$B$1800,BT$1)</f>
        <v>0</v>
      </c>
      <c r="BU170" s="115"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15" t="n">
        <f aca="false">SUMIFS(الريسبي!$C$2:$C$1800,الريسبي!$A$2:$A$1800,$A170,الريسبي!$B$2:$B$1800,BV$1)</f>
        <v>0</v>
      </c>
      <c r="BW170" s="115" t="n">
        <f aca="false">SUMIFS(الريسبي!$C$2:$C$1800,الريسبي!$A$2:$A$1800,$A170,الريسبي!$B$2:$B$1800,BW$1)</f>
        <v>0</v>
      </c>
      <c r="BX170" s="115" t="n">
        <f aca="false">SUMIFS(الريسبي!$C$2:$C$1800,الريسبي!$A$2:$A$1800,$A170,الريسبي!$B$2:$B$1800,BX$1)</f>
        <v>0</v>
      </c>
      <c r="BY170" s="115" t="n">
        <f aca="false">SUMIFS(الريسبي!$C$2:$C$1800,الريسبي!$A$2:$A$1800,$A170,الريسبي!$B$2:$B$1800,BY$1)</f>
        <v>0</v>
      </c>
      <c r="BZ170" s="115" t="n">
        <f aca="false">SUMIFS(الريسبي!$C$2:$C$1800,الريسبي!$A$2:$A$1800,$A170,الريسبي!$B$2:$B$1800,BZ$1)</f>
        <v>0</v>
      </c>
      <c r="CA170" s="115" t="n">
        <f aca="false">SUMIFS(الريسبي!$C$2:$C$1800,الريسبي!$A$2:$A$1800,$A170,الريسبي!$B$2:$B$1800,CA$1)</f>
        <v>0</v>
      </c>
      <c r="CB170" s="115" t="n">
        <f aca="false">SUMIFS(الريسبي!$C$2:$C$1800,الريسبي!$A$2:$A$1800,$A170,الريسبي!$B$2:$B$1800,CB$1)</f>
        <v>0</v>
      </c>
      <c r="CC170" s="115" t="n">
        <f aca="false">SUMIFS(الريسبي!$C$2:$C$1800,الريسبي!$A$2:$A$1800,$A170,الريسبي!$B$2:$B$1800,CC$1)</f>
        <v>0</v>
      </c>
      <c r="CD170" s="115" t="n">
        <f aca="false">SUMIFS(الريسبي!$C$2:$C$1800,الريسبي!$A$2:$A$1800,$A170,الريسبي!$B$2:$B$1800,CD$1)</f>
        <v>0</v>
      </c>
      <c r="CE170" s="115" t="n">
        <f aca="false">SUMIFS(الريسبي!$C$2:$C$1800,الريسبي!$A$2:$A$1800,$A170,الريسبي!$B$2:$B$1800,CE$1)</f>
        <v>0</v>
      </c>
      <c r="CF170" s="115" t="n">
        <f aca="false">SUMIFS(الريسبي!$C$2:$C$1800,الريسبي!$A$2:$A$1800,$A170,الريسبي!$B$2:$B$1800,CF$1)</f>
        <v>0</v>
      </c>
      <c r="CG170" s="115" t="n">
        <f aca="false">SUMIFS(الريسبي!$C$2:$C$1800,الريسبي!$A$2:$A$1800,$A170,الريسبي!$B$2:$B$1800,CG$1)</f>
        <v>0</v>
      </c>
      <c r="CH170" s="115" t="n">
        <f aca="false">SUMIFS(الريسبي!$C$2:$C$1800,الريسبي!$A$2:$A$1800,$A170,الريسبي!$B$2:$B$1800,CH$1)</f>
        <v>0</v>
      </c>
    </row>
    <row r="171" customFormat="false" ht="15" hidden="false" customHeight="false" outlineLevel="0" collapsed="false">
      <c r="A171" s="114" t="str">
        <f aca="false">المنيو!B171</f>
        <v>صوص باربيكيو إضافي (M)</v>
      </c>
      <c r="B171" s="115" t="n">
        <f aca="false">SUMIFS(الريسبي!$C$2:$C$1800,الريسبي!$A$2:$A$1800,$A171,الريسبي!$B$2:$B$1800,B$1)</f>
        <v>0</v>
      </c>
      <c r="C171" s="115" t="n">
        <f aca="false">SUMIFS(الريسبي!$C$2:$C$1800,الريسبي!$A$2:$A$1800,$A171,الريسبي!$B$2:$B$1800,C$1)</f>
        <v>0</v>
      </c>
      <c r="D171" s="115" t="n">
        <f aca="false">SUMIFS(الريسبي!$C$2:$C$1800,الريسبي!$A$2:$A$1800,$A171,الريسبي!$B$2:$B$1800,D$1)</f>
        <v>0</v>
      </c>
      <c r="E171" s="115" t="n">
        <f aca="false">SUMIFS(الريسبي!$C$2:$C$1800,الريسبي!$A$2:$A$1800,$A171,الريسبي!$B$2:$B$1800,E$1)</f>
        <v>0</v>
      </c>
      <c r="F171" s="115" t="n">
        <f aca="false">SUMIFS(الريسبي!$C$2:$C$1800,الريسبي!$A$2:$A$1800,$A171,الريسبي!$B$2:$B$1800,F$1)</f>
        <v>0</v>
      </c>
      <c r="G171" s="115" t="n">
        <f aca="false">SUMIFS(الريسبي!$C$2:$C$1800,الريسبي!$A$2:$A$1800,$A171,الريسبي!$B$2:$B$1800,G$1)</f>
        <v>0</v>
      </c>
      <c r="H171" s="115" t="n">
        <f aca="false">SUMIFS(الريسبي!$C$2:$C$1800,الريسبي!$A$2:$A$1800,$A171,الريسبي!$B$2:$B$1800,H$1)</f>
        <v>0</v>
      </c>
      <c r="I171" s="115" t="n">
        <f aca="false">SUMIFS(الريسبي!$C$2:$C$1800,الريسبي!$A$2:$A$1800,$A171,الريسبي!$B$2:$B$1800,I$1)</f>
        <v>0</v>
      </c>
      <c r="J171" s="115" t="n">
        <f aca="false">SUMIFS(الريسبي!$C$2:$C$1800,الريسبي!$A$2:$A$1800,$A171,الريسبي!$B$2:$B$1800,J$1)</f>
        <v>0</v>
      </c>
      <c r="K171" s="115" t="n">
        <f aca="false">SUMIFS(الريسبي!$C$2:$C$1800,الريسبي!$A$2:$A$1800,$A171,الريسبي!$B$2:$B$1800,K$1)</f>
        <v>0</v>
      </c>
      <c r="L171" s="115" t="n">
        <f aca="false">SUMIFS(الريسبي!$C$2:$C$1800,الريسبي!$A$2:$A$1800,$A171,الريسبي!$B$2:$B$1800,L$1)</f>
        <v>0</v>
      </c>
      <c r="M171" s="115" t="n">
        <f aca="false">SUMIFS(الريسبي!$C$2:$C$1800,الريسبي!$A$2:$A$1800,$A171,الريسبي!$B$2:$B$1800,M$1)</f>
        <v>0</v>
      </c>
      <c r="N171" s="115" t="n">
        <f aca="false">SUMIFS(الريسبي!$C$2:$C$1800,الريسبي!$A$2:$A$1800,$A171,الريسبي!$B$2:$B$1800,N$1)</f>
        <v>0</v>
      </c>
      <c r="O171" s="115" t="n">
        <f aca="false">SUMIFS(الريسبي!$C$2:$C$1800,الريسبي!$A$2:$A$1800,$A171,الريسبي!$B$2:$B$1800,O$1)</f>
        <v>0</v>
      </c>
      <c r="P171" s="115" t="n">
        <f aca="false">SUMIFS(الريسبي!$C$2:$C$1800,الريسبي!$A$2:$A$1800,$A171,الريسبي!$B$2:$B$1800,P$1)</f>
        <v>0</v>
      </c>
      <c r="Q171" s="115" t="n">
        <f aca="false">SUMIFS(الريسبي!$C$2:$C$1800,الريسبي!$A$2:$A$1800,$A171,الريسبي!$B$2:$B$1800,Q$1)</f>
        <v>0</v>
      </c>
      <c r="R171" s="115" t="n">
        <f aca="false">SUMIFS(الريسبي!$C$2:$C$1800,الريسبي!$A$2:$A$1800,$A171,الريسبي!$B$2:$B$1800,R$1)</f>
        <v>0</v>
      </c>
      <c r="S171" s="115" t="n">
        <f aca="false">SUMIFS(الريسبي!$C$2:$C$1800,الريسبي!$A$2:$A$1800,$A171,الريسبي!$B$2:$B$1800,S$1)</f>
        <v>0</v>
      </c>
      <c r="T171" s="115" t="n">
        <f aca="false">SUMIFS(الريسبي!$C$2:$C$1800,الريسبي!$A$2:$A$1800,$A171,الريسبي!$B$2:$B$1800,T$1)</f>
        <v>0</v>
      </c>
      <c r="U171" s="115" t="n">
        <f aca="false">SUMIFS(الريسبي!$C$2:$C$1800,الريسبي!$A$2:$A$1800,$A171,الريسبي!$B$2:$B$1800,U$1)</f>
        <v>0</v>
      </c>
      <c r="V171" s="115" t="n">
        <f aca="false">SUMIFS(الريسبي!$C$2:$C$1800,الريسبي!$A$2:$A$1800,$A171,الريسبي!$B$2:$B$1800,V$1)</f>
        <v>0</v>
      </c>
      <c r="W171" s="115" t="n">
        <f aca="false">SUMIFS(الريسبي!$C$2:$C$1800,الريسبي!$A$2:$A$1800,$A171,الريسبي!$B$2:$B$1800,W$1)</f>
        <v>0</v>
      </c>
      <c r="X171" s="115" t="n">
        <f aca="false">SUMIFS(الريسبي!$C$2:$C$1800,الريسبي!$A$2:$A$1800,$A171,الريسبي!$B$2:$B$1800,X$1)</f>
        <v>0</v>
      </c>
      <c r="Y171" s="115" t="n">
        <f aca="false">SUMIFS(الريسبي!$C$2:$C$1800,الريسبي!$A$2:$A$1800,$A171,الريسبي!$B$2:$B$1800,Y$1)</f>
        <v>0</v>
      </c>
      <c r="Z171" s="115" t="n">
        <f aca="false">SUMIFS(الريسبي!$C$2:$C$1800,الريسبي!$A$2:$A$1800,$A171,الريسبي!$B$2:$B$1800,Z$1)</f>
        <v>0</v>
      </c>
      <c r="AA171" s="115" t="n">
        <f aca="false">SUMIFS(الريسبي!$C$2:$C$1800,الريسبي!$A$2:$A$1800,$A171,الريسبي!$B$2:$B$1800,AA$1)</f>
        <v>0</v>
      </c>
      <c r="AB171" s="115" t="n">
        <f aca="false">SUMIFS(الريسبي!$C$2:$C$1800,الريسبي!$A$2:$A$1800,$A171,الريسبي!$B$2:$B$1800,AB$1)</f>
        <v>0</v>
      </c>
      <c r="AC171" s="115" t="n">
        <f aca="false">SUMIFS(الريسبي!$C$2:$C$1800,الريسبي!$A$2:$A$1800,$A171,الريسبي!$B$2:$B$1800,AC$1)</f>
        <v>0</v>
      </c>
      <c r="AD171" s="115" t="n">
        <f aca="false">SUMIFS(الريسبي!$C$2:$C$1800,الريسبي!$A$2:$A$1800,$A171,الريسبي!$B$2:$B$1800,AD$1)</f>
        <v>0</v>
      </c>
      <c r="AE171" s="115" t="n">
        <f aca="false">SUMIFS(الريسبي!$C$2:$C$1800,الريسبي!$A$2:$A$1800,$A171,الريسبي!$B$2:$B$1800,AE$1)</f>
        <v>0</v>
      </c>
      <c r="AF171" s="115" t="n">
        <f aca="false">SUMIFS(الريسبي!$C$2:$C$1800,الريسبي!$A$2:$A$1800,$A171,الريسبي!$B$2:$B$1800,AF$1)</f>
        <v>0</v>
      </c>
      <c r="AG171" s="115" t="n">
        <f aca="false">SUMIFS(الريسبي!$C$2:$C$1800,الريسبي!$A$2:$A$1800,$A171,الريسبي!$B$2:$B$1800,AG$1)</f>
        <v>0</v>
      </c>
      <c r="AH171" s="115" t="n">
        <f aca="false">SUMIFS(الريسبي!$C$2:$C$1800,الريسبي!$A$2:$A$1800,$A171,الريسبي!$B$2:$B$1800,AH$1)</f>
        <v>0</v>
      </c>
      <c r="AI171" s="115" t="n">
        <f aca="false">SUMIFS(الريسبي!$C$2:$C$1800,الريسبي!$A$2:$A$1800,$A171,الريسبي!$B$2:$B$1800,AI$1)</f>
        <v>0</v>
      </c>
      <c r="AJ171" s="115" t="n">
        <f aca="false">SUMIFS(الريسبي!$C$2:$C$1800,الريسبي!$A$2:$A$1800,$A171,الريسبي!$B$2:$B$1800,AJ$1)</f>
        <v>0</v>
      </c>
      <c r="AK171" s="115" t="n">
        <f aca="false">SUMIFS(الريسبي!$C$2:$C$1800,الريسبي!$A$2:$A$1800,$A171,الريسبي!$B$2:$B$1800,AK$1)</f>
        <v>0</v>
      </c>
      <c r="AL171" s="115" t="n">
        <f aca="false">SUMIFS(الريسبي!$C$2:$C$1800,الريسبي!$A$2:$A$1800,$A171,الريسبي!$B$2:$B$1800,AL$1)</f>
        <v>0</v>
      </c>
      <c r="AM171" s="115"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15"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15" t="n">
        <f aca="false">SUMIFS(الريسبي!$C$2:$C$1800,الريسبي!$A$2:$A$1800,$A171,الريسبي!$B$2:$B$1800,AO$1)</f>
        <v>0</v>
      </c>
      <c r="AP171" s="115" t="n">
        <f aca="false">SUMIFS(الريسبي!$C$2:$C$1800,الريسبي!$A$2:$A$1800,$A171,الريسبي!$B$2:$B$1800,AP$1)</f>
        <v>0</v>
      </c>
      <c r="AQ171" s="115"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15" t="n">
        <f aca="false">SUMIFS(الريسبي!$C$2:$C$1800,الريسبي!$A$2:$A$1800,$A171,الريسبي!$B$2:$B$1800,AR$1)</f>
        <v>0</v>
      </c>
      <c r="AS171" s="115" t="n">
        <f aca="false">SUMIFS(الريسبي!$C$2:$C$1800,الريسبي!$A$2:$A$1800,$A171,الريسبي!$B$2:$B$1800,AS$1)</f>
        <v>0</v>
      </c>
      <c r="AT171" s="115" t="n">
        <f aca="false">SUMIFS(الريسبي!$C$2:$C$1800,الريسبي!$A$2:$A$1800,$A171,الريسبي!$B$2:$B$1800,AT$1)</f>
        <v>0</v>
      </c>
      <c r="AU171" s="115" t="n">
        <f aca="false">SUMIFS(الريسبي!$C$2:$C$1800,الريسبي!$A$2:$A$1800,$A171,الريسبي!$B$2:$B$1800,AU$1)</f>
        <v>0</v>
      </c>
      <c r="AV171" s="115" t="n">
        <f aca="false">SUMIFS(الريسبي!$C$2:$C$1800,الريسبي!$A$2:$A$1800,$A171,الريسبي!$B$2:$B$1800,AV$1)</f>
        <v>0</v>
      </c>
      <c r="AW171" s="115" t="n">
        <f aca="false">SUMIFS(الريسبي!$C$2:$C$1800,الريسبي!$A$2:$A$1800,$A171,الريسبي!$B$2:$B$1800,AW$1)</f>
        <v>0</v>
      </c>
      <c r="AX171" s="115" t="n">
        <f aca="false">SUMIFS(الريسبي!$C$2:$C$1800,الريسبي!$A$2:$A$1800,$A171,الريسبي!$B$2:$B$1800,AX$1)</f>
        <v>0</v>
      </c>
      <c r="AY171" s="115" t="n">
        <f aca="false">SUMIFS(الريسبي!$C$2:$C$1800,الريسبي!$A$2:$A$1800,$A171,الريسبي!$B$2:$B$1800,AY$1)</f>
        <v>0.1</v>
      </c>
      <c r="AZ171" s="115" t="n">
        <f aca="false">SUMIFS(الريسبي!$C$2:$C$1800,الريسبي!$A$2:$A$1800,$A171,الريسبي!$B$2:$B$1800,AZ$1)</f>
        <v>0</v>
      </c>
      <c r="BA171" s="115" t="n">
        <f aca="false">SUMIFS(الريسبي!$C$2:$C$1800,الريسبي!$A$2:$A$1800,$A171,الريسبي!$B$2:$B$1800,BA$1)</f>
        <v>0</v>
      </c>
      <c r="BB171" s="115" t="n">
        <f aca="false">SUMIFS(الريسبي!$C$2:$C$1800,الريسبي!$A$2:$A$1800,$A171,الريسبي!$B$2:$B$1800,BB$1)</f>
        <v>0</v>
      </c>
      <c r="BC171" s="115" t="n">
        <f aca="false">SUMIFS(الريسبي!$C$2:$C$1800,الريسبي!$A$2:$A$1800,$A171,الريسبي!$B$2:$B$1800,BC$1)</f>
        <v>0</v>
      </c>
      <c r="BD171" s="115" t="n">
        <f aca="false">SUMIFS(الريسبي!$C$2:$C$1800,الريسبي!$A$2:$A$1800,$A171,الريسبي!$B$2:$B$1800,BD$1)</f>
        <v>0</v>
      </c>
      <c r="BE171" s="115" t="n">
        <f aca="false">SUMIFS(الريسبي!$C$2:$C$1800,الريسبي!$A$2:$A$1800,$A171,الريسبي!$B$2:$B$1800,BE$1)</f>
        <v>0</v>
      </c>
      <c r="BF171" s="115" t="n">
        <f aca="false">SUMIFS(الريسبي!$C$2:$C$1800,الريسبي!$A$2:$A$1800,$A171,الريسبي!$B$2:$B$1800,BF$1)</f>
        <v>0</v>
      </c>
      <c r="BG171" s="115" t="n">
        <f aca="false">SUMIFS(الريسبي!$C$2:$C$1800,الريسبي!$A$2:$A$1800,$A171,الريسبي!$B$2:$B$1800,BG$1)</f>
        <v>0</v>
      </c>
      <c r="BH171" s="115" t="n">
        <f aca="false">SUMIFS(الريسبي!$C$2:$C$1800,الريسبي!$A$2:$A$1800,$A171,الريسبي!$B$2:$B$1800,BH$1)</f>
        <v>0</v>
      </c>
      <c r="BI171" s="115" t="n">
        <f aca="false">SUMIFS(الريسبي!$C$2:$C$1800,الريسبي!$A$2:$A$1800,$A171,الريسبي!$B$2:$B$1800,BI$1)</f>
        <v>0</v>
      </c>
      <c r="BJ171" s="115" t="n">
        <f aca="false">SUMIFS(الريسبي!$C$2:$C$1800,الريسبي!$A$2:$A$1800,$A171,الريسبي!$B$2:$B$1800,BJ$1)</f>
        <v>0</v>
      </c>
      <c r="BK171" s="115" t="n">
        <f aca="false">SUMIFS(الريسبي!$C$2:$C$1800,الريسبي!$A$2:$A$1800,$A171,الريسبي!$B$2:$B$1800,BK$1)</f>
        <v>0</v>
      </c>
      <c r="BL171" s="115" t="n">
        <f aca="false">SUMIFS(الريسبي!$C$2:$C$1800,الريسبي!$A$2:$A$1800,$A171,الريسبي!$B$2:$B$1800,BL$1)</f>
        <v>0</v>
      </c>
      <c r="BM171" s="115" t="n">
        <f aca="false">SUMIFS(الريسبي!$C$2:$C$1800,الريسبي!$A$2:$A$1800,$A171,الريسبي!$B$2:$B$1800,BM$1)</f>
        <v>0</v>
      </c>
      <c r="BN171" s="115" t="n">
        <f aca="false">SUMIFS(الريسبي!$C$2:$C$1800,الريسبي!$A$2:$A$1800,$A171,الريسبي!$B$2:$B$1800,BN$1)</f>
        <v>0</v>
      </c>
      <c r="BO171" s="115" t="n">
        <f aca="false">SUMIFS(الريسبي!$C$2:$C$1800,الريسبي!$A$2:$A$1800,$A171,الريسبي!$B$2:$B$1800,BO$1)</f>
        <v>0</v>
      </c>
      <c r="BP171" s="115" t="n">
        <f aca="false">SUMIFS(الريسبي!$C$2:$C$1800,الريسبي!$A$2:$A$1800,$A171,الريسبي!$B$2:$B$1800,BP$1)</f>
        <v>0</v>
      </c>
      <c r="BQ171" s="115"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15" t="n">
        <f aca="false">SUMIFS(الريسبي!$C$2:$C$1800,الريسبي!$A$2:$A$1800,$A171,الريسبي!$B$2:$B$1800,BR$1)</f>
        <v>0</v>
      </c>
      <c r="BS171" s="115" t="n">
        <f aca="false">SUMIFS(الريسبي!$C$2:$C$1800,الريسبي!$A$2:$A$1800,$A171,الريسبي!$B$2:$B$1800,BS$1)</f>
        <v>0</v>
      </c>
      <c r="BT171" s="115" t="n">
        <f aca="false">SUMIFS(الريسبي!$C$2:$C$1800,الريسبي!$A$2:$A$1800,$A171,الريسبي!$B$2:$B$1800,BT$1)</f>
        <v>0</v>
      </c>
      <c r="BU171" s="115"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15" t="n">
        <f aca="false">SUMIFS(الريسبي!$C$2:$C$1800,الريسبي!$A$2:$A$1800,$A171,الريسبي!$B$2:$B$1800,BV$1)</f>
        <v>0</v>
      </c>
      <c r="BW171" s="115" t="n">
        <f aca="false">SUMIFS(الريسبي!$C$2:$C$1800,الريسبي!$A$2:$A$1800,$A171,الريسبي!$B$2:$B$1800,BW$1)</f>
        <v>0</v>
      </c>
      <c r="BX171" s="115" t="n">
        <f aca="false">SUMIFS(الريسبي!$C$2:$C$1800,الريسبي!$A$2:$A$1800,$A171,الريسبي!$B$2:$B$1800,BX$1)</f>
        <v>0</v>
      </c>
      <c r="BY171" s="115" t="n">
        <f aca="false">SUMIFS(الريسبي!$C$2:$C$1800,الريسبي!$A$2:$A$1800,$A171,الريسبي!$B$2:$B$1800,BY$1)</f>
        <v>0</v>
      </c>
      <c r="BZ171" s="115" t="n">
        <f aca="false">SUMIFS(الريسبي!$C$2:$C$1800,الريسبي!$A$2:$A$1800,$A171,الريسبي!$B$2:$B$1800,BZ$1)</f>
        <v>0</v>
      </c>
      <c r="CA171" s="115" t="n">
        <f aca="false">SUMIFS(الريسبي!$C$2:$C$1800,الريسبي!$A$2:$A$1800,$A171,الريسبي!$B$2:$B$1800,CA$1)</f>
        <v>0</v>
      </c>
      <c r="CB171" s="115" t="n">
        <f aca="false">SUMIFS(الريسبي!$C$2:$C$1800,الريسبي!$A$2:$A$1800,$A171,الريسبي!$B$2:$B$1800,CB$1)</f>
        <v>0</v>
      </c>
      <c r="CC171" s="115" t="n">
        <f aca="false">SUMIFS(الريسبي!$C$2:$C$1800,الريسبي!$A$2:$A$1800,$A171,الريسبي!$B$2:$B$1800,CC$1)</f>
        <v>0</v>
      </c>
      <c r="CD171" s="115" t="n">
        <f aca="false">SUMIFS(الريسبي!$C$2:$C$1800,الريسبي!$A$2:$A$1800,$A171,الريسبي!$B$2:$B$1800,CD$1)</f>
        <v>0</v>
      </c>
      <c r="CE171" s="115" t="n">
        <f aca="false">SUMIFS(الريسبي!$C$2:$C$1800,الريسبي!$A$2:$A$1800,$A171,الريسبي!$B$2:$B$1800,CE$1)</f>
        <v>0</v>
      </c>
      <c r="CF171" s="115" t="n">
        <f aca="false">SUMIFS(الريسبي!$C$2:$C$1800,الريسبي!$A$2:$A$1800,$A171,الريسبي!$B$2:$B$1800,CF$1)</f>
        <v>0</v>
      </c>
      <c r="CG171" s="115" t="n">
        <f aca="false">SUMIFS(الريسبي!$C$2:$C$1800,الريسبي!$A$2:$A$1800,$A171,الريسبي!$B$2:$B$1800,CG$1)</f>
        <v>0</v>
      </c>
      <c r="CH171" s="115" t="n">
        <f aca="false">SUMIFS(الريسبي!$C$2:$C$1800,الريسبي!$A$2:$A$1800,$A171,الريسبي!$B$2:$B$1800,CH$1)</f>
        <v>0</v>
      </c>
    </row>
    <row r="172" customFormat="false" ht="15" hidden="false" customHeight="false" outlineLevel="0" collapsed="false">
      <c r="A172" s="114" t="str">
        <f aca="false">المنيو!B172</f>
        <v>صوص باربيكيو إضافي (L)</v>
      </c>
      <c r="B172" s="115" t="n">
        <f aca="false">SUMIFS(الريسبي!$C$2:$C$1800,الريسبي!$A$2:$A$1800,$A172,الريسبي!$B$2:$B$1800,B$1)</f>
        <v>0</v>
      </c>
      <c r="C172" s="115" t="n">
        <f aca="false">SUMIFS(الريسبي!$C$2:$C$1800,الريسبي!$A$2:$A$1800,$A172,الريسبي!$B$2:$B$1800,C$1)</f>
        <v>0</v>
      </c>
      <c r="D172" s="115" t="n">
        <f aca="false">SUMIFS(الريسبي!$C$2:$C$1800,الريسبي!$A$2:$A$1800,$A172,الريسبي!$B$2:$B$1800,D$1)</f>
        <v>0</v>
      </c>
      <c r="E172" s="115" t="n">
        <f aca="false">SUMIFS(الريسبي!$C$2:$C$1800,الريسبي!$A$2:$A$1800,$A172,الريسبي!$B$2:$B$1800,E$1)</f>
        <v>0</v>
      </c>
      <c r="F172" s="115" t="n">
        <f aca="false">SUMIFS(الريسبي!$C$2:$C$1800,الريسبي!$A$2:$A$1800,$A172,الريسبي!$B$2:$B$1800,F$1)</f>
        <v>0</v>
      </c>
      <c r="G172" s="115" t="n">
        <f aca="false">SUMIFS(الريسبي!$C$2:$C$1800,الريسبي!$A$2:$A$1800,$A172,الريسبي!$B$2:$B$1800,G$1)</f>
        <v>0</v>
      </c>
      <c r="H172" s="115" t="n">
        <f aca="false">SUMIFS(الريسبي!$C$2:$C$1800,الريسبي!$A$2:$A$1800,$A172,الريسبي!$B$2:$B$1800,H$1)</f>
        <v>0</v>
      </c>
      <c r="I172" s="115" t="n">
        <f aca="false">SUMIFS(الريسبي!$C$2:$C$1800,الريسبي!$A$2:$A$1800,$A172,الريسبي!$B$2:$B$1800,I$1)</f>
        <v>0</v>
      </c>
      <c r="J172" s="115" t="n">
        <f aca="false">SUMIFS(الريسبي!$C$2:$C$1800,الريسبي!$A$2:$A$1800,$A172,الريسبي!$B$2:$B$1800,J$1)</f>
        <v>0</v>
      </c>
      <c r="K172" s="115" t="n">
        <f aca="false">SUMIFS(الريسبي!$C$2:$C$1800,الريسبي!$A$2:$A$1800,$A172,الريسبي!$B$2:$B$1800,K$1)</f>
        <v>0</v>
      </c>
      <c r="L172" s="115" t="n">
        <f aca="false">SUMIFS(الريسبي!$C$2:$C$1800,الريسبي!$A$2:$A$1800,$A172,الريسبي!$B$2:$B$1800,L$1)</f>
        <v>0</v>
      </c>
      <c r="M172" s="115" t="n">
        <f aca="false">SUMIFS(الريسبي!$C$2:$C$1800,الريسبي!$A$2:$A$1800,$A172,الريسبي!$B$2:$B$1800,M$1)</f>
        <v>0</v>
      </c>
      <c r="N172" s="115" t="n">
        <f aca="false">SUMIFS(الريسبي!$C$2:$C$1800,الريسبي!$A$2:$A$1800,$A172,الريسبي!$B$2:$B$1800,N$1)</f>
        <v>0</v>
      </c>
      <c r="O172" s="115" t="n">
        <f aca="false">SUMIFS(الريسبي!$C$2:$C$1800,الريسبي!$A$2:$A$1800,$A172,الريسبي!$B$2:$B$1800,O$1)</f>
        <v>0</v>
      </c>
      <c r="P172" s="115" t="n">
        <f aca="false">SUMIFS(الريسبي!$C$2:$C$1800,الريسبي!$A$2:$A$1800,$A172,الريسبي!$B$2:$B$1800,P$1)</f>
        <v>0</v>
      </c>
      <c r="Q172" s="115" t="n">
        <f aca="false">SUMIFS(الريسبي!$C$2:$C$1800,الريسبي!$A$2:$A$1800,$A172,الريسبي!$B$2:$B$1800,Q$1)</f>
        <v>0</v>
      </c>
      <c r="R172" s="115" t="n">
        <f aca="false">SUMIFS(الريسبي!$C$2:$C$1800,الريسبي!$A$2:$A$1800,$A172,الريسبي!$B$2:$B$1800,R$1)</f>
        <v>0</v>
      </c>
      <c r="S172" s="115" t="n">
        <f aca="false">SUMIFS(الريسبي!$C$2:$C$1800,الريسبي!$A$2:$A$1800,$A172,الريسبي!$B$2:$B$1800,S$1)</f>
        <v>0</v>
      </c>
      <c r="T172" s="115" t="n">
        <f aca="false">SUMIFS(الريسبي!$C$2:$C$1800,الريسبي!$A$2:$A$1800,$A172,الريسبي!$B$2:$B$1800,T$1)</f>
        <v>0</v>
      </c>
      <c r="U172" s="115" t="n">
        <f aca="false">SUMIFS(الريسبي!$C$2:$C$1800,الريسبي!$A$2:$A$1800,$A172,الريسبي!$B$2:$B$1800,U$1)</f>
        <v>0</v>
      </c>
      <c r="V172" s="115" t="n">
        <f aca="false">SUMIFS(الريسبي!$C$2:$C$1800,الريسبي!$A$2:$A$1800,$A172,الريسبي!$B$2:$B$1800,V$1)</f>
        <v>0</v>
      </c>
      <c r="W172" s="115" t="n">
        <f aca="false">SUMIFS(الريسبي!$C$2:$C$1800,الريسبي!$A$2:$A$1800,$A172,الريسبي!$B$2:$B$1800,W$1)</f>
        <v>0</v>
      </c>
      <c r="X172" s="115" t="n">
        <f aca="false">SUMIFS(الريسبي!$C$2:$C$1800,الريسبي!$A$2:$A$1800,$A172,الريسبي!$B$2:$B$1800,X$1)</f>
        <v>0</v>
      </c>
      <c r="Y172" s="115" t="n">
        <f aca="false">SUMIFS(الريسبي!$C$2:$C$1800,الريسبي!$A$2:$A$1800,$A172,الريسبي!$B$2:$B$1800,Y$1)</f>
        <v>0</v>
      </c>
      <c r="Z172" s="115" t="n">
        <f aca="false">SUMIFS(الريسبي!$C$2:$C$1800,الريسبي!$A$2:$A$1800,$A172,الريسبي!$B$2:$B$1800,Z$1)</f>
        <v>0</v>
      </c>
      <c r="AA172" s="115" t="n">
        <f aca="false">SUMIFS(الريسبي!$C$2:$C$1800,الريسبي!$A$2:$A$1800,$A172,الريسبي!$B$2:$B$1800,AA$1)</f>
        <v>0</v>
      </c>
      <c r="AB172" s="115" t="n">
        <f aca="false">SUMIFS(الريسبي!$C$2:$C$1800,الريسبي!$A$2:$A$1800,$A172,الريسبي!$B$2:$B$1800,AB$1)</f>
        <v>0</v>
      </c>
      <c r="AC172" s="115" t="n">
        <f aca="false">SUMIFS(الريسبي!$C$2:$C$1800,الريسبي!$A$2:$A$1800,$A172,الريسبي!$B$2:$B$1800,AC$1)</f>
        <v>0</v>
      </c>
      <c r="AD172" s="115" t="n">
        <f aca="false">SUMIFS(الريسبي!$C$2:$C$1800,الريسبي!$A$2:$A$1800,$A172,الريسبي!$B$2:$B$1800,AD$1)</f>
        <v>0</v>
      </c>
      <c r="AE172" s="115" t="n">
        <f aca="false">SUMIFS(الريسبي!$C$2:$C$1800,الريسبي!$A$2:$A$1800,$A172,الريسبي!$B$2:$B$1800,AE$1)</f>
        <v>0</v>
      </c>
      <c r="AF172" s="115" t="n">
        <f aca="false">SUMIFS(الريسبي!$C$2:$C$1800,الريسبي!$A$2:$A$1800,$A172,الريسبي!$B$2:$B$1800,AF$1)</f>
        <v>0</v>
      </c>
      <c r="AG172" s="115" t="n">
        <f aca="false">SUMIFS(الريسبي!$C$2:$C$1800,الريسبي!$A$2:$A$1800,$A172,الريسبي!$B$2:$B$1800,AG$1)</f>
        <v>0</v>
      </c>
      <c r="AH172" s="115" t="n">
        <f aca="false">SUMIFS(الريسبي!$C$2:$C$1800,الريسبي!$A$2:$A$1800,$A172,الريسبي!$B$2:$B$1800,AH$1)</f>
        <v>0</v>
      </c>
      <c r="AI172" s="115" t="n">
        <f aca="false">SUMIFS(الريسبي!$C$2:$C$1800,الريسبي!$A$2:$A$1800,$A172,الريسبي!$B$2:$B$1800,AI$1)</f>
        <v>0</v>
      </c>
      <c r="AJ172" s="115" t="n">
        <f aca="false">SUMIFS(الريسبي!$C$2:$C$1800,الريسبي!$A$2:$A$1800,$A172,الريسبي!$B$2:$B$1800,AJ$1)</f>
        <v>0</v>
      </c>
      <c r="AK172" s="115" t="n">
        <f aca="false">SUMIFS(الريسبي!$C$2:$C$1800,الريسبي!$A$2:$A$1800,$A172,الريسبي!$B$2:$B$1800,AK$1)</f>
        <v>0</v>
      </c>
      <c r="AL172" s="115" t="n">
        <f aca="false">SUMIFS(الريسبي!$C$2:$C$1800,الريسبي!$A$2:$A$1800,$A172,الريسبي!$B$2:$B$1800,AL$1)</f>
        <v>0</v>
      </c>
      <c r="AM172" s="115"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15"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15" t="n">
        <f aca="false">SUMIFS(الريسبي!$C$2:$C$1800,الريسبي!$A$2:$A$1800,$A172,الريسبي!$B$2:$B$1800,AO$1)</f>
        <v>0</v>
      </c>
      <c r="AP172" s="115" t="n">
        <f aca="false">SUMIFS(الريسبي!$C$2:$C$1800,الريسبي!$A$2:$A$1800,$A172,الريسبي!$B$2:$B$1800,AP$1)</f>
        <v>0</v>
      </c>
      <c r="AQ172" s="115"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15" t="n">
        <f aca="false">SUMIFS(الريسبي!$C$2:$C$1800,الريسبي!$A$2:$A$1800,$A172,الريسبي!$B$2:$B$1800,AR$1)</f>
        <v>0</v>
      </c>
      <c r="AS172" s="115" t="n">
        <f aca="false">SUMIFS(الريسبي!$C$2:$C$1800,الريسبي!$A$2:$A$1800,$A172,الريسبي!$B$2:$B$1800,AS$1)</f>
        <v>0</v>
      </c>
      <c r="AT172" s="115" t="n">
        <f aca="false">SUMIFS(الريسبي!$C$2:$C$1800,الريسبي!$A$2:$A$1800,$A172,الريسبي!$B$2:$B$1800,AT$1)</f>
        <v>0</v>
      </c>
      <c r="AU172" s="115" t="n">
        <f aca="false">SUMIFS(الريسبي!$C$2:$C$1800,الريسبي!$A$2:$A$1800,$A172,الريسبي!$B$2:$B$1800,AU$1)</f>
        <v>0</v>
      </c>
      <c r="AV172" s="115" t="n">
        <f aca="false">SUMIFS(الريسبي!$C$2:$C$1800,الريسبي!$A$2:$A$1800,$A172,الريسبي!$B$2:$B$1800,AV$1)</f>
        <v>0</v>
      </c>
      <c r="AW172" s="115" t="n">
        <f aca="false">SUMIFS(الريسبي!$C$2:$C$1800,الريسبي!$A$2:$A$1800,$A172,الريسبي!$B$2:$B$1800,AW$1)</f>
        <v>0</v>
      </c>
      <c r="AX172" s="115" t="n">
        <f aca="false">SUMIFS(الريسبي!$C$2:$C$1800,الريسبي!$A$2:$A$1800,$A172,الريسبي!$B$2:$B$1800,AX$1)</f>
        <v>0</v>
      </c>
      <c r="AY172" s="115" t="n">
        <f aca="false">SUMIFS(الريسبي!$C$2:$C$1800,الريسبي!$A$2:$A$1800,$A172,الريسبي!$B$2:$B$1800,AY$1)</f>
        <v>0.15</v>
      </c>
      <c r="AZ172" s="115" t="n">
        <f aca="false">SUMIFS(الريسبي!$C$2:$C$1800,الريسبي!$A$2:$A$1800,$A172,الريسبي!$B$2:$B$1800,AZ$1)</f>
        <v>0</v>
      </c>
      <c r="BA172" s="115" t="n">
        <f aca="false">SUMIFS(الريسبي!$C$2:$C$1800,الريسبي!$A$2:$A$1800,$A172,الريسبي!$B$2:$B$1800,BA$1)</f>
        <v>0</v>
      </c>
      <c r="BB172" s="115" t="n">
        <f aca="false">SUMIFS(الريسبي!$C$2:$C$1800,الريسبي!$A$2:$A$1800,$A172,الريسبي!$B$2:$B$1800,BB$1)</f>
        <v>0</v>
      </c>
      <c r="BC172" s="115" t="n">
        <f aca="false">SUMIFS(الريسبي!$C$2:$C$1800,الريسبي!$A$2:$A$1800,$A172,الريسبي!$B$2:$B$1800,BC$1)</f>
        <v>0</v>
      </c>
      <c r="BD172" s="115" t="n">
        <f aca="false">SUMIFS(الريسبي!$C$2:$C$1800,الريسبي!$A$2:$A$1800,$A172,الريسبي!$B$2:$B$1800,BD$1)</f>
        <v>0</v>
      </c>
      <c r="BE172" s="115" t="n">
        <f aca="false">SUMIFS(الريسبي!$C$2:$C$1800,الريسبي!$A$2:$A$1800,$A172,الريسبي!$B$2:$B$1800,BE$1)</f>
        <v>0</v>
      </c>
      <c r="BF172" s="115" t="n">
        <f aca="false">SUMIFS(الريسبي!$C$2:$C$1800,الريسبي!$A$2:$A$1800,$A172,الريسبي!$B$2:$B$1800,BF$1)</f>
        <v>0</v>
      </c>
      <c r="BG172" s="115" t="n">
        <f aca="false">SUMIFS(الريسبي!$C$2:$C$1800,الريسبي!$A$2:$A$1800,$A172,الريسبي!$B$2:$B$1800,BG$1)</f>
        <v>0</v>
      </c>
      <c r="BH172" s="115" t="n">
        <f aca="false">SUMIFS(الريسبي!$C$2:$C$1800,الريسبي!$A$2:$A$1800,$A172,الريسبي!$B$2:$B$1800,BH$1)</f>
        <v>0</v>
      </c>
      <c r="BI172" s="115" t="n">
        <f aca="false">SUMIFS(الريسبي!$C$2:$C$1800,الريسبي!$A$2:$A$1800,$A172,الريسبي!$B$2:$B$1800,BI$1)</f>
        <v>0</v>
      </c>
      <c r="BJ172" s="115" t="n">
        <f aca="false">SUMIFS(الريسبي!$C$2:$C$1800,الريسبي!$A$2:$A$1800,$A172,الريسبي!$B$2:$B$1800,BJ$1)</f>
        <v>0</v>
      </c>
      <c r="BK172" s="115" t="n">
        <f aca="false">SUMIFS(الريسبي!$C$2:$C$1800,الريسبي!$A$2:$A$1800,$A172,الريسبي!$B$2:$B$1800,BK$1)</f>
        <v>0</v>
      </c>
      <c r="BL172" s="115" t="n">
        <f aca="false">SUMIFS(الريسبي!$C$2:$C$1800,الريسبي!$A$2:$A$1800,$A172,الريسبي!$B$2:$B$1800,BL$1)</f>
        <v>0</v>
      </c>
      <c r="BM172" s="115" t="n">
        <f aca="false">SUMIFS(الريسبي!$C$2:$C$1800,الريسبي!$A$2:$A$1800,$A172,الريسبي!$B$2:$B$1800,BM$1)</f>
        <v>0</v>
      </c>
      <c r="BN172" s="115" t="n">
        <f aca="false">SUMIFS(الريسبي!$C$2:$C$1800,الريسبي!$A$2:$A$1800,$A172,الريسبي!$B$2:$B$1800,BN$1)</f>
        <v>0</v>
      </c>
      <c r="BO172" s="115" t="n">
        <f aca="false">SUMIFS(الريسبي!$C$2:$C$1800,الريسبي!$A$2:$A$1800,$A172,الريسبي!$B$2:$B$1800,BO$1)</f>
        <v>0</v>
      </c>
      <c r="BP172" s="115" t="n">
        <f aca="false">SUMIFS(الريسبي!$C$2:$C$1800,الريسبي!$A$2:$A$1800,$A172,الريسبي!$B$2:$B$1800,BP$1)</f>
        <v>0</v>
      </c>
      <c r="BQ172" s="115"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15" t="n">
        <f aca="false">SUMIFS(الريسبي!$C$2:$C$1800,الريسبي!$A$2:$A$1800,$A172,الريسبي!$B$2:$B$1800,BR$1)</f>
        <v>0</v>
      </c>
      <c r="BS172" s="115" t="n">
        <f aca="false">SUMIFS(الريسبي!$C$2:$C$1800,الريسبي!$A$2:$A$1800,$A172,الريسبي!$B$2:$B$1800,BS$1)</f>
        <v>0</v>
      </c>
      <c r="BT172" s="115" t="n">
        <f aca="false">SUMIFS(الريسبي!$C$2:$C$1800,الريسبي!$A$2:$A$1800,$A172,الريسبي!$B$2:$B$1800,BT$1)</f>
        <v>0</v>
      </c>
      <c r="BU172" s="115"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15" t="n">
        <f aca="false">SUMIFS(الريسبي!$C$2:$C$1800,الريسبي!$A$2:$A$1800,$A172,الريسبي!$B$2:$B$1800,BV$1)</f>
        <v>0</v>
      </c>
      <c r="BW172" s="115" t="n">
        <f aca="false">SUMIFS(الريسبي!$C$2:$C$1800,الريسبي!$A$2:$A$1800,$A172,الريسبي!$B$2:$B$1800,BW$1)</f>
        <v>0</v>
      </c>
      <c r="BX172" s="115" t="n">
        <f aca="false">SUMIFS(الريسبي!$C$2:$C$1800,الريسبي!$A$2:$A$1800,$A172,الريسبي!$B$2:$B$1800,BX$1)</f>
        <v>0</v>
      </c>
      <c r="BY172" s="115" t="n">
        <f aca="false">SUMIFS(الريسبي!$C$2:$C$1800,الريسبي!$A$2:$A$1800,$A172,الريسبي!$B$2:$B$1800,BY$1)</f>
        <v>0</v>
      </c>
      <c r="BZ172" s="115" t="n">
        <f aca="false">SUMIFS(الريسبي!$C$2:$C$1800,الريسبي!$A$2:$A$1800,$A172,الريسبي!$B$2:$B$1800,BZ$1)</f>
        <v>0</v>
      </c>
      <c r="CA172" s="115" t="n">
        <f aca="false">SUMIFS(الريسبي!$C$2:$C$1800,الريسبي!$A$2:$A$1800,$A172,الريسبي!$B$2:$B$1800,CA$1)</f>
        <v>0</v>
      </c>
      <c r="CB172" s="115" t="n">
        <f aca="false">SUMIFS(الريسبي!$C$2:$C$1800,الريسبي!$A$2:$A$1800,$A172,الريسبي!$B$2:$B$1800,CB$1)</f>
        <v>0</v>
      </c>
      <c r="CC172" s="115" t="n">
        <f aca="false">SUMIFS(الريسبي!$C$2:$C$1800,الريسبي!$A$2:$A$1800,$A172,الريسبي!$B$2:$B$1800,CC$1)</f>
        <v>0</v>
      </c>
      <c r="CD172" s="115" t="n">
        <f aca="false">SUMIFS(الريسبي!$C$2:$C$1800,الريسبي!$A$2:$A$1800,$A172,الريسبي!$B$2:$B$1800,CD$1)</f>
        <v>0</v>
      </c>
      <c r="CE172" s="115" t="n">
        <f aca="false">SUMIFS(الريسبي!$C$2:$C$1800,الريسبي!$A$2:$A$1800,$A172,الريسبي!$B$2:$B$1800,CE$1)</f>
        <v>0</v>
      </c>
      <c r="CF172" s="115" t="n">
        <f aca="false">SUMIFS(الريسبي!$C$2:$C$1800,الريسبي!$A$2:$A$1800,$A172,الريسبي!$B$2:$B$1800,CF$1)</f>
        <v>0</v>
      </c>
      <c r="CG172" s="115" t="n">
        <f aca="false">SUMIFS(الريسبي!$C$2:$C$1800,الريسبي!$A$2:$A$1800,$A172,الريسبي!$B$2:$B$1800,CG$1)</f>
        <v>0</v>
      </c>
      <c r="CH172" s="115" t="n">
        <f aca="false">SUMIFS(الريسبي!$C$2:$C$1800,الريسبي!$A$2:$A$1800,$A172,الريسبي!$B$2:$B$1800,CH$1)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772</v>
      </c>
      <c r="B1" s="113" t="s">
        <v>773</v>
      </c>
      <c r="C1" s="113" t="s">
        <v>774</v>
      </c>
      <c r="D1" s="113" t="s">
        <v>775</v>
      </c>
      <c r="E1" s="113" t="s">
        <v>776</v>
      </c>
      <c r="F1" s="113" t="s">
        <v>777</v>
      </c>
      <c r="G1" s="113" t="s">
        <v>778</v>
      </c>
      <c r="H1" s="113" t="s">
        <v>779</v>
      </c>
      <c r="I1" s="113" t="s">
        <v>780</v>
      </c>
      <c r="J1" s="113" t="s">
        <v>781</v>
      </c>
    </row>
    <row r="2" customFormat="false" ht="15" hidden="false" customHeight="false" outlineLevel="0" collapsed="false">
      <c r="A2" s="114" t="str">
        <f aca="false">المنيو!B2</f>
        <v>بيتزا مارجريتا وسط</v>
      </c>
      <c r="B2" s="116" t="n">
        <f aca="false">SUMIFS('مبيعات يومية'!$D$2:$D$8001,'مبيعات يومية'!$C$2:$C$8001,$A2,'مبيعات يومية'!$B$2:$B$8001,'إعدادات المخزون'!$A$15,'مبيعات يومية'!$A$2:$A$8001,'إعدادات المخزون'!$B$4)</f>
        <v>0</v>
      </c>
      <c r="C2" s="116" t="n">
        <f aca="false">SUMIFS('مبيعات يومية'!$D$2:$D$8001,'مبيعات يومية'!$C$2:$C$8001,$A2,'مبيعات يومية'!$B$2:$B$8001,'إعدادات المخزون'!$A$15,'مبيعات يومية'!$A$2:$A$8001,"&gt;="&amp;'إعدادات المخزون'!$B$5,'مبيعات يومية'!$A$2:$A$8001,"&lt;="&amp;'إعدادات المخزون'!$B$4)</f>
        <v>0</v>
      </c>
      <c r="D2" s="116" t="n">
        <f aca="false">SUMIFS('مبيعات يومية'!$D$2:$D$8001,'مبيعات يومية'!$C$2:$C$8001,$A2,'مبيعات يومية'!$B$2:$B$8001,'إعدادات المخزون'!$A$15,'مبيعات يومية'!$A$2:$A$8001,"&gt;"&amp;('إعدادات المخزون'!$B$4-'إعدادات المخزون'!$B$11),'مبيعات يومية'!$A$2:$A$8001,"&lt;="&amp;'إعدادات المخزون'!$B$4)</f>
        <v>0</v>
      </c>
      <c r="E2" s="116" t="n">
        <f aca="false">SUMIFS('مبيعات يومية'!$D$2:$D$8001,'مبيعات يومية'!$C$2:$C$8001,$A2,'مبيعات يومية'!$B$2:$B$8001,'إعدادات المخزون'!$A$16,'مبيعات يومية'!$A$2:$A$8001,'إعدادات المخزون'!$B$4)</f>
        <v>0</v>
      </c>
      <c r="F2" s="116" t="n">
        <f aca="false">SUMIFS('مبيعات يومية'!$D$2:$D$8001,'مبيعات يومية'!$C$2:$C$8001,$A2,'مبيعات يومية'!$B$2:$B$8001,'إعدادات المخزون'!$A$16,'مبيعات يومية'!$A$2:$A$8001,"&gt;="&amp;'إعدادات المخزون'!$B$5,'مبيعات يومية'!$A$2:$A$8001,"&lt;="&amp;'إعدادات المخزون'!$B$4)</f>
        <v>0</v>
      </c>
      <c r="G2" s="116" t="n">
        <f aca="false">SUMIFS('مبيعات يومية'!$D$2:$D$8001,'مبيعات يومية'!$C$2:$C$8001,$A2,'مبيعات يومية'!$B$2:$B$8001,'إعدادات المخزون'!$A$16,'مبيعات يومية'!$A$2:$A$8001,"&gt;"&amp;('إعدادات المخزون'!$B$4-'إعدادات المخزون'!$B$11),'مبيعات يومية'!$A$2:$A$8001,"&lt;="&amp;'إعدادات المخزون'!$B$4)</f>
        <v>0</v>
      </c>
      <c r="H2" s="116" t="n">
        <f aca="false">SUMIFS('مبيعات يومية'!$D$2:$D$8001,'مبيعات يومية'!$C$2:$C$8001,$A2,'مبيعات يومية'!$B$2:$B$8001,'إعدادات المخزون'!$A$17,'مبيعات يومية'!$A$2:$A$8001,'إعدادات المخزون'!$B$4)</f>
        <v>0</v>
      </c>
      <c r="I2" s="116" t="n">
        <f aca="false">SUMIFS('مبيعات يومية'!$D$2:$D$8001,'مبيعات يومية'!$C$2:$C$8001,$A2,'مبيعات يومية'!$B$2:$B$8001,'إعدادات المخزون'!$A$17,'مبيعات يومية'!$A$2:$A$8001,"&gt;="&amp;'إعدادات المخزون'!$B$5,'مبيعات يومية'!$A$2:$A$8001,"&lt;="&amp;'إعدادات المخزون'!$B$4)</f>
        <v>0</v>
      </c>
      <c r="J2" s="116" t="n">
        <f aca="false">SUMIFS('مبيعات يومية'!$D$2:$D$8001,'مبيعات يومية'!$C$2:$C$8001,$A2,'مبيعات يومية'!$B$2:$B$8001,'إعدادات المخزون'!$A$17,'مبيعات يومية'!$A$2:$A$8001,"&gt;"&amp;('إعدادات المخزون'!$B$4-'إعدادات المخزون'!$B$11),'مبيعات يومية'!$A$2:$A$8001,"&lt;="&amp;'إعدادات المخزون'!$B$4)</f>
        <v>0</v>
      </c>
    </row>
    <row r="3" customFormat="false" ht="15" hidden="false" customHeight="false" outlineLevel="0" collapsed="false">
      <c r="A3" s="114" t="str">
        <f aca="false">المنيو!B3</f>
        <v>بيتزا مارجريتا حجم اكبر</v>
      </c>
      <c r="B3" s="116" t="n">
        <f aca="false">SUMIFS('مبيعات يومية'!$D$2:$D$8001,'مبيعات يومية'!$C$2:$C$8001,$A3,'مبيعات يومية'!$B$2:$B$8001,'إعدادات المخزون'!$A$15,'مبيعات يومية'!$A$2:$A$8001,'إعدادات المخزون'!$B$4)</f>
        <v>0</v>
      </c>
      <c r="C3" s="116" t="n">
        <f aca="false">SUMIFS('مبيعات يومية'!$D$2:$D$8001,'مبيعات يومية'!$C$2:$C$8001,$A3,'مبيعات يومية'!$B$2:$B$8001,'إعدادات المخزون'!$A$15,'مبيعات يومية'!$A$2:$A$8001,"&gt;="&amp;'إعدادات المخزون'!$B$5,'مبيعات يومية'!$A$2:$A$8001,"&lt;="&amp;'إعدادات المخزون'!$B$4)</f>
        <v>0</v>
      </c>
      <c r="D3" s="116" t="n">
        <f aca="false">SUMIFS('مبيعات يومية'!$D$2:$D$8001,'مبيعات يومية'!$C$2:$C$8001,$A3,'مبيعات يومية'!$B$2:$B$8001,'إعدادات المخزون'!$A$15,'مبيعات يومية'!$A$2:$A$8001,"&gt;"&amp;('إعدادات المخزون'!$B$4-'إعدادات المخزون'!$B$11),'مبيعات يومية'!$A$2:$A$8001,"&lt;="&amp;'إعدادات المخزون'!$B$4)</f>
        <v>0</v>
      </c>
      <c r="E3" s="116" t="n">
        <f aca="false">SUMIFS('مبيعات يومية'!$D$2:$D$8001,'مبيعات يومية'!$C$2:$C$8001,$A3,'مبيعات يومية'!$B$2:$B$8001,'إعدادات المخزون'!$A$16,'مبيعات يومية'!$A$2:$A$8001,'إعدادات المخزون'!$B$4)</f>
        <v>0</v>
      </c>
      <c r="F3" s="116" t="n">
        <f aca="false">SUMIFS('مبيعات يومية'!$D$2:$D$8001,'مبيعات يومية'!$C$2:$C$8001,$A3,'مبيعات يومية'!$B$2:$B$8001,'إعدادات المخزون'!$A$16,'مبيعات يومية'!$A$2:$A$8001,"&gt;="&amp;'إعدادات المخزون'!$B$5,'مبيعات يومية'!$A$2:$A$8001,"&lt;="&amp;'إعدادات المخزون'!$B$4)</f>
        <v>0</v>
      </c>
      <c r="G3" s="116" t="n">
        <f aca="false">SUMIFS('مبيعات يومية'!$D$2:$D$8001,'مبيعات يومية'!$C$2:$C$8001,$A3,'مبيعات يومية'!$B$2:$B$8001,'إعدادات المخزون'!$A$16,'مبيعات يومية'!$A$2:$A$8001,"&gt;"&amp;('إعدادات المخزون'!$B$4-'إعدادات المخزون'!$B$11),'مبيعات يومية'!$A$2:$A$8001,"&lt;="&amp;'إعدادات المخزون'!$B$4)</f>
        <v>0</v>
      </c>
      <c r="H3" s="116" t="n">
        <f aca="false">SUMIFS('مبيعات يومية'!$D$2:$D$8001,'مبيعات يومية'!$C$2:$C$8001,$A3,'مبيعات يومية'!$B$2:$B$8001,'إعدادات المخزون'!$A$17,'مبيعات يومية'!$A$2:$A$8001,'إعدادات المخزون'!$B$4)</f>
        <v>0</v>
      </c>
      <c r="I3" s="116" t="n">
        <f aca="false">SUMIFS('مبيعات يومية'!$D$2:$D$8001,'مبيعات يومية'!$C$2:$C$8001,$A3,'مبيعات يومية'!$B$2:$B$8001,'إعدادات المخزون'!$A$17,'مبيعات يومية'!$A$2:$A$8001,"&gt;="&amp;'إعدادات المخزون'!$B$5,'مبيعات يومية'!$A$2:$A$8001,"&lt;="&amp;'إعدادات المخزون'!$B$4)</f>
        <v>0</v>
      </c>
      <c r="J3" s="116" t="n">
        <f aca="false">SUMIFS('مبيعات يومية'!$D$2:$D$8001,'مبيعات يومية'!$C$2:$C$8001,$A3,'مبيعات يومية'!$B$2:$B$8001,'إعدادات المخزون'!$A$17,'مبيعات يومية'!$A$2:$A$8001,"&gt;"&amp;('إعدادات المخزون'!$B$4-'إعدادات المخزون'!$B$11),'مبيعات يومية'!$A$2:$A$8001,"&lt;="&amp;'إعدادات المخزون'!$B$4)</f>
        <v>0</v>
      </c>
    </row>
    <row r="4" customFormat="false" ht="15" hidden="false" customHeight="false" outlineLevel="0" collapsed="false">
      <c r="A4" s="114" t="str">
        <f aca="false">المنيو!B4</f>
        <v>بيتزا بسطرمة وسط</v>
      </c>
      <c r="B4" s="116" t="n">
        <f aca="false">SUMIFS('مبيعات يومية'!$D$2:$D$8001,'مبيعات يومية'!$C$2:$C$8001,$A4,'مبيعات يومية'!$B$2:$B$8001,'إعدادات المخزون'!$A$15,'مبيعات يومية'!$A$2:$A$8001,'إعدادات المخزون'!$B$4)</f>
        <v>0</v>
      </c>
      <c r="C4" s="116" t="n">
        <f aca="false">SUMIFS('مبيعات يومية'!$D$2:$D$8001,'مبيعات يومية'!$C$2:$C$8001,$A4,'مبيعات يومية'!$B$2:$B$8001,'إعدادات المخزون'!$A$15,'مبيعات يومية'!$A$2:$A$8001,"&gt;="&amp;'إعدادات المخزون'!$B$5,'مبيعات يومية'!$A$2:$A$8001,"&lt;="&amp;'إعدادات المخزون'!$B$4)</f>
        <v>0</v>
      </c>
      <c r="D4" s="116" t="n">
        <f aca="false">SUMIFS('مبيعات يومية'!$D$2:$D$8001,'مبيعات يومية'!$C$2:$C$8001,$A4,'مبيعات يومية'!$B$2:$B$8001,'إعدادات المخزون'!$A$15,'مبيعات يومية'!$A$2:$A$8001,"&gt;"&amp;('إعدادات المخزون'!$B$4-'إعدادات المخزون'!$B$11),'مبيعات يومية'!$A$2:$A$8001,"&lt;="&amp;'إعدادات المخزون'!$B$4)</f>
        <v>0</v>
      </c>
      <c r="E4" s="116" t="n">
        <f aca="false">SUMIFS('مبيعات يومية'!$D$2:$D$8001,'مبيعات يومية'!$C$2:$C$8001,$A4,'مبيعات يومية'!$B$2:$B$8001,'إعدادات المخزون'!$A$16,'مبيعات يومية'!$A$2:$A$8001,'إعدادات المخزون'!$B$4)</f>
        <v>0</v>
      </c>
      <c r="F4" s="116" t="n">
        <f aca="false">SUMIFS('مبيعات يومية'!$D$2:$D$8001,'مبيعات يومية'!$C$2:$C$8001,$A4,'مبيعات يومية'!$B$2:$B$8001,'إعدادات المخزون'!$A$16,'مبيعات يومية'!$A$2:$A$8001,"&gt;="&amp;'إعدادات المخزون'!$B$5,'مبيعات يومية'!$A$2:$A$8001,"&lt;="&amp;'إعدادات المخزون'!$B$4)</f>
        <v>0</v>
      </c>
      <c r="G4" s="116" t="n">
        <f aca="false">SUMIFS('مبيعات يومية'!$D$2:$D$8001,'مبيعات يومية'!$C$2:$C$8001,$A4,'مبيعات يومية'!$B$2:$B$8001,'إعدادات المخزون'!$A$16,'مبيعات يومية'!$A$2:$A$8001,"&gt;"&amp;('إعدادات المخزون'!$B$4-'إعدادات المخزون'!$B$11),'مبيعات يومية'!$A$2:$A$8001,"&lt;="&amp;'إعدادات المخزون'!$B$4)</f>
        <v>0</v>
      </c>
      <c r="H4" s="116" t="n">
        <f aca="false">SUMIFS('مبيعات يومية'!$D$2:$D$8001,'مبيعات يومية'!$C$2:$C$8001,$A4,'مبيعات يومية'!$B$2:$B$8001,'إعدادات المخزون'!$A$17,'مبيعات يومية'!$A$2:$A$8001,'إعدادات المخزون'!$B$4)</f>
        <v>0</v>
      </c>
      <c r="I4" s="116" t="n">
        <f aca="false">SUMIFS('مبيعات يومية'!$D$2:$D$8001,'مبيعات يومية'!$C$2:$C$8001,$A4,'مبيعات يومية'!$B$2:$B$8001,'إعدادات المخزون'!$A$17,'مبيعات يومية'!$A$2:$A$8001,"&gt;="&amp;'إعدادات المخزون'!$B$5,'مبيعات يومية'!$A$2:$A$8001,"&lt;="&amp;'إعدادات المخزون'!$B$4)</f>
        <v>0</v>
      </c>
      <c r="J4" s="116" t="n">
        <f aca="false">SUMIFS('مبيعات يومية'!$D$2:$D$8001,'مبيعات يومية'!$C$2:$C$8001,$A4,'مبيعات يومية'!$B$2:$B$8001,'إعدادات المخزون'!$A$17,'مبيعات يومية'!$A$2:$A$8001,"&gt;"&amp;('إعدادات المخزون'!$B$4-'إعدادات المخزون'!$B$11),'مبيعات يومية'!$A$2:$A$8001,"&lt;="&amp;'إعدادات المخزون'!$B$4)</f>
        <v>0</v>
      </c>
    </row>
    <row r="5" customFormat="false" ht="15" hidden="false" customHeight="false" outlineLevel="0" collapsed="false">
      <c r="A5" s="114" t="str">
        <f aca="false">المنيو!B5</f>
        <v>بيتزا بسطرمة حجم اكبر</v>
      </c>
      <c r="B5" s="116" t="n">
        <f aca="false">SUMIFS('مبيعات يومية'!$D$2:$D$8001,'مبيعات يومية'!$C$2:$C$8001,$A5,'مبيعات يومية'!$B$2:$B$8001,'إعدادات المخزون'!$A$15,'مبيعات يومية'!$A$2:$A$8001,'إعدادات المخزون'!$B$4)</f>
        <v>0</v>
      </c>
      <c r="C5" s="116" t="n">
        <f aca="false">SUMIFS('مبيعات يومية'!$D$2:$D$8001,'مبيعات يومية'!$C$2:$C$8001,$A5,'مبيعات يومية'!$B$2:$B$8001,'إعدادات المخزون'!$A$15,'مبيعات يومية'!$A$2:$A$8001,"&gt;="&amp;'إعدادات المخزون'!$B$5,'مبيعات يومية'!$A$2:$A$8001,"&lt;="&amp;'إعدادات المخزون'!$B$4)</f>
        <v>0</v>
      </c>
      <c r="D5" s="116" t="n">
        <f aca="false">SUMIFS('مبيعات يومية'!$D$2:$D$8001,'مبيعات يومية'!$C$2:$C$8001,$A5,'مبيعات يومية'!$B$2:$B$8001,'إعدادات المخزون'!$A$15,'مبيعات يومية'!$A$2:$A$8001,"&gt;"&amp;('إعدادات المخزون'!$B$4-'إعدادات المخزون'!$B$11),'مبيعات يومية'!$A$2:$A$8001,"&lt;="&amp;'إعدادات المخزون'!$B$4)</f>
        <v>0</v>
      </c>
      <c r="E5" s="116" t="n">
        <f aca="false">SUMIFS('مبيعات يومية'!$D$2:$D$8001,'مبيعات يومية'!$C$2:$C$8001,$A5,'مبيعات يومية'!$B$2:$B$8001,'إعدادات المخزون'!$A$16,'مبيعات يومية'!$A$2:$A$8001,'إعدادات المخزون'!$B$4)</f>
        <v>0</v>
      </c>
      <c r="F5" s="116" t="n">
        <f aca="false">SUMIFS('مبيعات يومية'!$D$2:$D$8001,'مبيعات يومية'!$C$2:$C$8001,$A5,'مبيعات يومية'!$B$2:$B$8001,'إعدادات المخزون'!$A$16,'مبيعات يومية'!$A$2:$A$8001,"&gt;="&amp;'إعدادات المخزون'!$B$5,'مبيعات يومية'!$A$2:$A$8001,"&lt;="&amp;'إعدادات المخزون'!$B$4)</f>
        <v>0</v>
      </c>
      <c r="G5" s="116" t="n">
        <f aca="false">SUMIFS('مبيعات يومية'!$D$2:$D$8001,'مبيعات يومية'!$C$2:$C$8001,$A5,'مبيعات يومية'!$B$2:$B$8001,'إعدادات المخزون'!$A$16,'مبيعات يومية'!$A$2:$A$8001,"&gt;"&amp;('إعدادات المخزون'!$B$4-'إعدادات المخزون'!$B$11),'مبيعات يومية'!$A$2:$A$8001,"&lt;="&amp;'إعدادات المخزون'!$B$4)</f>
        <v>0</v>
      </c>
      <c r="H5" s="116" t="n">
        <f aca="false">SUMIFS('مبيعات يومية'!$D$2:$D$8001,'مبيعات يومية'!$C$2:$C$8001,$A5,'مبيعات يومية'!$B$2:$B$8001,'إعدادات المخزون'!$A$17,'مبيعات يومية'!$A$2:$A$8001,'إعدادات المخزون'!$B$4)</f>
        <v>0</v>
      </c>
      <c r="I5" s="116" t="n">
        <f aca="false">SUMIFS('مبيعات يومية'!$D$2:$D$8001,'مبيعات يومية'!$C$2:$C$8001,$A5,'مبيعات يومية'!$B$2:$B$8001,'إعدادات المخزون'!$A$17,'مبيعات يومية'!$A$2:$A$8001,"&gt;="&amp;'إعدادات المخزون'!$B$5,'مبيعات يومية'!$A$2:$A$8001,"&lt;="&amp;'إعدادات المخزون'!$B$4)</f>
        <v>0</v>
      </c>
      <c r="J5" s="116" t="n">
        <f aca="false">SUMIFS('مبيعات يومية'!$D$2:$D$8001,'مبيعات يومية'!$C$2:$C$8001,$A5,'مبيعات يومية'!$B$2:$B$8001,'إعدادات المخزون'!$A$17,'مبيعات يومية'!$A$2:$A$8001,"&gt;"&amp;('إعدادات المخزون'!$B$4-'إعدادات المخزون'!$B$11),'مبيعات يومية'!$A$2:$A$8001,"&lt;="&amp;'إعدادات المخزون'!$B$4)</f>
        <v>0</v>
      </c>
    </row>
    <row r="6" customFormat="false" ht="15" hidden="false" customHeight="false" outlineLevel="0" collapsed="false">
      <c r="A6" s="114" t="str">
        <f aca="false">المنيو!B6</f>
        <v>بيتزا سدق وسط</v>
      </c>
      <c r="B6" s="116" t="n">
        <f aca="false">SUMIFS('مبيعات يومية'!$D$2:$D$8001,'مبيعات يومية'!$C$2:$C$8001,$A6,'مبيعات يومية'!$B$2:$B$8001,'إعدادات المخزون'!$A$15,'مبيعات يومية'!$A$2:$A$8001,'إعدادات المخزون'!$B$4)</f>
        <v>0</v>
      </c>
      <c r="C6" s="116" t="n">
        <f aca="false">SUMIFS('مبيعات يومية'!$D$2:$D$8001,'مبيعات يومية'!$C$2:$C$8001,$A6,'مبيعات يومية'!$B$2:$B$8001,'إعدادات المخزون'!$A$15,'مبيعات يومية'!$A$2:$A$8001,"&gt;="&amp;'إعدادات المخزون'!$B$5,'مبيعات يومية'!$A$2:$A$8001,"&lt;="&amp;'إعدادات المخزون'!$B$4)</f>
        <v>0</v>
      </c>
      <c r="D6" s="116" t="n">
        <f aca="false">SUMIFS('مبيعات يومية'!$D$2:$D$8001,'مبيعات يومية'!$C$2:$C$8001,$A6,'مبيعات يومية'!$B$2:$B$8001,'إعدادات المخزون'!$A$15,'مبيعات يومية'!$A$2:$A$8001,"&gt;"&amp;('إعدادات المخزون'!$B$4-'إعدادات المخزون'!$B$11),'مبيعات يومية'!$A$2:$A$8001,"&lt;="&amp;'إعدادات المخزون'!$B$4)</f>
        <v>0</v>
      </c>
      <c r="E6" s="116" t="n">
        <f aca="false">SUMIFS('مبيعات يومية'!$D$2:$D$8001,'مبيعات يومية'!$C$2:$C$8001,$A6,'مبيعات يومية'!$B$2:$B$8001,'إعدادات المخزون'!$A$16,'مبيعات يومية'!$A$2:$A$8001,'إعدادات المخزون'!$B$4)</f>
        <v>0</v>
      </c>
      <c r="F6" s="116" t="n">
        <f aca="false">SUMIFS('مبيعات يومية'!$D$2:$D$8001,'مبيعات يومية'!$C$2:$C$8001,$A6,'مبيعات يومية'!$B$2:$B$8001,'إعدادات المخزون'!$A$16,'مبيعات يومية'!$A$2:$A$8001,"&gt;="&amp;'إعدادات المخزون'!$B$5,'مبيعات يومية'!$A$2:$A$8001,"&lt;="&amp;'إعدادات المخزون'!$B$4)</f>
        <v>0</v>
      </c>
      <c r="G6" s="116" t="n">
        <f aca="false">SUMIFS('مبيعات يومية'!$D$2:$D$8001,'مبيعات يومية'!$C$2:$C$8001,$A6,'مبيعات يومية'!$B$2:$B$8001,'إعدادات المخزون'!$A$16,'مبيعات يومية'!$A$2:$A$8001,"&gt;"&amp;('إعدادات المخزون'!$B$4-'إعدادات المخزون'!$B$11),'مبيعات يومية'!$A$2:$A$8001,"&lt;="&amp;'إعدادات المخزون'!$B$4)</f>
        <v>0</v>
      </c>
      <c r="H6" s="116" t="n">
        <f aca="false">SUMIFS('مبيعات يومية'!$D$2:$D$8001,'مبيعات يومية'!$C$2:$C$8001,$A6,'مبيعات يومية'!$B$2:$B$8001,'إعدادات المخزون'!$A$17,'مبيعات يومية'!$A$2:$A$8001,'إعدادات المخزون'!$B$4)</f>
        <v>0</v>
      </c>
      <c r="I6" s="116" t="n">
        <f aca="false">SUMIFS('مبيعات يومية'!$D$2:$D$8001,'مبيعات يومية'!$C$2:$C$8001,$A6,'مبيعات يومية'!$B$2:$B$8001,'إعدادات المخزون'!$A$17,'مبيعات يومية'!$A$2:$A$8001,"&gt;="&amp;'إعدادات المخزون'!$B$5,'مبيعات يومية'!$A$2:$A$8001,"&lt;="&amp;'إعدادات المخزون'!$B$4)</f>
        <v>0</v>
      </c>
      <c r="J6" s="116" t="n">
        <f aca="false">SUMIFS('مبيعات يومية'!$D$2:$D$8001,'مبيعات يومية'!$C$2:$C$8001,$A6,'مبيعات يومية'!$B$2:$B$8001,'إعدادات المخزون'!$A$17,'مبيعات يومية'!$A$2:$A$8001,"&gt;"&amp;('إعدادات المخزون'!$B$4-'إعدادات المخزون'!$B$11),'مبيعات يومية'!$A$2:$A$8001,"&lt;="&amp;'إعدادات المخزون'!$B$4)</f>
        <v>0</v>
      </c>
    </row>
    <row r="7" customFormat="false" ht="15" hidden="false" customHeight="false" outlineLevel="0" collapsed="false">
      <c r="A7" s="114" t="str">
        <f aca="false">المنيو!B7</f>
        <v>بيتزا سدق حجم اكبر</v>
      </c>
      <c r="B7" s="116" t="n">
        <f aca="false">SUMIFS('مبيعات يومية'!$D$2:$D$8001,'مبيعات يومية'!$C$2:$C$8001,$A7,'مبيعات يومية'!$B$2:$B$8001,'إعدادات المخزون'!$A$15,'مبيعات يومية'!$A$2:$A$8001,'إعدادات المخزون'!$B$4)</f>
        <v>0</v>
      </c>
      <c r="C7" s="116" t="n">
        <f aca="false">SUMIFS('مبيعات يومية'!$D$2:$D$8001,'مبيعات يومية'!$C$2:$C$8001,$A7,'مبيعات يومية'!$B$2:$B$8001,'إعدادات المخزون'!$A$15,'مبيعات يومية'!$A$2:$A$8001,"&gt;="&amp;'إعدادات المخزون'!$B$5,'مبيعات يومية'!$A$2:$A$8001,"&lt;="&amp;'إعدادات المخزون'!$B$4)</f>
        <v>0</v>
      </c>
      <c r="D7" s="116" t="n">
        <f aca="false">SUMIFS('مبيعات يومية'!$D$2:$D$8001,'مبيعات يومية'!$C$2:$C$8001,$A7,'مبيعات يومية'!$B$2:$B$8001,'إعدادات المخزون'!$A$15,'مبيعات يومية'!$A$2:$A$8001,"&gt;"&amp;('إعدادات المخزون'!$B$4-'إعدادات المخزون'!$B$11),'مبيعات يومية'!$A$2:$A$8001,"&lt;="&amp;'إعدادات المخزون'!$B$4)</f>
        <v>0</v>
      </c>
      <c r="E7" s="116" t="n">
        <f aca="false">SUMIFS('مبيعات يومية'!$D$2:$D$8001,'مبيعات يومية'!$C$2:$C$8001,$A7,'مبيعات يومية'!$B$2:$B$8001,'إعدادات المخزون'!$A$16,'مبيعات يومية'!$A$2:$A$8001,'إعدادات المخزون'!$B$4)</f>
        <v>0</v>
      </c>
      <c r="F7" s="116" t="n">
        <f aca="false">SUMIFS('مبيعات يومية'!$D$2:$D$8001,'مبيعات يومية'!$C$2:$C$8001,$A7,'مبيعات يومية'!$B$2:$B$8001,'إعدادات المخزون'!$A$16,'مبيعات يومية'!$A$2:$A$8001,"&gt;="&amp;'إعدادات المخزون'!$B$5,'مبيعات يومية'!$A$2:$A$8001,"&lt;="&amp;'إعدادات المخزون'!$B$4)</f>
        <v>0</v>
      </c>
      <c r="G7" s="116" t="n">
        <f aca="false">SUMIFS('مبيعات يومية'!$D$2:$D$8001,'مبيعات يومية'!$C$2:$C$8001,$A7,'مبيعات يومية'!$B$2:$B$8001,'إعدادات المخزون'!$A$16,'مبيعات يومية'!$A$2:$A$8001,"&gt;"&amp;('إعدادات المخزون'!$B$4-'إعدادات المخزون'!$B$11),'مبيعات يومية'!$A$2:$A$8001,"&lt;="&amp;'إعدادات المخزون'!$B$4)</f>
        <v>0</v>
      </c>
      <c r="H7" s="116" t="n">
        <f aca="false">SUMIFS('مبيعات يومية'!$D$2:$D$8001,'مبيعات يومية'!$C$2:$C$8001,$A7,'مبيعات يومية'!$B$2:$B$8001,'إعدادات المخزون'!$A$17,'مبيعات يومية'!$A$2:$A$8001,'إعدادات المخزون'!$B$4)</f>
        <v>0</v>
      </c>
      <c r="I7" s="116" t="n">
        <f aca="false">SUMIFS('مبيعات يومية'!$D$2:$D$8001,'مبيعات يومية'!$C$2:$C$8001,$A7,'مبيعات يومية'!$B$2:$B$8001,'إعدادات المخزون'!$A$17,'مبيعات يومية'!$A$2:$A$8001,"&gt;="&amp;'إعدادات المخزون'!$B$5,'مبيعات يومية'!$A$2:$A$8001,"&lt;="&amp;'إعدادات المخزون'!$B$4)</f>
        <v>0</v>
      </c>
      <c r="J7" s="116" t="n">
        <f aca="false">SUMIFS('مبيعات يومية'!$D$2:$D$8001,'مبيعات يومية'!$C$2:$C$8001,$A7,'مبيعات يومية'!$B$2:$B$8001,'إعدادات المخزون'!$A$17,'مبيعات يومية'!$A$2:$A$8001,"&gt;"&amp;('إعدادات المخزون'!$B$4-'إعدادات المخزون'!$B$11),'مبيعات يومية'!$A$2:$A$8001,"&lt;="&amp;'إعدادات المخزون'!$B$4)</f>
        <v>0</v>
      </c>
    </row>
    <row r="8" customFormat="false" ht="15" hidden="false" customHeight="false" outlineLevel="0" collapsed="false">
      <c r="A8" s="114" t="str">
        <f aca="false">المنيو!B8</f>
        <v>بيتزا دبل سلامي / بيبروني وسط</v>
      </c>
      <c r="B8" s="116" t="n">
        <f aca="false">SUMIFS('مبيعات يومية'!$D$2:$D$8001,'مبيعات يومية'!$C$2:$C$8001,$A8,'مبيعات يومية'!$B$2:$B$8001,'إعدادات المخزون'!$A$15,'مبيعات يومية'!$A$2:$A$8001,'إعدادات المخزون'!$B$4)</f>
        <v>0</v>
      </c>
      <c r="C8" s="116" t="n">
        <f aca="false">SUMIFS('مبيعات يومية'!$D$2:$D$8001,'مبيعات يومية'!$C$2:$C$8001,$A8,'مبيعات يومية'!$B$2:$B$8001,'إعدادات المخزون'!$A$15,'مبيعات يومية'!$A$2:$A$8001,"&gt;="&amp;'إعدادات المخزون'!$B$5,'مبيعات يومية'!$A$2:$A$8001,"&lt;="&amp;'إعدادات المخزون'!$B$4)</f>
        <v>0</v>
      </c>
      <c r="D8" s="116" t="n">
        <f aca="false">SUMIFS('مبيعات يومية'!$D$2:$D$8001,'مبيعات يومية'!$C$2:$C$8001,$A8,'مبيعات يومية'!$B$2:$B$8001,'إعدادات المخزون'!$A$15,'مبيعات يومية'!$A$2:$A$8001,"&gt;"&amp;('إعدادات المخزون'!$B$4-'إعدادات المخزون'!$B$11),'مبيعات يومية'!$A$2:$A$8001,"&lt;="&amp;'إعدادات المخزون'!$B$4)</f>
        <v>0</v>
      </c>
      <c r="E8" s="116" t="n">
        <f aca="false">SUMIFS('مبيعات يومية'!$D$2:$D$8001,'مبيعات يومية'!$C$2:$C$8001,$A8,'مبيعات يومية'!$B$2:$B$8001,'إعدادات المخزون'!$A$16,'مبيعات يومية'!$A$2:$A$8001,'إعدادات المخزون'!$B$4)</f>
        <v>0</v>
      </c>
      <c r="F8" s="116" t="n">
        <f aca="false">SUMIFS('مبيعات يومية'!$D$2:$D$8001,'مبيعات يومية'!$C$2:$C$8001,$A8,'مبيعات يومية'!$B$2:$B$8001,'إعدادات المخزون'!$A$16,'مبيعات يومية'!$A$2:$A$8001,"&gt;="&amp;'إعدادات المخزون'!$B$5,'مبيعات يومية'!$A$2:$A$8001,"&lt;="&amp;'إعدادات المخزون'!$B$4)</f>
        <v>0</v>
      </c>
      <c r="G8" s="116" t="n">
        <f aca="false">SUMIFS('مبيعات يومية'!$D$2:$D$8001,'مبيعات يومية'!$C$2:$C$8001,$A8,'مبيعات يومية'!$B$2:$B$8001,'إعدادات المخزون'!$A$16,'مبيعات يومية'!$A$2:$A$8001,"&gt;"&amp;('إعدادات المخزون'!$B$4-'إعدادات المخزون'!$B$11),'مبيعات يومية'!$A$2:$A$8001,"&lt;="&amp;'إعدادات المخزون'!$B$4)</f>
        <v>0</v>
      </c>
      <c r="H8" s="116" t="n">
        <f aca="false">SUMIFS('مبيعات يومية'!$D$2:$D$8001,'مبيعات يومية'!$C$2:$C$8001,$A8,'مبيعات يومية'!$B$2:$B$8001,'إعدادات المخزون'!$A$17,'مبيعات يومية'!$A$2:$A$8001,'إعدادات المخزون'!$B$4)</f>
        <v>0</v>
      </c>
      <c r="I8" s="116" t="n">
        <f aca="false">SUMIFS('مبيعات يومية'!$D$2:$D$8001,'مبيعات يومية'!$C$2:$C$8001,$A8,'مبيعات يومية'!$B$2:$B$8001,'إعدادات المخزون'!$A$17,'مبيعات يومية'!$A$2:$A$8001,"&gt;="&amp;'إعدادات المخزون'!$B$5,'مبيعات يومية'!$A$2:$A$8001,"&lt;="&amp;'إعدادات المخزون'!$B$4)</f>
        <v>0</v>
      </c>
      <c r="J8" s="116" t="n">
        <f aca="false">SUMIFS('مبيعات يومية'!$D$2:$D$8001,'مبيعات يومية'!$C$2:$C$8001,$A8,'مبيعات يومية'!$B$2:$B$8001,'إعدادات المخزون'!$A$17,'مبيعات يومية'!$A$2:$A$8001,"&gt;"&amp;('إعدادات المخزون'!$B$4-'إعدادات المخزون'!$B$11),'مبيعات يومية'!$A$2:$A$8001,"&lt;="&amp;'إعدادات المخزون'!$B$4)</f>
        <v>0</v>
      </c>
    </row>
    <row r="9" customFormat="false" ht="15" hidden="false" customHeight="false" outlineLevel="0" collapsed="false">
      <c r="A9" s="114" t="str">
        <f aca="false">المنيو!B9</f>
        <v>بيتزا دبل سلامي / بيبروني حجم اكبر</v>
      </c>
      <c r="B9" s="116" t="n">
        <f aca="false">SUMIFS('مبيعات يومية'!$D$2:$D$8001,'مبيعات يومية'!$C$2:$C$8001,$A9,'مبيعات يومية'!$B$2:$B$8001,'إعدادات المخزون'!$A$15,'مبيعات يومية'!$A$2:$A$8001,'إعدادات المخزون'!$B$4)</f>
        <v>0</v>
      </c>
      <c r="C9" s="116" t="n">
        <f aca="false">SUMIFS('مبيعات يومية'!$D$2:$D$8001,'مبيعات يومية'!$C$2:$C$8001,$A9,'مبيعات يومية'!$B$2:$B$8001,'إعدادات المخزون'!$A$15,'مبيعات يومية'!$A$2:$A$8001,"&gt;="&amp;'إعدادات المخزون'!$B$5,'مبيعات يومية'!$A$2:$A$8001,"&lt;="&amp;'إعدادات المخزون'!$B$4)</f>
        <v>0</v>
      </c>
      <c r="D9" s="116" t="n">
        <f aca="false">SUMIFS('مبيعات يومية'!$D$2:$D$8001,'مبيعات يومية'!$C$2:$C$8001,$A9,'مبيعات يومية'!$B$2:$B$8001,'إعدادات المخزون'!$A$15,'مبيعات يومية'!$A$2:$A$8001,"&gt;"&amp;('إعدادات المخزون'!$B$4-'إعدادات المخزون'!$B$11),'مبيعات يومية'!$A$2:$A$8001,"&lt;="&amp;'إعدادات المخزون'!$B$4)</f>
        <v>0</v>
      </c>
      <c r="E9" s="116" t="n">
        <f aca="false">SUMIFS('مبيعات يومية'!$D$2:$D$8001,'مبيعات يومية'!$C$2:$C$8001,$A9,'مبيعات يومية'!$B$2:$B$8001,'إعدادات المخزون'!$A$16,'مبيعات يومية'!$A$2:$A$8001,'إعدادات المخزون'!$B$4)</f>
        <v>0</v>
      </c>
      <c r="F9" s="116" t="n">
        <f aca="false">SUMIFS('مبيعات يومية'!$D$2:$D$8001,'مبيعات يومية'!$C$2:$C$8001,$A9,'مبيعات يومية'!$B$2:$B$8001,'إعدادات المخزون'!$A$16,'مبيعات يومية'!$A$2:$A$8001,"&gt;="&amp;'إعدادات المخزون'!$B$5,'مبيعات يومية'!$A$2:$A$8001,"&lt;="&amp;'إعدادات المخزون'!$B$4)</f>
        <v>0</v>
      </c>
      <c r="G9" s="116" t="n">
        <f aca="false">SUMIFS('مبيعات يومية'!$D$2:$D$8001,'مبيعات يومية'!$C$2:$C$8001,$A9,'مبيعات يومية'!$B$2:$B$8001,'إعدادات المخزون'!$A$16,'مبيعات يومية'!$A$2:$A$8001,"&gt;"&amp;('إعدادات المخزون'!$B$4-'إعدادات المخزون'!$B$11),'مبيعات يومية'!$A$2:$A$8001,"&lt;="&amp;'إعدادات المخزون'!$B$4)</f>
        <v>0</v>
      </c>
      <c r="H9" s="116" t="n">
        <f aca="false">SUMIFS('مبيعات يومية'!$D$2:$D$8001,'مبيعات يومية'!$C$2:$C$8001,$A9,'مبيعات يومية'!$B$2:$B$8001,'إعدادات المخزون'!$A$17,'مبيعات يومية'!$A$2:$A$8001,'إعدادات المخزون'!$B$4)</f>
        <v>0</v>
      </c>
      <c r="I9" s="116" t="n">
        <f aca="false">SUMIFS('مبيعات يومية'!$D$2:$D$8001,'مبيعات يومية'!$C$2:$C$8001,$A9,'مبيعات يومية'!$B$2:$B$8001,'إعدادات المخزون'!$A$17,'مبيعات يومية'!$A$2:$A$8001,"&gt;="&amp;'إعدادات المخزون'!$B$5,'مبيعات يومية'!$A$2:$A$8001,"&lt;="&amp;'إعدادات المخزون'!$B$4)</f>
        <v>0</v>
      </c>
      <c r="J9" s="116" t="n">
        <f aca="false">SUMIFS('مبيعات يومية'!$D$2:$D$8001,'مبيعات يومية'!$C$2:$C$8001,$A9,'مبيعات يومية'!$B$2:$B$8001,'إعدادات المخزون'!$A$17,'مبيعات يومية'!$A$2:$A$8001,"&gt;"&amp;('إعدادات المخزون'!$B$4-'إعدادات المخزون'!$B$11),'مبيعات يومية'!$A$2:$A$8001,"&lt;="&amp;'إعدادات المخزون'!$B$4)</f>
        <v>0</v>
      </c>
    </row>
    <row r="10" customFormat="false" ht="15" hidden="false" customHeight="false" outlineLevel="0" collapsed="false">
      <c r="A10" s="114" t="str">
        <f aca="false">المنيو!B10</f>
        <v>بيتزا مشكل جبن وسط</v>
      </c>
      <c r="B10" s="116" t="n">
        <f aca="false">SUMIFS('مبيعات يومية'!$D$2:$D$8001,'مبيعات يومية'!$C$2:$C$8001,$A10,'مبيعات يومية'!$B$2:$B$8001,'إعدادات المخزون'!$A$15,'مبيعات يومية'!$A$2:$A$8001,'إعدادات المخزون'!$B$4)</f>
        <v>0</v>
      </c>
      <c r="C10" s="116" t="n">
        <f aca="false">SUMIFS('مبيعات يومية'!$D$2:$D$8001,'مبيعات يومية'!$C$2:$C$8001,$A10,'مبيعات يومية'!$B$2:$B$8001,'إعدادات المخزون'!$A$15,'مبيعات يومية'!$A$2:$A$8001,"&gt;="&amp;'إعدادات المخزون'!$B$5,'مبيعات يومية'!$A$2:$A$8001,"&lt;="&amp;'إعدادات المخزون'!$B$4)</f>
        <v>0</v>
      </c>
      <c r="D10" s="116" t="n">
        <f aca="false">SUMIFS('مبيعات يومية'!$D$2:$D$8001,'مبيعات يومية'!$C$2:$C$8001,$A10,'مبيعات يومية'!$B$2:$B$8001,'إعدادات المخزون'!$A$15,'مبيعات يومية'!$A$2:$A$8001,"&gt;"&amp;('إعدادات المخزون'!$B$4-'إعدادات المخزون'!$B$11),'مبيعات يومية'!$A$2:$A$8001,"&lt;="&amp;'إعدادات المخزون'!$B$4)</f>
        <v>0</v>
      </c>
      <c r="E10" s="116" t="n">
        <f aca="false">SUMIFS('مبيعات يومية'!$D$2:$D$8001,'مبيعات يومية'!$C$2:$C$8001,$A10,'مبيعات يومية'!$B$2:$B$8001,'إعدادات المخزون'!$A$16,'مبيعات يومية'!$A$2:$A$8001,'إعدادات المخزون'!$B$4)</f>
        <v>0</v>
      </c>
      <c r="F10" s="116" t="n">
        <f aca="false">SUMIFS('مبيعات يومية'!$D$2:$D$8001,'مبيعات يومية'!$C$2:$C$8001,$A10,'مبيعات يومية'!$B$2:$B$8001,'إعدادات المخزون'!$A$16,'مبيعات يومية'!$A$2:$A$8001,"&gt;="&amp;'إعدادات المخزون'!$B$5,'مبيعات يومية'!$A$2:$A$8001,"&lt;="&amp;'إعدادات المخزون'!$B$4)</f>
        <v>0</v>
      </c>
      <c r="G10" s="116" t="n">
        <f aca="false">SUMIFS('مبيعات يومية'!$D$2:$D$8001,'مبيعات يومية'!$C$2:$C$8001,$A10,'مبيعات يومية'!$B$2:$B$8001,'إعدادات المخزون'!$A$16,'مبيعات يومية'!$A$2:$A$8001,"&gt;"&amp;('إعدادات المخزون'!$B$4-'إعدادات المخزون'!$B$11),'مبيعات يومية'!$A$2:$A$8001,"&lt;="&amp;'إعدادات المخزون'!$B$4)</f>
        <v>0</v>
      </c>
      <c r="H10" s="116" t="n">
        <f aca="false">SUMIFS('مبيعات يومية'!$D$2:$D$8001,'مبيعات يومية'!$C$2:$C$8001,$A10,'مبيعات يومية'!$B$2:$B$8001,'إعدادات المخزون'!$A$17,'مبيعات يومية'!$A$2:$A$8001,'إعدادات المخزون'!$B$4)</f>
        <v>0</v>
      </c>
      <c r="I10" s="116" t="n">
        <f aca="false">SUMIFS('مبيعات يومية'!$D$2:$D$8001,'مبيعات يومية'!$C$2:$C$8001,$A10,'مبيعات يومية'!$B$2:$B$8001,'إعدادات المخزون'!$A$17,'مبيعات يومية'!$A$2:$A$8001,"&gt;="&amp;'إعدادات المخزون'!$B$5,'مبيعات يومية'!$A$2:$A$8001,"&lt;="&amp;'إعدادات المخزون'!$B$4)</f>
        <v>0</v>
      </c>
      <c r="J10" s="116" t="n">
        <f aca="false">SUMIFS('مبيعات يومية'!$D$2:$D$8001,'مبيعات يومية'!$C$2:$C$8001,$A10,'مبيعات يومية'!$B$2:$B$8001,'إعدادات المخزون'!$A$17,'مبيعات يومية'!$A$2:$A$8001,"&gt;"&amp;('إعدادات المخزون'!$B$4-'إعدادات المخزون'!$B$11),'مبيعات يومية'!$A$2:$A$8001,"&lt;="&amp;'إعدادات المخزون'!$B$4)</f>
        <v>0</v>
      </c>
    </row>
    <row r="11" customFormat="false" ht="15" hidden="false" customHeight="false" outlineLevel="0" collapsed="false">
      <c r="A11" s="114" t="str">
        <f aca="false">المنيو!B11</f>
        <v>بيتزا مشكل جبن حجم اكبر</v>
      </c>
      <c r="B11" s="116" t="n">
        <f aca="false">SUMIFS('مبيعات يومية'!$D$2:$D$8001,'مبيعات يومية'!$C$2:$C$8001,$A11,'مبيعات يومية'!$B$2:$B$8001,'إعدادات المخزون'!$A$15,'مبيعات يومية'!$A$2:$A$8001,'إعدادات المخزون'!$B$4)</f>
        <v>0</v>
      </c>
      <c r="C11" s="116" t="n">
        <f aca="false">SUMIFS('مبيعات يومية'!$D$2:$D$8001,'مبيعات يومية'!$C$2:$C$8001,$A11,'مبيعات يومية'!$B$2:$B$8001,'إعدادات المخزون'!$A$15,'مبيعات يومية'!$A$2:$A$8001,"&gt;="&amp;'إعدادات المخزون'!$B$5,'مبيعات يومية'!$A$2:$A$8001,"&lt;="&amp;'إعدادات المخزون'!$B$4)</f>
        <v>0</v>
      </c>
      <c r="D11" s="116" t="n">
        <f aca="false">SUMIFS('مبيعات يومية'!$D$2:$D$8001,'مبيعات يومية'!$C$2:$C$8001,$A11,'مبيعات يومية'!$B$2:$B$8001,'إعدادات المخزون'!$A$15,'مبيعات يومية'!$A$2:$A$8001,"&gt;"&amp;('إعدادات المخزون'!$B$4-'إعدادات المخزون'!$B$11),'مبيعات يومية'!$A$2:$A$8001,"&lt;="&amp;'إعدادات المخزون'!$B$4)</f>
        <v>0</v>
      </c>
      <c r="E11" s="116" t="n">
        <f aca="false">SUMIFS('مبيعات يومية'!$D$2:$D$8001,'مبيعات يومية'!$C$2:$C$8001,$A11,'مبيعات يومية'!$B$2:$B$8001,'إعدادات المخزون'!$A$16,'مبيعات يومية'!$A$2:$A$8001,'إعدادات المخزون'!$B$4)</f>
        <v>0</v>
      </c>
      <c r="F11" s="116" t="n">
        <f aca="false">SUMIFS('مبيعات يومية'!$D$2:$D$8001,'مبيعات يومية'!$C$2:$C$8001,$A11,'مبيعات يومية'!$B$2:$B$8001,'إعدادات المخزون'!$A$16,'مبيعات يومية'!$A$2:$A$8001,"&gt;="&amp;'إعدادات المخزون'!$B$5,'مبيعات يومية'!$A$2:$A$8001,"&lt;="&amp;'إعدادات المخزون'!$B$4)</f>
        <v>0</v>
      </c>
      <c r="G11" s="116" t="n">
        <f aca="false">SUMIFS('مبيعات يومية'!$D$2:$D$8001,'مبيعات يومية'!$C$2:$C$8001,$A11,'مبيعات يومية'!$B$2:$B$8001,'إعدادات المخزون'!$A$16,'مبيعات يومية'!$A$2:$A$8001,"&gt;"&amp;('إعدادات المخزون'!$B$4-'إعدادات المخزون'!$B$11),'مبيعات يومية'!$A$2:$A$8001,"&lt;="&amp;'إعدادات المخزون'!$B$4)</f>
        <v>0</v>
      </c>
      <c r="H11" s="116" t="n">
        <f aca="false">SUMIFS('مبيعات يومية'!$D$2:$D$8001,'مبيعات يومية'!$C$2:$C$8001,$A11,'مبيعات يومية'!$B$2:$B$8001,'إعدادات المخزون'!$A$17,'مبيعات يومية'!$A$2:$A$8001,'إعدادات المخزون'!$B$4)</f>
        <v>0</v>
      </c>
      <c r="I11" s="116" t="n">
        <f aca="false">SUMIFS('مبيعات يومية'!$D$2:$D$8001,'مبيعات يومية'!$C$2:$C$8001,$A11,'مبيعات يومية'!$B$2:$B$8001,'إعدادات المخزون'!$A$17,'مبيعات يومية'!$A$2:$A$8001,"&gt;="&amp;'إعدادات المخزون'!$B$5,'مبيعات يومية'!$A$2:$A$8001,"&lt;="&amp;'إعدادات المخزون'!$B$4)</f>
        <v>0</v>
      </c>
      <c r="J11" s="116" t="n">
        <f aca="false">SUMIFS('مبيعات يومية'!$D$2:$D$8001,'مبيعات يومية'!$C$2:$C$8001,$A11,'مبيعات يومية'!$B$2:$B$8001,'إعدادات المخزون'!$A$17,'مبيعات يومية'!$A$2:$A$8001,"&gt;"&amp;('إعدادات المخزون'!$B$4-'إعدادات المخزون'!$B$11),'مبيعات يومية'!$A$2:$A$8001,"&lt;="&amp;'إعدادات المخزون'!$B$4)</f>
        <v>0</v>
      </c>
    </row>
    <row r="12" customFormat="false" ht="15" hidden="false" customHeight="false" outlineLevel="0" collapsed="false">
      <c r="A12" s="114" t="str">
        <f aca="false">المنيو!B12</f>
        <v>بيتزا فراخ رانش وسط</v>
      </c>
      <c r="B12" s="116" t="n">
        <f aca="false">SUMIFS('مبيعات يومية'!$D$2:$D$8001,'مبيعات يومية'!$C$2:$C$8001,$A12,'مبيعات يومية'!$B$2:$B$8001,'إعدادات المخزون'!$A$15,'مبيعات يومية'!$A$2:$A$8001,'إعدادات المخزون'!$B$4)</f>
        <v>0</v>
      </c>
      <c r="C12" s="116" t="n">
        <f aca="false">SUMIFS('مبيعات يومية'!$D$2:$D$8001,'مبيعات يومية'!$C$2:$C$8001,$A12,'مبيعات يومية'!$B$2:$B$8001,'إعدادات المخزون'!$A$15,'مبيعات يومية'!$A$2:$A$8001,"&gt;="&amp;'إعدادات المخزون'!$B$5,'مبيعات يومية'!$A$2:$A$8001,"&lt;="&amp;'إعدادات المخزون'!$B$4)</f>
        <v>0</v>
      </c>
      <c r="D12" s="116" t="n">
        <f aca="false">SUMIFS('مبيعات يومية'!$D$2:$D$8001,'مبيعات يومية'!$C$2:$C$8001,$A12,'مبيعات يومية'!$B$2:$B$8001,'إعدادات المخزون'!$A$15,'مبيعات يومية'!$A$2:$A$8001,"&gt;"&amp;('إعدادات المخزون'!$B$4-'إعدادات المخزون'!$B$11),'مبيعات يومية'!$A$2:$A$8001,"&lt;="&amp;'إعدادات المخزون'!$B$4)</f>
        <v>0</v>
      </c>
      <c r="E12" s="116" t="n">
        <f aca="false">SUMIFS('مبيعات يومية'!$D$2:$D$8001,'مبيعات يومية'!$C$2:$C$8001,$A12,'مبيعات يومية'!$B$2:$B$8001,'إعدادات المخزون'!$A$16,'مبيعات يومية'!$A$2:$A$8001,'إعدادات المخزون'!$B$4)</f>
        <v>0</v>
      </c>
      <c r="F12" s="116" t="n">
        <f aca="false">SUMIFS('مبيعات يومية'!$D$2:$D$8001,'مبيعات يومية'!$C$2:$C$8001,$A12,'مبيعات يومية'!$B$2:$B$8001,'إعدادات المخزون'!$A$16,'مبيعات يومية'!$A$2:$A$8001,"&gt;="&amp;'إعدادات المخزون'!$B$5,'مبيعات يومية'!$A$2:$A$8001,"&lt;="&amp;'إعدادات المخزون'!$B$4)</f>
        <v>0</v>
      </c>
      <c r="G12" s="116" t="n">
        <f aca="false">SUMIFS('مبيعات يومية'!$D$2:$D$8001,'مبيعات يومية'!$C$2:$C$8001,$A12,'مبيعات يومية'!$B$2:$B$8001,'إعدادات المخزون'!$A$16,'مبيعات يومية'!$A$2:$A$8001,"&gt;"&amp;('إعدادات المخزون'!$B$4-'إعدادات المخزون'!$B$11),'مبيعات يومية'!$A$2:$A$8001,"&lt;="&amp;'إعدادات المخزون'!$B$4)</f>
        <v>0</v>
      </c>
      <c r="H12" s="116" t="n">
        <f aca="false">SUMIFS('مبيعات يومية'!$D$2:$D$8001,'مبيعات يومية'!$C$2:$C$8001,$A12,'مبيعات يومية'!$B$2:$B$8001,'إعدادات المخزون'!$A$17,'مبيعات يومية'!$A$2:$A$8001,'إعدادات المخزون'!$B$4)</f>
        <v>0</v>
      </c>
      <c r="I12" s="116" t="n">
        <f aca="false">SUMIFS('مبيعات يومية'!$D$2:$D$8001,'مبيعات يومية'!$C$2:$C$8001,$A12,'مبيعات يومية'!$B$2:$B$8001,'إعدادات المخزون'!$A$17,'مبيعات يومية'!$A$2:$A$8001,"&gt;="&amp;'إعدادات المخزون'!$B$5,'مبيعات يومية'!$A$2:$A$8001,"&lt;="&amp;'إعدادات المخزون'!$B$4)</f>
        <v>0</v>
      </c>
      <c r="J12" s="116" t="n">
        <f aca="false">SUMIFS('مبيعات يومية'!$D$2:$D$8001,'مبيعات يومية'!$C$2:$C$8001,$A12,'مبيعات يومية'!$B$2:$B$8001,'إعدادات المخزون'!$A$17,'مبيعات يومية'!$A$2:$A$8001,"&gt;"&amp;('إعدادات المخزون'!$B$4-'إعدادات المخزون'!$B$11),'مبيعات يومية'!$A$2:$A$8001,"&lt;="&amp;'إعدادات المخزون'!$B$4)</f>
        <v>0</v>
      </c>
    </row>
    <row r="13" customFormat="false" ht="15" hidden="false" customHeight="false" outlineLevel="0" collapsed="false">
      <c r="A13" s="114" t="str">
        <f aca="false">المنيو!B13</f>
        <v>بيتزا فراخ رانش حجم اكبر</v>
      </c>
      <c r="B13" s="116" t="n">
        <f aca="false">SUMIFS('مبيعات يومية'!$D$2:$D$8001,'مبيعات يومية'!$C$2:$C$8001,$A13,'مبيعات يومية'!$B$2:$B$8001,'إعدادات المخزون'!$A$15,'مبيعات يومية'!$A$2:$A$8001,'إعدادات المخزون'!$B$4)</f>
        <v>0</v>
      </c>
      <c r="C13" s="116" t="n">
        <f aca="false">SUMIFS('مبيعات يومية'!$D$2:$D$8001,'مبيعات يومية'!$C$2:$C$8001,$A13,'مبيعات يومية'!$B$2:$B$8001,'إعدادات المخزون'!$A$15,'مبيعات يومية'!$A$2:$A$8001,"&gt;="&amp;'إعدادات المخزون'!$B$5,'مبيعات يومية'!$A$2:$A$8001,"&lt;="&amp;'إعدادات المخزون'!$B$4)</f>
        <v>0</v>
      </c>
      <c r="D13" s="116" t="n">
        <f aca="false">SUMIFS('مبيعات يومية'!$D$2:$D$8001,'مبيعات يومية'!$C$2:$C$8001,$A13,'مبيعات يومية'!$B$2:$B$8001,'إعدادات المخزون'!$A$15,'مبيعات يومية'!$A$2:$A$8001,"&gt;"&amp;('إعدادات المخزون'!$B$4-'إعدادات المخزون'!$B$11),'مبيعات يومية'!$A$2:$A$8001,"&lt;="&amp;'إعدادات المخزون'!$B$4)</f>
        <v>0</v>
      </c>
      <c r="E13" s="116" t="n">
        <f aca="false">SUMIFS('مبيعات يومية'!$D$2:$D$8001,'مبيعات يومية'!$C$2:$C$8001,$A13,'مبيعات يومية'!$B$2:$B$8001,'إعدادات المخزون'!$A$16,'مبيعات يومية'!$A$2:$A$8001,'إعدادات المخزون'!$B$4)</f>
        <v>0</v>
      </c>
      <c r="F13" s="116" t="n">
        <f aca="false">SUMIFS('مبيعات يومية'!$D$2:$D$8001,'مبيعات يومية'!$C$2:$C$8001,$A13,'مبيعات يومية'!$B$2:$B$8001,'إعدادات المخزون'!$A$16,'مبيعات يومية'!$A$2:$A$8001,"&gt;="&amp;'إعدادات المخزون'!$B$5,'مبيعات يومية'!$A$2:$A$8001,"&lt;="&amp;'إعدادات المخزون'!$B$4)</f>
        <v>0</v>
      </c>
      <c r="G13" s="116" t="n">
        <f aca="false">SUMIFS('مبيعات يومية'!$D$2:$D$8001,'مبيعات يومية'!$C$2:$C$8001,$A13,'مبيعات يومية'!$B$2:$B$8001,'إعدادات المخزون'!$A$16,'مبيعات يومية'!$A$2:$A$8001,"&gt;"&amp;('إعدادات المخزون'!$B$4-'إعدادات المخزون'!$B$11),'مبيعات يومية'!$A$2:$A$8001,"&lt;="&amp;'إعدادات المخزون'!$B$4)</f>
        <v>0</v>
      </c>
      <c r="H13" s="116" t="n">
        <f aca="false">SUMIFS('مبيعات يومية'!$D$2:$D$8001,'مبيعات يومية'!$C$2:$C$8001,$A13,'مبيعات يومية'!$B$2:$B$8001,'إعدادات المخزون'!$A$17,'مبيعات يومية'!$A$2:$A$8001,'إعدادات المخزون'!$B$4)</f>
        <v>0</v>
      </c>
      <c r="I13" s="116" t="n">
        <f aca="false">SUMIFS('مبيعات يومية'!$D$2:$D$8001,'مبيعات يومية'!$C$2:$C$8001,$A13,'مبيعات يومية'!$B$2:$B$8001,'إعدادات المخزون'!$A$17,'مبيعات يومية'!$A$2:$A$8001,"&gt;="&amp;'إعدادات المخزون'!$B$5,'مبيعات يومية'!$A$2:$A$8001,"&lt;="&amp;'إعدادات المخزون'!$B$4)</f>
        <v>0</v>
      </c>
      <c r="J13" s="116" t="n">
        <f aca="false">SUMIFS('مبيعات يومية'!$D$2:$D$8001,'مبيعات يومية'!$C$2:$C$8001,$A13,'مبيعات يومية'!$B$2:$B$8001,'إعدادات المخزون'!$A$17,'مبيعات يومية'!$A$2:$A$8001,"&gt;"&amp;('إعدادات المخزون'!$B$4-'إعدادات المخزون'!$B$11),'مبيعات يومية'!$A$2:$A$8001,"&lt;="&amp;'إعدادات المخزون'!$B$4)</f>
        <v>0</v>
      </c>
    </row>
    <row r="14" customFormat="false" ht="15" hidden="false" customHeight="false" outlineLevel="0" collapsed="false">
      <c r="A14" s="114" t="str">
        <f aca="false">المنيو!B14</f>
        <v>بيتزا فراخ باربيكيو وسط</v>
      </c>
      <c r="B14" s="116" t="n">
        <f aca="false">SUMIFS('مبيعات يومية'!$D$2:$D$8001,'مبيعات يومية'!$C$2:$C$8001,$A14,'مبيعات يومية'!$B$2:$B$8001,'إعدادات المخزون'!$A$15,'مبيعات يومية'!$A$2:$A$8001,'إعدادات المخزون'!$B$4)</f>
        <v>0</v>
      </c>
      <c r="C14" s="116" t="n">
        <f aca="false">SUMIFS('مبيعات يومية'!$D$2:$D$8001,'مبيعات يومية'!$C$2:$C$8001,$A14,'مبيعات يومية'!$B$2:$B$8001,'إعدادات المخزون'!$A$15,'مبيعات يومية'!$A$2:$A$8001,"&gt;="&amp;'إعدادات المخزون'!$B$5,'مبيعات يومية'!$A$2:$A$8001,"&lt;="&amp;'إعدادات المخزون'!$B$4)</f>
        <v>0</v>
      </c>
      <c r="D14" s="116" t="n">
        <f aca="false">SUMIFS('مبيعات يومية'!$D$2:$D$8001,'مبيعات يومية'!$C$2:$C$8001,$A14,'مبيعات يومية'!$B$2:$B$8001,'إعدادات المخزون'!$A$15,'مبيعات يومية'!$A$2:$A$8001,"&gt;"&amp;('إعدادات المخزون'!$B$4-'إعدادات المخزون'!$B$11),'مبيعات يومية'!$A$2:$A$8001,"&lt;="&amp;'إعدادات المخزون'!$B$4)</f>
        <v>0</v>
      </c>
      <c r="E14" s="116" t="n">
        <f aca="false">SUMIFS('مبيعات يومية'!$D$2:$D$8001,'مبيعات يومية'!$C$2:$C$8001,$A14,'مبيعات يومية'!$B$2:$B$8001,'إعدادات المخزون'!$A$16,'مبيعات يومية'!$A$2:$A$8001,'إعدادات المخزون'!$B$4)</f>
        <v>0</v>
      </c>
      <c r="F14" s="116" t="n">
        <f aca="false">SUMIFS('مبيعات يومية'!$D$2:$D$8001,'مبيعات يومية'!$C$2:$C$8001,$A14,'مبيعات يومية'!$B$2:$B$8001,'إعدادات المخزون'!$A$16,'مبيعات يومية'!$A$2:$A$8001,"&gt;="&amp;'إعدادات المخزون'!$B$5,'مبيعات يومية'!$A$2:$A$8001,"&lt;="&amp;'إعدادات المخزون'!$B$4)</f>
        <v>0</v>
      </c>
      <c r="G14" s="116" t="n">
        <f aca="false">SUMIFS('مبيعات يومية'!$D$2:$D$8001,'مبيعات يومية'!$C$2:$C$8001,$A14,'مبيعات يومية'!$B$2:$B$8001,'إعدادات المخزون'!$A$16,'مبيعات يومية'!$A$2:$A$8001,"&gt;"&amp;('إعدادات المخزون'!$B$4-'إعدادات المخزون'!$B$11),'مبيعات يومية'!$A$2:$A$8001,"&lt;="&amp;'إعدادات المخزون'!$B$4)</f>
        <v>0</v>
      </c>
      <c r="H14" s="116" t="n">
        <f aca="false">SUMIFS('مبيعات يومية'!$D$2:$D$8001,'مبيعات يومية'!$C$2:$C$8001,$A14,'مبيعات يومية'!$B$2:$B$8001,'إعدادات المخزون'!$A$17,'مبيعات يومية'!$A$2:$A$8001,'إعدادات المخزون'!$B$4)</f>
        <v>0</v>
      </c>
      <c r="I14" s="116" t="n">
        <f aca="false">SUMIFS('مبيعات يومية'!$D$2:$D$8001,'مبيعات يومية'!$C$2:$C$8001,$A14,'مبيعات يومية'!$B$2:$B$8001,'إعدادات المخزون'!$A$17,'مبيعات يومية'!$A$2:$A$8001,"&gt;="&amp;'إعدادات المخزون'!$B$5,'مبيعات يومية'!$A$2:$A$8001,"&lt;="&amp;'إعدادات المخزون'!$B$4)</f>
        <v>0</v>
      </c>
      <c r="J14" s="116" t="n">
        <f aca="false">SUMIFS('مبيعات يومية'!$D$2:$D$8001,'مبيعات يومية'!$C$2:$C$8001,$A14,'مبيعات يومية'!$B$2:$B$8001,'إعدادات المخزون'!$A$17,'مبيعات يومية'!$A$2:$A$8001,"&gt;"&amp;('إعدادات المخزون'!$B$4-'إعدادات المخزون'!$B$11),'مبيعات يومية'!$A$2:$A$8001,"&lt;="&amp;'إعدادات المخزون'!$B$4)</f>
        <v>0</v>
      </c>
    </row>
    <row r="15" customFormat="false" ht="15" hidden="false" customHeight="false" outlineLevel="0" collapsed="false">
      <c r="A15" s="114" t="str">
        <f aca="false">المنيو!B15</f>
        <v>بيتزا فراخ باربيكيو حجم اكبر</v>
      </c>
      <c r="B15" s="116" t="n">
        <f aca="false">SUMIFS('مبيعات يومية'!$D$2:$D$8001,'مبيعات يومية'!$C$2:$C$8001,$A15,'مبيعات يومية'!$B$2:$B$8001,'إعدادات المخزون'!$A$15,'مبيعات يومية'!$A$2:$A$8001,'إعدادات المخزون'!$B$4)</f>
        <v>0</v>
      </c>
      <c r="C15" s="116" t="n">
        <f aca="false">SUMIFS('مبيعات يومية'!$D$2:$D$8001,'مبيعات يومية'!$C$2:$C$8001,$A15,'مبيعات يومية'!$B$2:$B$8001,'إعدادات المخزون'!$A$15,'مبيعات يومية'!$A$2:$A$8001,"&gt;="&amp;'إعدادات المخزون'!$B$5,'مبيعات يومية'!$A$2:$A$8001,"&lt;="&amp;'إعدادات المخزون'!$B$4)</f>
        <v>0</v>
      </c>
      <c r="D15" s="116" t="n">
        <f aca="false">SUMIFS('مبيعات يومية'!$D$2:$D$8001,'مبيعات يومية'!$C$2:$C$8001,$A15,'مبيعات يومية'!$B$2:$B$8001,'إعدادات المخزون'!$A$15,'مبيعات يومية'!$A$2:$A$8001,"&gt;"&amp;('إعدادات المخزون'!$B$4-'إعدادات المخزون'!$B$11),'مبيعات يومية'!$A$2:$A$8001,"&lt;="&amp;'إعدادات المخزون'!$B$4)</f>
        <v>0</v>
      </c>
      <c r="E15" s="116" t="n">
        <f aca="false">SUMIFS('مبيعات يومية'!$D$2:$D$8001,'مبيعات يومية'!$C$2:$C$8001,$A15,'مبيعات يومية'!$B$2:$B$8001,'إعدادات المخزون'!$A$16,'مبيعات يومية'!$A$2:$A$8001,'إعدادات المخزون'!$B$4)</f>
        <v>0</v>
      </c>
      <c r="F15" s="116" t="n">
        <f aca="false">SUMIFS('مبيعات يومية'!$D$2:$D$8001,'مبيعات يومية'!$C$2:$C$8001,$A15,'مبيعات يومية'!$B$2:$B$8001,'إعدادات المخزون'!$A$16,'مبيعات يومية'!$A$2:$A$8001,"&gt;="&amp;'إعدادات المخزون'!$B$5,'مبيعات يومية'!$A$2:$A$8001,"&lt;="&amp;'إعدادات المخزون'!$B$4)</f>
        <v>0</v>
      </c>
      <c r="G15" s="116" t="n">
        <f aca="false">SUMIFS('مبيعات يومية'!$D$2:$D$8001,'مبيعات يومية'!$C$2:$C$8001,$A15,'مبيعات يومية'!$B$2:$B$8001,'إعدادات المخزون'!$A$16,'مبيعات يومية'!$A$2:$A$8001,"&gt;"&amp;('إعدادات المخزون'!$B$4-'إعدادات المخزون'!$B$11),'مبيعات يومية'!$A$2:$A$8001,"&lt;="&amp;'إعدادات المخزون'!$B$4)</f>
        <v>0</v>
      </c>
      <c r="H15" s="116" t="n">
        <f aca="false">SUMIFS('مبيعات يومية'!$D$2:$D$8001,'مبيعات يومية'!$C$2:$C$8001,$A15,'مبيعات يومية'!$B$2:$B$8001,'إعدادات المخزون'!$A$17,'مبيعات يومية'!$A$2:$A$8001,'إعدادات المخزون'!$B$4)</f>
        <v>0</v>
      </c>
      <c r="I15" s="116" t="n">
        <f aca="false">SUMIFS('مبيعات يومية'!$D$2:$D$8001,'مبيعات يومية'!$C$2:$C$8001,$A15,'مبيعات يومية'!$B$2:$B$8001,'إعدادات المخزون'!$A$17,'مبيعات يومية'!$A$2:$A$8001,"&gt;="&amp;'إعدادات المخزون'!$B$5,'مبيعات يومية'!$A$2:$A$8001,"&lt;="&amp;'إعدادات المخزون'!$B$4)</f>
        <v>0</v>
      </c>
      <c r="J15" s="116" t="n">
        <f aca="false">SUMIFS('مبيعات يومية'!$D$2:$D$8001,'مبيعات يومية'!$C$2:$C$8001,$A15,'مبيعات يومية'!$B$2:$B$8001,'إعدادات المخزون'!$A$17,'مبيعات يومية'!$A$2:$A$8001,"&gt;"&amp;('إعدادات المخزون'!$B$4-'إعدادات المخزون'!$B$11),'مبيعات يومية'!$A$2:$A$8001,"&lt;="&amp;'إعدادات المخزون'!$B$4)</f>
        <v>0</v>
      </c>
    </row>
    <row r="16" customFormat="false" ht="15" hidden="false" customHeight="false" outlineLevel="0" collapsed="false">
      <c r="A16" s="114" t="str">
        <f aca="false">المنيو!B16</f>
        <v>بيتزا فراخ كريسبي رانش وسط</v>
      </c>
      <c r="B16" s="116" t="n">
        <f aca="false">SUMIFS('مبيعات يومية'!$D$2:$D$8001,'مبيعات يومية'!$C$2:$C$8001,$A16,'مبيعات يومية'!$B$2:$B$8001,'إعدادات المخزون'!$A$15,'مبيعات يومية'!$A$2:$A$8001,'إعدادات المخزون'!$B$4)</f>
        <v>0</v>
      </c>
      <c r="C16" s="116" t="n">
        <f aca="false">SUMIFS('مبيعات يومية'!$D$2:$D$8001,'مبيعات يومية'!$C$2:$C$8001,$A16,'مبيعات يومية'!$B$2:$B$8001,'إعدادات المخزون'!$A$15,'مبيعات يومية'!$A$2:$A$8001,"&gt;="&amp;'إعدادات المخزون'!$B$5,'مبيعات يومية'!$A$2:$A$8001,"&lt;="&amp;'إعدادات المخزون'!$B$4)</f>
        <v>0</v>
      </c>
      <c r="D16" s="116" t="n">
        <f aca="false">SUMIFS('مبيعات يومية'!$D$2:$D$8001,'مبيعات يومية'!$C$2:$C$8001,$A16,'مبيعات يومية'!$B$2:$B$8001,'إعدادات المخزون'!$A$15,'مبيعات يومية'!$A$2:$A$8001,"&gt;"&amp;('إعدادات المخزون'!$B$4-'إعدادات المخزون'!$B$11),'مبيعات يومية'!$A$2:$A$8001,"&lt;="&amp;'إعدادات المخزون'!$B$4)</f>
        <v>0</v>
      </c>
      <c r="E16" s="116" t="n">
        <f aca="false">SUMIFS('مبيعات يومية'!$D$2:$D$8001,'مبيعات يومية'!$C$2:$C$8001,$A16,'مبيعات يومية'!$B$2:$B$8001,'إعدادات المخزون'!$A$16,'مبيعات يومية'!$A$2:$A$8001,'إعدادات المخزون'!$B$4)</f>
        <v>0</v>
      </c>
      <c r="F16" s="116" t="n">
        <f aca="false">SUMIFS('مبيعات يومية'!$D$2:$D$8001,'مبيعات يومية'!$C$2:$C$8001,$A16,'مبيعات يومية'!$B$2:$B$8001,'إعدادات المخزون'!$A$16,'مبيعات يومية'!$A$2:$A$8001,"&gt;="&amp;'إعدادات المخزون'!$B$5,'مبيعات يومية'!$A$2:$A$8001,"&lt;="&amp;'إعدادات المخزون'!$B$4)</f>
        <v>0</v>
      </c>
      <c r="G16" s="116" t="n">
        <f aca="false">SUMIFS('مبيعات يومية'!$D$2:$D$8001,'مبيعات يومية'!$C$2:$C$8001,$A16,'مبيعات يومية'!$B$2:$B$8001,'إعدادات المخزون'!$A$16,'مبيعات يومية'!$A$2:$A$8001,"&gt;"&amp;('إعدادات المخزون'!$B$4-'إعدادات المخزون'!$B$11),'مبيعات يومية'!$A$2:$A$8001,"&lt;="&amp;'إعدادات المخزون'!$B$4)</f>
        <v>0</v>
      </c>
      <c r="H16" s="116" t="n">
        <f aca="false">SUMIFS('مبيعات يومية'!$D$2:$D$8001,'مبيعات يومية'!$C$2:$C$8001,$A16,'مبيعات يومية'!$B$2:$B$8001,'إعدادات المخزون'!$A$17,'مبيعات يومية'!$A$2:$A$8001,'إعدادات المخزون'!$B$4)</f>
        <v>0</v>
      </c>
      <c r="I16" s="116" t="n">
        <f aca="false">SUMIFS('مبيعات يومية'!$D$2:$D$8001,'مبيعات يومية'!$C$2:$C$8001,$A16,'مبيعات يومية'!$B$2:$B$8001,'إعدادات المخزون'!$A$17,'مبيعات يومية'!$A$2:$A$8001,"&gt;="&amp;'إعدادات المخزون'!$B$5,'مبيعات يومية'!$A$2:$A$8001,"&lt;="&amp;'إعدادات المخزون'!$B$4)</f>
        <v>0</v>
      </c>
      <c r="J16" s="116" t="n">
        <f aca="false">SUMIFS('مبيعات يومية'!$D$2:$D$8001,'مبيعات يومية'!$C$2:$C$8001,$A16,'مبيعات يومية'!$B$2:$B$8001,'إعدادات المخزون'!$A$17,'مبيعات يومية'!$A$2:$A$8001,"&gt;"&amp;('إعدادات المخزون'!$B$4-'إعدادات المخزون'!$B$11),'مبيعات يومية'!$A$2:$A$8001,"&lt;="&amp;'إعدادات المخزون'!$B$4)</f>
        <v>0</v>
      </c>
    </row>
    <row r="17" customFormat="false" ht="15" hidden="false" customHeight="false" outlineLevel="0" collapsed="false">
      <c r="A17" s="114" t="str">
        <f aca="false">المنيو!B17</f>
        <v>بيتزا فراخ كريسبي رانش حجم اكبر</v>
      </c>
      <c r="B17" s="116" t="n">
        <f aca="false">SUMIFS('مبيعات يومية'!$D$2:$D$8001,'مبيعات يومية'!$C$2:$C$8001,$A17,'مبيعات يومية'!$B$2:$B$8001,'إعدادات المخزون'!$A$15,'مبيعات يومية'!$A$2:$A$8001,'إعدادات المخزون'!$B$4)</f>
        <v>0</v>
      </c>
      <c r="C17" s="116" t="n">
        <f aca="false">SUMIFS('مبيعات يومية'!$D$2:$D$8001,'مبيعات يومية'!$C$2:$C$8001,$A17,'مبيعات يومية'!$B$2:$B$8001,'إعدادات المخزون'!$A$15,'مبيعات يومية'!$A$2:$A$8001,"&gt;="&amp;'إعدادات المخزون'!$B$5,'مبيعات يومية'!$A$2:$A$8001,"&lt;="&amp;'إعدادات المخزون'!$B$4)</f>
        <v>0</v>
      </c>
      <c r="D17" s="116" t="n">
        <f aca="false">SUMIFS('مبيعات يومية'!$D$2:$D$8001,'مبيعات يومية'!$C$2:$C$8001,$A17,'مبيعات يومية'!$B$2:$B$8001,'إعدادات المخزون'!$A$15,'مبيعات يومية'!$A$2:$A$8001,"&gt;"&amp;('إعدادات المخزون'!$B$4-'إعدادات المخزون'!$B$11),'مبيعات يومية'!$A$2:$A$8001,"&lt;="&amp;'إعدادات المخزون'!$B$4)</f>
        <v>0</v>
      </c>
      <c r="E17" s="116" t="n">
        <f aca="false">SUMIFS('مبيعات يومية'!$D$2:$D$8001,'مبيعات يومية'!$C$2:$C$8001,$A17,'مبيعات يومية'!$B$2:$B$8001,'إعدادات المخزون'!$A$16,'مبيعات يومية'!$A$2:$A$8001,'إعدادات المخزون'!$B$4)</f>
        <v>0</v>
      </c>
      <c r="F17" s="116" t="n">
        <f aca="false">SUMIFS('مبيعات يومية'!$D$2:$D$8001,'مبيعات يومية'!$C$2:$C$8001,$A17,'مبيعات يومية'!$B$2:$B$8001,'إعدادات المخزون'!$A$16,'مبيعات يومية'!$A$2:$A$8001,"&gt;="&amp;'إعدادات المخزون'!$B$5,'مبيعات يومية'!$A$2:$A$8001,"&lt;="&amp;'إعدادات المخزون'!$B$4)</f>
        <v>0</v>
      </c>
      <c r="G17" s="116" t="n">
        <f aca="false">SUMIFS('مبيعات يومية'!$D$2:$D$8001,'مبيعات يومية'!$C$2:$C$8001,$A17,'مبيعات يومية'!$B$2:$B$8001,'إعدادات المخزون'!$A$16,'مبيعات يومية'!$A$2:$A$8001,"&gt;"&amp;('إعدادات المخزون'!$B$4-'إعدادات المخزون'!$B$11),'مبيعات يومية'!$A$2:$A$8001,"&lt;="&amp;'إعدادات المخزون'!$B$4)</f>
        <v>0</v>
      </c>
      <c r="H17" s="116" t="n">
        <f aca="false">SUMIFS('مبيعات يومية'!$D$2:$D$8001,'مبيعات يومية'!$C$2:$C$8001,$A17,'مبيعات يومية'!$B$2:$B$8001,'إعدادات المخزون'!$A$17,'مبيعات يومية'!$A$2:$A$8001,'إعدادات المخزون'!$B$4)</f>
        <v>0</v>
      </c>
      <c r="I17" s="116" t="n">
        <f aca="false">SUMIFS('مبيعات يومية'!$D$2:$D$8001,'مبيعات يومية'!$C$2:$C$8001,$A17,'مبيعات يومية'!$B$2:$B$8001,'إعدادات المخزون'!$A$17,'مبيعات يومية'!$A$2:$A$8001,"&gt;="&amp;'إعدادات المخزون'!$B$5,'مبيعات يومية'!$A$2:$A$8001,"&lt;="&amp;'إعدادات المخزون'!$B$4)</f>
        <v>0</v>
      </c>
      <c r="J17" s="116" t="n">
        <f aca="false">SUMIFS('مبيعات يومية'!$D$2:$D$8001,'مبيعات يومية'!$C$2:$C$8001,$A17,'مبيعات يومية'!$B$2:$B$8001,'إعدادات المخزون'!$A$17,'مبيعات يومية'!$A$2:$A$8001,"&gt;"&amp;('إعدادات المخزون'!$B$4-'إعدادات المخزون'!$B$11),'مبيعات يومية'!$A$2:$A$8001,"&lt;="&amp;'إعدادات المخزون'!$B$4)</f>
        <v>0</v>
      </c>
    </row>
    <row r="18" customFormat="false" ht="15" hidden="false" customHeight="false" outlineLevel="0" collapsed="false">
      <c r="A18" s="114" t="str">
        <f aca="false">المنيو!B18</f>
        <v>بيتزا فراخ كريسبي شيدر وسط</v>
      </c>
      <c r="B18" s="116" t="n">
        <f aca="false">SUMIFS('مبيعات يومية'!$D$2:$D$8001,'مبيعات يومية'!$C$2:$C$8001,$A18,'مبيعات يومية'!$B$2:$B$8001,'إعدادات المخزون'!$A$15,'مبيعات يومية'!$A$2:$A$8001,'إعدادات المخزون'!$B$4)</f>
        <v>0</v>
      </c>
      <c r="C18" s="116" t="n">
        <f aca="false">SUMIFS('مبيعات يومية'!$D$2:$D$8001,'مبيعات يومية'!$C$2:$C$8001,$A18,'مبيعات يومية'!$B$2:$B$8001,'إعدادات المخزون'!$A$15,'مبيعات يومية'!$A$2:$A$8001,"&gt;="&amp;'إعدادات المخزون'!$B$5,'مبيعات يومية'!$A$2:$A$8001,"&lt;="&amp;'إعدادات المخزون'!$B$4)</f>
        <v>0</v>
      </c>
      <c r="D18" s="116" t="n">
        <f aca="false">SUMIFS('مبيعات يومية'!$D$2:$D$8001,'مبيعات يومية'!$C$2:$C$8001,$A18,'مبيعات يومية'!$B$2:$B$8001,'إعدادات المخزون'!$A$15,'مبيعات يومية'!$A$2:$A$8001,"&gt;"&amp;('إعدادات المخزون'!$B$4-'إعدادات المخزون'!$B$11),'مبيعات يومية'!$A$2:$A$8001,"&lt;="&amp;'إعدادات المخزون'!$B$4)</f>
        <v>0</v>
      </c>
      <c r="E18" s="116" t="n">
        <f aca="false">SUMIFS('مبيعات يومية'!$D$2:$D$8001,'مبيعات يومية'!$C$2:$C$8001,$A18,'مبيعات يومية'!$B$2:$B$8001,'إعدادات المخزون'!$A$16,'مبيعات يومية'!$A$2:$A$8001,'إعدادات المخزون'!$B$4)</f>
        <v>0</v>
      </c>
      <c r="F18" s="116" t="n">
        <f aca="false">SUMIFS('مبيعات يومية'!$D$2:$D$8001,'مبيعات يومية'!$C$2:$C$8001,$A18,'مبيعات يومية'!$B$2:$B$8001,'إعدادات المخزون'!$A$16,'مبيعات يومية'!$A$2:$A$8001,"&gt;="&amp;'إعدادات المخزون'!$B$5,'مبيعات يومية'!$A$2:$A$8001,"&lt;="&amp;'إعدادات المخزون'!$B$4)</f>
        <v>0</v>
      </c>
      <c r="G18" s="116" t="n">
        <f aca="false">SUMIFS('مبيعات يومية'!$D$2:$D$8001,'مبيعات يومية'!$C$2:$C$8001,$A18,'مبيعات يومية'!$B$2:$B$8001,'إعدادات المخزون'!$A$16,'مبيعات يومية'!$A$2:$A$8001,"&gt;"&amp;('إعدادات المخزون'!$B$4-'إعدادات المخزون'!$B$11),'مبيعات يومية'!$A$2:$A$8001,"&lt;="&amp;'إعدادات المخزون'!$B$4)</f>
        <v>0</v>
      </c>
      <c r="H18" s="116" t="n">
        <f aca="false">SUMIFS('مبيعات يومية'!$D$2:$D$8001,'مبيعات يومية'!$C$2:$C$8001,$A18,'مبيعات يومية'!$B$2:$B$8001,'إعدادات المخزون'!$A$17,'مبيعات يومية'!$A$2:$A$8001,'إعدادات المخزون'!$B$4)</f>
        <v>0</v>
      </c>
      <c r="I18" s="116" t="n">
        <f aca="false">SUMIFS('مبيعات يومية'!$D$2:$D$8001,'مبيعات يومية'!$C$2:$C$8001,$A18,'مبيعات يومية'!$B$2:$B$8001,'إعدادات المخزون'!$A$17,'مبيعات يومية'!$A$2:$A$8001,"&gt;="&amp;'إعدادات المخزون'!$B$5,'مبيعات يومية'!$A$2:$A$8001,"&lt;="&amp;'إعدادات المخزون'!$B$4)</f>
        <v>0</v>
      </c>
      <c r="J18" s="116" t="n">
        <f aca="false">SUMIFS('مبيعات يومية'!$D$2:$D$8001,'مبيعات يومية'!$C$2:$C$8001,$A18,'مبيعات يومية'!$B$2:$B$8001,'إعدادات المخزون'!$A$17,'مبيعات يومية'!$A$2:$A$8001,"&gt;"&amp;('إعدادات المخزون'!$B$4-'إعدادات المخزون'!$B$11),'مبيعات يومية'!$A$2:$A$8001,"&lt;="&amp;'إعدادات المخزون'!$B$4)</f>
        <v>0</v>
      </c>
    </row>
    <row r="19" customFormat="false" ht="15" hidden="false" customHeight="false" outlineLevel="0" collapsed="false">
      <c r="A19" s="114" t="str">
        <f aca="false">المنيو!B19</f>
        <v>بيتزا فراخ كريسبي شيدر حجم اكبر</v>
      </c>
      <c r="B19" s="116" t="n">
        <f aca="false">SUMIFS('مبيعات يومية'!$D$2:$D$8001,'مبيعات يومية'!$C$2:$C$8001,$A19,'مبيعات يومية'!$B$2:$B$8001,'إعدادات المخزون'!$A$15,'مبيعات يومية'!$A$2:$A$8001,'إعدادات المخزون'!$B$4)</f>
        <v>0</v>
      </c>
      <c r="C19" s="116" t="n">
        <f aca="false">SUMIFS('مبيعات يومية'!$D$2:$D$8001,'مبيعات يومية'!$C$2:$C$8001,$A19,'مبيعات يومية'!$B$2:$B$8001,'إعدادات المخزون'!$A$15,'مبيعات يومية'!$A$2:$A$8001,"&gt;="&amp;'إعدادات المخزون'!$B$5,'مبيعات يومية'!$A$2:$A$8001,"&lt;="&amp;'إعدادات المخزون'!$B$4)</f>
        <v>0</v>
      </c>
      <c r="D19" s="116" t="n">
        <f aca="false">SUMIFS('مبيعات يومية'!$D$2:$D$8001,'مبيعات يومية'!$C$2:$C$8001,$A19,'مبيعات يومية'!$B$2:$B$8001,'إعدادات المخزون'!$A$15,'مبيعات يومية'!$A$2:$A$8001,"&gt;"&amp;('إعدادات المخزون'!$B$4-'إعدادات المخزون'!$B$11),'مبيعات يومية'!$A$2:$A$8001,"&lt;="&amp;'إعدادات المخزون'!$B$4)</f>
        <v>0</v>
      </c>
      <c r="E19" s="116" t="n">
        <f aca="false">SUMIFS('مبيعات يومية'!$D$2:$D$8001,'مبيعات يومية'!$C$2:$C$8001,$A19,'مبيعات يومية'!$B$2:$B$8001,'إعدادات المخزون'!$A$16,'مبيعات يومية'!$A$2:$A$8001,'إعدادات المخزون'!$B$4)</f>
        <v>0</v>
      </c>
      <c r="F19" s="116" t="n">
        <f aca="false">SUMIFS('مبيعات يومية'!$D$2:$D$8001,'مبيعات يومية'!$C$2:$C$8001,$A19,'مبيعات يومية'!$B$2:$B$8001,'إعدادات المخزون'!$A$16,'مبيعات يومية'!$A$2:$A$8001,"&gt;="&amp;'إعدادات المخزون'!$B$5,'مبيعات يومية'!$A$2:$A$8001,"&lt;="&amp;'إعدادات المخزون'!$B$4)</f>
        <v>0</v>
      </c>
      <c r="G19" s="116" t="n">
        <f aca="false">SUMIFS('مبيعات يومية'!$D$2:$D$8001,'مبيعات يومية'!$C$2:$C$8001,$A19,'مبيعات يومية'!$B$2:$B$8001,'إعدادات المخزون'!$A$16,'مبيعات يومية'!$A$2:$A$8001,"&gt;"&amp;('إعدادات المخزون'!$B$4-'إعدادات المخزون'!$B$11),'مبيعات يومية'!$A$2:$A$8001,"&lt;="&amp;'إعدادات المخزون'!$B$4)</f>
        <v>0</v>
      </c>
      <c r="H19" s="116" t="n">
        <f aca="false">SUMIFS('مبيعات يومية'!$D$2:$D$8001,'مبيعات يومية'!$C$2:$C$8001,$A19,'مبيعات يومية'!$B$2:$B$8001,'إعدادات المخزون'!$A$17,'مبيعات يومية'!$A$2:$A$8001,'إعدادات المخزون'!$B$4)</f>
        <v>0</v>
      </c>
      <c r="I19" s="116" t="n">
        <f aca="false">SUMIFS('مبيعات يومية'!$D$2:$D$8001,'مبيعات يومية'!$C$2:$C$8001,$A19,'مبيعات يومية'!$B$2:$B$8001,'إعدادات المخزون'!$A$17,'مبيعات يومية'!$A$2:$A$8001,"&gt;="&amp;'إعدادات المخزون'!$B$5,'مبيعات يومية'!$A$2:$A$8001,"&lt;="&amp;'إعدادات المخزون'!$B$4)</f>
        <v>0</v>
      </c>
      <c r="J19" s="116" t="n">
        <f aca="false">SUMIFS('مبيعات يومية'!$D$2:$D$8001,'مبيعات يومية'!$C$2:$C$8001,$A19,'مبيعات يومية'!$B$2:$B$8001,'إعدادات المخزون'!$A$17,'مبيعات يومية'!$A$2:$A$8001,"&gt;"&amp;('إعدادات المخزون'!$B$4-'إعدادات المخزون'!$B$11),'مبيعات يومية'!$A$2:$A$8001,"&lt;="&amp;'إعدادات المخزون'!$B$4)</f>
        <v>0</v>
      </c>
    </row>
    <row r="20" customFormat="false" ht="15" hidden="false" customHeight="false" outlineLevel="0" collapsed="false">
      <c r="A20" s="114" t="str">
        <f aca="false">المنيو!B20</f>
        <v>بيتزا مشكل لحوم النكش وسط</v>
      </c>
      <c r="B20" s="116" t="n">
        <f aca="false">SUMIFS('مبيعات يومية'!$D$2:$D$8001,'مبيعات يومية'!$C$2:$C$8001,$A20,'مبيعات يومية'!$B$2:$B$8001,'إعدادات المخزون'!$A$15,'مبيعات يومية'!$A$2:$A$8001,'إعدادات المخزون'!$B$4)</f>
        <v>0</v>
      </c>
      <c r="C20" s="116" t="n">
        <f aca="false">SUMIFS('مبيعات يومية'!$D$2:$D$8001,'مبيعات يومية'!$C$2:$C$8001,$A20,'مبيعات يومية'!$B$2:$B$8001,'إعدادات المخزون'!$A$15,'مبيعات يومية'!$A$2:$A$8001,"&gt;="&amp;'إعدادات المخزون'!$B$5,'مبيعات يومية'!$A$2:$A$8001,"&lt;="&amp;'إعدادات المخزون'!$B$4)</f>
        <v>0</v>
      </c>
      <c r="D20" s="116" t="n">
        <f aca="false">SUMIFS('مبيعات يومية'!$D$2:$D$8001,'مبيعات يومية'!$C$2:$C$8001,$A20,'مبيعات يومية'!$B$2:$B$8001,'إعدادات المخزون'!$A$15,'مبيعات يومية'!$A$2:$A$8001,"&gt;"&amp;('إعدادات المخزون'!$B$4-'إعدادات المخزون'!$B$11),'مبيعات يومية'!$A$2:$A$8001,"&lt;="&amp;'إعدادات المخزون'!$B$4)</f>
        <v>0</v>
      </c>
      <c r="E20" s="116" t="n">
        <f aca="false">SUMIFS('مبيعات يومية'!$D$2:$D$8001,'مبيعات يومية'!$C$2:$C$8001,$A20,'مبيعات يومية'!$B$2:$B$8001,'إعدادات المخزون'!$A$16,'مبيعات يومية'!$A$2:$A$8001,'إعدادات المخزون'!$B$4)</f>
        <v>0</v>
      </c>
      <c r="F20" s="116" t="n">
        <f aca="false">SUMIFS('مبيعات يومية'!$D$2:$D$8001,'مبيعات يومية'!$C$2:$C$8001,$A20,'مبيعات يومية'!$B$2:$B$8001,'إعدادات المخزون'!$A$16,'مبيعات يومية'!$A$2:$A$8001,"&gt;="&amp;'إعدادات المخزون'!$B$5,'مبيعات يومية'!$A$2:$A$8001,"&lt;="&amp;'إعدادات المخزون'!$B$4)</f>
        <v>0</v>
      </c>
      <c r="G20" s="116" t="n">
        <f aca="false">SUMIFS('مبيعات يومية'!$D$2:$D$8001,'مبيعات يومية'!$C$2:$C$8001,$A20,'مبيعات يومية'!$B$2:$B$8001,'إعدادات المخزون'!$A$16,'مبيعات يومية'!$A$2:$A$8001,"&gt;"&amp;('إعدادات المخزون'!$B$4-'إعدادات المخزون'!$B$11),'مبيعات يومية'!$A$2:$A$8001,"&lt;="&amp;'إعدادات المخزون'!$B$4)</f>
        <v>0</v>
      </c>
      <c r="H20" s="116" t="n">
        <f aca="false">SUMIFS('مبيعات يومية'!$D$2:$D$8001,'مبيعات يومية'!$C$2:$C$8001,$A20,'مبيعات يومية'!$B$2:$B$8001,'إعدادات المخزون'!$A$17,'مبيعات يومية'!$A$2:$A$8001,'إعدادات المخزون'!$B$4)</f>
        <v>0</v>
      </c>
      <c r="I20" s="116" t="n">
        <f aca="false">SUMIFS('مبيعات يومية'!$D$2:$D$8001,'مبيعات يومية'!$C$2:$C$8001,$A20,'مبيعات يومية'!$B$2:$B$8001,'إعدادات المخزون'!$A$17,'مبيعات يومية'!$A$2:$A$8001,"&gt;="&amp;'إعدادات المخزون'!$B$5,'مبيعات يومية'!$A$2:$A$8001,"&lt;="&amp;'إعدادات المخزون'!$B$4)</f>
        <v>0</v>
      </c>
      <c r="J20" s="116" t="n">
        <f aca="false">SUMIFS('مبيعات يومية'!$D$2:$D$8001,'مبيعات يومية'!$C$2:$C$8001,$A20,'مبيعات يومية'!$B$2:$B$8001,'إعدادات المخزون'!$A$17,'مبيعات يومية'!$A$2:$A$8001,"&gt;"&amp;('إعدادات المخزون'!$B$4-'إعدادات المخزون'!$B$11),'مبيعات يومية'!$A$2:$A$8001,"&lt;="&amp;'إعدادات المخزون'!$B$4)</f>
        <v>0</v>
      </c>
    </row>
    <row r="21" customFormat="false" ht="15" hidden="false" customHeight="false" outlineLevel="0" collapsed="false">
      <c r="A21" s="114" t="str">
        <f aca="false">المنيو!B21</f>
        <v>بيتزا مشكل لحوم النكش حجم اكبر</v>
      </c>
      <c r="B21" s="116" t="n">
        <f aca="false">SUMIFS('مبيعات يومية'!$D$2:$D$8001,'مبيعات يومية'!$C$2:$C$8001,$A21,'مبيعات يومية'!$B$2:$B$8001,'إعدادات المخزون'!$A$15,'مبيعات يومية'!$A$2:$A$8001,'إعدادات المخزون'!$B$4)</f>
        <v>0</v>
      </c>
      <c r="C21" s="116" t="n">
        <f aca="false">SUMIFS('مبيعات يومية'!$D$2:$D$8001,'مبيعات يومية'!$C$2:$C$8001,$A21,'مبيعات يومية'!$B$2:$B$8001,'إعدادات المخزون'!$A$15,'مبيعات يومية'!$A$2:$A$8001,"&gt;="&amp;'إعدادات المخزون'!$B$5,'مبيعات يومية'!$A$2:$A$8001,"&lt;="&amp;'إعدادات المخزون'!$B$4)</f>
        <v>0</v>
      </c>
      <c r="D21" s="116" t="n">
        <f aca="false">SUMIFS('مبيعات يومية'!$D$2:$D$8001,'مبيعات يومية'!$C$2:$C$8001,$A21,'مبيعات يومية'!$B$2:$B$8001,'إعدادات المخزون'!$A$15,'مبيعات يومية'!$A$2:$A$8001,"&gt;"&amp;('إعدادات المخزون'!$B$4-'إعدادات المخزون'!$B$11),'مبيعات يومية'!$A$2:$A$8001,"&lt;="&amp;'إعدادات المخزون'!$B$4)</f>
        <v>0</v>
      </c>
      <c r="E21" s="116" t="n">
        <f aca="false">SUMIFS('مبيعات يومية'!$D$2:$D$8001,'مبيعات يومية'!$C$2:$C$8001,$A21,'مبيعات يومية'!$B$2:$B$8001,'إعدادات المخزون'!$A$16,'مبيعات يومية'!$A$2:$A$8001,'إعدادات المخزون'!$B$4)</f>
        <v>0</v>
      </c>
      <c r="F21" s="116" t="n">
        <f aca="false">SUMIFS('مبيعات يومية'!$D$2:$D$8001,'مبيعات يومية'!$C$2:$C$8001,$A21,'مبيعات يومية'!$B$2:$B$8001,'إعدادات المخزون'!$A$16,'مبيعات يومية'!$A$2:$A$8001,"&gt;="&amp;'إعدادات المخزون'!$B$5,'مبيعات يومية'!$A$2:$A$8001,"&lt;="&amp;'إعدادات المخزون'!$B$4)</f>
        <v>0</v>
      </c>
      <c r="G21" s="116" t="n">
        <f aca="false">SUMIFS('مبيعات يومية'!$D$2:$D$8001,'مبيعات يومية'!$C$2:$C$8001,$A21,'مبيعات يومية'!$B$2:$B$8001,'إعدادات المخزون'!$A$16,'مبيعات يومية'!$A$2:$A$8001,"&gt;"&amp;('إعدادات المخزون'!$B$4-'إعدادات المخزون'!$B$11),'مبيعات يومية'!$A$2:$A$8001,"&lt;="&amp;'إعدادات المخزون'!$B$4)</f>
        <v>0</v>
      </c>
      <c r="H21" s="116" t="n">
        <f aca="false">SUMIFS('مبيعات يومية'!$D$2:$D$8001,'مبيعات يومية'!$C$2:$C$8001,$A21,'مبيعات يومية'!$B$2:$B$8001,'إعدادات المخزون'!$A$17,'مبيعات يومية'!$A$2:$A$8001,'إعدادات المخزون'!$B$4)</f>
        <v>0</v>
      </c>
      <c r="I21" s="116" t="n">
        <f aca="false">SUMIFS('مبيعات يومية'!$D$2:$D$8001,'مبيعات يومية'!$C$2:$C$8001,$A21,'مبيعات يومية'!$B$2:$B$8001,'إعدادات المخزون'!$A$17,'مبيعات يومية'!$A$2:$A$8001,"&gt;="&amp;'إعدادات المخزون'!$B$5,'مبيعات يومية'!$A$2:$A$8001,"&lt;="&amp;'إعدادات المخزون'!$B$4)</f>
        <v>0</v>
      </c>
      <c r="J21" s="116" t="n">
        <f aca="false">SUMIFS('مبيعات يومية'!$D$2:$D$8001,'مبيعات يومية'!$C$2:$C$8001,$A21,'مبيعات يومية'!$B$2:$B$8001,'إعدادات المخزون'!$A$17,'مبيعات يومية'!$A$2:$A$8001,"&gt;"&amp;('إعدادات المخزون'!$B$4-'إعدادات المخزون'!$B$11),'مبيعات يومية'!$A$2:$A$8001,"&lt;="&amp;'إعدادات المخزون'!$B$4)</f>
        <v>0</v>
      </c>
    </row>
    <row r="22" customFormat="false" ht="15" hidden="false" customHeight="false" outlineLevel="0" collapsed="false">
      <c r="A22" s="114" t="str">
        <f aca="false">المنيو!B22</f>
        <v>بيتزا جمبري وسط</v>
      </c>
      <c r="B22" s="116" t="n">
        <f aca="false">SUMIFS('مبيعات يومية'!$D$2:$D$8001,'مبيعات يومية'!$C$2:$C$8001,$A22,'مبيعات يومية'!$B$2:$B$8001,'إعدادات المخزون'!$A$15,'مبيعات يومية'!$A$2:$A$8001,'إعدادات المخزون'!$B$4)</f>
        <v>0</v>
      </c>
      <c r="C22" s="116" t="n">
        <f aca="false">SUMIFS('مبيعات يومية'!$D$2:$D$8001,'مبيعات يومية'!$C$2:$C$8001,$A22,'مبيعات يومية'!$B$2:$B$8001,'إعدادات المخزون'!$A$15,'مبيعات يومية'!$A$2:$A$8001,"&gt;="&amp;'إعدادات المخزون'!$B$5,'مبيعات يومية'!$A$2:$A$8001,"&lt;="&amp;'إعدادات المخزون'!$B$4)</f>
        <v>0</v>
      </c>
      <c r="D22" s="116" t="n">
        <f aca="false">SUMIFS('مبيعات يومية'!$D$2:$D$8001,'مبيعات يومية'!$C$2:$C$8001,$A22,'مبيعات يومية'!$B$2:$B$8001,'إعدادات المخزون'!$A$15,'مبيعات يومية'!$A$2:$A$8001,"&gt;"&amp;('إعدادات المخزون'!$B$4-'إعدادات المخزون'!$B$11),'مبيعات يومية'!$A$2:$A$8001,"&lt;="&amp;'إعدادات المخزون'!$B$4)</f>
        <v>0</v>
      </c>
      <c r="E22" s="116" t="n">
        <f aca="false">SUMIFS('مبيعات يومية'!$D$2:$D$8001,'مبيعات يومية'!$C$2:$C$8001,$A22,'مبيعات يومية'!$B$2:$B$8001,'إعدادات المخزون'!$A$16,'مبيعات يومية'!$A$2:$A$8001,'إعدادات المخزون'!$B$4)</f>
        <v>0</v>
      </c>
      <c r="F22" s="116" t="n">
        <f aca="false">SUMIFS('مبيعات يومية'!$D$2:$D$8001,'مبيعات يومية'!$C$2:$C$8001,$A22,'مبيعات يومية'!$B$2:$B$8001,'إعدادات المخزون'!$A$16,'مبيعات يومية'!$A$2:$A$8001,"&gt;="&amp;'إعدادات المخزون'!$B$5,'مبيعات يومية'!$A$2:$A$8001,"&lt;="&amp;'إعدادات المخزون'!$B$4)</f>
        <v>0</v>
      </c>
      <c r="G22" s="116" t="n">
        <f aca="false">SUMIFS('مبيعات يومية'!$D$2:$D$8001,'مبيعات يومية'!$C$2:$C$8001,$A22,'مبيعات يومية'!$B$2:$B$8001,'إعدادات المخزون'!$A$16,'مبيعات يومية'!$A$2:$A$8001,"&gt;"&amp;('إعدادات المخزون'!$B$4-'إعدادات المخزون'!$B$11),'مبيعات يومية'!$A$2:$A$8001,"&lt;="&amp;'إعدادات المخزون'!$B$4)</f>
        <v>0</v>
      </c>
      <c r="H22" s="116" t="n">
        <f aca="false">SUMIFS('مبيعات يومية'!$D$2:$D$8001,'مبيعات يومية'!$C$2:$C$8001,$A22,'مبيعات يومية'!$B$2:$B$8001,'إعدادات المخزون'!$A$17,'مبيعات يومية'!$A$2:$A$8001,'إعدادات المخزون'!$B$4)</f>
        <v>0</v>
      </c>
      <c r="I22" s="116" t="n">
        <f aca="false">SUMIFS('مبيعات يومية'!$D$2:$D$8001,'مبيعات يومية'!$C$2:$C$8001,$A22,'مبيعات يومية'!$B$2:$B$8001,'إعدادات المخزون'!$A$17,'مبيعات يومية'!$A$2:$A$8001,"&gt;="&amp;'إعدادات المخزون'!$B$5,'مبيعات يومية'!$A$2:$A$8001,"&lt;="&amp;'إعدادات المخزون'!$B$4)</f>
        <v>0</v>
      </c>
      <c r="J22" s="116" t="n">
        <f aca="false">SUMIFS('مبيعات يومية'!$D$2:$D$8001,'مبيعات يومية'!$C$2:$C$8001,$A22,'مبيعات يومية'!$B$2:$B$8001,'إعدادات المخزون'!$A$17,'مبيعات يومية'!$A$2:$A$8001,"&gt;"&amp;('إعدادات المخزون'!$B$4-'إعدادات المخزون'!$B$11),'مبيعات يومية'!$A$2:$A$8001,"&lt;="&amp;'إعدادات المخزون'!$B$4)</f>
        <v>0</v>
      </c>
    </row>
    <row r="23" customFormat="false" ht="15" hidden="false" customHeight="false" outlineLevel="0" collapsed="false">
      <c r="A23" s="114" t="str">
        <f aca="false">المنيو!B23</f>
        <v>بيتزا جمبري حجم اكبر</v>
      </c>
      <c r="B23" s="116" t="n">
        <f aca="false">SUMIFS('مبيعات يومية'!$D$2:$D$8001,'مبيعات يومية'!$C$2:$C$8001,$A23,'مبيعات يومية'!$B$2:$B$8001,'إعدادات المخزون'!$A$15,'مبيعات يومية'!$A$2:$A$8001,'إعدادات المخزون'!$B$4)</f>
        <v>0</v>
      </c>
      <c r="C23" s="116" t="n">
        <f aca="false">SUMIFS('مبيعات يومية'!$D$2:$D$8001,'مبيعات يومية'!$C$2:$C$8001,$A23,'مبيعات يومية'!$B$2:$B$8001,'إعدادات المخزون'!$A$15,'مبيعات يومية'!$A$2:$A$8001,"&gt;="&amp;'إعدادات المخزون'!$B$5,'مبيعات يومية'!$A$2:$A$8001,"&lt;="&amp;'إعدادات المخزون'!$B$4)</f>
        <v>0</v>
      </c>
      <c r="D23" s="116" t="n">
        <f aca="false">SUMIFS('مبيعات يومية'!$D$2:$D$8001,'مبيعات يومية'!$C$2:$C$8001,$A23,'مبيعات يومية'!$B$2:$B$8001,'إعدادات المخزون'!$A$15,'مبيعات يومية'!$A$2:$A$8001,"&gt;"&amp;('إعدادات المخزون'!$B$4-'إعدادات المخزون'!$B$11),'مبيعات يومية'!$A$2:$A$8001,"&lt;="&amp;'إعدادات المخزون'!$B$4)</f>
        <v>0</v>
      </c>
      <c r="E23" s="116" t="n">
        <f aca="false">SUMIFS('مبيعات يومية'!$D$2:$D$8001,'مبيعات يومية'!$C$2:$C$8001,$A23,'مبيعات يومية'!$B$2:$B$8001,'إعدادات المخزون'!$A$16,'مبيعات يومية'!$A$2:$A$8001,'إعدادات المخزون'!$B$4)</f>
        <v>0</v>
      </c>
      <c r="F23" s="116" t="n">
        <f aca="false">SUMIFS('مبيعات يومية'!$D$2:$D$8001,'مبيعات يومية'!$C$2:$C$8001,$A23,'مبيعات يومية'!$B$2:$B$8001,'إعدادات المخزون'!$A$16,'مبيعات يومية'!$A$2:$A$8001,"&gt;="&amp;'إعدادات المخزون'!$B$5,'مبيعات يومية'!$A$2:$A$8001,"&lt;="&amp;'إعدادات المخزون'!$B$4)</f>
        <v>0</v>
      </c>
      <c r="G23" s="116" t="n">
        <f aca="false">SUMIFS('مبيعات يومية'!$D$2:$D$8001,'مبيعات يومية'!$C$2:$C$8001,$A23,'مبيعات يومية'!$B$2:$B$8001,'إعدادات المخزون'!$A$16,'مبيعات يومية'!$A$2:$A$8001,"&gt;"&amp;('إعدادات المخزون'!$B$4-'إعدادات المخزون'!$B$11),'مبيعات يومية'!$A$2:$A$8001,"&lt;="&amp;'إعدادات المخزون'!$B$4)</f>
        <v>0</v>
      </c>
      <c r="H23" s="116" t="n">
        <f aca="false">SUMIFS('مبيعات يومية'!$D$2:$D$8001,'مبيعات يومية'!$C$2:$C$8001,$A23,'مبيعات يومية'!$B$2:$B$8001,'إعدادات المخزون'!$A$17,'مبيعات يومية'!$A$2:$A$8001,'إعدادات المخزون'!$B$4)</f>
        <v>0</v>
      </c>
      <c r="I23" s="116" t="n">
        <f aca="false">SUMIFS('مبيعات يومية'!$D$2:$D$8001,'مبيعات يومية'!$C$2:$C$8001,$A23,'مبيعات يومية'!$B$2:$B$8001,'إعدادات المخزون'!$A$17,'مبيعات يومية'!$A$2:$A$8001,"&gt;="&amp;'إعدادات المخزون'!$B$5,'مبيعات يومية'!$A$2:$A$8001,"&lt;="&amp;'إعدادات المخزون'!$B$4)</f>
        <v>0</v>
      </c>
      <c r="J23" s="116" t="n">
        <f aca="false">SUMIFS('مبيعات يومية'!$D$2:$D$8001,'مبيعات يومية'!$C$2:$C$8001,$A23,'مبيعات يومية'!$B$2:$B$8001,'إعدادات المخزون'!$A$17,'مبيعات يومية'!$A$2:$A$8001,"&gt;"&amp;('إعدادات المخزون'!$B$4-'إعدادات المخزون'!$B$11),'مبيعات يومية'!$A$2:$A$8001,"&lt;="&amp;'إعدادات المخزون'!$B$4)</f>
        <v>0</v>
      </c>
    </row>
    <row r="24" customFormat="false" ht="15" hidden="false" customHeight="false" outlineLevel="0" collapsed="false">
      <c r="A24" s="114" t="str">
        <f aca="false">المنيو!B24</f>
        <v>فطيرة سدق وسط</v>
      </c>
      <c r="B24" s="116" t="n">
        <f aca="false">SUMIFS('مبيعات يومية'!$D$2:$D$8001,'مبيعات يومية'!$C$2:$C$8001,$A24,'مبيعات يومية'!$B$2:$B$8001,'إعدادات المخزون'!$A$15,'مبيعات يومية'!$A$2:$A$8001,'إعدادات المخزون'!$B$4)</f>
        <v>0</v>
      </c>
      <c r="C24" s="116" t="n">
        <f aca="false">SUMIFS('مبيعات يومية'!$D$2:$D$8001,'مبيعات يومية'!$C$2:$C$8001,$A24,'مبيعات يومية'!$B$2:$B$8001,'إعدادات المخزون'!$A$15,'مبيعات يومية'!$A$2:$A$8001,"&gt;="&amp;'إعدادات المخزون'!$B$5,'مبيعات يومية'!$A$2:$A$8001,"&lt;="&amp;'إعدادات المخزون'!$B$4)</f>
        <v>0</v>
      </c>
      <c r="D24" s="116" t="n">
        <f aca="false">SUMIFS('مبيعات يومية'!$D$2:$D$8001,'مبيعات يومية'!$C$2:$C$8001,$A24,'مبيعات يومية'!$B$2:$B$8001,'إعدادات المخزون'!$A$15,'مبيعات يومية'!$A$2:$A$8001,"&gt;"&amp;('إعدادات المخزون'!$B$4-'إعدادات المخزون'!$B$11),'مبيعات يومية'!$A$2:$A$8001,"&lt;="&amp;'إعدادات المخزون'!$B$4)</f>
        <v>0</v>
      </c>
      <c r="E24" s="116" t="n">
        <f aca="false">SUMIFS('مبيعات يومية'!$D$2:$D$8001,'مبيعات يومية'!$C$2:$C$8001,$A24,'مبيعات يومية'!$B$2:$B$8001,'إعدادات المخزون'!$A$16,'مبيعات يومية'!$A$2:$A$8001,'إعدادات المخزون'!$B$4)</f>
        <v>0</v>
      </c>
      <c r="F24" s="116" t="n">
        <f aca="false">SUMIFS('مبيعات يومية'!$D$2:$D$8001,'مبيعات يومية'!$C$2:$C$8001,$A24,'مبيعات يومية'!$B$2:$B$8001,'إعدادات المخزون'!$A$16,'مبيعات يومية'!$A$2:$A$8001,"&gt;="&amp;'إعدادات المخزون'!$B$5,'مبيعات يومية'!$A$2:$A$8001,"&lt;="&amp;'إعدادات المخزون'!$B$4)</f>
        <v>0</v>
      </c>
      <c r="G24" s="116" t="n">
        <f aca="false">SUMIFS('مبيعات يومية'!$D$2:$D$8001,'مبيعات يومية'!$C$2:$C$8001,$A24,'مبيعات يومية'!$B$2:$B$8001,'إعدادات المخزون'!$A$16,'مبيعات يومية'!$A$2:$A$8001,"&gt;"&amp;('إعدادات المخزون'!$B$4-'إعدادات المخزون'!$B$11),'مبيعات يومية'!$A$2:$A$8001,"&lt;="&amp;'إعدادات المخزون'!$B$4)</f>
        <v>0</v>
      </c>
      <c r="H24" s="116" t="n">
        <f aca="false">SUMIFS('مبيعات يومية'!$D$2:$D$8001,'مبيعات يومية'!$C$2:$C$8001,$A24,'مبيعات يومية'!$B$2:$B$8001,'إعدادات المخزون'!$A$17,'مبيعات يومية'!$A$2:$A$8001,'إعدادات المخزون'!$B$4)</f>
        <v>0</v>
      </c>
      <c r="I24" s="116" t="n">
        <f aca="false">SUMIFS('مبيعات يومية'!$D$2:$D$8001,'مبيعات يومية'!$C$2:$C$8001,$A24,'مبيعات يومية'!$B$2:$B$8001,'إعدادات المخزون'!$A$17,'مبيعات يومية'!$A$2:$A$8001,"&gt;="&amp;'إعدادات المخزون'!$B$5,'مبيعات يومية'!$A$2:$A$8001,"&lt;="&amp;'إعدادات المخزون'!$B$4)</f>
        <v>0</v>
      </c>
      <c r="J24" s="116" t="n">
        <f aca="false">SUMIFS('مبيعات يومية'!$D$2:$D$8001,'مبيعات يومية'!$C$2:$C$8001,$A24,'مبيعات يومية'!$B$2:$B$8001,'إعدادات المخزون'!$A$17,'مبيعات يومية'!$A$2:$A$8001,"&gt;"&amp;('إعدادات المخزون'!$B$4-'إعدادات المخزون'!$B$11),'مبيعات يومية'!$A$2:$A$8001,"&lt;="&amp;'إعدادات المخزون'!$B$4)</f>
        <v>0</v>
      </c>
    </row>
    <row r="25" customFormat="false" ht="15" hidden="false" customHeight="false" outlineLevel="0" collapsed="false">
      <c r="A25" s="114" t="str">
        <f aca="false">المنيو!B25</f>
        <v>فطيرة سدق حجم اكبر</v>
      </c>
      <c r="B25" s="116" t="n">
        <f aca="false">SUMIFS('مبيعات يومية'!$D$2:$D$8001,'مبيعات يومية'!$C$2:$C$8001,$A25,'مبيعات يومية'!$B$2:$B$8001,'إعدادات المخزون'!$A$15,'مبيعات يومية'!$A$2:$A$8001,'إعدادات المخزون'!$B$4)</f>
        <v>0</v>
      </c>
      <c r="C25" s="116" t="n">
        <f aca="false">SUMIFS('مبيعات يومية'!$D$2:$D$8001,'مبيعات يومية'!$C$2:$C$8001,$A25,'مبيعات يومية'!$B$2:$B$8001,'إعدادات المخزون'!$A$15,'مبيعات يومية'!$A$2:$A$8001,"&gt;="&amp;'إعدادات المخزون'!$B$5,'مبيعات يومية'!$A$2:$A$8001,"&lt;="&amp;'إعدادات المخزون'!$B$4)</f>
        <v>0</v>
      </c>
      <c r="D25" s="116" t="n">
        <f aca="false">SUMIFS('مبيعات يومية'!$D$2:$D$8001,'مبيعات يومية'!$C$2:$C$8001,$A25,'مبيعات يومية'!$B$2:$B$8001,'إعدادات المخزون'!$A$15,'مبيعات يومية'!$A$2:$A$8001,"&gt;"&amp;('إعدادات المخزون'!$B$4-'إعدادات المخزون'!$B$11),'مبيعات يومية'!$A$2:$A$8001,"&lt;="&amp;'إعدادات المخزون'!$B$4)</f>
        <v>0</v>
      </c>
      <c r="E25" s="116" t="n">
        <f aca="false">SUMIFS('مبيعات يومية'!$D$2:$D$8001,'مبيعات يومية'!$C$2:$C$8001,$A25,'مبيعات يومية'!$B$2:$B$8001,'إعدادات المخزون'!$A$16,'مبيعات يومية'!$A$2:$A$8001,'إعدادات المخزون'!$B$4)</f>
        <v>0</v>
      </c>
      <c r="F25" s="116" t="n">
        <f aca="false">SUMIFS('مبيعات يومية'!$D$2:$D$8001,'مبيعات يومية'!$C$2:$C$8001,$A25,'مبيعات يومية'!$B$2:$B$8001,'إعدادات المخزون'!$A$16,'مبيعات يومية'!$A$2:$A$8001,"&gt;="&amp;'إعدادات المخزون'!$B$5,'مبيعات يومية'!$A$2:$A$8001,"&lt;="&amp;'إعدادات المخزون'!$B$4)</f>
        <v>0</v>
      </c>
      <c r="G25" s="116" t="n">
        <f aca="false">SUMIFS('مبيعات يومية'!$D$2:$D$8001,'مبيعات يومية'!$C$2:$C$8001,$A25,'مبيعات يومية'!$B$2:$B$8001,'إعدادات المخزون'!$A$16,'مبيعات يومية'!$A$2:$A$8001,"&gt;"&amp;('إعدادات المخزون'!$B$4-'إعدادات المخزون'!$B$11),'مبيعات يومية'!$A$2:$A$8001,"&lt;="&amp;'إعدادات المخزون'!$B$4)</f>
        <v>0</v>
      </c>
      <c r="H25" s="116" t="n">
        <f aca="false">SUMIFS('مبيعات يومية'!$D$2:$D$8001,'مبيعات يومية'!$C$2:$C$8001,$A25,'مبيعات يومية'!$B$2:$B$8001,'إعدادات المخزون'!$A$17,'مبيعات يومية'!$A$2:$A$8001,'إعدادات المخزون'!$B$4)</f>
        <v>0</v>
      </c>
      <c r="I25" s="116" t="n">
        <f aca="false">SUMIFS('مبيعات يومية'!$D$2:$D$8001,'مبيعات يومية'!$C$2:$C$8001,$A25,'مبيعات يومية'!$B$2:$B$8001,'إعدادات المخزون'!$A$17,'مبيعات يومية'!$A$2:$A$8001,"&gt;="&amp;'إعدادات المخزون'!$B$5,'مبيعات يومية'!$A$2:$A$8001,"&lt;="&amp;'إعدادات المخزون'!$B$4)</f>
        <v>0</v>
      </c>
      <c r="J25" s="116" t="n">
        <f aca="false">SUMIFS('مبيعات يومية'!$D$2:$D$8001,'مبيعات يومية'!$C$2:$C$8001,$A25,'مبيعات يومية'!$B$2:$B$8001,'إعدادات المخزون'!$A$17,'مبيعات يومية'!$A$2:$A$8001,"&gt;"&amp;('إعدادات المخزون'!$B$4-'إعدادات المخزون'!$B$11),'مبيعات يومية'!$A$2:$A$8001,"&lt;="&amp;'إعدادات المخزون'!$B$4)</f>
        <v>0</v>
      </c>
    </row>
    <row r="26" customFormat="false" ht="15" hidden="false" customHeight="false" outlineLevel="0" collapsed="false">
      <c r="A26" s="114" t="str">
        <f aca="false">المنيو!B26</f>
        <v>فطيرة بسطرمة وسط</v>
      </c>
      <c r="B26" s="116" t="n">
        <f aca="false">SUMIFS('مبيعات يومية'!$D$2:$D$8001,'مبيعات يومية'!$C$2:$C$8001,$A26,'مبيعات يومية'!$B$2:$B$8001,'إعدادات المخزون'!$A$15,'مبيعات يومية'!$A$2:$A$8001,'إعدادات المخزون'!$B$4)</f>
        <v>0</v>
      </c>
      <c r="C26" s="116" t="n">
        <f aca="false">SUMIFS('مبيعات يومية'!$D$2:$D$8001,'مبيعات يومية'!$C$2:$C$8001,$A26,'مبيعات يومية'!$B$2:$B$8001,'إعدادات المخزون'!$A$15,'مبيعات يومية'!$A$2:$A$8001,"&gt;="&amp;'إعدادات المخزون'!$B$5,'مبيعات يومية'!$A$2:$A$8001,"&lt;="&amp;'إعدادات المخزون'!$B$4)</f>
        <v>0</v>
      </c>
      <c r="D26" s="116" t="n">
        <f aca="false">SUMIFS('مبيعات يومية'!$D$2:$D$8001,'مبيعات يومية'!$C$2:$C$8001,$A26,'مبيعات يومية'!$B$2:$B$8001,'إعدادات المخزون'!$A$15,'مبيعات يومية'!$A$2:$A$8001,"&gt;"&amp;('إعدادات المخزون'!$B$4-'إعدادات المخزون'!$B$11),'مبيعات يومية'!$A$2:$A$8001,"&lt;="&amp;'إعدادات المخزون'!$B$4)</f>
        <v>0</v>
      </c>
      <c r="E26" s="116" t="n">
        <f aca="false">SUMIFS('مبيعات يومية'!$D$2:$D$8001,'مبيعات يومية'!$C$2:$C$8001,$A26,'مبيعات يومية'!$B$2:$B$8001,'إعدادات المخزون'!$A$16,'مبيعات يومية'!$A$2:$A$8001,'إعدادات المخزون'!$B$4)</f>
        <v>0</v>
      </c>
      <c r="F26" s="116" t="n">
        <f aca="false">SUMIFS('مبيعات يومية'!$D$2:$D$8001,'مبيعات يومية'!$C$2:$C$8001,$A26,'مبيعات يومية'!$B$2:$B$8001,'إعدادات المخزون'!$A$16,'مبيعات يومية'!$A$2:$A$8001,"&gt;="&amp;'إعدادات المخزون'!$B$5,'مبيعات يومية'!$A$2:$A$8001,"&lt;="&amp;'إعدادات المخزون'!$B$4)</f>
        <v>0</v>
      </c>
      <c r="G26" s="116" t="n">
        <f aca="false">SUMIFS('مبيعات يومية'!$D$2:$D$8001,'مبيعات يومية'!$C$2:$C$8001,$A26,'مبيعات يومية'!$B$2:$B$8001,'إعدادات المخزون'!$A$16,'مبيعات يومية'!$A$2:$A$8001,"&gt;"&amp;('إعدادات المخزون'!$B$4-'إعدادات المخزون'!$B$11),'مبيعات يومية'!$A$2:$A$8001,"&lt;="&amp;'إعدادات المخزون'!$B$4)</f>
        <v>0</v>
      </c>
      <c r="H26" s="116" t="n">
        <f aca="false">SUMIFS('مبيعات يومية'!$D$2:$D$8001,'مبيعات يومية'!$C$2:$C$8001,$A26,'مبيعات يومية'!$B$2:$B$8001,'إعدادات المخزون'!$A$17,'مبيعات يومية'!$A$2:$A$8001,'إعدادات المخزون'!$B$4)</f>
        <v>0</v>
      </c>
      <c r="I26" s="116" t="n">
        <f aca="false">SUMIFS('مبيعات يومية'!$D$2:$D$8001,'مبيعات يومية'!$C$2:$C$8001,$A26,'مبيعات يومية'!$B$2:$B$8001,'إعدادات المخزون'!$A$17,'مبيعات يومية'!$A$2:$A$8001,"&gt;="&amp;'إعدادات المخزون'!$B$5,'مبيعات يومية'!$A$2:$A$8001,"&lt;="&amp;'إعدادات المخزون'!$B$4)</f>
        <v>0</v>
      </c>
      <c r="J26" s="116" t="n">
        <f aca="false">SUMIFS('مبيعات يومية'!$D$2:$D$8001,'مبيعات يومية'!$C$2:$C$8001,$A26,'مبيعات يومية'!$B$2:$B$8001,'إعدادات المخزون'!$A$17,'مبيعات يومية'!$A$2:$A$8001,"&gt;"&amp;('إعدادات المخزون'!$B$4-'إعدادات المخزون'!$B$11),'مبيعات يومية'!$A$2:$A$8001,"&lt;="&amp;'إعدادات المخزون'!$B$4)</f>
        <v>0</v>
      </c>
    </row>
    <row r="27" customFormat="false" ht="15" hidden="false" customHeight="false" outlineLevel="0" collapsed="false">
      <c r="A27" s="114" t="str">
        <f aca="false">المنيو!B27</f>
        <v>فطيرة بسطرمة حجم اكبر</v>
      </c>
      <c r="B27" s="116" t="n">
        <f aca="false">SUMIFS('مبيعات يومية'!$D$2:$D$8001,'مبيعات يومية'!$C$2:$C$8001,$A27,'مبيعات يومية'!$B$2:$B$8001,'إعدادات المخزون'!$A$15,'مبيعات يومية'!$A$2:$A$8001,'إعدادات المخزون'!$B$4)</f>
        <v>0</v>
      </c>
      <c r="C27" s="116" t="n">
        <f aca="false">SUMIFS('مبيعات يومية'!$D$2:$D$8001,'مبيعات يومية'!$C$2:$C$8001,$A27,'مبيعات يومية'!$B$2:$B$8001,'إعدادات المخزون'!$A$15,'مبيعات يومية'!$A$2:$A$8001,"&gt;="&amp;'إعدادات المخزون'!$B$5,'مبيعات يومية'!$A$2:$A$8001,"&lt;="&amp;'إعدادات المخزون'!$B$4)</f>
        <v>0</v>
      </c>
      <c r="D27" s="116" t="n">
        <f aca="false">SUMIFS('مبيعات يومية'!$D$2:$D$8001,'مبيعات يومية'!$C$2:$C$8001,$A27,'مبيعات يومية'!$B$2:$B$8001,'إعدادات المخزون'!$A$15,'مبيعات يومية'!$A$2:$A$8001,"&gt;"&amp;('إعدادات المخزون'!$B$4-'إعدادات المخزون'!$B$11),'مبيعات يومية'!$A$2:$A$8001,"&lt;="&amp;'إعدادات المخزون'!$B$4)</f>
        <v>0</v>
      </c>
      <c r="E27" s="116" t="n">
        <f aca="false">SUMIFS('مبيعات يومية'!$D$2:$D$8001,'مبيعات يومية'!$C$2:$C$8001,$A27,'مبيعات يومية'!$B$2:$B$8001,'إعدادات المخزون'!$A$16,'مبيعات يومية'!$A$2:$A$8001,'إعدادات المخزون'!$B$4)</f>
        <v>0</v>
      </c>
      <c r="F27" s="116" t="n">
        <f aca="false">SUMIFS('مبيعات يومية'!$D$2:$D$8001,'مبيعات يومية'!$C$2:$C$8001,$A27,'مبيعات يومية'!$B$2:$B$8001,'إعدادات المخزون'!$A$16,'مبيعات يومية'!$A$2:$A$8001,"&gt;="&amp;'إعدادات المخزون'!$B$5,'مبيعات يومية'!$A$2:$A$8001,"&lt;="&amp;'إعدادات المخزون'!$B$4)</f>
        <v>0</v>
      </c>
      <c r="G27" s="116" t="n">
        <f aca="false">SUMIFS('مبيعات يومية'!$D$2:$D$8001,'مبيعات يومية'!$C$2:$C$8001,$A27,'مبيعات يومية'!$B$2:$B$8001,'إعدادات المخزون'!$A$16,'مبيعات يومية'!$A$2:$A$8001,"&gt;"&amp;('إعدادات المخزون'!$B$4-'إعدادات المخزون'!$B$11),'مبيعات يومية'!$A$2:$A$8001,"&lt;="&amp;'إعدادات المخزون'!$B$4)</f>
        <v>0</v>
      </c>
      <c r="H27" s="116" t="n">
        <f aca="false">SUMIFS('مبيعات يومية'!$D$2:$D$8001,'مبيعات يومية'!$C$2:$C$8001,$A27,'مبيعات يومية'!$B$2:$B$8001,'إعدادات المخزون'!$A$17,'مبيعات يومية'!$A$2:$A$8001,'إعدادات المخزون'!$B$4)</f>
        <v>0</v>
      </c>
      <c r="I27" s="116" t="n">
        <f aca="false">SUMIFS('مبيعات يومية'!$D$2:$D$8001,'مبيعات يومية'!$C$2:$C$8001,$A27,'مبيعات يومية'!$B$2:$B$8001,'إعدادات المخزون'!$A$17,'مبيعات يومية'!$A$2:$A$8001,"&gt;="&amp;'إعدادات المخزون'!$B$5,'مبيعات يومية'!$A$2:$A$8001,"&lt;="&amp;'إعدادات المخزون'!$B$4)</f>
        <v>0</v>
      </c>
      <c r="J27" s="116" t="n">
        <f aca="false">SUMIFS('مبيعات يومية'!$D$2:$D$8001,'مبيعات يومية'!$C$2:$C$8001,$A27,'مبيعات يومية'!$B$2:$B$8001,'إعدادات المخزون'!$A$17,'مبيعات يومية'!$A$2:$A$8001,"&gt;"&amp;('إعدادات المخزون'!$B$4-'إعدادات المخزون'!$B$11),'مبيعات يومية'!$A$2:$A$8001,"&lt;="&amp;'إعدادات المخزون'!$B$4)</f>
        <v>0</v>
      </c>
    </row>
    <row r="28" customFormat="false" ht="15" hidden="false" customHeight="false" outlineLevel="0" collapsed="false">
      <c r="A28" s="114" t="str">
        <f aca="false">المنيو!B28</f>
        <v>فطيرة ميكس بسطرمة وسدق بالكيري وسط</v>
      </c>
      <c r="B28" s="116" t="n">
        <f aca="false">SUMIFS('مبيعات يومية'!$D$2:$D$8001,'مبيعات يومية'!$C$2:$C$8001,$A28,'مبيعات يومية'!$B$2:$B$8001,'إعدادات المخزون'!$A$15,'مبيعات يومية'!$A$2:$A$8001,'إعدادات المخزون'!$B$4)</f>
        <v>0</v>
      </c>
      <c r="C28" s="116" t="n">
        <f aca="false">SUMIFS('مبيعات يومية'!$D$2:$D$8001,'مبيعات يومية'!$C$2:$C$8001,$A28,'مبيعات يومية'!$B$2:$B$8001,'إعدادات المخزون'!$A$15,'مبيعات يومية'!$A$2:$A$8001,"&gt;="&amp;'إعدادات المخزون'!$B$5,'مبيعات يومية'!$A$2:$A$8001,"&lt;="&amp;'إعدادات المخزون'!$B$4)</f>
        <v>0</v>
      </c>
      <c r="D28" s="116" t="n">
        <f aca="false">SUMIFS('مبيعات يومية'!$D$2:$D$8001,'مبيعات يومية'!$C$2:$C$8001,$A28,'مبيعات يومية'!$B$2:$B$8001,'إعدادات المخزون'!$A$15,'مبيعات يومية'!$A$2:$A$8001,"&gt;"&amp;('إعدادات المخزون'!$B$4-'إعدادات المخزون'!$B$11),'مبيعات يومية'!$A$2:$A$8001,"&lt;="&amp;'إعدادات المخزون'!$B$4)</f>
        <v>0</v>
      </c>
      <c r="E28" s="116" t="n">
        <f aca="false">SUMIFS('مبيعات يومية'!$D$2:$D$8001,'مبيعات يومية'!$C$2:$C$8001,$A28,'مبيعات يومية'!$B$2:$B$8001,'إعدادات المخزون'!$A$16,'مبيعات يومية'!$A$2:$A$8001,'إعدادات المخزون'!$B$4)</f>
        <v>0</v>
      </c>
      <c r="F28" s="116" t="n">
        <f aca="false">SUMIFS('مبيعات يومية'!$D$2:$D$8001,'مبيعات يومية'!$C$2:$C$8001,$A28,'مبيعات يومية'!$B$2:$B$8001,'إعدادات المخزون'!$A$16,'مبيعات يومية'!$A$2:$A$8001,"&gt;="&amp;'إعدادات المخزون'!$B$5,'مبيعات يومية'!$A$2:$A$8001,"&lt;="&amp;'إعدادات المخزون'!$B$4)</f>
        <v>0</v>
      </c>
      <c r="G28" s="116" t="n">
        <f aca="false">SUMIFS('مبيعات يومية'!$D$2:$D$8001,'مبيعات يومية'!$C$2:$C$8001,$A28,'مبيعات يومية'!$B$2:$B$8001,'إعدادات المخزون'!$A$16,'مبيعات يومية'!$A$2:$A$8001,"&gt;"&amp;('إعدادات المخزون'!$B$4-'إعدادات المخزون'!$B$11),'مبيعات يومية'!$A$2:$A$8001,"&lt;="&amp;'إعدادات المخزون'!$B$4)</f>
        <v>0</v>
      </c>
      <c r="H28" s="116" t="n">
        <f aca="false">SUMIFS('مبيعات يومية'!$D$2:$D$8001,'مبيعات يومية'!$C$2:$C$8001,$A28,'مبيعات يومية'!$B$2:$B$8001,'إعدادات المخزون'!$A$17,'مبيعات يومية'!$A$2:$A$8001,'إعدادات المخزون'!$B$4)</f>
        <v>0</v>
      </c>
      <c r="I28" s="116" t="n">
        <f aca="false">SUMIFS('مبيعات يومية'!$D$2:$D$8001,'مبيعات يومية'!$C$2:$C$8001,$A28,'مبيعات يومية'!$B$2:$B$8001,'إعدادات المخزون'!$A$17,'مبيعات يومية'!$A$2:$A$8001,"&gt;="&amp;'إعدادات المخزون'!$B$5,'مبيعات يومية'!$A$2:$A$8001,"&lt;="&amp;'إعدادات المخزون'!$B$4)</f>
        <v>0</v>
      </c>
      <c r="J28" s="116" t="n">
        <f aca="false">SUMIFS('مبيعات يومية'!$D$2:$D$8001,'مبيعات يومية'!$C$2:$C$8001,$A28,'مبيعات يومية'!$B$2:$B$8001,'إعدادات المخزون'!$A$17,'مبيعات يومية'!$A$2:$A$8001,"&gt;"&amp;('إعدادات المخزون'!$B$4-'إعدادات المخزون'!$B$11),'مبيعات يومية'!$A$2:$A$8001,"&lt;="&amp;'إعدادات المخزون'!$B$4)</f>
        <v>0</v>
      </c>
    </row>
    <row r="29" customFormat="false" ht="15" hidden="false" customHeight="false" outlineLevel="0" collapsed="false">
      <c r="A29" s="114" t="str">
        <f aca="false">المنيو!B29</f>
        <v>فطيرة ميكس بسطرمة وسدق بالكيري حجم اكبر</v>
      </c>
      <c r="B29" s="116" t="n">
        <f aca="false">SUMIFS('مبيعات يومية'!$D$2:$D$8001,'مبيعات يومية'!$C$2:$C$8001,$A29,'مبيعات يومية'!$B$2:$B$8001,'إعدادات المخزون'!$A$15,'مبيعات يومية'!$A$2:$A$8001,'إعدادات المخزون'!$B$4)</f>
        <v>0</v>
      </c>
      <c r="C29" s="116" t="n">
        <f aca="false">SUMIFS('مبيعات يومية'!$D$2:$D$8001,'مبيعات يومية'!$C$2:$C$8001,$A29,'مبيعات يومية'!$B$2:$B$8001,'إعدادات المخزون'!$A$15,'مبيعات يومية'!$A$2:$A$8001,"&gt;="&amp;'إعدادات المخزون'!$B$5,'مبيعات يومية'!$A$2:$A$8001,"&lt;="&amp;'إعدادات المخزون'!$B$4)</f>
        <v>0</v>
      </c>
      <c r="D29" s="116" t="n">
        <f aca="false">SUMIFS('مبيعات يومية'!$D$2:$D$8001,'مبيعات يومية'!$C$2:$C$8001,$A29,'مبيعات يومية'!$B$2:$B$8001,'إعدادات المخزون'!$A$15,'مبيعات يومية'!$A$2:$A$8001,"&gt;"&amp;('إعدادات المخزون'!$B$4-'إعدادات المخزون'!$B$11),'مبيعات يومية'!$A$2:$A$8001,"&lt;="&amp;'إعدادات المخزون'!$B$4)</f>
        <v>0</v>
      </c>
      <c r="E29" s="116" t="n">
        <f aca="false">SUMIFS('مبيعات يومية'!$D$2:$D$8001,'مبيعات يومية'!$C$2:$C$8001,$A29,'مبيعات يومية'!$B$2:$B$8001,'إعدادات المخزون'!$A$16,'مبيعات يومية'!$A$2:$A$8001,'إعدادات المخزون'!$B$4)</f>
        <v>0</v>
      </c>
      <c r="F29" s="116" t="n">
        <f aca="false">SUMIFS('مبيعات يومية'!$D$2:$D$8001,'مبيعات يومية'!$C$2:$C$8001,$A29,'مبيعات يومية'!$B$2:$B$8001,'إعدادات المخزون'!$A$16,'مبيعات يومية'!$A$2:$A$8001,"&gt;="&amp;'إعدادات المخزون'!$B$5,'مبيعات يومية'!$A$2:$A$8001,"&lt;="&amp;'إعدادات المخزون'!$B$4)</f>
        <v>0</v>
      </c>
      <c r="G29" s="116" t="n">
        <f aca="false">SUMIFS('مبيعات يومية'!$D$2:$D$8001,'مبيعات يومية'!$C$2:$C$8001,$A29,'مبيعات يومية'!$B$2:$B$8001,'إعدادات المخزون'!$A$16,'مبيعات يومية'!$A$2:$A$8001,"&gt;"&amp;('إعدادات المخزون'!$B$4-'إعدادات المخزون'!$B$11),'مبيعات يومية'!$A$2:$A$8001,"&lt;="&amp;'إعدادات المخزون'!$B$4)</f>
        <v>0</v>
      </c>
      <c r="H29" s="116" t="n">
        <f aca="false">SUMIFS('مبيعات يومية'!$D$2:$D$8001,'مبيعات يومية'!$C$2:$C$8001,$A29,'مبيعات يومية'!$B$2:$B$8001,'إعدادات المخزون'!$A$17,'مبيعات يومية'!$A$2:$A$8001,'إعدادات المخزون'!$B$4)</f>
        <v>0</v>
      </c>
      <c r="I29" s="116" t="n">
        <f aca="false">SUMIFS('مبيعات يومية'!$D$2:$D$8001,'مبيعات يومية'!$C$2:$C$8001,$A29,'مبيعات يومية'!$B$2:$B$8001,'إعدادات المخزون'!$A$17,'مبيعات يومية'!$A$2:$A$8001,"&gt;="&amp;'إعدادات المخزون'!$B$5,'مبيعات يومية'!$A$2:$A$8001,"&lt;="&amp;'إعدادات المخزون'!$B$4)</f>
        <v>0</v>
      </c>
      <c r="J29" s="116" t="n">
        <f aca="false">SUMIFS('مبيعات يومية'!$D$2:$D$8001,'مبيعات يومية'!$C$2:$C$8001,$A29,'مبيعات يومية'!$B$2:$B$8001,'إعدادات المخزون'!$A$17,'مبيعات يومية'!$A$2:$A$8001,"&gt;"&amp;('إعدادات المخزون'!$B$4-'إعدادات المخزون'!$B$11),'مبيعات يومية'!$A$2:$A$8001,"&lt;="&amp;'إعدادات المخزون'!$B$4)</f>
        <v>0</v>
      </c>
    </row>
    <row r="30" customFormat="false" ht="15" hidden="false" customHeight="false" outlineLevel="0" collapsed="false">
      <c r="A30" s="114" t="str">
        <f aca="false">المنيو!B30</f>
        <v>فطيرة مشكل جبن وسط</v>
      </c>
      <c r="B30" s="116" t="n">
        <f aca="false">SUMIFS('مبيعات يومية'!$D$2:$D$8001,'مبيعات يومية'!$C$2:$C$8001,$A30,'مبيعات يومية'!$B$2:$B$8001,'إعدادات المخزون'!$A$15,'مبيعات يومية'!$A$2:$A$8001,'إعدادات المخزون'!$B$4)</f>
        <v>0</v>
      </c>
      <c r="C30" s="116" t="n">
        <f aca="false">SUMIFS('مبيعات يومية'!$D$2:$D$8001,'مبيعات يومية'!$C$2:$C$8001,$A30,'مبيعات يومية'!$B$2:$B$8001,'إعدادات المخزون'!$A$15,'مبيعات يومية'!$A$2:$A$8001,"&gt;="&amp;'إعدادات المخزون'!$B$5,'مبيعات يومية'!$A$2:$A$8001,"&lt;="&amp;'إعدادات المخزون'!$B$4)</f>
        <v>0</v>
      </c>
      <c r="D30" s="116" t="n">
        <f aca="false">SUMIFS('مبيعات يومية'!$D$2:$D$8001,'مبيعات يومية'!$C$2:$C$8001,$A30,'مبيعات يومية'!$B$2:$B$8001,'إعدادات المخزون'!$A$15,'مبيعات يومية'!$A$2:$A$8001,"&gt;"&amp;('إعدادات المخزون'!$B$4-'إعدادات المخزون'!$B$11),'مبيعات يومية'!$A$2:$A$8001,"&lt;="&amp;'إعدادات المخزون'!$B$4)</f>
        <v>0</v>
      </c>
      <c r="E30" s="116" t="n">
        <f aca="false">SUMIFS('مبيعات يومية'!$D$2:$D$8001,'مبيعات يومية'!$C$2:$C$8001,$A30,'مبيعات يومية'!$B$2:$B$8001,'إعدادات المخزون'!$A$16,'مبيعات يومية'!$A$2:$A$8001,'إعدادات المخزون'!$B$4)</f>
        <v>0</v>
      </c>
      <c r="F30" s="116" t="n">
        <f aca="false">SUMIFS('مبيعات يومية'!$D$2:$D$8001,'مبيعات يومية'!$C$2:$C$8001,$A30,'مبيعات يومية'!$B$2:$B$8001,'إعدادات المخزون'!$A$16,'مبيعات يومية'!$A$2:$A$8001,"&gt;="&amp;'إعدادات المخزون'!$B$5,'مبيعات يومية'!$A$2:$A$8001,"&lt;="&amp;'إعدادات المخزون'!$B$4)</f>
        <v>0</v>
      </c>
      <c r="G30" s="116" t="n">
        <f aca="false">SUMIFS('مبيعات يومية'!$D$2:$D$8001,'مبيعات يومية'!$C$2:$C$8001,$A30,'مبيعات يومية'!$B$2:$B$8001,'إعدادات المخزون'!$A$16,'مبيعات يومية'!$A$2:$A$8001,"&gt;"&amp;('إعدادات المخزون'!$B$4-'إعدادات المخزون'!$B$11),'مبيعات يومية'!$A$2:$A$8001,"&lt;="&amp;'إعدادات المخزون'!$B$4)</f>
        <v>0</v>
      </c>
      <c r="H30" s="116" t="n">
        <f aca="false">SUMIFS('مبيعات يومية'!$D$2:$D$8001,'مبيعات يومية'!$C$2:$C$8001,$A30,'مبيعات يومية'!$B$2:$B$8001,'إعدادات المخزون'!$A$17,'مبيعات يومية'!$A$2:$A$8001,'إعدادات المخزون'!$B$4)</f>
        <v>0</v>
      </c>
      <c r="I30" s="116" t="n">
        <f aca="false">SUMIFS('مبيعات يومية'!$D$2:$D$8001,'مبيعات يومية'!$C$2:$C$8001,$A30,'مبيعات يومية'!$B$2:$B$8001,'إعدادات المخزون'!$A$17,'مبيعات يومية'!$A$2:$A$8001,"&gt;="&amp;'إعدادات المخزون'!$B$5,'مبيعات يومية'!$A$2:$A$8001,"&lt;="&amp;'إعدادات المخزون'!$B$4)</f>
        <v>0</v>
      </c>
      <c r="J30" s="116" t="n">
        <f aca="false">SUMIFS('مبيعات يومية'!$D$2:$D$8001,'مبيعات يومية'!$C$2:$C$8001,$A30,'مبيعات يومية'!$B$2:$B$8001,'إعدادات المخزون'!$A$17,'مبيعات يومية'!$A$2:$A$8001,"&gt;"&amp;('إعدادات المخزون'!$B$4-'إعدادات المخزون'!$B$11),'مبيعات يومية'!$A$2:$A$8001,"&lt;="&amp;'إعدادات المخزون'!$B$4)</f>
        <v>0</v>
      </c>
    </row>
    <row r="31" customFormat="false" ht="15" hidden="false" customHeight="false" outlineLevel="0" collapsed="false">
      <c r="A31" s="114" t="str">
        <f aca="false">المنيو!B31</f>
        <v>فطيرة مشكل جبن حجم اكبر</v>
      </c>
      <c r="B31" s="116" t="n">
        <f aca="false">SUMIFS('مبيعات يومية'!$D$2:$D$8001,'مبيعات يومية'!$C$2:$C$8001,$A31,'مبيعات يومية'!$B$2:$B$8001,'إعدادات المخزون'!$A$15,'مبيعات يومية'!$A$2:$A$8001,'إعدادات المخزون'!$B$4)</f>
        <v>0</v>
      </c>
      <c r="C31" s="116" t="n">
        <f aca="false">SUMIFS('مبيعات يومية'!$D$2:$D$8001,'مبيعات يومية'!$C$2:$C$8001,$A31,'مبيعات يومية'!$B$2:$B$8001,'إعدادات المخزون'!$A$15,'مبيعات يومية'!$A$2:$A$8001,"&gt;="&amp;'إعدادات المخزون'!$B$5,'مبيعات يومية'!$A$2:$A$8001,"&lt;="&amp;'إعدادات المخزون'!$B$4)</f>
        <v>0</v>
      </c>
      <c r="D31" s="116" t="n">
        <f aca="false">SUMIFS('مبيعات يومية'!$D$2:$D$8001,'مبيعات يومية'!$C$2:$C$8001,$A31,'مبيعات يومية'!$B$2:$B$8001,'إعدادات المخزون'!$A$15,'مبيعات يومية'!$A$2:$A$8001,"&gt;"&amp;('إعدادات المخزون'!$B$4-'إعدادات المخزون'!$B$11),'مبيعات يومية'!$A$2:$A$8001,"&lt;="&amp;'إعدادات المخزون'!$B$4)</f>
        <v>0</v>
      </c>
      <c r="E31" s="116" t="n">
        <f aca="false">SUMIFS('مبيعات يومية'!$D$2:$D$8001,'مبيعات يومية'!$C$2:$C$8001,$A31,'مبيعات يومية'!$B$2:$B$8001,'إعدادات المخزون'!$A$16,'مبيعات يومية'!$A$2:$A$8001,'إعدادات المخزون'!$B$4)</f>
        <v>0</v>
      </c>
      <c r="F31" s="116" t="n">
        <f aca="false">SUMIFS('مبيعات يومية'!$D$2:$D$8001,'مبيعات يومية'!$C$2:$C$8001,$A31,'مبيعات يومية'!$B$2:$B$8001,'إعدادات المخزون'!$A$16,'مبيعات يومية'!$A$2:$A$8001,"&gt;="&amp;'إعدادات المخزون'!$B$5,'مبيعات يومية'!$A$2:$A$8001,"&lt;="&amp;'إعدادات المخزون'!$B$4)</f>
        <v>0</v>
      </c>
      <c r="G31" s="116" t="n">
        <f aca="false">SUMIFS('مبيعات يومية'!$D$2:$D$8001,'مبيعات يومية'!$C$2:$C$8001,$A31,'مبيعات يومية'!$B$2:$B$8001,'إعدادات المخزون'!$A$16,'مبيعات يومية'!$A$2:$A$8001,"&gt;"&amp;('إعدادات المخزون'!$B$4-'إعدادات المخزون'!$B$11),'مبيعات يومية'!$A$2:$A$8001,"&lt;="&amp;'إعدادات المخزون'!$B$4)</f>
        <v>0</v>
      </c>
      <c r="H31" s="116" t="n">
        <f aca="false">SUMIFS('مبيعات يومية'!$D$2:$D$8001,'مبيعات يومية'!$C$2:$C$8001,$A31,'مبيعات يومية'!$B$2:$B$8001,'إعدادات المخزون'!$A$17,'مبيعات يومية'!$A$2:$A$8001,'إعدادات المخزون'!$B$4)</f>
        <v>0</v>
      </c>
      <c r="I31" s="116" t="n">
        <f aca="false">SUMIFS('مبيعات يومية'!$D$2:$D$8001,'مبيعات يومية'!$C$2:$C$8001,$A31,'مبيعات يومية'!$B$2:$B$8001,'إعدادات المخزون'!$A$17,'مبيعات يومية'!$A$2:$A$8001,"&gt;="&amp;'إعدادات المخزون'!$B$5,'مبيعات يومية'!$A$2:$A$8001,"&lt;="&amp;'إعدادات المخزون'!$B$4)</f>
        <v>0</v>
      </c>
      <c r="J31" s="116" t="n">
        <f aca="false">SUMIFS('مبيعات يومية'!$D$2:$D$8001,'مبيعات يومية'!$C$2:$C$8001,$A31,'مبيعات يومية'!$B$2:$B$8001,'إعدادات المخزون'!$A$17,'مبيعات يومية'!$A$2:$A$8001,"&gt;"&amp;('إعدادات المخزون'!$B$4-'إعدادات المخزون'!$B$11),'مبيعات يومية'!$A$2:$A$8001,"&lt;="&amp;'إعدادات المخزون'!$B$4)</f>
        <v>0</v>
      </c>
    </row>
    <row r="32" customFormat="false" ht="15" hidden="false" customHeight="false" outlineLevel="0" collapsed="false">
      <c r="A32" s="114" t="str">
        <f aca="false">المنيو!B32</f>
        <v>فطيرة فراخ رانش وسط</v>
      </c>
      <c r="B32" s="116" t="n">
        <f aca="false">SUMIFS('مبيعات يومية'!$D$2:$D$8001,'مبيعات يومية'!$C$2:$C$8001,$A32,'مبيعات يومية'!$B$2:$B$8001,'إعدادات المخزون'!$A$15,'مبيعات يومية'!$A$2:$A$8001,'إعدادات المخزون'!$B$4)</f>
        <v>0</v>
      </c>
      <c r="C32" s="116" t="n">
        <f aca="false">SUMIFS('مبيعات يومية'!$D$2:$D$8001,'مبيعات يومية'!$C$2:$C$8001,$A32,'مبيعات يومية'!$B$2:$B$8001,'إعدادات المخزون'!$A$15,'مبيعات يومية'!$A$2:$A$8001,"&gt;="&amp;'إعدادات المخزون'!$B$5,'مبيعات يومية'!$A$2:$A$8001,"&lt;="&amp;'إعدادات المخزون'!$B$4)</f>
        <v>0</v>
      </c>
      <c r="D32" s="116" t="n">
        <f aca="false">SUMIFS('مبيعات يومية'!$D$2:$D$8001,'مبيعات يومية'!$C$2:$C$8001,$A32,'مبيعات يومية'!$B$2:$B$8001,'إعدادات المخزون'!$A$15,'مبيعات يومية'!$A$2:$A$8001,"&gt;"&amp;('إعدادات المخزون'!$B$4-'إعدادات المخزون'!$B$11),'مبيعات يومية'!$A$2:$A$8001,"&lt;="&amp;'إعدادات المخزون'!$B$4)</f>
        <v>0</v>
      </c>
      <c r="E32" s="116" t="n">
        <f aca="false">SUMIFS('مبيعات يومية'!$D$2:$D$8001,'مبيعات يومية'!$C$2:$C$8001,$A32,'مبيعات يومية'!$B$2:$B$8001,'إعدادات المخزون'!$A$16,'مبيعات يومية'!$A$2:$A$8001,'إعدادات المخزون'!$B$4)</f>
        <v>0</v>
      </c>
      <c r="F32" s="116" t="n">
        <f aca="false">SUMIFS('مبيعات يومية'!$D$2:$D$8001,'مبيعات يومية'!$C$2:$C$8001,$A32,'مبيعات يومية'!$B$2:$B$8001,'إعدادات المخزون'!$A$16,'مبيعات يومية'!$A$2:$A$8001,"&gt;="&amp;'إعدادات المخزون'!$B$5,'مبيعات يومية'!$A$2:$A$8001,"&lt;="&amp;'إعدادات المخزون'!$B$4)</f>
        <v>0</v>
      </c>
      <c r="G32" s="116" t="n">
        <f aca="false">SUMIFS('مبيعات يومية'!$D$2:$D$8001,'مبيعات يومية'!$C$2:$C$8001,$A32,'مبيعات يومية'!$B$2:$B$8001,'إعدادات المخزون'!$A$16,'مبيعات يومية'!$A$2:$A$8001,"&gt;"&amp;('إعدادات المخزون'!$B$4-'إعدادات المخزون'!$B$11),'مبيعات يومية'!$A$2:$A$8001,"&lt;="&amp;'إعدادات المخزون'!$B$4)</f>
        <v>0</v>
      </c>
      <c r="H32" s="116" t="n">
        <f aca="false">SUMIFS('مبيعات يومية'!$D$2:$D$8001,'مبيعات يومية'!$C$2:$C$8001,$A32,'مبيعات يومية'!$B$2:$B$8001,'إعدادات المخزون'!$A$17,'مبيعات يومية'!$A$2:$A$8001,'إعدادات المخزون'!$B$4)</f>
        <v>0</v>
      </c>
      <c r="I32" s="116" t="n">
        <f aca="false">SUMIFS('مبيعات يومية'!$D$2:$D$8001,'مبيعات يومية'!$C$2:$C$8001,$A32,'مبيعات يومية'!$B$2:$B$8001,'إعدادات المخزون'!$A$17,'مبيعات يومية'!$A$2:$A$8001,"&gt;="&amp;'إعدادات المخزون'!$B$5,'مبيعات يومية'!$A$2:$A$8001,"&lt;="&amp;'إعدادات المخزون'!$B$4)</f>
        <v>0</v>
      </c>
      <c r="J32" s="116" t="n">
        <f aca="false">SUMIFS('مبيعات يومية'!$D$2:$D$8001,'مبيعات يومية'!$C$2:$C$8001,$A32,'مبيعات يومية'!$B$2:$B$8001,'إعدادات المخزون'!$A$17,'مبيعات يومية'!$A$2:$A$8001,"&gt;"&amp;('إعدادات المخزون'!$B$4-'إعدادات المخزون'!$B$11),'مبيعات يومية'!$A$2:$A$8001,"&lt;="&amp;'إعدادات المخزون'!$B$4)</f>
        <v>0</v>
      </c>
    </row>
    <row r="33" customFormat="false" ht="15" hidden="false" customHeight="false" outlineLevel="0" collapsed="false">
      <c r="A33" s="114" t="str">
        <f aca="false">المنيو!B33</f>
        <v>فطيرة فراخ رانش حجم اكبر</v>
      </c>
      <c r="B33" s="116" t="n">
        <f aca="false">SUMIFS('مبيعات يومية'!$D$2:$D$8001,'مبيعات يومية'!$C$2:$C$8001,$A33,'مبيعات يومية'!$B$2:$B$8001,'إعدادات المخزون'!$A$15,'مبيعات يومية'!$A$2:$A$8001,'إعدادات المخزون'!$B$4)</f>
        <v>0</v>
      </c>
      <c r="C33" s="116" t="n">
        <f aca="false">SUMIFS('مبيعات يومية'!$D$2:$D$8001,'مبيعات يومية'!$C$2:$C$8001,$A33,'مبيعات يومية'!$B$2:$B$8001,'إعدادات المخزون'!$A$15,'مبيعات يومية'!$A$2:$A$8001,"&gt;="&amp;'إعدادات المخزون'!$B$5,'مبيعات يومية'!$A$2:$A$8001,"&lt;="&amp;'إعدادات المخزون'!$B$4)</f>
        <v>0</v>
      </c>
      <c r="D33" s="116" t="n">
        <f aca="false">SUMIFS('مبيعات يومية'!$D$2:$D$8001,'مبيعات يومية'!$C$2:$C$8001,$A33,'مبيعات يومية'!$B$2:$B$8001,'إعدادات المخزون'!$A$15,'مبيعات يومية'!$A$2:$A$8001,"&gt;"&amp;('إعدادات المخزون'!$B$4-'إعدادات المخزون'!$B$11),'مبيعات يومية'!$A$2:$A$8001,"&lt;="&amp;'إعدادات المخزون'!$B$4)</f>
        <v>0</v>
      </c>
      <c r="E33" s="116" t="n">
        <f aca="false">SUMIFS('مبيعات يومية'!$D$2:$D$8001,'مبيعات يومية'!$C$2:$C$8001,$A33,'مبيعات يومية'!$B$2:$B$8001,'إعدادات المخزون'!$A$16,'مبيعات يومية'!$A$2:$A$8001,'إعدادات المخزون'!$B$4)</f>
        <v>0</v>
      </c>
      <c r="F33" s="116" t="n">
        <f aca="false">SUMIFS('مبيعات يومية'!$D$2:$D$8001,'مبيعات يومية'!$C$2:$C$8001,$A33,'مبيعات يومية'!$B$2:$B$8001,'إعدادات المخزون'!$A$16,'مبيعات يومية'!$A$2:$A$8001,"&gt;="&amp;'إعدادات المخزون'!$B$5,'مبيعات يومية'!$A$2:$A$8001,"&lt;="&amp;'إعدادات المخزون'!$B$4)</f>
        <v>0</v>
      </c>
      <c r="G33" s="116" t="n">
        <f aca="false">SUMIFS('مبيعات يومية'!$D$2:$D$8001,'مبيعات يومية'!$C$2:$C$8001,$A33,'مبيعات يومية'!$B$2:$B$8001,'إعدادات المخزون'!$A$16,'مبيعات يومية'!$A$2:$A$8001,"&gt;"&amp;('إعدادات المخزون'!$B$4-'إعدادات المخزون'!$B$11),'مبيعات يومية'!$A$2:$A$8001,"&lt;="&amp;'إعدادات المخزون'!$B$4)</f>
        <v>0</v>
      </c>
      <c r="H33" s="116" t="n">
        <f aca="false">SUMIFS('مبيعات يومية'!$D$2:$D$8001,'مبيعات يومية'!$C$2:$C$8001,$A33,'مبيعات يومية'!$B$2:$B$8001,'إعدادات المخزون'!$A$17,'مبيعات يومية'!$A$2:$A$8001,'إعدادات المخزون'!$B$4)</f>
        <v>0</v>
      </c>
      <c r="I33" s="116" t="n">
        <f aca="false">SUMIFS('مبيعات يومية'!$D$2:$D$8001,'مبيعات يومية'!$C$2:$C$8001,$A33,'مبيعات يومية'!$B$2:$B$8001,'إعدادات المخزون'!$A$17,'مبيعات يومية'!$A$2:$A$8001,"&gt;="&amp;'إعدادات المخزون'!$B$5,'مبيعات يومية'!$A$2:$A$8001,"&lt;="&amp;'إعدادات المخزون'!$B$4)</f>
        <v>0</v>
      </c>
      <c r="J33" s="116" t="n">
        <f aca="false">SUMIFS('مبيعات يومية'!$D$2:$D$8001,'مبيعات يومية'!$C$2:$C$8001,$A33,'مبيعات يومية'!$B$2:$B$8001,'إعدادات المخزون'!$A$17,'مبيعات يومية'!$A$2:$A$8001,"&gt;"&amp;('إعدادات المخزون'!$B$4-'إعدادات المخزون'!$B$11),'مبيعات يومية'!$A$2:$A$8001,"&lt;="&amp;'إعدادات المخزون'!$B$4)</f>
        <v>0</v>
      </c>
    </row>
    <row r="34" customFormat="false" ht="15" hidden="false" customHeight="false" outlineLevel="0" collapsed="false">
      <c r="A34" s="114" t="str">
        <f aca="false">المنيو!B34</f>
        <v>فطيرة فراخ باربيكيو وسط</v>
      </c>
      <c r="B34" s="116" t="n">
        <f aca="false">SUMIFS('مبيعات يومية'!$D$2:$D$8001,'مبيعات يومية'!$C$2:$C$8001,$A34,'مبيعات يومية'!$B$2:$B$8001,'إعدادات المخزون'!$A$15,'مبيعات يومية'!$A$2:$A$8001,'إعدادات المخزون'!$B$4)</f>
        <v>0</v>
      </c>
      <c r="C34" s="116" t="n">
        <f aca="false">SUMIFS('مبيعات يومية'!$D$2:$D$8001,'مبيعات يومية'!$C$2:$C$8001,$A34,'مبيعات يومية'!$B$2:$B$8001,'إعدادات المخزون'!$A$15,'مبيعات يومية'!$A$2:$A$8001,"&gt;="&amp;'إعدادات المخزون'!$B$5,'مبيعات يومية'!$A$2:$A$8001,"&lt;="&amp;'إعدادات المخزون'!$B$4)</f>
        <v>0</v>
      </c>
      <c r="D34" s="116" t="n">
        <f aca="false">SUMIFS('مبيعات يومية'!$D$2:$D$8001,'مبيعات يومية'!$C$2:$C$8001,$A34,'مبيعات يومية'!$B$2:$B$8001,'إعدادات المخزون'!$A$15,'مبيعات يومية'!$A$2:$A$8001,"&gt;"&amp;('إعدادات المخزون'!$B$4-'إعدادات المخزون'!$B$11),'مبيعات يومية'!$A$2:$A$8001,"&lt;="&amp;'إعدادات المخزون'!$B$4)</f>
        <v>0</v>
      </c>
      <c r="E34" s="116" t="n">
        <f aca="false">SUMIFS('مبيعات يومية'!$D$2:$D$8001,'مبيعات يومية'!$C$2:$C$8001,$A34,'مبيعات يومية'!$B$2:$B$8001,'إعدادات المخزون'!$A$16,'مبيعات يومية'!$A$2:$A$8001,'إعدادات المخزون'!$B$4)</f>
        <v>0</v>
      </c>
      <c r="F34" s="116" t="n">
        <f aca="false">SUMIFS('مبيعات يومية'!$D$2:$D$8001,'مبيعات يومية'!$C$2:$C$8001,$A34,'مبيعات يومية'!$B$2:$B$8001,'إعدادات المخزون'!$A$16,'مبيعات يومية'!$A$2:$A$8001,"&gt;="&amp;'إعدادات المخزون'!$B$5,'مبيعات يومية'!$A$2:$A$8001,"&lt;="&amp;'إعدادات المخزون'!$B$4)</f>
        <v>0</v>
      </c>
      <c r="G34" s="116" t="n">
        <f aca="false">SUMIFS('مبيعات يومية'!$D$2:$D$8001,'مبيعات يومية'!$C$2:$C$8001,$A34,'مبيعات يومية'!$B$2:$B$8001,'إعدادات المخزون'!$A$16,'مبيعات يومية'!$A$2:$A$8001,"&gt;"&amp;('إعدادات المخزون'!$B$4-'إعدادات المخزون'!$B$11),'مبيعات يومية'!$A$2:$A$8001,"&lt;="&amp;'إعدادات المخزون'!$B$4)</f>
        <v>0</v>
      </c>
      <c r="H34" s="116" t="n">
        <f aca="false">SUMIFS('مبيعات يومية'!$D$2:$D$8001,'مبيعات يومية'!$C$2:$C$8001,$A34,'مبيعات يومية'!$B$2:$B$8001,'إعدادات المخزون'!$A$17,'مبيعات يومية'!$A$2:$A$8001,'إعدادات المخزون'!$B$4)</f>
        <v>0</v>
      </c>
      <c r="I34" s="116" t="n">
        <f aca="false">SUMIFS('مبيعات يومية'!$D$2:$D$8001,'مبيعات يومية'!$C$2:$C$8001,$A34,'مبيعات يومية'!$B$2:$B$8001,'إعدادات المخزون'!$A$17,'مبيعات يومية'!$A$2:$A$8001,"&gt;="&amp;'إعدادات المخزون'!$B$5,'مبيعات يومية'!$A$2:$A$8001,"&lt;="&amp;'إعدادات المخزون'!$B$4)</f>
        <v>0</v>
      </c>
      <c r="J34" s="116" t="n">
        <f aca="false">SUMIFS('مبيعات يومية'!$D$2:$D$8001,'مبيعات يومية'!$C$2:$C$8001,$A34,'مبيعات يومية'!$B$2:$B$8001,'إعدادات المخزون'!$A$17,'مبيعات يومية'!$A$2:$A$8001,"&gt;"&amp;('إعدادات المخزون'!$B$4-'إعدادات المخزون'!$B$11),'مبيعات يومية'!$A$2:$A$8001,"&lt;="&amp;'إعدادات المخزون'!$B$4)</f>
        <v>0</v>
      </c>
    </row>
    <row r="35" customFormat="false" ht="15" hidden="false" customHeight="false" outlineLevel="0" collapsed="false">
      <c r="A35" s="114" t="str">
        <f aca="false">المنيو!B35</f>
        <v>فطيرة فراخ باربيكيو حجم اكبر</v>
      </c>
      <c r="B35" s="116" t="n">
        <f aca="false">SUMIFS('مبيعات يومية'!$D$2:$D$8001,'مبيعات يومية'!$C$2:$C$8001,$A35,'مبيعات يومية'!$B$2:$B$8001,'إعدادات المخزون'!$A$15,'مبيعات يومية'!$A$2:$A$8001,'إعدادات المخزون'!$B$4)</f>
        <v>0</v>
      </c>
      <c r="C35" s="116" t="n">
        <f aca="false">SUMIFS('مبيعات يومية'!$D$2:$D$8001,'مبيعات يومية'!$C$2:$C$8001,$A35,'مبيعات يومية'!$B$2:$B$8001,'إعدادات المخزون'!$A$15,'مبيعات يومية'!$A$2:$A$8001,"&gt;="&amp;'إعدادات المخزون'!$B$5,'مبيعات يومية'!$A$2:$A$8001,"&lt;="&amp;'إعدادات المخزون'!$B$4)</f>
        <v>0</v>
      </c>
      <c r="D35" s="116" t="n">
        <f aca="false">SUMIFS('مبيعات يومية'!$D$2:$D$8001,'مبيعات يومية'!$C$2:$C$8001,$A35,'مبيعات يومية'!$B$2:$B$8001,'إعدادات المخزون'!$A$15,'مبيعات يومية'!$A$2:$A$8001,"&gt;"&amp;('إعدادات المخزون'!$B$4-'إعدادات المخزون'!$B$11),'مبيعات يومية'!$A$2:$A$8001,"&lt;="&amp;'إعدادات المخزون'!$B$4)</f>
        <v>0</v>
      </c>
      <c r="E35" s="116" t="n">
        <f aca="false">SUMIFS('مبيعات يومية'!$D$2:$D$8001,'مبيعات يومية'!$C$2:$C$8001,$A35,'مبيعات يومية'!$B$2:$B$8001,'إعدادات المخزون'!$A$16,'مبيعات يومية'!$A$2:$A$8001,'إعدادات المخزون'!$B$4)</f>
        <v>0</v>
      </c>
      <c r="F35" s="116" t="n">
        <f aca="false">SUMIFS('مبيعات يومية'!$D$2:$D$8001,'مبيعات يومية'!$C$2:$C$8001,$A35,'مبيعات يومية'!$B$2:$B$8001,'إعدادات المخزون'!$A$16,'مبيعات يومية'!$A$2:$A$8001,"&gt;="&amp;'إعدادات المخزون'!$B$5,'مبيعات يومية'!$A$2:$A$8001,"&lt;="&amp;'إعدادات المخزون'!$B$4)</f>
        <v>0</v>
      </c>
      <c r="G35" s="116" t="n">
        <f aca="false">SUMIFS('مبيعات يومية'!$D$2:$D$8001,'مبيعات يومية'!$C$2:$C$8001,$A35,'مبيعات يومية'!$B$2:$B$8001,'إعدادات المخزون'!$A$16,'مبيعات يومية'!$A$2:$A$8001,"&gt;"&amp;('إعدادات المخزون'!$B$4-'إعدادات المخزون'!$B$11),'مبيعات يومية'!$A$2:$A$8001,"&lt;="&amp;'إعدادات المخزون'!$B$4)</f>
        <v>0</v>
      </c>
      <c r="H35" s="116" t="n">
        <f aca="false">SUMIFS('مبيعات يومية'!$D$2:$D$8001,'مبيعات يومية'!$C$2:$C$8001,$A35,'مبيعات يومية'!$B$2:$B$8001,'إعدادات المخزون'!$A$17,'مبيعات يومية'!$A$2:$A$8001,'إعدادات المخزون'!$B$4)</f>
        <v>0</v>
      </c>
      <c r="I35" s="116" t="n">
        <f aca="false">SUMIFS('مبيعات يومية'!$D$2:$D$8001,'مبيعات يومية'!$C$2:$C$8001,$A35,'مبيعات يومية'!$B$2:$B$8001,'إعدادات المخزون'!$A$17,'مبيعات يومية'!$A$2:$A$8001,"&gt;="&amp;'إعدادات المخزون'!$B$5,'مبيعات يومية'!$A$2:$A$8001,"&lt;="&amp;'إعدادات المخزون'!$B$4)</f>
        <v>0</v>
      </c>
      <c r="J35" s="116" t="n">
        <f aca="false">SUMIFS('مبيعات يومية'!$D$2:$D$8001,'مبيعات يومية'!$C$2:$C$8001,$A35,'مبيعات يومية'!$B$2:$B$8001,'إعدادات المخزون'!$A$17,'مبيعات يومية'!$A$2:$A$8001,"&gt;"&amp;('إعدادات المخزون'!$B$4-'إعدادات المخزون'!$B$11),'مبيعات يومية'!$A$2:$A$8001,"&lt;="&amp;'إعدادات المخزون'!$B$4)</f>
        <v>0</v>
      </c>
    </row>
    <row r="36" customFormat="false" ht="15" hidden="false" customHeight="false" outlineLevel="0" collapsed="false">
      <c r="A36" s="114" t="str">
        <f aca="false">المنيو!B36</f>
        <v>فطيرة فراخ كريسبي رانش وسط</v>
      </c>
      <c r="B36" s="116" t="n">
        <f aca="false">SUMIFS('مبيعات يومية'!$D$2:$D$8001,'مبيعات يومية'!$C$2:$C$8001,$A36,'مبيعات يومية'!$B$2:$B$8001,'إعدادات المخزون'!$A$15,'مبيعات يومية'!$A$2:$A$8001,'إعدادات المخزون'!$B$4)</f>
        <v>0</v>
      </c>
      <c r="C36" s="116" t="n">
        <f aca="false">SUMIFS('مبيعات يومية'!$D$2:$D$8001,'مبيعات يومية'!$C$2:$C$8001,$A36,'مبيعات يومية'!$B$2:$B$8001,'إعدادات المخزون'!$A$15,'مبيعات يومية'!$A$2:$A$8001,"&gt;="&amp;'إعدادات المخزون'!$B$5,'مبيعات يومية'!$A$2:$A$8001,"&lt;="&amp;'إعدادات المخزون'!$B$4)</f>
        <v>0</v>
      </c>
      <c r="D36" s="116" t="n">
        <f aca="false">SUMIFS('مبيعات يومية'!$D$2:$D$8001,'مبيعات يومية'!$C$2:$C$8001,$A36,'مبيعات يومية'!$B$2:$B$8001,'إعدادات المخزون'!$A$15,'مبيعات يومية'!$A$2:$A$8001,"&gt;"&amp;('إعدادات المخزون'!$B$4-'إعدادات المخزون'!$B$11),'مبيعات يومية'!$A$2:$A$8001,"&lt;="&amp;'إعدادات المخزون'!$B$4)</f>
        <v>0</v>
      </c>
      <c r="E36" s="116" t="n">
        <f aca="false">SUMIFS('مبيعات يومية'!$D$2:$D$8001,'مبيعات يومية'!$C$2:$C$8001,$A36,'مبيعات يومية'!$B$2:$B$8001,'إعدادات المخزون'!$A$16,'مبيعات يومية'!$A$2:$A$8001,'إعدادات المخزون'!$B$4)</f>
        <v>0</v>
      </c>
      <c r="F36" s="116" t="n">
        <f aca="false">SUMIFS('مبيعات يومية'!$D$2:$D$8001,'مبيعات يومية'!$C$2:$C$8001,$A36,'مبيعات يومية'!$B$2:$B$8001,'إعدادات المخزون'!$A$16,'مبيعات يومية'!$A$2:$A$8001,"&gt;="&amp;'إعدادات المخزون'!$B$5,'مبيعات يومية'!$A$2:$A$8001,"&lt;="&amp;'إعدادات المخزون'!$B$4)</f>
        <v>0</v>
      </c>
      <c r="G36" s="116" t="n">
        <f aca="false">SUMIFS('مبيعات يومية'!$D$2:$D$8001,'مبيعات يومية'!$C$2:$C$8001,$A36,'مبيعات يومية'!$B$2:$B$8001,'إعدادات المخزون'!$A$16,'مبيعات يومية'!$A$2:$A$8001,"&gt;"&amp;('إعدادات المخزون'!$B$4-'إعدادات المخزون'!$B$11),'مبيعات يومية'!$A$2:$A$8001,"&lt;="&amp;'إعدادات المخزون'!$B$4)</f>
        <v>0</v>
      </c>
      <c r="H36" s="116" t="n">
        <f aca="false">SUMIFS('مبيعات يومية'!$D$2:$D$8001,'مبيعات يومية'!$C$2:$C$8001,$A36,'مبيعات يومية'!$B$2:$B$8001,'إعدادات المخزون'!$A$17,'مبيعات يومية'!$A$2:$A$8001,'إعدادات المخزون'!$B$4)</f>
        <v>0</v>
      </c>
      <c r="I36" s="116" t="n">
        <f aca="false">SUMIFS('مبيعات يومية'!$D$2:$D$8001,'مبيعات يومية'!$C$2:$C$8001,$A36,'مبيعات يومية'!$B$2:$B$8001,'إعدادات المخزون'!$A$17,'مبيعات يومية'!$A$2:$A$8001,"&gt;="&amp;'إعدادات المخزون'!$B$5,'مبيعات يومية'!$A$2:$A$8001,"&lt;="&amp;'إعدادات المخزون'!$B$4)</f>
        <v>0</v>
      </c>
      <c r="J36" s="116" t="n">
        <f aca="false">SUMIFS('مبيعات يومية'!$D$2:$D$8001,'مبيعات يومية'!$C$2:$C$8001,$A36,'مبيعات يومية'!$B$2:$B$8001,'إعدادات المخزون'!$A$17,'مبيعات يومية'!$A$2:$A$8001,"&gt;"&amp;('إعدادات المخزون'!$B$4-'إعدادات المخزون'!$B$11),'مبيعات يومية'!$A$2:$A$8001,"&lt;="&amp;'إعدادات المخزون'!$B$4)</f>
        <v>0</v>
      </c>
    </row>
    <row r="37" customFormat="false" ht="15" hidden="false" customHeight="false" outlineLevel="0" collapsed="false">
      <c r="A37" s="114" t="str">
        <f aca="false">المنيو!B37</f>
        <v>فطيرة فراخ كريسبي رانش حجم اكبر</v>
      </c>
      <c r="B37" s="116" t="n">
        <f aca="false">SUMIFS('مبيعات يومية'!$D$2:$D$8001,'مبيعات يومية'!$C$2:$C$8001,$A37,'مبيعات يومية'!$B$2:$B$8001,'إعدادات المخزون'!$A$15,'مبيعات يومية'!$A$2:$A$8001,'إعدادات المخزون'!$B$4)</f>
        <v>0</v>
      </c>
      <c r="C37" s="116" t="n">
        <f aca="false">SUMIFS('مبيعات يومية'!$D$2:$D$8001,'مبيعات يومية'!$C$2:$C$8001,$A37,'مبيعات يومية'!$B$2:$B$8001,'إعدادات المخزون'!$A$15,'مبيعات يومية'!$A$2:$A$8001,"&gt;="&amp;'إعدادات المخزون'!$B$5,'مبيعات يومية'!$A$2:$A$8001,"&lt;="&amp;'إعدادات المخزون'!$B$4)</f>
        <v>0</v>
      </c>
      <c r="D37" s="116" t="n">
        <f aca="false">SUMIFS('مبيعات يومية'!$D$2:$D$8001,'مبيعات يومية'!$C$2:$C$8001,$A37,'مبيعات يومية'!$B$2:$B$8001,'إعدادات المخزون'!$A$15,'مبيعات يومية'!$A$2:$A$8001,"&gt;"&amp;('إعدادات المخزون'!$B$4-'إعدادات المخزون'!$B$11),'مبيعات يومية'!$A$2:$A$8001,"&lt;="&amp;'إعدادات المخزون'!$B$4)</f>
        <v>0</v>
      </c>
      <c r="E37" s="116" t="n">
        <f aca="false">SUMIFS('مبيعات يومية'!$D$2:$D$8001,'مبيعات يومية'!$C$2:$C$8001,$A37,'مبيعات يومية'!$B$2:$B$8001,'إعدادات المخزون'!$A$16,'مبيعات يومية'!$A$2:$A$8001,'إعدادات المخزون'!$B$4)</f>
        <v>0</v>
      </c>
      <c r="F37" s="116" t="n">
        <f aca="false">SUMIFS('مبيعات يومية'!$D$2:$D$8001,'مبيعات يومية'!$C$2:$C$8001,$A37,'مبيعات يومية'!$B$2:$B$8001,'إعدادات المخزون'!$A$16,'مبيعات يومية'!$A$2:$A$8001,"&gt;="&amp;'إعدادات المخزون'!$B$5,'مبيعات يومية'!$A$2:$A$8001,"&lt;="&amp;'إعدادات المخزون'!$B$4)</f>
        <v>0</v>
      </c>
      <c r="G37" s="116" t="n">
        <f aca="false">SUMIFS('مبيعات يومية'!$D$2:$D$8001,'مبيعات يومية'!$C$2:$C$8001,$A37,'مبيعات يومية'!$B$2:$B$8001,'إعدادات المخزون'!$A$16,'مبيعات يومية'!$A$2:$A$8001,"&gt;"&amp;('إعدادات المخزون'!$B$4-'إعدادات المخزون'!$B$11),'مبيعات يومية'!$A$2:$A$8001,"&lt;="&amp;'إعدادات المخزون'!$B$4)</f>
        <v>0</v>
      </c>
      <c r="H37" s="116" t="n">
        <f aca="false">SUMIFS('مبيعات يومية'!$D$2:$D$8001,'مبيعات يومية'!$C$2:$C$8001,$A37,'مبيعات يومية'!$B$2:$B$8001,'إعدادات المخزون'!$A$17,'مبيعات يومية'!$A$2:$A$8001,'إعدادات المخزون'!$B$4)</f>
        <v>0</v>
      </c>
      <c r="I37" s="116" t="n">
        <f aca="false">SUMIFS('مبيعات يومية'!$D$2:$D$8001,'مبيعات يومية'!$C$2:$C$8001,$A37,'مبيعات يومية'!$B$2:$B$8001,'إعدادات المخزون'!$A$17,'مبيعات يومية'!$A$2:$A$8001,"&gt;="&amp;'إعدادات المخزون'!$B$5,'مبيعات يومية'!$A$2:$A$8001,"&lt;="&amp;'إعدادات المخزون'!$B$4)</f>
        <v>0</v>
      </c>
      <c r="J37" s="116" t="n">
        <f aca="false">SUMIFS('مبيعات يومية'!$D$2:$D$8001,'مبيعات يومية'!$C$2:$C$8001,$A37,'مبيعات يومية'!$B$2:$B$8001,'إعدادات المخزون'!$A$17,'مبيعات يومية'!$A$2:$A$8001,"&gt;"&amp;('إعدادات المخزون'!$B$4-'إعدادات المخزون'!$B$11),'مبيعات يومية'!$A$2:$A$8001,"&lt;="&amp;'إعدادات المخزون'!$B$4)</f>
        <v>0</v>
      </c>
    </row>
    <row r="38" customFormat="false" ht="15" hidden="false" customHeight="false" outlineLevel="0" collapsed="false">
      <c r="A38" s="114" t="str">
        <f aca="false">المنيو!B38</f>
        <v>فطيرة فراخ كريسبي شيدر وسط</v>
      </c>
      <c r="B38" s="116" t="n">
        <f aca="false">SUMIFS('مبيعات يومية'!$D$2:$D$8001,'مبيعات يومية'!$C$2:$C$8001,$A38,'مبيعات يومية'!$B$2:$B$8001,'إعدادات المخزون'!$A$15,'مبيعات يومية'!$A$2:$A$8001,'إعدادات المخزون'!$B$4)</f>
        <v>0</v>
      </c>
      <c r="C38" s="116" t="n">
        <f aca="false">SUMIFS('مبيعات يومية'!$D$2:$D$8001,'مبيعات يومية'!$C$2:$C$8001,$A38,'مبيعات يومية'!$B$2:$B$8001,'إعدادات المخزون'!$A$15,'مبيعات يومية'!$A$2:$A$8001,"&gt;="&amp;'إعدادات المخزون'!$B$5,'مبيعات يومية'!$A$2:$A$8001,"&lt;="&amp;'إعدادات المخزون'!$B$4)</f>
        <v>0</v>
      </c>
      <c r="D38" s="116" t="n">
        <f aca="false">SUMIFS('مبيعات يومية'!$D$2:$D$8001,'مبيعات يومية'!$C$2:$C$8001,$A38,'مبيعات يومية'!$B$2:$B$8001,'إعدادات المخزون'!$A$15,'مبيعات يومية'!$A$2:$A$8001,"&gt;"&amp;('إعدادات المخزون'!$B$4-'إعدادات المخزون'!$B$11),'مبيعات يومية'!$A$2:$A$8001,"&lt;="&amp;'إعدادات المخزون'!$B$4)</f>
        <v>0</v>
      </c>
      <c r="E38" s="116" t="n">
        <f aca="false">SUMIFS('مبيعات يومية'!$D$2:$D$8001,'مبيعات يومية'!$C$2:$C$8001,$A38,'مبيعات يومية'!$B$2:$B$8001,'إعدادات المخزون'!$A$16,'مبيعات يومية'!$A$2:$A$8001,'إعدادات المخزون'!$B$4)</f>
        <v>0</v>
      </c>
      <c r="F38" s="116" t="n">
        <f aca="false">SUMIFS('مبيعات يومية'!$D$2:$D$8001,'مبيعات يومية'!$C$2:$C$8001,$A38,'مبيعات يومية'!$B$2:$B$8001,'إعدادات المخزون'!$A$16,'مبيعات يومية'!$A$2:$A$8001,"&gt;="&amp;'إعدادات المخزون'!$B$5,'مبيعات يومية'!$A$2:$A$8001,"&lt;="&amp;'إعدادات المخزون'!$B$4)</f>
        <v>0</v>
      </c>
      <c r="G38" s="116" t="n">
        <f aca="false">SUMIFS('مبيعات يومية'!$D$2:$D$8001,'مبيعات يومية'!$C$2:$C$8001,$A38,'مبيعات يومية'!$B$2:$B$8001,'إعدادات المخزون'!$A$16,'مبيعات يومية'!$A$2:$A$8001,"&gt;"&amp;('إعدادات المخزون'!$B$4-'إعدادات المخزون'!$B$11),'مبيعات يومية'!$A$2:$A$8001,"&lt;="&amp;'إعدادات المخزون'!$B$4)</f>
        <v>0</v>
      </c>
      <c r="H38" s="116" t="n">
        <f aca="false">SUMIFS('مبيعات يومية'!$D$2:$D$8001,'مبيعات يومية'!$C$2:$C$8001,$A38,'مبيعات يومية'!$B$2:$B$8001,'إعدادات المخزون'!$A$17,'مبيعات يومية'!$A$2:$A$8001,'إعدادات المخزون'!$B$4)</f>
        <v>0</v>
      </c>
      <c r="I38" s="116" t="n">
        <f aca="false">SUMIFS('مبيعات يومية'!$D$2:$D$8001,'مبيعات يومية'!$C$2:$C$8001,$A38,'مبيعات يومية'!$B$2:$B$8001,'إعدادات المخزون'!$A$17,'مبيعات يومية'!$A$2:$A$8001,"&gt;="&amp;'إعدادات المخزون'!$B$5,'مبيعات يومية'!$A$2:$A$8001,"&lt;="&amp;'إعدادات المخزون'!$B$4)</f>
        <v>0</v>
      </c>
      <c r="J38" s="116" t="n">
        <f aca="false">SUMIFS('مبيعات يومية'!$D$2:$D$8001,'مبيعات يومية'!$C$2:$C$8001,$A38,'مبيعات يومية'!$B$2:$B$8001,'إعدادات المخزون'!$A$17,'مبيعات يومية'!$A$2:$A$8001,"&gt;"&amp;('إعدادات المخزون'!$B$4-'إعدادات المخزون'!$B$11),'مبيعات يومية'!$A$2:$A$8001,"&lt;="&amp;'إعدادات المخزون'!$B$4)</f>
        <v>0</v>
      </c>
    </row>
    <row r="39" customFormat="false" ht="15" hidden="false" customHeight="false" outlineLevel="0" collapsed="false">
      <c r="A39" s="114" t="str">
        <f aca="false">المنيو!B39</f>
        <v>فطيرة فراخ كريسبي شيدر حجم اكبر</v>
      </c>
      <c r="B39" s="116" t="n">
        <f aca="false">SUMIFS('مبيعات يومية'!$D$2:$D$8001,'مبيعات يومية'!$C$2:$C$8001,$A39,'مبيعات يومية'!$B$2:$B$8001,'إعدادات المخزون'!$A$15,'مبيعات يومية'!$A$2:$A$8001,'إعدادات المخزون'!$B$4)</f>
        <v>0</v>
      </c>
      <c r="C39" s="116" t="n">
        <f aca="false">SUMIFS('مبيعات يومية'!$D$2:$D$8001,'مبيعات يومية'!$C$2:$C$8001,$A39,'مبيعات يومية'!$B$2:$B$8001,'إعدادات المخزون'!$A$15,'مبيعات يومية'!$A$2:$A$8001,"&gt;="&amp;'إعدادات المخزون'!$B$5,'مبيعات يومية'!$A$2:$A$8001,"&lt;="&amp;'إعدادات المخزون'!$B$4)</f>
        <v>0</v>
      </c>
      <c r="D39" s="116" t="n">
        <f aca="false">SUMIFS('مبيعات يومية'!$D$2:$D$8001,'مبيعات يومية'!$C$2:$C$8001,$A39,'مبيعات يومية'!$B$2:$B$8001,'إعدادات المخزون'!$A$15,'مبيعات يومية'!$A$2:$A$8001,"&gt;"&amp;('إعدادات المخزون'!$B$4-'إعدادات المخزون'!$B$11),'مبيعات يومية'!$A$2:$A$8001,"&lt;="&amp;'إعدادات المخزون'!$B$4)</f>
        <v>0</v>
      </c>
      <c r="E39" s="116" t="n">
        <f aca="false">SUMIFS('مبيعات يومية'!$D$2:$D$8001,'مبيعات يومية'!$C$2:$C$8001,$A39,'مبيعات يومية'!$B$2:$B$8001,'إعدادات المخزون'!$A$16,'مبيعات يومية'!$A$2:$A$8001,'إعدادات المخزون'!$B$4)</f>
        <v>0</v>
      </c>
      <c r="F39" s="116" t="n">
        <f aca="false">SUMIFS('مبيعات يومية'!$D$2:$D$8001,'مبيعات يومية'!$C$2:$C$8001,$A39,'مبيعات يومية'!$B$2:$B$8001,'إعدادات المخزون'!$A$16,'مبيعات يومية'!$A$2:$A$8001,"&gt;="&amp;'إعدادات المخزون'!$B$5,'مبيعات يومية'!$A$2:$A$8001,"&lt;="&amp;'إعدادات المخزون'!$B$4)</f>
        <v>0</v>
      </c>
      <c r="G39" s="116" t="n">
        <f aca="false">SUMIFS('مبيعات يومية'!$D$2:$D$8001,'مبيعات يومية'!$C$2:$C$8001,$A39,'مبيعات يومية'!$B$2:$B$8001,'إعدادات المخزون'!$A$16,'مبيعات يومية'!$A$2:$A$8001,"&gt;"&amp;('إعدادات المخزون'!$B$4-'إعدادات المخزون'!$B$11),'مبيعات يومية'!$A$2:$A$8001,"&lt;="&amp;'إعدادات المخزون'!$B$4)</f>
        <v>0</v>
      </c>
      <c r="H39" s="116" t="n">
        <f aca="false">SUMIFS('مبيعات يومية'!$D$2:$D$8001,'مبيعات يومية'!$C$2:$C$8001,$A39,'مبيعات يومية'!$B$2:$B$8001,'إعدادات المخزون'!$A$17,'مبيعات يومية'!$A$2:$A$8001,'إعدادات المخزون'!$B$4)</f>
        <v>0</v>
      </c>
      <c r="I39" s="116" t="n">
        <f aca="false">SUMIFS('مبيعات يومية'!$D$2:$D$8001,'مبيعات يومية'!$C$2:$C$8001,$A39,'مبيعات يومية'!$B$2:$B$8001,'إعدادات المخزون'!$A$17,'مبيعات يومية'!$A$2:$A$8001,"&gt;="&amp;'إعدادات المخزون'!$B$5,'مبيعات يومية'!$A$2:$A$8001,"&lt;="&amp;'إعدادات المخزون'!$B$4)</f>
        <v>0</v>
      </c>
      <c r="J39" s="116" t="n">
        <f aca="false">SUMIFS('مبيعات يومية'!$D$2:$D$8001,'مبيعات يومية'!$C$2:$C$8001,$A39,'مبيعات يومية'!$B$2:$B$8001,'إعدادات المخزون'!$A$17,'مبيعات يومية'!$A$2:$A$8001,"&gt;"&amp;('إعدادات المخزون'!$B$4-'إعدادات المخزون'!$B$11),'مبيعات يومية'!$A$2:$A$8001,"&lt;="&amp;'إعدادات المخزون'!$B$4)</f>
        <v>0</v>
      </c>
    </row>
    <row r="40" customFormat="false" ht="15" hidden="false" customHeight="false" outlineLevel="0" collapsed="false">
      <c r="A40" s="114" t="str">
        <f aca="false">المنيو!B40</f>
        <v>فطيرة مشكل لحوم النكش وسط</v>
      </c>
      <c r="B40" s="116" t="n">
        <f aca="false">SUMIFS('مبيعات يومية'!$D$2:$D$8001,'مبيعات يومية'!$C$2:$C$8001,$A40,'مبيعات يومية'!$B$2:$B$8001,'إعدادات المخزون'!$A$15,'مبيعات يومية'!$A$2:$A$8001,'إعدادات المخزون'!$B$4)</f>
        <v>0</v>
      </c>
      <c r="C40" s="116" t="n">
        <f aca="false">SUMIFS('مبيعات يومية'!$D$2:$D$8001,'مبيعات يومية'!$C$2:$C$8001,$A40,'مبيعات يومية'!$B$2:$B$8001,'إعدادات المخزون'!$A$15,'مبيعات يومية'!$A$2:$A$8001,"&gt;="&amp;'إعدادات المخزون'!$B$5,'مبيعات يومية'!$A$2:$A$8001,"&lt;="&amp;'إعدادات المخزون'!$B$4)</f>
        <v>0</v>
      </c>
      <c r="D40" s="116" t="n">
        <f aca="false">SUMIFS('مبيعات يومية'!$D$2:$D$8001,'مبيعات يومية'!$C$2:$C$8001,$A40,'مبيعات يومية'!$B$2:$B$8001,'إعدادات المخزون'!$A$15,'مبيعات يومية'!$A$2:$A$8001,"&gt;"&amp;('إعدادات المخزون'!$B$4-'إعدادات المخزون'!$B$11),'مبيعات يومية'!$A$2:$A$8001,"&lt;="&amp;'إعدادات المخزون'!$B$4)</f>
        <v>0</v>
      </c>
      <c r="E40" s="116" t="n">
        <f aca="false">SUMIFS('مبيعات يومية'!$D$2:$D$8001,'مبيعات يومية'!$C$2:$C$8001,$A40,'مبيعات يومية'!$B$2:$B$8001,'إعدادات المخزون'!$A$16,'مبيعات يومية'!$A$2:$A$8001,'إعدادات المخزون'!$B$4)</f>
        <v>0</v>
      </c>
      <c r="F40" s="116" t="n">
        <f aca="false">SUMIFS('مبيعات يومية'!$D$2:$D$8001,'مبيعات يومية'!$C$2:$C$8001,$A40,'مبيعات يومية'!$B$2:$B$8001,'إعدادات المخزون'!$A$16,'مبيعات يومية'!$A$2:$A$8001,"&gt;="&amp;'إعدادات المخزون'!$B$5,'مبيعات يومية'!$A$2:$A$8001,"&lt;="&amp;'إعدادات المخزون'!$B$4)</f>
        <v>0</v>
      </c>
      <c r="G40" s="116" t="n">
        <f aca="false">SUMIFS('مبيعات يومية'!$D$2:$D$8001,'مبيعات يومية'!$C$2:$C$8001,$A40,'مبيعات يومية'!$B$2:$B$8001,'إعدادات المخزون'!$A$16,'مبيعات يومية'!$A$2:$A$8001,"&gt;"&amp;('إعدادات المخزون'!$B$4-'إعدادات المخزون'!$B$11),'مبيعات يومية'!$A$2:$A$8001,"&lt;="&amp;'إعدادات المخزون'!$B$4)</f>
        <v>0</v>
      </c>
      <c r="H40" s="116" t="n">
        <f aca="false">SUMIFS('مبيعات يومية'!$D$2:$D$8001,'مبيعات يومية'!$C$2:$C$8001,$A40,'مبيعات يومية'!$B$2:$B$8001,'إعدادات المخزون'!$A$17,'مبيعات يومية'!$A$2:$A$8001,'إعدادات المخزون'!$B$4)</f>
        <v>0</v>
      </c>
      <c r="I40" s="116" t="n">
        <f aca="false">SUMIFS('مبيعات يومية'!$D$2:$D$8001,'مبيعات يومية'!$C$2:$C$8001,$A40,'مبيعات يومية'!$B$2:$B$8001,'إعدادات المخزون'!$A$17,'مبيعات يومية'!$A$2:$A$8001,"&gt;="&amp;'إعدادات المخزون'!$B$5,'مبيعات يومية'!$A$2:$A$8001,"&lt;="&amp;'إعدادات المخزون'!$B$4)</f>
        <v>0</v>
      </c>
      <c r="J40" s="116" t="n">
        <f aca="false">SUMIFS('مبيعات يومية'!$D$2:$D$8001,'مبيعات يومية'!$C$2:$C$8001,$A40,'مبيعات يومية'!$B$2:$B$8001,'إعدادات المخزون'!$A$17,'مبيعات يومية'!$A$2:$A$8001,"&gt;"&amp;('إعدادات المخزون'!$B$4-'إعدادات المخزون'!$B$11),'مبيعات يومية'!$A$2:$A$8001,"&lt;="&amp;'إعدادات المخزون'!$B$4)</f>
        <v>0</v>
      </c>
    </row>
    <row r="41" customFormat="false" ht="15" hidden="false" customHeight="false" outlineLevel="0" collapsed="false">
      <c r="A41" s="114" t="str">
        <f aca="false">المنيو!B41</f>
        <v>فطيرة مشكل لحوم النكش حجم اكبر</v>
      </c>
      <c r="B41" s="116" t="n">
        <f aca="false">SUMIFS('مبيعات يومية'!$D$2:$D$8001,'مبيعات يومية'!$C$2:$C$8001,$A41,'مبيعات يومية'!$B$2:$B$8001,'إعدادات المخزون'!$A$15,'مبيعات يومية'!$A$2:$A$8001,'إعدادات المخزون'!$B$4)</f>
        <v>0</v>
      </c>
      <c r="C41" s="116" t="n">
        <f aca="false">SUMIFS('مبيعات يومية'!$D$2:$D$8001,'مبيعات يومية'!$C$2:$C$8001,$A41,'مبيعات يومية'!$B$2:$B$8001,'إعدادات المخزون'!$A$15,'مبيعات يومية'!$A$2:$A$8001,"&gt;="&amp;'إعدادات المخزون'!$B$5,'مبيعات يومية'!$A$2:$A$8001,"&lt;="&amp;'إعدادات المخزون'!$B$4)</f>
        <v>0</v>
      </c>
      <c r="D41" s="116" t="n">
        <f aca="false">SUMIFS('مبيعات يومية'!$D$2:$D$8001,'مبيعات يومية'!$C$2:$C$8001,$A41,'مبيعات يومية'!$B$2:$B$8001,'إعدادات المخزون'!$A$15,'مبيعات يومية'!$A$2:$A$8001,"&gt;"&amp;('إعدادات المخزون'!$B$4-'إعدادات المخزون'!$B$11),'مبيعات يومية'!$A$2:$A$8001,"&lt;="&amp;'إعدادات المخزون'!$B$4)</f>
        <v>0</v>
      </c>
      <c r="E41" s="116" t="n">
        <f aca="false">SUMIFS('مبيعات يومية'!$D$2:$D$8001,'مبيعات يومية'!$C$2:$C$8001,$A41,'مبيعات يومية'!$B$2:$B$8001,'إعدادات المخزون'!$A$16,'مبيعات يومية'!$A$2:$A$8001,'إعدادات المخزون'!$B$4)</f>
        <v>0</v>
      </c>
      <c r="F41" s="116" t="n">
        <f aca="false">SUMIFS('مبيعات يومية'!$D$2:$D$8001,'مبيعات يومية'!$C$2:$C$8001,$A41,'مبيعات يومية'!$B$2:$B$8001,'إعدادات المخزون'!$A$16,'مبيعات يومية'!$A$2:$A$8001,"&gt;="&amp;'إعدادات المخزون'!$B$5,'مبيعات يومية'!$A$2:$A$8001,"&lt;="&amp;'إعدادات المخزون'!$B$4)</f>
        <v>0</v>
      </c>
      <c r="G41" s="116" t="n">
        <f aca="false">SUMIFS('مبيعات يومية'!$D$2:$D$8001,'مبيعات يومية'!$C$2:$C$8001,$A41,'مبيعات يومية'!$B$2:$B$8001,'إعدادات المخزون'!$A$16,'مبيعات يومية'!$A$2:$A$8001,"&gt;"&amp;('إعدادات المخزون'!$B$4-'إعدادات المخزون'!$B$11),'مبيعات يومية'!$A$2:$A$8001,"&lt;="&amp;'إعدادات المخزون'!$B$4)</f>
        <v>0</v>
      </c>
      <c r="H41" s="116" t="n">
        <f aca="false">SUMIFS('مبيعات يومية'!$D$2:$D$8001,'مبيعات يومية'!$C$2:$C$8001,$A41,'مبيعات يومية'!$B$2:$B$8001,'إعدادات المخزون'!$A$17,'مبيعات يومية'!$A$2:$A$8001,'إعدادات المخزون'!$B$4)</f>
        <v>0</v>
      </c>
      <c r="I41" s="116" t="n">
        <f aca="false">SUMIFS('مبيعات يومية'!$D$2:$D$8001,'مبيعات يومية'!$C$2:$C$8001,$A41,'مبيعات يومية'!$B$2:$B$8001,'إعدادات المخزون'!$A$17,'مبيعات يومية'!$A$2:$A$8001,"&gt;="&amp;'إعدادات المخزون'!$B$5,'مبيعات يومية'!$A$2:$A$8001,"&lt;="&amp;'إعدادات المخزون'!$B$4)</f>
        <v>0</v>
      </c>
      <c r="J41" s="116" t="n">
        <f aca="false">SUMIFS('مبيعات يومية'!$D$2:$D$8001,'مبيعات يومية'!$C$2:$C$8001,$A41,'مبيعات يومية'!$B$2:$B$8001,'إعدادات المخزون'!$A$17,'مبيعات يومية'!$A$2:$A$8001,"&gt;"&amp;('إعدادات المخزون'!$B$4-'إعدادات المخزون'!$B$11),'مبيعات يومية'!$A$2:$A$8001,"&lt;="&amp;'إعدادات المخزون'!$B$4)</f>
        <v>0</v>
      </c>
    </row>
    <row r="42" customFormat="false" ht="15" hidden="false" customHeight="false" outlineLevel="0" collapsed="false">
      <c r="A42" s="114" t="str">
        <f aca="false">المنيو!B42</f>
        <v>فطيرة مشلتت بالسمنة البلدي صغير</v>
      </c>
      <c r="B42" s="116" t="n">
        <f aca="false">SUMIFS('مبيعات يومية'!$D$2:$D$8001,'مبيعات يومية'!$C$2:$C$8001,$A42,'مبيعات يومية'!$B$2:$B$8001,'إعدادات المخزون'!$A$15,'مبيعات يومية'!$A$2:$A$8001,'إعدادات المخزون'!$B$4)</f>
        <v>0</v>
      </c>
      <c r="C42" s="116" t="n">
        <f aca="false">SUMIFS('مبيعات يومية'!$D$2:$D$8001,'مبيعات يومية'!$C$2:$C$8001,$A42,'مبيعات يومية'!$B$2:$B$8001,'إعدادات المخزون'!$A$15,'مبيعات يومية'!$A$2:$A$8001,"&gt;="&amp;'إعدادات المخزون'!$B$5,'مبيعات يومية'!$A$2:$A$8001,"&lt;="&amp;'إعدادات المخزون'!$B$4)</f>
        <v>0</v>
      </c>
      <c r="D42" s="116" t="n">
        <f aca="false">SUMIFS('مبيعات يومية'!$D$2:$D$8001,'مبيعات يومية'!$C$2:$C$8001,$A42,'مبيعات يومية'!$B$2:$B$8001,'إعدادات المخزون'!$A$15,'مبيعات يومية'!$A$2:$A$8001,"&gt;"&amp;('إعدادات المخزون'!$B$4-'إعدادات المخزون'!$B$11),'مبيعات يومية'!$A$2:$A$8001,"&lt;="&amp;'إعدادات المخزون'!$B$4)</f>
        <v>0</v>
      </c>
      <c r="E42" s="116" t="n">
        <f aca="false">SUMIFS('مبيعات يومية'!$D$2:$D$8001,'مبيعات يومية'!$C$2:$C$8001,$A42,'مبيعات يومية'!$B$2:$B$8001,'إعدادات المخزون'!$A$16,'مبيعات يومية'!$A$2:$A$8001,'إعدادات المخزون'!$B$4)</f>
        <v>0</v>
      </c>
      <c r="F42" s="116" t="n">
        <f aca="false">SUMIFS('مبيعات يومية'!$D$2:$D$8001,'مبيعات يومية'!$C$2:$C$8001,$A42,'مبيعات يومية'!$B$2:$B$8001,'إعدادات المخزون'!$A$16,'مبيعات يومية'!$A$2:$A$8001,"&gt;="&amp;'إعدادات المخزون'!$B$5,'مبيعات يومية'!$A$2:$A$8001,"&lt;="&amp;'إعدادات المخزون'!$B$4)</f>
        <v>0</v>
      </c>
      <c r="G42" s="116" t="n">
        <f aca="false">SUMIFS('مبيعات يومية'!$D$2:$D$8001,'مبيعات يومية'!$C$2:$C$8001,$A42,'مبيعات يومية'!$B$2:$B$8001,'إعدادات المخزون'!$A$16,'مبيعات يومية'!$A$2:$A$8001,"&gt;"&amp;('إعدادات المخزون'!$B$4-'إعدادات المخزون'!$B$11),'مبيعات يومية'!$A$2:$A$8001,"&lt;="&amp;'إعدادات المخزون'!$B$4)</f>
        <v>0</v>
      </c>
      <c r="H42" s="116" t="n">
        <f aca="false">SUMIFS('مبيعات يومية'!$D$2:$D$8001,'مبيعات يومية'!$C$2:$C$8001,$A42,'مبيعات يومية'!$B$2:$B$8001,'إعدادات المخزون'!$A$17,'مبيعات يومية'!$A$2:$A$8001,'إعدادات المخزون'!$B$4)</f>
        <v>0</v>
      </c>
      <c r="I42" s="116" t="n">
        <f aca="false">SUMIFS('مبيعات يومية'!$D$2:$D$8001,'مبيعات يومية'!$C$2:$C$8001,$A42,'مبيعات يومية'!$B$2:$B$8001,'إعدادات المخزون'!$A$17,'مبيعات يومية'!$A$2:$A$8001,"&gt;="&amp;'إعدادات المخزون'!$B$5,'مبيعات يومية'!$A$2:$A$8001,"&lt;="&amp;'إعدادات المخزون'!$B$4)</f>
        <v>0</v>
      </c>
      <c r="J42" s="116" t="n">
        <f aca="false">SUMIFS('مبيعات يومية'!$D$2:$D$8001,'مبيعات يومية'!$C$2:$C$8001,$A42,'مبيعات يومية'!$B$2:$B$8001,'إعدادات المخزون'!$A$17,'مبيعات يومية'!$A$2:$A$8001,"&gt;"&amp;('إعدادات المخزون'!$B$4-'إعدادات المخزون'!$B$11),'مبيعات يومية'!$A$2:$A$8001,"&lt;="&amp;'إعدادات المخزون'!$B$4)</f>
        <v>0</v>
      </c>
    </row>
    <row r="43" customFormat="false" ht="15" hidden="false" customHeight="false" outlineLevel="0" collapsed="false">
      <c r="A43" s="114" t="str">
        <f aca="false">المنيو!B43</f>
        <v>فطيرة مشلتت بالسمنة البلدي وسط</v>
      </c>
      <c r="B43" s="116" t="n">
        <f aca="false">SUMIFS('مبيعات يومية'!$D$2:$D$8001,'مبيعات يومية'!$C$2:$C$8001,$A43,'مبيعات يومية'!$B$2:$B$8001,'إعدادات المخزون'!$A$15,'مبيعات يومية'!$A$2:$A$8001,'إعدادات المخزون'!$B$4)</f>
        <v>0</v>
      </c>
      <c r="C43" s="116" t="n">
        <f aca="false">SUMIFS('مبيعات يومية'!$D$2:$D$8001,'مبيعات يومية'!$C$2:$C$8001,$A43,'مبيعات يومية'!$B$2:$B$8001,'إعدادات المخزون'!$A$15,'مبيعات يومية'!$A$2:$A$8001,"&gt;="&amp;'إعدادات المخزون'!$B$5,'مبيعات يومية'!$A$2:$A$8001,"&lt;="&amp;'إعدادات المخزون'!$B$4)</f>
        <v>0</v>
      </c>
      <c r="D43" s="116" t="n">
        <f aca="false">SUMIFS('مبيعات يومية'!$D$2:$D$8001,'مبيعات يومية'!$C$2:$C$8001,$A43,'مبيعات يومية'!$B$2:$B$8001,'إعدادات المخزون'!$A$15,'مبيعات يومية'!$A$2:$A$8001,"&gt;"&amp;('إعدادات المخزون'!$B$4-'إعدادات المخزون'!$B$11),'مبيعات يومية'!$A$2:$A$8001,"&lt;="&amp;'إعدادات المخزون'!$B$4)</f>
        <v>0</v>
      </c>
      <c r="E43" s="116" t="n">
        <f aca="false">SUMIFS('مبيعات يومية'!$D$2:$D$8001,'مبيعات يومية'!$C$2:$C$8001,$A43,'مبيعات يومية'!$B$2:$B$8001,'إعدادات المخزون'!$A$16,'مبيعات يومية'!$A$2:$A$8001,'إعدادات المخزون'!$B$4)</f>
        <v>0</v>
      </c>
      <c r="F43" s="116" t="n">
        <f aca="false">SUMIFS('مبيعات يومية'!$D$2:$D$8001,'مبيعات يومية'!$C$2:$C$8001,$A43,'مبيعات يومية'!$B$2:$B$8001,'إعدادات المخزون'!$A$16,'مبيعات يومية'!$A$2:$A$8001,"&gt;="&amp;'إعدادات المخزون'!$B$5,'مبيعات يومية'!$A$2:$A$8001,"&lt;="&amp;'إعدادات المخزون'!$B$4)</f>
        <v>0</v>
      </c>
      <c r="G43" s="116" t="n">
        <f aca="false">SUMIFS('مبيعات يومية'!$D$2:$D$8001,'مبيعات يومية'!$C$2:$C$8001,$A43,'مبيعات يومية'!$B$2:$B$8001,'إعدادات المخزون'!$A$16,'مبيعات يومية'!$A$2:$A$8001,"&gt;"&amp;('إعدادات المخزون'!$B$4-'إعدادات المخزون'!$B$11),'مبيعات يومية'!$A$2:$A$8001,"&lt;="&amp;'إعدادات المخزون'!$B$4)</f>
        <v>0</v>
      </c>
      <c r="H43" s="116" t="n">
        <f aca="false">SUMIFS('مبيعات يومية'!$D$2:$D$8001,'مبيعات يومية'!$C$2:$C$8001,$A43,'مبيعات يومية'!$B$2:$B$8001,'إعدادات المخزون'!$A$17,'مبيعات يومية'!$A$2:$A$8001,'إعدادات المخزون'!$B$4)</f>
        <v>0</v>
      </c>
      <c r="I43" s="116" t="n">
        <f aca="false">SUMIFS('مبيعات يومية'!$D$2:$D$8001,'مبيعات يومية'!$C$2:$C$8001,$A43,'مبيعات يومية'!$B$2:$B$8001,'إعدادات المخزون'!$A$17,'مبيعات يومية'!$A$2:$A$8001,"&gt;="&amp;'إعدادات المخزون'!$B$5,'مبيعات يومية'!$A$2:$A$8001,"&lt;="&amp;'إعدادات المخزون'!$B$4)</f>
        <v>0</v>
      </c>
      <c r="J43" s="116" t="n">
        <f aca="false">SUMIFS('مبيعات يومية'!$D$2:$D$8001,'مبيعات يومية'!$C$2:$C$8001,$A43,'مبيعات يومية'!$B$2:$B$8001,'إعدادات المخزون'!$A$17,'مبيعات يومية'!$A$2:$A$8001,"&gt;"&amp;('إعدادات المخزون'!$B$4-'إعدادات المخزون'!$B$11),'مبيعات يومية'!$A$2:$A$8001,"&lt;="&amp;'إعدادات المخزون'!$B$4)</f>
        <v>0</v>
      </c>
    </row>
    <row r="44" customFormat="false" ht="15" hidden="false" customHeight="false" outlineLevel="0" collapsed="false">
      <c r="A44" s="114" t="str">
        <f aca="false">المنيو!B44</f>
        <v>فطيرة مشلتت بالسمنة البلدي كبير</v>
      </c>
      <c r="B44" s="116" t="n">
        <f aca="false">SUMIFS('مبيعات يومية'!$D$2:$D$8001,'مبيعات يومية'!$C$2:$C$8001,$A44,'مبيعات يومية'!$B$2:$B$8001,'إعدادات المخزون'!$A$15,'مبيعات يومية'!$A$2:$A$8001,'إعدادات المخزون'!$B$4)</f>
        <v>0</v>
      </c>
      <c r="C44" s="116" t="n">
        <f aca="false">SUMIFS('مبيعات يومية'!$D$2:$D$8001,'مبيعات يومية'!$C$2:$C$8001,$A44,'مبيعات يومية'!$B$2:$B$8001,'إعدادات المخزون'!$A$15,'مبيعات يومية'!$A$2:$A$8001,"&gt;="&amp;'إعدادات المخزون'!$B$5,'مبيعات يومية'!$A$2:$A$8001,"&lt;="&amp;'إعدادات المخزون'!$B$4)</f>
        <v>0</v>
      </c>
      <c r="D44" s="116" t="n">
        <f aca="false">SUMIFS('مبيعات يومية'!$D$2:$D$8001,'مبيعات يومية'!$C$2:$C$8001,$A44,'مبيعات يومية'!$B$2:$B$8001,'إعدادات المخزون'!$A$15,'مبيعات يومية'!$A$2:$A$8001,"&gt;"&amp;('إعدادات المخزون'!$B$4-'إعدادات المخزون'!$B$11),'مبيعات يومية'!$A$2:$A$8001,"&lt;="&amp;'إعدادات المخزون'!$B$4)</f>
        <v>0</v>
      </c>
      <c r="E44" s="116" t="n">
        <f aca="false">SUMIFS('مبيعات يومية'!$D$2:$D$8001,'مبيعات يومية'!$C$2:$C$8001,$A44,'مبيعات يومية'!$B$2:$B$8001,'إعدادات المخزون'!$A$16,'مبيعات يومية'!$A$2:$A$8001,'إعدادات المخزون'!$B$4)</f>
        <v>0</v>
      </c>
      <c r="F44" s="116" t="n">
        <f aca="false">SUMIFS('مبيعات يومية'!$D$2:$D$8001,'مبيعات يومية'!$C$2:$C$8001,$A44,'مبيعات يومية'!$B$2:$B$8001,'إعدادات المخزون'!$A$16,'مبيعات يومية'!$A$2:$A$8001,"&gt;="&amp;'إعدادات المخزون'!$B$5,'مبيعات يومية'!$A$2:$A$8001,"&lt;="&amp;'إعدادات المخزون'!$B$4)</f>
        <v>0</v>
      </c>
      <c r="G44" s="116" t="n">
        <f aca="false">SUMIFS('مبيعات يومية'!$D$2:$D$8001,'مبيعات يومية'!$C$2:$C$8001,$A44,'مبيعات يومية'!$B$2:$B$8001,'إعدادات المخزون'!$A$16,'مبيعات يومية'!$A$2:$A$8001,"&gt;"&amp;('إعدادات المخزون'!$B$4-'إعدادات المخزون'!$B$11),'مبيعات يومية'!$A$2:$A$8001,"&lt;="&amp;'إعدادات المخزون'!$B$4)</f>
        <v>0</v>
      </c>
      <c r="H44" s="116" t="n">
        <f aca="false">SUMIFS('مبيعات يومية'!$D$2:$D$8001,'مبيعات يومية'!$C$2:$C$8001,$A44,'مبيعات يومية'!$B$2:$B$8001,'إعدادات المخزون'!$A$17,'مبيعات يومية'!$A$2:$A$8001,'إعدادات المخزون'!$B$4)</f>
        <v>0</v>
      </c>
      <c r="I44" s="116" t="n">
        <f aca="false">SUMIFS('مبيعات يومية'!$D$2:$D$8001,'مبيعات يومية'!$C$2:$C$8001,$A44,'مبيعات يومية'!$B$2:$B$8001,'إعدادات المخزون'!$A$17,'مبيعات يومية'!$A$2:$A$8001,"&gt;="&amp;'إعدادات المخزون'!$B$5,'مبيعات يومية'!$A$2:$A$8001,"&lt;="&amp;'إعدادات المخزون'!$B$4)</f>
        <v>0</v>
      </c>
      <c r="J44" s="116" t="n">
        <f aca="false">SUMIFS('مبيعات يومية'!$D$2:$D$8001,'مبيعات يومية'!$C$2:$C$8001,$A44,'مبيعات يومية'!$B$2:$B$8001,'إعدادات المخزون'!$A$17,'مبيعات يومية'!$A$2:$A$8001,"&gt;"&amp;('إعدادات المخزون'!$B$4-'إعدادات المخزون'!$B$11),'مبيعات يومية'!$A$2:$A$8001,"&lt;="&amp;'إعدادات المخزون'!$B$4)</f>
        <v>0</v>
      </c>
    </row>
    <row r="45" customFormat="false" ht="15" hidden="false" customHeight="false" outlineLevel="0" collapsed="false">
      <c r="A45" s="114" t="str">
        <f aca="false">المنيو!B45</f>
        <v>فطيرة جمبري وسط</v>
      </c>
      <c r="B45" s="116" t="n">
        <f aca="false">SUMIFS('مبيعات يومية'!$D$2:$D$8001,'مبيعات يومية'!$C$2:$C$8001,$A45,'مبيعات يومية'!$B$2:$B$8001,'إعدادات المخزون'!$A$15,'مبيعات يومية'!$A$2:$A$8001,'إعدادات المخزون'!$B$4)</f>
        <v>0</v>
      </c>
      <c r="C45" s="116" t="n">
        <f aca="false">SUMIFS('مبيعات يومية'!$D$2:$D$8001,'مبيعات يومية'!$C$2:$C$8001,$A45,'مبيعات يومية'!$B$2:$B$8001,'إعدادات المخزون'!$A$15,'مبيعات يومية'!$A$2:$A$8001,"&gt;="&amp;'إعدادات المخزون'!$B$5,'مبيعات يومية'!$A$2:$A$8001,"&lt;="&amp;'إعدادات المخزون'!$B$4)</f>
        <v>0</v>
      </c>
      <c r="D45" s="116" t="n">
        <f aca="false">SUMIFS('مبيعات يومية'!$D$2:$D$8001,'مبيعات يومية'!$C$2:$C$8001,$A45,'مبيعات يومية'!$B$2:$B$8001,'إعدادات المخزون'!$A$15,'مبيعات يومية'!$A$2:$A$8001,"&gt;"&amp;('إعدادات المخزون'!$B$4-'إعدادات المخزون'!$B$11),'مبيعات يومية'!$A$2:$A$8001,"&lt;="&amp;'إعدادات المخزون'!$B$4)</f>
        <v>0</v>
      </c>
      <c r="E45" s="116" t="n">
        <f aca="false">SUMIFS('مبيعات يومية'!$D$2:$D$8001,'مبيعات يومية'!$C$2:$C$8001,$A45,'مبيعات يومية'!$B$2:$B$8001,'إعدادات المخزون'!$A$16,'مبيعات يومية'!$A$2:$A$8001,'إعدادات المخزون'!$B$4)</f>
        <v>0</v>
      </c>
      <c r="F45" s="116" t="n">
        <f aca="false">SUMIFS('مبيعات يومية'!$D$2:$D$8001,'مبيعات يومية'!$C$2:$C$8001,$A45,'مبيعات يومية'!$B$2:$B$8001,'إعدادات المخزون'!$A$16,'مبيعات يومية'!$A$2:$A$8001,"&gt;="&amp;'إعدادات المخزون'!$B$5,'مبيعات يومية'!$A$2:$A$8001,"&lt;="&amp;'إعدادات المخزون'!$B$4)</f>
        <v>0</v>
      </c>
      <c r="G45" s="116" t="n">
        <f aca="false">SUMIFS('مبيعات يومية'!$D$2:$D$8001,'مبيعات يومية'!$C$2:$C$8001,$A45,'مبيعات يومية'!$B$2:$B$8001,'إعدادات المخزون'!$A$16,'مبيعات يومية'!$A$2:$A$8001,"&gt;"&amp;('إعدادات المخزون'!$B$4-'إعدادات المخزون'!$B$11),'مبيعات يومية'!$A$2:$A$8001,"&lt;="&amp;'إعدادات المخزون'!$B$4)</f>
        <v>0</v>
      </c>
      <c r="H45" s="116" t="n">
        <f aca="false">SUMIFS('مبيعات يومية'!$D$2:$D$8001,'مبيعات يومية'!$C$2:$C$8001,$A45,'مبيعات يومية'!$B$2:$B$8001,'إعدادات المخزون'!$A$17,'مبيعات يومية'!$A$2:$A$8001,'إعدادات المخزون'!$B$4)</f>
        <v>0</v>
      </c>
      <c r="I45" s="116" t="n">
        <f aca="false">SUMIFS('مبيعات يومية'!$D$2:$D$8001,'مبيعات يومية'!$C$2:$C$8001,$A45,'مبيعات يومية'!$B$2:$B$8001,'إعدادات المخزون'!$A$17,'مبيعات يومية'!$A$2:$A$8001,"&gt;="&amp;'إعدادات المخزون'!$B$5,'مبيعات يومية'!$A$2:$A$8001,"&lt;="&amp;'إعدادات المخزون'!$B$4)</f>
        <v>0</v>
      </c>
      <c r="J45" s="116" t="n">
        <f aca="false">SUMIFS('مبيعات يومية'!$D$2:$D$8001,'مبيعات يومية'!$C$2:$C$8001,$A45,'مبيعات يومية'!$B$2:$B$8001,'إعدادات المخزون'!$A$17,'مبيعات يومية'!$A$2:$A$8001,"&gt;"&amp;('إعدادات المخزون'!$B$4-'إعدادات المخزون'!$B$11),'مبيعات يومية'!$A$2:$A$8001,"&lt;="&amp;'إعدادات المخزون'!$B$4)</f>
        <v>0</v>
      </c>
    </row>
    <row r="46" customFormat="false" ht="15" hidden="false" customHeight="false" outlineLevel="0" collapsed="false">
      <c r="A46" s="114" t="str">
        <f aca="false">المنيو!B46</f>
        <v>فطيرة جمبري حجم اكبر</v>
      </c>
      <c r="B46" s="116" t="n">
        <f aca="false">SUMIFS('مبيعات يومية'!$D$2:$D$8001,'مبيعات يومية'!$C$2:$C$8001,$A46,'مبيعات يومية'!$B$2:$B$8001,'إعدادات المخزون'!$A$15,'مبيعات يومية'!$A$2:$A$8001,'إعدادات المخزون'!$B$4)</f>
        <v>0</v>
      </c>
      <c r="C46" s="116" t="n">
        <f aca="false">SUMIFS('مبيعات يومية'!$D$2:$D$8001,'مبيعات يومية'!$C$2:$C$8001,$A46,'مبيعات يومية'!$B$2:$B$8001,'إعدادات المخزون'!$A$15,'مبيعات يومية'!$A$2:$A$8001,"&gt;="&amp;'إعدادات المخزون'!$B$5,'مبيعات يومية'!$A$2:$A$8001,"&lt;="&amp;'إعدادات المخزون'!$B$4)</f>
        <v>0</v>
      </c>
      <c r="D46" s="116" t="n">
        <f aca="false">SUMIFS('مبيعات يومية'!$D$2:$D$8001,'مبيعات يومية'!$C$2:$C$8001,$A46,'مبيعات يومية'!$B$2:$B$8001,'إعدادات المخزون'!$A$15,'مبيعات يومية'!$A$2:$A$8001,"&gt;"&amp;('إعدادات المخزون'!$B$4-'إعدادات المخزون'!$B$11),'مبيعات يومية'!$A$2:$A$8001,"&lt;="&amp;'إعدادات المخزون'!$B$4)</f>
        <v>0</v>
      </c>
      <c r="E46" s="116" t="n">
        <f aca="false">SUMIFS('مبيعات يومية'!$D$2:$D$8001,'مبيعات يومية'!$C$2:$C$8001,$A46,'مبيعات يومية'!$B$2:$B$8001,'إعدادات المخزون'!$A$16,'مبيعات يومية'!$A$2:$A$8001,'إعدادات المخزون'!$B$4)</f>
        <v>0</v>
      </c>
      <c r="F46" s="116" t="n">
        <f aca="false">SUMIFS('مبيعات يومية'!$D$2:$D$8001,'مبيعات يومية'!$C$2:$C$8001,$A46,'مبيعات يومية'!$B$2:$B$8001,'إعدادات المخزون'!$A$16,'مبيعات يومية'!$A$2:$A$8001,"&gt;="&amp;'إعدادات المخزون'!$B$5,'مبيعات يومية'!$A$2:$A$8001,"&lt;="&amp;'إعدادات المخزون'!$B$4)</f>
        <v>0</v>
      </c>
      <c r="G46" s="116" t="n">
        <f aca="false">SUMIFS('مبيعات يومية'!$D$2:$D$8001,'مبيعات يومية'!$C$2:$C$8001,$A46,'مبيعات يومية'!$B$2:$B$8001,'إعدادات المخزون'!$A$16,'مبيعات يومية'!$A$2:$A$8001,"&gt;"&amp;('إعدادات المخزون'!$B$4-'إعدادات المخزون'!$B$11),'مبيعات يومية'!$A$2:$A$8001,"&lt;="&amp;'إعدادات المخزون'!$B$4)</f>
        <v>0</v>
      </c>
      <c r="H46" s="116" t="n">
        <f aca="false">SUMIFS('مبيعات يومية'!$D$2:$D$8001,'مبيعات يومية'!$C$2:$C$8001,$A46,'مبيعات يومية'!$B$2:$B$8001,'إعدادات المخزون'!$A$17,'مبيعات يومية'!$A$2:$A$8001,'إعدادات المخزون'!$B$4)</f>
        <v>0</v>
      </c>
      <c r="I46" s="116" t="n">
        <f aca="false">SUMIFS('مبيعات يومية'!$D$2:$D$8001,'مبيعات يومية'!$C$2:$C$8001,$A46,'مبيعات يومية'!$B$2:$B$8001,'إعدادات المخزون'!$A$17,'مبيعات يومية'!$A$2:$A$8001,"&gt;="&amp;'إعدادات المخزون'!$B$5,'مبيعات يومية'!$A$2:$A$8001,"&lt;="&amp;'إعدادات المخزون'!$B$4)</f>
        <v>0</v>
      </c>
      <c r="J46" s="116" t="n">
        <f aca="false">SUMIFS('مبيعات يومية'!$D$2:$D$8001,'مبيعات يومية'!$C$2:$C$8001,$A46,'مبيعات يومية'!$B$2:$B$8001,'إعدادات المخزون'!$A$17,'مبيعات يومية'!$A$2:$A$8001,"&gt;"&amp;('إعدادات المخزون'!$B$4-'إعدادات المخزون'!$B$11),'مبيعات يومية'!$A$2:$A$8001,"&lt;="&amp;'إعدادات المخزون'!$B$4)</f>
        <v>0</v>
      </c>
    </row>
    <row r="47" customFormat="false" ht="15" hidden="false" customHeight="false" outlineLevel="0" collapsed="false">
      <c r="A47" s="114" t="str">
        <f aca="false">المنيو!B47</f>
        <v>فطيرة سكر / كاستر</v>
      </c>
      <c r="B47" s="116" t="n">
        <f aca="false">SUMIFS('مبيعات يومية'!$D$2:$D$8001,'مبيعات يومية'!$C$2:$C$8001,$A47,'مبيعات يومية'!$B$2:$B$8001,'إعدادات المخزون'!$A$15,'مبيعات يومية'!$A$2:$A$8001,'إعدادات المخزون'!$B$4)</f>
        <v>0</v>
      </c>
      <c r="C47" s="116" t="n">
        <f aca="false">SUMIFS('مبيعات يومية'!$D$2:$D$8001,'مبيعات يومية'!$C$2:$C$8001,$A47,'مبيعات يومية'!$B$2:$B$8001,'إعدادات المخزون'!$A$15,'مبيعات يومية'!$A$2:$A$8001,"&gt;="&amp;'إعدادات المخزون'!$B$5,'مبيعات يومية'!$A$2:$A$8001,"&lt;="&amp;'إعدادات المخزون'!$B$4)</f>
        <v>0</v>
      </c>
      <c r="D47" s="116" t="n">
        <f aca="false">SUMIFS('مبيعات يومية'!$D$2:$D$8001,'مبيعات يومية'!$C$2:$C$8001,$A47,'مبيعات يومية'!$B$2:$B$8001,'إعدادات المخزون'!$A$15,'مبيعات يومية'!$A$2:$A$8001,"&gt;"&amp;('إعدادات المخزون'!$B$4-'إعدادات المخزون'!$B$11),'مبيعات يومية'!$A$2:$A$8001,"&lt;="&amp;'إعدادات المخزون'!$B$4)</f>
        <v>0</v>
      </c>
      <c r="E47" s="116" t="n">
        <f aca="false">SUMIFS('مبيعات يومية'!$D$2:$D$8001,'مبيعات يومية'!$C$2:$C$8001,$A47,'مبيعات يومية'!$B$2:$B$8001,'إعدادات المخزون'!$A$16,'مبيعات يومية'!$A$2:$A$8001,'إعدادات المخزون'!$B$4)</f>
        <v>0</v>
      </c>
      <c r="F47" s="116" t="n">
        <f aca="false">SUMIFS('مبيعات يومية'!$D$2:$D$8001,'مبيعات يومية'!$C$2:$C$8001,$A47,'مبيعات يومية'!$B$2:$B$8001,'إعدادات المخزون'!$A$16,'مبيعات يومية'!$A$2:$A$8001,"&gt;="&amp;'إعدادات المخزون'!$B$5,'مبيعات يومية'!$A$2:$A$8001,"&lt;="&amp;'إعدادات المخزون'!$B$4)</f>
        <v>0</v>
      </c>
      <c r="G47" s="116" t="n">
        <f aca="false">SUMIFS('مبيعات يومية'!$D$2:$D$8001,'مبيعات يومية'!$C$2:$C$8001,$A47,'مبيعات يومية'!$B$2:$B$8001,'إعدادات المخزون'!$A$16,'مبيعات يومية'!$A$2:$A$8001,"&gt;"&amp;('إعدادات المخزون'!$B$4-'إعدادات المخزون'!$B$11),'مبيعات يومية'!$A$2:$A$8001,"&lt;="&amp;'إعدادات المخزون'!$B$4)</f>
        <v>0</v>
      </c>
      <c r="H47" s="116" t="n">
        <f aca="false">SUMIFS('مبيعات يومية'!$D$2:$D$8001,'مبيعات يومية'!$C$2:$C$8001,$A47,'مبيعات يومية'!$B$2:$B$8001,'إعدادات المخزون'!$A$17,'مبيعات يومية'!$A$2:$A$8001,'إعدادات المخزون'!$B$4)</f>
        <v>0</v>
      </c>
      <c r="I47" s="116" t="n">
        <f aca="false">SUMIFS('مبيعات يومية'!$D$2:$D$8001,'مبيعات يومية'!$C$2:$C$8001,$A47,'مبيعات يومية'!$B$2:$B$8001,'إعدادات المخزون'!$A$17,'مبيعات يومية'!$A$2:$A$8001,"&gt;="&amp;'إعدادات المخزون'!$B$5,'مبيعات يومية'!$A$2:$A$8001,"&lt;="&amp;'إعدادات المخزون'!$B$4)</f>
        <v>0</v>
      </c>
      <c r="J47" s="116" t="n">
        <f aca="false">SUMIFS('مبيعات يومية'!$D$2:$D$8001,'مبيعات يومية'!$C$2:$C$8001,$A47,'مبيعات يومية'!$B$2:$B$8001,'إعدادات المخزون'!$A$17,'مبيعات يومية'!$A$2:$A$8001,"&gt;"&amp;('إعدادات المخزون'!$B$4-'إعدادات المخزون'!$B$11),'مبيعات يومية'!$A$2:$A$8001,"&lt;="&amp;'إعدادات المخزون'!$B$4)</f>
        <v>0</v>
      </c>
    </row>
    <row r="48" customFormat="false" ht="15" hidden="false" customHeight="false" outlineLevel="0" collapsed="false">
      <c r="A48" s="114" t="str">
        <f aca="false">المنيو!B48</f>
        <v>فطيرة ملوكي زبيب وجوزهند</v>
      </c>
      <c r="B48" s="116" t="n">
        <f aca="false">SUMIFS('مبيعات يومية'!$D$2:$D$8001,'مبيعات يومية'!$C$2:$C$8001,$A48,'مبيعات يومية'!$B$2:$B$8001,'إعدادات المخزون'!$A$15,'مبيعات يومية'!$A$2:$A$8001,'إعدادات المخزون'!$B$4)</f>
        <v>0</v>
      </c>
      <c r="C48" s="116" t="n">
        <f aca="false">SUMIFS('مبيعات يومية'!$D$2:$D$8001,'مبيعات يومية'!$C$2:$C$8001,$A48,'مبيعات يومية'!$B$2:$B$8001,'إعدادات المخزون'!$A$15,'مبيعات يومية'!$A$2:$A$8001,"&gt;="&amp;'إعدادات المخزون'!$B$5,'مبيعات يومية'!$A$2:$A$8001,"&lt;="&amp;'إعدادات المخزون'!$B$4)</f>
        <v>0</v>
      </c>
      <c r="D48" s="116" t="n">
        <f aca="false">SUMIFS('مبيعات يومية'!$D$2:$D$8001,'مبيعات يومية'!$C$2:$C$8001,$A48,'مبيعات يومية'!$B$2:$B$8001,'إعدادات المخزون'!$A$15,'مبيعات يومية'!$A$2:$A$8001,"&gt;"&amp;('إعدادات المخزون'!$B$4-'إعدادات المخزون'!$B$11),'مبيعات يومية'!$A$2:$A$8001,"&lt;="&amp;'إعدادات المخزون'!$B$4)</f>
        <v>0</v>
      </c>
      <c r="E48" s="116" t="n">
        <f aca="false">SUMIFS('مبيعات يومية'!$D$2:$D$8001,'مبيعات يومية'!$C$2:$C$8001,$A48,'مبيعات يومية'!$B$2:$B$8001,'إعدادات المخزون'!$A$16,'مبيعات يومية'!$A$2:$A$8001,'إعدادات المخزون'!$B$4)</f>
        <v>0</v>
      </c>
      <c r="F48" s="116" t="n">
        <f aca="false">SUMIFS('مبيعات يومية'!$D$2:$D$8001,'مبيعات يومية'!$C$2:$C$8001,$A48,'مبيعات يومية'!$B$2:$B$8001,'إعدادات المخزون'!$A$16,'مبيعات يومية'!$A$2:$A$8001,"&gt;="&amp;'إعدادات المخزون'!$B$5,'مبيعات يومية'!$A$2:$A$8001,"&lt;="&amp;'إعدادات المخزون'!$B$4)</f>
        <v>0</v>
      </c>
      <c r="G48" s="116" t="n">
        <f aca="false">SUMIFS('مبيعات يومية'!$D$2:$D$8001,'مبيعات يومية'!$C$2:$C$8001,$A48,'مبيعات يومية'!$B$2:$B$8001,'إعدادات المخزون'!$A$16,'مبيعات يومية'!$A$2:$A$8001,"&gt;"&amp;('إعدادات المخزون'!$B$4-'إعدادات المخزون'!$B$11),'مبيعات يومية'!$A$2:$A$8001,"&lt;="&amp;'إعدادات المخزون'!$B$4)</f>
        <v>0</v>
      </c>
      <c r="H48" s="116" t="n">
        <f aca="false">SUMIFS('مبيعات يومية'!$D$2:$D$8001,'مبيعات يومية'!$C$2:$C$8001,$A48,'مبيعات يومية'!$B$2:$B$8001,'إعدادات المخزون'!$A$17,'مبيعات يومية'!$A$2:$A$8001,'إعدادات المخزون'!$B$4)</f>
        <v>0</v>
      </c>
      <c r="I48" s="116" t="n">
        <f aca="false">SUMIFS('مبيعات يومية'!$D$2:$D$8001,'مبيعات يومية'!$C$2:$C$8001,$A48,'مبيعات يومية'!$B$2:$B$8001,'إعدادات المخزون'!$A$17,'مبيعات يومية'!$A$2:$A$8001,"&gt;="&amp;'إعدادات المخزون'!$B$5,'مبيعات يومية'!$A$2:$A$8001,"&lt;="&amp;'إعدادات المخزون'!$B$4)</f>
        <v>0</v>
      </c>
      <c r="J48" s="116" t="n">
        <f aca="false">SUMIFS('مبيعات يومية'!$D$2:$D$8001,'مبيعات يومية'!$C$2:$C$8001,$A48,'مبيعات يومية'!$B$2:$B$8001,'إعدادات المخزون'!$A$17,'مبيعات يومية'!$A$2:$A$8001,"&gt;"&amp;('إعدادات المخزون'!$B$4-'إعدادات المخزون'!$B$11),'مبيعات يومية'!$A$2:$A$8001,"&lt;="&amp;'إعدادات المخزون'!$B$4)</f>
        <v>0</v>
      </c>
    </row>
    <row r="49" customFormat="false" ht="15" hidden="false" customHeight="false" outlineLevel="0" collapsed="false">
      <c r="A49" s="114" t="str">
        <f aca="false">المنيو!B49</f>
        <v>فطيرة قشطة عسل مكسرات</v>
      </c>
      <c r="B49" s="116" t="n">
        <f aca="false">SUMIFS('مبيعات يومية'!$D$2:$D$8001,'مبيعات يومية'!$C$2:$C$8001,$A49,'مبيعات يومية'!$B$2:$B$8001,'إعدادات المخزون'!$A$15,'مبيعات يومية'!$A$2:$A$8001,'إعدادات المخزون'!$B$4)</f>
        <v>0</v>
      </c>
      <c r="C49" s="116" t="n">
        <f aca="false">SUMIFS('مبيعات يومية'!$D$2:$D$8001,'مبيعات يومية'!$C$2:$C$8001,$A49,'مبيعات يومية'!$B$2:$B$8001,'إعدادات المخزون'!$A$15,'مبيعات يومية'!$A$2:$A$8001,"&gt;="&amp;'إعدادات المخزون'!$B$5,'مبيعات يومية'!$A$2:$A$8001,"&lt;="&amp;'إعدادات المخزون'!$B$4)</f>
        <v>0</v>
      </c>
      <c r="D49" s="116" t="n">
        <f aca="false">SUMIFS('مبيعات يومية'!$D$2:$D$8001,'مبيعات يومية'!$C$2:$C$8001,$A49,'مبيعات يومية'!$B$2:$B$8001,'إعدادات المخزون'!$A$15,'مبيعات يومية'!$A$2:$A$8001,"&gt;"&amp;('إعدادات المخزون'!$B$4-'إعدادات المخزون'!$B$11),'مبيعات يومية'!$A$2:$A$8001,"&lt;="&amp;'إعدادات المخزون'!$B$4)</f>
        <v>0</v>
      </c>
      <c r="E49" s="116" t="n">
        <f aca="false">SUMIFS('مبيعات يومية'!$D$2:$D$8001,'مبيعات يومية'!$C$2:$C$8001,$A49,'مبيعات يومية'!$B$2:$B$8001,'إعدادات المخزون'!$A$16,'مبيعات يومية'!$A$2:$A$8001,'إعدادات المخزون'!$B$4)</f>
        <v>0</v>
      </c>
      <c r="F49" s="116" t="n">
        <f aca="false">SUMIFS('مبيعات يومية'!$D$2:$D$8001,'مبيعات يومية'!$C$2:$C$8001,$A49,'مبيعات يومية'!$B$2:$B$8001,'إعدادات المخزون'!$A$16,'مبيعات يومية'!$A$2:$A$8001,"&gt;="&amp;'إعدادات المخزون'!$B$5,'مبيعات يومية'!$A$2:$A$8001,"&lt;="&amp;'إعدادات المخزون'!$B$4)</f>
        <v>0</v>
      </c>
      <c r="G49" s="116" t="n">
        <f aca="false">SUMIFS('مبيعات يومية'!$D$2:$D$8001,'مبيعات يومية'!$C$2:$C$8001,$A49,'مبيعات يومية'!$B$2:$B$8001,'إعدادات المخزون'!$A$16,'مبيعات يومية'!$A$2:$A$8001,"&gt;"&amp;('إعدادات المخزون'!$B$4-'إعدادات المخزون'!$B$11),'مبيعات يومية'!$A$2:$A$8001,"&lt;="&amp;'إعدادات المخزون'!$B$4)</f>
        <v>0</v>
      </c>
      <c r="H49" s="116" t="n">
        <f aca="false">SUMIFS('مبيعات يومية'!$D$2:$D$8001,'مبيعات يومية'!$C$2:$C$8001,$A49,'مبيعات يومية'!$B$2:$B$8001,'إعدادات المخزون'!$A$17,'مبيعات يومية'!$A$2:$A$8001,'إعدادات المخزون'!$B$4)</f>
        <v>0</v>
      </c>
      <c r="I49" s="116" t="n">
        <f aca="false">SUMIFS('مبيعات يومية'!$D$2:$D$8001,'مبيعات يومية'!$C$2:$C$8001,$A49,'مبيعات يومية'!$B$2:$B$8001,'إعدادات المخزون'!$A$17,'مبيعات يومية'!$A$2:$A$8001,"&gt;="&amp;'إعدادات المخزون'!$B$5,'مبيعات يومية'!$A$2:$A$8001,"&lt;="&amp;'إعدادات المخزون'!$B$4)</f>
        <v>0</v>
      </c>
      <c r="J49" s="116" t="n">
        <f aca="false">SUMIFS('مبيعات يومية'!$D$2:$D$8001,'مبيعات يومية'!$C$2:$C$8001,$A49,'مبيعات يومية'!$B$2:$B$8001,'إعدادات المخزون'!$A$17,'مبيعات يومية'!$A$2:$A$8001,"&gt;"&amp;('إعدادات المخزون'!$B$4-'إعدادات المخزون'!$B$11),'مبيعات يومية'!$A$2:$A$8001,"&lt;="&amp;'إعدادات المخزون'!$B$4)</f>
        <v>0</v>
      </c>
    </row>
    <row r="50" customFormat="false" ht="15" hidden="false" customHeight="false" outlineLevel="0" collapsed="false">
      <c r="A50" s="114" t="str">
        <f aca="false">المنيو!B50</f>
        <v>فطيرة شيكولاتة</v>
      </c>
      <c r="B50" s="116" t="n">
        <f aca="false">SUMIFS('مبيعات يومية'!$D$2:$D$8001,'مبيعات يومية'!$C$2:$C$8001,$A50,'مبيعات يومية'!$B$2:$B$8001,'إعدادات المخزون'!$A$15,'مبيعات يومية'!$A$2:$A$8001,'إعدادات المخزون'!$B$4)</f>
        <v>0</v>
      </c>
      <c r="C50" s="116" t="n">
        <f aca="false">SUMIFS('مبيعات يومية'!$D$2:$D$8001,'مبيعات يومية'!$C$2:$C$8001,$A50,'مبيعات يومية'!$B$2:$B$8001,'إعدادات المخزون'!$A$15,'مبيعات يومية'!$A$2:$A$8001,"&gt;="&amp;'إعدادات المخزون'!$B$5,'مبيعات يومية'!$A$2:$A$8001,"&lt;="&amp;'إعدادات المخزون'!$B$4)</f>
        <v>0</v>
      </c>
      <c r="D50" s="116" t="n">
        <f aca="false">SUMIFS('مبيعات يومية'!$D$2:$D$8001,'مبيعات يومية'!$C$2:$C$8001,$A50,'مبيعات يومية'!$B$2:$B$8001,'إعدادات المخزون'!$A$15,'مبيعات يومية'!$A$2:$A$8001,"&gt;"&amp;('إعدادات المخزون'!$B$4-'إعدادات المخزون'!$B$11),'مبيعات يومية'!$A$2:$A$8001,"&lt;="&amp;'إعدادات المخزون'!$B$4)</f>
        <v>0</v>
      </c>
      <c r="E50" s="116" t="n">
        <f aca="false">SUMIFS('مبيعات يومية'!$D$2:$D$8001,'مبيعات يومية'!$C$2:$C$8001,$A50,'مبيعات يومية'!$B$2:$B$8001,'إعدادات المخزون'!$A$16,'مبيعات يومية'!$A$2:$A$8001,'إعدادات المخزون'!$B$4)</f>
        <v>0</v>
      </c>
      <c r="F50" s="116" t="n">
        <f aca="false">SUMIFS('مبيعات يومية'!$D$2:$D$8001,'مبيعات يومية'!$C$2:$C$8001,$A50,'مبيعات يومية'!$B$2:$B$8001,'إعدادات المخزون'!$A$16,'مبيعات يومية'!$A$2:$A$8001,"&gt;="&amp;'إعدادات المخزون'!$B$5,'مبيعات يومية'!$A$2:$A$8001,"&lt;="&amp;'إعدادات المخزون'!$B$4)</f>
        <v>0</v>
      </c>
      <c r="G50" s="116" t="n">
        <f aca="false">SUMIFS('مبيعات يومية'!$D$2:$D$8001,'مبيعات يومية'!$C$2:$C$8001,$A50,'مبيعات يومية'!$B$2:$B$8001,'إعدادات المخزون'!$A$16,'مبيعات يومية'!$A$2:$A$8001,"&gt;"&amp;('إعدادات المخزون'!$B$4-'إعدادات المخزون'!$B$11),'مبيعات يومية'!$A$2:$A$8001,"&lt;="&amp;'إعدادات المخزون'!$B$4)</f>
        <v>0</v>
      </c>
      <c r="H50" s="116" t="n">
        <f aca="false">SUMIFS('مبيعات يومية'!$D$2:$D$8001,'مبيعات يومية'!$C$2:$C$8001,$A50,'مبيعات يومية'!$B$2:$B$8001,'إعدادات المخزون'!$A$17,'مبيعات يومية'!$A$2:$A$8001,'إعدادات المخزون'!$B$4)</f>
        <v>0</v>
      </c>
      <c r="I50" s="116" t="n">
        <f aca="false">SUMIFS('مبيعات يومية'!$D$2:$D$8001,'مبيعات يومية'!$C$2:$C$8001,$A50,'مبيعات يومية'!$B$2:$B$8001,'إعدادات المخزون'!$A$17,'مبيعات يومية'!$A$2:$A$8001,"&gt;="&amp;'إعدادات المخزون'!$B$5,'مبيعات يومية'!$A$2:$A$8001,"&lt;="&amp;'إعدادات المخزون'!$B$4)</f>
        <v>0</v>
      </c>
      <c r="J50" s="116" t="n">
        <f aca="false">SUMIFS('مبيعات يومية'!$D$2:$D$8001,'مبيعات يومية'!$C$2:$C$8001,$A50,'مبيعات يومية'!$B$2:$B$8001,'إعدادات المخزون'!$A$17,'مبيعات يومية'!$A$2:$A$8001,"&gt;"&amp;('إعدادات المخزون'!$B$4-'إعدادات المخزون'!$B$11),'مبيعات يومية'!$A$2:$A$8001,"&lt;="&amp;'إعدادات المخزون'!$B$4)</f>
        <v>0</v>
      </c>
    </row>
    <row r="51" customFormat="false" ht="15" hidden="false" customHeight="false" outlineLevel="0" collapsed="false">
      <c r="A51" s="114" t="str">
        <f aca="false">المنيو!B51</f>
        <v>فطيرة نوتيلا قشطة مكسرات</v>
      </c>
      <c r="B51" s="116" t="n">
        <f aca="false">SUMIFS('مبيعات يومية'!$D$2:$D$8001,'مبيعات يومية'!$C$2:$C$8001,$A51,'مبيعات يومية'!$B$2:$B$8001,'إعدادات المخزون'!$A$15,'مبيعات يومية'!$A$2:$A$8001,'إعدادات المخزون'!$B$4)</f>
        <v>0</v>
      </c>
      <c r="C51" s="116" t="n">
        <f aca="false">SUMIFS('مبيعات يومية'!$D$2:$D$8001,'مبيعات يومية'!$C$2:$C$8001,$A51,'مبيعات يومية'!$B$2:$B$8001,'إعدادات المخزون'!$A$15,'مبيعات يومية'!$A$2:$A$8001,"&gt;="&amp;'إعدادات المخزون'!$B$5,'مبيعات يومية'!$A$2:$A$8001,"&lt;="&amp;'إعدادات المخزون'!$B$4)</f>
        <v>0</v>
      </c>
      <c r="D51" s="116" t="n">
        <f aca="false">SUMIFS('مبيعات يومية'!$D$2:$D$8001,'مبيعات يومية'!$C$2:$C$8001,$A51,'مبيعات يومية'!$B$2:$B$8001,'إعدادات المخزون'!$A$15,'مبيعات يومية'!$A$2:$A$8001,"&gt;"&amp;('إعدادات المخزون'!$B$4-'إعدادات المخزون'!$B$11),'مبيعات يومية'!$A$2:$A$8001,"&lt;="&amp;'إعدادات المخزون'!$B$4)</f>
        <v>0</v>
      </c>
      <c r="E51" s="116" t="n">
        <f aca="false">SUMIFS('مبيعات يومية'!$D$2:$D$8001,'مبيعات يومية'!$C$2:$C$8001,$A51,'مبيعات يومية'!$B$2:$B$8001,'إعدادات المخزون'!$A$16,'مبيعات يومية'!$A$2:$A$8001,'إعدادات المخزون'!$B$4)</f>
        <v>0</v>
      </c>
      <c r="F51" s="116" t="n">
        <f aca="false">SUMIFS('مبيعات يومية'!$D$2:$D$8001,'مبيعات يومية'!$C$2:$C$8001,$A51,'مبيعات يومية'!$B$2:$B$8001,'إعدادات المخزون'!$A$16,'مبيعات يومية'!$A$2:$A$8001,"&gt;="&amp;'إعدادات المخزون'!$B$5,'مبيعات يومية'!$A$2:$A$8001,"&lt;="&amp;'إعدادات المخزون'!$B$4)</f>
        <v>0</v>
      </c>
      <c r="G51" s="116" t="n">
        <f aca="false">SUMIFS('مبيعات يومية'!$D$2:$D$8001,'مبيعات يومية'!$C$2:$C$8001,$A51,'مبيعات يومية'!$B$2:$B$8001,'إعدادات المخزون'!$A$16,'مبيعات يومية'!$A$2:$A$8001,"&gt;"&amp;('إعدادات المخزون'!$B$4-'إعدادات المخزون'!$B$11),'مبيعات يومية'!$A$2:$A$8001,"&lt;="&amp;'إعدادات المخزون'!$B$4)</f>
        <v>0</v>
      </c>
      <c r="H51" s="116" t="n">
        <f aca="false">SUMIFS('مبيعات يومية'!$D$2:$D$8001,'مبيعات يومية'!$C$2:$C$8001,$A51,'مبيعات يومية'!$B$2:$B$8001,'إعدادات المخزون'!$A$17,'مبيعات يومية'!$A$2:$A$8001,'إعدادات المخزون'!$B$4)</f>
        <v>0</v>
      </c>
      <c r="I51" s="116" t="n">
        <f aca="false">SUMIFS('مبيعات يومية'!$D$2:$D$8001,'مبيعات يومية'!$C$2:$C$8001,$A51,'مبيعات يومية'!$B$2:$B$8001,'إعدادات المخزون'!$A$17,'مبيعات يومية'!$A$2:$A$8001,"&gt;="&amp;'إعدادات المخزون'!$B$5,'مبيعات يومية'!$A$2:$A$8001,"&lt;="&amp;'إعدادات المخزون'!$B$4)</f>
        <v>0</v>
      </c>
      <c r="J51" s="116" t="n">
        <f aca="false">SUMIFS('مبيعات يومية'!$D$2:$D$8001,'مبيعات يومية'!$C$2:$C$8001,$A51,'مبيعات يومية'!$B$2:$B$8001,'إعدادات المخزون'!$A$17,'مبيعات يومية'!$A$2:$A$8001,"&gt;"&amp;('إعدادات المخزون'!$B$4-'إعدادات المخزون'!$B$11),'مبيعات يومية'!$A$2:$A$8001,"&lt;="&amp;'إعدادات المخزون'!$B$4)</f>
        <v>0</v>
      </c>
    </row>
    <row r="52" customFormat="false" ht="15" hidden="false" customHeight="false" outlineLevel="0" collapsed="false">
      <c r="A52" s="114" t="str">
        <f aca="false">المنيو!B52</f>
        <v>فطيرة فورسيزون ستاموني</v>
      </c>
      <c r="B52" s="116" t="n">
        <f aca="false">SUMIFS('مبيعات يومية'!$D$2:$D$8001,'مبيعات يومية'!$C$2:$C$8001,$A52,'مبيعات يومية'!$B$2:$B$8001,'إعدادات المخزون'!$A$15,'مبيعات يومية'!$A$2:$A$8001,'إعدادات المخزون'!$B$4)</f>
        <v>0</v>
      </c>
      <c r="C52" s="116" t="n">
        <f aca="false">SUMIFS('مبيعات يومية'!$D$2:$D$8001,'مبيعات يومية'!$C$2:$C$8001,$A52,'مبيعات يومية'!$B$2:$B$8001,'إعدادات المخزون'!$A$15,'مبيعات يومية'!$A$2:$A$8001,"&gt;="&amp;'إعدادات المخزون'!$B$5,'مبيعات يومية'!$A$2:$A$8001,"&lt;="&amp;'إعدادات المخزون'!$B$4)</f>
        <v>0</v>
      </c>
      <c r="D52" s="116" t="n">
        <f aca="false">SUMIFS('مبيعات يومية'!$D$2:$D$8001,'مبيعات يومية'!$C$2:$C$8001,$A52,'مبيعات يومية'!$B$2:$B$8001,'إعدادات المخزون'!$A$15,'مبيعات يومية'!$A$2:$A$8001,"&gt;"&amp;('إعدادات المخزون'!$B$4-'إعدادات المخزون'!$B$11),'مبيعات يومية'!$A$2:$A$8001,"&lt;="&amp;'إعدادات المخزون'!$B$4)</f>
        <v>0</v>
      </c>
      <c r="E52" s="116" t="n">
        <f aca="false">SUMIFS('مبيعات يومية'!$D$2:$D$8001,'مبيعات يومية'!$C$2:$C$8001,$A52,'مبيعات يومية'!$B$2:$B$8001,'إعدادات المخزون'!$A$16,'مبيعات يومية'!$A$2:$A$8001,'إعدادات المخزون'!$B$4)</f>
        <v>0</v>
      </c>
      <c r="F52" s="116" t="n">
        <f aca="false">SUMIFS('مبيعات يومية'!$D$2:$D$8001,'مبيعات يومية'!$C$2:$C$8001,$A52,'مبيعات يومية'!$B$2:$B$8001,'إعدادات المخزون'!$A$16,'مبيعات يومية'!$A$2:$A$8001,"&gt;="&amp;'إعدادات المخزون'!$B$5,'مبيعات يومية'!$A$2:$A$8001,"&lt;="&amp;'إعدادات المخزون'!$B$4)</f>
        <v>0</v>
      </c>
      <c r="G52" s="116" t="n">
        <f aca="false">SUMIFS('مبيعات يومية'!$D$2:$D$8001,'مبيعات يومية'!$C$2:$C$8001,$A52,'مبيعات يومية'!$B$2:$B$8001,'إعدادات المخزون'!$A$16,'مبيعات يومية'!$A$2:$A$8001,"&gt;"&amp;('إعدادات المخزون'!$B$4-'إعدادات المخزون'!$B$11),'مبيعات يومية'!$A$2:$A$8001,"&lt;="&amp;'إعدادات المخزون'!$B$4)</f>
        <v>0</v>
      </c>
      <c r="H52" s="116" t="n">
        <f aca="false">SUMIFS('مبيعات يومية'!$D$2:$D$8001,'مبيعات يومية'!$C$2:$C$8001,$A52,'مبيعات يومية'!$B$2:$B$8001,'إعدادات المخزون'!$A$17,'مبيعات يومية'!$A$2:$A$8001,'إعدادات المخزون'!$B$4)</f>
        <v>0</v>
      </c>
      <c r="I52" s="116" t="n">
        <f aca="false">SUMIFS('مبيعات يومية'!$D$2:$D$8001,'مبيعات يومية'!$C$2:$C$8001,$A52,'مبيعات يومية'!$B$2:$B$8001,'إعدادات المخزون'!$A$17,'مبيعات يومية'!$A$2:$A$8001,"&gt;="&amp;'إعدادات المخزون'!$B$5,'مبيعات يومية'!$A$2:$A$8001,"&lt;="&amp;'إعدادات المخزون'!$B$4)</f>
        <v>0</v>
      </c>
      <c r="J52" s="116" t="n">
        <f aca="false">SUMIFS('مبيعات يومية'!$D$2:$D$8001,'مبيعات يومية'!$C$2:$C$8001,$A52,'مبيعات يومية'!$B$2:$B$8001,'إعدادات المخزون'!$A$17,'مبيعات يومية'!$A$2:$A$8001,"&gt;"&amp;('إعدادات المخزون'!$B$4-'إعدادات المخزون'!$B$11),'مبيعات يومية'!$A$2:$A$8001,"&lt;="&amp;'إعدادات المخزون'!$B$4)</f>
        <v>0</v>
      </c>
    </row>
    <row r="53" customFormat="false" ht="15" hidden="false" customHeight="false" outlineLevel="0" collapsed="false">
      <c r="A53" s="114" t="str">
        <f aca="false">المنيو!B53</f>
        <v>قنبلة برجر</v>
      </c>
      <c r="B53" s="116" t="n">
        <f aca="false">SUMIFS('مبيعات يومية'!$D$2:$D$8001,'مبيعات يومية'!$C$2:$C$8001,$A53,'مبيعات يومية'!$B$2:$B$8001,'إعدادات المخزون'!$A$15,'مبيعات يومية'!$A$2:$A$8001,'إعدادات المخزون'!$B$4)</f>
        <v>0</v>
      </c>
      <c r="C53" s="116" t="n">
        <f aca="false">SUMIFS('مبيعات يومية'!$D$2:$D$8001,'مبيعات يومية'!$C$2:$C$8001,$A53,'مبيعات يومية'!$B$2:$B$8001,'إعدادات المخزون'!$A$15,'مبيعات يومية'!$A$2:$A$8001,"&gt;="&amp;'إعدادات المخزون'!$B$5,'مبيعات يومية'!$A$2:$A$8001,"&lt;="&amp;'إعدادات المخزون'!$B$4)</f>
        <v>0</v>
      </c>
      <c r="D53" s="116" t="n">
        <f aca="false">SUMIFS('مبيعات يومية'!$D$2:$D$8001,'مبيعات يومية'!$C$2:$C$8001,$A53,'مبيعات يومية'!$B$2:$B$8001,'إعدادات المخزون'!$A$15,'مبيعات يومية'!$A$2:$A$8001,"&gt;"&amp;('إعدادات المخزون'!$B$4-'إعدادات المخزون'!$B$11),'مبيعات يومية'!$A$2:$A$8001,"&lt;="&amp;'إعدادات المخزون'!$B$4)</f>
        <v>0</v>
      </c>
      <c r="E53" s="116" t="n">
        <f aca="false">SUMIFS('مبيعات يومية'!$D$2:$D$8001,'مبيعات يومية'!$C$2:$C$8001,$A53,'مبيعات يومية'!$B$2:$B$8001,'إعدادات المخزون'!$A$16,'مبيعات يومية'!$A$2:$A$8001,'إعدادات المخزون'!$B$4)</f>
        <v>0</v>
      </c>
      <c r="F53" s="116" t="n">
        <f aca="false">SUMIFS('مبيعات يومية'!$D$2:$D$8001,'مبيعات يومية'!$C$2:$C$8001,$A53,'مبيعات يومية'!$B$2:$B$8001,'إعدادات المخزون'!$A$16,'مبيعات يومية'!$A$2:$A$8001,"&gt;="&amp;'إعدادات المخزون'!$B$5,'مبيعات يومية'!$A$2:$A$8001,"&lt;="&amp;'إعدادات المخزون'!$B$4)</f>
        <v>0</v>
      </c>
      <c r="G53" s="116" t="n">
        <f aca="false">SUMIFS('مبيعات يومية'!$D$2:$D$8001,'مبيعات يومية'!$C$2:$C$8001,$A53,'مبيعات يومية'!$B$2:$B$8001,'إعدادات المخزون'!$A$16,'مبيعات يومية'!$A$2:$A$8001,"&gt;"&amp;('إعدادات المخزون'!$B$4-'إعدادات المخزون'!$B$11),'مبيعات يومية'!$A$2:$A$8001,"&lt;="&amp;'إعدادات المخزون'!$B$4)</f>
        <v>0</v>
      </c>
      <c r="H53" s="116" t="n">
        <f aca="false">SUMIFS('مبيعات يومية'!$D$2:$D$8001,'مبيعات يومية'!$C$2:$C$8001,$A53,'مبيعات يومية'!$B$2:$B$8001,'إعدادات المخزون'!$A$17,'مبيعات يومية'!$A$2:$A$8001,'إعدادات المخزون'!$B$4)</f>
        <v>0</v>
      </c>
      <c r="I53" s="116" t="n">
        <f aca="false">SUMIFS('مبيعات يومية'!$D$2:$D$8001,'مبيعات يومية'!$C$2:$C$8001,$A53,'مبيعات يومية'!$B$2:$B$8001,'إعدادات المخزون'!$A$17,'مبيعات يومية'!$A$2:$A$8001,"&gt;="&amp;'إعدادات المخزون'!$B$5,'مبيعات يومية'!$A$2:$A$8001,"&lt;="&amp;'إعدادات المخزون'!$B$4)</f>
        <v>0</v>
      </c>
      <c r="J53" s="116" t="n">
        <f aca="false">SUMIFS('مبيعات يومية'!$D$2:$D$8001,'مبيعات يومية'!$C$2:$C$8001,$A53,'مبيعات يومية'!$B$2:$B$8001,'إعدادات المخزون'!$A$17,'مبيعات يومية'!$A$2:$A$8001,"&gt;"&amp;('إعدادات المخزون'!$B$4-'إعدادات المخزون'!$B$11),'مبيعات يومية'!$A$2:$A$8001,"&lt;="&amp;'إعدادات المخزون'!$B$4)</f>
        <v>0</v>
      </c>
    </row>
    <row r="54" customFormat="false" ht="15" hidden="false" customHeight="false" outlineLevel="0" collapsed="false">
      <c r="A54" s="114" t="str">
        <f aca="false">المنيو!B54</f>
        <v>قنبلة كريسبي</v>
      </c>
      <c r="B54" s="116" t="n">
        <f aca="false">SUMIFS('مبيعات يومية'!$D$2:$D$8001,'مبيعات يومية'!$C$2:$C$8001,$A54,'مبيعات يومية'!$B$2:$B$8001,'إعدادات المخزون'!$A$15,'مبيعات يومية'!$A$2:$A$8001,'إعدادات المخزون'!$B$4)</f>
        <v>0</v>
      </c>
      <c r="C54" s="116" t="n">
        <f aca="false">SUMIFS('مبيعات يومية'!$D$2:$D$8001,'مبيعات يومية'!$C$2:$C$8001,$A54,'مبيعات يومية'!$B$2:$B$8001,'إعدادات المخزون'!$A$15,'مبيعات يومية'!$A$2:$A$8001,"&gt;="&amp;'إعدادات المخزون'!$B$5,'مبيعات يومية'!$A$2:$A$8001,"&lt;="&amp;'إعدادات المخزون'!$B$4)</f>
        <v>0</v>
      </c>
      <c r="D54" s="116" t="n">
        <f aca="false">SUMIFS('مبيعات يومية'!$D$2:$D$8001,'مبيعات يومية'!$C$2:$C$8001,$A54,'مبيعات يومية'!$B$2:$B$8001,'إعدادات المخزون'!$A$15,'مبيعات يومية'!$A$2:$A$8001,"&gt;"&amp;('إعدادات المخزون'!$B$4-'إعدادات المخزون'!$B$11),'مبيعات يومية'!$A$2:$A$8001,"&lt;="&amp;'إعدادات المخزون'!$B$4)</f>
        <v>0</v>
      </c>
      <c r="E54" s="116" t="n">
        <f aca="false">SUMIFS('مبيعات يومية'!$D$2:$D$8001,'مبيعات يومية'!$C$2:$C$8001,$A54,'مبيعات يومية'!$B$2:$B$8001,'إعدادات المخزون'!$A$16,'مبيعات يومية'!$A$2:$A$8001,'إعدادات المخزون'!$B$4)</f>
        <v>0</v>
      </c>
      <c r="F54" s="116" t="n">
        <f aca="false">SUMIFS('مبيعات يومية'!$D$2:$D$8001,'مبيعات يومية'!$C$2:$C$8001,$A54,'مبيعات يومية'!$B$2:$B$8001,'إعدادات المخزون'!$A$16,'مبيعات يومية'!$A$2:$A$8001,"&gt;="&amp;'إعدادات المخزون'!$B$5,'مبيعات يومية'!$A$2:$A$8001,"&lt;="&amp;'إعدادات المخزون'!$B$4)</f>
        <v>0</v>
      </c>
      <c r="G54" s="116" t="n">
        <f aca="false">SUMIFS('مبيعات يومية'!$D$2:$D$8001,'مبيعات يومية'!$C$2:$C$8001,$A54,'مبيعات يومية'!$B$2:$B$8001,'إعدادات المخزون'!$A$16,'مبيعات يومية'!$A$2:$A$8001,"&gt;"&amp;('إعدادات المخزون'!$B$4-'إعدادات المخزون'!$B$11),'مبيعات يومية'!$A$2:$A$8001,"&lt;="&amp;'إعدادات المخزون'!$B$4)</f>
        <v>0</v>
      </c>
      <c r="H54" s="116" t="n">
        <f aca="false">SUMIFS('مبيعات يومية'!$D$2:$D$8001,'مبيعات يومية'!$C$2:$C$8001,$A54,'مبيعات يومية'!$B$2:$B$8001,'إعدادات المخزون'!$A$17,'مبيعات يومية'!$A$2:$A$8001,'إعدادات المخزون'!$B$4)</f>
        <v>0</v>
      </c>
      <c r="I54" s="116" t="n">
        <f aca="false">SUMIFS('مبيعات يومية'!$D$2:$D$8001,'مبيعات يومية'!$C$2:$C$8001,$A54,'مبيعات يومية'!$B$2:$B$8001,'إعدادات المخزون'!$A$17,'مبيعات يومية'!$A$2:$A$8001,"&gt;="&amp;'إعدادات المخزون'!$B$5,'مبيعات يومية'!$A$2:$A$8001,"&lt;="&amp;'إعدادات المخزون'!$B$4)</f>
        <v>0</v>
      </c>
      <c r="J54" s="116" t="n">
        <f aca="false">SUMIFS('مبيعات يومية'!$D$2:$D$8001,'مبيعات يومية'!$C$2:$C$8001,$A54,'مبيعات يومية'!$B$2:$B$8001,'إعدادات المخزون'!$A$17,'مبيعات يومية'!$A$2:$A$8001,"&gt;"&amp;('إعدادات المخزون'!$B$4-'إعدادات المخزون'!$B$11),'مبيعات يومية'!$A$2:$A$8001,"&lt;="&amp;'إعدادات المخزون'!$B$4)</f>
        <v>0</v>
      </c>
    </row>
    <row r="55" customFormat="false" ht="15" hidden="false" customHeight="false" outlineLevel="0" collapsed="false">
      <c r="A55" s="114" t="str">
        <f aca="false">المنيو!B55</f>
        <v>بهججة بيتزا برجر</v>
      </c>
      <c r="B55" s="116" t="n">
        <f aca="false">SUMIFS('مبيعات يومية'!$D$2:$D$8001,'مبيعات يومية'!$C$2:$C$8001,$A55,'مبيعات يومية'!$B$2:$B$8001,'إعدادات المخزون'!$A$15,'مبيعات يومية'!$A$2:$A$8001,'إعدادات المخزون'!$B$4)</f>
        <v>0</v>
      </c>
      <c r="C55" s="116" t="n">
        <f aca="false">SUMIFS('مبيعات يومية'!$D$2:$D$8001,'مبيعات يومية'!$C$2:$C$8001,$A55,'مبيعات يومية'!$B$2:$B$8001,'إعدادات المخزون'!$A$15,'مبيعات يومية'!$A$2:$A$8001,"&gt;="&amp;'إعدادات المخزون'!$B$5,'مبيعات يومية'!$A$2:$A$8001,"&lt;="&amp;'إعدادات المخزون'!$B$4)</f>
        <v>0</v>
      </c>
      <c r="D55" s="116" t="n">
        <f aca="false">SUMIFS('مبيعات يومية'!$D$2:$D$8001,'مبيعات يومية'!$C$2:$C$8001,$A55,'مبيعات يومية'!$B$2:$B$8001,'إعدادات المخزون'!$A$15,'مبيعات يومية'!$A$2:$A$8001,"&gt;"&amp;('إعدادات المخزون'!$B$4-'إعدادات المخزون'!$B$11),'مبيعات يومية'!$A$2:$A$8001,"&lt;="&amp;'إعدادات المخزون'!$B$4)</f>
        <v>0</v>
      </c>
      <c r="E55" s="116" t="n">
        <f aca="false">SUMIFS('مبيعات يومية'!$D$2:$D$8001,'مبيعات يومية'!$C$2:$C$8001,$A55,'مبيعات يومية'!$B$2:$B$8001,'إعدادات المخزون'!$A$16,'مبيعات يومية'!$A$2:$A$8001,'إعدادات المخزون'!$B$4)</f>
        <v>0</v>
      </c>
      <c r="F55" s="116" t="n">
        <f aca="false">SUMIFS('مبيعات يومية'!$D$2:$D$8001,'مبيعات يومية'!$C$2:$C$8001,$A55,'مبيعات يومية'!$B$2:$B$8001,'إعدادات المخزون'!$A$16,'مبيعات يومية'!$A$2:$A$8001,"&gt;="&amp;'إعدادات المخزون'!$B$5,'مبيعات يومية'!$A$2:$A$8001,"&lt;="&amp;'إعدادات المخزون'!$B$4)</f>
        <v>0</v>
      </c>
      <c r="G55" s="116" t="n">
        <f aca="false">SUMIFS('مبيعات يومية'!$D$2:$D$8001,'مبيعات يومية'!$C$2:$C$8001,$A55,'مبيعات يومية'!$B$2:$B$8001,'إعدادات المخزون'!$A$16,'مبيعات يومية'!$A$2:$A$8001,"&gt;"&amp;('إعدادات المخزون'!$B$4-'إعدادات المخزون'!$B$11),'مبيعات يومية'!$A$2:$A$8001,"&lt;="&amp;'إعدادات المخزون'!$B$4)</f>
        <v>0</v>
      </c>
      <c r="H55" s="116" t="n">
        <f aca="false">SUMIFS('مبيعات يومية'!$D$2:$D$8001,'مبيعات يومية'!$C$2:$C$8001,$A55,'مبيعات يومية'!$B$2:$B$8001,'إعدادات المخزون'!$A$17,'مبيعات يومية'!$A$2:$A$8001,'إعدادات المخزون'!$B$4)</f>
        <v>0</v>
      </c>
      <c r="I55" s="116" t="n">
        <f aca="false">SUMIFS('مبيعات يومية'!$D$2:$D$8001,'مبيعات يومية'!$C$2:$C$8001,$A55,'مبيعات يومية'!$B$2:$B$8001,'إعدادات المخزون'!$A$17,'مبيعات يومية'!$A$2:$A$8001,"&gt;="&amp;'إعدادات المخزون'!$B$5,'مبيعات يومية'!$A$2:$A$8001,"&lt;="&amp;'إعدادات المخزون'!$B$4)</f>
        <v>0</v>
      </c>
      <c r="J55" s="116" t="n">
        <f aca="false">SUMIFS('مبيعات يومية'!$D$2:$D$8001,'مبيعات يومية'!$C$2:$C$8001,$A55,'مبيعات يومية'!$B$2:$B$8001,'إعدادات المخزون'!$A$17,'مبيعات يومية'!$A$2:$A$8001,"&gt;"&amp;('إعدادات المخزون'!$B$4-'إعدادات المخزون'!$B$11),'مبيعات يومية'!$A$2:$A$8001,"&lt;="&amp;'إعدادات المخزون'!$B$4)</f>
        <v>0</v>
      </c>
    </row>
    <row r="56" customFormat="false" ht="15" hidden="false" customHeight="false" outlineLevel="0" collapsed="false">
      <c r="A56" s="114" t="str">
        <f aca="false">المنيو!B56</f>
        <v>بهججة كريسبي</v>
      </c>
      <c r="B56" s="116" t="n">
        <f aca="false">SUMIFS('مبيعات يومية'!$D$2:$D$8001,'مبيعات يومية'!$C$2:$C$8001,$A56,'مبيعات يومية'!$B$2:$B$8001,'إعدادات المخزون'!$A$15,'مبيعات يومية'!$A$2:$A$8001,'إعدادات المخزون'!$B$4)</f>
        <v>0</v>
      </c>
      <c r="C56" s="116" t="n">
        <f aca="false">SUMIFS('مبيعات يومية'!$D$2:$D$8001,'مبيعات يومية'!$C$2:$C$8001,$A56,'مبيعات يومية'!$B$2:$B$8001,'إعدادات المخزون'!$A$15,'مبيعات يومية'!$A$2:$A$8001,"&gt;="&amp;'إعدادات المخزون'!$B$5,'مبيعات يومية'!$A$2:$A$8001,"&lt;="&amp;'إعدادات المخزون'!$B$4)</f>
        <v>0</v>
      </c>
      <c r="D56" s="116" t="n">
        <f aca="false">SUMIFS('مبيعات يومية'!$D$2:$D$8001,'مبيعات يومية'!$C$2:$C$8001,$A56,'مبيعات يومية'!$B$2:$B$8001,'إعدادات المخزون'!$A$15,'مبيعات يومية'!$A$2:$A$8001,"&gt;"&amp;('إعدادات المخزون'!$B$4-'إعدادات المخزون'!$B$11),'مبيعات يومية'!$A$2:$A$8001,"&lt;="&amp;'إعدادات المخزون'!$B$4)</f>
        <v>0</v>
      </c>
      <c r="E56" s="116" t="n">
        <f aca="false">SUMIFS('مبيعات يومية'!$D$2:$D$8001,'مبيعات يومية'!$C$2:$C$8001,$A56,'مبيعات يومية'!$B$2:$B$8001,'إعدادات المخزون'!$A$16,'مبيعات يومية'!$A$2:$A$8001,'إعدادات المخزون'!$B$4)</f>
        <v>0</v>
      </c>
      <c r="F56" s="116" t="n">
        <f aca="false">SUMIFS('مبيعات يومية'!$D$2:$D$8001,'مبيعات يومية'!$C$2:$C$8001,$A56,'مبيعات يومية'!$B$2:$B$8001,'إعدادات المخزون'!$A$16,'مبيعات يومية'!$A$2:$A$8001,"&gt;="&amp;'إعدادات المخزون'!$B$5,'مبيعات يومية'!$A$2:$A$8001,"&lt;="&amp;'إعدادات المخزون'!$B$4)</f>
        <v>0</v>
      </c>
      <c r="G56" s="116" t="n">
        <f aca="false">SUMIFS('مبيعات يومية'!$D$2:$D$8001,'مبيعات يومية'!$C$2:$C$8001,$A56,'مبيعات يومية'!$B$2:$B$8001,'إعدادات المخزون'!$A$16,'مبيعات يومية'!$A$2:$A$8001,"&gt;"&amp;('إعدادات المخزون'!$B$4-'إعدادات المخزون'!$B$11),'مبيعات يومية'!$A$2:$A$8001,"&lt;="&amp;'إعدادات المخزون'!$B$4)</f>
        <v>0</v>
      </c>
      <c r="H56" s="116" t="n">
        <f aca="false">SUMIFS('مبيعات يومية'!$D$2:$D$8001,'مبيعات يومية'!$C$2:$C$8001,$A56,'مبيعات يومية'!$B$2:$B$8001,'إعدادات المخزون'!$A$17,'مبيعات يومية'!$A$2:$A$8001,'إعدادات المخزون'!$B$4)</f>
        <v>0</v>
      </c>
      <c r="I56" s="116" t="n">
        <f aca="false">SUMIFS('مبيعات يومية'!$D$2:$D$8001,'مبيعات يومية'!$C$2:$C$8001,$A56,'مبيعات يومية'!$B$2:$B$8001,'إعدادات المخزون'!$A$17,'مبيعات يومية'!$A$2:$A$8001,"&gt;="&amp;'إعدادات المخزون'!$B$5,'مبيعات يومية'!$A$2:$A$8001,"&lt;="&amp;'إعدادات المخزون'!$B$4)</f>
        <v>0</v>
      </c>
      <c r="J56" s="116" t="n">
        <f aca="false">SUMIFS('مبيعات يومية'!$D$2:$D$8001,'مبيعات يومية'!$C$2:$C$8001,$A56,'مبيعات يومية'!$B$2:$B$8001,'إعدادات المخزون'!$A$17,'مبيعات يومية'!$A$2:$A$8001,"&gt;"&amp;('إعدادات المخزون'!$B$4-'إعدادات المخزون'!$B$11),'مبيعات يومية'!$A$2:$A$8001,"&lt;="&amp;'إعدادات المخزون'!$B$4)</f>
        <v>0</v>
      </c>
    </row>
    <row r="57" customFormat="false" ht="15" hidden="false" customHeight="false" outlineLevel="0" collapsed="false">
      <c r="A57" s="114" t="str">
        <f aca="false">المنيو!B57</f>
        <v>شيكاغو بيتزا برجر</v>
      </c>
      <c r="B57" s="116" t="n">
        <f aca="false">SUMIFS('مبيعات يومية'!$D$2:$D$8001,'مبيعات يومية'!$C$2:$C$8001,$A57,'مبيعات يومية'!$B$2:$B$8001,'إعدادات المخزون'!$A$15,'مبيعات يومية'!$A$2:$A$8001,'إعدادات المخزون'!$B$4)</f>
        <v>0</v>
      </c>
      <c r="C57" s="116" t="n">
        <f aca="false">SUMIFS('مبيعات يومية'!$D$2:$D$8001,'مبيعات يومية'!$C$2:$C$8001,$A57,'مبيعات يومية'!$B$2:$B$8001,'إعدادات المخزون'!$A$15,'مبيعات يومية'!$A$2:$A$8001,"&gt;="&amp;'إعدادات المخزون'!$B$5,'مبيعات يومية'!$A$2:$A$8001,"&lt;="&amp;'إعدادات المخزون'!$B$4)</f>
        <v>0</v>
      </c>
      <c r="D57" s="116" t="n">
        <f aca="false">SUMIFS('مبيعات يومية'!$D$2:$D$8001,'مبيعات يومية'!$C$2:$C$8001,$A57,'مبيعات يومية'!$B$2:$B$8001,'إعدادات المخزون'!$A$15,'مبيعات يومية'!$A$2:$A$8001,"&gt;"&amp;('إعدادات المخزون'!$B$4-'إعدادات المخزون'!$B$11),'مبيعات يومية'!$A$2:$A$8001,"&lt;="&amp;'إعدادات المخزون'!$B$4)</f>
        <v>0</v>
      </c>
      <c r="E57" s="116" t="n">
        <f aca="false">SUMIFS('مبيعات يومية'!$D$2:$D$8001,'مبيعات يومية'!$C$2:$C$8001,$A57,'مبيعات يومية'!$B$2:$B$8001,'إعدادات المخزون'!$A$16,'مبيعات يومية'!$A$2:$A$8001,'إعدادات المخزون'!$B$4)</f>
        <v>0</v>
      </c>
      <c r="F57" s="116" t="n">
        <f aca="false">SUMIFS('مبيعات يومية'!$D$2:$D$8001,'مبيعات يومية'!$C$2:$C$8001,$A57,'مبيعات يومية'!$B$2:$B$8001,'إعدادات المخزون'!$A$16,'مبيعات يومية'!$A$2:$A$8001,"&gt;="&amp;'إعدادات المخزون'!$B$5,'مبيعات يومية'!$A$2:$A$8001,"&lt;="&amp;'إعدادات المخزون'!$B$4)</f>
        <v>0</v>
      </c>
      <c r="G57" s="116" t="n">
        <f aca="false">SUMIFS('مبيعات يومية'!$D$2:$D$8001,'مبيعات يومية'!$C$2:$C$8001,$A57,'مبيعات يومية'!$B$2:$B$8001,'إعدادات المخزون'!$A$16,'مبيعات يومية'!$A$2:$A$8001,"&gt;"&amp;('إعدادات المخزون'!$B$4-'إعدادات المخزون'!$B$11),'مبيعات يومية'!$A$2:$A$8001,"&lt;="&amp;'إعدادات المخزون'!$B$4)</f>
        <v>0</v>
      </c>
      <c r="H57" s="116" t="n">
        <f aca="false">SUMIFS('مبيعات يومية'!$D$2:$D$8001,'مبيعات يومية'!$C$2:$C$8001,$A57,'مبيعات يومية'!$B$2:$B$8001,'إعدادات المخزون'!$A$17,'مبيعات يومية'!$A$2:$A$8001,'إعدادات المخزون'!$B$4)</f>
        <v>0</v>
      </c>
      <c r="I57" s="116" t="n">
        <f aca="false">SUMIFS('مبيعات يومية'!$D$2:$D$8001,'مبيعات يومية'!$C$2:$C$8001,$A57,'مبيعات يومية'!$B$2:$B$8001,'إعدادات المخزون'!$A$17,'مبيعات يومية'!$A$2:$A$8001,"&gt;="&amp;'إعدادات المخزون'!$B$5,'مبيعات يومية'!$A$2:$A$8001,"&lt;="&amp;'إعدادات المخزون'!$B$4)</f>
        <v>0</v>
      </c>
      <c r="J57" s="116" t="n">
        <f aca="false">SUMIFS('مبيعات يومية'!$D$2:$D$8001,'مبيعات يومية'!$C$2:$C$8001,$A57,'مبيعات يومية'!$B$2:$B$8001,'إعدادات المخزون'!$A$17,'مبيعات يومية'!$A$2:$A$8001,"&gt;"&amp;('إعدادات المخزون'!$B$4-'إعدادات المخزون'!$B$11),'مبيعات يومية'!$A$2:$A$8001,"&lt;="&amp;'إعدادات المخزون'!$B$4)</f>
        <v>0</v>
      </c>
    </row>
    <row r="58" customFormat="false" ht="15" hidden="false" customHeight="false" outlineLevel="0" collapsed="false">
      <c r="A58" s="114" t="str">
        <f aca="false">المنيو!B58</f>
        <v>فطيررجر</v>
      </c>
      <c r="B58" s="116" t="n">
        <f aca="false">SUMIFS('مبيعات يومية'!$D$2:$D$8001,'مبيعات يومية'!$C$2:$C$8001,$A58,'مبيعات يومية'!$B$2:$B$8001,'إعدادات المخزون'!$A$15,'مبيعات يومية'!$A$2:$A$8001,'إعدادات المخزون'!$B$4)</f>
        <v>0</v>
      </c>
      <c r="C58" s="116" t="n">
        <f aca="false">SUMIFS('مبيعات يومية'!$D$2:$D$8001,'مبيعات يومية'!$C$2:$C$8001,$A58,'مبيعات يومية'!$B$2:$B$8001,'إعدادات المخزون'!$A$15,'مبيعات يومية'!$A$2:$A$8001,"&gt;="&amp;'إعدادات المخزون'!$B$5,'مبيعات يومية'!$A$2:$A$8001,"&lt;="&amp;'إعدادات المخزون'!$B$4)</f>
        <v>0</v>
      </c>
      <c r="D58" s="116" t="n">
        <f aca="false">SUMIFS('مبيعات يومية'!$D$2:$D$8001,'مبيعات يومية'!$C$2:$C$8001,$A58,'مبيعات يومية'!$B$2:$B$8001,'إعدادات المخزون'!$A$15,'مبيعات يومية'!$A$2:$A$8001,"&gt;"&amp;('إعدادات المخزون'!$B$4-'إعدادات المخزون'!$B$11),'مبيعات يومية'!$A$2:$A$8001,"&lt;="&amp;'إعدادات المخزون'!$B$4)</f>
        <v>0</v>
      </c>
      <c r="E58" s="116" t="n">
        <f aca="false">SUMIFS('مبيعات يومية'!$D$2:$D$8001,'مبيعات يومية'!$C$2:$C$8001,$A58,'مبيعات يومية'!$B$2:$B$8001,'إعدادات المخزون'!$A$16,'مبيعات يومية'!$A$2:$A$8001,'إعدادات المخزون'!$B$4)</f>
        <v>0</v>
      </c>
      <c r="F58" s="116" t="n">
        <f aca="false">SUMIFS('مبيعات يومية'!$D$2:$D$8001,'مبيعات يومية'!$C$2:$C$8001,$A58,'مبيعات يومية'!$B$2:$B$8001,'إعدادات المخزون'!$A$16,'مبيعات يومية'!$A$2:$A$8001,"&gt;="&amp;'إعدادات المخزون'!$B$5,'مبيعات يومية'!$A$2:$A$8001,"&lt;="&amp;'إعدادات المخزون'!$B$4)</f>
        <v>0</v>
      </c>
      <c r="G58" s="116" t="n">
        <f aca="false">SUMIFS('مبيعات يومية'!$D$2:$D$8001,'مبيعات يومية'!$C$2:$C$8001,$A58,'مبيعات يومية'!$B$2:$B$8001,'إعدادات المخزون'!$A$16,'مبيعات يومية'!$A$2:$A$8001,"&gt;"&amp;('إعدادات المخزون'!$B$4-'إعدادات المخزون'!$B$11),'مبيعات يومية'!$A$2:$A$8001,"&lt;="&amp;'إعدادات المخزون'!$B$4)</f>
        <v>0</v>
      </c>
      <c r="H58" s="116" t="n">
        <f aca="false">SUMIFS('مبيعات يومية'!$D$2:$D$8001,'مبيعات يومية'!$C$2:$C$8001,$A58,'مبيعات يومية'!$B$2:$B$8001,'إعدادات المخزون'!$A$17,'مبيعات يومية'!$A$2:$A$8001,'إعدادات المخزون'!$B$4)</f>
        <v>0</v>
      </c>
      <c r="I58" s="116" t="n">
        <f aca="false">SUMIFS('مبيعات يومية'!$D$2:$D$8001,'مبيعات يومية'!$C$2:$C$8001,$A58,'مبيعات يومية'!$B$2:$B$8001,'إعدادات المخزون'!$A$17,'مبيعات يومية'!$A$2:$A$8001,"&gt;="&amp;'إعدادات المخزون'!$B$5,'مبيعات يومية'!$A$2:$A$8001,"&lt;="&amp;'إعدادات المخزون'!$B$4)</f>
        <v>0</v>
      </c>
      <c r="J58" s="116" t="n">
        <f aca="false">SUMIFS('مبيعات يومية'!$D$2:$D$8001,'مبيعات يومية'!$C$2:$C$8001,$A58,'مبيعات يومية'!$B$2:$B$8001,'إعدادات المخزون'!$A$17,'مبيعات يومية'!$A$2:$A$8001,"&gt;"&amp;('إعدادات المخزون'!$B$4-'إعدادات المخزون'!$B$11),'مبيعات يومية'!$A$2:$A$8001,"&lt;="&amp;'إعدادات المخزون'!$B$4)</f>
        <v>0</v>
      </c>
    </row>
    <row r="59" customFormat="false" ht="15" hidden="false" customHeight="false" outlineLevel="0" collapsed="false">
      <c r="A59" s="114" t="str">
        <f aca="false">المنيو!B59</f>
        <v>مكرونة تجرسكو (فراخ ومشروم)</v>
      </c>
      <c r="B59" s="116" t="n">
        <f aca="false">SUMIFS('مبيعات يومية'!$D$2:$D$8001,'مبيعات يومية'!$C$2:$C$8001,$A59,'مبيعات يومية'!$B$2:$B$8001,'إعدادات المخزون'!$A$15,'مبيعات يومية'!$A$2:$A$8001,'إعدادات المخزون'!$B$4)</f>
        <v>0</v>
      </c>
      <c r="C59" s="116" t="n">
        <f aca="false">SUMIFS('مبيعات يومية'!$D$2:$D$8001,'مبيعات يومية'!$C$2:$C$8001,$A59,'مبيعات يومية'!$B$2:$B$8001,'إعدادات المخزون'!$A$15,'مبيعات يومية'!$A$2:$A$8001,"&gt;="&amp;'إعدادات المخزون'!$B$5,'مبيعات يومية'!$A$2:$A$8001,"&lt;="&amp;'إعدادات المخزون'!$B$4)</f>
        <v>0</v>
      </c>
      <c r="D59" s="116" t="n">
        <f aca="false">SUMIFS('مبيعات يومية'!$D$2:$D$8001,'مبيعات يومية'!$C$2:$C$8001,$A59,'مبيعات يومية'!$B$2:$B$8001,'إعدادات المخزون'!$A$15,'مبيعات يومية'!$A$2:$A$8001,"&gt;"&amp;('إعدادات المخزون'!$B$4-'إعدادات المخزون'!$B$11),'مبيعات يومية'!$A$2:$A$8001,"&lt;="&amp;'إعدادات المخزون'!$B$4)</f>
        <v>0</v>
      </c>
      <c r="E59" s="116" t="n">
        <f aca="false">SUMIFS('مبيعات يومية'!$D$2:$D$8001,'مبيعات يومية'!$C$2:$C$8001,$A59,'مبيعات يومية'!$B$2:$B$8001,'إعدادات المخزون'!$A$16,'مبيعات يومية'!$A$2:$A$8001,'إعدادات المخزون'!$B$4)</f>
        <v>0</v>
      </c>
      <c r="F59" s="116" t="n">
        <f aca="false">SUMIFS('مبيعات يومية'!$D$2:$D$8001,'مبيعات يومية'!$C$2:$C$8001,$A59,'مبيعات يومية'!$B$2:$B$8001,'إعدادات المخزون'!$A$16,'مبيعات يومية'!$A$2:$A$8001,"&gt;="&amp;'إعدادات المخزون'!$B$5,'مبيعات يومية'!$A$2:$A$8001,"&lt;="&amp;'إعدادات المخزون'!$B$4)</f>
        <v>0</v>
      </c>
      <c r="G59" s="116" t="n">
        <f aca="false">SUMIFS('مبيعات يومية'!$D$2:$D$8001,'مبيعات يومية'!$C$2:$C$8001,$A59,'مبيعات يومية'!$B$2:$B$8001,'إعدادات المخزون'!$A$16,'مبيعات يومية'!$A$2:$A$8001,"&gt;"&amp;('إعدادات المخزون'!$B$4-'إعدادات المخزون'!$B$11),'مبيعات يومية'!$A$2:$A$8001,"&lt;="&amp;'إعدادات المخزون'!$B$4)</f>
        <v>0</v>
      </c>
      <c r="H59" s="116" t="n">
        <f aca="false">SUMIFS('مبيعات يومية'!$D$2:$D$8001,'مبيعات يومية'!$C$2:$C$8001,$A59,'مبيعات يومية'!$B$2:$B$8001,'إعدادات المخزون'!$A$17,'مبيعات يومية'!$A$2:$A$8001,'إعدادات المخزون'!$B$4)</f>
        <v>0</v>
      </c>
      <c r="I59" s="116" t="n">
        <f aca="false">SUMIFS('مبيعات يومية'!$D$2:$D$8001,'مبيعات يومية'!$C$2:$C$8001,$A59,'مبيعات يومية'!$B$2:$B$8001,'إعدادات المخزون'!$A$17,'مبيعات يومية'!$A$2:$A$8001,"&gt;="&amp;'إعدادات المخزون'!$B$5,'مبيعات يومية'!$A$2:$A$8001,"&lt;="&amp;'إعدادات المخزون'!$B$4)</f>
        <v>0</v>
      </c>
      <c r="J59" s="116" t="n">
        <f aca="false">SUMIFS('مبيعات يومية'!$D$2:$D$8001,'مبيعات يومية'!$C$2:$C$8001,$A59,'مبيعات يومية'!$B$2:$B$8001,'إعدادات المخزون'!$A$17,'مبيعات يومية'!$A$2:$A$8001,"&gt;"&amp;('إعدادات المخزون'!$B$4-'إعدادات المخزون'!$B$11),'مبيعات يومية'!$A$2:$A$8001,"&lt;="&amp;'إعدادات المخزون'!$B$4)</f>
        <v>0</v>
      </c>
    </row>
    <row r="60" customFormat="false" ht="15" hidden="false" customHeight="false" outlineLevel="0" collapsed="false">
      <c r="A60" s="114" t="str">
        <f aca="false">المنيو!B60</f>
        <v>مكرونة كريسبي شيدر</v>
      </c>
      <c r="B60" s="116" t="n">
        <f aca="false">SUMIFS('مبيعات يومية'!$D$2:$D$8001,'مبيعات يومية'!$C$2:$C$8001,$A60,'مبيعات يومية'!$B$2:$B$8001,'إعدادات المخزون'!$A$15,'مبيعات يومية'!$A$2:$A$8001,'إعدادات المخزون'!$B$4)</f>
        <v>0</v>
      </c>
      <c r="C60" s="116" t="n">
        <f aca="false">SUMIFS('مبيعات يومية'!$D$2:$D$8001,'مبيعات يومية'!$C$2:$C$8001,$A60,'مبيعات يومية'!$B$2:$B$8001,'إعدادات المخزون'!$A$15,'مبيعات يومية'!$A$2:$A$8001,"&gt;="&amp;'إعدادات المخزون'!$B$5,'مبيعات يومية'!$A$2:$A$8001,"&lt;="&amp;'إعدادات المخزون'!$B$4)</f>
        <v>0</v>
      </c>
      <c r="D60" s="116" t="n">
        <f aca="false">SUMIFS('مبيعات يومية'!$D$2:$D$8001,'مبيعات يومية'!$C$2:$C$8001,$A60,'مبيعات يومية'!$B$2:$B$8001,'إعدادات المخزون'!$A$15,'مبيعات يومية'!$A$2:$A$8001,"&gt;"&amp;('إعدادات المخزون'!$B$4-'إعدادات المخزون'!$B$11),'مبيعات يومية'!$A$2:$A$8001,"&lt;="&amp;'إعدادات المخزون'!$B$4)</f>
        <v>0</v>
      </c>
      <c r="E60" s="116" t="n">
        <f aca="false">SUMIFS('مبيعات يومية'!$D$2:$D$8001,'مبيعات يومية'!$C$2:$C$8001,$A60,'مبيعات يومية'!$B$2:$B$8001,'إعدادات المخزون'!$A$16,'مبيعات يومية'!$A$2:$A$8001,'إعدادات المخزون'!$B$4)</f>
        <v>0</v>
      </c>
      <c r="F60" s="116" t="n">
        <f aca="false">SUMIFS('مبيعات يومية'!$D$2:$D$8001,'مبيعات يومية'!$C$2:$C$8001,$A60,'مبيعات يومية'!$B$2:$B$8001,'إعدادات المخزون'!$A$16,'مبيعات يومية'!$A$2:$A$8001,"&gt;="&amp;'إعدادات المخزون'!$B$5,'مبيعات يومية'!$A$2:$A$8001,"&lt;="&amp;'إعدادات المخزون'!$B$4)</f>
        <v>0</v>
      </c>
      <c r="G60" s="116" t="n">
        <f aca="false">SUMIFS('مبيعات يومية'!$D$2:$D$8001,'مبيعات يومية'!$C$2:$C$8001,$A60,'مبيعات يومية'!$B$2:$B$8001,'إعدادات المخزون'!$A$16,'مبيعات يومية'!$A$2:$A$8001,"&gt;"&amp;('إعدادات المخزون'!$B$4-'إعدادات المخزون'!$B$11),'مبيعات يومية'!$A$2:$A$8001,"&lt;="&amp;'إعدادات المخزون'!$B$4)</f>
        <v>0</v>
      </c>
      <c r="H60" s="116" t="n">
        <f aca="false">SUMIFS('مبيعات يومية'!$D$2:$D$8001,'مبيعات يومية'!$C$2:$C$8001,$A60,'مبيعات يومية'!$B$2:$B$8001,'إعدادات المخزون'!$A$17,'مبيعات يومية'!$A$2:$A$8001,'إعدادات المخزون'!$B$4)</f>
        <v>0</v>
      </c>
      <c r="I60" s="116" t="n">
        <f aca="false">SUMIFS('مبيعات يومية'!$D$2:$D$8001,'مبيعات يومية'!$C$2:$C$8001,$A60,'مبيعات يومية'!$B$2:$B$8001,'إعدادات المخزون'!$A$17,'مبيعات يومية'!$A$2:$A$8001,"&gt;="&amp;'إعدادات المخزون'!$B$5,'مبيعات يومية'!$A$2:$A$8001,"&lt;="&amp;'إعدادات المخزون'!$B$4)</f>
        <v>0</v>
      </c>
      <c r="J60" s="116" t="n">
        <f aca="false">SUMIFS('مبيعات يومية'!$D$2:$D$8001,'مبيعات يومية'!$C$2:$C$8001,$A60,'مبيعات يومية'!$B$2:$B$8001,'إعدادات المخزون'!$A$17,'مبيعات يومية'!$A$2:$A$8001,"&gt;"&amp;('إعدادات المخزون'!$B$4-'إعدادات المخزون'!$B$11),'مبيعات يومية'!$A$2:$A$8001,"&lt;="&amp;'إعدادات المخزون'!$B$4)</f>
        <v>0</v>
      </c>
    </row>
    <row r="61" customFormat="false" ht="15" hidden="false" customHeight="false" outlineLevel="0" collapsed="false">
      <c r="A61" s="114" t="str">
        <f aca="false">المنيو!B61</f>
        <v>مكرونة كريسبي رانش</v>
      </c>
      <c r="B61" s="116" t="n">
        <f aca="false">SUMIFS('مبيعات يومية'!$D$2:$D$8001,'مبيعات يومية'!$C$2:$C$8001,$A61,'مبيعات يومية'!$B$2:$B$8001,'إعدادات المخزون'!$A$15,'مبيعات يومية'!$A$2:$A$8001,'إعدادات المخزون'!$B$4)</f>
        <v>0</v>
      </c>
      <c r="C61" s="116" t="n">
        <f aca="false">SUMIFS('مبيعات يومية'!$D$2:$D$8001,'مبيعات يومية'!$C$2:$C$8001,$A61,'مبيعات يومية'!$B$2:$B$8001,'إعدادات المخزون'!$A$15,'مبيعات يومية'!$A$2:$A$8001,"&gt;="&amp;'إعدادات المخزون'!$B$5,'مبيعات يومية'!$A$2:$A$8001,"&lt;="&amp;'إعدادات المخزون'!$B$4)</f>
        <v>0</v>
      </c>
      <c r="D61" s="116" t="n">
        <f aca="false">SUMIFS('مبيعات يومية'!$D$2:$D$8001,'مبيعات يومية'!$C$2:$C$8001,$A61,'مبيعات يومية'!$B$2:$B$8001,'إعدادات المخزون'!$A$15,'مبيعات يومية'!$A$2:$A$8001,"&gt;"&amp;('إعدادات المخزون'!$B$4-'إعدادات المخزون'!$B$11),'مبيعات يومية'!$A$2:$A$8001,"&lt;="&amp;'إعدادات المخزون'!$B$4)</f>
        <v>0</v>
      </c>
      <c r="E61" s="116" t="n">
        <f aca="false">SUMIFS('مبيعات يومية'!$D$2:$D$8001,'مبيعات يومية'!$C$2:$C$8001,$A61,'مبيعات يومية'!$B$2:$B$8001,'إعدادات المخزون'!$A$16,'مبيعات يومية'!$A$2:$A$8001,'إعدادات المخزون'!$B$4)</f>
        <v>0</v>
      </c>
      <c r="F61" s="116" t="n">
        <f aca="false">SUMIFS('مبيعات يومية'!$D$2:$D$8001,'مبيعات يومية'!$C$2:$C$8001,$A61,'مبيعات يومية'!$B$2:$B$8001,'إعدادات المخزون'!$A$16,'مبيعات يومية'!$A$2:$A$8001,"&gt;="&amp;'إعدادات المخزون'!$B$5,'مبيعات يومية'!$A$2:$A$8001,"&lt;="&amp;'إعدادات المخزون'!$B$4)</f>
        <v>0</v>
      </c>
      <c r="G61" s="116" t="n">
        <f aca="false">SUMIFS('مبيعات يومية'!$D$2:$D$8001,'مبيعات يومية'!$C$2:$C$8001,$A61,'مبيعات يومية'!$B$2:$B$8001,'إعدادات المخزون'!$A$16,'مبيعات يومية'!$A$2:$A$8001,"&gt;"&amp;('إعدادات المخزون'!$B$4-'إعدادات المخزون'!$B$11),'مبيعات يومية'!$A$2:$A$8001,"&lt;="&amp;'إعدادات المخزون'!$B$4)</f>
        <v>0</v>
      </c>
      <c r="H61" s="116" t="n">
        <f aca="false">SUMIFS('مبيعات يومية'!$D$2:$D$8001,'مبيعات يومية'!$C$2:$C$8001,$A61,'مبيعات يومية'!$B$2:$B$8001,'إعدادات المخزون'!$A$17,'مبيعات يومية'!$A$2:$A$8001,'إعدادات المخزون'!$B$4)</f>
        <v>0</v>
      </c>
      <c r="I61" s="116" t="n">
        <f aca="false">SUMIFS('مبيعات يومية'!$D$2:$D$8001,'مبيعات يومية'!$C$2:$C$8001,$A61,'مبيعات يومية'!$B$2:$B$8001,'إعدادات المخزون'!$A$17,'مبيعات يومية'!$A$2:$A$8001,"&gt;="&amp;'إعدادات المخزون'!$B$5,'مبيعات يومية'!$A$2:$A$8001,"&lt;="&amp;'إعدادات المخزون'!$B$4)</f>
        <v>0</v>
      </c>
      <c r="J61" s="116" t="n">
        <f aca="false">SUMIFS('مبيعات يومية'!$D$2:$D$8001,'مبيعات يومية'!$C$2:$C$8001,$A61,'مبيعات يومية'!$B$2:$B$8001,'إعدادات المخزون'!$A$17,'مبيعات يومية'!$A$2:$A$8001,"&gt;"&amp;('إعدادات المخزون'!$B$4-'إعدادات المخزون'!$B$11),'مبيعات يومية'!$A$2:$A$8001,"&lt;="&amp;'إعدادات المخزون'!$B$4)</f>
        <v>0</v>
      </c>
    </row>
    <row r="62" customFormat="false" ht="15" hidden="false" customHeight="false" outlineLevel="0" collapsed="false">
      <c r="A62" s="114" t="str">
        <f aca="false">المنيو!B62</f>
        <v>مكرونة جمبري</v>
      </c>
      <c r="B62" s="116" t="n">
        <f aca="false">SUMIFS('مبيعات يومية'!$D$2:$D$8001,'مبيعات يومية'!$C$2:$C$8001,$A62,'مبيعات يومية'!$B$2:$B$8001,'إعدادات المخزون'!$A$15,'مبيعات يومية'!$A$2:$A$8001,'إعدادات المخزون'!$B$4)</f>
        <v>0</v>
      </c>
      <c r="C62" s="116" t="n">
        <f aca="false">SUMIFS('مبيعات يومية'!$D$2:$D$8001,'مبيعات يومية'!$C$2:$C$8001,$A62,'مبيعات يومية'!$B$2:$B$8001,'إعدادات المخزون'!$A$15,'مبيعات يومية'!$A$2:$A$8001,"&gt;="&amp;'إعدادات المخزون'!$B$5,'مبيعات يومية'!$A$2:$A$8001,"&lt;="&amp;'إعدادات المخزون'!$B$4)</f>
        <v>0</v>
      </c>
      <c r="D62" s="116" t="n">
        <f aca="false">SUMIFS('مبيعات يومية'!$D$2:$D$8001,'مبيعات يومية'!$C$2:$C$8001,$A62,'مبيعات يومية'!$B$2:$B$8001,'إعدادات المخزون'!$A$15,'مبيعات يومية'!$A$2:$A$8001,"&gt;"&amp;('إعدادات المخزون'!$B$4-'إعدادات المخزون'!$B$11),'مبيعات يومية'!$A$2:$A$8001,"&lt;="&amp;'إعدادات المخزون'!$B$4)</f>
        <v>0</v>
      </c>
      <c r="E62" s="116" t="n">
        <f aca="false">SUMIFS('مبيعات يومية'!$D$2:$D$8001,'مبيعات يومية'!$C$2:$C$8001,$A62,'مبيعات يومية'!$B$2:$B$8001,'إعدادات المخزون'!$A$16,'مبيعات يومية'!$A$2:$A$8001,'إعدادات المخزون'!$B$4)</f>
        <v>0</v>
      </c>
      <c r="F62" s="116" t="n">
        <f aca="false">SUMIFS('مبيعات يومية'!$D$2:$D$8001,'مبيعات يومية'!$C$2:$C$8001,$A62,'مبيعات يومية'!$B$2:$B$8001,'إعدادات المخزون'!$A$16,'مبيعات يومية'!$A$2:$A$8001,"&gt;="&amp;'إعدادات المخزون'!$B$5,'مبيعات يومية'!$A$2:$A$8001,"&lt;="&amp;'إعدادات المخزون'!$B$4)</f>
        <v>0</v>
      </c>
      <c r="G62" s="116" t="n">
        <f aca="false">SUMIFS('مبيعات يومية'!$D$2:$D$8001,'مبيعات يومية'!$C$2:$C$8001,$A62,'مبيعات يومية'!$B$2:$B$8001,'إعدادات المخزون'!$A$16,'مبيعات يومية'!$A$2:$A$8001,"&gt;"&amp;('إعدادات المخزون'!$B$4-'إعدادات المخزون'!$B$11),'مبيعات يومية'!$A$2:$A$8001,"&lt;="&amp;'إعدادات المخزون'!$B$4)</f>
        <v>0</v>
      </c>
      <c r="H62" s="116" t="n">
        <f aca="false">SUMIFS('مبيعات يومية'!$D$2:$D$8001,'مبيعات يومية'!$C$2:$C$8001,$A62,'مبيعات يومية'!$B$2:$B$8001,'إعدادات المخزون'!$A$17,'مبيعات يومية'!$A$2:$A$8001,'إعدادات المخزون'!$B$4)</f>
        <v>0</v>
      </c>
      <c r="I62" s="116" t="n">
        <f aca="false">SUMIFS('مبيعات يومية'!$D$2:$D$8001,'مبيعات يومية'!$C$2:$C$8001,$A62,'مبيعات يومية'!$B$2:$B$8001,'إعدادات المخزون'!$A$17,'مبيعات يومية'!$A$2:$A$8001,"&gt;="&amp;'إعدادات المخزون'!$B$5,'مبيعات يومية'!$A$2:$A$8001,"&lt;="&amp;'إعدادات المخزون'!$B$4)</f>
        <v>0</v>
      </c>
      <c r="J62" s="116" t="n">
        <f aca="false">SUMIFS('مبيعات يومية'!$D$2:$D$8001,'مبيعات يومية'!$C$2:$C$8001,$A62,'مبيعات يومية'!$B$2:$B$8001,'إعدادات المخزون'!$A$17,'مبيعات يومية'!$A$2:$A$8001,"&gt;"&amp;('إعدادات المخزون'!$B$4-'إعدادات المخزون'!$B$11),'مبيعات يومية'!$A$2:$A$8001,"&lt;="&amp;'إعدادات المخزون'!$B$4)</f>
        <v>0</v>
      </c>
    </row>
    <row r="63" customFormat="false" ht="15" hidden="false" customHeight="false" outlineLevel="0" collapsed="false">
      <c r="A63" s="114" t="str">
        <f aca="false">المنيو!B63</f>
        <v>مكرونة صوص ابيض سدق</v>
      </c>
      <c r="B63" s="116" t="n">
        <f aca="false">SUMIFS('مبيعات يومية'!$D$2:$D$8001,'مبيعات يومية'!$C$2:$C$8001,$A63,'مبيعات يومية'!$B$2:$B$8001,'إعدادات المخزون'!$A$15,'مبيعات يومية'!$A$2:$A$8001,'إعدادات المخزون'!$B$4)</f>
        <v>0</v>
      </c>
      <c r="C63" s="116" t="n">
        <f aca="false">SUMIFS('مبيعات يومية'!$D$2:$D$8001,'مبيعات يومية'!$C$2:$C$8001,$A63,'مبيعات يومية'!$B$2:$B$8001,'إعدادات المخزون'!$A$15,'مبيعات يومية'!$A$2:$A$8001,"&gt;="&amp;'إعدادات المخزون'!$B$5,'مبيعات يومية'!$A$2:$A$8001,"&lt;="&amp;'إعدادات المخزون'!$B$4)</f>
        <v>0</v>
      </c>
      <c r="D63" s="116" t="n">
        <f aca="false">SUMIFS('مبيعات يومية'!$D$2:$D$8001,'مبيعات يومية'!$C$2:$C$8001,$A63,'مبيعات يومية'!$B$2:$B$8001,'إعدادات المخزون'!$A$15,'مبيعات يومية'!$A$2:$A$8001,"&gt;"&amp;('إعدادات المخزون'!$B$4-'إعدادات المخزون'!$B$11),'مبيعات يومية'!$A$2:$A$8001,"&lt;="&amp;'إعدادات المخزون'!$B$4)</f>
        <v>0</v>
      </c>
      <c r="E63" s="116" t="n">
        <f aca="false">SUMIFS('مبيعات يومية'!$D$2:$D$8001,'مبيعات يومية'!$C$2:$C$8001,$A63,'مبيعات يومية'!$B$2:$B$8001,'إعدادات المخزون'!$A$16,'مبيعات يومية'!$A$2:$A$8001,'إعدادات المخزون'!$B$4)</f>
        <v>0</v>
      </c>
      <c r="F63" s="116" t="n">
        <f aca="false">SUMIFS('مبيعات يومية'!$D$2:$D$8001,'مبيعات يومية'!$C$2:$C$8001,$A63,'مبيعات يومية'!$B$2:$B$8001,'إعدادات المخزون'!$A$16,'مبيعات يومية'!$A$2:$A$8001,"&gt;="&amp;'إعدادات المخزون'!$B$5,'مبيعات يومية'!$A$2:$A$8001,"&lt;="&amp;'إعدادات المخزون'!$B$4)</f>
        <v>0</v>
      </c>
      <c r="G63" s="116" t="n">
        <f aca="false">SUMIFS('مبيعات يومية'!$D$2:$D$8001,'مبيعات يومية'!$C$2:$C$8001,$A63,'مبيعات يومية'!$B$2:$B$8001,'إعدادات المخزون'!$A$16,'مبيعات يومية'!$A$2:$A$8001,"&gt;"&amp;('إعدادات المخزون'!$B$4-'إعدادات المخزون'!$B$11),'مبيعات يومية'!$A$2:$A$8001,"&lt;="&amp;'إعدادات المخزون'!$B$4)</f>
        <v>0</v>
      </c>
      <c r="H63" s="116" t="n">
        <f aca="false">SUMIFS('مبيعات يومية'!$D$2:$D$8001,'مبيعات يومية'!$C$2:$C$8001,$A63,'مبيعات يومية'!$B$2:$B$8001,'إعدادات المخزون'!$A$17,'مبيعات يومية'!$A$2:$A$8001,'إعدادات المخزون'!$B$4)</f>
        <v>0</v>
      </c>
      <c r="I63" s="116" t="n">
        <f aca="false">SUMIFS('مبيعات يومية'!$D$2:$D$8001,'مبيعات يومية'!$C$2:$C$8001,$A63,'مبيعات يومية'!$B$2:$B$8001,'إعدادات المخزون'!$A$17,'مبيعات يومية'!$A$2:$A$8001,"&gt;="&amp;'إعدادات المخزون'!$B$5,'مبيعات يومية'!$A$2:$A$8001,"&lt;="&amp;'إعدادات المخزون'!$B$4)</f>
        <v>0</v>
      </c>
      <c r="J63" s="116" t="n">
        <f aca="false">SUMIFS('مبيعات يومية'!$D$2:$D$8001,'مبيعات يومية'!$C$2:$C$8001,$A63,'مبيعات يومية'!$B$2:$B$8001,'إعدادات المخزون'!$A$17,'مبيعات يومية'!$A$2:$A$8001,"&gt;"&amp;('إعدادات المخزون'!$B$4-'إعدادات المخزون'!$B$11),'مبيعات يومية'!$A$2:$A$8001,"&lt;="&amp;'إعدادات المخزون'!$B$4)</f>
        <v>0</v>
      </c>
    </row>
    <row r="64" customFormat="false" ht="15" hidden="false" customHeight="false" outlineLevel="0" collapsed="false">
      <c r="A64" s="114" t="str">
        <f aca="false">المنيو!B64</f>
        <v>مكرونة صوص ابيض بسطرمة</v>
      </c>
      <c r="B64" s="116" t="n">
        <f aca="false">SUMIFS('مبيعات يومية'!$D$2:$D$8001,'مبيعات يومية'!$C$2:$C$8001,$A64,'مبيعات يومية'!$B$2:$B$8001,'إعدادات المخزون'!$A$15,'مبيعات يومية'!$A$2:$A$8001,'إعدادات المخزون'!$B$4)</f>
        <v>0</v>
      </c>
      <c r="C64" s="116" t="n">
        <f aca="false">SUMIFS('مبيعات يومية'!$D$2:$D$8001,'مبيعات يومية'!$C$2:$C$8001,$A64,'مبيعات يومية'!$B$2:$B$8001,'إعدادات المخزون'!$A$15,'مبيعات يومية'!$A$2:$A$8001,"&gt;="&amp;'إعدادات المخزون'!$B$5,'مبيعات يومية'!$A$2:$A$8001,"&lt;="&amp;'إعدادات المخزون'!$B$4)</f>
        <v>0</v>
      </c>
      <c r="D64" s="116" t="n">
        <f aca="false">SUMIFS('مبيعات يومية'!$D$2:$D$8001,'مبيعات يومية'!$C$2:$C$8001,$A64,'مبيعات يومية'!$B$2:$B$8001,'إعدادات المخزون'!$A$15,'مبيعات يومية'!$A$2:$A$8001,"&gt;"&amp;('إعدادات المخزون'!$B$4-'إعدادات المخزون'!$B$11),'مبيعات يومية'!$A$2:$A$8001,"&lt;="&amp;'إعدادات المخزون'!$B$4)</f>
        <v>0</v>
      </c>
      <c r="E64" s="116" t="n">
        <f aca="false">SUMIFS('مبيعات يومية'!$D$2:$D$8001,'مبيعات يومية'!$C$2:$C$8001,$A64,'مبيعات يومية'!$B$2:$B$8001,'إعدادات المخزون'!$A$16,'مبيعات يومية'!$A$2:$A$8001,'إعدادات المخزون'!$B$4)</f>
        <v>0</v>
      </c>
      <c r="F64" s="116" t="n">
        <f aca="false">SUMIFS('مبيعات يومية'!$D$2:$D$8001,'مبيعات يومية'!$C$2:$C$8001,$A64,'مبيعات يومية'!$B$2:$B$8001,'إعدادات المخزون'!$A$16,'مبيعات يومية'!$A$2:$A$8001,"&gt;="&amp;'إعدادات المخزون'!$B$5,'مبيعات يومية'!$A$2:$A$8001,"&lt;="&amp;'إعدادات المخزون'!$B$4)</f>
        <v>0</v>
      </c>
      <c r="G64" s="116" t="n">
        <f aca="false">SUMIFS('مبيعات يومية'!$D$2:$D$8001,'مبيعات يومية'!$C$2:$C$8001,$A64,'مبيعات يومية'!$B$2:$B$8001,'إعدادات المخزون'!$A$16,'مبيعات يومية'!$A$2:$A$8001,"&gt;"&amp;('إعدادات المخزون'!$B$4-'إعدادات المخزون'!$B$11),'مبيعات يومية'!$A$2:$A$8001,"&lt;="&amp;'إعدادات المخزون'!$B$4)</f>
        <v>0</v>
      </c>
      <c r="H64" s="116" t="n">
        <f aca="false">SUMIFS('مبيعات يومية'!$D$2:$D$8001,'مبيعات يومية'!$C$2:$C$8001,$A64,'مبيعات يومية'!$B$2:$B$8001,'إعدادات المخزون'!$A$17,'مبيعات يومية'!$A$2:$A$8001,'إعدادات المخزون'!$B$4)</f>
        <v>0</v>
      </c>
      <c r="I64" s="116" t="n">
        <f aca="false">SUMIFS('مبيعات يومية'!$D$2:$D$8001,'مبيعات يومية'!$C$2:$C$8001,$A64,'مبيعات يومية'!$B$2:$B$8001,'إعدادات المخزون'!$A$17,'مبيعات يومية'!$A$2:$A$8001,"&gt;="&amp;'إعدادات المخزون'!$B$5,'مبيعات يومية'!$A$2:$A$8001,"&lt;="&amp;'إعدادات المخزون'!$B$4)</f>
        <v>0</v>
      </c>
      <c r="J64" s="116" t="n">
        <f aca="false">SUMIFS('مبيعات يومية'!$D$2:$D$8001,'مبيعات يومية'!$C$2:$C$8001,$A64,'مبيعات يومية'!$B$2:$B$8001,'إعدادات المخزون'!$A$17,'مبيعات يومية'!$A$2:$A$8001,"&gt;"&amp;('إعدادات المخزون'!$B$4-'إعدادات المخزون'!$B$11),'مبيعات يومية'!$A$2:$A$8001,"&lt;="&amp;'إعدادات المخزون'!$B$4)</f>
        <v>0</v>
      </c>
    </row>
    <row r="65" customFormat="false" ht="15" hidden="false" customHeight="false" outlineLevel="0" collapsed="false">
      <c r="A65" s="114" t="str">
        <f aca="false">المنيو!B65</f>
        <v>كريب فراخ كريسبي شيدر</v>
      </c>
      <c r="B65" s="116" t="n">
        <f aca="false">SUMIFS('مبيعات يومية'!$D$2:$D$8001,'مبيعات يومية'!$C$2:$C$8001,$A65,'مبيعات يومية'!$B$2:$B$8001,'إعدادات المخزون'!$A$15,'مبيعات يومية'!$A$2:$A$8001,'إعدادات المخزون'!$B$4)</f>
        <v>0</v>
      </c>
      <c r="C65" s="116" t="n">
        <f aca="false">SUMIFS('مبيعات يومية'!$D$2:$D$8001,'مبيعات يومية'!$C$2:$C$8001,$A65,'مبيعات يومية'!$B$2:$B$8001,'إعدادات المخزون'!$A$15,'مبيعات يومية'!$A$2:$A$8001,"&gt;="&amp;'إعدادات المخزون'!$B$5,'مبيعات يومية'!$A$2:$A$8001,"&lt;="&amp;'إعدادات المخزون'!$B$4)</f>
        <v>0</v>
      </c>
      <c r="D65" s="116" t="n">
        <f aca="false">SUMIFS('مبيعات يومية'!$D$2:$D$8001,'مبيعات يومية'!$C$2:$C$8001,$A65,'مبيعات يومية'!$B$2:$B$8001,'إعدادات المخزون'!$A$15,'مبيعات يومية'!$A$2:$A$8001,"&gt;"&amp;('إعدادات المخزون'!$B$4-'إعدادات المخزون'!$B$11),'مبيعات يومية'!$A$2:$A$8001,"&lt;="&amp;'إعدادات المخزون'!$B$4)</f>
        <v>0</v>
      </c>
      <c r="E65" s="116" t="n">
        <f aca="false">SUMIFS('مبيعات يومية'!$D$2:$D$8001,'مبيعات يومية'!$C$2:$C$8001,$A65,'مبيعات يومية'!$B$2:$B$8001,'إعدادات المخزون'!$A$16,'مبيعات يومية'!$A$2:$A$8001,'إعدادات المخزون'!$B$4)</f>
        <v>0</v>
      </c>
      <c r="F65" s="116" t="n">
        <f aca="false">SUMIFS('مبيعات يومية'!$D$2:$D$8001,'مبيعات يومية'!$C$2:$C$8001,$A65,'مبيعات يومية'!$B$2:$B$8001,'إعدادات المخزون'!$A$16,'مبيعات يومية'!$A$2:$A$8001,"&gt;="&amp;'إعدادات المخزون'!$B$5,'مبيعات يومية'!$A$2:$A$8001,"&lt;="&amp;'إعدادات المخزون'!$B$4)</f>
        <v>0</v>
      </c>
      <c r="G65" s="116" t="n">
        <f aca="false">SUMIFS('مبيعات يومية'!$D$2:$D$8001,'مبيعات يومية'!$C$2:$C$8001,$A65,'مبيعات يومية'!$B$2:$B$8001,'إعدادات المخزون'!$A$16,'مبيعات يومية'!$A$2:$A$8001,"&gt;"&amp;('إعدادات المخزون'!$B$4-'إعدادات المخزون'!$B$11),'مبيعات يومية'!$A$2:$A$8001,"&lt;="&amp;'إعدادات المخزون'!$B$4)</f>
        <v>0</v>
      </c>
      <c r="H65" s="116" t="n">
        <f aca="false">SUMIFS('مبيعات يومية'!$D$2:$D$8001,'مبيعات يومية'!$C$2:$C$8001,$A65,'مبيعات يومية'!$B$2:$B$8001,'إعدادات المخزون'!$A$17,'مبيعات يومية'!$A$2:$A$8001,'إعدادات المخزون'!$B$4)</f>
        <v>0</v>
      </c>
      <c r="I65" s="116" t="n">
        <f aca="false">SUMIFS('مبيعات يومية'!$D$2:$D$8001,'مبيعات يومية'!$C$2:$C$8001,$A65,'مبيعات يومية'!$B$2:$B$8001,'إعدادات المخزون'!$A$17,'مبيعات يومية'!$A$2:$A$8001,"&gt;="&amp;'إعدادات المخزون'!$B$5,'مبيعات يومية'!$A$2:$A$8001,"&lt;="&amp;'إعدادات المخزون'!$B$4)</f>
        <v>0</v>
      </c>
      <c r="J65" s="116" t="n">
        <f aca="false">SUMIFS('مبيعات يومية'!$D$2:$D$8001,'مبيعات يومية'!$C$2:$C$8001,$A65,'مبيعات يومية'!$B$2:$B$8001,'إعدادات المخزون'!$A$17,'مبيعات يومية'!$A$2:$A$8001,"&gt;"&amp;('إعدادات المخزون'!$B$4-'إعدادات المخزون'!$B$11),'مبيعات يومية'!$A$2:$A$8001,"&lt;="&amp;'إعدادات المخزون'!$B$4)</f>
        <v>0</v>
      </c>
    </row>
    <row r="66" customFormat="false" ht="15" hidden="false" customHeight="false" outlineLevel="0" collapsed="false">
      <c r="A66" s="114" t="str">
        <f aca="false">المنيو!B66</f>
        <v>كريب مشكل فراخ</v>
      </c>
      <c r="B66" s="116" t="n">
        <f aca="false">SUMIFS('مبيعات يومية'!$D$2:$D$8001,'مبيعات يومية'!$C$2:$C$8001,$A66,'مبيعات يومية'!$B$2:$B$8001,'إعدادات المخزون'!$A$15,'مبيعات يومية'!$A$2:$A$8001,'إعدادات المخزون'!$B$4)</f>
        <v>0</v>
      </c>
      <c r="C66" s="116" t="n">
        <f aca="false">SUMIFS('مبيعات يومية'!$D$2:$D$8001,'مبيعات يومية'!$C$2:$C$8001,$A66,'مبيعات يومية'!$B$2:$B$8001,'إعدادات المخزون'!$A$15,'مبيعات يومية'!$A$2:$A$8001,"&gt;="&amp;'إعدادات المخزون'!$B$5,'مبيعات يومية'!$A$2:$A$8001,"&lt;="&amp;'إعدادات المخزون'!$B$4)</f>
        <v>0</v>
      </c>
      <c r="D66" s="116" t="n">
        <f aca="false">SUMIFS('مبيعات يومية'!$D$2:$D$8001,'مبيعات يومية'!$C$2:$C$8001,$A66,'مبيعات يومية'!$B$2:$B$8001,'إعدادات المخزون'!$A$15,'مبيعات يومية'!$A$2:$A$8001,"&gt;"&amp;('إعدادات المخزون'!$B$4-'إعدادات المخزون'!$B$11),'مبيعات يومية'!$A$2:$A$8001,"&lt;="&amp;'إعدادات المخزون'!$B$4)</f>
        <v>0</v>
      </c>
      <c r="E66" s="116" t="n">
        <f aca="false">SUMIFS('مبيعات يومية'!$D$2:$D$8001,'مبيعات يومية'!$C$2:$C$8001,$A66,'مبيعات يومية'!$B$2:$B$8001,'إعدادات المخزون'!$A$16,'مبيعات يومية'!$A$2:$A$8001,'إعدادات المخزون'!$B$4)</f>
        <v>0</v>
      </c>
      <c r="F66" s="116" t="n">
        <f aca="false">SUMIFS('مبيعات يومية'!$D$2:$D$8001,'مبيعات يومية'!$C$2:$C$8001,$A66,'مبيعات يومية'!$B$2:$B$8001,'إعدادات المخزون'!$A$16,'مبيعات يومية'!$A$2:$A$8001,"&gt;="&amp;'إعدادات المخزون'!$B$5,'مبيعات يومية'!$A$2:$A$8001,"&lt;="&amp;'إعدادات المخزون'!$B$4)</f>
        <v>0</v>
      </c>
      <c r="G66" s="116" t="n">
        <f aca="false">SUMIFS('مبيعات يومية'!$D$2:$D$8001,'مبيعات يومية'!$C$2:$C$8001,$A66,'مبيعات يومية'!$B$2:$B$8001,'إعدادات المخزون'!$A$16,'مبيعات يومية'!$A$2:$A$8001,"&gt;"&amp;('إعدادات المخزون'!$B$4-'إعدادات المخزون'!$B$11),'مبيعات يومية'!$A$2:$A$8001,"&lt;="&amp;'إعدادات المخزون'!$B$4)</f>
        <v>0</v>
      </c>
      <c r="H66" s="116" t="n">
        <f aca="false">SUMIFS('مبيعات يومية'!$D$2:$D$8001,'مبيعات يومية'!$C$2:$C$8001,$A66,'مبيعات يومية'!$B$2:$B$8001,'إعدادات المخزون'!$A$17,'مبيعات يومية'!$A$2:$A$8001,'إعدادات المخزون'!$B$4)</f>
        <v>0</v>
      </c>
      <c r="I66" s="116" t="n">
        <f aca="false">SUMIFS('مبيعات يومية'!$D$2:$D$8001,'مبيعات يومية'!$C$2:$C$8001,$A66,'مبيعات يومية'!$B$2:$B$8001,'إعدادات المخزون'!$A$17,'مبيعات يومية'!$A$2:$A$8001,"&gt;="&amp;'إعدادات المخزون'!$B$5,'مبيعات يومية'!$A$2:$A$8001,"&lt;="&amp;'إعدادات المخزون'!$B$4)</f>
        <v>0</v>
      </c>
      <c r="J66" s="116" t="n">
        <f aca="false">SUMIFS('مبيعات يومية'!$D$2:$D$8001,'مبيعات يومية'!$C$2:$C$8001,$A66,'مبيعات يومية'!$B$2:$B$8001,'إعدادات المخزون'!$A$17,'مبيعات يومية'!$A$2:$A$8001,"&gt;"&amp;('إعدادات المخزون'!$B$4-'إعدادات المخزون'!$B$11),'مبيعات يومية'!$A$2:$A$8001,"&lt;="&amp;'إعدادات المخزون'!$B$4)</f>
        <v>0</v>
      </c>
    </row>
    <row r="67" customFormat="false" ht="15" hidden="false" customHeight="false" outlineLevel="0" collapsed="false">
      <c r="A67" s="114" t="str">
        <f aca="false">المنيو!B67</f>
        <v>كريب بسطرمة</v>
      </c>
      <c r="B67" s="116" t="n">
        <f aca="false">SUMIFS('مبيعات يومية'!$D$2:$D$8001,'مبيعات يومية'!$C$2:$C$8001,$A67,'مبيعات يومية'!$B$2:$B$8001,'إعدادات المخزون'!$A$15,'مبيعات يومية'!$A$2:$A$8001,'إعدادات المخزون'!$B$4)</f>
        <v>0</v>
      </c>
      <c r="C67" s="116" t="n">
        <f aca="false">SUMIFS('مبيعات يومية'!$D$2:$D$8001,'مبيعات يومية'!$C$2:$C$8001,$A67,'مبيعات يومية'!$B$2:$B$8001,'إعدادات المخزون'!$A$15,'مبيعات يومية'!$A$2:$A$8001,"&gt;="&amp;'إعدادات المخزون'!$B$5,'مبيعات يومية'!$A$2:$A$8001,"&lt;="&amp;'إعدادات المخزون'!$B$4)</f>
        <v>0</v>
      </c>
      <c r="D67" s="116" t="n">
        <f aca="false">SUMIFS('مبيعات يومية'!$D$2:$D$8001,'مبيعات يومية'!$C$2:$C$8001,$A67,'مبيعات يومية'!$B$2:$B$8001,'إعدادات المخزون'!$A$15,'مبيعات يومية'!$A$2:$A$8001,"&gt;"&amp;('إعدادات المخزون'!$B$4-'إعدادات المخزون'!$B$11),'مبيعات يومية'!$A$2:$A$8001,"&lt;="&amp;'إعدادات المخزون'!$B$4)</f>
        <v>0</v>
      </c>
      <c r="E67" s="116" t="n">
        <f aca="false">SUMIFS('مبيعات يومية'!$D$2:$D$8001,'مبيعات يومية'!$C$2:$C$8001,$A67,'مبيعات يومية'!$B$2:$B$8001,'إعدادات المخزون'!$A$16,'مبيعات يومية'!$A$2:$A$8001,'إعدادات المخزون'!$B$4)</f>
        <v>0</v>
      </c>
      <c r="F67" s="116" t="n">
        <f aca="false">SUMIFS('مبيعات يومية'!$D$2:$D$8001,'مبيعات يومية'!$C$2:$C$8001,$A67,'مبيعات يومية'!$B$2:$B$8001,'إعدادات المخزون'!$A$16,'مبيعات يومية'!$A$2:$A$8001,"&gt;="&amp;'إعدادات المخزون'!$B$5,'مبيعات يومية'!$A$2:$A$8001,"&lt;="&amp;'إعدادات المخزون'!$B$4)</f>
        <v>0</v>
      </c>
      <c r="G67" s="116" t="n">
        <f aca="false">SUMIFS('مبيعات يومية'!$D$2:$D$8001,'مبيعات يومية'!$C$2:$C$8001,$A67,'مبيعات يومية'!$B$2:$B$8001,'إعدادات المخزون'!$A$16,'مبيعات يومية'!$A$2:$A$8001,"&gt;"&amp;('إعدادات المخزون'!$B$4-'إعدادات المخزون'!$B$11),'مبيعات يومية'!$A$2:$A$8001,"&lt;="&amp;'إعدادات المخزون'!$B$4)</f>
        <v>0</v>
      </c>
      <c r="H67" s="116" t="n">
        <f aca="false">SUMIFS('مبيعات يومية'!$D$2:$D$8001,'مبيعات يومية'!$C$2:$C$8001,$A67,'مبيعات يومية'!$B$2:$B$8001,'إعدادات المخزون'!$A$17,'مبيعات يومية'!$A$2:$A$8001,'إعدادات المخزون'!$B$4)</f>
        <v>0</v>
      </c>
      <c r="I67" s="116" t="n">
        <f aca="false">SUMIFS('مبيعات يومية'!$D$2:$D$8001,'مبيعات يومية'!$C$2:$C$8001,$A67,'مبيعات يومية'!$B$2:$B$8001,'إعدادات المخزون'!$A$17,'مبيعات يومية'!$A$2:$A$8001,"&gt;="&amp;'إعدادات المخزون'!$B$5,'مبيعات يومية'!$A$2:$A$8001,"&lt;="&amp;'إعدادات المخزون'!$B$4)</f>
        <v>0</v>
      </c>
      <c r="J67" s="116" t="n">
        <f aca="false">SUMIFS('مبيعات يومية'!$D$2:$D$8001,'مبيعات يومية'!$C$2:$C$8001,$A67,'مبيعات يومية'!$B$2:$B$8001,'إعدادات المخزون'!$A$17,'مبيعات يومية'!$A$2:$A$8001,"&gt;"&amp;('إعدادات المخزون'!$B$4-'إعدادات المخزون'!$B$11),'مبيعات يومية'!$A$2:$A$8001,"&lt;="&amp;'إعدادات المخزون'!$B$4)</f>
        <v>0</v>
      </c>
    </row>
    <row r="68" customFormat="false" ht="15" hidden="false" customHeight="false" outlineLevel="0" collapsed="false">
      <c r="A68" s="114" t="str">
        <f aca="false">المنيو!B68</f>
        <v>كريب سدق</v>
      </c>
      <c r="B68" s="116" t="n">
        <f aca="false">SUMIFS('مبيعات يومية'!$D$2:$D$8001,'مبيعات يومية'!$C$2:$C$8001,$A68,'مبيعات يومية'!$B$2:$B$8001,'إعدادات المخزون'!$A$15,'مبيعات يومية'!$A$2:$A$8001,'إعدادات المخزون'!$B$4)</f>
        <v>0</v>
      </c>
      <c r="C68" s="116" t="n">
        <f aca="false">SUMIFS('مبيعات يومية'!$D$2:$D$8001,'مبيعات يومية'!$C$2:$C$8001,$A68,'مبيعات يومية'!$B$2:$B$8001,'إعدادات المخزون'!$A$15,'مبيعات يومية'!$A$2:$A$8001,"&gt;="&amp;'إعدادات المخزون'!$B$5,'مبيعات يومية'!$A$2:$A$8001,"&lt;="&amp;'إعدادات المخزون'!$B$4)</f>
        <v>0</v>
      </c>
      <c r="D68" s="116" t="n">
        <f aca="false">SUMIFS('مبيعات يومية'!$D$2:$D$8001,'مبيعات يومية'!$C$2:$C$8001,$A68,'مبيعات يومية'!$B$2:$B$8001,'إعدادات المخزون'!$A$15,'مبيعات يومية'!$A$2:$A$8001,"&gt;"&amp;('إعدادات المخزون'!$B$4-'إعدادات المخزون'!$B$11),'مبيعات يومية'!$A$2:$A$8001,"&lt;="&amp;'إعدادات المخزون'!$B$4)</f>
        <v>0</v>
      </c>
      <c r="E68" s="116" t="n">
        <f aca="false">SUMIFS('مبيعات يومية'!$D$2:$D$8001,'مبيعات يومية'!$C$2:$C$8001,$A68,'مبيعات يومية'!$B$2:$B$8001,'إعدادات المخزون'!$A$16,'مبيعات يومية'!$A$2:$A$8001,'إعدادات المخزون'!$B$4)</f>
        <v>0</v>
      </c>
      <c r="F68" s="116" t="n">
        <f aca="false">SUMIFS('مبيعات يومية'!$D$2:$D$8001,'مبيعات يومية'!$C$2:$C$8001,$A68,'مبيعات يومية'!$B$2:$B$8001,'إعدادات المخزون'!$A$16,'مبيعات يومية'!$A$2:$A$8001,"&gt;="&amp;'إعدادات المخزون'!$B$5,'مبيعات يومية'!$A$2:$A$8001,"&lt;="&amp;'إعدادات المخزون'!$B$4)</f>
        <v>0</v>
      </c>
      <c r="G68" s="116" t="n">
        <f aca="false">SUMIFS('مبيعات يومية'!$D$2:$D$8001,'مبيعات يومية'!$C$2:$C$8001,$A68,'مبيعات يومية'!$B$2:$B$8001,'إعدادات المخزون'!$A$16,'مبيعات يومية'!$A$2:$A$8001,"&gt;"&amp;('إعدادات المخزون'!$B$4-'إعدادات المخزون'!$B$11),'مبيعات يومية'!$A$2:$A$8001,"&lt;="&amp;'إعدادات المخزون'!$B$4)</f>
        <v>0</v>
      </c>
      <c r="H68" s="116" t="n">
        <f aca="false">SUMIFS('مبيعات يومية'!$D$2:$D$8001,'مبيعات يومية'!$C$2:$C$8001,$A68,'مبيعات يومية'!$B$2:$B$8001,'إعدادات المخزون'!$A$17,'مبيعات يومية'!$A$2:$A$8001,'إعدادات المخزون'!$B$4)</f>
        <v>0</v>
      </c>
      <c r="I68" s="116" t="n">
        <f aca="false">SUMIFS('مبيعات يومية'!$D$2:$D$8001,'مبيعات يومية'!$C$2:$C$8001,$A68,'مبيعات يومية'!$B$2:$B$8001,'إعدادات المخزون'!$A$17,'مبيعات يومية'!$A$2:$A$8001,"&gt;="&amp;'إعدادات المخزون'!$B$5,'مبيعات يومية'!$A$2:$A$8001,"&lt;="&amp;'إعدادات المخزون'!$B$4)</f>
        <v>0</v>
      </c>
      <c r="J68" s="116" t="n">
        <f aca="false">SUMIFS('مبيعات يومية'!$D$2:$D$8001,'مبيعات يومية'!$C$2:$C$8001,$A68,'مبيعات يومية'!$B$2:$B$8001,'إعدادات المخزون'!$A$17,'مبيعات يومية'!$A$2:$A$8001,"&gt;"&amp;('إعدادات المخزون'!$B$4-'إعدادات المخزون'!$B$11),'مبيعات يومية'!$A$2:$A$8001,"&lt;="&amp;'إعدادات المخزون'!$B$4)</f>
        <v>0</v>
      </c>
    </row>
    <row r="69" customFormat="false" ht="15" hidden="false" customHeight="false" outlineLevel="0" collapsed="false">
      <c r="A69" s="114" t="str">
        <f aca="false">المنيو!B69</f>
        <v>كريب فراخ باربيكيو</v>
      </c>
      <c r="B69" s="116" t="n">
        <f aca="false">SUMIFS('مبيعات يومية'!$D$2:$D$8001,'مبيعات يومية'!$C$2:$C$8001,$A69,'مبيعات يومية'!$B$2:$B$8001,'إعدادات المخزون'!$A$15,'مبيعات يومية'!$A$2:$A$8001,'إعدادات المخزون'!$B$4)</f>
        <v>0</v>
      </c>
      <c r="C69" s="116" t="n">
        <f aca="false">SUMIFS('مبيعات يومية'!$D$2:$D$8001,'مبيعات يومية'!$C$2:$C$8001,$A69,'مبيعات يومية'!$B$2:$B$8001,'إعدادات المخزون'!$A$15,'مبيعات يومية'!$A$2:$A$8001,"&gt;="&amp;'إعدادات المخزون'!$B$5,'مبيعات يومية'!$A$2:$A$8001,"&lt;="&amp;'إعدادات المخزون'!$B$4)</f>
        <v>0</v>
      </c>
      <c r="D69" s="116" t="n">
        <f aca="false">SUMIFS('مبيعات يومية'!$D$2:$D$8001,'مبيعات يومية'!$C$2:$C$8001,$A69,'مبيعات يومية'!$B$2:$B$8001,'إعدادات المخزون'!$A$15,'مبيعات يومية'!$A$2:$A$8001,"&gt;"&amp;('إعدادات المخزون'!$B$4-'إعدادات المخزون'!$B$11),'مبيعات يومية'!$A$2:$A$8001,"&lt;="&amp;'إعدادات المخزون'!$B$4)</f>
        <v>0</v>
      </c>
      <c r="E69" s="116" t="n">
        <f aca="false">SUMIFS('مبيعات يومية'!$D$2:$D$8001,'مبيعات يومية'!$C$2:$C$8001,$A69,'مبيعات يومية'!$B$2:$B$8001,'إعدادات المخزون'!$A$16,'مبيعات يومية'!$A$2:$A$8001,'إعدادات المخزون'!$B$4)</f>
        <v>0</v>
      </c>
      <c r="F69" s="116" t="n">
        <f aca="false">SUMIFS('مبيعات يومية'!$D$2:$D$8001,'مبيعات يومية'!$C$2:$C$8001,$A69,'مبيعات يومية'!$B$2:$B$8001,'إعدادات المخزون'!$A$16,'مبيعات يومية'!$A$2:$A$8001,"&gt;="&amp;'إعدادات المخزون'!$B$5,'مبيعات يومية'!$A$2:$A$8001,"&lt;="&amp;'إعدادات المخزون'!$B$4)</f>
        <v>0</v>
      </c>
      <c r="G69" s="116" t="n">
        <f aca="false">SUMIFS('مبيعات يومية'!$D$2:$D$8001,'مبيعات يومية'!$C$2:$C$8001,$A69,'مبيعات يومية'!$B$2:$B$8001,'إعدادات المخزون'!$A$16,'مبيعات يومية'!$A$2:$A$8001,"&gt;"&amp;('إعدادات المخزون'!$B$4-'إعدادات المخزون'!$B$11),'مبيعات يومية'!$A$2:$A$8001,"&lt;="&amp;'إعدادات المخزون'!$B$4)</f>
        <v>0</v>
      </c>
      <c r="H69" s="116" t="n">
        <f aca="false">SUMIFS('مبيعات يومية'!$D$2:$D$8001,'مبيعات يومية'!$C$2:$C$8001,$A69,'مبيعات يومية'!$B$2:$B$8001,'إعدادات المخزون'!$A$17,'مبيعات يومية'!$A$2:$A$8001,'إعدادات المخزون'!$B$4)</f>
        <v>0</v>
      </c>
      <c r="I69" s="116" t="n">
        <f aca="false">SUMIFS('مبيعات يومية'!$D$2:$D$8001,'مبيعات يومية'!$C$2:$C$8001,$A69,'مبيعات يومية'!$B$2:$B$8001,'إعدادات المخزون'!$A$17,'مبيعات يومية'!$A$2:$A$8001,"&gt;="&amp;'إعدادات المخزون'!$B$5,'مبيعات يومية'!$A$2:$A$8001,"&lt;="&amp;'إعدادات المخزون'!$B$4)</f>
        <v>0</v>
      </c>
      <c r="J69" s="116" t="n">
        <f aca="false">SUMIFS('مبيعات يومية'!$D$2:$D$8001,'مبيعات يومية'!$C$2:$C$8001,$A69,'مبيعات يومية'!$B$2:$B$8001,'إعدادات المخزون'!$A$17,'مبيعات يومية'!$A$2:$A$8001,"&gt;"&amp;('إعدادات المخزون'!$B$4-'إعدادات المخزون'!$B$11),'مبيعات يومية'!$A$2:$A$8001,"&lt;="&amp;'إعدادات المخزون'!$B$4)</f>
        <v>0</v>
      </c>
    </row>
    <row r="70" customFormat="false" ht="15" hidden="false" customHeight="false" outlineLevel="0" collapsed="false">
      <c r="A70" s="114" t="str">
        <f aca="false">المنيو!B70</f>
        <v>عيش كريب</v>
      </c>
      <c r="B70" s="116" t="n">
        <f aca="false">SUMIFS('مبيعات يومية'!$D$2:$D$8001,'مبيعات يومية'!$C$2:$C$8001,$A70,'مبيعات يومية'!$B$2:$B$8001,'إعدادات المخزون'!$A$15,'مبيعات يومية'!$A$2:$A$8001,'إعدادات المخزون'!$B$4)</f>
        <v>0</v>
      </c>
      <c r="C70" s="116" t="n">
        <f aca="false">SUMIFS('مبيعات يومية'!$D$2:$D$8001,'مبيعات يومية'!$C$2:$C$8001,$A70,'مبيعات يومية'!$B$2:$B$8001,'إعدادات المخزون'!$A$15,'مبيعات يومية'!$A$2:$A$8001,"&gt;="&amp;'إعدادات المخزون'!$B$5,'مبيعات يومية'!$A$2:$A$8001,"&lt;="&amp;'إعدادات المخزون'!$B$4)</f>
        <v>0</v>
      </c>
      <c r="D70" s="116" t="n">
        <f aca="false">SUMIFS('مبيعات يومية'!$D$2:$D$8001,'مبيعات يومية'!$C$2:$C$8001,$A70,'مبيعات يومية'!$B$2:$B$8001,'إعدادات المخزون'!$A$15,'مبيعات يومية'!$A$2:$A$8001,"&gt;"&amp;('إعدادات المخزون'!$B$4-'إعدادات المخزون'!$B$11),'مبيعات يومية'!$A$2:$A$8001,"&lt;="&amp;'إعدادات المخزون'!$B$4)</f>
        <v>0</v>
      </c>
      <c r="E70" s="116" t="n">
        <f aca="false">SUMIFS('مبيعات يومية'!$D$2:$D$8001,'مبيعات يومية'!$C$2:$C$8001,$A70,'مبيعات يومية'!$B$2:$B$8001,'إعدادات المخزون'!$A$16,'مبيعات يومية'!$A$2:$A$8001,'إعدادات المخزون'!$B$4)</f>
        <v>0</v>
      </c>
      <c r="F70" s="116" t="n">
        <f aca="false">SUMIFS('مبيعات يومية'!$D$2:$D$8001,'مبيعات يومية'!$C$2:$C$8001,$A70,'مبيعات يومية'!$B$2:$B$8001,'إعدادات المخزون'!$A$16,'مبيعات يومية'!$A$2:$A$8001,"&gt;="&amp;'إعدادات المخزون'!$B$5,'مبيعات يومية'!$A$2:$A$8001,"&lt;="&amp;'إعدادات المخزون'!$B$4)</f>
        <v>0</v>
      </c>
      <c r="G70" s="116" t="n">
        <f aca="false">SUMIFS('مبيعات يومية'!$D$2:$D$8001,'مبيعات يومية'!$C$2:$C$8001,$A70,'مبيعات يومية'!$B$2:$B$8001,'إعدادات المخزون'!$A$16,'مبيعات يومية'!$A$2:$A$8001,"&gt;"&amp;('إعدادات المخزون'!$B$4-'إعدادات المخزون'!$B$11),'مبيعات يومية'!$A$2:$A$8001,"&lt;="&amp;'إعدادات المخزون'!$B$4)</f>
        <v>0</v>
      </c>
      <c r="H70" s="116" t="n">
        <f aca="false">SUMIFS('مبيعات يومية'!$D$2:$D$8001,'مبيعات يومية'!$C$2:$C$8001,$A70,'مبيعات يومية'!$B$2:$B$8001,'إعدادات المخزون'!$A$17,'مبيعات يومية'!$A$2:$A$8001,'إعدادات المخزون'!$B$4)</f>
        <v>0</v>
      </c>
      <c r="I70" s="116" t="n">
        <f aca="false">SUMIFS('مبيعات يومية'!$D$2:$D$8001,'مبيعات يومية'!$C$2:$C$8001,$A70,'مبيعات يومية'!$B$2:$B$8001,'إعدادات المخزون'!$A$17,'مبيعات يومية'!$A$2:$A$8001,"&gt;="&amp;'إعدادات المخزون'!$B$5,'مبيعات يومية'!$A$2:$A$8001,"&lt;="&amp;'إعدادات المخزون'!$B$4)</f>
        <v>0</v>
      </c>
      <c r="J70" s="116" t="n">
        <f aca="false">SUMIFS('مبيعات يومية'!$D$2:$D$8001,'مبيعات يومية'!$C$2:$C$8001,$A70,'مبيعات يومية'!$B$2:$B$8001,'إعدادات المخزون'!$A$17,'مبيعات يومية'!$A$2:$A$8001,"&gt;"&amp;('إعدادات المخزون'!$B$4-'إعدادات المخزون'!$B$11),'مبيعات يومية'!$A$2:$A$8001,"&lt;="&amp;'إعدادات المخزون'!$B$4)</f>
        <v>0</v>
      </c>
    </row>
    <row r="71" customFormat="false" ht="15" hidden="false" customHeight="false" outlineLevel="0" collapsed="false">
      <c r="A71" s="114" t="str">
        <f aca="false">المنيو!B71</f>
        <v>باكت بطاطس وسط</v>
      </c>
      <c r="B71" s="116" t="n">
        <f aca="false">SUMIFS('مبيعات يومية'!$D$2:$D$8001,'مبيعات يومية'!$C$2:$C$8001,$A71,'مبيعات يومية'!$B$2:$B$8001,'إعدادات المخزون'!$A$15,'مبيعات يومية'!$A$2:$A$8001,'إعدادات المخزون'!$B$4)</f>
        <v>0</v>
      </c>
      <c r="C71" s="116" t="n">
        <f aca="false">SUMIFS('مبيعات يومية'!$D$2:$D$8001,'مبيعات يومية'!$C$2:$C$8001,$A71,'مبيعات يومية'!$B$2:$B$8001,'إعدادات المخزون'!$A$15,'مبيعات يومية'!$A$2:$A$8001,"&gt;="&amp;'إعدادات المخزون'!$B$5,'مبيعات يومية'!$A$2:$A$8001,"&lt;="&amp;'إعدادات المخزون'!$B$4)</f>
        <v>0</v>
      </c>
      <c r="D71" s="116" t="n">
        <f aca="false">SUMIFS('مبيعات يومية'!$D$2:$D$8001,'مبيعات يومية'!$C$2:$C$8001,$A71,'مبيعات يومية'!$B$2:$B$8001,'إعدادات المخزون'!$A$15,'مبيعات يومية'!$A$2:$A$8001,"&gt;"&amp;('إعدادات المخزون'!$B$4-'إعدادات المخزون'!$B$11),'مبيعات يومية'!$A$2:$A$8001,"&lt;="&amp;'إعدادات المخزون'!$B$4)</f>
        <v>0</v>
      </c>
      <c r="E71" s="116" t="n">
        <f aca="false">SUMIFS('مبيعات يومية'!$D$2:$D$8001,'مبيعات يومية'!$C$2:$C$8001,$A71,'مبيعات يومية'!$B$2:$B$8001,'إعدادات المخزون'!$A$16,'مبيعات يومية'!$A$2:$A$8001,'إعدادات المخزون'!$B$4)</f>
        <v>0</v>
      </c>
      <c r="F71" s="116" t="n">
        <f aca="false">SUMIFS('مبيعات يومية'!$D$2:$D$8001,'مبيعات يومية'!$C$2:$C$8001,$A71,'مبيعات يومية'!$B$2:$B$8001,'إعدادات المخزون'!$A$16,'مبيعات يومية'!$A$2:$A$8001,"&gt;="&amp;'إعدادات المخزون'!$B$5,'مبيعات يومية'!$A$2:$A$8001,"&lt;="&amp;'إعدادات المخزون'!$B$4)</f>
        <v>0</v>
      </c>
      <c r="G71" s="116" t="n">
        <f aca="false">SUMIFS('مبيعات يومية'!$D$2:$D$8001,'مبيعات يومية'!$C$2:$C$8001,$A71,'مبيعات يومية'!$B$2:$B$8001,'إعدادات المخزون'!$A$16,'مبيعات يومية'!$A$2:$A$8001,"&gt;"&amp;('إعدادات المخزون'!$B$4-'إعدادات المخزون'!$B$11),'مبيعات يومية'!$A$2:$A$8001,"&lt;="&amp;'إعدادات المخزون'!$B$4)</f>
        <v>0</v>
      </c>
      <c r="H71" s="116" t="n">
        <f aca="false">SUMIFS('مبيعات يومية'!$D$2:$D$8001,'مبيعات يومية'!$C$2:$C$8001,$A71,'مبيعات يومية'!$B$2:$B$8001,'إعدادات المخزون'!$A$17,'مبيعات يومية'!$A$2:$A$8001,'إعدادات المخزون'!$B$4)</f>
        <v>0</v>
      </c>
      <c r="I71" s="116" t="n">
        <f aca="false">SUMIFS('مبيعات يومية'!$D$2:$D$8001,'مبيعات يومية'!$C$2:$C$8001,$A71,'مبيعات يومية'!$B$2:$B$8001,'إعدادات المخزون'!$A$17,'مبيعات يومية'!$A$2:$A$8001,"&gt;="&amp;'إعدادات المخزون'!$B$5,'مبيعات يومية'!$A$2:$A$8001,"&lt;="&amp;'إعدادات المخزون'!$B$4)</f>
        <v>0</v>
      </c>
      <c r="J71" s="116" t="n">
        <f aca="false">SUMIFS('مبيعات يومية'!$D$2:$D$8001,'مبيعات يومية'!$C$2:$C$8001,$A71,'مبيعات يومية'!$B$2:$B$8001,'إعدادات المخزون'!$A$17,'مبيعات يومية'!$A$2:$A$8001,"&gt;"&amp;('إعدادات المخزون'!$B$4-'إعدادات المخزون'!$B$11),'مبيعات يومية'!$A$2:$A$8001,"&lt;="&amp;'إعدادات المخزون'!$B$4)</f>
        <v>0</v>
      </c>
    </row>
    <row r="72" customFormat="false" ht="15" hidden="false" customHeight="false" outlineLevel="0" collapsed="false">
      <c r="A72" s="114" t="str">
        <f aca="false">المنيو!B72</f>
        <v>باكت بطاطس كبير</v>
      </c>
      <c r="B72" s="116" t="n">
        <f aca="false">SUMIFS('مبيعات يومية'!$D$2:$D$8001,'مبيعات يومية'!$C$2:$C$8001,$A72,'مبيعات يومية'!$B$2:$B$8001,'إعدادات المخزون'!$A$15,'مبيعات يومية'!$A$2:$A$8001,'إعدادات المخزون'!$B$4)</f>
        <v>0</v>
      </c>
      <c r="C72" s="116" t="n">
        <f aca="false">SUMIFS('مبيعات يومية'!$D$2:$D$8001,'مبيعات يومية'!$C$2:$C$8001,$A72,'مبيعات يومية'!$B$2:$B$8001,'إعدادات المخزون'!$A$15,'مبيعات يومية'!$A$2:$A$8001,"&gt;="&amp;'إعدادات المخزون'!$B$5,'مبيعات يومية'!$A$2:$A$8001,"&lt;="&amp;'إعدادات المخزون'!$B$4)</f>
        <v>0</v>
      </c>
      <c r="D72" s="116" t="n">
        <f aca="false">SUMIFS('مبيعات يومية'!$D$2:$D$8001,'مبيعات يومية'!$C$2:$C$8001,$A72,'مبيعات يومية'!$B$2:$B$8001,'إعدادات المخزون'!$A$15,'مبيعات يومية'!$A$2:$A$8001,"&gt;"&amp;('إعدادات المخزون'!$B$4-'إعدادات المخزون'!$B$11),'مبيعات يومية'!$A$2:$A$8001,"&lt;="&amp;'إعدادات المخزون'!$B$4)</f>
        <v>0</v>
      </c>
      <c r="E72" s="116" t="n">
        <f aca="false">SUMIFS('مبيعات يومية'!$D$2:$D$8001,'مبيعات يومية'!$C$2:$C$8001,$A72,'مبيعات يومية'!$B$2:$B$8001,'إعدادات المخزون'!$A$16,'مبيعات يومية'!$A$2:$A$8001,'إعدادات المخزون'!$B$4)</f>
        <v>0</v>
      </c>
      <c r="F72" s="116" t="n">
        <f aca="false">SUMIFS('مبيعات يومية'!$D$2:$D$8001,'مبيعات يومية'!$C$2:$C$8001,$A72,'مبيعات يومية'!$B$2:$B$8001,'إعدادات المخزون'!$A$16,'مبيعات يومية'!$A$2:$A$8001,"&gt;="&amp;'إعدادات المخزون'!$B$5,'مبيعات يومية'!$A$2:$A$8001,"&lt;="&amp;'إعدادات المخزون'!$B$4)</f>
        <v>0</v>
      </c>
      <c r="G72" s="116" t="n">
        <f aca="false">SUMIFS('مبيعات يومية'!$D$2:$D$8001,'مبيعات يومية'!$C$2:$C$8001,$A72,'مبيعات يومية'!$B$2:$B$8001,'إعدادات المخزون'!$A$16,'مبيعات يومية'!$A$2:$A$8001,"&gt;"&amp;('إعدادات المخزون'!$B$4-'إعدادات المخزون'!$B$11),'مبيعات يومية'!$A$2:$A$8001,"&lt;="&amp;'إعدادات المخزون'!$B$4)</f>
        <v>0</v>
      </c>
      <c r="H72" s="116" t="n">
        <f aca="false">SUMIFS('مبيعات يومية'!$D$2:$D$8001,'مبيعات يومية'!$C$2:$C$8001,$A72,'مبيعات يومية'!$B$2:$B$8001,'إعدادات المخزون'!$A$17,'مبيعات يومية'!$A$2:$A$8001,'إعدادات المخزون'!$B$4)</f>
        <v>0</v>
      </c>
      <c r="I72" s="116" t="n">
        <f aca="false">SUMIFS('مبيعات يومية'!$D$2:$D$8001,'مبيعات يومية'!$C$2:$C$8001,$A72,'مبيعات يومية'!$B$2:$B$8001,'إعدادات المخزون'!$A$17,'مبيعات يومية'!$A$2:$A$8001,"&gt;="&amp;'إعدادات المخزون'!$B$5,'مبيعات يومية'!$A$2:$A$8001,"&lt;="&amp;'إعدادات المخزون'!$B$4)</f>
        <v>0</v>
      </c>
      <c r="J72" s="116" t="n">
        <f aca="false">SUMIFS('مبيعات يومية'!$D$2:$D$8001,'مبيعات يومية'!$C$2:$C$8001,$A72,'مبيعات يومية'!$B$2:$B$8001,'إعدادات المخزون'!$A$17,'مبيعات يومية'!$A$2:$A$8001,"&gt;"&amp;('إعدادات المخزون'!$B$4-'إعدادات المخزون'!$B$11),'مبيعات يومية'!$A$2:$A$8001,"&lt;="&amp;'إعدادات المخزون'!$B$4)</f>
        <v>0</v>
      </c>
    </row>
    <row r="73" customFormat="false" ht="15" hidden="false" customHeight="false" outlineLevel="0" collapsed="false">
      <c r="A73" s="114" t="str">
        <f aca="false">المنيو!B73</f>
        <v>باكت بطاطس جبنة (وسط)</v>
      </c>
      <c r="B73" s="116" t="n">
        <f aca="false">SUMIFS('مبيعات يومية'!$D$2:$D$8001,'مبيعات يومية'!$C$2:$C$8001,$A73,'مبيعات يومية'!$B$2:$B$8001,'إعدادات المخزون'!$A$15,'مبيعات يومية'!$A$2:$A$8001,'إعدادات المخزون'!$B$4)</f>
        <v>0</v>
      </c>
      <c r="C73" s="116" t="n">
        <f aca="false">SUMIFS('مبيعات يومية'!$D$2:$D$8001,'مبيعات يومية'!$C$2:$C$8001,$A73,'مبيعات يومية'!$B$2:$B$8001,'إعدادات المخزون'!$A$15,'مبيعات يومية'!$A$2:$A$8001,"&gt;="&amp;'إعدادات المخزون'!$B$5,'مبيعات يومية'!$A$2:$A$8001,"&lt;="&amp;'إعدادات المخزون'!$B$4)</f>
        <v>0</v>
      </c>
      <c r="D73" s="116" t="n">
        <f aca="false">SUMIFS('مبيعات يومية'!$D$2:$D$8001,'مبيعات يومية'!$C$2:$C$8001,$A73,'مبيعات يومية'!$B$2:$B$8001,'إعدادات المخزون'!$A$15,'مبيعات يومية'!$A$2:$A$8001,"&gt;"&amp;('إعدادات المخزون'!$B$4-'إعدادات المخزون'!$B$11),'مبيعات يومية'!$A$2:$A$8001,"&lt;="&amp;'إعدادات المخزون'!$B$4)</f>
        <v>0</v>
      </c>
      <c r="E73" s="116" t="n">
        <f aca="false">SUMIFS('مبيعات يومية'!$D$2:$D$8001,'مبيعات يومية'!$C$2:$C$8001,$A73,'مبيعات يومية'!$B$2:$B$8001,'إعدادات المخزون'!$A$16,'مبيعات يومية'!$A$2:$A$8001,'إعدادات المخزون'!$B$4)</f>
        <v>0</v>
      </c>
      <c r="F73" s="116" t="n">
        <f aca="false">SUMIFS('مبيعات يومية'!$D$2:$D$8001,'مبيعات يومية'!$C$2:$C$8001,$A73,'مبيعات يومية'!$B$2:$B$8001,'إعدادات المخزون'!$A$16,'مبيعات يومية'!$A$2:$A$8001,"&gt;="&amp;'إعدادات المخزون'!$B$5,'مبيعات يومية'!$A$2:$A$8001,"&lt;="&amp;'إعدادات المخزون'!$B$4)</f>
        <v>0</v>
      </c>
      <c r="G73" s="116" t="n">
        <f aca="false">SUMIFS('مبيعات يومية'!$D$2:$D$8001,'مبيعات يومية'!$C$2:$C$8001,$A73,'مبيعات يومية'!$B$2:$B$8001,'إعدادات المخزون'!$A$16,'مبيعات يومية'!$A$2:$A$8001,"&gt;"&amp;('إعدادات المخزون'!$B$4-'إعدادات المخزون'!$B$11),'مبيعات يومية'!$A$2:$A$8001,"&lt;="&amp;'إعدادات المخزون'!$B$4)</f>
        <v>0</v>
      </c>
      <c r="H73" s="116" t="n">
        <f aca="false">SUMIFS('مبيعات يومية'!$D$2:$D$8001,'مبيعات يومية'!$C$2:$C$8001,$A73,'مبيعات يومية'!$B$2:$B$8001,'إعدادات المخزون'!$A$17,'مبيعات يومية'!$A$2:$A$8001,'إعدادات المخزون'!$B$4)</f>
        <v>0</v>
      </c>
      <c r="I73" s="116" t="n">
        <f aca="false">SUMIFS('مبيعات يومية'!$D$2:$D$8001,'مبيعات يومية'!$C$2:$C$8001,$A73,'مبيعات يومية'!$B$2:$B$8001,'إعدادات المخزون'!$A$17,'مبيعات يومية'!$A$2:$A$8001,"&gt;="&amp;'إعدادات المخزون'!$B$5,'مبيعات يومية'!$A$2:$A$8001,"&lt;="&amp;'إعدادات المخزون'!$B$4)</f>
        <v>0</v>
      </c>
      <c r="J73" s="116" t="n">
        <f aca="false">SUMIFS('مبيعات يومية'!$D$2:$D$8001,'مبيعات يومية'!$C$2:$C$8001,$A73,'مبيعات يومية'!$B$2:$B$8001,'إعدادات المخزون'!$A$17,'مبيعات يومية'!$A$2:$A$8001,"&gt;"&amp;('إعدادات المخزون'!$B$4-'إعدادات المخزون'!$B$11),'مبيعات يومية'!$A$2:$A$8001,"&lt;="&amp;'إعدادات المخزون'!$B$4)</f>
        <v>0</v>
      </c>
    </row>
    <row r="74" customFormat="false" ht="15" hidden="false" customHeight="false" outlineLevel="0" collapsed="false">
      <c r="A74" s="114" t="str">
        <f aca="false">المنيو!B74</f>
        <v>باكت بطاطس جبنة (كبير)</v>
      </c>
      <c r="B74" s="116" t="n">
        <f aca="false">SUMIFS('مبيعات يومية'!$D$2:$D$8001,'مبيعات يومية'!$C$2:$C$8001,$A74,'مبيعات يومية'!$B$2:$B$8001,'إعدادات المخزون'!$A$15,'مبيعات يومية'!$A$2:$A$8001,'إعدادات المخزون'!$B$4)</f>
        <v>0</v>
      </c>
      <c r="C74" s="116" t="n">
        <f aca="false">SUMIFS('مبيعات يومية'!$D$2:$D$8001,'مبيعات يومية'!$C$2:$C$8001,$A74,'مبيعات يومية'!$B$2:$B$8001,'إعدادات المخزون'!$A$15,'مبيعات يومية'!$A$2:$A$8001,"&gt;="&amp;'إعدادات المخزون'!$B$5,'مبيعات يومية'!$A$2:$A$8001,"&lt;="&amp;'إعدادات المخزون'!$B$4)</f>
        <v>0</v>
      </c>
      <c r="D74" s="116" t="n">
        <f aca="false">SUMIFS('مبيعات يومية'!$D$2:$D$8001,'مبيعات يومية'!$C$2:$C$8001,$A74,'مبيعات يومية'!$B$2:$B$8001,'إعدادات المخزون'!$A$15,'مبيعات يومية'!$A$2:$A$8001,"&gt;"&amp;('إعدادات المخزون'!$B$4-'إعدادات المخزون'!$B$11),'مبيعات يومية'!$A$2:$A$8001,"&lt;="&amp;'إعدادات المخزون'!$B$4)</f>
        <v>0</v>
      </c>
      <c r="E74" s="116" t="n">
        <f aca="false">SUMIFS('مبيعات يومية'!$D$2:$D$8001,'مبيعات يومية'!$C$2:$C$8001,$A74,'مبيعات يومية'!$B$2:$B$8001,'إعدادات المخزون'!$A$16,'مبيعات يومية'!$A$2:$A$8001,'إعدادات المخزون'!$B$4)</f>
        <v>0</v>
      </c>
      <c r="F74" s="116" t="n">
        <f aca="false">SUMIFS('مبيعات يومية'!$D$2:$D$8001,'مبيعات يومية'!$C$2:$C$8001,$A74,'مبيعات يومية'!$B$2:$B$8001,'إعدادات المخزون'!$A$16,'مبيعات يومية'!$A$2:$A$8001,"&gt;="&amp;'إعدادات المخزون'!$B$5,'مبيعات يومية'!$A$2:$A$8001,"&lt;="&amp;'إعدادات المخزون'!$B$4)</f>
        <v>0</v>
      </c>
      <c r="G74" s="116" t="n">
        <f aca="false">SUMIFS('مبيعات يومية'!$D$2:$D$8001,'مبيعات يومية'!$C$2:$C$8001,$A74,'مبيعات يومية'!$B$2:$B$8001,'إعدادات المخزون'!$A$16,'مبيعات يومية'!$A$2:$A$8001,"&gt;"&amp;('إعدادات المخزون'!$B$4-'إعدادات المخزون'!$B$11),'مبيعات يومية'!$A$2:$A$8001,"&lt;="&amp;'إعدادات المخزون'!$B$4)</f>
        <v>0</v>
      </c>
      <c r="H74" s="116" t="n">
        <f aca="false">SUMIFS('مبيعات يومية'!$D$2:$D$8001,'مبيعات يومية'!$C$2:$C$8001,$A74,'مبيعات يومية'!$B$2:$B$8001,'إعدادات المخزون'!$A$17,'مبيعات يومية'!$A$2:$A$8001,'إعدادات المخزون'!$B$4)</f>
        <v>0</v>
      </c>
      <c r="I74" s="116" t="n">
        <f aca="false">SUMIFS('مبيعات يومية'!$D$2:$D$8001,'مبيعات يومية'!$C$2:$C$8001,$A74,'مبيعات يومية'!$B$2:$B$8001,'إعدادات المخزون'!$A$17,'مبيعات يومية'!$A$2:$A$8001,"&gt;="&amp;'إعدادات المخزون'!$B$5,'مبيعات يومية'!$A$2:$A$8001,"&lt;="&amp;'إعدادات المخزون'!$B$4)</f>
        <v>0</v>
      </c>
      <c r="J74" s="116" t="n">
        <f aca="false">SUMIFS('مبيعات يومية'!$D$2:$D$8001,'مبيعات يومية'!$C$2:$C$8001,$A74,'مبيعات يومية'!$B$2:$B$8001,'إعدادات المخزون'!$A$17,'مبيعات يومية'!$A$2:$A$8001,"&gt;"&amp;('إعدادات المخزون'!$B$4-'إعدادات المخزون'!$B$11),'مبيعات يومية'!$A$2:$A$8001,"&lt;="&amp;'إعدادات المخزون'!$B$4)</f>
        <v>0</v>
      </c>
    </row>
    <row r="75" customFormat="false" ht="15" hidden="false" customHeight="false" outlineLevel="0" collapsed="false">
      <c r="A75" s="114" t="str">
        <f aca="false">المنيو!B75</f>
        <v>بيبسي كانز</v>
      </c>
      <c r="B75" s="116" t="n">
        <f aca="false">SUMIFS('مبيعات يومية'!$D$2:$D$8001,'مبيعات يومية'!$C$2:$C$8001,$A75,'مبيعات يومية'!$B$2:$B$8001,'إعدادات المخزون'!$A$15,'مبيعات يومية'!$A$2:$A$8001,'إعدادات المخزون'!$B$4)</f>
        <v>0</v>
      </c>
      <c r="C75" s="116" t="n">
        <f aca="false">SUMIFS('مبيعات يومية'!$D$2:$D$8001,'مبيعات يومية'!$C$2:$C$8001,$A75,'مبيعات يومية'!$B$2:$B$8001,'إعدادات المخزون'!$A$15,'مبيعات يومية'!$A$2:$A$8001,"&gt;="&amp;'إعدادات المخزون'!$B$5,'مبيعات يومية'!$A$2:$A$8001,"&lt;="&amp;'إعدادات المخزون'!$B$4)</f>
        <v>0</v>
      </c>
      <c r="D75" s="116" t="n">
        <f aca="false">SUMIFS('مبيعات يومية'!$D$2:$D$8001,'مبيعات يومية'!$C$2:$C$8001,$A75,'مبيعات يومية'!$B$2:$B$8001,'إعدادات المخزون'!$A$15,'مبيعات يومية'!$A$2:$A$8001,"&gt;"&amp;('إعدادات المخزون'!$B$4-'إعدادات المخزون'!$B$11),'مبيعات يومية'!$A$2:$A$8001,"&lt;="&amp;'إعدادات المخزون'!$B$4)</f>
        <v>0</v>
      </c>
      <c r="E75" s="116" t="n">
        <f aca="false">SUMIFS('مبيعات يومية'!$D$2:$D$8001,'مبيعات يومية'!$C$2:$C$8001,$A75,'مبيعات يومية'!$B$2:$B$8001,'إعدادات المخزون'!$A$16,'مبيعات يومية'!$A$2:$A$8001,'إعدادات المخزون'!$B$4)</f>
        <v>0</v>
      </c>
      <c r="F75" s="116" t="n">
        <f aca="false">SUMIFS('مبيعات يومية'!$D$2:$D$8001,'مبيعات يومية'!$C$2:$C$8001,$A75,'مبيعات يومية'!$B$2:$B$8001,'إعدادات المخزون'!$A$16,'مبيعات يومية'!$A$2:$A$8001,"&gt;="&amp;'إعدادات المخزون'!$B$5,'مبيعات يومية'!$A$2:$A$8001,"&lt;="&amp;'إعدادات المخزون'!$B$4)</f>
        <v>0</v>
      </c>
      <c r="G75" s="116" t="n">
        <f aca="false">SUMIFS('مبيعات يومية'!$D$2:$D$8001,'مبيعات يومية'!$C$2:$C$8001,$A75,'مبيعات يومية'!$B$2:$B$8001,'إعدادات المخزون'!$A$16,'مبيعات يومية'!$A$2:$A$8001,"&gt;"&amp;('إعدادات المخزون'!$B$4-'إعدادات المخزون'!$B$11),'مبيعات يومية'!$A$2:$A$8001,"&lt;="&amp;'إعدادات المخزون'!$B$4)</f>
        <v>0</v>
      </c>
      <c r="H75" s="116" t="n">
        <f aca="false">SUMIFS('مبيعات يومية'!$D$2:$D$8001,'مبيعات يومية'!$C$2:$C$8001,$A75,'مبيعات يومية'!$B$2:$B$8001,'إعدادات المخزون'!$A$17,'مبيعات يومية'!$A$2:$A$8001,'إعدادات المخزون'!$B$4)</f>
        <v>0</v>
      </c>
      <c r="I75" s="116" t="n">
        <f aca="false">SUMIFS('مبيعات يومية'!$D$2:$D$8001,'مبيعات يومية'!$C$2:$C$8001,$A75,'مبيعات يومية'!$B$2:$B$8001,'إعدادات المخزون'!$A$17,'مبيعات يومية'!$A$2:$A$8001,"&gt;="&amp;'إعدادات المخزون'!$B$5,'مبيعات يومية'!$A$2:$A$8001,"&lt;="&amp;'إعدادات المخزون'!$B$4)</f>
        <v>0</v>
      </c>
      <c r="J75" s="116" t="n">
        <f aca="false">SUMIFS('مبيعات يومية'!$D$2:$D$8001,'مبيعات يومية'!$C$2:$C$8001,$A75,'مبيعات يومية'!$B$2:$B$8001,'إعدادات المخزون'!$A$17,'مبيعات يومية'!$A$2:$A$8001,"&gt;"&amp;('إعدادات المخزون'!$B$4-'إعدادات المخزون'!$B$11),'مبيعات يومية'!$A$2:$A$8001,"&lt;="&amp;'إعدادات المخزون'!$B$4)</f>
        <v>0</v>
      </c>
    </row>
    <row r="76" customFormat="false" ht="15" hidden="false" customHeight="false" outlineLevel="0" collapsed="false">
      <c r="A76" s="114" t="str">
        <f aca="false">المنيو!B76</f>
        <v>بيبسي لتر</v>
      </c>
      <c r="B76" s="116" t="n">
        <f aca="false">SUMIFS('مبيعات يومية'!$D$2:$D$8001,'مبيعات يومية'!$C$2:$C$8001,$A76,'مبيعات يومية'!$B$2:$B$8001,'إعدادات المخزون'!$A$15,'مبيعات يومية'!$A$2:$A$8001,'إعدادات المخزون'!$B$4)</f>
        <v>0</v>
      </c>
      <c r="C76" s="116" t="n">
        <f aca="false">SUMIFS('مبيعات يومية'!$D$2:$D$8001,'مبيعات يومية'!$C$2:$C$8001,$A76,'مبيعات يومية'!$B$2:$B$8001,'إعدادات المخزون'!$A$15,'مبيعات يومية'!$A$2:$A$8001,"&gt;="&amp;'إعدادات المخزون'!$B$5,'مبيعات يومية'!$A$2:$A$8001,"&lt;="&amp;'إعدادات المخزون'!$B$4)</f>
        <v>0</v>
      </c>
      <c r="D76" s="116" t="n">
        <f aca="false">SUMIFS('مبيعات يومية'!$D$2:$D$8001,'مبيعات يومية'!$C$2:$C$8001,$A76,'مبيعات يومية'!$B$2:$B$8001,'إعدادات المخزون'!$A$15,'مبيعات يومية'!$A$2:$A$8001,"&gt;"&amp;('إعدادات المخزون'!$B$4-'إعدادات المخزون'!$B$11),'مبيعات يومية'!$A$2:$A$8001,"&lt;="&amp;'إعدادات المخزون'!$B$4)</f>
        <v>0</v>
      </c>
      <c r="E76" s="116" t="n">
        <f aca="false">SUMIFS('مبيعات يومية'!$D$2:$D$8001,'مبيعات يومية'!$C$2:$C$8001,$A76,'مبيعات يومية'!$B$2:$B$8001,'إعدادات المخزون'!$A$16,'مبيعات يومية'!$A$2:$A$8001,'إعدادات المخزون'!$B$4)</f>
        <v>0</v>
      </c>
      <c r="F76" s="116" t="n">
        <f aca="false">SUMIFS('مبيعات يومية'!$D$2:$D$8001,'مبيعات يومية'!$C$2:$C$8001,$A76,'مبيعات يومية'!$B$2:$B$8001,'إعدادات المخزون'!$A$16,'مبيعات يومية'!$A$2:$A$8001,"&gt;="&amp;'إعدادات المخزون'!$B$5,'مبيعات يومية'!$A$2:$A$8001,"&lt;="&amp;'إعدادات المخزون'!$B$4)</f>
        <v>0</v>
      </c>
      <c r="G76" s="116" t="n">
        <f aca="false">SUMIFS('مبيعات يومية'!$D$2:$D$8001,'مبيعات يومية'!$C$2:$C$8001,$A76,'مبيعات يومية'!$B$2:$B$8001,'إعدادات المخزون'!$A$16,'مبيعات يومية'!$A$2:$A$8001,"&gt;"&amp;('إعدادات المخزون'!$B$4-'إعدادات المخزون'!$B$11),'مبيعات يومية'!$A$2:$A$8001,"&lt;="&amp;'إعدادات المخزون'!$B$4)</f>
        <v>0</v>
      </c>
      <c r="H76" s="116" t="n">
        <f aca="false">SUMIFS('مبيعات يومية'!$D$2:$D$8001,'مبيعات يومية'!$C$2:$C$8001,$A76,'مبيعات يومية'!$B$2:$B$8001,'إعدادات المخزون'!$A$17,'مبيعات يومية'!$A$2:$A$8001,'إعدادات المخزون'!$B$4)</f>
        <v>0</v>
      </c>
      <c r="I76" s="116" t="n">
        <f aca="false">SUMIFS('مبيعات يومية'!$D$2:$D$8001,'مبيعات يومية'!$C$2:$C$8001,$A76,'مبيعات يومية'!$B$2:$B$8001,'إعدادات المخزون'!$A$17,'مبيعات يومية'!$A$2:$A$8001,"&gt;="&amp;'إعدادات المخزون'!$B$5,'مبيعات يومية'!$A$2:$A$8001,"&lt;="&amp;'إعدادات المخزون'!$B$4)</f>
        <v>0</v>
      </c>
      <c r="J76" s="116" t="n">
        <f aca="false">SUMIFS('مبيعات يومية'!$D$2:$D$8001,'مبيعات يومية'!$C$2:$C$8001,$A76,'مبيعات يومية'!$B$2:$B$8001,'إعدادات المخزون'!$A$17,'مبيعات يومية'!$A$2:$A$8001,"&gt;"&amp;('إعدادات المخزون'!$B$4-'إعدادات المخزون'!$B$11),'مبيعات يومية'!$A$2:$A$8001,"&lt;="&amp;'إعدادات المخزون'!$B$4)</f>
        <v>0</v>
      </c>
    </row>
    <row r="77" customFormat="false" ht="15" hidden="false" customHeight="false" outlineLevel="0" collapsed="false">
      <c r="A77" s="114" t="str">
        <f aca="false">المنيو!B77</f>
        <v>بيتزا مارجريتا صيامي وسط</v>
      </c>
      <c r="B77" s="116" t="n">
        <f aca="false">SUMIFS('مبيعات يومية'!$D$2:$D$8001,'مبيعات يومية'!$C$2:$C$8001,$A77,'مبيعات يومية'!$B$2:$B$8001,'إعدادات المخزون'!$A$15,'مبيعات يومية'!$A$2:$A$8001,'إعدادات المخزون'!$B$4)</f>
        <v>0</v>
      </c>
      <c r="C77" s="116" t="n">
        <f aca="false">SUMIFS('مبيعات يومية'!$D$2:$D$8001,'مبيعات يومية'!$C$2:$C$8001,$A77,'مبيعات يومية'!$B$2:$B$8001,'إعدادات المخزون'!$A$15,'مبيعات يومية'!$A$2:$A$8001,"&gt;="&amp;'إعدادات المخزون'!$B$5,'مبيعات يومية'!$A$2:$A$8001,"&lt;="&amp;'إعدادات المخزون'!$B$4)</f>
        <v>0</v>
      </c>
      <c r="D77" s="116" t="n">
        <f aca="false">SUMIFS('مبيعات يومية'!$D$2:$D$8001,'مبيعات يومية'!$C$2:$C$8001,$A77,'مبيعات يومية'!$B$2:$B$8001,'إعدادات المخزون'!$A$15,'مبيعات يومية'!$A$2:$A$8001,"&gt;"&amp;('إعدادات المخزون'!$B$4-'إعدادات المخزون'!$B$11),'مبيعات يومية'!$A$2:$A$8001,"&lt;="&amp;'إعدادات المخزون'!$B$4)</f>
        <v>0</v>
      </c>
      <c r="E77" s="116" t="n">
        <f aca="false">SUMIFS('مبيعات يومية'!$D$2:$D$8001,'مبيعات يومية'!$C$2:$C$8001,$A77,'مبيعات يومية'!$B$2:$B$8001,'إعدادات المخزون'!$A$16,'مبيعات يومية'!$A$2:$A$8001,'إعدادات المخزون'!$B$4)</f>
        <v>0</v>
      </c>
      <c r="F77" s="116" t="n">
        <f aca="false">SUMIFS('مبيعات يومية'!$D$2:$D$8001,'مبيعات يومية'!$C$2:$C$8001,$A77,'مبيعات يومية'!$B$2:$B$8001,'إعدادات المخزون'!$A$16,'مبيعات يومية'!$A$2:$A$8001,"&gt;="&amp;'إعدادات المخزون'!$B$5,'مبيعات يومية'!$A$2:$A$8001,"&lt;="&amp;'إعدادات المخزون'!$B$4)</f>
        <v>0</v>
      </c>
      <c r="G77" s="116" t="n">
        <f aca="false">SUMIFS('مبيعات يومية'!$D$2:$D$8001,'مبيعات يومية'!$C$2:$C$8001,$A77,'مبيعات يومية'!$B$2:$B$8001,'إعدادات المخزون'!$A$16,'مبيعات يومية'!$A$2:$A$8001,"&gt;"&amp;('إعدادات المخزون'!$B$4-'إعدادات المخزون'!$B$11),'مبيعات يومية'!$A$2:$A$8001,"&lt;="&amp;'إعدادات المخزون'!$B$4)</f>
        <v>0</v>
      </c>
      <c r="H77" s="116" t="n">
        <f aca="false">SUMIFS('مبيعات يومية'!$D$2:$D$8001,'مبيعات يومية'!$C$2:$C$8001,$A77,'مبيعات يومية'!$B$2:$B$8001,'إعدادات المخزون'!$A$17,'مبيعات يومية'!$A$2:$A$8001,'إعدادات المخزون'!$B$4)</f>
        <v>0</v>
      </c>
      <c r="I77" s="116" t="n">
        <f aca="false">SUMIFS('مبيعات يومية'!$D$2:$D$8001,'مبيعات يومية'!$C$2:$C$8001,$A77,'مبيعات يومية'!$B$2:$B$8001,'إعدادات المخزون'!$A$17,'مبيعات يومية'!$A$2:$A$8001,"&gt;="&amp;'إعدادات المخزون'!$B$5,'مبيعات يومية'!$A$2:$A$8001,"&lt;="&amp;'إعدادات المخزون'!$B$4)</f>
        <v>0</v>
      </c>
      <c r="J77" s="116" t="n">
        <f aca="false">SUMIFS('مبيعات يومية'!$D$2:$D$8001,'مبيعات يومية'!$C$2:$C$8001,$A77,'مبيعات يومية'!$B$2:$B$8001,'إعدادات المخزون'!$A$17,'مبيعات يومية'!$A$2:$A$8001,"&gt;"&amp;('إعدادات المخزون'!$B$4-'إعدادات المخزون'!$B$11),'مبيعات يومية'!$A$2:$A$8001,"&lt;="&amp;'إعدادات المخزون'!$B$4)</f>
        <v>0</v>
      </c>
    </row>
    <row r="78" customFormat="false" ht="15" hidden="false" customHeight="false" outlineLevel="0" collapsed="false">
      <c r="A78" s="114" t="str">
        <f aca="false">المنيو!B78</f>
        <v>بيتزا مارجريتا صيامي مخصوص</v>
      </c>
      <c r="B78" s="116" t="n">
        <f aca="false">SUMIFS('مبيعات يومية'!$D$2:$D$8001,'مبيعات يومية'!$C$2:$C$8001,$A78,'مبيعات يومية'!$B$2:$B$8001,'إعدادات المخزون'!$A$15,'مبيعات يومية'!$A$2:$A$8001,'إعدادات المخزون'!$B$4)</f>
        <v>0</v>
      </c>
      <c r="C78" s="116" t="n">
        <f aca="false">SUMIFS('مبيعات يومية'!$D$2:$D$8001,'مبيعات يومية'!$C$2:$C$8001,$A78,'مبيعات يومية'!$B$2:$B$8001,'إعدادات المخزون'!$A$15,'مبيعات يومية'!$A$2:$A$8001,"&gt;="&amp;'إعدادات المخزون'!$B$5,'مبيعات يومية'!$A$2:$A$8001,"&lt;="&amp;'إعدادات المخزون'!$B$4)</f>
        <v>0</v>
      </c>
      <c r="D78" s="116" t="n">
        <f aca="false">SUMIFS('مبيعات يومية'!$D$2:$D$8001,'مبيعات يومية'!$C$2:$C$8001,$A78,'مبيعات يومية'!$B$2:$B$8001,'إعدادات المخزون'!$A$15,'مبيعات يومية'!$A$2:$A$8001,"&gt;"&amp;('إعدادات المخزون'!$B$4-'إعدادات المخزون'!$B$11),'مبيعات يومية'!$A$2:$A$8001,"&lt;="&amp;'إعدادات المخزون'!$B$4)</f>
        <v>0</v>
      </c>
      <c r="E78" s="116" t="n">
        <f aca="false">SUMIFS('مبيعات يومية'!$D$2:$D$8001,'مبيعات يومية'!$C$2:$C$8001,$A78,'مبيعات يومية'!$B$2:$B$8001,'إعدادات المخزون'!$A$16,'مبيعات يومية'!$A$2:$A$8001,'إعدادات المخزون'!$B$4)</f>
        <v>0</v>
      </c>
      <c r="F78" s="116" t="n">
        <f aca="false">SUMIFS('مبيعات يومية'!$D$2:$D$8001,'مبيعات يومية'!$C$2:$C$8001,$A78,'مبيعات يومية'!$B$2:$B$8001,'إعدادات المخزون'!$A$16,'مبيعات يومية'!$A$2:$A$8001,"&gt;="&amp;'إعدادات المخزون'!$B$5,'مبيعات يومية'!$A$2:$A$8001,"&lt;="&amp;'إعدادات المخزون'!$B$4)</f>
        <v>0</v>
      </c>
      <c r="G78" s="116" t="n">
        <f aca="false">SUMIFS('مبيعات يومية'!$D$2:$D$8001,'مبيعات يومية'!$C$2:$C$8001,$A78,'مبيعات يومية'!$B$2:$B$8001,'إعدادات المخزون'!$A$16,'مبيعات يومية'!$A$2:$A$8001,"&gt;"&amp;('إعدادات المخزون'!$B$4-'إعدادات المخزون'!$B$11),'مبيعات يومية'!$A$2:$A$8001,"&lt;="&amp;'إعدادات المخزون'!$B$4)</f>
        <v>0</v>
      </c>
      <c r="H78" s="116" t="n">
        <f aca="false">SUMIFS('مبيعات يومية'!$D$2:$D$8001,'مبيعات يومية'!$C$2:$C$8001,$A78,'مبيعات يومية'!$B$2:$B$8001,'إعدادات المخزون'!$A$17,'مبيعات يومية'!$A$2:$A$8001,'إعدادات المخزون'!$B$4)</f>
        <v>0</v>
      </c>
      <c r="I78" s="116" t="n">
        <f aca="false">SUMIFS('مبيعات يومية'!$D$2:$D$8001,'مبيعات يومية'!$C$2:$C$8001,$A78,'مبيعات يومية'!$B$2:$B$8001,'إعدادات المخزون'!$A$17,'مبيعات يومية'!$A$2:$A$8001,"&gt;="&amp;'إعدادات المخزون'!$B$5,'مبيعات يومية'!$A$2:$A$8001,"&lt;="&amp;'إعدادات المخزون'!$B$4)</f>
        <v>0</v>
      </c>
      <c r="J78" s="116" t="n">
        <f aca="false">SUMIFS('مبيعات يومية'!$D$2:$D$8001,'مبيعات يومية'!$C$2:$C$8001,$A78,'مبيعات يومية'!$B$2:$B$8001,'إعدادات المخزون'!$A$17,'مبيعات يومية'!$A$2:$A$8001,"&gt;"&amp;('إعدادات المخزون'!$B$4-'إعدادات المخزون'!$B$11),'مبيعات يومية'!$A$2:$A$8001,"&lt;="&amp;'إعدادات المخزون'!$B$4)</f>
        <v>0</v>
      </c>
    </row>
    <row r="79" customFormat="false" ht="15" hidden="false" customHeight="false" outlineLevel="0" collapsed="false">
      <c r="A79" s="114" t="str">
        <f aca="false">المنيو!B79</f>
        <v>بيتزا مشروم صيامي وسط</v>
      </c>
      <c r="B79" s="116" t="n">
        <f aca="false">SUMIFS('مبيعات يومية'!$D$2:$D$8001,'مبيعات يومية'!$C$2:$C$8001,$A79,'مبيعات يومية'!$B$2:$B$8001,'إعدادات المخزون'!$A$15,'مبيعات يومية'!$A$2:$A$8001,'إعدادات المخزون'!$B$4)</f>
        <v>0</v>
      </c>
      <c r="C79" s="116" t="n">
        <f aca="false">SUMIFS('مبيعات يومية'!$D$2:$D$8001,'مبيعات يومية'!$C$2:$C$8001,$A79,'مبيعات يومية'!$B$2:$B$8001,'إعدادات المخزون'!$A$15,'مبيعات يومية'!$A$2:$A$8001,"&gt;="&amp;'إعدادات المخزون'!$B$5,'مبيعات يومية'!$A$2:$A$8001,"&lt;="&amp;'إعدادات المخزون'!$B$4)</f>
        <v>0</v>
      </c>
      <c r="D79" s="116" t="n">
        <f aca="false">SUMIFS('مبيعات يومية'!$D$2:$D$8001,'مبيعات يومية'!$C$2:$C$8001,$A79,'مبيعات يومية'!$B$2:$B$8001,'إعدادات المخزون'!$A$15,'مبيعات يومية'!$A$2:$A$8001,"&gt;"&amp;('إعدادات المخزون'!$B$4-'إعدادات المخزون'!$B$11),'مبيعات يومية'!$A$2:$A$8001,"&lt;="&amp;'إعدادات المخزون'!$B$4)</f>
        <v>0</v>
      </c>
      <c r="E79" s="116" t="n">
        <f aca="false">SUMIFS('مبيعات يومية'!$D$2:$D$8001,'مبيعات يومية'!$C$2:$C$8001,$A79,'مبيعات يومية'!$B$2:$B$8001,'إعدادات المخزون'!$A$16,'مبيعات يومية'!$A$2:$A$8001,'إعدادات المخزون'!$B$4)</f>
        <v>0</v>
      </c>
      <c r="F79" s="116" t="n">
        <f aca="false">SUMIFS('مبيعات يومية'!$D$2:$D$8001,'مبيعات يومية'!$C$2:$C$8001,$A79,'مبيعات يومية'!$B$2:$B$8001,'إعدادات المخزون'!$A$16,'مبيعات يومية'!$A$2:$A$8001,"&gt;="&amp;'إعدادات المخزون'!$B$5,'مبيعات يومية'!$A$2:$A$8001,"&lt;="&amp;'إعدادات المخزون'!$B$4)</f>
        <v>0</v>
      </c>
      <c r="G79" s="116" t="n">
        <f aca="false">SUMIFS('مبيعات يومية'!$D$2:$D$8001,'مبيعات يومية'!$C$2:$C$8001,$A79,'مبيعات يومية'!$B$2:$B$8001,'إعدادات المخزون'!$A$16,'مبيعات يومية'!$A$2:$A$8001,"&gt;"&amp;('إعدادات المخزون'!$B$4-'إعدادات المخزون'!$B$11),'مبيعات يومية'!$A$2:$A$8001,"&lt;="&amp;'إعدادات المخزون'!$B$4)</f>
        <v>0</v>
      </c>
      <c r="H79" s="116" t="n">
        <f aca="false">SUMIFS('مبيعات يومية'!$D$2:$D$8001,'مبيعات يومية'!$C$2:$C$8001,$A79,'مبيعات يومية'!$B$2:$B$8001,'إعدادات المخزون'!$A$17,'مبيعات يومية'!$A$2:$A$8001,'إعدادات المخزون'!$B$4)</f>
        <v>0</v>
      </c>
      <c r="I79" s="116" t="n">
        <f aca="false">SUMIFS('مبيعات يومية'!$D$2:$D$8001,'مبيعات يومية'!$C$2:$C$8001,$A79,'مبيعات يومية'!$B$2:$B$8001,'إعدادات المخزون'!$A$17,'مبيعات يومية'!$A$2:$A$8001,"&gt;="&amp;'إعدادات المخزون'!$B$5,'مبيعات يومية'!$A$2:$A$8001,"&lt;="&amp;'إعدادات المخزون'!$B$4)</f>
        <v>0</v>
      </c>
      <c r="J79" s="116" t="n">
        <f aca="false">SUMIFS('مبيعات يومية'!$D$2:$D$8001,'مبيعات يومية'!$C$2:$C$8001,$A79,'مبيعات يومية'!$B$2:$B$8001,'إعدادات المخزون'!$A$17,'مبيعات يومية'!$A$2:$A$8001,"&gt;"&amp;('إعدادات المخزون'!$B$4-'إعدادات المخزون'!$B$11),'مبيعات يومية'!$A$2:$A$8001,"&lt;="&amp;'إعدادات المخزون'!$B$4)</f>
        <v>0</v>
      </c>
    </row>
    <row r="80" customFormat="false" ht="15" hidden="false" customHeight="false" outlineLevel="0" collapsed="false">
      <c r="A80" s="114" t="str">
        <f aca="false">المنيو!B80</f>
        <v>بيتزا مشروم صيامي مخصوص</v>
      </c>
      <c r="B80" s="116" t="n">
        <f aca="false">SUMIFS('مبيعات يومية'!$D$2:$D$8001,'مبيعات يومية'!$C$2:$C$8001,$A80,'مبيعات يومية'!$B$2:$B$8001,'إعدادات المخزون'!$A$15,'مبيعات يومية'!$A$2:$A$8001,'إعدادات المخزون'!$B$4)</f>
        <v>0</v>
      </c>
      <c r="C80" s="116" t="n">
        <f aca="false">SUMIFS('مبيعات يومية'!$D$2:$D$8001,'مبيعات يومية'!$C$2:$C$8001,$A80,'مبيعات يومية'!$B$2:$B$8001,'إعدادات المخزون'!$A$15,'مبيعات يومية'!$A$2:$A$8001,"&gt;="&amp;'إعدادات المخزون'!$B$5,'مبيعات يومية'!$A$2:$A$8001,"&lt;="&amp;'إعدادات المخزون'!$B$4)</f>
        <v>0</v>
      </c>
      <c r="D80" s="116" t="n">
        <f aca="false">SUMIFS('مبيعات يومية'!$D$2:$D$8001,'مبيعات يومية'!$C$2:$C$8001,$A80,'مبيعات يومية'!$B$2:$B$8001,'إعدادات المخزون'!$A$15,'مبيعات يومية'!$A$2:$A$8001,"&gt;"&amp;('إعدادات المخزون'!$B$4-'إعدادات المخزون'!$B$11),'مبيعات يومية'!$A$2:$A$8001,"&lt;="&amp;'إعدادات المخزون'!$B$4)</f>
        <v>0</v>
      </c>
      <c r="E80" s="116" t="n">
        <f aca="false">SUMIFS('مبيعات يومية'!$D$2:$D$8001,'مبيعات يومية'!$C$2:$C$8001,$A80,'مبيعات يومية'!$B$2:$B$8001,'إعدادات المخزون'!$A$16,'مبيعات يومية'!$A$2:$A$8001,'إعدادات المخزون'!$B$4)</f>
        <v>0</v>
      </c>
      <c r="F80" s="116" t="n">
        <f aca="false">SUMIFS('مبيعات يومية'!$D$2:$D$8001,'مبيعات يومية'!$C$2:$C$8001,$A80,'مبيعات يومية'!$B$2:$B$8001,'إعدادات المخزون'!$A$16,'مبيعات يومية'!$A$2:$A$8001,"&gt;="&amp;'إعدادات المخزون'!$B$5,'مبيعات يومية'!$A$2:$A$8001,"&lt;="&amp;'إعدادات المخزون'!$B$4)</f>
        <v>0</v>
      </c>
      <c r="G80" s="116" t="n">
        <f aca="false">SUMIFS('مبيعات يومية'!$D$2:$D$8001,'مبيعات يومية'!$C$2:$C$8001,$A80,'مبيعات يومية'!$B$2:$B$8001,'إعدادات المخزون'!$A$16,'مبيعات يومية'!$A$2:$A$8001,"&gt;"&amp;('إعدادات المخزون'!$B$4-'إعدادات المخزون'!$B$11),'مبيعات يومية'!$A$2:$A$8001,"&lt;="&amp;'إعدادات المخزون'!$B$4)</f>
        <v>0</v>
      </c>
      <c r="H80" s="116" t="n">
        <f aca="false">SUMIFS('مبيعات يومية'!$D$2:$D$8001,'مبيعات يومية'!$C$2:$C$8001,$A80,'مبيعات يومية'!$B$2:$B$8001,'إعدادات المخزون'!$A$17,'مبيعات يومية'!$A$2:$A$8001,'إعدادات المخزون'!$B$4)</f>
        <v>0</v>
      </c>
      <c r="I80" s="116" t="n">
        <f aca="false">SUMIFS('مبيعات يومية'!$D$2:$D$8001,'مبيعات يومية'!$C$2:$C$8001,$A80,'مبيعات يومية'!$B$2:$B$8001,'إعدادات المخزون'!$A$17,'مبيعات يومية'!$A$2:$A$8001,"&gt;="&amp;'إعدادات المخزون'!$B$5,'مبيعات يومية'!$A$2:$A$8001,"&lt;="&amp;'إعدادات المخزون'!$B$4)</f>
        <v>0</v>
      </c>
      <c r="J80" s="116" t="n">
        <f aca="false">SUMIFS('مبيعات يومية'!$D$2:$D$8001,'مبيعات يومية'!$C$2:$C$8001,$A80,'مبيعات يومية'!$B$2:$B$8001,'إعدادات المخزون'!$A$17,'مبيعات يومية'!$A$2:$A$8001,"&gt;"&amp;('إعدادات المخزون'!$B$4-'إعدادات المخزون'!$B$11),'مبيعات يومية'!$A$2:$A$8001,"&lt;="&amp;'إعدادات المخزون'!$B$4)</f>
        <v>0</v>
      </c>
    </row>
    <row r="81" customFormat="false" ht="15" hidden="false" customHeight="false" outlineLevel="0" collapsed="false">
      <c r="A81" s="114" t="str">
        <f aca="false">المنيو!B81</f>
        <v>بيتزا سوسيس صيامي وسط</v>
      </c>
      <c r="B81" s="116" t="n">
        <f aca="false">SUMIFS('مبيعات يومية'!$D$2:$D$8001,'مبيعات يومية'!$C$2:$C$8001,$A81,'مبيعات يومية'!$B$2:$B$8001,'إعدادات المخزون'!$A$15,'مبيعات يومية'!$A$2:$A$8001,'إعدادات المخزون'!$B$4)</f>
        <v>0</v>
      </c>
      <c r="C81" s="116" t="n">
        <f aca="false">SUMIFS('مبيعات يومية'!$D$2:$D$8001,'مبيعات يومية'!$C$2:$C$8001,$A81,'مبيعات يومية'!$B$2:$B$8001,'إعدادات المخزون'!$A$15,'مبيعات يومية'!$A$2:$A$8001,"&gt;="&amp;'إعدادات المخزون'!$B$5,'مبيعات يومية'!$A$2:$A$8001,"&lt;="&amp;'إعدادات المخزون'!$B$4)</f>
        <v>0</v>
      </c>
      <c r="D81" s="116" t="n">
        <f aca="false">SUMIFS('مبيعات يومية'!$D$2:$D$8001,'مبيعات يومية'!$C$2:$C$8001,$A81,'مبيعات يومية'!$B$2:$B$8001,'إعدادات المخزون'!$A$15,'مبيعات يومية'!$A$2:$A$8001,"&gt;"&amp;('إعدادات المخزون'!$B$4-'إعدادات المخزون'!$B$11),'مبيعات يومية'!$A$2:$A$8001,"&lt;="&amp;'إعدادات المخزون'!$B$4)</f>
        <v>0</v>
      </c>
      <c r="E81" s="116" t="n">
        <f aca="false">SUMIFS('مبيعات يومية'!$D$2:$D$8001,'مبيعات يومية'!$C$2:$C$8001,$A81,'مبيعات يومية'!$B$2:$B$8001,'إعدادات المخزون'!$A$16,'مبيعات يومية'!$A$2:$A$8001,'إعدادات المخزون'!$B$4)</f>
        <v>0</v>
      </c>
      <c r="F81" s="116" t="n">
        <f aca="false">SUMIFS('مبيعات يومية'!$D$2:$D$8001,'مبيعات يومية'!$C$2:$C$8001,$A81,'مبيعات يومية'!$B$2:$B$8001,'إعدادات المخزون'!$A$16,'مبيعات يومية'!$A$2:$A$8001,"&gt;="&amp;'إعدادات المخزون'!$B$5,'مبيعات يومية'!$A$2:$A$8001,"&lt;="&amp;'إعدادات المخزون'!$B$4)</f>
        <v>0</v>
      </c>
      <c r="G81" s="116" t="n">
        <f aca="false">SUMIFS('مبيعات يومية'!$D$2:$D$8001,'مبيعات يومية'!$C$2:$C$8001,$A81,'مبيعات يومية'!$B$2:$B$8001,'إعدادات المخزون'!$A$16,'مبيعات يومية'!$A$2:$A$8001,"&gt;"&amp;('إعدادات المخزون'!$B$4-'إعدادات المخزون'!$B$11),'مبيعات يومية'!$A$2:$A$8001,"&lt;="&amp;'إعدادات المخزون'!$B$4)</f>
        <v>0</v>
      </c>
      <c r="H81" s="116" t="n">
        <f aca="false">SUMIFS('مبيعات يومية'!$D$2:$D$8001,'مبيعات يومية'!$C$2:$C$8001,$A81,'مبيعات يومية'!$B$2:$B$8001,'إعدادات المخزون'!$A$17,'مبيعات يومية'!$A$2:$A$8001,'إعدادات المخزون'!$B$4)</f>
        <v>0</v>
      </c>
      <c r="I81" s="116" t="n">
        <f aca="false">SUMIFS('مبيعات يومية'!$D$2:$D$8001,'مبيعات يومية'!$C$2:$C$8001,$A81,'مبيعات يومية'!$B$2:$B$8001,'إعدادات المخزون'!$A$17,'مبيعات يومية'!$A$2:$A$8001,"&gt;="&amp;'إعدادات المخزون'!$B$5,'مبيعات يومية'!$A$2:$A$8001,"&lt;="&amp;'إعدادات المخزون'!$B$4)</f>
        <v>0</v>
      </c>
      <c r="J81" s="116" t="n">
        <f aca="false">SUMIFS('مبيعات يومية'!$D$2:$D$8001,'مبيعات يومية'!$C$2:$C$8001,$A81,'مبيعات يومية'!$B$2:$B$8001,'إعدادات المخزون'!$A$17,'مبيعات يومية'!$A$2:$A$8001,"&gt;"&amp;('إعدادات المخزون'!$B$4-'إعدادات المخزون'!$B$11),'مبيعات يومية'!$A$2:$A$8001,"&lt;="&amp;'إعدادات المخزون'!$B$4)</f>
        <v>0</v>
      </c>
    </row>
    <row r="82" customFormat="false" ht="15" hidden="false" customHeight="false" outlineLevel="0" collapsed="false">
      <c r="A82" s="114" t="str">
        <f aca="false">المنيو!B82</f>
        <v>بيتزا سوسيس صيامي مخصوص</v>
      </c>
      <c r="B82" s="116" t="n">
        <f aca="false">SUMIFS('مبيعات يومية'!$D$2:$D$8001,'مبيعات يومية'!$C$2:$C$8001,$A82,'مبيعات يومية'!$B$2:$B$8001,'إعدادات المخزون'!$A$15,'مبيعات يومية'!$A$2:$A$8001,'إعدادات المخزون'!$B$4)</f>
        <v>0</v>
      </c>
      <c r="C82" s="116" t="n">
        <f aca="false">SUMIFS('مبيعات يومية'!$D$2:$D$8001,'مبيعات يومية'!$C$2:$C$8001,$A82,'مبيعات يومية'!$B$2:$B$8001,'إعدادات المخزون'!$A$15,'مبيعات يومية'!$A$2:$A$8001,"&gt;="&amp;'إعدادات المخزون'!$B$5,'مبيعات يومية'!$A$2:$A$8001,"&lt;="&amp;'إعدادات المخزون'!$B$4)</f>
        <v>0</v>
      </c>
      <c r="D82" s="116" t="n">
        <f aca="false">SUMIFS('مبيعات يومية'!$D$2:$D$8001,'مبيعات يومية'!$C$2:$C$8001,$A82,'مبيعات يومية'!$B$2:$B$8001,'إعدادات المخزون'!$A$15,'مبيعات يومية'!$A$2:$A$8001,"&gt;"&amp;('إعدادات المخزون'!$B$4-'إعدادات المخزون'!$B$11),'مبيعات يومية'!$A$2:$A$8001,"&lt;="&amp;'إعدادات المخزون'!$B$4)</f>
        <v>0</v>
      </c>
      <c r="E82" s="116" t="n">
        <f aca="false">SUMIFS('مبيعات يومية'!$D$2:$D$8001,'مبيعات يومية'!$C$2:$C$8001,$A82,'مبيعات يومية'!$B$2:$B$8001,'إعدادات المخزون'!$A$16,'مبيعات يومية'!$A$2:$A$8001,'إعدادات المخزون'!$B$4)</f>
        <v>0</v>
      </c>
      <c r="F82" s="116" t="n">
        <f aca="false">SUMIFS('مبيعات يومية'!$D$2:$D$8001,'مبيعات يومية'!$C$2:$C$8001,$A82,'مبيعات يومية'!$B$2:$B$8001,'إعدادات المخزون'!$A$16,'مبيعات يومية'!$A$2:$A$8001,"&gt;="&amp;'إعدادات المخزون'!$B$5,'مبيعات يومية'!$A$2:$A$8001,"&lt;="&amp;'إعدادات المخزون'!$B$4)</f>
        <v>0</v>
      </c>
      <c r="G82" s="116" t="n">
        <f aca="false">SUMIFS('مبيعات يومية'!$D$2:$D$8001,'مبيعات يومية'!$C$2:$C$8001,$A82,'مبيعات يومية'!$B$2:$B$8001,'إعدادات المخزون'!$A$16,'مبيعات يومية'!$A$2:$A$8001,"&gt;"&amp;('إعدادات المخزون'!$B$4-'إعدادات المخزون'!$B$11),'مبيعات يومية'!$A$2:$A$8001,"&lt;="&amp;'إعدادات المخزون'!$B$4)</f>
        <v>0</v>
      </c>
      <c r="H82" s="116" t="n">
        <f aca="false">SUMIFS('مبيعات يومية'!$D$2:$D$8001,'مبيعات يومية'!$C$2:$C$8001,$A82,'مبيعات يومية'!$B$2:$B$8001,'إعدادات المخزون'!$A$17,'مبيعات يومية'!$A$2:$A$8001,'إعدادات المخزون'!$B$4)</f>
        <v>0</v>
      </c>
      <c r="I82" s="116" t="n">
        <f aca="false">SUMIFS('مبيعات يومية'!$D$2:$D$8001,'مبيعات يومية'!$C$2:$C$8001,$A82,'مبيعات يومية'!$B$2:$B$8001,'إعدادات المخزون'!$A$17,'مبيعات يومية'!$A$2:$A$8001,"&gt;="&amp;'إعدادات المخزون'!$B$5,'مبيعات يومية'!$A$2:$A$8001,"&lt;="&amp;'إعدادات المخزون'!$B$4)</f>
        <v>0</v>
      </c>
      <c r="J82" s="116" t="n">
        <f aca="false">SUMIFS('مبيعات يومية'!$D$2:$D$8001,'مبيعات يومية'!$C$2:$C$8001,$A82,'مبيعات يومية'!$B$2:$B$8001,'إعدادات المخزون'!$A$17,'مبيعات يومية'!$A$2:$A$8001,"&gt;"&amp;('إعدادات المخزون'!$B$4-'إعدادات المخزون'!$B$11),'مبيعات يومية'!$A$2:$A$8001,"&lt;="&amp;'إعدادات المخزون'!$B$4)</f>
        <v>0</v>
      </c>
    </row>
    <row r="83" customFormat="false" ht="15" hidden="false" customHeight="false" outlineLevel="0" collapsed="false">
      <c r="A83" s="114" t="str">
        <f aca="false">المنيو!B83</f>
        <v>بيتزا شاورما لحم / فراخ صيامي وسط</v>
      </c>
      <c r="B83" s="116" t="n">
        <f aca="false">SUMIFS('مبيعات يومية'!$D$2:$D$8001,'مبيعات يومية'!$C$2:$C$8001,$A83,'مبيعات يومية'!$B$2:$B$8001,'إعدادات المخزون'!$A$15,'مبيعات يومية'!$A$2:$A$8001,'إعدادات المخزون'!$B$4)</f>
        <v>0</v>
      </c>
      <c r="C83" s="116" t="n">
        <f aca="false">SUMIFS('مبيعات يومية'!$D$2:$D$8001,'مبيعات يومية'!$C$2:$C$8001,$A83,'مبيعات يومية'!$B$2:$B$8001,'إعدادات المخزون'!$A$15,'مبيعات يومية'!$A$2:$A$8001,"&gt;="&amp;'إعدادات المخزون'!$B$5,'مبيعات يومية'!$A$2:$A$8001,"&lt;="&amp;'إعدادات المخزون'!$B$4)</f>
        <v>0</v>
      </c>
      <c r="D83" s="116" t="n">
        <f aca="false">SUMIFS('مبيعات يومية'!$D$2:$D$8001,'مبيعات يومية'!$C$2:$C$8001,$A83,'مبيعات يومية'!$B$2:$B$8001,'إعدادات المخزون'!$A$15,'مبيعات يومية'!$A$2:$A$8001,"&gt;"&amp;('إعدادات المخزون'!$B$4-'إعدادات المخزون'!$B$11),'مبيعات يومية'!$A$2:$A$8001,"&lt;="&amp;'إعدادات المخزون'!$B$4)</f>
        <v>0</v>
      </c>
      <c r="E83" s="116" t="n">
        <f aca="false">SUMIFS('مبيعات يومية'!$D$2:$D$8001,'مبيعات يومية'!$C$2:$C$8001,$A83,'مبيعات يومية'!$B$2:$B$8001,'إعدادات المخزون'!$A$16,'مبيعات يومية'!$A$2:$A$8001,'إعدادات المخزون'!$B$4)</f>
        <v>0</v>
      </c>
      <c r="F83" s="116" t="n">
        <f aca="false">SUMIFS('مبيعات يومية'!$D$2:$D$8001,'مبيعات يومية'!$C$2:$C$8001,$A83,'مبيعات يومية'!$B$2:$B$8001,'إعدادات المخزون'!$A$16,'مبيعات يومية'!$A$2:$A$8001,"&gt;="&amp;'إعدادات المخزون'!$B$5,'مبيعات يومية'!$A$2:$A$8001,"&lt;="&amp;'إعدادات المخزون'!$B$4)</f>
        <v>0</v>
      </c>
      <c r="G83" s="116" t="n">
        <f aca="false">SUMIFS('مبيعات يومية'!$D$2:$D$8001,'مبيعات يومية'!$C$2:$C$8001,$A83,'مبيعات يومية'!$B$2:$B$8001,'إعدادات المخزون'!$A$16,'مبيعات يومية'!$A$2:$A$8001,"&gt;"&amp;('إعدادات المخزون'!$B$4-'إعدادات المخزون'!$B$11),'مبيعات يومية'!$A$2:$A$8001,"&lt;="&amp;'إعدادات المخزون'!$B$4)</f>
        <v>0</v>
      </c>
      <c r="H83" s="116" t="n">
        <f aca="false">SUMIFS('مبيعات يومية'!$D$2:$D$8001,'مبيعات يومية'!$C$2:$C$8001,$A83,'مبيعات يومية'!$B$2:$B$8001,'إعدادات المخزون'!$A$17,'مبيعات يومية'!$A$2:$A$8001,'إعدادات المخزون'!$B$4)</f>
        <v>0</v>
      </c>
      <c r="I83" s="116" t="n">
        <f aca="false">SUMIFS('مبيعات يومية'!$D$2:$D$8001,'مبيعات يومية'!$C$2:$C$8001,$A83,'مبيعات يومية'!$B$2:$B$8001,'إعدادات المخزون'!$A$17,'مبيعات يومية'!$A$2:$A$8001,"&gt;="&amp;'إعدادات المخزون'!$B$5,'مبيعات يومية'!$A$2:$A$8001,"&lt;="&amp;'إعدادات المخزون'!$B$4)</f>
        <v>0</v>
      </c>
      <c r="J83" s="116" t="n">
        <f aca="false">SUMIFS('مبيعات يومية'!$D$2:$D$8001,'مبيعات يومية'!$C$2:$C$8001,$A83,'مبيعات يومية'!$B$2:$B$8001,'إعدادات المخزون'!$A$17,'مبيعات يومية'!$A$2:$A$8001,"&gt;"&amp;('إعدادات المخزون'!$B$4-'إعدادات المخزون'!$B$11),'مبيعات يومية'!$A$2:$A$8001,"&lt;="&amp;'إعدادات المخزون'!$B$4)</f>
        <v>0</v>
      </c>
    </row>
    <row r="84" customFormat="false" ht="15" hidden="false" customHeight="false" outlineLevel="0" collapsed="false">
      <c r="A84" s="114" t="str">
        <f aca="false">المنيو!B84</f>
        <v>بيتزا شاورما لحم / فراخ صيامي مخصوص</v>
      </c>
      <c r="B84" s="116" t="n">
        <f aca="false">SUMIFS('مبيعات يومية'!$D$2:$D$8001,'مبيعات يومية'!$C$2:$C$8001,$A84,'مبيعات يومية'!$B$2:$B$8001,'إعدادات المخزون'!$A$15,'مبيعات يومية'!$A$2:$A$8001,'إعدادات المخزون'!$B$4)</f>
        <v>0</v>
      </c>
      <c r="C84" s="116" t="n">
        <f aca="false">SUMIFS('مبيعات يومية'!$D$2:$D$8001,'مبيعات يومية'!$C$2:$C$8001,$A84,'مبيعات يومية'!$B$2:$B$8001,'إعدادات المخزون'!$A$15,'مبيعات يومية'!$A$2:$A$8001,"&gt;="&amp;'إعدادات المخزون'!$B$5,'مبيعات يومية'!$A$2:$A$8001,"&lt;="&amp;'إعدادات المخزون'!$B$4)</f>
        <v>0</v>
      </c>
      <c r="D84" s="116" t="n">
        <f aca="false">SUMIFS('مبيعات يومية'!$D$2:$D$8001,'مبيعات يومية'!$C$2:$C$8001,$A84,'مبيعات يومية'!$B$2:$B$8001,'إعدادات المخزون'!$A$15,'مبيعات يومية'!$A$2:$A$8001,"&gt;"&amp;('إعدادات المخزون'!$B$4-'إعدادات المخزون'!$B$11),'مبيعات يومية'!$A$2:$A$8001,"&lt;="&amp;'إعدادات المخزون'!$B$4)</f>
        <v>0</v>
      </c>
      <c r="E84" s="116" t="n">
        <f aca="false">SUMIFS('مبيعات يومية'!$D$2:$D$8001,'مبيعات يومية'!$C$2:$C$8001,$A84,'مبيعات يومية'!$B$2:$B$8001,'إعدادات المخزون'!$A$16,'مبيعات يومية'!$A$2:$A$8001,'إعدادات المخزون'!$B$4)</f>
        <v>0</v>
      </c>
      <c r="F84" s="116" t="n">
        <f aca="false">SUMIFS('مبيعات يومية'!$D$2:$D$8001,'مبيعات يومية'!$C$2:$C$8001,$A84,'مبيعات يومية'!$B$2:$B$8001,'إعدادات المخزون'!$A$16,'مبيعات يومية'!$A$2:$A$8001,"&gt;="&amp;'إعدادات المخزون'!$B$5,'مبيعات يومية'!$A$2:$A$8001,"&lt;="&amp;'إعدادات المخزون'!$B$4)</f>
        <v>0</v>
      </c>
      <c r="G84" s="116" t="n">
        <f aca="false">SUMIFS('مبيعات يومية'!$D$2:$D$8001,'مبيعات يومية'!$C$2:$C$8001,$A84,'مبيعات يومية'!$B$2:$B$8001,'إعدادات المخزون'!$A$16,'مبيعات يومية'!$A$2:$A$8001,"&gt;"&amp;('إعدادات المخزون'!$B$4-'إعدادات المخزون'!$B$11),'مبيعات يومية'!$A$2:$A$8001,"&lt;="&amp;'إعدادات المخزون'!$B$4)</f>
        <v>0</v>
      </c>
      <c r="H84" s="116" t="n">
        <f aca="false">SUMIFS('مبيعات يومية'!$D$2:$D$8001,'مبيعات يومية'!$C$2:$C$8001,$A84,'مبيعات يومية'!$B$2:$B$8001,'إعدادات المخزون'!$A$17,'مبيعات يومية'!$A$2:$A$8001,'إعدادات المخزون'!$B$4)</f>
        <v>0</v>
      </c>
      <c r="I84" s="116" t="n">
        <f aca="false">SUMIFS('مبيعات يومية'!$D$2:$D$8001,'مبيعات يومية'!$C$2:$C$8001,$A84,'مبيعات يومية'!$B$2:$B$8001,'إعدادات المخزون'!$A$17,'مبيعات يومية'!$A$2:$A$8001,"&gt;="&amp;'إعدادات المخزون'!$B$5,'مبيعات يومية'!$A$2:$A$8001,"&lt;="&amp;'إعدادات المخزون'!$B$4)</f>
        <v>0</v>
      </c>
      <c r="J84" s="116" t="n">
        <f aca="false">SUMIFS('مبيعات يومية'!$D$2:$D$8001,'مبيعات يومية'!$C$2:$C$8001,$A84,'مبيعات يومية'!$B$2:$B$8001,'إعدادات المخزون'!$A$17,'مبيعات يومية'!$A$2:$A$8001,"&gt;"&amp;('إعدادات المخزون'!$B$4-'إعدادات المخزون'!$B$11),'مبيعات يومية'!$A$2:$A$8001,"&lt;="&amp;'إعدادات المخزون'!$B$4)</f>
        <v>0</v>
      </c>
    </row>
    <row r="85" customFormat="false" ht="15" hidden="false" customHeight="false" outlineLevel="0" collapsed="false">
      <c r="A85" s="114" t="str">
        <f aca="false">المنيو!B85</f>
        <v>بيتزا مشكل جبن صيامي وسط</v>
      </c>
      <c r="B85" s="116" t="n">
        <f aca="false">SUMIFS('مبيعات يومية'!$D$2:$D$8001,'مبيعات يومية'!$C$2:$C$8001,$A85,'مبيعات يومية'!$B$2:$B$8001,'إعدادات المخزون'!$A$15,'مبيعات يومية'!$A$2:$A$8001,'إعدادات المخزون'!$B$4)</f>
        <v>0</v>
      </c>
      <c r="C85" s="116" t="n">
        <f aca="false">SUMIFS('مبيعات يومية'!$D$2:$D$8001,'مبيعات يومية'!$C$2:$C$8001,$A85,'مبيعات يومية'!$B$2:$B$8001,'إعدادات المخزون'!$A$15,'مبيعات يومية'!$A$2:$A$8001,"&gt;="&amp;'إعدادات المخزون'!$B$5,'مبيعات يومية'!$A$2:$A$8001,"&lt;="&amp;'إعدادات المخزون'!$B$4)</f>
        <v>0</v>
      </c>
      <c r="D85" s="116" t="n">
        <f aca="false">SUMIFS('مبيعات يومية'!$D$2:$D$8001,'مبيعات يومية'!$C$2:$C$8001,$A85,'مبيعات يومية'!$B$2:$B$8001,'إعدادات المخزون'!$A$15,'مبيعات يومية'!$A$2:$A$8001,"&gt;"&amp;('إعدادات المخزون'!$B$4-'إعدادات المخزون'!$B$11),'مبيعات يومية'!$A$2:$A$8001,"&lt;="&amp;'إعدادات المخزون'!$B$4)</f>
        <v>0</v>
      </c>
      <c r="E85" s="116" t="n">
        <f aca="false">SUMIFS('مبيعات يومية'!$D$2:$D$8001,'مبيعات يومية'!$C$2:$C$8001,$A85,'مبيعات يومية'!$B$2:$B$8001,'إعدادات المخزون'!$A$16,'مبيعات يومية'!$A$2:$A$8001,'إعدادات المخزون'!$B$4)</f>
        <v>0</v>
      </c>
      <c r="F85" s="116" t="n">
        <f aca="false">SUMIFS('مبيعات يومية'!$D$2:$D$8001,'مبيعات يومية'!$C$2:$C$8001,$A85,'مبيعات يومية'!$B$2:$B$8001,'إعدادات المخزون'!$A$16,'مبيعات يومية'!$A$2:$A$8001,"&gt;="&amp;'إعدادات المخزون'!$B$5,'مبيعات يومية'!$A$2:$A$8001,"&lt;="&amp;'إعدادات المخزون'!$B$4)</f>
        <v>0</v>
      </c>
      <c r="G85" s="116" t="n">
        <f aca="false">SUMIFS('مبيعات يومية'!$D$2:$D$8001,'مبيعات يومية'!$C$2:$C$8001,$A85,'مبيعات يومية'!$B$2:$B$8001,'إعدادات المخزون'!$A$16,'مبيعات يومية'!$A$2:$A$8001,"&gt;"&amp;('إعدادات المخزون'!$B$4-'إعدادات المخزون'!$B$11),'مبيعات يومية'!$A$2:$A$8001,"&lt;="&amp;'إعدادات المخزون'!$B$4)</f>
        <v>0</v>
      </c>
      <c r="H85" s="116" t="n">
        <f aca="false">SUMIFS('مبيعات يومية'!$D$2:$D$8001,'مبيعات يومية'!$C$2:$C$8001,$A85,'مبيعات يومية'!$B$2:$B$8001,'إعدادات المخزون'!$A$17,'مبيعات يومية'!$A$2:$A$8001,'إعدادات المخزون'!$B$4)</f>
        <v>0</v>
      </c>
      <c r="I85" s="116" t="n">
        <f aca="false">SUMIFS('مبيعات يومية'!$D$2:$D$8001,'مبيعات يومية'!$C$2:$C$8001,$A85,'مبيعات يومية'!$B$2:$B$8001,'إعدادات المخزون'!$A$17,'مبيعات يومية'!$A$2:$A$8001,"&gt;="&amp;'إعدادات المخزون'!$B$5,'مبيعات يومية'!$A$2:$A$8001,"&lt;="&amp;'إعدادات المخزون'!$B$4)</f>
        <v>0</v>
      </c>
      <c r="J85" s="116" t="n">
        <f aca="false">SUMIFS('مبيعات يومية'!$D$2:$D$8001,'مبيعات يومية'!$C$2:$C$8001,$A85,'مبيعات يومية'!$B$2:$B$8001,'إعدادات المخزون'!$A$17,'مبيعات يومية'!$A$2:$A$8001,"&gt;"&amp;('إعدادات المخزون'!$B$4-'إعدادات المخزون'!$B$11),'مبيعات يومية'!$A$2:$A$8001,"&lt;="&amp;'إعدادات المخزون'!$B$4)</f>
        <v>0</v>
      </c>
    </row>
    <row r="86" customFormat="false" ht="15" hidden="false" customHeight="false" outlineLevel="0" collapsed="false">
      <c r="A86" s="114" t="str">
        <f aca="false">المنيو!B86</f>
        <v>بيتزا مشكل جبن صيامي مخصوص</v>
      </c>
      <c r="B86" s="116" t="n">
        <f aca="false">SUMIFS('مبيعات يومية'!$D$2:$D$8001,'مبيعات يومية'!$C$2:$C$8001,$A86,'مبيعات يومية'!$B$2:$B$8001,'إعدادات المخزون'!$A$15,'مبيعات يومية'!$A$2:$A$8001,'إعدادات المخزون'!$B$4)</f>
        <v>0</v>
      </c>
      <c r="C86" s="116" t="n">
        <f aca="false">SUMIFS('مبيعات يومية'!$D$2:$D$8001,'مبيعات يومية'!$C$2:$C$8001,$A86,'مبيعات يومية'!$B$2:$B$8001,'إعدادات المخزون'!$A$15,'مبيعات يومية'!$A$2:$A$8001,"&gt;="&amp;'إعدادات المخزون'!$B$5,'مبيعات يومية'!$A$2:$A$8001,"&lt;="&amp;'إعدادات المخزون'!$B$4)</f>
        <v>0</v>
      </c>
      <c r="D86" s="116" t="n">
        <f aca="false">SUMIFS('مبيعات يومية'!$D$2:$D$8001,'مبيعات يومية'!$C$2:$C$8001,$A86,'مبيعات يومية'!$B$2:$B$8001,'إعدادات المخزون'!$A$15,'مبيعات يومية'!$A$2:$A$8001,"&gt;"&amp;('إعدادات المخزون'!$B$4-'إعدادات المخزون'!$B$11),'مبيعات يومية'!$A$2:$A$8001,"&lt;="&amp;'إعدادات المخزون'!$B$4)</f>
        <v>0</v>
      </c>
      <c r="E86" s="116" t="n">
        <f aca="false">SUMIFS('مبيعات يومية'!$D$2:$D$8001,'مبيعات يومية'!$C$2:$C$8001,$A86,'مبيعات يومية'!$B$2:$B$8001,'إعدادات المخزون'!$A$16,'مبيعات يومية'!$A$2:$A$8001,'إعدادات المخزون'!$B$4)</f>
        <v>0</v>
      </c>
      <c r="F86" s="116" t="n">
        <f aca="false">SUMIFS('مبيعات يومية'!$D$2:$D$8001,'مبيعات يومية'!$C$2:$C$8001,$A86,'مبيعات يومية'!$B$2:$B$8001,'إعدادات المخزون'!$A$16,'مبيعات يومية'!$A$2:$A$8001,"&gt;="&amp;'إعدادات المخزون'!$B$5,'مبيعات يومية'!$A$2:$A$8001,"&lt;="&amp;'إعدادات المخزون'!$B$4)</f>
        <v>0</v>
      </c>
      <c r="G86" s="116" t="n">
        <f aca="false">SUMIFS('مبيعات يومية'!$D$2:$D$8001,'مبيعات يومية'!$C$2:$C$8001,$A86,'مبيعات يومية'!$B$2:$B$8001,'إعدادات المخزون'!$A$16,'مبيعات يومية'!$A$2:$A$8001,"&gt;"&amp;('إعدادات المخزون'!$B$4-'إعدادات المخزون'!$B$11),'مبيعات يومية'!$A$2:$A$8001,"&lt;="&amp;'إعدادات المخزون'!$B$4)</f>
        <v>0</v>
      </c>
      <c r="H86" s="116" t="n">
        <f aca="false">SUMIFS('مبيعات يومية'!$D$2:$D$8001,'مبيعات يومية'!$C$2:$C$8001,$A86,'مبيعات يومية'!$B$2:$B$8001,'إعدادات المخزون'!$A$17,'مبيعات يومية'!$A$2:$A$8001,'إعدادات المخزون'!$B$4)</f>
        <v>0</v>
      </c>
      <c r="I86" s="116" t="n">
        <f aca="false">SUMIFS('مبيعات يومية'!$D$2:$D$8001,'مبيعات يومية'!$C$2:$C$8001,$A86,'مبيعات يومية'!$B$2:$B$8001,'إعدادات المخزون'!$A$17,'مبيعات يومية'!$A$2:$A$8001,"&gt;="&amp;'إعدادات المخزون'!$B$5,'مبيعات يومية'!$A$2:$A$8001,"&lt;="&amp;'إعدادات المخزون'!$B$4)</f>
        <v>0</v>
      </c>
      <c r="J86" s="116" t="n">
        <f aca="false">SUMIFS('مبيعات يومية'!$D$2:$D$8001,'مبيعات يومية'!$C$2:$C$8001,$A86,'مبيعات يومية'!$B$2:$B$8001,'إعدادات المخزون'!$A$17,'مبيعات يومية'!$A$2:$A$8001,"&gt;"&amp;('إعدادات المخزون'!$B$4-'إعدادات المخزون'!$B$11),'مبيعات يومية'!$A$2:$A$8001,"&lt;="&amp;'إعدادات المخزون'!$B$4)</f>
        <v>0</v>
      </c>
    </row>
    <row r="87" customFormat="false" ht="15" hidden="false" customHeight="false" outlineLevel="0" collapsed="false">
      <c r="A87" s="114" t="str">
        <f aca="false">المنيو!B87</f>
        <v>بيتزا فراخ باربيكيو صيامي وسط</v>
      </c>
      <c r="B87" s="116" t="n">
        <f aca="false">SUMIFS('مبيعات يومية'!$D$2:$D$8001,'مبيعات يومية'!$C$2:$C$8001,$A87,'مبيعات يومية'!$B$2:$B$8001,'إعدادات المخزون'!$A$15,'مبيعات يومية'!$A$2:$A$8001,'إعدادات المخزون'!$B$4)</f>
        <v>0</v>
      </c>
      <c r="C87" s="116" t="n">
        <f aca="false">SUMIFS('مبيعات يومية'!$D$2:$D$8001,'مبيعات يومية'!$C$2:$C$8001,$A87,'مبيعات يومية'!$B$2:$B$8001,'إعدادات المخزون'!$A$15,'مبيعات يومية'!$A$2:$A$8001,"&gt;="&amp;'إعدادات المخزون'!$B$5,'مبيعات يومية'!$A$2:$A$8001,"&lt;="&amp;'إعدادات المخزون'!$B$4)</f>
        <v>0</v>
      </c>
      <c r="D87" s="116" t="n">
        <f aca="false">SUMIFS('مبيعات يومية'!$D$2:$D$8001,'مبيعات يومية'!$C$2:$C$8001,$A87,'مبيعات يومية'!$B$2:$B$8001,'إعدادات المخزون'!$A$15,'مبيعات يومية'!$A$2:$A$8001,"&gt;"&amp;('إعدادات المخزون'!$B$4-'إعدادات المخزون'!$B$11),'مبيعات يومية'!$A$2:$A$8001,"&lt;="&amp;'إعدادات المخزون'!$B$4)</f>
        <v>0</v>
      </c>
      <c r="E87" s="116" t="n">
        <f aca="false">SUMIFS('مبيعات يومية'!$D$2:$D$8001,'مبيعات يومية'!$C$2:$C$8001,$A87,'مبيعات يومية'!$B$2:$B$8001,'إعدادات المخزون'!$A$16,'مبيعات يومية'!$A$2:$A$8001,'إعدادات المخزون'!$B$4)</f>
        <v>0</v>
      </c>
      <c r="F87" s="116" t="n">
        <f aca="false">SUMIFS('مبيعات يومية'!$D$2:$D$8001,'مبيعات يومية'!$C$2:$C$8001,$A87,'مبيعات يومية'!$B$2:$B$8001,'إعدادات المخزون'!$A$16,'مبيعات يومية'!$A$2:$A$8001,"&gt;="&amp;'إعدادات المخزون'!$B$5,'مبيعات يومية'!$A$2:$A$8001,"&lt;="&amp;'إعدادات المخزون'!$B$4)</f>
        <v>0</v>
      </c>
      <c r="G87" s="116" t="n">
        <f aca="false">SUMIFS('مبيعات يومية'!$D$2:$D$8001,'مبيعات يومية'!$C$2:$C$8001,$A87,'مبيعات يومية'!$B$2:$B$8001,'إعدادات المخزون'!$A$16,'مبيعات يومية'!$A$2:$A$8001,"&gt;"&amp;('إعدادات المخزون'!$B$4-'إعدادات المخزون'!$B$11),'مبيعات يومية'!$A$2:$A$8001,"&lt;="&amp;'إعدادات المخزون'!$B$4)</f>
        <v>0</v>
      </c>
      <c r="H87" s="116" t="n">
        <f aca="false">SUMIFS('مبيعات يومية'!$D$2:$D$8001,'مبيعات يومية'!$C$2:$C$8001,$A87,'مبيعات يومية'!$B$2:$B$8001,'إعدادات المخزون'!$A$17,'مبيعات يومية'!$A$2:$A$8001,'إعدادات المخزون'!$B$4)</f>
        <v>0</v>
      </c>
      <c r="I87" s="116" t="n">
        <f aca="false">SUMIFS('مبيعات يومية'!$D$2:$D$8001,'مبيعات يومية'!$C$2:$C$8001,$A87,'مبيعات يومية'!$B$2:$B$8001,'إعدادات المخزون'!$A$17,'مبيعات يومية'!$A$2:$A$8001,"&gt;="&amp;'إعدادات المخزون'!$B$5,'مبيعات يومية'!$A$2:$A$8001,"&lt;="&amp;'إعدادات المخزون'!$B$4)</f>
        <v>0</v>
      </c>
      <c r="J87" s="116" t="n">
        <f aca="false">SUMIFS('مبيعات يومية'!$D$2:$D$8001,'مبيعات يومية'!$C$2:$C$8001,$A87,'مبيعات يومية'!$B$2:$B$8001,'إعدادات المخزون'!$A$17,'مبيعات يومية'!$A$2:$A$8001,"&gt;"&amp;('إعدادات المخزون'!$B$4-'إعدادات المخزون'!$B$11),'مبيعات يومية'!$A$2:$A$8001,"&lt;="&amp;'إعدادات المخزون'!$B$4)</f>
        <v>0</v>
      </c>
    </row>
    <row r="88" customFormat="false" ht="15" hidden="false" customHeight="false" outlineLevel="0" collapsed="false">
      <c r="A88" s="114" t="str">
        <f aca="false">المنيو!B88</f>
        <v>بيتزا فراخ باربيكيو صيامي مخصوص</v>
      </c>
      <c r="B88" s="116" t="n">
        <f aca="false">SUMIFS('مبيعات يومية'!$D$2:$D$8001,'مبيعات يومية'!$C$2:$C$8001,$A88,'مبيعات يومية'!$B$2:$B$8001,'إعدادات المخزون'!$A$15,'مبيعات يومية'!$A$2:$A$8001,'إعدادات المخزون'!$B$4)</f>
        <v>0</v>
      </c>
      <c r="C88" s="116" t="n">
        <f aca="false">SUMIFS('مبيعات يومية'!$D$2:$D$8001,'مبيعات يومية'!$C$2:$C$8001,$A88,'مبيعات يومية'!$B$2:$B$8001,'إعدادات المخزون'!$A$15,'مبيعات يومية'!$A$2:$A$8001,"&gt;="&amp;'إعدادات المخزون'!$B$5,'مبيعات يومية'!$A$2:$A$8001,"&lt;="&amp;'إعدادات المخزون'!$B$4)</f>
        <v>0</v>
      </c>
      <c r="D88" s="116" t="n">
        <f aca="false">SUMIFS('مبيعات يومية'!$D$2:$D$8001,'مبيعات يومية'!$C$2:$C$8001,$A88,'مبيعات يومية'!$B$2:$B$8001,'إعدادات المخزون'!$A$15,'مبيعات يومية'!$A$2:$A$8001,"&gt;"&amp;('إعدادات المخزون'!$B$4-'إعدادات المخزون'!$B$11),'مبيعات يومية'!$A$2:$A$8001,"&lt;="&amp;'إعدادات المخزون'!$B$4)</f>
        <v>0</v>
      </c>
      <c r="E88" s="116" t="n">
        <f aca="false">SUMIFS('مبيعات يومية'!$D$2:$D$8001,'مبيعات يومية'!$C$2:$C$8001,$A88,'مبيعات يومية'!$B$2:$B$8001,'إعدادات المخزون'!$A$16,'مبيعات يومية'!$A$2:$A$8001,'إعدادات المخزون'!$B$4)</f>
        <v>0</v>
      </c>
      <c r="F88" s="116" t="n">
        <f aca="false">SUMIFS('مبيعات يومية'!$D$2:$D$8001,'مبيعات يومية'!$C$2:$C$8001,$A88,'مبيعات يومية'!$B$2:$B$8001,'إعدادات المخزون'!$A$16,'مبيعات يومية'!$A$2:$A$8001,"&gt;="&amp;'إعدادات المخزون'!$B$5,'مبيعات يومية'!$A$2:$A$8001,"&lt;="&amp;'إعدادات المخزون'!$B$4)</f>
        <v>0</v>
      </c>
      <c r="G88" s="116" t="n">
        <f aca="false">SUMIFS('مبيعات يومية'!$D$2:$D$8001,'مبيعات يومية'!$C$2:$C$8001,$A88,'مبيعات يومية'!$B$2:$B$8001,'إعدادات المخزون'!$A$16,'مبيعات يومية'!$A$2:$A$8001,"&gt;"&amp;('إعدادات المخزون'!$B$4-'إعدادات المخزون'!$B$11),'مبيعات يومية'!$A$2:$A$8001,"&lt;="&amp;'إعدادات المخزون'!$B$4)</f>
        <v>0</v>
      </c>
      <c r="H88" s="116" t="n">
        <f aca="false">SUMIFS('مبيعات يومية'!$D$2:$D$8001,'مبيعات يومية'!$C$2:$C$8001,$A88,'مبيعات يومية'!$B$2:$B$8001,'إعدادات المخزون'!$A$17,'مبيعات يومية'!$A$2:$A$8001,'إعدادات المخزون'!$B$4)</f>
        <v>0</v>
      </c>
      <c r="I88" s="116" t="n">
        <f aca="false">SUMIFS('مبيعات يومية'!$D$2:$D$8001,'مبيعات يومية'!$C$2:$C$8001,$A88,'مبيعات يومية'!$B$2:$B$8001,'إعدادات المخزون'!$A$17,'مبيعات يومية'!$A$2:$A$8001,"&gt;="&amp;'إعدادات المخزون'!$B$5,'مبيعات يومية'!$A$2:$A$8001,"&lt;="&amp;'إعدادات المخزون'!$B$4)</f>
        <v>0</v>
      </c>
      <c r="J88" s="116" t="n">
        <f aca="false">SUMIFS('مبيعات يومية'!$D$2:$D$8001,'مبيعات يومية'!$C$2:$C$8001,$A88,'مبيعات يومية'!$B$2:$B$8001,'إعدادات المخزون'!$A$17,'مبيعات يومية'!$A$2:$A$8001,"&gt;"&amp;('إعدادات المخزون'!$B$4-'إعدادات المخزون'!$B$11),'مبيعات يومية'!$A$2:$A$8001,"&lt;="&amp;'إعدادات المخزون'!$B$4)</f>
        <v>0</v>
      </c>
    </row>
    <row r="89" customFormat="false" ht="15" hidden="false" customHeight="false" outlineLevel="0" collapsed="false">
      <c r="A89" s="114" t="str">
        <f aca="false">المنيو!B89</f>
        <v>بيتزا جمبري صيامي وسط</v>
      </c>
      <c r="B89" s="116" t="n">
        <f aca="false">SUMIFS('مبيعات يومية'!$D$2:$D$8001,'مبيعات يومية'!$C$2:$C$8001,$A89,'مبيعات يومية'!$B$2:$B$8001,'إعدادات المخزون'!$A$15,'مبيعات يومية'!$A$2:$A$8001,'إعدادات المخزون'!$B$4)</f>
        <v>0</v>
      </c>
      <c r="C89" s="116" t="n">
        <f aca="false">SUMIFS('مبيعات يومية'!$D$2:$D$8001,'مبيعات يومية'!$C$2:$C$8001,$A89,'مبيعات يومية'!$B$2:$B$8001,'إعدادات المخزون'!$A$15,'مبيعات يومية'!$A$2:$A$8001,"&gt;="&amp;'إعدادات المخزون'!$B$5,'مبيعات يومية'!$A$2:$A$8001,"&lt;="&amp;'إعدادات المخزون'!$B$4)</f>
        <v>0</v>
      </c>
      <c r="D89" s="116" t="n">
        <f aca="false">SUMIFS('مبيعات يومية'!$D$2:$D$8001,'مبيعات يومية'!$C$2:$C$8001,$A89,'مبيعات يومية'!$B$2:$B$8001,'إعدادات المخزون'!$A$15,'مبيعات يومية'!$A$2:$A$8001,"&gt;"&amp;('إعدادات المخزون'!$B$4-'إعدادات المخزون'!$B$11),'مبيعات يومية'!$A$2:$A$8001,"&lt;="&amp;'إعدادات المخزون'!$B$4)</f>
        <v>0</v>
      </c>
      <c r="E89" s="116" t="n">
        <f aca="false">SUMIFS('مبيعات يومية'!$D$2:$D$8001,'مبيعات يومية'!$C$2:$C$8001,$A89,'مبيعات يومية'!$B$2:$B$8001,'إعدادات المخزون'!$A$16,'مبيعات يومية'!$A$2:$A$8001,'إعدادات المخزون'!$B$4)</f>
        <v>0</v>
      </c>
      <c r="F89" s="116" t="n">
        <f aca="false">SUMIFS('مبيعات يومية'!$D$2:$D$8001,'مبيعات يومية'!$C$2:$C$8001,$A89,'مبيعات يومية'!$B$2:$B$8001,'إعدادات المخزون'!$A$16,'مبيعات يومية'!$A$2:$A$8001,"&gt;="&amp;'إعدادات المخزون'!$B$5,'مبيعات يومية'!$A$2:$A$8001,"&lt;="&amp;'إعدادات المخزون'!$B$4)</f>
        <v>0</v>
      </c>
      <c r="G89" s="116" t="n">
        <f aca="false">SUMIFS('مبيعات يومية'!$D$2:$D$8001,'مبيعات يومية'!$C$2:$C$8001,$A89,'مبيعات يومية'!$B$2:$B$8001,'إعدادات المخزون'!$A$16,'مبيعات يومية'!$A$2:$A$8001,"&gt;"&amp;('إعدادات المخزون'!$B$4-'إعدادات المخزون'!$B$11),'مبيعات يومية'!$A$2:$A$8001,"&lt;="&amp;'إعدادات المخزون'!$B$4)</f>
        <v>0</v>
      </c>
      <c r="H89" s="116" t="n">
        <f aca="false">SUMIFS('مبيعات يومية'!$D$2:$D$8001,'مبيعات يومية'!$C$2:$C$8001,$A89,'مبيعات يومية'!$B$2:$B$8001,'إعدادات المخزون'!$A$17,'مبيعات يومية'!$A$2:$A$8001,'إعدادات المخزون'!$B$4)</f>
        <v>0</v>
      </c>
      <c r="I89" s="116" t="n">
        <f aca="false">SUMIFS('مبيعات يومية'!$D$2:$D$8001,'مبيعات يومية'!$C$2:$C$8001,$A89,'مبيعات يومية'!$B$2:$B$8001,'إعدادات المخزون'!$A$17,'مبيعات يومية'!$A$2:$A$8001,"&gt;="&amp;'إعدادات المخزون'!$B$5,'مبيعات يومية'!$A$2:$A$8001,"&lt;="&amp;'إعدادات المخزون'!$B$4)</f>
        <v>0</v>
      </c>
      <c r="J89" s="116" t="n">
        <f aca="false">SUMIFS('مبيعات يومية'!$D$2:$D$8001,'مبيعات يومية'!$C$2:$C$8001,$A89,'مبيعات يومية'!$B$2:$B$8001,'إعدادات المخزون'!$A$17,'مبيعات يومية'!$A$2:$A$8001,"&gt;"&amp;('إعدادات المخزون'!$B$4-'إعدادات المخزون'!$B$11),'مبيعات يومية'!$A$2:$A$8001,"&lt;="&amp;'إعدادات المخزون'!$B$4)</f>
        <v>0</v>
      </c>
    </row>
    <row r="90" customFormat="false" ht="15" hidden="false" customHeight="false" outlineLevel="0" collapsed="false">
      <c r="A90" s="114" t="str">
        <f aca="false">المنيو!B90</f>
        <v>بيتزا جمبري صيامي مخصوص</v>
      </c>
      <c r="B90" s="116" t="n">
        <f aca="false">SUMIFS('مبيعات يومية'!$D$2:$D$8001,'مبيعات يومية'!$C$2:$C$8001,$A90,'مبيعات يومية'!$B$2:$B$8001,'إعدادات المخزون'!$A$15,'مبيعات يومية'!$A$2:$A$8001,'إعدادات المخزون'!$B$4)</f>
        <v>0</v>
      </c>
      <c r="C90" s="116" t="n">
        <f aca="false">SUMIFS('مبيعات يومية'!$D$2:$D$8001,'مبيعات يومية'!$C$2:$C$8001,$A90,'مبيعات يومية'!$B$2:$B$8001,'إعدادات المخزون'!$A$15,'مبيعات يومية'!$A$2:$A$8001,"&gt;="&amp;'إعدادات المخزون'!$B$5,'مبيعات يومية'!$A$2:$A$8001,"&lt;="&amp;'إعدادات المخزون'!$B$4)</f>
        <v>0</v>
      </c>
      <c r="D90" s="116" t="n">
        <f aca="false">SUMIFS('مبيعات يومية'!$D$2:$D$8001,'مبيعات يومية'!$C$2:$C$8001,$A90,'مبيعات يومية'!$B$2:$B$8001,'إعدادات المخزون'!$A$15,'مبيعات يومية'!$A$2:$A$8001,"&gt;"&amp;('إعدادات المخزون'!$B$4-'إعدادات المخزون'!$B$11),'مبيعات يومية'!$A$2:$A$8001,"&lt;="&amp;'إعدادات المخزون'!$B$4)</f>
        <v>0</v>
      </c>
      <c r="E90" s="116" t="n">
        <f aca="false">SUMIFS('مبيعات يومية'!$D$2:$D$8001,'مبيعات يومية'!$C$2:$C$8001,$A90,'مبيعات يومية'!$B$2:$B$8001,'إعدادات المخزون'!$A$16,'مبيعات يومية'!$A$2:$A$8001,'إعدادات المخزون'!$B$4)</f>
        <v>0</v>
      </c>
      <c r="F90" s="116" t="n">
        <f aca="false">SUMIFS('مبيعات يومية'!$D$2:$D$8001,'مبيعات يومية'!$C$2:$C$8001,$A90,'مبيعات يومية'!$B$2:$B$8001,'إعدادات المخزون'!$A$16,'مبيعات يومية'!$A$2:$A$8001,"&gt;="&amp;'إعدادات المخزون'!$B$5,'مبيعات يومية'!$A$2:$A$8001,"&lt;="&amp;'إعدادات المخزون'!$B$4)</f>
        <v>0</v>
      </c>
      <c r="G90" s="116" t="n">
        <f aca="false">SUMIFS('مبيعات يومية'!$D$2:$D$8001,'مبيعات يومية'!$C$2:$C$8001,$A90,'مبيعات يومية'!$B$2:$B$8001,'إعدادات المخزون'!$A$16,'مبيعات يومية'!$A$2:$A$8001,"&gt;"&amp;('إعدادات المخزون'!$B$4-'إعدادات المخزون'!$B$11),'مبيعات يومية'!$A$2:$A$8001,"&lt;="&amp;'إعدادات المخزون'!$B$4)</f>
        <v>0</v>
      </c>
      <c r="H90" s="116" t="n">
        <f aca="false">SUMIFS('مبيعات يومية'!$D$2:$D$8001,'مبيعات يومية'!$C$2:$C$8001,$A90,'مبيعات يومية'!$B$2:$B$8001,'إعدادات المخزون'!$A$17,'مبيعات يومية'!$A$2:$A$8001,'إعدادات المخزون'!$B$4)</f>
        <v>0</v>
      </c>
      <c r="I90" s="116" t="n">
        <f aca="false">SUMIFS('مبيعات يومية'!$D$2:$D$8001,'مبيعات يومية'!$C$2:$C$8001,$A90,'مبيعات يومية'!$B$2:$B$8001,'إعدادات المخزون'!$A$17,'مبيعات يومية'!$A$2:$A$8001,"&gt;="&amp;'إعدادات المخزون'!$B$5,'مبيعات يومية'!$A$2:$A$8001,"&lt;="&amp;'إعدادات المخزون'!$B$4)</f>
        <v>0</v>
      </c>
      <c r="J90" s="116" t="n">
        <f aca="false">SUMIFS('مبيعات يومية'!$D$2:$D$8001,'مبيعات يومية'!$C$2:$C$8001,$A90,'مبيعات يومية'!$B$2:$B$8001,'إعدادات المخزون'!$A$17,'مبيعات يومية'!$A$2:$A$8001,"&gt;"&amp;('إعدادات المخزون'!$B$4-'إعدادات المخزون'!$B$11),'مبيعات يومية'!$A$2:$A$8001,"&lt;="&amp;'إعدادات المخزون'!$B$4)</f>
        <v>0</v>
      </c>
    </row>
    <row r="91" customFormat="false" ht="15" hidden="false" customHeight="false" outlineLevel="0" collapsed="false">
      <c r="A91" s="114" t="str">
        <f aca="false">المنيو!B91</f>
        <v>بيتزا تونة صيامي وسط</v>
      </c>
      <c r="B91" s="116" t="n">
        <f aca="false">SUMIFS('مبيعات يومية'!$D$2:$D$8001,'مبيعات يومية'!$C$2:$C$8001,$A91,'مبيعات يومية'!$B$2:$B$8001,'إعدادات المخزون'!$A$15,'مبيعات يومية'!$A$2:$A$8001,'إعدادات المخزون'!$B$4)</f>
        <v>0</v>
      </c>
      <c r="C91" s="116" t="n">
        <f aca="false">SUMIFS('مبيعات يومية'!$D$2:$D$8001,'مبيعات يومية'!$C$2:$C$8001,$A91,'مبيعات يومية'!$B$2:$B$8001,'إعدادات المخزون'!$A$15,'مبيعات يومية'!$A$2:$A$8001,"&gt;="&amp;'إعدادات المخزون'!$B$5,'مبيعات يومية'!$A$2:$A$8001,"&lt;="&amp;'إعدادات المخزون'!$B$4)</f>
        <v>0</v>
      </c>
      <c r="D91" s="116" t="n">
        <f aca="false">SUMIFS('مبيعات يومية'!$D$2:$D$8001,'مبيعات يومية'!$C$2:$C$8001,$A91,'مبيعات يومية'!$B$2:$B$8001,'إعدادات المخزون'!$A$15,'مبيعات يومية'!$A$2:$A$8001,"&gt;"&amp;('إعدادات المخزون'!$B$4-'إعدادات المخزون'!$B$11),'مبيعات يومية'!$A$2:$A$8001,"&lt;="&amp;'إعدادات المخزون'!$B$4)</f>
        <v>0</v>
      </c>
      <c r="E91" s="116" t="n">
        <f aca="false">SUMIFS('مبيعات يومية'!$D$2:$D$8001,'مبيعات يومية'!$C$2:$C$8001,$A91,'مبيعات يومية'!$B$2:$B$8001,'إعدادات المخزون'!$A$16,'مبيعات يومية'!$A$2:$A$8001,'إعدادات المخزون'!$B$4)</f>
        <v>0</v>
      </c>
      <c r="F91" s="116" t="n">
        <f aca="false">SUMIFS('مبيعات يومية'!$D$2:$D$8001,'مبيعات يومية'!$C$2:$C$8001,$A91,'مبيعات يومية'!$B$2:$B$8001,'إعدادات المخزون'!$A$16,'مبيعات يومية'!$A$2:$A$8001,"&gt;="&amp;'إعدادات المخزون'!$B$5,'مبيعات يومية'!$A$2:$A$8001,"&lt;="&amp;'إعدادات المخزون'!$B$4)</f>
        <v>0</v>
      </c>
      <c r="G91" s="116" t="n">
        <f aca="false">SUMIFS('مبيعات يومية'!$D$2:$D$8001,'مبيعات يومية'!$C$2:$C$8001,$A91,'مبيعات يومية'!$B$2:$B$8001,'إعدادات المخزون'!$A$16,'مبيعات يومية'!$A$2:$A$8001,"&gt;"&amp;('إعدادات المخزون'!$B$4-'إعدادات المخزون'!$B$11),'مبيعات يومية'!$A$2:$A$8001,"&lt;="&amp;'إعدادات المخزون'!$B$4)</f>
        <v>0</v>
      </c>
      <c r="H91" s="116" t="n">
        <f aca="false">SUMIFS('مبيعات يومية'!$D$2:$D$8001,'مبيعات يومية'!$C$2:$C$8001,$A91,'مبيعات يومية'!$B$2:$B$8001,'إعدادات المخزون'!$A$17,'مبيعات يومية'!$A$2:$A$8001,'إعدادات المخزون'!$B$4)</f>
        <v>0</v>
      </c>
      <c r="I91" s="116" t="n">
        <f aca="false">SUMIFS('مبيعات يومية'!$D$2:$D$8001,'مبيعات يومية'!$C$2:$C$8001,$A91,'مبيعات يومية'!$B$2:$B$8001,'إعدادات المخزون'!$A$17,'مبيعات يومية'!$A$2:$A$8001,"&gt;="&amp;'إعدادات المخزون'!$B$5,'مبيعات يومية'!$A$2:$A$8001,"&lt;="&amp;'إعدادات المخزون'!$B$4)</f>
        <v>0</v>
      </c>
      <c r="J91" s="116" t="n">
        <f aca="false">SUMIFS('مبيعات يومية'!$D$2:$D$8001,'مبيعات يومية'!$C$2:$C$8001,$A91,'مبيعات يومية'!$B$2:$B$8001,'إعدادات المخزون'!$A$17,'مبيعات يومية'!$A$2:$A$8001,"&gt;"&amp;('إعدادات المخزون'!$B$4-'إعدادات المخزون'!$B$11),'مبيعات يومية'!$A$2:$A$8001,"&lt;="&amp;'إعدادات المخزون'!$B$4)</f>
        <v>0</v>
      </c>
    </row>
    <row r="92" customFormat="false" ht="15" hidden="false" customHeight="false" outlineLevel="0" collapsed="false">
      <c r="A92" s="114" t="str">
        <f aca="false">المنيو!B92</f>
        <v>بيتزا تونة صيامي مخصوص</v>
      </c>
      <c r="B92" s="116" t="n">
        <f aca="false">SUMIFS('مبيعات يومية'!$D$2:$D$8001,'مبيعات يومية'!$C$2:$C$8001,$A92,'مبيعات يومية'!$B$2:$B$8001,'إعدادات المخزون'!$A$15,'مبيعات يومية'!$A$2:$A$8001,'إعدادات المخزون'!$B$4)</f>
        <v>0</v>
      </c>
      <c r="C92" s="116" t="n">
        <f aca="false">SUMIFS('مبيعات يومية'!$D$2:$D$8001,'مبيعات يومية'!$C$2:$C$8001,$A92,'مبيعات يومية'!$B$2:$B$8001,'إعدادات المخزون'!$A$15,'مبيعات يومية'!$A$2:$A$8001,"&gt;="&amp;'إعدادات المخزون'!$B$5,'مبيعات يومية'!$A$2:$A$8001,"&lt;="&amp;'إعدادات المخزون'!$B$4)</f>
        <v>0</v>
      </c>
      <c r="D92" s="116" t="n">
        <f aca="false">SUMIFS('مبيعات يومية'!$D$2:$D$8001,'مبيعات يومية'!$C$2:$C$8001,$A92,'مبيعات يومية'!$B$2:$B$8001,'إعدادات المخزون'!$A$15,'مبيعات يومية'!$A$2:$A$8001,"&gt;"&amp;('إعدادات المخزون'!$B$4-'إعدادات المخزون'!$B$11),'مبيعات يومية'!$A$2:$A$8001,"&lt;="&amp;'إعدادات المخزون'!$B$4)</f>
        <v>0</v>
      </c>
      <c r="E92" s="116" t="n">
        <f aca="false">SUMIFS('مبيعات يومية'!$D$2:$D$8001,'مبيعات يومية'!$C$2:$C$8001,$A92,'مبيعات يومية'!$B$2:$B$8001,'إعدادات المخزون'!$A$16,'مبيعات يومية'!$A$2:$A$8001,'إعدادات المخزون'!$B$4)</f>
        <v>0</v>
      </c>
      <c r="F92" s="116" t="n">
        <f aca="false">SUMIFS('مبيعات يومية'!$D$2:$D$8001,'مبيعات يومية'!$C$2:$C$8001,$A92,'مبيعات يومية'!$B$2:$B$8001,'إعدادات المخزون'!$A$16,'مبيعات يومية'!$A$2:$A$8001,"&gt;="&amp;'إعدادات المخزون'!$B$5,'مبيعات يومية'!$A$2:$A$8001,"&lt;="&amp;'إعدادات المخزون'!$B$4)</f>
        <v>0</v>
      </c>
      <c r="G92" s="116" t="n">
        <f aca="false">SUMIFS('مبيعات يومية'!$D$2:$D$8001,'مبيعات يومية'!$C$2:$C$8001,$A92,'مبيعات يومية'!$B$2:$B$8001,'إعدادات المخزون'!$A$16,'مبيعات يومية'!$A$2:$A$8001,"&gt;"&amp;('إعدادات المخزون'!$B$4-'إعدادات المخزون'!$B$11),'مبيعات يومية'!$A$2:$A$8001,"&lt;="&amp;'إعدادات المخزون'!$B$4)</f>
        <v>0</v>
      </c>
      <c r="H92" s="116" t="n">
        <f aca="false">SUMIFS('مبيعات يومية'!$D$2:$D$8001,'مبيعات يومية'!$C$2:$C$8001,$A92,'مبيعات يومية'!$B$2:$B$8001,'إعدادات المخزون'!$A$17,'مبيعات يومية'!$A$2:$A$8001,'إعدادات المخزون'!$B$4)</f>
        <v>0</v>
      </c>
      <c r="I92" s="116" t="n">
        <f aca="false">SUMIFS('مبيعات يومية'!$D$2:$D$8001,'مبيعات يومية'!$C$2:$C$8001,$A92,'مبيعات يومية'!$B$2:$B$8001,'إعدادات المخزون'!$A$17,'مبيعات يومية'!$A$2:$A$8001,"&gt;="&amp;'إعدادات المخزون'!$B$5,'مبيعات يومية'!$A$2:$A$8001,"&lt;="&amp;'إعدادات المخزون'!$B$4)</f>
        <v>0</v>
      </c>
      <c r="J92" s="116" t="n">
        <f aca="false">SUMIFS('مبيعات يومية'!$D$2:$D$8001,'مبيعات يومية'!$C$2:$C$8001,$A92,'مبيعات يومية'!$B$2:$B$8001,'إعدادات المخزون'!$A$17,'مبيعات يومية'!$A$2:$A$8001,"&gt;"&amp;('إعدادات المخزون'!$B$4-'إعدادات المخزون'!$B$11),'مبيعات يومية'!$A$2:$A$8001,"&lt;="&amp;'إعدادات المخزون'!$B$4)</f>
        <v>0</v>
      </c>
    </row>
    <row r="93" customFormat="false" ht="15" hidden="false" customHeight="false" outlineLevel="0" collapsed="false">
      <c r="A93" s="114" t="str">
        <f aca="false">المنيو!B93</f>
        <v>فطيرة خضروات صيامي وسط</v>
      </c>
      <c r="B93" s="116" t="n">
        <f aca="false">SUMIFS('مبيعات يومية'!$D$2:$D$8001,'مبيعات يومية'!$C$2:$C$8001,$A93,'مبيعات يومية'!$B$2:$B$8001,'إعدادات المخزون'!$A$15,'مبيعات يومية'!$A$2:$A$8001,'إعدادات المخزون'!$B$4)</f>
        <v>0</v>
      </c>
      <c r="C93" s="116" t="n">
        <f aca="false">SUMIFS('مبيعات يومية'!$D$2:$D$8001,'مبيعات يومية'!$C$2:$C$8001,$A93,'مبيعات يومية'!$B$2:$B$8001,'إعدادات المخزون'!$A$15,'مبيعات يومية'!$A$2:$A$8001,"&gt;="&amp;'إعدادات المخزون'!$B$5,'مبيعات يومية'!$A$2:$A$8001,"&lt;="&amp;'إعدادات المخزون'!$B$4)</f>
        <v>0</v>
      </c>
      <c r="D93" s="116" t="n">
        <f aca="false">SUMIFS('مبيعات يومية'!$D$2:$D$8001,'مبيعات يومية'!$C$2:$C$8001,$A93,'مبيعات يومية'!$B$2:$B$8001,'إعدادات المخزون'!$A$15,'مبيعات يومية'!$A$2:$A$8001,"&gt;"&amp;('إعدادات المخزون'!$B$4-'إعدادات المخزون'!$B$11),'مبيعات يومية'!$A$2:$A$8001,"&lt;="&amp;'إعدادات المخزون'!$B$4)</f>
        <v>0</v>
      </c>
      <c r="E93" s="116" t="n">
        <f aca="false">SUMIFS('مبيعات يومية'!$D$2:$D$8001,'مبيعات يومية'!$C$2:$C$8001,$A93,'مبيعات يومية'!$B$2:$B$8001,'إعدادات المخزون'!$A$16,'مبيعات يومية'!$A$2:$A$8001,'إعدادات المخزون'!$B$4)</f>
        <v>0</v>
      </c>
      <c r="F93" s="116" t="n">
        <f aca="false">SUMIFS('مبيعات يومية'!$D$2:$D$8001,'مبيعات يومية'!$C$2:$C$8001,$A93,'مبيعات يومية'!$B$2:$B$8001,'إعدادات المخزون'!$A$16,'مبيعات يومية'!$A$2:$A$8001,"&gt;="&amp;'إعدادات المخزون'!$B$5,'مبيعات يومية'!$A$2:$A$8001,"&lt;="&amp;'إعدادات المخزون'!$B$4)</f>
        <v>0</v>
      </c>
      <c r="G93" s="116" t="n">
        <f aca="false">SUMIFS('مبيعات يومية'!$D$2:$D$8001,'مبيعات يومية'!$C$2:$C$8001,$A93,'مبيعات يومية'!$B$2:$B$8001,'إعدادات المخزون'!$A$16,'مبيعات يومية'!$A$2:$A$8001,"&gt;"&amp;('إعدادات المخزون'!$B$4-'إعدادات المخزون'!$B$11),'مبيعات يومية'!$A$2:$A$8001,"&lt;="&amp;'إعدادات المخزون'!$B$4)</f>
        <v>0</v>
      </c>
      <c r="H93" s="116" t="n">
        <f aca="false">SUMIFS('مبيعات يومية'!$D$2:$D$8001,'مبيعات يومية'!$C$2:$C$8001,$A93,'مبيعات يومية'!$B$2:$B$8001,'إعدادات المخزون'!$A$17,'مبيعات يومية'!$A$2:$A$8001,'إعدادات المخزون'!$B$4)</f>
        <v>0</v>
      </c>
      <c r="I93" s="116" t="n">
        <f aca="false">SUMIFS('مبيعات يومية'!$D$2:$D$8001,'مبيعات يومية'!$C$2:$C$8001,$A93,'مبيعات يومية'!$B$2:$B$8001,'إعدادات المخزون'!$A$17,'مبيعات يومية'!$A$2:$A$8001,"&gt;="&amp;'إعدادات المخزون'!$B$5,'مبيعات يومية'!$A$2:$A$8001,"&lt;="&amp;'إعدادات المخزون'!$B$4)</f>
        <v>0</v>
      </c>
      <c r="J93" s="116" t="n">
        <f aca="false">SUMIFS('مبيعات يومية'!$D$2:$D$8001,'مبيعات يومية'!$C$2:$C$8001,$A93,'مبيعات يومية'!$B$2:$B$8001,'إعدادات المخزون'!$A$17,'مبيعات يومية'!$A$2:$A$8001,"&gt;"&amp;('إعدادات المخزون'!$B$4-'إعدادات المخزون'!$B$11),'مبيعات يومية'!$A$2:$A$8001,"&lt;="&amp;'إعدادات المخزون'!$B$4)</f>
        <v>0</v>
      </c>
    </row>
    <row r="94" customFormat="false" ht="15" hidden="false" customHeight="false" outlineLevel="0" collapsed="false">
      <c r="A94" s="114" t="str">
        <f aca="false">المنيو!B94</f>
        <v>فطيرة خضروات صيامي مخصوص</v>
      </c>
      <c r="B94" s="116" t="n">
        <f aca="false">SUMIFS('مبيعات يومية'!$D$2:$D$8001,'مبيعات يومية'!$C$2:$C$8001,$A94,'مبيعات يومية'!$B$2:$B$8001,'إعدادات المخزون'!$A$15,'مبيعات يومية'!$A$2:$A$8001,'إعدادات المخزون'!$B$4)</f>
        <v>0</v>
      </c>
      <c r="C94" s="116" t="n">
        <f aca="false">SUMIFS('مبيعات يومية'!$D$2:$D$8001,'مبيعات يومية'!$C$2:$C$8001,$A94,'مبيعات يومية'!$B$2:$B$8001,'إعدادات المخزون'!$A$15,'مبيعات يومية'!$A$2:$A$8001,"&gt;="&amp;'إعدادات المخزون'!$B$5,'مبيعات يومية'!$A$2:$A$8001,"&lt;="&amp;'إعدادات المخزون'!$B$4)</f>
        <v>0</v>
      </c>
      <c r="D94" s="116" t="n">
        <f aca="false">SUMIFS('مبيعات يومية'!$D$2:$D$8001,'مبيعات يومية'!$C$2:$C$8001,$A94,'مبيعات يومية'!$B$2:$B$8001,'إعدادات المخزون'!$A$15,'مبيعات يومية'!$A$2:$A$8001,"&gt;"&amp;('إعدادات المخزون'!$B$4-'إعدادات المخزون'!$B$11),'مبيعات يومية'!$A$2:$A$8001,"&lt;="&amp;'إعدادات المخزون'!$B$4)</f>
        <v>0</v>
      </c>
      <c r="E94" s="116" t="n">
        <f aca="false">SUMIFS('مبيعات يومية'!$D$2:$D$8001,'مبيعات يومية'!$C$2:$C$8001,$A94,'مبيعات يومية'!$B$2:$B$8001,'إعدادات المخزون'!$A$16,'مبيعات يومية'!$A$2:$A$8001,'إعدادات المخزون'!$B$4)</f>
        <v>0</v>
      </c>
      <c r="F94" s="116" t="n">
        <f aca="false">SUMIFS('مبيعات يومية'!$D$2:$D$8001,'مبيعات يومية'!$C$2:$C$8001,$A94,'مبيعات يومية'!$B$2:$B$8001,'إعدادات المخزون'!$A$16,'مبيعات يومية'!$A$2:$A$8001,"&gt;="&amp;'إعدادات المخزون'!$B$5,'مبيعات يومية'!$A$2:$A$8001,"&lt;="&amp;'إعدادات المخزون'!$B$4)</f>
        <v>0</v>
      </c>
      <c r="G94" s="116" t="n">
        <f aca="false">SUMIFS('مبيعات يومية'!$D$2:$D$8001,'مبيعات يومية'!$C$2:$C$8001,$A94,'مبيعات يومية'!$B$2:$B$8001,'إعدادات المخزون'!$A$16,'مبيعات يومية'!$A$2:$A$8001,"&gt;"&amp;('إعدادات المخزون'!$B$4-'إعدادات المخزون'!$B$11),'مبيعات يومية'!$A$2:$A$8001,"&lt;="&amp;'إعدادات المخزون'!$B$4)</f>
        <v>0</v>
      </c>
      <c r="H94" s="116" t="n">
        <f aca="false">SUMIFS('مبيعات يومية'!$D$2:$D$8001,'مبيعات يومية'!$C$2:$C$8001,$A94,'مبيعات يومية'!$B$2:$B$8001,'إعدادات المخزون'!$A$17,'مبيعات يومية'!$A$2:$A$8001,'إعدادات المخزون'!$B$4)</f>
        <v>0</v>
      </c>
      <c r="I94" s="116" t="n">
        <f aca="false">SUMIFS('مبيعات يومية'!$D$2:$D$8001,'مبيعات يومية'!$C$2:$C$8001,$A94,'مبيعات يومية'!$B$2:$B$8001,'إعدادات المخزون'!$A$17,'مبيعات يومية'!$A$2:$A$8001,"&gt;="&amp;'إعدادات المخزون'!$B$5,'مبيعات يومية'!$A$2:$A$8001,"&lt;="&amp;'إعدادات المخزون'!$B$4)</f>
        <v>0</v>
      </c>
      <c r="J94" s="116" t="n">
        <f aca="false">SUMIFS('مبيعات يومية'!$D$2:$D$8001,'مبيعات يومية'!$C$2:$C$8001,$A94,'مبيعات يومية'!$B$2:$B$8001,'إعدادات المخزون'!$A$17,'مبيعات يومية'!$A$2:$A$8001,"&gt;"&amp;('إعدادات المخزون'!$B$4-'إعدادات المخزون'!$B$11),'مبيعات يومية'!$A$2:$A$8001,"&lt;="&amp;'إعدادات المخزون'!$B$4)</f>
        <v>0</v>
      </c>
    </row>
    <row r="95" customFormat="false" ht="15" hidden="false" customHeight="false" outlineLevel="0" collapsed="false">
      <c r="A95" s="114" t="str">
        <f aca="false">المنيو!B95</f>
        <v>فطيرة مشروم صيامي وسط</v>
      </c>
      <c r="B95" s="116" t="n">
        <f aca="false">SUMIFS('مبيعات يومية'!$D$2:$D$8001,'مبيعات يومية'!$C$2:$C$8001,$A95,'مبيعات يومية'!$B$2:$B$8001,'إعدادات المخزون'!$A$15,'مبيعات يومية'!$A$2:$A$8001,'إعدادات المخزون'!$B$4)</f>
        <v>0</v>
      </c>
      <c r="C95" s="116" t="n">
        <f aca="false">SUMIFS('مبيعات يومية'!$D$2:$D$8001,'مبيعات يومية'!$C$2:$C$8001,$A95,'مبيعات يومية'!$B$2:$B$8001,'إعدادات المخزون'!$A$15,'مبيعات يومية'!$A$2:$A$8001,"&gt;="&amp;'إعدادات المخزون'!$B$5,'مبيعات يومية'!$A$2:$A$8001,"&lt;="&amp;'إعدادات المخزون'!$B$4)</f>
        <v>0</v>
      </c>
      <c r="D95" s="116" t="n">
        <f aca="false">SUMIFS('مبيعات يومية'!$D$2:$D$8001,'مبيعات يومية'!$C$2:$C$8001,$A95,'مبيعات يومية'!$B$2:$B$8001,'إعدادات المخزون'!$A$15,'مبيعات يومية'!$A$2:$A$8001,"&gt;"&amp;('إعدادات المخزون'!$B$4-'إعدادات المخزون'!$B$11),'مبيعات يومية'!$A$2:$A$8001,"&lt;="&amp;'إعدادات المخزون'!$B$4)</f>
        <v>0</v>
      </c>
      <c r="E95" s="116" t="n">
        <f aca="false">SUMIFS('مبيعات يومية'!$D$2:$D$8001,'مبيعات يومية'!$C$2:$C$8001,$A95,'مبيعات يومية'!$B$2:$B$8001,'إعدادات المخزون'!$A$16,'مبيعات يومية'!$A$2:$A$8001,'إعدادات المخزون'!$B$4)</f>
        <v>0</v>
      </c>
      <c r="F95" s="116" t="n">
        <f aca="false">SUMIFS('مبيعات يومية'!$D$2:$D$8001,'مبيعات يومية'!$C$2:$C$8001,$A95,'مبيعات يومية'!$B$2:$B$8001,'إعدادات المخزون'!$A$16,'مبيعات يومية'!$A$2:$A$8001,"&gt;="&amp;'إعدادات المخزون'!$B$5,'مبيعات يومية'!$A$2:$A$8001,"&lt;="&amp;'إعدادات المخزون'!$B$4)</f>
        <v>0</v>
      </c>
      <c r="G95" s="116" t="n">
        <f aca="false">SUMIFS('مبيعات يومية'!$D$2:$D$8001,'مبيعات يومية'!$C$2:$C$8001,$A95,'مبيعات يومية'!$B$2:$B$8001,'إعدادات المخزون'!$A$16,'مبيعات يومية'!$A$2:$A$8001,"&gt;"&amp;('إعدادات المخزون'!$B$4-'إعدادات المخزون'!$B$11),'مبيعات يومية'!$A$2:$A$8001,"&lt;="&amp;'إعدادات المخزون'!$B$4)</f>
        <v>0</v>
      </c>
      <c r="H95" s="116" t="n">
        <f aca="false">SUMIFS('مبيعات يومية'!$D$2:$D$8001,'مبيعات يومية'!$C$2:$C$8001,$A95,'مبيعات يومية'!$B$2:$B$8001,'إعدادات المخزون'!$A$17,'مبيعات يومية'!$A$2:$A$8001,'إعدادات المخزون'!$B$4)</f>
        <v>0</v>
      </c>
      <c r="I95" s="116" t="n">
        <f aca="false">SUMIFS('مبيعات يومية'!$D$2:$D$8001,'مبيعات يومية'!$C$2:$C$8001,$A95,'مبيعات يومية'!$B$2:$B$8001,'إعدادات المخزون'!$A$17,'مبيعات يومية'!$A$2:$A$8001,"&gt;="&amp;'إعدادات المخزون'!$B$5,'مبيعات يومية'!$A$2:$A$8001,"&lt;="&amp;'إعدادات المخزون'!$B$4)</f>
        <v>0</v>
      </c>
      <c r="J95" s="116" t="n">
        <f aca="false">SUMIFS('مبيعات يومية'!$D$2:$D$8001,'مبيعات يومية'!$C$2:$C$8001,$A95,'مبيعات يومية'!$B$2:$B$8001,'إعدادات المخزون'!$A$17,'مبيعات يومية'!$A$2:$A$8001,"&gt;"&amp;('إعدادات المخزون'!$B$4-'إعدادات المخزون'!$B$11),'مبيعات يومية'!$A$2:$A$8001,"&lt;="&amp;'إعدادات المخزون'!$B$4)</f>
        <v>0</v>
      </c>
    </row>
    <row r="96" customFormat="false" ht="15" hidden="false" customHeight="false" outlineLevel="0" collapsed="false">
      <c r="A96" s="114" t="str">
        <f aca="false">المنيو!B96</f>
        <v>فطيرة مشروم صيامي مخصوص</v>
      </c>
      <c r="B96" s="116" t="n">
        <f aca="false">SUMIFS('مبيعات يومية'!$D$2:$D$8001,'مبيعات يومية'!$C$2:$C$8001,$A96,'مبيعات يومية'!$B$2:$B$8001,'إعدادات المخزون'!$A$15,'مبيعات يومية'!$A$2:$A$8001,'إعدادات المخزون'!$B$4)</f>
        <v>0</v>
      </c>
      <c r="C96" s="116" t="n">
        <f aca="false">SUMIFS('مبيعات يومية'!$D$2:$D$8001,'مبيعات يومية'!$C$2:$C$8001,$A96,'مبيعات يومية'!$B$2:$B$8001,'إعدادات المخزون'!$A$15,'مبيعات يومية'!$A$2:$A$8001,"&gt;="&amp;'إعدادات المخزون'!$B$5,'مبيعات يومية'!$A$2:$A$8001,"&lt;="&amp;'إعدادات المخزون'!$B$4)</f>
        <v>0</v>
      </c>
      <c r="D96" s="116" t="n">
        <f aca="false">SUMIFS('مبيعات يومية'!$D$2:$D$8001,'مبيعات يومية'!$C$2:$C$8001,$A96,'مبيعات يومية'!$B$2:$B$8001,'إعدادات المخزون'!$A$15,'مبيعات يومية'!$A$2:$A$8001,"&gt;"&amp;('إعدادات المخزون'!$B$4-'إعدادات المخزون'!$B$11),'مبيعات يومية'!$A$2:$A$8001,"&lt;="&amp;'إعدادات المخزون'!$B$4)</f>
        <v>0</v>
      </c>
      <c r="E96" s="116" t="n">
        <f aca="false">SUMIFS('مبيعات يومية'!$D$2:$D$8001,'مبيعات يومية'!$C$2:$C$8001,$A96,'مبيعات يومية'!$B$2:$B$8001,'إعدادات المخزون'!$A$16,'مبيعات يومية'!$A$2:$A$8001,'إعدادات المخزون'!$B$4)</f>
        <v>0</v>
      </c>
      <c r="F96" s="116" t="n">
        <f aca="false">SUMIFS('مبيعات يومية'!$D$2:$D$8001,'مبيعات يومية'!$C$2:$C$8001,$A96,'مبيعات يومية'!$B$2:$B$8001,'إعدادات المخزون'!$A$16,'مبيعات يومية'!$A$2:$A$8001,"&gt;="&amp;'إعدادات المخزون'!$B$5,'مبيعات يومية'!$A$2:$A$8001,"&lt;="&amp;'إعدادات المخزون'!$B$4)</f>
        <v>0</v>
      </c>
      <c r="G96" s="116" t="n">
        <f aca="false">SUMIFS('مبيعات يومية'!$D$2:$D$8001,'مبيعات يومية'!$C$2:$C$8001,$A96,'مبيعات يومية'!$B$2:$B$8001,'إعدادات المخزون'!$A$16,'مبيعات يومية'!$A$2:$A$8001,"&gt;"&amp;('إعدادات المخزون'!$B$4-'إعدادات المخزون'!$B$11),'مبيعات يومية'!$A$2:$A$8001,"&lt;="&amp;'إعدادات المخزون'!$B$4)</f>
        <v>0</v>
      </c>
      <c r="H96" s="116" t="n">
        <f aca="false">SUMIFS('مبيعات يومية'!$D$2:$D$8001,'مبيعات يومية'!$C$2:$C$8001,$A96,'مبيعات يومية'!$B$2:$B$8001,'إعدادات المخزون'!$A$17,'مبيعات يومية'!$A$2:$A$8001,'إعدادات المخزون'!$B$4)</f>
        <v>0</v>
      </c>
      <c r="I96" s="116" t="n">
        <f aca="false">SUMIFS('مبيعات يومية'!$D$2:$D$8001,'مبيعات يومية'!$C$2:$C$8001,$A96,'مبيعات يومية'!$B$2:$B$8001,'إعدادات المخزون'!$A$17,'مبيعات يومية'!$A$2:$A$8001,"&gt;="&amp;'إعدادات المخزون'!$B$5,'مبيعات يومية'!$A$2:$A$8001,"&lt;="&amp;'إعدادات المخزون'!$B$4)</f>
        <v>0</v>
      </c>
      <c r="J96" s="116" t="n">
        <f aca="false">SUMIFS('مبيعات يومية'!$D$2:$D$8001,'مبيعات يومية'!$C$2:$C$8001,$A96,'مبيعات يومية'!$B$2:$B$8001,'إعدادات المخزون'!$A$17,'مبيعات يومية'!$A$2:$A$8001,"&gt;"&amp;('إعدادات المخزون'!$B$4-'إعدادات المخزون'!$B$11),'مبيعات يومية'!$A$2:$A$8001,"&lt;="&amp;'إعدادات المخزون'!$B$4)</f>
        <v>0</v>
      </c>
    </row>
    <row r="97" customFormat="false" ht="15" hidden="false" customHeight="false" outlineLevel="0" collapsed="false">
      <c r="A97" s="114" t="str">
        <f aca="false">المنيو!B97</f>
        <v>فطيرة سوسيس صيامي وسط</v>
      </c>
      <c r="B97" s="116" t="n">
        <f aca="false">SUMIFS('مبيعات يومية'!$D$2:$D$8001,'مبيعات يومية'!$C$2:$C$8001,$A97,'مبيعات يومية'!$B$2:$B$8001,'إعدادات المخزون'!$A$15,'مبيعات يومية'!$A$2:$A$8001,'إعدادات المخزون'!$B$4)</f>
        <v>0</v>
      </c>
      <c r="C97" s="116" t="n">
        <f aca="false">SUMIFS('مبيعات يومية'!$D$2:$D$8001,'مبيعات يومية'!$C$2:$C$8001,$A97,'مبيعات يومية'!$B$2:$B$8001,'إعدادات المخزون'!$A$15,'مبيعات يومية'!$A$2:$A$8001,"&gt;="&amp;'إعدادات المخزون'!$B$5,'مبيعات يومية'!$A$2:$A$8001,"&lt;="&amp;'إعدادات المخزون'!$B$4)</f>
        <v>0</v>
      </c>
      <c r="D97" s="116" t="n">
        <f aca="false">SUMIFS('مبيعات يومية'!$D$2:$D$8001,'مبيعات يومية'!$C$2:$C$8001,$A97,'مبيعات يومية'!$B$2:$B$8001,'إعدادات المخزون'!$A$15,'مبيعات يومية'!$A$2:$A$8001,"&gt;"&amp;('إعدادات المخزون'!$B$4-'إعدادات المخزون'!$B$11),'مبيعات يومية'!$A$2:$A$8001,"&lt;="&amp;'إعدادات المخزون'!$B$4)</f>
        <v>0</v>
      </c>
      <c r="E97" s="116" t="n">
        <f aca="false">SUMIFS('مبيعات يومية'!$D$2:$D$8001,'مبيعات يومية'!$C$2:$C$8001,$A97,'مبيعات يومية'!$B$2:$B$8001,'إعدادات المخزون'!$A$16,'مبيعات يومية'!$A$2:$A$8001,'إعدادات المخزون'!$B$4)</f>
        <v>0</v>
      </c>
      <c r="F97" s="116" t="n">
        <f aca="false">SUMIFS('مبيعات يومية'!$D$2:$D$8001,'مبيعات يومية'!$C$2:$C$8001,$A97,'مبيعات يومية'!$B$2:$B$8001,'إعدادات المخزون'!$A$16,'مبيعات يومية'!$A$2:$A$8001,"&gt;="&amp;'إعدادات المخزون'!$B$5,'مبيعات يومية'!$A$2:$A$8001,"&lt;="&amp;'إعدادات المخزون'!$B$4)</f>
        <v>0</v>
      </c>
      <c r="G97" s="116" t="n">
        <f aca="false">SUMIFS('مبيعات يومية'!$D$2:$D$8001,'مبيعات يومية'!$C$2:$C$8001,$A97,'مبيعات يومية'!$B$2:$B$8001,'إعدادات المخزون'!$A$16,'مبيعات يومية'!$A$2:$A$8001,"&gt;"&amp;('إعدادات المخزون'!$B$4-'إعدادات المخزون'!$B$11),'مبيعات يومية'!$A$2:$A$8001,"&lt;="&amp;'إعدادات المخزون'!$B$4)</f>
        <v>0</v>
      </c>
      <c r="H97" s="116" t="n">
        <f aca="false">SUMIFS('مبيعات يومية'!$D$2:$D$8001,'مبيعات يومية'!$C$2:$C$8001,$A97,'مبيعات يومية'!$B$2:$B$8001,'إعدادات المخزون'!$A$17,'مبيعات يومية'!$A$2:$A$8001,'إعدادات المخزون'!$B$4)</f>
        <v>0</v>
      </c>
      <c r="I97" s="116" t="n">
        <f aca="false">SUMIFS('مبيعات يومية'!$D$2:$D$8001,'مبيعات يومية'!$C$2:$C$8001,$A97,'مبيعات يومية'!$B$2:$B$8001,'إعدادات المخزون'!$A$17,'مبيعات يومية'!$A$2:$A$8001,"&gt;="&amp;'إعدادات المخزون'!$B$5,'مبيعات يومية'!$A$2:$A$8001,"&lt;="&amp;'إعدادات المخزون'!$B$4)</f>
        <v>0</v>
      </c>
      <c r="J97" s="116" t="n">
        <f aca="false">SUMIFS('مبيعات يومية'!$D$2:$D$8001,'مبيعات يومية'!$C$2:$C$8001,$A97,'مبيعات يومية'!$B$2:$B$8001,'إعدادات المخزون'!$A$17,'مبيعات يومية'!$A$2:$A$8001,"&gt;"&amp;('إعدادات المخزون'!$B$4-'إعدادات المخزون'!$B$11),'مبيعات يومية'!$A$2:$A$8001,"&lt;="&amp;'إعدادات المخزون'!$B$4)</f>
        <v>0</v>
      </c>
    </row>
    <row r="98" customFormat="false" ht="15" hidden="false" customHeight="false" outlineLevel="0" collapsed="false">
      <c r="A98" s="114" t="str">
        <f aca="false">المنيو!B98</f>
        <v>فطيرة سوسيس صيامي مخصوص</v>
      </c>
      <c r="B98" s="116" t="n">
        <f aca="false">SUMIFS('مبيعات يومية'!$D$2:$D$8001,'مبيعات يومية'!$C$2:$C$8001,$A98,'مبيعات يومية'!$B$2:$B$8001,'إعدادات المخزون'!$A$15,'مبيعات يومية'!$A$2:$A$8001,'إعدادات المخزون'!$B$4)</f>
        <v>0</v>
      </c>
      <c r="C98" s="116" t="n">
        <f aca="false">SUMIFS('مبيعات يومية'!$D$2:$D$8001,'مبيعات يومية'!$C$2:$C$8001,$A98,'مبيعات يومية'!$B$2:$B$8001,'إعدادات المخزون'!$A$15,'مبيعات يومية'!$A$2:$A$8001,"&gt;="&amp;'إعدادات المخزون'!$B$5,'مبيعات يومية'!$A$2:$A$8001,"&lt;="&amp;'إعدادات المخزون'!$B$4)</f>
        <v>0</v>
      </c>
      <c r="D98" s="116" t="n">
        <f aca="false">SUMIFS('مبيعات يومية'!$D$2:$D$8001,'مبيعات يومية'!$C$2:$C$8001,$A98,'مبيعات يومية'!$B$2:$B$8001,'إعدادات المخزون'!$A$15,'مبيعات يومية'!$A$2:$A$8001,"&gt;"&amp;('إعدادات المخزون'!$B$4-'إعدادات المخزون'!$B$11),'مبيعات يومية'!$A$2:$A$8001,"&lt;="&amp;'إعدادات المخزون'!$B$4)</f>
        <v>0</v>
      </c>
      <c r="E98" s="116" t="n">
        <f aca="false">SUMIFS('مبيعات يومية'!$D$2:$D$8001,'مبيعات يومية'!$C$2:$C$8001,$A98,'مبيعات يومية'!$B$2:$B$8001,'إعدادات المخزون'!$A$16,'مبيعات يومية'!$A$2:$A$8001,'إعدادات المخزون'!$B$4)</f>
        <v>0</v>
      </c>
      <c r="F98" s="116" t="n">
        <f aca="false">SUMIFS('مبيعات يومية'!$D$2:$D$8001,'مبيعات يومية'!$C$2:$C$8001,$A98,'مبيعات يومية'!$B$2:$B$8001,'إعدادات المخزون'!$A$16,'مبيعات يومية'!$A$2:$A$8001,"&gt;="&amp;'إعدادات المخزون'!$B$5,'مبيعات يومية'!$A$2:$A$8001,"&lt;="&amp;'إعدادات المخزون'!$B$4)</f>
        <v>0</v>
      </c>
      <c r="G98" s="116" t="n">
        <f aca="false">SUMIFS('مبيعات يومية'!$D$2:$D$8001,'مبيعات يومية'!$C$2:$C$8001,$A98,'مبيعات يومية'!$B$2:$B$8001,'إعدادات المخزون'!$A$16,'مبيعات يومية'!$A$2:$A$8001,"&gt;"&amp;('إعدادات المخزون'!$B$4-'إعدادات المخزون'!$B$11),'مبيعات يومية'!$A$2:$A$8001,"&lt;="&amp;'إعدادات المخزون'!$B$4)</f>
        <v>0</v>
      </c>
      <c r="H98" s="116" t="n">
        <f aca="false">SUMIFS('مبيعات يومية'!$D$2:$D$8001,'مبيعات يومية'!$C$2:$C$8001,$A98,'مبيعات يومية'!$B$2:$B$8001,'إعدادات المخزون'!$A$17,'مبيعات يومية'!$A$2:$A$8001,'إعدادات المخزون'!$B$4)</f>
        <v>0</v>
      </c>
      <c r="I98" s="116" t="n">
        <f aca="false">SUMIFS('مبيعات يومية'!$D$2:$D$8001,'مبيعات يومية'!$C$2:$C$8001,$A98,'مبيعات يومية'!$B$2:$B$8001,'إعدادات المخزون'!$A$17,'مبيعات يومية'!$A$2:$A$8001,"&gt;="&amp;'إعدادات المخزون'!$B$5,'مبيعات يومية'!$A$2:$A$8001,"&lt;="&amp;'إعدادات المخزون'!$B$4)</f>
        <v>0</v>
      </c>
      <c r="J98" s="116" t="n">
        <f aca="false">SUMIFS('مبيعات يومية'!$D$2:$D$8001,'مبيعات يومية'!$C$2:$C$8001,$A98,'مبيعات يومية'!$B$2:$B$8001,'إعدادات المخزون'!$A$17,'مبيعات يومية'!$A$2:$A$8001,"&gt;"&amp;('إعدادات المخزون'!$B$4-'إعدادات المخزون'!$B$11),'مبيعات يومية'!$A$2:$A$8001,"&lt;="&amp;'إعدادات المخزون'!$B$4)</f>
        <v>0</v>
      </c>
    </row>
    <row r="99" customFormat="false" ht="15" hidden="false" customHeight="false" outlineLevel="0" collapsed="false">
      <c r="A99" s="114" t="str">
        <f aca="false">المنيو!B99</f>
        <v>فطيرة شاورما لحم / فراخ صيامي وسط</v>
      </c>
      <c r="B99" s="116" t="n">
        <f aca="false">SUMIFS('مبيعات يومية'!$D$2:$D$8001,'مبيعات يومية'!$C$2:$C$8001,$A99,'مبيعات يومية'!$B$2:$B$8001,'إعدادات المخزون'!$A$15,'مبيعات يومية'!$A$2:$A$8001,'إعدادات المخزون'!$B$4)</f>
        <v>0</v>
      </c>
      <c r="C99" s="116" t="n">
        <f aca="false">SUMIFS('مبيعات يومية'!$D$2:$D$8001,'مبيعات يومية'!$C$2:$C$8001,$A99,'مبيعات يومية'!$B$2:$B$8001,'إعدادات المخزون'!$A$15,'مبيعات يومية'!$A$2:$A$8001,"&gt;="&amp;'إعدادات المخزون'!$B$5,'مبيعات يومية'!$A$2:$A$8001,"&lt;="&amp;'إعدادات المخزون'!$B$4)</f>
        <v>0</v>
      </c>
      <c r="D99" s="116" t="n">
        <f aca="false">SUMIFS('مبيعات يومية'!$D$2:$D$8001,'مبيعات يومية'!$C$2:$C$8001,$A99,'مبيعات يومية'!$B$2:$B$8001,'إعدادات المخزون'!$A$15,'مبيعات يومية'!$A$2:$A$8001,"&gt;"&amp;('إعدادات المخزون'!$B$4-'إعدادات المخزون'!$B$11),'مبيعات يومية'!$A$2:$A$8001,"&lt;="&amp;'إعدادات المخزون'!$B$4)</f>
        <v>0</v>
      </c>
      <c r="E99" s="116" t="n">
        <f aca="false">SUMIFS('مبيعات يومية'!$D$2:$D$8001,'مبيعات يومية'!$C$2:$C$8001,$A99,'مبيعات يومية'!$B$2:$B$8001,'إعدادات المخزون'!$A$16,'مبيعات يومية'!$A$2:$A$8001,'إعدادات المخزون'!$B$4)</f>
        <v>0</v>
      </c>
      <c r="F99" s="116" t="n">
        <f aca="false">SUMIFS('مبيعات يومية'!$D$2:$D$8001,'مبيعات يومية'!$C$2:$C$8001,$A99,'مبيعات يومية'!$B$2:$B$8001,'إعدادات المخزون'!$A$16,'مبيعات يومية'!$A$2:$A$8001,"&gt;="&amp;'إعدادات المخزون'!$B$5,'مبيعات يومية'!$A$2:$A$8001,"&lt;="&amp;'إعدادات المخزون'!$B$4)</f>
        <v>0</v>
      </c>
      <c r="G99" s="116" t="n">
        <f aca="false">SUMIFS('مبيعات يومية'!$D$2:$D$8001,'مبيعات يومية'!$C$2:$C$8001,$A99,'مبيعات يومية'!$B$2:$B$8001,'إعدادات المخزون'!$A$16,'مبيعات يومية'!$A$2:$A$8001,"&gt;"&amp;('إعدادات المخزون'!$B$4-'إعدادات المخزون'!$B$11),'مبيعات يومية'!$A$2:$A$8001,"&lt;="&amp;'إعدادات المخزون'!$B$4)</f>
        <v>0</v>
      </c>
      <c r="H99" s="116" t="n">
        <f aca="false">SUMIFS('مبيعات يومية'!$D$2:$D$8001,'مبيعات يومية'!$C$2:$C$8001,$A99,'مبيعات يومية'!$B$2:$B$8001,'إعدادات المخزون'!$A$17,'مبيعات يومية'!$A$2:$A$8001,'إعدادات المخزون'!$B$4)</f>
        <v>0</v>
      </c>
      <c r="I99" s="116" t="n">
        <f aca="false">SUMIFS('مبيعات يومية'!$D$2:$D$8001,'مبيعات يومية'!$C$2:$C$8001,$A99,'مبيعات يومية'!$B$2:$B$8001,'إعدادات المخزون'!$A$17,'مبيعات يومية'!$A$2:$A$8001,"&gt;="&amp;'إعدادات المخزون'!$B$5,'مبيعات يومية'!$A$2:$A$8001,"&lt;="&amp;'إعدادات المخزون'!$B$4)</f>
        <v>0</v>
      </c>
      <c r="J99" s="116" t="n">
        <f aca="false">SUMIFS('مبيعات يومية'!$D$2:$D$8001,'مبيعات يومية'!$C$2:$C$8001,$A99,'مبيعات يومية'!$B$2:$B$8001,'إعدادات المخزون'!$A$17,'مبيعات يومية'!$A$2:$A$8001,"&gt;"&amp;('إعدادات المخزون'!$B$4-'إعدادات المخزون'!$B$11),'مبيعات يومية'!$A$2:$A$8001,"&lt;="&amp;'إعدادات المخزون'!$B$4)</f>
        <v>0</v>
      </c>
    </row>
    <row r="100" customFormat="false" ht="15" hidden="false" customHeight="false" outlineLevel="0" collapsed="false">
      <c r="A100" s="114" t="str">
        <f aca="false">المنيو!B100</f>
        <v>فطيرة شاورما لحم / فراخ صيامي مخصوص</v>
      </c>
      <c r="B100" s="116" t="n">
        <f aca="false">SUMIFS('مبيعات يومية'!$D$2:$D$8001,'مبيعات يومية'!$C$2:$C$8001,$A100,'مبيعات يومية'!$B$2:$B$8001,'إعدادات المخزون'!$A$15,'مبيعات يومية'!$A$2:$A$8001,'إعدادات المخزون'!$B$4)</f>
        <v>0</v>
      </c>
      <c r="C100" s="116" t="n">
        <f aca="false">SUMIFS('مبيعات يومية'!$D$2:$D$8001,'مبيعات يومية'!$C$2:$C$8001,$A100,'مبيعات يومية'!$B$2:$B$8001,'إعدادات المخزون'!$A$15,'مبيعات يومية'!$A$2:$A$8001,"&gt;="&amp;'إعدادات المخزون'!$B$5,'مبيعات يومية'!$A$2:$A$8001,"&lt;="&amp;'إعدادات المخزون'!$B$4)</f>
        <v>0</v>
      </c>
      <c r="D100" s="116" t="n">
        <f aca="false">SUMIFS('مبيعات يومية'!$D$2:$D$8001,'مبيعات يومية'!$C$2:$C$8001,$A100,'مبيعات يومية'!$B$2:$B$8001,'إعدادات المخزون'!$A$15,'مبيعات يومية'!$A$2:$A$8001,"&gt;"&amp;('إعدادات المخزون'!$B$4-'إعدادات المخزون'!$B$11),'مبيعات يومية'!$A$2:$A$8001,"&lt;="&amp;'إعدادات المخزون'!$B$4)</f>
        <v>0</v>
      </c>
      <c r="E100" s="116" t="n">
        <f aca="false">SUMIFS('مبيعات يومية'!$D$2:$D$8001,'مبيعات يومية'!$C$2:$C$8001,$A100,'مبيعات يومية'!$B$2:$B$8001,'إعدادات المخزون'!$A$16,'مبيعات يومية'!$A$2:$A$8001,'إعدادات المخزون'!$B$4)</f>
        <v>0</v>
      </c>
      <c r="F100" s="116" t="n">
        <f aca="false">SUMIFS('مبيعات يومية'!$D$2:$D$8001,'مبيعات يومية'!$C$2:$C$8001,$A100,'مبيعات يومية'!$B$2:$B$8001,'إعدادات المخزون'!$A$16,'مبيعات يومية'!$A$2:$A$8001,"&gt;="&amp;'إعدادات المخزون'!$B$5,'مبيعات يومية'!$A$2:$A$8001,"&lt;="&amp;'إعدادات المخزون'!$B$4)</f>
        <v>0</v>
      </c>
      <c r="G100" s="116" t="n">
        <f aca="false">SUMIFS('مبيعات يومية'!$D$2:$D$8001,'مبيعات يومية'!$C$2:$C$8001,$A100,'مبيعات يومية'!$B$2:$B$8001,'إعدادات المخزون'!$A$16,'مبيعات يومية'!$A$2:$A$8001,"&gt;"&amp;('إعدادات المخزون'!$B$4-'إعدادات المخزون'!$B$11),'مبيعات يومية'!$A$2:$A$8001,"&lt;="&amp;'إعدادات المخزون'!$B$4)</f>
        <v>0</v>
      </c>
      <c r="H100" s="116" t="n">
        <f aca="false">SUMIFS('مبيعات يومية'!$D$2:$D$8001,'مبيعات يومية'!$C$2:$C$8001,$A100,'مبيعات يومية'!$B$2:$B$8001,'إعدادات المخزون'!$A$17,'مبيعات يومية'!$A$2:$A$8001,'إعدادات المخزون'!$B$4)</f>
        <v>0</v>
      </c>
      <c r="I100" s="116" t="n">
        <f aca="false">SUMIFS('مبيعات يومية'!$D$2:$D$8001,'مبيعات يومية'!$C$2:$C$8001,$A100,'مبيعات يومية'!$B$2:$B$8001,'إعدادات المخزون'!$A$17,'مبيعات يومية'!$A$2:$A$8001,"&gt;="&amp;'إعدادات المخزون'!$B$5,'مبيعات يومية'!$A$2:$A$8001,"&lt;="&amp;'إعدادات المخزون'!$B$4)</f>
        <v>0</v>
      </c>
      <c r="J100" s="116" t="n">
        <f aca="false">SUMIFS('مبيعات يومية'!$D$2:$D$8001,'مبيعات يومية'!$C$2:$C$8001,$A100,'مبيعات يومية'!$B$2:$B$8001,'إعدادات المخزون'!$A$17,'مبيعات يومية'!$A$2:$A$8001,"&gt;"&amp;('إعدادات المخزون'!$B$4-'إعدادات المخزون'!$B$11),'مبيعات يومية'!$A$2:$A$8001,"&lt;="&amp;'إعدادات المخزون'!$B$4)</f>
        <v>0</v>
      </c>
    </row>
    <row r="101" customFormat="false" ht="15" hidden="false" customHeight="false" outlineLevel="0" collapsed="false">
      <c r="A101" s="114" t="str">
        <f aca="false">المنيو!B101</f>
        <v>فطيرة مشكل لحوم صيامي وسط</v>
      </c>
      <c r="B101" s="116" t="n">
        <f aca="false">SUMIFS('مبيعات يومية'!$D$2:$D$8001,'مبيعات يومية'!$C$2:$C$8001,$A101,'مبيعات يومية'!$B$2:$B$8001,'إعدادات المخزون'!$A$15,'مبيعات يومية'!$A$2:$A$8001,'إعدادات المخزون'!$B$4)</f>
        <v>0</v>
      </c>
      <c r="C101" s="116" t="n">
        <f aca="false">SUMIFS('مبيعات يومية'!$D$2:$D$8001,'مبيعات يومية'!$C$2:$C$8001,$A101,'مبيعات يومية'!$B$2:$B$8001,'إعدادات المخزون'!$A$15,'مبيعات يومية'!$A$2:$A$8001,"&gt;="&amp;'إعدادات المخزون'!$B$5,'مبيعات يومية'!$A$2:$A$8001,"&lt;="&amp;'إعدادات المخزون'!$B$4)</f>
        <v>0</v>
      </c>
      <c r="D101" s="116" t="n">
        <f aca="false">SUMIFS('مبيعات يومية'!$D$2:$D$8001,'مبيعات يومية'!$C$2:$C$8001,$A101,'مبيعات يومية'!$B$2:$B$8001,'إعدادات المخزون'!$A$15,'مبيعات يومية'!$A$2:$A$8001,"&gt;"&amp;('إعدادات المخزون'!$B$4-'إعدادات المخزون'!$B$11),'مبيعات يومية'!$A$2:$A$8001,"&lt;="&amp;'إعدادات المخزون'!$B$4)</f>
        <v>0</v>
      </c>
      <c r="E101" s="116" t="n">
        <f aca="false">SUMIFS('مبيعات يومية'!$D$2:$D$8001,'مبيعات يومية'!$C$2:$C$8001,$A101,'مبيعات يومية'!$B$2:$B$8001,'إعدادات المخزون'!$A$16,'مبيعات يومية'!$A$2:$A$8001,'إعدادات المخزون'!$B$4)</f>
        <v>0</v>
      </c>
      <c r="F101" s="116" t="n">
        <f aca="false">SUMIFS('مبيعات يومية'!$D$2:$D$8001,'مبيعات يومية'!$C$2:$C$8001,$A101,'مبيعات يومية'!$B$2:$B$8001,'إعدادات المخزون'!$A$16,'مبيعات يومية'!$A$2:$A$8001,"&gt;="&amp;'إعدادات المخزون'!$B$5,'مبيعات يومية'!$A$2:$A$8001,"&lt;="&amp;'إعدادات المخزون'!$B$4)</f>
        <v>0</v>
      </c>
      <c r="G101" s="116" t="n">
        <f aca="false">SUMIFS('مبيعات يومية'!$D$2:$D$8001,'مبيعات يومية'!$C$2:$C$8001,$A101,'مبيعات يومية'!$B$2:$B$8001,'إعدادات المخزون'!$A$16,'مبيعات يومية'!$A$2:$A$8001,"&gt;"&amp;('إعدادات المخزون'!$B$4-'إعدادات المخزون'!$B$11),'مبيعات يومية'!$A$2:$A$8001,"&lt;="&amp;'إعدادات المخزون'!$B$4)</f>
        <v>0</v>
      </c>
      <c r="H101" s="116" t="n">
        <f aca="false">SUMIFS('مبيعات يومية'!$D$2:$D$8001,'مبيعات يومية'!$C$2:$C$8001,$A101,'مبيعات يومية'!$B$2:$B$8001,'إعدادات المخزون'!$A$17,'مبيعات يومية'!$A$2:$A$8001,'إعدادات المخزون'!$B$4)</f>
        <v>0</v>
      </c>
      <c r="I101" s="116" t="n">
        <f aca="false">SUMIFS('مبيعات يومية'!$D$2:$D$8001,'مبيعات يومية'!$C$2:$C$8001,$A101,'مبيعات يومية'!$B$2:$B$8001,'إعدادات المخزون'!$A$17,'مبيعات يومية'!$A$2:$A$8001,"&gt;="&amp;'إعدادات المخزون'!$B$5,'مبيعات يومية'!$A$2:$A$8001,"&lt;="&amp;'إعدادات المخزون'!$B$4)</f>
        <v>0</v>
      </c>
      <c r="J101" s="116" t="n">
        <f aca="false">SUMIFS('مبيعات يومية'!$D$2:$D$8001,'مبيعات يومية'!$C$2:$C$8001,$A101,'مبيعات يومية'!$B$2:$B$8001,'إعدادات المخزون'!$A$17,'مبيعات يومية'!$A$2:$A$8001,"&gt;"&amp;('إعدادات المخزون'!$B$4-'إعدادات المخزون'!$B$11),'مبيعات يومية'!$A$2:$A$8001,"&lt;="&amp;'إعدادات المخزون'!$B$4)</f>
        <v>0</v>
      </c>
    </row>
    <row r="102" customFormat="false" ht="15" hidden="false" customHeight="false" outlineLevel="0" collapsed="false">
      <c r="A102" s="114" t="str">
        <f aca="false">المنيو!B102</f>
        <v>فطيرة مشكل لحوم صيامي مخصوص</v>
      </c>
      <c r="B102" s="116" t="n">
        <f aca="false">SUMIFS('مبيعات يومية'!$D$2:$D$8001,'مبيعات يومية'!$C$2:$C$8001,$A102,'مبيعات يومية'!$B$2:$B$8001,'إعدادات المخزون'!$A$15,'مبيعات يومية'!$A$2:$A$8001,'إعدادات المخزون'!$B$4)</f>
        <v>0</v>
      </c>
      <c r="C102" s="116" t="n">
        <f aca="false">SUMIFS('مبيعات يومية'!$D$2:$D$8001,'مبيعات يومية'!$C$2:$C$8001,$A102,'مبيعات يومية'!$B$2:$B$8001,'إعدادات المخزون'!$A$15,'مبيعات يومية'!$A$2:$A$8001,"&gt;="&amp;'إعدادات المخزون'!$B$5,'مبيعات يومية'!$A$2:$A$8001,"&lt;="&amp;'إعدادات المخزون'!$B$4)</f>
        <v>0</v>
      </c>
      <c r="D102" s="116" t="n">
        <f aca="false">SUMIFS('مبيعات يومية'!$D$2:$D$8001,'مبيعات يومية'!$C$2:$C$8001,$A102,'مبيعات يومية'!$B$2:$B$8001,'إعدادات المخزون'!$A$15,'مبيعات يومية'!$A$2:$A$8001,"&gt;"&amp;('إعدادات المخزون'!$B$4-'إعدادات المخزون'!$B$11),'مبيعات يومية'!$A$2:$A$8001,"&lt;="&amp;'إعدادات المخزون'!$B$4)</f>
        <v>0</v>
      </c>
      <c r="E102" s="116" t="n">
        <f aca="false">SUMIFS('مبيعات يومية'!$D$2:$D$8001,'مبيعات يومية'!$C$2:$C$8001,$A102,'مبيعات يومية'!$B$2:$B$8001,'إعدادات المخزون'!$A$16,'مبيعات يومية'!$A$2:$A$8001,'إعدادات المخزون'!$B$4)</f>
        <v>0</v>
      </c>
      <c r="F102" s="116" t="n">
        <f aca="false">SUMIFS('مبيعات يومية'!$D$2:$D$8001,'مبيعات يومية'!$C$2:$C$8001,$A102,'مبيعات يومية'!$B$2:$B$8001,'إعدادات المخزون'!$A$16,'مبيعات يومية'!$A$2:$A$8001,"&gt;="&amp;'إعدادات المخزون'!$B$5,'مبيعات يومية'!$A$2:$A$8001,"&lt;="&amp;'إعدادات المخزون'!$B$4)</f>
        <v>0</v>
      </c>
      <c r="G102" s="116" t="n">
        <f aca="false">SUMIFS('مبيعات يومية'!$D$2:$D$8001,'مبيعات يومية'!$C$2:$C$8001,$A102,'مبيعات يومية'!$B$2:$B$8001,'إعدادات المخزون'!$A$16,'مبيعات يومية'!$A$2:$A$8001,"&gt;"&amp;('إعدادات المخزون'!$B$4-'إعدادات المخزون'!$B$11),'مبيعات يومية'!$A$2:$A$8001,"&lt;="&amp;'إعدادات المخزون'!$B$4)</f>
        <v>0</v>
      </c>
      <c r="H102" s="116" t="n">
        <f aca="false">SUMIFS('مبيعات يومية'!$D$2:$D$8001,'مبيعات يومية'!$C$2:$C$8001,$A102,'مبيعات يومية'!$B$2:$B$8001,'إعدادات المخزون'!$A$17,'مبيعات يومية'!$A$2:$A$8001,'إعدادات المخزون'!$B$4)</f>
        <v>0</v>
      </c>
      <c r="I102" s="116" t="n">
        <f aca="false">SUMIFS('مبيعات يومية'!$D$2:$D$8001,'مبيعات يومية'!$C$2:$C$8001,$A102,'مبيعات يومية'!$B$2:$B$8001,'إعدادات المخزون'!$A$17,'مبيعات يومية'!$A$2:$A$8001,"&gt;="&amp;'إعدادات المخزون'!$B$5,'مبيعات يومية'!$A$2:$A$8001,"&lt;="&amp;'إعدادات المخزون'!$B$4)</f>
        <v>0</v>
      </c>
      <c r="J102" s="116" t="n">
        <f aca="false">SUMIFS('مبيعات يومية'!$D$2:$D$8001,'مبيعات يومية'!$C$2:$C$8001,$A102,'مبيعات يومية'!$B$2:$B$8001,'إعدادات المخزون'!$A$17,'مبيعات يومية'!$A$2:$A$8001,"&gt;"&amp;('إعدادات المخزون'!$B$4-'إعدادات المخزون'!$B$11),'مبيعات يومية'!$A$2:$A$8001,"&lt;="&amp;'إعدادات المخزون'!$B$4)</f>
        <v>0</v>
      </c>
    </row>
    <row r="103" customFormat="false" ht="15" hidden="false" customHeight="false" outlineLevel="0" collapsed="false">
      <c r="A103" s="114" t="str">
        <f aca="false">المنيو!B103</f>
        <v>فطيرة مشكل جبن صيامي وسط</v>
      </c>
      <c r="B103" s="116" t="n">
        <f aca="false">SUMIFS('مبيعات يومية'!$D$2:$D$8001,'مبيعات يومية'!$C$2:$C$8001,$A103,'مبيعات يومية'!$B$2:$B$8001,'إعدادات المخزون'!$A$15,'مبيعات يومية'!$A$2:$A$8001,'إعدادات المخزون'!$B$4)</f>
        <v>0</v>
      </c>
      <c r="C103" s="116" t="n">
        <f aca="false">SUMIFS('مبيعات يومية'!$D$2:$D$8001,'مبيعات يومية'!$C$2:$C$8001,$A103,'مبيعات يومية'!$B$2:$B$8001,'إعدادات المخزون'!$A$15,'مبيعات يومية'!$A$2:$A$8001,"&gt;="&amp;'إعدادات المخزون'!$B$5,'مبيعات يومية'!$A$2:$A$8001,"&lt;="&amp;'إعدادات المخزون'!$B$4)</f>
        <v>0</v>
      </c>
      <c r="D103" s="116" t="n">
        <f aca="false">SUMIFS('مبيعات يومية'!$D$2:$D$8001,'مبيعات يومية'!$C$2:$C$8001,$A103,'مبيعات يومية'!$B$2:$B$8001,'إعدادات المخزون'!$A$15,'مبيعات يومية'!$A$2:$A$8001,"&gt;"&amp;('إعدادات المخزون'!$B$4-'إعدادات المخزون'!$B$11),'مبيعات يومية'!$A$2:$A$8001,"&lt;="&amp;'إعدادات المخزون'!$B$4)</f>
        <v>0</v>
      </c>
      <c r="E103" s="116" t="n">
        <f aca="false">SUMIFS('مبيعات يومية'!$D$2:$D$8001,'مبيعات يومية'!$C$2:$C$8001,$A103,'مبيعات يومية'!$B$2:$B$8001,'إعدادات المخزون'!$A$16,'مبيعات يومية'!$A$2:$A$8001,'إعدادات المخزون'!$B$4)</f>
        <v>0</v>
      </c>
      <c r="F103" s="116" t="n">
        <f aca="false">SUMIFS('مبيعات يومية'!$D$2:$D$8001,'مبيعات يومية'!$C$2:$C$8001,$A103,'مبيعات يومية'!$B$2:$B$8001,'إعدادات المخزون'!$A$16,'مبيعات يومية'!$A$2:$A$8001,"&gt;="&amp;'إعدادات المخزون'!$B$5,'مبيعات يومية'!$A$2:$A$8001,"&lt;="&amp;'إعدادات المخزون'!$B$4)</f>
        <v>0</v>
      </c>
      <c r="G103" s="116" t="n">
        <f aca="false">SUMIFS('مبيعات يومية'!$D$2:$D$8001,'مبيعات يومية'!$C$2:$C$8001,$A103,'مبيعات يومية'!$B$2:$B$8001,'إعدادات المخزون'!$A$16,'مبيعات يومية'!$A$2:$A$8001,"&gt;"&amp;('إعدادات المخزون'!$B$4-'إعدادات المخزون'!$B$11),'مبيعات يومية'!$A$2:$A$8001,"&lt;="&amp;'إعدادات المخزون'!$B$4)</f>
        <v>0</v>
      </c>
      <c r="H103" s="116" t="n">
        <f aca="false">SUMIFS('مبيعات يومية'!$D$2:$D$8001,'مبيعات يومية'!$C$2:$C$8001,$A103,'مبيعات يومية'!$B$2:$B$8001,'إعدادات المخزون'!$A$17,'مبيعات يومية'!$A$2:$A$8001,'إعدادات المخزون'!$B$4)</f>
        <v>0</v>
      </c>
      <c r="I103" s="116" t="n">
        <f aca="false">SUMIFS('مبيعات يومية'!$D$2:$D$8001,'مبيعات يومية'!$C$2:$C$8001,$A103,'مبيعات يومية'!$B$2:$B$8001,'إعدادات المخزون'!$A$17,'مبيعات يومية'!$A$2:$A$8001,"&gt;="&amp;'إعدادات المخزون'!$B$5,'مبيعات يومية'!$A$2:$A$8001,"&lt;="&amp;'إعدادات المخزون'!$B$4)</f>
        <v>0</v>
      </c>
      <c r="J103" s="116" t="n">
        <f aca="false">SUMIFS('مبيعات يومية'!$D$2:$D$8001,'مبيعات يومية'!$C$2:$C$8001,$A103,'مبيعات يومية'!$B$2:$B$8001,'إعدادات المخزون'!$A$17,'مبيعات يومية'!$A$2:$A$8001,"&gt;"&amp;('إعدادات المخزون'!$B$4-'إعدادات المخزون'!$B$11),'مبيعات يومية'!$A$2:$A$8001,"&lt;="&amp;'إعدادات المخزون'!$B$4)</f>
        <v>0</v>
      </c>
    </row>
    <row r="104" customFormat="false" ht="15" hidden="false" customHeight="false" outlineLevel="0" collapsed="false">
      <c r="A104" s="114" t="str">
        <f aca="false">المنيو!B104</f>
        <v>فطيرة مشكل جبن صيامي مخصوص</v>
      </c>
      <c r="B104" s="116" t="n">
        <f aca="false">SUMIFS('مبيعات يومية'!$D$2:$D$8001,'مبيعات يومية'!$C$2:$C$8001,$A104,'مبيعات يومية'!$B$2:$B$8001,'إعدادات المخزون'!$A$15,'مبيعات يومية'!$A$2:$A$8001,'إعدادات المخزون'!$B$4)</f>
        <v>0</v>
      </c>
      <c r="C104" s="116" t="n">
        <f aca="false">SUMIFS('مبيعات يومية'!$D$2:$D$8001,'مبيعات يومية'!$C$2:$C$8001,$A104,'مبيعات يومية'!$B$2:$B$8001,'إعدادات المخزون'!$A$15,'مبيعات يومية'!$A$2:$A$8001,"&gt;="&amp;'إعدادات المخزون'!$B$5,'مبيعات يومية'!$A$2:$A$8001,"&lt;="&amp;'إعدادات المخزون'!$B$4)</f>
        <v>0</v>
      </c>
      <c r="D104" s="116" t="n">
        <f aca="false">SUMIFS('مبيعات يومية'!$D$2:$D$8001,'مبيعات يومية'!$C$2:$C$8001,$A104,'مبيعات يومية'!$B$2:$B$8001,'إعدادات المخزون'!$A$15,'مبيعات يومية'!$A$2:$A$8001,"&gt;"&amp;('إعدادات المخزون'!$B$4-'إعدادات المخزون'!$B$11),'مبيعات يومية'!$A$2:$A$8001,"&lt;="&amp;'إعدادات المخزون'!$B$4)</f>
        <v>0</v>
      </c>
      <c r="E104" s="116" t="n">
        <f aca="false">SUMIFS('مبيعات يومية'!$D$2:$D$8001,'مبيعات يومية'!$C$2:$C$8001,$A104,'مبيعات يومية'!$B$2:$B$8001,'إعدادات المخزون'!$A$16,'مبيعات يومية'!$A$2:$A$8001,'إعدادات المخزون'!$B$4)</f>
        <v>0</v>
      </c>
      <c r="F104" s="116" t="n">
        <f aca="false">SUMIFS('مبيعات يومية'!$D$2:$D$8001,'مبيعات يومية'!$C$2:$C$8001,$A104,'مبيعات يومية'!$B$2:$B$8001,'إعدادات المخزون'!$A$16,'مبيعات يومية'!$A$2:$A$8001,"&gt;="&amp;'إعدادات المخزون'!$B$5,'مبيعات يومية'!$A$2:$A$8001,"&lt;="&amp;'إعدادات المخزون'!$B$4)</f>
        <v>0</v>
      </c>
      <c r="G104" s="116" t="n">
        <f aca="false">SUMIFS('مبيعات يومية'!$D$2:$D$8001,'مبيعات يومية'!$C$2:$C$8001,$A104,'مبيعات يومية'!$B$2:$B$8001,'إعدادات المخزون'!$A$16,'مبيعات يومية'!$A$2:$A$8001,"&gt;"&amp;('إعدادات المخزون'!$B$4-'إعدادات المخزون'!$B$11),'مبيعات يومية'!$A$2:$A$8001,"&lt;="&amp;'إعدادات المخزون'!$B$4)</f>
        <v>0</v>
      </c>
      <c r="H104" s="116" t="n">
        <f aca="false">SUMIFS('مبيعات يومية'!$D$2:$D$8001,'مبيعات يومية'!$C$2:$C$8001,$A104,'مبيعات يومية'!$B$2:$B$8001,'إعدادات المخزون'!$A$17,'مبيعات يومية'!$A$2:$A$8001,'إعدادات المخزون'!$B$4)</f>
        <v>0</v>
      </c>
      <c r="I104" s="116" t="n">
        <f aca="false">SUMIFS('مبيعات يومية'!$D$2:$D$8001,'مبيعات يومية'!$C$2:$C$8001,$A104,'مبيعات يومية'!$B$2:$B$8001,'إعدادات المخزون'!$A$17,'مبيعات يومية'!$A$2:$A$8001,"&gt;="&amp;'إعدادات المخزون'!$B$5,'مبيعات يومية'!$A$2:$A$8001,"&lt;="&amp;'إعدادات المخزون'!$B$4)</f>
        <v>0</v>
      </c>
      <c r="J104" s="116" t="n">
        <f aca="false">SUMIFS('مبيعات يومية'!$D$2:$D$8001,'مبيعات يومية'!$C$2:$C$8001,$A104,'مبيعات يومية'!$B$2:$B$8001,'إعدادات المخزون'!$A$17,'مبيعات يومية'!$A$2:$A$8001,"&gt;"&amp;('إعدادات المخزون'!$B$4-'إعدادات المخزون'!$B$11),'مبيعات يومية'!$A$2:$A$8001,"&lt;="&amp;'إعدادات المخزون'!$B$4)</f>
        <v>0</v>
      </c>
    </row>
    <row r="105" customFormat="false" ht="15" hidden="false" customHeight="false" outlineLevel="0" collapsed="false">
      <c r="A105" s="114" t="str">
        <f aca="false">المنيو!B105</f>
        <v>فطيرة فراخ باربيكيو صيامي وسط</v>
      </c>
      <c r="B105" s="116" t="n">
        <f aca="false">SUMIFS('مبيعات يومية'!$D$2:$D$8001,'مبيعات يومية'!$C$2:$C$8001,$A105,'مبيعات يومية'!$B$2:$B$8001,'إعدادات المخزون'!$A$15,'مبيعات يومية'!$A$2:$A$8001,'إعدادات المخزون'!$B$4)</f>
        <v>0</v>
      </c>
      <c r="C105" s="116" t="n">
        <f aca="false">SUMIFS('مبيعات يومية'!$D$2:$D$8001,'مبيعات يومية'!$C$2:$C$8001,$A105,'مبيعات يومية'!$B$2:$B$8001,'إعدادات المخزون'!$A$15,'مبيعات يومية'!$A$2:$A$8001,"&gt;="&amp;'إعدادات المخزون'!$B$5,'مبيعات يومية'!$A$2:$A$8001,"&lt;="&amp;'إعدادات المخزون'!$B$4)</f>
        <v>0</v>
      </c>
      <c r="D105" s="116" t="n">
        <f aca="false">SUMIFS('مبيعات يومية'!$D$2:$D$8001,'مبيعات يومية'!$C$2:$C$8001,$A105,'مبيعات يومية'!$B$2:$B$8001,'إعدادات المخزون'!$A$15,'مبيعات يومية'!$A$2:$A$8001,"&gt;"&amp;('إعدادات المخزون'!$B$4-'إعدادات المخزون'!$B$11),'مبيعات يومية'!$A$2:$A$8001,"&lt;="&amp;'إعدادات المخزون'!$B$4)</f>
        <v>0</v>
      </c>
      <c r="E105" s="116" t="n">
        <f aca="false">SUMIFS('مبيعات يومية'!$D$2:$D$8001,'مبيعات يومية'!$C$2:$C$8001,$A105,'مبيعات يومية'!$B$2:$B$8001,'إعدادات المخزون'!$A$16,'مبيعات يومية'!$A$2:$A$8001,'إعدادات المخزون'!$B$4)</f>
        <v>0</v>
      </c>
      <c r="F105" s="116" t="n">
        <f aca="false">SUMIFS('مبيعات يومية'!$D$2:$D$8001,'مبيعات يومية'!$C$2:$C$8001,$A105,'مبيعات يومية'!$B$2:$B$8001,'إعدادات المخزون'!$A$16,'مبيعات يومية'!$A$2:$A$8001,"&gt;="&amp;'إعدادات المخزون'!$B$5,'مبيعات يومية'!$A$2:$A$8001,"&lt;="&amp;'إعدادات المخزون'!$B$4)</f>
        <v>0</v>
      </c>
      <c r="G105" s="116" t="n">
        <f aca="false">SUMIFS('مبيعات يومية'!$D$2:$D$8001,'مبيعات يومية'!$C$2:$C$8001,$A105,'مبيعات يومية'!$B$2:$B$8001,'إعدادات المخزون'!$A$16,'مبيعات يومية'!$A$2:$A$8001,"&gt;"&amp;('إعدادات المخزون'!$B$4-'إعدادات المخزون'!$B$11),'مبيعات يومية'!$A$2:$A$8001,"&lt;="&amp;'إعدادات المخزون'!$B$4)</f>
        <v>0</v>
      </c>
      <c r="H105" s="116" t="n">
        <f aca="false">SUMIFS('مبيعات يومية'!$D$2:$D$8001,'مبيعات يومية'!$C$2:$C$8001,$A105,'مبيعات يومية'!$B$2:$B$8001,'إعدادات المخزون'!$A$17,'مبيعات يومية'!$A$2:$A$8001,'إعدادات المخزون'!$B$4)</f>
        <v>0</v>
      </c>
      <c r="I105" s="116" t="n">
        <f aca="false">SUMIFS('مبيعات يومية'!$D$2:$D$8001,'مبيعات يومية'!$C$2:$C$8001,$A105,'مبيعات يومية'!$B$2:$B$8001,'إعدادات المخزون'!$A$17,'مبيعات يومية'!$A$2:$A$8001,"&gt;="&amp;'إعدادات المخزون'!$B$5,'مبيعات يومية'!$A$2:$A$8001,"&lt;="&amp;'إعدادات المخزون'!$B$4)</f>
        <v>0</v>
      </c>
      <c r="J105" s="116" t="n">
        <f aca="false">SUMIFS('مبيعات يومية'!$D$2:$D$8001,'مبيعات يومية'!$C$2:$C$8001,$A105,'مبيعات يومية'!$B$2:$B$8001,'إعدادات المخزون'!$A$17,'مبيعات يومية'!$A$2:$A$8001,"&gt;"&amp;('إعدادات المخزون'!$B$4-'إعدادات المخزون'!$B$11),'مبيعات يومية'!$A$2:$A$8001,"&lt;="&amp;'إعدادات المخزون'!$B$4)</f>
        <v>0</v>
      </c>
    </row>
    <row r="106" customFormat="false" ht="15" hidden="false" customHeight="false" outlineLevel="0" collapsed="false">
      <c r="A106" s="114" t="str">
        <f aca="false">المنيو!B106</f>
        <v>فطيرة فراخ باربيكيو صيامي مخصوص</v>
      </c>
      <c r="B106" s="116" t="n">
        <f aca="false">SUMIFS('مبيعات يومية'!$D$2:$D$8001,'مبيعات يومية'!$C$2:$C$8001,$A106,'مبيعات يومية'!$B$2:$B$8001,'إعدادات المخزون'!$A$15,'مبيعات يومية'!$A$2:$A$8001,'إعدادات المخزون'!$B$4)</f>
        <v>0</v>
      </c>
      <c r="C106" s="116" t="n">
        <f aca="false">SUMIFS('مبيعات يومية'!$D$2:$D$8001,'مبيعات يومية'!$C$2:$C$8001,$A106,'مبيعات يومية'!$B$2:$B$8001,'إعدادات المخزون'!$A$15,'مبيعات يومية'!$A$2:$A$8001,"&gt;="&amp;'إعدادات المخزون'!$B$5,'مبيعات يومية'!$A$2:$A$8001,"&lt;="&amp;'إعدادات المخزون'!$B$4)</f>
        <v>0</v>
      </c>
      <c r="D106" s="116" t="n">
        <f aca="false">SUMIFS('مبيعات يومية'!$D$2:$D$8001,'مبيعات يومية'!$C$2:$C$8001,$A106,'مبيعات يومية'!$B$2:$B$8001,'إعدادات المخزون'!$A$15,'مبيعات يومية'!$A$2:$A$8001,"&gt;"&amp;('إعدادات المخزون'!$B$4-'إعدادات المخزون'!$B$11),'مبيعات يومية'!$A$2:$A$8001,"&lt;="&amp;'إعدادات المخزون'!$B$4)</f>
        <v>0</v>
      </c>
      <c r="E106" s="116" t="n">
        <f aca="false">SUMIFS('مبيعات يومية'!$D$2:$D$8001,'مبيعات يومية'!$C$2:$C$8001,$A106,'مبيعات يومية'!$B$2:$B$8001,'إعدادات المخزون'!$A$16,'مبيعات يومية'!$A$2:$A$8001,'إعدادات المخزون'!$B$4)</f>
        <v>0</v>
      </c>
      <c r="F106" s="116" t="n">
        <f aca="false">SUMIFS('مبيعات يومية'!$D$2:$D$8001,'مبيعات يومية'!$C$2:$C$8001,$A106,'مبيعات يومية'!$B$2:$B$8001,'إعدادات المخزون'!$A$16,'مبيعات يومية'!$A$2:$A$8001,"&gt;="&amp;'إعدادات المخزون'!$B$5,'مبيعات يومية'!$A$2:$A$8001,"&lt;="&amp;'إعدادات المخزون'!$B$4)</f>
        <v>0</v>
      </c>
      <c r="G106" s="116" t="n">
        <f aca="false">SUMIFS('مبيعات يومية'!$D$2:$D$8001,'مبيعات يومية'!$C$2:$C$8001,$A106,'مبيعات يومية'!$B$2:$B$8001,'إعدادات المخزون'!$A$16,'مبيعات يومية'!$A$2:$A$8001,"&gt;"&amp;('إعدادات المخزون'!$B$4-'إعدادات المخزون'!$B$11),'مبيعات يومية'!$A$2:$A$8001,"&lt;="&amp;'إعدادات المخزون'!$B$4)</f>
        <v>0</v>
      </c>
      <c r="H106" s="116" t="n">
        <f aca="false">SUMIFS('مبيعات يومية'!$D$2:$D$8001,'مبيعات يومية'!$C$2:$C$8001,$A106,'مبيعات يومية'!$B$2:$B$8001,'إعدادات المخزون'!$A$17,'مبيعات يومية'!$A$2:$A$8001,'إعدادات المخزون'!$B$4)</f>
        <v>0</v>
      </c>
      <c r="I106" s="116" t="n">
        <f aca="false">SUMIFS('مبيعات يومية'!$D$2:$D$8001,'مبيعات يومية'!$C$2:$C$8001,$A106,'مبيعات يومية'!$B$2:$B$8001,'إعدادات المخزون'!$A$17,'مبيعات يومية'!$A$2:$A$8001,"&gt;="&amp;'إعدادات المخزون'!$B$5,'مبيعات يومية'!$A$2:$A$8001,"&lt;="&amp;'إعدادات المخزون'!$B$4)</f>
        <v>0</v>
      </c>
      <c r="J106" s="116" t="n">
        <f aca="false">SUMIFS('مبيعات يومية'!$D$2:$D$8001,'مبيعات يومية'!$C$2:$C$8001,$A106,'مبيعات يومية'!$B$2:$B$8001,'إعدادات المخزون'!$A$17,'مبيعات يومية'!$A$2:$A$8001,"&gt;"&amp;('إعدادات المخزون'!$B$4-'إعدادات المخزون'!$B$11),'مبيعات يومية'!$A$2:$A$8001,"&lt;="&amp;'إعدادات المخزون'!$B$4)</f>
        <v>0</v>
      </c>
    </row>
    <row r="107" customFormat="false" ht="15" hidden="false" customHeight="false" outlineLevel="0" collapsed="false">
      <c r="A107" s="114" t="str">
        <f aca="false">المنيو!B107</f>
        <v>فطيرة جمبري صيامي وسط</v>
      </c>
      <c r="B107" s="116" t="n">
        <f aca="false">SUMIFS('مبيعات يومية'!$D$2:$D$8001,'مبيعات يومية'!$C$2:$C$8001,$A107,'مبيعات يومية'!$B$2:$B$8001,'إعدادات المخزون'!$A$15,'مبيعات يومية'!$A$2:$A$8001,'إعدادات المخزون'!$B$4)</f>
        <v>0</v>
      </c>
      <c r="C107" s="116" t="n">
        <f aca="false">SUMIFS('مبيعات يومية'!$D$2:$D$8001,'مبيعات يومية'!$C$2:$C$8001,$A107,'مبيعات يومية'!$B$2:$B$8001,'إعدادات المخزون'!$A$15,'مبيعات يومية'!$A$2:$A$8001,"&gt;="&amp;'إعدادات المخزون'!$B$5,'مبيعات يومية'!$A$2:$A$8001,"&lt;="&amp;'إعدادات المخزون'!$B$4)</f>
        <v>0</v>
      </c>
      <c r="D107" s="116" t="n">
        <f aca="false">SUMIFS('مبيعات يومية'!$D$2:$D$8001,'مبيعات يومية'!$C$2:$C$8001,$A107,'مبيعات يومية'!$B$2:$B$8001,'إعدادات المخزون'!$A$15,'مبيعات يومية'!$A$2:$A$8001,"&gt;"&amp;('إعدادات المخزون'!$B$4-'إعدادات المخزون'!$B$11),'مبيعات يومية'!$A$2:$A$8001,"&lt;="&amp;'إعدادات المخزون'!$B$4)</f>
        <v>0</v>
      </c>
      <c r="E107" s="116" t="n">
        <f aca="false">SUMIFS('مبيعات يومية'!$D$2:$D$8001,'مبيعات يومية'!$C$2:$C$8001,$A107,'مبيعات يومية'!$B$2:$B$8001,'إعدادات المخزون'!$A$16,'مبيعات يومية'!$A$2:$A$8001,'إعدادات المخزون'!$B$4)</f>
        <v>0</v>
      </c>
      <c r="F107" s="116" t="n">
        <f aca="false">SUMIFS('مبيعات يومية'!$D$2:$D$8001,'مبيعات يومية'!$C$2:$C$8001,$A107,'مبيعات يومية'!$B$2:$B$8001,'إعدادات المخزون'!$A$16,'مبيعات يومية'!$A$2:$A$8001,"&gt;="&amp;'إعدادات المخزون'!$B$5,'مبيعات يومية'!$A$2:$A$8001,"&lt;="&amp;'إعدادات المخزون'!$B$4)</f>
        <v>0</v>
      </c>
      <c r="G107" s="116" t="n">
        <f aca="false">SUMIFS('مبيعات يومية'!$D$2:$D$8001,'مبيعات يومية'!$C$2:$C$8001,$A107,'مبيعات يومية'!$B$2:$B$8001,'إعدادات المخزون'!$A$16,'مبيعات يومية'!$A$2:$A$8001,"&gt;"&amp;('إعدادات المخزون'!$B$4-'إعدادات المخزون'!$B$11),'مبيعات يومية'!$A$2:$A$8001,"&lt;="&amp;'إعدادات المخزون'!$B$4)</f>
        <v>0</v>
      </c>
      <c r="H107" s="116" t="n">
        <f aca="false">SUMIFS('مبيعات يومية'!$D$2:$D$8001,'مبيعات يومية'!$C$2:$C$8001,$A107,'مبيعات يومية'!$B$2:$B$8001,'إعدادات المخزون'!$A$17,'مبيعات يومية'!$A$2:$A$8001,'إعدادات المخزون'!$B$4)</f>
        <v>0</v>
      </c>
      <c r="I107" s="116" t="n">
        <f aca="false">SUMIFS('مبيعات يومية'!$D$2:$D$8001,'مبيعات يومية'!$C$2:$C$8001,$A107,'مبيعات يومية'!$B$2:$B$8001,'إعدادات المخزون'!$A$17,'مبيعات يومية'!$A$2:$A$8001,"&gt;="&amp;'إعدادات المخزون'!$B$5,'مبيعات يومية'!$A$2:$A$8001,"&lt;="&amp;'إعدادات المخزون'!$B$4)</f>
        <v>0</v>
      </c>
      <c r="J107" s="116" t="n">
        <f aca="false">SUMIFS('مبيعات يومية'!$D$2:$D$8001,'مبيعات يومية'!$C$2:$C$8001,$A107,'مبيعات يومية'!$B$2:$B$8001,'إعدادات المخزون'!$A$17,'مبيعات يومية'!$A$2:$A$8001,"&gt;"&amp;('إعدادات المخزون'!$B$4-'إعدادات المخزون'!$B$11),'مبيعات يومية'!$A$2:$A$8001,"&lt;="&amp;'إعدادات المخزون'!$B$4)</f>
        <v>0</v>
      </c>
    </row>
    <row r="108" customFormat="false" ht="15" hidden="false" customHeight="false" outlineLevel="0" collapsed="false">
      <c r="A108" s="114" t="str">
        <f aca="false">المنيو!B108</f>
        <v>فطيرة جمبري صيامي مخصوص</v>
      </c>
      <c r="B108" s="116" t="n">
        <f aca="false">SUMIFS('مبيعات يومية'!$D$2:$D$8001,'مبيعات يومية'!$C$2:$C$8001,$A108,'مبيعات يومية'!$B$2:$B$8001,'إعدادات المخزون'!$A$15,'مبيعات يومية'!$A$2:$A$8001,'إعدادات المخزون'!$B$4)</f>
        <v>0</v>
      </c>
      <c r="C108" s="116" t="n">
        <f aca="false">SUMIFS('مبيعات يومية'!$D$2:$D$8001,'مبيعات يومية'!$C$2:$C$8001,$A108,'مبيعات يومية'!$B$2:$B$8001,'إعدادات المخزون'!$A$15,'مبيعات يومية'!$A$2:$A$8001,"&gt;="&amp;'إعدادات المخزون'!$B$5,'مبيعات يومية'!$A$2:$A$8001,"&lt;="&amp;'إعدادات المخزون'!$B$4)</f>
        <v>0</v>
      </c>
      <c r="D108" s="116" t="n">
        <f aca="false">SUMIFS('مبيعات يومية'!$D$2:$D$8001,'مبيعات يومية'!$C$2:$C$8001,$A108,'مبيعات يومية'!$B$2:$B$8001,'إعدادات المخزون'!$A$15,'مبيعات يومية'!$A$2:$A$8001,"&gt;"&amp;('إعدادات المخزون'!$B$4-'إعدادات المخزون'!$B$11),'مبيعات يومية'!$A$2:$A$8001,"&lt;="&amp;'إعدادات المخزون'!$B$4)</f>
        <v>0</v>
      </c>
      <c r="E108" s="116" t="n">
        <f aca="false">SUMIFS('مبيعات يومية'!$D$2:$D$8001,'مبيعات يومية'!$C$2:$C$8001,$A108,'مبيعات يومية'!$B$2:$B$8001,'إعدادات المخزون'!$A$16,'مبيعات يومية'!$A$2:$A$8001,'إعدادات المخزون'!$B$4)</f>
        <v>0</v>
      </c>
      <c r="F108" s="116" t="n">
        <f aca="false">SUMIFS('مبيعات يومية'!$D$2:$D$8001,'مبيعات يومية'!$C$2:$C$8001,$A108,'مبيعات يومية'!$B$2:$B$8001,'إعدادات المخزون'!$A$16,'مبيعات يومية'!$A$2:$A$8001,"&gt;="&amp;'إعدادات المخزون'!$B$5,'مبيعات يومية'!$A$2:$A$8001,"&lt;="&amp;'إعدادات المخزون'!$B$4)</f>
        <v>0</v>
      </c>
      <c r="G108" s="116" t="n">
        <f aca="false">SUMIFS('مبيعات يومية'!$D$2:$D$8001,'مبيعات يومية'!$C$2:$C$8001,$A108,'مبيعات يومية'!$B$2:$B$8001,'إعدادات المخزون'!$A$16,'مبيعات يومية'!$A$2:$A$8001,"&gt;"&amp;('إعدادات المخزون'!$B$4-'إعدادات المخزون'!$B$11),'مبيعات يومية'!$A$2:$A$8001,"&lt;="&amp;'إعدادات المخزون'!$B$4)</f>
        <v>0</v>
      </c>
      <c r="H108" s="116" t="n">
        <f aca="false">SUMIFS('مبيعات يومية'!$D$2:$D$8001,'مبيعات يومية'!$C$2:$C$8001,$A108,'مبيعات يومية'!$B$2:$B$8001,'إعدادات المخزون'!$A$17,'مبيعات يومية'!$A$2:$A$8001,'إعدادات المخزون'!$B$4)</f>
        <v>0</v>
      </c>
      <c r="I108" s="116" t="n">
        <f aca="false">SUMIFS('مبيعات يومية'!$D$2:$D$8001,'مبيعات يومية'!$C$2:$C$8001,$A108,'مبيعات يومية'!$B$2:$B$8001,'إعدادات المخزون'!$A$17,'مبيعات يومية'!$A$2:$A$8001,"&gt;="&amp;'إعدادات المخزون'!$B$5,'مبيعات يومية'!$A$2:$A$8001,"&lt;="&amp;'إعدادات المخزون'!$B$4)</f>
        <v>0</v>
      </c>
      <c r="J108" s="116" t="n">
        <f aca="false">SUMIFS('مبيعات يومية'!$D$2:$D$8001,'مبيعات يومية'!$C$2:$C$8001,$A108,'مبيعات يومية'!$B$2:$B$8001,'إعدادات المخزون'!$A$17,'مبيعات يومية'!$A$2:$A$8001,"&gt;"&amp;('إعدادات المخزون'!$B$4-'إعدادات المخزون'!$B$11),'مبيعات يومية'!$A$2:$A$8001,"&lt;="&amp;'إعدادات المخزون'!$B$4)</f>
        <v>0</v>
      </c>
    </row>
    <row r="109" customFormat="false" ht="15" hidden="false" customHeight="false" outlineLevel="0" collapsed="false">
      <c r="A109" s="114" t="str">
        <f aca="false">المنيو!B109</f>
        <v>فطيرة تونة صيامي وسط</v>
      </c>
      <c r="B109" s="116" t="n">
        <f aca="false">SUMIFS('مبيعات يومية'!$D$2:$D$8001,'مبيعات يومية'!$C$2:$C$8001,$A109,'مبيعات يومية'!$B$2:$B$8001,'إعدادات المخزون'!$A$15,'مبيعات يومية'!$A$2:$A$8001,'إعدادات المخزون'!$B$4)</f>
        <v>0</v>
      </c>
      <c r="C109" s="116" t="n">
        <f aca="false">SUMIFS('مبيعات يومية'!$D$2:$D$8001,'مبيعات يومية'!$C$2:$C$8001,$A109,'مبيعات يومية'!$B$2:$B$8001,'إعدادات المخزون'!$A$15,'مبيعات يومية'!$A$2:$A$8001,"&gt;="&amp;'إعدادات المخزون'!$B$5,'مبيعات يومية'!$A$2:$A$8001,"&lt;="&amp;'إعدادات المخزون'!$B$4)</f>
        <v>0</v>
      </c>
      <c r="D109" s="116" t="n">
        <f aca="false">SUMIFS('مبيعات يومية'!$D$2:$D$8001,'مبيعات يومية'!$C$2:$C$8001,$A109,'مبيعات يومية'!$B$2:$B$8001,'إعدادات المخزون'!$A$15,'مبيعات يومية'!$A$2:$A$8001,"&gt;"&amp;('إعدادات المخزون'!$B$4-'إعدادات المخزون'!$B$11),'مبيعات يومية'!$A$2:$A$8001,"&lt;="&amp;'إعدادات المخزون'!$B$4)</f>
        <v>0</v>
      </c>
      <c r="E109" s="116" t="n">
        <f aca="false">SUMIFS('مبيعات يومية'!$D$2:$D$8001,'مبيعات يومية'!$C$2:$C$8001,$A109,'مبيعات يومية'!$B$2:$B$8001,'إعدادات المخزون'!$A$16,'مبيعات يومية'!$A$2:$A$8001,'إعدادات المخزون'!$B$4)</f>
        <v>0</v>
      </c>
      <c r="F109" s="116" t="n">
        <f aca="false">SUMIFS('مبيعات يومية'!$D$2:$D$8001,'مبيعات يومية'!$C$2:$C$8001,$A109,'مبيعات يومية'!$B$2:$B$8001,'إعدادات المخزون'!$A$16,'مبيعات يومية'!$A$2:$A$8001,"&gt;="&amp;'إعدادات المخزون'!$B$5,'مبيعات يومية'!$A$2:$A$8001,"&lt;="&amp;'إعدادات المخزون'!$B$4)</f>
        <v>0</v>
      </c>
      <c r="G109" s="116" t="n">
        <f aca="false">SUMIFS('مبيعات يومية'!$D$2:$D$8001,'مبيعات يومية'!$C$2:$C$8001,$A109,'مبيعات يومية'!$B$2:$B$8001,'إعدادات المخزون'!$A$16,'مبيعات يومية'!$A$2:$A$8001,"&gt;"&amp;('إعدادات المخزون'!$B$4-'إعدادات المخزون'!$B$11),'مبيعات يومية'!$A$2:$A$8001,"&lt;="&amp;'إعدادات المخزون'!$B$4)</f>
        <v>0</v>
      </c>
      <c r="H109" s="116" t="n">
        <f aca="false">SUMIFS('مبيعات يومية'!$D$2:$D$8001,'مبيعات يومية'!$C$2:$C$8001,$A109,'مبيعات يومية'!$B$2:$B$8001,'إعدادات المخزون'!$A$17,'مبيعات يومية'!$A$2:$A$8001,'إعدادات المخزون'!$B$4)</f>
        <v>0</v>
      </c>
      <c r="I109" s="116" t="n">
        <f aca="false">SUMIFS('مبيعات يومية'!$D$2:$D$8001,'مبيعات يومية'!$C$2:$C$8001,$A109,'مبيعات يومية'!$B$2:$B$8001,'إعدادات المخزون'!$A$17,'مبيعات يومية'!$A$2:$A$8001,"&gt;="&amp;'إعدادات المخزون'!$B$5,'مبيعات يومية'!$A$2:$A$8001,"&lt;="&amp;'إعدادات المخزون'!$B$4)</f>
        <v>0</v>
      </c>
      <c r="J109" s="116" t="n">
        <f aca="false">SUMIFS('مبيعات يومية'!$D$2:$D$8001,'مبيعات يومية'!$C$2:$C$8001,$A109,'مبيعات يومية'!$B$2:$B$8001,'إعدادات المخزون'!$A$17,'مبيعات يومية'!$A$2:$A$8001,"&gt;"&amp;('إعدادات المخزون'!$B$4-'إعدادات المخزون'!$B$11),'مبيعات يومية'!$A$2:$A$8001,"&lt;="&amp;'إعدادات المخزون'!$B$4)</f>
        <v>0</v>
      </c>
    </row>
    <row r="110" customFormat="false" ht="15" hidden="false" customHeight="false" outlineLevel="0" collapsed="false">
      <c r="A110" s="114" t="str">
        <f aca="false">المنيو!B110</f>
        <v>فطيرة تونة صيامي مخصوص</v>
      </c>
      <c r="B110" s="116" t="n">
        <f aca="false">SUMIFS('مبيعات يومية'!$D$2:$D$8001,'مبيعات يومية'!$C$2:$C$8001,$A110,'مبيعات يومية'!$B$2:$B$8001,'إعدادات المخزون'!$A$15,'مبيعات يومية'!$A$2:$A$8001,'إعدادات المخزون'!$B$4)</f>
        <v>0</v>
      </c>
      <c r="C110" s="116" t="n">
        <f aca="false">SUMIFS('مبيعات يومية'!$D$2:$D$8001,'مبيعات يومية'!$C$2:$C$8001,$A110,'مبيعات يومية'!$B$2:$B$8001,'إعدادات المخزون'!$A$15,'مبيعات يومية'!$A$2:$A$8001,"&gt;="&amp;'إعدادات المخزون'!$B$5,'مبيعات يومية'!$A$2:$A$8001,"&lt;="&amp;'إعدادات المخزون'!$B$4)</f>
        <v>0</v>
      </c>
      <c r="D110" s="116" t="n">
        <f aca="false">SUMIFS('مبيعات يومية'!$D$2:$D$8001,'مبيعات يومية'!$C$2:$C$8001,$A110,'مبيعات يومية'!$B$2:$B$8001,'إعدادات المخزون'!$A$15,'مبيعات يومية'!$A$2:$A$8001,"&gt;"&amp;('إعدادات المخزون'!$B$4-'إعدادات المخزون'!$B$11),'مبيعات يومية'!$A$2:$A$8001,"&lt;="&amp;'إعدادات المخزون'!$B$4)</f>
        <v>0</v>
      </c>
      <c r="E110" s="116" t="n">
        <f aca="false">SUMIFS('مبيعات يومية'!$D$2:$D$8001,'مبيعات يومية'!$C$2:$C$8001,$A110,'مبيعات يومية'!$B$2:$B$8001,'إعدادات المخزون'!$A$16,'مبيعات يومية'!$A$2:$A$8001,'إعدادات المخزون'!$B$4)</f>
        <v>0</v>
      </c>
      <c r="F110" s="116" t="n">
        <f aca="false">SUMIFS('مبيعات يومية'!$D$2:$D$8001,'مبيعات يومية'!$C$2:$C$8001,$A110,'مبيعات يومية'!$B$2:$B$8001,'إعدادات المخزون'!$A$16,'مبيعات يومية'!$A$2:$A$8001,"&gt;="&amp;'إعدادات المخزون'!$B$5,'مبيعات يومية'!$A$2:$A$8001,"&lt;="&amp;'إعدادات المخزون'!$B$4)</f>
        <v>0</v>
      </c>
      <c r="G110" s="116" t="n">
        <f aca="false">SUMIFS('مبيعات يومية'!$D$2:$D$8001,'مبيعات يومية'!$C$2:$C$8001,$A110,'مبيعات يومية'!$B$2:$B$8001,'إعدادات المخزون'!$A$16,'مبيعات يومية'!$A$2:$A$8001,"&gt;"&amp;('إعدادات المخزون'!$B$4-'إعدادات المخزون'!$B$11),'مبيعات يومية'!$A$2:$A$8001,"&lt;="&amp;'إعدادات المخزون'!$B$4)</f>
        <v>0</v>
      </c>
      <c r="H110" s="116" t="n">
        <f aca="false">SUMIFS('مبيعات يومية'!$D$2:$D$8001,'مبيعات يومية'!$C$2:$C$8001,$A110,'مبيعات يومية'!$B$2:$B$8001,'إعدادات المخزون'!$A$17,'مبيعات يومية'!$A$2:$A$8001,'إعدادات المخزون'!$B$4)</f>
        <v>0</v>
      </c>
      <c r="I110" s="116" t="n">
        <f aca="false">SUMIFS('مبيعات يومية'!$D$2:$D$8001,'مبيعات يومية'!$C$2:$C$8001,$A110,'مبيعات يومية'!$B$2:$B$8001,'إعدادات المخزون'!$A$17,'مبيعات يومية'!$A$2:$A$8001,"&gt;="&amp;'إعدادات المخزون'!$B$5,'مبيعات يومية'!$A$2:$A$8001,"&lt;="&amp;'إعدادات المخزون'!$B$4)</f>
        <v>0</v>
      </c>
      <c r="J110" s="116" t="n">
        <f aca="false">SUMIFS('مبيعات يومية'!$D$2:$D$8001,'مبيعات يومية'!$C$2:$C$8001,$A110,'مبيعات يومية'!$B$2:$B$8001,'إعدادات المخزون'!$A$17,'مبيعات يومية'!$A$2:$A$8001,"&gt;"&amp;('إعدادات المخزون'!$B$4-'إعدادات المخزون'!$B$11),'مبيعات يومية'!$A$2:$A$8001,"&lt;="&amp;'إعدادات المخزون'!$B$4)</f>
        <v>0</v>
      </c>
    </row>
    <row r="111" customFormat="false" ht="15" hidden="false" customHeight="false" outlineLevel="0" collapsed="false">
      <c r="A111" s="114" t="str">
        <f aca="false">المنيو!B111</f>
        <v>فطيرة سكر / كاستر صيامي</v>
      </c>
      <c r="B111" s="116" t="n">
        <f aca="false">SUMIFS('مبيعات يومية'!$D$2:$D$8001,'مبيعات يومية'!$C$2:$C$8001,$A111,'مبيعات يومية'!$B$2:$B$8001,'إعدادات المخزون'!$A$15,'مبيعات يومية'!$A$2:$A$8001,'إعدادات المخزون'!$B$4)</f>
        <v>0</v>
      </c>
      <c r="C111" s="116" t="n">
        <f aca="false">SUMIFS('مبيعات يومية'!$D$2:$D$8001,'مبيعات يومية'!$C$2:$C$8001,$A111,'مبيعات يومية'!$B$2:$B$8001,'إعدادات المخزون'!$A$15,'مبيعات يومية'!$A$2:$A$8001,"&gt;="&amp;'إعدادات المخزون'!$B$5,'مبيعات يومية'!$A$2:$A$8001,"&lt;="&amp;'إعدادات المخزون'!$B$4)</f>
        <v>0</v>
      </c>
      <c r="D111" s="116" t="n">
        <f aca="false">SUMIFS('مبيعات يومية'!$D$2:$D$8001,'مبيعات يومية'!$C$2:$C$8001,$A111,'مبيعات يومية'!$B$2:$B$8001,'إعدادات المخزون'!$A$15,'مبيعات يومية'!$A$2:$A$8001,"&gt;"&amp;('إعدادات المخزون'!$B$4-'إعدادات المخزون'!$B$11),'مبيعات يومية'!$A$2:$A$8001,"&lt;="&amp;'إعدادات المخزون'!$B$4)</f>
        <v>0</v>
      </c>
      <c r="E111" s="116" t="n">
        <f aca="false">SUMIFS('مبيعات يومية'!$D$2:$D$8001,'مبيعات يومية'!$C$2:$C$8001,$A111,'مبيعات يومية'!$B$2:$B$8001,'إعدادات المخزون'!$A$16,'مبيعات يومية'!$A$2:$A$8001,'إعدادات المخزون'!$B$4)</f>
        <v>0</v>
      </c>
      <c r="F111" s="116" t="n">
        <f aca="false">SUMIFS('مبيعات يومية'!$D$2:$D$8001,'مبيعات يومية'!$C$2:$C$8001,$A111,'مبيعات يومية'!$B$2:$B$8001,'إعدادات المخزون'!$A$16,'مبيعات يومية'!$A$2:$A$8001,"&gt;="&amp;'إعدادات المخزون'!$B$5,'مبيعات يومية'!$A$2:$A$8001,"&lt;="&amp;'إعدادات المخزون'!$B$4)</f>
        <v>0</v>
      </c>
      <c r="G111" s="116" t="n">
        <f aca="false">SUMIFS('مبيعات يومية'!$D$2:$D$8001,'مبيعات يومية'!$C$2:$C$8001,$A111,'مبيعات يومية'!$B$2:$B$8001,'إعدادات المخزون'!$A$16,'مبيعات يومية'!$A$2:$A$8001,"&gt;"&amp;('إعدادات المخزون'!$B$4-'إعدادات المخزون'!$B$11),'مبيعات يومية'!$A$2:$A$8001,"&lt;="&amp;'إعدادات المخزون'!$B$4)</f>
        <v>0</v>
      </c>
      <c r="H111" s="116" t="n">
        <f aca="false">SUMIFS('مبيعات يومية'!$D$2:$D$8001,'مبيعات يومية'!$C$2:$C$8001,$A111,'مبيعات يومية'!$B$2:$B$8001,'إعدادات المخزون'!$A$17,'مبيعات يومية'!$A$2:$A$8001,'إعدادات المخزون'!$B$4)</f>
        <v>0</v>
      </c>
      <c r="I111" s="116" t="n">
        <f aca="false">SUMIFS('مبيعات يومية'!$D$2:$D$8001,'مبيعات يومية'!$C$2:$C$8001,$A111,'مبيعات يومية'!$B$2:$B$8001,'إعدادات المخزون'!$A$17,'مبيعات يومية'!$A$2:$A$8001,"&gt;="&amp;'إعدادات المخزون'!$B$5,'مبيعات يومية'!$A$2:$A$8001,"&lt;="&amp;'إعدادات المخزون'!$B$4)</f>
        <v>0</v>
      </c>
      <c r="J111" s="116" t="n">
        <f aca="false">SUMIFS('مبيعات يومية'!$D$2:$D$8001,'مبيعات يومية'!$C$2:$C$8001,$A111,'مبيعات يومية'!$B$2:$B$8001,'إعدادات المخزون'!$A$17,'مبيعات يومية'!$A$2:$A$8001,"&gt;"&amp;('إعدادات المخزون'!$B$4-'إعدادات المخزون'!$B$11),'مبيعات يومية'!$A$2:$A$8001,"&lt;="&amp;'إعدادات المخزون'!$B$4)</f>
        <v>0</v>
      </c>
    </row>
    <row r="112" customFormat="false" ht="15" hidden="false" customHeight="false" outlineLevel="0" collapsed="false">
      <c r="A112" s="114" t="str">
        <f aca="false">المنيو!B112</f>
        <v>فطيرة ملوكي زبيب وجوزهند صيامي</v>
      </c>
      <c r="B112" s="116" t="n">
        <f aca="false">SUMIFS('مبيعات يومية'!$D$2:$D$8001,'مبيعات يومية'!$C$2:$C$8001,$A112,'مبيعات يومية'!$B$2:$B$8001,'إعدادات المخزون'!$A$15,'مبيعات يومية'!$A$2:$A$8001,'إعدادات المخزون'!$B$4)</f>
        <v>0</v>
      </c>
      <c r="C112" s="116" t="n">
        <f aca="false">SUMIFS('مبيعات يومية'!$D$2:$D$8001,'مبيعات يومية'!$C$2:$C$8001,$A112,'مبيعات يومية'!$B$2:$B$8001,'إعدادات المخزون'!$A$15,'مبيعات يومية'!$A$2:$A$8001,"&gt;="&amp;'إعدادات المخزون'!$B$5,'مبيعات يومية'!$A$2:$A$8001,"&lt;="&amp;'إعدادات المخزون'!$B$4)</f>
        <v>0</v>
      </c>
      <c r="D112" s="116" t="n">
        <f aca="false">SUMIFS('مبيعات يومية'!$D$2:$D$8001,'مبيعات يومية'!$C$2:$C$8001,$A112,'مبيعات يومية'!$B$2:$B$8001,'إعدادات المخزون'!$A$15,'مبيعات يومية'!$A$2:$A$8001,"&gt;"&amp;('إعدادات المخزون'!$B$4-'إعدادات المخزون'!$B$11),'مبيعات يومية'!$A$2:$A$8001,"&lt;="&amp;'إعدادات المخزون'!$B$4)</f>
        <v>0</v>
      </c>
      <c r="E112" s="116" t="n">
        <f aca="false">SUMIFS('مبيعات يومية'!$D$2:$D$8001,'مبيعات يومية'!$C$2:$C$8001,$A112,'مبيعات يومية'!$B$2:$B$8001,'إعدادات المخزون'!$A$16,'مبيعات يومية'!$A$2:$A$8001,'إعدادات المخزون'!$B$4)</f>
        <v>0</v>
      </c>
      <c r="F112" s="116" t="n">
        <f aca="false">SUMIFS('مبيعات يومية'!$D$2:$D$8001,'مبيعات يومية'!$C$2:$C$8001,$A112,'مبيعات يومية'!$B$2:$B$8001,'إعدادات المخزون'!$A$16,'مبيعات يومية'!$A$2:$A$8001,"&gt;="&amp;'إعدادات المخزون'!$B$5,'مبيعات يومية'!$A$2:$A$8001,"&lt;="&amp;'إعدادات المخزون'!$B$4)</f>
        <v>0</v>
      </c>
      <c r="G112" s="116" t="n">
        <f aca="false">SUMIFS('مبيعات يومية'!$D$2:$D$8001,'مبيعات يومية'!$C$2:$C$8001,$A112,'مبيعات يومية'!$B$2:$B$8001,'إعدادات المخزون'!$A$16,'مبيعات يومية'!$A$2:$A$8001,"&gt;"&amp;('إعدادات المخزون'!$B$4-'إعدادات المخزون'!$B$11),'مبيعات يومية'!$A$2:$A$8001,"&lt;="&amp;'إعدادات المخزون'!$B$4)</f>
        <v>0</v>
      </c>
      <c r="H112" s="116" t="n">
        <f aca="false">SUMIFS('مبيعات يومية'!$D$2:$D$8001,'مبيعات يومية'!$C$2:$C$8001,$A112,'مبيعات يومية'!$B$2:$B$8001,'إعدادات المخزون'!$A$17,'مبيعات يومية'!$A$2:$A$8001,'إعدادات المخزون'!$B$4)</f>
        <v>0</v>
      </c>
      <c r="I112" s="116" t="n">
        <f aca="false">SUMIFS('مبيعات يومية'!$D$2:$D$8001,'مبيعات يومية'!$C$2:$C$8001,$A112,'مبيعات يومية'!$B$2:$B$8001,'إعدادات المخزون'!$A$17,'مبيعات يومية'!$A$2:$A$8001,"&gt;="&amp;'إعدادات المخزون'!$B$5,'مبيعات يومية'!$A$2:$A$8001,"&lt;="&amp;'إعدادات المخزون'!$B$4)</f>
        <v>0</v>
      </c>
      <c r="J112" s="116" t="n">
        <f aca="false">SUMIFS('مبيعات يومية'!$D$2:$D$8001,'مبيعات يومية'!$C$2:$C$8001,$A112,'مبيعات يومية'!$B$2:$B$8001,'إعدادات المخزون'!$A$17,'مبيعات يومية'!$A$2:$A$8001,"&gt;"&amp;('إعدادات المخزون'!$B$4-'إعدادات المخزون'!$B$11),'مبيعات يومية'!$A$2:$A$8001,"&lt;="&amp;'إعدادات المخزون'!$B$4)</f>
        <v>0</v>
      </c>
    </row>
    <row r="113" customFormat="false" ht="15" hidden="false" customHeight="false" outlineLevel="0" collapsed="false">
      <c r="A113" s="114" t="str">
        <f aca="false">المنيو!B113</f>
        <v>فطيرة شيكولاتة صيامي</v>
      </c>
      <c r="B113" s="116" t="n">
        <f aca="false">SUMIFS('مبيعات يومية'!$D$2:$D$8001,'مبيعات يومية'!$C$2:$C$8001,$A113,'مبيعات يومية'!$B$2:$B$8001,'إعدادات المخزون'!$A$15,'مبيعات يومية'!$A$2:$A$8001,'إعدادات المخزون'!$B$4)</f>
        <v>0</v>
      </c>
      <c r="C113" s="116" t="n">
        <f aca="false">SUMIFS('مبيعات يومية'!$D$2:$D$8001,'مبيعات يومية'!$C$2:$C$8001,$A113,'مبيعات يومية'!$B$2:$B$8001,'إعدادات المخزون'!$A$15,'مبيعات يومية'!$A$2:$A$8001,"&gt;="&amp;'إعدادات المخزون'!$B$5,'مبيعات يومية'!$A$2:$A$8001,"&lt;="&amp;'إعدادات المخزون'!$B$4)</f>
        <v>0</v>
      </c>
      <c r="D113" s="116" t="n">
        <f aca="false">SUMIFS('مبيعات يومية'!$D$2:$D$8001,'مبيعات يومية'!$C$2:$C$8001,$A113,'مبيعات يومية'!$B$2:$B$8001,'إعدادات المخزون'!$A$15,'مبيعات يومية'!$A$2:$A$8001,"&gt;"&amp;('إعدادات المخزون'!$B$4-'إعدادات المخزون'!$B$11),'مبيعات يومية'!$A$2:$A$8001,"&lt;="&amp;'إعدادات المخزون'!$B$4)</f>
        <v>0</v>
      </c>
      <c r="E113" s="116" t="n">
        <f aca="false">SUMIFS('مبيعات يومية'!$D$2:$D$8001,'مبيعات يومية'!$C$2:$C$8001,$A113,'مبيعات يومية'!$B$2:$B$8001,'إعدادات المخزون'!$A$16,'مبيعات يومية'!$A$2:$A$8001,'إعدادات المخزون'!$B$4)</f>
        <v>0</v>
      </c>
      <c r="F113" s="116" t="n">
        <f aca="false">SUMIFS('مبيعات يومية'!$D$2:$D$8001,'مبيعات يومية'!$C$2:$C$8001,$A113,'مبيعات يومية'!$B$2:$B$8001,'إعدادات المخزون'!$A$16,'مبيعات يومية'!$A$2:$A$8001,"&gt;="&amp;'إعدادات المخزون'!$B$5,'مبيعات يومية'!$A$2:$A$8001,"&lt;="&amp;'إعدادات المخزون'!$B$4)</f>
        <v>0</v>
      </c>
      <c r="G113" s="116" t="n">
        <f aca="false">SUMIFS('مبيعات يومية'!$D$2:$D$8001,'مبيعات يومية'!$C$2:$C$8001,$A113,'مبيعات يومية'!$B$2:$B$8001,'إعدادات المخزون'!$A$16,'مبيعات يومية'!$A$2:$A$8001,"&gt;"&amp;('إعدادات المخزون'!$B$4-'إعدادات المخزون'!$B$11),'مبيعات يومية'!$A$2:$A$8001,"&lt;="&amp;'إعدادات المخزون'!$B$4)</f>
        <v>0</v>
      </c>
      <c r="H113" s="116" t="n">
        <f aca="false">SUMIFS('مبيعات يومية'!$D$2:$D$8001,'مبيعات يومية'!$C$2:$C$8001,$A113,'مبيعات يومية'!$B$2:$B$8001,'إعدادات المخزون'!$A$17,'مبيعات يومية'!$A$2:$A$8001,'إعدادات المخزون'!$B$4)</f>
        <v>0</v>
      </c>
      <c r="I113" s="116" t="n">
        <f aca="false">SUMIFS('مبيعات يومية'!$D$2:$D$8001,'مبيعات يومية'!$C$2:$C$8001,$A113,'مبيعات يومية'!$B$2:$B$8001,'إعدادات المخزون'!$A$17,'مبيعات يومية'!$A$2:$A$8001,"&gt;="&amp;'إعدادات المخزون'!$B$5,'مبيعات يومية'!$A$2:$A$8001,"&lt;="&amp;'إعدادات المخزون'!$B$4)</f>
        <v>0</v>
      </c>
      <c r="J113" s="116" t="n">
        <f aca="false">SUMIFS('مبيعات يومية'!$D$2:$D$8001,'مبيعات يومية'!$C$2:$C$8001,$A113,'مبيعات يومية'!$B$2:$B$8001,'إعدادات المخزون'!$A$17,'مبيعات يومية'!$A$2:$A$8001,"&gt;"&amp;('إعدادات المخزون'!$B$4-'إعدادات المخزون'!$B$11),'مبيعات يومية'!$A$2:$A$8001,"&lt;="&amp;'إعدادات المخزون'!$B$4)</f>
        <v>0</v>
      </c>
    </row>
    <row r="114" customFormat="false" ht="15" hidden="false" customHeight="false" outlineLevel="0" collapsed="false">
      <c r="A114" s="114" t="str">
        <f aca="false">المنيو!B114</f>
        <v>فطيرة لوتس صيامي</v>
      </c>
      <c r="B114" s="116" t="n">
        <f aca="false">SUMIFS('مبيعات يومية'!$D$2:$D$8001,'مبيعات يومية'!$C$2:$C$8001,$A114,'مبيعات يومية'!$B$2:$B$8001,'إعدادات المخزون'!$A$15,'مبيعات يومية'!$A$2:$A$8001,'إعدادات المخزون'!$B$4)</f>
        <v>0</v>
      </c>
      <c r="C114" s="116" t="n">
        <f aca="false">SUMIFS('مبيعات يومية'!$D$2:$D$8001,'مبيعات يومية'!$C$2:$C$8001,$A114,'مبيعات يومية'!$B$2:$B$8001,'إعدادات المخزون'!$A$15,'مبيعات يومية'!$A$2:$A$8001,"&gt;="&amp;'إعدادات المخزون'!$B$5,'مبيعات يومية'!$A$2:$A$8001,"&lt;="&amp;'إعدادات المخزون'!$B$4)</f>
        <v>0</v>
      </c>
      <c r="D114" s="116" t="n">
        <f aca="false">SUMIFS('مبيعات يومية'!$D$2:$D$8001,'مبيعات يومية'!$C$2:$C$8001,$A114,'مبيعات يومية'!$B$2:$B$8001,'إعدادات المخزون'!$A$15,'مبيعات يومية'!$A$2:$A$8001,"&gt;"&amp;('إعدادات المخزون'!$B$4-'إعدادات المخزون'!$B$11),'مبيعات يومية'!$A$2:$A$8001,"&lt;="&amp;'إعدادات المخزون'!$B$4)</f>
        <v>0</v>
      </c>
      <c r="E114" s="116" t="n">
        <f aca="false">SUMIFS('مبيعات يومية'!$D$2:$D$8001,'مبيعات يومية'!$C$2:$C$8001,$A114,'مبيعات يومية'!$B$2:$B$8001,'إعدادات المخزون'!$A$16,'مبيعات يومية'!$A$2:$A$8001,'إعدادات المخزون'!$B$4)</f>
        <v>0</v>
      </c>
      <c r="F114" s="116" t="n">
        <f aca="false">SUMIFS('مبيعات يومية'!$D$2:$D$8001,'مبيعات يومية'!$C$2:$C$8001,$A114,'مبيعات يومية'!$B$2:$B$8001,'إعدادات المخزون'!$A$16,'مبيعات يومية'!$A$2:$A$8001,"&gt;="&amp;'إعدادات المخزون'!$B$5,'مبيعات يومية'!$A$2:$A$8001,"&lt;="&amp;'إعدادات المخزون'!$B$4)</f>
        <v>0</v>
      </c>
      <c r="G114" s="116" t="n">
        <f aca="false">SUMIFS('مبيعات يومية'!$D$2:$D$8001,'مبيعات يومية'!$C$2:$C$8001,$A114,'مبيعات يومية'!$B$2:$B$8001,'إعدادات المخزون'!$A$16,'مبيعات يومية'!$A$2:$A$8001,"&gt;"&amp;('إعدادات المخزون'!$B$4-'إعدادات المخزون'!$B$11),'مبيعات يومية'!$A$2:$A$8001,"&lt;="&amp;'إعدادات المخزون'!$B$4)</f>
        <v>0</v>
      </c>
      <c r="H114" s="116" t="n">
        <f aca="false">SUMIFS('مبيعات يومية'!$D$2:$D$8001,'مبيعات يومية'!$C$2:$C$8001,$A114,'مبيعات يومية'!$B$2:$B$8001,'إعدادات المخزون'!$A$17,'مبيعات يومية'!$A$2:$A$8001,'إعدادات المخزون'!$B$4)</f>
        <v>0</v>
      </c>
      <c r="I114" s="116" t="n">
        <f aca="false">SUMIFS('مبيعات يومية'!$D$2:$D$8001,'مبيعات يومية'!$C$2:$C$8001,$A114,'مبيعات يومية'!$B$2:$B$8001,'إعدادات المخزون'!$A$17,'مبيعات يومية'!$A$2:$A$8001,"&gt;="&amp;'إعدادات المخزون'!$B$5,'مبيعات يومية'!$A$2:$A$8001,"&lt;="&amp;'إعدادات المخزون'!$B$4)</f>
        <v>0</v>
      </c>
      <c r="J114" s="116" t="n">
        <f aca="false">SUMIFS('مبيعات يومية'!$D$2:$D$8001,'مبيعات يومية'!$C$2:$C$8001,$A114,'مبيعات يومية'!$B$2:$B$8001,'إعدادات المخزون'!$A$17,'مبيعات يومية'!$A$2:$A$8001,"&gt;"&amp;('إعدادات المخزون'!$B$4-'إعدادات المخزون'!$B$11),'مبيعات يومية'!$A$2:$A$8001,"&lt;="&amp;'إعدادات المخزون'!$B$4)</f>
        <v>0</v>
      </c>
    </row>
    <row r="115" customFormat="false" ht="15" hidden="false" customHeight="false" outlineLevel="0" collapsed="false">
      <c r="A115" s="114" t="str">
        <f aca="false">المنيو!B115</f>
        <v>قنبلة برجر صيامي</v>
      </c>
      <c r="B115" s="116" t="n">
        <f aca="false">SUMIFS('مبيعات يومية'!$D$2:$D$8001,'مبيعات يومية'!$C$2:$C$8001,$A115,'مبيعات يومية'!$B$2:$B$8001,'إعدادات المخزون'!$A$15,'مبيعات يومية'!$A$2:$A$8001,'إعدادات المخزون'!$B$4)</f>
        <v>0</v>
      </c>
      <c r="C115" s="116" t="n">
        <f aca="false">SUMIFS('مبيعات يومية'!$D$2:$D$8001,'مبيعات يومية'!$C$2:$C$8001,$A115,'مبيعات يومية'!$B$2:$B$8001,'إعدادات المخزون'!$A$15,'مبيعات يومية'!$A$2:$A$8001,"&gt;="&amp;'إعدادات المخزون'!$B$5,'مبيعات يومية'!$A$2:$A$8001,"&lt;="&amp;'إعدادات المخزون'!$B$4)</f>
        <v>0</v>
      </c>
      <c r="D115" s="116" t="n">
        <f aca="false">SUMIFS('مبيعات يومية'!$D$2:$D$8001,'مبيعات يومية'!$C$2:$C$8001,$A115,'مبيعات يومية'!$B$2:$B$8001,'إعدادات المخزون'!$A$15,'مبيعات يومية'!$A$2:$A$8001,"&gt;"&amp;('إعدادات المخزون'!$B$4-'إعدادات المخزون'!$B$11),'مبيعات يومية'!$A$2:$A$8001,"&lt;="&amp;'إعدادات المخزون'!$B$4)</f>
        <v>0</v>
      </c>
      <c r="E115" s="116" t="n">
        <f aca="false">SUMIFS('مبيعات يومية'!$D$2:$D$8001,'مبيعات يومية'!$C$2:$C$8001,$A115,'مبيعات يومية'!$B$2:$B$8001,'إعدادات المخزون'!$A$16,'مبيعات يومية'!$A$2:$A$8001,'إعدادات المخزون'!$B$4)</f>
        <v>0</v>
      </c>
      <c r="F115" s="116" t="n">
        <f aca="false">SUMIFS('مبيعات يومية'!$D$2:$D$8001,'مبيعات يومية'!$C$2:$C$8001,$A115,'مبيعات يومية'!$B$2:$B$8001,'إعدادات المخزون'!$A$16,'مبيعات يومية'!$A$2:$A$8001,"&gt;="&amp;'إعدادات المخزون'!$B$5,'مبيعات يومية'!$A$2:$A$8001,"&lt;="&amp;'إعدادات المخزون'!$B$4)</f>
        <v>0</v>
      </c>
      <c r="G115" s="116" t="n">
        <f aca="false">SUMIFS('مبيعات يومية'!$D$2:$D$8001,'مبيعات يومية'!$C$2:$C$8001,$A115,'مبيعات يومية'!$B$2:$B$8001,'إعدادات المخزون'!$A$16,'مبيعات يومية'!$A$2:$A$8001,"&gt;"&amp;('إعدادات المخزون'!$B$4-'إعدادات المخزون'!$B$11),'مبيعات يومية'!$A$2:$A$8001,"&lt;="&amp;'إعدادات المخزون'!$B$4)</f>
        <v>0</v>
      </c>
      <c r="H115" s="116" t="n">
        <f aca="false">SUMIFS('مبيعات يومية'!$D$2:$D$8001,'مبيعات يومية'!$C$2:$C$8001,$A115,'مبيعات يومية'!$B$2:$B$8001,'إعدادات المخزون'!$A$17,'مبيعات يومية'!$A$2:$A$8001,'إعدادات المخزون'!$B$4)</f>
        <v>0</v>
      </c>
      <c r="I115" s="116" t="n">
        <f aca="false">SUMIFS('مبيعات يومية'!$D$2:$D$8001,'مبيعات يومية'!$C$2:$C$8001,$A115,'مبيعات يومية'!$B$2:$B$8001,'إعدادات المخزون'!$A$17,'مبيعات يومية'!$A$2:$A$8001,"&gt;="&amp;'إعدادات المخزون'!$B$5,'مبيعات يومية'!$A$2:$A$8001,"&lt;="&amp;'إعدادات المخزون'!$B$4)</f>
        <v>0</v>
      </c>
      <c r="J115" s="116" t="n">
        <f aca="false">SUMIFS('مبيعات يومية'!$D$2:$D$8001,'مبيعات يومية'!$C$2:$C$8001,$A115,'مبيعات يومية'!$B$2:$B$8001,'إعدادات المخزون'!$A$17,'مبيعات يومية'!$A$2:$A$8001,"&gt;"&amp;('إعدادات المخزون'!$B$4-'إعدادات المخزون'!$B$11),'مبيعات يومية'!$A$2:$A$8001,"&lt;="&amp;'إعدادات المخزون'!$B$4)</f>
        <v>0</v>
      </c>
    </row>
    <row r="116" customFormat="false" ht="15" hidden="false" customHeight="false" outlineLevel="0" collapsed="false">
      <c r="A116" s="114" t="str">
        <f aca="false">المنيو!B116</f>
        <v>قنبلة كريسبي صيامي</v>
      </c>
      <c r="B116" s="116" t="n">
        <f aca="false">SUMIFS('مبيعات يومية'!$D$2:$D$8001,'مبيعات يومية'!$C$2:$C$8001,$A116,'مبيعات يومية'!$B$2:$B$8001,'إعدادات المخزون'!$A$15,'مبيعات يومية'!$A$2:$A$8001,'إعدادات المخزون'!$B$4)</f>
        <v>0</v>
      </c>
      <c r="C116" s="116" t="n">
        <f aca="false">SUMIFS('مبيعات يومية'!$D$2:$D$8001,'مبيعات يومية'!$C$2:$C$8001,$A116,'مبيعات يومية'!$B$2:$B$8001,'إعدادات المخزون'!$A$15,'مبيعات يومية'!$A$2:$A$8001,"&gt;="&amp;'إعدادات المخزون'!$B$5,'مبيعات يومية'!$A$2:$A$8001,"&lt;="&amp;'إعدادات المخزون'!$B$4)</f>
        <v>0</v>
      </c>
      <c r="D116" s="116" t="n">
        <f aca="false">SUMIFS('مبيعات يومية'!$D$2:$D$8001,'مبيعات يومية'!$C$2:$C$8001,$A116,'مبيعات يومية'!$B$2:$B$8001,'إعدادات المخزون'!$A$15,'مبيعات يومية'!$A$2:$A$8001,"&gt;"&amp;('إعدادات المخزون'!$B$4-'إعدادات المخزون'!$B$11),'مبيعات يومية'!$A$2:$A$8001,"&lt;="&amp;'إعدادات المخزون'!$B$4)</f>
        <v>0</v>
      </c>
      <c r="E116" s="116" t="n">
        <f aca="false">SUMIFS('مبيعات يومية'!$D$2:$D$8001,'مبيعات يومية'!$C$2:$C$8001,$A116,'مبيعات يومية'!$B$2:$B$8001,'إعدادات المخزون'!$A$16,'مبيعات يومية'!$A$2:$A$8001,'إعدادات المخزون'!$B$4)</f>
        <v>0</v>
      </c>
      <c r="F116" s="116" t="n">
        <f aca="false">SUMIFS('مبيعات يومية'!$D$2:$D$8001,'مبيعات يومية'!$C$2:$C$8001,$A116,'مبيعات يومية'!$B$2:$B$8001,'إعدادات المخزون'!$A$16,'مبيعات يومية'!$A$2:$A$8001,"&gt;="&amp;'إعدادات المخزون'!$B$5,'مبيعات يومية'!$A$2:$A$8001,"&lt;="&amp;'إعدادات المخزون'!$B$4)</f>
        <v>0</v>
      </c>
      <c r="G116" s="116" t="n">
        <f aca="false">SUMIFS('مبيعات يومية'!$D$2:$D$8001,'مبيعات يومية'!$C$2:$C$8001,$A116,'مبيعات يومية'!$B$2:$B$8001,'إعدادات المخزون'!$A$16,'مبيعات يومية'!$A$2:$A$8001,"&gt;"&amp;('إعدادات المخزون'!$B$4-'إعدادات المخزون'!$B$11),'مبيعات يومية'!$A$2:$A$8001,"&lt;="&amp;'إعدادات المخزون'!$B$4)</f>
        <v>0</v>
      </c>
      <c r="H116" s="116" t="n">
        <f aca="false">SUMIFS('مبيعات يومية'!$D$2:$D$8001,'مبيعات يومية'!$C$2:$C$8001,$A116,'مبيعات يومية'!$B$2:$B$8001,'إعدادات المخزون'!$A$17,'مبيعات يومية'!$A$2:$A$8001,'إعدادات المخزون'!$B$4)</f>
        <v>0</v>
      </c>
      <c r="I116" s="116" t="n">
        <f aca="false">SUMIFS('مبيعات يومية'!$D$2:$D$8001,'مبيعات يومية'!$C$2:$C$8001,$A116,'مبيعات يومية'!$B$2:$B$8001,'إعدادات المخزون'!$A$17,'مبيعات يومية'!$A$2:$A$8001,"&gt;="&amp;'إعدادات المخزون'!$B$5,'مبيعات يومية'!$A$2:$A$8001,"&lt;="&amp;'إعدادات المخزون'!$B$4)</f>
        <v>0</v>
      </c>
      <c r="J116" s="116" t="n">
        <f aca="false">SUMIFS('مبيعات يومية'!$D$2:$D$8001,'مبيعات يومية'!$C$2:$C$8001,$A116,'مبيعات يومية'!$B$2:$B$8001,'إعدادات المخزون'!$A$17,'مبيعات يومية'!$A$2:$A$8001,"&gt;"&amp;('إعدادات المخزون'!$B$4-'إعدادات المخزون'!$B$11),'مبيعات يومية'!$A$2:$A$8001,"&lt;="&amp;'إعدادات المخزون'!$B$4)</f>
        <v>0</v>
      </c>
    </row>
    <row r="117" customFormat="false" ht="15" hidden="false" customHeight="false" outlineLevel="0" collapsed="false">
      <c r="A117" s="114" t="str">
        <f aca="false">المنيو!B117</f>
        <v>بهججة بيتزا برجر صيامي</v>
      </c>
      <c r="B117" s="116" t="n">
        <f aca="false">SUMIFS('مبيعات يومية'!$D$2:$D$8001,'مبيعات يومية'!$C$2:$C$8001,$A117,'مبيعات يومية'!$B$2:$B$8001,'إعدادات المخزون'!$A$15,'مبيعات يومية'!$A$2:$A$8001,'إعدادات المخزون'!$B$4)</f>
        <v>0</v>
      </c>
      <c r="C117" s="116" t="n">
        <f aca="false">SUMIFS('مبيعات يومية'!$D$2:$D$8001,'مبيعات يومية'!$C$2:$C$8001,$A117,'مبيعات يومية'!$B$2:$B$8001,'إعدادات المخزون'!$A$15,'مبيعات يومية'!$A$2:$A$8001,"&gt;="&amp;'إعدادات المخزون'!$B$5,'مبيعات يومية'!$A$2:$A$8001,"&lt;="&amp;'إعدادات المخزون'!$B$4)</f>
        <v>0</v>
      </c>
      <c r="D117" s="116" t="n">
        <f aca="false">SUMIFS('مبيعات يومية'!$D$2:$D$8001,'مبيعات يومية'!$C$2:$C$8001,$A117,'مبيعات يومية'!$B$2:$B$8001,'إعدادات المخزون'!$A$15,'مبيعات يومية'!$A$2:$A$8001,"&gt;"&amp;('إعدادات المخزون'!$B$4-'إعدادات المخزون'!$B$11),'مبيعات يومية'!$A$2:$A$8001,"&lt;="&amp;'إعدادات المخزون'!$B$4)</f>
        <v>0</v>
      </c>
      <c r="E117" s="116" t="n">
        <f aca="false">SUMIFS('مبيعات يومية'!$D$2:$D$8001,'مبيعات يومية'!$C$2:$C$8001,$A117,'مبيعات يومية'!$B$2:$B$8001,'إعدادات المخزون'!$A$16,'مبيعات يومية'!$A$2:$A$8001,'إعدادات المخزون'!$B$4)</f>
        <v>0</v>
      </c>
      <c r="F117" s="116" t="n">
        <f aca="false">SUMIFS('مبيعات يومية'!$D$2:$D$8001,'مبيعات يومية'!$C$2:$C$8001,$A117,'مبيعات يومية'!$B$2:$B$8001,'إعدادات المخزون'!$A$16,'مبيعات يومية'!$A$2:$A$8001,"&gt;="&amp;'إعدادات المخزون'!$B$5,'مبيعات يومية'!$A$2:$A$8001,"&lt;="&amp;'إعدادات المخزون'!$B$4)</f>
        <v>0</v>
      </c>
      <c r="G117" s="116" t="n">
        <f aca="false">SUMIFS('مبيعات يومية'!$D$2:$D$8001,'مبيعات يومية'!$C$2:$C$8001,$A117,'مبيعات يومية'!$B$2:$B$8001,'إعدادات المخزون'!$A$16,'مبيعات يومية'!$A$2:$A$8001,"&gt;"&amp;('إعدادات المخزون'!$B$4-'إعدادات المخزون'!$B$11),'مبيعات يومية'!$A$2:$A$8001,"&lt;="&amp;'إعدادات المخزون'!$B$4)</f>
        <v>0</v>
      </c>
      <c r="H117" s="116" t="n">
        <f aca="false">SUMIFS('مبيعات يومية'!$D$2:$D$8001,'مبيعات يومية'!$C$2:$C$8001,$A117,'مبيعات يومية'!$B$2:$B$8001,'إعدادات المخزون'!$A$17,'مبيعات يومية'!$A$2:$A$8001,'إعدادات المخزون'!$B$4)</f>
        <v>0</v>
      </c>
      <c r="I117" s="116" t="n">
        <f aca="false">SUMIFS('مبيعات يومية'!$D$2:$D$8001,'مبيعات يومية'!$C$2:$C$8001,$A117,'مبيعات يومية'!$B$2:$B$8001,'إعدادات المخزون'!$A$17,'مبيعات يومية'!$A$2:$A$8001,"&gt;="&amp;'إعدادات المخزون'!$B$5,'مبيعات يومية'!$A$2:$A$8001,"&lt;="&amp;'إعدادات المخزون'!$B$4)</f>
        <v>0</v>
      </c>
      <c r="J117" s="116" t="n">
        <f aca="false">SUMIFS('مبيعات يومية'!$D$2:$D$8001,'مبيعات يومية'!$C$2:$C$8001,$A117,'مبيعات يومية'!$B$2:$B$8001,'إعدادات المخزون'!$A$17,'مبيعات يومية'!$A$2:$A$8001,"&gt;"&amp;('إعدادات المخزون'!$B$4-'إعدادات المخزون'!$B$11),'مبيعات يومية'!$A$2:$A$8001,"&lt;="&amp;'إعدادات المخزون'!$B$4)</f>
        <v>0</v>
      </c>
    </row>
    <row r="118" customFormat="false" ht="15" hidden="false" customHeight="false" outlineLevel="0" collapsed="false">
      <c r="A118" s="114" t="str">
        <f aca="false">المنيو!B118</f>
        <v>بهججة كريسبي صيامي</v>
      </c>
      <c r="B118" s="116" t="n">
        <f aca="false">SUMIFS('مبيعات يومية'!$D$2:$D$8001,'مبيعات يومية'!$C$2:$C$8001,$A118,'مبيعات يومية'!$B$2:$B$8001,'إعدادات المخزون'!$A$15,'مبيعات يومية'!$A$2:$A$8001,'إعدادات المخزون'!$B$4)</f>
        <v>0</v>
      </c>
      <c r="C118" s="116" t="n">
        <f aca="false">SUMIFS('مبيعات يومية'!$D$2:$D$8001,'مبيعات يومية'!$C$2:$C$8001,$A118,'مبيعات يومية'!$B$2:$B$8001,'إعدادات المخزون'!$A$15,'مبيعات يومية'!$A$2:$A$8001,"&gt;="&amp;'إعدادات المخزون'!$B$5,'مبيعات يومية'!$A$2:$A$8001,"&lt;="&amp;'إعدادات المخزون'!$B$4)</f>
        <v>0</v>
      </c>
      <c r="D118" s="116" t="n">
        <f aca="false">SUMIFS('مبيعات يومية'!$D$2:$D$8001,'مبيعات يومية'!$C$2:$C$8001,$A118,'مبيعات يومية'!$B$2:$B$8001,'إعدادات المخزون'!$A$15,'مبيعات يومية'!$A$2:$A$8001,"&gt;"&amp;('إعدادات المخزون'!$B$4-'إعدادات المخزون'!$B$11),'مبيعات يومية'!$A$2:$A$8001,"&lt;="&amp;'إعدادات المخزون'!$B$4)</f>
        <v>0</v>
      </c>
      <c r="E118" s="116" t="n">
        <f aca="false">SUMIFS('مبيعات يومية'!$D$2:$D$8001,'مبيعات يومية'!$C$2:$C$8001,$A118,'مبيعات يومية'!$B$2:$B$8001,'إعدادات المخزون'!$A$16,'مبيعات يومية'!$A$2:$A$8001,'إعدادات المخزون'!$B$4)</f>
        <v>0</v>
      </c>
      <c r="F118" s="116" t="n">
        <f aca="false">SUMIFS('مبيعات يومية'!$D$2:$D$8001,'مبيعات يومية'!$C$2:$C$8001,$A118,'مبيعات يومية'!$B$2:$B$8001,'إعدادات المخزون'!$A$16,'مبيعات يومية'!$A$2:$A$8001,"&gt;="&amp;'إعدادات المخزون'!$B$5,'مبيعات يومية'!$A$2:$A$8001,"&lt;="&amp;'إعدادات المخزون'!$B$4)</f>
        <v>0</v>
      </c>
      <c r="G118" s="116" t="n">
        <f aca="false">SUMIFS('مبيعات يومية'!$D$2:$D$8001,'مبيعات يومية'!$C$2:$C$8001,$A118,'مبيعات يومية'!$B$2:$B$8001,'إعدادات المخزون'!$A$16,'مبيعات يومية'!$A$2:$A$8001,"&gt;"&amp;('إعدادات المخزون'!$B$4-'إعدادات المخزون'!$B$11),'مبيعات يومية'!$A$2:$A$8001,"&lt;="&amp;'إعدادات المخزون'!$B$4)</f>
        <v>0</v>
      </c>
      <c r="H118" s="116" t="n">
        <f aca="false">SUMIFS('مبيعات يومية'!$D$2:$D$8001,'مبيعات يومية'!$C$2:$C$8001,$A118,'مبيعات يومية'!$B$2:$B$8001,'إعدادات المخزون'!$A$17,'مبيعات يومية'!$A$2:$A$8001,'إعدادات المخزون'!$B$4)</f>
        <v>0</v>
      </c>
      <c r="I118" s="116" t="n">
        <f aca="false">SUMIFS('مبيعات يومية'!$D$2:$D$8001,'مبيعات يومية'!$C$2:$C$8001,$A118,'مبيعات يومية'!$B$2:$B$8001,'إعدادات المخزون'!$A$17,'مبيعات يومية'!$A$2:$A$8001,"&gt;="&amp;'إعدادات المخزون'!$B$5,'مبيعات يومية'!$A$2:$A$8001,"&lt;="&amp;'إعدادات المخزون'!$B$4)</f>
        <v>0</v>
      </c>
      <c r="J118" s="116" t="n">
        <f aca="false">SUMIFS('مبيعات يومية'!$D$2:$D$8001,'مبيعات يومية'!$C$2:$C$8001,$A118,'مبيعات يومية'!$B$2:$B$8001,'إعدادات المخزون'!$A$17,'مبيعات يومية'!$A$2:$A$8001,"&gt;"&amp;('إعدادات المخزون'!$B$4-'إعدادات المخزون'!$B$11),'مبيعات يومية'!$A$2:$A$8001,"&lt;="&amp;'إعدادات المخزون'!$B$4)</f>
        <v>0</v>
      </c>
    </row>
    <row r="119" customFormat="false" ht="15" hidden="false" customHeight="false" outlineLevel="0" collapsed="false">
      <c r="A119" s="114" t="str">
        <f aca="false">المنيو!B119</f>
        <v>مكرونة صوص ابيض خضروات صيامي</v>
      </c>
      <c r="B119" s="116" t="n">
        <f aca="false">SUMIFS('مبيعات يومية'!$D$2:$D$8001,'مبيعات يومية'!$C$2:$C$8001,$A119,'مبيعات يومية'!$B$2:$B$8001,'إعدادات المخزون'!$A$15,'مبيعات يومية'!$A$2:$A$8001,'إعدادات المخزون'!$B$4)</f>
        <v>0</v>
      </c>
      <c r="C119" s="116" t="n">
        <f aca="false">SUMIFS('مبيعات يومية'!$D$2:$D$8001,'مبيعات يومية'!$C$2:$C$8001,$A119,'مبيعات يومية'!$B$2:$B$8001,'إعدادات المخزون'!$A$15,'مبيعات يومية'!$A$2:$A$8001,"&gt;="&amp;'إعدادات المخزون'!$B$5,'مبيعات يومية'!$A$2:$A$8001,"&lt;="&amp;'إعدادات المخزون'!$B$4)</f>
        <v>0</v>
      </c>
      <c r="D119" s="116" t="n">
        <f aca="false">SUMIFS('مبيعات يومية'!$D$2:$D$8001,'مبيعات يومية'!$C$2:$C$8001,$A119,'مبيعات يومية'!$B$2:$B$8001,'إعدادات المخزون'!$A$15,'مبيعات يومية'!$A$2:$A$8001,"&gt;"&amp;('إعدادات المخزون'!$B$4-'إعدادات المخزون'!$B$11),'مبيعات يومية'!$A$2:$A$8001,"&lt;="&amp;'إعدادات المخزون'!$B$4)</f>
        <v>0</v>
      </c>
      <c r="E119" s="116" t="n">
        <f aca="false">SUMIFS('مبيعات يومية'!$D$2:$D$8001,'مبيعات يومية'!$C$2:$C$8001,$A119,'مبيعات يومية'!$B$2:$B$8001,'إعدادات المخزون'!$A$16,'مبيعات يومية'!$A$2:$A$8001,'إعدادات المخزون'!$B$4)</f>
        <v>0</v>
      </c>
      <c r="F119" s="116" t="n">
        <f aca="false">SUMIFS('مبيعات يومية'!$D$2:$D$8001,'مبيعات يومية'!$C$2:$C$8001,$A119,'مبيعات يومية'!$B$2:$B$8001,'إعدادات المخزون'!$A$16,'مبيعات يومية'!$A$2:$A$8001,"&gt;="&amp;'إعدادات المخزون'!$B$5,'مبيعات يومية'!$A$2:$A$8001,"&lt;="&amp;'إعدادات المخزون'!$B$4)</f>
        <v>0</v>
      </c>
      <c r="G119" s="116" t="n">
        <f aca="false">SUMIFS('مبيعات يومية'!$D$2:$D$8001,'مبيعات يومية'!$C$2:$C$8001,$A119,'مبيعات يومية'!$B$2:$B$8001,'إعدادات المخزون'!$A$16,'مبيعات يومية'!$A$2:$A$8001,"&gt;"&amp;('إعدادات المخزون'!$B$4-'إعدادات المخزون'!$B$11),'مبيعات يومية'!$A$2:$A$8001,"&lt;="&amp;'إعدادات المخزون'!$B$4)</f>
        <v>0</v>
      </c>
      <c r="H119" s="116" t="n">
        <f aca="false">SUMIFS('مبيعات يومية'!$D$2:$D$8001,'مبيعات يومية'!$C$2:$C$8001,$A119,'مبيعات يومية'!$B$2:$B$8001,'إعدادات المخزون'!$A$17,'مبيعات يومية'!$A$2:$A$8001,'إعدادات المخزون'!$B$4)</f>
        <v>0</v>
      </c>
      <c r="I119" s="116" t="n">
        <f aca="false">SUMIFS('مبيعات يومية'!$D$2:$D$8001,'مبيعات يومية'!$C$2:$C$8001,$A119,'مبيعات يومية'!$B$2:$B$8001,'إعدادات المخزون'!$A$17,'مبيعات يومية'!$A$2:$A$8001,"&gt;="&amp;'إعدادات المخزون'!$B$5,'مبيعات يومية'!$A$2:$A$8001,"&lt;="&amp;'إعدادات المخزون'!$B$4)</f>
        <v>0</v>
      </c>
      <c r="J119" s="116" t="n">
        <f aca="false">SUMIFS('مبيعات يومية'!$D$2:$D$8001,'مبيعات يومية'!$C$2:$C$8001,$A119,'مبيعات يومية'!$B$2:$B$8001,'إعدادات المخزون'!$A$17,'مبيعات يومية'!$A$2:$A$8001,"&gt;"&amp;('إعدادات المخزون'!$B$4-'إعدادات المخزون'!$B$11),'مبيعات يومية'!$A$2:$A$8001,"&lt;="&amp;'إعدادات المخزون'!$B$4)</f>
        <v>0</v>
      </c>
    </row>
    <row r="120" customFormat="false" ht="15" hidden="false" customHeight="false" outlineLevel="0" collapsed="false">
      <c r="A120" s="114" t="str">
        <f aca="false">المنيو!B120</f>
        <v>مكرونة مشروم صيامي</v>
      </c>
      <c r="B120" s="116" t="n">
        <f aca="false">SUMIFS('مبيعات يومية'!$D$2:$D$8001,'مبيعات يومية'!$C$2:$C$8001,$A120,'مبيعات يومية'!$B$2:$B$8001,'إعدادات المخزون'!$A$15,'مبيعات يومية'!$A$2:$A$8001,'إعدادات المخزون'!$B$4)</f>
        <v>0</v>
      </c>
      <c r="C120" s="116" t="n">
        <f aca="false">SUMIFS('مبيعات يومية'!$D$2:$D$8001,'مبيعات يومية'!$C$2:$C$8001,$A120,'مبيعات يومية'!$B$2:$B$8001,'إعدادات المخزون'!$A$15,'مبيعات يومية'!$A$2:$A$8001,"&gt;="&amp;'إعدادات المخزون'!$B$5,'مبيعات يومية'!$A$2:$A$8001,"&lt;="&amp;'إعدادات المخزون'!$B$4)</f>
        <v>0</v>
      </c>
      <c r="D120" s="116" t="n">
        <f aca="false">SUMIFS('مبيعات يومية'!$D$2:$D$8001,'مبيعات يومية'!$C$2:$C$8001,$A120,'مبيعات يومية'!$B$2:$B$8001,'إعدادات المخزون'!$A$15,'مبيعات يومية'!$A$2:$A$8001,"&gt;"&amp;('إعدادات المخزون'!$B$4-'إعدادات المخزون'!$B$11),'مبيعات يومية'!$A$2:$A$8001,"&lt;="&amp;'إعدادات المخزون'!$B$4)</f>
        <v>0</v>
      </c>
      <c r="E120" s="116" t="n">
        <f aca="false">SUMIFS('مبيعات يومية'!$D$2:$D$8001,'مبيعات يومية'!$C$2:$C$8001,$A120,'مبيعات يومية'!$B$2:$B$8001,'إعدادات المخزون'!$A$16,'مبيعات يومية'!$A$2:$A$8001,'إعدادات المخزون'!$B$4)</f>
        <v>0</v>
      </c>
      <c r="F120" s="116" t="n">
        <f aca="false">SUMIFS('مبيعات يومية'!$D$2:$D$8001,'مبيعات يومية'!$C$2:$C$8001,$A120,'مبيعات يومية'!$B$2:$B$8001,'إعدادات المخزون'!$A$16,'مبيعات يومية'!$A$2:$A$8001,"&gt;="&amp;'إعدادات المخزون'!$B$5,'مبيعات يومية'!$A$2:$A$8001,"&lt;="&amp;'إعدادات المخزون'!$B$4)</f>
        <v>0</v>
      </c>
      <c r="G120" s="116" t="n">
        <f aca="false">SUMIFS('مبيعات يومية'!$D$2:$D$8001,'مبيعات يومية'!$C$2:$C$8001,$A120,'مبيعات يومية'!$B$2:$B$8001,'إعدادات المخزون'!$A$16,'مبيعات يومية'!$A$2:$A$8001,"&gt;"&amp;('إعدادات المخزون'!$B$4-'إعدادات المخزون'!$B$11),'مبيعات يومية'!$A$2:$A$8001,"&lt;="&amp;'إعدادات المخزون'!$B$4)</f>
        <v>0</v>
      </c>
      <c r="H120" s="116" t="n">
        <f aca="false">SUMIFS('مبيعات يومية'!$D$2:$D$8001,'مبيعات يومية'!$C$2:$C$8001,$A120,'مبيعات يومية'!$B$2:$B$8001,'إعدادات المخزون'!$A$17,'مبيعات يومية'!$A$2:$A$8001,'إعدادات المخزون'!$B$4)</f>
        <v>0</v>
      </c>
      <c r="I120" s="116" t="n">
        <f aca="false">SUMIFS('مبيعات يومية'!$D$2:$D$8001,'مبيعات يومية'!$C$2:$C$8001,$A120,'مبيعات يومية'!$B$2:$B$8001,'إعدادات المخزون'!$A$17,'مبيعات يومية'!$A$2:$A$8001,"&gt;="&amp;'إعدادات المخزون'!$B$5,'مبيعات يومية'!$A$2:$A$8001,"&lt;="&amp;'إعدادات المخزون'!$B$4)</f>
        <v>0</v>
      </c>
      <c r="J120" s="116" t="n">
        <f aca="false">SUMIFS('مبيعات يومية'!$D$2:$D$8001,'مبيعات يومية'!$C$2:$C$8001,$A120,'مبيعات يومية'!$B$2:$B$8001,'إعدادات المخزون'!$A$17,'مبيعات يومية'!$A$2:$A$8001,"&gt;"&amp;('إعدادات المخزون'!$B$4-'إعدادات المخزون'!$B$11),'مبيعات يومية'!$A$2:$A$8001,"&lt;="&amp;'إعدادات المخزون'!$B$4)</f>
        <v>0</v>
      </c>
    </row>
    <row r="121" customFormat="false" ht="15" hidden="false" customHeight="false" outlineLevel="0" collapsed="false">
      <c r="A121" s="114" t="str">
        <f aca="false">المنيو!B121</f>
        <v>مكرونة سوسيس صيامي</v>
      </c>
      <c r="B121" s="116" t="n">
        <f aca="false">SUMIFS('مبيعات يومية'!$D$2:$D$8001,'مبيعات يومية'!$C$2:$C$8001,$A121,'مبيعات يومية'!$B$2:$B$8001,'إعدادات المخزون'!$A$15,'مبيعات يومية'!$A$2:$A$8001,'إعدادات المخزون'!$B$4)</f>
        <v>0</v>
      </c>
      <c r="C121" s="116" t="n">
        <f aca="false">SUMIFS('مبيعات يومية'!$D$2:$D$8001,'مبيعات يومية'!$C$2:$C$8001,$A121,'مبيعات يومية'!$B$2:$B$8001,'إعدادات المخزون'!$A$15,'مبيعات يومية'!$A$2:$A$8001,"&gt;="&amp;'إعدادات المخزون'!$B$5,'مبيعات يومية'!$A$2:$A$8001,"&lt;="&amp;'إعدادات المخزون'!$B$4)</f>
        <v>0</v>
      </c>
      <c r="D121" s="116" t="n">
        <f aca="false">SUMIFS('مبيعات يومية'!$D$2:$D$8001,'مبيعات يومية'!$C$2:$C$8001,$A121,'مبيعات يومية'!$B$2:$B$8001,'إعدادات المخزون'!$A$15,'مبيعات يومية'!$A$2:$A$8001,"&gt;"&amp;('إعدادات المخزون'!$B$4-'إعدادات المخزون'!$B$11),'مبيعات يومية'!$A$2:$A$8001,"&lt;="&amp;'إعدادات المخزون'!$B$4)</f>
        <v>0</v>
      </c>
      <c r="E121" s="116" t="n">
        <f aca="false">SUMIFS('مبيعات يومية'!$D$2:$D$8001,'مبيعات يومية'!$C$2:$C$8001,$A121,'مبيعات يومية'!$B$2:$B$8001,'إعدادات المخزون'!$A$16,'مبيعات يومية'!$A$2:$A$8001,'إعدادات المخزون'!$B$4)</f>
        <v>0</v>
      </c>
      <c r="F121" s="116" t="n">
        <f aca="false">SUMIFS('مبيعات يومية'!$D$2:$D$8001,'مبيعات يومية'!$C$2:$C$8001,$A121,'مبيعات يومية'!$B$2:$B$8001,'إعدادات المخزون'!$A$16,'مبيعات يومية'!$A$2:$A$8001,"&gt;="&amp;'إعدادات المخزون'!$B$5,'مبيعات يومية'!$A$2:$A$8001,"&lt;="&amp;'إعدادات المخزون'!$B$4)</f>
        <v>0</v>
      </c>
      <c r="G121" s="116" t="n">
        <f aca="false">SUMIFS('مبيعات يومية'!$D$2:$D$8001,'مبيعات يومية'!$C$2:$C$8001,$A121,'مبيعات يومية'!$B$2:$B$8001,'إعدادات المخزون'!$A$16,'مبيعات يومية'!$A$2:$A$8001,"&gt;"&amp;('إعدادات المخزون'!$B$4-'إعدادات المخزون'!$B$11),'مبيعات يومية'!$A$2:$A$8001,"&lt;="&amp;'إعدادات المخزون'!$B$4)</f>
        <v>0</v>
      </c>
      <c r="H121" s="116" t="n">
        <f aca="false">SUMIFS('مبيعات يومية'!$D$2:$D$8001,'مبيعات يومية'!$C$2:$C$8001,$A121,'مبيعات يومية'!$B$2:$B$8001,'إعدادات المخزون'!$A$17,'مبيعات يومية'!$A$2:$A$8001,'إعدادات المخزون'!$B$4)</f>
        <v>0</v>
      </c>
      <c r="I121" s="116" t="n">
        <f aca="false">SUMIFS('مبيعات يومية'!$D$2:$D$8001,'مبيعات يومية'!$C$2:$C$8001,$A121,'مبيعات يومية'!$B$2:$B$8001,'إعدادات المخزون'!$A$17,'مبيعات يومية'!$A$2:$A$8001,"&gt;="&amp;'إعدادات المخزون'!$B$5,'مبيعات يومية'!$A$2:$A$8001,"&lt;="&amp;'إعدادات المخزون'!$B$4)</f>
        <v>0</v>
      </c>
      <c r="J121" s="116" t="n">
        <f aca="false">SUMIFS('مبيعات يومية'!$D$2:$D$8001,'مبيعات يومية'!$C$2:$C$8001,$A121,'مبيعات يومية'!$B$2:$B$8001,'إعدادات المخزون'!$A$17,'مبيعات يومية'!$A$2:$A$8001,"&gt;"&amp;('إعدادات المخزون'!$B$4-'إعدادات المخزون'!$B$11),'مبيعات يومية'!$A$2:$A$8001,"&lt;="&amp;'إعدادات المخزون'!$B$4)</f>
        <v>0</v>
      </c>
    </row>
    <row r="122" customFormat="false" ht="15" hidden="false" customHeight="false" outlineLevel="0" collapsed="false">
      <c r="A122" s="114" t="str">
        <f aca="false">المنيو!B122</f>
        <v>مكرونة فراخ باربيكيو صيامي</v>
      </c>
      <c r="B122" s="116" t="n">
        <f aca="false">SUMIFS('مبيعات يومية'!$D$2:$D$8001,'مبيعات يومية'!$C$2:$C$8001,$A122,'مبيعات يومية'!$B$2:$B$8001,'إعدادات المخزون'!$A$15,'مبيعات يومية'!$A$2:$A$8001,'إعدادات المخزون'!$B$4)</f>
        <v>0</v>
      </c>
      <c r="C122" s="116" t="n">
        <f aca="false">SUMIFS('مبيعات يومية'!$D$2:$D$8001,'مبيعات يومية'!$C$2:$C$8001,$A122,'مبيعات يومية'!$B$2:$B$8001,'إعدادات المخزون'!$A$15,'مبيعات يومية'!$A$2:$A$8001,"&gt;="&amp;'إعدادات المخزون'!$B$5,'مبيعات يومية'!$A$2:$A$8001,"&lt;="&amp;'إعدادات المخزون'!$B$4)</f>
        <v>0</v>
      </c>
      <c r="D122" s="116" t="n">
        <f aca="false">SUMIFS('مبيعات يومية'!$D$2:$D$8001,'مبيعات يومية'!$C$2:$C$8001,$A122,'مبيعات يومية'!$B$2:$B$8001,'إعدادات المخزون'!$A$15,'مبيعات يومية'!$A$2:$A$8001,"&gt;"&amp;('إعدادات المخزون'!$B$4-'إعدادات المخزون'!$B$11),'مبيعات يومية'!$A$2:$A$8001,"&lt;="&amp;'إعدادات المخزون'!$B$4)</f>
        <v>0</v>
      </c>
      <c r="E122" s="116" t="n">
        <f aca="false">SUMIFS('مبيعات يومية'!$D$2:$D$8001,'مبيعات يومية'!$C$2:$C$8001,$A122,'مبيعات يومية'!$B$2:$B$8001,'إعدادات المخزون'!$A$16,'مبيعات يومية'!$A$2:$A$8001,'إعدادات المخزون'!$B$4)</f>
        <v>0</v>
      </c>
      <c r="F122" s="116" t="n">
        <f aca="false">SUMIFS('مبيعات يومية'!$D$2:$D$8001,'مبيعات يومية'!$C$2:$C$8001,$A122,'مبيعات يومية'!$B$2:$B$8001,'إعدادات المخزون'!$A$16,'مبيعات يومية'!$A$2:$A$8001,"&gt;="&amp;'إعدادات المخزون'!$B$5,'مبيعات يومية'!$A$2:$A$8001,"&lt;="&amp;'إعدادات المخزون'!$B$4)</f>
        <v>0</v>
      </c>
      <c r="G122" s="116" t="n">
        <f aca="false">SUMIFS('مبيعات يومية'!$D$2:$D$8001,'مبيعات يومية'!$C$2:$C$8001,$A122,'مبيعات يومية'!$B$2:$B$8001,'إعدادات المخزون'!$A$16,'مبيعات يومية'!$A$2:$A$8001,"&gt;"&amp;('إعدادات المخزون'!$B$4-'إعدادات المخزون'!$B$11),'مبيعات يومية'!$A$2:$A$8001,"&lt;="&amp;'إعدادات المخزون'!$B$4)</f>
        <v>0</v>
      </c>
      <c r="H122" s="116" t="n">
        <f aca="false">SUMIFS('مبيعات يومية'!$D$2:$D$8001,'مبيعات يومية'!$C$2:$C$8001,$A122,'مبيعات يومية'!$B$2:$B$8001,'إعدادات المخزون'!$A$17,'مبيعات يومية'!$A$2:$A$8001,'إعدادات المخزون'!$B$4)</f>
        <v>0</v>
      </c>
      <c r="I122" s="116" t="n">
        <f aca="false">SUMIFS('مبيعات يومية'!$D$2:$D$8001,'مبيعات يومية'!$C$2:$C$8001,$A122,'مبيعات يومية'!$B$2:$B$8001,'إعدادات المخزون'!$A$17,'مبيعات يومية'!$A$2:$A$8001,"&gt;="&amp;'إعدادات المخزون'!$B$5,'مبيعات يومية'!$A$2:$A$8001,"&lt;="&amp;'إعدادات المخزون'!$B$4)</f>
        <v>0</v>
      </c>
      <c r="J122" s="116" t="n">
        <f aca="false">SUMIFS('مبيعات يومية'!$D$2:$D$8001,'مبيعات يومية'!$C$2:$C$8001,$A122,'مبيعات يومية'!$B$2:$B$8001,'إعدادات المخزون'!$A$17,'مبيعات يومية'!$A$2:$A$8001,"&gt;"&amp;('إعدادات المخزون'!$B$4-'إعدادات المخزون'!$B$11),'مبيعات يومية'!$A$2:$A$8001,"&lt;="&amp;'إعدادات المخزون'!$B$4)</f>
        <v>0</v>
      </c>
    </row>
    <row r="123" customFormat="false" ht="15" hidden="false" customHeight="false" outlineLevel="0" collapsed="false">
      <c r="A123" s="114" t="str">
        <f aca="false">المنيو!B123</f>
        <v>مكرونة جمبري صيامي</v>
      </c>
      <c r="B123" s="116" t="n">
        <f aca="false">SUMIFS('مبيعات يومية'!$D$2:$D$8001,'مبيعات يومية'!$C$2:$C$8001,$A123,'مبيعات يومية'!$B$2:$B$8001,'إعدادات المخزون'!$A$15,'مبيعات يومية'!$A$2:$A$8001,'إعدادات المخزون'!$B$4)</f>
        <v>0</v>
      </c>
      <c r="C123" s="116" t="n">
        <f aca="false">SUMIFS('مبيعات يومية'!$D$2:$D$8001,'مبيعات يومية'!$C$2:$C$8001,$A123,'مبيعات يومية'!$B$2:$B$8001,'إعدادات المخزون'!$A$15,'مبيعات يومية'!$A$2:$A$8001,"&gt;="&amp;'إعدادات المخزون'!$B$5,'مبيعات يومية'!$A$2:$A$8001,"&lt;="&amp;'إعدادات المخزون'!$B$4)</f>
        <v>0</v>
      </c>
      <c r="D123" s="116" t="n">
        <f aca="false">SUMIFS('مبيعات يومية'!$D$2:$D$8001,'مبيعات يومية'!$C$2:$C$8001,$A123,'مبيعات يومية'!$B$2:$B$8001,'إعدادات المخزون'!$A$15,'مبيعات يومية'!$A$2:$A$8001,"&gt;"&amp;('إعدادات المخزون'!$B$4-'إعدادات المخزون'!$B$11),'مبيعات يومية'!$A$2:$A$8001,"&lt;="&amp;'إعدادات المخزون'!$B$4)</f>
        <v>0</v>
      </c>
      <c r="E123" s="116" t="n">
        <f aca="false">SUMIFS('مبيعات يومية'!$D$2:$D$8001,'مبيعات يومية'!$C$2:$C$8001,$A123,'مبيعات يومية'!$B$2:$B$8001,'إعدادات المخزون'!$A$16,'مبيعات يومية'!$A$2:$A$8001,'إعدادات المخزون'!$B$4)</f>
        <v>0</v>
      </c>
      <c r="F123" s="116" t="n">
        <f aca="false">SUMIFS('مبيعات يومية'!$D$2:$D$8001,'مبيعات يومية'!$C$2:$C$8001,$A123,'مبيعات يومية'!$B$2:$B$8001,'إعدادات المخزون'!$A$16,'مبيعات يومية'!$A$2:$A$8001,"&gt;="&amp;'إعدادات المخزون'!$B$5,'مبيعات يومية'!$A$2:$A$8001,"&lt;="&amp;'إعدادات المخزون'!$B$4)</f>
        <v>0</v>
      </c>
      <c r="G123" s="116" t="n">
        <f aca="false">SUMIFS('مبيعات يومية'!$D$2:$D$8001,'مبيعات يومية'!$C$2:$C$8001,$A123,'مبيعات يومية'!$B$2:$B$8001,'إعدادات المخزون'!$A$16,'مبيعات يومية'!$A$2:$A$8001,"&gt;"&amp;('إعدادات المخزون'!$B$4-'إعدادات المخزون'!$B$11),'مبيعات يومية'!$A$2:$A$8001,"&lt;="&amp;'إعدادات المخزون'!$B$4)</f>
        <v>0</v>
      </c>
      <c r="H123" s="116" t="n">
        <f aca="false">SUMIFS('مبيعات يومية'!$D$2:$D$8001,'مبيعات يومية'!$C$2:$C$8001,$A123,'مبيعات يومية'!$B$2:$B$8001,'إعدادات المخزون'!$A$17,'مبيعات يومية'!$A$2:$A$8001,'إعدادات المخزون'!$B$4)</f>
        <v>0</v>
      </c>
      <c r="I123" s="116" t="n">
        <f aca="false">SUMIFS('مبيعات يومية'!$D$2:$D$8001,'مبيعات يومية'!$C$2:$C$8001,$A123,'مبيعات يومية'!$B$2:$B$8001,'إعدادات المخزون'!$A$17,'مبيعات يومية'!$A$2:$A$8001,"&gt;="&amp;'إعدادات المخزون'!$B$5,'مبيعات يومية'!$A$2:$A$8001,"&lt;="&amp;'إعدادات المخزون'!$B$4)</f>
        <v>0</v>
      </c>
      <c r="J123" s="116" t="n">
        <f aca="false">SUMIFS('مبيعات يومية'!$D$2:$D$8001,'مبيعات يومية'!$C$2:$C$8001,$A123,'مبيعات يومية'!$B$2:$B$8001,'إعدادات المخزون'!$A$17,'مبيعات يومية'!$A$2:$A$8001,"&gt;"&amp;('إعدادات المخزون'!$B$4-'إعدادات المخزون'!$B$11),'مبيعات يومية'!$A$2:$A$8001,"&lt;="&amp;'إعدادات المخزون'!$B$4)</f>
        <v>0</v>
      </c>
    </row>
    <row r="124" customFormat="false" ht="15" hidden="false" customHeight="false" outlineLevel="0" collapsed="false">
      <c r="A124" s="114" t="str">
        <f aca="false">المنيو!B124</f>
        <v>كريب بطاطس صيامي</v>
      </c>
      <c r="B124" s="116" t="n">
        <f aca="false">SUMIFS('مبيعات يومية'!$D$2:$D$8001,'مبيعات يومية'!$C$2:$C$8001,$A124,'مبيعات يومية'!$B$2:$B$8001,'إعدادات المخزون'!$A$15,'مبيعات يومية'!$A$2:$A$8001,'إعدادات المخزون'!$B$4)</f>
        <v>0</v>
      </c>
      <c r="C124" s="116" t="n">
        <f aca="false">SUMIFS('مبيعات يومية'!$D$2:$D$8001,'مبيعات يومية'!$C$2:$C$8001,$A124,'مبيعات يومية'!$B$2:$B$8001,'إعدادات المخزون'!$A$15,'مبيعات يومية'!$A$2:$A$8001,"&gt;="&amp;'إعدادات المخزون'!$B$5,'مبيعات يومية'!$A$2:$A$8001,"&lt;="&amp;'إعدادات المخزون'!$B$4)</f>
        <v>0</v>
      </c>
      <c r="D124" s="116" t="n">
        <f aca="false">SUMIFS('مبيعات يومية'!$D$2:$D$8001,'مبيعات يومية'!$C$2:$C$8001,$A124,'مبيعات يومية'!$B$2:$B$8001,'إعدادات المخزون'!$A$15,'مبيعات يومية'!$A$2:$A$8001,"&gt;"&amp;('إعدادات المخزون'!$B$4-'إعدادات المخزون'!$B$11),'مبيعات يومية'!$A$2:$A$8001,"&lt;="&amp;'إعدادات المخزون'!$B$4)</f>
        <v>0</v>
      </c>
      <c r="E124" s="116" t="n">
        <f aca="false">SUMIFS('مبيعات يومية'!$D$2:$D$8001,'مبيعات يومية'!$C$2:$C$8001,$A124,'مبيعات يومية'!$B$2:$B$8001,'إعدادات المخزون'!$A$16,'مبيعات يومية'!$A$2:$A$8001,'إعدادات المخزون'!$B$4)</f>
        <v>0</v>
      </c>
      <c r="F124" s="116" t="n">
        <f aca="false">SUMIFS('مبيعات يومية'!$D$2:$D$8001,'مبيعات يومية'!$C$2:$C$8001,$A124,'مبيعات يومية'!$B$2:$B$8001,'إعدادات المخزون'!$A$16,'مبيعات يومية'!$A$2:$A$8001,"&gt;="&amp;'إعدادات المخزون'!$B$5,'مبيعات يومية'!$A$2:$A$8001,"&lt;="&amp;'إعدادات المخزون'!$B$4)</f>
        <v>0</v>
      </c>
      <c r="G124" s="116" t="n">
        <f aca="false">SUMIFS('مبيعات يومية'!$D$2:$D$8001,'مبيعات يومية'!$C$2:$C$8001,$A124,'مبيعات يومية'!$B$2:$B$8001,'إعدادات المخزون'!$A$16,'مبيعات يومية'!$A$2:$A$8001,"&gt;"&amp;('إعدادات المخزون'!$B$4-'إعدادات المخزون'!$B$11),'مبيعات يومية'!$A$2:$A$8001,"&lt;="&amp;'إعدادات المخزون'!$B$4)</f>
        <v>0</v>
      </c>
      <c r="H124" s="116" t="n">
        <f aca="false">SUMIFS('مبيعات يومية'!$D$2:$D$8001,'مبيعات يومية'!$C$2:$C$8001,$A124,'مبيعات يومية'!$B$2:$B$8001,'إعدادات المخزون'!$A$17,'مبيعات يومية'!$A$2:$A$8001,'إعدادات المخزون'!$B$4)</f>
        <v>0</v>
      </c>
      <c r="I124" s="116" t="n">
        <f aca="false">SUMIFS('مبيعات يومية'!$D$2:$D$8001,'مبيعات يومية'!$C$2:$C$8001,$A124,'مبيعات يومية'!$B$2:$B$8001,'إعدادات المخزون'!$A$17,'مبيعات يومية'!$A$2:$A$8001,"&gt;="&amp;'إعدادات المخزون'!$B$5,'مبيعات يومية'!$A$2:$A$8001,"&lt;="&amp;'إعدادات المخزون'!$B$4)</f>
        <v>0</v>
      </c>
      <c r="J124" s="116" t="n">
        <f aca="false">SUMIFS('مبيعات يومية'!$D$2:$D$8001,'مبيعات يومية'!$C$2:$C$8001,$A124,'مبيعات يومية'!$B$2:$B$8001,'إعدادات المخزون'!$A$17,'مبيعات يومية'!$A$2:$A$8001,"&gt;"&amp;('إعدادات المخزون'!$B$4-'إعدادات المخزون'!$B$11),'مبيعات يومية'!$A$2:$A$8001,"&lt;="&amp;'إعدادات المخزون'!$B$4)</f>
        <v>0</v>
      </c>
    </row>
    <row r="125" customFormat="false" ht="15" hidden="false" customHeight="false" outlineLevel="0" collapsed="false">
      <c r="A125" s="114" t="str">
        <f aca="false">المنيو!B125</f>
        <v>كريب فراخ باربيكيو صيامي</v>
      </c>
      <c r="B125" s="116" t="n">
        <f aca="false">SUMIFS('مبيعات يومية'!$D$2:$D$8001,'مبيعات يومية'!$C$2:$C$8001,$A125,'مبيعات يومية'!$B$2:$B$8001,'إعدادات المخزون'!$A$15,'مبيعات يومية'!$A$2:$A$8001,'إعدادات المخزون'!$B$4)</f>
        <v>0</v>
      </c>
      <c r="C125" s="116" t="n">
        <f aca="false">SUMIFS('مبيعات يومية'!$D$2:$D$8001,'مبيعات يومية'!$C$2:$C$8001,$A125,'مبيعات يومية'!$B$2:$B$8001,'إعدادات المخزون'!$A$15,'مبيعات يومية'!$A$2:$A$8001,"&gt;="&amp;'إعدادات المخزون'!$B$5,'مبيعات يومية'!$A$2:$A$8001,"&lt;="&amp;'إعدادات المخزون'!$B$4)</f>
        <v>0</v>
      </c>
      <c r="D125" s="116" t="n">
        <f aca="false">SUMIFS('مبيعات يومية'!$D$2:$D$8001,'مبيعات يومية'!$C$2:$C$8001,$A125,'مبيعات يومية'!$B$2:$B$8001,'إعدادات المخزون'!$A$15,'مبيعات يومية'!$A$2:$A$8001,"&gt;"&amp;('إعدادات المخزون'!$B$4-'إعدادات المخزون'!$B$11),'مبيعات يومية'!$A$2:$A$8001,"&lt;="&amp;'إعدادات المخزون'!$B$4)</f>
        <v>0</v>
      </c>
      <c r="E125" s="116" t="n">
        <f aca="false">SUMIFS('مبيعات يومية'!$D$2:$D$8001,'مبيعات يومية'!$C$2:$C$8001,$A125,'مبيعات يومية'!$B$2:$B$8001,'إعدادات المخزون'!$A$16,'مبيعات يومية'!$A$2:$A$8001,'إعدادات المخزون'!$B$4)</f>
        <v>0</v>
      </c>
      <c r="F125" s="116" t="n">
        <f aca="false">SUMIFS('مبيعات يومية'!$D$2:$D$8001,'مبيعات يومية'!$C$2:$C$8001,$A125,'مبيعات يومية'!$B$2:$B$8001,'إعدادات المخزون'!$A$16,'مبيعات يومية'!$A$2:$A$8001,"&gt;="&amp;'إعدادات المخزون'!$B$5,'مبيعات يومية'!$A$2:$A$8001,"&lt;="&amp;'إعدادات المخزون'!$B$4)</f>
        <v>0</v>
      </c>
      <c r="G125" s="116" t="n">
        <f aca="false">SUMIFS('مبيعات يومية'!$D$2:$D$8001,'مبيعات يومية'!$C$2:$C$8001,$A125,'مبيعات يومية'!$B$2:$B$8001,'إعدادات المخزون'!$A$16,'مبيعات يومية'!$A$2:$A$8001,"&gt;"&amp;('إعدادات المخزون'!$B$4-'إعدادات المخزون'!$B$11),'مبيعات يومية'!$A$2:$A$8001,"&lt;="&amp;'إعدادات المخزون'!$B$4)</f>
        <v>0</v>
      </c>
      <c r="H125" s="116" t="n">
        <f aca="false">SUMIFS('مبيعات يومية'!$D$2:$D$8001,'مبيعات يومية'!$C$2:$C$8001,$A125,'مبيعات يومية'!$B$2:$B$8001,'إعدادات المخزون'!$A$17,'مبيعات يومية'!$A$2:$A$8001,'إعدادات المخزون'!$B$4)</f>
        <v>0</v>
      </c>
      <c r="I125" s="116" t="n">
        <f aca="false">SUMIFS('مبيعات يومية'!$D$2:$D$8001,'مبيعات يومية'!$C$2:$C$8001,$A125,'مبيعات يومية'!$B$2:$B$8001,'إعدادات المخزون'!$A$17,'مبيعات يومية'!$A$2:$A$8001,"&gt;="&amp;'إعدادات المخزون'!$B$5,'مبيعات يومية'!$A$2:$A$8001,"&lt;="&amp;'إعدادات المخزون'!$B$4)</f>
        <v>0</v>
      </c>
      <c r="J125" s="116" t="n">
        <f aca="false">SUMIFS('مبيعات يومية'!$D$2:$D$8001,'مبيعات يومية'!$C$2:$C$8001,$A125,'مبيعات يومية'!$B$2:$B$8001,'إعدادات المخزون'!$A$17,'مبيعات يومية'!$A$2:$A$8001,"&gt;"&amp;('إعدادات المخزون'!$B$4-'إعدادات المخزون'!$B$11),'مبيعات يومية'!$A$2:$A$8001,"&lt;="&amp;'إعدادات المخزون'!$B$4)</f>
        <v>0</v>
      </c>
    </row>
    <row r="126" customFormat="false" ht="15" hidden="false" customHeight="false" outlineLevel="0" collapsed="false">
      <c r="A126" s="114" t="str">
        <f aca="false">المنيو!B126</f>
        <v>كريب سوسيس / شاورما لحم فراخ صيامي</v>
      </c>
      <c r="B126" s="116" t="n">
        <f aca="false">SUMIFS('مبيعات يومية'!$D$2:$D$8001,'مبيعات يومية'!$C$2:$C$8001,$A126,'مبيعات يومية'!$B$2:$B$8001,'إعدادات المخزون'!$A$15,'مبيعات يومية'!$A$2:$A$8001,'إعدادات المخزون'!$B$4)</f>
        <v>0</v>
      </c>
      <c r="C126" s="116" t="n">
        <f aca="false">SUMIFS('مبيعات يومية'!$D$2:$D$8001,'مبيعات يومية'!$C$2:$C$8001,$A126,'مبيعات يومية'!$B$2:$B$8001,'إعدادات المخزون'!$A$15,'مبيعات يومية'!$A$2:$A$8001,"&gt;="&amp;'إعدادات المخزون'!$B$5,'مبيعات يومية'!$A$2:$A$8001,"&lt;="&amp;'إعدادات المخزون'!$B$4)</f>
        <v>0</v>
      </c>
      <c r="D126" s="116" t="n">
        <f aca="false">SUMIFS('مبيعات يومية'!$D$2:$D$8001,'مبيعات يومية'!$C$2:$C$8001,$A126,'مبيعات يومية'!$B$2:$B$8001,'إعدادات المخزون'!$A$15,'مبيعات يومية'!$A$2:$A$8001,"&gt;"&amp;('إعدادات المخزون'!$B$4-'إعدادات المخزون'!$B$11),'مبيعات يومية'!$A$2:$A$8001,"&lt;="&amp;'إعدادات المخزون'!$B$4)</f>
        <v>0</v>
      </c>
      <c r="E126" s="116" t="n">
        <f aca="false">SUMIFS('مبيعات يومية'!$D$2:$D$8001,'مبيعات يومية'!$C$2:$C$8001,$A126,'مبيعات يومية'!$B$2:$B$8001,'إعدادات المخزون'!$A$16,'مبيعات يومية'!$A$2:$A$8001,'إعدادات المخزون'!$B$4)</f>
        <v>0</v>
      </c>
      <c r="F126" s="116" t="n">
        <f aca="false">SUMIFS('مبيعات يومية'!$D$2:$D$8001,'مبيعات يومية'!$C$2:$C$8001,$A126,'مبيعات يومية'!$B$2:$B$8001,'إعدادات المخزون'!$A$16,'مبيعات يومية'!$A$2:$A$8001,"&gt;="&amp;'إعدادات المخزون'!$B$5,'مبيعات يومية'!$A$2:$A$8001,"&lt;="&amp;'إعدادات المخزون'!$B$4)</f>
        <v>0</v>
      </c>
      <c r="G126" s="116" t="n">
        <f aca="false">SUMIFS('مبيعات يومية'!$D$2:$D$8001,'مبيعات يومية'!$C$2:$C$8001,$A126,'مبيعات يومية'!$B$2:$B$8001,'إعدادات المخزون'!$A$16,'مبيعات يومية'!$A$2:$A$8001,"&gt;"&amp;('إعدادات المخزون'!$B$4-'إعدادات المخزون'!$B$11),'مبيعات يومية'!$A$2:$A$8001,"&lt;="&amp;'إعدادات المخزون'!$B$4)</f>
        <v>0</v>
      </c>
      <c r="H126" s="116" t="n">
        <f aca="false">SUMIFS('مبيعات يومية'!$D$2:$D$8001,'مبيعات يومية'!$C$2:$C$8001,$A126,'مبيعات يومية'!$B$2:$B$8001,'إعدادات المخزون'!$A$17,'مبيعات يومية'!$A$2:$A$8001,'إعدادات المخزون'!$B$4)</f>
        <v>0</v>
      </c>
      <c r="I126" s="116" t="n">
        <f aca="false">SUMIFS('مبيعات يومية'!$D$2:$D$8001,'مبيعات يومية'!$C$2:$C$8001,$A126,'مبيعات يومية'!$B$2:$B$8001,'إعدادات المخزون'!$A$17,'مبيعات يومية'!$A$2:$A$8001,"&gt;="&amp;'إعدادات المخزون'!$B$5,'مبيعات يومية'!$A$2:$A$8001,"&lt;="&amp;'إعدادات المخزون'!$B$4)</f>
        <v>0</v>
      </c>
      <c r="J126" s="116" t="n">
        <f aca="false">SUMIFS('مبيعات يومية'!$D$2:$D$8001,'مبيعات يومية'!$C$2:$C$8001,$A126,'مبيعات يومية'!$B$2:$B$8001,'إعدادات المخزون'!$A$17,'مبيعات يومية'!$A$2:$A$8001,"&gt;"&amp;('إعدادات المخزون'!$B$4-'إعدادات المخزون'!$B$11),'مبيعات يومية'!$A$2:$A$8001,"&lt;="&amp;'إعدادات المخزون'!$B$4)</f>
        <v>0</v>
      </c>
    </row>
    <row r="127" customFormat="false" ht="15" hidden="false" customHeight="false" outlineLevel="0" collapsed="false">
      <c r="A127" s="114" t="str">
        <f aca="false">المنيو!B127</f>
        <v>كريب جمبري صيامي</v>
      </c>
      <c r="B127" s="116" t="n">
        <f aca="false">SUMIFS('مبيعات يومية'!$D$2:$D$8001,'مبيعات يومية'!$C$2:$C$8001,$A127,'مبيعات يومية'!$B$2:$B$8001,'إعدادات المخزون'!$A$15,'مبيعات يومية'!$A$2:$A$8001,'إعدادات المخزون'!$B$4)</f>
        <v>0</v>
      </c>
      <c r="C127" s="116" t="n">
        <f aca="false">SUMIFS('مبيعات يومية'!$D$2:$D$8001,'مبيعات يومية'!$C$2:$C$8001,$A127,'مبيعات يومية'!$B$2:$B$8001,'إعدادات المخزون'!$A$15,'مبيعات يومية'!$A$2:$A$8001,"&gt;="&amp;'إعدادات المخزون'!$B$5,'مبيعات يومية'!$A$2:$A$8001,"&lt;="&amp;'إعدادات المخزون'!$B$4)</f>
        <v>0</v>
      </c>
      <c r="D127" s="116" t="n">
        <f aca="false">SUMIFS('مبيعات يومية'!$D$2:$D$8001,'مبيعات يومية'!$C$2:$C$8001,$A127,'مبيعات يومية'!$B$2:$B$8001,'إعدادات المخزون'!$A$15,'مبيعات يومية'!$A$2:$A$8001,"&gt;"&amp;('إعدادات المخزون'!$B$4-'إعدادات المخزون'!$B$11),'مبيعات يومية'!$A$2:$A$8001,"&lt;="&amp;'إعدادات المخزون'!$B$4)</f>
        <v>0</v>
      </c>
      <c r="E127" s="116" t="n">
        <f aca="false">SUMIFS('مبيعات يومية'!$D$2:$D$8001,'مبيعات يومية'!$C$2:$C$8001,$A127,'مبيعات يومية'!$B$2:$B$8001,'إعدادات المخزون'!$A$16,'مبيعات يومية'!$A$2:$A$8001,'إعدادات المخزون'!$B$4)</f>
        <v>0</v>
      </c>
      <c r="F127" s="116" t="n">
        <f aca="false">SUMIFS('مبيعات يومية'!$D$2:$D$8001,'مبيعات يومية'!$C$2:$C$8001,$A127,'مبيعات يومية'!$B$2:$B$8001,'إعدادات المخزون'!$A$16,'مبيعات يومية'!$A$2:$A$8001,"&gt;="&amp;'إعدادات المخزون'!$B$5,'مبيعات يومية'!$A$2:$A$8001,"&lt;="&amp;'إعدادات المخزون'!$B$4)</f>
        <v>0</v>
      </c>
      <c r="G127" s="116" t="n">
        <f aca="false">SUMIFS('مبيعات يومية'!$D$2:$D$8001,'مبيعات يومية'!$C$2:$C$8001,$A127,'مبيعات يومية'!$B$2:$B$8001,'إعدادات المخزون'!$A$16,'مبيعات يومية'!$A$2:$A$8001,"&gt;"&amp;('إعدادات المخزون'!$B$4-'إعدادات المخزون'!$B$11),'مبيعات يومية'!$A$2:$A$8001,"&lt;="&amp;'إعدادات المخزون'!$B$4)</f>
        <v>0</v>
      </c>
      <c r="H127" s="116" t="n">
        <f aca="false">SUMIFS('مبيعات يومية'!$D$2:$D$8001,'مبيعات يومية'!$C$2:$C$8001,$A127,'مبيعات يومية'!$B$2:$B$8001,'إعدادات المخزون'!$A$17,'مبيعات يومية'!$A$2:$A$8001,'إعدادات المخزون'!$B$4)</f>
        <v>0</v>
      </c>
      <c r="I127" s="116" t="n">
        <f aca="false">SUMIFS('مبيعات يومية'!$D$2:$D$8001,'مبيعات يومية'!$C$2:$C$8001,$A127,'مبيعات يومية'!$B$2:$B$8001,'إعدادات المخزون'!$A$17,'مبيعات يومية'!$A$2:$A$8001,"&gt;="&amp;'إعدادات المخزون'!$B$5,'مبيعات يومية'!$A$2:$A$8001,"&lt;="&amp;'إعدادات المخزون'!$B$4)</f>
        <v>0</v>
      </c>
      <c r="J127" s="116" t="n">
        <f aca="false">SUMIFS('مبيعات يومية'!$D$2:$D$8001,'مبيعات يومية'!$C$2:$C$8001,$A127,'مبيعات يومية'!$B$2:$B$8001,'إعدادات المخزون'!$A$17,'مبيعات يومية'!$A$2:$A$8001,"&gt;"&amp;('إعدادات المخزون'!$B$4-'إعدادات المخزون'!$B$11),'مبيعات يومية'!$A$2:$A$8001,"&lt;="&amp;'إعدادات المخزون'!$B$4)</f>
        <v>0</v>
      </c>
    </row>
    <row r="128" customFormat="false" ht="15" hidden="false" customHeight="false" outlineLevel="0" collapsed="false">
      <c r="A128" s="114" t="str">
        <f aca="false">المنيو!B128</f>
        <v>اضافة جبنة كيري (فطير M)</v>
      </c>
      <c r="B128" s="116" t="n">
        <f aca="false">SUMIFS('مبيعات يومية'!$D$2:$D$8001,'مبيعات يومية'!$C$2:$C$8001,$A128,'مبيعات يومية'!$B$2:$B$8001,'إعدادات المخزون'!$A$15,'مبيعات يومية'!$A$2:$A$8001,'إعدادات المخزون'!$B$4)</f>
        <v>0</v>
      </c>
      <c r="C128" s="116" t="n">
        <f aca="false">SUMIFS('مبيعات يومية'!$D$2:$D$8001,'مبيعات يومية'!$C$2:$C$8001,$A128,'مبيعات يومية'!$B$2:$B$8001,'إعدادات المخزون'!$A$15,'مبيعات يومية'!$A$2:$A$8001,"&gt;="&amp;'إعدادات المخزون'!$B$5,'مبيعات يومية'!$A$2:$A$8001,"&lt;="&amp;'إعدادات المخزون'!$B$4)</f>
        <v>0</v>
      </c>
      <c r="D128" s="116" t="n">
        <f aca="false">SUMIFS('مبيعات يومية'!$D$2:$D$8001,'مبيعات يومية'!$C$2:$C$8001,$A128,'مبيعات يومية'!$B$2:$B$8001,'إعدادات المخزون'!$A$15,'مبيعات يومية'!$A$2:$A$8001,"&gt;"&amp;('إعدادات المخزون'!$B$4-'إعدادات المخزون'!$B$11),'مبيعات يومية'!$A$2:$A$8001,"&lt;="&amp;'إعدادات المخزون'!$B$4)</f>
        <v>0</v>
      </c>
      <c r="E128" s="116" t="n">
        <f aca="false">SUMIFS('مبيعات يومية'!$D$2:$D$8001,'مبيعات يومية'!$C$2:$C$8001,$A128,'مبيعات يومية'!$B$2:$B$8001,'إعدادات المخزون'!$A$16,'مبيعات يومية'!$A$2:$A$8001,'إعدادات المخزون'!$B$4)</f>
        <v>0</v>
      </c>
      <c r="F128" s="116" t="n">
        <f aca="false">SUMIFS('مبيعات يومية'!$D$2:$D$8001,'مبيعات يومية'!$C$2:$C$8001,$A128,'مبيعات يومية'!$B$2:$B$8001,'إعدادات المخزون'!$A$16,'مبيعات يومية'!$A$2:$A$8001,"&gt;="&amp;'إعدادات المخزون'!$B$5,'مبيعات يومية'!$A$2:$A$8001,"&lt;="&amp;'إعدادات المخزون'!$B$4)</f>
        <v>0</v>
      </c>
      <c r="G128" s="116" t="n">
        <f aca="false">SUMIFS('مبيعات يومية'!$D$2:$D$8001,'مبيعات يومية'!$C$2:$C$8001,$A128,'مبيعات يومية'!$B$2:$B$8001,'إعدادات المخزون'!$A$16,'مبيعات يومية'!$A$2:$A$8001,"&gt;"&amp;('إعدادات المخزون'!$B$4-'إعدادات المخزون'!$B$11),'مبيعات يومية'!$A$2:$A$8001,"&lt;="&amp;'إعدادات المخزون'!$B$4)</f>
        <v>0</v>
      </c>
      <c r="H128" s="116" t="n">
        <f aca="false">SUMIFS('مبيعات يومية'!$D$2:$D$8001,'مبيعات يومية'!$C$2:$C$8001,$A128,'مبيعات يومية'!$B$2:$B$8001,'إعدادات المخزون'!$A$17,'مبيعات يومية'!$A$2:$A$8001,'إعدادات المخزون'!$B$4)</f>
        <v>0</v>
      </c>
      <c r="I128" s="116" t="n">
        <f aca="false">SUMIFS('مبيعات يومية'!$D$2:$D$8001,'مبيعات يومية'!$C$2:$C$8001,$A128,'مبيعات يومية'!$B$2:$B$8001,'إعدادات المخزون'!$A$17,'مبيعات يومية'!$A$2:$A$8001,"&gt;="&amp;'إعدادات المخزون'!$B$5,'مبيعات يومية'!$A$2:$A$8001,"&lt;="&amp;'إعدادات المخزون'!$B$4)</f>
        <v>0</v>
      </c>
      <c r="J128" s="116" t="n">
        <f aca="false">SUMIFS('مبيعات يومية'!$D$2:$D$8001,'مبيعات يومية'!$C$2:$C$8001,$A128,'مبيعات يومية'!$B$2:$B$8001,'إعدادات المخزون'!$A$17,'مبيعات يومية'!$A$2:$A$8001,"&gt;"&amp;('إعدادات المخزون'!$B$4-'إعدادات المخزون'!$B$11),'مبيعات يومية'!$A$2:$A$8001,"&lt;="&amp;'إعدادات المخزون'!$B$4)</f>
        <v>0</v>
      </c>
    </row>
    <row r="129" customFormat="false" ht="15" hidden="false" customHeight="false" outlineLevel="0" collapsed="false">
      <c r="A129" s="114" t="str">
        <f aca="false">المنيو!B129</f>
        <v>اضافة جبنة كيري (فطير L)</v>
      </c>
      <c r="B129" s="116" t="n">
        <f aca="false">SUMIFS('مبيعات يومية'!$D$2:$D$8001,'مبيعات يومية'!$C$2:$C$8001,$A129,'مبيعات يومية'!$B$2:$B$8001,'إعدادات المخزون'!$A$15,'مبيعات يومية'!$A$2:$A$8001,'إعدادات المخزون'!$B$4)</f>
        <v>0</v>
      </c>
      <c r="C129" s="116" t="n">
        <f aca="false">SUMIFS('مبيعات يومية'!$D$2:$D$8001,'مبيعات يومية'!$C$2:$C$8001,$A129,'مبيعات يومية'!$B$2:$B$8001,'إعدادات المخزون'!$A$15,'مبيعات يومية'!$A$2:$A$8001,"&gt;="&amp;'إعدادات المخزون'!$B$5,'مبيعات يومية'!$A$2:$A$8001,"&lt;="&amp;'إعدادات المخزون'!$B$4)</f>
        <v>0</v>
      </c>
      <c r="D129" s="116" t="n">
        <f aca="false">SUMIFS('مبيعات يومية'!$D$2:$D$8001,'مبيعات يومية'!$C$2:$C$8001,$A129,'مبيعات يومية'!$B$2:$B$8001,'إعدادات المخزون'!$A$15,'مبيعات يومية'!$A$2:$A$8001,"&gt;"&amp;('إعدادات المخزون'!$B$4-'إعدادات المخزون'!$B$11),'مبيعات يومية'!$A$2:$A$8001,"&lt;="&amp;'إعدادات المخزون'!$B$4)</f>
        <v>0</v>
      </c>
      <c r="E129" s="116" t="n">
        <f aca="false">SUMIFS('مبيعات يومية'!$D$2:$D$8001,'مبيعات يومية'!$C$2:$C$8001,$A129,'مبيعات يومية'!$B$2:$B$8001,'إعدادات المخزون'!$A$16,'مبيعات يومية'!$A$2:$A$8001,'إعدادات المخزون'!$B$4)</f>
        <v>0</v>
      </c>
      <c r="F129" s="116" t="n">
        <f aca="false">SUMIFS('مبيعات يومية'!$D$2:$D$8001,'مبيعات يومية'!$C$2:$C$8001,$A129,'مبيعات يومية'!$B$2:$B$8001,'إعدادات المخزون'!$A$16,'مبيعات يومية'!$A$2:$A$8001,"&gt;="&amp;'إعدادات المخزون'!$B$5,'مبيعات يومية'!$A$2:$A$8001,"&lt;="&amp;'إعدادات المخزون'!$B$4)</f>
        <v>0</v>
      </c>
      <c r="G129" s="116" t="n">
        <f aca="false">SUMIFS('مبيعات يومية'!$D$2:$D$8001,'مبيعات يومية'!$C$2:$C$8001,$A129,'مبيعات يومية'!$B$2:$B$8001,'إعدادات المخزون'!$A$16,'مبيعات يومية'!$A$2:$A$8001,"&gt;"&amp;('إعدادات المخزون'!$B$4-'إعدادات المخزون'!$B$11),'مبيعات يومية'!$A$2:$A$8001,"&lt;="&amp;'إعدادات المخزون'!$B$4)</f>
        <v>0</v>
      </c>
      <c r="H129" s="116" t="n">
        <f aca="false">SUMIFS('مبيعات يومية'!$D$2:$D$8001,'مبيعات يومية'!$C$2:$C$8001,$A129,'مبيعات يومية'!$B$2:$B$8001,'إعدادات المخزون'!$A$17,'مبيعات يومية'!$A$2:$A$8001,'إعدادات المخزون'!$B$4)</f>
        <v>0</v>
      </c>
      <c r="I129" s="116" t="n">
        <f aca="false">SUMIFS('مبيعات يومية'!$D$2:$D$8001,'مبيعات يومية'!$C$2:$C$8001,$A129,'مبيعات يومية'!$B$2:$B$8001,'إعدادات المخزون'!$A$17,'مبيعات يومية'!$A$2:$A$8001,"&gt;="&amp;'إعدادات المخزون'!$B$5,'مبيعات يومية'!$A$2:$A$8001,"&lt;="&amp;'إعدادات المخزون'!$B$4)</f>
        <v>0</v>
      </c>
      <c r="J129" s="116" t="n">
        <f aca="false">SUMIFS('مبيعات يومية'!$D$2:$D$8001,'مبيعات يومية'!$C$2:$C$8001,$A129,'مبيعات يومية'!$B$2:$B$8001,'إعدادات المخزون'!$A$17,'مبيعات يومية'!$A$2:$A$8001,"&gt;"&amp;('إعدادات المخزون'!$B$4-'إعدادات المخزون'!$B$11),'مبيعات يومية'!$A$2:$A$8001,"&lt;="&amp;'إعدادات المخزون'!$B$4)</f>
        <v>0</v>
      </c>
    </row>
    <row r="130" customFormat="false" ht="15" hidden="false" customHeight="false" outlineLevel="0" collapsed="false">
      <c r="A130" s="114" t="str">
        <f aca="false">المنيو!B130</f>
        <v>اضافة جبنة كيري (بيتزا وسط)</v>
      </c>
      <c r="B130" s="116" t="n">
        <f aca="false">SUMIFS('مبيعات يومية'!$D$2:$D$8001,'مبيعات يومية'!$C$2:$C$8001,$A130,'مبيعات يومية'!$B$2:$B$8001,'إعدادات المخزون'!$A$15,'مبيعات يومية'!$A$2:$A$8001,'إعدادات المخزون'!$B$4)</f>
        <v>0</v>
      </c>
      <c r="C130" s="116" t="n">
        <f aca="false">SUMIFS('مبيعات يومية'!$D$2:$D$8001,'مبيعات يومية'!$C$2:$C$8001,$A130,'مبيعات يومية'!$B$2:$B$8001,'إعدادات المخزون'!$A$15,'مبيعات يومية'!$A$2:$A$8001,"&gt;="&amp;'إعدادات المخزون'!$B$5,'مبيعات يومية'!$A$2:$A$8001,"&lt;="&amp;'إعدادات المخزون'!$B$4)</f>
        <v>0</v>
      </c>
      <c r="D130" s="116" t="n">
        <f aca="false">SUMIFS('مبيعات يومية'!$D$2:$D$8001,'مبيعات يومية'!$C$2:$C$8001,$A130,'مبيعات يومية'!$B$2:$B$8001,'إعدادات المخزون'!$A$15,'مبيعات يومية'!$A$2:$A$8001,"&gt;"&amp;('إعدادات المخزون'!$B$4-'إعدادات المخزون'!$B$11),'مبيعات يومية'!$A$2:$A$8001,"&lt;="&amp;'إعدادات المخزون'!$B$4)</f>
        <v>0</v>
      </c>
      <c r="E130" s="116" t="n">
        <f aca="false">SUMIFS('مبيعات يومية'!$D$2:$D$8001,'مبيعات يومية'!$C$2:$C$8001,$A130,'مبيعات يومية'!$B$2:$B$8001,'إعدادات المخزون'!$A$16,'مبيعات يومية'!$A$2:$A$8001,'إعدادات المخزون'!$B$4)</f>
        <v>0</v>
      </c>
      <c r="F130" s="116" t="n">
        <f aca="false">SUMIFS('مبيعات يومية'!$D$2:$D$8001,'مبيعات يومية'!$C$2:$C$8001,$A130,'مبيعات يومية'!$B$2:$B$8001,'إعدادات المخزون'!$A$16,'مبيعات يومية'!$A$2:$A$8001,"&gt;="&amp;'إعدادات المخزون'!$B$5,'مبيعات يومية'!$A$2:$A$8001,"&lt;="&amp;'إعدادات المخزون'!$B$4)</f>
        <v>0</v>
      </c>
      <c r="G130" s="116" t="n">
        <f aca="false">SUMIFS('مبيعات يومية'!$D$2:$D$8001,'مبيعات يومية'!$C$2:$C$8001,$A130,'مبيعات يومية'!$B$2:$B$8001,'إعدادات المخزون'!$A$16,'مبيعات يومية'!$A$2:$A$8001,"&gt;"&amp;('إعدادات المخزون'!$B$4-'إعدادات المخزون'!$B$11),'مبيعات يومية'!$A$2:$A$8001,"&lt;="&amp;'إعدادات المخزون'!$B$4)</f>
        <v>0</v>
      </c>
      <c r="H130" s="116" t="n">
        <f aca="false">SUMIFS('مبيعات يومية'!$D$2:$D$8001,'مبيعات يومية'!$C$2:$C$8001,$A130,'مبيعات يومية'!$B$2:$B$8001,'إعدادات المخزون'!$A$17,'مبيعات يومية'!$A$2:$A$8001,'إعدادات المخزون'!$B$4)</f>
        <v>0</v>
      </c>
      <c r="I130" s="116" t="n">
        <f aca="false">SUMIFS('مبيعات يومية'!$D$2:$D$8001,'مبيعات يومية'!$C$2:$C$8001,$A130,'مبيعات يومية'!$B$2:$B$8001,'إعدادات المخزون'!$A$17,'مبيعات يومية'!$A$2:$A$8001,"&gt;="&amp;'إعدادات المخزون'!$B$5,'مبيعات يومية'!$A$2:$A$8001,"&lt;="&amp;'إعدادات المخزون'!$B$4)</f>
        <v>0</v>
      </c>
      <c r="J130" s="116" t="n">
        <f aca="false">SUMIFS('مبيعات يومية'!$D$2:$D$8001,'مبيعات يومية'!$C$2:$C$8001,$A130,'مبيعات يومية'!$B$2:$B$8001,'إعدادات المخزون'!$A$17,'مبيعات يومية'!$A$2:$A$8001,"&gt;"&amp;('إعدادات المخزون'!$B$4-'إعدادات المخزون'!$B$11),'مبيعات يومية'!$A$2:$A$8001,"&lt;="&amp;'إعدادات المخزون'!$B$4)</f>
        <v>0</v>
      </c>
    </row>
    <row r="131" customFormat="false" ht="15" hidden="false" customHeight="false" outlineLevel="0" collapsed="false">
      <c r="A131" s="114" t="str">
        <f aca="false">المنيو!B131</f>
        <v>اضافة جبنة موتزريلا (فطير M)</v>
      </c>
      <c r="B131" s="116" t="n">
        <f aca="false">SUMIFS('مبيعات يومية'!$D$2:$D$8001,'مبيعات يومية'!$C$2:$C$8001,$A131,'مبيعات يومية'!$B$2:$B$8001,'إعدادات المخزون'!$A$15,'مبيعات يومية'!$A$2:$A$8001,'إعدادات المخزون'!$B$4)</f>
        <v>0</v>
      </c>
      <c r="C131" s="116" t="n">
        <f aca="false">SUMIFS('مبيعات يومية'!$D$2:$D$8001,'مبيعات يومية'!$C$2:$C$8001,$A131,'مبيعات يومية'!$B$2:$B$8001,'إعدادات المخزون'!$A$15,'مبيعات يومية'!$A$2:$A$8001,"&gt;="&amp;'إعدادات المخزون'!$B$5,'مبيعات يومية'!$A$2:$A$8001,"&lt;="&amp;'إعدادات المخزون'!$B$4)</f>
        <v>0</v>
      </c>
      <c r="D131" s="116" t="n">
        <f aca="false">SUMIFS('مبيعات يومية'!$D$2:$D$8001,'مبيعات يومية'!$C$2:$C$8001,$A131,'مبيعات يومية'!$B$2:$B$8001,'إعدادات المخزون'!$A$15,'مبيعات يومية'!$A$2:$A$8001,"&gt;"&amp;('إعدادات المخزون'!$B$4-'إعدادات المخزون'!$B$11),'مبيعات يومية'!$A$2:$A$8001,"&lt;="&amp;'إعدادات المخزون'!$B$4)</f>
        <v>0</v>
      </c>
      <c r="E131" s="116" t="n">
        <f aca="false">SUMIFS('مبيعات يومية'!$D$2:$D$8001,'مبيعات يومية'!$C$2:$C$8001,$A131,'مبيعات يومية'!$B$2:$B$8001,'إعدادات المخزون'!$A$16,'مبيعات يومية'!$A$2:$A$8001,'إعدادات المخزون'!$B$4)</f>
        <v>0</v>
      </c>
      <c r="F131" s="116" t="n">
        <f aca="false">SUMIFS('مبيعات يومية'!$D$2:$D$8001,'مبيعات يومية'!$C$2:$C$8001,$A131,'مبيعات يومية'!$B$2:$B$8001,'إعدادات المخزون'!$A$16,'مبيعات يومية'!$A$2:$A$8001,"&gt;="&amp;'إعدادات المخزون'!$B$5,'مبيعات يومية'!$A$2:$A$8001,"&lt;="&amp;'إعدادات المخزون'!$B$4)</f>
        <v>0</v>
      </c>
      <c r="G131" s="116" t="n">
        <f aca="false">SUMIFS('مبيعات يومية'!$D$2:$D$8001,'مبيعات يومية'!$C$2:$C$8001,$A131,'مبيعات يومية'!$B$2:$B$8001,'إعدادات المخزون'!$A$16,'مبيعات يومية'!$A$2:$A$8001,"&gt;"&amp;('إعدادات المخزون'!$B$4-'إعدادات المخزون'!$B$11),'مبيعات يومية'!$A$2:$A$8001,"&lt;="&amp;'إعدادات المخزون'!$B$4)</f>
        <v>0</v>
      </c>
      <c r="H131" s="116" t="n">
        <f aca="false">SUMIFS('مبيعات يومية'!$D$2:$D$8001,'مبيعات يومية'!$C$2:$C$8001,$A131,'مبيعات يومية'!$B$2:$B$8001,'إعدادات المخزون'!$A$17,'مبيعات يومية'!$A$2:$A$8001,'إعدادات المخزون'!$B$4)</f>
        <v>0</v>
      </c>
      <c r="I131" s="116" t="n">
        <f aca="false">SUMIFS('مبيعات يومية'!$D$2:$D$8001,'مبيعات يومية'!$C$2:$C$8001,$A131,'مبيعات يومية'!$B$2:$B$8001,'إعدادات المخزون'!$A$17,'مبيعات يومية'!$A$2:$A$8001,"&gt;="&amp;'إعدادات المخزون'!$B$5,'مبيعات يومية'!$A$2:$A$8001,"&lt;="&amp;'إعدادات المخزون'!$B$4)</f>
        <v>0</v>
      </c>
      <c r="J131" s="116" t="n">
        <f aca="false">SUMIFS('مبيعات يومية'!$D$2:$D$8001,'مبيعات يومية'!$C$2:$C$8001,$A131,'مبيعات يومية'!$B$2:$B$8001,'إعدادات المخزون'!$A$17,'مبيعات يومية'!$A$2:$A$8001,"&gt;"&amp;('إعدادات المخزون'!$B$4-'إعدادات المخزون'!$B$11),'مبيعات يومية'!$A$2:$A$8001,"&lt;="&amp;'إعدادات المخزون'!$B$4)</f>
        <v>0</v>
      </c>
    </row>
    <row r="132" customFormat="false" ht="15" hidden="false" customHeight="false" outlineLevel="0" collapsed="false">
      <c r="A132" s="114" t="str">
        <f aca="false">المنيو!B132</f>
        <v>اضافة جبنة موتزريلا (فطير L)</v>
      </c>
      <c r="B132" s="116" t="n">
        <f aca="false">SUMIFS('مبيعات يومية'!$D$2:$D$8001,'مبيعات يومية'!$C$2:$C$8001,$A132,'مبيعات يومية'!$B$2:$B$8001,'إعدادات المخزون'!$A$15,'مبيعات يومية'!$A$2:$A$8001,'إعدادات المخزون'!$B$4)</f>
        <v>0</v>
      </c>
      <c r="C132" s="116" t="n">
        <f aca="false">SUMIFS('مبيعات يومية'!$D$2:$D$8001,'مبيعات يومية'!$C$2:$C$8001,$A132,'مبيعات يومية'!$B$2:$B$8001,'إعدادات المخزون'!$A$15,'مبيعات يومية'!$A$2:$A$8001,"&gt;="&amp;'إعدادات المخزون'!$B$5,'مبيعات يومية'!$A$2:$A$8001,"&lt;="&amp;'إعدادات المخزون'!$B$4)</f>
        <v>0</v>
      </c>
      <c r="D132" s="116" t="n">
        <f aca="false">SUMIFS('مبيعات يومية'!$D$2:$D$8001,'مبيعات يومية'!$C$2:$C$8001,$A132,'مبيعات يومية'!$B$2:$B$8001,'إعدادات المخزون'!$A$15,'مبيعات يومية'!$A$2:$A$8001,"&gt;"&amp;('إعدادات المخزون'!$B$4-'إعدادات المخزون'!$B$11),'مبيعات يومية'!$A$2:$A$8001,"&lt;="&amp;'إعدادات المخزون'!$B$4)</f>
        <v>0</v>
      </c>
      <c r="E132" s="116" t="n">
        <f aca="false">SUMIFS('مبيعات يومية'!$D$2:$D$8001,'مبيعات يومية'!$C$2:$C$8001,$A132,'مبيعات يومية'!$B$2:$B$8001,'إعدادات المخزون'!$A$16,'مبيعات يومية'!$A$2:$A$8001,'إعدادات المخزون'!$B$4)</f>
        <v>0</v>
      </c>
      <c r="F132" s="116" t="n">
        <f aca="false">SUMIFS('مبيعات يومية'!$D$2:$D$8001,'مبيعات يومية'!$C$2:$C$8001,$A132,'مبيعات يومية'!$B$2:$B$8001,'إعدادات المخزون'!$A$16,'مبيعات يومية'!$A$2:$A$8001,"&gt;="&amp;'إعدادات المخزون'!$B$5,'مبيعات يومية'!$A$2:$A$8001,"&lt;="&amp;'إعدادات المخزون'!$B$4)</f>
        <v>0</v>
      </c>
      <c r="G132" s="116" t="n">
        <f aca="false">SUMIFS('مبيعات يومية'!$D$2:$D$8001,'مبيعات يومية'!$C$2:$C$8001,$A132,'مبيعات يومية'!$B$2:$B$8001,'إعدادات المخزون'!$A$16,'مبيعات يومية'!$A$2:$A$8001,"&gt;"&amp;('إعدادات المخزون'!$B$4-'إعدادات المخزون'!$B$11),'مبيعات يومية'!$A$2:$A$8001,"&lt;="&amp;'إعدادات المخزون'!$B$4)</f>
        <v>0</v>
      </c>
      <c r="H132" s="116" t="n">
        <f aca="false">SUMIFS('مبيعات يومية'!$D$2:$D$8001,'مبيعات يومية'!$C$2:$C$8001,$A132,'مبيعات يومية'!$B$2:$B$8001,'إعدادات المخزون'!$A$17,'مبيعات يومية'!$A$2:$A$8001,'إعدادات المخزون'!$B$4)</f>
        <v>0</v>
      </c>
      <c r="I132" s="116" t="n">
        <f aca="false">SUMIFS('مبيعات يومية'!$D$2:$D$8001,'مبيعات يومية'!$C$2:$C$8001,$A132,'مبيعات يومية'!$B$2:$B$8001,'إعدادات المخزون'!$A$17,'مبيعات يومية'!$A$2:$A$8001,"&gt;="&amp;'إعدادات المخزون'!$B$5,'مبيعات يومية'!$A$2:$A$8001,"&lt;="&amp;'إعدادات المخزون'!$B$4)</f>
        <v>0</v>
      </c>
      <c r="J132" s="116" t="n">
        <f aca="false">SUMIFS('مبيعات يومية'!$D$2:$D$8001,'مبيعات يومية'!$C$2:$C$8001,$A132,'مبيعات يومية'!$B$2:$B$8001,'إعدادات المخزون'!$A$17,'مبيعات يومية'!$A$2:$A$8001,"&gt;"&amp;('إعدادات المخزون'!$B$4-'إعدادات المخزون'!$B$11),'مبيعات يومية'!$A$2:$A$8001,"&lt;="&amp;'إعدادات المخزون'!$B$4)</f>
        <v>0</v>
      </c>
    </row>
    <row r="133" customFormat="false" ht="15" hidden="false" customHeight="false" outlineLevel="0" collapsed="false">
      <c r="A133" s="114" t="str">
        <f aca="false">المنيو!B133</f>
        <v>اضافة جبنة موتزريلا (بيتزا وسط)</v>
      </c>
      <c r="B133" s="116" t="n">
        <f aca="false">SUMIFS('مبيعات يومية'!$D$2:$D$8001,'مبيعات يومية'!$C$2:$C$8001,$A133,'مبيعات يومية'!$B$2:$B$8001,'إعدادات المخزون'!$A$15,'مبيعات يومية'!$A$2:$A$8001,'إعدادات المخزون'!$B$4)</f>
        <v>0</v>
      </c>
      <c r="C133" s="116" t="n">
        <f aca="false">SUMIFS('مبيعات يومية'!$D$2:$D$8001,'مبيعات يومية'!$C$2:$C$8001,$A133,'مبيعات يومية'!$B$2:$B$8001,'إعدادات المخزون'!$A$15,'مبيعات يومية'!$A$2:$A$8001,"&gt;="&amp;'إعدادات المخزون'!$B$5,'مبيعات يومية'!$A$2:$A$8001,"&lt;="&amp;'إعدادات المخزون'!$B$4)</f>
        <v>0</v>
      </c>
      <c r="D133" s="116" t="n">
        <f aca="false">SUMIFS('مبيعات يومية'!$D$2:$D$8001,'مبيعات يومية'!$C$2:$C$8001,$A133,'مبيعات يومية'!$B$2:$B$8001,'إعدادات المخزون'!$A$15,'مبيعات يومية'!$A$2:$A$8001,"&gt;"&amp;('إعدادات المخزون'!$B$4-'إعدادات المخزون'!$B$11),'مبيعات يومية'!$A$2:$A$8001,"&lt;="&amp;'إعدادات المخزون'!$B$4)</f>
        <v>0</v>
      </c>
      <c r="E133" s="116" t="n">
        <f aca="false">SUMIFS('مبيعات يومية'!$D$2:$D$8001,'مبيعات يومية'!$C$2:$C$8001,$A133,'مبيعات يومية'!$B$2:$B$8001,'إعدادات المخزون'!$A$16,'مبيعات يومية'!$A$2:$A$8001,'إعدادات المخزون'!$B$4)</f>
        <v>0</v>
      </c>
      <c r="F133" s="116" t="n">
        <f aca="false">SUMIFS('مبيعات يومية'!$D$2:$D$8001,'مبيعات يومية'!$C$2:$C$8001,$A133,'مبيعات يومية'!$B$2:$B$8001,'إعدادات المخزون'!$A$16,'مبيعات يومية'!$A$2:$A$8001,"&gt;="&amp;'إعدادات المخزون'!$B$5,'مبيعات يومية'!$A$2:$A$8001,"&lt;="&amp;'إعدادات المخزون'!$B$4)</f>
        <v>0</v>
      </c>
      <c r="G133" s="116" t="n">
        <f aca="false">SUMIFS('مبيعات يومية'!$D$2:$D$8001,'مبيعات يومية'!$C$2:$C$8001,$A133,'مبيعات يومية'!$B$2:$B$8001,'إعدادات المخزون'!$A$16,'مبيعات يومية'!$A$2:$A$8001,"&gt;"&amp;('إعدادات المخزون'!$B$4-'إعدادات المخزون'!$B$11),'مبيعات يومية'!$A$2:$A$8001,"&lt;="&amp;'إعدادات المخزون'!$B$4)</f>
        <v>0</v>
      </c>
      <c r="H133" s="116" t="n">
        <f aca="false">SUMIFS('مبيعات يومية'!$D$2:$D$8001,'مبيعات يومية'!$C$2:$C$8001,$A133,'مبيعات يومية'!$B$2:$B$8001,'إعدادات المخزون'!$A$17,'مبيعات يومية'!$A$2:$A$8001,'إعدادات المخزون'!$B$4)</f>
        <v>0</v>
      </c>
      <c r="I133" s="116" t="n">
        <f aca="false">SUMIFS('مبيعات يومية'!$D$2:$D$8001,'مبيعات يومية'!$C$2:$C$8001,$A133,'مبيعات يومية'!$B$2:$B$8001,'إعدادات المخزون'!$A$17,'مبيعات يومية'!$A$2:$A$8001,"&gt;="&amp;'إعدادات المخزون'!$B$5,'مبيعات يومية'!$A$2:$A$8001,"&lt;="&amp;'إعدادات المخزون'!$B$4)</f>
        <v>0</v>
      </c>
      <c r="J133" s="116" t="n">
        <f aca="false">SUMIFS('مبيعات يومية'!$D$2:$D$8001,'مبيعات يومية'!$C$2:$C$8001,$A133,'مبيعات يومية'!$B$2:$B$8001,'إعدادات المخزون'!$A$17,'مبيعات يومية'!$A$2:$A$8001,"&gt;"&amp;('إعدادات المخزون'!$B$4-'إعدادات المخزون'!$B$11),'مبيعات يومية'!$A$2:$A$8001,"&lt;="&amp;'إعدادات المخزون'!$B$4)</f>
        <v>0</v>
      </c>
    </row>
    <row r="134" customFormat="false" ht="15" hidden="false" customHeight="false" outlineLevel="0" collapsed="false">
      <c r="A134" s="114" t="str">
        <f aca="false">المنيو!B134</f>
        <v>اضافة جبنة موتزريلا (بيتزا كبير)</v>
      </c>
      <c r="B134" s="116" t="n">
        <f aca="false">SUMIFS('مبيعات يومية'!$D$2:$D$8001,'مبيعات يومية'!$C$2:$C$8001,$A134,'مبيعات يومية'!$B$2:$B$8001,'إعدادات المخزون'!$A$15,'مبيعات يومية'!$A$2:$A$8001,'إعدادات المخزون'!$B$4)</f>
        <v>0</v>
      </c>
      <c r="C134" s="116" t="n">
        <f aca="false">SUMIFS('مبيعات يومية'!$D$2:$D$8001,'مبيعات يومية'!$C$2:$C$8001,$A134,'مبيعات يومية'!$B$2:$B$8001,'إعدادات المخزون'!$A$15,'مبيعات يومية'!$A$2:$A$8001,"&gt;="&amp;'إعدادات المخزون'!$B$5,'مبيعات يومية'!$A$2:$A$8001,"&lt;="&amp;'إعدادات المخزون'!$B$4)</f>
        <v>0</v>
      </c>
      <c r="D134" s="116" t="n">
        <f aca="false">SUMIFS('مبيعات يومية'!$D$2:$D$8001,'مبيعات يومية'!$C$2:$C$8001,$A134,'مبيعات يومية'!$B$2:$B$8001,'إعدادات المخزون'!$A$15,'مبيعات يومية'!$A$2:$A$8001,"&gt;"&amp;('إعدادات المخزون'!$B$4-'إعدادات المخزون'!$B$11),'مبيعات يومية'!$A$2:$A$8001,"&lt;="&amp;'إعدادات المخزون'!$B$4)</f>
        <v>0</v>
      </c>
      <c r="E134" s="116" t="n">
        <f aca="false">SUMIFS('مبيعات يومية'!$D$2:$D$8001,'مبيعات يومية'!$C$2:$C$8001,$A134,'مبيعات يومية'!$B$2:$B$8001,'إعدادات المخزون'!$A$16,'مبيعات يومية'!$A$2:$A$8001,'إعدادات المخزون'!$B$4)</f>
        <v>0</v>
      </c>
      <c r="F134" s="116" t="n">
        <f aca="false">SUMIFS('مبيعات يومية'!$D$2:$D$8001,'مبيعات يومية'!$C$2:$C$8001,$A134,'مبيعات يومية'!$B$2:$B$8001,'إعدادات المخزون'!$A$16,'مبيعات يومية'!$A$2:$A$8001,"&gt;="&amp;'إعدادات المخزون'!$B$5,'مبيعات يومية'!$A$2:$A$8001,"&lt;="&amp;'إعدادات المخزون'!$B$4)</f>
        <v>0</v>
      </c>
      <c r="G134" s="116" t="n">
        <f aca="false">SUMIFS('مبيعات يومية'!$D$2:$D$8001,'مبيعات يومية'!$C$2:$C$8001,$A134,'مبيعات يومية'!$B$2:$B$8001,'إعدادات المخزون'!$A$16,'مبيعات يومية'!$A$2:$A$8001,"&gt;"&amp;('إعدادات المخزون'!$B$4-'إعدادات المخزون'!$B$11),'مبيعات يومية'!$A$2:$A$8001,"&lt;="&amp;'إعدادات المخزون'!$B$4)</f>
        <v>0</v>
      </c>
      <c r="H134" s="116" t="n">
        <f aca="false">SUMIFS('مبيعات يومية'!$D$2:$D$8001,'مبيعات يومية'!$C$2:$C$8001,$A134,'مبيعات يومية'!$B$2:$B$8001,'إعدادات المخزون'!$A$17,'مبيعات يومية'!$A$2:$A$8001,'إعدادات المخزون'!$B$4)</f>
        <v>0</v>
      </c>
      <c r="I134" s="116" t="n">
        <f aca="false">SUMIFS('مبيعات يومية'!$D$2:$D$8001,'مبيعات يومية'!$C$2:$C$8001,$A134,'مبيعات يومية'!$B$2:$B$8001,'إعدادات المخزون'!$A$17,'مبيعات يومية'!$A$2:$A$8001,"&gt;="&amp;'إعدادات المخزون'!$B$5,'مبيعات يومية'!$A$2:$A$8001,"&lt;="&amp;'إعدادات المخزون'!$B$4)</f>
        <v>0</v>
      </c>
      <c r="J134" s="116" t="n">
        <f aca="false">SUMIFS('مبيعات يومية'!$D$2:$D$8001,'مبيعات يومية'!$C$2:$C$8001,$A134,'مبيعات يومية'!$B$2:$B$8001,'إعدادات المخزون'!$A$17,'مبيعات يومية'!$A$2:$A$8001,"&gt;"&amp;('إعدادات المخزون'!$B$4-'إعدادات المخزون'!$B$11),'مبيعات يومية'!$A$2:$A$8001,"&lt;="&amp;'إعدادات المخزون'!$B$4)</f>
        <v>0</v>
      </c>
    </row>
    <row r="135" customFormat="false" ht="15" hidden="false" customHeight="false" outlineLevel="0" collapsed="false">
      <c r="A135" s="114" t="str">
        <f aca="false">المنيو!B135</f>
        <v>اضافة جبنة رومي (بيتزا وسط)</v>
      </c>
      <c r="B135" s="116" t="n">
        <f aca="false">SUMIFS('مبيعات يومية'!$D$2:$D$8001,'مبيعات يومية'!$C$2:$C$8001,$A135,'مبيعات يومية'!$B$2:$B$8001,'إعدادات المخزون'!$A$15,'مبيعات يومية'!$A$2:$A$8001,'إعدادات المخزون'!$B$4)</f>
        <v>0</v>
      </c>
      <c r="C135" s="116" t="n">
        <f aca="false">SUMIFS('مبيعات يومية'!$D$2:$D$8001,'مبيعات يومية'!$C$2:$C$8001,$A135,'مبيعات يومية'!$B$2:$B$8001,'إعدادات المخزون'!$A$15,'مبيعات يومية'!$A$2:$A$8001,"&gt;="&amp;'إعدادات المخزون'!$B$5,'مبيعات يومية'!$A$2:$A$8001,"&lt;="&amp;'إعدادات المخزون'!$B$4)</f>
        <v>0</v>
      </c>
      <c r="D135" s="116" t="n">
        <f aca="false">SUMIFS('مبيعات يومية'!$D$2:$D$8001,'مبيعات يومية'!$C$2:$C$8001,$A135,'مبيعات يومية'!$B$2:$B$8001,'إعدادات المخزون'!$A$15,'مبيعات يومية'!$A$2:$A$8001,"&gt;"&amp;('إعدادات المخزون'!$B$4-'إعدادات المخزون'!$B$11),'مبيعات يومية'!$A$2:$A$8001,"&lt;="&amp;'إعدادات المخزون'!$B$4)</f>
        <v>0</v>
      </c>
      <c r="E135" s="116" t="n">
        <f aca="false">SUMIFS('مبيعات يومية'!$D$2:$D$8001,'مبيعات يومية'!$C$2:$C$8001,$A135,'مبيعات يومية'!$B$2:$B$8001,'إعدادات المخزون'!$A$16,'مبيعات يومية'!$A$2:$A$8001,'إعدادات المخزون'!$B$4)</f>
        <v>0</v>
      </c>
      <c r="F135" s="116" t="n">
        <f aca="false">SUMIFS('مبيعات يومية'!$D$2:$D$8001,'مبيعات يومية'!$C$2:$C$8001,$A135,'مبيعات يومية'!$B$2:$B$8001,'إعدادات المخزون'!$A$16,'مبيعات يومية'!$A$2:$A$8001,"&gt;="&amp;'إعدادات المخزون'!$B$5,'مبيعات يومية'!$A$2:$A$8001,"&lt;="&amp;'إعدادات المخزون'!$B$4)</f>
        <v>0</v>
      </c>
      <c r="G135" s="116" t="n">
        <f aca="false">SUMIFS('مبيعات يومية'!$D$2:$D$8001,'مبيعات يومية'!$C$2:$C$8001,$A135,'مبيعات يومية'!$B$2:$B$8001,'إعدادات المخزون'!$A$16,'مبيعات يومية'!$A$2:$A$8001,"&gt;"&amp;('إعدادات المخزون'!$B$4-'إعدادات المخزون'!$B$11),'مبيعات يومية'!$A$2:$A$8001,"&lt;="&amp;'إعدادات المخزون'!$B$4)</f>
        <v>0</v>
      </c>
      <c r="H135" s="116" t="n">
        <f aca="false">SUMIFS('مبيعات يومية'!$D$2:$D$8001,'مبيعات يومية'!$C$2:$C$8001,$A135,'مبيعات يومية'!$B$2:$B$8001,'إعدادات المخزون'!$A$17,'مبيعات يومية'!$A$2:$A$8001,'إعدادات المخزون'!$B$4)</f>
        <v>0</v>
      </c>
      <c r="I135" s="116" t="n">
        <f aca="false">SUMIFS('مبيعات يومية'!$D$2:$D$8001,'مبيعات يومية'!$C$2:$C$8001,$A135,'مبيعات يومية'!$B$2:$B$8001,'إعدادات المخزون'!$A$17,'مبيعات يومية'!$A$2:$A$8001,"&gt;="&amp;'إعدادات المخزون'!$B$5,'مبيعات يومية'!$A$2:$A$8001,"&lt;="&amp;'إعدادات المخزون'!$B$4)</f>
        <v>0</v>
      </c>
      <c r="J135" s="116" t="n">
        <f aca="false">SUMIFS('مبيعات يومية'!$D$2:$D$8001,'مبيعات يومية'!$C$2:$C$8001,$A135,'مبيعات يومية'!$B$2:$B$8001,'إعدادات المخزون'!$A$17,'مبيعات يومية'!$A$2:$A$8001,"&gt;"&amp;('إعدادات المخزون'!$B$4-'إعدادات المخزون'!$B$11),'مبيعات يومية'!$A$2:$A$8001,"&lt;="&amp;'إعدادات المخزون'!$B$4)</f>
        <v>0</v>
      </c>
    </row>
    <row r="136" customFormat="false" ht="15" hidden="false" customHeight="false" outlineLevel="0" collapsed="false">
      <c r="A136" s="114" t="str">
        <f aca="false">المنيو!B136</f>
        <v>اضافة جبنة رومي (فطير وسط)</v>
      </c>
      <c r="B136" s="116" t="n">
        <f aca="false">SUMIFS('مبيعات يومية'!$D$2:$D$8001,'مبيعات يومية'!$C$2:$C$8001,$A136,'مبيعات يومية'!$B$2:$B$8001,'إعدادات المخزون'!$A$15,'مبيعات يومية'!$A$2:$A$8001,'إعدادات المخزون'!$B$4)</f>
        <v>0</v>
      </c>
      <c r="C136" s="116" t="n">
        <f aca="false">SUMIFS('مبيعات يومية'!$D$2:$D$8001,'مبيعات يومية'!$C$2:$C$8001,$A136,'مبيعات يومية'!$B$2:$B$8001,'إعدادات المخزون'!$A$15,'مبيعات يومية'!$A$2:$A$8001,"&gt;="&amp;'إعدادات المخزون'!$B$5,'مبيعات يومية'!$A$2:$A$8001,"&lt;="&amp;'إعدادات المخزون'!$B$4)</f>
        <v>0</v>
      </c>
      <c r="D136" s="116" t="n">
        <f aca="false">SUMIFS('مبيعات يومية'!$D$2:$D$8001,'مبيعات يومية'!$C$2:$C$8001,$A136,'مبيعات يومية'!$B$2:$B$8001,'إعدادات المخزون'!$A$15,'مبيعات يومية'!$A$2:$A$8001,"&gt;"&amp;('إعدادات المخزون'!$B$4-'إعدادات المخزون'!$B$11),'مبيعات يومية'!$A$2:$A$8001,"&lt;="&amp;'إعدادات المخزون'!$B$4)</f>
        <v>0</v>
      </c>
      <c r="E136" s="116" t="n">
        <f aca="false">SUMIFS('مبيعات يومية'!$D$2:$D$8001,'مبيعات يومية'!$C$2:$C$8001,$A136,'مبيعات يومية'!$B$2:$B$8001,'إعدادات المخزون'!$A$16,'مبيعات يومية'!$A$2:$A$8001,'إعدادات المخزون'!$B$4)</f>
        <v>0</v>
      </c>
      <c r="F136" s="116" t="n">
        <f aca="false">SUMIFS('مبيعات يومية'!$D$2:$D$8001,'مبيعات يومية'!$C$2:$C$8001,$A136,'مبيعات يومية'!$B$2:$B$8001,'إعدادات المخزون'!$A$16,'مبيعات يومية'!$A$2:$A$8001,"&gt;="&amp;'إعدادات المخزون'!$B$5,'مبيعات يومية'!$A$2:$A$8001,"&lt;="&amp;'إعدادات المخزون'!$B$4)</f>
        <v>0</v>
      </c>
      <c r="G136" s="116" t="n">
        <f aca="false">SUMIFS('مبيعات يومية'!$D$2:$D$8001,'مبيعات يومية'!$C$2:$C$8001,$A136,'مبيعات يومية'!$B$2:$B$8001,'إعدادات المخزون'!$A$16,'مبيعات يومية'!$A$2:$A$8001,"&gt;"&amp;('إعدادات المخزون'!$B$4-'إعدادات المخزون'!$B$11),'مبيعات يومية'!$A$2:$A$8001,"&lt;="&amp;'إعدادات المخزون'!$B$4)</f>
        <v>0</v>
      </c>
      <c r="H136" s="116" t="n">
        <f aca="false">SUMIFS('مبيعات يومية'!$D$2:$D$8001,'مبيعات يومية'!$C$2:$C$8001,$A136,'مبيعات يومية'!$B$2:$B$8001,'إعدادات المخزون'!$A$17,'مبيعات يومية'!$A$2:$A$8001,'إعدادات المخزون'!$B$4)</f>
        <v>0</v>
      </c>
      <c r="I136" s="116" t="n">
        <f aca="false">SUMIFS('مبيعات يومية'!$D$2:$D$8001,'مبيعات يومية'!$C$2:$C$8001,$A136,'مبيعات يومية'!$B$2:$B$8001,'إعدادات المخزون'!$A$17,'مبيعات يومية'!$A$2:$A$8001,"&gt;="&amp;'إعدادات المخزون'!$B$5,'مبيعات يومية'!$A$2:$A$8001,"&lt;="&amp;'إعدادات المخزون'!$B$4)</f>
        <v>0</v>
      </c>
      <c r="J136" s="116" t="n">
        <f aca="false">SUMIFS('مبيعات يومية'!$D$2:$D$8001,'مبيعات يومية'!$C$2:$C$8001,$A136,'مبيعات يومية'!$B$2:$B$8001,'إعدادات المخزون'!$A$17,'مبيعات يومية'!$A$2:$A$8001,"&gt;"&amp;('إعدادات المخزون'!$B$4-'إعدادات المخزون'!$B$11),'مبيعات يومية'!$A$2:$A$8001,"&lt;="&amp;'إعدادات المخزون'!$B$4)</f>
        <v>0</v>
      </c>
    </row>
    <row r="137" customFormat="false" ht="15" hidden="false" customHeight="false" outlineLevel="0" collapsed="false">
      <c r="A137" s="114" t="str">
        <f aca="false">المنيو!B137</f>
        <v>اضافة جبنة رومي (فطير كبير)</v>
      </c>
      <c r="B137" s="116" t="n">
        <f aca="false">SUMIFS('مبيعات يومية'!$D$2:$D$8001,'مبيعات يومية'!$C$2:$C$8001,$A137,'مبيعات يومية'!$B$2:$B$8001,'إعدادات المخزون'!$A$15,'مبيعات يومية'!$A$2:$A$8001,'إعدادات المخزون'!$B$4)</f>
        <v>0</v>
      </c>
      <c r="C137" s="116" t="n">
        <f aca="false">SUMIFS('مبيعات يومية'!$D$2:$D$8001,'مبيعات يومية'!$C$2:$C$8001,$A137,'مبيعات يومية'!$B$2:$B$8001,'إعدادات المخزون'!$A$15,'مبيعات يومية'!$A$2:$A$8001,"&gt;="&amp;'إعدادات المخزون'!$B$5,'مبيعات يومية'!$A$2:$A$8001,"&lt;="&amp;'إعدادات المخزون'!$B$4)</f>
        <v>0</v>
      </c>
      <c r="D137" s="116" t="n">
        <f aca="false">SUMIFS('مبيعات يومية'!$D$2:$D$8001,'مبيعات يومية'!$C$2:$C$8001,$A137,'مبيعات يومية'!$B$2:$B$8001,'إعدادات المخزون'!$A$15,'مبيعات يومية'!$A$2:$A$8001,"&gt;"&amp;('إعدادات المخزون'!$B$4-'إعدادات المخزون'!$B$11),'مبيعات يومية'!$A$2:$A$8001,"&lt;="&amp;'إعدادات المخزون'!$B$4)</f>
        <v>0</v>
      </c>
      <c r="E137" s="116" t="n">
        <f aca="false">SUMIFS('مبيعات يومية'!$D$2:$D$8001,'مبيعات يومية'!$C$2:$C$8001,$A137,'مبيعات يومية'!$B$2:$B$8001,'إعدادات المخزون'!$A$16,'مبيعات يومية'!$A$2:$A$8001,'إعدادات المخزون'!$B$4)</f>
        <v>0</v>
      </c>
      <c r="F137" s="116" t="n">
        <f aca="false">SUMIFS('مبيعات يومية'!$D$2:$D$8001,'مبيعات يومية'!$C$2:$C$8001,$A137,'مبيعات يومية'!$B$2:$B$8001,'إعدادات المخزون'!$A$16,'مبيعات يومية'!$A$2:$A$8001,"&gt;="&amp;'إعدادات المخزون'!$B$5,'مبيعات يومية'!$A$2:$A$8001,"&lt;="&amp;'إعدادات المخزون'!$B$4)</f>
        <v>0</v>
      </c>
      <c r="G137" s="116" t="n">
        <f aca="false">SUMIFS('مبيعات يومية'!$D$2:$D$8001,'مبيعات يومية'!$C$2:$C$8001,$A137,'مبيعات يومية'!$B$2:$B$8001,'إعدادات المخزون'!$A$16,'مبيعات يومية'!$A$2:$A$8001,"&gt;"&amp;('إعدادات المخزون'!$B$4-'إعدادات المخزون'!$B$11),'مبيعات يومية'!$A$2:$A$8001,"&lt;="&amp;'إعدادات المخزون'!$B$4)</f>
        <v>0</v>
      </c>
      <c r="H137" s="116" t="n">
        <f aca="false">SUMIFS('مبيعات يومية'!$D$2:$D$8001,'مبيعات يومية'!$C$2:$C$8001,$A137,'مبيعات يومية'!$B$2:$B$8001,'إعدادات المخزون'!$A$17,'مبيعات يومية'!$A$2:$A$8001,'إعدادات المخزون'!$B$4)</f>
        <v>0</v>
      </c>
      <c r="I137" s="116" t="n">
        <f aca="false">SUMIFS('مبيعات يومية'!$D$2:$D$8001,'مبيعات يومية'!$C$2:$C$8001,$A137,'مبيعات يومية'!$B$2:$B$8001,'إعدادات المخزون'!$A$17,'مبيعات يومية'!$A$2:$A$8001,"&gt;="&amp;'إعدادات المخزون'!$B$5,'مبيعات يومية'!$A$2:$A$8001,"&lt;="&amp;'إعدادات المخزون'!$B$4)</f>
        <v>0</v>
      </c>
      <c r="J137" s="116" t="n">
        <f aca="false">SUMIFS('مبيعات يومية'!$D$2:$D$8001,'مبيعات يومية'!$C$2:$C$8001,$A137,'مبيعات يومية'!$B$2:$B$8001,'إعدادات المخزون'!$A$17,'مبيعات يومية'!$A$2:$A$8001,"&gt;"&amp;('إعدادات المخزون'!$B$4-'إعدادات المخزون'!$B$11),'مبيعات يومية'!$A$2:$A$8001,"&lt;="&amp;'إعدادات المخزون'!$B$4)</f>
        <v>0</v>
      </c>
    </row>
    <row r="138" customFormat="false" ht="15" hidden="false" customHeight="false" outlineLevel="0" collapsed="false">
      <c r="A138" s="114" t="str">
        <f aca="false">المنيو!B138</f>
        <v>اضافة مكسرات (وسط)</v>
      </c>
      <c r="B138" s="116" t="n">
        <f aca="false">SUMIFS('مبيعات يومية'!$D$2:$D$8001,'مبيعات يومية'!$C$2:$C$8001,$A138,'مبيعات يومية'!$B$2:$B$8001,'إعدادات المخزون'!$A$15,'مبيعات يومية'!$A$2:$A$8001,'إعدادات المخزون'!$B$4)</f>
        <v>0</v>
      </c>
      <c r="C138" s="116" t="n">
        <f aca="false">SUMIFS('مبيعات يومية'!$D$2:$D$8001,'مبيعات يومية'!$C$2:$C$8001,$A138,'مبيعات يومية'!$B$2:$B$8001,'إعدادات المخزون'!$A$15,'مبيعات يومية'!$A$2:$A$8001,"&gt;="&amp;'إعدادات المخزون'!$B$5,'مبيعات يومية'!$A$2:$A$8001,"&lt;="&amp;'إعدادات المخزون'!$B$4)</f>
        <v>0</v>
      </c>
      <c r="D138" s="116" t="n">
        <f aca="false">SUMIFS('مبيعات يومية'!$D$2:$D$8001,'مبيعات يومية'!$C$2:$C$8001,$A138,'مبيعات يومية'!$B$2:$B$8001,'إعدادات المخزون'!$A$15,'مبيعات يومية'!$A$2:$A$8001,"&gt;"&amp;('إعدادات المخزون'!$B$4-'إعدادات المخزون'!$B$11),'مبيعات يومية'!$A$2:$A$8001,"&lt;="&amp;'إعدادات المخزون'!$B$4)</f>
        <v>0</v>
      </c>
      <c r="E138" s="116" t="n">
        <f aca="false">SUMIFS('مبيعات يومية'!$D$2:$D$8001,'مبيعات يومية'!$C$2:$C$8001,$A138,'مبيعات يومية'!$B$2:$B$8001,'إعدادات المخزون'!$A$16,'مبيعات يومية'!$A$2:$A$8001,'إعدادات المخزون'!$B$4)</f>
        <v>0</v>
      </c>
      <c r="F138" s="116" t="n">
        <f aca="false">SUMIFS('مبيعات يومية'!$D$2:$D$8001,'مبيعات يومية'!$C$2:$C$8001,$A138,'مبيعات يومية'!$B$2:$B$8001,'إعدادات المخزون'!$A$16,'مبيعات يومية'!$A$2:$A$8001,"&gt;="&amp;'إعدادات المخزون'!$B$5,'مبيعات يومية'!$A$2:$A$8001,"&lt;="&amp;'إعدادات المخزون'!$B$4)</f>
        <v>0</v>
      </c>
      <c r="G138" s="116" t="n">
        <f aca="false">SUMIFS('مبيعات يومية'!$D$2:$D$8001,'مبيعات يومية'!$C$2:$C$8001,$A138,'مبيعات يومية'!$B$2:$B$8001,'إعدادات المخزون'!$A$16,'مبيعات يومية'!$A$2:$A$8001,"&gt;"&amp;('إعدادات المخزون'!$B$4-'إعدادات المخزون'!$B$11),'مبيعات يومية'!$A$2:$A$8001,"&lt;="&amp;'إعدادات المخزون'!$B$4)</f>
        <v>0</v>
      </c>
      <c r="H138" s="116" t="n">
        <f aca="false">SUMIFS('مبيعات يومية'!$D$2:$D$8001,'مبيعات يومية'!$C$2:$C$8001,$A138,'مبيعات يومية'!$B$2:$B$8001,'إعدادات المخزون'!$A$17,'مبيعات يومية'!$A$2:$A$8001,'إعدادات المخزون'!$B$4)</f>
        <v>0</v>
      </c>
      <c r="I138" s="116" t="n">
        <f aca="false">SUMIFS('مبيعات يومية'!$D$2:$D$8001,'مبيعات يومية'!$C$2:$C$8001,$A138,'مبيعات يومية'!$B$2:$B$8001,'إعدادات المخزون'!$A$17,'مبيعات يومية'!$A$2:$A$8001,"&gt;="&amp;'إعدادات المخزون'!$B$5,'مبيعات يومية'!$A$2:$A$8001,"&lt;="&amp;'إعدادات المخزون'!$B$4)</f>
        <v>0</v>
      </c>
      <c r="J138" s="116" t="n">
        <f aca="false">SUMIFS('مبيعات يومية'!$D$2:$D$8001,'مبيعات يومية'!$C$2:$C$8001,$A138,'مبيعات يومية'!$B$2:$B$8001,'إعدادات المخزون'!$A$17,'مبيعات يومية'!$A$2:$A$8001,"&gt;"&amp;('إعدادات المخزون'!$B$4-'إعدادات المخزون'!$B$11),'مبيعات يومية'!$A$2:$A$8001,"&lt;="&amp;'إعدادات المخزون'!$B$4)</f>
        <v>0</v>
      </c>
    </row>
    <row r="139" customFormat="false" ht="15" hidden="false" customHeight="false" outlineLevel="0" collapsed="false">
      <c r="A139" s="114" t="str">
        <f aca="false">المنيو!B139</f>
        <v>اضافة مكسرات (كبير)</v>
      </c>
      <c r="B139" s="116" t="n">
        <f aca="false">SUMIFS('مبيعات يومية'!$D$2:$D$8001,'مبيعات يومية'!$C$2:$C$8001,$A139,'مبيعات يومية'!$B$2:$B$8001,'إعدادات المخزون'!$A$15,'مبيعات يومية'!$A$2:$A$8001,'إعدادات المخزون'!$B$4)</f>
        <v>0</v>
      </c>
      <c r="C139" s="116" t="n">
        <f aca="false">SUMIFS('مبيعات يومية'!$D$2:$D$8001,'مبيعات يومية'!$C$2:$C$8001,$A139,'مبيعات يومية'!$B$2:$B$8001,'إعدادات المخزون'!$A$15,'مبيعات يومية'!$A$2:$A$8001,"&gt;="&amp;'إعدادات المخزون'!$B$5,'مبيعات يومية'!$A$2:$A$8001,"&lt;="&amp;'إعدادات المخزون'!$B$4)</f>
        <v>0</v>
      </c>
      <c r="D139" s="116" t="n">
        <f aca="false">SUMIFS('مبيعات يومية'!$D$2:$D$8001,'مبيعات يومية'!$C$2:$C$8001,$A139,'مبيعات يومية'!$B$2:$B$8001,'إعدادات المخزون'!$A$15,'مبيعات يومية'!$A$2:$A$8001,"&gt;"&amp;('إعدادات المخزون'!$B$4-'إعدادات المخزون'!$B$11),'مبيعات يومية'!$A$2:$A$8001,"&lt;="&amp;'إعدادات المخزون'!$B$4)</f>
        <v>0</v>
      </c>
      <c r="E139" s="116" t="n">
        <f aca="false">SUMIFS('مبيعات يومية'!$D$2:$D$8001,'مبيعات يومية'!$C$2:$C$8001,$A139,'مبيعات يومية'!$B$2:$B$8001,'إعدادات المخزون'!$A$16,'مبيعات يومية'!$A$2:$A$8001,'إعدادات المخزون'!$B$4)</f>
        <v>0</v>
      </c>
      <c r="F139" s="116" t="n">
        <f aca="false">SUMIFS('مبيعات يومية'!$D$2:$D$8001,'مبيعات يومية'!$C$2:$C$8001,$A139,'مبيعات يومية'!$B$2:$B$8001,'إعدادات المخزون'!$A$16,'مبيعات يومية'!$A$2:$A$8001,"&gt;="&amp;'إعدادات المخزون'!$B$5,'مبيعات يومية'!$A$2:$A$8001,"&lt;="&amp;'إعدادات المخزون'!$B$4)</f>
        <v>0</v>
      </c>
      <c r="G139" s="116" t="n">
        <f aca="false">SUMIFS('مبيعات يومية'!$D$2:$D$8001,'مبيعات يومية'!$C$2:$C$8001,$A139,'مبيعات يومية'!$B$2:$B$8001,'إعدادات المخزون'!$A$16,'مبيعات يومية'!$A$2:$A$8001,"&gt;"&amp;('إعدادات المخزون'!$B$4-'إعدادات المخزون'!$B$11),'مبيعات يومية'!$A$2:$A$8001,"&lt;="&amp;'إعدادات المخزون'!$B$4)</f>
        <v>0</v>
      </c>
      <c r="H139" s="116" t="n">
        <f aca="false">SUMIFS('مبيعات يومية'!$D$2:$D$8001,'مبيعات يومية'!$C$2:$C$8001,$A139,'مبيعات يومية'!$B$2:$B$8001,'إعدادات المخزون'!$A$17,'مبيعات يومية'!$A$2:$A$8001,'إعدادات المخزون'!$B$4)</f>
        <v>0</v>
      </c>
      <c r="I139" s="116" t="n">
        <f aca="false">SUMIFS('مبيعات يومية'!$D$2:$D$8001,'مبيعات يومية'!$C$2:$C$8001,$A139,'مبيعات يومية'!$B$2:$B$8001,'إعدادات المخزون'!$A$17,'مبيعات يومية'!$A$2:$A$8001,"&gt;="&amp;'إعدادات المخزون'!$B$5,'مبيعات يومية'!$A$2:$A$8001,"&lt;="&amp;'إعدادات المخزون'!$B$4)</f>
        <v>0</v>
      </c>
      <c r="J139" s="116" t="n">
        <f aca="false">SUMIFS('مبيعات يومية'!$D$2:$D$8001,'مبيعات يومية'!$C$2:$C$8001,$A139,'مبيعات يومية'!$B$2:$B$8001,'إعدادات المخزون'!$A$17,'مبيعات يومية'!$A$2:$A$8001,"&gt;"&amp;('إعدادات المخزون'!$B$4-'إعدادات المخزون'!$B$11),'مبيعات يومية'!$A$2:$A$8001,"&lt;="&amp;'إعدادات المخزون'!$B$4)</f>
        <v>0</v>
      </c>
    </row>
    <row r="140" customFormat="false" ht="15" hidden="false" customHeight="false" outlineLevel="0" collapsed="false">
      <c r="A140" s="114" t="str">
        <f aca="false">المنيو!B140</f>
        <v>اضافة شيكولاتة (عام)</v>
      </c>
      <c r="B140" s="116" t="n">
        <f aca="false">SUMIFS('مبيعات يومية'!$D$2:$D$8001,'مبيعات يومية'!$C$2:$C$8001,$A140,'مبيعات يومية'!$B$2:$B$8001,'إعدادات المخزون'!$A$15,'مبيعات يومية'!$A$2:$A$8001,'إعدادات المخزون'!$B$4)</f>
        <v>0</v>
      </c>
      <c r="C140" s="116" t="n">
        <f aca="false">SUMIFS('مبيعات يومية'!$D$2:$D$8001,'مبيعات يومية'!$C$2:$C$8001,$A140,'مبيعات يومية'!$B$2:$B$8001,'إعدادات المخزون'!$A$15,'مبيعات يومية'!$A$2:$A$8001,"&gt;="&amp;'إعدادات المخزون'!$B$5,'مبيعات يومية'!$A$2:$A$8001,"&lt;="&amp;'إعدادات المخزون'!$B$4)</f>
        <v>0</v>
      </c>
      <c r="D140" s="116" t="n">
        <f aca="false">SUMIFS('مبيعات يومية'!$D$2:$D$8001,'مبيعات يومية'!$C$2:$C$8001,$A140,'مبيعات يومية'!$B$2:$B$8001,'إعدادات المخزون'!$A$15,'مبيعات يومية'!$A$2:$A$8001,"&gt;"&amp;('إعدادات المخزون'!$B$4-'إعدادات المخزون'!$B$11),'مبيعات يومية'!$A$2:$A$8001,"&lt;="&amp;'إعدادات المخزون'!$B$4)</f>
        <v>0</v>
      </c>
      <c r="E140" s="116" t="n">
        <f aca="false">SUMIFS('مبيعات يومية'!$D$2:$D$8001,'مبيعات يومية'!$C$2:$C$8001,$A140,'مبيعات يومية'!$B$2:$B$8001,'إعدادات المخزون'!$A$16,'مبيعات يومية'!$A$2:$A$8001,'إعدادات المخزون'!$B$4)</f>
        <v>0</v>
      </c>
      <c r="F140" s="116" t="n">
        <f aca="false">SUMIFS('مبيعات يومية'!$D$2:$D$8001,'مبيعات يومية'!$C$2:$C$8001,$A140,'مبيعات يومية'!$B$2:$B$8001,'إعدادات المخزون'!$A$16,'مبيعات يومية'!$A$2:$A$8001,"&gt;="&amp;'إعدادات المخزون'!$B$5,'مبيعات يومية'!$A$2:$A$8001,"&lt;="&amp;'إعدادات المخزون'!$B$4)</f>
        <v>0</v>
      </c>
      <c r="G140" s="116" t="n">
        <f aca="false">SUMIFS('مبيعات يومية'!$D$2:$D$8001,'مبيعات يومية'!$C$2:$C$8001,$A140,'مبيعات يومية'!$B$2:$B$8001,'إعدادات المخزون'!$A$16,'مبيعات يومية'!$A$2:$A$8001,"&gt;"&amp;('إعدادات المخزون'!$B$4-'إعدادات المخزون'!$B$11),'مبيعات يومية'!$A$2:$A$8001,"&lt;="&amp;'إعدادات المخزون'!$B$4)</f>
        <v>0</v>
      </c>
      <c r="H140" s="116" t="n">
        <f aca="false">SUMIFS('مبيعات يومية'!$D$2:$D$8001,'مبيعات يومية'!$C$2:$C$8001,$A140,'مبيعات يومية'!$B$2:$B$8001,'إعدادات المخزون'!$A$17,'مبيعات يومية'!$A$2:$A$8001,'إعدادات المخزون'!$B$4)</f>
        <v>0</v>
      </c>
      <c r="I140" s="116" t="n">
        <f aca="false">SUMIFS('مبيعات يومية'!$D$2:$D$8001,'مبيعات يومية'!$C$2:$C$8001,$A140,'مبيعات يومية'!$B$2:$B$8001,'إعدادات المخزون'!$A$17,'مبيعات يومية'!$A$2:$A$8001,"&gt;="&amp;'إعدادات المخزون'!$B$5,'مبيعات يومية'!$A$2:$A$8001,"&lt;="&amp;'إعدادات المخزون'!$B$4)</f>
        <v>0</v>
      </c>
      <c r="J140" s="116" t="n">
        <f aca="false">SUMIFS('مبيعات يومية'!$D$2:$D$8001,'مبيعات يومية'!$C$2:$C$8001,$A140,'مبيعات يومية'!$B$2:$B$8001,'إعدادات المخزون'!$A$17,'مبيعات يومية'!$A$2:$A$8001,"&gt;"&amp;('إعدادات المخزون'!$B$4-'إعدادات المخزون'!$B$11),'مبيعات يومية'!$A$2:$A$8001,"&lt;="&amp;'إعدادات المخزون'!$B$4)</f>
        <v>0</v>
      </c>
    </row>
    <row r="141" customFormat="false" ht="15" hidden="false" customHeight="false" outlineLevel="0" collapsed="false">
      <c r="A141" s="114" t="str">
        <f aca="false">المنيو!B141</f>
        <v>اضافة قشطة (عام)</v>
      </c>
      <c r="B141" s="116" t="n">
        <f aca="false">SUMIFS('مبيعات يومية'!$D$2:$D$8001,'مبيعات يومية'!$C$2:$C$8001,$A141,'مبيعات يومية'!$B$2:$B$8001,'إعدادات المخزون'!$A$15,'مبيعات يومية'!$A$2:$A$8001,'إعدادات المخزون'!$B$4)</f>
        <v>0</v>
      </c>
      <c r="C141" s="116" t="n">
        <f aca="false">SUMIFS('مبيعات يومية'!$D$2:$D$8001,'مبيعات يومية'!$C$2:$C$8001,$A141,'مبيعات يومية'!$B$2:$B$8001,'إعدادات المخزون'!$A$15,'مبيعات يومية'!$A$2:$A$8001,"&gt;="&amp;'إعدادات المخزون'!$B$5,'مبيعات يومية'!$A$2:$A$8001,"&lt;="&amp;'إعدادات المخزون'!$B$4)</f>
        <v>0</v>
      </c>
      <c r="D141" s="116" t="n">
        <f aca="false">SUMIFS('مبيعات يومية'!$D$2:$D$8001,'مبيعات يومية'!$C$2:$C$8001,$A141,'مبيعات يومية'!$B$2:$B$8001,'إعدادات المخزون'!$A$15,'مبيعات يومية'!$A$2:$A$8001,"&gt;"&amp;('إعدادات المخزون'!$B$4-'إعدادات المخزون'!$B$11),'مبيعات يومية'!$A$2:$A$8001,"&lt;="&amp;'إعدادات المخزون'!$B$4)</f>
        <v>0</v>
      </c>
      <c r="E141" s="116" t="n">
        <f aca="false">SUMIFS('مبيعات يومية'!$D$2:$D$8001,'مبيعات يومية'!$C$2:$C$8001,$A141,'مبيعات يومية'!$B$2:$B$8001,'إعدادات المخزون'!$A$16,'مبيعات يومية'!$A$2:$A$8001,'إعدادات المخزون'!$B$4)</f>
        <v>0</v>
      </c>
      <c r="F141" s="116" t="n">
        <f aca="false">SUMIFS('مبيعات يومية'!$D$2:$D$8001,'مبيعات يومية'!$C$2:$C$8001,$A141,'مبيعات يومية'!$B$2:$B$8001,'إعدادات المخزون'!$A$16,'مبيعات يومية'!$A$2:$A$8001,"&gt;="&amp;'إعدادات المخزون'!$B$5,'مبيعات يومية'!$A$2:$A$8001,"&lt;="&amp;'إعدادات المخزون'!$B$4)</f>
        <v>0</v>
      </c>
      <c r="G141" s="116" t="n">
        <f aca="false">SUMIFS('مبيعات يومية'!$D$2:$D$8001,'مبيعات يومية'!$C$2:$C$8001,$A141,'مبيعات يومية'!$B$2:$B$8001,'إعدادات المخزون'!$A$16,'مبيعات يومية'!$A$2:$A$8001,"&gt;"&amp;('إعدادات المخزون'!$B$4-'إعدادات المخزون'!$B$11),'مبيعات يومية'!$A$2:$A$8001,"&lt;="&amp;'إعدادات المخزون'!$B$4)</f>
        <v>0</v>
      </c>
      <c r="H141" s="116" t="n">
        <f aca="false">SUMIFS('مبيعات يومية'!$D$2:$D$8001,'مبيعات يومية'!$C$2:$C$8001,$A141,'مبيعات يومية'!$B$2:$B$8001,'إعدادات المخزون'!$A$17,'مبيعات يومية'!$A$2:$A$8001,'إعدادات المخزون'!$B$4)</f>
        <v>0</v>
      </c>
      <c r="I141" s="116" t="n">
        <f aca="false">SUMIFS('مبيعات يومية'!$D$2:$D$8001,'مبيعات يومية'!$C$2:$C$8001,$A141,'مبيعات يومية'!$B$2:$B$8001,'إعدادات المخزون'!$A$17,'مبيعات يومية'!$A$2:$A$8001,"&gt;="&amp;'إعدادات المخزون'!$B$5,'مبيعات يومية'!$A$2:$A$8001,"&lt;="&amp;'إعدادات المخزون'!$B$4)</f>
        <v>0</v>
      </c>
      <c r="J141" s="116" t="n">
        <f aca="false">SUMIFS('مبيعات يومية'!$D$2:$D$8001,'مبيعات يومية'!$C$2:$C$8001,$A141,'مبيعات يومية'!$B$2:$B$8001,'إعدادات المخزون'!$A$17,'مبيعات يومية'!$A$2:$A$8001,"&gt;"&amp;('إعدادات المخزون'!$B$4-'إعدادات المخزون'!$B$11),'مبيعات يومية'!$A$2:$A$8001,"&lt;="&amp;'إعدادات المخزون'!$B$4)</f>
        <v>0</v>
      </c>
    </row>
    <row r="142" customFormat="false" ht="15" hidden="false" customHeight="false" outlineLevel="0" collapsed="false">
      <c r="A142" s="114" t="str">
        <f aca="false">المنيو!B142</f>
        <v>اضافة مفروم (بيتزا وسط)</v>
      </c>
      <c r="B142" s="116" t="n">
        <f aca="false">SUMIFS('مبيعات يومية'!$D$2:$D$8001,'مبيعات يومية'!$C$2:$C$8001,$A142,'مبيعات يومية'!$B$2:$B$8001,'إعدادات المخزون'!$A$15,'مبيعات يومية'!$A$2:$A$8001,'إعدادات المخزون'!$B$4)</f>
        <v>0</v>
      </c>
      <c r="C142" s="116" t="n">
        <f aca="false">SUMIFS('مبيعات يومية'!$D$2:$D$8001,'مبيعات يومية'!$C$2:$C$8001,$A142,'مبيعات يومية'!$B$2:$B$8001,'إعدادات المخزون'!$A$15,'مبيعات يومية'!$A$2:$A$8001,"&gt;="&amp;'إعدادات المخزون'!$B$5,'مبيعات يومية'!$A$2:$A$8001,"&lt;="&amp;'إعدادات المخزون'!$B$4)</f>
        <v>0</v>
      </c>
      <c r="D142" s="116" t="n">
        <f aca="false">SUMIFS('مبيعات يومية'!$D$2:$D$8001,'مبيعات يومية'!$C$2:$C$8001,$A142,'مبيعات يومية'!$B$2:$B$8001,'إعدادات المخزون'!$A$15,'مبيعات يومية'!$A$2:$A$8001,"&gt;"&amp;('إعدادات المخزون'!$B$4-'إعدادات المخزون'!$B$11),'مبيعات يومية'!$A$2:$A$8001,"&lt;="&amp;'إعدادات المخزون'!$B$4)</f>
        <v>0</v>
      </c>
      <c r="E142" s="116" t="n">
        <f aca="false">SUMIFS('مبيعات يومية'!$D$2:$D$8001,'مبيعات يومية'!$C$2:$C$8001,$A142,'مبيعات يومية'!$B$2:$B$8001,'إعدادات المخزون'!$A$16,'مبيعات يومية'!$A$2:$A$8001,'إعدادات المخزون'!$B$4)</f>
        <v>0</v>
      </c>
      <c r="F142" s="116" t="n">
        <f aca="false">SUMIFS('مبيعات يومية'!$D$2:$D$8001,'مبيعات يومية'!$C$2:$C$8001,$A142,'مبيعات يومية'!$B$2:$B$8001,'إعدادات المخزون'!$A$16,'مبيعات يومية'!$A$2:$A$8001,"&gt;="&amp;'إعدادات المخزون'!$B$5,'مبيعات يومية'!$A$2:$A$8001,"&lt;="&amp;'إعدادات المخزون'!$B$4)</f>
        <v>0</v>
      </c>
      <c r="G142" s="116" t="n">
        <f aca="false">SUMIFS('مبيعات يومية'!$D$2:$D$8001,'مبيعات يومية'!$C$2:$C$8001,$A142,'مبيعات يومية'!$B$2:$B$8001,'إعدادات المخزون'!$A$16,'مبيعات يومية'!$A$2:$A$8001,"&gt;"&amp;('إعدادات المخزون'!$B$4-'إعدادات المخزون'!$B$11),'مبيعات يومية'!$A$2:$A$8001,"&lt;="&amp;'إعدادات المخزون'!$B$4)</f>
        <v>0</v>
      </c>
      <c r="H142" s="116" t="n">
        <f aca="false">SUMIFS('مبيعات يومية'!$D$2:$D$8001,'مبيعات يومية'!$C$2:$C$8001,$A142,'مبيعات يومية'!$B$2:$B$8001,'إعدادات المخزون'!$A$17,'مبيعات يومية'!$A$2:$A$8001,'إعدادات المخزون'!$B$4)</f>
        <v>0</v>
      </c>
      <c r="I142" s="116" t="n">
        <f aca="false">SUMIFS('مبيعات يومية'!$D$2:$D$8001,'مبيعات يومية'!$C$2:$C$8001,$A142,'مبيعات يومية'!$B$2:$B$8001,'إعدادات المخزون'!$A$17,'مبيعات يومية'!$A$2:$A$8001,"&gt;="&amp;'إعدادات المخزون'!$B$5,'مبيعات يومية'!$A$2:$A$8001,"&lt;="&amp;'إعدادات المخزون'!$B$4)</f>
        <v>0</v>
      </c>
      <c r="J142" s="116" t="n">
        <f aca="false">SUMIFS('مبيعات يومية'!$D$2:$D$8001,'مبيعات يومية'!$C$2:$C$8001,$A142,'مبيعات يومية'!$B$2:$B$8001,'إعدادات المخزون'!$A$17,'مبيعات يومية'!$A$2:$A$8001,"&gt;"&amp;('إعدادات المخزون'!$B$4-'إعدادات المخزون'!$B$11),'مبيعات يومية'!$A$2:$A$8001,"&lt;="&amp;'إعدادات المخزون'!$B$4)</f>
        <v>0</v>
      </c>
    </row>
    <row r="143" customFormat="false" ht="15" hidden="false" customHeight="false" outlineLevel="0" collapsed="false">
      <c r="A143" s="114" t="str">
        <f aca="false">المنيو!B143</f>
        <v>اضافة مفروم (فطير وسط)</v>
      </c>
      <c r="B143" s="116" t="n">
        <f aca="false">SUMIFS('مبيعات يومية'!$D$2:$D$8001,'مبيعات يومية'!$C$2:$C$8001,$A143,'مبيعات يومية'!$B$2:$B$8001,'إعدادات المخزون'!$A$15,'مبيعات يومية'!$A$2:$A$8001,'إعدادات المخزون'!$B$4)</f>
        <v>0</v>
      </c>
      <c r="C143" s="116" t="n">
        <f aca="false">SUMIFS('مبيعات يومية'!$D$2:$D$8001,'مبيعات يومية'!$C$2:$C$8001,$A143,'مبيعات يومية'!$B$2:$B$8001,'إعدادات المخزون'!$A$15,'مبيعات يومية'!$A$2:$A$8001,"&gt;="&amp;'إعدادات المخزون'!$B$5,'مبيعات يومية'!$A$2:$A$8001,"&lt;="&amp;'إعدادات المخزون'!$B$4)</f>
        <v>0</v>
      </c>
      <c r="D143" s="116" t="n">
        <f aca="false">SUMIFS('مبيعات يومية'!$D$2:$D$8001,'مبيعات يومية'!$C$2:$C$8001,$A143,'مبيعات يومية'!$B$2:$B$8001,'إعدادات المخزون'!$A$15,'مبيعات يومية'!$A$2:$A$8001,"&gt;"&amp;('إعدادات المخزون'!$B$4-'إعدادات المخزون'!$B$11),'مبيعات يومية'!$A$2:$A$8001,"&lt;="&amp;'إعدادات المخزون'!$B$4)</f>
        <v>0</v>
      </c>
      <c r="E143" s="116" t="n">
        <f aca="false">SUMIFS('مبيعات يومية'!$D$2:$D$8001,'مبيعات يومية'!$C$2:$C$8001,$A143,'مبيعات يومية'!$B$2:$B$8001,'إعدادات المخزون'!$A$16,'مبيعات يومية'!$A$2:$A$8001,'إعدادات المخزون'!$B$4)</f>
        <v>0</v>
      </c>
      <c r="F143" s="116" t="n">
        <f aca="false">SUMIFS('مبيعات يومية'!$D$2:$D$8001,'مبيعات يومية'!$C$2:$C$8001,$A143,'مبيعات يومية'!$B$2:$B$8001,'إعدادات المخزون'!$A$16,'مبيعات يومية'!$A$2:$A$8001,"&gt;="&amp;'إعدادات المخزون'!$B$5,'مبيعات يومية'!$A$2:$A$8001,"&lt;="&amp;'إعدادات المخزون'!$B$4)</f>
        <v>0</v>
      </c>
      <c r="G143" s="116" t="n">
        <f aca="false">SUMIFS('مبيعات يومية'!$D$2:$D$8001,'مبيعات يومية'!$C$2:$C$8001,$A143,'مبيعات يومية'!$B$2:$B$8001,'إعدادات المخزون'!$A$16,'مبيعات يومية'!$A$2:$A$8001,"&gt;"&amp;('إعدادات المخزون'!$B$4-'إعدادات المخزون'!$B$11),'مبيعات يومية'!$A$2:$A$8001,"&lt;="&amp;'إعدادات المخزون'!$B$4)</f>
        <v>0</v>
      </c>
      <c r="H143" s="116" t="n">
        <f aca="false">SUMIFS('مبيعات يومية'!$D$2:$D$8001,'مبيعات يومية'!$C$2:$C$8001,$A143,'مبيعات يومية'!$B$2:$B$8001,'إعدادات المخزون'!$A$17,'مبيعات يومية'!$A$2:$A$8001,'إعدادات المخزون'!$B$4)</f>
        <v>0</v>
      </c>
      <c r="I143" s="116" t="n">
        <f aca="false">SUMIFS('مبيعات يومية'!$D$2:$D$8001,'مبيعات يومية'!$C$2:$C$8001,$A143,'مبيعات يومية'!$B$2:$B$8001,'إعدادات المخزون'!$A$17,'مبيعات يومية'!$A$2:$A$8001,"&gt;="&amp;'إعدادات المخزون'!$B$5,'مبيعات يومية'!$A$2:$A$8001,"&lt;="&amp;'إعدادات المخزون'!$B$4)</f>
        <v>0</v>
      </c>
      <c r="J143" s="116" t="n">
        <f aca="false">SUMIFS('مبيعات يومية'!$D$2:$D$8001,'مبيعات يومية'!$C$2:$C$8001,$A143,'مبيعات يومية'!$B$2:$B$8001,'إعدادات المخزون'!$A$17,'مبيعات يومية'!$A$2:$A$8001,"&gt;"&amp;('إعدادات المخزون'!$B$4-'إعدادات المخزون'!$B$11),'مبيعات يومية'!$A$2:$A$8001,"&lt;="&amp;'إعدادات المخزون'!$B$4)</f>
        <v>0</v>
      </c>
    </row>
    <row r="144" customFormat="false" ht="15" hidden="false" customHeight="false" outlineLevel="0" collapsed="false">
      <c r="A144" s="114" t="str">
        <f aca="false">المنيو!B144</f>
        <v>اضافة سدق (بيتزا وسط)</v>
      </c>
      <c r="B144" s="116" t="n">
        <f aca="false">SUMIFS('مبيعات يومية'!$D$2:$D$8001,'مبيعات يومية'!$C$2:$C$8001,$A144,'مبيعات يومية'!$B$2:$B$8001,'إعدادات المخزون'!$A$15,'مبيعات يومية'!$A$2:$A$8001,'إعدادات المخزون'!$B$4)</f>
        <v>0</v>
      </c>
      <c r="C144" s="116" t="n">
        <f aca="false">SUMIFS('مبيعات يومية'!$D$2:$D$8001,'مبيعات يومية'!$C$2:$C$8001,$A144,'مبيعات يومية'!$B$2:$B$8001,'إعدادات المخزون'!$A$15,'مبيعات يومية'!$A$2:$A$8001,"&gt;="&amp;'إعدادات المخزون'!$B$5,'مبيعات يومية'!$A$2:$A$8001,"&lt;="&amp;'إعدادات المخزون'!$B$4)</f>
        <v>0</v>
      </c>
      <c r="D144" s="116" t="n">
        <f aca="false">SUMIFS('مبيعات يومية'!$D$2:$D$8001,'مبيعات يومية'!$C$2:$C$8001,$A144,'مبيعات يومية'!$B$2:$B$8001,'إعدادات المخزون'!$A$15,'مبيعات يومية'!$A$2:$A$8001,"&gt;"&amp;('إعدادات المخزون'!$B$4-'إعدادات المخزون'!$B$11),'مبيعات يومية'!$A$2:$A$8001,"&lt;="&amp;'إعدادات المخزون'!$B$4)</f>
        <v>0</v>
      </c>
      <c r="E144" s="116" t="n">
        <f aca="false">SUMIFS('مبيعات يومية'!$D$2:$D$8001,'مبيعات يومية'!$C$2:$C$8001,$A144,'مبيعات يومية'!$B$2:$B$8001,'إعدادات المخزون'!$A$16,'مبيعات يومية'!$A$2:$A$8001,'إعدادات المخزون'!$B$4)</f>
        <v>0</v>
      </c>
      <c r="F144" s="116" t="n">
        <f aca="false">SUMIFS('مبيعات يومية'!$D$2:$D$8001,'مبيعات يومية'!$C$2:$C$8001,$A144,'مبيعات يومية'!$B$2:$B$8001,'إعدادات المخزون'!$A$16,'مبيعات يومية'!$A$2:$A$8001,"&gt;="&amp;'إعدادات المخزون'!$B$5,'مبيعات يومية'!$A$2:$A$8001,"&lt;="&amp;'إعدادات المخزون'!$B$4)</f>
        <v>0</v>
      </c>
      <c r="G144" s="116" t="n">
        <f aca="false">SUMIFS('مبيعات يومية'!$D$2:$D$8001,'مبيعات يومية'!$C$2:$C$8001,$A144,'مبيعات يومية'!$B$2:$B$8001,'إعدادات المخزون'!$A$16,'مبيعات يومية'!$A$2:$A$8001,"&gt;"&amp;('إعدادات المخزون'!$B$4-'إعدادات المخزون'!$B$11),'مبيعات يومية'!$A$2:$A$8001,"&lt;="&amp;'إعدادات المخزون'!$B$4)</f>
        <v>0</v>
      </c>
      <c r="H144" s="116" t="n">
        <f aca="false">SUMIFS('مبيعات يومية'!$D$2:$D$8001,'مبيعات يومية'!$C$2:$C$8001,$A144,'مبيعات يومية'!$B$2:$B$8001,'إعدادات المخزون'!$A$17,'مبيعات يومية'!$A$2:$A$8001,'إعدادات المخزون'!$B$4)</f>
        <v>0</v>
      </c>
      <c r="I144" s="116" t="n">
        <f aca="false">SUMIFS('مبيعات يومية'!$D$2:$D$8001,'مبيعات يومية'!$C$2:$C$8001,$A144,'مبيعات يومية'!$B$2:$B$8001,'إعدادات المخزون'!$A$17,'مبيعات يومية'!$A$2:$A$8001,"&gt;="&amp;'إعدادات المخزون'!$B$5,'مبيعات يومية'!$A$2:$A$8001,"&lt;="&amp;'إعدادات المخزون'!$B$4)</f>
        <v>0</v>
      </c>
      <c r="J144" s="116" t="n">
        <f aca="false">SUMIFS('مبيعات يومية'!$D$2:$D$8001,'مبيعات يومية'!$C$2:$C$8001,$A144,'مبيعات يومية'!$B$2:$B$8001,'إعدادات المخزون'!$A$17,'مبيعات يومية'!$A$2:$A$8001,"&gt;"&amp;('إعدادات المخزون'!$B$4-'إعدادات المخزون'!$B$11),'مبيعات يومية'!$A$2:$A$8001,"&lt;="&amp;'إعدادات المخزون'!$B$4)</f>
        <v>0</v>
      </c>
    </row>
    <row r="145" customFormat="false" ht="15" hidden="false" customHeight="false" outlineLevel="0" collapsed="false">
      <c r="A145" s="114" t="str">
        <f aca="false">المنيو!B145</f>
        <v>اضافة سدق (فطير وسط)</v>
      </c>
      <c r="B145" s="116" t="n">
        <f aca="false">SUMIFS('مبيعات يومية'!$D$2:$D$8001,'مبيعات يومية'!$C$2:$C$8001,$A145,'مبيعات يومية'!$B$2:$B$8001,'إعدادات المخزون'!$A$15,'مبيعات يومية'!$A$2:$A$8001,'إعدادات المخزون'!$B$4)</f>
        <v>0</v>
      </c>
      <c r="C145" s="116" t="n">
        <f aca="false">SUMIFS('مبيعات يومية'!$D$2:$D$8001,'مبيعات يومية'!$C$2:$C$8001,$A145,'مبيعات يومية'!$B$2:$B$8001,'إعدادات المخزون'!$A$15,'مبيعات يومية'!$A$2:$A$8001,"&gt;="&amp;'إعدادات المخزون'!$B$5,'مبيعات يومية'!$A$2:$A$8001,"&lt;="&amp;'إعدادات المخزون'!$B$4)</f>
        <v>0</v>
      </c>
      <c r="D145" s="116" t="n">
        <f aca="false">SUMIFS('مبيعات يومية'!$D$2:$D$8001,'مبيعات يومية'!$C$2:$C$8001,$A145,'مبيعات يومية'!$B$2:$B$8001,'إعدادات المخزون'!$A$15,'مبيعات يومية'!$A$2:$A$8001,"&gt;"&amp;('إعدادات المخزون'!$B$4-'إعدادات المخزون'!$B$11),'مبيعات يومية'!$A$2:$A$8001,"&lt;="&amp;'إعدادات المخزون'!$B$4)</f>
        <v>0</v>
      </c>
      <c r="E145" s="116" t="n">
        <f aca="false">SUMIFS('مبيعات يومية'!$D$2:$D$8001,'مبيعات يومية'!$C$2:$C$8001,$A145,'مبيعات يومية'!$B$2:$B$8001,'إعدادات المخزون'!$A$16,'مبيعات يومية'!$A$2:$A$8001,'إعدادات المخزون'!$B$4)</f>
        <v>0</v>
      </c>
      <c r="F145" s="116" t="n">
        <f aca="false">SUMIFS('مبيعات يومية'!$D$2:$D$8001,'مبيعات يومية'!$C$2:$C$8001,$A145,'مبيعات يومية'!$B$2:$B$8001,'إعدادات المخزون'!$A$16,'مبيعات يومية'!$A$2:$A$8001,"&gt;="&amp;'إعدادات المخزون'!$B$5,'مبيعات يومية'!$A$2:$A$8001,"&lt;="&amp;'إعدادات المخزون'!$B$4)</f>
        <v>0</v>
      </c>
      <c r="G145" s="116" t="n">
        <f aca="false">SUMIFS('مبيعات يومية'!$D$2:$D$8001,'مبيعات يومية'!$C$2:$C$8001,$A145,'مبيعات يومية'!$B$2:$B$8001,'إعدادات المخزون'!$A$16,'مبيعات يومية'!$A$2:$A$8001,"&gt;"&amp;('إعدادات المخزون'!$B$4-'إعدادات المخزون'!$B$11),'مبيعات يومية'!$A$2:$A$8001,"&lt;="&amp;'إعدادات المخزون'!$B$4)</f>
        <v>0</v>
      </c>
      <c r="H145" s="116" t="n">
        <f aca="false">SUMIFS('مبيعات يومية'!$D$2:$D$8001,'مبيعات يومية'!$C$2:$C$8001,$A145,'مبيعات يومية'!$B$2:$B$8001,'إعدادات المخزون'!$A$17,'مبيعات يومية'!$A$2:$A$8001,'إعدادات المخزون'!$B$4)</f>
        <v>0</v>
      </c>
      <c r="I145" s="116" t="n">
        <f aca="false">SUMIFS('مبيعات يومية'!$D$2:$D$8001,'مبيعات يومية'!$C$2:$C$8001,$A145,'مبيعات يومية'!$B$2:$B$8001,'إعدادات المخزون'!$A$17,'مبيعات يومية'!$A$2:$A$8001,"&gt;="&amp;'إعدادات المخزون'!$B$5,'مبيعات يومية'!$A$2:$A$8001,"&lt;="&amp;'إعدادات المخزون'!$B$4)</f>
        <v>0</v>
      </c>
      <c r="J145" s="116" t="n">
        <f aca="false">SUMIFS('مبيعات يومية'!$D$2:$D$8001,'مبيعات يومية'!$C$2:$C$8001,$A145,'مبيعات يومية'!$B$2:$B$8001,'إعدادات المخزون'!$A$17,'مبيعات يومية'!$A$2:$A$8001,"&gt;"&amp;('إعدادات المخزون'!$B$4-'إعدادات المخزون'!$B$11),'مبيعات يومية'!$A$2:$A$8001,"&lt;="&amp;'إعدادات المخزون'!$B$4)</f>
        <v>0</v>
      </c>
    </row>
    <row r="146" customFormat="false" ht="15" hidden="false" customHeight="false" outlineLevel="0" collapsed="false">
      <c r="A146" s="114" t="str">
        <f aca="false">المنيو!B146</f>
        <v>اضافة سدق (فطير كبير)</v>
      </c>
      <c r="B146" s="116" t="n">
        <f aca="false">SUMIFS('مبيعات يومية'!$D$2:$D$8001,'مبيعات يومية'!$C$2:$C$8001,$A146,'مبيعات يومية'!$B$2:$B$8001,'إعدادات المخزون'!$A$15,'مبيعات يومية'!$A$2:$A$8001,'إعدادات المخزون'!$B$4)</f>
        <v>0</v>
      </c>
      <c r="C146" s="116" t="n">
        <f aca="false">SUMIFS('مبيعات يومية'!$D$2:$D$8001,'مبيعات يومية'!$C$2:$C$8001,$A146,'مبيعات يومية'!$B$2:$B$8001,'إعدادات المخزون'!$A$15,'مبيعات يومية'!$A$2:$A$8001,"&gt;="&amp;'إعدادات المخزون'!$B$5,'مبيعات يومية'!$A$2:$A$8001,"&lt;="&amp;'إعدادات المخزون'!$B$4)</f>
        <v>0</v>
      </c>
      <c r="D146" s="116" t="n">
        <f aca="false">SUMIFS('مبيعات يومية'!$D$2:$D$8001,'مبيعات يومية'!$C$2:$C$8001,$A146,'مبيعات يومية'!$B$2:$B$8001,'إعدادات المخزون'!$A$15,'مبيعات يومية'!$A$2:$A$8001,"&gt;"&amp;('إعدادات المخزون'!$B$4-'إعدادات المخزون'!$B$11),'مبيعات يومية'!$A$2:$A$8001,"&lt;="&amp;'إعدادات المخزون'!$B$4)</f>
        <v>0</v>
      </c>
      <c r="E146" s="116" t="n">
        <f aca="false">SUMIFS('مبيعات يومية'!$D$2:$D$8001,'مبيعات يومية'!$C$2:$C$8001,$A146,'مبيعات يومية'!$B$2:$B$8001,'إعدادات المخزون'!$A$16,'مبيعات يومية'!$A$2:$A$8001,'إعدادات المخزون'!$B$4)</f>
        <v>0</v>
      </c>
      <c r="F146" s="116" t="n">
        <f aca="false">SUMIFS('مبيعات يومية'!$D$2:$D$8001,'مبيعات يومية'!$C$2:$C$8001,$A146,'مبيعات يومية'!$B$2:$B$8001,'إعدادات المخزون'!$A$16,'مبيعات يومية'!$A$2:$A$8001,"&gt;="&amp;'إعدادات المخزون'!$B$5,'مبيعات يومية'!$A$2:$A$8001,"&lt;="&amp;'إعدادات المخزون'!$B$4)</f>
        <v>0</v>
      </c>
      <c r="G146" s="116" t="n">
        <f aca="false">SUMIFS('مبيعات يومية'!$D$2:$D$8001,'مبيعات يومية'!$C$2:$C$8001,$A146,'مبيعات يومية'!$B$2:$B$8001,'إعدادات المخزون'!$A$16,'مبيعات يومية'!$A$2:$A$8001,"&gt;"&amp;('إعدادات المخزون'!$B$4-'إعدادات المخزون'!$B$11),'مبيعات يومية'!$A$2:$A$8001,"&lt;="&amp;'إعدادات المخزون'!$B$4)</f>
        <v>0</v>
      </c>
      <c r="H146" s="116" t="n">
        <f aca="false">SUMIFS('مبيعات يومية'!$D$2:$D$8001,'مبيعات يومية'!$C$2:$C$8001,$A146,'مبيعات يومية'!$B$2:$B$8001,'إعدادات المخزون'!$A$17,'مبيعات يومية'!$A$2:$A$8001,'إعدادات المخزون'!$B$4)</f>
        <v>0</v>
      </c>
      <c r="I146" s="116" t="n">
        <f aca="false">SUMIFS('مبيعات يومية'!$D$2:$D$8001,'مبيعات يومية'!$C$2:$C$8001,$A146,'مبيعات يومية'!$B$2:$B$8001,'إعدادات المخزون'!$A$17,'مبيعات يومية'!$A$2:$A$8001,"&gt;="&amp;'إعدادات المخزون'!$B$5,'مبيعات يومية'!$A$2:$A$8001,"&lt;="&amp;'إعدادات المخزون'!$B$4)</f>
        <v>0</v>
      </c>
      <c r="J146" s="116" t="n">
        <f aca="false">SUMIFS('مبيعات يومية'!$D$2:$D$8001,'مبيعات يومية'!$C$2:$C$8001,$A146,'مبيعات يومية'!$B$2:$B$8001,'إعدادات المخزون'!$A$17,'مبيعات يومية'!$A$2:$A$8001,"&gt;"&amp;('إعدادات المخزون'!$B$4-'إعدادات المخزون'!$B$11),'مبيعات يومية'!$A$2:$A$8001,"&lt;="&amp;'إعدادات المخزون'!$B$4)</f>
        <v>0</v>
      </c>
    </row>
    <row r="147" customFormat="false" ht="15" hidden="false" customHeight="false" outlineLevel="0" collapsed="false">
      <c r="A147" s="114" t="str">
        <f aca="false">المنيو!B147</f>
        <v>اضافة بسطرمة (بيتزا وسط)</v>
      </c>
      <c r="B147" s="116" t="n">
        <f aca="false">SUMIFS('مبيعات يومية'!$D$2:$D$8001,'مبيعات يومية'!$C$2:$C$8001,$A147,'مبيعات يومية'!$B$2:$B$8001,'إعدادات المخزون'!$A$15,'مبيعات يومية'!$A$2:$A$8001,'إعدادات المخزون'!$B$4)</f>
        <v>0</v>
      </c>
      <c r="C147" s="116" t="n">
        <f aca="false">SUMIFS('مبيعات يومية'!$D$2:$D$8001,'مبيعات يومية'!$C$2:$C$8001,$A147,'مبيعات يومية'!$B$2:$B$8001,'إعدادات المخزون'!$A$15,'مبيعات يومية'!$A$2:$A$8001,"&gt;="&amp;'إعدادات المخزون'!$B$5,'مبيعات يومية'!$A$2:$A$8001,"&lt;="&amp;'إعدادات المخزون'!$B$4)</f>
        <v>0</v>
      </c>
      <c r="D147" s="116" t="n">
        <f aca="false">SUMIFS('مبيعات يومية'!$D$2:$D$8001,'مبيعات يومية'!$C$2:$C$8001,$A147,'مبيعات يومية'!$B$2:$B$8001,'إعدادات المخزون'!$A$15,'مبيعات يومية'!$A$2:$A$8001,"&gt;"&amp;('إعدادات المخزون'!$B$4-'إعدادات المخزون'!$B$11),'مبيعات يومية'!$A$2:$A$8001,"&lt;="&amp;'إعدادات المخزون'!$B$4)</f>
        <v>0</v>
      </c>
      <c r="E147" s="116" t="n">
        <f aca="false">SUMIFS('مبيعات يومية'!$D$2:$D$8001,'مبيعات يومية'!$C$2:$C$8001,$A147,'مبيعات يومية'!$B$2:$B$8001,'إعدادات المخزون'!$A$16,'مبيعات يومية'!$A$2:$A$8001,'إعدادات المخزون'!$B$4)</f>
        <v>0</v>
      </c>
      <c r="F147" s="116" t="n">
        <f aca="false">SUMIFS('مبيعات يومية'!$D$2:$D$8001,'مبيعات يومية'!$C$2:$C$8001,$A147,'مبيعات يومية'!$B$2:$B$8001,'إعدادات المخزون'!$A$16,'مبيعات يومية'!$A$2:$A$8001,"&gt;="&amp;'إعدادات المخزون'!$B$5,'مبيعات يومية'!$A$2:$A$8001,"&lt;="&amp;'إعدادات المخزون'!$B$4)</f>
        <v>0</v>
      </c>
      <c r="G147" s="116" t="n">
        <f aca="false">SUMIFS('مبيعات يومية'!$D$2:$D$8001,'مبيعات يومية'!$C$2:$C$8001,$A147,'مبيعات يومية'!$B$2:$B$8001,'إعدادات المخزون'!$A$16,'مبيعات يومية'!$A$2:$A$8001,"&gt;"&amp;('إعدادات المخزون'!$B$4-'إعدادات المخزون'!$B$11),'مبيعات يومية'!$A$2:$A$8001,"&lt;="&amp;'إعدادات المخزون'!$B$4)</f>
        <v>0</v>
      </c>
      <c r="H147" s="116" t="n">
        <f aca="false">SUMIFS('مبيعات يومية'!$D$2:$D$8001,'مبيعات يومية'!$C$2:$C$8001,$A147,'مبيعات يومية'!$B$2:$B$8001,'إعدادات المخزون'!$A$17,'مبيعات يومية'!$A$2:$A$8001,'إعدادات المخزون'!$B$4)</f>
        <v>0</v>
      </c>
      <c r="I147" s="116" t="n">
        <f aca="false">SUMIFS('مبيعات يومية'!$D$2:$D$8001,'مبيعات يومية'!$C$2:$C$8001,$A147,'مبيعات يومية'!$B$2:$B$8001,'إعدادات المخزون'!$A$17,'مبيعات يومية'!$A$2:$A$8001,"&gt;="&amp;'إعدادات المخزون'!$B$5,'مبيعات يومية'!$A$2:$A$8001,"&lt;="&amp;'إعدادات المخزون'!$B$4)</f>
        <v>0</v>
      </c>
      <c r="J147" s="116" t="n">
        <f aca="false">SUMIFS('مبيعات يومية'!$D$2:$D$8001,'مبيعات يومية'!$C$2:$C$8001,$A147,'مبيعات يومية'!$B$2:$B$8001,'إعدادات المخزون'!$A$17,'مبيعات يومية'!$A$2:$A$8001,"&gt;"&amp;('إعدادات المخزون'!$B$4-'إعدادات المخزون'!$B$11),'مبيعات يومية'!$A$2:$A$8001,"&lt;="&amp;'إعدادات المخزون'!$B$4)</f>
        <v>0</v>
      </c>
    </row>
    <row r="148" customFormat="false" ht="15" hidden="false" customHeight="false" outlineLevel="0" collapsed="false">
      <c r="A148" s="114" t="str">
        <f aca="false">المنيو!B148</f>
        <v>اضافة بسطرمة (فطير وسط)</v>
      </c>
      <c r="B148" s="116" t="n">
        <f aca="false">SUMIFS('مبيعات يومية'!$D$2:$D$8001,'مبيعات يومية'!$C$2:$C$8001,$A148,'مبيعات يومية'!$B$2:$B$8001,'إعدادات المخزون'!$A$15,'مبيعات يومية'!$A$2:$A$8001,'إعدادات المخزون'!$B$4)</f>
        <v>0</v>
      </c>
      <c r="C148" s="116" t="n">
        <f aca="false">SUMIFS('مبيعات يومية'!$D$2:$D$8001,'مبيعات يومية'!$C$2:$C$8001,$A148,'مبيعات يومية'!$B$2:$B$8001,'إعدادات المخزون'!$A$15,'مبيعات يومية'!$A$2:$A$8001,"&gt;="&amp;'إعدادات المخزون'!$B$5,'مبيعات يومية'!$A$2:$A$8001,"&lt;="&amp;'إعدادات المخزون'!$B$4)</f>
        <v>0</v>
      </c>
      <c r="D148" s="116" t="n">
        <f aca="false">SUMIFS('مبيعات يومية'!$D$2:$D$8001,'مبيعات يومية'!$C$2:$C$8001,$A148,'مبيعات يومية'!$B$2:$B$8001,'إعدادات المخزون'!$A$15,'مبيعات يومية'!$A$2:$A$8001,"&gt;"&amp;('إعدادات المخزون'!$B$4-'إعدادات المخزون'!$B$11),'مبيعات يومية'!$A$2:$A$8001,"&lt;="&amp;'إعدادات المخزون'!$B$4)</f>
        <v>0</v>
      </c>
      <c r="E148" s="116" t="n">
        <f aca="false">SUMIFS('مبيعات يومية'!$D$2:$D$8001,'مبيعات يومية'!$C$2:$C$8001,$A148,'مبيعات يومية'!$B$2:$B$8001,'إعدادات المخزون'!$A$16,'مبيعات يومية'!$A$2:$A$8001,'إعدادات المخزون'!$B$4)</f>
        <v>0</v>
      </c>
      <c r="F148" s="116" t="n">
        <f aca="false">SUMIFS('مبيعات يومية'!$D$2:$D$8001,'مبيعات يومية'!$C$2:$C$8001,$A148,'مبيعات يومية'!$B$2:$B$8001,'إعدادات المخزون'!$A$16,'مبيعات يومية'!$A$2:$A$8001,"&gt;="&amp;'إعدادات المخزون'!$B$5,'مبيعات يومية'!$A$2:$A$8001,"&lt;="&amp;'إعدادات المخزون'!$B$4)</f>
        <v>0</v>
      </c>
      <c r="G148" s="116" t="n">
        <f aca="false">SUMIFS('مبيعات يومية'!$D$2:$D$8001,'مبيعات يومية'!$C$2:$C$8001,$A148,'مبيعات يومية'!$B$2:$B$8001,'إعدادات المخزون'!$A$16,'مبيعات يومية'!$A$2:$A$8001,"&gt;"&amp;('إعدادات المخزون'!$B$4-'إعدادات المخزون'!$B$11),'مبيعات يومية'!$A$2:$A$8001,"&lt;="&amp;'إعدادات المخزون'!$B$4)</f>
        <v>0</v>
      </c>
      <c r="H148" s="116" t="n">
        <f aca="false">SUMIFS('مبيعات يومية'!$D$2:$D$8001,'مبيعات يومية'!$C$2:$C$8001,$A148,'مبيعات يومية'!$B$2:$B$8001,'إعدادات المخزون'!$A$17,'مبيعات يومية'!$A$2:$A$8001,'إعدادات المخزون'!$B$4)</f>
        <v>0</v>
      </c>
      <c r="I148" s="116" t="n">
        <f aca="false">SUMIFS('مبيعات يومية'!$D$2:$D$8001,'مبيعات يومية'!$C$2:$C$8001,$A148,'مبيعات يومية'!$B$2:$B$8001,'إعدادات المخزون'!$A$17,'مبيعات يومية'!$A$2:$A$8001,"&gt;="&amp;'إعدادات المخزون'!$B$5,'مبيعات يومية'!$A$2:$A$8001,"&lt;="&amp;'إعدادات المخزون'!$B$4)</f>
        <v>0</v>
      </c>
      <c r="J148" s="116" t="n">
        <f aca="false">SUMIFS('مبيعات يومية'!$D$2:$D$8001,'مبيعات يومية'!$C$2:$C$8001,$A148,'مبيعات يومية'!$B$2:$B$8001,'إعدادات المخزون'!$A$17,'مبيعات يومية'!$A$2:$A$8001,"&gt;"&amp;('إعدادات المخزون'!$B$4-'إعدادات المخزون'!$B$11),'مبيعات يومية'!$A$2:$A$8001,"&lt;="&amp;'إعدادات المخزون'!$B$4)</f>
        <v>0</v>
      </c>
    </row>
    <row r="149" customFormat="false" ht="15" hidden="false" customHeight="false" outlineLevel="0" collapsed="false">
      <c r="A149" s="114" t="str">
        <f aca="false">المنيو!B149</f>
        <v>اضافة بسطرمة (فطير كبير)</v>
      </c>
      <c r="B149" s="116" t="n">
        <f aca="false">SUMIFS('مبيعات يومية'!$D$2:$D$8001,'مبيعات يومية'!$C$2:$C$8001,$A149,'مبيعات يومية'!$B$2:$B$8001,'إعدادات المخزون'!$A$15,'مبيعات يومية'!$A$2:$A$8001,'إعدادات المخزون'!$B$4)</f>
        <v>0</v>
      </c>
      <c r="C149" s="116" t="n">
        <f aca="false">SUMIFS('مبيعات يومية'!$D$2:$D$8001,'مبيعات يومية'!$C$2:$C$8001,$A149,'مبيعات يومية'!$B$2:$B$8001,'إعدادات المخزون'!$A$15,'مبيعات يومية'!$A$2:$A$8001,"&gt;="&amp;'إعدادات المخزون'!$B$5,'مبيعات يومية'!$A$2:$A$8001,"&lt;="&amp;'إعدادات المخزون'!$B$4)</f>
        <v>0</v>
      </c>
      <c r="D149" s="116" t="n">
        <f aca="false">SUMIFS('مبيعات يومية'!$D$2:$D$8001,'مبيعات يومية'!$C$2:$C$8001,$A149,'مبيعات يومية'!$B$2:$B$8001,'إعدادات المخزون'!$A$15,'مبيعات يومية'!$A$2:$A$8001,"&gt;"&amp;('إعدادات المخزون'!$B$4-'إعدادات المخزون'!$B$11),'مبيعات يومية'!$A$2:$A$8001,"&lt;="&amp;'إعدادات المخزون'!$B$4)</f>
        <v>0</v>
      </c>
      <c r="E149" s="116" t="n">
        <f aca="false">SUMIFS('مبيعات يومية'!$D$2:$D$8001,'مبيعات يومية'!$C$2:$C$8001,$A149,'مبيعات يومية'!$B$2:$B$8001,'إعدادات المخزون'!$A$16,'مبيعات يومية'!$A$2:$A$8001,'إعدادات المخزون'!$B$4)</f>
        <v>0</v>
      </c>
      <c r="F149" s="116" t="n">
        <f aca="false">SUMIFS('مبيعات يومية'!$D$2:$D$8001,'مبيعات يومية'!$C$2:$C$8001,$A149,'مبيعات يومية'!$B$2:$B$8001,'إعدادات المخزون'!$A$16,'مبيعات يومية'!$A$2:$A$8001,"&gt;="&amp;'إعدادات المخزون'!$B$5,'مبيعات يومية'!$A$2:$A$8001,"&lt;="&amp;'إعدادات المخزون'!$B$4)</f>
        <v>0</v>
      </c>
      <c r="G149" s="116" t="n">
        <f aca="false">SUMIFS('مبيعات يومية'!$D$2:$D$8001,'مبيعات يومية'!$C$2:$C$8001,$A149,'مبيعات يومية'!$B$2:$B$8001,'إعدادات المخزون'!$A$16,'مبيعات يومية'!$A$2:$A$8001,"&gt;"&amp;('إعدادات المخزون'!$B$4-'إعدادات المخزون'!$B$11),'مبيعات يومية'!$A$2:$A$8001,"&lt;="&amp;'إعدادات المخزون'!$B$4)</f>
        <v>0</v>
      </c>
      <c r="H149" s="116" t="n">
        <f aca="false">SUMIFS('مبيعات يومية'!$D$2:$D$8001,'مبيعات يومية'!$C$2:$C$8001,$A149,'مبيعات يومية'!$B$2:$B$8001,'إعدادات المخزون'!$A$17,'مبيعات يومية'!$A$2:$A$8001,'إعدادات المخزون'!$B$4)</f>
        <v>0</v>
      </c>
      <c r="I149" s="116" t="n">
        <f aca="false">SUMIFS('مبيعات يومية'!$D$2:$D$8001,'مبيعات يومية'!$C$2:$C$8001,$A149,'مبيعات يومية'!$B$2:$B$8001,'إعدادات المخزون'!$A$17,'مبيعات يومية'!$A$2:$A$8001,"&gt;="&amp;'إعدادات المخزون'!$B$5,'مبيعات يومية'!$A$2:$A$8001,"&lt;="&amp;'إعدادات المخزون'!$B$4)</f>
        <v>0</v>
      </c>
      <c r="J149" s="116" t="n">
        <f aca="false">SUMIFS('مبيعات يومية'!$D$2:$D$8001,'مبيعات يومية'!$C$2:$C$8001,$A149,'مبيعات يومية'!$B$2:$B$8001,'إعدادات المخزون'!$A$17,'مبيعات يومية'!$A$2:$A$8001,"&gt;"&amp;('إعدادات المخزون'!$B$4-'إعدادات المخزون'!$B$11),'مبيعات يومية'!$A$2:$A$8001,"&lt;="&amp;'إعدادات المخزون'!$B$4)</f>
        <v>0</v>
      </c>
    </row>
    <row r="150" customFormat="false" ht="15" hidden="false" customHeight="false" outlineLevel="0" collapsed="false">
      <c r="A150" s="114" t="str">
        <f aca="false">المنيو!B150</f>
        <v>اضافة سلامي (بيتزا وسط)</v>
      </c>
      <c r="B150" s="116" t="n">
        <f aca="false">SUMIFS('مبيعات يومية'!$D$2:$D$8001,'مبيعات يومية'!$C$2:$C$8001,$A150,'مبيعات يومية'!$B$2:$B$8001,'إعدادات المخزون'!$A$15,'مبيعات يومية'!$A$2:$A$8001,'إعدادات المخزون'!$B$4)</f>
        <v>0</v>
      </c>
      <c r="C150" s="116" t="n">
        <f aca="false">SUMIFS('مبيعات يومية'!$D$2:$D$8001,'مبيعات يومية'!$C$2:$C$8001,$A150,'مبيعات يومية'!$B$2:$B$8001,'إعدادات المخزون'!$A$15,'مبيعات يومية'!$A$2:$A$8001,"&gt;="&amp;'إعدادات المخزون'!$B$5,'مبيعات يومية'!$A$2:$A$8001,"&lt;="&amp;'إعدادات المخزون'!$B$4)</f>
        <v>0</v>
      </c>
      <c r="D150" s="116" t="n">
        <f aca="false">SUMIFS('مبيعات يومية'!$D$2:$D$8001,'مبيعات يومية'!$C$2:$C$8001,$A150,'مبيعات يومية'!$B$2:$B$8001,'إعدادات المخزون'!$A$15,'مبيعات يومية'!$A$2:$A$8001,"&gt;"&amp;('إعدادات المخزون'!$B$4-'إعدادات المخزون'!$B$11),'مبيعات يومية'!$A$2:$A$8001,"&lt;="&amp;'إعدادات المخزون'!$B$4)</f>
        <v>0</v>
      </c>
      <c r="E150" s="116" t="n">
        <f aca="false">SUMIFS('مبيعات يومية'!$D$2:$D$8001,'مبيعات يومية'!$C$2:$C$8001,$A150,'مبيعات يومية'!$B$2:$B$8001,'إعدادات المخزون'!$A$16,'مبيعات يومية'!$A$2:$A$8001,'إعدادات المخزون'!$B$4)</f>
        <v>0</v>
      </c>
      <c r="F150" s="116" t="n">
        <f aca="false">SUMIFS('مبيعات يومية'!$D$2:$D$8001,'مبيعات يومية'!$C$2:$C$8001,$A150,'مبيعات يومية'!$B$2:$B$8001,'إعدادات المخزون'!$A$16,'مبيعات يومية'!$A$2:$A$8001,"&gt;="&amp;'إعدادات المخزون'!$B$5,'مبيعات يومية'!$A$2:$A$8001,"&lt;="&amp;'إعدادات المخزون'!$B$4)</f>
        <v>0</v>
      </c>
      <c r="G150" s="116" t="n">
        <f aca="false">SUMIFS('مبيعات يومية'!$D$2:$D$8001,'مبيعات يومية'!$C$2:$C$8001,$A150,'مبيعات يومية'!$B$2:$B$8001,'إعدادات المخزون'!$A$16,'مبيعات يومية'!$A$2:$A$8001,"&gt;"&amp;('إعدادات المخزون'!$B$4-'إعدادات المخزون'!$B$11),'مبيعات يومية'!$A$2:$A$8001,"&lt;="&amp;'إعدادات المخزون'!$B$4)</f>
        <v>0</v>
      </c>
      <c r="H150" s="116" t="n">
        <f aca="false">SUMIFS('مبيعات يومية'!$D$2:$D$8001,'مبيعات يومية'!$C$2:$C$8001,$A150,'مبيعات يومية'!$B$2:$B$8001,'إعدادات المخزون'!$A$17,'مبيعات يومية'!$A$2:$A$8001,'إعدادات المخزون'!$B$4)</f>
        <v>0</v>
      </c>
      <c r="I150" s="116" t="n">
        <f aca="false">SUMIFS('مبيعات يومية'!$D$2:$D$8001,'مبيعات يومية'!$C$2:$C$8001,$A150,'مبيعات يومية'!$B$2:$B$8001,'إعدادات المخزون'!$A$17,'مبيعات يومية'!$A$2:$A$8001,"&gt;="&amp;'إعدادات المخزون'!$B$5,'مبيعات يومية'!$A$2:$A$8001,"&lt;="&amp;'إعدادات المخزون'!$B$4)</f>
        <v>0</v>
      </c>
      <c r="J150" s="116" t="n">
        <f aca="false">SUMIFS('مبيعات يومية'!$D$2:$D$8001,'مبيعات يومية'!$C$2:$C$8001,$A150,'مبيعات يومية'!$B$2:$B$8001,'إعدادات المخزون'!$A$17,'مبيعات يومية'!$A$2:$A$8001,"&gt;"&amp;('إعدادات المخزون'!$B$4-'إعدادات المخزون'!$B$11),'مبيعات يومية'!$A$2:$A$8001,"&lt;="&amp;'إعدادات المخزون'!$B$4)</f>
        <v>0</v>
      </c>
    </row>
    <row r="151" customFormat="false" ht="15" hidden="false" customHeight="false" outlineLevel="0" collapsed="false">
      <c r="A151" s="114" t="str">
        <f aca="false">المنيو!B151</f>
        <v>اضافة تونة (بيتزا وسط)</v>
      </c>
      <c r="B151" s="116" t="n">
        <f aca="false">SUMIFS('مبيعات يومية'!$D$2:$D$8001,'مبيعات يومية'!$C$2:$C$8001,$A151,'مبيعات يومية'!$B$2:$B$8001,'إعدادات المخزون'!$A$15,'مبيعات يومية'!$A$2:$A$8001,'إعدادات المخزون'!$B$4)</f>
        <v>0</v>
      </c>
      <c r="C151" s="116" t="n">
        <f aca="false">SUMIFS('مبيعات يومية'!$D$2:$D$8001,'مبيعات يومية'!$C$2:$C$8001,$A151,'مبيعات يومية'!$B$2:$B$8001,'إعدادات المخزون'!$A$15,'مبيعات يومية'!$A$2:$A$8001,"&gt;="&amp;'إعدادات المخزون'!$B$5,'مبيعات يومية'!$A$2:$A$8001,"&lt;="&amp;'إعدادات المخزون'!$B$4)</f>
        <v>0</v>
      </c>
      <c r="D151" s="116" t="n">
        <f aca="false">SUMIFS('مبيعات يومية'!$D$2:$D$8001,'مبيعات يومية'!$C$2:$C$8001,$A151,'مبيعات يومية'!$B$2:$B$8001,'إعدادات المخزون'!$A$15,'مبيعات يومية'!$A$2:$A$8001,"&gt;"&amp;('إعدادات المخزون'!$B$4-'إعدادات المخزون'!$B$11),'مبيعات يومية'!$A$2:$A$8001,"&lt;="&amp;'إعدادات المخزون'!$B$4)</f>
        <v>0</v>
      </c>
      <c r="E151" s="116" t="n">
        <f aca="false">SUMIFS('مبيعات يومية'!$D$2:$D$8001,'مبيعات يومية'!$C$2:$C$8001,$A151,'مبيعات يومية'!$B$2:$B$8001,'إعدادات المخزون'!$A$16,'مبيعات يومية'!$A$2:$A$8001,'إعدادات المخزون'!$B$4)</f>
        <v>0</v>
      </c>
      <c r="F151" s="116" t="n">
        <f aca="false">SUMIFS('مبيعات يومية'!$D$2:$D$8001,'مبيعات يومية'!$C$2:$C$8001,$A151,'مبيعات يومية'!$B$2:$B$8001,'إعدادات المخزون'!$A$16,'مبيعات يومية'!$A$2:$A$8001,"&gt;="&amp;'إعدادات المخزون'!$B$5,'مبيعات يومية'!$A$2:$A$8001,"&lt;="&amp;'إعدادات المخزون'!$B$4)</f>
        <v>0</v>
      </c>
      <c r="G151" s="116" t="n">
        <f aca="false">SUMIFS('مبيعات يومية'!$D$2:$D$8001,'مبيعات يومية'!$C$2:$C$8001,$A151,'مبيعات يومية'!$B$2:$B$8001,'إعدادات المخزون'!$A$16,'مبيعات يومية'!$A$2:$A$8001,"&gt;"&amp;('إعدادات المخزون'!$B$4-'إعدادات المخزون'!$B$11),'مبيعات يومية'!$A$2:$A$8001,"&lt;="&amp;'إعدادات المخزون'!$B$4)</f>
        <v>0</v>
      </c>
      <c r="H151" s="116" t="n">
        <f aca="false">SUMIFS('مبيعات يومية'!$D$2:$D$8001,'مبيعات يومية'!$C$2:$C$8001,$A151,'مبيعات يومية'!$B$2:$B$8001,'إعدادات المخزون'!$A$17,'مبيعات يومية'!$A$2:$A$8001,'إعدادات المخزون'!$B$4)</f>
        <v>0</v>
      </c>
      <c r="I151" s="116" t="n">
        <f aca="false">SUMIFS('مبيعات يومية'!$D$2:$D$8001,'مبيعات يومية'!$C$2:$C$8001,$A151,'مبيعات يومية'!$B$2:$B$8001,'إعدادات المخزون'!$A$17,'مبيعات يومية'!$A$2:$A$8001,"&gt;="&amp;'إعدادات المخزون'!$B$5,'مبيعات يومية'!$A$2:$A$8001,"&lt;="&amp;'إعدادات المخزون'!$B$4)</f>
        <v>0</v>
      </c>
      <c r="J151" s="116" t="n">
        <f aca="false">SUMIFS('مبيعات يومية'!$D$2:$D$8001,'مبيعات يومية'!$C$2:$C$8001,$A151,'مبيعات يومية'!$B$2:$B$8001,'إعدادات المخزون'!$A$17,'مبيعات يومية'!$A$2:$A$8001,"&gt;"&amp;('إعدادات المخزون'!$B$4-'إعدادات المخزون'!$B$11),'مبيعات يومية'!$A$2:$A$8001,"&lt;="&amp;'إعدادات المخزون'!$B$4)</f>
        <v>0</v>
      </c>
    </row>
    <row r="152" customFormat="false" ht="15" hidden="false" customHeight="false" outlineLevel="0" collapsed="false">
      <c r="A152" s="114" t="str">
        <f aca="false">المنيو!B152</f>
        <v>اضافة جمبري (بيتزا وسط)</v>
      </c>
      <c r="B152" s="116" t="n">
        <f aca="false">SUMIFS('مبيعات يومية'!$D$2:$D$8001,'مبيعات يومية'!$C$2:$C$8001,$A152,'مبيعات يومية'!$B$2:$B$8001,'إعدادات المخزون'!$A$15,'مبيعات يومية'!$A$2:$A$8001,'إعدادات المخزون'!$B$4)</f>
        <v>0</v>
      </c>
      <c r="C152" s="116" t="n">
        <f aca="false">SUMIFS('مبيعات يومية'!$D$2:$D$8001,'مبيعات يومية'!$C$2:$C$8001,$A152,'مبيعات يومية'!$B$2:$B$8001,'إعدادات المخزون'!$A$15,'مبيعات يومية'!$A$2:$A$8001,"&gt;="&amp;'إعدادات المخزون'!$B$5,'مبيعات يومية'!$A$2:$A$8001,"&lt;="&amp;'إعدادات المخزون'!$B$4)</f>
        <v>0</v>
      </c>
      <c r="D152" s="116" t="n">
        <f aca="false">SUMIFS('مبيعات يومية'!$D$2:$D$8001,'مبيعات يومية'!$C$2:$C$8001,$A152,'مبيعات يومية'!$B$2:$B$8001,'إعدادات المخزون'!$A$15,'مبيعات يومية'!$A$2:$A$8001,"&gt;"&amp;('إعدادات المخزون'!$B$4-'إعدادات المخزون'!$B$11),'مبيعات يومية'!$A$2:$A$8001,"&lt;="&amp;'إعدادات المخزون'!$B$4)</f>
        <v>0</v>
      </c>
      <c r="E152" s="116" t="n">
        <f aca="false">SUMIFS('مبيعات يومية'!$D$2:$D$8001,'مبيعات يومية'!$C$2:$C$8001,$A152,'مبيعات يومية'!$B$2:$B$8001,'إعدادات المخزون'!$A$16,'مبيعات يومية'!$A$2:$A$8001,'إعدادات المخزون'!$B$4)</f>
        <v>0</v>
      </c>
      <c r="F152" s="116" t="n">
        <f aca="false">SUMIFS('مبيعات يومية'!$D$2:$D$8001,'مبيعات يومية'!$C$2:$C$8001,$A152,'مبيعات يومية'!$B$2:$B$8001,'إعدادات المخزون'!$A$16,'مبيعات يومية'!$A$2:$A$8001,"&gt;="&amp;'إعدادات المخزون'!$B$5,'مبيعات يومية'!$A$2:$A$8001,"&lt;="&amp;'إعدادات المخزون'!$B$4)</f>
        <v>0</v>
      </c>
      <c r="G152" s="116" t="n">
        <f aca="false">SUMIFS('مبيعات يومية'!$D$2:$D$8001,'مبيعات يومية'!$C$2:$C$8001,$A152,'مبيعات يومية'!$B$2:$B$8001,'إعدادات المخزون'!$A$16,'مبيعات يومية'!$A$2:$A$8001,"&gt;"&amp;('إعدادات المخزون'!$B$4-'إعدادات المخزون'!$B$11),'مبيعات يومية'!$A$2:$A$8001,"&lt;="&amp;'إعدادات المخزون'!$B$4)</f>
        <v>0</v>
      </c>
      <c r="H152" s="116" t="n">
        <f aca="false">SUMIFS('مبيعات يومية'!$D$2:$D$8001,'مبيعات يومية'!$C$2:$C$8001,$A152,'مبيعات يومية'!$B$2:$B$8001,'إعدادات المخزون'!$A$17,'مبيعات يومية'!$A$2:$A$8001,'إعدادات المخزون'!$B$4)</f>
        <v>0</v>
      </c>
      <c r="I152" s="116" t="n">
        <f aca="false">SUMIFS('مبيعات يومية'!$D$2:$D$8001,'مبيعات يومية'!$C$2:$C$8001,$A152,'مبيعات يومية'!$B$2:$B$8001,'إعدادات المخزون'!$A$17,'مبيعات يومية'!$A$2:$A$8001,"&gt;="&amp;'إعدادات المخزون'!$B$5,'مبيعات يومية'!$A$2:$A$8001,"&lt;="&amp;'إعدادات المخزون'!$B$4)</f>
        <v>0</v>
      </c>
      <c r="J152" s="116" t="n">
        <f aca="false">SUMIFS('مبيعات يومية'!$D$2:$D$8001,'مبيعات يومية'!$C$2:$C$8001,$A152,'مبيعات يومية'!$B$2:$B$8001,'إعدادات المخزون'!$A$17,'مبيعات يومية'!$A$2:$A$8001,"&gt;"&amp;('إعدادات المخزون'!$B$4-'إعدادات المخزون'!$B$11),'مبيعات يومية'!$A$2:$A$8001,"&lt;="&amp;'إعدادات المخزون'!$B$4)</f>
        <v>0</v>
      </c>
    </row>
    <row r="153" customFormat="false" ht="15" hidden="false" customHeight="false" outlineLevel="0" collapsed="false">
      <c r="A153" s="114" t="str">
        <f aca="false">المنيو!B153</f>
        <v>اضافة فراخ جريل (بيتزا وسط)</v>
      </c>
      <c r="B153" s="116" t="n">
        <f aca="false">SUMIFS('مبيعات يومية'!$D$2:$D$8001,'مبيعات يومية'!$C$2:$C$8001,$A153,'مبيعات يومية'!$B$2:$B$8001,'إعدادات المخزون'!$A$15,'مبيعات يومية'!$A$2:$A$8001,'إعدادات المخزون'!$B$4)</f>
        <v>0</v>
      </c>
      <c r="C153" s="116" t="n">
        <f aca="false">SUMIFS('مبيعات يومية'!$D$2:$D$8001,'مبيعات يومية'!$C$2:$C$8001,$A153,'مبيعات يومية'!$B$2:$B$8001,'إعدادات المخزون'!$A$15,'مبيعات يومية'!$A$2:$A$8001,"&gt;="&amp;'إعدادات المخزون'!$B$5,'مبيعات يومية'!$A$2:$A$8001,"&lt;="&amp;'إعدادات المخزون'!$B$4)</f>
        <v>0</v>
      </c>
      <c r="D153" s="116" t="n">
        <f aca="false">SUMIFS('مبيعات يومية'!$D$2:$D$8001,'مبيعات يومية'!$C$2:$C$8001,$A153,'مبيعات يومية'!$B$2:$B$8001,'إعدادات المخزون'!$A$15,'مبيعات يومية'!$A$2:$A$8001,"&gt;"&amp;('إعدادات المخزون'!$B$4-'إعدادات المخزون'!$B$11),'مبيعات يومية'!$A$2:$A$8001,"&lt;="&amp;'إعدادات المخزون'!$B$4)</f>
        <v>0</v>
      </c>
      <c r="E153" s="116" t="n">
        <f aca="false">SUMIFS('مبيعات يومية'!$D$2:$D$8001,'مبيعات يومية'!$C$2:$C$8001,$A153,'مبيعات يومية'!$B$2:$B$8001,'إعدادات المخزون'!$A$16,'مبيعات يومية'!$A$2:$A$8001,'إعدادات المخزون'!$B$4)</f>
        <v>0</v>
      </c>
      <c r="F153" s="116" t="n">
        <f aca="false">SUMIFS('مبيعات يومية'!$D$2:$D$8001,'مبيعات يومية'!$C$2:$C$8001,$A153,'مبيعات يومية'!$B$2:$B$8001,'إعدادات المخزون'!$A$16,'مبيعات يومية'!$A$2:$A$8001,"&gt;="&amp;'إعدادات المخزون'!$B$5,'مبيعات يومية'!$A$2:$A$8001,"&lt;="&amp;'إعدادات المخزون'!$B$4)</f>
        <v>0</v>
      </c>
      <c r="G153" s="116" t="n">
        <f aca="false">SUMIFS('مبيعات يومية'!$D$2:$D$8001,'مبيعات يومية'!$C$2:$C$8001,$A153,'مبيعات يومية'!$B$2:$B$8001,'إعدادات المخزون'!$A$16,'مبيعات يومية'!$A$2:$A$8001,"&gt;"&amp;('إعدادات المخزون'!$B$4-'إعدادات المخزون'!$B$11),'مبيعات يومية'!$A$2:$A$8001,"&lt;="&amp;'إعدادات المخزون'!$B$4)</f>
        <v>0</v>
      </c>
      <c r="H153" s="116" t="n">
        <f aca="false">SUMIFS('مبيعات يومية'!$D$2:$D$8001,'مبيعات يومية'!$C$2:$C$8001,$A153,'مبيعات يومية'!$B$2:$B$8001,'إعدادات المخزون'!$A$17,'مبيعات يومية'!$A$2:$A$8001,'إعدادات المخزون'!$B$4)</f>
        <v>0</v>
      </c>
      <c r="I153" s="116" t="n">
        <f aca="false">SUMIFS('مبيعات يومية'!$D$2:$D$8001,'مبيعات يومية'!$C$2:$C$8001,$A153,'مبيعات يومية'!$B$2:$B$8001,'إعدادات المخزون'!$A$17,'مبيعات يومية'!$A$2:$A$8001,"&gt;="&amp;'إعدادات المخزون'!$B$5,'مبيعات يومية'!$A$2:$A$8001,"&lt;="&amp;'إعدادات المخزون'!$B$4)</f>
        <v>0</v>
      </c>
      <c r="J153" s="116" t="n">
        <f aca="false">SUMIFS('مبيعات يومية'!$D$2:$D$8001,'مبيعات يومية'!$C$2:$C$8001,$A153,'مبيعات يومية'!$B$2:$B$8001,'إعدادات المخزون'!$A$17,'مبيعات يومية'!$A$2:$A$8001,"&gt;"&amp;('إعدادات المخزون'!$B$4-'إعدادات المخزون'!$B$11),'مبيعات يومية'!$A$2:$A$8001,"&lt;="&amp;'إعدادات المخزون'!$B$4)</f>
        <v>0</v>
      </c>
    </row>
    <row r="154" customFormat="false" ht="15" hidden="false" customHeight="false" outlineLevel="0" collapsed="false">
      <c r="A154" s="114" t="str">
        <f aca="false">المنيو!B154</f>
        <v>اضافة فراخ جريل (بيتزا كبير)</v>
      </c>
      <c r="B154" s="116" t="n">
        <f aca="false">SUMIFS('مبيعات يومية'!$D$2:$D$8001,'مبيعات يومية'!$C$2:$C$8001,$A154,'مبيعات يومية'!$B$2:$B$8001,'إعدادات المخزون'!$A$15,'مبيعات يومية'!$A$2:$A$8001,'إعدادات المخزون'!$B$4)</f>
        <v>0</v>
      </c>
      <c r="C154" s="116" t="n">
        <f aca="false">SUMIFS('مبيعات يومية'!$D$2:$D$8001,'مبيعات يومية'!$C$2:$C$8001,$A154,'مبيعات يومية'!$B$2:$B$8001,'إعدادات المخزون'!$A$15,'مبيعات يومية'!$A$2:$A$8001,"&gt;="&amp;'إعدادات المخزون'!$B$5,'مبيعات يومية'!$A$2:$A$8001,"&lt;="&amp;'إعدادات المخزون'!$B$4)</f>
        <v>0</v>
      </c>
      <c r="D154" s="116" t="n">
        <f aca="false">SUMIFS('مبيعات يومية'!$D$2:$D$8001,'مبيعات يومية'!$C$2:$C$8001,$A154,'مبيعات يومية'!$B$2:$B$8001,'إعدادات المخزون'!$A$15,'مبيعات يومية'!$A$2:$A$8001,"&gt;"&amp;('إعدادات المخزون'!$B$4-'إعدادات المخزون'!$B$11),'مبيعات يومية'!$A$2:$A$8001,"&lt;="&amp;'إعدادات المخزون'!$B$4)</f>
        <v>0</v>
      </c>
      <c r="E154" s="116" t="n">
        <f aca="false">SUMIFS('مبيعات يومية'!$D$2:$D$8001,'مبيعات يومية'!$C$2:$C$8001,$A154,'مبيعات يومية'!$B$2:$B$8001,'إعدادات المخزون'!$A$16,'مبيعات يومية'!$A$2:$A$8001,'إعدادات المخزون'!$B$4)</f>
        <v>0</v>
      </c>
      <c r="F154" s="116" t="n">
        <f aca="false">SUMIFS('مبيعات يومية'!$D$2:$D$8001,'مبيعات يومية'!$C$2:$C$8001,$A154,'مبيعات يومية'!$B$2:$B$8001,'إعدادات المخزون'!$A$16,'مبيعات يومية'!$A$2:$A$8001,"&gt;="&amp;'إعدادات المخزون'!$B$5,'مبيعات يومية'!$A$2:$A$8001,"&lt;="&amp;'إعدادات المخزون'!$B$4)</f>
        <v>0</v>
      </c>
      <c r="G154" s="116" t="n">
        <f aca="false">SUMIFS('مبيعات يومية'!$D$2:$D$8001,'مبيعات يومية'!$C$2:$C$8001,$A154,'مبيعات يومية'!$B$2:$B$8001,'إعدادات المخزون'!$A$16,'مبيعات يومية'!$A$2:$A$8001,"&gt;"&amp;('إعدادات المخزون'!$B$4-'إعدادات المخزون'!$B$11),'مبيعات يومية'!$A$2:$A$8001,"&lt;="&amp;'إعدادات المخزون'!$B$4)</f>
        <v>0</v>
      </c>
      <c r="H154" s="116" t="n">
        <f aca="false">SUMIFS('مبيعات يومية'!$D$2:$D$8001,'مبيعات يومية'!$C$2:$C$8001,$A154,'مبيعات يومية'!$B$2:$B$8001,'إعدادات المخزون'!$A$17,'مبيعات يومية'!$A$2:$A$8001,'إعدادات المخزون'!$B$4)</f>
        <v>0</v>
      </c>
      <c r="I154" s="116" t="n">
        <f aca="false">SUMIFS('مبيعات يومية'!$D$2:$D$8001,'مبيعات يومية'!$C$2:$C$8001,$A154,'مبيعات يومية'!$B$2:$B$8001,'إعدادات المخزون'!$A$17,'مبيعات يومية'!$A$2:$A$8001,"&gt;="&amp;'إعدادات المخزون'!$B$5,'مبيعات يومية'!$A$2:$A$8001,"&lt;="&amp;'إعدادات المخزون'!$B$4)</f>
        <v>0</v>
      </c>
      <c r="J154" s="116" t="n">
        <f aca="false">SUMIFS('مبيعات يومية'!$D$2:$D$8001,'مبيعات يومية'!$C$2:$C$8001,$A154,'مبيعات يومية'!$B$2:$B$8001,'إعدادات المخزون'!$A$17,'مبيعات يومية'!$A$2:$A$8001,"&gt;"&amp;('إعدادات المخزون'!$B$4-'إعدادات المخزون'!$B$11),'مبيعات يومية'!$A$2:$A$8001,"&lt;="&amp;'إعدادات المخزون'!$B$4)</f>
        <v>0</v>
      </c>
    </row>
    <row r="155" customFormat="false" ht="15" hidden="false" customHeight="false" outlineLevel="0" collapsed="false">
      <c r="A155" s="114" t="str">
        <f aca="false">المنيو!B155</f>
        <v>اضافة فراخ جريل (فطير كبير)</v>
      </c>
      <c r="B155" s="116" t="n">
        <f aca="false">SUMIFS('مبيعات يومية'!$D$2:$D$8001,'مبيعات يومية'!$C$2:$C$8001,$A155,'مبيعات يومية'!$B$2:$B$8001,'إعدادات المخزون'!$A$15,'مبيعات يومية'!$A$2:$A$8001,'إعدادات المخزون'!$B$4)</f>
        <v>0</v>
      </c>
      <c r="C155" s="116" t="n">
        <f aca="false">SUMIFS('مبيعات يومية'!$D$2:$D$8001,'مبيعات يومية'!$C$2:$C$8001,$A155,'مبيعات يومية'!$B$2:$B$8001,'إعدادات المخزون'!$A$15,'مبيعات يومية'!$A$2:$A$8001,"&gt;="&amp;'إعدادات المخزون'!$B$5,'مبيعات يومية'!$A$2:$A$8001,"&lt;="&amp;'إعدادات المخزون'!$B$4)</f>
        <v>0</v>
      </c>
      <c r="D155" s="116" t="n">
        <f aca="false">SUMIFS('مبيعات يومية'!$D$2:$D$8001,'مبيعات يومية'!$C$2:$C$8001,$A155,'مبيعات يومية'!$B$2:$B$8001,'إعدادات المخزون'!$A$15,'مبيعات يومية'!$A$2:$A$8001,"&gt;"&amp;('إعدادات المخزون'!$B$4-'إعدادات المخزون'!$B$11),'مبيعات يومية'!$A$2:$A$8001,"&lt;="&amp;'إعدادات المخزون'!$B$4)</f>
        <v>0</v>
      </c>
      <c r="E155" s="116" t="n">
        <f aca="false">SUMIFS('مبيعات يومية'!$D$2:$D$8001,'مبيعات يومية'!$C$2:$C$8001,$A155,'مبيعات يومية'!$B$2:$B$8001,'إعدادات المخزون'!$A$16,'مبيعات يومية'!$A$2:$A$8001,'إعدادات المخزون'!$B$4)</f>
        <v>0</v>
      </c>
      <c r="F155" s="116" t="n">
        <f aca="false">SUMIFS('مبيعات يومية'!$D$2:$D$8001,'مبيعات يومية'!$C$2:$C$8001,$A155,'مبيعات يومية'!$B$2:$B$8001,'إعدادات المخزون'!$A$16,'مبيعات يومية'!$A$2:$A$8001,"&gt;="&amp;'إعدادات المخزون'!$B$5,'مبيعات يومية'!$A$2:$A$8001,"&lt;="&amp;'إعدادات المخزون'!$B$4)</f>
        <v>0</v>
      </c>
      <c r="G155" s="116" t="n">
        <f aca="false">SUMIFS('مبيعات يومية'!$D$2:$D$8001,'مبيعات يومية'!$C$2:$C$8001,$A155,'مبيعات يومية'!$B$2:$B$8001,'إعدادات المخزون'!$A$16,'مبيعات يومية'!$A$2:$A$8001,"&gt;"&amp;('إعدادات المخزون'!$B$4-'إعدادات المخزون'!$B$11),'مبيعات يومية'!$A$2:$A$8001,"&lt;="&amp;'إعدادات المخزون'!$B$4)</f>
        <v>0</v>
      </c>
      <c r="H155" s="116" t="n">
        <f aca="false">SUMIFS('مبيعات يومية'!$D$2:$D$8001,'مبيعات يومية'!$C$2:$C$8001,$A155,'مبيعات يومية'!$B$2:$B$8001,'إعدادات المخزون'!$A$17,'مبيعات يومية'!$A$2:$A$8001,'إعدادات المخزون'!$B$4)</f>
        <v>0</v>
      </c>
      <c r="I155" s="116" t="n">
        <f aca="false">SUMIFS('مبيعات يومية'!$D$2:$D$8001,'مبيعات يومية'!$C$2:$C$8001,$A155,'مبيعات يومية'!$B$2:$B$8001,'إعدادات المخزون'!$A$17,'مبيعات يومية'!$A$2:$A$8001,"&gt;="&amp;'إعدادات المخزون'!$B$5,'مبيعات يومية'!$A$2:$A$8001,"&lt;="&amp;'إعدادات المخزون'!$B$4)</f>
        <v>0</v>
      </c>
      <c r="J155" s="116" t="n">
        <f aca="false">SUMIFS('مبيعات يومية'!$D$2:$D$8001,'مبيعات يومية'!$C$2:$C$8001,$A155,'مبيعات يومية'!$B$2:$B$8001,'إعدادات المخزون'!$A$17,'مبيعات يومية'!$A$2:$A$8001,"&gt;"&amp;('إعدادات المخزون'!$B$4-'إعدادات المخزون'!$B$11),'مبيعات يومية'!$A$2:$A$8001,"&lt;="&amp;'إعدادات المخزون'!$B$4)</f>
        <v>0</v>
      </c>
    </row>
    <row r="156" customFormat="false" ht="15" hidden="false" customHeight="false" outlineLevel="0" collapsed="false">
      <c r="A156" s="114" t="str">
        <f aca="false">المنيو!B156</f>
        <v>اضافة فراخ كريسبي (بيتزا وسط)</v>
      </c>
      <c r="B156" s="116" t="n">
        <f aca="false">SUMIFS('مبيعات يومية'!$D$2:$D$8001,'مبيعات يومية'!$C$2:$C$8001,$A156,'مبيعات يومية'!$B$2:$B$8001,'إعدادات المخزون'!$A$15,'مبيعات يومية'!$A$2:$A$8001,'إعدادات المخزون'!$B$4)</f>
        <v>0</v>
      </c>
      <c r="C156" s="116" t="n">
        <f aca="false">SUMIFS('مبيعات يومية'!$D$2:$D$8001,'مبيعات يومية'!$C$2:$C$8001,$A156,'مبيعات يومية'!$B$2:$B$8001,'إعدادات المخزون'!$A$15,'مبيعات يومية'!$A$2:$A$8001,"&gt;="&amp;'إعدادات المخزون'!$B$5,'مبيعات يومية'!$A$2:$A$8001,"&lt;="&amp;'إعدادات المخزون'!$B$4)</f>
        <v>0</v>
      </c>
      <c r="D156" s="116" t="n">
        <f aca="false">SUMIFS('مبيعات يومية'!$D$2:$D$8001,'مبيعات يومية'!$C$2:$C$8001,$A156,'مبيعات يومية'!$B$2:$B$8001,'إعدادات المخزون'!$A$15,'مبيعات يومية'!$A$2:$A$8001,"&gt;"&amp;('إعدادات المخزون'!$B$4-'إعدادات المخزون'!$B$11),'مبيعات يومية'!$A$2:$A$8001,"&lt;="&amp;'إعدادات المخزون'!$B$4)</f>
        <v>0</v>
      </c>
      <c r="E156" s="116" t="n">
        <f aca="false">SUMIFS('مبيعات يومية'!$D$2:$D$8001,'مبيعات يومية'!$C$2:$C$8001,$A156,'مبيعات يومية'!$B$2:$B$8001,'إعدادات المخزون'!$A$16,'مبيعات يومية'!$A$2:$A$8001,'إعدادات المخزون'!$B$4)</f>
        <v>0</v>
      </c>
      <c r="F156" s="116" t="n">
        <f aca="false">SUMIFS('مبيعات يومية'!$D$2:$D$8001,'مبيعات يومية'!$C$2:$C$8001,$A156,'مبيعات يومية'!$B$2:$B$8001,'إعدادات المخزون'!$A$16,'مبيعات يومية'!$A$2:$A$8001,"&gt;="&amp;'إعدادات المخزون'!$B$5,'مبيعات يومية'!$A$2:$A$8001,"&lt;="&amp;'إعدادات المخزون'!$B$4)</f>
        <v>0</v>
      </c>
      <c r="G156" s="116" t="n">
        <f aca="false">SUMIFS('مبيعات يومية'!$D$2:$D$8001,'مبيعات يومية'!$C$2:$C$8001,$A156,'مبيعات يومية'!$B$2:$B$8001,'إعدادات المخزون'!$A$16,'مبيعات يومية'!$A$2:$A$8001,"&gt;"&amp;('إعدادات المخزون'!$B$4-'إعدادات المخزون'!$B$11),'مبيعات يومية'!$A$2:$A$8001,"&lt;="&amp;'إعدادات المخزون'!$B$4)</f>
        <v>0</v>
      </c>
      <c r="H156" s="116" t="n">
        <f aca="false">SUMIFS('مبيعات يومية'!$D$2:$D$8001,'مبيعات يومية'!$C$2:$C$8001,$A156,'مبيعات يومية'!$B$2:$B$8001,'إعدادات المخزون'!$A$17,'مبيعات يومية'!$A$2:$A$8001,'إعدادات المخزون'!$B$4)</f>
        <v>0</v>
      </c>
      <c r="I156" s="116" t="n">
        <f aca="false">SUMIFS('مبيعات يومية'!$D$2:$D$8001,'مبيعات يومية'!$C$2:$C$8001,$A156,'مبيعات يومية'!$B$2:$B$8001,'إعدادات المخزون'!$A$17,'مبيعات يومية'!$A$2:$A$8001,"&gt;="&amp;'إعدادات المخزون'!$B$5,'مبيعات يومية'!$A$2:$A$8001,"&lt;="&amp;'إعدادات المخزون'!$B$4)</f>
        <v>0</v>
      </c>
      <c r="J156" s="116" t="n">
        <f aca="false">SUMIFS('مبيعات يومية'!$D$2:$D$8001,'مبيعات يومية'!$C$2:$C$8001,$A156,'مبيعات يومية'!$B$2:$B$8001,'إعدادات المخزون'!$A$17,'مبيعات يومية'!$A$2:$A$8001,"&gt;"&amp;('إعدادات المخزون'!$B$4-'إعدادات المخزون'!$B$11),'مبيعات يومية'!$A$2:$A$8001,"&lt;="&amp;'إعدادات المخزون'!$B$4)</f>
        <v>0</v>
      </c>
    </row>
    <row r="157" customFormat="false" ht="15" hidden="false" customHeight="false" outlineLevel="0" collapsed="false">
      <c r="A157" s="114" t="str">
        <f aca="false">المنيو!B157</f>
        <v>اضافة فراخ كريسبي (فطير وسط)</v>
      </c>
      <c r="B157" s="116" t="n">
        <f aca="false">SUMIFS('مبيعات يومية'!$D$2:$D$8001,'مبيعات يومية'!$C$2:$C$8001,$A157,'مبيعات يومية'!$B$2:$B$8001,'إعدادات المخزون'!$A$15,'مبيعات يومية'!$A$2:$A$8001,'إعدادات المخزون'!$B$4)</f>
        <v>0</v>
      </c>
      <c r="C157" s="116" t="n">
        <f aca="false">SUMIFS('مبيعات يومية'!$D$2:$D$8001,'مبيعات يومية'!$C$2:$C$8001,$A157,'مبيعات يومية'!$B$2:$B$8001,'إعدادات المخزون'!$A$15,'مبيعات يومية'!$A$2:$A$8001,"&gt;="&amp;'إعدادات المخزون'!$B$5,'مبيعات يومية'!$A$2:$A$8001,"&lt;="&amp;'إعدادات المخزون'!$B$4)</f>
        <v>0</v>
      </c>
      <c r="D157" s="116" t="n">
        <f aca="false">SUMIFS('مبيعات يومية'!$D$2:$D$8001,'مبيعات يومية'!$C$2:$C$8001,$A157,'مبيعات يومية'!$B$2:$B$8001,'إعدادات المخزون'!$A$15,'مبيعات يومية'!$A$2:$A$8001,"&gt;"&amp;('إعدادات المخزون'!$B$4-'إعدادات المخزون'!$B$11),'مبيعات يومية'!$A$2:$A$8001,"&lt;="&amp;'إعدادات المخزون'!$B$4)</f>
        <v>0</v>
      </c>
      <c r="E157" s="116" t="n">
        <f aca="false">SUMIFS('مبيعات يومية'!$D$2:$D$8001,'مبيعات يومية'!$C$2:$C$8001,$A157,'مبيعات يومية'!$B$2:$B$8001,'إعدادات المخزون'!$A$16,'مبيعات يومية'!$A$2:$A$8001,'إعدادات المخزون'!$B$4)</f>
        <v>0</v>
      </c>
      <c r="F157" s="116" t="n">
        <f aca="false">SUMIFS('مبيعات يومية'!$D$2:$D$8001,'مبيعات يومية'!$C$2:$C$8001,$A157,'مبيعات يومية'!$B$2:$B$8001,'إعدادات المخزون'!$A$16,'مبيعات يومية'!$A$2:$A$8001,"&gt;="&amp;'إعدادات المخزون'!$B$5,'مبيعات يومية'!$A$2:$A$8001,"&lt;="&amp;'إعدادات المخزون'!$B$4)</f>
        <v>0</v>
      </c>
      <c r="G157" s="116" t="n">
        <f aca="false">SUMIFS('مبيعات يومية'!$D$2:$D$8001,'مبيعات يومية'!$C$2:$C$8001,$A157,'مبيعات يومية'!$B$2:$B$8001,'إعدادات المخزون'!$A$16,'مبيعات يومية'!$A$2:$A$8001,"&gt;"&amp;('إعدادات المخزون'!$B$4-'إعدادات المخزون'!$B$11),'مبيعات يومية'!$A$2:$A$8001,"&lt;="&amp;'إعدادات المخزون'!$B$4)</f>
        <v>0</v>
      </c>
      <c r="H157" s="116" t="n">
        <f aca="false">SUMIFS('مبيعات يومية'!$D$2:$D$8001,'مبيعات يومية'!$C$2:$C$8001,$A157,'مبيعات يومية'!$B$2:$B$8001,'إعدادات المخزون'!$A$17,'مبيعات يومية'!$A$2:$A$8001,'إعدادات المخزون'!$B$4)</f>
        <v>0</v>
      </c>
      <c r="I157" s="116" t="n">
        <f aca="false">SUMIFS('مبيعات يومية'!$D$2:$D$8001,'مبيعات يومية'!$C$2:$C$8001,$A157,'مبيعات يومية'!$B$2:$B$8001,'إعدادات المخزون'!$A$17,'مبيعات يومية'!$A$2:$A$8001,"&gt;="&amp;'إعدادات المخزون'!$B$5,'مبيعات يومية'!$A$2:$A$8001,"&lt;="&amp;'إعدادات المخزون'!$B$4)</f>
        <v>0</v>
      </c>
      <c r="J157" s="116" t="n">
        <f aca="false">SUMIFS('مبيعات يومية'!$D$2:$D$8001,'مبيعات يومية'!$C$2:$C$8001,$A157,'مبيعات يومية'!$B$2:$B$8001,'إعدادات المخزون'!$A$17,'مبيعات يومية'!$A$2:$A$8001,"&gt;"&amp;('إعدادات المخزون'!$B$4-'إعدادات المخزون'!$B$11),'مبيعات يومية'!$A$2:$A$8001,"&lt;="&amp;'إعدادات المخزون'!$B$4)</f>
        <v>0</v>
      </c>
    </row>
    <row r="158" customFormat="false" ht="15" hidden="false" customHeight="false" outlineLevel="0" collapsed="false">
      <c r="A158" s="114" t="str">
        <f aca="false">المنيو!B158</f>
        <v>اضافة فراخ كريسبي (فطير كبير)</v>
      </c>
      <c r="B158" s="116" t="n">
        <f aca="false">SUMIFS('مبيعات يومية'!$D$2:$D$8001,'مبيعات يومية'!$C$2:$C$8001,$A158,'مبيعات يومية'!$B$2:$B$8001,'إعدادات المخزون'!$A$15,'مبيعات يومية'!$A$2:$A$8001,'إعدادات المخزون'!$B$4)</f>
        <v>0</v>
      </c>
      <c r="C158" s="116" t="n">
        <f aca="false">SUMIFS('مبيعات يومية'!$D$2:$D$8001,'مبيعات يومية'!$C$2:$C$8001,$A158,'مبيعات يومية'!$B$2:$B$8001,'إعدادات المخزون'!$A$15,'مبيعات يومية'!$A$2:$A$8001,"&gt;="&amp;'إعدادات المخزون'!$B$5,'مبيعات يومية'!$A$2:$A$8001,"&lt;="&amp;'إعدادات المخزون'!$B$4)</f>
        <v>0</v>
      </c>
      <c r="D158" s="116" t="n">
        <f aca="false">SUMIFS('مبيعات يومية'!$D$2:$D$8001,'مبيعات يومية'!$C$2:$C$8001,$A158,'مبيعات يومية'!$B$2:$B$8001,'إعدادات المخزون'!$A$15,'مبيعات يومية'!$A$2:$A$8001,"&gt;"&amp;('إعدادات المخزون'!$B$4-'إعدادات المخزون'!$B$11),'مبيعات يومية'!$A$2:$A$8001,"&lt;="&amp;'إعدادات المخزون'!$B$4)</f>
        <v>0</v>
      </c>
      <c r="E158" s="116" t="n">
        <f aca="false">SUMIFS('مبيعات يومية'!$D$2:$D$8001,'مبيعات يومية'!$C$2:$C$8001,$A158,'مبيعات يومية'!$B$2:$B$8001,'إعدادات المخزون'!$A$16,'مبيعات يومية'!$A$2:$A$8001,'إعدادات المخزون'!$B$4)</f>
        <v>0</v>
      </c>
      <c r="F158" s="116" t="n">
        <f aca="false">SUMIFS('مبيعات يومية'!$D$2:$D$8001,'مبيعات يومية'!$C$2:$C$8001,$A158,'مبيعات يومية'!$B$2:$B$8001,'إعدادات المخزون'!$A$16,'مبيعات يومية'!$A$2:$A$8001,"&gt;="&amp;'إعدادات المخزون'!$B$5,'مبيعات يومية'!$A$2:$A$8001,"&lt;="&amp;'إعدادات المخزون'!$B$4)</f>
        <v>0</v>
      </c>
      <c r="G158" s="116" t="n">
        <f aca="false">SUMIFS('مبيعات يومية'!$D$2:$D$8001,'مبيعات يومية'!$C$2:$C$8001,$A158,'مبيعات يومية'!$B$2:$B$8001,'إعدادات المخزون'!$A$16,'مبيعات يومية'!$A$2:$A$8001,"&gt;"&amp;('إعدادات المخزون'!$B$4-'إعدادات المخزون'!$B$11),'مبيعات يومية'!$A$2:$A$8001,"&lt;="&amp;'إعدادات المخزون'!$B$4)</f>
        <v>0</v>
      </c>
      <c r="H158" s="116" t="n">
        <f aca="false">SUMIFS('مبيعات يومية'!$D$2:$D$8001,'مبيعات يومية'!$C$2:$C$8001,$A158,'مبيعات يومية'!$B$2:$B$8001,'إعدادات المخزون'!$A$17,'مبيعات يومية'!$A$2:$A$8001,'إعدادات المخزون'!$B$4)</f>
        <v>0</v>
      </c>
      <c r="I158" s="116" t="n">
        <f aca="false">SUMIFS('مبيعات يومية'!$D$2:$D$8001,'مبيعات يومية'!$C$2:$C$8001,$A158,'مبيعات يومية'!$B$2:$B$8001,'إعدادات المخزون'!$A$17,'مبيعات يومية'!$A$2:$A$8001,"&gt;="&amp;'إعدادات المخزون'!$B$5,'مبيعات يومية'!$A$2:$A$8001,"&lt;="&amp;'إعدادات المخزون'!$B$4)</f>
        <v>0</v>
      </c>
      <c r="J158" s="116" t="n">
        <f aca="false">SUMIFS('مبيعات يومية'!$D$2:$D$8001,'مبيعات يومية'!$C$2:$C$8001,$A158,'مبيعات يومية'!$B$2:$B$8001,'إعدادات المخزون'!$A$17,'مبيعات يومية'!$A$2:$A$8001,"&gt;"&amp;('إعدادات المخزون'!$B$4-'إعدادات المخزون'!$B$11),'مبيعات يومية'!$A$2:$A$8001,"&lt;="&amp;'إعدادات المخزون'!$B$4)</f>
        <v>0</v>
      </c>
    </row>
    <row r="159" customFormat="false" ht="15" hidden="false" customHeight="false" outlineLevel="0" collapsed="false">
      <c r="A159" s="114" t="str">
        <f aca="false">المنيو!B159</f>
        <v>اضافة مشروم (بيتزا وسط)</v>
      </c>
      <c r="B159" s="116" t="n">
        <f aca="false">SUMIFS('مبيعات يومية'!$D$2:$D$8001,'مبيعات يومية'!$C$2:$C$8001,$A159,'مبيعات يومية'!$B$2:$B$8001,'إعدادات المخزون'!$A$15,'مبيعات يومية'!$A$2:$A$8001,'إعدادات المخزون'!$B$4)</f>
        <v>0</v>
      </c>
      <c r="C159" s="116" t="n">
        <f aca="false">SUMIFS('مبيعات يومية'!$D$2:$D$8001,'مبيعات يومية'!$C$2:$C$8001,$A159,'مبيعات يومية'!$B$2:$B$8001,'إعدادات المخزون'!$A$15,'مبيعات يومية'!$A$2:$A$8001,"&gt;="&amp;'إعدادات المخزون'!$B$5,'مبيعات يومية'!$A$2:$A$8001,"&lt;="&amp;'إعدادات المخزون'!$B$4)</f>
        <v>0</v>
      </c>
      <c r="D159" s="116" t="n">
        <f aca="false">SUMIFS('مبيعات يومية'!$D$2:$D$8001,'مبيعات يومية'!$C$2:$C$8001,$A159,'مبيعات يومية'!$B$2:$B$8001,'إعدادات المخزون'!$A$15,'مبيعات يومية'!$A$2:$A$8001,"&gt;"&amp;('إعدادات المخزون'!$B$4-'إعدادات المخزون'!$B$11),'مبيعات يومية'!$A$2:$A$8001,"&lt;="&amp;'إعدادات المخزون'!$B$4)</f>
        <v>0</v>
      </c>
      <c r="E159" s="116" t="n">
        <f aca="false">SUMIFS('مبيعات يومية'!$D$2:$D$8001,'مبيعات يومية'!$C$2:$C$8001,$A159,'مبيعات يومية'!$B$2:$B$8001,'إعدادات المخزون'!$A$16,'مبيعات يومية'!$A$2:$A$8001,'إعدادات المخزون'!$B$4)</f>
        <v>0</v>
      </c>
      <c r="F159" s="116" t="n">
        <f aca="false">SUMIFS('مبيعات يومية'!$D$2:$D$8001,'مبيعات يومية'!$C$2:$C$8001,$A159,'مبيعات يومية'!$B$2:$B$8001,'إعدادات المخزون'!$A$16,'مبيعات يومية'!$A$2:$A$8001,"&gt;="&amp;'إعدادات المخزون'!$B$5,'مبيعات يومية'!$A$2:$A$8001,"&lt;="&amp;'إعدادات المخزون'!$B$4)</f>
        <v>0</v>
      </c>
      <c r="G159" s="116" t="n">
        <f aca="false">SUMIFS('مبيعات يومية'!$D$2:$D$8001,'مبيعات يومية'!$C$2:$C$8001,$A159,'مبيعات يومية'!$B$2:$B$8001,'إعدادات المخزون'!$A$16,'مبيعات يومية'!$A$2:$A$8001,"&gt;"&amp;('إعدادات المخزون'!$B$4-'إعدادات المخزون'!$B$11),'مبيعات يومية'!$A$2:$A$8001,"&lt;="&amp;'إعدادات المخزون'!$B$4)</f>
        <v>0</v>
      </c>
      <c r="H159" s="116" t="n">
        <f aca="false">SUMIFS('مبيعات يومية'!$D$2:$D$8001,'مبيعات يومية'!$C$2:$C$8001,$A159,'مبيعات يومية'!$B$2:$B$8001,'إعدادات المخزون'!$A$17,'مبيعات يومية'!$A$2:$A$8001,'إعدادات المخزون'!$B$4)</f>
        <v>0</v>
      </c>
      <c r="I159" s="116" t="n">
        <f aca="false">SUMIFS('مبيعات يومية'!$D$2:$D$8001,'مبيعات يومية'!$C$2:$C$8001,$A159,'مبيعات يومية'!$B$2:$B$8001,'إعدادات المخزون'!$A$17,'مبيعات يومية'!$A$2:$A$8001,"&gt;="&amp;'إعدادات المخزون'!$B$5,'مبيعات يومية'!$A$2:$A$8001,"&lt;="&amp;'إعدادات المخزون'!$B$4)</f>
        <v>0</v>
      </c>
      <c r="J159" s="116" t="n">
        <f aca="false">SUMIFS('مبيعات يومية'!$D$2:$D$8001,'مبيعات يومية'!$C$2:$C$8001,$A159,'مبيعات يومية'!$B$2:$B$8001,'إعدادات المخزون'!$A$17,'مبيعات يومية'!$A$2:$A$8001,"&gt;"&amp;('إعدادات المخزون'!$B$4-'إعدادات المخزون'!$B$11),'مبيعات يومية'!$A$2:$A$8001,"&lt;="&amp;'إعدادات المخزون'!$B$4)</f>
        <v>0</v>
      </c>
    </row>
    <row r="160" customFormat="false" ht="15" hidden="false" customHeight="false" outlineLevel="0" collapsed="false">
      <c r="A160" s="114" t="str">
        <f aca="false">المنيو!B160</f>
        <v>اضافة مشروم (بيتزا كبير)</v>
      </c>
      <c r="B160" s="116" t="n">
        <f aca="false">SUMIFS('مبيعات يومية'!$D$2:$D$8001,'مبيعات يومية'!$C$2:$C$8001,$A160,'مبيعات يومية'!$B$2:$B$8001,'إعدادات المخزون'!$A$15,'مبيعات يومية'!$A$2:$A$8001,'إعدادات المخزون'!$B$4)</f>
        <v>0</v>
      </c>
      <c r="C160" s="116" t="n">
        <f aca="false">SUMIFS('مبيعات يومية'!$D$2:$D$8001,'مبيعات يومية'!$C$2:$C$8001,$A160,'مبيعات يومية'!$B$2:$B$8001,'إعدادات المخزون'!$A$15,'مبيعات يومية'!$A$2:$A$8001,"&gt;="&amp;'إعدادات المخزون'!$B$5,'مبيعات يومية'!$A$2:$A$8001,"&lt;="&amp;'إعدادات المخزون'!$B$4)</f>
        <v>0</v>
      </c>
      <c r="D160" s="116" t="n">
        <f aca="false">SUMIFS('مبيعات يومية'!$D$2:$D$8001,'مبيعات يومية'!$C$2:$C$8001,$A160,'مبيعات يومية'!$B$2:$B$8001,'إعدادات المخزون'!$A$15,'مبيعات يومية'!$A$2:$A$8001,"&gt;"&amp;('إعدادات المخزون'!$B$4-'إعدادات المخزون'!$B$11),'مبيعات يومية'!$A$2:$A$8001,"&lt;="&amp;'إعدادات المخزون'!$B$4)</f>
        <v>0</v>
      </c>
      <c r="E160" s="116" t="n">
        <f aca="false">SUMIFS('مبيعات يومية'!$D$2:$D$8001,'مبيعات يومية'!$C$2:$C$8001,$A160,'مبيعات يومية'!$B$2:$B$8001,'إعدادات المخزون'!$A$16,'مبيعات يومية'!$A$2:$A$8001,'إعدادات المخزون'!$B$4)</f>
        <v>0</v>
      </c>
      <c r="F160" s="116" t="n">
        <f aca="false">SUMIFS('مبيعات يومية'!$D$2:$D$8001,'مبيعات يومية'!$C$2:$C$8001,$A160,'مبيعات يومية'!$B$2:$B$8001,'إعدادات المخزون'!$A$16,'مبيعات يومية'!$A$2:$A$8001,"&gt;="&amp;'إعدادات المخزون'!$B$5,'مبيعات يومية'!$A$2:$A$8001,"&lt;="&amp;'إعدادات المخزون'!$B$4)</f>
        <v>0</v>
      </c>
      <c r="G160" s="116" t="n">
        <f aca="false">SUMIFS('مبيعات يومية'!$D$2:$D$8001,'مبيعات يومية'!$C$2:$C$8001,$A160,'مبيعات يومية'!$B$2:$B$8001,'إعدادات المخزون'!$A$16,'مبيعات يومية'!$A$2:$A$8001,"&gt;"&amp;('إعدادات المخزون'!$B$4-'إعدادات المخزون'!$B$11),'مبيعات يومية'!$A$2:$A$8001,"&lt;="&amp;'إعدادات المخزون'!$B$4)</f>
        <v>0</v>
      </c>
      <c r="H160" s="116" t="n">
        <f aca="false">SUMIFS('مبيعات يومية'!$D$2:$D$8001,'مبيعات يومية'!$C$2:$C$8001,$A160,'مبيعات يومية'!$B$2:$B$8001,'إعدادات المخزون'!$A$17,'مبيعات يومية'!$A$2:$A$8001,'إعدادات المخزون'!$B$4)</f>
        <v>0</v>
      </c>
      <c r="I160" s="116" t="n">
        <f aca="false">SUMIFS('مبيعات يومية'!$D$2:$D$8001,'مبيعات يومية'!$C$2:$C$8001,$A160,'مبيعات يومية'!$B$2:$B$8001,'إعدادات المخزون'!$A$17,'مبيعات يومية'!$A$2:$A$8001,"&gt;="&amp;'إعدادات المخزون'!$B$5,'مبيعات يومية'!$A$2:$A$8001,"&lt;="&amp;'إعدادات المخزون'!$B$4)</f>
        <v>0</v>
      </c>
      <c r="J160" s="116" t="n">
        <f aca="false">SUMIFS('مبيعات يومية'!$D$2:$D$8001,'مبيعات يومية'!$C$2:$C$8001,$A160,'مبيعات يومية'!$B$2:$B$8001,'إعدادات المخزون'!$A$17,'مبيعات يومية'!$A$2:$A$8001,"&gt;"&amp;('إعدادات المخزون'!$B$4-'إعدادات المخزون'!$B$11),'مبيعات يومية'!$A$2:$A$8001,"&lt;="&amp;'إعدادات المخزون'!$B$4)</f>
        <v>0</v>
      </c>
    </row>
    <row r="161" customFormat="false" ht="15" hidden="false" customHeight="false" outlineLevel="0" collapsed="false">
      <c r="A161" s="114" t="str">
        <f aca="false">المنيو!B161</f>
        <v>اضافة مشروم (فطير وسط)</v>
      </c>
      <c r="B161" s="116" t="n">
        <f aca="false">SUMIFS('مبيعات يومية'!$D$2:$D$8001,'مبيعات يومية'!$C$2:$C$8001,$A161,'مبيعات يومية'!$B$2:$B$8001,'إعدادات المخزون'!$A$15,'مبيعات يومية'!$A$2:$A$8001,'إعدادات المخزون'!$B$4)</f>
        <v>0</v>
      </c>
      <c r="C161" s="116" t="n">
        <f aca="false">SUMIFS('مبيعات يومية'!$D$2:$D$8001,'مبيعات يومية'!$C$2:$C$8001,$A161,'مبيعات يومية'!$B$2:$B$8001,'إعدادات المخزون'!$A$15,'مبيعات يومية'!$A$2:$A$8001,"&gt;="&amp;'إعدادات المخزون'!$B$5,'مبيعات يومية'!$A$2:$A$8001,"&lt;="&amp;'إعدادات المخزون'!$B$4)</f>
        <v>0</v>
      </c>
      <c r="D161" s="116" t="n">
        <f aca="false">SUMIFS('مبيعات يومية'!$D$2:$D$8001,'مبيعات يومية'!$C$2:$C$8001,$A161,'مبيعات يومية'!$B$2:$B$8001,'إعدادات المخزون'!$A$15,'مبيعات يومية'!$A$2:$A$8001,"&gt;"&amp;('إعدادات المخزون'!$B$4-'إعدادات المخزون'!$B$11),'مبيعات يومية'!$A$2:$A$8001,"&lt;="&amp;'إعدادات المخزون'!$B$4)</f>
        <v>0</v>
      </c>
      <c r="E161" s="116" t="n">
        <f aca="false">SUMIFS('مبيعات يومية'!$D$2:$D$8001,'مبيعات يومية'!$C$2:$C$8001,$A161,'مبيعات يومية'!$B$2:$B$8001,'إعدادات المخزون'!$A$16,'مبيعات يومية'!$A$2:$A$8001,'إعدادات المخزون'!$B$4)</f>
        <v>0</v>
      </c>
      <c r="F161" s="116" t="n">
        <f aca="false">SUMIFS('مبيعات يومية'!$D$2:$D$8001,'مبيعات يومية'!$C$2:$C$8001,$A161,'مبيعات يومية'!$B$2:$B$8001,'إعدادات المخزون'!$A$16,'مبيعات يومية'!$A$2:$A$8001,"&gt;="&amp;'إعدادات المخزون'!$B$5,'مبيعات يومية'!$A$2:$A$8001,"&lt;="&amp;'إعدادات المخزون'!$B$4)</f>
        <v>0</v>
      </c>
      <c r="G161" s="116" t="n">
        <f aca="false">SUMIFS('مبيعات يومية'!$D$2:$D$8001,'مبيعات يومية'!$C$2:$C$8001,$A161,'مبيعات يومية'!$B$2:$B$8001,'إعدادات المخزون'!$A$16,'مبيعات يومية'!$A$2:$A$8001,"&gt;"&amp;('إعدادات المخزون'!$B$4-'إعدادات المخزون'!$B$11),'مبيعات يومية'!$A$2:$A$8001,"&lt;="&amp;'إعدادات المخزون'!$B$4)</f>
        <v>0</v>
      </c>
      <c r="H161" s="116" t="n">
        <f aca="false">SUMIFS('مبيعات يومية'!$D$2:$D$8001,'مبيعات يومية'!$C$2:$C$8001,$A161,'مبيعات يومية'!$B$2:$B$8001,'إعدادات المخزون'!$A$17,'مبيعات يومية'!$A$2:$A$8001,'إعدادات المخزون'!$B$4)</f>
        <v>0</v>
      </c>
      <c r="I161" s="116" t="n">
        <f aca="false">SUMIFS('مبيعات يومية'!$D$2:$D$8001,'مبيعات يومية'!$C$2:$C$8001,$A161,'مبيعات يومية'!$B$2:$B$8001,'إعدادات المخزون'!$A$17,'مبيعات يومية'!$A$2:$A$8001,"&gt;="&amp;'إعدادات المخزون'!$B$5,'مبيعات يومية'!$A$2:$A$8001,"&lt;="&amp;'إعدادات المخزون'!$B$4)</f>
        <v>0</v>
      </c>
      <c r="J161" s="116" t="n">
        <f aca="false">SUMIFS('مبيعات يومية'!$D$2:$D$8001,'مبيعات يومية'!$C$2:$C$8001,$A161,'مبيعات يومية'!$B$2:$B$8001,'إعدادات المخزون'!$A$17,'مبيعات يومية'!$A$2:$A$8001,"&gt;"&amp;('إعدادات المخزون'!$B$4-'إعدادات المخزون'!$B$11),'مبيعات يومية'!$A$2:$A$8001,"&lt;="&amp;'إعدادات المخزون'!$B$4)</f>
        <v>0</v>
      </c>
    </row>
    <row r="162" customFormat="false" ht="15" hidden="false" customHeight="false" outlineLevel="0" collapsed="false">
      <c r="A162" s="114" t="str">
        <f aca="false">المنيو!B162</f>
        <v>اضافة مشروم (فطير كبير)</v>
      </c>
      <c r="B162" s="116" t="n">
        <f aca="false">SUMIFS('مبيعات يومية'!$D$2:$D$8001,'مبيعات يومية'!$C$2:$C$8001,$A162,'مبيعات يومية'!$B$2:$B$8001,'إعدادات المخزون'!$A$15,'مبيعات يومية'!$A$2:$A$8001,'إعدادات المخزون'!$B$4)</f>
        <v>0</v>
      </c>
      <c r="C162" s="116" t="n">
        <f aca="false">SUMIFS('مبيعات يومية'!$D$2:$D$8001,'مبيعات يومية'!$C$2:$C$8001,$A162,'مبيعات يومية'!$B$2:$B$8001,'إعدادات المخزون'!$A$15,'مبيعات يومية'!$A$2:$A$8001,"&gt;="&amp;'إعدادات المخزون'!$B$5,'مبيعات يومية'!$A$2:$A$8001,"&lt;="&amp;'إعدادات المخزون'!$B$4)</f>
        <v>0</v>
      </c>
      <c r="D162" s="116" t="n">
        <f aca="false">SUMIFS('مبيعات يومية'!$D$2:$D$8001,'مبيعات يومية'!$C$2:$C$8001,$A162,'مبيعات يومية'!$B$2:$B$8001,'إعدادات المخزون'!$A$15,'مبيعات يومية'!$A$2:$A$8001,"&gt;"&amp;('إعدادات المخزون'!$B$4-'إعدادات المخزون'!$B$11),'مبيعات يومية'!$A$2:$A$8001,"&lt;="&amp;'إعدادات المخزون'!$B$4)</f>
        <v>0</v>
      </c>
      <c r="E162" s="116" t="n">
        <f aca="false">SUMIFS('مبيعات يومية'!$D$2:$D$8001,'مبيعات يومية'!$C$2:$C$8001,$A162,'مبيعات يومية'!$B$2:$B$8001,'إعدادات المخزون'!$A$16,'مبيعات يومية'!$A$2:$A$8001,'إعدادات المخزون'!$B$4)</f>
        <v>0</v>
      </c>
      <c r="F162" s="116" t="n">
        <f aca="false">SUMIFS('مبيعات يومية'!$D$2:$D$8001,'مبيعات يومية'!$C$2:$C$8001,$A162,'مبيعات يومية'!$B$2:$B$8001,'إعدادات المخزون'!$A$16,'مبيعات يومية'!$A$2:$A$8001,"&gt;="&amp;'إعدادات المخزون'!$B$5,'مبيعات يومية'!$A$2:$A$8001,"&lt;="&amp;'إعدادات المخزون'!$B$4)</f>
        <v>0</v>
      </c>
      <c r="G162" s="116" t="n">
        <f aca="false">SUMIFS('مبيعات يومية'!$D$2:$D$8001,'مبيعات يومية'!$C$2:$C$8001,$A162,'مبيعات يومية'!$B$2:$B$8001,'إعدادات المخزون'!$A$16,'مبيعات يومية'!$A$2:$A$8001,"&gt;"&amp;('إعدادات المخزون'!$B$4-'إعدادات المخزون'!$B$11),'مبيعات يومية'!$A$2:$A$8001,"&lt;="&amp;'إعدادات المخزون'!$B$4)</f>
        <v>0</v>
      </c>
      <c r="H162" s="116" t="n">
        <f aca="false">SUMIFS('مبيعات يومية'!$D$2:$D$8001,'مبيعات يومية'!$C$2:$C$8001,$A162,'مبيعات يومية'!$B$2:$B$8001,'إعدادات المخزون'!$A$17,'مبيعات يومية'!$A$2:$A$8001,'إعدادات المخزون'!$B$4)</f>
        <v>0</v>
      </c>
      <c r="I162" s="116" t="n">
        <f aca="false">SUMIFS('مبيعات يومية'!$D$2:$D$8001,'مبيعات يومية'!$C$2:$C$8001,$A162,'مبيعات يومية'!$B$2:$B$8001,'إعدادات المخزون'!$A$17,'مبيعات يومية'!$A$2:$A$8001,"&gt;="&amp;'إعدادات المخزون'!$B$5,'مبيعات يومية'!$A$2:$A$8001,"&lt;="&amp;'إعدادات المخزون'!$B$4)</f>
        <v>0</v>
      </c>
      <c r="J162" s="116" t="n">
        <f aca="false">SUMIFS('مبيعات يومية'!$D$2:$D$8001,'مبيعات يومية'!$C$2:$C$8001,$A162,'مبيعات يومية'!$B$2:$B$8001,'إعدادات المخزون'!$A$17,'مبيعات يومية'!$A$2:$A$8001,"&gt;"&amp;('إعدادات المخزون'!$B$4-'إعدادات المخزون'!$B$11),'مبيعات يومية'!$A$2:$A$8001,"&lt;="&amp;'إعدادات المخزون'!$B$4)</f>
        <v>0</v>
      </c>
    </row>
    <row r="163" customFormat="false" ht="15" hidden="false" customHeight="false" outlineLevel="0" collapsed="false">
      <c r="A163" s="114" t="str">
        <f aca="false">المنيو!B163</f>
        <v>إضافة وش بيتزا (مخصوص) (وسط)</v>
      </c>
      <c r="B163" s="116" t="n">
        <f aca="false">SUMIFS('مبيعات يومية'!$D$2:$D$8001,'مبيعات يومية'!$C$2:$C$8001,$A163,'مبيعات يومية'!$B$2:$B$8001,'إعدادات المخزون'!$A$15,'مبيعات يومية'!$A$2:$A$8001,'إعدادات المخزون'!$B$4)</f>
        <v>0</v>
      </c>
      <c r="C163" s="116" t="n">
        <f aca="false">SUMIFS('مبيعات يومية'!$D$2:$D$8001,'مبيعات يومية'!$C$2:$C$8001,$A163,'مبيعات يومية'!$B$2:$B$8001,'إعدادات المخزون'!$A$15,'مبيعات يومية'!$A$2:$A$8001,"&gt;="&amp;'إعدادات المخزون'!$B$5,'مبيعات يومية'!$A$2:$A$8001,"&lt;="&amp;'إعدادات المخزون'!$B$4)</f>
        <v>0</v>
      </c>
      <c r="D163" s="116" t="n">
        <f aca="false">SUMIFS('مبيعات يومية'!$D$2:$D$8001,'مبيعات يومية'!$C$2:$C$8001,$A163,'مبيعات يومية'!$B$2:$B$8001,'إعدادات المخزون'!$A$15,'مبيعات يومية'!$A$2:$A$8001,"&gt;"&amp;('إعدادات المخزون'!$B$4-'إعدادات المخزون'!$B$11),'مبيعات يومية'!$A$2:$A$8001,"&lt;="&amp;'إعدادات المخزون'!$B$4)</f>
        <v>0</v>
      </c>
      <c r="E163" s="116" t="n">
        <f aca="false">SUMIFS('مبيعات يومية'!$D$2:$D$8001,'مبيعات يومية'!$C$2:$C$8001,$A163,'مبيعات يومية'!$B$2:$B$8001,'إعدادات المخزون'!$A$16,'مبيعات يومية'!$A$2:$A$8001,'إعدادات المخزون'!$B$4)</f>
        <v>0</v>
      </c>
      <c r="F163" s="116" t="n">
        <f aca="false">SUMIFS('مبيعات يومية'!$D$2:$D$8001,'مبيعات يومية'!$C$2:$C$8001,$A163,'مبيعات يومية'!$B$2:$B$8001,'إعدادات المخزون'!$A$16,'مبيعات يومية'!$A$2:$A$8001,"&gt;="&amp;'إعدادات المخزون'!$B$5,'مبيعات يومية'!$A$2:$A$8001,"&lt;="&amp;'إعدادات المخزون'!$B$4)</f>
        <v>0</v>
      </c>
      <c r="G163" s="116" t="n">
        <f aca="false">SUMIFS('مبيعات يومية'!$D$2:$D$8001,'مبيعات يومية'!$C$2:$C$8001,$A163,'مبيعات يومية'!$B$2:$B$8001,'إعدادات المخزون'!$A$16,'مبيعات يومية'!$A$2:$A$8001,"&gt;"&amp;('إعدادات المخزون'!$B$4-'إعدادات المخزون'!$B$11),'مبيعات يومية'!$A$2:$A$8001,"&lt;="&amp;'إعدادات المخزون'!$B$4)</f>
        <v>0</v>
      </c>
      <c r="H163" s="116" t="n">
        <f aca="false">SUMIFS('مبيعات يومية'!$D$2:$D$8001,'مبيعات يومية'!$C$2:$C$8001,$A163,'مبيعات يومية'!$B$2:$B$8001,'إعدادات المخزون'!$A$17,'مبيعات يومية'!$A$2:$A$8001,'إعدادات المخزون'!$B$4)</f>
        <v>0</v>
      </c>
      <c r="I163" s="116" t="n">
        <f aca="false">SUMIFS('مبيعات يومية'!$D$2:$D$8001,'مبيعات يومية'!$C$2:$C$8001,$A163,'مبيعات يومية'!$B$2:$B$8001,'إعدادات المخزون'!$A$17,'مبيعات يومية'!$A$2:$A$8001,"&gt;="&amp;'إعدادات المخزون'!$B$5,'مبيعات يومية'!$A$2:$A$8001,"&lt;="&amp;'إعدادات المخزون'!$B$4)</f>
        <v>0</v>
      </c>
      <c r="J163" s="116" t="n">
        <f aca="false">SUMIFS('مبيعات يومية'!$D$2:$D$8001,'مبيعات يومية'!$C$2:$C$8001,$A163,'مبيعات يومية'!$B$2:$B$8001,'إعدادات المخزون'!$A$17,'مبيعات يومية'!$A$2:$A$8001,"&gt;"&amp;('إعدادات المخزون'!$B$4-'إعدادات المخزون'!$B$11),'مبيعات يومية'!$A$2:$A$8001,"&lt;="&amp;'إعدادات المخزون'!$B$4)</f>
        <v>0</v>
      </c>
    </row>
    <row r="164" customFormat="false" ht="15" hidden="false" customHeight="false" outlineLevel="0" collapsed="false">
      <c r="A164" s="114" t="str">
        <f aca="false">المنيو!B164</f>
        <v>إضافة وش بيتزا (مخصوص) (كبير)</v>
      </c>
      <c r="B164" s="116" t="n">
        <f aca="false">SUMIFS('مبيعات يومية'!$D$2:$D$8001,'مبيعات يومية'!$C$2:$C$8001,$A164,'مبيعات يومية'!$B$2:$B$8001,'إعدادات المخزون'!$A$15,'مبيعات يومية'!$A$2:$A$8001,'إعدادات المخزون'!$B$4)</f>
        <v>0</v>
      </c>
      <c r="C164" s="116" t="n">
        <f aca="false">SUMIFS('مبيعات يومية'!$D$2:$D$8001,'مبيعات يومية'!$C$2:$C$8001,$A164,'مبيعات يومية'!$B$2:$B$8001,'إعدادات المخزون'!$A$15,'مبيعات يومية'!$A$2:$A$8001,"&gt;="&amp;'إعدادات المخزون'!$B$5,'مبيعات يومية'!$A$2:$A$8001,"&lt;="&amp;'إعدادات المخزون'!$B$4)</f>
        <v>0</v>
      </c>
      <c r="D164" s="116" t="n">
        <f aca="false">SUMIFS('مبيعات يومية'!$D$2:$D$8001,'مبيعات يومية'!$C$2:$C$8001,$A164,'مبيعات يومية'!$B$2:$B$8001,'إعدادات المخزون'!$A$15,'مبيعات يومية'!$A$2:$A$8001,"&gt;"&amp;('إعدادات المخزون'!$B$4-'إعدادات المخزون'!$B$11),'مبيعات يومية'!$A$2:$A$8001,"&lt;="&amp;'إعدادات المخزون'!$B$4)</f>
        <v>0</v>
      </c>
      <c r="E164" s="116" t="n">
        <f aca="false">SUMIFS('مبيعات يومية'!$D$2:$D$8001,'مبيعات يومية'!$C$2:$C$8001,$A164,'مبيعات يومية'!$B$2:$B$8001,'إعدادات المخزون'!$A$16,'مبيعات يومية'!$A$2:$A$8001,'إعدادات المخزون'!$B$4)</f>
        <v>0</v>
      </c>
      <c r="F164" s="116" t="n">
        <f aca="false">SUMIFS('مبيعات يومية'!$D$2:$D$8001,'مبيعات يومية'!$C$2:$C$8001,$A164,'مبيعات يومية'!$B$2:$B$8001,'إعدادات المخزون'!$A$16,'مبيعات يومية'!$A$2:$A$8001,"&gt;="&amp;'إعدادات المخزون'!$B$5,'مبيعات يومية'!$A$2:$A$8001,"&lt;="&amp;'إعدادات المخزون'!$B$4)</f>
        <v>0</v>
      </c>
      <c r="G164" s="116" t="n">
        <f aca="false">SUMIFS('مبيعات يومية'!$D$2:$D$8001,'مبيعات يومية'!$C$2:$C$8001,$A164,'مبيعات يومية'!$B$2:$B$8001,'إعدادات المخزون'!$A$16,'مبيعات يومية'!$A$2:$A$8001,"&gt;"&amp;('إعدادات المخزون'!$B$4-'إعدادات المخزون'!$B$11),'مبيعات يومية'!$A$2:$A$8001,"&lt;="&amp;'إعدادات المخزون'!$B$4)</f>
        <v>0</v>
      </c>
      <c r="H164" s="116" t="n">
        <f aca="false">SUMIFS('مبيعات يومية'!$D$2:$D$8001,'مبيعات يومية'!$C$2:$C$8001,$A164,'مبيعات يومية'!$B$2:$B$8001,'إعدادات المخزون'!$A$17,'مبيعات يومية'!$A$2:$A$8001,'إعدادات المخزون'!$B$4)</f>
        <v>0</v>
      </c>
      <c r="I164" s="116" t="n">
        <f aca="false">SUMIFS('مبيعات يومية'!$D$2:$D$8001,'مبيعات يومية'!$C$2:$C$8001,$A164,'مبيعات يومية'!$B$2:$B$8001,'إعدادات المخزون'!$A$17,'مبيعات يومية'!$A$2:$A$8001,"&gt;="&amp;'إعدادات المخزون'!$B$5,'مبيعات يومية'!$A$2:$A$8001,"&lt;="&amp;'إعدادات المخزون'!$B$4)</f>
        <v>0</v>
      </c>
      <c r="J164" s="116" t="n">
        <f aca="false">SUMIFS('مبيعات يومية'!$D$2:$D$8001,'مبيعات يومية'!$C$2:$C$8001,$A164,'مبيعات يومية'!$B$2:$B$8001,'إعدادات المخزون'!$A$17,'مبيعات يومية'!$A$2:$A$8001,"&gt;"&amp;('إعدادات المخزون'!$B$4-'إعدادات المخزون'!$B$11),'مبيعات يومية'!$A$2:$A$8001,"&lt;="&amp;'إعدادات المخزون'!$B$4)</f>
        <v>0</v>
      </c>
    </row>
    <row r="165" customFormat="false" ht="15" hidden="false" customHeight="false" outlineLevel="0" collapsed="false">
      <c r="A165" s="114" t="str">
        <f aca="false">المنيو!B165</f>
        <v>اضافة حشو للاطراف (Small)</v>
      </c>
      <c r="B165" s="116" t="n">
        <f aca="false">SUMIFS('مبيعات يومية'!$D$2:$D$8001,'مبيعات يومية'!$C$2:$C$8001,$A165,'مبيعات يومية'!$B$2:$B$8001,'إعدادات المخزون'!$A$15,'مبيعات يومية'!$A$2:$A$8001,'إعدادات المخزون'!$B$4)</f>
        <v>0</v>
      </c>
      <c r="C165" s="116" t="n">
        <f aca="false">SUMIFS('مبيعات يومية'!$D$2:$D$8001,'مبيعات يومية'!$C$2:$C$8001,$A165,'مبيعات يومية'!$B$2:$B$8001,'إعدادات المخزون'!$A$15,'مبيعات يومية'!$A$2:$A$8001,"&gt;="&amp;'إعدادات المخزون'!$B$5,'مبيعات يومية'!$A$2:$A$8001,"&lt;="&amp;'إعدادات المخزون'!$B$4)</f>
        <v>0</v>
      </c>
      <c r="D165" s="116" t="n">
        <f aca="false">SUMIFS('مبيعات يومية'!$D$2:$D$8001,'مبيعات يومية'!$C$2:$C$8001,$A165,'مبيعات يومية'!$B$2:$B$8001,'إعدادات المخزون'!$A$15,'مبيعات يومية'!$A$2:$A$8001,"&gt;"&amp;('إعدادات المخزون'!$B$4-'إعدادات المخزون'!$B$11),'مبيعات يومية'!$A$2:$A$8001,"&lt;="&amp;'إعدادات المخزون'!$B$4)</f>
        <v>0</v>
      </c>
      <c r="E165" s="116" t="n">
        <f aca="false">SUMIFS('مبيعات يومية'!$D$2:$D$8001,'مبيعات يومية'!$C$2:$C$8001,$A165,'مبيعات يومية'!$B$2:$B$8001,'إعدادات المخزون'!$A$16,'مبيعات يومية'!$A$2:$A$8001,'إعدادات المخزون'!$B$4)</f>
        <v>0</v>
      </c>
      <c r="F165" s="116" t="n">
        <f aca="false">SUMIFS('مبيعات يومية'!$D$2:$D$8001,'مبيعات يومية'!$C$2:$C$8001,$A165,'مبيعات يومية'!$B$2:$B$8001,'إعدادات المخزون'!$A$16,'مبيعات يومية'!$A$2:$A$8001,"&gt;="&amp;'إعدادات المخزون'!$B$5,'مبيعات يومية'!$A$2:$A$8001,"&lt;="&amp;'إعدادات المخزون'!$B$4)</f>
        <v>0</v>
      </c>
      <c r="G165" s="116" t="n">
        <f aca="false">SUMIFS('مبيعات يومية'!$D$2:$D$8001,'مبيعات يومية'!$C$2:$C$8001,$A165,'مبيعات يومية'!$B$2:$B$8001,'إعدادات المخزون'!$A$16,'مبيعات يومية'!$A$2:$A$8001,"&gt;"&amp;('إعدادات المخزون'!$B$4-'إعدادات المخزون'!$B$11),'مبيعات يومية'!$A$2:$A$8001,"&lt;="&amp;'إعدادات المخزون'!$B$4)</f>
        <v>0</v>
      </c>
      <c r="H165" s="116" t="n">
        <f aca="false">SUMIFS('مبيعات يومية'!$D$2:$D$8001,'مبيعات يومية'!$C$2:$C$8001,$A165,'مبيعات يومية'!$B$2:$B$8001,'إعدادات المخزون'!$A$17,'مبيعات يومية'!$A$2:$A$8001,'إعدادات المخزون'!$B$4)</f>
        <v>0</v>
      </c>
      <c r="I165" s="116" t="n">
        <f aca="false">SUMIFS('مبيعات يومية'!$D$2:$D$8001,'مبيعات يومية'!$C$2:$C$8001,$A165,'مبيعات يومية'!$B$2:$B$8001,'إعدادات المخزون'!$A$17,'مبيعات يومية'!$A$2:$A$8001,"&gt;="&amp;'إعدادات المخزون'!$B$5,'مبيعات يومية'!$A$2:$A$8001,"&lt;="&amp;'إعدادات المخزون'!$B$4)</f>
        <v>0</v>
      </c>
      <c r="J165" s="116" t="n">
        <f aca="false">SUMIFS('مبيعات يومية'!$D$2:$D$8001,'مبيعات يومية'!$C$2:$C$8001,$A165,'مبيعات يومية'!$B$2:$B$8001,'إعدادات المخزون'!$A$17,'مبيعات يومية'!$A$2:$A$8001,"&gt;"&amp;('إعدادات المخزون'!$B$4-'إعدادات المخزون'!$B$11),'مبيعات يومية'!$A$2:$A$8001,"&lt;="&amp;'إعدادات المخزون'!$B$4)</f>
        <v>0</v>
      </c>
    </row>
    <row r="166" customFormat="false" ht="15" hidden="false" customHeight="false" outlineLevel="0" collapsed="false">
      <c r="A166" s="114" t="str">
        <f aca="false">المنيو!B166</f>
        <v>اضافة حشو للاطراف (Medium)</v>
      </c>
      <c r="B166" s="116" t="n">
        <f aca="false">SUMIFS('مبيعات يومية'!$D$2:$D$8001,'مبيعات يومية'!$C$2:$C$8001,$A166,'مبيعات يومية'!$B$2:$B$8001,'إعدادات المخزون'!$A$15,'مبيعات يومية'!$A$2:$A$8001,'إعدادات المخزون'!$B$4)</f>
        <v>0</v>
      </c>
      <c r="C166" s="116" t="n">
        <f aca="false">SUMIFS('مبيعات يومية'!$D$2:$D$8001,'مبيعات يومية'!$C$2:$C$8001,$A166,'مبيعات يومية'!$B$2:$B$8001,'إعدادات المخزون'!$A$15,'مبيعات يومية'!$A$2:$A$8001,"&gt;="&amp;'إعدادات المخزون'!$B$5,'مبيعات يومية'!$A$2:$A$8001,"&lt;="&amp;'إعدادات المخزون'!$B$4)</f>
        <v>0</v>
      </c>
      <c r="D166" s="116" t="n">
        <f aca="false">SUMIFS('مبيعات يومية'!$D$2:$D$8001,'مبيعات يومية'!$C$2:$C$8001,$A166,'مبيعات يومية'!$B$2:$B$8001,'إعدادات المخزون'!$A$15,'مبيعات يومية'!$A$2:$A$8001,"&gt;"&amp;('إعدادات المخزون'!$B$4-'إعدادات المخزون'!$B$11),'مبيعات يومية'!$A$2:$A$8001,"&lt;="&amp;'إعدادات المخزون'!$B$4)</f>
        <v>0</v>
      </c>
      <c r="E166" s="116" t="n">
        <f aca="false">SUMIFS('مبيعات يومية'!$D$2:$D$8001,'مبيعات يومية'!$C$2:$C$8001,$A166,'مبيعات يومية'!$B$2:$B$8001,'إعدادات المخزون'!$A$16,'مبيعات يومية'!$A$2:$A$8001,'إعدادات المخزون'!$B$4)</f>
        <v>0</v>
      </c>
      <c r="F166" s="116" t="n">
        <f aca="false">SUMIFS('مبيعات يومية'!$D$2:$D$8001,'مبيعات يومية'!$C$2:$C$8001,$A166,'مبيعات يومية'!$B$2:$B$8001,'إعدادات المخزون'!$A$16,'مبيعات يومية'!$A$2:$A$8001,"&gt;="&amp;'إعدادات المخزون'!$B$5,'مبيعات يومية'!$A$2:$A$8001,"&lt;="&amp;'إعدادات المخزون'!$B$4)</f>
        <v>0</v>
      </c>
      <c r="G166" s="116" t="n">
        <f aca="false">SUMIFS('مبيعات يومية'!$D$2:$D$8001,'مبيعات يومية'!$C$2:$C$8001,$A166,'مبيعات يومية'!$B$2:$B$8001,'إعدادات المخزون'!$A$16,'مبيعات يومية'!$A$2:$A$8001,"&gt;"&amp;('إعدادات المخزون'!$B$4-'إعدادات المخزون'!$B$11),'مبيعات يومية'!$A$2:$A$8001,"&lt;="&amp;'إعدادات المخزون'!$B$4)</f>
        <v>0</v>
      </c>
      <c r="H166" s="116" t="n">
        <f aca="false">SUMIFS('مبيعات يومية'!$D$2:$D$8001,'مبيعات يومية'!$C$2:$C$8001,$A166,'مبيعات يومية'!$B$2:$B$8001,'إعدادات المخزون'!$A$17,'مبيعات يومية'!$A$2:$A$8001,'إعدادات المخزون'!$B$4)</f>
        <v>0</v>
      </c>
      <c r="I166" s="116" t="n">
        <f aca="false">SUMIFS('مبيعات يومية'!$D$2:$D$8001,'مبيعات يومية'!$C$2:$C$8001,$A166,'مبيعات يومية'!$B$2:$B$8001,'إعدادات المخزون'!$A$17,'مبيعات يومية'!$A$2:$A$8001,"&gt;="&amp;'إعدادات المخزون'!$B$5,'مبيعات يومية'!$A$2:$A$8001,"&lt;="&amp;'إعدادات المخزون'!$B$4)</f>
        <v>0</v>
      </c>
      <c r="J166" s="116" t="n">
        <f aca="false">SUMIFS('مبيعات يومية'!$D$2:$D$8001,'مبيعات يومية'!$C$2:$C$8001,$A166,'مبيعات يومية'!$B$2:$B$8001,'إعدادات المخزون'!$A$17,'مبيعات يومية'!$A$2:$A$8001,"&gt;"&amp;('إعدادات المخزون'!$B$4-'إعدادات المخزون'!$B$11),'مبيعات يومية'!$A$2:$A$8001,"&lt;="&amp;'إعدادات المخزون'!$B$4)</f>
        <v>0</v>
      </c>
    </row>
    <row r="167" customFormat="false" ht="15" hidden="false" customHeight="false" outlineLevel="0" collapsed="false">
      <c r="A167" s="114" t="str">
        <f aca="false">المنيو!B167</f>
        <v>صوص رانش إضافي (M)</v>
      </c>
      <c r="B167" s="116" t="n">
        <f aca="false">SUMIFS('مبيعات يومية'!$D$2:$D$8001,'مبيعات يومية'!$C$2:$C$8001,$A167,'مبيعات يومية'!$B$2:$B$8001,'إعدادات المخزون'!$A$15,'مبيعات يومية'!$A$2:$A$8001,'إعدادات المخزون'!$B$4)</f>
        <v>0</v>
      </c>
      <c r="C167" s="116" t="n">
        <f aca="false">SUMIFS('مبيعات يومية'!$D$2:$D$8001,'مبيعات يومية'!$C$2:$C$8001,$A167,'مبيعات يومية'!$B$2:$B$8001,'إعدادات المخزون'!$A$15,'مبيعات يومية'!$A$2:$A$8001,"&gt;="&amp;'إعدادات المخزون'!$B$5,'مبيعات يومية'!$A$2:$A$8001,"&lt;="&amp;'إعدادات المخزون'!$B$4)</f>
        <v>0</v>
      </c>
      <c r="D167" s="116" t="n">
        <f aca="false">SUMIFS('مبيعات يومية'!$D$2:$D$8001,'مبيعات يومية'!$C$2:$C$8001,$A167,'مبيعات يومية'!$B$2:$B$8001,'إعدادات المخزون'!$A$15,'مبيعات يومية'!$A$2:$A$8001,"&gt;"&amp;('إعدادات المخزون'!$B$4-'إعدادات المخزون'!$B$11),'مبيعات يومية'!$A$2:$A$8001,"&lt;="&amp;'إعدادات المخزون'!$B$4)</f>
        <v>0</v>
      </c>
      <c r="E167" s="116" t="n">
        <f aca="false">SUMIFS('مبيعات يومية'!$D$2:$D$8001,'مبيعات يومية'!$C$2:$C$8001,$A167,'مبيعات يومية'!$B$2:$B$8001,'إعدادات المخزون'!$A$16,'مبيعات يومية'!$A$2:$A$8001,'إعدادات المخزون'!$B$4)</f>
        <v>0</v>
      </c>
      <c r="F167" s="116" t="n">
        <f aca="false">SUMIFS('مبيعات يومية'!$D$2:$D$8001,'مبيعات يومية'!$C$2:$C$8001,$A167,'مبيعات يومية'!$B$2:$B$8001,'إعدادات المخزون'!$A$16,'مبيعات يومية'!$A$2:$A$8001,"&gt;="&amp;'إعدادات المخزون'!$B$5,'مبيعات يومية'!$A$2:$A$8001,"&lt;="&amp;'إعدادات المخزون'!$B$4)</f>
        <v>0</v>
      </c>
      <c r="G167" s="116" t="n">
        <f aca="false">SUMIFS('مبيعات يومية'!$D$2:$D$8001,'مبيعات يومية'!$C$2:$C$8001,$A167,'مبيعات يومية'!$B$2:$B$8001,'إعدادات المخزون'!$A$16,'مبيعات يومية'!$A$2:$A$8001,"&gt;"&amp;('إعدادات المخزون'!$B$4-'إعدادات المخزون'!$B$11),'مبيعات يومية'!$A$2:$A$8001,"&lt;="&amp;'إعدادات المخزون'!$B$4)</f>
        <v>0</v>
      </c>
      <c r="H167" s="116" t="n">
        <f aca="false">SUMIFS('مبيعات يومية'!$D$2:$D$8001,'مبيعات يومية'!$C$2:$C$8001,$A167,'مبيعات يومية'!$B$2:$B$8001,'إعدادات المخزون'!$A$17,'مبيعات يومية'!$A$2:$A$8001,'إعدادات المخزون'!$B$4)</f>
        <v>0</v>
      </c>
      <c r="I167" s="116" t="n">
        <f aca="false">SUMIFS('مبيعات يومية'!$D$2:$D$8001,'مبيعات يومية'!$C$2:$C$8001,$A167,'مبيعات يومية'!$B$2:$B$8001,'إعدادات المخزون'!$A$17,'مبيعات يومية'!$A$2:$A$8001,"&gt;="&amp;'إعدادات المخزون'!$B$5,'مبيعات يومية'!$A$2:$A$8001,"&lt;="&amp;'إعدادات المخزون'!$B$4)</f>
        <v>0</v>
      </c>
      <c r="J167" s="116" t="n">
        <f aca="false">SUMIFS('مبيعات يومية'!$D$2:$D$8001,'مبيعات يومية'!$C$2:$C$8001,$A167,'مبيعات يومية'!$B$2:$B$8001,'إعدادات المخزون'!$A$17,'مبيعات يومية'!$A$2:$A$8001,"&gt;"&amp;('إعدادات المخزون'!$B$4-'إعدادات المخزون'!$B$11),'مبيعات يومية'!$A$2:$A$8001,"&lt;="&amp;'إعدادات المخزون'!$B$4)</f>
        <v>0</v>
      </c>
    </row>
    <row r="168" customFormat="false" ht="15" hidden="false" customHeight="false" outlineLevel="0" collapsed="false">
      <c r="A168" s="114" t="str">
        <f aca="false">المنيو!B168</f>
        <v>صوص رانش إضافي (L)</v>
      </c>
      <c r="B168" s="116" t="n">
        <f aca="false">SUMIFS('مبيعات يومية'!$D$2:$D$8001,'مبيعات يومية'!$C$2:$C$8001,$A168,'مبيعات يومية'!$B$2:$B$8001,'إعدادات المخزون'!$A$15,'مبيعات يومية'!$A$2:$A$8001,'إعدادات المخزون'!$B$4)</f>
        <v>0</v>
      </c>
      <c r="C168" s="116" t="n">
        <f aca="false">SUMIFS('مبيعات يومية'!$D$2:$D$8001,'مبيعات يومية'!$C$2:$C$8001,$A168,'مبيعات يومية'!$B$2:$B$8001,'إعدادات المخزون'!$A$15,'مبيعات يومية'!$A$2:$A$8001,"&gt;="&amp;'إعدادات المخزون'!$B$5,'مبيعات يومية'!$A$2:$A$8001,"&lt;="&amp;'إعدادات المخزون'!$B$4)</f>
        <v>0</v>
      </c>
      <c r="D168" s="116" t="n">
        <f aca="false">SUMIFS('مبيعات يومية'!$D$2:$D$8001,'مبيعات يومية'!$C$2:$C$8001,$A168,'مبيعات يومية'!$B$2:$B$8001,'إعدادات المخزون'!$A$15,'مبيعات يومية'!$A$2:$A$8001,"&gt;"&amp;('إعدادات المخزون'!$B$4-'إعدادات المخزون'!$B$11),'مبيعات يومية'!$A$2:$A$8001,"&lt;="&amp;'إعدادات المخزون'!$B$4)</f>
        <v>0</v>
      </c>
      <c r="E168" s="116" t="n">
        <f aca="false">SUMIFS('مبيعات يومية'!$D$2:$D$8001,'مبيعات يومية'!$C$2:$C$8001,$A168,'مبيعات يومية'!$B$2:$B$8001,'إعدادات المخزون'!$A$16,'مبيعات يومية'!$A$2:$A$8001,'إعدادات المخزون'!$B$4)</f>
        <v>0</v>
      </c>
      <c r="F168" s="116" t="n">
        <f aca="false">SUMIFS('مبيعات يومية'!$D$2:$D$8001,'مبيعات يومية'!$C$2:$C$8001,$A168,'مبيعات يومية'!$B$2:$B$8001,'إعدادات المخزون'!$A$16,'مبيعات يومية'!$A$2:$A$8001,"&gt;="&amp;'إعدادات المخزون'!$B$5,'مبيعات يومية'!$A$2:$A$8001,"&lt;="&amp;'إعدادات المخزون'!$B$4)</f>
        <v>0</v>
      </c>
      <c r="G168" s="116" t="n">
        <f aca="false">SUMIFS('مبيعات يومية'!$D$2:$D$8001,'مبيعات يومية'!$C$2:$C$8001,$A168,'مبيعات يومية'!$B$2:$B$8001,'إعدادات المخزون'!$A$16,'مبيعات يومية'!$A$2:$A$8001,"&gt;"&amp;('إعدادات المخزون'!$B$4-'إعدادات المخزون'!$B$11),'مبيعات يومية'!$A$2:$A$8001,"&lt;="&amp;'إعدادات المخزون'!$B$4)</f>
        <v>0</v>
      </c>
      <c r="H168" s="116" t="n">
        <f aca="false">SUMIFS('مبيعات يومية'!$D$2:$D$8001,'مبيعات يومية'!$C$2:$C$8001,$A168,'مبيعات يومية'!$B$2:$B$8001,'إعدادات المخزون'!$A$17,'مبيعات يومية'!$A$2:$A$8001,'إعدادات المخزون'!$B$4)</f>
        <v>0</v>
      </c>
      <c r="I168" s="116" t="n">
        <f aca="false">SUMIFS('مبيعات يومية'!$D$2:$D$8001,'مبيعات يومية'!$C$2:$C$8001,$A168,'مبيعات يومية'!$B$2:$B$8001,'إعدادات المخزون'!$A$17,'مبيعات يومية'!$A$2:$A$8001,"&gt;="&amp;'إعدادات المخزون'!$B$5,'مبيعات يومية'!$A$2:$A$8001,"&lt;="&amp;'إعدادات المخزون'!$B$4)</f>
        <v>0</v>
      </c>
      <c r="J168" s="116" t="n">
        <f aca="false">SUMIFS('مبيعات يومية'!$D$2:$D$8001,'مبيعات يومية'!$C$2:$C$8001,$A168,'مبيعات يومية'!$B$2:$B$8001,'إعدادات المخزون'!$A$17,'مبيعات يومية'!$A$2:$A$8001,"&gt;"&amp;('إعدادات المخزون'!$B$4-'إعدادات المخزون'!$B$11),'مبيعات يومية'!$A$2:$A$8001,"&lt;="&amp;'إعدادات المخزون'!$B$4)</f>
        <v>0</v>
      </c>
    </row>
    <row r="169" customFormat="false" ht="15" hidden="false" customHeight="false" outlineLevel="0" collapsed="false">
      <c r="A169" s="114" t="str">
        <f aca="false">المنيو!B169</f>
        <v>صوص شيدر إضافي (M)</v>
      </c>
      <c r="B169" s="116" t="n">
        <f aca="false">SUMIFS('مبيعات يومية'!$D$2:$D$8001,'مبيعات يومية'!$C$2:$C$8001,$A169,'مبيعات يومية'!$B$2:$B$8001,'إعدادات المخزون'!$A$15,'مبيعات يومية'!$A$2:$A$8001,'إعدادات المخزون'!$B$4)</f>
        <v>0</v>
      </c>
      <c r="C169" s="116" t="n">
        <f aca="false">SUMIFS('مبيعات يومية'!$D$2:$D$8001,'مبيعات يومية'!$C$2:$C$8001,$A169,'مبيعات يومية'!$B$2:$B$8001,'إعدادات المخزون'!$A$15,'مبيعات يومية'!$A$2:$A$8001,"&gt;="&amp;'إعدادات المخزون'!$B$5,'مبيعات يومية'!$A$2:$A$8001,"&lt;="&amp;'إعدادات المخزون'!$B$4)</f>
        <v>0</v>
      </c>
      <c r="D169" s="116" t="n">
        <f aca="false">SUMIFS('مبيعات يومية'!$D$2:$D$8001,'مبيعات يومية'!$C$2:$C$8001,$A169,'مبيعات يومية'!$B$2:$B$8001,'إعدادات المخزون'!$A$15,'مبيعات يومية'!$A$2:$A$8001,"&gt;"&amp;('إعدادات المخزون'!$B$4-'إعدادات المخزون'!$B$11),'مبيعات يومية'!$A$2:$A$8001,"&lt;="&amp;'إعدادات المخزون'!$B$4)</f>
        <v>0</v>
      </c>
      <c r="E169" s="116" t="n">
        <f aca="false">SUMIFS('مبيعات يومية'!$D$2:$D$8001,'مبيعات يومية'!$C$2:$C$8001,$A169,'مبيعات يومية'!$B$2:$B$8001,'إعدادات المخزون'!$A$16,'مبيعات يومية'!$A$2:$A$8001,'إعدادات المخزون'!$B$4)</f>
        <v>0</v>
      </c>
      <c r="F169" s="116" t="n">
        <f aca="false">SUMIFS('مبيعات يومية'!$D$2:$D$8001,'مبيعات يومية'!$C$2:$C$8001,$A169,'مبيعات يومية'!$B$2:$B$8001,'إعدادات المخزون'!$A$16,'مبيعات يومية'!$A$2:$A$8001,"&gt;="&amp;'إعدادات المخزون'!$B$5,'مبيعات يومية'!$A$2:$A$8001,"&lt;="&amp;'إعدادات المخزون'!$B$4)</f>
        <v>0</v>
      </c>
      <c r="G169" s="116" t="n">
        <f aca="false">SUMIFS('مبيعات يومية'!$D$2:$D$8001,'مبيعات يومية'!$C$2:$C$8001,$A169,'مبيعات يومية'!$B$2:$B$8001,'إعدادات المخزون'!$A$16,'مبيعات يومية'!$A$2:$A$8001,"&gt;"&amp;('إعدادات المخزون'!$B$4-'إعدادات المخزون'!$B$11),'مبيعات يومية'!$A$2:$A$8001,"&lt;="&amp;'إعدادات المخزون'!$B$4)</f>
        <v>0</v>
      </c>
      <c r="H169" s="116" t="n">
        <f aca="false">SUMIFS('مبيعات يومية'!$D$2:$D$8001,'مبيعات يومية'!$C$2:$C$8001,$A169,'مبيعات يومية'!$B$2:$B$8001,'إعدادات المخزون'!$A$17,'مبيعات يومية'!$A$2:$A$8001,'إعدادات المخزون'!$B$4)</f>
        <v>0</v>
      </c>
      <c r="I169" s="116" t="n">
        <f aca="false">SUMIFS('مبيعات يومية'!$D$2:$D$8001,'مبيعات يومية'!$C$2:$C$8001,$A169,'مبيعات يومية'!$B$2:$B$8001,'إعدادات المخزون'!$A$17,'مبيعات يومية'!$A$2:$A$8001,"&gt;="&amp;'إعدادات المخزون'!$B$5,'مبيعات يومية'!$A$2:$A$8001,"&lt;="&amp;'إعدادات المخزون'!$B$4)</f>
        <v>0</v>
      </c>
      <c r="J169" s="116" t="n">
        <f aca="false">SUMIFS('مبيعات يومية'!$D$2:$D$8001,'مبيعات يومية'!$C$2:$C$8001,$A169,'مبيعات يومية'!$B$2:$B$8001,'إعدادات المخزون'!$A$17,'مبيعات يومية'!$A$2:$A$8001,"&gt;"&amp;('إعدادات المخزون'!$B$4-'إعدادات المخزون'!$B$11),'مبيعات يومية'!$A$2:$A$8001,"&lt;="&amp;'إعدادات المخزون'!$B$4)</f>
        <v>0</v>
      </c>
    </row>
    <row r="170" customFormat="false" ht="15" hidden="false" customHeight="false" outlineLevel="0" collapsed="false">
      <c r="A170" s="114" t="str">
        <f aca="false">المنيو!B170</f>
        <v>صوص شيدر إضافي (L)</v>
      </c>
      <c r="B170" s="116" t="n">
        <f aca="false">SUMIFS('مبيعات يومية'!$D$2:$D$8001,'مبيعات يومية'!$C$2:$C$8001,$A170,'مبيعات يومية'!$B$2:$B$8001,'إعدادات المخزون'!$A$15,'مبيعات يومية'!$A$2:$A$8001,'إعدادات المخزون'!$B$4)</f>
        <v>0</v>
      </c>
      <c r="C170" s="116" t="n">
        <f aca="false">SUMIFS('مبيعات يومية'!$D$2:$D$8001,'مبيعات يومية'!$C$2:$C$8001,$A170,'مبيعات يومية'!$B$2:$B$8001,'إعدادات المخزون'!$A$15,'مبيعات يومية'!$A$2:$A$8001,"&gt;="&amp;'إعدادات المخزون'!$B$5,'مبيعات يومية'!$A$2:$A$8001,"&lt;="&amp;'إعدادات المخزون'!$B$4)</f>
        <v>0</v>
      </c>
      <c r="D170" s="116" t="n">
        <f aca="false">SUMIFS('مبيعات يومية'!$D$2:$D$8001,'مبيعات يومية'!$C$2:$C$8001,$A170,'مبيعات يومية'!$B$2:$B$8001,'إعدادات المخزون'!$A$15,'مبيعات يومية'!$A$2:$A$8001,"&gt;"&amp;('إعدادات المخزون'!$B$4-'إعدادات المخزون'!$B$11),'مبيعات يومية'!$A$2:$A$8001,"&lt;="&amp;'إعدادات المخزون'!$B$4)</f>
        <v>0</v>
      </c>
      <c r="E170" s="116" t="n">
        <f aca="false">SUMIFS('مبيعات يومية'!$D$2:$D$8001,'مبيعات يومية'!$C$2:$C$8001,$A170,'مبيعات يومية'!$B$2:$B$8001,'إعدادات المخزون'!$A$16,'مبيعات يومية'!$A$2:$A$8001,'إعدادات المخزون'!$B$4)</f>
        <v>0</v>
      </c>
      <c r="F170" s="116" t="n">
        <f aca="false">SUMIFS('مبيعات يومية'!$D$2:$D$8001,'مبيعات يومية'!$C$2:$C$8001,$A170,'مبيعات يومية'!$B$2:$B$8001,'إعدادات المخزون'!$A$16,'مبيعات يومية'!$A$2:$A$8001,"&gt;="&amp;'إعدادات المخزون'!$B$5,'مبيعات يومية'!$A$2:$A$8001,"&lt;="&amp;'إعدادات المخزون'!$B$4)</f>
        <v>0</v>
      </c>
      <c r="G170" s="116" t="n">
        <f aca="false">SUMIFS('مبيعات يومية'!$D$2:$D$8001,'مبيعات يومية'!$C$2:$C$8001,$A170,'مبيعات يومية'!$B$2:$B$8001,'إعدادات المخزون'!$A$16,'مبيعات يومية'!$A$2:$A$8001,"&gt;"&amp;('إعدادات المخزون'!$B$4-'إعدادات المخزون'!$B$11),'مبيعات يومية'!$A$2:$A$8001,"&lt;="&amp;'إعدادات المخزون'!$B$4)</f>
        <v>0</v>
      </c>
      <c r="H170" s="116" t="n">
        <f aca="false">SUMIFS('مبيعات يومية'!$D$2:$D$8001,'مبيعات يومية'!$C$2:$C$8001,$A170,'مبيعات يومية'!$B$2:$B$8001,'إعدادات المخزون'!$A$17,'مبيعات يومية'!$A$2:$A$8001,'إعدادات المخزون'!$B$4)</f>
        <v>0</v>
      </c>
      <c r="I170" s="116" t="n">
        <f aca="false">SUMIFS('مبيعات يومية'!$D$2:$D$8001,'مبيعات يومية'!$C$2:$C$8001,$A170,'مبيعات يومية'!$B$2:$B$8001,'إعدادات المخزون'!$A$17,'مبيعات يومية'!$A$2:$A$8001,"&gt;="&amp;'إعدادات المخزون'!$B$5,'مبيعات يومية'!$A$2:$A$8001,"&lt;="&amp;'إعدادات المخزون'!$B$4)</f>
        <v>0</v>
      </c>
      <c r="J170" s="116" t="n">
        <f aca="false">SUMIFS('مبيعات يومية'!$D$2:$D$8001,'مبيعات يومية'!$C$2:$C$8001,$A170,'مبيعات يومية'!$B$2:$B$8001,'إعدادات المخزون'!$A$17,'مبيعات يومية'!$A$2:$A$8001,"&gt;"&amp;('إعدادات المخزون'!$B$4-'إعدادات المخزون'!$B$11),'مبيعات يومية'!$A$2:$A$8001,"&lt;="&amp;'إعدادات المخزون'!$B$4)</f>
        <v>0</v>
      </c>
    </row>
    <row r="171" customFormat="false" ht="15" hidden="false" customHeight="false" outlineLevel="0" collapsed="false">
      <c r="A171" s="114" t="str">
        <f aca="false">المنيو!B171</f>
        <v>صوص باربيكيو إضافي (M)</v>
      </c>
      <c r="B171" s="116" t="n">
        <f aca="false">SUMIFS('مبيعات يومية'!$D$2:$D$8001,'مبيعات يومية'!$C$2:$C$8001,$A171,'مبيعات يومية'!$B$2:$B$8001,'إعدادات المخزون'!$A$15,'مبيعات يومية'!$A$2:$A$8001,'إعدادات المخزون'!$B$4)</f>
        <v>0</v>
      </c>
      <c r="C171" s="116" t="n">
        <f aca="false">SUMIFS('مبيعات يومية'!$D$2:$D$8001,'مبيعات يومية'!$C$2:$C$8001,$A171,'مبيعات يومية'!$B$2:$B$8001,'إعدادات المخزون'!$A$15,'مبيعات يومية'!$A$2:$A$8001,"&gt;="&amp;'إعدادات المخزون'!$B$5,'مبيعات يومية'!$A$2:$A$8001,"&lt;="&amp;'إعدادات المخزون'!$B$4)</f>
        <v>0</v>
      </c>
      <c r="D171" s="116" t="n">
        <f aca="false">SUMIFS('مبيعات يومية'!$D$2:$D$8001,'مبيعات يومية'!$C$2:$C$8001,$A171,'مبيعات يومية'!$B$2:$B$8001,'إعدادات المخزون'!$A$15,'مبيعات يومية'!$A$2:$A$8001,"&gt;"&amp;('إعدادات المخزون'!$B$4-'إعدادات المخزون'!$B$11),'مبيعات يومية'!$A$2:$A$8001,"&lt;="&amp;'إعدادات المخزون'!$B$4)</f>
        <v>0</v>
      </c>
      <c r="E171" s="116" t="n">
        <f aca="false">SUMIFS('مبيعات يومية'!$D$2:$D$8001,'مبيعات يومية'!$C$2:$C$8001,$A171,'مبيعات يومية'!$B$2:$B$8001,'إعدادات المخزون'!$A$16,'مبيعات يومية'!$A$2:$A$8001,'إعدادات المخزون'!$B$4)</f>
        <v>0</v>
      </c>
      <c r="F171" s="116" t="n">
        <f aca="false">SUMIFS('مبيعات يومية'!$D$2:$D$8001,'مبيعات يومية'!$C$2:$C$8001,$A171,'مبيعات يومية'!$B$2:$B$8001,'إعدادات المخزون'!$A$16,'مبيعات يومية'!$A$2:$A$8001,"&gt;="&amp;'إعدادات المخزون'!$B$5,'مبيعات يومية'!$A$2:$A$8001,"&lt;="&amp;'إعدادات المخزون'!$B$4)</f>
        <v>0</v>
      </c>
      <c r="G171" s="116" t="n">
        <f aca="false">SUMIFS('مبيعات يومية'!$D$2:$D$8001,'مبيعات يومية'!$C$2:$C$8001,$A171,'مبيعات يومية'!$B$2:$B$8001,'إعدادات المخزون'!$A$16,'مبيعات يومية'!$A$2:$A$8001,"&gt;"&amp;('إعدادات المخزون'!$B$4-'إعدادات المخزون'!$B$11),'مبيعات يومية'!$A$2:$A$8001,"&lt;="&amp;'إعدادات المخزون'!$B$4)</f>
        <v>0</v>
      </c>
      <c r="H171" s="116" t="n">
        <f aca="false">SUMIFS('مبيعات يومية'!$D$2:$D$8001,'مبيعات يومية'!$C$2:$C$8001,$A171,'مبيعات يومية'!$B$2:$B$8001,'إعدادات المخزون'!$A$17,'مبيعات يومية'!$A$2:$A$8001,'إعدادات المخزون'!$B$4)</f>
        <v>0</v>
      </c>
      <c r="I171" s="116" t="n">
        <f aca="false">SUMIFS('مبيعات يومية'!$D$2:$D$8001,'مبيعات يومية'!$C$2:$C$8001,$A171,'مبيعات يومية'!$B$2:$B$8001,'إعدادات المخزون'!$A$17,'مبيعات يومية'!$A$2:$A$8001,"&gt;="&amp;'إعدادات المخزون'!$B$5,'مبيعات يومية'!$A$2:$A$8001,"&lt;="&amp;'إعدادات المخزون'!$B$4)</f>
        <v>0</v>
      </c>
      <c r="J171" s="116" t="n">
        <f aca="false">SUMIFS('مبيعات يومية'!$D$2:$D$8001,'مبيعات يومية'!$C$2:$C$8001,$A171,'مبيعات يومية'!$B$2:$B$8001,'إعدادات المخزون'!$A$17,'مبيعات يومية'!$A$2:$A$8001,"&gt;"&amp;('إعدادات المخزون'!$B$4-'إعدادات المخزون'!$B$11),'مبيعات يومية'!$A$2:$A$8001,"&lt;="&amp;'إعدادات المخزون'!$B$4)</f>
        <v>0</v>
      </c>
    </row>
    <row r="172" customFormat="false" ht="15" hidden="false" customHeight="false" outlineLevel="0" collapsed="false">
      <c r="A172" s="114" t="str">
        <f aca="false">المنيو!B172</f>
        <v>صوص باربيكيو إضافي (L)</v>
      </c>
      <c r="B172" s="116" t="n">
        <f aca="false">SUMIFS('مبيعات يومية'!$D$2:$D$8001,'مبيعات يومية'!$C$2:$C$8001,$A172,'مبيعات يومية'!$B$2:$B$8001,'إعدادات المخزون'!$A$15,'مبيعات يومية'!$A$2:$A$8001,'إعدادات المخزون'!$B$4)</f>
        <v>0</v>
      </c>
      <c r="C172" s="116" t="n">
        <f aca="false">SUMIFS('مبيعات يومية'!$D$2:$D$8001,'مبيعات يومية'!$C$2:$C$8001,$A172,'مبيعات يومية'!$B$2:$B$8001,'إعدادات المخزون'!$A$15,'مبيعات يومية'!$A$2:$A$8001,"&gt;="&amp;'إعدادات المخزون'!$B$5,'مبيعات يومية'!$A$2:$A$8001,"&lt;="&amp;'إعدادات المخزون'!$B$4)</f>
        <v>0</v>
      </c>
      <c r="D172" s="116" t="n">
        <f aca="false">SUMIFS('مبيعات يومية'!$D$2:$D$8001,'مبيعات يومية'!$C$2:$C$8001,$A172,'مبيعات يومية'!$B$2:$B$8001,'إعدادات المخزون'!$A$15,'مبيعات يومية'!$A$2:$A$8001,"&gt;"&amp;('إعدادات المخزون'!$B$4-'إعدادات المخزون'!$B$11),'مبيعات يومية'!$A$2:$A$8001,"&lt;="&amp;'إعدادات المخزون'!$B$4)</f>
        <v>0</v>
      </c>
      <c r="E172" s="116" t="n">
        <f aca="false">SUMIFS('مبيعات يومية'!$D$2:$D$8001,'مبيعات يومية'!$C$2:$C$8001,$A172,'مبيعات يومية'!$B$2:$B$8001,'إعدادات المخزون'!$A$16,'مبيعات يومية'!$A$2:$A$8001,'إعدادات المخزون'!$B$4)</f>
        <v>0</v>
      </c>
      <c r="F172" s="116" t="n">
        <f aca="false">SUMIFS('مبيعات يومية'!$D$2:$D$8001,'مبيعات يومية'!$C$2:$C$8001,$A172,'مبيعات يومية'!$B$2:$B$8001,'إعدادات المخزون'!$A$16,'مبيعات يومية'!$A$2:$A$8001,"&gt;="&amp;'إعدادات المخزون'!$B$5,'مبيعات يومية'!$A$2:$A$8001,"&lt;="&amp;'إعدادات المخزون'!$B$4)</f>
        <v>0</v>
      </c>
      <c r="G172" s="116" t="n">
        <f aca="false">SUMIFS('مبيعات يومية'!$D$2:$D$8001,'مبيعات يومية'!$C$2:$C$8001,$A172,'مبيعات يومية'!$B$2:$B$8001,'إعدادات المخزون'!$A$16,'مبيعات يومية'!$A$2:$A$8001,"&gt;"&amp;('إعدادات المخزون'!$B$4-'إعدادات المخزون'!$B$11),'مبيعات يومية'!$A$2:$A$8001,"&lt;="&amp;'إعدادات المخزون'!$B$4)</f>
        <v>0</v>
      </c>
      <c r="H172" s="116" t="n">
        <f aca="false">SUMIFS('مبيعات يومية'!$D$2:$D$8001,'مبيعات يومية'!$C$2:$C$8001,$A172,'مبيعات يومية'!$B$2:$B$8001,'إعدادات المخزون'!$A$17,'مبيعات يومية'!$A$2:$A$8001,'إعدادات المخزون'!$B$4)</f>
        <v>0</v>
      </c>
      <c r="I172" s="116" t="n">
        <f aca="false">SUMIFS('مبيعات يومية'!$D$2:$D$8001,'مبيعات يومية'!$C$2:$C$8001,$A172,'مبيعات يومية'!$B$2:$B$8001,'إعدادات المخزون'!$A$17,'مبيعات يومية'!$A$2:$A$8001,"&gt;="&amp;'إعدادات المخزون'!$B$5,'مبيعات يومية'!$A$2:$A$8001,"&lt;="&amp;'إعدادات المخزون'!$B$4)</f>
        <v>0</v>
      </c>
      <c r="J172" s="116" t="n">
        <f aca="false">SUMIFS('مبيعات يومية'!$D$2:$D$8001,'مبيعات يومية'!$C$2:$C$8001,$A172,'مبيعات يومية'!$B$2:$B$8001,'إعدادات المخزون'!$A$17,'مبيعات يومية'!$A$2:$A$8001,"&gt;"&amp;('إعدادات المخزون'!$B$4-'إعدادات المخزون'!$B$11),'مبيعات يومية'!$A$2:$A$8001,"&lt;="&amp;'إعدادات المخزون'!$B$4)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2026-10-13T00:02:40Z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